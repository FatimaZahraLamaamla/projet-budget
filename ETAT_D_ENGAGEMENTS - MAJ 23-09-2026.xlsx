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5530" windowHeight="11480" tabRatio="499" firstSheet="0" activeTab="0" autoFilterDateGrouping="1"/>
  </bookViews>
  <sheets>
    <sheet name="Tableau de Bord" sheetId="1" state="visible" r:id="rId1"/>
    <sheet name="Filtre Interactif" sheetId="2" state="visible" r:id="rId2"/>
    <sheet name="Tableau de Bord Suivi" sheetId="3" state="visible" r:id="rId3"/>
    <sheet name="Parametres" sheetId="4" state="visible" r:id="rId4"/>
    <sheet name="ENGAGEMENTS 2026" sheetId="5" state="visible" r:id="rId5"/>
    <sheet name="lignes" sheetId="6" state="visible" r:id="rId6"/>
    <sheet name="PPM 2026" sheetId="7" state="visible" r:id="rId7"/>
    <sheet name="Données Suivi" sheetId="8" state="visible" r:id="rId8"/>
  </sheets>
  <definedNames>
    <definedName name="ANN">Parametres!$A$116</definedName>
    <definedName name="ATR">Parametres!$A$129</definedName>
    <definedName name="BDG_DIR">#REF!</definedName>
    <definedName name="BDG_FAM">#REF!</definedName>
    <definedName name="BDG_MNT">#REF!</definedName>
    <definedName name="BDG_NAT">#REF!</definedName>
    <definedName name="BUDGET">'ENGAGEMENTS 2026'!$M:$M</definedName>
    <definedName name="cc">Parametres!$A$80:$A$94</definedName>
    <definedName name="DIRECTION">#REF!</definedName>
    <definedName name="ENGAGE">Parametres!$A$99</definedName>
    <definedName name="Estimation">'ENGAGEMENTS 2026'!$P:$P</definedName>
    <definedName name="Excep">Parametres!$A$5</definedName>
    <definedName name="FON">Parametres!$A$7</definedName>
    <definedName name="FONCTIONNEMENT">Parametres!$A$10:$A$32</definedName>
    <definedName name="INF">Parametres!$A$115</definedName>
    <definedName name="INV">Parametres!$A$8</definedName>
    <definedName name="INVESTISSEMENT">Parametres!$A$34:$A$44</definedName>
    <definedName name="LBDG">'ENGAGEMENTS 2026'!$N:$N</definedName>
    <definedName name="MntENG">'ENGAGEMENTS 2026'!$AE:$AE</definedName>
    <definedName name="MTP">Parametres!$B$48</definedName>
    <definedName name="MTT">Parametres!$B$46</definedName>
    <definedName name="NA">Parametres!$A$113</definedName>
    <definedName name="Ordn">Parametres!$A$4</definedName>
    <definedName name="PhaAo">Parametres!$A$134</definedName>
    <definedName name="PREENGAGE">Parametres!$A$97</definedName>
    <definedName name="qq">Parametres!$A$80:$A$94</definedName>
    <definedName name="SSENG">#REF!</definedName>
    <definedName name="StatutEng">'ENGAGEMENTS 2026'!$AF:$AF</definedName>
    <definedName name="TypBudget">Parametres!$A$2:$A$5</definedName>
    <definedName name="TypeBudget">'ENGAGEMENTS 2026'!$L:$L</definedName>
    <definedName name="xBesoin">Parametres!$A$146:$A$149</definedName>
    <definedName name="xBUDGET">Parametres!$A$7:$A$8</definedName>
    <definedName name="xCATEGORIES">Parametres!$A$137:$A$139</definedName>
    <definedName name="xDIRECTION">Parametres!$A$51:$A$78</definedName>
    <definedName name="xENG">Parametres!$A$99</definedName>
    <definedName name="XLB">Parametres!$A$80:$A$94</definedName>
    <definedName name="xNatype">Parametres!$A$142:$A$144</definedName>
    <definedName name="xRec">Parametres!$A$149</definedName>
    <definedName name="xStatut1">Parametres!$A$113:$A$118</definedName>
    <definedName name="xSTATUTSUP">Parametres!$A$128:$A$135</definedName>
    <definedName name="xStEng">Parametres!$A$96:$A$100</definedName>
    <definedName name="xTYPE1">Parametres!$A$102:$A$111</definedName>
    <definedName name="xTYPSUP">Parametres!$A$120:$A$126</definedName>
  </definedNames>
  <calcPr calcId="191029" fullCalcOnLoad="1"/>
</workbook>
</file>

<file path=xl/styles.xml><?xml version="1.0" encoding="utf-8"?>
<styleSheet xmlns="http://schemas.openxmlformats.org/spreadsheetml/2006/main">
  <numFmts count="14">
    <numFmt numFmtId="164" formatCode="#,##0.00\ _€"/>
    <numFmt numFmtId="165" formatCode="0\ %"/>
    <numFmt numFmtId="166" formatCode="_-* #,##0.00\ _€_-;\-* #,##0.00\ _€_-;_-* \-??\ _€_-;_-@_-"/>
    <numFmt numFmtId="167" formatCode="[$د.م.‏-1801]\ #,##0.00;[Red][$د.م.‏-1801]\ #,##0.00\-"/>
    <numFmt numFmtId="168" formatCode="0.0%"/>
    <numFmt numFmtId="169" formatCode="_(* #,##0.00_);_(* \(#,##0.00\);_(* \-??_);_(@_)"/>
    <numFmt numFmtId="170" formatCode="#,##0.00\ &quot;€&quot;"/>
    <numFmt numFmtId="171" formatCode="#,##0.00\ [$MAD]"/>
    <numFmt numFmtId="172" formatCode="#.##0\.00"/>
    <numFmt numFmtId="173" formatCode="_-* #,##0.00\ _€_-;\-* #,##0.00\ _€_-;_-* &quot;-&quot;??\ _€_-;_-@_-"/>
    <numFmt numFmtId="174" formatCode="dd/mm/yyyy"/>
    <numFmt numFmtId="175" formatCode="_-* #,##0.00_-;\-* #,##0.00_-;_-* \-??_-;_-@_-"/>
    <numFmt numFmtId="176" formatCode="_-* #,##0.00\ _D_H_-;\-* #,##0.00\ _D_H_-;_-* \-??\ _D_H_-;_-@_-"/>
    <numFmt numFmtId="177" formatCode="yyyy-mm-dd h:mm:ss"/>
  </numFmts>
  <fonts count="73">
    <font>
      <name val="Calibri"/>
      <charset val="1"/>
      <family val="2"/>
      <color theme="1"/>
      <sz val="11"/>
    </font>
    <font>
      <name val="Calibri"/>
      <charset val="1"/>
      <family val="2"/>
      <color theme="10"/>
      <sz val="11"/>
      <u val="single"/>
    </font>
    <font>
      <name val="Calibri"/>
      <charset val="1"/>
      <family val="2"/>
      <color theme="3"/>
      <sz val="10"/>
    </font>
    <font>
      <name val="Arial"/>
      <charset val="1"/>
      <family val="2"/>
      <color theme="1"/>
      <sz val="10"/>
    </font>
    <font>
      <name val="Calibri"/>
      <charset val="1"/>
      <family val="2"/>
      <color theme="0"/>
      <sz val="11"/>
    </font>
    <font>
      <name val="Calibri"/>
      <charset val="1"/>
      <family val="2"/>
      <color theme="1"/>
      <sz val="10"/>
    </font>
    <font>
      <name val="Calibri"/>
      <charset val="1"/>
      <family val="2"/>
      <sz val="10"/>
    </font>
    <font>
      <name val="Calibri"/>
      <charset val="1"/>
      <family val="2"/>
      <b val="1"/>
      <color theme="0"/>
      <sz val="11"/>
    </font>
    <font>
      <name val="Calibri"/>
      <charset val="1"/>
      <family val="2"/>
      <b val="1"/>
      <color theme="0" tint="-0.1499984740745262"/>
      <sz val="11"/>
    </font>
    <font>
      <name val="Calibri"/>
      <charset val="1"/>
      <family val="2"/>
      <b val="1"/>
      <color theme="1"/>
      <sz val="11"/>
    </font>
    <font>
      <name val="Times New Roman"/>
      <charset val="1"/>
      <family val="1"/>
      <color theme="1"/>
      <sz val="11"/>
    </font>
    <font>
      <name val="Times New Roman"/>
      <charset val="1"/>
      <family val="1"/>
      <b val="1"/>
      <color theme="1"/>
      <sz val="11"/>
    </font>
    <font>
      <name val="Calibri"/>
      <charset val="1"/>
      <family val="2"/>
      <color theme="1"/>
      <sz val="11"/>
    </font>
    <font>
      <name val="Calibri"/>
      <family val="2"/>
      <color theme="1"/>
      <sz val="10"/>
    </font>
    <font>
      <name val="Arial"/>
      <family val="2"/>
      <color theme="3"/>
      <sz val="10"/>
      <scheme val="minor"/>
    </font>
    <font>
      <name val="Calibri"/>
      <family val="2"/>
      <b val="1"/>
      <color theme="1"/>
      <sz val="10"/>
    </font>
    <font>
      <name val="Calibri"/>
      <family val="2"/>
      <color theme="3"/>
      <sz val="10"/>
    </font>
    <font>
      <name val="Calibri"/>
      <family val="2"/>
      <b val="1"/>
      <color rgb="FFFFFFFF"/>
      <sz val="10"/>
    </font>
    <font>
      <name val="Calibri"/>
      <family val="2"/>
      <b val="1"/>
      <color theme="1"/>
      <sz val="11"/>
    </font>
    <font>
      <name val="Calibri"/>
      <family val="2"/>
      <color theme="1"/>
      <sz val="10"/>
    </font>
    <font>
      <name val="Calibri"/>
      <family val="2"/>
      <b val="1"/>
      <color theme="1"/>
      <sz val="10"/>
    </font>
    <font>
      <name val="Calibri"/>
      <family val="2"/>
      <color theme="1"/>
      <sz val="10"/>
    </font>
    <font>
      <name val="Calibri"/>
      <family val="2"/>
      <b val="1"/>
      <color theme="1"/>
      <sz val="10"/>
    </font>
    <font>
      <name val="Calibri"/>
      <family val="2"/>
      <color theme="1"/>
      <sz val="10"/>
    </font>
    <font>
      <name val="Calibri"/>
      <family val="2"/>
      <b val="1"/>
      <color theme="1"/>
      <sz val="10"/>
    </font>
    <font>
      <name val="Arial"/>
      <family val="2"/>
      <b val="1"/>
      <color theme="0"/>
      <sz val="11"/>
      <scheme val="minor"/>
    </font>
    <font>
      <name val="Arial"/>
      <family val="2"/>
      <color theme="1"/>
      <sz val="11"/>
      <scheme val="minor"/>
    </font>
    <font>
      <name val="Arial"/>
      <family val="1"/>
      <b val="1"/>
      <color theme="0"/>
      <sz val="10"/>
      <scheme val="major"/>
    </font>
    <font>
      <name val="Arial"/>
      <family val="1"/>
      <color theme="1"/>
      <sz val="10"/>
      <scheme val="major"/>
    </font>
    <font>
      <name val="Arial"/>
      <family val="1"/>
      <color rgb="FF333333"/>
      <sz val="10"/>
      <scheme val="major"/>
    </font>
    <font>
      <name val="Arial"/>
      <family val="1"/>
      <sz val="10"/>
      <scheme val="major"/>
    </font>
    <font>
      <name val="Arial"/>
      <family val="2"/>
      <color theme="1"/>
      <sz val="9"/>
      <scheme val="major"/>
    </font>
    <font>
      <name val="Arial"/>
      <family val="1"/>
      <color theme="1"/>
      <sz val="11"/>
      <scheme val="major"/>
    </font>
    <font>
      <name val="Arial"/>
      <family val="1"/>
      <sz val="11"/>
      <scheme val="major"/>
    </font>
    <font>
      <name val="Arial"/>
      <family val="1"/>
      <color theme="1"/>
      <sz val="12"/>
      <scheme val="major"/>
    </font>
    <font>
      <name val="Calibri"/>
      <b val="1"/>
      <color rgb="FFFFFFFF"/>
      <sz val="11"/>
    </font>
    <font>
      <name val="Calibri"/>
      <b val="1"/>
      <color rgb="FFFFFFFF"/>
      <sz val="16"/>
    </font>
    <font>
      <name val="Calibri"/>
      <b val="1"/>
      <color rgb="FF1F4E78"/>
      <sz val="9"/>
    </font>
    <font>
      <name val="Calibri"/>
      <b val="1"/>
      <color rgb="FF1F4E78"/>
      <sz val="15"/>
    </font>
    <font>
      <name val="Calibri"/>
      <b val="1"/>
      <color rgb="FFFFFFFF"/>
      <sz val="12"/>
    </font>
    <font>
      <name val="Calibri"/>
      <b val="1"/>
      <color rgb="FF1F4E78"/>
      <sz val="11"/>
    </font>
    <font>
      <name val="Calibri"/>
      <b val="1"/>
      <sz val="11"/>
    </font>
    <font>
      <name val="Calibri"/>
      <b val="1"/>
      <color rgb="FFFFFFFF"/>
      <sz val="15"/>
    </font>
    <font>
      <name val="Calibri"/>
      <b val="1"/>
      <color rgb="FF1F4E78"/>
      <sz val="11"/>
    </font>
    <font>
      <name val="Calibri"/>
      <b val="1"/>
      <sz val="12"/>
    </font>
    <font>
      <name val="Calibri"/>
      <b val="1"/>
      <color rgb="FFFFFFFF"/>
      <sz val="12"/>
    </font>
    <font>
      <name val="Calibri"/>
      <b val="1"/>
      <color rgb="FF1F4E78"/>
      <sz val="11"/>
    </font>
    <font>
      <name val="Calibri"/>
      <b val="1"/>
      <sz val="11"/>
    </font>
    <font>
      <name val="Calibri"/>
      <b val="1"/>
      <color rgb="FFFFFFFF"/>
      <sz val="11"/>
    </font>
    <font>
      <b val="1"/>
      <color rgb="00FFFFFF"/>
    </font>
    <font>
      <b val="1"/>
      <color rgb="00FFFFFF"/>
      <sz val="16"/>
    </font>
    <font>
      <b val="1"/>
      <color rgb="001F4E78"/>
      <sz val="9"/>
    </font>
    <font>
      <b val="1"/>
      <color rgb="001F4E78"/>
      <sz val="15"/>
    </font>
    <font>
      <b val="1"/>
      <color rgb="00FFFFFF"/>
      <sz val="12"/>
    </font>
    <font>
      <b val="1"/>
      <color rgb="001F4E78"/>
    </font>
    <font>
      <b val="1"/>
    </font>
    <font>
      <b val="1"/>
      <color rgb="00FFFFFF"/>
      <sz val="15"/>
    </font>
    <font>
      <b val="1"/>
      <color rgb="001F4E78"/>
      <sz val="11"/>
    </font>
    <font>
      <b val="1"/>
      <sz val="12"/>
    </font>
    <font>
      <i val="1"/>
      <color rgb="00595959"/>
      <sz val="10"/>
    </font>
    <font>
      <name val="Calibri"/>
      <b val="1"/>
      <color rgb="00FFFFFF"/>
      <sz val="14"/>
    </font>
    <font>
      <name val="Calibri"/>
      <i val="1"/>
      <color rgb="00595959"/>
      <sz val="10"/>
    </font>
    <font>
      <name val="Calibri"/>
      <b val="1"/>
      <color rgb="00FFFFFF"/>
      <sz val="10"/>
    </font>
    <font>
      <name val="Calibri"/>
      <b val="1"/>
      <color rgb="00FFFFFF"/>
      <sz val="11"/>
    </font>
    <font>
      <name val="Calibri"/>
      <b val="1"/>
      <color rgb="00FFFFFF"/>
      <sz val="8"/>
    </font>
    <font>
      <name val="Calibri"/>
      <b val="1"/>
      <color rgb="00000000"/>
      <sz val="10"/>
    </font>
    <font>
      <name val="Calibri"/>
      <b val="1"/>
      <sz val="9"/>
    </font>
    <font>
      <name val="Calibri"/>
      <sz val="9"/>
    </font>
    <font>
      <name val="Calibri"/>
      <b val="1"/>
      <color rgb="00FFFFFF"/>
      <sz val="9"/>
    </font>
    <font>
      <name val="Segoe UI Symbol"/>
      <color rgb="00262626"/>
      <sz val="14"/>
    </font>
    <font>
      <name val="Calibri"/>
      <color rgb="00262626"/>
      <sz val="11"/>
    </font>
    <font>
      <name val="Calibri"/>
      <b val="1"/>
      <color rgb="00262626"/>
      <sz val="10"/>
    </font>
    <font>
      <name val="Calibri"/>
      <b val="1"/>
      <color rgb="00262626"/>
      <sz val="11"/>
    </font>
  </fonts>
  <fills count="51">
    <fill>
      <patternFill/>
    </fill>
    <fill>
      <patternFill patternType="gray125"/>
    </fill>
    <fill>
      <patternFill patternType="solid">
        <fgColor theme="0" tint="-0.499984740745262"/>
        <bgColor rgb="FF8497B0"/>
      </patternFill>
    </fill>
    <fill>
      <patternFill patternType="solid">
        <fgColor theme="0" tint="-0.0499893185216834"/>
        <bgColor rgb="FFDEEBF7"/>
      </patternFill>
    </fill>
    <fill>
      <patternFill patternType="solid">
        <fgColor theme="0" tint="-0.1499984740745262"/>
        <bgColor rgb="FFD0CECE"/>
      </patternFill>
    </fill>
    <fill>
      <patternFill patternType="solid">
        <fgColor theme="0" tint="-0.3499862666707358"/>
        <bgColor rgb="FF8497B0"/>
      </patternFill>
    </fill>
    <fill>
      <patternFill patternType="solid">
        <fgColor theme="0"/>
        <bgColor rgb="FFF2F2F2"/>
      </patternFill>
    </fill>
    <fill>
      <patternFill patternType="solid">
        <fgColor theme="3" tint="0.3998840296639912"/>
        <bgColor rgb="FFA6A6A6"/>
      </patternFill>
    </fill>
    <fill>
      <patternFill patternType="solid">
        <fgColor rgb="FF81D41A"/>
        <bgColor rgb="FF77BC65"/>
      </patternFill>
    </fill>
    <fill>
      <patternFill patternType="solid">
        <fgColor rgb="FFFFFF00"/>
        <bgColor rgb="FFFFFF00"/>
      </patternFill>
    </fill>
    <fill>
      <patternFill patternType="solid">
        <fgColor rgb="FF77BC65"/>
        <bgColor rgb="FF70AD47"/>
      </patternFill>
    </fill>
    <fill>
      <patternFill patternType="solid">
        <fgColor theme="4" tint="0.7998901333658864"/>
        <bgColor rgb="FFDAE3F3"/>
      </patternFill>
    </fill>
    <fill>
      <patternFill patternType="solid">
        <fgColor rgb="FFFFFF00"/>
        <bgColor indexed="64"/>
      </patternFill>
    </fill>
    <fill>
      <patternFill patternType="solid">
        <fgColor rgb="FFFFFF00"/>
        <bgColor rgb="FF70AD47"/>
      </patternFill>
    </fill>
    <fill>
      <patternFill patternType="solid">
        <fgColor rgb="FFFFFF00"/>
        <bgColor rgb="FF77BC65"/>
      </patternFill>
    </fill>
    <fill>
      <patternFill patternType="solid">
        <fgColor rgb="FF92D050"/>
        <bgColor indexed="64"/>
      </patternFill>
    </fill>
    <fill>
      <patternFill patternType="solid">
        <fgColor theme="0"/>
        <bgColor rgb="FF8497B0"/>
      </patternFill>
    </fill>
    <fill>
      <patternFill patternType="solid">
        <fgColor theme="0"/>
        <bgColor indexed="64"/>
      </patternFill>
    </fill>
    <fill>
      <patternFill patternType="solid">
        <fgColor theme="0"/>
        <bgColor rgb="FFFFFF00"/>
      </patternFill>
    </fill>
    <fill>
      <patternFill patternType="solid">
        <fgColor theme="5" tint="0.3999755851924192"/>
        <bgColor indexed="64"/>
      </patternFill>
    </fill>
    <fill>
      <patternFill patternType="solid">
        <fgColor theme="5" tint="0.3999755851924192"/>
        <bgColor rgb="FFFFFF00"/>
      </patternFill>
    </fill>
    <fill>
      <patternFill patternType="solid">
        <fgColor theme="5" tint="0.3999755851924192"/>
        <bgColor rgb="FF8497B0"/>
      </patternFill>
    </fill>
    <fill>
      <patternFill patternType="solid">
        <fgColor rgb="FF2E75B6"/>
        <bgColor rgb="FFA6A6A6"/>
      </patternFill>
    </fill>
    <fill>
      <patternFill patternType="solid">
        <fgColor theme="3" tint="0.3999755851924192"/>
        <bgColor indexed="64"/>
      </patternFill>
    </fill>
    <fill>
      <patternFill patternType="solid">
        <fgColor theme="3" tint="-0.249977111117893"/>
        <bgColor indexed="64"/>
      </patternFill>
    </fill>
    <fill>
      <patternFill patternType="solid">
        <fgColor rgb="FFFFF2CC"/>
      </patternFill>
    </fill>
    <fill>
      <patternFill patternType="solid">
        <fgColor theme="0" tint="-0.0499893185216834"/>
        <bgColor indexed="64"/>
      </patternFill>
    </fill>
    <fill>
      <patternFill patternType="solid">
        <fgColor rgb="FF1F4E78"/>
      </patternFill>
    </fill>
    <fill>
      <patternFill patternType="solid">
        <fgColor rgb="FFDDEBF7"/>
      </patternFill>
    </fill>
    <fill>
      <patternFill patternType="solid">
        <fgColor rgb="FF2E75B6"/>
      </patternFill>
    </fill>
    <fill>
      <patternFill patternType="solid">
        <fgColor rgb="FFD9E2F3"/>
      </patternFill>
    </fill>
    <fill>
      <patternFill patternType="solid">
        <fgColor rgb="FF1F4E78"/>
      </patternFill>
    </fill>
    <fill>
      <patternFill patternType="solid">
        <fgColor rgb="FFFFF2CC"/>
      </patternFill>
    </fill>
    <fill>
      <patternFill patternType="solid">
        <fgColor rgb="FF2E75B6"/>
      </patternFill>
    </fill>
    <fill>
      <patternFill patternType="solid">
        <fgColor rgb="FFD9E2F3"/>
      </patternFill>
    </fill>
    <fill>
      <patternFill patternType="solid">
        <fgColor rgb="FFBDD7EE"/>
      </patternFill>
    </fill>
    <fill>
      <patternFill patternType="solid">
        <fgColor rgb="001F4E78"/>
      </patternFill>
    </fill>
    <fill>
      <patternFill patternType="solid">
        <fgColor rgb="00DDEBF7"/>
      </patternFill>
    </fill>
    <fill>
      <patternFill patternType="solid">
        <fgColor rgb="002E75B6"/>
      </patternFill>
    </fill>
    <fill>
      <patternFill patternType="solid">
        <fgColor rgb="00D9E2F3"/>
      </patternFill>
    </fill>
    <fill>
      <patternFill patternType="solid">
        <fgColor rgb="00FFF2CC"/>
      </patternFill>
    </fill>
    <fill>
      <patternFill patternType="solid">
        <fgColor rgb="00BDD7EE"/>
      </patternFill>
    </fill>
    <fill>
      <patternFill patternType="solid">
        <fgColor rgb="001F4E79"/>
      </patternFill>
    </fill>
    <fill>
      <patternFill patternType="solid">
        <fgColor rgb="00404040"/>
      </patternFill>
    </fill>
    <fill>
      <patternFill patternType="solid">
        <fgColor rgb="00C55A11"/>
      </patternFill>
    </fill>
    <fill>
      <patternFill patternType="solid">
        <fgColor rgb="00FFD966"/>
      </patternFill>
    </fill>
    <fill>
      <patternFill patternType="solid">
        <fgColor rgb="00D6E4F0"/>
      </patternFill>
    </fill>
    <fill>
      <patternFill patternType="solid">
        <fgColor rgb="00EBF3FB"/>
      </patternFill>
    </fill>
    <fill>
      <patternFill patternType="solid">
        <fgColor rgb="00FBE9D9"/>
      </patternFill>
    </fill>
    <fill>
      <patternFill patternType="solid">
        <fgColor rgb="00F4B183"/>
      </patternFill>
    </fill>
    <fill>
      <patternFill patternType="solid">
        <fgColor indexed="65"/>
        <bgColor indexed="64"/>
      </patternFill>
    </fill>
  </fills>
  <borders count="55">
    <border>
      <left/>
      <right/>
      <top/>
      <bottom/>
      <diagonal/>
    </border>
    <border>
      <left/>
      <right/>
      <top style="thick">
        <color theme="0"/>
      </top>
      <bottom/>
      <diagonal/>
    </border>
    <border>
      <left/>
      <right/>
      <top style="thin">
        <color theme="0"/>
      </top>
      <bottom/>
      <diagonal/>
    </border>
    <border>
      <left style="thin">
        <color theme="0"/>
      </left>
      <right/>
      <top/>
      <bottom/>
      <diagonal/>
    </border>
    <border>
      <left style="thin">
        <color theme="0"/>
      </left>
      <right/>
      <top style="thick">
        <color theme="0"/>
      </top>
      <bottom/>
      <diagonal/>
    </border>
    <border>
      <left style="thin">
        <color theme="0"/>
      </left>
      <right/>
      <top style="thin">
        <color theme="0"/>
      </top>
      <bottom/>
      <diagonal/>
    </border>
    <border>
      <left style="thin">
        <color theme="0" tint="-0.249977111117893"/>
      </left>
      <right/>
      <top/>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diagonal/>
    </border>
    <border>
      <left style="thin">
        <color auto="1"/>
      </left>
      <right style="thin">
        <color auto="1"/>
      </right>
      <top style="thin">
        <color auto="1"/>
      </top>
      <bottom style="thin">
        <color auto="1"/>
      </bottom>
      <diagonal/>
    </border>
    <border>
      <left style="thin">
        <color theme="0" tint="-0.3499862666707358"/>
      </left>
      <right/>
      <top style="thin">
        <color theme="0" tint="-0.3499862666707358"/>
      </top>
      <bottom/>
      <diagonal/>
    </border>
    <border>
      <left style="thin">
        <color theme="0" tint="-0.3499862666707358"/>
      </left>
      <right style="thin">
        <color theme="0" tint="-0.3499862666707358"/>
      </right>
      <top style="thin">
        <color theme="0" tint="-0.3499862666707358"/>
      </top>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bottom/>
      <diagonal/>
    </border>
    <border>
      <left/>
      <right/>
      <top style="thin">
        <color indexed="64"/>
      </top>
      <bottom style="thin">
        <color indexed="64"/>
      </bottom>
      <diagonal/>
    </border>
    <border>
      <left style="thin">
        <color rgb="FFB7C6D9"/>
      </left>
      <right style="thin">
        <color rgb="FFB7C6D9"/>
      </right>
      <top style="thin">
        <color rgb="FFB7C6D9"/>
      </top>
      <bottom style="thin">
        <color rgb="FFB7C6D9"/>
      </bottom>
      <diagonal/>
    </border>
    <border>
      <left/>
      <right style="thin">
        <color rgb="FFB7C6D9"/>
      </right>
      <top style="thin">
        <color rgb="FFB7C6D9"/>
      </top>
      <bottom/>
      <diagonal/>
    </border>
    <border>
      <left/>
      <right style="thin">
        <color rgb="FFB7C6D9"/>
      </right>
      <top style="thin">
        <color rgb="FFB7C6D9"/>
      </top>
      <bottom style="thin">
        <color rgb="FFB7C6D9"/>
      </bottom>
      <diagonal/>
    </border>
    <border>
      <left style="thin">
        <color rgb="FFB7C6D9"/>
      </left>
      <right/>
      <top/>
      <bottom style="thin">
        <color rgb="FFB7C6D9"/>
      </bottom>
      <diagonal/>
    </border>
    <border>
      <left/>
      <right style="thin">
        <color rgb="FFB7C6D9"/>
      </right>
      <top/>
      <bottom style="thin">
        <color rgb="FFB7C6D9"/>
      </bottom>
      <diagonal/>
    </border>
    <border>
      <left style="thin">
        <color rgb="FFB7C6D9"/>
      </left>
      <right style="thin">
        <color rgb="FFB7C6D9"/>
      </right>
      <top style="thin">
        <color rgb="FFB7C6D9"/>
      </top>
      <bottom style="thin">
        <color rgb="FFB7C6D9"/>
      </bottom>
      <diagonal/>
    </border>
    <border>
      <left/>
      <right/>
      <top style="thin">
        <color rgb="FFB7C6D9"/>
      </top>
      <bottom/>
      <diagonal/>
    </border>
    <border>
      <left/>
      <right/>
      <top style="thin">
        <color rgb="FFB7C6D9"/>
      </top>
      <bottom style="thin">
        <color rgb="FFB7C6D9"/>
      </bottom>
      <diagonal/>
    </border>
    <border>
      <left style="thin">
        <color rgb="FFB7C6D9"/>
      </left>
      <right/>
      <top/>
      <bottom/>
      <diagonal/>
    </border>
    <border>
      <left style="thin">
        <color rgb="FFB7C6D9"/>
      </left>
      <right style="thin">
        <color rgb="FFB7C6D9"/>
      </right>
      <top/>
      <bottom/>
      <diagonal/>
    </border>
    <border>
      <left style="thin">
        <color rgb="FFB7C6D9"/>
      </left>
      <right style="thin">
        <color rgb="FFB7C6D9"/>
      </right>
      <top/>
      <bottom style="thin">
        <color rgb="FFB7C6D9"/>
      </bottom>
      <diagonal/>
    </border>
    <border>
      <left/>
      <right style="thin">
        <color rgb="FFB7C6D9"/>
      </right>
      <top/>
      <bottom/>
      <diagonal/>
    </border>
    <border>
      <left style="thin">
        <color rgb="00B7C6D9"/>
      </left>
      <right style="thin">
        <color rgb="00B7C6D9"/>
      </right>
      <top style="thin">
        <color rgb="00B7C6D9"/>
      </top>
      <bottom style="thin">
        <color rgb="00B7C6D9"/>
      </bottom>
    </border>
    <border>
      <left/>
      <right/>
      <top style="thin">
        <color rgb="00B7C6D9"/>
      </top>
      <bottom/>
      <diagonal/>
    </border>
    <border>
      <left/>
      <right style="thin">
        <color rgb="00B7C6D9"/>
      </right>
      <top style="thin">
        <color rgb="00B7C6D9"/>
      </top>
      <bottom/>
      <diagonal/>
    </border>
    <border>
      <left/>
      <right style="thin">
        <color rgb="00B7C6D9"/>
      </right>
      <top style="thin">
        <color rgb="00B7C6D9"/>
      </top>
      <bottom style="thin">
        <color rgb="00B7C6D9"/>
      </bottom>
      <diagonal/>
    </border>
    <border>
      <left style="thin">
        <color rgb="00B7C6D9"/>
      </left>
      <right/>
      <top/>
      <bottom/>
      <diagonal/>
    </border>
    <border>
      <left/>
      <right style="thin">
        <color rgb="00B7C6D9"/>
      </right>
      <top/>
      <bottom/>
      <diagonal/>
    </border>
    <border>
      <left style="thin">
        <color rgb="00B7C6D9"/>
      </left>
      <right/>
      <top/>
      <bottom style="thin">
        <color rgb="00B7C6D9"/>
      </bottom>
      <diagonal/>
    </border>
    <border>
      <left/>
      <right style="thin">
        <color rgb="00B7C6D9"/>
      </right>
      <top/>
      <bottom style="thin">
        <color rgb="00B7C6D9"/>
      </bottom>
      <diagonal/>
    </border>
    <border>
      <left style="thin">
        <color rgb="00B7C6D9"/>
      </left>
      <right style="thin">
        <color rgb="00B7C6D9"/>
      </right>
      <top/>
      <bottom/>
      <diagonal/>
    </border>
    <border>
      <left style="thin">
        <color rgb="00B7C6D9"/>
      </left>
      <right style="thin">
        <color rgb="00B7C6D9"/>
      </right>
      <top/>
      <bottom style="thin">
        <color rgb="00B7C6D9"/>
      </bottom>
      <diagonal/>
    </border>
    <border>
      <left/>
      <right/>
      <top style="thin">
        <color rgb="00B7C6D9"/>
      </top>
      <bottom style="thin">
        <color rgb="00B7C6D9"/>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style="thin">
        <color rgb="00FFFFFF"/>
      </left>
      <right style="thin">
        <color rgb="00FFFFFF"/>
      </right>
      <top style="thin">
        <color rgb="00FFFFFF"/>
      </top>
      <bottom style="thin">
        <color rgb="00FFFFFF"/>
      </bottom>
    </border>
    <border>
      <left style="medium">
        <color rgb="00FFFFFF"/>
      </left>
      <right style="thin">
        <color rgb="00FFFFFF"/>
      </right>
      <top style="thin">
        <color rgb="00FFFFFF"/>
      </top>
      <bottom style="thin">
        <color rgb="00FFFFFF"/>
      </bottom>
    </border>
    <border>
      <left style="thin">
        <color rgb="00D9D9D9"/>
      </left>
      <right style="thin">
        <color rgb="00D9D9D9"/>
      </right>
      <top style="thin">
        <color rgb="00D9D9D9"/>
      </top>
      <bottom style="thin">
        <color rgb="00D9D9D9"/>
      </bottom>
    </border>
    <border>
      <left style="medium">
        <color rgb="008EA9C1"/>
      </left>
      <right style="thin">
        <color rgb="00D9D9D9"/>
      </right>
      <top style="thin">
        <color rgb="00D9D9D9"/>
      </top>
      <bottom style="thin">
        <color rgb="00D9D9D9"/>
      </bottom>
    </border>
  </borders>
  <cellStyleXfs count="16">
    <xf numFmtId="0" fontId="12" fillId="0" borderId="0"/>
    <xf numFmtId="169" fontId="12" fillId="0" borderId="0"/>
    <xf numFmtId="165" fontId="12" fillId="0" borderId="0"/>
    <xf numFmtId="0" fontId="1" fillId="0" borderId="0"/>
    <xf numFmtId="166" fontId="12" fillId="0" borderId="0"/>
    <xf numFmtId="166" fontId="12" fillId="0" borderId="0"/>
    <xf numFmtId="166" fontId="12" fillId="0" borderId="0"/>
    <xf numFmtId="175" fontId="12" fillId="0" borderId="0"/>
    <xf numFmtId="175" fontId="12" fillId="0" borderId="0"/>
    <xf numFmtId="166" fontId="12" fillId="0" borderId="0"/>
    <xf numFmtId="176" fontId="12" fillId="0" borderId="0"/>
    <xf numFmtId="0" fontId="2" fillId="0" borderId="0" applyAlignment="1">
      <alignment horizontal="center" vertical="center" wrapText="1"/>
    </xf>
    <xf numFmtId="0" fontId="3" fillId="0" borderId="0"/>
    <xf numFmtId="0" fontId="2" fillId="0" borderId="0" applyAlignment="1">
      <alignment horizontal="center" vertical="center" wrapText="1"/>
    </xf>
    <xf numFmtId="0" fontId="12" fillId="0" borderId="0"/>
    <xf numFmtId="0" fontId="14" fillId="0" borderId="0" applyAlignment="1">
      <alignment horizontal="center" vertical="center" wrapText="1"/>
    </xf>
  </cellStyleXfs>
  <cellXfs count="712">
    <xf numFmtId="0" fontId="0" fillId="0" borderId="0" pivotButton="0" quotePrefix="0" xfId="0"/>
    <xf numFmtId="0" fontId="4" fillId="2" borderId="0" pivotButton="0" quotePrefix="0" xfId="0"/>
    <xf numFmtId="0" fontId="5" fillId="3" borderId="1" pivotButton="0" quotePrefix="0" xfId="0"/>
    <xf numFmtId="0" fontId="5" fillId="4" borderId="2" pivotButton="0" quotePrefix="0" xfId="0"/>
    <xf numFmtId="0" fontId="6" fillId="4" borderId="2" pivotButton="0" quotePrefix="0" xfId="0"/>
    <xf numFmtId="0" fontId="5" fillId="4" borderId="0" pivotButton="0" quotePrefix="0" xfId="0"/>
    <xf numFmtId="0" fontId="7" fillId="5" borderId="0" pivotButton="0" quotePrefix="0" xfId="0"/>
    <xf numFmtId="0" fontId="5" fillId="6" borderId="0" pivotButton="0" quotePrefix="0" xfId="0"/>
    <xf numFmtId="0" fontId="5" fillId="3" borderId="0" pivotButton="0" quotePrefix="0" xfId="0"/>
    <xf numFmtId="0" fontId="7" fillId="2" borderId="0" pivotButton="0" quotePrefix="0" xfId="0"/>
    <xf numFmtId="0" fontId="5" fillId="4" borderId="1" pivotButton="0" quotePrefix="0" xfId="0"/>
    <xf numFmtId="0" fontId="5" fillId="3" borderId="2" pivotButton="0" quotePrefix="0" xfId="0"/>
    <xf numFmtId="0" fontId="8" fillId="7" borderId="7" applyAlignment="1" pivotButton="0" quotePrefix="0" xfId="0">
      <alignment horizontal="center" vertical="center" wrapText="1"/>
    </xf>
    <xf numFmtId="0" fontId="8" fillId="7" borderId="8" applyAlignment="1" pivotButton="0" quotePrefix="0" xfId="0">
      <alignment horizontal="center" vertical="center" wrapText="1"/>
    </xf>
    <xf numFmtId="0" fontId="0" fillId="0" borderId="0" applyAlignment="1" pivotButton="0" quotePrefix="0" xfId="0">
      <alignment horizontal="center" wrapText="1"/>
    </xf>
    <xf numFmtId="0" fontId="9" fillId="0" borderId="0" applyAlignment="1" pivotButton="0" quotePrefix="0" xfId="0">
      <alignment horizontal="center" vertical="center" wrapText="1"/>
    </xf>
    <xf numFmtId="14"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9" fillId="0" borderId="0" applyAlignment="1" pivotButton="0" quotePrefix="0" xfId="0">
      <alignment horizontal="center" wrapText="1"/>
    </xf>
    <xf numFmtId="0" fontId="0" fillId="0" borderId="0" applyAlignment="1" pivotButton="0" quotePrefix="0" xfId="0">
      <alignment wrapText="1"/>
    </xf>
    <xf numFmtId="14" fontId="0" fillId="0" borderId="0" applyAlignment="1" pivotButton="0" quotePrefix="0" xfId="0">
      <alignment vertical="center" wrapText="1"/>
    </xf>
    <xf numFmtId="0" fontId="0"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wrapText="1"/>
    </xf>
    <xf numFmtId="0" fontId="9" fillId="11" borderId="9" pivotButton="0" quotePrefix="0" xfId="0"/>
    <xf numFmtId="0" fontId="9" fillId="0" borderId="9" applyAlignment="1" pivotButton="0" quotePrefix="0" xfId="0">
      <alignment horizontal="left"/>
    </xf>
    <xf numFmtId="0" fontId="0" fillId="12" borderId="0" pivotButton="0" quotePrefix="0" xfId="0"/>
    <xf numFmtId="0" fontId="0" fillId="0" borderId="9" pivotButton="0" quotePrefix="0" xfId="0"/>
    <xf numFmtId="0" fontId="0" fillId="19" borderId="0" applyAlignment="1" pivotButton="0" quotePrefix="0" xfId="0">
      <alignment horizontal="center" vertical="center" wrapText="1"/>
    </xf>
    <xf numFmtId="0" fontId="0" fillId="19" borderId="0" pivotButton="0" quotePrefix="0" xfId="0"/>
    <xf numFmtId="14" fontId="13" fillId="0" borderId="9" applyAlignment="1" pivotButton="0" quotePrefix="0" xfId="0">
      <alignment horizontal="center" vertical="center" wrapText="1"/>
    </xf>
    <xf numFmtId="0" fontId="13" fillId="15" borderId="13" applyAlignment="1" pivotButton="0" quotePrefix="0" xfId="0">
      <alignment horizontal="center" vertical="center" wrapText="1"/>
    </xf>
    <xf numFmtId="0" fontId="13" fillId="9" borderId="9" applyAlignment="1" pivotButton="0" quotePrefix="0" xfId="0">
      <alignment horizontal="center" vertical="center" wrapText="1"/>
    </xf>
    <xf numFmtId="0" fontId="13" fillId="9" borderId="13" applyAlignment="1" pivotButton="0" quotePrefix="0" xfId="0">
      <alignment horizontal="center" vertical="center" wrapText="1"/>
    </xf>
    <xf numFmtId="0" fontId="13" fillId="2" borderId="13" applyAlignment="1" pivotButton="0" quotePrefix="0" xfId="0">
      <alignment horizontal="center" vertical="center" wrapText="1"/>
    </xf>
    <xf numFmtId="0" fontId="13" fillId="20" borderId="13" applyAlignment="1" pivotButton="0" quotePrefix="0" xfId="0">
      <alignment horizontal="center" vertical="center" wrapText="1"/>
    </xf>
    <xf numFmtId="0" fontId="13" fillId="19" borderId="9" applyAlignment="1" pivotButton="0" quotePrefix="0" xfId="0">
      <alignment horizontal="left" vertical="center" wrapText="1"/>
    </xf>
    <xf numFmtId="0" fontId="15" fillId="19" borderId="9" applyAlignment="1" pivotButton="0" quotePrefix="0" xfId="0">
      <alignment horizontal="center" vertical="center" wrapText="1"/>
    </xf>
    <xf numFmtId="0" fontId="15" fillId="19" borderId="9" applyAlignment="1" pivotButton="0" quotePrefix="0" xfId="0">
      <alignment horizontal="left" vertical="center" wrapText="1"/>
    </xf>
    <xf numFmtId="0" fontId="13" fillId="14" borderId="13" applyAlignment="1" pivotButton="0" quotePrefix="0" xfId="0">
      <alignment horizontal="center" vertical="center" wrapText="1"/>
    </xf>
    <xf numFmtId="0" fontId="13" fillId="2" borderId="9" applyAlignment="1" pivotButton="0" quotePrefix="0" xfId="0">
      <alignment horizontal="center" vertical="center" wrapText="1"/>
    </xf>
    <xf numFmtId="0" fontId="13" fillId="12" borderId="9" applyAlignment="1" pivotButton="0" quotePrefix="0" xfId="0">
      <alignment horizontal="center" vertical="center" wrapText="1"/>
    </xf>
    <xf numFmtId="0" fontId="13" fillId="17" borderId="9" applyAlignment="1" pivotButton="0" quotePrefix="0" xfId="0">
      <alignment horizontal="center" vertical="center" wrapText="1"/>
    </xf>
    <xf numFmtId="0" fontId="13" fillId="12" borderId="14" applyAlignment="1" pivotButton="0" quotePrefix="0" xfId="0">
      <alignment horizontal="center" vertical="center" wrapText="1"/>
    </xf>
    <xf numFmtId="0" fontId="13" fillId="0" borderId="12" applyAlignment="1" pivotButton="0" quotePrefix="0" xfId="0">
      <alignment horizontal="left" vertical="center" wrapText="1"/>
    </xf>
    <xf numFmtId="0" fontId="15" fillId="0" borderId="12" applyAlignment="1" pivotButton="0" quotePrefix="0" xfId="0">
      <alignment horizontal="center" vertical="center" wrapText="1"/>
    </xf>
    <xf numFmtId="0" fontId="15" fillId="0" borderId="12" applyAlignment="1" pivotButton="0" quotePrefix="0" xfId="0">
      <alignment horizontal="left" vertical="center" wrapText="1"/>
    </xf>
    <xf numFmtId="0" fontId="13" fillId="0" borderId="9" applyAlignment="1" pivotButton="0" quotePrefix="0" xfId="0">
      <alignment horizontal="left" vertical="center" wrapText="1"/>
    </xf>
    <xf numFmtId="0" fontId="15" fillId="0" borderId="9" applyAlignment="1" pivotButton="0" quotePrefix="0" xfId="0">
      <alignment horizontal="center" vertical="center" wrapText="1"/>
    </xf>
    <xf numFmtId="0" fontId="15" fillId="0" borderId="9" applyAlignment="1" pivotButton="0" quotePrefix="0" xfId="0">
      <alignment horizontal="left" vertical="center" wrapText="1"/>
    </xf>
    <xf numFmtId="14" fontId="17" fillId="22" borderId="9" applyAlignment="1" pivotButton="0" quotePrefix="0" xfId="0">
      <alignment horizontal="center" vertical="center" wrapText="1"/>
    </xf>
    <xf numFmtId="0" fontId="17" fillId="22" borderId="9" applyAlignment="1" pivotButton="0" quotePrefix="0" xfId="1">
      <alignment horizontal="center" vertical="center" wrapText="1"/>
    </xf>
    <xf numFmtId="0" fontId="17" fillId="22" borderId="10" applyAlignment="1" pivotButton="0" quotePrefix="0" xfId="0">
      <alignment horizontal="center" vertical="center" wrapText="1"/>
    </xf>
    <xf numFmtId="0" fontId="13" fillId="9" borderId="9" applyAlignment="1" pivotButton="0" quotePrefix="0" xfId="0">
      <alignment horizontal="left" vertical="center" wrapText="1"/>
    </xf>
    <xf numFmtId="0" fontId="13" fillId="20" borderId="9" applyAlignment="1" pivotButton="0" quotePrefix="0" xfId="0">
      <alignment horizontal="left" vertical="center" wrapText="1"/>
    </xf>
    <xf numFmtId="0" fontId="13" fillId="18" borderId="9" applyAlignment="1" pivotButton="0" quotePrefix="0" xfId="0">
      <alignment horizontal="left" vertical="center" wrapText="1"/>
    </xf>
    <xf numFmtId="0" fontId="13" fillId="12" borderId="9" applyAlignment="1" pivotButton="0" quotePrefix="0" xfId="0">
      <alignment horizontal="left" vertical="center" wrapText="1"/>
    </xf>
    <xf numFmtId="14" fontId="13" fillId="0" borderId="12" applyAlignment="1" pivotButton="0" quotePrefix="0" xfId="0">
      <alignment horizontal="left" vertical="center" wrapText="1"/>
    </xf>
    <xf numFmtId="14" fontId="13" fillId="0" borderId="9" applyAlignment="1" pivotButton="0" quotePrefix="0" xfId="0">
      <alignment horizontal="left" vertical="center" wrapText="1"/>
    </xf>
    <xf numFmtId="14" fontId="13" fillId="19" borderId="9" applyAlignment="1" pivotButton="0" quotePrefix="0" xfId="0">
      <alignment horizontal="left" vertical="center" wrapText="1"/>
    </xf>
    <xf numFmtId="14" fontId="13" fillId="9" borderId="9" applyAlignment="1" pivotButton="0" quotePrefix="0" xfId="0">
      <alignment horizontal="left" vertical="center" wrapText="1"/>
    </xf>
    <xf numFmtId="14" fontId="13" fillId="12" borderId="9" applyAlignment="1" pivotButton="0" quotePrefix="0" xfId="0">
      <alignment horizontal="left" vertical="center" wrapText="1"/>
    </xf>
    <xf numFmtId="0" fontId="13" fillId="2" borderId="9" applyAlignment="1" pivotButton="0" quotePrefix="0" xfId="0">
      <alignment horizontal="left" vertical="center" wrapText="1"/>
    </xf>
    <xf numFmtId="0" fontId="16" fillId="0" borderId="9" applyAlignment="1" pivotButton="0" quotePrefix="0" xfId="0">
      <alignment horizontal="left" vertical="center"/>
    </xf>
    <xf numFmtId="0" fontId="13" fillId="0" borderId="0" applyAlignment="1" pivotButton="0" quotePrefix="0" xfId="0">
      <alignment horizontal="left" vertical="center"/>
    </xf>
    <xf numFmtId="0" fontId="13" fillId="0" borderId="0" applyAlignment="1" pivotButton="0" quotePrefix="0" xfId="0">
      <alignment horizontal="left" vertical="center" wrapText="1"/>
    </xf>
    <xf numFmtId="14" fontId="13" fillId="2" borderId="9" applyAlignment="1" pivotButton="0" quotePrefix="0" xfId="0">
      <alignment horizontal="center" vertical="center" wrapText="1"/>
    </xf>
    <xf numFmtId="14" fontId="15" fillId="2" borderId="9" applyAlignment="1" pivotButton="0" quotePrefix="0" xfId="1">
      <alignment horizontal="center" vertical="center" wrapText="1"/>
    </xf>
    <xf numFmtId="14" fontId="15" fillId="21" borderId="9" applyAlignment="1" pivotButton="0" quotePrefix="0" xfId="1">
      <alignment horizontal="center" vertical="center" wrapText="1"/>
    </xf>
    <xf numFmtId="14" fontId="15" fillId="2" borderId="12" applyAlignment="1" pivotButton="0" quotePrefix="0" xfId="1">
      <alignment horizontal="center" vertical="center" wrapText="1"/>
    </xf>
    <xf numFmtId="14" fontId="15" fillId="12" borderId="9" applyAlignment="1" pivotButton="0" quotePrefix="0" xfId="0">
      <alignment horizontal="center" vertical="center" wrapText="1"/>
    </xf>
    <xf numFmtId="14" fontId="15" fillId="9" borderId="9" applyAlignment="1" pivotButton="0" quotePrefix="0" xfId="0">
      <alignment horizontal="center" vertical="center" wrapText="1"/>
    </xf>
    <xf numFmtId="14" fontId="15" fillId="20" borderId="9" applyAlignment="1" pivotButton="0" quotePrefix="0" xfId="0">
      <alignment horizontal="center" vertical="center" wrapText="1"/>
    </xf>
    <xf numFmtId="14" fontId="15" fillId="17" borderId="9" applyAlignment="1" pivotButton="0" quotePrefix="0" xfId="0">
      <alignment horizontal="center" vertical="center" wrapText="1"/>
    </xf>
    <xf numFmtId="14" fontId="15" fillId="0" borderId="9" applyAlignment="1" pivotButton="0" quotePrefix="0" xfId="1">
      <alignment horizontal="center" vertical="center" wrapText="1"/>
    </xf>
    <xf numFmtId="14" fontId="15" fillId="0" borderId="12" applyAlignment="1" pivotButton="0" quotePrefix="0" xfId="0">
      <alignment horizontal="center" vertical="center" wrapText="1"/>
    </xf>
    <xf numFmtId="14" fontId="15" fillId="0" borderId="9" applyAlignment="1" pivotButton="0" quotePrefix="0" xfId="0">
      <alignment horizontal="center" vertical="center" wrapText="1"/>
    </xf>
    <xf numFmtId="14" fontId="15" fillId="17" borderId="12" applyAlignment="1" pivotButton="0" quotePrefix="0" xfId="0">
      <alignment horizontal="center" vertical="center" wrapText="1"/>
    </xf>
    <xf numFmtId="14" fontId="15" fillId="19" borderId="9" applyAlignment="1" pivotButton="0" quotePrefix="0" xfId="0">
      <alignment horizontal="center" vertical="center" wrapText="1"/>
    </xf>
    <xf numFmtId="0" fontId="19" fillId="12" borderId="14" applyAlignment="1" pivotButton="0" quotePrefix="0" xfId="0">
      <alignment horizontal="center" vertical="center" wrapText="1"/>
    </xf>
    <xf numFmtId="0" fontId="20" fillId="0" borderId="12" applyAlignment="1" pivotButton="0" quotePrefix="0" xfId="0">
      <alignment horizontal="center" vertical="center" wrapText="1"/>
    </xf>
    <xf numFmtId="14" fontId="19" fillId="0" borderId="12" applyAlignment="1" pivotButton="0" quotePrefix="0" xfId="0">
      <alignment horizontal="left" vertical="center" wrapText="1"/>
    </xf>
    <xf numFmtId="0" fontId="19" fillId="0" borderId="12" applyAlignment="1" pivotButton="0" quotePrefix="0" xfId="0">
      <alignment horizontal="left" vertical="center" wrapText="1"/>
    </xf>
    <xf numFmtId="0" fontId="20" fillId="0" borderId="12" applyAlignment="1" pivotButton="0" quotePrefix="0" xfId="0">
      <alignment horizontal="left" vertical="center" wrapText="1"/>
    </xf>
    <xf numFmtId="14" fontId="20" fillId="2" borderId="12" applyAlignment="1" pivotButton="0" quotePrefix="0" xfId="1">
      <alignment horizontal="center" vertical="center" wrapText="1"/>
    </xf>
    <xf numFmtId="14" fontId="19" fillId="0" borderId="12" applyAlignment="1" pivotButton="0" quotePrefix="0" xfId="0">
      <alignment horizontal="center" vertical="center" wrapText="1"/>
    </xf>
    <xf numFmtId="14" fontId="20" fillId="17" borderId="12" applyAlignment="1" pivotButton="0" quotePrefix="0" xfId="0">
      <alignment horizontal="center" vertical="center" wrapText="1"/>
    </xf>
    <xf numFmtId="14" fontId="20" fillId="0" borderId="15" applyAlignment="1" pivotButton="0" quotePrefix="0" xfId="0">
      <alignment horizontal="center" vertical="center" wrapText="1"/>
    </xf>
    <xf numFmtId="14" fontId="13" fillId="0" borderId="12" applyAlignment="1" pivotButton="0" quotePrefix="0" xfId="0">
      <alignment horizontal="center" vertical="center" wrapText="1"/>
    </xf>
    <xf numFmtId="14" fontId="15" fillId="0" borderId="15" applyAlignment="1" pivotButton="0" quotePrefix="0" xfId="0">
      <alignment horizontal="center" vertical="center" wrapText="1"/>
    </xf>
    <xf numFmtId="0" fontId="21" fillId="12" borderId="14" applyAlignment="1" pivotButton="0" quotePrefix="0" xfId="0">
      <alignment horizontal="center" vertical="center" wrapText="1"/>
    </xf>
    <xf numFmtId="0" fontId="22" fillId="0" borderId="12" applyAlignment="1" pivotButton="0" quotePrefix="0" xfId="0">
      <alignment horizontal="center" vertical="center" wrapText="1"/>
    </xf>
    <xf numFmtId="14" fontId="21" fillId="0" borderId="12" applyAlignment="1" pivotButton="0" quotePrefix="0" xfId="0">
      <alignment horizontal="left" vertical="center" wrapText="1"/>
    </xf>
    <xf numFmtId="0" fontId="21" fillId="0" borderId="12" applyAlignment="1" pivotButton="0" quotePrefix="0" xfId="0">
      <alignment horizontal="left" vertical="center" wrapText="1"/>
    </xf>
    <xf numFmtId="0" fontId="22" fillId="0" borderId="12" applyAlignment="1" pivotButton="0" quotePrefix="0" xfId="0">
      <alignment horizontal="left" vertical="center" wrapText="1"/>
    </xf>
    <xf numFmtId="14" fontId="22" fillId="2" borderId="12" applyAlignment="1" pivotButton="0" quotePrefix="0" xfId="1">
      <alignment horizontal="center" vertical="center" wrapText="1"/>
    </xf>
    <xf numFmtId="14" fontId="21" fillId="0" borderId="12" applyAlignment="1" pivotButton="0" quotePrefix="0" xfId="0">
      <alignment horizontal="center" vertical="center" wrapText="1"/>
    </xf>
    <xf numFmtId="14" fontId="22" fillId="17" borderId="12" applyAlignment="1" pivotButton="0" quotePrefix="0" xfId="0">
      <alignment horizontal="center" vertical="center" wrapText="1"/>
    </xf>
    <xf numFmtId="14" fontId="22" fillId="0" borderId="15" applyAlignment="1" pivotButton="0" quotePrefix="0" xfId="0">
      <alignment horizontal="center" vertical="center" wrapText="1"/>
    </xf>
    <xf numFmtId="0" fontId="24" fillId="0" borderId="12" applyAlignment="1" pivotButton="0" quotePrefix="0" xfId="0">
      <alignment horizontal="center" vertical="center" wrapText="1"/>
    </xf>
    <xf numFmtId="14" fontId="23" fillId="0" borderId="12" applyAlignment="1" pivotButton="0" quotePrefix="0" xfId="0">
      <alignment horizontal="left" vertical="center" wrapText="1"/>
    </xf>
    <xf numFmtId="0" fontId="23" fillId="0" borderId="12" applyAlignment="1" pivotButton="0" quotePrefix="0" xfId="0">
      <alignment horizontal="left" vertical="center" wrapText="1"/>
    </xf>
    <xf numFmtId="0" fontId="24" fillId="0" borderId="12" applyAlignment="1" pivotButton="0" quotePrefix="0" xfId="0">
      <alignment horizontal="left" vertical="center" wrapText="1"/>
    </xf>
    <xf numFmtId="14" fontId="24" fillId="2" borderId="12" applyAlignment="1" pivotButton="0" quotePrefix="0" xfId="1">
      <alignment horizontal="center" vertical="center" wrapText="1"/>
    </xf>
    <xf numFmtId="14" fontId="23" fillId="0" borderId="12" applyAlignment="1" pivotButton="0" quotePrefix="0" xfId="0">
      <alignment horizontal="center" vertical="center" wrapText="1"/>
    </xf>
    <xf numFmtId="14" fontId="24" fillId="17" borderId="12" applyAlignment="1" pivotButton="0" quotePrefix="0" xfId="0">
      <alignment horizontal="center" vertical="center" wrapText="1"/>
    </xf>
    <xf numFmtId="14" fontId="24" fillId="0" borderId="15" applyAlignment="1" pivotButton="0" quotePrefix="0" xfId="0">
      <alignment horizontal="center" vertical="center" wrapText="1"/>
    </xf>
    <xf numFmtId="0" fontId="17" fillId="22" borderId="13" applyAlignment="1" pivotButton="0" quotePrefix="0" xfId="0">
      <alignment horizontal="center" vertical="center" wrapText="1"/>
    </xf>
    <xf numFmtId="0" fontId="13" fillId="8" borderId="13" applyAlignment="1" pivotButton="0" quotePrefix="0" xfId="0">
      <alignment horizontal="center" vertical="center" wrapText="1"/>
    </xf>
    <xf numFmtId="0" fontId="13" fillId="12" borderId="13" applyAlignment="1" pivotButton="0" quotePrefix="0" xfId="0">
      <alignment horizontal="center" vertical="center" wrapText="1"/>
    </xf>
    <xf numFmtId="0" fontId="23" fillId="12" borderId="14" applyAlignment="1" pivotButton="0" quotePrefix="0" xfId="0">
      <alignment horizontal="center" vertical="center" wrapText="1"/>
    </xf>
    <xf numFmtId="0" fontId="23" fillId="0" borderId="14" applyAlignment="1" pivotButton="0" quotePrefix="0" xfId="1">
      <alignment horizontal="center" vertical="center" wrapText="1"/>
    </xf>
    <xf numFmtId="0" fontId="0" fillId="0" borderId="0" applyAlignment="1" pivotButton="0" quotePrefix="0" xfId="0">
      <alignment horizontal="center" vertical="center" wrapText="1"/>
    </xf>
    <xf numFmtId="0" fontId="17" fillId="22" borderId="9" applyAlignment="1" pivotButton="0" quotePrefix="0" xfId="0">
      <alignment horizontal="center" vertical="center" wrapText="1"/>
    </xf>
    <xf numFmtId="0" fontId="15" fillId="2" borderId="9" applyAlignment="1" pivotButton="0" quotePrefix="0" xfId="1">
      <alignment horizontal="center" vertical="center" wrapText="1"/>
    </xf>
    <xf numFmtId="0" fontId="13" fillId="19" borderId="9" applyAlignment="1" pivotButton="0" quotePrefix="0" xfId="0">
      <alignment horizontal="center" vertical="center" wrapText="1"/>
    </xf>
    <xf numFmtId="0" fontId="13" fillId="0" borderId="12" applyAlignment="1" pivotButton="0" quotePrefix="0" xfId="0">
      <alignment horizontal="center" vertical="center" wrapText="1"/>
    </xf>
    <xf numFmtId="0" fontId="13" fillId="0" borderId="9" applyAlignment="1" pivotButton="0" quotePrefix="0" xfId="0">
      <alignment horizontal="center" vertical="center" wrapText="1"/>
    </xf>
    <xf numFmtId="0" fontId="19" fillId="0" borderId="12" applyAlignment="1" pivotButton="0" quotePrefix="0" xfId="0">
      <alignment horizontal="center" vertical="center" wrapText="1"/>
    </xf>
    <xf numFmtId="0" fontId="21" fillId="0" borderId="12" applyAlignment="1" pivotButton="0" quotePrefix="0" xfId="0">
      <alignment horizontal="center" vertical="center" wrapText="1"/>
    </xf>
    <xf numFmtId="0" fontId="23" fillId="0" borderId="12" applyAlignment="1" pivotButton="0" quotePrefix="0" xfId="0">
      <alignment horizontal="center" vertical="center" wrapText="1"/>
    </xf>
    <xf numFmtId="14" fontId="23" fillId="0" borderId="14" applyAlignment="1" pivotButton="0" quotePrefix="0" xfId="1">
      <alignment horizontal="center" vertical="center" wrapText="1"/>
    </xf>
    <xf numFmtId="14" fontId="9" fillId="0" borderId="0" applyAlignment="1" pivotButton="0" quotePrefix="0" xfId="0">
      <alignment horizontal="center" vertical="center" wrapText="1"/>
    </xf>
    <xf numFmtId="0" fontId="23" fillId="0" borderId="9" applyAlignment="1" pivotButton="0" quotePrefix="0" xfId="1">
      <alignment horizontal="center" vertical="center" wrapText="1"/>
    </xf>
    <xf numFmtId="14" fontId="23" fillId="0" borderId="9" applyAlignment="1" pivotButton="0" quotePrefix="0" xfId="1">
      <alignment horizontal="center" vertical="center" wrapText="1"/>
    </xf>
    <xf numFmtId="0" fontId="0" fillId="0" borderId="9" applyAlignment="1" pivotButton="0" quotePrefix="0" xfId="0">
      <alignment wrapText="1"/>
    </xf>
    <xf numFmtId="14" fontId="0" fillId="0" borderId="9" applyAlignment="1" pivotButton="0" quotePrefix="0" xfId="0">
      <alignment vertical="center" wrapText="1"/>
    </xf>
    <xf numFmtId="0" fontId="0" fillId="0" borderId="9" applyAlignment="1" pivotButton="0" quotePrefix="0" xfId="0">
      <alignment horizontal="center" vertical="center" wrapText="1"/>
    </xf>
    <xf numFmtId="0" fontId="0" fillId="0" borderId="9" applyAlignment="1" pivotButton="0" quotePrefix="0" xfId="0">
      <alignment horizontal="center" wrapText="1"/>
    </xf>
    <xf numFmtId="0" fontId="0" fillId="0" borderId="9" applyAlignment="1" pivotButton="0" quotePrefix="0" xfId="0">
      <alignment horizontal="left" vertical="center" wrapText="1"/>
    </xf>
    <xf numFmtId="0" fontId="9" fillId="0" borderId="9" applyAlignment="1" pivotButton="0" quotePrefix="0" xfId="0">
      <alignment horizontal="center" vertical="center" wrapText="1"/>
    </xf>
    <xf numFmtId="14" fontId="0" fillId="0" borderId="9" applyAlignment="1" pivotButton="0" quotePrefix="0" xfId="0">
      <alignment horizontal="center" vertical="center" wrapText="1"/>
    </xf>
    <xf numFmtId="0" fontId="9" fillId="0" borderId="9" applyAlignment="1" pivotButton="0" quotePrefix="0" xfId="0">
      <alignment horizontal="center" wrapText="1"/>
    </xf>
    <xf numFmtId="14" fontId="9" fillId="0" borderId="9" applyAlignment="1" pivotButton="0" quotePrefix="0" xfId="0">
      <alignment horizontal="center" vertical="center" wrapText="1"/>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5" fontId="0" fillId="0" borderId="0" applyAlignment="1" pivotButton="0" quotePrefix="0" xfId="2">
      <alignment horizontal="center" vertical="center" wrapText="1"/>
    </xf>
    <xf numFmtId="164" fontId="17" fillId="22" borderId="9" applyAlignment="1" pivotButton="0" quotePrefix="0" xfId="1">
      <alignment horizontal="center" vertical="center" wrapText="1"/>
    </xf>
    <xf numFmtId="165" fontId="17" fillId="22" borderId="11" applyAlignment="1" pivotButton="0" quotePrefix="0" xfId="2">
      <alignment horizontal="center"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67" fontId="13" fillId="9" borderId="9" applyAlignment="1" pivotButton="0" quotePrefix="0" xfId="0">
      <alignment horizontal="left" vertical="center" wrapText="1"/>
    </xf>
    <xf numFmtId="167" fontId="13" fillId="10" borderId="9" applyAlignment="1" pivotButton="0" quotePrefix="0" xfId="0">
      <alignment horizontal="left" vertical="center"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67" fontId="13" fillId="20" borderId="9" applyAlignment="1" pivotButton="0" quotePrefix="0" xfId="0">
      <alignment horizontal="lef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4"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7" fontId="19" fillId="10" borderId="12" applyAlignment="1" pivotButton="0" quotePrefix="0" xfId="1">
      <alignment horizontal="center" vertical="center" wrapText="1"/>
    </xf>
    <xf numFmtId="167" fontId="19" fillId="10" borderId="12" applyAlignment="1" pivotButton="0" quotePrefix="0" xfId="0">
      <alignment horizontal="lef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7" fontId="21" fillId="10" borderId="12" applyAlignment="1" pivotButton="0" quotePrefix="0" xfId="1">
      <alignment horizontal="center"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7" fontId="23" fillId="10" borderId="12" applyAlignment="1" pivotButton="0" quotePrefix="0" xfId="1">
      <alignment horizontal="center"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5" fontId="0" fillId="0" borderId="9" applyAlignment="1" pivotButton="0" quotePrefix="0" xfId="2">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0" fontId="27" fillId="24" borderId="12" applyAlignment="1" pivotButton="0" quotePrefix="0" xfId="0">
      <alignment horizontal="center" vertical="center" wrapText="1"/>
    </xf>
    <xf numFmtId="0" fontId="28" fillId="17" borderId="9" applyAlignment="1" pivotButton="0" quotePrefix="0" xfId="0">
      <alignment horizontal="left" vertical="center" wrapText="1"/>
    </xf>
    <xf numFmtId="0" fontId="28" fillId="17" borderId="9" applyAlignment="1" pivotButton="0" quotePrefix="0" xfId="0">
      <alignment horizontal="center" vertical="center" wrapText="1"/>
    </xf>
    <xf numFmtId="0" fontId="29" fillId="17" borderId="9" applyAlignment="1" pivotButton="0" quotePrefix="0" xfId="0">
      <alignment horizontal="left" vertical="center" wrapText="1"/>
    </xf>
    <xf numFmtId="4" fontId="28" fillId="17" borderId="9" applyAlignment="1" pivotButton="0" quotePrefix="0" xfId="0">
      <alignment horizontal="right" vertical="center" wrapText="1"/>
    </xf>
    <xf numFmtId="0" fontId="28" fillId="0" borderId="9" applyAlignment="1" pivotButton="0" quotePrefix="0" xfId="0">
      <alignment horizontal="center" vertical="center" wrapText="1"/>
    </xf>
    <xf numFmtId="14" fontId="30" fillId="0" borderId="9" applyAlignment="1" pivotButton="0" quotePrefix="0" xfId="0">
      <alignment horizontal="left" vertical="center" wrapText="1"/>
    </xf>
    <xf numFmtId="0" fontId="28" fillId="0" borderId="9" applyAlignment="1" pivotButton="0" quotePrefix="0" xfId="0">
      <alignment horizontal="left" vertical="center" wrapText="1"/>
    </xf>
    <xf numFmtId="4" fontId="28" fillId="0" borderId="9" applyAlignment="1" pivotButton="0" quotePrefix="0" xfId="0">
      <alignment horizontal="right" vertical="center" wrapText="1"/>
    </xf>
    <xf numFmtId="0" fontId="28" fillId="0" borderId="12" applyAlignment="1" pivotButton="0" quotePrefix="0" xfId="0">
      <alignment horizontal="center" vertical="center" wrapText="1"/>
    </xf>
    <xf numFmtId="4" fontId="28" fillId="0" borderId="12" applyAlignment="1" pivotButton="0" quotePrefix="0" xfId="0">
      <alignment horizontal="right" vertical="center" wrapText="1"/>
    </xf>
    <xf numFmtId="0" fontId="28" fillId="12" borderId="9" applyAlignment="1" pivotButton="0" quotePrefix="0" xfId="0">
      <alignment horizontal="left" vertical="center" wrapText="1"/>
    </xf>
    <xf numFmtId="0" fontId="28" fillId="12" borderId="9" applyAlignment="1" pivotButton="0" quotePrefix="0" xfId="0">
      <alignment horizontal="center" vertical="center" wrapText="1"/>
    </xf>
    <xf numFmtId="0" fontId="29" fillId="12" borderId="9" applyAlignment="1" pivotButton="0" quotePrefix="0" xfId="0">
      <alignment horizontal="left" vertical="center" wrapText="1"/>
    </xf>
    <xf numFmtId="4" fontId="28" fillId="12" borderId="9" applyAlignment="1" pivotButton="0" quotePrefix="0" xfId="0">
      <alignment horizontal="right" vertical="center" wrapText="1"/>
    </xf>
    <xf numFmtId="0" fontId="28" fillId="17" borderId="9" applyAlignment="1" pivotButton="0" quotePrefix="0" xfId="0">
      <alignment horizontal="center" vertical="center"/>
    </xf>
    <xf numFmtId="0" fontId="31" fillId="0" borderId="0" applyAlignment="1" pivotButton="0" quotePrefix="0" xfId="0">
      <alignment horizontal="left" vertical="center" wrapText="1"/>
    </xf>
    <xf numFmtId="0" fontId="28" fillId="12" borderId="9" applyAlignment="1" pivotButton="0" quotePrefix="0" xfId="0">
      <alignment horizontal="center" vertical="center"/>
    </xf>
    <xf numFmtId="0" fontId="31" fillId="12" borderId="0" applyAlignment="1" pivotButton="0" quotePrefix="0" xfId="0">
      <alignment horizontal="left" vertical="center" wrapText="1"/>
    </xf>
    <xf numFmtId="0" fontId="28" fillId="17" borderId="9" applyAlignment="1" pivotButton="0" quotePrefix="0" xfId="0">
      <alignment horizontal="left" vertical="top" wrapText="1"/>
    </xf>
    <xf numFmtId="0" fontId="30" fillId="17" borderId="9" applyAlignment="1" pivotButton="0" quotePrefix="0" xfId="0">
      <alignment horizontal="left" vertical="center" wrapText="1"/>
    </xf>
    <xf numFmtId="0" fontId="30" fillId="0" borderId="9" applyAlignment="1" pivotButton="0" quotePrefix="0" xfId="0">
      <alignment horizontal="center" vertical="center" wrapText="1"/>
    </xf>
    <xf numFmtId="0" fontId="30" fillId="0" borderId="9" applyAlignment="1" pivotButton="0" quotePrefix="0" xfId="0">
      <alignment horizontal="left" vertical="center" wrapText="1"/>
    </xf>
    <xf numFmtId="0" fontId="30" fillId="17" borderId="9" applyAlignment="1" pivotButton="0" quotePrefix="0" xfId="0">
      <alignment horizontal="center" vertical="center" wrapText="1"/>
    </xf>
    <xf numFmtId="0" fontId="29" fillId="12" borderId="9" applyAlignment="1" pivotButton="0" quotePrefix="0" xfId="0">
      <alignment horizontal="center" vertical="center" wrapText="1"/>
    </xf>
    <xf numFmtId="0" fontId="28" fillId="0" borderId="9" applyAlignment="1" pivotButton="0" quotePrefix="0" xfId="0">
      <alignment horizontal="center" vertical="center"/>
    </xf>
    <xf numFmtId="0" fontId="29" fillId="17" borderId="9" applyAlignment="1" pivotButton="0" quotePrefix="0" xfId="0">
      <alignment horizontal="center" vertical="center" wrapText="1"/>
    </xf>
    <xf numFmtId="4" fontId="28" fillId="17" borderId="18" applyAlignment="1" pivotButton="0" quotePrefix="0" xfId="0">
      <alignment horizontal="right" vertical="center" wrapText="1"/>
    </xf>
    <xf numFmtId="0" fontId="28" fillId="25" borderId="18" applyAlignment="1" pivotButton="0" quotePrefix="0" xfId="0">
      <alignment horizontal="center" vertical="center" wrapText="1"/>
    </xf>
    <xf numFmtId="0" fontId="26" fillId="0" borderId="0" applyAlignment="1" pivotButton="0" quotePrefix="0" xfId="0">
      <alignment horizontal="center" vertical="center" wrapText="1"/>
    </xf>
    <xf numFmtId="0" fontId="32" fillId="17" borderId="9" applyAlignment="1" pivotButton="0" quotePrefix="0" xfId="0">
      <alignment horizontal="center" vertical="center"/>
    </xf>
    <xf numFmtId="0" fontId="28" fillId="25" borderId="9" applyAlignment="1" pivotButton="0" quotePrefix="0" xfId="0">
      <alignment horizontal="center" vertical="center" wrapText="1"/>
    </xf>
    <xf numFmtId="0" fontId="30" fillId="17" borderId="13" applyAlignment="1" pivotButton="0" quotePrefix="0" xfId="0">
      <alignment horizontal="left" vertical="center" wrapText="1"/>
    </xf>
    <xf numFmtId="4" fontId="30" fillId="17" borderId="9" applyAlignment="1" pivotButton="0" quotePrefix="0" xfId="0">
      <alignment horizontal="right" vertical="center" wrapText="1"/>
    </xf>
    <xf numFmtId="0" fontId="30" fillId="26" borderId="13" applyAlignment="1" pivotButton="0" quotePrefix="0" xfId="0">
      <alignment horizontal="left" vertical="center" wrapText="1"/>
    </xf>
    <xf numFmtId="4" fontId="30" fillId="26" borderId="9" applyAlignment="1" pivotButton="0" quotePrefix="0" xfId="0">
      <alignment horizontal="right" vertical="center" wrapText="1"/>
    </xf>
    <xf numFmtId="0" fontId="30" fillId="12" borderId="13" applyAlignment="1" pivotButton="0" quotePrefix="0" xfId="0">
      <alignment horizontal="left" vertical="center" wrapText="1"/>
    </xf>
    <xf numFmtId="4" fontId="30" fillId="12" borderId="9" applyAlignment="1" pivotButton="0" quotePrefix="0" xfId="0">
      <alignment horizontal="right" vertical="center" wrapText="1"/>
    </xf>
    <xf numFmtId="0" fontId="30" fillId="12" borderId="9" applyAlignment="1" pivotButton="0" quotePrefix="0" xfId="0">
      <alignment horizontal="center" vertical="center" wrapText="1"/>
    </xf>
    <xf numFmtId="0" fontId="26" fillId="12" borderId="0" pivotButton="0" quotePrefix="0" xfId="0"/>
    <xf numFmtId="0" fontId="30" fillId="17" borderId="19" applyAlignment="1" pivotButton="0" quotePrefix="0" xfId="0">
      <alignment horizontal="left" vertical="center" wrapText="1"/>
    </xf>
    <xf numFmtId="0" fontId="26" fillId="17" borderId="9" pivotButton="0" quotePrefix="0" xfId="0"/>
    <xf numFmtId="0" fontId="30" fillId="26" borderId="9" applyAlignment="1" pivotButton="0" quotePrefix="0" xfId="0">
      <alignment horizontal="left" vertical="center" wrapText="1"/>
    </xf>
    <xf numFmtId="0" fontId="30" fillId="12" borderId="9" applyAlignment="1" pivotButton="0" quotePrefix="0" xfId="0">
      <alignment horizontal="left" vertical="center" wrapText="1"/>
    </xf>
    <xf numFmtId="17" fontId="33" fillId="17" borderId="9" applyAlignment="1" pivotButton="0" quotePrefix="0" xfId="0">
      <alignment horizontal="center" vertical="center"/>
    </xf>
    <xf numFmtId="17" fontId="33" fillId="12" borderId="9" applyAlignment="1" pivotButton="0" quotePrefix="0" xfId="0">
      <alignment horizontal="center" vertical="center"/>
    </xf>
    <xf numFmtId="17" fontId="33" fillId="0" borderId="9" applyAlignment="1" pivotButton="0" quotePrefix="0" xfId="0">
      <alignment horizontal="center" vertical="center"/>
    </xf>
    <xf numFmtId="17" fontId="32" fillId="12" borderId="9" applyAlignment="1" pivotButton="0" quotePrefix="0" xfId="0">
      <alignment horizontal="center" vertical="center"/>
    </xf>
    <xf numFmtId="0" fontId="34" fillId="17" borderId="9" applyAlignment="1" pivotButton="0" quotePrefix="0" xfId="0">
      <alignment horizontal="center" vertical="center" wrapText="1"/>
    </xf>
    <xf numFmtId="0" fontId="28" fillId="17" borderId="12" applyAlignment="1" pivotButton="0" quotePrefix="0" xfId="0">
      <alignment horizontal="left" vertical="center" wrapText="1"/>
    </xf>
    <xf numFmtId="0" fontId="28" fillId="17" borderId="12" applyAlignment="1" pivotButton="0" quotePrefix="0" xfId="0">
      <alignment horizontal="center" vertical="center" wrapText="1"/>
    </xf>
    <xf numFmtId="0" fontId="29" fillId="17" borderId="12" applyAlignment="1" pivotButton="0" quotePrefix="0" xfId="0">
      <alignment horizontal="left" vertical="center" wrapText="1"/>
    </xf>
    <xf numFmtId="0" fontId="28" fillId="19" borderId="9" applyAlignment="1" pivotButton="0" quotePrefix="0" xfId="0">
      <alignment horizontal="left" vertical="center" wrapText="1"/>
    </xf>
    <xf numFmtId="0" fontId="28" fillId="19" borderId="9" applyAlignment="1" pivotButton="0" quotePrefix="0" xfId="0">
      <alignment horizontal="center" vertical="center" wrapText="1"/>
    </xf>
    <xf numFmtId="4" fontId="28" fillId="19" borderId="9" applyAlignment="1" pivotButton="0" quotePrefix="0" xfId="0">
      <alignment horizontal="left" vertical="center" wrapText="1"/>
    </xf>
    <xf numFmtId="0" fontId="35" fillId="27" borderId="0" applyAlignment="1" pivotButton="0" quotePrefix="0" xfId="0">
      <alignment horizontal="center" vertical="center" wrapText="1"/>
    </xf>
    <xf numFmtId="3" fontId="0" fillId="0" borderId="0" pivotButton="0" quotePrefix="0" xfId="0"/>
    <xf numFmtId="0" fontId="0" fillId="0" borderId="0" applyAlignment="1" pivotButton="0" quotePrefix="0" xfId="0">
      <alignment horizontal="center"/>
    </xf>
    <xf numFmtId="0" fontId="40" fillId="30" borderId="20" applyAlignment="1" pivotButton="0" quotePrefix="0" xfId="0">
      <alignment horizontal="center" wrapText="1"/>
    </xf>
    <xf numFmtId="0" fontId="0" fillId="0" borderId="20" applyAlignment="1" pivotButton="0" quotePrefix="0" xfId="0">
      <alignment horizontal="center"/>
    </xf>
    <xf numFmtId="0" fontId="41" fillId="0" borderId="20" applyAlignment="1" pivotButton="0" quotePrefix="0" xfId="0">
      <alignment horizontal="center"/>
    </xf>
    <xf numFmtId="0" fontId="41" fillId="0" borderId="20" pivotButton="0" quotePrefix="0" xfId="0"/>
    <xf numFmtId="3" fontId="0" fillId="0" borderId="20" pivotButton="0" quotePrefix="0" xfId="0"/>
    <xf numFmtId="0" fontId="0" fillId="0" borderId="20" applyAlignment="1" pivotButton="0" quotePrefix="0" xfId="0">
      <alignment horizontal="center" vertical="top" wrapText="1"/>
    </xf>
    <xf numFmtId="0" fontId="0" fillId="0" borderId="20" applyAlignment="1" pivotButton="0" quotePrefix="0" xfId="0">
      <alignment vertical="top" wrapText="1"/>
    </xf>
    <xf numFmtId="3" fontId="0" fillId="0" borderId="20" applyAlignment="1" pivotButton="0" quotePrefix="0" xfId="0">
      <alignment horizontal="center" vertical="top" wrapText="1"/>
    </xf>
    <xf numFmtId="14" fontId="0" fillId="0" borderId="20" applyAlignment="1" pivotButton="0" quotePrefix="0" xfId="0">
      <alignment horizontal="center" vertical="top" wrapText="1"/>
    </xf>
    <xf numFmtId="14" fontId="0" fillId="0" borderId="0" pivotButton="0" quotePrefix="0" xfId="0"/>
    <xf numFmtId="0" fontId="0" fillId="0" borderId="20" pivotButton="0" quotePrefix="0" xfId="0"/>
    <xf numFmtId="0" fontId="0" fillId="0" borderId="0" pivotButton="0" quotePrefix="0" xfId="0"/>
    <xf numFmtId="164" fontId="0" fillId="0" borderId="0" pivotButton="0" quotePrefix="0" xfId="1"/>
    <xf numFmtId="165" fontId="0" fillId="0" borderId="0" applyAlignment="1" pivotButton="0" quotePrefix="0" xfId="2">
      <alignment horizontal="center"/>
    </xf>
    <xf numFmtId="0" fontId="43" fillId="0" borderId="0" pivotButton="0" quotePrefix="0" xfId="0"/>
    <xf numFmtId="0" fontId="44" fillId="32" borderId="25" applyAlignment="1" pivotButton="0" quotePrefix="0" xfId="0">
      <alignment horizontal="center"/>
    </xf>
    <xf numFmtId="0" fontId="0" fillId="0" borderId="25" pivotButton="0" quotePrefix="0" xfId="0"/>
    <xf numFmtId="0" fontId="46" fillId="34" borderId="25" applyAlignment="1" pivotButton="0" quotePrefix="0" xfId="0">
      <alignment horizontal="center" wrapText="1"/>
    </xf>
    <xf numFmtId="0" fontId="0" fillId="0" borderId="25" applyAlignment="1" pivotButton="0" quotePrefix="0" xfId="0">
      <alignment horizontal="center"/>
    </xf>
    <xf numFmtId="3" fontId="0" fillId="0" borderId="25" pivotButton="0" quotePrefix="0" xfId="0"/>
    <xf numFmtId="0" fontId="47" fillId="0" borderId="25" pivotButton="0" quotePrefix="0" xfId="0"/>
    <xf numFmtId="0" fontId="47" fillId="0" borderId="25" applyAlignment="1" pivotButton="0" quotePrefix="0" xfId="0">
      <alignment horizontal="center"/>
    </xf>
    <xf numFmtId="3" fontId="47" fillId="0" borderId="25" applyAlignment="1" pivotButton="0" quotePrefix="0" xfId="0">
      <alignment horizontal="center"/>
    </xf>
    <xf numFmtId="168" fontId="0" fillId="0" borderId="20" applyAlignment="1" pivotButton="0" quotePrefix="0" xfId="0">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70" fontId="18" fillId="0" borderId="0" applyAlignment="1" pivotButton="0" quotePrefix="0" xfId="0">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9" fontId="13" fillId="0" borderId="12" applyAlignment="1" pivotButton="0" quotePrefix="0" xfId="1">
      <alignment horizontal="center" vertical="center" wrapText="1"/>
    </xf>
    <xf numFmtId="170" fontId="15" fillId="2" borderId="9" applyAlignment="1" pivotButton="0" quotePrefix="0" xfId="0">
      <alignment horizontal="right"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70" fontId="15" fillId="0" borderId="12" applyAlignment="1" pivotButton="0" quotePrefix="0" xfId="0">
      <alignment horizontal="right"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9" fontId="13" fillId="0" borderId="14" applyAlignment="1" pivotButton="0" quotePrefix="0" xfId="1">
      <alignment horizontal="center" vertical="center" wrapText="1"/>
    </xf>
    <xf numFmtId="170" fontId="20" fillId="0" borderId="16" applyAlignment="1" pivotButton="0" quotePrefix="0" xfId="0">
      <alignment horizontal="right" vertical="center" wrapText="1"/>
    </xf>
    <xf numFmtId="169" fontId="19" fillId="0" borderId="14"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72" fontId="13" fillId="0" borderId="12" applyAlignment="1" pivotButton="0" quotePrefix="0" xfId="2">
      <alignment horizontal="right" vertical="center" wrapText="1"/>
    </xf>
    <xf numFmtId="170" fontId="22" fillId="0" borderId="16" applyAlignment="1" pivotButton="0" quotePrefix="0" xfId="0">
      <alignment horizontal="right" vertical="center" wrapText="1"/>
    </xf>
    <xf numFmtId="169" fontId="21" fillId="0" borderId="14"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70" fontId="24" fillId="0" borderId="16" applyAlignment="1" pivotButton="0" quotePrefix="0" xfId="0">
      <alignment horizontal="right" vertical="center" wrapText="1"/>
    </xf>
    <xf numFmtId="169" fontId="23" fillId="0" borderId="14"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73" fontId="23" fillId="0" borderId="9" applyAlignment="1" pivotButton="0" quotePrefix="0" xfId="1">
      <alignment horizontal="center" vertical="center" wrapText="1"/>
    </xf>
    <xf numFmtId="170" fontId="18" fillId="0" borderId="9" applyAlignment="1" pivotButton="0" quotePrefix="0" xfId="0">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0" fillId="0" borderId="25" applyAlignment="1" pivotButton="0" quotePrefix="0" xfId="0">
      <alignment vertical="top" wrapText="1"/>
    </xf>
    <xf numFmtId="0" fontId="0" fillId="0" borderId="25" applyAlignment="1" pivotButton="0" quotePrefix="0" xfId="0">
      <alignment horizontal="center" vertical="top" wrapText="1"/>
    </xf>
    <xf numFmtId="3" fontId="0" fillId="0" borderId="25" applyAlignment="1" pivotButton="0" quotePrefix="0" xfId="0">
      <alignment horizontal="center" vertical="top" wrapText="1"/>
    </xf>
    <xf numFmtId="14" fontId="0" fillId="0" borderId="25" applyAlignment="1" pivotButton="0" quotePrefix="0" xfId="0">
      <alignment horizontal="center" vertical="top" wrapText="1"/>
    </xf>
    <xf numFmtId="0" fontId="48" fillId="31" borderId="0" applyAlignment="1" pivotButton="0" quotePrefix="0" xfId="0">
      <alignment horizontal="center" vertical="center" wrapText="1"/>
    </xf>
    <xf numFmtId="0" fontId="46" fillId="35" borderId="25" applyAlignment="1" pivotButton="0" quotePrefix="0" xfId="0">
      <alignment horizontal="center" vertical="center"/>
    </xf>
    <xf numFmtId="0" fontId="0" fillId="0" borderId="25" pivotButton="0" quotePrefix="0" xfId="0"/>
    <xf numFmtId="0" fontId="45" fillId="33" borderId="0" applyAlignment="1" pivotButton="0" quotePrefix="0" xfId="0">
      <alignment horizontal="center" vertical="center"/>
    </xf>
    <xf numFmtId="0" fontId="0" fillId="0" borderId="0" pivotButton="0" quotePrefix="0" xfId="0"/>
    <xf numFmtId="0" fontId="46" fillId="34" borderId="25" applyAlignment="1" pivotButton="0" quotePrefix="0" xfId="0">
      <alignment horizontal="center" vertical="center" wrapText="1"/>
    </xf>
    <xf numFmtId="0" fontId="42" fillId="31" borderId="0" applyAlignment="1" pivotButton="0" quotePrefix="0" xfId="0">
      <alignment horizontal="center" vertical="center"/>
    </xf>
    <xf numFmtId="0" fontId="39" fillId="29" borderId="0" applyAlignment="1" pivotButton="0" quotePrefix="0" xfId="0">
      <alignment horizontal="center" vertical="center"/>
    </xf>
    <xf numFmtId="0" fontId="37" fillId="28" borderId="20" applyAlignment="1" pivotButton="0" quotePrefix="0" xfId="0">
      <alignment horizontal="center" vertical="center" wrapText="1"/>
    </xf>
    <xf numFmtId="0" fontId="0" fillId="0" borderId="22" pivotButton="0" quotePrefix="0" xfId="0"/>
    <xf numFmtId="1" fontId="38" fillId="28" borderId="20" applyAlignment="1" pivotButton="0" quotePrefix="0" xfId="0">
      <alignment horizontal="center" vertical="center"/>
    </xf>
    <xf numFmtId="0" fontId="0" fillId="0" borderId="21" pivotButton="0" quotePrefix="0" xfId="0"/>
    <xf numFmtId="0" fontId="0" fillId="0" borderId="23" pivotButton="0" quotePrefix="0" xfId="0"/>
    <xf numFmtId="0" fontId="0" fillId="0" borderId="24" pivotButton="0" quotePrefix="0" xfId="0"/>
    <xf numFmtId="168" fontId="38" fillId="28" borderId="20" applyAlignment="1" pivotButton="0" quotePrefix="0" xfId="0">
      <alignment horizontal="center" vertical="center"/>
    </xf>
    <xf numFmtId="3" fontId="38" fillId="28" borderId="20" applyAlignment="1" pivotButton="0" quotePrefix="0" xfId="0">
      <alignment horizontal="center" vertical="center"/>
    </xf>
    <xf numFmtId="0" fontId="36" fillId="27" borderId="0" applyAlignment="1" pivotButton="0" quotePrefix="0" xfId="0">
      <alignment horizontal="center" vertical="center"/>
    </xf>
    <xf numFmtId="171" fontId="8" fillId="7" borderId="6" applyAlignment="1" pivotButton="0" quotePrefix="0" xfId="1">
      <alignment horizontal="left" vertical="center" wrapText="1"/>
    </xf>
    <xf numFmtId="164" fontId="0" fillId="0" borderId="0" pivotButton="0" quotePrefix="0" xfId="1"/>
    <xf numFmtId="165" fontId="0" fillId="0" borderId="0" applyAlignment="1" pivotButton="0" quotePrefix="0" xfId="2">
      <alignment horizontal="center"/>
    </xf>
    <xf numFmtId="0" fontId="26" fillId="23" borderId="17" applyAlignment="1" pivotButton="0" quotePrefix="0" xfId="0">
      <alignment horizontal="center"/>
    </xf>
    <xf numFmtId="0" fontId="0" fillId="0" borderId="17" pivotButton="0" quotePrefix="0" xfId="0"/>
    <xf numFmtId="0" fontId="25" fillId="23" borderId="0" applyAlignment="1" pivotButton="0" quotePrefix="0" xfId="0">
      <alignment horizontal="center"/>
    </xf>
    <xf numFmtId="0" fontId="0" fillId="0" borderId="27" pivotButton="0" quotePrefix="0" xfId="0"/>
    <xf numFmtId="0" fontId="0" fillId="0" borderId="30" pivotButton="0" quotePrefix="0" xfId="0"/>
    <xf numFmtId="164" fontId="0" fillId="0" borderId="0" pivotButton="0" quotePrefix="0" xfId="1"/>
    <xf numFmtId="165" fontId="0" fillId="0" borderId="0" applyAlignment="1" pivotButton="0" quotePrefix="0" xfId="2">
      <alignment horizontal="center"/>
    </xf>
    <xf numFmtId="164" fontId="4" fillId="2" borderId="0" pivotButton="0" quotePrefix="0" xfId="1"/>
    <xf numFmtId="165" fontId="4" fillId="2" borderId="0" applyAlignment="1" pivotButton="0" quotePrefix="0" xfId="2">
      <alignment horizontal="center"/>
    </xf>
    <xf numFmtId="164" fontId="5" fillId="3" borderId="0" pivotButton="0" quotePrefix="0" xfId="1"/>
    <xf numFmtId="165" fontId="5" fillId="3" borderId="0" applyAlignment="1" pivotButton="0" quotePrefix="0" xfId="2">
      <alignment horizontal="center"/>
    </xf>
    <xf numFmtId="164" fontId="5" fillId="4" borderId="0" pivotButton="0" quotePrefix="0" xfId="1"/>
    <xf numFmtId="165" fontId="5" fillId="4" borderId="0" applyAlignment="1" pivotButton="0" quotePrefix="0" xfId="2">
      <alignment horizontal="center"/>
    </xf>
    <xf numFmtId="166" fontId="0" fillId="0" borderId="0" pivotButton="0" quotePrefix="0" xfId="0"/>
    <xf numFmtId="164" fontId="7" fillId="5" borderId="3" pivotButton="0" quotePrefix="0" xfId="1"/>
    <xf numFmtId="165" fontId="7" fillId="5" borderId="3" applyAlignment="1" pivotButton="0" quotePrefix="0" xfId="2">
      <alignment horizontal="center"/>
    </xf>
    <xf numFmtId="169" fontId="5" fillId="3" borderId="4" applyAlignment="1" pivotButton="0" quotePrefix="0" xfId="1">
      <alignment horizontal="center"/>
    </xf>
    <xf numFmtId="169" fontId="5" fillId="6" borderId="3" applyAlignment="1" pivotButton="0" quotePrefix="0" xfId="1">
      <alignment horizontal="center"/>
    </xf>
    <xf numFmtId="169" fontId="5" fillId="3" borderId="3" applyAlignment="1" pivotButton="0" quotePrefix="0" xfId="1">
      <alignment horizontal="center"/>
    </xf>
    <xf numFmtId="164" fontId="7" fillId="2" borderId="3" pivotButton="0" quotePrefix="0" xfId="1"/>
    <xf numFmtId="165" fontId="7" fillId="2" borderId="3" applyAlignment="1" pivotButton="0" quotePrefix="0" xfId="2">
      <alignment horizontal="center"/>
    </xf>
    <xf numFmtId="164" fontId="5" fillId="4" borderId="4" pivotButton="0" quotePrefix="0" xfId="1"/>
    <xf numFmtId="164" fontId="5" fillId="3" borderId="5" pivotButton="0" quotePrefix="0" xfId="1"/>
    <xf numFmtId="164" fontId="5" fillId="4" borderId="5" pivotButton="0" quotePrefix="0" xfId="1"/>
    <xf numFmtId="171" fontId="8" fillId="7" borderId="6" applyAlignment="1" pivotButton="0" quotePrefix="0" xfId="1">
      <alignment horizontal="left" vertical="center" wrapText="1"/>
    </xf>
    <xf numFmtId="164" fontId="0" fillId="0" borderId="0" applyAlignment="1" pivotButton="0" quotePrefix="0" xfId="0">
      <alignment horizontal="left" vertical="center" wrapText="1"/>
    </xf>
    <xf numFmtId="164" fontId="9" fillId="0" borderId="0" applyAlignment="1" pivotButton="0" quotePrefix="0" xfId="1">
      <alignment vertical="center" wrapText="1"/>
    </xf>
    <xf numFmtId="164" fontId="0" fillId="0" borderId="0" applyAlignment="1" pivotButton="0" quotePrefix="0" xfId="1">
      <alignment vertical="center" wrapText="1"/>
    </xf>
    <xf numFmtId="164" fontId="18" fillId="0" borderId="0" applyAlignment="1" pivotButton="0" quotePrefix="0" xfId="0">
      <alignment horizontal="center" vertical="center" wrapText="1"/>
    </xf>
    <xf numFmtId="170" fontId="18" fillId="0" borderId="0" applyAlignment="1" pivotButton="0" quotePrefix="0" xfId="0">
      <alignment horizontal="center" vertical="center" wrapText="1"/>
    </xf>
    <xf numFmtId="164" fontId="18" fillId="0" borderId="0" applyAlignment="1" pivotButton="0" quotePrefix="0" xfId="1">
      <alignment vertical="center" wrapText="1"/>
    </xf>
    <xf numFmtId="164" fontId="18" fillId="0" borderId="0" applyAlignment="1" pivotButton="0" quotePrefix="0" xfId="1">
      <alignment horizontal="center" vertical="center" wrapText="1"/>
    </xf>
    <xf numFmtId="169" fontId="0" fillId="0" borderId="0" applyAlignment="1" pivotButton="0" quotePrefix="0" xfId="1">
      <alignment horizontal="center" vertical="center" wrapText="1"/>
    </xf>
    <xf numFmtId="171" fontId="0" fillId="0" borderId="0" applyAlignment="1" pivotButton="0" quotePrefix="0" xfId="1">
      <alignment vertical="center" wrapText="1"/>
    </xf>
    <xf numFmtId="165" fontId="0" fillId="0" borderId="0" applyAlignment="1" pivotButton="0" quotePrefix="0" xfId="2">
      <alignment horizontal="center" vertical="center" wrapText="1"/>
    </xf>
    <xf numFmtId="171" fontId="9" fillId="0" borderId="0" applyAlignment="1" pivotButton="0" quotePrefix="0" xfId="1">
      <alignment vertical="center" wrapText="1"/>
    </xf>
    <xf numFmtId="169" fontId="0" fillId="0" borderId="0" applyAlignment="1" pivotButton="0" quotePrefix="0" xfId="1">
      <alignment vertical="center" wrapText="1"/>
    </xf>
    <xf numFmtId="169" fontId="0" fillId="0" borderId="0" applyAlignment="1" pivotButton="0" quotePrefix="0" xfId="1">
      <alignment wrapText="1"/>
    </xf>
    <xf numFmtId="164" fontId="17" fillId="22" borderId="9" applyAlignment="1" pivotButton="0" quotePrefix="0" xfId="1">
      <alignment horizontal="center" vertical="center" wrapText="1"/>
    </xf>
    <xf numFmtId="170" fontId="17" fillId="22" borderId="9" applyAlignment="1" pivotButton="0" quotePrefix="0" xfId="1">
      <alignment horizontal="center" vertical="center" wrapText="1"/>
    </xf>
    <xf numFmtId="169" fontId="17" fillId="22" borderId="10" applyAlignment="1" pivotButton="0" quotePrefix="0" xfId="1">
      <alignment horizontal="center" vertical="center" wrapText="1"/>
    </xf>
    <xf numFmtId="165" fontId="17" fillId="22" borderId="11" applyAlignment="1" pivotButton="0" quotePrefix="0" xfId="2">
      <alignment horizontal="center" vertical="center" wrapText="1"/>
    </xf>
    <xf numFmtId="171" fontId="17" fillId="22" borderId="9" applyAlignment="1" pivotButton="0" quotePrefix="0" xfId="1">
      <alignment horizontal="center" vertical="center" wrapText="1"/>
    </xf>
    <xf numFmtId="169" fontId="15" fillId="2" borderId="9" applyAlignment="1" pivotButton="0" quotePrefix="0" xfId="1">
      <alignment horizontal="left" vertical="center" wrapText="1"/>
    </xf>
    <xf numFmtId="164" fontId="15" fillId="2" borderId="9" applyAlignment="1" pivotButton="0" quotePrefix="0" xfId="1">
      <alignment horizontal="right" vertical="center" wrapText="1"/>
    </xf>
    <xf numFmtId="164" fontId="15" fillId="0" borderId="9" applyAlignment="1" pivotButton="0" quotePrefix="0" xfId="0">
      <alignment horizontal="right" vertical="center" wrapText="1"/>
    </xf>
    <xf numFmtId="170" fontId="15" fillId="0" borderId="9" applyAlignment="1" pivotButton="0" quotePrefix="0" xfId="0">
      <alignment horizontal="right" vertical="center" wrapText="1"/>
    </xf>
    <xf numFmtId="169" fontId="13" fillId="0" borderId="9" applyAlignment="1" pivotButton="0" quotePrefix="0" xfId="1">
      <alignment horizontal="center" vertical="center" wrapText="1"/>
    </xf>
    <xf numFmtId="172" fontId="13" fillId="0" borderId="0" applyAlignment="1" pivotButton="0" quotePrefix="0" xfId="0">
      <alignment horizontal="right" vertical="center" wrapText="1"/>
    </xf>
    <xf numFmtId="172" fontId="13" fillId="0" borderId="0" applyAlignment="1" pivotButton="0" quotePrefix="0" xfId="1">
      <alignment horizontal="right" vertical="center" wrapText="1"/>
    </xf>
    <xf numFmtId="172" fontId="13" fillId="0" borderId="0" applyAlignment="1" pivotButton="0" quotePrefix="0" xfId="2">
      <alignment horizontal="right" vertical="center" wrapText="1"/>
    </xf>
    <xf numFmtId="167" fontId="13" fillId="9" borderId="9" applyAlignment="1" pivotButton="0" quotePrefix="0" xfId="0">
      <alignment horizontal="left" vertical="center" wrapText="1"/>
    </xf>
    <xf numFmtId="171" fontId="11" fillId="0" borderId="0" applyAlignment="1" pivotButton="0" quotePrefix="0" xfId="1">
      <alignment horizontal="center" vertical="center" wrapText="1"/>
    </xf>
    <xf numFmtId="171" fontId="10" fillId="0" borderId="0" applyAlignment="1" pivotButton="0" quotePrefix="0" xfId="1">
      <alignment horizontal="center" vertical="center" wrapText="1"/>
    </xf>
    <xf numFmtId="169" fontId="10" fillId="0" borderId="0" applyAlignment="1" pivotButton="0" quotePrefix="0" xfId="1">
      <alignment horizontal="center" vertical="center" wrapText="1"/>
    </xf>
    <xf numFmtId="167" fontId="13" fillId="10" borderId="9" applyAlignment="1" pivotButton="0" quotePrefix="0" xfId="0">
      <alignment horizontal="left" vertical="center" wrapText="1"/>
    </xf>
    <xf numFmtId="169" fontId="15" fillId="0" borderId="9" applyAlignment="1" pivotButton="0" quotePrefix="0" xfId="1">
      <alignment horizontal="left" vertical="center" wrapText="1"/>
    </xf>
    <xf numFmtId="171" fontId="11" fillId="0" borderId="0" applyAlignment="1" pivotButton="0" quotePrefix="0" xfId="1">
      <alignment vertical="center" wrapText="1"/>
    </xf>
    <xf numFmtId="171" fontId="10" fillId="0" borderId="0" applyAlignment="1" pivotButton="0" quotePrefix="0" xfId="1">
      <alignment vertical="center" wrapText="1"/>
    </xf>
    <xf numFmtId="169" fontId="10" fillId="0" borderId="0" applyAlignment="1" pivotButton="0" quotePrefix="0" xfId="1">
      <alignment vertical="center" wrapText="1"/>
    </xf>
    <xf numFmtId="169" fontId="10" fillId="0" borderId="0" applyAlignment="1" pivotButton="0" quotePrefix="0" xfId="1">
      <alignment wrapText="1"/>
    </xf>
    <xf numFmtId="164" fontId="13" fillId="0" borderId="9" applyAlignment="1" pivotButton="0" quotePrefix="0" xfId="0">
      <alignment horizontal="right" vertical="center" wrapText="1"/>
    </xf>
    <xf numFmtId="164" fontId="15" fillId="0" borderId="9" applyAlignment="1" pivotButton="0" quotePrefix="0" xfId="1">
      <alignment horizontal="right" vertical="center" wrapText="1"/>
    </xf>
    <xf numFmtId="169" fontId="15" fillId="9" borderId="9" applyAlignment="1" pivotButton="0" quotePrefix="0" xfId="1">
      <alignment horizontal="left" vertical="center" wrapText="1"/>
    </xf>
    <xf numFmtId="169" fontId="15" fillId="2" borderId="9" applyAlignment="1" pivotButton="0" quotePrefix="0" xfId="1">
      <alignment horizontal="center" vertical="center" wrapText="1"/>
    </xf>
    <xf numFmtId="170" fontId="15" fillId="2" borderId="9" applyAlignment="1" pivotButton="0" quotePrefix="0" xfId="1">
      <alignment horizontal="right" vertical="center" wrapText="1"/>
    </xf>
    <xf numFmtId="167" fontId="13" fillId="2" borderId="9" applyAlignment="1" pivotButton="0" quotePrefix="0" xfId="0">
      <alignment horizontal="left" vertical="center" wrapText="1"/>
    </xf>
    <xf numFmtId="164" fontId="15" fillId="12" borderId="9" applyAlignment="1" pivotButton="0" quotePrefix="0" xfId="0">
      <alignment horizontal="right" vertical="center" wrapText="1"/>
    </xf>
    <xf numFmtId="164" fontId="13" fillId="19" borderId="9" applyAlignment="1" pivotButton="0" quotePrefix="0" xfId="0">
      <alignment horizontal="right" vertical="center" wrapText="1"/>
    </xf>
    <xf numFmtId="164" fontId="15" fillId="19" borderId="9" applyAlignment="1" pivotButton="0" quotePrefix="0" xfId="0">
      <alignment horizontal="right" vertical="center" wrapText="1"/>
    </xf>
    <xf numFmtId="170" fontId="15" fillId="19" borderId="9" applyAlignment="1" pivotButton="0" quotePrefix="0" xfId="0">
      <alignment horizontal="right" vertical="center" wrapText="1"/>
    </xf>
    <xf numFmtId="169" fontId="13" fillId="19" borderId="9" applyAlignment="1" pivotButton="0" quotePrefix="0" xfId="1">
      <alignment horizontal="center" vertical="center" wrapText="1"/>
    </xf>
    <xf numFmtId="167" fontId="13" fillId="20" borderId="9" applyAlignment="1" pivotButton="0" quotePrefix="0" xfId="0">
      <alignment horizontal="left" vertical="center" wrapText="1"/>
    </xf>
    <xf numFmtId="171" fontId="9" fillId="19" borderId="0" applyAlignment="1" pivotButton="0" quotePrefix="0" xfId="1">
      <alignment vertical="center" wrapText="1"/>
    </xf>
    <xf numFmtId="171" fontId="0" fillId="19" borderId="0" applyAlignment="1" pivotButton="0" quotePrefix="0" xfId="1">
      <alignment vertical="center" wrapText="1"/>
    </xf>
    <xf numFmtId="169" fontId="0" fillId="19" borderId="0" applyAlignment="1" pivotButton="0" quotePrefix="0" xfId="1">
      <alignment vertical="center" wrapText="1"/>
    </xf>
    <xf numFmtId="169" fontId="0" fillId="19" borderId="0" applyAlignment="1" pivotButton="0" quotePrefix="0" xfId="1">
      <alignment wrapText="1"/>
    </xf>
    <xf numFmtId="170" fontId="15" fillId="0" borderId="9" applyAlignment="1" pivotButton="0" quotePrefix="0" xfId="1">
      <alignment horizontal="right" vertical="center" wrapText="1"/>
    </xf>
    <xf numFmtId="167" fontId="13" fillId="13" borderId="9" applyAlignment="1" pivotButton="0" quotePrefix="0" xfId="0">
      <alignment horizontal="left" vertical="center" wrapText="1"/>
    </xf>
    <xf numFmtId="167" fontId="13" fillId="0" borderId="9" applyAlignment="1" pivotButton="0" quotePrefix="0" xfId="0">
      <alignment horizontal="left" vertical="center" wrapText="1"/>
    </xf>
    <xf numFmtId="164" fontId="15" fillId="9" borderId="9" applyAlignment="1" pivotButton="0" quotePrefix="0" xfId="0">
      <alignment horizontal="right" vertical="center" wrapText="1"/>
    </xf>
    <xf numFmtId="164" fontId="15" fillId="0" borderId="12" applyAlignment="1" pivotButton="0" quotePrefix="0" xfId="0">
      <alignment horizontal="right" vertical="center" wrapText="1"/>
    </xf>
    <xf numFmtId="169" fontId="13" fillId="0" borderId="12" applyAlignment="1" pivotButton="0" quotePrefix="0" xfId="1">
      <alignment horizontal="center" vertical="center" wrapText="1"/>
    </xf>
    <xf numFmtId="164" fontId="15" fillId="2" borderId="9" applyAlignment="1" pivotButton="0" quotePrefix="0" xfId="0">
      <alignment horizontal="right" vertical="center" wrapText="1"/>
    </xf>
    <xf numFmtId="170" fontId="15" fillId="2" borderId="9" applyAlignment="1" pivotButton="0" quotePrefix="0" xfId="0">
      <alignment horizontal="right" vertical="center" wrapText="1"/>
    </xf>
    <xf numFmtId="167" fontId="13" fillId="10" borderId="9" applyAlignment="1" pivotButton="0" quotePrefix="0" xfId="0">
      <alignment horizontal="center" vertical="center" wrapText="1"/>
    </xf>
    <xf numFmtId="171" fontId="15" fillId="0" borderId="0" applyAlignment="1" pivotButton="0" quotePrefix="0" xfId="1">
      <alignment vertical="center" wrapText="1"/>
    </xf>
    <xf numFmtId="169" fontId="13" fillId="0" borderId="0" applyAlignment="1" pivotButton="0" quotePrefix="0" xfId="1">
      <alignment horizontal="center" vertical="center" wrapText="1"/>
    </xf>
    <xf numFmtId="167" fontId="13" fillId="10" borderId="0" applyAlignment="1" pivotButton="0" quotePrefix="0" xfId="0">
      <alignment horizontal="left" vertical="center" wrapText="1"/>
    </xf>
    <xf numFmtId="164" fontId="13" fillId="0" borderId="12" applyAlignment="1" pivotButton="0" quotePrefix="0" xfId="0">
      <alignment horizontal="right" vertical="center" wrapText="1"/>
    </xf>
    <xf numFmtId="170" fontId="15" fillId="0" borderId="12" applyAlignment="1" pivotButton="0" quotePrefix="0" xfId="0">
      <alignment horizontal="right" vertical="center" wrapText="1"/>
    </xf>
    <xf numFmtId="167" fontId="13" fillId="10" borderId="12" applyAlignment="1" pivotButton="0" quotePrefix="0" xfId="0">
      <alignment horizontal="center" vertical="center" wrapText="1"/>
    </xf>
    <xf numFmtId="171" fontId="15" fillId="0" borderId="9" applyAlignment="1" pivotButton="0" quotePrefix="0" xfId="1">
      <alignment vertical="center" wrapText="1"/>
    </xf>
    <xf numFmtId="172" fontId="13" fillId="0" borderId="9" applyAlignment="1" pivotButton="0" quotePrefix="0" xfId="1">
      <alignment horizontal="right" vertical="center" wrapText="1"/>
    </xf>
    <xf numFmtId="172" fontId="13" fillId="0" borderId="9" applyAlignment="1" pivotButton="0" quotePrefix="0" xfId="0">
      <alignment horizontal="right" vertical="center" wrapText="1"/>
    </xf>
    <xf numFmtId="164" fontId="15" fillId="16" borderId="9" applyAlignment="1" pivotButton="0" quotePrefix="0" xfId="1">
      <alignment horizontal="right" vertical="center" wrapText="1"/>
    </xf>
    <xf numFmtId="167" fontId="13" fillId="0" borderId="9" applyAlignment="1" pivotButton="0" quotePrefix="0" xfId="0">
      <alignment horizontal="center" vertical="center" wrapText="1"/>
    </xf>
    <xf numFmtId="164" fontId="15" fillId="0" borderId="12" applyAlignment="1" pivotButton="0" quotePrefix="0" xfId="1">
      <alignment horizontal="right" vertical="center" wrapText="1"/>
    </xf>
    <xf numFmtId="171" fontId="15" fillId="0" borderId="12" applyAlignment="1" pivotButton="0" quotePrefix="0" xfId="1">
      <alignment vertical="center" wrapText="1"/>
    </xf>
    <xf numFmtId="172" fontId="13" fillId="0" borderId="12" applyAlignment="1" pivotButton="0" quotePrefix="0" xfId="1">
      <alignment horizontal="right" vertical="center" wrapText="1"/>
    </xf>
    <xf numFmtId="172" fontId="13" fillId="0" borderId="12" applyAlignment="1" pivotButton="0" quotePrefix="0" xfId="0">
      <alignment horizontal="right" vertical="center" wrapText="1"/>
    </xf>
    <xf numFmtId="167" fontId="13" fillId="10" borderId="12" applyAlignment="1" pivotButton="0" quotePrefix="0" xfId="0">
      <alignment horizontal="left" vertical="center" wrapText="1"/>
    </xf>
    <xf numFmtId="164" fontId="15" fillId="2" borderId="12" applyAlignment="1" pivotButton="0" quotePrefix="0" xfId="1">
      <alignment horizontal="right" vertical="center" wrapText="1"/>
    </xf>
    <xf numFmtId="164" fontId="15" fillId="0" borderId="15" applyAlignment="1" pivotButton="0" quotePrefix="0" xfId="0">
      <alignment horizontal="right" vertical="center" wrapText="1"/>
    </xf>
    <xf numFmtId="169" fontId="13" fillId="0" borderId="14" applyAlignment="1" pivotButton="0" quotePrefix="0" xfId="1">
      <alignment horizontal="center" vertical="center" wrapText="1"/>
    </xf>
    <xf numFmtId="164" fontId="20" fillId="2" borderId="12" applyAlignment="1" pivotButton="0" quotePrefix="0" xfId="1">
      <alignment horizontal="right" vertical="center" wrapText="1"/>
    </xf>
    <xf numFmtId="164" fontId="20" fillId="0" borderId="15" applyAlignment="1" pivotButton="0" quotePrefix="0" xfId="0">
      <alignment horizontal="right" vertical="center" wrapText="1"/>
    </xf>
    <xf numFmtId="170" fontId="20" fillId="0" borderId="16" applyAlignment="1" pivotButton="0" quotePrefix="0" xfId="0">
      <alignment horizontal="right" vertical="center" wrapText="1"/>
    </xf>
    <xf numFmtId="164" fontId="20" fillId="0" borderId="16" applyAlignment="1" pivotButton="0" quotePrefix="0" xfId="0">
      <alignment horizontal="right" vertical="center" wrapText="1"/>
    </xf>
    <xf numFmtId="164" fontId="20" fillId="0" borderId="16" applyAlignment="1" pivotButton="0" quotePrefix="0" xfId="1">
      <alignment horizontal="right" vertical="center" wrapText="1"/>
    </xf>
    <xf numFmtId="164" fontId="20" fillId="0" borderId="14" applyAlignment="1" pivotButton="0" quotePrefix="0" xfId="1">
      <alignment horizontal="right" vertical="center" wrapText="1"/>
    </xf>
    <xf numFmtId="169" fontId="19" fillId="0" borderId="14" applyAlignment="1" pivotButton="0" quotePrefix="0" xfId="1">
      <alignment horizontal="center" vertical="center" wrapText="1"/>
    </xf>
    <xf numFmtId="167" fontId="19" fillId="10" borderId="12" applyAlignment="1" pivotButton="0" quotePrefix="0" xfId="1">
      <alignment horizontal="center" vertical="center" wrapText="1"/>
    </xf>
    <xf numFmtId="171" fontId="20" fillId="0" borderId="12" applyAlignment="1" pivotButton="0" quotePrefix="0" xfId="1">
      <alignment vertical="center" wrapText="1"/>
    </xf>
    <xf numFmtId="172" fontId="19" fillId="0" borderId="12" applyAlignment="1" pivotButton="0" quotePrefix="0" xfId="1">
      <alignment horizontal="right" vertical="center" wrapText="1"/>
    </xf>
    <xf numFmtId="172" fontId="19" fillId="0" borderId="12" applyAlignment="1" pivotButton="0" quotePrefix="0" xfId="2">
      <alignment horizontal="right" vertical="center" wrapText="1"/>
    </xf>
    <xf numFmtId="167" fontId="19" fillId="10" borderId="12" applyAlignment="1" pivotButton="0" quotePrefix="0" xfId="0">
      <alignment horizontal="left" vertical="center" wrapText="1"/>
    </xf>
    <xf numFmtId="171" fontId="9" fillId="0" borderId="9" applyAlignment="1" pivotButton="0" quotePrefix="0" xfId="1">
      <alignment vertical="center" wrapText="1"/>
    </xf>
    <xf numFmtId="171" fontId="0" fillId="0" borderId="9" applyAlignment="1" pivotButton="0" quotePrefix="0" xfId="1">
      <alignment vertical="center" wrapText="1"/>
    </xf>
    <xf numFmtId="169" fontId="0" fillId="0" borderId="9" applyAlignment="1" pivotButton="0" quotePrefix="0" xfId="1">
      <alignment vertical="center" wrapText="1"/>
    </xf>
    <xf numFmtId="169" fontId="0" fillId="0" borderId="9" applyAlignment="1" pivotButton="0" quotePrefix="0" xfId="1">
      <alignment wrapText="1"/>
    </xf>
    <xf numFmtId="170" fontId="15" fillId="0" borderId="16" applyAlignment="1" pivotButton="0" quotePrefix="0" xfId="0">
      <alignment horizontal="right" vertical="center" wrapText="1"/>
    </xf>
    <xf numFmtId="164" fontId="15" fillId="0" borderId="16" applyAlignment="1" pivotButton="0" quotePrefix="0" xfId="0">
      <alignment horizontal="right" vertical="center" wrapText="1"/>
    </xf>
    <xf numFmtId="164" fontId="15" fillId="0" borderId="16" applyAlignment="1" pivotButton="0" quotePrefix="0" xfId="1">
      <alignment horizontal="right" vertical="center" wrapText="1"/>
    </xf>
    <xf numFmtId="164" fontId="15" fillId="0" borderId="14" applyAlignment="1" pivotButton="0" quotePrefix="0" xfId="1">
      <alignment horizontal="right" vertical="center" wrapText="1"/>
    </xf>
    <xf numFmtId="167" fontId="13" fillId="10" borderId="12" applyAlignment="1" pivotButton="0" quotePrefix="0" xfId="1">
      <alignment horizontal="center" vertical="center" wrapText="1"/>
    </xf>
    <xf numFmtId="172" fontId="13" fillId="0" borderId="12" applyAlignment="1" pivotButton="0" quotePrefix="0" xfId="2">
      <alignment horizontal="right" vertical="center" wrapText="1"/>
    </xf>
    <xf numFmtId="164" fontId="20" fillId="0" borderId="12" applyAlignment="1" pivotButton="0" quotePrefix="0" xfId="1">
      <alignment horizontal="right" vertical="center" wrapText="1"/>
    </xf>
    <xf numFmtId="164" fontId="22" fillId="2" borderId="12" applyAlignment="1" pivotButton="0" quotePrefix="0" xfId="1">
      <alignment horizontal="right" vertical="center" wrapText="1"/>
    </xf>
    <xf numFmtId="164" fontId="22" fillId="0" borderId="15" applyAlignment="1" pivotButton="0" quotePrefix="0" xfId="0">
      <alignment horizontal="right" vertical="center" wrapText="1"/>
    </xf>
    <xf numFmtId="170" fontId="22" fillId="0" borderId="16" applyAlignment="1" pivotButton="0" quotePrefix="0" xfId="0">
      <alignment horizontal="right" vertical="center" wrapText="1"/>
    </xf>
    <xf numFmtId="164" fontId="22" fillId="0" borderId="16" applyAlignment="1" pivotButton="0" quotePrefix="0" xfId="0">
      <alignment horizontal="right" vertical="center" wrapText="1"/>
    </xf>
    <xf numFmtId="164" fontId="22" fillId="0" borderId="16" applyAlignment="1" pivotButton="0" quotePrefix="0" xfId="1">
      <alignment horizontal="right" vertical="center" wrapText="1"/>
    </xf>
    <xf numFmtId="164" fontId="22" fillId="0" borderId="14" applyAlignment="1" pivotButton="0" quotePrefix="0" xfId="1">
      <alignment horizontal="right" vertical="center" wrapText="1"/>
    </xf>
    <xf numFmtId="169" fontId="21" fillId="0" borderId="14" applyAlignment="1" pivotButton="0" quotePrefix="0" xfId="1">
      <alignment horizontal="center" vertical="center" wrapText="1"/>
    </xf>
    <xf numFmtId="167" fontId="21" fillId="10" borderId="12" applyAlignment="1" pivotButton="0" quotePrefix="0" xfId="1">
      <alignment horizontal="center" vertical="center" wrapText="1"/>
    </xf>
    <xf numFmtId="171" fontId="22" fillId="0" borderId="12" applyAlignment="1" pivotButton="0" quotePrefix="0" xfId="1">
      <alignment vertical="center" wrapText="1"/>
    </xf>
    <xf numFmtId="172" fontId="21" fillId="0" borderId="12" applyAlignment="1" pivotButton="0" quotePrefix="0" xfId="1">
      <alignment horizontal="right" vertical="center" wrapText="1"/>
    </xf>
    <xf numFmtId="172" fontId="21" fillId="0" borderId="12" applyAlignment="1" pivotButton="0" quotePrefix="0" xfId="2">
      <alignment horizontal="right" vertical="center" wrapText="1"/>
    </xf>
    <xf numFmtId="167" fontId="21" fillId="10" borderId="12" applyAlignment="1" pivotButton="0" quotePrefix="0" xfId="0">
      <alignment horizontal="left" vertical="center" wrapText="1"/>
    </xf>
    <xf numFmtId="164" fontId="24" fillId="2" borderId="12" applyAlignment="1" pivotButton="0" quotePrefix="0" xfId="1">
      <alignment horizontal="right" vertical="center" wrapText="1"/>
    </xf>
    <xf numFmtId="164" fontId="24" fillId="0" borderId="15" applyAlignment="1" pivotButton="0" quotePrefix="0" xfId="0">
      <alignment horizontal="right" vertical="center" wrapText="1"/>
    </xf>
    <xf numFmtId="170" fontId="24" fillId="0" borderId="16" applyAlignment="1" pivotButton="0" quotePrefix="0" xfId="0">
      <alignment horizontal="right" vertical="center" wrapText="1"/>
    </xf>
    <xf numFmtId="164" fontId="24" fillId="0" borderId="16" applyAlignment="1" pivotButton="0" quotePrefix="0" xfId="0">
      <alignment horizontal="right" vertical="center" wrapText="1"/>
    </xf>
    <xf numFmtId="164" fontId="24" fillId="0" borderId="16" applyAlignment="1" pivotButton="0" quotePrefix="0" xfId="1">
      <alignment horizontal="right" vertical="center" wrapText="1"/>
    </xf>
    <xf numFmtId="164" fontId="24" fillId="0" borderId="14" applyAlignment="1" pivotButton="0" quotePrefix="0" xfId="1">
      <alignment horizontal="right" vertical="center" wrapText="1"/>
    </xf>
    <xf numFmtId="169" fontId="23" fillId="0" borderId="14" applyAlignment="1" pivotButton="0" quotePrefix="0" xfId="1">
      <alignment horizontal="center" vertical="center" wrapText="1"/>
    </xf>
    <xf numFmtId="167" fontId="23" fillId="10" borderId="12" applyAlignment="1" pivotButton="0" quotePrefix="0" xfId="1">
      <alignment horizontal="center" vertical="center" wrapText="1"/>
    </xf>
    <xf numFmtId="171" fontId="24" fillId="0" borderId="12" applyAlignment="1" pivotButton="0" quotePrefix="0" xfId="1">
      <alignment vertical="center" wrapText="1"/>
    </xf>
    <xf numFmtId="172" fontId="23" fillId="0" borderId="12" applyAlignment="1" pivotButton="0" quotePrefix="0" xfId="1">
      <alignment horizontal="right" vertical="center" wrapText="1"/>
    </xf>
    <xf numFmtId="172" fontId="23" fillId="0" borderId="12" applyAlignment="1" pivotButton="0" quotePrefix="0" xfId="2">
      <alignment horizontal="right" vertical="center" wrapText="1"/>
    </xf>
    <xf numFmtId="167" fontId="23" fillId="10" borderId="12" applyAlignment="1" pivotButton="0" quotePrefix="0" xfId="0">
      <alignment horizontal="left" vertical="center" wrapText="1"/>
    </xf>
    <xf numFmtId="164" fontId="24" fillId="0" borderId="9" applyAlignment="1" pivotButton="0" quotePrefix="0" xfId="0">
      <alignment horizontal="right" vertical="center" wrapText="1"/>
    </xf>
    <xf numFmtId="164" fontId="24" fillId="0" borderId="9" applyAlignment="1" pivotButton="0" quotePrefix="0" xfId="1">
      <alignment horizontal="right" vertical="center" wrapText="1"/>
    </xf>
    <xf numFmtId="169" fontId="23" fillId="0" borderId="9" applyAlignment="1" pivotButton="0" quotePrefix="0" xfId="1">
      <alignment horizontal="center" vertical="center" wrapText="1"/>
    </xf>
    <xf numFmtId="169" fontId="0" fillId="0" borderId="9" applyAlignment="1" pivotButton="0" quotePrefix="0" xfId="1">
      <alignment horizontal="center" vertical="center" wrapText="1"/>
    </xf>
    <xf numFmtId="165" fontId="0" fillId="0" borderId="9" applyAlignment="1" pivotButton="0" quotePrefix="0" xfId="2">
      <alignment horizontal="center" vertical="center" wrapText="1"/>
    </xf>
    <xf numFmtId="173" fontId="23" fillId="0" borderId="9" applyAlignment="1" pivotButton="0" quotePrefix="0" xfId="1">
      <alignment horizontal="center" vertical="center" wrapText="1"/>
    </xf>
    <xf numFmtId="164" fontId="11" fillId="0" borderId="9" applyAlignment="1" pivotButton="0" quotePrefix="0" xfId="1">
      <alignment horizontal="center" vertical="center" wrapText="1"/>
    </xf>
    <xf numFmtId="164" fontId="9" fillId="0" borderId="9" applyAlignment="1" pivotButton="0" quotePrefix="0" xfId="1">
      <alignment vertical="center" wrapText="1"/>
    </xf>
    <xf numFmtId="164" fontId="0" fillId="0" borderId="9" applyAlignment="1" pivotButton="0" quotePrefix="0" xfId="1">
      <alignment vertical="center" wrapText="1"/>
    </xf>
    <xf numFmtId="164" fontId="18" fillId="0" borderId="9" applyAlignment="1" pivotButton="0" quotePrefix="0" xfId="0">
      <alignment horizontal="center" vertical="center" wrapText="1"/>
    </xf>
    <xf numFmtId="170" fontId="18" fillId="0" borderId="9" applyAlignment="1" pivotButton="0" quotePrefix="0" xfId="0">
      <alignment horizontal="center" vertical="center" wrapText="1"/>
    </xf>
    <xf numFmtId="164" fontId="18" fillId="0" borderId="9" applyAlignment="1" pivotButton="0" quotePrefix="0" xfId="1">
      <alignment vertical="center" wrapText="1"/>
    </xf>
    <xf numFmtId="164" fontId="18" fillId="0" borderId="9" applyAlignment="1" pivotButton="0" quotePrefix="0" xfId="1">
      <alignment horizontal="center" vertical="center" wrapText="1"/>
    </xf>
    <xf numFmtId="164" fontId="11" fillId="0" borderId="0" applyAlignment="1" pivotButton="0" quotePrefix="0" xfId="1">
      <alignment horizontal="center" vertical="center" wrapText="1"/>
    </xf>
    <xf numFmtId="173" fontId="28" fillId="17" borderId="9" applyAlignment="1" pivotButton="0" quotePrefix="0" xfId="0">
      <alignment horizontal="right" vertical="center"/>
    </xf>
    <xf numFmtId="173" fontId="28" fillId="17" borderId="9" applyAlignment="1" pivotButton="0" quotePrefix="0" xfId="0">
      <alignment horizontal="right" vertical="center" wrapText="1"/>
    </xf>
    <xf numFmtId="173" fontId="28" fillId="17" borderId="9" applyAlignment="1" pivotButton="0" quotePrefix="0" xfId="0">
      <alignment horizontal="left" vertical="center" wrapText="1"/>
    </xf>
    <xf numFmtId="173" fontId="28" fillId="12" borderId="9" applyAlignment="1" pivotButton="0" quotePrefix="0" xfId="0">
      <alignment horizontal="left" vertical="center" wrapText="1"/>
    </xf>
    <xf numFmtId="173" fontId="30" fillId="17" borderId="9" applyAlignment="1" pivotButton="0" quotePrefix="0" xfId="0">
      <alignment horizontal="left" vertical="center" wrapText="1"/>
    </xf>
    <xf numFmtId="173" fontId="26" fillId="12" borderId="0" applyAlignment="1" pivotButton="0" quotePrefix="0" xfId="0">
      <alignment vertical="center"/>
    </xf>
    <xf numFmtId="173" fontId="28" fillId="12" borderId="9" applyAlignment="1" pivotButton="0" quotePrefix="0" xfId="0">
      <alignment horizontal="right" vertical="center" wrapText="1"/>
    </xf>
    <xf numFmtId="173" fontId="28" fillId="0" borderId="9" applyAlignment="1" pivotButton="0" quotePrefix="0" xfId="0">
      <alignment horizontal="right" vertical="center" wrapText="1"/>
    </xf>
    <xf numFmtId="173" fontId="28" fillId="17" borderId="9" applyAlignment="1" pivotButton="0" quotePrefix="0" xfId="0">
      <alignment vertical="center" wrapText="1"/>
    </xf>
    <xf numFmtId="173" fontId="28" fillId="17" borderId="12" applyAlignment="1" pivotButton="0" quotePrefix="0" xfId="0">
      <alignment vertical="center" wrapText="1"/>
    </xf>
    <xf numFmtId="0" fontId="49" fillId="36" borderId="0" applyAlignment="1" pivotButton="0" quotePrefix="0" xfId="0">
      <alignment horizontal="center" vertical="center" wrapText="1"/>
    </xf>
    <xf numFmtId="174" fontId="0" fillId="0" borderId="0" pivotButton="0" quotePrefix="0" xfId="0"/>
    <xf numFmtId="0" fontId="50" fillId="36" borderId="0" applyAlignment="1" pivotButton="0" quotePrefix="0" xfId="0">
      <alignment horizontal="center" vertical="center"/>
    </xf>
    <xf numFmtId="0" fontId="51" fillId="37" borderId="32" applyAlignment="1" pivotButton="0" quotePrefix="0" xfId="0">
      <alignment horizontal="center" vertical="center" wrapText="1"/>
    </xf>
    <xf numFmtId="0" fontId="0" fillId="37" borderId="32" pivotButton="0" quotePrefix="0" xfId="0"/>
    <xf numFmtId="1" fontId="52" fillId="37" borderId="32" applyAlignment="1" pivotButton="0" quotePrefix="0" xfId="0">
      <alignment horizontal="center" vertical="center"/>
    </xf>
    <xf numFmtId="3" fontId="52" fillId="37" borderId="32" applyAlignment="1" pivotButton="0" quotePrefix="0" xfId="0">
      <alignment horizontal="center" vertical="center"/>
    </xf>
    <xf numFmtId="168" fontId="52" fillId="37" borderId="32" applyAlignment="1" pivotButton="0" quotePrefix="0" xfId="0">
      <alignment horizontal="center" vertical="center"/>
    </xf>
    <xf numFmtId="0" fontId="53" fillId="38" borderId="0" applyAlignment="1" pivotButton="0" quotePrefix="0" xfId="0">
      <alignment horizontal="center" vertical="center"/>
    </xf>
    <xf numFmtId="0" fontId="54" fillId="39" borderId="32" applyAlignment="1" pivotButton="0" quotePrefix="0" xfId="0">
      <alignment horizontal="center" wrapText="1"/>
    </xf>
    <xf numFmtId="0" fontId="0" fillId="0" borderId="32" pivotButton="0" quotePrefix="0" xfId="0"/>
    <xf numFmtId="0" fontId="0" fillId="0" borderId="32" applyAlignment="1" pivotButton="0" quotePrefix="0" xfId="0">
      <alignment horizontal="center"/>
    </xf>
    <xf numFmtId="0" fontId="55" fillId="0" borderId="32" applyAlignment="1" pivotButton="0" quotePrefix="0" xfId="0">
      <alignment horizontal="center"/>
    </xf>
    <xf numFmtId="0" fontId="55" fillId="0" borderId="32" pivotButton="0" quotePrefix="0" xfId="0"/>
    <xf numFmtId="3" fontId="0" fillId="0" borderId="32" pivotButton="0" quotePrefix="0" xfId="0"/>
    <xf numFmtId="168" fontId="0" fillId="0" borderId="32" applyAlignment="1" pivotButton="0" quotePrefix="0" xfId="0">
      <alignment horizontal="center"/>
    </xf>
    <xf numFmtId="0" fontId="0" fillId="0" borderId="32" applyAlignment="1" pivotButton="0" quotePrefix="0" xfId="0">
      <alignment horizontal="center" vertical="top" wrapText="1"/>
    </xf>
    <xf numFmtId="0" fontId="0" fillId="0" borderId="32" applyAlignment="1" pivotButton="0" quotePrefix="0" xfId="0">
      <alignment vertical="top" wrapText="1"/>
    </xf>
    <xf numFmtId="3" fontId="0" fillId="0" borderId="32" applyAlignment="1" pivotButton="0" quotePrefix="0" xfId="0">
      <alignment horizontal="center" vertical="top" wrapText="1"/>
    </xf>
    <xf numFmtId="174" fontId="0" fillId="0" borderId="32" applyAlignment="1" pivotButton="0" quotePrefix="0" xfId="0">
      <alignment horizontal="center" vertical="top" wrapText="1"/>
    </xf>
    <xf numFmtId="174" fontId="0" fillId="0" borderId="0" pivotButton="0" quotePrefix="0" xfId="0"/>
    <xf numFmtId="0" fontId="56" fillId="36" borderId="0" applyAlignment="1" pivotButton="0" quotePrefix="0" xfId="0">
      <alignment horizontal="center" vertical="center"/>
    </xf>
    <xf numFmtId="0" fontId="57" fillId="0" borderId="0" pivotButton="0" quotePrefix="0" xfId="0"/>
    <xf numFmtId="0" fontId="58" fillId="40" borderId="32" applyAlignment="1" pivotButton="0" quotePrefix="0" xfId="0">
      <alignment horizontal="center"/>
    </xf>
    <xf numFmtId="0" fontId="54" fillId="39" borderId="32" applyAlignment="1" pivotButton="0" quotePrefix="0" xfId="0">
      <alignment horizontal="center" vertical="center" wrapText="1"/>
    </xf>
    <xf numFmtId="0" fontId="54" fillId="41" borderId="32" applyAlignment="1" pivotButton="0" quotePrefix="0" xfId="0">
      <alignment horizontal="center" vertical="center"/>
    </xf>
    <xf numFmtId="3" fontId="55" fillId="0" borderId="32" applyAlignment="1" pivotButton="0" quotePrefix="0" xfId="0">
      <alignment horizontal="center"/>
    </xf>
    <xf numFmtId="0" fontId="0" fillId="0" borderId="35" pivotButton="0" quotePrefix="0" xfId="0"/>
    <xf numFmtId="0" fontId="0" fillId="0" borderId="34" pivotButton="0" quotePrefix="0" xfId="0"/>
    <xf numFmtId="0" fontId="0" fillId="0" borderId="38" pivotButton="0" quotePrefix="0" xfId="0"/>
    <xf numFmtId="0" fontId="0" fillId="0" borderId="39" pivotButton="0" quotePrefix="0" xfId="0"/>
    <xf numFmtId="0" fontId="59" fillId="0" borderId="0" applyAlignment="1" pivotButton="0" quotePrefix="0" xfId="0">
      <alignment horizontal="center"/>
    </xf>
    <xf numFmtId="0" fontId="49" fillId="38" borderId="32" applyAlignment="1" pivotButton="0" quotePrefix="0" xfId="0">
      <alignment horizontal="center" vertical="center" wrapText="1"/>
    </xf>
    <xf numFmtId="3" fontId="55" fillId="0" borderId="32" pivotButton="0" quotePrefix="0" xfId="0"/>
    <xf numFmtId="0" fontId="0" fillId="0" borderId="42" pivotButton="0" quotePrefix="0" xfId="0"/>
    <xf numFmtId="0" fontId="0" fillId="0" borderId="41" pivotButton="0" quotePrefix="0" xfId="0"/>
    <xf numFmtId="0" fontId="60" fillId="42" borderId="0" applyAlignment="1" pivotButton="0" quotePrefix="0" xfId="0">
      <alignment horizontal="center" vertical="center"/>
    </xf>
    <xf numFmtId="0" fontId="61" fillId="0" borderId="0" applyAlignment="1" pivotButton="0" quotePrefix="0" xfId="0">
      <alignment horizontal="center"/>
    </xf>
    <xf numFmtId="0" fontId="62" fillId="43" borderId="43" applyAlignment="1" pivotButton="0" quotePrefix="0" xfId="0">
      <alignment horizontal="center" vertical="center" wrapText="1"/>
    </xf>
    <xf numFmtId="0" fontId="63" fillId="38" borderId="43" applyAlignment="1" pivotButton="0" quotePrefix="0" xfId="0">
      <alignment horizontal="center" vertical="center" wrapText="1"/>
    </xf>
    <xf numFmtId="0" fontId="0" fillId="0" borderId="43" applyAlignment="1" pivotButton="0" quotePrefix="0" xfId="0">
      <alignment horizontal="center" vertical="center" wrapText="1"/>
    </xf>
    <xf numFmtId="0" fontId="63" fillId="44" borderId="43" applyAlignment="1" pivotButton="0" quotePrefix="0" xfId="0">
      <alignment horizontal="center" vertical="center" wrapText="1"/>
    </xf>
    <xf numFmtId="0" fontId="65" fillId="45" borderId="43" applyAlignment="1" pivotButton="0" quotePrefix="0" xfId="0">
      <alignment horizontal="center" vertical="center" wrapText="1"/>
    </xf>
    <xf numFmtId="0" fontId="64" fillId="38" borderId="43" applyAlignment="1" pivotButton="0" quotePrefix="0" xfId="0">
      <alignment horizontal="center" vertical="center" wrapText="1"/>
    </xf>
    <xf numFmtId="0" fontId="64" fillId="44" borderId="43" applyAlignment="1" pivotButton="0" quotePrefix="0" xfId="0">
      <alignment horizontal="center" vertical="center" wrapText="1"/>
    </xf>
    <xf numFmtId="0" fontId="66" fillId="46" borderId="43" applyAlignment="1" pivotButton="0" quotePrefix="0" xfId="0">
      <alignment horizontal="center" vertical="center"/>
    </xf>
    <xf numFmtId="4" fontId="67" fillId="47" borderId="43" applyAlignment="1" pivotButton="0" quotePrefix="0" xfId="0">
      <alignment horizontal="right" vertical="center"/>
    </xf>
    <xf numFmtId="4" fontId="66" fillId="41" borderId="43" applyAlignment="1" pivotButton="0" quotePrefix="0" xfId="0">
      <alignment horizontal="right" vertical="center"/>
    </xf>
    <xf numFmtId="4" fontId="67" fillId="48" borderId="43" applyAlignment="1" pivotButton="0" quotePrefix="0" xfId="0">
      <alignment horizontal="right" vertical="center"/>
    </xf>
    <xf numFmtId="4" fontId="66" fillId="49" borderId="43" applyAlignment="1" pivotButton="0" quotePrefix="0" xfId="0">
      <alignment horizontal="right" vertical="center"/>
    </xf>
    <xf numFmtId="4" fontId="66" fillId="45" borderId="43" applyAlignment="1" pivotButton="0" quotePrefix="0" xfId="0">
      <alignment horizontal="right" vertical="center"/>
    </xf>
    <xf numFmtId="0" fontId="62" fillId="43" borderId="43" applyAlignment="1" pivotButton="0" quotePrefix="0" xfId="0">
      <alignment horizontal="center" vertical="center"/>
    </xf>
    <xf numFmtId="4" fontId="68" fillId="38" borderId="43" applyAlignment="1" pivotButton="0" quotePrefix="0" xfId="0">
      <alignment horizontal="right" vertical="center"/>
    </xf>
    <xf numFmtId="4" fontId="68" fillId="44" borderId="43" applyAlignment="1" pivotButton="0" quotePrefix="0" xfId="0">
      <alignment horizontal="right" vertical="center"/>
    </xf>
    <xf numFmtId="4" fontId="65" fillId="45" borderId="43" applyAlignment="1" pivotButton="0" quotePrefix="0" xfId="0">
      <alignment horizontal="right" vertical="center"/>
    </xf>
    <xf numFmtId="0" fontId="0" fillId="0" borderId="46" pivotButton="0" quotePrefix="0" xfId="0"/>
    <xf numFmtId="0" fontId="0" fillId="0" borderId="47" pivotButton="0" quotePrefix="0" xfId="0"/>
    <xf numFmtId="0" fontId="0" fillId="0" borderId="50" pivotButton="0" quotePrefix="0" xfId="0"/>
    <xf numFmtId="164" fontId="4" fillId="2" borderId="0" pivotButton="0" quotePrefix="0" xfId="0"/>
    <xf numFmtId="165" fontId="4" fillId="2" borderId="0" applyAlignment="1" pivotButton="0" quotePrefix="0" xfId="0">
      <alignment horizontal="center"/>
    </xf>
    <xf numFmtId="164" fontId="5" fillId="3" borderId="0" pivotButton="0" quotePrefix="0" xfId="0"/>
    <xf numFmtId="165" fontId="5" fillId="3" borderId="0" applyAlignment="1" pivotButton="0" quotePrefix="0" xfId="0">
      <alignment horizontal="center"/>
    </xf>
    <xf numFmtId="164" fontId="5" fillId="4" borderId="0" pivotButton="0" quotePrefix="0" xfId="0"/>
    <xf numFmtId="165" fontId="5" fillId="4" borderId="0" applyAlignment="1" pivotButton="0" quotePrefix="0" xfId="0">
      <alignment horizontal="center"/>
    </xf>
    <xf numFmtId="166" fontId="12" fillId="0" borderId="0" pivotButton="0" quotePrefix="0" xfId="0"/>
    <xf numFmtId="164" fontId="7" fillId="5" borderId="3" pivotButton="0" quotePrefix="0" xfId="0"/>
    <xf numFmtId="165" fontId="7" fillId="5" borderId="3" applyAlignment="1" pivotButton="0" quotePrefix="0" xfId="0">
      <alignment horizontal="center"/>
    </xf>
    <xf numFmtId="169" fontId="5" fillId="3" borderId="4" applyAlignment="1" pivotButton="0" quotePrefix="0" xfId="0">
      <alignment horizontal="center"/>
    </xf>
    <xf numFmtId="169" fontId="5" fillId="6" borderId="3" applyAlignment="1" pivotButton="0" quotePrefix="0" xfId="0">
      <alignment horizontal="center"/>
    </xf>
    <xf numFmtId="169" fontId="5" fillId="3" borderId="3" applyAlignment="1" pivotButton="0" quotePrefix="0" xfId="0">
      <alignment horizontal="center"/>
    </xf>
    <xf numFmtId="164" fontId="7" fillId="2" borderId="3" pivotButton="0" quotePrefix="0" xfId="0"/>
    <xf numFmtId="165" fontId="7" fillId="2" borderId="3" applyAlignment="1" pivotButton="0" quotePrefix="0" xfId="0">
      <alignment horizontal="center"/>
    </xf>
    <xf numFmtId="164" fontId="5" fillId="4" borderId="4" pivotButton="0" quotePrefix="0" xfId="0"/>
    <xf numFmtId="164" fontId="5" fillId="3" borderId="5" pivotButton="0" quotePrefix="0" xfId="0"/>
    <xf numFmtId="164" fontId="5" fillId="4" borderId="5" pivotButton="0" quotePrefix="0" xfId="0"/>
    <xf numFmtId="171" fontId="8" fillId="7" borderId="6" applyAlignment="1" pivotButton="0" quotePrefix="0" xfId="0">
      <alignment horizontal="left" vertical="center" wrapText="1"/>
    </xf>
    <xf numFmtId="164" fontId="12" fillId="0" borderId="0" pivotButton="0" quotePrefix="0" xfId="0"/>
    <xf numFmtId="0" fontId="63" fillId="36" borderId="51" applyAlignment="1" pivotButton="0" quotePrefix="0" xfId="0">
      <alignment horizontal="center" vertical="center" wrapText="1"/>
    </xf>
    <xf numFmtId="0" fontId="63" fillId="36" borderId="52" applyAlignment="1" pivotButton="0" quotePrefix="0" xfId="0">
      <alignment horizontal="center" vertical="center" wrapText="1"/>
    </xf>
    <xf numFmtId="164" fontId="63" fillId="36" borderId="52" applyAlignment="1" pivotButton="0" quotePrefix="0" xfId="0">
      <alignment horizontal="center" vertical="center" wrapText="1"/>
    </xf>
    <xf numFmtId="164" fontId="63" fillId="36" borderId="51" applyAlignment="1" pivotButton="0" quotePrefix="0" xfId="0">
      <alignment horizontal="center" vertical="center" wrapText="1"/>
    </xf>
    <xf numFmtId="14" fontId="63" fillId="36" borderId="51" applyAlignment="1" pivotButton="0" quotePrefix="0" xfId="0">
      <alignment horizontal="center" vertical="center" wrapText="1"/>
    </xf>
    <xf numFmtId="14" fontId="63" fillId="36" borderId="52" applyAlignment="1" pivotButton="0" quotePrefix="0" xfId="0">
      <alignment horizontal="center" vertical="center" wrapText="1"/>
    </xf>
    <xf numFmtId="170" fontId="63" fillId="36" borderId="51" applyAlignment="1" pivotButton="0" quotePrefix="0" xfId="0">
      <alignment horizontal="center" vertical="center" wrapText="1"/>
    </xf>
    <xf numFmtId="169" fontId="63" fillId="36" borderId="51" applyAlignment="1" pivotButton="0" quotePrefix="0" xfId="0">
      <alignment horizontal="center" vertical="center" wrapText="1"/>
    </xf>
    <xf numFmtId="165" fontId="63" fillId="36" borderId="51" applyAlignment="1" pivotButton="0" quotePrefix="0" xfId="0">
      <alignment horizontal="center" vertical="center" wrapText="1"/>
    </xf>
    <xf numFmtId="171" fontId="63" fillId="36" borderId="52" applyAlignment="1" pivotButton="0" quotePrefix="0" xfId="0">
      <alignment horizontal="center" vertical="center" wrapText="1"/>
    </xf>
    <xf numFmtId="0" fontId="12" fillId="0" borderId="0" applyAlignment="1" pivotButton="0" quotePrefix="0" xfId="0">
      <alignment vertical="center"/>
    </xf>
    <xf numFmtId="0" fontId="69" fillId="0" borderId="53" applyAlignment="1" pivotButton="0" quotePrefix="0" xfId="0">
      <alignment horizontal="center" vertical="center"/>
    </xf>
    <xf numFmtId="0" fontId="70" fillId="0" borderId="54" applyAlignment="1" pivotButton="0" quotePrefix="0" xfId="0">
      <alignment horizontal="center" vertical="center" wrapText="1"/>
    </xf>
    <xf numFmtId="0" fontId="71" fillId="0" borderId="53" applyAlignment="1" pivotButton="0" quotePrefix="0" xfId="0">
      <alignment horizontal="center" vertical="center" wrapText="1"/>
    </xf>
    <xf numFmtId="0" fontId="70" fillId="0" borderId="53" applyAlignment="1" pivotButton="0" quotePrefix="0" xfId="0">
      <alignment horizontal="center" vertical="center" wrapText="1"/>
    </xf>
    <xf numFmtId="0" fontId="72" fillId="0" borderId="53" applyAlignment="1" pivotButton="0" quotePrefix="0" xfId="0">
      <alignment horizontal="left" vertical="center" wrapText="1"/>
    </xf>
    <xf numFmtId="0" fontId="70" fillId="0" borderId="53" applyAlignment="1" pivotButton="0" quotePrefix="0" xfId="0">
      <alignment horizontal="left" vertical="center" wrapText="1"/>
    </xf>
    <xf numFmtId="0" fontId="71" fillId="0" borderId="53" applyAlignment="1" pivotButton="0" quotePrefix="0" xfId="0">
      <alignment horizontal="left" vertical="center" wrapText="1"/>
    </xf>
    <xf numFmtId="4" fontId="71" fillId="0" borderId="54" applyAlignment="1" pivotButton="0" quotePrefix="0" xfId="0">
      <alignment horizontal="right" vertical="center"/>
    </xf>
    <xf numFmtId="4" fontId="71" fillId="0" borderId="53" applyAlignment="1" pivotButton="0" quotePrefix="0" xfId="0">
      <alignment horizontal="right" vertical="center"/>
    </xf>
    <xf numFmtId="174" fontId="70" fillId="0" borderId="54" applyAlignment="1" pivotButton="0" quotePrefix="0" xfId="0">
      <alignment horizontal="center" vertical="center" wrapText="1"/>
    </xf>
    <xf numFmtId="174" fontId="70" fillId="0" borderId="53" applyAlignment="1" pivotButton="0" quotePrefix="0" xfId="0">
      <alignment horizontal="center" vertical="center" wrapText="1"/>
    </xf>
    <xf numFmtId="0" fontId="70" fillId="0" borderId="54" applyAlignment="1" pivotButton="0" quotePrefix="0" xfId="0">
      <alignment horizontal="left" vertical="center" wrapText="1"/>
    </xf>
    <xf numFmtId="0" fontId="71" fillId="0" borderId="54" applyAlignment="1" pivotButton="0" quotePrefix="0" xfId="0">
      <alignment horizontal="center" vertical="center" wrapText="1"/>
    </xf>
    <xf numFmtId="168" fontId="70" fillId="0" borderId="53" applyAlignment="1" pivotButton="0" quotePrefix="0" xfId="0">
      <alignment horizontal="right" vertical="center"/>
    </xf>
    <xf numFmtId="171" fontId="11" fillId="0" borderId="0" applyAlignment="1" pivotButton="0" quotePrefix="0" xfId="0">
      <alignment horizontal="center" vertical="center" wrapText="1"/>
    </xf>
    <xf numFmtId="171" fontId="10" fillId="0" borderId="0" applyAlignment="1" pivotButton="0" quotePrefix="0" xfId="0">
      <alignment horizontal="center" vertical="center" wrapText="1"/>
    </xf>
    <xf numFmtId="169" fontId="10" fillId="0" borderId="0" applyAlignment="1" pivotButton="0" quotePrefix="0" xfId="0">
      <alignment horizontal="center" vertical="center" wrapText="1"/>
    </xf>
    <xf numFmtId="171" fontId="11" fillId="0" borderId="0" applyAlignment="1" pivotButton="0" quotePrefix="0" xfId="0">
      <alignment vertical="center" wrapText="1"/>
    </xf>
    <xf numFmtId="171" fontId="10" fillId="0" borderId="0" applyAlignment="1" pivotButton="0" quotePrefix="0" xfId="0">
      <alignment vertical="center" wrapText="1"/>
    </xf>
    <xf numFmtId="169" fontId="10" fillId="0" borderId="0" applyAlignment="1" pivotButton="0" quotePrefix="0" xfId="0">
      <alignment vertical="center" wrapText="1"/>
    </xf>
    <xf numFmtId="169" fontId="10" fillId="0" borderId="0" applyAlignment="1" pivotButton="0" quotePrefix="0" xfId="0">
      <alignment wrapText="1"/>
    </xf>
    <xf numFmtId="14" fontId="70" fillId="0" borderId="53" applyAlignment="1" pivotButton="0" quotePrefix="0" xfId="0">
      <alignment horizontal="center" vertical="center" wrapText="1"/>
    </xf>
    <xf numFmtId="171" fontId="9" fillId="19" borderId="0" applyAlignment="1" pivotButton="0" quotePrefix="0" xfId="0">
      <alignment vertical="center" wrapText="1"/>
    </xf>
    <xf numFmtId="171" fontId="12" fillId="19" borderId="0" applyAlignment="1" pivotButton="0" quotePrefix="0" xfId="0">
      <alignment vertical="center" wrapText="1"/>
    </xf>
    <xf numFmtId="169" fontId="12" fillId="19" borderId="0" applyAlignment="1" pivotButton="0" quotePrefix="0" xfId="0">
      <alignment vertical="center" wrapText="1"/>
    </xf>
    <xf numFmtId="0" fontId="12" fillId="19" borderId="0" applyAlignment="1" pivotButton="0" quotePrefix="0" xfId="0">
      <alignment horizontal="center" vertical="center" wrapText="1"/>
    </xf>
    <xf numFmtId="169" fontId="12" fillId="19" borderId="0" applyAlignment="1" pivotButton="0" quotePrefix="0" xfId="0">
      <alignment wrapText="1"/>
    </xf>
    <xf numFmtId="14" fontId="71" fillId="0" borderId="53" applyAlignment="1" pivotButton="0" quotePrefix="0" xfId="0">
      <alignment horizontal="center" vertical="center" wrapText="1"/>
    </xf>
    <xf numFmtId="171" fontId="9" fillId="0" borderId="9" applyAlignment="1" pivotButton="0" quotePrefix="0" xfId="0">
      <alignment vertical="center" wrapText="1"/>
    </xf>
    <xf numFmtId="171" fontId="12" fillId="0" borderId="9" applyAlignment="1" pivotButton="0" quotePrefix="0" xfId="0">
      <alignment vertical="center" wrapText="1"/>
    </xf>
    <xf numFmtId="169" fontId="12" fillId="0" borderId="9" applyAlignment="1" pivotButton="0" quotePrefix="0" xfId="0">
      <alignment vertical="center" wrapText="1"/>
    </xf>
    <xf numFmtId="0" fontId="12" fillId="0" borderId="9" applyAlignment="1" pivotButton="0" quotePrefix="0" xfId="0">
      <alignment horizontal="center" vertical="center" wrapText="1"/>
    </xf>
    <xf numFmtId="169" fontId="12" fillId="0" borderId="9" applyAlignment="1" pivotButton="0" quotePrefix="0" xfId="0">
      <alignment wrapText="1"/>
    </xf>
    <xf numFmtId="14" fontId="70" fillId="0" borderId="54" applyAlignment="1" pivotButton="0" quotePrefix="0" xfId="0">
      <alignment horizontal="left" vertical="center" wrapText="1"/>
    </xf>
    <xf numFmtId="171" fontId="9" fillId="0" borderId="0" applyAlignment="1" pivotButton="0" quotePrefix="0" xfId="0">
      <alignment vertical="center" wrapText="1"/>
    </xf>
    <xf numFmtId="171" fontId="12" fillId="0" borderId="0" applyAlignment="1" pivotButton="0" quotePrefix="0" xfId="0">
      <alignment vertical="center" wrapText="1"/>
    </xf>
    <xf numFmtId="169" fontId="12" fillId="0" borderId="0" applyAlignment="1" pivotButton="0" quotePrefix="0" xfId="0">
      <alignment vertical="center" wrapText="1"/>
    </xf>
    <xf numFmtId="0" fontId="12" fillId="0" borderId="0" applyAlignment="1" pivotButton="0" quotePrefix="0" xfId="0">
      <alignment horizontal="center" vertical="center" wrapText="1"/>
    </xf>
    <xf numFmtId="169" fontId="12" fillId="0" borderId="0" applyAlignment="1" pivotButton="0" quotePrefix="0" xfId="0">
      <alignment wrapText="1"/>
    </xf>
    <xf numFmtId="164" fontId="11" fillId="0" borderId="0" applyAlignment="1" pivotButton="0" quotePrefix="0" xfId="0">
      <alignment horizontal="center" vertical="center" wrapText="1"/>
    </xf>
  </cellXfs>
  <cellStyles count="16">
    <cellStyle name="Normal" xfId="0" builtinId="0"/>
    <cellStyle name="Milliers" xfId="1" builtinId="3"/>
    <cellStyle name="Pourcentage" xfId="2" builtinId="5"/>
    <cellStyle name="Lien hypertexte 2" xfId="3"/>
    <cellStyle name="Milliers 10" xfId="4"/>
    <cellStyle name="Milliers 2" xfId="5"/>
    <cellStyle name="Milliers 2 2" xfId="6"/>
    <cellStyle name="Milliers 2 3" xfId="7"/>
    <cellStyle name="Milliers 3" xfId="8"/>
    <cellStyle name="Milliers 3 2" xfId="9"/>
    <cellStyle name="Milliers 4" xfId="10"/>
    <cellStyle name="Normal 11" xfId="11"/>
    <cellStyle name="Normal 2" xfId="12"/>
    <cellStyle name="Normal 4" xfId="13"/>
    <cellStyle name="Normal 5" xfId="14"/>
    <cellStyle name="Normal 10" xfId="15"/>
  </cellStyles>
  <dxfs count="711">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64" formatCode="#.##0\.00"/>
      <alignment horizontal="righ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70" formatCode="#,##0.00\ [$MAD]"/>
      <alignment horizontal="general"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71" formatCode="[$د.م.‏-1801]\ #,##0.00;[Red][$د.م.‏-1801]\ #,##0.00\-"/>
      <fill>
        <patternFill patternType="solid">
          <fgColor rgb="FF70AD47"/>
          <bgColor rgb="FF77BC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right/>
        <top style="thin">
          <color auto="1"/>
        </top>
        <bottom style="thin">
          <color auto="1"/>
        </bottom>
      </border>
      <protection locked="1" hidden="0"/>
    </dxf>
    <dxf>
      <font>
        <name val="Calibri"/>
        <b val="1"/>
        <strike val="0"/>
        <outline val="0"/>
        <shadow val="0"/>
        <condense val="0"/>
        <color theme="1"/>
        <extend val="0"/>
        <sz val="10"/>
        <vertAlign val="baseline"/>
      </font>
      <numFmt numFmtId="169" formatCode="#,##0.00\ &quot;€&quot;"/>
      <fill>
        <patternFill>
          <fgColor indexed="64"/>
          <bgColor indexed="65"/>
        </patternFill>
      </fill>
      <alignment horizontal="right" vertical="center" wrapText="1"/>
      <border>
        <left/>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fgColor indexed="64"/>
          <bgColor indexed="65"/>
        </patternFill>
      </fill>
      <alignment horizontal="right"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alignment horizontal="center" vertical="center" wrapText="1"/>
      <border outline="0">
        <left style="thin">
          <color auto="1"/>
        </left>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indexed="64"/>
          <bgColor theme="0"/>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9" formatCode="dd/mm/yyyy"/>
      <fill>
        <patternFill patternType="solid">
          <fgColor rgb="FF8497B0"/>
          <bgColor theme="0" tint="-0.499984740745262"/>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numFmt numFmtId="165" formatCode="#,##0.00\ _€"/>
      <fill>
        <patternFill patternType="solid">
          <fgColor rgb="FF8497B0"/>
          <bgColor theme="0" tint="-0.499984740745262"/>
        </patternFill>
      </fill>
      <alignment horizontal="right" vertical="center" wrapText="1"/>
      <border>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fgColor indexed="64"/>
          <bgColor indexed="65"/>
        </patternFill>
      </fill>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left" vertical="center" wrapText="1"/>
      <border outline="0">
        <left style="thin">
          <color auto="1"/>
        </left>
        <right style="thin">
          <color auto="1"/>
        </right>
        <top style="thin">
          <color auto="1"/>
        </top>
        <bottom style="thin">
          <color auto="1"/>
        </bottom>
      </border>
      <protection locked="1" hidden="0"/>
    </dxf>
    <dxf>
      <font>
        <name val="Calibri"/>
        <strike val="0"/>
        <outline val="0"/>
        <shadow val="0"/>
        <sz val="10"/>
        <vertAlign val="baseline"/>
      </font>
      <numFmt numFmtId="0" formatCode="General"/>
      <alignment horizontal="center" vertical="center" wrapText="1"/>
      <border>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numFmt numFmtId="19" formatCode="dd/mm/yyyy"/>
      <alignment horizontal="left" vertical="center" wrapText="1"/>
      <border outline="0">
        <left style="thin">
          <color auto="1"/>
        </left>
        <right style="thin">
          <color auto="1"/>
        </right>
        <top style="thin">
          <color auto="1"/>
        </top>
        <bottom style="thin">
          <color auto="1"/>
        </bottom>
      </border>
      <protection locked="1" hidden="0"/>
    </dxf>
    <dxf>
      <font>
        <name val="Calibri"/>
        <b val="1"/>
        <strike val="0"/>
        <outline val="0"/>
        <shadow val="0"/>
        <condense val="0"/>
        <color theme="1"/>
        <extend val="0"/>
        <sz val="10"/>
        <vertAlign val="baseline"/>
      </font>
      <alignment horizontal="center" vertical="center" wrapText="1"/>
      <border outline="0">
        <left style="thin">
          <color auto="1"/>
        </left>
        <right style="thin">
          <color auto="1"/>
        </right>
        <top style="thin">
          <color auto="1"/>
        </top>
        <bottom style="thin">
          <color auto="1"/>
        </bottom>
      </border>
      <protection locked="1" hidden="0"/>
    </dxf>
    <dxf>
      <font>
        <name val="Calibri"/>
        <strike val="0"/>
        <outline val="0"/>
        <shadow val="0"/>
        <condense val="0"/>
        <color theme="1"/>
        <extend val="0"/>
        <sz val="10"/>
        <vertAlign val="baseline"/>
      </font>
      <fill>
        <patternFill patternType="solid">
          <fgColor indexed="64"/>
          <bgColor rgb="FFFFFF00"/>
        </patternFill>
      </fill>
      <alignment horizontal="center" vertical="center" wrapText="1"/>
      <border outline="0">
        <left/>
        <right style="thin">
          <color auto="1"/>
        </right>
        <top style="thin">
          <color auto="1"/>
        </top>
        <bottom style="thin">
          <color auto="1"/>
        </bottom>
      </border>
      <protection locked="1" hidden="0"/>
    </dxf>
    <dxf>
      <border outline="0">
        <left style="thin">
          <color auto="1"/>
        </left>
        <bottom style="thin">
          <color auto="1"/>
        </bottom>
      </border>
    </dxf>
    <dxf>
      <font>
        <name val="Calibri"/>
        <strike val="0"/>
        <outline val="0"/>
        <shadow val="0"/>
        <sz val="10"/>
        <vertAlign val="baseline"/>
      </font>
      <alignment vertical="center"/>
    </dxf>
    <dxf>
      <font>
        <name val="Calibri"/>
        <b val="1"/>
        <strike val="0"/>
        <outline val="0"/>
        <shadow val="0"/>
        <condense val="0"/>
        <color rgb="FFFFFFFF"/>
        <extend val="0"/>
        <sz val="10"/>
        <vertAlign val="baseline"/>
      </font>
      <fill>
        <patternFill patternType="solid">
          <fgColor rgb="FFA6A6A6"/>
          <bgColor rgb="FF2E75B6"/>
        </patternFill>
      </fill>
      <alignment horizontal="center" vertical="center" wrapText="1"/>
      <border outline="0">
        <left style="thin">
          <color theme="0" tint="-0.3499862666707358"/>
        </left>
        <right style="thin">
          <color theme="0" tint="-0.3499862666707358"/>
        </right>
        <top/>
        <bottom/>
      </border>
      <protection locked="1" hidden="0"/>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b val="1"/>
        <color rgb="FF9C0006"/>
      </font>
    </dxf>
    <dxf>
      <font>
        <b val="1"/>
        <color rgb="FF5F497A"/>
      </font>
    </dxf>
    <dxf>
      <font>
        <b val="1"/>
        <color rgb="FF1F4E79"/>
      </font>
    </dxf>
    <dxf>
      <font>
        <b val="1"/>
        <color rgb="FF9C6500"/>
      </font>
    </dxf>
    <dxf>
      <font>
        <b val="1"/>
        <color rgb="FF006100"/>
      </font>
    </dxf>
    <dxf>
      <fill>
        <patternFill>
          <bgColor rgb="FFFCE4E4"/>
        </patternFill>
      </fill>
    </dxf>
    <dxf>
      <fill>
        <patternFill>
          <bgColor rgb="FFE4DFEC"/>
        </patternFill>
      </fill>
    </dxf>
    <dxf>
      <fill>
        <patternFill>
          <bgColor rgb="FFDDEBF7"/>
        </patternFill>
      </fill>
    </dxf>
    <dxf>
      <fill>
        <patternFill>
          <bgColor rgb="FFFFF2CC"/>
        </patternFill>
      </fill>
    </dxf>
    <dxf>
      <fill>
        <patternFill>
          <bgColor rgb="FFE2EFDA"/>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ont>
        <name val="Calibri"/>
        <color rgb="FF000000"/>
        <sz val="11"/>
      </font>
      <fill>
        <patternFill>
          <bgColor theme="9"/>
        </patternFill>
      </fill>
    </dxf>
    <dxf>
      <font>
        <name val="Calibri"/>
        <color rgb="FF000000"/>
        <sz val="11"/>
      </font>
      <fill>
        <patternFill>
          <bgColor rgb="FFFFC0C0"/>
        </patternFill>
      </fill>
    </dxf>
    <dxf>
      <fill>
        <patternFill patternType="solid">
          <fgColor rgb="FFFCE4E4"/>
        </patternFill>
      </fill>
    </dxf>
    <dxf>
      <fill>
        <patternFill patternType="solid">
          <fgColor rgb="FFFCE4E4"/>
        </patternFill>
      </fill>
    </dxf>
    <dxf>
      <fill>
        <patternFill patternType="solid">
          <fgColor rgb="00FCE4E4"/>
        </patternFill>
      </fill>
    </dxf>
    <dxf>
      <fill>
        <patternFill patternType="solid">
          <fgColor rgb="00E2EFDA"/>
          <bgColor rgb="00E2EFDA"/>
        </patternFill>
      </fill>
    </dxf>
    <dxf>
      <fill>
        <patternFill patternType="solid">
          <fgColor rgb="00DDEBF7"/>
          <bgColor rgb="00DDEBF7"/>
        </patternFill>
      </fill>
    </dxf>
    <dxf>
      <fill>
        <patternFill patternType="solid">
          <fgColor rgb="00FFF2CC"/>
          <bgColor rgb="00FFF2CC"/>
        </patternFill>
      </fill>
    </dxf>
    <dxf>
      <fill>
        <patternFill patternType="solid">
          <fgColor rgb="00E4DFEC"/>
          <bgColor rgb="00E4DFEC"/>
        </patternFill>
      </fill>
    </dxf>
    <dxf>
      <fill>
        <patternFill patternType="solid">
          <fgColor rgb="00FCE4E4"/>
          <bgColor rgb="00FCE4E4"/>
        </patternFill>
      </fill>
    </dxf>
    <dxf>
      <font>
        <b val="1"/>
        <color rgb="00006100"/>
      </font>
    </dxf>
    <dxf>
      <font>
        <b val="1"/>
        <color rgb="001F4E79"/>
      </font>
    </dxf>
    <dxf>
      <font>
        <b val="1"/>
        <color rgb="009C6500"/>
      </font>
    </dxf>
    <dxf>
      <font>
        <b val="1"/>
        <color rgb="005F497A"/>
      </font>
    </dxf>
    <dxf>
      <font>
        <b val="1"/>
        <color rgb="009C0006"/>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6000"/>
      <rgbColor rgb="FF800080"/>
      <rgbColor rgb="FF008080"/>
      <rgbColor rgb="FFC0C0C0"/>
      <rgbColor rgb="FF808080"/>
      <rgbColor rgb="FFA6A6A6"/>
      <rgbColor rgb="FF993366"/>
      <rgbColor rgb="FFF2F2F2"/>
      <rgbColor rgb="FFDEEBF7"/>
      <rgbColor rgb="FF660066"/>
      <rgbColor rgb="FFFF7C80"/>
      <rgbColor rgb="FF0563C1"/>
      <rgbColor rgb="FFBDD7EE"/>
      <rgbColor rgb="FF000080"/>
      <rgbColor rgb="FFFF00FF"/>
      <rgbColor rgb="FFFFFF00"/>
      <rgbColor rgb="FF00FFFF"/>
      <rgbColor rgb="FF800080"/>
      <rgbColor rgb="FF800000"/>
      <rgbColor rgb="FF008080"/>
      <rgbColor rgb="FF0000FF"/>
      <rgbColor rgb="FF00B0F0"/>
      <rgbColor rgb="FFDAE3F3"/>
      <rgbColor rgb="FFD9D9D9"/>
      <rgbColor rgb="FFFFFF99"/>
      <rgbColor rgb="FFBFBFBF"/>
      <rgbColor rgb="FFFF99CC"/>
      <rgbColor rgb="FFD0CECE"/>
      <rgbColor rgb="FFFFC0C0"/>
      <rgbColor rgb="FF2E75B6"/>
      <rgbColor rgb="FF77BC65"/>
      <rgbColor rgb="FF81D41A"/>
      <rgbColor rgb="FFFFC000"/>
      <rgbColor rgb="FFFFBF00"/>
      <rgbColor rgb="FFFF6600"/>
      <rgbColor rgb="FF44546A"/>
      <rgbColor rgb="FF8497B0"/>
      <rgbColor rgb="FF003366"/>
      <rgbColor rgb="FF70AD47"/>
      <rgbColor rgb="FF003300"/>
      <rgbColor rgb="FF333300"/>
      <rgbColor rgb="FF993300"/>
      <rgbColor rgb="FF993366"/>
      <rgbColor rgb="FF1F4E79"/>
      <rgbColor rgb="FF222A35"/>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Nb dossiers par Type de BCI (direction sélectionnée)</a:t>
            </a:r>
          </a:p>
        </rich>
      </tx>
    </title>
    <plotArea>
      <barChart>
        <barDir val="col"/>
        <grouping val="clustered"/>
        <ser>
          <idx val="0"/>
          <order val="0"/>
          <tx>
            <strRef>
              <f>'Filtre Interactif'!B9</f>
            </strRef>
          </tx>
          <spPr>
            <a:ln>
              <a:prstDash val="solid"/>
            </a:ln>
          </spPr>
          <cat>
            <numRef>
              <f>'Filtre Interactif'!$A$10:$A$15</f>
            </numRef>
          </cat>
          <val>
            <numRef>
              <f>'Filtre Interactif'!$B$10:$B$15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Statuts d'engagement (direction + BCI sélectionnés)</a:t>
            </a:r>
          </a:p>
        </rich>
      </tx>
    </title>
    <plotArea>
      <barChart>
        <barDir val="col"/>
        <grouping val="clustered"/>
        <ser>
          <idx val="0"/>
          <order val="0"/>
          <tx>
            <strRef>
              <f>'Filtre Interactif'!B19</f>
            </strRef>
          </tx>
          <spPr>
            <a:ln>
              <a:prstDash val="solid"/>
            </a:ln>
          </spPr>
          <cat>
            <numRef>
              <f>'Filtre Interactif'!$A$20:$A$24</f>
            </numRef>
          </cat>
          <val>
            <numRef>
              <f>'Filtre Interactif'!$B$20:$B$24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Non Engagé — Infructueux / Annulé (direction sélectionnée)</a:t>
            </a:r>
          </a:p>
        </rich>
      </tx>
    </title>
    <plotArea>
      <barChart>
        <barDir val="col"/>
        <grouping val="clustered"/>
        <ser>
          <idx val="0"/>
          <order val="0"/>
          <tx>
            <strRef>
              <f>'Filtre Interactif'!B28</f>
            </strRef>
          </tx>
          <spPr>
            <a:ln>
              <a:prstDash val="solid"/>
            </a:ln>
          </spPr>
          <cat>
            <numRef>
              <f>'Filtre Interactif'!$A$29:$A$31</f>
            </numRef>
          </cat>
          <val>
            <numRef>
              <f>'Filtre Interactif'!$B$29:$B$31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Taux d'engagement (%) par Direction</a:t>
            </a:r>
          </a:p>
        </rich>
      </tx>
    </title>
    <plotArea>
      <barChart>
        <barDir val="col"/>
        <grouping val="clustered"/>
        <ser>
          <idx val="0"/>
          <order val="0"/>
          <tx>
            <strRef>
              <f>'Tableau de Bord Suivi'!D65</f>
            </strRef>
          </tx>
          <spPr>
            <a:ln>
              <a:prstDash val="solid"/>
            </a:ln>
          </spPr>
          <cat>
            <numRef>
              <f>'Tableau de Bord Suivi'!$A$66:$A$88</f>
            </numRef>
          </cat>
          <val>
            <numRef>
              <f>'Tableau de Bord Suivi'!$D$66:$D$88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7</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26</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13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64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29</row>
      <rowOff>22680</rowOff>
    </from>
    <to>
      <col>9</col>
      <colOff>165240</colOff>
      <row>32</row>
      <rowOff>163800</rowOff>
    </to>
    <pic>
      <nvPicPr>
        <cNvPr id="2" name="Image 2"/>
        <cNvPicPr/>
      </nvPicPr>
      <blipFill>
        <a:blip r:embed="rId1"/>
        <a:stretch>
          <a:fillRect/>
        </a:stretch>
      </blipFill>
      <spPr>
        <a:xfrm>
          <a:off x="16658640" y="5547240"/>
          <a:ext cx="917640" cy="712440"/>
        </a:xfrm>
        <a:prstGeom prst="rect">
          <avLst/>
        </a:prstGeom>
        <a:noFill/>
        <a:ln w="0">
          <a:noFill/>
          <a:prstDash val="solid"/>
        </a:ln>
      </spPr>
    </pic>
    <clientData/>
  </twoCellAnchor>
</wsDr>
</file>

<file path=xl/tables/table1.xml><?xml version="1.0" encoding="utf-8"?>
<table xmlns="http://schemas.openxmlformats.org/spreadsheetml/2006/main" id="1" name="Tableau1" displayName="Tableau1" ref="A127:B135" headerRowCount="1">
  <autoFilter ref="A127:B135"/>
  <tableColumns count="2">
    <tableColumn id="1" name="STATUT SUPPORT D'ENGAGEMENT"/>
    <tableColumn id="2" name="MONTANT"/>
  </tableColumns>
  <tableStyleInfo showFirstColumn="0" showLastColumn="0" showRowStripes="1" showColumnStripes="0"/>
</table>
</file>

<file path=xl/tables/table2.xml><?xml version="1.0" encoding="utf-8"?>
<table xmlns="http://schemas.openxmlformats.org/spreadsheetml/2006/main" id="2" name="Engagements2026Juillet" displayName="Engagements2026Juillet" ref="A1:AN685" headerRowCount="1">
  <autoFilter ref="A1:AN685"/>
  <tableColumns count="40">
    <tableColumn id="1" name="ÉTAT">
      <calculatedColumnFormula>IF(AF2="ENGAGE","✔",IF(AF2="EN COURS D'ENGAGEMENT","◕",IF(AF2="PREENGAGE","◑",IF(AF2="EN COURS DE PREENGAGEMENT","◔",IF(AF2="NON ENGAGE","✖","")))))</calculatedColumnFormula>
    </tableColumn>
    <tableColumn id="2" name="ANNEE LANCEMENT"/>
    <tableColumn id="3" name="DIRECTION "/>
    <tableColumn id="4" name="REF"/>
    <tableColumn id="5" name="BCI"/>
    <tableColumn id="6" name="LOTS"/>
    <tableColumn id="7" name="OBJET"/>
    <tableColumn id="8" name="STATUT 1"/>
    <tableColumn id="9" name="STATUT SUPPORT D'ENGAGEMENT"/>
    <tableColumn id="10" name="N° SUPPORT D'ENGAGEMENT"/>
    <tableColumn id="11" name="CATEGORIES"/>
    <tableColumn id="12" name="TYPE BUDGET"/>
    <tableColumn id="13" name="BUDGET"/>
    <tableColumn id="14" name="LIGNES BUDGETAIRES"/>
    <tableColumn id="15" name="MONTANT PREENGAGE INITIAL"/>
    <tableColumn id="16" name="ESTIMATION TTC"/>
    <tableColumn id="17" name="ESTIMATION HT"/>
    <tableColumn id="18" name="NATURE BESOIN"/>
    <tableColumn id="19" name="DEBUT REC"/>
    <tableColumn id="20" name="FIN REC"/>
    <tableColumn id="21" name="ADJUDICATAIRE / FRS"/>
    <tableColumn id="22" name="ANNEE APPROBATION"/>
    <tableColumn id="23" name="DATE DE LA FICHE"/>
    <tableColumn id="24" name="DATE VISA"/>
    <tableColumn id="25" name="DATE APPROB"/>
    <tableColumn id="26" name="MONTANT MARCHE HT PART EN MAD"/>
    <tableColumn id="27" name="MONTANT MARCHE HT PART EN DEVISES"/>
    <tableColumn id="28" name="MONTANT MARCHE TTC  PART EN MAD"/>
    <tableColumn id="29" name="MONTANT MARCHE TTC  PART EN DEVISES"/>
    <tableColumn id="30" name="TOTAL MARCHE HT TOTAL ENGAGE HT"/>
    <tableColumn id="31" name="TOTAL MARCHE TTC TOTAL ENGAGE TTC"/>
    <tableColumn id="32" name="STATUT D'ENGAGEMENT"/>
    <tableColumn id="33" name="Remarque (archive)"/>
    <tableColumn id="34" name="Reserve"/>
    <tableColumn id="35" name="PREVISION PPA HT"/>
    <tableColumn id="36" name="ECART ESTIMATION HT-PPA HT"/>
    <tableColumn id="37" name="ECART ENGAGEMENT HT-PPA HT"/>
    <tableColumn id="38" name="ECART ESTIMATION_x000a_eng/estim"/>
    <tableColumn id="39" name="ECART PPA_x000a_enga/ppa"/>
    <tableColumn id="40" name="REMARQUE"/>
  </tableColumns>
  <tableStyleInfo name="TableStyleLight1" showFirstColumn="0" showLastColumn="0" showRowStripes="0" showColumnStripes="0"/>
</table>
</file>

<file path=xl/theme/theme1.xml><?xml version="1.0" encoding="utf-8"?>
<a:theme xmlns:a="http://schemas.openxmlformats.org/drawingml/2006/main" name="Thèm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table" Target="/xl/tables/table1.xml" Id="rId2"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N28"/>
  <sheetViews>
    <sheetView showGridLines="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8" customWidth="1" style="392" min="1" max="1"/>
    <col width="13" customWidth="1" style="392" min="2" max="2"/>
    <col width="13" customWidth="1" style="392" min="3" max="3"/>
    <col width="13" customWidth="1" style="392" min="4" max="4"/>
    <col width="13" customWidth="1" style="392" min="5" max="5"/>
    <col width="13" customWidth="1" style="392" min="6" max="6"/>
    <col width="16" customWidth="1" style="392" min="7" max="7"/>
    <col width="13" customWidth="1" style="392" min="8" max="8"/>
    <col width="13" customWidth="1" style="392" min="9" max="9"/>
    <col width="13" customWidth="1" style="392" min="10" max="10"/>
    <col width="13" customWidth="1" style="392" min="11" max="11"/>
    <col width="13" customWidth="1" style="392" min="12" max="12"/>
    <col width="16" customWidth="1" style="392" min="13" max="13"/>
    <col width="18" customWidth="1" style="392" min="14" max="14"/>
  </cols>
  <sheetData>
    <row r="1" ht="30" customHeight="1" s="392">
      <c r="A1" s="620" t="inlineStr">
        <is>
          <t>TABLEAU DE BORD DES ENGAGEMENTS BUDGÉTAIRES 2026 — SNRT</t>
        </is>
      </c>
    </row>
    <row r="2" ht="16" customHeight="1" s="392">
      <c r="A2" s="621" t="inlineStr">
        <is>
          <t>Montants en MAD TTC — calculés dynamiquement (SUMIFS) depuis la feuille « Données Suivi »</t>
        </is>
      </c>
    </row>
    <row r="3" ht="22" customHeight="1" s="392">
      <c r="A3" s="622" t="inlineStr">
        <is>
          <t>DIRECTION</t>
        </is>
      </c>
      <c r="B3" s="623" t="inlineStr">
        <is>
          <t>FONCTIONNEMENT</t>
        </is>
      </c>
      <c r="C3" s="639" t="n"/>
      <c r="D3" s="639" t="n"/>
      <c r="E3" s="639" t="n"/>
      <c r="F3" s="639" t="n"/>
      <c r="G3" s="640" t="n"/>
      <c r="H3" s="625" t="inlineStr">
        <is>
          <t>INVESTISSEMENT</t>
        </is>
      </c>
      <c r="I3" s="639" t="n"/>
      <c r="J3" s="639" t="n"/>
      <c r="K3" s="639" t="n"/>
      <c r="L3" s="639" t="n"/>
      <c r="M3" s="640" t="n"/>
      <c r="N3" s="626" t="inlineStr">
        <is>
          <t>TOTAL GÉNÉRAL</t>
        </is>
      </c>
    </row>
    <row r="4" ht="40" customHeight="1" s="392">
      <c r="A4" s="641" t="n"/>
      <c r="B4" s="627" t="inlineStr">
        <is>
          <t>ENGAGE</t>
        </is>
      </c>
      <c r="C4" s="627" t="inlineStr">
        <is>
          <t>PREENGAGE</t>
        </is>
      </c>
      <c r="D4" s="627" t="inlineStr">
        <is>
          <t>EN COURS D'ENGAGEMENT</t>
        </is>
      </c>
      <c r="E4" s="627" t="inlineStr">
        <is>
          <t>EN COURS DE PREENGAGEMENT</t>
        </is>
      </c>
      <c r="F4" s="627" t="inlineStr">
        <is>
          <t>NON ENGAGE</t>
        </is>
      </c>
      <c r="G4" s="627" t="inlineStr">
        <is>
          <t>TOTAL FONC.</t>
        </is>
      </c>
      <c r="H4" s="628" t="inlineStr">
        <is>
          <t>ENGAGE</t>
        </is>
      </c>
      <c r="I4" s="628" t="inlineStr">
        <is>
          <t>PREENGAGE</t>
        </is>
      </c>
      <c r="J4" s="628" t="inlineStr">
        <is>
          <t>EN COURS D'ENGAGEMENT</t>
        </is>
      </c>
      <c r="K4" s="628" t="inlineStr">
        <is>
          <t>EN COURS DE PREENGAGEMENT</t>
        </is>
      </c>
      <c r="L4" s="628" t="inlineStr">
        <is>
          <t>NON ENGAGE</t>
        </is>
      </c>
      <c r="M4" s="628" t="inlineStr">
        <is>
          <t>TOTAL INVE.</t>
        </is>
      </c>
      <c r="N4" s="641" t="n"/>
    </row>
    <row r="5">
      <c r="A5" s="629" t="inlineStr">
        <is>
          <t>ARRIYADIA</t>
        </is>
      </c>
      <c r="B5" s="630">
        <f>SUMIFS('Données Suivi'!$J$2:$J$3000,'Données Suivi'!$A$2:$A$3000,$A5,'Données Suivi'!$O$2:$O$3000,"FONCTIONNEMENT",'Données Suivi'!$H$2:$H$3000,"ENGAGE")</f>
        <v/>
      </c>
      <c r="C5" s="630">
        <f>SUMIFS('Données Suivi'!$J$2:$J$3000,'Données Suivi'!$A$2:$A$3000,$A5,'Données Suivi'!$O$2:$O$3000,"FONCTIONNEMENT",'Données Suivi'!$H$2:$H$3000,"PREENGAGE")</f>
        <v/>
      </c>
      <c r="D5" s="630">
        <f>SUMIFS('Données Suivi'!$J$2:$J$3000,'Données Suivi'!$A$2:$A$3000,$A5,'Données Suivi'!$O$2:$O$3000,"FONCTIONNEMENT",'Données Suivi'!$H$2:$H$3000,"EN COURS D'ENGAGEMENT")</f>
        <v/>
      </c>
      <c r="E5" s="630">
        <f>SUMIFS('Données Suivi'!$J$2:$J$3000,'Données Suivi'!$A$2:$A$3000,$A5,'Données Suivi'!$O$2:$O$3000,"FONCTIONNEMENT",'Données Suivi'!$H$2:$H$3000,"EN COURS DE PREENGAGEMENT")</f>
        <v/>
      </c>
      <c r="F5" s="630">
        <f>SUMIFS('Données Suivi'!$J$2:$J$3000,'Données Suivi'!$A$2:$A$3000,$A5,'Données Suivi'!$O$2:$O$3000,"FONCTIONNEMENT",'Données Suivi'!$H$2:$H$3000,"NON ENGAGE")</f>
        <v/>
      </c>
      <c r="G5" s="631">
        <f>B5+C5+D5+E5+F5</f>
        <v/>
      </c>
      <c r="H5" s="632">
        <f>SUMIFS('Données Suivi'!$J$2:$J$3000,'Données Suivi'!$A$2:$A$3000,$A5,'Données Suivi'!$O$2:$O$3000,"INVESTISSEMENT",'Données Suivi'!$H$2:$H$3000,"ENGAGE")</f>
        <v/>
      </c>
      <c r="I5" s="632">
        <f>SUMIFS('Données Suivi'!$J$2:$J$3000,'Données Suivi'!$A$2:$A$3000,$A5,'Données Suivi'!$O$2:$O$3000,"INVESTISSEMENT",'Données Suivi'!$H$2:$H$3000,"PREENGAGE")</f>
        <v/>
      </c>
      <c r="J5" s="632">
        <f>SUMIFS('Données Suivi'!$J$2:$J$3000,'Données Suivi'!$A$2:$A$3000,$A5,'Données Suivi'!$O$2:$O$3000,"INVESTISSEMENT",'Données Suivi'!$H$2:$H$3000,"EN COURS D'ENGAGEMENT")</f>
        <v/>
      </c>
      <c r="K5" s="632">
        <f>SUMIFS('Données Suivi'!$J$2:$J$3000,'Données Suivi'!$A$2:$A$3000,$A5,'Données Suivi'!$O$2:$O$3000,"INVESTISSEMENT",'Données Suivi'!$H$2:$H$3000,"EN COURS DE PREENGAGEMENT")</f>
        <v/>
      </c>
      <c r="L5" s="632">
        <f>SUMIFS('Données Suivi'!$J$2:$J$3000,'Données Suivi'!$A$2:$A$3000,$A5,'Données Suivi'!$O$2:$O$3000,"INVESTISSEMENT",'Données Suivi'!$H$2:$H$3000,"NON ENGAGE")</f>
        <v/>
      </c>
      <c r="M5" s="633">
        <f>H5+I5+J5+K5+L5</f>
        <v/>
      </c>
      <c r="N5" s="634">
        <f>G5+M5</f>
        <v/>
      </c>
    </row>
    <row r="6">
      <c r="A6" s="629" t="inlineStr">
        <is>
          <t>ASSADISSA</t>
        </is>
      </c>
      <c r="B6" s="630">
        <f>SUMIFS('Données Suivi'!$J$2:$J$3000,'Données Suivi'!$A$2:$A$3000,$A6,'Données Suivi'!$O$2:$O$3000,"FONCTIONNEMENT",'Données Suivi'!$H$2:$H$3000,"ENGAGE")</f>
        <v/>
      </c>
      <c r="C6" s="630">
        <f>SUMIFS('Données Suivi'!$J$2:$J$3000,'Données Suivi'!$A$2:$A$3000,$A6,'Données Suivi'!$O$2:$O$3000,"FONCTIONNEMENT",'Données Suivi'!$H$2:$H$3000,"PREENGAGE")</f>
        <v/>
      </c>
      <c r="D6" s="630">
        <f>SUMIFS('Données Suivi'!$J$2:$J$3000,'Données Suivi'!$A$2:$A$3000,$A6,'Données Suivi'!$O$2:$O$3000,"FONCTIONNEMENT",'Données Suivi'!$H$2:$H$3000,"EN COURS D'ENGAGEMENT")</f>
        <v/>
      </c>
      <c r="E6" s="630">
        <f>SUMIFS('Données Suivi'!$J$2:$J$3000,'Données Suivi'!$A$2:$A$3000,$A6,'Données Suivi'!$O$2:$O$3000,"FONCTIONNEMENT",'Données Suivi'!$H$2:$H$3000,"EN COURS DE PREENGAGEMENT")</f>
        <v/>
      </c>
      <c r="F6" s="630">
        <f>SUMIFS('Données Suivi'!$J$2:$J$3000,'Données Suivi'!$A$2:$A$3000,$A6,'Données Suivi'!$O$2:$O$3000,"FONCTIONNEMENT",'Données Suivi'!$H$2:$H$3000,"NON ENGAGE")</f>
        <v/>
      </c>
      <c r="G6" s="631">
        <f>B6+C6+D6+E6+F6</f>
        <v/>
      </c>
      <c r="H6" s="632">
        <f>SUMIFS('Données Suivi'!$J$2:$J$3000,'Données Suivi'!$A$2:$A$3000,$A6,'Données Suivi'!$O$2:$O$3000,"INVESTISSEMENT",'Données Suivi'!$H$2:$H$3000,"ENGAGE")</f>
        <v/>
      </c>
      <c r="I6" s="632">
        <f>SUMIFS('Données Suivi'!$J$2:$J$3000,'Données Suivi'!$A$2:$A$3000,$A6,'Données Suivi'!$O$2:$O$3000,"INVESTISSEMENT",'Données Suivi'!$H$2:$H$3000,"PREENGAGE")</f>
        <v/>
      </c>
      <c r="J6" s="632">
        <f>SUMIFS('Données Suivi'!$J$2:$J$3000,'Données Suivi'!$A$2:$A$3000,$A6,'Données Suivi'!$O$2:$O$3000,"INVESTISSEMENT",'Données Suivi'!$H$2:$H$3000,"EN COURS D'ENGAGEMENT")</f>
        <v/>
      </c>
      <c r="K6" s="632">
        <f>SUMIFS('Données Suivi'!$J$2:$J$3000,'Données Suivi'!$A$2:$A$3000,$A6,'Données Suivi'!$O$2:$O$3000,"INVESTISSEMENT",'Données Suivi'!$H$2:$H$3000,"EN COURS DE PREENGAGEMENT")</f>
        <v/>
      </c>
      <c r="L6" s="632">
        <f>SUMIFS('Données Suivi'!$J$2:$J$3000,'Données Suivi'!$A$2:$A$3000,$A6,'Données Suivi'!$O$2:$O$3000,"INVESTISSEMENT",'Données Suivi'!$H$2:$H$3000,"NON ENGAGE")</f>
        <v/>
      </c>
      <c r="M6" s="633">
        <f>H6+I6+J6+K6+L6</f>
        <v/>
      </c>
      <c r="N6" s="634">
        <f>G6+M6</f>
        <v/>
      </c>
    </row>
    <row r="7">
      <c r="A7" s="629" t="inlineStr">
        <is>
          <t>DA</t>
        </is>
      </c>
      <c r="B7" s="630">
        <f>SUMIFS('Données Suivi'!$J$2:$J$3000,'Données Suivi'!$A$2:$A$3000,$A7,'Données Suivi'!$O$2:$O$3000,"FONCTIONNEMENT",'Données Suivi'!$H$2:$H$3000,"ENGAGE")</f>
        <v/>
      </c>
      <c r="C7" s="630">
        <f>SUMIFS('Données Suivi'!$J$2:$J$3000,'Données Suivi'!$A$2:$A$3000,$A7,'Données Suivi'!$O$2:$O$3000,"FONCTIONNEMENT",'Données Suivi'!$H$2:$H$3000,"PREENGAGE")</f>
        <v/>
      </c>
      <c r="D7" s="630">
        <f>SUMIFS('Données Suivi'!$J$2:$J$3000,'Données Suivi'!$A$2:$A$3000,$A7,'Données Suivi'!$O$2:$O$3000,"FONCTIONNEMENT",'Données Suivi'!$H$2:$H$3000,"EN COURS D'ENGAGEMENT")</f>
        <v/>
      </c>
      <c r="E7" s="630">
        <f>SUMIFS('Données Suivi'!$J$2:$J$3000,'Données Suivi'!$A$2:$A$3000,$A7,'Données Suivi'!$O$2:$O$3000,"FONCTIONNEMENT",'Données Suivi'!$H$2:$H$3000,"EN COURS DE PREENGAGEMENT")</f>
        <v/>
      </c>
      <c r="F7" s="630">
        <f>SUMIFS('Données Suivi'!$J$2:$J$3000,'Données Suivi'!$A$2:$A$3000,$A7,'Données Suivi'!$O$2:$O$3000,"FONCTIONNEMENT",'Données Suivi'!$H$2:$H$3000,"NON ENGAGE")</f>
        <v/>
      </c>
      <c r="G7" s="631">
        <f>B7+C7+D7+E7+F7</f>
        <v/>
      </c>
      <c r="H7" s="632">
        <f>SUMIFS('Données Suivi'!$J$2:$J$3000,'Données Suivi'!$A$2:$A$3000,$A7,'Données Suivi'!$O$2:$O$3000,"INVESTISSEMENT",'Données Suivi'!$H$2:$H$3000,"ENGAGE")</f>
        <v/>
      </c>
      <c r="I7" s="632">
        <f>SUMIFS('Données Suivi'!$J$2:$J$3000,'Données Suivi'!$A$2:$A$3000,$A7,'Données Suivi'!$O$2:$O$3000,"INVESTISSEMENT",'Données Suivi'!$H$2:$H$3000,"PREENGAGE")</f>
        <v/>
      </c>
      <c r="J7" s="632">
        <f>SUMIFS('Données Suivi'!$J$2:$J$3000,'Données Suivi'!$A$2:$A$3000,$A7,'Données Suivi'!$O$2:$O$3000,"INVESTISSEMENT",'Données Suivi'!$H$2:$H$3000,"EN COURS D'ENGAGEMENT")</f>
        <v/>
      </c>
      <c r="K7" s="632">
        <f>SUMIFS('Données Suivi'!$J$2:$J$3000,'Données Suivi'!$A$2:$A$3000,$A7,'Données Suivi'!$O$2:$O$3000,"INVESTISSEMENT",'Données Suivi'!$H$2:$H$3000,"EN COURS DE PREENGAGEMENT")</f>
        <v/>
      </c>
      <c r="L7" s="632">
        <f>SUMIFS('Données Suivi'!$J$2:$J$3000,'Données Suivi'!$A$2:$A$3000,$A7,'Données Suivi'!$O$2:$O$3000,"INVESTISSEMENT",'Données Suivi'!$H$2:$H$3000,"NON ENGAGE")</f>
        <v/>
      </c>
      <c r="M7" s="633">
        <f>H7+I7+J7+K7+L7</f>
        <v/>
      </c>
      <c r="N7" s="634">
        <f>G7+M7</f>
        <v/>
      </c>
    </row>
    <row r="8">
      <c r="A8" s="629" t="inlineStr">
        <is>
          <t>DACG</t>
        </is>
      </c>
      <c r="B8" s="630">
        <f>SUMIFS('Données Suivi'!$J$2:$J$3000,'Données Suivi'!$A$2:$A$3000,$A8,'Données Suivi'!$O$2:$O$3000,"FONCTIONNEMENT",'Données Suivi'!$H$2:$H$3000,"ENGAGE")</f>
        <v/>
      </c>
      <c r="C8" s="630">
        <f>SUMIFS('Données Suivi'!$J$2:$J$3000,'Données Suivi'!$A$2:$A$3000,$A8,'Données Suivi'!$O$2:$O$3000,"FONCTIONNEMENT",'Données Suivi'!$H$2:$H$3000,"PREENGAGE")</f>
        <v/>
      </c>
      <c r="D8" s="630">
        <f>SUMIFS('Données Suivi'!$J$2:$J$3000,'Données Suivi'!$A$2:$A$3000,$A8,'Données Suivi'!$O$2:$O$3000,"FONCTIONNEMENT",'Données Suivi'!$H$2:$H$3000,"EN COURS D'ENGAGEMENT")</f>
        <v/>
      </c>
      <c r="E8" s="630">
        <f>SUMIFS('Données Suivi'!$J$2:$J$3000,'Données Suivi'!$A$2:$A$3000,$A8,'Données Suivi'!$O$2:$O$3000,"FONCTIONNEMENT",'Données Suivi'!$H$2:$H$3000,"EN COURS DE PREENGAGEMENT")</f>
        <v/>
      </c>
      <c r="F8" s="630">
        <f>SUMIFS('Données Suivi'!$J$2:$J$3000,'Données Suivi'!$A$2:$A$3000,$A8,'Données Suivi'!$O$2:$O$3000,"FONCTIONNEMENT",'Données Suivi'!$H$2:$H$3000,"NON ENGAGE")</f>
        <v/>
      </c>
      <c r="G8" s="631">
        <f>B8+C8+D8+E8+F8</f>
        <v/>
      </c>
      <c r="H8" s="632">
        <f>SUMIFS('Données Suivi'!$J$2:$J$3000,'Données Suivi'!$A$2:$A$3000,$A8,'Données Suivi'!$O$2:$O$3000,"INVESTISSEMENT",'Données Suivi'!$H$2:$H$3000,"ENGAGE")</f>
        <v/>
      </c>
      <c r="I8" s="632">
        <f>SUMIFS('Données Suivi'!$J$2:$J$3000,'Données Suivi'!$A$2:$A$3000,$A8,'Données Suivi'!$O$2:$O$3000,"INVESTISSEMENT",'Données Suivi'!$H$2:$H$3000,"PREENGAGE")</f>
        <v/>
      </c>
      <c r="J8" s="632">
        <f>SUMIFS('Données Suivi'!$J$2:$J$3000,'Données Suivi'!$A$2:$A$3000,$A8,'Données Suivi'!$O$2:$O$3000,"INVESTISSEMENT",'Données Suivi'!$H$2:$H$3000,"EN COURS D'ENGAGEMENT")</f>
        <v/>
      </c>
      <c r="K8" s="632">
        <f>SUMIFS('Données Suivi'!$J$2:$J$3000,'Données Suivi'!$A$2:$A$3000,$A8,'Données Suivi'!$O$2:$O$3000,"INVESTISSEMENT",'Données Suivi'!$H$2:$H$3000,"EN COURS DE PREENGAGEMENT")</f>
        <v/>
      </c>
      <c r="L8" s="632">
        <f>SUMIFS('Données Suivi'!$J$2:$J$3000,'Données Suivi'!$A$2:$A$3000,$A8,'Données Suivi'!$O$2:$O$3000,"INVESTISSEMENT",'Données Suivi'!$H$2:$H$3000,"NON ENGAGE")</f>
        <v/>
      </c>
      <c r="M8" s="633">
        <f>H8+I8+J8+K8+L8</f>
        <v/>
      </c>
      <c r="N8" s="634">
        <f>G8+M8</f>
        <v/>
      </c>
    </row>
    <row r="9">
      <c r="A9" s="629" t="inlineStr">
        <is>
          <t>DAR</t>
        </is>
      </c>
      <c r="B9" s="630">
        <f>SUMIFS('Données Suivi'!$J$2:$J$3000,'Données Suivi'!$A$2:$A$3000,$A9,'Données Suivi'!$O$2:$O$3000,"FONCTIONNEMENT",'Données Suivi'!$H$2:$H$3000,"ENGAGE")</f>
        <v/>
      </c>
      <c r="C9" s="630">
        <f>SUMIFS('Données Suivi'!$J$2:$J$3000,'Données Suivi'!$A$2:$A$3000,$A9,'Données Suivi'!$O$2:$O$3000,"FONCTIONNEMENT",'Données Suivi'!$H$2:$H$3000,"PREENGAGE")</f>
        <v/>
      </c>
      <c r="D9" s="630">
        <f>SUMIFS('Données Suivi'!$J$2:$J$3000,'Données Suivi'!$A$2:$A$3000,$A9,'Données Suivi'!$O$2:$O$3000,"FONCTIONNEMENT",'Données Suivi'!$H$2:$H$3000,"EN COURS D'ENGAGEMENT")</f>
        <v/>
      </c>
      <c r="E9" s="630">
        <f>SUMIFS('Données Suivi'!$J$2:$J$3000,'Données Suivi'!$A$2:$A$3000,$A9,'Données Suivi'!$O$2:$O$3000,"FONCTIONNEMENT",'Données Suivi'!$H$2:$H$3000,"EN COURS DE PREENGAGEMENT")</f>
        <v/>
      </c>
      <c r="F9" s="630">
        <f>SUMIFS('Données Suivi'!$J$2:$J$3000,'Données Suivi'!$A$2:$A$3000,$A9,'Données Suivi'!$O$2:$O$3000,"FONCTIONNEMENT",'Données Suivi'!$H$2:$H$3000,"NON ENGAGE")</f>
        <v/>
      </c>
      <c r="G9" s="631">
        <f>B9+C9+D9+E9+F9</f>
        <v/>
      </c>
      <c r="H9" s="632">
        <f>SUMIFS('Données Suivi'!$J$2:$J$3000,'Données Suivi'!$A$2:$A$3000,$A9,'Données Suivi'!$O$2:$O$3000,"INVESTISSEMENT",'Données Suivi'!$H$2:$H$3000,"ENGAGE")</f>
        <v/>
      </c>
      <c r="I9" s="632">
        <f>SUMIFS('Données Suivi'!$J$2:$J$3000,'Données Suivi'!$A$2:$A$3000,$A9,'Données Suivi'!$O$2:$O$3000,"INVESTISSEMENT",'Données Suivi'!$H$2:$H$3000,"PREENGAGE")</f>
        <v/>
      </c>
      <c r="J9" s="632">
        <f>SUMIFS('Données Suivi'!$J$2:$J$3000,'Données Suivi'!$A$2:$A$3000,$A9,'Données Suivi'!$O$2:$O$3000,"INVESTISSEMENT",'Données Suivi'!$H$2:$H$3000,"EN COURS D'ENGAGEMENT")</f>
        <v/>
      </c>
      <c r="K9" s="632">
        <f>SUMIFS('Données Suivi'!$J$2:$J$3000,'Données Suivi'!$A$2:$A$3000,$A9,'Données Suivi'!$O$2:$O$3000,"INVESTISSEMENT",'Données Suivi'!$H$2:$H$3000,"EN COURS DE PREENGAGEMENT")</f>
        <v/>
      </c>
      <c r="L9" s="632">
        <f>SUMIFS('Données Suivi'!$J$2:$J$3000,'Données Suivi'!$A$2:$A$3000,$A9,'Données Suivi'!$O$2:$O$3000,"INVESTISSEMENT",'Données Suivi'!$H$2:$H$3000,"NON ENGAGE")</f>
        <v/>
      </c>
      <c r="M9" s="633">
        <f>H9+I9+J9+K9+L9</f>
        <v/>
      </c>
      <c r="N9" s="634">
        <f>G9+M9</f>
        <v/>
      </c>
    </row>
    <row r="10">
      <c r="A10" s="629" t="inlineStr">
        <is>
          <t>DCPA</t>
        </is>
      </c>
      <c r="B10" s="630">
        <f>SUMIFS('Données Suivi'!$J$2:$J$3000,'Données Suivi'!$A$2:$A$3000,$A10,'Données Suivi'!$O$2:$O$3000,"FONCTIONNEMENT",'Données Suivi'!$H$2:$H$3000,"ENGAGE")</f>
        <v/>
      </c>
      <c r="C10" s="630">
        <f>SUMIFS('Données Suivi'!$J$2:$J$3000,'Données Suivi'!$A$2:$A$3000,$A10,'Données Suivi'!$O$2:$O$3000,"FONCTIONNEMENT",'Données Suivi'!$H$2:$H$3000,"PREENGAGE")</f>
        <v/>
      </c>
      <c r="D10" s="630">
        <f>SUMIFS('Données Suivi'!$J$2:$J$3000,'Données Suivi'!$A$2:$A$3000,$A10,'Données Suivi'!$O$2:$O$3000,"FONCTIONNEMENT",'Données Suivi'!$H$2:$H$3000,"EN COURS D'ENGAGEMENT")</f>
        <v/>
      </c>
      <c r="E10" s="630">
        <f>SUMIFS('Données Suivi'!$J$2:$J$3000,'Données Suivi'!$A$2:$A$3000,$A10,'Données Suivi'!$O$2:$O$3000,"FONCTIONNEMENT",'Données Suivi'!$H$2:$H$3000,"EN COURS DE PREENGAGEMENT")</f>
        <v/>
      </c>
      <c r="F10" s="630">
        <f>SUMIFS('Données Suivi'!$J$2:$J$3000,'Données Suivi'!$A$2:$A$3000,$A10,'Données Suivi'!$O$2:$O$3000,"FONCTIONNEMENT",'Données Suivi'!$H$2:$H$3000,"NON ENGAGE")</f>
        <v/>
      </c>
      <c r="G10" s="631">
        <f>B10+C10+D10+E10+F10</f>
        <v/>
      </c>
      <c r="H10" s="632">
        <f>SUMIFS('Données Suivi'!$J$2:$J$3000,'Données Suivi'!$A$2:$A$3000,$A10,'Données Suivi'!$O$2:$O$3000,"INVESTISSEMENT",'Données Suivi'!$H$2:$H$3000,"ENGAGE")</f>
        <v/>
      </c>
      <c r="I10" s="632">
        <f>SUMIFS('Données Suivi'!$J$2:$J$3000,'Données Suivi'!$A$2:$A$3000,$A10,'Données Suivi'!$O$2:$O$3000,"INVESTISSEMENT",'Données Suivi'!$H$2:$H$3000,"PREENGAGE")</f>
        <v/>
      </c>
      <c r="J10" s="632">
        <f>SUMIFS('Données Suivi'!$J$2:$J$3000,'Données Suivi'!$A$2:$A$3000,$A10,'Données Suivi'!$O$2:$O$3000,"INVESTISSEMENT",'Données Suivi'!$H$2:$H$3000,"EN COURS D'ENGAGEMENT")</f>
        <v/>
      </c>
      <c r="K10" s="632">
        <f>SUMIFS('Données Suivi'!$J$2:$J$3000,'Données Suivi'!$A$2:$A$3000,$A10,'Données Suivi'!$O$2:$O$3000,"INVESTISSEMENT",'Données Suivi'!$H$2:$H$3000,"EN COURS DE PREENGAGEMENT")</f>
        <v/>
      </c>
      <c r="L10" s="632">
        <f>SUMIFS('Données Suivi'!$J$2:$J$3000,'Données Suivi'!$A$2:$A$3000,$A10,'Données Suivi'!$O$2:$O$3000,"INVESTISSEMENT",'Données Suivi'!$H$2:$H$3000,"NON ENGAGE")</f>
        <v/>
      </c>
      <c r="M10" s="633">
        <f>H10+I10+J10+K10+L10</f>
        <v/>
      </c>
      <c r="N10" s="634">
        <f>G10+M10</f>
        <v/>
      </c>
    </row>
    <row r="11">
      <c r="A11" s="629" t="inlineStr">
        <is>
          <t>DCRI</t>
        </is>
      </c>
      <c r="B11" s="630">
        <f>SUMIFS('Données Suivi'!$J$2:$J$3000,'Données Suivi'!$A$2:$A$3000,$A11,'Données Suivi'!$O$2:$O$3000,"FONCTIONNEMENT",'Données Suivi'!$H$2:$H$3000,"ENGAGE")</f>
        <v/>
      </c>
      <c r="C11" s="630">
        <f>SUMIFS('Données Suivi'!$J$2:$J$3000,'Données Suivi'!$A$2:$A$3000,$A11,'Données Suivi'!$O$2:$O$3000,"FONCTIONNEMENT",'Données Suivi'!$H$2:$H$3000,"PREENGAGE")</f>
        <v/>
      </c>
      <c r="D11" s="630">
        <f>SUMIFS('Données Suivi'!$J$2:$J$3000,'Données Suivi'!$A$2:$A$3000,$A11,'Données Suivi'!$O$2:$O$3000,"FONCTIONNEMENT",'Données Suivi'!$H$2:$H$3000,"EN COURS D'ENGAGEMENT")</f>
        <v/>
      </c>
      <c r="E11" s="630">
        <f>SUMIFS('Données Suivi'!$J$2:$J$3000,'Données Suivi'!$A$2:$A$3000,$A11,'Données Suivi'!$O$2:$O$3000,"FONCTIONNEMENT",'Données Suivi'!$H$2:$H$3000,"EN COURS DE PREENGAGEMENT")</f>
        <v/>
      </c>
      <c r="F11" s="630">
        <f>SUMIFS('Données Suivi'!$J$2:$J$3000,'Données Suivi'!$A$2:$A$3000,$A11,'Données Suivi'!$O$2:$O$3000,"FONCTIONNEMENT",'Données Suivi'!$H$2:$H$3000,"NON ENGAGE")</f>
        <v/>
      </c>
      <c r="G11" s="631">
        <f>B11+C11+D11+E11+F11</f>
        <v/>
      </c>
      <c r="H11" s="632">
        <f>SUMIFS('Données Suivi'!$J$2:$J$3000,'Données Suivi'!$A$2:$A$3000,$A11,'Données Suivi'!$O$2:$O$3000,"INVESTISSEMENT",'Données Suivi'!$H$2:$H$3000,"ENGAGE")</f>
        <v/>
      </c>
      <c r="I11" s="632">
        <f>SUMIFS('Données Suivi'!$J$2:$J$3000,'Données Suivi'!$A$2:$A$3000,$A11,'Données Suivi'!$O$2:$O$3000,"INVESTISSEMENT",'Données Suivi'!$H$2:$H$3000,"PREENGAGE")</f>
        <v/>
      </c>
      <c r="J11" s="632">
        <f>SUMIFS('Données Suivi'!$J$2:$J$3000,'Données Suivi'!$A$2:$A$3000,$A11,'Données Suivi'!$O$2:$O$3000,"INVESTISSEMENT",'Données Suivi'!$H$2:$H$3000,"EN COURS D'ENGAGEMENT")</f>
        <v/>
      </c>
      <c r="K11" s="632">
        <f>SUMIFS('Données Suivi'!$J$2:$J$3000,'Données Suivi'!$A$2:$A$3000,$A11,'Données Suivi'!$O$2:$O$3000,"INVESTISSEMENT",'Données Suivi'!$H$2:$H$3000,"EN COURS DE PREENGAGEMENT")</f>
        <v/>
      </c>
      <c r="L11" s="632">
        <f>SUMIFS('Données Suivi'!$J$2:$J$3000,'Données Suivi'!$A$2:$A$3000,$A11,'Données Suivi'!$O$2:$O$3000,"INVESTISSEMENT",'Données Suivi'!$H$2:$H$3000,"NON ENGAGE")</f>
        <v/>
      </c>
      <c r="M11" s="633">
        <f>H11+I11+J11+K11+L11</f>
        <v/>
      </c>
      <c r="N11" s="634">
        <f>G11+M11</f>
        <v/>
      </c>
    </row>
    <row r="12">
      <c r="A12" s="629" t="inlineStr">
        <is>
          <t>DCT</t>
        </is>
      </c>
      <c r="B12" s="630">
        <f>SUMIFS('Données Suivi'!$J$2:$J$3000,'Données Suivi'!$A$2:$A$3000,$A12,'Données Suivi'!$O$2:$O$3000,"FONCTIONNEMENT",'Données Suivi'!$H$2:$H$3000,"ENGAGE")</f>
        <v/>
      </c>
      <c r="C12" s="630">
        <f>SUMIFS('Données Suivi'!$J$2:$J$3000,'Données Suivi'!$A$2:$A$3000,$A12,'Données Suivi'!$O$2:$O$3000,"FONCTIONNEMENT",'Données Suivi'!$H$2:$H$3000,"PREENGAGE")</f>
        <v/>
      </c>
      <c r="D12" s="630">
        <f>SUMIFS('Données Suivi'!$J$2:$J$3000,'Données Suivi'!$A$2:$A$3000,$A12,'Données Suivi'!$O$2:$O$3000,"FONCTIONNEMENT",'Données Suivi'!$H$2:$H$3000,"EN COURS D'ENGAGEMENT")</f>
        <v/>
      </c>
      <c r="E12" s="630">
        <f>SUMIFS('Données Suivi'!$J$2:$J$3000,'Données Suivi'!$A$2:$A$3000,$A12,'Données Suivi'!$O$2:$O$3000,"FONCTIONNEMENT",'Données Suivi'!$H$2:$H$3000,"EN COURS DE PREENGAGEMENT")</f>
        <v/>
      </c>
      <c r="F12" s="630">
        <f>SUMIFS('Données Suivi'!$J$2:$J$3000,'Données Suivi'!$A$2:$A$3000,$A12,'Données Suivi'!$O$2:$O$3000,"FONCTIONNEMENT",'Données Suivi'!$H$2:$H$3000,"NON ENGAGE")</f>
        <v/>
      </c>
      <c r="G12" s="631">
        <f>B12+C12+D12+E12+F12</f>
        <v/>
      </c>
      <c r="H12" s="632">
        <f>SUMIFS('Données Suivi'!$J$2:$J$3000,'Données Suivi'!$A$2:$A$3000,$A12,'Données Suivi'!$O$2:$O$3000,"INVESTISSEMENT",'Données Suivi'!$H$2:$H$3000,"ENGAGE")</f>
        <v/>
      </c>
      <c r="I12" s="632">
        <f>SUMIFS('Données Suivi'!$J$2:$J$3000,'Données Suivi'!$A$2:$A$3000,$A12,'Données Suivi'!$O$2:$O$3000,"INVESTISSEMENT",'Données Suivi'!$H$2:$H$3000,"PREENGAGE")</f>
        <v/>
      </c>
      <c r="J12" s="632">
        <f>SUMIFS('Données Suivi'!$J$2:$J$3000,'Données Suivi'!$A$2:$A$3000,$A12,'Données Suivi'!$O$2:$O$3000,"INVESTISSEMENT",'Données Suivi'!$H$2:$H$3000,"EN COURS D'ENGAGEMENT")</f>
        <v/>
      </c>
      <c r="K12" s="632">
        <f>SUMIFS('Données Suivi'!$J$2:$J$3000,'Données Suivi'!$A$2:$A$3000,$A12,'Données Suivi'!$O$2:$O$3000,"INVESTISSEMENT",'Données Suivi'!$H$2:$H$3000,"EN COURS DE PREENGAGEMENT")</f>
        <v/>
      </c>
      <c r="L12" s="632">
        <f>SUMIFS('Données Suivi'!$J$2:$J$3000,'Données Suivi'!$A$2:$A$3000,$A12,'Données Suivi'!$O$2:$O$3000,"INVESTISSEMENT",'Données Suivi'!$H$2:$H$3000,"NON ENGAGE")</f>
        <v/>
      </c>
      <c r="M12" s="633">
        <f>H12+I12+J12+K12+L12</f>
        <v/>
      </c>
      <c r="N12" s="634">
        <f>G12+M12</f>
        <v/>
      </c>
    </row>
    <row r="13">
      <c r="A13" s="629" t="inlineStr">
        <is>
          <t>DG</t>
        </is>
      </c>
      <c r="B13" s="630">
        <f>SUMIFS('Données Suivi'!$J$2:$J$3000,'Données Suivi'!$A$2:$A$3000,$A13,'Données Suivi'!$O$2:$O$3000,"FONCTIONNEMENT",'Données Suivi'!$H$2:$H$3000,"ENGAGE")</f>
        <v/>
      </c>
      <c r="C13" s="630">
        <f>SUMIFS('Données Suivi'!$J$2:$J$3000,'Données Suivi'!$A$2:$A$3000,$A13,'Données Suivi'!$O$2:$O$3000,"FONCTIONNEMENT",'Données Suivi'!$H$2:$H$3000,"PREENGAGE")</f>
        <v/>
      </c>
      <c r="D13" s="630">
        <f>SUMIFS('Données Suivi'!$J$2:$J$3000,'Données Suivi'!$A$2:$A$3000,$A13,'Données Suivi'!$O$2:$O$3000,"FONCTIONNEMENT",'Données Suivi'!$H$2:$H$3000,"EN COURS D'ENGAGEMENT")</f>
        <v/>
      </c>
      <c r="E13" s="630">
        <f>SUMIFS('Données Suivi'!$J$2:$J$3000,'Données Suivi'!$A$2:$A$3000,$A13,'Données Suivi'!$O$2:$O$3000,"FONCTIONNEMENT",'Données Suivi'!$H$2:$H$3000,"EN COURS DE PREENGAGEMENT")</f>
        <v/>
      </c>
      <c r="F13" s="630">
        <f>SUMIFS('Données Suivi'!$J$2:$J$3000,'Données Suivi'!$A$2:$A$3000,$A13,'Données Suivi'!$O$2:$O$3000,"FONCTIONNEMENT",'Données Suivi'!$H$2:$H$3000,"NON ENGAGE")</f>
        <v/>
      </c>
      <c r="G13" s="631">
        <f>B13+C13+D13+E13+F13</f>
        <v/>
      </c>
      <c r="H13" s="632">
        <f>SUMIFS('Données Suivi'!$J$2:$J$3000,'Données Suivi'!$A$2:$A$3000,$A13,'Données Suivi'!$O$2:$O$3000,"INVESTISSEMENT",'Données Suivi'!$H$2:$H$3000,"ENGAGE")</f>
        <v/>
      </c>
      <c r="I13" s="632">
        <f>SUMIFS('Données Suivi'!$J$2:$J$3000,'Données Suivi'!$A$2:$A$3000,$A13,'Données Suivi'!$O$2:$O$3000,"INVESTISSEMENT",'Données Suivi'!$H$2:$H$3000,"PREENGAGE")</f>
        <v/>
      </c>
      <c r="J13" s="632">
        <f>SUMIFS('Données Suivi'!$J$2:$J$3000,'Données Suivi'!$A$2:$A$3000,$A13,'Données Suivi'!$O$2:$O$3000,"INVESTISSEMENT",'Données Suivi'!$H$2:$H$3000,"EN COURS D'ENGAGEMENT")</f>
        <v/>
      </c>
      <c r="K13" s="632">
        <f>SUMIFS('Données Suivi'!$J$2:$J$3000,'Données Suivi'!$A$2:$A$3000,$A13,'Données Suivi'!$O$2:$O$3000,"INVESTISSEMENT",'Données Suivi'!$H$2:$H$3000,"EN COURS DE PREENGAGEMENT")</f>
        <v/>
      </c>
      <c r="L13" s="632">
        <f>SUMIFS('Données Suivi'!$J$2:$J$3000,'Données Suivi'!$A$2:$A$3000,$A13,'Données Suivi'!$O$2:$O$3000,"INVESTISSEMENT",'Données Suivi'!$H$2:$H$3000,"NON ENGAGE")</f>
        <v/>
      </c>
      <c r="M13" s="633">
        <f>H13+I13+J13+K13+L13</f>
        <v/>
      </c>
      <c r="N13" s="634">
        <f>G13+M13</f>
        <v/>
      </c>
    </row>
    <row r="14">
      <c r="A14" s="629" t="inlineStr">
        <is>
          <t>DINFORADIO</t>
        </is>
      </c>
      <c r="B14" s="630">
        <f>SUMIFS('Données Suivi'!$J$2:$J$3000,'Données Suivi'!$A$2:$A$3000,$A14,'Données Suivi'!$O$2:$O$3000,"FONCTIONNEMENT",'Données Suivi'!$H$2:$H$3000,"ENGAGE")</f>
        <v/>
      </c>
      <c r="C14" s="630">
        <f>SUMIFS('Données Suivi'!$J$2:$J$3000,'Données Suivi'!$A$2:$A$3000,$A14,'Données Suivi'!$O$2:$O$3000,"FONCTIONNEMENT",'Données Suivi'!$H$2:$H$3000,"PREENGAGE")</f>
        <v/>
      </c>
      <c r="D14" s="630">
        <f>SUMIFS('Données Suivi'!$J$2:$J$3000,'Données Suivi'!$A$2:$A$3000,$A14,'Données Suivi'!$O$2:$O$3000,"FONCTIONNEMENT",'Données Suivi'!$H$2:$H$3000,"EN COURS D'ENGAGEMENT")</f>
        <v/>
      </c>
      <c r="E14" s="630">
        <f>SUMIFS('Données Suivi'!$J$2:$J$3000,'Données Suivi'!$A$2:$A$3000,$A14,'Données Suivi'!$O$2:$O$3000,"FONCTIONNEMENT",'Données Suivi'!$H$2:$H$3000,"EN COURS DE PREENGAGEMENT")</f>
        <v/>
      </c>
      <c r="F14" s="630">
        <f>SUMIFS('Données Suivi'!$J$2:$J$3000,'Données Suivi'!$A$2:$A$3000,$A14,'Données Suivi'!$O$2:$O$3000,"FONCTIONNEMENT",'Données Suivi'!$H$2:$H$3000,"NON ENGAGE")</f>
        <v/>
      </c>
      <c r="G14" s="631">
        <f>B14+C14+D14+E14+F14</f>
        <v/>
      </c>
      <c r="H14" s="632">
        <f>SUMIFS('Données Suivi'!$J$2:$J$3000,'Données Suivi'!$A$2:$A$3000,$A14,'Données Suivi'!$O$2:$O$3000,"INVESTISSEMENT",'Données Suivi'!$H$2:$H$3000,"ENGAGE")</f>
        <v/>
      </c>
      <c r="I14" s="632">
        <f>SUMIFS('Données Suivi'!$J$2:$J$3000,'Données Suivi'!$A$2:$A$3000,$A14,'Données Suivi'!$O$2:$O$3000,"INVESTISSEMENT",'Données Suivi'!$H$2:$H$3000,"PREENGAGE")</f>
        <v/>
      </c>
      <c r="J14" s="632">
        <f>SUMIFS('Données Suivi'!$J$2:$J$3000,'Données Suivi'!$A$2:$A$3000,$A14,'Données Suivi'!$O$2:$O$3000,"INVESTISSEMENT",'Données Suivi'!$H$2:$H$3000,"EN COURS D'ENGAGEMENT")</f>
        <v/>
      </c>
      <c r="K14" s="632">
        <f>SUMIFS('Données Suivi'!$J$2:$J$3000,'Données Suivi'!$A$2:$A$3000,$A14,'Données Suivi'!$O$2:$O$3000,"INVESTISSEMENT",'Données Suivi'!$H$2:$H$3000,"EN COURS DE PREENGAGEMENT")</f>
        <v/>
      </c>
      <c r="L14" s="632">
        <f>SUMIFS('Données Suivi'!$J$2:$J$3000,'Données Suivi'!$A$2:$A$3000,$A14,'Données Suivi'!$O$2:$O$3000,"INVESTISSEMENT",'Données Suivi'!$H$2:$H$3000,"NON ENGAGE")</f>
        <v/>
      </c>
      <c r="M14" s="633">
        <f>H14+I14+J14+K14+L14</f>
        <v/>
      </c>
      <c r="N14" s="634">
        <f>G14+M14</f>
        <v/>
      </c>
    </row>
    <row r="15">
      <c r="A15" s="629" t="inlineStr">
        <is>
          <t>DINFOTV</t>
        </is>
      </c>
      <c r="B15" s="630">
        <f>SUMIFS('Données Suivi'!$J$2:$J$3000,'Données Suivi'!$A$2:$A$3000,$A15,'Données Suivi'!$O$2:$O$3000,"FONCTIONNEMENT",'Données Suivi'!$H$2:$H$3000,"ENGAGE")</f>
        <v/>
      </c>
      <c r="C15" s="630">
        <f>SUMIFS('Données Suivi'!$J$2:$J$3000,'Données Suivi'!$A$2:$A$3000,$A15,'Données Suivi'!$O$2:$O$3000,"FONCTIONNEMENT",'Données Suivi'!$H$2:$H$3000,"PREENGAGE")</f>
        <v/>
      </c>
      <c r="D15" s="630">
        <f>SUMIFS('Données Suivi'!$J$2:$J$3000,'Données Suivi'!$A$2:$A$3000,$A15,'Données Suivi'!$O$2:$O$3000,"FONCTIONNEMENT",'Données Suivi'!$H$2:$H$3000,"EN COURS D'ENGAGEMENT")</f>
        <v/>
      </c>
      <c r="E15" s="630">
        <f>SUMIFS('Données Suivi'!$J$2:$J$3000,'Données Suivi'!$A$2:$A$3000,$A15,'Données Suivi'!$O$2:$O$3000,"FONCTIONNEMENT",'Données Suivi'!$H$2:$H$3000,"EN COURS DE PREENGAGEMENT")</f>
        <v/>
      </c>
      <c r="F15" s="630">
        <f>SUMIFS('Données Suivi'!$J$2:$J$3000,'Données Suivi'!$A$2:$A$3000,$A15,'Données Suivi'!$O$2:$O$3000,"FONCTIONNEMENT",'Données Suivi'!$H$2:$H$3000,"NON ENGAGE")</f>
        <v/>
      </c>
      <c r="G15" s="631">
        <f>B15+C15+D15+E15+F15</f>
        <v/>
      </c>
      <c r="H15" s="632">
        <f>SUMIFS('Données Suivi'!$J$2:$J$3000,'Données Suivi'!$A$2:$A$3000,$A15,'Données Suivi'!$O$2:$O$3000,"INVESTISSEMENT",'Données Suivi'!$H$2:$H$3000,"ENGAGE")</f>
        <v/>
      </c>
      <c r="I15" s="632">
        <f>SUMIFS('Données Suivi'!$J$2:$J$3000,'Données Suivi'!$A$2:$A$3000,$A15,'Données Suivi'!$O$2:$O$3000,"INVESTISSEMENT",'Données Suivi'!$H$2:$H$3000,"PREENGAGE")</f>
        <v/>
      </c>
      <c r="J15" s="632">
        <f>SUMIFS('Données Suivi'!$J$2:$J$3000,'Données Suivi'!$A$2:$A$3000,$A15,'Données Suivi'!$O$2:$O$3000,"INVESTISSEMENT",'Données Suivi'!$H$2:$H$3000,"EN COURS D'ENGAGEMENT")</f>
        <v/>
      </c>
      <c r="K15" s="632">
        <f>SUMIFS('Données Suivi'!$J$2:$J$3000,'Données Suivi'!$A$2:$A$3000,$A15,'Données Suivi'!$O$2:$O$3000,"INVESTISSEMENT",'Données Suivi'!$H$2:$H$3000,"EN COURS DE PREENGAGEMENT")</f>
        <v/>
      </c>
      <c r="L15" s="632">
        <f>SUMIFS('Données Suivi'!$J$2:$J$3000,'Données Suivi'!$A$2:$A$3000,$A15,'Données Suivi'!$O$2:$O$3000,"INVESTISSEMENT",'Données Suivi'!$H$2:$H$3000,"NON ENGAGE")</f>
        <v/>
      </c>
      <c r="M15" s="633">
        <f>H15+I15+J15+K15+L15</f>
        <v/>
      </c>
      <c r="N15" s="634">
        <f>G15+M15</f>
        <v/>
      </c>
    </row>
    <row r="16">
      <c r="A16" s="629" t="inlineStr">
        <is>
          <t>DJURIDIQUE</t>
        </is>
      </c>
      <c r="B16" s="630">
        <f>SUMIFS('Données Suivi'!$J$2:$J$3000,'Données Suivi'!$A$2:$A$3000,$A16,'Données Suivi'!$O$2:$O$3000,"FONCTIONNEMENT",'Données Suivi'!$H$2:$H$3000,"ENGAGE")</f>
        <v/>
      </c>
      <c r="C16" s="630">
        <f>SUMIFS('Données Suivi'!$J$2:$J$3000,'Données Suivi'!$A$2:$A$3000,$A16,'Données Suivi'!$O$2:$O$3000,"FONCTIONNEMENT",'Données Suivi'!$H$2:$H$3000,"PREENGAGE")</f>
        <v/>
      </c>
      <c r="D16" s="630">
        <f>SUMIFS('Données Suivi'!$J$2:$J$3000,'Données Suivi'!$A$2:$A$3000,$A16,'Données Suivi'!$O$2:$O$3000,"FONCTIONNEMENT",'Données Suivi'!$H$2:$H$3000,"EN COURS D'ENGAGEMENT")</f>
        <v/>
      </c>
      <c r="E16" s="630">
        <f>SUMIFS('Données Suivi'!$J$2:$J$3000,'Données Suivi'!$A$2:$A$3000,$A16,'Données Suivi'!$O$2:$O$3000,"FONCTIONNEMENT",'Données Suivi'!$H$2:$H$3000,"EN COURS DE PREENGAGEMENT")</f>
        <v/>
      </c>
      <c r="F16" s="630">
        <f>SUMIFS('Données Suivi'!$J$2:$J$3000,'Données Suivi'!$A$2:$A$3000,$A16,'Données Suivi'!$O$2:$O$3000,"FONCTIONNEMENT",'Données Suivi'!$H$2:$H$3000,"NON ENGAGE")</f>
        <v/>
      </c>
      <c r="G16" s="631">
        <f>B16+C16+D16+E16+F16</f>
        <v/>
      </c>
      <c r="H16" s="632">
        <f>SUMIFS('Données Suivi'!$J$2:$J$3000,'Données Suivi'!$A$2:$A$3000,$A16,'Données Suivi'!$O$2:$O$3000,"INVESTISSEMENT",'Données Suivi'!$H$2:$H$3000,"ENGAGE")</f>
        <v/>
      </c>
      <c r="I16" s="632">
        <f>SUMIFS('Données Suivi'!$J$2:$J$3000,'Données Suivi'!$A$2:$A$3000,$A16,'Données Suivi'!$O$2:$O$3000,"INVESTISSEMENT",'Données Suivi'!$H$2:$H$3000,"PREENGAGE")</f>
        <v/>
      </c>
      <c r="J16" s="632">
        <f>SUMIFS('Données Suivi'!$J$2:$J$3000,'Données Suivi'!$A$2:$A$3000,$A16,'Données Suivi'!$O$2:$O$3000,"INVESTISSEMENT",'Données Suivi'!$H$2:$H$3000,"EN COURS D'ENGAGEMENT")</f>
        <v/>
      </c>
      <c r="K16" s="632">
        <f>SUMIFS('Données Suivi'!$J$2:$J$3000,'Données Suivi'!$A$2:$A$3000,$A16,'Données Suivi'!$O$2:$O$3000,"INVESTISSEMENT",'Données Suivi'!$H$2:$H$3000,"EN COURS DE PREENGAGEMENT")</f>
        <v/>
      </c>
      <c r="L16" s="632">
        <f>SUMIFS('Données Suivi'!$J$2:$J$3000,'Données Suivi'!$A$2:$A$3000,$A16,'Données Suivi'!$O$2:$O$3000,"INVESTISSEMENT",'Données Suivi'!$H$2:$H$3000,"NON ENGAGE")</f>
        <v/>
      </c>
      <c r="M16" s="633">
        <f>H16+I16+J16+K16+L16</f>
        <v/>
      </c>
      <c r="N16" s="634">
        <f>G16+M16</f>
        <v/>
      </c>
    </row>
    <row r="17">
      <c r="A17" s="629" t="inlineStr">
        <is>
          <t>DMPTV</t>
        </is>
      </c>
      <c r="B17" s="630">
        <f>SUMIFS('Données Suivi'!$J$2:$J$3000,'Données Suivi'!$A$2:$A$3000,$A17,'Données Suivi'!$O$2:$O$3000,"FONCTIONNEMENT",'Données Suivi'!$H$2:$H$3000,"ENGAGE")</f>
        <v/>
      </c>
      <c r="C17" s="630">
        <f>SUMIFS('Données Suivi'!$J$2:$J$3000,'Données Suivi'!$A$2:$A$3000,$A17,'Données Suivi'!$O$2:$O$3000,"FONCTIONNEMENT",'Données Suivi'!$H$2:$H$3000,"PREENGAGE")</f>
        <v/>
      </c>
      <c r="D17" s="630">
        <f>SUMIFS('Données Suivi'!$J$2:$J$3000,'Données Suivi'!$A$2:$A$3000,$A17,'Données Suivi'!$O$2:$O$3000,"FONCTIONNEMENT",'Données Suivi'!$H$2:$H$3000,"EN COURS D'ENGAGEMENT")</f>
        <v/>
      </c>
      <c r="E17" s="630">
        <f>SUMIFS('Données Suivi'!$J$2:$J$3000,'Données Suivi'!$A$2:$A$3000,$A17,'Données Suivi'!$O$2:$O$3000,"FONCTIONNEMENT",'Données Suivi'!$H$2:$H$3000,"EN COURS DE PREENGAGEMENT")</f>
        <v/>
      </c>
      <c r="F17" s="630">
        <f>SUMIFS('Données Suivi'!$J$2:$J$3000,'Données Suivi'!$A$2:$A$3000,$A17,'Données Suivi'!$O$2:$O$3000,"FONCTIONNEMENT",'Données Suivi'!$H$2:$H$3000,"NON ENGAGE")</f>
        <v/>
      </c>
      <c r="G17" s="631">
        <f>B17+C17+D17+E17+F17</f>
        <v/>
      </c>
      <c r="H17" s="632">
        <f>SUMIFS('Données Suivi'!$J$2:$J$3000,'Données Suivi'!$A$2:$A$3000,$A17,'Données Suivi'!$O$2:$O$3000,"INVESTISSEMENT",'Données Suivi'!$H$2:$H$3000,"ENGAGE")</f>
        <v/>
      </c>
      <c r="I17" s="632">
        <f>SUMIFS('Données Suivi'!$J$2:$J$3000,'Données Suivi'!$A$2:$A$3000,$A17,'Données Suivi'!$O$2:$O$3000,"INVESTISSEMENT",'Données Suivi'!$H$2:$H$3000,"PREENGAGE")</f>
        <v/>
      </c>
      <c r="J17" s="632">
        <f>SUMIFS('Données Suivi'!$J$2:$J$3000,'Données Suivi'!$A$2:$A$3000,$A17,'Données Suivi'!$O$2:$O$3000,"INVESTISSEMENT",'Données Suivi'!$H$2:$H$3000,"EN COURS D'ENGAGEMENT")</f>
        <v/>
      </c>
      <c r="K17" s="632">
        <f>SUMIFS('Données Suivi'!$J$2:$J$3000,'Données Suivi'!$A$2:$A$3000,$A17,'Données Suivi'!$O$2:$O$3000,"INVESTISSEMENT",'Données Suivi'!$H$2:$H$3000,"EN COURS DE PREENGAGEMENT")</f>
        <v/>
      </c>
      <c r="L17" s="632">
        <f>SUMIFS('Données Suivi'!$J$2:$J$3000,'Données Suivi'!$A$2:$A$3000,$A17,'Données Suivi'!$O$2:$O$3000,"INVESTISSEMENT",'Données Suivi'!$H$2:$H$3000,"NON ENGAGE")</f>
        <v/>
      </c>
      <c r="M17" s="633">
        <f>H17+I17+J17+K17+L17</f>
        <v/>
      </c>
      <c r="N17" s="634">
        <f>G17+M17</f>
        <v/>
      </c>
    </row>
    <row r="18">
      <c r="A18" s="629" t="inlineStr">
        <is>
          <t>DPMG</t>
        </is>
      </c>
      <c r="B18" s="630">
        <f>SUMIFS('Données Suivi'!$J$2:$J$3000,'Données Suivi'!$A$2:$A$3000,$A18,'Données Suivi'!$O$2:$O$3000,"FONCTIONNEMENT",'Données Suivi'!$H$2:$H$3000,"ENGAGE")</f>
        <v/>
      </c>
      <c r="C18" s="630">
        <f>SUMIFS('Données Suivi'!$J$2:$J$3000,'Données Suivi'!$A$2:$A$3000,$A18,'Données Suivi'!$O$2:$O$3000,"FONCTIONNEMENT",'Données Suivi'!$H$2:$H$3000,"PREENGAGE")</f>
        <v/>
      </c>
      <c r="D18" s="630">
        <f>SUMIFS('Données Suivi'!$J$2:$J$3000,'Données Suivi'!$A$2:$A$3000,$A18,'Données Suivi'!$O$2:$O$3000,"FONCTIONNEMENT",'Données Suivi'!$H$2:$H$3000,"EN COURS D'ENGAGEMENT")</f>
        <v/>
      </c>
      <c r="E18" s="630">
        <f>SUMIFS('Données Suivi'!$J$2:$J$3000,'Données Suivi'!$A$2:$A$3000,$A18,'Données Suivi'!$O$2:$O$3000,"FONCTIONNEMENT",'Données Suivi'!$H$2:$H$3000,"EN COURS DE PREENGAGEMENT")</f>
        <v/>
      </c>
      <c r="F18" s="630">
        <f>SUMIFS('Données Suivi'!$J$2:$J$3000,'Données Suivi'!$A$2:$A$3000,$A18,'Données Suivi'!$O$2:$O$3000,"FONCTIONNEMENT",'Données Suivi'!$H$2:$H$3000,"NON ENGAGE")</f>
        <v/>
      </c>
      <c r="G18" s="631">
        <f>B18+C18+D18+E18+F18</f>
        <v/>
      </c>
      <c r="H18" s="632">
        <f>SUMIFS('Données Suivi'!$J$2:$J$3000,'Données Suivi'!$A$2:$A$3000,$A18,'Données Suivi'!$O$2:$O$3000,"INVESTISSEMENT",'Données Suivi'!$H$2:$H$3000,"ENGAGE")</f>
        <v/>
      </c>
      <c r="I18" s="632">
        <f>SUMIFS('Données Suivi'!$J$2:$J$3000,'Données Suivi'!$A$2:$A$3000,$A18,'Données Suivi'!$O$2:$O$3000,"INVESTISSEMENT",'Données Suivi'!$H$2:$H$3000,"PREENGAGE")</f>
        <v/>
      </c>
      <c r="J18" s="632">
        <f>SUMIFS('Données Suivi'!$J$2:$J$3000,'Données Suivi'!$A$2:$A$3000,$A18,'Données Suivi'!$O$2:$O$3000,"INVESTISSEMENT",'Données Suivi'!$H$2:$H$3000,"EN COURS D'ENGAGEMENT")</f>
        <v/>
      </c>
      <c r="K18" s="632">
        <f>SUMIFS('Données Suivi'!$J$2:$J$3000,'Données Suivi'!$A$2:$A$3000,$A18,'Données Suivi'!$O$2:$O$3000,"INVESTISSEMENT",'Données Suivi'!$H$2:$H$3000,"EN COURS DE PREENGAGEMENT")</f>
        <v/>
      </c>
      <c r="L18" s="632">
        <f>SUMIFS('Données Suivi'!$J$2:$J$3000,'Données Suivi'!$A$2:$A$3000,$A18,'Données Suivi'!$O$2:$O$3000,"INVESTISSEMENT",'Données Suivi'!$H$2:$H$3000,"NON ENGAGE")</f>
        <v/>
      </c>
      <c r="M18" s="633">
        <f>H18+I18+J18+K18+L18</f>
        <v/>
      </c>
      <c r="N18" s="634">
        <f>G18+M18</f>
        <v/>
      </c>
    </row>
    <row r="19">
      <c r="A19" s="629" t="inlineStr">
        <is>
          <t>DPPR</t>
        </is>
      </c>
      <c r="B19" s="630">
        <f>SUMIFS('Données Suivi'!$J$2:$J$3000,'Données Suivi'!$A$2:$A$3000,$A19,'Données Suivi'!$O$2:$O$3000,"FONCTIONNEMENT",'Données Suivi'!$H$2:$H$3000,"ENGAGE")</f>
        <v/>
      </c>
      <c r="C19" s="630">
        <f>SUMIFS('Données Suivi'!$J$2:$J$3000,'Données Suivi'!$A$2:$A$3000,$A19,'Données Suivi'!$O$2:$O$3000,"FONCTIONNEMENT",'Données Suivi'!$H$2:$H$3000,"PREENGAGE")</f>
        <v/>
      </c>
      <c r="D19" s="630">
        <f>SUMIFS('Données Suivi'!$J$2:$J$3000,'Données Suivi'!$A$2:$A$3000,$A19,'Données Suivi'!$O$2:$O$3000,"FONCTIONNEMENT",'Données Suivi'!$H$2:$H$3000,"EN COURS D'ENGAGEMENT")</f>
        <v/>
      </c>
      <c r="E19" s="630">
        <f>SUMIFS('Données Suivi'!$J$2:$J$3000,'Données Suivi'!$A$2:$A$3000,$A19,'Données Suivi'!$O$2:$O$3000,"FONCTIONNEMENT",'Données Suivi'!$H$2:$H$3000,"EN COURS DE PREENGAGEMENT")</f>
        <v/>
      </c>
      <c r="F19" s="630">
        <f>SUMIFS('Données Suivi'!$J$2:$J$3000,'Données Suivi'!$A$2:$A$3000,$A19,'Données Suivi'!$O$2:$O$3000,"FONCTIONNEMENT",'Données Suivi'!$H$2:$H$3000,"NON ENGAGE")</f>
        <v/>
      </c>
      <c r="G19" s="631">
        <f>B19+C19+D19+E19+F19</f>
        <v/>
      </c>
      <c r="H19" s="632">
        <f>SUMIFS('Données Suivi'!$J$2:$J$3000,'Données Suivi'!$A$2:$A$3000,$A19,'Données Suivi'!$O$2:$O$3000,"INVESTISSEMENT",'Données Suivi'!$H$2:$H$3000,"ENGAGE")</f>
        <v/>
      </c>
      <c r="I19" s="632">
        <f>SUMIFS('Données Suivi'!$J$2:$J$3000,'Données Suivi'!$A$2:$A$3000,$A19,'Données Suivi'!$O$2:$O$3000,"INVESTISSEMENT",'Données Suivi'!$H$2:$H$3000,"PREENGAGE")</f>
        <v/>
      </c>
      <c r="J19" s="632">
        <f>SUMIFS('Données Suivi'!$J$2:$J$3000,'Données Suivi'!$A$2:$A$3000,$A19,'Données Suivi'!$O$2:$O$3000,"INVESTISSEMENT",'Données Suivi'!$H$2:$H$3000,"EN COURS D'ENGAGEMENT")</f>
        <v/>
      </c>
      <c r="K19" s="632">
        <f>SUMIFS('Données Suivi'!$J$2:$J$3000,'Données Suivi'!$A$2:$A$3000,$A19,'Données Suivi'!$O$2:$O$3000,"INVESTISSEMENT",'Données Suivi'!$H$2:$H$3000,"EN COURS DE PREENGAGEMENT")</f>
        <v/>
      </c>
      <c r="L19" s="632">
        <f>SUMIFS('Données Suivi'!$J$2:$J$3000,'Données Suivi'!$A$2:$A$3000,$A19,'Données Suivi'!$O$2:$O$3000,"INVESTISSEMENT",'Données Suivi'!$H$2:$H$3000,"NON ENGAGE")</f>
        <v/>
      </c>
      <c r="M19" s="633">
        <f>H19+I19+J19+K19+L19</f>
        <v/>
      </c>
      <c r="N19" s="634">
        <f>G19+M19</f>
        <v/>
      </c>
    </row>
    <row r="20">
      <c r="A20" s="629" t="inlineStr">
        <is>
          <t>DRH</t>
        </is>
      </c>
      <c r="B20" s="630">
        <f>SUMIFS('Données Suivi'!$J$2:$J$3000,'Données Suivi'!$A$2:$A$3000,$A20,'Données Suivi'!$O$2:$O$3000,"FONCTIONNEMENT",'Données Suivi'!$H$2:$H$3000,"ENGAGE")</f>
        <v/>
      </c>
      <c r="C20" s="630">
        <f>SUMIFS('Données Suivi'!$J$2:$J$3000,'Données Suivi'!$A$2:$A$3000,$A20,'Données Suivi'!$O$2:$O$3000,"FONCTIONNEMENT",'Données Suivi'!$H$2:$H$3000,"PREENGAGE")</f>
        <v/>
      </c>
      <c r="D20" s="630">
        <f>SUMIFS('Données Suivi'!$J$2:$J$3000,'Données Suivi'!$A$2:$A$3000,$A20,'Données Suivi'!$O$2:$O$3000,"FONCTIONNEMENT",'Données Suivi'!$H$2:$H$3000,"EN COURS D'ENGAGEMENT")</f>
        <v/>
      </c>
      <c r="E20" s="630">
        <f>SUMIFS('Données Suivi'!$J$2:$J$3000,'Données Suivi'!$A$2:$A$3000,$A20,'Données Suivi'!$O$2:$O$3000,"FONCTIONNEMENT",'Données Suivi'!$H$2:$H$3000,"EN COURS DE PREENGAGEMENT")</f>
        <v/>
      </c>
      <c r="F20" s="630">
        <f>SUMIFS('Données Suivi'!$J$2:$J$3000,'Données Suivi'!$A$2:$A$3000,$A20,'Données Suivi'!$O$2:$O$3000,"FONCTIONNEMENT",'Données Suivi'!$H$2:$H$3000,"NON ENGAGE")</f>
        <v/>
      </c>
      <c r="G20" s="631">
        <f>B20+C20+D20+E20+F20</f>
        <v/>
      </c>
      <c r="H20" s="632">
        <f>SUMIFS('Données Suivi'!$J$2:$J$3000,'Données Suivi'!$A$2:$A$3000,$A20,'Données Suivi'!$O$2:$O$3000,"INVESTISSEMENT",'Données Suivi'!$H$2:$H$3000,"ENGAGE")</f>
        <v/>
      </c>
      <c r="I20" s="632">
        <f>SUMIFS('Données Suivi'!$J$2:$J$3000,'Données Suivi'!$A$2:$A$3000,$A20,'Données Suivi'!$O$2:$O$3000,"INVESTISSEMENT",'Données Suivi'!$H$2:$H$3000,"PREENGAGE")</f>
        <v/>
      </c>
      <c r="J20" s="632">
        <f>SUMIFS('Données Suivi'!$J$2:$J$3000,'Données Suivi'!$A$2:$A$3000,$A20,'Données Suivi'!$O$2:$O$3000,"INVESTISSEMENT",'Données Suivi'!$H$2:$H$3000,"EN COURS D'ENGAGEMENT")</f>
        <v/>
      </c>
      <c r="K20" s="632">
        <f>SUMIFS('Données Suivi'!$J$2:$J$3000,'Données Suivi'!$A$2:$A$3000,$A20,'Données Suivi'!$O$2:$O$3000,"INVESTISSEMENT",'Données Suivi'!$H$2:$H$3000,"EN COURS DE PREENGAGEMENT")</f>
        <v/>
      </c>
      <c r="L20" s="632">
        <f>SUMIFS('Données Suivi'!$J$2:$J$3000,'Données Suivi'!$A$2:$A$3000,$A20,'Données Suivi'!$O$2:$O$3000,"INVESTISSEMENT",'Données Suivi'!$H$2:$H$3000,"NON ENGAGE")</f>
        <v/>
      </c>
      <c r="M20" s="633">
        <f>H20+I20+J20+K20+L20</f>
        <v/>
      </c>
      <c r="N20" s="634">
        <f>G20+M20</f>
        <v/>
      </c>
    </row>
    <row r="21">
      <c r="A21" s="629" t="inlineStr">
        <is>
          <t>DRPSD</t>
        </is>
      </c>
      <c r="B21" s="630">
        <f>SUMIFS('Données Suivi'!$J$2:$J$3000,'Données Suivi'!$A$2:$A$3000,$A21,'Données Suivi'!$O$2:$O$3000,"FONCTIONNEMENT",'Données Suivi'!$H$2:$H$3000,"ENGAGE")</f>
        <v/>
      </c>
      <c r="C21" s="630">
        <f>SUMIFS('Données Suivi'!$J$2:$J$3000,'Données Suivi'!$A$2:$A$3000,$A21,'Données Suivi'!$O$2:$O$3000,"FONCTIONNEMENT",'Données Suivi'!$H$2:$H$3000,"PREENGAGE")</f>
        <v/>
      </c>
      <c r="D21" s="630">
        <f>SUMIFS('Données Suivi'!$J$2:$J$3000,'Données Suivi'!$A$2:$A$3000,$A21,'Données Suivi'!$O$2:$O$3000,"FONCTIONNEMENT",'Données Suivi'!$H$2:$H$3000,"EN COURS D'ENGAGEMENT")</f>
        <v/>
      </c>
      <c r="E21" s="630">
        <f>SUMIFS('Données Suivi'!$J$2:$J$3000,'Données Suivi'!$A$2:$A$3000,$A21,'Données Suivi'!$O$2:$O$3000,"FONCTIONNEMENT",'Données Suivi'!$H$2:$H$3000,"EN COURS DE PREENGAGEMENT")</f>
        <v/>
      </c>
      <c r="F21" s="630">
        <f>SUMIFS('Données Suivi'!$J$2:$J$3000,'Données Suivi'!$A$2:$A$3000,$A21,'Données Suivi'!$O$2:$O$3000,"FONCTIONNEMENT",'Données Suivi'!$H$2:$H$3000,"NON ENGAGE")</f>
        <v/>
      </c>
      <c r="G21" s="631">
        <f>B21+C21+D21+E21+F21</f>
        <v/>
      </c>
      <c r="H21" s="632">
        <f>SUMIFS('Données Suivi'!$J$2:$J$3000,'Données Suivi'!$A$2:$A$3000,$A21,'Données Suivi'!$O$2:$O$3000,"INVESTISSEMENT",'Données Suivi'!$H$2:$H$3000,"ENGAGE")</f>
        <v/>
      </c>
      <c r="I21" s="632">
        <f>SUMIFS('Données Suivi'!$J$2:$J$3000,'Données Suivi'!$A$2:$A$3000,$A21,'Données Suivi'!$O$2:$O$3000,"INVESTISSEMENT",'Données Suivi'!$H$2:$H$3000,"PREENGAGE")</f>
        <v/>
      </c>
      <c r="J21" s="632">
        <f>SUMIFS('Données Suivi'!$J$2:$J$3000,'Données Suivi'!$A$2:$A$3000,$A21,'Données Suivi'!$O$2:$O$3000,"INVESTISSEMENT",'Données Suivi'!$H$2:$H$3000,"EN COURS D'ENGAGEMENT")</f>
        <v/>
      </c>
      <c r="K21" s="632">
        <f>SUMIFS('Données Suivi'!$J$2:$J$3000,'Données Suivi'!$A$2:$A$3000,$A21,'Données Suivi'!$O$2:$O$3000,"INVESTISSEMENT",'Données Suivi'!$H$2:$H$3000,"EN COURS DE PREENGAGEMENT")</f>
        <v/>
      </c>
      <c r="L21" s="632">
        <f>SUMIFS('Données Suivi'!$J$2:$J$3000,'Données Suivi'!$A$2:$A$3000,$A21,'Données Suivi'!$O$2:$O$3000,"INVESTISSEMENT",'Données Suivi'!$H$2:$H$3000,"NON ENGAGE")</f>
        <v/>
      </c>
      <c r="M21" s="633">
        <f>H21+I21+J21+K21+L21</f>
        <v/>
      </c>
      <c r="N21" s="634">
        <f>G21+M21</f>
        <v/>
      </c>
    </row>
    <row r="22">
      <c r="A22" s="629" t="inlineStr">
        <is>
          <t>MAGHRIBIA</t>
        </is>
      </c>
      <c r="B22" s="630">
        <f>SUMIFS('Données Suivi'!$J$2:$J$3000,'Données Suivi'!$A$2:$A$3000,$A22,'Données Suivi'!$O$2:$O$3000,"FONCTIONNEMENT",'Données Suivi'!$H$2:$H$3000,"ENGAGE")</f>
        <v/>
      </c>
      <c r="C22" s="630">
        <f>SUMIFS('Données Suivi'!$J$2:$J$3000,'Données Suivi'!$A$2:$A$3000,$A22,'Données Suivi'!$O$2:$O$3000,"FONCTIONNEMENT",'Données Suivi'!$H$2:$H$3000,"PREENGAGE")</f>
        <v/>
      </c>
      <c r="D22" s="630">
        <f>SUMIFS('Données Suivi'!$J$2:$J$3000,'Données Suivi'!$A$2:$A$3000,$A22,'Données Suivi'!$O$2:$O$3000,"FONCTIONNEMENT",'Données Suivi'!$H$2:$H$3000,"EN COURS D'ENGAGEMENT")</f>
        <v/>
      </c>
      <c r="E22" s="630">
        <f>SUMIFS('Données Suivi'!$J$2:$J$3000,'Données Suivi'!$A$2:$A$3000,$A22,'Données Suivi'!$O$2:$O$3000,"FONCTIONNEMENT",'Données Suivi'!$H$2:$H$3000,"EN COURS DE PREENGAGEMENT")</f>
        <v/>
      </c>
      <c r="F22" s="630">
        <f>SUMIFS('Données Suivi'!$J$2:$J$3000,'Données Suivi'!$A$2:$A$3000,$A22,'Données Suivi'!$O$2:$O$3000,"FONCTIONNEMENT",'Données Suivi'!$H$2:$H$3000,"NON ENGAGE")</f>
        <v/>
      </c>
      <c r="G22" s="631">
        <f>B22+C22+D22+E22+F22</f>
        <v/>
      </c>
      <c r="H22" s="632">
        <f>SUMIFS('Données Suivi'!$J$2:$J$3000,'Données Suivi'!$A$2:$A$3000,$A22,'Données Suivi'!$O$2:$O$3000,"INVESTISSEMENT",'Données Suivi'!$H$2:$H$3000,"ENGAGE")</f>
        <v/>
      </c>
      <c r="I22" s="632">
        <f>SUMIFS('Données Suivi'!$J$2:$J$3000,'Données Suivi'!$A$2:$A$3000,$A22,'Données Suivi'!$O$2:$O$3000,"INVESTISSEMENT",'Données Suivi'!$H$2:$H$3000,"PREENGAGE")</f>
        <v/>
      </c>
      <c r="J22" s="632">
        <f>SUMIFS('Données Suivi'!$J$2:$J$3000,'Données Suivi'!$A$2:$A$3000,$A22,'Données Suivi'!$O$2:$O$3000,"INVESTISSEMENT",'Données Suivi'!$H$2:$H$3000,"EN COURS D'ENGAGEMENT")</f>
        <v/>
      </c>
      <c r="K22" s="632">
        <f>SUMIFS('Données Suivi'!$J$2:$J$3000,'Données Suivi'!$A$2:$A$3000,$A22,'Données Suivi'!$O$2:$O$3000,"INVESTISSEMENT",'Données Suivi'!$H$2:$H$3000,"EN COURS DE PREENGAGEMENT")</f>
        <v/>
      </c>
      <c r="L22" s="632">
        <f>SUMIFS('Données Suivi'!$J$2:$J$3000,'Données Suivi'!$A$2:$A$3000,$A22,'Données Suivi'!$O$2:$O$3000,"INVESTISSEMENT",'Données Suivi'!$H$2:$H$3000,"NON ENGAGE")</f>
        <v/>
      </c>
      <c r="M22" s="633">
        <f>H22+I22+J22+K22+L22</f>
        <v/>
      </c>
      <c r="N22" s="634">
        <f>G22+M22</f>
        <v/>
      </c>
    </row>
    <row r="23">
      <c r="A23" s="629" t="inlineStr">
        <is>
          <t>RSSI</t>
        </is>
      </c>
      <c r="B23" s="630">
        <f>SUMIFS('Données Suivi'!$J$2:$J$3000,'Données Suivi'!$A$2:$A$3000,$A23,'Données Suivi'!$O$2:$O$3000,"FONCTIONNEMENT",'Données Suivi'!$H$2:$H$3000,"ENGAGE")</f>
        <v/>
      </c>
      <c r="C23" s="630">
        <f>SUMIFS('Données Suivi'!$J$2:$J$3000,'Données Suivi'!$A$2:$A$3000,$A23,'Données Suivi'!$O$2:$O$3000,"FONCTIONNEMENT",'Données Suivi'!$H$2:$H$3000,"PREENGAGE")</f>
        <v/>
      </c>
      <c r="D23" s="630">
        <f>SUMIFS('Données Suivi'!$J$2:$J$3000,'Données Suivi'!$A$2:$A$3000,$A23,'Données Suivi'!$O$2:$O$3000,"FONCTIONNEMENT",'Données Suivi'!$H$2:$H$3000,"EN COURS D'ENGAGEMENT")</f>
        <v/>
      </c>
      <c r="E23" s="630">
        <f>SUMIFS('Données Suivi'!$J$2:$J$3000,'Données Suivi'!$A$2:$A$3000,$A23,'Données Suivi'!$O$2:$O$3000,"FONCTIONNEMENT",'Données Suivi'!$H$2:$H$3000,"EN COURS DE PREENGAGEMENT")</f>
        <v/>
      </c>
      <c r="F23" s="630">
        <f>SUMIFS('Données Suivi'!$J$2:$J$3000,'Données Suivi'!$A$2:$A$3000,$A23,'Données Suivi'!$O$2:$O$3000,"FONCTIONNEMENT",'Données Suivi'!$H$2:$H$3000,"NON ENGAGE")</f>
        <v/>
      </c>
      <c r="G23" s="631">
        <f>B23+C23+D23+E23+F23</f>
        <v/>
      </c>
      <c r="H23" s="632">
        <f>SUMIFS('Données Suivi'!$J$2:$J$3000,'Données Suivi'!$A$2:$A$3000,$A23,'Données Suivi'!$O$2:$O$3000,"INVESTISSEMENT",'Données Suivi'!$H$2:$H$3000,"ENGAGE")</f>
        <v/>
      </c>
      <c r="I23" s="632">
        <f>SUMIFS('Données Suivi'!$J$2:$J$3000,'Données Suivi'!$A$2:$A$3000,$A23,'Données Suivi'!$O$2:$O$3000,"INVESTISSEMENT",'Données Suivi'!$H$2:$H$3000,"PREENGAGE")</f>
        <v/>
      </c>
      <c r="J23" s="632">
        <f>SUMIFS('Données Suivi'!$J$2:$J$3000,'Données Suivi'!$A$2:$A$3000,$A23,'Données Suivi'!$O$2:$O$3000,"INVESTISSEMENT",'Données Suivi'!$H$2:$H$3000,"EN COURS D'ENGAGEMENT")</f>
        <v/>
      </c>
      <c r="K23" s="632">
        <f>SUMIFS('Données Suivi'!$J$2:$J$3000,'Données Suivi'!$A$2:$A$3000,$A23,'Données Suivi'!$O$2:$O$3000,"INVESTISSEMENT",'Données Suivi'!$H$2:$H$3000,"EN COURS DE PREENGAGEMENT")</f>
        <v/>
      </c>
      <c r="L23" s="632">
        <f>SUMIFS('Données Suivi'!$J$2:$J$3000,'Données Suivi'!$A$2:$A$3000,$A23,'Données Suivi'!$O$2:$O$3000,"INVESTISSEMENT",'Données Suivi'!$H$2:$H$3000,"NON ENGAGE")</f>
        <v/>
      </c>
      <c r="M23" s="633">
        <f>H23+I23+J23+K23+L23</f>
        <v/>
      </c>
      <c r="N23" s="634">
        <f>G23+M23</f>
        <v/>
      </c>
    </row>
    <row r="24">
      <c r="A24" s="629" t="inlineStr">
        <is>
          <t>TAMAZIGHT</t>
        </is>
      </c>
      <c r="B24" s="630">
        <f>SUMIFS('Données Suivi'!$J$2:$J$3000,'Données Suivi'!$A$2:$A$3000,$A24,'Données Suivi'!$O$2:$O$3000,"FONCTIONNEMENT",'Données Suivi'!$H$2:$H$3000,"ENGAGE")</f>
        <v/>
      </c>
      <c r="C24" s="630">
        <f>SUMIFS('Données Suivi'!$J$2:$J$3000,'Données Suivi'!$A$2:$A$3000,$A24,'Données Suivi'!$O$2:$O$3000,"FONCTIONNEMENT",'Données Suivi'!$H$2:$H$3000,"PREENGAGE")</f>
        <v/>
      </c>
      <c r="D24" s="630">
        <f>SUMIFS('Données Suivi'!$J$2:$J$3000,'Données Suivi'!$A$2:$A$3000,$A24,'Données Suivi'!$O$2:$O$3000,"FONCTIONNEMENT",'Données Suivi'!$H$2:$H$3000,"EN COURS D'ENGAGEMENT")</f>
        <v/>
      </c>
      <c r="E24" s="630">
        <f>SUMIFS('Données Suivi'!$J$2:$J$3000,'Données Suivi'!$A$2:$A$3000,$A24,'Données Suivi'!$O$2:$O$3000,"FONCTIONNEMENT",'Données Suivi'!$H$2:$H$3000,"EN COURS DE PREENGAGEMENT")</f>
        <v/>
      </c>
      <c r="F24" s="630">
        <f>SUMIFS('Données Suivi'!$J$2:$J$3000,'Données Suivi'!$A$2:$A$3000,$A24,'Données Suivi'!$O$2:$O$3000,"FONCTIONNEMENT",'Données Suivi'!$H$2:$H$3000,"NON ENGAGE")</f>
        <v/>
      </c>
      <c r="G24" s="631">
        <f>B24+C24+D24+E24+F24</f>
        <v/>
      </c>
      <c r="H24" s="632">
        <f>SUMIFS('Données Suivi'!$J$2:$J$3000,'Données Suivi'!$A$2:$A$3000,$A24,'Données Suivi'!$O$2:$O$3000,"INVESTISSEMENT",'Données Suivi'!$H$2:$H$3000,"ENGAGE")</f>
        <v/>
      </c>
      <c r="I24" s="632">
        <f>SUMIFS('Données Suivi'!$J$2:$J$3000,'Données Suivi'!$A$2:$A$3000,$A24,'Données Suivi'!$O$2:$O$3000,"INVESTISSEMENT",'Données Suivi'!$H$2:$H$3000,"PREENGAGE")</f>
        <v/>
      </c>
      <c r="J24" s="632">
        <f>SUMIFS('Données Suivi'!$J$2:$J$3000,'Données Suivi'!$A$2:$A$3000,$A24,'Données Suivi'!$O$2:$O$3000,"INVESTISSEMENT",'Données Suivi'!$H$2:$H$3000,"EN COURS D'ENGAGEMENT")</f>
        <v/>
      </c>
      <c r="K24" s="632">
        <f>SUMIFS('Données Suivi'!$J$2:$J$3000,'Données Suivi'!$A$2:$A$3000,$A24,'Données Suivi'!$O$2:$O$3000,"INVESTISSEMENT",'Données Suivi'!$H$2:$H$3000,"EN COURS DE PREENGAGEMENT")</f>
        <v/>
      </c>
      <c r="L24" s="632">
        <f>SUMIFS('Données Suivi'!$J$2:$J$3000,'Données Suivi'!$A$2:$A$3000,$A24,'Données Suivi'!$O$2:$O$3000,"INVESTISSEMENT",'Données Suivi'!$H$2:$H$3000,"NON ENGAGE")</f>
        <v/>
      </c>
      <c r="M24" s="633">
        <f>H24+I24+J24+K24+L24</f>
        <v/>
      </c>
      <c r="N24" s="634">
        <f>G24+M24</f>
        <v/>
      </c>
    </row>
    <row r="25">
      <c r="A25" s="629" t="inlineStr">
        <is>
          <t>TDF -SITES</t>
        </is>
      </c>
      <c r="B25" s="630">
        <f>SUMIFS('Données Suivi'!$J$2:$J$3000,'Données Suivi'!$A$2:$A$3000,$A25,'Données Suivi'!$O$2:$O$3000,"FONCTIONNEMENT",'Données Suivi'!$H$2:$H$3000,"ENGAGE")</f>
        <v/>
      </c>
      <c r="C25" s="630">
        <f>SUMIFS('Données Suivi'!$J$2:$J$3000,'Données Suivi'!$A$2:$A$3000,$A25,'Données Suivi'!$O$2:$O$3000,"FONCTIONNEMENT",'Données Suivi'!$H$2:$H$3000,"PREENGAGE")</f>
        <v/>
      </c>
      <c r="D25" s="630">
        <f>SUMIFS('Données Suivi'!$J$2:$J$3000,'Données Suivi'!$A$2:$A$3000,$A25,'Données Suivi'!$O$2:$O$3000,"FONCTIONNEMENT",'Données Suivi'!$H$2:$H$3000,"EN COURS D'ENGAGEMENT")</f>
        <v/>
      </c>
      <c r="E25" s="630">
        <f>SUMIFS('Données Suivi'!$J$2:$J$3000,'Données Suivi'!$A$2:$A$3000,$A25,'Données Suivi'!$O$2:$O$3000,"FONCTIONNEMENT",'Données Suivi'!$H$2:$H$3000,"EN COURS DE PREENGAGEMENT")</f>
        <v/>
      </c>
      <c r="F25" s="630">
        <f>SUMIFS('Données Suivi'!$J$2:$J$3000,'Données Suivi'!$A$2:$A$3000,$A25,'Données Suivi'!$O$2:$O$3000,"FONCTIONNEMENT",'Données Suivi'!$H$2:$H$3000,"NON ENGAGE")</f>
        <v/>
      </c>
      <c r="G25" s="631">
        <f>B25+C25+D25+E25+F25</f>
        <v/>
      </c>
      <c r="H25" s="632">
        <f>SUMIFS('Données Suivi'!$J$2:$J$3000,'Données Suivi'!$A$2:$A$3000,$A25,'Données Suivi'!$O$2:$O$3000,"INVESTISSEMENT",'Données Suivi'!$H$2:$H$3000,"ENGAGE")</f>
        <v/>
      </c>
      <c r="I25" s="632">
        <f>SUMIFS('Données Suivi'!$J$2:$J$3000,'Données Suivi'!$A$2:$A$3000,$A25,'Données Suivi'!$O$2:$O$3000,"INVESTISSEMENT",'Données Suivi'!$H$2:$H$3000,"PREENGAGE")</f>
        <v/>
      </c>
      <c r="J25" s="632">
        <f>SUMIFS('Données Suivi'!$J$2:$J$3000,'Données Suivi'!$A$2:$A$3000,$A25,'Données Suivi'!$O$2:$O$3000,"INVESTISSEMENT",'Données Suivi'!$H$2:$H$3000,"EN COURS D'ENGAGEMENT")</f>
        <v/>
      </c>
      <c r="K25" s="632">
        <f>SUMIFS('Données Suivi'!$J$2:$J$3000,'Données Suivi'!$A$2:$A$3000,$A25,'Données Suivi'!$O$2:$O$3000,"INVESTISSEMENT",'Données Suivi'!$H$2:$H$3000,"EN COURS DE PREENGAGEMENT")</f>
        <v/>
      </c>
      <c r="L25" s="632">
        <f>SUMIFS('Données Suivi'!$J$2:$J$3000,'Données Suivi'!$A$2:$A$3000,$A25,'Données Suivi'!$O$2:$O$3000,"INVESTISSEMENT",'Données Suivi'!$H$2:$H$3000,"NON ENGAGE")</f>
        <v/>
      </c>
      <c r="M25" s="633">
        <f>H25+I25+J25+K25+L25</f>
        <v/>
      </c>
      <c r="N25" s="634">
        <f>G25+M25</f>
        <v/>
      </c>
    </row>
    <row r="26">
      <c r="A26" s="629" t="inlineStr">
        <is>
          <t>TDF-EXP&amp;MAIN</t>
        </is>
      </c>
      <c r="B26" s="630">
        <f>SUMIFS('Données Suivi'!$J$2:$J$3000,'Données Suivi'!$A$2:$A$3000,$A26,'Données Suivi'!$O$2:$O$3000,"FONCTIONNEMENT",'Données Suivi'!$H$2:$H$3000,"ENGAGE")</f>
        <v/>
      </c>
      <c r="C26" s="630">
        <f>SUMIFS('Données Suivi'!$J$2:$J$3000,'Données Suivi'!$A$2:$A$3000,$A26,'Données Suivi'!$O$2:$O$3000,"FONCTIONNEMENT",'Données Suivi'!$H$2:$H$3000,"PREENGAGE")</f>
        <v/>
      </c>
      <c r="D26" s="630">
        <f>SUMIFS('Données Suivi'!$J$2:$J$3000,'Données Suivi'!$A$2:$A$3000,$A26,'Données Suivi'!$O$2:$O$3000,"FONCTIONNEMENT",'Données Suivi'!$H$2:$H$3000,"EN COURS D'ENGAGEMENT")</f>
        <v/>
      </c>
      <c r="E26" s="630">
        <f>SUMIFS('Données Suivi'!$J$2:$J$3000,'Données Suivi'!$A$2:$A$3000,$A26,'Données Suivi'!$O$2:$O$3000,"FONCTIONNEMENT",'Données Suivi'!$H$2:$H$3000,"EN COURS DE PREENGAGEMENT")</f>
        <v/>
      </c>
      <c r="F26" s="630">
        <f>SUMIFS('Données Suivi'!$J$2:$J$3000,'Données Suivi'!$A$2:$A$3000,$A26,'Données Suivi'!$O$2:$O$3000,"FONCTIONNEMENT",'Données Suivi'!$H$2:$H$3000,"NON ENGAGE")</f>
        <v/>
      </c>
      <c r="G26" s="631">
        <f>B26+C26+D26+E26+F26</f>
        <v/>
      </c>
      <c r="H26" s="632">
        <f>SUMIFS('Données Suivi'!$J$2:$J$3000,'Données Suivi'!$A$2:$A$3000,$A26,'Données Suivi'!$O$2:$O$3000,"INVESTISSEMENT",'Données Suivi'!$H$2:$H$3000,"ENGAGE")</f>
        <v/>
      </c>
      <c r="I26" s="632">
        <f>SUMIFS('Données Suivi'!$J$2:$J$3000,'Données Suivi'!$A$2:$A$3000,$A26,'Données Suivi'!$O$2:$O$3000,"INVESTISSEMENT",'Données Suivi'!$H$2:$H$3000,"PREENGAGE")</f>
        <v/>
      </c>
      <c r="J26" s="632">
        <f>SUMIFS('Données Suivi'!$J$2:$J$3000,'Données Suivi'!$A$2:$A$3000,$A26,'Données Suivi'!$O$2:$O$3000,"INVESTISSEMENT",'Données Suivi'!$H$2:$H$3000,"EN COURS D'ENGAGEMENT")</f>
        <v/>
      </c>
      <c r="K26" s="632">
        <f>SUMIFS('Données Suivi'!$J$2:$J$3000,'Données Suivi'!$A$2:$A$3000,$A26,'Données Suivi'!$O$2:$O$3000,"INVESTISSEMENT",'Données Suivi'!$H$2:$H$3000,"EN COURS DE PREENGAGEMENT")</f>
        <v/>
      </c>
      <c r="L26" s="632">
        <f>SUMIFS('Données Suivi'!$J$2:$J$3000,'Données Suivi'!$A$2:$A$3000,$A26,'Données Suivi'!$O$2:$O$3000,"INVESTISSEMENT",'Données Suivi'!$H$2:$H$3000,"NON ENGAGE")</f>
        <v/>
      </c>
      <c r="M26" s="633">
        <f>H26+I26+J26+K26+L26</f>
        <v/>
      </c>
      <c r="N26" s="634">
        <f>G26+M26</f>
        <v/>
      </c>
    </row>
    <row r="27">
      <c r="A27" s="629" t="inlineStr">
        <is>
          <t>TV LAAYOUNE</t>
        </is>
      </c>
      <c r="B27" s="630">
        <f>SUMIFS('Données Suivi'!$J$2:$J$3000,'Données Suivi'!$A$2:$A$3000,$A27,'Données Suivi'!$O$2:$O$3000,"FONCTIONNEMENT",'Données Suivi'!$H$2:$H$3000,"ENGAGE")</f>
        <v/>
      </c>
      <c r="C27" s="630">
        <f>SUMIFS('Données Suivi'!$J$2:$J$3000,'Données Suivi'!$A$2:$A$3000,$A27,'Données Suivi'!$O$2:$O$3000,"FONCTIONNEMENT",'Données Suivi'!$H$2:$H$3000,"PREENGAGE")</f>
        <v/>
      </c>
      <c r="D27" s="630">
        <f>SUMIFS('Données Suivi'!$J$2:$J$3000,'Données Suivi'!$A$2:$A$3000,$A27,'Données Suivi'!$O$2:$O$3000,"FONCTIONNEMENT",'Données Suivi'!$H$2:$H$3000,"EN COURS D'ENGAGEMENT")</f>
        <v/>
      </c>
      <c r="E27" s="630">
        <f>SUMIFS('Données Suivi'!$J$2:$J$3000,'Données Suivi'!$A$2:$A$3000,$A27,'Données Suivi'!$O$2:$O$3000,"FONCTIONNEMENT",'Données Suivi'!$H$2:$H$3000,"EN COURS DE PREENGAGEMENT")</f>
        <v/>
      </c>
      <c r="F27" s="630">
        <f>SUMIFS('Données Suivi'!$J$2:$J$3000,'Données Suivi'!$A$2:$A$3000,$A27,'Données Suivi'!$O$2:$O$3000,"FONCTIONNEMENT",'Données Suivi'!$H$2:$H$3000,"NON ENGAGE")</f>
        <v/>
      </c>
      <c r="G27" s="631">
        <f>B27+C27+D27+E27+F27</f>
        <v/>
      </c>
      <c r="H27" s="632">
        <f>SUMIFS('Données Suivi'!$J$2:$J$3000,'Données Suivi'!$A$2:$A$3000,$A27,'Données Suivi'!$O$2:$O$3000,"INVESTISSEMENT",'Données Suivi'!$H$2:$H$3000,"ENGAGE")</f>
        <v/>
      </c>
      <c r="I27" s="632">
        <f>SUMIFS('Données Suivi'!$J$2:$J$3000,'Données Suivi'!$A$2:$A$3000,$A27,'Données Suivi'!$O$2:$O$3000,"INVESTISSEMENT",'Données Suivi'!$H$2:$H$3000,"PREENGAGE")</f>
        <v/>
      </c>
      <c r="J27" s="632">
        <f>SUMIFS('Données Suivi'!$J$2:$J$3000,'Données Suivi'!$A$2:$A$3000,$A27,'Données Suivi'!$O$2:$O$3000,"INVESTISSEMENT",'Données Suivi'!$H$2:$H$3000,"EN COURS D'ENGAGEMENT")</f>
        <v/>
      </c>
      <c r="K27" s="632">
        <f>SUMIFS('Données Suivi'!$J$2:$J$3000,'Données Suivi'!$A$2:$A$3000,$A27,'Données Suivi'!$O$2:$O$3000,"INVESTISSEMENT",'Données Suivi'!$H$2:$H$3000,"EN COURS DE PREENGAGEMENT")</f>
        <v/>
      </c>
      <c r="L27" s="632">
        <f>SUMIFS('Données Suivi'!$J$2:$J$3000,'Données Suivi'!$A$2:$A$3000,$A27,'Données Suivi'!$O$2:$O$3000,"INVESTISSEMENT",'Données Suivi'!$H$2:$H$3000,"NON ENGAGE")</f>
        <v/>
      </c>
      <c r="M27" s="633">
        <f>H27+I27+J27+K27+L27</f>
        <v/>
      </c>
      <c r="N27" s="634">
        <f>G27+M27</f>
        <v/>
      </c>
    </row>
    <row r="28" ht="22" customHeight="1" s="392">
      <c r="A28" s="635" t="inlineStr">
        <is>
          <t>TOTAL GÉNÉRAL</t>
        </is>
      </c>
      <c r="B28" s="636">
        <f>SUM(B5:B27)</f>
        <v/>
      </c>
      <c r="C28" s="636">
        <f>SUM(C5:C27)</f>
        <v/>
      </c>
      <c r="D28" s="636">
        <f>SUM(D5:D27)</f>
        <v/>
      </c>
      <c r="E28" s="636">
        <f>SUM(E5:E27)</f>
        <v/>
      </c>
      <c r="F28" s="636">
        <f>SUM(F5:F27)</f>
        <v/>
      </c>
      <c r="G28" s="636">
        <f>SUM(G5:G27)</f>
        <v/>
      </c>
      <c r="H28" s="637">
        <f>SUM(H5:H27)</f>
        <v/>
      </c>
      <c r="I28" s="637">
        <f>SUM(I5:I27)</f>
        <v/>
      </c>
      <c r="J28" s="637">
        <f>SUM(J5:J27)</f>
        <v/>
      </c>
      <c r="K28" s="637">
        <f>SUM(K5:K27)</f>
        <v/>
      </c>
      <c r="L28" s="637">
        <f>SUM(L5:L27)</f>
        <v/>
      </c>
      <c r="M28" s="637">
        <f>SUM(M5:M27)</f>
        <v/>
      </c>
      <c r="N28" s="638">
        <f>SUM(N5:N27)</f>
        <v/>
      </c>
    </row>
  </sheetData>
  <mergeCells count="6">
    <mergeCell ref="B3:G3"/>
    <mergeCell ref="A3:A4"/>
    <mergeCell ref="A2:N2"/>
    <mergeCell ref="N3:N4"/>
    <mergeCell ref="H3:M3"/>
    <mergeCell ref="A1:N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5"/>
  <sheetViews>
    <sheetView showGridLines="0" workbookViewId="0">
      <selection activeCell="A1" sqref="A1"/>
    </sheetView>
  </sheetViews>
  <sheetFormatPr baseColWidth="8" defaultRowHeight="15"/>
  <cols>
    <col width="30" customWidth="1" style="392" min="1" max="1"/>
    <col width="12" customWidth="1" style="392" min="2" max="2"/>
    <col width="15" customWidth="1" style="392" min="3" max="3"/>
    <col width="13" customWidth="1" style="392" min="4" max="4"/>
    <col width="13" customWidth="1" style="392" min="5" max="5"/>
    <col width="11" customWidth="1" style="392" min="6" max="6"/>
    <col width="12" customWidth="1" style="392" min="7" max="7"/>
    <col width="12" customWidth="1" style="392" min="8" max="8"/>
    <col width="13" customWidth="1" style="392" min="9" max="9"/>
    <col width="11" customWidth="1" style="392" min="10" max="10"/>
    <col width="9" customWidth="1" style="392" min="11" max="11"/>
    <col width="13" customWidth="1" style="392" min="12" max="12"/>
    <col width="3" customWidth="1" style="392" min="13" max="13"/>
    <col hidden="1" width="13" customWidth="1" style="392" min="20" max="20"/>
  </cols>
  <sheetData>
    <row r="1" ht="28" customHeight="1" s="392">
      <c r="A1" s="605" t="inlineStr">
        <is>
          <t>FILTRE INTERACTIF — DIRECTION / BCI / STATUT D'ENGAGEMENT</t>
        </is>
      </c>
    </row>
    <row r="2"/>
    <row r="3">
      <c r="A3" s="606" t="inlineStr">
        <is>
          <t>1) Choisir une Direction :</t>
        </is>
      </c>
      <c r="C3" s="607" t="inlineStr">
        <is>
          <t>DCT</t>
        </is>
      </c>
    </row>
    <row r="4"/>
    <row r="5">
      <c r="A5" s="606" t="inlineStr">
        <is>
          <t>2) Choisir un Type de BCI (à partir de la répartition ci-dessous) :</t>
        </is>
      </c>
      <c r="C5" s="607" t="inlineStr">
        <is>
          <t>CONTRAT</t>
        </is>
      </c>
    </row>
    <row r="6"/>
    <row r="7" ht="20" customHeight="1" s="392">
      <c r="A7" s="592" t="inlineStr">
        <is>
          <t>Nombre de dossiers par Type de BCI — Direction sélectionnée</t>
        </is>
      </c>
    </row>
    <row r="8">
      <c r="A8" s="608" t="inlineStr">
        <is>
          <t>Type de BCI</t>
        </is>
      </c>
      <c r="B8" s="608" t="inlineStr">
        <is>
          <t>Nb dossiers</t>
        </is>
      </c>
      <c r="C8" s="608" t="inlineStr">
        <is>
          <t>Montant (MAD)</t>
        </is>
      </c>
      <c r="D8" s="609" t="inlineStr">
        <is>
          <t>NATURE BUDGET</t>
        </is>
      </c>
      <c r="E8" s="611" t="n"/>
      <c r="F8" s="609" t="inlineStr">
        <is>
          <t>CATEGORIE</t>
        </is>
      </c>
      <c r="G8" s="618" t="n"/>
      <c r="H8" s="611" t="n"/>
    </row>
    <row r="9">
      <c r="A9" s="619" t="n"/>
      <c r="B9" s="619" t="n"/>
      <c r="C9" s="619" t="n"/>
      <c r="D9" s="593" t="inlineStr">
        <is>
          <t>Fonctionnement</t>
        </is>
      </c>
      <c r="E9" s="593" t="inlineStr">
        <is>
          <t>Investissement</t>
        </is>
      </c>
      <c r="F9" s="593" t="inlineStr">
        <is>
          <t>Général</t>
        </is>
      </c>
      <c r="G9" s="593" t="inlineStr">
        <is>
          <t>PME</t>
        </is>
      </c>
      <c r="H9" s="593" t="inlineStr">
        <is>
          <t>Non concerné</t>
        </is>
      </c>
    </row>
    <row r="10">
      <c r="A10" s="594" t="inlineStr">
        <is>
          <t>CONTRAT</t>
        </is>
      </c>
      <c r="B10" s="595">
        <f>COUNTIFS('Données Suivi'!$A$2:$A$3000,$C$3,'Données Suivi'!$C$2:$C$3000,$A10)</f>
        <v/>
      </c>
      <c r="C10" s="598">
        <f>SUMIFS('Données Suivi'!$J$2:$J$3000,'Données Suivi'!$A$2:$A$3000,$C$3,'Données Suivi'!$C$2:$C$3000,$A10)</f>
        <v/>
      </c>
      <c r="D10" s="595">
        <f>COUNTIFS('Données Suivi'!$A$2:$A$3000,$C$3,'Données Suivi'!$C$2:$C$3000,$A10,'Données Suivi'!$O$2:$O$3000,"FONCTIONNEMENT")</f>
        <v/>
      </c>
      <c r="E10" s="595">
        <f>COUNTIFS('Données Suivi'!$A$2:$A$3000,$C$3,'Données Suivi'!$C$2:$C$3000,$A10,'Données Suivi'!$O$2:$O$3000,"INVESTISSEMENT")</f>
        <v/>
      </c>
      <c r="F10" s="595">
        <f>COUNTIFS('Données Suivi'!$A$2:$A$3000,$C$3,'Données Suivi'!$C$2:$C$3000,$A10,'Données Suivi'!$P$2:$P$3000,"GENERAL")</f>
        <v/>
      </c>
      <c r="G10" s="595">
        <f>COUNTIFS('Données Suivi'!$A$2:$A$3000,$C$3,'Données Suivi'!$C$2:$C$3000,$A10,'Données Suivi'!$P$2:$P$3000,"PME")</f>
        <v/>
      </c>
      <c r="H10" s="595">
        <f>COUNTIFS('Données Suivi'!$A$2:$A$3000,$C$3,'Données Suivi'!$C$2:$C$3000,$A10,'Données Suivi'!$P$2:$P$3000,"NON CONCERNE")</f>
        <v/>
      </c>
    </row>
    <row r="11">
      <c r="A11" s="594" t="inlineStr">
        <is>
          <t>AOO-M</t>
        </is>
      </c>
      <c r="B11" s="595">
        <f>COUNTIFS('Données Suivi'!$A$2:$A$3000,$C$3,'Données Suivi'!$C$2:$C$3000,$A11)</f>
        <v/>
      </c>
      <c r="C11" s="598">
        <f>SUMIFS('Données Suivi'!$J$2:$J$3000,'Données Suivi'!$A$2:$A$3000,$C$3,'Données Suivi'!$C$2:$C$3000,$A11)</f>
        <v/>
      </c>
      <c r="D11" s="595">
        <f>COUNTIFS('Données Suivi'!$A$2:$A$3000,$C$3,'Données Suivi'!$C$2:$C$3000,$A11,'Données Suivi'!$O$2:$O$3000,"FONCTIONNEMENT")</f>
        <v/>
      </c>
      <c r="E11" s="595">
        <f>COUNTIFS('Données Suivi'!$A$2:$A$3000,$C$3,'Données Suivi'!$C$2:$C$3000,$A11,'Données Suivi'!$O$2:$O$3000,"INVESTISSEMENT")</f>
        <v/>
      </c>
      <c r="F11" s="595">
        <f>COUNTIFS('Données Suivi'!$A$2:$A$3000,$C$3,'Données Suivi'!$C$2:$C$3000,$A11,'Données Suivi'!$P$2:$P$3000,"GENERAL")</f>
        <v/>
      </c>
      <c r="G11" s="595">
        <f>COUNTIFS('Données Suivi'!$A$2:$A$3000,$C$3,'Données Suivi'!$C$2:$C$3000,$A11,'Données Suivi'!$P$2:$P$3000,"PME")</f>
        <v/>
      </c>
      <c r="H11" s="595">
        <f>COUNTIFS('Données Suivi'!$A$2:$A$3000,$C$3,'Données Suivi'!$C$2:$C$3000,$A11,'Données Suivi'!$P$2:$P$3000,"NON CONCERNE")</f>
        <v/>
      </c>
    </row>
    <row r="12">
      <c r="A12" s="594" t="inlineStr">
        <is>
          <t>AOO-CT</t>
        </is>
      </c>
      <c r="B12" s="595">
        <f>COUNTIFS('Données Suivi'!$A$2:$A$3000,$C$3,'Données Suivi'!$C$2:$C$3000,$A12)</f>
        <v/>
      </c>
      <c r="C12" s="598">
        <f>SUMIFS('Données Suivi'!$J$2:$J$3000,'Données Suivi'!$A$2:$A$3000,$C$3,'Données Suivi'!$C$2:$C$3000,$A12)</f>
        <v/>
      </c>
      <c r="D12" s="595">
        <f>COUNTIFS('Données Suivi'!$A$2:$A$3000,$C$3,'Données Suivi'!$C$2:$C$3000,$A12,'Données Suivi'!$O$2:$O$3000,"FONCTIONNEMENT")</f>
        <v/>
      </c>
      <c r="E12" s="595">
        <f>COUNTIFS('Données Suivi'!$A$2:$A$3000,$C$3,'Données Suivi'!$C$2:$C$3000,$A12,'Données Suivi'!$O$2:$O$3000,"INVESTISSEMENT")</f>
        <v/>
      </c>
      <c r="F12" s="595">
        <f>COUNTIFS('Données Suivi'!$A$2:$A$3000,$C$3,'Données Suivi'!$C$2:$C$3000,$A12,'Données Suivi'!$P$2:$P$3000,"GENERAL")</f>
        <v/>
      </c>
      <c r="G12" s="595">
        <f>COUNTIFS('Données Suivi'!$A$2:$A$3000,$C$3,'Données Suivi'!$C$2:$C$3000,$A12,'Données Suivi'!$P$2:$P$3000,"PME")</f>
        <v/>
      </c>
      <c r="H12" s="595">
        <f>COUNTIFS('Données Suivi'!$A$2:$A$3000,$C$3,'Données Suivi'!$C$2:$C$3000,$A12,'Données Suivi'!$P$2:$P$3000,"NON CONCERNE")</f>
        <v/>
      </c>
    </row>
    <row r="13">
      <c r="A13" s="594" t="inlineStr">
        <is>
          <t>BCL</t>
        </is>
      </c>
      <c r="B13" s="595">
        <f>COUNTIFS('Données Suivi'!$A$2:$A$3000,$C$3,'Données Suivi'!$C$2:$C$3000,$A13)</f>
        <v/>
      </c>
      <c r="C13" s="598">
        <f>SUMIFS('Données Suivi'!$J$2:$J$3000,'Données Suivi'!$A$2:$A$3000,$C$3,'Données Suivi'!$C$2:$C$3000,$A13)</f>
        <v/>
      </c>
      <c r="D13" s="595">
        <f>COUNTIFS('Données Suivi'!$A$2:$A$3000,$C$3,'Données Suivi'!$C$2:$C$3000,$A13,'Données Suivi'!$O$2:$O$3000,"FONCTIONNEMENT")</f>
        <v/>
      </c>
      <c r="E13" s="595">
        <f>COUNTIFS('Données Suivi'!$A$2:$A$3000,$C$3,'Données Suivi'!$C$2:$C$3000,$A13,'Données Suivi'!$O$2:$O$3000,"INVESTISSEMENT")</f>
        <v/>
      </c>
      <c r="F13" s="595">
        <f>COUNTIFS('Données Suivi'!$A$2:$A$3000,$C$3,'Données Suivi'!$C$2:$C$3000,$A13,'Données Suivi'!$P$2:$P$3000,"GENERAL")</f>
        <v/>
      </c>
      <c r="G13" s="595">
        <f>COUNTIFS('Données Suivi'!$A$2:$A$3000,$C$3,'Données Suivi'!$C$2:$C$3000,$A13,'Données Suivi'!$P$2:$P$3000,"PME")</f>
        <v/>
      </c>
      <c r="H13" s="595">
        <f>COUNTIFS('Données Suivi'!$A$2:$A$3000,$C$3,'Données Suivi'!$C$2:$C$3000,$A13,'Données Suivi'!$P$2:$P$3000,"NON CONCERNE")</f>
        <v/>
      </c>
    </row>
    <row r="14">
      <c r="A14" s="594" t="inlineStr">
        <is>
          <t>BCI</t>
        </is>
      </c>
      <c r="B14" s="595">
        <f>COUNTIFS('Données Suivi'!$A$2:$A$3000,$C$3,'Données Suivi'!$C$2:$C$3000,$A14)</f>
        <v/>
      </c>
      <c r="C14" s="598">
        <f>SUMIFS('Données Suivi'!$J$2:$J$3000,'Données Suivi'!$A$2:$A$3000,$C$3,'Données Suivi'!$C$2:$C$3000,$A14)</f>
        <v/>
      </c>
      <c r="D14" s="595">
        <f>COUNTIFS('Données Suivi'!$A$2:$A$3000,$C$3,'Données Suivi'!$C$2:$C$3000,$A14,'Données Suivi'!$O$2:$O$3000,"FONCTIONNEMENT")</f>
        <v/>
      </c>
      <c r="E14" s="595">
        <f>COUNTIFS('Données Suivi'!$A$2:$A$3000,$C$3,'Données Suivi'!$C$2:$C$3000,$A14,'Données Suivi'!$O$2:$O$3000,"INVESTISSEMENT")</f>
        <v/>
      </c>
      <c r="F14" s="595">
        <f>COUNTIFS('Données Suivi'!$A$2:$A$3000,$C$3,'Données Suivi'!$C$2:$C$3000,$A14,'Données Suivi'!$P$2:$P$3000,"GENERAL")</f>
        <v/>
      </c>
      <c r="G14" s="595">
        <f>COUNTIFS('Données Suivi'!$A$2:$A$3000,$C$3,'Données Suivi'!$C$2:$C$3000,$A14,'Données Suivi'!$P$2:$P$3000,"PME")</f>
        <v/>
      </c>
      <c r="H14" s="595">
        <f>COUNTIFS('Données Suivi'!$A$2:$A$3000,$C$3,'Données Suivi'!$C$2:$C$3000,$A14,'Données Suivi'!$P$2:$P$3000,"NON CONCERNE")</f>
        <v/>
      </c>
    </row>
    <row r="15">
      <c r="A15" s="594" t="inlineStr">
        <is>
          <t>CA</t>
        </is>
      </c>
      <c r="B15" s="595">
        <f>COUNTIFS('Données Suivi'!$A$2:$A$3000,$C$3,'Données Suivi'!$C$2:$C$3000,$A15)</f>
        <v/>
      </c>
      <c r="C15" s="598">
        <f>SUMIFS('Données Suivi'!$J$2:$J$3000,'Données Suivi'!$A$2:$A$3000,$C$3,'Données Suivi'!$C$2:$C$3000,$A15)</f>
        <v/>
      </c>
      <c r="D15" s="595">
        <f>COUNTIFS('Données Suivi'!$A$2:$A$3000,$C$3,'Données Suivi'!$C$2:$C$3000,$A15,'Données Suivi'!$O$2:$O$3000,"FONCTIONNEMENT")</f>
        <v/>
      </c>
      <c r="E15" s="595">
        <f>COUNTIFS('Données Suivi'!$A$2:$A$3000,$C$3,'Données Suivi'!$C$2:$C$3000,$A15,'Données Suivi'!$O$2:$O$3000,"INVESTISSEMENT")</f>
        <v/>
      </c>
      <c r="F15" s="595">
        <f>COUNTIFS('Données Suivi'!$A$2:$A$3000,$C$3,'Données Suivi'!$C$2:$C$3000,$A15,'Données Suivi'!$P$2:$P$3000,"GENERAL")</f>
        <v/>
      </c>
      <c r="G15" s="595">
        <f>COUNTIFS('Données Suivi'!$A$2:$A$3000,$C$3,'Données Suivi'!$C$2:$C$3000,$A15,'Données Suivi'!$P$2:$P$3000,"PME")</f>
        <v/>
      </c>
      <c r="H15" s="595">
        <f>COUNTIFS('Données Suivi'!$A$2:$A$3000,$C$3,'Données Suivi'!$C$2:$C$3000,$A15,'Données Suivi'!$P$2:$P$3000,"NON CONCERNE")</f>
        <v/>
      </c>
    </row>
    <row r="16">
      <c r="A16" s="597" t="inlineStr">
        <is>
          <t>TOTAL direction</t>
        </is>
      </c>
      <c r="B16" s="596">
        <f>SUM(B10:B15)</f>
        <v/>
      </c>
      <c r="C16" s="610">
        <f>SUM(C10:C15)</f>
        <v/>
      </c>
      <c r="D16" s="596">
        <f>SUM(D10:D15)</f>
        <v/>
      </c>
      <c r="E16" s="596">
        <f>SUM(E10:E15)</f>
        <v/>
      </c>
      <c r="F16" s="596">
        <f>SUM(F10:F15)</f>
        <v/>
      </c>
      <c r="G16" s="596">
        <f>SUM(G10:G15)</f>
        <v/>
      </c>
      <c r="H16" s="596">
        <f>SUM(H10:H15)</f>
        <v/>
      </c>
    </row>
    <row r="17"/>
    <row r="18" ht="20" customHeight="1" s="392">
      <c r="A18" s="592" t="inlineStr">
        <is>
          <t>Répartition par Statut d'Engagement — Direction + Type de BCI sélectionnés</t>
        </is>
      </c>
    </row>
    <row r="19">
      <c r="A19" s="593" t="inlineStr">
        <is>
          <t>Statut d'Engagement</t>
        </is>
      </c>
      <c r="B19" s="593" t="inlineStr">
        <is>
          <t>Nb dossiers</t>
        </is>
      </c>
      <c r="C19" s="593" t="inlineStr">
        <is>
          <t>Montant Fonctionnement (MAD)</t>
        </is>
      </c>
      <c r="D19" s="593" t="inlineStr">
        <is>
          <t>Montant Investissement (MAD)</t>
        </is>
      </c>
    </row>
    <row r="20">
      <c r="A20" s="594" t="inlineStr">
        <is>
          <t>NON ENGAGE</t>
        </is>
      </c>
      <c r="B20" s="595">
        <f>COUNTIFS('Données Suivi'!$A$2:$A$3000,$C$3,'Données Suivi'!$C$2:$C$3000,$C$5,'Données Suivi'!$H$2:$H$3000,$A20)</f>
        <v/>
      </c>
      <c r="C20" s="598">
        <f>SUMIFS('Données Suivi'!$J$2:$J$3000,'Données Suivi'!$A$2:$A$3000,$C$3,'Données Suivi'!$C$2:$C$3000,$C$5,'Données Suivi'!$H$2:$H$3000,$A20,'Données Suivi'!$O$2:$O$3000,"FONCTIONNEMENT")</f>
        <v/>
      </c>
      <c r="D20" s="598">
        <f>SUMIFS('Données Suivi'!$J$2:$J$3000,'Données Suivi'!$A$2:$A$3000,$C$3,'Données Suivi'!$C$2:$C$3000,$C$5,'Données Suivi'!$H$2:$H$3000,$A20,'Données Suivi'!$O$2:$O$3000,"INVESTISSEMENT")</f>
        <v/>
      </c>
    </row>
    <row r="21">
      <c r="A21" s="594" t="inlineStr">
        <is>
          <t>EN COURS DE PREENGAGEMENT</t>
        </is>
      </c>
      <c r="B21" s="595">
        <f>COUNTIFS('Données Suivi'!$A$2:$A$3000,$C$3,'Données Suivi'!$C$2:$C$3000,$C$5,'Données Suivi'!$H$2:$H$3000,$A21)</f>
        <v/>
      </c>
      <c r="C21" s="598">
        <f>SUMIFS('Données Suivi'!$J$2:$J$3000,'Données Suivi'!$A$2:$A$3000,$C$3,'Données Suivi'!$C$2:$C$3000,$C$5,'Données Suivi'!$H$2:$H$3000,$A21,'Données Suivi'!$O$2:$O$3000,"FONCTIONNEMENT")</f>
        <v/>
      </c>
      <c r="D21" s="598">
        <f>SUMIFS('Données Suivi'!$J$2:$J$3000,'Données Suivi'!$A$2:$A$3000,$C$3,'Données Suivi'!$C$2:$C$3000,$C$5,'Données Suivi'!$H$2:$H$3000,$A21,'Données Suivi'!$O$2:$O$3000,"INVESTISSEMENT")</f>
        <v/>
      </c>
    </row>
    <row r="22">
      <c r="A22" s="594" t="inlineStr">
        <is>
          <t>PREENGAGE</t>
        </is>
      </c>
      <c r="B22" s="595">
        <f>COUNTIFS('Données Suivi'!$A$2:$A$3000,$C$3,'Données Suivi'!$C$2:$C$3000,$C$5,'Données Suivi'!$H$2:$H$3000,$A22)</f>
        <v/>
      </c>
      <c r="C22" s="598">
        <f>SUMIFS('Données Suivi'!$J$2:$J$3000,'Données Suivi'!$A$2:$A$3000,$C$3,'Données Suivi'!$C$2:$C$3000,$C$5,'Données Suivi'!$H$2:$H$3000,$A22,'Données Suivi'!$O$2:$O$3000,"FONCTIONNEMENT")</f>
        <v/>
      </c>
      <c r="D22" s="598">
        <f>SUMIFS('Données Suivi'!$J$2:$J$3000,'Données Suivi'!$A$2:$A$3000,$C$3,'Données Suivi'!$C$2:$C$3000,$C$5,'Données Suivi'!$H$2:$H$3000,$A22,'Données Suivi'!$O$2:$O$3000,"INVESTISSEMENT")</f>
        <v/>
      </c>
    </row>
    <row r="23">
      <c r="A23" s="594" t="inlineStr">
        <is>
          <t>EN COURS D'ENGAGEMENT</t>
        </is>
      </c>
      <c r="B23" s="595">
        <f>COUNTIFS('Données Suivi'!$A$2:$A$3000,$C$3,'Données Suivi'!$C$2:$C$3000,$C$5,'Données Suivi'!$H$2:$H$3000,$A23)</f>
        <v/>
      </c>
      <c r="C23" s="598">
        <f>SUMIFS('Données Suivi'!$J$2:$J$3000,'Données Suivi'!$A$2:$A$3000,$C$3,'Données Suivi'!$C$2:$C$3000,$C$5,'Données Suivi'!$H$2:$H$3000,$A23,'Données Suivi'!$O$2:$O$3000,"FONCTIONNEMENT")</f>
        <v/>
      </c>
      <c r="D23" s="598">
        <f>SUMIFS('Données Suivi'!$J$2:$J$3000,'Données Suivi'!$A$2:$A$3000,$C$3,'Données Suivi'!$C$2:$C$3000,$C$5,'Données Suivi'!$H$2:$H$3000,$A23,'Données Suivi'!$O$2:$O$3000,"INVESTISSEMENT")</f>
        <v/>
      </c>
    </row>
    <row r="24">
      <c r="A24" s="594" t="inlineStr">
        <is>
          <t>ENGAGE</t>
        </is>
      </c>
      <c r="B24" s="595">
        <f>COUNTIFS('Données Suivi'!$A$2:$A$3000,$C$3,'Données Suivi'!$C$2:$C$3000,$C$5,'Données Suivi'!$H$2:$H$3000,$A24)</f>
        <v/>
      </c>
      <c r="C24" s="598">
        <f>SUMIFS('Données Suivi'!$J$2:$J$3000,'Données Suivi'!$A$2:$A$3000,$C$3,'Données Suivi'!$C$2:$C$3000,$C$5,'Données Suivi'!$H$2:$H$3000,$A24,'Données Suivi'!$O$2:$O$3000,"FONCTIONNEMENT")</f>
        <v/>
      </c>
      <c r="D24" s="598">
        <f>SUMIFS('Données Suivi'!$J$2:$J$3000,'Données Suivi'!$A$2:$A$3000,$C$3,'Données Suivi'!$C$2:$C$3000,$C$5,'Données Suivi'!$H$2:$H$3000,$A24,'Données Suivi'!$O$2:$O$3000,"INVESTISSEMENT")</f>
        <v/>
      </c>
    </row>
    <row r="25">
      <c r="A25" s="597" t="inlineStr">
        <is>
          <t>TOTAL direction + BCI</t>
        </is>
      </c>
      <c r="B25" s="596">
        <f>SUM(B20:B24)</f>
        <v/>
      </c>
      <c r="C25" s="610">
        <f>SUM(C20:C24)</f>
        <v/>
      </c>
      <c r="D25" s="610">
        <f>SUM(D20:D24)</f>
        <v/>
      </c>
    </row>
    <row r="26"/>
    <row r="27" ht="20" customHeight="1" s="392">
      <c r="A27" s="592" t="inlineStr">
        <is>
          <t>Détail des dossiers Non Engagé (Statut Support d'Engagement) — Direction sélectionnée</t>
        </is>
      </c>
    </row>
    <row r="28">
      <c r="A28" s="593" t="inlineStr">
        <is>
          <t>Statut Support (Non Engagé)</t>
        </is>
      </c>
      <c r="B28" s="593" t="inlineStr">
        <is>
          <t>Nb dossiers</t>
        </is>
      </c>
      <c r="C28" s="593" t="inlineStr">
        <is>
          <t>Montant (MAD)</t>
        </is>
      </c>
    </row>
    <row r="29">
      <c r="A29" s="594" t="inlineStr">
        <is>
          <t>INFRUCTUEUX</t>
        </is>
      </c>
      <c r="B29" s="595">
        <f>COUNTIFS('Données Suivi'!$A$2:$A$3000,$C$3,'Données Suivi'!$H$2:$H$3000,"NON ENGAGE",'Données Suivi'!$E$2:$E$3000,$A29)</f>
        <v/>
      </c>
      <c r="C29" s="598">
        <f>SUMIFS('Données Suivi'!$J$2:$J$3000,'Données Suivi'!$A$2:$A$3000,$C$3,'Données Suivi'!$H$2:$H$3000,"NON ENGAGE",'Données Suivi'!$E$2:$E$3000,$A29)</f>
        <v/>
      </c>
    </row>
    <row r="30">
      <c r="A30" s="594" t="inlineStr">
        <is>
          <t>ANNULE</t>
        </is>
      </c>
      <c r="B30" s="595">
        <f>COUNTIFS('Données Suivi'!$A$2:$A$3000,$C$3,'Données Suivi'!$H$2:$H$3000,"NON ENGAGE",'Données Suivi'!$E$2:$E$3000,$A30)</f>
        <v/>
      </c>
      <c r="C30" s="598">
        <f>SUMIFS('Données Suivi'!$J$2:$J$3000,'Données Suivi'!$A$2:$A$3000,$C$3,'Données Suivi'!$H$2:$H$3000,"NON ENGAGE",'Données Suivi'!$E$2:$E$3000,$A30)</f>
        <v/>
      </c>
    </row>
    <row r="31">
      <c r="A31" s="594" t="inlineStr">
        <is>
          <t>EN SIGNATURE</t>
        </is>
      </c>
      <c r="B31" s="595">
        <f>COUNTIFS('Données Suivi'!$A$2:$A$3000,$C$3,'Données Suivi'!$H$2:$H$3000,"NON ENGAGE",'Données Suivi'!$E$2:$E$3000,$A31)</f>
        <v/>
      </c>
      <c r="C31" s="598">
        <f>SUMIFS('Données Suivi'!$J$2:$J$3000,'Données Suivi'!$A$2:$A$3000,$C$3,'Données Suivi'!$H$2:$H$3000,"NON ENGAGE",'Données Suivi'!$E$2:$E$3000,$A31)</f>
        <v/>
      </c>
    </row>
    <row r="32">
      <c r="A32" s="597" t="inlineStr">
        <is>
          <t>TOTAL Non Engagé — direction</t>
        </is>
      </c>
      <c r="B32" s="596">
        <f>SUM(B29:B31)</f>
        <v/>
      </c>
      <c r="C32" s="610">
        <f>SUM(C29:C31)</f>
        <v/>
      </c>
    </row>
    <row r="33"/>
    <row r="34" ht="20" customHeight="1" s="392">
      <c r="A34" s="592" t="inlineStr">
        <is>
          <t>Détail des dossiers Infructueux / Annulé — Direction sélectionnée</t>
        </is>
      </c>
    </row>
    <row r="35">
      <c r="A35" s="593" t="inlineStr">
        <is>
          <t>Objet</t>
        </is>
      </c>
      <c r="B35" s="593" t="inlineStr">
        <is>
          <t>Réf</t>
        </is>
      </c>
      <c r="C35" s="593" t="inlineStr">
        <is>
          <t>BCI</t>
        </is>
      </c>
      <c r="D35" s="593" t="inlineStr">
        <is>
          <t>Statut Support</t>
        </is>
      </c>
      <c r="E35" s="593" t="inlineStr">
        <is>
          <t>Montant (MAD)</t>
        </is>
      </c>
      <c r="F35" s="593" t="inlineStr">
        <is>
          <t>Date Fiche</t>
        </is>
      </c>
    </row>
    <row r="36">
      <c r="A36" s="601">
        <f>IF($T36="","",INDEX('Données Suivi'!$D$2:$D$3000,$T36))</f>
        <v/>
      </c>
      <c r="B36" s="600">
        <f>IF($T36="","",INDEX('Données Suivi'!$B$2:$B$3000,$T36))</f>
        <v/>
      </c>
      <c r="C36" s="600">
        <f>IF($T36="","",INDEX('Données Suivi'!$C$2:$C$3000,$T36))</f>
        <v/>
      </c>
      <c r="D36" s="600">
        <f>IF($T36="","",INDEX('Données Suivi'!$E$2:$E$3000,$T36))</f>
        <v/>
      </c>
      <c r="E36" s="602">
        <f>IF($T36="","",INDEX('Données Suivi'!$J$2:$J$3000,$T36))</f>
        <v/>
      </c>
      <c r="F36" s="603">
        <f>IF($T36="","",INDEX('Données Suivi'!$K$2:$K$3000,$T36))</f>
        <v/>
      </c>
      <c r="T36">
        <f>IFERROR(MATCH($C$3&amp;"|"&amp;1,'Données Suivi'!$Q$2:$Q$3000,0),"")</f>
        <v/>
      </c>
    </row>
    <row r="37">
      <c r="A37" s="601">
        <f>IF($T37="","",INDEX('Données Suivi'!$D$2:$D$3000,$T37))</f>
        <v/>
      </c>
      <c r="B37" s="600">
        <f>IF($T37="","",INDEX('Données Suivi'!$B$2:$B$3000,$T37))</f>
        <v/>
      </c>
      <c r="C37" s="600">
        <f>IF($T37="","",INDEX('Données Suivi'!$C$2:$C$3000,$T37))</f>
        <v/>
      </c>
      <c r="D37" s="600">
        <f>IF($T37="","",INDEX('Données Suivi'!$E$2:$E$3000,$T37))</f>
        <v/>
      </c>
      <c r="E37" s="602">
        <f>IF($T37="","",INDEX('Données Suivi'!$J$2:$J$3000,$T37))</f>
        <v/>
      </c>
      <c r="F37" s="603">
        <f>IF($T37="","",INDEX('Données Suivi'!$K$2:$K$3000,$T37))</f>
        <v/>
      </c>
      <c r="T37">
        <f>IFERROR(MATCH($C$3&amp;"|"&amp;2,'Données Suivi'!$Q$2:$Q$3000,0),"")</f>
        <v/>
      </c>
    </row>
    <row r="38">
      <c r="A38" s="601">
        <f>IF($T38="","",INDEX('Données Suivi'!$D$2:$D$3000,$T38))</f>
        <v/>
      </c>
      <c r="B38" s="600">
        <f>IF($T38="","",INDEX('Données Suivi'!$B$2:$B$3000,$T38))</f>
        <v/>
      </c>
      <c r="C38" s="600">
        <f>IF($T38="","",INDEX('Données Suivi'!$C$2:$C$3000,$T38))</f>
        <v/>
      </c>
      <c r="D38" s="600">
        <f>IF($T38="","",INDEX('Données Suivi'!$E$2:$E$3000,$T38))</f>
        <v/>
      </c>
      <c r="E38" s="602">
        <f>IF($T38="","",INDEX('Données Suivi'!$J$2:$J$3000,$T38))</f>
        <v/>
      </c>
      <c r="F38" s="603">
        <f>IF($T38="","",INDEX('Données Suivi'!$K$2:$K$3000,$T38))</f>
        <v/>
      </c>
      <c r="T38">
        <f>IFERROR(MATCH($C$3&amp;"|"&amp;3,'Données Suivi'!$Q$2:$Q$3000,0),"")</f>
        <v/>
      </c>
    </row>
    <row r="39">
      <c r="A39" s="601">
        <f>IF($T39="","",INDEX('Données Suivi'!$D$2:$D$3000,$T39))</f>
        <v/>
      </c>
      <c r="B39" s="600">
        <f>IF($T39="","",INDEX('Données Suivi'!$B$2:$B$3000,$T39))</f>
        <v/>
      </c>
      <c r="C39" s="600">
        <f>IF($T39="","",INDEX('Données Suivi'!$C$2:$C$3000,$T39))</f>
        <v/>
      </c>
      <c r="D39" s="600">
        <f>IF($T39="","",INDEX('Données Suivi'!$E$2:$E$3000,$T39))</f>
        <v/>
      </c>
      <c r="E39" s="602">
        <f>IF($T39="","",INDEX('Données Suivi'!$J$2:$J$3000,$T39))</f>
        <v/>
      </c>
      <c r="F39" s="603">
        <f>IF($T39="","",INDEX('Données Suivi'!$K$2:$K$3000,$T39))</f>
        <v/>
      </c>
      <c r="T39">
        <f>IFERROR(MATCH($C$3&amp;"|"&amp;4,'Données Suivi'!$Q$2:$Q$3000,0),"")</f>
        <v/>
      </c>
    </row>
    <row r="40">
      <c r="A40" s="601">
        <f>IF($T40="","",INDEX('Données Suivi'!$D$2:$D$3000,$T40))</f>
        <v/>
      </c>
      <c r="B40" s="600">
        <f>IF($T40="","",INDEX('Données Suivi'!$B$2:$B$3000,$T40))</f>
        <v/>
      </c>
      <c r="C40" s="600">
        <f>IF($T40="","",INDEX('Données Suivi'!$C$2:$C$3000,$T40))</f>
        <v/>
      </c>
      <c r="D40" s="600">
        <f>IF($T40="","",INDEX('Données Suivi'!$E$2:$E$3000,$T40))</f>
        <v/>
      </c>
      <c r="E40" s="602">
        <f>IF($T40="","",INDEX('Données Suivi'!$J$2:$J$3000,$T40))</f>
        <v/>
      </c>
      <c r="F40" s="603">
        <f>IF($T40="","",INDEX('Données Suivi'!$K$2:$K$3000,$T40))</f>
        <v/>
      </c>
      <c r="T40">
        <f>IFERROR(MATCH($C$3&amp;"|"&amp;5,'Données Suivi'!$Q$2:$Q$3000,0),"")</f>
        <v/>
      </c>
    </row>
    <row r="41">
      <c r="A41" s="601">
        <f>IF($T41="","",INDEX('Données Suivi'!$D$2:$D$3000,$T41))</f>
        <v/>
      </c>
      <c r="B41" s="600">
        <f>IF($T41="","",INDEX('Données Suivi'!$B$2:$B$3000,$T41))</f>
        <v/>
      </c>
      <c r="C41" s="600">
        <f>IF($T41="","",INDEX('Données Suivi'!$C$2:$C$3000,$T41))</f>
        <v/>
      </c>
      <c r="D41" s="600">
        <f>IF($T41="","",INDEX('Données Suivi'!$E$2:$E$3000,$T41))</f>
        <v/>
      </c>
      <c r="E41" s="602">
        <f>IF($T41="","",INDEX('Données Suivi'!$J$2:$J$3000,$T41))</f>
        <v/>
      </c>
      <c r="F41" s="603">
        <f>IF($T41="","",INDEX('Données Suivi'!$K$2:$K$3000,$T41))</f>
        <v/>
      </c>
      <c r="T41">
        <f>IFERROR(MATCH($C$3&amp;"|"&amp;6,'Données Suivi'!$Q$2:$Q$3000,0),"")</f>
        <v/>
      </c>
    </row>
    <row r="42">
      <c r="A42" s="601">
        <f>IF($T42="","",INDEX('Données Suivi'!$D$2:$D$3000,$T42))</f>
        <v/>
      </c>
      <c r="B42" s="600">
        <f>IF($T42="","",INDEX('Données Suivi'!$B$2:$B$3000,$T42))</f>
        <v/>
      </c>
      <c r="C42" s="600">
        <f>IF($T42="","",INDEX('Données Suivi'!$C$2:$C$3000,$T42))</f>
        <v/>
      </c>
      <c r="D42" s="600">
        <f>IF($T42="","",INDEX('Données Suivi'!$E$2:$E$3000,$T42))</f>
        <v/>
      </c>
      <c r="E42" s="602">
        <f>IF($T42="","",INDEX('Données Suivi'!$J$2:$J$3000,$T42))</f>
        <v/>
      </c>
      <c r="F42" s="603">
        <f>IF($T42="","",INDEX('Données Suivi'!$K$2:$K$3000,$T42))</f>
        <v/>
      </c>
      <c r="T42">
        <f>IFERROR(MATCH($C$3&amp;"|"&amp;7,'Données Suivi'!$Q$2:$Q$3000,0),"")</f>
        <v/>
      </c>
    </row>
    <row r="43">
      <c r="A43" s="601">
        <f>IF($T43="","",INDEX('Données Suivi'!$D$2:$D$3000,$T43))</f>
        <v/>
      </c>
      <c r="B43" s="600">
        <f>IF($T43="","",INDEX('Données Suivi'!$B$2:$B$3000,$T43))</f>
        <v/>
      </c>
      <c r="C43" s="600">
        <f>IF($T43="","",INDEX('Données Suivi'!$C$2:$C$3000,$T43))</f>
        <v/>
      </c>
      <c r="D43" s="600">
        <f>IF($T43="","",INDEX('Données Suivi'!$E$2:$E$3000,$T43))</f>
        <v/>
      </c>
      <c r="E43" s="602">
        <f>IF($T43="","",INDEX('Données Suivi'!$J$2:$J$3000,$T43))</f>
        <v/>
      </c>
      <c r="F43" s="603">
        <f>IF($T43="","",INDEX('Données Suivi'!$K$2:$K$3000,$T43))</f>
        <v/>
      </c>
      <c r="T43">
        <f>IFERROR(MATCH($C$3&amp;"|"&amp;8,'Données Suivi'!$Q$2:$Q$3000,0),"")</f>
        <v/>
      </c>
    </row>
    <row r="44">
      <c r="A44" s="601">
        <f>IF($T44="","",INDEX('Données Suivi'!$D$2:$D$3000,$T44))</f>
        <v/>
      </c>
      <c r="B44" s="600">
        <f>IF($T44="","",INDEX('Données Suivi'!$B$2:$B$3000,$T44))</f>
        <v/>
      </c>
      <c r="C44" s="600">
        <f>IF($T44="","",INDEX('Données Suivi'!$C$2:$C$3000,$T44))</f>
        <v/>
      </c>
      <c r="D44" s="600">
        <f>IF($T44="","",INDEX('Données Suivi'!$E$2:$E$3000,$T44))</f>
        <v/>
      </c>
      <c r="E44" s="602">
        <f>IF($T44="","",INDEX('Données Suivi'!$J$2:$J$3000,$T44))</f>
        <v/>
      </c>
      <c r="F44" s="603">
        <f>IF($T44="","",INDEX('Données Suivi'!$K$2:$K$3000,$T44))</f>
        <v/>
      </c>
      <c r="T44">
        <f>IFERROR(MATCH($C$3&amp;"|"&amp;9,'Données Suivi'!$Q$2:$Q$3000,0),"")</f>
        <v/>
      </c>
    </row>
    <row r="45">
      <c r="A45" s="601">
        <f>IF($T45="","",INDEX('Données Suivi'!$D$2:$D$3000,$T45))</f>
        <v/>
      </c>
      <c r="B45" s="600">
        <f>IF($T45="","",INDEX('Données Suivi'!$B$2:$B$3000,$T45))</f>
        <v/>
      </c>
      <c r="C45" s="600">
        <f>IF($T45="","",INDEX('Données Suivi'!$C$2:$C$3000,$T45))</f>
        <v/>
      </c>
      <c r="D45" s="600">
        <f>IF($T45="","",INDEX('Données Suivi'!$E$2:$E$3000,$T45))</f>
        <v/>
      </c>
      <c r="E45" s="602">
        <f>IF($T45="","",INDEX('Données Suivi'!$J$2:$J$3000,$T45))</f>
        <v/>
      </c>
      <c r="F45" s="603">
        <f>IF($T45="","",INDEX('Données Suivi'!$K$2:$K$3000,$T45))</f>
        <v/>
      </c>
      <c r="T45">
        <f>IFERROR(MATCH($C$3&amp;"|"&amp;10,'Données Suivi'!$Q$2:$Q$3000,0),"")</f>
        <v/>
      </c>
    </row>
    <row r="46">
      <c r="A46" s="601">
        <f>IF($T46="","",INDEX('Données Suivi'!$D$2:$D$3000,$T46))</f>
        <v/>
      </c>
      <c r="B46" s="600">
        <f>IF($T46="","",INDEX('Données Suivi'!$B$2:$B$3000,$T46))</f>
        <v/>
      </c>
      <c r="C46" s="600">
        <f>IF($T46="","",INDEX('Données Suivi'!$C$2:$C$3000,$T46))</f>
        <v/>
      </c>
      <c r="D46" s="600">
        <f>IF($T46="","",INDEX('Données Suivi'!$E$2:$E$3000,$T46))</f>
        <v/>
      </c>
      <c r="E46" s="602">
        <f>IF($T46="","",INDEX('Données Suivi'!$J$2:$J$3000,$T46))</f>
        <v/>
      </c>
      <c r="F46" s="603">
        <f>IF($T46="","",INDEX('Données Suivi'!$K$2:$K$3000,$T46))</f>
        <v/>
      </c>
      <c r="T46">
        <f>IFERROR(MATCH($C$3&amp;"|"&amp;11,'Données Suivi'!$Q$2:$Q$3000,0),"")</f>
        <v/>
      </c>
    </row>
    <row r="47">
      <c r="A47" s="601">
        <f>IF($T47="","",INDEX('Données Suivi'!$D$2:$D$3000,$T47))</f>
        <v/>
      </c>
      <c r="B47" s="600">
        <f>IF($T47="","",INDEX('Données Suivi'!$B$2:$B$3000,$T47))</f>
        <v/>
      </c>
      <c r="C47" s="600">
        <f>IF($T47="","",INDEX('Données Suivi'!$C$2:$C$3000,$T47))</f>
        <v/>
      </c>
      <c r="D47" s="600">
        <f>IF($T47="","",INDEX('Données Suivi'!$E$2:$E$3000,$T47))</f>
        <v/>
      </c>
      <c r="E47" s="602">
        <f>IF($T47="","",INDEX('Données Suivi'!$J$2:$J$3000,$T47))</f>
        <v/>
      </c>
      <c r="F47" s="603">
        <f>IF($T47="","",INDEX('Données Suivi'!$K$2:$K$3000,$T47))</f>
        <v/>
      </c>
      <c r="T47">
        <f>IFERROR(MATCH($C$3&amp;"|"&amp;12,'Données Suivi'!$Q$2:$Q$3000,0),"")</f>
        <v/>
      </c>
    </row>
    <row r="48">
      <c r="A48" s="601">
        <f>IF($T48="","",INDEX('Données Suivi'!$D$2:$D$3000,$T48))</f>
        <v/>
      </c>
      <c r="B48" s="600">
        <f>IF($T48="","",INDEX('Données Suivi'!$B$2:$B$3000,$T48))</f>
        <v/>
      </c>
      <c r="C48" s="600">
        <f>IF($T48="","",INDEX('Données Suivi'!$C$2:$C$3000,$T48))</f>
        <v/>
      </c>
      <c r="D48" s="600">
        <f>IF($T48="","",INDEX('Données Suivi'!$E$2:$E$3000,$T48))</f>
        <v/>
      </c>
      <c r="E48" s="602">
        <f>IF($T48="","",INDEX('Données Suivi'!$J$2:$J$3000,$T48))</f>
        <v/>
      </c>
      <c r="F48" s="603">
        <f>IF($T48="","",INDEX('Données Suivi'!$K$2:$K$3000,$T48))</f>
        <v/>
      </c>
      <c r="T48">
        <f>IFERROR(MATCH($C$3&amp;"|"&amp;13,'Données Suivi'!$Q$2:$Q$3000,0),"")</f>
        <v/>
      </c>
    </row>
    <row r="49">
      <c r="A49" s="601">
        <f>IF($T49="","",INDEX('Données Suivi'!$D$2:$D$3000,$T49))</f>
        <v/>
      </c>
      <c r="B49" s="600">
        <f>IF($T49="","",INDEX('Données Suivi'!$B$2:$B$3000,$T49))</f>
        <v/>
      </c>
      <c r="C49" s="600">
        <f>IF($T49="","",INDEX('Données Suivi'!$C$2:$C$3000,$T49))</f>
        <v/>
      </c>
      <c r="D49" s="600">
        <f>IF($T49="","",INDEX('Données Suivi'!$E$2:$E$3000,$T49))</f>
        <v/>
      </c>
      <c r="E49" s="602">
        <f>IF($T49="","",INDEX('Données Suivi'!$J$2:$J$3000,$T49))</f>
        <v/>
      </c>
      <c r="F49" s="603">
        <f>IF($T49="","",INDEX('Données Suivi'!$K$2:$K$3000,$T49))</f>
        <v/>
      </c>
      <c r="T49">
        <f>IFERROR(MATCH($C$3&amp;"|"&amp;14,'Données Suivi'!$Q$2:$Q$3000,0),"")</f>
        <v/>
      </c>
    </row>
    <row r="50">
      <c r="A50" s="601">
        <f>IF($T50="","",INDEX('Données Suivi'!$D$2:$D$3000,$T50))</f>
        <v/>
      </c>
      <c r="B50" s="600">
        <f>IF($T50="","",INDEX('Données Suivi'!$B$2:$B$3000,$T50))</f>
        <v/>
      </c>
      <c r="C50" s="600">
        <f>IF($T50="","",INDEX('Données Suivi'!$C$2:$C$3000,$T50))</f>
        <v/>
      </c>
      <c r="D50" s="600">
        <f>IF($T50="","",INDEX('Données Suivi'!$E$2:$E$3000,$T50))</f>
        <v/>
      </c>
      <c r="E50" s="602">
        <f>IF($T50="","",INDEX('Données Suivi'!$J$2:$J$3000,$T50))</f>
        <v/>
      </c>
      <c r="F50" s="603">
        <f>IF($T50="","",INDEX('Données Suivi'!$K$2:$K$3000,$T50))</f>
        <v/>
      </c>
      <c r="T50">
        <f>IFERROR(MATCH($C$3&amp;"|"&amp;15,'Données Suivi'!$Q$2:$Q$3000,0),"")</f>
        <v/>
      </c>
    </row>
    <row r="51">
      <c r="A51" s="601">
        <f>IF($T51="","",INDEX('Données Suivi'!$D$2:$D$3000,$T51))</f>
        <v/>
      </c>
      <c r="B51" s="600">
        <f>IF($T51="","",INDEX('Données Suivi'!$B$2:$B$3000,$T51))</f>
        <v/>
      </c>
      <c r="C51" s="600">
        <f>IF($T51="","",INDEX('Données Suivi'!$C$2:$C$3000,$T51))</f>
        <v/>
      </c>
      <c r="D51" s="600">
        <f>IF($T51="","",INDEX('Données Suivi'!$E$2:$E$3000,$T51))</f>
        <v/>
      </c>
      <c r="E51" s="602">
        <f>IF($T51="","",INDEX('Données Suivi'!$J$2:$J$3000,$T51))</f>
        <v/>
      </c>
      <c r="F51" s="603">
        <f>IF($T51="","",INDEX('Données Suivi'!$K$2:$K$3000,$T51))</f>
        <v/>
      </c>
      <c r="T51">
        <f>IFERROR(MATCH($C$3&amp;"|"&amp;16,'Données Suivi'!$Q$2:$Q$3000,0),"")</f>
        <v/>
      </c>
    </row>
    <row r="52">
      <c r="A52" s="601">
        <f>IF($T52="","",INDEX('Données Suivi'!$D$2:$D$3000,$T52))</f>
        <v/>
      </c>
      <c r="B52" s="600">
        <f>IF($T52="","",INDEX('Données Suivi'!$B$2:$B$3000,$T52))</f>
        <v/>
      </c>
      <c r="C52" s="600">
        <f>IF($T52="","",INDEX('Données Suivi'!$C$2:$C$3000,$T52))</f>
        <v/>
      </c>
      <c r="D52" s="600">
        <f>IF($T52="","",INDEX('Données Suivi'!$E$2:$E$3000,$T52))</f>
        <v/>
      </c>
      <c r="E52" s="602">
        <f>IF($T52="","",INDEX('Données Suivi'!$J$2:$J$3000,$T52))</f>
        <v/>
      </c>
      <c r="F52" s="603">
        <f>IF($T52="","",INDEX('Données Suivi'!$K$2:$K$3000,$T52))</f>
        <v/>
      </c>
      <c r="T52">
        <f>IFERROR(MATCH($C$3&amp;"|"&amp;17,'Données Suivi'!$Q$2:$Q$3000,0),"")</f>
        <v/>
      </c>
    </row>
    <row r="53">
      <c r="A53" s="601">
        <f>IF($T53="","",INDEX('Données Suivi'!$D$2:$D$3000,$T53))</f>
        <v/>
      </c>
      <c r="B53" s="600">
        <f>IF($T53="","",INDEX('Données Suivi'!$B$2:$B$3000,$T53))</f>
        <v/>
      </c>
      <c r="C53" s="600">
        <f>IF($T53="","",INDEX('Données Suivi'!$C$2:$C$3000,$T53))</f>
        <v/>
      </c>
      <c r="D53" s="600">
        <f>IF($T53="","",INDEX('Données Suivi'!$E$2:$E$3000,$T53))</f>
        <v/>
      </c>
      <c r="E53" s="602">
        <f>IF($T53="","",INDEX('Données Suivi'!$J$2:$J$3000,$T53))</f>
        <v/>
      </c>
      <c r="F53" s="603">
        <f>IF($T53="","",INDEX('Données Suivi'!$K$2:$K$3000,$T53))</f>
        <v/>
      </c>
      <c r="T53">
        <f>IFERROR(MATCH($C$3&amp;"|"&amp;18,'Données Suivi'!$Q$2:$Q$3000,0),"")</f>
        <v/>
      </c>
    </row>
    <row r="54">
      <c r="A54" s="601">
        <f>IF($T54="","",INDEX('Données Suivi'!$D$2:$D$3000,$T54))</f>
        <v/>
      </c>
      <c r="B54" s="600">
        <f>IF($T54="","",INDEX('Données Suivi'!$B$2:$B$3000,$T54))</f>
        <v/>
      </c>
      <c r="C54" s="600">
        <f>IF($T54="","",INDEX('Données Suivi'!$C$2:$C$3000,$T54))</f>
        <v/>
      </c>
      <c r="D54" s="600">
        <f>IF($T54="","",INDEX('Données Suivi'!$E$2:$E$3000,$T54))</f>
        <v/>
      </c>
      <c r="E54" s="602">
        <f>IF($T54="","",INDEX('Données Suivi'!$J$2:$J$3000,$T54))</f>
        <v/>
      </c>
      <c r="F54" s="603">
        <f>IF($T54="","",INDEX('Données Suivi'!$K$2:$K$3000,$T54))</f>
        <v/>
      </c>
      <c r="T54">
        <f>IFERROR(MATCH($C$3&amp;"|"&amp;19,'Données Suivi'!$Q$2:$Q$3000,0),"")</f>
        <v/>
      </c>
    </row>
    <row r="55">
      <c r="A55" s="601">
        <f>IF($T55="","",INDEX('Données Suivi'!$D$2:$D$3000,$T55))</f>
        <v/>
      </c>
      <c r="B55" s="600">
        <f>IF($T55="","",INDEX('Données Suivi'!$B$2:$B$3000,$T55))</f>
        <v/>
      </c>
      <c r="C55" s="600">
        <f>IF($T55="","",INDEX('Données Suivi'!$C$2:$C$3000,$T55))</f>
        <v/>
      </c>
      <c r="D55" s="600">
        <f>IF($T55="","",INDEX('Données Suivi'!$E$2:$E$3000,$T55))</f>
        <v/>
      </c>
      <c r="E55" s="602">
        <f>IF($T55="","",INDEX('Données Suivi'!$J$2:$J$3000,$T55))</f>
        <v/>
      </c>
      <c r="F55" s="603">
        <f>IF($T55="","",INDEX('Données Suivi'!$K$2:$K$3000,$T55))</f>
        <v/>
      </c>
      <c r="T55">
        <f>IFERROR(MATCH($C$3&amp;"|"&amp;20,'Données Suivi'!$Q$2:$Q$3000,0),"")</f>
        <v/>
      </c>
    </row>
  </sheetData>
  <mergeCells count="10">
    <mergeCell ref="D8:E8"/>
    <mergeCell ref="A18:D18"/>
    <mergeCell ref="A8:A9"/>
    <mergeCell ref="C8:C9"/>
    <mergeCell ref="A7:H7"/>
    <mergeCell ref="A1:F1"/>
    <mergeCell ref="F8:H8"/>
    <mergeCell ref="B8:B9"/>
    <mergeCell ref="A27:C27"/>
    <mergeCell ref="A34:F34"/>
  </mergeCells>
  <dataValidations count="2">
    <dataValidation sqref="C3" showDropDown="0" showInputMessage="0" showErrorMessage="0" allowBlank="0" error="Choisir une direction dans la liste." prompt="Sélectionnez une direction" type="list">
      <formula1>"ARRIYADIA,ASSADISSA,DA,DACG,DAR,DCPA,DCRI,DCT,DG,DINFORADIO,DINFOTV,DJURIDIQUE,DMPTV,DPMG,DPPR,DRH,DRPSD,MAGHRIBIA,RSSI,TAMAZIGHT,TDF -SITES,TDF-EXP&amp;MAIN,TV LAAYOUNE"</formula1>
    </dataValidation>
    <dataValidation sqref="C5" showDropDown="0" showInputMessage="0" showErrorMessage="0" allowBlank="0" error="Choisir un type de BCI dans la liste." prompt="Sélectionnez un type de BCI" type="list">
      <formula1>"CONTRAT,AOO-M,AOO-CT,BCL,BCI,CA"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M264"/>
  <sheetViews>
    <sheetView showGridLines="0" workbookViewId="0">
      <pane ySplit="1" topLeftCell="A2" activePane="bottomLeft" state="frozen"/>
      <selection pane="bottomLeft" activeCell="A1" sqref="A1"/>
    </sheetView>
  </sheetViews>
  <sheetFormatPr baseColWidth="8" defaultRowHeight="15"/>
  <cols>
    <col width="26" customWidth="1" style="392" min="1" max="1"/>
    <col width="14" customWidth="1" style="392" min="2" max="2"/>
    <col width="14" customWidth="1" style="392" min="3" max="3"/>
    <col width="46" customWidth="1" style="392" min="4" max="4"/>
    <col width="20" customWidth="1" style="392" min="5" max="5"/>
    <col width="22" customWidth="1" style="392" min="6" max="6"/>
    <col width="15" customWidth="1" style="392" min="7" max="7"/>
    <col width="13" customWidth="1" style="392" min="8" max="8"/>
    <col width="12" customWidth="1" style="392" min="9" max="9"/>
  </cols>
  <sheetData>
    <row r="1" ht="30" customHeight="1" s="392">
      <c r="A1" s="586" t="inlineStr">
        <is>
          <t>TABLEAU DE BORD DE SUIVI — ETAT D'ENGAGEMENTS 2026</t>
        </is>
      </c>
    </row>
    <row r="2"/>
    <row r="3">
      <c r="A3" s="587" t="inlineStr">
        <is>
          <t>Nb dossiers total</t>
        </is>
      </c>
      <c r="B3" s="611" t="n"/>
      <c r="C3" s="587" t="inlineStr">
        <is>
          <t>Montant total (MAD)</t>
        </is>
      </c>
      <c r="D3" s="611" t="n"/>
      <c r="E3" s="587" t="inlineStr">
        <is>
          <t>Nb directions</t>
        </is>
      </c>
      <c r="F3" s="611" t="n"/>
      <c r="G3" s="587" t="inlineStr">
        <is>
          <t>Taux d'engagement (montant)</t>
        </is>
      </c>
      <c r="H3" s="611" t="n"/>
      <c r="I3" s="587" t="inlineStr">
        <is>
          <t>Montant restant à engager</t>
        </is>
      </c>
      <c r="J3" s="611" t="n"/>
      <c r="K3" s="587" t="inlineStr">
        <is>
          <t>Nb dossiers en cours (à suivre)</t>
        </is>
      </c>
      <c r="L3" s="611" t="n"/>
    </row>
    <row r="4">
      <c r="A4" s="589">
        <f>COUNTIF('Données Suivi'!A2:A3000,"?*")</f>
        <v/>
      </c>
      <c r="B4" s="612" t="n"/>
      <c r="C4" s="590">
        <f>SUM('Données Suivi'!J2:J3000)</f>
        <v/>
      </c>
      <c r="D4" s="612" t="n"/>
      <c r="E4" s="589">
        <f>SUMPRODUCT(('Données Suivi'!$A$2:$A$3000&lt;&gt;"")/COUNTIF('Données Suivi'!$A$2:$A$3000,'Données Suivi'!$A$2:$A$3000&amp;""))</f>
        <v/>
      </c>
      <c r="F4" s="612" t="n"/>
      <c r="G4" s="591">
        <f>SUMIF('Données Suivi'!M2:M3000,"Engagé",'Données Suivi'!J2:J3000)/SUM('Données Suivi'!J2:J3000)</f>
        <v/>
      </c>
      <c r="H4" s="612" t="n"/>
      <c r="I4" s="590">
        <f>SUMIF('Données Suivi'!M2:M3000,"En cours",'Données Suivi'!J2:J3000)</f>
        <v/>
      </c>
      <c r="J4" s="612" t="n"/>
      <c r="K4" s="589">
        <f>COUNTIF('Données Suivi'!M2:M3000,"En cours")</f>
        <v/>
      </c>
      <c r="L4" s="612" t="n"/>
    </row>
    <row r="5">
      <c r="A5" s="613" t="n"/>
      <c r="B5" s="614" t="n"/>
      <c r="C5" s="613" t="n"/>
      <c r="D5" s="614" t="n"/>
      <c r="E5" s="613" t="n"/>
      <c r="F5" s="614" t="n"/>
      <c r="G5" s="613" t="n"/>
      <c r="H5" s="614" t="n"/>
      <c r="I5" s="613" t="n"/>
      <c r="J5" s="614" t="n"/>
      <c r="K5" s="613" t="n"/>
      <c r="L5" s="614" t="n"/>
    </row>
    <row r="6">
      <c r="A6" s="587" t="inlineStr">
        <is>
          <t>Nb clôturés sans suite</t>
        </is>
      </c>
      <c r="B6" s="611" t="n"/>
      <c r="C6" s="587" t="inlineStr">
        <is>
          <t>Ancienneté moy. dossiers en cours (j)</t>
        </is>
      </c>
      <c r="D6" s="611" t="n"/>
    </row>
    <row r="7">
      <c r="A7" s="589">
        <f>COUNTIF('Données Suivi'!M2:M3000,"Clôturé sans suite")</f>
        <v/>
      </c>
      <c r="B7" s="612" t="n"/>
      <c r="C7" s="589">
        <f>AVERAGEIFS('Données Suivi'!L2:L3000,'Données Suivi'!M2:M3000,"En cours",'Données Suivi'!L2:L3000,"&gt;=0")</f>
        <v/>
      </c>
      <c r="D7" s="612" t="n"/>
    </row>
    <row r="8">
      <c r="A8" s="613" t="n"/>
      <c r="B8" s="614" t="n"/>
      <c r="C8" s="613" t="n"/>
      <c r="D8" s="614" t="n"/>
    </row>
    <row r="9"/>
    <row r="10" ht="20" customHeight="1" s="392">
      <c r="A10" s="592" t="inlineStr">
        <is>
          <t>Répartition des dossiers par Direction et par BCI (type d'achat) — Nombre de dossiers</t>
        </is>
      </c>
    </row>
    <row r="11">
      <c r="A11" s="593" t="inlineStr">
        <is>
          <t>Direction</t>
        </is>
      </c>
      <c r="B11" s="593" t="inlineStr">
        <is>
          <t>CONTRAT</t>
        </is>
      </c>
      <c r="C11" s="593" t="inlineStr">
        <is>
          <t>AOO-M</t>
        </is>
      </c>
      <c r="D11" s="593" t="inlineStr">
        <is>
          <t>AOO-CT</t>
        </is>
      </c>
      <c r="E11" s="593" t="inlineStr">
        <is>
          <t>BCL</t>
        </is>
      </c>
      <c r="F11" s="593" t="inlineStr">
        <is>
          <t>BCI</t>
        </is>
      </c>
      <c r="G11" s="593" t="inlineStr">
        <is>
          <t>CA</t>
        </is>
      </c>
      <c r="H11" s="593" t="inlineStr">
        <is>
          <t>TOTAL</t>
        </is>
      </c>
    </row>
    <row r="12">
      <c r="A12" s="594" t="inlineStr">
        <is>
          <t>ARRIYADIA</t>
        </is>
      </c>
      <c r="B12" s="595">
        <f>COUNTIFS('Données Suivi'!$A$2:$A$3000,$A12,'Données Suivi'!$C$2:$C$3000,"CONTRAT")</f>
        <v/>
      </c>
      <c r="C12" s="595">
        <f>COUNTIFS('Données Suivi'!$A$2:$A$3000,$A12,'Données Suivi'!$C$2:$C$3000,"AOO-M")</f>
        <v/>
      </c>
      <c r="D12" s="595">
        <f>COUNTIFS('Données Suivi'!$A$2:$A$3000,$A12,'Données Suivi'!$C$2:$C$3000,"AOO-CT")</f>
        <v/>
      </c>
      <c r="E12" s="595">
        <f>COUNTIFS('Données Suivi'!$A$2:$A$3000,$A12,'Données Suivi'!$C$2:$C$3000,"BCL")</f>
        <v/>
      </c>
      <c r="F12" s="595">
        <f>COUNTIFS('Données Suivi'!$A$2:$A$3000,$A12,'Données Suivi'!$C$2:$C$3000,"BCI")</f>
        <v/>
      </c>
      <c r="G12" s="595">
        <f>COUNTIFS('Données Suivi'!$A$2:$A$3000,$A12,'Données Suivi'!$C$2:$C$3000,"CA")</f>
        <v/>
      </c>
      <c r="H12" s="596">
        <f>COUNTIF('Données Suivi'!$A$2:$A$3000,$A12)</f>
        <v/>
      </c>
    </row>
    <row r="13">
      <c r="A13" s="594" t="inlineStr">
        <is>
          <t>ASSADISSA</t>
        </is>
      </c>
      <c r="B13" s="595">
        <f>COUNTIFS('Données Suivi'!$A$2:$A$3000,$A13,'Données Suivi'!$C$2:$C$3000,"CONTRAT")</f>
        <v/>
      </c>
      <c r="C13" s="595">
        <f>COUNTIFS('Données Suivi'!$A$2:$A$3000,$A13,'Données Suivi'!$C$2:$C$3000,"AOO-M")</f>
        <v/>
      </c>
      <c r="D13" s="595">
        <f>COUNTIFS('Données Suivi'!$A$2:$A$3000,$A13,'Données Suivi'!$C$2:$C$3000,"AOO-CT")</f>
        <v/>
      </c>
      <c r="E13" s="595">
        <f>COUNTIFS('Données Suivi'!$A$2:$A$3000,$A13,'Données Suivi'!$C$2:$C$3000,"BCL")</f>
        <v/>
      </c>
      <c r="F13" s="595">
        <f>COUNTIFS('Données Suivi'!$A$2:$A$3000,$A13,'Données Suivi'!$C$2:$C$3000,"BCI")</f>
        <v/>
      </c>
      <c r="G13" s="595">
        <f>COUNTIFS('Données Suivi'!$A$2:$A$3000,$A13,'Données Suivi'!$C$2:$C$3000,"CA")</f>
        <v/>
      </c>
      <c r="H13" s="596">
        <f>COUNTIF('Données Suivi'!$A$2:$A$3000,$A13)</f>
        <v/>
      </c>
    </row>
    <row r="14">
      <c r="A14" s="594" t="inlineStr">
        <is>
          <t>DA</t>
        </is>
      </c>
      <c r="B14" s="595">
        <f>COUNTIFS('Données Suivi'!$A$2:$A$3000,$A14,'Données Suivi'!$C$2:$C$3000,"CONTRAT")</f>
        <v/>
      </c>
      <c r="C14" s="595">
        <f>COUNTIFS('Données Suivi'!$A$2:$A$3000,$A14,'Données Suivi'!$C$2:$C$3000,"AOO-M")</f>
        <v/>
      </c>
      <c r="D14" s="595">
        <f>COUNTIFS('Données Suivi'!$A$2:$A$3000,$A14,'Données Suivi'!$C$2:$C$3000,"AOO-CT")</f>
        <v/>
      </c>
      <c r="E14" s="595">
        <f>COUNTIFS('Données Suivi'!$A$2:$A$3000,$A14,'Données Suivi'!$C$2:$C$3000,"BCL")</f>
        <v/>
      </c>
      <c r="F14" s="595">
        <f>COUNTIFS('Données Suivi'!$A$2:$A$3000,$A14,'Données Suivi'!$C$2:$C$3000,"BCI")</f>
        <v/>
      </c>
      <c r="G14" s="595">
        <f>COUNTIFS('Données Suivi'!$A$2:$A$3000,$A14,'Données Suivi'!$C$2:$C$3000,"CA")</f>
        <v/>
      </c>
      <c r="H14" s="596">
        <f>COUNTIF('Données Suivi'!$A$2:$A$3000,$A14)</f>
        <v/>
      </c>
    </row>
    <row r="15">
      <c r="A15" s="594" t="inlineStr">
        <is>
          <t>DACG</t>
        </is>
      </c>
      <c r="B15" s="595">
        <f>COUNTIFS('Données Suivi'!$A$2:$A$3000,$A15,'Données Suivi'!$C$2:$C$3000,"CONTRAT")</f>
        <v/>
      </c>
      <c r="C15" s="595">
        <f>COUNTIFS('Données Suivi'!$A$2:$A$3000,$A15,'Données Suivi'!$C$2:$C$3000,"AOO-M")</f>
        <v/>
      </c>
      <c r="D15" s="595">
        <f>COUNTIFS('Données Suivi'!$A$2:$A$3000,$A15,'Données Suivi'!$C$2:$C$3000,"AOO-CT")</f>
        <v/>
      </c>
      <c r="E15" s="595">
        <f>COUNTIFS('Données Suivi'!$A$2:$A$3000,$A15,'Données Suivi'!$C$2:$C$3000,"BCL")</f>
        <v/>
      </c>
      <c r="F15" s="595">
        <f>COUNTIFS('Données Suivi'!$A$2:$A$3000,$A15,'Données Suivi'!$C$2:$C$3000,"BCI")</f>
        <v/>
      </c>
      <c r="G15" s="595">
        <f>COUNTIFS('Données Suivi'!$A$2:$A$3000,$A15,'Données Suivi'!$C$2:$C$3000,"CA")</f>
        <v/>
      </c>
      <c r="H15" s="596">
        <f>COUNTIF('Données Suivi'!$A$2:$A$3000,$A15)</f>
        <v/>
      </c>
    </row>
    <row r="16">
      <c r="A16" s="594" t="inlineStr">
        <is>
          <t>DAR</t>
        </is>
      </c>
      <c r="B16" s="595">
        <f>COUNTIFS('Données Suivi'!$A$2:$A$3000,$A16,'Données Suivi'!$C$2:$C$3000,"CONTRAT")</f>
        <v/>
      </c>
      <c r="C16" s="595">
        <f>COUNTIFS('Données Suivi'!$A$2:$A$3000,$A16,'Données Suivi'!$C$2:$C$3000,"AOO-M")</f>
        <v/>
      </c>
      <c r="D16" s="595">
        <f>COUNTIFS('Données Suivi'!$A$2:$A$3000,$A16,'Données Suivi'!$C$2:$C$3000,"AOO-CT")</f>
        <v/>
      </c>
      <c r="E16" s="595">
        <f>COUNTIFS('Données Suivi'!$A$2:$A$3000,$A16,'Données Suivi'!$C$2:$C$3000,"BCL")</f>
        <v/>
      </c>
      <c r="F16" s="595">
        <f>COUNTIFS('Données Suivi'!$A$2:$A$3000,$A16,'Données Suivi'!$C$2:$C$3000,"BCI")</f>
        <v/>
      </c>
      <c r="G16" s="595">
        <f>COUNTIFS('Données Suivi'!$A$2:$A$3000,$A16,'Données Suivi'!$C$2:$C$3000,"CA")</f>
        <v/>
      </c>
      <c r="H16" s="596">
        <f>COUNTIF('Données Suivi'!$A$2:$A$3000,$A16)</f>
        <v/>
      </c>
    </row>
    <row r="17">
      <c r="A17" s="594" t="inlineStr">
        <is>
          <t>DCPA</t>
        </is>
      </c>
      <c r="B17" s="595">
        <f>COUNTIFS('Données Suivi'!$A$2:$A$3000,$A17,'Données Suivi'!$C$2:$C$3000,"CONTRAT")</f>
        <v/>
      </c>
      <c r="C17" s="595">
        <f>COUNTIFS('Données Suivi'!$A$2:$A$3000,$A17,'Données Suivi'!$C$2:$C$3000,"AOO-M")</f>
        <v/>
      </c>
      <c r="D17" s="595">
        <f>COUNTIFS('Données Suivi'!$A$2:$A$3000,$A17,'Données Suivi'!$C$2:$C$3000,"AOO-CT")</f>
        <v/>
      </c>
      <c r="E17" s="595">
        <f>COUNTIFS('Données Suivi'!$A$2:$A$3000,$A17,'Données Suivi'!$C$2:$C$3000,"BCL")</f>
        <v/>
      </c>
      <c r="F17" s="595">
        <f>COUNTIFS('Données Suivi'!$A$2:$A$3000,$A17,'Données Suivi'!$C$2:$C$3000,"BCI")</f>
        <v/>
      </c>
      <c r="G17" s="595">
        <f>COUNTIFS('Données Suivi'!$A$2:$A$3000,$A17,'Données Suivi'!$C$2:$C$3000,"CA")</f>
        <v/>
      </c>
      <c r="H17" s="596">
        <f>COUNTIF('Données Suivi'!$A$2:$A$3000,$A17)</f>
        <v/>
      </c>
    </row>
    <row r="18">
      <c r="A18" s="594" t="inlineStr">
        <is>
          <t>DCRI</t>
        </is>
      </c>
      <c r="B18" s="595">
        <f>COUNTIFS('Données Suivi'!$A$2:$A$3000,$A18,'Données Suivi'!$C$2:$C$3000,"CONTRAT")</f>
        <v/>
      </c>
      <c r="C18" s="595">
        <f>COUNTIFS('Données Suivi'!$A$2:$A$3000,$A18,'Données Suivi'!$C$2:$C$3000,"AOO-M")</f>
        <v/>
      </c>
      <c r="D18" s="595">
        <f>COUNTIFS('Données Suivi'!$A$2:$A$3000,$A18,'Données Suivi'!$C$2:$C$3000,"AOO-CT")</f>
        <v/>
      </c>
      <c r="E18" s="595">
        <f>COUNTIFS('Données Suivi'!$A$2:$A$3000,$A18,'Données Suivi'!$C$2:$C$3000,"BCL")</f>
        <v/>
      </c>
      <c r="F18" s="595">
        <f>COUNTIFS('Données Suivi'!$A$2:$A$3000,$A18,'Données Suivi'!$C$2:$C$3000,"BCI")</f>
        <v/>
      </c>
      <c r="G18" s="595">
        <f>COUNTIFS('Données Suivi'!$A$2:$A$3000,$A18,'Données Suivi'!$C$2:$C$3000,"CA")</f>
        <v/>
      </c>
      <c r="H18" s="596">
        <f>COUNTIF('Données Suivi'!$A$2:$A$3000,$A18)</f>
        <v/>
      </c>
    </row>
    <row r="19">
      <c r="A19" s="594" t="inlineStr">
        <is>
          <t>DCT</t>
        </is>
      </c>
      <c r="B19" s="595">
        <f>COUNTIFS('Données Suivi'!$A$2:$A$3000,$A19,'Données Suivi'!$C$2:$C$3000,"CONTRAT")</f>
        <v/>
      </c>
      <c r="C19" s="595">
        <f>COUNTIFS('Données Suivi'!$A$2:$A$3000,$A19,'Données Suivi'!$C$2:$C$3000,"AOO-M")</f>
        <v/>
      </c>
      <c r="D19" s="595">
        <f>COUNTIFS('Données Suivi'!$A$2:$A$3000,$A19,'Données Suivi'!$C$2:$C$3000,"AOO-CT")</f>
        <v/>
      </c>
      <c r="E19" s="595">
        <f>COUNTIFS('Données Suivi'!$A$2:$A$3000,$A19,'Données Suivi'!$C$2:$C$3000,"BCL")</f>
        <v/>
      </c>
      <c r="F19" s="595">
        <f>COUNTIFS('Données Suivi'!$A$2:$A$3000,$A19,'Données Suivi'!$C$2:$C$3000,"BCI")</f>
        <v/>
      </c>
      <c r="G19" s="595">
        <f>COUNTIFS('Données Suivi'!$A$2:$A$3000,$A19,'Données Suivi'!$C$2:$C$3000,"CA")</f>
        <v/>
      </c>
      <c r="H19" s="596">
        <f>COUNTIF('Données Suivi'!$A$2:$A$3000,$A19)</f>
        <v/>
      </c>
    </row>
    <row r="20">
      <c r="A20" s="594" t="inlineStr">
        <is>
          <t>DG</t>
        </is>
      </c>
      <c r="B20" s="595">
        <f>COUNTIFS('Données Suivi'!$A$2:$A$3000,$A20,'Données Suivi'!$C$2:$C$3000,"CONTRAT")</f>
        <v/>
      </c>
      <c r="C20" s="595">
        <f>COUNTIFS('Données Suivi'!$A$2:$A$3000,$A20,'Données Suivi'!$C$2:$C$3000,"AOO-M")</f>
        <v/>
      </c>
      <c r="D20" s="595">
        <f>COUNTIFS('Données Suivi'!$A$2:$A$3000,$A20,'Données Suivi'!$C$2:$C$3000,"AOO-CT")</f>
        <v/>
      </c>
      <c r="E20" s="595">
        <f>COUNTIFS('Données Suivi'!$A$2:$A$3000,$A20,'Données Suivi'!$C$2:$C$3000,"BCL")</f>
        <v/>
      </c>
      <c r="F20" s="595">
        <f>COUNTIFS('Données Suivi'!$A$2:$A$3000,$A20,'Données Suivi'!$C$2:$C$3000,"BCI")</f>
        <v/>
      </c>
      <c r="G20" s="595">
        <f>COUNTIFS('Données Suivi'!$A$2:$A$3000,$A20,'Données Suivi'!$C$2:$C$3000,"CA")</f>
        <v/>
      </c>
      <c r="H20" s="596">
        <f>COUNTIF('Données Suivi'!$A$2:$A$3000,$A20)</f>
        <v/>
      </c>
    </row>
    <row r="21">
      <c r="A21" s="594" t="inlineStr">
        <is>
          <t>DINFORADIO</t>
        </is>
      </c>
      <c r="B21" s="595">
        <f>COUNTIFS('Données Suivi'!$A$2:$A$3000,$A21,'Données Suivi'!$C$2:$C$3000,"CONTRAT")</f>
        <v/>
      </c>
      <c r="C21" s="595">
        <f>COUNTIFS('Données Suivi'!$A$2:$A$3000,$A21,'Données Suivi'!$C$2:$C$3000,"AOO-M")</f>
        <v/>
      </c>
      <c r="D21" s="595">
        <f>COUNTIFS('Données Suivi'!$A$2:$A$3000,$A21,'Données Suivi'!$C$2:$C$3000,"AOO-CT")</f>
        <v/>
      </c>
      <c r="E21" s="595">
        <f>COUNTIFS('Données Suivi'!$A$2:$A$3000,$A21,'Données Suivi'!$C$2:$C$3000,"BCL")</f>
        <v/>
      </c>
      <c r="F21" s="595">
        <f>COUNTIFS('Données Suivi'!$A$2:$A$3000,$A21,'Données Suivi'!$C$2:$C$3000,"BCI")</f>
        <v/>
      </c>
      <c r="G21" s="595">
        <f>COUNTIFS('Données Suivi'!$A$2:$A$3000,$A21,'Données Suivi'!$C$2:$C$3000,"CA")</f>
        <v/>
      </c>
      <c r="H21" s="596">
        <f>COUNTIF('Données Suivi'!$A$2:$A$3000,$A21)</f>
        <v/>
      </c>
    </row>
    <row r="22">
      <c r="A22" s="594" t="inlineStr">
        <is>
          <t>DINFOTV</t>
        </is>
      </c>
      <c r="B22" s="595">
        <f>COUNTIFS('Données Suivi'!$A$2:$A$3000,$A22,'Données Suivi'!$C$2:$C$3000,"CONTRAT")</f>
        <v/>
      </c>
      <c r="C22" s="595">
        <f>COUNTIFS('Données Suivi'!$A$2:$A$3000,$A22,'Données Suivi'!$C$2:$C$3000,"AOO-M")</f>
        <v/>
      </c>
      <c r="D22" s="595">
        <f>COUNTIFS('Données Suivi'!$A$2:$A$3000,$A22,'Données Suivi'!$C$2:$C$3000,"AOO-CT")</f>
        <v/>
      </c>
      <c r="E22" s="595">
        <f>COUNTIFS('Données Suivi'!$A$2:$A$3000,$A22,'Données Suivi'!$C$2:$C$3000,"BCL")</f>
        <v/>
      </c>
      <c r="F22" s="595">
        <f>COUNTIFS('Données Suivi'!$A$2:$A$3000,$A22,'Données Suivi'!$C$2:$C$3000,"BCI")</f>
        <v/>
      </c>
      <c r="G22" s="595">
        <f>COUNTIFS('Données Suivi'!$A$2:$A$3000,$A22,'Données Suivi'!$C$2:$C$3000,"CA")</f>
        <v/>
      </c>
      <c r="H22" s="596">
        <f>COUNTIF('Données Suivi'!$A$2:$A$3000,$A22)</f>
        <v/>
      </c>
    </row>
    <row r="23">
      <c r="A23" s="594" t="inlineStr">
        <is>
          <t>DJURIDIQUE</t>
        </is>
      </c>
      <c r="B23" s="595">
        <f>COUNTIFS('Données Suivi'!$A$2:$A$3000,$A23,'Données Suivi'!$C$2:$C$3000,"CONTRAT")</f>
        <v/>
      </c>
      <c r="C23" s="595">
        <f>COUNTIFS('Données Suivi'!$A$2:$A$3000,$A23,'Données Suivi'!$C$2:$C$3000,"AOO-M")</f>
        <v/>
      </c>
      <c r="D23" s="595">
        <f>COUNTIFS('Données Suivi'!$A$2:$A$3000,$A23,'Données Suivi'!$C$2:$C$3000,"AOO-CT")</f>
        <v/>
      </c>
      <c r="E23" s="595">
        <f>COUNTIFS('Données Suivi'!$A$2:$A$3000,$A23,'Données Suivi'!$C$2:$C$3000,"BCL")</f>
        <v/>
      </c>
      <c r="F23" s="595">
        <f>COUNTIFS('Données Suivi'!$A$2:$A$3000,$A23,'Données Suivi'!$C$2:$C$3000,"BCI")</f>
        <v/>
      </c>
      <c r="G23" s="595">
        <f>COUNTIFS('Données Suivi'!$A$2:$A$3000,$A23,'Données Suivi'!$C$2:$C$3000,"CA")</f>
        <v/>
      </c>
      <c r="H23" s="596">
        <f>COUNTIF('Données Suivi'!$A$2:$A$3000,$A23)</f>
        <v/>
      </c>
    </row>
    <row r="24">
      <c r="A24" s="594" t="inlineStr">
        <is>
          <t>DMPTV</t>
        </is>
      </c>
      <c r="B24" s="595">
        <f>COUNTIFS('Données Suivi'!$A$2:$A$3000,$A24,'Données Suivi'!$C$2:$C$3000,"CONTRAT")</f>
        <v/>
      </c>
      <c r="C24" s="595">
        <f>COUNTIFS('Données Suivi'!$A$2:$A$3000,$A24,'Données Suivi'!$C$2:$C$3000,"AOO-M")</f>
        <v/>
      </c>
      <c r="D24" s="595">
        <f>COUNTIFS('Données Suivi'!$A$2:$A$3000,$A24,'Données Suivi'!$C$2:$C$3000,"AOO-CT")</f>
        <v/>
      </c>
      <c r="E24" s="595">
        <f>COUNTIFS('Données Suivi'!$A$2:$A$3000,$A24,'Données Suivi'!$C$2:$C$3000,"BCL")</f>
        <v/>
      </c>
      <c r="F24" s="595">
        <f>COUNTIFS('Données Suivi'!$A$2:$A$3000,$A24,'Données Suivi'!$C$2:$C$3000,"BCI")</f>
        <v/>
      </c>
      <c r="G24" s="595">
        <f>COUNTIFS('Données Suivi'!$A$2:$A$3000,$A24,'Données Suivi'!$C$2:$C$3000,"CA")</f>
        <v/>
      </c>
      <c r="H24" s="596">
        <f>COUNTIF('Données Suivi'!$A$2:$A$3000,$A24)</f>
        <v/>
      </c>
    </row>
    <row r="25">
      <c r="A25" s="594" t="inlineStr">
        <is>
          <t>DPMG</t>
        </is>
      </c>
      <c r="B25" s="595">
        <f>COUNTIFS('Données Suivi'!$A$2:$A$3000,$A25,'Données Suivi'!$C$2:$C$3000,"CONTRAT")</f>
        <v/>
      </c>
      <c r="C25" s="595">
        <f>COUNTIFS('Données Suivi'!$A$2:$A$3000,$A25,'Données Suivi'!$C$2:$C$3000,"AOO-M")</f>
        <v/>
      </c>
      <c r="D25" s="595">
        <f>COUNTIFS('Données Suivi'!$A$2:$A$3000,$A25,'Données Suivi'!$C$2:$C$3000,"AOO-CT")</f>
        <v/>
      </c>
      <c r="E25" s="595">
        <f>COUNTIFS('Données Suivi'!$A$2:$A$3000,$A25,'Données Suivi'!$C$2:$C$3000,"BCL")</f>
        <v/>
      </c>
      <c r="F25" s="595">
        <f>COUNTIFS('Données Suivi'!$A$2:$A$3000,$A25,'Données Suivi'!$C$2:$C$3000,"BCI")</f>
        <v/>
      </c>
      <c r="G25" s="595">
        <f>COUNTIFS('Données Suivi'!$A$2:$A$3000,$A25,'Données Suivi'!$C$2:$C$3000,"CA")</f>
        <v/>
      </c>
      <c r="H25" s="596">
        <f>COUNTIF('Données Suivi'!$A$2:$A$3000,$A25)</f>
        <v/>
      </c>
    </row>
    <row r="26">
      <c r="A26" s="594" t="inlineStr">
        <is>
          <t>DPPR</t>
        </is>
      </c>
      <c r="B26" s="595">
        <f>COUNTIFS('Données Suivi'!$A$2:$A$3000,$A26,'Données Suivi'!$C$2:$C$3000,"CONTRAT")</f>
        <v/>
      </c>
      <c r="C26" s="595">
        <f>COUNTIFS('Données Suivi'!$A$2:$A$3000,$A26,'Données Suivi'!$C$2:$C$3000,"AOO-M")</f>
        <v/>
      </c>
      <c r="D26" s="595">
        <f>COUNTIFS('Données Suivi'!$A$2:$A$3000,$A26,'Données Suivi'!$C$2:$C$3000,"AOO-CT")</f>
        <v/>
      </c>
      <c r="E26" s="595">
        <f>COUNTIFS('Données Suivi'!$A$2:$A$3000,$A26,'Données Suivi'!$C$2:$C$3000,"BCL")</f>
        <v/>
      </c>
      <c r="F26" s="595">
        <f>COUNTIFS('Données Suivi'!$A$2:$A$3000,$A26,'Données Suivi'!$C$2:$C$3000,"BCI")</f>
        <v/>
      </c>
      <c r="G26" s="595">
        <f>COUNTIFS('Données Suivi'!$A$2:$A$3000,$A26,'Données Suivi'!$C$2:$C$3000,"CA")</f>
        <v/>
      </c>
      <c r="H26" s="596">
        <f>COUNTIF('Données Suivi'!$A$2:$A$3000,$A26)</f>
        <v/>
      </c>
    </row>
    <row r="27">
      <c r="A27" s="594" t="inlineStr">
        <is>
          <t>DRH</t>
        </is>
      </c>
      <c r="B27" s="595">
        <f>COUNTIFS('Données Suivi'!$A$2:$A$3000,$A27,'Données Suivi'!$C$2:$C$3000,"CONTRAT")</f>
        <v/>
      </c>
      <c r="C27" s="595">
        <f>COUNTIFS('Données Suivi'!$A$2:$A$3000,$A27,'Données Suivi'!$C$2:$C$3000,"AOO-M")</f>
        <v/>
      </c>
      <c r="D27" s="595">
        <f>COUNTIFS('Données Suivi'!$A$2:$A$3000,$A27,'Données Suivi'!$C$2:$C$3000,"AOO-CT")</f>
        <v/>
      </c>
      <c r="E27" s="595">
        <f>COUNTIFS('Données Suivi'!$A$2:$A$3000,$A27,'Données Suivi'!$C$2:$C$3000,"BCL")</f>
        <v/>
      </c>
      <c r="F27" s="595">
        <f>COUNTIFS('Données Suivi'!$A$2:$A$3000,$A27,'Données Suivi'!$C$2:$C$3000,"BCI")</f>
        <v/>
      </c>
      <c r="G27" s="595">
        <f>COUNTIFS('Données Suivi'!$A$2:$A$3000,$A27,'Données Suivi'!$C$2:$C$3000,"CA")</f>
        <v/>
      </c>
      <c r="H27" s="596">
        <f>COUNTIF('Données Suivi'!$A$2:$A$3000,$A27)</f>
        <v/>
      </c>
    </row>
    <row r="28">
      <c r="A28" s="594" t="inlineStr">
        <is>
          <t>DRPSD</t>
        </is>
      </c>
      <c r="B28" s="595">
        <f>COUNTIFS('Données Suivi'!$A$2:$A$3000,$A28,'Données Suivi'!$C$2:$C$3000,"CONTRAT")</f>
        <v/>
      </c>
      <c r="C28" s="595">
        <f>COUNTIFS('Données Suivi'!$A$2:$A$3000,$A28,'Données Suivi'!$C$2:$C$3000,"AOO-M")</f>
        <v/>
      </c>
      <c r="D28" s="595">
        <f>COUNTIFS('Données Suivi'!$A$2:$A$3000,$A28,'Données Suivi'!$C$2:$C$3000,"AOO-CT")</f>
        <v/>
      </c>
      <c r="E28" s="595">
        <f>COUNTIFS('Données Suivi'!$A$2:$A$3000,$A28,'Données Suivi'!$C$2:$C$3000,"BCL")</f>
        <v/>
      </c>
      <c r="F28" s="595">
        <f>COUNTIFS('Données Suivi'!$A$2:$A$3000,$A28,'Données Suivi'!$C$2:$C$3000,"BCI")</f>
        <v/>
      </c>
      <c r="G28" s="595">
        <f>COUNTIFS('Données Suivi'!$A$2:$A$3000,$A28,'Données Suivi'!$C$2:$C$3000,"CA")</f>
        <v/>
      </c>
      <c r="H28" s="596">
        <f>COUNTIF('Données Suivi'!$A$2:$A$3000,$A28)</f>
        <v/>
      </c>
    </row>
    <row r="29">
      <c r="A29" s="594" t="inlineStr">
        <is>
          <t>MAGHRIBIA</t>
        </is>
      </c>
      <c r="B29" s="595">
        <f>COUNTIFS('Données Suivi'!$A$2:$A$3000,$A29,'Données Suivi'!$C$2:$C$3000,"CONTRAT")</f>
        <v/>
      </c>
      <c r="C29" s="595">
        <f>COUNTIFS('Données Suivi'!$A$2:$A$3000,$A29,'Données Suivi'!$C$2:$C$3000,"AOO-M")</f>
        <v/>
      </c>
      <c r="D29" s="595">
        <f>COUNTIFS('Données Suivi'!$A$2:$A$3000,$A29,'Données Suivi'!$C$2:$C$3000,"AOO-CT")</f>
        <v/>
      </c>
      <c r="E29" s="595">
        <f>COUNTIFS('Données Suivi'!$A$2:$A$3000,$A29,'Données Suivi'!$C$2:$C$3000,"BCL")</f>
        <v/>
      </c>
      <c r="F29" s="595">
        <f>COUNTIFS('Données Suivi'!$A$2:$A$3000,$A29,'Données Suivi'!$C$2:$C$3000,"BCI")</f>
        <v/>
      </c>
      <c r="G29" s="595">
        <f>COUNTIFS('Données Suivi'!$A$2:$A$3000,$A29,'Données Suivi'!$C$2:$C$3000,"CA")</f>
        <v/>
      </c>
      <c r="H29" s="596">
        <f>COUNTIF('Données Suivi'!$A$2:$A$3000,$A29)</f>
        <v/>
      </c>
    </row>
    <row r="30">
      <c r="A30" s="594" t="inlineStr">
        <is>
          <t>RSSI</t>
        </is>
      </c>
      <c r="B30" s="595">
        <f>COUNTIFS('Données Suivi'!$A$2:$A$3000,$A30,'Données Suivi'!$C$2:$C$3000,"CONTRAT")</f>
        <v/>
      </c>
      <c r="C30" s="595">
        <f>COUNTIFS('Données Suivi'!$A$2:$A$3000,$A30,'Données Suivi'!$C$2:$C$3000,"AOO-M")</f>
        <v/>
      </c>
      <c r="D30" s="595">
        <f>COUNTIFS('Données Suivi'!$A$2:$A$3000,$A30,'Données Suivi'!$C$2:$C$3000,"AOO-CT")</f>
        <v/>
      </c>
      <c r="E30" s="595">
        <f>COUNTIFS('Données Suivi'!$A$2:$A$3000,$A30,'Données Suivi'!$C$2:$C$3000,"BCL")</f>
        <v/>
      </c>
      <c r="F30" s="595">
        <f>COUNTIFS('Données Suivi'!$A$2:$A$3000,$A30,'Données Suivi'!$C$2:$C$3000,"BCI")</f>
        <v/>
      </c>
      <c r="G30" s="595">
        <f>COUNTIFS('Données Suivi'!$A$2:$A$3000,$A30,'Données Suivi'!$C$2:$C$3000,"CA")</f>
        <v/>
      </c>
      <c r="H30" s="596">
        <f>COUNTIF('Données Suivi'!$A$2:$A$3000,$A30)</f>
        <v/>
      </c>
    </row>
    <row r="31">
      <c r="A31" s="594" t="inlineStr">
        <is>
          <t>TAMAZIGHT</t>
        </is>
      </c>
      <c r="B31" s="595">
        <f>COUNTIFS('Données Suivi'!$A$2:$A$3000,$A31,'Données Suivi'!$C$2:$C$3000,"CONTRAT")</f>
        <v/>
      </c>
      <c r="C31" s="595">
        <f>COUNTIFS('Données Suivi'!$A$2:$A$3000,$A31,'Données Suivi'!$C$2:$C$3000,"AOO-M")</f>
        <v/>
      </c>
      <c r="D31" s="595">
        <f>COUNTIFS('Données Suivi'!$A$2:$A$3000,$A31,'Données Suivi'!$C$2:$C$3000,"AOO-CT")</f>
        <v/>
      </c>
      <c r="E31" s="595">
        <f>COUNTIFS('Données Suivi'!$A$2:$A$3000,$A31,'Données Suivi'!$C$2:$C$3000,"BCL")</f>
        <v/>
      </c>
      <c r="F31" s="595">
        <f>COUNTIFS('Données Suivi'!$A$2:$A$3000,$A31,'Données Suivi'!$C$2:$C$3000,"BCI")</f>
        <v/>
      </c>
      <c r="G31" s="595">
        <f>COUNTIFS('Données Suivi'!$A$2:$A$3000,$A31,'Données Suivi'!$C$2:$C$3000,"CA")</f>
        <v/>
      </c>
      <c r="H31" s="596">
        <f>COUNTIF('Données Suivi'!$A$2:$A$3000,$A31)</f>
        <v/>
      </c>
    </row>
    <row r="32">
      <c r="A32" s="594" t="inlineStr">
        <is>
          <t>TDF -SITES</t>
        </is>
      </c>
      <c r="B32" s="595">
        <f>COUNTIFS('Données Suivi'!$A$2:$A$3000,$A32,'Données Suivi'!$C$2:$C$3000,"CONTRAT")</f>
        <v/>
      </c>
      <c r="C32" s="595">
        <f>COUNTIFS('Données Suivi'!$A$2:$A$3000,$A32,'Données Suivi'!$C$2:$C$3000,"AOO-M")</f>
        <v/>
      </c>
      <c r="D32" s="595">
        <f>COUNTIFS('Données Suivi'!$A$2:$A$3000,$A32,'Données Suivi'!$C$2:$C$3000,"AOO-CT")</f>
        <v/>
      </c>
      <c r="E32" s="595">
        <f>COUNTIFS('Données Suivi'!$A$2:$A$3000,$A32,'Données Suivi'!$C$2:$C$3000,"BCL")</f>
        <v/>
      </c>
      <c r="F32" s="595">
        <f>COUNTIFS('Données Suivi'!$A$2:$A$3000,$A32,'Données Suivi'!$C$2:$C$3000,"BCI")</f>
        <v/>
      </c>
      <c r="G32" s="595">
        <f>COUNTIFS('Données Suivi'!$A$2:$A$3000,$A32,'Données Suivi'!$C$2:$C$3000,"CA")</f>
        <v/>
      </c>
      <c r="H32" s="596">
        <f>COUNTIF('Données Suivi'!$A$2:$A$3000,$A32)</f>
        <v/>
      </c>
    </row>
    <row r="33">
      <c r="A33" s="594" t="inlineStr">
        <is>
          <t>TDF-EXP&amp;MAIN</t>
        </is>
      </c>
      <c r="B33" s="595">
        <f>COUNTIFS('Données Suivi'!$A$2:$A$3000,$A33,'Données Suivi'!$C$2:$C$3000,"CONTRAT")</f>
        <v/>
      </c>
      <c r="C33" s="595">
        <f>COUNTIFS('Données Suivi'!$A$2:$A$3000,$A33,'Données Suivi'!$C$2:$C$3000,"AOO-M")</f>
        <v/>
      </c>
      <c r="D33" s="595">
        <f>COUNTIFS('Données Suivi'!$A$2:$A$3000,$A33,'Données Suivi'!$C$2:$C$3000,"AOO-CT")</f>
        <v/>
      </c>
      <c r="E33" s="595">
        <f>COUNTIFS('Données Suivi'!$A$2:$A$3000,$A33,'Données Suivi'!$C$2:$C$3000,"BCL")</f>
        <v/>
      </c>
      <c r="F33" s="595">
        <f>COUNTIFS('Données Suivi'!$A$2:$A$3000,$A33,'Données Suivi'!$C$2:$C$3000,"BCI")</f>
        <v/>
      </c>
      <c r="G33" s="595">
        <f>COUNTIFS('Données Suivi'!$A$2:$A$3000,$A33,'Données Suivi'!$C$2:$C$3000,"CA")</f>
        <v/>
      </c>
      <c r="H33" s="596">
        <f>COUNTIF('Données Suivi'!$A$2:$A$3000,$A33)</f>
        <v/>
      </c>
    </row>
    <row r="34">
      <c r="A34" s="594" t="inlineStr">
        <is>
          <t>TV LAAYOUNE</t>
        </is>
      </c>
      <c r="B34" s="595">
        <f>COUNTIFS('Données Suivi'!$A$2:$A$3000,$A34,'Données Suivi'!$C$2:$C$3000,"CONTRAT")</f>
        <v/>
      </c>
      <c r="C34" s="595">
        <f>COUNTIFS('Données Suivi'!$A$2:$A$3000,$A34,'Données Suivi'!$C$2:$C$3000,"AOO-M")</f>
        <v/>
      </c>
      <c r="D34" s="595">
        <f>COUNTIFS('Données Suivi'!$A$2:$A$3000,$A34,'Données Suivi'!$C$2:$C$3000,"AOO-CT")</f>
        <v/>
      </c>
      <c r="E34" s="595">
        <f>COUNTIFS('Données Suivi'!$A$2:$A$3000,$A34,'Données Suivi'!$C$2:$C$3000,"BCL")</f>
        <v/>
      </c>
      <c r="F34" s="595">
        <f>COUNTIFS('Données Suivi'!$A$2:$A$3000,$A34,'Données Suivi'!$C$2:$C$3000,"BCI")</f>
        <v/>
      </c>
      <c r="G34" s="595">
        <f>COUNTIFS('Données Suivi'!$A$2:$A$3000,$A34,'Données Suivi'!$C$2:$C$3000,"CA")</f>
        <v/>
      </c>
      <c r="H34" s="596">
        <f>COUNTIF('Données Suivi'!$A$2:$A$3000,$A34)</f>
        <v/>
      </c>
    </row>
    <row r="35">
      <c r="A35" s="597" t="inlineStr">
        <is>
          <t>TOTAL</t>
        </is>
      </c>
      <c r="B35" s="596">
        <f>SUM(B12:B34)</f>
        <v/>
      </c>
      <c r="C35" s="596">
        <f>SUM(C12:C34)</f>
        <v/>
      </c>
      <c r="D35" s="596">
        <f>SUM(D12:D34)</f>
        <v/>
      </c>
      <c r="E35" s="596">
        <f>SUM(E12:E34)</f>
        <v/>
      </c>
      <c r="F35" s="596">
        <f>SUM(F12:F34)</f>
        <v/>
      </c>
      <c r="G35" s="596">
        <f>SUM(G12:G34)</f>
        <v/>
      </c>
      <c r="H35" s="596">
        <f>SUM(H12:H34)</f>
        <v/>
      </c>
    </row>
    <row r="36"/>
    <row r="37" ht="20" customHeight="1" s="392">
      <c r="A37" s="592" t="inlineStr">
        <is>
          <t>Répartition des dossiers par Direction et par Statut d'Engagement — Nombre de dossiers</t>
        </is>
      </c>
    </row>
    <row r="38">
      <c r="A38" s="593" t="inlineStr">
        <is>
          <t>Direction</t>
        </is>
      </c>
      <c r="B38" s="593" t="inlineStr">
        <is>
          <t>NON ENGAGE</t>
        </is>
      </c>
      <c r="C38" s="593" t="inlineStr">
        <is>
          <t>EN COURS DE PREENGAGEMENT</t>
        </is>
      </c>
      <c r="D38" s="593" t="inlineStr">
        <is>
          <t>PREENGAGE</t>
        </is>
      </c>
      <c r="E38" s="593" t="inlineStr">
        <is>
          <t>EN COURS D'ENGAGEMENT</t>
        </is>
      </c>
      <c r="F38" s="593" t="inlineStr">
        <is>
          <t>ENGAGE</t>
        </is>
      </c>
      <c r="G38" s="593" t="inlineStr">
        <is>
          <t>TOTAL</t>
        </is>
      </c>
    </row>
    <row r="39">
      <c r="A39" s="594" t="inlineStr">
        <is>
          <t>ARRIYADIA</t>
        </is>
      </c>
      <c r="B39" s="595">
        <f>COUNTIFS('Données Suivi'!$A$2:$A$3000,$A39,'Données Suivi'!$H$2:$H$3000,"NON ENGAGE")</f>
        <v/>
      </c>
      <c r="C39" s="595">
        <f>COUNTIFS('Données Suivi'!$A$2:$A$3000,$A39,'Données Suivi'!$H$2:$H$3000,"EN COURS DE PREENGAGEMENT")</f>
        <v/>
      </c>
      <c r="D39" s="595">
        <f>COUNTIFS('Données Suivi'!$A$2:$A$3000,$A39,'Données Suivi'!$H$2:$H$3000,"PREENGAGE")</f>
        <v/>
      </c>
      <c r="E39" s="595">
        <f>COUNTIFS('Données Suivi'!$A$2:$A$3000,$A39,'Données Suivi'!$H$2:$H$3000,"EN COURS D'ENGAGEMENT")</f>
        <v/>
      </c>
      <c r="F39" s="595">
        <f>COUNTIFS('Données Suivi'!$A$2:$A$3000,$A39,'Données Suivi'!$H$2:$H$3000,"ENGAGE")</f>
        <v/>
      </c>
      <c r="G39" s="596">
        <f>COUNTIF('Données Suivi'!$A$2:$A$3000,$A39)</f>
        <v/>
      </c>
    </row>
    <row r="40">
      <c r="A40" s="594" t="inlineStr">
        <is>
          <t>ASSADISSA</t>
        </is>
      </c>
      <c r="B40" s="595">
        <f>COUNTIFS('Données Suivi'!$A$2:$A$3000,$A40,'Données Suivi'!$H$2:$H$3000,"NON ENGAGE")</f>
        <v/>
      </c>
      <c r="C40" s="595">
        <f>COUNTIFS('Données Suivi'!$A$2:$A$3000,$A40,'Données Suivi'!$H$2:$H$3000,"EN COURS DE PREENGAGEMENT")</f>
        <v/>
      </c>
      <c r="D40" s="595">
        <f>COUNTIFS('Données Suivi'!$A$2:$A$3000,$A40,'Données Suivi'!$H$2:$H$3000,"PREENGAGE")</f>
        <v/>
      </c>
      <c r="E40" s="595">
        <f>COUNTIFS('Données Suivi'!$A$2:$A$3000,$A40,'Données Suivi'!$H$2:$H$3000,"EN COURS D'ENGAGEMENT")</f>
        <v/>
      </c>
      <c r="F40" s="595">
        <f>COUNTIFS('Données Suivi'!$A$2:$A$3000,$A40,'Données Suivi'!$H$2:$H$3000,"ENGAGE")</f>
        <v/>
      </c>
      <c r="G40" s="596">
        <f>COUNTIF('Données Suivi'!$A$2:$A$3000,$A40)</f>
        <v/>
      </c>
    </row>
    <row r="41">
      <c r="A41" s="594" t="inlineStr">
        <is>
          <t>DA</t>
        </is>
      </c>
      <c r="B41" s="595">
        <f>COUNTIFS('Données Suivi'!$A$2:$A$3000,$A41,'Données Suivi'!$H$2:$H$3000,"NON ENGAGE")</f>
        <v/>
      </c>
      <c r="C41" s="595">
        <f>COUNTIFS('Données Suivi'!$A$2:$A$3000,$A41,'Données Suivi'!$H$2:$H$3000,"EN COURS DE PREENGAGEMENT")</f>
        <v/>
      </c>
      <c r="D41" s="595">
        <f>COUNTIFS('Données Suivi'!$A$2:$A$3000,$A41,'Données Suivi'!$H$2:$H$3000,"PREENGAGE")</f>
        <v/>
      </c>
      <c r="E41" s="595">
        <f>COUNTIFS('Données Suivi'!$A$2:$A$3000,$A41,'Données Suivi'!$H$2:$H$3000,"EN COURS D'ENGAGEMENT")</f>
        <v/>
      </c>
      <c r="F41" s="595">
        <f>COUNTIFS('Données Suivi'!$A$2:$A$3000,$A41,'Données Suivi'!$H$2:$H$3000,"ENGAGE")</f>
        <v/>
      </c>
      <c r="G41" s="596">
        <f>COUNTIF('Données Suivi'!$A$2:$A$3000,$A41)</f>
        <v/>
      </c>
    </row>
    <row r="42">
      <c r="A42" s="594" t="inlineStr">
        <is>
          <t>DACG</t>
        </is>
      </c>
      <c r="B42" s="595">
        <f>COUNTIFS('Données Suivi'!$A$2:$A$3000,$A42,'Données Suivi'!$H$2:$H$3000,"NON ENGAGE")</f>
        <v/>
      </c>
      <c r="C42" s="595">
        <f>COUNTIFS('Données Suivi'!$A$2:$A$3000,$A42,'Données Suivi'!$H$2:$H$3000,"EN COURS DE PREENGAGEMENT")</f>
        <v/>
      </c>
      <c r="D42" s="595">
        <f>COUNTIFS('Données Suivi'!$A$2:$A$3000,$A42,'Données Suivi'!$H$2:$H$3000,"PREENGAGE")</f>
        <v/>
      </c>
      <c r="E42" s="595">
        <f>COUNTIFS('Données Suivi'!$A$2:$A$3000,$A42,'Données Suivi'!$H$2:$H$3000,"EN COURS D'ENGAGEMENT")</f>
        <v/>
      </c>
      <c r="F42" s="595">
        <f>COUNTIFS('Données Suivi'!$A$2:$A$3000,$A42,'Données Suivi'!$H$2:$H$3000,"ENGAGE")</f>
        <v/>
      </c>
      <c r="G42" s="596">
        <f>COUNTIF('Données Suivi'!$A$2:$A$3000,$A42)</f>
        <v/>
      </c>
    </row>
    <row r="43">
      <c r="A43" s="594" t="inlineStr">
        <is>
          <t>DAR</t>
        </is>
      </c>
      <c r="B43" s="595">
        <f>COUNTIFS('Données Suivi'!$A$2:$A$3000,$A43,'Données Suivi'!$H$2:$H$3000,"NON ENGAGE")</f>
        <v/>
      </c>
      <c r="C43" s="595">
        <f>COUNTIFS('Données Suivi'!$A$2:$A$3000,$A43,'Données Suivi'!$H$2:$H$3000,"EN COURS DE PREENGAGEMENT")</f>
        <v/>
      </c>
      <c r="D43" s="595">
        <f>COUNTIFS('Données Suivi'!$A$2:$A$3000,$A43,'Données Suivi'!$H$2:$H$3000,"PREENGAGE")</f>
        <v/>
      </c>
      <c r="E43" s="595">
        <f>COUNTIFS('Données Suivi'!$A$2:$A$3000,$A43,'Données Suivi'!$H$2:$H$3000,"EN COURS D'ENGAGEMENT")</f>
        <v/>
      </c>
      <c r="F43" s="595">
        <f>COUNTIFS('Données Suivi'!$A$2:$A$3000,$A43,'Données Suivi'!$H$2:$H$3000,"ENGAGE")</f>
        <v/>
      </c>
      <c r="G43" s="596">
        <f>COUNTIF('Données Suivi'!$A$2:$A$3000,$A43)</f>
        <v/>
      </c>
    </row>
    <row r="44">
      <c r="A44" s="594" t="inlineStr">
        <is>
          <t>DCPA</t>
        </is>
      </c>
      <c r="B44" s="595">
        <f>COUNTIFS('Données Suivi'!$A$2:$A$3000,$A44,'Données Suivi'!$H$2:$H$3000,"NON ENGAGE")</f>
        <v/>
      </c>
      <c r="C44" s="595">
        <f>COUNTIFS('Données Suivi'!$A$2:$A$3000,$A44,'Données Suivi'!$H$2:$H$3000,"EN COURS DE PREENGAGEMENT")</f>
        <v/>
      </c>
      <c r="D44" s="595">
        <f>COUNTIFS('Données Suivi'!$A$2:$A$3000,$A44,'Données Suivi'!$H$2:$H$3000,"PREENGAGE")</f>
        <v/>
      </c>
      <c r="E44" s="595">
        <f>COUNTIFS('Données Suivi'!$A$2:$A$3000,$A44,'Données Suivi'!$H$2:$H$3000,"EN COURS D'ENGAGEMENT")</f>
        <v/>
      </c>
      <c r="F44" s="595">
        <f>COUNTIFS('Données Suivi'!$A$2:$A$3000,$A44,'Données Suivi'!$H$2:$H$3000,"ENGAGE")</f>
        <v/>
      </c>
      <c r="G44" s="596">
        <f>COUNTIF('Données Suivi'!$A$2:$A$3000,$A44)</f>
        <v/>
      </c>
    </row>
    <row r="45">
      <c r="A45" s="594" t="inlineStr">
        <is>
          <t>DCRI</t>
        </is>
      </c>
      <c r="B45" s="595">
        <f>COUNTIFS('Données Suivi'!$A$2:$A$3000,$A45,'Données Suivi'!$H$2:$H$3000,"NON ENGAGE")</f>
        <v/>
      </c>
      <c r="C45" s="595">
        <f>COUNTIFS('Données Suivi'!$A$2:$A$3000,$A45,'Données Suivi'!$H$2:$H$3000,"EN COURS DE PREENGAGEMENT")</f>
        <v/>
      </c>
      <c r="D45" s="595">
        <f>COUNTIFS('Données Suivi'!$A$2:$A$3000,$A45,'Données Suivi'!$H$2:$H$3000,"PREENGAGE")</f>
        <v/>
      </c>
      <c r="E45" s="595">
        <f>COUNTIFS('Données Suivi'!$A$2:$A$3000,$A45,'Données Suivi'!$H$2:$H$3000,"EN COURS D'ENGAGEMENT")</f>
        <v/>
      </c>
      <c r="F45" s="595">
        <f>COUNTIFS('Données Suivi'!$A$2:$A$3000,$A45,'Données Suivi'!$H$2:$H$3000,"ENGAGE")</f>
        <v/>
      </c>
      <c r="G45" s="596">
        <f>COUNTIF('Données Suivi'!$A$2:$A$3000,$A45)</f>
        <v/>
      </c>
    </row>
    <row r="46">
      <c r="A46" s="594" t="inlineStr">
        <is>
          <t>DCT</t>
        </is>
      </c>
      <c r="B46" s="595">
        <f>COUNTIFS('Données Suivi'!$A$2:$A$3000,$A46,'Données Suivi'!$H$2:$H$3000,"NON ENGAGE")</f>
        <v/>
      </c>
      <c r="C46" s="595">
        <f>COUNTIFS('Données Suivi'!$A$2:$A$3000,$A46,'Données Suivi'!$H$2:$H$3000,"EN COURS DE PREENGAGEMENT")</f>
        <v/>
      </c>
      <c r="D46" s="595">
        <f>COUNTIFS('Données Suivi'!$A$2:$A$3000,$A46,'Données Suivi'!$H$2:$H$3000,"PREENGAGE")</f>
        <v/>
      </c>
      <c r="E46" s="595">
        <f>COUNTIFS('Données Suivi'!$A$2:$A$3000,$A46,'Données Suivi'!$H$2:$H$3000,"EN COURS D'ENGAGEMENT")</f>
        <v/>
      </c>
      <c r="F46" s="595">
        <f>COUNTIFS('Données Suivi'!$A$2:$A$3000,$A46,'Données Suivi'!$H$2:$H$3000,"ENGAGE")</f>
        <v/>
      </c>
      <c r="G46" s="596">
        <f>COUNTIF('Données Suivi'!$A$2:$A$3000,$A46)</f>
        <v/>
      </c>
    </row>
    <row r="47">
      <c r="A47" s="594" t="inlineStr">
        <is>
          <t>DG</t>
        </is>
      </c>
      <c r="B47" s="595">
        <f>COUNTIFS('Données Suivi'!$A$2:$A$3000,$A47,'Données Suivi'!$H$2:$H$3000,"NON ENGAGE")</f>
        <v/>
      </c>
      <c r="C47" s="595">
        <f>COUNTIFS('Données Suivi'!$A$2:$A$3000,$A47,'Données Suivi'!$H$2:$H$3000,"EN COURS DE PREENGAGEMENT")</f>
        <v/>
      </c>
      <c r="D47" s="595">
        <f>COUNTIFS('Données Suivi'!$A$2:$A$3000,$A47,'Données Suivi'!$H$2:$H$3000,"PREENGAGE")</f>
        <v/>
      </c>
      <c r="E47" s="595">
        <f>COUNTIFS('Données Suivi'!$A$2:$A$3000,$A47,'Données Suivi'!$H$2:$H$3000,"EN COURS D'ENGAGEMENT")</f>
        <v/>
      </c>
      <c r="F47" s="595">
        <f>COUNTIFS('Données Suivi'!$A$2:$A$3000,$A47,'Données Suivi'!$H$2:$H$3000,"ENGAGE")</f>
        <v/>
      </c>
      <c r="G47" s="596">
        <f>COUNTIF('Données Suivi'!$A$2:$A$3000,$A47)</f>
        <v/>
      </c>
    </row>
    <row r="48">
      <c r="A48" s="594" t="inlineStr">
        <is>
          <t>DINFORADIO</t>
        </is>
      </c>
      <c r="B48" s="595">
        <f>COUNTIFS('Données Suivi'!$A$2:$A$3000,$A48,'Données Suivi'!$H$2:$H$3000,"NON ENGAGE")</f>
        <v/>
      </c>
      <c r="C48" s="595">
        <f>COUNTIFS('Données Suivi'!$A$2:$A$3000,$A48,'Données Suivi'!$H$2:$H$3000,"EN COURS DE PREENGAGEMENT")</f>
        <v/>
      </c>
      <c r="D48" s="595">
        <f>COUNTIFS('Données Suivi'!$A$2:$A$3000,$A48,'Données Suivi'!$H$2:$H$3000,"PREENGAGE")</f>
        <v/>
      </c>
      <c r="E48" s="595">
        <f>COUNTIFS('Données Suivi'!$A$2:$A$3000,$A48,'Données Suivi'!$H$2:$H$3000,"EN COURS D'ENGAGEMENT")</f>
        <v/>
      </c>
      <c r="F48" s="595">
        <f>COUNTIFS('Données Suivi'!$A$2:$A$3000,$A48,'Données Suivi'!$H$2:$H$3000,"ENGAGE")</f>
        <v/>
      </c>
      <c r="G48" s="596">
        <f>COUNTIF('Données Suivi'!$A$2:$A$3000,$A48)</f>
        <v/>
      </c>
    </row>
    <row r="49">
      <c r="A49" s="594" t="inlineStr">
        <is>
          <t>DINFOTV</t>
        </is>
      </c>
      <c r="B49" s="595">
        <f>COUNTIFS('Données Suivi'!$A$2:$A$3000,$A49,'Données Suivi'!$H$2:$H$3000,"NON ENGAGE")</f>
        <v/>
      </c>
      <c r="C49" s="595">
        <f>COUNTIFS('Données Suivi'!$A$2:$A$3000,$A49,'Données Suivi'!$H$2:$H$3000,"EN COURS DE PREENGAGEMENT")</f>
        <v/>
      </c>
      <c r="D49" s="595">
        <f>COUNTIFS('Données Suivi'!$A$2:$A$3000,$A49,'Données Suivi'!$H$2:$H$3000,"PREENGAGE")</f>
        <v/>
      </c>
      <c r="E49" s="595">
        <f>COUNTIFS('Données Suivi'!$A$2:$A$3000,$A49,'Données Suivi'!$H$2:$H$3000,"EN COURS D'ENGAGEMENT")</f>
        <v/>
      </c>
      <c r="F49" s="595">
        <f>COUNTIFS('Données Suivi'!$A$2:$A$3000,$A49,'Données Suivi'!$H$2:$H$3000,"ENGAGE")</f>
        <v/>
      </c>
      <c r="G49" s="596">
        <f>COUNTIF('Données Suivi'!$A$2:$A$3000,$A49)</f>
        <v/>
      </c>
    </row>
    <row r="50">
      <c r="A50" s="594" t="inlineStr">
        <is>
          <t>DJURIDIQUE</t>
        </is>
      </c>
      <c r="B50" s="595">
        <f>COUNTIFS('Données Suivi'!$A$2:$A$3000,$A50,'Données Suivi'!$H$2:$H$3000,"NON ENGAGE")</f>
        <v/>
      </c>
      <c r="C50" s="595">
        <f>COUNTIFS('Données Suivi'!$A$2:$A$3000,$A50,'Données Suivi'!$H$2:$H$3000,"EN COURS DE PREENGAGEMENT")</f>
        <v/>
      </c>
      <c r="D50" s="595">
        <f>COUNTIFS('Données Suivi'!$A$2:$A$3000,$A50,'Données Suivi'!$H$2:$H$3000,"PREENGAGE")</f>
        <v/>
      </c>
      <c r="E50" s="595">
        <f>COUNTIFS('Données Suivi'!$A$2:$A$3000,$A50,'Données Suivi'!$H$2:$H$3000,"EN COURS D'ENGAGEMENT")</f>
        <v/>
      </c>
      <c r="F50" s="595">
        <f>COUNTIFS('Données Suivi'!$A$2:$A$3000,$A50,'Données Suivi'!$H$2:$H$3000,"ENGAGE")</f>
        <v/>
      </c>
      <c r="G50" s="596">
        <f>COUNTIF('Données Suivi'!$A$2:$A$3000,$A50)</f>
        <v/>
      </c>
    </row>
    <row r="51">
      <c r="A51" s="594" t="inlineStr">
        <is>
          <t>DMPTV</t>
        </is>
      </c>
      <c r="B51" s="595">
        <f>COUNTIFS('Données Suivi'!$A$2:$A$3000,$A51,'Données Suivi'!$H$2:$H$3000,"NON ENGAGE")</f>
        <v/>
      </c>
      <c r="C51" s="595">
        <f>COUNTIFS('Données Suivi'!$A$2:$A$3000,$A51,'Données Suivi'!$H$2:$H$3000,"EN COURS DE PREENGAGEMENT")</f>
        <v/>
      </c>
      <c r="D51" s="595">
        <f>COUNTIFS('Données Suivi'!$A$2:$A$3000,$A51,'Données Suivi'!$H$2:$H$3000,"PREENGAGE")</f>
        <v/>
      </c>
      <c r="E51" s="595">
        <f>COUNTIFS('Données Suivi'!$A$2:$A$3000,$A51,'Données Suivi'!$H$2:$H$3000,"EN COURS D'ENGAGEMENT")</f>
        <v/>
      </c>
      <c r="F51" s="595">
        <f>COUNTIFS('Données Suivi'!$A$2:$A$3000,$A51,'Données Suivi'!$H$2:$H$3000,"ENGAGE")</f>
        <v/>
      </c>
      <c r="G51" s="596">
        <f>COUNTIF('Données Suivi'!$A$2:$A$3000,$A51)</f>
        <v/>
      </c>
    </row>
    <row r="52">
      <c r="A52" s="594" t="inlineStr">
        <is>
          <t>DPMG</t>
        </is>
      </c>
      <c r="B52" s="595">
        <f>COUNTIFS('Données Suivi'!$A$2:$A$3000,$A52,'Données Suivi'!$H$2:$H$3000,"NON ENGAGE")</f>
        <v/>
      </c>
      <c r="C52" s="595">
        <f>COUNTIFS('Données Suivi'!$A$2:$A$3000,$A52,'Données Suivi'!$H$2:$H$3000,"EN COURS DE PREENGAGEMENT")</f>
        <v/>
      </c>
      <c r="D52" s="595">
        <f>COUNTIFS('Données Suivi'!$A$2:$A$3000,$A52,'Données Suivi'!$H$2:$H$3000,"PREENGAGE")</f>
        <v/>
      </c>
      <c r="E52" s="595">
        <f>COUNTIFS('Données Suivi'!$A$2:$A$3000,$A52,'Données Suivi'!$H$2:$H$3000,"EN COURS D'ENGAGEMENT")</f>
        <v/>
      </c>
      <c r="F52" s="595">
        <f>COUNTIFS('Données Suivi'!$A$2:$A$3000,$A52,'Données Suivi'!$H$2:$H$3000,"ENGAGE")</f>
        <v/>
      </c>
      <c r="G52" s="596">
        <f>COUNTIF('Données Suivi'!$A$2:$A$3000,$A52)</f>
        <v/>
      </c>
    </row>
    <row r="53">
      <c r="A53" s="594" t="inlineStr">
        <is>
          <t>DPPR</t>
        </is>
      </c>
      <c r="B53" s="595">
        <f>COUNTIFS('Données Suivi'!$A$2:$A$3000,$A53,'Données Suivi'!$H$2:$H$3000,"NON ENGAGE")</f>
        <v/>
      </c>
      <c r="C53" s="595">
        <f>COUNTIFS('Données Suivi'!$A$2:$A$3000,$A53,'Données Suivi'!$H$2:$H$3000,"EN COURS DE PREENGAGEMENT")</f>
        <v/>
      </c>
      <c r="D53" s="595">
        <f>COUNTIFS('Données Suivi'!$A$2:$A$3000,$A53,'Données Suivi'!$H$2:$H$3000,"PREENGAGE")</f>
        <v/>
      </c>
      <c r="E53" s="595">
        <f>COUNTIFS('Données Suivi'!$A$2:$A$3000,$A53,'Données Suivi'!$H$2:$H$3000,"EN COURS D'ENGAGEMENT")</f>
        <v/>
      </c>
      <c r="F53" s="595">
        <f>COUNTIFS('Données Suivi'!$A$2:$A$3000,$A53,'Données Suivi'!$H$2:$H$3000,"ENGAGE")</f>
        <v/>
      </c>
      <c r="G53" s="596">
        <f>COUNTIF('Données Suivi'!$A$2:$A$3000,$A53)</f>
        <v/>
      </c>
    </row>
    <row r="54">
      <c r="A54" s="594" t="inlineStr">
        <is>
          <t>DRH</t>
        </is>
      </c>
      <c r="B54" s="595">
        <f>COUNTIFS('Données Suivi'!$A$2:$A$3000,$A54,'Données Suivi'!$H$2:$H$3000,"NON ENGAGE")</f>
        <v/>
      </c>
      <c r="C54" s="595">
        <f>COUNTIFS('Données Suivi'!$A$2:$A$3000,$A54,'Données Suivi'!$H$2:$H$3000,"EN COURS DE PREENGAGEMENT")</f>
        <v/>
      </c>
      <c r="D54" s="595">
        <f>COUNTIFS('Données Suivi'!$A$2:$A$3000,$A54,'Données Suivi'!$H$2:$H$3000,"PREENGAGE")</f>
        <v/>
      </c>
      <c r="E54" s="595">
        <f>COUNTIFS('Données Suivi'!$A$2:$A$3000,$A54,'Données Suivi'!$H$2:$H$3000,"EN COURS D'ENGAGEMENT")</f>
        <v/>
      </c>
      <c r="F54" s="595">
        <f>COUNTIFS('Données Suivi'!$A$2:$A$3000,$A54,'Données Suivi'!$H$2:$H$3000,"ENGAGE")</f>
        <v/>
      </c>
      <c r="G54" s="596">
        <f>COUNTIF('Données Suivi'!$A$2:$A$3000,$A54)</f>
        <v/>
      </c>
    </row>
    <row r="55">
      <c r="A55" s="594" t="inlineStr">
        <is>
          <t>DRPSD</t>
        </is>
      </c>
      <c r="B55" s="595">
        <f>COUNTIFS('Données Suivi'!$A$2:$A$3000,$A55,'Données Suivi'!$H$2:$H$3000,"NON ENGAGE")</f>
        <v/>
      </c>
      <c r="C55" s="595">
        <f>COUNTIFS('Données Suivi'!$A$2:$A$3000,$A55,'Données Suivi'!$H$2:$H$3000,"EN COURS DE PREENGAGEMENT")</f>
        <v/>
      </c>
      <c r="D55" s="595">
        <f>COUNTIFS('Données Suivi'!$A$2:$A$3000,$A55,'Données Suivi'!$H$2:$H$3000,"PREENGAGE")</f>
        <v/>
      </c>
      <c r="E55" s="595">
        <f>COUNTIFS('Données Suivi'!$A$2:$A$3000,$A55,'Données Suivi'!$H$2:$H$3000,"EN COURS D'ENGAGEMENT")</f>
        <v/>
      </c>
      <c r="F55" s="595">
        <f>COUNTIFS('Données Suivi'!$A$2:$A$3000,$A55,'Données Suivi'!$H$2:$H$3000,"ENGAGE")</f>
        <v/>
      </c>
      <c r="G55" s="596">
        <f>COUNTIF('Données Suivi'!$A$2:$A$3000,$A55)</f>
        <v/>
      </c>
    </row>
    <row r="56">
      <c r="A56" s="594" t="inlineStr">
        <is>
          <t>MAGHRIBIA</t>
        </is>
      </c>
      <c r="B56" s="595">
        <f>COUNTIFS('Données Suivi'!$A$2:$A$3000,$A56,'Données Suivi'!$H$2:$H$3000,"NON ENGAGE")</f>
        <v/>
      </c>
      <c r="C56" s="595">
        <f>COUNTIFS('Données Suivi'!$A$2:$A$3000,$A56,'Données Suivi'!$H$2:$H$3000,"EN COURS DE PREENGAGEMENT")</f>
        <v/>
      </c>
      <c r="D56" s="595">
        <f>COUNTIFS('Données Suivi'!$A$2:$A$3000,$A56,'Données Suivi'!$H$2:$H$3000,"PREENGAGE")</f>
        <v/>
      </c>
      <c r="E56" s="595">
        <f>COUNTIFS('Données Suivi'!$A$2:$A$3000,$A56,'Données Suivi'!$H$2:$H$3000,"EN COURS D'ENGAGEMENT")</f>
        <v/>
      </c>
      <c r="F56" s="595">
        <f>COUNTIFS('Données Suivi'!$A$2:$A$3000,$A56,'Données Suivi'!$H$2:$H$3000,"ENGAGE")</f>
        <v/>
      </c>
      <c r="G56" s="596">
        <f>COUNTIF('Données Suivi'!$A$2:$A$3000,$A56)</f>
        <v/>
      </c>
    </row>
    <row r="57">
      <c r="A57" s="594" t="inlineStr">
        <is>
          <t>RSSI</t>
        </is>
      </c>
      <c r="B57" s="595">
        <f>COUNTIFS('Données Suivi'!$A$2:$A$3000,$A57,'Données Suivi'!$H$2:$H$3000,"NON ENGAGE")</f>
        <v/>
      </c>
      <c r="C57" s="595">
        <f>COUNTIFS('Données Suivi'!$A$2:$A$3000,$A57,'Données Suivi'!$H$2:$H$3000,"EN COURS DE PREENGAGEMENT")</f>
        <v/>
      </c>
      <c r="D57" s="595">
        <f>COUNTIFS('Données Suivi'!$A$2:$A$3000,$A57,'Données Suivi'!$H$2:$H$3000,"PREENGAGE")</f>
        <v/>
      </c>
      <c r="E57" s="595">
        <f>COUNTIFS('Données Suivi'!$A$2:$A$3000,$A57,'Données Suivi'!$H$2:$H$3000,"EN COURS D'ENGAGEMENT")</f>
        <v/>
      </c>
      <c r="F57" s="595">
        <f>COUNTIFS('Données Suivi'!$A$2:$A$3000,$A57,'Données Suivi'!$H$2:$H$3000,"ENGAGE")</f>
        <v/>
      </c>
      <c r="G57" s="596">
        <f>COUNTIF('Données Suivi'!$A$2:$A$3000,$A57)</f>
        <v/>
      </c>
    </row>
    <row r="58">
      <c r="A58" s="594" t="inlineStr">
        <is>
          <t>TAMAZIGHT</t>
        </is>
      </c>
      <c r="B58" s="595">
        <f>COUNTIFS('Données Suivi'!$A$2:$A$3000,$A58,'Données Suivi'!$H$2:$H$3000,"NON ENGAGE")</f>
        <v/>
      </c>
      <c r="C58" s="595">
        <f>COUNTIFS('Données Suivi'!$A$2:$A$3000,$A58,'Données Suivi'!$H$2:$H$3000,"EN COURS DE PREENGAGEMENT")</f>
        <v/>
      </c>
      <c r="D58" s="595">
        <f>COUNTIFS('Données Suivi'!$A$2:$A$3000,$A58,'Données Suivi'!$H$2:$H$3000,"PREENGAGE")</f>
        <v/>
      </c>
      <c r="E58" s="595">
        <f>COUNTIFS('Données Suivi'!$A$2:$A$3000,$A58,'Données Suivi'!$H$2:$H$3000,"EN COURS D'ENGAGEMENT")</f>
        <v/>
      </c>
      <c r="F58" s="595">
        <f>COUNTIFS('Données Suivi'!$A$2:$A$3000,$A58,'Données Suivi'!$H$2:$H$3000,"ENGAGE")</f>
        <v/>
      </c>
      <c r="G58" s="596">
        <f>COUNTIF('Données Suivi'!$A$2:$A$3000,$A58)</f>
        <v/>
      </c>
    </row>
    <row r="59">
      <c r="A59" s="594" t="inlineStr">
        <is>
          <t>TDF -SITES</t>
        </is>
      </c>
      <c r="B59" s="595">
        <f>COUNTIFS('Données Suivi'!$A$2:$A$3000,$A59,'Données Suivi'!$H$2:$H$3000,"NON ENGAGE")</f>
        <v/>
      </c>
      <c r="C59" s="595">
        <f>COUNTIFS('Données Suivi'!$A$2:$A$3000,$A59,'Données Suivi'!$H$2:$H$3000,"EN COURS DE PREENGAGEMENT")</f>
        <v/>
      </c>
      <c r="D59" s="595">
        <f>COUNTIFS('Données Suivi'!$A$2:$A$3000,$A59,'Données Suivi'!$H$2:$H$3000,"PREENGAGE")</f>
        <v/>
      </c>
      <c r="E59" s="595">
        <f>COUNTIFS('Données Suivi'!$A$2:$A$3000,$A59,'Données Suivi'!$H$2:$H$3000,"EN COURS D'ENGAGEMENT")</f>
        <v/>
      </c>
      <c r="F59" s="595">
        <f>COUNTIFS('Données Suivi'!$A$2:$A$3000,$A59,'Données Suivi'!$H$2:$H$3000,"ENGAGE")</f>
        <v/>
      </c>
      <c r="G59" s="596">
        <f>COUNTIF('Données Suivi'!$A$2:$A$3000,$A59)</f>
        <v/>
      </c>
    </row>
    <row r="60">
      <c r="A60" s="594" t="inlineStr">
        <is>
          <t>TDF-EXP&amp;MAIN</t>
        </is>
      </c>
      <c r="B60" s="595">
        <f>COUNTIFS('Données Suivi'!$A$2:$A$3000,$A60,'Données Suivi'!$H$2:$H$3000,"NON ENGAGE")</f>
        <v/>
      </c>
      <c r="C60" s="595">
        <f>COUNTIFS('Données Suivi'!$A$2:$A$3000,$A60,'Données Suivi'!$H$2:$H$3000,"EN COURS DE PREENGAGEMENT")</f>
        <v/>
      </c>
      <c r="D60" s="595">
        <f>COUNTIFS('Données Suivi'!$A$2:$A$3000,$A60,'Données Suivi'!$H$2:$H$3000,"PREENGAGE")</f>
        <v/>
      </c>
      <c r="E60" s="595">
        <f>COUNTIFS('Données Suivi'!$A$2:$A$3000,$A60,'Données Suivi'!$H$2:$H$3000,"EN COURS D'ENGAGEMENT")</f>
        <v/>
      </c>
      <c r="F60" s="595">
        <f>COUNTIFS('Données Suivi'!$A$2:$A$3000,$A60,'Données Suivi'!$H$2:$H$3000,"ENGAGE")</f>
        <v/>
      </c>
      <c r="G60" s="596">
        <f>COUNTIF('Données Suivi'!$A$2:$A$3000,$A60)</f>
        <v/>
      </c>
    </row>
    <row r="61">
      <c r="A61" s="594" t="inlineStr">
        <is>
          <t>TV LAAYOUNE</t>
        </is>
      </c>
      <c r="B61" s="595">
        <f>COUNTIFS('Données Suivi'!$A$2:$A$3000,$A61,'Données Suivi'!$H$2:$H$3000,"NON ENGAGE")</f>
        <v/>
      </c>
      <c r="C61" s="595">
        <f>COUNTIFS('Données Suivi'!$A$2:$A$3000,$A61,'Données Suivi'!$H$2:$H$3000,"EN COURS DE PREENGAGEMENT")</f>
        <v/>
      </c>
      <c r="D61" s="595">
        <f>COUNTIFS('Données Suivi'!$A$2:$A$3000,$A61,'Données Suivi'!$H$2:$H$3000,"PREENGAGE")</f>
        <v/>
      </c>
      <c r="E61" s="595">
        <f>COUNTIFS('Données Suivi'!$A$2:$A$3000,$A61,'Données Suivi'!$H$2:$H$3000,"EN COURS D'ENGAGEMENT")</f>
        <v/>
      </c>
      <c r="F61" s="595">
        <f>COUNTIFS('Données Suivi'!$A$2:$A$3000,$A61,'Données Suivi'!$H$2:$H$3000,"ENGAGE")</f>
        <v/>
      </c>
      <c r="G61" s="596">
        <f>COUNTIF('Données Suivi'!$A$2:$A$3000,$A61)</f>
        <v/>
      </c>
    </row>
    <row r="62">
      <c r="A62" s="597" t="inlineStr">
        <is>
          <t>TOTAL</t>
        </is>
      </c>
      <c r="B62" s="596">
        <f>SUM(B39:B61)</f>
        <v/>
      </c>
      <c r="C62" s="596">
        <f>SUM(C39:C61)</f>
        <v/>
      </c>
      <c r="D62" s="596">
        <f>SUM(D39:D61)</f>
        <v/>
      </c>
      <c r="E62" s="596">
        <f>SUM(E39:E61)</f>
        <v/>
      </c>
      <c r="F62" s="596">
        <f>SUM(F39:F61)</f>
        <v/>
      </c>
      <c r="G62" s="596">
        <f>SUM(G39:G61)</f>
        <v/>
      </c>
    </row>
    <row r="63"/>
    <row r="64" ht="20" customHeight="1" s="392">
      <c r="A64" s="592" t="inlineStr">
        <is>
          <t>Taux d'engagement par Direction (montant)</t>
        </is>
      </c>
    </row>
    <row r="65">
      <c r="A65" s="593" t="inlineStr">
        <is>
          <t>Direction</t>
        </is>
      </c>
      <c r="B65" s="593" t="inlineStr">
        <is>
          <t>Montant total (MAD)</t>
        </is>
      </c>
      <c r="C65" s="593" t="inlineStr">
        <is>
          <t>Montant engagé (MAD)</t>
        </is>
      </c>
      <c r="D65" s="593" t="inlineStr">
        <is>
          <t>Taux d'engagement</t>
        </is>
      </c>
    </row>
    <row r="66">
      <c r="A66" s="594" t="inlineStr">
        <is>
          <t>ARRIYADIA</t>
        </is>
      </c>
      <c r="B66" s="598">
        <f>SUMIF('Données Suivi'!$A$2:$A$3000,$A66,'Données Suivi'!$J$2:$J$3000)</f>
        <v/>
      </c>
      <c r="C66" s="598">
        <f>SUMIFS('Données Suivi'!$J$2:$J$3000,'Données Suivi'!$A$2:$A$3000,$A66,'Données Suivi'!$M$2:$M$3000,"Engagé")</f>
        <v/>
      </c>
      <c r="D66" s="599">
        <f>IF(B66=0,"",C66/B66)</f>
        <v/>
      </c>
    </row>
    <row r="67">
      <c r="A67" s="594" t="inlineStr">
        <is>
          <t>ASSADISSA</t>
        </is>
      </c>
      <c r="B67" s="598">
        <f>SUMIF('Données Suivi'!$A$2:$A$3000,$A67,'Données Suivi'!$J$2:$J$3000)</f>
        <v/>
      </c>
      <c r="C67" s="598">
        <f>SUMIFS('Données Suivi'!$J$2:$J$3000,'Données Suivi'!$A$2:$A$3000,$A67,'Données Suivi'!$M$2:$M$3000,"Engagé")</f>
        <v/>
      </c>
      <c r="D67" s="599">
        <f>IF(B67=0,"",C67/B67)</f>
        <v/>
      </c>
    </row>
    <row r="68">
      <c r="A68" s="594" t="inlineStr">
        <is>
          <t>DA</t>
        </is>
      </c>
      <c r="B68" s="598">
        <f>SUMIF('Données Suivi'!$A$2:$A$3000,$A68,'Données Suivi'!$J$2:$J$3000)</f>
        <v/>
      </c>
      <c r="C68" s="598">
        <f>SUMIFS('Données Suivi'!$J$2:$J$3000,'Données Suivi'!$A$2:$A$3000,$A68,'Données Suivi'!$M$2:$M$3000,"Engagé")</f>
        <v/>
      </c>
      <c r="D68" s="599">
        <f>IF(B68=0,"",C68/B68)</f>
        <v/>
      </c>
    </row>
    <row r="69">
      <c r="A69" s="594" t="inlineStr">
        <is>
          <t>DACG</t>
        </is>
      </c>
      <c r="B69" s="598">
        <f>SUMIF('Données Suivi'!$A$2:$A$3000,$A69,'Données Suivi'!$J$2:$J$3000)</f>
        <v/>
      </c>
      <c r="C69" s="598">
        <f>SUMIFS('Données Suivi'!$J$2:$J$3000,'Données Suivi'!$A$2:$A$3000,$A69,'Données Suivi'!$M$2:$M$3000,"Engagé")</f>
        <v/>
      </c>
      <c r="D69" s="599">
        <f>IF(B69=0,"",C69/B69)</f>
        <v/>
      </c>
    </row>
    <row r="70">
      <c r="A70" s="594" t="inlineStr">
        <is>
          <t>DAR</t>
        </is>
      </c>
      <c r="B70" s="598">
        <f>SUMIF('Données Suivi'!$A$2:$A$3000,$A70,'Données Suivi'!$J$2:$J$3000)</f>
        <v/>
      </c>
      <c r="C70" s="598">
        <f>SUMIFS('Données Suivi'!$J$2:$J$3000,'Données Suivi'!$A$2:$A$3000,$A70,'Données Suivi'!$M$2:$M$3000,"Engagé")</f>
        <v/>
      </c>
      <c r="D70" s="599">
        <f>IF(B70=0,"",C70/B70)</f>
        <v/>
      </c>
    </row>
    <row r="71">
      <c r="A71" s="594" t="inlineStr">
        <is>
          <t>DCPA</t>
        </is>
      </c>
      <c r="B71" s="598">
        <f>SUMIF('Données Suivi'!$A$2:$A$3000,$A71,'Données Suivi'!$J$2:$J$3000)</f>
        <v/>
      </c>
      <c r="C71" s="598">
        <f>SUMIFS('Données Suivi'!$J$2:$J$3000,'Données Suivi'!$A$2:$A$3000,$A71,'Données Suivi'!$M$2:$M$3000,"Engagé")</f>
        <v/>
      </c>
      <c r="D71" s="599">
        <f>IF(B71=0,"",C71/B71)</f>
        <v/>
      </c>
    </row>
    <row r="72">
      <c r="A72" s="594" t="inlineStr">
        <is>
          <t>DCRI</t>
        </is>
      </c>
      <c r="B72" s="598">
        <f>SUMIF('Données Suivi'!$A$2:$A$3000,$A72,'Données Suivi'!$J$2:$J$3000)</f>
        <v/>
      </c>
      <c r="C72" s="598">
        <f>SUMIFS('Données Suivi'!$J$2:$J$3000,'Données Suivi'!$A$2:$A$3000,$A72,'Données Suivi'!$M$2:$M$3000,"Engagé")</f>
        <v/>
      </c>
      <c r="D72" s="599">
        <f>IF(B72=0,"",C72/B72)</f>
        <v/>
      </c>
    </row>
    <row r="73">
      <c r="A73" s="594" t="inlineStr">
        <is>
          <t>DCT</t>
        </is>
      </c>
      <c r="B73" s="598">
        <f>SUMIF('Données Suivi'!$A$2:$A$3000,$A73,'Données Suivi'!$J$2:$J$3000)</f>
        <v/>
      </c>
      <c r="C73" s="598">
        <f>SUMIFS('Données Suivi'!$J$2:$J$3000,'Données Suivi'!$A$2:$A$3000,$A73,'Données Suivi'!$M$2:$M$3000,"Engagé")</f>
        <v/>
      </c>
      <c r="D73" s="599">
        <f>IF(B73=0,"",C73/B73)</f>
        <v/>
      </c>
    </row>
    <row r="74">
      <c r="A74" s="594" t="inlineStr">
        <is>
          <t>DG</t>
        </is>
      </c>
      <c r="B74" s="598">
        <f>SUMIF('Données Suivi'!$A$2:$A$3000,$A74,'Données Suivi'!$J$2:$J$3000)</f>
        <v/>
      </c>
      <c r="C74" s="598">
        <f>SUMIFS('Données Suivi'!$J$2:$J$3000,'Données Suivi'!$A$2:$A$3000,$A74,'Données Suivi'!$M$2:$M$3000,"Engagé")</f>
        <v/>
      </c>
      <c r="D74" s="599">
        <f>IF(B74=0,"",C74/B74)</f>
        <v/>
      </c>
    </row>
    <row r="75">
      <c r="A75" s="594" t="inlineStr">
        <is>
          <t>DINFORADIO</t>
        </is>
      </c>
      <c r="B75" s="598">
        <f>SUMIF('Données Suivi'!$A$2:$A$3000,$A75,'Données Suivi'!$J$2:$J$3000)</f>
        <v/>
      </c>
      <c r="C75" s="598">
        <f>SUMIFS('Données Suivi'!$J$2:$J$3000,'Données Suivi'!$A$2:$A$3000,$A75,'Données Suivi'!$M$2:$M$3000,"Engagé")</f>
        <v/>
      </c>
      <c r="D75" s="599">
        <f>IF(B75=0,"",C75/B75)</f>
        <v/>
      </c>
    </row>
    <row r="76">
      <c r="A76" s="594" t="inlineStr">
        <is>
          <t>DINFOTV</t>
        </is>
      </c>
      <c r="B76" s="598">
        <f>SUMIF('Données Suivi'!$A$2:$A$3000,$A76,'Données Suivi'!$J$2:$J$3000)</f>
        <v/>
      </c>
      <c r="C76" s="598">
        <f>SUMIFS('Données Suivi'!$J$2:$J$3000,'Données Suivi'!$A$2:$A$3000,$A76,'Données Suivi'!$M$2:$M$3000,"Engagé")</f>
        <v/>
      </c>
      <c r="D76" s="599">
        <f>IF(B76=0,"",C76/B76)</f>
        <v/>
      </c>
    </row>
    <row r="77">
      <c r="A77" s="594" t="inlineStr">
        <is>
          <t>DJURIDIQUE</t>
        </is>
      </c>
      <c r="B77" s="598">
        <f>SUMIF('Données Suivi'!$A$2:$A$3000,$A77,'Données Suivi'!$J$2:$J$3000)</f>
        <v/>
      </c>
      <c r="C77" s="598">
        <f>SUMIFS('Données Suivi'!$J$2:$J$3000,'Données Suivi'!$A$2:$A$3000,$A77,'Données Suivi'!$M$2:$M$3000,"Engagé")</f>
        <v/>
      </c>
      <c r="D77" s="599">
        <f>IF(B77=0,"",C77/B77)</f>
        <v/>
      </c>
    </row>
    <row r="78">
      <c r="A78" s="594" t="inlineStr">
        <is>
          <t>DMPTV</t>
        </is>
      </c>
      <c r="B78" s="598">
        <f>SUMIF('Données Suivi'!$A$2:$A$3000,$A78,'Données Suivi'!$J$2:$J$3000)</f>
        <v/>
      </c>
      <c r="C78" s="598">
        <f>SUMIFS('Données Suivi'!$J$2:$J$3000,'Données Suivi'!$A$2:$A$3000,$A78,'Données Suivi'!$M$2:$M$3000,"Engagé")</f>
        <v/>
      </c>
      <c r="D78" s="599">
        <f>IF(B78=0,"",C78/B78)</f>
        <v/>
      </c>
    </row>
    <row r="79">
      <c r="A79" s="594" t="inlineStr">
        <is>
          <t>DPMG</t>
        </is>
      </c>
      <c r="B79" s="598">
        <f>SUMIF('Données Suivi'!$A$2:$A$3000,$A79,'Données Suivi'!$J$2:$J$3000)</f>
        <v/>
      </c>
      <c r="C79" s="598">
        <f>SUMIFS('Données Suivi'!$J$2:$J$3000,'Données Suivi'!$A$2:$A$3000,$A79,'Données Suivi'!$M$2:$M$3000,"Engagé")</f>
        <v/>
      </c>
      <c r="D79" s="599">
        <f>IF(B79=0,"",C79/B79)</f>
        <v/>
      </c>
    </row>
    <row r="80">
      <c r="A80" s="594" t="inlineStr">
        <is>
          <t>DPPR</t>
        </is>
      </c>
      <c r="B80" s="598">
        <f>SUMIF('Données Suivi'!$A$2:$A$3000,$A80,'Données Suivi'!$J$2:$J$3000)</f>
        <v/>
      </c>
      <c r="C80" s="598">
        <f>SUMIFS('Données Suivi'!$J$2:$J$3000,'Données Suivi'!$A$2:$A$3000,$A80,'Données Suivi'!$M$2:$M$3000,"Engagé")</f>
        <v/>
      </c>
      <c r="D80" s="599">
        <f>IF(B80=0,"",C80/B80)</f>
        <v/>
      </c>
    </row>
    <row r="81">
      <c r="A81" s="594" t="inlineStr">
        <is>
          <t>DRH</t>
        </is>
      </c>
      <c r="B81" s="598">
        <f>SUMIF('Données Suivi'!$A$2:$A$3000,$A81,'Données Suivi'!$J$2:$J$3000)</f>
        <v/>
      </c>
      <c r="C81" s="598">
        <f>SUMIFS('Données Suivi'!$J$2:$J$3000,'Données Suivi'!$A$2:$A$3000,$A81,'Données Suivi'!$M$2:$M$3000,"Engagé")</f>
        <v/>
      </c>
      <c r="D81" s="599">
        <f>IF(B81=0,"",C81/B81)</f>
        <v/>
      </c>
    </row>
    <row r="82">
      <c r="A82" s="594" t="inlineStr">
        <is>
          <t>DRPSD</t>
        </is>
      </c>
      <c r="B82" s="598">
        <f>SUMIF('Données Suivi'!$A$2:$A$3000,$A82,'Données Suivi'!$J$2:$J$3000)</f>
        <v/>
      </c>
      <c r="C82" s="598">
        <f>SUMIFS('Données Suivi'!$J$2:$J$3000,'Données Suivi'!$A$2:$A$3000,$A82,'Données Suivi'!$M$2:$M$3000,"Engagé")</f>
        <v/>
      </c>
      <c r="D82" s="599">
        <f>IF(B82=0,"",C82/B82)</f>
        <v/>
      </c>
    </row>
    <row r="83">
      <c r="A83" s="594" t="inlineStr">
        <is>
          <t>MAGHRIBIA</t>
        </is>
      </c>
      <c r="B83" s="598">
        <f>SUMIF('Données Suivi'!$A$2:$A$3000,$A83,'Données Suivi'!$J$2:$J$3000)</f>
        <v/>
      </c>
      <c r="C83" s="598">
        <f>SUMIFS('Données Suivi'!$J$2:$J$3000,'Données Suivi'!$A$2:$A$3000,$A83,'Données Suivi'!$M$2:$M$3000,"Engagé")</f>
        <v/>
      </c>
      <c r="D83" s="599">
        <f>IF(B83=0,"",C83/B83)</f>
        <v/>
      </c>
    </row>
    <row r="84">
      <c r="A84" s="594" t="inlineStr">
        <is>
          <t>RSSI</t>
        </is>
      </c>
      <c r="B84" s="598">
        <f>SUMIF('Données Suivi'!$A$2:$A$3000,$A84,'Données Suivi'!$J$2:$J$3000)</f>
        <v/>
      </c>
      <c r="C84" s="598">
        <f>SUMIFS('Données Suivi'!$J$2:$J$3000,'Données Suivi'!$A$2:$A$3000,$A84,'Données Suivi'!$M$2:$M$3000,"Engagé")</f>
        <v/>
      </c>
      <c r="D84" s="599">
        <f>IF(B84=0,"",C84/B84)</f>
        <v/>
      </c>
    </row>
    <row r="85">
      <c r="A85" s="594" t="inlineStr">
        <is>
          <t>TAMAZIGHT</t>
        </is>
      </c>
      <c r="B85" s="598">
        <f>SUMIF('Données Suivi'!$A$2:$A$3000,$A85,'Données Suivi'!$J$2:$J$3000)</f>
        <v/>
      </c>
      <c r="C85" s="598">
        <f>SUMIFS('Données Suivi'!$J$2:$J$3000,'Données Suivi'!$A$2:$A$3000,$A85,'Données Suivi'!$M$2:$M$3000,"Engagé")</f>
        <v/>
      </c>
      <c r="D85" s="599">
        <f>IF(B85=0,"",C85/B85)</f>
        <v/>
      </c>
    </row>
    <row r="86">
      <c r="A86" s="594" t="inlineStr">
        <is>
          <t>TDF -SITES</t>
        </is>
      </c>
      <c r="B86" s="598">
        <f>SUMIF('Données Suivi'!$A$2:$A$3000,$A86,'Données Suivi'!$J$2:$J$3000)</f>
        <v/>
      </c>
      <c r="C86" s="598">
        <f>SUMIFS('Données Suivi'!$J$2:$J$3000,'Données Suivi'!$A$2:$A$3000,$A86,'Données Suivi'!$M$2:$M$3000,"Engagé")</f>
        <v/>
      </c>
      <c r="D86" s="599">
        <f>IF(B86=0,"",C86/B86)</f>
        <v/>
      </c>
    </row>
    <row r="87">
      <c r="A87" s="594" t="inlineStr">
        <is>
          <t>TDF-EXP&amp;MAIN</t>
        </is>
      </c>
      <c r="B87" s="598">
        <f>SUMIF('Données Suivi'!$A$2:$A$3000,$A87,'Données Suivi'!$J$2:$J$3000)</f>
        <v/>
      </c>
      <c r="C87" s="598">
        <f>SUMIFS('Données Suivi'!$J$2:$J$3000,'Données Suivi'!$A$2:$A$3000,$A87,'Données Suivi'!$M$2:$M$3000,"Engagé")</f>
        <v/>
      </c>
      <c r="D87" s="599">
        <f>IF(B87=0,"",C87/B87)</f>
        <v/>
      </c>
    </row>
    <row r="88">
      <c r="A88" s="594" t="inlineStr">
        <is>
          <t>TV LAAYOUNE</t>
        </is>
      </c>
      <c r="B88" s="598">
        <f>SUMIF('Données Suivi'!$A$2:$A$3000,$A88,'Données Suivi'!$J$2:$J$3000)</f>
        <v/>
      </c>
      <c r="C88" s="598">
        <f>SUMIFS('Données Suivi'!$J$2:$J$3000,'Données Suivi'!$A$2:$A$3000,$A88,'Données Suivi'!$M$2:$M$3000,"Engagé")</f>
        <v/>
      </c>
      <c r="D88" s="599">
        <f>IF(B88=0,"",C88/B88)</f>
        <v/>
      </c>
    </row>
    <row r="89"/>
    <row r="90" ht="20" customHeight="1" s="392">
      <c r="A90" s="592" t="inlineStr">
        <is>
          <t>Dossiers en cours à relancer (triés par ancienneté décroissante)</t>
        </is>
      </c>
    </row>
    <row r="91">
      <c r="A91" s="593" t="inlineStr">
        <is>
          <t>Direction</t>
        </is>
      </c>
      <c r="B91" s="593" t="inlineStr">
        <is>
          <t>Réf</t>
        </is>
      </c>
      <c r="C91" s="593" t="inlineStr">
        <is>
          <t>BCI</t>
        </is>
      </c>
      <c r="D91" s="593" t="inlineStr">
        <is>
          <t>Objet</t>
        </is>
      </c>
      <c r="E91" s="593" t="inlineStr">
        <is>
          <t>Statut Support</t>
        </is>
      </c>
      <c r="F91" s="593" t="inlineStr">
        <is>
          <t>Statut d'Engagement</t>
        </is>
      </c>
      <c r="G91" s="593" t="inlineStr">
        <is>
          <t>Montant (MAD)</t>
        </is>
      </c>
      <c r="H91" s="593" t="inlineStr">
        <is>
          <t>Date Fiche</t>
        </is>
      </c>
      <c r="I91" s="593" t="inlineStr">
        <is>
          <t>Ancienneté (j)</t>
        </is>
      </c>
    </row>
    <row r="92">
      <c r="A92" s="600">
        <f>'Données Suivi'!A327</f>
        <v/>
      </c>
      <c r="B92" s="600">
        <f>'Données Suivi'!B327</f>
        <v/>
      </c>
      <c r="C92" s="600">
        <f>'Données Suivi'!C327</f>
        <v/>
      </c>
      <c r="D92" s="601">
        <f>'Données Suivi'!D327</f>
        <v/>
      </c>
      <c r="E92" s="600">
        <f>'Données Suivi'!E327</f>
        <v/>
      </c>
      <c r="F92" s="600">
        <f>'Données Suivi'!H327</f>
        <v/>
      </c>
      <c r="G92" s="602">
        <f>'Données Suivi'!J327</f>
        <v/>
      </c>
      <c r="H92" s="603">
        <f>'Données Suivi'!K327</f>
        <v/>
      </c>
      <c r="I92" s="600">
        <f>'Données Suivi'!L327</f>
        <v/>
      </c>
    </row>
    <row r="93">
      <c r="A93" s="600">
        <f>'Données Suivi'!A328</f>
        <v/>
      </c>
      <c r="B93" s="600">
        <f>'Données Suivi'!B328</f>
        <v/>
      </c>
      <c r="C93" s="600">
        <f>'Données Suivi'!C328</f>
        <v/>
      </c>
      <c r="D93" s="601">
        <f>'Données Suivi'!D328</f>
        <v/>
      </c>
      <c r="E93" s="600">
        <f>'Données Suivi'!E328</f>
        <v/>
      </c>
      <c r="F93" s="600">
        <f>'Données Suivi'!H328</f>
        <v/>
      </c>
      <c r="G93" s="602">
        <f>'Données Suivi'!J328</f>
        <v/>
      </c>
      <c r="H93" s="603">
        <f>'Données Suivi'!K328</f>
        <v/>
      </c>
      <c r="I93" s="600">
        <f>'Données Suivi'!L328</f>
        <v/>
      </c>
    </row>
    <row r="94">
      <c r="A94" s="600">
        <f>'Données Suivi'!A359</f>
        <v/>
      </c>
      <c r="B94" s="600">
        <f>'Données Suivi'!B359</f>
        <v/>
      </c>
      <c r="C94" s="600">
        <f>'Données Suivi'!C359</f>
        <v/>
      </c>
      <c r="D94" s="601">
        <f>'Données Suivi'!D359</f>
        <v/>
      </c>
      <c r="E94" s="600">
        <f>'Données Suivi'!E359</f>
        <v/>
      </c>
      <c r="F94" s="600">
        <f>'Données Suivi'!H359</f>
        <v/>
      </c>
      <c r="G94" s="602">
        <f>'Données Suivi'!J359</f>
        <v/>
      </c>
      <c r="H94" s="603">
        <f>'Données Suivi'!K359</f>
        <v/>
      </c>
      <c r="I94" s="600">
        <f>'Données Suivi'!L359</f>
        <v/>
      </c>
    </row>
    <row r="95">
      <c r="A95" s="600">
        <f>'Données Suivi'!A378</f>
        <v/>
      </c>
      <c r="B95" s="600">
        <f>'Données Suivi'!B378</f>
        <v/>
      </c>
      <c r="C95" s="600">
        <f>'Données Suivi'!C378</f>
        <v/>
      </c>
      <c r="D95" s="601">
        <f>'Données Suivi'!D378</f>
        <v/>
      </c>
      <c r="E95" s="600">
        <f>'Données Suivi'!E378</f>
        <v/>
      </c>
      <c r="F95" s="600">
        <f>'Données Suivi'!H378</f>
        <v/>
      </c>
      <c r="G95" s="602">
        <f>'Données Suivi'!J378</f>
        <v/>
      </c>
      <c r="H95" s="603">
        <f>'Données Suivi'!K378</f>
        <v/>
      </c>
      <c r="I95" s="600">
        <f>'Données Suivi'!L378</f>
        <v/>
      </c>
    </row>
    <row r="96">
      <c r="A96" s="600">
        <f>'Données Suivi'!A379</f>
        <v/>
      </c>
      <c r="B96" s="600">
        <f>'Données Suivi'!B379</f>
        <v/>
      </c>
      <c r="C96" s="600">
        <f>'Données Suivi'!C379</f>
        <v/>
      </c>
      <c r="D96" s="601">
        <f>'Données Suivi'!D379</f>
        <v/>
      </c>
      <c r="E96" s="600">
        <f>'Données Suivi'!E379</f>
        <v/>
      </c>
      <c r="F96" s="600">
        <f>'Données Suivi'!H379</f>
        <v/>
      </c>
      <c r="G96" s="602">
        <f>'Données Suivi'!J379</f>
        <v/>
      </c>
      <c r="H96" s="603">
        <f>'Données Suivi'!K379</f>
        <v/>
      </c>
      <c r="I96" s="600">
        <f>'Données Suivi'!L379</f>
        <v/>
      </c>
    </row>
    <row r="97">
      <c r="A97" s="600">
        <f>'Données Suivi'!A430</f>
        <v/>
      </c>
      <c r="B97" s="600">
        <f>'Données Suivi'!B430</f>
        <v/>
      </c>
      <c r="C97" s="600">
        <f>'Données Suivi'!C430</f>
        <v/>
      </c>
      <c r="D97" s="601">
        <f>'Données Suivi'!D430</f>
        <v/>
      </c>
      <c r="E97" s="600">
        <f>'Données Suivi'!E430</f>
        <v/>
      </c>
      <c r="F97" s="600">
        <f>'Données Suivi'!H430</f>
        <v/>
      </c>
      <c r="G97" s="602">
        <f>'Données Suivi'!J430</f>
        <v/>
      </c>
      <c r="H97" s="603">
        <f>'Données Suivi'!K430</f>
        <v/>
      </c>
      <c r="I97" s="600">
        <f>'Données Suivi'!L430</f>
        <v/>
      </c>
    </row>
    <row r="98">
      <c r="A98" s="600">
        <f>'Données Suivi'!A410</f>
        <v/>
      </c>
      <c r="B98" s="600">
        <f>'Données Suivi'!B410</f>
        <v/>
      </c>
      <c r="C98" s="600">
        <f>'Données Suivi'!C410</f>
        <v/>
      </c>
      <c r="D98" s="601">
        <f>'Données Suivi'!D410</f>
        <v/>
      </c>
      <c r="E98" s="600">
        <f>'Données Suivi'!E410</f>
        <v/>
      </c>
      <c r="F98" s="600">
        <f>'Données Suivi'!H410</f>
        <v/>
      </c>
      <c r="G98" s="602">
        <f>'Données Suivi'!J410</f>
        <v/>
      </c>
      <c r="H98" s="603">
        <f>'Données Suivi'!K410</f>
        <v/>
      </c>
      <c r="I98" s="600">
        <f>'Données Suivi'!L410</f>
        <v/>
      </c>
    </row>
    <row r="99">
      <c r="A99" s="600">
        <f>'Données Suivi'!A620</f>
        <v/>
      </c>
      <c r="B99" s="600">
        <f>'Données Suivi'!B620</f>
        <v/>
      </c>
      <c r="C99" s="600">
        <f>'Données Suivi'!C620</f>
        <v/>
      </c>
      <c r="D99" s="601">
        <f>'Données Suivi'!D620</f>
        <v/>
      </c>
      <c r="E99" s="600">
        <f>'Données Suivi'!E620</f>
        <v/>
      </c>
      <c r="F99" s="600">
        <f>'Données Suivi'!H620</f>
        <v/>
      </c>
      <c r="G99" s="602">
        <f>'Données Suivi'!J620</f>
        <v/>
      </c>
      <c r="H99" s="603">
        <f>'Données Suivi'!K620</f>
        <v/>
      </c>
      <c r="I99" s="600">
        <f>'Données Suivi'!L620</f>
        <v/>
      </c>
    </row>
    <row r="100">
      <c r="A100" s="600">
        <f>'Données Suivi'!A557</f>
        <v/>
      </c>
      <c r="B100" s="600">
        <f>'Données Suivi'!B557</f>
        <v/>
      </c>
      <c r="C100" s="600">
        <f>'Données Suivi'!C557</f>
        <v/>
      </c>
      <c r="D100" s="601">
        <f>'Données Suivi'!D557</f>
        <v/>
      </c>
      <c r="E100" s="600">
        <f>'Données Suivi'!E557</f>
        <v/>
      </c>
      <c r="F100" s="600">
        <f>'Données Suivi'!H557</f>
        <v/>
      </c>
      <c r="G100" s="602">
        <f>'Données Suivi'!J557</f>
        <v/>
      </c>
      <c r="H100" s="603">
        <f>'Données Suivi'!K557</f>
        <v/>
      </c>
      <c r="I100" s="600">
        <f>'Données Suivi'!L557</f>
        <v/>
      </c>
    </row>
    <row r="101">
      <c r="A101" s="600">
        <f>'Données Suivi'!A329</f>
        <v/>
      </c>
      <c r="B101" s="600">
        <f>'Données Suivi'!B329</f>
        <v/>
      </c>
      <c r="C101" s="600">
        <f>'Données Suivi'!C329</f>
        <v/>
      </c>
      <c r="D101" s="601">
        <f>'Données Suivi'!D329</f>
        <v/>
      </c>
      <c r="E101" s="600">
        <f>'Données Suivi'!E329</f>
        <v/>
      </c>
      <c r="F101" s="600">
        <f>'Données Suivi'!H329</f>
        <v/>
      </c>
      <c r="G101" s="602">
        <f>'Données Suivi'!J329</f>
        <v/>
      </c>
      <c r="H101" s="603">
        <f>'Données Suivi'!K329</f>
        <v/>
      </c>
      <c r="I101" s="600">
        <f>'Données Suivi'!L329</f>
        <v/>
      </c>
    </row>
    <row r="102">
      <c r="A102" s="600">
        <f>'Données Suivi'!A573</f>
        <v/>
      </c>
      <c r="B102" s="600">
        <f>'Données Suivi'!B573</f>
        <v/>
      </c>
      <c r="C102" s="600">
        <f>'Données Suivi'!C573</f>
        <v/>
      </c>
      <c r="D102" s="601">
        <f>'Données Suivi'!D573</f>
        <v/>
      </c>
      <c r="E102" s="600">
        <f>'Données Suivi'!E573</f>
        <v/>
      </c>
      <c r="F102" s="600">
        <f>'Données Suivi'!H573</f>
        <v/>
      </c>
      <c r="G102" s="602">
        <f>'Données Suivi'!J573</f>
        <v/>
      </c>
      <c r="H102" s="603">
        <f>'Données Suivi'!K573</f>
        <v/>
      </c>
      <c r="I102" s="600">
        <f>'Données Suivi'!L573</f>
        <v/>
      </c>
    </row>
    <row r="103">
      <c r="A103" s="600">
        <f>'Données Suivi'!A574</f>
        <v/>
      </c>
      <c r="B103" s="600">
        <f>'Données Suivi'!B574</f>
        <v/>
      </c>
      <c r="C103" s="600">
        <f>'Données Suivi'!C574</f>
        <v/>
      </c>
      <c r="D103" s="601">
        <f>'Données Suivi'!D574</f>
        <v/>
      </c>
      <c r="E103" s="600">
        <f>'Données Suivi'!E574</f>
        <v/>
      </c>
      <c r="F103" s="600">
        <f>'Données Suivi'!H574</f>
        <v/>
      </c>
      <c r="G103" s="602">
        <f>'Données Suivi'!J574</f>
        <v/>
      </c>
      <c r="H103" s="603">
        <f>'Données Suivi'!K574</f>
        <v/>
      </c>
      <c r="I103" s="600">
        <f>'Données Suivi'!L574</f>
        <v/>
      </c>
    </row>
    <row r="104">
      <c r="A104" s="600">
        <f>'Données Suivi'!A577</f>
        <v/>
      </c>
      <c r="B104" s="600">
        <f>'Données Suivi'!B577</f>
        <v/>
      </c>
      <c r="C104" s="600">
        <f>'Données Suivi'!C577</f>
        <v/>
      </c>
      <c r="D104" s="601">
        <f>'Données Suivi'!D577</f>
        <v/>
      </c>
      <c r="E104" s="600">
        <f>'Données Suivi'!E577</f>
        <v/>
      </c>
      <c r="F104" s="600">
        <f>'Données Suivi'!H577</f>
        <v/>
      </c>
      <c r="G104" s="602">
        <f>'Données Suivi'!J577</f>
        <v/>
      </c>
      <c r="H104" s="603">
        <f>'Données Suivi'!K577</f>
        <v/>
      </c>
      <c r="I104" s="600">
        <f>'Données Suivi'!L577</f>
        <v/>
      </c>
    </row>
    <row r="105">
      <c r="A105" s="600">
        <f>'Données Suivi'!A578</f>
        <v/>
      </c>
      <c r="B105" s="600">
        <f>'Données Suivi'!B578</f>
        <v/>
      </c>
      <c r="C105" s="600">
        <f>'Données Suivi'!C578</f>
        <v/>
      </c>
      <c r="D105" s="601">
        <f>'Données Suivi'!D578</f>
        <v/>
      </c>
      <c r="E105" s="600">
        <f>'Données Suivi'!E578</f>
        <v/>
      </c>
      <c r="F105" s="600">
        <f>'Données Suivi'!H578</f>
        <v/>
      </c>
      <c r="G105" s="602">
        <f>'Données Suivi'!J578</f>
        <v/>
      </c>
      <c r="H105" s="603">
        <f>'Données Suivi'!K578</f>
        <v/>
      </c>
      <c r="I105" s="600">
        <f>'Données Suivi'!L578</f>
        <v/>
      </c>
    </row>
    <row r="106">
      <c r="A106" s="600">
        <f>'Données Suivi'!A579</f>
        <v/>
      </c>
      <c r="B106" s="600">
        <f>'Données Suivi'!B579</f>
        <v/>
      </c>
      <c r="C106" s="600">
        <f>'Données Suivi'!C579</f>
        <v/>
      </c>
      <c r="D106" s="601">
        <f>'Données Suivi'!D579</f>
        <v/>
      </c>
      <c r="E106" s="600">
        <f>'Données Suivi'!E579</f>
        <v/>
      </c>
      <c r="F106" s="600">
        <f>'Données Suivi'!H579</f>
        <v/>
      </c>
      <c r="G106" s="602">
        <f>'Données Suivi'!J579</f>
        <v/>
      </c>
      <c r="H106" s="603">
        <f>'Données Suivi'!K579</f>
        <v/>
      </c>
      <c r="I106" s="600">
        <f>'Données Suivi'!L579</f>
        <v/>
      </c>
    </row>
    <row r="107">
      <c r="A107" s="600">
        <f>'Données Suivi'!A582</f>
        <v/>
      </c>
      <c r="B107" s="600">
        <f>'Données Suivi'!B582</f>
        <v/>
      </c>
      <c r="C107" s="600">
        <f>'Données Suivi'!C582</f>
        <v/>
      </c>
      <c r="D107" s="601">
        <f>'Données Suivi'!D582</f>
        <v/>
      </c>
      <c r="E107" s="600">
        <f>'Données Suivi'!E582</f>
        <v/>
      </c>
      <c r="F107" s="600">
        <f>'Données Suivi'!H582</f>
        <v/>
      </c>
      <c r="G107" s="602">
        <f>'Données Suivi'!J582</f>
        <v/>
      </c>
      <c r="H107" s="603">
        <f>'Données Suivi'!K582</f>
        <v/>
      </c>
      <c r="I107" s="600">
        <f>'Données Suivi'!L582</f>
        <v/>
      </c>
    </row>
    <row r="108">
      <c r="A108" s="600">
        <f>'Données Suivi'!A583</f>
        <v/>
      </c>
      <c r="B108" s="600">
        <f>'Données Suivi'!B583</f>
        <v/>
      </c>
      <c r="C108" s="600">
        <f>'Données Suivi'!C583</f>
        <v/>
      </c>
      <c r="D108" s="601">
        <f>'Données Suivi'!D583</f>
        <v/>
      </c>
      <c r="E108" s="600">
        <f>'Données Suivi'!E583</f>
        <v/>
      </c>
      <c r="F108" s="600">
        <f>'Données Suivi'!H583</f>
        <v/>
      </c>
      <c r="G108" s="602">
        <f>'Données Suivi'!J583</f>
        <v/>
      </c>
      <c r="H108" s="603">
        <f>'Données Suivi'!K583</f>
        <v/>
      </c>
      <c r="I108" s="600">
        <f>'Données Suivi'!L583</f>
        <v/>
      </c>
    </row>
    <row r="109">
      <c r="A109" s="600">
        <f>'Données Suivi'!A584</f>
        <v/>
      </c>
      <c r="B109" s="600">
        <f>'Données Suivi'!B584</f>
        <v/>
      </c>
      <c r="C109" s="600">
        <f>'Données Suivi'!C584</f>
        <v/>
      </c>
      <c r="D109" s="601">
        <f>'Données Suivi'!D584</f>
        <v/>
      </c>
      <c r="E109" s="600">
        <f>'Données Suivi'!E584</f>
        <v/>
      </c>
      <c r="F109" s="600">
        <f>'Données Suivi'!H584</f>
        <v/>
      </c>
      <c r="G109" s="602">
        <f>'Données Suivi'!J584</f>
        <v/>
      </c>
      <c r="H109" s="603">
        <f>'Données Suivi'!K584</f>
        <v/>
      </c>
      <c r="I109" s="600">
        <f>'Données Suivi'!L584</f>
        <v/>
      </c>
    </row>
    <row r="110">
      <c r="A110" s="600">
        <f>'Données Suivi'!A585</f>
        <v/>
      </c>
      <c r="B110" s="600">
        <f>'Données Suivi'!B585</f>
        <v/>
      </c>
      <c r="C110" s="600">
        <f>'Données Suivi'!C585</f>
        <v/>
      </c>
      <c r="D110" s="601">
        <f>'Données Suivi'!D585</f>
        <v/>
      </c>
      <c r="E110" s="600">
        <f>'Données Suivi'!E585</f>
        <v/>
      </c>
      <c r="F110" s="600">
        <f>'Données Suivi'!H585</f>
        <v/>
      </c>
      <c r="G110" s="602">
        <f>'Données Suivi'!J585</f>
        <v/>
      </c>
      <c r="H110" s="603">
        <f>'Données Suivi'!K585</f>
        <v/>
      </c>
      <c r="I110" s="600">
        <f>'Données Suivi'!L585</f>
        <v/>
      </c>
    </row>
    <row r="111">
      <c r="A111" s="600">
        <f>'Données Suivi'!A586</f>
        <v/>
      </c>
      <c r="B111" s="600">
        <f>'Données Suivi'!B586</f>
        <v/>
      </c>
      <c r="C111" s="600">
        <f>'Données Suivi'!C586</f>
        <v/>
      </c>
      <c r="D111" s="601">
        <f>'Données Suivi'!D586</f>
        <v/>
      </c>
      <c r="E111" s="600">
        <f>'Données Suivi'!E586</f>
        <v/>
      </c>
      <c r="F111" s="600">
        <f>'Données Suivi'!H586</f>
        <v/>
      </c>
      <c r="G111" s="602">
        <f>'Données Suivi'!J586</f>
        <v/>
      </c>
      <c r="H111" s="603">
        <f>'Données Suivi'!K586</f>
        <v/>
      </c>
      <c r="I111" s="600">
        <f>'Données Suivi'!L586</f>
        <v/>
      </c>
    </row>
    <row r="112">
      <c r="A112" s="600">
        <f>'Données Suivi'!A587</f>
        <v/>
      </c>
      <c r="B112" s="600">
        <f>'Données Suivi'!B587</f>
        <v/>
      </c>
      <c r="C112" s="600">
        <f>'Données Suivi'!C587</f>
        <v/>
      </c>
      <c r="D112" s="601">
        <f>'Données Suivi'!D587</f>
        <v/>
      </c>
      <c r="E112" s="600">
        <f>'Données Suivi'!E587</f>
        <v/>
      </c>
      <c r="F112" s="600">
        <f>'Données Suivi'!H587</f>
        <v/>
      </c>
      <c r="G112" s="602">
        <f>'Données Suivi'!J587</f>
        <v/>
      </c>
      <c r="H112" s="603">
        <f>'Données Suivi'!K587</f>
        <v/>
      </c>
      <c r="I112" s="600">
        <f>'Données Suivi'!L587</f>
        <v/>
      </c>
    </row>
    <row r="113">
      <c r="A113" s="600">
        <f>'Données Suivi'!A588</f>
        <v/>
      </c>
      <c r="B113" s="600">
        <f>'Données Suivi'!B588</f>
        <v/>
      </c>
      <c r="C113" s="600">
        <f>'Données Suivi'!C588</f>
        <v/>
      </c>
      <c r="D113" s="601">
        <f>'Données Suivi'!D588</f>
        <v/>
      </c>
      <c r="E113" s="600">
        <f>'Données Suivi'!E588</f>
        <v/>
      </c>
      <c r="F113" s="600">
        <f>'Données Suivi'!H588</f>
        <v/>
      </c>
      <c r="G113" s="602">
        <f>'Données Suivi'!J588</f>
        <v/>
      </c>
      <c r="H113" s="603">
        <f>'Données Suivi'!K588</f>
        <v/>
      </c>
      <c r="I113" s="600">
        <f>'Données Suivi'!L588</f>
        <v/>
      </c>
    </row>
    <row r="114">
      <c r="A114" s="600">
        <f>'Données Suivi'!A589</f>
        <v/>
      </c>
      <c r="B114" s="600">
        <f>'Données Suivi'!B589</f>
        <v/>
      </c>
      <c r="C114" s="600">
        <f>'Données Suivi'!C589</f>
        <v/>
      </c>
      <c r="D114" s="601">
        <f>'Données Suivi'!D589</f>
        <v/>
      </c>
      <c r="E114" s="600">
        <f>'Données Suivi'!E589</f>
        <v/>
      </c>
      <c r="F114" s="600">
        <f>'Données Suivi'!H589</f>
        <v/>
      </c>
      <c r="G114" s="602">
        <f>'Données Suivi'!J589</f>
        <v/>
      </c>
      <c r="H114" s="603">
        <f>'Données Suivi'!K589</f>
        <v/>
      </c>
      <c r="I114" s="600">
        <f>'Données Suivi'!L589</f>
        <v/>
      </c>
    </row>
    <row r="115">
      <c r="A115" s="600">
        <f>'Données Suivi'!A590</f>
        <v/>
      </c>
      <c r="B115" s="600">
        <f>'Données Suivi'!B590</f>
        <v/>
      </c>
      <c r="C115" s="600">
        <f>'Données Suivi'!C590</f>
        <v/>
      </c>
      <c r="D115" s="601">
        <f>'Données Suivi'!D590</f>
        <v/>
      </c>
      <c r="E115" s="600">
        <f>'Données Suivi'!E590</f>
        <v/>
      </c>
      <c r="F115" s="600">
        <f>'Données Suivi'!H590</f>
        <v/>
      </c>
      <c r="G115" s="602">
        <f>'Données Suivi'!J590</f>
        <v/>
      </c>
      <c r="H115" s="603">
        <f>'Données Suivi'!K590</f>
        <v/>
      </c>
      <c r="I115" s="600">
        <f>'Données Suivi'!L590</f>
        <v/>
      </c>
    </row>
    <row r="116">
      <c r="A116" s="600">
        <f>'Données Suivi'!A592</f>
        <v/>
      </c>
      <c r="B116" s="600">
        <f>'Données Suivi'!B592</f>
        <v/>
      </c>
      <c r="C116" s="600">
        <f>'Données Suivi'!C592</f>
        <v/>
      </c>
      <c r="D116" s="601">
        <f>'Données Suivi'!D592</f>
        <v/>
      </c>
      <c r="E116" s="600">
        <f>'Données Suivi'!E592</f>
        <v/>
      </c>
      <c r="F116" s="600">
        <f>'Données Suivi'!H592</f>
        <v/>
      </c>
      <c r="G116" s="602">
        <f>'Données Suivi'!J592</f>
        <v/>
      </c>
      <c r="H116" s="603">
        <f>'Données Suivi'!K592</f>
        <v/>
      </c>
      <c r="I116" s="600">
        <f>'Données Suivi'!L592</f>
        <v/>
      </c>
    </row>
    <row r="117">
      <c r="A117" s="600">
        <f>'Données Suivi'!A593</f>
        <v/>
      </c>
      <c r="B117" s="600">
        <f>'Données Suivi'!B593</f>
        <v/>
      </c>
      <c r="C117" s="600">
        <f>'Données Suivi'!C593</f>
        <v/>
      </c>
      <c r="D117" s="601">
        <f>'Données Suivi'!D593</f>
        <v/>
      </c>
      <c r="E117" s="600">
        <f>'Données Suivi'!E593</f>
        <v/>
      </c>
      <c r="F117" s="600">
        <f>'Données Suivi'!H593</f>
        <v/>
      </c>
      <c r="G117" s="602">
        <f>'Données Suivi'!J593</f>
        <v/>
      </c>
      <c r="H117" s="603">
        <f>'Données Suivi'!K593</f>
        <v/>
      </c>
      <c r="I117" s="600">
        <f>'Données Suivi'!L593</f>
        <v/>
      </c>
    </row>
    <row r="118">
      <c r="A118" s="600">
        <f>'Données Suivi'!A563</f>
        <v/>
      </c>
      <c r="B118" s="600">
        <f>'Données Suivi'!B563</f>
        <v/>
      </c>
      <c r="C118" s="600">
        <f>'Données Suivi'!C563</f>
        <v/>
      </c>
      <c r="D118" s="601">
        <f>'Données Suivi'!D563</f>
        <v/>
      </c>
      <c r="E118" s="600">
        <f>'Données Suivi'!E563</f>
        <v/>
      </c>
      <c r="F118" s="600">
        <f>'Données Suivi'!H563</f>
        <v/>
      </c>
      <c r="G118" s="602">
        <f>'Données Suivi'!J563</f>
        <v/>
      </c>
      <c r="H118" s="603">
        <f>'Données Suivi'!K563</f>
        <v/>
      </c>
      <c r="I118" s="600">
        <f>'Données Suivi'!L563</f>
        <v/>
      </c>
    </row>
    <row r="119">
      <c r="A119" s="600">
        <f>'Données Suivi'!A572</f>
        <v/>
      </c>
      <c r="B119" s="600">
        <f>'Données Suivi'!B572</f>
        <v/>
      </c>
      <c r="C119" s="600">
        <f>'Données Suivi'!C572</f>
        <v/>
      </c>
      <c r="D119" s="601">
        <f>'Données Suivi'!D572</f>
        <v/>
      </c>
      <c r="E119" s="600">
        <f>'Données Suivi'!E572</f>
        <v/>
      </c>
      <c r="F119" s="600">
        <f>'Données Suivi'!H572</f>
        <v/>
      </c>
      <c r="G119" s="602">
        <f>'Données Suivi'!J572</f>
        <v/>
      </c>
      <c r="H119" s="603">
        <f>'Données Suivi'!K572</f>
        <v/>
      </c>
      <c r="I119" s="600">
        <f>'Données Suivi'!L572</f>
        <v/>
      </c>
    </row>
    <row r="120">
      <c r="A120" s="600">
        <f>'Données Suivi'!A598</f>
        <v/>
      </c>
      <c r="B120" s="600">
        <f>'Données Suivi'!B598</f>
        <v/>
      </c>
      <c r="C120" s="600">
        <f>'Données Suivi'!C598</f>
        <v/>
      </c>
      <c r="D120" s="601">
        <f>'Données Suivi'!D598</f>
        <v/>
      </c>
      <c r="E120" s="600">
        <f>'Données Suivi'!E598</f>
        <v/>
      </c>
      <c r="F120" s="600">
        <f>'Données Suivi'!H598</f>
        <v/>
      </c>
      <c r="G120" s="602">
        <f>'Données Suivi'!J598</f>
        <v/>
      </c>
      <c r="H120" s="603">
        <f>'Données Suivi'!K598</f>
        <v/>
      </c>
      <c r="I120" s="600">
        <f>'Données Suivi'!L598</f>
        <v/>
      </c>
    </row>
    <row r="121">
      <c r="A121" s="600">
        <f>'Données Suivi'!A434</f>
        <v/>
      </c>
      <c r="B121" s="600">
        <f>'Données Suivi'!B434</f>
        <v/>
      </c>
      <c r="C121" s="600">
        <f>'Données Suivi'!C434</f>
        <v/>
      </c>
      <c r="D121" s="601">
        <f>'Données Suivi'!D434</f>
        <v/>
      </c>
      <c r="E121" s="600">
        <f>'Données Suivi'!E434</f>
        <v/>
      </c>
      <c r="F121" s="600">
        <f>'Données Suivi'!H434</f>
        <v/>
      </c>
      <c r="G121" s="602">
        <f>'Données Suivi'!J434</f>
        <v/>
      </c>
      <c r="H121" s="603">
        <f>'Données Suivi'!K434</f>
        <v/>
      </c>
      <c r="I121" s="600">
        <f>'Données Suivi'!L434</f>
        <v/>
      </c>
    </row>
    <row r="122">
      <c r="A122" s="600">
        <f>'Données Suivi'!A560</f>
        <v/>
      </c>
      <c r="B122" s="600">
        <f>'Données Suivi'!B560</f>
        <v/>
      </c>
      <c r="C122" s="600">
        <f>'Données Suivi'!C560</f>
        <v/>
      </c>
      <c r="D122" s="601">
        <f>'Données Suivi'!D560</f>
        <v/>
      </c>
      <c r="E122" s="600">
        <f>'Données Suivi'!E560</f>
        <v/>
      </c>
      <c r="F122" s="600">
        <f>'Données Suivi'!H560</f>
        <v/>
      </c>
      <c r="G122" s="602">
        <f>'Données Suivi'!J560</f>
        <v/>
      </c>
      <c r="H122" s="603">
        <f>'Données Suivi'!K560</f>
        <v/>
      </c>
      <c r="I122" s="600">
        <f>'Données Suivi'!L560</f>
        <v/>
      </c>
    </row>
    <row r="123">
      <c r="A123" s="600">
        <f>'Données Suivi'!A601</f>
        <v/>
      </c>
      <c r="B123" s="600">
        <f>'Données Suivi'!B601</f>
        <v/>
      </c>
      <c r="C123" s="600">
        <f>'Données Suivi'!C601</f>
        <v/>
      </c>
      <c r="D123" s="601">
        <f>'Données Suivi'!D601</f>
        <v/>
      </c>
      <c r="E123" s="600">
        <f>'Données Suivi'!E601</f>
        <v/>
      </c>
      <c r="F123" s="600">
        <f>'Données Suivi'!H601</f>
        <v/>
      </c>
      <c r="G123" s="602">
        <f>'Données Suivi'!J601</f>
        <v/>
      </c>
      <c r="H123" s="603">
        <f>'Données Suivi'!K601</f>
        <v/>
      </c>
      <c r="I123" s="600">
        <f>'Données Suivi'!L601</f>
        <v/>
      </c>
    </row>
    <row r="124">
      <c r="A124" s="600">
        <f>'Données Suivi'!A602</f>
        <v/>
      </c>
      <c r="B124" s="600">
        <f>'Données Suivi'!B602</f>
        <v/>
      </c>
      <c r="C124" s="600">
        <f>'Données Suivi'!C602</f>
        <v/>
      </c>
      <c r="D124" s="601">
        <f>'Données Suivi'!D602</f>
        <v/>
      </c>
      <c r="E124" s="600">
        <f>'Données Suivi'!E602</f>
        <v/>
      </c>
      <c r="F124" s="600">
        <f>'Données Suivi'!H602</f>
        <v/>
      </c>
      <c r="G124" s="602">
        <f>'Données Suivi'!J602</f>
        <v/>
      </c>
      <c r="H124" s="603">
        <f>'Données Suivi'!K602</f>
        <v/>
      </c>
      <c r="I124" s="600">
        <f>'Données Suivi'!L602</f>
        <v/>
      </c>
    </row>
    <row r="125">
      <c r="A125" s="600">
        <f>'Données Suivi'!A608</f>
        <v/>
      </c>
      <c r="B125" s="600">
        <f>'Données Suivi'!B608</f>
        <v/>
      </c>
      <c r="C125" s="600">
        <f>'Données Suivi'!C608</f>
        <v/>
      </c>
      <c r="D125" s="601">
        <f>'Données Suivi'!D608</f>
        <v/>
      </c>
      <c r="E125" s="600">
        <f>'Données Suivi'!E608</f>
        <v/>
      </c>
      <c r="F125" s="600">
        <f>'Données Suivi'!H608</f>
        <v/>
      </c>
      <c r="G125" s="602">
        <f>'Données Suivi'!J608</f>
        <v/>
      </c>
      <c r="H125" s="603">
        <f>'Données Suivi'!K608</f>
        <v/>
      </c>
      <c r="I125" s="600">
        <f>'Données Suivi'!L608</f>
        <v/>
      </c>
    </row>
    <row r="126">
      <c r="A126" s="600">
        <f>'Données Suivi'!A614</f>
        <v/>
      </c>
      <c r="B126" s="600">
        <f>'Données Suivi'!B614</f>
        <v/>
      </c>
      <c r="C126" s="600">
        <f>'Données Suivi'!C614</f>
        <v/>
      </c>
      <c r="D126" s="601">
        <f>'Données Suivi'!D614</f>
        <v/>
      </c>
      <c r="E126" s="600">
        <f>'Données Suivi'!E614</f>
        <v/>
      </c>
      <c r="F126" s="600">
        <f>'Données Suivi'!H614</f>
        <v/>
      </c>
      <c r="G126" s="602">
        <f>'Données Suivi'!J614</f>
        <v/>
      </c>
      <c r="H126" s="603">
        <f>'Données Suivi'!K614</f>
        <v/>
      </c>
      <c r="I126" s="600">
        <f>'Données Suivi'!L614</f>
        <v/>
      </c>
    </row>
    <row r="127">
      <c r="A127" s="600">
        <f>'Données Suivi'!A615</f>
        <v/>
      </c>
      <c r="B127" s="600">
        <f>'Données Suivi'!B615</f>
        <v/>
      </c>
      <c r="C127" s="600">
        <f>'Données Suivi'!C615</f>
        <v/>
      </c>
      <c r="D127" s="601">
        <f>'Données Suivi'!D615</f>
        <v/>
      </c>
      <c r="E127" s="600">
        <f>'Données Suivi'!E615</f>
        <v/>
      </c>
      <c r="F127" s="600">
        <f>'Données Suivi'!H615</f>
        <v/>
      </c>
      <c r="G127" s="602">
        <f>'Données Suivi'!J615</f>
        <v/>
      </c>
      <c r="H127" s="603">
        <f>'Données Suivi'!K615</f>
        <v/>
      </c>
      <c r="I127" s="600">
        <f>'Données Suivi'!L615</f>
        <v/>
      </c>
    </row>
    <row r="128">
      <c r="A128" s="600">
        <f>'Données Suivi'!A547</f>
        <v/>
      </c>
      <c r="B128" s="600">
        <f>'Données Suivi'!B547</f>
        <v/>
      </c>
      <c r="C128" s="600">
        <f>'Données Suivi'!C547</f>
        <v/>
      </c>
      <c r="D128" s="601">
        <f>'Données Suivi'!D547</f>
        <v/>
      </c>
      <c r="E128" s="600">
        <f>'Données Suivi'!E547</f>
        <v/>
      </c>
      <c r="F128" s="600">
        <f>'Données Suivi'!H547</f>
        <v/>
      </c>
      <c r="G128" s="602">
        <f>'Données Suivi'!J547</f>
        <v/>
      </c>
      <c r="H128" s="603">
        <f>'Données Suivi'!K547</f>
        <v/>
      </c>
      <c r="I128" s="600">
        <f>'Données Suivi'!L547</f>
        <v/>
      </c>
    </row>
    <row r="129">
      <c r="A129" s="600">
        <f>'Données Suivi'!A619</f>
        <v/>
      </c>
      <c r="B129" s="600">
        <f>'Données Suivi'!B619</f>
        <v/>
      </c>
      <c r="C129" s="600">
        <f>'Données Suivi'!C619</f>
        <v/>
      </c>
      <c r="D129" s="601">
        <f>'Données Suivi'!D619</f>
        <v/>
      </c>
      <c r="E129" s="600">
        <f>'Données Suivi'!E619</f>
        <v/>
      </c>
      <c r="F129" s="600">
        <f>'Données Suivi'!H619</f>
        <v/>
      </c>
      <c r="G129" s="602">
        <f>'Données Suivi'!J619</f>
        <v/>
      </c>
      <c r="H129" s="603">
        <f>'Données Suivi'!K619</f>
        <v/>
      </c>
      <c r="I129" s="600">
        <f>'Données Suivi'!L619</f>
        <v/>
      </c>
    </row>
    <row r="130">
      <c r="A130" s="600">
        <f>'Données Suivi'!A622</f>
        <v/>
      </c>
      <c r="B130" s="600">
        <f>'Données Suivi'!B622</f>
        <v/>
      </c>
      <c r="C130" s="600">
        <f>'Données Suivi'!C622</f>
        <v/>
      </c>
      <c r="D130" s="601">
        <f>'Données Suivi'!D622</f>
        <v/>
      </c>
      <c r="E130" s="600">
        <f>'Données Suivi'!E622</f>
        <v/>
      </c>
      <c r="F130" s="600">
        <f>'Données Suivi'!H622</f>
        <v/>
      </c>
      <c r="G130" s="602">
        <f>'Données Suivi'!J622</f>
        <v/>
      </c>
      <c r="H130" s="603">
        <f>'Données Suivi'!K622</f>
        <v/>
      </c>
      <c r="I130" s="600">
        <f>'Données Suivi'!L622</f>
        <v/>
      </c>
    </row>
    <row r="131">
      <c r="A131" s="600">
        <f>'Données Suivi'!A664</f>
        <v/>
      </c>
      <c r="B131" s="600">
        <f>'Données Suivi'!B664</f>
        <v/>
      </c>
      <c r="C131" s="600">
        <f>'Données Suivi'!C664</f>
        <v/>
      </c>
      <c r="D131" s="601">
        <f>'Données Suivi'!D664</f>
        <v/>
      </c>
      <c r="E131" s="600">
        <f>'Données Suivi'!E664</f>
        <v/>
      </c>
      <c r="F131" s="600">
        <f>'Données Suivi'!H664</f>
        <v/>
      </c>
      <c r="G131" s="602">
        <f>'Données Suivi'!J664</f>
        <v/>
      </c>
      <c r="H131" s="603">
        <f>'Données Suivi'!K664</f>
        <v/>
      </c>
      <c r="I131" s="600">
        <f>'Données Suivi'!L664</f>
        <v/>
      </c>
    </row>
    <row r="132">
      <c r="A132" s="600">
        <f>'Données Suivi'!A665</f>
        <v/>
      </c>
      <c r="B132" s="600">
        <f>'Données Suivi'!B665</f>
        <v/>
      </c>
      <c r="C132" s="600">
        <f>'Données Suivi'!C665</f>
        <v/>
      </c>
      <c r="D132" s="601">
        <f>'Données Suivi'!D665</f>
        <v/>
      </c>
      <c r="E132" s="600">
        <f>'Données Suivi'!E665</f>
        <v/>
      </c>
      <c r="F132" s="600">
        <f>'Données Suivi'!H665</f>
        <v/>
      </c>
      <c r="G132" s="602">
        <f>'Données Suivi'!J665</f>
        <v/>
      </c>
      <c r="H132" s="603">
        <f>'Données Suivi'!K665</f>
        <v/>
      </c>
      <c r="I132" s="600">
        <f>'Données Suivi'!L665</f>
        <v/>
      </c>
    </row>
    <row r="133">
      <c r="A133" s="600">
        <f>'Données Suivi'!A666</f>
        <v/>
      </c>
      <c r="B133" s="600">
        <f>'Données Suivi'!B666</f>
        <v/>
      </c>
      <c r="C133" s="600">
        <f>'Données Suivi'!C666</f>
        <v/>
      </c>
      <c r="D133" s="601">
        <f>'Données Suivi'!D666</f>
        <v/>
      </c>
      <c r="E133" s="600">
        <f>'Données Suivi'!E666</f>
        <v/>
      </c>
      <c r="F133" s="600">
        <f>'Données Suivi'!H666</f>
        <v/>
      </c>
      <c r="G133" s="602">
        <f>'Données Suivi'!J666</f>
        <v/>
      </c>
      <c r="H133" s="603">
        <f>'Données Suivi'!K666</f>
        <v/>
      </c>
      <c r="I133" s="600">
        <f>'Données Suivi'!L666</f>
        <v/>
      </c>
    </row>
    <row r="134">
      <c r="A134" s="600">
        <f>'Données Suivi'!A667</f>
        <v/>
      </c>
      <c r="B134" s="600">
        <f>'Données Suivi'!B667</f>
        <v/>
      </c>
      <c r="C134" s="600">
        <f>'Données Suivi'!C667</f>
        <v/>
      </c>
      <c r="D134" s="601">
        <f>'Données Suivi'!D667</f>
        <v/>
      </c>
      <c r="E134" s="600">
        <f>'Données Suivi'!E667</f>
        <v/>
      </c>
      <c r="F134" s="600">
        <f>'Données Suivi'!H667</f>
        <v/>
      </c>
      <c r="G134" s="602">
        <f>'Données Suivi'!J667</f>
        <v/>
      </c>
      <c r="H134" s="603">
        <f>'Données Suivi'!K667</f>
        <v/>
      </c>
      <c r="I134" s="600">
        <f>'Données Suivi'!L667</f>
        <v/>
      </c>
    </row>
    <row r="135">
      <c r="A135" s="600">
        <f>'Données Suivi'!A668</f>
        <v/>
      </c>
      <c r="B135" s="600">
        <f>'Données Suivi'!B668</f>
        <v/>
      </c>
      <c r="C135" s="600">
        <f>'Données Suivi'!C668</f>
        <v/>
      </c>
      <c r="D135" s="601">
        <f>'Données Suivi'!D668</f>
        <v/>
      </c>
      <c r="E135" s="600">
        <f>'Données Suivi'!E668</f>
        <v/>
      </c>
      <c r="F135" s="600">
        <f>'Données Suivi'!H668</f>
        <v/>
      </c>
      <c r="G135" s="602">
        <f>'Données Suivi'!J668</f>
        <v/>
      </c>
      <c r="H135" s="603">
        <f>'Données Suivi'!K668</f>
        <v/>
      </c>
      <c r="I135" s="600">
        <f>'Données Suivi'!L668</f>
        <v/>
      </c>
    </row>
    <row r="136">
      <c r="A136" s="600">
        <f>'Données Suivi'!A669</f>
        <v/>
      </c>
      <c r="B136" s="600">
        <f>'Données Suivi'!B669</f>
        <v/>
      </c>
      <c r="C136" s="600">
        <f>'Données Suivi'!C669</f>
        <v/>
      </c>
      <c r="D136" s="601">
        <f>'Données Suivi'!D669</f>
        <v/>
      </c>
      <c r="E136" s="600">
        <f>'Données Suivi'!E669</f>
        <v/>
      </c>
      <c r="F136" s="600">
        <f>'Données Suivi'!H669</f>
        <v/>
      </c>
      <c r="G136" s="602">
        <f>'Données Suivi'!J669</f>
        <v/>
      </c>
      <c r="H136" s="603">
        <f>'Données Suivi'!K669</f>
        <v/>
      </c>
      <c r="I136" s="600">
        <f>'Données Suivi'!L669</f>
        <v/>
      </c>
    </row>
    <row r="137">
      <c r="A137" s="600">
        <f>'Données Suivi'!A670</f>
        <v/>
      </c>
      <c r="B137" s="600">
        <f>'Données Suivi'!B670</f>
        <v/>
      </c>
      <c r="C137" s="600">
        <f>'Données Suivi'!C670</f>
        <v/>
      </c>
      <c r="D137" s="601">
        <f>'Données Suivi'!D670</f>
        <v/>
      </c>
      <c r="E137" s="600">
        <f>'Données Suivi'!E670</f>
        <v/>
      </c>
      <c r="F137" s="600">
        <f>'Données Suivi'!H670</f>
        <v/>
      </c>
      <c r="G137" s="602">
        <f>'Données Suivi'!J670</f>
        <v/>
      </c>
      <c r="H137" s="603">
        <f>'Données Suivi'!K670</f>
        <v/>
      </c>
      <c r="I137" s="600">
        <f>'Données Suivi'!L670</f>
        <v/>
      </c>
    </row>
    <row r="138">
      <c r="A138" s="600">
        <f>'Données Suivi'!A671</f>
        <v/>
      </c>
      <c r="B138" s="600">
        <f>'Données Suivi'!B671</f>
        <v/>
      </c>
      <c r="C138" s="600">
        <f>'Données Suivi'!C671</f>
        <v/>
      </c>
      <c r="D138" s="601">
        <f>'Données Suivi'!D671</f>
        <v/>
      </c>
      <c r="E138" s="600">
        <f>'Données Suivi'!E671</f>
        <v/>
      </c>
      <c r="F138" s="600">
        <f>'Données Suivi'!H671</f>
        <v/>
      </c>
      <c r="G138" s="602">
        <f>'Données Suivi'!J671</f>
        <v/>
      </c>
      <c r="H138" s="603">
        <f>'Données Suivi'!K671</f>
        <v/>
      </c>
      <c r="I138" s="600">
        <f>'Données Suivi'!L671</f>
        <v/>
      </c>
    </row>
    <row r="139">
      <c r="A139" s="600">
        <f>'Données Suivi'!A672</f>
        <v/>
      </c>
      <c r="B139" s="600">
        <f>'Données Suivi'!B672</f>
        <v/>
      </c>
      <c r="C139" s="600">
        <f>'Données Suivi'!C672</f>
        <v/>
      </c>
      <c r="D139" s="601">
        <f>'Données Suivi'!D672</f>
        <v/>
      </c>
      <c r="E139" s="600">
        <f>'Données Suivi'!E672</f>
        <v/>
      </c>
      <c r="F139" s="600">
        <f>'Données Suivi'!H672</f>
        <v/>
      </c>
      <c r="G139" s="602">
        <f>'Données Suivi'!J672</f>
        <v/>
      </c>
      <c r="H139" s="603">
        <f>'Données Suivi'!K672</f>
        <v/>
      </c>
      <c r="I139" s="600">
        <f>'Données Suivi'!L672</f>
        <v/>
      </c>
    </row>
    <row r="140">
      <c r="A140" s="600">
        <f>'Données Suivi'!A57</f>
        <v/>
      </c>
      <c r="B140" s="600">
        <f>'Données Suivi'!B57</f>
        <v/>
      </c>
      <c r="C140" s="600">
        <f>'Données Suivi'!C57</f>
        <v/>
      </c>
      <c r="D140" s="601">
        <f>'Données Suivi'!D57</f>
        <v/>
      </c>
      <c r="E140" s="600">
        <f>'Données Suivi'!E57</f>
        <v/>
      </c>
      <c r="F140" s="600">
        <f>'Données Suivi'!H57</f>
        <v/>
      </c>
      <c r="G140" s="602">
        <f>'Données Suivi'!J57</f>
        <v/>
      </c>
      <c r="H140" s="603">
        <f>'Données Suivi'!K57</f>
        <v/>
      </c>
      <c r="I140" s="600">
        <f>'Données Suivi'!L57</f>
        <v/>
      </c>
    </row>
    <row r="141">
      <c r="A141" s="600">
        <f>'Données Suivi'!A58</f>
        <v/>
      </c>
      <c r="B141" s="600">
        <f>'Données Suivi'!B58</f>
        <v/>
      </c>
      <c r="C141" s="600">
        <f>'Données Suivi'!C58</f>
        <v/>
      </c>
      <c r="D141" s="601">
        <f>'Données Suivi'!D58</f>
        <v/>
      </c>
      <c r="E141" s="600">
        <f>'Données Suivi'!E58</f>
        <v/>
      </c>
      <c r="F141" s="600">
        <f>'Données Suivi'!H58</f>
        <v/>
      </c>
      <c r="G141" s="602">
        <f>'Données Suivi'!J58</f>
        <v/>
      </c>
      <c r="H141" s="603">
        <f>'Données Suivi'!K58</f>
        <v/>
      </c>
      <c r="I141" s="600">
        <f>'Données Suivi'!L58</f>
        <v/>
      </c>
    </row>
    <row r="142">
      <c r="A142" s="600">
        <f>'Données Suivi'!A363</f>
        <v/>
      </c>
      <c r="B142" s="600">
        <f>'Données Suivi'!B363</f>
        <v/>
      </c>
      <c r="C142" s="600">
        <f>'Données Suivi'!C363</f>
        <v/>
      </c>
      <c r="D142" s="601">
        <f>'Données Suivi'!D363</f>
        <v/>
      </c>
      <c r="E142" s="600">
        <f>'Données Suivi'!E363</f>
        <v/>
      </c>
      <c r="F142" s="600">
        <f>'Données Suivi'!H363</f>
        <v/>
      </c>
      <c r="G142" s="602">
        <f>'Données Suivi'!J363</f>
        <v/>
      </c>
      <c r="H142" s="603">
        <f>'Données Suivi'!K363</f>
        <v/>
      </c>
      <c r="I142" s="600">
        <f>'Données Suivi'!L363</f>
        <v/>
      </c>
    </row>
    <row r="143">
      <c r="A143" s="600">
        <f>'Données Suivi'!A559</f>
        <v/>
      </c>
      <c r="B143" s="600">
        <f>'Données Suivi'!B559</f>
        <v/>
      </c>
      <c r="C143" s="600">
        <f>'Données Suivi'!C559</f>
        <v/>
      </c>
      <c r="D143" s="601">
        <f>'Données Suivi'!D559</f>
        <v/>
      </c>
      <c r="E143" s="600">
        <f>'Données Suivi'!E559</f>
        <v/>
      </c>
      <c r="F143" s="600">
        <f>'Données Suivi'!H559</f>
        <v/>
      </c>
      <c r="G143" s="602">
        <f>'Données Suivi'!J559</f>
        <v/>
      </c>
      <c r="H143" s="603">
        <f>'Données Suivi'!K559</f>
        <v/>
      </c>
      <c r="I143" s="600">
        <f>'Données Suivi'!L559</f>
        <v/>
      </c>
    </row>
    <row r="144">
      <c r="A144" s="600">
        <f>'Données Suivi'!A564</f>
        <v/>
      </c>
      <c r="B144" s="600">
        <f>'Données Suivi'!B564</f>
        <v/>
      </c>
      <c r="C144" s="600">
        <f>'Données Suivi'!C564</f>
        <v/>
      </c>
      <c r="D144" s="601">
        <f>'Données Suivi'!D564</f>
        <v/>
      </c>
      <c r="E144" s="600">
        <f>'Données Suivi'!E564</f>
        <v/>
      </c>
      <c r="F144" s="600">
        <f>'Données Suivi'!H564</f>
        <v/>
      </c>
      <c r="G144" s="602">
        <f>'Données Suivi'!J564</f>
        <v/>
      </c>
      <c r="H144" s="603">
        <f>'Données Suivi'!K564</f>
        <v/>
      </c>
      <c r="I144" s="600">
        <f>'Données Suivi'!L564</f>
        <v/>
      </c>
    </row>
    <row r="145">
      <c r="A145" s="600">
        <f>'Données Suivi'!A567</f>
        <v/>
      </c>
      <c r="B145" s="600">
        <f>'Données Suivi'!B567</f>
        <v/>
      </c>
      <c r="C145" s="600">
        <f>'Données Suivi'!C567</f>
        <v/>
      </c>
      <c r="D145" s="601">
        <f>'Données Suivi'!D567</f>
        <v/>
      </c>
      <c r="E145" s="600">
        <f>'Données Suivi'!E567</f>
        <v/>
      </c>
      <c r="F145" s="600">
        <f>'Données Suivi'!H567</f>
        <v/>
      </c>
      <c r="G145" s="602">
        <f>'Données Suivi'!J567</f>
        <v/>
      </c>
      <c r="H145" s="603">
        <f>'Données Suivi'!K567</f>
        <v/>
      </c>
      <c r="I145" s="600">
        <f>'Données Suivi'!L567</f>
        <v/>
      </c>
    </row>
    <row r="146">
      <c r="A146" s="600">
        <f>'Données Suivi'!A603</f>
        <v/>
      </c>
      <c r="B146" s="600">
        <f>'Données Suivi'!B603</f>
        <v/>
      </c>
      <c r="C146" s="600">
        <f>'Données Suivi'!C603</f>
        <v/>
      </c>
      <c r="D146" s="601">
        <f>'Données Suivi'!D603</f>
        <v/>
      </c>
      <c r="E146" s="600">
        <f>'Données Suivi'!E603</f>
        <v/>
      </c>
      <c r="F146" s="600">
        <f>'Données Suivi'!H603</f>
        <v/>
      </c>
      <c r="G146" s="602">
        <f>'Données Suivi'!J603</f>
        <v/>
      </c>
      <c r="H146" s="603">
        <f>'Données Suivi'!K603</f>
        <v/>
      </c>
      <c r="I146" s="600">
        <f>'Données Suivi'!L603</f>
        <v/>
      </c>
    </row>
    <row r="147">
      <c r="A147" s="600">
        <f>'Données Suivi'!A604</f>
        <v/>
      </c>
      <c r="B147" s="600">
        <f>'Données Suivi'!B604</f>
        <v/>
      </c>
      <c r="C147" s="600">
        <f>'Données Suivi'!C604</f>
        <v/>
      </c>
      <c r="D147" s="601">
        <f>'Données Suivi'!D604</f>
        <v/>
      </c>
      <c r="E147" s="600">
        <f>'Données Suivi'!E604</f>
        <v/>
      </c>
      <c r="F147" s="600">
        <f>'Données Suivi'!H604</f>
        <v/>
      </c>
      <c r="G147" s="602">
        <f>'Données Suivi'!J604</f>
        <v/>
      </c>
      <c r="H147" s="603">
        <f>'Données Suivi'!K604</f>
        <v/>
      </c>
      <c r="I147" s="600">
        <f>'Données Suivi'!L604</f>
        <v/>
      </c>
    </row>
    <row r="148">
      <c r="A148" s="600">
        <f>'Données Suivi'!A607</f>
        <v/>
      </c>
      <c r="B148" s="600">
        <f>'Données Suivi'!B607</f>
        <v/>
      </c>
      <c r="C148" s="600">
        <f>'Données Suivi'!C607</f>
        <v/>
      </c>
      <c r="D148" s="601">
        <f>'Données Suivi'!D607</f>
        <v/>
      </c>
      <c r="E148" s="600">
        <f>'Données Suivi'!E607</f>
        <v/>
      </c>
      <c r="F148" s="600">
        <f>'Données Suivi'!H607</f>
        <v/>
      </c>
      <c r="G148" s="602">
        <f>'Données Suivi'!J607</f>
        <v/>
      </c>
      <c r="H148" s="603">
        <f>'Données Suivi'!K607</f>
        <v/>
      </c>
      <c r="I148" s="600">
        <f>'Données Suivi'!L607</f>
        <v/>
      </c>
    </row>
    <row r="149">
      <c r="A149" s="600">
        <f>'Données Suivi'!A610</f>
        <v/>
      </c>
      <c r="B149" s="600">
        <f>'Données Suivi'!B610</f>
        <v/>
      </c>
      <c r="C149" s="600">
        <f>'Données Suivi'!C610</f>
        <v/>
      </c>
      <c r="D149" s="601">
        <f>'Données Suivi'!D610</f>
        <v/>
      </c>
      <c r="E149" s="600">
        <f>'Données Suivi'!E610</f>
        <v/>
      </c>
      <c r="F149" s="600">
        <f>'Données Suivi'!H610</f>
        <v/>
      </c>
      <c r="G149" s="602">
        <f>'Données Suivi'!J610</f>
        <v/>
      </c>
      <c r="H149" s="603">
        <f>'Données Suivi'!K610</f>
        <v/>
      </c>
      <c r="I149" s="600">
        <f>'Données Suivi'!L610</f>
        <v/>
      </c>
    </row>
    <row r="150">
      <c r="A150" s="600">
        <f>'Données Suivi'!A613</f>
        <v/>
      </c>
      <c r="B150" s="600">
        <f>'Données Suivi'!B613</f>
        <v/>
      </c>
      <c r="C150" s="600">
        <f>'Données Suivi'!C613</f>
        <v/>
      </c>
      <c r="D150" s="601">
        <f>'Données Suivi'!D613</f>
        <v/>
      </c>
      <c r="E150" s="600">
        <f>'Données Suivi'!E613</f>
        <v/>
      </c>
      <c r="F150" s="600">
        <f>'Données Suivi'!H613</f>
        <v/>
      </c>
      <c r="G150" s="602">
        <f>'Données Suivi'!J613</f>
        <v/>
      </c>
      <c r="H150" s="603">
        <f>'Données Suivi'!K613</f>
        <v/>
      </c>
      <c r="I150" s="600">
        <f>'Données Suivi'!L613</f>
        <v/>
      </c>
    </row>
    <row r="151">
      <c r="A151" s="600">
        <f>'Données Suivi'!A616</f>
        <v/>
      </c>
      <c r="B151" s="600">
        <f>'Données Suivi'!B616</f>
        <v/>
      </c>
      <c r="C151" s="600">
        <f>'Données Suivi'!C616</f>
        <v/>
      </c>
      <c r="D151" s="601">
        <f>'Données Suivi'!D616</f>
        <v/>
      </c>
      <c r="E151" s="600">
        <f>'Données Suivi'!E616</f>
        <v/>
      </c>
      <c r="F151" s="600">
        <f>'Données Suivi'!H616</f>
        <v/>
      </c>
      <c r="G151" s="602">
        <f>'Données Suivi'!J616</f>
        <v/>
      </c>
      <c r="H151" s="603">
        <f>'Données Suivi'!K616</f>
        <v/>
      </c>
      <c r="I151" s="600">
        <f>'Données Suivi'!L616</f>
        <v/>
      </c>
    </row>
    <row r="152">
      <c r="A152" s="600">
        <f>'Données Suivi'!A617</f>
        <v/>
      </c>
      <c r="B152" s="600">
        <f>'Données Suivi'!B617</f>
        <v/>
      </c>
      <c r="C152" s="600">
        <f>'Données Suivi'!C617</f>
        <v/>
      </c>
      <c r="D152" s="601">
        <f>'Données Suivi'!D617</f>
        <v/>
      </c>
      <c r="E152" s="600">
        <f>'Données Suivi'!E617</f>
        <v/>
      </c>
      <c r="F152" s="600">
        <f>'Données Suivi'!H617</f>
        <v/>
      </c>
      <c r="G152" s="602">
        <f>'Données Suivi'!J617</f>
        <v/>
      </c>
      <c r="H152" s="603">
        <f>'Données Suivi'!K617</f>
        <v/>
      </c>
      <c r="I152" s="600">
        <f>'Données Suivi'!L617</f>
        <v/>
      </c>
    </row>
    <row r="153">
      <c r="A153" s="600">
        <f>'Données Suivi'!A618</f>
        <v/>
      </c>
      <c r="B153" s="600">
        <f>'Données Suivi'!B618</f>
        <v/>
      </c>
      <c r="C153" s="600">
        <f>'Données Suivi'!C618</f>
        <v/>
      </c>
      <c r="D153" s="601">
        <f>'Données Suivi'!D618</f>
        <v/>
      </c>
      <c r="E153" s="600">
        <f>'Données Suivi'!E618</f>
        <v/>
      </c>
      <c r="F153" s="600">
        <f>'Données Suivi'!H618</f>
        <v/>
      </c>
      <c r="G153" s="602">
        <f>'Données Suivi'!J618</f>
        <v/>
      </c>
      <c r="H153" s="603">
        <f>'Données Suivi'!K618</f>
        <v/>
      </c>
      <c r="I153" s="600">
        <f>'Données Suivi'!L618</f>
        <v/>
      </c>
    </row>
    <row r="154">
      <c r="A154" s="600">
        <f>'Données Suivi'!A621</f>
        <v/>
      </c>
      <c r="B154" s="600">
        <f>'Données Suivi'!B621</f>
        <v/>
      </c>
      <c r="C154" s="600">
        <f>'Données Suivi'!C621</f>
        <v/>
      </c>
      <c r="D154" s="601">
        <f>'Données Suivi'!D621</f>
        <v/>
      </c>
      <c r="E154" s="600">
        <f>'Données Suivi'!E621</f>
        <v/>
      </c>
      <c r="F154" s="600">
        <f>'Données Suivi'!H621</f>
        <v/>
      </c>
      <c r="G154" s="602">
        <f>'Données Suivi'!J621</f>
        <v/>
      </c>
      <c r="H154" s="603">
        <f>'Données Suivi'!K621</f>
        <v/>
      </c>
      <c r="I154" s="600">
        <f>'Données Suivi'!L621</f>
        <v/>
      </c>
    </row>
    <row r="155">
      <c r="A155" s="600">
        <f>'Données Suivi'!A623</f>
        <v/>
      </c>
      <c r="B155" s="600">
        <f>'Données Suivi'!B623</f>
        <v/>
      </c>
      <c r="C155" s="600">
        <f>'Données Suivi'!C623</f>
        <v/>
      </c>
      <c r="D155" s="601">
        <f>'Données Suivi'!D623</f>
        <v/>
      </c>
      <c r="E155" s="600">
        <f>'Données Suivi'!E623</f>
        <v/>
      </c>
      <c r="F155" s="600">
        <f>'Données Suivi'!H623</f>
        <v/>
      </c>
      <c r="G155" s="602">
        <f>'Données Suivi'!J623</f>
        <v/>
      </c>
      <c r="H155" s="603">
        <f>'Données Suivi'!K623</f>
        <v/>
      </c>
      <c r="I155" s="600">
        <f>'Données Suivi'!L623</f>
        <v/>
      </c>
    </row>
    <row r="156">
      <c r="A156" s="600">
        <f>'Données Suivi'!A624</f>
        <v/>
      </c>
      <c r="B156" s="600">
        <f>'Données Suivi'!B624</f>
        <v/>
      </c>
      <c r="C156" s="600">
        <f>'Données Suivi'!C624</f>
        <v/>
      </c>
      <c r="D156" s="601">
        <f>'Données Suivi'!D624</f>
        <v/>
      </c>
      <c r="E156" s="600">
        <f>'Données Suivi'!E624</f>
        <v/>
      </c>
      <c r="F156" s="600">
        <f>'Données Suivi'!H624</f>
        <v/>
      </c>
      <c r="G156" s="602">
        <f>'Données Suivi'!J624</f>
        <v/>
      </c>
      <c r="H156" s="603">
        <f>'Données Suivi'!K624</f>
        <v/>
      </c>
      <c r="I156" s="600">
        <f>'Données Suivi'!L624</f>
        <v/>
      </c>
    </row>
    <row r="157">
      <c r="A157" s="600">
        <f>'Données Suivi'!A625</f>
        <v/>
      </c>
      <c r="B157" s="600">
        <f>'Données Suivi'!B625</f>
        <v/>
      </c>
      <c r="C157" s="600">
        <f>'Données Suivi'!C625</f>
        <v/>
      </c>
      <c r="D157" s="601">
        <f>'Données Suivi'!D625</f>
        <v/>
      </c>
      <c r="E157" s="600">
        <f>'Données Suivi'!E625</f>
        <v/>
      </c>
      <c r="F157" s="600">
        <f>'Données Suivi'!H625</f>
        <v/>
      </c>
      <c r="G157" s="602">
        <f>'Données Suivi'!J625</f>
        <v/>
      </c>
      <c r="H157" s="603">
        <f>'Données Suivi'!K625</f>
        <v/>
      </c>
      <c r="I157" s="600">
        <f>'Données Suivi'!L625</f>
        <v/>
      </c>
    </row>
    <row r="158">
      <c r="A158" s="600">
        <f>'Données Suivi'!A626</f>
        <v/>
      </c>
      <c r="B158" s="600">
        <f>'Données Suivi'!B626</f>
        <v/>
      </c>
      <c r="C158" s="600">
        <f>'Données Suivi'!C626</f>
        <v/>
      </c>
      <c r="D158" s="601">
        <f>'Données Suivi'!D626</f>
        <v/>
      </c>
      <c r="E158" s="600">
        <f>'Données Suivi'!E626</f>
        <v/>
      </c>
      <c r="F158" s="600">
        <f>'Données Suivi'!H626</f>
        <v/>
      </c>
      <c r="G158" s="602">
        <f>'Données Suivi'!J626</f>
        <v/>
      </c>
      <c r="H158" s="603">
        <f>'Données Suivi'!K626</f>
        <v/>
      </c>
      <c r="I158" s="600">
        <f>'Données Suivi'!L626</f>
        <v/>
      </c>
    </row>
    <row r="159">
      <c r="A159" s="600">
        <f>'Données Suivi'!A627</f>
        <v/>
      </c>
      <c r="B159" s="600">
        <f>'Données Suivi'!B627</f>
        <v/>
      </c>
      <c r="C159" s="600">
        <f>'Données Suivi'!C627</f>
        <v/>
      </c>
      <c r="D159" s="601">
        <f>'Données Suivi'!D627</f>
        <v/>
      </c>
      <c r="E159" s="600">
        <f>'Données Suivi'!E627</f>
        <v/>
      </c>
      <c r="F159" s="600">
        <f>'Données Suivi'!H627</f>
        <v/>
      </c>
      <c r="G159" s="602">
        <f>'Données Suivi'!J627</f>
        <v/>
      </c>
      <c r="H159" s="603">
        <f>'Données Suivi'!K627</f>
        <v/>
      </c>
      <c r="I159" s="600">
        <f>'Données Suivi'!L627</f>
        <v/>
      </c>
    </row>
    <row r="160">
      <c r="A160" s="600">
        <f>'Données Suivi'!A628</f>
        <v/>
      </c>
      <c r="B160" s="600">
        <f>'Données Suivi'!B628</f>
        <v/>
      </c>
      <c r="C160" s="600">
        <f>'Données Suivi'!C628</f>
        <v/>
      </c>
      <c r="D160" s="601">
        <f>'Données Suivi'!D628</f>
        <v/>
      </c>
      <c r="E160" s="600">
        <f>'Données Suivi'!E628</f>
        <v/>
      </c>
      <c r="F160" s="600">
        <f>'Données Suivi'!H628</f>
        <v/>
      </c>
      <c r="G160" s="602">
        <f>'Données Suivi'!J628</f>
        <v/>
      </c>
      <c r="H160" s="603">
        <f>'Données Suivi'!K628</f>
        <v/>
      </c>
      <c r="I160" s="600">
        <f>'Données Suivi'!L628</f>
        <v/>
      </c>
    </row>
    <row r="161">
      <c r="A161" s="600">
        <f>'Données Suivi'!A629</f>
        <v/>
      </c>
      <c r="B161" s="600">
        <f>'Données Suivi'!B629</f>
        <v/>
      </c>
      <c r="C161" s="600">
        <f>'Données Suivi'!C629</f>
        <v/>
      </c>
      <c r="D161" s="601">
        <f>'Données Suivi'!D629</f>
        <v/>
      </c>
      <c r="E161" s="600">
        <f>'Données Suivi'!E629</f>
        <v/>
      </c>
      <c r="F161" s="600">
        <f>'Données Suivi'!H629</f>
        <v/>
      </c>
      <c r="G161" s="602">
        <f>'Données Suivi'!J629</f>
        <v/>
      </c>
      <c r="H161" s="603">
        <f>'Données Suivi'!K629</f>
        <v/>
      </c>
      <c r="I161" s="600">
        <f>'Données Suivi'!L629</f>
        <v/>
      </c>
    </row>
    <row r="162">
      <c r="A162" s="600">
        <f>'Données Suivi'!A630</f>
        <v/>
      </c>
      <c r="B162" s="600">
        <f>'Données Suivi'!B630</f>
        <v/>
      </c>
      <c r="C162" s="600">
        <f>'Données Suivi'!C630</f>
        <v/>
      </c>
      <c r="D162" s="601">
        <f>'Données Suivi'!D630</f>
        <v/>
      </c>
      <c r="E162" s="600">
        <f>'Données Suivi'!E630</f>
        <v/>
      </c>
      <c r="F162" s="600">
        <f>'Données Suivi'!H630</f>
        <v/>
      </c>
      <c r="G162" s="602">
        <f>'Données Suivi'!J630</f>
        <v/>
      </c>
      <c r="H162" s="603">
        <f>'Données Suivi'!K630</f>
        <v/>
      </c>
      <c r="I162" s="600">
        <f>'Données Suivi'!L630</f>
        <v/>
      </c>
    </row>
    <row r="163">
      <c r="A163" s="600">
        <f>'Données Suivi'!A631</f>
        <v/>
      </c>
      <c r="B163" s="600">
        <f>'Données Suivi'!B631</f>
        <v/>
      </c>
      <c r="C163" s="600">
        <f>'Données Suivi'!C631</f>
        <v/>
      </c>
      <c r="D163" s="601">
        <f>'Données Suivi'!D631</f>
        <v/>
      </c>
      <c r="E163" s="600">
        <f>'Données Suivi'!E631</f>
        <v/>
      </c>
      <c r="F163" s="600">
        <f>'Données Suivi'!H631</f>
        <v/>
      </c>
      <c r="G163" s="602">
        <f>'Données Suivi'!J631</f>
        <v/>
      </c>
      <c r="H163" s="603">
        <f>'Données Suivi'!K631</f>
        <v/>
      </c>
      <c r="I163" s="600">
        <f>'Données Suivi'!L631</f>
        <v/>
      </c>
    </row>
    <row r="164">
      <c r="A164" s="600">
        <f>'Données Suivi'!A642</f>
        <v/>
      </c>
      <c r="B164" s="600">
        <f>'Données Suivi'!B642</f>
        <v/>
      </c>
      <c r="C164" s="600">
        <f>'Données Suivi'!C642</f>
        <v/>
      </c>
      <c r="D164" s="601">
        <f>'Données Suivi'!D642</f>
        <v/>
      </c>
      <c r="E164" s="600">
        <f>'Données Suivi'!E642</f>
        <v/>
      </c>
      <c r="F164" s="600">
        <f>'Données Suivi'!H642</f>
        <v/>
      </c>
      <c r="G164" s="602">
        <f>'Données Suivi'!J642</f>
        <v/>
      </c>
      <c r="H164" s="603">
        <f>'Données Suivi'!K642</f>
        <v/>
      </c>
      <c r="I164" s="600">
        <f>'Données Suivi'!L642</f>
        <v/>
      </c>
    </row>
    <row r="165">
      <c r="A165" s="600">
        <f>'Données Suivi'!A643</f>
        <v/>
      </c>
      <c r="B165" s="600">
        <f>'Données Suivi'!B643</f>
        <v/>
      </c>
      <c r="C165" s="600">
        <f>'Données Suivi'!C643</f>
        <v/>
      </c>
      <c r="D165" s="601">
        <f>'Données Suivi'!D643</f>
        <v/>
      </c>
      <c r="E165" s="600">
        <f>'Données Suivi'!E643</f>
        <v/>
      </c>
      <c r="F165" s="600">
        <f>'Données Suivi'!H643</f>
        <v/>
      </c>
      <c r="G165" s="602">
        <f>'Données Suivi'!J643</f>
        <v/>
      </c>
      <c r="H165" s="603">
        <f>'Données Suivi'!K643</f>
        <v/>
      </c>
      <c r="I165" s="600">
        <f>'Données Suivi'!L643</f>
        <v/>
      </c>
    </row>
    <row r="166">
      <c r="A166" s="600">
        <f>'Données Suivi'!A644</f>
        <v/>
      </c>
      <c r="B166" s="600">
        <f>'Données Suivi'!B644</f>
        <v/>
      </c>
      <c r="C166" s="600">
        <f>'Données Suivi'!C644</f>
        <v/>
      </c>
      <c r="D166" s="601">
        <f>'Données Suivi'!D644</f>
        <v/>
      </c>
      <c r="E166" s="600">
        <f>'Données Suivi'!E644</f>
        <v/>
      </c>
      <c r="F166" s="600">
        <f>'Données Suivi'!H644</f>
        <v/>
      </c>
      <c r="G166" s="602">
        <f>'Données Suivi'!J644</f>
        <v/>
      </c>
      <c r="H166" s="603">
        <f>'Données Suivi'!K644</f>
        <v/>
      </c>
      <c r="I166" s="600">
        <f>'Données Suivi'!L644</f>
        <v/>
      </c>
    </row>
    <row r="167">
      <c r="A167" s="600">
        <f>'Données Suivi'!A645</f>
        <v/>
      </c>
      <c r="B167" s="600">
        <f>'Données Suivi'!B645</f>
        <v/>
      </c>
      <c r="C167" s="600">
        <f>'Données Suivi'!C645</f>
        <v/>
      </c>
      <c r="D167" s="601">
        <f>'Données Suivi'!D645</f>
        <v/>
      </c>
      <c r="E167" s="600">
        <f>'Données Suivi'!E645</f>
        <v/>
      </c>
      <c r="F167" s="600">
        <f>'Données Suivi'!H645</f>
        <v/>
      </c>
      <c r="G167" s="602">
        <f>'Données Suivi'!J645</f>
        <v/>
      </c>
      <c r="H167" s="603">
        <f>'Données Suivi'!K645</f>
        <v/>
      </c>
      <c r="I167" s="600">
        <f>'Données Suivi'!L645</f>
        <v/>
      </c>
    </row>
    <row r="168">
      <c r="A168" s="600">
        <f>'Données Suivi'!A646</f>
        <v/>
      </c>
      <c r="B168" s="600">
        <f>'Données Suivi'!B646</f>
        <v/>
      </c>
      <c r="C168" s="600">
        <f>'Données Suivi'!C646</f>
        <v/>
      </c>
      <c r="D168" s="601">
        <f>'Données Suivi'!D646</f>
        <v/>
      </c>
      <c r="E168" s="600">
        <f>'Données Suivi'!E646</f>
        <v/>
      </c>
      <c r="F168" s="600">
        <f>'Données Suivi'!H646</f>
        <v/>
      </c>
      <c r="G168" s="602">
        <f>'Données Suivi'!J646</f>
        <v/>
      </c>
      <c r="H168" s="603">
        <f>'Données Suivi'!K646</f>
        <v/>
      </c>
      <c r="I168" s="600">
        <f>'Données Suivi'!L646</f>
        <v/>
      </c>
    </row>
    <row r="169">
      <c r="A169" s="600">
        <f>'Données Suivi'!A647</f>
        <v/>
      </c>
      <c r="B169" s="600">
        <f>'Données Suivi'!B647</f>
        <v/>
      </c>
      <c r="C169" s="600">
        <f>'Données Suivi'!C647</f>
        <v/>
      </c>
      <c r="D169" s="601">
        <f>'Données Suivi'!D647</f>
        <v/>
      </c>
      <c r="E169" s="600">
        <f>'Données Suivi'!E647</f>
        <v/>
      </c>
      <c r="F169" s="600">
        <f>'Données Suivi'!H647</f>
        <v/>
      </c>
      <c r="G169" s="602">
        <f>'Données Suivi'!J647</f>
        <v/>
      </c>
      <c r="H169" s="603">
        <f>'Données Suivi'!K647</f>
        <v/>
      </c>
      <c r="I169" s="600">
        <f>'Données Suivi'!L647</f>
        <v/>
      </c>
    </row>
    <row r="170">
      <c r="A170" s="600">
        <f>'Données Suivi'!A648</f>
        <v/>
      </c>
      <c r="B170" s="600">
        <f>'Données Suivi'!B648</f>
        <v/>
      </c>
      <c r="C170" s="600">
        <f>'Données Suivi'!C648</f>
        <v/>
      </c>
      <c r="D170" s="601">
        <f>'Données Suivi'!D648</f>
        <v/>
      </c>
      <c r="E170" s="600">
        <f>'Données Suivi'!E648</f>
        <v/>
      </c>
      <c r="F170" s="600">
        <f>'Données Suivi'!H648</f>
        <v/>
      </c>
      <c r="G170" s="602">
        <f>'Données Suivi'!J648</f>
        <v/>
      </c>
      <c r="H170" s="603">
        <f>'Données Suivi'!K648</f>
        <v/>
      </c>
      <c r="I170" s="600">
        <f>'Données Suivi'!L648</f>
        <v/>
      </c>
    </row>
    <row r="171">
      <c r="A171" s="600">
        <f>'Données Suivi'!A649</f>
        <v/>
      </c>
      <c r="B171" s="600">
        <f>'Données Suivi'!B649</f>
        <v/>
      </c>
      <c r="C171" s="600">
        <f>'Données Suivi'!C649</f>
        <v/>
      </c>
      <c r="D171" s="601">
        <f>'Données Suivi'!D649</f>
        <v/>
      </c>
      <c r="E171" s="600">
        <f>'Données Suivi'!E649</f>
        <v/>
      </c>
      <c r="F171" s="600">
        <f>'Données Suivi'!H649</f>
        <v/>
      </c>
      <c r="G171" s="602">
        <f>'Données Suivi'!J649</f>
        <v/>
      </c>
      <c r="H171" s="603">
        <f>'Données Suivi'!K649</f>
        <v/>
      </c>
      <c r="I171" s="600">
        <f>'Données Suivi'!L649</f>
        <v/>
      </c>
    </row>
    <row r="172">
      <c r="A172" s="600">
        <f>'Données Suivi'!A650</f>
        <v/>
      </c>
      <c r="B172" s="600">
        <f>'Données Suivi'!B650</f>
        <v/>
      </c>
      <c r="C172" s="600">
        <f>'Données Suivi'!C650</f>
        <v/>
      </c>
      <c r="D172" s="601">
        <f>'Données Suivi'!D650</f>
        <v/>
      </c>
      <c r="E172" s="600">
        <f>'Données Suivi'!E650</f>
        <v/>
      </c>
      <c r="F172" s="600">
        <f>'Données Suivi'!H650</f>
        <v/>
      </c>
      <c r="G172" s="602">
        <f>'Données Suivi'!J650</f>
        <v/>
      </c>
      <c r="H172" s="603">
        <f>'Données Suivi'!K650</f>
        <v/>
      </c>
      <c r="I172" s="600">
        <f>'Données Suivi'!L650</f>
        <v/>
      </c>
    </row>
    <row r="173">
      <c r="A173" s="600">
        <f>'Données Suivi'!A651</f>
        <v/>
      </c>
      <c r="B173" s="600">
        <f>'Données Suivi'!B651</f>
        <v/>
      </c>
      <c r="C173" s="600">
        <f>'Données Suivi'!C651</f>
        <v/>
      </c>
      <c r="D173" s="601">
        <f>'Données Suivi'!D651</f>
        <v/>
      </c>
      <c r="E173" s="600">
        <f>'Données Suivi'!E651</f>
        <v/>
      </c>
      <c r="F173" s="600">
        <f>'Données Suivi'!H651</f>
        <v/>
      </c>
      <c r="G173" s="602">
        <f>'Données Suivi'!J651</f>
        <v/>
      </c>
      <c r="H173" s="603">
        <f>'Données Suivi'!K651</f>
        <v/>
      </c>
      <c r="I173" s="600">
        <f>'Données Suivi'!L651</f>
        <v/>
      </c>
    </row>
    <row r="174">
      <c r="A174" s="600">
        <f>'Données Suivi'!A652</f>
        <v/>
      </c>
      <c r="B174" s="600">
        <f>'Données Suivi'!B652</f>
        <v/>
      </c>
      <c r="C174" s="600">
        <f>'Données Suivi'!C652</f>
        <v/>
      </c>
      <c r="D174" s="601">
        <f>'Données Suivi'!D652</f>
        <v/>
      </c>
      <c r="E174" s="600">
        <f>'Données Suivi'!E652</f>
        <v/>
      </c>
      <c r="F174" s="600">
        <f>'Données Suivi'!H652</f>
        <v/>
      </c>
      <c r="G174" s="602">
        <f>'Données Suivi'!J652</f>
        <v/>
      </c>
      <c r="H174" s="603">
        <f>'Données Suivi'!K652</f>
        <v/>
      </c>
      <c r="I174" s="600">
        <f>'Données Suivi'!L652</f>
        <v/>
      </c>
    </row>
    <row r="175">
      <c r="A175" s="600">
        <f>'Données Suivi'!A653</f>
        <v/>
      </c>
      <c r="B175" s="600">
        <f>'Données Suivi'!B653</f>
        <v/>
      </c>
      <c r="C175" s="600">
        <f>'Données Suivi'!C653</f>
        <v/>
      </c>
      <c r="D175" s="601">
        <f>'Données Suivi'!D653</f>
        <v/>
      </c>
      <c r="E175" s="600">
        <f>'Données Suivi'!E653</f>
        <v/>
      </c>
      <c r="F175" s="600">
        <f>'Données Suivi'!H653</f>
        <v/>
      </c>
      <c r="G175" s="602">
        <f>'Données Suivi'!J653</f>
        <v/>
      </c>
      <c r="H175" s="603">
        <f>'Données Suivi'!K653</f>
        <v/>
      </c>
      <c r="I175" s="600">
        <f>'Données Suivi'!L653</f>
        <v/>
      </c>
    </row>
    <row r="176">
      <c r="A176" s="600">
        <f>'Données Suivi'!A654</f>
        <v/>
      </c>
      <c r="B176" s="600">
        <f>'Données Suivi'!B654</f>
        <v/>
      </c>
      <c r="C176" s="600">
        <f>'Données Suivi'!C654</f>
        <v/>
      </c>
      <c r="D176" s="601">
        <f>'Données Suivi'!D654</f>
        <v/>
      </c>
      <c r="E176" s="600">
        <f>'Données Suivi'!E654</f>
        <v/>
      </c>
      <c r="F176" s="600">
        <f>'Données Suivi'!H654</f>
        <v/>
      </c>
      <c r="G176" s="602">
        <f>'Données Suivi'!J654</f>
        <v/>
      </c>
      <c r="H176" s="603">
        <f>'Données Suivi'!K654</f>
        <v/>
      </c>
      <c r="I176" s="600">
        <f>'Données Suivi'!L654</f>
        <v/>
      </c>
    </row>
    <row r="177">
      <c r="A177" s="600">
        <f>'Données Suivi'!A655</f>
        <v/>
      </c>
      <c r="B177" s="600">
        <f>'Données Suivi'!B655</f>
        <v/>
      </c>
      <c r="C177" s="600">
        <f>'Données Suivi'!C655</f>
        <v/>
      </c>
      <c r="D177" s="601">
        <f>'Données Suivi'!D655</f>
        <v/>
      </c>
      <c r="E177" s="600">
        <f>'Données Suivi'!E655</f>
        <v/>
      </c>
      <c r="F177" s="600">
        <f>'Données Suivi'!H655</f>
        <v/>
      </c>
      <c r="G177" s="602">
        <f>'Données Suivi'!J655</f>
        <v/>
      </c>
      <c r="H177" s="603">
        <f>'Données Suivi'!K655</f>
        <v/>
      </c>
      <c r="I177" s="600">
        <f>'Données Suivi'!L655</f>
        <v/>
      </c>
    </row>
    <row r="178">
      <c r="A178" s="600">
        <f>'Données Suivi'!A658</f>
        <v/>
      </c>
      <c r="B178" s="600">
        <f>'Données Suivi'!B658</f>
        <v/>
      </c>
      <c r="C178" s="600">
        <f>'Données Suivi'!C658</f>
        <v/>
      </c>
      <c r="D178" s="601">
        <f>'Données Suivi'!D658</f>
        <v/>
      </c>
      <c r="E178" s="600">
        <f>'Données Suivi'!E658</f>
        <v/>
      </c>
      <c r="F178" s="600">
        <f>'Données Suivi'!H658</f>
        <v/>
      </c>
      <c r="G178" s="602">
        <f>'Données Suivi'!J658</f>
        <v/>
      </c>
      <c r="H178" s="603">
        <f>'Données Suivi'!K658</f>
        <v/>
      </c>
      <c r="I178" s="600">
        <f>'Données Suivi'!L658</f>
        <v/>
      </c>
    </row>
    <row r="179">
      <c r="A179" s="600">
        <f>'Données Suivi'!A659</f>
        <v/>
      </c>
      <c r="B179" s="600">
        <f>'Données Suivi'!B659</f>
        <v/>
      </c>
      <c r="C179" s="600">
        <f>'Données Suivi'!C659</f>
        <v/>
      </c>
      <c r="D179" s="601">
        <f>'Données Suivi'!D659</f>
        <v/>
      </c>
      <c r="E179" s="600">
        <f>'Données Suivi'!E659</f>
        <v/>
      </c>
      <c r="F179" s="600">
        <f>'Données Suivi'!H659</f>
        <v/>
      </c>
      <c r="G179" s="602">
        <f>'Données Suivi'!J659</f>
        <v/>
      </c>
      <c r="H179" s="603">
        <f>'Données Suivi'!K659</f>
        <v/>
      </c>
      <c r="I179" s="600">
        <f>'Données Suivi'!L659</f>
        <v/>
      </c>
    </row>
    <row r="180">
      <c r="A180" s="600">
        <f>'Données Suivi'!A660</f>
        <v/>
      </c>
      <c r="B180" s="600">
        <f>'Données Suivi'!B660</f>
        <v/>
      </c>
      <c r="C180" s="600">
        <f>'Données Suivi'!C660</f>
        <v/>
      </c>
      <c r="D180" s="601">
        <f>'Données Suivi'!D660</f>
        <v/>
      </c>
      <c r="E180" s="600">
        <f>'Données Suivi'!E660</f>
        <v/>
      </c>
      <c r="F180" s="600">
        <f>'Données Suivi'!H660</f>
        <v/>
      </c>
      <c r="G180" s="602">
        <f>'Données Suivi'!J660</f>
        <v/>
      </c>
      <c r="H180" s="603">
        <f>'Données Suivi'!K660</f>
        <v/>
      </c>
      <c r="I180" s="600">
        <f>'Données Suivi'!L660</f>
        <v/>
      </c>
    </row>
    <row r="181">
      <c r="A181" s="600">
        <f>'Données Suivi'!A661</f>
        <v/>
      </c>
      <c r="B181" s="600">
        <f>'Données Suivi'!B661</f>
        <v/>
      </c>
      <c r="C181" s="600">
        <f>'Données Suivi'!C661</f>
        <v/>
      </c>
      <c r="D181" s="601">
        <f>'Données Suivi'!D661</f>
        <v/>
      </c>
      <c r="E181" s="600">
        <f>'Données Suivi'!E661</f>
        <v/>
      </c>
      <c r="F181" s="600">
        <f>'Données Suivi'!H661</f>
        <v/>
      </c>
      <c r="G181" s="602">
        <f>'Données Suivi'!J661</f>
        <v/>
      </c>
      <c r="H181" s="603">
        <f>'Données Suivi'!K661</f>
        <v/>
      </c>
      <c r="I181" s="600">
        <f>'Données Suivi'!L661</f>
        <v/>
      </c>
    </row>
    <row r="182">
      <c r="A182" s="600">
        <f>'Données Suivi'!A662</f>
        <v/>
      </c>
      <c r="B182" s="600">
        <f>'Données Suivi'!B662</f>
        <v/>
      </c>
      <c r="C182" s="600">
        <f>'Données Suivi'!C662</f>
        <v/>
      </c>
      <c r="D182" s="601">
        <f>'Données Suivi'!D662</f>
        <v/>
      </c>
      <c r="E182" s="600">
        <f>'Données Suivi'!E662</f>
        <v/>
      </c>
      <c r="F182" s="600">
        <f>'Données Suivi'!H662</f>
        <v/>
      </c>
      <c r="G182" s="602">
        <f>'Données Suivi'!J662</f>
        <v/>
      </c>
      <c r="H182" s="603">
        <f>'Données Suivi'!K662</f>
        <v/>
      </c>
      <c r="I182" s="600">
        <f>'Données Suivi'!L662</f>
        <v/>
      </c>
    </row>
    <row r="183">
      <c r="A183" s="600">
        <f>'Données Suivi'!A256</f>
        <v/>
      </c>
      <c r="B183" s="600">
        <f>'Données Suivi'!B256</f>
        <v/>
      </c>
      <c r="C183" s="600">
        <f>'Données Suivi'!C256</f>
        <v/>
      </c>
      <c r="D183" s="601">
        <f>'Données Suivi'!D256</f>
        <v/>
      </c>
      <c r="E183" s="600">
        <f>'Données Suivi'!E256</f>
        <v/>
      </c>
      <c r="F183" s="600">
        <f>'Données Suivi'!H256</f>
        <v/>
      </c>
      <c r="G183" s="602">
        <f>'Données Suivi'!J256</f>
        <v/>
      </c>
      <c r="H183" s="603">
        <f>'Données Suivi'!K256</f>
        <v/>
      </c>
      <c r="I183" s="600">
        <f>'Données Suivi'!L256</f>
        <v/>
      </c>
    </row>
    <row r="184"/>
    <row r="185" ht="20" customHeight="1" s="392">
      <c r="A185" s="592" t="inlineStr">
        <is>
          <t>Répartition des dossiers par Direction et par Nature Budget — Nombre de dossiers</t>
        </is>
      </c>
    </row>
    <row r="186">
      <c r="A186" s="593" t="inlineStr">
        <is>
          <t>Direction</t>
        </is>
      </c>
      <c r="B186" s="593" t="inlineStr">
        <is>
          <t>FONCTIONNEMENT</t>
        </is>
      </c>
      <c r="C186" s="593" t="inlineStr">
        <is>
          <t>INVESTISSEMENT</t>
        </is>
      </c>
      <c r="D186" s="593" t="inlineStr">
        <is>
          <t>TOTAL</t>
        </is>
      </c>
    </row>
    <row r="187">
      <c r="A187" s="594" t="inlineStr">
        <is>
          <t>ARRIYADIA</t>
        </is>
      </c>
      <c r="B187" s="595">
        <f>COUNTIFS('Données Suivi'!$A$2:$A$3000,$A187,'Données Suivi'!$O$2:$O$3000,"FONCTIONNEMENT")</f>
        <v/>
      </c>
      <c r="C187" s="595">
        <f>COUNTIFS('Données Suivi'!$A$2:$A$3000,$A187,'Données Suivi'!$O$2:$O$3000,"INVESTISSEMENT")</f>
        <v/>
      </c>
      <c r="D187" s="596">
        <f>COUNTIF('Données Suivi'!$A$2:$A$3000,$A187)</f>
        <v/>
      </c>
    </row>
    <row r="188">
      <c r="A188" s="594" t="inlineStr">
        <is>
          <t>ASSADISSA</t>
        </is>
      </c>
      <c r="B188" s="595">
        <f>COUNTIFS('Données Suivi'!$A$2:$A$3000,$A188,'Données Suivi'!$O$2:$O$3000,"FONCTIONNEMENT")</f>
        <v/>
      </c>
      <c r="C188" s="595">
        <f>COUNTIFS('Données Suivi'!$A$2:$A$3000,$A188,'Données Suivi'!$O$2:$O$3000,"INVESTISSEMENT")</f>
        <v/>
      </c>
      <c r="D188" s="596">
        <f>COUNTIF('Données Suivi'!$A$2:$A$3000,$A188)</f>
        <v/>
      </c>
    </row>
    <row r="189">
      <c r="A189" s="594" t="inlineStr">
        <is>
          <t>DA</t>
        </is>
      </c>
      <c r="B189" s="595">
        <f>COUNTIFS('Données Suivi'!$A$2:$A$3000,$A189,'Données Suivi'!$O$2:$O$3000,"FONCTIONNEMENT")</f>
        <v/>
      </c>
      <c r="C189" s="595">
        <f>COUNTIFS('Données Suivi'!$A$2:$A$3000,$A189,'Données Suivi'!$O$2:$O$3000,"INVESTISSEMENT")</f>
        <v/>
      </c>
      <c r="D189" s="596">
        <f>COUNTIF('Données Suivi'!$A$2:$A$3000,$A189)</f>
        <v/>
      </c>
    </row>
    <row r="190">
      <c r="A190" s="594" t="inlineStr">
        <is>
          <t>DACG</t>
        </is>
      </c>
      <c r="B190" s="595">
        <f>COUNTIFS('Données Suivi'!$A$2:$A$3000,$A190,'Données Suivi'!$O$2:$O$3000,"FONCTIONNEMENT")</f>
        <v/>
      </c>
      <c r="C190" s="595">
        <f>COUNTIFS('Données Suivi'!$A$2:$A$3000,$A190,'Données Suivi'!$O$2:$O$3000,"INVESTISSEMENT")</f>
        <v/>
      </c>
      <c r="D190" s="596">
        <f>COUNTIF('Données Suivi'!$A$2:$A$3000,$A190)</f>
        <v/>
      </c>
    </row>
    <row r="191">
      <c r="A191" s="594" t="inlineStr">
        <is>
          <t>DAR</t>
        </is>
      </c>
      <c r="B191" s="595">
        <f>COUNTIFS('Données Suivi'!$A$2:$A$3000,$A191,'Données Suivi'!$O$2:$O$3000,"FONCTIONNEMENT")</f>
        <v/>
      </c>
      <c r="C191" s="595">
        <f>COUNTIFS('Données Suivi'!$A$2:$A$3000,$A191,'Données Suivi'!$O$2:$O$3000,"INVESTISSEMENT")</f>
        <v/>
      </c>
      <c r="D191" s="596">
        <f>COUNTIF('Données Suivi'!$A$2:$A$3000,$A191)</f>
        <v/>
      </c>
    </row>
    <row r="192">
      <c r="A192" s="594" t="inlineStr">
        <is>
          <t>DCPA</t>
        </is>
      </c>
      <c r="B192" s="595">
        <f>COUNTIFS('Données Suivi'!$A$2:$A$3000,$A192,'Données Suivi'!$O$2:$O$3000,"FONCTIONNEMENT")</f>
        <v/>
      </c>
      <c r="C192" s="595">
        <f>COUNTIFS('Données Suivi'!$A$2:$A$3000,$A192,'Données Suivi'!$O$2:$O$3000,"INVESTISSEMENT")</f>
        <v/>
      </c>
      <c r="D192" s="596">
        <f>COUNTIF('Données Suivi'!$A$2:$A$3000,$A192)</f>
        <v/>
      </c>
    </row>
    <row r="193">
      <c r="A193" s="594" t="inlineStr">
        <is>
          <t>DCRI</t>
        </is>
      </c>
      <c r="B193" s="595">
        <f>COUNTIFS('Données Suivi'!$A$2:$A$3000,$A193,'Données Suivi'!$O$2:$O$3000,"FONCTIONNEMENT")</f>
        <v/>
      </c>
      <c r="C193" s="595">
        <f>COUNTIFS('Données Suivi'!$A$2:$A$3000,$A193,'Données Suivi'!$O$2:$O$3000,"INVESTISSEMENT")</f>
        <v/>
      </c>
      <c r="D193" s="596">
        <f>COUNTIF('Données Suivi'!$A$2:$A$3000,$A193)</f>
        <v/>
      </c>
    </row>
    <row r="194">
      <c r="A194" s="594" t="inlineStr">
        <is>
          <t>DCT</t>
        </is>
      </c>
      <c r="B194" s="595">
        <f>COUNTIFS('Données Suivi'!$A$2:$A$3000,$A194,'Données Suivi'!$O$2:$O$3000,"FONCTIONNEMENT")</f>
        <v/>
      </c>
      <c r="C194" s="595">
        <f>COUNTIFS('Données Suivi'!$A$2:$A$3000,$A194,'Données Suivi'!$O$2:$O$3000,"INVESTISSEMENT")</f>
        <v/>
      </c>
      <c r="D194" s="596">
        <f>COUNTIF('Données Suivi'!$A$2:$A$3000,$A194)</f>
        <v/>
      </c>
    </row>
    <row r="195">
      <c r="A195" s="594" t="inlineStr">
        <is>
          <t>DG</t>
        </is>
      </c>
      <c r="B195" s="595">
        <f>COUNTIFS('Données Suivi'!$A$2:$A$3000,$A195,'Données Suivi'!$O$2:$O$3000,"FONCTIONNEMENT")</f>
        <v/>
      </c>
      <c r="C195" s="595">
        <f>COUNTIFS('Données Suivi'!$A$2:$A$3000,$A195,'Données Suivi'!$O$2:$O$3000,"INVESTISSEMENT")</f>
        <v/>
      </c>
      <c r="D195" s="596">
        <f>COUNTIF('Données Suivi'!$A$2:$A$3000,$A195)</f>
        <v/>
      </c>
    </row>
    <row r="196">
      <c r="A196" s="594" t="inlineStr">
        <is>
          <t>DINFORADIO</t>
        </is>
      </c>
      <c r="B196" s="595">
        <f>COUNTIFS('Données Suivi'!$A$2:$A$3000,$A196,'Données Suivi'!$O$2:$O$3000,"FONCTIONNEMENT")</f>
        <v/>
      </c>
      <c r="C196" s="595">
        <f>COUNTIFS('Données Suivi'!$A$2:$A$3000,$A196,'Données Suivi'!$O$2:$O$3000,"INVESTISSEMENT")</f>
        <v/>
      </c>
      <c r="D196" s="596">
        <f>COUNTIF('Données Suivi'!$A$2:$A$3000,$A196)</f>
        <v/>
      </c>
    </row>
    <row r="197">
      <c r="A197" s="594" t="inlineStr">
        <is>
          <t>DINFOTV</t>
        </is>
      </c>
      <c r="B197" s="595">
        <f>COUNTIFS('Données Suivi'!$A$2:$A$3000,$A197,'Données Suivi'!$O$2:$O$3000,"FONCTIONNEMENT")</f>
        <v/>
      </c>
      <c r="C197" s="595">
        <f>COUNTIFS('Données Suivi'!$A$2:$A$3000,$A197,'Données Suivi'!$O$2:$O$3000,"INVESTISSEMENT")</f>
        <v/>
      </c>
      <c r="D197" s="596">
        <f>COUNTIF('Données Suivi'!$A$2:$A$3000,$A197)</f>
        <v/>
      </c>
    </row>
    <row r="198">
      <c r="A198" s="594" t="inlineStr">
        <is>
          <t>DJURIDIQUE</t>
        </is>
      </c>
      <c r="B198" s="595">
        <f>COUNTIFS('Données Suivi'!$A$2:$A$3000,$A198,'Données Suivi'!$O$2:$O$3000,"FONCTIONNEMENT")</f>
        <v/>
      </c>
      <c r="C198" s="595">
        <f>COUNTIFS('Données Suivi'!$A$2:$A$3000,$A198,'Données Suivi'!$O$2:$O$3000,"INVESTISSEMENT")</f>
        <v/>
      </c>
      <c r="D198" s="596">
        <f>COUNTIF('Données Suivi'!$A$2:$A$3000,$A198)</f>
        <v/>
      </c>
    </row>
    <row r="199">
      <c r="A199" s="594" t="inlineStr">
        <is>
          <t>DMPTV</t>
        </is>
      </c>
      <c r="B199" s="595">
        <f>COUNTIFS('Données Suivi'!$A$2:$A$3000,$A199,'Données Suivi'!$O$2:$O$3000,"FONCTIONNEMENT")</f>
        <v/>
      </c>
      <c r="C199" s="595">
        <f>COUNTIFS('Données Suivi'!$A$2:$A$3000,$A199,'Données Suivi'!$O$2:$O$3000,"INVESTISSEMENT")</f>
        <v/>
      </c>
      <c r="D199" s="596">
        <f>COUNTIF('Données Suivi'!$A$2:$A$3000,$A199)</f>
        <v/>
      </c>
    </row>
    <row r="200">
      <c r="A200" s="594" t="inlineStr">
        <is>
          <t>DPMG</t>
        </is>
      </c>
      <c r="B200" s="595">
        <f>COUNTIFS('Données Suivi'!$A$2:$A$3000,$A200,'Données Suivi'!$O$2:$O$3000,"FONCTIONNEMENT")</f>
        <v/>
      </c>
      <c r="C200" s="595">
        <f>COUNTIFS('Données Suivi'!$A$2:$A$3000,$A200,'Données Suivi'!$O$2:$O$3000,"INVESTISSEMENT")</f>
        <v/>
      </c>
      <c r="D200" s="596">
        <f>COUNTIF('Données Suivi'!$A$2:$A$3000,$A200)</f>
        <v/>
      </c>
    </row>
    <row r="201">
      <c r="A201" s="594" t="inlineStr">
        <is>
          <t>DPPR</t>
        </is>
      </c>
      <c r="B201" s="595">
        <f>COUNTIFS('Données Suivi'!$A$2:$A$3000,$A201,'Données Suivi'!$O$2:$O$3000,"FONCTIONNEMENT")</f>
        <v/>
      </c>
      <c r="C201" s="595">
        <f>COUNTIFS('Données Suivi'!$A$2:$A$3000,$A201,'Données Suivi'!$O$2:$O$3000,"INVESTISSEMENT")</f>
        <v/>
      </c>
      <c r="D201" s="596">
        <f>COUNTIF('Données Suivi'!$A$2:$A$3000,$A201)</f>
        <v/>
      </c>
    </row>
    <row r="202">
      <c r="A202" s="594" t="inlineStr">
        <is>
          <t>DRH</t>
        </is>
      </c>
      <c r="B202" s="595">
        <f>COUNTIFS('Données Suivi'!$A$2:$A$3000,$A202,'Données Suivi'!$O$2:$O$3000,"FONCTIONNEMENT")</f>
        <v/>
      </c>
      <c r="C202" s="595">
        <f>COUNTIFS('Données Suivi'!$A$2:$A$3000,$A202,'Données Suivi'!$O$2:$O$3000,"INVESTISSEMENT")</f>
        <v/>
      </c>
      <c r="D202" s="596">
        <f>COUNTIF('Données Suivi'!$A$2:$A$3000,$A202)</f>
        <v/>
      </c>
    </row>
    <row r="203">
      <c r="A203" s="594" t="inlineStr">
        <is>
          <t>DRPSD</t>
        </is>
      </c>
      <c r="B203" s="595">
        <f>COUNTIFS('Données Suivi'!$A$2:$A$3000,$A203,'Données Suivi'!$O$2:$O$3000,"FONCTIONNEMENT")</f>
        <v/>
      </c>
      <c r="C203" s="595">
        <f>COUNTIFS('Données Suivi'!$A$2:$A$3000,$A203,'Données Suivi'!$O$2:$O$3000,"INVESTISSEMENT")</f>
        <v/>
      </c>
      <c r="D203" s="596">
        <f>COUNTIF('Données Suivi'!$A$2:$A$3000,$A203)</f>
        <v/>
      </c>
    </row>
    <row r="204">
      <c r="A204" s="594" t="inlineStr">
        <is>
          <t>MAGHRIBIA</t>
        </is>
      </c>
      <c r="B204" s="595">
        <f>COUNTIFS('Données Suivi'!$A$2:$A$3000,$A204,'Données Suivi'!$O$2:$O$3000,"FONCTIONNEMENT")</f>
        <v/>
      </c>
      <c r="C204" s="595">
        <f>COUNTIFS('Données Suivi'!$A$2:$A$3000,$A204,'Données Suivi'!$O$2:$O$3000,"INVESTISSEMENT")</f>
        <v/>
      </c>
      <c r="D204" s="596">
        <f>COUNTIF('Données Suivi'!$A$2:$A$3000,$A204)</f>
        <v/>
      </c>
    </row>
    <row r="205">
      <c r="A205" s="594" t="inlineStr">
        <is>
          <t>RSSI</t>
        </is>
      </c>
      <c r="B205" s="595">
        <f>COUNTIFS('Données Suivi'!$A$2:$A$3000,$A205,'Données Suivi'!$O$2:$O$3000,"FONCTIONNEMENT")</f>
        <v/>
      </c>
      <c r="C205" s="595">
        <f>COUNTIFS('Données Suivi'!$A$2:$A$3000,$A205,'Données Suivi'!$O$2:$O$3000,"INVESTISSEMENT")</f>
        <v/>
      </c>
      <c r="D205" s="596">
        <f>COUNTIF('Données Suivi'!$A$2:$A$3000,$A205)</f>
        <v/>
      </c>
    </row>
    <row r="206">
      <c r="A206" s="594" t="inlineStr">
        <is>
          <t>TAMAZIGHT</t>
        </is>
      </c>
      <c r="B206" s="595">
        <f>COUNTIFS('Données Suivi'!$A$2:$A$3000,$A206,'Données Suivi'!$O$2:$O$3000,"FONCTIONNEMENT")</f>
        <v/>
      </c>
      <c r="C206" s="595">
        <f>COUNTIFS('Données Suivi'!$A$2:$A$3000,$A206,'Données Suivi'!$O$2:$O$3000,"INVESTISSEMENT")</f>
        <v/>
      </c>
      <c r="D206" s="596">
        <f>COUNTIF('Données Suivi'!$A$2:$A$3000,$A206)</f>
        <v/>
      </c>
    </row>
    <row r="207">
      <c r="A207" s="594" t="inlineStr">
        <is>
          <t>TDF -SITES</t>
        </is>
      </c>
      <c r="B207" s="595">
        <f>COUNTIFS('Données Suivi'!$A$2:$A$3000,$A207,'Données Suivi'!$O$2:$O$3000,"FONCTIONNEMENT")</f>
        <v/>
      </c>
      <c r="C207" s="595">
        <f>COUNTIFS('Données Suivi'!$A$2:$A$3000,$A207,'Données Suivi'!$O$2:$O$3000,"INVESTISSEMENT")</f>
        <v/>
      </c>
      <c r="D207" s="596">
        <f>COUNTIF('Données Suivi'!$A$2:$A$3000,$A207)</f>
        <v/>
      </c>
    </row>
    <row r="208">
      <c r="A208" s="594" t="inlineStr">
        <is>
          <t>TDF-EXP&amp;MAIN</t>
        </is>
      </c>
      <c r="B208" s="595">
        <f>COUNTIFS('Données Suivi'!$A$2:$A$3000,$A208,'Données Suivi'!$O$2:$O$3000,"FONCTIONNEMENT")</f>
        <v/>
      </c>
      <c r="C208" s="595">
        <f>COUNTIFS('Données Suivi'!$A$2:$A$3000,$A208,'Données Suivi'!$O$2:$O$3000,"INVESTISSEMENT")</f>
        <v/>
      </c>
      <c r="D208" s="596">
        <f>COUNTIF('Données Suivi'!$A$2:$A$3000,$A208)</f>
        <v/>
      </c>
    </row>
    <row r="209">
      <c r="A209" s="594" t="inlineStr">
        <is>
          <t>TV LAAYOUNE</t>
        </is>
      </c>
      <c r="B209" s="595">
        <f>COUNTIFS('Données Suivi'!$A$2:$A$3000,$A209,'Données Suivi'!$O$2:$O$3000,"FONCTIONNEMENT")</f>
        <v/>
      </c>
      <c r="C209" s="595">
        <f>COUNTIFS('Données Suivi'!$A$2:$A$3000,$A209,'Données Suivi'!$O$2:$O$3000,"INVESTISSEMENT")</f>
        <v/>
      </c>
      <c r="D209" s="596">
        <f>COUNTIF('Données Suivi'!$A$2:$A$3000,$A209)</f>
        <v/>
      </c>
    </row>
    <row r="210">
      <c r="A210" s="597" t="inlineStr">
        <is>
          <t>TOTAL</t>
        </is>
      </c>
      <c r="B210" s="596">
        <f>SUM(B187:B209)</f>
        <v/>
      </c>
      <c r="C210" s="596">
        <f>SUM(C187:C209)</f>
        <v/>
      </c>
      <c r="D210" s="596">
        <f>SUM(D187:D209)</f>
        <v/>
      </c>
    </row>
    <row r="211"/>
    <row r="212" ht="20" customHeight="1" s="392">
      <c r="A212" s="592" t="inlineStr">
        <is>
          <t>Répartition des dossiers par Direction et par Type Budget — Nombre de dossiers</t>
        </is>
      </c>
    </row>
    <row r="213">
      <c r="A213" s="593" t="inlineStr">
        <is>
          <t>Direction</t>
        </is>
      </c>
      <c r="B213" s="593" t="inlineStr">
        <is>
          <t>Ordinaire</t>
        </is>
      </c>
      <c r="C213" s="593" t="inlineStr">
        <is>
          <t>Exceptionnel</t>
        </is>
      </c>
      <c r="D213" s="593" t="inlineStr">
        <is>
          <t>REPORT BUDGET ANNEE ANTERIEURE</t>
        </is>
      </c>
      <c r="E213" s="593" t="inlineStr">
        <is>
          <t>REPORT BUDGET EXCEP ANNEE ANTERIEURE</t>
        </is>
      </c>
      <c r="F213" s="593" t="inlineStr">
        <is>
          <t>TOTAL</t>
        </is>
      </c>
    </row>
    <row r="214">
      <c r="A214" s="594" t="inlineStr">
        <is>
          <t>ARRIYADIA</t>
        </is>
      </c>
      <c r="B214" s="595">
        <f>COUNTIFS('Données Suivi'!$A$2:$A$3000,$A214,'Données Suivi'!$N$2:$N$3000,"Ordinaire")</f>
        <v/>
      </c>
      <c r="C214" s="595">
        <f>COUNTIFS('Données Suivi'!$A$2:$A$3000,$A214,'Données Suivi'!$N$2:$N$3000,"Exceptionnel")</f>
        <v/>
      </c>
      <c r="D214" s="595">
        <f>COUNTIFS('Données Suivi'!$A$2:$A$3000,$A214,'Données Suivi'!$N$2:$N$3000,"REPORT BUDGET ANNEE ANTERIEURE")</f>
        <v/>
      </c>
      <c r="E214" s="595">
        <f>COUNTIFS('Données Suivi'!$A$2:$A$3000,$A214,'Données Suivi'!$N$2:$N$3000,"REPORT BUDGET EXCEP ANNEE ANTERIEURE")</f>
        <v/>
      </c>
      <c r="F214" s="596">
        <f>COUNTIF('Données Suivi'!$A$2:$A$3000,$A214)</f>
        <v/>
      </c>
    </row>
    <row r="215">
      <c r="A215" s="594" t="inlineStr">
        <is>
          <t>ASSADISSA</t>
        </is>
      </c>
      <c r="B215" s="595">
        <f>COUNTIFS('Données Suivi'!$A$2:$A$3000,$A215,'Données Suivi'!$N$2:$N$3000,"Ordinaire")</f>
        <v/>
      </c>
      <c r="C215" s="595">
        <f>COUNTIFS('Données Suivi'!$A$2:$A$3000,$A215,'Données Suivi'!$N$2:$N$3000,"Exceptionnel")</f>
        <v/>
      </c>
      <c r="D215" s="595">
        <f>COUNTIFS('Données Suivi'!$A$2:$A$3000,$A215,'Données Suivi'!$N$2:$N$3000,"REPORT BUDGET ANNEE ANTERIEURE")</f>
        <v/>
      </c>
      <c r="E215" s="595">
        <f>COUNTIFS('Données Suivi'!$A$2:$A$3000,$A215,'Données Suivi'!$N$2:$N$3000,"REPORT BUDGET EXCEP ANNEE ANTERIEURE")</f>
        <v/>
      </c>
      <c r="F215" s="596">
        <f>COUNTIF('Données Suivi'!$A$2:$A$3000,$A215)</f>
        <v/>
      </c>
    </row>
    <row r="216">
      <c r="A216" s="594" t="inlineStr">
        <is>
          <t>DA</t>
        </is>
      </c>
      <c r="B216" s="595">
        <f>COUNTIFS('Données Suivi'!$A$2:$A$3000,$A216,'Données Suivi'!$N$2:$N$3000,"Ordinaire")</f>
        <v/>
      </c>
      <c r="C216" s="595">
        <f>COUNTIFS('Données Suivi'!$A$2:$A$3000,$A216,'Données Suivi'!$N$2:$N$3000,"Exceptionnel")</f>
        <v/>
      </c>
      <c r="D216" s="595">
        <f>COUNTIFS('Données Suivi'!$A$2:$A$3000,$A216,'Données Suivi'!$N$2:$N$3000,"REPORT BUDGET ANNEE ANTERIEURE")</f>
        <v/>
      </c>
      <c r="E216" s="595">
        <f>COUNTIFS('Données Suivi'!$A$2:$A$3000,$A216,'Données Suivi'!$N$2:$N$3000,"REPORT BUDGET EXCEP ANNEE ANTERIEURE")</f>
        <v/>
      </c>
      <c r="F216" s="596">
        <f>COUNTIF('Données Suivi'!$A$2:$A$3000,$A216)</f>
        <v/>
      </c>
    </row>
    <row r="217">
      <c r="A217" s="594" t="inlineStr">
        <is>
          <t>DACG</t>
        </is>
      </c>
      <c r="B217" s="595">
        <f>COUNTIFS('Données Suivi'!$A$2:$A$3000,$A217,'Données Suivi'!$N$2:$N$3000,"Ordinaire")</f>
        <v/>
      </c>
      <c r="C217" s="595">
        <f>COUNTIFS('Données Suivi'!$A$2:$A$3000,$A217,'Données Suivi'!$N$2:$N$3000,"Exceptionnel")</f>
        <v/>
      </c>
      <c r="D217" s="595">
        <f>COUNTIFS('Données Suivi'!$A$2:$A$3000,$A217,'Données Suivi'!$N$2:$N$3000,"REPORT BUDGET ANNEE ANTERIEURE")</f>
        <v/>
      </c>
      <c r="E217" s="595">
        <f>COUNTIFS('Données Suivi'!$A$2:$A$3000,$A217,'Données Suivi'!$N$2:$N$3000,"REPORT BUDGET EXCEP ANNEE ANTERIEURE")</f>
        <v/>
      </c>
      <c r="F217" s="596">
        <f>COUNTIF('Données Suivi'!$A$2:$A$3000,$A217)</f>
        <v/>
      </c>
    </row>
    <row r="218">
      <c r="A218" s="594" t="inlineStr">
        <is>
          <t>DAR</t>
        </is>
      </c>
      <c r="B218" s="595">
        <f>COUNTIFS('Données Suivi'!$A$2:$A$3000,$A218,'Données Suivi'!$N$2:$N$3000,"Ordinaire")</f>
        <v/>
      </c>
      <c r="C218" s="595">
        <f>COUNTIFS('Données Suivi'!$A$2:$A$3000,$A218,'Données Suivi'!$N$2:$N$3000,"Exceptionnel")</f>
        <v/>
      </c>
      <c r="D218" s="595">
        <f>COUNTIFS('Données Suivi'!$A$2:$A$3000,$A218,'Données Suivi'!$N$2:$N$3000,"REPORT BUDGET ANNEE ANTERIEURE")</f>
        <v/>
      </c>
      <c r="E218" s="595">
        <f>COUNTIFS('Données Suivi'!$A$2:$A$3000,$A218,'Données Suivi'!$N$2:$N$3000,"REPORT BUDGET EXCEP ANNEE ANTERIEURE")</f>
        <v/>
      </c>
      <c r="F218" s="596">
        <f>COUNTIF('Données Suivi'!$A$2:$A$3000,$A218)</f>
        <v/>
      </c>
    </row>
    <row r="219">
      <c r="A219" s="594" t="inlineStr">
        <is>
          <t>DCPA</t>
        </is>
      </c>
      <c r="B219" s="595">
        <f>COUNTIFS('Données Suivi'!$A$2:$A$3000,$A219,'Données Suivi'!$N$2:$N$3000,"Ordinaire")</f>
        <v/>
      </c>
      <c r="C219" s="595">
        <f>COUNTIFS('Données Suivi'!$A$2:$A$3000,$A219,'Données Suivi'!$N$2:$N$3000,"Exceptionnel")</f>
        <v/>
      </c>
      <c r="D219" s="595">
        <f>COUNTIFS('Données Suivi'!$A$2:$A$3000,$A219,'Données Suivi'!$N$2:$N$3000,"REPORT BUDGET ANNEE ANTERIEURE")</f>
        <v/>
      </c>
      <c r="E219" s="595">
        <f>COUNTIFS('Données Suivi'!$A$2:$A$3000,$A219,'Données Suivi'!$N$2:$N$3000,"REPORT BUDGET EXCEP ANNEE ANTERIEURE")</f>
        <v/>
      </c>
      <c r="F219" s="596">
        <f>COUNTIF('Données Suivi'!$A$2:$A$3000,$A219)</f>
        <v/>
      </c>
    </row>
    <row r="220">
      <c r="A220" s="594" t="inlineStr">
        <is>
          <t>DCRI</t>
        </is>
      </c>
      <c r="B220" s="595">
        <f>COUNTIFS('Données Suivi'!$A$2:$A$3000,$A220,'Données Suivi'!$N$2:$N$3000,"Ordinaire")</f>
        <v/>
      </c>
      <c r="C220" s="595">
        <f>COUNTIFS('Données Suivi'!$A$2:$A$3000,$A220,'Données Suivi'!$N$2:$N$3000,"Exceptionnel")</f>
        <v/>
      </c>
      <c r="D220" s="595">
        <f>COUNTIFS('Données Suivi'!$A$2:$A$3000,$A220,'Données Suivi'!$N$2:$N$3000,"REPORT BUDGET ANNEE ANTERIEURE")</f>
        <v/>
      </c>
      <c r="E220" s="595">
        <f>COUNTIFS('Données Suivi'!$A$2:$A$3000,$A220,'Données Suivi'!$N$2:$N$3000,"REPORT BUDGET EXCEP ANNEE ANTERIEURE")</f>
        <v/>
      </c>
      <c r="F220" s="596">
        <f>COUNTIF('Données Suivi'!$A$2:$A$3000,$A220)</f>
        <v/>
      </c>
    </row>
    <row r="221">
      <c r="A221" s="594" t="inlineStr">
        <is>
          <t>DCT</t>
        </is>
      </c>
      <c r="B221" s="595">
        <f>COUNTIFS('Données Suivi'!$A$2:$A$3000,$A221,'Données Suivi'!$N$2:$N$3000,"Ordinaire")</f>
        <v/>
      </c>
      <c r="C221" s="595">
        <f>COUNTIFS('Données Suivi'!$A$2:$A$3000,$A221,'Données Suivi'!$N$2:$N$3000,"Exceptionnel")</f>
        <v/>
      </c>
      <c r="D221" s="595">
        <f>COUNTIFS('Données Suivi'!$A$2:$A$3000,$A221,'Données Suivi'!$N$2:$N$3000,"REPORT BUDGET ANNEE ANTERIEURE")</f>
        <v/>
      </c>
      <c r="E221" s="595">
        <f>COUNTIFS('Données Suivi'!$A$2:$A$3000,$A221,'Données Suivi'!$N$2:$N$3000,"REPORT BUDGET EXCEP ANNEE ANTERIEURE")</f>
        <v/>
      </c>
      <c r="F221" s="596">
        <f>COUNTIF('Données Suivi'!$A$2:$A$3000,$A221)</f>
        <v/>
      </c>
    </row>
    <row r="222">
      <c r="A222" s="594" t="inlineStr">
        <is>
          <t>DG</t>
        </is>
      </c>
      <c r="B222" s="595">
        <f>COUNTIFS('Données Suivi'!$A$2:$A$3000,$A222,'Données Suivi'!$N$2:$N$3000,"Ordinaire")</f>
        <v/>
      </c>
      <c r="C222" s="595">
        <f>COUNTIFS('Données Suivi'!$A$2:$A$3000,$A222,'Données Suivi'!$N$2:$N$3000,"Exceptionnel")</f>
        <v/>
      </c>
      <c r="D222" s="595">
        <f>COUNTIFS('Données Suivi'!$A$2:$A$3000,$A222,'Données Suivi'!$N$2:$N$3000,"REPORT BUDGET ANNEE ANTERIEURE")</f>
        <v/>
      </c>
      <c r="E222" s="595">
        <f>COUNTIFS('Données Suivi'!$A$2:$A$3000,$A222,'Données Suivi'!$N$2:$N$3000,"REPORT BUDGET EXCEP ANNEE ANTERIEURE")</f>
        <v/>
      </c>
      <c r="F222" s="596">
        <f>COUNTIF('Données Suivi'!$A$2:$A$3000,$A222)</f>
        <v/>
      </c>
    </row>
    <row r="223">
      <c r="A223" s="594" t="inlineStr">
        <is>
          <t>DINFORADIO</t>
        </is>
      </c>
      <c r="B223" s="595">
        <f>COUNTIFS('Données Suivi'!$A$2:$A$3000,$A223,'Données Suivi'!$N$2:$N$3000,"Ordinaire")</f>
        <v/>
      </c>
      <c r="C223" s="595">
        <f>COUNTIFS('Données Suivi'!$A$2:$A$3000,$A223,'Données Suivi'!$N$2:$N$3000,"Exceptionnel")</f>
        <v/>
      </c>
      <c r="D223" s="595">
        <f>COUNTIFS('Données Suivi'!$A$2:$A$3000,$A223,'Données Suivi'!$N$2:$N$3000,"REPORT BUDGET ANNEE ANTERIEURE")</f>
        <v/>
      </c>
      <c r="E223" s="595">
        <f>COUNTIFS('Données Suivi'!$A$2:$A$3000,$A223,'Données Suivi'!$N$2:$N$3000,"REPORT BUDGET EXCEP ANNEE ANTERIEURE")</f>
        <v/>
      </c>
      <c r="F223" s="596">
        <f>COUNTIF('Données Suivi'!$A$2:$A$3000,$A223)</f>
        <v/>
      </c>
    </row>
    <row r="224">
      <c r="A224" s="594" t="inlineStr">
        <is>
          <t>DINFOTV</t>
        </is>
      </c>
      <c r="B224" s="595">
        <f>COUNTIFS('Données Suivi'!$A$2:$A$3000,$A224,'Données Suivi'!$N$2:$N$3000,"Ordinaire")</f>
        <v/>
      </c>
      <c r="C224" s="595">
        <f>COUNTIFS('Données Suivi'!$A$2:$A$3000,$A224,'Données Suivi'!$N$2:$N$3000,"Exceptionnel")</f>
        <v/>
      </c>
      <c r="D224" s="595">
        <f>COUNTIFS('Données Suivi'!$A$2:$A$3000,$A224,'Données Suivi'!$N$2:$N$3000,"REPORT BUDGET ANNEE ANTERIEURE")</f>
        <v/>
      </c>
      <c r="E224" s="595">
        <f>COUNTIFS('Données Suivi'!$A$2:$A$3000,$A224,'Données Suivi'!$N$2:$N$3000,"REPORT BUDGET EXCEP ANNEE ANTERIEURE")</f>
        <v/>
      </c>
      <c r="F224" s="596">
        <f>COUNTIF('Données Suivi'!$A$2:$A$3000,$A224)</f>
        <v/>
      </c>
    </row>
    <row r="225">
      <c r="A225" s="594" t="inlineStr">
        <is>
          <t>DJURIDIQUE</t>
        </is>
      </c>
      <c r="B225" s="595">
        <f>COUNTIFS('Données Suivi'!$A$2:$A$3000,$A225,'Données Suivi'!$N$2:$N$3000,"Ordinaire")</f>
        <v/>
      </c>
      <c r="C225" s="595">
        <f>COUNTIFS('Données Suivi'!$A$2:$A$3000,$A225,'Données Suivi'!$N$2:$N$3000,"Exceptionnel")</f>
        <v/>
      </c>
      <c r="D225" s="595">
        <f>COUNTIFS('Données Suivi'!$A$2:$A$3000,$A225,'Données Suivi'!$N$2:$N$3000,"REPORT BUDGET ANNEE ANTERIEURE")</f>
        <v/>
      </c>
      <c r="E225" s="595">
        <f>COUNTIFS('Données Suivi'!$A$2:$A$3000,$A225,'Données Suivi'!$N$2:$N$3000,"REPORT BUDGET EXCEP ANNEE ANTERIEURE")</f>
        <v/>
      </c>
      <c r="F225" s="596">
        <f>COUNTIF('Données Suivi'!$A$2:$A$3000,$A225)</f>
        <v/>
      </c>
    </row>
    <row r="226">
      <c r="A226" s="594" t="inlineStr">
        <is>
          <t>DMPTV</t>
        </is>
      </c>
      <c r="B226" s="595">
        <f>COUNTIFS('Données Suivi'!$A$2:$A$3000,$A226,'Données Suivi'!$N$2:$N$3000,"Ordinaire")</f>
        <v/>
      </c>
      <c r="C226" s="595">
        <f>COUNTIFS('Données Suivi'!$A$2:$A$3000,$A226,'Données Suivi'!$N$2:$N$3000,"Exceptionnel")</f>
        <v/>
      </c>
      <c r="D226" s="595">
        <f>COUNTIFS('Données Suivi'!$A$2:$A$3000,$A226,'Données Suivi'!$N$2:$N$3000,"REPORT BUDGET ANNEE ANTERIEURE")</f>
        <v/>
      </c>
      <c r="E226" s="595">
        <f>COUNTIFS('Données Suivi'!$A$2:$A$3000,$A226,'Données Suivi'!$N$2:$N$3000,"REPORT BUDGET EXCEP ANNEE ANTERIEURE")</f>
        <v/>
      </c>
      <c r="F226" s="596">
        <f>COUNTIF('Données Suivi'!$A$2:$A$3000,$A226)</f>
        <v/>
      </c>
    </row>
    <row r="227">
      <c r="A227" s="594" t="inlineStr">
        <is>
          <t>DPMG</t>
        </is>
      </c>
      <c r="B227" s="595">
        <f>COUNTIFS('Données Suivi'!$A$2:$A$3000,$A227,'Données Suivi'!$N$2:$N$3000,"Ordinaire")</f>
        <v/>
      </c>
      <c r="C227" s="595">
        <f>COUNTIFS('Données Suivi'!$A$2:$A$3000,$A227,'Données Suivi'!$N$2:$N$3000,"Exceptionnel")</f>
        <v/>
      </c>
      <c r="D227" s="595">
        <f>COUNTIFS('Données Suivi'!$A$2:$A$3000,$A227,'Données Suivi'!$N$2:$N$3000,"REPORT BUDGET ANNEE ANTERIEURE")</f>
        <v/>
      </c>
      <c r="E227" s="595">
        <f>COUNTIFS('Données Suivi'!$A$2:$A$3000,$A227,'Données Suivi'!$N$2:$N$3000,"REPORT BUDGET EXCEP ANNEE ANTERIEURE")</f>
        <v/>
      </c>
      <c r="F227" s="596">
        <f>COUNTIF('Données Suivi'!$A$2:$A$3000,$A227)</f>
        <v/>
      </c>
    </row>
    <row r="228">
      <c r="A228" s="594" t="inlineStr">
        <is>
          <t>DPPR</t>
        </is>
      </c>
      <c r="B228" s="595">
        <f>COUNTIFS('Données Suivi'!$A$2:$A$3000,$A228,'Données Suivi'!$N$2:$N$3000,"Ordinaire")</f>
        <v/>
      </c>
      <c r="C228" s="595">
        <f>COUNTIFS('Données Suivi'!$A$2:$A$3000,$A228,'Données Suivi'!$N$2:$N$3000,"Exceptionnel")</f>
        <v/>
      </c>
      <c r="D228" s="595">
        <f>COUNTIFS('Données Suivi'!$A$2:$A$3000,$A228,'Données Suivi'!$N$2:$N$3000,"REPORT BUDGET ANNEE ANTERIEURE")</f>
        <v/>
      </c>
      <c r="E228" s="595">
        <f>COUNTIFS('Données Suivi'!$A$2:$A$3000,$A228,'Données Suivi'!$N$2:$N$3000,"REPORT BUDGET EXCEP ANNEE ANTERIEURE")</f>
        <v/>
      </c>
      <c r="F228" s="596">
        <f>COUNTIF('Données Suivi'!$A$2:$A$3000,$A228)</f>
        <v/>
      </c>
    </row>
    <row r="229">
      <c r="A229" s="594" t="inlineStr">
        <is>
          <t>DRH</t>
        </is>
      </c>
      <c r="B229" s="595">
        <f>COUNTIFS('Données Suivi'!$A$2:$A$3000,$A229,'Données Suivi'!$N$2:$N$3000,"Ordinaire")</f>
        <v/>
      </c>
      <c r="C229" s="595">
        <f>COUNTIFS('Données Suivi'!$A$2:$A$3000,$A229,'Données Suivi'!$N$2:$N$3000,"Exceptionnel")</f>
        <v/>
      </c>
      <c r="D229" s="595">
        <f>COUNTIFS('Données Suivi'!$A$2:$A$3000,$A229,'Données Suivi'!$N$2:$N$3000,"REPORT BUDGET ANNEE ANTERIEURE")</f>
        <v/>
      </c>
      <c r="E229" s="595">
        <f>COUNTIFS('Données Suivi'!$A$2:$A$3000,$A229,'Données Suivi'!$N$2:$N$3000,"REPORT BUDGET EXCEP ANNEE ANTERIEURE")</f>
        <v/>
      </c>
      <c r="F229" s="596">
        <f>COUNTIF('Données Suivi'!$A$2:$A$3000,$A229)</f>
        <v/>
      </c>
    </row>
    <row r="230">
      <c r="A230" s="594" t="inlineStr">
        <is>
          <t>DRPSD</t>
        </is>
      </c>
      <c r="B230" s="595">
        <f>COUNTIFS('Données Suivi'!$A$2:$A$3000,$A230,'Données Suivi'!$N$2:$N$3000,"Ordinaire")</f>
        <v/>
      </c>
      <c r="C230" s="595">
        <f>COUNTIFS('Données Suivi'!$A$2:$A$3000,$A230,'Données Suivi'!$N$2:$N$3000,"Exceptionnel")</f>
        <v/>
      </c>
      <c r="D230" s="595">
        <f>COUNTIFS('Données Suivi'!$A$2:$A$3000,$A230,'Données Suivi'!$N$2:$N$3000,"REPORT BUDGET ANNEE ANTERIEURE")</f>
        <v/>
      </c>
      <c r="E230" s="595">
        <f>COUNTIFS('Données Suivi'!$A$2:$A$3000,$A230,'Données Suivi'!$N$2:$N$3000,"REPORT BUDGET EXCEP ANNEE ANTERIEURE")</f>
        <v/>
      </c>
      <c r="F230" s="596">
        <f>COUNTIF('Données Suivi'!$A$2:$A$3000,$A230)</f>
        <v/>
      </c>
    </row>
    <row r="231">
      <c r="A231" s="594" t="inlineStr">
        <is>
          <t>MAGHRIBIA</t>
        </is>
      </c>
      <c r="B231" s="595">
        <f>COUNTIFS('Données Suivi'!$A$2:$A$3000,$A231,'Données Suivi'!$N$2:$N$3000,"Ordinaire")</f>
        <v/>
      </c>
      <c r="C231" s="595">
        <f>COUNTIFS('Données Suivi'!$A$2:$A$3000,$A231,'Données Suivi'!$N$2:$N$3000,"Exceptionnel")</f>
        <v/>
      </c>
      <c r="D231" s="595">
        <f>COUNTIFS('Données Suivi'!$A$2:$A$3000,$A231,'Données Suivi'!$N$2:$N$3000,"REPORT BUDGET ANNEE ANTERIEURE")</f>
        <v/>
      </c>
      <c r="E231" s="595">
        <f>COUNTIFS('Données Suivi'!$A$2:$A$3000,$A231,'Données Suivi'!$N$2:$N$3000,"REPORT BUDGET EXCEP ANNEE ANTERIEURE")</f>
        <v/>
      </c>
      <c r="F231" s="596">
        <f>COUNTIF('Données Suivi'!$A$2:$A$3000,$A231)</f>
        <v/>
      </c>
    </row>
    <row r="232">
      <c r="A232" s="594" t="inlineStr">
        <is>
          <t>RSSI</t>
        </is>
      </c>
      <c r="B232" s="595">
        <f>COUNTIFS('Données Suivi'!$A$2:$A$3000,$A232,'Données Suivi'!$N$2:$N$3000,"Ordinaire")</f>
        <v/>
      </c>
      <c r="C232" s="595">
        <f>COUNTIFS('Données Suivi'!$A$2:$A$3000,$A232,'Données Suivi'!$N$2:$N$3000,"Exceptionnel")</f>
        <v/>
      </c>
      <c r="D232" s="595">
        <f>COUNTIFS('Données Suivi'!$A$2:$A$3000,$A232,'Données Suivi'!$N$2:$N$3000,"REPORT BUDGET ANNEE ANTERIEURE")</f>
        <v/>
      </c>
      <c r="E232" s="595">
        <f>COUNTIFS('Données Suivi'!$A$2:$A$3000,$A232,'Données Suivi'!$N$2:$N$3000,"REPORT BUDGET EXCEP ANNEE ANTERIEURE")</f>
        <v/>
      </c>
      <c r="F232" s="596">
        <f>COUNTIF('Données Suivi'!$A$2:$A$3000,$A232)</f>
        <v/>
      </c>
    </row>
    <row r="233">
      <c r="A233" s="594" t="inlineStr">
        <is>
          <t>TAMAZIGHT</t>
        </is>
      </c>
      <c r="B233" s="595">
        <f>COUNTIFS('Données Suivi'!$A$2:$A$3000,$A233,'Données Suivi'!$N$2:$N$3000,"Ordinaire")</f>
        <v/>
      </c>
      <c r="C233" s="595">
        <f>COUNTIFS('Données Suivi'!$A$2:$A$3000,$A233,'Données Suivi'!$N$2:$N$3000,"Exceptionnel")</f>
        <v/>
      </c>
      <c r="D233" s="595">
        <f>COUNTIFS('Données Suivi'!$A$2:$A$3000,$A233,'Données Suivi'!$N$2:$N$3000,"REPORT BUDGET ANNEE ANTERIEURE")</f>
        <v/>
      </c>
      <c r="E233" s="595">
        <f>COUNTIFS('Données Suivi'!$A$2:$A$3000,$A233,'Données Suivi'!$N$2:$N$3000,"REPORT BUDGET EXCEP ANNEE ANTERIEURE")</f>
        <v/>
      </c>
      <c r="F233" s="596">
        <f>COUNTIF('Données Suivi'!$A$2:$A$3000,$A233)</f>
        <v/>
      </c>
    </row>
    <row r="234">
      <c r="A234" s="594" t="inlineStr">
        <is>
          <t>TDF -SITES</t>
        </is>
      </c>
      <c r="B234" s="595">
        <f>COUNTIFS('Données Suivi'!$A$2:$A$3000,$A234,'Données Suivi'!$N$2:$N$3000,"Ordinaire")</f>
        <v/>
      </c>
      <c r="C234" s="595">
        <f>COUNTIFS('Données Suivi'!$A$2:$A$3000,$A234,'Données Suivi'!$N$2:$N$3000,"Exceptionnel")</f>
        <v/>
      </c>
      <c r="D234" s="595">
        <f>COUNTIFS('Données Suivi'!$A$2:$A$3000,$A234,'Données Suivi'!$N$2:$N$3000,"REPORT BUDGET ANNEE ANTERIEURE")</f>
        <v/>
      </c>
      <c r="E234" s="595">
        <f>COUNTIFS('Données Suivi'!$A$2:$A$3000,$A234,'Données Suivi'!$N$2:$N$3000,"REPORT BUDGET EXCEP ANNEE ANTERIEURE")</f>
        <v/>
      </c>
      <c r="F234" s="596">
        <f>COUNTIF('Données Suivi'!$A$2:$A$3000,$A234)</f>
        <v/>
      </c>
    </row>
    <row r="235">
      <c r="A235" s="594" t="inlineStr">
        <is>
          <t>TDF-EXP&amp;MAIN</t>
        </is>
      </c>
      <c r="B235" s="595">
        <f>COUNTIFS('Données Suivi'!$A$2:$A$3000,$A235,'Données Suivi'!$N$2:$N$3000,"Ordinaire")</f>
        <v/>
      </c>
      <c r="C235" s="595">
        <f>COUNTIFS('Données Suivi'!$A$2:$A$3000,$A235,'Données Suivi'!$N$2:$N$3000,"Exceptionnel")</f>
        <v/>
      </c>
      <c r="D235" s="595">
        <f>COUNTIFS('Données Suivi'!$A$2:$A$3000,$A235,'Données Suivi'!$N$2:$N$3000,"REPORT BUDGET ANNEE ANTERIEURE")</f>
        <v/>
      </c>
      <c r="E235" s="595">
        <f>COUNTIFS('Données Suivi'!$A$2:$A$3000,$A235,'Données Suivi'!$N$2:$N$3000,"REPORT BUDGET EXCEP ANNEE ANTERIEURE")</f>
        <v/>
      </c>
      <c r="F235" s="596">
        <f>COUNTIF('Données Suivi'!$A$2:$A$3000,$A235)</f>
        <v/>
      </c>
    </row>
    <row r="236">
      <c r="A236" s="594" t="inlineStr">
        <is>
          <t>TV LAAYOUNE</t>
        </is>
      </c>
      <c r="B236" s="595">
        <f>COUNTIFS('Données Suivi'!$A$2:$A$3000,$A236,'Données Suivi'!$N$2:$N$3000,"Ordinaire")</f>
        <v/>
      </c>
      <c r="C236" s="595">
        <f>COUNTIFS('Données Suivi'!$A$2:$A$3000,$A236,'Données Suivi'!$N$2:$N$3000,"Exceptionnel")</f>
        <v/>
      </c>
      <c r="D236" s="595">
        <f>COUNTIFS('Données Suivi'!$A$2:$A$3000,$A236,'Données Suivi'!$N$2:$N$3000,"REPORT BUDGET ANNEE ANTERIEURE")</f>
        <v/>
      </c>
      <c r="E236" s="595">
        <f>COUNTIFS('Données Suivi'!$A$2:$A$3000,$A236,'Données Suivi'!$N$2:$N$3000,"REPORT BUDGET EXCEP ANNEE ANTERIEURE")</f>
        <v/>
      </c>
      <c r="F236" s="596">
        <f>COUNTIF('Données Suivi'!$A$2:$A$3000,$A236)</f>
        <v/>
      </c>
    </row>
    <row r="237">
      <c r="A237" s="597" t="inlineStr">
        <is>
          <t>TOTAL</t>
        </is>
      </c>
      <c r="B237" s="596">
        <f>SUM(B214:B236)</f>
        <v/>
      </c>
      <c r="C237" s="596">
        <f>SUM(C214:C236)</f>
        <v/>
      </c>
      <c r="D237" s="596">
        <f>SUM(D214:D236)</f>
        <v/>
      </c>
      <c r="E237" s="596">
        <f>SUM(E214:E236)</f>
        <v/>
      </c>
      <c r="F237" s="596">
        <f>SUM(F214:F236)</f>
        <v/>
      </c>
    </row>
    <row r="238"/>
    <row r="239" ht="20" customHeight="1" s="392">
      <c r="A239" s="592" t="inlineStr">
        <is>
          <t>Répartition des dossiers par Direction et par Catégorie de marché — Nombre de dossiers</t>
        </is>
      </c>
    </row>
    <row r="240">
      <c r="A240" s="593" t="inlineStr">
        <is>
          <t>Direction</t>
        </is>
      </c>
      <c r="B240" s="593" t="inlineStr">
        <is>
          <t>GENERAL</t>
        </is>
      </c>
      <c r="C240" s="593" t="inlineStr">
        <is>
          <t>PME</t>
        </is>
      </c>
      <c r="D240" s="593" t="inlineStr">
        <is>
          <t>NON CONCERNE</t>
        </is>
      </c>
      <c r="E240" s="593" t="inlineStr">
        <is>
          <t>TOTAL</t>
        </is>
      </c>
    </row>
    <row r="241">
      <c r="A241" s="594" t="inlineStr">
        <is>
          <t>ARRIYADIA</t>
        </is>
      </c>
      <c r="B241" s="595">
        <f>COUNTIFS('Données Suivi'!$A$2:$A$3000,$A241,'Données Suivi'!$P$2:$P$3000,"GENERAL")</f>
        <v/>
      </c>
      <c r="C241" s="595">
        <f>COUNTIFS('Données Suivi'!$A$2:$A$3000,$A241,'Données Suivi'!$P$2:$P$3000,"PME")</f>
        <v/>
      </c>
      <c r="D241" s="595">
        <f>COUNTIFS('Données Suivi'!$A$2:$A$3000,$A241,'Données Suivi'!$P$2:$P$3000,"NON CONCERNE")</f>
        <v/>
      </c>
      <c r="E241" s="596">
        <f>COUNTIF('Données Suivi'!$A$2:$A$3000,$A241)</f>
        <v/>
      </c>
    </row>
    <row r="242">
      <c r="A242" s="594" t="inlineStr">
        <is>
          <t>ASSADISSA</t>
        </is>
      </c>
      <c r="B242" s="595">
        <f>COUNTIFS('Données Suivi'!$A$2:$A$3000,$A242,'Données Suivi'!$P$2:$P$3000,"GENERAL")</f>
        <v/>
      </c>
      <c r="C242" s="595">
        <f>COUNTIFS('Données Suivi'!$A$2:$A$3000,$A242,'Données Suivi'!$P$2:$P$3000,"PME")</f>
        <v/>
      </c>
      <c r="D242" s="595">
        <f>COUNTIFS('Données Suivi'!$A$2:$A$3000,$A242,'Données Suivi'!$P$2:$P$3000,"NON CONCERNE")</f>
        <v/>
      </c>
      <c r="E242" s="596">
        <f>COUNTIF('Données Suivi'!$A$2:$A$3000,$A242)</f>
        <v/>
      </c>
    </row>
    <row r="243">
      <c r="A243" s="594" t="inlineStr">
        <is>
          <t>DA</t>
        </is>
      </c>
      <c r="B243" s="595">
        <f>COUNTIFS('Données Suivi'!$A$2:$A$3000,$A243,'Données Suivi'!$P$2:$P$3000,"GENERAL")</f>
        <v/>
      </c>
      <c r="C243" s="595">
        <f>COUNTIFS('Données Suivi'!$A$2:$A$3000,$A243,'Données Suivi'!$P$2:$P$3000,"PME")</f>
        <v/>
      </c>
      <c r="D243" s="595">
        <f>COUNTIFS('Données Suivi'!$A$2:$A$3000,$A243,'Données Suivi'!$P$2:$P$3000,"NON CONCERNE")</f>
        <v/>
      </c>
      <c r="E243" s="596">
        <f>COUNTIF('Données Suivi'!$A$2:$A$3000,$A243)</f>
        <v/>
      </c>
    </row>
    <row r="244">
      <c r="A244" s="594" t="inlineStr">
        <is>
          <t>DACG</t>
        </is>
      </c>
      <c r="B244" s="595">
        <f>COUNTIFS('Données Suivi'!$A$2:$A$3000,$A244,'Données Suivi'!$P$2:$P$3000,"GENERAL")</f>
        <v/>
      </c>
      <c r="C244" s="595">
        <f>COUNTIFS('Données Suivi'!$A$2:$A$3000,$A244,'Données Suivi'!$P$2:$P$3000,"PME")</f>
        <v/>
      </c>
      <c r="D244" s="595">
        <f>COUNTIFS('Données Suivi'!$A$2:$A$3000,$A244,'Données Suivi'!$P$2:$P$3000,"NON CONCERNE")</f>
        <v/>
      </c>
      <c r="E244" s="596">
        <f>COUNTIF('Données Suivi'!$A$2:$A$3000,$A244)</f>
        <v/>
      </c>
    </row>
    <row r="245">
      <c r="A245" s="594" t="inlineStr">
        <is>
          <t>DAR</t>
        </is>
      </c>
      <c r="B245" s="595">
        <f>COUNTIFS('Données Suivi'!$A$2:$A$3000,$A245,'Données Suivi'!$P$2:$P$3000,"GENERAL")</f>
        <v/>
      </c>
      <c r="C245" s="595">
        <f>COUNTIFS('Données Suivi'!$A$2:$A$3000,$A245,'Données Suivi'!$P$2:$P$3000,"PME")</f>
        <v/>
      </c>
      <c r="D245" s="595">
        <f>COUNTIFS('Données Suivi'!$A$2:$A$3000,$A245,'Données Suivi'!$P$2:$P$3000,"NON CONCERNE")</f>
        <v/>
      </c>
      <c r="E245" s="596">
        <f>COUNTIF('Données Suivi'!$A$2:$A$3000,$A245)</f>
        <v/>
      </c>
    </row>
    <row r="246">
      <c r="A246" s="594" t="inlineStr">
        <is>
          <t>DCPA</t>
        </is>
      </c>
      <c r="B246" s="595">
        <f>COUNTIFS('Données Suivi'!$A$2:$A$3000,$A246,'Données Suivi'!$P$2:$P$3000,"GENERAL")</f>
        <v/>
      </c>
      <c r="C246" s="595">
        <f>COUNTIFS('Données Suivi'!$A$2:$A$3000,$A246,'Données Suivi'!$P$2:$P$3000,"PME")</f>
        <v/>
      </c>
      <c r="D246" s="595">
        <f>COUNTIFS('Données Suivi'!$A$2:$A$3000,$A246,'Données Suivi'!$P$2:$P$3000,"NON CONCERNE")</f>
        <v/>
      </c>
      <c r="E246" s="596">
        <f>COUNTIF('Données Suivi'!$A$2:$A$3000,$A246)</f>
        <v/>
      </c>
    </row>
    <row r="247">
      <c r="A247" s="594" t="inlineStr">
        <is>
          <t>DCRI</t>
        </is>
      </c>
      <c r="B247" s="595">
        <f>COUNTIFS('Données Suivi'!$A$2:$A$3000,$A247,'Données Suivi'!$P$2:$P$3000,"GENERAL")</f>
        <v/>
      </c>
      <c r="C247" s="595">
        <f>COUNTIFS('Données Suivi'!$A$2:$A$3000,$A247,'Données Suivi'!$P$2:$P$3000,"PME")</f>
        <v/>
      </c>
      <c r="D247" s="595">
        <f>COUNTIFS('Données Suivi'!$A$2:$A$3000,$A247,'Données Suivi'!$P$2:$P$3000,"NON CONCERNE")</f>
        <v/>
      </c>
      <c r="E247" s="596">
        <f>COUNTIF('Données Suivi'!$A$2:$A$3000,$A247)</f>
        <v/>
      </c>
    </row>
    <row r="248">
      <c r="A248" s="594" t="inlineStr">
        <is>
          <t>DCT</t>
        </is>
      </c>
      <c r="B248" s="595">
        <f>COUNTIFS('Données Suivi'!$A$2:$A$3000,$A248,'Données Suivi'!$P$2:$P$3000,"GENERAL")</f>
        <v/>
      </c>
      <c r="C248" s="595">
        <f>COUNTIFS('Données Suivi'!$A$2:$A$3000,$A248,'Données Suivi'!$P$2:$P$3000,"PME")</f>
        <v/>
      </c>
      <c r="D248" s="595">
        <f>COUNTIFS('Données Suivi'!$A$2:$A$3000,$A248,'Données Suivi'!$P$2:$P$3000,"NON CONCERNE")</f>
        <v/>
      </c>
      <c r="E248" s="596">
        <f>COUNTIF('Données Suivi'!$A$2:$A$3000,$A248)</f>
        <v/>
      </c>
    </row>
    <row r="249">
      <c r="A249" s="594" t="inlineStr">
        <is>
          <t>DG</t>
        </is>
      </c>
      <c r="B249" s="595">
        <f>COUNTIFS('Données Suivi'!$A$2:$A$3000,$A249,'Données Suivi'!$P$2:$P$3000,"GENERAL")</f>
        <v/>
      </c>
      <c r="C249" s="595">
        <f>COUNTIFS('Données Suivi'!$A$2:$A$3000,$A249,'Données Suivi'!$P$2:$P$3000,"PME")</f>
        <v/>
      </c>
      <c r="D249" s="595">
        <f>COUNTIFS('Données Suivi'!$A$2:$A$3000,$A249,'Données Suivi'!$P$2:$P$3000,"NON CONCERNE")</f>
        <v/>
      </c>
      <c r="E249" s="596">
        <f>COUNTIF('Données Suivi'!$A$2:$A$3000,$A249)</f>
        <v/>
      </c>
    </row>
    <row r="250">
      <c r="A250" s="594" t="inlineStr">
        <is>
          <t>DINFORADIO</t>
        </is>
      </c>
      <c r="B250" s="595">
        <f>COUNTIFS('Données Suivi'!$A$2:$A$3000,$A250,'Données Suivi'!$P$2:$P$3000,"GENERAL")</f>
        <v/>
      </c>
      <c r="C250" s="595">
        <f>COUNTIFS('Données Suivi'!$A$2:$A$3000,$A250,'Données Suivi'!$P$2:$P$3000,"PME")</f>
        <v/>
      </c>
      <c r="D250" s="595">
        <f>COUNTIFS('Données Suivi'!$A$2:$A$3000,$A250,'Données Suivi'!$P$2:$P$3000,"NON CONCERNE")</f>
        <v/>
      </c>
      <c r="E250" s="596">
        <f>COUNTIF('Données Suivi'!$A$2:$A$3000,$A250)</f>
        <v/>
      </c>
    </row>
    <row r="251">
      <c r="A251" s="594" t="inlineStr">
        <is>
          <t>DINFOTV</t>
        </is>
      </c>
      <c r="B251" s="595">
        <f>COUNTIFS('Données Suivi'!$A$2:$A$3000,$A251,'Données Suivi'!$P$2:$P$3000,"GENERAL")</f>
        <v/>
      </c>
      <c r="C251" s="595">
        <f>COUNTIFS('Données Suivi'!$A$2:$A$3000,$A251,'Données Suivi'!$P$2:$P$3000,"PME")</f>
        <v/>
      </c>
      <c r="D251" s="595">
        <f>COUNTIFS('Données Suivi'!$A$2:$A$3000,$A251,'Données Suivi'!$P$2:$P$3000,"NON CONCERNE")</f>
        <v/>
      </c>
      <c r="E251" s="596">
        <f>COUNTIF('Données Suivi'!$A$2:$A$3000,$A251)</f>
        <v/>
      </c>
    </row>
    <row r="252">
      <c r="A252" s="594" t="inlineStr">
        <is>
          <t>DJURIDIQUE</t>
        </is>
      </c>
      <c r="B252" s="595">
        <f>COUNTIFS('Données Suivi'!$A$2:$A$3000,$A252,'Données Suivi'!$P$2:$P$3000,"GENERAL")</f>
        <v/>
      </c>
      <c r="C252" s="595">
        <f>COUNTIFS('Données Suivi'!$A$2:$A$3000,$A252,'Données Suivi'!$P$2:$P$3000,"PME")</f>
        <v/>
      </c>
      <c r="D252" s="595">
        <f>COUNTIFS('Données Suivi'!$A$2:$A$3000,$A252,'Données Suivi'!$P$2:$P$3000,"NON CONCERNE")</f>
        <v/>
      </c>
      <c r="E252" s="596">
        <f>COUNTIF('Données Suivi'!$A$2:$A$3000,$A252)</f>
        <v/>
      </c>
    </row>
    <row r="253">
      <c r="A253" s="594" t="inlineStr">
        <is>
          <t>DMPTV</t>
        </is>
      </c>
      <c r="B253" s="595">
        <f>COUNTIFS('Données Suivi'!$A$2:$A$3000,$A253,'Données Suivi'!$P$2:$P$3000,"GENERAL")</f>
        <v/>
      </c>
      <c r="C253" s="595">
        <f>COUNTIFS('Données Suivi'!$A$2:$A$3000,$A253,'Données Suivi'!$P$2:$P$3000,"PME")</f>
        <v/>
      </c>
      <c r="D253" s="595">
        <f>COUNTIFS('Données Suivi'!$A$2:$A$3000,$A253,'Données Suivi'!$P$2:$P$3000,"NON CONCERNE")</f>
        <v/>
      </c>
      <c r="E253" s="596">
        <f>COUNTIF('Données Suivi'!$A$2:$A$3000,$A253)</f>
        <v/>
      </c>
    </row>
    <row r="254">
      <c r="A254" s="594" t="inlineStr">
        <is>
          <t>DPMG</t>
        </is>
      </c>
      <c r="B254" s="595">
        <f>COUNTIFS('Données Suivi'!$A$2:$A$3000,$A254,'Données Suivi'!$P$2:$P$3000,"GENERAL")</f>
        <v/>
      </c>
      <c r="C254" s="595">
        <f>COUNTIFS('Données Suivi'!$A$2:$A$3000,$A254,'Données Suivi'!$P$2:$P$3000,"PME")</f>
        <v/>
      </c>
      <c r="D254" s="595">
        <f>COUNTIFS('Données Suivi'!$A$2:$A$3000,$A254,'Données Suivi'!$P$2:$P$3000,"NON CONCERNE")</f>
        <v/>
      </c>
      <c r="E254" s="596">
        <f>COUNTIF('Données Suivi'!$A$2:$A$3000,$A254)</f>
        <v/>
      </c>
    </row>
    <row r="255">
      <c r="A255" s="594" t="inlineStr">
        <is>
          <t>DPPR</t>
        </is>
      </c>
      <c r="B255" s="595">
        <f>COUNTIFS('Données Suivi'!$A$2:$A$3000,$A255,'Données Suivi'!$P$2:$P$3000,"GENERAL")</f>
        <v/>
      </c>
      <c r="C255" s="595">
        <f>COUNTIFS('Données Suivi'!$A$2:$A$3000,$A255,'Données Suivi'!$P$2:$P$3000,"PME")</f>
        <v/>
      </c>
      <c r="D255" s="595">
        <f>COUNTIFS('Données Suivi'!$A$2:$A$3000,$A255,'Données Suivi'!$P$2:$P$3000,"NON CONCERNE")</f>
        <v/>
      </c>
      <c r="E255" s="596">
        <f>COUNTIF('Données Suivi'!$A$2:$A$3000,$A255)</f>
        <v/>
      </c>
    </row>
    <row r="256">
      <c r="A256" s="594" t="inlineStr">
        <is>
          <t>DRH</t>
        </is>
      </c>
      <c r="B256" s="595">
        <f>COUNTIFS('Données Suivi'!$A$2:$A$3000,$A256,'Données Suivi'!$P$2:$P$3000,"GENERAL")</f>
        <v/>
      </c>
      <c r="C256" s="595">
        <f>COUNTIFS('Données Suivi'!$A$2:$A$3000,$A256,'Données Suivi'!$P$2:$P$3000,"PME")</f>
        <v/>
      </c>
      <c r="D256" s="595">
        <f>COUNTIFS('Données Suivi'!$A$2:$A$3000,$A256,'Données Suivi'!$P$2:$P$3000,"NON CONCERNE")</f>
        <v/>
      </c>
      <c r="E256" s="596">
        <f>COUNTIF('Données Suivi'!$A$2:$A$3000,$A256)</f>
        <v/>
      </c>
    </row>
    <row r="257">
      <c r="A257" s="594" t="inlineStr">
        <is>
          <t>DRPSD</t>
        </is>
      </c>
      <c r="B257" s="595">
        <f>COUNTIFS('Données Suivi'!$A$2:$A$3000,$A257,'Données Suivi'!$P$2:$P$3000,"GENERAL")</f>
        <v/>
      </c>
      <c r="C257" s="595">
        <f>COUNTIFS('Données Suivi'!$A$2:$A$3000,$A257,'Données Suivi'!$P$2:$P$3000,"PME")</f>
        <v/>
      </c>
      <c r="D257" s="595">
        <f>COUNTIFS('Données Suivi'!$A$2:$A$3000,$A257,'Données Suivi'!$P$2:$P$3000,"NON CONCERNE")</f>
        <v/>
      </c>
      <c r="E257" s="596">
        <f>COUNTIF('Données Suivi'!$A$2:$A$3000,$A257)</f>
        <v/>
      </c>
    </row>
    <row r="258">
      <c r="A258" s="594" t="inlineStr">
        <is>
          <t>MAGHRIBIA</t>
        </is>
      </c>
      <c r="B258" s="595">
        <f>COUNTIFS('Données Suivi'!$A$2:$A$3000,$A258,'Données Suivi'!$P$2:$P$3000,"GENERAL")</f>
        <v/>
      </c>
      <c r="C258" s="595">
        <f>COUNTIFS('Données Suivi'!$A$2:$A$3000,$A258,'Données Suivi'!$P$2:$P$3000,"PME")</f>
        <v/>
      </c>
      <c r="D258" s="595">
        <f>COUNTIFS('Données Suivi'!$A$2:$A$3000,$A258,'Données Suivi'!$P$2:$P$3000,"NON CONCERNE")</f>
        <v/>
      </c>
      <c r="E258" s="596">
        <f>COUNTIF('Données Suivi'!$A$2:$A$3000,$A258)</f>
        <v/>
      </c>
    </row>
    <row r="259">
      <c r="A259" s="594" t="inlineStr">
        <is>
          <t>RSSI</t>
        </is>
      </c>
      <c r="B259" s="595">
        <f>COUNTIFS('Données Suivi'!$A$2:$A$3000,$A259,'Données Suivi'!$P$2:$P$3000,"GENERAL")</f>
        <v/>
      </c>
      <c r="C259" s="595">
        <f>COUNTIFS('Données Suivi'!$A$2:$A$3000,$A259,'Données Suivi'!$P$2:$P$3000,"PME")</f>
        <v/>
      </c>
      <c r="D259" s="595">
        <f>COUNTIFS('Données Suivi'!$A$2:$A$3000,$A259,'Données Suivi'!$P$2:$P$3000,"NON CONCERNE")</f>
        <v/>
      </c>
      <c r="E259" s="596">
        <f>COUNTIF('Données Suivi'!$A$2:$A$3000,$A259)</f>
        <v/>
      </c>
    </row>
    <row r="260">
      <c r="A260" s="594" t="inlineStr">
        <is>
          <t>TAMAZIGHT</t>
        </is>
      </c>
      <c r="B260" s="595">
        <f>COUNTIFS('Données Suivi'!$A$2:$A$3000,$A260,'Données Suivi'!$P$2:$P$3000,"GENERAL")</f>
        <v/>
      </c>
      <c r="C260" s="595">
        <f>COUNTIFS('Données Suivi'!$A$2:$A$3000,$A260,'Données Suivi'!$P$2:$P$3000,"PME")</f>
        <v/>
      </c>
      <c r="D260" s="595">
        <f>COUNTIFS('Données Suivi'!$A$2:$A$3000,$A260,'Données Suivi'!$P$2:$P$3000,"NON CONCERNE")</f>
        <v/>
      </c>
      <c r="E260" s="596">
        <f>COUNTIF('Données Suivi'!$A$2:$A$3000,$A260)</f>
        <v/>
      </c>
    </row>
    <row r="261">
      <c r="A261" s="594" t="inlineStr">
        <is>
          <t>TDF -SITES</t>
        </is>
      </c>
      <c r="B261" s="595">
        <f>COUNTIFS('Données Suivi'!$A$2:$A$3000,$A261,'Données Suivi'!$P$2:$P$3000,"GENERAL")</f>
        <v/>
      </c>
      <c r="C261" s="595">
        <f>COUNTIFS('Données Suivi'!$A$2:$A$3000,$A261,'Données Suivi'!$P$2:$P$3000,"PME")</f>
        <v/>
      </c>
      <c r="D261" s="595">
        <f>COUNTIFS('Données Suivi'!$A$2:$A$3000,$A261,'Données Suivi'!$P$2:$P$3000,"NON CONCERNE")</f>
        <v/>
      </c>
      <c r="E261" s="596">
        <f>COUNTIF('Données Suivi'!$A$2:$A$3000,$A261)</f>
        <v/>
      </c>
    </row>
    <row r="262">
      <c r="A262" s="594" t="inlineStr">
        <is>
          <t>TDF-EXP&amp;MAIN</t>
        </is>
      </c>
      <c r="B262" s="595">
        <f>COUNTIFS('Données Suivi'!$A$2:$A$3000,$A262,'Données Suivi'!$P$2:$P$3000,"GENERAL")</f>
        <v/>
      </c>
      <c r="C262" s="595">
        <f>COUNTIFS('Données Suivi'!$A$2:$A$3000,$A262,'Données Suivi'!$P$2:$P$3000,"PME")</f>
        <v/>
      </c>
      <c r="D262" s="595">
        <f>COUNTIFS('Données Suivi'!$A$2:$A$3000,$A262,'Données Suivi'!$P$2:$P$3000,"NON CONCERNE")</f>
        <v/>
      </c>
      <c r="E262" s="596">
        <f>COUNTIF('Données Suivi'!$A$2:$A$3000,$A262)</f>
        <v/>
      </c>
    </row>
    <row r="263">
      <c r="A263" s="594" t="inlineStr">
        <is>
          <t>TV LAAYOUNE</t>
        </is>
      </c>
      <c r="B263" s="595">
        <f>COUNTIFS('Données Suivi'!$A$2:$A$3000,$A263,'Données Suivi'!$P$2:$P$3000,"GENERAL")</f>
        <v/>
      </c>
      <c r="C263" s="595">
        <f>COUNTIFS('Données Suivi'!$A$2:$A$3000,$A263,'Données Suivi'!$P$2:$P$3000,"PME")</f>
        <v/>
      </c>
      <c r="D263" s="595">
        <f>COUNTIFS('Données Suivi'!$A$2:$A$3000,$A263,'Données Suivi'!$P$2:$P$3000,"NON CONCERNE")</f>
        <v/>
      </c>
      <c r="E263" s="596">
        <f>COUNTIF('Données Suivi'!$A$2:$A$3000,$A263)</f>
        <v/>
      </c>
    </row>
    <row r="264">
      <c r="A264" s="597" t="inlineStr">
        <is>
          <t>TOTAL</t>
        </is>
      </c>
      <c r="B264" s="596">
        <f>SUM(B241:B263)</f>
        <v/>
      </c>
      <c r="C264" s="596">
        <f>SUM(C241:C263)</f>
        <v/>
      </c>
      <c r="D264" s="596">
        <f>SUM(D241:D263)</f>
        <v/>
      </c>
      <c r="E264" s="596">
        <f>SUM(E241:E263)</f>
        <v/>
      </c>
    </row>
  </sheetData>
  <mergeCells count="24">
    <mergeCell ref="A185:M185"/>
    <mergeCell ref="C6:D6"/>
    <mergeCell ref="A6:B6"/>
    <mergeCell ref="A10:M10"/>
    <mergeCell ref="A4:B5"/>
    <mergeCell ref="G4:H5"/>
    <mergeCell ref="I4:J5"/>
    <mergeCell ref="K4:L5"/>
    <mergeCell ref="C7:D8"/>
    <mergeCell ref="A64:M64"/>
    <mergeCell ref="A3:B3"/>
    <mergeCell ref="G3:H3"/>
    <mergeCell ref="I3:J3"/>
    <mergeCell ref="A1:M1"/>
    <mergeCell ref="A212:M212"/>
    <mergeCell ref="A90:M90"/>
    <mergeCell ref="C4:D5"/>
    <mergeCell ref="E4:F5"/>
    <mergeCell ref="A37:M37"/>
    <mergeCell ref="A7:B8"/>
    <mergeCell ref="A239:M239"/>
    <mergeCell ref="C3:D3"/>
    <mergeCell ref="E3:F3"/>
    <mergeCell ref="K3:L3"/>
  </mergeCells>
  <conditionalFormatting sqref="D66:D88">
    <cfRule type="cellIs" priority="1" operator="lessThan" dxfId="700">
      <formula>0.5</formula>
    </cfRule>
  </conditionalFormatting>
  <conditionalFormatting sqref="I92:I183">
    <cfRule type="cellIs" priority="2" operator="greaterThan" dxfId="700">
      <formula>60</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D150"/>
  <sheetViews>
    <sheetView showGridLines="0" zoomScale="85" workbookViewId="0">
      <selection activeCell="A1" sqref="A1"/>
    </sheetView>
  </sheetViews>
  <sheetFormatPr baseColWidth="8" defaultRowHeight="15"/>
  <cols>
    <col width="91.42578125" customWidth="1" style="392" min="1" max="1"/>
    <col width="16.7109375" customWidth="1" style="392" min="2" max="2"/>
    <col width="15.7109375" customWidth="1" style="392" min="3" max="3"/>
    <col width="5.140625" customWidth="1" style="392" min="4" max="4"/>
    <col width="56.28515625" customWidth="1" style="392" min="6" max="6"/>
    <col width="29.7109375" customWidth="1" style="392" min="7" max="7"/>
  </cols>
  <sheetData>
    <row r="1">
      <c r="A1" s="1" t="inlineStr">
        <is>
          <t>Type de Budget</t>
        </is>
      </c>
      <c r="B1" s="642" t="n"/>
      <c r="C1" s="643" t="n"/>
    </row>
    <row r="2">
      <c r="A2" s="2" t="inlineStr">
        <is>
          <t>REPORT BUDGET ANNEE ANTERIEURE</t>
        </is>
      </c>
      <c r="B2" s="3" t="n"/>
      <c r="C2" s="3" t="n"/>
    </row>
    <row r="3">
      <c r="A3" s="4" t="inlineStr">
        <is>
          <t>REPORT BUDGET EXCEP  ANNEE ANTERIEURE</t>
        </is>
      </c>
      <c r="B3" s="5" t="n"/>
      <c r="C3" s="5" t="n"/>
    </row>
    <row r="4">
      <c r="A4" s="2" t="inlineStr">
        <is>
          <t>Ordinaire</t>
        </is>
      </c>
      <c r="B4" s="2" t="n"/>
      <c r="C4" s="2" t="n"/>
    </row>
    <row r="5">
      <c r="A5" s="3" t="inlineStr">
        <is>
          <t>Exceptionnel</t>
        </is>
      </c>
      <c r="B5" s="3" t="n"/>
      <c r="C5" s="3" t="n"/>
    </row>
    <row r="6">
      <c r="A6" s="1" t="inlineStr">
        <is>
          <t>BUDGET</t>
        </is>
      </c>
      <c r="B6" s="642" t="n"/>
      <c r="C6" s="643" t="n"/>
    </row>
    <row r="7">
      <c r="A7" s="8" t="inlineStr">
        <is>
          <t>FONCTIONNEMENT</t>
        </is>
      </c>
      <c r="B7" s="644" t="n"/>
      <c r="C7" s="645" t="n"/>
    </row>
    <row r="8">
      <c r="A8" s="5" t="inlineStr">
        <is>
          <t>INVESTISSEMENT</t>
        </is>
      </c>
      <c r="B8" s="646" t="n"/>
      <c r="C8" s="647">
        <f>IFERROR(B8/(B7+B8),0)</f>
        <v/>
      </c>
    </row>
    <row r="9">
      <c r="A9" s="1" t="inlineStr">
        <is>
          <t>Lignes Budget Fonctionnement</t>
        </is>
      </c>
      <c r="B9" s="642" t="n"/>
      <c r="C9" s="643" t="n"/>
    </row>
    <row r="10">
      <c r="A10" s="2" t="inlineStr">
        <is>
          <t>Achats de productions et de programmes: Acquis définitive Programmes TV externes</t>
        </is>
      </c>
      <c r="B10" s="2" t="n"/>
      <c r="C10" s="2" t="n"/>
    </row>
    <row r="11">
      <c r="A11" s="3" t="inlineStr">
        <is>
          <t>Achats de productions et de programmes: Acquis définitive pgm Radio externes</t>
        </is>
      </c>
      <c r="B11" s="3" t="n"/>
      <c r="C11" s="3" t="n"/>
    </row>
    <row r="12">
      <c r="A12" s="2" t="inlineStr">
        <is>
          <t>Achats de productions et de programmes: Achats des programmes en co-production</t>
        </is>
      </c>
      <c r="B12" s="2" t="n"/>
      <c r="C12" s="2" t="n"/>
    </row>
    <row r="13">
      <c r="A13" s="3" t="inlineStr">
        <is>
          <t>Achats de productions et de programmes: Achat des programmes en production interne - personnes physiques</t>
        </is>
      </c>
      <c r="B13" s="3" t="n"/>
      <c r="C13" s="3" t="n"/>
    </row>
    <row r="14">
      <c r="A14" s="2" t="inlineStr">
        <is>
          <t>Achats de droits: Achats des droits de captation</t>
        </is>
      </c>
      <c r="B14" s="2" t="n"/>
      <c r="C14" s="2" t="n"/>
    </row>
    <row r="15">
      <c r="A15" s="3" t="inlineStr">
        <is>
          <t xml:space="preserve">Achats de droits: Cession de Droits de sport </t>
        </is>
      </c>
      <c r="B15" s="3" t="n"/>
      <c r="C15" s="3" t="n"/>
    </row>
    <row r="16">
      <c r="A16" s="2" t="inlineStr">
        <is>
          <t>Achats de matières et fournitures consommables</t>
        </is>
      </c>
      <c r="B16" s="2" t="n"/>
      <c r="C16" s="2" t="n"/>
    </row>
    <row r="17">
      <c r="A17" s="3" t="inlineStr">
        <is>
          <t xml:space="preserve">Achats non stockés de matières et fournitures </t>
        </is>
      </c>
      <c r="B17" s="3" t="n"/>
      <c r="C17" s="3" t="n"/>
    </row>
    <row r="18">
      <c r="A18" s="2" t="inlineStr">
        <is>
          <t>Prestations de service: Achat d'études</t>
        </is>
      </c>
      <c r="B18" s="2" t="n"/>
      <c r="C18" s="2" t="n"/>
    </row>
    <row r="19">
      <c r="A19" s="3" t="inlineStr">
        <is>
          <t xml:space="preserve">Prestations de service: Achat prestations de services locales - personnes physiques </t>
        </is>
      </c>
      <c r="B19" s="3" t="n"/>
      <c r="C19" s="3" t="n"/>
    </row>
    <row r="20">
      <c r="A20" s="2" t="inlineStr">
        <is>
          <t>Prestations de service: Achat prestations de services locales - sociétés</t>
        </is>
      </c>
      <c r="B20" s="2" t="n"/>
      <c r="C20" s="2" t="n"/>
    </row>
    <row r="21">
      <c r="A21" s="3" t="inlineStr">
        <is>
          <t>Prestations de service: Achat prestations de services Etrangères</t>
        </is>
      </c>
      <c r="B21" s="3" t="n"/>
      <c r="C21" s="3" t="n"/>
    </row>
    <row r="22">
      <c r="A22" s="2" t="inlineStr">
        <is>
          <t>Redevances satellitaires</t>
        </is>
      </c>
      <c r="B22" s="2" t="n"/>
      <c r="C22" s="2" t="n"/>
    </row>
    <row r="23">
      <c r="A23" s="3" t="inlineStr">
        <is>
          <t>Locations</t>
        </is>
      </c>
      <c r="B23" s="3" t="n"/>
      <c r="C23" s="3" t="n"/>
    </row>
    <row r="24">
      <c r="A24" s="2" t="inlineStr">
        <is>
          <t>Entretien, réparation et assurance</t>
        </is>
      </c>
      <c r="B24" s="2" t="n"/>
      <c r="C24" s="2" t="n"/>
    </row>
    <row r="25">
      <c r="A25" s="3" t="inlineStr">
        <is>
          <t>Honoraires et rémunération du personnel occasionnel</t>
        </is>
      </c>
      <c r="B25" s="3" t="n"/>
      <c r="C25" s="3" t="n"/>
    </row>
    <row r="26">
      <c r="A26" s="2" t="inlineStr">
        <is>
          <t>Redevances et cotisations</t>
        </is>
      </c>
      <c r="B26" s="2" t="n"/>
      <c r="C26" s="2" t="n"/>
    </row>
    <row r="27">
      <c r="A27" s="3" t="inlineStr">
        <is>
          <t>Déplacements, missions et réceptions</t>
        </is>
      </c>
      <c r="B27" s="3" t="n"/>
      <c r="C27" s="3" t="n"/>
    </row>
    <row r="28">
      <c r="A28" s="2" t="inlineStr">
        <is>
          <t>Charges marketing et relations publiques</t>
        </is>
      </c>
      <c r="B28" s="2" t="n"/>
      <c r="C28" s="2" t="n"/>
    </row>
    <row r="29">
      <c r="A29" s="3" t="inlineStr">
        <is>
          <t>Autres charges de fonctionnement</t>
        </is>
      </c>
      <c r="B29" s="3" t="n"/>
      <c r="C29" s="3" t="n"/>
    </row>
    <row r="30">
      <c r="A30" s="2" t="inlineStr">
        <is>
          <t xml:space="preserve">Charges du personnel </t>
        </is>
      </c>
      <c r="B30" s="2" t="n"/>
      <c r="C30" s="2" t="n"/>
    </row>
    <row r="31">
      <c r="A31" s="3" t="inlineStr">
        <is>
          <t>Charges sociales</t>
        </is>
      </c>
      <c r="B31" s="3" t="n"/>
      <c r="C31" s="3" t="n"/>
    </row>
    <row r="32">
      <c r="A32" s="2" t="inlineStr">
        <is>
          <t>Charges sociales diverses</t>
        </is>
      </c>
      <c r="B32" s="2" t="n"/>
      <c r="C32" s="2" t="n"/>
    </row>
    <row r="33">
      <c r="A33" s="1" t="inlineStr">
        <is>
          <t>Lignes Budget INVESTISSEMENT</t>
        </is>
      </c>
      <c r="B33" s="642" t="n"/>
      <c r="C33" s="643" t="n"/>
    </row>
    <row r="34">
      <c r="A34" s="3" t="inlineStr">
        <is>
          <t>Frais d'acquisition des immobilisations</t>
        </is>
      </c>
      <c r="B34" s="2" t="n"/>
      <c r="C34" s="2" t="n"/>
    </row>
    <row r="35">
      <c r="A35" s="2" t="inlineStr">
        <is>
          <t>Prestations de service à immobiliser</t>
        </is>
      </c>
      <c r="B35" s="3" t="n"/>
      <c r="C35" s="3" t="n"/>
    </row>
    <row r="36">
      <c r="A36" s="3" t="inlineStr">
        <is>
          <t>Immobilisations incorporelles (logiciels, licences, etc.)</t>
        </is>
      </c>
      <c r="B36" s="2" t="n"/>
      <c r="C36" s="2" t="n"/>
    </row>
    <row r="37">
      <c r="A37" s="2" t="inlineStr">
        <is>
          <t>Agencements et aménagement constructions</t>
        </is>
      </c>
      <c r="B37" s="3" t="n"/>
      <c r="C37" s="3" t="n"/>
    </row>
    <row r="38">
      <c r="A38" s="3" t="inlineStr">
        <is>
          <t>Installations techniques</t>
        </is>
      </c>
      <c r="B38" s="2" t="n"/>
      <c r="C38" s="2" t="n"/>
    </row>
    <row r="39">
      <c r="A39" s="2" t="inlineStr">
        <is>
          <t>Equipements de télédiffusion</t>
        </is>
      </c>
      <c r="B39" s="3" t="n"/>
      <c r="C39" s="3" t="n"/>
    </row>
    <row r="40">
      <c r="A40" s="3" t="inlineStr">
        <is>
          <t>Equipements techniques</t>
        </is>
      </c>
      <c r="B40" s="2" t="n"/>
      <c r="C40" s="2" t="n"/>
    </row>
    <row r="41">
      <c r="A41" s="2" t="inlineStr">
        <is>
          <t>Moblier de bureau</t>
        </is>
      </c>
      <c r="B41" s="3" t="n"/>
      <c r="C41" s="3" t="n"/>
    </row>
    <row r="42">
      <c r="A42" s="3" t="inlineStr">
        <is>
          <t>Matériel de bureau</t>
        </is>
      </c>
      <c r="B42" s="2" t="n"/>
      <c r="C42" s="2" t="n"/>
    </row>
    <row r="43">
      <c r="A43" s="2" t="inlineStr">
        <is>
          <t>Matériel Informatique</t>
        </is>
      </c>
      <c r="B43" s="3" t="n"/>
      <c r="C43" s="3" t="n"/>
    </row>
    <row r="44">
      <c r="A44" s="3" t="inlineStr">
        <is>
          <t>Autre Matériel et mobilier de bureau</t>
        </is>
      </c>
      <c r="B44" s="2" t="n"/>
      <c r="C44" s="2" t="n"/>
    </row>
    <row r="45">
      <c r="A45" s="1" t="inlineStr">
        <is>
          <t>Estimation</t>
        </is>
      </c>
      <c r="B45" s="642" t="inlineStr">
        <is>
          <t>MAD</t>
        </is>
      </c>
      <c r="C45" s="643" t="inlineStr">
        <is>
          <t>%</t>
        </is>
      </c>
    </row>
    <row r="46">
      <c r="A46" s="5" t="inlineStr">
        <is>
          <t>Estimation Total HT</t>
        </is>
      </c>
      <c r="B46" s="646" t="n"/>
      <c r="C46" s="647" t="n"/>
      <c r="D46" s="648" t="n"/>
    </row>
    <row r="47">
      <c r="A47" s="8" t="inlineStr">
        <is>
          <t>Ecart</t>
        </is>
      </c>
      <c r="B47" s="644" t="n"/>
      <c r="C47" s="645" t="n"/>
    </row>
    <row r="48">
      <c r="A48" s="5" t="inlineStr">
        <is>
          <t>MNT Partiel</t>
        </is>
      </c>
      <c r="B48" s="646" t="n"/>
      <c r="C48" s="647">
        <f>IFERROR(MTP/MTT,0)</f>
        <v/>
      </c>
    </row>
    <row r="49">
      <c r="A49" s="8" t="inlineStr">
        <is>
          <t>Total Marché HT</t>
        </is>
      </c>
      <c r="B49" s="644" t="n"/>
      <c r="C49" s="645" t="n"/>
    </row>
    <row r="50">
      <c r="A50" s="6" t="inlineStr">
        <is>
          <t xml:space="preserve">DIRECTION </t>
        </is>
      </c>
      <c r="B50" s="649" t="inlineStr">
        <is>
          <t>PPA</t>
        </is>
      </c>
      <c r="C50" s="650" t="inlineStr">
        <is>
          <t>Marche</t>
        </is>
      </c>
    </row>
    <row r="51">
      <c r="A51" s="2" t="inlineStr">
        <is>
          <t>TDF</t>
        </is>
      </c>
      <c r="B51" s="651" t="n"/>
      <c r="C51" s="651" t="n"/>
    </row>
    <row r="52">
      <c r="A52" s="7" t="inlineStr">
        <is>
          <t>TDF -SITES</t>
        </is>
      </c>
      <c r="B52" s="652" t="n"/>
      <c r="C52" s="652" t="n"/>
    </row>
    <row r="53">
      <c r="A53" s="2" t="inlineStr">
        <is>
          <t>TDF-EXP&amp;MAIN</t>
        </is>
      </c>
      <c r="B53" s="651" t="n"/>
      <c r="C53" s="651" t="n"/>
    </row>
    <row r="54">
      <c r="A54" s="8" t="inlineStr">
        <is>
          <t>DG</t>
        </is>
      </c>
      <c r="B54" s="653" t="n"/>
      <c r="C54" s="653" t="n"/>
    </row>
    <row r="55">
      <c r="A55" s="7" t="inlineStr">
        <is>
          <t>DCT</t>
        </is>
      </c>
      <c r="B55" s="652" t="n"/>
      <c r="C55" s="652" t="n"/>
    </row>
    <row r="56">
      <c r="A56" s="2" t="inlineStr">
        <is>
          <t>RSSI</t>
        </is>
      </c>
      <c r="B56" s="651" t="n"/>
      <c r="C56" s="651" t="n"/>
    </row>
    <row r="57">
      <c r="A57" s="7" t="inlineStr">
        <is>
          <t>DPMG</t>
        </is>
      </c>
      <c r="B57" s="652" t="n"/>
      <c r="C57" s="652" t="n"/>
    </row>
    <row r="58">
      <c r="A58" s="2" t="inlineStr">
        <is>
          <t>DRPSD</t>
        </is>
      </c>
      <c r="B58" s="651" t="n"/>
      <c r="C58" s="651" t="n"/>
    </row>
    <row r="59">
      <c r="A59" s="7" t="inlineStr">
        <is>
          <t>DINFORADIO</t>
        </is>
      </c>
      <c r="B59" s="652" t="n"/>
      <c r="C59" s="652" t="n"/>
    </row>
    <row r="60">
      <c r="A60" s="2" t="inlineStr">
        <is>
          <t>ARRIYADIA</t>
        </is>
      </c>
      <c r="B60" s="651" t="n"/>
      <c r="C60" s="651" t="n"/>
    </row>
    <row r="61">
      <c r="A61" s="7" t="inlineStr">
        <is>
          <t>TV LAAYOUNE</t>
        </is>
      </c>
      <c r="B61" s="652" t="n"/>
      <c r="C61" s="652" t="n"/>
    </row>
    <row r="62">
      <c r="A62" s="2" t="inlineStr">
        <is>
          <t>MAGHRIBIA</t>
        </is>
      </c>
      <c r="B62" s="651" t="n"/>
      <c r="C62" s="651" t="n"/>
    </row>
    <row r="63">
      <c r="A63" s="7" t="inlineStr">
        <is>
          <t>DMPTV</t>
        </is>
      </c>
      <c r="B63" s="652" t="n"/>
      <c r="C63" s="652" t="n"/>
    </row>
    <row r="64">
      <c r="A64" s="2" t="inlineStr">
        <is>
          <t>TAMAZIGHT</t>
        </is>
      </c>
      <c r="B64" s="651" t="n"/>
      <c r="C64" s="651" t="n"/>
    </row>
    <row r="65">
      <c r="A65" s="7" t="inlineStr">
        <is>
          <t>DINFOTV</t>
        </is>
      </c>
      <c r="B65" s="652" t="n"/>
      <c r="C65" s="652" t="n"/>
    </row>
    <row r="66">
      <c r="A66" s="2" t="inlineStr">
        <is>
          <t>DA</t>
        </is>
      </c>
      <c r="B66" s="651" t="n"/>
      <c r="C66" s="651" t="n"/>
    </row>
    <row r="67">
      <c r="A67" s="7" t="inlineStr">
        <is>
          <t>DRH</t>
        </is>
      </c>
      <c r="B67" s="652" t="n"/>
      <c r="C67" s="652" t="n"/>
    </row>
    <row r="68">
      <c r="A68" s="7" t="inlineStr">
        <is>
          <t>DJURIDIQUE</t>
        </is>
      </c>
      <c r="B68" s="652" t="n"/>
      <c r="C68" s="652" t="n"/>
    </row>
    <row r="69">
      <c r="A69" s="2" t="inlineStr">
        <is>
          <t>ASSADISSA</t>
        </is>
      </c>
      <c r="B69" s="651" t="n"/>
      <c r="C69" s="651" t="n"/>
    </row>
    <row r="70">
      <c r="A70" s="7" t="inlineStr">
        <is>
          <t>ARRABIAA</t>
        </is>
      </c>
      <c r="B70" s="652" t="n"/>
      <c r="C70" s="652" t="n"/>
    </row>
    <row r="71">
      <c r="A71" s="2" t="inlineStr">
        <is>
          <t>DCRI</t>
        </is>
      </c>
      <c r="B71" s="651" t="n"/>
      <c r="C71" s="651" t="n"/>
    </row>
    <row r="72">
      <c r="A72" s="7" t="inlineStr">
        <is>
          <t>DROI</t>
        </is>
      </c>
      <c r="B72" s="652" t="n"/>
      <c r="C72" s="652" t="n"/>
    </row>
    <row r="73">
      <c r="A73" s="2" t="inlineStr">
        <is>
          <t>DAR</t>
        </is>
      </c>
      <c r="B73" s="651" t="n"/>
      <c r="C73" s="651" t="n"/>
    </row>
    <row r="74">
      <c r="A74" s="7" t="inlineStr">
        <is>
          <t>DCPA</t>
        </is>
      </c>
      <c r="B74" s="652" t="n"/>
      <c r="C74" s="652" t="n"/>
    </row>
    <row r="75">
      <c r="A75" s="2" t="inlineStr">
        <is>
          <t>DACG</t>
        </is>
      </c>
      <c r="B75" s="651" t="n"/>
      <c r="C75" s="651" t="n"/>
    </row>
    <row r="76">
      <c r="A76" s="7" t="inlineStr">
        <is>
          <t>DPPR</t>
        </is>
      </c>
      <c r="B76" s="652" t="n"/>
      <c r="C76" s="652" t="n"/>
    </row>
    <row r="77">
      <c r="A77" s="2" t="inlineStr">
        <is>
          <t>DF</t>
        </is>
      </c>
      <c r="B77" s="651" t="n"/>
      <c r="C77" s="651" t="n"/>
    </row>
    <row r="78">
      <c r="A78" s="7" t="inlineStr">
        <is>
          <t>DSI</t>
        </is>
      </c>
      <c r="B78" s="652" t="n"/>
      <c r="C78" s="652" t="n"/>
    </row>
    <row r="79">
      <c r="A79" s="9" t="inlineStr">
        <is>
          <t>LIGNES BUDGETAIRES</t>
        </is>
      </c>
      <c r="B79" s="654" t="inlineStr">
        <is>
          <t>PPA</t>
        </is>
      </c>
      <c r="C79" s="655" t="inlineStr">
        <is>
          <t>AOO/BC</t>
        </is>
      </c>
    </row>
    <row r="80">
      <c r="A80" s="10" t="inlineStr">
        <is>
          <t>Aménagement et construction de bâtiments à usage technique</t>
        </is>
      </c>
      <c r="B80" s="656" t="n"/>
      <c r="C80" s="656" t="n"/>
    </row>
    <row r="81">
      <c r="A81" s="11" t="inlineStr">
        <is>
          <t>Aménagement et construction de bâtiments administratifs</t>
        </is>
      </c>
      <c r="B81" s="657" t="n"/>
      <c r="C81" s="657" t="n"/>
    </row>
    <row r="82">
      <c r="A82" s="3" t="inlineStr">
        <is>
          <t>Electrification et installations techniques</t>
        </is>
      </c>
      <c r="B82" s="658" t="n"/>
      <c r="C82" s="658" t="n"/>
    </row>
    <row r="83">
      <c r="A83" s="11" t="inlineStr">
        <is>
          <t>Equipements audiovisuels RADIO</t>
        </is>
      </c>
      <c r="B83" s="657" t="n"/>
      <c r="C83" s="657" t="n"/>
    </row>
    <row r="84">
      <c r="A84" s="3" t="inlineStr">
        <is>
          <t>Equipements audiovisuels TV</t>
        </is>
      </c>
      <c r="B84" s="658" t="n"/>
      <c r="C84" s="658" t="n"/>
    </row>
    <row r="85">
      <c r="A85" s="11" t="inlineStr">
        <is>
          <t>Frais d'acquisition</t>
        </is>
      </c>
      <c r="B85" s="657" t="n"/>
      <c r="C85" s="657" t="n"/>
    </row>
    <row r="86">
      <c r="A86" s="3" t="inlineStr">
        <is>
          <t>Habillage Radio</t>
        </is>
      </c>
      <c r="B86" s="658" t="n"/>
      <c r="C86" s="658" t="n"/>
    </row>
    <row r="87">
      <c r="A87" s="11" t="inlineStr">
        <is>
          <t>Logiciels</t>
        </is>
      </c>
      <c r="B87" s="657" t="n"/>
      <c r="C87" s="657" t="n"/>
    </row>
    <row r="88">
      <c r="A88" s="3" t="inlineStr">
        <is>
          <t>Matériel de bureau</t>
        </is>
      </c>
      <c r="B88" s="658" t="n"/>
      <c r="C88" s="658" t="n"/>
    </row>
    <row r="89">
      <c r="A89" s="11" t="inlineStr">
        <is>
          <t>Matériel de diffusion</t>
        </is>
      </c>
      <c r="B89" s="657" t="n"/>
      <c r="C89" s="657" t="n"/>
    </row>
    <row r="90">
      <c r="A90" s="3" t="inlineStr">
        <is>
          <t>Matériel de transmission</t>
        </is>
      </c>
      <c r="B90" s="658" t="n"/>
      <c r="C90" s="658" t="n"/>
    </row>
    <row r="91">
      <c r="A91" s="11" t="inlineStr">
        <is>
          <t>Matériel informatique</t>
        </is>
      </c>
      <c r="B91" s="657" t="n"/>
      <c r="C91" s="657" t="n"/>
    </row>
    <row r="92">
      <c r="A92" s="3" t="inlineStr">
        <is>
          <t>Mobilier de bureau</t>
        </is>
      </c>
      <c r="B92" s="658" t="n"/>
      <c r="C92" s="658" t="n"/>
    </row>
    <row r="93">
      <c r="A93" s="11" t="inlineStr">
        <is>
          <t>Moyens de contribution mobiles</t>
        </is>
      </c>
      <c r="B93" s="657" t="n"/>
      <c r="C93" s="657" t="n"/>
    </row>
    <row r="94">
      <c r="A94" s="3" t="inlineStr">
        <is>
          <t>Moyens mobiles</t>
        </is>
      </c>
      <c r="B94" s="658" t="n"/>
      <c r="C94" s="658" t="n"/>
    </row>
    <row r="95" ht="13.9" customHeight="1" s="392">
      <c r="A95" s="659" t="inlineStr">
        <is>
          <t>STATUT D'ENGAGEMENT</t>
        </is>
      </c>
    </row>
    <row r="96">
      <c r="A96" s="657" t="inlineStr">
        <is>
          <t>EN COURS DE PREENGAGEMENT</t>
        </is>
      </c>
      <c r="B96" s="657" t="n"/>
      <c r="C96" s="657" t="n"/>
    </row>
    <row r="97">
      <c r="A97" s="658" t="inlineStr">
        <is>
          <t>PREENGAGE</t>
        </is>
      </c>
      <c r="B97" s="658" t="n"/>
      <c r="C97" s="658" t="n"/>
    </row>
    <row r="98">
      <c r="A98" s="657" t="inlineStr">
        <is>
          <t>EN COURS D'ENGAGEMENT</t>
        </is>
      </c>
      <c r="B98" s="657" t="n"/>
      <c r="C98" s="657" t="n"/>
    </row>
    <row r="99">
      <c r="A99" s="658" t="inlineStr">
        <is>
          <t>ENGAGE</t>
        </is>
      </c>
      <c r="B99" s="658" t="n"/>
      <c r="C99" s="658" t="n"/>
    </row>
    <row r="100">
      <c r="A100" s="657" t="inlineStr">
        <is>
          <t>NON ENGAGE</t>
        </is>
      </c>
      <c r="B100" s="657" t="n"/>
      <c r="C100" s="657" t="n"/>
    </row>
    <row r="101" ht="13.9" customHeight="1" s="392">
      <c r="A101" s="659" t="inlineStr">
        <is>
          <t>TYPE 1</t>
        </is>
      </c>
    </row>
    <row r="102">
      <c r="A102" s="657" t="inlineStr">
        <is>
          <t>AOO</t>
        </is>
      </c>
      <c r="B102" s="657" t="n"/>
      <c r="C102" s="657" t="n"/>
    </row>
    <row r="103">
      <c r="A103" s="658" t="inlineStr">
        <is>
          <t>AOO-M</t>
        </is>
      </c>
      <c r="B103" s="658" t="n"/>
      <c r="C103" s="658" t="n"/>
    </row>
    <row r="104">
      <c r="A104" s="657" t="inlineStr">
        <is>
          <t>AOO-CT</t>
        </is>
      </c>
      <c r="B104" s="657" t="n"/>
      <c r="C104" s="657" t="n"/>
    </row>
    <row r="105">
      <c r="A105" s="658" t="inlineStr">
        <is>
          <t>CA</t>
        </is>
      </c>
      <c r="B105" s="658" t="n"/>
      <c r="C105" s="658" t="n"/>
    </row>
    <row r="106">
      <c r="A106" s="657" t="inlineStr">
        <is>
          <t>BCL</t>
        </is>
      </c>
      <c r="B106" s="657" t="n"/>
      <c r="C106" s="657" t="n"/>
    </row>
    <row r="107">
      <c r="A107" s="658" t="inlineStr">
        <is>
          <t>BCI</t>
        </is>
      </c>
      <c r="B107" s="658" t="n"/>
      <c r="C107" s="658" t="n"/>
    </row>
    <row r="108">
      <c r="A108" s="657" t="inlineStr">
        <is>
          <t>AV MARCHE</t>
        </is>
      </c>
      <c r="B108" s="658" t="n"/>
      <c r="C108" s="658" t="n"/>
    </row>
    <row r="109">
      <c r="A109" s="658" t="inlineStr">
        <is>
          <t>AV CONTRAT</t>
        </is>
      </c>
      <c r="B109" s="658" t="n"/>
      <c r="C109" s="658" t="n"/>
    </row>
    <row r="110">
      <c r="A110" s="657" t="inlineStr">
        <is>
          <t>DECISION</t>
        </is>
      </c>
      <c r="B110" s="658" t="n"/>
      <c r="C110" s="658" t="n"/>
    </row>
    <row r="111">
      <c r="A111" s="658" t="inlineStr">
        <is>
          <t>CONTRAT</t>
        </is>
      </c>
      <c r="B111" s="657" t="n"/>
      <c r="C111" s="657" t="n"/>
    </row>
    <row r="112" ht="13.9" customHeight="1" s="392">
      <c r="A112" s="659" t="inlineStr">
        <is>
          <t>STATUT 1</t>
        </is>
      </c>
    </row>
    <row r="113">
      <c r="A113" s="657" t="inlineStr">
        <is>
          <t>NON ATTRIBUE</t>
        </is>
      </c>
      <c r="B113" s="657" t="n"/>
      <c r="C113" s="657" t="n"/>
    </row>
    <row r="114">
      <c r="A114" s="658" t="inlineStr">
        <is>
          <t>REJET</t>
        </is>
      </c>
      <c r="B114" s="658" t="n"/>
      <c r="C114" s="658" t="n"/>
    </row>
    <row r="115">
      <c r="A115" s="657" t="inlineStr">
        <is>
          <t>INFRUCTUEUX</t>
        </is>
      </c>
      <c r="B115" s="657" t="n"/>
      <c r="C115" s="657" t="n"/>
    </row>
    <row r="116">
      <c r="A116" s="658" t="inlineStr">
        <is>
          <t>ANNULE</t>
        </is>
      </c>
      <c r="B116" s="658" t="n"/>
      <c r="C116" s="658" t="n"/>
    </row>
    <row r="117">
      <c r="A117" s="657" t="inlineStr">
        <is>
          <t>EN SIGNATURE</t>
        </is>
      </c>
      <c r="B117" s="657" t="n"/>
      <c r="C117" s="657" t="n"/>
    </row>
    <row r="118">
      <c r="A118" s="658" t="inlineStr">
        <is>
          <t>VALIDE</t>
        </is>
      </c>
      <c r="B118" s="658" t="n"/>
      <c r="C118" s="658" t="n"/>
    </row>
    <row r="119">
      <c r="A119" s="12" t="inlineStr">
        <is>
          <t>TYPE DE SUPPORT D'ENGAGEMENT</t>
        </is>
      </c>
    </row>
    <row r="120">
      <c r="A120" s="658" t="inlineStr">
        <is>
          <t>MARCHE</t>
        </is>
      </c>
      <c r="B120" s="658" t="n"/>
      <c r="C120" s="658" t="n"/>
    </row>
    <row r="121">
      <c r="A121" s="657" t="inlineStr">
        <is>
          <t>AV MARCHE</t>
        </is>
      </c>
      <c r="B121" s="657" t="n"/>
      <c r="C121" s="657" t="n"/>
    </row>
    <row r="122">
      <c r="A122" s="657" t="inlineStr">
        <is>
          <t>AV CONTRAT</t>
        </is>
      </c>
      <c r="B122" s="657" t="n"/>
      <c r="C122" s="657" t="n"/>
    </row>
    <row r="123">
      <c r="A123" s="658" t="inlineStr">
        <is>
          <t>DECISION</t>
        </is>
      </c>
      <c r="B123" s="658" t="n"/>
      <c r="C123" s="658" t="n"/>
    </row>
    <row r="124">
      <c r="A124" s="657" t="inlineStr">
        <is>
          <t>BCL</t>
        </is>
      </c>
      <c r="B124" s="657" t="n"/>
      <c r="C124" s="657" t="n"/>
    </row>
    <row r="125">
      <c r="A125" s="658" t="inlineStr">
        <is>
          <t>BCI</t>
        </is>
      </c>
      <c r="B125" s="658" t="n"/>
      <c r="C125" s="658" t="n"/>
    </row>
    <row r="126">
      <c r="A126" s="657" t="inlineStr">
        <is>
          <t>CONTRAT</t>
        </is>
      </c>
      <c r="B126" s="657" t="n"/>
      <c r="C126" s="657" t="n"/>
    </row>
    <row r="127">
      <c r="A127" s="12" t="inlineStr">
        <is>
          <t>STATUT SUPPORT D'ENGAGEMENT</t>
        </is>
      </c>
      <c r="B127" s="660" t="inlineStr">
        <is>
          <t>MONTANT</t>
        </is>
      </c>
    </row>
    <row r="128">
      <c r="A128" s="658" t="inlineStr">
        <is>
          <t>APPROUVE</t>
        </is>
      </c>
      <c r="B128" s="658" t="n"/>
      <c r="C128" s="658" t="n"/>
    </row>
    <row r="129">
      <c r="A129" s="657" t="inlineStr">
        <is>
          <t>ATTRIBUE</t>
        </is>
      </c>
      <c r="B129" s="657" t="n"/>
      <c r="C129" s="657" t="n"/>
    </row>
    <row r="130">
      <c r="A130" s="658" t="inlineStr">
        <is>
          <t>NON ATTRIBUE</t>
        </is>
      </c>
      <c r="B130" s="658" t="n"/>
      <c r="C130" s="658" t="n"/>
    </row>
    <row r="131">
      <c r="A131" s="657" t="inlineStr">
        <is>
          <t>REJET</t>
        </is>
      </c>
      <c r="B131" s="657" t="n"/>
      <c r="C131" s="657" t="n"/>
    </row>
    <row r="132">
      <c r="A132" s="658" t="inlineStr">
        <is>
          <t>INFRUCTUEUX</t>
        </is>
      </c>
      <c r="B132" s="658" t="n"/>
      <c r="C132" s="658" t="n"/>
    </row>
    <row r="133">
      <c r="A133" s="657" t="inlineStr">
        <is>
          <t>ANNULE</t>
        </is>
      </c>
      <c r="B133" s="657" t="n"/>
      <c r="C133" s="657" t="n"/>
    </row>
    <row r="134">
      <c r="A134" s="658" t="inlineStr">
        <is>
          <t>PHASE AOO</t>
        </is>
      </c>
      <c r="B134" s="658" t="n"/>
      <c r="C134" s="658" t="n"/>
    </row>
    <row r="135">
      <c r="A135" s="657" t="inlineStr">
        <is>
          <t>EN SIGNATURE</t>
        </is>
      </c>
      <c r="B135" s="657" t="n"/>
      <c r="C135" s="657" t="n"/>
    </row>
    <row r="136">
      <c r="A136" s="13" t="inlineStr">
        <is>
          <t>CATEGORIES</t>
        </is>
      </c>
    </row>
    <row r="137">
      <c r="A137" s="658" t="inlineStr">
        <is>
          <t>PME</t>
        </is>
      </c>
      <c r="B137" s="658" t="n"/>
      <c r="C137" s="658" t="n"/>
    </row>
    <row r="138">
      <c r="A138" s="657" t="inlineStr">
        <is>
          <t>GENERAL</t>
        </is>
      </c>
      <c r="B138" s="657" t="n"/>
      <c r="C138" s="657" t="n"/>
    </row>
    <row r="139">
      <c r="A139" s="658" t="inlineStr">
        <is>
          <t>NON CONCERNE</t>
        </is>
      </c>
      <c r="B139" s="658" t="n"/>
      <c r="C139" s="658" t="n"/>
    </row>
    <row r="140">
      <c r="A140" s="657" t="n"/>
      <c r="B140" s="657" t="n"/>
      <c r="C140" s="657" t="n"/>
    </row>
    <row r="141">
      <c r="A141" s="13" t="inlineStr">
        <is>
          <t>Nature type PPA</t>
        </is>
      </c>
    </row>
    <row r="142">
      <c r="A142" s="658" t="inlineStr">
        <is>
          <t>Prévisionnel</t>
        </is>
      </c>
      <c r="B142" s="658" t="n"/>
      <c r="C142" s="658" t="n"/>
    </row>
    <row r="143">
      <c r="A143" s="657" t="inlineStr">
        <is>
          <t>Engagé</t>
        </is>
      </c>
      <c r="B143" s="657" t="n"/>
      <c r="C143" s="657" t="n"/>
    </row>
    <row r="144">
      <c r="A144" s="658" t="inlineStr">
        <is>
          <t>CONCRETISE PARTIELLEMENT</t>
        </is>
      </c>
      <c r="B144" s="658" t="n"/>
      <c r="C144" s="658" t="n"/>
    </row>
    <row r="145">
      <c r="A145" s="13" t="inlineStr">
        <is>
          <t>NATURE BESOIN</t>
        </is>
      </c>
      <c r="B145" s="657" t="n"/>
      <c r="C145" s="657" t="n"/>
    </row>
    <row r="146">
      <c r="A146" s="644" t="inlineStr">
        <is>
          <t>NOUVEAU BESOIN</t>
        </is>
      </c>
      <c r="B146" s="644" t="n"/>
      <c r="C146" s="644" t="n"/>
    </row>
    <row r="147">
      <c r="A147" s="644" t="inlineStr">
        <is>
          <t>BESOIN RECURRENT</t>
        </is>
      </c>
      <c r="B147" s="644" t="n"/>
      <c r="C147" s="644" t="n"/>
    </row>
    <row r="148">
      <c r="A148" s="644" t="inlineStr">
        <is>
          <t>RECONDUCTION</t>
        </is>
      </c>
      <c r="B148" s="644" t="n"/>
      <c r="C148" s="644" t="n"/>
    </row>
    <row r="149">
      <c r="A149" s="644" t="inlineStr">
        <is>
          <t>RECONDUCTIBLE</t>
        </is>
      </c>
      <c r="B149" s="644" t="n"/>
      <c r="C149" s="644" t="n"/>
    </row>
    <row r="150">
      <c r="A150" s="13" t="inlineStr">
        <is>
          <t>Nature type PPA</t>
        </is>
      </c>
    </row>
  </sheetData>
  <mergeCells count="3">
    <mergeCell ref="A112:C112"/>
    <mergeCell ref="A95:C95"/>
    <mergeCell ref="A101:C101"/>
  </mergeCells>
  <pageMargins left="0.75" right="0.75" top="1" bottom="1" header="0.5" footer="0.5"/>
  <pageSetup orientation="portrait" paperSize="9"/>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tabColor rgb="FF00B0F0"/>
    <outlinePr summaryBelow="1" summaryRight="1"/>
    <pageSetUpPr/>
  </sheetPr>
  <dimension ref="A1:AU867"/>
  <sheetViews>
    <sheetView showGridLines="0" zoomScale="100" workbookViewId="0">
      <pane xSplit="4" ySplit="1" topLeftCell="E2" activePane="bottomRight" state="frozen"/>
      <selection pane="topRight"/>
      <selection pane="bottomLeft"/>
      <selection pane="bottomRight" activeCell="A1" sqref="A1"/>
    </sheetView>
  </sheetViews>
  <sheetFormatPr baseColWidth="8" defaultRowHeight="15"/>
  <cols>
    <col width="7" customWidth="1" style="392" min="1" max="1"/>
    <col width="13" customWidth="1" style="392" min="2" max="2"/>
    <col width="14" customWidth="1" style="392" min="3" max="3"/>
    <col width="23" customWidth="1" style="392" min="4" max="4"/>
    <col width="10" customWidth="1" style="392" min="5" max="5"/>
    <col width="7" customWidth="1" style="392" min="6" max="6"/>
    <col width="66" customWidth="1" style="392" min="7" max="7"/>
    <col width="14" customWidth="1" style="392" min="8" max="8"/>
    <col width="17" customWidth="1" style="392" min="9" max="9"/>
    <col width="18" customWidth="1" style="392" min="10" max="10"/>
    <col width="14" customWidth="1" style="392" min="11" max="11"/>
    <col width="18" customWidth="1" style="392" min="12" max="12"/>
    <col width="24" customWidth="1" style="392" min="13" max="13"/>
    <col width="34" customWidth="1" style="392" min="14" max="14"/>
    <col width="17" customWidth="1" style="392" min="15" max="15"/>
    <col width="17" customWidth="1" style="392" min="16" max="16"/>
    <col width="17" customWidth="1" style="392" min="17" max="17"/>
    <col width="17" customWidth="1" style="392" min="18" max="18"/>
    <col width="11" customWidth="1" style="392" min="19" max="20"/>
    <col width="11" customWidth="1" style="392" min="20" max="20"/>
    <col width="26" customWidth="1" style="392" min="21" max="21"/>
    <col width="15" customWidth="1" style="392" min="22" max="22"/>
    <col width="11" customWidth="1" style="392" min="23" max="23"/>
    <col width="11" customWidth="1" style="392" min="24" max="24"/>
    <col width="11" customWidth="1" style="392" min="25" max="25"/>
    <col width="17" customWidth="1" style="392" min="26" max="26"/>
    <col width="17" customWidth="1" style="392" min="27" max="27"/>
    <col width="17" customWidth="1" style="392" min="28" max="28"/>
    <col width="17" customWidth="1" style="392" min="29" max="29"/>
    <col width="17" customWidth="1" style="392" min="30" max="30"/>
    <col width="18" customWidth="1" style="392" min="31" max="31"/>
    <col width="24" customWidth="1" style="392" min="32" max="32"/>
    <col hidden="1" width="20" customWidth="1" style="392" min="33" max="34"/>
    <col width="17" customWidth="1" style="392" min="34" max="34"/>
    <col hidden="1" width="17" customWidth="1" style="392" min="35" max="35"/>
    <col hidden="1" width="17" customWidth="1" style="392" min="36" max="36"/>
    <col hidden="1" width="17" customWidth="1" style="392" min="37" max="37"/>
    <col hidden="1" width="11" customWidth="1" style="392" min="38" max="38"/>
    <col hidden="1" width="11" customWidth="1" style="392" min="39" max="39"/>
    <col width="50" customWidth="1" style="392" min="40" max="40"/>
    <col width="23.42578125" customWidth="1" style="392" min="41" max="41"/>
    <col width="22" customWidth="1" style="392" min="42" max="42"/>
    <col width="17.85546875" customWidth="1" style="392" min="43" max="44"/>
    <col width="20" customWidth="1" style="392" min="45" max="45"/>
    <col width="17.7109375" customWidth="1" style="392" min="46" max="46"/>
  </cols>
  <sheetData>
    <row r="1" ht="48" customHeight="1" s="392">
      <c r="A1" s="661" t="inlineStr">
        <is>
          <t>ÉTAT</t>
        </is>
      </c>
      <c r="B1" s="662" t="inlineStr">
        <is>
          <t>ANNEE LANCEMENT</t>
        </is>
      </c>
      <c r="C1" s="661" t="inlineStr">
        <is>
          <t xml:space="preserve">DIRECTION </t>
        </is>
      </c>
      <c r="D1" s="661" t="inlineStr">
        <is>
          <t>REF</t>
        </is>
      </c>
      <c r="E1" s="661" t="inlineStr">
        <is>
          <t>BCI</t>
        </is>
      </c>
      <c r="F1" s="661" t="inlineStr">
        <is>
          <t>LOTS</t>
        </is>
      </c>
      <c r="G1" s="661" t="inlineStr">
        <is>
          <t>OBJET</t>
        </is>
      </c>
      <c r="H1" s="662" t="inlineStr">
        <is>
          <t>STATUT 1</t>
        </is>
      </c>
      <c r="I1" s="661" t="inlineStr">
        <is>
          <t>STATUT SUPPORT D'ENGAGEMENT</t>
        </is>
      </c>
      <c r="J1" s="661" t="inlineStr">
        <is>
          <t>N° SUPPORT D'ENGAGEMENT</t>
        </is>
      </c>
      <c r="K1" s="662" t="inlineStr">
        <is>
          <t>CATEGORIES</t>
        </is>
      </c>
      <c r="L1" s="661" t="inlineStr">
        <is>
          <t>TYPE BUDGET</t>
        </is>
      </c>
      <c r="M1" s="661" t="inlineStr">
        <is>
          <t>BUDGET</t>
        </is>
      </c>
      <c r="N1" s="661" t="inlineStr">
        <is>
          <t>LIGNES BUDGETAIRES</t>
        </is>
      </c>
      <c r="O1" s="663" t="inlineStr">
        <is>
          <t>MONTANT PREENGAGE INITIAL</t>
        </is>
      </c>
      <c r="P1" s="664" t="inlineStr">
        <is>
          <t>ESTIMATION TTC</t>
        </is>
      </c>
      <c r="Q1" s="664" t="inlineStr">
        <is>
          <t>ESTIMATION HT</t>
        </is>
      </c>
      <c r="R1" s="665" t="inlineStr">
        <is>
          <t>NATURE BESOIN</t>
        </is>
      </c>
      <c r="S1" s="666" t="inlineStr">
        <is>
          <t>DEBUT REC</t>
        </is>
      </c>
      <c r="T1" s="665" t="inlineStr">
        <is>
          <t>FIN REC</t>
        </is>
      </c>
      <c r="U1" s="662" t="inlineStr">
        <is>
          <t>ADJUDICATAIRE / FRS</t>
        </is>
      </c>
      <c r="V1" s="661" t="inlineStr">
        <is>
          <t>ANNEE APPROBATION</t>
        </is>
      </c>
      <c r="W1" s="665" t="inlineStr">
        <is>
          <t>DATE DE LA FICHE</t>
        </is>
      </c>
      <c r="X1" s="665" t="inlineStr">
        <is>
          <t>DATE VISA</t>
        </is>
      </c>
      <c r="Y1" s="665" t="inlineStr">
        <is>
          <t>DATE APPROB</t>
        </is>
      </c>
      <c r="Z1" s="663" t="inlineStr">
        <is>
          <t>MONTANT MARCHE HT PART EN MAD</t>
        </is>
      </c>
      <c r="AA1" s="667" t="inlineStr">
        <is>
          <t>MONTANT MARCHE HT PART EN DEVISES</t>
        </is>
      </c>
      <c r="AB1" s="664" t="inlineStr">
        <is>
          <t>MONTANT MARCHE TTC  PART EN MAD</t>
        </is>
      </c>
      <c r="AC1" s="664" t="inlineStr">
        <is>
          <t>MONTANT MARCHE TTC  PART EN DEVISES</t>
        </is>
      </c>
      <c r="AD1" s="664" t="inlineStr">
        <is>
          <t>TOTAL MARCHE HT TOTAL ENGAGE HT</t>
        </is>
      </c>
      <c r="AE1" s="664" t="inlineStr">
        <is>
          <t>TOTAL MARCHE TTC TOTAL ENGAGE TTC</t>
        </is>
      </c>
      <c r="AF1" s="662" t="inlineStr">
        <is>
          <t>STATUT D'ENGAGEMENT</t>
        </is>
      </c>
      <c r="AG1" s="662" t="inlineStr">
        <is>
          <t>Remarque (archive)</t>
        </is>
      </c>
      <c r="AH1" s="661" t="inlineStr">
        <is>
          <t>Reserve</t>
        </is>
      </c>
      <c r="AI1" s="668" t="inlineStr">
        <is>
          <t>PREVISION PPA HT</t>
        </is>
      </c>
      <c r="AJ1" s="668" t="inlineStr">
        <is>
          <t>ECART ESTIMATION HT-PPA HT</t>
        </is>
      </c>
      <c r="AK1" s="668" t="inlineStr">
        <is>
          <t>ECART ENGAGEMENT HT-PPA HT</t>
        </is>
      </c>
      <c r="AL1" s="661" t="inlineStr">
        <is>
          <t>ECART ESTIMATION
eng/estim</t>
        </is>
      </c>
      <c r="AM1" s="669" t="inlineStr">
        <is>
          <t>ECART PPA
enga/ppa</t>
        </is>
      </c>
      <c r="AN1" s="670" t="inlineStr">
        <is>
          <t>REMARQUE</t>
        </is>
      </c>
      <c r="AU1" s="671" t="n"/>
    </row>
    <row r="2" ht="32" customHeight="1" s="392">
      <c r="A2" s="672">
        <f>IF(AF2="ENGAGE","✔",IF(AF2="EN COURS D'ENGAGEMENT","◕",IF(AF2="PREENGAGE","◑",IF(AF2="EN COURS DE PREENGAGEMENT","◔",IF(AF2="NON ENGAGE","✖","")))))</f>
        <v/>
      </c>
      <c r="B2" s="673" t="n">
        <v>2026</v>
      </c>
      <c r="C2" s="674" t="inlineStr">
        <is>
          <t>DRH</t>
        </is>
      </c>
      <c r="D2" s="674" t="inlineStr">
        <is>
          <t>EXCLUSIVITÉ</t>
        </is>
      </c>
      <c r="E2" s="675" t="inlineStr">
        <is>
          <t>CONTRAT</t>
        </is>
      </c>
      <c r="F2" s="675" t="n">
        <v>1</v>
      </c>
      <c r="G2" s="676" t="inlineStr">
        <is>
          <t>Convention SNRT-OFPPT pour la réalisation des EAP</t>
        </is>
      </c>
      <c r="H2" s="673" t="inlineStr">
        <is>
          <t>VALIDE</t>
        </is>
      </c>
      <c r="I2" s="675" t="inlineStr">
        <is>
          <t>APPROUVE</t>
        </is>
      </c>
      <c r="J2" s="675" t="inlineStr">
        <is>
          <t>01/OFPPT/SNRT/2026</t>
        </is>
      </c>
      <c r="K2" s="673" t="inlineStr">
        <is>
          <t>NON CONCERNE</t>
        </is>
      </c>
      <c r="L2" s="675" t="inlineStr">
        <is>
          <t>Ordinaire</t>
        </is>
      </c>
      <c r="M2" s="677" t="inlineStr">
        <is>
          <t>FONCTIONNEMENT</t>
        </is>
      </c>
      <c r="N2" s="678" t="inlineStr">
        <is>
          <t>Charges sociales diverses</t>
        </is>
      </c>
      <c r="O2" s="679" t="n"/>
      <c r="P2" s="680" t="n"/>
      <c r="Q2" s="680" t="n"/>
      <c r="R2" s="675" t="inlineStr">
        <is>
          <t>BESOIN RECURRENT</t>
        </is>
      </c>
      <c r="S2" s="681" t="n"/>
      <c r="T2" s="682" t="n"/>
      <c r="U2" s="683" t="inlineStr">
        <is>
          <t>OFPPT</t>
        </is>
      </c>
      <c r="V2" s="675" t="n">
        <v>2026</v>
      </c>
      <c r="W2" s="682" t="n">
        <v>46030</v>
      </c>
      <c r="X2" s="682" t="n"/>
      <c r="Y2" s="682" t="n">
        <v>46066</v>
      </c>
      <c r="Z2" s="679" t="n">
        <v>829202</v>
      </c>
      <c r="AA2" s="680" t="n">
        <v>0</v>
      </c>
      <c r="AB2" s="680" t="n">
        <v>995042.4</v>
      </c>
      <c r="AC2" s="680" t="n">
        <v>0</v>
      </c>
      <c r="AD2" s="680" t="n">
        <v>829202</v>
      </c>
      <c r="AE2" s="680" t="n">
        <v>995042.4</v>
      </c>
      <c r="AF2" s="684" t="inlineStr">
        <is>
          <t>ENGAGE</t>
        </is>
      </c>
      <c r="AG2" s="683" t="n"/>
      <c r="AH2" s="680" t="n"/>
      <c r="AI2" s="680" t="n"/>
      <c r="AJ2" s="680" t="n"/>
      <c r="AK2" s="680" t="n"/>
      <c r="AL2" s="685" t="n"/>
      <c r="AM2" s="685" t="n"/>
      <c r="AN2" s="683" t="inlineStr">
        <is>
          <t>« + 287 001 » - Budget PPA = 708 041,40 Dhs</t>
        </is>
      </c>
      <c r="AO2" s="686" t="n"/>
      <c r="AP2" s="687" t="n"/>
      <c r="AQ2" s="688" t="n"/>
      <c r="AR2" s="688" t="n"/>
      <c r="AS2" s="23" t="n"/>
      <c r="AT2" s="688" t="n"/>
    </row>
    <row r="3" ht="60" customHeight="1" s="392">
      <c r="A3" s="672">
        <f>IF(AF3="ENGAGE","✔",IF(AF3="EN COURS D'ENGAGEMENT","◕",IF(AF3="PREENGAGE","◑",IF(AF3="EN COURS DE PREENGAGEMENT","◔",IF(AF3="NON ENGAGE","✖","")))))</f>
        <v/>
      </c>
      <c r="B3" s="673" t="n">
        <v>2026</v>
      </c>
      <c r="C3" s="674" t="inlineStr">
        <is>
          <t>DCPA</t>
        </is>
      </c>
      <c r="D3" s="674" t="inlineStr">
        <is>
          <t>PV N° : 01RC2025- DCPA</t>
        </is>
      </c>
      <c r="E3" s="675" t="inlineStr">
        <is>
          <t>CONTRAT</t>
        </is>
      </c>
      <c r="F3" s="675" t="n"/>
      <c r="G3" s="676" t="inlineStr">
        <is>
          <t>IKRAM BENNANI RTAL - Préparation et animation de l’émission «نور و بصائر"</t>
        </is>
      </c>
      <c r="H3" s="673" t="inlineStr">
        <is>
          <t>VALIDE</t>
        </is>
      </c>
      <c r="I3" s="675" t="inlineStr">
        <is>
          <t>APPROUVE</t>
        </is>
      </c>
      <c r="J3" s="675" t="inlineStr">
        <is>
          <t>185 CT/SNRT/2026</t>
        </is>
      </c>
      <c r="K3" s="673" t="inlineStr">
        <is>
          <t>NON CONCERNE</t>
        </is>
      </c>
      <c r="L3" s="675" t="inlineStr">
        <is>
          <t>Ordinaire</t>
        </is>
      </c>
      <c r="M3" s="677" t="inlineStr">
        <is>
          <t>FONCTIONNEMENT</t>
        </is>
      </c>
      <c r="N3" s="678" t="inlineStr">
        <is>
          <t xml:space="preserve">Achats de productions et de programmes
Achat des programmes en production interne </t>
        </is>
      </c>
      <c r="O3" s="679" t="n"/>
      <c r="P3" s="680" t="n"/>
      <c r="Q3" s="680" t="n"/>
      <c r="R3" s="675" t="inlineStr">
        <is>
          <t>RECONDUCTION</t>
        </is>
      </c>
      <c r="S3" s="681" t="n"/>
      <c r="T3" s="682" t="n"/>
      <c r="U3" s="683" t="inlineStr">
        <is>
          <t>IKRAM BENNANI RTAL</t>
        </is>
      </c>
      <c r="V3" s="675" t="n">
        <v>2026</v>
      </c>
      <c r="W3" s="682" t="n">
        <v>46022</v>
      </c>
      <c r="X3" s="682" t="n"/>
      <c r="Y3" s="682" t="n">
        <v>46024</v>
      </c>
      <c r="Z3" s="679" t="n">
        <v>154000</v>
      </c>
      <c r="AA3" s="680" t="n">
        <v>0</v>
      </c>
      <c r="AB3" s="680">
        <f>+Z3</f>
        <v/>
      </c>
      <c r="AC3" s="680">
        <f>+AA3</f>
        <v/>
      </c>
      <c r="AD3" s="680">
        <f>+Z3</f>
        <v/>
      </c>
      <c r="AE3" s="680">
        <f>+AB3</f>
        <v/>
      </c>
      <c r="AF3" s="684" t="inlineStr">
        <is>
          <t>ENGAGE</t>
        </is>
      </c>
      <c r="AG3" s="683" t="n"/>
      <c r="AH3" s="680" t="n"/>
      <c r="AI3" s="680" t="n"/>
      <c r="AJ3" s="680" t="n"/>
      <c r="AK3" s="680" t="n"/>
      <c r="AL3" s="685" t="n"/>
      <c r="AM3" s="685" t="n"/>
      <c r="AN3" s="683" t="inlineStr">
        <is>
          <t>RAS</t>
        </is>
      </c>
      <c r="AO3" s="686" t="n"/>
      <c r="AP3" s="687" t="n"/>
      <c r="AQ3" s="688" t="n"/>
      <c r="AR3" s="688" t="n"/>
      <c r="AS3" s="23" t="n"/>
      <c r="AT3" s="688" t="n"/>
    </row>
    <row r="4" ht="60" customHeight="1" s="392">
      <c r="A4" s="672">
        <f>IF(AF4="ENGAGE","✔",IF(AF4="EN COURS D'ENGAGEMENT","◕",IF(AF4="PREENGAGE","◑",IF(AF4="EN COURS DE PREENGAGEMENT","◔",IF(AF4="NON ENGAGE","✖","")))))</f>
        <v/>
      </c>
      <c r="B4" s="673" t="n">
        <v>2026</v>
      </c>
      <c r="C4" s="674" t="inlineStr">
        <is>
          <t>DCPA</t>
        </is>
      </c>
      <c r="D4" s="674" t="inlineStr">
        <is>
          <t>PV N° : 01RC2025- DCPA</t>
        </is>
      </c>
      <c r="E4" s="675" t="inlineStr">
        <is>
          <t>CONTRAT</t>
        </is>
      </c>
      <c r="F4" s="675" t="n"/>
      <c r="G4" s="676" t="inlineStr">
        <is>
          <t>AMINE BENADDI - LA PREPARATION DE L'EMISSION " شباب في الواجهة"</t>
        </is>
      </c>
      <c r="H4" s="673" t="inlineStr">
        <is>
          <t>VALIDE</t>
        </is>
      </c>
      <c r="I4" s="675" t="inlineStr">
        <is>
          <t>APPROUVE</t>
        </is>
      </c>
      <c r="J4" s="675" t="inlineStr">
        <is>
          <t>186 CT/SNRT/2026</t>
        </is>
      </c>
      <c r="K4" s="673" t="inlineStr">
        <is>
          <t>NON CONCERNE</t>
        </is>
      </c>
      <c r="L4" s="675" t="inlineStr">
        <is>
          <t>Ordinaire</t>
        </is>
      </c>
      <c r="M4" s="677" t="inlineStr">
        <is>
          <t>FONCTIONNEMENT</t>
        </is>
      </c>
      <c r="N4" s="678" t="inlineStr">
        <is>
          <t xml:space="preserve">Achats de productions et de programmes
Achat des programmes en production interne </t>
        </is>
      </c>
      <c r="O4" s="679" t="n"/>
      <c r="P4" s="680" t="n"/>
      <c r="Q4" s="680" t="n"/>
      <c r="R4" s="675" t="inlineStr">
        <is>
          <t>RECONDUCTION</t>
        </is>
      </c>
      <c r="S4" s="681" t="n"/>
      <c r="T4" s="682" t="n"/>
      <c r="U4" s="683" t="inlineStr">
        <is>
          <t>AMINE BENADDI</t>
        </is>
      </c>
      <c r="V4" s="675" t="n">
        <v>2026</v>
      </c>
      <c r="W4" s="682" t="n">
        <v>46387</v>
      </c>
      <c r="X4" s="682" t="n"/>
      <c r="Y4" s="682" t="n">
        <v>46024</v>
      </c>
      <c r="Z4" s="679" t="n">
        <v>375000</v>
      </c>
      <c r="AA4" s="680" t="n">
        <v>0</v>
      </c>
      <c r="AB4" s="680">
        <f>Z4</f>
        <v/>
      </c>
      <c r="AC4" s="680" t="n">
        <v>0</v>
      </c>
      <c r="AD4" s="680">
        <f>Z4</f>
        <v/>
      </c>
      <c r="AE4" s="680">
        <f>Z4</f>
        <v/>
      </c>
      <c r="AF4" s="684" t="inlineStr">
        <is>
          <t>ENGAGE</t>
        </is>
      </c>
      <c r="AG4" s="683" t="n"/>
      <c r="AH4" s="680" t="n"/>
      <c r="AI4" s="680" t="n"/>
      <c r="AJ4" s="680" t="n"/>
      <c r="AK4" s="680" t="n"/>
      <c r="AL4" s="685" t="n"/>
      <c r="AM4" s="685" t="n"/>
      <c r="AN4" s="683" t="inlineStr">
        <is>
          <t>RAS</t>
        </is>
      </c>
      <c r="AO4" s="686" t="n"/>
      <c r="AP4" s="687" t="n"/>
      <c r="AQ4" s="688" t="n"/>
      <c r="AR4" s="688" t="n"/>
      <c r="AS4" s="23" t="n"/>
      <c r="AT4" s="688" t="n"/>
    </row>
    <row r="5" ht="60" customHeight="1" s="392">
      <c r="A5" s="672">
        <f>IF(AF5="ENGAGE","✔",IF(AF5="EN COURS D'ENGAGEMENT","◕",IF(AF5="PREENGAGE","◑",IF(AF5="EN COURS DE PREENGAGEMENT","◔",IF(AF5="NON ENGAGE","✖","")))))</f>
        <v/>
      </c>
      <c r="B5" s="673" t="n">
        <v>2026</v>
      </c>
      <c r="C5" s="674" t="inlineStr">
        <is>
          <t>DCPA</t>
        </is>
      </c>
      <c r="D5" s="674" t="inlineStr">
        <is>
          <t>PV N° : 01RC2025- DCPA</t>
        </is>
      </c>
      <c r="E5" s="675" t="inlineStr">
        <is>
          <t>CONTRAT</t>
        </is>
      </c>
      <c r="F5" s="675" t="n"/>
      <c r="G5" s="676" t="inlineStr">
        <is>
          <t>MOHAMMED ALI BENMAKHLOUF - Conception et présentation de l’émission " علم و حضارة"</t>
        </is>
      </c>
      <c r="H5" s="673" t="inlineStr">
        <is>
          <t>VALIDE</t>
        </is>
      </c>
      <c r="I5" s="675" t="inlineStr">
        <is>
          <t>APPROUVE</t>
        </is>
      </c>
      <c r="J5" s="675" t="inlineStr">
        <is>
          <t>190 CT/SNRT/2026</t>
        </is>
      </c>
      <c r="K5" s="673" t="inlineStr">
        <is>
          <t>NON CONCERNE</t>
        </is>
      </c>
      <c r="L5" s="675" t="inlineStr">
        <is>
          <t>Ordinaire</t>
        </is>
      </c>
      <c r="M5" s="677" t="inlineStr">
        <is>
          <t>FONCTIONNEMENT</t>
        </is>
      </c>
      <c r="N5" s="678" t="inlineStr">
        <is>
          <t xml:space="preserve">Achats de productions et de programmes
Achat des programmes en production interne </t>
        </is>
      </c>
      <c r="O5" s="679" t="n"/>
      <c r="P5" s="680" t="n"/>
      <c r="Q5" s="680" t="n"/>
      <c r="R5" s="675" t="inlineStr">
        <is>
          <t>RECONDUCTION</t>
        </is>
      </c>
      <c r="S5" s="681" t="n"/>
      <c r="T5" s="682" t="n"/>
      <c r="U5" s="683" t="inlineStr">
        <is>
          <t>MOHAMMED ALI BENMAKHLOUF</t>
        </is>
      </c>
      <c r="V5" s="675" t="n">
        <v>2026</v>
      </c>
      <c r="W5" s="682" t="n">
        <v>46387</v>
      </c>
      <c r="X5" s="682" t="n"/>
      <c r="Y5" s="682" t="n">
        <v>46024</v>
      </c>
      <c r="Z5" s="679" t="n">
        <v>445714.08</v>
      </c>
      <c r="AA5" s="680" t="n">
        <v>0</v>
      </c>
      <c r="AB5" s="680">
        <f>Z5</f>
        <v/>
      </c>
      <c r="AC5" s="680" t="n">
        <v>0</v>
      </c>
      <c r="AD5" s="680">
        <f>Z5</f>
        <v/>
      </c>
      <c r="AE5" s="680">
        <f>Z5</f>
        <v/>
      </c>
      <c r="AF5" s="684" t="inlineStr">
        <is>
          <t>ENGAGE</t>
        </is>
      </c>
      <c r="AG5" s="683" t="n"/>
      <c r="AH5" s="680" t="n"/>
      <c r="AI5" s="680" t="n"/>
      <c r="AJ5" s="680" t="n"/>
      <c r="AK5" s="680" t="n"/>
      <c r="AL5" s="685" t="n"/>
      <c r="AM5" s="685" t="n"/>
      <c r="AN5" s="683" t="inlineStr">
        <is>
          <t>RAS</t>
        </is>
      </c>
      <c r="AO5" s="686" t="n"/>
      <c r="AP5" s="687" t="n"/>
      <c r="AQ5" s="688" t="n"/>
      <c r="AR5" s="688" t="n"/>
      <c r="AS5" s="23" t="n"/>
      <c r="AT5" s="688" t="n"/>
    </row>
    <row r="6" ht="60" customHeight="1" s="392">
      <c r="A6" s="672">
        <f>IF(AF6="ENGAGE","✔",IF(AF6="EN COURS D'ENGAGEMENT","◕",IF(AF6="PREENGAGE","◑",IF(AF6="EN COURS DE PREENGAGEMENT","◔",IF(AF6="NON ENGAGE","✖","")))))</f>
        <v/>
      </c>
      <c r="B6" s="673" t="n">
        <v>2026</v>
      </c>
      <c r="C6" s="674" t="inlineStr">
        <is>
          <t>DCPA</t>
        </is>
      </c>
      <c r="D6" s="674" t="inlineStr">
        <is>
          <t>PV N° : 01RC2025- DCPA</t>
        </is>
      </c>
      <c r="E6" s="675" t="inlineStr">
        <is>
          <t>CONTRAT</t>
        </is>
      </c>
      <c r="F6" s="675" t="n"/>
      <c r="G6" s="676" t="inlineStr">
        <is>
          <t>ACHABI MORAD - Préparation et animation de l'émission  " مع الفاميلة"</t>
        </is>
      </c>
      <c r="H6" s="673" t="inlineStr">
        <is>
          <t>VALIDE</t>
        </is>
      </c>
      <c r="I6" s="675" t="inlineStr">
        <is>
          <t>APPROUVE</t>
        </is>
      </c>
      <c r="J6" s="675" t="inlineStr">
        <is>
          <t>187 CT/SNRT/2026</t>
        </is>
      </c>
      <c r="K6" s="673" t="inlineStr">
        <is>
          <t>NON CONCERNE</t>
        </is>
      </c>
      <c r="L6" s="675" t="inlineStr">
        <is>
          <t>Ordinaire</t>
        </is>
      </c>
      <c r="M6" s="677" t="inlineStr">
        <is>
          <t>FONCTIONNEMENT</t>
        </is>
      </c>
      <c r="N6" s="678" t="inlineStr">
        <is>
          <t xml:space="preserve">Achats de productions et de programmes
Achat des programmes en production interne </t>
        </is>
      </c>
      <c r="O6" s="679" t="n"/>
      <c r="P6" s="680" t="n"/>
      <c r="Q6" s="680" t="n"/>
      <c r="R6" s="675" t="inlineStr">
        <is>
          <t>RECONDUCTION</t>
        </is>
      </c>
      <c r="S6" s="681" t="n"/>
      <c r="T6" s="682" t="n"/>
      <c r="U6" s="683" t="inlineStr">
        <is>
          <t>ACHABI MORAD</t>
        </is>
      </c>
      <c r="V6" s="675" t="n">
        <v>2026</v>
      </c>
      <c r="W6" s="682" t="n">
        <v>46387</v>
      </c>
      <c r="X6" s="682" t="n"/>
      <c r="Y6" s="682" t="n">
        <v>46024</v>
      </c>
      <c r="Z6" s="679" t="n">
        <v>880000</v>
      </c>
      <c r="AA6" s="680" t="n">
        <v>0</v>
      </c>
      <c r="AB6" s="680">
        <f>Z6</f>
        <v/>
      </c>
      <c r="AC6" s="680" t="n">
        <v>0</v>
      </c>
      <c r="AD6" s="680">
        <f>Z6</f>
        <v/>
      </c>
      <c r="AE6" s="680">
        <f>Z6</f>
        <v/>
      </c>
      <c r="AF6" s="684" t="inlineStr">
        <is>
          <t>ENGAGE</t>
        </is>
      </c>
      <c r="AG6" s="683" t="n"/>
      <c r="AH6" s="680" t="n"/>
      <c r="AI6" s="680" t="n"/>
      <c r="AJ6" s="680" t="n"/>
      <c r="AK6" s="680" t="n"/>
      <c r="AL6" s="685" t="n"/>
      <c r="AM6" s="685" t="n"/>
      <c r="AN6" s="683" t="inlineStr">
        <is>
          <t>RAS</t>
        </is>
      </c>
      <c r="AO6" s="686" t="n"/>
      <c r="AP6" s="687" t="n"/>
      <c r="AQ6" s="688" t="n"/>
      <c r="AR6" s="688" t="n"/>
      <c r="AS6" s="23" t="n"/>
      <c r="AT6" s="688" t="n"/>
    </row>
    <row r="7" ht="60" customHeight="1" s="392">
      <c r="A7" s="672">
        <f>IF(AF7="ENGAGE","✔",IF(AF7="EN COURS D'ENGAGEMENT","◕",IF(AF7="PREENGAGE","◑",IF(AF7="EN COURS DE PREENGAGEMENT","◔",IF(AF7="NON ENGAGE","✖","")))))</f>
        <v/>
      </c>
      <c r="B7" s="673" t="n">
        <v>2026</v>
      </c>
      <c r="C7" s="674" t="inlineStr">
        <is>
          <t>DCPA</t>
        </is>
      </c>
      <c r="D7" s="674" t="inlineStr">
        <is>
          <t>PV N° : 01RC2025- DCPA</t>
        </is>
      </c>
      <c r="E7" s="675" t="inlineStr">
        <is>
          <t>CONTRAT</t>
        </is>
      </c>
      <c r="F7" s="675" t="n"/>
      <c r="G7" s="676" t="inlineStr">
        <is>
          <t>MOHAMED BOUMLI - Préparation de l'émission " مع الفاميلة"</t>
        </is>
      </c>
      <c r="H7" s="673" t="inlineStr">
        <is>
          <t>VALIDE</t>
        </is>
      </c>
      <c r="I7" s="675" t="inlineStr">
        <is>
          <t>APPROUVE</t>
        </is>
      </c>
      <c r="J7" s="675" t="inlineStr">
        <is>
          <t>188 CT/SNRT/2026</t>
        </is>
      </c>
      <c r="K7" s="673" t="inlineStr">
        <is>
          <t>NON CONCERNE</t>
        </is>
      </c>
      <c r="L7" s="675" t="inlineStr">
        <is>
          <t>Ordinaire</t>
        </is>
      </c>
      <c r="M7" s="677" t="inlineStr">
        <is>
          <t>FONCTIONNEMENT</t>
        </is>
      </c>
      <c r="N7" s="678" t="inlineStr">
        <is>
          <t xml:space="preserve">Achats de productions et de programmes
Achat des programmes en production interne </t>
        </is>
      </c>
      <c r="O7" s="679" t="n"/>
      <c r="P7" s="680" t="n"/>
      <c r="Q7" s="680" t="n"/>
      <c r="R7" s="675" t="inlineStr">
        <is>
          <t>RECONDUCTION</t>
        </is>
      </c>
      <c r="S7" s="681" t="n"/>
      <c r="T7" s="682" t="n"/>
      <c r="U7" s="683" t="inlineStr">
        <is>
          <t>MOHAMED BOUMLI</t>
        </is>
      </c>
      <c r="V7" s="675" t="n">
        <v>2026</v>
      </c>
      <c r="W7" s="682" t="n">
        <v>46387</v>
      </c>
      <c r="X7" s="682" t="n"/>
      <c r="Y7" s="682" t="n">
        <v>46024</v>
      </c>
      <c r="Z7" s="679" t="n">
        <v>176000</v>
      </c>
      <c r="AA7" s="680" t="n">
        <v>0</v>
      </c>
      <c r="AB7" s="680">
        <f>Z7</f>
        <v/>
      </c>
      <c r="AC7" s="680" t="n">
        <v>0</v>
      </c>
      <c r="AD7" s="680">
        <f>Z7</f>
        <v/>
      </c>
      <c r="AE7" s="680">
        <f>Z7</f>
        <v/>
      </c>
      <c r="AF7" s="684" t="inlineStr">
        <is>
          <t>ENGAGE</t>
        </is>
      </c>
      <c r="AG7" s="683" t="n"/>
      <c r="AH7" s="680" t="n"/>
      <c r="AI7" s="680" t="n"/>
      <c r="AJ7" s="680" t="n"/>
      <c r="AK7" s="680" t="n"/>
      <c r="AL7" s="685" t="n"/>
      <c r="AM7" s="685" t="n"/>
      <c r="AN7" s="683" t="inlineStr">
        <is>
          <t>RAS</t>
        </is>
      </c>
      <c r="AO7" s="686" t="n"/>
      <c r="AP7" s="687" t="n"/>
      <c r="AQ7" s="688" t="n"/>
      <c r="AR7" s="688" t="n"/>
      <c r="AS7" s="23" t="n"/>
      <c r="AT7" s="688" t="n"/>
    </row>
    <row r="8" ht="60" customHeight="1" s="392">
      <c r="A8" s="672">
        <f>IF(AF8="ENGAGE","✔",IF(AF8="EN COURS D'ENGAGEMENT","◕",IF(AF8="PREENGAGE","◑",IF(AF8="EN COURS DE PREENGAGEMENT","◔",IF(AF8="NON ENGAGE","✖","")))))</f>
        <v/>
      </c>
      <c r="B8" s="673" t="n">
        <v>2026</v>
      </c>
      <c r="C8" s="674" t="inlineStr">
        <is>
          <t>DCPA</t>
        </is>
      </c>
      <c r="D8" s="674" t="inlineStr">
        <is>
          <t>PV N° : 01RC2025- DCPA</t>
        </is>
      </c>
      <c r="E8" s="675" t="inlineStr">
        <is>
          <t>CONTRAT</t>
        </is>
      </c>
      <c r="F8" s="675" t="n"/>
      <c r="G8" s="676" t="inlineStr">
        <is>
          <t>KABBAJ SEDDIK - Coordination, préparation et supervision artistique de l’émission   " مدن عتيقة"</t>
        </is>
      </c>
      <c r="H8" s="673" t="inlineStr">
        <is>
          <t>VALIDE</t>
        </is>
      </c>
      <c r="I8" s="675" t="inlineStr">
        <is>
          <t>APPROUVE</t>
        </is>
      </c>
      <c r="J8" s="675" t="inlineStr">
        <is>
          <t>189 CT/SNRT/2026</t>
        </is>
      </c>
      <c r="K8" s="673" t="inlineStr">
        <is>
          <t>NON CONCERNE</t>
        </is>
      </c>
      <c r="L8" s="675" t="inlineStr">
        <is>
          <t>Ordinaire</t>
        </is>
      </c>
      <c r="M8" s="677" t="inlineStr">
        <is>
          <t>FONCTIONNEMENT</t>
        </is>
      </c>
      <c r="N8" s="678" t="inlineStr">
        <is>
          <t xml:space="preserve">Achats de productions et de programmes
Achat des programmes en production interne </t>
        </is>
      </c>
      <c r="O8" s="679" t="n"/>
      <c r="P8" s="680" t="n"/>
      <c r="Q8" s="680" t="n"/>
      <c r="R8" s="675" t="inlineStr">
        <is>
          <t>RECONDUCTION</t>
        </is>
      </c>
      <c r="S8" s="681" t="n"/>
      <c r="T8" s="682" t="n"/>
      <c r="U8" s="683" t="inlineStr">
        <is>
          <t>KABBAJ SEDDIK</t>
        </is>
      </c>
      <c r="V8" s="675" t="n">
        <v>2026</v>
      </c>
      <c r="W8" s="682" t="n">
        <v>46387</v>
      </c>
      <c r="X8" s="682" t="n"/>
      <c r="Y8" s="682" t="n">
        <v>46024</v>
      </c>
      <c r="Z8" s="679" t="n">
        <v>342857</v>
      </c>
      <c r="AA8" s="680" t="n">
        <v>0</v>
      </c>
      <c r="AB8" s="680">
        <f>Z8</f>
        <v/>
      </c>
      <c r="AC8" s="680" t="n">
        <v>0</v>
      </c>
      <c r="AD8" s="680">
        <f>Z8</f>
        <v/>
      </c>
      <c r="AE8" s="680">
        <f>Z8</f>
        <v/>
      </c>
      <c r="AF8" s="684" t="inlineStr">
        <is>
          <t>ENGAGE</t>
        </is>
      </c>
      <c r="AG8" s="683" t="n"/>
      <c r="AH8" s="680" t="n"/>
      <c r="AI8" s="680" t="n"/>
      <c r="AJ8" s="680" t="n"/>
      <c r="AK8" s="680" t="n"/>
      <c r="AL8" s="685" t="n"/>
      <c r="AM8" s="685" t="n"/>
      <c r="AN8" s="683" t="inlineStr">
        <is>
          <t>RAS</t>
        </is>
      </c>
      <c r="AO8" s="686" t="n"/>
      <c r="AP8" s="687" t="n"/>
      <c r="AQ8" s="688" t="n"/>
      <c r="AR8" s="688" t="n"/>
      <c r="AS8" s="23" t="n"/>
      <c r="AT8" s="688" t="n"/>
    </row>
    <row r="9" ht="46.5" customHeight="1" s="392">
      <c r="A9" s="672">
        <f>IF(AF9="ENGAGE","✔",IF(AF9="EN COURS D'ENGAGEMENT","◕",IF(AF9="PREENGAGE","◑",IF(AF9="EN COURS DE PREENGAGEMENT","◔",IF(AF9="NON ENGAGE","✖","")))))</f>
        <v/>
      </c>
      <c r="B9" s="673" t="n">
        <v>2026</v>
      </c>
      <c r="C9" s="674" t="inlineStr">
        <is>
          <t>ARRIYADIA</t>
        </is>
      </c>
      <c r="D9" s="674" t="inlineStr">
        <is>
          <t>PV N° : 01RC2025- DCCCA</t>
        </is>
      </c>
      <c r="E9" s="675" t="inlineStr">
        <is>
          <t>CONTRAT</t>
        </is>
      </c>
      <c r="F9" s="675" t="n"/>
      <c r="G9" s="676" t="inlineStr">
        <is>
          <t>BELMAHEDI MOHAMED - Cadreur plateau</t>
        </is>
      </c>
      <c r="H9" s="673" t="inlineStr">
        <is>
          <t>VALIDE</t>
        </is>
      </c>
      <c r="I9" s="675" t="inlineStr">
        <is>
          <t>APPROUVE</t>
        </is>
      </c>
      <c r="J9" s="675" t="n"/>
      <c r="K9" s="673" t="inlineStr">
        <is>
          <t>NON CONCERNE</t>
        </is>
      </c>
      <c r="L9" s="675" t="inlineStr">
        <is>
          <t>Ordinaire</t>
        </is>
      </c>
      <c r="M9" s="677" t="inlineStr">
        <is>
          <t>FONCTIONNEMENT</t>
        </is>
      </c>
      <c r="N9" s="678" t="inlineStr">
        <is>
          <t xml:space="preserve">Prestations de service
Achat prestations de services locales - personnes physiques </t>
        </is>
      </c>
      <c r="O9" s="679" t="n"/>
      <c r="P9" s="680" t="n"/>
      <c r="Q9" s="680" t="n"/>
      <c r="R9" s="675" t="inlineStr">
        <is>
          <t>RECONDUCTION</t>
        </is>
      </c>
      <c r="S9" s="681" t="n"/>
      <c r="T9" s="682" t="n"/>
      <c r="U9" s="683" t="inlineStr">
        <is>
          <t>BELMAHEDI MOHAMED</t>
        </is>
      </c>
      <c r="V9" s="675" t="n">
        <v>2026</v>
      </c>
      <c r="W9" s="682" t="n">
        <v>46022</v>
      </c>
      <c r="X9" s="682" t="n"/>
      <c r="Y9" s="682" t="n">
        <v>46024</v>
      </c>
      <c r="Z9" s="679" t="n">
        <v>113142.48</v>
      </c>
      <c r="AA9" s="680" t="n">
        <v>0</v>
      </c>
      <c r="AB9" s="680">
        <f>Z9</f>
        <v/>
      </c>
      <c r="AC9" s="680" t="n">
        <v>0</v>
      </c>
      <c r="AD9" s="680">
        <f>Z9</f>
        <v/>
      </c>
      <c r="AE9" s="680">
        <f>Z9</f>
        <v/>
      </c>
      <c r="AF9" s="684" t="inlineStr">
        <is>
          <t>ENGAGE</t>
        </is>
      </c>
      <c r="AG9" s="683" t="n"/>
      <c r="AH9" s="680" t="n"/>
      <c r="AI9" s="680" t="n"/>
      <c r="AJ9" s="680" t="n"/>
      <c r="AK9" s="680" t="n"/>
      <c r="AL9" s="685" t="n"/>
      <c r="AM9" s="685" t="n"/>
      <c r="AN9" s="683" t="inlineStr">
        <is>
          <t>Manque n° contrat</t>
        </is>
      </c>
      <c r="AO9" s="686" t="n"/>
      <c r="AP9" s="687" t="n"/>
      <c r="AQ9" s="688" t="n"/>
      <c r="AR9" s="688" t="n"/>
      <c r="AS9" s="23" t="n"/>
      <c r="AT9" s="688" t="n"/>
    </row>
    <row r="10" ht="46.5" customHeight="1" s="392">
      <c r="A10" s="672">
        <f>IF(AF10="ENGAGE","✔",IF(AF10="EN COURS D'ENGAGEMENT","◕",IF(AF10="PREENGAGE","◑",IF(AF10="EN COURS DE PREENGAGEMENT","◔",IF(AF10="NON ENGAGE","✖","")))))</f>
        <v/>
      </c>
      <c r="B10" s="673" t="n">
        <v>2026</v>
      </c>
      <c r="C10" s="674" t="inlineStr">
        <is>
          <t>ARRIYADIA</t>
        </is>
      </c>
      <c r="D10" s="674" t="inlineStr">
        <is>
          <t>PV N° : 01RC2025- DCCCA</t>
        </is>
      </c>
      <c r="E10" s="675" t="inlineStr">
        <is>
          <t>CONTRAT</t>
        </is>
      </c>
      <c r="F10" s="675" t="n"/>
      <c r="G10" s="676" t="inlineStr">
        <is>
          <t>BIOUD ABDELHAK – Cadreur plateau</t>
        </is>
      </c>
      <c r="H10" s="673" t="inlineStr">
        <is>
          <t>VALIDE</t>
        </is>
      </c>
      <c r="I10" s="675" t="inlineStr">
        <is>
          <t>APPROUVE</t>
        </is>
      </c>
      <c r="J10" s="675" t="n"/>
      <c r="K10" s="673" t="inlineStr">
        <is>
          <t>NON CONCERNE</t>
        </is>
      </c>
      <c r="L10" s="675" t="inlineStr">
        <is>
          <t>Ordinaire</t>
        </is>
      </c>
      <c r="M10" s="677" t="inlineStr">
        <is>
          <t>FONCTIONNEMENT</t>
        </is>
      </c>
      <c r="N10" s="678" t="inlineStr">
        <is>
          <t xml:space="preserve">Prestations de service
Achat prestations de services locales - personnes physiques </t>
        </is>
      </c>
      <c r="O10" s="679" t="n"/>
      <c r="P10" s="680" t="n"/>
      <c r="Q10" s="680" t="n"/>
      <c r="R10" s="675" t="inlineStr">
        <is>
          <t>RECONDUCTION</t>
        </is>
      </c>
      <c r="S10" s="681" t="n"/>
      <c r="T10" s="682" t="n"/>
      <c r="U10" s="683" t="inlineStr">
        <is>
          <t>BIOUD ABDELHAK</t>
        </is>
      </c>
      <c r="V10" s="675" t="n">
        <v>2026</v>
      </c>
      <c r="W10" s="682" t="n">
        <v>46022</v>
      </c>
      <c r="X10" s="682" t="n"/>
      <c r="Y10" s="682" t="n">
        <v>46024</v>
      </c>
      <c r="Z10" s="679" t="n">
        <v>113142.48</v>
      </c>
      <c r="AA10" s="680" t="n">
        <v>0</v>
      </c>
      <c r="AB10" s="680">
        <f>Z10</f>
        <v/>
      </c>
      <c r="AC10" s="680" t="n">
        <v>0</v>
      </c>
      <c r="AD10" s="680">
        <f>Z10</f>
        <v/>
      </c>
      <c r="AE10" s="680">
        <f>Z10</f>
        <v/>
      </c>
      <c r="AF10" s="684" t="inlineStr">
        <is>
          <t>ENGAGE</t>
        </is>
      </c>
      <c r="AG10" s="683" t="n"/>
      <c r="AH10" s="680" t="n"/>
      <c r="AI10" s="680" t="n"/>
      <c r="AJ10" s="680" t="n"/>
      <c r="AK10" s="680" t="n"/>
      <c r="AL10" s="685" t="n"/>
      <c r="AM10" s="685" t="n"/>
      <c r="AN10" s="683" t="inlineStr">
        <is>
          <t>Manque n° contrat</t>
        </is>
      </c>
      <c r="AO10" s="686" t="n"/>
      <c r="AP10" s="687" t="n"/>
      <c r="AQ10" s="688" t="n"/>
      <c r="AR10" s="688" t="n"/>
      <c r="AS10" s="23" t="n"/>
      <c r="AT10" s="688" t="n"/>
    </row>
    <row r="11" ht="46.5" customHeight="1" s="392">
      <c r="A11" s="672">
        <f>IF(AF11="ENGAGE","✔",IF(AF11="EN COURS D'ENGAGEMENT","◕",IF(AF11="PREENGAGE","◑",IF(AF11="EN COURS DE PREENGAGEMENT","◔",IF(AF11="NON ENGAGE","✖","")))))</f>
        <v/>
      </c>
      <c r="B11" s="673" t="n">
        <v>2026</v>
      </c>
      <c r="C11" s="674" t="inlineStr">
        <is>
          <t>ARRIYADIA</t>
        </is>
      </c>
      <c r="D11" s="674" t="inlineStr">
        <is>
          <t>PV N° : 01RC2025- DCCCA</t>
        </is>
      </c>
      <c r="E11" s="675" t="inlineStr">
        <is>
          <t>CONTRAT</t>
        </is>
      </c>
      <c r="F11" s="675" t="n"/>
      <c r="G11" s="676" t="inlineStr">
        <is>
          <t>IHAB JAMAL EDDINE  - Cadreur plateau</t>
        </is>
      </c>
      <c r="H11" s="673" t="inlineStr">
        <is>
          <t>VALIDE</t>
        </is>
      </c>
      <c r="I11" s="675" t="inlineStr">
        <is>
          <t>APPROUVE</t>
        </is>
      </c>
      <c r="J11" s="675" t="n"/>
      <c r="K11" s="673" t="inlineStr">
        <is>
          <t>NON CONCERNE</t>
        </is>
      </c>
      <c r="L11" s="675" t="inlineStr">
        <is>
          <t>Ordinaire</t>
        </is>
      </c>
      <c r="M11" s="677" t="inlineStr">
        <is>
          <t>FONCTIONNEMENT</t>
        </is>
      </c>
      <c r="N11" s="678" t="inlineStr">
        <is>
          <t xml:space="preserve">Prestations de service
Achat prestations de services locales - personnes physiques </t>
        </is>
      </c>
      <c r="O11" s="679" t="n"/>
      <c r="P11" s="680" t="n"/>
      <c r="Q11" s="680" t="n"/>
      <c r="R11" s="675" t="inlineStr">
        <is>
          <t>RECONDUCTION</t>
        </is>
      </c>
      <c r="S11" s="681" t="n"/>
      <c r="T11" s="682" t="n"/>
      <c r="U11" s="683" t="inlineStr">
        <is>
          <t xml:space="preserve">IHAB JAMAL EDDINE </t>
        </is>
      </c>
      <c r="V11" s="675" t="n">
        <v>2026</v>
      </c>
      <c r="W11" s="682" t="n">
        <v>46022</v>
      </c>
      <c r="X11" s="682" t="n"/>
      <c r="Y11" s="682" t="n">
        <v>46024</v>
      </c>
      <c r="Z11" s="679" t="n">
        <v>113142.48</v>
      </c>
      <c r="AA11" s="680" t="n">
        <v>0</v>
      </c>
      <c r="AB11" s="680">
        <f>Z11</f>
        <v/>
      </c>
      <c r="AC11" s="680" t="n">
        <v>0</v>
      </c>
      <c r="AD11" s="680">
        <f>Z11</f>
        <v/>
      </c>
      <c r="AE11" s="680">
        <f>Z11</f>
        <v/>
      </c>
      <c r="AF11" s="684" t="inlineStr">
        <is>
          <t>ENGAGE</t>
        </is>
      </c>
      <c r="AG11" s="683" t="n"/>
      <c r="AH11" s="680" t="n"/>
      <c r="AI11" s="680" t="n"/>
      <c r="AJ11" s="680" t="n"/>
      <c r="AK11" s="680" t="n"/>
      <c r="AL11" s="685" t="n"/>
      <c r="AM11" s="685" t="n"/>
      <c r="AN11" s="683" t="inlineStr">
        <is>
          <t>Manque n° contrat</t>
        </is>
      </c>
      <c r="AO11" s="686" t="n"/>
      <c r="AP11" s="687" t="n"/>
      <c r="AQ11" s="688" t="n"/>
      <c r="AR11" s="688" t="n"/>
      <c r="AS11" s="23" t="n"/>
      <c r="AT11" s="688" t="n"/>
    </row>
    <row r="12" ht="46.5" customHeight="1" s="392">
      <c r="A12" s="672">
        <f>IF(AF12="ENGAGE","✔",IF(AF12="EN COURS D'ENGAGEMENT","◕",IF(AF12="PREENGAGE","◑",IF(AF12="EN COURS DE PREENGAGEMENT","◔",IF(AF12="NON ENGAGE","✖","")))))</f>
        <v/>
      </c>
      <c r="B12" s="673" t="n">
        <v>2026</v>
      </c>
      <c r="C12" s="674" t="inlineStr">
        <is>
          <t>ARRIYADIA</t>
        </is>
      </c>
      <c r="D12" s="674" t="inlineStr">
        <is>
          <t>PV N° : 01RC2025- DCCCA</t>
        </is>
      </c>
      <c r="E12" s="675" t="inlineStr">
        <is>
          <t>CONTRAT</t>
        </is>
      </c>
      <c r="F12" s="675" t="n"/>
      <c r="G12" s="676" t="inlineStr">
        <is>
          <t>YOUSSEF JOUMARI  - Cadreur plateau</t>
        </is>
      </c>
      <c r="H12" s="673" t="inlineStr">
        <is>
          <t>VALIDE</t>
        </is>
      </c>
      <c r="I12" s="675" t="inlineStr">
        <is>
          <t>APPROUVE</t>
        </is>
      </c>
      <c r="J12" s="675" t="n"/>
      <c r="K12" s="673" t="inlineStr">
        <is>
          <t>NON CONCERNE</t>
        </is>
      </c>
      <c r="L12" s="675" t="inlineStr">
        <is>
          <t>Ordinaire</t>
        </is>
      </c>
      <c r="M12" s="677" t="inlineStr">
        <is>
          <t>FONCTIONNEMENT</t>
        </is>
      </c>
      <c r="N12" s="678" t="inlineStr">
        <is>
          <t xml:space="preserve">Prestations de service
Achat prestations de services locales - personnes physiques </t>
        </is>
      </c>
      <c r="O12" s="679" t="n"/>
      <c r="P12" s="680" t="n"/>
      <c r="Q12" s="680" t="n"/>
      <c r="R12" s="675" t="inlineStr">
        <is>
          <t>RECONDUCTION</t>
        </is>
      </c>
      <c r="S12" s="681" t="n"/>
      <c r="T12" s="682" t="n"/>
      <c r="U12" s="683" t="inlineStr">
        <is>
          <t xml:space="preserve">IHAB JAMAL EDDINE </t>
        </is>
      </c>
      <c r="V12" s="675" t="n">
        <v>2026</v>
      </c>
      <c r="W12" s="682" t="n">
        <v>46022</v>
      </c>
      <c r="X12" s="682" t="n"/>
      <c r="Y12" s="682" t="n">
        <v>46024</v>
      </c>
      <c r="Z12" s="679" t="n">
        <v>113142.48</v>
      </c>
      <c r="AA12" s="680" t="n">
        <v>0</v>
      </c>
      <c r="AB12" s="680">
        <f>Z12</f>
        <v/>
      </c>
      <c r="AC12" s="680" t="n">
        <v>0</v>
      </c>
      <c r="AD12" s="680">
        <f>Z12</f>
        <v/>
      </c>
      <c r="AE12" s="680">
        <f>Z12</f>
        <v/>
      </c>
      <c r="AF12" s="684" t="inlineStr">
        <is>
          <t>ENGAGE</t>
        </is>
      </c>
      <c r="AG12" s="683" t="n"/>
      <c r="AH12" s="680" t="n"/>
      <c r="AI12" s="680" t="n"/>
      <c r="AJ12" s="680" t="n"/>
      <c r="AK12" s="680" t="n"/>
      <c r="AL12" s="685" t="n"/>
      <c r="AM12" s="685" t="n"/>
      <c r="AN12" s="683" t="inlineStr">
        <is>
          <t>Manque n° contrat</t>
        </is>
      </c>
      <c r="AO12" s="686" t="n"/>
      <c r="AP12" s="687" t="n"/>
      <c r="AQ12" s="688" t="n"/>
      <c r="AR12" s="688" t="n"/>
      <c r="AS12" s="23" t="n"/>
      <c r="AT12" s="688" t="n"/>
    </row>
    <row r="13" ht="46.5" customHeight="1" s="392">
      <c r="A13" s="672">
        <f>IF(AF13="ENGAGE","✔",IF(AF13="EN COURS D'ENGAGEMENT","◕",IF(AF13="PREENGAGE","◑",IF(AF13="EN COURS DE PREENGAGEMENT","◔",IF(AF13="NON ENGAGE","✖","")))))</f>
        <v/>
      </c>
      <c r="B13" s="673" t="n">
        <v>2026</v>
      </c>
      <c r="C13" s="674" t="inlineStr">
        <is>
          <t>ARRIYADIA</t>
        </is>
      </c>
      <c r="D13" s="674" t="inlineStr">
        <is>
          <t>PV N° : 01RC2025- DCCCA</t>
        </is>
      </c>
      <c r="E13" s="675" t="inlineStr">
        <is>
          <t>CONTRAT</t>
        </is>
      </c>
      <c r="F13" s="675" t="n"/>
      <c r="G13" s="676" t="inlineStr">
        <is>
          <t>MUSTAPHA SKALLI  - Cadreur plateau</t>
        </is>
      </c>
      <c r="H13" s="673" t="inlineStr">
        <is>
          <t>VALIDE</t>
        </is>
      </c>
      <c r="I13" s="675" t="inlineStr">
        <is>
          <t>APPROUVE</t>
        </is>
      </c>
      <c r="J13" s="675" t="n"/>
      <c r="K13" s="673" t="inlineStr">
        <is>
          <t>NON CONCERNE</t>
        </is>
      </c>
      <c r="L13" s="675" t="inlineStr">
        <is>
          <t>Ordinaire</t>
        </is>
      </c>
      <c r="M13" s="677" t="inlineStr">
        <is>
          <t>FONCTIONNEMENT</t>
        </is>
      </c>
      <c r="N13" s="678" t="inlineStr">
        <is>
          <t xml:space="preserve">Prestations de service
Achat prestations de services locales - personnes physiques </t>
        </is>
      </c>
      <c r="O13" s="679" t="n"/>
      <c r="P13" s="680" t="n"/>
      <c r="Q13" s="680" t="n"/>
      <c r="R13" s="675" t="inlineStr">
        <is>
          <t>RECONDUCTION</t>
        </is>
      </c>
      <c r="S13" s="681" t="n"/>
      <c r="T13" s="682" t="n"/>
      <c r="U13" s="683" t="inlineStr">
        <is>
          <t>MUSTAPHA SKALLI</t>
        </is>
      </c>
      <c r="V13" s="675" t="n">
        <v>2026</v>
      </c>
      <c r="W13" s="682" t="n">
        <v>46022</v>
      </c>
      <c r="X13" s="682" t="n"/>
      <c r="Y13" s="682" t="n">
        <v>46024</v>
      </c>
      <c r="Z13" s="679" t="n">
        <v>113142.48</v>
      </c>
      <c r="AA13" s="680" t="n">
        <v>0</v>
      </c>
      <c r="AB13" s="680">
        <f>Z13</f>
        <v/>
      </c>
      <c r="AC13" s="680" t="n">
        <v>0</v>
      </c>
      <c r="AD13" s="680">
        <f>Z13</f>
        <v/>
      </c>
      <c r="AE13" s="680">
        <f>Z13</f>
        <v/>
      </c>
      <c r="AF13" s="684" t="inlineStr">
        <is>
          <t>ENGAGE</t>
        </is>
      </c>
      <c r="AG13" s="683" t="n"/>
      <c r="AH13" s="680" t="n"/>
      <c r="AI13" s="680" t="n"/>
      <c r="AJ13" s="680" t="n"/>
      <c r="AK13" s="680" t="n"/>
      <c r="AL13" s="685" t="n"/>
      <c r="AM13" s="685" t="n"/>
      <c r="AN13" s="683" t="inlineStr">
        <is>
          <t>Manque n° contrat</t>
        </is>
      </c>
      <c r="AO13" s="686" t="n"/>
      <c r="AP13" s="687" t="n"/>
      <c r="AQ13" s="688" t="n"/>
      <c r="AR13" s="688" t="n"/>
      <c r="AS13" s="23" t="n"/>
      <c r="AT13" s="688" t="n"/>
    </row>
    <row r="14" ht="46.5" customHeight="1" s="392">
      <c r="A14" s="672">
        <f>IF(AF14="ENGAGE","✔",IF(AF14="EN COURS D'ENGAGEMENT","◕",IF(AF14="PREENGAGE","◑",IF(AF14="EN COURS DE PREENGAGEMENT","◔",IF(AF14="NON ENGAGE","✖","")))))</f>
        <v/>
      </c>
      <c r="B14" s="673" t="n">
        <v>2026</v>
      </c>
      <c r="C14" s="674" t="inlineStr">
        <is>
          <t>ARRIYADIA</t>
        </is>
      </c>
      <c r="D14" s="674" t="inlineStr">
        <is>
          <t>PV N° : 01RC2025- DCCCA</t>
        </is>
      </c>
      <c r="E14" s="675" t="inlineStr">
        <is>
          <t>CONTRAT</t>
        </is>
      </c>
      <c r="F14" s="675" t="n"/>
      <c r="G14" s="676" t="inlineStr">
        <is>
          <t>YOUSSEF EL FERNANI  - Cadreur plateau</t>
        </is>
      </c>
      <c r="H14" s="673" t="inlineStr">
        <is>
          <t>VALIDE</t>
        </is>
      </c>
      <c r="I14" s="675" t="inlineStr">
        <is>
          <t>APPROUVE</t>
        </is>
      </c>
      <c r="J14" s="675" t="n"/>
      <c r="K14" s="673" t="inlineStr">
        <is>
          <t>NON CONCERNE</t>
        </is>
      </c>
      <c r="L14" s="675" t="inlineStr">
        <is>
          <t>Ordinaire</t>
        </is>
      </c>
      <c r="M14" s="677" t="inlineStr">
        <is>
          <t>FONCTIONNEMENT</t>
        </is>
      </c>
      <c r="N14" s="678" t="inlineStr">
        <is>
          <t xml:space="preserve">Prestations de service
Achat prestations de services locales - personnes physiques </t>
        </is>
      </c>
      <c r="O14" s="679" t="n"/>
      <c r="P14" s="680" t="n"/>
      <c r="Q14" s="680" t="n"/>
      <c r="R14" s="675" t="inlineStr">
        <is>
          <t>RECONDUCTION</t>
        </is>
      </c>
      <c r="S14" s="681" t="n"/>
      <c r="T14" s="682" t="n"/>
      <c r="U14" s="683" t="inlineStr">
        <is>
          <t>YOUSSEF EL FERNANI</t>
        </is>
      </c>
      <c r="V14" s="675" t="n">
        <v>2026</v>
      </c>
      <c r="W14" s="682" t="n">
        <v>46022</v>
      </c>
      <c r="X14" s="682" t="n"/>
      <c r="Y14" s="682" t="n">
        <v>46024</v>
      </c>
      <c r="Z14" s="679" t="n">
        <v>113142.48</v>
      </c>
      <c r="AA14" s="680" t="n">
        <v>0</v>
      </c>
      <c r="AB14" s="680">
        <f>Z14</f>
        <v/>
      </c>
      <c r="AC14" s="680" t="n">
        <v>0</v>
      </c>
      <c r="AD14" s="680">
        <f>Z14</f>
        <v/>
      </c>
      <c r="AE14" s="680">
        <f>Z14</f>
        <v/>
      </c>
      <c r="AF14" s="684" t="inlineStr">
        <is>
          <t>ENGAGE</t>
        </is>
      </c>
      <c r="AG14" s="683" t="n"/>
      <c r="AH14" s="680" t="n"/>
      <c r="AI14" s="680" t="n"/>
      <c r="AJ14" s="680" t="n"/>
      <c r="AK14" s="680" t="n"/>
      <c r="AL14" s="685" t="n"/>
      <c r="AM14" s="685" t="n"/>
      <c r="AN14" s="683" t="inlineStr">
        <is>
          <t>Manque n° contrat</t>
        </is>
      </c>
      <c r="AO14" s="686" t="n"/>
      <c r="AP14" s="687" t="n"/>
      <c r="AQ14" s="688" t="n"/>
      <c r="AR14" s="688" t="n"/>
      <c r="AS14" s="23" t="n"/>
      <c r="AT14" s="688" t="n"/>
    </row>
    <row r="15" ht="46.5" customHeight="1" s="392">
      <c r="A15" s="672">
        <f>IF(AF15="ENGAGE","✔",IF(AF15="EN COURS D'ENGAGEMENT","◕",IF(AF15="PREENGAGE","◑",IF(AF15="EN COURS DE PREENGAGEMENT","◔",IF(AF15="NON ENGAGE","✖","")))))</f>
        <v/>
      </c>
      <c r="B15" s="673" t="n">
        <v>2026</v>
      </c>
      <c r="C15" s="674" t="inlineStr">
        <is>
          <t>ARRIYADIA</t>
        </is>
      </c>
      <c r="D15" s="674" t="inlineStr">
        <is>
          <t>PV N° : 01RC2025- DCCCA</t>
        </is>
      </c>
      <c r="E15" s="675" t="inlineStr">
        <is>
          <t>CONTRAT</t>
        </is>
      </c>
      <c r="F15" s="675" t="n"/>
      <c r="G15" s="676" t="inlineStr">
        <is>
          <t>YOUNES ZARIR - Cameraman/reporteur</t>
        </is>
      </c>
      <c r="H15" s="673" t="inlineStr">
        <is>
          <t>VALIDE</t>
        </is>
      </c>
      <c r="I15" s="675" t="inlineStr">
        <is>
          <t>APPROUVE</t>
        </is>
      </c>
      <c r="J15" s="675" t="n"/>
      <c r="K15" s="673" t="inlineStr">
        <is>
          <t>NON CONCERNE</t>
        </is>
      </c>
      <c r="L15" s="675" t="inlineStr">
        <is>
          <t>Ordinaire</t>
        </is>
      </c>
      <c r="M15" s="677" t="inlineStr">
        <is>
          <t>FONCTIONNEMENT</t>
        </is>
      </c>
      <c r="N15" s="678" t="inlineStr">
        <is>
          <t xml:space="preserve">Prestations de service
Achat prestations de services locales - personnes physiques </t>
        </is>
      </c>
      <c r="O15" s="679" t="n"/>
      <c r="P15" s="680" t="n"/>
      <c r="Q15" s="680" t="n"/>
      <c r="R15" s="675" t="inlineStr">
        <is>
          <t>RECONDUCTION</t>
        </is>
      </c>
      <c r="S15" s="681" t="n"/>
      <c r="T15" s="682" t="n"/>
      <c r="U15" s="683" t="inlineStr">
        <is>
          <t>YOUNES ZARIR</t>
        </is>
      </c>
      <c r="V15" s="675" t="n">
        <v>2026</v>
      </c>
      <c r="W15" s="682" t="n">
        <v>46022</v>
      </c>
      <c r="X15" s="682" t="n"/>
      <c r="Y15" s="682" t="n">
        <v>46024</v>
      </c>
      <c r="Z15" s="679" t="n">
        <v>113142.48</v>
      </c>
      <c r="AA15" s="680" t="n">
        <v>0</v>
      </c>
      <c r="AB15" s="680">
        <f>Z15</f>
        <v/>
      </c>
      <c r="AC15" s="680" t="n">
        <v>0</v>
      </c>
      <c r="AD15" s="680">
        <f>Z15</f>
        <v/>
      </c>
      <c r="AE15" s="680">
        <f>Z15</f>
        <v/>
      </c>
      <c r="AF15" s="684" t="inlineStr">
        <is>
          <t>ENGAGE</t>
        </is>
      </c>
      <c r="AG15" s="683" t="n"/>
      <c r="AH15" s="680" t="n"/>
      <c r="AI15" s="680" t="n"/>
      <c r="AJ15" s="680" t="n"/>
      <c r="AK15" s="680" t="n"/>
      <c r="AL15" s="685" t="n"/>
      <c r="AM15" s="685" t="n"/>
      <c r="AN15" s="683" t="inlineStr">
        <is>
          <t>Manque n° contrat</t>
        </is>
      </c>
      <c r="AO15" s="686" t="n"/>
      <c r="AP15" s="687" t="n"/>
      <c r="AQ15" s="688" t="n"/>
      <c r="AR15" s="688" t="n"/>
      <c r="AS15" s="23" t="n"/>
      <c r="AT15" s="688" t="n"/>
    </row>
    <row r="16" ht="46.5" customHeight="1" s="392">
      <c r="A16" s="672">
        <f>IF(AF16="ENGAGE","✔",IF(AF16="EN COURS D'ENGAGEMENT","◕",IF(AF16="PREENGAGE","◑",IF(AF16="EN COURS DE PREENGAGEMENT","◔",IF(AF16="NON ENGAGE","✖","")))))</f>
        <v/>
      </c>
      <c r="B16" s="673" t="n">
        <v>2026</v>
      </c>
      <c r="C16" s="674" t="inlineStr">
        <is>
          <t>ARRIYADIA</t>
        </is>
      </c>
      <c r="D16" s="674" t="inlineStr">
        <is>
          <t>PV N° : 01RC2025- DCCCA</t>
        </is>
      </c>
      <c r="E16" s="675" t="inlineStr">
        <is>
          <t>CONTRAT</t>
        </is>
      </c>
      <c r="F16" s="675" t="n"/>
      <c r="G16" s="676" t="inlineStr">
        <is>
          <t>AZEDDINE ESSATOURI  - Cameraman/reporteur</t>
        </is>
      </c>
      <c r="H16" s="673" t="inlineStr">
        <is>
          <t>VALIDE</t>
        </is>
      </c>
      <c r="I16" s="675" t="inlineStr">
        <is>
          <t>APPROUVE</t>
        </is>
      </c>
      <c r="J16" s="675" t="n"/>
      <c r="K16" s="673" t="inlineStr">
        <is>
          <t>NON CONCERNE</t>
        </is>
      </c>
      <c r="L16" s="675" t="inlineStr">
        <is>
          <t>Ordinaire</t>
        </is>
      </c>
      <c r="M16" s="677" t="inlineStr">
        <is>
          <t>FONCTIONNEMENT</t>
        </is>
      </c>
      <c r="N16" s="678" t="inlineStr">
        <is>
          <t xml:space="preserve">Prestations de service
Achat prestations de services locales - personnes physiques </t>
        </is>
      </c>
      <c r="O16" s="679" t="n"/>
      <c r="P16" s="680" t="n"/>
      <c r="Q16" s="680" t="n"/>
      <c r="R16" s="675" t="inlineStr">
        <is>
          <t>RECONDUCTION</t>
        </is>
      </c>
      <c r="S16" s="681" t="n"/>
      <c r="T16" s="682" t="n"/>
      <c r="U16" s="683" t="inlineStr">
        <is>
          <t>AZEDDINE ESSATOURI</t>
        </is>
      </c>
      <c r="V16" s="675" t="n">
        <v>2026</v>
      </c>
      <c r="W16" s="682" t="n">
        <v>46022</v>
      </c>
      <c r="X16" s="682" t="n"/>
      <c r="Y16" s="682" t="n">
        <v>46024</v>
      </c>
      <c r="Z16" s="679" t="n">
        <v>113142.48</v>
      </c>
      <c r="AA16" s="680" t="n">
        <v>0</v>
      </c>
      <c r="AB16" s="680">
        <f>Z16</f>
        <v/>
      </c>
      <c r="AC16" s="680" t="n">
        <v>0</v>
      </c>
      <c r="AD16" s="680">
        <f>Z16</f>
        <v/>
      </c>
      <c r="AE16" s="680">
        <f>Z16</f>
        <v/>
      </c>
      <c r="AF16" s="684" t="inlineStr">
        <is>
          <t>ENGAGE</t>
        </is>
      </c>
      <c r="AG16" s="683" t="n"/>
      <c r="AH16" s="680" t="n"/>
      <c r="AI16" s="680" t="n"/>
      <c r="AJ16" s="680" t="n"/>
      <c r="AK16" s="680" t="n"/>
      <c r="AL16" s="685" t="n"/>
      <c r="AM16" s="685" t="n"/>
      <c r="AN16" s="683" t="inlineStr">
        <is>
          <t>Manque n° contrat</t>
        </is>
      </c>
      <c r="AO16" s="686" t="n"/>
      <c r="AP16" s="687" t="n"/>
      <c r="AQ16" s="688" t="n"/>
      <c r="AR16" s="688" t="n"/>
      <c r="AS16" s="23" t="n"/>
      <c r="AT16" s="688" t="n"/>
    </row>
    <row r="17" ht="46.5" customHeight="1" s="392">
      <c r="A17" s="672">
        <f>IF(AF17="ENGAGE","✔",IF(AF17="EN COURS D'ENGAGEMENT","◕",IF(AF17="PREENGAGE","◑",IF(AF17="EN COURS DE PREENGAGEMENT","◔",IF(AF17="NON ENGAGE","✖","")))))</f>
        <v/>
      </c>
      <c r="B17" s="673" t="n">
        <v>2026</v>
      </c>
      <c r="C17" s="674" t="inlineStr">
        <is>
          <t>ARRIYADIA</t>
        </is>
      </c>
      <c r="D17" s="674" t="inlineStr">
        <is>
          <t>PV N° : 01RC2025- DCCCA</t>
        </is>
      </c>
      <c r="E17" s="675" t="inlineStr">
        <is>
          <t>CONTRAT</t>
        </is>
      </c>
      <c r="F17" s="675" t="n"/>
      <c r="G17" s="676" t="inlineStr">
        <is>
          <t>SOUFIANE ZIAT  - Cameraman/reporteur</t>
        </is>
      </c>
      <c r="H17" s="673" t="inlineStr">
        <is>
          <t>VALIDE</t>
        </is>
      </c>
      <c r="I17" s="675" t="inlineStr">
        <is>
          <t>APPROUVE</t>
        </is>
      </c>
      <c r="J17" s="675" t="n"/>
      <c r="K17" s="673" t="inlineStr">
        <is>
          <t>NON CONCERNE</t>
        </is>
      </c>
      <c r="L17" s="675" t="inlineStr">
        <is>
          <t>Ordinaire</t>
        </is>
      </c>
      <c r="M17" s="677" t="inlineStr">
        <is>
          <t>FONCTIONNEMENT</t>
        </is>
      </c>
      <c r="N17" s="678" t="inlineStr">
        <is>
          <t xml:space="preserve">Prestations de service
Achat prestations de services locales - personnes physiques </t>
        </is>
      </c>
      <c r="O17" s="679" t="n"/>
      <c r="P17" s="680" t="n"/>
      <c r="Q17" s="680" t="n"/>
      <c r="R17" s="675" t="inlineStr">
        <is>
          <t>RECONDUCTION</t>
        </is>
      </c>
      <c r="S17" s="681" t="n"/>
      <c r="T17" s="682" t="n"/>
      <c r="U17" s="683" t="inlineStr">
        <is>
          <t>SOUFIANE ZIAT</t>
        </is>
      </c>
      <c r="V17" s="675" t="n">
        <v>2026</v>
      </c>
      <c r="W17" s="682" t="n">
        <v>46022</v>
      </c>
      <c r="X17" s="682" t="n"/>
      <c r="Y17" s="682" t="n">
        <v>46024</v>
      </c>
      <c r="Z17" s="679" t="n">
        <v>113142.48</v>
      </c>
      <c r="AA17" s="680" t="n">
        <v>0</v>
      </c>
      <c r="AB17" s="680">
        <f>Z17</f>
        <v/>
      </c>
      <c r="AC17" s="680" t="n">
        <v>0</v>
      </c>
      <c r="AD17" s="680">
        <f>Z17</f>
        <v/>
      </c>
      <c r="AE17" s="680">
        <f>Z17</f>
        <v/>
      </c>
      <c r="AF17" s="684" t="inlineStr">
        <is>
          <t>ENGAGE</t>
        </is>
      </c>
      <c r="AG17" s="683" t="n"/>
      <c r="AH17" s="680" t="n"/>
      <c r="AI17" s="680" t="n"/>
      <c r="AJ17" s="680" t="n"/>
      <c r="AK17" s="680" t="n"/>
      <c r="AL17" s="685" t="n"/>
      <c r="AM17" s="685" t="n"/>
      <c r="AN17" s="683" t="inlineStr">
        <is>
          <t>Manque n° contrat</t>
        </is>
      </c>
      <c r="AO17" s="686" t="n"/>
      <c r="AP17" s="687" t="n"/>
      <c r="AQ17" s="688" t="n"/>
      <c r="AR17" s="688" t="n"/>
      <c r="AS17" s="23" t="n"/>
      <c r="AT17" s="688" t="n"/>
    </row>
    <row r="18" ht="46.5" customHeight="1" s="392">
      <c r="A18" s="672">
        <f>IF(AF18="ENGAGE","✔",IF(AF18="EN COURS D'ENGAGEMENT","◕",IF(AF18="PREENGAGE","◑",IF(AF18="EN COURS DE PREENGAGEMENT","◔",IF(AF18="NON ENGAGE","✖","")))))</f>
        <v/>
      </c>
      <c r="B18" s="673" t="n">
        <v>2026</v>
      </c>
      <c r="C18" s="674" t="inlineStr">
        <is>
          <t>ARRIYADIA</t>
        </is>
      </c>
      <c r="D18" s="674" t="inlineStr">
        <is>
          <t>PV N° : 01RC2025- DCCCA</t>
        </is>
      </c>
      <c r="E18" s="675" t="inlineStr">
        <is>
          <t>CONTRAT</t>
        </is>
      </c>
      <c r="F18" s="675" t="n"/>
      <c r="G18" s="676" t="inlineStr">
        <is>
          <t>ABDELHAK EL GANTITI  - Cameraman/reporteur</t>
        </is>
      </c>
      <c r="H18" s="673" t="inlineStr">
        <is>
          <t>VALIDE</t>
        </is>
      </c>
      <c r="I18" s="675" t="inlineStr">
        <is>
          <t>APPROUVE</t>
        </is>
      </c>
      <c r="J18" s="675" t="n"/>
      <c r="K18" s="673" t="inlineStr">
        <is>
          <t>NON CONCERNE</t>
        </is>
      </c>
      <c r="L18" s="675" t="inlineStr">
        <is>
          <t>Ordinaire</t>
        </is>
      </c>
      <c r="M18" s="677" t="inlineStr">
        <is>
          <t>FONCTIONNEMENT</t>
        </is>
      </c>
      <c r="N18" s="678" t="inlineStr">
        <is>
          <t xml:space="preserve">Prestations de service
Achat prestations de services locales - personnes physiques </t>
        </is>
      </c>
      <c r="O18" s="679" t="n"/>
      <c r="P18" s="680" t="n"/>
      <c r="Q18" s="680" t="n"/>
      <c r="R18" s="675" t="inlineStr">
        <is>
          <t>RECONDUCTION</t>
        </is>
      </c>
      <c r="S18" s="681" t="n"/>
      <c r="T18" s="682" t="n"/>
      <c r="U18" s="683" t="inlineStr">
        <is>
          <t>ABDELHAK EL GANTITI</t>
        </is>
      </c>
      <c r="V18" s="675" t="n">
        <v>2026</v>
      </c>
      <c r="W18" s="682" t="n">
        <v>46022</v>
      </c>
      <c r="X18" s="682" t="n"/>
      <c r="Y18" s="682" t="n">
        <v>46024</v>
      </c>
      <c r="Z18" s="679" t="n">
        <v>113142.48</v>
      </c>
      <c r="AA18" s="680" t="n">
        <v>0</v>
      </c>
      <c r="AB18" s="680">
        <f>Z18</f>
        <v/>
      </c>
      <c r="AC18" s="680" t="n">
        <v>0</v>
      </c>
      <c r="AD18" s="680">
        <f>Z18</f>
        <v/>
      </c>
      <c r="AE18" s="680">
        <f>Z18</f>
        <v/>
      </c>
      <c r="AF18" s="684" t="inlineStr">
        <is>
          <t>ENGAGE</t>
        </is>
      </c>
      <c r="AG18" s="683" t="n"/>
      <c r="AH18" s="680" t="n"/>
      <c r="AI18" s="680" t="n"/>
      <c r="AJ18" s="680" t="n"/>
      <c r="AK18" s="680" t="n"/>
      <c r="AL18" s="685" t="n"/>
      <c r="AM18" s="685" t="n"/>
      <c r="AN18" s="683" t="inlineStr">
        <is>
          <t>Manque n° contrat</t>
        </is>
      </c>
      <c r="AO18" s="686" t="n"/>
      <c r="AP18" s="687" t="n"/>
      <c r="AQ18" s="688" t="n"/>
      <c r="AR18" s="688" t="n"/>
      <c r="AS18" s="23" t="n"/>
      <c r="AT18" s="688" t="n"/>
    </row>
    <row r="19" ht="46.5" customHeight="1" s="392">
      <c r="A19" s="672">
        <f>IF(AF19="ENGAGE","✔",IF(AF19="EN COURS D'ENGAGEMENT","◕",IF(AF19="PREENGAGE","◑",IF(AF19="EN COURS DE PREENGAGEMENT","◔",IF(AF19="NON ENGAGE","✖","")))))</f>
        <v/>
      </c>
      <c r="B19" s="673" t="n">
        <v>2026</v>
      </c>
      <c r="C19" s="674" t="inlineStr">
        <is>
          <t>ARRIYADIA</t>
        </is>
      </c>
      <c r="D19" s="674" t="inlineStr">
        <is>
          <t>PV N° : 01RC2025- DCCCA</t>
        </is>
      </c>
      <c r="E19" s="675" t="inlineStr">
        <is>
          <t>CONTRAT</t>
        </is>
      </c>
      <c r="F19" s="675" t="n"/>
      <c r="G19" s="676" t="inlineStr">
        <is>
          <t>MOHAMED RAFIQ – Cadreur plateau/technicien coordinateur d’antenne TV</t>
        </is>
      </c>
      <c r="H19" s="673" t="inlineStr">
        <is>
          <t>VALIDE</t>
        </is>
      </c>
      <c r="I19" s="675" t="inlineStr">
        <is>
          <t>APPROUVE</t>
        </is>
      </c>
      <c r="J19" s="675" t="n"/>
      <c r="K19" s="673" t="inlineStr">
        <is>
          <t>NON CONCERNE</t>
        </is>
      </c>
      <c r="L19" s="675" t="inlineStr">
        <is>
          <t>Ordinaire</t>
        </is>
      </c>
      <c r="M19" s="677" t="inlineStr">
        <is>
          <t>FONCTIONNEMENT</t>
        </is>
      </c>
      <c r="N19" s="678" t="inlineStr">
        <is>
          <t xml:space="preserve">Prestations de service
Achat prestations de services locales - personnes physiques </t>
        </is>
      </c>
      <c r="O19" s="679" t="n"/>
      <c r="P19" s="680" t="n"/>
      <c r="Q19" s="680" t="n"/>
      <c r="R19" s="675" t="inlineStr">
        <is>
          <t>RECONDUCTION</t>
        </is>
      </c>
      <c r="S19" s="681" t="n"/>
      <c r="T19" s="682" t="n"/>
      <c r="U19" s="683" t="inlineStr">
        <is>
          <t>MOHAMED RAFIQ</t>
        </is>
      </c>
      <c r="V19" s="675" t="n">
        <v>2026</v>
      </c>
      <c r="W19" s="682" t="n">
        <v>46022</v>
      </c>
      <c r="X19" s="682" t="n"/>
      <c r="Y19" s="682" t="n">
        <v>46024</v>
      </c>
      <c r="Z19" s="679" t="n">
        <v>113142.48</v>
      </c>
      <c r="AA19" s="680" t="n">
        <v>0</v>
      </c>
      <c r="AB19" s="680">
        <f>Z19</f>
        <v/>
      </c>
      <c r="AC19" s="680" t="n">
        <v>0</v>
      </c>
      <c r="AD19" s="680">
        <f>Z19</f>
        <v/>
      </c>
      <c r="AE19" s="680">
        <f>Z19</f>
        <v/>
      </c>
      <c r="AF19" s="684" t="inlineStr">
        <is>
          <t>ENGAGE</t>
        </is>
      </c>
      <c r="AG19" s="683" t="n"/>
      <c r="AH19" s="680" t="n"/>
      <c r="AI19" s="680" t="n"/>
      <c r="AJ19" s="680" t="n"/>
      <c r="AK19" s="680" t="n"/>
      <c r="AL19" s="685" t="n"/>
      <c r="AM19" s="685" t="n"/>
      <c r="AN19" s="683" t="inlineStr">
        <is>
          <t>Manque n° contrat</t>
        </is>
      </c>
      <c r="AO19" s="686" t="n"/>
      <c r="AP19" s="687" t="n"/>
      <c r="AQ19" s="688" t="n"/>
      <c r="AR19" s="688" t="n"/>
      <c r="AS19" s="23" t="n"/>
      <c r="AT19" s="688" t="n"/>
    </row>
    <row r="20" ht="46.5" customHeight="1" s="392">
      <c r="A20" s="672">
        <f>IF(AF20="ENGAGE","✔",IF(AF20="EN COURS D'ENGAGEMENT","◕",IF(AF20="PREENGAGE","◑",IF(AF20="EN COURS DE PREENGAGEMENT","◔",IF(AF20="NON ENGAGE","✖","")))))</f>
        <v/>
      </c>
      <c r="B20" s="673" t="n">
        <v>2026</v>
      </c>
      <c r="C20" s="674" t="inlineStr">
        <is>
          <t>ARRIYADIA</t>
        </is>
      </c>
      <c r="D20" s="674" t="inlineStr">
        <is>
          <t>PV N° : 01RC2025- DCCCA</t>
        </is>
      </c>
      <c r="E20" s="675" t="inlineStr">
        <is>
          <t>CONTRAT</t>
        </is>
      </c>
      <c r="F20" s="675" t="n"/>
      <c r="G20" s="676" t="inlineStr">
        <is>
          <t>ASMAA ADDAR - Monteur truquiste</t>
        </is>
      </c>
      <c r="H20" s="673" t="inlineStr">
        <is>
          <t>VALIDE</t>
        </is>
      </c>
      <c r="I20" s="675" t="inlineStr">
        <is>
          <t>APPROUVE</t>
        </is>
      </c>
      <c r="J20" s="675" t="n"/>
      <c r="K20" s="673" t="inlineStr">
        <is>
          <t>NON CONCERNE</t>
        </is>
      </c>
      <c r="L20" s="675" t="inlineStr">
        <is>
          <t>Ordinaire</t>
        </is>
      </c>
      <c r="M20" s="677" t="inlineStr">
        <is>
          <t>FONCTIONNEMENT</t>
        </is>
      </c>
      <c r="N20" s="678" t="inlineStr">
        <is>
          <t xml:space="preserve">Prestations de service
Achat prestations de services locales - personnes physiques </t>
        </is>
      </c>
      <c r="O20" s="679" t="n"/>
      <c r="P20" s="680" t="n"/>
      <c r="Q20" s="680" t="n"/>
      <c r="R20" s="675" t="inlineStr">
        <is>
          <t>RECONDUCTION</t>
        </is>
      </c>
      <c r="S20" s="681" t="n"/>
      <c r="T20" s="682" t="n"/>
      <c r="U20" s="683" t="inlineStr">
        <is>
          <t xml:space="preserve">ASMAA ADDAR </t>
        </is>
      </c>
      <c r="V20" s="675" t="n">
        <v>2026</v>
      </c>
      <c r="W20" s="682" t="n">
        <v>46022</v>
      </c>
      <c r="X20" s="682" t="n"/>
      <c r="Y20" s="682" t="n">
        <v>46024</v>
      </c>
      <c r="Z20" s="679" t="n">
        <v>113142.48</v>
      </c>
      <c r="AA20" s="680" t="n">
        <v>0</v>
      </c>
      <c r="AB20" s="680">
        <f>Z20</f>
        <v/>
      </c>
      <c r="AC20" s="680" t="n">
        <v>0</v>
      </c>
      <c r="AD20" s="680">
        <f>Z20</f>
        <v/>
      </c>
      <c r="AE20" s="680">
        <f>Z20</f>
        <v/>
      </c>
      <c r="AF20" s="684" t="inlineStr">
        <is>
          <t>ENGAGE</t>
        </is>
      </c>
      <c r="AG20" s="683" t="n"/>
      <c r="AH20" s="680" t="n"/>
      <c r="AI20" s="680" t="n"/>
      <c r="AJ20" s="680" t="n"/>
      <c r="AK20" s="680" t="n"/>
      <c r="AL20" s="685" t="n"/>
      <c r="AM20" s="685" t="n"/>
      <c r="AN20" s="683" t="inlineStr">
        <is>
          <t>Manque n° contrat</t>
        </is>
      </c>
      <c r="AO20" s="686" t="n"/>
      <c r="AP20" s="687" t="n"/>
      <c r="AQ20" s="688" t="n"/>
      <c r="AR20" s="688" t="n"/>
      <c r="AS20" s="23" t="n"/>
      <c r="AT20" s="688" t="n"/>
    </row>
    <row r="21" ht="46.5" customHeight="1" s="392">
      <c r="A21" s="672">
        <f>IF(AF21="ENGAGE","✔",IF(AF21="EN COURS D'ENGAGEMENT","◕",IF(AF21="PREENGAGE","◑",IF(AF21="EN COURS DE PREENGAGEMENT","◔",IF(AF21="NON ENGAGE","✖","")))))</f>
        <v/>
      </c>
      <c r="B21" s="673" t="n">
        <v>2026</v>
      </c>
      <c r="C21" s="674" t="inlineStr">
        <is>
          <t>ARRIYADIA</t>
        </is>
      </c>
      <c r="D21" s="674" t="inlineStr">
        <is>
          <t>PV N° : 01RC2025- DCCCA</t>
        </is>
      </c>
      <c r="E21" s="675" t="inlineStr">
        <is>
          <t>CONTRAT</t>
        </is>
      </c>
      <c r="F21" s="675" t="n"/>
      <c r="G21" s="676" t="inlineStr">
        <is>
          <t>BAII FATIMA ZAHRA - Monteur truquiste</t>
        </is>
      </c>
      <c r="H21" s="673" t="inlineStr">
        <is>
          <t>VALIDE</t>
        </is>
      </c>
      <c r="I21" s="675" t="inlineStr">
        <is>
          <t>APPROUVE</t>
        </is>
      </c>
      <c r="J21" s="675" t="n"/>
      <c r="K21" s="673" t="inlineStr">
        <is>
          <t>NON CONCERNE</t>
        </is>
      </c>
      <c r="L21" s="675" t="inlineStr">
        <is>
          <t>Ordinaire</t>
        </is>
      </c>
      <c r="M21" s="677" t="inlineStr">
        <is>
          <t>FONCTIONNEMENT</t>
        </is>
      </c>
      <c r="N21" s="678" t="inlineStr">
        <is>
          <t xml:space="preserve">Prestations de service
Achat prestations de services locales - personnes physiques </t>
        </is>
      </c>
      <c r="O21" s="679" t="n"/>
      <c r="P21" s="680" t="n"/>
      <c r="Q21" s="680" t="n"/>
      <c r="R21" s="675" t="inlineStr">
        <is>
          <t>RECONDUCTION</t>
        </is>
      </c>
      <c r="S21" s="681" t="n"/>
      <c r="T21" s="682" t="n"/>
      <c r="U21" s="683" t="inlineStr">
        <is>
          <t>BAII FATIMA ZAHRA</t>
        </is>
      </c>
      <c r="V21" s="675" t="n">
        <v>2026</v>
      </c>
      <c r="W21" s="682" t="n">
        <v>46022</v>
      </c>
      <c r="X21" s="682" t="n"/>
      <c r="Y21" s="682" t="n">
        <v>46024</v>
      </c>
      <c r="Z21" s="679" t="n">
        <v>113142.48</v>
      </c>
      <c r="AA21" s="680" t="n">
        <v>0</v>
      </c>
      <c r="AB21" s="680">
        <f>Z21</f>
        <v/>
      </c>
      <c r="AC21" s="680" t="n">
        <v>0</v>
      </c>
      <c r="AD21" s="680">
        <f>Z21</f>
        <v/>
      </c>
      <c r="AE21" s="680">
        <f>Z21</f>
        <v/>
      </c>
      <c r="AF21" s="684" t="inlineStr">
        <is>
          <t>ENGAGE</t>
        </is>
      </c>
      <c r="AG21" s="683" t="n"/>
      <c r="AH21" s="680" t="n"/>
      <c r="AI21" s="680" t="n"/>
      <c r="AJ21" s="680" t="n"/>
      <c r="AK21" s="680" t="n"/>
      <c r="AL21" s="685" t="n"/>
      <c r="AM21" s="685" t="n"/>
      <c r="AN21" s="683" t="inlineStr">
        <is>
          <t>Manque n° contrat</t>
        </is>
      </c>
      <c r="AO21" s="686" t="n"/>
      <c r="AP21" s="687" t="n"/>
      <c r="AQ21" s="688" t="n"/>
      <c r="AR21" s="688" t="n"/>
      <c r="AS21" s="23" t="n"/>
      <c r="AT21" s="688" t="n"/>
    </row>
    <row r="22" ht="46.5" customHeight="1" s="392">
      <c r="A22" s="672">
        <f>IF(AF22="ENGAGE","✔",IF(AF22="EN COURS D'ENGAGEMENT","◕",IF(AF22="PREENGAGE","◑",IF(AF22="EN COURS DE PREENGAGEMENT","◔",IF(AF22="NON ENGAGE","✖","")))))</f>
        <v/>
      </c>
      <c r="B22" s="673" t="n">
        <v>2026</v>
      </c>
      <c r="C22" s="674" t="inlineStr">
        <is>
          <t>ARRIYADIA</t>
        </is>
      </c>
      <c r="D22" s="674" t="inlineStr">
        <is>
          <t>PV N° : 01RC2025- DCCCA</t>
        </is>
      </c>
      <c r="E22" s="675" t="inlineStr">
        <is>
          <t>CONTRAT</t>
        </is>
      </c>
      <c r="F22" s="675" t="n"/>
      <c r="G22" s="676" t="inlineStr">
        <is>
          <t>DOUAA HMIMOU - Monteur truquiste</t>
        </is>
      </c>
      <c r="H22" s="673" t="inlineStr">
        <is>
          <t>VALIDE</t>
        </is>
      </c>
      <c r="I22" s="675" t="inlineStr">
        <is>
          <t>APPROUVE</t>
        </is>
      </c>
      <c r="J22" s="675" t="n"/>
      <c r="K22" s="673" t="inlineStr">
        <is>
          <t>NON CONCERNE</t>
        </is>
      </c>
      <c r="L22" s="675" t="inlineStr">
        <is>
          <t>Ordinaire</t>
        </is>
      </c>
      <c r="M22" s="677" t="inlineStr">
        <is>
          <t>FONCTIONNEMENT</t>
        </is>
      </c>
      <c r="N22" s="678" t="inlineStr">
        <is>
          <t xml:space="preserve">Prestations de service
Achat prestations de services locales - personnes physiques </t>
        </is>
      </c>
      <c r="O22" s="679" t="n"/>
      <c r="P22" s="680" t="n"/>
      <c r="Q22" s="680" t="n"/>
      <c r="R22" s="675" t="inlineStr">
        <is>
          <t>RECONDUCTION</t>
        </is>
      </c>
      <c r="S22" s="681" t="n"/>
      <c r="T22" s="682" t="n"/>
      <c r="U22" s="683" t="inlineStr">
        <is>
          <t>DOUAA HMIMOU</t>
        </is>
      </c>
      <c r="V22" s="675" t="n">
        <v>2026</v>
      </c>
      <c r="W22" s="682" t="n">
        <v>46022</v>
      </c>
      <c r="X22" s="682" t="n"/>
      <c r="Y22" s="682" t="n">
        <v>46024</v>
      </c>
      <c r="Z22" s="679" t="n">
        <v>113142.48</v>
      </c>
      <c r="AA22" s="680" t="n">
        <v>0</v>
      </c>
      <c r="AB22" s="680">
        <f>Z22</f>
        <v/>
      </c>
      <c r="AC22" s="680" t="n">
        <v>0</v>
      </c>
      <c r="AD22" s="680">
        <f>Z22</f>
        <v/>
      </c>
      <c r="AE22" s="680">
        <f>Z22</f>
        <v/>
      </c>
      <c r="AF22" s="684" t="inlineStr">
        <is>
          <t>ENGAGE</t>
        </is>
      </c>
      <c r="AG22" s="683" t="n"/>
      <c r="AH22" s="680" t="n"/>
      <c r="AI22" s="680" t="n"/>
      <c r="AJ22" s="680" t="n"/>
      <c r="AK22" s="680" t="n"/>
      <c r="AL22" s="685" t="n"/>
      <c r="AM22" s="685" t="n"/>
      <c r="AN22" s="683" t="inlineStr">
        <is>
          <t>Manque n° contrat</t>
        </is>
      </c>
      <c r="AO22" s="686" t="n"/>
      <c r="AP22" s="687" t="n"/>
      <c r="AQ22" s="688" t="n"/>
      <c r="AR22" s="688" t="n"/>
      <c r="AS22" s="23" t="n"/>
      <c r="AT22" s="688" t="n"/>
    </row>
    <row r="23" ht="46.5" customHeight="1" s="392">
      <c r="A23" s="672">
        <f>IF(AF23="ENGAGE","✔",IF(AF23="EN COURS D'ENGAGEMENT","◕",IF(AF23="PREENGAGE","◑",IF(AF23="EN COURS DE PREENGAGEMENT","◔",IF(AF23="NON ENGAGE","✖","")))))</f>
        <v/>
      </c>
      <c r="B23" s="673" t="n">
        <v>2026</v>
      </c>
      <c r="C23" s="674" t="inlineStr">
        <is>
          <t>ARRIYADIA</t>
        </is>
      </c>
      <c r="D23" s="674" t="inlineStr">
        <is>
          <t>PV N° : 01RC2025- DCCCA</t>
        </is>
      </c>
      <c r="E23" s="675" t="inlineStr">
        <is>
          <t>CONTRAT</t>
        </is>
      </c>
      <c r="F23" s="675" t="n"/>
      <c r="G23" s="676" t="inlineStr">
        <is>
          <t>ROUZZAQ ANIS – Monteur truquiste /bande d’annonce</t>
        </is>
      </c>
      <c r="H23" s="673" t="inlineStr">
        <is>
          <t>VALIDE</t>
        </is>
      </c>
      <c r="I23" s="675" t="inlineStr">
        <is>
          <t>APPROUVE</t>
        </is>
      </c>
      <c r="J23" s="675" t="n"/>
      <c r="K23" s="673" t="inlineStr">
        <is>
          <t>NON CONCERNE</t>
        </is>
      </c>
      <c r="L23" s="675" t="inlineStr">
        <is>
          <t>Ordinaire</t>
        </is>
      </c>
      <c r="M23" s="677" t="inlineStr">
        <is>
          <t>FONCTIONNEMENT</t>
        </is>
      </c>
      <c r="N23" s="678" t="inlineStr">
        <is>
          <t xml:space="preserve">Prestations de service
Achat prestations de services locales - personnes physiques </t>
        </is>
      </c>
      <c r="O23" s="679" t="n"/>
      <c r="P23" s="680" t="n"/>
      <c r="Q23" s="680" t="n"/>
      <c r="R23" s="675" t="inlineStr">
        <is>
          <t>RECONDUCTION</t>
        </is>
      </c>
      <c r="S23" s="681" t="n"/>
      <c r="T23" s="682" t="n"/>
      <c r="U23" s="683" t="inlineStr">
        <is>
          <t>ROUZZAQ ANIS</t>
        </is>
      </c>
      <c r="V23" s="675" t="n">
        <v>2026</v>
      </c>
      <c r="W23" s="682" t="n">
        <v>46022</v>
      </c>
      <c r="X23" s="682" t="n"/>
      <c r="Y23" s="682" t="n">
        <v>46024</v>
      </c>
      <c r="Z23" s="679" t="n">
        <v>156000</v>
      </c>
      <c r="AA23" s="680" t="n"/>
      <c r="AB23" s="680">
        <f>Z23</f>
        <v/>
      </c>
      <c r="AC23" s="680" t="n"/>
      <c r="AD23" s="680">
        <f>Z23</f>
        <v/>
      </c>
      <c r="AE23" s="680">
        <f>Z23</f>
        <v/>
      </c>
      <c r="AF23" s="684" t="inlineStr">
        <is>
          <t>ENGAGE</t>
        </is>
      </c>
      <c r="AG23" s="683" t="n"/>
      <c r="AH23" s="680" t="n"/>
      <c r="AI23" s="680" t="n"/>
      <c r="AJ23" s="680" t="n"/>
      <c r="AK23" s="680" t="n"/>
      <c r="AL23" s="685" t="n"/>
      <c r="AM23" s="685" t="n"/>
      <c r="AN23" s="683" t="inlineStr">
        <is>
          <t>Manque n° contrat</t>
        </is>
      </c>
      <c r="AO23" s="686" t="n"/>
      <c r="AP23" s="687" t="n"/>
      <c r="AQ23" s="688" t="n"/>
      <c r="AR23" s="688" t="n"/>
      <c r="AS23" s="23" t="n"/>
      <c r="AT23" s="688" t="n"/>
    </row>
    <row r="24" ht="46.5" customHeight="1" s="392">
      <c r="A24" s="672">
        <f>IF(AF24="ENGAGE","✔",IF(AF24="EN COURS D'ENGAGEMENT","◕",IF(AF24="PREENGAGE","◑",IF(AF24="EN COURS DE PREENGAGEMENT","◔",IF(AF24="NON ENGAGE","✖","")))))</f>
        <v/>
      </c>
      <c r="B24" s="673" t="n">
        <v>2026</v>
      </c>
      <c r="C24" s="674" t="inlineStr">
        <is>
          <t>ARRIYADIA</t>
        </is>
      </c>
      <c r="D24" s="674" t="inlineStr">
        <is>
          <t>PV N° : 01RC2025- DCCCA</t>
        </is>
      </c>
      <c r="E24" s="675" t="inlineStr">
        <is>
          <t>CONTRAT</t>
        </is>
      </c>
      <c r="F24" s="675" t="n"/>
      <c r="G24" s="676" t="inlineStr">
        <is>
          <t>SAFAE BOUHLAL -  Monteur truquiste /technicien coordinateur d’antenne TV</t>
        </is>
      </c>
      <c r="H24" s="673" t="inlineStr">
        <is>
          <t>VALIDE</t>
        </is>
      </c>
      <c r="I24" s="675" t="inlineStr">
        <is>
          <t>APPROUVE</t>
        </is>
      </c>
      <c r="J24" s="675" t="n"/>
      <c r="K24" s="673" t="inlineStr">
        <is>
          <t>NON CONCERNE</t>
        </is>
      </c>
      <c r="L24" s="675" t="inlineStr">
        <is>
          <t>Ordinaire</t>
        </is>
      </c>
      <c r="M24" s="677" t="inlineStr">
        <is>
          <t>FONCTIONNEMENT</t>
        </is>
      </c>
      <c r="N24" s="678" t="inlineStr">
        <is>
          <t xml:space="preserve">Prestations de service
Achat prestations de services locales - personnes physiques </t>
        </is>
      </c>
      <c r="O24" s="679" t="n"/>
      <c r="P24" s="680" t="n"/>
      <c r="Q24" s="680" t="n"/>
      <c r="R24" s="675" t="inlineStr">
        <is>
          <t>RECONDUCTION</t>
        </is>
      </c>
      <c r="S24" s="681" t="n"/>
      <c r="T24" s="682" t="n"/>
      <c r="U24" s="683" t="inlineStr">
        <is>
          <t>SAFAE BOUHLAL</t>
        </is>
      </c>
      <c r="V24" s="675" t="n">
        <v>2026</v>
      </c>
      <c r="W24" s="682" t="n">
        <v>46022</v>
      </c>
      <c r="X24" s="682" t="n"/>
      <c r="Y24" s="682" t="n">
        <v>46024</v>
      </c>
      <c r="Z24" s="679" t="n">
        <v>113142.48</v>
      </c>
      <c r="AA24" s="680" t="n">
        <v>0</v>
      </c>
      <c r="AB24" s="680">
        <f>Z24</f>
        <v/>
      </c>
      <c r="AC24" s="680" t="n">
        <v>0</v>
      </c>
      <c r="AD24" s="680">
        <f>Z24</f>
        <v/>
      </c>
      <c r="AE24" s="680">
        <f>Z24</f>
        <v/>
      </c>
      <c r="AF24" s="684" t="inlineStr">
        <is>
          <t>ENGAGE</t>
        </is>
      </c>
      <c r="AG24" s="683" t="n"/>
      <c r="AH24" s="680" t="n"/>
      <c r="AI24" s="680" t="n"/>
      <c r="AJ24" s="680" t="n"/>
      <c r="AK24" s="680" t="n"/>
      <c r="AL24" s="685" t="n"/>
      <c r="AM24" s="685" t="n"/>
      <c r="AN24" s="683" t="inlineStr">
        <is>
          <t>Manque n° contrat</t>
        </is>
      </c>
      <c r="AO24" s="686" t="n"/>
      <c r="AP24" s="687" t="n"/>
      <c r="AQ24" s="688" t="n"/>
      <c r="AR24" s="688" t="n"/>
      <c r="AS24" s="23" t="n"/>
      <c r="AT24" s="688" t="n"/>
    </row>
    <row r="25" ht="46.5" customHeight="1" s="392">
      <c r="A25" s="672">
        <f>IF(AF25="ENGAGE","✔",IF(AF25="EN COURS D'ENGAGEMENT","◕",IF(AF25="PREENGAGE","◑",IF(AF25="EN COURS DE PREENGAGEMENT","◔",IF(AF25="NON ENGAGE","✖","")))))</f>
        <v/>
      </c>
      <c r="B25" s="673" t="n">
        <v>2026</v>
      </c>
      <c r="C25" s="674" t="inlineStr">
        <is>
          <t>ARRIYADIA</t>
        </is>
      </c>
      <c r="D25" s="674" t="inlineStr">
        <is>
          <t>PV N° : 01RC2025- DCCCA</t>
        </is>
      </c>
      <c r="E25" s="675" t="inlineStr">
        <is>
          <t>CONTRAT</t>
        </is>
      </c>
      <c r="F25" s="675" t="n"/>
      <c r="G25" s="676" t="inlineStr">
        <is>
          <t>OUSSAMA EZZABBAR - Monteur truquiste</t>
        </is>
      </c>
      <c r="H25" s="673" t="inlineStr">
        <is>
          <t>VALIDE</t>
        </is>
      </c>
      <c r="I25" s="675" t="inlineStr">
        <is>
          <t>APPROUVE</t>
        </is>
      </c>
      <c r="J25" s="675" t="n"/>
      <c r="K25" s="673" t="inlineStr">
        <is>
          <t>NON CONCERNE</t>
        </is>
      </c>
      <c r="L25" s="675" t="inlineStr">
        <is>
          <t>Ordinaire</t>
        </is>
      </c>
      <c r="M25" s="677" t="inlineStr">
        <is>
          <t>FONCTIONNEMENT</t>
        </is>
      </c>
      <c r="N25" s="678" t="inlineStr">
        <is>
          <t xml:space="preserve">Prestations de service
Achat prestations de services locales - personnes physiques </t>
        </is>
      </c>
      <c r="O25" s="679" t="n"/>
      <c r="P25" s="680" t="n"/>
      <c r="Q25" s="680" t="n"/>
      <c r="R25" s="675" t="inlineStr">
        <is>
          <t>RECONDUCTION</t>
        </is>
      </c>
      <c r="S25" s="681" t="n"/>
      <c r="T25" s="682" t="n"/>
      <c r="U25" s="683" t="inlineStr">
        <is>
          <t>OUSSAMA EZZABBAR</t>
        </is>
      </c>
      <c r="V25" s="675" t="n">
        <v>2026</v>
      </c>
      <c r="W25" s="682" t="n">
        <v>46022</v>
      </c>
      <c r="X25" s="682" t="n"/>
      <c r="Y25" s="682" t="n">
        <v>46024</v>
      </c>
      <c r="Z25" s="679" t="n">
        <v>113142.48</v>
      </c>
      <c r="AA25" s="680" t="n">
        <v>0</v>
      </c>
      <c r="AB25" s="680">
        <f>Z25</f>
        <v/>
      </c>
      <c r="AC25" s="680" t="n">
        <v>0</v>
      </c>
      <c r="AD25" s="680">
        <f>Z25</f>
        <v/>
      </c>
      <c r="AE25" s="680">
        <f>Z25</f>
        <v/>
      </c>
      <c r="AF25" s="684" t="inlineStr">
        <is>
          <t>ENGAGE</t>
        </is>
      </c>
      <c r="AG25" s="683" t="n"/>
      <c r="AH25" s="680" t="n"/>
      <c r="AI25" s="680" t="n"/>
      <c r="AJ25" s="680" t="n"/>
      <c r="AK25" s="680" t="n"/>
      <c r="AL25" s="685" t="n"/>
      <c r="AM25" s="685" t="n"/>
      <c r="AN25" s="683" t="inlineStr">
        <is>
          <t>Manque n° contrat</t>
        </is>
      </c>
      <c r="AO25" s="686" t="n"/>
      <c r="AP25" s="687" t="n"/>
      <c r="AQ25" s="688" t="n"/>
      <c r="AR25" s="688" t="n"/>
      <c r="AS25" s="23" t="n"/>
      <c r="AT25" s="688" t="n"/>
    </row>
    <row r="26" ht="46.5" customHeight="1" s="392">
      <c r="A26" s="672">
        <f>IF(AF26="ENGAGE","✔",IF(AF26="EN COURS D'ENGAGEMENT","◕",IF(AF26="PREENGAGE","◑",IF(AF26="EN COURS DE PREENGAGEMENT","◔",IF(AF26="NON ENGAGE","✖","")))))</f>
        <v/>
      </c>
      <c r="B26" s="673" t="n">
        <v>2026</v>
      </c>
      <c r="C26" s="674" t="inlineStr">
        <is>
          <t>ARRIYADIA</t>
        </is>
      </c>
      <c r="D26" s="674" t="inlineStr">
        <is>
          <t>PV N° : 01RC2025- DCCCA</t>
        </is>
      </c>
      <c r="E26" s="675" t="inlineStr">
        <is>
          <t>CONTRAT</t>
        </is>
      </c>
      <c r="F26" s="675" t="n"/>
      <c r="G26" s="676" t="inlineStr">
        <is>
          <t>AMINE IMANE -  Opérateur synthétiseur</t>
        </is>
      </c>
      <c r="H26" s="673" t="inlineStr">
        <is>
          <t>VALIDE</t>
        </is>
      </c>
      <c r="I26" s="675" t="inlineStr">
        <is>
          <t>APPROUVE</t>
        </is>
      </c>
      <c r="J26" s="675" t="n"/>
      <c r="K26" s="673" t="inlineStr">
        <is>
          <t>NON CONCERNE</t>
        </is>
      </c>
      <c r="L26" s="675" t="inlineStr">
        <is>
          <t>Ordinaire</t>
        </is>
      </c>
      <c r="M26" s="677" t="inlineStr">
        <is>
          <t>FONCTIONNEMENT</t>
        </is>
      </c>
      <c r="N26" s="678" t="inlineStr">
        <is>
          <t xml:space="preserve">Prestations de service
Achat prestations de services locales - personnes physiques </t>
        </is>
      </c>
      <c r="O26" s="679" t="n"/>
      <c r="P26" s="680" t="n"/>
      <c r="Q26" s="680" t="n"/>
      <c r="R26" s="675" t="inlineStr">
        <is>
          <t>RECONDUCTION</t>
        </is>
      </c>
      <c r="S26" s="681" t="n"/>
      <c r="T26" s="682" t="n"/>
      <c r="U26" s="683" t="inlineStr">
        <is>
          <t>AMINE IMANE</t>
        </is>
      </c>
      <c r="V26" s="675" t="n">
        <v>2026</v>
      </c>
      <c r="W26" s="682" t="n">
        <v>46022</v>
      </c>
      <c r="X26" s="682" t="n"/>
      <c r="Y26" s="682" t="n">
        <v>46024</v>
      </c>
      <c r="Z26" s="679" t="n">
        <v>113142.48</v>
      </c>
      <c r="AA26" s="680" t="n">
        <v>0</v>
      </c>
      <c r="AB26" s="680">
        <f>Z26</f>
        <v/>
      </c>
      <c r="AC26" s="680" t="n">
        <v>0</v>
      </c>
      <c r="AD26" s="680">
        <f>Z26</f>
        <v/>
      </c>
      <c r="AE26" s="680">
        <f>Z26</f>
        <v/>
      </c>
      <c r="AF26" s="684" t="inlineStr">
        <is>
          <t>ENGAGE</t>
        </is>
      </c>
      <c r="AG26" s="683" t="n"/>
      <c r="AH26" s="680" t="n"/>
      <c r="AI26" s="680" t="n"/>
      <c r="AJ26" s="680" t="n"/>
      <c r="AK26" s="680" t="n"/>
      <c r="AL26" s="685" t="n"/>
      <c r="AM26" s="685" t="n"/>
      <c r="AN26" s="683" t="inlineStr">
        <is>
          <t>Manque n° contrat</t>
        </is>
      </c>
      <c r="AO26" s="686" t="n"/>
      <c r="AP26" s="687" t="n"/>
      <c r="AQ26" s="688" t="n"/>
      <c r="AR26" s="688" t="n"/>
      <c r="AS26" s="23" t="n"/>
      <c r="AT26" s="688" t="n"/>
    </row>
    <row r="27" ht="50.55" customHeight="1" s="392">
      <c r="A27" s="672">
        <f>IF(AF27="ENGAGE","✔",IF(AF27="EN COURS D'ENGAGEMENT","◕",IF(AF27="PREENGAGE","◑",IF(AF27="EN COURS DE PREENGAGEMENT","◔",IF(AF27="NON ENGAGE","✖","")))))</f>
        <v/>
      </c>
      <c r="B27" s="673" t="n">
        <v>2026</v>
      </c>
      <c r="C27" s="674" t="inlineStr">
        <is>
          <t>ARRIYADIA</t>
        </is>
      </c>
      <c r="D27" s="674" t="inlineStr">
        <is>
          <t>PV N° : 01RC2025- DCCCA</t>
        </is>
      </c>
      <c r="E27" s="675" t="inlineStr">
        <is>
          <t>CONTRAT</t>
        </is>
      </c>
      <c r="F27" s="675" t="n"/>
      <c r="G27" s="676" t="inlineStr">
        <is>
          <t>BRAHIM ABASALAH  -  Opérateur synthétiseur/créateur de pages de textes et logos destinés à l’habillage au titre et au sous-titrage des programmes de l’antenne.</t>
        </is>
      </c>
      <c r="H27" s="673" t="inlineStr">
        <is>
          <t>VALIDE</t>
        </is>
      </c>
      <c r="I27" s="675" t="inlineStr">
        <is>
          <t>APPROUVE</t>
        </is>
      </c>
      <c r="J27" s="675" t="n"/>
      <c r="K27" s="673" t="inlineStr">
        <is>
          <t>NON CONCERNE</t>
        </is>
      </c>
      <c r="L27" s="675" t="inlineStr">
        <is>
          <t>Ordinaire</t>
        </is>
      </c>
      <c r="M27" s="677" t="inlineStr">
        <is>
          <t>FONCTIONNEMENT</t>
        </is>
      </c>
      <c r="N27" s="678" t="inlineStr">
        <is>
          <t xml:space="preserve">Prestations de service
Achat prestations de services locales - personnes physiques </t>
        </is>
      </c>
      <c r="O27" s="679" t="n"/>
      <c r="P27" s="680" t="n"/>
      <c r="Q27" s="680" t="n"/>
      <c r="R27" s="675" t="inlineStr">
        <is>
          <t>RECONDUCTION</t>
        </is>
      </c>
      <c r="S27" s="681" t="n"/>
      <c r="T27" s="682" t="n"/>
      <c r="U27" s="683" t="inlineStr">
        <is>
          <t>BRAHIM ABASALAH</t>
        </is>
      </c>
      <c r="V27" s="675" t="n">
        <v>2026</v>
      </c>
      <c r="W27" s="682" t="n">
        <v>46022</v>
      </c>
      <c r="X27" s="682" t="n"/>
      <c r="Y27" s="682" t="n">
        <v>46024</v>
      </c>
      <c r="Z27" s="679" t="n">
        <v>144000</v>
      </c>
      <c r="AA27" s="680" t="n">
        <v>0</v>
      </c>
      <c r="AB27" s="680">
        <f>Z27</f>
        <v/>
      </c>
      <c r="AC27" s="680" t="n">
        <v>0</v>
      </c>
      <c r="AD27" s="680">
        <f>Z27</f>
        <v/>
      </c>
      <c r="AE27" s="680">
        <f>Z27</f>
        <v/>
      </c>
      <c r="AF27" s="684" t="inlineStr">
        <is>
          <t>ENGAGE</t>
        </is>
      </c>
      <c r="AG27" s="683" t="n"/>
      <c r="AH27" s="680" t="n"/>
      <c r="AI27" s="680" t="n"/>
      <c r="AJ27" s="680" t="n"/>
      <c r="AK27" s="680" t="n"/>
      <c r="AL27" s="685" t="n"/>
      <c r="AM27" s="685" t="n"/>
      <c r="AN27" s="683" t="inlineStr">
        <is>
          <t>Manque n° contrat</t>
        </is>
      </c>
      <c r="AO27" s="686" t="n"/>
      <c r="AP27" s="687" t="n"/>
      <c r="AQ27" s="688" t="n"/>
      <c r="AR27" s="688" t="n"/>
      <c r="AS27" s="23" t="n"/>
      <c r="AT27" s="688" t="n"/>
    </row>
    <row r="28" ht="46.5" customHeight="1" s="392">
      <c r="A28" s="672">
        <f>IF(AF28="ENGAGE","✔",IF(AF28="EN COURS D'ENGAGEMENT","◕",IF(AF28="PREENGAGE","◑",IF(AF28="EN COURS DE PREENGAGEMENT","◔",IF(AF28="NON ENGAGE","✖","")))))</f>
        <v/>
      </c>
      <c r="B28" s="673" t="n">
        <v>2026</v>
      </c>
      <c r="C28" s="674" t="inlineStr">
        <is>
          <t>ARRIYADIA</t>
        </is>
      </c>
      <c r="D28" s="674" t="inlineStr">
        <is>
          <t>PV N° : 01RC2025- DCCCA</t>
        </is>
      </c>
      <c r="E28" s="675" t="inlineStr">
        <is>
          <t>CONTRAT</t>
        </is>
      </c>
      <c r="F28" s="675" t="n"/>
      <c r="G28" s="676" t="inlineStr">
        <is>
          <t>YASSINE STITOU - Opérateur synthétiseur</t>
        </is>
      </c>
      <c r="H28" s="673" t="inlineStr">
        <is>
          <t>VALIDE</t>
        </is>
      </c>
      <c r="I28" s="675" t="inlineStr">
        <is>
          <t>APPROUVE</t>
        </is>
      </c>
      <c r="J28" s="675" t="n"/>
      <c r="K28" s="673" t="inlineStr">
        <is>
          <t>NON CONCERNE</t>
        </is>
      </c>
      <c r="L28" s="675" t="inlineStr">
        <is>
          <t>Ordinaire</t>
        </is>
      </c>
      <c r="M28" s="677" t="inlineStr">
        <is>
          <t>FONCTIONNEMENT</t>
        </is>
      </c>
      <c r="N28" s="678" t="inlineStr">
        <is>
          <t xml:space="preserve">Prestations de service
Achat prestations de services locales - personnes physiques </t>
        </is>
      </c>
      <c r="O28" s="679" t="n"/>
      <c r="P28" s="680" t="n"/>
      <c r="Q28" s="680" t="n"/>
      <c r="R28" s="675" t="inlineStr">
        <is>
          <t>RECONDUCTION</t>
        </is>
      </c>
      <c r="S28" s="681" t="n"/>
      <c r="T28" s="682" t="n"/>
      <c r="U28" s="683" t="inlineStr">
        <is>
          <t>YASSINE STITOU</t>
        </is>
      </c>
      <c r="V28" s="675" t="n">
        <v>2026</v>
      </c>
      <c r="W28" s="682" t="n">
        <v>46022</v>
      </c>
      <c r="X28" s="682" t="n"/>
      <c r="Y28" s="682" t="n">
        <v>46024</v>
      </c>
      <c r="Z28" s="679" t="n">
        <v>113142.48</v>
      </c>
      <c r="AA28" s="680" t="n">
        <v>0</v>
      </c>
      <c r="AB28" s="680">
        <f>Z28</f>
        <v/>
      </c>
      <c r="AC28" s="680" t="n">
        <v>0</v>
      </c>
      <c r="AD28" s="680">
        <f>Z28</f>
        <v/>
      </c>
      <c r="AE28" s="680">
        <f>Z28</f>
        <v/>
      </c>
      <c r="AF28" s="684" t="inlineStr">
        <is>
          <t>ENGAGE</t>
        </is>
      </c>
      <c r="AG28" s="683" t="n"/>
      <c r="AH28" s="680" t="n"/>
      <c r="AI28" s="680" t="n"/>
      <c r="AJ28" s="680" t="n"/>
      <c r="AK28" s="680" t="n"/>
      <c r="AL28" s="685" t="n"/>
      <c r="AM28" s="685" t="n"/>
      <c r="AN28" s="683" t="inlineStr">
        <is>
          <t>Manque n° contrat</t>
        </is>
      </c>
      <c r="AO28" s="686" t="n"/>
      <c r="AP28" s="687" t="n"/>
      <c r="AQ28" s="688" t="n"/>
      <c r="AR28" s="688" t="n"/>
      <c r="AS28" s="23" t="n"/>
      <c r="AT28" s="688" t="n"/>
    </row>
    <row r="29" ht="46.5" customHeight="1" s="392">
      <c r="A29" s="672">
        <f>IF(AF29="ENGAGE","✔",IF(AF29="EN COURS D'ENGAGEMENT","◕",IF(AF29="PREENGAGE","◑",IF(AF29="EN COURS DE PREENGAGEMENT","◔",IF(AF29="NON ENGAGE","✖","")))))</f>
        <v/>
      </c>
      <c r="B29" s="673" t="n">
        <v>2026</v>
      </c>
      <c r="C29" s="674" t="inlineStr">
        <is>
          <t>ARRIYADIA</t>
        </is>
      </c>
      <c r="D29" s="674" t="inlineStr">
        <is>
          <t>PV N° : 01RC2025- DCCCA</t>
        </is>
      </c>
      <c r="E29" s="675" t="inlineStr">
        <is>
          <t>CONTRAT</t>
        </is>
      </c>
      <c r="F29" s="675" t="n"/>
      <c r="G29" s="676" t="inlineStr">
        <is>
          <t>RACHID ABKARI  -  Opérateur de prise de son</t>
        </is>
      </c>
      <c r="H29" s="673" t="inlineStr">
        <is>
          <t>VALIDE</t>
        </is>
      </c>
      <c r="I29" s="675" t="inlineStr">
        <is>
          <t>APPROUVE</t>
        </is>
      </c>
      <c r="J29" s="675" t="n"/>
      <c r="K29" s="673" t="inlineStr">
        <is>
          <t>NON CONCERNE</t>
        </is>
      </c>
      <c r="L29" s="675" t="inlineStr">
        <is>
          <t>Ordinaire</t>
        </is>
      </c>
      <c r="M29" s="677" t="inlineStr">
        <is>
          <t>FONCTIONNEMENT</t>
        </is>
      </c>
      <c r="N29" s="678" t="inlineStr">
        <is>
          <t xml:space="preserve">Prestations de service
Achat prestations de services locales - personnes physiques </t>
        </is>
      </c>
      <c r="O29" s="679" t="n"/>
      <c r="P29" s="680" t="n"/>
      <c r="Q29" s="680" t="n"/>
      <c r="R29" s="675" t="inlineStr">
        <is>
          <t>RECONDUCTION</t>
        </is>
      </c>
      <c r="S29" s="681" t="n"/>
      <c r="T29" s="682" t="n"/>
      <c r="U29" s="683" t="inlineStr">
        <is>
          <t>RACHID ABKARI</t>
        </is>
      </c>
      <c r="V29" s="675" t="n">
        <v>2026</v>
      </c>
      <c r="W29" s="682" t="n">
        <v>46022</v>
      </c>
      <c r="X29" s="682" t="n"/>
      <c r="Y29" s="682" t="n">
        <v>46024</v>
      </c>
      <c r="Z29" s="679" t="n">
        <v>113142.48</v>
      </c>
      <c r="AA29" s="680" t="n">
        <v>0</v>
      </c>
      <c r="AB29" s="680">
        <f>Z29</f>
        <v/>
      </c>
      <c r="AC29" s="680" t="n">
        <v>0</v>
      </c>
      <c r="AD29" s="680">
        <f>Z29</f>
        <v/>
      </c>
      <c r="AE29" s="680">
        <f>Z29</f>
        <v/>
      </c>
      <c r="AF29" s="684" t="inlineStr">
        <is>
          <t>ENGAGE</t>
        </is>
      </c>
      <c r="AG29" s="683" t="n"/>
      <c r="AH29" s="680" t="n"/>
      <c r="AI29" s="680" t="n"/>
      <c r="AJ29" s="680" t="n"/>
      <c r="AK29" s="680" t="n"/>
      <c r="AL29" s="685" t="n"/>
      <c r="AM29" s="685" t="n"/>
      <c r="AN29" s="683" t="inlineStr">
        <is>
          <t>Manque n° contrat</t>
        </is>
      </c>
      <c r="AO29" s="686" t="n"/>
      <c r="AP29" s="687" t="n"/>
      <c r="AQ29" s="688" t="n"/>
      <c r="AR29" s="688" t="n"/>
      <c r="AS29" s="23" t="n"/>
      <c r="AT29" s="688" t="n"/>
    </row>
    <row r="30" ht="46.5" customHeight="1" s="392">
      <c r="A30" s="672">
        <f>IF(AF30="ENGAGE","✔",IF(AF30="EN COURS D'ENGAGEMENT","◕",IF(AF30="PREENGAGE","◑",IF(AF30="EN COURS DE PREENGAGEMENT","◔",IF(AF30="NON ENGAGE","✖","")))))</f>
        <v/>
      </c>
      <c r="B30" s="673" t="n">
        <v>2026</v>
      </c>
      <c r="C30" s="674" t="inlineStr">
        <is>
          <t>ARRIYADIA</t>
        </is>
      </c>
      <c r="D30" s="674" t="inlineStr">
        <is>
          <t>PV N° : 01RC2025- DCCCA</t>
        </is>
      </c>
      <c r="E30" s="675" t="inlineStr">
        <is>
          <t>CONTRAT</t>
        </is>
      </c>
      <c r="F30" s="675" t="n"/>
      <c r="G30" s="676" t="inlineStr">
        <is>
          <t>AMINE NEKI  -  Technicien coordinateur d'antenne TV</t>
        </is>
      </c>
      <c r="H30" s="673" t="inlineStr">
        <is>
          <t>VALIDE</t>
        </is>
      </c>
      <c r="I30" s="675" t="inlineStr">
        <is>
          <t>APPROUVE</t>
        </is>
      </c>
      <c r="J30" s="675" t="n"/>
      <c r="K30" s="673" t="inlineStr">
        <is>
          <t>NON CONCERNE</t>
        </is>
      </c>
      <c r="L30" s="675" t="inlineStr">
        <is>
          <t>Ordinaire</t>
        </is>
      </c>
      <c r="M30" s="677" t="inlineStr">
        <is>
          <t>FONCTIONNEMENT</t>
        </is>
      </c>
      <c r="N30" s="678" t="inlineStr">
        <is>
          <t xml:space="preserve">Prestations de service
Achat prestations de services locales - personnes physiques </t>
        </is>
      </c>
      <c r="O30" s="679" t="n"/>
      <c r="P30" s="680" t="n"/>
      <c r="Q30" s="680" t="n"/>
      <c r="R30" s="675" t="inlineStr">
        <is>
          <t>RECONDUCTION</t>
        </is>
      </c>
      <c r="S30" s="681" t="n"/>
      <c r="T30" s="682" t="n"/>
      <c r="U30" s="683" t="inlineStr">
        <is>
          <t>AMINE NEKI</t>
        </is>
      </c>
      <c r="V30" s="675" t="n">
        <v>2026</v>
      </c>
      <c r="W30" s="682" t="n">
        <v>46022</v>
      </c>
      <c r="X30" s="682" t="n"/>
      <c r="Y30" s="682" t="n">
        <v>46024</v>
      </c>
      <c r="Z30" s="679" t="n">
        <v>113142.48</v>
      </c>
      <c r="AA30" s="680" t="n">
        <v>0</v>
      </c>
      <c r="AB30" s="680">
        <f>Z30</f>
        <v/>
      </c>
      <c r="AC30" s="680" t="n">
        <v>0</v>
      </c>
      <c r="AD30" s="680">
        <f>Z30</f>
        <v/>
      </c>
      <c r="AE30" s="680">
        <f>Z30</f>
        <v/>
      </c>
      <c r="AF30" s="684" t="inlineStr">
        <is>
          <t>ENGAGE</t>
        </is>
      </c>
      <c r="AG30" s="683" t="n"/>
      <c r="AH30" s="680" t="n"/>
      <c r="AI30" s="680" t="n"/>
      <c r="AJ30" s="680" t="n"/>
      <c r="AK30" s="680" t="n"/>
      <c r="AL30" s="685" t="n"/>
      <c r="AM30" s="685" t="n"/>
      <c r="AN30" s="683" t="inlineStr">
        <is>
          <t>Manque n° contrat</t>
        </is>
      </c>
      <c r="AO30" s="686" t="n"/>
      <c r="AP30" s="687" t="n"/>
      <c r="AQ30" s="688" t="n"/>
      <c r="AR30" s="688" t="n"/>
      <c r="AS30" s="23" t="n"/>
      <c r="AT30" s="688" t="n"/>
    </row>
    <row r="31" ht="46.5" customHeight="1" s="392">
      <c r="A31" s="672">
        <f>IF(AF31="ENGAGE","✔",IF(AF31="EN COURS D'ENGAGEMENT","◕",IF(AF31="PREENGAGE","◑",IF(AF31="EN COURS DE PREENGAGEMENT","◔",IF(AF31="NON ENGAGE","✖","")))))</f>
        <v/>
      </c>
      <c r="B31" s="673" t="n">
        <v>2026</v>
      </c>
      <c r="C31" s="674" t="inlineStr">
        <is>
          <t>ARRIYADIA</t>
        </is>
      </c>
      <c r="D31" s="674" t="inlineStr">
        <is>
          <t>PV N° : 01RC2025- DCCCA</t>
        </is>
      </c>
      <c r="E31" s="675" t="inlineStr">
        <is>
          <t>CONTRAT</t>
        </is>
      </c>
      <c r="F31" s="675" t="n"/>
      <c r="G31" s="676" t="inlineStr">
        <is>
          <t>ANISS BENRIANE  -  Technicien coordinateur d'antenne TV</t>
        </is>
      </c>
      <c r="H31" s="673" t="inlineStr">
        <is>
          <t>VALIDE</t>
        </is>
      </c>
      <c r="I31" s="675" t="inlineStr">
        <is>
          <t>APPROUVE</t>
        </is>
      </c>
      <c r="J31" s="675" t="n"/>
      <c r="K31" s="673" t="inlineStr">
        <is>
          <t>NON CONCERNE</t>
        </is>
      </c>
      <c r="L31" s="675" t="inlineStr">
        <is>
          <t>Ordinaire</t>
        </is>
      </c>
      <c r="M31" s="677" t="inlineStr">
        <is>
          <t>FONCTIONNEMENT</t>
        </is>
      </c>
      <c r="N31" s="678" t="inlineStr">
        <is>
          <t xml:space="preserve">Prestations de service
Achat prestations de services locales - personnes physiques </t>
        </is>
      </c>
      <c r="O31" s="679" t="n"/>
      <c r="P31" s="680" t="n"/>
      <c r="Q31" s="680" t="n"/>
      <c r="R31" s="675" t="inlineStr">
        <is>
          <t>RECONDUCTION</t>
        </is>
      </c>
      <c r="S31" s="681" t="n"/>
      <c r="T31" s="682" t="n"/>
      <c r="U31" s="683" t="inlineStr">
        <is>
          <t>ANISS BENRIANE</t>
        </is>
      </c>
      <c r="V31" s="675" t="n">
        <v>2026</v>
      </c>
      <c r="W31" s="682" t="n">
        <v>46022</v>
      </c>
      <c r="X31" s="682" t="n"/>
      <c r="Y31" s="682" t="n">
        <v>46024</v>
      </c>
      <c r="Z31" s="679" t="n">
        <v>113142.48</v>
      </c>
      <c r="AA31" s="680" t="n">
        <v>0</v>
      </c>
      <c r="AB31" s="680">
        <f>Z31</f>
        <v/>
      </c>
      <c r="AC31" s="680" t="n">
        <v>0</v>
      </c>
      <c r="AD31" s="680">
        <f>Z31</f>
        <v/>
      </c>
      <c r="AE31" s="680">
        <f>Z31</f>
        <v/>
      </c>
      <c r="AF31" s="684" t="inlineStr">
        <is>
          <t>ENGAGE</t>
        </is>
      </c>
      <c r="AG31" s="683" t="n"/>
      <c r="AH31" s="680" t="n"/>
      <c r="AI31" s="680" t="n"/>
      <c r="AJ31" s="680" t="n"/>
      <c r="AK31" s="680" t="n"/>
      <c r="AL31" s="685" t="n"/>
      <c r="AM31" s="685" t="n"/>
      <c r="AN31" s="683" t="inlineStr">
        <is>
          <t>Manque n° contrat</t>
        </is>
      </c>
      <c r="AO31" s="686" t="n"/>
      <c r="AP31" s="687" t="n"/>
      <c r="AQ31" s="688" t="n"/>
      <c r="AR31" s="688" t="n"/>
      <c r="AS31" s="23" t="n"/>
      <c r="AT31" s="688" t="n"/>
    </row>
    <row r="32" ht="46.5" customHeight="1" s="392">
      <c r="A32" s="672">
        <f>IF(AF32="ENGAGE","✔",IF(AF32="EN COURS D'ENGAGEMENT","◕",IF(AF32="PREENGAGE","◑",IF(AF32="EN COURS DE PREENGAGEMENT","◔",IF(AF32="NON ENGAGE","✖","")))))</f>
        <v/>
      </c>
      <c r="B32" s="673" t="n">
        <v>2026</v>
      </c>
      <c r="C32" s="674" t="inlineStr">
        <is>
          <t>ARRIYADIA</t>
        </is>
      </c>
      <c r="D32" s="674" t="inlineStr">
        <is>
          <t>PV N° : 01RC2025- DCCCA</t>
        </is>
      </c>
      <c r="E32" s="675" t="inlineStr">
        <is>
          <t>CONTRAT</t>
        </is>
      </c>
      <c r="F32" s="675" t="n"/>
      <c r="G32" s="676" t="inlineStr">
        <is>
          <t>AHMED HOUBBANE  -  Journaliste présentateur TV/reporteur</t>
        </is>
      </c>
      <c r="H32" s="673" t="inlineStr">
        <is>
          <t>VALIDE</t>
        </is>
      </c>
      <c r="I32" s="675" t="inlineStr">
        <is>
          <t>APPROUVE</t>
        </is>
      </c>
      <c r="J32" s="675" t="n"/>
      <c r="K32" s="673" t="inlineStr">
        <is>
          <t>NON CONCERNE</t>
        </is>
      </c>
      <c r="L32" s="675" t="inlineStr">
        <is>
          <t>Ordinaire</t>
        </is>
      </c>
      <c r="M32" s="677" t="inlineStr">
        <is>
          <t>FONCTIONNEMENT</t>
        </is>
      </c>
      <c r="N32" s="678" t="inlineStr">
        <is>
          <t xml:space="preserve">Prestations de service
Achat prestations de services locales - personnes physiques </t>
        </is>
      </c>
      <c r="O32" s="679" t="n"/>
      <c r="P32" s="680" t="n"/>
      <c r="Q32" s="680" t="n"/>
      <c r="R32" s="675" t="inlineStr">
        <is>
          <t>RECONDUCTION</t>
        </is>
      </c>
      <c r="S32" s="681" t="n"/>
      <c r="T32" s="682" t="n"/>
      <c r="U32" s="683" t="inlineStr">
        <is>
          <t>AHMED HOUBBANE</t>
        </is>
      </c>
      <c r="V32" s="675" t="n">
        <v>2026</v>
      </c>
      <c r="W32" s="682" t="n">
        <v>46022</v>
      </c>
      <c r="X32" s="682" t="n"/>
      <c r="Y32" s="682" t="n">
        <v>46024</v>
      </c>
      <c r="Z32" s="679" t="n">
        <v>144000</v>
      </c>
      <c r="AA32" s="680" t="n">
        <v>0</v>
      </c>
      <c r="AB32" s="680">
        <f>Z32</f>
        <v/>
      </c>
      <c r="AC32" s="680" t="n">
        <v>0</v>
      </c>
      <c r="AD32" s="680">
        <f>Z32</f>
        <v/>
      </c>
      <c r="AE32" s="680">
        <f>Z32</f>
        <v/>
      </c>
      <c r="AF32" s="684" t="inlineStr">
        <is>
          <t>ENGAGE</t>
        </is>
      </c>
      <c r="AG32" s="683" t="n"/>
      <c r="AH32" s="680" t="n"/>
      <c r="AI32" s="680" t="n"/>
      <c r="AJ32" s="680" t="n"/>
      <c r="AK32" s="680" t="n"/>
      <c r="AL32" s="685" t="n"/>
      <c r="AM32" s="685" t="n"/>
      <c r="AN32" s="683" t="inlineStr">
        <is>
          <t>Manque n° contrat</t>
        </is>
      </c>
      <c r="AO32" s="686" t="n"/>
      <c r="AP32" s="687" t="n"/>
      <c r="AQ32" s="688" t="n"/>
      <c r="AR32" s="688" t="n"/>
      <c r="AS32" s="23" t="n"/>
      <c r="AT32" s="688" t="n"/>
    </row>
    <row r="33" ht="46.5" customHeight="1" s="392">
      <c r="A33" s="672">
        <f>IF(AF33="ENGAGE","✔",IF(AF33="EN COURS D'ENGAGEMENT","◕",IF(AF33="PREENGAGE","◑",IF(AF33="EN COURS DE PREENGAGEMENT","◔",IF(AF33="NON ENGAGE","✖","")))))</f>
        <v/>
      </c>
      <c r="B33" s="673" t="n">
        <v>2026</v>
      </c>
      <c r="C33" s="674" t="inlineStr">
        <is>
          <t>ARRIYADIA</t>
        </is>
      </c>
      <c r="D33" s="674" t="inlineStr">
        <is>
          <t>PV N° : 01RC2025- DCCCA</t>
        </is>
      </c>
      <c r="E33" s="675" t="inlineStr">
        <is>
          <t>CONTRAT</t>
        </is>
      </c>
      <c r="F33" s="675" t="n"/>
      <c r="G33" s="676" t="inlineStr">
        <is>
          <t>OMAYRA MOUKRAM  -  Journaliste présentateur TV</t>
        </is>
      </c>
      <c r="H33" s="673" t="inlineStr">
        <is>
          <t>VALIDE</t>
        </is>
      </c>
      <c r="I33" s="675" t="inlineStr">
        <is>
          <t>APPROUVE</t>
        </is>
      </c>
      <c r="J33" s="675" t="n"/>
      <c r="K33" s="673" t="inlineStr">
        <is>
          <t>NON CONCERNE</t>
        </is>
      </c>
      <c r="L33" s="675" t="inlineStr">
        <is>
          <t>Ordinaire</t>
        </is>
      </c>
      <c r="M33" s="677" t="inlineStr">
        <is>
          <t>FONCTIONNEMENT</t>
        </is>
      </c>
      <c r="N33" s="678" t="inlineStr">
        <is>
          <t xml:space="preserve">Prestations de service
Achat prestations de services locales - personnes physiques </t>
        </is>
      </c>
      <c r="O33" s="679" t="n"/>
      <c r="P33" s="680" t="n"/>
      <c r="Q33" s="680" t="n"/>
      <c r="R33" s="675" t="inlineStr">
        <is>
          <t>RECONDUCTION</t>
        </is>
      </c>
      <c r="S33" s="681" t="n"/>
      <c r="T33" s="682" t="n"/>
      <c r="U33" s="683" t="inlineStr">
        <is>
          <t>OMAYRA MOUKRAM</t>
        </is>
      </c>
      <c r="V33" s="675" t="n">
        <v>2026</v>
      </c>
      <c r="W33" s="682" t="n">
        <v>46022</v>
      </c>
      <c r="X33" s="682" t="n"/>
      <c r="Y33" s="682" t="n">
        <v>46024</v>
      </c>
      <c r="Z33" s="679" t="n">
        <v>113142.48</v>
      </c>
      <c r="AA33" s="680" t="n">
        <v>0</v>
      </c>
      <c r="AB33" s="680">
        <f>Z33</f>
        <v/>
      </c>
      <c r="AC33" s="680" t="n">
        <v>0</v>
      </c>
      <c r="AD33" s="680">
        <f>Z33</f>
        <v/>
      </c>
      <c r="AE33" s="680">
        <f>Z33</f>
        <v/>
      </c>
      <c r="AF33" s="684" t="inlineStr">
        <is>
          <t>ENGAGE</t>
        </is>
      </c>
      <c r="AG33" s="683" t="n"/>
      <c r="AH33" s="680" t="n"/>
      <c r="AI33" s="680" t="n"/>
      <c r="AJ33" s="680" t="n"/>
      <c r="AK33" s="680" t="n"/>
      <c r="AL33" s="685" t="n"/>
      <c r="AM33" s="685" t="n"/>
      <c r="AN33" s="683" t="inlineStr">
        <is>
          <t>Manque n° contrat</t>
        </is>
      </c>
      <c r="AO33" s="686" t="n"/>
      <c r="AP33" s="687" t="n"/>
      <c r="AQ33" s="688" t="n"/>
      <c r="AR33" s="688" t="n"/>
      <c r="AS33" s="23" t="n"/>
      <c r="AT33" s="688" t="n"/>
    </row>
    <row r="34" ht="46.5" customHeight="1" s="392">
      <c r="A34" s="672">
        <f>IF(AF34="ENGAGE","✔",IF(AF34="EN COURS D'ENGAGEMENT","◕",IF(AF34="PREENGAGE","◑",IF(AF34="EN COURS DE PREENGAGEMENT","◔",IF(AF34="NON ENGAGE","✖","")))))</f>
        <v/>
      </c>
      <c r="B34" s="673" t="n">
        <v>2026</v>
      </c>
      <c r="C34" s="674" t="inlineStr">
        <is>
          <t>ARRIYADIA</t>
        </is>
      </c>
      <c r="D34" s="674" t="inlineStr">
        <is>
          <t>PV N° : 01RC2025- DCCCA</t>
        </is>
      </c>
      <c r="E34" s="675" t="inlineStr">
        <is>
          <t>CONTRAT</t>
        </is>
      </c>
      <c r="F34" s="675" t="n"/>
      <c r="G34" s="676" t="inlineStr">
        <is>
          <t>AYOUB ADIB  -  Journaliste animateur</t>
        </is>
      </c>
      <c r="H34" s="673" t="inlineStr">
        <is>
          <t>VALIDE</t>
        </is>
      </c>
      <c r="I34" s="675" t="inlineStr">
        <is>
          <t>APPROUVE</t>
        </is>
      </c>
      <c r="J34" s="675" t="n"/>
      <c r="K34" s="673" t="inlineStr">
        <is>
          <t>NON CONCERNE</t>
        </is>
      </c>
      <c r="L34" s="675" t="inlineStr">
        <is>
          <t>Ordinaire</t>
        </is>
      </c>
      <c r="M34" s="677" t="inlineStr">
        <is>
          <t>FONCTIONNEMENT</t>
        </is>
      </c>
      <c r="N34" s="678" t="inlineStr">
        <is>
          <t xml:space="preserve">Prestations de service
Achat prestations de services locales - personnes physiques </t>
        </is>
      </c>
      <c r="O34" s="679" t="n"/>
      <c r="P34" s="680" t="n"/>
      <c r="Q34" s="680" t="n"/>
      <c r="R34" s="675" t="inlineStr">
        <is>
          <t>RECONDUCTION</t>
        </is>
      </c>
      <c r="S34" s="681" t="n"/>
      <c r="T34" s="682" t="n"/>
      <c r="U34" s="683" t="inlineStr">
        <is>
          <t>AYOUB ADIB</t>
        </is>
      </c>
      <c r="V34" s="675" t="n">
        <v>2026</v>
      </c>
      <c r="W34" s="682" t="n">
        <v>46022</v>
      </c>
      <c r="X34" s="682" t="n"/>
      <c r="Y34" s="682" t="n">
        <v>46024</v>
      </c>
      <c r="Z34" s="679" t="n">
        <v>113142.48</v>
      </c>
      <c r="AA34" s="680" t="n">
        <v>0</v>
      </c>
      <c r="AB34" s="680">
        <f>Z34</f>
        <v/>
      </c>
      <c r="AC34" s="680" t="n">
        <v>0</v>
      </c>
      <c r="AD34" s="680">
        <f>Z34</f>
        <v/>
      </c>
      <c r="AE34" s="680">
        <f>Z34</f>
        <v/>
      </c>
      <c r="AF34" s="684" t="inlineStr">
        <is>
          <t>ENGAGE</t>
        </is>
      </c>
      <c r="AG34" s="683" t="n"/>
      <c r="AH34" s="680" t="n"/>
      <c r="AI34" s="680" t="n"/>
      <c r="AJ34" s="680" t="n"/>
      <c r="AK34" s="680" t="n"/>
      <c r="AL34" s="685" t="n"/>
      <c r="AM34" s="685" t="n"/>
      <c r="AN34" s="683" t="inlineStr">
        <is>
          <t>Manque n° contrat</t>
        </is>
      </c>
      <c r="AO34" s="686" t="n"/>
      <c r="AP34" s="687" t="n"/>
      <c r="AQ34" s="688" t="n"/>
      <c r="AR34" s="688" t="n"/>
      <c r="AS34" s="23" t="n"/>
      <c r="AT34" s="688" t="n"/>
    </row>
    <row r="35" ht="46.5" customHeight="1" s="392">
      <c r="A35" s="672">
        <f>IF(AF35="ENGAGE","✔",IF(AF35="EN COURS D'ENGAGEMENT","◕",IF(AF35="PREENGAGE","◑",IF(AF35="EN COURS DE PREENGAGEMENT","◔",IF(AF35="NON ENGAGE","✖","")))))</f>
        <v/>
      </c>
      <c r="B35" s="673" t="n">
        <v>2026</v>
      </c>
      <c r="C35" s="674" t="inlineStr">
        <is>
          <t>ARRIYADIA</t>
        </is>
      </c>
      <c r="D35" s="674" t="inlineStr">
        <is>
          <t>PV N° : 01RC2025- DCCCA</t>
        </is>
      </c>
      <c r="E35" s="675" t="inlineStr">
        <is>
          <t>CONTRAT</t>
        </is>
      </c>
      <c r="F35" s="675" t="n"/>
      <c r="G35" s="676" t="inlineStr">
        <is>
          <t>ABDELOUAHED INCHA-ALLAH  -  Journaliste reporteur d'image</t>
        </is>
      </c>
      <c r="H35" s="673" t="inlineStr">
        <is>
          <t>VALIDE</t>
        </is>
      </c>
      <c r="I35" s="675" t="inlineStr">
        <is>
          <t>APPROUVE</t>
        </is>
      </c>
      <c r="J35" s="675" t="n"/>
      <c r="K35" s="673" t="inlineStr">
        <is>
          <t>NON CONCERNE</t>
        </is>
      </c>
      <c r="L35" s="675" t="inlineStr">
        <is>
          <t>Ordinaire</t>
        </is>
      </c>
      <c r="M35" s="677" t="inlineStr">
        <is>
          <t>FONCTIONNEMENT</t>
        </is>
      </c>
      <c r="N35" s="678" t="inlineStr">
        <is>
          <t xml:space="preserve">Prestations de service
Achat prestations de services locales - personnes physiques </t>
        </is>
      </c>
      <c r="O35" s="679" t="n"/>
      <c r="P35" s="680" t="n"/>
      <c r="Q35" s="680" t="n"/>
      <c r="R35" s="675" t="inlineStr">
        <is>
          <t>RECONDUCTION</t>
        </is>
      </c>
      <c r="S35" s="681" t="n"/>
      <c r="T35" s="682" t="n"/>
      <c r="U35" s="683" t="inlineStr">
        <is>
          <t>ABDELOUAHED INCHA-ALLAH</t>
        </is>
      </c>
      <c r="V35" s="675" t="n">
        <v>2026</v>
      </c>
      <c r="W35" s="682" t="n">
        <v>46022</v>
      </c>
      <c r="X35" s="682" t="n"/>
      <c r="Y35" s="682" t="n">
        <v>46024</v>
      </c>
      <c r="Z35" s="679" t="n">
        <v>113142.48</v>
      </c>
      <c r="AA35" s="680" t="n">
        <v>0</v>
      </c>
      <c r="AB35" s="680">
        <f>Z35</f>
        <v/>
      </c>
      <c r="AC35" s="680" t="n">
        <v>0</v>
      </c>
      <c r="AD35" s="680">
        <f>Z35</f>
        <v/>
      </c>
      <c r="AE35" s="680">
        <f>Z35</f>
        <v/>
      </c>
      <c r="AF35" s="684" t="inlineStr">
        <is>
          <t>ENGAGE</t>
        </is>
      </c>
      <c r="AG35" s="683" t="n"/>
      <c r="AH35" s="680" t="n"/>
      <c r="AI35" s="680" t="n"/>
      <c r="AJ35" s="680" t="n"/>
      <c r="AK35" s="680" t="n"/>
      <c r="AL35" s="685" t="n"/>
      <c r="AM35" s="685" t="n"/>
      <c r="AN35" s="683" t="inlineStr">
        <is>
          <t>Manque n° contrat</t>
        </is>
      </c>
      <c r="AO35" s="686" t="n"/>
      <c r="AP35" s="687" t="n"/>
      <c r="AQ35" s="688" t="n"/>
      <c r="AR35" s="688" t="n"/>
      <c r="AS35" s="23" t="n"/>
      <c r="AT35" s="688" t="n"/>
    </row>
    <row r="36" ht="46.5" customHeight="1" s="392">
      <c r="A36" s="672">
        <f>IF(AF36="ENGAGE","✔",IF(AF36="EN COURS D'ENGAGEMENT","◕",IF(AF36="PREENGAGE","◑",IF(AF36="EN COURS DE PREENGAGEMENT","◔",IF(AF36="NON ENGAGE","✖","")))))</f>
        <v/>
      </c>
      <c r="B36" s="673" t="n">
        <v>2026</v>
      </c>
      <c r="C36" s="674" t="inlineStr">
        <is>
          <t>ARRIYADIA</t>
        </is>
      </c>
      <c r="D36" s="674" t="inlineStr">
        <is>
          <t>PV N° : 01RC2025- DCCCA</t>
        </is>
      </c>
      <c r="E36" s="675" t="inlineStr">
        <is>
          <t>CONTRAT</t>
        </is>
      </c>
      <c r="F36" s="675" t="n"/>
      <c r="G36" s="676" t="inlineStr">
        <is>
          <t>SARA BELATTAR  -  Scripte</t>
        </is>
      </c>
      <c r="H36" s="673" t="inlineStr">
        <is>
          <t>VALIDE</t>
        </is>
      </c>
      <c r="I36" s="675" t="inlineStr">
        <is>
          <t>APPROUVE</t>
        </is>
      </c>
      <c r="J36" s="675" t="n"/>
      <c r="K36" s="673" t="inlineStr">
        <is>
          <t>NON CONCERNE</t>
        </is>
      </c>
      <c r="L36" s="675" t="inlineStr">
        <is>
          <t>Ordinaire</t>
        </is>
      </c>
      <c r="M36" s="677" t="inlineStr">
        <is>
          <t>FONCTIONNEMENT</t>
        </is>
      </c>
      <c r="N36" s="678" t="inlineStr">
        <is>
          <t xml:space="preserve">Prestations de service
Achat prestations de services locales - personnes physiques </t>
        </is>
      </c>
      <c r="O36" s="679" t="n"/>
      <c r="P36" s="680" t="n"/>
      <c r="Q36" s="680" t="n"/>
      <c r="R36" s="675" t="inlineStr">
        <is>
          <t>RECONDUCTION</t>
        </is>
      </c>
      <c r="S36" s="681" t="n"/>
      <c r="T36" s="682" t="n"/>
      <c r="U36" s="683" t="inlineStr">
        <is>
          <t>SARA BELATTAR</t>
        </is>
      </c>
      <c r="V36" s="675" t="n">
        <v>2026</v>
      </c>
      <c r="W36" s="682" t="n">
        <v>46022</v>
      </c>
      <c r="X36" s="682" t="n"/>
      <c r="Y36" s="682" t="n">
        <v>46024</v>
      </c>
      <c r="Z36" s="679" t="n">
        <v>113142.48</v>
      </c>
      <c r="AA36" s="680" t="n">
        <v>0</v>
      </c>
      <c r="AB36" s="680">
        <f>Z36</f>
        <v/>
      </c>
      <c r="AC36" s="680" t="n">
        <v>0</v>
      </c>
      <c r="AD36" s="680">
        <f>Z36</f>
        <v/>
      </c>
      <c r="AE36" s="680">
        <f>Z36</f>
        <v/>
      </c>
      <c r="AF36" s="684" t="inlineStr">
        <is>
          <t>ENGAGE</t>
        </is>
      </c>
      <c r="AG36" s="683" t="n"/>
      <c r="AH36" s="680" t="n"/>
      <c r="AI36" s="680" t="n"/>
      <c r="AJ36" s="680" t="n"/>
      <c r="AK36" s="680" t="n"/>
      <c r="AL36" s="685" t="n"/>
      <c r="AM36" s="685" t="n"/>
      <c r="AN36" s="683" t="inlineStr">
        <is>
          <t>Manque n° contrat</t>
        </is>
      </c>
      <c r="AO36" s="686" t="n"/>
      <c r="AP36" s="687" t="n"/>
      <c r="AQ36" s="688" t="n"/>
      <c r="AR36" s="688" t="n"/>
      <c r="AS36" s="23" t="n"/>
      <c r="AT36" s="688" t="n"/>
    </row>
    <row r="37" ht="46.5" customHeight="1" s="392">
      <c r="A37" s="672">
        <f>IF(AF37="ENGAGE","✔",IF(AF37="EN COURS D'ENGAGEMENT","◕",IF(AF37="PREENGAGE","◑",IF(AF37="EN COURS DE PREENGAGEMENT","◔",IF(AF37="NON ENGAGE","✖","")))))</f>
        <v/>
      </c>
      <c r="B37" s="673" t="n">
        <v>2026</v>
      </c>
      <c r="C37" s="674" t="inlineStr">
        <is>
          <t>ARRIYADIA</t>
        </is>
      </c>
      <c r="D37" s="674" t="inlineStr">
        <is>
          <t>PV N° : 01RC2025- DCCCA</t>
        </is>
      </c>
      <c r="E37" s="675" t="inlineStr">
        <is>
          <t>CONTRAT</t>
        </is>
      </c>
      <c r="F37" s="675" t="n"/>
      <c r="G37" s="676" t="inlineStr">
        <is>
          <t>TAOUFIK EL AMRANI EL HANCHI  -  responsable site web</t>
        </is>
      </c>
      <c r="H37" s="673" t="inlineStr">
        <is>
          <t>VALIDE</t>
        </is>
      </c>
      <c r="I37" s="675" t="inlineStr">
        <is>
          <t>APPROUVE</t>
        </is>
      </c>
      <c r="J37" s="675" t="n"/>
      <c r="K37" s="673" t="inlineStr">
        <is>
          <t>NON CONCERNE</t>
        </is>
      </c>
      <c r="L37" s="675" t="inlineStr">
        <is>
          <t>Ordinaire</t>
        </is>
      </c>
      <c r="M37" s="677" t="inlineStr">
        <is>
          <t>FONCTIONNEMENT</t>
        </is>
      </c>
      <c r="N37" s="678" t="inlineStr">
        <is>
          <t xml:space="preserve">Prestations de service
Achat prestations de services locales - personnes physiques </t>
        </is>
      </c>
      <c r="O37" s="679" t="n"/>
      <c r="P37" s="680" t="n"/>
      <c r="Q37" s="680" t="n"/>
      <c r="R37" s="675" t="inlineStr">
        <is>
          <t>RECONDUCTION</t>
        </is>
      </c>
      <c r="S37" s="681" t="n"/>
      <c r="T37" s="682" t="n"/>
      <c r="U37" s="683" t="inlineStr">
        <is>
          <t>TAOUFIK EL AMRANI EL HANCHI</t>
        </is>
      </c>
      <c r="V37" s="675" t="n">
        <v>2026</v>
      </c>
      <c r="W37" s="682" t="n">
        <v>46022</v>
      </c>
      <c r="X37" s="682" t="n"/>
      <c r="Y37" s="682" t="n">
        <v>46024</v>
      </c>
      <c r="Z37" s="679" t="n">
        <v>204000</v>
      </c>
      <c r="AA37" s="680" t="n">
        <v>0</v>
      </c>
      <c r="AB37" s="680">
        <f>Z37</f>
        <v/>
      </c>
      <c r="AC37" s="680" t="n">
        <v>0</v>
      </c>
      <c r="AD37" s="680">
        <f>Z37</f>
        <v/>
      </c>
      <c r="AE37" s="680">
        <f>Z37</f>
        <v/>
      </c>
      <c r="AF37" s="684" t="inlineStr">
        <is>
          <t>ENGAGE</t>
        </is>
      </c>
      <c r="AG37" s="683" t="n"/>
      <c r="AH37" s="680" t="n"/>
      <c r="AI37" s="680" t="n"/>
      <c r="AJ37" s="680" t="n"/>
      <c r="AK37" s="680" t="n"/>
      <c r="AL37" s="685" t="n"/>
      <c r="AM37" s="685" t="n"/>
      <c r="AN37" s="683" t="inlineStr">
        <is>
          <t>Manque n° contrat</t>
        </is>
      </c>
      <c r="AO37" s="686" t="n"/>
      <c r="AP37" s="687" t="n"/>
      <c r="AQ37" s="688" t="n"/>
      <c r="AR37" s="688" t="n"/>
      <c r="AS37" s="23" t="n"/>
      <c r="AT37" s="688" t="n"/>
    </row>
    <row r="38" ht="46.5" customHeight="1" s="392">
      <c r="A38" s="672">
        <f>IF(AF38="ENGAGE","✔",IF(AF38="EN COURS D'ENGAGEMENT","◕",IF(AF38="PREENGAGE","◑",IF(AF38="EN COURS DE PREENGAGEMENT","◔",IF(AF38="NON ENGAGE","✖","")))))</f>
        <v/>
      </c>
      <c r="B38" s="673" t="n">
        <v>2026</v>
      </c>
      <c r="C38" s="674" t="inlineStr">
        <is>
          <t>ARRIYADIA</t>
        </is>
      </c>
      <c r="D38" s="674" t="inlineStr">
        <is>
          <t>PV N° : 01RC2025- DCCCA</t>
        </is>
      </c>
      <c r="E38" s="675" t="inlineStr">
        <is>
          <t>CONTRAT</t>
        </is>
      </c>
      <c r="F38" s="675" t="n"/>
      <c r="G38" s="676" t="inlineStr">
        <is>
          <t>AHMED NAIM  -  Journaliste web sénior</t>
        </is>
      </c>
      <c r="H38" s="673" t="inlineStr">
        <is>
          <t>VALIDE</t>
        </is>
      </c>
      <c r="I38" s="675" t="inlineStr">
        <is>
          <t>APPROUVE</t>
        </is>
      </c>
      <c r="J38" s="675" t="n"/>
      <c r="K38" s="673" t="inlineStr">
        <is>
          <t>NON CONCERNE</t>
        </is>
      </c>
      <c r="L38" s="675" t="inlineStr">
        <is>
          <t>Ordinaire</t>
        </is>
      </c>
      <c r="M38" s="677" t="inlineStr">
        <is>
          <t>FONCTIONNEMENT</t>
        </is>
      </c>
      <c r="N38" s="678" t="inlineStr">
        <is>
          <t xml:space="preserve">Prestations de service
Achat prestations de services locales - personnes physiques </t>
        </is>
      </c>
      <c r="O38" s="679" t="n"/>
      <c r="P38" s="680" t="n"/>
      <c r="Q38" s="680" t="n"/>
      <c r="R38" s="675" t="inlineStr">
        <is>
          <t>RECONDUCTION</t>
        </is>
      </c>
      <c r="S38" s="681" t="n"/>
      <c r="T38" s="682" t="n"/>
      <c r="U38" s="683" t="inlineStr">
        <is>
          <t>AHMED NAIM</t>
        </is>
      </c>
      <c r="V38" s="675" t="n">
        <v>2026</v>
      </c>
      <c r="W38" s="682" t="n">
        <v>46022</v>
      </c>
      <c r="X38" s="682" t="n"/>
      <c r="Y38" s="682" t="n">
        <v>46024</v>
      </c>
      <c r="Z38" s="679" t="n">
        <v>180000</v>
      </c>
      <c r="AA38" s="680" t="n">
        <v>0</v>
      </c>
      <c r="AB38" s="680">
        <f>Z38</f>
        <v/>
      </c>
      <c r="AC38" s="680" t="n">
        <v>0</v>
      </c>
      <c r="AD38" s="680">
        <f>Z38</f>
        <v/>
      </c>
      <c r="AE38" s="680">
        <f>Z38</f>
        <v/>
      </c>
      <c r="AF38" s="684" t="inlineStr">
        <is>
          <t>ENGAGE</t>
        </is>
      </c>
      <c r="AG38" s="683" t="n"/>
      <c r="AH38" s="680" t="n"/>
      <c r="AI38" s="680" t="n"/>
      <c r="AJ38" s="680" t="n"/>
      <c r="AK38" s="680" t="n"/>
      <c r="AL38" s="685" t="n"/>
      <c r="AM38" s="685" t="n"/>
      <c r="AN38" s="683" t="inlineStr">
        <is>
          <t>Manque n° contrat</t>
        </is>
      </c>
      <c r="AO38" s="686" t="n"/>
      <c r="AP38" s="687" t="n"/>
      <c r="AQ38" s="688" t="n"/>
      <c r="AR38" s="688" t="n"/>
      <c r="AS38" s="23" t="n"/>
      <c r="AT38" s="688" t="n"/>
    </row>
    <row r="39" ht="46.5" customHeight="1" s="392">
      <c r="A39" s="672">
        <f>IF(AF39="ENGAGE","✔",IF(AF39="EN COURS D'ENGAGEMENT","◕",IF(AF39="PREENGAGE","◑",IF(AF39="EN COURS DE PREENGAGEMENT","◔",IF(AF39="NON ENGAGE","✖","")))))</f>
        <v/>
      </c>
      <c r="B39" s="673" t="n">
        <v>2026</v>
      </c>
      <c r="C39" s="674" t="inlineStr">
        <is>
          <t>ARRIYADIA</t>
        </is>
      </c>
      <c r="D39" s="674" t="inlineStr">
        <is>
          <t>PV N° : 01RC2025- DCCCA</t>
        </is>
      </c>
      <c r="E39" s="675" t="inlineStr">
        <is>
          <t>CONTRAT</t>
        </is>
      </c>
      <c r="F39" s="675" t="n"/>
      <c r="G39" s="676" t="inlineStr">
        <is>
          <t>SAID AKDAD  -  Journaliste web</t>
        </is>
      </c>
      <c r="H39" s="673" t="inlineStr">
        <is>
          <t>VALIDE</t>
        </is>
      </c>
      <c r="I39" s="675" t="inlineStr">
        <is>
          <t>APPROUVE</t>
        </is>
      </c>
      <c r="J39" s="675" t="n"/>
      <c r="K39" s="673" t="inlineStr">
        <is>
          <t>NON CONCERNE</t>
        </is>
      </c>
      <c r="L39" s="675" t="inlineStr">
        <is>
          <t>Ordinaire</t>
        </is>
      </c>
      <c r="M39" s="677" t="inlineStr">
        <is>
          <t>FONCTIONNEMENT</t>
        </is>
      </c>
      <c r="N39" s="678" t="inlineStr">
        <is>
          <t xml:space="preserve">Prestations de service
Achat prestations de services locales - personnes physiques </t>
        </is>
      </c>
      <c r="O39" s="679" t="n"/>
      <c r="P39" s="680" t="n"/>
      <c r="Q39" s="680" t="n"/>
      <c r="R39" s="675" t="inlineStr">
        <is>
          <t>RECONDUCTION</t>
        </is>
      </c>
      <c r="S39" s="681" t="n"/>
      <c r="T39" s="682" t="n"/>
      <c r="U39" s="683" t="inlineStr">
        <is>
          <t>SAID AKDAD</t>
        </is>
      </c>
      <c r="V39" s="675" t="n">
        <v>2026</v>
      </c>
      <c r="W39" s="682" t="n">
        <v>46022</v>
      </c>
      <c r="X39" s="682" t="n"/>
      <c r="Y39" s="682" t="n">
        <v>46024</v>
      </c>
      <c r="Z39" s="679" t="n">
        <v>144000</v>
      </c>
      <c r="AA39" s="680" t="n">
        <v>0</v>
      </c>
      <c r="AB39" s="680">
        <f>Z39</f>
        <v/>
      </c>
      <c r="AC39" s="680" t="n">
        <v>0</v>
      </c>
      <c r="AD39" s="680">
        <f>Z39</f>
        <v/>
      </c>
      <c r="AE39" s="680">
        <f>Z39</f>
        <v/>
      </c>
      <c r="AF39" s="684" t="inlineStr">
        <is>
          <t>ENGAGE</t>
        </is>
      </c>
      <c r="AG39" s="683" t="n"/>
      <c r="AH39" s="680" t="n"/>
      <c r="AI39" s="680" t="n"/>
      <c r="AJ39" s="680" t="n"/>
      <c r="AK39" s="680" t="n"/>
      <c r="AL39" s="685" t="n"/>
      <c r="AM39" s="685" t="n"/>
      <c r="AN39" s="683" t="inlineStr">
        <is>
          <t>Manque n° contrat</t>
        </is>
      </c>
      <c r="AO39" s="686" t="n"/>
      <c r="AP39" s="687" t="n"/>
      <c r="AQ39" s="688" t="n"/>
      <c r="AR39" s="688" t="n"/>
      <c r="AS39" s="23" t="n"/>
      <c r="AT39" s="688" t="n"/>
    </row>
    <row r="40" ht="46.5" customHeight="1" s="392">
      <c r="A40" s="672">
        <f>IF(AF40="ENGAGE","✔",IF(AF40="EN COURS D'ENGAGEMENT","◕",IF(AF40="PREENGAGE","◑",IF(AF40="EN COURS DE PREENGAGEMENT","◔",IF(AF40="NON ENGAGE","✖","")))))</f>
        <v/>
      </c>
      <c r="B40" s="673" t="n">
        <v>2026</v>
      </c>
      <c r="C40" s="674" t="inlineStr">
        <is>
          <t>ARRIYADIA</t>
        </is>
      </c>
      <c r="D40" s="674" t="inlineStr">
        <is>
          <t>PV N° : 01RC2025- DCCCA</t>
        </is>
      </c>
      <c r="E40" s="675" t="inlineStr">
        <is>
          <t>CONTRAT</t>
        </is>
      </c>
      <c r="F40" s="675" t="n"/>
      <c r="G40" s="676" t="inlineStr">
        <is>
          <t>JAMAL ASTAIFI  -  Journaliste web</t>
        </is>
      </c>
      <c r="H40" s="673" t="inlineStr">
        <is>
          <t>VALIDE</t>
        </is>
      </c>
      <c r="I40" s="675" t="inlineStr">
        <is>
          <t>APPROUVE</t>
        </is>
      </c>
      <c r="J40" s="675" t="n"/>
      <c r="K40" s="673" t="inlineStr">
        <is>
          <t>NON CONCERNE</t>
        </is>
      </c>
      <c r="L40" s="675" t="inlineStr">
        <is>
          <t>Ordinaire</t>
        </is>
      </c>
      <c r="M40" s="677" t="inlineStr">
        <is>
          <t>FONCTIONNEMENT</t>
        </is>
      </c>
      <c r="N40" s="678" t="inlineStr">
        <is>
          <t xml:space="preserve">Prestations de service
Achat prestations de services locales - personnes physiques </t>
        </is>
      </c>
      <c r="O40" s="679" t="n"/>
      <c r="P40" s="680" t="n"/>
      <c r="Q40" s="680" t="n"/>
      <c r="R40" s="675" t="inlineStr">
        <is>
          <t>RECONDUCTION</t>
        </is>
      </c>
      <c r="S40" s="681" t="n"/>
      <c r="T40" s="682" t="n"/>
      <c r="U40" s="683" t="inlineStr">
        <is>
          <t>JAMAL ASTAIFI</t>
        </is>
      </c>
      <c r="V40" s="675" t="n">
        <v>2026</v>
      </c>
      <c r="W40" s="682" t="n">
        <v>46022</v>
      </c>
      <c r="X40" s="682" t="n"/>
      <c r="Y40" s="682" t="n">
        <v>46024</v>
      </c>
      <c r="Z40" s="679" t="n">
        <v>113142.48</v>
      </c>
      <c r="AA40" s="680" t="n">
        <v>0</v>
      </c>
      <c r="AB40" s="680">
        <f>Z40</f>
        <v/>
      </c>
      <c r="AC40" s="680" t="n">
        <v>0</v>
      </c>
      <c r="AD40" s="680">
        <f>Z40</f>
        <v/>
      </c>
      <c r="AE40" s="680">
        <f>Z40</f>
        <v/>
      </c>
      <c r="AF40" s="684" t="inlineStr">
        <is>
          <t>ENGAGE</t>
        </is>
      </c>
      <c r="AG40" s="683" t="n"/>
      <c r="AH40" s="680" t="n"/>
      <c r="AI40" s="680" t="n"/>
      <c r="AJ40" s="680" t="n"/>
      <c r="AK40" s="680" t="n"/>
      <c r="AL40" s="685" t="n"/>
      <c r="AM40" s="685" t="n"/>
      <c r="AN40" s="683" t="inlineStr">
        <is>
          <t>Manque n° contrat</t>
        </is>
      </c>
      <c r="AO40" s="686" t="n"/>
      <c r="AP40" s="687" t="n"/>
      <c r="AQ40" s="688" t="n"/>
      <c r="AR40" s="688" t="n"/>
      <c r="AS40" s="23" t="n"/>
      <c r="AT40" s="688" t="n"/>
    </row>
    <row r="41" ht="46.5" customHeight="1" s="392">
      <c r="A41" s="672">
        <f>IF(AF41="ENGAGE","✔",IF(AF41="EN COURS D'ENGAGEMENT","◕",IF(AF41="PREENGAGE","◑",IF(AF41="EN COURS DE PREENGAGEMENT","◔",IF(AF41="NON ENGAGE","✖","")))))</f>
        <v/>
      </c>
      <c r="B41" s="673" t="n">
        <v>2026</v>
      </c>
      <c r="C41" s="674" t="inlineStr">
        <is>
          <t>ARRIYADIA</t>
        </is>
      </c>
      <c r="D41" s="674" t="inlineStr">
        <is>
          <t>PV N° : 01RC2025- DCCCA</t>
        </is>
      </c>
      <c r="E41" s="675" t="inlineStr">
        <is>
          <t>CONTRAT</t>
        </is>
      </c>
      <c r="F41" s="675" t="n"/>
      <c r="G41" s="676" t="inlineStr">
        <is>
          <t>HAMZA AKIL  -  Chargé de production</t>
        </is>
      </c>
      <c r="H41" s="673" t="inlineStr">
        <is>
          <t>VALIDE</t>
        </is>
      </c>
      <c r="I41" s="675" t="inlineStr">
        <is>
          <t>APPROUVE</t>
        </is>
      </c>
      <c r="J41" s="675" t="n"/>
      <c r="K41" s="673" t="inlineStr">
        <is>
          <t>NON CONCERNE</t>
        </is>
      </c>
      <c r="L41" s="675" t="inlineStr">
        <is>
          <t>Ordinaire</t>
        </is>
      </c>
      <c r="M41" s="677" t="inlineStr">
        <is>
          <t>FONCTIONNEMENT</t>
        </is>
      </c>
      <c r="N41" s="678" t="inlineStr">
        <is>
          <t xml:space="preserve">Prestations de service
Achat prestations de services locales - personnes physiques </t>
        </is>
      </c>
      <c r="O41" s="679" t="n"/>
      <c r="P41" s="680" t="n"/>
      <c r="Q41" s="680" t="n"/>
      <c r="R41" s="675" t="inlineStr">
        <is>
          <t>RECONDUCTION</t>
        </is>
      </c>
      <c r="S41" s="681" t="n"/>
      <c r="T41" s="682" t="n"/>
      <c r="U41" s="683" t="inlineStr">
        <is>
          <t>HAMZA AKIL</t>
        </is>
      </c>
      <c r="V41" s="675" t="n">
        <v>2026</v>
      </c>
      <c r="W41" s="682" t="n">
        <v>46022</v>
      </c>
      <c r="X41" s="682" t="n"/>
      <c r="Y41" s="682" t="n">
        <v>46024</v>
      </c>
      <c r="Z41" s="679" t="n">
        <v>132000</v>
      </c>
      <c r="AA41" s="680" t="n">
        <v>0</v>
      </c>
      <c r="AB41" s="680">
        <f>Z41</f>
        <v/>
      </c>
      <c r="AC41" s="680" t="n">
        <v>0</v>
      </c>
      <c r="AD41" s="680">
        <f>Z41</f>
        <v/>
      </c>
      <c r="AE41" s="680">
        <f>Z41</f>
        <v/>
      </c>
      <c r="AF41" s="684" t="inlineStr">
        <is>
          <t>ENGAGE</t>
        </is>
      </c>
      <c r="AG41" s="683" t="n"/>
      <c r="AH41" s="680" t="n"/>
      <c r="AI41" s="680" t="n"/>
      <c r="AJ41" s="680" t="n"/>
      <c r="AK41" s="680" t="n"/>
      <c r="AL41" s="685" t="n"/>
      <c r="AM41" s="685" t="n"/>
      <c r="AN41" s="683" t="inlineStr">
        <is>
          <t>Manque n° contrat</t>
        </is>
      </c>
      <c r="AO41" s="686" t="n"/>
      <c r="AP41" s="687" t="n"/>
      <c r="AQ41" s="688" t="n"/>
      <c r="AR41" s="688" t="n"/>
      <c r="AS41" s="23" t="n"/>
      <c r="AT41" s="688" t="n"/>
    </row>
    <row r="42" ht="46.5" customHeight="1" s="392">
      <c r="A42" s="672">
        <f>IF(AF42="ENGAGE","✔",IF(AF42="EN COURS D'ENGAGEMENT","◕",IF(AF42="PREENGAGE","◑",IF(AF42="EN COURS DE PREENGAGEMENT","◔",IF(AF42="NON ENGAGE","✖","")))))</f>
        <v/>
      </c>
      <c r="B42" s="673" t="n">
        <v>2026</v>
      </c>
      <c r="C42" s="674" t="inlineStr">
        <is>
          <t>ARRIYADIA</t>
        </is>
      </c>
      <c r="D42" s="674" t="inlineStr">
        <is>
          <t>PV N° : 01RC2025- DCCCA</t>
        </is>
      </c>
      <c r="E42" s="675" t="inlineStr">
        <is>
          <t>CONTRAT</t>
        </is>
      </c>
      <c r="F42" s="675" t="n"/>
      <c r="G42" s="676" t="inlineStr">
        <is>
          <t>RHIZLAN KORCHI  -  Habilleuse</t>
        </is>
      </c>
      <c r="H42" s="673" t="inlineStr">
        <is>
          <t>VALIDE</t>
        </is>
      </c>
      <c r="I42" s="675" t="inlineStr">
        <is>
          <t>APPROUVE</t>
        </is>
      </c>
      <c r="J42" s="675" t="n"/>
      <c r="K42" s="673" t="inlineStr">
        <is>
          <t>NON CONCERNE</t>
        </is>
      </c>
      <c r="L42" s="675" t="inlineStr">
        <is>
          <t>Ordinaire</t>
        </is>
      </c>
      <c r="M42" s="677" t="inlineStr">
        <is>
          <t>FONCTIONNEMENT</t>
        </is>
      </c>
      <c r="N42" s="678" t="inlineStr">
        <is>
          <t xml:space="preserve">Prestations de service
Achat prestations de services locales - personnes physiques </t>
        </is>
      </c>
      <c r="O42" s="679" t="n"/>
      <c r="P42" s="680" t="n"/>
      <c r="Q42" s="680" t="n"/>
      <c r="R42" s="675" t="inlineStr">
        <is>
          <t>RECONDUCTION</t>
        </is>
      </c>
      <c r="S42" s="681" t="n"/>
      <c r="T42" s="682" t="n"/>
      <c r="U42" s="683" t="inlineStr">
        <is>
          <t>RHIZLAN KORCHI</t>
        </is>
      </c>
      <c r="V42" s="675" t="n">
        <v>2026</v>
      </c>
      <c r="W42" s="682" t="n">
        <v>46022</v>
      </c>
      <c r="X42" s="682" t="n"/>
      <c r="Y42" s="682" t="n">
        <v>46024</v>
      </c>
      <c r="Z42" s="679" t="n">
        <v>113142.48</v>
      </c>
      <c r="AA42" s="680" t="n">
        <v>0</v>
      </c>
      <c r="AB42" s="680">
        <f>Z42</f>
        <v/>
      </c>
      <c r="AC42" s="680" t="n">
        <v>0</v>
      </c>
      <c r="AD42" s="680">
        <f>Z42</f>
        <v/>
      </c>
      <c r="AE42" s="680">
        <f>Z42</f>
        <v/>
      </c>
      <c r="AF42" s="684" t="inlineStr">
        <is>
          <t>ENGAGE</t>
        </is>
      </c>
      <c r="AG42" s="683" t="n"/>
      <c r="AH42" s="680" t="n"/>
      <c r="AI42" s="680" t="n"/>
      <c r="AJ42" s="680" t="n"/>
      <c r="AK42" s="680" t="n"/>
      <c r="AL42" s="685" t="n"/>
      <c r="AM42" s="685" t="n"/>
      <c r="AN42" s="683" t="inlineStr">
        <is>
          <t>Manque n° contrat</t>
        </is>
      </c>
      <c r="AO42" s="686" t="n"/>
      <c r="AP42" s="687" t="n"/>
      <c r="AQ42" s="688" t="n"/>
      <c r="AR42" s="688" t="n"/>
      <c r="AS42" s="23" t="n"/>
      <c r="AT42" s="688" t="n"/>
    </row>
    <row r="43" ht="46.5" customHeight="1" s="392">
      <c r="A43" s="672">
        <f>IF(AF43="ENGAGE","✔",IF(AF43="EN COURS D'ENGAGEMENT","◕",IF(AF43="PREENGAGE","◑",IF(AF43="EN COURS DE PREENGAGEMENT","◔",IF(AF43="NON ENGAGE","✖","")))))</f>
        <v/>
      </c>
      <c r="B43" s="673" t="n">
        <v>2026</v>
      </c>
      <c r="C43" s="674" t="inlineStr">
        <is>
          <t>ARRIYADIA</t>
        </is>
      </c>
      <c r="D43" s="674" t="inlineStr">
        <is>
          <t>PV N° : 01RC2025- DCCCA</t>
        </is>
      </c>
      <c r="E43" s="675" t="inlineStr">
        <is>
          <t>CONTRAT</t>
        </is>
      </c>
      <c r="F43" s="675" t="n"/>
      <c r="G43" s="676" t="inlineStr">
        <is>
          <t>RADIF YOUSRA  -  Maquilleuse coiffeuse</t>
        </is>
      </c>
      <c r="H43" s="673" t="inlineStr">
        <is>
          <t>VALIDE</t>
        </is>
      </c>
      <c r="I43" s="675" t="inlineStr">
        <is>
          <t>APPROUVE</t>
        </is>
      </c>
      <c r="J43" s="675" t="n"/>
      <c r="K43" s="673" t="inlineStr">
        <is>
          <t>NON CONCERNE</t>
        </is>
      </c>
      <c r="L43" s="675" t="inlineStr">
        <is>
          <t>Ordinaire</t>
        </is>
      </c>
      <c r="M43" s="677" t="inlineStr">
        <is>
          <t>FONCTIONNEMENT</t>
        </is>
      </c>
      <c r="N43" s="678" t="inlineStr">
        <is>
          <t xml:space="preserve">Prestations de service
Achat prestations de services locales - personnes physiques </t>
        </is>
      </c>
      <c r="O43" s="679" t="n"/>
      <c r="P43" s="680" t="n"/>
      <c r="Q43" s="680" t="n"/>
      <c r="R43" s="675" t="inlineStr">
        <is>
          <t>RECONDUCTION</t>
        </is>
      </c>
      <c r="S43" s="681" t="n"/>
      <c r="T43" s="682" t="n"/>
      <c r="U43" s="683" t="inlineStr">
        <is>
          <t>RADIF YOUSRA</t>
        </is>
      </c>
      <c r="V43" s="675" t="n">
        <v>2026</v>
      </c>
      <c r="W43" s="682" t="n">
        <v>46022</v>
      </c>
      <c r="X43" s="682" t="n"/>
      <c r="Y43" s="682" t="n">
        <v>46024</v>
      </c>
      <c r="Z43" s="679" t="n">
        <v>113142.48</v>
      </c>
      <c r="AA43" s="680" t="n">
        <v>0</v>
      </c>
      <c r="AB43" s="680">
        <f>Z43</f>
        <v/>
      </c>
      <c r="AC43" s="680" t="n">
        <v>0</v>
      </c>
      <c r="AD43" s="680">
        <f>Z43</f>
        <v/>
      </c>
      <c r="AE43" s="680">
        <f>Z43</f>
        <v/>
      </c>
      <c r="AF43" s="684" t="inlineStr">
        <is>
          <t>ENGAGE</t>
        </is>
      </c>
      <c r="AG43" s="683" t="n"/>
      <c r="AH43" s="680" t="n"/>
      <c r="AI43" s="680" t="n"/>
      <c r="AJ43" s="680" t="n"/>
      <c r="AK43" s="680" t="n"/>
      <c r="AL43" s="685" t="n"/>
      <c r="AM43" s="685" t="n"/>
      <c r="AN43" s="683" t="inlineStr">
        <is>
          <t>Manque n° contrat</t>
        </is>
      </c>
      <c r="AO43" s="686" t="n"/>
      <c r="AP43" s="687" t="n"/>
      <c r="AQ43" s="688" t="n"/>
      <c r="AR43" s="688" t="n"/>
      <c r="AS43" s="23" t="n"/>
      <c r="AT43" s="688" t="n"/>
    </row>
    <row r="44" ht="46.5" customHeight="1" s="392">
      <c r="A44" s="672">
        <f>IF(AF44="ENGAGE","✔",IF(AF44="EN COURS D'ENGAGEMENT","◕",IF(AF44="PREENGAGE","◑",IF(AF44="EN COURS DE PREENGAGEMENT","◔",IF(AF44="NON ENGAGE","✖","")))))</f>
        <v/>
      </c>
      <c r="B44" s="673" t="n">
        <v>2026</v>
      </c>
      <c r="C44" s="674" t="inlineStr">
        <is>
          <t>ARRIYADIA</t>
        </is>
      </c>
      <c r="D44" s="674" t="inlineStr">
        <is>
          <t>PV N° : 01RC2025- DCCCA</t>
        </is>
      </c>
      <c r="E44" s="675" t="inlineStr">
        <is>
          <t>CONTRAT</t>
        </is>
      </c>
      <c r="F44" s="675" t="n"/>
      <c r="G44" s="676" t="inlineStr">
        <is>
          <t>MOHAMED EL MAAMOURI  -  Graphiste</t>
        </is>
      </c>
      <c r="H44" s="673" t="inlineStr">
        <is>
          <t>VALIDE</t>
        </is>
      </c>
      <c r="I44" s="675" t="inlineStr">
        <is>
          <t>APPROUVE</t>
        </is>
      </c>
      <c r="J44" s="675" t="n"/>
      <c r="K44" s="673" t="inlineStr">
        <is>
          <t>NON CONCERNE</t>
        </is>
      </c>
      <c r="L44" s="675" t="inlineStr">
        <is>
          <t>Ordinaire</t>
        </is>
      </c>
      <c r="M44" s="677" t="inlineStr">
        <is>
          <t>FONCTIONNEMENT</t>
        </is>
      </c>
      <c r="N44" s="678" t="inlineStr">
        <is>
          <t xml:space="preserve">Prestations de service
Achat prestations de services locales - personnes physiques </t>
        </is>
      </c>
      <c r="O44" s="679" t="n"/>
      <c r="P44" s="680" t="n"/>
      <c r="Q44" s="680" t="n"/>
      <c r="R44" s="675" t="inlineStr">
        <is>
          <t>RECONDUCTION</t>
        </is>
      </c>
      <c r="S44" s="681" t="n"/>
      <c r="T44" s="682" t="n"/>
      <c r="U44" s="683" t="inlineStr">
        <is>
          <t>MOHAMED EL MAAMOURI</t>
        </is>
      </c>
      <c r="V44" s="675" t="n">
        <v>2026</v>
      </c>
      <c r="W44" s="682" t="n">
        <v>46022</v>
      </c>
      <c r="X44" s="682" t="n"/>
      <c r="Y44" s="682" t="n">
        <v>46024</v>
      </c>
      <c r="Z44" s="679" t="n">
        <v>113142.48</v>
      </c>
      <c r="AA44" s="680" t="n">
        <v>0</v>
      </c>
      <c r="AB44" s="680">
        <f>Z44</f>
        <v/>
      </c>
      <c r="AC44" s="680" t="n">
        <v>0</v>
      </c>
      <c r="AD44" s="680">
        <f>Z44</f>
        <v/>
      </c>
      <c r="AE44" s="680">
        <f>Z44</f>
        <v/>
      </c>
      <c r="AF44" s="684" t="inlineStr">
        <is>
          <t>ENGAGE</t>
        </is>
      </c>
      <c r="AG44" s="683" t="n"/>
      <c r="AH44" s="680" t="n"/>
      <c r="AI44" s="680" t="n"/>
      <c r="AJ44" s="680" t="n"/>
      <c r="AK44" s="680" t="n"/>
      <c r="AL44" s="685" t="n"/>
      <c r="AM44" s="685" t="n"/>
      <c r="AN44" s="683" t="inlineStr">
        <is>
          <t>Manque n° contrat</t>
        </is>
      </c>
      <c r="AO44" s="686" t="n"/>
      <c r="AP44" s="687" t="n"/>
      <c r="AQ44" s="688" t="n"/>
      <c r="AR44" s="688" t="n"/>
      <c r="AS44" s="23" t="n"/>
      <c r="AT44" s="688" t="n"/>
    </row>
    <row r="45" ht="46.5" customHeight="1" s="392">
      <c r="A45" s="672">
        <f>IF(AF45="ENGAGE","✔",IF(AF45="EN COURS D'ENGAGEMENT","◕",IF(AF45="PREENGAGE","◑",IF(AF45="EN COURS DE PREENGAGEMENT","◔",IF(AF45="NON ENGAGE","✖","")))))</f>
        <v/>
      </c>
      <c r="B45" s="673" t="n">
        <v>2026</v>
      </c>
      <c r="C45" s="674" t="inlineStr">
        <is>
          <t>ARRIYADIA</t>
        </is>
      </c>
      <c r="D45" s="674" t="inlineStr">
        <is>
          <t>PV N° : 01RC2025- DCCCA</t>
        </is>
      </c>
      <c r="E45" s="675" t="inlineStr">
        <is>
          <t>CONTRAT</t>
        </is>
      </c>
      <c r="F45" s="675" t="n"/>
      <c r="G45" s="676" t="inlineStr">
        <is>
          <t>REDA TIZAGHTI  -  Graphiste</t>
        </is>
      </c>
      <c r="H45" s="673" t="inlineStr">
        <is>
          <t>VALIDE</t>
        </is>
      </c>
      <c r="I45" s="675" t="inlineStr">
        <is>
          <t>APPROUVE</t>
        </is>
      </c>
      <c r="J45" s="675" t="n"/>
      <c r="K45" s="673" t="inlineStr">
        <is>
          <t>NON CONCERNE</t>
        </is>
      </c>
      <c r="L45" s="675" t="inlineStr">
        <is>
          <t>Ordinaire</t>
        </is>
      </c>
      <c r="M45" s="677" t="inlineStr">
        <is>
          <t>FONCTIONNEMENT</t>
        </is>
      </c>
      <c r="N45" s="678" t="inlineStr">
        <is>
          <t xml:space="preserve">Prestations de service
Achat prestations de services locales - personnes physiques </t>
        </is>
      </c>
      <c r="O45" s="679" t="n"/>
      <c r="P45" s="680" t="n"/>
      <c r="Q45" s="680" t="n"/>
      <c r="R45" s="675" t="inlineStr">
        <is>
          <t>RECONDUCTION</t>
        </is>
      </c>
      <c r="S45" s="681" t="n"/>
      <c r="T45" s="682" t="n"/>
      <c r="U45" s="683" t="inlineStr">
        <is>
          <t>REDA TIZAGHTI</t>
        </is>
      </c>
      <c r="V45" s="675" t="n">
        <v>2026</v>
      </c>
      <c r="W45" s="682" t="n">
        <v>46022</v>
      </c>
      <c r="X45" s="682" t="n"/>
      <c r="Y45" s="682" t="n">
        <v>46024</v>
      </c>
      <c r="Z45" s="679" t="n">
        <v>113142.48</v>
      </c>
      <c r="AA45" s="680" t="n">
        <v>0</v>
      </c>
      <c r="AB45" s="680">
        <f>Z45</f>
        <v/>
      </c>
      <c r="AC45" s="680" t="n">
        <v>0</v>
      </c>
      <c r="AD45" s="680">
        <f>Z45</f>
        <v/>
      </c>
      <c r="AE45" s="680">
        <f>Z45</f>
        <v/>
      </c>
      <c r="AF45" s="684" t="inlineStr">
        <is>
          <t>ENGAGE</t>
        </is>
      </c>
      <c r="AG45" s="683" t="n"/>
      <c r="AH45" s="680" t="n"/>
      <c r="AI45" s="680" t="n"/>
      <c r="AJ45" s="680" t="n"/>
      <c r="AK45" s="680" t="n"/>
      <c r="AL45" s="685" t="n"/>
      <c r="AM45" s="685" t="n"/>
      <c r="AN45" s="683" t="inlineStr">
        <is>
          <t>Manque n° contrat</t>
        </is>
      </c>
      <c r="AO45" s="686" t="n"/>
      <c r="AP45" s="687" t="n"/>
      <c r="AQ45" s="688" t="n"/>
      <c r="AR45" s="688" t="n"/>
      <c r="AS45" s="23" t="n"/>
      <c r="AT45" s="688" t="n"/>
    </row>
    <row r="46" ht="46.5" customHeight="1" s="392">
      <c r="A46" s="672">
        <f>IF(AF46="ENGAGE","✔",IF(AF46="EN COURS D'ENGAGEMENT","◕",IF(AF46="PREENGAGE","◑",IF(AF46="EN COURS DE PREENGAGEMENT","◔",IF(AF46="NON ENGAGE","✖","")))))</f>
        <v/>
      </c>
      <c r="B46" s="673" t="n">
        <v>2026</v>
      </c>
      <c r="C46" s="674" t="inlineStr">
        <is>
          <t>ARRIYADIA</t>
        </is>
      </c>
      <c r="D46" s="674" t="inlineStr">
        <is>
          <t>PV N° : 01RC2025- DCCCA</t>
        </is>
      </c>
      <c r="E46" s="675" t="inlineStr">
        <is>
          <t>CONTRAT</t>
        </is>
      </c>
      <c r="F46" s="675" t="n"/>
      <c r="G46" s="676" t="inlineStr">
        <is>
          <t>OMAR FATEH  -  Opérateur magnétoscope LSM</t>
        </is>
      </c>
      <c r="H46" s="673" t="inlineStr">
        <is>
          <t>VALIDE</t>
        </is>
      </c>
      <c r="I46" s="675" t="inlineStr">
        <is>
          <t>APPROUVE</t>
        </is>
      </c>
      <c r="J46" s="675" t="n"/>
      <c r="K46" s="673" t="inlineStr">
        <is>
          <t>NON CONCERNE</t>
        </is>
      </c>
      <c r="L46" s="675" t="inlineStr">
        <is>
          <t>Ordinaire</t>
        </is>
      </c>
      <c r="M46" s="677" t="inlineStr">
        <is>
          <t>FONCTIONNEMENT</t>
        </is>
      </c>
      <c r="N46" s="678" t="inlineStr">
        <is>
          <t xml:space="preserve">Prestations de service
Achat prestations de services locales - personnes physiques </t>
        </is>
      </c>
      <c r="O46" s="679" t="n"/>
      <c r="P46" s="680" t="n"/>
      <c r="Q46" s="680" t="n"/>
      <c r="R46" s="675" t="inlineStr">
        <is>
          <t>RECONDUCTION</t>
        </is>
      </c>
      <c r="S46" s="681" t="n"/>
      <c r="T46" s="682" t="n"/>
      <c r="U46" s="683" t="inlineStr">
        <is>
          <t>OMAR FATEH</t>
        </is>
      </c>
      <c r="V46" s="675" t="n">
        <v>2026</v>
      </c>
      <c r="W46" s="682" t="n">
        <v>46022</v>
      </c>
      <c r="X46" s="682" t="n"/>
      <c r="Y46" s="682" t="n">
        <v>46024</v>
      </c>
      <c r="Z46" s="679" t="n">
        <v>113142.48</v>
      </c>
      <c r="AA46" s="680" t="n">
        <v>0</v>
      </c>
      <c r="AB46" s="680">
        <f>Z46</f>
        <v/>
      </c>
      <c r="AC46" s="680" t="n">
        <v>0</v>
      </c>
      <c r="AD46" s="680">
        <f>Z46</f>
        <v/>
      </c>
      <c r="AE46" s="680">
        <f>Z46</f>
        <v/>
      </c>
      <c r="AF46" s="684" t="inlineStr">
        <is>
          <t>ENGAGE</t>
        </is>
      </c>
      <c r="AG46" s="683" t="n"/>
      <c r="AH46" s="680" t="n"/>
      <c r="AI46" s="680" t="n"/>
      <c r="AJ46" s="680" t="n"/>
      <c r="AK46" s="680" t="n"/>
      <c r="AL46" s="685" t="n"/>
      <c r="AM46" s="685" t="n"/>
      <c r="AN46" s="683" t="inlineStr">
        <is>
          <t>Manque n° contrat</t>
        </is>
      </c>
      <c r="AO46" s="686" t="n"/>
      <c r="AP46" s="687" t="n"/>
      <c r="AQ46" s="688" t="n"/>
      <c r="AR46" s="688" t="n"/>
      <c r="AS46" s="23" t="n"/>
      <c r="AT46" s="688" t="n"/>
    </row>
    <row r="47" ht="46.5" customHeight="1" s="392">
      <c r="A47" s="672">
        <f>IF(AF47="ENGAGE","✔",IF(AF47="EN COURS D'ENGAGEMENT","◕",IF(AF47="PREENGAGE","◑",IF(AF47="EN COURS DE PREENGAGEMENT","◔",IF(AF47="NON ENGAGE","✖","")))))</f>
        <v/>
      </c>
      <c r="B47" s="673" t="n">
        <v>2026</v>
      </c>
      <c r="C47" s="674" t="inlineStr">
        <is>
          <t>ARRIYADIA</t>
        </is>
      </c>
      <c r="D47" s="674" t="inlineStr">
        <is>
          <t>PV N° : 01RC2025- DCCCA</t>
        </is>
      </c>
      <c r="E47" s="675" t="inlineStr">
        <is>
          <t>CONTRAT</t>
        </is>
      </c>
      <c r="F47" s="675" t="n"/>
      <c r="G47" s="676" t="inlineStr">
        <is>
          <t>KORICHI DRISS  -  Opérateur magnétoscope LSM</t>
        </is>
      </c>
      <c r="H47" s="673" t="inlineStr">
        <is>
          <t>VALIDE</t>
        </is>
      </c>
      <c r="I47" s="675" t="inlineStr">
        <is>
          <t>APPROUVE</t>
        </is>
      </c>
      <c r="J47" s="675" t="n"/>
      <c r="K47" s="673" t="inlineStr">
        <is>
          <t>NON CONCERNE</t>
        </is>
      </c>
      <c r="L47" s="675" t="inlineStr">
        <is>
          <t>Ordinaire</t>
        </is>
      </c>
      <c r="M47" s="677" t="inlineStr">
        <is>
          <t>FONCTIONNEMENT</t>
        </is>
      </c>
      <c r="N47" s="678" t="inlineStr">
        <is>
          <t xml:space="preserve">Prestations de service
Achat prestations de services locales - personnes physiques </t>
        </is>
      </c>
      <c r="O47" s="679" t="n"/>
      <c r="P47" s="680" t="n"/>
      <c r="Q47" s="680" t="n"/>
      <c r="R47" s="675" t="inlineStr">
        <is>
          <t>RECONDUCTION</t>
        </is>
      </c>
      <c r="S47" s="681" t="n"/>
      <c r="T47" s="682" t="n"/>
      <c r="U47" s="683" t="inlineStr">
        <is>
          <t>KORICHI DRISS</t>
        </is>
      </c>
      <c r="V47" s="675" t="n">
        <v>2026</v>
      </c>
      <c r="W47" s="682" t="n">
        <v>46022</v>
      </c>
      <c r="X47" s="682" t="n"/>
      <c r="Y47" s="682" t="n">
        <v>46024</v>
      </c>
      <c r="Z47" s="679" t="n">
        <v>113142.48</v>
      </c>
      <c r="AA47" s="680" t="n">
        <v>0</v>
      </c>
      <c r="AB47" s="680">
        <f>Z47</f>
        <v/>
      </c>
      <c r="AC47" s="680" t="n">
        <v>0</v>
      </c>
      <c r="AD47" s="680">
        <f>Z47</f>
        <v/>
      </c>
      <c r="AE47" s="680">
        <f>Z47</f>
        <v/>
      </c>
      <c r="AF47" s="684" t="inlineStr">
        <is>
          <t>ENGAGE</t>
        </is>
      </c>
      <c r="AG47" s="683" t="n"/>
      <c r="AH47" s="680" t="n"/>
      <c r="AI47" s="680" t="n"/>
      <c r="AJ47" s="680" t="n"/>
      <c r="AK47" s="680" t="n"/>
      <c r="AL47" s="685" t="n"/>
      <c r="AM47" s="685" t="n"/>
      <c r="AN47" s="683" t="inlineStr">
        <is>
          <t>Manque n° contrat</t>
        </is>
      </c>
      <c r="AO47" s="686" t="n"/>
      <c r="AP47" s="687" t="n"/>
      <c r="AQ47" s="688" t="n"/>
      <c r="AR47" s="688" t="n"/>
      <c r="AS47" s="23" t="n"/>
      <c r="AT47" s="688" t="n"/>
    </row>
    <row r="48" ht="46.5" customHeight="1" s="392">
      <c r="A48" s="672">
        <f>IF(AF48="ENGAGE","✔",IF(AF48="EN COURS D'ENGAGEMENT","◕",IF(AF48="PREENGAGE","◑",IF(AF48="EN COURS DE PREENGAGEMENT","◔",IF(AF48="NON ENGAGE","✖","")))))</f>
        <v/>
      </c>
      <c r="B48" s="673" t="n">
        <v>2026</v>
      </c>
      <c r="C48" s="674" t="inlineStr">
        <is>
          <t>ARRIYADIA</t>
        </is>
      </c>
      <c r="D48" s="674" t="inlineStr">
        <is>
          <t>PV N° : 01RC2025- DCCCA</t>
        </is>
      </c>
      <c r="E48" s="675" t="inlineStr">
        <is>
          <t>CONTRAT</t>
        </is>
      </c>
      <c r="F48" s="675" t="n"/>
      <c r="G48" s="676" t="inlineStr">
        <is>
          <t>AYOUB EL MOUADEN  -  Opérateur magnétoscope LSM</t>
        </is>
      </c>
      <c r="H48" s="673" t="inlineStr">
        <is>
          <t>VALIDE</t>
        </is>
      </c>
      <c r="I48" s="675" t="inlineStr">
        <is>
          <t>APPROUVE</t>
        </is>
      </c>
      <c r="J48" s="675" t="n"/>
      <c r="K48" s="673" t="inlineStr">
        <is>
          <t>NON CONCERNE</t>
        </is>
      </c>
      <c r="L48" s="675" t="inlineStr">
        <is>
          <t>Ordinaire</t>
        </is>
      </c>
      <c r="M48" s="677" t="inlineStr">
        <is>
          <t>FONCTIONNEMENT</t>
        </is>
      </c>
      <c r="N48" s="678" t="inlineStr">
        <is>
          <t xml:space="preserve">Prestations de service
Achat prestations de services locales - personnes physiques </t>
        </is>
      </c>
      <c r="O48" s="679" t="n"/>
      <c r="P48" s="680" t="n"/>
      <c r="Q48" s="680" t="n"/>
      <c r="R48" s="675" t="inlineStr">
        <is>
          <t>RECONDUCTION</t>
        </is>
      </c>
      <c r="S48" s="681" t="n"/>
      <c r="T48" s="682" t="n"/>
      <c r="U48" s="683" t="inlineStr">
        <is>
          <t>AYOUB EL MOUADEN</t>
        </is>
      </c>
      <c r="V48" s="675" t="n">
        <v>2026</v>
      </c>
      <c r="W48" s="682" t="n">
        <v>46022</v>
      </c>
      <c r="X48" s="682" t="n"/>
      <c r="Y48" s="682" t="n">
        <v>46024</v>
      </c>
      <c r="Z48" s="679" t="n">
        <v>113142.48</v>
      </c>
      <c r="AA48" s="680" t="n">
        <v>0</v>
      </c>
      <c r="AB48" s="680">
        <f>Z48</f>
        <v/>
      </c>
      <c r="AC48" s="680" t="n">
        <v>0</v>
      </c>
      <c r="AD48" s="680">
        <f>Z48</f>
        <v/>
      </c>
      <c r="AE48" s="680">
        <f>Z48</f>
        <v/>
      </c>
      <c r="AF48" s="684" t="inlineStr">
        <is>
          <t>ENGAGE</t>
        </is>
      </c>
      <c r="AG48" s="683" t="n"/>
      <c r="AH48" s="680" t="n"/>
      <c r="AI48" s="680" t="n"/>
      <c r="AJ48" s="680" t="n"/>
      <c r="AK48" s="680" t="n"/>
      <c r="AL48" s="685" t="n"/>
      <c r="AM48" s="685" t="n"/>
      <c r="AN48" s="683" t="inlineStr">
        <is>
          <t>Manque n° contrat</t>
        </is>
      </c>
      <c r="AO48" s="686" t="n"/>
      <c r="AP48" s="687" t="n"/>
      <c r="AQ48" s="688" t="n"/>
      <c r="AR48" s="688" t="n"/>
      <c r="AS48" s="23" t="n"/>
      <c r="AT48" s="688" t="n"/>
    </row>
    <row r="49" ht="46.5" customHeight="1" s="392">
      <c r="A49" s="672">
        <f>IF(AF49="ENGAGE","✔",IF(AF49="EN COURS D'ENGAGEMENT","◕",IF(AF49="PREENGAGE","◑",IF(AF49="EN COURS DE PREENGAGEMENT","◔",IF(AF49="NON ENGAGE","✖","")))))</f>
        <v/>
      </c>
      <c r="B49" s="673" t="n">
        <v>2026</v>
      </c>
      <c r="C49" s="674" t="inlineStr">
        <is>
          <t>ARRIYADIA</t>
        </is>
      </c>
      <c r="D49" s="674" t="inlineStr">
        <is>
          <t>PV N° : 01RC2025- DCCCA</t>
        </is>
      </c>
      <c r="E49" s="675" t="inlineStr">
        <is>
          <t>CONTRAT</t>
        </is>
      </c>
      <c r="F49" s="675" t="n"/>
      <c r="G49" s="676" t="inlineStr">
        <is>
          <t>YOUSSEF NAIT HAMMOU  -  Opérateur magnétoscope LSM</t>
        </is>
      </c>
      <c r="H49" s="673" t="inlineStr">
        <is>
          <t>VALIDE</t>
        </is>
      </c>
      <c r="I49" s="675" t="inlineStr">
        <is>
          <t>APPROUVE</t>
        </is>
      </c>
      <c r="J49" s="675" t="n"/>
      <c r="K49" s="673" t="inlineStr">
        <is>
          <t>NON CONCERNE</t>
        </is>
      </c>
      <c r="L49" s="675" t="inlineStr">
        <is>
          <t>Ordinaire</t>
        </is>
      </c>
      <c r="M49" s="677" t="inlineStr">
        <is>
          <t>FONCTIONNEMENT</t>
        </is>
      </c>
      <c r="N49" s="678" t="inlineStr">
        <is>
          <t xml:space="preserve">Prestations de service
Achat prestations de services locales - personnes physiques </t>
        </is>
      </c>
      <c r="O49" s="679" t="n"/>
      <c r="P49" s="680" t="n"/>
      <c r="Q49" s="680" t="n"/>
      <c r="R49" s="675" t="inlineStr">
        <is>
          <t>RECONDUCTION</t>
        </is>
      </c>
      <c r="S49" s="681" t="n"/>
      <c r="T49" s="682" t="n"/>
      <c r="U49" s="683" t="inlineStr">
        <is>
          <t>YOUSSEF NAIT HAMMOU</t>
        </is>
      </c>
      <c r="V49" s="675" t="n">
        <v>2026</v>
      </c>
      <c r="W49" s="682" t="n">
        <v>46022</v>
      </c>
      <c r="X49" s="682" t="n"/>
      <c r="Y49" s="682" t="n">
        <v>46024</v>
      </c>
      <c r="Z49" s="679" t="n">
        <v>113142.48</v>
      </c>
      <c r="AA49" s="680" t="n">
        <v>0</v>
      </c>
      <c r="AB49" s="680">
        <f>Z49</f>
        <v/>
      </c>
      <c r="AC49" s="680" t="n">
        <v>0</v>
      </c>
      <c r="AD49" s="680">
        <f>Z49</f>
        <v/>
      </c>
      <c r="AE49" s="680">
        <f>Z49</f>
        <v/>
      </c>
      <c r="AF49" s="684" t="inlineStr">
        <is>
          <t>ENGAGE</t>
        </is>
      </c>
      <c r="AG49" s="683" t="n"/>
      <c r="AH49" s="680" t="n"/>
      <c r="AI49" s="680" t="n"/>
      <c r="AJ49" s="680" t="n"/>
      <c r="AK49" s="680" t="n"/>
      <c r="AL49" s="685" t="n"/>
      <c r="AM49" s="685" t="n"/>
      <c r="AN49" s="683" t="inlineStr">
        <is>
          <t>Manque n° contrat</t>
        </is>
      </c>
      <c r="AO49" s="686" t="n"/>
      <c r="AP49" s="687" t="n"/>
      <c r="AQ49" s="688" t="n"/>
      <c r="AR49" s="688" t="n"/>
      <c r="AS49" s="23" t="n"/>
      <c r="AT49" s="688" t="n"/>
    </row>
    <row r="50" ht="46.5" customHeight="1" s="392">
      <c r="A50" s="672">
        <f>IF(AF50="ENGAGE","✔",IF(AF50="EN COURS D'ENGAGEMENT","◕",IF(AF50="PREENGAGE","◑",IF(AF50="EN COURS DE PREENGAGEMENT","◔",IF(AF50="NON ENGAGE","✖","")))))</f>
        <v/>
      </c>
      <c r="B50" s="673" t="n">
        <v>2026</v>
      </c>
      <c r="C50" s="674" t="inlineStr">
        <is>
          <t>ARRIYADIA</t>
        </is>
      </c>
      <c r="D50" s="674" t="inlineStr">
        <is>
          <t>PV N° : 01RC2025- DCCCA</t>
        </is>
      </c>
      <c r="E50" s="675" t="inlineStr">
        <is>
          <t>CONTRAT</t>
        </is>
      </c>
      <c r="F50" s="675" t="n"/>
      <c r="G50" s="676" t="inlineStr">
        <is>
          <t>ABOUSAD MOHAMED  -  Opérateur magnétoscope LSM</t>
        </is>
      </c>
      <c r="H50" s="673" t="inlineStr">
        <is>
          <t>VALIDE</t>
        </is>
      </c>
      <c r="I50" s="675" t="inlineStr">
        <is>
          <t>APPROUVE</t>
        </is>
      </c>
      <c r="J50" s="675" t="n"/>
      <c r="K50" s="673" t="inlineStr">
        <is>
          <t>NON CONCERNE</t>
        </is>
      </c>
      <c r="L50" s="675" t="inlineStr">
        <is>
          <t>Ordinaire</t>
        </is>
      </c>
      <c r="M50" s="677" t="inlineStr">
        <is>
          <t>FONCTIONNEMENT</t>
        </is>
      </c>
      <c r="N50" s="678" t="inlineStr">
        <is>
          <t xml:space="preserve">Prestations de service
Achat prestations de services locales - personnes physiques </t>
        </is>
      </c>
      <c r="O50" s="679" t="n"/>
      <c r="P50" s="680" t="n"/>
      <c r="Q50" s="680" t="n"/>
      <c r="R50" s="675" t="inlineStr">
        <is>
          <t>RECONDUCTION</t>
        </is>
      </c>
      <c r="S50" s="681" t="n"/>
      <c r="T50" s="682" t="n"/>
      <c r="U50" s="683" t="inlineStr">
        <is>
          <t>ABOUSAD MOHAMED</t>
        </is>
      </c>
      <c r="V50" s="675" t="n">
        <v>2026</v>
      </c>
      <c r="W50" s="682" t="n">
        <v>46022</v>
      </c>
      <c r="X50" s="682" t="n"/>
      <c r="Y50" s="682" t="n">
        <v>46024</v>
      </c>
      <c r="Z50" s="679" t="n">
        <v>113142.48</v>
      </c>
      <c r="AA50" s="680" t="n">
        <v>0</v>
      </c>
      <c r="AB50" s="680">
        <f>Z50</f>
        <v/>
      </c>
      <c r="AC50" s="680" t="n">
        <v>0</v>
      </c>
      <c r="AD50" s="680">
        <f>Z50</f>
        <v/>
      </c>
      <c r="AE50" s="680">
        <f>Z50</f>
        <v/>
      </c>
      <c r="AF50" s="684" t="inlineStr">
        <is>
          <t>ENGAGE</t>
        </is>
      </c>
      <c r="AG50" s="683" t="n"/>
      <c r="AH50" s="680" t="n"/>
      <c r="AI50" s="680" t="n"/>
      <c r="AJ50" s="680" t="n"/>
      <c r="AK50" s="680" t="n"/>
      <c r="AL50" s="685" t="n"/>
      <c r="AM50" s="685" t="n"/>
      <c r="AN50" s="683" t="inlineStr">
        <is>
          <t>Manque n° contrat</t>
        </is>
      </c>
      <c r="AO50" s="686" t="n"/>
      <c r="AP50" s="687" t="n"/>
      <c r="AQ50" s="688" t="n"/>
      <c r="AR50" s="688" t="n"/>
      <c r="AS50" s="23" t="n"/>
      <c r="AT50" s="688" t="n"/>
    </row>
    <row r="51" ht="46.5" customHeight="1" s="392">
      <c r="A51" s="672">
        <f>IF(AF51="ENGAGE","✔",IF(AF51="EN COURS D'ENGAGEMENT","◕",IF(AF51="PREENGAGE","◑",IF(AF51="EN COURS DE PREENGAGEMENT","◔",IF(AF51="NON ENGAGE","✖","")))))</f>
        <v/>
      </c>
      <c r="B51" s="673" t="n">
        <v>2026</v>
      </c>
      <c r="C51" s="674" t="inlineStr">
        <is>
          <t>ARRIYADIA</t>
        </is>
      </c>
      <c r="D51" s="674" t="inlineStr">
        <is>
          <t>PV N° : 01RC2025- DCCCA</t>
        </is>
      </c>
      <c r="E51" s="675" t="inlineStr">
        <is>
          <t>CONTRAT</t>
        </is>
      </c>
      <c r="F51" s="675" t="n"/>
      <c r="G51" s="676" t="inlineStr">
        <is>
          <t>EL KHAL ABDELMAJID  -  Commentateur</t>
        </is>
      </c>
      <c r="H51" s="673" t="inlineStr">
        <is>
          <t>VALIDE</t>
        </is>
      </c>
      <c r="I51" s="675" t="inlineStr">
        <is>
          <t>APPROUVE</t>
        </is>
      </c>
      <c r="J51" s="675" t="n"/>
      <c r="K51" s="673" t="inlineStr">
        <is>
          <t>NON CONCERNE</t>
        </is>
      </c>
      <c r="L51" s="675" t="inlineStr">
        <is>
          <t>Ordinaire</t>
        </is>
      </c>
      <c r="M51" s="677" t="inlineStr">
        <is>
          <t>FONCTIONNEMENT</t>
        </is>
      </c>
      <c r="N51" s="678" t="inlineStr">
        <is>
          <t xml:space="preserve">Prestations de service
Achat prestations de services locales - personnes physiques </t>
        </is>
      </c>
      <c r="O51" s="679" t="n"/>
      <c r="P51" s="680" t="n"/>
      <c r="Q51" s="680" t="n"/>
      <c r="R51" s="675" t="inlineStr">
        <is>
          <t>RECONDUCTION</t>
        </is>
      </c>
      <c r="S51" s="681" t="n"/>
      <c r="T51" s="682" t="n"/>
      <c r="U51" s="683" t="inlineStr">
        <is>
          <t>EL KHAL ABDELMAJID</t>
        </is>
      </c>
      <c r="V51" s="675" t="n">
        <v>2026</v>
      </c>
      <c r="W51" s="682" t="n">
        <v>46022</v>
      </c>
      <c r="X51" s="682" t="n"/>
      <c r="Y51" s="682" t="n">
        <v>46024</v>
      </c>
      <c r="Z51" s="679" t="n">
        <v>113142.48</v>
      </c>
      <c r="AA51" s="680" t="n">
        <v>0</v>
      </c>
      <c r="AB51" s="680">
        <f>Z51</f>
        <v/>
      </c>
      <c r="AC51" s="680" t="n">
        <v>0</v>
      </c>
      <c r="AD51" s="680">
        <f>Z51</f>
        <v/>
      </c>
      <c r="AE51" s="680">
        <f>Z51</f>
        <v/>
      </c>
      <c r="AF51" s="684" t="inlineStr">
        <is>
          <t>ENGAGE</t>
        </is>
      </c>
      <c r="AG51" s="683" t="n"/>
      <c r="AH51" s="680" t="n"/>
      <c r="AI51" s="680" t="n"/>
      <c r="AJ51" s="680" t="n"/>
      <c r="AK51" s="680" t="n"/>
      <c r="AL51" s="685" t="n"/>
      <c r="AM51" s="685" t="n"/>
      <c r="AN51" s="683" t="inlineStr">
        <is>
          <t>Manque n° contrat</t>
        </is>
      </c>
      <c r="AO51" s="686" t="n"/>
      <c r="AP51" s="687" t="n"/>
      <c r="AQ51" s="688" t="n"/>
      <c r="AR51" s="688" t="n"/>
      <c r="AS51" s="23" t="n"/>
      <c r="AT51" s="688" t="n"/>
    </row>
    <row r="52" ht="46.5" customHeight="1" s="392">
      <c r="A52" s="672">
        <f>IF(AF52="ENGAGE","✔",IF(AF52="EN COURS D'ENGAGEMENT","◕",IF(AF52="PREENGAGE","◑",IF(AF52="EN COURS DE PREENGAGEMENT","◔",IF(AF52="NON ENGAGE","✖","")))))</f>
        <v/>
      </c>
      <c r="B52" s="673" t="n">
        <v>2026</v>
      </c>
      <c r="C52" s="674" t="inlineStr">
        <is>
          <t>ARRIYADIA</t>
        </is>
      </c>
      <c r="D52" s="674" t="inlineStr">
        <is>
          <t>PV N° : 01RC2025- DCCCA</t>
        </is>
      </c>
      <c r="E52" s="675" t="inlineStr">
        <is>
          <t>CONTRAT</t>
        </is>
      </c>
      <c r="F52" s="675" t="n"/>
      <c r="G52" s="676" t="inlineStr">
        <is>
          <t>KHALIL BOUDRA  -  Commentateur/consultant</t>
        </is>
      </c>
      <c r="H52" s="673" t="inlineStr">
        <is>
          <t>VALIDE</t>
        </is>
      </c>
      <c r="I52" s="675" t="inlineStr">
        <is>
          <t>APPROUVE</t>
        </is>
      </c>
      <c r="J52" s="675" t="n"/>
      <c r="K52" s="673" t="inlineStr">
        <is>
          <t>NON CONCERNE</t>
        </is>
      </c>
      <c r="L52" s="675" t="inlineStr">
        <is>
          <t>Ordinaire</t>
        </is>
      </c>
      <c r="M52" s="677" t="inlineStr">
        <is>
          <t>FONCTIONNEMENT</t>
        </is>
      </c>
      <c r="N52" s="678" t="inlineStr">
        <is>
          <t xml:space="preserve">Prestations de service
Achat prestations de services locales - personnes physiques </t>
        </is>
      </c>
      <c r="O52" s="679" t="n"/>
      <c r="P52" s="680" t="n"/>
      <c r="Q52" s="680" t="n"/>
      <c r="R52" s="675" t="inlineStr">
        <is>
          <t>RECONDUCTION</t>
        </is>
      </c>
      <c r="S52" s="681" t="n"/>
      <c r="T52" s="682" t="n"/>
      <c r="U52" s="683" t="inlineStr">
        <is>
          <t>KHALIL BOUDRA</t>
        </is>
      </c>
      <c r="V52" s="675" t="n">
        <v>2026</v>
      </c>
      <c r="W52" s="682" t="n">
        <v>46022</v>
      </c>
      <c r="X52" s="682" t="n"/>
      <c r="Y52" s="682" t="n">
        <v>46024</v>
      </c>
      <c r="Z52" s="679" t="n">
        <v>171360</v>
      </c>
      <c r="AA52" s="680" t="n">
        <v>0</v>
      </c>
      <c r="AB52" s="680">
        <f>Z52</f>
        <v/>
      </c>
      <c r="AC52" s="680" t="n">
        <v>0</v>
      </c>
      <c r="AD52" s="680">
        <f>Z52</f>
        <v/>
      </c>
      <c r="AE52" s="680">
        <f>Z52</f>
        <v/>
      </c>
      <c r="AF52" s="684" t="inlineStr">
        <is>
          <t>ENGAGE</t>
        </is>
      </c>
      <c r="AG52" s="683" t="n"/>
      <c r="AH52" s="680" t="n"/>
      <c r="AI52" s="680" t="n"/>
      <c r="AJ52" s="680" t="n"/>
      <c r="AK52" s="680" t="n"/>
      <c r="AL52" s="685" t="n"/>
      <c r="AM52" s="685" t="n"/>
      <c r="AN52" s="683" t="inlineStr">
        <is>
          <t>Manque n° contrat</t>
        </is>
      </c>
      <c r="AO52" s="686" t="n"/>
      <c r="AP52" s="687" t="n"/>
      <c r="AQ52" s="688" t="n"/>
      <c r="AR52" s="688" t="n"/>
      <c r="AS52" s="23" t="n"/>
      <c r="AT52" s="688" t="n"/>
    </row>
    <row r="53" ht="46.5" customHeight="1" s="392">
      <c r="A53" s="672">
        <f>IF(AF53="ENGAGE","✔",IF(AF53="EN COURS D'ENGAGEMENT","◕",IF(AF53="PREENGAGE","◑",IF(AF53="EN COURS DE PREENGAGEMENT","◔",IF(AF53="NON ENGAGE","✖","")))))</f>
        <v/>
      </c>
      <c r="B53" s="673" t="n">
        <v>2026</v>
      </c>
      <c r="C53" s="674" t="inlineStr">
        <is>
          <t>ARRIYADIA</t>
        </is>
      </c>
      <c r="D53" s="674" t="inlineStr">
        <is>
          <t>PV N° : 01RC2025- DCCCA</t>
        </is>
      </c>
      <c r="E53" s="675" t="inlineStr">
        <is>
          <t>CONTRAT</t>
        </is>
      </c>
      <c r="F53" s="675" t="n"/>
      <c r="G53" s="676" t="inlineStr">
        <is>
          <t>SEYFAMINE AATHMANI  -  Cameraman Reporter/Graphiste</t>
        </is>
      </c>
      <c r="H53" s="673" t="inlineStr">
        <is>
          <t>VALIDE</t>
        </is>
      </c>
      <c r="I53" s="675" t="inlineStr">
        <is>
          <t>APPROUVE</t>
        </is>
      </c>
      <c r="J53" s="675" t="n"/>
      <c r="K53" s="673" t="inlineStr">
        <is>
          <t>NON CONCERNE</t>
        </is>
      </c>
      <c r="L53" s="675" t="inlineStr">
        <is>
          <t>Ordinaire</t>
        </is>
      </c>
      <c r="M53" s="677" t="inlineStr">
        <is>
          <t>FONCTIONNEMENT</t>
        </is>
      </c>
      <c r="N53" s="678" t="inlineStr">
        <is>
          <t xml:space="preserve">Prestations de service
Achat prestations de services locales - personnes physiques </t>
        </is>
      </c>
      <c r="O53" s="679" t="n"/>
      <c r="P53" s="680" t="n"/>
      <c r="Q53" s="680" t="n"/>
      <c r="R53" s="675" t="inlineStr">
        <is>
          <t>RECONDUCTION</t>
        </is>
      </c>
      <c r="S53" s="681" t="n"/>
      <c r="T53" s="682" t="n"/>
      <c r="U53" s="683" t="inlineStr">
        <is>
          <t>SEYFAMINE AATHMANI</t>
        </is>
      </c>
      <c r="V53" s="675" t="n">
        <v>2026</v>
      </c>
      <c r="W53" s="682" t="n">
        <v>46022</v>
      </c>
      <c r="X53" s="682" t="n"/>
      <c r="Y53" s="682" t="n">
        <v>46024</v>
      </c>
      <c r="Z53" s="679" t="n">
        <v>113142.48</v>
      </c>
      <c r="AA53" s="680" t="n">
        <v>0</v>
      </c>
      <c r="AB53" s="680">
        <f>Z53</f>
        <v/>
      </c>
      <c r="AC53" s="680" t="n">
        <v>0</v>
      </c>
      <c r="AD53" s="680">
        <f>Z53</f>
        <v/>
      </c>
      <c r="AE53" s="680">
        <f>Z53</f>
        <v/>
      </c>
      <c r="AF53" s="684" t="inlineStr">
        <is>
          <t>ENGAGE</t>
        </is>
      </c>
      <c r="AG53" s="683" t="n"/>
      <c r="AH53" s="680" t="n"/>
      <c r="AI53" s="680" t="n"/>
      <c r="AJ53" s="680" t="n"/>
      <c r="AK53" s="680" t="n"/>
      <c r="AL53" s="685" t="n"/>
      <c r="AM53" s="685" t="n"/>
      <c r="AN53" s="683" t="inlineStr">
        <is>
          <t>Manque n° contrat</t>
        </is>
      </c>
      <c r="AO53" s="686" t="n"/>
      <c r="AP53" s="687" t="n"/>
      <c r="AQ53" s="688" t="n"/>
      <c r="AR53" s="688" t="n"/>
      <c r="AS53" s="23" t="n"/>
      <c r="AT53" s="688" t="n"/>
    </row>
    <row r="54" ht="46.5" customHeight="1" s="392">
      <c r="A54" s="672">
        <f>IF(AF54="ENGAGE","✔",IF(AF54="EN COURS D'ENGAGEMENT","◕",IF(AF54="PREENGAGE","◑",IF(AF54="EN COURS DE PREENGAGEMENT","◔",IF(AF54="NON ENGAGE","✖","")))))</f>
        <v/>
      </c>
      <c r="B54" s="673" t="n">
        <v>2026</v>
      </c>
      <c r="C54" s="674" t="inlineStr">
        <is>
          <t>ARRIYADIA</t>
        </is>
      </c>
      <c r="D54" s="674" t="inlineStr">
        <is>
          <t>PV N° : 01RC2025- DCCCA</t>
        </is>
      </c>
      <c r="E54" s="675" t="inlineStr">
        <is>
          <t>CONTRAT</t>
        </is>
      </c>
      <c r="F54" s="675" t="n"/>
      <c r="G54" s="676" t="inlineStr">
        <is>
          <t>ZINE EL ABIDINE SENHAJI  -  Operateur prise de son/Graphiste</t>
        </is>
      </c>
      <c r="H54" s="673" t="inlineStr">
        <is>
          <t>VALIDE</t>
        </is>
      </c>
      <c r="I54" s="675" t="inlineStr">
        <is>
          <t>APPROUVE</t>
        </is>
      </c>
      <c r="J54" s="675" t="n"/>
      <c r="K54" s="673" t="inlineStr">
        <is>
          <t>NON CONCERNE</t>
        </is>
      </c>
      <c r="L54" s="675" t="inlineStr">
        <is>
          <t>Ordinaire</t>
        </is>
      </c>
      <c r="M54" s="677" t="inlineStr">
        <is>
          <t>FONCTIONNEMENT</t>
        </is>
      </c>
      <c r="N54" s="678" t="inlineStr">
        <is>
          <t xml:space="preserve">Prestations de service
Achat prestations de services locales - personnes physiques </t>
        </is>
      </c>
      <c r="O54" s="679" t="n"/>
      <c r="P54" s="680" t="n"/>
      <c r="Q54" s="680" t="n"/>
      <c r="R54" s="675" t="inlineStr">
        <is>
          <t>RECONDUCTION</t>
        </is>
      </c>
      <c r="S54" s="681" t="n"/>
      <c r="T54" s="682" t="n"/>
      <c r="U54" s="683" t="inlineStr">
        <is>
          <t>ZINE EL ABIDINE SENHAJI</t>
        </is>
      </c>
      <c r="V54" s="675" t="n">
        <v>2026</v>
      </c>
      <c r="W54" s="682" t="n">
        <v>46022</v>
      </c>
      <c r="X54" s="682" t="n"/>
      <c r="Y54" s="682" t="n">
        <v>46024</v>
      </c>
      <c r="Z54" s="679" t="n">
        <v>113142.48</v>
      </c>
      <c r="AA54" s="680" t="n">
        <v>0</v>
      </c>
      <c r="AB54" s="680">
        <f>Z54</f>
        <v/>
      </c>
      <c r="AC54" s="680" t="n">
        <v>0</v>
      </c>
      <c r="AD54" s="680">
        <f>Z54</f>
        <v/>
      </c>
      <c r="AE54" s="680">
        <f>Z54</f>
        <v/>
      </c>
      <c r="AF54" s="684" t="inlineStr">
        <is>
          <t>ENGAGE</t>
        </is>
      </c>
      <c r="AG54" s="683" t="n"/>
      <c r="AH54" s="680" t="n"/>
      <c r="AI54" s="680" t="n"/>
      <c r="AJ54" s="680" t="n"/>
      <c r="AK54" s="680" t="n"/>
      <c r="AL54" s="685" t="n"/>
      <c r="AM54" s="685" t="n"/>
      <c r="AN54" s="683" t="inlineStr">
        <is>
          <t>Manque n° contrat</t>
        </is>
      </c>
      <c r="AO54" s="686" t="n"/>
      <c r="AP54" s="687" t="n"/>
      <c r="AQ54" s="688" t="n"/>
      <c r="AR54" s="688" t="n"/>
      <c r="AS54" s="23" t="n"/>
      <c r="AT54" s="688" t="n"/>
    </row>
    <row r="55" ht="46.5" customHeight="1" s="392">
      <c r="A55" s="672">
        <f>IF(AF55="ENGAGE","✔",IF(AF55="EN COURS D'ENGAGEMENT","◕",IF(AF55="PREENGAGE","◑",IF(AF55="EN COURS DE PREENGAGEMENT","◔",IF(AF55="NON ENGAGE","✖","")))))</f>
        <v/>
      </c>
      <c r="B55" s="673" t="n">
        <v>2026</v>
      </c>
      <c r="C55" s="674" t="inlineStr">
        <is>
          <t>ARRIYADIA</t>
        </is>
      </c>
      <c r="D55" s="674" t="inlineStr">
        <is>
          <t>PV N° : 01RC2025- DCCCA</t>
        </is>
      </c>
      <c r="E55" s="675" t="inlineStr">
        <is>
          <t>CONTRAT</t>
        </is>
      </c>
      <c r="F55" s="675" t="n"/>
      <c r="G55" s="676" t="inlineStr">
        <is>
          <t>SAHIL MOHAMED  -  Consultant football</t>
        </is>
      </c>
      <c r="H55" s="673" t="inlineStr">
        <is>
          <t>VALIDE</t>
        </is>
      </c>
      <c r="I55" s="675" t="inlineStr">
        <is>
          <t>APPROUVE</t>
        </is>
      </c>
      <c r="J55" s="675" t="n"/>
      <c r="K55" s="673" t="inlineStr">
        <is>
          <t>NON CONCERNE</t>
        </is>
      </c>
      <c r="L55" s="675" t="inlineStr">
        <is>
          <t>Ordinaire</t>
        </is>
      </c>
      <c r="M55" s="677" t="inlineStr">
        <is>
          <t>FONCTIONNEMENT</t>
        </is>
      </c>
      <c r="N55" s="678" t="inlineStr">
        <is>
          <t xml:space="preserve">Prestations de service
Achat prestations de services locales - personnes physiques </t>
        </is>
      </c>
      <c r="O55" s="679" t="n"/>
      <c r="P55" s="680" t="n"/>
      <c r="Q55" s="680" t="n"/>
      <c r="R55" s="675" t="inlineStr">
        <is>
          <t>RECONDUCTION</t>
        </is>
      </c>
      <c r="S55" s="681" t="n"/>
      <c r="T55" s="682" t="n"/>
      <c r="U55" s="683" t="inlineStr">
        <is>
          <t>SAHIL MOHAMED</t>
        </is>
      </c>
      <c r="V55" s="675" t="n">
        <v>2026</v>
      </c>
      <c r="W55" s="682" t="n">
        <v>46022</v>
      </c>
      <c r="X55" s="682" t="n"/>
      <c r="Y55" s="682" t="n">
        <v>46024</v>
      </c>
      <c r="Z55" s="679" t="n">
        <v>150000</v>
      </c>
      <c r="AA55" s="680" t="n">
        <v>0</v>
      </c>
      <c r="AB55" s="680">
        <f>Z55</f>
        <v/>
      </c>
      <c r="AC55" s="680" t="n">
        <v>0</v>
      </c>
      <c r="AD55" s="680">
        <f>Z55</f>
        <v/>
      </c>
      <c r="AE55" s="680">
        <f>Z55</f>
        <v/>
      </c>
      <c r="AF55" s="684" t="inlineStr">
        <is>
          <t>ENGAGE</t>
        </is>
      </c>
      <c r="AG55" s="683" t="n"/>
      <c r="AH55" s="680" t="n"/>
      <c r="AI55" s="680" t="n"/>
      <c r="AJ55" s="680" t="n"/>
      <c r="AK55" s="680" t="n"/>
      <c r="AL55" s="685" t="n"/>
      <c r="AM55" s="685" t="n"/>
      <c r="AN55" s="683" t="inlineStr">
        <is>
          <t>Manque n° contrat</t>
        </is>
      </c>
      <c r="AO55" s="686" t="n"/>
      <c r="AP55" s="687" t="n"/>
      <c r="AQ55" s="688" t="n"/>
      <c r="AR55" s="688" t="n"/>
      <c r="AS55" s="23" t="n"/>
      <c r="AT55" s="688" t="n"/>
    </row>
    <row r="56" ht="46.5" customHeight="1" s="392">
      <c r="A56" s="672">
        <f>IF(AF56="ENGAGE","✔",IF(AF56="EN COURS D'ENGAGEMENT","◕",IF(AF56="PREENGAGE","◑",IF(AF56="EN COURS DE PREENGAGEMENT","◔",IF(AF56="NON ENGAGE","✖","")))))</f>
        <v/>
      </c>
      <c r="B56" s="673" t="n">
        <v>2026</v>
      </c>
      <c r="C56" s="674" t="inlineStr">
        <is>
          <t>ARRIYADIA</t>
        </is>
      </c>
      <c r="D56" s="674" t="inlineStr">
        <is>
          <t>PV N° : 01RC2025- DCCCA</t>
        </is>
      </c>
      <c r="E56" s="675" t="inlineStr">
        <is>
          <t>CONTRAT</t>
        </is>
      </c>
      <c r="F56" s="675" t="n"/>
      <c r="G56" s="676" t="inlineStr">
        <is>
          <t>ABDELOUAHED CHAMMAMI  -  Consultant football</t>
        </is>
      </c>
      <c r="H56" s="673" t="inlineStr">
        <is>
          <t>VALIDE</t>
        </is>
      </c>
      <c r="I56" s="675" t="inlineStr">
        <is>
          <t>APPROUVE</t>
        </is>
      </c>
      <c r="J56" s="675" t="n"/>
      <c r="K56" s="673" t="inlineStr">
        <is>
          <t>NON CONCERNE</t>
        </is>
      </c>
      <c r="L56" s="675" t="inlineStr">
        <is>
          <t>Ordinaire</t>
        </is>
      </c>
      <c r="M56" s="677" t="inlineStr">
        <is>
          <t>FONCTIONNEMENT</t>
        </is>
      </c>
      <c r="N56" s="678" t="inlineStr">
        <is>
          <t xml:space="preserve">Prestations de service
Achat prestations de services locales - personnes physiques </t>
        </is>
      </c>
      <c r="O56" s="679" t="n"/>
      <c r="P56" s="680" t="n"/>
      <c r="Q56" s="680" t="n"/>
      <c r="R56" s="675" t="inlineStr">
        <is>
          <t>RECONDUCTION</t>
        </is>
      </c>
      <c r="S56" s="681" t="n"/>
      <c r="T56" s="682" t="n"/>
      <c r="U56" s="683" t="inlineStr">
        <is>
          <t>ABDELOUAHED CHAMMAMI</t>
        </is>
      </c>
      <c r="V56" s="675" t="n">
        <v>2026</v>
      </c>
      <c r="W56" s="682" t="n">
        <v>46022</v>
      </c>
      <c r="X56" s="682" t="n"/>
      <c r="Y56" s="682" t="n">
        <v>46024</v>
      </c>
      <c r="Z56" s="679" t="n">
        <v>150000</v>
      </c>
      <c r="AA56" s="680" t="n">
        <v>0</v>
      </c>
      <c r="AB56" s="680">
        <f>Z56</f>
        <v/>
      </c>
      <c r="AC56" s="680" t="n">
        <v>0</v>
      </c>
      <c r="AD56" s="680">
        <f>Z56</f>
        <v/>
      </c>
      <c r="AE56" s="680">
        <f>Z56</f>
        <v/>
      </c>
      <c r="AF56" s="684" t="inlineStr">
        <is>
          <t>ENGAGE</t>
        </is>
      </c>
      <c r="AG56" s="683" t="n"/>
      <c r="AH56" s="680" t="n"/>
      <c r="AI56" s="680" t="n"/>
      <c r="AJ56" s="680" t="n"/>
      <c r="AK56" s="680" t="n"/>
      <c r="AL56" s="685" t="n"/>
      <c r="AM56" s="685" t="n"/>
      <c r="AN56" s="683" t="inlineStr">
        <is>
          <t>Manque n° contrat</t>
        </is>
      </c>
      <c r="AO56" s="686" t="n"/>
      <c r="AP56" s="687" t="n"/>
      <c r="AQ56" s="688" t="n"/>
      <c r="AR56" s="688" t="n"/>
      <c r="AS56" s="23" t="n"/>
      <c r="AT56" s="688" t="n"/>
    </row>
    <row r="57" ht="46.5" customHeight="1" s="392">
      <c r="A57" s="672">
        <f>IF(AF57="ENGAGE","✔",IF(AF57="EN COURS D'ENGAGEMENT","◕",IF(AF57="PREENGAGE","◑",IF(AF57="EN COURS DE PREENGAGEMENT","◔",IF(AF57="NON ENGAGE","✖","")))))</f>
        <v/>
      </c>
      <c r="B57" s="673" t="n">
        <v>2026</v>
      </c>
      <c r="C57" s="674" t="inlineStr">
        <is>
          <t>ARRIYADIA</t>
        </is>
      </c>
      <c r="D57" s="674" t="inlineStr">
        <is>
          <t>PVN°: 02RE2026-DCSA</t>
        </is>
      </c>
      <c r="E57" s="675" t="inlineStr">
        <is>
          <t>CONTRAT</t>
        </is>
      </c>
      <c r="F57" s="675" t="n"/>
      <c r="G57" s="676" t="inlineStr">
        <is>
          <t>MOHAMED SAAD -cadreur plateau/technicien coordinateur d'antenne TV/Digital</t>
        </is>
      </c>
      <c r="H57" s="673" t="inlineStr">
        <is>
          <t>EN SIGNATURE</t>
        </is>
      </c>
      <c r="I57" s="675" t="inlineStr">
        <is>
          <t>EN SIGNATURE</t>
        </is>
      </c>
      <c r="J57" s="675" t="n"/>
      <c r="K57" s="673" t="inlineStr">
        <is>
          <t>NON CONCERNE</t>
        </is>
      </c>
      <c r="L57" s="675" t="inlineStr">
        <is>
          <t>Ordinaire</t>
        </is>
      </c>
      <c r="M57" s="677" t="inlineStr">
        <is>
          <t>FONCTIONNEMENT</t>
        </is>
      </c>
      <c r="N57" s="678" t="inlineStr">
        <is>
          <t xml:space="preserve">Prestations de service
Achat prestations de services locales - personnes physiques </t>
        </is>
      </c>
      <c r="O57" s="679" t="n"/>
      <c r="P57" s="680" t="n"/>
      <c r="Q57" s="680" t="n"/>
      <c r="R57" s="675" t="inlineStr">
        <is>
          <t>RECONDUCTION</t>
        </is>
      </c>
      <c r="S57" s="681" t="n"/>
      <c r="T57" s="682" t="n"/>
      <c r="U57" s="683" t="inlineStr">
        <is>
          <t>MOHAMED SAAD</t>
        </is>
      </c>
      <c r="V57" s="675" t="n">
        <v>2026</v>
      </c>
      <c r="W57" s="682" t="n"/>
      <c r="X57" s="682" t="n"/>
      <c r="Y57" s="682" t="n"/>
      <c r="Z57" s="679" t="n">
        <v>28285.62</v>
      </c>
      <c r="AA57" s="680" t="n"/>
      <c r="AB57" s="680">
        <f>Z57</f>
        <v/>
      </c>
      <c r="AC57" s="680" t="n"/>
      <c r="AD57" s="680">
        <f>Z57</f>
        <v/>
      </c>
      <c r="AE57" s="680">
        <f>Z57</f>
        <v/>
      </c>
      <c r="AF57" s="684" t="inlineStr">
        <is>
          <t>EN COURS D'ENGAGEMENT</t>
        </is>
      </c>
      <c r="AG57" s="683" t="n"/>
      <c r="AH57" s="680" t="n"/>
      <c r="AI57" s="680" t="n"/>
      <c r="AJ57" s="680" t="n"/>
      <c r="AK57" s="680" t="n"/>
      <c r="AL57" s="685" t="n"/>
      <c r="AM57" s="685" t="n"/>
      <c r="AN57" s="683" t="n"/>
      <c r="AO57" s="686" t="n"/>
      <c r="AP57" s="687" t="n"/>
      <c r="AQ57" s="688" t="n"/>
      <c r="AR57" s="688" t="n"/>
      <c r="AS57" s="23" t="n"/>
      <c r="AT57" s="688" t="n"/>
    </row>
    <row r="58" ht="46.5" customHeight="1" s="392">
      <c r="A58" s="672">
        <f>IF(AF58="ENGAGE","✔",IF(AF58="EN COURS D'ENGAGEMENT","◕",IF(AF58="PREENGAGE","◑",IF(AF58="EN COURS DE PREENGAGEMENT","◔",IF(AF58="NON ENGAGE","✖","")))))</f>
        <v/>
      </c>
      <c r="B58" s="673" t="n">
        <v>2026</v>
      </c>
      <c r="C58" s="674" t="inlineStr">
        <is>
          <t>ARRIYADIA</t>
        </is>
      </c>
      <c r="D58" s="674" t="inlineStr">
        <is>
          <t>PVN°: 02RE2026-DCSA</t>
        </is>
      </c>
      <c r="E58" s="675" t="inlineStr">
        <is>
          <t>CONTRAT</t>
        </is>
      </c>
      <c r="F58" s="675" t="n"/>
      <c r="G58" s="676" t="inlineStr">
        <is>
          <t>ABDELILAH AIT AHMED - Monteur truquiste /technicien coordinateur d'antenne TV</t>
        </is>
      </c>
      <c r="H58" s="673" t="inlineStr">
        <is>
          <t>EN SIGNATURE</t>
        </is>
      </c>
      <c r="I58" s="675" t="inlineStr">
        <is>
          <t>EN SIGNATURE</t>
        </is>
      </c>
      <c r="J58" s="675" t="n"/>
      <c r="K58" s="673" t="inlineStr">
        <is>
          <t>NON CONCERNE</t>
        </is>
      </c>
      <c r="L58" s="675" t="inlineStr">
        <is>
          <t>Ordinaire</t>
        </is>
      </c>
      <c r="M58" s="677" t="inlineStr">
        <is>
          <t>FONCTIONNEMENT</t>
        </is>
      </c>
      <c r="N58" s="678" t="inlineStr">
        <is>
          <t xml:space="preserve">Prestations de service
Achat prestations de services locales - personnes physiques </t>
        </is>
      </c>
      <c r="O58" s="679" t="n"/>
      <c r="P58" s="680" t="n"/>
      <c r="Q58" s="680" t="n"/>
      <c r="R58" s="675" t="inlineStr">
        <is>
          <t>RECONDUCTION</t>
        </is>
      </c>
      <c r="S58" s="681" t="n"/>
      <c r="T58" s="682" t="n"/>
      <c r="U58" s="683" t="inlineStr">
        <is>
          <t>ABDELILAH AIT AHMED</t>
        </is>
      </c>
      <c r="V58" s="675" t="n">
        <v>2026</v>
      </c>
      <c r="W58" s="682" t="n"/>
      <c r="X58" s="682" t="n"/>
      <c r="Y58" s="682" t="n"/>
      <c r="Z58" s="679" t="n">
        <v>28285.62</v>
      </c>
      <c r="AA58" s="680" t="n"/>
      <c r="AB58" s="680">
        <f>Z58</f>
        <v/>
      </c>
      <c r="AC58" s="680" t="n"/>
      <c r="AD58" s="680">
        <f>Z58</f>
        <v/>
      </c>
      <c r="AE58" s="680">
        <f>Z58</f>
        <v/>
      </c>
      <c r="AF58" s="684" t="inlineStr">
        <is>
          <t>EN COURS D'ENGAGEMENT</t>
        </is>
      </c>
      <c r="AG58" s="683" t="n"/>
      <c r="AH58" s="680" t="n"/>
      <c r="AI58" s="680" t="n"/>
      <c r="AJ58" s="680" t="n"/>
      <c r="AK58" s="680" t="n"/>
      <c r="AL58" s="685" t="n"/>
      <c r="AM58" s="685" t="n"/>
      <c r="AN58" s="683" t="n"/>
      <c r="AO58" s="686" t="n"/>
      <c r="AP58" s="687" t="n"/>
      <c r="AQ58" s="688" t="n"/>
      <c r="AR58" s="688" t="n"/>
      <c r="AS58" s="23" t="n"/>
      <c r="AT58" s="688" t="n"/>
    </row>
    <row r="59" ht="46.5" customHeight="1" s="392">
      <c r="A59" s="672">
        <f>IF(AF59="ENGAGE","✔",IF(AF59="EN COURS D'ENGAGEMENT","◕",IF(AF59="PREENGAGE","◑",IF(AF59="EN COURS DE PREENGAGEMENT","◔",IF(AF59="NON ENGAGE","✖","")))))</f>
        <v/>
      </c>
      <c r="B59" s="673" t="n">
        <v>2026</v>
      </c>
      <c r="C59" s="674" t="inlineStr">
        <is>
          <t>ARRIYADIA</t>
        </is>
      </c>
      <c r="D59" s="674" t="inlineStr">
        <is>
          <t>PV N° : 01RC2025- DCCCA</t>
        </is>
      </c>
      <c r="E59" s="675" t="inlineStr">
        <is>
          <t>CONTRAT</t>
        </is>
      </c>
      <c r="F59" s="675" t="n"/>
      <c r="G59" s="676" t="inlineStr">
        <is>
          <t>KHALID AFIF  -  Consultant Tennis</t>
        </is>
      </c>
      <c r="H59" s="673" t="inlineStr">
        <is>
          <t>VALIDE</t>
        </is>
      </c>
      <c r="I59" s="675" t="inlineStr">
        <is>
          <t>APPROUVE</t>
        </is>
      </c>
      <c r="J59" s="675" t="n"/>
      <c r="K59" s="673" t="inlineStr">
        <is>
          <t>NON CONCERNE</t>
        </is>
      </c>
      <c r="L59" s="675" t="inlineStr">
        <is>
          <t>Ordinaire</t>
        </is>
      </c>
      <c r="M59" s="677" t="inlineStr">
        <is>
          <t>FONCTIONNEMENT</t>
        </is>
      </c>
      <c r="N59" s="678" t="inlineStr">
        <is>
          <t xml:space="preserve">Prestations de service
Achat prestations de services locales - personnes physiques </t>
        </is>
      </c>
      <c r="O59" s="679" t="n"/>
      <c r="P59" s="680" t="n"/>
      <c r="Q59" s="680" t="n"/>
      <c r="R59" s="675" t="inlineStr">
        <is>
          <t>RECONDUCTION</t>
        </is>
      </c>
      <c r="S59" s="681" t="n"/>
      <c r="T59" s="682" t="n"/>
      <c r="U59" s="683" t="inlineStr">
        <is>
          <t>KHALID AFIF</t>
        </is>
      </c>
      <c r="V59" s="675" t="n">
        <v>2026</v>
      </c>
      <c r="W59" s="682" t="n">
        <v>46022</v>
      </c>
      <c r="X59" s="682" t="n"/>
      <c r="Y59" s="682" t="n">
        <v>46024</v>
      </c>
      <c r="Z59" s="679" t="n">
        <v>150500</v>
      </c>
      <c r="AA59" s="680" t="n">
        <v>0</v>
      </c>
      <c r="AB59" s="680">
        <f>Z59</f>
        <v/>
      </c>
      <c r="AC59" s="680" t="n">
        <v>0</v>
      </c>
      <c r="AD59" s="680">
        <f>Z59</f>
        <v/>
      </c>
      <c r="AE59" s="680">
        <f>Z59</f>
        <v/>
      </c>
      <c r="AF59" s="684" t="inlineStr">
        <is>
          <t>ENGAGE</t>
        </is>
      </c>
      <c r="AG59" s="683" t="n"/>
      <c r="AH59" s="680" t="n"/>
      <c r="AI59" s="680" t="n"/>
      <c r="AJ59" s="680" t="n"/>
      <c r="AK59" s="680" t="n"/>
      <c r="AL59" s="685" t="n"/>
      <c r="AM59" s="685" t="n"/>
      <c r="AN59" s="683" t="inlineStr">
        <is>
          <t>Manque n° contrat</t>
        </is>
      </c>
      <c r="AO59" s="686" t="n"/>
      <c r="AP59" s="687" t="n"/>
      <c r="AQ59" s="688" t="n"/>
      <c r="AR59" s="688" t="n"/>
      <c r="AS59" s="23" t="n"/>
      <c r="AT59" s="688" t="n"/>
    </row>
    <row r="60" ht="46.5" customHeight="1" s="392">
      <c r="A60" s="672">
        <f>IF(AF60="ENGAGE","✔",IF(AF60="EN COURS D'ENGAGEMENT","◕",IF(AF60="PREENGAGE","◑",IF(AF60="EN COURS DE PREENGAGEMENT","◔",IF(AF60="NON ENGAGE","✖","")))))</f>
        <v/>
      </c>
      <c r="B60" s="673" t="n">
        <v>2026</v>
      </c>
      <c r="C60" s="674" t="inlineStr">
        <is>
          <t>ARRIYADIA</t>
        </is>
      </c>
      <c r="D60" s="674" t="inlineStr">
        <is>
          <t>PV N° : 01RC2025- DCCCA</t>
        </is>
      </c>
      <c r="E60" s="675" t="inlineStr">
        <is>
          <t>CONTRAT</t>
        </is>
      </c>
      <c r="F60" s="675" t="n"/>
      <c r="G60" s="676" t="inlineStr">
        <is>
          <t>MOHSIN CHERGUI  -  Consultant omnisport</t>
        </is>
      </c>
      <c r="H60" s="673" t="inlineStr">
        <is>
          <t>VALIDE</t>
        </is>
      </c>
      <c r="I60" s="675" t="inlineStr">
        <is>
          <t>APPROUVE</t>
        </is>
      </c>
      <c r="J60" s="675" t="n"/>
      <c r="K60" s="673" t="inlineStr">
        <is>
          <t>NON CONCERNE</t>
        </is>
      </c>
      <c r="L60" s="675" t="inlineStr">
        <is>
          <t>Ordinaire</t>
        </is>
      </c>
      <c r="M60" s="677" t="inlineStr">
        <is>
          <t>FONCTIONNEMENT</t>
        </is>
      </c>
      <c r="N60" s="678" t="inlineStr">
        <is>
          <t xml:space="preserve">Prestations de service
Achat prestations de services locales - personnes physiques </t>
        </is>
      </c>
      <c r="O60" s="679" t="n"/>
      <c r="P60" s="680" t="n"/>
      <c r="Q60" s="680" t="n"/>
      <c r="R60" s="675" t="inlineStr">
        <is>
          <t>RECONDUCTION</t>
        </is>
      </c>
      <c r="S60" s="681" t="n"/>
      <c r="T60" s="682" t="n"/>
      <c r="U60" s="683" t="inlineStr">
        <is>
          <t>MOHSIN CHERGUI</t>
        </is>
      </c>
      <c r="V60" s="675" t="n">
        <v>2026</v>
      </c>
      <c r="W60" s="682" t="n">
        <v>46022</v>
      </c>
      <c r="X60" s="682" t="n"/>
      <c r="Y60" s="682" t="n">
        <v>46024</v>
      </c>
      <c r="Z60" s="679" t="n">
        <v>150000</v>
      </c>
      <c r="AA60" s="680" t="n">
        <v>0</v>
      </c>
      <c r="AB60" s="680">
        <f>Z60</f>
        <v/>
      </c>
      <c r="AC60" s="680" t="n">
        <v>0</v>
      </c>
      <c r="AD60" s="680">
        <f>Z60</f>
        <v/>
      </c>
      <c r="AE60" s="680">
        <f>Z60</f>
        <v/>
      </c>
      <c r="AF60" s="684" t="inlineStr">
        <is>
          <t>ENGAGE</t>
        </is>
      </c>
      <c r="AG60" s="683" t="n"/>
      <c r="AH60" s="680" t="n"/>
      <c r="AI60" s="680" t="n"/>
      <c r="AJ60" s="680" t="n"/>
      <c r="AK60" s="680" t="n"/>
      <c r="AL60" s="685" t="n"/>
      <c r="AM60" s="685" t="n"/>
      <c r="AN60" s="683" t="inlineStr">
        <is>
          <t>Manque n° contrat</t>
        </is>
      </c>
      <c r="AO60" s="686" t="n"/>
      <c r="AP60" s="687" t="n"/>
      <c r="AQ60" s="688" t="n"/>
      <c r="AR60" s="688" t="n"/>
      <c r="AS60" s="23" t="n"/>
      <c r="AT60" s="688" t="n"/>
    </row>
    <row r="61" ht="46.5" customHeight="1" s="392">
      <c r="A61" s="672">
        <f>IF(AF61="ENGAGE","✔",IF(AF61="EN COURS D'ENGAGEMENT","◕",IF(AF61="PREENGAGE","◑",IF(AF61="EN COURS DE PREENGAGEMENT","◔",IF(AF61="NON ENGAGE","✖","")))))</f>
        <v/>
      </c>
      <c r="B61" s="673" t="n">
        <v>2026</v>
      </c>
      <c r="C61" s="674" t="inlineStr">
        <is>
          <t>ASSADISSA</t>
        </is>
      </c>
      <c r="D61" s="674" t="inlineStr">
        <is>
          <t>PV N° : 01RC2025- DPPCCRTV</t>
        </is>
      </c>
      <c r="E61" s="675" t="inlineStr">
        <is>
          <t>CONTRAT</t>
        </is>
      </c>
      <c r="F61" s="675" t="n"/>
      <c r="G61" s="676" t="inlineStr">
        <is>
          <t>ZERHOUNI RABIA  -  Réalisatrice : Montage, mixage, animation des émissions RD et programmation RD</t>
        </is>
      </c>
      <c r="H61" s="673" t="inlineStr">
        <is>
          <t>VALIDE</t>
        </is>
      </c>
      <c r="I61" s="675" t="inlineStr">
        <is>
          <t>APPROUVE</t>
        </is>
      </c>
      <c r="J61" s="675" t="n"/>
      <c r="K61" s="673" t="inlineStr">
        <is>
          <t>NON CONCERNE</t>
        </is>
      </c>
      <c r="L61" s="675" t="inlineStr">
        <is>
          <t>Ordinaire</t>
        </is>
      </c>
      <c r="M61" s="677" t="inlineStr">
        <is>
          <t>FONCTIONNEMENT</t>
        </is>
      </c>
      <c r="N61" s="678" t="inlineStr">
        <is>
          <t xml:space="preserve">Prestations de service
Achat prestations de services locales - personnes physiques </t>
        </is>
      </c>
      <c r="O61" s="679" t="n"/>
      <c r="P61" s="680" t="n"/>
      <c r="Q61" s="680" t="n"/>
      <c r="R61" s="675" t="inlineStr">
        <is>
          <t>RECONDUCTION</t>
        </is>
      </c>
      <c r="S61" s="681" t="n"/>
      <c r="T61" s="682" t="n"/>
      <c r="U61" s="683" t="inlineStr">
        <is>
          <t>ZERHOUNI RABIA</t>
        </is>
      </c>
      <c r="V61" s="675" t="n">
        <v>2026</v>
      </c>
      <c r="W61" s="682" t="n">
        <v>46387</v>
      </c>
      <c r="X61" s="682" t="n"/>
      <c r="Y61" s="682" t="n">
        <v>46024</v>
      </c>
      <c r="Z61" s="679" t="n">
        <v>108000</v>
      </c>
      <c r="AA61" s="680" t="n">
        <v>0</v>
      </c>
      <c r="AB61" s="680">
        <f>Z61</f>
        <v/>
      </c>
      <c r="AC61" s="680" t="n">
        <v>0</v>
      </c>
      <c r="AD61" s="680">
        <f>Z61</f>
        <v/>
      </c>
      <c r="AE61" s="680">
        <f>Z61</f>
        <v/>
      </c>
      <c r="AF61" s="684" t="inlineStr">
        <is>
          <t>ENGAGE</t>
        </is>
      </c>
      <c r="AG61" s="683" t="n"/>
      <c r="AH61" s="680" t="n"/>
      <c r="AI61" s="680" t="n"/>
      <c r="AJ61" s="680" t="n"/>
      <c r="AK61" s="680" t="n"/>
      <c r="AL61" s="685" t="n"/>
      <c r="AM61" s="685" t="n"/>
      <c r="AN61" s="683" t="inlineStr">
        <is>
          <t>Manque n° contrat</t>
        </is>
      </c>
      <c r="AO61" s="686" t="n"/>
      <c r="AP61" s="687" t="n"/>
      <c r="AQ61" s="688" t="n"/>
      <c r="AR61" s="688" t="n"/>
      <c r="AS61" s="23" t="n"/>
      <c r="AT61" s="688" t="n"/>
    </row>
    <row r="62" ht="46.5" customHeight="1" s="392">
      <c r="A62" s="672">
        <f>IF(AF62="ENGAGE","✔",IF(AF62="EN COURS D'ENGAGEMENT","◕",IF(AF62="PREENGAGE","◑",IF(AF62="EN COURS DE PREENGAGEMENT","◔",IF(AF62="NON ENGAGE","✖","")))))</f>
        <v/>
      </c>
      <c r="B62" s="673" t="n">
        <v>2026</v>
      </c>
      <c r="C62" s="674" t="inlineStr">
        <is>
          <t>ASSADISSA</t>
        </is>
      </c>
      <c r="D62" s="674" t="inlineStr">
        <is>
          <t>PV N° : 01RC2025- DPPCCRTV</t>
        </is>
      </c>
      <c r="E62" s="675" t="inlineStr">
        <is>
          <t>CONTRAT</t>
        </is>
      </c>
      <c r="F62" s="675" t="n"/>
      <c r="G62" s="676" t="inlineStr">
        <is>
          <t>BENIKES KARIMA  -  Réalisatrice : Montage, mixage et programmation RD</t>
        </is>
      </c>
      <c r="H62" s="673" t="inlineStr">
        <is>
          <t>VALIDE</t>
        </is>
      </c>
      <c r="I62" s="675" t="inlineStr">
        <is>
          <t>APPROUVE</t>
        </is>
      </c>
      <c r="J62" s="675" t="n"/>
      <c r="K62" s="673" t="inlineStr">
        <is>
          <t>NON CONCERNE</t>
        </is>
      </c>
      <c r="L62" s="675" t="inlineStr">
        <is>
          <t>Ordinaire</t>
        </is>
      </c>
      <c r="M62" s="677" t="inlineStr">
        <is>
          <t>FONCTIONNEMENT</t>
        </is>
      </c>
      <c r="N62" s="678" t="inlineStr">
        <is>
          <t xml:space="preserve">Prestations de service
Achat prestations de services locales - personnes physiques </t>
        </is>
      </c>
      <c r="O62" s="679" t="n"/>
      <c r="P62" s="680" t="n"/>
      <c r="Q62" s="680" t="n"/>
      <c r="R62" s="675" t="inlineStr">
        <is>
          <t>RECONDUCTION</t>
        </is>
      </c>
      <c r="S62" s="681" t="n"/>
      <c r="T62" s="682" t="n"/>
      <c r="U62" s="683" t="inlineStr">
        <is>
          <t>BENIKES KARIMA</t>
        </is>
      </c>
      <c r="V62" s="675" t="n">
        <v>2026</v>
      </c>
      <c r="W62" s="682" t="n">
        <v>46387</v>
      </c>
      <c r="X62" s="682" t="n"/>
      <c r="Y62" s="682" t="n">
        <v>46024</v>
      </c>
      <c r="Z62" s="679" t="n">
        <v>72000</v>
      </c>
      <c r="AA62" s="680" t="n">
        <v>0</v>
      </c>
      <c r="AB62" s="680">
        <f>Z62</f>
        <v/>
      </c>
      <c r="AC62" s="680" t="n">
        <v>0</v>
      </c>
      <c r="AD62" s="680">
        <f>Z62</f>
        <v/>
      </c>
      <c r="AE62" s="680">
        <f>Z62</f>
        <v/>
      </c>
      <c r="AF62" s="684" t="inlineStr">
        <is>
          <t>ENGAGE</t>
        </is>
      </c>
      <c r="AG62" s="683" t="n"/>
      <c r="AH62" s="680" t="n"/>
      <c r="AI62" s="680" t="n"/>
      <c r="AJ62" s="680" t="n"/>
      <c r="AK62" s="680" t="n"/>
      <c r="AL62" s="685" t="n"/>
      <c r="AM62" s="685" t="n"/>
      <c r="AN62" s="683" t="inlineStr">
        <is>
          <t>Manque n° contrat</t>
        </is>
      </c>
      <c r="AO62" s="686" t="n"/>
      <c r="AP62" s="687" t="n"/>
      <c r="AQ62" s="688" t="n"/>
      <c r="AR62" s="688" t="n"/>
      <c r="AS62" s="23" t="n"/>
      <c r="AT62" s="688" t="n"/>
    </row>
    <row r="63" ht="46.5" customHeight="1" s="392">
      <c r="A63" s="672">
        <f>IF(AF63="ENGAGE","✔",IF(AF63="EN COURS D'ENGAGEMENT","◕",IF(AF63="PREENGAGE","◑",IF(AF63="EN COURS DE PREENGAGEMENT","◔",IF(AF63="NON ENGAGE","✖","")))))</f>
        <v/>
      </c>
      <c r="B63" s="673" t="n">
        <v>2026</v>
      </c>
      <c r="C63" s="674" t="inlineStr">
        <is>
          <t>ASSADISSA</t>
        </is>
      </c>
      <c r="D63" s="674" t="inlineStr">
        <is>
          <t>PV N° : 01RC2025- DPPCCRTV</t>
        </is>
      </c>
      <c r="E63" s="675" t="inlineStr">
        <is>
          <t>CONTRAT</t>
        </is>
      </c>
      <c r="F63" s="675" t="n"/>
      <c r="G63" s="676" t="inlineStr">
        <is>
          <t>LAHKIM OUMAIMA  -  Programmatrice : Programmation TV (Conducteur quotidien)</t>
        </is>
      </c>
      <c r="H63" s="673" t="inlineStr">
        <is>
          <t>VALIDE</t>
        </is>
      </c>
      <c r="I63" s="675" t="inlineStr">
        <is>
          <t>APPROUVE</t>
        </is>
      </c>
      <c r="J63" s="675" t="n"/>
      <c r="K63" s="673" t="inlineStr">
        <is>
          <t>NON CONCERNE</t>
        </is>
      </c>
      <c r="L63" s="675" t="inlineStr">
        <is>
          <t>Ordinaire</t>
        </is>
      </c>
      <c r="M63" s="677" t="inlineStr">
        <is>
          <t>FONCTIONNEMENT</t>
        </is>
      </c>
      <c r="N63" s="678" t="inlineStr">
        <is>
          <t xml:space="preserve">Prestations de service
Achat prestations de services locales - personnes physiques </t>
        </is>
      </c>
      <c r="O63" s="679" t="n"/>
      <c r="P63" s="680" t="n"/>
      <c r="Q63" s="680" t="n"/>
      <c r="R63" s="675" t="inlineStr">
        <is>
          <t>RECONDUCTION</t>
        </is>
      </c>
      <c r="S63" s="681" t="n"/>
      <c r="T63" s="682" t="n"/>
      <c r="U63" s="683" t="inlineStr">
        <is>
          <t>LAHKIM OUMAIMA</t>
        </is>
      </c>
      <c r="V63" s="675" t="n">
        <v>2026</v>
      </c>
      <c r="W63" s="682" t="n">
        <v>46387</v>
      </c>
      <c r="X63" s="682" t="n"/>
      <c r="Y63" s="682" t="n">
        <v>46024</v>
      </c>
      <c r="Z63" s="679" t="n">
        <v>84000</v>
      </c>
      <c r="AA63" s="680" t="n">
        <v>0</v>
      </c>
      <c r="AB63" s="680">
        <f>Z63</f>
        <v/>
      </c>
      <c r="AC63" s="680" t="n">
        <v>0</v>
      </c>
      <c r="AD63" s="680">
        <f>Z63</f>
        <v/>
      </c>
      <c r="AE63" s="680">
        <f>Z63</f>
        <v/>
      </c>
      <c r="AF63" s="684" t="inlineStr">
        <is>
          <t>ENGAGE</t>
        </is>
      </c>
      <c r="AG63" s="683" t="n"/>
      <c r="AH63" s="680" t="n"/>
      <c r="AI63" s="680" t="n"/>
      <c r="AJ63" s="680" t="n"/>
      <c r="AK63" s="680" t="n"/>
      <c r="AL63" s="685" t="n"/>
      <c r="AM63" s="685" t="n"/>
      <c r="AN63" s="683" t="inlineStr">
        <is>
          <t>Manque n° contrat</t>
        </is>
      </c>
      <c r="AO63" s="686" t="n"/>
      <c r="AP63" s="687" t="n"/>
      <c r="AQ63" s="688" t="n"/>
      <c r="AR63" s="688" t="n"/>
      <c r="AS63" s="23" t="n"/>
      <c r="AT63" s="688" t="n"/>
    </row>
    <row r="64" ht="46.5" customHeight="1" s="392">
      <c r="A64" s="672">
        <f>IF(AF64="ENGAGE","✔",IF(AF64="EN COURS D'ENGAGEMENT","◕",IF(AF64="PREENGAGE","◑",IF(AF64="EN COURS DE PREENGAGEMENT","◔",IF(AF64="NON ENGAGE","✖","")))))</f>
        <v/>
      </c>
      <c r="B64" s="673" t="n">
        <v>2026</v>
      </c>
      <c r="C64" s="674" t="inlineStr">
        <is>
          <t>ASSADISSA</t>
        </is>
      </c>
      <c r="D64" s="674" t="inlineStr">
        <is>
          <t>PV N° : 01RC2025- DPPCCRTV</t>
        </is>
      </c>
      <c r="E64" s="675" t="inlineStr">
        <is>
          <t>CONTRAT</t>
        </is>
      </c>
      <c r="F64" s="675" t="n"/>
      <c r="G64" s="676" t="inlineStr">
        <is>
          <t>DEHROUR OUSSAMA  -  Infographiste : le montage, l'infographie et la coordination du portail de la Chaîne,</t>
        </is>
      </c>
      <c r="H64" s="673" t="inlineStr">
        <is>
          <t>VALIDE</t>
        </is>
      </c>
      <c r="I64" s="675" t="inlineStr">
        <is>
          <t>APPROUVE</t>
        </is>
      </c>
      <c r="J64" s="675" t="n"/>
      <c r="K64" s="673" t="inlineStr">
        <is>
          <t>NON CONCERNE</t>
        </is>
      </c>
      <c r="L64" s="675" t="inlineStr">
        <is>
          <t>Ordinaire</t>
        </is>
      </c>
      <c r="M64" s="677" t="inlineStr">
        <is>
          <t>FONCTIONNEMENT</t>
        </is>
      </c>
      <c r="N64" s="678" t="inlineStr">
        <is>
          <t xml:space="preserve">Prestations de service
Achat prestations de services locales - personnes physiques </t>
        </is>
      </c>
      <c r="O64" s="679" t="n"/>
      <c r="P64" s="680" t="n"/>
      <c r="Q64" s="680" t="n"/>
      <c r="R64" s="675" t="inlineStr">
        <is>
          <t>RECONDUCTION</t>
        </is>
      </c>
      <c r="S64" s="681" t="n"/>
      <c r="T64" s="682" t="n"/>
      <c r="U64" s="683" t="inlineStr">
        <is>
          <t>DEHROUR OUSSAMA</t>
        </is>
      </c>
      <c r="V64" s="675" t="n">
        <v>2026</v>
      </c>
      <c r="W64" s="682" t="n">
        <v>46387</v>
      </c>
      <c r="X64" s="682" t="n"/>
      <c r="Y64" s="682" t="n">
        <v>46024</v>
      </c>
      <c r="Z64" s="679" t="n">
        <v>84000</v>
      </c>
      <c r="AA64" s="680" t="n">
        <v>0</v>
      </c>
      <c r="AB64" s="680">
        <f>Z64</f>
        <v/>
      </c>
      <c r="AC64" s="680" t="n">
        <v>0</v>
      </c>
      <c r="AD64" s="680">
        <f>Z64</f>
        <v/>
      </c>
      <c r="AE64" s="680">
        <f>Z64</f>
        <v/>
      </c>
      <c r="AF64" s="684" t="inlineStr">
        <is>
          <t>ENGAGE</t>
        </is>
      </c>
      <c r="AG64" s="683" t="n"/>
      <c r="AH64" s="680" t="n"/>
      <c r="AI64" s="680" t="n"/>
      <c r="AJ64" s="680" t="n"/>
      <c r="AK64" s="680" t="n"/>
      <c r="AL64" s="685" t="n"/>
      <c r="AM64" s="685" t="n"/>
      <c r="AN64" s="683" t="inlineStr">
        <is>
          <t>Manque n° contrat</t>
        </is>
      </c>
      <c r="AO64" s="686" t="n"/>
      <c r="AP64" s="687" t="n"/>
      <c r="AQ64" s="688" t="n"/>
      <c r="AR64" s="688" t="n"/>
      <c r="AS64" s="23" t="n"/>
      <c r="AT64" s="688" t="n"/>
    </row>
    <row r="65" ht="46.5" customHeight="1" s="392">
      <c r="A65" s="672">
        <f>IF(AF65="ENGAGE","✔",IF(AF65="EN COURS D'ENGAGEMENT","◕",IF(AF65="PREENGAGE","◑",IF(AF65="EN COURS DE PREENGAGEMENT","◔",IF(AF65="NON ENGAGE","✖","")))))</f>
        <v/>
      </c>
      <c r="B65" s="673" t="n">
        <v>2026</v>
      </c>
      <c r="C65" s="674" t="inlineStr">
        <is>
          <t>ASSADISSA</t>
        </is>
      </c>
      <c r="D65" s="674" t="inlineStr">
        <is>
          <t>PV N° : 01RC2025- DPPCCRTV</t>
        </is>
      </c>
      <c r="E65" s="675" t="inlineStr">
        <is>
          <t>CONTRAT</t>
        </is>
      </c>
      <c r="F65" s="675" t="n"/>
      <c r="G65" s="676" t="inlineStr">
        <is>
          <t>NASREDDINE MOUHCINE  -  Prise de vue et Prise de son TV (OPV/OPS)</t>
        </is>
      </c>
      <c r="H65" s="673" t="inlineStr">
        <is>
          <t>VALIDE</t>
        </is>
      </c>
      <c r="I65" s="675" t="inlineStr">
        <is>
          <t>APPROUVE</t>
        </is>
      </c>
      <c r="J65" s="675" t="n"/>
      <c r="K65" s="673" t="inlineStr">
        <is>
          <t>NON CONCERNE</t>
        </is>
      </c>
      <c r="L65" s="675" t="inlineStr">
        <is>
          <t>Ordinaire</t>
        </is>
      </c>
      <c r="M65" s="677" t="inlineStr">
        <is>
          <t>FONCTIONNEMENT</t>
        </is>
      </c>
      <c r="N65" s="678" t="inlineStr">
        <is>
          <t xml:space="preserve">Prestations de service
Achat prestations de services locales - personnes physiques </t>
        </is>
      </c>
      <c r="O65" s="679" t="n"/>
      <c r="P65" s="680" t="n"/>
      <c r="Q65" s="680" t="n"/>
      <c r="R65" s="675" t="inlineStr">
        <is>
          <t>RECONDUCTION</t>
        </is>
      </c>
      <c r="S65" s="681" t="n"/>
      <c r="T65" s="682" t="n"/>
      <c r="U65" s="683" t="inlineStr">
        <is>
          <t>NASREDDINE MOUHCINE</t>
        </is>
      </c>
      <c r="V65" s="675" t="n">
        <v>2026</v>
      </c>
      <c r="W65" s="682" t="n">
        <v>46387</v>
      </c>
      <c r="X65" s="682" t="n"/>
      <c r="Y65" s="682" t="n">
        <v>46024</v>
      </c>
      <c r="Z65" s="679" t="n">
        <v>84000</v>
      </c>
      <c r="AA65" s="680" t="n">
        <v>0</v>
      </c>
      <c r="AB65" s="680">
        <f>Z65</f>
        <v/>
      </c>
      <c r="AC65" s="680" t="n">
        <v>0</v>
      </c>
      <c r="AD65" s="680">
        <f>Z65</f>
        <v/>
      </c>
      <c r="AE65" s="680">
        <f>Z65</f>
        <v/>
      </c>
      <c r="AF65" s="684" t="inlineStr">
        <is>
          <t>ENGAGE</t>
        </is>
      </c>
      <c r="AG65" s="683" t="n"/>
      <c r="AH65" s="680" t="n"/>
      <c r="AI65" s="680" t="n"/>
      <c r="AJ65" s="680" t="n"/>
      <c r="AK65" s="680" t="n"/>
      <c r="AL65" s="685" t="n"/>
      <c r="AM65" s="685" t="n"/>
      <c r="AN65" s="683" t="inlineStr">
        <is>
          <t>Manque n° contrat</t>
        </is>
      </c>
      <c r="AO65" s="686" t="n"/>
      <c r="AP65" s="687" t="n"/>
      <c r="AQ65" s="688" t="n"/>
      <c r="AR65" s="688" t="n"/>
      <c r="AS65" s="23" t="n"/>
      <c r="AT65" s="688" t="n"/>
    </row>
    <row r="66" ht="46.5" customHeight="1" s="392">
      <c r="A66" s="672">
        <f>IF(AF66="ENGAGE","✔",IF(AF66="EN COURS D'ENGAGEMENT","◕",IF(AF66="PREENGAGE","◑",IF(AF66="EN COURS DE PREENGAGEMENT","◔",IF(AF66="NON ENGAGE","✖","")))))</f>
        <v/>
      </c>
      <c r="B66" s="673" t="n">
        <v>2026</v>
      </c>
      <c r="C66" s="674" t="inlineStr">
        <is>
          <t>ASSADISSA</t>
        </is>
      </c>
      <c r="D66" s="674" t="inlineStr">
        <is>
          <t>PV N° : 01RC2025- DPPCCRTV</t>
        </is>
      </c>
      <c r="E66" s="675" t="inlineStr">
        <is>
          <t>CONTRAT</t>
        </is>
      </c>
      <c r="F66" s="675" t="n"/>
      <c r="G66" s="676" t="inlineStr">
        <is>
          <t>HAJJOUJI YOUSSEF  -  Prise de vue (OPV) et le montage TV</t>
        </is>
      </c>
      <c r="H66" s="673" t="inlineStr">
        <is>
          <t>VALIDE</t>
        </is>
      </c>
      <c r="I66" s="675" t="inlineStr">
        <is>
          <t>APPROUVE</t>
        </is>
      </c>
      <c r="J66" s="675" t="n"/>
      <c r="K66" s="673" t="inlineStr">
        <is>
          <t>NON CONCERNE</t>
        </is>
      </c>
      <c r="L66" s="675" t="inlineStr">
        <is>
          <t>Ordinaire</t>
        </is>
      </c>
      <c r="M66" s="677" t="inlineStr">
        <is>
          <t>FONCTIONNEMENT</t>
        </is>
      </c>
      <c r="N66" s="678" t="inlineStr">
        <is>
          <t xml:space="preserve">Prestations de service
Achat prestations de services locales - personnes physiques </t>
        </is>
      </c>
      <c r="O66" s="679" t="n"/>
      <c r="P66" s="680" t="n"/>
      <c r="Q66" s="680" t="n"/>
      <c r="R66" s="675" t="inlineStr">
        <is>
          <t>RECONDUCTION</t>
        </is>
      </c>
      <c r="S66" s="681" t="n"/>
      <c r="T66" s="682" t="n"/>
      <c r="U66" s="683" t="inlineStr">
        <is>
          <t>HAJJOUJI YOUSSEF</t>
        </is>
      </c>
      <c r="V66" s="675" t="n">
        <v>2026</v>
      </c>
      <c r="W66" s="682" t="n">
        <v>46387</v>
      </c>
      <c r="X66" s="682" t="n"/>
      <c r="Y66" s="682" t="n">
        <v>46024</v>
      </c>
      <c r="Z66" s="679" t="n">
        <v>84000</v>
      </c>
      <c r="AA66" s="680" t="n">
        <v>0</v>
      </c>
      <c r="AB66" s="680">
        <f>Z66</f>
        <v/>
      </c>
      <c r="AC66" s="680" t="n">
        <v>0</v>
      </c>
      <c r="AD66" s="680">
        <f>Z66</f>
        <v/>
      </c>
      <c r="AE66" s="680">
        <f>Z66</f>
        <v/>
      </c>
      <c r="AF66" s="684" t="inlineStr">
        <is>
          <t>ENGAGE</t>
        </is>
      </c>
      <c r="AG66" s="683" t="n"/>
      <c r="AH66" s="680" t="n"/>
      <c r="AI66" s="680" t="n"/>
      <c r="AJ66" s="680" t="n"/>
      <c r="AK66" s="680" t="n"/>
      <c r="AL66" s="685" t="n"/>
      <c r="AM66" s="685" t="n"/>
      <c r="AN66" s="683" t="inlineStr">
        <is>
          <t>Manque n° contrat</t>
        </is>
      </c>
      <c r="AO66" s="686" t="n"/>
      <c r="AP66" s="687" t="n"/>
      <c r="AQ66" s="688" t="n"/>
      <c r="AR66" s="688" t="n"/>
      <c r="AS66" s="23" t="n"/>
      <c r="AT66" s="688" t="n"/>
    </row>
    <row r="67" ht="46.5" customHeight="1" s="392">
      <c r="A67" s="672">
        <f>IF(AF67="ENGAGE","✔",IF(AF67="EN COURS D'ENGAGEMENT","◕",IF(AF67="PREENGAGE","◑",IF(AF67="EN COURS DE PREENGAGEMENT","◔",IF(AF67="NON ENGAGE","✖","")))))</f>
        <v/>
      </c>
      <c r="B67" s="673" t="n">
        <v>2026</v>
      </c>
      <c r="C67" s="674" t="inlineStr">
        <is>
          <t>ASSADISSA</t>
        </is>
      </c>
      <c r="D67" s="674" t="inlineStr">
        <is>
          <t>PV N° : 01RC2025- DPPCCRTV</t>
        </is>
      </c>
      <c r="E67" s="675" t="inlineStr">
        <is>
          <t>CONTRAT</t>
        </is>
      </c>
      <c r="F67" s="675" t="n"/>
      <c r="G67" s="676" t="inlineStr">
        <is>
          <t>DRISSI WALID  -  Prise de vue et Prise de son TV (OPV/OPS)</t>
        </is>
      </c>
      <c r="H67" s="673" t="inlineStr">
        <is>
          <t>VALIDE</t>
        </is>
      </c>
      <c r="I67" s="675" t="inlineStr">
        <is>
          <t>APPROUVE</t>
        </is>
      </c>
      <c r="J67" s="675" t="n"/>
      <c r="K67" s="673" t="inlineStr">
        <is>
          <t>NON CONCERNE</t>
        </is>
      </c>
      <c r="L67" s="675" t="inlineStr">
        <is>
          <t>Ordinaire</t>
        </is>
      </c>
      <c r="M67" s="677" t="inlineStr">
        <is>
          <t>FONCTIONNEMENT</t>
        </is>
      </c>
      <c r="N67" s="678" t="inlineStr">
        <is>
          <t xml:space="preserve">Prestations de service
Achat prestations de services locales - personnes physiques </t>
        </is>
      </c>
      <c r="O67" s="679" t="n"/>
      <c r="P67" s="680" t="n"/>
      <c r="Q67" s="680" t="n"/>
      <c r="R67" s="675" t="inlineStr">
        <is>
          <t>RECONDUCTION</t>
        </is>
      </c>
      <c r="S67" s="681" t="n"/>
      <c r="T67" s="682" t="n"/>
      <c r="U67" s="683" t="inlineStr">
        <is>
          <t>DRISSI WALID</t>
        </is>
      </c>
      <c r="V67" s="675" t="n">
        <v>2026</v>
      </c>
      <c r="W67" s="682" t="n">
        <v>46387</v>
      </c>
      <c r="X67" s="682" t="n"/>
      <c r="Y67" s="682" t="n">
        <v>46024</v>
      </c>
      <c r="Z67" s="679" t="n">
        <v>84000</v>
      </c>
      <c r="AA67" s="680" t="n">
        <v>0</v>
      </c>
      <c r="AB67" s="680">
        <f>Z67</f>
        <v/>
      </c>
      <c r="AC67" s="680" t="n">
        <v>0</v>
      </c>
      <c r="AD67" s="680">
        <f>Z67</f>
        <v/>
      </c>
      <c r="AE67" s="680">
        <f>Z67</f>
        <v/>
      </c>
      <c r="AF67" s="684" t="inlineStr">
        <is>
          <t>ENGAGE</t>
        </is>
      </c>
      <c r="AG67" s="683" t="n"/>
      <c r="AH67" s="680" t="n"/>
      <c r="AI67" s="680" t="n"/>
      <c r="AJ67" s="680" t="n"/>
      <c r="AK67" s="680" t="n"/>
      <c r="AL67" s="685" t="n"/>
      <c r="AM67" s="685" t="n"/>
      <c r="AN67" s="683" t="inlineStr">
        <is>
          <t>Manque n° contrat</t>
        </is>
      </c>
      <c r="AO67" s="686" t="n"/>
      <c r="AP67" s="687" t="n"/>
      <c r="AQ67" s="688" t="n"/>
      <c r="AR67" s="688" t="n"/>
      <c r="AS67" s="23" t="n"/>
      <c r="AT67" s="688" t="n"/>
    </row>
    <row r="68" ht="46.5" customHeight="1" s="392">
      <c r="A68" s="672">
        <f>IF(AF68="ENGAGE","✔",IF(AF68="EN COURS D'ENGAGEMENT","◕",IF(AF68="PREENGAGE","◑",IF(AF68="EN COURS DE PREENGAGEMENT","◔",IF(AF68="NON ENGAGE","✖","")))))</f>
        <v/>
      </c>
      <c r="B68" s="673" t="n">
        <v>2026</v>
      </c>
      <c r="C68" s="674" t="inlineStr">
        <is>
          <t>ASSADISSA</t>
        </is>
      </c>
      <c r="D68" s="674" t="inlineStr">
        <is>
          <t>PV N° : 01RC2025- DPPCCRTV</t>
        </is>
      </c>
      <c r="E68" s="675" t="inlineStr">
        <is>
          <t>CONTRAT</t>
        </is>
      </c>
      <c r="F68" s="675" t="n"/>
      <c r="G68" s="676" t="inlineStr">
        <is>
          <t>EZ-ZHR MOHAMED  -  Prise de vue et Prise de son TV (OPV/OPS)</t>
        </is>
      </c>
      <c r="H68" s="673" t="inlineStr">
        <is>
          <t>VALIDE</t>
        </is>
      </c>
      <c r="I68" s="675" t="inlineStr">
        <is>
          <t>APPROUVE</t>
        </is>
      </c>
      <c r="J68" s="675" t="n"/>
      <c r="K68" s="673" t="inlineStr">
        <is>
          <t>NON CONCERNE</t>
        </is>
      </c>
      <c r="L68" s="675" t="inlineStr">
        <is>
          <t>Ordinaire</t>
        </is>
      </c>
      <c r="M68" s="677" t="inlineStr">
        <is>
          <t>FONCTIONNEMENT</t>
        </is>
      </c>
      <c r="N68" s="678" t="inlineStr">
        <is>
          <t xml:space="preserve">Prestations de service
Achat prestations de services locales - personnes physiques </t>
        </is>
      </c>
      <c r="O68" s="679" t="n"/>
      <c r="P68" s="680" t="n"/>
      <c r="Q68" s="680" t="n"/>
      <c r="R68" s="675" t="inlineStr">
        <is>
          <t>RECONDUCTION</t>
        </is>
      </c>
      <c r="S68" s="681" t="n"/>
      <c r="T68" s="682" t="n"/>
      <c r="U68" s="683" t="inlineStr">
        <is>
          <t>EZ-ZHR MOHAMED</t>
        </is>
      </c>
      <c r="V68" s="675" t="n">
        <v>2026</v>
      </c>
      <c r="W68" s="682" t="n">
        <v>46387</v>
      </c>
      <c r="X68" s="682" t="n"/>
      <c r="Y68" s="682" t="n">
        <v>46024</v>
      </c>
      <c r="Z68" s="679" t="n">
        <v>84000</v>
      </c>
      <c r="AA68" s="680" t="n">
        <v>0</v>
      </c>
      <c r="AB68" s="680">
        <f>Z68</f>
        <v/>
      </c>
      <c r="AC68" s="680" t="n">
        <v>0</v>
      </c>
      <c r="AD68" s="680">
        <f>Z68</f>
        <v/>
      </c>
      <c r="AE68" s="680">
        <f>Z68</f>
        <v/>
      </c>
      <c r="AF68" s="684" t="inlineStr">
        <is>
          <t>ENGAGE</t>
        </is>
      </c>
      <c r="AG68" s="683" t="n"/>
      <c r="AH68" s="680" t="n"/>
      <c r="AI68" s="680" t="n"/>
      <c r="AJ68" s="680" t="n"/>
      <c r="AK68" s="680" t="n"/>
      <c r="AL68" s="685" t="n"/>
      <c r="AM68" s="685" t="n"/>
      <c r="AN68" s="683" t="inlineStr">
        <is>
          <t>Manque n° contrat</t>
        </is>
      </c>
      <c r="AO68" s="686" t="n"/>
      <c r="AP68" s="687" t="n"/>
      <c r="AQ68" s="688" t="n"/>
      <c r="AR68" s="688" t="n"/>
      <c r="AS68" s="23" t="n"/>
      <c r="AT68" s="688" t="n"/>
    </row>
    <row r="69" ht="46.5" customHeight="1" s="392">
      <c r="A69" s="672">
        <f>IF(AF69="ENGAGE","✔",IF(AF69="EN COURS D'ENGAGEMENT","◕",IF(AF69="PREENGAGE","◑",IF(AF69="EN COURS DE PREENGAGEMENT","◔",IF(AF69="NON ENGAGE","✖","")))))</f>
        <v/>
      </c>
      <c r="B69" s="673" t="n">
        <v>2026</v>
      </c>
      <c r="C69" s="674" t="inlineStr">
        <is>
          <t>ASSADISSA</t>
        </is>
      </c>
      <c r="D69" s="674" t="inlineStr">
        <is>
          <t>PV N° : 01RC2025- DPPCCRTV</t>
        </is>
      </c>
      <c r="E69" s="675" t="inlineStr">
        <is>
          <t>CONTRAT</t>
        </is>
      </c>
      <c r="F69" s="675" t="n"/>
      <c r="G69" s="676" t="inlineStr">
        <is>
          <t>ABIDA ILIAS  -  Prise de vue TV et Prise de son TV (OPV/OPS)</t>
        </is>
      </c>
      <c r="H69" s="673" t="inlineStr">
        <is>
          <t>VALIDE</t>
        </is>
      </c>
      <c r="I69" s="675" t="inlineStr">
        <is>
          <t>APPROUVE</t>
        </is>
      </c>
      <c r="J69" s="675" t="n"/>
      <c r="K69" s="673" t="inlineStr">
        <is>
          <t>NON CONCERNE</t>
        </is>
      </c>
      <c r="L69" s="675" t="inlineStr">
        <is>
          <t>Ordinaire</t>
        </is>
      </c>
      <c r="M69" s="677" t="inlineStr">
        <is>
          <t>FONCTIONNEMENT</t>
        </is>
      </c>
      <c r="N69" s="678" t="inlineStr">
        <is>
          <t xml:space="preserve">Prestations de service
Achat prestations de services locales - personnes physiques </t>
        </is>
      </c>
      <c r="O69" s="679" t="n"/>
      <c r="P69" s="680" t="n"/>
      <c r="Q69" s="680" t="n"/>
      <c r="R69" s="675" t="inlineStr">
        <is>
          <t>RECONDUCTION</t>
        </is>
      </c>
      <c r="S69" s="681" t="n"/>
      <c r="T69" s="682" t="n"/>
      <c r="U69" s="683" t="inlineStr">
        <is>
          <t>ABIDA ILIAS</t>
        </is>
      </c>
      <c r="V69" s="675" t="n">
        <v>2026</v>
      </c>
      <c r="W69" s="682" t="n">
        <v>46387</v>
      </c>
      <c r="X69" s="682" t="n"/>
      <c r="Y69" s="682" t="n">
        <v>46024</v>
      </c>
      <c r="Z69" s="679" t="n">
        <v>84000</v>
      </c>
      <c r="AA69" s="680" t="n">
        <v>0</v>
      </c>
      <c r="AB69" s="680">
        <f>Z69</f>
        <v/>
      </c>
      <c r="AC69" s="680" t="n">
        <v>0</v>
      </c>
      <c r="AD69" s="680">
        <f>Z69</f>
        <v/>
      </c>
      <c r="AE69" s="680">
        <f>Z69</f>
        <v/>
      </c>
      <c r="AF69" s="684" t="inlineStr">
        <is>
          <t>ENGAGE</t>
        </is>
      </c>
      <c r="AG69" s="683" t="n"/>
      <c r="AH69" s="680" t="n"/>
      <c r="AI69" s="680" t="n"/>
      <c r="AJ69" s="680" t="n"/>
      <c r="AK69" s="680" t="n"/>
      <c r="AL69" s="685" t="n"/>
      <c r="AM69" s="685" t="n"/>
      <c r="AN69" s="683" t="inlineStr">
        <is>
          <t>Manque n° contrat</t>
        </is>
      </c>
      <c r="AO69" s="686" t="n"/>
      <c r="AP69" s="687" t="n"/>
      <c r="AQ69" s="688" t="n"/>
      <c r="AR69" s="688" t="n"/>
      <c r="AS69" s="23" t="n"/>
      <c r="AT69" s="688" t="n"/>
    </row>
    <row r="70" ht="46.5" customHeight="1" s="392">
      <c r="A70" s="672">
        <f>IF(AF70="ENGAGE","✔",IF(AF70="EN COURS D'ENGAGEMENT","◕",IF(AF70="PREENGAGE","◑",IF(AF70="EN COURS DE PREENGAGEMENT","◔",IF(AF70="NON ENGAGE","✖","")))))</f>
        <v/>
      </c>
      <c r="B70" s="673" t="n">
        <v>2026</v>
      </c>
      <c r="C70" s="674" t="inlineStr">
        <is>
          <t>ASSADISSA</t>
        </is>
      </c>
      <c r="D70" s="674" t="inlineStr">
        <is>
          <t>PV N° : 01RC2025- DPPCCRTV</t>
        </is>
      </c>
      <c r="E70" s="675" t="inlineStr">
        <is>
          <t>CONTRAT</t>
        </is>
      </c>
      <c r="F70" s="675" t="n"/>
      <c r="G70" s="676" t="inlineStr">
        <is>
          <t>ELMHAMDI BADR  -  Prise de vue et Prise de son TV (OPV/OPS)</t>
        </is>
      </c>
      <c r="H70" s="673" t="inlineStr">
        <is>
          <t>VALIDE</t>
        </is>
      </c>
      <c r="I70" s="675" t="inlineStr">
        <is>
          <t>APPROUVE</t>
        </is>
      </c>
      <c r="J70" s="675" t="n"/>
      <c r="K70" s="673" t="inlineStr">
        <is>
          <t>NON CONCERNE</t>
        </is>
      </c>
      <c r="L70" s="675" t="inlineStr">
        <is>
          <t>Ordinaire</t>
        </is>
      </c>
      <c r="M70" s="677" t="inlineStr">
        <is>
          <t>FONCTIONNEMENT</t>
        </is>
      </c>
      <c r="N70" s="678" t="inlineStr">
        <is>
          <t xml:space="preserve">Prestations de service
Achat prestations de services locales - personnes physiques </t>
        </is>
      </c>
      <c r="O70" s="679" t="n"/>
      <c r="P70" s="680" t="n"/>
      <c r="Q70" s="680" t="n"/>
      <c r="R70" s="675" t="inlineStr">
        <is>
          <t>RECONDUCTION</t>
        </is>
      </c>
      <c r="S70" s="681" t="n"/>
      <c r="T70" s="682" t="n"/>
      <c r="U70" s="683" t="inlineStr">
        <is>
          <t>ELMHAMDI BADR</t>
        </is>
      </c>
      <c r="V70" s="675" t="n">
        <v>2026</v>
      </c>
      <c r="W70" s="682" t="n">
        <v>46387</v>
      </c>
      <c r="X70" s="682" t="n"/>
      <c r="Y70" s="682" t="n">
        <v>46024</v>
      </c>
      <c r="Z70" s="679" t="n">
        <v>84000</v>
      </c>
      <c r="AA70" s="680" t="n">
        <v>0</v>
      </c>
      <c r="AB70" s="680">
        <f>Z70</f>
        <v/>
      </c>
      <c r="AC70" s="680" t="n">
        <v>0</v>
      </c>
      <c r="AD70" s="680">
        <f>Z70</f>
        <v/>
      </c>
      <c r="AE70" s="680">
        <f>Z70</f>
        <v/>
      </c>
      <c r="AF70" s="684" t="inlineStr">
        <is>
          <t>ENGAGE</t>
        </is>
      </c>
      <c r="AG70" s="683" t="n"/>
      <c r="AH70" s="680" t="n"/>
      <c r="AI70" s="680" t="n"/>
      <c r="AJ70" s="680" t="n"/>
      <c r="AK70" s="680" t="n"/>
      <c r="AL70" s="685" t="n"/>
      <c r="AM70" s="685" t="n"/>
      <c r="AN70" s="683" t="inlineStr">
        <is>
          <t>Manque n° contrat</t>
        </is>
      </c>
      <c r="AO70" s="686" t="n"/>
      <c r="AP70" s="687" t="n"/>
      <c r="AQ70" s="688" t="n"/>
      <c r="AR70" s="688" t="n"/>
      <c r="AS70" s="23" t="n"/>
      <c r="AT70" s="688" t="n"/>
    </row>
    <row r="71" ht="46.5" customHeight="1" s="392">
      <c r="A71" s="672">
        <f>IF(AF71="ENGAGE","✔",IF(AF71="EN COURS D'ENGAGEMENT","◕",IF(AF71="PREENGAGE","◑",IF(AF71="EN COURS DE PREENGAGEMENT","◔",IF(AF71="NON ENGAGE","✖","")))))</f>
        <v/>
      </c>
      <c r="B71" s="673" t="n">
        <v>2026</v>
      </c>
      <c r="C71" s="674" t="inlineStr">
        <is>
          <t>ASSADISSA</t>
        </is>
      </c>
      <c r="D71" s="674" t="inlineStr">
        <is>
          <t>PV N° : 01RC2025- DPPCCRTV</t>
        </is>
      </c>
      <c r="E71" s="675" t="inlineStr">
        <is>
          <t>CONTRAT</t>
        </is>
      </c>
      <c r="F71" s="675" t="n"/>
      <c r="G71" s="676" t="inlineStr">
        <is>
          <t>BENGHABRIT ANAS  -  Animateur RD/TV : la gestion de l'antenne RD, la couverture et le reportage RD/TV</t>
        </is>
      </c>
      <c r="H71" s="673" t="inlineStr">
        <is>
          <t>VALIDE</t>
        </is>
      </c>
      <c r="I71" s="675" t="inlineStr">
        <is>
          <t>APPROUVE</t>
        </is>
      </c>
      <c r="J71" s="675" t="n"/>
      <c r="K71" s="673" t="inlineStr">
        <is>
          <t>NON CONCERNE</t>
        </is>
      </c>
      <c r="L71" s="675" t="inlineStr">
        <is>
          <t>Ordinaire</t>
        </is>
      </c>
      <c r="M71" s="677" t="inlineStr">
        <is>
          <t>FONCTIONNEMENT</t>
        </is>
      </c>
      <c r="N71" s="678" t="inlineStr">
        <is>
          <t xml:space="preserve">Prestations de service
Achat prestations de services locales - personnes physiques </t>
        </is>
      </c>
      <c r="O71" s="679" t="n"/>
      <c r="P71" s="680" t="n"/>
      <c r="Q71" s="680" t="n"/>
      <c r="R71" s="675" t="inlineStr">
        <is>
          <t>RECONDUCTION</t>
        </is>
      </c>
      <c r="S71" s="681" t="n"/>
      <c r="T71" s="682" t="n"/>
      <c r="U71" s="683" t="inlineStr">
        <is>
          <t>BENGHABRIT ANAS</t>
        </is>
      </c>
      <c r="V71" s="675" t="n">
        <v>2026</v>
      </c>
      <c r="W71" s="682" t="n">
        <v>46387</v>
      </c>
      <c r="X71" s="682" t="n"/>
      <c r="Y71" s="682" t="n">
        <v>46024</v>
      </c>
      <c r="Z71" s="679" t="n">
        <v>144000</v>
      </c>
      <c r="AA71" s="680" t="n">
        <v>0</v>
      </c>
      <c r="AB71" s="680">
        <f>Z71</f>
        <v/>
      </c>
      <c r="AC71" s="680" t="n">
        <v>0</v>
      </c>
      <c r="AD71" s="680">
        <f>Z71</f>
        <v/>
      </c>
      <c r="AE71" s="680">
        <f>Z71</f>
        <v/>
      </c>
      <c r="AF71" s="684" t="inlineStr">
        <is>
          <t>ENGAGE</t>
        </is>
      </c>
      <c r="AG71" s="683" t="n"/>
      <c r="AH71" s="680" t="n"/>
      <c r="AI71" s="680" t="n"/>
      <c r="AJ71" s="680" t="n"/>
      <c r="AK71" s="680" t="n"/>
      <c r="AL71" s="685" t="n"/>
      <c r="AM71" s="685" t="n"/>
      <c r="AN71" s="683" t="inlineStr">
        <is>
          <t>Manque n° contrat</t>
        </is>
      </c>
      <c r="AO71" s="686" t="n"/>
      <c r="AP71" s="687" t="n"/>
      <c r="AQ71" s="688" t="n"/>
      <c r="AR71" s="688" t="n"/>
      <c r="AS71" s="23" t="n"/>
      <c r="AT71" s="688" t="n"/>
    </row>
    <row r="72" ht="46.5" customHeight="1" s="392">
      <c r="A72" s="672">
        <f>IF(AF72="ENGAGE","✔",IF(AF72="EN COURS D'ENGAGEMENT","◕",IF(AF72="PREENGAGE","◑",IF(AF72="EN COURS DE PREENGAGEMENT","◔",IF(AF72="NON ENGAGE","✖","")))))</f>
        <v/>
      </c>
      <c r="B72" s="673" t="n">
        <v>2026</v>
      </c>
      <c r="C72" s="674" t="inlineStr">
        <is>
          <t>ASSADISSA</t>
        </is>
      </c>
      <c r="D72" s="674" t="inlineStr">
        <is>
          <t>PV N° : 01RC2025- DPPCCRTV</t>
        </is>
      </c>
      <c r="E72" s="675" t="inlineStr">
        <is>
          <t>CONTRAT</t>
        </is>
      </c>
      <c r="F72" s="675" t="n"/>
      <c r="G72" s="676" t="inlineStr">
        <is>
          <t>TALAOUI YASSINE  -  Animateur RD/TV : la gestion de l'antenne RD, la couverture et le reportage RD/TV</t>
        </is>
      </c>
      <c r="H72" s="673" t="inlineStr">
        <is>
          <t>VALIDE</t>
        </is>
      </c>
      <c r="I72" s="675" t="inlineStr">
        <is>
          <t>APPROUVE</t>
        </is>
      </c>
      <c r="J72" s="675" t="n"/>
      <c r="K72" s="673" t="inlineStr">
        <is>
          <t>NON CONCERNE</t>
        </is>
      </c>
      <c r="L72" s="675" t="inlineStr">
        <is>
          <t>Ordinaire</t>
        </is>
      </c>
      <c r="M72" s="677" t="inlineStr">
        <is>
          <t>FONCTIONNEMENT</t>
        </is>
      </c>
      <c r="N72" s="678" t="inlineStr">
        <is>
          <t xml:space="preserve">Prestations de service
Achat prestations de services locales - personnes physiques </t>
        </is>
      </c>
      <c r="O72" s="679" t="n"/>
      <c r="P72" s="680" t="n"/>
      <c r="Q72" s="680" t="n"/>
      <c r="R72" s="675" t="inlineStr">
        <is>
          <t>RECONDUCTION</t>
        </is>
      </c>
      <c r="S72" s="681" t="n"/>
      <c r="T72" s="682" t="n"/>
      <c r="U72" s="683" t="inlineStr">
        <is>
          <t>TALAOUI YASSINE</t>
        </is>
      </c>
      <c r="V72" s="675" t="n">
        <v>2026</v>
      </c>
      <c r="W72" s="682" t="n">
        <v>46387</v>
      </c>
      <c r="X72" s="682" t="n"/>
      <c r="Y72" s="682" t="n">
        <v>46024</v>
      </c>
      <c r="Z72" s="679" t="n">
        <v>144000</v>
      </c>
      <c r="AA72" s="680" t="n">
        <v>0</v>
      </c>
      <c r="AB72" s="680">
        <f>Z72</f>
        <v/>
      </c>
      <c r="AC72" s="680" t="n">
        <v>0</v>
      </c>
      <c r="AD72" s="680">
        <f>Z72</f>
        <v/>
      </c>
      <c r="AE72" s="680">
        <f>Z72</f>
        <v/>
      </c>
      <c r="AF72" s="684" t="inlineStr">
        <is>
          <t>ENGAGE</t>
        </is>
      </c>
      <c r="AG72" s="683" t="n"/>
      <c r="AH72" s="680" t="n"/>
      <c r="AI72" s="680" t="n"/>
      <c r="AJ72" s="680" t="n"/>
      <c r="AK72" s="680" t="n"/>
      <c r="AL72" s="685" t="n"/>
      <c r="AM72" s="685" t="n"/>
      <c r="AN72" s="683" t="inlineStr">
        <is>
          <t>Manque n° contrat</t>
        </is>
      </c>
      <c r="AO72" s="686" t="n"/>
      <c r="AP72" s="687" t="n"/>
      <c r="AQ72" s="688" t="n"/>
      <c r="AR72" s="688" t="n"/>
      <c r="AS72" s="23" t="n"/>
      <c r="AT72" s="688" t="n"/>
    </row>
    <row r="73" ht="46.5" customHeight="1" s="392">
      <c r="A73" s="672">
        <f>IF(AF73="ENGAGE","✔",IF(AF73="EN COURS D'ENGAGEMENT","◕",IF(AF73="PREENGAGE","◑",IF(AF73="EN COURS DE PREENGAGEMENT","◔",IF(AF73="NON ENGAGE","✖","")))))</f>
        <v/>
      </c>
      <c r="B73" s="673" t="n">
        <v>2026</v>
      </c>
      <c r="C73" s="674" t="inlineStr">
        <is>
          <t>ASSADISSA</t>
        </is>
      </c>
      <c r="D73" s="674" t="inlineStr">
        <is>
          <t>PV N° : 01RC2025- DPPCCRTV</t>
        </is>
      </c>
      <c r="E73" s="675" t="inlineStr">
        <is>
          <t>CONTRAT</t>
        </is>
      </c>
      <c r="F73" s="675" t="n"/>
      <c r="G73" s="676" t="inlineStr">
        <is>
          <t>JABRANE WAFAE  -  Animatrice : RD/TV</t>
        </is>
      </c>
      <c r="H73" s="673" t="inlineStr">
        <is>
          <t>VALIDE</t>
        </is>
      </c>
      <c r="I73" s="675" t="inlineStr">
        <is>
          <t>APPROUVE</t>
        </is>
      </c>
      <c r="J73" s="675" t="n"/>
      <c r="K73" s="673" t="inlineStr">
        <is>
          <t>NON CONCERNE</t>
        </is>
      </c>
      <c r="L73" s="675" t="inlineStr">
        <is>
          <t>Ordinaire</t>
        </is>
      </c>
      <c r="M73" s="677" t="inlineStr">
        <is>
          <t>FONCTIONNEMENT</t>
        </is>
      </c>
      <c r="N73" s="678" t="inlineStr">
        <is>
          <t xml:space="preserve">Prestations de service
Achat prestations de services locales - personnes physiques </t>
        </is>
      </c>
      <c r="O73" s="679" t="n"/>
      <c r="P73" s="680" t="n"/>
      <c r="Q73" s="680" t="n"/>
      <c r="R73" s="675" t="inlineStr">
        <is>
          <t>RECONDUCTION</t>
        </is>
      </c>
      <c r="S73" s="681" t="n"/>
      <c r="T73" s="682" t="n"/>
      <c r="U73" s="683" t="inlineStr">
        <is>
          <t>JABRANE WAFAE</t>
        </is>
      </c>
      <c r="V73" s="675" t="n">
        <v>2026</v>
      </c>
      <c r="W73" s="682" t="n">
        <v>46387</v>
      </c>
      <c r="X73" s="682" t="n"/>
      <c r="Y73" s="682" t="n">
        <v>46024</v>
      </c>
      <c r="Z73" s="679" t="n">
        <v>60000</v>
      </c>
      <c r="AA73" s="680" t="n">
        <v>0</v>
      </c>
      <c r="AB73" s="680">
        <f>Z73</f>
        <v/>
      </c>
      <c r="AC73" s="680" t="n">
        <v>0</v>
      </c>
      <c r="AD73" s="680">
        <f>Z73</f>
        <v/>
      </c>
      <c r="AE73" s="680">
        <f>Z73</f>
        <v/>
      </c>
      <c r="AF73" s="684" t="inlineStr">
        <is>
          <t>ENGAGE</t>
        </is>
      </c>
      <c r="AG73" s="683" t="n"/>
      <c r="AH73" s="680" t="n"/>
      <c r="AI73" s="680" t="n"/>
      <c r="AJ73" s="680" t="n"/>
      <c r="AK73" s="680" t="n"/>
      <c r="AL73" s="685" t="n"/>
      <c r="AM73" s="685" t="n"/>
      <c r="AN73" s="683" t="inlineStr">
        <is>
          <t>Manque n° contrat</t>
        </is>
      </c>
      <c r="AO73" s="686" t="n"/>
      <c r="AP73" s="687" t="n"/>
      <c r="AQ73" s="688" t="n"/>
      <c r="AR73" s="688" t="n"/>
      <c r="AS73" s="23" t="n"/>
      <c r="AT73" s="688" t="n"/>
    </row>
    <row r="74" ht="50.55" customHeight="1" s="392">
      <c r="A74" s="672">
        <f>IF(AF74="ENGAGE","✔",IF(AF74="EN COURS D'ENGAGEMENT","◕",IF(AF74="PREENGAGE","◑",IF(AF74="EN COURS DE PREENGAGEMENT","◔",IF(AF74="NON ENGAGE","✖","")))))</f>
        <v/>
      </c>
      <c r="B74" s="673" t="n">
        <v>2026</v>
      </c>
      <c r="C74" s="674" t="inlineStr">
        <is>
          <t>ASSADISSA</t>
        </is>
      </c>
      <c r="D74" s="674" t="inlineStr">
        <is>
          <t>PV N° : 01RC2025- DPPCCRTV</t>
        </is>
      </c>
      <c r="E74" s="675" t="inlineStr">
        <is>
          <t>CONTRAT</t>
        </is>
      </c>
      <c r="F74" s="675" t="n"/>
      <c r="G74" s="676" t="inlineStr">
        <is>
          <t>MANAL LAHFAOUI  -  Programmatrice TV : le montage, la coordination du portail de la chaîne, la coordination et le suivi avec la commission scientifique et l'archivage STM.</t>
        </is>
      </c>
      <c r="H74" s="673" t="inlineStr">
        <is>
          <t>VALIDE</t>
        </is>
      </c>
      <c r="I74" s="675" t="inlineStr">
        <is>
          <t>APPROUVE</t>
        </is>
      </c>
      <c r="J74" s="675" t="n"/>
      <c r="K74" s="673" t="inlineStr">
        <is>
          <t>NON CONCERNE</t>
        </is>
      </c>
      <c r="L74" s="675" t="inlineStr">
        <is>
          <t>Ordinaire</t>
        </is>
      </c>
      <c r="M74" s="677" t="inlineStr">
        <is>
          <t>FONCTIONNEMENT</t>
        </is>
      </c>
      <c r="N74" s="678" t="inlineStr">
        <is>
          <t xml:space="preserve">Prestations de service
Achat prestations de services locales - personnes physiques </t>
        </is>
      </c>
      <c r="O74" s="679" t="n"/>
      <c r="P74" s="680" t="n"/>
      <c r="Q74" s="680" t="n"/>
      <c r="R74" s="675" t="inlineStr">
        <is>
          <t>RECONDUCTION</t>
        </is>
      </c>
      <c r="S74" s="681" t="n"/>
      <c r="T74" s="682" t="n"/>
      <c r="U74" s="683" t="inlineStr">
        <is>
          <t>MANAL LAHFAOUI</t>
        </is>
      </c>
      <c r="V74" s="675" t="n">
        <v>2026</v>
      </c>
      <c r="W74" s="682" t="n">
        <v>46387</v>
      </c>
      <c r="X74" s="682" t="n"/>
      <c r="Y74" s="682" t="n">
        <v>46024</v>
      </c>
      <c r="Z74" s="679" t="n">
        <v>72000</v>
      </c>
      <c r="AA74" s="680" t="n">
        <v>0</v>
      </c>
      <c r="AB74" s="680">
        <f>Z74</f>
        <v/>
      </c>
      <c r="AC74" s="680" t="n">
        <v>0</v>
      </c>
      <c r="AD74" s="680">
        <f>Z74</f>
        <v/>
      </c>
      <c r="AE74" s="680">
        <f>Z74</f>
        <v/>
      </c>
      <c r="AF74" s="684" t="inlineStr">
        <is>
          <t>ENGAGE</t>
        </is>
      </c>
      <c r="AG74" s="683" t="n"/>
      <c r="AH74" s="680" t="n"/>
      <c r="AI74" s="680" t="n"/>
      <c r="AJ74" s="680" t="n"/>
      <c r="AK74" s="680" t="n"/>
      <c r="AL74" s="685" t="n"/>
      <c r="AM74" s="685" t="n"/>
      <c r="AN74" s="683" t="inlineStr">
        <is>
          <t>Manque n° contrat</t>
        </is>
      </c>
      <c r="AO74" s="686" t="n"/>
      <c r="AP74" s="687" t="n"/>
      <c r="AQ74" s="688" t="n"/>
      <c r="AR74" s="688" t="n"/>
      <c r="AS74" s="23" t="n"/>
      <c r="AT74" s="688" t="n"/>
    </row>
    <row r="75" ht="46.5" customHeight="1" s="392">
      <c r="A75" s="672">
        <f>IF(AF75="ENGAGE","✔",IF(AF75="EN COURS D'ENGAGEMENT","◕",IF(AF75="PREENGAGE","◑",IF(AF75="EN COURS DE PREENGAGEMENT","◔",IF(AF75="NON ENGAGE","✖","")))))</f>
        <v/>
      </c>
      <c r="B75" s="673" t="n">
        <v>2026</v>
      </c>
      <c r="C75" s="674" t="inlineStr">
        <is>
          <t>ASSADISSA</t>
        </is>
      </c>
      <c r="D75" s="674" t="inlineStr">
        <is>
          <t>PV N° : 01RC2025- DPPCCRTV</t>
        </is>
      </c>
      <c r="E75" s="675" t="inlineStr">
        <is>
          <t>CONTRAT</t>
        </is>
      </c>
      <c r="F75" s="675" t="n"/>
      <c r="G75" s="676" t="inlineStr">
        <is>
          <t>HAZMIRI OMAR  -  Réalisateur RD : montage, mixage et réalisation des émissions RD</t>
        </is>
      </c>
      <c r="H75" s="673" t="inlineStr">
        <is>
          <t>VALIDE</t>
        </is>
      </c>
      <c r="I75" s="675" t="inlineStr">
        <is>
          <t>APPROUVE</t>
        </is>
      </c>
      <c r="J75" s="675" t="n"/>
      <c r="K75" s="673" t="inlineStr">
        <is>
          <t>NON CONCERNE</t>
        </is>
      </c>
      <c r="L75" s="675" t="inlineStr">
        <is>
          <t>Ordinaire</t>
        </is>
      </c>
      <c r="M75" s="677" t="inlineStr">
        <is>
          <t>FONCTIONNEMENT</t>
        </is>
      </c>
      <c r="N75" s="678" t="inlineStr">
        <is>
          <t xml:space="preserve">Prestations de service
Achat prestations de services locales - personnes physiques </t>
        </is>
      </c>
      <c r="O75" s="679" t="n"/>
      <c r="P75" s="680" t="n"/>
      <c r="Q75" s="680" t="n"/>
      <c r="R75" s="675" t="inlineStr">
        <is>
          <t>RECONDUCTION</t>
        </is>
      </c>
      <c r="S75" s="681" t="n"/>
      <c r="T75" s="682" t="n"/>
      <c r="U75" s="683" t="inlineStr">
        <is>
          <t>HAZMIRI OMAR</t>
        </is>
      </c>
      <c r="V75" s="675" t="n">
        <v>2026</v>
      </c>
      <c r="W75" s="682" t="n">
        <v>46387</v>
      </c>
      <c r="X75" s="682" t="n"/>
      <c r="Y75" s="682" t="n">
        <v>46024</v>
      </c>
      <c r="Z75" s="679" t="n">
        <v>84000</v>
      </c>
      <c r="AA75" s="680" t="n">
        <v>0</v>
      </c>
      <c r="AB75" s="680">
        <f>Z75</f>
        <v/>
      </c>
      <c r="AC75" s="680" t="n">
        <v>0</v>
      </c>
      <c r="AD75" s="680">
        <f>Z75</f>
        <v/>
      </c>
      <c r="AE75" s="680">
        <f>Z75</f>
        <v/>
      </c>
      <c r="AF75" s="684" t="inlineStr">
        <is>
          <t>ENGAGE</t>
        </is>
      </c>
      <c r="AG75" s="683" t="n"/>
      <c r="AH75" s="680" t="n"/>
      <c r="AI75" s="680" t="n"/>
      <c r="AJ75" s="680" t="n"/>
      <c r="AK75" s="680" t="n"/>
      <c r="AL75" s="685" t="n"/>
      <c r="AM75" s="685" t="n"/>
      <c r="AN75" s="683" t="inlineStr">
        <is>
          <t>Manque n° contrat</t>
        </is>
      </c>
      <c r="AO75" s="686" t="n"/>
      <c r="AP75" s="687" t="n"/>
      <c r="AQ75" s="688" t="n"/>
      <c r="AR75" s="688" t="n"/>
      <c r="AS75" s="23" t="n"/>
      <c r="AT75" s="688" t="n"/>
    </row>
    <row r="76" ht="46.5" customHeight="1" s="392">
      <c r="A76" s="672">
        <f>IF(AF76="ENGAGE","✔",IF(AF76="EN COURS D'ENGAGEMENT","◕",IF(AF76="PREENGAGE","◑",IF(AF76="EN COURS DE PREENGAGEMENT","◔",IF(AF76="NON ENGAGE","✖","")))))</f>
        <v/>
      </c>
      <c r="B76" s="673" t="n">
        <v>2026</v>
      </c>
      <c r="C76" s="674" t="inlineStr">
        <is>
          <t>ASSADISSA</t>
        </is>
      </c>
      <c r="D76" s="674" t="inlineStr">
        <is>
          <t>PV N° : 01RC2025- DPPCCRTV</t>
        </is>
      </c>
      <c r="E76" s="675" t="inlineStr">
        <is>
          <t>CONTRAT</t>
        </is>
      </c>
      <c r="F76" s="675" t="n"/>
      <c r="G76" s="676" t="inlineStr">
        <is>
          <t>EL HAJJI FARID  -  Prise de vue, prise de son, (OPV / OPS)</t>
        </is>
      </c>
      <c r="H76" s="673" t="inlineStr">
        <is>
          <t>VALIDE</t>
        </is>
      </c>
      <c r="I76" s="675" t="inlineStr">
        <is>
          <t>APPROUVE</t>
        </is>
      </c>
      <c r="J76" s="675" t="n"/>
      <c r="K76" s="673" t="inlineStr">
        <is>
          <t>NON CONCERNE</t>
        </is>
      </c>
      <c r="L76" s="675" t="inlineStr">
        <is>
          <t>Ordinaire</t>
        </is>
      </c>
      <c r="M76" s="677" t="inlineStr">
        <is>
          <t>FONCTIONNEMENT</t>
        </is>
      </c>
      <c r="N76" s="678" t="inlineStr">
        <is>
          <t xml:space="preserve">Prestations de service
Achat prestations de services locales - personnes physiques </t>
        </is>
      </c>
      <c r="O76" s="679" t="n"/>
      <c r="P76" s="680" t="n"/>
      <c r="Q76" s="680" t="n"/>
      <c r="R76" s="675" t="inlineStr">
        <is>
          <t>RECONDUCTION</t>
        </is>
      </c>
      <c r="S76" s="681" t="n"/>
      <c r="T76" s="682" t="n"/>
      <c r="U76" s="683" t="inlineStr">
        <is>
          <t>EL HAJJI FARID</t>
        </is>
      </c>
      <c r="V76" s="675" t="n">
        <v>2026</v>
      </c>
      <c r="W76" s="682" t="n">
        <v>46387</v>
      </c>
      <c r="X76" s="682" t="n"/>
      <c r="Y76" s="682" t="n">
        <v>46024</v>
      </c>
      <c r="Z76" s="679" t="n">
        <v>84000</v>
      </c>
      <c r="AA76" s="680" t="n">
        <v>0</v>
      </c>
      <c r="AB76" s="680">
        <f>Z76</f>
        <v/>
      </c>
      <c r="AC76" s="680" t="n">
        <v>0</v>
      </c>
      <c r="AD76" s="680">
        <f>Z76</f>
        <v/>
      </c>
      <c r="AE76" s="680">
        <f>Z76</f>
        <v/>
      </c>
      <c r="AF76" s="684" t="inlineStr">
        <is>
          <t>ENGAGE</t>
        </is>
      </c>
      <c r="AG76" s="683" t="n"/>
      <c r="AH76" s="680" t="n"/>
      <c r="AI76" s="680" t="n"/>
      <c r="AJ76" s="680" t="n"/>
      <c r="AK76" s="680" t="n"/>
      <c r="AL76" s="685" t="n"/>
      <c r="AM76" s="685" t="n"/>
      <c r="AN76" s="683" t="inlineStr">
        <is>
          <t>Manque n° contrat</t>
        </is>
      </c>
      <c r="AO76" s="686" t="n"/>
      <c r="AP76" s="687" t="n"/>
      <c r="AQ76" s="688" t="n"/>
      <c r="AR76" s="688" t="n"/>
      <c r="AS76" s="23" t="n"/>
      <c r="AT76" s="688" t="n"/>
    </row>
    <row r="77" ht="50.55" customHeight="1" s="392">
      <c r="A77" s="672">
        <f>IF(AF77="ENGAGE","✔",IF(AF77="EN COURS D'ENGAGEMENT","◕",IF(AF77="PREENGAGE","◑",IF(AF77="EN COURS DE PREENGAGEMENT","◔",IF(AF77="NON ENGAGE","✖","")))))</f>
        <v/>
      </c>
      <c r="B77" s="673" t="n">
        <v>2026</v>
      </c>
      <c r="C77" s="674" t="inlineStr">
        <is>
          <t>ASSADISSA</t>
        </is>
      </c>
      <c r="D77" s="674" t="inlineStr">
        <is>
          <t>PV N° : 01RC2025- DPPCCRTV</t>
        </is>
      </c>
      <c r="E77" s="675" t="inlineStr">
        <is>
          <t>CONTRAT</t>
        </is>
      </c>
      <c r="F77" s="675" t="n"/>
      <c r="G77" s="676" t="inlineStr">
        <is>
          <t>CHBANI SALMA  -  La prise de vue, prise de son, (OPV / OPS), infographie, montage   et coordination du portail de la chaîne</t>
        </is>
      </c>
      <c r="H77" s="673" t="inlineStr">
        <is>
          <t>VALIDE</t>
        </is>
      </c>
      <c r="I77" s="675" t="inlineStr">
        <is>
          <t>APPROUVE</t>
        </is>
      </c>
      <c r="J77" s="675" t="n"/>
      <c r="K77" s="673" t="inlineStr">
        <is>
          <t>NON CONCERNE</t>
        </is>
      </c>
      <c r="L77" s="675" t="inlineStr">
        <is>
          <t>Ordinaire</t>
        </is>
      </c>
      <c r="M77" s="677" t="inlineStr">
        <is>
          <t>FONCTIONNEMENT</t>
        </is>
      </c>
      <c r="N77" s="678" t="inlineStr">
        <is>
          <t xml:space="preserve">Prestations de service
Achat prestations de services locales - personnes physiques </t>
        </is>
      </c>
      <c r="O77" s="679" t="n"/>
      <c r="P77" s="680" t="n"/>
      <c r="Q77" s="680" t="n"/>
      <c r="R77" s="675" t="inlineStr">
        <is>
          <t>RECONDUCTION</t>
        </is>
      </c>
      <c r="S77" s="681" t="n"/>
      <c r="T77" s="682" t="n"/>
      <c r="U77" s="683" t="inlineStr">
        <is>
          <t>CHBANI SALMA</t>
        </is>
      </c>
      <c r="V77" s="675" t="n">
        <v>2026</v>
      </c>
      <c r="W77" s="682" t="n">
        <v>46387</v>
      </c>
      <c r="X77" s="682" t="n"/>
      <c r="Y77" s="682" t="n">
        <v>46024</v>
      </c>
      <c r="Z77" s="679" t="n">
        <v>84000</v>
      </c>
      <c r="AA77" s="680" t="n">
        <v>0</v>
      </c>
      <c r="AB77" s="680">
        <f>Z77</f>
        <v/>
      </c>
      <c r="AC77" s="680" t="n">
        <v>0</v>
      </c>
      <c r="AD77" s="680">
        <f>Z77</f>
        <v/>
      </c>
      <c r="AE77" s="680">
        <f>Z77</f>
        <v/>
      </c>
      <c r="AF77" s="684" t="inlineStr">
        <is>
          <t>ENGAGE</t>
        </is>
      </c>
      <c r="AG77" s="683" t="n"/>
      <c r="AH77" s="680" t="n"/>
      <c r="AI77" s="680" t="n"/>
      <c r="AJ77" s="680" t="n"/>
      <c r="AK77" s="680" t="n"/>
      <c r="AL77" s="685" t="n"/>
      <c r="AM77" s="685" t="n"/>
      <c r="AN77" s="683" t="inlineStr">
        <is>
          <t>Manque n° contrat</t>
        </is>
      </c>
      <c r="AO77" s="686" t="n"/>
      <c r="AP77" s="687" t="n"/>
      <c r="AQ77" s="688" t="n"/>
      <c r="AR77" s="688" t="n"/>
      <c r="AS77" s="23" t="n"/>
      <c r="AT77" s="688" t="n"/>
    </row>
    <row r="78" ht="33" customHeight="1" s="392">
      <c r="A78" s="672">
        <f>IF(AF78="ENGAGE","✔",IF(AF78="EN COURS D'ENGAGEMENT","◕",IF(AF78="PREENGAGE","◑",IF(AF78="EN COURS DE PREENGAGEMENT","◔",IF(AF78="NON ENGAGE","✖","")))))</f>
        <v/>
      </c>
      <c r="B78" s="673" t="n">
        <v>2026</v>
      </c>
      <c r="C78" s="674" t="inlineStr">
        <is>
          <t>DAR</t>
        </is>
      </c>
      <c r="D78" s="674" t="inlineStr">
        <is>
          <t>PV N° : 01RC2025- DAR</t>
        </is>
      </c>
      <c r="E78" s="675" t="inlineStr">
        <is>
          <t>CONTRAT</t>
        </is>
      </c>
      <c r="F78" s="675" t="n"/>
      <c r="G78" s="676" t="inlineStr">
        <is>
          <t>YOUNESS MAZZA  -  Journaliste Arabophone Sénior</t>
        </is>
      </c>
      <c r="H78" s="673" t="inlineStr">
        <is>
          <t>VALIDE</t>
        </is>
      </c>
      <c r="I78" s="675" t="inlineStr">
        <is>
          <t>APPROUVE</t>
        </is>
      </c>
      <c r="J78" s="675" t="n"/>
      <c r="K78" s="673" t="inlineStr">
        <is>
          <t>NON CONCERNE</t>
        </is>
      </c>
      <c r="L78" s="675" t="inlineStr">
        <is>
          <t>Ordinaire</t>
        </is>
      </c>
      <c r="M78" s="677" t="inlineStr">
        <is>
          <t>FONCTIONNEMENT</t>
        </is>
      </c>
      <c r="N78" s="678" t="inlineStr">
        <is>
          <t xml:space="preserve">Achat prestations de services locales - personnes physiques </t>
        </is>
      </c>
      <c r="O78" s="679" t="n"/>
      <c r="P78" s="680" t="n"/>
      <c r="Q78" s="680" t="n"/>
      <c r="R78" s="675" t="inlineStr">
        <is>
          <t>RECONDUCTION</t>
        </is>
      </c>
      <c r="S78" s="681" t="n"/>
      <c r="T78" s="682" t="n"/>
      <c r="U78" s="683" t="inlineStr">
        <is>
          <t>YOUNESS MAZZA</t>
        </is>
      </c>
      <c r="V78" s="675" t="n">
        <v>2026</v>
      </c>
      <c r="W78" s="682" t="n">
        <v>46387</v>
      </c>
      <c r="X78" s="682" t="n"/>
      <c r="Y78" s="682" t="n">
        <v>46024</v>
      </c>
      <c r="Z78" s="679" t="n">
        <v>108000</v>
      </c>
      <c r="AA78" s="680" t="n">
        <v>0</v>
      </c>
      <c r="AB78" s="680">
        <f>Z78</f>
        <v/>
      </c>
      <c r="AC78" s="680" t="n">
        <v>0</v>
      </c>
      <c r="AD78" s="680">
        <f>Z78</f>
        <v/>
      </c>
      <c r="AE78" s="680">
        <f>Z78</f>
        <v/>
      </c>
      <c r="AF78" s="684" t="inlineStr">
        <is>
          <t>ENGAGE</t>
        </is>
      </c>
      <c r="AG78" s="683" t="n"/>
      <c r="AH78" s="680" t="n"/>
      <c r="AI78" s="680" t="n"/>
      <c r="AJ78" s="680" t="n"/>
      <c r="AK78" s="680" t="n"/>
      <c r="AL78" s="685" t="n"/>
      <c r="AM78" s="685" t="n"/>
      <c r="AN78" s="683" t="inlineStr">
        <is>
          <t>Manque n° contrat</t>
        </is>
      </c>
      <c r="AO78" s="686" t="n"/>
      <c r="AP78" s="687" t="n"/>
      <c r="AQ78" s="688" t="n"/>
      <c r="AR78" s="688" t="n"/>
      <c r="AS78" s="23" t="n"/>
      <c r="AT78" s="688" t="n"/>
    </row>
    <row r="79" ht="46.5" customHeight="1" s="392">
      <c r="A79" s="672">
        <f>IF(AF79="ENGAGE","✔",IF(AF79="EN COURS D'ENGAGEMENT","◕",IF(AF79="PREENGAGE","◑",IF(AF79="EN COURS DE PREENGAGEMENT","◔",IF(AF79="NON ENGAGE","✖","")))))</f>
        <v/>
      </c>
      <c r="B79" s="673" t="n">
        <v>2026</v>
      </c>
      <c r="C79" s="674" t="inlineStr">
        <is>
          <t>DPMG</t>
        </is>
      </c>
      <c r="D79" s="674" t="inlineStr">
        <is>
          <t>PV N° : 01RC2025- DPMG</t>
        </is>
      </c>
      <c r="E79" s="675" t="inlineStr">
        <is>
          <t>CONTRAT</t>
        </is>
      </c>
      <c r="F79" s="675" t="n"/>
      <c r="G79" s="676" t="inlineStr">
        <is>
          <t>KHALID KHIYAITA  -  Gestion de la vidéosurveillance du contrôle d'accès et la détection d'incendie</t>
        </is>
      </c>
      <c r="H79" s="673" t="inlineStr">
        <is>
          <t>VALIDE</t>
        </is>
      </c>
      <c r="I79" s="675" t="inlineStr">
        <is>
          <t>APPROUVE</t>
        </is>
      </c>
      <c r="J79" s="675" t="n"/>
      <c r="K79" s="673" t="inlineStr">
        <is>
          <t>NON CONCERNE</t>
        </is>
      </c>
      <c r="L79" s="675" t="inlineStr">
        <is>
          <t>Ordinaire</t>
        </is>
      </c>
      <c r="M79" s="677" t="inlineStr">
        <is>
          <t>FONCTIONNEMENT</t>
        </is>
      </c>
      <c r="N79" s="678" t="inlineStr">
        <is>
          <t xml:space="preserve">Prestations de service
Achat prestations de services locales - personnes physiques </t>
        </is>
      </c>
      <c r="O79" s="679" t="n"/>
      <c r="P79" s="680" t="n"/>
      <c r="Q79" s="680" t="n"/>
      <c r="R79" s="675" t="inlineStr">
        <is>
          <t>RECONDUCTION</t>
        </is>
      </c>
      <c r="S79" s="681" t="n"/>
      <c r="T79" s="682" t="n"/>
      <c r="U79" s="683" t="inlineStr">
        <is>
          <t>KHALID KHIYAITA</t>
        </is>
      </c>
      <c r="V79" s="675" t="n">
        <v>2026</v>
      </c>
      <c r="W79" s="682" t="n">
        <v>46387</v>
      </c>
      <c r="X79" s="682" t="n"/>
      <c r="Y79" s="682" t="n">
        <v>46024</v>
      </c>
      <c r="Z79" s="679" t="n">
        <v>102857.16</v>
      </c>
      <c r="AA79" s="680" t="n">
        <v>0</v>
      </c>
      <c r="AB79" s="680">
        <f>Z79</f>
        <v/>
      </c>
      <c r="AC79" s="680" t="n">
        <v>0</v>
      </c>
      <c r="AD79" s="680">
        <f>Z79</f>
        <v/>
      </c>
      <c r="AE79" s="680">
        <f>Z79</f>
        <v/>
      </c>
      <c r="AF79" s="684" t="inlineStr">
        <is>
          <t>ENGAGE</t>
        </is>
      </c>
      <c r="AG79" s="683" t="n"/>
      <c r="AH79" s="680" t="n"/>
      <c r="AI79" s="680" t="n"/>
      <c r="AJ79" s="680" t="n"/>
      <c r="AK79" s="680" t="n"/>
      <c r="AL79" s="685" t="n"/>
      <c r="AM79" s="685" t="n"/>
      <c r="AN79" s="683" t="inlineStr">
        <is>
          <t>Manque n° contrat</t>
        </is>
      </c>
      <c r="AO79" s="686" t="n"/>
      <c r="AP79" s="687" t="n"/>
      <c r="AQ79" s="688" t="n"/>
      <c r="AR79" s="688" t="n"/>
      <c r="AS79" s="23" t="n"/>
      <c r="AT79" s="688" t="n"/>
    </row>
    <row r="80" ht="46.5" customHeight="1" s="392">
      <c r="A80" s="672">
        <f>IF(AF80="ENGAGE","✔",IF(AF80="EN COURS D'ENGAGEMENT","◕",IF(AF80="PREENGAGE","◑",IF(AF80="EN COURS DE PREENGAGEMENT","◔",IF(AF80="NON ENGAGE","✖","")))))</f>
        <v/>
      </c>
      <c r="B80" s="673" t="n">
        <v>2026</v>
      </c>
      <c r="C80" s="674" t="inlineStr">
        <is>
          <t>DPMG</t>
        </is>
      </c>
      <c r="D80" s="674" t="inlineStr">
        <is>
          <t>PV N° : 01RC2025- DPMG</t>
        </is>
      </c>
      <c r="E80" s="675" t="inlineStr">
        <is>
          <t>CONTRAT</t>
        </is>
      </c>
      <c r="F80" s="675" t="n"/>
      <c r="G80" s="676" t="inlineStr">
        <is>
          <t>SAMIR EDRIOUECH  -  Travaux de plomberie</t>
        </is>
      </c>
      <c r="H80" s="673" t="inlineStr">
        <is>
          <t>VALIDE</t>
        </is>
      </c>
      <c r="I80" s="675" t="inlineStr">
        <is>
          <t>APPROUVE</t>
        </is>
      </c>
      <c r="J80" s="675" t="n"/>
      <c r="K80" s="673" t="inlineStr">
        <is>
          <t>NON CONCERNE</t>
        </is>
      </c>
      <c r="L80" s="675" t="inlineStr">
        <is>
          <t>Ordinaire</t>
        </is>
      </c>
      <c r="M80" s="677" t="inlineStr">
        <is>
          <t>FONCTIONNEMENT</t>
        </is>
      </c>
      <c r="N80" s="678" t="inlineStr">
        <is>
          <t xml:space="preserve">Prestations de service
Achat prestations de services locales - personnes physiques </t>
        </is>
      </c>
      <c r="O80" s="679" t="n"/>
      <c r="P80" s="680" t="n"/>
      <c r="Q80" s="680" t="n"/>
      <c r="R80" s="675" t="inlineStr">
        <is>
          <t>RECONDUCTION</t>
        </is>
      </c>
      <c r="S80" s="681" t="n"/>
      <c r="T80" s="682" t="n"/>
      <c r="U80" s="683" t="inlineStr">
        <is>
          <t>SAMIR EDRIOUECH</t>
        </is>
      </c>
      <c r="V80" s="675" t="n">
        <v>2026</v>
      </c>
      <c r="W80" s="682" t="n">
        <v>46387</v>
      </c>
      <c r="X80" s="682" t="n"/>
      <c r="Y80" s="682" t="n">
        <v>46024</v>
      </c>
      <c r="Z80" s="679" t="n">
        <v>77142.84</v>
      </c>
      <c r="AA80" s="680" t="n">
        <v>0</v>
      </c>
      <c r="AB80" s="680">
        <f>Z80</f>
        <v/>
      </c>
      <c r="AC80" s="680" t="n">
        <v>0</v>
      </c>
      <c r="AD80" s="680">
        <f>Z80</f>
        <v/>
      </c>
      <c r="AE80" s="680">
        <f>Z80</f>
        <v/>
      </c>
      <c r="AF80" s="684" t="inlineStr">
        <is>
          <t>ENGAGE</t>
        </is>
      </c>
      <c r="AG80" s="683" t="n"/>
      <c r="AH80" s="680" t="n"/>
      <c r="AI80" s="680" t="n"/>
      <c r="AJ80" s="680" t="n"/>
      <c r="AK80" s="680" t="n"/>
      <c r="AL80" s="685" t="n"/>
      <c r="AM80" s="685" t="n"/>
      <c r="AN80" s="683" t="inlineStr">
        <is>
          <t>Manque n° contrat</t>
        </is>
      </c>
      <c r="AO80" s="686" t="n"/>
      <c r="AP80" s="687" t="n"/>
      <c r="AQ80" s="688" t="n"/>
      <c r="AR80" s="688" t="n"/>
      <c r="AS80" s="23" t="n"/>
      <c r="AT80" s="688" t="n"/>
    </row>
    <row r="81" ht="46.5" customHeight="1" s="392">
      <c r="A81" s="672">
        <f>IF(AF81="ENGAGE","✔",IF(AF81="EN COURS D'ENGAGEMENT","◕",IF(AF81="PREENGAGE","◑",IF(AF81="EN COURS DE PREENGAGEMENT","◔",IF(AF81="NON ENGAGE","✖","")))))</f>
        <v/>
      </c>
      <c r="B81" s="673" t="n">
        <v>2026</v>
      </c>
      <c r="C81" s="674" t="inlineStr">
        <is>
          <t>DPMG</t>
        </is>
      </c>
      <c r="D81" s="674" t="inlineStr">
        <is>
          <t>PV N° : 01RC2025- DPMG</t>
        </is>
      </c>
      <c r="E81" s="675" t="inlineStr">
        <is>
          <t>CONTRAT</t>
        </is>
      </c>
      <c r="F81" s="675" t="n"/>
      <c r="G81" s="676" t="inlineStr">
        <is>
          <t>MOHAMED CHERTI  -  Métreur en BTP</t>
        </is>
      </c>
      <c r="H81" s="673" t="inlineStr">
        <is>
          <t>VALIDE</t>
        </is>
      </c>
      <c r="I81" s="675" t="inlineStr">
        <is>
          <t>APPROUVE</t>
        </is>
      </c>
      <c r="J81" s="675" t="n"/>
      <c r="K81" s="673" t="inlineStr">
        <is>
          <t>NON CONCERNE</t>
        </is>
      </c>
      <c r="L81" s="675" t="inlineStr">
        <is>
          <t>Ordinaire</t>
        </is>
      </c>
      <c r="M81" s="677" t="inlineStr">
        <is>
          <t>FONCTIONNEMENT</t>
        </is>
      </c>
      <c r="N81" s="678" t="inlineStr">
        <is>
          <t xml:space="preserve">Prestations de service
Achat prestations de services locales - personnes physiques </t>
        </is>
      </c>
      <c r="O81" s="679" t="n"/>
      <c r="P81" s="680" t="n"/>
      <c r="Q81" s="680" t="n"/>
      <c r="R81" s="675" t="inlineStr">
        <is>
          <t>RECONDUCTION</t>
        </is>
      </c>
      <c r="S81" s="681" t="n"/>
      <c r="T81" s="682" t="n"/>
      <c r="U81" s="683" t="inlineStr">
        <is>
          <t>MOHAMED CHERTI</t>
        </is>
      </c>
      <c r="V81" s="675" t="n">
        <v>2026</v>
      </c>
      <c r="W81" s="682" t="n">
        <v>46387</v>
      </c>
      <c r="X81" s="682" t="n"/>
      <c r="Y81" s="682" t="n">
        <v>46024</v>
      </c>
      <c r="Z81" s="679" t="n">
        <v>28000</v>
      </c>
      <c r="AA81" s="680" t="n">
        <v>0</v>
      </c>
      <c r="AB81" s="680">
        <f>Z81</f>
        <v/>
      </c>
      <c r="AC81" s="680" t="n">
        <v>0</v>
      </c>
      <c r="AD81" s="680">
        <f>Z81</f>
        <v/>
      </c>
      <c r="AE81" s="680">
        <f>Z81</f>
        <v/>
      </c>
      <c r="AF81" s="684" t="inlineStr">
        <is>
          <t>ENGAGE</t>
        </is>
      </c>
      <c r="AG81" s="683" t="n"/>
      <c r="AH81" s="680" t="n"/>
      <c r="AI81" s="680" t="n"/>
      <c r="AJ81" s="680" t="n"/>
      <c r="AK81" s="680" t="n"/>
      <c r="AL81" s="685" t="n"/>
      <c r="AM81" s="685" t="n"/>
      <c r="AN81" s="683" t="inlineStr">
        <is>
          <t>Manque n° contrat</t>
        </is>
      </c>
      <c r="AO81" s="686" t="n"/>
      <c r="AP81" s="687" t="n"/>
      <c r="AQ81" s="688" t="n"/>
      <c r="AR81" s="688" t="n"/>
      <c r="AS81" s="23" t="n"/>
      <c r="AT81" s="688" t="n"/>
    </row>
    <row r="82" ht="33" customHeight="1" s="392">
      <c r="A82" s="672">
        <f>IF(AF82="ENGAGE","✔",IF(AF82="EN COURS D'ENGAGEMENT","◕",IF(AF82="PREENGAGE","◑",IF(AF82="EN COURS DE PREENGAGEMENT","◔",IF(AF82="NON ENGAGE","✖","")))))</f>
        <v/>
      </c>
      <c r="B82" s="673" t="n">
        <v>2026</v>
      </c>
      <c r="C82" s="674" t="inlineStr">
        <is>
          <t>DINFORADIO</t>
        </is>
      </c>
      <c r="D82" s="674" t="inlineStr">
        <is>
          <t>RECONDUCTIBLE</t>
        </is>
      </c>
      <c r="E82" s="675" t="inlineStr">
        <is>
          <t>CONTRAT</t>
        </is>
      </c>
      <c r="F82" s="675" t="n"/>
      <c r="G82" s="676" t="inlineStr">
        <is>
          <t>Abonnement MAP</t>
        </is>
      </c>
      <c r="H82" s="673" t="inlineStr">
        <is>
          <t>VALIDE</t>
        </is>
      </c>
      <c r="I82" s="675" t="inlineStr">
        <is>
          <t>APPROUVE</t>
        </is>
      </c>
      <c r="J82" s="675" t="n"/>
      <c r="K82" s="673" t="inlineStr">
        <is>
          <t>NON CONCERNE</t>
        </is>
      </c>
      <c r="L82" s="675" t="inlineStr">
        <is>
          <t>Ordinaire</t>
        </is>
      </c>
      <c r="M82" s="677" t="inlineStr">
        <is>
          <t>FONCTIONNEMENT</t>
        </is>
      </c>
      <c r="N82" s="678" t="inlineStr">
        <is>
          <t>Redevances et cotisations
Abonnements</t>
        </is>
      </c>
      <c r="O82" s="679" t="n"/>
      <c r="P82" s="680" t="n"/>
      <c r="Q82" s="680" t="n"/>
      <c r="R82" s="675" t="inlineStr">
        <is>
          <t>RECONDUCTIBLE</t>
        </is>
      </c>
      <c r="S82" s="681" t="n"/>
      <c r="T82" s="682" t="n"/>
      <c r="U82" s="683" t="inlineStr">
        <is>
          <t>MAP</t>
        </is>
      </c>
      <c r="V82" s="675" t="inlineStr">
        <is>
          <t>-</t>
        </is>
      </c>
      <c r="W82" s="682" t="inlineStr">
        <is>
          <t>-</t>
        </is>
      </c>
      <c r="X82" s="682" t="n"/>
      <c r="Y82" s="682" t="inlineStr">
        <is>
          <t>-</t>
        </is>
      </c>
      <c r="Z82" s="679" t="n">
        <v>1837404</v>
      </c>
      <c r="AA82" s="680" t="n">
        <v>0</v>
      </c>
      <c r="AB82" s="680" t="n">
        <v>1837404</v>
      </c>
      <c r="AC82" s="680" t="n">
        <v>0</v>
      </c>
      <c r="AD82" s="680" t="n">
        <v>1837404</v>
      </c>
      <c r="AE82" s="680" t="n">
        <v>1837404</v>
      </c>
      <c r="AF82" s="684" t="inlineStr">
        <is>
          <t>ENGAGE</t>
        </is>
      </c>
      <c r="AG82" s="683" t="n"/>
      <c r="AH82" s="680" t="n"/>
      <c r="AI82" s="680" t="n"/>
      <c r="AJ82" s="680" t="n"/>
      <c r="AK82" s="680" t="n"/>
      <c r="AL82" s="685" t="n"/>
      <c r="AM82" s="685" t="n"/>
      <c r="AN82" s="683" t="n"/>
      <c r="AO82" s="686" t="n"/>
      <c r="AP82" s="687" t="n"/>
      <c r="AQ82" s="688" t="n"/>
      <c r="AR82" s="688" t="n"/>
      <c r="AS82" s="23" t="n"/>
      <c r="AT82" s="688" t="n"/>
    </row>
    <row r="83" ht="50.55" customHeight="1" s="392">
      <c r="A83" s="672">
        <f>IF(AF83="ENGAGE","✔",IF(AF83="EN COURS D'ENGAGEMENT","◕",IF(AF83="PREENGAGE","◑",IF(AF83="EN COURS DE PREENGAGEMENT","◔",IF(AF83="NON ENGAGE","✖","")))))</f>
        <v/>
      </c>
      <c r="B83" s="673" t="n">
        <v>2026</v>
      </c>
      <c r="C83" s="674" t="inlineStr">
        <is>
          <t>DINFORADIO</t>
        </is>
      </c>
      <c r="D83" s="674" t="inlineStr">
        <is>
          <t>PV N° : 01RC2025- DIR</t>
        </is>
      </c>
      <c r="E83" s="675" t="inlineStr">
        <is>
          <t>CONTRAT</t>
        </is>
      </c>
      <c r="F83" s="675" t="n"/>
      <c r="G83" s="676" t="inlineStr">
        <is>
          <t>YOUSSEF LAHLALI  -  Journaliste correspondant chargé de la préparation des magazines d'information et reportages RD et la couverture des événements internationaux</t>
        </is>
      </c>
      <c r="H83" s="673" t="inlineStr">
        <is>
          <t>VALIDE</t>
        </is>
      </c>
      <c r="I83" s="675" t="inlineStr">
        <is>
          <t>APPROUVE</t>
        </is>
      </c>
      <c r="J83" s="675" t="n"/>
      <c r="K83" s="673" t="inlineStr">
        <is>
          <t>NON CONCERNE</t>
        </is>
      </c>
      <c r="L83" s="675" t="inlineStr">
        <is>
          <t>Ordinaire</t>
        </is>
      </c>
      <c r="M83" s="677" t="inlineStr">
        <is>
          <t>FONCTIONNEMENT</t>
        </is>
      </c>
      <c r="N83" s="678" t="inlineStr">
        <is>
          <t xml:space="preserve">Prestations de service
Achat prestations de services locales - personnes physiques </t>
        </is>
      </c>
      <c r="O83" s="679" t="n"/>
      <c r="P83" s="680" t="n"/>
      <c r="Q83" s="680" t="n"/>
      <c r="R83" s="675" t="inlineStr">
        <is>
          <t>RECONDUCTION</t>
        </is>
      </c>
      <c r="S83" s="681" t="n"/>
      <c r="T83" s="682" t="n"/>
      <c r="U83" s="683" t="inlineStr">
        <is>
          <t>YOUSSEF LAHLALI</t>
        </is>
      </c>
      <c r="V83" s="675" t="n">
        <v>2026</v>
      </c>
      <c r="W83" s="682" t="n">
        <v>46387</v>
      </c>
      <c r="X83" s="682" t="n"/>
      <c r="Y83" s="682" t="n">
        <v>46024</v>
      </c>
      <c r="Z83" s="679" t="n">
        <v>171428.52</v>
      </c>
      <c r="AA83" s="680" t="n">
        <v>0</v>
      </c>
      <c r="AB83" s="680">
        <f>Z83</f>
        <v/>
      </c>
      <c r="AC83" s="680" t="n">
        <v>0</v>
      </c>
      <c r="AD83" s="680">
        <f>Z83</f>
        <v/>
      </c>
      <c r="AE83" s="680">
        <f>Z83</f>
        <v/>
      </c>
      <c r="AF83" s="684" t="inlineStr">
        <is>
          <t>ENGAGE</t>
        </is>
      </c>
      <c r="AG83" s="683" t="n"/>
      <c r="AH83" s="680" t="n"/>
      <c r="AI83" s="680" t="n"/>
      <c r="AJ83" s="680" t="n"/>
      <c r="AK83" s="680" t="n"/>
      <c r="AL83" s="685" t="n"/>
      <c r="AM83" s="685" t="n"/>
      <c r="AN83" s="683" t="inlineStr">
        <is>
          <t>Manque n° contrat</t>
        </is>
      </c>
      <c r="AO83" s="686" t="n"/>
      <c r="AP83" s="687" t="n"/>
      <c r="AQ83" s="688" t="n"/>
      <c r="AR83" s="688" t="n"/>
      <c r="AS83" s="23" t="n"/>
      <c r="AT83" s="688" t="n"/>
    </row>
    <row r="84" ht="46.5" customHeight="1" s="392">
      <c r="A84" s="672">
        <f>IF(AF84="ENGAGE","✔",IF(AF84="EN COURS D'ENGAGEMENT","◕",IF(AF84="PREENGAGE","◑",IF(AF84="EN COURS DE PREENGAGEMENT","◔",IF(AF84="NON ENGAGE","✖","")))))</f>
        <v/>
      </c>
      <c r="B84" s="673" t="n">
        <v>2026</v>
      </c>
      <c r="C84" s="674" t="inlineStr">
        <is>
          <t>DINFORADIO</t>
        </is>
      </c>
      <c r="D84" s="674" t="inlineStr">
        <is>
          <t>PV N° : 01RC2025- DIR</t>
        </is>
      </c>
      <c r="E84" s="675" t="inlineStr">
        <is>
          <t>CONTRAT</t>
        </is>
      </c>
      <c r="F84" s="675" t="n"/>
      <c r="G84" s="676" t="inlineStr">
        <is>
          <t>SAFI RIM  -  Journaliste, présentateur radio francophone/ anglophone</t>
        </is>
      </c>
      <c r="H84" s="673" t="inlineStr">
        <is>
          <t>VALIDE</t>
        </is>
      </c>
      <c r="I84" s="675" t="inlineStr">
        <is>
          <t>APPROUVE</t>
        </is>
      </c>
      <c r="J84" s="675" t="n"/>
      <c r="K84" s="673" t="inlineStr">
        <is>
          <t>NON CONCERNE</t>
        </is>
      </c>
      <c r="L84" s="675" t="inlineStr">
        <is>
          <t>Ordinaire</t>
        </is>
      </c>
      <c r="M84" s="677" t="inlineStr">
        <is>
          <t>FONCTIONNEMENT</t>
        </is>
      </c>
      <c r="N84" s="678" t="inlineStr">
        <is>
          <t xml:space="preserve">Prestations de service
Achat prestations de services locales - personnes physiques </t>
        </is>
      </c>
      <c r="O84" s="679" t="n"/>
      <c r="P84" s="680" t="n"/>
      <c r="Q84" s="680" t="n"/>
      <c r="R84" s="675" t="inlineStr">
        <is>
          <t>RECONDUCTION</t>
        </is>
      </c>
      <c r="S84" s="681" t="n"/>
      <c r="T84" s="682" t="n"/>
      <c r="U84" s="683" t="inlineStr">
        <is>
          <t>SAFI RIM</t>
        </is>
      </c>
      <c r="V84" s="675" t="n">
        <v>2026</v>
      </c>
      <c r="W84" s="682" t="n">
        <v>46387</v>
      </c>
      <c r="X84" s="682" t="n"/>
      <c r="Y84" s="682" t="n">
        <v>46024</v>
      </c>
      <c r="Z84" s="679" t="n">
        <v>132000</v>
      </c>
      <c r="AA84" s="680" t="n">
        <v>0</v>
      </c>
      <c r="AB84" s="680">
        <f>Z84</f>
        <v/>
      </c>
      <c r="AC84" s="680" t="n">
        <v>0</v>
      </c>
      <c r="AD84" s="680">
        <f>Z84</f>
        <v/>
      </c>
      <c r="AE84" s="680">
        <f>Z84</f>
        <v/>
      </c>
      <c r="AF84" s="684" t="inlineStr">
        <is>
          <t>ENGAGE</t>
        </is>
      </c>
      <c r="AG84" s="683" t="n"/>
      <c r="AH84" s="680" t="n"/>
      <c r="AI84" s="680" t="n"/>
      <c r="AJ84" s="680" t="n"/>
      <c r="AK84" s="680" t="n"/>
      <c r="AL84" s="685" t="n"/>
      <c r="AM84" s="685" t="n"/>
      <c r="AN84" s="683" t="inlineStr">
        <is>
          <t>Manque n° contrat</t>
        </is>
      </c>
      <c r="AO84" s="686" t="n"/>
      <c r="AP84" s="687" t="n"/>
      <c r="AQ84" s="688" t="n"/>
      <c r="AR84" s="688" t="n"/>
      <c r="AS84" s="23" t="n"/>
      <c r="AT84" s="688" t="n"/>
    </row>
    <row r="85" ht="46.5" customHeight="1" s="392">
      <c r="A85" s="672">
        <f>IF(AF85="ENGAGE","✔",IF(AF85="EN COURS D'ENGAGEMENT","◕",IF(AF85="PREENGAGE","◑",IF(AF85="EN COURS DE PREENGAGEMENT","◔",IF(AF85="NON ENGAGE","✖","")))))</f>
        <v/>
      </c>
      <c r="B85" s="673" t="n">
        <v>2026</v>
      </c>
      <c r="C85" s="674" t="inlineStr">
        <is>
          <t>DINFORADIO</t>
        </is>
      </c>
      <c r="D85" s="674" t="inlineStr">
        <is>
          <t>PV N° : 01RC2025- DIR</t>
        </is>
      </c>
      <c r="E85" s="675" t="inlineStr">
        <is>
          <t>CONTRAT</t>
        </is>
      </c>
      <c r="F85" s="675" t="n"/>
      <c r="G85" s="676" t="inlineStr">
        <is>
          <t>BENCAID KENZA  -  Journaliste et présentateur radio francophone</t>
        </is>
      </c>
      <c r="H85" s="673" t="inlineStr">
        <is>
          <t>VALIDE</t>
        </is>
      </c>
      <c r="I85" s="675" t="inlineStr">
        <is>
          <t>APPROUVE</t>
        </is>
      </c>
      <c r="J85" s="675" t="n"/>
      <c r="K85" s="673" t="inlineStr">
        <is>
          <t>NON CONCERNE</t>
        </is>
      </c>
      <c r="L85" s="675" t="inlineStr">
        <is>
          <t>Ordinaire</t>
        </is>
      </c>
      <c r="M85" s="677" t="inlineStr">
        <is>
          <t>FONCTIONNEMENT</t>
        </is>
      </c>
      <c r="N85" s="678" t="inlineStr">
        <is>
          <t xml:space="preserve">Prestations de service
Achat prestations de services locales - personnes physiques </t>
        </is>
      </c>
      <c r="O85" s="679" t="n"/>
      <c r="P85" s="680" t="n"/>
      <c r="Q85" s="680" t="n"/>
      <c r="R85" s="675" t="inlineStr">
        <is>
          <t>RECONDUCTION</t>
        </is>
      </c>
      <c r="S85" s="681" t="n"/>
      <c r="T85" s="682" t="n"/>
      <c r="U85" s="683" t="inlineStr">
        <is>
          <t>BENCAID KENZA</t>
        </is>
      </c>
      <c r="V85" s="675" t="n">
        <v>2026</v>
      </c>
      <c r="W85" s="682" t="n">
        <v>46387</v>
      </c>
      <c r="X85" s="682" t="n"/>
      <c r="Y85" s="682" t="n">
        <v>46024</v>
      </c>
      <c r="Z85" s="679" t="n">
        <v>156000</v>
      </c>
      <c r="AA85" s="680" t="n">
        <v>0</v>
      </c>
      <c r="AB85" s="680">
        <f>Z85</f>
        <v/>
      </c>
      <c r="AC85" s="680" t="n">
        <v>0</v>
      </c>
      <c r="AD85" s="680">
        <f>Z85</f>
        <v/>
      </c>
      <c r="AE85" s="680">
        <f>Z85</f>
        <v/>
      </c>
      <c r="AF85" s="684" t="inlineStr">
        <is>
          <t>ENGAGE</t>
        </is>
      </c>
      <c r="AG85" s="683" t="n"/>
      <c r="AH85" s="680" t="n"/>
      <c r="AI85" s="680" t="n"/>
      <c r="AJ85" s="680" t="n"/>
      <c r="AK85" s="680" t="n"/>
      <c r="AL85" s="685" t="n"/>
      <c r="AM85" s="685" t="n"/>
      <c r="AN85" s="683" t="inlineStr">
        <is>
          <t>Manque n° contrat</t>
        </is>
      </c>
      <c r="AO85" s="686" t="n"/>
      <c r="AP85" s="687" t="n"/>
      <c r="AQ85" s="688" t="n"/>
      <c r="AR85" s="688" t="n"/>
      <c r="AS85" s="23" t="n"/>
      <c r="AT85" s="688" t="n"/>
    </row>
    <row r="86" ht="46.5" customHeight="1" s="392">
      <c r="A86" s="672">
        <f>IF(AF86="ENGAGE","✔",IF(AF86="EN COURS D'ENGAGEMENT","◕",IF(AF86="PREENGAGE","◑",IF(AF86="EN COURS DE PREENGAGEMENT","◔",IF(AF86="NON ENGAGE","✖","")))))</f>
        <v/>
      </c>
      <c r="B86" s="673" t="n">
        <v>2026</v>
      </c>
      <c r="C86" s="674" t="inlineStr">
        <is>
          <t>DINFORADIO</t>
        </is>
      </c>
      <c r="D86" s="674" t="inlineStr">
        <is>
          <t>PV N° : 01RC2025- DIR</t>
        </is>
      </c>
      <c r="E86" s="675" t="inlineStr">
        <is>
          <t>CONTRAT</t>
        </is>
      </c>
      <c r="F86" s="675" t="n"/>
      <c r="G86" s="676" t="inlineStr">
        <is>
          <t>AHMED CHAINA  -  Journaliste, Présentateur radio amazigh/animateur de débats (expression tachelhit)</t>
        </is>
      </c>
      <c r="H86" s="673" t="inlineStr">
        <is>
          <t>VALIDE</t>
        </is>
      </c>
      <c r="I86" s="675" t="inlineStr">
        <is>
          <t>APPROUVE</t>
        </is>
      </c>
      <c r="J86" s="675" t="n"/>
      <c r="K86" s="673" t="inlineStr">
        <is>
          <t>NON CONCERNE</t>
        </is>
      </c>
      <c r="L86" s="675" t="inlineStr">
        <is>
          <t>Ordinaire</t>
        </is>
      </c>
      <c r="M86" s="677" t="inlineStr">
        <is>
          <t>FONCTIONNEMENT</t>
        </is>
      </c>
      <c r="N86" s="678" t="inlineStr">
        <is>
          <t xml:space="preserve">Prestations de service
Achat prestations de services locales - personnes physiques </t>
        </is>
      </c>
      <c r="O86" s="679" t="n"/>
      <c r="P86" s="680" t="n"/>
      <c r="Q86" s="680" t="n"/>
      <c r="R86" s="675" t="inlineStr">
        <is>
          <t>RECONDUCTION</t>
        </is>
      </c>
      <c r="S86" s="681" t="n"/>
      <c r="T86" s="682" t="n"/>
      <c r="U86" s="683" t="inlineStr">
        <is>
          <t>AHMED CHAINA</t>
        </is>
      </c>
      <c r="V86" s="675" t="n">
        <v>2026</v>
      </c>
      <c r="W86" s="682" t="n">
        <v>46387</v>
      </c>
      <c r="X86" s="682" t="n"/>
      <c r="Y86" s="682" t="n">
        <v>46024</v>
      </c>
      <c r="Z86" s="679" t="n">
        <v>132000</v>
      </c>
      <c r="AA86" s="680" t="n">
        <v>0</v>
      </c>
      <c r="AB86" s="680" t="n">
        <v>132000</v>
      </c>
      <c r="AC86" s="680" t="n">
        <v>0</v>
      </c>
      <c r="AD86" s="680">
        <f>Z86</f>
        <v/>
      </c>
      <c r="AE86" s="680">
        <f>Z86</f>
        <v/>
      </c>
      <c r="AF86" s="684" t="inlineStr">
        <is>
          <t>ENGAGE</t>
        </is>
      </c>
      <c r="AG86" s="683" t="n"/>
      <c r="AH86" s="680" t="n"/>
      <c r="AI86" s="680" t="n"/>
      <c r="AJ86" s="680" t="n"/>
      <c r="AK86" s="680" t="n"/>
      <c r="AL86" s="685" t="n"/>
      <c r="AM86" s="685" t="n"/>
      <c r="AN86" s="683" t="inlineStr">
        <is>
          <t>Manque n° contrat</t>
        </is>
      </c>
      <c r="AO86" s="686" t="n"/>
      <c r="AP86" s="687" t="n"/>
      <c r="AQ86" s="688" t="n"/>
      <c r="AR86" s="688" t="n"/>
      <c r="AS86" s="23" t="n"/>
      <c r="AT86" s="688" t="n"/>
    </row>
    <row r="87" ht="46.5" customHeight="1" s="392">
      <c r="A87" s="672">
        <f>IF(AF87="ENGAGE","✔",IF(AF87="EN COURS D'ENGAGEMENT","◕",IF(AF87="PREENGAGE","◑",IF(AF87="EN COURS DE PREENGAGEMENT","◔",IF(AF87="NON ENGAGE","✖","")))))</f>
        <v/>
      </c>
      <c r="B87" s="673" t="n">
        <v>2026</v>
      </c>
      <c r="C87" s="674" t="inlineStr">
        <is>
          <t>DINFORADIO</t>
        </is>
      </c>
      <c r="D87" s="674" t="inlineStr">
        <is>
          <t>PV N° : 01RC2025- DIR</t>
        </is>
      </c>
      <c r="E87" s="675" t="inlineStr">
        <is>
          <t>CONTRAT</t>
        </is>
      </c>
      <c r="F87" s="675" t="n"/>
      <c r="G87" s="676" t="inlineStr">
        <is>
          <t>BADDOU KHALID  -  Journaliste, Présentateur radio amazigh/animateur de débats (expression tachelhit)</t>
        </is>
      </c>
      <c r="H87" s="673" t="inlineStr">
        <is>
          <t>VALIDE</t>
        </is>
      </c>
      <c r="I87" s="675" t="inlineStr">
        <is>
          <t>APPROUVE</t>
        </is>
      </c>
      <c r="J87" s="675" t="n"/>
      <c r="K87" s="673" t="inlineStr">
        <is>
          <t>NON CONCERNE</t>
        </is>
      </c>
      <c r="L87" s="675" t="inlineStr">
        <is>
          <t>Ordinaire</t>
        </is>
      </c>
      <c r="M87" s="677" t="inlineStr">
        <is>
          <t>FONCTIONNEMENT</t>
        </is>
      </c>
      <c r="N87" s="678" t="inlineStr">
        <is>
          <t xml:space="preserve">Prestations de service
Achat prestations de services locales - personnes physiques </t>
        </is>
      </c>
      <c r="O87" s="679" t="n"/>
      <c r="P87" s="680" t="n"/>
      <c r="Q87" s="680" t="n"/>
      <c r="R87" s="675" t="inlineStr">
        <is>
          <t>RECONDUCTION</t>
        </is>
      </c>
      <c r="S87" s="681" t="n"/>
      <c r="T87" s="682" t="n"/>
      <c r="U87" s="683" t="inlineStr">
        <is>
          <t>BADDOU KHALID</t>
        </is>
      </c>
      <c r="V87" s="675" t="n">
        <v>2026</v>
      </c>
      <c r="W87" s="682" t="n">
        <v>46387</v>
      </c>
      <c r="X87" s="682" t="n"/>
      <c r="Y87" s="682" t="n">
        <v>46024</v>
      </c>
      <c r="Z87" s="679" t="n">
        <v>132000</v>
      </c>
      <c r="AA87" s="680" t="n">
        <v>0</v>
      </c>
      <c r="AB87" s="680" t="n">
        <v>132000</v>
      </c>
      <c r="AC87" s="680" t="n">
        <v>0</v>
      </c>
      <c r="AD87" s="680">
        <f>Z87</f>
        <v/>
      </c>
      <c r="AE87" s="680">
        <f>Z87</f>
        <v/>
      </c>
      <c r="AF87" s="684" t="inlineStr">
        <is>
          <t>ENGAGE</t>
        </is>
      </c>
      <c r="AG87" s="683" t="n"/>
      <c r="AH87" s="680" t="n"/>
      <c r="AI87" s="680" t="n"/>
      <c r="AJ87" s="680" t="n"/>
      <c r="AK87" s="680" t="n"/>
      <c r="AL87" s="685" t="n"/>
      <c r="AM87" s="685" t="n"/>
      <c r="AN87" s="683" t="inlineStr">
        <is>
          <t>Manque n° contrat</t>
        </is>
      </c>
      <c r="AO87" s="686" t="n"/>
      <c r="AP87" s="687" t="n"/>
      <c r="AQ87" s="688" t="n"/>
      <c r="AR87" s="688" t="n"/>
      <c r="AS87" s="23" t="n"/>
      <c r="AT87" s="688" t="n"/>
    </row>
    <row r="88" ht="50.55" customHeight="1" s="392">
      <c r="A88" s="672">
        <f>IF(AF88="ENGAGE","✔",IF(AF88="EN COURS D'ENGAGEMENT","◕",IF(AF88="PREENGAGE","◑",IF(AF88="EN COURS DE PREENGAGEMENT","◔",IF(AF88="NON ENGAGE","✖","")))))</f>
        <v/>
      </c>
      <c r="B88" s="673" t="n">
        <v>2026</v>
      </c>
      <c r="C88" s="674" t="inlineStr">
        <is>
          <t>DINFOTV</t>
        </is>
      </c>
      <c r="D88" s="674" t="inlineStr">
        <is>
          <t>PV N° : 01RC2025- DITV</t>
        </is>
      </c>
      <c r="E88" s="675" t="inlineStr">
        <is>
          <t>CONTRAT</t>
        </is>
      </c>
      <c r="F88" s="675" t="n"/>
      <c r="G88" s="676" t="inlineStr">
        <is>
          <t>EZZAHER ANASS  -  Scripte des journaux télévisés et toutes les émissions produites par la direction de l'information TV</t>
        </is>
      </c>
      <c r="H88" s="673" t="inlineStr">
        <is>
          <t>VALIDE</t>
        </is>
      </c>
      <c r="I88" s="675" t="inlineStr">
        <is>
          <t>APPROUVE</t>
        </is>
      </c>
      <c r="J88" s="675" t="n"/>
      <c r="K88" s="673" t="inlineStr">
        <is>
          <t>NON CONCERNE</t>
        </is>
      </c>
      <c r="L88" s="675" t="inlineStr">
        <is>
          <t>Ordinaire</t>
        </is>
      </c>
      <c r="M88" s="677" t="inlineStr">
        <is>
          <t>FONCTIONNEMENT</t>
        </is>
      </c>
      <c r="N88" s="678" t="inlineStr">
        <is>
          <t>Prestations de service
Achat prestations de services locales - personnes physiques</t>
        </is>
      </c>
      <c r="O88" s="679" t="n"/>
      <c r="P88" s="680" t="n"/>
      <c r="Q88" s="680" t="n"/>
      <c r="R88" s="675" t="inlineStr">
        <is>
          <t>RECONDUCTION</t>
        </is>
      </c>
      <c r="S88" s="681" t="n"/>
      <c r="T88" s="682" t="n"/>
      <c r="U88" s="683" t="inlineStr">
        <is>
          <t>EZZAHER ANASS</t>
        </is>
      </c>
      <c r="V88" s="675" t="n">
        <v>2026</v>
      </c>
      <c r="W88" s="682" t="n">
        <v>46387</v>
      </c>
      <c r="X88" s="682" t="n"/>
      <c r="Y88" s="682" t="n">
        <v>46024</v>
      </c>
      <c r="Z88" s="679" t="n">
        <v>96000</v>
      </c>
      <c r="AA88" s="680" t="n">
        <v>0</v>
      </c>
      <c r="AB88" s="680">
        <f>Z88</f>
        <v/>
      </c>
      <c r="AC88" s="680" t="n">
        <v>0</v>
      </c>
      <c r="AD88" s="680">
        <f>Z88</f>
        <v/>
      </c>
      <c r="AE88" s="680">
        <f>Z88</f>
        <v/>
      </c>
      <c r="AF88" s="684" t="inlineStr">
        <is>
          <t>ENGAGE</t>
        </is>
      </c>
      <c r="AG88" s="683" t="n"/>
      <c r="AH88" s="680" t="n"/>
      <c r="AI88" s="680" t="n"/>
      <c r="AJ88" s="680" t="n"/>
      <c r="AK88" s="680" t="n"/>
      <c r="AL88" s="685" t="n"/>
      <c r="AM88" s="685" t="n"/>
      <c r="AN88" s="683" t="inlineStr">
        <is>
          <t>Manque n° contrat</t>
        </is>
      </c>
      <c r="AO88" s="686" t="n"/>
      <c r="AP88" s="687" t="n"/>
      <c r="AQ88" s="688" t="n"/>
      <c r="AR88" s="688" t="n"/>
      <c r="AS88" s="23" t="n"/>
      <c r="AT88" s="688" t="n"/>
    </row>
    <row r="89" ht="50.55" customHeight="1" s="392">
      <c r="A89" s="672">
        <f>IF(AF89="ENGAGE","✔",IF(AF89="EN COURS D'ENGAGEMENT","◕",IF(AF89="PREENGAGE","◑",IF(AF89="EN COURS DE PREENGAGEMENT","◔",IF(AF89="NON ENGAGE","✖","")))))</f>
        <v/>
      </c>
      <c r="B89" s="673" t="n">
        <v>2026</v>
      </c>
      <c r="C89" s="674" t="inlineStr">
        <is>
          <t>DINFOTV</t>
        </is>
      </c>
      <c r="D89" s="674" t="inlineStr">
        <is>
          <t>PV N° : 01RC2025- DITV</t>
        </is>
      </c>
      <c r="E89" s="675" t="inlineStr">
        <is>
          <t>CONTRAT</t>
        </is>
      </c>
      <c r="F89" s="675" t="n"/>
      <c r="G89" s="676" t="inlineStr">
        <is>
          <t>AOUAD MARIA  -  Journaliste chargée de la préparation et la réalisation des reportages news en français au journal télévisé de la chaine AL Aoula</t>
        </is>
      </c>
      <c r="H89" s="673" t="inlineStr">
        <is>
          <t>VALIDE</t>
        </is>
      </c>
      <c r="I89" s="675" t="inlineStr">
        <is>
          <t>APPROUVE</t>
        </is>
      </c>
      <c r="J89" s="675" t="n"/>
      <c r="K89" s="673" t="inlineStr">
        <is>
          <t>NON CONCERNE</t>
        </is>
      </c>
      <c r="L89" s="675" t="inlineStr">
        <is>
          <t>Ordinaire</t>
        </is>
      </c>
      <c r="M89" s="677" t="inlineStr">
        <is>
          <t>FONCTIONNEMENT</t>
        </is>
      </c>
      <c r="N89" s="678" t="inlineStr">
        <is>
          <t>Prestations de service
Achat prestations de services locales - personnes physiques</t>
        </is>
      </c>
      <c r="O89" s="679" t="n"/>
      <c r="P89" s="680" t="n"/>
      <c r="Q89" s="680" t="n"/>
      <c r="R89" s="675" t="inlineStr">
        <is>
          <t>RECONDUCTION</t>
        </is>
      </c>
      <c r="S89" s="681" t="n"/>
      <c r="T89" s="682" t="n"/>
      <c r="U89" s="683" t="inlineStr">
        <is>
          <t>AOUAD MARIA</t>
        </is>
      </c>
      <c r="V89" s="675" t="n">
        <v>2026</v>
      </c>
      <c r="W89" s="682" t="n">
        <v>46387</v>
      </c>
      <c r="X89" s="682" t="n"/>
      <c r="Y89" s="682" t="n">
        <v>46024</v>
      </c>
      <c r="Z89" s="679" t="n">
        <v>144000</v>
      </c>
      <c r="AA89" s="680" t="n">
        <v>0</v>
      </c>
      <c r="AB89" s="680">
        <f>Z89</f>
        <v/>
      </c>
      <c r="AC89" s="680" t="n">
        <v>0</v>
      </c>
      <c r="AD89" s="680">
        <f>Z89</f>
        <v/>
      </c>
      <c r="AE89" s="680">
        <f>Z89</f>
        <v/>
      </c>
      <c r="AF89" s="684" t="inlineStr">
        <is>
          <t>ENGAGE</t>
        </is>
      </c>
      <c r="AG89" s="683" t="n"/>
      <c r="AH89" s="680" t="n"/>
      <c r="AI89" s="680" t="n"/>
      <c r="AJ89" s="680" t="n"/>
      <c r="AK89" s="680" t="n"/>
      <c r="AL89" s="685" t="n"/>
      <c r="AM89" s="685" t="n"/>
      <c r="AN89" s="683" t="inlineStr">
        <is>
          <t>Manque n° contrat</t>
        </is>
      </c>
      <c r="AO89" s="686" t="n"/>
      <c r="AP89" s="687" t="n"/>
      <c r="AQ89" s="688" t="n"/>
      <c r="AR89" s="688" t="n"/>
      <c r="AS89" s="23" t="n"/>
      <c r="AT89" s="688" t="n"/>
    </row>
    <row r="90" ht="46.5" customHeight="1" s="392">
      <c r="A90" s="672">
        <f>IF(AF90="ENGAGE","✔",IF(AF90="EN COURS D'ENGAGEMENT","◕",IF(AF90="PREENGAGE","◑",IF(AF90="EN COURS DE PREENGAGEMENT","◔",IF(AF90="NON ENGAGE","✖","")))))</f>
        <v/>
      </c>
      <c r="B90" s="673" t="n">
        <v>2026</v>
      </c>
      <c r="C90" s="674" t="inlineStr">
        <is>
          <t>DINFOTV</t>
        </is>
      </c>
      <c r="D90" s="674" t="inlineStr">
        <is>
          <t>PV N° : 01RC2025- DITV</t>
        </is>
      </c>
      <c r="E90" s="675" t="inlineStr">
        <is>
          <t>CONTRAT</t>
        </is>
      </c>
      <c r="F90" s="675" t="n"/>
      <c r="G90" s="676" t="inlineStr">
        <is>
          <t>KETTANI MOHAMMED  -  Interprète en langue des signes</t>
        </is>
      </c>
      <c r="H90" s="673" t="inlineStr">
        <is>
          <t>VALIDE</t>
        </is>
      </c>
      <c r="I90" s="675" t="inlineStr">
        <is>
          <t>APPROUVE</t>
        </is>
      </c>
      <c r="J90" s="675" t="n"/>
      <c r="K90" s="673" t="inlineStr">
        <is>
          <t>NON CONCERNE</t>
        </is>
      </c>
      <c r="L90" s="675" t="inlineStr">
        <is>
          <t>Ordinaire</t>
        </is>
      </c>
      <c r="M90" s="677" t="inlineStr">
        <is>
          <t>FONCTIONNEMENT</t>
        </is>
      </c>
      <c r="N90" s="678" t="inlineStr">
        <is>
          <t>Prestations de service
Achat prestations de services locales - personnes physiques</t>
        </is>
      </c>
      <c r="O90" s="679" t="n"/>
      <c r="P90" s="680" t="n"/>
      <c r="Q90" s="680" t="n"/>
      <c r="R90" s="675" t="inlineStr">
        <is>
          <t>RECONDUCTION</t>
        </is>
      </c>
      <c r="S90" s="681" t="n"/>
      <c r="T90" s="682" t="n"/>
      <c r="U90" s="683" t="inlineStr">
        <is>
          <t>KETTANI MOHAMMED</t>
        </is>
      </c>
      <c r="V90" s="675" t="n">
        <v>2026</v>
      </c>
      <c r="W90" s="682" t="n">
        <v>46387</v>
      </c>
      <c r="X90" s="682" t="n"/>
      <c r="Y90" s="682" t="n">
        <v>46024</v>
      </c>
      <c r="Z90" s="679" t="n">
        <v>154285.68</v>
      </c>
      <c r="AA90" s="680" t="n">
        <v>0</v>
      </c>
      <c r="AB90" s="680">
        <f>Z90</f>
        <v/>
      </c>
      <c r="AC90" s="680" t="n">
        <v>0</v>
      </c>
      <c r="AD90" s="680">
        <f>Z90</f>
        <v/>
      </c>
      <c r="AE90" s="680">
        <f>Z90</f>
        <v/>
      </c>
      <c r="AF90" s="684" t="inlineStr">
        <is>
          <t>ENGAGE</t>
        </is>
      </c>
      <c r="AG90" s="683" t="n"/>
      <c r="AH90" s="680" t="n"/>
      <c r="AI90" s="680" t="n"/>
      <c r="AJ90" s="680" t="n"/>
      <c r="AK90" s="680" t="n"/>
      <c r="AL90" s="685" t="n"/>
      <c r="AM90" s="685" t="n"/>
      <c r="AN90" s="683" t="inlineStr">
        <is>
          <t>Manque n° contrat</t>
        </is>
      </c>
      <c r="AO90" s="686" t="n"/>
      <c r="AP90" s="687" t="n"/>
      <c r="AQ90" s="688" t="n"/>
      <c r="AR90" s="688" t="n"/>
      <c r="AS90" s="23" t="n"/>
      <c r="AT90" s="688" t="n"/>
    </row>
    <row r="91" ht="50.55" customHeight="1" s="392">
      <c r="A91" s="672">
        <f>IF(AF91="ENGAGE","✔",IF(AF91="EN COURS D'ENGAGEMENT","◕",IF(AF91="PREENGAGE","◑",IF(AF91="EN COURS DE PREENGAGEMENT","◔",IF(AF91="NON ENGAGE","✖","")))))</f>
        <v/>
      </c>
      <c r="B91" s="673" t="n">
        <v>2026</v>
      </c>
      <c r="C91" s="674" t="inlineStr">
        <is>
          <t>DINFOTV</t>
        </is>
      </c>
      <c r="D91" s="674" t="inlineStr">
        <is>
          <t>PV N° : 01RC2025- DITV</t>
        </is>
      </c>
      <c r="E91" s="675" t="inlineStr">
        <is>
          <t>CONTRAT</t>
        </is>
      </c>
      <c r="F91" s="675" t="n"/>
      <c r="G91" s="676" t="inlineStr">
        <is>
          <t>NOUINI NOURREDDINE  -  Coiffeur et maquilleur des animateurs et des invités participants au journal télévisé de la chaine Al Aoula</t>
        </is>
      </c>
      <c r="H91" s="673" t="inlineStr">
        <is>
          <t>VALIDE</t>
        </is>
      </c>
      <c r="I91" s="675" t="inlineStr">
        <is>
          <t>APPROUVE</t>
        </is>
      </c>
      <c r="J91" s="675" t="n"/>
      <c r="K91" s="673" t="inlineStr">
        <is>
          <t>NON CONCERNE</t>
        </is>
      </c>
      <c r="L91" s="675" t="inlineStr">
        <is>
          <t>Ordinaire</t>
        </is>
      </c>
      <c r="M91" s="677" t="inlineStr">
        <is>
          <t>FONCTIONNEMENT</t>
        </is>
      </c>
      <c r="N91" s="678" t="inlineStr">
        <is>
          <t>Prestations de service
Achat prestations de services locales - personnes physiques</t>
        </is>
      </c>
      <c r="O91" s="679" t="n"/>
      <c r="P91" s="680" t="n"/>
      <c r="Q91" s="680" t="n"/>
      <c r="R91" s="675" t="inlineStr">
        <is>
          <t>RECONDUCTION</t>
        </is>
      </c>
      <c r="S91" s="681" t="n"/>
      <c r="T91" s="682" t="n"/>
      <c r="U91" s="683" t="inlineStr">
        <is>
          <t>NOUINI NOURREDDINE</t>
        </is>
      </c>
      <c r="V91" s="675" t="n">
        <v>2026</v>
      </c>
      <c r="W91" s="682" t="n">
        <v>46387</v>
      </c>
      <c r="X91" s="682" t="n"/>
      <c r="Y91" s="682" t="n">
        <v>46024</v>
      </c>
      <c r="Z91" s="679" t="n">
        <v>72000</v>
      </c>
      <c r="AA91" s="680" t="n">
        <v>0</v>
      </c>
      <c r="AB91" s="680">
        <f>Z91</f>
        <v/>
      </c>
      <c r="AC91" s="680" t="n">
        <v>0</v>
      </c>
      <c r="AD91" s="680">
        <f>Z91</f>
        <v/>
      </c>
      <c r="AE91" s="680">
        <f>Z91</f>
        <v/>
      </c>
      <c r="AF91" s="684" t="inlineStr">
        <is>
          <t>ENGAGE</t>
        </is>
      </c>
      <c r="AG91" s="683" t="n"/>
      <c r="AH91" s="680" t="n"/>
      <c r="AI91" s="680" t="n"/>
      <c r="AJ91" s="680" t="n"/>
      <c r="AK91" s="680" t="n"/>
      <c r="AL91" s="685" t="n"/>
      <c r="AM91" s="685" t="n"/>
      <c r="AN91" s="683" t="inlineStr">
        <is>
          <t>Manque n° contrat</t>
        </is>
      </c>
      <c r="AO91" s="686" t="n"/>
      <c r="AP91" s="687" t="n"/>
      <c r="AQ91" s="688" t="n"/>
      <c r="AR91" s="688" t="n"/>
      <c r="AS91" s="23" t="n"/>
      <c r="AT91" s="688" t="n"/>
    </row>
    <row r="92" ht="50.55" customHeight="1" s="392">
      <c r="A92" s="672">
        <f>IF(AF92="ENGAGE","✔",IF(AF92="EN COURS D'ENGAGEMENT","◕",IF(AF92="PREENGAGE","◑",IF(AF92="EN COURS DE PREENGAGEMENT","◔",IF(AF92="NON ENGAGE","✖","")))))</f>
        <v/>
      </c>
      <c r="B92" s="673" t="n">
        <v>2026</v>
      </c>
      <c r="C92" s="674" t="inlineStr">
        <is>
          <t>DINFOTV</t>
        </is>
      </c>
      <c r="D92" s="674" t="inlineStr">
        <is>
          <t>PV N° : 01RC2025- DITV</t>
        </is>
      </c>
      <c r="E92" s="675" t="inlineStr">
        <is>
          <t>CONTRAT</t>
        </is>
      </c>
      <c r="F92" s="675" t="n"/>
      <c r="G92" s="676" t="inlineStr">
        <is>
          <t>WIAM MOUDDOUN  -  Journaliste chargée de la préparation des magazines d'information, reportages, rédaction des JT et couverture du factuel</t>
        </is>
      </c>
      <c r="H92" s="673" t="inlineStr">
        <is>
          <t>VALIDE</t>
        </is>
      </c>
      <c r="I92" s="675" t="inlineStr">
        <is>
          <t>APPROUVE</t>
        </is>
      </c>
      <c r="J92" s="675" t="n"/>
      <c r="K92" s="673" t="inlineStr">
        <is>
          <t>NON CONCERNE</t>
        </is>
      </c>
      <c r="L92" s="675" t="inlineStr">
        <is>
          <t>Ordinaire</t>
        </is>
      </c>
      <c r="M92" s="677" t="inlineStr">
        <is>
          <t>FONCTIONNEMENT</t>
        </is>
      </c>
      <c r="N92" s="678" t="inlineStr">
        <is>
          <t>Prestations de service
Achat prestations de services locales - personnes physiques</t>
        </is>
      </c>
      <c r="O92" s="679" t="n"/>
      <c r="P92" s="680" t="n"/>
      <c r="Q92" s="680" t="n"/>
      <c r="R92" s="675" t="inlineStr">
        <is>
          <t>RECONDUCTION</t>
        </is>
      </c>
      <c r="S92" s="681" t="n"/>
      <c r="T92" s="682" t="n"/>
      <c r="U92" s="683" t="inlineStr">
        <is>
          <t>WIAM MOUDDOUN</t>
        </is>
      </c>
      <c r="V92" s="675" t="n">
        <v>2026</v>
      </c>
      <c r="W92" s="682" t="n">
        <v>46387</v>
      </c>
      <c r="X92" s="682" t="n"/>
      <c r="Y92" s="682" t="n">
        <v>46024</v>
      </c>
      <c r="Z92" s="679" t="n">
        <v>120000</v>
      </c>
      <c r="AA92" s="680" t="n">
        <v>0</v>
      </c>
      <c r="AB92" s="680">
        <f>Z92</f>
        <v/>
      </c>
      <c r="AC92" s="680" t="n">
        <v>0</v>
      </c>
      <c r="AD92" s="680">
        <f>Z92</f>
        <v/>
      </c>
      <c r="AE92" s="680">
        <f>Z92</f>
        <v/>
      </c>
      <c r="AF92" s="684" t="inlineStr">
        <is>
          <t>ENGAGE</t>
        </is>
      </c>
      <c r="AG92" s="683" t="n"/>
      <c r="AH92" s="680" t="n"/>
      <c r="AI92" s="680" t="n"/>
      <c r="AJ92" s="680" t="n"/>
      <c r="AK92" s="680" t="n"/>
      <c r="AL92" s="685" t="n"/>
      <c r="AM92" s="685" t="n"/>
      <c r="AN92" s="683" t="inlineStr">
        <is>
          <t>Manque n° contrat</t>
        </is>
      </c>
      <c r="AO92" s="686" t="n"/>
      <c r="AP92" s="687" t="n"/>
      <c r="AQ92" s="688" t="n"/>
      <c r="AR92" s="688" t="n"/>
      <c r="AS92" s="23" t="n"/>
      <c r="AT92" s="688" t="n"/>
    </row>
    <row r="93" ht="46.5" customHeight="1" s="392">
      <c r="A93" s="672">
        <f>IF(AF93="ENGAGE","✔",IF(AF93="EN COURS D'ENGAGEMENT","◕",IF(AF93="PREENGAGE","◑",IF(AF93="EN COURS DE PREENGAGEMENT","◔",IF(AF93="NON ENGAGE","✖","")))))</f>
        <v/>
      </c>
      <c r="B93" s="673" t="n">
        <v>2026</v>
      </c>
      <c r="C93" s="674" t="inlineStr">
        <is>
          <t>DINFOTV</t>
        </is>
      </c>
      <c r="D93" s="674" t="inlineStr">
        <is>
          <t>PV N° : 01RC2025- DITV</t>
        </is>
      </c>
      <c r="E93" s="675" t="inlineStr">
        <is>
          <t>CONTRAT</t>
        </is>
      </c>
      <c r="F93" s="675" t="n"/>
      <c r="G93" s="676" t="inlineStr">
        <is>
          <t>HOUDA NEJJAR  -  Scripte des journaux télévisés et toutes les émissions produites par la direction de l'Information TV</t>
        </is>
      </c>
      <c r="H93" s="673" t="inlineStr">
        <is>
          <t>VALIDE</t>
        </is>
      </c>
      <c r="I93" s="675" t="inlineStr">
        <is>
          <t>APPROUVE</t>
        </is>
      </c>
      <c r="J93" s="675" t="n"/>
      <c r="K93" s="673" t="inlineStr">
        <is>
          <t>NON CONCERNE</t>
        </is>
      </c>
      <c r="L93" s="675" t="inlineStr">
        <is>
          <t>Ordinaire</t>
        </is>
      </c>
      <c r="M93" s="677" t="inlineStr">
        <is>
          <t>FONCTIONNEMENT</t>
        </is>
      </c>
      <c r="N93" s="678" t="inlineStr">
        <is>
          <t>Prestations de service
Achat prestations de services locales - personnes physiques</t>
        </is>
      </c>
      <c r="O93" s="679" t="n"/>
      <c r="P93" s="680" t="n"/>
      <c r="Q93" s="680" t="n"/>
      <c r="R93" s="675" t="inlineStr">
        <is>
          <t>RECONDUCTION</t>
        </is>
      </c>
      <c r="S93" s="681" t="n"/>
      <c r="T93" s="682" t="n"/>
      <c r="U93" s="683" t="inlineStr">
        <is>
          <t>HOUDA NEJJAR</t>
        </is>
      </c>
      <c r="V93" s="675" t="n">
        <v>2026</v>
      </c>
      <c r="W93" s="682" t="n">
        <v>46387</v>
      </c>
      <c r="X93" s="682" t="n"/>
      <c r="Y93" s="682" t="n">
        <v>46024</v>
      </c>
      <c r="Z93" s="679" t="n">
        <v>24000</v>
      </c>
      <c r="AA93" s="680" t="n">
        <v>0</v>
      </c>
      <c r="AB93" s="680" t="n">
        <v>24000</v>
      </c>
      <c r="AC93" s="680" t="n">
        <v>0</v>
      </c>
      <c r="AD93" s="680" t="n">
        <v>24000</v>
      </c>
      <c r="AE93" s="680" t="n">
        <v>24000</v>
      </c>
      <c r="AF93" s="684" t="inlineStr">
        <is>
          <t>ENGAGE</t>
        </is>
      </c>
      <c r="AG93" s="683" t="n"/>
      <c r="AH93" s="680" t="n"/>
      <c r="AI93" s="680" t="n"/>
      <c r="AJ93" s="680" t="n"/>
      <c r="AK93" s="680" t="n"/>
      <c r="AL93" s="685" t="n"/>
      <c r="AM93" s="685" t="n"/>
      <c r="AN93" s="683" t="inlineStr">
        <is>
          <t>Manque n° contrat</t>
        </is>
      </c>
      <c r="AO93" s="686" t="n"/>
      <c r="AP93" s="687" t="n"/>
      <c r="AQ93" s="688" t="n"/>
      <c r="AR93" s="688" t="n"/>
      <c r="AS93" s="23" t="n"/>
      <c r="AT93" s="688" t="n"/>
    </row>
    <row r="94" ht="50.55" customHeight="1" s="392">
      <c r="A94" s="672">
        <f>IF(AF94="ENGAGE","✔",IF(AF94="EN COURS D'ENGAGEMENT","◕",IF(AF94="PREENGAGE","◑",IF(AF94="EN COURS DE PREENGAGEMENT","◔",IF(AF94="NON ENGAGE","✖","")))))</f>
        <v/>
      </c>
      <c r="B94" s="673" t="n">
        <v>2026</v>
      </c>
      <c r="C94" s="674" t="inlineStr">
        <is>
          <t>DINFOTV</t>
        </is>
      </c>
      <c r="D94" s="674" t="inlineStr">
        <is>
          <t>PV N° : 01RC2025- DITV</t>
        </is>
      </c>
      <c r="E94" s="675" t="inlineStr">
        <is>
          <t>CONTRAT</t>
        </is>
      </c>
      <c r="F94" s="675" t="n"/>
      <c r="G94" s="676" t="inlineStr">
        <is>
          <t>TAHRAOUI ABDELHGANI   -  Preneur de vue chargé de la réalisation de reportages et couvertures TV dans la province d'Essaouira et régions</t>
        </is>
      </c>
      <c r="H94" s="673" t="inlineStr">
        <is>
          <t>VALIDE</t>
        </is>
      </c>
      <c r="I94" s="675" t="inlineStr">
        <is>
          <t>APPROUVE</t>
        </is>
      </c>
      <c r="J94" s="675" t="n"/>
      <c r="K94" s="673" t="inlineStr">
        <is>
          <t>NON CONCERNE</t>
        </is>
      </c>
      <c r="L94" s="675" t="inlineStr">
        <is>
          <t>Ordinaire</t>
        </is>
      </c>
      <c r="M94" s="677" t="inlineStr">
        <is>
          <t>FONCTIONNEMENT</t>
        </is>
      </c>
      <c r="N94" s="678" t="inlineStr">
        <is>
          <t>Prestations de service
Achat prestations de services locales - personnes physiques</t>
        </is>
      </c>
      <c r="O94" s="679" t="n"/>
      <c r="P94" s="680" t="n"/>
      <c r="Q94" s="680" t="n"/>
      <c r="R94" s="675" t="inlineStr">
        <is>
          <t>RECONDUCTION</t>
        </is>
      </c>
      <c r="S94" s="681" t="n"/>
      <c r="T94" s="682" t="n"/>
      <c r="U94" s="683" t="inlineStr">
        <is>
          <t>TAHRAOUI ABDELHGANI</t>
        </is>
      </c>
      <c r="V94" s="675" t="n">
        <v>2026</v>
      </c>
      <c r="W94" s="682" t="n">
        <v>46387</v>
      </c>
      <c r="X94" s="682" t="n"/>
      <c r="Y94" s="682" t="n">
        <v>46024</v>
      </c>
      <c r="Z94" s="679" t="n">
        <v>44571.36</v>
      </c>
      <c r="AA94" s="680" t="n">
        <v>0</v>
      </c>
      <c r="AB94" s="680">
        <f>Z94</f>
        <v/>
      </c>
      <c r="AC94" s="680" t="n">
        <v>0</v>
      </c>
      <c r="AD94" s="680">
        <f>Z94</f>
        <v/>
      </c>
      <c r="AE94" s="680">
        <f>Z94</f>
        <v/>
      </c>
      <c r="AF94" s="684" t="inlineStr">
        <is>
          <t>ENGAGE</t>
        </is>
      </c>
      <c r="AG94" s="683" t="n"/>
      <c r="AH94" s="680" t="n"/>
      <c r="AI94" s="680" t="n"/>
      <c r="AJ94" s="680" t="n"/>
      <c r="AK94" s="680" t="n"/>
      <c r="AL94" s="685" t="n"/>
      <c r="AM94" s="685" t="n"/>
      <c r="AN94" s="683" t="inlineStr">
        <is>
          <t>Manque n° contrat</t>
        </is>
      </c>
      <c r="AO94" s="686" t="n"/>
      <c r="AP94" s="687" t="n"/>
      <c r="AQ94" s="688" t="n"/>
      <c r="AR94" s="688" t="n"/>
      <c r="AS94" s="23" t="n"/>
      <c r="AT94" s="688" t="n"/>
    </row>
    <row r="95" ht="50.55" customHeight="1" s="392">
      <c r="A95" s="672">
        <f>IF(AF95="ENGAGE","✔",IF(AF95="EN COURS D'ENGAGEMENT","◕",IF(AF95="PREENGAGE","◑",IF(AF95="EN COURS DE PREENGAGEMENT","◔",IF(AF95="NON ENGAGE","✖","")))))</f>
        <v/>
      </c>
      <c r="B95" s="673" t="n">
        <v>2026</v>
      </c>
      <c r="C95" s="674" t="inlineStr">
        <is>
          <t>DINFOTV</t>
        </is>
      </c>
      <c r="D95" s="674" t="inlineStr">
        <is>
          <t>PV N° : 01RC2025- DITV</t>
        </is>
      </c>
      <c r="E95" s="675" t="inlineStr">
        <is>
          <t>CONTRAT</t>
        </is>
      </c>
      <c r="F95" s="675" t="n"/>
      <c r="G95" s="676" t="inlineStr">
        <is>
          <t>FADILI AHMED   -  Preneur de vue chargé de la réalisation de reportages et couvertures TV dans la province d’Ifran Azrou</t>
        </is>
      </c>
      <c r="H95" s="673" t="inlineStr">
        <is>
          <t>VALIDE</t>
        </is>
      </c>
      <c r="I95" s="675" t="inlineStr">
        <is>
          <t>APPROUVE</t>
        </is>
      </c>
      <c r="J95" s="675" t="n"/>
      <c r="K95" s="673" t="inlineStr">
        <is>
          <t>NON CONCERNE</t>
        </is>
      </c>
      <c r="L95" s="675" t="inlineStr">
        <is>
          <t>Ordinaire</t>
        </is>
      </c>
      <c r="M95" s="677" t="inlineStr">
        <is>
          <t>FONCTIONNEMENT</t>
        </is>
      </c>
      <c r="N95" s="678" t="inlineStr">
        <is>
          <t>Prestations de service
Achat prestations de services locales - personnes physiques</t>
        </is>
      </c>
      <c r="O95" s="679" t="n"/>
      <c r="P95" s="680" t="n"/>
      <c r="Q95" s="680" t="n"/>
      <c r="R95" s="675" t="inlineStr">
        <is>
          <t>RECONDUCTION</t>
        </is>
      </c>
      <c r="S95" s="681" t="n"/>
      <c r="T95" s="682" t="n"/>
      <c r="U95" s="683" t="inlineStr">
        <is>
          <t>FADILI AHMED</t>
        </is>
      </c>
      <c r="V95" s="675" t="n">
        <v>2026</v>
      </c>
      <c r="W95" s="682" t="n">
        <v>46387</v>
      </c>
      <c r="X95" s="682" t="n"/>
      <c r="Y95" s="682" t="n">
        <v>46024</v>
      </c>
      <c r="Z95" s="679" t="n">
        <v>72000</v>
      </c>
      <c r="AA95" s="680" t="n">
        <v>0</v>
      </c>
      <c r="AB95" s="680">
        <f>Z95</f>
        <v/>
      </c>
      <c r="AC95" s="680" t="n">
        <v>0</v>
      </c>
      <c r="AD95" s="680">
        <f>Z95</f>
        <v/>
      </c>
      <c r="AE95" s="680">
        <f>Z95</f>
        <v/>
      </c>
      <c r="AF95" s="684" t="inlineStr">
        <is>
          <t>ENGAGE</t>
        </is>
      </c>
      <c r="AG95" s="683" t="n"/>
      <c r="AH95" s="680" t="n"/>
      <c r="AI95" s="680" t="n"/>
      <c r="AJ95" s="680" t="n"/>
      <c r="AK95" s="680" t="n"/>
      <c r="AL95" s="685" t="n"/>
      <c r="AM95" s="685" t="n"/>
      <c r="AN95" s="683" t="inlineStr">
        <is>
          <t>Manque n° contrat</t>
        </is>
      </c>
      <c r="AO95" s="686" t="n"/>
      <c r="AP95" s="687" t="n"/>
      <c r="AQ95" s="688" t="n"/>
      <c r="AR95" s="688" t="n"/>
      <c r="AS95" s="23" t="n"/>
      <c r="AT95" s="688" t="n"/>
    </row>
    <row r="96" ht="50.55" customHeight="1" s="392">
      <c r="A96" s="672">
        <f>IF(AF96="ENGAGE","✔",IF(AF96="EN COURS D'ENGAGEMENT","◕",IF(AF96="PREENGAGE","◑",IF(AF96="EN COURS DE PREENGAGEMENT","◔",IF(AF96="NON ENGAGE","✖","")))))</f>
        <v/>
      </c>
      <c r="B96" s="673" t="n">
        <v>2026</v>
      </c>
      <c r="C96" s="674" t="inlineStr">
        <is>
          <t>DINFOTV</t>
        </is>
      </c>
      <c r="D96" s="674" t="inlineStr">
        <is>
          <t>PV N° : 01RC2025- DITV</t>
        </is>
      </c>
      <c r="E96" s="675" t="inlineStr">
        <is>
          <t>CONTRAT</t>
        </is>
      </c>
      <c r="F96" s="675" t="n"/>
      <c r="G96" s="676" t="inlineStr">
        <is>
          <t>KHALID AIT HSSAIN  -  Coiffeur et maquilleur des animateurs et des invités participants au journal télévisé de la chaine ALOULA.</t>
        </is>
      </c>
      <c r="H96" s="673" t="inlineStr">
        <is>
          <t>VALIDE</t>
        </is>
      </c>
      <c r="I96" s="675" t="inlineStr">
        <is>
          <t>APPROUVE</t>
        </is>
      </c>
      <c r="J96" s="675" t="n"/>
      <c r="K96" s="673" t="inlineStr">
        <is>
          <t>NON CONCERNE</t>
        </is>
      </c>
      <c r="L96" s="675" t="inlineStr">
        <is>
          <t>Ordinaire</t>
        </is>
      </c>
      <c r="M96" s="677" t="inlineStr">
        <is>
          <t>FONCTIONNEMENT</t>
        </is>
      </c>
      <c r="N96" s="678" t="inlineStr">
        <is>
          <t>Prestations de service
Achat prestations de services locales - personnes physiques</t>
        </is>
      </c>
      <c r="O96" s="679" t="n"/>
      <c r="P96" s="680" t="n"/>
      <c r="Q96" s="680" t="n"/>
      <c r="R96" s="675" t="inlineStr">
        <is>
          <t>RECONDUCTION</t>
        </is>
      </c>
      <c r="S96" s="681" t="n"/>
      <c r="T96" s="682" t="n"/>
      <c r="U96" s="683" t="inlineStr">
        <is>
          <t>KHALID AIT HSSAIN</t>
        </is>
      </c>
      <c r="V96" s="675" t="n">
        <v>2026</v>
      </c>
      <c r="W96" s="682" t="n">
        <v>46387</v>
      </c>
      <c r="X96" s="682" t="n"/>
      <c r="Y96" s="682" t="n">
        <v>46024</v>
      </c>
      <c r="Z96" s="679" t="n">
        <v>72000</v>
      </c>
      <c r="AA96" s="680" t="n">
        <v>0</v>
      </c>
      <c r="AB96" s="680">
        <f>Z96</f>
        <v/>
      </c>
      <c r="AC96" s="680" t="n">
        <v>0</v>
      </c>
      <c r="AD96" s="680">
        <f>Z96</f>
        <v/>
      </c>
      <c r="AE96" s="680">
        <f>Z96</f>
        <v/>
      </c>
      <c r="AF96" s="684" t="inlineStr">
        <is>
          <t>ENGAGE</t>
        </is>
      </c>
      <c r="AG96" s="683" t="n"/>
      <c r="AH96" s="680" t="n"/>
      <c r="AI96" s="680" t="n"/>
      <c r="AJ96" s="680" t="n"/>
      <c r="AK96" s="680" t="n"/>
      <c r="AL96" s="685" t="n"/>
      <c r="AM96" s="685" t="n"/>
      <c r="AN96" s="683" t="inlineStr">
        <is>
          <t>Manque n° contrat</t>
        </is>
      </c>
      <c r="AO96" s="686" t="n"/>
      <c r="AP96" s="687" t="n"/>
      <c r="AQ96" s="688" t="n"/>
      <c r="AR96" s="688" t="n"/>
      <c r="AS96" s="23" t="n"/>
      <c r="AT96" s="688" t="n"/>
    </row>
    <row r="97" ht="50.55" customHeight="1" s="392">
      <c r="A97" s="672">
        <f>IF(AF97="ENGAGE","✔",IF(AF97="EN COURS D'ENGAGEMENT","◕",IF(AF97="PREENGAGE","◑",IF(AF97="EN COURS DE PREENGAGEMENT","◔",IF(AF97="NON ENGAGE","✖","")))))</f>
        <v/>
      </c>
      <c r="B97" s="673" t="n">
        <v>2026</v>
      </c>
      <c r="C97" s="674" t="inlineStr">
        <is>
          <t>DINFOTV</t>
        </is>
      </c>
      <c r="D97" s="674" t="inlineStr">
        <is>
          <t>PV N° : 01RC2025- DITV</t>
        </is>
      </c>
      <c r="E97" s="675" t="inlineStr">
        <is>
          <t>CONTRAT</t>
        </is>
      </c>
      <c r="F97" s="675" t="n"/>
      <c r="G97" s="676" t="inlineStr">
        <is>
          <t>SOUKAINA HACHIMI  -  Journaliste chargée de la préparation des magazines d'information, reportages, rédaction des JT et couverture du factuel</t>
        </is>
      </c>
      <c r="H97" s="673" t="inlineStr">
        <is>
          <t>VALIDE</t>
        </is>
      </c>
      <c r="I97" s="675" t="inlineStr">
        <is>
          <t>APPROUVE</t>
        </is>
      </c>
      <c r="J97" s="675" t="n"/>
      <c r="K97" s="673" t="inlineStr">
        <is>
          <t>NON CONCERNE</t>
        </is>
      </c>
      <c r="L97" s="675" t="inlineStr">
        <is>
          <t>Ordinaire</t>
        </is>
      </c>
      <c r="M97" s="677" t="inlineStr">
        <is>
          <t>FONCTIONNEMENT</t>
        </is>
      </c>
      <c r="N97" s="678" t="inlineStr">
        <is>
          <t>Prestations de service
Achat prestations de services locales - personnes physiques</t>
        </is>
      </c>
      <c r="O97" s="679" t="n"/>
      <c r="P97" s="680" t="n"/>
      <c r="Q97" s="680" t="n"/>
      <c r="R97" s="675" t="inlineStr">
        <is>
          <t>RECONDUCTION</t>
        </is>
      </c>
      <c r="S97" s="681" t="n"/>
      <c r="T97" s="682" t="n"/>
      <c r="U97" s="683" t="inlineStr">
        <is>
          <t>SOUKAINA HACHIMI</t>
        </is>
      </c>
      <c r="V97" s="675" t="n">
        <v>2026</v>
      </c>
      <c r="W97" s="682" t="n">
        <v>46387</v>
      </c>
      <c r="X97" s="682" t="n"/>
      <c r="Y97" s="682" t="n">
        <v>46024</v>
      </c>
      <c r="Z97" s="679" t="n">
        <v>120000</v>
      </c>
      <c r="AA97" s="680" t="n">
        <v>0</v>
      </c>
      <c r="AB97" s="680">
        <f>Z97</f>
        <v/>
      </c>
      <c r="AC97" s="680" t="n">
        <v>0</v>
      </c>
      <c r="AD97" s="680">
        <f>Z97</f>
        <v/>
      </c>
      <c r="AE97" s="680">
        <f>Z97</f>
        <v/>
      </c>
      <c r="AF97" s="684" t="inlineStr">
        <is>
          <t>ENGAGE</t>
        </is>
      </c>
      <c r="AG97" s="683" t="n"/>
      <c r="AH97" s="680" t="n"/>
      <c r="AI97" s="680" t="n"/>
      <c r="AJ97" s="680" t="n"/>
      <c r="AK97" s="680" t="n"/>
      <c r="AL97" s="685" t="n"/>
      <c r="AM97" s="685" t="n"/>
      <c r="AN97" s="683" t="inlineStr">
        <is>
          <t>Manque n° contrat</t>
        </is>
      </c>
      <c r="AO97" s="686" t="n"/>
      <c r="AP97" s="687" t="n"/>
      <c r="AQ97" s="688" t="n"/>
      <c r="AR97" s="688" t="n"/>
      <c r="AS97" s="23" t="n"/>
      <c r="AT97" s="688" t="n"/>
    </row>
    <row r="98" ht="50.55" customHeight="1" s="392">
      <c r="A98" s="672">
        <f>IF(AF98="ENGAGE","✔",IF(AF98="EN COURS D'ENGAGEMENT","◕",IF(AF98="PREENGAGE","◑",IF(AF98="EN COURS DE PREENGAGEMENT","◔",IF(AF98="NON ENGAGE","✖","")))))</f>
        <v/>
      </c>
      <c r="B98" s="673" t="n">
        <v>2026</v>
      </c>
      <c r="C98" s="674" t="inlineStr">
        <is>
          <t>DINFOTV</t>
        </is>
      </c>
      <c r="D98" s="674" t="inlineStr">
        <is>
          <t>PV N° : 01RC2025- DITV</t>
        </is>
      </c>
      <c r="E98" s="675" t="inlineStr">
        <is>
          <t>CONTRAT</t>
        </is>
      </c>
      <c r="F98" s="675" t="n"/>
      <c r="G98" s="676" t="inlineStr">
        <is>
          <t>MAHDI KARRAKCHOU  -  Le montage des journaux télévisés et toutes les émissions produites par la direction de l'Information TV</t>
        </is>
      </c>
      <c r="H98" s="673" t="inlineStr">
        <is>
          <t>VALIDE</t>
        </is>
      </c>
      <c r="I98" s="675" t="inlineStr">
        <is>
          <t>APPROUVE</t>
        </is>
      </c>
      <c r="J98" s="675" t="n"/>
      <c r="K98" s="673" t="inlineStr">
        <is>
          <t>NON CONCERNE</t>
        </is>
      </c>
      <c r="L98" s="675" t="inlineStr">
        <is>
          <t>Ordinaire</t>
        </is>
      </c>
      <c r="M98" s="677" t="inlineStr">
        <is>
          <t>FONCTIONNEMENT</t>
        </is>
      </c>
      <c r="N98" s="678" t="inlineStr">
        <is>
          <t>Prestations de service
Achat prestations de services locales - personnes physiques</t>
        </is>
      </c>
      <c r="O98" s="679" t="n"/>
      <c r="P98" s="680" t="n"/>
      <c r="Q98" s="680" t="n"/>
      <c r="R98" s="675" t="inlineStr">
        <is>
          <t>RECONDUCTION</t>
        </is>
      </c>
      <c r="S98" s="681" t="n"/>
      <c r="T98" s="682" t="n"/>
      <c r="U98" s="683" t="inlineStr">
        <is>
          <t>MAHDI KARRAKCHOU</t>
        </is>
      </c>
      <c r="V98" s="675" t="n">
        <v>2026</v>
      </c>
      <c r="W98" s="682" t="n">
        <v>46387</v>
      </c>
      <c r="X98" s="682" t="n"/>
      <c r="Y98" s="682" t="n">
        <v>46024</v>
      </c>
      <c r="Z98" s="679" t="n">
        <v>108000</v>
      </c>
      <c r="AA98" s="680" t="n">
        <v>0</v>
      </c>
      <c r="AB98" s="680">
        <f>Z98</f>
        <v/>
      </c>
      <c r="AC98" s="680" t="n">
        <v>0</v>
      </c>
      <c r="AD98" s="680">
        <f>Z98</f>
        <v/>
      </c>
      <c r="AE98" s="680">
        <f>Z98</f>
        <v/>
      </c>
      <c r="AF98" s="684" t="inlineStr">
        <is>
          <t>ENGAGE</t>
        </is>
      </c>
      <c r="AG98" s="683" t="n"/>
      <c r="AH98" s="680" t="n"/>
      <c r="AI98" s="680" t="n"/>
      <c r="AJ98" s="680" t="n"/>
      <c r="AK98" s="680" t="n"/>
      <c r="AL98" s="685" t="n"/>
      <c r="AM98" s="685" t="n"/>
      <c r="AN98" s="683" t="inlineStr">
        <is>
          <t>Manque n° contrat</t>
        </is>
      </c>
      <c r="AO98" s="686" t="n"/>
      <c r="AP98" s="687" t="n"/>
      <c r="AQ98" s="688" t="n"/>
      <c r="AR98" s="688" t="n"/>
      <c r="AS98" s="23" t="n"/>
      <c r="AT98" s="688" t="n"/>
    </row>
    <row r="99" ht="50.55" customHeight="1" s="392">
      <c r="A99" s="672">
        <f>IF(AF99="ENGAGE","✔",IF(AF99="EN COURS D'ENGAGEMENT","◕",IF(AF99="PREENGAGE","◑",IF(AF99="EN COURS DE PREENGAGEMENT","◔",IF(AF99="NON ENGAGE","✖","")))))</f>
        <v/>
      </c>
      <c r="B99" s="673" t="n">
        <v>2026</v>
      </c>
      <c r="C99" s="674" t="inlineStr">
        <is>
          <t>DINFOTV</t>
        </is>
      </c>
      <c r="D99" s="674" t="inlineStr">
        <is>
          <t>PV N° : 01RC2025- DITV</t>
        </is>
      </c>
      <c r="E99" s="675" t="inlineStr">
        <is>
          <t>CONTRAT</t>
        </is>
      </c>
      <c r="F99" s="675" t="n"/>
      <c r="G99" s="676" t="inlineStr">
        <is>
          <t>MOUNIR LAHSAIEN -  Coiffeur et maquilleur des animateurs et des invités participants au journal télévisé de la chaine Al Aoula</t>
        </is>
      </c>
      <c r="H99" s="673" t="inlineStr">
        <is>
          <t>VALIDE</t>
        </is>
      </c>
      <c r="I99" s="675" t="inlineStr">
        <is>
          <t>APPROUVE</t>
        </is>
      </c>
      <c r="J99" s="675" t="n"/>
      <c r="K99" s="673" t="inlineStr">
        <is>
          <t>NON CONCERNE</t>
        </is>
      </c>
      <c r="L99" s="675" t="inlineStr">
        <is>
          <t>Ordinaire</t>
        </is>
      </c>
      <c r="M99" s="677" t="inlineStr">
        <is>
          <t>FONCTIONNEMENT</t>
        </is>
      </c>
      <c r="N99" s="678" t="inlineStr">
        <is>
          <t>Prestations de service
Achat prestations de services locales - personnes physiques</t>
        </is>
      </c>
      <c r="O99" s="679" t="n"/>
      <c r="P99" s="680" t="n"/>
      <c r="Q99" s="680" t="n"/>
      <c r="R99" s="675" t="inlineStr">
        <is>
          <t>RECONDUCTION</t>
        </is>
      </c>
      <c r="S99" s="681" t="n"/>
      <c r="T99" s="682" t="n"/>
      <c r="U99" s="683" t="inlineStr">
        <is>
          <t>MOUNIR LAHSAIEN</t>
        </is>
      </c>
      <c r="V99" s="675" t="n">
        <v>2026</v>
      </c>
      <c r="W99" s="682" t="n">
        <v>46387</v>
      </c>
      <c r="X99" s="682" t="n"/>
      <c r="Y99" s="682" t="n">
        <v>46024</v>
      </c>
      <c r="Z99" s="679" t="n">
        <v>72000</v>
      </c>
      <c r="AA99" s="680" t="n">
        <v>0</v>
      </c>
      <c r="AB99" s="680">
        <f>Z99</f>
        <v/>
      </c>
      <c r="AC99" s="680" t="n">
        <v>0</v>
      </c>
      <c r="AD99" s="680">
        <f>Z99</f>
        <v/>
      </c>
      <c r="AE99" s="680">
        <f>Z99</f>
        <v/>
      </c>
      <c r="AF99" s="684" t="inlineStr">
        <is>
          <t>ENGAGE</t>
        </is>
      </c>
      <c r="AG99" s="683" t="n"/>
      <c r="AH99" s="680" t="n"/>
      <c r="AI99" s="680" t="n"/>
      <c r="AJ99" s="680" t="n"/>
      <c r="AK99" s="680" t="n"/>
      <c r="AL99" s="685" t="n"/>
      <c r="AM99" s="685" t="n"/>
      <c r="AN99" s="683" t="inlineStr">
        <is>
          <t>Manque n° contrat</t>
        </is>
      </c>
      <c r="AO99" s="686" t="n"/>
      <c r="AP99" s="687" t="n"/>
      <c r="AQ99" s="688" t="n"/>
      <c r="AR99" s="688" t="n"/>
      <c r="AS99" s="23" t="n"/>
      <c r="AT99" s="688" t="n"/>
    </row>
    <row r="100" ht="46.5" customHeight="1" s="392">
      <c r="A100" s="672">
        <f>IF(AF100="ENGAGE","✔",IF(AF100="EN COURS D'ENGAGEMENT","◕",IF(AF100="PREENGAGE","◑",IF(AF100="EN COURS DE PREENGAGEMENT","◔",IF(AF100="NON ENGAGE","✖","")))))</f>
        <v/>
      </c>
      <c r="B100" s="673" t="n">
        <v>2026</v>
      </c>
      <c r="C100" s="674" t="inlineStr">
        <is>
          <t>DINFOTV</t>
        </is>
      </c>
      <c r="D100" s="674" t="inlineStr">
        <is>
          <t>PV N° : 01RC2025- DITV</t>
        </is>
      </c>
      <c r="E100" s="675" t="inlineStr">
        <is>
          <t>CONTRAT</t>
        </is>
      </c>
      <c r="F100" s="675" t="n"/>
      <c r="G100" s="676" t="inlineStr">
        <is>
          <t>EL AAZIZ ABDERRAZZAQ  -  Chef d'édition des journaux télévisés</t>
        </is>
      </c>
      <c r="H100" s="673" t="inlineStr">
        <is>
          <t>VALIDE</t>
        </is>
      </c>
      <c r="I100" s="675" t="inlineStr">
        <is>
          <t>APPROUVE</t>
        </is>
      </c>
      <c r="J100" s="675" t="n"/>
      <c r="K100" s="673" t="inlineStr">
        <is>
          <t>NON CONCERNE</t>
        </is>
      </c>
      <c r="L100" s="675" t="inlineStr">
        <is>
          <t>Ordinaire</t>
        </is>
      </c>
      <c r="M100" s="677" t="inlineStr">
        <is>
          <t>FONCTIONNEMENT</t>
        </is>
      </c>
      <c r="N100" s="678" t="inlineStr">
        <is>
          <t>Prestations de service
Achat prestations de services locales - personnes physiques</t>
        </is>
      </c>
      <c r="O100" s="679" t="n"/>
      <c r="P100" s="680" t="n"/>
      <c r="Q100" s="680" t="n"/>
      <c r="R100" s="675" t="inlineStr">
        <is>
          <t>RECONDUCTION</t>
        </is>
      </c>
      <c r="S100" s="681" t="n"/>
      <c r="T100" s="682" t="n"/>
      <c r="U100" s="683" t="inlineStr">
        <is>
          <t>EL AAZIZ ABDERRAZZAQ</t>
        </is>
      </c>
      <c r="V100" s="675" t="n">
        <v>2026</v>
      </c>
      <c r="W100" s="682" t="n">
        <v>46387</v>
      </c>
      <c r="X100" s="682" t="n"/>
      <c r="Y100" s="682" t="n">
        <v>46024</v>
      </c>
      <c r="Z100" s="679" t="n">
        <v>240000</v>
      </c>
      <c r="AA100" s="680" t="n">
        <v>0</v>
      </c>
      <c r="AB100" s="680">
        <f>Z100</f>
        <v/>
      </c>
      <c r="AC100" s="680" t="n">
        <v>0</v>
      </c>
      <c r="AD100" s="680">
        <f>Z100</f>
        <v/>
      </c>
      <c r="AE100" s="680">
        <f>Z100</f>
        <v/>
      </c>
      <c r="AF100" s="684" t="inlineStr">
        <is>
          <t>ENGAGE</t>
        </is>
      </c>
      <c r="AG100" s="683" t="n"/>
      <c r="AH100" s="680" t="n"/>
      <c r="AI100" s="680" t="n"/>
      <c r="AJ100" s="680" t="n"/>
      <c r="AK100" s="680" t="n"/>
      <c r="AL100" s="685" t="n"/>
      <c r="AM100" s="685" t="n"/>
      <c r="AN100" s="683" t="inlineStr">
        <is>
          <t>Manque n° contrat</t>
        </is>
      </c>
      <c r="AO100" s="686" t="n"/>
      <c r="AP100" s="687" t="n"/>
      <c r="AQ100" s="688" t="n"/>
      <c r="AR100" s="688" t="n"/>
      <c r="AS100" s="23" t="n"/>
      <c r="AT100" s="688" t="n"/>
    </row>
    <row r="101" ht="46.5" customHeight="1" s="392">
      <c r="A101" s="672">
        <f>IF(AF101="ENGAGE","✔",IF(AF101="EN COURS D'ENGAGEMENT","◕",IF(AF101="PREENGAGE","◑",IF(AF101="EN COURS DE PREENGAGEMENT","◔",IF(AF101="NON ENGAGE","✖","")))))</f>
        <v/>
      </c>
      <c r="B101" s="673" t="n">
        <v>2026</v>
      </c>
      <c r="C101" s="674" t="inlineStr">
        <is>
          <t>DINFOTV</t>
        </is>
      </c>
      <c r="D101" s="674" t="inlineStr">
        <is>
          <t>PV N° : 01RC2025- DITV</t>
        </is>
      </c>
      <c r="E101" s="675" t="inlineStr">
        <is>
          <t>CONTRAT</t>
        </is>
      </c>
      <c r="F101" s="675" t="n"/>
      <c r="G101" s="676" t="inlineStr">
        <is>
          <t>BOUJOUBBOU ABDELHAKIM  -  Chef d'édition des journaux télévisés</t>
        </is>
      </c>
      <c r="H101" s="673" t="inlineStr">
        <is>
          <t>VALIDE</t>
        </is>
      </c>
      <c r="I101" s="675" t="inlineStr">
        <is>
          <t>APPROUVE</t>
        </is>
      </c>
      <c r="J101" s="675" t="n"/>
      <c r="K101" s="673" t="inlineStr">
        <is>
          <t>NON CONCERNE</t>
        </is>
      </c>
      <c r="L101" s="675" t="inlineStr">
        <is>
          <t>Ordinaire</t>
        </is>
      </c>
      <c r="M101" s="677" t="inlineStr">
        <is>
          <t>FONCTIONNEMENT</t>
        </is>
      </c>
      <c r="N101" s="678" t="inlineStr">
        <is>
          <t>Prestations de service
Achat prestations de services locales - personnes physiques</t>
        </is>
      </c>
      <c r="O101" s="679" t="n"/>
      <c r="P101" s="680" t="n"/>
      <c r="Q101" s="680" t="n"/>
      <c r="R101" s="675" t="inlineStr">
        <is>
          <t>RECONDUCTION</t>
        </is>
      </c>
      <c r="S101" s="681" t="n"/>
      <c r="T101" s="682" t="n"/>
      <c r="U101" s="683" t="inlineStr">
        <is>
          <t>BOUJOUBBOU ABDELHAKIM</t>
        </is>
      </c>
      <c r="V101" s="675" t="n">
        <v>2026</v>
      </c>
      <c r="W101" s="682" t="n">
        <v>46387</v>
      </c>
      <c r="X101" s="682" t="n"/>
      <c r="Y101" s="682" t="n">
        <v>46024</v>
      </c>
      <c r="Z101" s="679" t="n">
        <v>240000</v>
      </c>
      <c r="AA101" s="680" t="n">
        <v>0</v>
      </c>
      <c r="AB101" s="680">
        <f>Z101</f>
        <v/>
      </c>
      <c r="AC101" s="680" t="n">
        <v>0</v>
      </c>
      <c r="AD101" s="680">
        <f>Z101</f>
        <v/>
      </c>
      <c r="AE101" s="680">
        <f>Z101</f>
        <v/>
      </c>
      <c r="AF101" s="684" t="inlineStr">
        <is>
          <t>ENGAGE</t>
        </is>
      </c>
      <c r="AG101" s="683" t="n"/>
      <c r="AH101" s="680" t="n"/>
      <c r="AI101" s="680" t="n"/>
      <c r="AJ101" s="680" t="n"/>
      <c r="AK101" s="680" t="n"/>
      <c r="AL101" s="685" t="n"/>
      <c r="AM101" s="685" t="n"/>
      <c r="AN101" s="683" t="inlineStr">
        <is>
          <t>Manque n° contrat</t>
        </is>
      </c>
      <c r="AO101" s="686" t="n"/>
      <c r="AP101" s="687" t="n"/>
      <c r="AQ101" s="688" t="n"/>
      <c r="AR101" s="688" t="n"/>
      <c r="AS101" s="23" t="n"/>
      <c r="AT101" s="688" t="n"/>
    </row>
    <row r="102" ht="50.55" customHeight="1" s="392">
      <c r="A102" s="672">
        <f>IF(AF102="ENGAGE","✔",IF(AF102="EN COURS D'ENGAGEMENT","◕",IF(AF102="PREENGAGE","◑",IF(AF102="EN COURS DE PREENGAGEMENT","◔",IF(AF102="NON ENGAGE","✖","")))))</f>
        <v/>
      </c>
      <c r="B102" s="673" t="n">
        <v>2026</v>
      </c>
      <c r="C102" s="674" t="inlineStr">
        <is>
          <t>DINFOTV</t>
        </is>
      </c>
      <c r="D102" s="674" t="inlineStr">
        <is>
          <t>PV N° : 01RC2025- DITV</t>
        </is>
      </c>
      <c r="E102" s="675" t="inlineStr">
        <is>
          <t>CONTRAT</t>
        </is>
      </c>
      <c r="F102" s="675" t="n"/>
      <c r="G102" s="676" t="inlineStr">
        <is>
          <t>MOULINE LILIA  -  Styliste, Maquilleuse et Habilleuse des journalistes et présentateurs chargés de la présentation des émissions</t>
        </is>
      </c>
      <c r="H102" s="673" t="inlineStr">
        <is>
          <t>VALIDE</t>
        </is>
      </c>
      <c r="I102" s="675" t="inlineStr">
        <is>
          <t>APPROUVE</t>
        </is>
      </c>
      <c r="J102" s="675" t="n"/>
      <c r="K102" s="673" t="inlineStr">
        <is>
          <t>NON CONCERNE</t>
        </is>
      </c>
      <c r="L102" s="675" t="inlineStr">
        <is>
          <t>Ordinaire</t>
        </is>
      </c>
      <c r="M102" s="677" t="inlineStr">
        <is>
          <t>FONCTIONNEMENT</t>
        </is>
      </c>
      <c r="N102" s="678" t="inlineStr">
        <is>
          <t>Prestations de service
Achat prestations de services locales - personnes physiques</t>
        </is>
      </c>
      <c r="O102" s="679" t="n"/>
      <c r="P102" s="680" t="n"/>
      <c r="Q102" s="680" t="n"/>
      <c r="R102" s="675" t="inlineStr">
        <is>
          <t>RECONDUCTION</t>
        </is>
      </c>
      <c r="S102" s="681" t="n"/>
      <c r="T102" s="682" t="n"/>
      <c r="U102" s="683" t="inlineStr">
        <is>
          <t>MOULINE LILIA</t>
        </is>
      </c>
      <c r="V102" s="675" t="n">
        <v>2026</v>
      </c>
      <c r="W102" s="682" t="n">
        <v>46387</v>
      </c>
      <c r="X102" s="682" t="n"/>
      <c r="Y102" s="682" t="n">
        <v>46024</v>
      </c>
      <c r="Z102" s="679" t="n">
        <v>705374.28</v>
      </c>
      <c r="AA102" s="680" t="n">
        <v>0</v>
      </c>
      <c r="AB102" s="680" t="n">
        <v>846449.14</v>
      </c>
      <c r="AC102" s="680" t="n">
        <v>0</v>
      </c>
      <c r="AD102" s="680">
        <f>Z102</f>
        <v/>
      </c>
      <c r="AE102" s="680">
        <f>AB102</f>
        <v/>
      </c>
      <c r="AF102" s="684" t="inlineStr">
        <is>
          <t>ENGAGE</t>
        </is>
      </c>
      <c r="AG102" s="683" t="n"/>
      <c r="AH102" s="680" t="n"/>
      <c r="AI102" s="680" t="n"/>
      <c r="AJ102" s="680" t="n"/>
      <c r="AK102" s="680" t="n"/>
      <c r="AL102" s="685" t="n"/>
      <c r="AM102" s="685" t="n"/>
      <c r="AN102" s="683" t="inlineStr">
        <is>
          <t>Manque n° contrat</t>
        </is>
      </c>
      <c r="AO102" s="686" t="n"/>
      <c r="AP102" s="687" t="n"/>
      <c r="AQ102" s="688" t="n"/>
      <c r="AR102" s="688" t="n"/>
      <c r="AS102" s="23" t="n"/>
      <c r="AT102" s="688" t="n"/>
    </row>
    <row r="103" ht="50.55" customHeight="1" s="392">
      <c r="A103" s="672">
        <f>IF(AF103="ENGAGE","✔",IF(AF103="EN COURS D'ENGAGEMENT","◕",IF(AF103="PREENGAGE","◑",IF(AF103="EN COURS DE PREENGAGEMENT","◔",IF(AF103="NON ENGAGE","✖","")))))</f>
        <v/>
      </c>
      <c r="B103" s="673" t="n">
        <v>2026</v>
      </c>
      <c r="C103" s="674" t="inlineStr">
        <is>
          <t>DINFOTV</t>
        </is>
      </c>
      <c r="D103" s="674" t="inlineStr">
        <is>
          <t>PV N° : 01RC2025- DITV</t>
        </is>
      </c>
      <c r="E103" s="675" t="inlineStr">
        <is>
          <t>CONTRAT</t>
        </is>
      </c>
      <c r="F103" s="675" t="n"/>
      <c r="G103" s="676" t="inlineStr">
        <is>
          <t>BOUBKER BEN GHABRIT  -  Journaliste francophone chargé de la préparation et la réalisation des reportages news en français ainsi que la présentation JT Français.</t>
        </is>
      </c>
      <c r="H103" s="673" t="inlineStr">
        <is>
          <t>VALIDE</t>
        </is>
      </c>
      <c r="I103" s="675" t="inlineStr">
        <is>
          <t>APPROUVE</t>
        </is>
      </c>
      <c r="J103" s="675" t="n"/>
      <c r="K103" s="673" t="inlineStr">
        <is>
          <t>NON CONCERNE</t>
        </is>
      </c>
      <c r="L103" s="675" t="inlineStr">
        <is>
          <t>Ordinaire</t>
        </is>
      </c>
      <c r="M103" s="677" t="inlineStr">
        <is>
          <t>FONCTIONNEMENT</t>
        </is>
      </c>
      <c r="N103" s="678" t="inlineStr">
        <is>
          <t>Prestations de service
Achat prestations de services locales - personnes physiques</t>
        </is>
      </c>
      <c r="O103" s="679" t="n"/>
      <c r="P103" s="680" t="n"/>
      <c r="Q103" s="680" t="n"/>
      <c r="R103" s="675" t="inlineStr">
        <is>
          <t>RECONDUCTION</t>
        </is>
      </c>
      <c r="S103" s="681" t="n"/>
      <c r="T103" s="682" t="n"/>
      <c r="U103" s="683" t="inlineStr">
        <is>
          <t>BOUBKER BEN GHABRIT</t>
        </is>
      </c>
      <c r="V103" s="675" t="n">
        <v>2026</v>
      </c>
      <c r="W103" s="682" t="n">
        <v>46387</v>
      </c>
      <c r="X103" s="682" t="n"/>
      <c r="Y103" s="682" t="n">
        <v>46024</v>
      </c>
      <c r="Z103" s="679" t="n">
        <v>214800</v>
      </c>
      <c r="AA103" s="680" t="n">
        <v>0</v>
      </c>
      <c r="AB103" s="680">
        <f>Z103</f>
        <v/>
      </c>
      <c r="AC103" s="680" t="n">
        <v>0</v>
      </c>
      <c r="AD103" s="680">
        <f>Z103</f>
        <v/>
      </c>
      <c r="AE103" s="680">
        <f>AB103</f>
        <v/>
      </c>
      <c r="AF103" s="684" t="inlineStr">
        <is>
          <t>ENGAGE</t>
        </is>
      </c>
      <c r="AG103" s="683" t="n"/>
      <c r="AH103" s="680" t="n"/>
      <c r="AI103" s="680" t="n"/>
      <c r="AJ103" s="680" t="n"/>
      <c r="AK103" s="680" t="n"/>
      <c r="AL103" s="685" t="n"/>
      <c r="AM103" s="685" t="n"/>
      <c r="AN103" s="683" t="inlineStr">
        <is>
          <t>Manque n° contrat</t>
        </is>
      </c>
      <c r="AO103" s="686" t="n"/>
      <c r="AP103" s="687" t="n"/>
      <c r="AQ103" s="688" t="n"/>
      <c r="AR103" s="688" t="n"/>
      <c r="AS103" s="23" t="n"/>
      <c r="AT103" s="688" t="n"/>
    </row>
    <row r="104" ht="50.55" customHeight="1" s="392">
      <c r="A104" s="672">
        <f>IF(AF104="ENGAGE","✔",IF(AF104="EN COURS D'ENGAGEMENT","◕",IF(AF104="PREENGAGE","◑",IF(AF104="EN COURS DE PREENGAGEMENT","◔",IF(AF104="NON ENGAGE","✖","")))))</f>
        <v/>
      </c>
      <c r="B104" s="673" t="n">
        <v>2026</v>
      </c>
      <c r="C104" s="674" t="inlineStr">
        <is>
          <t>DINFOTV</t>
        </is>
      </c>
      <c r="D104" s="674" t="inlineStr">
        <is>
          <t>PV N° : 01RC2025- DITV</t>
        </is>
      </c>
      <c r="E104" s="675" t="inlineStr">
        <is>
          <t>CONTRAT</t>
        </is>
      </c>
      <c r="F104" s="675" t="n"/>
      <c r="G104" s="676" t="inlineStr">
        <is>
          <t>MOHAMED EL HAJJAM  -  Correspondant chargé de la réalisation de reportages et correspondances en matière d'Information Télévisée à partir des Etats Unies d’Amérique.</t>
        </is>
      </c>
      <c r="H104" s="673" t="inlineStr">
        <is>
          <t>VALIDE</t>
        </is>
      </c>
      <c r="I104" s="675" t="inlineStr">
        <is>
          <t>APPROUVE</t>
        </is>
      </c>
      <c r="J104" s="675" t="n"/>
      <c r="K104" s="673" t="inlineStr">
        <is>
          <t>NON CONCERNE</t>
        </is>
      </c>
      <c r="L104" s="675" t="inlineStr">
        <is>
          <t>Ordinaire</t>
        </is>
      </c>
      <c r="M104" s="677" t="inlineStr">
        <is>
          <t>FONCTIONNEMENT</t>
        </is>
      </c>
      <c r="N104" s="678" t="inlineStr">
        <is>
          <t>Prestations de service
Achat prestations de services locales - personnes physiques</t>
        </is>
      </c>
      <c r="O104" s="679" t="n"/>
      <c r="P104" s="680" t="n"/>
      <c r="Q104" s="680" t="n"/>
      <c r="R104" s="675" t="inlineStr">
        <is>
          <t>RECONDUCTION</t>
        </is>
      </c>
      <c r="S104" s="681" t="n"/>
      <c r="T104" s="682" t="n"/>
      <c r="U104" s="683" t="inlineStr">
        <is>
          <t>MOHAMED EL HAJJAM</t>
        </is>
      </c>
      <c r="V104" s="675" t="n">
        <v>2026</v>
      </c>
      <c r="W104" s="682" t="n">
        <v>46387</v>
      </c>
      <c r="X104" s="682" t="n"/>
      <c r="Y104" s="682" t="n">
        <v>46024</v>
      </c>
      <c r="Z104" s="679" t="n">
        <v>145714.32</v>
      </c>
      <c r="AA104" s="680" t="n">
        <v>0</v>
      </c>
      <c r="AB104" s="680">
        <f>Z104</f>
        <v/>
      </c>
      <c r="AC104" s="680" t="n">
        <v>0</v>
      </c>
      <c r="AD104" s="680">
        <f>Z104</f>
        <v/>
      </c>
      <c r="AE104" s="680">
        <f>AB104</f>
        <v/>
      </c>
      <c r="AF104" s="684" t="inlineStr">
        <is>
          <t>ENGAGE</t>
        </is>
      </c>
      <c r="AG104" s="683" t="n"/>
      <c r="AH104" s="680" t="n"/>
      <c r="AI104" s="680" t="n"/>
      <c r="AJ104" s="680" t="n"/>
      <c r="AK104" s="680" t="n"/>
      <c r="AL104" s="685" t="n"/>
      <c r="AM104" s="685" t="n"/>
      <c r="AN104" s="683" t="inlineStr">
        <is>
          <t>Manque n° contrat</t>
        </is>
      </c>
      <c r="AO104" s="686" t="n"/>
      <c r="AP104" s="687" t="n"/>
      <c r="AQ104" s="688" t="n"/>
      <c r="AR104" s="688" t="n"/>
      <c r="AS104" s="23" t="n"/>
      <c r="AT104" s="688" t="n"/>
    </row>
    <row r="105" ht="50.55" customHeight="1" s="392">
      <c r="A105" s="672">
        <f>IF(AF105="ENGAGE","✔",IF(AF105="EN COURS D'ENGAGEMENT","◕",IF(AF105="PREENGAGE","◑",IF(AF105="EN COURS DE PREENGAGEMENT","◔",IF(AF105="NON ENGAGE","✖","")))))</f>
        <v/>
      </c>
      <c r="B105" s="673" t="n">
        <v>2026</v>
      </c>
      <c r="C105" s="674" t="inlineStr">
        <is>
          <t>DINFOTV</t>
        </is>
      </c>
      <c r="D105" s="674" t="inlineStr">
        <is>
          <t>PV N° : 01RC2025- DITV</t>
        </is>
      </c>
      <c r="E105" s="675" t="inlineStr">
        <is>
          <t>CONTRAT</t>
        </is>
      </c>
      <c r="F105" s="675" t="n"/>
      <c r="G105" s="676" t="inlineStr">
        <is>
          <t>MUSTAPHA SEHIMI -  Consultant politique chargé de l'analyse politique et le décryptage hebdomadaire des JT en langue Française</t>
        </is>
      </c>
      <c r="H105" s="673" t="inlineStr">
        <is>
          <t>VALIDE</t>
        </is>
      </c>
      <c r="I105" s="675" t="inlineStr">
        <is>
          <t>APPROUVE</t>
        </is>
      </c>
      <c r="J105" s="675" t="n"/>
      <c r="K105" s="673" t="inlineStr">
        <is>
          <t>NON CONCERNE</t>
        </is>
      </c>
      <c r="L105" s="675" t="inlineStr">
        <is>
          <t>Ordinaire</t>
        </is>
      </c>
      <c r="M105" s="677" t="inlineStr">
        <is>
          <t>FONCTIONNEMENT</t>
        </is>
      </c>
      <c r="N105" s="678" t="inlineStr">
        <is>
          <t>Prestations de service
Achat prestations de services locales - personnes physiques</t>
        </is>
      </c>
      <c r="O105" s="679" t="n"/>
      <c r="P105" s="680" t="n"/>
      <c r="Q105" s="680" t="n"/>
      <c r="R105" s="675" t="inlineStr">
        <is>
          <t>RECONDUCTION</t>
        </is>
      </c>
      <c r="S105" s="681" t="n"/>
      <c r="T105" s="682" t="n"/>
      <c r="U105" s="683" t="inlineStr">
        <is>
          <t>MUSTAPHA SEHIMI</t>
        </is>
      </c>
      <c r="V105" s="675" t="n">
        <v>2026</v>
      </c>
      <c r="W105" s="682" t="n">
        <v>46387</v>
      </c>
      <c r="X105" s="682" t="n"/>
      <c r="Y105" s="682" t="n">
        <v>46024</v>
      </c>
      <c r="Z105" s="679" t="n">
        <v>150000</v>
      </c>
      <c r="AA105" s="680" t="n">
        <v>0</v>
      </c>
      <c r="AB105" s="680">
        <f>Z105</f>
        <v/>
      </c>
      <c r="AC105" s="680" t="n">
        <v>0</v>
      </c>
      <c r="AD105" s="680">
        <f>Z105</f>
        <v/>
      </c>
      <c r="AE105" s="680">
        <f>AB105</f>
        <v/>
      </c>
      <c r="AF105" s="684" t="inlineStr">
        <is>
          <t>ENGAGE</t>
        </is>
      </c>
      <c r="AG105" s="683" t="n"/>
      <c r="AH105" s="680" t="n"/>
      <c r="AI105" s="680" t="n"/>
      <c r="AJ105" s="680" t="n"/>
      <c r="AK105" s="680" t="n"/>
      <c r="AL105" s="685" t="n"/>
      <c r="AM105" s="685" t="n"/>
      <c r="AN105" s="683" t="inlineStr">
        <is>
          <t>Manque n° contrat</t>
        </is>
      </c>
      <c r="AO105" s="686" t="n"/>
      <c r="AP105" s="687" t="n"/>
      <c r="AQ105" s="688" t="n"/>
      <c r="AR105" s="688" t="n"/>
      <c r="AS105" s="23" t="n"/>
      <c r="AT105" s="688" t="n"/>
    </row>
    <row r="106" ht="50.55" customHeight="1" s="392">
      <c r="A106" s="672">
        <f>IF(AF106="ENGAGE","✔",IF(AF106="EN COURS D'ENGAGEMENT","◕",IF(AF106="PREENGAGE","◑",IF(AF106="EN COURS DE PREENGAGEMENT","◔",IF(AF106="NON ENGAGE","✖","")))))</f>
        <v/>
      </c>
      <c r="B106" s="673" t="n">
        <v>2026</v>
      </c>
      <c r="C106" s="674" t="inlineStr">
        <is>
          <t>DINFOTV</t>
        </is>
      </c>
      <c r="D106" s="674" t="inlineStr">
        <is>
          <t>PV N° : 01RC2025- DITV</t>
        </is>
      </c>
      <c r="E106" s="675" t="inlineStr">
        <is>
          <t>CONTRAT</t>
        </is>
      </c>
      <c r="F106" s="675" t="n"/>
      <c r="G106" s="676" t="inlineStr">
        <is>
          <t>TOSSA MUSTAPHA -  Consultant chargé de l'analyse politique et le décryptage hebdomadaire des JT en langue Française et Arabe</t>
        </is>
      </c>
      <c r="H106" s="673" t="inlineStr">
        <is>
          <t>VALIDE</t>
        </is>
      </c>
      <c r="I106" s="675" t="inlineStr">
        <is>
          <t>APPROUVE</t>
        </is>
      </c>
      <c r="J106" s="675" t="n"/>
      <c r="K106" s="673" t="inlineStr">
        <is>
          <t>NON CONCERNE</t>
        </is>
      </c>
      <c r="L106" s="675" t="inlineStr">
        <is>
          <t>Ordinaire</t>
        </is>
      </c>
      <c r="M106" s="677" t="inlineStr">
        <is>
          <t>FONCTIONNEMENT</t>
        </is>
      </c>
      <c r="N106" s="678" t="inlineStr">
        <is>
          <t>Prestations de service
Achat prestations de services locales - personnes physiques</t>
        </is>
      </c>
      <c r="O106" s="679" t="n"/>
      <c r="P106" s="680" t="n"/>
      <c r="Q106" s="680" t="n"/>
      <c r="R106" s="675" t="inlineStr">
        <is>
          <t>RECONDUCTION</t>
        </is>
      </c>
      <c r="S106" s="681" t="n"/>
      <c r="T106" s="682" t="n"/>
      <c r="U106" s="683" t="inlineStr">
        <is>
          <t>TOSSA MUSTAPHA</t>
        </is>
      </c>
      <c r="V106" s="675" t="n">
        <v>2026</v>
      </c>
      <c r="W106" s="682" t="n">
        <v>46387</v>
      </c>
      <c r="X106" s="682" t="n"/>
      <c r="Y106" s="682" t="n">
        <v>46024</v>
      </c>
      <c r="Z106" s="679" t="n">
        <v>120000</v>
      </c>
      <c r="AA106" s="680" t="n">
        <v>0</v>
      </c>
      <c r="AB106" s="680">
        <f>Z106</f>
        <v/>
      </c>
      <c r="AC106" s="680" t="n">
        <v>0</v>
      </c>
      <c r="AD106" s="680">
        <f>Z106</f>
        <v/>
      </c>
      <c r="AE106" s="680">
        <f>AB106</f>
        <v/>
      </c>
      <c r="AF106" s="684" t="inlineStr">
        <is>
          <t>ENGAGE</t>
        </is>
      </c>
      <c r="AG106" s="683" t="n"/>
      <c r="AH106" s="680" t="n"/>
      <c r="AI106" s="680" t="n"/>
      <c r="AJ106" s="680" t="n"/>
      <c r="AK106" s="680" t="n"/>
      <c r="AL106" s="685" t="n"/>
      <c r="AM106" s="685" t="n"/>
      <c r="AN106" s="683" t="inlineStr">
        <is>
          <t>Manque n° contrat</t>
        </is>
      </c>
      <c r="AO106" s="686" t="n"/>
      <c r="AP106" s="687" t="n"/>
      <c r="AQ106" s="688" t="n"/>
      <c r="AR106" s="688" t="n"/>
      <c r="AS106" s="23" t="n"/>
      <c r="AT106" s="688" t="n"/>
    </row>
    <row r="107" ht="46.5" customHeight="1" s="392">
      <c r="A107" s="672">
        <f>IF(AF107="ENGAGE","✔",IF(AF107="EN COURS D'ENGAGEMENT","◕",IF(AF107="PREENGAGE","◑",IF(AF107="EN COURS DE PREENGAGEMENT","◔",IF(AF107="NON ENGAGE","✖","")))))</f>
        <v/>
      </c>
      <c r="B107" s="673" t="n">
        <v>2026</v>
      </c>
      <c r="C107" s="674" t="inlineStr">
        <is>
          <t>TV LAAYOUNE</t>
        </is>
      </c>
      <c r="D107" s="674" t="inlineStr">
        <is>
          <t>PV N° : 01RC2025-DCL</t>
        </is>
      </c>
      <c r="E107" s="675" t="inlineStr">
        <is>
          <t>CONTRAT</t>
        </is>
      </c>
      <c r="F107" s="675" t="n"/>
      <c r="G107" s="676" t="inlineStr">
        <is>
          <t>SALEK BOUJDOUR -  Préparation et Présentation "HADITH ALMADINA"</t>
        </is>
      </c>
      <c r="H107" s="673" t="inlineStr">
        <is>
          <t>VALIDE</t>
        </is>
      </c>
      <c r="I107" s="675" t="inlineStr">
        <is>
          <t>APPROUVE</t>
        </is>
      </c>
      <c r="J107" s="675" t="n"/>
      <c r="K107" s="673" t="inlineStr">
        <is>
          <t>NON CONCERNE</t>
        </is>
      </c>
      <c r="L107" s="675" t="inlineStr">
        <is>
          <t>Ordinaire</t>
        </is>
      </c>
      <c r="M107" s="677" t="inlineStr">
        <is>
          <t>FONCTIONNEMENT</t>
        </is>
      </c>
      <c r="N107" s="678" t="inlineStr">
        <is>
          <t>Prestations de service
Achat prestations de services locales - personnes physiques</t>
        </is>
      </c>
      <c r="O107" s="679" t="n"/>
      <c r="P107" s="680" t="n"/>
      <c r="Q107" s="680" t="n"/>
      <c r="R107" s="675" t="inlineStr">
        <is>
          <t>RECONDUCTION</t>
        </is>
      </c>
      <c r="S107" s="681" t="n"/>
      <c r="T107" s="682" t="n"/>
      <c r="U107" s="683" t="inlineStr">
        <is>
          <t>SALEK BOUJDOUR</t>
        </is>
      </c>
      <c r="V107" s="675" t="n">
        <v>2026</v>
      </c>
      <c r="W107" s="682" t="n">
        <v>46387</v>
      </c>
      <c r="X107" s="682" t="n"/>
      <c r="Y107" s="682" t="n">
        <v>46024</v>
      </c>
      <c r="Z107" s="679" t="n">
        <v>171428.64</v>
      </c>
      <c r="AA107" s="680" t="n">
        <v>0</v>
      </c>
      <c r="AB107" s="680">
        <f>Z107</f>
        <v/>
      </c>
      <c r="AC107" s="680" t="n">
        <v>0</v>
      </c>
      <c r="AD107" s="680">
        <f>AB107</f>
        <v/>
      </c>
      <c r="AE107" s="680">
        <f>AD107</f>
        <v/>
      </c>
      <c r="AF107" s="684" t="inlineStr">
        <is>
          <t>ENGAGE</t>
        </is>
      </c>
      <c r="AG107" s="683" t="n"/>
      <c r="AH107" s="680" t="n"/>
      <c r="AI107" s="680" t="n"/>
      <c r="AJ107" s="680" t="n"/>
      <c r="AK107" s="680" t="n"/>
      <c r="AL107" s="685" t="n"/>
      <c r="AM107" s="685" t="n"/>
      <c r="AN107" s="683" t="inlineStr">
        <is>
          <t>Manque n° contrat</t>
        </is>
      </c>
      <c r="AO107" s="686" t="n"/>
      <c r="AP107" s="687" t="n"/>
      <c r="AQ107" s="688" t="n"/>
      <c r="AR107" s="688" t="n"/>
      <c r="AS107" s="23" t="n"/>
      <c r="AT107" s="688" t="n"/>
    </row>
    <row r="108" ht="46.5" customHeight="1" s="392">
      <c r="A108" s="672">
        <f>IF(AF108="ENGAGE","✔",IF(AF108="EN COURS D'ENGAGEMENT","◕",IF(AF108="PREENGAGE","◑",IF(AF108="EN COURS DE PREENGAGEMENT","◔",IF(AF108="NON ENGAGE","✖","")))))</f>
        <v/>
      </c>
      <c r="B108" s="673" t="n">
        <v>2026</v>
      </c>
      <c r="C108" s="674" t="inlineStr">
        <is>
          <t>TV LAAYOUNE</t>
        </is>
      </c>
      <c r="D108" s="674" t="inlineStr">
        <is>
          <t>PV N° : 01RC2025-DCL</t>
        </is>
      </c>
      <c r="E108" s="675" t="inlineStr">
        <is>
          <t>CONTRAT</t>
        </is>
      </c>
      <c r="F108" s="675" t="n"/>
      <c r="G108" s="676" t="inlineStr">
        <is>
          <t>EL MOUGUAF AMGHAYER  -  Préparation et présentation de l'émission intitulée : " TOURATHAK LAK "</t>
        </is>
      </c>
      <c r="H108" s="673" t="inlineStr">
        <is>
          <t>VALIDE</t>
        </is>
      </c>
      <c r="I108" s="675" t="inlineStr">
        <is>
          <t>APPROUVE</t>
        </is>
      </c>
      <c r="J108" s="675" t="n"/>
      <c r="K108" s="673" t="inlineStr">
        <is>
          <t>NON CONCERNE</t>
        </is>
      </c>
      <c r="L108" s="675" t="inlineStr">
        <is>
          <t>Ordinaire</t>
        </is>
      </c>
      <c r="M108" s="677" t="inlineStr">
        <is>
          <t>FONCTIONNEMENT</t>
        </is>
      </c>
      <c r="N108" s="678" t="inlineStr">
        <is>
          <t>Prestations de service
Achat prestations de services locales - personnes physiques</t>
        </is>
      </c>
      <c r="O108" s="679" t="n"/>
      <c r="P108" s="680" t="n"/>
      <c r="Q108" s="680" t="n"/>
      <c r="R108" s="675" t="inlineStr">
        <is>
          <t>RECONDUCTION</t>
        </is>
      </c>
      <c r="S108" s="681" t="n"/>
      <c r="T108" s="682" t="n"/>
      <c r="U108" s="683" t="inlineStr">
        <is>
          <t>EL MOUGUAF AMGHAYER</t>
        </is>
      </c>
      <c r="V108" s="675" t="n">
        <v>2026</v>
      </c>
      <c r="W108" s="682" t="n">
        <v>46387</v>
      </c>
      <c r="X108" s="682" t="n"/>
      <c r="Y108" s="682" t="n">
        <v>46024</v>
      </c>
      <c r="Z108" s="679" t="n">
        <v>280000</v>
      </c>
      <c r="AA108" s="680" t="n">
        <v>0</v>
      </c>
      <c r="AB108" s="680">
        <f>Z108</f>
        <v/>
      </c>
      <c r="AC108" s="680" t="n">
        <v>0</v>
      </c>
      <c r="AD108" s="680">
        <f>AB108</f>
        <v/>
      </c>
      <c r="AE108" s="680">
        <f>AD108</f>
        <v/>
      </c>
      <c r="AF108" s="684" t="inlineStr">
        <is>
          <t>ENGAGE</t>
        </is>
      </c>
      <c r="AG108" s="683" t="n"/>
      <c r="AH108" s="680" t="n"/>
      <c r="AI108" s="680" t="n"/>
      <c r="AJ108" s="680" t="n"/>
      <c r="AK108" s="680" t="n"/>
      <c r="AL108" s="685" t="n"/>
      <c r="AM108" s="685" t="n"/>
      <c r="AN108" s="683" t="inlineStr">
        <is>
          <t>Manque n° contrat</t>
        </is>
      </c>
      <c r="AO108" s="686" t="n"/>
      <c r="AP108" s="687" t="n"/>
      <c r="AQ108" s="688" t="n"/>
      <c r="AR108" s="688" t="n"/>
      <c r="AS108" s="23" t="n"/>
      <c r="AT108" s="688" t="n"/>
    </row>
    <row r="109" ht="46.5" customHeight="1" s="392">
      <c r="A109" s="672">
        <f>IF(AF109="ENGAGE","✔",IF(AF109="EN COURS D'ENGAGEMENT","◕",IF(AF109="PREENGAGE","◑",IF(AF109="EN COURS DE PREENGAGEMENT","◔",IF(AF109="NON ENGAGE","✖","")))))</f>
        <v/>
      </c>
      <c r="B109" s="673" t="n">
        <v>2026</v>
      </c>
      <c r="C109" s="674" t="inlineStr">
        <is>
          <t>TV LAAYOUNE</t>
        </is>
      </c>
      <c r="D109" s="674" t="inlineStr">
        <is>
          <t>PV N° : 01RC2025-DCL</t>
        </is>
      </c>
      <c r="E109" s="675" t="inlineStr">
        <is>
          <t>CONTRAT</t>
        </is>
      </c>
      <c r="F109" s="675" t="n"/>
      <c r="G109" s="676" t="inlineStr">
        <is>
          <t>YASSINE OMARI  -  Préparation quotidienne des revues de presses écrite nationale et Internationale</t>
        </is>
      </c>
      <c r="H109" s="673" t="inlineStr">
        <is>
          <t>VALIDE</t>
        </is>
      </c>
      <c r="I109" s="675" t="inlineStr">
        <is>
          <t>APPROUVE</t>
        </is>
      </c>
      <c r="J109" s="675" t="n"/>
      <c r="K109" s="673" t="inlineStr">
        <is>
          <t>NON CONCERNE</t>
        </is>
      </c>
      <c r="L109" s="675" t="inlineStr">
        <is>
          <t>Ordinaire</t>
        </is>
      </c>
      <c r="M109" s="677" t="inlineStr">
        <is>
          <t>FONCTIONNEMENT</t>
        </is>
      </c>
      <c r="N109" s="678" t="inlineStr">
        <is>
          <t>Prestations de service
Achat prestations de services locales - personnes physiques</t>
        </is>
      </c>
      <c r="O109" s="679" t="n"/>
      <c r="P109" s="680" t="n"/>
      <c r="Q109" s="680" t="n"/>
      <c r="R109" s="675" t="inlineStr">
        <is>
          <t>RECONDUCTION</t>
        </is>
      </c>
      <c r="S109" s="681" t="n"/>
      <c r="T109" s="682" t="n"/>
      <c r="U109" s="683" t="inlineStr">
        <is>
          <t>YASSINE OMARI</t>
        </is>
      </c>
      <c r="V109" s="675" t="n">
        <v>2026</v>
      </c>
      <c r="W109" s="682" t="n">
        <v>46387</v>
      </c>
      <c r="X109" s="682" t="n"/>
      <c r="Y109" s="682" t="n">
        <v>46024</v>
      </c>
      <c r="Z109" s="679" t="n">
        <v>171429.12</v>
      </c>
      <c r="AA109" s="680" t="n">
        <v>0</v>
      </c>
      <c r="AB109" s="680">
        <f>Z109</f>
        <v/>
      </c>
      <c r="AC109" s="680" t="n">
        <v>0</v>
      </c>
      <c r="AD109" s="680">
        <f>AB109</f>
        <v/>
      </c>
      <c r="AE109" s="680">
        <f>AD109</f>
        <v/>
      </c>
      <c r="AF109" s="684" t="inlineStr">
        <is>
          <t>ENGAGE</t>
        </is>
      </c>
      <c r="AG109" s="683" t="n"/>
      <c r="AH109" s="680" t="n"/>
      <c r="AI109" s="680" t="n"/>
      <c r="AJ109" s="680" t="n"/>
      <c r="AK109" s="680" t="n"/>
      <c r="AL109" s="685" t="n"/>
      <c r="AM109" s="685" t="n"/>
      <c r="AN109" s="683" t="inlineStr">
        <is>
          <t>Manque n° contrat</t>
        </is>
      </c>
      <c r="AO109" s="686" t="n"/>
      <c r="AP109" s="687" t="n"/>
      <c r="AQ109" s="688" t="n"/>
      <c r="AR109" s="688" t="n"/>
      <c r="AS109" s="23" t="n"/>
      <c r="AT109" s="688" t="n"/>
    </row>
    <row r="110" ht="46.5" customHeight="1" s="392">
      <c r="A110" s="672">
        <f>IF(AF110="ENGAGE","✔",IF(AF110="EN COURS D'ENGAGEMENT","◕",IF(AF110="PREENGAGE","◑",IF(AF110="EN COURS DE PREENGAGEMENT","◔",IF(AF110="NON ENGAGE","✖","")))))</f>
        <v/>
      </c>
      <c r="B110" s="673" t="n">
        <v>2026</v>
      </c>
      <c r="C110" s="674" t="inlineStr">
        <is>
          <t>TV LAAYOUNE</t>
        </is>
      </c>
      <c r="D110" s="674" t="inlineStr">
        <is>
          <t>PV N° : 01RC2025-DCL</t>
        </is>
      </c>
      <c r="E110" s="675" t="inlineStr">
        <is>
          <t>CONTRAT</t>
        </is>
      </c>
      <c r="F110" s="675" t="n"/>
      <c r="G110" s="676" t="inlineStr">
        <is>
          <t>MAHMOUD AIYACH   -  Préparation et la présentation d'une émission produite en interne intitulée " MAA NASS "</t>
        </is>
      </c>
      <c r="H110" s="673" t="inlineStr">
        <is>
          <t>VALIDE</t>
        </is>
      </c>
      <c r="I110" s="675" t="inlineStr">
        <is>
          <t>APPROUVE</t>
        </is>
      </c>
      <c r="J110" s="675" t="n"/>
      <c r="K110" s="673" t="inlineStr">
        <is>
          <t>NON CONCERNE</t>
        </is>
      </c>
      <c r="L110" s="675" t="inlineStr">
        <is>
          <t>Ordinaire</t>
        </is>
      </c>
      <c r="M110" s="677" t="inlineStr">
        <is>
          <t>FONCTIONNEMENT</t>
        </is>
      </c>
      <c r="N110" s="678" t="inlineStr">
        <is>
          <t>Prestations de service
Achat prestations de services locales - personnes physiques</t>
        </is>
      </c>
      <c r="O110" s="679" t="n"/>
      <c r="P110" s="680" t="n"/>
      <c r="Q110" s="680" t="n"/>
      <c r="R110" s="675" t="inlineStr">
        <is>
          <t>RECONDUCTION</t>
        </is>
      </c>
      <c r="S110" s="681" t="n"/>
      <c r="T110" s="682" t="n"/>
      <c r="U110" s="683" t="inlineStr">
        <is>
          <t>MAHMOUD AIYACH</t>
        </is>
      </c>
      <c r="V110" s="675" t="n">
        <v>2026</v>
      </c>
      <c r="W110" s="682" t="n">
        <v>46387</v>
      </c>
      <c r="X110" s="682" t="n"/>
      <c r="Y110" s="682" t="n">
        <v>46024</v>
      </c>
      <c r="Z110" s="679" t="n">
        <v>257142.9</v>
      </c>
      <c r="AA110" s="680" t="n">
        <v>0</v>
      </c>
      <c r="AB110" s="680">
        <f>Z110</f>
        <v/>
      </c>
      <c r="AC110" s="680" t="n">
        <v>0</v>
      </c>
      <c r="AD110" s="680">
        <f>AB110</f>
        <v/>
      </c>
      <c r="AE110" s="680">
        <f>AD110</f>
        <v/>
      </c>
      <c r="AF110" s="684" t="inlineStr">
        <is>
          <t>ENGAGE</t>
        </is>
      </c>
      <c r="AG110" s="683" t="n"/>
      <c r="AH110" s="680" t="n"/>
      <c r="AI110" s="680" t="n"/>
      <c r="AJ110" s="680" t="n"/>
      <c r="AK110" s="680" t="n"/>
      <c r="AL110" s="685" t="n"/>
      <c r="AM110" s="685" t="n"/>
      <c r="AN110" s="683" t="inlineStr">
        <is>
          <t>Manque n° contrat</t>
        </is>
      </c>
      <c r="AO110" s="686" t="n"/>
      <c r="AP110" s="687" t="n"/>
      <c r="AQ110" s="688" t="n"/>
      <c r="AR110" s="688" t="n"/>
      <c r="AS110" s="23" t="n"/>
      <c r="AT110" s="688" t="n"/>
    </row>
    <row r="111" ht="46.5" customHeight="1" s="392">
      <c r="A111" s="672">
        <f>IF(AF111="ENGAGE","✔",IF(AF111="EN COURS D'ENGAGEMENT","◕",IF(AF111="PREENGAGE","◑",IF(AF111="EN COURS DE PREENGAGEMENT","◔",IF(AF111="NON ENGAGE","✖","")))))</f>
        <v/>
      </c>
      <c r="B111" s="673" t="n">
        <v>2026</v>
      </c>
      <c r="C111" s="674" t="inlineStr">
        <is>
          <t>TV LAAYOUNE</t>
        </is>
      </c>
      <c r="D111" s="674" t="inlineStr">
        <is>
          <t>PV N° : 01RC2025-DCL</t>
        </is>
      </c>
      <c r="E111" s="675" t="inlineStr">
        <is>
          <t>CONTRAT</t>
        </is>
      </c>
      <c r="F111" s="675" t="n"/>
      <c r="G111" s="676" t="inlineStr">
        <is>
          <t>MARYAM EDDAH  -  Chargée de l'Autopromotion et de l’établissement de la grille et des conducteurs de diffusion.</t>
        </is>
      </c>
      <c r="H111" s="673" t="inlineStr">
        <is>
          <t>VALIDE</t>
        </is>
      </c>
      <c r="I111" s="675" t="inlineStr">
        <is>
          <t>APPROUVE</t>
        </is>
      </c>
      <c r="J111" s="675" t="n"/>
      <c r="K111" s="673" t="inlineStr">
        <is>
          <t>NON CONCERNE</t>
        </is>
      </c>
      <c r="L111" s="675" t="inlineStr">
        <is>
          <t>Ordinaire</t>
        </is>
      </c>
      <c r="M111" s="677" t="inlineStr">
        <is>
          <t>FONCTIONNEMENT</t>
        </is>
      </c>
      <c r="N111" s="678" t="inlineStr">
        <is>
          <t>Prestations de service
Achat prestations de services locales - personnes physiques</t>
        </is>
      </c>
      <c r="O111" s="679" t="n"/>
      <c r="P111" s="680" t="n"/>
      <c r="Q111" s="680" t="n"/>
      <c r="R111" s="675" t="inlineStr">
        <is>
          <t>RECONDUCTION</t>
        </is>
      </c>
      <c r="S111" s="681" t="n"/>
      <c r="T111" s="682" t="n"/>
      <c r="U111" s="683" t="inlineStr">
        <is>
          <t>MARYAM EDDAH</t>
        </is>
      </c>
      <c r="V111" s="675" t="n">
        <v>2026</v>
      </c>
      <c r="W111" s="682" t="n">
        <v>46387</v>
      </c>
      <c r="X111" s="682" t="n"/>
      <c r="Y111" s="682" t="n">
        <v>46024</v>
      </c>
      <c r="Z111" s="679" t="n">
        <v>181800</v>
      </c>
      <c r="AA111" s="680" t="n">
        <v>0</v>
      </c>
      <c r="AB111" s="680">
        <f>Z111</f>
        <v/>
      </c>
      <c r="AC111" s="680" t="n">
        <v>0</v>
      </c>
      <c r="AD111" s="680">
        <f>AB111</f>
        <v/>
      </c>
      <c r="AE111" s="680">
        <f>AD111</f>
        <v/>
      </c>
      <c r="AF111" s="684" t="inlineStr">
        <is>
          <t>ENGAGE</t>
        </is>
      </c>
      <c r="AG111" s="683" t="n"/>
      <c r="AH111" s="680" t="n"/>
      <c r="AI111" s="680" t="n"/>
      <c r="AJ111" s="680" t="n"/>
      <c r="AK111" s="680" t="n"/>
      <c r="AL111" s="685" t="n"/>
      <c r="AM111" s="685" t="n"/>
      <c r="AN111" s="683" t="inlineStr">
        <is>
          <t>Manque n° contrat</t>
        </is>
      </c>
      <c r="AO111" s="686" t="n"/>
      <c r="AP111" s="687" t="n"/>
      <c r="AQ111" s="688" t="n"/>
      <c r="AR111" s="688" t="n"/>
      <c r="AS111" s="23" t="n"/>
      <c r="AT111" s="688" t="n"/>
    </row>
    <row r="112" ht="46.5" customHeight="1" s="392">
      <c r="A112" s="672">
        <f>IF(AF112="ENGAGE","✔",IF(AF112="EN COURS D'ENGAGEMENT","◕",IF(AF112="PREENGAGE","◑",IF(AF112="EN COURS DE PREENGAGEMENT","◔",IF(AF112="NON ENGAGE","✖","")))))</f>
        <v/>
      </c>
      <c r="B112" s="673" t="n">
        <v>2026</v>
      </c>
      <c r="C112" s="674" t="inlineStr">
        <is>
          <t>MAGHRIBIA</t>
        </is>
      </c>
      <c r="D112" s="674" t="inlineStr">
        <is>
          <t>PV N° : 01RC2025-DCCMCITV</t>
        </is>
      </c>
      <c r="E112" s="675" t="inlineStr">
        <is>
          <t>CONTRAT</t>
        </is>
      </c>
      <c r="F112" s="675" t="n"/>
      <c r="G112" s="676" t="inlineStr">
        <is>
          <t>OTHMANE RABBAH  -  Technicien infographiste</t>
        </is>
      </c>
      <c r="H112" s="673" t="inlineStr">
        <is>
          <t>VALIDE</t>
        </is>
      </c>
      <c r="I112" s="675" t="inlineStr">
        <is>
          <t>APPROUVE</t>
        </is>
      </c>
      <c r="J112" s="675" t="n"/>
      <c r="K112" s="673" t="inlineStr">
        <is>
          <t>NON CONCERNE</t>
        </is>
      </c>
      <c r="L112" s="675" t="inlineStr">
        <is>
          <t>Ordinaire</t>
        </is>
      </c>
      <c r="M112" s="677" t="inlineStr">
        <is>
          <t>FONCTIONNEMENT</t>
        </is>
      </c>
      <c r="N112" s="678" t="inlineStr">
        <is>
          <t xml:space="preserve">Prestations de service
Achat prestations de services locales - personnes physiques </t>
        </is>
      </c>
      <c r="O112" s="679" t="n"/>
      <c r="P112" s="680" t="n"/>
      <c r="Q112" s="680" t="n"/>
      <c r="R112" s="675" t="inlineStr">
        <is>
          <t>RECONDUCTION</t>
        </is>
      </c>
      <c r="S112" s="681" t="n"/>
      <c r="T112" s="682" t="n"/>
      <c r="U112" s="683" t="inlineStr">
        <is>
          <t>OTHMANE RABBAH</t>
        </is>
      </c>
      <c r="V112" s="675" t="n">
        <v>2026</v>
      </c>
      <c r="W112" s="682" t="n">
        <v>46387</v>
      </c>
      <c r="X112" s="682" t="n"/>
      <c r="Y112" s="682" t="n">
        <v>46024</v>
      </c>
      <c r="Z112" s="679" t="n">
        <v>144000</v>
      </c>
      <c r="AA112" s="680" t="n">
        <v>0</v>
      </c>
      <c r="AB112" s="680">
        <f>Z112</f>
        <v/>
      </c>
      <c r="AC112" s="680" t="n">
        <v>0</v>
      </c>
      <c r="AD112" s="680">
        <f>AB112</f>
        <v/>
      </c>
      <c r="AE112" s="680">
        <f>AD112</f>
        <v/>
      </c>
      <c r="AF112" s="684" t="inlineStr">
        <is>
          <t>ENGAGE</t>
        </is>
      </c>
      <c r="AG112" s="683" t="n"/>
      <c r="AH112" s="680" t="n"/>
      <c r="AI112" s="680" t="n"/>
      <c r="AJ112" s="680" t="n"/>
      <c r="AK112" s="680" t="n"/>
      <c r="AL112" s="685" t="n"/>
      <c r="AM112" s="685" t="n"/>
      <c r="AN112" s="683" t="inlineStr">
        <is>
          <t>Manque n° contrat</t>
        </is>
      </c>
      <c r="AO112" s="686" t="n"/>
      <c r="AP112" s="687" t="n"/>
      <c r="AQ112" s="688" t="n"/>
      <c r="AR112" s="688" t="n"/>
      <c r="AS112" s="23" t="n"/>
      <c r="AT112" s="688" t="n"/>
    </row>
    <row r="113" ht="46.5" customHeight="1" s="392">
      <c r="A113" s="672">
        <f>IF(AF113="ENGAGE","✔",IF(AF113="EN COURS D'ENGAGEMENT","◕",IF(AF113="PREENGAGE","◑",IF(AF113="EN COURS DE PREENGAGEMENT","◔",IF(AF113="NON ENGAGE","✖","")))))</f>
        <v/>
      </c>
      <c r="B113" s="673" t="n">
        <v>2026</v>
      </c>
      <c r="C113" s="674" t="inlineStr">
        <is>
          <t>MAGHRIBIA</t>
        </is>
      </c>
      <c r="D113" s="674" t="inlineStr">
        <is>
          <t>PV N° : 01RC2025-DCCMCITV</t>
        </is>
      </c>
      <c r="E113" s="675" t="inlineStr">
        <is>
          <t>CONTRAT</t>
        </is>
      </c>
      <c r="F113" s="675" t="n"/>
      <c r="G113" s="676" t="inlineStr">
        <is>
          <t>HIBA TOUANINA  -  Technicienne Scripte</t>
        </is>
      </c>
      <c r="H113" s="673" t="inlineStr">
        <is>
          <t>VALIDE</t>
        </is>
      </c>
      <c r="I113" s="675" t="inlineStr">
        <is>
          <t>APPROUVE</t>
        </is>
      </c>
      <c r="J113" s="675" t="n"/>
      <c r="K113" s="673" t="inlineStr">
        <is>
          <t>NON CONCERNE</t>
        </is>
      </c>
      <c r="L113" s="675" t="inlineStr">
        <is>
          <t>Ordinaire</t>
        </is>
      </c>
      <c r="M113" s="677" t="inlineStr">
        <is>
          <t>FONCTIONNEMENT</t>
        </is>
      </c>
      <c r="N113" s="678" t="inlineStr">
        <is>
          <t xml:space="preserve">Prestations de service
Achat prestations de services locales - personnes physiques </t>
        </is>
      </c>
      <c r="O113" s="679" t="n"/>
      <c r="P113" s="680" t="n"/>
      <c r="Q113" s="680" t="n"/>
      <c r="R113" s="675" t="inlineStr">
        <is>
          <t>RECONDUCTION</t>
        </is>
      </c>
      <c r="S113" s="681" t="n"/>
      <c r="T113" s="682" t="n"/>
      <c r="U113" s="683" t="inlineStr">
        <is>
          <t>HIBA TOUANINA</t>
        </is>
      </c>
      <c r="V113" s="675" t="n">
        <v>2026</v>
      </c>
      <c r="W113" s="682" t="n">
        <v>46387</v>
      </c>
      <c r="X113" s="682" t="n"/>
      <c r="Y113" s="682" t="n">
        <v>46024</v>
      </c>
      <c r="Z113" s="679" t="n">
        <v>100800</v>
      </c>
      <c r="AA113" s="680" t="n">
        <v>0</v>
      </c>
      <c r="AB113" s="680">
        <f>Z113</f>
        <v/>
      </c>
      <c r="AC113" s="680" t="n">
        <v>0</v>
      </c>
      <c r="AD113" s="680">
        <f>AB113</f>
        <v/>
      </c>
      <c r="AE113" s="680">
        <f>AD113</f>
        <v/>
      </c>
      <c r="AF113" s="684" t="inlineStr">
        <is>
          <t>ENGAGE</t>
        </is>
      </c>
      <c r="AG113" s="683" t="n"/>
      <c r="AH113" s="680" t="n"/>
      <c r="AI113" s="680" t="n"/>
      <c r="AJ113" s="680" t="n"/>
      <c r="AK113" s="680" t="n"/>
      <c r="AL113" s="685" t="n"/>
      <c r="AM113" s="685" t="n"/>
      <c r="AN113" s="683" t="inlineStr">
        <is>
          <t>Manque n° contrat</t>
        </is>
      </c>
      <c r="AO113" s="686" t="n"/>
      <c r="AP113" s="687" t="n"/>
      <c r="AQ113" s="688" t="n"/>
      <c r="AR113" s="688" t="n"/>
      <c r="AS113" s="23" t="n"/>
      <c r="AT113" s="688" t="n"/>
    </row>
    <row r="114" ht="46.5" customHeight="1" s="392">
      <c r="A114" s="672">
        <f>IF(AF114="ENGAGE","✔",IF(AF114="EN COURS D'ENGAGEMENT","◕",IF(AF114="PREENGAGE","◑",IF(AF114="EN COURS DE PREENGAGEMENT","◔",IF(AF114="NON ENGAGE","✖","")))))</f>
        <v/>
      </c>
      <c r="B114" s="673" t="n">
        <v>2026</v>
      </c>
      <c r="C114" s="674" t="inlineStr">
        <is>
          <t>MAGHRIBIA</t>
        </is>
      </c>
      <c r="D114" s="674" t="inlineStr">
        <is>
          <t>PV N° : 01RC2025-DCCMCITV</t>
        </is>
      </c>
      <c r="E114" s="675" t="inlineStr">
        <is>
          <t>CONTRAT</t>
        </is>
      </c>
      <c r="F114" s="675" t="n"/>
      <c r="G114" s="676" t="inlineStr">
        <is>
          <t>FATIMA ZAHRA BOUMBAREK  -  Technicienne assistante Réalisatrice</t>
        </is>
      </c>
      <c r="H114" s="673" t="inlineStr">
        <is>
          <t>VALIDE</t>
        </is>
      </c>
      <c r="I114" s="675" t="inlineStr">
        <is>
          <t>APPROUVE</t>
        </is>
      </c>
      <c r="J114" s="675" t="n"/>
      <c r="K114" s="673" t="inlineStr">
        <is>
          <t>NON CONCERNE</t>
        </is>
      </c>
      <c r="L114" s="675" t="inlineStr">
        <is>
          <t>Ordinaire</t>
        </is>
      </c>
      <c r="M114" s="677" t="inlineStr">
        <is>
          <t>FONCTIONNEMENT</t>
        </is>
      </c>
      <c r="N114" s="678" t="inlineStr">
        <is>
          <t xml:space="preserve">Prestations de service
Achat prestations de services locales - personnes physiques </t>
        </is>
      </c>
      <c r="O114" s="679" t="n"/>
      <c r="P114" s="680" t="n"/>
      <c r="Q114" s="680" t="n"/>
      <c r="R114" s="675" t="inlineStr">
        <is>
          <t>RECONDUCTION</t>
        </is>
      </c>
      <c r="S114" s="681" t="n"/>
      <c r="T114" s="682" t="n"/>
      <c r="U114" s="683" t="inlineStr">
        <is>
          <t>FATIMA ZAHRA BOUMBAREK</t>
        </is>
      </c>
      <c r="V114" s="675" t="n">
        <v>2026</v>
      </c>
      <c r="W114" s="682" t="n">
        <v>46387</v>
      </c>
      <c r="X114" s="682" t="n"/>
      <c r="Y114" s="682" t="n">
        <v>46024</v>
      </c>
      <c r="Z114" s="679" t="n">
        <v>100800</v>
      </c>
      <c r="AA114" s="680" t="n">
        <v>0</v>
      </c>
      <c r="AB114" s="680">
        <f>Z114</f>
        <v/>
      </c>
      <c r="AC114" s="680" t="n">
        <v>0</v>
      </c>
      <c r="AD114" s="680">
        <f>AB114</f>
        <v/>
      </c>
      <c r="AE114" s="680">
        <f>AD114</f>
        <v/>
      </c>
      <c r="AF114" s="684" t="inlineStr">
        <is>
          <t>ENGAGE</t>
        </is>
      </c>
      <c r="AG114" s="683" t="n"/>
      <c r="AH114" s="680" t="n"/>
      <c r="AI114" s="680" t="n"/>
      <c r="AJ114" s="680" t="n"/>
      <c r="AK114" s="680" t="n"/>
      <c r="AL114" s="685" t="n"/>
      <c r="AM114" s="685" t="n"/>
      <c r="AN114" s="683" t="inlineStr">
        <is>
          <t>Manque n° contrat</t>
        </is>
      </c>
      <c r="AO114" s="686" t="n"/>
      <c r="AP114" s="687" t="n"/>
      <c r="AQ114" s="688" t="n"/>
      <c r="AR114" s="688" t="n"/>
      <c r="AS114" s="23" t="n"/>
      <c r="AT114" s="688" t="n"/>
    </row>
    <row r="115" ht="46.5" customHeight="1" s="392">
      <c r="A115" s="672">
        <f>IF(AF115="ENGAGE","✔",IF(AF115="EN COURS D'ENGAGEMENT","◕",IF(AF115="PREENGAGE","◑",IF(AF115="EN COURS DE PREENGAGEMENT","◔",IF(AF115="NON ENGAGE","✖","")))))</f>
        <v/>
      </c>
      <c r="B115" s="673" t="n">
        <v>2026</v>
      </c>
      <c r="C115" s="674" t="inlineStr">
        <is>
          <t>MAGHRIBIA</t>
        </is>
      </c>
      <c r="D115" s="674" t="inlineStr">
        <is>
          <t>PV N° : 01RC2025-DCCMCITV</t>
        </is>
      </c>
      <c r="E115" s="675" t="inlineStr">
        <is>
          <t>CONTRAT</t>
        </is>
      </c>
      <c r="F115" s="675" t="n"/>
      <c r="G115" s="676" t="inlineStr">
        <is>
          <t>OUMAIMA NACHAR  -  Journaliste présentatrice</t>
        </is>
      </c>
      <c r="H115" s="673" t="inlineStr">
        <is>
          <t>VALIDE</t>
        </is>
      </c>
      <c r="I115" s="675" t="inlineStr">
        <is>
          <t>APPROUVE</t>
        </is>
      </c>
      <c r="J115" s="675" t="n"/>
      <c r="K115" s="673" t="inlineStr">
        <is>
          <t>NON CONCERNE</t>
        </is>
      </c>
      <c r="L115" s="675" t="inlineStr">
        <is>
          <t>Ordinaire</t>
        </is>
      </c>
      <c r="M115" s="677" t="inlineStr">
        <is>
          <t>FONCTIONNEMENT</t>
        </is>
      </c>
      <c r="N115" s="678" t="inlineStr">
        <is>
          <t xml:space="preserve">Prestations de service
Achat prestations de services locales - personnes physiques </t>
        </is>
      </c>
      <c r="O115" s="679" t="n"/>
      <c r="P115" s="680" t="n"/>
      <c r="Q115" s="680" t="n"/>
      <c r="R115" s="675" t="inlineStr">
        <is>
          <t>RECONDUCTION</t>
        </is>
      </c>
      <c r="S115" s="681" t="n"/>
      <c r="T115" s="682" t="n"/>
      <c r="U115" s="683" t="inlineStr">
        <is>
          <t>OUMAIMA NACHAR</t>
        </is>
      </c>
      <c r="V115" s="675" t="n">
        <v>2026</v>
      </c>
      <c r="W115" s="682" t="n">
        <v>46387</v>
      </c>
      <c r="X115" s="682" t="n"/>
      <c r="Y115" s="682" t="n">
        <v>46024</v>
      </c>
      <c r="Z115" s="679" t="n">
        <v>144000</v>
      </c>
      <c r="AA115" s="680" t="n">
        <v>0</v>
      </c>
      <c r="AB115" s="680">
        <f>Z115</f>
        <v/>
      </c>
      <c r="AC115" s="680" t="n">
        <v>0</v>
      </c>
      <c r="AD115" s="680">
        <f>AB115</f>
        <v/>
      </c>
      <c r="AE115" s="680">
        <f>AD115</f>
        <v/>
      </c>
      <c r="AF115" s="684" t="inlineStr">
        <is>
          <t>ENGAGE</t>
        </is>
      </c>
      <c r="AG115" s="683" t="n"/>
      <c r="AH115" s="680" t="n"/>
      <c r="AI115" s="680" t="n"/>
      <c r="AJ115" s="680" t="n"/>
      <c r="AK115" s="680" t="n"/>
      <c r="AL115" s="685" t="n"/>
      <c r="AM115" s="685" t="n"/>
      <c r="AN115" s="683" t="inlineStr">
        <is>
          <t>Manque n° contrat</t>
        </is>
      </c>
      <c r="AO115" s="686" t="n"/>
      <c r="AP115" s="687" t="n"/>
      <c r="AQ115" s="688" t="n"/>
      <c r="AR115" s="688" t="n"/>
      <c r="AS115" s="23" t="n"/>
      <c r="AT115" s="688" t="n"/>
    </row>
    <row r="116" ht="46.5" customHeight="1" s="392">
      <c r="A116" s="672">
        <f>IF(AF116="ENGAGE","✔",IF(AF116="EN COURS D'ENGAGEMENT","◕",IF(AF116="PREENGAGE","◑",IF(AF116="EN COURS DE PREENGAGEMENT","◔",IF(AF116="NON ENGAGE","✖","")))))</f>
        <v/>
      </c>
      <c r="B116" s="673" t="n">
        <v>2026</v>
      </c>
      <c r="C116" s="674" t="inlineStr">
        <is>
          <t>MAGHRIBIA</t>
        </is>
      </c>
      <c r="D116" s="674" t="inlineStr">
        <is>
          <t>PV N° : 01RC2025-DCCMCITV</t>
        </is>
      </c>
      <c r="E116" s="675" t="inlineStr">
        <is>
          <t>CONTRAT</t>
        </is>
      </c>
      <c r="F116" s="675" t="n"/>
      <c r="G116" s="676" t="inlineStr">
        <is>
          <t>NIDAL OUJIL  -  Journaliste présentatrice</t>
        </is>
      </c>
      <c r="H116" s="673" t="inlineStr">
        <is>
          <t>VALIDE</t>
        </is>
      </c>
      <c r="I116" s="675" t="inlineStr">
        <is>
          <t>APPROUVE</t>
        </is>
      </c>
      <c r="J116" s="675" t="n"/>
      <c r="K116" s="673" t="inlineStr">
        <is>
          <t>NON CONCERNE</t>
        </is>
      </c>
      <c r="L116" s="675" t="inlineStr">
        <is>
          <t>Ordinaire</t>
        </is>
      </c>
      <c r="M116" s="677" t="inlineStr">
        <is>
          <t>FONCTIONNEMENT</t>
        </is>
      </c>
      <c r="N116" s="678" t="inlineStr">
        <is>
          <t xml:space="preserve">Prestations de service
Achat prestations de services locales - personnes physiques </t>
        </is>
      </c>
      <c r="O116" s="679" t="n"/>
      <c r="P116" s="680" t="n"/>
      <c r="Q116" s="680" t="n"/>
      <c r="R116" s="675" t="inlineStr">
        <is>
          <t>RECONDUCTION</t>
        </is>
      </c>
      <c r="S116" s="681" t="n"/>
      <c r="T116" s="682" t="n"/>
      <c r="U116" s="683" t="inlineStr">
        <is>
          <t>NIDAL OUJI</t>
        </is>
      </c>
      <c r="V116" s="675" t="n">
        <v>2026</v>
      </c>
      <c r="W116" s="682" t="n">
        <v>46387</v>
      </c>
      <c r="X116" s="682" t="n"/>
      <c r="Y116" s="682" t="n">
        <v>46024</v>
      </c>
      <c r="Z116" s="679" t="n">
        <v>144000</v>
      </c>
      <c r="AA116" s="680" t="n">
        <v>0</v>
      </c>
      <c r="AB116" s="680">
        <f>Z116</f>
        <v/>
      </c>
      <c r="AC116" s="680" t="n">
        <v>0</v>
      </c>
      <c r="AD116" s="680">
        <f>AB116</f>
        <v/>
      </c>
      <c r="AE116" s="680">
        <f>AD116</f>
        <v/>
      </c>
      <c r="AF116" s="684" t="inlineStr">
        <is>
          <t>ENGAGE</t>
        </is>
      </c>
      <c r="AG116" s="683" t="n"/>
      <c r="AH116" s="680" t="n"/>
      <c r="AI116" s="680" t="n"/>
      <c r="AJ116" s="680" t="n"/>
      <c r="AK116" s="680" t="n"/>
      <c r="AL116" s="685" t="n"/>
      <c r="AM116" s="685" t="n"/>
      <c r="AN116" s="683" t="inlineStr">
        <is>
          <t>Manque n° contrat</t>
        </is>
      </c>
      <c r="AO116" s="686" t="n"/>
      <c r="AP116" s="687" t="n"/>
      <c r="AQ116" s="688" t="n"/>
      <c r="AR116" s="688" t="n"/>
      <c r="AS116" s="23" t="n"/>
      <c r="AT116" s="688" t="n"/>
    </row>
    <row r="117" ht="46.5" customHeight="1" s="392">
      <c r="A117" s="672">
        <f>IF(AF117="ENGAGE","✔",IF(AF117="EN COURS D'ENGAGEMENT","◕",IF(AF117="PREENGAGE","◑",IF(AF117="EN COURS DE PREENGAGEMENT","◔",IF(AF117="NON ENGAGE","✖","")))))</f>
        <v/>
      </c>
      <c r="B117" s="673" t="n">
        <v>2026</v>
      </c>
      <c r="C117" s="674" t="inlineStr">
        <is>
          <t>MAGHRIBIA</t>
        </is>
      </c>
      <c r="D117" s="674" t="inlineStr">
        <is>
          <t>PV N° : 01RC2025-DCCMCITV</t>
        </is>
      </c>
      <c r="E117" s="675" t="inlineStr">
        <is>
          <t>CONTRAT</t>
        </is>
      </c>
      <c r="F117" s="675" t="n"/>
      <c r="G117" s="676" t="inlineStr">
        <is>
          <t>ABDELLATIF AMRANI ZERIFI  -  Technicien assistant réalisateur</t>
        </is>
      </c>
      <c r="H117" s="673" t="inlineStr">
        <is>
          <t>VALIDE</t>
        </is>
      </c>
      <c r="I117" s="675" t="inlineStr">
        <is>
          <t>APPROUVE</t>
        </is>
      </c>
      <c r="J117" s="675" t="n"/>
      <c r="K117" s="673" t="inlineStr">
        <is>
          <t>NON CONCERNE</t>
        </is>
      </c>
      <c r="L117" s="675" t="inlineStr">
        <is>
          <t>Ordinaire</t>
        </is>
      </c>
      <c r="M117" s="677" t="inlineStr">
        <is>
          <t>FONCTIONNEMENT</t>
        </is>
      </c>
      <c r="N117" s="678" t="inlineStr">
        <is>
          <t xml:space="preserve">Prestations de service
Achat prestations de services locales - personnes physiques </t>
        </is>
      </c>
      <c r="O117" s="679" t="n"/>
      <c r="P117" s="680" t="n"/>
      <c r="Q117" s="680" t="n"/>
      <c r="R117" s="675" t="inlineStr">
        <is>
          <t>RECONDUCTION</t>
        </is>
      </c>
      <c r="S117" s="681" t="n"/>
      <c r="T117" s="682" t="n"/>
      <c r="U117" s="683" t="inlineStr">
        <is>
          <t>ABDELLATIF AMRANI ZERIF</t>
        </is>
      </c>
      <c r="V117" s="675" t="n">
        <v>2026</v>
      </c>
      <c r="W117" s="682" t="n">
        <v>46387</v>
      </c>
      <c r="X117" s="682" t="n"/>
      <c r="Y117" s="682" t="n">
        <v>46024</v>
      </c>
      <c r="Z117" s="679" t="n">
        <v>100800</v>
      </c>
      <c r="AA117" s="680" t="n">
        <v>0</v>
      </c>
      <c r="AB117" s="680">
        <f>Z117</f>
        <v/>
      </c>
      <c r="AC117" s="680" t="n">
        <v>0</v>
      </c>
      <c r="AD117" s="680">
        <f>AB117</f>
        <v/>
      </c>
      <c r="AE117" s="680">
        <f>AD117</f>
        <v/>
      </c>
      <c r="AF117" s="684" t="inlineStr">
        <is>
          <t>ENGAGE</t>
        </is>
      </c>
      <c r="AG117" s="683" t="n"/>
      <c r="AH117" s="680" t="n"/>
      <c r="AI117" s="680" t="n"/>
      <c r="AJ117" s="680" t="n"/>
      <c r="AK117" s="680" t="n"/>
      <c r="AL117" s="685" t="n"/>
      <c r="AM117" s="685" t="n"/>
      <c r="AN117" s="683" t="inlineStr">
        <is>
          <t>Manque n° contrat</t>
        </is>
      </c>
      <c r="AO117" s="686" t="n"/>
      <c r="AP117" s="687" t="n"/>
      <c r="AQ117" s="688" t="n"/>
      <c r="AR117" s="688" t="n"/>
      <c r="AS117" s="23" t="n"/>
      <c r="AT117" s="688" t="n"/>
    </row>
    <row r="118" ht="46.5" customHeight="1" s="392">
      <c r="A118" s="672">
        <f>IF(AF118="ENGAGE","✔",IF(AF118="EN COURS D'ENGAGEMENT","◕",IF(AF118="PREENGAGE","◑",IF(AF118="EN COURS DE PREENGAGEMENT","◔",IF(AF118="NON ENGAGE","✖","")))))</f>
        <v/>
      </c>
      <c r="B118" s="673" t="n">
        <v>2026</v>
      </c>
      <c r="C118" s="674" t="inlineStr">
        <is>
          <t>MAGHRIBIA</t>
        </is>
      </c>
      <c r="D118" s="674" t="inlineStr">
        <is>
          <t>PV N° : 01RC2025-DCCMCITV</t>
        </is>
      </c>
      <c r="E118" s="675" t="inlineStr">
        <is>
          <t>CONTRAT</t>
        </is>
      </c>
      <c r="F118" s="675" t="n"/>
      <c r="G118" s="676" t="inlineStr">
        <is>
          <t>LAMYAE KHOUADIR  -  Technicienne scripte</t>
        </is>
      </c>
      <c r="H118" s="673" t="inlineStr">
        <is>
          <t>VALIDE</t>
        </is>
      </c>
      <c r="I118" s="675" t="inlineStr">
        <is>
          <t>APPROUVE</t>
        </is>
      </c>
      <c r="J118" s="675" t="n"/>
      <c r="K118" s="673" t="inlineStr">
        <is>
          <t>NON CONCERNE</t>
        </is>
      </c>
      <c r="L118" s="675" t="inlineStr">
        <is>
          <t>Ordinaire</t>
        </is>
      </c>
      <c r="M118" s="677" t="inlineStr">
        <is>
          <t>FONCTIONNEMENT</t>
        </is>
      </c>
      <c r="N118" s="678" t="inlineStr">
        <is>
          <t xml:space="preserve">Prestations de service
Achat prestations de services locales - personnes physiques </t>
        </is>
      </c>
      <c r="O118" s="679" t="n"/>
      <c r="P118" s="680" t="n"/>
      <c r="Q118" s="680" t="n"/>
      <c r="R118" s="675" t="inlineStr">
        <is>
          <t>RECONDUCTION</t>
        </is>
      </c>
      <c r="S118" s="681" t="n"/>
      <c r="T118" s="682" t="n"/>
      <c r="U118" s="683" t="inlineStr">
        <is>
          <t>LAMYAE KHOUADIR</t>
        </is>
      </c>
      <c r="V118" s="675" t="n">
        <v>2026</v>
      </c>
      <c r="W118" s="682" t="n">
        <v>46387</v>
      </c>
      <c r="X118" s="682" t="n"/>
      <c r="Y118" s="682" t="n">
        <v>46024</v>
      </c>
      <c r="Z118" s="679" t="n">
        <v>100800</v>
      </c>
      <c r="AA118" s="680" t="n">
        <v>0</v>
      </c>
      <c r="AB118" s="680">
        <f>Z118</f>
        <v/>
      </c>
      <c r="AC118" s="680" t="n">
        <v>0</v>
      </c>
      <c r="AD118" s="680">
        <f>AB118</f>
        <v/>
      </c>
      <c r="AE118" s="680">
        <f>AD118</f>
        <v/>
      </c>
      <c r="AF118" s="684" t="inlineStr">
        <is>
          <t>ENGAGE</t>
        </is>
      </c>
      <c r="AG118" s="683" t="n"/>
      <c r="AH118" s="680" t="n"/>
      <c r="AI118" s="680" t="n"/>
      <c r="AJ118" s="680" t="n"/>
      <c r="AK118" s="680" t="n"/>
      <c r="AL118" s="685" t="n"/>
      <c r="AM118" s="685" t="n"/>
      <c r="AN118" s="683" t="inlineStr">
        <is>
          <t>Manque n° contrat</t>
        </is>
      </c>
      <c r="AO118" s="686" t="n"/>
      <c r="AP118" s="687" t="n"/>
      <c r="AQ118" s="688" t="n"/>
      <c r="AR118" s="688" t="n"/>
      <c r="AS118" s="23" t="n"/>
      <c r="AT118" s="688" t="n"/>
    </row>
    <row r="119" ht="46.5" customHeight="1" s="392">
      <c r="A119" s="672">
        <f>IF(AF119="ENGAGE","✔",IF(AF119="EN COURS D'ENGAGEMENT","◕",IF(AF119="PREENGAGE","◑",IF(AF119="EN COURS DE PREENGAGEMENT","◔",IF(AF119="NON ENGAGE","✖","")))))</f>
        <v/>
      </c>
      <c r="B119" s="673" t="n">
        <v>2026</v>
      </c>
      <c r="C119" s="674" t="inlineStr">
        <is>
          <t>MAGHRIBIA</t>
        </is>
      </c>
      <c r="D119" s="674" t="inlineStr">
        <is>
          <t>PV N° : 01RC2025-DCCMCITV</t>
        </is>
      </c>
      <c r="E119" s="675" t="inlineStr">
        <is>
          <t>CONTRAT</t>
        </is>
      </c>
      <c r="F119" s="675" t="n"/>
      <c r="G119" s="676" t="inlineStr">
        <is>
          <t>EL KARDI RAJAA  -  Journaliste présentatrice</t>
        </is>
      </c>
      <c r="H119" s="673" t="inlineStr">
        <is>
          <t>VALIDE</t>
        </is>
      </c>
      <c r="I119" s="675" t="inlineStr">
        <is>
          <t>APPROUVE</t>
        </is>
      </c>
      <c r="J119" s="675" t="n"/>
      <c r="K119" s="673" t="inlineStr">
        <is>
          <t>NON CONCERNE</t>
        </is>
      </c>
      <c r="L119" s="675" t="inlineStr">
        <is>
          <t>Ordinaire</t>
        </is>
      </c>
      <c r="M119" s="677" t="inlineStr">
        <is>
          <t>FONCTIONNEMENT</t>
        </is>
      </c>
      <c r="N119" s="678" t="inlineStr">
        <is>
          <t xml:space="preserve">Prestations de service
Achat prestations de services locales - personnes physiques </t>
        </is>
      </c>
      <c r="O119" s="679" t="n"/>
      <c r="P119" s="680" t="n"/>
      <c r="Q119" s="680" t="n"/>
      <c r="R119" s="675" t="inlineStr">
        <is>
          <t>RECONDUCTION</t>
        </is>
      </c>
      <c r="S119" s="681" t="n"/>
      <c r="T119" s="682" t="n"/>
      <c r="U119" s="683" t="inlineStr">
        <is>
          <t>EL KARDI RAJAA</t>
        </is>
      </c>
      <c r="V119" s="675" t="n">
        <v>2026</v>
      </c>
      <c r="W119" s="682" t="n">
        <v>46387</v>
      </c>
      <c r="X119" s="682" t="n"/>
      <c r="Y119" s="682" t="n">
        <v>46024</v>
      </c>
      <c r="Z119" s="679" t="n">
        <v>144000</v>
      </c>
      <c r="AA119" s="680" t="n">
        <v>0</v>
      </c>
      <c r="AB119" s="680">
        <f>Z119</f>
        <v/>
      </c>
      <c r="AC119" s="680" t="n">
        <v>0</v>
      </c>
      <c r="AD119" s="680">
        <f>AB119</f>
        <v/>
      </c>
      <c r="AE119" s="680">
        <f>AD119</f>
        <v/>
      </c>
      <c r="AF119" s="684" t="inlineStr">
        <is>
          <t>ENGAGE</t>
        </is>
      </c>
      <c r="AG119" s="683" t="n"/>
      <c r="AH119" s="680" t="n"/>
      <c r="AI119" s="680" t="n"/>
      <c r="AJ119" s="680" t="n"/>
      <c r="AK119" s="680" t="n"/>
      <c r="AL119" s="685" t="n"/>
      <c r="AM119" s="685" t="n"/>
      <c r="AN119" s="683" t="inlineStr">
        <is>
          <t>Manque n° contrat</t>
        </is>
      </c>
      <c r="AO119" s="686" t="n"/>
      <c r="AP119" s="687" t="n"/>
      <c r="AQ119" s="688" t="n"/>
      <c r="AR119" s="688" t="n"/>
      <c r="AS119" s="23" t="n"/>
      <c r="AT119" s="688" t="n"/>
    </row>
    <row r="120" ht="46.5" customHeight="1" s="392">
      <c r="A120" s="672">
        <f>IF(AF120="ENGAGE","✔",IF(AF120="EN COURS D'ENGAGEMENT","◕",IF(AF120="PREENGAGE","◑",IF(AF120="EN COURS DE PREENGAGEMENT","◔",IF(AF120="NON ENGAGE","✖","")))))</f>
        <v/>
      </c>
      <c r="B120" s="673" t="n">
        <v>2026</v>
      </c>
      <c r="C120" s="674" t="inlineStr">
        <is>
          <t>MAGHRIBIA</t>
        </is>
      </c>
      <c r="D120" s="674" t="inlineStr">
        <is>
          <t>PV N° : 01RC2025-DCCMCITV</t>
        </is>
      </c>
      <c r="E120" s="675" t="inlineStr">
        <is>
          <t>CONTRAT</t>
        </is>
      </c>
      <c r="F120" s="675" t="n"/>
      <c r="G120" s="676" t="inlineStr">
        <is>
          <t>JEBRANI HAYAT  -  Coiffeuse, maquilleuse</t>
        </is>
      </c>
      <c r="H120" s="673" t="inlineStr">
        <is>
          <t>VALIDE</t>
        </is>
      </c>
      <c r="I120" s="675" t="inlineStr">
        <is>
          <t>APPROUVE</t>
        </is>
      </c>
      <c r="J120" s="675" t="n"/>
      <c r="K120" s="673" t="inlineStr">
        <is>
          <t>NON CONCERNE</t>
        </is>
      </c>
      <c r="L120" s="675" t="inlineStr">
        <is>
          <t>Ordinaire</t>
        </is>
      </c>
      <c r="M120" s="677" t="inlineStr">
        <is>
          <t>FONCTIONNEMENT</t>
        </is>
      </c>
      <c r="N120" s="678" t="inlineStr">
        <is>
          <t xml:space="preserve">Prestations de service
Achat prestations de services locales - personnes physiques </t>
        </is>
      </c>
      <c r="O120" s="679" t="n"/>
      <c r="P120" s="680" t="n"/>
      <c r="Q120" s="680" t="n"/>
      <c r="R120" s="675" t="inlineStr">
        <is>
          <t>RECONDUCTION</t>
        </is>
      </c>
      <c r="S120" s="681" t="n"/>
      <c r="T120" s="682" t="n"/>
      <c r="U120" s="683" t="inlineStr">
        <is>
          <t>JEBRANI HAYAT</t>
        </is>
      </c>
      <c r="V120" s="675" t="n">
        <v>2026</v>
      </c>
      <c r="W120" s="682" t="n">
        <v>46387</v>
      </c>
      <c r="X120" s="682" t="n"/>
      <c r="Y120" s="682" t="n">
        <v>46024</v>
      </c>
      <c r="Z120" s="679" t="n">
        <v>72000</v>
      </c>
      <c r="AA120" s="680" t="n">
        <v>0</v>
      </c>
      <c r="AB120" s="680">
        <f>Z120</f>
        <v/>
      </c>
      <c r="AC120" s="680" t="n">
        <v>0</v>
      </c>
      <c r="AD120" s="680">
        <f>AB120</f>
        <v/>
      </c>
      <c r="AE120" s="680">
        <f>AD120</f>
        <v/>
      </c>
      <c r="AF120" s="684" t="inlineStr">
        <is>
          <t>ENGAGE</t>
        </is>
      </c>
      <c r="AG120" s="683" t="n"/>
      <c r="AH120" s="680" t="n"/>
      <c r="AI120" s="680" t="n"/>
      <c r="AJ120" s="680" t="n"/>
      <c r="AK120" s="680" t="n"/>
      <c r="AL120" s="685" t="n"/>
      <c r="AM120" s="685" t="n"/>
      <c r="AN120" s="683" t="inlineStr">
        <is>
          <t>Manque n° contrat</t>
        </is>
      </c>
      <c r="AO120" s="686" t="n"/>
      <c r="AP120" s="687" t="n"/>
      <c r="AQ120" s="688" t="n"/>
      <c r="AR120" s="688" t="n"/>
      <c r="AS120" s="23" t="n"/>
      <c r="AT120" s="688" t="n"/>
    </row>
    <row r="121" ht="46.5" customHeight="1" s="392">
      <c r="A121" s="672">
        <f>IF(AF121="ENGAGE","✔",IF(AF121="EN COURS D'ENGAGEMENT","◕",IF(AF121="PREENGAGE","◑",IF(AF121="EN COURS DE PREENGAGEMENT","◔",IF(AF121="NON ENGAGE","✖","")))))</f>
        <v/>
      </c>
      <c r="B121" s="673" t="n">
        <v>2026</v>
      </c>
      <c r="C121" s="674" t="inlineStr">
        <is>
          <t>DMPTV</t>
        </is>
      </c>
      <c r="D121" s="674" t="inlineStr">
        <is>
          <t>PV N° : 01RC2025-DCMPTV</t>
        </is>
      </c>
      <c r="E121" s="675" t="inlineStr">
        <is>
          <t>CONTRAT</t>
        </is>
      </c>
      <c r="F121" s="675" t="n"/>
      <c r="G121" s="676" t="inlineStr">
        <is>
          <t>ZAKARIA TIBARI  -  Conception de bandes annonces pour la promotion des programmes de la grille de la chaîne Al Aoula</t>
        </is>
      </c>
      <c r="H121" s="673" t="inlineStr">
        <is>
          <t>VALIDE</t>
        </is>
      </c>
      <c r="I121" s="675" t="inlineStr">
        <is>
          <t>APPROUVE</t>
        </is>
      </c>
      <c r="J121" s="675" t="n"/>
      <c r="K121" s="673" t="inlineStr">
        <is>
          <t>NON CONCERNE</t>
        </is>
      </c>
      <c r="L121" s="675" t="inlineStr">
        <is>
          <t>Ordinaire</t>
        </is>
      </c>
      <c r="M121" s="677" t="inlineStr">
        <is>
          <t>FONCTIONNEMENT</t>
        </is>
      </c>
      <c r="N121" s="678" t="inlineStr">
        <is>
          <t xml:space="preserve">Prestations de service
Achat prestations de services locales - personnes physiques </t>
        </is>
      </c>
      <c r="O121" s="679" t="n"/>
      <c r="P121" s="680" t="n"/>
      <c r="Q121" s="680" t="n"/>
      <c r="R121" s="675" t="inlineStr">
        <is>
          <t>RECONDUCTION</t>
        </is>
      </c>
      <c r="S121" s="681" t="n"/>
      <c r="T121" s="682" t="n"/>
      <c r="U121" s="683" t="inlineStr">
        <is>
          <t>ZAKARIA TIBARI</t>
        </is>
      </c>
      <c r="V121" s="675" t="n">
        <v>2026</v>
      </c>
      <c r="W121" s="682" t="n">
        <v>46387</v>
      </c>
      <c r="X121" s="682" t="n"/>
      <c r="Y121" s="682" t="n">
        <v>46024</v>
      </c>
      <c r="Z121" s="679" t="n">
        <v>257142.84</v>
      </c>
      <c r="AA121" s="680" t="n"/>
      <c r="AB121" s="680">
        <f>Z121</f>
        <v/>
      </c>
      <c r="AC121" s="680" t="n"/>
      <c r="AD121" s="680">
        <f>Z121</f>
        <v/>
      </c>
      <c r="AE121" s="680">
        <f>AB121</f>
        <v/>
      </c>
      <c r="AF121" s="684" t="inlineStr">
        <is>
          <t>ENGAGE</t>
        </is>
      </c>
      <c r="AG121" s="683" t="n"/>
      <c r="AH121" s="680" t="n"/>
      <c r="AI121" s="680" t="n"/>
      <c r="AJ121" s="680" t="n"/>
      <c r="AK121" s="680" t="n"/>
      <c r="AL121" s="685" t="n"/>
      <c r="AM121" s="685" t="n"/>
      <c r="AN121" s="683" t="inlineStr">
        <is>
          <t>Manque n° contrat</t>
        </is>
      </c>
      <c r="AO121" s="686" t="n"/>
      <c r="AP121" s="687" t="n"/>
      <c r="AQ121" s="688" t="n"/>
      <c r="AR121" s="688" t="n"/>
      <c r="AS121" s="23" t="n"/>
      <c r="AT121" s="688" t="n"/>
    </row>
    <row r="122" ht="46.5" customHeight="1" s="392">
      <c r="A122" s="672">
        <f>IF(AF122="ENGAGE","✔",IF(AF122="EN COURS D'ENGAGEMENT","◕",IF(AF122="PREENGAGE","◑",IF(AF122="EN COURS DE PREENGAGEMENT","◔",IF(AF122="NON ENGAGE","✖","")))))</f>
        <v/>
      </c>
      <c r="B122" s="673" t="n">
        <v>2026</v>
      </c>
      <c r="C122" s="674" t="inlineStr">
        <is>
          <t>DMPTV</t>
        </is>
      </c>
      <c r="D122" s="674" t="inlineStr">
        <is>
          <t>PV N° : 01RC2025-DCMPTV</t>
        </is>
      </c>
      <c r="E122" s="675" t="inlineStr">
        <is>
          <t>CONTRAT</t>
        </is>
      </c>
      <c r="F122" s="675" t="n"/>
      <c r="G122" s="676" t="inlineStr">
        <is>
          <t>GHEZLANE EL MERZOUGUI -  Enregistrement des voix off en arabe des bandes annonces TV et radio Al Aoula</t>
        </is>
      </c>
      <c r="H122" s="673" t="inlineStr">
        <is>
          <t>VALIDE</t>
        </is>
      </c>
      <c r="I122" s="675" t="inlineStr">
        <is>
          <t>APPROUVE</t>
        </is>
      </c>
      <c r="J122" s="675" t="n"/>
      <c r="K122" s="673" t="inlineStr">
        <is>
          <t>NON CONCERNE</t>
        </is>
      </c>
      <c r="L122" s="675" t="inlineStr">
        <is>
          <t>Ordinaire</t>
        </is>
      </c>
      <c r="M122" s="677" t="inlineStr">
        <is>
          <t>FONCTIONNEMENT</t>
        </is>
      </c>
      <c r="N122" s="678" t="inlineStr">
        <is>
          <t xml:space="preserve">Prestations de service
Achat prestations de services locales - personnes physiques </t>
        </is>
      </c>
      <c r="O122" s="679" t="n"/>
      <c r="P122" s="680" t="n"/>
      <c r="Q122" s="680" t="n"/>
      <c r="R122" s="675" t="inlineStr">
        <is>
          <t>RECONDUCTION</t>
        </is>
      </c>
      <c r="S122" s="681" t="n"/>
      <c r="T122" s="682" t="n"/>
      <c r="U122" s="683" t="inlineStr">
        <is>
          <t>GHEZLANE EL MERZOUGUI</t>
        </is>
      </c>
      <c r="V122" s="675" t="n">
        <v>2026</v>
      </c>
      <c r="W122" s="682" t="n">
        <v>46387</v>
      </c>
      <c r="X122" s="682" t="n"/>
      <c r="Y122" s="682" t="n">
        <v>46024</v>
      </c>
      <c r="Z122" s="679" t="n">
        <v>84000</v>
      </c>
      <c r="AA122" s="680" t="n"/>
      <c r="AB122" s="680">
        <f>Z122</f>
        <v/>
      </c>
      <c r="AC122" s="680" t="n"/>
      <c r="AD122" s="680">
        <f>Z122</f>
        <v/>
      </c>
      <c r="AE122" s="680">
        <f>AB122</f>
        <v/>
      </c>
      <c r="AF122" s="684" t="inlineStr">
        <is>
          <t>ENGAGE</t>
        </is>
      </c>
      <c r="AG122" s="683" t="n"/>
      <c r="AH122" s="680" t="n"/>
      <c r="AI122" s="680" t="n"/>
      <c r="AJ122" s="680" t="n"/>
      <c r="AK122" s="680" t="n"/>
      <c r="AL122" s="685" t="n"/>
      <c r="AM122" s="685" t="n"/>
      <c r="AN122" s="683" t="inlineStr">
        <is>
          <t>Manque n° contrat</t>
        </is>
      </c>
      <c r="AO122" s="686" t="n"/>
      <c r="AP122" s="687" t="n"/>
      <c r="AQ122" s="688" t="n"/>
      <c r="AR122" s="688" t="n"/>
      <c r="AS122" s="23" t="n"/>
      <c r="AT122" s="688" t="n"/>
    </row>
    <row r="123" ht="46.5" customHeight="1" s="392">
      <c r="A123" s="672">
        <f>IF(AF123="ENGAGE","✔",IF(AF123="EN COURS D'ENGAGEMENT","◕",IF(AF123="PREENGAGE","◑",IF(AF123="EN COURS DE PREENGAGEMENT","◔",IF(AF123="NON ENGAGE","✖","")))))</f>
        <v/>
      </c>
      <c r="B123" s="673" t="n">
        <v>2026</v>
      </c>
      <c r="C123" s="674" t="inlineStr">
        <is>
          <t>DMPTV</t>
        </is>
      </c>
      <c r="D123" s="674" t="inlineStr">
        <is>
          <t>PV N° : 01RC2025-DCMPTV</t>
        </is>
      </c>
      <c r="E123" s="675" t="inlineStr">
        <is>
          <t>CONTRAT</t>
        </is>
      </c>
      <c r="F123" s="675" t="n"/>
      <c r="G123" s="676" t="inlineStr">
        <is>
          <t>HOUSSAM MOUILLAH  -  Monteur</t>
        </is>
      </c>
      <c r="H123" s="673" t="inlineStr">
        <is>
          <t>VALIDE</t>
        </is>
      </c>
      <c r="I123" s="675" t="inlineStr">
        <is>
          <t>APPROUVE</t>
        </is>
      </c>
      <c r="J123" s="675" t="n"/>
      <c r="K123" s="673" t="inlineStr">
        <is>
          <t>NON CONCERNE</t>
        </is>
      </c>
      <c r="L123" s="675" t="inlineStr">
        <is>
          <t>Ordinaire</t>
        </is>
      </c>
      <c r="M123" s="677" t="inlineStr">
        <is>
          <t>FONCTIONNEMENT</t>
        </is>
      </c>
      <c r="N123" s="678" t="inlineStr">
        <is>
          <t xml:space="preserve">Prestations de service
Achat prestations de services locales - personnes physiques </t>
        </is>
      </c>
      <c r="O123" s="679" t="n"/>
      <c r="P123" s="680" t="n"/>
      <c r="Q123" s="680" t="n"/>
      <c r="R123" s="675" t="inlineStr">
        <is>
          <t>RECONDUCTION</t>
        </is>
      </c>
      <c r="S123" s="681" t="n"/>
      <c r="T123" s="682" t="n"/>
      <c r="U123" s="683" t="inlineStr">
        <is>
          <t>HOUSSAM MOUILLAH</t>
        </is>
      </c>
      <c r="V123" s="675" t="n">
        <v>2026</v>
      </c>
      <c r="W123" s="682" t="n">
        <v>46387</v>
      </c>
      <c r="X123" s="682" t="n"/>
      <c r="Y123" s="682" t="n">
        <v>46024</v>
      </c>
      <c r="Z123" s="679" t="n">
        <v>120000</v>
      </c>
      <c r="AA123" s="680" t="n"/>
      <c r="AB123" s="680">
        <f>Z123</f>
        <v/>
      </c>
      <c r="AC123" s="680" t="n"/>
      <c r="AD123" s="680">
        <f>Z123</f>
        <v/>
      </c>
      <c r="AE123" s="680">
        <f>AB123</f>
        <v/>
      </c>
      <c r="AF123" s="684" t="inlineStr">
        <is>
          <t>ENGAGE</t>
        </is>
      </c>
      <c r="AG123" s="683" t="n"/>
      <c r="AH123" s="680" t="n"/>
      <c r="AI123" s="680" t="n"/>
      <c r="AJ123" s="680" t="n"/>
      <c r="AK123" s="680" t="n"/>
      <c r="AL123" s="685" t="n"/>
      <c r="AM123" s="685" t="n"/>
      <c r="AN123" s="683" t="inlineStr">
        <is>
          <t>Manque n° contrat</t>
        </is>
      </c>
      <c r="AO123" s="686" t="n"/>
      <c r="AP123" s="687" t="n"/>
      <c r="AQ123" s="688" t="n"/>
      <c r="AR123" s="688" t="n"/>
      <c r="AS123" s="23" t="n"/>
      <c r="AT123" s="688" t="n"/>
    </row>
    <row r="124" ht="46.5" customHeight="1" s="392">
      <c r="A124" s="672">
        <f>IF(AF124="ENGAGE","✔",IF(AF124="EN COURS D'ENGAGEMENT","◕",IF(AF124="PREENGAGE","◑",IF(AF124="EN COURS DE PREENGAGEMENT","◔",IF(AF124="NON ENGAGE","✖","")))))</f>
        <v/>
      </c>
      <c r="B124" s="673" t="n">
        <v>2026</v>
      </c>
      <c r="C124" s="674" t="inlineStr">
        <is>
          <t>DMPTV</t>
        </is>
      </c>
      <c r="D124" s="674" t="inlineStr">
        <is>
          <t>PV N° : 01RC2025-DCMPTV</t>
        </is>
      </c>
      <c r="E124" s="675" t="inlineStr">
        <is>
          <t>CONTRAT</t>
        </is>
      </c>
      <c r="F124" s="675" t="n"/>
      <c r="G124" s="676" t="inlineStr">
        <is>
          <t>MSIOUAS MOHAMED DRISS  -  Chef de produit digital</t>
        </is>
      </c>
      <c r="H124" s="673" t="inlineStr">
        <is>
          <t>VALIDE</t>
        </is>
      </c>
      <c r="I124" s="675" t="inlineStr">
        <is>
          <t>APPROUVE</t>
        </is>
      </c>
      <c r="J124" s="675" t="n"/>
      <c r="K124" s="673" t="inlineStr">
        <is>
          <t>NON CONCERNE</t>
        </is>
      </c>
      <c r="L124" s="675" t="inlineStr">
        <is>
          <t>Ordinaire</t>
        </is>
      </c>
      <c r="M124" s="677" t="inlineStr">
        <is>
          <t>FONCTIONNEMENT</t>
        </is>
      </c>
      <c r="N124" s="678" t="inlineStr">
        <is>
          <t xml:space="preserve">Prestations de service
Achat prestations de services locales - personnes physiques </t>
        </is>
      </c>
      <c r="O124" s="679" t="n"/>
      <c r="P124" s="680" t="n"/>
      <c r="Q124" s="680" t="n"/>
      <c r="R124" s="675" t="inlineStr">
        <is>
          <t>RECONDUCTION</t>
        </is>
      </c>
      <c r="S124" s="681" t="n"/>
      <c r="T124" s="682" t="n"/>
      <c r="U124" s="683" t="inlineStr">
        <is>
          <t>MSIOUAS MOHAMED DRISS</t>
        </is>
      </c>
      <c r="V124" s="675" t="n">
        <v>2026</v>
      </c>
      <c r="W124" s="682" t="n">
        <v>46387</v>
      </c>
      <c r="X124" s="682" t="n"/>
      <c r="Y124" s="682" t="n">
        <v>46024</v>
      </c>
      <c r="Z124" s="679" t="n">
        <v>264000</v>
      </c>
      <c r="AA124" s="680" t="n"/>
      <c r="AB124" s="680">
        <f>Z124</f>
        <v/>
      </c>
      <c r="AC124" s="680" t="n"/>
      <c r="AD124" s="680">
        <f>Z124</f>
        <v/>
      </c>
      <c r="AE124" s="680">
        <f>AB124</f>
        <v/>
      </c>
      <c r="AF124" s="684" t="inlineStr">
        <is>
          <t>ENGAGE</t>
        </is>
      </c>
      <c r="AG124" s="683" t="n"/>
      <c r="AH124" s="680" t="n"/>
      <c r="AI124" s="680" t="n"/>
      <c r="AJ124" s="680" t="n"/>
      <c r="AK124" s="680" t="n"/>
      <c r="AL124" s="685" t="n"/>
      <c r="AM124" s="685" t="n"/>
      <c r="AN124" s="683" t="inlineStr">
        <is>
          <t>Manque n° contrat</t>
        </is>
      </c>
      <c r="AO124" s="686" t="n"/>
      <c r="AP124" s="687" t="n"/>
      <c r="AQ124" s="688" t="n"/>
      <c r="AR124" s="688" t="n"/>
      <c r="AS124" s="23" t="n"/>
      <c r="AT124" s="688" t="n"/>
    </row>
    <row r="125" ht="46.5" customHeight="1" s="392">
      <c r="A125" s="672">
        <f>IF(AF125="ENGAGE","✔",IF(AF125="EN COURS D'ENGAGEMENT","◕",IF(AF125="PREENGAGE","◑",IF(AF125="EN COURS DE PREENGAGEMENT","◔",IF(AF125="NON ENGAGE","✖","")))))</f>
        <v/>
      </c>
      <c r="B125" s="673" t="n">
        <v>2026</v>
      </c>
      <c r="C125" s="674" t="inlineStr">
        <is>
          <t>DMPTV</t>
        </is>
      </c>
      <c r="D125" s="674" t="inlineStr">
        <is>
          <t>PV N° : 01RC2025-DCMPTV</t>
        </is>
      </c>
      <c r="E125" s="675" t="inlineStr">
        <is>
          <t>CONTRAT</t>
        </is>
      </c>
      <c r="F125" s="675" t="n"/>
      <c r="G125" s="676" t="inlineStr">
        <is>
          <t>ABDELOUAHED JABBAR  -  Monteur</t>
        </is>
      </c>
      <c r="H125" s="673" t="inlineStr">
        <is>
          <t>VALIDE</t>
        </is>
      </c>
      <c r="I125" s="675" t="inlineStr">
        <is>
          <t>APPROUVE</t>
        </is>
      </c>
      <c r="J125" s="675" t="n"/>
      <c r="K125" s="673" t="inlineStr">
        <is>
          <t>NON CONCERNE</t>
        </is>
      </c>
      <c r="L125" s="675" t="inlineStr">
        <is>
          <t>Ordinaire</t>
        </is>
      </c>
      <c r="M125" s="677" t="inlineStr">
        <is>
          <t>FONCTIONNEMENT</t>
        </is>
      </c>
      <c r="N125" s="678" t="inlineStr">
        <is>
          <t xml:space="preserve">Prestations de service
Achat prestations de services locales - personnes physiques </t>
        </is>
      </c>
      <c r="O125" s="679" t="n"/>
      <c r="P125" s="680" t="n"/>
      <c r="Q125" s="680" t="n"/>
      <c r="R125" s="675" t="inlineStr">
        <is>
          <t>RECONDUCTION</t>
        </is>
      </c>
      <c r="S125" s="681" t="n"/>
      <c r="T125" s="682" t="n"/>
      <c r="U125" s="683" t="inlineStr">
        <is>
          <t>ABDELOUAHED JABBAR</t>
        </is>
      </c>
      <c r="V125" s="675" t="n">
        <v>2026</v>
      </c>
      <c r="W125" s="682" t="n">
        <v>46387</v>
      </c>
      <c r="X125" s="682" t="n"/>
      <c r="Y125" s="682" t="n">
        <v>46024</v>
      </c>
      <c r="Z125" s="679" t="n">
        <v>216000</v>
      </c>
      <c r="AA125" s="680" t="n"/>
      <c r="AB125" s="680">
        <f>Z125</f>
        <v/>
      </c>
      <c r="AC125" s="680" t="n"/>
      <c r="AD125" s="680">
        <f>Z125</f>
        <v/>
      </c>
      <c r="AE125" s="680">
        <f>AB125</f>
        <v/>
      </c>
      <c r="AF125" s="684" t="inlineStr">
        <is>
          <t>ENGAGE</t>
        </is>
      </c>
      <c r="AG125" s="683" t="n"/>
      <c r="AH125" s="680" t="n"/>
      <c r="AI125" s="680" t="n"/>
      <c r="AJ125" s="680" t="n"/>
      <c r="AK125" s="680" t="n"/>
      <c r="AL125" s="685" t="n"/>
      <c r="AM125" s="685" t="n"/>
      <c r="AN125" s="683" t="inlineStr">
        <is>
          <t>Manque n° contrat</t>
        </is>
      </c>
      <c r="AO125" s="686" t="n"/>
      <c r="AP125" s="687" t="n"/>
      <c r="AQ125" s="688" t="n"/>
      <c r="AR125" s="688" t="n"/>
      <c r="AS125" s="23" t="n"/>
      <c r="AT125" s="688" t="n"/>
    </row>
    <row r="126" ht="46.5" customHeight="1" s="392">
      <c r="A126" s="672">
        <f>IF(AF126="ENGAGE","✔",IF(AF126="EN COURS D'ENGAGEMENT","◕",IF(AF126="PREENGAGE","◑",IF(AF126="EN COURS DE PREENGAGEMENT","◔",IF(AF126="NON ENGAGE","✖","")))))</f>
        <v/>
      </c>
      <c r="B126" s="673" t="n">
        <v>2026</v>
      </c>
      <c r="C126" s="674" t="inlineStr">
        <is>
          <t>DMPTV</t>
        </is>
      </c>
      <c r="D126" s="674" t="inlineStr">
        <is>
          <t>PV N° : 01RC2025-DCMPTV</t>
        </is>
      </c>
      <c r="E126" s="675" t="inlineStr">
        <is>
          <t>CONTRAT</t>
        </is>
      </c>
      <c r="F126" s="675" t="n"/>
      <c r="G126" s="676" t="inlineStr">
        <is>
          <t>YASSINE KIRAMI  -  Monteur digital et cameraman</t>
        </is>
      </c>
      <c r="H126" s="673" t="inlineStr">
        <is>
          <t>VALIDE</t>
        </is>
      </c>
      <c r="I126" s="675" t="inlineStr">
        <is>
          <t>APPROUVE</t>
        </is>
      </c>
      <c r="J126" s="675" t="n"/>
      <c r="K126" s="673" t="inlineStr">
        <is>
          <t>NON CONCERNE</t>
        </is>
      </c>
      <c r="L126" s="675" t="inlineStr">
        <is>
          <t>Ordinaire</t>
        </is>
      </c>
      <c r="M126" s="677" t="inlineStr">
        <is>
          <t>FONCTIONNEMENT</t>
        </is>
      </c>
      <c r="N126" s="678" t="inlineStr">
        <is>
          <t xml:space="preserve">Prestations de service
Achat prestations de services locales - personnes physiques </t>
        </is>
      </c>
      <c r="O126" s="679" t="n"/>
      <c r="P126" s="680" t="n"/>
      <c r="Q126" s="680" t="n"/>
      <c r="R126" s="675" t="inlineStr">
        <is>
          <t>RECONDUCTION</t>
        </is>
      </c>
      <c r="S126" s="681" t="n"/>
      <c r="T126" s="682" t="n"/>
      <c r="U126" s="683" t="inlineStr">
        <is>
          <t>YASSINE KIRAMI</t>
        </is>
      </c>
      <c r="V126" s="675" t="n">
        <v>2026</v>
      </c>
      <c r="W126" s="682" t="n">
        <v>46387</v>
      </c>
      <c r="X126" s="682" t="n"/>
      <c r="Y126" s="682" t="n">
        <v>46024</v>
      </c>
      <c r="Z126" s="679" t="n">
        <v>144000</v>
      </c>
      <c r="AA126" s="680" t="n"/>
      <c r="AB126" s="680">
        <f>Z126</f>
        <v/>
      </c>
      <c r="AC126" s="680" t="n"/>
      <c r="AD126" s="680">
        <f>Z126</f>
        <v/>
      </c>
      <c r="AE126" s="680">
        <f>AB126</f>
        <v/>
      </c>
      <c r="AF126" s="684" t="inlineStr">
        <is>
          <t>ENGAGE</t>
        </is>
      </c>
      <c r="AG126" s="683" t="n"/>
      <c r="AH126" s="680" t="n"/>
      <c r="AI126" s="680" t="n"/>
      <c r="AJ126" s="680" t="n"/>
      <c r="AK126" s="680" t="n"/>
      <c r="AL126" s="685" t="n"/>
      <c r="AM126" s="685" t="n"/>
      <c r="AN126" s="683" t="inlineStr">
        <is>
          <t>Manque n° contrat</t>
        </is>
      </c>
      <c r="AO126" s="686" t="n"/>
      <c r="AP126" s="687" t="n"/>
      <c r="AQ126" s="688" t="n"/>
      <c r="AR126" s="688" t="n"/>
      <c r="AS126" s="23" t="n"/>
      <c r="AT126" s="688" t="n"/>
    </row>
    <row r="127" ht="46.5" customHeight="1" s="392">
      <c r="A127" s="672">
        <f>IF(AF127="ENGAGE","✔",IF(AF127="EN COURS D'ENGAGEMENT","◕",IF(AF127="PREENGAGE","◑",IF(AF127="EN COURS DE PREENGAGEMENT","◔",IF(AF127="NON ENGAGE","✖","")))))</f>
        <v/>
      </c>
      <c r="B127" s="673" t="n">
        <v>2026</v>
      </c>
      <c r="C127" s="674" t="inlineStr">
        <is>
          <t>DMPTV</t>
        </is>
      </c>
      <c r="D127" s="674" t="inlineStr">
        <is>
          <t>PV N° : 01RC2025-DCMPTV</t>
        </is>
      </c>
      <c r="E127" s="675" t="inlineStr">
        <is>
          <t>CONTRAT</t>
        </is>
      </c>
      <c r="F127" s="675" t="n"/>
      <c r="G127" s="676" t="inlineStr">
        <is>
          <t>SAFAA SABRI  -  Rédactrice en arabe</t>
        </is>
      </c>
      <c r="H127" s="673" t="inlineStr">
        <is>
          <t>VALIDE</t>
        </is>
      </c>
      <c r="I127" s="675" t="inlineStr">
        <is>
          <t>APPROUVE</t>
        </is>
      </c>
      <c r="J127" s="675" t="n"/>
      <c r="K127" s="673" t="inlineStr">
        <is>
          <t>NON CONCERNE</t>
        </is>
      </c>
      <c r="L127" s="675" t="inlineStr">
        <is>
          <t>Ordinaire</t>
        </is>
      </c>
      <c r="M127" s="677" t="inlineStr">
        <is>
          <t>FONCTIONNEMENT</t>
        </is>
      </c>
      <c r="N127" s="678" t="inlineStr">
        <is>
          <t xml:space="preserve">Prestations de service
Achat prestations de services locales - personnes physiques </t>
        </is>
      </c>
      <c r="O127" s="679" t="n"/>
      <c r="P127" s="680" t="n"/>
      <c r="Q127" s="680" t="n"/>
      <c r="R127" s="675" t="inlineStr">
        <is>
          <t>RECONDUCTION</t>
        </is>
      </c>
      <c r="S127" s="681" t="n"/>
      <c r="T127" s="682" t="n"/>
      <c r="U127" s="683" t="inlineStr">
        <is>
          <t>SAFAA SABR</t>
        </is>
      </c>
      <c r="V127" s="675" t="n">
        <v>2026</v>
      </c>
      <c r="W127" s="682" t="n">
        <v>46387</v>
      </c>
      <c r="X127" s="682" t="n"/>
      <c r="Y127" s="682" t="n">
        <v>46024</v>
      </c>
      <c r="Z127" s="679" t="n">
        <v>132000</v>
      </c>
      <c r="AA127" s="680" t="n"/>
      <c r="AB127" s="680">
        <f>Z127</f>
        <v/>
      </c>
      <c r="AC127" s="680" t="n"/>
      <c r="AD127" s="680">
        <f>Z127</f>
        <v/>
      </c>
      <c r="AE127" s="680">
        <f>AB127</f>
        <v/>
      </c>
      <c r="AF127" s="684" t="inlineStr">
        <is>
          <t>ENGAGE</t>
        </is>
      </c>
      <c r="AG127" s="683" t="n"/>
      <c r="AH127" s="680" t="n"/>
      <c r="AI127" s="680" t="n"/>
      <c r="AJ127" s="680" t="n"/>
      <c r="AK127" s="680" t="n"/>
      <c r="AL127" s="685" t="n"/>
      <c r="AM127" s="685" t="n"/>
      <c r="AN127" s="683" t="inlineStr">
        <is>
          <t>Manque n° contrat</t>
        </is>
      </c>
      <c r="AO127" s="686" t="n"/>
      <c r="AP127" s="687" t="n"/>
      <c r="AQ127" s="688" t="n"/>
      <c r="AR127" s="688" t="n"/>
      <c r="AS127" s="23" t="n"/>
      <c r="AT127" s="688" t="n"/>
    </row>
    <row r="128" ht="46.5" customHeight="1" s="392">
      <c r="A128" s="672">
        <f>IF(AF128="ENGAGE","✔",IF(AF128="EN COURS D'ENGAGEMENT","◕",IF(AF128="PREENGAGE","◑",IF(AF128="EN COURS DE PREENGAGEMENT","◔",IF(AF128="NON ENGAGE","✖","")))))</f>
        <v/>
      </c>
      <c r="B128" s="673" t="n">
        <v>2026</v>
      </c>
      <c r="C128" s="674" t="inlineStr">
        <is>
          <t>DMPTV</t>
        </is>
      </c>
      <c r="D128" s="674" t="inlineStr">
        <is>
          <t>PV N° : 01RC2025-DCMPTV</t>
        </is>
      </c>
      <c r="E128" s="675" t="inlineStr">
        <is>
          <t>CONTRAT</t>
        </is>
      </c>
      <c r="F128" s="675" t="n"/>
      <c r="G128" s="676" t="inlineStr">
        <is>
          <t>SARAH MAACHE  -  Rédactrice en Français</t>
        </is>
      </c>
      <c r="H128" s="673" t="inlineStr">
        <is>
          <t>VALIDE</t>
        </is>
      </c>
      <c r="I128" s="675" t="inlineStr">
        <is>
          <t>APPROUVE</t>
        </is>
      </c>
      <c r="J128" s="675" t="n"/>
      <c r="K128" s="673" t="inlineStr">
        <is>
          <t>NON CONCERNE</t>
        </is>
      </c>
      <c r="L128" s="675" t="inlineStr">
        <is>
          <t>Ordinaire</t>
        </is>
      </c>
      <c r="M128" s="677" t="inlineStr">
        <is>
          <t>FONCTIONNEMENT</t>
        </is>
      </c>
      <c r="N128" s="678" t="inlineStr">
        <is>
          <t xml:space="preserve">Prestations de service
Achat prestations de services locales - personnes physiques </t>
        </is>
      </c>
      <c r="O128" s="679" t="n"/>
      <c r="P128" s="680" t="n"/>
      <c r="Q128" s="680" t="n"/>
      <c r="R128" s="675" t="inlineStr">
        <is>
          <t>RECONDUCTION</t>
        </is>
      </c>
      <c r="S128" s="681" t="n"/>
      <c r="T128" s="682" t="n"/>
      <c r="U128" s="683" t="inlineStr">
        <is>
          <t>SARAH MAACHE</t>
        </is>
      </c>
      <c r="V128" s="675" t="n">
        <v>2026</v>
      </c>
      <c r="W128" s="682" t="n">
        <v>46387</v>
      </c>
      <c r="X128" s="682" t="n"/>
      <c r="Y128" s="682" t="n">
        <v>46024</v>
      </c>
      <c r="Z128" s="679" t="n">
        <v>252000</v>
      </c>
      <c r="AA128" s="680" t="n"/>
      <c r="AB128" s="680">
        <f>Z128</f>
        <v/>
      </c>
      <c r="AC128" s="680" t="n"/>
      <c r="AD128" s="680">
        <f>Z128</f>
        <v/>
      </c>
      <c r="AE128" s="680">
        <f>AB128</f>
        <v/>
      </c>
      <c r="AF128" s="684" t="inlineStr">
        <is>
          <t>ENGAGE</t>
        </is>
      </c>
      <c r="AG128" s="683" t="n"/>
      <c r="AH128" s="680" t="n"/>
      <c r="AI128" s="680" t="n"/>
      <c r="AJ128" s="680" t="n"/>
      <c r="AK128" s="680" t="n"/>
      <c r="AL128" s="685" t="n"/>
      <c r="AM128" s="685" t="n"/>
      <c r="AN128" s="683" t="inlineStr">
        <is>
          <t>Manque n° contrat</t>
        </is>
      </c>
      <c r="AO128" s="686" t="n"/>
      <c r="AP128" s="687" t="n"/>
      <c r="AQ128" s="688" t="n"/>
      <c r="AR128" s="688" t="n"/>
      <c r="AS128" s="23" t="n"/>
      <c r="AT128" s="688" t="n"/>
    </row>
    <row r="129" ht="46.5" customHeight="1" s="392">
      <c r="A129" s="672">
        <f>IF(AF129="ENGAGE","✔",IF(AF129="EN COURS D'ENGAGEMENT","◕",IF(AF129="PREENGAGE","◑",IF(AF129="EN COURS DE PREENGAGEMENT","◔",IF(AF129="NON ENGAGE","✖","")))))</f>
        <v/>
      </c>
      <c r="B129" s="673" t="n">
        <v>2026</v>
      </c>
      <c r="C129" s="674" t="inlineStr">
        <is>
          <t>DMPTV</t>
        </is>
      </c>
      <c r="D129" s="674" t="inlineStr">
        <is>
          <t>PV N° : 01RC2025-DCMPTV</t>
        </is>
      </c>
      <c r="E129" s="675" t="inlineStr">
        <is>
          <t>CONTRAT</t>
        </is>
      </c>
      <c r="F129" s="675" t="n"/>
      <c r="G129" s="676" t="inlineStr">
        <is>
          <t>BASMA WAJIB  -  Community Manager</t>
        </is>
      </c>
      <c r="H129" s="673" t="inlineStr">
        <is>
          <t>VALIDE</t>
        </is>
      </c>
      <c r="I129" s="675" t="inlineStr">
        <is>
          <t>APPROUVE</t>
        </is>
      </c>
      <c r="J129" s="675" t="n"/>
      <c r="K129" s="673" t="inlineStr">
        <is>
          <t>NON CONCERNE</t>
        </is>
      </c>
      <c r="L129" s="675" t="inlineStr">
        <is>
          <t>Ordinaire</t>
        </is>
      </c>
      <c r="M129" s="677" t="inlineStr">
        <is>
          <t>FONCTIONNEMENT</t>
        </is>
      </c>
      <c r="N129" s="678" t="inlineStr">
        <is>
          <t xml:space="preserve">Prestations de service
Achat prestations de services locales - personnes physiques </t>
        </is>
      </c>
      <c r="O129" s="679" t="n"/>
      <c r="P129" s="680" t="n"/>
      <c r="Q129" s="680" t="n"/>
      <c r="R129" s="675" t="inlineStr">
        <is>
          <t>RECONDUCTION</t>
        </is>
      </c>
      <c r="S129" s="681" t="n"/>
      <c r="T129" s="682" t="n"/>
      <c r="U129" s="683" t="inlineStr">
        <is>
          <t>BASMA WAJIB</t>
        </is>
      </c>
      <c r="V129" s="675" t="n">
        <v>2026</v>
      </c>
      <c r="W129" s="682" t="n">
        <v>46387</v>
      </c>
      <c r="X129" s="682" t="n"/>
      <c r="Y129" s="682" t="n">
        <v>46024</v>
      </c>
      <c r="Z129" s="679" t="n">
        <v>84000</v>
      </c>
      <c r="AA129" s="680" t="n"/>
      <c r="AB129" s="680">
        <f>Z129</f>
        <v/>
      </c>
      <c r="AC129" s="680" t="n"/>
      <c r="AD129" s="680">
        <f>Z129</f>
        <v/>
      </c>
      <c r="AE129" s="680">
        <f>AB129</f>
        <v/>
      </c>
      <c r="AF129" s="684" t="inlineStr">
        <is>
          <t>ENGAGE</t>
        </is>
      </c>
      <c r="AG129" s="683" t="n"/>
      <c r="AH129" s="680" t="n"/>
      <c r="AI129" s="680" t="n"/>
      <c r="AJ129" s="680" t="n"/>
      <c r="AK129" s="680" t="n"/>
      <c r="AL129" s="685" t="n"/>
      <c r="AM129" s="685" t="n"/>
      <c r="AN129" s="683" t="inlineStr">
        <is>
          <t>Manque n° contrat</t>
        </is>
      </c>
      <c r="AO129" s="686" t="n"/>
      <c r="AP129" s="687" t="n"/>
      <c r="AQ129" s="688" t="n"/>
      <c r="AR129" s="688" t="n"/>
      <c r="AS129" s="23" t="n"/>
      <c r="AT129" s="688" t="n"/>
    </row>
    <row r="130" ht="46.5" customHeight="1" s="392">
      <c r="A130" s="672">
        <f>IF(AF130="ENGAGE","✔",IF(AF130="EN COURS D'ENGAGEMENT","◕",IF(AF130="PREENGAGE","◑",IF(AF130="EN COURS DE PREENGAGEMENT","◔",IF(AF130="NON ENGAGE","✖","")))))</f>
        <v/>
      </c>
      <c r="B130" s="673" t="n">
        <v>2026</v>
      </c>
      <c r="C130" s="674" t="inlineStr">
        <is>
          <t>DMPTV</t>
        </is>
      </c>
      <c r="D130" s="674" t="inlineStr">
        <is>
          <t>PV N° : 01RC2025-DCMPTV</t>
        </is>
      </c>
      <c r="E130" s="675" t="inlineStr">
        <is>
          <t>CONTRAT</t>
        </is>
      </c>
      <c r="F130" s="675" t="n"/>
      <c r="G130" s="676" t="inlineStr">
        <is>
          <t>M’BARK AGNAOU  -  Community Manager</t>
        </is>
      </c>
      <c r="H130" s="673" t="inlineStr">
        <is>
          <t>VALIDE</t>
        </is>
      </c>
      <c r="I130" s="675" t="inlineStr">
        <is>
          <t>APPROUVE</t>
        </is>
      </c>
      <c r="J130" s="675" t="n"/>
      <c r="K130" s="673" t="inlineStr">
        <is>
          <t>NON CONCERNE</t>
        </is>
      </c>
      <c r="L130" s="675" t="inlineStr">
        <is>
          <t>Ordinaire</t>
        </is>
      </c>
      <c r="M130" s="677" t="inlineStr">
        <is>
          <t>FONCTIONNEMENT</t>
        </is>
      </c>
      <c r="N130" s="678" t="inlineStr">
        <is>
          <t xml:space="preserve">Prestations de service
Achat prestations de services locales - personnes physiques </t>
        </is>
      </c>
      <c r="O130" s="679" t="n"/>
      <c r="P130" s="680" t="n"/>
      <c r="Q130" s="680" t="n"/>
      <c r="R130" s="675" t="inlineStr">
        <is>
          <t>RECONDUCTION</t>
        </is>
      </c>
      <c r="S130" s="681" t="n"/>
      <c r="T130" s="682" t="n"/>
      <c r="U130" s="683" t="inlineStr">
        <is>
          <t>M’BARK AGNAOU</t>
        </is>
      </c>
      <c r="V130" s="675" t="n">
        <v>2026</v>
      </c>
      <c r="W130" s="682" t="n">
        <v>46387</v>
      </c>
      <c r="X130" s="682" t="n"/>
      <c r="Y130" s="682" t="n">
        <v>46024</v>
      </c>
      <c r="Z130" s="679" t="n">
        <v>84000</v>
      </c>
      <c r="AA130" s="680" t="n"/>
      <c r="AB130" s="680">
        <f>Z130</f>
        <v/>
      </c>
      <c r="AC130" s="680" t="n"/>
      <c r="AD130" s="680">
        <f>Z130</f>
        <v/>
      </c>
      <c r="AE130" s="680">
        <f>AB130</f>
        <v/>
      </c>
      <c r="AF130" s="684" t="inlineStr">
        <is>
          <t>ENGAGE</t>
        </is>
      </c>
      <c r="AG130" s="683" t="n"/>
      <c r="AH130" s="680" t="n"/>
      <c r="AI130" s="680" t="n"/>
      <c r="AJ130" s="680" t="n"/>
      <c r="AK130" s="680" t="n"/>
      <c r="AL130" s="685" t="n"/>
      <c r="AM130" s="685" t="n"/>
      <c r="AN130" s="683" t="inlineStr">
        <is>
          <t>Manque n° contrat</t>
        </is>
      </c>
      <c r="AO130" s="686" t="n"/>
      <c r="AP130" s="687" t="n"/>
      <c r="AQ130" s="688" t="n"/>
      <c r="AR130" s="688" t="n"/>
      <c r="AS130" s="23" t="n"/>
      <c r="AT130" s="688" t="n"/>
    </row>
    <row r="131" ht="46.5" customHeight="1" s="392">
      <c r="A131" s="672">
        <f>IF(AF131="ENGAGE","✔",IF(AF131="EN COURS D'ENGAGEMENT","◕",IF(AF131="PREENGAGE","◑",IF(AF131="EN COURS DE PREENGAGEMENT","◔",IF(AF131="NON ENGAGE","✖","")))))</f>
        <v/>
      </c>
      <c r="B131" s="673" t="n">
        <v>2026</v>
      </c>
      <c r="C131" s="674" t="inlineStr">
        <is>
          <t>DMPTV</t>
        </is>
      </c>
      <c r="D131" s="674" t="inlineStr">
        <is>
          <t>PV N° : 01RC2025-DCMPTV</t>
        </is>
      </c>
      <c r="E131" s="675" t="inlineStr">
        <is>
          <t>CONTRAT</t>
        </is>
      </c>
      <c r="F131" s="675" t="n"/>
      <c r="G131" s="676" t="inlineStr">
        <is>
          <t>ESSAIFI MOHAMED SAMI  -  Content lead digital</t>
        </is>
      </c>
      <c r="H131" s="673" t="inlineStr">
        <is>
          <t>VALIDE</t>
        </is>
      </c>
      <c r="I131" s="675" t="inlineStr">
        <is>
          <t>APPROUVE</t>
        </is>
      </c>
      <c r="J131" s="675" t="n"/>
      <c r="K131" s="673" t="inlineStr">
        <is>
          <t>NON CONCERNE</t>
        </is>
      </c>
      <c r="L131" s="675" t="inlineStr">
        <is>
          <t>Ordinaire</t>
        </is>
      </c>
      <c r="M131" s="677" t="inlineStr">
        <is>
          <t>FONCTIONNEMENT</t>
        </is>
      </c>
      <c r="N131" s="678" t="inlineStr">
        <is>
          <t xml:space="preserve">Prestations de service
Achat prestations de services locales - personnes physiques </t>
        </is>
      </c>
      <c r="O131" s="679" t="n"/>
      <c r="P131" s="680" t="n"/>
      <c r="Q131" s="680" t="n"/>
      <c r="R131" s="675" t="inlineStr">
        <is>
          <t>RECONDUCTION</t>
        </is>
      </c>
      <c r="S131" s="681" t="n"/>
      <c r="T131" s="682" t="n"/>
      <c r="U131" s="683" t="inlineStr">
        <is>
          <t xml:space="preserve">ESSAIFI MOHAMED SAMI </t>
        </is>
      </c>
      <c r="V131" s="675" t="n">
        <v>2026</v>
      </c>
      <c r="W131" s="682" t="n">
        <v>46387</v>
      </c>
      <c r="X131" s="682" t="n"/>
      <c r="Y131" s="682" t="n">
        <v>46024</v>
      </c>
      <c r="Z131" s="679" t="n">
        <v>276000</v>
      </c>
      <c r="AA131" s="680" t="n"/>
      <c r="AB131" s="680">
        <f>Z131</f>
        <v/>
      </c>
      <c r="AC131" s="680" t="n"/>
      <c r="AD131" s="680">
        <f>Z131</f>
        <v/>
      </c>
      <c r="AE131" s="680">
        <f>AB131</f>
        <v/>
      </c>
      <c r="AF131" s="684" t="inlineStr">
        <is>
          <t>ENGAGE</t>
        </is>
      </c>
      <c r="AG131" s="683" t="n"/>
      <c r="AH131" s="680" t="n"/>
      <c r="AI131" s="680" t="n"/>
      <c r="AJ131" s="680" t="n"/>
      <c r="AK131" s="680" t="n"/>
      <c r="AL131" s="685" t="n"/>
      <c r="AM131" s="685" t="n"/>
      <c r="AN131" s="683" t="inlineStr">
        <is>
          <t>Manque n° contrat</t>
        </is>
      </c>
      <c r="AO131" s="686" t="n"/>
      <c r="AP131" s="687" t="n"/>
      <c r="AQ131" s="688" t="n"/>
      <c r="AR131" s="688" t="n"/>
      <c r="AS131" s="23" t="n"/>
      <c r="AT131" s="688" t="n"/>
    </row>
    <row r="132" ht="46.5" customHeight="1" s="392">
      <c r="A132" s="672">
        <f>IF(AF132="ENGAGE","✔",IF(AF132="EN COURS D'ENGAGEMENT","◕",IF(AF132="PREENGAGE","◑",IF(AF132="EN COURS DE PREENGAGEMENT","◔",IF(AF132="NON ENGAGE","✖","")))))</f>
        <v/>
      </c>
      <c r="B132" s="673" t="n">
        <v>2026</v>
      </c>
      <c r="C132" s="674" t="inlineStr">
        <is>
          <t>DMPTV</t>
        </is>
      </c>
      <c r="D132" s="674" t="inlineStr">
        <is>
          <t>PV N° : 01RC2025-DCMPTV</t>
        </is>
      </c>
      <c r="E132" s="675" t="inlineStr">
        <is>
          <t>CONTRAT</t>
        </is>
      </c>
      <c r="F132" s="675" t="n"/>
      <c r="G132" s="676" t="inlineStr">
        <is>
          <t>HAJAR LAMRANI  -  Monteur</t>
        </is>
      </c>
      <c r="H132" s="673" t="inlineStr">
        <is>
          <t>VALIDE</t>
        </is>
      </c>
      <c r="I132" s="675" t="inlineStr">
        <is>
          <t>APPROUVE</t>
        </is>
      </c>
      <c r="J132" s="675" t="n"/>
      <c r="K132" s="673" t="inlineStr">
        <is>
          <t>NON CONCERNE</t>
        </is>
      </c>
      <c r="L132" s="675" t="inlineStr">
        <is>
          <t>Ordinaire</t>
        </is>
      </c>
      <c r="M132" s="677" t="inlineStr">
        <is>
          <t>FONCTIONNEMENT</t>
        </is>
      </c>
      <c r="N132" s="678" t="inlineStr">
        <is>
          <t xml:space="preserve">Prestations de service
Achat prestations de services locales - personnes physiques </t>
        </is>
      </c>
      <c r="O132" s="679" t="n"/>
      <c r="P132" s="680" t="n"/>
      <c r="Q132" s="680" t="n"/>
      <c r="R132" s="675" t="inlineStr">
        <is>
          <t>RECONDUCTION</t>
        </is>
      </c>
      <c r="S132" s="681" t="n"/>
      <c r="T132" s="682" t="n"/>
      <c r="U132" s="683" t="inlineStr">
        <is>
          <t>HAJAR LAMRANI</t>
        </is>
      </c>
      <c r="V132" s="675" t="n">
        <v>2026</v>
      </c>
      <c r="W132" s="682" t="n">
        <v>46387</v>
      </c>
      <c r="X132" s="682" t="n"/>
      <c r="Y132" s="682" t="n">
        <v>46024</v>
      </c>
      <c r="Z132" s="679" t="n">
        <v>144000</v>
      </c>
      <c r="AA132" s="680" t="n"/>
      <c r="AB132" s="680">
        <f>Z132</f>
        <v/>
      </c>
      <c r="AC132" s="680" t="n"/>
      <c r="AD132" s="680">
        <f>Z132</f>
        <v/>
      </c>
      <c r="AE132" s="680">
        <f>AB132</f>
        <v/>
      </c>
      <c r="AF132" s="684" t="inlineStr">
        <is>
          <t>ENGAGE</t>
        </is>
      </c>
      <c r="AG132" s="683" t="n"/>
      <c r="AH132" s="680" t="n"/>
      <c r="AI132" s="680" t="n"/>
      <c r="AJ132" s="680" t="n"/>
      <c r="AK132" s="680" t="n"/>
      <c r="AL132" s="685" t="n"/>
      <c r="AM132" s="685" t="n"/>
      <c r="AN132" s="683" t="inlineStr">
        <is>
          <t>Manque n° contrat</t>
        </is>
      </c>
      <c r="AO132" s="686" t="n"/>
      <c r="AP132" s="687" t="n"/>
      <c r="AQ132" s="688" t="n"/>
      <c r="AR132" s="688" t="n"/>
      <c r="AS132" s="23" t="n"/>
      <c r="AT132" s="688" t="n"/>
    </row>
    <row r="133" ht="46.5" customHeight="1" s="392">
      <c r="A133" s="672">
        <f>IF(AF133="ENGAGE","✔",IF(AF133="EN COURS D'ENGAGEMENT","◕",IF(AF133="PREENGAGE","◑",IF(AF133="EN COURS DE PREENGAGEMENT","◔",IF(AF133="NON ENGAGE","✖","")))))</f>
        <v/>
      </c>
      <c r="B133" s="673" t="n">
        <v>2026</v>
      </c>
      <c r="C133" s="674" t="inlineStr">
        <is>
          <t>DMPTV</t>
        </is>
      </c>
      <c r="D133" s="674" t="inlineStr">
        <is>
          <t>PV N° : 01RC2025-DCMPTV</t>
        </is>
      </c>
      <c r="E133" s="675" t="inlineStr">
        <is>
          <t>CONTRAT</t>
        </is>
      </c>
      <c r="F133" s="675" t="n"/>
      <c r="G133" s="676" t="inlineStr">
        <is>
          <t>ANAS ESSAOUDI  -  Monteur</t>
        </is>
      </c>
      <c r="H133" s="673" t="inlineStr">
        <is>
          <t>VALIDE</t>
        </is>
      </c>
      <c r="I133" s="675" t="inlineStr">
        <is>
          <t>APPROUVE</t>
        </is>
      </c>
      <c r="J133" s="675" t="n"/>
      <c r="K133" s="673" t="inlineStr">
        <is>
          <t>NON CONCERNE</t>
        </is>
      </c>
      <c r="L133" s="675" t="inlineStr">
        <is>
          <t>Ordinaire</t>
        </is>
      </c>
      <c r="M133" s="677" t="inlineStr">
        <is>
          <t>FONCTIONNEMENT</t>
        </is>
      </c>
      <c r="N133" s="678" t="inlineStr">
        <is>
          <t xml:space="preserve">Prestations de service
Achat prestations de services locales - personnes physiques </t>
        </is>
      </c>
      <c r="O133" s="679" t="n"/>
      <c r="P133" s="680" t="n"/>
      <c r="Q133" s="680" t="n"/>
      <c r="R133" s="675" t="inlineStr">
        <is>
          <t>RECONDUCTION</t>
        </is>
      </c>
      <c r="S133" s="681" t="n"/>
      <c r="T133" s="682" t="n"/>
      <c r="U133" s="683" t="inlineStr">
        <is>
          <t>ANAS ESSAOUDI</t>
        </is>
      </c>
      <c r="V133" s="675" t="n">
        <v>2026</v>
      </c>
      <c r="W133" s="682" t="n">
        <v>46387</v>
      </c>
      <c r="X133" s="682" t="n"/>
      <c r="Y133" s="682" t="n">
        <v>46024</v>
      </c>
      <c r="Z133" s="679" t="n">
        <v>108000</v>
      </c>
      <c r="AA133" s="680" t="n"/>
      <c r="AB133" s="680">
        <f>Z133</f>
        <v/>
      </c>
      <c r="AC133" s="680" t="n"/>
      <c r="AD133" s="680">
        <f>Z133</f>
        <v/>
      </c>
      <c r="AE133" s="680">
        <f>AB133</f>
        <v/>
      </c>
      <c r="AF133" s="684" t="inlineStr">
        <is>
          <t>ENGAGE</t>
        </is>
      </c>
      <c r="AG133" s="683" t="n"/>
      <c r="AH133" s="680" t="n"/>
      <c r="AI133" s="680" t="n"/>
      <c r="AJ133" s="680" t="n"/>
      <c r="AK133" s="680" t="n"/>
      <c r="AL133" s="685" t="n"/>
      <c r="AM133" s="685" t="n"/>
      <c r="AN133" s="683" t="inlineStr">
        <is>
          <t>Manque n° contrat</t>
        </is>
      </c>
      <c r="AO133" s="686" t="n"/>
      <c r="AP133" s="687" t="n"/>
      <c r="AQ133" s="688" t="n"/>
      <c r="AR133" s="688" t="n"/>
      <c r="AS133" s="23" t="n"/>
      <c r="AT133" s="688" t="n"/>
    </row>
    <row r="134" ht="46.5" customHeight="1" s="392">
      <c r="A134" s="672">
        <f>IF(AF134="ENGAGE","✔",IF(AF134="EN COURS D'ENGAGEMENT","◕",IF(AF134="PREENGAGE","◑",IF(AF134="EN COURS DE PREENGAGEMENT","◔",IF(AF134="NON ENGAGE","✖","")))))</f>
        <v/>
      </c>
      <c r="B134" s="673" t="n">
        <v>2026</v>
      </c>
      <c r="C134" s="674" t="inlineStr">
        <is>
          <t>DMPTV</t>
        </is>
      </c>
      <c r="D134" s="674" t="inlineStr">
        <is>
          <t>PV N° : 01RC2025-DCMPTV</t>
        </is>
      </c>
      <c r="E134" s="675" t="inlineStr">
        <is>
          <t>CONTRAT</t>
        </is>
      </c>
      <c r="F134" s="675" t="n"/>
      <c r="G134" s="676" t="inlineStr">
        <is>
          <t>IDRISS TAZARN  -  Rédacteur Web Sénior en arabe</t>
        </is>
      </c>
      <c r="H134" s="673" t="inlineStr">
        <is>
          <t>VALIDE</t>
        </is>
      </c>
      <c r="I134" s="675" t="inlineStr">
        <is>
          <t>APPROUVE</t>
        </is>
      </c>
      <c r="J134" s="675" t="n"/>
      <c r="K134" s="673" t="inlineStr">
        <is>
          <t>NON CONCERNE</t>
        </is>
      </c>
      <c r="L134" s="675" t="inlineStr">
        <is>
          <t>Ordinaire</t>
        </is>
      </c>
      <c r="M134" s="677" t="inlineStr">
        <is>
          <t>FONCTIONNEMENT</t>
        </is>
      </c>
      <c r="N134" s="678" t="inlineStr">
        <is>
          <t xml:space="preserve">Prestations de service
Achat prestations de services locales - personnes physiques </t>
        </is>
      </c>
      <c r="O134" s="679" t="n"/>
      <c r="P134" s="680" t="n"/>
      <c r="Q134" s="680" t="n"/>
      <c r="R134" s="675" t="inlineStr">
        <is>
          <t>RECONDUCTION</t>
        </is>
      </c>
      <c r="S134" s="681" t="n"/>
      <c r="T134" s="682" t="n"/>
      <c r="U134" s="683" t="inlineStr">
        <is>
          <t>IDRISS TAZARN</t>
        </is>
      </c>
      <c r="V134" s="675" t="n">
        <v>2026</v>
      </c>
      <c r="W134" s="682" t="n">
        <v>46387</v>
      </c>
      <c r="X134" s="682" t="n"/>
      <c r="Y134" s="682" t="n">
        <v>46024</v>
      </c>
      <c r="Z134" s="679" t="n">
        <v>240000</v>
      </c>
      <c r="AA134" s="680" t="n"/>
      <c r="AB134" s="680">
        <f>Z134</f>
        <v/>
      </c>
      <c r="AC134" s="680" t="n"/>
      <c r="AD134" s="680">
        <f>Z134</f>
        <v/>
      </c>
      <c r="AE134" s="680">
        <f>AB134</f>
        <v/>
      </c>
      <c r="AF134" s="684" t="inlineStr">
        <is>
          <t>ENGAGE</t>
        </is>
      </c>
      <c r="AG134" s="683" t="n"/>
      <c r="AH134" s="680" t="n"/>
      <c r="AI134" s="680" t="n"/>
      <c r="AJ134" s="680" t="n"/>
      <c r="AK134" s="680" t="n"/>
      <c r="AL134" s="685" t="n"/>
      <c r="AM134" s="685" t="n"/>
      <c r="AN134" s="683" t="inlineStr">
        <is>
          <t>Manque n° contrat</t>
        </is>
      </c>
      <c r="AO134" s="686" t="n"/>
      <c r="AP134" s="687" t="n"/>
      <c r="AQ134" s="688" t="n"/>
      <c r="AR134" s="688" t="n"/>
      <c r="AS134" s="23" t="n"/>
      <c r="AT134" s="688" t="n"/>
    </row>
    <row r="135" ht="46.5" customHeight="1" s="392">
      <c r="A135" s="672">
        <f>IF(AF135="ENGAGE","✔",IF(AF135="EN COURS D'ENGAGEMENT","◕",IF(AF135="PREENGAGE","◑",IF(AF135="EN COURS DE PREENGAGEMENT","◔",IF(AF135="NON ENGAGE","✖","")))))</f>
        <v/>
      </c>
      <c r="B135" s="673" t="n">
        <v>2026</v>
      </c>
      <c r="C135" s="674" t="inlineStr">
        <is>
          <t>DPPR</t>
        </is>
      </c>
      <c r="D135" s="674" t="inlineStr">
        <is>
          <t>PV N° : 01RC2025-DPPR</t>
        </is>
      </c>
      <c r="E135" s="675" t="inlineStr">
        <is>
          <t>CONTRAT</t>
        </is>
      </c>
      <c r="F135" s="675" t="n"/>
      <c r="G135" s="676" t="inlineStr">
        <is>
          <t>NAJAT OUADIF  -  La supervision du contenu musical et la participation à la programmation musicale</t>
        </is>
      </c>
      <c r="H135" s="673" t="inlineStr">
        <is>
          <t>VALIDE</t>
        </is>
      </c>
      <c r="I135" s="675" t="inlineStr">
        <is>
          <t>APPROUVE</t>
        </is>
      </c>
      <c r="J135" s="675" t="n"/>
      <c r="K135" s="673" t="inlineStr">
        <is>
          <t>NON CONCERNE</t>
        </is>
      </c>
      <c r="L135" s="675" t="inlineStr">
        <is>
          <t>Ordinaire</t>
        </is>
      </c>
      <c r="M135" s="677" t="inlineStr">
        <is>
          <t>FONCTIONNEMENT</t>
        </is>
      </c>
      <c r="N135" s="678" t="inlineStr">
        <is>
          <t xml:space="preserve">Prestations de service
Achat prestations de services locales - personnes physiques </t>
        </is>
      </c>
      <c r="O135" s="679" t="n"/>
      <c r="P135" s="680" t="n"/>
      <c r="Q135" s="680" t="n"/>
      <c r="R135" s="675" t="inlineStr">
        <is>
          <t>RECONDUCTION</t>
        </is>
      </c>
      <c r="S135" s="681" t="n"/>
      <c r="T135" s="682" t="n"/>
      <c r="U135" s="683" t="inlineStr">
        <is>
          <t>NAJAT OUADIF</t>
        </is>
      </c>
      <c r="V135" s="675" t="n">
        <v>2026</v>
      </c>
      <c r="W135" s="682" t="n">
        <v>46387</v>
      </c>
      <c r="X135" s="682" t="n"/>
      <c r="Y135" s="682" t="n">
        <v>46024</v>
      </c>
      <c r="Z135" s="679" t="n">
        <v>84000</v>
      </c>
      <c r="AA135" s="680" t="n"/>
      <c r="AB135" s="680">
        <f>Z135</f>
        <v/>
      </c>
      <c r="AC135" s="680" t="n"/>
      <c r="AD135" s="680">
        <f>Z135</f>
        <v/>
      </c>
      <c r="AE135" s="680">
        <f>AB135</f>
        <v/>
      </c>
      <c r="AF135" s="684" t="inlineStr">
        <is>
          <t>ENGAGE</t>
        </is>
      </c>
      <c r="AG135" s="683" t="n"/>
      <c r="AH135" s="680" t="n"/>
      <c r="AI135" s="680" t="n"/>
      <c r="AJ135" s="680" t="n"/>
      <c r="AK135" s="680" t="n"/>
      <c r="AL135" s="685" t="n"/>
      <c r="AM135" s="685" t="n"/>
      <c r="AN135" s="683" t="inlineStr">
        <is>
          <t>Manque n° contrat</t>
        </is>
      </c>
      <c r="AO135" s="686" t="n"/>
      <c r="AP135" s="687" t="n"/>
      <c r="AQ135" s="688" t="n"/>
      <c r="AR135" s="688" t="n"/>
      <c r="AS135" s="23" t="n"/>
      <c r="AT135" s="688" t="n"/>
    </row>
    <row r="136" ht="46.5" customHeight="1" s="392">
      <c r="A136" s="672">
        <f>IF(AF136="ENGAGE","✔",IF(AF136="EN COURS D'ENGAGEMENT","◕",IF(AF136="PREENGAGE","◑",IF(AF136="EN COURS DE PREENGAGEMENT","◔",IF(AF136="NON ENGAGE","✖","")))))</f>
        <v/>
      </c>
      <c r="B136" s="673" t="n">
        <v>2026</v>
      </c>
      <c r="C136" s="674" t="inlineStr">
        <is>
          <t>DPPR</t>
        </is>
      </c>
      <c r="D136" s="674" t="inlineStr">
        <is>
          <t>PV N° : 01RC2025-DPPR</t>
        </is>
      </c>
      <c r="E136" s="675" t="inlineStr">
        <is>
          <t>CONTRAT</t>
        </is>
      </c>
      <c r="F136" s="675" t="n"/>
      <c r="G136" s="676" t="inlineStr">
        <is>
          <t>AIT AMMI HADDOU HANANE  -  Journaliste chargée de la préparation et la présentation des émissions radiophoniques</t>
        </is>
      </c>
      <c r="H136" s="673" t="inlineStr">
        <is>
          <t>VALIDE</t>
        </is>
      </c>
      <c r="I136" s="675" t="inlineStr">
        <is>
          <t>APPROUVE</t>
        </is>
      </c>
      <c r="J136" s="675" t="n"/>
      <c r="K136" s="673" t="inlineStr">
        <is>
          <t>NON CONCERNE</t>
        </is>
      </c>
      <c r="L136" s="675" t="inlineStr">
        <is>
          <t>Ordinaire</t>
        </is>
      </c>
      <c r="M136" s="677" t="inlineStr">
        <is>
          <t>FONCTIONNEMENT</t>
        </is>
      </c>
      <c r="N136" s="678" t="inlineStr">
        <is>
          <t xml:space="preserve">Prestations de service
Achat prestations de services locales - personnes physiques </t>
        </is>
      </c>
      <c r="O136" s="679" t="n"/>
      <c r="P136" s="680" t="n"/>
      <c r="Q136" s="680" t="n"/>
      <c r="R136" s="675" t="inlineStr">
        <is>
          <t>RECONDUCTION</t>
        </is>
      </c>
      <c r="S136" s="681" t="n"/>
      <c r="T136" s="682" t="n"/>
      <c r="U136" s="683" t="inlineStr">
        <is>
          <t>AIT AMMI HADDOU HANANE</t>
        </is>
      </c>
      <c r="V136" s="675" t="n">
        <v>2026</v>
      </c>
      <c r="W136" s="682" t="n">
        <v>46387</v>
      </c>
      <c r="X136" s="682" t="n"/>
      <c r="Y136" s="682" t="n">
        <v>46024</v>
      </c>
      <c r="Z136" s="679" t="n">
        <v>120000</v>
      </c>
      <c r="AA136" s="680" t="n"/>
      <c r="AB136" s="680">
        <f>Z136</f>
        <v/>
      </c>
      <c r="AC136" s="680" t="n"/>
      <c r="AD136" s="680">
        <f>Z136</f>
        <v/>
      </c>
      <c r="AE136" s="680">
        <f>AB136</f>
        <v/>
      </c>
      <c r="AF136" s="684" t="inlineStr">
        <is>
          <t>ENGAGE</t>
        </is>
      </c>
      <c r="AG136" s="683" t="n"/>
      <c r="AH136" s="680" t="n"/>
      <c r="AI136" s="680" t="n"/>
      <c r="AJ136" s="680" t="n"/>
      <c r="AK136" s="680" t="n"/>
      <c r="AL136" s="685" t="n"/>
      <c r="AM136" s="685" t="n"/>
      <c r="AN136" s="683" t="inlineStr">
        <is>
          <t>Manque n° contrat</t>
        </is>
      </c>
      <c r="AO136" s="686" t="n"/>
      <c r="AP136" s="687" t="n"/>
      <c r="AQ136" s="688" t="n"/>
      <c r="AR136" s="688" t="n"/>
      <c r="AS136" s="23" t="n"/>
      <c r="AT136" s="688" t="n"/>
    </row>
    <row r="137" ht="46.5" customHeight="1" s="392">
      <c r="A137" s="672">
        <f>IF(AF137="ENGAGE","✔",IF(AF137="EN COURS D'ENGAGEMENT","◕",IF(AF137="PREENGAGE","◑",IF(AF137="EN COURS DE PREENGAGEMENT","◔",IF(AF137="NON ENGAGE","✖","")))))</f>
        <v/>
      </c>
      <c r="B137" s="673" t="n">
        <v>2026</v>
      </c>
      <c r="C137" s="674" t="inlineStr">
        <is>
          <t>DPPR</t>
        </is>
      </c>
      <c r="D137" s="674" t="inlineStr">
        <is>
          <t>PV N° : 01RC2025-DPPR</t>
        </is>
      </c>
      <c r="E137" s="675" t="inlineStr">
        <is>
          <t>CONTRAT</t>
        </is>
      </c>
      <c r="F137" s="675" t="n"/>
      <c r="G137" s="676" t="inlineStr">
        <is>
          <t>ADIB EL MACHRAFI  -  Journaliste chargé de la préparation et la présentation des émissions radiophoniques</t>
        </is>
      </c>
      <c r="H137" s="673" t="inlineStr">
        <is>
          <t>VALIDE</t>
        </is>
      </c>
      <c r="I137" s="675" t="inlineStr">
        <is>
          <t>APPROUVE</t>
        </is>
      </c>
      <c r="J137" s="675" t="n"/>
      <c r="K137" s="673" t="inlineStr">
        <is>
          <t>NON CONCERNE</t>
        </is>
      </c>
      <c r="L137" s="675" t="inlineStr">
        <is>
          <t>Ordinaire</t>
        </is>
      </c>
      <c r="M137" s="677" t="inlineStr">
        <is>
          <t>FONCTIONNEMENT</t>
        </is>
      </c>
      <c r="N137" s="678" t="inlineStr">
        <is>
          <t xml:space="preserve">Prestations de service
Achat prestations de services locales - personnes physiques </t>
        </is>
      </c>
      <c r="O137" s="679" t="n"/>
      <c r="P137" s="680" t="n"/>
      <c r="Q137" s="680" t="n"/>
      <c r="R137" s="675" t="inlineStr">
        <is>
          <t>RECONDUCTION</t>
        </is>
      </c>
      <c r="S137" s="681" t="n"/>
      <c r="T137" s="682" t="n"/>
      <c r="U137" s="683" t="inlineStr">
        <is>
          <t>ADIB EL MACHRAFI</t>
        </is>
      </c>
      <c r="V137" s="675" t="n">
        <v>2026</v>
      </c>
      <c r="W137" s="682" t="n">
        <v>46387</v>
      </c>
      <c r="X137" s="682" t="n"/>
      <c r="Y137" s="682" t="n">
        <v>46024</v>
      </c>
      <c r="Z137" s="679" t="n">
        <v>180000</v>
      </c>
      <c r="AA137" s="680" t="n"/>
      <c r="AB137" s="680">
        <f>Z137</f>
        <v/>
      </c>
      <c r="AC137" s="680" t="n"/>
      <c r="AD137" s="680">
        <f>Z137</f>
        <v/>
      </c>
      <c r="AE137" s="680">
        <f>AB137</f>
        <v/>
      </c>
      <c r="AF137" s="684" t="inlineStr">
        <is>
          <t>ENGAGE</t>
        </is>
      </c>
      <c r="AG137" s="683" t="n"/>
      <c r="AH137" s="680" t="n"/>
      <c r="AI137" s="680" t="n"/>
      <c r="AJ137" s="680" t="n"/>
      <c r="AK137" s="680" t="n"/>
      <c r="AL137" s="685" t="n"/>
      <c r="AM137" s="685" t="n"/>
      <c r="AN137" s="683" t="inlineStr">
        <is>
          <t>Manque n° contrat</t>
        </is>
      </c>
      <c r="AO137" s="686" t="n"/>
      <c r="AP137" s="687" t="n"/>
      <c r="AQ137" s="688" t="n"/>
      <c r="AR137" s="688" t="n"/>
      <c r="AS137" s="23" t="n"/>
      <c r="AT137" s="688" t="n"/>
    </row>
    <row r="138" ht="46.5" customHeight="1" s="392">
      <c r="A138" s="672">
        <f>IF(AF138="ENGAGE","✔",IF(AF138="EN COURS D'ENGAGEMENT","◕",IF(AF138="PREENGAGE","◑",IF(AF138="EN COURS DE PREENGAGEMENT","◔",IF(AF138="NON ENGAGE","✖","")))))</f>
        <v/>
      </c>
      <c r="B138" s="673" t="n">
        <v>2026</v>
      </c>
      <c r="C138" s="674" t="inlineStr">
        <is>
          <t>DPPR</t>
        </is>
      </c>
      <c r="D138" s="674" t="inlineStr">
        <is>
          <t>PV N° : 01RC2025-DPPR</t>
        </is>
      </c>
      <c r="E138" s="675" t="inlineStr">
        <is>
          <t>CONTRAT</t>
        </is>
      </c>
      <c r="F138" s="675" t="n"/>
      <c r="G138" s="676" t="inlineStr">
        <is>
          <t>SIBARI SAIDA  -  Journaliste chargée de la préparation et la présentation des émissions radiophoniques</t>
        </is>
      </c>
      <c r="H138" s="673" t="inlineStr">
        <is>
          <t>VALIDE</t>
        </is>
      </c>
      <c r="I138" s="675" t="inlineStr">
        <is>
          <t>APPROUVE</t>
        </is>
      </c>
      <c r="J138" s="675" t="n"/>
      <c r="K138" s="673" t="inlineStr">
        <is>
          <t>NON CONCERNE</t>
        </is>
      </c>
      <c r="L138" s="675" t="inlineStr">
        <is>
          <t>Ordinaire</t>
        </is>
      </c>
      <c r="M138" s="677" t="inlineStr">
        <is>
          <t>FONCTIONNEMENT</t>
        </is>
      </c>
      <c r="N138" s="678" t="inlineStr">
        <is>
          <t xml:space="preserve">Prestations de service
Achat prestations de services locales - personnes physiques </t>
        </is>
      </c>
      <c r="O138" s="679" t="n"/>
      <c r="P138" s="680" t="n"/>
      <c r="Q138" s="680" t="n"/>
      <c r="R138" s="675" t="inlineStr">
        <is>
          <t>RECONDUCTION</t>
        </is>
      </c>
      <c r="S138" s="681" t="n"/>
      <c r="T138" s="682" t="n"/>
      <c r="U138" s="683" t="inlineStr">
        <is>
          <t>SIBARI SAIDA</t>
        </is>
      </c>
      <c r="V138" s="675" t="n">
        <v>2026</v>
      </c>
      <c r="W138" s="682" t="n">
        <v>46387</v>
      </c>
      <c r="X138" s="682" t="n"/>
      <c r="Y138" s="682" t="n">
        <v>46024</v>
      </c>
      <c r="Z138" s="679" t="n">
        <v>120000</v>
      </c>
      <c r="AA138" s="680" t="n"/>
      <c r="AB138" s="680">
        <f>Z138</f>
        <v/>
      </c>
      <c r="AC138" s="680" t="n"/>
      <c r="AD138" s="680">
        <f>Z138</f>
        <v/>
      </c>
      <c r="AE138" s="680">
        <f>AB138</f>
        <v/>
      </c>
      <c r="AF138" s="684" t="inlineStr">
        <is>
          <t>ENGAGE</t>
        </is>
      </c>
      <c r="AG138" s="683" t="n"/>
      <c r="AH138" s="680" t="n"/>
      <c r="AI138" s="680" t="n"/>
      <c r="AJ138" s="680" t="n"/>
      <c r="AK138" s="680" t="n"/>
      <c r="AL138" s="685" t="n"/>
      <c r="AM138" s="685" t="n"/>
      <c r="AN138" s="683" t="inlineStr">
        <is>
          <t>Manque n° contrat</t>
        </is>
      </c>
      <c r="AO138" s="686" t="n"/>
      <c r="AP138" s="687" t="n"/>
      <c r="AQ138" s="688" t="n"/>
      <c r="AR138" s="688" t="n"/>
      <c r="AS138" s="23" t="n"/>
      <c r="AT138" s="688" t="n"/>
    </row>
    <row r="139" ht="50.55" customHeight="1" s="392">
      <c r="A139" s="672">
        <f>IF(AF139="ENGAGE","✔",IF(AF139="EN COURS D'ENGAGEMENT","◕",IF(AF139="PREENGAGE","◑",IF(AF139="EN COURS DE PREENGAGEMENT","◔",IF(AF139="NON ENGAGE","✖","")))))</f>
        <v/>
      </c>
      <c r="B139" s="673" t="n">
        <v>2026</v>
      </c>
      <c r="C139" s="674" t="inlineStr">
        <is>
          <t>DPPR</t>
        </is>
      </c>
      <c r="D139" s="674" t="inlineStr">
        <is>
          <t>PV N° : 01RC2025-DPPR</t>
        </is>
      </c>
      <c r="E139" s="675" t="inlineStr">
        <is>
          <t>CONTRAT</t>
        </is>
      </c>
      <c r="F139" s="675" t="n"/>
      <c r="G139" s="676" t="inlineStr">
        <is>
          <t>HICHAM LAZREQ  -  Journaliste chargé   la préparation et la présentation des émissions radiophoniques et la programmation musicale</t>
        </is>
      </c>
      <c r="H139" s="673" t="inlineStr">
        <is>
          <t>VALIDE</t>
        </is>
      </c>
      <c r="I139" s="675" t="inlineStr">
        <is>
          <t>APPROUVE</t>
        </is>
      </c>
      <c r="J139" s="675" t="n"/>
      <c r="K139" s="673" t="inlineStr">
        <is>
          <t>NON CONCERNE</t>
        </is>
      </c>
      <c r="L139" s="675" t="inlineStr">
        <is>
          <t>Ordinaire</t>
        </is>
      </c>
      <c r="M139" s="677" t="inlineStr">
        <is>
          <t>FONCTIONNEMENT</t>
        </is>
      </c>
      <c r="N139" s="678" t="inlineStr">
        <is>
          <t xml:space="preserve">Prestations de service
Achat prestations de services locales - personnes physiques </t>
        </is>
      </c>
      <c r="O139" s="679" t="n"/>
      <c r="P139" s="680" t="n"/>
      <c r="Q139" s="680" t="n"/>
      <c r="R139" s="675" t="inlineStr">
        <is>
          <t>RECONDUCTION</t>
        </is>
      </c>
      <c r="S139" s="681" t="n"/>
      <c r="T139" s="682" t="n"/>
      <c r="U139" s="683" t="inlineStr">
        <is>
          <t>HICHAM LAZREQ</t>
        </is>
      </c>
      <c r="V139" s="675" t="n">
        <v>2026</v>
      </c>
      <c r="W139" s="682" t="n">
        <v>46387</v>
      </c>
      <c r="X139" s="682" t="n"/>
      <c r="Y139" s="682" t="n">
        <v>46024</v>
      </c>
      <c r="Z139" s="679" t="n">
        <v>216000</v>
      </c>
      <c r="AA139" s="680" t="n"/>
      <c r="AB139" s="680">
        <f>Z139</f>
        <v/>
      </c>
      <c r="AC139" s="680" t="n"/>
      <c r="AD139" s="680">
        <f>Z139</f>
        <v/>
      </c>
      <c r="AE139" s="680">
        <f>AB139</f>
        <v/>
      </c>
      <c r="AF139" s="684" t="inlineStr">
        <is>
          <t>ENGAGE</t>
        </is>
      </c>
      <c r="AG139" s="683" t="n"/>
      <c r="AH139" s="680" t="n"/>
      <c r="AI139" s="680" t="n"/>
      <c r="AJ139" s="680" t="n"/>
      <c r="AK139" s="680" t="n"/>
      <c r="AL139" s="685" t="n"/>
      <c r="AM139" s="685" t="n"/>
      <c r="AN139" s="683" t="inlineStr">
        <is>
          <t>Manque n° contrat</t>
        </is>
      </c>
      <c r="AO139" s="686" t="n"/>
      <c r="AP139" s="687" t="n"/>
      <c r="AQ139" s="688" t="n"/>
      <c r="AR139" s="688" t="n"/>
      <c r="AS139" s="23" t="n"/>
      <c r="AT139" s="688" t="n"/>
    </row>
    <row r="140" ht="46.5" customHeight="1" s="392">
      <c r="A140" s="672">
        <f>IF(AF140="ENGAGE","✔",IF(AF140="EN COURS D'ENGAGEMENT","◕",IF(AF140="PREENGAGE","◑",IF(AF140="EN COURS DE PREENGAGEMENT","◔",IF(AF140="NON ENGAGE","✖","")))))</f>
        <v/>
      </c>
      <c r="B140" s="673" t="n">
        <v>2026</v>
      </c>
      <c r="C140" s="674" t="inlineStr">
        <is>
          <t>DPPR</t>
        </is>
      </c>
      <c r="D140" s="674" t="inlineStr">
        <is>
          <t>PV N° : 01RC2025-DPPR</t>
        </is>
      </c>
      <c r="E140" s="675" t="inlineStr">
        <is>
          <t>CONTRAT</t>
        </is>
      </c>
      <c r="F140" s="675" t="n"/>
      <c r="G140" s="676" t="inlineStr">
        <is>
          <t>BHIRI MHAMED  -  Journaliste chargé de la préparation et l’animation de l’émission RD « INTER MATIN »</t>
        </is>
      </c>
      <c r="H140" s="673" t="inlineStr">
        <is>
          <t>VALIDE</t>
        </is>
      </c>
      <c r="I140" s="675" t="inlineStr">
        <is>
          <t>APPROUVE</t>
        </is>
      </c>
      <c r="J140" s="675" t="n"/>
      <c r="K140" s="673" t="inlineStr">
        <is>
          <t>NON CONCERNE</t>
        </is>
      </c>
      <c r="L140" s="675" t="inlineStr">
        <is>
          <t>Ordinaire</t>
        </is>
      </c>
      <c r="M140" s="677" t="inlineStr">
        <is>
          <t>FONCTIONNEMENT</t>
        </is>
      </c>
      <c r="N140" s="678" t="inlineStr">
        <is>
          <t xml:space="preserve">Prestations de service
Achat prestations de services locales - personnes physiques </t>
        </is>
      </c>
      <c r="O140" s="679" t="n"/>
      <c r="P140" s="680" t="n"/>
      <c r="Q140" s="680" t="n"/>
      <c r="R140" s="675" t="inlineStr">
        <is>
          <t>RECONDUCTION</t>
        </is>
      </c>
      <c r="S140" s="681" t="n"/>
      <c r="T140" s="682" t="n"/>
      <c r="U140" s="683" t="inlineStr">
        <is>
          <t>BHIRI MHAMED</t>
        </is>
      </c>
      <c r="V140" s="675" t="n">
        <v>2026</v>
      </c>
      <c r="W140" s="682" t="n">
        <v>46387</v>
      </c>
      <c r="X140" s="682" t="n"/>
      <c r="Y140" s="682" t="n">
        <v>46024</v>
      </c>
      <c r="Z140" s="679" t="n">
        <v>240000</v>
      </c>
      <c r="AA140" s="680" t="n"/>
      <c r="AB140" s="680">
        <f>Z140</f>
        <v/>
      </c>
      <c r="AC140" s="680" t="n"/>
      <c r="AD140" s="680">
        <f>Z140</f>
        <v/>
      </c>
      <c r="AE140" s="680">
        <f>AB140</f>
        <v/>
      </c>
      <c r="AF140" s="684" t="inlineStr">
        <is>
          <t>ENGAGE</t>
        </is>
      </c>
      <c r="AG140" s="683" t="n"/>
      <c r="AH140" s="680" t="n"/>
      <c r="AI140" s="680" t="n"/>
      <c r="AJ140" s="680" t="n"/>
      <c r="AK140" s="680" t="n"/>
      <c r="AL140" s="685" t="n"/>
      <c r="AM140" s="685" t="n"/>
      <c r="AN140" s="683" t="inlineStr">
        <is>
          <t>Manque n° contrat</t>
        </is>
      </c>
      <c r="AO140" s="686" t="n"/>
      <c r="AP140" s="687" t="n"/>
      <c r="AQ140" s="688" t="n"/>
      <c r="AR140" s="688" t="n"/>
      <c r="AS140" s="23" t="n"/>
      <c r="AT140" s="688" t="n"/>
    </row>
    <row r="141" ht="46.5" customHeight="1" s="392">
      <c r="A141" s="672">
        <f>IF(AF141="ENGAGE","✔",IF(AF141="EN COURS D'ENGAGEMENT","◕",IF(AF141="PREENGAGE","◑",IF(AF141="EN COURS DE PREENGAGEMENT","◔",IF(AF141="NON ENGAGE","✖","")))))</f>
        <v/>
      </c>
      <c r="B141" s="673" t="n">
        <v>2026</v>
      </c>
      <c r="C141" s="674" t="inlineStr">
        <is>
          <t>DPPR</t>
        </is>
      </c>
      <c r="D141" s="674" t="inlineStr">
        <is>
          <t>PV N° : 01RC2025-DPPR</t>
        </is>
      </c>
      <c r="E141" s="675" t="inlineStr">
        <is>
          <t>CONTRAT</t>
        </is>
      </c>
      <c r="F141" s="675" t="n"/>
      <c r="G141" s="676" t="inlineStr">
        <is>
          <t>CHRAYGANE GHIZLANE  -  Journaliste chargée de la préparation et la présentation des émissions radiophoniques</t>
        </is>
      </c>
      <c r="H141" s="673" t="inlineStr">
        <is>
          <t>VALIDE</t>
        </is>
      </c>
      <c r="I141" s="675" t="inlineStr">
        <is>
          <t>APPROUVE</t>
        </is>
      </c>
      <c r="J141" s="675" t="n"/>
      <c r="K141" s="673" t="inlineStr">
        <is>
          <t>NON CONCERNE</t>
        </is>
      </c>
      <c r="L141" s="675" t="inlineStr">
        <is>
          <t>Ordinaire</t>
        </is>
      </c>
      <c r="M141" s="677" t="inlineStr">
        <is>
          <t>FONCTIONNEMENT</t>
        </is>
      </c>
      <c r="N141" s="678" t="inlineStr">
        <is>
          <t xml:space="preserve">Prestations de service
Achat prestations de services locales - personnes physiques </t>
        </is>
      </c>
      <c r="O141" s="679" t="n"/>
      <c r="P141" s="680" t="n"/>
      <c r="Q141" s="680" t="n"/>
      <c r="R141" s="675" t="inlineStr">
        <is>
          <t>RECONDUCTION</t>
        </is>
      </c>
      <c r="S141" s="681" t="n"/>
      <c r="T141" s="682" t="n"/>
      <c r="U141" s="683" t="inlineStr">
        <is>
          <t>CHRAYGANE GHIZLANE</t>
        </is>
      </c>
      <c r="V141" s="675" t="n">
        <v>2026</v>
      </c>
      <c r="W141" s="682" t="n">
        <v>46387</v>
      </c>
      <c r="X141" s="682" t="n"/>
      <c r="Y141" s="682" t="n">
        <v>46024</v>
      </c>
      <c r="Z141" s="679" t="n">
        <v>156000</v>
      </c>
      <c r="AA141" s="680" t="n"/>
      <c r="AB141" s="680">
        <f>Z141</f>
        <v/>
      </c>
      <c r="AC141" s="680" t="n"/>
      <c r="AD141" s="680">
        <f>Z141</f>
        <v/>
      </c>
      <c r="AE141" s="680">
        <f>AB141</f>
        <v/>
      </c>
      <c r="AF141" s="684" t="inlineStr">
        <is>
          <t>ENGAGE</t>
        </is>
      </c>
      <c r="AG141" s="683" t="n"/>
      <c r="AH141" s="680" t="n"/>
      <c r="AI141" s="680" t="n"/>
      <c r="AJ141" s="680" t="n"/>
      <c r="AK141" s="680" t="n"/>
      <c r="AL141" s="685" t="n"/>
      <c r="AM141" s="685" t="n"/>
      <c r="AN141" s="683" t="inlineStr">
        <is>
          <t>Manque n° contrat</t>
        </is>
      </c>
      <c r="AO141" s="686" t="n"/>
      <c r="AP141" s="687" t="n"/>
      <c r="AQ141" s="688" t="n"/>
      <c r="AR141" s="688" t="n"/>
      <c r="AS141" s="23" t="n"/>
      <c r="AT141" s="688" t="n"/>
    </row>
    <row r="142" ht="46.5" customHeight="1" s="392">
      <c r="A142" s="672">
        <f>IF(AF142="ENGAGE","✔",IF(AF142="EN COURS D'ENGAGEMENT","◕",IF(AF142="PREENGAGE","◑",IF(AF142="EN COURS DE PREENGAGEMENT","◔",IF(AF142="NON ENGAGE","✖","")))))</f>
        <v/>
      </c>
      <c r="B142" s="673" t="n">
        <v>2026</v>
      </c>
      <c r="C142" s="674" t="inlineStr">
        <is>
          <t>DPPR</t>
        </is>
      </c>
      <c r="D142" s="674" t="inlineStr">
        <is>
          <t>PV N° : 01RC2025-DPPR</t>
        </is>
      </c>
      <c r="E142" s="675" t="inlineStr">
        <is>
          <t>CONTRAT</t>
        </is>
      </c>
      <c r="F142" s="675" t="n"/>
      <c r="G142" s="676" t="inlineStr">
        <is>
          <t>HANAA LAIDI  -  Journaliste chargée de la préparation et la présentation des émissions radiophoniques</t>
        </is>
      </c>
      <c r="H142" s="673" t="inlineStr">
        <is>
          <t>VALIDE</t>
        </is>
      </c>
      <c r="I142" s="675" t="inlineStr">
        <is>
          <t>APPROUVE</t>
        </is>
      </c>
      <c r="J142" s="675" t="n"/>
      <c r="K142" s="673" t="inlineStr">
        <is>
          <t>NON CONCERNE</t>
        </is>
      </c>
      <c r="L142" s="675" t="inlineStr">
        <is>
          <t>Ordinaire</t>
        </is>
      </c>
      <c r="M142" s="677" t="inlineStr">
        <is>
          <t>FONCTIONNEMENT</t>
        </is>
      </c>
      <c r="N142" s="678" t="inlineStr">
        <is>
          <t xml:space="preserve">Prestations de service
Achat prestations de services locales - personnes physiques </t>
        </is>
      </c>
      <c r="O142" s="679" t="n"/>
      <c r="P142" s="680" t="n"/>
      <c r="Q142" s="680" t="n"/>
      <c r="R142" s="675" t="inlineStr">
        <is>
          <t>RECONDUCTION</t>
        </is>
      </c>
      <c r="S142" s="681" t="n"/>
      <c r="T142" s="682" t="n"/>
      <c r="U142" s="683" t="inlineStr">
        <is>
          <t>HANAA LAIDI</t>
        </is>
      </c>
      <c r="V142" s="675" t="n">
        <v>2026</v>
      </c>
      <c r="W142" s="682" t="n">
        <v>46387</v>
      </c>
      <c r="X142" s="682" t="n"/>
      <c r="Y142" s="682" t="n">
        <v>46024</v>
      </c>
      <c r="Z142" s="679" t="n">
        <v>96000</v>
      </c>
      <c r="AA142" s="680" t="n"/>
      <c r="AB142" s="680">
        <f>Z142</f>
        <v/>
      </c>
      <c r="AC142" s="680" t="n"/>
      <c r="AD142" s="680">
        <f>Z142</f>
        <v/>
      </c>
      <c r="AE142" s="680">
        <f>AB142</f>
        <v/>
      </c>
      <c r="AF142" s="684" t="inlineStr">
        <is>
          <t>ENGAGE</t>
        </is>
      </c>
      <c r="AG142" s="683" t="n"/>
      <c r="AH142" s="680" t="n"/>
      <c r="AI142" s="680" t="n"/>
      <c r="AJ142" s="680" t="n"/>
      <c r="AK142" s="680" t="n"/>
      <c r="AL142" s="685" t="n"/>
      <c r="AM142" s="685" t="n"/>
      <c r="AN142" s="683" t="inlineStr">
        <is>
          <t>Manque n° contrat</t>
        </is>
      </c>
      <c r="AO142" s="686" t="n"/>
      <c r="AP142" s="687" t="n"/>
      <c r="AQ142" s="688" t="n"/>
      <c r="AR142" s="688" t="n"/>
      <c r="AS142" s="23" t="n"/>
      <c r="AT142" s="688" t="n"/>
    </row>
    <row r="143" ht="50.55" customHeight="1" s="392">
      <c r="A143" s="672">
        <f>IF(AF143="ENGAGE","✔",IF(AF143="EN COURS D'ENGAGEMENT","◕",IF(AF143="PREENGAGE","◑",IF(AF143="EN COURS DE PREENGAGEMENT","◔",IF(AF143="NON ENGAGE","✖","")))))</f>
        <v/>
      </c>
      <c r="B143" s="673" t="n">
        <v>2026</v>
      </c>
      <c r="C143" s="674" t="inlineStr">
        <is>
          <t>DPPR</t>
        </is>
      </c>
      <c r="D143" s="674" t="inlineStr">
        <is>
          <t>PV N° : 01RC2025-DPPR</t>
        </is>
      </c>
      <c r="E143" s="675" t="inlineStr">
        <is>
          <t>CONTRAT</t>
        </is>
      </c>
      <c r="F143" s="675" t="n"/>
      <c r="G143" s="676" t="inlineStr">
        <is>
          <t>MOHAMED AKOUNAD  -  Journaliste chargé de la préparation et la présentation des bulletins et flashs d’information et des émissions radiophoniques</t>
        </is>
      </c>
      <c r="H143" s="673" t="inlineStr">
        <is>
          <t>VALIDE</t>
        </is>
      </c>
      <c r="I143" s="675" t="inlineStr">
        <is>
          <t>APPROUVE</t>
        </is>
      </c>
      <c r="J143" s="675" t="n"/>
      <c r="K143" s="673" t="inlineStr">
        <is>
          <t>NON CONCERNE</t>
        </is>
      </c>
      <c r="L143" s="675" t="inlineStr">
        <is>
          <t>Ordinaire</t>
        </is>
      </c>
      <c r="M143" s="677" t="inlineStr">
        <is>
          <t>FONCTIONNEMENT</t>
        </is>
      </c>
      <c r="N143" s="678" t="inlineStr">
        <is>
          <t xml:space="preserve">Prestations de service
Achat prestations de services locales - personnes physiques </t>
        </is>
      </c>
      <c r="O143" s="679" t="n"/>
      <c r="P143" s="680" t="n"/>
      <c r="Q143" s="680" t="n"/>
      <c r="R143" s="675" t="inlineStr">
        <is>
          <t>RECONDUCTION</t>
        </is>
      </c>
      <c r="S143" s="681" t="n"/>
      <c r="T143" s="682" t="n"/>
      <c r="U143" s="683" t="inlineStr">
        <is>
          <t>MOHAMED AKOUNAD</t>
        </is>
      </c>
      <c r="V143" s="675" t="n">
        <v>2026</v>
      </c>
      <c r="W143" s="682" t="n">
        <v>46387</v>
      </c>
      <c r="X143" s="682" t="n"/>
      <c r="Y143" s="682" t="n">
        <v>46024</v>
      </c>
      <c r="Z143" s="679" t="n">
        <v>24000</v>
      </c>
      <c r="AA143" s="680" t="n"/>
      <c r="AB143" s="680">
        <f>Z143</f>
        <v/>
      </c>
      <c r="AC143" s="680" t="n"/>
      <c r="AD143" s="680">
        <f>Z143</f>
        <v/>
      </c>
      <c r="AE143" s="680">
        <f>AB143</f>
        <v/>
      </c>
      <c r="AF143" s="684" t="inlineStr">
        <is>
          <t>ENGAGE</t>
        </is>
      </c>
      <c r="AG143" s="683" t="n"/>
      <c r="AH143" s="680" t="n"/>
      <c r="AI143" s="680" t="n"/>
      <c r="AJ143" s="680" t="n"/>
      <c r="AK143" s="680" t="n"/>
      <c r="AL143" s="685" t="n"/>
      <c r="AM143" s="685" t="n"/>
      <c r="AN143" s="683" t="inlineStr">
        <is>
          <t>Manque n° contrat</t>
        </is>
      </c>
      <c r="AO143" s="686" t="n"/>
      <c r="AP143" s="687" t="n"/>
      <c r="AQ143" s="688" t="n"/>
      <c r="AR143" s="688" t="n"/>
      <c r="AS143" s="23" t="n"/>
      <c r="AT143" s="688" t="n"/>
    </row>
    <row r="144" ht="50.55" customHeight="1" s="392">
      <c r="A144" s="672">
        <f>IF(AF144="ENGAGE","✔",IF(AF144="EN COURS D'ENGAGEMENT","◕",IF(AF144="PREENGAGE","◑",IF(AF144="EN COURS DE PREENGAGEMENT","◔",IF(AF144="NON ENGAGE","✖","")))))</f>
        <v/>
      </c>
      <c r="B144" s="673" t="n">
        <v>2026</v>
      </c>
      <c r="C144" s="674" t="inlineStr">
        <is>
          <t>DPPR</t>
        </is>
      </c>
      <c r="D144" s="674" t="inlineStr">
        <is>
          <t>PV N° : 01RC2025-DPPR</t>
        </is>
      </c>
      <c r="E144" s="675" t="inlineStr">
        <is>
          <t>CONTRAT</t>
        </is>
      </c>
      <c r="F144" s="675" t="n"/>
      <c r="G144" s="676" t="inlineStr">
        <is>
          <t>KORCHI YOUSSEF  -  Journaliste chargé de la préparation et la présentation des bulletins et flashs d’information et des émissions radiophoniques</t>
        </is>
      </c>
      <c r="H144" s="673" t="inlineStr">
        <is>
          <t>VALIDE</t>
        </is>
      </c>
      <c r="I144" s="675" t="inlineStr">
        <is>
          <t>APPROUVE</t>
        </is>
      </c>
      <c r="J144" s="675" t="n"/>
      <c r="K144" s="673" t="inlineStr">
        <is>
          <t>NON CONCERNE</t>
        </is>
      </c>
      <c r="L144" s="675" t="inlineStr">
        <is>
          <t>Ordinaire</t>
        </is>
      </c>
      <c r="M144" s="677" t="inlineStr">
        <is>
          <t>FONCTIONNEMENT</t>
        </is>
      </c>
      <c r="N144" s="678" t="inlineStr">
        <is>
          <t xml:space="preserve">Prestations de service
Achat prestations de services locales - personnes physiques </t>
        </is>
      </c>
      <c r="O144" s="679" t="n"/>
      <c r="P144" s="680" t="n"/>
      <c r="Q144" s="680" t="n"/>
      <c r="R144" s="675" t="inlineStr">
        <is>
          <t>RECONDUCTION</t>
        </is>
      </c>
      <c r="S144" s="681" t="n"/>
      <c r="T144" s="682" t="n"/>
      <c r="U144" s="683" t="inlineStr">
        <is>
          <t>KORCHI YOUSSEF</t>
        </is>
      </c>
      <c r="V144" s="675" t="n">
        <v>2026</v>
      </c>
      <c r="W144" s="682" t="n">
        <v>46387</v>
      </c>
      <c r="X144" s="682" t="n"/>
      <c r="Y144" s="682" t="n">
        <v>46024</v>
      </c>
      <c r="Z144" s="679" t="n">
        <v>96000</v>
      </c>
      <c r="AA144" s="680" t="n"/>
      <c r="AB144" s="680">
        <f>Z144</f>
        <v/>
      </c>
      <c r="AC144" s="680" t="n"/>
      <c r="AD144" s="680">
        <f>Z144</f>
        <v/>
      </c>
      <c r="AE144" s="680">
        <f>AB144</f>
        <v/>
      </c>
      <c r="AF144" s="684" t="inlineStr">
        <is>
          <t>ENGAGE</t>
        </is>
      </c>
      <c r="AG144" s="683" t="n"/>
      <c r="AH144" s="680" t="n"/>
      <c r="AI144" s="680" t="n"/>
      <c r="AJ144" s="680" t="n"/>
      <c r="AK144" s="680" t="n"/>
      <c r="AL144" s="685" t="n"/>
      <c r="AM144" s="685" t="n"/>
      <c r="AN144" s="683" t="inlineStr">
        <is>
          <t>Manque n° contrat</t>
        </is>
      </c>
      <c r="AO144" s="686" t="n"/>
      <c r="AP144" s="687" t="n"/>
      <c r="AQ144" s="688" t="n"/>
      <c r="AR144" s="688" t="n"/>
      <c r="AS144" s="23" t="n"/>
      <c r="AT144" s="688" t="n"/>
    </row>
    <row r="145" ht="50.55" customHeight="1" s="392">
      <c r="A145" s="672">
        <f>IF(AF145="ENGAGE","✔",IF(AF145="EN COURS D'ENGAGEMENT","◕",IF(AF145="PREENGAGE","◑",IF(AF145="EN COURS DE PREENGAGEMENT","◔",IF(AF145="NON ENGAGE","✖","")))))</f>
        <v/>
      </c>
      <c r="B145" s="673" t="n">
        <v>2026</v>
      </c>
      <c r="C145" s="674" t="inlineStr">
        <is>
          <t>DPPR</t>
        </is>
      </c>
      <c r="D145" s="674" t="inlineStr">
        <is>
          <t>PV N° : 01RC2025-DPPR</t>
        </is>
      </c>
      <c r="E145" s="675" t="inlineStr">
        <is>
          <t>CONTRAT</t>
        </is>
      </c>
      <c r="F145" s="675" t="n"/>
      <c r="G145" s="676" t="inlineStr">
        <is>
          <t>RADOUAN WAHIDI -  Journaliste chargé de la préparation et la présentation des bulletins et flashs d’information et des émissions radiophoniques</t>
        </is>
      </c>
      <c r="H145" s="673" t="inlineStr">
        <is>
          <t>VALIDE</t>
        </is>
      </c>
      <c r="I145" s="675" t="inlineStr">
        <is>
          <t>APPROUVE</t>
        </is>
      </c>
      <c r="J145" s="675" t="n"/>
      <c r="K145" s="673" t="inlineStr">
        <is>
          <t>NON CONCERNE</t>
        </is>
      </c>
      <c r="L145" s="675" t="inlineStr">
        <is>
          <t>Ordinaire</t>
        </is>
      </c>
      <c r="M145" s="677" t="inlineStr">
        <is>
          <t>FONCTIONNEMENT</t>
        </is>
      </c>
      <c r="N145" s="678" t="inlineStr">
        <is>
          <t xml:space="preserve">Prestations de service
Achat prestations de services locales - personnes physiques </t>
        </is>
      </c>
      <c r="O145" s="679" t="n"/>
      <c r="P145" s="680" t="n"/>
      <c r="Q145" s="680" t="n"/>
      <c r="R145" s="675" t="inlineStr">
        <is>
          <t>RECONDUCTION</t>
        </is>
      </c>
      <c r="S145" s="681" t="n"/>
      <c r="T145" s="682" t="n"/>
      <c r="U145" s="683" t="inlineStr">
        <is>
          <t>RADOUAN WAHID</t>
        </is>
      </c>
      <c r="V145" s="675" t="n">
        <v>2026</v>
      </c>
      <c r="W145" s="682" t="n">
        <v>46387</v>
      </c>
      <c r="X145" s="682" t="n"/>
      <c r="Y145" s="682" t="n">
        <v>46024</v>
      </c>
      <c r="Z145" s="679" t="n">
        <v>96000</v>
      </c>
      <c r="AA145" s="680" t="n"/>
      <c r="AB145" s="680">
        <f>Z145</f>
        <v/>
      </c>
      <c r="AC145" s="680" t="n"/>
      <c r="AD145" s="680">
        <f>Z145</f>
        <v/>
      </c>
      <c r="AE145" s="680">
        <f>AB145</f>
        <v/>
      </c>
      <c r="AF145" s="684" t="inlineStr">
        <is>
          <t>ENGAGE</t>
        </is>
      </c>
      <c r="AG145" s="683" t="n"/>
      <c r="AH145" s="680" t="n"/>
      <c r="AI145" s="680" t="n"/>
      <c r="AJ145" s="680" t="n"/>
      <c r="AK145" s="680" t="n"/>
      <c r="AL145" s="685" t="n"/>
      <c r="AM145" s="685" t="n"/>
      <c r="AN145" s="683" t="inlineStr">
        <is>
          <t>Manque n° contrat</t>
        </is>
      </c>
      <c r="AO145" s="686" t="n"/>
      <c r="AP145" s="687" t="n"/>
      <c r="AQ145" s="688" t="n"/>
      <c r="AR145" s="688" t="n"/>
      <c r="AS145" s="23" t="n"/>
      <c r="AT145" s="688" t="n"/>
    </row>
    <row r="146" ht="50.55" customHeight="1" s="392">
      <c r="A146" s="672">
        <f>IF(AF146="ENGAGE","✔",IF(AF146="EN COURS D'ENGAGEMENT","◕",IF(AF146="PREENGAGE","◑",IF(AF146="EN COURS DE PREENGAGEMENT","◔",IF(AF146="NON ENGAGE","✖","")))))</f>
        <v/>
      </c>
      <c r="B146" s="673" t="n">
        <v>2026</v>
      </c>
      <c r="C146" s="674" t="inlineStr">
        <is>
          <t>DPPR</t>
        </is>
      </c>
      <c r="D146" s="674" t="inlineStr">
        <is>
          <t>PV N° : 01RC2025-DPPR</t>
        </is>
      </c>
      <c r="E146" s="675" t="inlineStr">
        <is>
          <t>CONTRAT</t>
        </is>
      </c>
      <c r="F146" s="675" t="n"/>
      <c r="G146" s="676" t="inlineStr">
        <is>
          <t>AL AHDI AHMED  -  Journaliste chargé de la préparation et la présentation des bulletins et flashs d’information et des émissions radiophoniques</t>
        </is>
      </c>
      <c r="H146" s="673" t="inlineStr">
        <is>
          <t>VALIDE</t>
        </is>
      </c>
      <c r="I146" s="675" t="inlineStr">
        <is>
          <t>APPROUVE</t>
        </is>
      </c>
      <c r="J146" s="675" t="n"/>
      <c r="K146" s="673" t="inlineStr">
        <is>
          <t>NON CONCERNE</t>
        </is>
      </c>
      <c r="L146" s="675" t="inlineStr">
        <is>
          <t>Ordinaire</t>
        </is>
      </c>
      <c r="M146" s="677" t="inlineStr">
        <is>
          <t>FONCTIONNEMENT</t>
        </is>
      </c>
      <c r="N146" s="678" t="inlineStr">
        <is>
          <t xml:space="preserve">Prestations de service
Achat prestations de services locales - personnes physiques </t>
        </is>
      </c>
      <c r="O146" s="679" t="n"/>
      <c r="P146" s="680" t="n"/>
      <c r="Q146" s="680" t="n"/>
      <c r="R146" s="675" t="inlineStr">
        <is>
          <t>RECONDUCTION</t>
        </is>
      </c>
      <c r="S146" s="681" t="n"/>
      <c r="T146" s="682" t="n"/>
      <c r="U146" s="683" t="inlineStr">
        <is>
          <t>AL AHDI AHMED</t>
        </is>
      </c>
      <c r="V146" s="675" t="n">
        <v>2026</v>
      </c>
      <c r="W146" s="682" t="n">
        <v>46387</v>
      </c>
      <c r="X146" s="682" t="n"/>
      <c r="Y146" s="682" t="n">
        <v>46024</v>
      </c>
      <c r="Z146" s="679" t="n">
        <v>60000</v>
      </c>
      <c r="AA146" s="680" t="n"/>
      <c r="AB146" s="680">
        <f>Z146</f>
        <v/>
      </c>
      <c r="AC146" s="680" t="n"/>
      <c r="AD146" s="680">
        <f>Z146</f>
        <v/>
      </c>
      <c r="AE146" s="680">
        <f>AB146</f>
        <v/>
      </c>
      <c r="AF146" s="684" t="inlineStr">
        <is>
          <t>ENGAGE</t>
        </is>
      </c>
      <c r="AG146" s="683" t="n"/>
      <c r="AH146" s="680" t="n"/>
      <c r="AI146" s="680" t="n"/>
      <c r="AJ146" s="680" t="n"/>
      <c r="AK146" s="680" t="n"/>
      <c r="AL146" s="685" t="n"/>
      <c r="AM146" s="685" t="n"/>
      <c r="AN146" s="683" t="inlineStr">
        <is>
          <t>Manque n° contrat</t>
        </is>
      </c>
      <c r="AO146" s="686" t="n"/>
      <c r="AP146" s="687" t="n"/>
      <c r="AQ146" s="688" t="n"/>
      <c r="AR146" s="688" t="n"/>
      <c r="AS146" s="23" t="n"/>
      <c r="AT146" s="688" t="n"/>
    </row>
    <row r="147" ht="50.55" customHeight="1" s="392">
      <c r="A147" s="672">
        <f>IF(AF147="ENGAGE","✔",IF(AF147="EN COURS D'ENGAGEMENT","◕",IF(AF147="PREENGAGE","◑",IF(AF147="EN COURS DE PREENGAGEMENT","◔",IF(AF147="NON ENGAGE","✖","")))))</f>
        <v/>
      </c>
      <c r="B147" s="673" t="n">
        <v>2026</v>
      </c>
      <c r="C147" s="674" t="inlineStr">
        <is>
          <t>DPPR</t>
        </is>
      </c>
      <c r="D147" s="674" t="inlineStr">
        <is>
          <t>PV N° : 01RC2025-DPPR</t>
        </is>
      </c>
      <c r="E147" s="675" t="inlineStr">
        <is>
          <t>CONTRAT</t>
        </is>
      </c>
      <c r="F147" s="675" t="n"/>
      <c r="G147" s="676" t="inlineStr">
        <is>
          <t>AZIZA EL RHAOUI  -  Journaliste chargée de la préparation et la présentation des bulletins et flashs d’information et des émissions radiophoniques</t>
        </is>
      </c>
      <c r="H147" s="673" t="inlineStr">
        <is>
          <t>VALIDE</t>
        </is>
      </c>
      <c r="I147" s="675" t="inlineStr">
        <is>
          <t>APPROUVE</t>
        </is>
      </c>
      <c r="J147" s="675" t="n"/>
      <c r="K147" s="673" t="inlineStr">
        <is>
          <t>NON CONCERNE</t>
        </is>
      </c>
      <c r="L147" s="675" t="inlineStr">
        <is>
          <t>Ordinaire</t>
        </is>
      </c>
      <c r="M147" s="677" t="inlineStr">
        <is>
          <t>FONCTIONNEMENT</t>
        </is>
      </c>
      <c r="N147" s="678" t="inlineStr">
        <is>
          <t xml:space="preserve">Prestations de service
Achat prestations de services locales - personnes physiques </t>
        </is>
      </c>
      <c r="O147" s="679" t="n"/>
      <c r="P147" s="680" t="n"/>
      <c r="Q147" s="680" t="n"/>
      <c r="R147" s="675" t="inlineStr">
        <is>
          <t>RECONDUCTION</t>
        </is>
      </c>
      <c r="S147" s="681" t="n"/>
      <c r="T147" s="682" t="n"/>
      <c r="U147" s="683" t="inlineStr">
        <is>
          <t>AZIZA EL RHAOUI</t>
        </is>
      </c>
      <c r="V147" s="675" t="n">
        <v>2026</v>
      </c>
      <c r="W147" s="682" t="n">
        <v>46387</v>
      </c>
      <c r="X147" s="682" t="n"/>
      <c r="Y147" s="682" t="n">
        <v>46024</v>
      </c>
      <c r="Z147" s="679" t="n">
        <v>96000</v>
      </c>
      <c r="AA147" s="680" t="n"/>
      <c r="AB147" s="680">
        <f>Z147</f>
        <v/>
      </c>
      <c r="AC147" s="680" t="n"/>
      <c r="AD147" s="680">
        <f>Z147</f>
        <v/>
      </c>
      <c r="AE147" s="680">
        <f>AB147</f>
        <v/>
      </c>
      <c r="AF147" s="684" t="inlineStr">
        <is>
          <t>ENGAGE</t>
        </is>
      </c>
      <c r="AG147" s="683" t="n"/>
      <c r="AH147" s="680" t="n"/>
      <c r="AI147" s="680" t="n"/>
      <c r="AJ147" s="680" t="n"/>
      <c r="AK147" s="680" t="n"/>
      <c r="AL147" s="685" t="n"/>
      <c r="AM147" s="685" t="n"/>
      <c r="AN147" s="683" t="inlineStr">
        <is>
          <t>Manque n° contrat</t>
        </is>
      </c>
      <c r="AO147" s="686" t="n"/>
      <c r="AP147" s="687" t="n"/>
      <c r="AQ147" s="688" t="n"/>
      <c r="AR147" s="688" t="n"/>
      <c r="AS147" s="23" t="n"/>
      <c r="AT147" s="688" t="n"/>
    </row>
    <row r="148" ht="46.5" customHeight="1" s="392">
      <c r="A148" s="672">
        <f>IF(AF148="ENGAGE","✔",IF(AF148="EN COURS D'ENGAGEMENT","◕",IF(AF148="PREENGAGE","◑",IF(AF148="EN COURS DE PREENGAGEMENT","◔",IF(AF148="NON ENGAGE","✖","")))))</f>
        <v/>
      </c>
      <c r="B148" s="673" t="n">
        <v>2026</v>
      </c>
      <c r="C148" s="674" t="inlineStr">
        <is>
          <t>DPPR</t>
        </is>
      </c>
      <c r="D148" s="674" t="inlineStr">
        <is>
          <t>PV N° : 01RC2025-DPPR</t>
        </is>
      </c>
      <c r="E148" s="675" t="inlineStr">
        <is>
          <t>CONTRAT</t>
        </is>
      </c>
      <c r="F148" s="675" t="n"/>
      <c r="G148" s="676" t="inlineStr">
        <is>
          <t>ABDERRAHMAN LOUKSANI  -  Réalisateur radio</t>
        </is>
      </c>
      <c r="H148" s="673" t="inlineStr">
        <is>
          <t>VALIDE</t>
        </is>
      </c>
      <c r="I148" s="675" t="inlineStr">
        <is>
          <t>APPROUVE</t>
        </is>
      </c>
      <c r="J148" s="675" t="n"/>
      <c r="K148" s="673" t="inlineStr">
        <is>
          <t>NON CONCERNE</t>
        </is>
      </c>
      <c r="L148" s="675" t="inlineStr">
        <is>
          <t>Ordinaire</t>
        </is>
      </c>
      <c r="M148" s="677" t="inlineStr">
        <is>
          <t>FONCTIONNEMENT</t>
        </is>
      </c>
      <c r="N148" s="678" t="inlineStr">
        <is>
          <t xml:space="preserve">Prestations de service
Achat prestations de services locales - personnes physiques </t>
        </is>
      </c>
      <c r="O148" s="679" t="n"/>
      <c r="P148" s="680" t="n"/>
      <c r="Q148" s="680" t="n"/>
      <c r="R148" s="675" t="inlineStr">
        <is>
          <t>RECONDUCTION</t>
        </is>
      </c>
      <c r="S148" s="681" t="n"/>
      <c r="T148" s="682" t="n"/>
      <c r="U148" s="683" t="inlineStr">
        <is>
          <t>ABDERRAHMAN LOUKSANI</t>
        </is>
      </c>
      <c r="V148" s="675" t="n">
        <v>2026</v>
      </c>
      <c r="W148" s="682" t="n">
        <v>46387</v>
      </c>
      <c r="X148" s="682" t="n"/>
      <c r="Y148" s="682" t="n">
        <v>46024</v>
      </c>
      <c r="Z148" s="679" t="n">
        <v>84000</v>
      </c>
      <c r="AA148" s="680" t="n"/>
      <c r="AB148" s="680">
        <f>Z148</f>
        <v/>
      </c>
      <c r="AC148" s="680" t="n"/>
      <c r="AD148" s="680">
        <f>Z148</f>
        <v/>
      </c>
      <c r="AE148" s="680">
        <f>AB148</f>
        <v/>
      </c>
      <c r="AF148" s="684" t="inlineStr">
        <is>
          <t>ENGAGE</t>
        </is>
      </c>
      <c r="AG148" s="683" t="n"/>
      <c r="AH148" s="680" t="n"/>
      <c r="AI148" s="680" t="n"/>
      <c r="AJ148" s="680" t="n"/>
      <c r="AK148" s="680" t="n"/>
      <c r="AL148" s="685" t="n"/>
      <c r="AM148" s="685" t="n"/>
      <c r="AN148" s="683" t="inlineStr">
        <is>
          <t>Manque n° contrat</t>
        </is>
      </c>
      <c r="AO148" s="686" t="n"/>
      <c r="AP148" s="687" t="n"/>
      <c r="AQ148" s="688" t="n"/>
      <c r="AR148" s="688" t="n"/>
      <c r="AS148" s="23" t="n"/>
      <c r="AT148" s="688" t="n"/>
    </row>
    <row r="149" ht="50.55" customHeight="1" s="392">
      <c r="A149" s="672">
        <f>IF(AF149="ENGAGE","✔",IF(AF149="EN COURS D'ENGAGEMENT","◕",IF(AF149="PREENGAGE","◑",IF(AF149="EN COURS DE PREENGAGEMENT","◔",IF(AF149="NON ENGAGE","✖","")))))</f>
        <v/>
      </c>
      <c r="B149" s="673" t="n">
        <v>2026</v>
      </c>
      <c r="C149" s="674" t="inlineStr">
        <is>
          <t>DPPR</t>
        </is>
      </c>
      <c r="D149" s="674" t="inlineStr">
        <is>
          <t>PV N° : 01RC2025-DPPR</t>
        </is>
      </c>
      <c r="E149" s="675" t="inlineStr">
        <is>
          <t>CONTRAT</t>
        </is>
      </c>
      <c r="F149" s="675" t="n"/>
      <c r="G149" s="676" t="inlineStr">
        <is>
          <t>HASSAN BENMANSOUR  -  Journaliste chargé de la préparation et la présentation des bulletins et flashs d’information et des émissions radiophoniques</t>
        </is>
      </c>
      <c r="H149" s="673" t="inlineStr">
        <is>
          <t>VALIDE</t>
        </is>
      </c>
      <c r="I149" s="675" t="inlineStr">
        <is>
          <t>APPROUVE</t>
        </is>
      </c>
      <c r="J149" s="675" t="n"/>
      <c r="K149" s="673" t="inlineStr">
        <is>
          <t>NON CONCERNE</t>
        </is>
      </c>
      <c r="L149" s="675" t="inlineStr">
        <is>
          <t>Ordinaire</t>
        </is>
      </c>
      <c r="M149" s="677" t="inlineStr">
        <is>
          <t>FONCTIONNEMENT</t>
        </is>
      </c>
      <c r="N149" s="678" t="inlineStr">
        <is>
          <t xml:space="preserve">Prestations de service
Achat prestations de services locales - personnes physiques </t>
        </is>
      </c>
      <c r="O149" s="679" t="n"/>
      <c r="P149" s="680" t="n"/>
      <c r="Q149" s="680" t="n"/>
      <c r="R149" s="675" t="inlineStr">
        <is>
          <t>RECONDUCTION</t>
        </is>
      </c>
      <c r="S149" s="681" t="n"/>
      <c r="T149" s="682" t="n"/>
      <c r="U149" s="683" t="inlineStr">
        <is>
          <t>HASSAN BENMANSOUR</t>
        </is>
      </c>
      <c r="V149" s="675" t="n">
        <v>2026</v>
      </c>
      <c r="W149" s="682" t="n">
        <v>46387</v>
      </c>
      <c r="X149" s="682" t="n"/>
      <c r="Y149" s="682" t="n">
        <v>46024</v>
      </c>
      <c r="Z149" s="679" t="n">
        <v>78000</v>
      </c>
      <c r="AA149" s="680" t="n"/>
      <c r="AB149" s="680">
        <f>Z149</f>
        <v/>
      </c>
      <c r="AC149" s="680" t="n"/>
      <c r="AD149" s="680">
        <f>Z149</f>
        <v/>
      </c>
      <c r="AE149" s="680">
        <f>AB149</f>
        <v/>
      </c>
      <c r="AF149" s="684" t="inlineStr">
        <is>
          <t>ENGAGE</t>
        </is>
      </c>
      <c r="AG149" s="683" t="n"/>
      <c r="AH149" s="680" t="n"/>
      <c r="AI149" s="680" t="n"/>
      <c r="AJ149" s="680" t="n"/>
      <c r="AK149" s="680" t="n"/>
      <c r="AL149" s="685" t="n"/>
      <c r="AM149" s="685" t="n"/>
      <c r="AN149" s="683" t="inlineStr">
        <is>
          <t>Manque n° contrat</t>
        </is>
      </c>
      <c r="AO149" s="686" t="n"/>
      <c r="AP149" s="687" t="n"/>
      <c r="AQ149" s="688" t="n"/>
      <c r="AR149" s="688" t="n"/>
      <c r="AS149" s="23" t="n"/>
      <c r="AT149" s="688" t="n"/>
    </row>
    <row r="150" ht="50.55" customHeight="1" s="392">
      <c r="A150" s="672">
        <f>IF(AF150="ENGAGE","✔",IF(AF150="EN COURS D'ENGAGEMENT","◕",IF(AF150="PREENGAGE","◑",IF(AF150="EN COURS DE PREENGAGEMENT","◔",IF(AF150="NON ENGAGE","✖","")))))</f>
        <v/>
      </c>
      <c r="B150" s="673" t="n">
        <v>2026</v>
      </c>
      <c r="C150" s="674" t="inlineStr">
        <is>
          <t>DPPR</t>
        </is>
      </c>
      <c r="D150" s="674" t="inlineStr">
        <is>
          <t>PV N° : 01RC2025-DPPR</t>
        </is>
      </c>
      <c r="E150" s="675" t="inlineStr">
        <is>
          <t>CONTRAT</t>
        </is>
      </c>
      <c r="F150" s="675" t="n"/>
      <c r="G150" s="676" t="inlineStr">
        <is>
          <t>ANASS EL MALHOUNI  -  Journaliste chargé de la préparation et la présentation des bulletins et flashs d’information et des émissions radiophoniques</t>
        </is>
      </c>
      <c r="H150" s="673" t="inlineStr">
        <is>
          <t>VALIDE</t>
        </is>
      </c>
      <c r="I150" s="675" t="inlineStr">
        <is>
          <t>APPROUVE</t>
        </is>
      </c>
      <c r="J150" s="675" t="n"/>
      <c r="K150" s="673" t="inlineStr">
        <is>
          <t>NON CONCERNE</t>
        </is>
      </c>
      <c r="L150" s="675" t="inlineStr">
        <is>
          <t>Ordinaire</t>
        </is>
      </c>
      <c r="M150" s="677" t="inlineStr">
        <is>
          <t>FONCTIONNEMENT</t>
        </is>
      </c>
      <c r="N150" s="678" t="inlineStr">
        <is>
          <t xml:space="preserve">Prestations de service
Achat prestations de services locales - personnes physiques </t>
        </is>
      </c>
      <c r="O150" s="679" t="n"/>
      <c r="P150" s="680" t="n"/>
      <c r="Q150" s="680" t="n"/>
      <c r="R150" s="675" t="inlineStr">
        <is>
          <t>RECONDUCTION</t>
        </is>
      </c>
      <c r="S150" s="681" t="n"/>
      <c r="T150" s="682" t="n"/>
      <c r="U150" s="683" t="inlineStr">
        <is>
          <t>ANASS EL MALHOUNI</t>
        </is>
      </c>
      <c r="V150" s="675" t="n">
        <v>2026</v>
      </c>
      <c r="W150" s="682" t="n">
        <v>46387</v>
      </c>
      <c r="X150" s="682" t="n"/>
      <c r="Y150" s="682" t="n">
        <v>46024</v>
      </c>
      <c r="Z150" s="679" t="n">
        <v>78000</v>
      </c>
      <c r="AA150" s="680" t="n"/>
      <c r="AB150" s="680">
        <f>Z150</f>
        <v/>
      </c>
      <c r="AC150" s="680" t="n"/>
      <c r="AD150" s="680">
        <f>Z150</f>
        <v/>
      </c>
      <c r="AE150" s="680">
        <f>AB150</f>
        <v/>
      </c>
      <c r="AF150" s="684" t="inlineStr">
        <is>
          <t>ENGAGE</t>
        </is>
      </c>
      <c r="AG150" s="683" t="n"/>
      <c r="AH150" s="680" t="n"/>
      <c r="AI150" s="680" t="n"/>
      <c r="AJ150" s="680" t="n"/>
      <c r="AK150" s="680" t="n"/>
      <c r="AL150" s="685" t="n"/>
      <c r="AM150" s="685" t="n"/>
      <c r="AN150" s="683" t="inlineStr">
        <is>
          <t>Manque n° contrat</t>
        </is>
      </c>
      <c r="AO150" s="686" t="n"/>
      <c r="AP150" s="687" t="n"/>
      <c r="AQ150" s="688" t="n"/>
      <c r="AR150" s="688" t="n"/>
      <c r="AS150" s="23" t="n"/>
      <c r="AT150" s="688" t="n"/>
    </row>
    <row r="151" ht="50.55" customHeight="1" s="392">
      <c r="A151" s="672">
        <f>IF(AF151="ENGAGE","✔",IF(AF151="EN COURS D'ENGAGEMENT","◕",IF(AF151="PREENGAGE","◑",IF(AF151="EN COURS DE PREENGAGEMENT","◔",IF(AF151="NON ENGAGE","✖","")))))</f>
        <v/>
      </c>
      <c r="B151" s="673" t="n">
        <v>2026</v>
      </c>
      <c r="C151" s="674" t="inlineStr">
        <is>
          <t>DPPR</t>
        </is>
      </c>
      <c r="D151" s="674" t="inlineStr">
        <is>
          <t>PV N° : 01RC2025-DPPR</t>
        </is>
      </c>
      <c r="E151" s="675" t="inlineStr">
        <is>
          <t>CONTRAT</t>
        </is>
      </c>
      <c r="F151" s="675" t="n"/>
      <c r="G151" s="676" t="inlineStr">
        <is>
          <t>KADIRI EL MAANA MY OMAR  -  Journaliste chargé de la préparation et la présentation des bulletins et flashs d’information et des émissions radiophoniques</t>
        </is>
      </c>
      <c r="H151" s="673" t="inlineStr">
        <is>
          <t>VALIDE</t>
        </is>
      </c>
      <c r="I151" s="675" t="inlineStr">
        <is>
          <t>APPROUVE</t>
        </is>
      </c>
      <c r="J151" s="675" t="n"/>
      <c r="K151" s="673" t="inlineStr">
        <is>
          <t>NON CONCERNE</t>
        </is>
      </c>
      <c r="L151" s="675" t="inlineStr">
        <is>
          <t>Ordinaire</t>
        </is>
      </c>
      <c r="M151" s="677" t="inlineStr">
        <is>
          <t>FONCTIONNEMENT</t>
        </is>
      </c>
      <c r="N151" s="678" t="inlineStr">
        <is>
          <t xml:space="preserve">Prestations de service
Achat prestations de services locales - personnes physiques </t>
        </is>
      </c>
      <c r="O151" s="679" t="n"/>
      <c r="P151" s="680" t="n"/>
      <c r="Q151" s="680" t="n"/>
      <c r="R151" s="675" t="inlineStr">
        <is>
          <t>RECONDUCTION</t>
        </is>
      </c>
      <c r="S151" s="681" t="n"/>
      <c r="T151" s="682" t="n"/>
      <c r="U151" s="683" t="inlineStr">
        <is>
          <t>KADIRI EL MAANA MY OMAR</t>
        </is>
      </c>
      <c r="V151" s="675" t="n">
        <v>2026</v>
      </c>
      <c r="W151" s="682" t="n">
        <v>46387</v>
      </c>
      <c r="X151" s="682" t="n"/>
      <c r="Y151" s="682" t="n">
        <v>46024</v>
      </c>
      <c r="Z151" s="679" t="n">
        <v>96000</v>
      </c>
      <c r="AA151" s="680" t="n"/>
      <c r="AB151" s="680">
        <f>Z151</f>
        <v/>
      </c>
      <c r="AC151" s="680" t="n"/>
      <c r="AD151" s="680">
        <f>Z151</f>
        <v/>
      </c>
      <c r="AE151" s="680">
        <f>AB151</f>
        <v/>
      </c>
      <c r="AF151" s="684" t="inlineStr">
        <is>
          <t>ENGAGE</t>
        </is>
      </c>
      <c r="AG151" s="683" t="n"/>
      <c r="AH151" s="680" t="n"/>
      <c r="AI151" s="680" t="n"/>
      <c r="AJ151" s="680" t="n"/>
      <c r="AK151" s="680" t="n"/>
      <c r="AL151" s="685" t="n"/>
      <c r="AM151" s="685" t="n"/>
      <c r="AN151" s="683" t="inlineStr">
        <is>
          <t>Manque n° contrat</t>
        </is>
      </c>
      <c r="AO151" s="686" t="n"/>
      <c r="AP151" s="687" t="n"/>
      <c r="AQ151" s="688" t="n"/>
      <c r="AR151" s="688" t="n"/>
      <c r="AS151" s="23" t="n"/>
      <c r="AT151" s="688" t="n"/>
    </row>
    <row r="152" ht="50.55" customHeight="1" s="392">
      <c r="A152" s="672">
        <f>IF(AF152="ENGAGE","✔",IF(AF152="EN COURS D'ENGAGEMENT","◕",IF(AF152="PREENGAGE","◑",IF(AF152="EN COURS DE PREENGAGEMENT","◔",IF(AF152="NON ENGAGE","✖","")))))</f>
        <v/>
      </c>
      <c r="B152" s="673" t="n">
        <v>2026</v>
      </c>
      <c r="C152" s="674" t="inlineStr">
        <is>
          <t>DPPR</t>
        </is>
      </c>
      <c r="D152" s="674" t="inlineStr">
        <is>
          <t>PV N° : 01RC2025-DPPR</t>
        </is>
      </c>
      <c r="E152" s="675" t="inlineStr">
        <is>
          <t>CONTRAT</t>
        </is>
      </c>
      <c r="F152" s="675" t="n"/>
      <c r="G152" s="676" t="inlineStr">
        <is>
          <t>ZAHRAOUI MOHAMED  -  Journaliste chargé de la préparation et la présentation des bulletins et flashs d’information et des émissions radiophoniques</t>
        </is>
      </c>
      <c r="H152" s="673" t="inlineStr">
        <is>
          <t>VALIDE</t>
        </is>
      </c>
      <c r="I152" s="675" t="inlineStr">
        <is>
          <t>APPROUVE</t>
        </is>
      </c>
      <c r="J152" s="675" t="n"/>
      <c r="K152" s="673" t="inlineStr">
        <is>
          <t>NON CONCERNE</t>
        </is>
      </c>
      <c r="L152" s="675" t="inlineStr">
        <is>
          <t>Ordinaire</t>
        </is>
      </c>
      <c r="M152" s="677" t="inlineStr">
        <is>
          <t>FONCTIONNEMENT</t>
        </is>
      </c>
      <c r="N152" s="678" t="inlineStr">
        <is>
          <t xml:space="preserve">Prestations de service
Achat prestations de services locales - personnes physiques </t>
        </is>
      </c>
      <c r="O152" s="679" t="n"/>
      <c r="P152" s="680" t="n"/>
      <c r="Q152" s="680" t="n"/>
      <c r="R152" s="675" t="inlineStr">
        <is>
          <t>RECONDUCTION</t>
        </is>
      </c>
      <c r="S152" s="681" t="n"/>
      <c r="T152" s="682" t="n"/>
      <c r="U152" s="683" t="inlineStr">
        <is>
          <t>ZAHRAOUI MOHAMED</t>
        </is>
      </c>
      <c r="V152" s="675" t="n">
        <v>2026</v>
      </c>
      <c r="W152" s="682" t="n">
        <v>46387</v>
      </c>
      <c r="X152" s="682" t="n"/>
      <c r="Y152" s="682" t="n">
        <v>46024</v>
      </c>
      <c r="Z152" s="679" t="n">
        <v>96000</v>
      </c>
      <c r="AA152" s="680" t="n"/>
      <c r="AB152" s="680">
        <f>Z152</f>
        <v/>
      </c>
      <c r="AC152" s="680" t="n"/>
      <c r="AD152" s="680">
        <f>Z152</f>
        <v/>
      </c>
      <c r="AE152" s="680">
        <f>AB152</f>
        <v/>
      </c>
      <c r="AF152" s="684" t="inlineStr">
        <is>
          <t>ENGAGE</t>
        </is>
      </c>
      <c r="AG152" s="683" t="n"/>
      <c r="AH152" s="680" t="n"/>
      <c r="AI152" s="680" t="n"/>
      <c r="AJ152" s="680" t="n"/>
      <c r="AK152" s="680" t="n"/>
      <c r="AL152" s="685" t="n"/>
      <c r="AM152" s="685" t="n"/>
      <c r="AN152" s="683" t="inlineStr">
        <is>
          <t>Manque n° contrat</t>
        </is>
      </c>
      <c r="AO152" s="686" t="n"/>
      <c r="AP152" s="687" t="n"/>
      <c r="AQ152" s="688" t="n"/>
      <c r="AR152" s="688" t="n"/>
      <c r="AS152" s="23" t="n"/>
      <c r="AT152" s="688" t="n"/>
    </row>
    <row r="153" ht="50.55" customHeight="1" s="392">
      <c r="A153" s="672">
        <f>IF(AF153="ENGAGE","✔",IF(AF153="EN COURS D'ENGAGEMENT","◕",IF(AF153="PREENGAGE","◑",IF(AF153="EN COURS DE PREENGAGEMENT","◔",IF(AF153="NON ENGAGE","✖","")))))</f>
        <v/>
      </c>
      <c r="B153" s="673" t="n">
        <v>2026</v>
      </c>
      <c r="C153" s="674" t="inlineStr">
        <is>
          <t>DPPR</t>
        </is>
      </c>
      <c r="D153" s="674" t="inlineStr">
        <is>
          <t>PV N° : 01RC2025-DPPR</t>
        </is>
      </c>
      <c r="E153" s="675" t="inlineStr">
        <is>
          <t>CONTRAT</t>
        </is>
      </c>
      <c r="F153" s="675" t="n"/>
      <c r="G153" s="676" t="inlineStr">
        <is>
          <t>TASAFT MOHAMMED  -  Journaliste chargé de la préparation et la présentation des bulletins et flashs d’information et des émissions radiophoniques</t>
        </is>
      </c>
      <c r="H153" s="673" t="inlineStr">
        <is>
          <t>VALIDE</t>
        </is>
      </c>
      <c r="I153" s="675" t="inlineStr">
        <is>
          <t>APPROUVE</t>
        </is>
      </c>
      <c r="J153" s="675" t="n"/>
      <c r="K153" s="673" t="inlineStr">
        <is>
          <t>NON CONCERNE</t>
        </is>
      </c>
      <c r="L153" s="675" t="inlineStr">
        <is>
          <t>Ordinaire</t>
        </is>
      </c>
      <c r="M153" s="677" t="inlineStr">
        <is>
          <t>FONCTIONNEMENT</t>
        </is>
      </c>
      <c r="N153" s="678" t="inlineStr">
        <is>
          <t xml:space="preserve">Prestations de service
Achat prestations de services locales - personnes physiques </t>
        </is>
      </c>
      <c r="O153" s="679" t="n"/>
      <c r="P153" s="680" t="n"/>
      <c r="Q153" s="680" t="n"/>
      <c r="R153" s="675" t="inlineStr">
        <is>
          <t>RECONDUCTION</t>
        </is>
      </c>
      <c r="S153" s="681" t="n"/>
      <c r="T153" s="682" t="n"/>
      <c r="U153" s="683" t="inlineStr">
        <is>
          <t>TASAFT MOHAMMED</t>
        </is>
      </c>
      <c r="V153" s="675" t="n">
        <v>2026</v>
      </c>
      <c r="W153" s="682" t="n">
        <v>46387</v>
      </c>
      <c r="X153" s="682" t="n"/>
      <c r="Y153" s="682" t="n">
        <v>46024</v>
      </c>
      <c r="Z153" s="679" t="n">
        <v>96000</v>
      </c>
      <c r="AA153" s="680" t="n"/>
      <c r="AB153" s="680">
        <f>Z153</f>
        <v/>
      </c>
      <c r="AC153" s="680" t="n"/>
      <c r="AD153" s="680">
        <f>Z153</f>
        <v/>
      </c>
      <c r="AE153" s="680">
        <f>AB153</f>
        <v/>
      </c>
      <c r="AF153" s="684" t="inlineStr">
        <is>
          <t>ENGAGE</t>
        </is>
      </c>
      <c r="AG153" s="683" t="n"/>
      <c r="AH153" s="680" t="n"/>
      <c r="AI153" s="680" t="n"/>
      <c r="AJ153" s="680" t="n"/>
      <c r="AK153" s="680" t="n"/>
      <c r="AL153" s="685" t="n"/>
      <c r="AM153" s="685" t="n"/>
      <c r="AN153" s="683" t="inlineStr">
        <is>
          <t>Manque n° contrat</t>
        </is>
      </c>
      <c r="AO153" s="686" t="n"/>
      <c r="AP153" s="687" t="n"/>
      <c r="AQ153" s="688" t="n"/>
      <c r="AR153" s="688" t="n"/>
      <c r="AS153" s="23" t="n"/>
      <c r="AT153" s="688" t="n"/>
    </row>
    <row r="154" ht="50.55" customHeight="1" s="392">
      <c r="A154" s="672">
        <f>IF(AF154="ENGAGE","✔",IF(AF154="EN COURS D'ENGAGEMENT","◕",IF(AF154="PREENGAGE","◑",IF(AF154="EN COURS DE PREENGAGEMENT","◔",IF(AF154="NON ENGAGE","✖","")))))</f>
        <v/>
      </c>
      <c r="B154" s="673" t="n">
        <v>2026</v>
      </c>
      <c r="C154" s="674" t="inlineStr">
        <is>
          <t>DPPR</t>
        </is>
      </c>
      <c r="D154" s="674" t="inlineStr">
        <is>
          <t>PV N° : 01RC2025-DPPR</t>
        </is>
      </c>
      <c r="E154" s="675" t="inlineStr">
        <is>
          <t>CONTRAT</t>
        </is>
      </c>
      <c r="F154" s="675" t="n"/>
      <c r="G154" s="676" t="inlineStr">
        <is>
          <t>LAHBIB AADID  -  Journaliste chargé de la préparation et la présentation des bulletins et flashs d’information et des émissions radiophoniques</t>
        </is>
      </c>
      <c r="H154" s="673" t="inlineStr">
        <is>
          <t>VALIDE</t>
        </is>
      </c>
      <c r="I154" s="675" t="inlineStr">
        <is>
          <t>APPROUVE</t>
        </is>
      </c>
      <c r="J154" s="675" t="n"/>
      <c r="K154" s="673" t="inlineStr">
        <is>
          <t>NON CONCERNE</t>
        </is>
      </c>
      <c r="L154" s="675" t="inlineStr">
        <is>
          <t>Ordinaire</t>
        </is>
      </c>
      <c r="M154" s="677" t="inlineStr">
        <is>
          <t>FONCTIONNEMENT</t>
        </is>
      </c>
      <c r="N154" s="678" t="inlineStr">
        <is>
          <t xml:space="preserve">Prestations de service
Achat prestations de services locales - personnes physiques </t>
        </is>
      </c>
      <c r="O154" s="679" t="n"/>
      <c r="P154" s="680" t="n"/>
      <c r="Q154" s="680" t="n"/>
      <c r="R154" s="675" t="inlineStr">
        <is>
          <t>RECONDUCTION</t>
        </is>
      </c>
      <c r="S154" s="681" t="n"/>
      <c r="T154" s="682" t="n"/>
      <c r="U154" s="683" t="inlineStr">
        <is>
          <t xml:space="preserve">LAHBIB AADID </t>
        </is>
      </c>
      <c r="V154" s="675" t="n">
        <v>2026</v>
      </c>
      <c r="W154" s="682" t="n">
        <v>46387</v>
      </c>
      <c r="X154" s="682" t="n"/>
      <c r="Y154" s="682" t="n">
        <v>46024</v>
      </c>
      <c r="Z154" s="679" t="n">
        <v>48000</v>
      </c>
      <c r="AA154" s="680" t="n"/>
      <c r="AB154" s="680">
        <f>Z154</f>
        <v/>
      </c>
      <c r="AC154" s="680" t="n"/>
      <c r="AD154" s="680">
        <f>Z154</f>
        <v/>
      </c>
      <c r="AE154" s="680">
        <f>AB154</f>
        <v/>
      </c>
      <c r="AF154" s="684" t="inlineStr">
        <is>
          <t>ENGAGE</t>
        </is>
      </c>
      <c r="AG154" s="683" t="n"/>
      <c r="AH154" s="680" t="n"/>
      <c r="AI154" s="680" t="n"/>
      <c r="AJ154" s="680" t="n"/>
      <c r="AK154" s="680" t="n"/>
      <c r="AL154" s="685" t="n"/>
      <c r="AM154" s="685" t="n"/>
      <c r="AN154" s="683" t="inlineStr">
        <is>
          <t>Manque n° contrat</t>
        </is>
      </c>
      <c r="AO154" s="686" t="n"/>
      <c r="AP154" s="687" t="n"/>
      <c r="AQ154" s="688" t="n"/>
      <c r="AR154" s="688" t="n"/>
      <c r="AS154" s="23" t="n"/>
      <c r="AT154" s="688" t="n"/>
    </row>
    <row r="155" ht="50.55" customHeight="1" s="392">
      <c r="A155" s="672">
        <f>IF(AF155="ENGAGE","✔",IF(AF155="EN COURS D'ENGAGEMENT","◕",IF(AF155="PREENGAGE","◑",IF(AF155="EN COURS DE PREENGAGEMENT","◔",IF(AF155="NON ENGAGE","✖","")))))</f>
        <v/>
      </c>
      <c r="B155" s="673" t="n">
        <v>2026</v>
      </c>
      <c r="C155" s="674" t="inlineStr">
        <is>
          <t>DPPR</t>
        </is>
      </c>
      <c r="D155" s="674" t="inlineStr">
        <is>
          <t>PV N° : 01RC2025-DPPR</t>
        </is>
      </c>
      <c r="E155" s="675" t="inlineStr">
        <is>
          <t>CONTRAT</t>
        </is>
      </c>
      <c r="F155" s="675" t="n"/>
      <c r="G155" s="676" t="inlineStr">
        <is>
          <t>FATIMATOU ERGUIBI  -  Journaliste chargée de la préparation et la présentation des bulletins et flashs d’information et des émissions radiophoniques</t>
        </is>
      </c>
      <c r="H155" s="673" t="inlineStr">
        <is>
          <t>VALIDE</t>
        </is>
      </c>
      <c r="I155" s="675" t="inlineStr">
        <is>
          <t>APPROUVE</t>
        </is>
      </c>
      <c r="J155" s="675" t="n"/>
      <c r="K155" s="673" t="inlineStr">
        <is>
          <t>NON CONCERNE</t>
        </is>
      </c>
      <c r="L155" s="675" t="inlineStr">
        <is>
          <t>Ordinaire</t>
        </is>
      </c>
      <c r="M155" s="677" t="inlineStr">
        <is>
          <t>FONCTIONNEMENT</t>
        </is>
      </c>
      <c r="N155" s="678" t="inlineStr">
        <is>
          <t xml:space="preserve">Prestations de service
Achat prestations de services locales - personnes physiques </t>
        </is>
      </c>
      <c r="O155" s="679" t="n"/>
      <c r="P155" s="680" t="n"/>
      <c r="Q155" s="680" t="n"/>
      <c r="R155" s="675" t="inlineStr">
        <is>
          <t>RECONDUCTION</t>
        </is>
      </c>
      <c r="S155" s="681" t="n"/>
      <c r="T155" s="682" t="n"/>
      <c r="U155" s="683" t="inlineStr">
        <is>
          <t>FATIMATOU ERGUIBI</t>
        </is>
      </c>
      <c r="V155" s="675" t="n">
        <v>2026</v>
      </c>
      <c r="W155" s="682" t="n">
        <v>46387</v>
      </c>
      <c r="X155" s="682" t="n"/>
      <c r="Y155" s="682" t="n">
        <v>46024</v>
      </c>
      <c r="Z155" s="679" t="n">
        <v>72000</v>
      </c>
      <c r="AA155" s="680" t="n"/>
      <c r="AB155" s="680">
        <f>Z155</f>
        <v/>
      </c>
      <c r="AC155" s="680" t="n"/>
      <c r="AD155" s="680">
        <f>Z155</f>
        <v/>
      </c>
      <c r="AE155" s="680">
        <f>AB155</f>
        <v/>
      </c>
      <c r="AF155" s="684" t="inlineStr">
        <is>
          <t>ENGAGE</t>
        </is>
      </c>
      <c r="AG155" s="683" t="n"/>
      <c r="AH155" s="680" t="n"/>
      <c r="AI155" s="680" t="n"/>
      <c r="AJ155" s="680" t="n"/>
      <c r="AK155" s="680" t="n"/>
      <c r="AL155" s="685" t="n"/>
      <c r="AM155" s="685" t="n"/>
      <c r="AN155" s="683" t="inlineStr">
        <is>
          <t>Manque n° contrat</t>
        </is>
      </c>
      <c r="AO155" s="686" t="n"/>
      <c r="AP155" s="687" t="n"/>
      <c r="AQ155" s="688" t="n"/>
      <c r="AR155" s="688" t="n"/>
      <c r="AS155" s="23" t="n"/>
      <c r="AT155" s="688" t="n"/>
    </row>
    <row r="156" ht="50.55" customHeight="1" s="392">
      <c r="A156" s="672">
        <f>IF(AF156="ENGAGE","✔",IF(AF156="EN COURS D'ENGAGEMENT","◕",IF(AF156="PREENGAGE","◑",IF(AF156="EN COURS DE PREENGAGEMENT","◔",IF(AF156="NON ENGAGE","✖","")))))</f>
        <v/>
      </c>
      <c r="B156" s="673" t="n">
        <v>2026</v>
      </c>
      <c r="C156" s="674" t="inlineStr">
        <is>
          <t>DPPR</t>
        </is>
      </c>
      <c r="D156" s="674" t="inlineStr">
        <is>
          <t>PV N° : 01RC2025-DPPR</t>
        </is>
      </c>
      <c r="E156" s="675" t="inlineStr">
        <is>
          <t>CONTRAT</t>
        </is>
      </c>
      <c r="F156" s="675" t="n"/>
      <c r="G156" s="676" t="inlineStr">
        <is>
          <t>MAOULAININE MOHAMED  -  Journaliste chargé de la préparation et la présentation des bulletins et flashs d’information et des émissions radiophoniques</t>
        </is>
      </c>
      <c r="H156" s="673" t="inlineStr">
        <is>
          <t>VALIDE</t>
        </is>
      </c>
      <c r="I156" s="675" t="inlineStr">
        <is>
          <t>APPROUVE</t>
        </is>
      </c>
      <c r="J156" s="675" t="n"/>
      <c r="K156" s="673" t="inlineStr">
        <is>
          <t>NON CONCERNE</t>
        </is>
      </c>
      <c r="L156" s="675" t="inlineStr">
        <is>
          <t>Ordinaire</t>
        </is>
      </c>
      <c r="M156" s="677" t="inlineStr">
        <is>
          <t>FONCTIONNEMENT</t>
        </is>
      </c>
      <c r="N156" s="678" t="inlineStr">
        <is>
          <t xml:space="preserve">Prestations de service
Achat prestations de services locales - personnes physiques </t>
        </is>
      </c>
      <c r="O156" s="679" t="n"/>
      <c r="P156" s="680" t="n"/>
      <c r="Q156" s="680" t="n"/>
      <c r="R156" s="675" t="inlineStr">
        <is>
          <t>RECONDUCTION</t>
        </is>
      </c>
      <c r="S156" s="681" t="n"/>
      <c r="T156" s="682" t="n"/>
      <c r="U156" s="683" t="inlineStr">
        <is>
          <t>MAOULAININE MOHAMED</t>
        </is>
      </c>
      <c r="V156" s="675" t="n">
        <v>2026</v>
      </c>
      <c r="W156" s="682" t="n">
        <v>46387</v>
      </c>
      <c r="X156" s="682" t="n"/>
      <c r="Y156" s="682" t="n">
        <v>46024</v>
      </c>
      <c r="Z156" s="679" t="n">
        <v>72000</v>
      </c>
      <c r="AA156" s="680" t="n"/>
      <c r="AB156" s="680">
        <f>Z156</f>
        <v/>
      </c>
      <c r="AC156" s="680" t="n"/>
      <c r="AD156" s="680">
        <f>Z156</f>
        <v/>
      </c>
      <c r="AE156" s="680">
        <f>AB156</f>
        <v/>
      </c>
      <c r="AF156" s="684" t="inlineStr">
        <is>
          <t>ENGAGE</t>
        </is>
      </c>
      <c r="AG156" s="683" t="n"/>
      <c r="AH156" s="680" t="n"/>
      <c r="AI156" s="680" t="n"/>
      <c r="AJ156" s="680" t="n"/>
      <c r="AK156" s="680" t="n"/>
      <c r="AL156" s="685" t="n"/>
      <c r="AM156" s="685" t="n"/>
      <c r="AN156" s="683" t="inlineStr">
        <is>
          <t>Manque n° contrat</t>
        </is>
      </c>
      <c r="AO156" s="686" t="n"/>
      <c r="AP156" s="687" t="n"/>
      <c r="AQ156" s="688" t="n"/>
      <c r="AR156" s="688" t="n"/>
      <c r="AS156" s="23" t="n"/>
      <c r="AT156" s="688" t="n"/>
    </row>
    <row r="157" ht="50.55" customHeight="1" s="392">
      <c r="A157" s="672">
        <f>IF(AF157="ENGAGE","✔",IF(AF157="EN COURS D'ENGAGEMENT","◕",IF(AF157="PREENGAGE","◑",IF(AF157="EN COURS DE PREENGAGEMENT","◔",IF(AF157="NON ENGAGE","✖","")))))</f>
        <v/>
      </c>
      <c r="B157" s="673" t="n">
        <v>2026</v>
      </c>
      <c r="C157" s="674" t="inlineStr">
        <is>
          <t>DPPR</t>
        </is>
      </c>
      <c r="D157" s="674" t="inlineStr">
        <is>
          <t>PV N° : 01RC2025-DPPR</t>
        </is>
      </c>
      <c r="E157" s="675" t="inlineStr">
        <is>
          <t>CONTRAT</t>
        </is>
      </c>
      <c r="F157" s="675" t="n"/>
      <c r="G157" s="676" t="inlineStr">
        <is>
          <t>FATMA BOUTABAA  -  Journaliste chargé de la préparation et la présentation des bulletins et flashs d’information et des émissions radiophoniques</t>
        </is>
      </c>
      <c r="H157" s="673" t="inlineStr">
        <is>
          <t>VALIDE</t>
        </is>
      </c>
      <c r="I157" s="675" t="inlineStr">
        <is>
          <t>APPROUVE</t>
        </is>
      </c>
      <c r="J157" s="675" t="n"/>
      <c r="K157" s="673" t="inlineStr">
        <is>
          <t>NON CONCERNE</t>
        </is>
      </c>
      <c r="L157" s="675" t="inlineStr">
        <is>
          <t>Ordinaire</t>
        </is>
      </c>
      <c r="M157" s="677" t="inlineStr">
        <is>
          <t>FONCTIONNEMENT</t>
        </is>
      </c>
      <c r="N157" s="678" t="inlineStr">
        <is>
          <t xml:space="preserve">Prestations de service
Achat prestations de services locales - personnes physiques </t>
        </is>
      </c>
      <c r="O157" s="679" t="n"/>
      <c r="P157" s="680" t="n"/>
      <c r="Q157" s="680" t="n"/>
      <c r="R157" s="675" t="inlineStr">
        <is>
          <t>RECONDUCTION</t>
        </is>
      </c>
      <c r="S157" s="681" t="n"/>
      <c r="T157" s="682" t="n"/>
      <c r="U157" s="683" t="inlineStr">
        <is>
          <t>FATMA BOUTABAA</t>
        </is>
      </c>
      <c r="V157" s="675" t="n">
        <v>2026</v>
      </c>
      <c r="W157" s="682" t="n">
        <v>46387</v>
      </c>
      <c r="X157" s="682" t="n"/>
      <c r="Y157" s="682" t="n">
        <v>46024</v>
      </c>
      <c r="Z157" s="679" t="n">
        <v>96000</v>
      </c>
      <c r="AA157" s="680" t="n"/>
      <c r="AB157" s="680">
        <f>Z157</f>
        <v/>
      </c>
      <c r="AC157" s="680" t="n"/>
      <c r="AD157" s="680">
        <f>Z157</f>
        <v/>
      </c>
      <c r="AE157" s="680">
        <f>AB157</f>
        <v/>
      </c>
      <c r="AF157" s="684" t="inlineStr">
        <is>
          <t>ENGAGE</t>
        </is>
      </c>
      <c r="AG157" s="683" t="n"/>
      <c r="AH157" s="680" t="n"/>
      <c r="AI157" s="680" t="n"/>
      <c r="AJ157" s="680" t="n"/>
      <c r="AK157" s="680" t="n"/>
      <c r="AL157" s="685" t="n"/>
      <c r="AM157" s="685" t="n"/>
      <c r="AN157" s="683" t="inlineStr">
        <is>
          <t>Manque n° contrat</t>
        </is>
      </c>
      <c r="AO157" s="686" t="n"/>
      <c r="AP157" s="687" t="n"/>
      <c r="AQ157" s="688" t="n"/>
      <c r="AR157" s="688" t="n"/>
      <c r="AS157" s="23" t="n"/>
      <c r="AT157" s="688" t="n"/>
    </row>
    <row r="158" ht="50.55" customHeight="1" s="392">
      <c r="A158" s="672">
        <f>IF(AF158="ENGAGE","✔",IF(AF158="EN COURS D'ENGAGEMENT","◕",IF(AF158="PREENGAGE","◑",IF(AF158="EN COURS DE PREENGAGEMENT","◔",IF(AF158="NON ENGAGE","✖","")))))</f>
        <v/>
      </c>
      <c r="B158" s="673" t="n">
        <v>2026</v>
      </c>
      <c r="C158" s="674" t="inlineStr">
        <is>
          <t>DPPR</t>
        </is>
      </c>
      <c r="D158" s="674" t="inlineStr">
        <is>
          <t>PV N° : 01RC2025-DPPR</t>
        </is>
      </c>
      <c r="E158" s="675" t="inlineStr">
        <is>
          <t>CONTRAT</t>
        </is>
      </c>
      <c r="F158" s="675" t="n"/>
      <c r="G158" s="676" t="inlineStr">
        <is>
          <t>ZAZA MOHAMMED  -  Journaliste chargé de la préparation et la présentation des bulletins et flashs d’information et des émissions radiophoniques</t>
        </is>
      </c>
      <c r="H158" s="673" t="inlineStr">
        <is>
          <t>VALIDE</t>
        </is>
      </c>
      <c r="I158" s="675" t="inlineStr">
        <is>
          <t>APPROUVE</t>
        </is>
      </c>
      <c r="J158" s="675" t="n"/>
      <c r="K158" s="673" t="inlineStr">
        <is>
          <t>NON CONCERNE</t>
        </is>
      </c>
      <c r="L158" s="675" t="inlineStr">
        <is>
          <t>Ordinaire</t>
        </is>
      </c>
      <c r="M158" s="677" t="inlineStr">
        <is>
          <t>FONCTIONNEMENT</t>
        </is>
      </c>
      <c r="N158" s="678" t="inlineStr">
        <is>
          <t xml:space="preserve">Prestations de service
Achat prestations de services locales - personnes physiques </t>
        </is>
      </c>
      <c r="O158" s="679" t="n"/>
      <c r="P158" s="680" t="n"/>
      <c r="Q158" s="680" t="n"/>
      <c r="R158" s="675" t="inlineStr">
        <is>
          <t>RECONDUCTION</t>
        </is>
      </c>
      <c r="S158" s="681" t="n"/>
      <c r="T158" s="682" t="n"/>
      <c r="U158" s="683" t="inlineStr">
        <is>
          <t>ZAZA MOHAMMED</t>
        </is>
      </c>
      <c r="V158" s="675" t="n">
        <v>2026</v>
      </c>
      <c r="W158" s="682" t="n">
        <v>46387</v>
      </c>
      <c r="X158" s="682" t="n"/>
      <c r="Y158" s="682" t="n">
        <v>46024</v>
      </c>
      <c r="Z158" s="679" t="n">
        <v>180000</v>
      </c>
      <c r="AA158" s="680" t="n"/>
      <c r="AB158" s="680">
        <f>Z158</f>
        <v/>
      </c>
      <c r="AC158" s="680" t="n"/>
      <c r="AD158" s="680">
        <f>Z158</f>
        <v/>
      </c>
      <c r="AE158" s="680">
        <f>AB158</f>
        <v/>
      </c>
      <c r="AF158" s="684" t="inlineStr">
        <is>
          <t>ENGAGE</t>
        </is>
      </c>
      <c r="AG158" s="683" t="n"/>
      <c r="AH158" s="680" t="n"/>
      <c r="AI158" s="680" t="n"/>
      <c r="AJ158" s="680" t="n"/>
      <c r="AK158" s="680" t="n"/>
      <c r="AL158" s="685" t="n"/>
      <c r="AM158" s="685" t="n"/>
      <c r="AN158" s="683" t="inlineStr">
        <is>
          <t>Manque n° contrat</t>
        </is>
      </c>
      <c r="AO158" s="686" t="n"/>
      <c r="AP158" s="687" t="n"/>
      <c r="AQ158" s="688" t="n"/>
      <c r="AR158" s="688" t="n"/>
      <c r="AS158" s="23" t="n"/>
      <c r="AT158" s="688" t="n"/>
    </row>
    <row r="159" ht="50.55" customHeight="1" s="392">
      <c r="A159" s="672">
        <f>IF(AF159="ENGAGE","✔",IF(AF159="EN COURS D'ENGAGEMENT","◕",IF(AF159="PREENGAGE","◑",IF(AF159="EN COURS DE PREENGAGEMENT","◔",IF(AF159="NON ENGAGE","✖","")))))</f>
        <v/>
      </c>
      <c r="B159" s="673" t="n">
        <v>2026</v>
      </c>
      <c r="C159" s="674" t="inlineStr">
        <is>
          <t>DPPR</t>
        </is>
      </c>
      <c r="D159" s="674" t="inlineStr">
        <is>
          <t>PV N° : 01RC2025-DPPR</t>
        </is>
      </c>
      <c r="E159" s="675" t="inlineStr">
        <is>
          <t>CONTRAT</t>
        </is>
      </c>
      <c r="F159" s="675" t="n"/>
      <c r="G159" s="676" t="inlineStr">
        <is>
          <t>SALAH ALLALI  -  Journaliste chargé de la préparation et la présentation des bulletins et flashs d’information et des émissions radiophoniques</t>
        </is>
      </c>
      <c r="H159" s="673" t="inlineStr">
        <is>
          <t>VALIDE</t>
        </is>
      </c>
      <c r="I159" s="675" t="inlineStr">
        <is>
          <t>APPROUVE</t>
        </is>
      </c>
      <c r="J159" s="675" t="n"/>
      <c r="K159" s="673" t="inlineStr">
        <is>
          <t>NON CONCERNE</t>
        </is>
      </c>
      <c r="L159" s="675" t="inlineStr">
        <is>
          <t>Ordinaire</t>
        </is>
      </c>
      <c r="M159" s="677" t="inlineStr">
        <is>
          <t>FONCTIONNEMENT</t>
        </is>
      </c>
      <c r="N159" s="678" t="inlineStr">
        <is>
          <t xml:space="preserve">Prestations de service
Achat prestations de services locales - personnes physiques </t>
        </is>
      </c>
      <c r="O159" s="679" t="n"/>
      <c r="P159" s="680" t="n"/>
      <c r="Q159" s="680" t="n"/>
      <c r="R159" s="675" t="inlineStr">
        <is>
          <t>RECONDUCTION</t>
        </is>
      </c>
      <c r="S159" s="681" t="n"/>
      <c r="T159" s="682" t="n"/>
      <c r="U159" s="683" t="inlineStr">
        <is>
          <t xml:space="preserve">SALAH ALLALI </t>
        </is>
      </c>
      <c r="V159" s="675" t="n">
        <v>2026</v>
      </c>
      <c r="W159" s="682" t="n">
        <v>46387</v>
      </c>
      <c r="X159" s="682" t="n"/>
      <c r="Y159" s="682" t="n">
        <v>46024</v>
      </c>
      <c r="Z159" s="679" t="n">
        <v>96000</v>
      </c>
      <c r="AA159" s="680" t="n"/>
      <c r="AB159" s="680">
        <f>Z159</f>
        <v/>
      </c>
      <c r="AC159" s="680" t="n"/>
      <c r="AD159" s="680">
        <f>Z159</f>
        <v/>
      </c>
      <c r="AE159" s="680">
        <f>AB159</f>
        <v/>
      </c>
      <c r="AF159" s="684" t="inlineStr">
        <is>
          <t>ENGAGE</t>
        </is>
      </c>
      <c r="AG159" s="683" t="n"/>
      <c r="AH159" s="680" t="n"/>
      <c r="AI159" s="680" t="n"/>
      <c r="AJ159" s="680" t="n"/>
      <c r="AK159" s="680" t="n"/>
      <c r="AL159" s="685" t="n"/>
      <c r="AM159" s="685" t="n"/>
      <c r="AN159" s="683" t="inlineStr">
        <is>
          <t>Manque n° contrat</t>
        </is>
      </c>
      <c r="AO159" s="686" t="n"/>
      <c r="AP159" s="687" t="n"/>
      <c r="AQ159" s="688" t="n"/>
      <c r="AR159" s="688" t="n"/>
      <c r="AS159" s="23" t="n"/>
      <c r="AT159" s="688" t="n"/>
    </row>
    <row r="160" ht="50.55" customHeight="1" s="392">
      <c r="A160" s="672">
        <f>IF(AF160="ENGAGE","✔",IF(AF160="EN COURS D'ENGAGEMENT","◕",IF(AF160="PREENGAGE","◑",IF(AF160="EN COURS DE PREENGAGEMENT","◔",IF(AF160="NON ENGAGE","✖","")))))</f>
        <v/>
      </c>
      <c r="B160" s="673" t="n">
        <v>2026</v>
      </c>
      <c r="C160" s="674" t="inlineStr">
        <is>
          <t>DPPR</t>
        </is>
      </c>
      <c r="D160" s="674" t="inlineStr">
        <is>
          <t>PV N° : 01RC2025-DPPR</t>
        </is>
      </c>
      <c r="E160" s="675" t="inlineStr">
        <is>
          <t>CONTRAT</t>
        </is>
      </c>
      <c r="F160" s="675" t="n"/>
      <c r="G160" s="676" t="inlineStr">
        <is>
          <t>MOHAMMED SAMADI  -  Journaliste chargé de la préparation et la présentation des bulletins et flashs d’information et des émissions radiophoniques</t>
        </is>
      </c>
      <c r="H160" s="673" t="inlineStr">
        <is>
          <t>VALIDE</t>
        </is>
      </c>
      <c r="I160" s="675" t="inlineStr">
        <is>
          <t>APPROUVE</t>
        </is>
      </c>
      <c r="J160" s="675" t="n"/>
      <c r="K160" s="673" t="inlineStr">
        <is>
          <t>NON CONCERNE</t>
        </is>
      </c>
      <c r="L160" s="675" t="inlineStr">
        <is>
          <t>Ordinaire</t>
        </is>
      </c>
      <c r="M160" s="677" t="inlineStr">
        <is>
          <t>FONCTIONNEMENT</t>
        </is>
      </c>
      <c r="N160" s="678" t="inlineStr">
        <is>
          <t xml:space="preserve">Prestations de service
Achat prestations de services locales - personnes physiques </t>
        </is>
      </c>
      <c r="O160" s="679" t="n"/>
      <c r="P160" s="680" t="n"/>
      <c r="Q160" s="680" t="n"/>
      <c r="R160" s="675" t="inlineStr">
        <is>
          <t>RECONDUCTION</t>
        </is>
      </c>
      <c r="S160" s="681" t="n"/>
      <c r="T160" s="682" t="n"/>
      <c r="U160" s="683" t="inlineStr">
        <is>
          <t>MOHAMMED SAMADI</t>
        </is>
      </c>
      <c r="V160" s="675" t="n">
        <v>2026</v>
      </c>
      <c r="W160" s="682" t="n">
        <v>46387</v>
      </c>
      <c r="X160" s="682" t="n"/>
      <c r="Y160" s="682" t="n">
        <v>46024</v>
      </c>
      <c r="Z160" s="679" t="n">
        <v>96000</v>
      </c>
      <c r="AA160" s="680" t="n"/>
      <c r="AB160" s="680">
        <f>Z160</f>
        <v/>
      </c>
      <c r="AC160" s="680" t="n"/>
      <c r="AD160" s="680">
        <f>Z160</f>
        <v/>
      </c>
      <c r="AE160" s="680">
        <f>AB160</f>
        <v/>
      </c>
      <c r="AF160" s="684" t="inlineStr">
        <is>
          <t>ENGAGE</t>
        </is>
      </c>
      <c r="AG160" s="683" t="n"/>
      <c r="AH160" s="680" t="n"/>
      <c r="AI160" s="680" t="n"/>
      <c r="AJ160" s="680" t="n"/>
      <c r="AK160" s="680" t="n"/>
      <c r="AL160" s="685" t="n"/>
      <c r="AM160" s="685" t="n"/>
      <c r="AN160" s="683" t="inlineStr">
        <is>
          <t>Manque n° contrat</t>
        </is>
      </c>
      <c r="AO160" s="686" t="n"/>
      <c r="AP160" s="687" t="n"/>
      <c r="AQ160" s="688" t="n"/>
      <c r="AR160" s="688" t="n"/>
      <c r="AS160" s="23" t="n"/>
      <c r="AT160" s="688" t="n"/>
    </row>
    <row r="161" ht="50.55" customHeight="1" s="392">
      <c r="A161" s="672">
        <f>IF(AF161="ENGAGE","✔",IF(AF161="EN COURS D'ENGAGEMENT","◕",IF(AF161="PREENGAGE","◑",IF(AF161="EN COURS DE PREENGAGEMENT","◔",IF(AF161="NON ENGAGE","✖","")))))</f>
        <v/>
      </c>
      <c r="B161" s="673" t="n">
        <v>2026</v>
      </c>
      <c r="C161" s="674" t="inlineStr">
        <is>
          <t>DPPR</t>
        </is>
      </c>
      <c r="D161" s="674" t="inlineStr">
        <is>
          <t>PV N° : 01RC2025-DPPR</t>
        </is>
      </c>
      <c r="E161" s="675" t="inlineStr">
        <is>
          <t>CONTRAT</t>
        </is>
      </c>
      <c r="F161" s="675" t="n"/>
      <c r="G161" s="676" t="inlineStr">
        <is>
          <t>NOUKRACHI ABDELHAMID  -  Journaliste chargé de la préparation et la présentation des bulletins et flashs d’information et des émissions radiophoniques</t>
        </is>
      </c>
      <c r="H161" s="673" t="inlineStr">
        <is>
          <t>VALIDE</t>
        </is>
      </c>
      <c r="I161" s="675" t="inlineStr">
        <is>
          <t>APPROUVE</t>
        </is>
      </c>
      <c r="J161" s="675" t="n"/>
      <c r="K161" s="673" t="inlineStr">
        <is>
          <t>NON CONCERNE</t>
        </is>
      </c>
      <c r="L161" s="675" t="inlineStr">
        <is>
          <t>Ordinaire</t>
        </is>
      </c>
      <c r="M161" s="677" t="inlineStr">
        <is>
          <t>FONCTIONNEMENT</t>
        </is>
      </c>
      <c r="N161" s="678" t="inlineStr">
        <is>
          <t xml:space="preserve">Prestations de service
Achat prestations de services locales - personnes physiques </t>
        </is>
      </c>
      <c r="O161" s="679" t="n"/>
      <c r="P161" s="680" t="n"/>
      <c r="Q161" s="680" t="n"/>
      <c r="R161" s="675" t="inlineStr">
        <is>
          <t>RECONDUCTION</t>
        </is>
      </c>
      <c r="S161" s="681" t="n"/>
      <c r="T161" s="682" t="n"/>
      <c r="U161" s="683" t="inlineStr">
        <is>
          <t>NOUKRACHI ABDELHAMID</t>
        </is>
      </c>
      <c r="V161" s="675" t="n">
        <v>2026</v>
      </c>
      <c r="W161" s="682" t="n">
        <v>46387</v>
      </c>
      <c r="X161" s="682" t="n"/>
      <c r="Y161" s="682" t="n">
        <v>46024</v>
      </c>
      <c r="Z161" s="679" t="n">
        <v>96000</v>
      </c>
      <c r="AA161" s="680" t="n"/>
      <c r="AB161" s="680">
        <f>Z161</f>
        <v/>
      </c>
      <c r="AC161" s="680" t="n"/>
      <c r="AD161" s="680">
        <f>Z161</f>
        <v/>
      </c>
      <c r="AE161" s="680">
        <f>AB161</f>
        <v/>
      </c>
      <c r="AF161" s="684" t="inlineStr">
        <is>
          <t>ENGAGE</t>
        </is>
      </c>
      <c r="AG161" s="683" t="n"/>
      <c r="AH161" s="680" t="n"/>
      <c r="AI161" s="680" t="n"/>
      <c r="AJ161" s="680" t="n"/>
      <c r="AK161" s="680" t="n"/>
      <c r="AL161" s="685" t="n"/>
      <c r="AM161" s="685" t="n"/>
      <c r="AN161" s="683" t="inlineStr">
        <is>
          <t>Manque n° contrat</t>
        </is>
      </c>
      <c r="AO161" s="686" t="n"/>
      <c r="AP161" s="687" t="n"/>
      <c r="AQ161" s="688" t="n"/>
      <c r="AR161" s="688" t="n"/>
      <c r="AS161" s="23" t="n"/>
      <c r="AT161" s="688" t="n"/>
    </row>
    <row r="162" ht="50.55" customHeight="1" s="392">
      <c r="A162" s="672">
        <f>IF(AF162="ENGAGE","✔",IF(AF162="EN COURS D'ENGAGEMENT","◕",IF(AF162="PREENGAGE","◑",IF(AF162="EN COURS DE PREENGAGEMENT","◔",IF(AF162="NON ENGAGE","✖","")))))</f>
        <v/>
      </c>
      <c r="B162" s="673" t="n">
        <v>2026</v>
      </c>
      <c r="C162" s="674" t="inlineStr">
        <is>
          <t>DPPR</t>
        </is>
      </c>
      <c r="D162" s="674" t="inlineStr">
        <is>
          <t>PV N° : 01RC2025-DPPR</t>
        </is>
      </c>
      <c r="E162" s="675" t="inlineStr">
        <is>
          <t>CONTRAT</t>
        </is>
      </c>
      <c r="F162" s="675" t="n"/>
      <c r="G162" s="676" t="inlineStr">
        <is>
          <t>ALLOU MOHAMED  -  Journaliste chargé de la préparation et la présentation des bulletins et flashs d’information et des émissions radiophoniques</t>
        </is>
      </c>
      <c r="H162" s="673" t="inlineStr">
        <is>
          <t>VALIDE</t>
        </is>
      </c>
      <c r="I162" s="675" t="inlineStr">
        <is>
          <t>APPROUVE</t>
        </is>
      </c>
      <c r="J162" s="675" t="n"/>
      <c r="K162" s="673" t="inlineStr">
        <is>
          <t>NON CONCERNE</t>
        </is>
      </c>
      <c r="L162" s="675" t="inlineStr">
        <is>
          <t>Ordinaire</t>
        </is>
      </c>
      <c r="M162" s="677" t="inlineStr">
        <is>
          <t>FONCTIONNEMENT</t>
        </is>
      </c>
      <c r="N162" s="678" t="inlineStr">
        <is>
          <t xml:space="preserve">Prestations de service
Achat prestations de services locales - personnes physiques </t>
        </is>
      </c>
      <c r="O162" s="679" t="n"/>
      <c r="P162" s="680" t="n"/>
      <c r="Q162" s="680" t="n"/>
      <c r="R162" s="675" t="inlineStr">
        <is>
          <t>RECONDUCTION</t>
        </is>
      </c>
      <c r="S162" s="681" t="n"/>
      <c r="T162" s="682" t="n"/>
      <c r="U162" s="683" t="inlineStr">
        <is>
          <t>ALLOU MOHAMED</t>
        </is>
      </c>
      <c r="V162" s="675" t="n">
        <v>2026</v>
      </c>
      <c r="W162" s="682" t="n">
        <v>46387</v>
      </c>
      <c r="X162" s="682" t="n"/>
      <c r="Y162" s="682" t="n">
        <v>46024</v>
      </c>
      <c r="Z162" s="679" t="n">
        <v>96000</v>
      </c>
      <c r="AA162" s="680" t="n"/>
      <c r="AB162" s="680">
        <f>Z162</f>
        <v/>
      </c>
      <c r="AC162" s="680" t="n"/>
      <c r="AD162" s="680">
        <f>Z162</f>
        <v/>
      </c>
      <c r="AE162" s="680">
        <f>AB162</f>
        <v/>
      </c>
      <c r="AF162" s="684" t="inlineStr">
        <is>
          <t>ENGAGE</t>
        </is>
      </c>
      <c r="AG162" s="683" t="n"/>
      <c r="AH162" s="680" t="n"/>
      <c r="AI162" s="680" t="n"/>
      <c r="AJ162" s="680" t="n"/>
      <c r="AK162" s="680" t="n"/>
      <c r="AL162" s="685" t="n"/>
      <c r="AM162" s="685" t="n"/>
      <c r="AN162" s="683" t="inlineStr">
        <is>
          <t>Manque n° contrat</t>
        </is>
      </c>
      <c r="AO162" s="686" t="n"/>
      <c r="AP162" s="687" t="n"/>
      <c r="AQ162" s="688" t="n"/>
      <c r="AR162" s="688" t="n"/>
      <c r="AS162" s="23" t="n"/>
      <c r="AT162" s="688" t="n"/>
    </row>
    <row r="163" ht="50.55" customHeight="1" s="392">
      <c r="A163" s="672">
        <f>IF(AF163="ENGAGE","✔",IF(AF163="EN COURS D'ENGAGEMENT","◕",IF(AF163="PREENGAGE","◑",IF(AF163="EN COURS DE PREENGAGEMENT","◔",IF(AF163="NON ENGAGE","✖","")))))</f>
        <v/>
      </c>
      <c r="B163" s="673" t="n">
        <v>2026</v>
      </c>
      <c r="C163" s="674" t="inlineStr">
        <is>
          <t>DPPR</t>
        </is>
      </c>
      <c r="D163" s="674" t="inlineStr">
        <is>
          <t>PV N° : 01RC2025-DPPR</t>
        </is>
      </c>
      <c r="E163" s="675" t="inlineStr">
        <is>
          <t>CONTRAT</t>
        </is>
      </c>
      <c r="F163" s="675" t="n"/>
      <c r="G163" s="676" t="inlineStr">
        <is>
          <t>EL OUARDANI ABDELMAJID   -  Journaliste chargé de la préparation et la présentation des bulletins et flashs d’information et des émissions radiophoniques</t>
        </is>
      </c>
      <c r="H163" s="673" t="inlineStr">
        <is>
          <t>VALIDE</t>
        </is>
      </c>
      <c r="I163" s="675" t="inlineStr">
        <is>
          <t>APPROUVE</t>
        </is>
      </c>
      <c r="J163" s="675" t="n"/>
      <c r="K163" s="673" t="inlineStr">
        <is>
          <t>NON CONCERNE</t>
        </is>
      </c>
      <c r="L163" s="675" t="inlineStr">
        <is>
          <t>Ordinaire</t>
        </is>
      </c>
      <c r="M163" s="677" t="inlineStr">
        <is>
          <t>FONCTIONNEMENT</t>
        </is>
      </c>
      <c r="N163" s="678" t="inlineStr">
        <is>
          <t xml:space="preserve">Prestations de service
Achat prestations de services locales - personnes physiques </t>
        </is>
      </c>
      <c r="O163" s="679" t="n"/>
      <c r="P163" s="680" t="n"/>
      <c r="Q163" s="680" t="n"/>
      <c r="R163" s="675" t="inlineStr">
        <is>
          <t>RECONDUCTION</t>
        </is>
      </c>
      <c r="S163" s="681" t="n"/>
      <c r="T163" s="682" t="n"/>
      <c r="U163" s="683" t="inlineStr">
        <is>
          <t>EL OUARDANI ABDELMAJID</t>
        </is>
      </c>
      <c r="V163" s="675" t="n">
        <v>2026</v>
      </c>
      <c r="W163" s="682" t="n">
        <v>46387</v>
      </c>
      <c r="X163" s="682" t="n"/>
      <c r="Y163" s="682" t="n">
        <v>46024</v>
      </c>
      <c r="Z163" s="679" t="n">
        <v>96000</v>
      </c>
      <c r="AA163" s="680" t="n"/>
      <c r="AB163" s="680">
        <f>Z163</f>
        <v/>
      </c>
      <c r="AC163" s="680" t="n"/>
      <c r="AD163" s="680">
        <f>Z163</f>
        <v/>
      </c>
      <c r="AE163" s="680">
        <f>AB163</f>
        <v/>
      </c>
      <c r="AF163" s="684" t="inlineStr">
        <is>
          <t>ENGAGE</t>
        </is>
      </c>
      <c r="AG163" s="683" t="n"/>
      <c r="AH163" s="680" t="n"/>
      <c r="AI163" s="680" t="n"/>
      <c r="AJ163" s="680" t="n"/>
      <c r="AK163" s="680" t="n"/>
      <c r="AL163" s="685" t="n"/>
      <c r="AM163" s="685" t="n"/>
      <c r="AN163" s="683" t="inlineStr">
        <is>
          <t>Manque n° contrat</t>
        </is>
      </c>
      <c r="AO163" s="686" t="n"/>
      <c r="AP163" s="687" t="n"/>
      <c r="AQ163" s="688" t="n"/>
      <c r="AR163" s="688" t="n"/>
      <c r="AS163" s="23" t="n"/>
      <c r="AT163" s="688" t="n"/>
    </row>
    <row r="164" ht="50.55" customHeight="1" s="392">
      <c r="A164" s="672">
        <f>IF(AF164="ENGAGE","✔",IF(AF164="EN COURS D'ENGAGEMENT","◕",IF(AF164="PREENGAGE","◑",IF(AF164="EN COURS DE PREENGAGEMENT","◔",IF(AF164="NON ENGAGE","✖","")))))</f>
        <v/>
      </c>
      <c r="B164" s="673" t="n">
        <v>2026</v>
      </c>
      <c r="C164" s="674" t="inlineStr">
        <is>
          <t>DPPR</t>
        </is>
      </c>
      <c r="D164" s="674" t="inlineStr">
        <is>
          <t>PV N° : 01RC2025-DPPR</t>
        </is>
      </c>
      <c r="E164" s="675" t="inlineStr">
        <is>
          <t>CONTRAT</t>
        </is>
      </c>
      <c r="F164" s="675" t="n"/>
      <c r="G164" s="676" t="inlineStr">
        <is>
          <t>LAGZANNAY KHIRA  -  Journaliste chargé de la préparation et la présentation des bulletins et flashs d’information et des émissions radiophoniques</t>
        </is>
      </c>
      <c r="H164" s="673" t="inlineStr">
        <is>
          <t>VALIDE</t>
        </is>
      </c>
      <c r="I164" s="675" t="inlineStr">
        <is>
          <t>APPROUVE</t>
        </is>
      </c>
      <c r="J164" s="675" t="n"/>
      <c r="K164" s="673" t="inlineStr">
        <is>
          <t>NON CONCERNE</t>
        </is>
      </c>
      <c r="L164" s="675" t="inlineStr">
        <is>
          <t>Ordinaire</t>
        </is>
      </c>
      <c r="M164" s="677" t="inlineStr">
        <is>
          <t>FONCTIONNEMENT</t>
        </is>
      </c>
      <c r="N164" s="678" t="inlineStr">
        <is>
          <t xml:space="preserve">Prestations de service
Achat prestations de services locales - personnes physiques </t>
        </is>
      </c>
      <c r="O164" s="679" t="n"/>
      <c r="P164" s="680" t="n"/>
      <c r="Q164" s="680" t="n"/>
      <c r="R164" s="675" t="inlineStr">
        <is>
          <t>RECONDUCTION</t>
        </is>
      </c>
      <c r="S164" s="681" t="n"/>
      <c r="T164" s="682" t="n"/>
      <c r="U164" s="683" t="inlineStr">
        <is>
          <t>LAGZANNAY KHIRA</t>
        </is>
      </c>
      <c r="V164" s="675" t="n">
        <v>2026</v>
      </c>
      <c r="W164" s="682" t="n">
        <v>46387</v>
      </c>
      <c r="X164" s="682" t="n"/>
      <c r="Y164" s="682" t="n">
        <v>46024</v>
      </c>
      <c r="Z164" s="679" t="n">
        <v>96000</v>
      </c>
      <c r="AA164" s="680" t="n"/>
      <c r="AB164" s="680">
        <f>Z164</f>
        <v/>
      </c>
      <c r="AC164" s="680" t="n"/>
      <c r="AD164" s="680">
        <f>Z164</f>
        <v/>
      </c>
      <c r="AE164" s="680">
        <f>AB164</f>
        <v/>
      </c>
      <c r="AF164" s="684" t="inlineStr">
        <is>
          <t>ENGAGE</t>
        </is>
      </c>
      <c r="AG164" s="683" t="n"/>
      <c r="AH164" s="680" t="n"/>
      <c r="AI164" s="680" t="n"/>
      <c r="AJ164" s="680" t="n"/>
      <c r="AK164" s="680" t="n"/>
      <c r="AL164" s="685" t="n"/>
      <c r="AM164" s="685" t="n"/>
      <c r="AN164" s="683" t="inlineStr">
        <is>
          <t>Manque n° contrat</t>
        </is>
      </c>
      <c r="AO164" s="686" t="n"/>
      <c r="AP164" s="687" t="n"/>
      <c r="AQ164" s="688" t="n"/>
      <c r="AR164" s="688" t="n"/>
      <c r="AS164" s="23" t="n"/>
      <c r="AT164" s="688" t="n"/>
    </row>
    <row r="165" ht="46.5" customHeight="1" s="392">
      <c r="A165" s="672">
        <f>IF(AF165="ENGAGE","✔",IF(AF165="EN COURS D'ENGAGEMENT","◕",IF(AF165="PREENGAGE","◑",IF(AF165="EN COURS DE PREENGAGEMENT","◔",IF(AF165="NON ENGAGE","✖","")))))</f>
        <v/>
      </c>
      <c r="B165" s="673" t="n">
        <v>2026</v>
      </c>
      <c r="C165" s="674" t="inlineStr">
        <is>
          <t>DPPR</t>
        </is>
      </c>
      <c r="D165" s="674" t="inlineStr">
        <is>
          <t>PV N° : 01RC2025-DPPR</t>
        </is>
      </c>
      <c r="E165" s="675" t="inlineStr">
        <is>
          <t>CONTRAT</t>
        </is>
      </c>
      <c r="F165" s="675" t="n"/>
      <c r="G165" s="676" t="inlineStr">
        <is>
          <t>CHOUKAR YOUSSEF  -  Opérateur prise de son</t>
        </is>
      </c>
      <c r="H165" s="673" t="inlineStr">
        <is>
          <t>VALIDE</t>
        </is>
      </c>
      <c r="I165" s="675" t="inlineStr">
        <is>
          <t>APPROUVE</t>
        </is>
      </c>
      <c r="J165" s="675" t="n"/>
      <c r="K165" s="673" t="inlineStr">
        <is>
          <t>NON CONCERNE</t>
        </is>
      </c>
      <c r="L165" s="675" t="inlineStr">
        <is>
          <t>Ordinaire</t>
        </is>
      </c>
      <c r="M165" s="677" t="inlineStr">
        <is>
          <t>FONCTIONNEMENT</t>
        </is>
      </c>
      <c r="N165" s="678" t="inlineStr">
        <is>
          <t xml:space="preserve">Prestations de service
Achat prestations de services locales - personnes physiques </t>
        </is>
      </c>
      <c r="O165" s="679" t="n"/>
      <c r="P165" s="680" t="n"/>
      <c r="Q165" s="680" t="n"/>
      <c r="R165" s="675" t="inlineStr">
        <is>
          <t>RECONDUCTION</t>
        </is>
      </c>
      <c r="S165" s="681" t="n"/>
      <c r="T165" s="682" t="n"/>
      <c r="U165" s="683" t="inlineStr">
        <is>
          <t>CHOUKAR YOUSSEF</t>
        </is>
      </c>
      <c r="V165" s="675" t="n">
        <v>2026</v>
      </c>
      <c r="W165" s="682" t="n">
        <v>46387</v>
      </c>
      <c r="X165" s="682" t="n"/>
      <c r="Y165" s="682" t="n">
        <v>46024</v>
      </c>
      <c r="Z165" s="679" t="n">
        <v>72000</v>
      </c>
      <c r="AA165" s="680" t="n"/>
      <c r="AB165" s="680">
        <f>Z165</f>
        <v/>
      </c>
      <c r="AC165" s="680" t="n"/>
      <c r="AD165" s="680">
        <f>Z165</f>
        <v/>
      </c>
      <c r="AE165" s="680">
        <f>AB165</f>
        <v/>
      </c>
      <c r="AF165" s="684" t="inlineStr">
        <is>
          <t>ENGAGE</t>
        </is>
      </c>
      <c r="AG165" s="683" t="n"/>
      <c r="AH165" s="680" t="n"/>
      <c r="AI165" s="680" t="n"/>
      <c r="AJ165" s="680" t="n"/>
      <c r="AK165" s="680" t="n"/>
      <c r="AL165" s="685" t="n"/>
      <c r="AM165" s="685" t="n"/>
      <c r="AN165" s="683" t="inlineStr">
        <is>
          <t>Manque n° contrat</t>
        </is>
      </c>
      <c r="AO165" s="686" t="n"/>
      <c r="AP165" s="687" t="n"/>
      <c r="AQ165" s="688" t="n"/>
      <c r="AR165" s="688" t="n"/>
      <c r="AS165" s="23" t="n"/>
      <c r="AT165" s="688" t="n"/>
    </row>
    <row r="166" ht="46.5" customHeight="1" s="392">
      <c r="A166" s="672">
        <f>IF(AF166="ENGAGE","✔",IF(AF166="EN COURS D'ENGAGEMENT","◕",IF(AF166="PREENGAGE","◑",IF(AF166="EN COURS DE PREENGAGEMENT","◔",IF(AF166="NON ENGAGE","✖","")))))</f>
        <v/>
      </c>
      <c r="B166" s="673" t="n">
        <v>2026</v>
      </c>
      <c r="C166" s="674" t="inlineStr">
        <is>
          <t>DPPR</t>
        </is>
      </c>
      <c r="D166" s="674" t="inlineStr">
        <is>
          <t>PV N° : 01RC2025-DPPR</t>
        </is>
      </c>
      <c r="E166" s="675" t="inlineStr">
        <is>
          <t>CONTRAT</t>
        </is>
      </c>
      <c r="F166" s="675" t="n"/>
      <c r="G166" s="676" t="inlineStr">
        <is>
          <t>ALIA EDIOURI  -  Journaliste chargée de la préparation et la présentation des émissions radiophoniques</t>
        </is>
      </c>
      <c r="H166" s="673" t="inlineStr">
        <is>
          <t>VALIDE</t>
        </is>
      </c>
      <c r="I166" s="675" t="inlineStr">
        <is>
          <t>APPROUVE</t>
        </is>
      </c>
      <c r="J166" s="675" t="n"/>
      <c r="K166" s="673" t="inlineStr">
        <is>
          <t>NON CONCERNE</t>
        </is>
      </c>
      <c r="L166" s="675" t="inlineStr">
        <is>
          <t>Ordinaire</t>
        </is>
      </c>
      <c r="M166" s="677" t="inlineStr">
        <is>
          <t>FONCTIONNEMENT</t>
        </is>
      </c>
      <c r="N166" s="678" t="inlineStr">
        <is>
          <t xml:space="preserve">Prestations de service
Achat prestations de services locales - personnes physiques </t>
        </is>
      </c>
      <c r="O166" s="679" t="n"/>
      <c r="P166" s="680" t="n"/>
      <c r="Q166" s="680" t="n"/>
      <c r="R166" s="675" t="inlineStr">
        <is>
          <t>RECONDUCTION</t>
        </is>
      </c>
      <c r="S166" s="681" t="n"/>
      <c r="T166" s="682" t="n"/>
      <c r="U166" s="683" t="inlineStr">
        <is>
          <t>ALIA EDIOURI</t>
        </is>
      </c>
      <c r="V166" s="675" t="n">
        <v>2026</v>
      </c>
      <c r="W166" s="682" t="n">
        <v>46387</v>
      </c>
      <c r="X166" s="682" t="n"/>
      <c r="Y166" s="682" t="n">
        <v>46024</v>
      </c>
      <c r="Z166" s="679" t="n">
        <v>120000</v>
      </c>
      <c r="AA166" s="680" t="n"/>
      <c r="AB166" s="680">
        <f>Z166</f>
        <v/>
      </c>
      <c r="AC166" s="680" t="n"/>
      <c r="AD166" s="680">
        <f>Z166</f>
        <v/>
      </c>
      <c r="AE166" s="680">
        <f>AB166</f>
        <v/>
      </c>
      <c r="AF166" s="684" t="inlineStr">
        <is>
          <t>ENGAGE</t>
        </is>
      </c>
      <c r="AG166" s="683" t="n"/>
      <c r="AH166" s="680" t="n"/>
      <c r="AI166" s="680" t="n"/>
      <c r="AJ166" s="680" t="n"/>
      <c r="AK166" s="680" t="n"/>
      <c r="AL166" s="685" t="n"/>
      <c r="AM166" s="685" t="n"/>
      <c r="AN166" s="683" t="inlineStr">
        <is>
          <t>Manque n° contrat</t>
        </is>
      </c>
      <c r="AO166" s="686" t="n"/>
      <c r="AP166" s="687" t="n"/>
      <c r="AQ166" s="688" t="n"/>
      <c r="AR166" s="688" t="n"/>
      <c r="AS166" s="23" t="n"/>
      <c r="AT166" s="688" t="n"/>
    </row>
    <row r="167" ht="46.5" customHeight="1" s="392">
      <c r="A167" s="672">
        <f>IF(AF167="ENGAGE","✔",IF(AF167="EN COURS D'ENGAGEMENT","◕",IF(AF167="PREENGAGE","◑",IF(AF167="EN COURS DE PREENGAGEMENT","◔",IF(AF167="NON ENGAGE","✖","")))))</f>
        <v/>
      </c>
      <c r="B167" s="673" t="n">
        <v>2026</v>
      </c>
      <c r="C167" s="674" t="inlineStr">
        <is>
          <t>DPPR</t>
        </is>
      </c>
      <c r="D167" s="674" t="inlineStr">
        <is>
          <t>PV N° : 01RC2025-DPPR</t>
        </is>
      </c>
      <c r="E167" s="675" t="inlineStr">
        <is>
          <t>CONTRAT</t>
        </is>
      </c>
      <c r="F167" s="675" t="n"/>
      <c r="G167" s="676" t="inlineStr">
        <is>
          <t>FATIMA-EZZAHRA ELYAAKOUBI  -  Journaliste chargée de la préparation et la présentation des émissions radiophoniques</t>
        </is>
      </c>
      <c r="H167" s="673" t="inlineStr">
        <is>
          <t>VALIDE</t>
        </is>
      </c>
      <c r="I167" s="675" t="inlineStr">
        <is>
          <t>APPROUVE</t>
        </is>
      </c>
      <c r="J167" s="675" t="n"/>
      <c r="K167" s="673" t="inlineStr">
        <is>
          <t>NON CONCERNE</t>
        </is>
      </c>
      <c r="L167" s="675" t="inlineStr">
        <is>
          <t>Ordinaire</t>
        </is>
      </c>
      <c r="M167" s="677" t="inlineStr">
        <is>
          <t>FONCTIONNEMENT</t>
        </is>
      </c>
      <c r="N167" s="678" t="inlineStr">
        <is>
          <t xml:space="preserve">Prestations de service
Achat prestations de services locales - personnes physiques </t>
        </is>
      </c>
      <c r="O167" s="679" t="n"/>
      <c r="P167" s="680" t="n"/>
      <c r="Q167" s="680" t="n"/>
      <c r="R167" s="675" t="inlineStr">
        <is>
          <t>RECONDUCTION</t>
        </is>
      </c>
      <c r="S167" s="681" t="n"/>
      <c r="T167" s="682" t="n"/>
      <c r="U167" s="683" t="inlineStr">
        <is>
          <t>FATIMA-EZZAHRA ELYAAKOUBI</t>
        </is>
      </c>
      <c r="V167" s="675" t="n">
        <v>2026</v>
      </c>
      <c r="W167" s="682" t="n">
        <v>46387</v>
      </c>
      <c r="X167" s="682" t="n"/>
      <c r="Y167" s="682" t="n">
        <v>46024</v>
      </c>
      <c r="Z167" s="679" t="n">
        <v>120000</v>
      </c>
      <c r="AA167" s="680" t="n"/>
      <c r="AB167" s="680">
        <f>Z167</f>
        <v/>
      </c>
      <c r="AC167" s="680" t="n"/>
      <c r="AD167" s="680">
        <f>Z167</f>
        <v/>
      </c>
      <c r="AE167" s="680">
        <f>AB167</f>
        <v/>
      </c>
      <c r="AF167" s="684" t="inlineStr">
        <is>
          <t>ENGAGE</t>
        </is>
      </c>
      <c r="AG167" s="683" t="n"/>
      <c r="AH167" s="680" t="n"/>
      <c r="AI167" s="680" t="n"/>
      <c r="AJ167" s="680" t="n"/>
      <c r="AK167" s="680" t="n"/>
      <c r="AL167" s="685" t="n"/>
      <c r="AM167" s="685" t="n"/>
      <c r="AN167" s="683" t="inlineStr">
        <is>
          <t>Manque n° contrat</t>
        </is>
      </c>
      <c r="AO167" s="686" t="n"/>
      <c r="AP167" s="687" t="n"/>
      <c r="AQ167" s="688" t="n"/>
      <c r="AR167" s="688" t="n"/>
      <c r="AS167" s="23" t="n"/>
      <c r="AT167" s="688" t="n"/>
    </row>
    <row r="168" ht="80.25" customHeight="1" s="392">
      <c r="A168" s="672">
        <f>IF(AF168="ENGAGE","✔",IF(AF168="EN COURS D'ENGAGEMENT","◕",IF(AF168="PREENGAGE","◑",IF(AF168="EN COURS DE PREENGAGEMENT","◔",IF(AF168="NON ENGAGE","✖","")))))</f>
        <v/>
      </c>
      <c r="B168" s="673" t="n">
        <v>2026</v>
      </c>
      <c r="C168" s="674" t="inlineStr">
        <is>
          <t>DPPR</t>
        </is>
      </c>
      <c r="D168" s="674" t="inlineStr">
        <is>
          <t>PV N° : 01RC2025-DPPR</t>
        </is>
      </c>
      <c r="E168" s="675" t="inlineStr">
        <is>
          <t>CONTRAT</t>
        </is>
      </c>
      <c r="F168" s="675" t="n"/>
      <c r="G168" s="676" t="inlineStr">
        <is>
          <t>MOUAD BOUDINA  -  Journaliste chargé de la préparation des magazines d’information, des reportages RD, la présentation des journaux parlés et flashs d’information, ainsi que la préparation et l’animation des émissions RD dans la région de Fès</t>
        </is>
      </c>
      <c r="H168" s="673" t="inlineStr">
        <is>
          <t>VALIDE</t>
        </is>
      </c>
      <c r="I168" s="675" t="inlineStr">
        <is>
          <t>APPROUVE</t>
        </is>
      </c>
      <c r="J168" s="675" t="n"/>
      <c r="K168" s="673" t="inlineStr">
        <is>
          <t>NON CONCERNE</t>
        </is>
      </c>
      <c r="L168" s="675" t="inlineStr">
        <is>
          <t>Ordinaire</t>
        </is>
      </c>
      <c r="M168" s="677" t="inlineStr">
        <is>
          <t>FONCTIONNEMENT</t>
        </is>
      </c>
      <c r="N168" s="678" t="inlineStr">
        <is>
          <t xml:space="preserve">Prestations de service
Achat prestations de services locales - personnes physiques </t>
        </is>
      </c>
      <c r="O168" s="679" t="n"/>
      <c r="P168" s="680" t="n"/>
      <c r="Q168" s="680" t="n"/>
      <c r="R168" s="675" t="inlineStr">
        <is>
          <t>RECONDUCTION</t>
        </is>
      </c>
      <c r="S168" s="681" t="n"/>
      <c r="T168" s="682" t="n"/>
      <c r="U168" s="683" t="inlineStr">
        <is>
          <t>MOUAD BOUDINA</t>
        </is>
      </c>
      <c r="V168" s="675" t="n">
        <v>2026</v>
      </c>
      <c r="W168" s="682" t="n">
        <v>46387</v>
      </c>
      <c r="X168" s="682" t="n"/>
      <c r="Y168" s="682" t="n">
        <v>46024</v>
      </c>
      <c r="Z168" s="679" t="n">
        <v>96000</v>
      </c>
      <c r="AA168" s="680" t="n"/>
      <c r="AB168" s="680">
        <f>Z168</f>
        <v/>
      </c>
      <c r="AC168" s="680" t="n"/>
      <c r="AD168" s="680">
        <f>Z168</f>
        <v/>
      </c>
      <c r="AE168" s="680">
        <f>AB168</f>
        <v/>
      </c>
      <c r="AF168" s="684" t="inlineStr">
        <is>
          <t>ENGAGE</t>
        </is>
      </c>
      <c r="AG168" s="683" t="n"/>
      <c r="AH168" s="680" t="n"/>
      <c r="AI168" s="680" t="n"/>
      <c r="AJ168" s="680" t="n"/>
      <c r="AK168" s="680" t="n"/>
      <c r="AL168" s="685" t="n"/>
      <c r="AM168" s="685" t="n"/>
      <c r="AN168" s="683" t="inlineStr">
        <is>
          <t>Manque n° contrat</t>
        </is>
      </c>
      <c r="AO168" s="686" t="n"/>
      <c r="AP168" s="687" t="n"/>
      <c r="AQ168" s="688" t="n"/>
      <c r="AR168" s="688" t="n"/>
      <c r="AS168" s="23" t="n"/>
      <c r="AT168" s="688" t="n"/>
    </row>
    <row r="169" ht="46.5" customHeight="1" s="392">
      <c r="A169" s="672">
        <f>IF(AF169="ENGAGE","✔",IF(AF169="EN COURS D'ENGAGEMENT","◕",IF(AF169="PREENGAGE","◑",IF(AF169="EN COURS DE PREENGAGEMENT","◔",IF(AF169="NON ENGAGE","✖","")))))</f>
        <v/>
      </c>
      <c r="B169" s="673" t="n">
        <v>2026</v>
      </c>
      <c r="C169" s="674" t="inlineStr">
        <is>
          <t>DPPR</t>
        </is>
      </c>
      <c r="D169" s="674" t="inlineStr">
        <is>
          <t>PV N° : 01RC2025-DPPR</t>
        </is>
      </c>
      <c r="E169" s="675" t="inlineStr">
        <is>
          <t>CONTRAT</t>
        </is>
      </c>
      <c r="F169" s="675" t="n"/>
      <c r="G169" s="676" t="inlineStr">
        <is>
          <t>TAHANI MOULAY ABDELILAH  -  Journaliste chargé de la préparation et la présentation des émissions radiophoniques</t>
        </is>
      </c>
      <c r="H169" s="673" t="inlineStr">
        <is>
          <t>VALIDE</t>
        </is>
      </c>
      <c r="I169" s="675" t="inlineStr">
        <is>
          <t>APPROUVE</t>
        </is>
      </c>
      <c r="J169" s="675" t="n"/>
      <c r="K169" s="673" t="inlineStr">
        <is>
          <t>NON CONCERNE</t>
        </is>
      </c>
      <c r="L169" s="675" t="inlineStr">
        <is>
          <t>Ordinaire</t>
        </is>
      </c>
      <c r="M169" s="677" t="inlineStr">
        <is>
          <t>FONCTIONNEMENT</t>
        </is>
      </c>
      <c r="N169" s="678" t="inlineStr">
        <is>
          <t xml:space="preserve">Prestations de service
Achat prestations de services locales - personnes physiques </t>
        </is>
      </c>
      <c r="O169" s="679" t="n"/>
      <c r="P169" s="680" t="n"/>
      <c r="Q169" s="680" t="n"/>
      <c r="R169" s="675" t="inlineStr">
        <is>
          <t>RECONDUCTION</t>
        </is>
      </c>
      <c r="S169" s="681" t="n"/>
      <c r="T169" s="682" t="n"/>
      <c r="U169" s="683" t="inlineStr">
        <is>
          <t xml:space="preserve">TAHANI MOULAY ABDELILAH </t>
        </is>
      </c>
      <c r="V169" s="675" t="n">
        <v>2026</v>
      </c>
      <c r="W169" s="682" t="n">
        <v>46387</v>
      </c>
      <c r="X169" s="682" t="n"/>
      <c r="Y169" s="682" t="n">
        <v>46024</v>
      </c>
      <c r="Z169" s="679" t="n">
        <v>300000</v>
      </c>
      <c r="AA169" s="680" t="n"/>
      <c r="AB169" s="680">
        <f>Z169</f>
        <v/>
      </c>
      <c r="AC169" s="680" t="n"/>
      <c r="AD169" s="680">
        <f>Z169</f>
        <v/>
      </c>
      <c r="AE169" s="680">
        <f>AB169</f>
        <v/>
      </c>
      <c r="AF169" s="684" t="inlineStr">
        <is>
          <t>ENGAGE</t>
        </is>
      </c>
      <c r="AG169" s="683" t="n"/>
      <c r="AH169" s="680" t="n"/>
      <c r="AI169" s="680" t="n"/>
      <c r="AJ169" s="680" t="n"/>
      <c r="AK169" s="680" t="n"/>
      <c r="AL169" s="685" t="n"/>
      <c r="AM169" s="685" t="n"/>
      <c r="AN169" s="683" t="inlineStr">
        <is>
          <t>Manque n° contrat</t>
        </is>
      </c>
      <c r="AO169" s="686" t="n"/>
      <c r="AP169" s="687" t="n"/>
      <c r="AQ169" s="688" t="n"/>
      <c r="AR169" s="688" t="n"/>
      <c r="AS169" s="23" t="n"/>
      <c r="AT169" s="688" t="n"/>
    </row>
    <row r="170" ht="46.5" customHeight="1" s="392">
      <c r="A170" s="672">
        <f>IF(AF170="ENGAGE","✔",IF(AF170="EN COURS D'ENGAGEMENT","◕",IF(AF170="PREENGAGE","◑",IF(AF170="EN COURS DE PREENGAGEMENT","◔",IF(AF170="NON ENGAGE","✖","")))))</f>
        <v/>
      </c>
      <c r="B170" s="673" t="n">
        <v>2026</v>
      </c>
      <c r="C170" s="674" t="inlineStr">
        <is>
          <t>DPPR</t>
        </is>
      </c>
      <c r="D170" s="674" t="inlineStr">
        <is>
          <t>PV N° : 01RC2025-DPPR</t>
        </is>
      </c>
      <c r="E170" s="675" t="inlineStr">
        <is>
          <t>CONTRAT</t>
        </is>
      </c>
      <c r="F170" s="675" t="n"/>
      <c r="G170" s="676" t="inlineStr">
        <is>
          <t>SAMIRA ELHADDOUCHI  -  Chroniqueuse chargée de la préparation et l’animation de l’émission RD « LA MODE »</t>
        </is>
      </c>
      <c r="H170" s="673" t="inlineStr">
        <is>
          <t>VALIDE</t>
        </is>
      </c>
      <c r="I170" s="675" t="inlineStr">
        <is>
          <t>APPROUVE</t>
        </is>
      </c>
      <c r="J170" s="675" t="n"/>
      <c r="K170" s="673" t="inlineStr">
        <is>
          <t>NON CONCERNE</t>
        </is>
      </c>
      <c r="L170" s="675" t="inlineStr">
        <is>
          <t>Ordinaire</t>
        </is>
      </c>
      <c r="M170" s="677" t="inlineStr">
        <is>
          <t>FONCTIONNEMENT</t>
        </is>
      </c>
      <c r="N170" s="678" t="inlineStr">
        <is>
          <t xml:space="preserve">Prestations de service
Achat prestations de services locales - personnes physiques </t>
        </is>
      </c>
      <c r="O170" s="679" t="n"/>
      <c r="P170" s="680" t="n"/>
      <c r="Q170" s="680" t="n"/>
      <c r="R170" s="675" t="inlineStr">
        <is>
          <t>RECONDUCTION</t>
        </is>
      </c>
      <c r="S170" s="681" t="n"/>
      <c r="T170" s="682" t="n"/>
      <c r="U170" s="683" t="inlineStr">
        <is>
          <t>SAMIRA ELHADDOUCHI</t>
        </is>
      </c>
      <c r="V170" s="675" t="n">
        <v>2026</v>
      </c>
      <c r="W170" s="682" t="n">
        <v>46387</v>
      </c>
      <c r="X170" s="682" t="n"/>
      <c r="Y170" s="682" t="n">
        <v>46024</v>
      </c>
      <c r="Z170" s="679" t="n">
        <v>130000</v>
      </c>
      <c r="AA170" s="680" t="n"/>
      <c r="AB170" s="680">
        <f>Z170</f>
        <v/>
      </c>
      <c r="AC170" s="680" t="n"/>
      <c r="AD170" s="680">
        <f>Z170</f>
        <v/>
      </c>
      <c r="AE170" s="680">
        <f>AB170</f>
        <v/>
      </c>
      <c r="AF170" s="684" t="inlineStr">
        <is>
          <t>ENGAGE</t>
        </is>
      </c>
      <c r="AG170" s="683" t="n"/>
      <c r="AH170" s="680" t="n"/>
      <c r="AI170" s="680" t="n"/>
      <c r="AJ170" s="680" t="n"/>
      <c r="AK170" s="680" t="n"/>
      <c r="AL170" s="685" t="n"/>
      <c r="AM170" s="685" t="n"/>
      <c r="AN170" s="683" t="inlineStr">
        <is>
          <t>Manque n° contrat</t>
        </is>
      </c>
      <c r="AO170" s="686" t="n"/>
      <c r="AP170" s="687" t="n"/>
      <c r="AQ170" s="688" t="n"/>
      <c r="AR170" s="688" t="n"/>
      <c r="AS170" s="23" t="n"/>
      <c r="AT170" s="688" t="n"/>
    </row>
    <row r="171" ht="46.5" customHeight="1" s="392">
      <c r="A171" s="672">
        <f>IF(AF171="ENGAGE","✔",IF(AF171="EN COURS D'ENGAGEMENT","◕",IF(AF171="PREENGAGE","◑",IF(AF171="EN COURS DE PREENGAGEMENT","◔",IF(AF171="NON ENGAGE","✖","")))))</f>
        <v/>
      </c>
      <c r="B171" s="673" t="n">
        <v>2026</v>
      </c>
      <c r="C171" s="674" t="inlineStr">
        <is>
          <t>DPPR</t>
        </is>
      </c>
      <c r="D171" s="674" t="inlineStr">
        <is>
          <t>PV N° : 01RC2025-DPPR</t>
        </is>
      </c>
      <c r="E171" s="675" t="inlineStr">
        <is>
          <t>CONTRAT</t>
        </is>
      </c>
      <c r="F171" s="675" t="n"/>
      <c r="G171" s="676" t="inlineStr">
        <is>
          <t>MUSTAPHA SEHIMI  -  Chroniqueur chargé de la préparation et l’animation de l’émission RD « REPERE »</t>
        </is>
      </c>
      <c r="H171" s="673" t="inlineStr">
        <is>
          <t>VALIDE</t>
        </is>
      </c>
      <c r="I171" s="675" t="inlineStr">
        <is>
          <t>APPROUVE</t>
        </is>
      </c>
      <c r="J171" s="675" t="n"/>
      <c r="K171" s="673" t="inlineStr">
        <is>
          <t>NON CONCERNE</t>
        </is>
      </c>
      <c r="L171" s="675" t="inlineStr">
        <is>
          <t>Ordinaire</t>
        </is>
      </c>
      <c r="M171" s="677" t="inlineStr">
        <is>
          <t>FONCTIONNEMENT</t>
        </is>
      </c>
      <c r="N171" s="678" t="inlineStr">
        <is>
          <t xml:space="preserve">Prestations de service
Achat prestations de services locales - personnes physiques </t>
        </is>
      </c>
      <c r="O171" s="679" t="n"/>
      <c r="P171" s="680" t="n"/>
      <c r="Q171" s="680" t="n"/>
      <c r="R171" s="675" t="inlineStr">
        <is>
          <t>RECONDUCTION</t>
        </is>
      </c>
      <c r="S171" s="681" t="n"/>
      <c r="T171" s="682" t="n"/>
      <c r="U171" s="683" t="inlineStr">
        <is>
          <t>MUSTAPHA SEHIMI</t>
        </is>
      </c>
      <c r="V171" s="675" t="n">
        <v>2026</v>
      </c>
      <c r="W171" s="682" t="n">
        <v>46387</v>
      </c>
      <c r="X171" s="682" t="n"/>
      <c r="Y171" s="682" t="n">
        <v>46024</v>
      </c>
      <c r="Z171" s="679" t="n">
        <v>130000</v>
      </c>
      <c r="AA171" s="680" t="n"/>
      <c r="AB171" s="680">
        <f>Z171</f>
        <v/>
      </c>
      <c r="AC171" s="680" t="n"/>
      <c r="AD171" s="680">
        <f>Z171</f>
        <v/>
      </c>
      <c r="AE171" s="680">
        <f>AB171</f>
        <v/>
      </c>
      <c r="AF171" s="684" t="inlineStr">
        <is>
          <t>ENGAGE</t>
        </is>
      </c>
      <c r="AG171" s="683" t="n"/>
      <c r="AH171" s="680" t="n"/>
      <c r="AI171" s="680" t="n"/>
      <c r="AJ171" s="680" t="n"/>
      <c r="AK171" s="680" t="n"/>
      <c r="AL171" s="685" t="n"/>
      <c r="AM171" s="685" t="n"/>
      <c r="AN171" s="683" t="inlineStr">
        <is>
          <t>Manque n° contrat</t>
        </is>
      </c>
      <c r="AO171" s="686" t="n"/>
      <c r="AP171" s="687" t="n"/>
      <c r="AQ171" s="688" t="n"/>
      <c r="AR171" s="688" t="n"/>
      <c r="AS171" s="23" t="n"/>
      <c r="AT171" s="688" t="n"/>
    </row>
    <row r="172" ht="46.5" customHeight="1" s="392">
      <c r="A172" s="672">
        <f>IF(AF172="ENGAGE","✔",IF(AF172="EN COURS D'ENGAGEMENT","◕",IF(AF172="PREENGAGE","◑",IF(AF172="EN COURS DE PREENGAGEMENT","◔",IF(AF172="NON ENGAGE","✖","")))))</f>
        <v/>
      </c>
      <c r="B172" s="673" t="n">
        <v>2026</v>
      </c>
      <c r="C172" s="674" t="inlineStr">
        <is>
          <t>DPPR</t>
        </is>
      </c>
      <c r="D172" s="674" t="inlineStr">
        <is>
          <t>PV N° : 01RC2025-DPPR</t>
        </is>
      </c>
      <c r="E172" s="675" t="inlineStr">
        <is>
          <t>CONTRAT</t>
        </is>
      </c>
      <c r="F172" s="675" t="n"/>
      <c r="G172" s="676" t="inlineStr">
        <is>
          <t>SANAA CHAABAOUI  -  Préparation et présentation d’une émission de sensibilisation à la santé psychologique</t>
        </is>
      </c>
      <c r="H172" s="673" t="inlineStr">
        <is>
          <t>VALIDE</t>
        </is>
      </c>
      <c r="I172" s="675" t="inlineStr">
        <is>
          <t>APPROUVE</t>
        </is>
      </c>
      <c r="J172" s="675" t="n"/>
      <c r="K172" s="673" t="inlineStr">
        <is>
          <t>NON CONCERNE</t>
        </is>
      </c>
      <c r="L172" s="675" t="inlineStr">
        <is>
          <t>Ordinaire</t>
        </is>
      </c>
      <c r="M172" s="677" t="inlineStr">
        <is>
          <t>FONCTIONNEMENT</t>
        </is>
      </c>
      <c r="N172" s="678" t="inlineStr">
        <is>
          <t xml:space="preserve">Prestations de service
Achat prestations de services locales - personnes physiques </t>
        </is>
      </c>
      <c r="O172" s="679" t="n"/>
      <c r="P172" s="680" t="n"/>
      <c r="Q172" s="680" t="n"/>
      <c r="R172" s="675" t="inlineStr">
        <is>
          <t>RECONDUCTION</t>
        </is>
      </c>
      <c r="S172" s="681" t="n"/>
      <c r="T172" s="682" t="n"/>
      <c r="U172" s="683" t="inlineStr">
        <is>
          <t>SANAA CHAABAOUI</t>
        </is>
      </c>
      <c r="V172" s="675" t="n">
        <v>2026</v>
      </c>
      <c r="W172" s="682" t="n">
        <v>46387</v>
      </c>
      <c r="X172" s="682" t="n"/>
      <c r="Y172" s="682" t="n">
        <v>46024</v>
      </c>
      <c r="Z172" s="679" t="n">
        <v>78000</v>
      </c>
      <c r="AA172" s="680" t="n"/>
      <c r="AB172" s="680">
        <f>Z172</f>
        <v/>
      </c>
      <c r="AC172" s="680" t="n"/>
      <c r="AD172" s="680">
        <f>Z172</f>
        <v/>
      </c>
      <c r="AE172" s="680">
        <f>AB172</f>
        <v/>
      </c>
      <c r="AF172" s="684" t="inlineStr">
        <is>
          <t>ENGAGE</t>
        </is>
      </c>
      <c r="AG172" s="683" t="n"/>
      <c r="AH172" s="680" t="n"/>
      <c r="AI172" s="680" t="n"/>
      <c r="AJ172" s="680" t="n"/>
      <c r="AK172" s="680" t="n"/>
      <c r="AL172" s="685" t="n"/>
      <c r="AM172" s="685" t="n"/>
      <c r="AN172" s="683" t="inlineStr">
        <is>
          <t>Manque n° contrat</t>
        </is>
      </c>
      <c r="AO172" s="686" t="n"/>
      <c r="AP172" s="687" t="n"/>
      <c r="AQ172" s="688" t="n"/>
      <c r="AR172" s="688" t="n"/>
      <c r="AS172" s="23" t="n"/>
      <c r="AT172" s="688" t="n"/>
    </row>
    <row r="173" ht="46.5" customHeight="1" s="392">
      <c r="A173" s="672">
        <f>IF(AF173="ENGAGE","✔",IF(AF173="EN COURS D'ENGAGEMENT","◕",IF(AF173="PREENGAGE","◑",IF(AF173="EN COURS DE PREENGAGEMENT","◔",IF(AF173="NON ENGAGE","✖","")))))</f>
        <v/>
      </c>
      <c r="B173" s="673" t="n">
        <v>2026</v>
      </c>
      <c r="C173" s="674" t="inlineStr">
        <is>
          <t>DPPR</t>
        </is>
      </c>
      <c r="D173" s="674" t="inlineStr">
        <is>
          <t>PV N° : 01RC2025-DPPR</t>
        </is>
      </c>
      <c r="E173" s="675" t="inlineStr">
        <is>
          <t>CONTRAT</t>
        </is>
      </c>
      <c r="F173" s="675" t="n"/>
      <c r="G173" s="676" t="inlineStr">
        <is>
          <t>MOHAMED SELHAMI -  Chroniqueur chargé de la préparation et l’animation de l’émission RD « REPERE »</t>
        </is>
      </c>
      <c r="H173" s="673" t="inlineStr">
        <is>
          <t>VALIDE</t>
        </is>
      </c>
      <c r="I173" s="675" t="inlineStr">
        <is>
          <t>APPROUVE</t>
        </is>
      </c>
      <c r="J173" s="675" t="n"/>
      <c r="K173" s="673" t="inlineStr">
        <is>
          <t>NON CONCERNE</t>
        </is>
      </c>
      <c r="L173" s="675" t="inlineStr">
        <is>
          <t>Ordinaire</t>
        </is>
      </c>
      <c r="M173" s="677" t="inlineStr">
        <is>
          <t>FONCTIONNEMENT</t>
        </is>
      </c>
      <c r="N173" s="678" t="inlineStr">
        <is>
          <t xml:space="preserve">Prestations de service
Achat prestations de services locales - personnes physiques </t>
        </is>
      </c>
      <c r="O173" s="679" t="n"/>
      <c r="P173" s="680" t="n"/>
      <c r="Q173" s="680" t="n"/>
      <c r="R173" s="675" t="inlineStr">
        <is>
          <t>RECONDUCTION</t>
        </is>
      </c>
      <c r="S173" s="681" t="n"/>
      <c r="T173" s="682" t="n"/>
      <c r="U173" s="683" t="inlineStr">
        <is>
          <t>MOHAMED SELHAMI</t>
        </is>
      </c>
      <c r="V173" s="675" t="n">
        <v>2026</v>
      </c>
      <c r="W173" s="682" t="n">
        <v>46387</v>
      </c>
      <c r="X173" s="682" t="n"/>
      <c r="Y173" s="682" t="n">
        <v>46024</v>
      </c>
      <c r="Z173" s="679" t="n">
        <v>130000</v>
      </c>
      <c r="AA173" s="680" t="n"/>
      <c r="AB173" s="680">
        <f>Z173</f>
        <v/>
      </c>
      <c r="AC173" s="680" t="n"/>
      <c r="AD173" s="680">
        <f>Z173</f>
        <v/>
      </c>
      <c r="AE173" s="680">
        <f>AB173</f>
        <v/>
      </c>
      <c r="AF173" s="684" t="inlineStr">
        <is>
          <t>ENGAGE</t>
        </is>
      </c>
      <c r="AG173" s="683" t="n"/>
      <c r="AH173" s="680" t="n"/>
      <c r="AI173" s="680" t="n"/>
      <c r="AJ173" s="680" t="n"/>
      <c r="AK173" s="680" t="n"/>
      <c r="AL173" s="685" t="n"/>
      <c r="AM173" s="685" t="n"/>
      <c r="AN173" s="683" t="inlineStr">
        <is>
          <t>Manque n° contrat</t>
        </is>
      </c>
      <c r="AO173" s="686" t="n"/>
      <c r="AP173" s="687" t="n"/>
      <c r="AQ173" s="688" t="n"/>
      <c r="AR173" s="688" t="n"/>
      <c r="AS173" s="23" t="n"/>
      <c r="AT173" s="688" t="n"/>
    </row>
    <row r="174" ht="46.5" customHeight="1" s="392">
      <c r="A174" s="672">
        <f>IF(AF174="ENGAGE","✔",IF(AF174="EN COURS D'ENGAGEMENT","◕",IF(AF174="PREENGAGE","◑",IF(AF174="EN COURS DE PREENGAGEMENT","◔",IF(AF174="NON ENGAGE","✖","")))))</f>
        <v/>
      </c>
      <c r="B174" s="673" t="n">
        <v>2026</v>
      </c>
      <c r="C174" s="674" t="inlineStr">
        <is>
          <t>DRPSD</t>
        </is>
      </c>
      <c r="D174" s="674" t="inlineStr">
        <is>
          <t>PV N° : 01RC2025- DRPSD</t>
        </is>
      </c>
      <c r="E174" s="675" t="inlineStr">
        <is>
          <t>CONTRAT</t>
        </is>
      </c>
      <c r="F174" s="675" t="n"/>
      <c r="G174" s="676" t="inlineStr">
        <is>
          <t>ABIR BOUZID  -  Chargée de la gestion des conducteurs publicitaires</t>
        </is>
      </c>
      <c r="H174" s="673" t="inlineStr">
        <is>
          <t>VALIDE</t>
        </is>
      </c>
      <c r="I174" s="675" t="inlineStr">
        <is>
          <t>APPROUVE</t>
        </is>
      </c>
      <c r="J174" s="675" t="n"/>
      <c r="K174" s="673" t="inlineStr">
        <is>
          <t>NON CONCERNE</t>
        </is>
      </c>
      <c r="L174" s="675" t="inlineStr">
        <is>
          <t>Ordinaire</t>
        </is>
      </c>
      <c r="M174" s="677" t="inlineStr">
        <is>
          <t>FONCTIONNEMENT</t>
        </is>
      </c>
      <c r="N174" s="678" t="inlineStr">
        <is>
          <t xml:space="preserve">Prestations de service
Achat prestations de services locales - personnes physiques </t>
        </is>
      </c>
      <c r="O174" s="679" t="n"/>
      <c r="P174" s="680" t="n"/>
      <c r="Q174" s="680" t="n"/>
      <c r="R174" s="675" t="inlineStr">
        <is>
          <t>RECONDUCTION</t>
        </is>
      </c>
      <c r="S174" s="681" t="n"/>
      <c r="T174" s="682" t="n"/>
      <c r="U174" s="683" t="inlineStr">
        <is>
          <t>ABIR BOUZID</t>
        </is>
      </c>
      <c r="V174" s="675" t="n">
        <v>2026</v>
      </c>
      <c r="W174" s="682" t="n">
        <v>46387</v>
      </c>
      <c r="X174" s="682" t="n"/>
      <c r="Y174" s="682" t="n">
        <v>46024</v>
      </c>
      <c r="Z174" s="679" t="n">
        <v>120000</v>
      </c>
      <c r="AA174" s="680" t="n"/>
      <c r="AB174" s="680">
        <f>Z174</f>
        <v/>
      </c>
      <c r="AC174" s="680" t="n"/>
      <c r="AD174" s="680">
        <f>Z174</f>
        <v/>
      </c>
      <c r="AE174" s="680">
        <f>AB174</f>
        <v/>
      </c>
      <c r="AF174" s="684" t="inlineStr">
        <is>
          <t>ENGAGE</t>
        </is>
      </c>
      <c r="AG174" s="683" t="n"/>
      <c r="AH174" s="680" t="n"/>
      <c r="AI174" s="680" t="n"/>
      <c r="AJ174" s="680" t="n"/>
      <c r="AK174" s="680" t="n"/>
      <c r="AL174" s="685" t="n"/>
      <c r="AM174" s="685" t="n"/>
      <c r="AN174" s="683" t="inlineStr">
        <is>
          <t>Manque n° contrat</t>
        </is>
      </c>
      <c r="AO174" s="686" t="n"/>
      <c r="AP174" s="687" t="n"/>
      <c r="AQ174" s="688" t="n"/>
      <c r="AR174" s="688" t="n"/>
      <c r="AS174" s="23" t="n"/>
      <c r="AT174" s="688" t="n"/>
    </row>
    <row r="175" ht="46.5" customHeight="1" s="392">
      <c r="A175" s="672">
        <f>IF(AF175="ENGAGE","✔",IF(AF175="EN COURS D'ENGAGEMENT","◕",IF(AF175="PREENGAGE","◑",IF(AF175="EN COURS DE PREENGAGEMENT","◔",IF(AF175="NON ENGAGE","✖","")))))</f>
        <v/>
      </c>
      <c r="B175" s="673" t="n">
        <v>2026</v>
      </c>
      <c r="C175" s="674" t="inlineStr">
        <is>
          <t>DRPSD</t>
        </is>
      </c>
      <c r="D175" s="674" t="inlineStr">
        <is>
          <t>PV N° : 01RC2025- DRPSD</t>
        </is>
      </c>
      <c r="E175" s="675" t="inlineStr">
        <is>
          <t>CONTRAT</t>
        </is>
      </c>
      <c r="F175" s="675" t="n"/>
      <c r="G175" s="676" t="inlineStr">
        <is>
          <t>NAJI RABEH  -  Chargé de la gestion des écrans publicitaires</t>
        </is>
      </c>
      <c r="H175" s="673" t="inlineStr">
        <is>
          <t>VALIDE</t>
        </is>
      </c>
      <c r="I175" s="675" t="inlineStr">
        <is>
          <t>APPROUVE</t>
        </is>
      </c>
      <c r="J175" s="675" t="n"/>
      <c r="K175" s="673" t="inlineStr">
        <is>
          <t>NON CONCERNE</t>
        </is>
      </c>
      <c r="L175" s="675" t="inlineStr">
        <is>
          <t>Ordinaire</t>
        </is>
      </c>
      <c r="M175" s="677" t="inlineStr">
        <is>
          <t>FONCTIONNEMENT</t>
        </is>
      </c>
      <c r="N175" s="678" t="inlineStr">
        <is>
          <t xml:space="preserve">Prestations de service
Achat prestations de services locales - personnes physiques </t>
        </is>
      </c>
      <c r="O175" s="679" t="n"/>
      <c r="P175" s="680" t="n"/>
      <c r="Q175" s="680" t="n"/>
      <c r="R175" s="675" t="inlineStr">
        <is>
          <t>RECONDUCTION</t>
        </is>
      </c>
      <c r="S175" s="681" t="n"/>
      <c r="T175" s="682" t="n"/>
      <c r="U175" s="683" t="inlineStr">
        <is>
          <t>NAJI RABEH</t>
        </is>
      </c>
      <c r="V175" s="675" t="n">
        <v>2026</v>
      </c>
      <c r="W175" s="682" t="n">
        <v>46387</v>
      </c>
      <c r="X175" s="682" t="n"/>
      <c r="Y175" s="682" t="n">
        <v>46024</v>
      </c>
      <c r="Z175" s="679" t="n">
        <v>120000</v>
      </c>
      <c r="AA175" s="680" t="n"/>
      <c r="AB175" s="680">
        <f>Z175</f>
        <v/>
      </c>
      <c r="AC175" s="680" t="n"/>
      <c r="AD175" s="680">
        <f>Z175</f>
        <v/>
      </c>
      <c r="AE175" s="680">
        <f>AB175</f>
        <v/>
      </c>
      <c r="AF175" s="684" t="inlineStr">
        <is>
          <t>ENGAGE</t>
        </is>
      </c>
      <c r="AG175" s="683" t="n"/>
      <c r="AH175" s="680" t="n"/>
      <c r="AI175" s="680" t="n"/>
      <c r="AJ175" s="680" t="n"/>
      <c r="AK175" s="680" t="n"/>
      <c r="AL175" s="685" t="n"/>
      <c r="AM175" s="685" t="n"/>
      <c r="AN175" s="683" t="inlineStr">
        <is>
          <t>Manque n° contrat</t>
        </is>
      </c>
      <c r="AO175" s="686" t="n"/>
      <c r="AP175" s="687" t="n"/>
      <c r="AQ175" s="688" t="n"/>
      <c r="AR175" s="688" t="n"/>
      <c r="AS175" s="23" t="n"/>
      <c r="AT175" s="688" t="n"/>
    </row>
    <row r="176" ht="46.5" customHeight="1" s="392">
      <c r="A176" s="672">
        <f>IF(AF176="ENGAGE","✔",IF(AF176="EN COURS D'ENGAGEMENT","◕",IF(AF176="PREENGAGE","◑",IF(AF176="EN COURS DE PREENGAGEMENT","◔",IF(AF176="NON ENGAGE","✖","")))))</f>
        <v/>
      </c>
      <c r="B176" s="673" t="n">
        <v>2026</v>
      </c>
      <c r="C176" s="674" t="inlineStr">
        <is>
          <t>DRPSD</t>
        </is>
      </c>
      <c r="D176" s="674" t="inlineStr">
        <is>
          <t>PV N° : 01RC2025- DRPSD</t>
        </is>
      </c>
      <c r="E176" s="675" t="inlineStr">
        <is>
          <t>CONTRAT</t>
        </is>
      </c>
      <c r="F176" s="675" t="n"/>
      <c r="G176" s="676" t="inlineStr">
        <is>
          <t>MOHAMED CHARIF DJEBLI  -  Informaticien, chargé de la sécurisation des plateformes digitales de la SNRT</t>
        </is>
      </c>
      <c r="H176" s="673" t="inlineStr">
        <is>
          <t>VALIDE</t>
        </is>
      </c>
      <c r="I176" s="675" t="inlineStr">
        <is>
          <t>APPROUVE</t>
        </is>
      </c>
      <c r="J176" s="675" t="n"/>
      <c r="K176" s="673" t="inlineStr">
        <is>
          <t>NON CONCERNE</t>
        </is>
      </c>
      <c r="L176" s="675" t="inlineStr">
        <is>
          <t>Ordinaire</t>
        </is>
      </c>
      <c r="M176" s="677" t="inlineStr">
        <is>
          <t>FONCTIONNEMENT</t>
        </is>
      </c>
      <c r="N176" s="678" t="inlineStr">
        <is>
          <t xml:space="preserve">Prestations de service
Achat prestations de services locales - personnes physiques </t>
        </is>
      </c>
      <c r="O176" s="679" t="n"/>
      <c r="P176" s="680" t="n"/>
      <c r="Q176" s="680" t="n"/>
      <c r="R176" s="675" t="inlineStr">
        <is>
          <t>RECONDUCTION</t>
        </is>
      </c>
      <c r="S176" s="681" t="n"/>
      <c r="T176" s="682" t="n"/>
      <c r="U176" s="683" t="inlineStr">
        <is>
          <t>MOHAMED CHARIF DJEBLI</t>
        </is>
      </c>
      <c r="V176" s="675" t="n">
        <v>2026</v>
      </c>
      <c r="W176" s="682" t="n">
        <v>46387</v>
      </c>
      <c r="X176" s="682" t="n"/>
      <c r="Y176" s="682" t="n">
        <v>46024</v>
      </c>
      <c r="Z176" s="679" t="n">
        <v>121212.12</v>
      </c>
      <c r="AA176" s="680" t="n"/>
      <c r="AB176" s="680">
        <f>Z176</f>
        <v/>
      </c>
      <c r="AC176" s="680" t="n"/>
      <c r="AD176" s="680">
        <f>Z176</f>
        <v/>
      </c>
      <c r="AE176" s="680">
        <f>AB176</f>
        <v/>
      </c>
      <c r="AF176" s="684" t="inlineStr">
        <is>
          <t>ENGAGE</t>
        </is>
      </c>
      <c r="AG176" s="683" t="n"/>
      <c r="AH176" s="680" t="n"/>
      <c r="AI176" s="680" t="n"/>
      <c r="AJ176" s="680" t="n"/>
      <c r="AK176" s="680" t="n"/>
      <c r="AL176" s="685" t="n"/>
      <c r="AM176" s="685" t="n"/>
      <c r="AN176" s="683" t="inlineStr">
        <is>
          <t>Manque n° contrat</t>
        </is>
      </c>
      <c r="AO176" s="686" t="n"/>
      <c r="AP176" s="687" t="n"/>
      <c r="AQ176" s="688" t="n"/>
      <c r="AR176" s="688" t="n"/>
      <c r="AS176" s="23" t="n"/>
      <c r="AT176" s="688" t="n"/>
    </row>
    <row r="177" ht="50.55" customHeight="1" s="392">
      <c r="A177" s="672">
        <f>IF(AF177="ENGAGE","✔",IF(AF177="EN COURS D'ENGAGEMENT","◕",IF(AF177="PREENGAGE","◑",IF(AF177="EN COURS DE PREENGAGEMENT","◔",IF(AF177="NON ENGAGE","✖","")))))</f>
        <v/>
      </c>
      <c r="B177" s="673" t="n">
        <v>2026</v>
      </c>
      <c r="C177" s="674" t="inlineStr">
        <is>
          <t>DRPSD</t>
        </is>
      </c>
      <c r="D177" s="674" t="inlineStr">
        <is>
          <t>PV N° : 01RC2025-DRPSD-SNRTNEWS</t>
        </is>
      </c>
      <c r="E177" s="675" t="inlineStr">
        <is>
          <t>CONTRAT</t>
        </is>
      </c>
      <c r="F177" s="675" t="n"/>
      <c r="G177" s="676" t="inlineStr">
        <is>
          <t>JAMAL EL KHANOUSSI  -  Chargé de la rédaction, de la coordination et de la production du contenu de la plateforme SNRTNEWS.</t>
        </is>
      </c>
      <c r="H177" s="673" t="inlineStr">
        <is>
          <t>VALIDE</t>
        </is>
      </c>
      <c r="I177" s="675" t="inlineStr">
        <is>
          <t>APPROUVE</t>
        </is>
      </c>
      <c r="J177" s="675" t="n"/>
      <c r="K177" s="673" t="inlineStr">
        <is>
          <t>NON CONCERNE</t>
        </is>
      </c>
      <c r="L177" s="675" t="inlineStr">
        <is>
          <t>Ordinaire</t>
        </is>
      </c>
      <c r="M177" s="677" t="inlineStr">
        <is>
          <t>FONCTIONNEMENT</t>
        </is>
      </c>
      <c r="N177" s="678" t="inlineStr">
        <is>
          <t xml:space="preserve">Prestations de service
Achat prestations de services locales - personnes physiques </t>
        </is>
      </c>
      <c r="O177" s="679" t="n"/>
      <c r="P177" s="680" t="n"/>
      <c r="Q177" s="680" t="n"/>
      <c r="R177" s="675" t="inlineStr">
        <is>
          <t>RECONDUCTION</t>
        </is>
      </c>
      <c r="S177" s="681" t="n"/>
      <c r="T177" s="682" t="n"/>
      <c r="U177" s="683" t="inlineStr">
        <is>
          <t>JAMAL EL KHANOUSSI</t>
        </is>
      </c>
      <c r="V177" s="675" t="n">
        <v>2026</v>
      </c>
      <c r="W177" s="682" t="n">
        <v>46387</v>
      </c>
      <c r="X177" s="682" t="n"/>
      <c r="Y177" s="682" t="n">
        <v>46024</v>
      </c>
      <c r="Z177" s="679" t="n">
        <v>694285.6800000001</v>
      </c>
      <c r="AA177" s="680" t="n"/>
      <c r="AB177" s="680">
        <f>Z177</f>
        <v/>
      </c>
      <c r="AC177" s="680" t="n"/>
      <c r="AD177" s="680">
        <f>Z177</f>
        <v/>
      </c>
      <c r="AE177" s="680">
        <f>AB177</f>
        <v/>
      </c>
      <c r="AF177" s="684" t="inlineStr">
        <is>
          <t>ENGAGE</t>
        </is>
      </c>
      <c r="AG177" s="683" t="n"/>
      <c r="AH177" s="680" t="n"/>
      <c r="AI177" s="680" t="n"/>
      <c r="AJ177" s="680" t="n"/>
      <c r="AK177" s="680" t="n"/>
      <c r="AL177" s="685" t="n"/>
      <c r="AM177" s="685" t="n"/>
      <c r="AN177" s="683" t="inlineStr">
        <is>
          <t>Manque n° contrat</t>
        </is>
      </c>
      <c r="AO177" s="686" t="n"/>
      <c r="AP177" s="687" t="n"/>
      <c r="AQ177" s="688" t="n"/>
      <c r="AR177" s="688" t="n"/>
      <c r="AS177" s="23" t="n"/>
      <c r="AT177" s="688" t="n"/>
    </row>
    <row r="178" ht="46.5" customHeight="1" s="392">
      <c r="A178" s="672">
        <f>IF(AF178="ENGAGE","✔",IF(AF178="EN COURS D'ENGAGEMENT","◕",IF(AF178="PREENGAGE","◑",IF(AF178="EN COURS DE PREENGAGEMENT","◔",IF(AF178="NON ENGAGE","✖","")))))</f>
        <v/>
      </c>
      <c r="B178" s="673" t="n">
        <v>2026</v>
      </c>
      <c r="C178" s="674" t="inlineStr">
        <is>
          <t>DRPSD</t>
        </is>
      </c>
      <c r="D178" s="674" t="inlineStr">
        <is>
          <t>PV N° : 01RC2025-DRPSD-SNRTNEWS</t>
        </is>
      </c>
      <c r="E178" s="675" t="inlineStr">
        <is>
          <t>CONTRAT</t>
        </is>
      </c>
      <c r="F178" s="675" t="n"/>
      <c r="G178" s="676" t="inlineStr">
        <is>
          <t>SALAH ELGOUMRI  -  Journaliste</t>
        </is>
      </c>
      <c r="H178" s="673" t="inlineStr">
        <is>
          <t>VALIDE</t>
        </is>
      </c>
      <c r="I178" s="675" t="inlineStr">
        <is>
          <t>APPROUVE</t>
        </is>
      </c>
      <c r="J178" s="675" t="n"/>
      <c r="K178" s="673" t="inlineStr">
        <is>
          <t>NON CONCERNE</t>
        </is>
      </c>
      <c r="L178" s="675" t="inlineStr">
        <is>
          <t>Ordinaire</t>
        </is>
      </c>
      <c r="M178" s="677" t="inlineStr">
        <is>
          <t>FONCTIONNEMENT</t>
        </is>
      </c>
      <c r="N178" s="678" t="inlineStr">
        <is>
          <t xml:space="preserve">Prestations de service
Achat prestations de services locales - personnes physiques </t>
        </is>
      </c>
      <c r="O178" s="679" t="n"/>
      <c r="P178" s="680" t="n"/>
      <c r="Q178" s="680" t="n"/>
      <c r="R178" s="675" t="inlineStr">
        <is>
          <t>RECONDUCTION</t>
        </is>
      </c>
      <c r="S178" s="681" t="n"/>
      <c r="T178" s="682" t="n"/>
      <c r="U178" s="683" t="inlineStr">
        <is>
          <t xml:space="preserve">SALAH ELGOUMRI </t>
        </is>
      </c>
      <c r="V178" s="675" t="n">
        <v>2026</v>
      </c>
      <c r="W178" s="682" t="n">
        <v>46387</v>
      </c>
      <c r="X178" s="682" t="n"/>
      <c r="Y178" s="682" t="n">
        <v>46024</v>
      </c>
      <c r="Z178" s="679" t="n">
        <v>127272.72</v>
      </c>
      <c r="AA178" s="680" t="n"/>
      <c r="AB178" s="680">
        <f>Z178</f>
        <v/>
      </c>
      <c r="AC178" s="680" t="n"/>
      <c r="AD178" s="680">
        <f>Z178</f>
        <v/>
      </c>
      <c r="AE178" s="680">
        <f>AB178</f>
        <v/>
      </c>
      <c r="AF178" s="684" t="inlineStr">
        <is>
          <t>ENGAGE</t>
        </is>
      </c>
      <c r="AG178" s="683" t="n"/>
      <c r="AH178" s="680" t="n"/>
      <c r="AI178" s="680" t="n"/>
      <c r="AJ178" s="680" t="n"/>
      <c r="AK178" s="680" t="n"/>
      <c r="AL178" s="685" t="n"/>
      <c r="AM178" s="685" t="n"/>
      <c r="AN178" s="683" t="inlineStr">
        <is>
          <t>Manque n° contrat</t>
        </is>
      </c>
      <c r="AO178" s="686" t="n"/>
      <c r="AP178" s="687" t="n"/>
      <c r="AQ178" s="688" t="n"/>
      <c r="AR178" s="688" t="n"/>
      <c r="AS178" s="23" t="n"/>
      <c r="AT178" s="688" t="n"/>
    </row>
    <row r="179" ht="46.5" customHeight="1" s="392">
      <c r="A179" s="672">
        <f>IF(AF179="ENGAGE","✔",IF(AF179="EN COURS D'ENGAGEMENT","◕",IF(AF179="PREENGAGE","◑",IF(AF179="EN COURS DE PREENGAGEMENT","◔",IF(AF179="NON ENGAGE","✖","")))))</f>
        <v/>
      </c>
      <c r="B179" s="673" t="n">
        <v>2026</v>
      </c>
      <c r="C179" s="674" t="inlineStr">
        <is>
          <t>DRPSD</t>
        </is>
      </c>
      <c r="D179" s="674" t="inlineStr">
        <is>
          <t>PV N° : 01RC2025-DRPSD-SNRTNEWS</t>
        </is>
      </c>
      <c r="E179" s="675" t="inlineStr">
        <is>
          <t>CONTRAT</t>
        </is>
      </c>
      <c r="F179" s="675" t="n"/>
      <c r="G179" s="676" t="inlineStr">
        <is>
          <t>BOUCHRA EL AOUMARI  -  Assistante de Rédaction</t>
        </is>
      </c>
      <c r="H179" s="673" t="inlineStr">
        <is>
          <t>VALIDE</t>
        </is>
      </c>
      <c r="I179" s="675" t="inlineStr">
        <is>
          <t>APPROUVE</t>
        </is>
      </c>
      <c r="J179" s="675" t="n"/>
      <c r="K179" s="673" t="inlineStr">
        <is>
          <t>NON CONCERNE</t>
        </is>
      </c>
      <c r="L179" s="675" t="inlineStr">
        <is>
          <t>Ordinaire</t>
        </is>
      </c>
      <c r="M179" s="677" t="inlineStr">
        <is>
          <t>FONCTIONNEMENT</t>
        </is>
      </c>
      <c r="N179" s="678" t="inlineStr">
        <is>
          <t xml:space="preserve">Prestations de service
Achat prestations de services locales - personnes physiques </t>
        </is>
      </c>
      <c r="O179" s="679" t="n"/>
      <c r="P179" s="680" t="n"/>
      <c r="Q179" s="680" t="n"/>
      <c r="R179" s="675" t="inlineStr">
        <is>
          <t>RECONDUCTION</t>
        </is>
      </c>
      <c r="S179" s="681" t="n"/>
      <c r="T179" s="682" t="n"/>
      <c r="U179" s="683" t="inlineStr">
        <is>
          <t>BOUCHRA EL AOUMARI</t>
        </is>
      </c>
      <c r="V179" s="675" t="n">
        <v>2026</v>
      </c>
      <c r="W179" s="682" t="n">
        <v>46387</v>
      </c>
      <c r="X179" s="682" t="n"/>
      <c r="Y179" s="682" t="n">
        <v>46024</v>
      </c>
      <c r="Z179" s="679" t="n">
        <v>193939.44</v>
      </c>
      <c r="AA179" s="680" t="n"/>
      <c r="AB179" s="680">
        <f>Z179</f>
        <v/>
      </c>
      <c r="AC179" s="680" t="n"/>
      <c r="AD179" s="680">
        <f>Z179</f>
        <v/>
      </c>
      <c r="AE179" s="680">
        <f>AB179</f>
        <v/>
      </c>
      <c r="AF179" s="684" t="inlineStr">
        <is>
          <t>ENGAGE</t>
        </is>
      </c>
      <c r="AG179" s="683" t="n"/>
      <c r="AH179" s="680" t="n"/>
      <c r="AI179" s="680" t="n"/>
      <c r="AJ179" s="680" t="n"/>
      <c r="AK179" s="680" t="n"/>
      <c r="AL179" s="685" t="n"/>
      <c r="AM179" s="685" t="n"/>
      <c r="AN179" s="683" t="inlineStr">
        <is>
          <t>Manque n° contrat</t>
        </is>
      </c>
      <c r="AO179" s="686" t="n"/>
      <c r="AP179" s="687" t="n"/>
      <c r="AQ179" s="688" t="n"/>
      <c r="AR179" s="688" t="n"/>
      <c r="AS179" s="23" t="n"/>
      <c r="AT179" s="688" t="n"/>
    </row>
    <row r="180" ht="46.5" customHeight="1" s="392">
      <c r="A180" s="672">
        <f>IF(AF180="ENGAGE","✔",IF(AF180="EN COURS D'ENGAGEMENT","◕",IF(AF180="PREENGAGE","◑",IF(AF180="EN COURS DE PREENGAGEMENT","◔",IF(AF180="NON ENGAGE","✖","")))))</f>
        <v/>
      </c>
      <c r="B180" s="673" t="n">
        <v>2026</v>
      </c>
      <c r="C180" s="674" t="inlineStr">
        <is>
          <t>DRPSD</t>
        </is>
      </c>
      <c r="D180" s="674" t="inlineStr">
        <is>
          <t>PV N° : 01RC2025-DRPSD-SNRTNEWS</t>
        </is>
      </c>
      <c r="E180" s="675" t="inlineStr">
        <is>
          <t>CONTRAT</t>
        </is>
      </c>
      <c r="F180" s="675" t="n"/>
      <c r="G180" s="676" t="inlineStr">
        <is>
          <t>MOHAMMED ELASRI  -  Chef Monteur</t>
        </is>
      </c>
      <c r="H180" s="673" t="inlineStr">
        <is>
          <t>VALIDE</t>
        </is>
      </c>
      <c r="I180" s="675" t="inlineStr">
        <is>
          <t>APPROUVE</t>
        </is>
      </c>
      <c r="J180" s="675" t="n"/>
      <c r="K180" s="673" t="inlineStr">
        <is>
          <t>NON CONCERNE</t>
        </is>
      </c>
      <c r="L180" s="675" t="inlineStr">
        <is>
          <t>Ordinaire</t>
        </is>
      </c>
      <c r="M180" s="677" t="inlineStr">
        <is>
          <t>FONCTIONNEMENT</t>
        </is>
      </c>
      <c r="N180" s="678" t="inlineStr">
        <is>
          <t xml:space="preserve">Prestations de service
Achat prestations de services locales - personnes physiques </t>
        </is>
      </c>
      <c r="O180" s="679" t="n"/>
      <c r="P180" s="680" t="n"/>
      <c r="Q180" s="680" t="n"/>
      <c r="R180" s="675" t="inlineStr">
        <is>
          <t>RECONDUCTION</t>
        </is>
      </c>
      <c r="S180" s="681" t="n"/>
      <c r="T180" s="682" t="n"/>
      <c r="U180" s="683" t="inlineStr">
        <is>
          <t>MOHAMMED ELASRI</t>
        </is>
      </c>
      <c r="V180" s="675" t="n">
        <v>2026</v>
      </c>
      <c r="W180" s="682" t="n">
        <v>46387</v>
      </c>
      <c r="X180" s="682" t="n"/>
      <c r="Y180" s="682" t="n">
        <v>46024</v>
      </c>
      <c r="Z180" s="679" t="n">
        <v>240000</v>
      </c>
      <c r="AA180" s="680" t="n"/>
      <c r="AB180" s="680">
        <f>Z180</f>
        <v/>
      </c>
      <c r="AC180" s="680" t="n"/>
      <c r="AD180" s="680">
        <f>Z180</f>
        <v/>
      </c>
      <c r="AE180" s="680">
        <f>AB180</f>
        <v/>
      </c>
      <c r="AF180" s="684" t="inlineStr">
        <is>
          <t>ENGAGE</t>
        </is>
      </c>
      <c r="AG180" s="683" t="n"/>
      <c r="AH180" s="680" t="n"/>
      <c r="AI180" s="680" t="n"/>
      <c r="AJ180" s="680" t="n"/>
      <c r="AK180" s="680" t="n"/>
      <c r="AL180" s="685" t="n"/>
      <c r="AM180" s="685" t="n"/>
      <c r="AN180" s="683" t="inlineStr">
        <is>
          <t>Manque n° contrat</t>
        </is>
      </c>
      <c r="AO180" s="686" t="n"/>
      <c r="AP180" s="687" t="n"/>
      <c r="AQ180" s="688" t="n"/>
      <c r="AR180" s="688" t="n"/>
      <c r="AS180" s="23" t="n"/>
      <c r="AT180" s="688" t="n"/>
    </row>
    <row r="181" ht="46.5" customHeight="1" s="392">
      <c r="A181" s="672">
        <f>IF(AF181="ENGAGE","✔",IF(AF181="EN COURS D'ENGAGEMENT","◕",IF(AF181="PREENGAGE","◑",IF(AF181="EN COURS DE PREENGAGEMENT","◔",IF(AF181="NON ENGAGE","✖","")))))</f>
        <v/>
      </c>
      <c r="B181" s="673" t="n">
        <v>2026</v>
      </c>
      <c r="C181" s="674" t="inlineStr">
        <is>
          <t>DRPSD</t>
        </is>
      </c>
      <c r="D181" s="674" t="inlineStr">
        <is>
          <t>PV N° : 01RC2025-DRPSD-SNRTNEWS</t>
        </is>
      </c>
      <c r="E181" s="675" t="inlineStr">
        <is>
          <t>CONTRAT</t>
        </is>
      </c>
      <c r="F181" s="675" t="n"/>
      <c r="G181" s="676" t="inlineStr">
        <is>
          <t>MOUSSA MATROUF  -  Secrétaire de Rédaction</t>
        </is>
      </c>
      <c r="H181" s="673" t="inlineStr">
        <is>
          <t>VALIDE</t>
        </is>
      </c>
      <c r="I181" s="675" t="inlineStr">
        <is>
          <t>APPROUVE</t>
        </is>
      </c>
      <c r="J181" s="675" t="n"/>
      <c r="K181" s="673" t="inlineStr">
        <is>
          <t>NON CONCERNE</t>
        </is>
      </c>
      <c r="L181" s="675" t="inlineStr">
        <is>
          <t>Ordinaire</t>
        </is>
      </c>
      <c r="M181" s="677" t="inlineStr">
        <is>
          <t>FONCTIONNEMENT</t>
        </is>
      </c>
      <c r="N181" s="678" t="inlineStr">
        <is>
          <t xml:space="preserve">Prestations de service
Achat prestations de services locales - personnes physiques </t>
        </is>
      </c>
      <c r="O181" s="679" t="n"/>
      <c r="P181" s="680" t="n"/>
      <c r="Q181" s="680" t="n"/>
      <c r="R181" s="675" t="inlineStr">
        <is>
          <t>RECONDUCTION</t>
        </is>
      </c>
      <c r="S181" s="681" t="n"/>
      <c r="T181" s="682" t="n"/>
      <c r="U181" s="683" t="inlineStr">
        <is>
          <t>MOUSSA MATROUF</t>
        </is>
      </c>
      <c r="V181" s="675" t="n">
        <v>2026</v>
      </c>
      <c r="W181" s="682" t="n">
        <v>46387</v>
      </c>
      <c r="X181" s="682" t="n"/>
      <c r="Y181" s="682" t="n">
        <v>46024</v>
      </c>
      <c r="Z181" s="679" t="n">
        <v>377142.72</v>
      </c>
      <c r="AA181" s="680" t="n"/>
      <c r="AB181" s="680">
        <f>Z181</f>
        <v/>
      </c>
      <c r="AC181" s="680" t="n"/>
      <c r="AD181" s="680">
        <f>Z181</f>
        <v/>
      </c>
      <c r="AE181" s="680">
        <f>AB181</f>
        <v/>
      </c>
      <c r="AF181" s="684" t="inlineStr">
        <is>
          <t>ENGAGE</t>
        </is>
      </c>
      <c r="AG181" s="683" t="n"/>
      <c r="AH181" s="680" t="n"/>
      <c r="AI181" s="680" t="n"/>
      <c r="AJ181" s="680" t="n"/>
      <c r="AK181" s="680" t="n"/>
      <c r="AL181" s="685" t="n"/>
      <c r="AM181" s="685" t="n"/>
      <c r="AN181" s="683" t="inlineStr">
        <is>
          <t>Manque n° contrat</t>
        </is>
      </c>
      <c r="AO181" s="686" t="n"/>
      <c r="AP181" s="687" t="n"/>
      <c r="AQ181" s="688" t="n"/>
      <c r="AR181" s="688" t="n"/>
      <c r="AS181" s="23" t="n"/>
      <c r="AT181" s="688" t="n"/>
    </row>
    <row r="182" ht="46.5" customHeight="1" s="392">
      <c r="A182" s="672">
        <f>IF(AF182="ENGAGE","✔",IF(AF182="EN COURS D'ENGAGEMENT","◕",IF(AF182="PREENGAGE","◑",IF(AF182="EN COURS DE PREENGAGEMENT","◔",IF(AF182="NON ENGAGE","✖","")))))</f>
        <v/>
      </c>
      <c r="B182" s="673" t="n">
        <v>2026</v>
      </c>
      <c r="C182" s="674" t="inlineStr">
        <is>
          <t>DRPSD</t>
        </is>
      </c>
      <c r="D182" s="674" t="inlineStr">
        <is>
          <t>PV N° : 01RC2025-DRPSD-SNRTNEWS</t>
        </is>
      </c>
      <c r="E182" s="675" t="inlineStr">
        <is>
          <t>CONTRAT</t>
        </is>
      </c>
      <c r="F182" s="675" t="n"/>
      <c r="G182" s="676" t="inlineStr">
        <is>
          <t>MUSTAPHA AZOUGAH  -  Secrétaire de Rédaction</t>
        </is>
      </c>
      <c r="H182" s="673" t="inlineStr">
        <is>
          <t>VALIDE</t>
        </is>
      </c>
      <c r="I182" s="675" t="inlineStr">
        <is>
          <t>APPROUVE</t>
        </is>
      </c>
      <c r="J182" s="675" t="n"/>
      <c r="K182" s="673" t="inlineStr">
        <is>
          <t>NON CONCERNE</t>
        </is>
      </c>
      <c r="L182" s="675" t="inlineStr">
        <is>
          <t>Ordinaire</t>
        </is>
      </c>
      <c r="M182" s="677" t="inlineStr">
        <is>
          <t>FONCTIONNEMENT</t>
        </is>
      </c>
      <c r="N182" s="678" t="inlineStr">
        <is>
          <t xml:space="preserve">Prestations de service
Achat prestations de services locales - personnes physiques </t>
        </is>
      </c>
      <c r="O182" s="679" t="n"/>
      <c r="P182" s="680" t="n"/>
      <c r="Q182" s="680" t="n"/>
      <c r="R182" s="675" t="inlineStr">
        <is>
          <t>RECONDUCTION</t>
        </is>
      </c>
      <c r="S182" s="681" t="n"/>
      <c r="T182" s="682" t="n"/>
      <c r="U182" s="683" t="inlineStr">
        <is>
          <t>MUSTAPHA AZOUGAH</t>
        </is>
      </c>
      <c r="V182" s="675" t="n">
        <v>2026</v>
      </c>
      <c r="W182" s="682" t="n">
        <v>46387</v>
      </c>
      <c r="X182" s="682" t="n"/>
      <c r="Y182" s="682" t="n">
        <v>46024</v>
      </c>
      <c r="Z182" s="679" t="n">
        <v>342857.04</v>
      </c>
      <c r="AA182" s="680" t="n"/>
      <c r="AB182" s="680">
        <f>Z182</f>
        <v/>
      </c>
      <c r="AC182" s="680" t="n"/>
      <c r="AD182" s="680">
        <f>Z182</f>
        <v/>
      </c>
      <c r="AE182" s="680">
        <f>AB182</f>
        <v/>
      </c>
      <c r="AF182" s="684" t="inlineStr">
        <is>
          <t>ENGAGE</t>
        </is>
      </c>
      <c r="AG182" s="683" t="n"/>
      <c r="AH182" s="680" t="n"/>
      <c r="AI182" s="680" t="n"/>
      <c r="AJ182" s="680" t="n"/>
      <c r="AK182" s="680" t="n"/>
      <c r="AL182" s="685" t="n"/>
      <c r="AM182" s="685" t="n"/>
      <c r="AN182" s="683" t="inlineStr">
        <is>
          <t>Manque n° contrat</t>
        </is>
      </c>
      <c r="AO182" s="686" t="n"/>
      <c r="AP182" s="687" t="n"/>
      <c r="AQ182" s="688" t="n"/>
      <c r="AR182" s="688" t="n"/>
      <c r="AS182" s="23" t="n"/>
      <c r="AT182" s="688" t="n"/>
    </row>
    <row r="183" ht="46.5" customHeight="1" s="392">
      <c r="A183" s="672">
        <f>IF(AF183="ENGAGE","✔",IF(AF183="EN COURS D'ENGAGEMENT","◕",IF(AF183="PREENGAGE","◑",IF(AF183="EN COURS DE PREENGAGEMENT","◔",IF(AF183="NON ENGAGE","✖","")))))</f>
        <v/>
      </c>
      <c r="B183" s="673" t="n">
        <v>2026</v>
      </c>
      <c r="C183" s="674" t="inlineStr">
        <is>
          <t>DRPSD</t>
        </is>
      </c>
      <c r="D183" s="674" t="inlineStr">
        <is>
          <t>PV N° : 01RC2025-DRPSD-SNRTNEWS</t>
        </is>
      </c>
      <c r="E183" s="675" t="inlineStr">
        <is>
          <t>CONTRAT</t>
        </is>
      </c>
      <c r="F183" s="675" t="n"/>
      <c r="G183" s="676" t="inlineStr">
        <is>
          <t>WALID KDIDIR -  Monteur - Infographiste</t>
        </is>
      </c>
      <c r="H183" s="673" t="inlineStr">
        <is>
          <t>VALIDE</t>
        </is>
      </c>
      <c r="I183" s="675" t="inlineStr">
        <is>
          <t>APPROUVE</t>
        </is>
      </c>
      <c r="J183" s="675" t="n"/>
      <c r="K183" s="673" t="inlineStr">
        <is>
          <t>NON CONCERNE</t>
        </is>
      </c>
      <c r="L183" s="675" t="inlineStr">
        <is>
          <t>Ordinaire</t>
        </is>
      </c>
      <c r="M183" s="677" t="inlineStr">
        <is>
          <t>FONCTIONNEMENT</t>
        </is>
      </c>
      <c r="N183" s="678" t="inlineStr">
        <is>
          <t xml:space="preserve">Prestations de service
Achat prestations de services locales - personnes physiques </t>
        </is>
      </c>
      <c r="O183" s="679" t="n"/>
      <c r="P183" s="680" t="n"/>
      <c r="Q183" s="680" t="n"/>
      <c r="R183" s="675" t="inlineStr">
        <is>
          <t>RECONDUCTION</t>
        </is>
      </c>
      <c r="S183" s="681" t="n"/>
      <c r="T183" s="682" t="n"/>
      <c r="U183" s="683" t="inlineStr">
        <is>
          <t>WALID KDIDIR</t>
        </is>
      </c>
      <c r="V183" s="675" t="n">
        <v>2026</v>
      </c>
      <c r="W183" s="682" t="n">
        <v>46387</v>
      </c>
      <c r="X183" s="682" t="n"/>
      <c r="Y183" s="682" t="n">
        <v>46024</v>
      </c>
      <c r="Z183" s="679" t="n">
        <v>126000</v>
      </c>
      <c r="AA183" s="680" t="n"/>
      <c r="AB183" s="680">
        <f>Z183</f>
        <v/>
      </c>
      <c r="AC183" s="680" t="n"/>
      <c r="AD183" s="680">
        <f>Z183</f>
        <v/>
      </c>
      <c r="AE183" s="680">
        <f>AB183</f>
        <v/>
      </c>
      <c r="AF183" s="684" t="inlineStr">
        <is>
          <t>ENGAGE</t>
        </is>
      </c>
      <c r="AG183" s="683" t="n"/>
      <c r="AH183" s="680" t="n"/>
      <c r="AI183" s="680" t="n"/>
      <c r="AJ183" s="680" t="n"/>
      <c r="AK183" s="680" t="n"/>
      <c r="AL183" s="685" t="n"/>
      <c r="AM183" s="685" t="n"/>
      <c r="AN183" s="683" t="inlineStr">
        <is>
          <t>Manque n° contrat</t>
        </is>
      </c>
      <c r="AO183" s="686" t="n"/>
      <c r="AP183" s="687" t="n"/>
      <c r="AQ183" s="688" t="n"/>
      <c r="AR183" s="688" t="n"/>
      <c r="AS183" s="23" t="n"/>
      <c r="AT183" s="688" t="n"/>
    </row>
    <row r="184" ht="46.5" customHeight="1" s="392">
      <c r="A184" s="672">
        <f>IF(AF184="ENGAGE","✔",IF(AF184="EN COURS D'ENGAGEMENT","◕",IF(AF184="PREENGAGE","◑",IF(AF184="EN COURS DE PREENGAGEMENT","◔",IF(AF184="NON ENGAGE","✖","")))))</f>
        <v/>
      </c>
      <c r="B184" s="673" t="n">
        <v>2026</v>
      </c>
      <c r="C184" s="674" t="inlineStr">
        <is>
          <t>DRPSD</t>
        </is>
      </c>
      <c r="D184" s="674" t="inlineStr">
        <is>
          <t>PV N° : 01RC2025-DRPSD-SNRTNEWS</t>
        </is>
      </c>
      <c r="E184" s="675" t="inlineStr">
        <is>
          <t>CONTRAT</t>
        </is>
      </c>
      <c r="F184" s="675" t="n"/>
      <c r="G184" s="676" t="inlineStr">
        <is>
          <t>HAMZA BAMMOU  -  Journaliste</t>
        </is>
      </c>
      <c r="H184" s="673" t="inlineStr">
        <is>
          <t>VALIDE</t>
        </is>
      </c>
      <c r="I184" s="675" t="inlineStr">
        <is>
          <t>APPROUVE</t>
        </is>
      </c>
      <c r="J184" s="675" t="n"/>
      <c r="K184" s="673" t="inlineStr">
        <is>
          <t>NON CONCERNE</t>
        </is>
      </c>
      <c r="L184" s="675" t="inlineStr">
        <is>
          <t>Ordinaire</t>
        </is>
      </c>
      <c r="M184" s="677" t="inlineStr">
        <is>
          <t>FONCTIONNEMENT</t>
        </is>
      </c>
      <c r="N184" s="678" t="inlineStr">
        <is>
          <t xml:space="preserve">Prestations de service
Achat prestations de services locales - personnes physiques </t>
        </is>
      </c>
      <c r="O184" s="679" t="n"/>
      <c r="P184" s="680" t="n"/>
      <c r="Q184" s="680" t="n"/>
      <c r="R184" s="675" t="inlineStr">
        <is>
          <t>RECONDUCTION</t>
        </is>
      </c>
      <c r="S184" s="681" t="n"/>
      <c r="T184" s="682" t="n"/>
      <c r="U184" s="683" t="inlineStr">
        <is>
          <t>HAMZA BAMMOU</t>
        </is>
      </c>
      <c r="V184" s="675" t="n">
        <v>2026</v>
      </c>
      <c r="W184" s="682" t="n">
        <v>46387</v>
      </c>
      <c r="X184" s="682" t="n"/>
      <c r="Y184" s="682" t="n">
        <v>46024</v>
      </c>
      <c r="Z184" s="679" t="n">
        <v>126000</v>
      </c>
      <c r="AA184" s="680" t="n"/>
      <c r="AB184" s="680">
        <f>Z184</f>
        <v/>
      </c>
      <c r="AC184" s="680" t="n"/>
      <c r="AD184" s="680">
        <f>Z184</f>
        <v/>
      </c>
      <c r="AE184" s="680">
        <f>AB184</f>
        <v/>
      </c>
      <c r="AF184" s="684" t="inlineStr">
        <is>
          <t>ENGAGE</t>
        </is>
      </c>
      <c r="AG184" s="683" t="n"/>
      <c r="AH184" s="680" t="n"/>
      <c r="AI184" s="680" t="n"/>
      <c r="AJ184" s="680" t="n"/>
      <c r="AK184" s="680" t="n"/>
      <c r="AL184" s="685" t="n"/>
      <c r="AM184" s="685" t="n"/>
      <c r="AN184" s="683" t="inlineStr">
        <is>
          <t>Manque n° contrat</t>
        </is>
      </c>
      <c r="AO184" s="686" t="n"/>
      <c r="AP184" s="687" t="n"/>
      <c r="AQ184" s="688" t="n"/>
      <c r="AR184" s="688" t="n"/>
      <c r="AS184" s="23" t="n"/>
      <c r="AT184" s="688" t="n"/>
    </row>
    <row r="185" ht="46.5" customHeight="1" s="392">
      <c r="A185" s="672">
        <f>IF(AF185="ENGAGE","✔",IF(AF185="EN COURS D'ENGAGEMENT","◕",IF(AF185="PREENGAGE","◑",IF(AF185="EN COURS DE PREENGAGEMENT","◔",IF(AF185="NON ENGAGE","✖","")))))</f>
        <v/>
      </c>
      <c r="B185" s="673" t="n">
        <v>2026</v>
      </c>
      <c r="C185" s="674" t="inlineStr">
        <is>
          <t>TAMAZIGHT</t>
        </is>
      </c>
      <c r="D185" s="674" t="inlineStr">
        <is>
          <t>PV N° : 01RC2025- DCPCART</t>
        </is>
      </c>
      <c r="E185" s="675" t="inlineStr">
        <is>
          <t>CONTRAT</t>
        </is>
      </c>
      <c r="F185" s="675" t="n"/>
      <c r="G185" s="676" t="inlineStr">
        <is>
          <t>NARJISS EL GOURARI  -  Maquilleuse coiffeuse et habilleuse sénior</t>
        </is>
      </c>
      <c r="H185" s="673" t="inlineStr">
        <is>
          <t>VALIDE</t>
        </is>
      </c>
      <c r="I185" s="675" t="inlineStr">
        <is>
          <t>APPROUVE</t>
        </is>
      </c>
      <c r="J185" s="675" t="n"/>
      <c r="K185" s="673" t="inlineStr">
        <is>
          <t>NON CONCERNE</t>
        </is>
      </c>
      <c r="L185" s="675" t="inlineStr">
        <is>
          <t>Ordinaire</t>
        </is>
      </c>
      <c r="M185" s="677" t="inlineStr">
        <is>
          <t>FONCTIONNEMENT</t>
        </is>
      </c>
      <c r="N185" s="678" t="inlineStr">
        <is>
          <t xml:space="preserve">Prestations de service
Achat prestations de services locales - personnes physiques </t>
        </is>
      </c>
      <c r="O185" s="679" t="n"/>
      <c r="P185" s="680" t="n"/>
      <c r="Q185" s="680" t="n"/>
      <c r="R185" s="675" t="inlineStr">
        <is>
          <t>RECONDUCTION</t>
        </is>
      </c>
      <c r="S185" s="681" t="n"/>
      <c r="T185" s="682" t="n"/>
      <c r="U185" s="683" t="inlineStr">
        <is>
          <t>NARJISS EL GOURARI</t>
        </is>
      </c>
      <c r="V185" s="675" t="n">
        <v>2026</v>
      </c>
      <c r="W185" s="682" t="n">
        <v>46387</v>
      </c>
      <c r="X185" s="682" t="n"/>
      <c r="Y185" s="682" t="n">
        <v>46024</v>
      </c>
      <c r="Z185" s="679" t="n">
        <v>84000</v>
      </c>
      <c r="AA185" s="680" t="n"/>
      <c r="AB185" s="680">
        <f>Z185</f>
        <v/>
      </c>
      <c r="AC185" s="680" t="n"/>
      <c r="AD185" s="680">
        <f>Z185</f>
        <v/>
      </c>
      <c r="AE185" s="680">
        <f>AB185</f>
        <v/>
      </c>
      <c r="AF185" s="684" t="inlineStr">
        <is>
          <t>ENGAGE</t>
        </is>
      </c>
      <c r="AG185" s="683" t="n"/>
      <c r="AH185" s="680" t="n"/>
      <c r="AI185" s="680" t="n"/>
      <c r="AJ185" s="680" t="n"/>
      <c r="AK185" s="680" t="n"/>
      <c r="AL185" s="685" t="n"/>
      <c r="AM185" s="685" t="n"/>
      <c r="AN185" s="683" t="inlineStr">
        <is>
          <t>Manque n° contrat</t>
        </is>
      </c>
      <c r="AO185" s="686" t="n"/>
      <c r="AP185" s="687" t="n"/>
      <c r="AQ185" s="688" t="n"/>
      <c r="AR185" s="688" t="n"/>
      <c r="AS185" s="23" t="n"/>
      <c r="AT185" s="688" t="n"/>
    </row>
    <row r="186" ht="46.5" customHeight="1" s="392">
      <c r="A186" s="672">
        <f>IF(AF186="ENGAGE","✔",IF(AF186="EN COURS D'ENGAGEMENT","◕",IF(AF186="PREENGAGE","◑",IF(AF186="EN COURS DE PREENGAGEMENT","◔",IF(AF186="NON ENGAGE","✖","")))))</f>
        <v/>
      </c>
      <c r="B186" s="673" t="n">
        <v>2026</v>
      </c>
      <c r="C186" s="674" t="inlineStr">
        <is>
          <t>TAMAZIGHT</t>
        </is>
      </c>
      <c r="D186" s="674" t="inlineStr">
        <is>
          <t>PV N° : 01RC2025- DCPCART</t>
        </is>
      </c>
      <c r="E186" s="675" t="inlineStr">
        <is>
          <t>CONTRAT</t>
        </is>
      </c>
      <c r="F186" s="675" t="n"/>
      <c r="G186" s="676" t="inlineStr">
        <is>
          <t>KARIM DRISS AZIZ  -  Infographiste/Créer et gérer les playlists pour le JT</t>
        </is>
      </c>
      <c r="H186" s="673" t="inlineStr">
        <is>
          <t>VALIDE</t>
        </is>
      </c>
      <c r="I186" s="675" t="inlineStr">
        <is>
          <t>APPROUVE</t>
        </is>
      </c>
      <c r="J186" s="675" t="n"/>
      <c r="K186" s="673" t="inlineStr">
        <is>
          <t>NON CONCERNE</t>
        </is>
      </c>
      <c r="L186" s="675" t="inlineStr">
        <is>
          <t>Ordinaire</t>
        </is>
      </c>
      <c r="M186" s="677" t="inlineStr">
        <is>
          <t>FONCTIONNEMENT</t>
        </is>
      </c>
      <c r="N186" s="678" t="inlineStr">
        <is>
          <t xml:space="preserve">Prestations de service
Achat prestations de services locales - personnes physiques </t>
        </is>
      </c>
      <c r="O186" s="679" t="n"/>
      <c r="P186" s="680" t="n"/>
      <c r="Q186" s="680" t="n"/>
      <c r="R186" s="675" t="inlineStr">
        <is>
          <t>RECONDUCTION</t>
        </is>
      </c>
      <c r="S186" s="681" t="n"/>
      <c r="T186" s="682" t="n"/>
      <c r="U186" s="683" t="inlineStr">
        <is>
          <t>KARIM DRISS AZIZ</t>
        </is>
      </c>
      <c r="V186" s="675" t="n">
        <v>2026</v>
      </c>
      <c r="W186" s="682" t="n">
        <v>46387</v>
      </c>
      <c r="X186" s="682" t="n"/>
      <c r="Y186" s="682" t="n">
        <v>46024</v>
      </c>
      <c r="Z186" s="679" t="n">
        <v>109200</v>
      </c>
      <c r="AA186" s="680" t="n"/>
      <c r="AB186" s="680">
        <f>Z186</f>
        <v/>
      </c>
      <c r="AC186" s="680" t="n"/>
      <c r="AD186" s="680">
        <f>Z186</f>
        <v/>
      </c>
      <c r="AE186" s="680">
        <f>AB186</f>
        <v/>
      </c>
      <c r="AF186" s="684" t="inlineStr">
        <is>
          <t>ENGAGE</t>
        </is>
      </c>
      <c r="AG186" s="683" t="n"/>
      <c r="AH186" s="680" t="n"/>
      <c r="AI186" s="680" t="n"/>
      <c r="AJ186" s="680" t="n"/>
      <c r="AK186" s="680" t="n"/>
      <c r="AL186" s="685" t="n"/>
      <c r="AM186" s="685" t="n"/>
      <c r="AN186" s="683" t="inlineStr">
        <is>
          <t>Manque n° contrat</t>
        </is>
      </c>
      <c r="AO186" s="686" t="n"/>
      <c r="AP186" s="687" t="n"/>
      <c r="AQ186" s="688" t="n"/>
      <c r="AR186" s="688" t="n"/>
      <c r="AS186" s="23" t="n"/>
      <c r="AT186" s="688" t="n"/>
    </row>
    <row r="187" ht="46.5" customHeight="1" s="392">
      <c r="A187" s="672">
        <f>IF(AF187="ENGAGE","✔",IF(AF187="EN COURS D'ENGAGEMENT","◕",IF(AF187="PREENGAGE","◑",IF(AF187="EN COURS DE PREENGAGEMENT","◔",IF(AF187="NON ENGAGE","✖","")))))</f>
        <v/>
      </c>
      <c r="B187" s="673" t="n">
        <v>2026</v>
      </c>
      <c r="C187" s="674" t="inlineStr">
        <is>
          <t>TAMAZIGHT</t>
        </is>
      </c>
      <c r="D187" s="674" t="inlineStr">
        <is>
          <t>PV N° : 01RC2025- DCPCART</t>
        </is>
      </c>
      <c r="E187" s="675" t="inlineStr">
        <is>
          <t>CONTRAT</t>
        </is>
      </c>
      <c r="F187" s="675" t="n"/>
      <c r="G187" s="676" t="inlineStr">
        <is>
          <t>FATIMA ID -HAMOU  -  Montage Auto-Promotion et Bandes Annonces, Webmaster</t>
        </is>
      </c>
      <c r="H187" s="673" t="inlineStr">
        <is>
          <t>VALIDE</t>
        </is>
      </c>
      <c r="I187" s="675" t="inlineStr">
        <is>
          <t>APPROUVE</t>
        </is>
      </c>
      <c r="J187" s="675" t="n"/>
      <c r="K187" s="673" t="inlineStr">
        <is>
          <t>NON CONCERNE</t>
        </is>
      </c>
      <c r="L187" s="675" t="inlineStr">
        <is>
          <t>Ordinaire</t>
        </is>
      </c>
      <c r="M187" s="677" t="inlineStr">
        <is>
          <t>FONCTIONNEMENT</t>
        </is>
      </c>
      <c r="N187" s="678" t="inlineStr">
        <is>
          <t xml:space="preserve">Prestations de service
Achat prestations de services locales - personnes physiques </t>
        </is>
      </c>
      <c r="O187" s="679" t="n"/>
      <c r="P187" s="680" t="n"/>
      <c r="Q187" s="680" t="n"/>
      <c r="R187" s="675" t="inlineStr">
        <is>
          <t>RECONDUCTION</t>
        </is>
      </c>
      <c r="S187" s="681" t="n"/>
      <c r="T187" s="682" t="n"/>
      <c r="U187" s="683" t="inlineStr">
        <is>
          <t>FATIMA ID -HAMOU</t>
        </is>
      </c>
      <c r="V187" s="675" t="n">
        <v>2026</v>
      </c>
      <c r="W187" s="682" t="n">
        <v>46387</v>
      </c>
      <c r="X187" s="682" t="n"/>
      <c r="Y187" s="682" t="n">
        <v>46024</v>
      </c>
      <c r="Z187" s="679" t="n">
        <v>124800</v>
      </c>
      <c r="AA187" s="680" t="n"/>
      <c r="AB187" s="680">
        <f>Z187</f>
        <v/>
      </c>
      <c r="AC187" s="680" t="n"/>
      <c r="AD187" s="680">
        <f>Z187</f>
        <v/>
      </c>
      <c r="AE187" s="680">
        <f>AB187</f>
        <v/>
      </c>
      <c r="AF187" s="684" t="inlineStr">
        <is>
          <t>ENGAGE</t>
        </is>
      </c>
      <c r="AG187" s="683" t="n"/>
      <c r="AH187" s="680" t="n"/>
      <c r="AI187" s="680" t="n"/>
      <c r="AJ187" s="680" t="n"/>
      <c r="AK187" s="680" t="n"/>
      <c r="AL187" s="685" t="n"/>
      <c r="AM187" s="685" t="n"/>
      <c r="AN187" s="683" t="inlineStr">
        <is>
          <t>Manque n° contrat</t>
        </is>
      </c>
      <c r="AO187" s="686" t="n"/>
      <c r="AP187" s="687" t="n"/>
      <c r="AQ187" s="688" t="n"/>
      <c r="AR187" s="688" t="n"/>
      <c r="AS187" s="23" t="n"/>
      <c r="AT187" s="688" t="n"/>
    </row>
    <row r="188" ht="46.5" customHeight="1" s="392">
      <c r="A188" s="672">
        <f>IF(AF188="ENGAGE","✔",IF(AF188="EN COURS D'ENGAGEMENT","◕",IF(AF188="PREENGAGE","◑",IF(AF188="EN COURS DE PREENGAGEMENT","◔",IF(AF188="NON ENGAGE","✖","")))))</f>
        <v/>
      </c>
      <c r="B188" s="673" t="n">
        <v>2026</v>
      </c>
      <c r="C188" s="674" t="inlineStr">
        <is>
          <t>TAMAZIGHT</t>
        </is>
      </c>
      <c r="D188" s="674" t="inlineStr">
        <is>
          <t>PV N° : 01RC2025- DCPCART</t>
        </is>
      </c>
      <c r="E188" s="675" t="inlineStr">
        <is>
          <t>CONTRAT</t>
        </is>
      </c>
      <c r="F188" s="675" t="n"/>
      <c r="G188" s="676" t="inlineStr">
        <is>
          <t>YOUSSEF CHAIH  -  Pré-PAD/Assistant réalisateur</t>
        </is>
      </c>
      <c r="H188" s="673" t="inlineStr">
        <is>
          <t>VALIDE</t>
        </is>
      </c>
      <c r="I188" s="675" t="inlineStr">
        <is>
          <t>APPROUVE</t>
        </is>
      </c>
      <c r="J188" s="675" t="n"/>
      <c r="K188" s="673" t="inlineStr">
        <is>
          <t>NON CONCERNE</t>
        </is>
      </c>
      <c r="L188" s="675" t="inlineStr">
        <is>
          <t>Ordinaire</t>
        </is>
      </c>
      <c r="M188" s="677" t="inlineStr">
        <is>
          <t>FONCTIONNEMENT</t>
        </is>
      </c>
      <c r="N188" s="678" t="inlineStr">
        <is>
          <t xml:space="preserve">Prestations de service
Achat prestations de services locales - personnes physiques </t>
        </is>
      </c>
      <c r="O188" s="679" t="n"/>
      <c r="P188" s="680" t="n"/>
      <c r="Q188" s="680" t="n"/>
      <c r="R188" s="675" t="inlineStr">
        <is>
          <t>RECONDUCTION</t>
        </is>
      </c>
      <c r="S188" s="681" t="n"/>
      <c r="T188" s="682" t="n"/>
      <c r="U188" s="683" t="inlineStr">
        <is>
          <t>YOUSSEF CHAIH</t>
        </is>
      </c>
      <c r="V188" s="675" t="n">
        <v>2026</v>
      </c>
      <c r="W188" s="682" t="n">
        <v>46387</v>
      </c>
      <c r="X188" s="682" t="n"/>
      <c r="Y188" s="682" t="n">
        <v>46024</v>
      </c>
      <c r="Z188" s="679" t="n">
        <v>85800</v>
      </c>
      <c r="AA188" s="680" t="n"/>
      <c r="AB188" s="680">
        <f>Z188</f>
        <v/>
      </c>
      <c r="AC188" s="680" t="n"/>
      <c r="AD188" s="680">
        <f>Z188</f>
        <v/>
      </c>
      <c r="AE188" s="680">
        <f>AB188</f>
        <v/>
      </c>
      <c r="AF188" s="684" t="inlineStr">
        <is>
          <t>ENGAGE</t>
        </is>
      </c>
      <c r="AG188" s="683" t="n"/>
      <c r="AH188" s="680" t="n"/>
      <c r="AI188" s="680" t="n"/>
      <c r="AJ188" s="680" t="n"/>
      <c r="AK188" s="680" t="n"/>
      <c r="AL188" s="685" t="n"/>
      <c r="AM188" s="685" t="n"/>
      <c r="AN188" s="683" t="inlineStr">
        <is>
          <t>Manque n° contrat</t>
        </is>
      </c>
      <c r="AO188" s="686" t="n"/>
      <c r="AP188" s="687" t="n"/>
      <c r="AQ188" s="688" t="n"/>
      <c r="AR188" s="688" t="n"/>
      <c r="AS188" s="23" t="n"/>
      <c r="AT188" s="688" t="n"/>
    </row>
    <row r="189" ht="46.5" customHeight="1" s="392">
      <c r="A189" s="672">
        <f>IF(AF189="ENGAGE","✔",IF(AF189="EN COURS D'ENGAGEMENT","◕",IF(AF189="PREENGAGE","◑",IF(AF189="EN COURS DE PREENGAGEMENT","◔",IF(AF189="NON ENGAGE","✖","")))))</f>
        <v/>
      </c>
      <c r="B189" s="673" t="n">
        <v>2026</v>
      </c>
      <c r="C189" s="674" t="inlineStr">
        <is>
          <t>TAMAZIGHT</t>
        </is>
      </c>
      <c r="D189" s="674" t="inlineStr">
        <is>
          <t>PV N° : 01RC2025- DCPCART</t>
        </is>
      </c>
      <c r="E189" s="675" t="inlineStr">
        <is>
          <t>CONTRAT</t>
        </is>
      </c>
      <c r="F189" s="675" t="n"/>
      <c r="G189" s="676" t="inlineStr">
        <is>
          <t>CHIHAL FOUAD  -  Réalisateur</t>
        </is>
      </c>
      <c r="H189" s="673" t="inlineStr">
        <is>
          <t>VALIDE</t>
        </is>
      </c>
      <c r="I189" s="675" t="inlineStr">
        <is>
          <t>APPROUVE</t>
        </is>
      </c>
      <c r="J189" s="675" t="n"/>
      <c r="K189" s="673" t="inlineStr">
        <is>
          <t>NON CONCERNE</t>
        </is>
      </c>
      <c r="L189" s="675" t="inlineStr">
        <is>
          <t>Ordinaire</t>
        </is>
      </c>
      <c r="M189" s="677" t="inlineStr">
        <is>
          <t>FONCTIONNEMENT</t>
        </is>
      </c>
      <c r="N189" s="678" t="inlineStr">
        <is>
          <t xml:space="preserve">Prestations de service
Achat prestations de services locales - personnes physiques </t>
        </is>
      </c>
      <c r="O189" s="679" t="n"/>
      <c r="P189" s="680" t="n"/>
      <c r="Q189" s="680" t="n"/>
      <c r="R189" s="675" t="inlineStr">
        <is>
          <t>RECONDUCTION</t>
        </is>
      </c>
      <c r="S189" s="681" t="n"/>
      <c r="T189" s="682" t="n"/>
      <c r="U189" s="683" t="inlineStr">
        <is>
          <t>CHIHAL FOUAD</t>
        </is>
      </c>
      <c r="V189" s="675" t="n">
        <v>2026</v>
      </c>
      <c r="W189" s="682" t="n">
        <v>46387</v>
      </c>
      <c r="X189" s="682" t="n"/>
      <c r="Y189" s="682" t="n">
        <v>46024</v>
      </c>
      <c r="Z189" s="679" t="n">
        <v>109200</v>
      </c>
      <c r="AA189" s="680" t="n"/>
      <c r="AB189" s="680">
        <f>Z189</f>
        <v/>
      </c>
      <c r="AC189" s="680" t="n"/>
      <c r="AD189" s="680">
        <f>Z189</f>
        <v/>
      </c>
      <c r="AE189" s="680">
        <f>AB189</f>
        <v/>
      </c>
      <c r="AF189" s="684" t="inlineStr">
        <is>
          <t>ENGAGE</t>
        </is>
      </c>
      <c r="AG189" s="683" t="n"/>
      <c r="AH189" s="680" t="n"/>
      <c r="AI189" s="680" t="n"/>
      <c r="AJ189" s="680" t="n"/>
      <c r="AK189" s="680" t="n"/>
      <c r="AL189" s="685" t="n"/>
      <c r="AM189" s="685" t="n"/>
      <c r="AN189" s="683" t="inlineStr">
        <is>
          <t>Manque n° contrat</t>
        </is>
      </c>
      <c r="AO189" s="686" t="n"/>
      <c r="AP189" s="687" t="n"/>
      <c r="AQ189" s="688" t="n"/>
      <c r="AR189" s="688" t="n"/>
      <c r="AS189" s="23" t="n"/>
      <c r="AT189" s="688" t="n"/>
    </row>
    <row r="190" ht="46.5" customHeight="1" s="392">
      <c r="A190" s="672">
        <f>IF(AF190="ENGAGE","✔",IF(AF190="EN COURS D'ENGAGEMENT","◕",IF(AF190="PREENGAGE","◑",IF(AF190="EN COURS DE PREENGAGEMENT","◔",IF(AF190="NON ENGAGE","✖","")))))</f>
        <v/>
      </c>
      <c r="B190" s="673" t="n">
        <v>2026</v>
      </c>
      <c r="C190" s="674" t="inlineStr">
        <is>
          <t>TAMAZIGHT</t>
        </is>
      </c>
      <c r="D190" s="674" t="inlineStr">
        <is>
          <t>PV N° : 01RC2025- DCPCART</t>
        </is>
      </c>
      <c r="E190" s="675" t="inlineStr">
        <is>
          <t>CONTRAT</t>
        </is>
      </c>
      <c r="F190" s="675" t="n"/>
      <c r="G190" s="676" t="inlineStr">
        <is>
          <t>INSSAF BENTARKA  -  Maquilleuse coiffeuse et habilleuse</t>
        </is>
      </c>
      <c r="H190" s="673" t="inlineStr">
        <is>
          <t>VALIDE</t>
        </is>
      </c>
      <c r="I190" s="675" t="inlineStr">
        <is>
          <t>APPROUVE</t>
        </is>
      </c>
      <c r="J190" s="675" t="n"/>
      <c r="K190" s="673" t="inlineStr">
        <is>
          <t>NON CONCERNE</t>
        </is>
      </c>
      <c r="L190" s="675" t="inlineStr">
        <is>
          <t>Ordinaire</t>
        </is>
      </c>
      <c r="M190" s="677" t="inlineStr">
        <is>
          <t>FONCTIONNEMENT</t>
        </is>
      </c>
      <c r="N190" s="678" t="inlineStr">
        <is>
          <t xml:space="preserve">Prestations de service
Achat prestations de services locales - personnes physiques </t>
        </is>
      </c>
      <c r="O190" s="679" t="n"/>
      <c r="P190" s="680" t="n"/>
      <c r="Q190" s="680" t="n"/>
      <c r="R190" s="675" t="inlineStr">
        <is>
          <t>RECONDUCTION</t>
        </is>
      </c>
      <c r="S190" s="681" t="n"/>
      <c r="T190" s="682" t="n"/>
      <c r="U190" s="683" t="inlineStr">
        <is>
          <t>INSSAF BENTARKA</t>
        </is>
      </c>
      <c r="V190" s="675" t="n">
        <v>2026</v>
      </c>
      <c r="W190" s="682" t="n">
        <v>46387</v>
      </c>
      <c r="X190" s="682" t="n"/>
      <c r="Y190" s="682" t="n">
        <v>46024</v>
      </c>
      <c r="Z190" s="679" t="n">
        <v>78000</v>
      </c>
      <c r="AA190" s="680" t="n"/>
      <c r="AB190" s="680">
        <f>Z190</f>
        <v/>
      </c>
      <c r="AC190" s="680" t="n"/>
      <c r="AD190" s="680">
        <f>Z190</f>
        <v/>
      </c>
      <c r="AE190" s="680">
        <f>AB190</f>
        <v/>
      </c>
      <c r="AF190" s="684" t="inlineStr">
        <is>
          <t>ENGAGE</t>
        </is>
      </c>
      <c r="AG190" s="683" t="n"/>
      <c r="AH190" s="680" t="n"/>
      <c r="AI190" s="680" t="n"/>
      <c r="AJ190" s="680" t="n"/>
      <c r="AK190" s="680" t="n"/>
      <c r="AL190" s="685" t="n"/>
      <c r="AM190" s="685" t="n"/>
      <c r="AN190" s="683" t="inlineStr">
        <is>
          <t>Manque n° contrat</t>
        </is>
      </c>
      <c r="AO190" s="686" t="n"/>
      <c r="AP190" s="687" t="n"/>
      <c r="AQ190" s="688" t="n"/>
      <c r="AR190" s="688" t="n"/>
      <c r="AS190" s="23" t="n"/>
      <c r="AT190" s="688" t="n"/>
    </row>
    <row r="191" ht="46.5" customHeight="1" s="392">
      <c r="A191" s="672">
        <f>IF(AF191="ENGAGE","✔",IF(AF191="EN COURS D'ENGAGEMENT","◕",IF(AF191="PREENGAGE","◑",IF(AF191="EN COURS DE PREENGAGEMENT","◔",IF(AF191="NON ENGAGE","✖","")))))</f>
        <v/>
      </c>
      <c r="B191" s="673" t="n">
        <v>2026</v>
      </c>
      <c r="C191" s="674" t="inlineStr">
        <is>
          <t>TAMAZIGHT</t>
        </is>
      </c>
      <c r="D191" s="674" t="inlineStr">
        <is>
          <t>PV N° : 01RC2025- DCPCART</t>
        </is>
      </c>
      <c r="E191" s="675" t="inlineStr">
        <is>
          <t>CONTRAT</t>
        </is>
      </c>
      <c r="F191" s="675" t="n"/>
      <c r="G191" s="676" t="inlineStr">
        <is>
          <t>LAHCEN HERRAF  -  Coordinateur Archives</t>
        </is>
      </c>
      <c r="H191" s="673" t="inlineStr">
        <is>
          <t>VALIDE</t>
        </is>
      </c>
      <c r="I191" s="675" t="inlineStr">
        <is>
          <t>APPROUVE</t>
        </is>
      </c>
      <c r="J191" s="675" t="n"/>
      <c r="K191" s="673" t="inlineStr">
        <is>
          <t>NON CONCERNE</t>
        </is>
      </c>
      <c r="L191" s="675" t="inlineStr">
        <is>
          <t>Ordinaire</t>
        </is>
      </c>
      <c r="M191" s="677" t="inlineStr">
        <is>
          <t>FONCTIONNEMENT</t>
        </is>
      </c>
      <c r="N191" s="678" t="inlineStr">
        <is>
          <t xml:space="preserve">Prestations de service
Achat prestations de services locales - personnes physiques </t>
        </is>
      </c>
      <c r="O191" s="679" t="n"/>
      <c r="P191" s="680" t="n"/>
      <c r="Q191" s="680" t="n"/>
      <c r="R191" s="675" t="inlineStr">
        <is>
          <t>RECONDUCTION</t>
        </is>
      </c>
      <c r="S191" s="681" t="n"/>
      <c r="T191" s="682" t="n"/>
      <c r="U191" s="683" t="inlineStr">
        <is>
          <t>LAHCEN HERRAF</t>
        </is>
      </c>
      <c r="V191" s="675" t="n">
        <v>2026</v>
      </c>
      <c r="W191" s="682" t="n">
        <v>46387</v>
      </c>
      <c r="X191" s="682" t="n"/>
      <c r="Y191" s="682" t="n">
        <v>46024</v>
      </c>
      <c r="Z191" s="679" t="n">
        <v>62400</v>
      </c>
      <c r="AA191" s="680" t="n"/>
      <c r="AB191" s="680">
        <f>Z191</f>
        <v/>
      </c>
      <c r="AC191" s="680" t="n"/>
      <c r="AD191" s="680">
        <f>Z191</f>
        <v/>
      </c>
      <c r="AE191" s="680">
        <f>AB191</f>
        <v/>
      </c>
      <c r="AF191" s="684" t="inlineStr">
        <is>
          <t>ENGAGE</t>
        </is>
      </c>
      <c r="AG191" s="683" t="n"/>
      <c r="AH191" s="680" t="n"/>
      <c r="AI191" s="680" t="n"/>
      <c r="AJ191" s="680" t="n"/>
      <c r="AK191" s="680" t="n"/>
      <c r="AL191" s="685" t="n"/>
      <c r="AM191" s="685" t="n"/>
      <c r="AN191" s="683" t="inlineStr">
        <is>
          <t>Manque n° contrat</t>
        </is>
      </c>
      <c r="AO191" s="686" t="n"/>
      <c r="AP191" s="687" t="n"/>
      <c r="AQ191" s="688" t="n"/>
      <c r="AR191" s="688" t="n"/>
      <c r="AS191" s="23" t="n"/>
      <c r="AT191" s="688" t="n"/>
    </row>
    <row r="192" ht="46.5" customHeight="1" s="392">
      <c r="A192" s="672">
        <f>IF(AF192="ENGAGE","✔",IF(AF192="EN COURS D'ENGAGEMENT","◕",IF(AF192="PREENGAGE","◑",IF(AF192="EN COURS DE PREENGAGEMENT","◔",IF(AF192="NON ENGAGE","✖","")))))</f>
        <v/>
      </c>
      <c r="B192" s="673" t="n">
        <v>2026</v>
      </c>
      <c r="C192" s="674" t="inlineStr">
        <is>
          <t>TAMAZIGHT</t>
        </is>
      </c>
      <c r="D192" s="674" t="inlineStr">
        <is>
          <t>PV N° : 01RC2025- DCPCART</t>
        </is>
      </c>
      <c r="E192" s="675" t="inlineStr">
        <is>
          <t>CONTRAT</t>
        </is>
      </c>
      <c r="F192" s="675" t="n"/>
      <c r="G192" s="676" t="inlineStr">
        <is>
          <t>FATIMA DOUIBI  -  Maquilleuse coiffeuse et habilleuse</t>
        </is>
      </c>
      <c r="H192" s="673" t="inlineStr">
        <is>
          <t>VALIDE</t>
        </is>
      </c>
      <c r="I192" s="675" t="inlineStr">
        <is>
          <t>APPROUVE</t>
        </is>
      </c>
      <c r="J192" s="675" t="n"/>
      <c r="K192" s="673" t="inlineStr">
        <is>
          <t>NON CONCERNE</t>
        </is>
      </c>
      <c r="L192" s="675" t="inlineStr">
        <is>
          <t>Ordinaire</t>
        </is>
      </c>
      <c r="M192" s="677" t="inlineStr">
        <is>
          <t>FONCTIONNEMENT</t>
        </is>
      </c>
      <c r="N192" s="678" t="inlineStr">
        <is>
          <t xml:space="preserve">Prestations de service
Achat prestations de services locales - personnes physiques </t>
        </is>
      </c>
      <c r="O192" s="679" t="n"/>
      <c r="P192" s="680" t="n"/>
      <c r="Q192" s="680" t="n"/>
      <c r="R192" s="675" t="inlineStr">
        <is>
          <t>RECONDUCTION</t>
        </is>
      </c>
      <c r="S192" s="681" t="n"/>
      <c r="T192" s="682" t="n"/>
      <c r="U192" s="683" t="inlineStr">
        <is>
          <t>FATIMA DOUIBI</t>
        </is>
      </c>
      <c r="V192" s="675" t="n">
        <v>2026</v>
      </c>
      <c r="W192" s="682" t="n">
        <v>46387</v>
      </c>
      <c r="X192" s="682" t="n"/>
      <c r="Y192" s="682" t="n">
        <v>46024</v>
      </c>
      <c r="Z192" s="679" t="n">
        <v>72000</v>
      </c>
      <c r="AA192" s="680" t="n"/>
      <c r="AB192" s="680">
        <f>Z192</f>
        <v/>
      </c>
      <c r="AC192" s="680" t="n"/>
      <c r="AD192" s="680">
        <f>Z192</f>
        <v/>
      </c>
      <c r="AE192" s="680">
        <f>AB192</f>
        <v/>
      </c>
      <c r="AF192" s="684" t="inlineStr">
        <is>
          <t>ENGAGE</t>
        </is>
      </c>
      <c r="AG192" s="683" t="n"/>
      <c r="AH192" s="680" t="n"/>
      <c r="AI192" s="680" t="n"/>
      <c r="AJ192" s="680" t="n"/>
      <c r="AK192" s="680" t="n"/>
      <c r="AL192" s="685" t="n"/>
      <c r="AM192" s="685" t="n"/>
      <c r="AN192" s="683" t="inlineStr">
        <is>
          <t>Manque n° contrat</t>
        </is>
      </c>
      <c r="AO192" s="686" t="n"/>
      <c r="AP192" s="687" t="n"/>
      <c r="AQ192" s="688" t="n"/>
      <c r="AR192" s="688" t="n"/>
      <c r="AS192" s="23" t="n"/>
      <c r="AT192" s="688" t="n"/>
    </row>
    <row r="193" ht="46.5" customHeight="1" s="392">
      <c r="A193" s="672">
        <f>IF(AF193="ENGAGE","✔",IF(AF193="EN COURS D'ENGAGEMENT","◕",IF(AF193="PREENGAGE","◑",IF(AF193="EN COURS DE PREENGAGEMENT","◔",IF(AF193="NON ENGAGE","✖","")))))</f>
        <v/>
      </c>
      <c r="B193" s="673" t="n">
        <v>2026</v>
      </c>
      <c r="C193" s="674" t="inlineStr">
        <is>
          <t>TAMAZIGHT</t>
        </is>
      </c>
      <c r="D193" s="674" t="inlineStr">
        <is>
          <t>PV N° : 01RC2025- DCPCART</t>
        </is>
      </c>
      <c r="E193" s="675" t="inlineStr">
        <is>
          <t>CONTRAT</t>
        </is>
      </c>
      <c r="F193" s="675" t="n"/>
      <c r="G193" s="676" t="inlineStr">
        <is>
          <t>SOUAD HILALI  -  Journaliste</t>
        </is>
      </c>
      <c r="H193" s="673" t="inlineStr">
        <is>
          <t>VALIDE</t>
        </is>
      </c>
      <c r="I193" s="675" t="inlineStr">
        <is>
          <t>APPROUVE</t>
        </is>
      </c>
      <c r="J193" s="675" t="n"/>
      <c r="K193" s="673" t="inlineStr">
        <is>
          <t>NON CONCERNE</t>
        </is>
      </c>
      <c r="L193" s="675" t="inlineStr">
        <is>
          <t>Ordinaire</t>
        </is>
      </c>
      <c r="M193" s="677" t="inlineStr">
        <is>
          <t>FONCTIONNEMENT</t>
        </is>
      </c>
      <c r="N193" s="678" t="inlineStr">
        <is>
          <t xml:space="preserve">Prestations de service
Achat prestations de services locales - personnes physiques </t>
        </is>
      </c>
      <c r="O193" s="679" t="n"/>
      <c r="P193" s="680" t="n"/>
      <c r="Q193" s="680" t="n"/>
      <c r="R193" s="675" t="inlineStr">
        <is>
          <t>RECONDUCTION</t>
        </is>
      </c>
      <c r="S193" s="681" t="n"/>
      <c r="T193" s="682" t="n"/>
      <c r="U193" s="683" t="inlineStr">
        <is>
          <t>SOUAD HILALI</t>
        </is>
      </c>
      <c r="V193" s="675" t="n">
        <v>2026</v>
      </c>
      <c r="W193" s="682" t="n">
        <v>46387</v>
      </c>
      <c r="X193" s="682" t="n"/>
      <c r="Y193" s="682" t="n">
        <v>46024</v>
      </c>
      <c r="Z193" s="679" t="n">
        <v>90000</v>
      </c>
      <c r="AA193" s="680" t="n"/>
      <c r="AB193" s="680">
        <f>Z193</f>
        <v/>
      </c>
      <c r="AC193" s="680" t="n"/>
      <c r="AD193" s="680">
        <f>Z193</f>
        <v/>
      </c>
      <c r="AE193" s="680">
        <f>AB193</f>
        <v/>
      </c>
      <c r="AF193" s="684" t="inlineStr">
        <is>
          <t>ENGAGE</t>
        </is>
      </c>
      <c r="AG193" s="683" t="n"/>
      <c r="AH193" s="680" t="n"/>
      <c r="AI193" s="680" t="n"/>
      <c r="AJ193" s="680" t="n"/>
      <c r="AK193" s="680" t="n"/>
      <c r="AL193" s="685" t="n"/>
      <c r="AM193" s="685" t="n"/>
      <c r="AN193" s="683" t="inlineStr">
        <is>
          <t>Manque n° contrat</t>
        </is>
      </c>
      <c r="AO193" s="686" t="n"/>
      <c r="AP193" s="687" t="n"/>
      <c r="AQ193" s="688" t="n"/>
      <c r="AR193" s="688" t="n"/>
      <c r="AS193" s="23" t="n"/>
      <c r="AT193" s="688" t="n"/>
    </row>
    <row r="194" ht="46.5" customHeight="1" s="392">
      <c r="A194" s="672">
        <f>IF(AF194="ENGAGE","✔",IF(AF194="EN COURS D'ENGAGEMENT","◕",IF(AF194="PREENGAGE","◑",IF(AF194="EN COURS DE PREENGAGEMENT","◔",IF(AF194="NON ENGAGE","✖","")))))</f>
        <v/>
      </c>
      <c r="B194" s="673" t="n">
        <v>2026</v>
      </c>
      <c r="C194" s="674" t="inlineStr">
        <is>
          <t>TAMAZIGHT</t>
        </is>
      </c>
      <c r="D194" s="674" t="inlineStr">
        <is>
          <t>PV N° : 01RC2025- DCPCART</t>
        </is>
      </c>
      <c r="E194" s="675" t="inlineStr">
        <is>
          <t>CONTRAT</t>
        </is>
      </c>
      <c r="F194" s="675" t="n"/>
      <c r="G194" s="676" t="inlineStr">
        <is>
          <t>REDA KENZI  -  Chargé de production</t>
        </is>
      </c>
      <c r="H194" s="673" t="inlineStr">
        <is>
          <t>VALIDE</t>
        </is>
      </c>
      <c r="I194" s="675" t="inlineStr">
        <is>
          <t>APPROUVE</t>
        </is>
      </c>
      <c r="J194" s="675" t="n"/>
      <c r="K194" s="673" t="inlineStr">
        <is>
          <t>NON CONCERNE</t>
        </is>
      </c>
      <c r="L194" s="675" t="inlineStr">
        <is>
          <t>Ordinaire</t>
        </is>
      </c>
      <c r="M194" s="677" t="inlineStr">
        <is>
          <t>FONCTIONNEMENT</t>
        </is>
      </c>
      <c r="N194" s="678" t="inlineStr">
        <is>
          <t xml:space="preserve">Prestations de service
Achat prestations de services locales - personnes physiques </t>
        </is>
      </c>
      <c r="O194" s="679" t="n"/>
      <c r="P194" s="680" t="n"/>
      <c r="Q194" s="680" t="n"/>
      <c r="R194" s="675" t="inlineStr">
        <is>
          <t>RECONDUCTION</t>
        </is>
      </c>
      <c r="S194" s="681" t="n"/>
      <c r="T194" s="682" t="n"/>
      <c r="U194" s="683" t="inlineStr">
        <is>
          <t>REDA KENZI</t>
        </is>
      </c>
      <c r="V194" s="675" t="n">
        <v>2026</v>
      </c>
      <c r="W194" s="682" t="n">
        <v>46387</v>
      </c>
      <c r="X194" s="682" t="n"/>
      <c r="Y194" s="682" t="n">
        <v>46024</v>
      </c>
      <c r="Z194" s="679" t="n">
        <v>84000</v>
      </c>
      <c r="AA194" s="680" t="n"/>
      <c r="AB194" s="680">
        <f>Z194</f>
        <v/>
      </c>
      <c r="AC194" s="680" t="n"/>
      <c r="AD194" s="680">
        <f>Z194</f>
        <v/>
      </c>
      <c r="AE194" s="680">
        <f>AB194</f>
        <v/>
      </c>
      <c r="AF194" s="684" t="inlineStr">
        <is>
          <t>ENGAGE</t>
        </is>
      </c>
      <c r="AG194" s="683" t="n"/>
      <c r="AH194" s="680" t="n"/>
      <c r="AI194" s="680" t="n"/>
      <c r="AJ194" s="680" t="n"/>
      <c r="AK194" s="680" t="n"/>
      <c r="AL194" s="685" t="n"/>
      <c r="AM194" s="685" t="n"/>
      <c r="AN194" s="683" t="inlineStr">
        <is>
          <t>Manque n° contrat</t>
        </is>
      </c>
      <c r="AO194" s="686" t="n"/>
      <c r="AP194" s="687" t="n"/>
      <c r="AQ194" s="688" t="n"/>
      <c r="AR194" s="688" t="n"/>
      <c r="AS194" s="23" t="n"/>
      <c r="AT194" s="688" t="n"/>
    </row>
    <row r="195" ht="46.5" customHeight="1" s="392">
      <c r="A195" s="672">
        <f>IF(AF195="ENGAGE","✔",IF(AF195="EN COURS D'ENGAGEMENT","◕",IF(AF195="PREENGAGE","◑",IF(AF195="EN COURS DE PREENGAGEMENT","◔",IF(AF195="NON ENGAGE","✖","")))))</f>
        <v/>
      </c>
      <c r="B195" s="673" t="n">
        <v>2026</v>
      </c>
      <c r="C195" s="674" t="inlineStr">
        <is>
          <t>TAMAZIGHT</t>
        </is>
      </c>
      <c r="D195" s="674" t="inlineStr">
        <is>
          <t>PV N° : 01RC2025- DCPCART</t>
        </is>
      </c>
      <c r="E195" s="675" t="inlineStr">
        <is>
          <t>CONTRAT</t>
        </is>
      </c>
      <c r="F195" s="675" t="n"/>
      <c r="G195" s="676" t="inlineStr">
        <is>
          <t>IDRISSI BADR TAFRAOUTI  -  Technicien en OPV/OPS.</t>
        </is>
      </c>
      <c r="H195" s="673" t="inlineStr">
        <is>
          <t>VALIDE</t>
        </is>
      </c>
      <c r="I195" s="675" t="inlineStr">
        <is>
          <t>APPROUVE</t>
        </is>
      </c>
      <c r="J195" s="675" t="n"/>
      <c r="K195" s="673" t="inlineStr">
        <is>
          <t>NON CONCERNE</t>
        </is>
      </c>
      <c r="L195" s="675" t="inlineStr">
        <is>
          <t>Ordinaire</t>
        </is>
      </c>
      <c r="M195" s="677" t="inlineStr">
        <is>
          <t>FONCTIONNEMENT</t>
        </is>
      </c>
      <c r="N195" s="678" t="inlineStr">
        <is>
          <t xml:space="preserve">Prestations de service
Achat prestations de services locales - personnes physiques </t>
        </is>
      </c>
      <c r="O195" s="679" t="n"/>
      <c r="P195" s="680" t="n"/>
      <c r="Q195" s="680" t="n"/>
      <c r="R195" s="675" t="inlineStr">
        <is>
          <t>RECONDUCTION</t>
        </is>
      </c>
      <c r="S195" s="681" t="n"/>
      <c r="T195" s="682" t="n"/>
      <c r="U195" s="683" t="inlineStr">
        <is>
          <t>IDRISSI BADR TAFRAOUTI</t>
        </is>
      </c>
      <c r="V195" s="675" t="n">
        <v>2026</v>
      </c>
      <c r="W195" s="682" t="n">
        <v>46387</v>
      </c>
      <c r="X195" s="682" t="n"/>
      <c r="Y195" s="682" t="n">
        <v>46024</v>
      </c>
      <c r="Z195" s="679" t="n">
        <v>84000</v>
      </c>
      <c r="AA195" s="680" t="n"/>
      <c r="AB195" s="680">
        <f>Z195</f>
        <v/>
      </c>
      <c r="AC195" s="680" t="n"/>
      <c r="AD195" s="680">
        <f>Z195</f>
        <v/>
      </c>
      <c r="AE195" s="680">
        <f>AB195</f>
        <v/>
      </c>
      <c r="AF195" s="684" t="inlineStr">
        <is>
          <t>ENGAGE</t>
        </is>
      </c>
      <c r="AG195" s="683" t="n"/>
      <c r="AH195" s="680" t="n"/>
      <c r="AI195" s="680" t="n"/>
      <c r="AJ195" s="680" t="n"/>
      <c r="AK195" s="680" t="n"/>
      <c r="AL195" s="685" t="n"/>
      <c r="AM195" s="685" t="n"/>
      <c r="AN195" s="683" t="inlineStr">
        <is>
          <t>Manque n° contrat</t>
        </is>
      </c>
      <c r="AO195" s="686" t="n"/>
      <c r="AP195" s="687" t="n"/>
      <c r="AQ195" s="688" t="n"/>
      <c r="AR195" s="688" t="n"/>
      <c r="AS195" s="23" t="n"/>
      <c r="AT195" s="688" t="n"/>
    </row>
    <row r="196" ht="46.5" customHeight="1" s="392">
      <c r="A196" s="672">
        <f>IF(AF196="ENGAGE","✔",IF(AF196="EN COURS D'ENGAGEMENT","◕",IF(AF196="PREENGAGE","◑",IF(AF196="EN COURS DE PREENGAGEMENT","◔",IF(AF196="NON ENGAGE","✖","")))))</f>
        <v/>
      </c>
      <c r="B196" s="673" t="n">
        <v>2026</v>
      </c>
      <c r="C196" s="674" t="inlineStr">
        <is>
          <t>TAMAZIGHT</t>
        </is>
      </c>
      <c r="D196" s="674" t="inlineStr">
        <is>
          <t>PV N° : 01RC2025- DCPCART</t>
        </is>
      </c>
      <c r="E196" s="675" t="inlineStr">
        <is>
          <t>CONTRAT</t>
        </is>
      </c>
      <c r="F196" s="675" t="n"/>
      <c r="G196" s="676" t="inlineStr">
        <is>
          <t>REDA OU-OUCHEN  -  Monteur/assistant graphiste</t>
        </is>
      </c>
      <c r="H196" s="673" t="inlineStr">
        <is>
          <t>VALIDE</t>
        </is>
      </c>
      <c r="I196" s="675" t="inlineStr">
        <is>
          <t>APPROUVE</t>
        </is>
      </c>
      <c r="J196" s="675" t="n"/>
      <c r="K196" s="673" t="inlineStr">
        <is>
          <t>NON CONCERNE</t>
        </is>
      </c>
      <c r="L196" s="675" t="inlineStr">
        <is>
          <t>Ordinaire</t>
        </is>
      </c>
      <c r="M196" s="677" t="inlineStr">
        <is>
          <t>FONCTIONNEMENT</t>
        </is>
      </c>
      <c r="N196" s="678" t="inlineStr">
        <is>
          <t xml:space="preserve">Prestations de service
Achat prestations de services locales - personnes physiques </t>
        </is>
      </c>
      <c r="O196" s="679" t="n"/>
      <c r="P196" s="680" t="n"/>
      <c r="Q196" s="680" t="n"/>
      <c r="R196" s="675" t="inlineStr">
        <is>
          <t>RECONDUCTION</t>
        </is>
      </c>
      <c r="S196" s="681" t="n"/>
      <c r="T196" s="682" t="n"/>
      <c r="U196" s="683" t="inlineStr">
        <is>
          <t>REDA OU-OUCHEN</t>
        </is>
      </c>
      <c r="V196" s="675" t="n">
        <v>2026</v>
      </c>
      <c r="W196" s="682" t="n">
        <v>46387</v>
      </c>
      <c r="X196" s="682" t="n"/>
      <c r="Y196" s="682" t="n">
        <v>46024</v>
      </c>
      <c r="Z196" s="679" t="n">
        <v>96000</v>
      </c>
      <c r="AA196" s="680" t="n"/>
      <c r="AB196" s="680">
        <f>Z196</f>
        <v/>
      </c>
      <c r="AC196" s="680" t="n"/>
      <c r="AD196" s="680">
        <f>Z196</f>
        <v/>
      </c>
      <c r="AE196" s="680">
        <f>AB196</f>
        <v/>
      </c>
      <c r="AF196" s="684" t="inlineStr">
        <is>
          <t>ENGAGE</t>
        </is>
      </c>
      <c r="AG196" s="683" t="n"/>
      <c r="AH196" s="680" t="n"/>
      <c r="AI196" s="680" t="n"/>
      <c r="AJ196" s="680" t="n"/>
      <c r="AK196" s="680" t="n"/>
      <c r="AL196" s="685" t="n"/>
      <c r="AM196" s="685" t="n"/>
      <c r="AN196" s="683" t="inlineStr">
        <is>
          <t>Manque n° contrat</t>
        </is>
      </c>
      <c r="AO196" s="686" t="n"/>
      <c r="AP196" s="687" t="n"/>
      <c r="AQ196" s="688" t="n"/>
      <c r="AR196" s="688" t="n"/>
      <c r="AS196" s="23" t="n"/>
      <c r="AT196" s="688" t="n"/>
    </row>
    <row r="197" ht="46.5" customHeight="1" s="392">
      <c r="A197" s="672">
        <f>IF(AF197="ENGAGE","✔",IF(AF197="EN COURS D'ENGAGEMENT","◕",IF(AF197="PREENGAGE","◑",IF(AF197="EN COURS DE PREENGAGEMENT","◔",IF(AF197="NON ENGAGE","✖","")))))</f>
        <v/>
      </c>
      <c r="B197" s="673" t="n">
        <v>2026</v>
      </c>
      <c r="C197" s="674" t="inlineStr">
        <is>
          <t>TAMAZIGHT</t>
        </is>
      </c>
      <c r="D197" s="674" t="inlineStr">
        <is>
          <t>PV N° : 01RC2025- DCPCART</t>
        </is>
      </c>
      <c r="E197" s="675" t="inlineStr">
        <is>
          <t>CONTRAT</t>
        </is>
      </c>
      <c r="F197" s="675" t="n"/>
      <c r="G197" s="676" t="inlineStr">
        <is>
          <t>SAID BELLI  -  Réalisateur</t>
        </is>
      </c>
      <c r="H197" s="673" t="inlineStr">
        <is>
          <t>VALIDE</t>
        </is>
      </c>
      <c r="I197" s="675" t="inlineStr">
        <is>
          <t>APPROUVE</t>
        </is>
      </c>
      <c r="J197" s="675" t="n"/>
      <c r="K197" s="673" t="inlineStr">
        <is>
          <t>NON CONCERNE</t>
        </is>
      </c>
      <c r="L197" s="675" t="inlineStr">
        <is>
          <t>Ordinaire</t>
        </is>
      </c>
      <c r="M197" s="677" t="inlineStr">
        <is>
          <t>FONCTIONNEMENT</t>
        </is>
      </c>
      <c r="N197" s="678" t="inlineStr">
        <is>
          <t xml:space="preserve">Prestations de service
Achat prestations de services locales - personnes physiques </t>
        </is>
      </c>
      <c r="O197" s="679" t="n"/>
      <c r="P197" s="680" t="n"/>
      <c r="Q197" s="680" t="n"/>
      <c r="R197" s="675" t="inlineStr">
        <is>
          <t>RECONDUCTION</t>
        </is>
      </c>
      <c r="S197" s="681" t="n"/>
      <c r="T197" s="682" t="n"/>
      <c r="U197" s="683" t="inlineStr">
        <is>
          <t xml:space="preserve">SAID BELLI </t>
        </is>
      </c>
      <c r="V197" s="675" t="n">
        <v>2026</v>
      </c>
      <c r="W197" s="682" t="n">
        <v>46387</v>
      </c>
      <c r="X197" s="682" t="n"/>
      <c r="Y197" s="682" t="n">
        <v>46024</v>
      </c>
      <c r="Z197" s="679" t="n">
        <v>108000</v>
      </c>
      <c r="AA197" s="680" t="n"/>
      <c r="AB197" s="680">
        <f>Z197</f>
        <v/>
      </c>
      <c r="AC197" s="680" t="n"/>
      <c r="AD197" s="680">
        <f>Z197</f>
        <v/>
      </c>
      <c r="AE197" s="680">
        <f>AB197</f>
        <v/>
      </c>
      <c r="AF197" s="684" t="inlineStr">
        <is>
          <t>ENGAGE</t>
        </is>
      </c>
      <c r="AG197" s="683" t="n"/>
      <c r="AH197" s="680" t="n"/>
      <c r="AI197" s="680" t="n"/>
      <c r="AJ197" s="680" t="n"/>
      <c r="AK197" s="680" t="n"/>
      <c r="AL197" s="685" t="n"/>
      <c r="AM197" s="685" t="n"/>
      <c r="AN197" s="683" t="inlineStr">
        <is>
          <t>Manque n° contrat</t>
        </is>
      </c>
      <c r="AO197" s="686" t="n"/>
      <c r="AP197" s="687" t="n"/>
      <c r="AQ197" s="688" t="n"/>
      <c r="AR197" s="688" t="n"/>
      <c r="AS197" s="23" t="n"/>
      <c r="AT197" s="688" t="n"/>
    </row>
    <row r="198" ht="46.5" customHeight="1" s="392">
      <c r="A198" s="672">
        <f>IF(AF198="ENGAGE","✔",IF(AF198="EN COURS D'ENGAGEMENT","◕",IF(AF198="PREENGAGE","◑",IF(AF198="EN COURS DE PREENGAGEMENT","◔",IF(AF198="NON ENGAGE","✖","")))))</f>
        <v/>
      </c>
      <c r="B198" s="673" t="n">
        <v>2026</v>
      </c>
      <c r="C198" s="674" t="inlineStr">
        <is>
          <t>TAMAZIGHT</t>
        </is>
      </c>
      <c r="D198" s="674" t="inlineStr">
        <is>
          <t>PV N° : 01RC2025- DCPCART</t>
        </is>
      </c>
      <c r="E198" s="675" t="inlineStr">
        <is>
          <t>CONTRAT</t>
        </is>
      </c>
      <c r="F198" s="675" t="n"/>
      <c r="G198" s="676" t="inlineStr">
        <is>
          <t>BASMA OULKHCHICH  -  Journaliste</t>
        </is>
      </c>
      <c r="H198" s="673" t="inlineStr">
        <is>
          <t>VALIDE</t>
        </is>
      </c>
      <c r="I198" s="675" t="inlineStr">
        <is>
          <t>APPROUVE</t>
        </is>
      </c>
      <c r="J198" s="675" t="n"/>
      <c r="K198" s="673" t="inlineStr">
        <is>
          <t>NON CONCERNE</t>
        </is>
      </c>
      <c r="L198" s="675" t="inlineStr">
        <is>
          <t>Ordinaire</t>
        </is>
      </c>
      <c r="M198" s="677" t="inlineStr">
        <is>
          <t>FONCTIONNEMENT</t>
        </is>
      </c>
      <c r="N198" s="678" t="inlineStr">
        <is>
          <t xml:space="preserve">Prestations de service
Achat prestations de services locales - personnes physiques </t>
        </is>
      </c>
      <c r="O198" s="679" t="n"/>
      <c r="P198" s="680" t="n"/>
      <c r="Q198" s="680" t="n"/>
      <c r="R198" s="675" t="inlineStr">
        <is>
          <t>RECONDUCTION</t>
        </is>
      </c>
      <c r="S198" s="681" t="n"/>
      <c r="T198" s="682" t="n"/>
      <c r="U198" s="683" t="inlineStr">
        <is>
          <t>BASMA OULKHCHICH</t>
        </is>
      </c>
      <c r="V198" s="675" t="n">
        <v>2026</v>
      </c>
      <c r="W198" s="682" t="n">
        <v>46387</v>
      </c>
      <c r="X198" s="682" t="n"/>
      <c r="Y198" s="682" t="n">
        <v>46024</v>
      </c>
      <c r="Z198" s="679" t="n">
        <v>78000</v>
      </c>
      <c r="AA198" s="680" t="n"/>
      <c r="AB198" s="680">
        <f>Z198</f>
        <v/>
      </c>
      <c r="AC198" s="680" t="n"/>
      <c r="AD198" s="680">
        <f>Z198</f>
        <v/>
      </c>
      <c r="AE198" s="680">
        <f>AB198</f>
        <v/>
      </c>
      <c r="AF198" s="684" t="inlineStr">
        <is>
          <t>ENGAGE</t>
        </is>
      </c>
      <c r="AG198" s="683" t="n"/>
      <c r="AH198" s="680" t="n"/>
      <c r="AI198" s="680" t="n"/>
      <c r="AJ198" s="680" t="n"/>
      <c r="AK198" s="680" t="n"/>
      <c r="AL198" s="685" t="n"/>
      <c r="AM198" s="685" t="n"/>
      <c r="AN198" s="683" t="inlineStr">
        <is>
          <t>Manque n° contrat</t>
        </is>
      </c>
      <c r="AO198" s="686" t="n"/>
      <c r="AP198" s="687" t="n"/>
      <c r="AQ198" s="688" t="n"/>
      <c r="AR198" s="688" t="n"/>
      <c r="AS198" s="23" t="n"/>
      <c r="AT198" s="688" t="n"/>
    </row>
    <row r="199" ht="46.5" customHeight="1" s="392">
      <c r="A199" s="672">
        <f>IF(AF199="ENGAGE","✔",IF(AF199="EN COURS D'ENGAGEMENT","◕",IF(AF199="PREENGAGE","◑",IF(AF199="EN COURS DE PREENGAGEMENT","◔",IF(AF199="NON ENGAGE","✖","")))))</f>
        <v/>
      </c>
      <c r="B199" s="673" t="n">
        <v>2026</v>
      </c>
      <c r="C199" s="674" t="inlineStr">
        <is>
          <t>TAMAZIGHT</t>
        </is>
      </c>
      <c r="D199" s="674" t="inlineStr">
        <is>
          <t>PV N° : 01RC2025- DCPCART</t>
        </is>
      </c>
      <c r="E199" s="675" t="inlineStr">
        <is>
          <t>CONTRAT</t>
        </is>
      </c>
      <c r="F199" s="675" t="n"/>
      <c r="G199" s="676" t="inlineStr">
        <is>
          <t>FATIMA BOUSSABRI  -  Journaliste</t>
        </is>
      </c>
      <c r="H199" s="673" t="inlineStr">
        <is>
          <t>VALIDE</t>
        </is>
      </c>
      <c r="I199" s="675" t="inlineStr">
        <is>
          <t>APPROUVE</t>
        </is>
      </c>
      <c r="J199" s="675" t="n"/>
      <c r="K199" s="673" t="inlineStr">
        <is>
          <t>NON CONCERNE</t>
        </is>
      </c>
      <c r="L199" s="675" t="inlineStr">
        <is>
          <t>Ordinaire</t>
        </is>
      </c>
      <c r="M199" s="677" t="inlineStr">
        <is>
          <t>FONCTIONNEMENT</t>
        </is>
      </c>
      <c r="N199" s="678" t="inlineStr">
        <is>
          <t xml:space="preserve">Prestations de service
Achat prestations de services locales - personnes physiques </t>
        </is>
      </c>
      <c r="O199" s="679" t="n"/>
      <c r="P199" s="680" t="n"/>
      <c r="Q199" s="680" t="n"/>
      <c r="R199" s="675" t="inlineStr">
        <is>
          <t>RECONDUCTION</t>
        </is>
      </c>
      <c r="S199" s="681" t="n"/>
      <c r="T199" s="682" t="n"/>
      <c r="U199" s="683" t="inlineStr">
        <is>
          <t>FATIMA BOUSSABRI</t>
        </is>
      </c>
      <c r="V199" s="675" t="n">
        <v>2026</v>
      </c>
      <c r="W199" s="682" t="n">
        <v>46387</v>
      </c>
      <c r="X199" s="682" t="n"/>
      <c r="Y199" s="682" t="n">
        <v>46024</v>
      </c>
      <c r="Z199" s="679" t="n">
        <v>84000</v>
      </c>
      <c r="AA199" s="680" t="n"/>
      <c r="AB199" s="680">
        <f>Z199</f>
        <v/>
      </c>
      <c r="AC199" s="680" t="n"/>
      <c r="AD199" s="680">
        <f>Z199</f>
        <v/>
      </c>
      <c r="AE199" s="680">
        <f>AB199</f>
        <v/>
      </c>
      <c r="AF199" s="684" t="inlineStr">
        <is>
          <t>ENGAGE</t>
        </is>
      </c>
      <c r="AG199" s="683" t="n"/>
      <c r="AH199" s="680" t="n"/>
      <c r="AI199" s="680" t="n"/>
      <c r="AJ199" s="680" t="n"/>
      <c r="AK199" s="680" t="n"/>
      <c r="AL199" s="685" t="n"/>
      <c r="AM199" s="685" t="n"/>
      <c r="AN199" s="683" t="inlineStr">
        <is>
          <t>Manque n° contrat</t>
        </is>
      </c>
      <c r="AO199" s="686" t="n"/>
      <c r="AP199" s="687" t="n"/>
      <c r="AQ199" s="688" t="n"/>
      <c r="AR199" s="688" t="n"/>
      <c r="AS199" s="23" t="n"/>
      <c r="AT199" s="688" t="n"/>
    </row>
    <row r="200" ht="46.5" customHeight="1" s="392">
      <c r="A200" s="672">
        <f>IF(AF200="ENGAGE","✔",IF(AF200="EN COURS D'ENGAGEMENT","◕",IF(AF200="PREENGAGE","◑",IF(AF200="EN COURS DE PREENGAGEMENT","◔",IF(AF200="NON ENGAGE","✖","")))))</f>
        <v/>
      </c>
      <c r="B200" s="673" t="n">
        <v>2026</v>
      </c>
      <c r="C200" s="674" t="inlineStr">
        <is>
          <t>TAMAZIGHT</t>
        </is>
      </c>
      <c r="D200" s="674" t="inlineStr">
        <is>
          <t>PV N° : 01RC2025- DCPCART</t>
        </is>
      </c>
      <c r="E200" s="675" t="inlineStr">
        <is>
          <t>CONTRAT</t>
        </is>
      </c>
      <c r="F200" s="675" t="n"/>
      <c r="G200" s="676" t="inlineStr">
        <is>
          <t>JAMAL OUJDDOU  -  Journaliste</t>
        </is>
      </c>
      <c r="H200" s="673" t="inlineStr">
        <is>
          <t>VALIDE</t>
        </is>
      </c>
      <c r="I200" s="675" t="inlineStr">
        <is>
          <t>APPROUVE</t>
        </is>
      </c>
      <c r="J200" s="675" t="n"/>
      <c r="K200" s="673" t="inlineStr">
        <is>
          <t>NON CONCERNE</t>
        </is>
      </c>
      <c r="L200" s="675" t="inlineStr">
        <is>
          <t>Ordinaire</t>
        </is>
      </c>
      <c r="M200" s="677" t="inlineStr">
        <is>
          <t>FONCTIONNEMENT</t>
        </is>
      </c>
      <c r="N200" s="678" t="inlineStr">
        <is>
          <t xml:space="preserve">Prestations de service
Achat prestations de services locales - personnes physiques </t>
        </is>
      </c>
      <c r="O200" s="679" t="n"/>
      <c r="P200" s="680" t="n"/>
      <c r="Q200" s="680" t="n"/>
      <c r="R200" s="675" t="inlineStr">
        <is>
          <t>RECONDUCTION</t>
        </is>
      </c>
      <c r="S200" s="681" t="n"/>
      <c r="T200" s="682" t="n"/>
      <c r="U200" s="683" t="inlineStr">
        <is>
          <t>JAMAL OUJDDOU</t>
        </is>
      </c>
      <c r="V200" s="675" t="n">
        <v>2026</v>
      </c>
      <c r="W200" s="682" t="n">
        <v>46387</v>
      </c>
      <c r="X200" s="682" t="n"/>
      <c r="Y200" s="682" t="n">
        <v>46024</v>
      </c>
      <c r="Z200" s="679" t="n">
        <v>96000</v>
      </c>
      <c r="AA200" s="680" t="n"/>
      <c r="AB200" s="680">
        <f>Z200</f>
        <v/>
      </c>
      <c r="AC200" s="680" t="n"/>
      <c r="AD200" s="680">
        <f>Z200</f>
        <v/>
      </c>
      <c r="AE200" s="680">
        <f>AB200</f>
        <v/>
      </c>
      <c r="AF200" s="684" t="inlineStr">
        <is>
          <t>ENGAGE</t>
        </is>
      </c>
      <c r="AG200" s="683" t="n"/>
      <c r="AH200" s="680" t="n"/>
      <c r="AI200" s="680" t="n"/>
      <c r="AJ200" s="680" t="n"/>
      <c r="AK200" s="680" t="n"/>
      <c r="AL200" s="685" t="n"/>
      <c r="AM200" s="685" t="n"/>
      <c r="AN200" s="683" t="inlineStr">
        <is>
          <t>Manque n° contrat</t>
        </is>
      </c>
      <c r="AO200" s="686" t="n"/>
      <c r="AP200" s="687" t="n"/>
      <c r="AQ200" s="688" t="n"/>
      <c r="AR200" s="688" t="n"/>
      <c r="AS200" s="23" t="n"/>
      <c r="AT200" s="688" t="n"/>
    </row>
    <row r="201" ht="46.5" customHeight="1" s="392">
      <c r="A201" s="672">
        <f>IF(AF201="ENGAGE","✔",IF(AF201="EN COURS D'ENGAGEMENT","◕",IF(AF201="PREENGAGE","◑",IF(AF201="EN COURS DE PREENGAGEMENT","◔",IF(AF201="NON ENGAGE","✖","")))))</f>
        <v/>
      </c>
      <c r="B201" s="673" t="n">
        <v>2026</v>
      </c>
      <c r="C201" s="674" t="inlineStr">
        <is>
          <t>TAMAZIGHT</t>
        </is>
      </c>
      <c r="D201" s="674" t="inlineStr">
        <is>
          <t>PV N° : 01RC2025- DCPCART</t>
        </is>
      </c>
      <c r="E201" s="675" t="inlineStr">
        <is>
          <t>CONTRAT</t>
        </is>
      </c>
      <c r="F201" s="675" t="n"/>
      <c r="G201" s="676" t="inlineStr">
        <is>
          <t>REDOUAN SEDDEKI  -  Monteur</t>
        </is>
      </c>
      <c r="H201" s="673" t="inlineStr">
        <is>
          <t>VALIDE</t>
        </is>
      </c>
      <c r="I201" s="675" t="inlineStr">
        <is>
          <t>APPROUVE</t>
        </is>
      </c>
      <c r="J201" s="675" t="n"/>
      <c r="K201" s="673" t="inlineStr">
        <is>
          <t>NON CONCERNE</t>
        </is>
      </c>
      <c r="L201" s="675" t="inlineStr">
        <is>
          <t>Ordinaire</t>
        </is>
      </c>
      <c r="M201" s="677" t="inlineStr">
        <is>
          <t>FONCTIONNEMENT</t>
        </is>
      </c>
      <c r="N201" s="678" t="inlineStr">
        <is>
          <t xml:space="preserve">Prestations de service
Achat prestations de services locales - personnes physiques </t>
        </is>
      </c>
      <c r="O201" s="679" t="n"/>
      <c r="P201" s="680" t="n"/>
      <c r="Q201" s="680" t="n"/>
      <c r="R201" s="675" t="inlineStr">
        <is>
          <t>RECONDUCTION</t>
        </is>
      </c>
      <c r="S201" s="681" t="n"/>
      <c r="T201" s="682" t="n"/>
      <c r="U201" s="683" t="inlineStr">
        <is>
          <t>REDOUAN SEDDEKI</t>
        </is>
      </c>
      <c r="V201" s="675" t="n">
        <v>2026</v>
      </c>
      <c r="W201" s="682" t="n">
        <v>46387</v>
      </c>
      <c r="X201" s="682" t="n"/>
      <c r="Y201" s="682" t="n">
        <v>46024</v>
      </c>
      <c r="Z201" s="679" t="n">
        <v>96000</v>
      </c>
      <c r="AA201" s="680" t="n"/>
      <c r="AB201" s="680">
        <f>Z201</f>
        <v/>
      </c>
      <c r="AC201" s="680" t="n"/>
      <c r="AD201" s="680">
        <f>Z201</f>
        <v/>
      </c>
      <c r="AE201" s="680">
        <f>AB201</f>
        <v/>
      </c>
      <c r="AF201" s="684" t="inlineStr">
        <is>
          <t>ENGAGE</t>
        </is>
      </c>
      <c r="AG201" s="683" t="n"/>
      <c r="AH201" s="680" t="n"/>
      <c r="AI201" s="680" t="n"/>
      <c r="AJ201" s="680" t="n"/>
      <c r="AK201" s="680" t="n"/>
      <c r="AL201" s="685" t="n"/>
      <c r="AM201" s="685" t="n"/>
      <c r="AN201" s="683" t="inlineStr">
        <is>
          <t>Manque n° contrat</t>
        </is>
      </c>
      <c r="AO201" s="686" t="n"/>
      <c r="AP201" s="687" t="n"/>
      <c r="AQ201" s="688" t="n"/>
      <c r="AR201" s="688" t="n"/>
      <c r="AS201" s="23" t="n"/>
      <c r="AT201" s="688" t="n"/>
    </row>
    <row r="202" ht="46.5" customHeight="1" s="392">
      <c r="A202" s="672">
        <f>IF(AF202="ENGAGE","✔",IF(AF202="EN COURS D'ENGAGEMENT","◕",IF(AF202="PREENGAGE","◑",IF(AF202="EN COURS DE PREENGAGEMENT","◔",IF(AF202="NON ENGAGE","✖","")))))</f>
        <v/>
      </c>
      <c r="B202" s="673" t="n">
        <v>2026</v>
      </c>
      <c r="C202" s="674" t="inlineStr">
        <is>
          <t>TAMAZIGHT</t>
        </is>
      </c>
      <c r="D202" s="674" t="inlineStr">
        <is>
          <t>PV N° : 01RC2025- DCPCART</t>
        </is>
      </c>
      <c r="E202" s="675" t="inlineStr">
        <is>
          <t>CONTRAT</t>
        </is>
      </c>
      <c r="F202" s="675" t="n"/>
      <c r="G202" s="676" t="inlineStr">
        <is>
          <t>MOHAMED FADLAOUI  -  Commentateur des matches de football</t>
        </is>
      </c>
      <c r="H202" s="673" t="inlineStr">
        <is>
          <t>VALIDE</t>
        </is>
      </c>
      <c r="I202" s="675" t="inlineStr">
        <is>
          <t>APPROUVE</t>
        </is>
      </c>
      <c r="J202" s="675" t="n"/>
      <c r="K202" s="673" t="inlineStr">
        <is>
          <t>NON CONCERNE</t>
        </is>
      </c>
      <c r="L202" s="675" t="inlineStr">
        <is>
          <t>Ordinaire</t>
        </is>
      </c>
      <c r="M202" s="677" t="inlineStr">
        <is>
          <t>FONCTIONNEMENT</t>
        </is>
      </c>
      <c r="N202" s="678" t="inlineStr">
        <is>
          <t xml:space="preserve">Prestations de service
Achat prestations de services locales - personnes physiques </t>
        </is>
      </c>
      <c r="O202" s="679" t="n"/>
      <c r="P202" s="680" t="n"/>
      <c r="Q202" s="680" t="n"/>
      <c r="R202" s="675" t="inlineStr">
        <is>
          <t>RECONDUCTION</t>
        </is>
      </c>
      <c r="S202" s="681" t="n"/>
      <c r="T202" s="682" t="n"/>
      <c r="U202" s="683" t="inlineStr">
        <is>
          <t xml:space="preserve">MOHAMED FADLAOUI </t>
        </is>
      </c>
      <c r="V202" s="675" t="n">
        <v>2026</v>
      </c>
      <c r="W202" s="682" t="n">
        <v>46387</v>
      </c>
      <c r="X202" s="682" t="n"/>
      <c r="Y202" s="682" t="n">
        <v>46024</v>
      </c>
      <c r="Z202" s="679" t="n">
        <v>72000</v>
      </c>
      <c r="AA202" s="680" t="n"/>
      <c r="AB202" s="680">
        <f>Z202</f>
        <v/>
      </c>
      <c r="AC202" s="680" t="n"/>
      <c r="AD202" s="680">
        <f>Z202</f>
        <v/>
      </c>
      <c r="AE202" s="680">
        <f>AB202</f>
        <v/>
      </c>
      <c r="AF202" s="684" t="inlineStr">
        <is>
          <t>ENGAGE</t>
        </is>
      </c>
      <c r="AG202" s="683" t="n"/>
      <c r="AH202" s="680" t="n"/>
      <c r="AI202" s="680" t="n"/>
      <c r="AJ202" s="680" t="n"/>
      <c r="AK202" s="680" t="n"/>
      <c r="AL202" s="685" t="n"/>
      <c r="AM202" s="685" t="n"/>
      <c r="AN202" s="683" t="inlineStr">
        <is>
          <t>Manque n° contrat</t>
        </is>
      </c>
      <c r="AO202" s="686" t="n"/>
      <c r="AP202" s="687" t="n"/>
      <c r="AQ202" s="688" t="n"/>
      <c r="AR202" s="688" t="n"/>
      <c r="AS202" s="23" t="n"/>
      <c r="AT202" s="688" t="n"/>
    </row>
    <row r="203" ht="46.5" customHeight="1" s="392">
      <c r="A203" s="672">
        <f>IF(AF203="ENGAGE","✔",IF(AF203="EN COURS D'ENGAGEMENT","◕",IF(AF203="PREENGAGE","◑",IF(AF203="EN COURS DE PREENGAGEMENT","◔",IF(AF203="NON ENGAGE","✖","")))))</f>
        <v/>
      </c>
      <c r="B203" s="673" t="n">
        <v>2026</v>
      </c>
      <c r="C203" s="674" t="inlineStr">
        <is>
          <t>TAMAZIGHT</t>
        </is>
      </c>
      <c r="D203" s="674" t="inlineStr">
        <is>
          <t>PV N° : 01RC2025- DCPCART</t>
        </is>
      </c>
      <c r="E203" s="675" t="inlineStr">
        <is>
          <t>CONTRAT</t>
        </is>
      </c>
      <c r="F203" s="675" t="n"/>
      <c r="G203" s="676" t="inlineStr">
        <is>
          <t>LARBI OUAHDANI  -  Coiffeur, Maquilleur</t>
        </is>
      </c>
      <c r="H203" s="673" t="inlineStr">
        <is>
          <t>VALIDE</t>
        </is>
      </c>
      <c r="I203" s="675" t="inlineStr">
        <is>
          <t>APPROUVE</t>
        </is>
      </c>
      <c r="J203" s="675" t="n"/>
      <c r="K203" s="673" t="inlineStr">
        <is>
          <t>NON CONCERNE</t>
        </is>
      </c>
      <c r="L203" s="675" t="inlineStr">
        <is>
          <t>Ordinaire</t>
        </is>
      </c>
      <c r="M203" s="677" t="inlineStr">
        <is>
          <t>FONCTIONNEMENT</t>
        </is>
      </c>
      <c r="N203" s="678" t="inlineStr">
        <is>
          <t xml:space="preserve">Prestations de service
Achat prestations de services locales - personnes physiques </t>
        </is>
      </c>
      <c r="O203" s="679" t="n"/>
      <c r="P203" s="680" t="n"/>
      <c r="Q203" s="680" t="n"/>
      <c r="R203" s="675" t="inlineStr">
        <is>
          <t>RECONDUCTION</t>
        </is>
      </c>
      <c r="S203" s="681" t="n"/>
      <c r="T203" s="682" t="n"/>
      <c r="U203" s="683" t="inlineStr">
        <is>
          <t>LARBI OUAHDANI</t>
        </is>
      </c>
      <c r="V203" s="675" t="n">
        <v>2026</v>
      </c>
      <c r="W203" s="682" t="n">
        <v>46387</v>
      </c>
      <c r="X203" s="682" t="n"/>
      <c r="Y203" s="682" t="n">
        <v>46024</v>
      </c>
      <c r="Z203" s="679" t="n">
        <v>72000</v>
      </c>
      <c r="AA203" s="680" t="n"/>
      <c r="AB203" s="680">
        <f>Z203</f>
        <v/>
      </c>
      <c r="AC203" s="680" t="n"/>
      <c r="AD203" s="680">
        <f>Z203</f>
        <v/>
      </c>
      <c r="AE203" s="680">
        <f>AB203</f>
        <v/>
      </c>
      <c r="AF203" s="684" t="inlineStr">
        <is>
          <t>ENGAGE</t>
        </is>
      </c>
      <c r="AG203" s="683" t="n"/>
      <c r="AH203" s="680" t="n"/>
      <c r="AI203" s="680" t="n"/>
      <c r="AJ203" s="680" t="n"/>
      <c r="AK203" s="680" t="n"/>
      <c r="AL203" s="685" t="n"/>
      <c r="AM203" s="685" t="n"/>
      <c r="AN203" s="683" t="inlineStr">
        <is>
          <t>Manque n° contrat</t>
        </is>
      </c>
      <c r="AO203" s="686" t="n"/>
      <c r="AP203" s="687" t="n"/>
      <c r="AQ203" s="688" t="n"/>
      <c r="AR203" s="688" t="n"/>
      <c r="AS203" s="23" t="n"/>
      <c r="AT203" s="688" t="n"/>
    </row>
    <row r="204" ht="46.5" customHeight="1" s="392">
      <c r="A204" s="672">
        <f>IF(AF204="ENGAGE","✔",IF(AF204="EN COURS D'ENGAGEMENT","◕",IF(AF204="PREENGAGE","◑",IF(AF204="EN COURS DE PREENGAGEMENT","◔",IF(AF204="NON ENGAGE","✖","")))))</f>
        <v/>
      </c>
      <c r="B204" s="673" t="n">
        <v>2026</v>
      </c>
      <c r="C204" s="674" t="inlineStr">
        <is>
          <t>TAMAZIGHT</t>
        </is>
      </c>
      <c r="D204" s="674" t="inlineStr">
        <is>
          <t>PV N° : 01RC2025- DCPCART</t>
        </is>
      </c>
      <c r="E204" s="675" t="inlineStr">
        <is>
          <t>CONTRAT</t>
        </is>
      </c>
      <c r="F204" s="675" t="n"/>
      <c r="G204" s="676" t="inlineStr">
        <is>
          <t>BOUMCOUSI MOHAMED  -  Concepteur Animateur RD/TV</t>
        </is>
      </c>
      <c r="H204" s="673" t="inlineStr">
        <is>
          <t>VALIDE</t>
        </is>
      </c>
      <c r="I204" s="675" t="inlineStr">
        <is>
          <t>APPROUVE</t>
        </is>
      </c>
      <c r="J204" s="675" t="n"/>
      <c r="K204" s="673" t="inlineStr">
        <is>
          <t>NON CONCERNE</t>
        </is>
      </c>
      <c r="L204" s="675" t="inlineStr">
        <is>
          <t>Ordinaire</t>
        </is>
      </c>
      <c r="M204" s="677" t="inlineStr">
        <is>
          <t>FONCTIONNEMENT</t>
        </is>
      </c>
      <c r="N204" s="678" t="inlineStr">
        <is>
          <t xml:space="preserve">Prestations de service
Achat prestations de services locales - personnes physiques </t>
        </is>
      </c>
      <c r="O204" s="679" t="n"/>
      <c r="P204" s="680" t="n"/>
      <c r="Q204" s="680" t="n"/>
      <c r="R204" s="675" t="inlineStr">
        <is>
          <t>RECONDUCTION</t>
        </is>
      </c>
      <c r="S204" s="681" t="n"/>
      <c r="T204" s="682" t="n"/>
      <c r="U204" s="683" t="inlineStr">
        <is>
          <t>BOUMCOUSI MOHAMED</t>
        </is>
      </c>
      <c r="V204" s="675" t="n">
        <v>2026</v>
      </c>
      <c r="W204" s="682" t="n">
        <v>46387</v>
      </c>
      <c r="X204" s="682" t="n"/>
      <c r="Y204" s="682" t="n">
        <v>46024</v>
      </c>
      <c r="Z204" s="679" t="n">
        <v>96000</v>
      </c>
      <c r="AA204" s="680" t="n"/>
      <c r="AB204" s="680">
        <f>Z204</f>
        <v/>
      </c>
      <c r="AC204" s="680" t="n"/>
      <c r="AD204" s="680">
        <f>Z204</f>
        <v/>
      </c>
      <c r="AE204" s="680">
        <f>AB204</f>
        <v/>
      </c>
      <c r="AF204" s="684" t="inlineStr">
        <is>
          <t>ENGAGE</t>
        </is>
      </c>
      <c r="AG204" s="683" t="n"/>
      <c r="AH204" s="680" t="n"/>
      <c r="AI204" s="680" t="n"/>
      <c r="AJ204" s="680" t="n"/>
      <c r="AK204" s="680" t="n"/>
      <c r="AL204" s="685" t="n"/>
      <c r="AM204" s="685" t="n"/>
      <c r="AN204" s="683" t="inlineStr">
        <is>
          <t>Manque n° contrat</t>
        </is>
      </c>
      <c r="AO204" s="686" t="n"/>
      <c r="AP204" s="687" t="n"/>
      <c r="AQ204" s="688" t="n"/>
      <c r="AR204" s="688" t="n"/>
      <c r="AS204" s="23" t="n"/>
      <c r="AT204" s="688" t="n"/>
    </row>
    <row r="205" ht="46.5" customHeight="1" s="392">
      <c r="A205" s="672">
        <f>IF(AF205="ENGAGE","✔",IF(AF205="EN COURS D'ENGAGEMENT","◕",IF(AF205="PREENGAGE","◑",IF(AF205="EN COURS DE PREENGAGEMENT","◔",IF(AF205="NON ENGAGE","✖","")))))</f>
        <v/>
      </c>
      <c r="B205" s="673" t="n">
        <v>2026</v>
      </c>
      <c r="C205" s="674" t="inlineStr">
        <is>
          <t>TAMAZIGHT</t>
        </is>
      </c>
      <c r="D205" s="674" t="inlineStr">
        <is>
          <t>PV N° : 01RC2025- DCPCART</t>
        </is>
      </c>
      <c r="E205" s="675" t="inlineStr">
        <is>
          <t>CONTRAT</t>
        </is>
      </c>
      <c r="F205" s="675" t="n"/>
      <c r="G205" s="676" t="inlineStr">
        <is>
          <t>SALAH BOULLA  -  Chef d’édition JT</t>
        </is>
      </c>
      <c r="H205" s="673" t="inlineStr">
        <is>
          <t>VALIDE</t>
        </is>
      </c>
      <c r="I205" s="675" t="inlineStr">
        <is>
          <t>APPROUVE</t>
        </is>
      </c>
      <c r="J205" s="675" t="n"/>
      <c r="K205" s="673" t="inlineStr">
        <is>
          <t>NON CONCERNE</t>
        </is>
      </c>
      <c r="L205" s="675" t="inlineStr">
        <is>
          <t>Ordinaire</t>
        </is>
      </c>
      <c r="M205" s="677" t="inlineStr">
        <is>
          <t>FONCTIONNEMENT</t>
        </is>
      </c>
      <c r="N205" s="678" t="inlineStr">
        <is>
          <t xml:space="preserve">Prestations de service
Achat prestations de services locales - personnes physiques </t>
        </is>
      </c>
      <c r="O205" s="679" t="n"/>
      <c r="P205" s="680" t="n"/>
      <c r="Q205" s="680" t="n"/>
      <c r="R205" s="675" t="inlineStr">
        <is>
          <t>RECONDUCTION</t>
        </is>
      </c>
      <c r="S205" s="681" t="n"/>
      <c r="T205" s="682" t="n"/>
      <c r="U205" s="683" t="inlineStr">
        <is>
          <t>SALAH BOULLA</t>
        </is>
      </c>
      <c r="V205" s="675" t="n">
        <v>2026</v>
      </c>
      <c r="W205" s="682" t="n">
        <v>46387</v>
      </c>
      <c r="X205" s="682" t="n"/>
      <c r="Y205" s="682" t="n">
        <v>46024</v>
      </c>
      <c r="Z205" s="679" t="n">
        <v>144000</v>
      </c>
      <c r="AA205" s="680" t="n"/>
      <c r="AB205" s="680">
        <f>Z205</f>
        <v/>
      </c>
      <c r="AC205" s="680" t="n"/>
      <c r="AD205" s="680">
        <f>Z205</f>
        <v/>
      </c>
      <c r="AE205" s="680">
        <f>AB205</f>
        <v/>
      </c>
      <c r="AF205" s="684" t="inlineStr">
        <is>
          <t>ENGAGE</t>
        </is>
      </c>
      <c r="AG205" s="683" t="n"/>
      <c r="AH205" s="680" t="n"/>
      <c r="AI205" s="680" t="n"/>
      <c r="AJ205" s="680" t="n"/>
      <c r="AK205" s="680" t="n"/>
      <c r="AL205" s="685" t="n"/>
      <c r="AM205" s="685" t="n"/>
      <c r="AN205" s="683" t="inlineStr">
        <is>
          <t>Manque n° contrat</t>
        </is>
      </c>
      <c r="AO205" s="686" t="n"/>
      <c r="AP205" s="687" t="n"/>
      <c r="AQ205" s="688" t="n"/>
      <c r="AR205" s="688" t="n"/>
      <c r="AS205" s="23" t="n"/>
      <c r="AT205" s="688" t="n"/>
    </row>
    <row r="206" ht="46.5" customHeight="1" s="392">
      <c r="A206" s="672">
        <f>IF(AF206="ENGAGE","✔",IF(AF206="EN COURS D'ENGAGEMENT","◕",IF(AF206="PREENGAGE","◑",IF(AF206="EN COURS DE PREENGAGEMENT","◔",IF(AF206="NON ENGAGE","✖","")))))</f>
        <v/>
      </c>
      <c r="B206" s="673" t="n">
        <v>2026</v>
      </c>
      <c r="C206" s="674" t="inlineStr">
        <is>
          <t>TAMAZIGHT</t>
        </is>
      </c>
      <c r="D206" s="674" t="inlineStr">
        <is>
          <t>PV N° : 01RC2025- DCPCART</t>
        </is>
      </c>
      <c r="E206" s="675" t="inlineStr">
        <is>
          <t>CONTRAT</t>
        </is>
      </c>
      <c r="F206" s="675" t="n"/>
      <c r="G206" s="676" t="inlineStr">
        <is>
          <t>AKDIM M'BAREK  -  Concepteur Animateur RD/TV</t>
        </is>
      </c>
      <c r="H206" s="673" t="inlineStr">
        <is>
          <t>VALIDE</t>
        </is>
      </c>
      <c r="I206" s="675" t="inlineStr">
        <is>
          <t>APPROUVE</t>
        </is>
      </c>
      <c r="J206" s="675" t="n"/>
      <c r="K206" s="673" t="inlineStr">
        <is>
          <t>NON CONCERNE</t>
        </is>
      </c>
      <c r="L206" s="675" t="inlineStr">
        <is>
          <t>Ordinaire</t>
        </is>
      </c>
      <c r="M206" s="677" t="inlineStr">
        <is>
          <t>FONCTIONNEMENT</t>
        </is>
      </c>
      <c r="N206" s="678" t="inlineStr">
        <is>
          <t xml:space="preserve">Prestations de service
Achat prestations de services locales - personnes physiques </t>
        </is>
      </c>
      <c r="O206" s="679" t="n"/>
      <c r="P206" s="680" t="n"/>
      <c r="Q206" s="680" t="n"/>
      <c r="R206" s="675" t="inlineStr">
        <is>
          <t>RECONDUCTION</t>
        </is>
      </c>
      <c r="S206" s="681" t="n"/>
      <c r="T206" s="682" t="n"/>
      <c r="U206" s="683" t="inlineStr">
        <is>
          <t>AKDIM M'BAREK</t>
        </is>
      </c>
      <c r="V206" s="675" t="n">
        <v>2026</v>
      </c>
      <c r="W206" s="682" t="n">
        <v>46387</v>
      </c>
      <c r="X206" s="682" t="n"/>
      <c r="Y206" s="682" t="n">
        <v>46024</v>
      </c>
      <c r="Z206" s="679" t="n">
        <v>132000</v>
      </c>
      <c r="AA206" s="680" t="n"/>
      <c r="AB206" s="680">
        <f>Z206</f>
        <v/>
      </c>
      <c r="AC206" s="680" t="n"/>
      <c r="AD206" s="680">
        <f>Z206</f>
        <v/>
      </c>
      <c r="AE206" s="680">
        <f>AB206</f>
        <v/>
      </c>
      <c r="AF206" s="684" t="inlineStr">
        <is>
          <t>ENGAGE</t>
        </is>
      </c>
      <c r="AG206" s="683" t="n"/>
      <c r="AH206" s="680" t="n"/>
      <c r="AI206" s="680" t="n"/>
      <c r="AJ206" s="680" t="n"/>
      <c r="AK206" s="680" t="n"/>
      <c r="AL206" s="685" t="n"/>
      <c r="AM206" s="685" t="n"/>
      <c r="AN206" s="683" t="inlineStr">
        <is>
          <t>Manque n° contrat</t>
        </is>
      </c>
      <c r="AO206" s="686" t="n"/>
      <c r="AP206" s="687" t="n"/>
      <c r="AQ206" s="688" t="n"/>
      <c r="AR206" s="688" t="n"/>
      <c r="AS206" s="23" t="n"/>
      <c r="AT206" s="688" t="n"/>
    </row>
    <row r="207" ht="46.5" customHeight="1" s="392">
      <c r="A207" s="672">
        <f>IF(AF207="ENGAGE","✔",IF(AF207="EN COURS D'ENGAGEMENT","◕",IF(AF207="PREENGAGE","◑",IF(AF207="EN COURS DE PREENGAGEMENT","◔",IF(AF207="NON ENGAGE","✖","")))))</f>
        <v/>
      </c>
      <c r="B207" s="673" t="n">
        <v>2026</v>
      </c>
      <c r="C207" s="674" t="inlineStr">
        <is>
          <t>TAMAZIGHT</t>
        </is>
      </c>
      <c r="D207" s="674" t="inlineStr">
        <is>
          <t>PV N° : 01RC2025- DCPCART</t>
        </is>
      </c>
      <c r="E207" s="675" t="inlineStr">
        <is>
          <t>CONTRAT</t>
        </is>
      </c>
      <c r="F207" s="675" t="n"/>
      <c r="G207" s="676" t="inlineStr">
        <is>
          <t>MARYEM OUJOUJ  -  Régisseur d'antenne /Opérateur serveur</t>
        </is>
      </c>
      <c r="H207" s="673" t="inlineStr">
        <is>
          <t>VALIDE</t>
        </is>
      </c>
      <c r="I207" s="675" t="inlineStr">
        <is>
          <t>APPROUVE</t>
        </is>
      </c>
      <c r="J207" s="675" t="n"/>
      <c r="K207" s="673" t="inlineStr">
        <is>
          <t>NON CONCERNE</t>
        </is>
      </c>
      <c r="L207" s="675" t="inlineStr">
        <is>
          <t>Ordinaire</t>
        </is>
      </c>
      <c r="M207" s="677" t="inlineStr">
        <is>
          <t>FONCTIONNEMENT</t>
        </is>
      </c>
      <c r="N207" s="678" t="inlineStr">
        <is>
          <t xml:space="preserve">Prestations de service
Achat prestations de services locales - personnes physiques </t>
        </is>
      </c>
      <c r="O207" s="679" t="n"/>
      <c r="P207" s="680" t="n"/>
      <c r="Q207" s="680" t="n"/>
      <c r="R207" s="675" t="inlineStr">
        <is>
          <t>RECONDUCTION</t>
        </is>
      </c>
      <c r="S207" s="681" t="n"/>
      <c r="T207" s="682" t="n"/>
      <c r="U207" s="683" t="inlineStr">
        <is>
          <t>MARYEM OUJOUJ</t>
        </is>
      </c>
      <c r="V207" s="675" t="n">
        <v>2026</v>
      </c>
      <c r="W207" s="682" t="n">
        <v>46387</v>
      </c>
      <c r="X207" s="682" t="n"/>
      <c r="Y207" s="682" t="n">
        <v>46024</v>
      </c>
      <c r="Z207" s="679" t="n">
        <v>96000</v>
      </c>
      <c r="AA207" s="680" t="n"/>
      <c r="AB207" s="680">
        <f>Z207</f>
        <v/>
      </c>
      <c r="AC207" s="680" t="n"/>
      <c r="AD207" s="680">
        <f>Z207</f>
        <v/>
      </c>
      <c r="AE207" s="680">
        <f>AB207</f>
        <v/>
      </c>
      <c r="AF207" s="684" t="inlineStr">
        <is>
          <t>ENGAGE</t>
        </is>
      </c>
      <c r="AG207" s="683" t="n"/>
      <c r="AH207" s="680" t="n"/>
      <c r="AI207" s="680" t="n"/>
      <c r="AJ207" s="680" t="n"/>
      <c r="AK207" s="680" t="n"/>
      <c r="AL207" s="685" t="n"/>
      <c r="AM207" s="685" t="n"/>
      <c r="AN207" s="683" t="inlineStr">
        <is>
          <t>Manque n° contrat</t>
        </is>
      </c>
      <c r="AO207" s="686" t="n"/>
      <c r="AP207" s="687" t="n"/>
      <c r="AQ207" s="688" t="n"/>
      <c r="AR207" s="688" t="n"/>
      <c r="AS207" s="23" t="n"/>
      <c r="AT207" s="688" t="n"/>
    </row>
    <row r="208" ht="46.5" customHeight="1" s="392">
      <c r="A208" s="672">
        <f>IF(AF208="ENGAGE","✔",IF(AF208="EN COURS D'ENGAGEMENT","◕",IF(AF208="PREENGAGE","◑",IF(AF208="EN COURS DE PREENGAGEMENT","◔",IF(AF208="NON ENGAGE","✖","")))))</f>
        <v/>
      </c>
      <c r="B208" s="673" t="n">
        <v>2026</v>
      </c>
      <c r="C208" s="674" t="inlineStr">
        <is>
          <t>TAMAZIGHT</t>
        </is>
      </c>
      <c r="D208" s="674" t="inlineStr">
        <is>
          <t>PV N° : 01RC2025- DCPCART</t>
        </is>
      </c>
      <c r="E208" s="675" t="inlineStr">
        <is>
          <t>CONTRAT</t>
        </is>
      </c>
      <c r="F208" s="675" t="n"/>
      <c r="G208" s="676" t="inlineStr">
        <is>
          <t>RACHID EL MANSOURI  -  Pré PAD/ Assistant réalisateur</t>
        </is>
      </c>
      <c r="H208" s="673" t="inlineStr">
        <is>
          <t>VALIDE</t>
        </is>
      </c>
      <c r="I208" s="675" t="inlineStr">
        <is>
          <t>APPROUVE</t>
        </is>
      </c>
      <c r="J208" s="675" t="n"/>
      <c r="K208" s="673" t="inlineStr">
        <is>
          <t>NON CONCERNE</t>
        </is>
      </c>
      <c r="L208" s="675" t="inlineStr">
        <is>
          <t>Ordinaire</t>
        </is>
      </c>
      <c r="M208" s="677" t="inlineStr">
        <is>
          <t>FONCTIONNEMENT</t>
        </is>
      </c>
      <c r="N208" s="678" t="inlineStr">
        <is>
          <t xml:space="preserve">Prestations de service
Achat prestations de services locales - personnes physiques </t>
        </is>
      </c>
      <c r="O208" s="679" t="n"/>
      <c r="P208" s="680" t="n"/>
      <c r="Q208" s="680" t="n"/>
      <c r="R208" s="675" t="inlineStr">
        <is>
          <t>RECONDUCTION</t>
        </is>
      </c>
      <c r="S208" s="681" t="n"/>
      <c r="T208" s="682" t="n"/>
      <c r="U208" s="683" t="inlineStr">
        <is>
          <t>RACHID EL MANSOURI</t>
        </is>
      </c>
      <c r="V208" s="675" t="n">
        <v>2026</v>
      </c>
      <c r="W208" s="682" t="n">
        <v>46387</v>
      </c>
      <c r="X208" s="682" t="n"/>
      <c r="Y208" s="682" t="n">
        <v>46024</v>
      </c>
      <c r="Z208" s="679" t="n">
        <v>124800</v>
      </c>
      <c r="AA208" s="680" t="n"/>
      <c r="AB208" s="680">
        <f>Z208</f>
        <v/>
      </c>
      <c r="AC208" s="680" t="n"/>
      <c r="AD208" s="680">
        <f>Z208</f>
        <v/>
      </c>
      <c r="AE208" s="680">
        <f>AB208</f>
        <v/>
      </c>
      <c r="AF208" s="684" t="inlineStr">
        <is>
          <t>ENGAGE</t>
        </is>
      </c>
      <c r="AG208" s="683" t="n"/>
      <c r="AH208" s="680" t="n"/>
      <c r="AI208" s="680" t="n"/>
      <c r="AJ208" s="680" t="n"/>
      <c r="AK208" s="680" t="n"/>
      <c r="AL208" s="685" t="n"/>
      <c r="AM208" s="685" t="n"/>
      <c r="AN208" s="683" t="inlineStr">
        <is>
          <t>Manque n° contrat</t>
        </is>
      </c>
      <c r="AO208" s="686" t="n"/>
      <c r="AP208" s="687" t="n"/>
      <c r="AQ208" s="688" t="n"/>
      <c r="AR208" s="688" t="n"/>
      <c r="AS208" s="23" t="n"/>
      <c r="AT208" s="688" t="n"/>
    </row>
    <row r="209" ht="46.5" customHeight="1" s="392">
      <c r="A209" s="672">
        <f>IF(AF209="ENGAGE","✔",IF(AF209="EN COURS D'ENGAGEMENT","◕",IF(AF209="PREENGAGE","◑",IF(AF209="EN COURS DE PREENGAGEMENT","◔",IF(AF209="NON ENGAGE","✖","")))))</f>
        <v/>
      </c>
      <c r="B209" s="673" t="n">
        <v>2026</v>
      </c>
      <c r="C209" s="674" t="inlineStr">
        <is>
          <t>TAMAZIGHT</t>
        </is>
      </c>
      <c r="D209" s="674" t="inlineStr">
        <is>
          <t>PV N° : 01RC2025- DCPCART</t>
        </is>
      </c>
      <c r="E209" s="675" t="inlineStr">
        <is>
          <t>CONTRAT</t>
        </is>
      </c>
      <c r="F209" s="675" t="n"/>
      <c r="G209" s="676" t="inlineStr">
        <is>
          <t>HICHAM MADACHA  -  Consultant Politique</t>
        </is>
      </c>
      <c r="H209" s="673" t="inlineStr">
        <is>
          <t>VALIDE</t>
        </is>
      </c>
      <c r="I209" s="675" t="inlineStr">
        <is>
          <t>APPROUVE</t>
        </is>
      </c>
      <c r="J209" s="675" t="n"/>
      <c r="K209" s="673" t="inlineStr">
        <is>
          <t>NON CONCERNE</t>
        </is>
      </c>
      <c r="L209" s="675" t="inlineStr">
        <is>
          <t>Ordinaire</t>
        </is>
      </c>
      <c r="M209" s="677" t="inlineStr">
        <is>
          <t>FONCTIONNEMENT</t>
        </is>
      </c>
      <c r="N209" s="678" t="inlineStr">
        <is>
          <t xml:space="preserve">Prestations de service
Achat prestations de services locales - personnes physiques </t>
        </is>
      </c>
      <c r="O209" s="679" t="n"/>
      <c r="P209" s="680" t="n"/>
      <c r="Q209" s="680" t="n"/>
      <c r="R209" s="675" t="inlineStr">
        <is>
          <t>RECONDUCTION</t>
        </is>
      </c>
      <c r="S209" s="681" t="n"/>
      <c r="T209" s="682" t="n"/>
      <c r="U209" s="683" t="inlineStr">
        <is>
          <t>HICHAM MADACHA</t>
        </is>
      </c>
      <c r="V209" s="675" t="n">
        <v>2026</v>
      </c>
      <c r="W209" s="682" t="n">
        <v>46387</v>
      </c>
      <c r="X209" s="682" t="n"/>
      <c r="Y209" s="682" t="n">
        <v>46024</v>
      </c>
      <c r="Z209" s="679" t="n">
        <v>171428.52</v>
      </c>
      <c r="AA209" s="680" t="n"/>
      <c r="AB209" s="680">
        <f>Z209</f>
        <v/>
      </c>
      <c r="AC209" s="680" t="n"/>
      <c r="AD209" s="680">
        <f>Z209</f>
        <v/>
      </c>
      <c r="AE209" s="680">
        <f>AB209</f>
        <v/>
      </c>
      <c r="AF209" s="684" t="inlineStr">
        <is>
          <t>ENGAGE</t>
        </is>
      </c>
      <c r="AG209" s="683" t="n"/>
      <c r="AH209" s="680" t="n"/>
      <c r="AI209" s="680" t="n"/>
      <c r="AJ209" s="680" t="n"/>
      <c r="AK209" s="680" t="n"/>
      <c r="AL209" s="685" t="n"/>
      <c r="AM209" s="685" t="n"/>
      <c r="AN209" s="683" t="inlineStr">
        <is>
          <t>Manque n° contrat</t>
        </is>
      </c>
      <c r="AO209" s="686" t="n"/>
      <c r="AP209" s="687" t="n"/>
      <c r="AQ209" s="688" t="n"/>
      <c r="AR209" s="688" t="n"/>
      <c r="AS209" s="23" t="n"/>
      <c r="AT209" s="688" t="n"/>
    </row>
    <row r="210" ht="46.5" customHeight="1" s="392">
      <c r="A210" s="672">
        <f>IF(AF210="ENGAGE","✔",IF(AF210="EN COURS D'ENGAGEMENT","◕",IF(AF210="PREENGAGE","◑",IF(AF210="EN COURS DE PREENGAGEMENT","◔",IF(AF210="NON ENGAGE","✖","")))))</f>
        <v/>
      </c>
      <c r="B210" s="673" t="n">
        <v>2026</v>
      </c>
      <c r="C210" s="674" t="inlineStr">
        <is>
          <t>TAMAZIGHT</t>
        </is>
      </c>
      <c r="D210" s="674" t="inlineStr">
        <is>
          <t>PV N° : 01RC2025- DCPCART</t>
        </is>
      </c>
      <c r="E210" s="675" t="inlineStr">
        <is>
          <t>CONTRAT</t>
        </is>
      </c>
      <c r="F210" s="675" t="n"/>
      <c r="G210" s="676" t="inlineStr">
        <is>
          <t>MUSTAPHA AZIZI  -  Consultant Politique</t>
        </is>
      </c>
      <c r="H210" s="673" t="inlineStr">
        <is>
          <t>VALIDE</t>
        </is>
      </c>
      <c r="I210" s="675" t="inlineStr">
        <is>
          <t>APPROUVE</t>
        </is>
      </c>
      <c r="J210" s="675" t="n"/>
      <c r="K210" s="673" t="inlineStr">
        <is>
          <t>NON CONCERNE</t>
        </is>
      </c>
      <c r="L210" s="675" t="inlineStr">
        <is>
          <t>Ordinaire</t>
        </is>
      </c>
      <c r="M210" s="677" t="inlineStr">
        <is>
          <t>FONCTIONNEMENT</t>
        </is>
      </c>
      <c r="N210" s="678" t="inlineStr">
        <is>
          <t xml:space="preserve">Prestations de service
Achat prestations de services locales - personnes physiques </t>
        </is>
      </c>
      <c r="O210" s="679" t="n"/>
      <c r="P210" s="680" t="n"/>
      <c r="Q210" s="680" t="n"/>
      <c r="R210" s="675" t="inlineStr">
        <is>
          <t>RECONDUCTION</t>
        </is>
      </c>
      <c r="S210" s="681" t="n"/>
      <c r="T210" s="682" t="n"/>
      <c r="U210" s="683" t="inlineStr">
        <is>
          <t>MUSTAPHA AZIZI</t>
        </is>
      </c>
      <c r="V210" s="675" t="n">
        <v>2026</v>
      </c>
      <c r="W210" s="682" t="n">
        <v>46387</v>
      </c>
      <c r="X210" s="682" t="n"/>
      <c r="Y210" s="682" t="n">
        <v>46024</v>
      </c>
      <c r="Z210" s="679" t="n">
        <v>180000</v>
      </c>
      <c r="AA210" s="680" t="n"/>
      <c r="AB210" s="680">
        <f>Z210</f>
        <v/>
      </c>
      <c r="AC210" s="680" t="n"/>
      <c r="AD210" s="680">
        <f>Z210</f>
        <v/>
      </c>
      <c r="AE210" s="680">
        <f>AB210</f>
        <v/>
      </c>
      <c r="AF210" s="684" t="inlineStr">
        <is>
          <t>ENGAGE</t>
        </is>
      </c>
      <c r="AG210" s="683" t="n"/>
      <c r="AH210" s="680" t="n"/>
      <c r="AI210" s="680" t="n"/>
      <c r="AJ210" s="680" t="n"/>
      <c r="AK210" s="680" t="n"/>
      <c r="AL210" s="685" t="n"/>
      <c r="AM210" s="685" t="n"/>
      <c r="AN210" s="683" t="inlineStr">
        <is>
          <t>Manque n° contrat</t>
        </is>
      </c>
      <c r="AO210" s="686" t="n"/>
      <c r="AP210" s="687" t="n"/>
      <c r="AQ210" s="688" t="n"/>
      <c r="AR210" s="688" t="n"/>
      <c r="AS210" s="23" t="n"/>
      <c r="AT210" s="688" t="n"/>
    </row>
    <row r="211" ht="46.5" customHeight="1" s="392">
      <c r="A211" s="672">
        <f>IF(AF211="ENGAGE","✔",IF(AF211="EN COURS D'ENGAGEMENT","◕",IF(AF211="PREENGAGE","◑",IF(AF211="EN COURS DE PREENGAGEMENT","◔",IF(AF211="NON ENGAGE","✖","")))))</f>
        <v/>
      </c>
      <c r="B211" s="673" t="n">
        <v>2026</v>
      </c>
      <c r="C211" s="674" t="inlineStr">
        <is>
          <t>TAMAZIGHT</t>
        </is>
      </c>
      <c r="D211" s="674" t="inlineStr">
        <is>
          <t>PV N° : 01RC2025- DCPCART</t>
        </is>
      </c>
      <c r="E211" s="675" t="inlineStr">
        <is>
          <t>CONTRAT</t>
        </is>
      </c>
      <c r="F211" s="675" t="n"/>
      <c r="G211" s="676" t="inlineStr">
        <is>
          <t>HAFID EZZAHRI  -  Consultant Politique</t>
        </is>
      </c>
      <c r="H211" s="673" t="inlineStr">
        <is>
          <t>VALIDE</t>
        </is>
      </c>
      <c r="I211" s="675" t="inlineStr">
        <is>
          <t>EN SIGNATURE</t>
        </is>
      </c>
      <c r="J211" s="675" t="n"/>
      <c r="K211" s="673" t="inlineStr">
        <is>
          <t>NON CONCERNE</t>
        </is>
      </c>
      <c r="L211" s="675" t="inlineStr">
        <is>
          <t>Ordinaire</t>
        </is>
      </c>
      <c r="M211" s="677" t="inlineStr">
        <is>
          <t>FONCTIONNEMENT</t>
        </is>
      </c>
      <c r="N211" s="678" t="inlineStr">
        <is>
          <t xml:space="preserve">Prestations de service
Achat prestations de services locales - personnes physiques </t>
        </is>
      </c>
      <c r="O211" s="679" t="n"/>
      <c r="P211" s="680" t="n"/>
      <c r="Q211" s="680" t="n"/>
      <c r="R211" s="675" t="inlineStr">
        <is>
          <t>RECONDUCTION</t>
        </is>
      </c>
      <c r="S211" s="681" t="n"/>
      <c r="T211" s="682" t="n"/>
      <c r="U211" s="683" t="inlineStr">
        <is>
          <t>HAFID EZZAHRI</t>
        </is>
      </c>
      <c r="V211" s="675" t="n">
        <v>2026</v>
      </c>
      <c r="W211" s="682" t="n">
        <v>46387</v>
      </c>
      <c r="X211" s="682" t="n"/>
      <c r="Y211" s="682" t="n">
        <v>46024</v>
      </c>
      <c r="Z211" s="679" t="n">
        <v>120000</v>
      </c>
      <c r="AA211" s="680" t="n"/>
      <c r="AB211" s="680">
        <f>Z211</f>
        <v/>
      </c>
      <c r="AC211" s="680" t="n"/>
      <c r="AD211" s="680">
        <f>Z211</f>
        <v/>
      </c>
      <c r="AE211" s="680">
        <f>AB211</f>
        <v/>
      </c>
      <c r="AF211" s="684" t="inlineStr">
        <is>
          <t>ENGAGE</t>
        </is>
      </c>
      <c r="AG211" s="683" t="n"/>
      <c r="AH211" s="680" t="n"/>
      <c r="AI211" s="680" t="n"/>
      <c r="AJ211" s="680" t="n"/>
      <c r="AK211" s="680" t="n"/>
      <c r="AL211" s="685" t="n"/>
      <c r="AM211" s="685" t="n"/>
      <c r="AN211" s="683" t="inlineStr">
        <is>
          <t>Manque n° contrat</t>
        </is>
      </c>
      <c r="AO211" s="686" t="n"/>
      <c r="AP211" s="687" t="n"/>
      <c r="AQ211" s="688" t="n"/>
      <c r="AR211" s="688" t="n"/>
      <c r="AS211" s="23" t="n"/>
      <c r="AT211" s="688" t="n"/>
    </row>
    <row r="212" ht="46.5" customHeight="1" s="392">
      <c r="A212" s="672">
        <f>IF(AF212="ENGAGE","✔",IF(AF212="EN COURS D'ENGAGEMENT","◕",IF(AF212="PREENGAGE","◑",IF(AF212="EN COURS DE PREENGAGEMENT","◔",IF(AF212="NON ENGAGE","✖","")))))</f>
        <v/>
      </c>
      <c r="B212" s="673" t="n">
        <v>2026</v>
      </c>
      <c r="C212" s="674" t="inlineStr">
        <is>
          <t>TAMAZIGHT</t>
        </is>
      </c>
      <c r="D212" s="674" t="inlineStr">
        <is>
          <t>PV N° : 01RC2025- DCPCART</t>
        </is>
      </c>
      <c r="E212" s="675" t="inlineStr">
        <is>
          <t>CONTRAT</t>
        </is>
      </c>
      <c r="F212" s="675" t="n"/>
      <c r="G212" s="676" t="inlineStr">
        <is>
          <t>SOFIA EL AMALKI  -  Journaliste</t>
        </is>
      </c>
      <c r="H212" s="673" t="inlineStr">
        <is>
          <t>VALIDE</t>
        </is>
      </c>
      <c r="I212" s="675" t="inlineStr">
        <is>
          <t>APPROUVE</t>
        </is>
      </c>
      <c r="J212" s="675" t="n"/>
      <c r="K212" s="673" t="inlineStr">
        <is>
          <t>NON CONCERNE</t>
        </is>
      </c>
      <c r="L212" s="675" t="inlineStr">
        <is>
          <t>Ordinaire</t>
        </is>
      </c>
      <c r="M212" s="677" t="inlineStr">
        <is>
          <t>FONCTIONNEMENT</t>
        </is>
      </c>
      <c r="N212" s="678" t="inlineStr">
        <is>
          <t xml:space="preserve">Prestations de service
Achat prestations de services locales - personnes physiques </t>
        </is>
      </c>
      <c r="O212" s="679" t="n"/>
      <c r="P212" s="680" t="n"/>
      <c r="Q212" s="680" t="n"/>
      <c r="R212" s="675" t="inlineStr">
        <is>
          <t>RECONDUCTION</t>
        </is>
      </c>
      <c r="S212" s="681" t="n"/>
      <c r="T212" s="682" t="n"/>
      <c r="U212" s="683" t="inlineStr">
        <is>
          <t>SOFIA EL AMALKI</t>
        </is>
      </c>
      <c r="V212" s="675" t="n">
        <v>2026</v>
      </c>
      <c r="W212" s="682" t="n">
        <v>46387</v>
      </c>
      <c r="X212" s="682" t="n"/>
      <c r="Y212" s="682" t="n">
        <v>46024</v>
      </c>
      <c r="Z212" s="679" t="n">
        <v>96000</v>
      </c>
      <c r="AA212" s="680" t="n"/>
      <c r="AB212" s="680">
        <f>Z212</f>
        <v/>
      </c>
      <c r="AC212" s="680" t="n"/>
      <c r="AD212" s="680">
        <f>Z212</f>
        <v/>
      </c>
      <c r="AE212" s="680">
        <f>AB212</f>
        <v/>
      </c>
      <c r="AF212" s="684" t="inlineStr">
        <is>
          <t>ENGAGE</t>
        </is>
      </c>
      <c r="AG212" s="683" t="n"/>
      <c r="AH212" s="680" t="n"/>
      <c r="AI212" s="680" t="n"/>
      <c r="AJ212" s="680" t="n"/>
      <c r="AK212" s="680" t="n"/>
      <c r="AL212" s="685" t="n"/>
      <c r="AM212" s="685" t="n"/>
      <c r="AN212" s="683" t="inlineStr">
        <is>
          <t>Manque n° contrat</t>
        </is>
      </c>
      <c r="AO212" s="686" t="n"/>
      <c r="AP212" s="687" t="n"/>
      <c r="AQ212" s="688" t="n"/>
      <c r="AR212" s="688" t="n"/>
      <c r="AS212" s="23" t="n"/>
      <c r="AT212" s="688" t="n"/>
    </row>
    <row r="213" ht="46.5" customHeight="1" s="392">
      <c r="A213" s="672">
        <f>IF(AF213="ENGAGE","✔",IF(AF213="EN COURS D'ENGAGEMENT","◕",IF(AF213="PREENGAGE","◑",IF(AF213="EN COURS DE PREENGAGEMENT","◔",IF(AF213="NON ENGAGE","✖","")))))</f>
        <v/>
      </c>
      <c r="B213" s="673" t="n">
        <v>2026</v>
      </c>
      <c r="C213" s="674" t="inlineStr">
        <is>
          <t>TAMAZIGHT</t>
        </is>
      </c>
      <c r="D213" s="674" t="inlineStr">
        <is>
          <t>PV N° : 01RC2025- DCPCART</t>
        </is>
      </c>
      <c r="E213" s="675" t="inlineStr">
        <is>
          <t>CONTRAT</t>
        </is>
      </c>
      <c r="F213" s="675" t="n"/>
      <c r="G213" s="676" t="inlineStr">
        <is>
          <t>TAHAR MOHAMED  -  Technicien OPV/OPS</t>
        </is>
      </c>
      <c r="H213" s="673" t="inlineStr">
        <is>
          <t>VALIDE</t>
        </is>
      </c>
      <c r="I213" s="675" t="inlineStr">
        <is>
          <t>APPROUVE</t>
        </is>
      </c>
      <c r="J213" s="675" t="n"/>
      <c r="K213" s="673" t="inlineStr">
        <is>
          <t>NON CONCERNE</t>
        </is>
      </c>
      <c r="L213" s="675" t="inlineStr">
        <is>
          <t>Ordinaire</t>
        </is>
      </c>
      <c r="M213" s="677" t="inlineStr">
        <is>
          <t>FONCTIONNEMENT</t>
        </is>
      </c>
      <c r="N213" s="678" t="inlineStr">
        <is>
          <t xml:space="preserve">Prestations de service
Achat prestations de services locales - personnes physiques </t>
        </is>
      </c>
      <c r="O213" s="679" t="n"/>
      <c r="P213" s="680" t="n"/>
      <c r="Q213" s="680" t="n"/>
      <c r="R213" s="675" t="inlineStr">
        <is>
          <t>RECONDUCTION</t>
        </is>
      </c>
      <c r="S213" s="681" t="n"/>
      <c r="T213" s="682" t="n"/>
      <c r="U213" s="683" t="inlineStr">
        <is>
          <t>TAHAR MOHAMED</t>
        </is>
      </c>
      <c r="V213" s="675" t="n">
        <v>2026</v>
      </c>
      <c r="W213" s="682" t="n">
        <v>46387</v>
      </c>
      <c r="X213" s="682" t="n"/>
      <c r="Y213" s="682" t="n">
        <v>46024</v>
      </c>
      <c r="Z213" s="679" t="n">
        <v>84000</v>
      </c>
      <c r="AA213" s="680" t="n"/>
      <c r="AB213" s="680">
        <f>Z213</f>
        <v/>
      </c>
      <c r="AC213" s="680" t="n"/>
      <c r="AD213" s="680">
        <f>Z213</f>
        <v/>
      </c>
      <c r="AE213" s="680">
        <f>AB213</f>
        <v/>
      </c>
      <c r="AF213" s="684" t="inlineStr">
        <is>
          <t>ENGAGE</t>
        </is>
      </c>
      <c r="AG213" s="683" t="n"/>
      <c r="AH213" s="680" t="n"/>
      <c r="AI213" s="680" t="n"/>
      <c r="AJ213" s="680" t="n"/>
      <c r="AK213" s="680" t="n"/>
      <c r="AL213" s="685" t="n"/>
      <c r="AM213" s="685" t="n"/>
      <c r="AN213" s="683" t="inlineStr">
        <is>
          <t>Manque n° contrat</t>
        </is>
      </c>
      <c r="AO213" s="686" t="n"/>
      <c r="AP213" s="687" t="n"/>
      <c r="AQ213" s="688" t="n"/>
      <c r="AR213" s="688" t="n"/>
      <c r="AS213" s="23" t="n"/>
      <c r="AT213" s="688" t="n"/>
    </row>
    <row r="214" ht="46.5" customHeight="1" s="392">
      <c r="A214" s="672">
        <f>IF(AF214="ENGAGE","✔",IF(AF214="EN COURS D'ENGAGEMENT","◕",IF(AF214="PREENGAGE","◑",IF(AF214="EN COURS DE PREENGAGEMENT","◔",IF(AF214="NON ENGAGE","✖","")))))</f>
        <v/>
      </c>
      <c r="B214" s="673" t="n">
        <v>2026</v>
      </c>
      <c r="C214" s="674" t="inlineStr">
        <is>
          <t>TAMAZIGHT</t>
        </is>
      </c>
      <c r="D214" s="674" t="inlineStr">
        <is>
          <t>PV N° : 01RC2025- DCPCART</t>
        </is>
      </c>
      <c r="E214" s="675" t="inlineStr">
        <is>
          <t>CONTRAT</t>
        </is>
      </c>
      <c r="F214" s="675" t="n"/>
      <c r="G214" s="676" t="inlineStr">
        <is>
          <t>SAID HASNI  -  Concepteur Animateur RD/TV</t>
        </is>
      </c>
      <c r="H214" s="673" t="inlineStr">
        <is>
          <t>VALIDE</t>
        </is>
      </c>
      <c r="I214" s="675" t="inlineStr">
        <is>
          <t>APPROUVE</t>
        </is>
      </c>
      <c r="J214" s="675" t="n"/>
      <c r="K214" s="673" t="inlineStr">
        <is>
          <t>NON CONCERNE</t>
        </is>
      </c>
      <c r="L214" s="675" t="inlineStr">
        <is>
          <t>Ordinaire</t>
        </is>
      </c>
      <c r="M214" s="677" t="inlineStr">
        <is>
          <t>FONCTIONNEMENT</t>
        </is>
      </c>
      <c r="N214" s="678" t="inlineStr">
        <is>
          <t xml:space="preserve">Prestations de service
Achat prestations de services locales - personnes physiques </t>
        </is>
      </c>
      <c r="O214" s="679" t="n"/>
      <c r="P214" s="680" t="n"/>
      <c r="Q214" s="680" t="n"/>
      <c r="R214" s="675" t="inlineStr">
        <is>
          <t>RECONDUCTION</t>
        </is>
      </c>
      <c r="S214" s="681" t="n"/>
      <c r="T214" s="682" t="n"/>
      <c r="U214" s="683" t="inlineStr">
        <is>
          <t>SAID HASNI</t>
        </is>
      </c>
      <c r="V214" s="675" t="n">
        <v>2026</v>
      </c>
      <c r="W214" s="682" t="n">
        <v>46387</v>
      </c>
      <c r="X214" s="682" t="n"/>
      <c r="Y214" s="682" t="n">
        <v>46024</v>
      </c>
      <c r="Z214" s="679" t="n">
        <v>96000</v>
      </c>
      <c r="AA214" s="680" t="n"/>
      <c r="AB214" s="680">
        <f>Z214</f>
        <v/>
      </c>
      <c r="AC214" s="680" t="n"/>
      <c r="AD214" s="680">
        <f>Z214</f>
        <v/>
      </c>
      <c r="AE214" s="680">
        <f>AB214</f>
        <v/>
      </c>
      <c r="AF214" s="684" t="inlineStr">
        <is>
          <t>ENGAGE</t>
        </is>
      </c>
      <c r="AG214" s="683" t="n"/>
      <c r="AH214" s="680" t="n"/>
      <c r="AI214" s="680" t="n"/>
      <c r="AJ214" s="680" t="n"/>
      <c r="AK214" s="680" t="n"/>
      <c r="AL214" s="685" t="n"/>
      <c r="AM214" s="685" t="n"/>
      <c r="AN214" s="683" t="inlineStr">
        <is>
          <t>Manque n° contrat</t>
        </is>
      </c>
      <c r="AO214" s="686" t="n"/>
      <c r="AP214" s="687" t="n"/>
      <c r="AQ214" s="688" t="n"/>
      <c r="AR214" s="688" t="n"/>
      <c r="AS214" s="23" t="n"/>
      <c r="AT214" s="688" t="n"/>
    </row>
    <row r="215" ht="46.5" customHeight="1" s="392">
      <c r="A215" s="672">
        <f>IF(AF215="ENGAGE","✔",IF(AF215="EN COURS D'ENGAGEMENT","◕",IF(AF215="PREENGAGE","◑",IF(AF215="EN COURS DE PREENGAGEMENT","◔",IF(AF215="NON ENGAGE","✖","")))))</f>
        <v/>
      </c>
      <c r="B215" s="673" t="n">
        <v>2026</v>
      </c>
      <c r="C215" s="674" t="inlineStr">
        <is>
          <t>TAMAZIGHT</t>
        </is>
      </c>
      <c r="D215" s="674" t="inlineStr">
        <is>
          <t>PV N° : 01RC2025- DCPCART</t>
        </is>
      </c>
      <c r="E215" s="675" t="inlineStr">
        <is>
          <t>CONTRAT</t>
        </is>
      </c>
      <c r="F215" s="675" t="n"/>
      <c r="G215" s="676" t="inlineStr">
        <is>
          <t>NAJMI NOUREDDIN  -  Concepteur Animateur RD/TV</t>
        </is>
      </c>
      <c r="H215" s="673" t="inlineStr">
        <is>
          <t>VALIDE</t>
        </is>
      </c>
      <c r="I215" s="675" t="inlineStr">
        <is>
          <t>APPROUVE</t>
        </is>
      </c>
      <c r="J215" s="675" t="n"/>
      <c r="K215" s="673" t="inlineStr">
        <is>
          <t>NON CONCERNE</t>
        </is>
      </c>
      <c r="L215" s="675" t="inlineStr">
        <is>
          <t>Ordinaire</t>
        </is>
      </c>
      <c r="M215" s="677" t="inlineStr">
        <is>
          <t>FONCTIONNEMENT</t>
        </is>
      </c>
      <c r="N215" s="678" t="inlineStr">
        <is>
          <t xml:space="preserve">Prestations de service
Achat prestations de services locales - personnes physiques </t>
        </is>
      </c>
      <c r="O215" s="679" t="n"/>
      <c r="P215" s="680" t="n"/>
      <c r="Q215" s="680" t="n"/>
      <c r="R215" s="675" t="inlineStr">
        <is>
          <t>RECONDUCTION</t>
        </is>
      </c>
      <c r="S215" s="681" t="n"/>
      <c r="T215" s="682" t="n"/>
      <c r="U215" s="683" t="inlineStr">
        <is>
          <t>NAJMI NOUREDDIN</t>
        </is>
      </c>
      <c r="V215" s="675" t="n">
        <v>2026</v>
      </c>
      <c r="W215" s="682" t="n">
        <v>46387</v>
      </c>
      <c r="X215" s="682" t="n"/>
      <c r="Y215" s="682" t="n">
        <v>46024</v>
      </c>
      <c r="Z215" s="679" t="n">
        <v>96000</v>
      </c>
      <c r="AA215" s="680" t="n"/>
      <c r="AB215" s="680">
        <f>Z215</f>
        <v/>
      </c>
      <c r="AC215" s="680" t="n"/>
      <c r="AD215" s="680">
        <f>Z215</f>
        <v/>
      </c>
      <c r="AE215" s="680">
        <f>AB215</f>
        <v/>
      </c>
      <c r="AF215" s="684" t="inlineStr">
        <is>
          <t>ENGAGE</t>
        </is>
      </c>
      <c r="AG215" s="683" t="n"/>
      <c r="AH215" s="680" t="n"/>
      <c r="AI215" s="680" t="n"/>
      <c r="AJ215" s="680" t="n"/>
      <c r="AK215" s="680" t="n"/>
      <c r="AL215" s="685" t="n"/>
      <c r="AM215" s="685" t="n"/>
      <c r="AN215" s="683" t="inlineStr">
        <is>
          <t>Manque n° contrat</t>
        </is>
      </c>
      <c r="AO215" s="686" t="n"/>
      <c r="AP215" s="687" t="n"/>
      <c r="AQ215" s="688" t="n"/>
      <c r="AR215" s="688" t="n"/>
      <c r="AS215" s="23" t="n"/>
      <c r="AT215" s="688" t="n"/>
    </row>
    <row r="216" ht="46.5" customHeight="1" s="392">
      <c r="A216" s="672">
        <f>IF(AF216="ENGAGE","✔",IF(AF216="EN COURS D'ENGAGEMENT","◕",IF(AF216="PREENGAGE","◑",IF(AF216="EN COURS DE PREENGAGEMENT","◔",IF(AF216="NON ENGAGE","✖","")))))</f>
        <v/>
      </c>
      <c r="B216" s="673" t="n">
        <v>2026</v>
      </c>
      <c r="C216" s="674" t="inlineStr">
        <is>
          <t>TAMAZIGHT</t>
        </is>
      </c>
      <c r="D216" s="674" t="inlineStr">
        <is>
          <t>PV N° : 01RC2025- DCPCART</t>
        </is>
      </c>
      <c r="E216" s="675" t="inlineStr">
        <is>
          <t>CONTRAT</t>
        </is>
      </c>
      <c r="F216" s="675" t="n"/>
      <c r="G216" s="676" t="inlineStr">
        <is>
          <t>ABEL NEZHA  -  Concepteur Animateur RD/TV</t>
        </is>
      </c>
      <c r="H216" s="673" t="inlineStr">
        <is>
          <t>VALIDE</t>
        </is>
      </c>
      <c r="I216" s="675" t="inlineStr">
        <is>
          <t>APPROUVE</t>
        </is>
      </c>
      <c r="J216" s="675" t="n"/>
      <c r="K216" s="673" t="inlineStr">
        <is>
          <t>NON CONCERNE</t>
        </is>
      </c>
      <c r="L216" s="675" t="inlineStr">
        <is>
          <t>Ordinaire</t>
        </is>
      </c>
      <c r="M216" s="677" t="inlineStr">
        <is>
          <t>FONCTIONNEMENT</t>
        </is>
      </c>
      <c r="N216" s="678" t="inlineStr">
        <is>
          <t xml:space="preserve">Prestations de service
Achat prestations de services locales - personnes physiques </t>
        </is>
      </c>
      <c r="O216" s="679" t="n"/>
      <c r="P216" s="680" t="n"/>
      <c r="Q216" s="680" t="n"/>
      <c r="R216" s="675" t="inlineStr">
        <is>
          <t>RECONDUCTION</t>
        </is>
      </c>
      <c r="S216" s="681" t="n"/>
      <c r="T216" s="682" t="n"/>
      <c r="U216" s="683" t="inlineStr">
        <is>
          <t>ABEL NEZHA</t>
        </is>
      </c>
      <c r="V216" s="675" t="n">
        <v>2026</v>
      </c>
      <c r="W216" s="682" t="n">
        <v>46387</v>
      </c>
      <c r="X216" s="682" t="n"/>
      <c r="Y216" s="682" t="n">
        <v>46024</v>
      </c>
      <c r="Z216" s="679" t="n">
        <v>84000</v>
      </c>
      <c r="AA216" s="680" t="n"/>
      <c r="AB216" s="680">
        <f>Z216</f>
        <v/>
      </c>
      <c r="AC216" s="680" t="n"/>
      <c r="AD216" s="680">
        <f>Z216</f>
        <v/>
      </c>
      <c r="AE216" s="680">
        <f>AB216</f>
        <v/>
      </c>
      <c r="AF216" s="684" t="inlineStr">
        <is>
          <t>ENGAGE</t>
        </is>
      </c>
      <c r="AG216" s="683" t="n"/>
      <c r="AH216" s="680" t="n"/>
      <c r="AI216" s="680" t="n"/>
      <c r="AJ216" s="680" t="n"/>
      <c r="AK216" s="680" t="n"/>
      <c r="AL216" s="685" t="n"/>
      <c r="AM216" s="685" t="n"/>
      <c r="AN216" s="683" t="inlineStr">
        <is>
          <t>Manque n° contrat</t>
        </is>
      </c>
      <c r="AO216" s="686" t="n"/>
      <c r="AP216" s="687" t="n"/>
      <c r="AQ216" s="688" t="n"/>
      <c r="AR216" s="688" t="n"/>
      <c r="AS216" s="23" t="n"/>
      <c r="AT216" s="688" t="n"/>
    </row>
    <row r="217" ht="46.5" customHeight="1" s="392">
      <c r="A217" s="672">
        <f>IF(AF217="ENGAGE","✔",IF(AF217="EN COURS D'ENGAGEMENT","◕",IF(AF217="PREENGAGE","◑",IF(AF217="EN COURS DE PREENGAGEMENT","◔",IF(AF217="NON ENGAGE","✖","")))))</f>
        <v/>
      </c>
      <c r="B217" s="673" t="n">
        <v>2026</v>
      </c>
      <c r="C217" s="674" t="inlineStr">
        <is>
          <t>TAMAZIGHT</t>
        </is>
      </c>
      <c r="D217" s="674" t="inlineStr">
        <is>
          <t>PV N° : 01RC2025- DCPCART</t>
        </is>
      </c>
      <c r="E217" s="675" t="inlineStr">
        <is>
          <t>CONTRAT</t>
        </is>
      </c>
      <c r="F217" s="675" t="n"/>
      <c r="G217" s="676" t="inlineStr">
        <is>
          <t>MHAMED EL FERDI  -  Concepteur Animateur RD/TV</t>
        </is>
      </c>
      <c r="H217" s="673" t="inlineStr">
        <is>
          <t>VALIDE</t>
        </is>
      </c>
      <c r="I217" s="675" t="inlineStr">
        <is>
          <t>APPROUVE</t>
        </is>
      </c>
      <c r="J217" s="675" t="n"/>
      <c r="K217" s="673" t="inlineStr">
        <is>
          <t>NON CONCERNE</t>
        </is>
      </c>
      <c r="L217" s="675" t="inlineStr">
        <is>
          <t>Ordinaire</t>
        </is>
      </c>
      <c r="M217" s="677" t="inlineStr">
        <is>
          <t>FONCTIONNEMENT</t>
        </is>
      </c>
      <c r="N217" s="678" t="inlineStr">
        <is>
          <t xml:space="preserve">Prestations de service
Achat prestations de services locales - personnes physiques </t>
        </is>
      </c>
      <c r="O217" s="679" t="n"/>
      <c r="P217" s="680" t="n"/>
      <c r="Q217" s="680" t="n"/>
      <c r="R217" s="675" t="inlineStr">
        <is>
          <t>RECONDUCTION</t>
        </is>
      </c>
      <c r="S217" s="681" t="n"/>
      <c r="T217" s="682" t="n"/>
      <c r="U217" s="683" t="inlineStr">
        <is>
          <t>MHAMED EL FERDI</t>
        </is>
      </c>
      <c r="V217" s="675" t="n">
        <v>2026</v>
      </c>
      <c r="W217" s="682" t="n">
        <v>46387</v>
      </c>
      <c r="X217" s="682" t="n"/>
      <c r="Y217" s="682" t="n">
        <v>46024</v>
      </c>
      <c r="Z217" s="679" t="n">
        <v>96000</v>
      </c>
      <c r="AA217" s="680" t="n"/>
      <c r="AB217" s="680">
        <f>Z217</f>
        <v/>
      </c>
      <c r="AC217" s="680" t="n"/>
      <c r="AD217" s="680">
        <f>Z217</f>
        <v/>
      </c>
      <c r="AE217" s="680">
        <f>AB217</f>
        <v/>
      </c>
      <c r="AF217" s="684" t="inlineStr">
        <is>
          <t>ENGAGE</t>
        </is>
      </c>
      <c r="AG217" s="683" t="n"/>
      <c r="AH217" s="680" t="n"/>
      <c r="AI217" s="680" t="n"/>
      <c r="AJ217" s="680" t="n"/>
      <c r="AK217" s="680" t="n"/>
      <c r="AL217" s="685" t="n"/>
      <c r="AM217" s="685" t="n"/>
      <c r="AN217" s="683" t="inlineStr">
        <is>
          <t>Manque n° contrat</t>
        </is>
      </c>
      <c r="AO217" s="686" t="n"/>
      <c r="AP217" s="687" t="n"/>
      <c r="AQ217" s="688" t="n"/>
      <c r="AR217" s="688" t="n"/>
      <c r="AS217" s="23" t="n"/>
      <c r="AT217" s="688" t="n"/>
    </row>
    <row r="218" ht="46.5" customHeight="1" s="392">
      <c r="A218" s="672">
        <f>IF(AF218="ENGAGE","✔",IF(AF218="EN COURS D'ENGAGEMENT","◕",IF(AF218="PREENGAGE","◑",IF(AF218="EN COURS DE PREENGAGEMENT","◔",IF(AF218="NON ENGAGE","✖","")))))</f>
        <v/>
      </c>
      <c r="B218" s="673" t="n">
        <v>2026</v>
      </c>
      <c r="C218" s="674" t="inlineStr">
        <is>
          <t>TAMAZIGHT</t>
        </is>
      </c>
      <c r="D218" s="674" t="inlineStr">
        <is>
          <t>PV N° : 01RC2025- DCPCART</t>
        </is>
      </c>
      <c r="E218" s="675" t="inlineStr">
        <is>
          <t>CONTRAT</t>
        </is>
      </c>
      <c r="F218" s="675" t="n"/>
      <c r="G218" s="676" t="inlineStr">
        <is>
          <t>ABRDAOUS NAIMA  -  Chargée de production</t>
        </is>
      </c>
      <c r="H218" s="673" t="inlineStr">
        <is>
          <t>VALIDE</t>
        </is>
      </c>
      <c r="I218" s="675" t="inlineStr">
        <is>
          <t>APPROUVE</t>
        </is>
      </c>
      <c r="J218" s="675" t="n"/>
      <c r="K218" s="673" t="inlineStr">
        <is>
          <t>NON CONCERNE</t>
        </is>
      </c>
      <c r="L218" s="675" t="inlineStr">
        <is>
          <t>Ordinaire</t>
        </is>
      </c>
      <c r="M218" s="677" t="inlineStr">
        <is>
          <t>FONCTIONNEMENT</t>
        </is>
      </c>
      <c r="N218" s="678" t="inlineStr">
        <is>
          <t xml:space="preserve">Prestations de service
Achat prestations de services locales - personnes physiques </t>
        </is>
      </c>
      <c r="O218" s="679" t="n"/>
      <c r="P218" s="680" t="n"/>
      <c r="Q218" s="680" t="n"/>
      <c r="R218" s="675" t="inlineStr">
        <is>
          <t>RECONDUCTION</t>
        </is>
      </c>
      <c r="S218" s="681" t="n"/>
      <c r="T218" s="682" t="n"/>
      <c r="U218" s="683" t="inlineStr">
        <is>
          <t>ABRDAOUS NAIMA</t>
        </is>
      </c>
      <c r="V218" s="675" t="n">
        <v>2026</v>
      </c>
      <c r="W218" s="682" t="n">
        <v>46387</v>
      </c>
      <c r="X218" s="682" t="n"/>
      <c r="Y218" s="682" t="n">
        <v>46024</v>
      </c>
      <c r="Z218" s="679" t="n">
        <v>96000</v>
      </c>
      <c r="AA218" s="680" t="n"/>
      <c r="AB218" s="680">
        <f>Z218</f>
        <v/>
      </c>
      <c r="AC218" s="680" t="n"/>
      <c r="AD218" s="680">
        <f>Z218</f>
        <v/>
      </c>
      <c r="AE218" s="680">
        <f>AB218</f>
        <v/>
      </c>
      <c r="AF218" s="684" t="inlineStr">
        <is>
          <t>ENGAGE</t>
        </is>
      </c>
      <c r="AG218" s="683" t="n"/>
      <c r="AH218" s="680" t="n"/>
      <c r="AI218" s="680" t="n"/>
      <c r="AJ218" s="680" t="n"/>
      <c r="AK218" s="680" t="n"/>
      <c r="AL218" s="685" t="n"/>
      <c r="AM218" s="685" t="n"/>
      <c r="AN218" s="683" t="inlineStr">
        <is>
          <t>Manque n° contrat</t>
        </is>
      </c>
      <c r="AO218" s="686" t="n"/>
      <c r="AP218" s="687" t="n"/>
      <c r="AQ218" s="688" t="n"/>
      <c r="AR218" s="688" t="n"/>
      <c r="AS218" s="23" t="n"/>
      <c r="AT218" s="688" t="n"/>
    </row>
    <row r="219" ht="46.5" customHeight="1" s="392">
      <c r="A219" s="672">
        <f>IF(AF219="ENGAGE","✔",IF(AF219="EN COURS D'ENGAGEMENT","◕",IF(AF219="PREENGAGE","◑",IF(AF219="EN COURS DE PREENGAGEMENT","◔",IF(AF219="NON ENGAGE","✖","")))))</f>
        <v/>
      </c>
      <c r="B219" s="673" t="n">
        <v>2026</v>
      </c>
      <c r="C219" s="674" t="inlineStr">
        <is>
          <t>TAMAZIGHT</t>
        </is>
      </c>
      <c r="D219" s="674" t="inlineStr">
        <is>
          <t>PV N° : 01RC2025- DCPCART</t>
        </is>
      </c>
      <c r="E219" s="675" t="inlineStr">
        <is>
          <t>CONTRAT</t>
        </is>
      </c>
      <c r="F219" s="675" t="n"/>
      <c r="G219" s="676" t="inlineStr">
        <is>
          <t>DARKAOUI AHLAM   -  Concepteur Animateur RD</t>
        </is>
      </c>
      <c r="H219" s="673" t="inlineStr">
        <is>
          <t>VALIDE</t>
        </is>
      </c>
      <c r="I219" s="675" t="inlineStr">
        <is>
          <t>APPROUVE</t>
        </is>
      </c>
      <c r="J219" s="675" t="n"/>
      <c r="K219" s="673" t="inlineStr">
        <is>
          <t>NON CONCERNE</t>
        </is>
      </c>
      <c r="L219" s="675" t="inlineStr">
        <is>
          <t>Ordinaire</t>
        </is>
      </c>
      <c r="M219" s="677" t="inlineStr">
        <is>
          <t>FONCTIONNEMENT</t>
        </is>
      </c>
      <c r="N219" s="678" t="inlineStr">
        <is>
          <t xml:space="preserve">Prestations de service
Achat prestations de services locales - personnes physiques </t>
        </is>
      </c>
      <c r="O219" s="679" t="n"/>
      <c r="P219" s="680" t="n"/>
      <c r="Q219" s="680" t="n"/>
      <c r="R219" s="675" t="inlineStr">
        <is>
          <t>RECONDUCTION</t>
        </is>
      </c>
      <c r="S219" s="681" t="n"/>
      <c r="T219" s="682" t="n"/>
      <c r="U219" s="683" t="inlineStr">
        <is>
          <t>DARKAOUI AHLAM</t>
        </is>
      </c>
      <c r="V219" s="675" t="n">
        <v>2026</v>
      </c>
      <c r="W219" s="682" t="n">
        <v>46387</v>
      </c>
      <c r="X219" s="682" t="n"/>
      <c r="Y219" s="682" t="n">
        <v>46024</v>
      </c>
      <c r="Z219" s="679" t="n">
        <v>96000</v>
      </c>
      <c r="AA219" s="680" t="n"/>
      <c r="AB219" s="680">
        <f>Z219</f>
        <v/>
      </c>
      <c r="AC219" s="680" t="n"/>
      <c r="AD219" s="680">
        <f>Z219</f>
        <v/>
      </c>
      <c r="AE219" s="680">
        <f>AB219</f>
        <v/>
      </c>
      <c r="AF219" s="684" t="inlineStr">
        <is>
          <t>ENGAGE</t>
        </is>
      </c>
      <c r="AG219" s="683" t="n"/>
      <c r="AH219" s="680" t="n"/>
      <c r="AI219" s="680" t="n"/>
      <c r="AJ219" s="680" t="n"/>
      <c r="AK219" s="680" t="n"/>
      <c r="AL219" s="685" t="n"/>
      <c r="AM219" s="685" t="n"/>
      <c r="AN219" s="683" t="inlineStr">
        <is>
          <t>Manque n° contrat</t>
        </is>
      </c>
      <c r="AO219" s="686" t="n"/>
      <c r="AP219" s="687" t="n"/>
      <c r="AQ219" s="688" t="n"/>
      <c r="AR219" s="688" t="n"/>
      <c r="AS219" s="23" t="n"/>
      <c r="AT219" s="688" t="n"/>
    </row>
    <row r="220" ht="46.5" customHeight="1" s="392">
      <c r="A220" s="672">
        <f>IF(AF220="ENGAGE","✔",IF(AF220="EN COURS D'ENGAGEMENT","◕",IF(AF220="PREENGAGE","◑",IF(AF220="EN COURS DE PREENGAGEMENT","◔",IF(AF220="NON ENGAGE","✖","")))))</f>
        <v/>
      </c>
      <c r="B220" s="673" t="n">
        <v>2026</v>
      </c>
      <c r="C220" s="674" t="inlineStr">
        <is>
          <t>TAMAZIGHT</t>
        </is>
      </c>
      <c r="D220" s="674" t="inlineStr">
        <is>
          <t>PV N° : 01RC2025- DCPCART</t>
        </is>
      </c>
      <c r="E220" s="675" t="inlineStr">
        <is>
          <t>CONTRAT</t>
        </is>
      </c>
      <c r="F220" s="675" t="n"/>
      <c r="G220" s="676" t="inlineStr">
        <is>
          <t>ABEL AMINA  -  Concepteur Animateur RD/TV</t>
        </is>
      </c>
      <c r="H220" s="673" t="inlineStr">
        <is>
          <t>VALIDE</t>
        </is>
      </c>
      <c r="I220" s="675" t="inlineStr">
        <is>
          <t>APPROUVE</t>
        </is>
      </c>
      <c r="J220" s="675" t="n"/>
      <c r="K220" s="673" t="inlineStr">
        <is>
          <t>NON CONCERNE</t>
        </is>
      </c>
      <c r="L220" s="675" t="inlineStr">
        <is>
          <t>Ordinaire</t>
        </is>
      </c>
      <c r="M220" s="677" t="inlineStr">
        <is>
          <t>FONCTIONNEMENT</t>
        </is>
      </c>
      <c r="N220" s="678" t="inlineStr">
        <is>
          <t xml:space="preserve">Prestations de service
Achat prestations de services locales - personnes physiques </t>
        </is>
      </c>
      <c r="O220" s="679" t="n"/>
      <c r="P220" s="680" t="n"/>
      <c r="Q220" s="680" t="n"/>
      <c r="R220" s="675" t="inlineStr">
        <is>
          <t>RECONDUCTION</t>
        </is>
      </c>
      <c r="S220" s="681" t="n"/>
      <c r="T220" s="682" t="n"/>
      <c r="U220" s="683" t="inlineStr">
        <is>
          <t>ABEL AMINA</t>
        </is>
      </c>
      <c r="V220" s="675" t="n">
        <v>2026</v>
      </c>
      <c r="W220" s="682" t="n">
        <v>46387</v>
      </c>
      <c r="X220" s="682" t="n"/>
      <c r="Y220" s="682" t="n">
        <v>46024</v>
      </c>
      <c r="Z220" s="679" t="n">
        <v>96000</v>
      </c>
      <c r="AA220" s="680" t="n"/>
      <c r="AB220" s="680">
        <f>Z220</f>
        <v/>
      </c>
      <c r="AC220" s="680" t="n"/>
      <c r="AD220" s="680">
        <f>Z220</f>
        <v/>
      </c>
      <c r="AE220" s="680">
        <f>AB220</f>
        <v/>
      </c>
      <c r="AF220" s="684" t="inlineStr">
        <is>
          <t>ENGAGE</t>
        </is>
      </c>
      <c r="AG220" s="683" t="n"/>
      <c r="AH220" s="680" t="n"/>
      <c r="AI220" s="680" t="n"/>
      <c r="AJ220" s="680" t="n"/>
      <c r="AK220" s="680" t="n"/>
      <c r="AL220" s="685" t="n"/>
      <c r="AM220" s="685" t="n"/>
      <c r="AN220" s="683" t="inlineStr">
        <is>
          <t>Manque n° contrat</t>
        </is>
      </c>
      <c r="AO220" s="686" t="n"/>
      <c r="AP220" s="687" t="n"/>
      <c r="AQ220" s="688" t="n"/>
      <c r="AR220" s="688" t="n"/>
      <c r="AS220" s="23" t="n"/>
      <c r="AT220" s="688" t="n"/>
    </row>
    <row r="221" ht="46.5" customHeight="1" s="392">
      <c r="A221" s="672">
        <f>IF(AF221="ENGAGE","✔",IF(AF221="EN COURS D'ENGAGEMENT","◕",IF(AF221="PREENGAGE","◑",IF(AF221="EN COURS DE PREENGAGEMENT","◔",IF(AF221="NON ENGAGE","✖","")))))</f>
        <v/>
      </c>
      <c r="B221" s="673" t="n">
        <v>2026</v>
      </c>
      <c r="C221" s="674" t="inlineStr">
        <is>
          <t>TAMAZIGHT</t>
        </is>
      </c>
      <c r="D221" s="674" t="inlineStr">
        <is>
          <t>PV N° : 01RC2025- DCPCART</t>
        </is>
      </c>
      <c r="E221" s="675" t="inlineStr">
        <is>
          <t>CONTRAT</t>
        </is>
      </c>
      <c r="F221" s="675" t="n"/>
      <c r="G221" s="676" t="inlineStr">
        <is>
          <t>BRAHIM IAAZA  -  Rédacteur en Tifinagh</t>
        </is>
      </c>
      <c r="H221" s="673" t="inlineStr">
        <is>
          <t>VALIDE</t>
        </is>
      </c>
      <c r="I221" s="675" t="inlineStr">
        <is>
          <t>APPROUVE</t>
        </is>
      </c>
      <c r="J221" s="675" t="n"/>
      <c r="K221" s="673" t="inlineStr">
        <is>
          <t>NON CONCERNE</t>
        </is>
      </c>
      <c r="L221" s="675" t="inlineStr">
        <is>
          <t>Ordinaire</t>
        </is>
      </c>
      <c r="M221" s="677" t="inlineStr">
        <is>
          <t>FONCTIONNEMENT</t>
        </is>
      </c>
      <c r="N221" s="678" t="inlineStr">
        <is>
          <t xml:space="preserve">Prestations de service
Achat prestations de services locales - personnes physiques </t>
        </is>
      </c>
      <c r="O221" s="679" t="n"/>
      <c r="P221" s="680" t="n"/>
      <c r="Q221" s="680" t="n"/>
      <c r="R221" s="675" t="inlineStr">
        <is>
          <t>RECONDUCTION</t>
        </is>
      </c>
      <c r="S221" s="681" t="n"/>
      <c r="T221" s="682" t="n"/>
      <c r="U221" s="683" t="inlineStr">
        <is>
          <t>BRAHIM IAAZA</t>
        </is>
      </c>
      <c r="V221" s="675" t="n">
        <v>2026</v>
      </c>
      <c r="W221" s="682" t="n">
        <v>46387</v>
      </c>
      <c r="X221" s="682" t="n"/>
      <c r="Y221" s="682" t="n">
        <v>46024</v>
      </c>
      <c r="Z221" s="679" t="n">
        <v>96000</v>
      </c>
      <c r="AA221" s="680" t="n"/>
      <c r="AB221" s="680">
        <f>Z221</f>
        <v/>
      </c>
      <c r="AC221" s="680" t="n"/>
      <c r="AD221" s="680">
        <f>Z221</f>
        <v/>
      </c>
      <c r="AE221" s="680">
        <f>AB221</f>
        <v/>
      </c>
      <c r="AF221" s="684" t="inlineStr">
        <is>
          <t>ENGAGE</t>
        </is>
      </c>
      <c r="AG221" s="683" t="n"/>
      <c r="AH221" s="680" t="n"/>
      <c r="AI221" s="680" t="n"/>
      <c r="AJ221" s="680" t="n"/>
      <c r="AK221" s="680" t="n"/>
      <c r="AL221" s="685" t="n"/>
      <c r="AM221" s="685" t="n"/>
      <c r="AN221" s="683" t="inlineStr">
        <is>
          <t>Manque n° contrat</t>
        </is>
      </c>
      <c r="AO221" s="686" t="n"/>
      <c r="AP221" s="687" t="n"/>
      <c r="AQ221" s="688" t="n"/>
      <c r="AR221" s="688" t="n"/>
      <c r="AS221" s="23" t="n"/>
      <c r="AT221" s="688" t="n"/>
    </row>
    <row r="222" ht="46.5" customHeight="1" s="392">
      <c r="A222" s="672">
        <f>IF(AF222="ENGAGE","✔",IF(AF222="EN COURS D'ENGAGEMENT","◕",IF(AF222="PREENGAGE","◑",IF(AF222="EN COURS DE PREENGAGEMENT","◔",IF(AF222="NON ENGAGE","✖","")))))</f>
        <v/>
      </c>
      <c r="B222" s="673" t="n">
        <v>2026</v>
      </c>
      <c r="C222" s="674" t="inlineStr">
        <is>
          <t>TAMAZIGHT</t>
        </is>
      </c>
      <c r="D222" s="674" t="inlineStr">
        <is>
          <t>PV N° : 01RC2025- DCPCART</t>
        </is>
      </c>
      <c r="E222" s="675" t="inlineStr">
        <is>
          <t>CONTRAT</t>
        </is>
      </c>
      <c r="F222" s="675" t="n"/>
      <c r="G222" s="676" t="inlineStr">
        <is>
          <t>MOHAMED TALEB  -  Concepteur Animateur RD</t>
        </is>
      </c>
      <c r="H222" s="673" t="inlineStr">
        <is>
          <t>VALIDE</t>
        </is>
      </c>
      <c r="I222" s="675" t="inlineStr">
        <is>
          <t>APPROUVE</t>
        </is>
      </c>
      <c r="J222" s="675" t="n"/>
      <c r="K222" s="673" t="inlineStr">
        <is>
          <t>NON CONCERNE</t>
        </is>
      </c>
      <c r="L222" s="675" t="inlineStr">
        <is>
          <t>Ordinaire</t>
        </is>
      </c>
      <c r="M222" s="677" t="inlineStr">
        <is>
          <t>FONCTIONNEMENT</t>
        </is>
      </c>
      <c r="N222" s="678" t="inlineStr">
        <is>
          <t xml:space="preserve">Prestations de service
Achat prestations de services locales - personnes physiques </t>
        </is>
      </c>
      <c r="O222" s="679" t="n"/>
      <c r="P222" s="680" t="n"/>
      <c r="Q222" s="680" t="n"/>
      <c r="R222" s="675" t="inlineStr">
        <is>
          <t>RECONDUCTION</t>
        </is>
      </c>
      <c r="S222" s="681" t="n"/>
      <c r="T222" s="682" t="n"/>
      <c r="U222" s="683" t="inlineStr">
        <is>
          <t>MOHAMED TALEB</t>
        </is>
      </c>
      <c r="V222" s="675" t="n">
        <v>2026</v>
      </c>
      <c r="W222" s="682" t="n">
        <v>46387</v>
      </c>
      <c r="X222" s="682" t="n"/>
      <c r="Y222" s="682" t="n">
        <v>46024</v>
      </c>
      <c r="Z222" s="679" t="n">
        <v>96000</v>
      </c>
      <c r="AA222" s="680" t="n"/>
      <c r="AB222" s="680">
        <f>Z222</f>
        <v/>
      </c>
      <c r="AC222" s="680" t="n"/>
      <c r="AD222" s="680">
        <f>Z222</f>
        <v/>
      </c>
      <c r="AE222" s="680">
        <f>AB222</f>
        <v/>
      </c>
      <c r="AF222" s="684" t="inlineStr">
        <is>
          <t>ENGAGE</t>
        </is>
      </c>
      <c r="AG222" s="683" t="n"/>
      <c r="AH222" s="680" t="n"/>
      <c r="AI222" s="680" t="n"/>
      <c r="AJ222" s="680" t="n"/>
      <c r="AK222" s="680" t="n"/>
      <c r="AL222" s="685" t="n"/>
      <c r="AM222" s="685" t="n"/>
      <c r="AN222" s="683" t="inlineStr">
        <is>
          <t>Manque n° contrat</t>
        </is>
      </c>
      <c r="AO222" s="686" t="n"/>
      <c r="AP222" s="687" t="n"/>
      <c r="AQ222" s="688" t="n"/>
      <c r="AR222" s="688" t="n"/>
      <c r="AS222" s="23" t="n"/>
      <c r="AT222" s="688" t="n"/>
    </row>
    <row r="223" ht="46.5" customHeight="1" s="392">
      <c r="A223" s="672">
        <f>IF(AF223="ENGAGE","✔",IF(AF223="EN COURS D'ENGAGEMENT","◕",IF(AF223="PREENGAGE","◑",IF(AF223="EN COURS DE PREENGAGEMENT","◔",IF(AF223="NON ENGAGE","✖","")))))</f>
        <v/>
      </c>
      <c r="B223" s="673" t="n">
        <v>2026</v>
      </c>
      <c r="C223" s="674" t="inlineStr">
        <is>
          <t>TAMAZIGHT</t>
        </is>
      </c>
      <c r="D223" s="674" t="inlineStr">
        <is>
          <t>PV N° : 01RC2025- DCPCART</t>
        </is>
      </c>
      <c r="E223" s="675" t="inlineStr">
        <is>
          <t>CONTRAT</t>
        </is>
      </c>
      <c r="F223" s="675" t="n"/>
      <c r="G223" s="676" t="inlineStr">
        <is>
          <t>ARJDAL ZOHRA  -  Concepteur Animateur RD/TV</t>
        </is>
      </c>
      <c r="H223" s="673" t="inlineStr">
        <is>
          <t>VALIDE</t>
        </is>
      </c>
      <c r="I223" s="675" t="inlineStr">
        <is>
          <t>APPROUVE</t>
        </is>
      </c>
      <c r="J223" s="675" t="n"/>
      <c r="K223" s="673" t="inlineStr">
        <is>
          <t>NON CONCERNE</t>
        </is>
      </c>
      <c r="L223" s="675" t="inlineStr">
        <is>
          <t>Ordinaire</t>
        </is>
      </c>
      <c r="M223" s="677" t="inlineStr">
        <is>
          <t>FONCTIONNEMENT</t>
        </is>
      </c>
      <c r="N223" s="678" t="inlineStr">
        <is>
          <t xml:space="preserve">Prestations de service
Achat prestations de services locales - personnes physiques </t>
        </is>
      </c>
      <c r="O223" s="679" t="n"/>
      <c r="P223" s="680" t="n"/>
      <c r="Q223" s="680" t="n"/>
      <c r="R223" s="675" t="inlineStr">
        <is>
          <t>RECONDUCTION</t>
        </is>
      </c>
      <c r="S223" s="681" t="n"/>
      <c r="T223" s="682" t="n"/>
      <c r="U223" s="683" t="inlineStr">
        <is>
          <t>ARJDAL ZOHRA</t>
        </is>
      </c>
      <c r="V223" s="675" t="n">
        <v>2026</v>
      </c>
      <c r="W223" s="682" t="n">
        <v>46387</v>
      </c>
      <c r="X223" s="682" t="n"/>
      <c r="Y223" s="682" t="n">
        <v>46024</v>
      </c>
      <c r="Z223" s="679" t="n">
        <v>96000</v>
      </c>
      <c r="AA223" s="680" t="n"/>
      <c r="AB223" s="680">
        <f>Z223</f>
        <v/>
      </c>
      <c r="AC223" s="680" t="n"/>
      <c r="AD223" s="680">
        <f>Z223</f>
        <v/>
      </c>
      <c r="AE223" s="680">
        <f>AB223</f>
        <v/>
      </c>
      <c r="AF223" s="684" t="inlineStr">
        <is>
          <t>ENGAGE</t>
        </is>
      </c>
      <c r="AG223" s="683" t="n"/>
      <c r="AH223" s="680" t="n"/>
      <c r="AI223" s="680" t="n"/>
      <c r="AJ223" s="680" t="n"/>
      <c r="AK223" s="680" t="n"/>
      <c r="AL223" s="685" t="n"/>
      <c r="AM223" s="685" t="n"/>
      <c r="AN223" s="683" t="inlineStr">
        <is>
          <t>Manque n° contrat</t>
        </is>
      </c>
      <c r="AO223" s="686" t="n"/>
      <c r="AP223" s="687" t="n"/>
      <c r="AQ223" s="688" t="n"/>
      <c r="AR223" s="688" t="n"/>
      <c r="AS223" s="23" t="n"/>
      <c r="AT223" s="688" t="n"/>
    </row>
    <row r="224" ht="46.5" customHeight="1" s="392">
      <c r="A224" s="672">
        <f>IF(AF224="ENGAGE","✔",IF(AF224="EN COURS D'ENGAGEMENT","◕",IF(AF224="PREENGAGE","◑",IF(AF224="EN COURS DE PREENGAGEMENT","◔",IF(AF224="NON ENGAGE","✖","")))))</f>
        <v/>
      </c>
      <c r="B224" s="673" t="n">
        <v>2026</v>
      </c>
      <c r="C224" s="674" t="inlineStr">
        <is>
          <t>TAMAZIGHT</t>
        </is>
      </c>
      <c r="D224" s="674" t="inlineStr">
        <is>
          <t>PV N° : 01RC2025- DCPCART</t>
        </is>
      </c>
      <c r="E224" s="675" t="inlineStr">
        <is>
          <t>CONTRAT</t>
        </is>
      </c>
      <c r="F224" s="675" t="n"/>
      <c r="G224" s="676" t="inlineStr">
        <is>
          <t>OUARDA KOULLIGE  -  Concepteur Animateur RD</t>
        </is>
      </c>
      <c r="H224" s="673" t="inlineStr">
        <is>
          <t>VALIDE</t>
        </is>
      </c>
      <c r="I224" s="675" t="inlineStr">
        <is>
          <t>APPROUVE</t>
        </is>
      </c>
      <c r="J224" s="675" t="n"/>
      <c r="K224" s="673" t="inlineStr">
        <is>
          <t>NON CONCERNE</t>
        </is>
      </c>
      <c r="L224" s="675" t="inlineStr">
        <is>
          <t>Ordinaire</t>
        </is>
      </c>
      <c r="M224" s="677" t="inlineStr">
        <is>
          <t>FONCTIONNEMENT</t>
        </is>
      </c>
      <c r="N224" s="678" t="inlineStr">
        <is>
          <t xml:space="preserve">Prestations de service
Achat prestations de services locales - personnes physiques </t>
        </is>
      </c>
      <c r="O224" s="679" t="n"/>
      <c r="P224" s="680" t="n"/>
      <c r="Q224" s="680" t="n"/>
      <c r="R224" s="675" t="inlineStr">
        <is>
          <t>RECONDUCTION</t>
        </is>
      </c>
      <c r="S224" s="681" t="n"/>
      <c r="T224" s="682" t="n"/>
      <c r="U224" s="683" t="inlineStr">
        <is>
          <t>OUARDA KOULLIGE</t>
        </is>
      </c>
      <c r="V224" s="675" t="n">
        <v>2026</v>
      </c>
      <c r="W224" s="682" t="n">
        <v>46387</v>
      </c>
      <c r="X224" s="682" t="n"/>
      <c r="Y224" s="682" t="n">
        <v>46024</v>
      </c>
      <c r="Z224" s="679" t="n">
        <v>96000</v>
      </c>
      <c r="AA224" s="680" t="n"/>
      <c r="AB224" s="680">
        <f>Z224</f>
        <v/>
      </c>
      <c r="AC224" s="680" t="n"/>
      <c r="AD224" s="680">
        <f>Z224</f>
        <v/>
      </c>
      <c r="AE224" s="680">
        <f>AB224</f>
        <v/>
      </c>
      <c r="AF224" s="684" t="inlineStr">
        <is>
          <t>ENGAGE</t>
        </is>
      </c>
      <c r="AG224" s="683" t="n"/>
      <c r="AH224" s="680" t="n"/>
      <c r="AI224" s="680" t="n"/>
      <c r="AJ224" s="680" t="n"/>
      <c r="AK224" s="680" t="n"/>
      <c r="AL224" s="685" t="n"/>
      <c r="AM224" s="685" t="n"/>
      <c r="AN224" s="683" t="inlineStr">
        <is>
          <t>Manque n° contrat</t>
        </is>
      </c>
      <c r="AO224" s="686" t="n"/>
      <c r="AP224" s="687" t="n"/>
      <c r="AQ224" s="688" t="n"/>
      <c r="AR224" s="688" t="n"/>
      <c r="AS224" s="23" t="n"/>
      <c r="AT224" s="688" t="n"/>
    </row>
    <row r="225" ht="46.5" customHeight="1" s="392">
      <c r="A225" s="672">
        <f>IF(AF225="ENGAGE","✔",IF(AF225="EN COURS D'ENGAGEMENT","◕",IF(AF225="PREENGAGE","◑",IF(AF225="EN COURS DE PREENGAGEMENT","◔",IF(AF225="NON ENGAGE","✖","")))))</f>
        <v/>
      </c>
      <c r="B225" s="673" t="n">
        <v>2026</v>
      </c>
      <c r="C225" s="674" t="inlineStr">
        <is>
          <t>TAMAZIGHT</t>
        </is>
      </c>
      <c r="D225" s="674" t="inlineStr">
        <is>
          <t>PV N° : 01RC2025- DCPCART</t>
        </is>
      </c>
      <c r="E225" s="675" t="inlineStr">
        <is>
          <t>CONTRAT</t>
        </is>
      </c>
      <c r="F225" s="675" t="n"/>
      <c r="G225" s="676" t="inlineStr">
        <is>
          <t>YAMINA CHOUA  -  Concepteur Animateur RD</t>
        </is>
      </c>
      <c r="H225" s="673" t="inlineStr">
        <is>
          <t>VALIDE</t>
        </is>
      </c>
      <c r="I225" s="675" t="inlineStr">
        <is>
          <t>APPROUVE</t>
        </is>
      </c>
      <c r="J225" s="675" t="n"/>
      <c r="K225" s="673" t="inlineStr">
        <is>
          <t>NON CONCERNE</t>
        </is>
      </c>
      <c r="L225" s="675" t="inlineStr">
        <is>
          <t>Ordinaire</t>
        </is>
      </c>
      <c r="M225" s="677" t="inlineStr">
        <is>
          <t>FONCTIONNEMENT</t>
        </is>
      </c>
      <c r="N225" s="678" t="inlineStr">
        <is>
          <t xml:space="preserve">Prestations de service
Achat prestations de services locales - personnes physiques </t>
        </is>
      </c>
      <c r="O225" s="679" t="n"/>
      <c r="P225" s="680" t="n"/>
      <c r="Q225" s="680" t="n"/>
      <c r="R225" s="675" t="inlineStr">
        <is>
          <t>RECONDUCTION</t>
        </is>
      </c>
      <c r="S225" s="681" t="n"/>
      <c r="T225" s="682" t="n"/>
      <c r="U225" s="683" t="inlineStr">
        <is>
          <t>YAMINA CHOUA</t>
        </is>
      </c>
      <c r="V225" s="675" t="n">
        <v>2026</v>
      </c>
      <c r="W225" s="682" t="n">
        <v>46387</v>
      </c>
      <c r="X225" s="682" t="n"/>
      <c r="Y225" s="682" t="n">
        <v>46024</v>
      </c>
      <c r="Z225" s="679" t="n">
        <v>96000</v>
      </c>
      <c r="AA225" s="680" t="n"/>
      <c r="AB225" s="680">
        <f>Z225</f>
        <v/>
      </c>
      <c r="AC225" s="680" t="n"/>
      <c r="AD225" s="680">
        <f>Z225</f>
        <v/>
      </c>
      <c r="AE225" s="680">
        <f>AB225</f>
        <v/>
      </c>
      <c r="AF225" s="684" t="inlineStr">
        <is>
          <t>ENGAGE</t>
        </is>
      </c>
      <c r="AG225" s="683" t="n"/>
      <c r="AH225" s="680" t="n"/>
      <c r="AI225" s="680" t="n"/>
      <c r="AJ225" s="680" t="n"/>
      <c r="AK225" s="680" t="n"/>
      <c r="AL225" s="685" t="n"/>
      <c r="AM225" s="685" t="n"/>
      <c r="AN225" s="683" t="inlineStr">
        <is>
          <t>Manque n° contrat</t>
        </is>
      </c>
      <c r="AO225" s="686" t="n"/>
      <c r="AP225" s="687" t="n"/>
      <c r="AQ225" s="688" t="n"/>
      <c r="AR225" s="688" t="n"/>
      <c r="AS225" s="23" t="n"/>
      <c r="AT225" s="688" t="n"/>
    </row>
    <row r="226" ht="46.5" customHeight="1" s="392">
      <c r="A226" s="672">
        <f>IF(AF226="ENGAGE","✔",IF(AF226="EN COURS D'ENGAGEMENT","◕",IF(AF226="PREENGAGE","◑",IF(AF226="EN COURS DE PREENGAGEMENT","◔",IF(AF226="NON ENGAGE","✖","")))))</f>
        <v/>
      </c>
      <c r="B226" s="673" t="n">
        <v>2026</v>
      </c>
      <c r="C226" s="674" t="inlineStr">
        <is>
          <t>TAMAZIGHT</t>
        </is>
      </c>
      <c r="D226" s="674" t="inlineStr">
        <is>
          <t>PV N° : 01RC2025- DCPCART</t>
        </is>
      </c>
      <c r="E226" s="675" t="inlineStr">
        <is>
          <t>CONTRAT</t>
        </is>
      </c>
      <c r="F226" s="675" t="n"/>
      <c r="G226" s="676" t="inlineStr">
        <is>
          <t>MOULOUD RABAH  -  Journaliste sportif</t>
        </is>
      </c>
      <c r="H226" s="673" t="inlineStr">
        <is>
          <t>VALIDE</t>
        </is>
      </c>
      <c r="I226" s="675" t="inlineStr">
        <is>
          <t>APPROUVE</t>
        </is>
      </c>
      <c r="J226" s="675" t="n"/>
      <c r="K226" s="673" t="inlineStr">
        <is>
          <t>NON CONCERNE</t>
        </is>
      </c>
      <c r="L226" s="675" t="inlineStr">
        <is>
          <t>Ordinaire</t>
        </is>
      </c>
      <c r="M226" s="677" t="inlineStr">
        <is>
          <t>FONCTIONNEMENT</t>
        </is>
      </c>
      <c r="N226" s="678" t="inlineStr">
        <is>
          <t xml:space="preserve">Prestations de service
Achat prestations de services locales - personnes physiques </t>
        </is>
      </c>
      <c r="O226" s="679" t="n"/>
      <c r="P226" s="680" t="n"/>
      <c r="Q226" s="680" t="n"/>
      <c r="R226" s="675" t="inlineStr">
        <is>
          <t>RECONDUCTION</t>
        </is>
      </c>
      <c r="S226" s="681" t="n"/>
      <c r="T226" s="682" t="n"/>
      <c r="U226" s="683" t="inlineStr">
        <is>
          <t>MOULOUD RABAH</t>
        </is>
      </c>
      <c r="V226" s="675" t="n">
        <v>2026</v>
      </c>
      <c r="W226" s="682" t="n">
        <v>46387</v>
      </c>
      <c r="X226" s="682" t="n"/>
      <c r="Y226" s="682" t="n">
        <v>46024</v>
      </c>
      <c r="Z226" s="679" t="n">
        <v>132000</v>
      </c>
      <c r="AA226" s="680" t="n"/>
      <c r="AB226" s="680">
        <f>Z226</f>
        <v/>
      </c>
      <c r="AC226" s="680" t="n"/>
      <c r="AD226" s="680">
        <f>Z226</f>
        <v/>
      </c>
      <c r="AE226" s="680">
        <f>AB226</f>
        <v/>
      </c>
      <c r="AF226" s="684" t="inlineStr">
        <is>
          <t>ENGAGE</t>
        </is>
      </c>
      <c r="AG226" s="683" t="n"/>
      <c r="AH226" s="680" t="n"/>
      <c r="AI226" s="680" t="n"/>
      <c r="AJ226" s="680" t="n"/>
      <c r="AK226" s="680" t="n"/>
      <c r="AL226" s="685" t="n"/>
      <c r="AM226" s="685" t="n"/>
      <c r="AN226" s="683" t="inlineStr">
        <is>
          <t>Manque n° contrat</t>
        </is>
      </c>
      <c r="AO226" s="686" t="n"/>
      <c r="AP226" s="687" t="n"/>
      <c r="AQ226" s="688" t="n"/>
      <c r="AR226" s="688" t="n"/>
      <c r="AS226" s="23" t="n"/>
      <c r="AT226" s="688" t="n"/>
    </row>
    <row r="227" ht="46.5" customHeight="1" s="392">
      <c r="A227" s="672">
        <f>IF(AF227="ENGAGE","✔",IF(AF227="EN COURS D'ENGAGEMENT","◕",IF(AF227="PREENGAGE","◑",IF(AF227="EN COURS DE PREENGAGEMENT","◔",IF(AF227="NON ENGAGE","✖","")))))</f>
        <v/>
      </c>
      <c r="B227" s="673" t="n">
        <v>2026</v>
      </c>
      <c r="C227" s="674" t="inlineStr">
        <is>
          <t>TAMAZIGHT</t>
        </is>
      </c>
      <c r="D227" s="674" t="inlineStr">
        <is>
          <t>PV N° : 01RC2025- DCPCART</t>
        </is>
      </c>
      <c r="E227" s="675" t="inlineStr">
        <is>
          <t>CONTRAT</t>
        </is>
      </c>
      <c r="F227" s="675" t="n"/>
      <c r="G227" s="676" t="inlineStr">
        <is>
          <t>OBTEL NAJAT  -  Gestionnaire d'antenne</t>
        </is>
      </c>
      <c r="H227" s="673" t="inlineStr">
        <is>
          <t>VALIDE</t>
        </is>
      </c>
      <c r="I227" s="675" t="inlineStr">
        <is>
          <t>APPROUVE</t>
        </is>
      </c>
      <c r="J227" s="675" t="n"/>
      <c r="K227" s="673" t="inlineStr">
        <is>
          <t>NON CONCERNE</t>
        </is>
      </c>
      <c r="L227" s="675" t="inlineStr">
        <is>
          <t>Ordinaire</t>
        </is>
      </c>
      <c r="M227" s="677" t="inlineStr">
        <is>
          <t>FONCTIONNEMENT</t>
        </is>
      </c>
      <c r="N227" s="678" t="inlineStr">
        <is>
          <t xml:space="preserve">Prestations de service
Achat prestations de services locales - personnes physiques </t>
        </is>
      </c>
      <c r="O227" s="679" t="n"/>
      <c r="P227" s="680" t="n"/>
      <c r="Q227" s="680" t="n"/>
      <c r="R227" s="675" t="inlineStr">
        <is>
          <t>RECONDUCTION</t>
        </is>
      </c>
      <c r="S227" s="681" t="n"/>
      <c r="T227" s="682" t="n"/>
      <c r="U227" s="683" t="inlineStr">
        <is>
          <t>OBTEL NAJAT</t>
        </is>
      </c>
      <c r="V227" s="675" t="n">
        <v>2026</v>
      </c>
      <c r="W227" s="682" t="n">
        <v>46387</v>
      </c>
      <c r="X227" s="682" t="n"/>
      <c r="Y227" s="682" t="n">
        <v>46024</v>
      </c>
      <c r="Z227" s="679" t="n">
        <v>84000</v>
      </c>
      <c r="AA227" s="680" t="n"/>
      <c r="AB227" s="680">
        <f>Z227</f>
        <v/>
      </c>
      <c r="AC227" s="680" t="n"/>
      <c r="AD227" s="680">
        <f>Z227</f>
        <v/>
      </c>
      <c r="AE227" s="680">
        <f>AB227</f>
        <v/>
      </c>
      <c r="AF227" s="684" t="inlineStr">
        <is>
          <t>ENGAGE</t>
        </is>
      </c>
      <c r="AG227" s="683" t="n"/>
      <c r="AH227" s="680" t="n"/>
      <c r="AI227" s="680" t="n"/>
      <c r="AJ227" s="680" t="n"/>
      <c r="AK227" s="680" t="n"/>
      <c r="AL227" s="685" t="n"/>
      <c r="AM227" s="685" t="n"/>
      <c r="AN227" s="683" t="inlineStr">
        <is>
          <t>Manque n° contrat</t>
        </is>
      </c>
      <c r="AO227" s="686" t="n"/>
      <c r="AP227" s="687" t="n"/>
      <c r="AQ227" s="688" t="n"/>
      <c r="AR227" s="688" t="n"/>
      <c r="AS227" s="23" t="n"/>
      <c r="AT227" s="688" t="n"/>
    </row>
    <row r="228" ht="46.5" customHeight="1" s="392">
      <c r="A228" s="672">
        <f>IF(AF228="ENGAGE","✔",IF(AF228="EN COURS D'ENGAGEMENT","◕",IF(AF228="PREENGAGE","◑",IF(AF228="EN COURS DE PREENGAGEMENT","◔",IF(AF228="NON ENGAGE","✖","")))))</f>
        <v/>
      </c>
      <c r="B228" s="673" t="n">
        <v>2026</v>
      </c>
      <c r="C228" s="674" t="inlineStr">
        <is>
          <t>TAMAZIGHT</t>
        </is>
      </c>
      <c r="D228" s="674" t="inlineStr">
        <is>
          <t>PV N° : 01RC2025- DCPCART</t>
        </is>
      </c>
      <c r="E228" s="675" t="inlineStr">
        <is>
          <t>CONTRAT</t>
        </is>
      </c>
      <c r="F228" s="675" t="n"/>
      <c r="G228" s="676" t="inlineStr">
        <is>
          <t>DANYAL AZAOUM  -  Concepteur Animateur RD/TV</t>
        </is>
      </c>
      <c r="H228" s="673" t="inlineStr">
        <is>
          <t>VALIDE</t>
        </is>
      </c>
      <c r="I228" s="675" t="inlineStr">
        <is>
          <t>APPROUVE</t>
        </is>
      </c>
      <c r="J228" s="675" t="n"/>
      <c r="K228" s="673" t="inlineStr">
        <is>
          <t>NON CONCERNE</t>
        </is>
      </c>
      <c r="L228" s="675" t="inlineStr">
        <is>
          <t>Ordinaire</t>
        </is>
      </c>
      <c r="M228" s="677" t="inlineStr">
        <is>
          <t>FONCTIONNEMENT</t>
        </is>
      </c>
      <c r="N228" s="678" t="inlineStr">
        <is>
          <t xml:space="preserve">Prestations de service
Achat prestations de services locales - personnes physiques </t>
        </is>
      </c>
      <c r="O228" s="679" t="n"/>
      <c r="P228" s="680" t="n"/>
      <c r="Q228" s="680" t="n"/>
      <c r="R228" s="675" t="inlineStr">
        <is>
          <t>RECONDUCTION</t>
        </is>
      </c>
      <c r="S228" s="681" t="n"/>
      <c r="T228" s="682" t="n"/>
      <c r="U228" s="683" t="inlineStr">
        <is>
          <t>DANYAL AZAOUM</t>
        </is>
      </c>
      <c r="V228" s="675" t="n">
        <v>2026</v>
      </c>
      <c r="W228" s="682" t="n">
        <v>46387</v>
      </c>
      <c r="X228" s="682" t="n"/>
      <c r="Y228" s="682" t="n">
        <v>46024</v>
      </c>
      <c r="Z228" s="679" t="n">
        <v>96000</v>
      </c>
      <c r="AA228" s="680" t="n"/>
      <c r="AB228" s="680">
        <f>Z228</f>
        <v/>
      </c>
      <c r="AC228" s="680" t="n"/>
      <c r="AD228" s="680">
        <f>Z228</f>
        <v/>
      </c>
      <c r="AE228" s="680">
        <f>AB228</f>
        <v/>
      </c>
      <c r="AF228" s="684" t="inlineStr">
        <is>
          <t>ENGAGE</t>
        </is>
      </c>
      <c r="AG228" s="683" t="n"/>
      <c r="AH228" s="680" t="n"/>
      <c r="AI228" s="680" t="n"/>
      <c r="AJ228" s="680" t="n"/>
      <c r="AK228" s="680" t="n"/>
      <c r="AL228" s="685" t="n"/>
      <c r="AM228" s="685" t="n"/>
      <c r="AN228" s="683" t="inlineStr">
        <is>
          <t>Manque n° contrat</t>
        </is>
      </c>
      <c r="AO228" s="686" t="n"/>
      <c r="AP228" s="687" t="n"/>
      <c r="AQ228" s="688" t="n"/>
      <c r="AR228" s="688" t="n"/>
      <c r="AS228" s="23" t="n"/>
      <c r="AT228" s="688" t="n"/>
    </row>
    <row r="229" ht="46.5" customHeight="1" s="392">
      <c r="A229" s="672">
        <f>IF(AF229="ENGAGE","✔",IF(AF229="EN COURS D'ENGAGEMENT","◕",IF(AF229="PREENGAGE","◑",IF(AF229="EN COURS DE PREENGAGEMENT","◔",IF(AF229="NON ENGAGE","✖","")))))</f>
        <v/>
      </c>
      <c r="B229" s="673" t="n">
        <v>2026</v>
      </c>
      <c r="C229" s="674" t="inlineStr">
        <is>
          <t>TAMAZIGHT</t>
        </is>
      </c>
      <c r="D229" s="674" t="inlineStr">
        <is>
          <t>PV N° : 01RC2025- DCPCART</t>
        </is>
      </c>
      <c r="E229" s="675" t="inlineStr">
        <is>
          <t>CONTRAT</t>
        </is>
      </c>
      <c r="F229" s="675" t="n"/>
      <c r="G229" s="676" t="inlineStr">
        <is>
          <t>OUHSSAIN ZAHRA  -  Concepteur Animateur RD/TV</t>
        </is>
      </c>
      <c r="H229" s="673" t="inlineStr">
        <is>
          <t>VALIDE</t>
        </is>
      </c>
      <c r="I229" s="675" t="inlineStr">
        <is>
          <t>APPROUVE</t>
        </is>
      </c>
      <c r="J229" s="675" t="n"/>
      <c r="K229" s="673" t="inlineStr">
        <is>
          <t>NON CONCERNE</t>
        </is>
      </c>
      <c r="L229" s="675" t="inlineStr">
        <is>
          <t>Ordinaire</t>
        </is>
      </c>
      <c r="M229" s="677" t="inlineStr">
        <is>
          <t>FONCTIONNEMENT</t>
        </is>
      </c>
      <c r="N229" s="678" t="inlineStr">
        <is>
          <t xml:space="preserve">Prestations de service
Achat prestations de services locales - personnes physiques </t>
        </is>
      </c>
      <c r="O229" s="679" t="n"/>
      <c r="P229" s="680" t="n"/>
      <c r="Q229" s="680" t="n"/>
      <c r="R229" s="675" t="inlineStr">
        <is>
          <t>RECONDUCTION</t>
        </is>
      </c>
      <c r="S229" s="681" t="n"/>
      <c r="T229" s="682" t="n"/>
      <c r="U229" s="683" t="inlineStr">
        <is>
          <t>OUHSSAIN ZAHRA</t>
        </is>
      </c>
      <c r="V229" s="675" t="n">
        <v>2026</v>
      </c>
      <c r="W229" s="682" t="n">
        <v>46387</v>
      </c>
      <c r="X229" s="682" t="n"/>
      <c r="Y229" s="682" t="n">
        <v>46024</v>
      </c>
      <c r="Z229" s="679" t="n">
        <v>96000</v>
      </c>
      <c r="AA229" s="680" t="n"/>
      <c r="AB229" s="680">
        <f>Z229</f>
        <v/>
      </c>
      <c r="AC229" s="680" t="n"/>
      <c r="AD229" s="680">
        <f>Z229</f>
        <v/>
      </c>
      <c r="AE229" s="680">
        <f>AB229</f>
        <v/>
      </c>
      <c r="AF229" s="684" t="inlineStr">
        <is>
          <t>ENGAGE</t>
        </is>
      </c>
      <c r="AG229" s="683" t="n"/>
      <c r="AH229" s="680" t="n"/>
      <c r="AI229" s="680" t="n"/>
      <c r="AJ229" s="680" t="n"/>
      <c r="AK229" s="680" t="n"/>
      <c r="AL229" s="685" t="n"/>
      <c r="AM229" s="685" t="n"/>
      <c r="AN229" s="683" t="inlineStr">
        <is>
          <t>Manque n° contrat</t>
        </is>
      </c>
      <c r="AO229" s="686" t="n"/>
      <c r="AP229" s="687" t="n"/>
      <c r="AQ229" s="688" t="n"/>
      <c r="AR229" s="688" t="n"/>
      <c r="AS229" s="23" t="n"/>
      <c r="AT229" s="688" t="n"/>
    </row>
    <row r="230" ht="46.5" customHeight="1" s="392">
      <c r="A230" s="672">
        <f>IF(AF230="ENGAGE","✔",IF(AF230="EN COURS D'ENGAGEMENT","◕",IF(AF230="PREENGAGE","◑",IF(AF230="EN COURS DE PREENGAGEMENT","◔",IF(AF230="NON ENGAGE","✖","")))))</f>
        <v/>
      </c>
      <c r="B230" s="673" t="n">
        <v>2026</v>
      </c>
      <c r="C230" s="674" t="inlineStr">
        <is>
          <t>TAMAZIGHT</t>
        </is>
      </c>
      <c r="D230" s="674" t="inlineStr">
        <is>
          <t>PV N° : 01RC2025- DCPCART</t>
        </is>
      </c>
      <c r="E230" s="675" t="inlineStr">
        <is>
          <t>CONTRAT</t>
        </is>
      </c>
      <c r="F230" s="675" t="n"/>
      <c r="G230" s="676" t="inlineStr">
        <is>
          <t>SAADIA BOUZALRHA  -  Concepteur Animateur RD/TV</t>
        </is>
      </c>
      <c r="H230" s="673" t="inlineStr">
        <is>
          <t>VALIDE</t>
        </is>
      </c>
      <c r="I230" s="675" t="inlineStr">
        <is>
          <t>APPROUVE</t>
        </is>
      </c>
      <c r="J230" s="675" t="n"/>
      <c r="K230" s="673" t="inlineStr">
        <is>
          <t>NON CONCERNE</t>
        </is>
      </c>
      <c r="L230" s="675" t="inlineStr">
        <is>
          <t>Ordinaire</t>
        </is>
      </c>
      <c r="M230" s="677" t="inlineStr">
        <is>
          <t>FONCTIONNEMENT</t>
        </is>
      </c>
      <c r="N230" s="678" t="inlineStr">
        <is>
          <t xml:space="preserve">Prestations de service
Achat prestations de services locales - personnes physiques </t>
        </is>
      </c>
      <c r="O230" s="679" t="n"/>
      <c r="P230" s="680" t="n"/>
      <c r="Q230" s="680" t="n"/>
      <c r="R230" s="675" t="inlineStr">
        <is>
          <t>RECONDUCTION</t>
        </is>
      </c>
      <c r="S230" s="681" t="n"/>
      <c r="T230" s="682" t="n"/>
      <c r="U230" s="683" t="inlineStr">
        <is>
          <t>SAADIA BOUZALRHA</t>
        </is>
      </c>
      <c r="V230" s="675" t="n">
        <v>2026</v>
      </c>
      <c r="W230" s="682" t="n">
        <v>46387</v>
      </c>
      <c r="X230" s="682" t="n"/>
      <c r="Y230" s="682" t="n">
        <v>46024</v>
      </c>
      <c r="Z230" s="679" t="n">
        <v>96000</v>
      </c>
      <c r="AA230" s="680" t="n"/>
      <c r="AB230" s="680">
        <f>Z230</f>
        <v/>
      </c>
      <c r="AC230" s="680" t="n"/>
      <c r="AD230" s="680">
        <f>Z230</f>
        <v/>
      </c>
      <c r="AE230" s="680">
        <f>AB230</f>
        <v/>
      </c>
      <c r="AF230" s="684" t="inlineStr">
        <is>
          <t>ENGAGE</t>
        </is>
      </c>
      <c r="AG230" s="683" t="n"/>
      <c r="AH230" s="680" t="n"/>
      <c r="AI230" s="680" t="n"/>
      <c r="AJ230" s="680" t="n"/>
      <c r="AK230" s="680" t="n"/>
      <c r="AL230" s="685" t="n"/>
      <c r="AM230" s="685" t="n"/>
      <c r="AN230" s="683" t="inlineStr">
        <is>
          <t>Manque n° contrat</t>
        </is>
      </c>
      <c r="AO230" s="686" t="n"/>
      <c r="AP230" s="687" t="n"/>
      <c r="AQ230" s="688" t="n"/>
      <c r="AR230" s="688" t="n"/>
      <c r="AS230" s="23" t="n"/>
      <c r="AT230" s="688" t="n"/>
    </row>
    <row r="231" ht="46.5" customHeight="1" s="392">
      <c r="A231" s="672">
        <f>IF(AF231="ENGAGE","✔",IF(AF231="EN COURS D'ENGAGEMENT","◕",IF(AF231="PREENGAGE","◑",IF(AF231="EN COURS DE PREENGAGEMENT","◔",IF(AF231="NON ENGAGE","✖","")))))</f>
        <v/>
      </c>
      <c r="B231" s="673" t="n">
        <v>2026</v>
      </c>
      <c r="C231" s="674" t="inlineStr">
        <is>
          <t>TAMAZIGHT</t>
        </is>
      </c>
      <c r="D231" s="674" t="inlineStr">
        <is>
          <t>PV N° : 01RC2025- DCPCART</t>
        </is>
      </c>
      <c r="E231" s="675" t="inlineStr">
        <is>
          <t>CONTRAT</t>
        </is>
      </c>
      <c r="F231" s="675" t="n"/>
      <c r="G231" s="676" t="inlineStr">
        <is>
          <t>MUSTAPHA BOUKRIM  -  Concepteur Animateur RD</t>
        </is>
      </c>
      <c r="H231" s="673" t="inlineStr">
        <is>
          <t>VALIDE</t>
        </is>
      </c>
      <c r="I231" s="675" t="inlineStr">
        <is>
          <t>APPROUVE</t>
        </is>
      </c>
      <c r="J231" s="675" t="n"/>
      <c r="K231" s="673" t="inlineStr">
        <is>
          <t>NON CONCERNE</t>
        </is>
      </c>
      <c r="L231" s="675" t="inlineStr">
        <is>
          <t>Ordinaire</t>
        </is>
      </c>
      <c r="M231" s="677" t="inlineStr">
        <is>
          <t>FONCTIONNEMENT</t>
        </is>
      </c>
      <c r="N231" s="678" t="inlineStr">
        <is>
          <t xml:space="preserve">Prestations de service
Achat prestations de services locales - personnes physiques </t>
        </is>
      </c>
      <c r="O231" s="679" t="n"/>
      <c r="P231" s="680" t="n"/>
      <c r="Q231" s="680" t="n"/>
      <c r="R231" s="675" t="inlineStr">
        <is>
          <t>RECONDUCTION</t>
        </is>
      </c>
      <c r="S231" s="681" t="n"/>
      <c r="T231" s="682" t="n"/>
      <c r="U231" s="683" t="inlineStr">
        <is>
          <t>MUSTAPHA BOUKRIM</t>
        </is>
      </c>
      <c r="V231" s="675" t="n">
        <v>2026</v>
      </c>
      <c r="W231" s="682" t="n">
        <v>46387</v>
      </c>
      <c r="X231" s="682" t="n"/>
      <c r="Y231" s="682" t="n">
        <v>46024</v>
      </c>
      <c r="Z231" s="679" t="n">
        <v>96000</v>
      </c>
      <c r="AA231" s="680" t="n"/>
      <c r="AB231" s="680">
        <f>Z231</f>
        <v/>
      </c>
      <c r="AC231" s="680" t="n"/>
      <c r="AD231" s="680">
        <f>Z231</f>
        <v/>
      </c>
      <c r="AE231" s="680">
        <f>AB231</f>
        <v/>
      </c>
      <c r="AF231" s="684" t="inlineStr">
        <is>
          <t>ENGAGE</t>
        </is>
      </c>
      <c r="AG231" s="683" t="n"/>
      <c r="AH231" s="680" t="n"/>
      <c r="AI231" s="680" t="n"/>
      <c r="AJ231" s="680" t="n"/>
      <c r="AK231" s="680" t="n"/>
      <c r="AL231" s="685" t="n"/>
      <c r="AM231" s="685" t="n"/>
      <c r="AN231" s="683" t="inlineStr">
        <is>
          <t>Manque n° contrat</t>
        </is>
      </c>
      <c r="AO231" s="686" t="n"/>
      <c r="AP231" s="687" t="n"/>
      <c r="AQ231" s="688" t="n"/>
      <c r="AR231" s="688" t="n"/>
      <c r="AS231" s="23" t="n"/>
      <c r="AT231" s="688" t="n"/>
    </row>
    <row r="232" ht="46.5" customHeight="1" s="392">
      <c r="A232" s="672">
        <f>IF(AF232="ENGAGE","✔",IF(AF232="EN COURS D'ENGAGEMENT","◕",IF(AF232="PREENGAGE","◑",IF(AF232="EN COURS DE PREENGAGEMENT","◔",IF(AF232="NON ENGAGE","✖","")))))</f>
        <v/>
      </c>
      <c r="B232" s="673" t="n">
        <v>2026</v>
      </c>
      <c r="C232" s="674" t="inlineStr">
        <is>
          <t>TAMAZIGHT</t>
        </is>
      </c>
      <c r="D232" s="674" t="inlineStr">
        <is>
          <t>PV N° : 01RC2025- DCPCART</t>
        </is>
      </c>
      <c r="E232" s="675" t="inlineStr">
        <is>
          <t>CONTRAT</t>
        </is>
      </c>
      <c r="F232" s="675" t="n"/>
      <c r="G232" s="676" t="inlineStr">
        <is>
          <t>FATIMA EL KABBOUD  -  Concepteur Animateur RD/TV</t>
        </is>
      </c>
      <c r="H232" s="673" t="inlineStr">
        <is>
          <t>VALIDE</t>
        </is>
      </c>
      <c r="I232" s="675" t="inlineStr">
        <is>
          <t>APPROUVE</t>
        </is>
      </c>
      <c r="J232" s="675" t="n"/>
      <c r="K232" s="673" t="inlineStr">
        <is>
          <t>NON CONCERNE</t>
        </is>
      </c>
      <c r="L232" s="675" t="inlineStr">
        <is>
          <t>Ordinaire</t>
        </is>
      </c>
      <c r="M232" s="677" t="inlineStr">
        <is>
          <t>FONCTIONNEMENT</t>
        </is>
      </c>
      <c r="N232" s="678" t="inlineStr">
        <is>
          <t xml:space="preserve">Prestations de service
Achat prestations de services locales - personnes physiques </t>
        </is>
      </c>
      <c r="O232" s="679" t="n"/>
      <c r="P232" s="680" t="n"/>
      <c r="Q232" s="680" t="n"/>
      <c r="R232" s="675" t="inlineStr">
        <is>
          <t>RECONDUCTION</t>
        </is>
      </c>
      <c r="S232" s="681" t="n"/>
      <c r="T232" s="682" t="n"/>
      <c r="U232" s="683" t="inlineStr">
        <is>
          <t>FATIMA EL KABBOUD</t>
        </is>
      </c>
      <c r="V232" s="675" t="n">
        <v>2026</v>
      </c>
      <c r="W232" s="682" t="n">
        <v>46387</v>
      </c>
      <c r="X232" s="682" t="n"/>
      <c r="Y232" s="682" t="n">
        <v>46024</v>
      </c>
      <c r="Z232" s="679" t="n">
        <v>96000</v>
      </c>
      <c r="AA232" s="680" t="n"/>
      <c r="AB232" s="680">
        <f>Z232</f>
        <v/>
      </c>
      <c r="AC232" s="680" t="n"/>
      <c r="AD232" s="680">
        <f>Z232</f>
        <v/>
      </c>
      <c r="AE232" s="680">
        <f>AB232</f>
        <v/>
      </c>
      <c r="AF232" s="684" t="inlineStr">
        <is>
          <t>ENGAGE</t>
        </is>
      </c>
      <c r="AG232" s="683" t="n"/>
      <c r="AH232" s="680" t="n"/>
      <c r="AI232" s="680" t="n"/>
      <c r="AJ232" s="680" t="n"/>
      <c r="AK232" s="680" t="n"/>
      <c r="AL232" s="685" t="n"/>
      <c r="AM232" s="685" t="n"/>
      <c r="AN232" s="683" t="inlineStr">
        <is>
          <t>Manque n° contrat</t>
        </is>
      </c>
      <c r="AO232" s="686" t="n"/>
      <c r="AP232" s="687" t="n"/>
      <c r="AQ232" s="688" t="n"/>
      <c r="AR232" s="688" t="n"/>
      <c r="AS232" s="23" t="n"/>
      <c r="AT232" s="688" t="n"/>
    </row>
    <row r="233" ht="46.5" customHeight="1" s="392">
      <c r="A233" s="672">
        <f>IF(AF233="ENGAGE","✔",IF(AF233="EN COURS D'ENGAGEMENT","◕",IF(AF233="PREENGAGE","◑",IF(AF233="EN COURS DE PREENGAGEMENT","◔",IF(AF233="NON ENGAGE","✖","")))))</f>
        <v/>
      </c>
      <c r="B233" s="673" t="n">
        <v>2026</v>
      </c>
      <c r="C233" s="674" t="inlineStr">
        <is>
          <t>TAMAZIGHT</t>
        </is>
      </c>
      <c r="D233" s="674" t="inlineStr">
        <is>
          <t>PV N° : 01RC2025- DCPCART</t>
        </is>
      </c>
      <c r="E233" s="675" t="inlineStr">
        <is>
          <t>CONTRAT</t>
        </is>
      </c>
      <c r="F233" s="675" t="n"/>
      <c r="G233" s="676" t="inlineStr">
        <is>
          <t>SAID BAJJI  -  Concepteur Animateur RD</t>
        </is>
      </c>
      <c r="H233" s="673" t="inlineStr">
        <is>
          <t>VALIDE</t>
        </is>
      </c>
      <c r="I233" s="675" t="inlineStr">
        <is>
          <t>APPROUVE</t>
        </is>
      </c>
      <c r="J233" s="675" t="n"/>
      <c r="K233" s="673" t="inlineStr">
        <is>
          <t>NON CONCERNE</t>
        </is>
      </c>
      <c r="L233" s="675" t="inlineStr">
        <is>
          <t>Ordinaire</t>
        </is>
      </c>
      <c r="M233" s="677" t="inlineStr">
        <is>
          <t>FONCTIONNEMENT</t>
        </is>
      </c>
      <c r="N233" s="678" t="inlineStr">
        <is>
          <t xml:space="preserve">Prestations de service
Achat prestations de services locales - personnes physiques </t>
        </is>
      </c>
      <c r="O233" s="679" t="n"/>
      <c r="P233" s="680" t="n"/>
      <c r="Q233" s="680" t="n"/>
      <c r="R233" s="675" t="inlineStr">
        <is>
          <t>RECONDUCTION</t>
        </is>
      </c>
      <c r="S233" s="681" t="n"/>
      <c r="T233" s="682" t="n"/>
      <c r="U233" s="683" t="inlineStr">
        <is>
          <t>SAID BAJJI</t>
        </is>
      </c>
      <c r="V233" s="675" t="n">
        <v>2026</v>
      </c>
      <c r="W233" s="682" t="n">
        <v>46387</v>
      </c>
      <c r="X233" s="682" t="n"/>
      <c r="Y233" s="682" t="n">
        <v>46024</v>
      </c>
      <c r="Z233" s="679" t="n">
        <v>96000</v>
      </c>
      <c r="AA233" s="680" t="n"/>
      <c r="AB233" s="680">
        <f>Z233</f>
        <v/>
      </c>
      <c r="AC233" s="680" t="n"/>
      <c r="AD233" s="680">
        <f>Z233</f>
        <v/>
      </c>
      <c r="AE233" s="680">
        <f>AB233</f>
        <v/>
      </c>
      <c r="AF233" s="684" t="inlineStr">
        <is>
          <t>ENGAGE</t>
        </is>
      </c>
      <c r="AG233" s="683" t="n"/>
      <c r="AH233" s="680" t="n"/>
      <c r="AI233" s="680" t="n"/>
      <c r="AJ233" s="680" t="n"/>
      <c r="AK233" s="680" t="n"/>
      <c r="AL233" s="685" t="n"/>
      <c r="AM233" s="685" t="n"/>
      <c r="AN233" s="683" t="inlineStr">
        <is>
          <t>Manque n° contrat</t>
        </is>
      </c>
      <c r="AO233" s="686" t="n"/>
      <c r="AP233" s="687" t="n"/>
      <c r="AQ233" s="688" t="n"/>
      <c r="AR233" s="688" t="n"/>
      <c r="AS233" s="23" t="n"/>
      <c r="AT233" s="688" t="n"/>
    </row>
    <row r="234" ht="46.5" customHeight="1" s="392">
      <c r="A234" s="672">
        <f>IF(AF234="ENGAGE","✔",IF(AF234="EN COURS D'ENGAGEMENT","◕",IF(AF234="PREENGAGE","◑",IF(AF234="EN COURS DE PREENGAGEMENT","◔",IF(AF234="NON ENGAGE","✖","")))))</f>
        <v/>
      </c>
      <c r="B234" s="673" t="n">
        <v>2026</v>
      </c>
      <c r="C234" s="674" t="inlineStr">
        <is>
          <t>TAMAZIGHT</t>
        </is>
      </c>
      <c r="D234" s="674" t="inlineStr">
        <is>
          <t>PV N° : 01RC2025- DCPCART</t>
        </is>
      </c>
      <c r="E234" s="675" t="inlineStr">
        <is>
          <t>CONTRAT</t>
        </is>
      </c>
      <c r="F234" s="675" t="n"/>
      <c r="G234" s="676" t="inlineStr">
        <is>
          <t>AASSID AHMED  -  Chroniqueur</t>
        </is>
      </c>
      <c r="H234" s="673" t="inlineStr">
        <is>
          <t>VALIDE</t>
        </is>
      </c>
      <c r="I234" s="675" t="inlineStr">
        <is>
          <t>APPROUVE</t>
        </is>
      </c>
      <c r="J234" s="675" t="n"/>
      <c r="K234" s="673" t="inlineStr">
        <is>
          <t>NON CONCERNE</t>
        </is>
      </c>
      <c r="L234" s="675" t="inlineStr">
        <is>
          <t>Ordinaire</t>
        </is>
      </c>
      <c r="M234" s="677" t="inlineStr">
        <is>
          <t>FONCTIONNEMENT</t>
        </is>
      </c>
      <c r="N234" s="678" t="inlineStr">
        <is>
          <t xml:space="preserve">Prestations de service
Achat prestations de services locales - personnes physiques </t>
        </is>
      </c>
      <c r="O234" s="679" t="n"/>
      <c r="P234" s="680" t="n"/>
      <c r="Q234" s="680" t="n"/>
      <c r="R234" s="675" t="inlineStr">
        <is>
          <t>RECONDUCTION</t>
        </is>
      </c>
      <c r="S234" s="681" t="n"/>
      <c r="T234" s="682" t="n"/>
      <c r="U234" s="683" t="inlineStr">
        <is>
          <t>AASSID AHMED</t>
        </is>
      </c>
      <c r="V234" s="675" t="n">
        <v>2026</v>
      </c>
      <c r="W234" s="682" t="n">
        <v>46387</v>
      </c>
      <c r="X234" s="682" t="n"/>
      <c r="Y234" s="682" t="n">
        <v>46024</v>
      </c>
      <c r="Z234" s="679" t="n">
        <v>457142.72</v>
      </c>
      <c r="AA234" s="680" t="n"/>
      <c r="AB234" s="680">
        <f>Z234</f>
        <v/>
      </c>
      <c r="AC234" s="680" t="n"/>
      <c r="AD234" s="680">
        <f>Z234</f>
        <v/>
      </c>
      <c r="AE234" s="680">
        <f>AB234</f>
        <v/>
      </c>
      <c r="AF234" s="684" t="inlineStr">
        <is>
          <t>ENGAGE</t>
        </is>
      </c>
      <c r="AG234" s="683" t="n"/>
      <c r="AH234" s="680" t="n"/>
      <c r="AI234" s="680" t="n"/>
      <c r="AJ234" s="680" t="n"/>
      <c r="AK234" s="680" t="n"/>
      <c r="AL234" s="685" t="n"/>
      <c r="AM234" s="685" t="n"/>
      <c r="AN234" s="683" t="inlineStr">
        <is>
          <t>Manque n° contrat</t>
        </is>
      </c>
      <c r="AO234" s="686" t="n"/>
      <c r="AP234" s="687" t="n"/>
      <c r="AQ234" s="688" t="n"/>
      <c r="AR234" s="688" t="n"/>
      <c r="AS234" s="23" t="n"/>
      <c r="AT234" s="688" t="n"/>
    </row>
    <row r="235" ht="46.5" customHeight="1" s="392">
      <c r="A235" s="672">
        <f>IF(AF235="ENGAGE","✔",IF(AF235="EN COURS D'ENGAGEMENT","◕",IF(AF235="PREENGAGE","◑",IF(AF235="EN COURS DE PREENGAGEMENT","◔",IF(AF235="NON ENGAGE","✖","")))))</f>
        <v/>
      </c>
      <c r="B235" s="673" t="n">
        <v>2026</v>
      </c>
      <c r="C235" s="674" t="inlineStr">
        <is>
          <t>TAMAZIGHT</t>
        </is>
      </c>
      <c r="D235" s="674" t="inlineStr">
        <is>
          <t>PV N° : 01RC2025- DCPCART</t>
        </is>
      </c>
      <c r="E235" s="675" t="inlineStr">
        <is>
          <t>CONTRAT</t>
        </is>
      </c>
      <c r="F235" s="675" t="n"/>
      <c r="G235" s="676" t="inlineStr">
        <is>
          <t>MOUSTAOUI MOHAMED  -  Chroniqueur</t>
        </is>
      </c>
      <c r="H235" s="673" t="inlineStr">
        <is>
          <t>VALIDE</t>
        </is>
      </c>
      <c r="I235" s="675" t="inlineStr">
        <is>
          <t>APPROUVE</t>
        </is>
      </c>
      <c r="J235" s="675" t="n"/>
      <c r="K235" s="673" t="inlineStr">
        <is>
          <t>NON CONCERNE</t>
        </is>
      </c>
      <c r="L235" s="675" t="inlineStr">
        <is>
          <t>Ordinaire</t>
        </is>
      </c>
      <c r="M235" s="677" t="inlineStr">
        <is>
          <t>FONCTIONNEMENT</t>
        </is>
      </c>
      <c r="N235" s="678" t="inlineStr">
        <is>
          <t xml:space="preserve">Prestations de service
Achat prestations de services locales - personnes physiques </t>
        </is>
      </c>
      <c r="O235" s="679" t="n"/>
      <c r="P235" s="680" t="n"/>
      <c r="Q235" s="680" t="n"/>
      <c r="R235" s="675" t="inlineStr">
        <is>
          <t>RECONDUCTION</t>
        </is>
      </c>
      <c r="S235" s="681" t="n"/>
      <c r="T235" s="682" t="n"/>
      <c r="U235" s="683" t="inlineStr">
        <is>
          <t>MOUSTAOUI MOHAMED</t>
        </is>
      </c>
      <c r="V235" s="675" t="n">
        <v>2026</v>
      </c>
      <c r="W235" s="682" t="n">
        <v>46387</v>
      </c>
      <c r="X235" s="682" t="n"/>
      <c r="Y235" s="682" t="n">
        <v>46024</v>
      </c>
      <c r="Z235" s="679" t="n">
        <v>41600</v>
      </c>
      <c r="AA235" s="680" t="n"/>
      <c r="AB235" s="680" t="n">
        <v>41600</v>
      </c>
      <c r="AC235" s="680" t="n"/>
      <c r="AD235" s="680" t="n">
        <v>41600</v>
      </c>
      <c r="AE235" s="680" t="n">
        <v>41600</v>
      </c>
      <c r="AF235" s="684" t="inlineStr">
        <is>
          <t>ENGAGE</t>
        </is>
      </c>
      <c r="AG235" s="683" t="n"/>
      <c r="AH235" s="680" t="n"/>
      <c r="AI235" s="680" t="n"/>
      <c r="AJ235" s="680" t="n"/>
      <c r="AK235" s="680" t="n"/>
      <c r="AL235" s="685" t="n"/>
      <c r="AM235" s="685" t="n"/>
      <c r="AN235" s="683" t="inlineStr">
        <is>
          <t>Manque n° contrat</t>
        </is>
      </c>
      <c r="AO235" s="686" t="n"/>
      <c r="AP235" s="687" t="n"/>
      <c r="AQ235" s="688" t="n"/>
      <c r="AR235" s="688" t="n"/>
      <c r="AS235" s="23" t="n"/>
      <c r="AT235" s="688" t="n"/>
    </row>
    <row r="236" ht="50.55" customHeight="1" s="392">
      <c r="A236" s="672">
        <f>IF(AF236="ENGAGE","✔",IF(AF236="EN COURS D'ENGAGEMENT","◕",IF(AF236="PREENGAGE","◑",IF(AF236="EN COURS DE PREENGAGEMENT","◔",IF(AF236="NON ENGAGE","✖","")))))</f>
        <v/>
      </c>
      <c r="B236" s="673" t="n">
        <v>2026</v>
      </c>
      <c r="C236" s="674" t="inlineStr">
        <is>
          <t>TAMAZIGHT</t>
        </is>
      </c>
      <c r="D236" s="674" t="inlineStr">
        <is>
          <t>PV N° : 01RC2025- DCPCART</t>
        </is>
      </c>
      <c r="E236" s="675" t="inlineStr">
        <is>
          <t>CONTRAT</t>
        </is>
      </c>
      <c r="F236" s="675" t="n"/>
      <c r="G236" s="676" t="inlineStr">
        <is>
          <t>RACHID ABDELOIAHID  -  Journaliste sportif en charge de la préparation et l'animation des émissions ''TONOUNT" &amp; "DIMANCHE SPORT" (version Tachlhit)</t>
        </is>
      </c>
      <c r="H236" s="673" t="inlineStr">
        <is>
          <t>VALIDE</t>
        </is>
      </c>
      <c r="I236" s="675" t="inlineStr">
        <is>
          <t>APPROUVE</t>
        </is>
      </c>
      <c r="J236" s="675" t="n"/>
      <c r="K236" s="673" t="inlineStr">
        <is>
          <t>NON CONCERNE</t>
        </is>
      </c>
      <c r="L236" s="675" t="inlineStr">
        <is>
          <t>Ordinaire</t>
        </is>
      </c>
      <c r="M236" s="677" t="inlineStr">
        <is>
          <t>FONCTIONNEMENT</t>
        </is>
      </c>
      <c r="N236" s="678" t="inlineStr">
        <is>
          <t xml:space="preserve">Prestations de service
Achat prestations de services locales - personnes physiques </t>
        </is>
      </c>
      <c r="O236" s="679" t="n"/>
      <c r="P236" s="680" t="n"/>
      <c r="Q236" s="680" t="n"/>
      <c r="R236" s="675" t="inlineStr">
        <is>
          <t>RECONDUCTION</t>
        </is>
      </c>
      <c r="S236" s="681" t="n"/>
      <c r="T236" s="682" t="n"/>
      <c r="U236" s="683" t="inlineStr">
        <is>
          <t>RACHID ABDELOIAHID</t>
        </is>
      </c>
      <c r="V236" s="675" t="n">
        <v>2026</v>
      </c>
      <c r="W236" s="682" t="n">
        <v>46387</v>
      </c>
      <c r="X236" s="682" t="n"/>
      <c r="Y236" s="682" t="n">
        <v>46024</v>
      </c>
      <c r="Z236" s="679" t="n">
        <v>71400</v>
      </c>
      <c r="AA236" s="680" t="n"/>
      <c r="AB236" s="680">
        <f>Z236</f>
        <v/>
      </c>
      <c r="AC236" s="680" t="n"/>
      <c r="AD236" s="680">
        <f>Z236</f>
        <v/>
      </c>
      <c r="AE236" s="680">
        <f>AB236</f>
        <v/>
      </c>
      <c r="AF236" s="684" t="inlineStr">
        <is>
          <t>ENGAGE</t>
        </is>
      </c>
      <c r="AG236" s="683" t="n"/>
      <c r="AH236" s="680" t="n"/>
      <c r="AI236" s="680" t="n"/>
      <c r="AJ236" s="680" t="n"/>
      <c r="AK236" s="680" t="n"/>
      <c r="AL236" s="685" t="n"/>
      <c r="AM236" s="685" t="n"/>
      <c r="AN236" s="683" t="inlineStr">
        <is>
          <t>Manque n° contrat</t>
        </is>
      </c>
      <c r="AO236" s="686" t="n"/>
      <c r="AP236" s="687" t="n"/>
      <c r="AQ236" s="688" t="n"/>
      <c r="AR236" s="688" t="n"/>
      <c r="AS236" s="23" t="n"/>
      <c r="AT236" s="688" t="n"/>
    </row>
    <row r="237" ht="50.55" customHeight="1" s="392">
      <c r="A237" s="672">
        <f>IF(AF237="ENGAGE","✔",IF(AF237="EN COURS D'ENGAGEMENT","◕",IF(AF237="PREENGAGE","◑",IF(AF237="EN COURS DE PREENGAGEMENT","◔",IF(AF237="NON ENGAGE","✖","")))))</f>
        <v/>
      </c>
      <c r="B237" s="673" t="n">
        <v>2026</v>
      </c>
      <c r="C237" s="674" t="inlineStr">
        <is>
          <t>TAMAZIGHT</t>
        </is>
      </c>
      <c r="D237" s="674" t="inlineStr">
        <is>
          <t>PV N° : 01RC2025- DCPCART</t>
        </is>
      </c>
      <c r="E237" s="675" t="inlineStr">
        <is>
          <t>CONTRAT</t>
        </is>
      </c>
      <c r="F237" s="675" t="n"/>
      <c r="G237" s="676" t="inlineStr">
        <is>
          <t>SRHANE EL MOSTAFA  -  Journaliste sportif en charge de l'animation de l'émission ''LEGHA D RIADA" &amp; "DIMANCHE SPORT" (version Tamazight)</t>
        </is>
      </c>
      <c r="H237" s="673" t="inlineStr">
        <is>
          <t>VALIDE</t>
        </is>
      </c>
      <c r="I237" s="675" t="inlineStr">
        <is>
          <t>APPROUVE</t>
        </is>
      </c>
      <c r="J237" s="675" t="n"/>
      <c r="K237" s="673" t="inlineStr">
        <is>
          <t>NON CONCERNE</t>
        </is>
      </c>
      <c r="L237" s="675" t="inlineStr">
        <is>
          <t>Ordinaire</t>
        </is>
      </c>
      <c r="M237" s="677" t="inlineStr">
        <is>
          <t>FONCTIONNEMENT</t>
        </is>
      </c>
      <c r="N237" s="678" t="inlineStr">
        <is>
          <t xml:space="preserve">Prestations de service
Achat prestations de services locales - personnes physiques </t>
        </is>
      </c>
      <c r="O237" s="679" t="n"/>
      <c r="P237" s="680" t="n"/>
      <c r="Q237" s="680" t="n"/>
      <c r="R237" s="675" t="inlineStr">
        <is>
          <t>RECONDUCTION</t>
        </is>
      </c>
      <c r="S237" s="681" t="n"/>
      <c r="T237" s="682" t="n"/>
      <c r="U237" s="683" t="inlineStr">
        <is>
          <t>SRHANE EL MOSTAFA</t>
        </is>
      </c>
      <c r="V237" s="675" t="n">
        <v>2026</v>
      </c>
      <c r="W237" s="682" t="n">
        <v>46387</v>
      </c>
      <c r="X237" s="682" t="n"/>
      <c r="Y237" s="682" t="n">
        <v>46024</v>
      </c>
      <c r="Z237" s="679" t="n">
        <v>71400</v>
      </c>
      <c r="AA237" s="680" t="n"/>
      <c r="AB237" s="680">
        <f>Z237</f>
        <v/>
      </c>
      <c r="AC237" s="680" t="n"/>
      <c r="AD237" s="680">
        <f>Z237</f>
        <v/>
      </c>
      <c r="AE237" s="680">
        <f>AB237</f>
        <v/>
      </c>
      <c r="AF237" s="684" t="inlineStr">
        <is>
          <t>ENGAGE</t>
        </is>
      </c>
      <c r="AG237" s="683" t="n"/>
      <c r="AH237" s="680" t="n"/>
      <c r="AI237" s="680" t="n"/>
      <c r="AJ237" s="680" t="n"/>
      <c r="AK237" s="680" t="n"/>
      <c r="AL237" s="685" t="n"/>
      <c r="AM237" s="685" t="n"/>
      <c r="AN237" s="683" t="inlineStr">
        <is>
          <t>Manque n° contrat</t>
        </is>
      </c>
      <c r="AO237" s="686" t="n"/>
      <c r="AP237" s="687" t="n"/>
      <c r="AQ237" s="688" t="n"/>
      <c r="AR237" s="688" t="n"/>
      <c r="AS237" s="23" t="n"/>
      <c r="AT237" s="688" t="n"/>
    </row>
    <row r="238" ht="50.55" customHeight="1" s="392">
      <c r="A238" s="672">
        <f>IF(AF238="ENGAGE","✔",IF(AF238="EN COURS D'ENGAGEMENT","◕",IF(AF238="PREENGAGE","◑",IF(AF238="EN COURS DE PREENGAGEMENT","◔",IF(AF238="NON ENGAGE","✖","")))))</f>
        <v/>
      </c>
      <c r="B238" s="673" t="n">
        <v>2026</v>
      </c>
      <c r="C238" s="674" t="inlineStr">
        <is>
          <t>TAMAZIGHT</t>
        </is>
      </c>
      <c r="D238" s="674" t="inlineStr">
        <is>
          <t>PV N° : 01RC2025- DCPCART</t>
        </is>
      </c>
      <c r="E238" s="675" t="inlineStr">
        <is>
          <t>CONTRAT</t>
        </is>
      </c>
      <c r="F238" s="675" t="n"/>
      <c r="G238" s="676" t="inlineStr">
        <is>
          <t>BEN AMAR RACHID  -  Journaliste sportif en charge de l'animation de l'émission ''LEGHA D RIADA" &amp; "DIMANCHE SPORT" (version Tarifit)</t>
        </is>
      </c>
      <c r="H238" s="673" t="inlineStr">
        <is>
          <t>VALIDE</t>
        </is>
      </c>
      <c r="I238" s="675" t="inlineStr">
        <is>
          <t>APPROUVE</t>
        </is>
      </c>
      <c r="J238" s="675" t="n"/>
      <c r="K238" s="673" t="inlineStr">
        <is>
          <t>NON CONCERNE</t>
        </is>
      </c>
      <c r="L238" s="675" t="inlineStr">
        <is>
          <t>Ordinaire</t>
        </is>
      </c>
      <c r="M238" s="677" t="inlineStr">
        <is>
          <t>FONCTIONNEMENT</t>
        </is>
      </c>
      <c r="N238" s="678" t="inlineStr">
        <is>
          <t xml:space="preserve">Prestations de service
Achat prestations de services locales - personnes physiques </t>
        </is>
      </c>
      <c r="O238" s="679" t="n"/>
      <c r="P238" s="680" t="n"/>
      <c r="Q238" s="680" t="n"/>
      <c r="R238" s="675" t="inlineStr">
        <is>
          <t>RECONDUCTION</t>
        </is>
      </c>
      <c r="S238" s="681" t="n"/>
      <c r="T238" s="682" t="n"/>
      <c r="U238" s="683" t="inlineStr">
        <is>
          <t>BEN AMAR RACHID</t>
        </is>
      </c>
      <c r="V238" s="675" t="n">
        <v>2026</v>
      </c>
      <c r="W238" s="682" t="n">
        <v>46387</v>
      </c>
      <c r="X238" s="682" t="n"/>
      <c r="Y238" s="682" t="n">
        <v>46024</v>
      </c>
      <c r="Z238" s="679" t="n">
        <v>71400</v>
      </c>
      <c r="AA238" s="680" t="n"/>
      <c r="AB238" s="680">
        <f>Z238</f>
        <v/>
      </c>
      <c r="AC238" s="680" t="n"/>
      <c r="AD238" s="680">
        <f>Z238</f>
        <v/>
      </c>
      <c r="AE238" s="680">
        <f>AB238</f>
        <v/>
      </c>
      <c r="AF238" s="684" t="inlineStr">
        <is>
          <t>ENGAGE</t>
        </is>
      </c>
      <c r="AG238" s="683" t="n"/>
      <c r="AH238" s="680" t="n"/>
      <c r="AI238" s="680" t="n"/>
      <c r="AJ238" s="680" t="n"/>
      <c r="AK238" s="680" t="n"/>
      <c r="AL238" s="685" t="n"/>
      <c r="AM238" s="685" t="n"/>
      <c r="AN238" s="683" t="inlineStr">
        <is>
          <t>Manque n° contrat</t>
        </is>
      </c>
      <c r="AO238" s="686" t="n"/>
      <c r="AP238" s="687" t="n"/>
      <c r="AQ238" s="688" t="n"/>
      <c r="AR238" s="688" t="n"/>
      <c r="AS238" s="23" t="n"/>
      <c r="AT238" s="688" t="n"/>
    </row>
    <row r="239" ht="46.5" customHeight="1" s="392">
      <c r="A239" s="672">
        <f>IF(AF239="ENGAGE","✔",IF(AF239="EN COURS D'ENGAGEMENT","◕",IF(AF239="PREENGAGE","◑",IF(AF239="EN COURS DE PREENGAGEMENT","◔",IF(AF239="NON ENGAGE","✖","")))))</f>
        <v/>
      </c>
      <c r="B239" s="673" t="n">
        <v>2026</v>
      </c>
      <c r="C239" s="674" t="inlineStr">
        <is>
          <t>TAMAZIGHT</t>
        </is>
      </c>
      <c r="D239" s="674" t="inlineStr">
        <is>
          <t>PV N° : 01RC2025- DCPCART</t>
        </is>
      </c>
      <c r="E239" s="675" t="inlineStr">
        <is>
          <t>CONTRAT</t>
        </is>
      </c>
      <c r="F239" s="675" t="n"/>
      <c r="G239" s="676" t="inlineStr">
        <is>
          <t>AAMOUNE MY EL BACHIR  -  Chroniqueur</t>
        </is>
      </c>
      <c r="H239" s="673" t="inlineStr">
        <is>
          <t>VALIDE</t>
        </is>
      </c>
      <c r="I239" s="675" t="inlineStr">
        <is>
          <t>APPROUVE</t>
        </is>
      </c>
      <c r="J239" s="675" t="n"/>
      <c r="K239" s="673" t="inlineStr">
        <is>
          <t>NON CONCERNE</t>
        </is>
      </c>
      <c r="L239" s="675" t="inlineStr">
        <is>
          <t>Ordinaire</t>
        </is>
      </c>
      <c r="M239" s="677" t="inlineStr">
        <is>
          <t>FONCTIONNEMENT</t>
        </is>
      </c>
      <c r="N239" s="678" t="inlineStr">
        <is>
          <t xml:space="preserve">Prestations de service
Achat prestations de services locales - personnes physiques </t>
        </is>
      </c>
      <c r="O239" s="679" t="n"/>
      <c r="P239" s="680" t="n"/>
      <c r="Q239" s="680" t="n"/>
      <c r="R239" s="675" t="inlineStr">
        <is>
          <t>RECONDUCTION</t>
        </is>
      </c>
      <c r="S239" s="681" t="n"/>
      <c r="T239" s="682" t="n"/>
      <c r="U239" s="683" t="inlineStr">
        <is>
          <t>AAMOUNE MY EL BACHIR</t>
        </is>
      </c>
      <c r="V239" s="675" t="n">
        <v>2026</v>
      </c>
      <c r="W239" s="682" t="n">
        <v>46387</v>
      </c>
      <c r="X239" s="682" t="n"/>
      <c r="Y239" s="682" t="n">
        <v>46024</v>
      </c>
      <c r="Z239" s="679" t="n">
        <v>41600</v>
      </c>
      <c r="AA239" s="680" t="n"/>
      <c r="AB239" s="680">
        <f>Z239</f>
        <v/>
      </c>
      <c r="AC239" s="680" t="n"/>
      <c r="AD239" s="680">
        <f>Z239</f>
        <v/>
      </c>
      <c r="AE239" s="680">
        <f>AB239</f>
        <v/>
      </c>
      <c r="AF239" s="684" t="inlineStr">
        <is>
          <t>ENGAGE</t>
        </is>
      </c>
      <c r="AG239" s="683" t="n"/>
      <c r="AH239" s="680" t="n"/>
      <c r="AI239" s="680" t="n"/>
      <c r="AJ239" s="680" t="n"/>
      <c r="AK239" s="680" t="n"/>
      <c r="AL239" s="685" t="n"/>
      <c r="AM239" s="685" t="n"/>
      <c r="AN239" s="683" t="inlineStr">
        <is>
          <t>Manque n° contrat</t>
        </is>
      </c>
      <c r="AO239" s="686" t="n"/>
      <c r="AP239" s="687" t="n"/>
      <c r="AQ239" s="688" t="n"/>
      <c r="AR239" s="688" t="n"/>
      <c r="AS239" s="23" t="n"/>
      <c r="AT239" s="688" t="n"/>
    </row>
    <row r="240" ht="50.55" customHeight="1" s="392">
      <c r="A240" s="672">
        <f>IF(AF240="ENGAGE","✔",IF(AF240="EN COURS D'ENGAGEMENT","◕",IF(AF240="PREENGAGE","◑",IF(AF240="EN COURS DE PREENGAGEMENT","◔",IF(AF240="NON ENGAGE","✖","")))))</f>
        <v/>
      </c>
      <c r="B240" s="673" t="n">
        <v>2026</v>
      </c>
      <c r="C240" s="674" t="inlineStr">
        <is>
          <t>ASSADISSA</t>
        </is>
      </c>
      <c r="D240" s="674" t="inlineStr">
        <is>
          <t>PV N° : 02RC2025-DPPCCRTV</t>
        </is>
      </c>
      <c r="E240" s="675" t="inlineStr">
        <is>
          <t>CONTRAT</t>
        </is>
      </c>
      <c r="F240" s="675" t="n"/>
      <c r="G240" s="676" t="inlineStr">
        <is>
          <t>LAHASSAN ID SAID  -  Président de la commission scientifique chargée de l’écoute, du visionnage, de la validation et de l’approbation du contenu des émissions coraniques RD et TV</t>
        </is>
      </c>
      <c r="H240" s="673" t="inlineStr">
        <is>
          <t>VALIDE</t>
        </is>
      </c>
      <c r="I240" s="675" t="inlineStr">
        <is>
          <t>APPROUVE</t>
        </is>
      </c>
      <c r="J240" s="675" t="n"/>
      <c r="K240" s="673" t="inlineStr">
        <is>
          <t>NON CONCERNE</t>
        </is>
      </c>
      <c r="L240" s="675" t="inlineStr">
        <is>
          <t>Ordinaire</t>
        </is>
      </c>
      <c r="M240" s="677" t="inlineStr">
        <is>
          <t>FONCTIONNEMENT</t>
        </is>
      </c>
      <c r="N240" s="678" t="inlineStr">
        <is>
          <t xml:space="preserve">Prestations de service
Achat prestations de services locales - personnes physiques </t>
        </is>
      </c>
      <c r="O240" s="679" t="n"/>
      <c r="P240" s="680" t="n"/>
      <c r="Q240" s="680" t="n"/>
      <c r="R240" s="675" t="inlineStr">
        <is>
          <t>RECONDUCTION</t>
        </is>
      </c>
      <c r="S240" s="681" t="n"/>
      <c r="T240" s="682" t="n"/>
      <c r="U240" s="683" t="inlineStr">
        <is>
          <t>LAHASSAN ID SAID</t>
        </is>
      </c>
      <c r="V240" s="675" t="n">
        <v>2026</v>
      </c>
      <c r="W240" s="682" t="n">
        <v>46387</v>
      </c>
      <c r="X240" s="682" t="n"/>
      <c r="Y240" s="682" t="n">
        <v>46024</v>
      </c>
      <c r="Z240" s="679" t="n">
        <v>96000</v>
      </c>
      <c r="AA240" s="680" t="n"/>
      <c r="AB240" s="680">
        <f>Z240</f>
        <v/>
      </c>
      <c r="AC240" s="680" t="n"/>
      <c r="AD240" s="680">
        <f>Z240</f>
        <v/>
      </c>
      <c r="AE240" s="680">
        <f>AB240</f>
        <v/>
      </c>
      <c r="AF240" s="684" t="inlineStr">
        <is>
          <t>ENGAGE</t>
        </is>
      </c>
      <c r="AG240" s="683" t="n"/>
      <c r="AH240" s="680" t="n"/>
      <c r="AI240" s="680" t="n"/>
      <c r="AJ240" s="680" t="n"/>
      <c r="AK240" s="680" t="n"/>
      <c r="AL240" s="685" t="n"/>
      <c r="AM240" s="685" t="n"/>
      <c r="AN240" s="683" t="inlineStr">
        <is>
          <t>Manque n° contrat</t>
        </is>
      </c>
      <c r="AO240" s="686" t="n"/>
      <c r="AP240" s="687" t="n"/>
      <c r="AQ240" s="688" t="n"/>
      <c r="AR240" s="688" t="n"/>
      <c r="AS240" s="23" t="n"/>
      <c r="AT240" s="688" t="n"/>
    </row>
    <row r="241" ht="50.55" customHeight="1" s="392">
      <c r="A241" s="672">
        <f>IF(AF241="ENGAGE","✔",IF(AF241="EN COURS D'ENGAGEMENT","◕",IF(AF241="PREENGAGE","◑",IF(AF241="EN COURS DE PREENGAGEMENT","◔",IF(AF241="NON ENGAGE","✖","")))))</f>
        <v/>
      </c>
      <c r="B241" s="673" t="n">
        <v>2026</v>
      </c>
      <c r="C241" s="674" t="inlineStr">
        <is>
          <t>ASSADISSA</t>
        </is>
      </c>
      <c r="D241" s="674" t="inlineStr">
        <is>
          <t>PV N° : 02RC2025-DPPCCRTV</t>
        </is>
      </c>
      <c r="E241" s="675" t="inlineStr">
        <is>
          <t>CONTRAT</t>
        </is>
      </c>
      <c r="F241" s="675" t="n"/>
      <c r="G241" s="676" t="inlineStr">
        <is>
          <t>BOULAAMANE ABDELKAMEL  -  Membre de la commission scientifique chargée de l’écoute, du visionnage et de la validation du contenu des émissions coraniques RD et TV</t>
        </is>
      </c>
      <c r="H241" s="673" t="inlineStr">
        <is>
          <t>VALIDE</t>
        </is>
      </c>
      <c r="I241" s="675" t="inlineStr">
        <is>
          <t>APPROUVE</t>
        </is>
      </c>
      <c r="J241" s="675" t="n"/>
      <c r="K241" s="673" t="inlineStr">
        <is>
          <t>NON CONCERNE</t>
        </is>
      </c>
      <c r="L241" s="675" t="inlineStr">
        <is>
          <t>Ordinaire</t>
        </is>
      </c>
      <c r="M241" s="677" t="inlineStr">
        <is>
          <t>FONCTIONNEMENT</t>
        </is>
      </c>
      <c r="N241" s="678" t="inlineStr">
        <is>
          <t xml:space="preserve">Prestations de service
Achat prestations de services locales - personnes physiques </t>
        </is>
      </c>
      <c r="O241" s="679" t="n"/>
      <c r="P241" s="680" t="n"/>
      <c r="Q241" s="680" t="n"/>
      <c r="R241" s="675" t="inlineStr">
        <is>
          <t>RECONDUCTION</t>
        </is>
      </c>
      <c r="S241" s="681" t="n"/>
      <c r="T241" s="682" t="n"/>
      <c r="U241" s="683" t="inlineStr">
        <is>
          <t>BOULAAMANE ABDELKAMEL</t>
        </is>
      </c>
      <c r="V241" s="675" t="n">
        <v>2026</v>
      </c>
      <c r="W241" s="682" t="n">
        <v>46387</v>
      </c>
      <c r="X241" s="682" t="n"/>
      <c r="Y241" s="682" t="n">
        <v>46024</v>
      </c>
      <c r="Z241" s="679" t="n">
        <v>51600</v>
      </c>
      <c r="AA241" s="680" t="n"/>
      <c r="AB241" s="680">
        <f>Z241</f>
        <v/>
      </c>
      <c r="AC241" s="680" t="n"/>
      <c r="AD241" s="680">
        <f>Z241</f>
        <v/>
      </c>
      <c r="AE241" s="680">
        <f>AB241</f>
        <v/>
      </c>
      <c r="AF241" s="684" t="inlineStr">
        <is>
          <t>ENGAGE</t>
        </is>
      </c>
      <c r="AG241" s="683" t="n"/>
      <c r="AH241" s="680" t="n"/>
      <c r="AI241" s="680" t="n"/>
      <c r="AJ241" s="680" t="n"/>
      <c r="AK241" s="680" t="n"/>
      <c r="AL241" s="685" t="n"/>
      <c r="AM241" s="685" t="n"/>
      <c r="AN241" s="683" t="inlineStr">
        <is>
          <t>Manque n° contrat</t>
        </is>
      </c>
      <c r="AO241" s="686" t="n"/>
      <c r="AP241" s="687" t="n"/>
      <c r="AQ241" s="688" t="n"/>
      <c r="AR241" s="688" t="n"/>
      <c r="AS241" s="23" t="n"/>
      <c r="AT241" s="688" t="n"/>
    </row>
    <row r="242" ht="50.55" customHeight="1" s="392">
      <c r="A242" s="672">
        <f>IF(AF242="ENGAGE","✔",IF(AF242="EN COURS D'ENGAGEMENT","◕",IF(AF242="PREENGAGE","◑",IF(AF242="EN COURS DE PREENGAGEMENT","◔",IF(AF242="NON ENGAGE","✖","")))))</f>
        <v/>
      </c>
      <c r="B242" s="673" t="n">
        <v>2026</v>
      </c>
      <c r="C242" s="674" t="inlineStr">
        <is>
          <t>ASSADISSA</t>
        </is>
      </c>
      <c r="D242" s="674" t="inlineStr">
        <is>
          <t>PV N° : 02RC2025-DPPCCRTV</t>
        </is>
      </c>
      <c r="E242" s="675" t="inlineStr">
        <is>
          <t>CONTRAT</t>
        </is>
      </c>
      <c r="F242" s="675" t="n"/>
      <c r="G242" s="676" t="inlineStr">
        <is>
          <t>EL BAHJA MOUSSA  -  Membre de la commission scientifique chargée de l’écoute, du visionnage et de la validation du contenu des émissions coraniques RD et TV</t>
        </is>
      </c>
      <c r="H242" s="673" t="inlineStr">
        <is>
          <t>VALIDE</t>
        </is>
      </c>
      <c r="I242" s="675" t="inlineStr">
        <is>
          <t>APPROUVE</t>
        </is>
      </c>
      <c r="J242" s="675" t="n"/>
      <c r="K242" s="673" t="inlineStr">
        <is>
          <t>NON CONCERNE</t>
        </is>
      </c>
      <c r="L242" s="675" t="inlineStr">
        <is>
          <t>Ordinaire</t>
        </is>
      </c>
      <c r="M242" s="677" t="inlineStr">
        <is>
          <t>FONCTIONNEMENT</t>
        </is>
      </c>
      <c r="N242" s="678" t="inlineStr">
        <is>
          <t xml:space="preserve">Prestations de service
Achat prestations de services locales - personnes physiques </t>
        </is>
      </c>
      <c r="O242" s="679" t="n"/>
      <c r="P242" s="680" t="n"/>
      <c r="Q242" s="680" t="n"/>
      <c r="R242" s="675" t="inlineStr">
        <is>
          <t>RECONDUCTION</t>
        </is>
      </c>
      <c r="S242" s="681" t="n"/>
      <c r="T242" s="682" t="n"/>
      <c r="U242" s="683" t="inlineStr">
        <is>
          <t>EL BAHJA MOUSSA</t>
        </is>
      </c>
      <c r="V242" s="675" t="n">
        <v>2026</v>
      </c>
      <c r="W242" s="682" t="n">
        <v>46387</v>
      </c>
      <c r="X242" s="682" t="n"/>
      <c r="Y242" s="682" t="n">
        <v>46024</v>
      </c>
      <c r="Z242" s="679" t="n">
        <v>51600</v>
      </c>
      <c r="AA242" s="680" t="n"/>
      <c r="AB242" s="680">
        <f>Z242</f>
        <v/>
      </c>
      <c r="AC242" s="680" t="n"/>
      <c r="AD242" s="680">
        <f>Z242</f>
        <v/>
      </c>
      <c r="AE242" s="680">
        <f>AB242</f>
        <v/>
      </c>
      <c r="AF242" s="684" t="inlineStr">
        <is>
          <t>ENGAGE</t>
        </is>
      </c>
      <c r="AG242" s="683" t="n"/>
      <c r="AH242" s="680" t="n"/>
      <c r="AI242" s="680" t="n"/>
      <c r="AJ242" s="680" t="n"/>
      <c r="AK242" s="680" t="n"/>
      <c r="AL242" s="685" t="n"/>
      <c r="AM242" s="685" t="n"/>
      <c r="AN242" s="683" t="inlineStr">
        <is>
          <t>Manque n° contrat</t>
        </is>
      </c>
      <c r="AO242" s="686" t="n"/>
      <c r="AP242" s="687" t="n"/>
      <c r="AQ242" s="688" t="n"/>
      <c r="AR242" s="688" t="n"/>
      <c r="AS242" s="23" t="n"/>
      <c r="AT242" s="688" t="n"/>
    </row>
    <row r="243" ht="50.55" customHeight="1" s="392">
      <c r="A243" s="672">
        <f>IF(AF243="ENGAGE","✔",IF(AF243="EN COURS D'ENGAGEMENT","◕",IF(AF243="PREENGAGE","◑",IF(AF243="EN COURS DE PREENGAGEMENT","◔",IF(AF243="NON ENGAGE","✖","")))))</f>
        <v/>
      </c>
      <c r="B243" s="673" t="n">
        <v>2026</v>
      </c>
      <c r="C243" s="674" t="inlineStr">
        <is>
          <t>ASSADISSA</t>
        </is>
      </c>
      <c r="D243" s="674" t="inlineStr">
        <is>
          <t>PV N° : 02RC2025-DPPCCRTV</t>
        </is>
      </c>
      <c r="E243" s="675" t="inlineStr">
        <is>
          <t>CONTRAT</t>
        </is>
      </c>
      <c r="F243" s="675" t="n"/>
      <c r="G243" s="676" t="inlineStr">
        <is>
          <t>AZZOUZI HASSANE  -  Membre de la commission scientifique chargée de l’écoute, du visionnage et de la validation du contenu des émissions coraniques RD et TV</t>
        </is>
      </c>
      <c r="H243" s="673" t="inlineStr">
        <is>
          <t>VALIDE</t>
        </is>
      </c>
      <c r="I243" s="675" t="inlineStr">
        <is>
          <t>APPROUVE</t>
        </is>
      </c>
      <c r="J243" s="675" t="n"/>
      <c r="K243" s="673" t="inlineStr">
        <is>
          <t>NON CONCERNE</t>
        </is>
      </c>
      <c r="L243" s="675" t="inlineStr">
        <is>
          <t>Ordinaire</t>
        </is>
      </c>
      <c r="M243" s="677" t="inlineStr">
        <is>
          <t>FONCTIONNEMENT</t>
        </is>
      </c>
      <c r="N243" s="678" t="inlineStr">
        <is>
          <t xml:space="preserve">Prestations de service
Achat prestations de services locales - personnes physiques </t>
        </is>
      </c>
      <c r="O243" s="679" t="n"/>
      <c r="P243" s="680" t="n"/>
      <c r="Q243" s="680" t="n"/>
      <c r="R243" s="675" t="inlineStr">
        <is>
          <t>RECONDUCTION</t>
        </is>
      </c>
      <c r="S243" s="681" t="n"/>
      <c r="T243" s="682" t="n"/>
      <c r="U243" s="683" t="inlineStr">
        <is>
          <t>AZZOUZI HASSANE</t>
        </is>
      </c>
      <c r="V243" s="675" t="n">
        <v>2026</v>
      </c>
      <c r="W243" s="682" t="n">
        <v>46387</v>
      </c>
      <c r="X243" s="682" t="n"/>
      <c r="Y243" s="682" t="n">
        <v>46024</v>
      </c>
      <c r="Z243" s="679" t="n">
        <v>51600</v>
      </c>
      <c r="AA243" s="680" t="n"/>
      <c r="AB243" s="680">
        <f>Z243</f>
        <v/>
      </c>
      <c r="AC243" s="680" t="n"/>
      <c r="AD243" s="680">
        <f>Z243</f>
        <v/>
      </c>
      <c r="AE243" s="680">
        <f>AB243</f>
        <v/>
      </c>
      <c r="AF243" s="684" t="inlineStr">
        <is>
          <t>ENGAGE</t>
        </is>
      </c>
      <c r="AG243" s="683" t="n"/>
      <c r="AH243" s="680" t="n"/>
      <c r="AI243" s="680" t="n"/>
      <c r="AJ243" s="680" t="n"/>
      <c r="AK243" s="680" t="n"/>
      <c r="AL243" s="685" t="n"/>
      <c r="AM243" s="685" t="n"/>
      <c r="AN243" s="683" t="inlineStr">
        <is>
          <t>Manque n° contrat</t>
        </is>
      </c>
      <c r="AO243" s="686" t="n"/>
      <c r="AP243" s="687" t="n"/>
      <c r="AQ243" s="688" t="n"/>
      <c r="AR243" s="688" t="n"/>
      <c r="AS243" s="23" t="n"/>
      <c r="AT243" s="688" t="n"/>
    </row>
    <row r="244" ht="50.55" customHeight="1" s="392">
      <c r="A244" s="672">
        <f>IF(AF244="ENGAGE","✔",IF(AF244="EN COURS D'ENGAGEMENT","◕",IF(AF244="PREENGAGE","◑",IF(AF244="EN COURS DE PREENGAGEMENT","◔",IF(AF244="NON ENGAGE","✖","")))))</f>
        <v/>
      </c>
      <c r="B244" s="673" t="n">
        <v>2026</v>
      </c>
      <c r="C244" s="674" t="inlineStr">
        <is>
          <t>ASSADISSA</t>
        </is>
      </c>
      <c r="D244" s="674" t="inlineStr">
        <is>
          <t>PV N° : 02RC2025-DPPCCRTV</t>
        </is>
      </c>
      <c r="E244" s="675" t="inlineStr">
        <is>
          <t>CONTRAT</t>
        </is>
      </c>
      <c r="F244" s="675" t="n"/>
      <c r="G244" s="676" t="inlineStr">
        <is>
          <t>LAYACHI QABBOUSSI  -  PAD RD et TV : Membre de la commission scientifique chargée de l’écoute, du visionnage des émissions coraniques RD et TV</t>
        </is>
      </c>
      <c r="H244" s="673" t="inlineStr">
        <is>
          <t>VALIDE</t>
        </is>
      </c>
      <c r="I244" s="675" t="inlineStr">
        <is>
          <t>APPROUVE</t>
        </is>
      </c>
      <c r="J244" s="675" t="n"/>
      <c r="K244" s="673" t="inlineStr">
        <is>
          <t>NON CONCERNE</t>
        </is>
      </c>
      <c r="L244" s="675" t="inlineStr">
        <is>
          <t>Ordinaire</t>
        </is>
      </c>
      <c r="M244" s="677" t="inlineStr">
        <is>
          <t>FONCTIONNEMENT</t>
        </is>
      </c>
      <c r="N244" s="678" t="inlineStr">
        <is>
          <t xml:space="preserve">Prestations de service
Achat prestations de services locales - personnes physiques </t>
        </is>
      </c>
      <c r="O244" s="679" t="n"/>
      <c r="P244" s="680" t="n"/>
      <c r="Q244" s="680" t="n"/>
      <c r="R244" s="675" t="inlineStr">
        <is>
          <t>RECONDUCTION</t>
        </is>
      </c>
      <c r="S244" s="681" t="n"/>
      <c r="T244" s="682" t="n"/>
      <c r="U244" s="683" t="inlineStr">
        <is>
          <t>LAYACHI QABBOUSSI</t>
        </is>
      </c>
      <c r="V244" s="675" t="n">
        <v>2026</v>
      </c>
      <c r="W244" s="682" t="n">
        <v>46387</v>
      </c>
      <c r="X244" s="682" t="n"/>
      <c r="Y244" s="682" t="n">
        <v>46024</v>
      </c>
      <c r="Z244" s="679" t="n">
        <v>51600</v>
      </c>
      <c r="AA244" s="680" t="n"/>
      <c r="AB244" s="680">
        <f>Z244</f>
        <v/>
      </c>
      <c r="AC244" s="680" t="n"/>
      <c r="AD244" s="680">
        <f>Z244</f>
        <v/>
      </c>
      <c r="AE244" s="680">
        <f>AB244</f>
        <v/>
      </c>
      <c r="AF244" s="684" t="inlineStr">
        <is>
          <t>ENGAGE</t>
        </is>
      </c>
      <c r="AG244" s="683" t="n"/>
      <c r="AH244" s="680" t="n"/>
      <c r="AI244" s="680" t="n"/>
      <c r="AJ244" s="680" t="n"/>
      <c r="AK244" s="680" t="n"/>
      <c r="AL244" s="685" t="n"/>
      <c r="AM244" s="685" t="n"/>
      <c r="AN244" s="683" t="inlineStr">
        <is>
          <t>Manque n° contrat</t>
        </is>
      </c>
      <c r="AO244" s="686" t="n"/>
      <c r="AP244" s="687" t="n"/>
      <c r="AQ244" s="688" t="n"/>
      <c r="AR244" s="688" t="n"/>
      <c r="AS244" s="23" t="n"/>
      <c r="AT244" s="688" t="n"/>
    </row>
    <row r="245" ht="50.55" customHeight="1" s="392">
      <c r="A245" s="672">
        <f>IF(AF245="ENGAGE","✔",IF(AF245="EN COURS D'ENGAGEMENT","◕",IF(AF245="PREENGAGE","◑",IF(AF245="EN COURS DE PREENGAGEMENT","◔",IF(AF245="NON ENGAGE","✖","")))))</f>
        <v/>
      </c>
      <c r="B245" s="673" t="n">
        <v>2026</v>
      </c>
      <c r="C245" s="674" t="inlineStr">
        <is>
          <t>ASSADISSA</t>
        </is>
      </c>
      <c r="D245" s="674" t="inlineStr">
        <is>
          <t>PV N° : 02RC2025-DPPCCRTV</t>
        </is>
      </c>
      <c r="E245" s="675" t="inlineStr">
        <is>
          <t>CONTRAT</t>
        </is>
      </c>
      <c r="F245" s="675" t="n"/>
      <c r="G245" s="676" t="inlineStr">
        <is>
          <t>AMZIL ALI ABDELJALIL  -  PAD RD et TV : Membre de la commission scientifique chargée de l’écoute, du visionnage des émissions coraniques RD et TV</t>
        </is>
      </c>
      <c r="H245" s="673" t="inlineStr">
        <is>
          <t>VALIDE</t>
        </is>
      </c>
      <c r="I245" s="675" t="inlineStr">
        <is>
          <t>APPROUVE</t>
        </is>
      </c>
      <c r="J245" s="675" t="n"/>
      <c r="K245" s="673" t="inlineStr">
        <is>
          <t>NON CONCERNE</t>
        </is>
      </c>
      <c r="L245" s="675" t="inlineStr">
        <is>
          <t>Ordinaire</t>
        </is>
      </c>
      <c r="M245" s="677" t="inlineStr">
        <is>
          <t>FONCTIONNEMENT</t>
        </is>
      </c>
      <c r="N245" s="678" t="inlineStr">
        <is>
          <t xml:space="preserve">Prestations de service
Achat prestations de services locales - personnes physiques </t>
        </is>
      </c>
      <c r="O245" s="679" t="n"/>
      <c r="P245" s="680" t="n"/>
      <c r="Q245" s="680" t="n"/>
      <c r="R245" s="675" t="inlineStr">
        <is>
          <t>RECONDUCTION</t>
        </is>
      </c>
      <c r="S245" s="681" t="n"/>
      <c r="T245" s="682" t="n"/>
      <c r="U245" s="683" t="inlineStr">
        <is>
          <t>AMZIL ALI ABDELJALIL</t>
        </is>
      </c>
      <c r="V245" s="675" t="n">
        <v>2026</v>
      </c>
      <c r="W245" s="682" t="n">
        <v>46387</v>
      </c>
      <c r="X245" s="682" t="n"/>
      <c r="Y245" s="682" t="n">
        <v>46024</v>
      </c>
      <c r="Z245" s="679" t="n">
        <v>51600</v>
      </c>
      <c r="AA245" s="680" t="n"/>
      <c r="AB245" s="680">
        <f>Z245</f>
        <v/>
      </c>
      <c r="AC245" s="680" t="n"/>
      <c r="AD245" s="680">
        <f>Z245</f>
        <v/>
      </c>
      <c r="AE245" s="680">
        <f>AB245</f>
        <v/>
      </c>
      <c r="AF245" s="684" t="inlineStr">
        <is>
          <t>ENGAGE</t>
        </is>
      </c>
      <c r="AG245" s="683" t="n"/>
      <c r="AH245" s="680" t="n"/>
      <c r="AI245" s="680" t="n"/>
      <c r="AJ245" s="680" t="n"/>
      <c r="AK245" s="680" t="n"/>
      <c r="AL245" s="685" t="n"/>
      <c r="AM245" s="685" t="n"/>
      <c r="AN245" s="683" t="inlineStr">
        <is>
          <t>Manque n° contrat</t>
        </is>
      </c>
      <c r="AO245" s="686" t="n"/>
      <c r="AP245" s="687" t="n"/>
      <c r="AQ245" s="688" t="n"/>
      <c r="AR245" s="688" t="n"/>
      <c r="AS245" s="23" t="n"/>
      <c r="AT245" s="688" t="n"/>
    </row>
    <row r="246" ht="50.55" customHeight="1" s="392">
      <c r="A246" s="672">
        <f>IF(AF246="ENGAGE","✔",IF(AF246="EN COURS D'ENGAGEMENT","◕",IF(AF246="PREENGAGE","◑",IF(AF246="EN COURS DE PREENGAGEMENT","◔",IF(AF246="NON ENGAGE","✖","")))))</f>
        <v/>
      </c>
      <c r="B246" s="673" t="n">
        <v>2026</v>
      </c>
      <c r="C246" s="674" t="inlineStr">
        <is>
          <t>ASSADISSA</t>
        </is>
      </c>
      <c r="D246" s="674" t="inlineStr">
        <is>
          <t>PV N° : 02RC2025-DPPCCRTV</t>
        </is>
      </c>
      <c r="E246" s="675" t="inlineStr">
        <is>
          <t>CONTRAT</t>
        </is>
      </c>
      <c r="F246" s="675" t="n"/>
      <c r="G246" s="676" t="inlineStr">
        <is>
          <t>ENNACIRI YOUSSEF  -  PAD RD et TV : Membre de la commission scientifique chargée de l’écoute, du visionnage des émissions coraniques RD et TV</t>
        </is>
      </c>
      <c r="H246" s="673" t="inlineStr">
        <is>
          <t>VALIDE</t>
        </is>
      </c>
      <c r="I246" s="675" t="inlineStr">
        <is>
          <t>APPROUVE</t>
        </is>
      </c>
      <c r="J246" s="675" t="n"/>
      <c r="K246" s="673" t="inlineStr">
        <is>
          <t>NON CONCERNE</t>
        </is>
      </c>
      <c r="L246" s="675" t="inlineStr">
        <is>
          <t>Ordinaire</t>
        </is>
      </c>
      <c r="M246" s="677" t="inlineStr">
        <is>
          <t>FONCTIONNEMENT</t>
        </is>
      </c>
      <c r="N246" s="678" t="inlineStr">
        <is>
          <t xml:space="preserve">Prestations de service
Achat prestations de services locales - personnes physiques </t>
        </is>
      </c>
      <c r="O246" s="679" t="n"/>
      <c r="P246" s="680" t="n"/>
      <c r="Q246" s="680" t="n"/>
      <c r="R246" s="675" t="inlineStr">
        <is>
          <t>RECONDUCTION</t>
        </is>
      </c>
      <c r="S246" s="681" t="n"/>
      <c r="T246" s="682" t="n"/>
      <c r="U246" s="683" t="inlineStr">
        <is>
          <t>ENNACIRI YOUSSEF</t>
        </is>
      </c>
      <c r="V246" s="675" t="n">
        <v>2026</v>
      </c>
      <c r="W246" s="682" t="n">
        <v>46387</v>
      </c>
      <c r="X246" s="682" t="n"/>
      <c r="Y246" s="682" t="n">
        <v>46024</v>
      </c>
      <c r="Z246" s="679" t="n">
        <v>51600</v>
      </c>
      <c r="AA246" s="680" t="n"/>
      <c r="AB246" s="680">
        <f>Z246</f>
        <v/>
      </c>
      <c r="AC246" s="680" t="n"/>
      <c r="AD246" s="680">
        <f>Z246</f>
        <v/>
      </c>
      <c r="AE246" s="680">
        <f>AB246</f>
        <v/>
      </c>
      <c r="AF246" s="684" t="inlineStr">
        <is>
          <t>ENGAGE</t>
        </is>
      </c>
      <c r="AG246" s="683" t="n"/>
      <c r="AH246" s="680" t="n"/>
      <c r="AI246" s="680" t="n"/>
      <c r="AJ246" s="680" t="n"/>
      <c r="AK246" s="680" t="n"/>
      <c r="AL246" s="685" t="n"/>
      <c r="AM246" s="685" t="n"/>
      <c r="AN246" s="683" t="inlineStr">
        <is>
          <t>Manque n° contrat</t>
        </is>
      </c>
      <c r="AO246" s="686" t="n"/>
      <c r="AP246" s="687" t="n"/>
      <c r="AQ246" s="688" t="n"/>
      <c r="AR246" s="688" t="n"/>
      <c r="AS246" s="23" t="n"/>
      <c r="AT246" s="688" t="n"/>
    </row>
    <row r="247" ht="50.55" customHeight="1" s="392">
      <c r="A247" s="672">
        <f>IF(AF247="ENGAGE","✔",IF(AF247="EN COURS D'ENGAGEMENT","◕",IF(AF247="PREENGAGE","◑",IF(AF247="EN COURS DE PREENGAGEMENT","◔",IF(AF247="NON ENGAGE","✖","")))))</f>
        <v/>
      </c>
      <c r="B247" s="673" t="n">
        <v>2026</v>
      </c>
      <c r="C247" s="674" t="inlineStr">
        <is>
          <t>ASSADISSA</t>
        </is>
      </c>
      <c r="D247" s="674" t="inlineStr">
        <is>
          <t>PV N° : 02RC2025-DPPCCRTV</t>
        </is>
      </c>
      <c r="E247" s="675" t="inlineStr">
        <is>
          <t>CONTRAT</t>
        </is>
      </c>
      <c r="F247" s="675" t="n"/>
      <c r="G247" s="676" t="inlineStr">
        <is>
          <t>TAYEB AIT OUGHORI  -  PAD RD et TV : Membre de la commission scientifique chargée de l’écoute, du visionnage des émissions coraniques RD et TV</t>
        </is>
      </c>
      <c r="H247" s="673" t="inlineStr">
        <is>
          <t>VALIDE</t>
        </is>
      </c>
      <c r="I247" s="675" t="inlineStr">
        <is>
          <t>APPROUVE</t>
        </is>
      </c>
      <c r="J247" s="675" t="n"/>
      <c r="K247" s="673" t="inlineStr">
        <is>
          <t>NON CONCERNE</t>
        </is>
      </c>
      <c r="L247" s="675" t="inlineStr">
        <is>
          <t>Ordinaire</t>
        </is>
      </c>
      <c r="M247" s="677" t="inlineStr">
        <is>
          <t>FONCTIONNEMENT</t>
        </is>
      </c>
      <c r="N247" s="678" t="inlineStr">
        <is>
          <t xml:space="preserve">Prestations de service
Achat prestations de services locales - personnes physiques </t>
        </is>
      </c>
      <c r="O247" s="679" t="n"/>
      <c r="P247" s="680" t="n"/>
      <c r="Q247" s="680" t="n"/>
      <c r="R247" s="675" t="inlineStr">
        <is>
          <t>RECONDUCTION</t>
        </is>
      </c>
      <c r="S247" s="681" t="n"/>
      <c r="T247" s="682" t="n"/>
      <c r="U247" s="683" t="inlineStr">
        <is>
          <t>TAYEB AIT OUGHOR</t>
        </is>
      </c>
      <c r="V247" s="675" t="n">
        <v>2026</v>
      </c>
      <c r="W247" s="682" t="n">
        <v>46387</v>
      </c>
      <c r="X247" s="682" t="n"/>
      <c r="Y247" s="682" t="n">
        <v>46024</v>
      </c>
      <c r="Z247" s="679" t="n">
        <v>51600</v>
      </c>
      <c r="AA247" s="680" t="n"/>
      <c r="AB247" s="680">
        <f>Z247</f>
        <v/>
      </c>
      <c r="AC247" s="680" t="n"/>
      <c r="AD247" s="680">
        <f>Z247</f>
        <v/>
      </c>
      <c r="AE247" s="680">
        <f>AB247</f>
        <v/>
      </c>
      <c r="AF247" s="684" t="inlineStr">
        <is>
          <t>ENGAGE</t>
        </is>
      </c>
      <c r="AG247" s="683" t="n"/>
      <c r="AH247" s="680" t="n"/>
      <c r="AI247" s="680" t="n"/>
      <c r="AJ247" s="680" t="n"/>
      <c r="AK247" s="680" t="n"/>
      <c r="AL247" s="685" t="n"/>
      <c r="AM247" s="685" t="n"/>
      <c r="AN247" s="683" t="inlineStr">
        <is>
          <t>Manque n° contrat</t>
        </is>
      </c>
      <c r="AO247" s="686" t="n"/>
      <c r="AP247" s="687" t="n"/>
      <c r="AQ247" s="688" t="n"/>
      <c r="AR247" s="688" t="n"/>
      <c r="AS247" s="23" t="n"/>
      <c r="AT247" s="688" t="n"/>
    </row>
    <row r="248" ht="50.55" customHeight="1" s="392">
      <c r="A248" s="672">
        <f>IF(AF248="ENGAGE","✔",IF(AF248="EN COURS D'ENGAGEMENT","◕",IF(AF248="PREENGAGE","◑",IF(AF248="EN COURS DE PREENGAGEMENT","◔",IF(AF248="NON ENGAGE","✖","")))))</f>
        <v/>
      </c>
      <c r="B248" s="673" t="n">
        <v>2026</v>
      </c>
      <c r="C248" s="674" t="inlineStr">
        <is>
          <t>ASSADISSA</t>
        </is>
      </c>
      <c r="D248" s="674" t="inlineStr">
        <is>
          <t>PV N° : 02RC2025-DPPCCRTV</t>
        </is>
      </c>
      <c r="E248" s="675" t="inlineStr">
        <is>
          <t>CONTRAT</t>
        </is>
      </c>
      <c r="F248" s="675" t="n"/>
      <c r="G248" s="676" t="inlineStr">
        <is>
          <t>HICHAM EL HLIMI  -  PAD RD et TV : Membre de la commission scientifique chargée de l’écoute, du visionnage des émissions coraniques RD et TV</t>
        </is>
      </c>
      <c r="H248" s="673" t="inlineStr">
        <is>
          <t>VALIDE</t>
        </is>
      </c>
      <c r="I248" s="675" t="inlineStr">
        <is>
          <t>APPROUVE</t>
        </is>
      </c>
      <c r="J248" s="675" t="n"/>
      <c r="K248" s="673" t="inlineStr">
        <is>
          <t>NON CONCERNE</t>
        </is>
      </c>
      <c r="L248" s="675" t="inlineStr">
        <is>
          <t>Ordinaire</t>
        </is>
      </c>
      <c r="M248" s="677" t="inlineStr">
        <is>
          <t>FONCTIONNEMENT</t>
        </is>
      </c>
      <c r="N248" s="678" t="inlineStr">
        <is>
          <t xml:space="preserve">Prestations de service
Achat prestations de services locales - personnes physiques </t>
        </is>
      </c>
      <c r="O248" s="679" t="n"/>
      <c r="P248" s="680" t="n"/>
      <c r="Q248" s="680" t="n"/>
      <c r="R248" s="675" t="inlineStr">
        <is>
          <t>RECONDUCTION</t>
        </is>
      </c>
      <c r="S248" s="681" t="n"/>
      <c r="T248" s="682" t="n"/>
      <c r="U248" s="683" t="inlineStr">
        <is>
          <t>HICHAM EL HLIMI</t>
        </is>
      </c>
      <c r="V248" s="675" t="n">
        <v>2026</v>
      </c>
      <c r="W248" s="682" t="n">
        <v>46387</v>
      </c>
      <c r="X248" s="682" t="n"/>
      <c r="Y248" s="682" t="n">
        <v>46024</v>
      </c>
      <c r="Z248" s="679" t="n">
        <v>51600</v>
      </c>
      <c r="AA248" s="680" t="n"/>
      <c r="AB248" s="680">
        <f>Z248</f>
        <v/>
      </c>
      <c r="AC248" s="680" t="n"/>
      <c r="AD248" s="680">
        <f>Z248</f>
        <v/>
      </c>
      <c r="AE248" s="680">
        <f>AB248</f>
        <v/>
      </c>
      <c r="AF248" s="684" t="inlineStr">
        <is>
          <t>ENGAGE</t>
        </is>
      </c>
      <c r="AG248" s="683" t="n"/>
      <c r="AH248" s="680" t="n"/>
      <c r="AI248" s="680" t="n"/>
      <c r="AJ248" s="680" t="n"/>
      <c r="AK248" s="680" t="n"/>
      <c r="AL248" s="685" t="n"/>
      <c r="AM248" s="685" t="n"/>
      <c r="AN248" s="683" t="inlineStr">
        <is>
          <t>Manque n° contrat</t>
        </is>
      </c>
      <c r="AO248" s="686" t="n"/>
      <c r="AP248" s="687" t="n"/>
      <c r="AQ248" s="688" t="n"/>
      <c r="AR248" s="688" t="n"/>
      <c r="AS248" s="23" t="n"/>
      <c r="AT248" s="688" t="n"/>
    </row>
    <row r="249" ht="50.55" customHeight="1" s="392">
      <c r="A249" s="672">
        <f>IF(AF249="ENGAGE","✔",IF(AF249="EN COURS D'ENGAGEMENT","◕",IF(AF249="PREENGAGE","◑",IF(AF249="EN COURS DE PREENGAGEMENT","◔",IF(AF249="NON ENGAGE","✖","")))))</f>
        <v/>
      </c>
      <c r="B249" s="673" t="n">
        <v>2026</v>
      </c>
      <c r="C249" s="674" t="inlineStr">
        <is>
          <t>ASSADISSA</t>
        </is>
      </c>
      <c r="D249" s="674" t="inlineStr">
        <is>
          <t>PV N° : 02RC2025-DPPCCRTV</t>
        </is>
      </c>
      <c r="E249" s="675" t="inlineStr">
        <is>
          <t>CONTRAT</t>
        </is>
      </c>
      <c r="F249" s="675" t="n"/>
      <c r="G249" s="676" t="inlineStr">
        <is>
          <t>EL ASRI HAFSAE  -  PAD RD et TV : Membre de la commission scientifique chargée de l’écoute, du visionnage des émissions coraniques RD et TV</t>
        </is>
      </c>
      <c r="H249" s="673" t="inlineStr">
        <is>
          <t>VALIDE</t>
        </is>
      </c>
      <c r="I249" s="675" t="inlineStr">
        <is>
          <t>APPROUVE</t>
        </is>
      </c>
      <c r="J249" s="675" t="n"/>
      <c r="K249" s="673" t="inlineStr">
        <is>
          <t>NON CONCERNE</t>
        </is>
      </c>
      <c r="L249" s="675" t="inlineStr">
        <is>
          <t>Ordinaire</t>
        </is>
      </c>
      <c r="M249" s="677" t="inlineStr">
        <is>
          <t>FONCTIONNEMENT</t>
        </is>
      </c>
      <c r="N249" s="678" t="inlineStr">
        <is>
          <t xml:space="preserve">Prestations de service
Achat prestations de services locales - personnes physiques </t>
        </is>
      </c>
      <c r="O249" s="679" t="n"/>
      <c r="P249" s="680" t="n"/>
      <c r="Q249" s="680" t="n"/>
      <c r="R249" s="675" t="inlineStr">
        <is>
          <t>RECONDUCTION</t>
        </is>
      </c>
      <c r="S249" s="681" t="n"/>
      <c r="T249" s="682" t="n"/>
      <c r="U249" s="683" t="inlineStr">
        <is>
          <t>EL ASRI HAFSAE</t>
        </is>
      </c>
      <c r="V249" s="675" t="n">
        <v>2026</v>
      </c>
      <c r="W249" s="682" t="n">
        <v>46387</v>
      </c>
      <c r="X249" s="682" t="n"/>
      <c r="Y249" s="682" t="n">
        <v>46024</v>
      </c>
      <c r="Z249" s="679" t="n">
        <v>51600</v>
      </c>
      <c r="AA249" s="680" t="n"/>
      <c r="AB249" s="680">
        <f>Z249</f>
        <v/>
      </c>
      <c r="AC249" s="680" t="n"/>
      <c r="AD249" s="680">
        <f>Z249</f>
        <v/>
      </c>
      <c r="AE249" s="680">
        <f>AB249</f>
        <v/>
      </c>
      <c r="AF249" s="684" t="inlineStr">
        <is>
          <t>ENGAGE</t>
        </is>
      </c>
      <c r="AG249" s="683" t="n"/>
      <c r="AH249" s="680" t="n"/>
      <c r="AI249" s="680" t="n"/>
      <c r="AJ249" s="680" t="n"/>
      <c r="AK249" s="680" t="n"/>
      <c r="AL249" s="685" t="n"/>
      <c r="AM249" s="685" t="n"/>
      <c r="AN249" s="683" t="inlineStr">
        <is>
          <t>Manque n° contrat</t>
        </is>
      </c>
      <c r="AO249" s="686" t="n"/>
      <c r="AP249" s="687" t="n"/>
      <c r="AQ249" s="688" t="n"/>
      <c r="AR249" s="688" t="n"/>
      <c r="AS249" s="23" t="n"/>
      <c r="AT249" s="688" t="n"/>
    </row>
    <row r="250" ht="50.55" customHeight="1" s="392">
      <c r="A250" s="672">
        <f>IF(AF250="ENGAGE","✔",IF(AF250="EN COURS D'ENGAGEMENT","◕",IF(AF250="PREENGAGE","◑",IF(AF250="EN COURS DE PREENGAGEMENT","◔",IF(AF250="NON ENGAGE","✖","")))))</f>
        <v/>
      </c>
      <c r="B250" s="673" t="n">
        <v>2026</v>
      </c>
      <c r="C250" s="674" t="inlineStr">
        <is>
          <t>ASSADISSA</t>
        </is>
      </c>
      <c r="D250" s="674" t="inlineStr">
        <is>
          <t>PV N° : 02RC2025-DPPCCRTV</t>
        </is>
      </c>
      <c r="E250" s="675" t="inlineStr">
        <is>
          <t>CONTRAT</t>
        </is>
      </c>
      <c r="F250" s="675" t="n"/>
      <c r="G250" s="676" t="inlineStr">
        <is>
          <t>AHMED BENMAHANE  -  PAD RD et TV : Membre de la commission scientifique chargée de l’écoute, du visionnage des lectures et des émissions coraniques RD et TV</t>
        </is>
      </c>
      <c r="H250" s="673" t="inlineStr">
        <is>
          <t>VALIDE</t>
        </is>
      </c>
      <c r="I250" s="675" t="inlineStr">
        <is>
          <t>APPROUVE</t>
        </is>
      </c>
      <c r="J250" s="675" t="n"/>
      <c r="K250" s="673" t="inlineStr">
        <is>
          <t>NON CONCERNE</t>
        </is>
      </c>
      <c r="L250" s="675" t="inlineStr">
        <is>
          <t>Ordinaire</t>
        </is>
      </c>
      <c r="M250" s="677" t="inlineStr">
        <is>
          <t>FONCTIONNEMENT</t>
        </is>
      </c>
      <c r="N250" s="678" t="inlineStr">
        <is>
          <t xml:space="preserve">Prestations de service
Achat prestations de services locales - personnes physiques </t>
        </is>
      </c>
      <c r="O250" s="679" t="n"/>
      <c r="P250" s="680" t="n"/>
      <c r="Q250" s="680" t="n"/>
      <c r="R250" s="675" t="inlineStr">
        <is>
          <t>RECONDUCTION</t>
        </is>
      </c>
      <c r="S250" s="681" t="n"/>
      <c r="T250" s="682" t="n"/>
      <c r="U250" s="683" t="inlineStr">
        <is>
          <t xml:space="preserve">AHMED BENMAHANE </t>
        </is>
      </c>
      <c r="V250" s="675" t="n">
        <v>2026</v>
      </c>
      <c r="W250" s="682" t="n">
        <v>46387</v>
      </c>
      <c r="X250" s="682" t="n"/>
      <c r="Y250" s="682" t="n">
        <v>46024</v>
      </c>
      <c r="Z250" s="679" t="n">
        <v>51600</v>
      </c>
      <c r="AA250" s="680" t="n"/>
      <c r="AB250" s="680">
        <f>Z250</f>
        <v/>
      </c>
      <c r="AC250" s="680" t="n"/>
      <c r="AD250" s="680">
        <f>Z250</f>
        <v/>
      </c>
      <c r="AE250" s="680">
        <f>AB250</f>
        <v/>
      </c>
      <c r="AF250" s="684" t="inlineStr">
        <is>
          <t>ENGAGE</t>
        </is>
      </c>
      <c r="AG250" s="683" t="n"/>
      <c r="AH250" s="680" t="n"/>
      <c r="AI250" s="680" t="n"/>
      <c r="AJ250" s="680" t="n"/>
      <c r="AK250" s="680" t="n"/>
      <c r="AL250" s="685" t="n"/>
      <c r="AM250" s="685" t="n"/>
      <c r="AN250" s="683" t="inlineStr">
        <is>
          <t>Manque n° contrat</t>
        </is>
      </c>
      <c r="AO250" s="686" t="n"/>
      <c r="AP250" s="687" t="n"/>
      <c r="AQ250" s="688" t="n"/>
      <c r="AR250" s="688" t="n"/>
      <c r="AS250" s="23" t="n"/>
      <c r="AT250" s="688" t="n"/>
    </row>
    <row r="251" ht="50.55" customHeight="1" s="392">
      <c r="A251" s="672">
        <f>IF(AF251="ENGAGE","✔",IF(AF251="EN COURS D'ENGAGEMENT","◕",IF(AF251="PREENGAGE","◑",IF(AF251="EN COURS DE PREENGAGEMENT","◔",IF(AF251="NON ENGAGE","✖","")))))</f>
        <v/>
      </c>
      <c r="B251" s="673" t="n">
        <v>2026</v>
      </c>
      <c r="C251" s="674" t="inlineStr">
        <is>
          <t>ASSADISSA</t>
        </is>
      </c>
      <c r="D251" s="674" t="inlineStr">
        <is>
          <t>PV N° : 02RC2025-DPPCCRTV</t>
        </is>
      </c>
      <c r="E251" s="675" t="inlineStr">
        <is>
          <t>CONTRAT</t>
        </is>
      </c>
      <c r="F251" s="675" t="n"/>
      <c r="G251" s="676" t="inlineStr">
        <is>
          <t>EL BOUKHARI MOHAMED  -  PAD RD et TV : Membre de la commission scientifique chargée de l’écoute, du visionnage des lectures et des émissions coraniques RD et TV</t>
        </is>
      </c>
      <c r="H251" s="673" t="inlineStr">
        <is>
          <t>VALIDE</t>
        </is>
      </c>
      <c r="I251" s="675" t="inlineStr">
        <is>
          <t>APPROUVE</t>
        </is>
      </c>
      <c r="J251" s="675" t="n"/>
      <c r="K251" s="673" t="inlineStr">
        <is>
          <t>NON CONCERNE</t>
        </is>
      </c>
      <c r="L251" s="675" t="inlineStr">
        <is>
          <t>Ordinaire</t>
        </is>
      </c>
      <c r="M251" s="677" t="inlineStr">
        <is>
          <t>FONCTIONNEMENT</t>
        </is>
      </c>
      <c r="N251" s="678" t="inlineStr">
        <is>
          <t xml:space="preserve">Prestations de service
Achat prestations de services locales - personnes physiques </t>
        </is>
      </c>
      <c r="O251" s="679" t="n"/>
      <c r="P251" s="680" t="n"/>
      <c r="Q251" s="680" t="n"/>
      <c r="R251" s="675" t="inlineStr">
        <is>
          <t>RECONDUCTION</t>
        </is>
      </c>
      <c r="S251" s="681" t="n"/>
      <c r="T251" s="682" t="n"/>
      <c r="U251" s="683" t="inlineStr">
        <is>
          <t>EL BOUKHARI MOHAMED</t>
        </is>
      </c>
      <c r="V251" s="675" t="n">
        <v>2026</v>
      </c>
      <c r="W251" s="682" t="n">
        <v>46387</v>
      </c>
      <c r="X251" s="682" t="n"/>
      <c r="Y251" s="682" t="n">
        <v>46024</v>
      </c>
      <c r="Z251" s="679" t="n">
        <v>51600</v>
      </c>
      <c r="AA251" s="680" t="n"/>
      <c r="AB251" s="680">
        <f>Z251</f>
        <v/>
      </c>
      <c r="AC251" s="680" t="n"/>
      <c r="AD251" s="680">
        <f>Z251</f>
        <v/>
      </c>
      <c r="AE251" s="680">
        <f>AB251</f>
        <v/>
      </c>
      <c r="AF251" s="684" t="inlineStr">
        <is>
          <t>ENGAGE</t>
        </is>
      </c>
      <c r="AG251" s="683" t="n"/>
      <c r="AH251" s="680" t="n"/>
      <c r="AI251" s="680" t="n"/>
      <c r="AJ251" s="680" t="n"/>
      <c r="AK251" s="680" t="n"/>
      <c r="AL251" s="685" t="n"/>
      <c r="AM251" s="685" t="n"/>
      <c r="AN251" s="683" t="inlineStr">
        <is>
          <t>Manque n° contrat</t>
        </is>
      </c>
      <c r="AO251" s="686" t="n"/>
      <c r="AP251" s="687" t="n"/>
      <c r="AQ251" s="688" t="n"/>
      <c r="AR251" s="688" t="n"/>
      <c r="AS251" s="23" t="n"/>
      <c r="AT251" s="688" t="n"/>
    </row>
    <row r="252" ht="50.55" customHeight="1" s="392">
      <c r="A252" s="672">
        <f>IF(AF252="ENGAGE","✔",IF(AF252="EN COURS D'ENGAGEMENT","◕",IF(AF252="PREENGAGE","◑",IF(AF252="EN COURS DE PREENGAGEMENT","◔",IF(AF252="NON ENGAGE","✖","")))))</f>
        <v/>
      </c>
      <c r="B252" s="673" t="n">
        <v>2026</v>
      </c>
      <c r="C252" s="674" t="inlineStr">
        <is>
          <t>ASSADISSA</t>
        </is>
      </c>
      <c r="D252" s="674" t="inlineStr">
        <is>
          <t>PV N° : 02RC2025-DPPCCRTV</t>
        </is>
      </c>
      <c r="E252" s="675" t="inlineStr">
        <is>
          <t>CONTRAT</t>
        </is>
      </c>
      <c r="F252" s="675" t="n"/>
      <c r="G252" s="676" t="inlineStr">
        <is>
          <t>ABDELKRIM EL BAKI ALLAH  -  PAD RD et TV : Membre de la commission scientifique chargée de l’écoute, du visionnage des lectures et des émissions coraniques RD et TV</t>
        </is>
      </c>
      <c r="H252" s="673" t="inlineStr">
        <is>
          <t>VALIDE</t>
        </is>
      </c>
      <c r="I252" s="675" t="inlineStr">
        <is>
          <t>APPROUVE</t>
        </is>
      </c>
      <c r="J252" s="675" t="n"/>
      <c r="K252" s="673" t="inlineStr">
        <is>
          <t>NON CONCERNE</t>
        </is>
      </c>
      <c r="L252" s="675" t="inlineStr">
        <is>
          <t>Ordinaire</t>
        </is>
      </c>
      <c r="M252" s="677" t="inlineStr">
        <is>
          <t>FONCTIONNEMENT</t>
        </is>
      </c>
      <c r="N252" s="678" t="inlineStr">
        <is>
          <t xml:space="preserve">Prestations de service
Achat prestations de services locales - personnes physiques </t>
        </is>
      </c>
      <c r="O252" s="679" t="n"/>
      <c r="P252" s="680" t="n"/>
      <c r="Q252" s="680" t="n"/>
      <c r="R252" s="675" t="inlineStr">
        <is>
          <t>RECONDUCTION</t>
        </is>
      </c>
      <c r="S252" s="681" t="n"/>
      <c r="T252" s="682" t="n"/>
      <c r="U252" s="683" t="inlineStr">
        <is>
          <t>ABDELKRIM EL BAKI ALLAH</t>
        </is>
      </c>
      <c r="V252" s="675" t="n">
        <v>2026</v>
      </c>
      <c r="W252" s="682" t="n">
        <v>46387</v>
      </c>
      <c r="X252" s="682" t="n"/>
      <c r="Y252" s="682" t="n">
        <v>46024</v>
      </c>
      <c r="Z252" s="679" t="n">
        <v>51600</v>
      </c>
      <c r="AA252" s="680" t="n"/>
      <c r="AB252" s="680">
        <f>Z252</f>
        <v/>
      </c>
      <c r="AC252" s="680" t="n"/>
      <c r="AD252" s="680">
        <f>Z252</f>
        <v/>
      </c>
      <c r="AE252" s="680">
        <f>AB252</f>
        <v/>
      </c>
      <c r="AF252" s="684" t="inlineStr">
        <is>
          <t>ENGAGE</t>
        </is>
      </c>
      <c r="AG252" s="683" t="n"/>
      <c r="AH252" s="680" t="n"/>
      <c r="AI252" s="680" t="n"/>
      <c r="AJ252" s="680" t="n"/>
      <c r="AK252" s="680" t="n"/>
      <c r="AL252" s="685" t="n"/>
      <c r="AM252" s="685" t="n"/>
      <c r="AN252" s="683" t="inlineStr">
        <is>
          <t>Manque n° contrat</t>
        </is>
      </c>
      <c r="AO252" s="686" t="n"/>
      <c r="AP252" s="687" t="n"/>
      <c r="AQ252" s="688" t="n"/>
      <c r="AR252" s="688" t="n"/>
      <c r="AS252" s="23" t="n"/>
      <c r="AT252" s="688" t="n"/>
    </row>
    <row r="253" ht="46.5" customHeight="1" s="392">
      <c r="A253" s="672">
        <f>IF(AF253="ENGAGE","✔",IF(AF253="EN COURS D'ENGAGEMENT","◕",IF(AF253="PREENGAGE","◑",IF(AF253="EN COURS DE PREENGAGEMENT","◔",IF(AF253="NON ENGAGE","✖","")))))</f>
        <v/>
      </c>
      <c r="B253" s="673" t="n">
        <v>2026</v>
      </c>
      <c r="C253" s="674" t="inlineStr">
        <is>
          <t>DTSI</t>
        </is>
      </c>
      <c r="D253" s="674" t="inlineStr">
        <is>
          <t>PV N° : 02RC2025- DCT</t>
        </is>
      </c>
      <c r="E253" s="675" t="inlineStr">
        <is>
          <t>CONTRAT</t>
        </is>
      </c>
      <c r="F253" s="675" t="n"/>
      <c r="G253" s="676" t="inlineStr">
        <is>
          <t>RIH AMAL  -  Preneur de vue</t>
        </is>
      </c>
      <c r="H253" s="673" t="inlineStr">
        <is>
          <t>VALIDE</t>
        </is>
      </c>
      <c r="I253" s="675" t="inlineStr">
        <is>
          <t>APPROUVE</t>
        </is>
      </c>
      <c r="J253" s="675" t="n"/>
      <c r="K253" s="673" t="inlineStr">
        <is>
          <t>NON CONCERNE</t>
        </is>
      </c>
      <c r="L253" s="675" t="inlineStr">
        <is>
          <t>Ordinaire</t>
        </is>
      </c>
      <c r="M253" s="677" t="inlineStr">
        <is>
          <t>FONCTIONNEMENT</t>
        </is>
      </c>
      <c r="N253" s="678" t="inlineStr">
        <is>
          <t xml:space="preserve">Prestations de service
Achat prestations de services locales - personnes physiques </t>
        </is>
      </c>
      <c r="O253" s="679" t="n"/>
      <c r="P253" s="680" t="n"/>
      <c r="Q253" s="680" t="n"/>
      <c r="R253" s="675" t="inlineStr">
        <is>
          <t>RECONDUCTION</t>
        </is>
      </c>
      <c r="S253" s="681" t="n"/>
      <c r="T253" s="682" t="n"/>
      <c r="U253" s="683" t="inlineStr">
        <is>
          <t>RIH AMA</t>
        </is>
      </c>
      <c r="V253" s="675" t="n">
        <v>2026</v>
      </c>
      <c r="W253" s="682" t="n">
        <v>46387</v>
      </c>
      <c r="X253" s="682" t="n"/>
      <c r="Y253" s="682" t="n">
        <v>46024</v>
      </c>
      <c r="Z253" s="679" t="n">
        <v>148800</v>
      </c>
      <c r="AA253" s="680" t="n"/>
      <c r="AB253" s="680">
        <f>Z253</f>
        <v/>
      </c>
      <c r="AC253" s="680" t="n"/>
      <c r="AD253" s="680">
        <f>Z253</f>
        <v/>
      </c>
      <c r="AE253" s="680">
        <f>AB253</f>
        <v/>
      </c>
      <c r="AF253" s="684" t="inlineStr">
        <is>
          <t>ENGAGE</t>
        </is>
      </c>
      <c r="AG253" s="683" t="n"/>
      <c r="AH253" s="680" t="n"/>
      <c r="AI253" s="680" t="n"/>
      <c r="AJ253" s="680" t="n"/>
      <c r="AK253" s="680" t="n"/>
      <c r="AL253" s="685" t="n"/>
      <c r="AM253" s="685" t="n"/>
      <c r="AN253" s="683" t="inlineStr">
        <is>
          <t>Manque n° contrat</t>
        </is>
      </c>
      <c r="AO253" s="686" t="n"/>
      <c r="AP253" s="687" t="n"/>
      <c r="AQ253" s="688" t="n"/>
      <c r="AR253" s="688" t="n"/>
      <c r="AS253" s="23" t="n"/>
      <c r="AT253" s="688" t="n"/>
    </row>
    <row r="254" ht="46.5" customHeight="1" s="392">
      <c r="A254" s="672">
        <f>IF(AF254="ENGAGE","✔",IF(AF254="EN COURS D'ENGAGEMENT","◕",IF(AF254="PREENGAGE","◑",IF(AF254="EN COURS DE PREENGAGEMENT","◔",IF(AF254="NON ENGAGE","✖","")))))</f>
        <v/>
      </c>
      <c r="B254" s="673" t="n">
        <v>2026</v>
      </c>
      <c r="C254" s="674" t="inlineStr">
        <is>
          <t>DTSI</t>
        </is>
      </c>
      <c r="D254" s="674" t="inlineStr">
        <is>
          <t>PV N° : 02RC2025- DCT</t>
        </is>
      </c>
      <c r="E254" s="675" t="inlineStr">
        <is>
          <t>CONTRAT</t>
        </is>
      </c>
      <c r="F254" s="675" t="n"/>
      <c r="G254" s="676" t="inlineStr">
        <is>
          <t>ABDERRAZZAK MOUZAHIM  -  Preneur de vue</t>
        </is>
      </c>
      <c r="H254" s="673" t="inlineStr">
        <is>
          <t>VALIDE</t>
        </is>
      </c>
      <c r="I254" s="675" t="inlineStr">
        <is>
          <t>APPROUVE</t>
        </is>
      </c>
      <c r="J254" s="675" t="n"/>
      <c r="K254" s="673" t="inlineStr">
        <is>
          <t>NON CONCERNE</t>
        </is>
      </c>
      <c r="L254" s="675" t="inlineStr">
        <is>
          <t>Ordinaire</t>
        </is>
      </c>
      <c r="M254" s="677" t="inlineStr">
        <is>
          <t>FONCTIONNEMENT</t>
        </is>
      </c>
      <c r="N254" s="678" t="inlineStr">
        <is>
          <t xml:space="preserve">Prestations de service
Achat prestations de services locales - personnes physiques </t>
        </is>
      </c>
      <c r="O254" s="679" t="n"/>
      <c r="P254" s="680" t="n"/>
      <c r="Q254" s="680" t="n"/>
      <c r="R254" s="675" t="inlineStr">
        <is>
          <t>RECONDUCTION</t>
        </is>
      </c>
      <c r="S254" s="681" t="n"/>
      <c r="T254" s="682" t="n"/>
      <c r="U254" s="683" t="inlineStr">
        <is>
          <t>ABDERRAZZAK MOUZAHIM</t>
        </is>
      </c>
      <c r="V254" s="675" t="n">
        <v>2026</v>
      </c>
      <c r="W254" s="682" t="n">
        <v>46387</v>
      </c>
      <c r="X254" s="682" t="n"/>
      <c r="Y254" s="682" t="n">
        <v>46024</v>
      </c>
      <c r="Z254" s="679" t="n">
        <v>148800</v>
      </c>
      <c r="AA254" s="680" t="n"/>
      <c r="AB254" s="680">
        <f>Z254</f>
        <v/>
      </c>
      <c r="AC254" s="680" t="n"/>
      <c r="AD254" s="680">
        <f>Z254</f>
        <v/>
      </c>
      <c r="AE254" s="680">
        <f>AB254</f>
        <v/>
      </c>
      <c r="AF254" s="684" t="inlineStr">
        <is>
          <t>ENGAGE</t>
        </is>
      </c>
      <c r="AG254" s="683" t="n"/>
      <c r="AH254" s="680" t="n"/>
      <c r="AI254" s="680" t="n"/>
      <c r="AJ254" s="680" t="n"/>
      <c r="AK254" s="680" t="n"/>
      <c r="AL254" s="685" t="n"/>
      <c r="AM254" s="685" t="n"/>
      <c r="AN254" s="683" t="inlineStr">
        <is>
          <t>Manque n° contrat</t>
        </is>
      </c>
      <c r="AO254" s="686" t="n"/>
      <c r="AP254" s="687" t="n"/>
      <c r="AQ254" s="688" t="n"/>
      <c r="AR254" s="688" t="n"/>
      <c r="AS254" s="23" t="n"/>
      <c r="AT254" s="688" t="n"/>
    </row>
    <row r="255" ht="46.5" customHeight="1" s="392">
      <c r="A255" s="672">
        <f>IF(AF255="ENGAGE","✔",IF(AF255="EN COURS D'ENGAGEMENT","◕",IF(AF255="PREENGAGE","◑",IF(AF255="EN COURS DE PREENGAGEMENT","◔",IF(AF255="NON ENGAGE","✖","")))))</f>
        <v/>
      </c>
      <c r="B255" s="673" t="n">
        <v>2026</v>
      </c>
      <c r="C255" s="674" t="inlineStr">
        <is>
          <t>DTSI</t>
        </is>
      </c>
      <c r="D255" s="674" t="inlineStr">
        <is>
          <t>PV N° : 02RC2025- DCT</t>
        </is>
      </c>
      <c r="E255" s="675" t="inlineStr">
        <is>
          <t>CONTRAT</t>
        </is>
      </c>
      <c r="F255" s="675" t="n"/>
      <c r="G255" s="676" t="inlineStr">
        <is>
          <t>AMRENSS YOUSSEF  -  Assistant cameraman</t>
        </is>
      </c>
      <c r="H255" s="673" t="inlineStr">
        <is>
          <t>VALIDE</t>
        </is>
      </c>
      <c r="I255" s="675" t="inlineStr">
        <is>
          <t>APPROUVE</t>
        </is>
      </c>
      <c r="J255" s="675" t="n"/>
      <c r="K255" s="673" t="inlineStr">
        <is>
          <t>NON CONCERNE</t>
        </is>
      </c>
      <c r="L255" s="675" t="inlineStr">
        <is>
          <t>Ordinaire</t>
        </is>
      </c>
      <c r="M255" s="677" t="inlineStr">
        <is>
          <t>FONCTIONNEMENT</t>
        </is>
      </c>
      <c r="N255" s="678" t="inlineStr">
        <is>
          <t xml:space="preserve">Prestations de service
Achat prestations de services locales - personnes physiques </t>
        </is>
      </c>
      <c r="O255" s="679" t="n"/>
      <c r="P255" s="680" t="n"/>
      <c r="Q255" s="680" t="n"/>
      <c r="R255" s="675" t="inlineStr">
        <is>
          <t>RECONDUCTION</t>
        </is>
      </c>
      <c r="S255" s="681" t="n"/>
      <c r="T255" s="682" t="n"/>
      <c r="U255" s="683" t="inlineStr">
        <is>
          <t>AMRENSS YOUSSEF</t>
        </is>
      </c>
      <c r="V255" s="675" t="n">
        <v>2026</v>
      </c>
      <c r="W255" s="682" t="n">
        <v>46387</v>
      </c>
      <c r="X255" s="682" t="n"/>
      <c r="Y255" s="682" t="n">
        <v>46024</v>
      </c>
      <c r="Z255" s="679" t="n">
        <v>96000</v>
      </c>
      <c r="AA255" s="680" t="n"/>
      <c r="AB255" s="680">
        <f>Z255</f>
        <v/>
      </c>
      <c r="AC255" s="680" t="n"/>
      <c r="AD255" s="680">
        <f>Z255</f>
        <v/>
      </c>
      <c r="AE255" s="680">
        <f>AB255</f>
        <v/>
      </c>
      <c r="AF255" s="684" t="inlineStr">
        <is>
          <t>ENGAGE</t>
        </is>
      </c>
      <c r="AG255" s="683" t="n"/>
      <c r="AH255" s="680" t="n"/>
      <c r="AI255" s="680" t="n"/>
      <c r="AJ255" s="680" t="n"/>
      <c r="AK255" s="680" t="n"/>
      <c r="AL255" s="685" t="n"/>
      <c r="AM255" s="685" t="n"/>
      <c r="AN255" s="683" t="inlineStr">
        <is>
          <t>Manque n° contrat</t>
        </is>
      </c>
      <c r="AO255" s="686" t="n"/>
      <c r="AP255" s="687" t="n"/>
      <c r="AQ255" s="688" t="n"/>
      <c r="AR255" s="688" t="n"/>
      <c r="AS255" s="23" t="n"/>
      <c r="AT255" s="688" t="n"/>
    </row>
    <row r="256" ht="46.5" customHeight="1" s="392">
      <c r="A256" s="672">
        <f>IF(AF256="ENGAGE","✔",IF(AF256="EN COURS D'ENGAGEMENT","◕",IF(AF256="PREENGAGE","◑",IF(AF256="EN COURS DE PREENGAGEMENT","◔",IF(AF256="NON ENGAGE","✖","")))))</f>
        <v/>
      </c>
      <c r="B256" s="673" t="n">
        <v>2026</v>
      </c>
      <c r="C256" s="674" t="inlineStr">
        <is>
          <t>DTSI</t>
        </is>
      </c>
      <c r="D256" s="674" t="inlineStr">
        <is>
          <t>PV N° : 02RC2025- DCT</t>
        </is>
      </c>
      <c r="E256" s="675" t="inlineStr">
        <is>
          <t>CONTRAT</t>
        </is>
      </c>
      <c r="F256" s="675" t="n"/>
      <c r="G256" s="676" t="inlineStr">
        <is>
          <t>ISMAIL MESKINE  -  Assistant cameraman</t>
        </is>
      </c>
      <c r="H256" s="673" t="inlineStr">
        <is>
          <t>VALIDE</t>
        </is>
      </c>
      <c r="I256" s="675" t="inlineStr">
        <is>
          <t>ANNULE</t>
        </is>
      </c>
      <c r="J256" s="675" t="n"/>
      <c r="K256" s="673" t="inlineStr">
        <is>
          <t>NON CONCERNE</t>
        </is>
      </c>
      <c r="L256" s="675" t="inlineStr">
        <is>
          <t>Ordinaire</t>
        </is>
      </c>
      <c r="M256" s="677" t="inlineStr">
        <is>
          <t>FONCTIONNEMENT</t>
        </is>
      </c>
      <c r="N256" s="678" t="inlineStr">
        <is>
          <t xml:space="preserve">Prestations de service
Achat prestations de services locales - personnes physiques </t>
        </is>
      </c>
      <c r="O256" s="679" t="n"/>
      <c r="P256" s="680" t="n"/>
      <c r="Q256" s="680" t="n"/>
      <c r="R256" s="675" t="inlineStr">
        <is>
          <t>RECONDUCTION</t>
        </is>
      </c>
      <c r="S256" s="681" t="n"/>
      <c r="T256" s="682" t="n"/>
      <c r="U256" s="683" t="inlineStr">
        <is>
          <t>ISMAIL MESKINE</t>
        </is>
      </c>
      <c r="V256" s="675" t="n">
        <v>2026</v>
      </c>
      <c r="W256" s="682" t="n">
        <v>46387</v>
      </c>
      <c r="X256" s="682" t="n"/>
      <c r="Y256" s="682" t="n">
        <v>46024</v>
      </c>
      <c r="Z256" s="679" t="n">
        <v>96000</v>
      </c>
      <c r="AA256" s="680" t="n"/>
      <c r="AB256" s="680">
        <f>Z256</f>
        <v/>
      </c>
      <c r="AC256" s="680" t="n"/>
      <c r="AD256" s="680">
        <f>Z256</f>
        <v/>
      </c>
      <c r="AE256" s="680">
        <f>AB256</f>
        <v/>
      </c>
      <c r="AF256" s="684" t="inlineStr">
        <is>
          <t>NON ENGAGE</t>
        </is>
      </c>
      <c r="AG256" s="683" t="n"/>
      <c r="AH256" s="680" t="n"/>
      <c r="AI256" s="680" t="n"/>
      <c r="AJ256" s="680" t="n"/>
      <c r="AK256" s="680" t="n"/>
      <c r="AL256" s="685" t="n"/>
      <c r="AM256" s="685" t="n"/>
      <c r="AN256" s="683" t="inlineStr">
        <is>
          <t>Manque n° contrat</t>
        </is>
      </c>
      <c r="AO256" s="686" t="n"/>
      <c r="AP256" s="687" t="n"/>
      <c r="AQ256" s="688" t="n"/>
      <c r="AR256" s="688" t="n"/>
      <c r="AS256" s="23" t="n"/>
      <c r="AT256" s="688" t="n"/>
    </row>
    <row r="257" ht="46.5" customHeight="1" s="392">
      <c r="A257" s="672">
        <f>IF(AF257="ENGAGE","✔",IF(AF257="EN COURS D'ENGAGEMENT","◕",IF(AF257="PREENGAGE","◑",IF(AF257="EN COURS DE PREENGAGEMENT","◔",IF(AF257="NON ENGAGE","✖","")))))</f>
        <v/>
      </c>
      <c r="B257" s="673" t="n">
        <v>2026</v>
      </c>
      <c r="C257" s="674" t="inlineStr">
        <is>
          <t>DTSI</t>
        </is>
      </c>
      <c r="D257" s="674" t="inlineStr">
        <is>
          <t>PV N° : 02RC2025- DCT</t>
        </is>
      </c>
      <c r="E257" s="675" t="inlineStr">
        <is>
          <t>CONTRAT</t>
        </is>
      </c>
      <c r="F257" s="675" t="n"/>
      <c r="G257" s="676" t="inlineStr">
        <is>
          <t>YAHYA SKAF  -  Assistant cameraman</t>
        </is>
      </c>
      <c r="H257" s="673" t="inlineStr">
        <is>
          <t>VALIDE</t>
        </is>
      </c>
      <c r="I257" s="675" t="inlineStr">
        <is>
          <t>APPROUVE</t>
        </is>
      </c>
      <c r="J257" s="675" t="n"/>
      <c r="K257" s="673" t="inlineStr">
        <is>
          <t>NON CONCERNE</t>
        </is>
      </c>
      <c r="L257" s="675" t="inlineStr">
        <is>
          <t>Ordinaire</t>
        </is>
      </c>
      <c r="M257" s="677" t="inlineStr">
        <is>
          <t>FONCTIONNEMENT</t>
        </is>
      </c>
      <c r="N257" s="678" t="inlineStr">
        <is>
          <t xml:space="preserve">Prestations de service
Achat prestations de services locales - personnes physiques </t>
        </is>
      </c>
      <c r="O257" s="679" t="n"/>
      <c r="P257" s="680" t="n"/>
      <c r="Q257" s="680" t="n"/>
      <c r="R257" s="675" t="inlineStr">
        <is>
          <t>RECONDUCTION</t>
        </is>
      </c>
      <c r="S257" s="681" t="n"/>
      <c r="T257" s="682" t="n"/>
      <c r="U257" s="683" t="inlineStr">
        <is>
          <t xml:space="preserve">YAHYA SKAF </t>
        </is>
      </c>
      <c r="V257" s="675" t="n">
        <v>2026</v>
      </c>
      <c r="W257" s="682" t="n">
        <v>46387</v>
      </c>
      <c r="X257" s="682" t="n"/>
      <c r="Y257" s="682" t="n">
        <v>46024</v>
      </c>
      <c r="Z257" s="679" t="n">
        <v>96000</v>
      </c>
      <c r="AA257" s="680" t="n"/>
      <c r="AB257" s="680">
        <f>Z257</f>
        <v/>
      </c>
      <c r="AC257" s="680" t="n"/>
      <c r="AD257" s="680">
        <f>Z257</f>
        <v/>
      </c>
      <c r="AE257" s="680">
        <f>AB257</f>
        <v/>
      </c>
      <c r="AF257" s="684" t="inlineStr">
        <is>
          <t>ENGAGE</t>
        </is>
      </c>
      <c r="AG257" s="683" t="n"/>
      <c r="AH257" s="680" t="n"/>
      <c r="AI257" s="680" t="n"/>
      <c r="AJ257" s="680" t="n"/>
      <c r="AK257" s="680" t="n"/>
      <c r="AL257" s="685" t="n"/>
      <c r="AM257" s="685" t="n"/>
      <c r="AN257" s="683" t="inlineStr">
        <is>
          <t>Manque n° contrat</t>
        </is>
      </c>
      <c r="AO257" s="686" t="n"/>
      <c r="AP257" s="687" t="n"/>
      <c r="AQ257" s="688" t="n"/>
      <c r="AR257" s="688" t="n"/>
      <c r="AS257" s="23" t="n"/>
      <c r="AT257" s="688" t="n"/>
    </row>
    <row r="258" ht="46.5" customHeight="1" s="392">
      <c r="A258" s="672">
        <f>IF(AF258="ENGAGE","✔",IF(AF258="EN COURS D'ENGAGEMENT","◕",IF(AF258="PREENGAGE","◑",IF(AF258="EN COURS DE PREENGAGEMENT","◔",IF(AF258="NON ENGAGE","✖","")))))</f>
        <v/>
      </c>
      <c r="B258" s="673" t="n">
        <v>2026</v>
      </c>
      <c r="C258" s="674" t="inlineStr">
        <is>
          <t>DTSI</t>
        </is>
      </c>
      <c r="D258" s="674" t="inlineStr">
        <is>
          <t>PV N° : 02RC2025- DCT</t>
        </is>
      </c>
      <c r="E258" s="675" t="inlineStr">
        <is>
          <t>CONTRAT</t>
        </is>
      </c>
      <c r="F258" s="675" t="n"/>
      <c r="G258" s="676" t="inlineStr">
        <is>
          <t>KABBAJ ZOUHEIR  -  Assistant cameraman</t>
        </is>
      </c>
      <c r="H258" s="673" t="inlineStr">
        <is>
          <t>VALIDE</t>
        </is>
      </c>
      <c r="I258" s="675" t="inlineStr">
        <is>
          <t>APPROUVE</t>
        </is>
      </c>
      <c r="J258" s="675" t="n"/>
      <c r="K258" s="673" t="inlineStr">
        <is>
          <t>NON CONCERNE</t>
        </is>
      </c>
      <c r="L258" s="675" t="inlineStr">
        <is>
          <t>Ordinaire</t>
        </is>
      </c>
      <c r="M258" s="677" t="inlineStr">
        <is>
          <t>FONCTIONNEMENT</t>
        </is>
      </c>
      <c r="N258" s="678" t="inlineStr">
        <is>
          <t xml:space="preserve">Prestations de service
Achat prestations de services locales - personnes physiques </t>
        </is>
      </c>
      <c r="O258" s="679" t="n"/>
      <c r="P258" s="680" t="n"/>
      <c r="Q258" s="680" t="n"/>
      <c r="R258" s="675" t="inlineStr">
        <is>
          <t>RECONDUCTION</t>
        </is>
      </c>
      <c r="S258" s="681" t="n"/>
      <c r="T258" s="682" t="n"/>
      <c r="U258" s="683" t="inlineStr">
        <is>
          <t>KABBAJ ZOUHEIR</t>
        </is>
      </c>
      <c r="V258" s="675" t="n">
        <v>2026</v>
      </c>
      <c r="W258" s="682" t="n">
        <v>46387</v>
      </c>
      <c r="X258" s="682" t="n"/>
      <c r="Y258" s="682" t="n">
        <v>46024</v>
      </c>
      <c r="Z258" s="679" t="n">
        <v>96000</v>
      </c>
      <c r="AA258" s="680" t="n"/>
      <c r="AB258" s="680">
        <f>Z258</f>
        <v/>
      </c>
      <c r="AC258" s="680" t="n"/>
      <c r="AD258" s="680">
        <f>Z258</f>
        <v/>
      </c>
      <c r="AE258" s="680">
        <f>AB258</f>
        <v/>
      </c>
      <c r="AF258" s="684" t="inlineStr">
        <is>
          <t>ENGAGE</t>
        </is>
      </c>
      <c r="AG258" s="683" t="n"/>
      <c r="AH258" s="680" t="n"/>
      <c r="AI258" s="680" t="n"/>
      <c r="AJ258" s="680" t="n"/>
      <c r="AK258" s="680" t="n"/>
      <c r="AL258" s="685" t="n"/>
      <c r="AM258" s="685" t="n"/>
      <c r="AN258" s="683" t="inlineStr">
        <is>
          <t>Manque n° contrat</t>
        </is>
      </c>
      <c r="AO258" s="686" t="n"/>
      <c r="AP258" s="687" t="n"/>
      <c r="AQ258" s="688" t="n"/>
      <c r="AR258" s="688" t="n"/>
      <c r="AS258" s="23" t="n"/>
      <c r="AT258" s="688" t="n"/>
    </row>
    <row r="259" ht="46.5" customHeight="1" s="392">
      <c r="A259" s="672">
        <f>IF(AF259="ENGAGE","✔",IF(AF259="EN COURS D'ENGAGEMENT","◕",IF(AF259="PREENGAGE","◑",IF(AF259="EN COURS DE PREENGAGEMENT","◔",IF(AF259="NON ENGAGE","✖","")))))</f>
        <v/>
      </c>
      <c r="B259" s="673" t="n">
        <v>2026</v>
      </c>
      <c r="C259" s="674" t="inlineStr">
        <is>
          <t>DTSI</t>
        </is>
      </c>
      <c r="D259" s="674" t="inlineStr">
        <is>
          <t>PV N° : 02RC2025- DCT</t>
        </is>
      </c>
      <c r="E259" s="675" t="inlineStr">
        <is>
          <t>CONTRAT</t>
        </is>
      </c>
      <c r="F259" s="675" t="n"/>
      <c r="G259" s="676" t="inlineStr">
        <is>
          <t>M'RABETT AYOUB  -  Assistant cameraman</t>
        </is>
      </c>
      <c r="H259" s="673" t="inlineStr">
        <is>
          <t>VALIDE</t>
        </is>
      </c>
      <c r="I259" s="675" t="inlineStr">
        <is>
          <t>APPROUVE</t>
        </is>
      </c>
      <c r="J259" s="675" t="n"/>
      <c r="K259" s="673" t="inlineStr">
        <is>
          <t>NON CONCERNE</t>
        </is>
      </c>
      <c r="L259" s="675" t="inlineStr">
        <is>
          <t>Ordinaire</t>
        </is>
      </c>
      <c r="M259" s="677" t="inlineStr">
        <is>
          <t>FONCTIONNEMENT</t>
        </is>
      </c>
      <c r="N259" s="678" t="inlineStr">
        <is>
          <t xml:space="preserve">Prestations de service
Achat prestations de services locales - personnes physiques </t>
        </is>
      </c>
      <c r="O259" s="679" t="n"/>
      <c r="P259" s="680" t="n"/>
      <c r="Q259" s="680" t="n"/>
      <c r="R259" s="675" t="inlineStr">
        <is>
          <t>RECONDUCTION</t>
        </is>
      </c>
      <c r="S259" s="681" t="n"/>
      <c r="T259" s="682" t="n"/>
      <c r="U259" s="683" t="inlineStr">
        <is>
          <t>M'RABETT AYOUB</t>
        </is>
      </c>
      <c r="V259" s="675" t="n">
        <v>2026</v>
      </c>
      <c r="W259" s="682" t="n">
        <v>46387</v>
      </c>
      <c r="X259" s="682" t="n"/>
      <c r="Y259" s="682" t="n">
        <v>46024</v>
      </c>
      <c r="Z259" s="679" t="n">
        <v>96000</v>
      </c>
      <c r="AA259" s="680" t="n"/>
      <c r="AB259" s="680">
        <f>Z259</f>
        <v/>
      </c>
      <c r="AC259" s="680" t="n"/>
      <c r="AD259" s="680">
        <f>Z259</f>
        <v/>
      </c>
      <c r="AE259" s="680">
        <f>AB259</f>
        <v/>
      </c>
      <c r="AF259" s="684" t="inlineStr">
        <is>
          <t>ENGAGE</t>
        </is>
      </c>
      <c r="AG259" s="683" t="n"/>
      <c r="AH259" s="680" t="n"/>
      <c r="AI259" s="680" t="n"/>
      <c r="AJ259" s="680" t="n"/>
      <c r="AK259" s="680" t="n"/>
      <c r="AL259" s="685" t="n"/>
      <c r="AM259" s="685" t="n"/>
      <c r="AN259" s="683" t="inlineStr">
        <is>
          <t>Manque n° contrat</t>
        </is>
      </c>
      <c r="AO259" s="686" t="n"/>
      <c r="AP259" s="687" t="n"/>
      <c r="AQ259" s="688" t="n"/>
      <c r="AR259" s="688" t="n"/>
      <c r="AS259" s="23" t="n"/>
      <c r="AT259" s="688" t="n"/>
    </row>
    <row r="260" ht="60" customHeight="1" s="392">
      <c r="A260" s="672">
        <f>IF(AF260="ENGAGE","✔",IF(AF260="EN COURS D'ENGAGEMENT","◕",IF(AF260="PREENGAGE","◑",IF(AF260="EN COURS DE PREENGAGEMENT","◔",IF(AF260="NON ENGAGE","✖","")))))</f>
        <v/>
      </c>
      <c r="B260" s="673" t="n">
        <v>2026</v>
      </c>
      <c r="C260" s="674" t="inlineStr">
        <is>
          <t>ASSADISSA</t>
        </is>
      </c>
      <c r="D260" s="674" t="inlineStr">
        <is>
          <t>PV N° : 03RC2025-DPPCCRTV</t>
        </is>
      </c>
      <c r="E260" s="675" t="inlineStr">
        <is>
          <t>CONTRAT</t>
        </is>
      </c>
      <c r="F260" s="675" t="n"/>
      <c r="G260" s="676" t="inlineStr">
        <is>
          <t>MOHAMMED TOURABI  -  Préparation et la présentation de l'émission radiophonique « ورتل القرآن ترتيلا »</t>
        </is>
      </c>
      <c r="H260" s="673" t="inlineStr">
        <is>
          <t>VALIDE</t>
        </is>
      </c>
      <c r="I260" s="675" t="inlineStr">
        <is>
          <t>APPROUVE</t>
        </is>
      </c>
      <c r="J260" s="675" t="n"/>
      <c r="K260" s="673" t="inlineStr">
        <is>
          <t>NON CONCERNE</t>
        </is>
      </c>
      <c r="L260" s="675" t="inlineStr">
        <is>
          <t>Ordinaire</t>
        </is>
      </c>
      <c r="M260" s="677" t="inlineStr">
        <is>
          <t>FONCTIONNEMENT</t>
        </is>
      </c>
      <c r="N260" s="678" t="inlineStr">
        <is>
          <t>Achats de productions et de programmes
Achat des programmes en production interne - personnes physiques</t>
        </is>
      </c>
      <c r="O260" s="679" t="n"/>
      <c r="P260" s="680" t="n"/>
      <c r="Q260" s="680" t="n"/>
      <c r="R260" s="675" t="inlineStr">
        <is>
          <t>RECONDUCTION</t>
        </is>
      </c>
      <c r="S260" s="681" t="n"/>
      <c r="T260" s="682" t="n"/>
      <c r="U260" s="683" t="inlineStr">
        <is>
          <t xml:space="preserve">MOHAMMED TOURABI </t>
        </is>
      </c>
      <c r="V260" s="675" t="n">
        <v>2026</v>
      </c>
      <c r="W260" s="682" t="n">
        <v>46387</v>
      </c>
      <c r="X260" s="682" t="n"/>
      <c r="Y260" s="682" t="n">
        <v>46024</v>
      </c>
      <c r="Z260" s="679" t="n">
        <v>60000</v>
      </c>
      <c r="AA260" s="680" t="n"/>
      <c r="AB260" s="680">
        <f>Z260</f>
        <v/>
      </c>
      <c r="AC260" s="680" t="n"/>
      <c r="AD260" s="680">
        <f>Z260</f>
        <v/>
      </c>
      <c r="AE260" s="680">
        <f>AB260</f>
        <v/>
      </c>
      <c r="AF260" s="684" t="inlineStr">
        <is>
          <t>ENGAGE</t>
        </is>
      </c>
      <c r="AG260" s="683" t="n"/>
      <c r="AH260" s="680" t="n"/>
      <c r="AI260" s="680" t="n"/>
      <c r="AJ260" s="680" t="n"/>
      <c r="AK260" s="680" t="n"/>
      <c r="AL260" s="685" t="n"/>
      <c r="AM260" s="685" t="n"/>
      <c r="AN260" s="683" t="inlineStr">
        <is>
          <t>Manque n° contrat</t>
        </is>
      </c>
      <c r="AO260" s="686" t="n"/>
      <c r="AP260" s="687" t="n"/>
      <c r="AQ260" s="688" t="n"/>
      <c r="AR260" s="688" t="n"/>
      <c r="AS260" s="23" t="n"/>
      <c r="AT260" s="688" t="n"/>
    </row>
    <row r="261" ht="60" customHeight="1" s="392">
      <c r="A261" s="672">
        <f>IF(AF261="ENGAGE","✔",IF(AF261="EN COURS D'ENGAGEMENT","◕",IF(AF261="PREENGAGE","◑",IF(AF261="EN COURS DE PREENGAGEMENT","◔",IF(AF261="NON ENGAGE","✖","")))))</f>
        <v/>
      </c>
      <c r="B261" s="673" t="n">
        <v>2026</v>
      </c>
      <c r="C261" s="674" t="inlineStr">
        <is>
          <t>ASSADISSA</t>
        </is>
      </c>
      <c r="D261" s="674" t="inlineStr">
        <is>
          <t>PV N° : 03RC2025-DPPCCRTV</t>
        </is>
      </c>
      <c r="E261" s="675" t="inlineStr">
        <is>
          <t>CONTRAT</t>
        </is>
      </c>
      <c r="F261" s="675" t="n"/>
      <c r="G261" s="676" t="inlineStr">
        <is>
          <t>ABDELLATIF BOUBALA  -  Préparation et la présentation de l’émission RD « ملتقى الأطفال»</t>
        </is>
      </c>
      <c r="H261" s="673" t="inlineStr">
        <is>
          <t>VALIDE</t>
        </is>
      </c>
      <c r="I261" s="675" t="inlineStr">
        <is>
          <t>APPROUVE</t>
        </is>
      </c>
      <c r="J261" s="675" t="n"/>
      <c r="K261" s="673" t="inlineStr">
        <is>
          <t>NON CONCERNE</t>
        </is>
      </c>
      <c r="L261" s="675" t="inlineStr">
        <is>
          <t>Ordinaire</t>
        </is>
      </c>
      <c r="M261" s="677" t="inlineStr">
        <is>
          <t>FONCTIONNEMENT</t>
        </is>
      </c>
      <c r="N261" s="678" t="inlineStr">
        <is>
          <t>Achats de productions et de programmes
Achat des programmes en production interne - personnes physiques</t>
        </is>
      </c>
      <c r="O261" s="679" t="n"/>
      <c r="P261" s="680" t="n"/>
      <c r="Q261" s="680" t="n"/>
      <c r="R261" s="675" t="inlineStr">
        <is>
          <t>RECONDUCTION</t>
        </is>
      </c>
      <c r="S261" s="681" t="n"/>
      <c r="T261" s="682" t="n"/>
      <c r="U261" s="683" t="inlineStr">
        <is>
          <t>ABDELLATIF BOUBALA</t>
        </is>
      </c>
      <c r="V261" s="675" t="n">
        <v>2026</v>
      </c>
      <c r="W261" s="682" t="n">
        <v>46387</v>
      </c>
      <c r="X261" s="682" t="n"/>
      <c r="Y261" s="682" t="n">
        <v>46024</v>
      </c>
      <c r="Z261" s="679" t="n">
        <v>200000</v>
      </c>
      <c r="AA261" s="680" t="n"/>
      <c r="AB261" s="680">
        <f>Z261</f>
        <v/>
      </c>
      <c r="AC261" s="680" t="n"/>
      <c r="AD261" s="680">
        <f>Z261</f>
        <v/>
      </c>
      <c r="AE261" s="680">
        <f>AB261</f>
        <v/>
      </c>
      <c r="AF261" s="684" t="inlineStr">
        <is>
          <t>ENGAGE</t>
        </is>
      </c>
      <c r="AG261" s="683" t="n"/>
      <c r="AH261" s="680" t="n"/>
      <c r="AI261" s="680" t="n"/>
      <c r="AJ261" s="680" t="n"/>
      <c r="AK261" s="680" t="n"/>
      <c r="AL261" s="685" t="n"/>
      <c r="AM261" s="685" t="n"/>
      <c r="AN261" s="683" t="inlineStr">
        <is>
          <t>Manque n° contrat</t>
        </is>
      </c>
      <c r="AO261" s="686" t="n"/>
      <c r="AP261" s="687" t="n"/>
      <c r="AQ261" s="688" t="n"/>
      <c r="AR261" s="688" t="n"/>
      <c r="AS261" s="23" t="n"/>
      <c r="AT261" s="688" t="n"/>
    </row>
    <row r="262" ht="60" customHeight="1" s="392">
      <c r="A262" s="672">
        <f>IF(AF262="ENGAGE","✔",IF(AF262="EN COURS D'ENGAGEMENT","◕",IF(AF262="PREENGAGE","◑",IF(AF262="EN COURS DE PREENGAGEMENT","◔",IF(AF262="NON ENGAGE","✖","")))))</f>
        <v/>
      </c>
      <c r="B262" s="673" t="n">
        <v>2026</v>
      </c>
      <c r="C262" s="674" t="inlineStr">
        <is>
          <t>ASSADISSA</t>
        </is>
      </c>
      <c r="D262" s="674" t="inlineStr">
        <is>
          <t>PV N° : 03RC2025-DPPCCRTV</t>
        </is>
      </c>
      <c r="E262" s="675" t="inlineStr">
        <is>
          <t>CONTRAT</t>
        </is>
      </c>
      <c r="F262" s="675" t="n"/>
      <c r="G262" s="676" t="inlineStr">
        <is>
          <t>MOSTAFA BEN HAMZA  -  Préparation et présentation de l'émission TV " الكراسي العلمية "</t>
        </is>
      </c>
      <c r="H262" s="673" t="inlineStr">
        <is>
          <t>VALIDE</t>
        </is>
      </c>
      <c r="I262" s="675" t="inlineStr">
        <is>
          <t>APPROUVE</t>
        </is>
      </c>
      <c r="J262" s="675" t="n"/>
      <c r="K262" s="673" t="inlineStr">
        <is>
          <t>NON CONCERNE</t>
        </is>
      </c>
      <c r="L262" s="675" t="inlineStr">
        <is>
          <t>Ordinaire</t>
        </is>
      </c>
      <c r="M262" s="677" t="inlineStr">
        <is>
          <t>FONCTIONNEMENT</t>
        </is>
      </c>
      <c r="N262" s="678" t="inlineStr">
        <is>
          <t>Achats de productions et de programmes
Achat des programmes en production interne - personnes physiques</t>
        </is>
      </c>
      <c r="O262" s="679" t="n"/>
      <c r="P262" s="680" t="n"/>
      <c r="Q262" s="680" t="n"/>
      <c r="R262" s="675" t="inlineStr">
        <is>
          <t>RECONDUCTION</t>
        </is>
      </c>
      <c r="S262" s="681" t="n"/>
      <c r="T262" s="682" t="n"/>
      <c r="U262" s="683" t="inlineStr">
        <is>
          <t>MOSTAFA BEN HAMZA</t>
        </is>
      </c>
      <c r="V262" s="675" t="n">
        <v>2026</v>
      </c>
      <c r="W262" s="682" t="n">
        <v>46387</v>
      </c>
      <c r="X262" s="682" t="n"/>
      <c r="Y262" s="682" t="n">
        <v>46024</v>
      </c>
      <c r="Z262" s="679" t="n">
        <v>228571.2</v>
      </c>
      <c r="AA262" s="680" t="n"/>
      <c r="AB262" s="680">
        <f>Z262</f>
        <v/>
      </c>
      <c r="AC262" s="680" t="n"/>
      <c r="AD262" s="680">
        <f>Z262</f>
        <v/>
      </c>
      <c r="AE262" s="680">
        <f>AB262</f>
        <v/>
      </c>
      <c r="AF262" s="684" t="inlineStr">
        <is>
          <t>ENGAGE</t>
        </is>
      </c>
      <c r="AG262" s="683" t="n"/>
      <c r="AH262" s="680" t="n"/>
      <c r="AI262" s="680" t="n"/>
      <c r="AJ262" s="680" t="n"/>
      <c r="AK262" s="680" t="n"/>
      <c r="AL262" s="685" t="n"/>
      <c r="AM262" s="685" t="n"/>
      <c r="AN262" s="683" t="inlineStr">
        <is>
          <t>Manque n° contrat</t>
        </is>
      </c>
      <c r="AO262" s="686" t="n"/>
      <c r="AP262" s="687" t="n"/>
      <c r="AQ262" s="688" t="n"/>
      <c r="AR262" s="688" t="n"/>
      <c r="AS262" s="23" t="n"/>
      <c r="AT262" s="688" t="n"/>
    </row>
    <row r="263" ht="60" customHeight="1" s="392">
      <c r="A263" s="672">
        <f>IF(AF263="ENGAGE","✔",IF(AF263="EN COURS D'ENGAGEMENT","◕",IF(AF263="PREENGAGE","◑",IF(AF263="EN COURS DE PREENGAGEMENT","◔",IF(AF263="NON ENGAGE","✖","")))))</f>
        <v/>
      </c>
      <c r="B263" s="673" t="n">
        <v>2026</v>
      </c>
      <c r="C263" s="674" t="inlineStr">
        <is>
          <t>ASSADISSA</t>
        </is>
      </c>
      <c r="D263" s="674" t="inlineStr">
        <is>
          <t>PV N° : 03RC2025-DPPCCRTV</t>
        </is>
      </c>
      <c r="E263" s="675" t="inlineStr">
        <is>
          <t>CONTRAT</t>
        </is>
      </c>
      <c r="F263" s="675" t="n"/>
      <c r="G263" s="676" t="inlineStr">
        <is>
          <t>ABDERRAHIM NABOULSSI  -  Préparation et présentation de l'émission TV " الكراسي العلمية "</t>
        </is>
      </c>
      <c r="H263" s="673" t="inlineStr">
        <is>
          <t>VALIDE</t>
        </is>
      </c>
      <c r="I263" s="675" t="inlineStr">
        <is>
          <t>APPROUVE</t>
        </is>
      </c>
      <c r="J263" s="675" t="n"/>
      <c r="K263" s="673" t="inlineStr">
        <is>
          <t>NON CONCERNE</t>
        </is>
      </c>
      <c r="L263" s="675" t="inlineStr">
        <is>
          <t>Ordinaire</t>
        </is>
      </c>
      <c r="M263" s="677" t="inlineStr">
        <is>
          <t>FONCTIONNEMENT</t>
        </is>
      </c>
      <c r="N263" s="678" t="inlineStr">
        <is>
          <t>Achats de productions et de programmes
Achat des programmes en production interne - personnes physiques</t>
        </is>
      </c>
      <c r="O263" s="679" t="n"/>
      <c r="P263" s="680" t="n"/>
      <c r="Q263" s="680" t="n"/>
      <c r="R263" s="675" t="inlineStr">
        <is>
          <t>RECONDUCTION</t>
        </is>
      </c>
      <c r="S263" s="681" t="n"/>
      <c r="T263" s="682" t="n"/>
      <c r="U263" s="683" t="inlineStr">
        <is>
          <t>ABDERRAHIM NABOULSSI</t>
        </is>
      </c>
      <c r="V263" s="675" t="n">
        <v>2026</v>
      </c>
      <c r="W263" s="682" t="n">
        <v>46387</v>
      </c>
      <c r="X263" s="682" t="n"/>
      <c r="Y263" s="682" t="n">
        <v>46024</v>
      </c>
      <c r="Z263" s="679" t="n">
        <v>228571.2</v>
      </c>
      <c r="AA263" s="680" t="n"/>
      <c r="AB263" s="680">
        <f>Z263</f>
        <v/>
      </c>
      <c r="AC263" s="680" t="n"/>
      <c r="AD263" s="680">
        <f>Z263</f>
        <v/>
      </c>
      <c r="AE263" s="680">
        <f>AB263</f>
        <v/>
      </c>
      <c r="AF263" s="684" t="inlineStr">
        <is>
          <t>ENGAGE</t>
        </is>
      </c>
      <c r="AG263" s="683" t="n"/>
      <c r="AH263" s="680" t="n"/>
      <c r="AI263" s="680" t="n"/>
      <c r="AJ263" s="680" t="n"/>
      <c r="AK263" s="680" t="n"/>
      <c r="AL263" s="685" t="n"/>
      <c r="AM263" s="685" t="n"/>
      <c r="AN263" s="683" t="inlineStr">
        <is>
          <t>Manque n° contrat</t>
        </is>
      </c>
      <c r="AO263" s="686" t="n"/>
      <c r="AP263" s="687" t="n"/>
      <c r="AQ263" s="688" t="n"/>
      <c r="AR263" s="688" t="n"/>
      <c r="AS263" s="23" t="n"/>
      <c r="AT263" s="688" t="n"/>
    </row>
    <row r="264" ht="60" customHeight="1" s="392">
      <c r="A264" s="672">
        <f>IF(AF264="ENGAGE","✔",IF(AF264="EN COURS D'ENGAGEMENT","◕",IF(AF264="PREENGAGE","◑",IF(AF264="EN COURS DE PREENGAGEMENT","◔",IF(AF264="NON ENGAGE","✖","")))))</f>
        <v/>
      </c>
      <c r="B264" s="673" t="n">
        <v>2026</v>
      </c>
      <c r="C264" s="674" t="inlineStr">
        <is>
          <t>ASSADISSA</t>
        </is>
      </c>
      <c r="D264" s="674" t="inlineStr">
        <is>
          <t>PV N° : 03RC2025-DPPCCRTV</t>
        </is>
      </c>
      <c r="E264" s="675" t="inlineStr">
        <is>
          <t>CONTRAT</t>
        </is>
      </c>
      <c r="F264" s="675" t="n"/>
      <c r="G264" s="676" t="inlineStr">
        <is>
          <t>MOHAMED RAOUGUI  -  Préparation et présentation de l'émission TV " الكراسي العلمية "</t>
        </is>
      </c>
      <c r="H264" s="673" t="inlineStr">
        <is>
          <t>VALIDE</t>
        </is>
      </c>
      <c r="I264" s="675" t="inlineStr">
        <is>
          <t>APPROUVE</t>
        </is>
      </c>
      <c r="J264" s="675" t="n"/>
      <c r="K264" s="673" t="inlineStr">
        <is>
          <t>NON CONCERNE</t>
        </is>
      </c>
      <c r="L264" s="675" t="inlineStr">
        <is>
          <t>Ordinaire</t>
        </is>
      </c>
      <c r="M264" s="677" t="inlineStr">
        <is>
          <t>FONCTIONNEMENT</t>
        </is>
      </c>
      <c r="N264" s="678" t="inlineStr">
        <is>
          <t>Achats de productions et de programmes
Achat des programmes en production interne - personnes physiques</t>
        </is>
      </c>
      <c r="O264" s="679" t="n"/>
      <c r="P264" s="680" t="n"/>
      <c r="Q264" s="680" t="n"/>
      <c r="R264" s="675" t="inlineStr">
        <is>
          <t>RECONDUCTION</t>
        </is>
      </c>
      <c r="S264" s="681" t="n"/>
      <c r="T264" s="682" t="n"/>
      <c r="U264" s="683" t="inlineStr">
        <is>
          <t>MOHAMED RAOUGUI</t>
        </is>
      </c>
      <c r="V264" s="675" t="n">
        <v>2026</v>
      </c>
      <c r="W264" s="682" t="n">
        <v>46387</v>
      </c>
      <c r="X264" s="682" t="n"/>
      <c r="Y264" s="682" t="n">
        <v>46024</v>
      </c>
      <c r="Z264" s="679" t="n">
        <v>171428.4</v>
      </c>
      <c r="AA264" s="680" t="n"/>
      <c r="AB264" s="680">
        <f>Z264</f>
        <v/>
      </c>
      <c r="AC264" s="680" t="n"/>
      <c r="AD264" s="680">
        <f>Z264</f>
        <v/>
      </c>
      <c r="AE264" s="680">
        <f>AB264</f>
        <v/>
      </c>
      <c r="AF264" s="684" t="inlineStr">
        <is>
          <t>ENGAGE</t>
        </is>
      </c>
      <c r="AG264" s="683" t="n"/>
      <c r="AH264" s="680" t="n"/>
      <c r="AI264" s="680" t="n"/>
      <c r="AJ264" s="680" t="n"/>
      <c r="AK264" s="680" t="n"/>
      <c r="AL264" s="685" t="n"/>
      <c r="AM264" s="685" t="n"/>
      <c r="AN264" s="683" t="inlineStr">
        <is>
          <t>Manque n° contrat</t>
        </is>
      </c>
      <c r="AO264" s="686" t="n"/>
      <c r="AP264" s="687" t="n"/>
      <c r="AQ264" s="688" t="n"/>
      <c r="AR264" s="688" t="n"/>
      <c r="AS264" s="23" t="n"/>
      <c r="AT264" s="688" t="n"/>
    </row>
    <row r="265" ht="60" customHeight="1" s="392">
      <c r="A265" s="672">
        <f>IF(AF265="ENGAGE","✔",IF(AF265="EN COURS D'ENGAGEMENT","◕",IF(AF265="PREENGAGE","◑",IF(AF265="EN COURS DE PREENGAGEMENT","◔",IF(AF265="NON ENGAGE","✖","")))))</f>
        <v/>
      </c>
      <c r="B265" s="673" t="n">
        <v>2026</v>
      </c>
      <c r="C265" s="674" t="inlineStr">
        <is>
          <t>ASSADISSA</t>
        </is>
      </c>
      <c r="D265" s="674" t="inlineStr">
        <is>
          <t>PV N° : 03RC2025-DPPCCRTV</t>
        </is>
      </c>
      <c r="E265" s="675" t="inlineStr">
        <is>
          <t>CONTRAT</t>
        </is>
      </c>
      <c r="F265" s="675" t="n"/>
      <c r="G265" s="676" t="inlineStr">
        <is>
          <t>MUSTAPHA BAHIAOUI  -  Préparation et présentation de l'émission TV " الكراسي العلمية "</t>
        </is>
      </c>
      <c r="H265" s="673" t="inlineStr">
        <is>
          <t>VALIDE</t>
        </is>
      </c>
      <c r="I265" s="675" t="inlineStr">
        <is>
          <t>APPROUVE</t>
        </is>
      </c>
      <c r="J265" s="675" t="n"/>
      <c r="K265" s="673" t="inlineStr">
        <is>
          <t>NON CONCERNE</t>
        </is>
      </c>
      <c r="L265" s="675" t="inlineStr">
        <is>
          <t>Ordinaire</t>
        </is>
      </c>
      <c r="M265" s="677" t="inlineStr">
        <is>
          <t>FONCTIONNEMENT</t>
        </is>
      </c>
      <c r="N265" s="678" t="inlineStr">
        <is>
          <t>Achats de productions et de programmes
Achat des programmes en production interne - personnes physiques</t>
        </is>
      </c>
      <c r="O265" s="679" t="n"/>
      <c r="P265" s="680" t="n"/>
      <c r="Q265" s="680" t="n"/>
      <c r="R265" s="675" t="inlineStr">
        <is>
          <t>RECONDUCTION</t>
        </is>
      </c>
      <c r="S265" s="681" t="n"/>
      <c r="T265" s="682" t="n"/>
      <c r="U265" s="683" t="inlineStr">
        <is>
          <t>MUSTAPHA BAHIAOUI</t>
        </is>
      </c>
      <c r="V265" s="675" t="n">
        <v>2026</v>
      </c>
      <c r="W265" s="682" t="n">
        <v>46387</v>
      </c>
      <c r="X265" s="682" t="n"/>
      <c r="Y265" s="682" t="n">
        <v>46024</v>
      </c>
      <c r="Z265" s="679" t="n">
        <v>228571.2</v>
      </c>
      <c r="AA265" s="680" t="n"/>
      <c r="AB265" s="680">
        <f>Z265</f>
        <v/>
      </c>
      <c r="AC265" s="680" t="n"/>
      <c r="AD265" s="680">
        <f>Z265</f>
        <v/>
      </c>
      <c r="AE265" s="680">
        <f>AB265</f>
        <v/>
      </c>
      <c r="AF265" s="684" t="inlineStr">
        <is>
          <t>ENGAGE</t>
        </is>
      </c>
      <c r="AG265" s="683" t="n"/>
      <c r="AH265" s="680" t="n"/>
      <c r="AI265" s="680" t="n"/>
      <c r="AJ265" s="680" t="n"/>
      <c r="AK265" s="680" t="n"/>
      <c r="AL265" s="685" t="n"/>
      <c r="AM265" s="685" t="n"/>
      <c r="AN265" s="683" t="inlineStr">
        <is>
          <t>Manque n° contrat</t>
        </is>
      </c>
      <c r="AO265" s="686" t="n"/>
      <c r="AP265" s="687" t="n"/>
      <c r="AQ265" s="688" t="n"/>
      <c r="AR265" s="688" t="n"/>
      <c r="AS265" s="23" t="n"/>
      <c r="AT265" s="688" t="n"/>
    </row>
    <row r="266" ht="60" customHeight="1" s="392">
      <c r="A266" s="672">
        <f>IF(AF266="ENGAGE","✔",IF(AF266="EN COURS D'ENGAGEMENT","◕",IF(AF266="PREENGAGE","◑",IF(AF266="EN COURS DE PREENGAGEMENT","◔",IF(AF266="NON ENGAGE","✖","")))))</f>
        <v/>
      </c>
      <c r="B266" s="673" t="n">
        <v>2026</v>
      </c>
      <c r="C266" s="674" t="inlineStr">
        <is>
          <t>ASSADISSA</t>
        </is>
      </c>
      <c r="D266" s="674" t="inlineStr">
        <is>
          <t>PV N° : 03RC2025-DPPCCRTV</t>
        </is>
      </c>
      <c r="E266" s="675" t="inlineStr">
        <is>
          <t>CONTRAT</t>
        </is>
      </c>
      <c r="F266" s="675" t="n"/>
      <c r="G266" s="676" t="inlineStr">
        <is>
          <t>MOHAMMED BENKIRANE  -  Préparation et présentation de l'émission TV " الكراسي العلمية "</t>
        </is>
      </c>
      <c r="H266" s="673" t="inlineStr">
        <is>
          <t>VALIDE</t>
        </is>
      </c>
      <c r="I266" s="675" t="inlineStr">
        <is>
          <t>APPROUVE</t>
        </is>
      </c>
      <c r="J266" s="675" t="n"/>
      <c r="K266" s="673" t="inlineStr">
        <is>
          <t>NON CONCERNE</t>
        </is>
      </c>
      <c r="L266" s="675" t="inlineStr">
        <is>
          <t>Ordinaire</t>
        </is>
      </c>
      <c r="M266" s="677" t="inlineStr">
        <is>
          <t>FONCTIONNEMENT</t>
        </is>
      </c>
      <c r="N266" s="678" t="inlineStr">
        <is>
          <t>Achats de productions et de programmes
Achat des programmes en production interne - personnes physiques</t>
        </is>
      </c>
      <c r="O266" s="679" t="n"/>
      <c r="P266" s="680" t="n"/>
      <c r="Q266" s="680" t="n"/>
      <c r="R266" s="675" t="inlineStr">
        <is>
          <t>RECONDUCTION</t>
        </is>
      </c>
      <c r="S266" s="681" t="n"/>
      <c r="T266" s="682" t="n"/>
      <c r="U266" s="683" t="inlineStr">
        <is>
          <t>MOHAMMED BENKIRANE</t>
        </is>
      </c>
      <c r="V266" s="675" t="n">
        <v>2026</v>
      </c>
      <c r="W266" s="682" t="n">
        <v>46387</v>
      </c>
      <c r="X266" s="682" t="n"/>
      <c r="Y266" s="682" t="n">
        <v>46024</v>
      </c>
      <c r="Z266" s="679" t="n">
        <v>171428.4</v>
      </c>
      <c r="AA266" s="680" t="n"/>
      <c r="AB266" s="680">
        <f>Z266</f>
        <v/>
      </c>
      <c r="AC266" s="680" t="n"/>
      <c r="AD266" s="680">
        <f>Z266</f>
        <v/>
      </c>
      <c r="AE266" s="680">
        <f>AB266</f>
        <v/>
      </c>
      <c r="AF266" s="684" t="inlineStr">
        <is>
          <t>ENGAGE</t>
        </is>
      </c>
      <c r="AG266" s="683" t="n"/>
      <c r="AH266" s="680" t="n"/>
      <c r="AI266" s="680" t="n"/>
      <c r="AJ266" s="680" t="n"/>
      <c r="AK266" s="680" t="n"/>
      <c r="AL266" s="685" t="n"/>
      <c r="AM266" s="685" t="n"/>
      <c r="AN266" s="683" t="inlineStr">
        <is>
          <t>Manque n° contrat</t>
        </is>
      </c>
      <c r="AO266" s="686" t="n"/>
      <c r="AP266" s="687" t="n"/>
      <c r="AQ266" s="688" t="n"/>
      <c r="AR266" s="688" t="n"/>
      <c r="AS266" s="23" t="n"/>
      <c r="AT266" s="688" t="n"/>
    </row>
    <row r="267" ht="80.25" customHeight="1" s="392">
      <c r="A267" s="672">
        <f>IF(AF267="ENGAGE","✔",IF(AF267="EN COURS D'ENGAGEMENT","◕",IF(AF267="PREENGAGE","◑",IF(AF267="EN COURS DE PREENGAGEMENT","◔",IF(AF267="NON ENGAGE","✖","")))))</f>
        <v/>
      </c>
      <c r="B267" s="673" t="n">
        <v>2026</v>
      </c>
      <c r="C267" s="674" t="inlineStr">
        <is>
          <t>ASSADISSA</t>
        </is>
      </c>
      <c r="D267" s="674" t="inlineStr">
        <is>
          <t>PV N° : 03RC2025-DPPCCRTV</t>
        </is>
      </c>
      <c r="E267" s="675" t="inlineStr">
        <is>
          <t>CONTRAT</t>
        </is>
      </c>
      <c r="F267" s="675" t="n"/>
      <c r="G267" s="676" t="inlineStr">
        <is>
          <t>SIDI ABDERAHMANE ALIOUI  -  Préparation et présentation de l'émission TV " الكراسي العلمية " / Réponses aux questions des auditeurs à l'émission RD " يسألونك " / Réponse aux questions de l’émission : « المبين لمعاني المرشد المعين التبليغ»</t>
        </is>
      </c>
      <c r="H267" s="673" t="inlineStr">
        <is>
          <t>VALIDE</t>
        </is>
      </c>
      <c r="I267" s="675" t="inlineStr">
        <is>
          <t>APPROUVE</t>
        </is>
      </c>
      <c r="J267" s="675" t="n"/>
      <c r="K267" s="673" t="inlineStr">
        <is>
          <t>NON CONCERNE</t>
        </is>
      </c>
      <c r="L267" s="675" t="inlineStr">
        <is>
          <t>Ordinaire</t>
        </is>
      </c>
      <c r="M267" s="677" t="inlineStr">
        <is>
          <t>FONCTIONNEMENT</t>
        </is>
      </c>
      <c r="N267" s="678" t="inlineStr">
        <is>
          <t>Achats de productions et de programmes
Achat des programmes en production interne - personnes physiques</t>
        </is>
      </c>
      <c r="O267" s="679" t="n"/>
      <c r="P267" s="680" t="n"/>
      <c r="Q267" s="680" t="n"/>
      <c r="R267" s="675" t="inlineStr">
        <is>
          <t>RECONDUCTION</t>
        </is>
      </c>
      <c r="S267" s="681" t="n"/>
      <c r="T267" s="682" t="n"/>
      <c r="U267" s="683" t="inlineStr">
        <is>
          <t>SIDI ABDERAHMANE ALIOUI</t>
        </is>
      </c>
      <c r="V267" s="675" t="n">
        <v>2026</v>
      </c>
      <c r="W267" s="682" t="n">
        <v>46387</v>
      </c>
      <c r="X267" s="682" t="n"/>
      <c r="Y267" s="682" t="n">
        <v>46024</v>
      </c>
      <c r="Z267" s="679" t="n">
        <v>290399.76</v>
      </c>
      <c r="AA267" s="680" t="n"/>
      <c r="AB267" s="680">
        <f>Z267</f>
        <v/>
      </c>
      <c r="AC267" s="680" t="n"/>
      <c r="AD267" s="680">
        <f>Z267</f>
        <v/>
      </c>
      <c r="AE267" s="680">
        <f>AB267</f>
        <v/>
      </c>
      <c r="AF267" s="684" t="inlineStr">
        <is>
          <t>ENGAGE</t>
        </is>
      </c>
      <c r="AG267" s="683" t="n"/>
      <c r="AH267" s="680" t="n"/>
      <c r="AI267" s="680" t="n"/>
      <c r="AJ267" s="680" t="n"/>
      <c r="AK267" s="680" t="n"/>
      <c r="AL267" s="685" t="n"/>
      <c r="AM267" s="685" t="n"/>
      <c r="AN267" s="683" t="inlineStr">
        <is>
          <t>Manque n° contrat</t>
        </is>
      </c>
      <c r="AO267" s="686" t="n"/>
      <c r="AP267" s="687" t="n"/>
      <c r="AQ267" s="688" t="n"/>
      <c r="AR267" s="688" t="n"/>
      <c r="AS267" s="23" t="n"/>
      <c r="AT267" s="688" t="n"/>
    </row>
    <row r="268" ht="60" customHeight="1" s="392">
      <c r="A268" s="672">
        <f>IF(AF268="ENGAGE","✔",IF(AF268="EN COURS D'ENGAGEMENT","◕",IF(AF268="PREENGAGE","◑",IF(AF268="EN COURS DE PREENGAGEMENT","◔",IF(AF268="NON ENGAGE","✖","")))))</f>
        <v/>
      </c>
      <c r="B268" s="673" t="n">
        <v>2026</v>
      </c>
      <c r="C268" s="674" t="inlineStr">
        <is>
          <t>ASSADISSA</t>
        </is>
      </c>
      <c r="D268" s="674" t="inlineStr">
        <is>
          <t>PV N° : 03RC2025-DPPCCRTV</t>
        </is>
      </c>
      <c r="E268" s="675" t="inlineStr">
        <is>
          <t>CONTRAT</t>
        </is>
      </c>
      <c r="F268" s="675" t="n"/>
      <c r="G268" s="676" t="inlineStr">
        <is>
          <t>ABDELLAH ABOUATALLAH  -  Préparation et présentation de l’émission TV " الكراسي العلمية "</t>
        </is>
      </c>
      <c r="H268" s="673" t="inlineStr">
        <is>
          <t>VALIDE</t>
        </is>
      </c>
      <c r="I268" s="675" t="inlineStr">
        <is>
          <t>APPROUVE</t>
        </is>
      </c>
      <c r="J268" s="675" t="n"/>
      <c r="K268" s="673" t="inlineStr">
        <is>
          <t>NON CONCERNE</t>
        </is>
      </c>
      <c r="L268" s="675" t="inlineStr">
        <is>
          <t>Ordinaire</t>
        </is>
      </c>
      <c r="M268" s="677" t="inlineStr">
        <is>
          <t>FONCTIONNEMENT</t>
        </is>
      </c>
      <c r="N268" s="678" t="inlineStr">
        <is>
          <t>Achats de productions et de programmes
Achat des programmes en production interne - personnes physiques</t>
        </is>
      </c>
      <c r="O268" s="679" t="n"/>
      <c r="P268" s="680" t="n"/>
      <c r="Q268" s="680" t="n"/>
      <c r="R268" s="675" t="inlineStr">
        <is>
          <t>RECONDUCTION</t>
        </is>
      </c>
      <c r="S268" s="681" t="n"/>
      <c r="T268" s="682" t="n"/>
      <c r="U268" s="683" t="inlineStr">
        <is>
          <t>ABDELLAH ABOUATALLAH</t>
        </is>
      </c>
      <c r="V268" s="675" t="n">
        <v>2026</v>
      </c>
      <c r="W268" s="682" t="n">
        <v>46387</v>
      </c>
      <c r="X268" s="682" t="n"/>
      <c r="Y268" s="682" t="n">
        <v>46024</v>
      </c>
      <c r="Z268" s="679" t="n">
        <v>171428.4</v>
      </c>
      <c r="AA268" s="680" t="n"/>
      <c r="AB268" s="680">
        <f>Z268</f>
        <v/>
      </c>
      <c r="AC268" s="680" t="n"/>
      <c r="AD268" s="680">
        <f>Z268</f>
        <v/>
      </c>
      <c r="AE268" s="680">
        <f>AB268</f>
        <v/>
      </c>
      <c r="AF268" s="684" t="inlineStr">
        <is>
          <t>ENGAGE</t>
        </is>
      </c>
      <c r="AG268" s="683" t="n"/>
      <c r="AH268" s="680" t="n"/>
      <c r="AI268" s="680" t="n"/>
      <c r="AJ268" s="680" t="n"/>
      <c r="AK268" s="680" t="n"/>
      <c r="AL268" s="685" t="n"/>
      <c r="AM268" s="685" t="n"/>
      <c r="AN268" s="683" t="inlineStr">
        <is>
          <t>Manque n° contrat</t>
        </is>
      </c>
      <c r="AO268" s="686" t="n"/>
      <c r="AP268" s="687" t="n"/>
      <c r="AQ268" s="688" t="n"/>
      <c r="AR268" s="688" t="n"/>
      <c r="AS268" s="23" t="n"/>
      <c r="AT268" s="688" t="n"/>
    </row>
    <row r="269" ht="65.40000000000001" customHeight="1" s="392">
      <c r="A269" s="672">
        <f>IF(AF269="ENGAGE","✔",IF(AF269="EN COURS D'ENGAGEMENT","◕",IF(AF269="PREENGAGE","◑",IF(AF269="EN COURS DE PREENGAGEMENT","◔",IF(AF269="NON ENGAGE","✖","")))))</f>
        <v/>
      </c>
      <c r="B269" s="673" t="n">
        <v>2026</v>
      </c>
      <c r="C269" s="674" t="inlineStr">
        <is>
          <t>ASSADISSA</t>
        </is>
      </c>
      <c r="D269" s="674" t="inlineStr">
        <is>
          <t>PV N° : 03RC2025-DPPCCRTV</t>
        </is>
      </c>
      <c r="E269" s="675" t="inlineStr">
        <is>
          <t>CONTRAT</t>
        </is>
      </c>
      <c r="F269" s="675" t="n"/>
      <c r="G269" s="676" t="inlineStr">
        <is>
          <t>ID SAID LAHSSAN  -  Réponse sur antenne TV aux questions des téléspectateurs à l'émission TV " يسألونك/ Réponse sur antenne RD aux questions des auditeurs à l'émission RD "يسألونك"</t>
        </is>
      </c>
      <c r="H269" s="673" t="inlineStr">
        <is>
          <t>VALIDE</t>
        </is>
      </c>
      <c r="I269" s="675" t="inlineStr">
        <is>
          <t>APPROUVE</t>
        </is>
      </c>
      <c r="J269" s="675" t="n"/>
      <c r="K269" s="673" t="inlineStr">
        <is>
          <t>NON CONCERNE</t>
        </is>
      </c>
      <c r="L269" s="675" t="inlineStr">
        <is>
          <t>Ordinaire</t>
        </is>
      </c>
      <c r="M269" s="677" t="inlineStr">
        <is>
          <t>FONCTIONNEMENT</t>
        </is>
      </c>
      <c r="N269" s="678" t="inlineStr">
        <is>
          <t>Achats de productions et de programmes
Achat des programmes en production interne - personnes physiques</t>
        </is>
      </c>
      <c r="O269" s="679" t="n"/>
      <c r="P269" s="680" t="n"/>
      <c r="Q269" s="680" t="n"/>
      <c r="R269" s="675" t="inlineStr">
        <is>
          <t>RECONDUCTION</t>
        </is>
      </c>
      <c r="S269" s="681" t="n"/>
      <c r="T269" s="682" t="n"/>
      <c r="U269" s="683" t="inlineStr">
        <is>
          <t>ID SAID LAHSSAN</t>
        </is>
      </c>
      <c r="V269" s="675" t="n">
        <v>2026</v>
      </c>
      <c r="W269" s="682" t="n">
        <v>46387</v>
      </c>
      <c r="X269" s="682" t="n"/>
      <c r="Y269" s="682" t="n">
        <v>46024</v>
      </c>
      <c r="Z269" s="679" t="n">
        <v>125714.16</v>
      </c>
      <c r="AA269" s="680" t="n"/>
      <c r="AB269" s="680">
        <f>Z269</f>
        <v/>
      </c>
      <c r="AC269" s="680" t="n"/>
      <c r="AD269" s="680">
        <f>Z269</f>
        <v/>
      </c>
      <c r="AE269" s="680">
        <f>AB269</f>
        <v/>
      </c>
      <c r="AF269" s="684" t="inlineStr">
        <is>
          <t>ENGAGE</t>
        </is>
      </c>
      <c r="AG269" s="683" t="n"/>
      <c r="AH269" s="680" t="n"/>
      <c r="AI269" s="680" t="n"/>
      <c r="AJ269" s="680" t="n"/>
      <c r="AK269" s="680" t="n"/>
      <c r="AL269" s="685" t="n"/>
      <c r="AM269" s="685" t="n"/>
      <c r="AN269" s="683" t="inlineStr">
        <is>
          <t>Manque n° contrat</t>
        </is>
      </c>
      <c r="AO269" s="686" t="n"/>
      <c r="AP269" s="687" t="n"/>
      <c r="AQ269" s="688" t="n"/>
      <c r="AR269" s="688" t="n"/>
      <c r="AS269" s="23" t="n"/>
      <c r="AT269" s="688" t="n"/>
    </row>
    <row r="270" ht="65.40000000000001" customHeight="1" s="392">
      <c r="A270" s="672">
        <f>IF(AF270="ENGAGE","✔",IF(AF270="EN COURS D'ENGAGEMENT","◕",IF(AF270="PREENGAGE","◑",IF(AF270="EN COURS DE PREENGAGEMENT","◔",IF(AF270="NON ENGAGE","✖","")))))</f>
        <v/>
      </c>
      <c r="B270" s="673" t="n">
        <v>2026</v>
      </c>
      <c r="C270" s="674" t="inlineStr">
        <is>
          <t>ASSADISSA</t>
        </is>
      </c>
      <c r="D270" s="674" t="inlineStr">
        <is>
          <t>PV N° : 03RC2025-DPPCCRTV</t>
        </is>
      </c>
      <c r="E270" s="675" t="inlineStr">
        <is>
          <t>CONTRAT</t>
        </is>
      </c>
      <c r="F270" s="675" t="n"/>
      <c r="G270" s="676" t="inlineStr">
        <is>
          <t>MIFRAH EL HOUSSAIN  -  Réponse sur antenne TV aux questions des téléspectateurs à l'émission TV " يسألونك / Réponse sur antenne RD aux questions des auditeurs à l'émission RD "يسألونك"</t>
        </is>
      </c>
      <c r="H270" s="673" t="inlineStr">
        <is>
          <t>VALIDE</t>
        </is>
      </c>
      <c r="I270" s="675" t="inlineStr">
        <is>
          <t>APPROUVE</t>
        </is>
      </c>
      <c r="J270" s="675" t="n"/>
      <c r="K270" s="673" t="inlineStr">
        <is>
          <t>NON CONCERNE</t>
        </is>
      </c>
      <c r="L270" s="675" t="inlineStr">
        <is>
          <t>Ordinaire</t>
        </is>
      </c>
      <c r="M270" s="677" t="inlineStr">
        <is>
          <t>FONCTIONNEMENT</t>
        </is>
      </c>
      <c r="N270" s="678" t="inlineStr">
        <is>
          <t>Achats de productions et de programmes
Achat des programmes en production interne - personnes physiques</t>
        </is>
      </c>
      <c r="O270" s="679" t="n"/>
      <c r="P270" s="680" t="n"/>
      <c r="Q270" s="680" t="n"/>
      <c r="R270" s="675" t="inlineStr">
        <is>
          <t>RECONDUCTION</t>
        </is>
      </c>
      <c r="S270" s="681" t="n"/>
      <c r="T270" s="682" t="n"/>
      <c r="U270" s="683" t="inlineStr">
        <is>
          <t>MIFRAH EL HOUSSAIN</t>
        </is>
      </c>
      <c r="V270" s="675" t="n">
        <v>2026</v>
      </c>
      <c r="W270" s="682" t="n">
        <v>46387</v>
      </c>
      <c r="X270" s="682" t="n"/>
      <c r="Y270" s="682" t="n">
        <v>46024</v>
      </c>
      <c r="Z270" s="679" t="n">
        <v>152114.16</v>
      </c>
      <c r="AA270" s="680" t="n"/>
      <c r="AB270" s="680">
        <f>Z270</f>
        <v/>
      </c>
      <c r="AC270" s="680" t="n"/>
      <c r="AD270" s="680">
        <f>Z270</f>
        <v/>
      </c>
      <c r="AE270" s="680">
        <f>AB270</f>
        <v/>
      </c>
      <c r="AF270" s="684" t="inlineStr">
        <is>
          <t>ENGAGE</t>
        </is>
      </c>
      <c r="AG270" s="683" t="n"/>
      <c r="AH270" s="680" t="n"/>
      <c r="AI270" s="680" t="n"/>
      <c r="AJ270" s="680" t="n"/>
      <c r="AK270" s="680" t="n"/>
      <c r="AL270" s="685" t="n"/>
      <c r="AM270" s="685" t="n"/>
      <c r="AN270" s="683" t="inlineStr">
        <is>
          <t>Manque n° contrat</t>
        </is>
      </c>
      <c r="AO270" s="686" t="n"/>
      <c r="AP270" s="687" t="n"/>
      <c r="AQ270" s="688" t="n"/>
      <c r="AR270" s="688" t="n"/>
      <c r="AS270" s="23" t="n"/>
      <c r="AT270" s="688" t="n"/>
    </row>
    <row r="271" ht="65.40000000000001" customHeight="1" s="392">
      <c r="A271" s="672">
        <f>IF(AF271="ENGAGE","✔",IF(AF271="EN COURS D'ENGAGEMENT","◕",IF(AF271="PREENGAGE","◑",IF(AF271="EN COURS DE PREENGAGEMENT","◔",IF(AF271="NON ENGAGE","✖","")))))</f>
        <v/>
      </c>
      <c r="B271" s="673" t="n">
        <v>2026</v>
      </c>
      <c r="C271" s="674" t="inlineStr">
        <is>
          <t>ASSADISSA</t>
        </is>
      </c>
      <c r="D271" s="674" t="inlineStr">
        <is>
          <t>PV N° : 03RC2025-DPPCCRTV</t>
        </is>
      </c>
      <c r="E271" s="675" t="inlineStr">
        <is>
          <t>CONTRAT</t>
        </is>
      </c>
      <c r="F271" s="675" t="n"/>
      <c r="G271" s="676" t="inlineStr">
        <is>
          <t>MOHAMMED EL YOUSSOUFI  -  Réponse sur antenne TV aux questions des téléspectateurs à l'émission TV " يسألونك / Réponse sur antenne RD aux questions des auditeurs à l'émission RD "يسألونك"</t>
        </is>
      </c>
      <c r="H271" s="673" t="inlineStr">
        <is>
          <t>VALIDE</t>
        </is>
      </c>
      <c r="I271" s="675" t="inlineStr">
        <is>
          <t>APPROUVE</t>
        </is>
      </c>
      <c r="J271" s="675" t="n"/>
      <c r="K271" s="673" t="inlineStr">
        <is>
          <t>NON CONCERNE</t>
        </is>
      </c>
      <c r="L271" s="675" t="inlineStr">
        <is>
          <t>Ordinaire</t>
        </is>
      </c>
      <c r="M271" s="677" t="inlineStr">
        <is>
          <t>FONCTIONNEMENT</t>
        </is>
      </c>
      <c r="N271" s="678" t="inlineStr">
        <is>
          <t>Achats de productions et de programmes
Achat des programmes en production interne - personnes physiques</t>
        </is>
      </c>
      <c r="O271" s="679" t="n"/>
      <c r="P271" s="680" t="n"/>
      <c r="Q271" s="680" t="n"/>
      <c r="R271" s="675" t="inlineStr">
        <is>
          <t>RECONDUCTION</t>
        </is>
      </c>
      <c r="S271" s="681" t="n"/>
      <c r="T271" s="682" t="n"/>
      <c r="U271" s="683" t="inlineStr">
        <is>
          <t>MOHAMMED EL YOUSSOUFI</t>
        </is>
      </c>
      <c r="V271" s="675" t="n">
        <v>2026</v>
      </c>
      <c r="W271" s="682" t="n">
        <v>46387</v>
      </c>
      <c r="X271" s="682" t="n"/>
      <c r="Y271" s="682" t="n">
        <v>46024</v>
      </c>
      <c r="Z271" s="679" t="n">
        <v>125714.16</v>
      </c>
      <c r="AA271" s="680" t="n"/>
      <c r="AB271" s="680">
        <f>Z271</f>
        <v/>
      </c>
      <c r="AC271" s="680" t="n"/>
      <c r="AD271" s="680">
        <f>Z271</f>
        <v/>
      </c>
      <c r="AE271" s="680">
        <f>AB271</f>
        <v/>
      </c>
      <c r="AF271" s="684" t="inlineStr">
        <is>
          <t>ENGAGE</t>
        </is>
      </c>
      <c r="AG271" s="683" t="n"/>
      <c r="AH271" s="680" t="n"/>
      <c r="AI271" s="680" t="n"/>
      <c r="AJ271" s="680" t="n"/>
      <c r="AK271" s="680" t="n"/>
      <c r="AL271" s="685" t="n"/>
      <c r="AM271" s="685" t="n"/>
      <c r="AN271" s="683" t="inlineStr">
        <is>
          <t>Manque n° contrat</t>
        </is>
      </c>
      <c r="AO271" s="686" t="n"/>
      <c r="AP271" s="687" t="n"/>
      <c r="AQ271" s="688" t="n"/>
      <c r="AR271" s="688" t="n"/>
      <c r="AS271" s="23" t="n"/>
      <c r="AT271" s="688" t="n"/>
    </row>
    <row r="272" ht="65.40000000000001" customHeight="1" s="392">
      <c r="A272" s="672">
        <f>IF(AF272="ENGAGE","✔",IF(AF272="EN COURS D'ENGAGEMENT","◕",IF(AF272="PREENGAGE","◑",IF(AF272="EN COURS DE PREENGAGEMENT","◔",IF(AF272="NON ENGAGE","✖","")))))</f>
        <v/>
      </c>
      <c r="B272" s="673" t="n">
        <v>2026</v>
      </c>
      <c r="C272" s="674" t="inlineStr">
        <is>
          <t>ASSADISSA</t>
        </is>
      </c>
      <c r="D272" s="674" t="inlineStr">
        <is>
          <t>PV N° : 03RC2025-DPPCCRTV</t>
        </is>
      </c>
      <c r="E272" s="675" t="inlineStr">
        <is>
          <t>CONTRAT</t>
        </is>
      </c>
      <c r="F272" s="675" t="n"/>
      <c r="G272" s="676" t="inlineStr">
        <is>
          <t>ABOUZID KHADIJA  -  Réponse sur antenne TV aux questions des téléspectateurs à l'émission TV " يسألونك / Réponse sur antenne RD aux questions des auditeurs à l'émission RD "يسألونك"</t>
        </is>
      </c>
      <c r="H272" s="673" t="inlineStr">
        <is>
          <t>VALIDE</t>
        </is>
      </c>
      <c r="I272" s="675" t="inlineStr">
        <is>
          <t>APPROUVE</t>
        </is>
      </c>
      <c r="J272" s="675" t="n"/>
      <c r="K272" s="673" t="inlineStr">
        <is>
          <t>NON CONCERNE</t>
        </is>
      </c>
      <c r="L272" s="675" t="inlineStr">
        <is>
          <t>Ordinaire</t>
        </is>
      </c>
      <c r="M272" s="677" t="inlineStr">
        <is>
          <t>FONCTIONNEMENT</t>
        </is>
      </c>
      <c r="N272" s="678" t="inlineStr">
        <is>
          <t>Achats de productions et de programmes
Achat des programmes en production interne - personnes physiques</t>
        </is>
      </c>
      <c r="O272" s="679" t="n"/>
      <c r="P272" s="680" t="n"/>
      <c r="Q272" s="680" t="n"/>
      <c r="R272" s="675" t="inlineStr">
        <is>
          <t>RECONDUCTION</t>
        </is>
      </c>
      <c r="S272" s="681" t="n"/>
      <c r="T272" s="682" t="n"/>
      <c r="U272" s="683" t="inlineStr">
        <is>
          <t>ABOUZID KHADIJA</t>
        </is>
      </c>
      <c r="V272" s="675" t="n">
        <v>2026</v>
      </c>
      <c r="W272" s="682" t="n">
        <v>46387</v>
      </c>
      <c r="X272" s="682" t="n"/>
      <c r="Y272" s="682" t="n">
        <v>46024</v>
      </c>
      <c r="Z272" s="679" t="n">
        <v>111428.46</v>
      </c>
      <c r="AA272" s="680" t="n"/>
      <c r="AB272" s="680">
        <f>Z272</f>
        <v/>
      </c>
      <c r="AC272" s="680" t="n"/>
      <c r="AD272" s="680">
        <f>Z272</f>
        <v/>
      </c>
      <c r="AE272" s="680">
        <f>AB272</f>
        <v/>
      </c>
      <c r="AF272" s="684" t="inlineStr">
        <is>
          <t>ENGAGE</t>
        </is>
      </c>
      <c r="AG272" s="683" t="n"/>
      <c r="AH272" s="680" t="n"/>
      <c r="AI272" s="680" t="n"/>
      <c r="AJ272" s="680" t="n"/>
      <c r="AK272" s="680" t="n"/>
      <c r="AL272" s="685" t="n"/>
      <c r="AM272" s="685" t="n"/>
      <c r="AN272" s="683" t="inlineStr">
        <is>
          <t>Manque n° contrat</t>
        </is>
      </c>
      <c r="AO272" s="686" t="n"/>
      <c r="AP272" s="687" t="n"/>
      <c r="AQ272" s="688" t="n"/>
      <c r="AR272" s="688" t="n"/>
      <c r="AS272" s="23" t="n"/>
      <c r="AT272" s="688" t="n"/>
    </row>
    <row r="273" ht="60" customHeight="1" s="392">
      <c r="A273" s="672">
        <f>IF(AF273="ENGAGE","✔",IF(AF273="EN COURS D'ENGAGEMENT","◕",IF(AF273="PREENGAGE","◑",IF(AF273="EN COURS DE PREENGAGEMENT","◔",IF(AF273="NON ENGAGE","✖","")))))</f>
        <v/>
      </c>
      <c r="B273" s="673" t="n">
        <v>2026</v>
      </c>
      <c r="C273" s="674" t="inlineStr">
        <is>
          <t>ASSADISSA</t>
        </is>
      </c>
      <c r="D273" s="674" t="inlineStr">
        <is>
          <t>PV N° : 03RC2025-DPPCCRTV</t>
        </is>
      </c>
      <c r="E273" s="675" t="inlineStr">
        <is>
          <t>CONTRAT</t>
        </is>
      </c>
      <c r="F273" s="675" t="n"/>
      <c r="G273" s="676" t="inlineStr">
        <is>
          <t>EL GHOLABZOURI BOUTHAINA  -  Réponse sur antenne TV aux questions des téléspectateurs à l'émission TV " يسألونك</t>
        </is>
      </c>
      <c r="H273" s="673" t="inlineStr">
        <is>
          <t>VALIDE</t>
        </is>
      </c>
      <c r="I273" s="675" t="inlineStr">
        <is>
          <t>APPROUVE</t>
        </is>
      </c>
      <c r="J273" s="675" t="n"/>
      <c r="K273" s="673" t="inlineStr">
        <is>
          <t>NON CONCERNE</t>
        </is>
      </c>
      <c r="L273" s="675" t="inlineStr">
        <is>
          <t>Ordinaire</t>
        </is>
      </c>
      <c r="M273" s="677" t="inlineStr">
        <is>
          <t>FONCTIONNEMENT</t>
        </is>
      </c>
      <c r="N273" s="678" t="inlineStr">
        <is>
          <t>Achats de productions et de programmes
Achat des programmes en production interne - personnes physiques</t>
        </is>
      </c>
      <c r="O273" s="679" t="n"/>
      <c r="P273" s="680" t="n"/>
      <c r="Q273" s="680" t="n"/>
      <c r="R273" s="675" t="inlineStr">
        <is>
          <t>RECONDUCTION</t>
        </is>
      </c>
      <c r="S273" s="681" t="n"/>
      <c r="T273" s="682" t="n"/>
      <c r="U273" s="683" t="inlineStr">
        <is>
          <t>EL GHOLABZOURI BOUTHAINA</t>
        </is>
      </c>
      <c r="V273" s="675" t="n">
        <v>2026</v>
      </c>
      <c r="W273" s="682" t="n">
        <v>46387</v>
      </c>
      <c r="X273" s="682" t="n"/>
      <c r="Y273" s="682" t="n">
        <v>46024</v>
      </c>
      <c r="Z273" s="679" t="n">
        <v>42857.1</v>
      </c>
      <c r="AA273" s="680" t="n"/>
      <c r="AB273" s="680">
        <f>Z273</f>
        <v/>
      </c>
      <c r="AC273" s="680" t="n"/>
      <c r="AD273" s="680">
        <f>Z273</f>
        <v/>
      </c>
      <c r="AE273" s="680">
        <f>AB273</f>
        <v/>
      </c>
      <c r="AF273" s="684" t="inlineStr">
        <is>
          <t>ENGAGE</t>
        </is>
      </c>
      <c r="AG273" s="683" t="n"/>
      <c r="AH273" s="680" t="n"/>
      <c r="AI273" s="680" t="n"/>
      <c r="AJ273" s="680" t="n"/>
      <c r="AK273" s="680" t="n"/>
      <c r="AL273" s="685" t="n"/>
      <c r="AM273" s="685" t="n"/>
      <c r="AN273" s="683" t="inlineStr">
        <is>
          <t>Manque n° contrat</t>
        </is>
      </c>
      <c r="AO273" s="686" t="n"/>
      <c r="AP273" s="687" t="n"/>
      <c r="AQ273" s="688" t="n"/>
      <c r="AR273" s="688" t="n"/>
      <c r="AS273" s="23" t="n"/>
      <c r="AT273" s="688" t="n"/>
    </row>
    <row r="274" ht="60" customHeight="1" s="392">
      <c r="A274" s="672">
        <f>IF(AF274="ENGAGE","✔",IF(AF274="EN COURS D'ENGAGEMENT","◕",IF(AF274="PREENGAGE","◑",IF(AF274="EN COURS DE PREENGAGEMENT","◔",IF(AF274="NON ENGAGE","✖","")))))</f>
        <v/>
      </c>
      <c r="B274" s="673" t="n">
        <v>2026</v>
      </c>
      <c r="C274" s="674" t="inlineStr">
        <is>
          <t>ASSADISSA</t>
        </is>
      </c>
      <c r="D274" s="674" t="inlineStr">
        <is>
          <t>PV N° : 03RC2025-DPPCCRTV</t>
        </is>
      </c>
      <c r="E274" s="675" t="inlineStr">
        <is>
          <t>CONTRAT</t>
        </is>
      </c>
      <c r="F274" s="675" t="n"/>
      <c r="G274" s="676" t="inlineStr">
        <is>
          <t>MUSTAPHA ZAMEHNA  -  Réponse sur antenne TV aux questions des téléspectateurs à l'émission TV " يسألونك</t>
        </is>
      </c>
      <c r="H274" s="673" t="inlineStr">
        <is>
          <t>VALIDE</t>
        </is>
      </c>
      <c r="I274" s="675" t="inlineStr">
        <is>
          <t>APPROUVE</t>
        </is>
      </c>
      <c r="J274" s="675" t="n"/>
      <c r="K274" s="673" t="inlineStr">
        <is>
          <t>NON CONCERNE</t>
        </is>
      </c>
      <c r="L274" s="675" t="inlineStr">
        <is>
          <t>Ordinaire</t>
        </is>
      </c>
      <c r="M274" s="677" t="inlineStr">
        <is>
          <t>FONCTIONNEMENT</t>
        </is>
      </c>
      <c r="N274" s="678" t="inlineStr">
        <is>
          <t>Achats de productions et de programmes
Achat des programmes en production interne - personnes physiques</t>
        </is>
      </c>
      <c r="O274" s="679" t="n"/>
      <c r="P274" s="680" t="n"/>
      <c r="Q274" s="680" t="n"/>
      <c r="R274" s="675" t="inlineStr">
        <is>
          <t>RECONDUCTION</t>
        </is>
      </c>
      <c r="S274" s="681" t="n"/>
      <c r="T274" s="682" t="n"/>
      <c r="U274" s="683" t="inlineStr">
        <is>
          <t>MUSTAPHA ZAMEHNA</t>
        </is>
      </c>
      <c r="V274" s="675" t="n">
        <v>2026</v>
      </c>
      <c r="W274" s="682" t="n">
        <v>46387</v>
      </c>
      <c r="X274" s="682" t="n"/>
      <c r="Y274" s="682" t="n">
        <v>46024</v>
      </c>
      <c r="Z274" s="679" t="n">
        <v>57142.8</v>
      </c>
      <c r="AA274" s="680" t="n"/>
      <c r="AB274" s="680">
        <f>Z274</f>
        <v/>
      </c>
      <c r="AC274" s="680" t="n"/>
      <c r="AD274" s="680">
        <f>Z274</f>
        <v/>
      </c>
      <c r="AE274" s="680">
        <f>AB274</f>
        <v/>
      </c>
      <c r="AF274" s="684" t="inlineStr">
        <is>
          <t>ENGAGE</t>
        </is>
      </c>
      <c r="AG274" s="683" t="n"/>
      <c r="AH274" s="680" t="n"/>
      <c r="AI274" s="680" t="n"/>
      <c r="AJ274" s="680" t="n"/>
      <c r="AK274" s="680" t="n"/>
      <c r="AL274" s="685" t="n"/>
      <c r="AM274" s="685" t="n"/>
      <c r="AN274" s="683" t="inlineStr">
        <is>
          <t>Manque n° contrat</t>
        </is>
      </c>
      <c r="AO274" s="686" t="n"/>
      <c r="AP274" s="687" t="n"/>
      <c r="AQ274" s="688" t="n"/>
      <c r="AR274" s="688" t="n"/>
      <c r="AS274" s="23" t="n"/>
      <c r="AT274" s="688" t="n"/>
    </row>
    <row r="275" ht="60" customHeight="1" s="392">
      <c r="A275" s="672">
        <f>IF(AF275="ENGAGE","✔",IF(AF275="EN COURS D'ENGAGEMENT","◕",IF(AF275="PREENGAGE","◑",IF(AF275="EN COURS DE PREENGAGEMENT","◔",IF(AF275="NON ENGAGE","✖","")))))</f>
        <v/>
      </c>
      <c r="B275" s="673" t="n">
        <v>2026</v>
      </c>
      <c r="C275" s="674" t="inlineStr">
        <is>
          <t>ASSADISSA</t>
        </is>
      </c>
      <c r="D275" s="674" t="inlineStr">
        <is>
          <t>PV N° : 03RC2025-DPPCCRTV</t>
        </is>
      </c>
      <c r="E275" s="675" t="inlineStr">
        <is>
          <t>CONTRAT</t>
        </is>
      </c>
      <c r="F275" s="675" t="n"/>
      <c r="G275" s="676" t="inlineStr">
        <is>
          <t>MOHAMMED EL KHIRAOUI  -  Préparation et la présentation l'émission RD "يسألونك"</t>
        </is>
      </c>
      <c r="H275" s="673" t="inlineStr">
        <is>
          <t>VALIDE</t>
        </is>
      </c>
      <c r="I275" s="675" t="inlineStr">
        <is>
          <t>APPROUVE</t>
        </is>
      </c>
      <c r="J275" s="675" t="n"/>
      <c r="K275" s="673" t="inlineStr">
        <is>
          <t>NON CONCERNE</t>
        </is>
      </c>
      <c r="L275" s="675" t="inlineStr">
        <is>
          <t>Ordinaire</t>
        </is>
      </c>
      <c r="M275" s="677" t="inlineStr">
        <is>
          <t>FONCTIONNEMENT</t>
        </is>
      </c>
      <c r="N275" s="678" t="inlineStr">
        <is>
          <t>Achats de productions et de programmes
Achat des programmes en production interne - personnes physiques</t>
        </is>
      </c>
      <c r="O275" s="679" t="n"/>
      <c r="P275" s="680" t="n"/>
      <c r="Q275" s="680" t="n"/>
      <c r="R275" s="675" t="inlineStr">
        <is>
          <t>RECONDUCTION</t>
        </is>
      </c>
      <c r="S275" s="681" t="n"/>
      <c r="T275" s="682" t="n"/>
      <c r="U275" s="683" t="inlineStr">
        <is>
          <t>MOHAMMED EL KHIRAOUI</t>
        </is>
      </c>
      <c r="V275" s="675" t="n">
        <v>2026</v>
      </c>
      <c r="W275" s="682" t="n">
        <v>46387</v>
      </c>
      <c r="X275" s="682" t="n"/>
      <c r="Y275" s="682" t="n">
        <v>46024</v>
      </c>
      <c r="Z275" s="679" t="n">
        <v>142857</v>
      </c>
      <c r="AA275" s="680" t="n"/>
      <c r="AB275" s="680">
        <f>Z275</f>
        <v/>
      </c>
      <c r="AC275" s="680" t="n"/>
      <c r="AD275" s="680">
        <f>Z275</f>
        <v/>
      </c>
      <c r="AE275" s="680">
        <f>AB275</f>
        <v/>
      </c>
      <c r="AF275" s="684" t="inlineStr">
        <is>
          <t>ENGAGE</t>
        </is>
      </c>
      <c r="AG275" s="683" t="n"/>
      <c r="AH275" s="680" t="n"/>
      <c r="AI275" s="680" t="n"/>
      <c r="AJ275" s="680" t="n"/>
      <c r="AK275" s="680" t="n"/>
      <c r="AL275" s="685" t="n"/>
      <c r="AM275" s="685" t="n"/>
      <c r="AN275" s="683" t="inlineStr">
        <is>
          <t>Manque n° contrat</t>
        </is>
      </c>
      <c r="AO275" s="686" t="n"/>
      <c r="AP275" s="687" t="n"/>
      <c r="AQ275" s="688" t="n"/>
      <c r="AR275" s="688" t="n"/>
      <c r="AS275" s="23" t="n"/>
      <c r="AT275" s="688" t="n"/>
    </row>
    <row r="276" ht="60" customHeight="1" s="392">
      <c r="A276" s="672">
        <f>IF(AF276="ENGAGE","✔",IF(AF276="EN COURS D'ENGAGEMENT","◕",IF(AF276="PREENGAGE","◑",IF(AF276="EN COURS DE PREENGAGEMENT","◔",IF(AF276="NON ENGAGE","✖","")))))</f>
        <v/>
      </c>
      <c r="B276" s="673" t="n">
        <v>2026</v>
      </c>
      <c r="C276" s="674" t="inlineStr">
        <is>
          <t>ASSADISSA</t>
        </is>
      </c>
      <c r="D276" s="674" t="inlineStr">
        <is>
          <t>PV N° : 03RC2025-DPPCCRTV</t>
        </is>
      </c>
      <c r="E276" s="675" t="inlineStr">
        <is>
          <t>CONTRAT</t>
        </is>
      </c>
      <c r="F276" s="675" t="n"/>
      <c r="G276" s="676" t="inlineStr">
        <is>
          <t>LAYACHI QABBOUSSI  -  La préparation et présentation de l’émission TV « المسالك"</t>
        </is>
      </c>
      <c r="H276" s="673" t="inlineStr">
        <is>
          <t>VALIDE</t>
        </is>
      </c>
      <c r="I276" s="675" t="inlineStr">
        <is>
          <t>APPROUVE</t>
        </is>
      </c>
      <c r="J276" s="675" t="n"/>
      <c r="K276" s="673" t="inlineStr">
        <is>
          <t>NON CONCERNE</t>
        </is>
      </c>
      <c r="L276" s="675" t="inlineStr">
        <is>
          <t>Ordinaire</t>
        </is>
      </c>
      <c r="M276" s="677" t="inlineStr">
        <is>
          <t>FONCTIONNEMENT</t>
        </is>
      </c>
      <c r="N276" s="678" t="inlineStr">
        <is>
          <t>Achats de productions et de programmes
Achat des programmes en production interne - personnes physiques</t>
        </is>
      </c>
      <c r="O276" s="679" t="n"/>
      <c r="P276" s="680" t="n"/>
      <c r="Q276" s="680" t="n"/>
      <c r="R276" s="675" t="inlineStr">
        <is>
          <t>RECONDUCTION</t>
        </is>
      </c>
      <c r="S276" s="681" t="n"/>
      <c r="T276" s="682" t="n"/>
      <c r="U276" s="683" t="inlineStr">
        <is>
          <t>LAYACHI QABBOUSSI</t>
        </is>
      </c>
      <c r="V276" s="675" t="n">
        <v>2026</v>
      </c>
      <c r="W276" s="682" t="n">
        <v>46387</v>
      </c>
      <c r="X276" s="682" t="n"/>
      <c r="Y276" s="682" t="n">
        <v>46024</v>
      </c>
      <c r="Z276" s="679" t="n">
        <v>99000</v>
      </c>
      <c r="AA276" s="680" t="n"/>
      <c r="AB276" s="680">
        <f>Z276</f>
        <v/>
      </c>
      <c r="AC276" s="680" t="n"/>
      <c r="AD276" s="680">
        <f>Z276</f>
        <v/>
      </c>
      <c r="AE276" s="680">
        <f>AB276</f>
        <v/>
      </c>
      <c r="AF276" s="684" t="inlineStr">
        <is>
          <t>ENGAGE</t>
        </is>
      </c>
      <c r="AG276" s="683" t="n"/>
      <c r="AH276" s="680" t="n"/>
      <c r="AI276" s="680" t="n"/>
      <c r="AJ276" s="680" t="n"/>
      <c r="AK276" s="680" t="n"/>
      <c r="AL276" s="685" t="n"/>
      <c r="AM276" s="685" t="n"/>
      <c r="AN276" s="683" t="inlineStr">
        <is>
          <t>Manque n° contrat</t>
        </is>
      </c>
      <c r="AO276" s="686" t="n"/>
      <c r="AP276" s="687" t="n"/>
      <c r="AQ276" s="688" t="n"/>
      <c r="AR276" s="688" t="n"/>
      <c r="AS276" s="23" t="n"/>
      <c r="AT276" s="688" t="n"/>
    </row>
    <row r="277" ht="60" customHeight="1" s="392">
      <c r="A277" s="672">
        <f>IF(AF277="ENGAGE","✔",IF(AF277="EN COURS D'ENGAGEMENT","◕",IF(AF277="PREENGAGE","◑",IF(AF277="EN COURS DE PREENGAGEMENT","◔",IF(AF277="NON ENGAGE","✖","")))))</f>
        <v/>
      </c>
      <c r="B277" s="673" t="n">
        <v>2026</v>
      </c>
      <c r="C277" s="674" t="inlineStr">
        <is>
          <t>ASSADISSA</t>
        </is>
      </c>
      <c r="D277" s="674" t="inlineStr">
        <is>
          <t>PV N° : 03RC2025-DPPCCRTV</t>
        </is>
      </c>
      <c r="E277" s="675" t="inlineStr">
        <is>
          <t>CONTRAT</t>
        </is>
      </c>
      <c r="F277" s="675" t="n"/>
      <c r="G277" s="676" t="inlineStr">
        <is>
          <t>YOUSSEF ENNACIRI  -  La préparation et la présentation de l'émission TV " السيرة النبوية قضايا وأعلام"</t>
        </is>
      </c>
      <c r="H277" s="673" t="inlineStr">
        <is>
          <t>VALIDE</t>
        </is>
      </c>
      <c r="I277" s="675" t="inlineStr">
        <is>
          <t>APPROUVE</t>
        </is>
      </c>
      <c r="J277" s="675" t="n"/>
      <c r="K277" s="673" t="inlineStr">
        <is>
          <t>NON CONCERNE</t>
        </is>
      </c>
      <c r="L277" s="675" t="inlineStr">
        <is>
          <t>Ordinaire</t>
        </is>
      </c>
      <c r="M277" s="677" t="inlineStr">
        <is>
          <t>FONCTIONNEMENT</t>
        </is>
      </c>
      <c r="N277" s="678" t="inlineStr">
        <is>
          <t>Achats de productions et de programmes
Achat des programmes en production interne - personnes physiques</t>
        </is>
      </c>
      <c r="O277" s="679" t="n"/>
      <c r="P277" s="680" t="n"/>
      <c r="Q277" s="680" t="n"/>
      <c r="R277" s="675" t="inlineStr">
        <is>
          <t>RECONDUCTION</t>
        </is>
      </c>
      <c r="S277" s="681" t="n"/>
      <c r="T277" s="682" t="n"/>
      <c r="U277" s="683" t="inlineStr">
        <is>
          <t>YOUSSEF ENNACIRI</t>
        </is>
      </c>
      <c r="V277" s="675" t="n">
        <v>2026</v>
      </c>
      <c r="W277" s="682" t="n">
        <v>46387</v>
      </c>
      <c r="X277" s="682" t="n"/>
      <c r="Y277" s="682" t="n">
        <v>46024</v>
      </c>
      <c r="Z277" s="679" t="n">
        <v>99000</v>
      </c>
      <c r="AA277" s="680" t="n"/>
      <c r="AB277" s="680">
        <f>Z277</f>
        <v/>
      </c>
      <c r="AC277" s="680" t="n"/>
      <c r="AD277" s="680">
        <f>Z277</f>
        <v/>
      </c>
      <c r="AE277" s="680">
        <f>AB277</f>
        <v/>
      </c>
      <c r="AF277" s="684" t="inlineStr">
        <is>
          <t>ENGAGE</t>
        </is>
      </c>
      <c r="AG277" s="683" t="n"/>
      <c r="AH277" s="680" t="n"/>
      <c r="AI277" s="680" t="n"/>
      <c r="AJ277" s="680" t="n"/>
      <c r="AK277" s="680" t="n"/>
      <c r="AL277" s="685" t="n"/>
      <c r="AM277" s="685" t="n"/>
      <c r="AN277" s="683" t="inlineStr">
        <is>
          <t>Manque n° contrat</t>
        </is>
      </c>
      <c r="AO277" s="686" t="n"/>
      <c r="AP277" s="687" t="n"/>
      <c r="AQ277" s="688" t="n"/>
      <c r="AR277" s="688" t="n"/>
      <c r="AS277" s="23" t="n"/>
      <c r="AT277" s="688" t="n"/>
    </row>
    <row r="278" ht="60" customHeight="1" s="392">
      <c r="A278" s="672">
        <f>IF(AF278="ENGAGE","✔",IF(AF278="EN COURS D'ENGAGEMENT","◕",IF(AF278="PREENGAGE","◑",IF(AF278="EN COURS DE PREENGAGEMENT","◔",IF(AF278="NON ENGAGE","✖","")))))</f>
        <v/>
      </c>
      <c r="B278" s="673" t="n">
        <v>2026</v>
      </c>
      <c r="C278" s="674" t="inlineStr">
        <is>
          <t>ASSADISSA</t>
        </is>
      </c>
      <c r="D278" s="674" t="inlineStr">
        <is>
          <t>PV N° : 03RC2025-DPPCCRTV</t>
        </is>
      </c>
      <c r="E278" s="675" t="inlineStr">
        <is>
          <t>CONTRAT</t>
        </is>
      </c>
      <c r="F278" s="675" t="n"/>
      <c r="G278" s="676" t="inlineStr">
        <is>
          <t>LAMINE ABDERRAHIM  -  Réponse sur antenne RD aux questions des auditeurs à l'émission RD "يسألونك" / La préparation de l'émission TV "الدين و القانون"</t>
        </is>
      </c>
      <c r="H278" s="673" t="inlineStr">
        <is>
          <t>VALIDE</t>
        </is>
      </c>
      <c r="I278" s="675" t="inlineStr">
        <is>
          <t>APPROUVE</t>
        </is>
      </c>
      <c r="J278" s="675" t="n"/>
      <c r="K278" s="673" t="inlineStr">
        <is>
          <t>NON CONCERNE</t>
        </is>
      </c>
      <c r="L278" s="675" t="inlineStr">
        <is>
          <t>Ordinaire</t>
        </is>
      </c>
      <c r="M278" s="677" t="inlineStr">
        <is>
          <t>FONCTIONNEMENT</t>
        </is>
      </c>
      <c r="N278" s="678" t="inlineStr">
        <is>
          <t>Achats de productions et de programmes
Achat des programmes en production interne - personnes physiques</t>
        </is>
      </c>
      <c r="O278" s="679" t="n"/>
      <c r="P278" s="680" t="n"/>
      <c r="Q278" s="680" t="n"/>
      <c r="R278" s="675" t="inlineStr">
        <is>
          <t>RECONDUCTION</t>
        </is>
      </c>
      <c r="S278" s="681" t="n"/>
      <c r="T278" s="682" t="n"/>
      <c r="U278" s="683" t="inlineStr">
        <is>
          <t>LAMINE ABDERRAHIM</t>
        </is>
      </c>
      <c r="V278" s="675" t="n">
        <v>2026</v>
      </c>
      <c r="W278" s="682" t="n">
        <v>46387</v>
      </c>
      <c r="X278" s="682" t="n"/>
      <c r="Y278" s="682" t="n">
        <v>46024</v>
      </c>
      <c r="Z278" s="679" t="n">
        <v>146571.36</v>
      </c>
      <c r="AA278" s="680" t="n"/>
      <c r="AB278" s="680">
        <f>Z278</f>
        <v/>
      </c>
      <c r="AC278" s="680" t="n"/>
      <c r="AD278" s="680">
        <f>Z278</f>
        <v/>
      </c>
      <c r="AE278" s="680">
        <f>AB278</f>
        <v/>
      </c>
      <c r="AF278" s="684" t="inlineStr">
        <is>
          <t>ENGAGE</t>
        </is>
      </c>
      <c r="AG278" s="683" t="n"/>
      <c r="AH278" s="680" t="n"/>
      <c r="AI278" s="680" t="n"/>
      <c r="AJ278" s="680" t="n"/>
      <c r="AK278" s="680" t="n"/>
      <c r="AL278" s="685" t="n"/>
      <c r="AM278" s="685" t="n"/>
      <c r="AN278" s="683" t="inlineStr">
        <is>
          <t>Manque n° contrat</t>
        </is>
      </c>
      <c r="AO278" s="686" t="n"/>
      <c r="AP278" s="687" t="n"/>
      <c r="AQ278" s="688" t="n"/>
      <c r="AR278" s="688" t="n"/>
      <c r="AS278" s="23" t="n"/>
      <c r="AT278" s="688" t="n"/>
    </row>
    <row r="279" ht="60" customHeight="1" s="392">
      <c r="A279" s="672">
        <f>IF(AF279="ENGAGE","✔",IF(AF279="EN COURS D'ENGAGEMENT","◕",IF(AF279="PREENGAGE","◑",IF(AF279="EN COURS DE PREENGAGEMENT","◔",IF(AF279="NON ENGAGE","✖","")))))</f>
        <v/>
      </c>
      <c r="B279" s="673" t="n">
        <v>2026</v>
      </c>
      <c r="C279" s="674" t="inlineStr">
        <is>
          <t>ASSADISSA</t>
        </is>
      </c>
      <c r="D279" s="674" t="inlineStr">
        <is>
          <t>PV N° : 03RC2025-DPPCCRTV</t>
        </is>
      </c>
      <c r="E279" s="675" t="inlineStr">
        <is>
          <t>CONTRAT</t>
        </is>
      </c>
      <c r="F279" s="675" t="n"/>
      <c r="G279" s="676" t="inlineStr">
        <is>
          <t>ZERRAD NAWAL  -  La préparation et la présentation de la capsule RD "حكم من القرآن و السنة".</t>
        </is>
      </c>
      <c r="H279" s="673" t="inlineStr">
        <is>
          <t>VALIDE</t>
        </is>
      </c>
      <c r="I279" s="675" t="inlineStr">
        <is>
          <t>APPROUVE</t>
        </is>
      </c>
      <c r="J279" s="675" t="n"/>
      <c r="K279" s="673" t="inlineStr">
        <is>
          <t>NON CONCERNE</t>
        </is>
      </c>
      <c r="L279" s="675" t="inlineStr">
        <is>
          <t>Ordinaire</t>
        </is>
      </c>
      <c r="M279" s="677" t="inlineStr">
        <is>
          <t>FONCTIONNEMENT</t>
        </is>
      </c>
      <c r="N279" s="678" t="inlineStr">
        <is>
          <t>Achats de productions et de programmes
Achat des programmes en production interne - personnes physiques</t>
        </is>
      </c>
      <c r="O279" s="679" t="n"/>
      <c r="P279" s="680" t="n"/>
      <c r="Q279" s="680" t="n"/>
      <c r="R279" s="675" t="inlineStr">
        <is>
          <t>RECONDUCTION</t>
        </is>
      </c>
      <c r="S279" s="681" t="n"/>
      <c r="T279" s="682" t="n"/>
      <c r="U279" s="683" t="inlineStr">
        <is>
          <t>ZERRAD NAWAL</t>
        </is>
      </c>
      <c r="V279" s="675" t="n">
        <v>2026</v>
      </c>
      <c r="W279" s="682" t="n">
        <v>46387</v>
      </c>
      <c r="X279" s="682" t="n"/>
      <c r="Y279" s="682" t="n">
        <v>46024</v>
      </c>
      <c r="Z279" s="679" t="n">
        <v>12000</v>
      </c>
      <c r="AA279" s="680" t="n"/>
      <c r="AB279" s="680">
        <f>Z279</f>
        <v/>
      </c>
      <c r="AC279" s="680" t="n"/>
      <c r="AD279" s="680">
        <f>Z279</f>
        <v/>
      </c>
      <c r="AE279" s="680">
        <f>AB279</f>
        <v/>
      </c>
      <c r="AF279" s="684" t="inlineStr">
        <is>
          <t>ENGAGE</t>
        </is>
      </c>
      <c r="AG279" s="683" t="n"/>
      <c r="AH279" s="680" t="n"/>
      <c r="AI279" s="680" t="n"/>
      <c r="AJ279" s="680" t="n"/>
      <c r="AK279" s="680" t="n"/>
      <c r="AL279" s="685" t="n"/>
      <c r="AM279" s="685" t="n"/>
      <c r="AN279" s="683" t="inlineStr">
        <is>
          <t>Manque n° contrat</t>
        </is>
      </c>
      <c r="AO279" s="686" t="n"/>
      <c r="AP279" s="687" t="n"/>
      <c r="AQ279" s="688" t="n"/>
      <c r="AR279" s="688" t="n"/>
      <c r="AS279" s="23" t="n"/>
      <c r="AT279" s="688" t="n"/>
    </row>
    <row r="280" ht="60" customHeight="1" s="392">
      <c r="A280" s="672">
        <f>IF(AF280="ENGAGE","✔",IF(AF280="EN COURS D'ENGAGEMENT","◕",IF(AF280="PREENGAGE","◑",IF(AF280="EN COURS DE PREENGAGEMENT","◔",IF(AF280="NON ENGAGE","✖","")))))</f>
        <v/>
      </c>
      <c r="B280" s="673" t="n">
        <v>2026</v>
      </c>
      <c r="C280" s="674" t="inlineStr">
        <is>
          <t>ASSADISSA</t>
        </is>
      </c>
      <c r="D280" s="674" t="inlineStr">
        <is>
          <t>PV N° : 03RC2025-DPPCCRTV</t>
        </is>
      </c>
      <c r="E280" s="675" t="inlineStr">
        <is>
          <t>CONTRAT</t>
        </is>
      </c>
      <c r="F280" s="675" t="n"/>
      <c r="G280" s="676" t="inlineStr">
        <is>
          <t>AHMED BENMAHANE  -  La préparation et la Présentation de l'émission TV "براعم القراء" / La Préparation et la présentation de l'émission RD "مواهب التجويد"</t>
        </is>
      </c>
      <c r="H280" s="673" t="inlineStr">
        <is>
          <t>VALIDE</t>
        </is>
      </c>
      <c r="I280" s="675" t="inlineStr">
        <is>
          <t>APPROUVE</t>
        </is>
      </c>
      <c r="J280" s="675" t="n"/>
      <c r="K280" s="673" t="inlineStr">
        <is>
          <t>NON CONCERNE</t>
        </is>
      </c>
      <c r="L280" s="675" t="inlineStr">
        <is>
          <t>Ordinaire</t>
        </is>
      </c>
      <c r="M280" s="677" t="inlineStr">
        <is>
          <t>FONCTIONNEMENT</t>
        </is>
      </c>
      <c r="N280" s="678" t="inlineStr">
        <is>
          <t>Achats de productions et de programmes
Achat des programmes en production interne - personnes physiques</t>
        </is>
      </c>
      <c r="O280" s="679" t="n"/>
      <c r="P280" s="680" t="n"/>
      <c r="Q280" s="680" t="n"/>
      <c r="R280" s="675" t="inlineStr">
        <is>
          <t>RECONDUCTION</t>
        </is>
      </c>
      <c r="S280" s="681" t="n"/>
      <c r="T280" s="682" t="n"/>
      <c r="U280" s="683" t="inlineStr">
        <is>
          <t>AHMED BENMAHANE</t>
        </is>
      </c>
      <c r="V280" s="675" t="n">
        <v>2026</v>
      </c>
      <c r="W280" s="682" t="n">
        <v>46387</v>
      </c>
      <c r="X280" s="682" t="n"/>
      <c r="Y280" s="682" t="n">
        <v>46024</v>
      </c>
      <c r="Z280" s="679" t="n">
        <v>185280</v>
      </c>
      <c r="AA280" s="680" t="n"/>
      <c r="AB280" s="680">
        <f>Z280</f>
        <v/>
      </c>
      <c r="AC280" s="680" t="n"/>
      <c r="AD280" s="680">
        <f>Z280</f>
        <v/>
      </c>
      <c r="AE280" s="680">
        <f>AB280</f>
        <v/>
      </c>
      <c r="AF280" s="684" t="inlineStr">
        <is>
          <t>ENGAGE</t>
        </is>
      </c>
      <c r="AG280" s="683" t="n"/>
      <c r="AH280" s="680" t="n"/>
      <c r="AI280" s="680" t="n"/>
      <c r="AJ280" s="680" t="n"/>
      <c r="AK280" s="680" t="n"/>
      <c r="AL280" s="685" t="n"/>
      <c r="AM280" s="685" t="n"/>
      <c r="AN280" s="683" t="inlineStr">
        <is>
          <t>Manque n° contrat</t>
        </is>
      </c>
      <c r="AO280" s="686" t="n"/>
      <c r="AP280" s="687" t="n"/>
      <c r="AQ280" s="688" t="n"/>
      <c r="AR280" s="688" t="n"/>
      <c r="AS280" s="23" t="n"/>
      <c r="AT280" s="688" t="n"/>
    </row>
    <row r="281" ht="60" customHeight="1" s="392">
      <c r="A281" s="672">
        <f>IF(AF281="ENGAGE","✔",IF(AF281="EN COURS D'ENGAGEMENT","◕",IF(AF281="PREENGAGE","◑",IF(AF281="EN COURS DE PREENGAGEMENT","◔",IF(AF281="NON ENGAGE","✖","")))))</f>
        <v/>
      </c>
      <c r="B281" s="673" t="n">
        <v>2026</v>
      </c>
      <c r="C281" s="674" t="inlineStr">
        <is>
          <t>ASSADISSA</t>
        </is>
      </c>
      <c r="D281" s="674" t="inlineStr">
        <is>
          <t>PV N° : 03RC2025-DPPCCRTV</t>
        </is>
      </c>
      <c r="E281" s="675" t="inlineStr">
        <is>
          <t>CONTRAT</t>
        </is>
      </c>
      <c r="F281" s="675" t="n"/>
      <c r="G281" s="676" t="inlineStr">
        <is>
          <t>FATOUHI HICHAM  -  La préparation de l'émission TV "الدين و القانون" / La présentation de la capsule RD " ''كمالات محمدية''</t>
        </is>
      </c>
      <c r="H281" s="673" t="inlineStr">
        <is>
          <t>VALIDE</t>
        </is>
      </c>
      <c r="I281" s="675" t="inlineStr">
        <is>
          <t>APPROUVE</t>
        </is>
      </c>
      <c r="J281" s="675" t="n"/>
      <c r="K281" s="673" t="inlineStr">
        <is>
          <t>NON CONCERNE</t>
        </is>
      </c>
      <c r="L281" s="675" t="inlineStr">
        <is>
          <t>Ordinaire</t>
        </is>
      </c>
      <c r="M281" s="677" t="inlineStr">
        <is>
          <t>FONCTIONNEMENT</t>
        </is>
      </c>
      <c r="N281" s="678" t="inlineStr">
        <is>
          <t>Achats de productions et de programmes
Achat des programmes en production interne - personnes physiques</t>
        </is>
      </c>
      <c r="O281" s="679" t="n"/>
      <c r="P281" s="680" t="n"/>
      <c r="Q281" s="680" t="n"/>
      <c r="R281" s="675" t="inlineStr">
        <is>
          <t>RECONDUCTION</t>
        </is>
      </c>
      <c r="S281" s="681" t="n"/>
      <c r="T281" s="682" t="n"/>
      <c r="U281" s="683" t="inlineStr">
        <is>
          <t>FATOUHI HICHAM</t>
        </is>
      </c>
      <c r="V281" s="675" t="n">
        <v>2026</v>
      </c>
      <c r="W281" s="682" t="n">
        <v>46387</v>
      </c>
      <c r="X281" s="682" t="n"/>
      <c r="Y281" s="682" t="n">
        <v>46024</v>
      </c>
      <c r="Z281" s="679" t="n">
        <v>138000</v>
      </c>
      <c r="AA281" s="680" t="n"/>
      <c r="AB281" s="680">
        <f>Z281</f>
        <v/>
      </c>
      <c r="AC281" s="680" t="n"/>
      <c r="AD281" s="680">
        <f>Z281</f>
        <v/>
      </c>
      <c r="AE281" s="680">
        <f>AB281</f>
        <v/>
      </c>
      <c r="AF281" s="684" t="inlineStr">
        <is>
          <t>ENGAGE</t>
        </is>
      </c>
      <c r="AG281" s="683" t="n"/>
      <c r="AH281" s="680" t="n"/>
      <c r="AI281" s="680" t="n"/>
      <c r="AJ281" s="680" t="n"/>
      <c r="AK281" s="680" t="n"/>
      <c r="AL281" s="685" t="n"/>
      <c r="AM281" s="685" t="n"/>
      <c r="AN281" s="683" t="inlineStr">
        <is>
          <t>Manque n° contrat</t>
        </is>
      </c>
      <c r="AO281" s="686" t="n"/>
      <c r="AP281" s="687" t="n"/>
      <c r="AQ281" s="688" t="n"/>
      <c r="AR281" s="688" t="n"/>
      <c r="AS281" s="23" t="n"/>
      <c r="AT281" s="688" t="n"/>
    </row>
    <row r="282" ht="60" customHeight="1" s="392">
      <c r="A282" s="672">
        <f>IF(AF282="ENGAGE","✔",IF(AF282="EN COURS D'ENGAGEMENT","◕",IF(AF282="PREENGAGE","◑",IF(AF282="EN COURS DE PREENGAGEMENT","◔",IF(AF282="NON ENGAGE","✖","")))))</f>
        <v/>
      </c>
      <c r="B282" s="673" t="n">
        <v>2026</v>
      </c>
      <c r="C282" s="674" t="inlineStr">
        <is>
          <t>ASSADISSA</t>
        </is>
      </c>
      <c r="D282" s="674" t="inlineStr">
        <is>
          <t>PV N° : 03RC2025-DPPCCRTV</t>
        </is>
      </c>
      <c r="E282" s="675" t="inlineStr">
        <is>
          <t>CONTRAT</t>
        </is>
      </c>
      <c r="F282" s="675" t="n"/>
      <c r="G282" s="676" t="inlineStr">
        <is>
          <t>MOHAMED THAMI EL HARRAK  -  La préparation de la capsule RD " ''كمالات محمدية''</t>
        </is>
      </c>
      <c r="H282" s="673" t="inlineStr">
        <is>
          <t>VALIDE</t>
        </is>
      </c>
      <c r="I282" s="675" t="inlineStr">
        <is>
          <t>APPROUVE</t>
        </is>
      </c>
      <c r="J282" s="675" t="n"/>
      <c r="K282" s="673" t="inlineStr">
        <is>
          <t>NON CONCERNE</t>
        </is>
      </c>
      <c r="L282" s="675" t="inlineStr">
        <is>
          <t>Ordinaire</t>
        </is>
      </c>
      <c r="M282" s="677" t="inlineStr">
        <is>
          <t>FONCTIONNEMENT</t>
        </is>
      </c>
      <c r="N282" s="678" t="inlineStr">
        <is>
          <t>Achats de productions et de programmes
Achat des programmes en production interne - personnes physiques</t>
        </is>
      </c>
      <c r="O282" s="679" t="n"/>
      <c r="P282" s="680" t="n"/>
      <c r="Q282" s="680" t="n"/>
      <c r="R282" s="675" t="inlineStr">
        <is>
          <t>RECONDUCTION</t>
        </is>
      </c>
      <c r="S282" s="681" t="n"/>
      <c r="T282" s="682" t="n"/>
      <c r="U282" s="683" t="inlineStr">
        <is>
          <t>MOHAMED THAMI EL HARRAK</t>
        </is>
      </c>
      <c r="V282" s="675" t="n">
        <v>2026</v>
      </c>
      <c r="W282" s="682" t="n">
        <v>46387</v>
      </c>
      <c r="X282" s="682" t="n"/>
      <c r="Y282" s="682" t="n">
        <v>46024</v>
      </c>
      <c r="Z282" s="679" t="n">
        <v>60000</v>
      </c>
      <c r="AA282" s="680" t="n"/>
      <c r="AB282" s="680">
        <f>Z282</f>
        <v/>
      </c>
      <c r="AC282" s="680" t="n"/>
      <c r="AD282" s="680">
        <f>Z282</f>
        <v/>
      </c>
      <c r="AE282" s="680">
        <f>AB282</f>
        <v/>
      </c>
      <c r="AF282" s="684" t="inlineStr">
        <is>
          <t>ENGAGE</t>
        </is>
      </c>
      <c r="AG282" s="683" t="n"/>
      <c r="AH282" s="680" t="n"/>
      <c r="AI282" s="680" t="n"/>
      <c r="AJ282" s="680" t="n"/>
      <c r="AK282" s="680" t="n"/>
      <c r="AL282" s="685" t="n"/>
      <c r="AM282" s="685" t="n"/>
      <c r="AN282" s="683" t="inlineStr">
        <is>
          <t>Manque n° contrat</t>
        </is>
      </c>
      <c r="AO282" s="686" t="n"/>
      <c r="AP282" s="687" t="n"/>
      <c r="AQ282" s="688" t="n"/>
      <c r="AR282" s="688" t="n"/>
      <c r="AS282" s="23" t="n"/>
      <c r="AT282" s="688" t="n"/>
    </row>
    <row r="283" ht="60" customHeight="1" s="392">
      <c r="A283" s="672">
        <f>IF(AF283="ENGAGE","✔",IF(AF283="EN COURS D'ENGAGEMENT","◕",IF(AF283="PREENGAGE","◑",IF(AF283="EN COURS DE PREENGAGEMENT","◔",IF(AF283="NON ENGAGE","✖","")))))</f>
        <v/>
      </c>
      <c r="B283" s="673" t="n">
        <v>2026</v>
      </c>
      <c r="C283" s="674" t="inlineStr">
        <is>
          <t>ASSADISSA</t>
        </is>
      </c>
      <c r="D283" s="674" t="inlineStr">
        <is>
          <t>PV N° : 03RC2025-DPPCCRTV</t>
        </is>
      </c>
      <c r="E283" s="675" t="inlineStr">
        <is>
          <t>CONTRAT</t>
        </is>
      </c>
      <c r="F283" s="675" t="n"/>
      <c r="G283" s="676" t="inlineStr">
        <is>
          <t>ILYASSE BENNANI  -  La préparation et la présentation de la capsule RD ''ومضات حول الثوابت''</t>
        </is>
      </c>
      <c r="H283" s="673" t="inlineStr">
        <is>
          <t>VALIDE</t>
        </is>
      </c>
      <c r="I283" s="675" t="inlineStr">
        <is>
          <t>APPROUVE</t>
        </is>
      </c>
      <c r="J283" s="675" t="n"/>
      <c r="K283" s="673" t="inlineStr">
        <is>
          <t>NON CONCERNE</t>
        </is>
      </c>
      <c r="L283" s="675" t="inlineStr">
        <is>
          <t>Ordinaire</t>
        </is>
      </c>
      <c r="M283" s="677" t="inlineStr">
        <is>
          <t>FONCTIONNEMENT</t>
        </is>
      </c>
      <c r="N283" s="678" t="inlineStr">
        <is>
          <t>Achats de productions et de programmes
Achat des programmes en production interne - personnes physiques</t>
        </is>
      </c>
      <c r="O283" s="679" t="n"/>
      <c r="P283" s="680" t="n"/>
      <c r="Q283" s="680" t="n"/>
      <c r="R283" s="675" t="inlineStr">
        <is>
          <t>RECONDUCTION</t>
        </is>
      </c>
      <c r="S283" s="681" t="n"/>
      <c r="T283" s="682" t="n"/>
      <c r="U283" s="683" t="inlineStr">
        <is>
          <t>ILYASSE BENNANI</t>
        </is>
      </c>
      <c r="V283" s="675" t="n">
        <v>2026</v>
      </c>
      <c r="W283" s="682" t="n">
        <v>46387</v>
      </c>
      <c r="X283" s="682" t="n"/>
      <c r="Y283" s="682" t="n">
        <v>46024</v>
      </c>
      <c r="Z283" s="679" t="n">
        <v>54000</v>
      </c>
      <c r="AA283" s="680" t="n"/>
      <c r="AB283" s="680">
        <f>Z283</f>
        <v/>
      </c>
      <c r="AC283" s="680" t="n"/>
      <c r="AD283" s="680">
        <f>Z283</f>
        <v/>
      </c>
      <c r="AE283" s="680">
        <f>AB283</f>
        <v/>
      </c>
      <c r="AF283" s="684" t="inlineStr">
        <is>
          <t>ENGAGE</t>
        </is>
      </c>
      <c r="AG283" s="683" t="n"/>
      <c r="AH283" s="680" t="n"/>
      <c r="AI283" s="680" t="n"/>
      <c r="AJ283" s="680" t="n"/>
      <c r="AK283" s="680" t="n"/>
      <c r="AL283" s="685" t="n"/>
      <c r="AM283" s="685" t="n"/>
      <c r="AN283" s="683" t="inlineStr">
        <is>
          <t>Manque n° contrat</t>
        </is>
      </c>
      <c r="AO283" s="686" t="n"/>
      <c r="AP283" s="687" t="n"/>
      <c r="AQ283" s="688" t="n"/>
      <c r="AR283" s="688" t="n"/>
      <c r="AS283" s="23" t="n"/>
      <c r="AT283" s="688" t="n"/>
    </row>
    <row r="284" ht="60" customHeight="1" s="392">
      <c r="A284" s="672">
        <f>IF(AF284="ENGAGE","✔",IF(AF284="EN COURS D'ENGAGEMENT","◕",IF(AF284="PREENGAGE","◑",IF(AF284="EN COURS DE PREENGAGEMENT","◔",IF(AF284="NON ENGAGE","✖","")))))</f>
        <v/>
      </c>
      <c r="B284" s="673" t="n">
        <v>2026</v>
      </c>
      <c r="C284" s="674" t="inlineStr">
        <is>
          <t>ASSADISSA</t>
        </is>
      </c>
      <c r="D284" s="674" t="inlineStr">
        <is>
          <t>PV N° : 03RC2025-DPPCCRTV</t>
        </is>
      </c>
      <c r="E284" s="675" t="inlineStr">
        <is>
          <t>CONTRAT</t>
        </is>
      </c>
      <c r="F284" s="675" t="n"/>
      <c r="G284" s="676" t="inlineStr">
        <is>
          <t>HAMDAOUI FATIHA  -  La préparation et la présentation de l'émission RD "طفل يقرأ"</t>
        </is>
      </c>
      <c r="H284" s="673" t="inlineStr">
        <is>
          <t>VALIDE</t>
        </is>
      </c>
      <c r="I284" s="675" t="inlineStr">
        <is>
          <t>APPROUVE</t>
        </is>
      </c>
      <c r="J284" s="675" t="n"/>
      <c r="K284" s="673" t="inlineStr">
        <is>
          <t>NON CONCERNE</t>
        </is>
      </c>
      <c r="L284" s="675" t="inlineStr">
        <is>
          <t>Ordinaire</t>
        </is>
      </c>
      <c r="M284" s="677" t="inlineStr">
        <is>
          <t>FONCTIONNEMENT</t>
        </is>
      </c>
      <c r="N284" s="678" t="inlineStr">
        <is>
          <t>Achats de productions et de programmes
Achat des programmes en production interne - personnes physiques</t>
        </is>
      </c>
      <c r="O284" s="679" t="n"/>
      <c r="P284" s="680" t="n"/>
      <c r="Q284" s="680" t="n"/>
      <c r="R284" s="675" t="inlineStr">
        <is>
          <t>RECONDUCTION</t>
        </is>
      </c>
      <c r="S284" s="681" t="n"/>
      <c r="T284" s="682" t="n"/>
      <c r="U284" s="683" t="inlineStr">
        <is>
          <t>HAMDAOUI FATIHA</t>
        </is>
      </c>
      <c r="V284" s="675" t="n">
        <v>2026</v>
      </c>
      <c r="W284" s="682" t="n">
        <v>46387</v>
      </c>
      <c r="X284" s="682" t="n"/>
      <c r="Y284" s="682" t="n">
        <v>46024</v>
      </c>
      <c r="Z284" s="679" t="n">
        <v>60000</v>
      </c>
      <c r="AA284" s="680" t="n"/>
      <c r="AB284" s="680">
        <f>Z284</f>
        <v/>
      </c>
      <c r="AC284" s="680" t="n"/>
      <c r="AD284" s="680">
        <f>Z284</f>
        <v/>
      </c>
      <c r="AE284" s="680">
        <f>AB284</f>
        <v/>
      </c>
      <c r="AF284" s="684" t="inlineStr">
        <is>
          <t>ENGAGE</t>
        </is>
      </c>
      <c r="AG284" s="683" t="n"/>
      <c r="AH284" s="680" t="n"/>
      <c r="AI284" s="680" t="n"/>
      <c r="AJ284" s="680" t="n"/>
      <c r="AK284" s="680" t="n"/>
      <c r="AL284" s="685" t="n"/>
      <c r="AM284" s="685" t="n"/>
      <c r="AN284" s="683" t="inlineStr">
        <is>
          <t>Manque n° contrat</t>
        </is>
      </c>
      <c r="AO284" s="686" t="n"/>
      <c r="AP284" s="687" t="n"/>
      <c r="AQ284" s="688" t="n"/>
      <c r="AR284" s="688" t="n"/>
      <c r="AS284" s="23" t="n"/>
      <c r="AT284" s="688" t="n"/>
    </row>
    <row r="285" ht="60" customHeight="1" s="392">
      <c r="A285" s="672">
        <f>IF(AF285="ENGAGE","✔",IF(AF285="EN COURS D'ENGAGEMENT","◕",IF(AF285="PREENGAGE","◑",IF(AF285="EN COURS DE PREENGAGEMENT","◔",IF(AF285="NON ENGAGE","✖","")))))</f>
        <v/>
      </c>
      <c r="B285" s="673" t="n">
        <v>2026</v>
      </c>
      <c r="C285" s="674" t="inlineStr">
        <is>
          <t>ASSADISSA</t>
        </is>
      </c>
      <c r="D285" s="674" t="inlineStr">
        <is>
          <t>PV N° : 03RC2025-DPPCCRTV</t>
        </is>
      </c>
      <c r="E285" s="675" t="inlineStr">
        <is>
          <t>CONTRAT</t>
        </is>
      </c>
      <c r="F285" s="675" t="n"/>
      <c r="G285" s="676" t="inlineStr">
        <is>
          <t>MOHCIN NORCH  -  La préparation et la présentation de l'émission RD "محافل السماع".</t>
        </is>
      </c>
      <c r="H285" s="673" t="inlineStr">
        <is>
          <t>VALIDE</t>
        </is>
      </c>
      <c r="I285" s="675" t="inlineStr">
        <is>
          <t>APPROUVE</t>
        </is>
      </c>
      <c r="J285" s="675" t="n"/>
      <c r="K285" s="673" t="inlineStr">
        <is>
          <t>NON CONCERNE</t>
        </is>
      </c>
      <c r="L285" s="675" t="inlineStr">
        <is>
          <t>Ordinaire</t>
        </is>
      </c>
      <c r="M285" s="677" t="inlineStr">
        <is>
          <t>FONCTIONNEMENT</t>
        </is>
      </c>
      <c r="N285" s="678" t="inlineStr">
        <is>
          <t>Achats de productions et de programmes
Achat des programmes en production interne - personnes physiques</t>
        </is>
      </c>
      <c r="O285" s="679" t="n"/>
      <c r="P285" s="680" t="n"/>
      <c r="Q285" s="680" t="n"/>
      <c r="R285" s="675" t="inlineStr">
        <is>
          <t>RECONDUCTION</t>
        </is>
      </c>
      <c r="S285" s="681" t="n"/>
      <c r="T285" s="682" t="n"/>
      <c r="U285" s="683" t="inlineStr">
        <is>
          <t>MOHCIN NORCH</t>
        </is>
      </c>
      <c r="V285" s="675" t="n">
        <v>2026</v>
      </c>
      <c r="W285" s="682" t="n">
        <v>46387</v>
      </c>
      <c r="X285" s="682" t="n"/>
      <c r="Y285" s="682" t="n">
        <v>46024</v>
      </c>
      <c r="Z285" s="679" t="n">
        <v>100000</v>
      </c>
      <c r="AA285" s="680" t="n"/>
      <c r="AB285" s="680">
        <f>Z285</f>
        <v/>
      </c>
      <c r="AC285" s="680" t="n"/>
      <c r="AD285" s="680">
        <f>Z285</f>
        <v/>
      </c>
      <c r="AE285" s="680">
        <f>AB285</f>
        <v/>
      </c>
      <c r="AF285" s="684" t="inlineStr">
        <is>
          <t>ENGAGE</t>
        </is>
      </c>
      <c r="AG285" s="683" t="n"/>
      <c r="AH285" s="680" t="n"/>
      <c r="AI285" s="680" t="n"/>
      <c r="AJ285" s="680" t="n"/>
      <c r="AK285" s="680" t="n"/>
      <c r="AL285" s="685" t="n"/>
      <c r="AM285" s="685" t="n"/>
      <c r="AN285" s="683" t="inlineStr">
        <is>
          <t>Manque n° contrat</t>
        </is>
      </c>
      <c r="AO285" s="686" t="n"/>
      <c r="AP285" s="687" t="n"/>
      <c r="AQ285" s="688" t="n"/>
      <c r="AR285" s="688" t="n"/>
      <c r="AS285" s="23" t="n"/>
      <c r="AT285" s="688" t="n"/>
    </row>
    <row r="286" ht="60" customHeight="1" s="392">
      <c r="A286" s="672">
        <f>IF(AF286="ENGAGE","✔",IF(AF286="EN COURS D'ENGAGEMENT","◕",IF(AF286="PREENGAGE","◑",IF(AF286="EN COURS DE PREENGAGEMENT","◔",IF(AF286="NON ENGAGE","✖","")))))</f>
        <v/>
      </c>
      <c r="B286" s="673" t="n">
        <v>2026</v>
      </c>
      <c r="C286" s="674" t="inlineStr">
        <is>
          <t>ASSADISSA</t>
        </is>
      </c>
      <c r="D286" s="674" t="inlineStr">
        <is>
          <t>PV N° : 03RC2025-DPPCCRTV</t>
        </is>
      </c>
      <c r="E286" s="675" t="inlineStr">
        <is>
          <t>CONTRAT</t>
        </is>
      </c>
      <c r="F286" s="675" t="n"/>
      <c r="G286" s="676" t="inlineStr">
        <is>
          <t>HADDAD ZAKIA   -  La préparation et la présentation de l’émission RD"تاريخ وحضارة".</t>
        </is>
      </c>
      <c r="H286" s="673" t="inlineStr">
        <is>
          <t>VALIDE</t>
        </is>
      </c>
      <c r="I286" s="675" t="inlineStr">
        <is>
          <t>APPROUVE</t>
        </is>
      </c>
      <c r="J286" s="675" t="n"/>
      <c r="K286" s="673" t="inlineStr">
        <is>
          <t>NON CONCERNE</t>
        </is>
      </c>
      <c r="L286" s="675" t="inlineStr">
        <is>
          <t>Ordinaire</t>
        </is>
      </c>
      <c r="M286" s="677" t="inlineStr">
        <is>
          <t>FONCTIONNEMENT</t>
        </is>
      </c>
      <c r="N286" s="678" t="inlineStr">
        <is>
          <t>Achats de productions et de programmes
Achat des programmes en production interne - personnes physiques</t>
        </is>
      </c>
      <c r="O286" s="679" t="n"/>
      <c r="P286" s="680" t="n"/>
      <c r="Q286" s="680" t="n"/>
      <c r="R286" s="675" t="inlineStr">
        <is>
          <t>RECONDUCTION</t>
        </is>
      </c>
      <c r="S286" s="681" t="n"/>
      <c r="T286" s="682" t="n"/>
      <c r="U286" s="683" t="inlineStr">
        <is>
          <t>HADDAD ZAKIA</t>
        </is>
      </c>
      <c r="V286" s="675" t="n">
        <v>2026</v>
      </c>
      <c r="W286" s="682" t="n">
        <v>46387</v>
      </c>
      <c r="X286" s="682" t="n"/>
      <c r="Y286" s="682" t="n">
        <v>46024</v>
      </c>
      <c r="Z286" s="679" t="n">
        <v>26000</v>
      </c>
      <c r="AA286" s="680" t="n"/>
      <c r="AB286" s="680">
        <f>Z286</f>
        <v/>
      </c>
      <c r="AC286" s="680" t="n"/>
      <c r="AD286" s="680">
        <f>Z286</f>
        <v/>
      </c>
      <c r="AE286" s="680">
        <f>AB286</f>
        <v/>
      </c>
      <c r="AF286" s="684" t="inlineStr">
        <is>
          <t>ENGAGE</t>
        </is>
      </c>
      <c r="AG286" s="683" t="n"/>
      <c r="AH286" s="680" t="n"/>
      <c r="AI286" s="680" t="n"/>
      <c r="AJ286" s="680" t="n"/>
      <c r="AK286" s="680" t="n"/>
      <c r="AL286" s="685" t="n"/>
      <c r="AM286" s="685" t="n"/>
      <c r="AN286" s="683" t="inlineStr">
        <is>
          <t>Manque n° contrat</t>
        </is>
      </c>
      <c r="AO286" s="686" t="n"/>
      <c r="AP286" s="687" t="n"/>
      <c r="AQ286" s="688" t="n"/>
      <c r="AR286" s="688" t="n"/>
      <c r="AS286" s="23" t="n"/>
      <c r="AT286" s="688" t="n"/>
    </row>
    <row r="287" ht="60" customHeight="1" s="392">
      <c r="A287" s="672">
        <f>IF(AF287="ENGAGE","✔",IF(AF287="EN COURS D'ENGAGEMENT","◕",IF(AF287="PREENGAGE","◑",IF(AF287="EN COURS DE PREENGAGEMENT","◔",IF(AF287="NON ENGAGE","✖","")))))</f>
        <v/>
      </c>
      <c r="B287" s="673" t="n">
        <v>2026</v>
      </c>
      <c r="C287" s="674" t="inlineStr">
        <is>
          <t>ASSADISSA</t>
        </is>
      </c>
      <c r="D287" s="674" t="inlineStr">
        <is>
          <t>PV N° : 03RC2025-DPPCCRTV</t>
        </is>
      </c>
      <c r="E287" s="675" t="inlineStr">
        <is>
          <t>CONTRAT</t>
        </is>
      </c>
      <c r="F287" s="675" t="n"/>
      <c r="G287" s="676" t="inlineStr">
        <is>
          <t>ILHAM CHAFIK  -  La préparation et la présentation de l'émission RD " التبليغ المبين لمعاني المرشد المعين "</t>
        </is>
      </c>
      <c r="H287" s="673" t="inlineStr">
        <is>
          <t>VALIDE</t>
        </is>
      </c>
      <c r="I287" s="675" t="inlineStr">
        <is>
          <t>APPROUVE</t>
        </is>
      </c>
      <c r="J287" s="675" t="n"/>
      <c r="K287" s="673" t="inlineStr">
        <is>
          <t>NON CONCERNE</t>
        </is>
      </c>
      <c r="L287" s="675" t="inlineStr">
        <is>
          <t>Ordinaire</t>
        </is>
      </c>
      <c r="M287" s="677" t="inlineStr">
        <is>
          <t>FONCTIONNEMENT</t>
        </is>
      </c>
      <c r="N287" s="678" t="inlineStr">
        <is>
          <t>Achats de productions et de programmes
Achat des programmes en production interne - personnes physiques</t>
        </is>
      </c>
      <c r="O287" s="679" t="n"/>
      <c r="P287" s="680" t="n"/>
      <c r="Q287" s="680" t="n"/>
      <c r="R287" s="675" t="inlineStr">
        <is>
          <t>RECONDUCTION</t>
        </is>
      </c>
      <c r="S287" s="681" t="n"/>
      <c r="T287" s="682" t="n"/>
      <c r="U287" s="683" t="inlineStr">
        <is>
          <t>ILHAM CHAFIK</t>
        </is>
      </c>
      <c r="V287" s="675" t="n">
        <v>2026</v>
      </c>
      <c r="W287" s="682" t="n">
        <v>46387</v>
      </c>
      <c r="X287" s="682" t="n"/>
      <c r="Y287" s="682" t="n">
        <v>46024</v>
      </c>
      <c r="Z287" s="679" t="n">
        <v>72000</v>
      </c>
      <c r="AA287" s="680" t="n"/>
      <c r="AB287" s="680">
        <f>Z287</f>
        <v/>
      </c>
      <c r="AC287" s="680" t="n"/>
      <c r="AD287" s="680">
        <f>Z287</f>
        <v/>
      </c>
      <c r="AE287" s="680">
        <f>AB287</f>
        <v/>
      </c>
      <c r="AF287" s="684" t="inlineStr">
        <is>
          <t>ENGAGE</t>
        </is>
      </c>
      <c r="AG287" s="683" t="n"/>
      <c r="AH287" s="680" t="n"/>
      <c r="AI287" s="680" t="n"/>
      <c r="AJ287" s="680" t="n"/>
      <c r="AK287" s="680" t="n"/>
      <c r="AL287" s="685" t="n"/>
      <c r="AM287" s="685" t="n"/>
      <c r="AN287" s="683" t="inlineStr">
        <is>
          <t>Manque n° contrat</t>
        </is>
      </c>
      <c r="AO287" s="686" t="n"/>
      <c r="AP287" s="687" t="n"/>
      <c r="AQ287" s="688" t="n"/>
      <c r="AR287" s="688" t="n"/>
      <c r="AS287" s="23" t="n"/>
      <c r="AT287" s="688" t="n"/>
    </row>
    <row r="288" ht="60" customHeight="1" s="392">
      <c r="A288" s="672">
        <f>IF(AF288="ENGAGE","✔",IF(AF288="EN COURS D'ENGAGEMENT","◕",IF(AF288="PREENGAGE","◑",IF(AF288="EN COURS DE PREENGAGEMENT","◔",IF(AF288="NON ENGAGE","✖","")))))</f>
        <v/>
      </c>
      <c r="B288" s="673" t="n">
        <v>2026</v>
      </c>
      <c r="C288" s="674" t="inlineStr">
        <is>
          <t>ASSADISSA</t>
        </is>
      </c>
      <c r="D288" s="674" t="inlineStr">
        <is>
          <t>PV N° : 03RC2025-DPPCCRTV</t>
        </is>
      </c>
      <c r="E288" s="675" t="inlineStr">
        <is>
          <t>CONTRAT</t>
        </is>
      </c>
      <c r="F288" s="675" t="n"/>
      <c r="G288" s="676" t="inlineStr">
        <is>
          <t>SAID NAQCHI  -  La préparation et la présentation de l'émission TV"مع الشباب"</t>
        </is>
      </c>
      <c r="H288" s="673" t="inlineStr">
        <is>
          <t>VALIDE</t>
        </is>
      </c>
      <c r="I288" s="675" t="inlineStr">
        <is>
          <t>APPROUVE</t>
        </is>
      </c>
      <c r="J288" s="675" t="n"/>
      <c r="K288" s="673" t="inlineStr">
        <is>
          <t>NON CONCERNE</t>
        </is>
      </c>
      <c r="L288" s="675" t="inlineStr">
        <is>
          <t>Ordinaire</t>
        </is>
      </c>
      <c r="M288" s="677" t="inlineStr">
        <is>
          <t>FONCTIONNEMENT</t>
        </is>
      </c>
      <c r="N288" s="678" t="inlineStr">
        <is>
          <t>Achats de productions et de programmes
Achat des programmes en production interne - personnes physiques</t>
        </is>
      </c>
      <c r="O288" s="679" t="n"/>
      <c r="P288" s="680" t="n"/>
      <c r="Q288" s="680" t="n"/>
      <c r="R288" s="675" t="inlineStr">
        <is>
          <t>RECONDUCTION</t>
        </is>
      </c>
      <c r="S288" s="681" t="n"/>
      <c r="T288" s="682" t="n"/>
      <c r="U288" s="683" t="inlineStr">
        <is>
          <t>SAID NAQCHI</t>
        </is>
      </c>
      <c r="V288" s="675" t="n">
        <v>2026</v>
      </c>
      <c r="W288" s="682" t="n">
        <v>46387</v>
      </c>
      <c r="X288" s="682" t="n"/>
      <c r="Y288" s="682" t="n">
        <v>46024</v>
      </c>
      <c r="Z288" s="679" t="n">
        <v>208000</v>
      </c>
      <c r="AA288" s="680" t="n"/>
      <c r="AB288" s="680">
        <f>Z288</f>
        <v/>
      </c>
      <c r="AC288" s="680" t="n"/>
      <c r="AD288" s="680">
        <f>Z288</f>
        <v/>
      </c>
      <c r="AE288" s="680">
        <f>AB288</f>
        <v/>
      </c>
      <c r="AF288" s="684" t="inlineStr">
        <is>
          <t>ENGAGE</t>
        </is>
      </c>
      <c r="AG288" s="683" t="n"/>
      <c r="AH288" s="680" t="n"/>
      <c r="AI288" s="680" t="n"/>
      <c r="AJ288" s="680" t="n"/>
      <c r="AK288" s="680" t="n"/>
      <c r="AL288" s="685" t="n"/>
      <c r="AM288" s="685" t="n"/>
      <c r="AN288" s="683" t="inlineStr">
        <is>
          <t>Manque n° contrat</t>
        </is>
      </c>
      <c r="AO288" s="686" t="n"/>
      <c r="AP288" s="687" t="n"/>
      <c r="AQ288" s="688" t="n"/>
      <c r="AR288" s="688" t="n"/>
      <c r="AS288" s="23" t="n"/>
      <c r="AT288" s="688" t="n"/>
    </row>
    <row r="289" ht="60" customHeight="1" s="392">
      <c r="A289" s="672">
        <f>IF(AF289="ENGAGE","✔",IF(AF289="EN COURS D'ENGAGEMENT","◕",IF(AF289="PREENGAGE","◑",IF(AF289="EN COURS DE PREENGAGEMENT","◔",IF(AF289="NON ENGAGE","✖","")))))</f>
        <v/>
      </c>
      <c r="B289" s="673" t="n">
        <v>2026</v>
      </c>
      <c r="C289" s="674" t="inlineStr">
        <is>
          <t>ASSADISSA</t>
        </is>
      </c>
      <c r="D289" s="674" t="inlineStr">
        <is>
          <t>PV N° : 03RC2025-DPPCCRTV</t>
        </is>
      </c>
      <c r="E289" s="675" t="inlineStr">
        <is>
          <t>CONTRAT</t>
        </is>
      </c>
      <c r="F289" s="675" t="n"/>
      <c r="G289" s="676" t="inlineStr">
        <is>
          <t>DINA KADIRI  -  La préparation et la présentation de l'émission TV"LES CHEMINS CROISES"</t>
        </is>
      </c>
      <c r="H289" s="673" t="inlineStr">
        <is>
          <t>VALIDE</t>
        </is>
      </c>
      <c r="I289" s="675" t="inlineStr">
        <is>
          <t>APPROUVE</t>
        </is>
      </c>
      <c r="J289" s="675" t="n"/>
      <c r="K289" s="673" t="inlineStr">
        <is>
          <t>NON CONCERNE</t>
        </is>
      </c>
      <c r="L289" s="675" t="inlineStr">
        <is>
          <t>Ordinaire</t>
        </is>
      </c>
      <c r="M289" s="677" t="inlineStr">
        <is>
          <t>FONCTIONNEMENT</t>
        </is>
      </c>
      <c r="N289" s="678" t="inlineStr">
        <is>
          <t>Achats de productions et de programmes
Achat des programmes en production interne - personnes physiques</t>
        </is>
      </c>
      <c r="O289" s="679" t="n"/>
      <c r="P289" s="680" t="n"/>
      <c r="Q289" s="680" t="n"/>
      <c r="R289" s="675" t="inlineStr">
        <is>
          <t>RECONDUCTION</t>
        </is>
      </c>
      <c r="S289" s="681" t="n"/>
      <c r="T289" s="682" t="n"/>
      <c r="U289" s="683" t="inlineStr">
        <is>
          <t>DINA KADIRI</t>
        </is>
      </c>
      <c r="V289" s="675" t="n">
        <v>2026</v>
      </c>
      <c r="W289" s="682" t="n">
        <v>46387</v>
      </c>
      <c r="X289" s="682" t="n"/>
      <c r="Y289" s="682" t="n">
        <v>46024</v>
      </c>
      <c r="Z289" s="679" t="n">
        <v>130000</v>
      </c>
      <c r="AA289" s="680" t="n"/>
      <c r="AB289" s="680">
        <f>Z289</f>
        <v/>
      </c>
      <c r="AC289" s="680" t="n"/>
      <c r="AD289" s="680">
        <f>Z289</f>
        <v/>
      </c>
      <c r="AE289" s="680">
        <f>AB289</f>
        <v/>
      </c>
      <c r="AF289" s="684" t="inlineStr">
        <is>
          <t>ENGAGE</t>
        </is>
      </c>
      <c r="AG289" s="683" t="n"/>
      <c r="AH289" s="680" t="n"/>
      <c r="AI289" s="680" t="n"/>
      <c r="AJ289" s="680" t="n"/>
      <c r="AK289" s="680" t="n"/>
      <c r="AL289" s="685" t="n"/>
      <c r="AM289" s="685" t="n"/>
      <c r="AN289" s="683" t="inlineStr">
        <is>
          <t>Manque n° contrat</t>
        </is>
      </c>
      <c r="AO289" s="686" t="n"/>
      <c r="AP289" s="687" t="n"/>
      <c r="AQ289" s="688" t="n"/>
      <c r="AR289" s="688" t="n"/>
      <c r="AS289" s="23" t="n"/>
      <c r="AT289" s="688" t="n"/>
    </row>
    <row r="290" ht="60" customHeight="1" s="392">
      <c r="A290" s="672">
        <f>IF(AF290="ENGAGE","✔",IF(AF290="EN COURS D'ENGAGEMENT","◕",IF(AF290="PREENGAGE","◑",IF(AF290="EN COURS DE PREENGAGEMENT","◔",IF(AF290="NON ENGAGE","✖","")))))</f>
        <v/>
      </c>
      <c r="B290" s="673" t="n">
        <v>2026</v>
      </c>
      <c r="C290" s="674" t="inlineStr">
        <is>
          <t>ASSADISSA</t>
        </is>
      </c>
      <c r="D290" s="674" t="inlineStr">
        <is>
          <t>PV N° : 03RC2025-DPPCCRTV</t>
        </is>
      </c>
      <c r="E290" s="675" t="inlineStr">
        <is>
          <t>CONTRAT</t>
        </is>
      </c>
      <c r="F290" s="675" t="n"/>
      <c r="G290" s="676" t="inlineStr">
        <is>
          <t>EL BOUKILI AHMED  -  La préparation et la présentation de l'émission TV " الكلمة السواء"</t>
        </is>
      </c>
      <c r="H290" s="673" t="inlineStr">
        <is>
          <t>VALIDE</t>
        </is>
      </c>
      <c r="I290" s="675" t="inlineStr">
        <is>
          <t>APPROUVE</t>
        </is>
      </c>
      <c r="J290" s="675" t="n"/>
      <c r="K290" s="673" t="inlineStr">
        <is>
          <t>NON CONCERNE</t>
        </is>
      </c>
      <c r="L290" s="675" t="inlineStr">
        <is>
          <t>Ordinaire</t>
        </is>
      </c>
      <c r="M290" s="677" t="inlineStr">
        <is>
          <t>FONCTIONNEMENT</t>
        </is>
      </c>
      <c r="N290" s="678" t="inlineStr">
        <is>
          <t>Achats de productions et de programmes
Achat des programmes en production interne - personnes physiques</t>
        </is>
      </c>
      <c r="O290" s="679" t="n"/>
      <c r="P290" s="680" t="n"/>
      <c r="Q290" s="680" t="n"/>
      <c r="R290" s="675" t="inlineStr">
        <is>
          <t>RECONDUCTION</t>
        </is>
      </c>
      <c r="S290" s="681" t="n"/>
      <c r="T290" s="682" t="n"/>
      <c r="U290" s="683" t="inlineStr">
        <is>
          <t>EL BOUKILI AHMED</t>
        </is>
      </c>
      <c r="V290" s="675" t="n">
        <v>2026</v>
      </c>
      <c r="W290" s="682" t="n">
        <v>46387</v>
      </c>
      <c r="X290" s="682" t="n"/>
      <c r="Y290" s="682" t="n">
        <v>46024</v>
      </c>
      <c r="Z290" s="679" t="n">
        <v>208000</v>
      </c>
      <c r="AA290" s="680" t="n"/>
      <c r="AB290" s="680">
        <f>Z290</f>
        <v/>
      </c>
      <c r="AC290" s="680" t="n"/>
      <c r="AD290" s="680">
        <f>Z290</f>
        <v/>
      </c>
      <c r="AE290" s="680">
        <f>AB290</f>
        <v/>
      </c>
      <c r="AF290" s="684" t="inlineStr">
        <is>
          <t>ENGAGE</t>
        </is>
      </c>
      <c r="AG290" s="683" t="n"/>
      <c r="AH290" s="680" t="n"/>
      <c r="AI290" s="680" t="n"/>
      <c r="AJ290" s="680" t="n"/>
      <c r="AK290" s="680" t="n"/>
      <c r="AL290" s="685" t="n"/>
      <c r="AM290" s="685" t="n"/>
      <c r="AN290" s="683" t="inlineStr">
        <is>
          <t>Manque n° contrat</t>
        </is>
      </c>
      <c r="AO290" s="686" t="n"/>
      <c r="AP290" s="687" t="n"/>
      <c r="AQ290" s="688" t="n"/>
      <c r="AR290" s="688" t="n"/>
      <c r="AS290" s="23" t="n"/>
      <c r="AT290" s="688" t="n"/>
    </row>
    <row r="291" ht="60" customHeight="1" s="392">
      <c r="A291" s="672">
        <f>IF(AF291="ENGAGE","✔",IF(AF291="EN COURS D'ENGAGEMENT","◕",IF(AF291="PREENGAGE","◑",IF(AF291="EN COURS DE PREENGAGEMENT","◔",IF(AF291="NON ENGAGE","✖","")))))</f>
        <v/>
      </c>
      <c r="B291" s="673" t="n">
        <v>2026</v>
      </c>
      <c r="C291" s="674" t="inlineStr">
        <is>
          <t>ASSADISSA</t>
        </is>
      </c>
      <c r="D291" s="674" t="inlineStr">
        <is>
          <t>PV N° : 03RC2025-DPPCCRTV</t>
        </is>
      </c>
      <c r="E291" s="675" t="inlineStr">
        <is>
          <t>CONTRAT</t>
        </is>
      </c>
      <c r="F291" s="675" t="n"/>
      <c r="G291" s="676" t="inlineStr">
        <is>
          <t>BIHI SAID  -  La préparation et la présentation de l'émission TV " قضايا التبليغ"</t>
        </is>
      </c>
      <c r="H291" s="673" t="inlineStr">
        <is>
          <t>VALIDE</t>
        </is>
      </c>
      <c r="I291" s="675" t="inlineStr">
        <is>
          <t>APPROUVE</t>
        </is>
      </c>
      <c r="J291" s="675" t="n"/>
      <c r="K291" s="673" t="inlineStr">
        <is>
          <t>NON CONCERNE</t>
        </is>
      </c>
      <c r="L291" s="675" t="inlineStr">
        <is>
          <t>Ordinaire</t>
        </is>
      </c>
      <c r="M291" s="677" t="inlineStr">
        <is>
          <t>FONCTIONNEMENT</t>
        </is>
      </c>
      <c r="N291" s="678" t="inlineStr">
        <is>
          <t>Achats de productions et de programmes
Achat des programmes en production interne - personnes physiques</t>
        </is>
      </c>
      <c r="O291" s="679" t="n"/>
      <c r="P291" s="680" t="n"/>
      <c r="Q291" s="680" t="n"/>
      <c r="R291" s="675" t="inlineStr">
        <is>
          <t>RECONDUCTION</t>
        </is>
      </c>
      <c r="S291" s="681" t="n"/>
      <c r="T291" s="682" t="n"/>
      <c r="U291" s="683" t="inlineStr">
        <is>
          <t>BIHI SAID</t>
        </is>
      </c>
      <c r="V291" s="675" t="n">
        <v>2026</v>
      </c>
      <c r="W291" s="682" t="n">
        <v>46387</v>
      </c>
      <c r="X291" s="682" t="n"/>
      <c r="Y291" s="682" t="n">
        <v>46024</v>
      </c>
      <c r="Z291" s="679" t="n">
        <v>148200</v>
      </c>
      <c r="AA291" s="680" t="n"/>
      <c r="AB291" s="680">
        <f>Z291</f>
        <v/>
      </c>
      <c r="AC291" s="680" t="n"/>
      <c r="AD291" s="680">
        <f>Z291</f>
        <v/>
      </c>
      <c r="AE291" s="680">
        <f>AB291</f>
        <v/>
      </c>
      <c r="AF291" s="684" t="inlineStr">
        <is>
          <t>ENGAGE</t>
        </is>
      </c>
      <c r="AG291" s="683" t="n"/>
      <c r="AH291" s="680" t="n"/>
      <c r="AI291" s="680" t="n"/>
      <c r="AJ291" s="680" t="n"/>
      <c r="AK291" s="680" t="n"/>
      <c r="AL291" s="685" t="n"/>
      <c r="AM291" s="685" t="n"/>
      <c r="AN291" s="683" t="inlineStr">
        <is>
          <t>Manque n° contrat</t>
        </is>
      </c>
      <c r="AO291" s="686" t="n"/>
      <c r="AP291" s="687" t="n"/>
      <c r="AQ291" s="688" t="n"/>
      <c r="AR291" s="688" t="n"/>
      <c r="AS291" s="23" t="n"/>
      <c r="AT291" s="688" t="n"/>
    </row>
    <row r="292" ht="60" customHeight="1" s="392">
      <c r="A292" s="672">
        <f>IF(AF292="ENGAGE","✔",IF(AF292="EN COURS D'ENGAGEMENT","◕",IF(AF292="PREENGAGE","◑",IF(AF292="EN COURS DE PREENGAGEMENT","◔",IF(AF292="NON ENGAGE","✖","")))))</f>
        <v/>
      </c>
      <c r="B292" s="673" t="n">
        <v>2026</v>
      </c>
      <c r="C292" s="674" t="inlineStr">
        <is>
          <t>ASSADISSA</t>
        </is>
      </c>
      <c r="D292" s="674" t="inlineStr">
        <is>
          <t>PV N° : 03RC2025-DPPCCRTV</t>
        </is>
      </c>
      <c r="E292" s="675" t="inlineStr">
        <is>
          <t>CONTRAT</t>
        </is>
      </c>
      <c r="F292" s="675" t="n"/>
      <c r="G292" s="676" t="inlineStr">
        <is>
          <t>AMHARAR ILYASS  -  La préparation et la présentation de l'émission TV "LES CONSTANCES RELEGIEUSES".</t>
        </is>
      </c>
      <c r="H292" s="673" t="inlineStr">
        <is>
          <t>VALIDE</t>
        </is>
      </c>
      <c r="I292" s="675" t="inlineStr">
        <is>
          <t>APPROUVE</t>
        </is>
      </c>
      <c r="J292" s="675" t="n"/>
      <c r="K292" s="673" t="inlineStr">
        <is>
          <t>NON CONCERNE</t>
        </is>
      </c>
      <c r="L292" s="675" t="inlineStr">
        <is>
          <t>Ordinaire</t>
        </is>
      </c>
      <c r="M292" s="677" t="inlineStr">
        <is>
          <t>FONCTIONNEMENT</t>
        </is>
      </c>
      <c r="N292" s="678" t="inlineStr">
        <is>
          <t>Achats de productions et de programmes
Achat des programmes en production interne - personnes physiques</t>
        </is>
      </c>
      <c r="O292" s="679" t="n"/>
      <c r="P292" s="680" t="n"/>
      <c r="Q292" s="680" t="n"/>
      <c r="R292" s="675" t="inlineStr">
        <is>
          <t>RECONDUCTION</t>
        </is>
      </c>
      <c r="S292" s="681" t="n"/>
      <c r="T292" s="682" t="n"/>
      <c r="U292" s="683" t="inlineStr">
        <is>
          <t xml:space="preserve">AMHARAR ILYASS </t>
        </is>
      </c>
      <c r="V292" s="675" t="n">
        <v>2026</v>
      </c>
      <c r="W292" s="682" t="n">
        <v>46387</v>
      </c>
      <c r="X292" s="682" t="n"/>
      <c r="Y292" s="682" t="n">
        <v>46024</v>
      </c>
      <c r="Z292" s="679" t="n">
        <v>85800</v>
      </c>
      <c r="AA292" s="680" t="n"/>
      <c r="AB292" s="680">
        <f>Z292</f>
        <v/>
      </c>
      <c r="AC292" s="680" t="n"/>
      <c r="AD292" s="680">
        <f>Z292</f>
        <v/>
      </c>
      <c r="AE292" s="680">
        <f>AB292</f>
        <v/>
      </c>
      <c r="AF292" s="684" t="inlineStr">
        <is>
          <t>ENGAGE</t>
        </is>
      </c>
      <c r="AG292" s="683" t="n"/>
      <c r="AH292" s="680" t="n"/>
      <c r="AI292" s="680" t="n"/>
      <c r="AJ292" s="680" t="n"/>
      <c r="AK292" s="680" t="n"/>
      <c r="AL292" s="685" t="n"/>
      <c r="AM292" s="685" t="n"/>
      <c r="AN292" s="683" t="inlineStr">
        <is>
          <t>Manque n° contrat</t>
        </is>
      </c>
      <c r="AO292" s="686" t="n"/>
      <c r="AP292" s="687" t="n"/>
      <c r="AQ292" s="688" t="n"/>
      <c r="AR292" s="688" t="n"/>
      <c r="AS292" s="23" t="n"/>
      <c r="AT292" s="688" t="n"/>
    </row>
    <row r="293" ht="60" customHeight="1" s="392">
      <c r="A293" s="672">
        <f>IF(AF293="ENGAGE","✔",IF(AF293="EN COURS D'ENGAGEMENT","◕",IF(AF293="PREENGAGE","◑",IF(AF293="EN COURS DE PREENGAGEMENT","◔",IF(AF293="NON ENGAGE","✖","")))))</f>
        <v/>
      </c>
      <c r="B293" s="673" t="n">
        <v>2026</v>
      </c>
      <c r="C293" s="674" t="inlineStr">
        <is>
          <t>ASSADISSA</t>
        </is>
      </c>
      <c r="D293" s="674" t="inlineStr">
        <is>
          <t>PV N° : 03RC2025-DPPCCRTV</t>
        </is>
      </c>
      <c r="E293" s="675" t="inlineStr">
        <is>
          <t>CONTRAT</t>
        </is>
      </c>
      <c r="F293" s="675" t="n"/>
      <c r="G293" s="676" t="inlineStr">
        <is>
          <t>ABDELKAMEL DINIA  -  La préparation et la présentation de l'émission RD intitulée ''مذاكرات''</t>
        </is>
      </c>
      <c r="H293" s="673" t="inlineStr">
        <is>
          <t>VALIDE</t>
        </is>
      </c>
      <c r="I293" s="675" t="inlineStr">
        <is>
          <t>APPROUVE</t>
        </is>
      </c>
      <c r="J293" s="675" t="n"/>
      <c r="K293" s="673" t="inlineStr">
        <is>
          <t>NON CONCERNE</t>
        </is>
      </c>
      <c r="L293" s="675" t="inlineStr">
        <is>
          <t>Ordinaire</t>
        </is>
      </c>
      <c r="M293" s="677" t="inlineStr">
        <is>
          <t>FONCTIONNEMENT</t>
        </is>
      </c>
      <c r="N293" s="678" t="inlineStr">
        <is>
          <t>Achats de productions et de programmes
Achat des programmes en production interne - personnes physiques</t>
        </is>
      </c>
      <c r="O293" s="679" t="n"/>
      <c r="P293" s="680" t="n"/>
      <c r="Q293" s="680" t="n"/>
      <c r="R293" s="675" t="inlineStr">
        <is>
          <t>RECONDUCTION</t>
        </is>
      </c>
      <c r="S293" s="681" t="n"/>
      <c r="T293" s="682" t="n"/>
      <c r="U293" s="683" t="inlineStr">
        <is>
          <t>ABDELKAMEL DINIA</t>
        </is>
      </c>
      <c r="V293" s="675" t="n">
        <v>2026</v>
      </c>
      <c r="W293" s="682" t="n">
        <v>46387</v>
      </c>
      <c r="X293" s="682" t="n"/>
      <c r="Y293" s="682" t="n">
        <v>46024</v>
      </c>
      <c r="Z293" s="679" t="n">
        <v>72000</v>
      </c>
      <c r="AA293" s="680" t="n"/>
      <c r="AB293" s="680">
        <f>Z293</f>
        <v/>
      </c>
      <c r="AC293" s="680" t="n"/>
      <c r="AD293" s="680">
        <f>Z293</f>
        <v/>
      </c>
      <c r="AE293" s="680">
        <f>AB293</f>
        <v/>
      </c>
      <c r="AF293" s="684" t="inlineStr">
        <is>
          <t>ENGAGE</t>
        </is>
      </c>
      <c r="AG293" s="683" t="n"/>
      <c r="AH293" s="680" t="n"/>
      <c r="AI293" s="680" t="n"/>
      <c r="AJ293" s="680" t="n"/>
      <c r="AK293" s="680" t="n"/>
      <c r="AL293" s="685" t="n"/>
      <c r="AM293" s="685" t="n"/>
      <c r="AN293" s="683" t="inlineStr">
        <is>
          <t>Manque n° contrat</t>
        </is>
      </c>
      <c r="AO293" s="686" t="n"/>
      <c r="AP293" s="687" t="n"/>
      <c r="AQ293" s="688" t="n"/>
      <c r="AR293" s="688" t="n"/>
      <c r="AS293" s="23" t="n"/>
      <c r="AT293" s="688" t="n"/>
    </row>
    <row r="294" ht="60" customHeight="1" s="392">
      <c r="A294" s="672">
        <f>IF(AF294="ENGAGE","✔",IF(AF294="EN COURS D'ENGAGEMENT","◕",IF(AF294="PREENGAGE","◑",IF(AF294="EN COURS DE PREENGAGEMENT","◔",IF(AF294="NON ENGAGE","✖","")))))</f>
        <v/>
      </c>
      <c r="B294" s="673" t="n">
        <v>2026</v>
      </c>
      <c r="C294" s="674" t="inlineStr">
        <is>
          <t>ASSADISSA</t>
        </is>
      </c>
      <c r="D294" s="674" t="inlineStr">
        <is>
          <t>PV N° : 03RC2025-DPPCCRTV</t>
        </is>
      </c>
      <c r="E294" s="675" t="inlineStr">
        <is>
          <t>CONTRAT</t>
        </is>
      </c>
      <c r="F294" s="675" t="n"/>
      <c r="G294" s="676" t="inlineStr">
        <is>
          <t>WAFAE JABRANE  -  La préparation et la présentation de l'émission TV "جسور"</t>
        </is>
      </c>
      <c r="H294" s="673" t="inlineStr">
        <is>
          <t>VALIDE</t>
        </is>
      </c>
      <c r="I294" s="675" t="inlineStr">
        <is>
          <t>APPROUVE</t>
        </is>
      </c>
      <c r="J294" s="675" t="n"/>
      <c r="K294" s="673" t="inlineStr">
        <is>
          <t>NON CONCERNE</t>
        </is>
      </c>
      <c r="L294" s="675" t="inlineStr">
        <is>
          <t>Ordinaire</t>
        </is>
      </c>
      <c r="M294" s="677" t="inlineStr">
        <is>
          <t>FONCTIONNEMENT</t>
        </is>
      </c>
      <c r="N294" s="678" t="inlineStr">
        <is>
          <t>Achats de productions et de programmes
Achat des programmes en production interne - personnes physiques</t>
        </is>
      </c>
      <c r="O294" s="679" t="n"/>
      <c r="P294" s="680" t="n"/>
      <c r="Q294" s="680" t="n"/>
      <c r="R294" s="675" t="inlineStr">
        <is>
          <t>RECONDUCTION</t>
        </is>
      </c>
      <c r="S294" s="681" t="n"/>
      <c r="T294" s="682" t="n"/>
      <c r="U294" s="683" t="inlineStr">
        <is>
          <t>WAFAE JABRANE</t>
        </is>
      </c>
      <c r="V294" s="675" t="n">
        <v>2026</v>
      </c>
      <c r="W294" s="682" t="n">
        <v>46387</v>
      </c>
      <c r="X294" s="682" t="n"/>
      <c r="Y294" s="682" t="n">
        <v>46024</v>
      </c>
      <c r="Z294" s="679" t="n">
        <v>156000</v>
      </c>
      <c r="AA294" s="680" t="n"/>
      <c r="AB294" s="680">
        <f>Z294</f>
        <v/>
      </c>
      <c r="AC294" s="680" t="n"/>
      <c r="AD294" s="680">
        <f>Z294</f>
        <v/>
      </c>
      <c r="AE294" s="680">
        <f>AB294</f>
        <v/>
      </c>
      <c r="AF294" s="684" t="inlineStr">
        <is>
          <t>ENGAGE</t>
        </is>
      </c>
      <c r="AG294" s="683" t="n"/>
      <c r="AH294" s="680" t="n"/>
      <c r="AI294" s="680" t="n"/>
      <c r="AJ294" s="680" t="n"/>
      <c r="AK294" s="680" t="n"/>
      <c r="AL294" s="685" t="n"/>
      <c r="AM294" s="685" t="n"/>
      <c r="AN294" s="683" t="inlineStr">
        <is>
          <t>Manque n° contrat</t>
        </is>
      </c>
      <c r="AO294" s="686" t="n"/>
      <c r="AP294" s="687" t="n"/>
      <c r="AQ294" s="688" t="n"/>
      <c r="AR294" s="688" t="n"/>
      <c r="AS294" s="23" t="n"/>
      <c r="AT294" s="688" t="n"/>
    </row>
    <row r="295" ht="60" customHeight="1" s="392">
      <c r="A295" s="672">
        <f>IF(AF295="ENGAGE","✔",IF(AF295="EN COURS D'ENGAGEMENT","◕",IF(AF295="PREENGAGE","◑",IF(AF295="EN COURS DE PREENGAGEMENT","◔",IF(AF295="NON ENGAGE","✖","")))))</f>
        <v/>
      </c>
      <c r="B295" s="673" t="n">
        <v>2026</v>
      </c>
      <c r="C295" s="674" t="inlineStr">
        <is>
          <t>ASSADISSA</t>
        </is>
      </c>
      <c r="D295" s="674" t="inlineStr">
        <is>
          <t>PV N° : 03RC2025-DPPCCRTV</t>
        </is>
      </c>
      <c r="E295" s="675" t="inlineStr">
        <is>
          <t>CONTRAT</t>
        </is>
      </c>
      <c r="F295" s="675" t="n"/>
      <c r="G295" s="676" t="inlineStr">
        <is>
          <t>ENNAJI AL AMJAD  -  La préparation et la présentation de l'émission TV ''استهلال لست وحدك''</t>
        </is>
      </c>
      <c r="H295" s="673" t="inlineStr">
        <is>
          <t>VALIDE</t>
        </is>
      </c>
      <c r="I295" s="675" t="inlineStr">
        <is>
          <t>APPROUVE</t>
        </is>
      </c>
      <c r="J295" s="675" t="n"/>
      <c r="K295" s="673" t="inlineStr">
        <is>
          <t>NON CONCERNE</t>
        </is>
      </c>
      <c r="L295" s="675" t="inlineStr">
        <is>
          <t>Ordinaire</t>
        </is>
      </c>
      <c r="M295" s="677" t="inlineStr">
        <is>
          <t>FONCTIONNEMENT</t>
        </is>
      </c>
      <c r="N295" s="678" t="inlineStr">
        <is>
          <t>Achats de productions et de programmes
Achat des programmes en production interne - personnes physiques</t>
        </is>
      </c>
      <c r="O295" s="679" t="n"/>
      <c r="P295" s="680" t="n"/>
      <c r="Q295" s="680" t="n"/>
      <c r="R295" s="675" t="inlineStr">
        <is>
          <t>RECONDUCTION</t>
        </is>
      </c>
      <c r="S295" s="681" t="n"/>
      <c r="T295" s="682" t="n"/>
      <c r="U295" s="683" t="inlineStr">
        <is>
          <t>ENNAJI AL AMJAD</t>
        </is>
      </c>
      <c r="V295" s="675" t="n">
        <v>2026</v>
      </c>
      <c r="W295" s="682" t="n">
        <v>46387</v>
      </c>
      <c r="X295" s="682" t="n"/>
      <c r="Y295" s="682" t="n">
        <v>46024</v>
      </c>
      <c r="Z295" s="679" t="n">
        <v>128000</v>
      </c>
      <c r="AA295" s="680" t="n"/>
      <c r="AB295" s="680">
        <f>Z295</f>
        <v/>
      </c>
      <c r="AC295" s="680" t="n"/>
      <c r="AD295" s="680">
        <f>Z295</f>
        <v/>
      </c>
      <c r="AE295" s="680">
        <f>AB295</f>
        <v/>
      </c>
      <c r="AF295" s="684" t="inlineStr">
        <is>
          <t>ENGAGE</t>
        </is>
      </c>
      <c r="AG295" s="683" t="n"/>
      <c r="AH295" s="680" t="n"/>
      <c r="AI295" s="680" t="n"/>
      <c r="AJ295" s="680" t="n"/>
      <c r="AK295" s="680" t="n"/>
      <c r="AL295" s="685" t="n"/>
      <c r="AM295" s="685" t="n"/>
      <c r="AN295" s="683" t="inlineStr">
        <is>
          <t>Manque n° contrat</t>
        </is>
      </c>
      <c r="AO295" s="686" t="n"/>
      <c r="AP295" s="687" t="n"/>
      <c r="AQ295" s="688" t="n"/>
      <c r="AR295" s="688" t="n"/>
      <c r="AS295" s="23" t="n"/>
      <c r="AT295" s="688" t="n"/>
    </row>
    <row r="296" ht="60" customHeight="1" s="392">
      <c r="A296" s="672">
        <f>IF(AF296="ENGAGE","✔",IF(AF296="EN COURS D'ENGAGEMENT","◕",IF(AF296="PREENGAGE","◑",IF(AF296="EN COURS DE PREENGAGEMENT","◔",IF(AF296="NON ENGAGE","✖","")))))</f>
        <v/>
      </c>
      <c r="B296" s="673" t="n">
        <v>2026</v>
      </c>
      <c r="C296" s="674" t="inlineStr">
        <is>
          <t>ASSADISSA</t>
        </is>
      </c>
      <c r="D296" s="674" t="inlineStr">
        <is>
          <t>PV N° : 03RC2025-DPPCCRTV</t>
        </is>
      </c>
      <c r="E296" s="675" t="inlineStr">
        <is>
          <t>CONTRAT</t>
        </is>
      </c>
      <c r="F296" s="675" t="n"/>
      <c r="G296" s="676" t="inlineStr">
        <is>
          <t>AMINA IRAQI HOUSSAINI  -  La préparation et la présentation de l'émission RD"لحظة لصحتك"</t>
        </is>
      </c>
      <c r="H296" s="673" t="inlineStr">
        <is>
          <t>VALIDE</t>
        </is>
      </c>
      <c r="I296" s="675" t="inlineStr">
        <is>
          <t>APPROUVE</t>
        </is>
      </c>
      <c r="J296" s="675" t="n"/>
      <c r="K296" s="673" t="inlineStr">
        <is>
          <t>NON CONCERNE</t>
        </is>
      </c>
      <c r="L296" s="675" t="inlineStr">
        <is>
          <t>Ordinaire</t>
        </is>
      </c>
      <c r="M296" s="677" t="inlineStr">
        <is>
          <t>FONCTIONNEMENT</t>
        </is>
      </c>
      <c r="N296" s="678" t="inlineStr">
        <is>
          <t>Achats de productions et de programmes
Achat des programmes en production interne - personnes physiques</t>
        </is>
      </c>
      <c r="O296" s="679" t="n"/>
      <c r="P296" s="680" t="n"/>
      <c r="Q296" s="680" t="n"/>
      <c r="R296" s="675" t="inlineStr">
        <is>
          <t>RECONDUCTION</t>
        </is>
      </c>
      <c r="S296" s="681" t="n"/>
      <c r="T296" s="682" t="n"/>
      <c r="U296" s="683" t="inlineStr">
        <is>
          <t>AMINA IRAQI HOUSSAINI</t>
        </is>
      </c>
      <c r="V296" s="675" t="n">
        <v>2026</v>
      </c>
      <c r="W296" s="682" t="n">
        <v>46387</v>
      </c>
      <c r="X296" s="682" t="n"/>
      <c r="Y296" s="682" t="n">
        <v>46024</v>
      </c>
      <c r="Z296" s="679" t="n">
        <v>24000</v>
      </c>
      <c r="AA296" s="680" t="n"/>
      <c r="AB296" s="680">
        <f>Z296</f>
        <v/>
      </c>
      <c r="AC296" s="680" t="n"/>
      <c r="AD296" s="680">
        <f>Z296</f>
        <v/>
      </c>
      <c r="AE296" s="680">
        <f>AB296</f>
        <v/>
      </c>
      <c r="AF296" s="684" t="inlineStr">
        <is>
          <t>ENGAGE</t>
        </is>
      </c>
      <c r="AG296" s="683" t="n"/>
      <c r="AH296" s="680" t="n"/>
      <c r="AI296" s="680" t="n"/>
      <c r="AJ296" s="680" t="n"/>
      <c r="AK296" s="680" t="n"/>
      <c r="AL296" s="685" t="n"/>
      <c r="AM296" s="685" t="n"/>
      <c r="AN296" s="683" t="inlineStr">
        <is>
          <t>Manque n° contrat</t>
        </is>
      </c>
      <c r="AO296" s="686" t="n"/>
      <c r="AP296" s="687" t="n"/>
      <c r="AQ296" s="688" t="n"/>
      <c r="AR296" s="688" t="n"/>
      <c r="AS296" s="23" t="n"/>
      <c r="AT296" s="688" t="n"/>
    </row>
    <row r="297" ht="60" customHeight="1" s="392">
      <c r="A297" s="672">
        <f>IF(AF297="ENGAGE","✔",IF(AF297="EN COURS D'ENGAGEMENT","◕",IF(AF297="PREENGAGE","◑",IF(AF297="EN COURS DE PREENGAGEMENT","◔",IF(AF297="NON ENGAGE","✖","")))))</f>
        <v/>
      </c>
      <c r="B297" s="673" t="n">
        <v>2026</v>
      </c>
      <c r="C297" s="674" t="inlineStr">
        <is>
          <t>ASSADISSA</t>
        </is>
      </c>
      <c r="D297" s="674" t="inlineStr">
        <is>
          <t>PV N° : 03RC2025-DPPCCRTV</t>
        </is>
      </c>
      <c r="E297" s="675" t="inlineStr">
        <is>
          <t>CONTRAT</t>
        </is>
      </c>
      <c r="F297" s="675" t="n"/>
      <c r="G297" s="676" t="inlineStr">
        <is>
          <t>KHALID SAQI  -  La préparation et la présentation de l'émission radiophonique intitulée ''الرسالة الخالدة''</t>
        </is>
      </c>
      <c r="H297" s="673" t="inlineStr">
        <is>
          <t>VALIDE</t>
        </is>
      </c>
      <c r="I297" s="675" t="inlineStr">
        <is>
          <t>APPROUVE</t>
        </is>
      </c>
      <c r="J297" s="675" t="n"/>
      <c r="K297" s="673" t="inlineStr">
        <is>
          <t>NON CONCERNE</t>
        </is>
      </c>
      <c r="L297" s="675" t="inlineStr">
        <is>
          <t>Ordinaire</t>
        </is>
      </c>
      <c r="M297" s="677" t="inlineStr">
        <is>
          <t>FONCTIONNEMENT</t>
        </is>
      </c>
      <c r="N297" s="678" t="inlineStr">
        <is>
          <t>Achats de productions et de programmes
Achat des programmes en production interne - personnes physiques</t>
        </is>
      </c>
      <c r="O297" s="679" t="n"/>
      <c r="P297" s="680" t="n"/>
      <c r="Q297" s="680" t="n"/>
      <c r="R297" s="675" t="inlineStr">
        <is>
          <t>RECONDUCTION</t>
        </is>
      </c>
      <c r="S297" s="681" t="n"/>
      <c r="T297" s="682" t="n"/>
      <c r="U297" s="683" t="inlineStr">
        <is>
          <t>KHALID SAQI</t>
        </is>
      </c>
      <c r="V297" s="675" t="n">
        <v>2026</v>
      </c>
      <c r="W297" s="682" t="n">
        <v>46387</v>
      </c>
      <c r="X297" s="682" t="n"/>
      <c r="Y297" s="682" t="n">
        <v>46024</v>
      </c>
      <c r="Z297" s="679" t="n">
        <v>45000</v>
      </c>
      <c r="AA297" s="680" t="n"/>
      <c r="AB297" s="680">
        <f>Z297</f>
        <v/>
      </c>
      <c r="AC297" s="680" t="n"/>
      <c r="AD297" s="680">
        <f>Z297</f>
        <v/>
      </c>
      <c r="AE297" s="680">
        <f>AB297</f>
        <v/>
      </c>
      <c r="AF297" s="684" t="inlineStr">
        <is>
          <t>ENGAGE</t>
        </is>
      </c>
      <c r="AG297" s="683" t="n"/>
      <c r="AH297" s="680" t="n"/>
      <c r="AI297" s="680" t="n"/>
      <c r="AJ297" s="680" t="n"/>
      <c r="AK297" s="680" t="n"/>
      <c r="AL297" s="685" t="n"/>
      <c r="AM297" s="685" t="n"/>
      <c r="AN297" s="683" t="inlineStr">
        <is>
          <t>Manque n° contrat</t>
        </is>
      </c>
      <c r="AO297" s="686" t="n"/>
      <c r="AP297" s="687" t="n"/>
      <c r="AQ297" s="688" t="n"/>
      <c r="AR297" s="688" t="n"/>
      <c r="AS297" s="23" t="n"/>
      <c r="AT297" s="688" t="n"/>
    </row>
    <row r="298" ht="60" customHeight="1" s="392">
      <c r="A298" s="672">
        <f>IF(AF298="ENGAGE","✔",IF(AF298="EN COURS D'ENGAGEMENT","◕",IF(AF298="PREENGAGE","◑",IF(AF298="EN COURS DE PREENGAGEMENT","◔",IF(AF298="NON ENGAGE","✖","")))))</f>
        <v/>
      </c>
      <c r="B298" s="673" t="n">
        <v>2026</v>
      </c>
      <c r="C298" s="674" t="inlineStr">
        <is>
          <t>ASSADISSA</t>
        </is>
      </c>
      <c r="D298" s="674" t="inlineStr">
        <is>
          <t>PV N° : 03RC2025-DPPCCRTV</t>
        </is>
      </c>
      <c r="E298" s="675" t="inlineStr">
        <is>
          <t>CONTRAT</t>
        </is>
      </c>
      <c r="F298" s="675" t="n"/>
      <c r="G298" s="676" t="inlineStr">
        <is>
          <t>ZINEB HIDRA  -  La préparation et la présentation de l'émission TV intitulée ''لتسكنوا إليها ''</t>
        </is>
      </c>
      <c r="H298" s="673" t="inlineStr">
        <is>
          <t>VALIDE</t>
        </is>
      </c>
      <c r="I298" s="675" t="inlineStr">
        <is>
          <t>APPROUVE</t>
        </is>
      </c>
      <c r="J298" s="675" t="n"/>
      <c r="K298" s="673" t="inlineStr">
        <is>
          <t>NON CONCERNE</t>
        </is>
      </c>
      <c r="L298" s="675" t="inlineStr">
        <is>
          <t>Ordinaire</t>
        </is>
      </c>
      <c r="M298" s="677" t="inlineStr">
        <is>
          <t>FONCTIONNEMENT</t>
        </is>
      </c>
      <c r="N298" s="678" t="inlineStr">
        <is>
          <t>Achats de productions et de programmes
Achat des programmes en production interne - personnes physiques</t>
        </is>
      </c>
      <c r="O298" s="679" t="n"/>
      <c r="P298" s="680" t="n"/>
      <c r="Q298" s="680" t="n"/>
      <c r="R298" s="675" t="inlineStr">
        <is>
          <t>RECONDUCTION</t>
        </is>
      </c>
      <c r="S298" s="681" t="n"/>
      <c r="T298" s="682" t="n"/>
      <c r="U298" s="683" t="inlineStr">
        <is>
          <t>ZINEB HIDRA</t>
        </is>
      </c>
      <c r="V298" s="675" t="n">
        <v>2026</v>
      </c>
      <c r="W298" s="682" t="n">
        <v>46387</v>
      </c>
      <c r="X298" s="682" t="n"/>
      <c r="Y298" s="682" t="n">
        <v>46024</v>
      </c>
      <c r="Z298" s="679" t="n">
        <v>80000</v>
      </c>
      <c r="AA298" s="680" t="n"/>
      <c r="AB298" s="680">
        <f>Z298</f>
        <v/>
      </c>
      <c r="AC298" s="680" t="n"/>
      <c r="AD298" s="680">
        <f>Z298</f>
        <v/>
      </c>
      <c r="AE298" s="680">
        <f>AB298</f>
        <v/>
      </c>
      <c r="AF298" s="684" t="inlineStr">
        <is>
          <t>ENGAGE</t>
        </is>
      </c>
      <c r="AG298" s="683" t="n"/>
      <c r="AH298" s="680" t="n"/>
      <c r="AI298" s="680" t="n"/>
      <c r="AJ298" s="680" t="n"/>
      <c r="AK298" s="680" t="n"/>
      <c r="AL298" s="685" t="n"/>
      <c r="AM298" s="685" t="n"/>
      <c r="AN298" s="683" t="inlineStr">
        <is>
          <t>Manque n° contrat</t>
        </is>
      </c>
      <c r="AO298" s="686" t="n"/>
      <c r="AP298" s="687" t="n"/>
      <c r="AQ298" s="688" t="n"/>
      <c r="AR298" s="688" t="n"/>
      <c r="AS298" s="23" t="n"/>
      <c r="AT298" s="688" t="n"/>
    </row>
    <row r="299" ht="60" customHeight="1" s="392">
      <c r="A299" s="672">
        <f>IF(AF299="ENGAGE","✔",IF(AF299="EN COURS D'ENGAGEMENT","◕",IF(AF299="PREENGAGE","◑",IF(AF299="EN COURS DE PREENGAGEMENT","◔",IF(AF299="NON ENGAGE","✖","")))))</f>
        <v/>
      </c>
      <c r="B299" s="673" t="n">
        <v>2026</v>
      </c>
      <c r="C299" s="674" t="inlineStr">
        <is>
          <t>ASSADISSA</t>
        </is>
      </c>
      <c r="D299" s="674" t="inlineStr">
        <is>
          <t>PV N° : 03RC2025-DPPCCRTV</t>
        </is>
      </c>
      <c r="E299" s="675" t="inlineStr">
        <is>
          <t>CONTRAT</t>
        </is>
      </c>
      <c r="F299" s="675" t="n"/>
      <c r="G299" s="676" t="inlineStr">
        <is>
          <t>YAMNA HAMOURI  -  La préparation et la présentation de l'émission TV intitulée ''همزة وصل ''</t>
        </is>
      </c>
      <c r="H299" s="673" t="inlineStr">
        <is>
          <t>VALIDE</t>
        </is>
      </c>
      <c r="I299" s="675" t="inlineStr">
        <is>
          <t>APPROUVE</t>
        </is>
      </c>
      <c r="J299" s="675" t="n"/>
      <c r="K299" s="673" t="inlineStr">
        <is>
          <t>NON CONCERNE</t>
        </is>
      </c>
      <c r="L299" s="675" t="inlineStr">
        <is>
          <t>Ordinaire</t>
        </is>
      </c>
      <c r="M299" s="677" t="inlineStr">
        <is>
          <t>FONCTIONNEMENT</t>
        </is>
      </c>
      <c r="N299" s="678" t="inlineStr">
        <is>
          <t>Achats de productions et de programmes
Achat des programmes en production interne - personnes physiques</t>
        </is>
      </c>
      <c r="O299" s="679" t="n"/>
      <c r="P299" s="680" t="n"/>
      <c r="Q299" s="680" t="n"/>
      <c r="R299" s="675" t="inlineStr">
        <is>
          <t>RECONDUCTION</t>
        </is>
      </c>
      <c r="S299" s="681" t="n"/>
      <c r="T299" s="682" t="n"/>
      <c r="U299" s="683" t="inlineStr">
        <is>
          <t>YAMNA HAMOURI</t>
        </is>
      </c>
      <c r="V299" s="675" t="n">
        <v>2026</v>
      </c>
      <c r="W299" s="682" t="n">
        <v>46387</v>
      </c>
      <c r="X299" s="682" t="n"/>
      <c r="Y299" s="682" t="n">
        <v>46024</v>
      </c>
      <c r="Z299" s="679" t="n">
        <v>72000</v>
      </c>
      <c r="AA299" s="680" t="n"/>
      <c r="AB299" s="680">
        <f>Z299</f>
        <v/>
      </c>
      <c r="AC299" s="680" t="n"/>
      <c r="AD299" s="680">
        <f>Z299</f>
        <v/>
      </c>
      <c r="AE299" s="680">
        <f>AB299</f>
        <v/>
      </c>
      <c r="AF299" s="684" t="inlineStr">
        <is>
          <t>ENGAGE</t>
        </is>
      </c>
      <c r="AG299" s="683" t="n"/>
      <c r="AH299" s="680" t="n"/>
      <c r="AI299" s="680" t="n"/>
      <c r="AJ299" s="680" t="n"/>
      <c r="AK299" s="680" t="n"/>
      <c r="AL299" s="685" t="n"/>
      <c r="AM299" s="685" t="n"/>
      <c r="AN299" s="683" t="inlineStr">
        <is>
          <t>Manque n° contrat</t>
        </is>
      </c>
      <c r="AO299" s="686" t="n"/>
      <c r="AP299" s="687" t="n"/>
      <c r="AQ299" s="688" t="n"/>
      <c r="AR299" s="688" t="n"/>
      <c r="AS299" s="23" t="n"/>
      <c r="AT299" s="688" t="n"/>
    </row>
    <row r="300" ht="60" customHeight="1" s="392">
      <c r="A300" s="672">
        <f>IF(AF300="ENGAGE","✔",IF(AF300="EN COURS D'ENGAGEMENT","◕",IF(AF300="PREENGAGE","◑",IF(AF300="EN COURS DE PREENGAGEMENT","◔",IF(AF300="NON ENGAGE","✖","")))))</f>
        <v/>
      </c>
      <c r="B300" s="673" t="n">
        <v>2026</v>
      </c>
      <c r="C300" s="674" t="inlineStr">
        <is>
          <t>ASSADISSA</t>
        </is>
      </c>
      <c r="D300" s="674" t="inlineStr">
        <is>
          <t>PV N° : 03RC2025-DPPCCRTV</t>
        </is>
      </c>
      <c r="E300" s="675" t="inlineStr">
        <is>
          <t>CONTRAT</t>
        </is>
      </c>
      <c r="F300" s="675" t="n"/>
      <c r="G300" s="676" t="inlineStr">
        <is>
          <t>ABDESLAM JMILI  -  La préparation de l’émission TV « المقنع في علم التوقيت»</t>
        </is>
      </c>
      <c r="H300" s="673" t="inlineStr">
        <is>
          <t>VALIDE</t>
        </is>
      </c>
      <c r="I300" s="675" t="inlineStr">
        <is>
          <t>APPROUVE</t>
        </is>
      </c>
      <c r="J300" s="675" t="n"/>
      <c r="K300" s="673" t="inlineStr">
        <is>
          <t>NON CONCERNE</t>
        </is>
      </c>
      <c r="L300" s="675" t="inlineStr">
        <is>
          <t>Ordinaire</t>
        </is>
      </c>
      <c r="M300" s="677" t="inlineStr">
        <is>
          <t>FONCTIONNEMENT</t>
        </is>
      </c>
      <c r="N300" s="678" t="inlineStr">
        <is>
          <t>Achats de productions et de programmes
Achat des programmes en production interne - personnes physiques</t>
        </is>
      </c>
      <c r="O300" s="679" t="n"/>
      <c r="P300" s="680" t="n"/>
      <c r="Q300" s="680" t="n"/>
      <c r="R300" s="675" t="inlineStr">
        <is>
          <t>RECONDUCTION</t>
        </is>
      </c>
      <c r="S300" s="681" t="n"/>
      <c r="T300" s="682" t="n"/>
      <c r="U300" s="683" t="inlineStr">
        <is>
          <t>ABDESLAM JMILI</t>
        </is>
      </c>
      <c r="V300" s="675" t="n">
        <v>2026</v>
      </c>
      <c r="W300" s="682" t="n">
        <v>46387</v>
      </c>
      <c r="X300" s="682" t="n"/>
      <c r="Y300" s="682" t="n">
        <v>46024</v>
      </c>
      <c r="Z300" s="679" t="n">
        <v>80000</v>
      </c>
      <c r="AA300" s="680" t="n"/>
      <c r="AB300" s="680">
        <f>Z300</f>
        <v/>
      </c>
      <c r="AC300" s="680" t="n"/>
      <c r="AD300" s="680">
        <f>Z300</f>
        <v/>
      </c>
      <c r="AE300" s="680">
        <f>AB300</f>
        <v/>
      </c>
      <c r="AF300" s="684" t="inlineStr">
        <is>
          <t>ENGAGE</t>
        </is>
      </c>
      <c r="AG300" s="683" t="n"/>
      <c r="AH300" s="680" t="n"/>
      <c r="AI300" s="680" t="n"/>
      <c r="AJ300" s="680" t="n"/>
      <c r="AK300" s="680" t="n"/>
      <c r="AL300" s="685" t="n"/>
      <c r="AM300" s="685" t="n"/>
      <c r="AN300" s="683" t="inlineStr">
        <is>
          <t>Manque n° contrat</t>
        </is>
      </c>
      <c r="AO300" s="686" t="n"/>
      <c r="AP300" s="687" t="n"/>
      <c r="AQ300" s="688" t="n"/>
      <c r="AR300" s="688" t="n"/>
      <c r="AS300" s="23" t="n"/>
      <c r="AT300" s="688" t="n"/>
    </row>
    <row r="301" ht="60" customHeight="1" s="392">
      <c r="A301" s="672">
        <f>IF(AF301="ENGAGE","✔",IF(AF301="EN COURS D'ENGAGEMENT","◕",IF(AF301="PREENGAGE","◑",IF(AF301="EN COURS DE PREENGAGEMENT","◔",IF(AF301="NON ENGAGE","✖","")))))</f>
        <v/>
      </c>
      <c r="B301" s="673" t="n">
        <v>2026</v>
      </c>
      <c r="C301" s="674" t="inlineStr">
        <is>
          <t>ASSADISSA</t>
        </is>
      </c>
      <c r="D301" s="674" t="inlineStr">
        <is>
          <t>PV N° : 03RC2025-DPPCCRTV</t>
        </is>
      </c>
      <c r="E301" s="675" t="inlineStr">
        <is>
          <t>CONTRAT</t>
        </is>
      </c>
      <c r="F301" s="675" t="n"/>
      <c r="G301" s="676" t="inlineStr">
        <is>
          <t>MOULAY ENNAJEM TAHDAOUI  -  La préparation et la présentation de l'émission TV intitulée ''الرسم القرآني ‘‘</t>
        </is>
      </c>
      <c r="H301" s="673" t="inlineStr">
        <is>
          <t>VALIDE</t>
        </is>
      </c>
      <c r="I301" s="675" t="inlineStr">
        <is>
          <t>APPROUVE</t>
        </is>
      </c>
      <c r="J301" s="675" t="n"/>
      <c r="K301" s="673" t="inlineStr">
        <is>
          <t>NON CONCERNE</t>
        </is>
      </c>
      <c r="L301" s="675" t="inlineStr">
        <is>
          <t>Ordinaire</t>
        </is>
      </c>
      <c r="M301" s="677" t="inlineStr">
        <is>
          <t>FONCTIONNEMENT</t>
        </is>
      </c>
      <c r="N301" s="678" t="inlineStr">
        <is>
          <t>Achats de productions et de programmes
Achat des programmes en production interne - personnes physiques</t>
        </is>
      </c>
      <c r="O301" s="679" t="n"/>
      <c r="P301" s="680" t="n"/>
      <c r="Q301" s="680" t="n"/>
      <c r="R301" s="675" t="inlineStr">
        <is>
          <t>RECONDUCTION</t>
        </is>
      </c>
      <c r="S301" s="681" t="n"/>
      <c r="T301" s="682" t="n"/>
      <c r="U301" s="683" t="inlineStr">
        <is>
          <t>MOULAY ENNAJEM TAHDAOUI</t>
        </is>
      </c>
      <c r="V301" s="675" t="n">
        <v>2026</v>
      </c>
      <c r="W301" s="682" t="n">
        <v>46387</v>
      </c>
      <c r="X301" s="682" t="n"/>
      <c r="Y301" s="682" t="n">
        <v>46024</v>
      </c>
      <c r="Z301" s="679" t="n">
        <v>96000</v>
      </c>
      <c r="AA301" s="680" t="n"/>
      <c r="AB301" s="680">
        <f>Z301</f>
        <v/>
      </c>
      <c r="AC301" s="680" t="n"/>
      <c r="AD301" s="680">
        <f>Z301</f>
        <v/>
      </c>
      <c r="AE301" s="680">
        <f>AB301</f>
        <v/>
      </c>
      <c r="AF301" s="684" t="inlineStr">
        <is>
          <t>ENGAGE</t>
        </is>
      </c>
      <c r="AG301" s="683" t="n"/>
      <c r="AH301" s="680" t="n"/>
      <c r="AI301" s="680" t="n"/>
      <c r="AJ301" s="680" t="n"/>
      <c r="AK301" s="680" t="n"/>
      <c r="AL301" s="685" t="n"/>
      <c r="AM301" s="685" t="n"/>
      <c r="AN301" s="683" t="inlineStr">
        <is>
          <t>Manque n° contrat</t>
        </is>
      </c>
      <c r="AO301" s="686" t="n"/>
      <c r="AP301" s="687" t="n"/>
      <c r="AQ301" s="688" t="n"/>
      <c r="AR301" s="688" t="n"/>
      <c r="AS301" s="23" t="n"/>
      <c r="AT301" s="688" t="n"/>
    </row>
    <row r="302" ht="60" customHeight="1" s="392">
      <c r="A302" s="672">
        <f>IF(AF302="ENGAGE","✔",IF(AF302="EN COURS D'ENGAGEMENT","◕",IF(AF302="PREENGAGE","◑",IF(AF302="EN COURS DE PREENGAGEMENT","◔",IF(AF302="NON ENGAGE","✖","")))))</f>
        <v/>
      </c>
      <c r="B302" s="673" t="n">
        <v>2026</v>
      </c>
      <c r="C302" s="674" t="inlineStr">
        <is>
          <t>ASSADISSA</t>
        </is>
      </c>
      <c r="D302" s="674" t="inlineStr">
        <is>
          <t>PV N° : 03RC2025-DPPCCRTV</t>
        </is>
      </c>
      <c r="E302" s="675" t="inlineStr">
        <is>
          <t>CONTRAT</t>
        </is>
      </c>
      <c r="F302" s="675" t="n"/>
      <c r="G302" s="676" t="inlineStr">
        <is>
          <t>MOHAMED AIT ADDI  -  La préparation et la présentation de l'émission TV intitulée ''في ضيافة الشباب ''</t>
        </is>
      </c>
      <c r="H302" s="673" t="inlineStr">
        <is>
          <t>VALIDE</t>
        </is>
      </c>
      <c r="I302" s="675" t="inlineStr">
        <is>
          <t>APPROUVE</t>
        </is>
      </c>
      <c r="J302" s="675" t="n"/>
      <c r="K302" s="673" t="inlineStr">
        <is>
          <t>NON CONCERNE</t>
        </is>
      </c>
      <c r="L302" s="675" t="inlineStr">
        <is>
          <t>Ordinaire</t>
        </is>
      </c>
      <c r="M302" s="677" t="inlineStr">
        <is>
          <t>FONCTIONNEMENT</t>
        </is>
      </c>
      <c r="N302" s="678" t="inlineStr">
        <is>
          <t>Achats de productions et de programmes
Achat des programmes en production interne - personnes physiques</t>
        </is>
      </c>
      <c r="O302" s="679" t="n"/>
      <c r="P302" s="680" t="n"/>
      <c r="Q302" s="680" t="n"/>
      <c r="R302" s="675" t="inlineStr">
        <is>
          <t>RECONDUCTION</t>
        </is>
      </c>
      <c r="S302" s="681" t="n"/>
      <c r="T302" s="682" t="n"/>
      <c r="U302" s="683" t="inlineStr">
        <is>
          <t>MOHAMED AIT ADDI</t>
        </is>
      </c>
      <c r="V302" s="675" t="n">
        <v>2026</v>
      </c>
      <c r="W302" s="682" t="n">
        <v>46387</v>
      </c>
      <c r="X302" s="682" t="n"/>
      <c r="Y302" s="682" t="n">
        <v>46024</v>
      </c>
      <c r="Z302" s="679" t="n">
        <v>128000</v>
      </c>
      <c r="AA302" s="680" t="n"/>
      <c r="AB302" s="680">
        <f>Z302</f>
        <v/>
      </c>
      <c r="AC302" s="680" t="n"/>
      <c r="AD302" s="680">
        <f>Z302</f>
        <v/>
      </c>
      <c r="AE302" s="680">
        <f>AB302</f>
        <v/>
      </c>
      <c r="AF302" s="684" t="inlineStr">
        <is>
          <t>ENGAGE</t>
        </is>
      </c>
      <c r="AG302" s="683" t="n"/>
      <c r="AH302" s="680" t="n"/>
      <c r="AI302" s="680" t="n"/>
      <c r="AJ302" s="680" t="n"/>
      <c r="AK302" s="680" t="n"/>
      <c r="AL302" s="685" t="n"/>
      <c r="AM302" s="685" t="n"/>
      <c r="AN302" s="683" t="inlineStr">
        <is>
          <t>Manque n° contrat</t>
        </is>
      </c>
      <c r="AO302" s="686" t="n"/>
      <c r="AP302" s="687" t="n"/>
      <c r="AQ302" s="688" t="n"/>
      <c r="AR302" s="688" t="n"/>
      <c r="AS302" s="23" t="n"/>
      <c r="AT302" s="688" t="n"/>
    </row>
    <row r="303" ht="60" customHeight="1" s="392">
      <c r="A303" s="672">
        <f>IF(AF303="ENGAGE","✔",IF(AF303="EN COURS D'ENGAGEMENT","◕",IF(AF303="PREENGAGE","◑",IF(AF303="EN COURS DE PREENGAGEMENT","◔",IF(AF303="NON ENGAGE","✖","")))))</f>
        <v/>
      </c>
      <c r="B303" s="673" t="n">
        <v>2026</v>
      </c>
      <c r="C303" s="674" t="inlineStr">
        <is>
          <t>ASSADISSA</t>
        </is>
      </c>
      <c r="D303" s="674" t="inlineStr">
        <is>
          <t>PV N° : 03RC2025-DPPCCRTV</t>
        </is>
      </c>
      <c r="E303" s="675" t="inlineStr">
        <is>
          <t>CONTRAT</t>
        </is>
      </c>
      <c r="F303" s="675" t="n"/>
      <c r="G303" s="676" t="inlineStr">
        <is>
          <t>ABDELLATIF TAYBI  -  La préparation et la présentation l'émission TV intitulée ''يوميات مسلم''</t>
        </is>
      </c>
      <c r="H303" s="673" t="inlineStr">
        <is>
          <t>VALIDE</t>
        </is>
      </c>
      <c r="I303" s="675" t="inlineStr">
        <is>
          <t>APPROUVE</t>
        </is>
      </c>
      <c r="J303" s="675" t="n"/>
      <c r="K303" s="673" t="inlineStr">
        <is>
          <t>NON CONCERNE</t>
        </is>
      </c>
      <c r="L303" s="675" t="inlineStr">
        <is>
          <t>Ordinaire</t>
        </is>
      </c>
      <c r="M303" s="677" t="inlineStr">
        <is>
          <t>FONCTIONNEMENT</t>
        </is>
      </c>
      <c r="N303" s="678" t="inlineStr">
        <is>
          <t>Achats de productions et de programmes
Achat des programmes en production interne - personnes physiques</t>
        </is>
      </c>
      <c r="O303" s="679" t="n"/>
      <c r="P303" s="680" t="n"/>
      <c r="Q303" s="680" t="n"/>
      <c r="R303" s="675" t="inlineStr">
        <is>
          <t>RECONDUCTION</t>
        </is>
      </c>
      <c r="S303" s="681" t="n"/>
      <c r="T303" s="682" t="n"/>
      <c r="U303" s="683" t="inlineStr">
        <is>
          <t>ABDELLATIF TAYBI</t>
        </is>
      </c>
      <c r="V303" s="675" t="n">
        <v>2026</v>
      </c>
      <c r="W303" s="682" t="n">
        <v>46387</v>
      </c>
      <c r="X303" s="682" t="n"/>
      <c r="Y303" s="682" t="n">
        <v>46024</v>
      </c>
      <c r="Z303" s="679" t="n">
        <v>80000</v>
      </c>
      <c r="AA303" s="680" t="n"/>
      <c r="AB303" s="680">
        <f>Z303</f>
        <v/>
      </c>
      <c r="AC303" s="680" t="n"/>
      <c r="AD303" s="680">
        <f>Z303</f>
        <v/>
      </c>
      <c r="AE303" s="680">
        <f>AB303</f>
        <v/>
      </c>
      <c r="AF303" s="684" t="inlineStr">
        <is>
          <t>ENGAGE</t>
        </is>
      </c>
      <c r="AG303" s="683" t="n"/>
      <c r="AH303" s="680" t="n"/>
      <c r="AI303" s="680" t="n"/>
      <c r="AJ303" s="680" t="n"/>
      <c r="AK303" s="680" t="n"/>
      <c r="AL303" s="685" t="n"/>
      <c r="AM303" s="685" t="n"/>
      <c r="AN303" s="683" t="inlineStr">
        <is>
          <t>Manque n° contrat</t>
        </is>
      </c>
      <c r="AO303" s="686" t="n"/>
      <c r="AP303" s="687" t="n"/>
      <c r="AQ303" s="688" t="n"/>
      <c r="AR303" s="688" t="n"/>
      <c r="AS303" s="23" t="n"/>
      <c r="AT303" s="688" t="n"/>
    </row>
    <row r="304" ht="60" customHeight="1" s="392">
      <c r="A304" s="672">
        <f>IF(AF304="ENGAGE","✔",IF(AF304="EN COURS D'ENGAGEMENT","◕",IF(AF304="PREENGAGE","◑",IF(AF304="EN COURS DE PREENGAGEMENT","◔",IF(AF304="NON ENGAGE","✖","")))))</f>
        <v/>
      </c>
      <c r="B304" s="673" t="n">
        <v>2026</v>
      </c>
      <c r="C304" s="674" t="inlineStr">
        <is>
          <t>ASSADISSA</t>
        </is>
      </c>
      <c r="D304" s="674" t="inlineStr">
        <is>
          <t>PV N° : 03RC2025-DPPCCRTV</t>
        </is>
      </c>
      <c r="E304" s="675" t="inlineStr">
        <is>
          <t>CONTRAT</t>
        </is>
      </c>
      <c r="F304" s="675" t="n"/>
      <c r="G304" s="676" t="inlineStr">
        <is>
          <t>YOUNES BOUALAM  -  La préparation et la présentation de l'émission RD"قبس الأنوار"</t>
        </is>
      </c>
      <c r="H304" s="673" t="inlineStr">
        <is>
          <t>VALIDE</t>
        </is>
      </c>
      <c r="I304" s="675" t="inlineStr">
        <is>
          <t>APPROUVE</t>
        </is>
      </c>
      <c r="J304" s="675" t="n"/>
      <c r="K304" s="673" t="inlineStr">
        <is>
          <t>NON CONCERNE</t>
        </is>
      </c>
      <c r="L304" s="675" t="inlineStr">
        <is>
          <t>Ordinaire</t>
        </is>
      </c>
      <c r="M304" s="677" t="inlineStr">
        <is>
          <t>FONCTIONNEMENT</t>
        </is>
      </c>
      <c r="N304" s="678" t="inlineStr">
        <is>
          <t>Achats de productions et de programmes
Achat des programmes en production interne - personnes physiques</t>
        </is>
      </c>
      <c r="O304" s="679" t="n"/>
      <c r="P304" s="680" t="n"/>
      <c r="Q304" s="680" t="n"/>
      <c r="R304" s="675" t="inlineStr">
        <is>
          <t>RECONDUCTION</t>
        </is>
      </c>
      <c r="S304" s="681" t="n"/>
      <c r="T304" s="682" t="n"/>
      <c r="U304" s="683" t="inlineStr">
        <is>
          <t>YOUNES BOUALAM</t>
        </is>
      </c>
      <c r="V304" s="675" t="n">
        <v>2026</v>
      </c>
      <c r="W304" s="682" t="n">
        <v>46387</v>
      </c>
      <c r="X304" s="682" t="n"/>
      <c r="Y304" s="682" t="n">
        <v>46024</v>
      </c>
      <c r="Z304" s="679" t="n">
        <v>51428.52</v>
      </c>
      <c r="AA304" s="680" t="n"/>
      <c r="AB304" s="680">
        <f>Z304</f>
        <v/>
      </c>
      <c r="AC304" s="680" t="n"/>
      <c r="AD304" s="680">
        <f>Z304</f>
        <v/>
      </c>
      <c r="AE304" s="680">
        <f>AB304</f>
        <v/>
      </c>
      <c r="AF304" s="684" t="inlineStr">
        <is>
          <t>ENGAGE</t>
        </is>
      </c>
      <c r="AG304" s="683" t="n"/>
      <c r="AH304" s="680" t="n"/>
      <c r="AI304" s="680" t="n"/>
      <c r="AJ304" s="680" t="n"/>
      <c r="AK304" s="680" t="n"/>
      <c r="AL304" s="685" t="n"/>
      <c r="AM304" s="685" t="n"/>
      <c r="AN304" s="683" t="inlineStr">
        <is>
          <t>Manque n° contrat</t>
        </is>
      </c>
      <c r="AO304" s="686" t="n"/>
      <c r="AP304" s="687" t="n"/>
      <c r="AQ304" s="688" t="n"/>
      <c r="AR304" s="688" t="n"/>
      <c r="AS304" s="23" t="n"/>
      <c r="AT304" s="688" t="n"/>
    </row>
    <row r="305" ht="87" customHeight="1" s="392">
      <c r="A305" s="672">
        <f>IF(AF305="ENGAGE","✔",IF(AF305="EN COURS D'ENGAGEMENT","◕",IF(AF305="PREENGAGE","◑",IF(AF305="EN COURS DE PREENGAGEMENT","◔",IF(AF305="NON ENGAGE","✖","")))))</f>
        <v/>
      </c>
      <c r="B305" s="673" t="n">
        <v>2026</v>
      </c>
      <c r="C305" s="674" t="inlineStr">
        <is>
          <t>TV LAAYOUNE</t>
        </is>
      </c>
      <c r="D305" s="674" t="inlineStr">
        <is>
          <t>RECONDUCTION</t>
        </is>
      </c>
      <c r="E305" s="675" t="inlineStr">
        <is>
          <t>AOO-CT</t>
        </is>
      </c>
      <c r="F305" s="675" t="n">
        <v>1</v>
      </c>
      <c r="G305" s="676" t="inlineStr">
        <is>
          <t>Exécution de la production de l'émission pour femmes en PAD intitulée "LAMASATE NISAIYA"</t>
        </is>
      </c>
      <c r="H305" s="673" t="inlineStr">
        <is>
          <t>VALIDE</t>
        </is>
      </c>
      <c r="I305" s="675" t="inlineStr">
        <is>
          <t>APPROUVE</t>
        </is>
      </c>
      <c r="J305" s="675" t="inlineStr">
        <is>
          <t>12CT/SNRT/2026</t>
        </is>
      </c>
      <c r="K305" s="673" t="inlineStr">
        <is>
          <t>NON CONCERNE</t>
        </is>
      </c>
      <c r="L305" s="675" t="inlineStr">
        <is>
          <t>Ordinaire</t>
        </is>
      </c>
      <c r="M305" s="677" t="inlineStr">
        <is>
          <t>FONCTIONNEMENT</t>
        </is>
      </c>
      <c r="N305" s="678" t="inlineStr">
        <is>
          <t>Achats de productions et de programmes 
Acquis définitive Programmes TV externes 
Achats des programmes en co-production</t>
        </is>
      </c>
      <c r="O305" s="679" t="n"/>
      <c r="P305" s="680" t="n"/>
      <c r="Q305" s="680" t="n"/>
      <c r="R305" s="675" t="inlineStr">
        <is>
          <t>RECONDUCTION</t>
        </is>
      </c>
      <c r="S305" s="681" t="n"/>
      <c r="T305" s="682" t="n"/>
      <c r="U305" s="683" t="inlineStr">
        <is>
          <t>DUNAS PRODUCTION</t>
        </is>
      </c>
      <c r="V305" s="675" t="n">
        <v>2026</v>
      </c>
      <c r="W305" s="682" t="n">
        <v>46030</v>
      </c>
      <c r="X305" s="682" t="n"/>
      <c r="Y305" s="682" t="n">
        <v>46038</v>
      </c>
      <c r="Z305" s="679" t="n">
        <v>1030959.9</v>
      </c>
      <c r="AA305" s="680" t="n">
        <v>0</v>
      </c>
      <c r="AB305" s="680" t="n">
        <v>1030959.9</v>
      </c>
      <c r="AC305" s="680" t="n">
        <v>0</v>
      </c>
      <c r="AD305" s="680" t="n">
        <v>1030959.9</v>
      </c>
      <c r="AE305" s="680" t="n">
        <v>1030959.9</v>
      </c>
      <c r="AF305" s="684" t="inlineStr">
        <is>
          <t>ENGAGE</t>
        </is>
      </c>
      <c r="AG305" s="683" t="n"/>
      <c r="AH305" s="680" t="n"/>
      <c r="AI305" s="680" t="n"/>
      <c r="AJ305" s="680" t="n"/>
      <c r="AK305" s="680" t="n"/>
      <c r="AL305" s="685" t="n"/>
      <c r="AM305" s="685" t="n"/>
      <c r="AN305" s="683" t="inlineStr">
        <is>
          <t>RAS</t>
        </is>
      </c>
      <c r="AO305" s="689" t="n"/>
      <c r="AP305" s="690" t="n"/>
      <c r="AQ305" s="691" t="n"/>
      <c r="AR305" s="691" t="n"/>
      <c r="AS305" s="23" t="n"/>
      <c r="AT305" s="691" t="n"/>
    </row>
    <row r="306" ht="87" customHeight="1" s="392">
      <c r="A306" s="672">
        <f>IF(AF306="ENGAGE","✔",IF(AF306="EN COURS D'ENGAGEMENT","◕",IF(AF306="PREENGAGE","◑",IF(AF306="EN COURS DE PREENGAGEMENT","◔",IF(AF306="NON ENGAGE","✖","")))))</f>
        <v/>
      </c>
      <c r="B306" s="673" t="n">
        <v>2026</v>
      </c>
      <c r="C306" s="674" t="inlineStr">
        <is>
          <t>TV LAAYOUNE</t>
        </is>
      </c>
      <c r="D306" s="674" t="inlineStr">
        <is>
          <t>RECONDUCTION</t>
        </is>
      </c>
      <c r="E306" s="675" t="inlineStr">
        <is>
          <t>AOO-CT</t>
        </is>
      </c>
      <c r="F306" s="675" t="n">
        <v>1</v>
      </c>
      <c r="G306" s="676" t="inlineStr">
        <is>
          <t>Exécution de la production de l'émission de jeux culturel en co-prod intitulée «AL FAICHE EX AL FARIH "</t>
        </is>
      </c>
      <c r="H306" s="673" t="inlineStr">
        <is>
          <t>VALIDE</t>
        </is>
      </c>
      <c r="I306" s="675" t="inlineStr">
        <is>
          <t>APPROUVE</t>
        </is>
      </c>
      <c r="J306" s="675" t="inlineStr">
        <is>
          <t>16CT/SNRT/2026</t>
        </is>
      </c>
      <c r="K306" s="673" t="inlineStr">
        <is>
          <t>NON CONCERNE</t>
        </is>
      </c>
      <c r="L306" s="675" t="inlineStr">
        <is>
          <t>Ordinaire</t>
        </is>
      </c>
      <c r="M306" s="677" t="inlineStr">
        <is>
          <t>FONCTIONNEMENT</t>
        </is>
      </c>
      <c r="N306" s="678" t="inlineStr">
        <is>
          <t>Achats de productions et de programmes 
Acquis définitive Programmes TV externes 
Achats des programmes en co-production</t>
        </is>
      </c>
      <c r="O306" s="679" t="n"/>
      <c r="P306" s="680" t="n"/>
      <c r="Q306" s="680" t="n"/>
      <c r="R306" s="675" t="inlineStr">
        <is>
          <t>RECONDUCTION</t>
        </is>
      </c>
      <c r="S306" s="681" t="n"/>
      <c r="T306" s="682" t="n"/>
      <c r="U306" s="683" t="inlineStr">
        <is>
          <t>DUNAS PRODUCTION</t>
        </is>
      </c>
      <c r="V306" s="675" t="n">
        <v>2026</v>
      </c>
      <c r="W306" s="682" t="n">
        <v>46030</v>
      </c>
      <c r="X306" s="682" t="n"/>
      <c r="Y306" s="682" t="n">
        <v>46038</v>
      </c>
      <c r="Z306" s="679" t="n">
        <v>696639.96</v>
      </c>
      <c r="AA306" s="680" t="n">
        <v>0</v>
      </c>
      <c r="AB306" s="680" t="n">
        <v>696639.96</v>
      </c>
      <c r="AC306" s="680" t="n">
        <v>0</v>
      </c>
      <c r="AD306" s="680" t="n">
        <v>696639.96</v>
      </c>
      <c r="AE306" s="680" t="n">
        <v>696639.96</v>
      </c>
      <c r="AF306" s="684" t="inlineStr">
        <is>
          <t>ENGAGE</t>
        </is>
      </c>
      <c r="AG306" s="683" t="n"/>
      <c r="AH306" s="680" t="n"/>
      <c r="AI306" s="680" t="n"/>
      <c r="AJ306" s="680" t="n"/>
      <c r="AK306" s="680" t="n"/>
      <c r="AL306" s="685" t="n"/>
      <c r="AM306" s="685" t="n"/>
      <c r="AN306" s="683" t="inlineStr">
        <is>
          <t>RAS</t>
        </is>
      </c>
      <c r="AO306" s="689" t="n"/>
      <c r="AP306" s="690" t="n"/>
      <c r="AQ306" s="691" t="n"/>
      <c r="AR306" s="691" t="n"/>
      <c r="AS306" s="23" t="n"/>
      <c r="AT306" s="692" t="n"/>
    </row>
    <row r="307" ht="87" customHeight="1" s="392">
      <c r="A307" s="672">
        <f>IF(AF307="ENGAGE","✔",IF(AF307="EN COURS D'ENGAGEMENT","◕",IF(AF307="PREENGAGE","◑",IF(AF307="EN COURS DE PREENGAGEMENT","◔",IF(AF307="NON ENGAGE","✖","")))))</f>
        <v/>
      </c>
      <c r="B307" s="673" t="n">
        <v>2026</v>
      </c>
      <c r="C307" s="674" t="inlineStr">
        <is>
          <t>TV LAAYOUNE</t>
        </is>
      </c>
      <c r="D307" s="674" t="inlineStr">
        <is>
          <t>RECONDUCTION</t>
        </is>
      </c>
      <c r="E307" s="675" t="inlineStr">
        <is>
          <t>AOO-CT</t>
        </is>
      </c>
      <c r="F307" s="675" t="n">
        <v>1</v>
      </c>
      <c r="G307" s="676" t="inlineStr">
        <is>
          <t>Exécution de la production de l’émission en PAD "ICHOUF A CHIBANI</t>
        </is>
      </c>
      <c r="H307" s="673" t="inlineStr">
        <is>
          <t>VALIDE</t>
        </is>
      </c>
      <c r="I307" s="675" t="inlineStr">
        <is>
          <t>APPROUVE</t>
        </is>
      </c>
      <c r="J307" s="675" t="inlineStr">
        <is>
          <t>22CT/SNRT/2026</t>
        </is>
      </c>
      <c r="K307" s="673" t="inlineStr">
        <is>
          <t>NON CONCERNE</t>
        </is>
      </c>
      <c r="L307" s="675" t="inlineStr">
        <is>
          <t>Ordinaire</t>
        </is>
      </c>
      <c r="M307" s="677" t="inlineStr">
        <is>
          <t>FONCTIONNEMENT</t>
        </is>
      </c>
      <c r="N307" s="678" t="inlineStr">
        <is>
          <t>Achats de productions et de programmes 
Acquis définitive Programmes TV externes 
Achats des programmes en co-production</t>
        </is>
      </c>
      <c r="O307" s="679" t="n"/>
      <c r="P307" s="680" t="n"/>
      <c r="Q307" s="680" t="n"/>
      <c r="R307" s="675" t="inlineStr">
        <is>
          <t>RECONDUCTION</t>
        </is>
      </c>
      <c r="S307" s="681" t="n"/>
      <c r="T307" s="682" t="n"/>
      <c r="U307" s="683" t="inlineStr">
        <is>
          <t>JOWHARA TECH</t>
        </is>
      </c>
      <c r="V307" s="675" t="n">
        <v>2026</v>
      </c>
      <c r="W307" s="682" t="n">
        <v>46030</v>
      </c>
      <c r="X307" s="682" t="n"/>
      <c r="Y307" s="682" t="n">
        <v>46038</v>
      </c>
      <c r="Z307" s="679" t="n">
        <v>1195599.9</v>
      </c>
      <c r="AA307" s="680" t="n">
        <v>0</v>
      </c>
      <c r="AB307" s="680" t="n">
        <v>1195599.9</v>
      </c>
      <c r="AC307" s="680" t="n">
        <v>0</v>
      </c>
      <c r="AD307" s="680" t="n">
        <v>1195599.9</v>
      </c>
      <c r="AE307" s="680" t="n">
        <v>1195599.9</v>
      </c>
      <c r="AF307" s="684" t="inlineStr">
        <is>
          <t>ENGAGE</t>
        </is>
      </c>
      <c r="AG307" s="683" t="n"/>
      <c r="AH307" s="680" t="n"/>
      <c r="AI307" s="680" t="n"/>
      <c r="AJ307" s="680" t="n"/>
      <c r="AK307" s="680" t="n"/>
      <c r="AL307" s="685" t="n"/>
      <c r="AM307" s="685" t="n"/>
      <c r="AN307" s="683" t="inlineStr">
        <is>
          <t>RAS</t>
        </is>
      </c>
      <c r="AO307" s="689" t="n"/>
      <c r="AP307" s="690" t="n"/>
      <c r="AQ307" s="691" t="n"/>
      <c r="AR307" s="691" t="n"/>
      <c r="AS307" s="23" t="n"/>
      <c r="AT307" s="692" t="n"/>
    </row>
    <row r="308" ht="87" customHeight="1" s="392">
      <c r="A308" s="672">
        <f>IF(AF308="ENGAGE","✔",IF(AF308="EN COURS D'ENGAGEMENT","◕",IF(AF308="PREENGAGE","◑",IF(AF308="EN COURS DE PREENGAGEMENT","◔",IF(AF308="NON ENGAGE","✖","")))))</f>
        <v/>
      </c>
      <c r="B308" s="673" t="n">
        <v>2026</v>
      </c>
      <c r="C308" s="674" t="inlineStr">
        <is>
          <t>TV LAAYOUNE</t>
        </is>
      </c>
      <c r="D308" s="674" t="inlineStr">
        <is>
          <t>RECONDUCTION</t>
        </is>
      </c>
      <c r="E308" s="675" t="inlineStr">
        <is>
          <t>AOO-CT</t>
        </is>
      </c>
      <c r="F308" s="675" t="n">
        <v>1</v>
      </c>
      <c r="G308" s="676" t="inlineStr">
        <is>
          <t>Exécution de la production du documentaire découverte sur le Sahara en PAD intitulée "AMNIR"</t>
        </is>
      </c>
      <c r="H308" s="673" t="inlineStr">
        <is>
          <t>VALIDE</t>
        </is>
      </c>
      <c r="I308" s="675" t="inlineStr">
        <is>
          <t>APPROUVE</t>
        </is>
      </c>
      <c r="J308" s="675" t="inlineStr">
        <is>
          <t>15CT/SNRT/2026</t>
        </is>
      </c>
      <c r="K308" s="673" t="inlineStr">
        <is>
          <t>NON CONCERNE</t>
        </is>
      </c>
      <c r="L308" s="675" t="inlineStr">
        <is>
          <t>Ordinaire</t>
        </is>
      </c>
      <c r="M308" s="677" t="inlineStr">
        <is>
          <t>FONCTIONNEMENT</t>
        </is>
      </c>
      <c r="N308" s="678" t="inlineStr">
        <is>
          <t>Achats de productions et de programmes 
Acquis définitive Programmes TV externes 
Achats des programmes en co-production</t>
        </is>
      </c>
      <c r="O308" s="679" t="n"/>
      <c r="P308" s="680" t="n"/>
      <c r="Q308" s="680" t="n"/>
      <c r="R308" s="675" t="inlineStr">
        <is>
          <t>RECONDUCTION</t>
        </is>
      </c>
      <c r="S308" s="681" t="n"/>
      <c r="T308" s="682" t="n"/>
      <c r="U308" s="683" t="inlineStr">
        <is>
          <t>DELTA PRODUCTION</t>
        </is>
      </c>
      <c r="V308" s="675" t="n">
        <v>2026</v>
      </c>
      <c r="W308" s="682" t="n">
        <v>46030</v>
      </c>
      <c r="X308" s="682" t="n"/>
      <c r="Y308" s="682" t="n">
        <v>46035</v>
      </c>
      <c r="Z308" s="679" t="n">
        <v>1687503.9</v>
      </c>
      <c r="AA308" s="680" t="n">
        <v>0</v>
      </c>
      <c r="AB308" s="680" t="n">
        <v>1687503.9</v>
      </c>
      <c r="AC308" s="680" t="n">
        <v>0</v>
      </c>
      <c r="AD308" s="680" t="n">
        <v>1687503.9</v>
      </c>
      <c r="AE308" s="680" t="n">
        <v>1687503.9</v>
      </c>
      <c r="AF308" s="684" t="inlineStr">
        <is>
          <t>ENGAGE</t>
        </is>
      </c>
      <c r="AG308" s="683" t="n"/>
      <c r="AH308" s="680" t="n"/>
      <c r="AI308" s="680" t="n"/>
      <c r="AJ308" s="680" t="n"/>
      <c r="AK308" s="680" t="n"/>
      <c r="AL308" s="685" t="n"/>
      <c r="AM308" s="685" t="n"/>
      <c r="AN308" s="683" t="inlineStr">
        <is>
          <t>RAS</t>
        </is>
      </c>
      <c r="AO308" s="689" t="n"/>
      <c r="AP308" s="690" t="n"/>
      <c r="AQ308" s="691" t="n"/>
      <c r="AR308" s="691" t="n"/>
      <c r="AS308" s="23" t="n"/>
      <c r="AT308" s="692" t="n"/>
    </row>
    <row r="309" ht="87" customHeight="1" s="392">
      <c r="A309" s="672">
        <f>IF(AF309="ENGAGE","✔",IF(AF309="EN COURS D'ENGAGEMENT","◕",IF(AF309="PREENGAGE","◑",IF(AF309="EN COURS DE PREENGAGEMENT","◔",IF(AF309="NON ENGAGE","✖","")))))</f>
        <v/>
      </c>
      <c r="B309" s="673" t="n">
        <v>2026</v>
      </c>
      <c r="C309" s="674" t="inlineStr">
        <is>
          <t>TV LAAYOUNE</t>
        </is>
      </c>
      <c r="D309" s="674" t="inlineStr">
        <is>
          <t>RECONDUCTION</t>
        </is>
      </c>
      <c r="E309" s="675" t="inlineStr">
        <is>
          <t>AOO-CT</t>
        </is>
      </c>
      <c r="F309" s="675" t="n">
        <v>1</v>
      </c>
      <c r="G309" s="676" t="inlineStr">
        <is>
          <t>Exécution de la production d’une série d’AMDAH NABAWIYA en PAD intitulée "BISMILAH LAHI NAMDAH"</t>
        </is>
      </c>
      <c r="H309" s="673" t="inlineStr">
        <is>
          <t>VALIDE</t>
        </is>
      </c>
      <c r="I309" s="675" t="inlineStr">
        <is>
          <t>APPROUVE</t>
        </is>
      </c>
      <c r="J309" s="675" t="inlineStr">
        <is>
          <t>13CT/SNRT/2026</t>
        </is>
      </c>
      <c r="K309" s="673" t="inlineStr">
        <is>
          <t>NON CONCERNE</t>
        </is>
      </c>
      <c r="L309" s="675" t="inlineStr">
        <is>
          <t>Ordinaire</t>
        </is>
      </c>
      <c r="M309" s="677" t="inlineStr">
        <is>
          <t>FONCTIONNEMENT</t>
        </is>
      </c>
      <c r="N309" s="678" t="inlineStr">
        <is>
          <t>Achats de productions et de programmes 
Acquis définitive Programmes TV externes 
Achats des programmes en co-production</t>
        </is>
      </c>
      <c r="O309" s="679" t="n"/>
      <c r="P309" s="680" t="n"/>
      <c r="Q309" s="680" t="n"/>
      <c r="R309" s="675" t="inlineStr">
        <is>
          <t>RECONDUCTION</t>
        </is>
      </c>
      <c r="S309" s="681" t="n"/>
      <c r="T309" s="682" t="n"/>
      <c r="U309" s="683" t="inlineStr">
        <is>
          <t>LAJOUAD VISION</t>
        </is>
      </c>
      <c r="V309" s="675" t="n">
        <v>2026</v>
      </c>
      <c r="W309" s="682" t="n">
        <v>46030</v>
      </c>
      <c r="X309" s="682" t="n"/>
      <c r="Y309" s="682" t="n">
        <v>46035</v>
      </c>
      <c r="Z309" s="679" t="n">
        <v>933296.1</v>
      </c>
      <c r="AA309" s="680" t="n">
        <v>0</v>
      </c>
      <c r="AB309" s="680" t="n">
        <v>933296.1</v>
      </c>
      <c r="AC309" s="680" t="n">
        <v>0</v>
      </c>
      <c r="AD309" s="680" t="n">
        <v>933296.1</v>
      </c>
      <c r="AE309" s="680" t="n">
        <v>933296.1</v>
      </c>
      <c r="AF309" s="684" t="inlineStr">
        <is>
          <t>ENGAGE</t>
        </is>
      </c>
      <c r="AG309" s="683" t="n"/>
      <c r="AH309" s="680" t="n"/>
      <c r="AI309" s="680" t="n"/>
      <c r="AJ309" s="680" t="n"/>
      <c r="AK309" s="680" t="n"/>
      <c r="AL309" s="685" t="n"/>
      <c r="AM309" s="685" t="n"/>
      <c r="AN309" s="683" t="inlineStr">
        <is>
          <t>RAS</t>
        </is>
      </c>
    </row>
    <row r="310" ht="87" customHeight="1" s="392">
      <c r="A310" s="672">
        <f>IF(AF310="ENGAGE","✔",IF(AF310="EN COURS D'ENGAGEMENT","◕",IF(AF310="PREENGAGE","◑",IF(AF310="EN COURS DE PREENGAGEMENT","◔",IF(AF310="NON ENGAGE","✖","")))))</f>
        <v/>
      </c>
      <c r="B310" s="673" t="n">
        <v>2026</v>
      </c>
      <c r="C310" s="674" t="inlineStr">
        <is>
          <t>TV LAAYOUNE</t>
        </is>
      </c>
      <c r="D310" s="674" t="inlineStr">
        <is>
          <t>RECONDUCTION</t>
        </is>
      </c>
      <c r="E310" s="675" t="inlineStr">
        <is>
          <t>AOO-CT</t>
        </is>
      </c>
      <c r="F310" s="675" t="n">
        <v>1</v>
      </c>
      <c r="G310" s="676" t="inlineStr">
        <is>
          <t>Exécution de la production de   émission sur le patrimoine et la culture hassani en PAD intitulée: "MAA NAHA"</t>
        </is>
      </c>
      <c r="H310" s="673" t="inlineStr">
        <is>
          <t>VALIDE</t>
        </is>
      </c>
      <c r="I310" s="675" t="inlineStr">
        <is>
          <t>APPROUVE</t>
        </is>
      </c>
      <c r="J310" s="675" t="inlineStr">
        <is>
          <t>21CT/SNRT/2026</t>
        </is>
      </c>
      <c r="K310" s="673" t="inlineStr">
        <is>
          <t>NON CONCERNE</t>
        </is>
      </c>
      <c r="L310" s="675" t="inlineStr">
        <is>
          <t>Ordinaire</t>
        </is>
      </c>
      <c r="M310" s="677" t="inlineStr">
        <is>
          <t>FONCTIONNEMENT</t>
        </is>
      </c>
      <c r="N310" s="678" t="inlineStr">
        <is>
          <t>Achats de productions et de programmes 
Acquis définitive Programmes TV externes 
Achats des programmes en co-production</t>
        </is>
      </c>
      <c r="O310" s="679" t="n"/>
      <c r="P310" s="680" t="n"/>
      <c r="Q310" s="680" t="n"/>
      <c r="R310" s="675" t="inlineStr">
        <is>
          <t>RECONDUCTION</t>
        </is>
      </c>
      <c r="S310" s="681" t="n"/>
      <c r="T310" s="682" t="n"/>
      <c r="U310" s="683" t="inlineStr">
        <is>
          <t>SAKIA PRO</t>
        </is>
      </c>
      <c r="V310" s="675" t="n">
        <v>2026</v>
      </c>
      <c r="W310" s="682" t="n">
        <v>46030</v>
      </c>
      <c r="X310" s="682" t="n"/>
      <c r="Y310" s="682" t="n">
        <v>46035</v>
      </c>
      <c r="Z310" s="679" t="n">
        <v>1184400</v>
      </c>
      <c r="AA310" s="680" t="n">
        <v>0</v>
      </c>
      <c r="AB310" s="680" t="n">
        <v>1184400</v>
      </c>
      <c r="AC310" s="680" t="n">
        <v>0</v>
      </c>
      <c r="AD310" s="680" t="n">
        <v>1184400</v>
      </c>
      <c r="AE310" s="680" t="n">
        <v>1184400</v>
      </c>
      <c r="AF310" s="684" t="inlineStr">
        <is>
          <t>ENGAGE</t>
        </is>
      </c>
      <c r="AG310" s="683" t="n"/>
      <c r="AH310" s="680" t="n"/>
      <c r="AI310" s="680" t="n"/>
      <c r="AJ310" s="680" t="n"/>
      <c r="AK310" s="680" t="n"/>
      <c r="AL310" s="685" t="n"/>
      <c r="AM310" s="685" t="n"/>
      <c r="AN310" s="683" t="inlineStr">
        <is>
          <t>RAS</t>
        </is>
      </c>
    </row>
    <row r="311" ht="87" customHeight="1" s="392">
      <c r="A311" s="672">
        <f>IF(AF311="ENGAGE","✔",IF(AF311="EN COURS D'ENGAGEMENT","◕",IF(AF311="PREENGAGE","◑",IF(AF311="EN COURS DE PREENGAGEMENT","◔",IF(AF311="NON ENGAGE","✖","")))))</f>
        <v/>
      </c>
      <c r="B311" s="673" t="n">
        <v>2026</v>
      </c>
      <c r="C311" s="674" t="inlineStr">
        <is>
          <t>TV LAAYOUNE</t>
        </is>
      </c>
      <c r="D311" s="674" t="inlineStr">
        <is>
          <t>RECONDUCTION</t>
        </is>
      </c>
      <c r="E311" s="675" t="inlineStr">
        <is>
          <t>AOO-CT</t>
        </is>
      </c>
      <c r="F311" s="675" t="n">
        <v>1</v>
      </c>
      <c r="G311" s="676" t="inlineStr">
        <is>
          <t>Exécution de la production de   l'émission famille en PAD intitulée "HOUZMAT RAMADAN"</t>
        </is>
      </c>
      <c r="H311" s="673" t="inlineStr">
        <is>
          <t>VALIDE</t>
        </is>
      </c>
      <c r="I311" s="675" t="inlineStr">
        <is>
          <t>APPROUVE</t>
        </is>
      </c>
      <c r="J311" s="675" t="inlineStr">
        <is>
          <t>11CT/SNRT/2026</t>
        </is>
      </c>
      <c r="K311" s="673" t="inlineStr">
        <is>
          <t>NON CONCERNE</t>
        </is>
      </c>
      <c r="L311" s="675" t="inlineStr">
        <is>
          <t>Ordinaire</t>
        </is>
      </c>
      <c r="M311" s="677" t="inlineStr">
        <is>
          <t>FONCTIONNEMENT</t>
        </is>
      </c>
      <c r="N311" s="678" t="inlineStr">
        <is>
          <t>Achats de productions et de programmes 
Acquis définitive Programmes TV externes 
Achats des programmes en co-production</t>
        </is>
      </c>
      <c r="O311" s="679" t="n"/>
      <c r="P311" s="680" t="n"/>
      <c r="Q311" s="680" t="n"/>
      <c r="R311" s="675" t="inlineStr">
        <is>
          <t>RECONDUCTION</t>
        </is>
      </c>
      <c r="S311" s="681" t="n"/>
      <c r="T311" s="682" t="n"/>
      <c r="U311" s="683" t="inlineStr">
        <is>
          <t>NOUN PRODUCTION</t>
        </is>
      </c>
      <c r="V311" s="675" t="n">
        <v>2026</v>
      </c>
      <c r="W311" s="682" t="n">
        <v>46030</v>
      </c>
      <c r="X311" s="682" t="n"/>
      <c r="Y311" s="682" t="n">
        <v>46035</v>
      </c>
      <c r="Z311" s="679" t="n">
        <v>875616</v>
      </c>
      <c r="AA311" s="680" t="n">
        <v>0</v>
      </c>
      <c r="AB311" s="680" t="n">
        <v>875616</v>
      </c>
      <c r="AC311" s="680" t="n">
        <v>0</v>
      </c>
      <c r="AD311" s="680" t="n">
        <v>875616</v>
      </c>
      <c r="AE311" s="680" t="n">
        <v>875616</v>
      </c>
      <c r="AF311" s="684" t="inlineStr">
        <is>
          <t>ENGAGE</t>
        </is>
      </c>
      <c r="AG311" s="683" t="n"/>
      <c r="AH311" s="680" t="n"/>
      <c r="AI311" s="680" t="n"/>
      <c r="AJ311" s="680" t="n"/>
      <c r="AK311" s="680" t="n"/>
      <c r="AL311" s="685" t="n"/>
      <c r="AM311" s="685" t="n"/>
      <c r="AN311" s="683" t="inlineStr">
        <is>
          <t>RAS</t>
        </is>
      </c>
    </row>
    <row r="312" ht="87" customHeight="1" s="392">
      <c r="A312" s="672">
        <f>IF(AF312="ENGAGE","✔",IF(AF312="EN COURS D'ENGAGEMENT","◕",IF(AF312="PREENGAGE","◑",IF(AF312="EN COURS DE PREENGAGEMENT","◔",IF(AF312="NON ENGAGE","✖","")))))</f>
        <v/>
      </c>
      <c r="B312" s="673" t="n">
        <v>2026</v>
      </c>
      <c r="C312" s="674" t="inlineStr">
        <is>
          <t>TV LAAYOUNE</t>
        </is>
      </c>
      <c r="D312" s="674" t="inlineStr">
        <is>
          <t>RECONDUCTION</t>
        </is>
      </c>
      <c r="E312" s="675" t="inlineStr">
        <is>
          <t>AOO-CT</t>
        </is>
      </c>
      <c r="F312" s="675" t="n">
        <v>1</v>
      </c>
      <c r="G312" s="676" t="inlineStr">
        <is>
          <t>Exécution de la production de   l'émission de jeu  en coprod intitulée : "AL JAMAL BIMA HAMAL"</t>
        </is>
      </c>
      <c r="H312" s="673" t="inlineStr">
        <is>
          <t>VALIDE</t>
        </is>
      </c>
      <c r="I312" s="675" t="inlineStr">
        <is>
          <t>APPROUVE</t>
        </is>
      </c>
      <c r="J312" s="675" t="inlineStr">
        <is>
          <t>08CT/SNRT/2026</t>
        </is>
      </c>
      <c r="K312" s="673" t="inlineStr">
        <is>
          <t>NON CONCERNE</t>
        </is>
      </c>
      <c r="L312" s="675" t="inlineStr">
        <is>
          <t>Ordinaire</t>
        </is>
      </c>
      <c r="M312" s="677" t="inlineStr">
        <is>
          <t>FONCTIONNEMENT</t>
        </is>
      </c>
      <c r="N312" s="678" t="inlineStr">
        <is>
          <t>Achats de productions et de programmes 
Acquis définitive Programmes TV externes 
Achats des programmes en co-production</t>
        </is>
      </c>
      <c r="O312" s="679" t="n"/>
      <c r="P312" s="680" t="n"/>
      <c r="Q312" s="680" t="n"/>
      <c r="R312" s="675" t="inlineStr">
        <is>
          <t>RECONDUCTION</t>
        </is>
      </c>
      <c r="S312" s="681" t="n"/>
      <c r="T312" s="682" t="n"/>
      <c r="U312" s="683" t="inlineStr">
        <is>
          <t>OUSSOUL PRODUCTION</t>
        </is>
      </c>
      <c r="V312" s="675" t="n">
        <v>2026</v>
      </c>
      <c r="W312" s="682" t="n">
        <v>46030</v>
      </c>
      <c r="X312" s="682" t="n"/>
      <c r="Y312" s="682" t="n">
        <v>46035</v>
      </c>
      <c r="Z312" s="679" t="n">
        <v>625408</v>
      </c>
      <c r="AA312" s="680" t="n">
        <v>0</v>
      </c>
      <c r="AB312" s="680" t="n">
        <v>625408</v>
      </c>
      <c r="AC312" s="680" t="n">
        <v>0</v>
      </c>
      <c r="AD312" s="680" t="n">
        <v>625408</v>
      </c>
      <c r="AE312" s="680" t="n">
        <v>625408</v>
      </c>
      <c r="AF312" s="684" t="inlineStr">
        <is>
          <t>ENGAGE</t>
        </is>
      </c>
      <c r="AG312" s="683" t="n"/>
      <c r="AH312" s="680" t="n"/>
      <c r="AI312" s="680" t="n"/>
      <c r="AJ312" s="680" t="n"/>
      <c r="AK312" s="680" t="n"/>
      <c r="AL312" s="685" t="n"/>
      <c r="AM312" s="685" t="n"/>
      <c r="AN312" s="683" t="inlineStr">
        <is>
          <t>RAS</t>
        </is>
      </c>
    </row>
    <row r="313" ht="87" customHeight="1" s="392">
      <c r="A313" s="672">
        <f>IF(AF313="ENGAGE","✔",IF(AF313="EN COURS D'ENGAGEMENT","◕",IF(AF313="PREENGAGE","◑",IF(AF313="EN COURS DE PREENGAGEMENT","◔",IF(AF313="NON ENGAGE","✖","")))))</f>
        <v/>
      </c>
      <c r="B313" s="673" t="n">
        <v>2026</v>
      </c>
      <c r="C313" s="674" t="inlineStr">
        <is>
          <t>TV LAAYOUNE</t>
        </is>
      </c>
      <c r="D313" s="674" t="inlineStr">
        <is>
          <t>RECONDUCTION</t>
        </is>
      </c>
      <c r="E313" s="675" t="inlineStr">
        <is>
          <t>AOO-CT</t>
        </is>
      </c>
      <c r="F313" s="675" t="n">
        <v>1</v>
      </c>
      <c r="G313" s="676" t="inlineStr">
        <is>
          <t xml:space="preserve">Exécution de la production de l’émission sur le patrimoine et la culture hassani en PAD "GHAB O JAB" </t>
        </is>
      </c>
      <c r="H313" s="673" t="inlineStr">
        <is>
          <t>VALIDE</t>
        </is>
      </c>
      <c r="I313" s="675" t="inlineStr">
        <is>
          <t>APPROUVE</t>
        </is>
      </c>
      <c r="J313" s="675" t="inlineStr">
        <is>
          <t>20CT/SNRT/2026</t>
        </is>
      </c>
      <c r="K313" s="673" t="inlineStr">
        <is>
          <t>NON CONCERNE</t>
        </is>
      </c>
      <c r="L313" s="675" t="inlineStr">
        <is>
          <t>Ordinaire</t>
        </is>
      </c>
      <c r="M313" s="677" t="inlineStr">
        <is>
          <t>FONCTIONNEMENT</t>
        </is>
      </c>
      <c r="N313" s="678" t="inlineStr">
        <is>
          <t>Achats de productions et de programmes 
Acquis définitive Programmes TV externes 
Achats des programmes en co-production</t>
        </is>
      </c>
      <c r="O313" s="679" t="n"/>
      <c r="P313" s="680" t="n"/>
      <c r="Q313" s="680" t="n"/>
      <c r="R313" s="675" t="inlineStr">
        <is>
          <t>RECONDUCTION</t>
        </is>
      </c>
      <c r="S313" s="681" t="n"/>
      <c r="T313" s="682" t="n"/>
      <c r="U313" s="683" t="inlineStr">
        <is>
          <t>OUSSOUL PRODUCTION</t>
        </is>
      </c>
      <c r="V313" s="675" t="n">
        <v>2026</v>
      </c>
      <c r="W313" s="682" t="n">
        <v>46030</v>
      </c>
      <c r="X313" s="682" t="n"/>
      <c r="Y313" s="682" t="n">
        <v>46035</v>
      </c>
      <c r="Z313" s="679" t="n">
        <v>1156108.8</v>
      </c>
      <c r="AA313" s="680" t="n">
        <v>0</v>
      </c>
      <c r="AB313" s="680" t="n">
        <v>1156108.8</v>
      </c>
      <c r="AC313" s="680" t="n">
        <v>0</v>
      </c>
      <c r="AD313" s="680" t="n">
        <v>1156108.8</v>
      </c>
      <c r="AE313" s="680" t="n">
        <v>1156108.8</v>
      </c>
      <c r="AF313" s="684" t="inlineStr">
        <is>
          <t>ENGAGE</t>
        </is>
      </c>
      <c r="AG313" s="683" t="n"/>
      <c r="AH313" s="680" t="n"/>
      <c r="AI313" s="680" t="n"/>
      <c r="AJ313" s="680" t="n"/>
      <c r="AK313" s="680" t="n"/>
      <c r="AL313" s="685" t="n"/>
      <c r="AM313" s="685" t="n"/>
      <c r="AN313" s="683" t="inlineStr">
        <is>
          <t>RAS</t>
        </is>
      </c>
    </row>
    <row r="314" ht="87" customHeight="1" s="392">
      <c r="A314" s="672">
        <f>IF(AF314="ENGAGE","✔",IF(AF314="EN COURS D'ENGAGEMENT","◕",IF(AF314="PREENGAGE","◑",IF(AF314="EN COURS DE PREENGAGEMENT","◔",IF(AF314="NON ENGAGE","✖","")))))</f>
        <v/>
      </c>
      <c r="B314" s="673" t="n">
        <v>2026</v>
      </c>
      <c r="C314" s="674" t="inlineStr">
        <is>
          <t>TV LAAYOUNE</t>
        </is>
      </c>
      <c r="D314" s="674" t="inlineStr">
        <is>
          <t>RECONDUCTION</t>
        </is>
      </c>
      <c r="E314" s="675" t="inlineStr">
        <is>
          <t>AOO-CT</t>
        </is>
      </c>
      <c r="F314" s="675" t="n">
        <v>1</v>
      </c>
      <c r="G314" s="676" t="inlineStr">
        <is>
          <t>Exécution de la production de l’émission de sensibilisation sur la santé en PAD intitulée "SIHATOUKA FI RAMADAN"</t>
        </is>
      </c>
      <c r="H314" s="673" t="inlineStr">
        <is>
          <t>VALIDE</t>
        </is>
      </c>
      <c r="I314" s="675" t="inlineStr">
        <is>
          <t>APPROUVE</t>
        </is>
      </c>
      <c r="J314" s="675" t="inlineStr">
        <is>
          <t>09CT/SNRT/2026</t>
        </is>
      </c>
      <c r="K314" s="673" t="inlineStr">
        <is>
          <t>NON CONCERNE</t>
        </is>
      </c>
      <c r="L314" s="675" t="inlineStr">
        <is>
          <t>Ordinaire</t>
        </is>
      </c>
      <c r="M314" s="677" t="inlineStr">
        <is>
          <t>FONCTIONNEMENT</t>
        </is>
      </c>
      <c r="N314" s="678" t="inlineStr">
        <is>
          <t>Achats de productions et de programmes 
Acquis définitive Programmes TV externes 
Achats des programmes en co-production</t>
        </is>
      </c>
      <c r="O314" s="679" t="n"/>
      <c r="P314" s="680" t="n"/>
      <c r="Q314" s="680" t="n"/>
      <c r="R314" s="675" t="inlineStr">
        <is>
          <t>RECONDUCTION</t>
        </is>
      </c>
      <c r="S314" s="681" t="n"/>
      <c r="T314" s="682" t="n"/>
      <c r="U314" s="683" t="inlineStr">
        <is>
          <t>MOVIE VISION SAHARA</t>
        </is>
      </c>
      <c r="V314" s="675" t="n">
        <v>2026</v>
      </c>
      <c r="W314" s="682" t="n">
        <v>46030</v>
      </c>
      <c r="X314" s="682" t="n"/>
      <c r="Y314" s="682" t="n">
        <v>46035</v>
      </c>
      <c r="Z314" s="679" t="n">
        <v>817935.9</v>
      </c>
      <c r="AA314" s="680" t="n">
        <v>0</v>
      </c>
      <c r="AB314" s="680" t="n">
        <v>817935.9</v>
      </c>
      <c r="AC314" s="680" t="n">
        <v>0</v>
      </c>
      <c r="AD314" s="680" t="n">
        <v>817935.9</v>
      </c>
      <c r="AE314" s="680" t="n">
        <v>817935.9</v>
      </c>
      <c r="AF314" s="684" t="inlineStr">
        <is>
          <t>ENGAGE</t>
        </is>
      </c>
      <c r="AG314" s="683" t="n"/>
      <c r="AH314" s="680" t="n"/>
      <c r="AI314" s="680" t="n"/>
      <c r="AJ314" s="680" t="n"/>
      <c r="AK314" s="680" t="n"/>
      <c r="AL314" s="685" t="n"/>
      <c r="AM314" s="685" t="n"/>
      <c r="AN314" s="683" t="inlineStr">
        <is>
          <t>RAS</t>
        </is>
      </c>
    </row>
    <row r="315" ht="87" customHeight="1" s="392">
      <c r="A315" s="672">
        <f>IF(AF315="ENGAGE","✔",IF(AF315="EN COURS D'ENGAGEMENT","◕",IF(AF315="PREENGAGE","◑",IF(AF315="EN COURS DE PREENGAGEMENT","◔",IF(AF315="NON ENGAGE","✖","")))))</f>
        <v/>
      </c>
      <c r="B315" s="673" t="n">
        <v>2026</v>
      </c>
      <c r="C315" s="674" t="inlineStr">
        <is>
          <t>TV LAAYOUNE</t>
        </is>
      </c>
      <c r="D315" s="674" t="inlineStr">
        <is>
          <t>RECONDUCTION</t>
        </is>
      </c>
      <c r="E315" s="675" t="inlineStr">
        <is>
          <t>AOO-CT</t>
        </is>
      </c>
      <c r="F315" s="675" t="n">
        <v>1</v>
      </c>
      <c r="G315" s="676" t="inlineStr">
        <is>
          <t>Exécution de la production de   l'émission culinaire en PAD intitulée "AL MAIDA SAHRAOUIYA"</t>
        </is>
      </c>
      <c r="H315" s="673" t="inlineStr">
        <is>
          <t>VALIDE</t>
        </is>
      </c>
      <c r="I315" s="675" t="inlineStr">
        <is>
          <t>APPROUVE</t>
        </is>
      </c>
      <c r="J315" s="675" t="inlineStr">
        <is>
          <t>10CT/SNRT/2026</t>
        </is>
      </c>
      <c r="K315" s="673" t="inlineStr">
        <is>
          <t>NON CONCERNE</t>
        </is>
      </c>
      <c r="L315" s="675" t="inlineStr">
        <is>
          <t>Ordinaire</t>
        </is>
      </c>
      <c r="M315" s="677" t="inlineStr">
        <is>
          <t>FONCTIONNEMENT</t>
        </is>
      </c>
      <c r="N315" s="678" t="inlineStr">
        <is>
          <t>Achats de productions et de programmes 
Acquis définitive Programmes TV externes 
Achats des programmes en co-production</t>
        </is>
      </c>
      <c r="O315" s="679" t="n"/>
      <c r="P315" s="680" t="n"/>
      <c r="Q315" s="680" t="n"/>
      <c r="R315" s="675" t="inlineStr">
        <is>
          <t>RECONDUCTION</t>
        </is>
      </c>
      <c r="S315" s="681" t="n"/>
      <c r="T315" s="682" t="n"/>
      <c r="U315" s="683" t="inlineStr">
        <is>
          <t>AL JAMAL VISION</t>
        </is>
      </c>
      <c r="V315" s="675" t="n">
        <v>2026</v>
      </c>
      <c r="W315" s="682" t="n">
        <v>46030</v>
      </c>
      <c r="X315" s="682" t="n"/>
      <c r="Y315" s="682" t="n">
        <v>46035</v>
      </c>
      <c r="Z315" s="679" t="n">
        <v>882000</v>
      </c>
      <c r="AA315" s="680" t="n">
        <v>0</v>
      </c>
      <c r="AB315" s="680" t="n">
        <v>882000</v>
      </c>
      <c r="AC315" s="680" t="n">
        <v>0</v>
      </c>
      <c r="AD315" s="680" t="n">
        <v>882000</v>
      </c>
      <c r="AE315" s="680" t="n">
        <v>882000</v>
      </c>
      <c r="AF315" s="684" t="inlineStr">
        <is>
          <t>ENGAGE</t>
        </is>
      </c>
      <c r="AG315" s="683" t="n"/>
      <c r="AH315" s="680" t="n"/>
      <c r="AI315" s="680" t="n"/>
      <c r="AJ315" s="680" t="n"/>
      <c r="AK315" s="680" t="n"/>
      <c r="AL315" s="685" t="n"/>
      <c r="AM315" s="685" t="n"/>
      <c r="AN315" s="683" t="inlineStr">
        <is>
          <t>RAS</t>
        </is>
      </c>
    </row>
    <row r="316" ht="87" customHeight="1" s="392">
      <c r="A316" s="672">
        <f>IF(AF316="ENGAGE","✔",IF(AF316="EN COURS D'ENGAGEMENT","◕",IF(AF316="PREENGAGE","◑",IF(AF316="EN COURS DE PREENGAGEMENT","◔",IF(AF316="NON ENGAGE","✖","")))))</f>
        <v/>
      </c>
      <c r="B316" s="673" t="n">
        <v>2026</v>
      </c>
      <c r="C316" s="674" t="inlineStr">
        <is>
          <t>TV LAAYOUNE</t>
        </is>
      </c>
      <c r="D316" s="674" t="inlineStr">
        <is>
          <t>RECONDUCTION</t>
        </is>
      </c>
      <c r="E316" s="675" t="inlineStr">
        <is>
          <t>AOO-CT</t>
        </is>
      </c>
      <c r="F316" s="675" t="n">
        <v>1</v>
      </c>
      <c r="G316" s="676" t="inlineStr">
        <is>
          <t xml:space="preserve">Exécution de la production de   l'émission religieuse en PAD intitulée "KADAYA RAMADANIYA " </t>
        </is>
      </c>
      <c r="H316" s="673" t="inlineStr">
        <is>
          <t>VALIDE</t>
        </is>
      </c>
      <c r="I316" s="675" t="inlineStr">
        <is>
          <t>APPROUVE</t>
        </is>
      </c>
      <c r="J316" s="675" t="inlineStr">
        <is>
          <t>14CT/SNRT/2026</t>
        </is>
      </c>
      <c r="K316" s="673" t="inlineStr">
        <is>
          <t>NON CONCERNE</t>
        </is>
      </c>
      <c r="L316" s="675" t="inlineStr">
        <is>
          <t>Ordinaire</t>
        </is>
      </c>
      <c r="M316" s="677" t="inlineStr">
        <is>
          <t>FONCTIONNEMENT</t>
        </is>
      </c>
      <c r="N316" s="678" t="inlineStr">
        <is>
          <t>Achats de productions et de programmes 
Acquis définitive Programmes TV externes 
Achats des programmes en co-production</t>
        </is>
      </c>
      <c r="O316" s="679" t="n"/>
      <c r="P316" s="680" t="n"/>
      <c r="Q316" s="680" t="n"/>
      <c r="R316" s="675" t="inlineStr">
        <is>
          <t>RECONDUCTION</t>
        </is>
      </c>
      <c r="S316" s="681" t="n"/>
      <c r="T316" s="682" t="n"/>
      <c r="U316" s="683" t="inlineStr">
        <is>
          <t>MONAFRIQUE PROD COM</t>
        </is>
      </c>
      <c r="V316" s="675" t="n">
        <v>2026</v>
      </c>
      <c r="W316" s="682" t="n">
        <v>46030</v>
      </c>
      <c r="X316" s="682" t="n"/>
      <c r="Y316" s="682" t="n">
        <v>46035</v>
      </c>
      <c r="Z316" s="679" t="n">
        <v>991872</v>
      </c>
      <c r="AA316" s="680" t="n">
        <v>0</v>
      </c>
      <c r="AB316" s="680" t="n">
        <v>1190246.4</v>
      </c>
      <c r="AC316" s="680" t="n">
        <v>0</v>
      </c>
      <c r="AD316" s="680" t="n">
        <v>991872</v>
      </c>
      <c r="AE316" s="680" t="n">
        <v>1190246.4</v>
      </c>
      <c r="AF316" s="684" t="inlineStr">
        <is>
          <t>ENGAGE</t>
        </is>
      </c>
      <c r="AG316" s="683" t="n"/>
      <c r="AH316" s="680" t="n"/>
      <c r="AI316" s="680" t="n"/>
      <c r="AJ316" s="680" t="n"/>
      <c r="AK316" s="680" t="n"/>
      <c r="AL316" s="685" t="n"/>
      <c r="AM316" s="685" t="n"/>
      <c r="AN316" s="683" t="inlineStr">
        <is>
          <t>RAS</t>
        </is>
      </c>
    </row>
    <row r="317" ht="87" customHeight="1" s="392">
      <c r="A317" s="672">
        <f>IF(AF317="ENGAGE","✔",IF(AF317="EN COURS D'ENGAGEMENT","◕",IF(AF317="PREENGAGE","◑",IF(AF317="EN COURS DE PREENGAGEMENT","◔",IF(AF317="NON ENGAGE","✖","")))))</f>
        <v/>
      </c>
      <c r="B317" s="673" t="n">
        <v>2026</v>
      </c>
      <c r="C317" s="674" t="inlineStr">
        <is>
          <t>TV LAAYOUNE</t>
        </is>
      </c>
      <c r="D317" s="674" t="inlineStr">
        <is>
          <t>RECONDUCTION</t>
        </is>
      </c>
      <c r="E317" s="675" t="inlineStr">
        <is>
          <t>AOO-CT</t>
        </is>
      </c>
      <c r="F317" s="675" t="n">
        <v>1</v>
      </c>
      <c r="G317" s="676" t="inlineStr">
        <is>
          <t>Exécution de la production d'un documentaire en PAD intitulée : « SAFAR WA ISTIKCHAF ABRA SAHRA »</t>
        </is>
      </c>
      <c r="H317" s="673" t="inlineStr">
        <is>
          <t>VALIDE</t>
        </is>
      </c>
      <c r="I317" s="675" t="inlineStr">
        <is>
          <t>APPROUVE</t>
        </is>
      </c>
      <c r="J317" s="675" t="inlineStr">
        <is>
          <t>19CT/SNRT/2026</t>
        </is>
      </c>
      <c r="K317" s="673" t="inlineStr">
        <is>
          <t>NON CONCERNE</t>
        </is>
      </c>
      <c r="L317" s="675" t="inlineStr">
        <is>
          <t>Ordinaire</t>
        </is>
      </c>
      <c r="M317" s="677" t="inlineStr">
        <is>
          <t>FONCTIONNEMENT</t>
        </is>
      </c>
      <c r="N317" s="678" t="inlineStr">
        <is>
          <t>Achats de productions et de programmes 
Acquis définitive Programmes TV externes 
Achats des programmes en co-production</t>
        </is>
      </c>
      <c r="O317" s="679" t="n"/>
      <c r="P317" s="680" t="n"/>
      <c r="Q317" s="680" t="n"/>
      <c r="R317" s="675" t="inlineStr">
        <is>
          <t>RECONDUCTION</t>
        </is>
      </c>
      <c r="S317" s="681" t="n"/>
      <c r="T317" s="682" t="n"/>
      <c r="U317" s="683" t="inlineStr">
        <is>
          <t>MONAFRIQUE PROD COM</t>
        </is>
      </c>
      <c r="V317" s="675" t="n">
        <v>2026</v>
      </c>
      <c r="W317" s="682" t="n">
        <v>46030</v>
      </c>
      <c r="X317" s="682" t="n"/>
      <c r="Y317" s="682" t="n">
        <v>46035</v>
      </c>
      <c r="Z317" s="679" t="n">
        <v>2334998.4</v>
      </c>
      <c r="AA317" s="680" t="n">
        <v>0</v>
      </c>
      <c r="AB317" s="680" t="n">
        <v>2334998.4</v>
      </c>
      <c r="AC317" s="680" t="n">
        <v>0</v>
      </c>
      <c r="AD317" s="680" t="n">
        <v>2334998.4</v>
      </c>
      <c r="AE317" s="680" t="n">
        <v>2334998.4</v>
      </c>
      <c r="AF317" s="684" t="inlineStr">
        <is>
          <t>ENGAGE</t>
        </is>
      </c>
      <c r="AG317" s="683" t="n"/>
      <c r="AH317" s="680" t="n"/>
      <c r="AI317" s="680" t="n"/>
      <c r="AJ317" s="680" t="n"/>
      <c r="AK317" s="680" t="n"/>
      <c r="AL317" s="685" t="n"/>
      <c r="AM317" s="685" t="n"/>
      <c r="AN317" s="683" t="inlineStr">
        <is>
          <t>RAS</t>
        </is>
      </c>
    </row>
    <row r="318" ht="87" customHeight="1" s="392">
      <c r="A318" s="672">
        <f>IF(AF318="ENGAGE","✔",IF(AF318="EN COURS D'ENGAGEMENT","◕",IF(AF318="PREENGAGE","◑",IF(AF318="EN COURS DE PREENGAGEMENT","◔",IF(AF318="NON ENGAGE","✖","")))))</f>
        <v/>
      </c>
      <c r="B318" s="673" t="n">
        <v>2026</v>
      </c>
      <c r="C318" s="674" t="inlineStr">
        <is>
          <t>TV LAAYOUNE</t>
        </is>
      </c>
      <c r="D318" s="674" t="inlineStr">
        <is>
          <t>RECONDUCTION</t>
        </is>
      </c>
      <c r="E318" s="675" t="inlineStr">
        <is>
          <t>AOO-CT</t>
        </is>
      </c>
      <c r="F318" s="675" t="n">
        <v>1</v>
      </c>
      <c r="G318" s="676" t="inlineStr">
        <is>
          <t>Exécution de la production de   l'émission patrimoine en PAD intitulée " LYALI LFRIK"</t>
        </is>
      </c>
      <c r="H318" s="673" t="inlineStr">
        <is>
          <t>VALIDE</t>
        </is>
      </c>
      <c r="I318" s="675" t="inlineStr">
        <is>
          <t>APPROUVE</t>
        </is>
      </c>
      <c r="J318" s="675" t="inlineStr">
        <is>
          <t>06CT/SNRT/2026</t>
        </is>
      </c>
      <c r="K318" s="673" t="inlineStr">
        <is>
          <t>NON CONCERNE</t>
        </is>
      </c>
      <c r="L318" s="675" t="inlineStr">
        <is>
          <t>Ordinaire</t>
        </is>
      </c>
      <c r="M318" s="677" t="inlineStr">
        <is>
          <t>FONCTIONNEMENT</t>
        </is>
      </c>
      <c r="N318" s="678" t="inlineStr">
        <is>
          <t>Achats de productions et de programmes 
Acquis définitive Programmes TV externes 
Achats des programmes en co-production</t>
        </is>
      </c>
      <c r="O318" s="679" t="n"/>
      <c r="P318" s="680" t="n"/>
      <c r="Q318" s="680" t="n"/>
      <c r="R318" s="675" t="inlineStr">
        <is>
          <t>RECONDUCTION</t>
        </is>
      </c>
      <c r="S318" s="681" t="n"/>
      <c r="T318" s="682" t="n"/>
      <c r="U318" s="683" t="inlineStr">
        <is>
          <t>MONAFRIQUE PROD COM</t>
        </is>
      </c>
      <c r="V318" s="675" t="n">
        <v>2026</v>
      </c>
      <c r="W318" s="682" t="n">
        <v>46030</v>
      </c>
      <c r="X318" s="682" t="n"/>
      <c r="Y318" s="682" t="n">
        <v>46035</v>
      </c>
      <c r="Z318" s="679" t="n">
        <v>1003520.1</v>
      </c>
      <c r="AA318" s="680" t="n">
        <v>0</v>
      </c>
      <c r="AB318" s="680" t="n">
        <v>1204224.12</v>
      </c>
      <c r="AC318" s="680" t="n">
        <v>0</v>
      </c>
      <c r="AD318" s="680" t="n">
        <v>1003520.1</v>
      </c>
      <c r="AE318" s="680" t="n">
        <v>1204224.12</v>
      </c>
      <c r="AF318" s="684" t="inlineStr">
        <is>
          <t>ENGAGE</t>
        </is>
      </c>
      <c r="AG318" s="683" t="n"/>
      <c r="AH318" s="680" t="n"/>
      <c r="AI318" s="680" t="n"/>
      <c r="AJ318" s="680" t="n"/>
      <c r="AK318" s="680" t="n"/>
      <c r="AL318" s="685" t="n"/>
      <c r="AM318" s="685" t="n"/>
      <c r="AN318" s="683" t="inlineStr">
        <is>
          <t>RAS</t>
        </is>
      </c>
    </row>
    <row r="319" ht="87" customHeight="1" s="392">
      <c r="A319" s="672">
        <f>IF(AF319="ENGAGE","✔",IF(AF319="EN COURS D'ENGAGEMENT","◕",IF(AF319="PREENGAGE","◑",IF(AF319="EN COURS DE PREENGAGEMENT","◔",IF(AF319="NON ENGAGE","✖","")))))</f>
        <v/>
      </c>
      <c r="B319" s="673" t="n">
        <v>2026</v>
      </c>
      <c r="C319" s="674" t="inlineStr">
        <is>
          <t>TV LAAYOUNE</t>
        </is>
      </c>
      <c r="D319" s="674" t="inlineStr">
        <is>
          <t>RECONDUCTION</t>
        </is>
      </c>
      <c r="E319" s="675" t="inlineStr">
        <is>
          <t>AOO-CT</t>
        </is>
      </c>
      <c r="F319" s="675" t="n">
        <v>1</v>
      </c>
      <c r="G319" s="676" t="inlineStr">
        <is>
          <t>Exécution de la production de  l'émission de jeu religieux en PAD intitulée "AL MAHDARA"</t>
        </is>
      </c>
      <c r="H319" s="673" t="inlineStr">
        <is>
          <t>VALIDE</t>
        </is>
      </c>
      <c r="I319" s="675" t="inlineStr">
        <is>
          <t>APPROUVE</t>
        </is>
      </c>
      <c r="J319" s="675" t="inlineStr">
        <is>
          <t>05CT/SNRT/2026</t>
        </is>
      </c>
      <c r="K319" s="673" t="inlineStr">
        <is>
          <t>NON CONCERNE</t>
        </is>
      </c>
      <c r="L319" s="675" t="inlineStr">
        <is>
          <t>Ordinaire</t>
        </is>
      </c>
      <c r="M319" s="677" t="inlineStr">
        <is>
          <t>FONCTIONNEMENT</t>
        </is>
      </c>
      <c r="N319" s="678" t="inlineStr">
        <is>
          <t>Achats de productions et de programmes 
Acquis définitive Programmes TV externes 
Achats des programmes en co-production</t>
        </is>
      </c>
      <c r="O319" s="679" t="n"/>
      <c r="P319" s="680" t="n"/>
      <c r="Q319" s="680" t="n"/>
      <c r="R319" s="675" t="inlineStr">
        <is>
          <t>RECONDUCTION</t>
        </is>
      </c>
      <c r="S319" s="681" t="n"/>
      <c r="T319" s="682" t="n"/>
      <c r="U319" s="683" t="inlineStr">
        <is>
          <t>MONAFRIQUE PROD COM</t>
        </is>
      </c>
      <c r="V319" s="675" t="n">
        <v>2026</v>
      </c>
      <c r="W319" s="682" t="n">
        <v>46030</v>
      </c>
      <c r="X319" s="682" t="n"/>
      <c r="Y319" s="682" t="n">
        <v>46035</v>
      </c>
      <c r="Z319" s="679" t="n">
        <v>857919.9</v>
      </c>
      <c r="AA319" s="680" t="n">
        <v>0</v>
      </c>
      <c r="AB319" s="680" t="n">
        <v>1029503.88</v>
      </c>
      <c r="AC319" s="680" t="n">
        <v>0</v>
      </c>
      <c r="AD319" s="680" t="n">
        <v>857919.9</v>
      </c>
      <c r="AE319" s="680" t="n">
        <v>1029503.88</v>
      </c>
      <c r="AF319" s="684" t="inlineStr">
        <is>
          <t>ENGAGE</t>
        </is>
      </c>
      <c r="AG319" s="683" t="n"/>
      <c r="AH319" s="680" t="n"/>
      <c r="AI319" s="680" t="n"/>
      <c r="AJ319" s="680" t="n"/>
      <c r="AK319" s="680" t="n"/>
      <c r="AL319" s="685" t="n"/>
      <c r="AM319" s="685" t="n"/>
      <c r="AN319" s="683" t="inlineStr">
        <is>
          <t>RAS</t>
        </is>
      </c>
    </row>
    <row r="320" ht="87" customHeight="1" s="392">
      <c r="A320" s="672">
        <f>IF(AF320="ENGAGE","✔",IF(AF320="EN COURS D'ENGAGEMENT","◕",IF(AF320="PREENGAGE","◑",IF(AF320="EN COURS DE PREENGAGEMENT","◔",IF(AF320="NON ENGAGE","✖","")))))</f>
        <v/>
      </c>
      <c r="B320" s="673" t="n">
        <v>2026</v>
      </c>
      <c r="C320" s="674" t="inlineStr">
        <is>
          <t>TV LAAYOUNE</t>
        </is>
      </c>
      <c r="D320" s="674" t="inlineStr">
        <is>
          <t>RECONDUCTION</t>
        </is>
      </c>
      <c r="E320" s="675" t="inlineStr">
        <is>
          <t>AOO-CT</t>
        </is>
      </c>
      <c r="F320" s="675" t="n">
        <v>1</v>
      </c>
      <c r="G320" s="676" t="inlineStr">
        <is>
          <t>Exécution de la production de d’une soirée en Co Prod intitulé " LAYALI AOZAAOUANE "</t>
        </is>
      </c>
      <c r="H320" s="673" t="inlineStr">
        <is>
          <t>VALIDE</t>
        </is>
      </c>
      <c r="I320" s="675" t="inlineStr">
        <is>
          <t>APPROUVE</t>
        </is>
      </c>
      <c r="J320" s="675" t="inlineStr">
        <is>
          <t>17CT/SNRT/2026</t>
        </is>
      </c>
      <c r="K320" s="673" t="inlineStr">
        <is>
          <t>NON CONCERNE</t>
        </is>
      </c>
      <c r="L320" s="675" t="inlineStr">
        <is>
          <t>Ordinaire</t>
        </is>
      </c>
      <c r="M320" s="677" t="inlineStr">
        <is>
          <t>FONCTIONNEMENT</t>
        </is>
      </c>
      <c r="N320" s="678" t="inlineStr">
        <is>
          <t>Achats de productions et de programmes 
Acquis définitive Programmes TV externes 
Achats des programmes en co-production</t>
        </is>
      </c>
      <c r="O320" s="679" t="n"/>
      <c r="P320" s="680" t="n"/>
      <c r="Q320" s="680" t="n"/>
      <c r="R320" s="675" t="inlineStr">
        <is>
          <t>RECONDUCTION</t>
        </is>
      </c>
      <c r="S320" s="681" t="n"/>
      <c r="T320" s="682" t="n"/>
      <c r="U320" s="683" t="inlineStr">
        <is>
          <t>LAAYOUNE PRO</t>
        </is>
      </c>
      <c r="V320" s="675" t="n">
        <v>2026</v>
      </c>
      <c r="W320" s="682" t="n">
        <v>46030</v>
      </c>
      <c r="X320" s="682" t="n"/>
      <c r="Y320" s="682" t="n">
        <v>46035</v>
      </c>
      <c r="Z320" s="679" t="n">
        <v>491736</v>
      </c>
      <c r="AA320" s="680" t="n">
        <v>0</v>
      </c>
      <c r="AB320" s="680" t="n">
        <v>491736</v>
      </c>
      <c r="AC320" s="680" t="n">
        <v>0</v>
      </c>
      <c r="AD320" s="680" t="n">
        <v>491736</v>
      </c>
      <c r="AE320" s="680" t="n">
        <v>491736</v>
      </c>
      <c r="AF320" s="684" t="inlineStr">
        <is>
          <t>ENGAGE</t>
        </is>
      </c>
      <c r="AG320" s="683" t="n"/>
      <c r="AH320" s="680" t="n"/>
      <c r="AI320" s="680" t="n"/>
      <c r="AJ320" s="680" t="n"/>
      <c r="AK320" s="680" t="n"/>
      <c r="AL320" s="685" t="n"/>
      <c r="AM320" s="685" t="n"/>
      <c r="AN320" s="683" t="inlineStr">
        <is>
          <t>RAS</t>
        </is>
      </c>
    </row>
    <row r="321" ht="87" customHeight="1" s="392">
      <c r="A321" s="672">
        <f>IF(AF321="ENGAGE","✔",IF(AF321="EN COURS D'ENGAGEMENT","◕",IF(AF321="PREENGAGE","◑",IF(AF321="EN COURS DE PREENGAGEMENT","◔",IF(AF321="NON ENGAGE","✖","")))))</f>
        <v/>
      </c>
      <c r="B321" s="673" t="n">
        <v>2026</v>
      </c>
      <c r="C321" s="674" t="inlineStr">
        <is>
          <t>TV LAAYOUNE</t>
        </is>
      </c>
      <c r="D321" s="674" t="inlineStr">
        <is>
          <t>RECONDUCTION</t>
        </is>
      </c>
      <c r="E321" s="675" t="inlineStr">
        <is>
          <t>AOO-CT</t>
        </is>
      </c>
      <c r="F321" s="675" t="n">
        <v>1</v>
      </c>
      <c r="G321" s="676" t="inlineStr">
        <is>
          <t>Exécution de la production de l’émission de jeu pour adultes en Co Prod intitulé "SIBAK AL KAWAFI"</t>
        </is>
      </c>
      <c r="H321" s="673" t="inlineStr">
        <is>
          <t>VALIDE</t>
        </is>
      </c>
      <c r="I321" s="675" t="inlineStr">
        <is>
          <t>APPROUVE</t>
        </is>
      </c>
      <c r="J321" s="675" t="inlineStr">
        <is>
          <t>07CT/SNRT/2026</t>
        </is>
      </c>
      <c r="K321" s="673" t="inlineStr">
        <is>
          <t>NON CONCERNE</t>
        </is>
      </c>
      <c r="L321" s="675" t="inlineStr">
        <is>
          <t>Ordinaire</t>
        </is>
      </c>
      <c r="M321" s="677" t="inlineStr">
        <is>
          <t>FONCTIONNEMENT</t>
        </is>
      </c>
      <c r="N321" s="678" t="inlineStr">
        <is>
          <t>Achats de productions et de programmes 
Acquis définitive Programmes TV externes 
Achats des programmes en co-production</t>
        </is>
      </c>
      <c r="O321" s="679" t="n"/>
      <c r="P321" s="680" t="n"/>
      <c r="Q321" s="680" t="n"/>
      <c r="R321" s="675" t="inlineStr">
        <is>
          <t>RECONDUCTION</t>
        </is>
      </c>
      <c r="S321" s="681" t="n"/>
      <c r="T321" s="682" t="n"/>
      <c r="U321" s="683" t="inlineStr">
        <is>
          <t>LAAYOUNE PRO</t>
        </is>
      </c>
      <c r="V321" s="675" t="n">
        <v>2026</v>
      </c>
      <c r="W321" s="682" t="n">
        <v>46030</v>
      </c>
      <c r="X321" s="682" t="n"/>
      <c r="Y321" s="682" t="n">
        <v>46038</v>
      </c>
      <c r="Z321" s="679" t="n">
        <v>2335872</v>
      </c>
      <c r="AA321" s="680" t="n">
        <v>0</v>
      </c>
      <c r="AB321" s="680" t="n">
        <v>2335872</v>
      </c>
      <c r="AC321" s="680" t="n">
        <v>0</v>
      </c>
      <c r="AD321" s="680" t="n">
        <v>2335872</v>
      </c>
      <c r="AE321" s="680" t="n">
        <v>2335872</v>
      </c>
      <c r="AF321" s="684" t="inlineStr">
        <is>
          <t>ENGAGE</t>
        </is>
      </c>
      <c r="AG321" s="683" t="n"/>
      <c r="AH321" s="680" t="n"/>
      <c r="AI321" s="680" t="n"/>
      <c r="AJ321" s="680" t="n"/>
      <c r="AK321" s="680" t="n"/>
      <c r="AL321" s="685" t="n"/>
      <c r="AM321" s="685" t="n"/>
      <c r="AN321" s="683" t="inlineStr">
        <is>
          <t>RAS</t>
        </is>
      </c>
    </row>
    <row r="322" ht="87" customHeight="1" s="392">
      <c r="A322" s="672">
        <f>IF(AF322="ENGAGE","✔",IF(AF322="EN COURS D'ENGAGEMENT","◕",IF(AF322="PREENGAGE","◑",IF(AF322="EN COURS DE PREENGAGEMENT","◔",IF(AF322="NON ENGAGE","✖","")))))</f>
        <v/>
      </c>
      <c r="B322" s="673" t="n">
        <v>2026</v>
      </c>
      <c r="C322" s="674" t="inlineStr">
        <is>
          <t>TV LAAYOUNE</t>
        </is>
      </c>
      <c r="D322" s="674" t="inlineStr">
        <is>
          <t>RECONDUCTION</t>
        </is>
      </c>
      <c r="E322" s="675" t="inlineStr">
        <is>
          <t>AOO-CT</t>
        </is>
      </c>
      <c r="F322" s="675" t="n">
        <v>1</v>
      </c>
      <c r="G322" s="676" t="inlineStr">
        <is>
          <t>Exécution de la production d’un documentaire en PAD intitulé « AMAJBOUR »</t>
        </is>
      </c>
      <c r="H322" s="673" t="inlineStr">
        <is>
          <t>VALIDE</t>
        </is>
      </c>
      <c r="I322" s="675" t="inlineStr">
        <is>
          <t>APPROUVE</t>
        </is>
      </c>
      <c r="J322" s="675" t="inlineStr">
        <is>
          <t>18CT/SNRT/2026</t>
        </is>
      </c>
      <c r="K322" s="673" t="inlineStr">
        <is>
          <t>NON CONCERNE</t>
        </is>
      </c>
      <c r="L322" s="675" t="inlineStr">
        <is>
          <t>Ordinaire</t>
        </is>
      </c>
      <c r="M322" s="677" t="inlineStr">
        <is>
          <t>FONCTIONNEMENT</t>
        </is>
      </c>
      <c r="N322" s="678" t="inlineStr">
        <is>
          <t>Achats de productions et de programmes 
Acquis définitive Programmes TV externes 
Achats des programmes en co-production</t>
        </is>
      </c>
      <c r="O322" s="679" t="n"/>
      <c r="P322" s="680" t="n"/>
      <c r="Q322" s="680" t="n"/>
      <c r="R322" s="675" t="inlineStr">
        <is>
          <t>RECONDUCTION</t>
        </is>
      </c>
      <c r="S322" s="681" t="n"/>
      <c r="T322" s="682" t="n"/>
      <c r="U322" s="683" t="inlineStr">
        <is>
          <t>EXTREME MEDIA</t>
        </is>
      </c>
      <c r="V322" s="675" t="n">
        <v>2026</v>
      </c>
      <c r="W322" s="682" t="n">
        <v>46030</v>
      </c>
      <c r="X322" s="682" t="n"/>
      <c r="Y322" s="682" t="n">
        <v>46038</v>
      </c>
      <c r="Z322" s="679" t="n">
        <v>1713936</v>
      </c>
      <c r="AA322" s="680" t="n">
        <v>0</v>
      </c>
      <c r="AB322" s="680" t="n">
        <v>1713936</v>
      </c>
      <c r="AC322" s="680" t="n">
        <v>0</v>
      </c>
      <c r="AD322" s="680" t="n">
        <v>1713936</v>
      </c>
      <c r="AE322" s="680" t="n">
        <v>1713936</v>
      </c>
      <c r="AF322" s="684" t="inlineStr">
        <is>
          <t>ENGAGE</t>
        </is>
      </c>
      <c r="AG322" s="683" t="n"/>
      <c r="AH322" s="680" t="n"/>
      <c r="AI322" s="680" t="n"/>
      <c r="AJ322" s="680" t="n"/>
      <c r="AK322" s="680" t="n"/>
      <c r="AL322" s="685" t="n"/>
      <c r="AM322" s="685" t="n"/>
      <c r="AN322" s="683" t="inlineStr">
        <is>
          <t>RAS</t>
        </is>
      </c>
    </row>
    <row r="323" ht="35.7" customHeight="1" s="392">
      <c r="A323" s="672">
        <f>IF(AF323="ENGAGE","✔",IF(AF323="EN COURS D'ENGAGEMENT","◕",IF(AF323="PREENGAGE","◑",IF(AF323="EN COURS DE PREENGAGEMENT","◔",IF(AF323="NON ENGAGE","✖","")))))</f>
        <v/>
      </c>
      <c r="B323" s="673" t="n">
        <v>2026</v>
      </c>
      <c r="C323" s="674" t="inlineStr">
        <is>
          <t>DA</t>
        </is>
      </c>
      <c r="D323" s="674" t="inlineStr">
        <is>
          <t>EXCLUSIVITÉ</t>
        </is>
      </c>
      <c r="E323" s="675" t="inlineStr">
        <is>
          <t>CONTRAT</t>
        </is>
      </c>
      <c r="F323" s="675" t="n">
        <v>1</v>
      </c>
      <c r="G323" s="676" t="inlineStr">
        <is>
          <t>Souscription PORTNET – Achat forfait importateurs 50 opérations – 2026</t>
        </is>
      </c>
      <c r="H323" s="673" t="inlineStr">
        <is>
          <t>VALIDE</t>
        </is>
      </c>
      <c r="I323" s="675" t="inlineStr">
        <is>
          <t>APPROUVE</t>
        </is>
      </c>
      <c r="J323" s="675" t="inlineStr">
        <is>
          <t>26000104 CT</t>
        </is>
      </c>
      <c r="K323" s="673" t="inlineStr">
        <is>
          <t>NON CONCERNE</t>
        </is>
      </c>
      <c r="L323" s="675" t="inlineStr">
        <is>
          <t>Ordinaire</t>
        </is>
      </c>
      <c r="M323" s="677" t="inlineStr">
        <is>
          <t>FONCTIONNEMENT</t>
        </is>
      </c>
      <c r="N323" s="678" t="inlineStr">
        <is>
          <t>Redevance et cotisations
Abonnements</t>
        </is>
      </c>
      <c r="O323" s="679" t="n"/>
      <c r="P323" s="680" t="n"/>
      <c r="Q323" s="680" t="n"/>
      <c r="R323" s="675" t="inlineStr">
        <is>
          <t>RECONDUCTION</t>
        </is>
      </c>
      <c r="S323" s="681" t="n"/>
      <c r="T323" s="682" t="n"/>
      <c r="U323" s="683" t="inlineStr">
        <is>
          <t>PORTNET S.A</t>
        </is>
      </c>
      <c r="V323" s="675" t="n">
        <v>2026</v>
      </c>
      <c r="W323" s="682" t="n">
        <v>46031</v>
      </c>
      <c r="X323" s="682" t="n"/>
      <c r="Y323" s="682" t="n">
        <v>46031</v>
      </c>
      <c r="Z323" s="679" t="n">
        <v>5300</v>
      </c>
      <c r="AA323" s="680" t="n">
        <v>0</v>
      </c>
      <c r="AB323" s="680" t="n">
        <v>6360</v>
      </c>
      <c r="AC323" s="680" t="n">
        <v>0</v>
      </c>
      <c r="AD323" s="680" t="n">
        <v>5300</v>
      </c>
      <c r="AE323" s="680" t="n">
        <v>6360</v>
      </c>
      <c r="AF323" s="684" t="inlineStr">
        <is>
          <t>ENGAGE</t>
        </is>
      </c>
      <c r="AG323" s="683" t="n"/>
      <c r="AH323" s="680" t="n"/>
      <c r="AI323" s="680" t="n"/>
      <c r="AJ323" s="680" t="n"/>
      <c r="AK323" s="680" t="n"/>
      <c r="AL323" s="685" t="n"/>
      <c r="AM323" s="685" t="n"/>
      <c r="AN323" s="683" t="inlineStr">
        <is>
          <t>RAS</t>
        </is>
      </c>
    </row>
    <row r="324" ht="60" customHeight="1" s="392">
      <c r="A324" s="672">
        <f>IF(AF324="ENGAGE","✔",IF(AF324="EN COURS D'ENGAGEMENT","◕",IF(AF324="PREENGAGE","◑",IF(AF324="EN COURS DE PREENGAGEMENT","◔",IF(AF324="NON ENGAGE","✖","")))))</f>
        <v/>
      </c>
      <c r="B324" s="673" t="n">
        <v>2026</v>
      </c>
      <c r="C324" s="674" t="inlineStr">
        <is>
          <t>DCPA</t>
        </is>
      </c>
      <c r="D324" s="674" t="inlineStr">
        <is>
          <t>EXCLUSIVITÉ</t>
        </is>
      </c>
      <c r="E324" s="675" t="inlineStr">
        <is>
          <t>CONTRAT</t>
        </is>
      </c>
      <c r="F324" s="675" t="n">
        <v>1</v>
      </c>
      <c r="G324" s="676" t="inlineStr">
        <is>
          <t>Captation de 30 capsules « IBTIHALAT RAMADANIA », pour le mois de RAMADAN 1447, organisé et produite en interne par la SNRT.</t>
        </is>
      </c>
      <c r="H324" s="673" t="inlineStr">
        <is>
          <t>VALIDE</t>
        </is>
      </c>
      <c r="I324" s="675" t="inlineStr">
        <is>
          <t>APPROUVE</t>
        </is>
      </c>
      <c r="J324" s="675" t="inlineStr">
        <is>
          <t xml:space="preserve"> 191CT/SNRT/2026</t>
        </is>
      </c>
      <c r="K324" s="673" t="inlineStr">
        <is>
          <t>NON CONCERNE</t>
        </is>
      </c>
      <c r="L324" s="675" t="inlineStr">
        <is>
          <t>Ordinaire</t>
        </is>
      </c>
      <c r="M324" s="677" t="inlineStr">
        <is>
          <t>FONCTIONNEMENT</t>
        </is>
      </c>
      <c r="N324" s="678" t="inlineStr">
        <is>
          <t xml:space="preserve">Achats de productions et de programmes
Achat des programmes en production interne </t>
        </is>
      </c>
      <c r="O324" s="679" t="n"/>
      <c r="P324" s="680" t="n"/>
      <c r="Q324" s="680" t="n"/>
      <c r="R324" s="675" t="inlineStr">
        <is>
          <t>NOUVEAU BESOIN</t>
        </is>
      </c>
      <c r="S324" s="681" t="n"/>
      <c r="T324" s="682" t="n"/>
      <c r="U324" s="683" t="inlineStr">
        <is>
          <t>ALI ER-RBAHY</t>
        </is>
      </c>
      <c r="V324" s="675" t="n">
        <v>2026</v>
      </c>
      <c r="W324" s="682" t="n">
        <v>46041</v>
      </c>
      <c r="X324" s="682" t="n"/>
      <c r="Y324" s="682" t="n">
        <v>46045</v>
      </c>
      <c r="Z324" s="679" t="n">
        <v>146341.46</v>
      </c>
      <c r="AA324" s="680" t="n">
        <v>0</v>
      </c>
      <c r="AB324" s="680" t="n">
        <v>146341.46</v>
      </c>
      <c r="AC324" s="680" t="n">
        <v>0</v>
      </c>
      <c r="AD324" s="680" t="n">
        <v>146341.46</v>
      </c>
      <c r="AE324" s="680" t="n">
        <v>146341.46</v>
      </c>
      <c r="AF324" s="684" t="inlineStr">
        <is>
          <t>ENGAGE</t>
        </is>
      </c>
      <c r="AG324" s="683" t="n"/>
      <c r="AH324" s="680" t="n"/>
      <c r="AI324" s="680" t="n"/>
      <c r="AJ324" s="680" t="n"/>
      <c r="AK324" s="680" t="n"/>
      <c r="AL324" s="685" t="n"/>
      <c r="AM324" s="685" t="n"/>
      <c r="AN324" s="683" t="inlineStr">
        <is>
          <t>RAS</t>
        </is>
      </c>
    </row>
    <row r="325" ht="65.40000000000001" customHeight="1" s="392">
      <c r="A325" s="672">
        <f>IF(AF325="ENGAGE","✔",IF(AF325="EN COURS D'ENGAGEMENT","◕",IF(AF325="PREENGAGE","◑",IF(AF325="EN COURS DE PREENGAGEMENT","◔",IF(AF325="NON ENGAGE","✖","")))))</f>
        <v/>
      </c>
      <c r="B325" s="673" t="n">
        <v>2026</v>
      </c>
      <c r="C325" s="674" t="inlineStr">
        <is>
          <t>DMPTV</t>
        </is>
      </c>
      <c r="D325" s="674" t="inlineStr">
        <is>
          <t>EXCLUSIVITÉ</t>
        </is>
      </c>
      <c r="E325" s="675" t="inlineStr">
        <is>
          <t>CONTRAT</t>
        </is>
      </c>
      <c r="F325" s="675" t="n">
        <v>1</v>
      </c>
      <c r="G325" s="676" t="inlineStr">
        <is>
          <t>La location de 20 écrans Led pour la promotion des produits et services de la SNRT sur les villes de : Casablanca, Rabat, Marrakech, Agadir et Tanger ainsi que la location d’un écran géant Twin Center (Casablanca)</t>
        </is>
      </c>
      <c r="H325" s="673" t="inlineStr">
        <is>
          <t>VALIDE</t>
        </is>
      </c>
      <c r="I325" s="675" t="inlineStr">
        <is>
          <t>APPROUVE</t>
        </is>
      </c>
      <c r="J325" s="675" t="inlineStr">
        <is>
          <t>FR/KR/01/2026</t>
        </is>
      </c>
      <c r="K325" s="673" t="inlineStr">
        <is>
          <t>NON CONCERNE</t>
        </is>
      </c>
      <c r="L325" s="675" t="inlineStr">
        <is>
          <t>Ordinaire</t>
        </is>
      </c>
      <c r="M325" s="677" t="inlineStr">
        <is>
          <t>FONCTIONNEMENT</t>
        </is>
      </c>
      <c r="N325" s="678" t="inlineStr">
        <is>
          <t>Charges marketing et relations publiques</t>
        </is>
      </c>
      <c r="O325" s="679" t="n"/>
      <c r="P325" s="680" t="n"/>
      <c r="Q325" s="680" t="n"/>
      <c r="R325" s="675" t="inlineStr">
        <is>
          <t>RECONDUCTION</t>
        </is>
      </c>
      <c r="S325" s="681" t="n"/>
      <c r="T325" s="682" t="n"/>
      <c r="U325" s="683" t="inlineStr">
        <is>
          <t>FC MEDIA</t>
        </is>
      </c>
      <c r="V325" s="675" t="n">
        <v>2026</v>
      </c>
      <c r="W325" s="682" t="n">
        <v>46041</v>
      </c>
      <c r="X325" s="682" t="n"/>
      <c r="Y325" s="682" t="n">
        <v>46042</v>
      </c>
      <c r="Z325" s="679" t="n">
        <v>5600001.6</v>
      </c>
      <c r="AA325" s="680" t="n">
        <v>0</v>
      </c>
      <c r="AB325" s="680" t="n">
        <v>6720001.92</v>
      </c>
      <c r="AC325" s="680" t="n">
        <v>0</v>
      </c>
      <c r="AD325" s="680" t="n">
        <v>5600001.6</v>
      </c>
      <c r="AE325" s="680" t="n">
        <v>6720001.92</v>
      </c>
      <c r="AF325" s="684" t="inlineStr">
        <is>
          <t>ENGAGE</t>
        </is>
      </c>
      <c r="AG325" s="683" t="n"/>
      <c r="AH325" s="680" t="n"/>
      <c r="AI325" s="680" t="n"/>
      <c r="AJ325" s="680" t="n"/>
      <c r="AK325" s="680" t="n"/>
      <c r="AL325" s="685" t="n"/>
      <c r="AM325" s="685" t="n"/>
      <c r="AN325" s="683" t="inlineStr">
        <is>
          <t>RAS</t>
        </is>
      </c>
    </row>
    <row r="326" ht="65.40000000000001" customHeight="1" s="392">
      <c r="A326" s="672">
        <f>IF(AF326="ENGAGE","✔",IF(AF326="EN COURS D'ENGAGEMENT","◕",IF(AF326="PREENGAGE","◑",IF(AF326="EN COURS DE PREENGAGEMENT","◔",IF(AF326="NON ENGAGE","✖","")))))</f>
        <v/>
      </c>
      <c r="B326" s="673" t="n">
        <v>2025</v>
      </c>
      <c r="C326" s="674" t="inlineStr">
        <is>
          <t>DPMG</t>
        </is>
      </c>
      <c r="D326" s="674" t="inlineStr">
        <is>
          <t>87 AOM/SNRT</t>
        </is>
      </c>
      <c r="E326" s="675" t="inlineStr">
        <is>
          <t>AOO-M</t>
        </is>
      </c>
      <c r="F326" s="675" t="n">
        <v>1</v>
      </c>
      <c r="G326" s="676" t="inlineStr">
        <is>
          <t>Prestation de nettoyage complète y compris les produits de nettoyage et l'entretien des locaux administratifs et techniques des services centraux et régionaux de la SNRT. (pour conclure un marché cadre).</t>
        </is>
      </c>
      <c r="H326" s="673" t="inlineStr">
        <is>
          <t>VALIDE</t>
        </is>
      </c>
      <c r="I326" s="675" t="inlineStr">
        <is>
          <t>APPROUVE</t>
        </is>
      </c>
      <c r="J326" s="675" t="inlineStr">
        <is>
          <t>01M/2026</t>
        </is>
      </c>
      <c r="K326" s="673" t="inlineStr">
        <is>
          <t>GENERAL</t>
        </is>
      </c>
      <c r="L326" s="675" t="inlineStr">
        <is>
          <t>Ordinaire</t>
        </is>
      </c>
      <c r="M326" s="677" t="inlineStr">
        <is>
          <t>FONCTIONNEMENT</t>
        </is>
      </c>
      <c r="N326" s="678" t="inlineStr">
        <is>
          <t>Prestations de service
Achat prestations de services locales - sociétés</t>
        </is>
      </c>
      <c r="O326" s="679" t="n">
        <v>11848790.83</v>
      </c>
      <c r="P326" s="680" t="n">
        <v>10066942.08</v>
      </c>
      <c r="Q326" s="680">
        <f>P326/1.2</f>
        <v/>
      </c>
      <c r="R326" s="675" t="inlineStr">
        <is>
          <t>BESOIN RECURRENT</t>
        </is>
      </c>
      <c r="S326" s="681" t="n">
        <v>46054</v>
      </c>
      <c r="T326" s="682" t="n">
        <v>47150</v>
      </c>
      <c r="U326" s="683" t="inlineStr">
        <is>
          <t>HYATT NEGOCE SERVICE</t>
        </is>
      </c>
      <c r="V326" s="675" t="n">
        <v>2026</v>
      </c>
      <c r="W326" s="682" t="n">
        <v>46044</v>
      </c>
      <c r="X326" s="682" t="n"/>
      <c r="Y326" s="682" t="n">
        <v>46049</v>
      </c>
      <c r="Z326" s="679">
        <f>AB326/1.2</f>
        <v/>
      </c>
      <c r="AA326" s="680" t="n">
        <v>0</v>
      </c>
      <c r="AB326" s="680" t="n">
        <v>9199242.609999999</v>
      </c>
      <c r="AC326" s="680" t="n">
        <v>0</v>
      </c>
      <c r="AD326" s="680">
        <f>Z326</f>
        <v/>
      </c>
      <c r="AE326" s="680">
        <f>AB326</f>
        <v/>
      </c>
      <c r="AF326" s="684" t="inlineStr">
        <is>
          <t>ENGAGE</t>
        </is>
      </c>
      <c r="AG326" s="683" t="n"/>
      <c r="AH326" s="680" t="n"/>
      <c r="AI326" s="680" t="n"/>
      <c r="AJ326" s="680" t="n"/>
      <c r="AK326" s="680" t="n"/>
      <c r="AL326" s="685" t="n"/>
      <c r="AM326" s="685" t="n"/>
      <c r="AN326" s="683" t="inlineStr">
        <is>
          <t>Montant engagé sur 11 Mois du Min (10 035 537,40)</t>
        </is>
      </c>
    </row>
    <row r="327" ht="35.7" customHeight="1" s="392">
      <c r="A327" s="672">
        <f>IF(AF327="ENGAGE","✔",IF(AF327="EN COURS D'ENGAGEMENT","◕",IF(AF327="PREENGAGE","◑",IF(AF327="EN COURS DE PREENGAGEMENT","◔",IF(AF327="NON ENGAGE","✖","")))))</f>
        <v/>
      </c>
      <c r="B327" s="673" t="n">
        <v>2026</v>
      </c>
      <c r="C327" s="674" t="inlineStr">
        <is>
          <t>DPMG</t>
        </is>
      </c>
      <c r="D327" s="674" t="inlineStr">
        <is>
          <t>13AOM/SNRT</t>
        </is>
      </c>
      <c r="E327" s="675" t="inlineStr">
        <is>
          <t>AOO-M</t>
        </is>
      </c>
      <c r="F327" s="675" t="n">
        <v>1</v>
      </c>
      <c r="G327" s="676" t="inlineStr">
        <is>
          <t>Travaux d’aménagement des locaux technique de la SNRT a Rabat : Lot 1 : Aménagement et Agencement</t>
        </is>
      </c>
      <c r="H327" s="673" t="inlineStr">
        <is>
          <t>VALIDE</t>
        </is>
      </c>
      <c r="I327" s="675" t="inlineStr">
        <is>
          <t>ATTRIBUE</t>
        </is>
      </c>
      <c r="J327" s="693" t="n"/>
      <c r="K327" s="673" t="inlineStr">
        <is>
          <t>PME</t>
        </is>
      </c>
      <c r="L327" s="675" t="inlineStr">
        <is>
          <t>REPORT BUDGET ANNEE ANTERIEURE</t>
        </is>
      </c>
      <c r="M327" s="677" t="inlineStr">
        <is>
          <t>INVESTISSEMENT</t>
        </is>
      </c>
      <c r="N327" s="678" t="inlineStr">
        <is>
          <t>Agencements et aménagement constructions</t>
        </is>
      </c>
      <c r="O327" s="679">
        <f>P327*1.2</f>
        <v/>
      </c>
      <c r="P327" s="680" t="n">
        <v>1666392</v>
      </c>
      <c r="Q327" s="680">
        <f>P327/1.2</f>
        <v/>
      </c>
      <c r="R327" s="675" t="inlineStr">
        <is>
          <t>NOUVEAU BESOIN</t>
        </is>
      </c>
      <c r="S327" s="681" t="n"/>
      <c r="T327" s="682" t="n"/>
      <c r="U327" s="683" t="n"/>
      <c r="V327" s="675" t="n"/>
      <c r="W327" s="682" t="n">
        <v>46041</v>
      </c>
      <c r="X327" s="682" t="n"/>
      <c r="Y327" s="682" t="n"/>
      <c r="Z327" s="679" t="n"/>
      <c r="AA327" s="680" t="n">
        <v>0</v>
      </c>
      <c r="AB327" s="680" t="n"/>
      <c r="AC327" s="680" t="n">
        <v>0</v>
      </c>
      <c r="AD327" s="680" t="n"/>
      <c r="AE327" s="680" t="n">
        <v>1959240</v>
      </c>
      <c r="AF327" s="684" t="inlineStr">
        <is>
          <t>PREENGAGE</t>
        </is>
      </c>
      <c r="AG327" s="683" t="n"/>
      <c r="AH327" s="680" t="n"/>
      <c r="AI327" s="680" t="n"/>
      <c r="AJ327" s="680" t="n"/>
      <c r="AK327" s="680" t="n"/>
      <c r="AL327" s="685" t="n"/>
      <c r="AM327" s="685" t="n"/>
      <c r="AN327" s="683" t="inlineStr">
        <is>
          <t>Absence Numéro AO</t>
        </is>
      </c>
    </row>
    <row r="328" ht="35.7" customHeight="1" s="392">
      <c r="A328" s="672">
        <f>IF(AF328="ENGAGE","✔",IF(AF328="EN COURS D'ENGAGEMENT","◕",IF(AF328="PREENGAGE","◑",IF(AF328="EN COURS DE PREENGAGEMENT","◔",IF(AF328="NON ENGAGE","✖","")))))</f>
        <v/>
      </c>
      <c r="B328" s="673" t="n">
        <v>2026</v>
      </c>
      <c r="C328" s="674" t="inlineStr">
        <is>
          <t>DPMG</t>
        </is>
      </c>
      <c r="D328" s="674" t="inlineStr">
        <is>
          <t>13AOM/SNRT</t>
        </is>
      </c>
      <c r="E328" s="675" t="inlineStr">
        <is>
          <t>AOO-M</t>
        </is>
      </c>
      <c r="F328" s="675" t="n">
        <v>2</v>
      </c>
      <c r="G328" s="676" t="inlineStr">
        <is>
          <t>Travaux d’aménagement des locaux technique de la SNRT a Rabat : Lot 2 : Electricité – Lustries – Climatisation</t>
        </is>
      </c>
      <c r="H328" s="673" t="inlineStr">
        <is>
          <t>VALIDE</t>
        </is>
      </c>
      <c r="I328" s="675" t="inlineStr">
        <is>
          <t>INFRUCTUEUX</t>
        </is>
      </c>
      <c r="J328" s="693" t="n"/>
      <c r="K328" s="673" t="inlineStr">
        <is>
          <t>PME</t>
        </is>
      </c>
      <c r="L328" s="675" t="inlineStr">
        <is>
          <t>REPORT BUDGET ANNEE ANTERIEURE</t>
        </is>
      </c>
      <c r="M328" s="677" t="inlineStr">
        <is>
          <t>INVESTISSEMENT</t>
        </is>
      </c>
      <c r="N328" s="678" t="inlineStr">
        <is>
          <t>Agencements et aménagement constructions</t>
        </is>
      </c>
      <c r="O328" s="679">
        <f>P328*1.2</f>
        <v/>
      </c>
      <c r="P328" s="680" t="n">
        <v>489516</v>
      </c>
      <c r="Q328" s="680">
        <f>P328/1.2</f>
        <v/>
      </c>
      <c r="R328" s="675" t="inlineStr">
        <is>
          <t>NOUVEAU BESOIN</t>
        </is>
      </c>
      <c r="S328" s="681" t="n"/>
      <c r="T328" s="682" t="n"/>
      <c r="U328" s="683" t="n"/>
      <c r="V328" s="675" t="n"/>
      <c r="W328" s="682" t="n">
        <v>46041</v>
      </c>
      <c r="X328" s="682" t="n"/>
      <c r="Y328" s="682" t="n"/>
      <c r="Z328" s="679" t="n"/>
      <c r="AA328" s="680" t="n">
        <v>0</v>
      </c>
      <c r="AB328" s="680" t="n"/>
      <c r="AC328" s="680" t="n">
        <v>0</v>
      </c>
      <c r="AD328" s="680" t="n"/>
      <c r="AE328" s="680" t="n"/>
      <c r="AF328" s="684" t="inlineStr">
        <is>
          <t>NON ENGAGE</t>
        </is>
      </c>
      <c r="AG328" s="683" t="n"/>
      <c r="AH328" s="680" t="n"/>
      <c r="AI328" s="680" t="n"/>
      <c r="AJ328" s="680" t="n"/>
      <c r="AK328" s="680" t="n"/>
      <c r="AL328" s="685" t="n"/>
      <c r="AM328" s="685" t="n"/>
      <c r="AN328" s="683" t="inlineStr">
        <is>
          <t>Absence Numéro AO</t>
        </is>
      </c>
    </row>
    <row r="329" ht="35.7" customHeight="1" s="392">
      <c r="A329" s="672">
        <f>IF(AF329="ENGAGE","✔",IF(AF329="EN COURS D'ENGAGEMENT","◕",IF(AF329="PREENGAGE","◑",IF(AF329="EN COURS DE PREENGAGEMENT","◔",IF(AF329="NON ENGAGE","✖","")))))</f>
        <v/>
      </c>
      <c r="B329" s="673" t="n">
        <v>2026</v>
      </c>
      <c r="C329" s="674" t="inlineStr">
        <is>
          <t>DPMG</t>
        </is>
      </c>
      <c r="D329" s="674" t="inlineStr">
        <is>
          <t>41AOM/AOM</t>
        </is>
      </c>
      <c r="E329" s="675" t="inlineStr">
        <is>
          <t>AOO-M</t>
        </is>
      </c>
      <c r="F329" s="675" t="n">
        <v>1</v>
      </c>
      <c r="G329" s="676" t="inlineStr">
        <is>
          <t>Travaux d’aménagement et d’agencement de la Régie Publicitaire et des solutions digitales à Casablanca</t>
        </is>
      </c>
      <c r="H329" s="673" t="inlineStr">
        <is>
          <t>VALIDE</t>
        </is>
      </c>
      <c r="I329" s="675" t="inlineStr">
        <is>
          <t>INFRUCTUEUX</t>
        </is>
      </c>
      <c r="J329" s="693" t="n"/>
      <c r="K329" s="673" t="inlineStr">
        <is>
          <t>PME</t>
        </is>
      </c>
      <c r="L329" s="675" t="inlineStr">
        <is>
          <t>REPORT BUDGET ANNEE ANTERIEURE</t>
        </is>
      </c>
      <c r="M329" s="677" t="inlineStr">
        <is>
          <t>INVESTISSEMENT</t>
        </is>
      </c>
      <c r="N329" s="678" t="inlineStr">
        <is>
          <t>Agencements et aménagement constructions</t>
        </is>
      </c>
      <c r="O329" s="679">
        <f>P329*1.2</f>
        <v/>
      </c>
      <c r="P329" s="680" t="n">
        <v>1189290</v>
      </c>
      <c r="Q329" s="680">
        <f>P329/1.2</f>
        <v/>
      </c>
      <c r="R329" s="675" t="inlineStr">
        <is>
          <t>NOUVEAU BESOIN</t>
        </is>
      </c>
      <c r="S329" s="681" t="n"/>
      <c r="T329" s="682" t="n"/>
      <c r="U329" s="683" t="n"/>
      <c r="V329" s="675" t="n"/>
      <c r="W329" s="682" t="n">
        <v>46154</v>
      </c>
      <c r="X329" s="682" t="n"/>
      <c r="Y329" s="682" t="n"/>
      <c r="Z329" s="679" t="n"/>
      <c r="AA329" s="680" t="n">
        <v>0</v>
      </c>
      <c r="AB329" s="680" t="n"/>
      <c r="AC329" s="680" t="n">
        <v>0</v>
      </c>
      <c r="AD329" s="680" t="n"/>
      <c r="AE329" s="680" t="n"/>
      <c r="AF329" s="684" t="inlineStr">
        <is>
          <t>NON ENGAGE</t>
        </is>
      </c>
      <c r="AG329" s="683" t="n"/>
      <c r="AH329" s="680" t="n"/>
      <c r="AI329" s="680" t="n"/>
      <c r="AJ329" s="680" t="n"/>
      <c r="AK329" s="680" t="n"/>
      <c r="AL329" s="685" t="n"/>
      <c r="AM329" s="685" t="n"/>
      <c r="AN329" s="683" t="inlineStr">
        <is>
          <t>Absence Numéro AO</t>
        </is>
      </c>
    </row>
    <row r="330" ht="35.7" customHeight="1" s="392">
      <c r="A330" s="672">
        <f>IF(AF330="ENGAGE","✔",IF(AF330="EN COURS D'ENGAGEMENT","◕",IF(AF330="PREENGAGE","◑",IF(AF330="EN COURS DE PREENGAGEMENT","◔",IF(AF330="NON ENGAGE","✖","")))))</f>
        <v/>
      </c>
      <c r="B330" s="673" t="n">
        <v>2026</v>
      </c>
      <c r="C330" s="674" t="inlineStr">
        <is>
          <t>DPMG</t>
        </is>
      </c>
      <c r="D330" s="674" t="inlineStr">
        <is>
          <t>03 AOM/SNRT</t>
        </is>
      </c>
      <c r="E330" s="675" t="inlineStr">
        <is>
          <t>AOO-M</t>
        </is>
      </c>
      <c r="F330" s="675" t="n">
        <v>1</v>
      </c>
      <c r="G330" s="676" t="inlineStr">
        <is>
          <t>Travaux de démolition et de reconstruction d’un mur de clôture de la station régionale Radio à Oujda</t>
        </is>
      </c>
      <c r="H330" s="673" t="inlineStr">
        <is>
          <t>VALIDE</t>
        </is>
      </c>
      <c r="I330" s="675" t="inlineStr">
        <is>
          <t>ATTRIBUE</t>
        </is>
      </c>
      <c r="J330" s="675" t="inlineStr">
        <is>
          <t>15M/2026</t>
        </is>
      </c>
      <c r="K330" s="673" t="inlineStr">
        <is>
          <t>PME</t>
        </is>
      </c>
      <c r="L330" s="675" t="inlineStr">
        <is>
          <t>REPORT BUDGET ANNEE ANTERIEURE</t>
        </is>
      </c>
      <c r="M330" s="677" t="inlineStr">
        <is>
          <t>INVESTISSEMENT</t>
        </is>
      </c>
      <c r="N330" s="678" t="inlineStr">
        <is>
          <t>Agencements et aménagement constructions</t>
        </is>
      </c>
      <c r="O330" s="679">
        <f>P330*1.2</f>
        <v/>
      </c>
      <c r="P330" s="680" t="n">
        <v>815820</v>
      </c>
      <c r="Q330" s="680">
        <f>P330/1.2</f>
        <v/>
      </c>
      <c r="R330" s="675" t="inlineStr">
        <is>
          <t>NOUVEAU BESOIN</t>
        </is>
      </c>
      <c r="S330" s="681" t="n"/>
      <c r="T330" s="682" t="n"/>
      <c r="U330" s="683" t="inlineStr">
        <is>
          <t>OYIRI TRAVAUX</t>
        </is>
      </c>
      <c r="V330" s="675" t="n">
        <v>2026</v>
      </c>
      <c r="W330" s="682" t="n">
        <v>46041</v>
      </c>
      <c r="X330" s="682" t="n">
        <v>46062</v>
      </c>
      <c r="Y330" s="682" t="n">
        <v>46163</v>
      </c>
      <c r="Z330" s="679">
        <f>AB330/1.2</f>
        <v/>
      </c>
      <c r="AA330" s="680" t="n">
        <v>0</v>
      </c>
      <c r="AB330" s="680" t="n">
        <v>819139.2</v>
      </c>
      <c r="AC330" s="680" t="n">
        <v>0</v>
      </c>
      <c r="AD330" s="680">
        <f>Z330</f>
        <v/>
      </c>
      <c r="AE330" s="680">
        <f>AB330</f>
        <v/>
      </c>
      <c r="AF330" s="684" t="inlineStr">
        <is>
          <t>ENGAGE</t>
        </is>
      </c>
      <c r="AG330" s="683" t="n"/>
      <c r="AH330" s="680" t="n"/>
      <c r="AI330" s="680" t="n"/>
      <c r="AJ330" s="680" t="n"/>
      <c r="AK330" s="680" t="n"/>
      <c r="AL330" s="685" t="n"/>
      <c r="AM330" s="685" t="n"/>
      <c r="AN330" s="683" t="inlineStr">
        <is>
          <t>RAS</t>
        </is>
      </c>
    </row>
    <row r="331" ht="35.7" customHeight="1" s="392">
      <c r="A331" s="672">
        <f>IF(AF331="ENGAGE","✔",IF(AF331="EN COURS D'ENGAGEMENT","◕",IF(AF331="PREENGAGE","◑",IF(AF331="EN COURS DE PREENGAGEMENT","◔",IF(AF331="NON ENGAGE","✖","")))))</f>
        <v/>
      </c>
      <c r="B331" s="673" t="n">
        <v>2026</v>
      </c>
      <c r="C331" s="674" t="inlineStr">
        <is>
          <t>DPMG</t>
        </is>
      </c>
      <c r="D331" s="674" t="inlineStr">
        <is>
          <t>04 AOM/SNRT</t>
        </is>
      </c>
      <c r="E331" s="675" t="inlineStr">
        <is>
          <t>AOO-M</t>
        </is>
      </c>
      <c r="F331" s="675" t="n">
        <v>1</v>
      </c>
      <c r="G331" s="676" t="inlineStr">
        <is>
          <t>Fourniture et installation du matériel de bureau : Photocopieurs, Fax, Toners, Drums et Fours</t>
        </is>
      </c>
      <c r="H331" s="673" t="inlineStr">
        <is>
          <t>INFRUCTUEUX</t>
        </is>
      </c>
      <c r="I331" s="675" t="inlineStr">
        <is>
          <t>INFRUCTUEUX</t>
        </is>
      </c>
      <c r="J331" s="675" t="n"/>
      <c r="K331" s="673" t="inlineStr">
        <is>
          <t>GENERAL</t>
        </is>
      </c>
      <c r="L331" s="675" t="inlineStr">
        <is>
          <t>REPORT BUDGET ANNEE ANTERIEURE</t>
        </is>
      </c>
      <c r="M331" s="677" t="inlineStr">
        <is>
          <t>INVESTISSEMENT</t>
        </is>
      </c>
      <c r="N331" s="678" t="inlineStr">
        <is>
          <t>Matériel de bureau</t>
        </is>
      </c>
      <c r="O331" s="679">
        <f>P331*1.2</f>
        <v/>
      </c>
      <c r="P331" s="680" t="n">
        <v>782160</v>
      </c>
      <c r="Q331" s="680">
        <f>P331/1.2</f>
        <v/>
      </c>
      <c r="R331" s="675" t="inlineStr">
        <is>
          <t>BESOIN RECURRENT</t>
        </is>
      </c>
      <c r="S331" s="681" t="n"/>
      <c r="T331" s="682" t="n"/>
      <c r="U331" s="683" t="n"/>
      <c r="V331" s="675" t="n"/>
      <c r="W331" s="682" t="n">
        <v>46105</v>
      </c>
      <c r="X331" s="682" t="n">
        <v>46108</v>
      </c>
      <c r="Y331" s="682" t="n"/>
      <c r="Z331" s="679" t="n">
        <v>0</v>
      </c>
      <c r="AA331" s="680" t="n">
        <v>0</v>
      </c>
      <c r="AB331" s="680" t="n">
        <v>0</v>
      </c>
      <c r="AC331" s="680" t="n">
        <v>0</v>
      </c>
      <c r="AD331" s="680" t="n">
        <v>0</v>
      </c>
      <c r="AE331" s="680" t="n">
        <v>0</v>
      </c>
      <c r="AF331" s="684" t="inlineStr">
        <is>
          <t>NON ENGAGE</t>
        </is>
      </c>
      <c r="AG331" s="683" t="n"/>
      <c r="AH331" s="680" t="n"/>
      <c r="AI331" s="680" t="n"/>
      <c r="AJ331" s="680" t="n"/>
      <c r="AK331" s="680" t="n"/>
      <c r="AL331" s="685" t="n"/>
      <c r="AM331" s="685" t="n"/>
      <c r="AN331" s="683" t="inlineStr">
        <is>
          <t>INFRUCTUEUX</t>
        </is>
      </c>
    </row>
    <row r="332" ht="35.7" customHeight="1" s="392">
      <c r="A332" s="672">
        <f>IF(AF332="ENGAGE","✔",IF(AF332="EN COURS D'ENGAGEMENT","◕",IF(AF332="PREENGAGE","◑",IF(AF332="EN COURS DE PREENGAGEMENT","◔",IF(AF332="NON ENGAGE","✖","")))))</f>
        <v/>
      </c>
      <c r="B332" s="673" t="n">
        <v>2026</v>
      </c>
      <c r="C332" s="674" t="inlineStr">
        <is>
          <t>DPMG</t>
        </is>
      </c>
      <c r="D332" s="674" t="inlineStr">
        <is>
          <t>04 AOM/SNRT</t>
        </is>
      </c>
      <c r="E332" s="675" t="inlineStr">
        <is>
          <t>AOO-M</t>
        </is>
      </c>
      <c r="F332" s="675" t="n">
        <v>2</v>
      </c>
      <c r="G332" s="676" t="inlineStr">
        <is>
          <t>Achat du consommable pour photocopieur et fax : Toners, Drums et Fours</t>
        </is>
      </c>
      <c r="H332" s="673" t="inlineStr">
        <is>
          <t>INFRUCTUEUX</t>
        </is>
      </c>
      <c r="I332" s="675" t="inlineStr">
        <is>
          <t>INFRUCTUEUX</t>
        </is>
      </c>
      <c r="J332" s="675" t="n"/>
      <c r="K332" s="673" t="inlineStr">
        <is>
          <t>GENERAL</t>
        </is>
      </c>
      <c r="L332" s="675" t="inlineStr">
        <is>
          <t>Ordinaire</t>
        </is>
      </c>
      <c r="M332" s="677" t="inlineStr">
        <is>
          <t>FONCTIONNEMENT</t>
        </is>
      </c>
      <c r="N332" s="678" t="inlineStr">
        <is>
          <t>Achats de matières et fournitures consommables</t>
        </is>
      </c>
      <c r="O332" s="679">
        <f>P332*1.2</f>
        <v/>
      </c>
      <c r="P332" s="680" t="n">
        <v>201000</v>
      </c>
      <c r="Q332" s="680">
        <f>P332/1.2</f>
        <v/>
      </c>
      <c r="R332" s="675" t="inlineStr">
        <is>
          <t>BESOIN RECURRENT</t>
        </is>
      </c>
      <c r="S332" s="681" t="n"/>
      <c r="T332" s="682" t="n"/>
      <c r="U332" s="683" t="n"/>
      <c r="V332" s="675" t="n"/>
      <c r="W332" s="682" t="n">
        <v>46105</v>
      </c>
      <c r="X332" s="682" t="n">
        <v>46108</v>
      </c>
      <c r="Y332" s="682" t="n"/>
      <c r="Z332" s="679" t="n">
        <v>0</v>
      </c>
      <c r="AA332" s="680" t="n">
        <v>0</v>
      </c>
      <c r="AB332" s="680" t="n">
        <v>0</v>
      </c>
      <c r="AC332" s="680" t="n">
        <v>0</v>
      </c>
      <c r="AD332" s="680" t="n">
        <v>0</v>
      </c>
      <c r="AE332" s="680" t="n">
        <v>0</v>
      </c>
      <c r="AF332" s="684" t="inlineStr">
        <is>
          <t>NON ENGAGE</t>
        </is>
      </c>
      <c r="AG332" s="683" t="n"/>
      <c r="AH332" s="680" t="n"/>
      <c r="AI332" s="680" t="n"/>
      <c r="AJ332" s="680" t="n"/>
      <c r="AK332" s="680" t="n"/>
      <c r="AL332" s="685" t="n"/>
      <c r="AM332" s="685" t="n"/>
      <c r="AN332" s="683" t="inlineStr">
        <is>
          <t>INFRUCTUEUX</t>
        </is>
      </c>
    </row>
    <row r="333" ht="35.7" customHeight="1" s="392">
      <c r="A333" s="672">
        <f>IF(AF333="ENGAGE","✔",IF(AF333="EN COURS D'ENGAGEMENT","◕",IF(AF333="PREENGAGE","◑",IF(AF333="EN COURS DE PREENGAGEMENT","◔",IF(AF333="NON ENGAGE","✖","")))))</f>
        <v/>
      </c>
      <c r="B333" s="673" t="n">
        <v>2025</v>
      </c>
      <c r="C333" s="674" t="inlineStr">
        <is>
          <t>TDF -SITES</t>
        </is>
      </c>
      <c r="D333" s="674" t="inlineStr">
        <is>
          <t>62 AOM/SNRT/2025</t>
        </is>
      </c>
      <c r="E333" s="675" t="inlineStr">
        <is>
          <t>AOO-M</t>
        </is>
      </c>
      <c r="F333" s="675" t="n">
        <v>1</v>
      </c>
      <c r="G333" s="676" t="inlineStr">
        <is>
          <t>Travaux d’aménagement des sites de diffusion de la SNRT LAKHIAR (P.KHEMISSET) et SIDI AHMED BENRAHAL (P.SIDI BENNOUR)</t>
        </is>
      </c>
      <c r="H333" s="673" t="inlineStr">
        <is>
          <t>VALIDE</t>
        </is>
      </c>
      <c r="I333" s="675" t="inlineStr">
        <is>
          <t>APPROUVE</t>
        </is>
      </c>
      <c r="J333" s="675" t="inlineStr">
        <is>
          <t>02M/2026</t>
        </is>
      </c>
      <c r="K333" s="673" t="inlineStr">
        <is>
          <t>PME</t>
        </is>
      </c>
      <c r="L333" s="675" t="inlineStr">
        <is>
          <t>REPORT BUDGET ANNEE ANTERIEURE</t>
        </is>
      </c>
      <c r="M333" s="677" t="inlineStr">
        <is>
          <t>INVESTISSEMENT</t>
        </is>
      </c>
      <c r="N333" s="678" t="inlineStr">
        <is>
          <t>Agencements et aménagement constructions</t>
        </is>
      </c>
      <c r="O333" s="679">
        <f>P333*1.2</f>
        <v/>
      </c>
      <c r="P333" s="680" t="n">
        <v>2807034</v>
      </c>
      <c r="Q333" s="680">
        <f>P333/1.2</f>
        <v/>
      </c>
      <c r="R333" s="675" t="inlineStr">
        <is>
          <t>NOUVEAU BESOIN</t>
        </is>
      </c>
      <c r="S333" s="681" t="n"/>
      <c r="T333" s="682" t="n"/>
      <c r="U333" s="683" t="inlineStr">
        <is>
          <t>ATLANTIC MULTIPOLE</t>
        </is>
      </c>
      <c r="V333" s="675" t="n">
        <v>2026</v>
      </c>
      <c r="W333" s="682" t="n">
        <v>46044</v>
      </c>
      <c r="X333" s="682" t="n"/>
      <c r="Y333" s="682" t="n">
        <v>46049</v>
      </c>
      <c r="Z333" s="679">
        <f>AB333/1.2</f>
        <v/>
      </c>
      <c r="AA333" s="680" t="n">
        <v>0</v>
      </c>
      <c r="AB333" s="680" t="n">
        <v>3228000</v>
      </c>
      <c r="AC333" s="680" t="n">
        <v>0</v>
      </c>
      <c r="AD333" s="680">
        <f>Z333</f>
        <v/>
      </c>
      <c r="AE333" s="680">
        <f>AB333</f>
        <v/>
      </c>
      <c r="AF333" s="684" t="inlineStr">
        <is>
          <t>ENGAGE</t>
        </is>
      </c>
      <c r="AG333" s="683" t="n"/>
      <c r="AH333" s="680" t="n"/>
      <c r="AI333" s="680" t="n"/>
      <c r="AJ333" s="680" t="n"/>
      <c r="AK333" s="680" t="n"/>
      <c r="AL333" s="685" t="n"/>
      <c r="AM333" s="685" t="n"/>
      <c r="AN333" s="683" t="inlineStr">
        <is>
          <t>RAS</t>
        </is>
      </c>
    </row>
    <row r="334" ht="35.7" customHeight="1" s="392">
      <c r="A334" s="672">
        <f>IF(AF334="ENGAGE","✔",IF(AF334="EN COURS D'ENGAGEMENT","◕",IF(AF334="PREENGAGE","◑",IF(AF334="EN COURS DE PREENGAGEMENT","◔",IF(AF334="NON ENGAGE","✖","")))))</f>
        <v/>
      </c>
      <c r="B334" s="673" t="n">
        <v>2025</v>
      </c>
      <c r="C334" s="674" t="inlineStr">
        <is>
          <t>TDF -SITES</t>
        </is>
      </c>
      <c r="D334" s="674" t="inlineStr">
        <is>
          <t>97 AOM/SNRT</t>
        </is>
      </c>
      <c r="E334" s="675" t="inlineStr">
        <is>
          <t>AOO-M</t>
        </is>
      </c>
      <c r="F334" s="675" t="n">
        <v>1</v>
      </c>
      <c r="G334" s="676" t="inlineStr">
        <is>
          <t>Travaux d’aménagement des sites de diffusion de JBEL TAZEKKA (P.TAZA)</t>
        </is>
      </c>
      <c r="H334" s="673" t="inlineStr">
        <is>
          <t>VALIDE</t>
        </is>
      </c>
      <c r="I334" s="675" t="inlineStr">
        <is>
          <t>APPROUVE</t>
        </is>
      </c>
      <c r="J334" s="675" t="inlineStr">
        <is>
          <t>03M/2026</t>
        </is>
      </c>
      <c r="K334" s="673" t="inlineStr">
        <is>
          <t>PME</t>
        </is>
      </c>
      <c r="L334" s="675" t="inlineStr">
        <is>
          <t>REPORT BUDGET ANNEE ANTERIEURE</t>
        </is>
      </c>
      <c r="M334" s="677" t="inlineStr">
        <is>
          <t>INVESTISSEMENT</t>
        </is>
      </c>
      <c r="N334" s="678" t="inlineStr">
        <is>
          <t>Agencements et aménagement constructions</t>
        </is>
      </c>
      <c r="O334" s="679">
        <f>P334*1.2</f>
        <v/>
      </c>
      <c r="P334" s="680" t="n">
        <v>2559552</v>
      </c>
      <c r="Q334" s="680">
        <f>P334/1.2</f>
        <v/>
      </c>
      <c r="R334" s="675" t="inlineStr">
        <is>
          <t>NOUVEAU BESOIN</t>
        </is>
      </c>
      <c r="S334" s="681" t="n"/>
      <c r="T334" s="682" t="n"/>
      <c r="U334" s="683" t="inlineStr">
        <is>
          <t>MED MAN</t>
        </is>
      </c>
      <c r="V334" s="675" t="n">
        <v>2026</v>
      </c>
      <c r="W334" s="682" t="n">
        <v>46044</v>
      </c>
      <c r="X334" s="682" t="n"/>
      <c r="Y334" s="682" t="n">
        <v>46049</v>
      </c>
      <c r="Z334" s="679">
        <f>AB334/1.2</f>
        <v/>
      </c>
      <c r="AA334" s="680" t="n">
        <v>0</v>
      </c>
      <c r="AB334" s="680" t="n">
        <v>2497248</v>
      </c>
      <c r="AC334" s="680" t="n">
        <v>0</v>
      </c>
      <c r="AD334" s="680">
        <f>Z334</f>
        <v/>
      </c>
      <c r="AE334" s="680">
        <f>AB334</f>
        <v/>
      </c>
      <c r="AF334" s="684" t="inlineStr">
        <is>
          <t>ENGAGE</t>
        </is>
      </c>
      <c r="AG334" s="683" t="n"/>
      <c r="AH334" s="680" t="n"/>
      <c r="AI334" s="680" t="n"/>
      <c r="AJ334" s="680" t="n"/>
      <c r="AK334" s="680" t="n"/>
      <c r="AL334" s="685" t="n"/>
      <c r="AM334" s="685" t="n"/>
      <c r="AN334" s="683" t="inlineStr">
        <is>
          <t>RAS</t>
        </is>
      </c>
    </row>
    <row r="335" ht="50.55" customHeight="1" s="392">
      <c r="A335" s="672">
        <f>IF(AF335="ENGAGE","✔",IF(AF335="EN COURS D'ENGAGEMENT","◕",IF(AF335="PREENGAGE","◑",IF(AF335="EN COURS DE PREENGAGEMENT","◔",IF(AF335="NON ENGAGE","✖","")))))</f>
        <v/>
      </c>
      <c r="B335" s="673" t="n">
        <v>2026</v>
      </c>
      <c r="C335" s="674" t="inlineStr">
        <is>
          <t>DA</t>
        </is>
      </c>
      <c r="D335" s="674" t="inlineStr">
        <is>
          <t>EXCLUSIVITÉ</t>
        </is>
      </c>
      <c r="E335" s="675" t="inlineStr">
        <is>
          <t>CONTRAT</t>
        </is>
      </c>
      <c r="F335" s="675" t="n">
        <v>1</v>
      </c>
      <c r="G335" s="676" t="inlineStr">
        <is>
          <t>Publication des  insertions de la SNRT dans les deux journaux  du groupe AL ITIHAD PRESSE  à savoir : «AL ITTIHAD AL ICHTIRAKI » et « LIBERATION »</t>
        </is>
      </c>
      <c r="H335" s="673" t="inlineStr">
        <is>
          <t>VALIDE</t>
        </is>
      </c>
      <c r="I335" s="675" t="inlineStr">
        <is>
          <t>APPROUVE</t>
        </is>
      </c>
      <c r="J335" s="675" t="inlineStr">
        <is>
          <t>01 CT/SNRT/2026</t>
        </is>
      </c>
      <c r="K335" s="673" t="inlineStr">
        <is>
          <t>NON CONCERNE</t>
        </is>
      </c>
      <c r="L335" s="675" t="inlineStr">
        <is>
          <t>Ordinaire</t>
        </is>
      </c>
      <c r="M335" s="677" t="inlineStr">
        <is>
          <t>FONCTIONNEMENT</t>
        </is>
      </c>
      <c r="N335" s="678" t="inlineStr">
        <is>
          <t>Charges marketing et relations publiques
Annonces et insertions</t>
        </is>
      </c>
      <c r="O335" s="679" t="n"/>
      <c r="P335" s="680" t="n"/>
      <c r="Q335" s="680" t="n"/>
      <c r="R335" s="675" t="inlineStr">
        <is>
          <t>BESOIN RECURRENT</t>
        </is>
      </c>
      <c r="S335" s="681" t="n"/>
      <c r="T335" s="682" t="n"/>
      <c r="U335" s="683" t="inlineStr">
        <is>
          <t>GROUPE AL ITTIHAD PRESSE</t>
        </is>
      </c>
      <c r="V335" s="675" t="n">
        <v>2026</v>
      </c>
      <c r="W335" s="682" t="n">
        <v>46022</v>
      </c>
      <c r="X335" s="682" t="n"/>
      <c r="Y335" s="682" t="n">
        <v>46024</v>
      </c>
      <c r="Z335" s="679" t="n">
        <v>80000</v>
      </c>
      <c r="AA335" s="680" t="n">
        <v>0</v>
      </c>
      <c r="AB335" s="680" t="n">
        <v>96000</v>
      </c>
      <c r="AC335" s="680" t="n">
        <v>0</v>
      </c>
      <c r="AD335" s="680">
        <f>Z335</f>
        <v/>
      </c>
      <c r="AE335" s="680">
        <f>AB335</f>
        <v/>
      </c>
      <c r="AF335" s="684" t="inlineStr">
        <is>
          <t>ENGAGE</t>
        </is>
      </c>
      <c r="AG335" s="683" t="n"/>
      <c r="AH335" s="680" t="n"/>
      <c r="AI335" s="680" t="n"/>
      <c r="AJ335" s="680" t="n"/>
      <c r="AK335" s="680" t="n"/>
      <c r="AL335" s="685" t="n"/>
      <c r="AM335" s="685" t="n"/>
      <c r="AN335" s="683" t="inlineStr">
        <is>
          <t>RAS</t>
        </is>
      </c>
    </row>
    <row r="336" ht="46.5" customHeight="1" s="392">
      <c r="A336" s="672">
        <f>IF(AF336="ENGAGE","✔",IF(AF336="EN COURS D'ENGAGEMENT","◕",IF(AF336="PREENGAGE","◑",IF(AF336="EN COURS DE PREENGAGEMENT","◔",IF(AF336="NON ENGAGE","✖","")))))</f>
        <v/>
      </c>
      <c r="B336" s="673" t="n">
        <v>2026</v>
      </c>
      <c r="C336" s="674" t="inlineStr">
        <is>
          <t>DA</t>
        </is>
      </c>
      <c r="D336" s="674" t="inlineStr">
        <is>
          <t>EXCLUSIVITÉ</t>
        </is>
      </c>
      <c r="E336" s="675" t="inlineStr">
        <is>
          <t>CONTRAT</t>
        </is>
      </c>
      <c r="F336" s="675" t="n">
        <v>1</v>
      </c>
      <c r="G336" s="676" t="inlineStr">
        <is>
          <t>Publication des insertions de la SNRT dans les journaux du groupe MAROC SOIR : le MATIN et  ASSAHRAA AL MAGHRIBIA</t>
        </is>
      </c>
      <c r="H336" s="673" t="inlineStr">
        <is>
          <t>VALIDE</t>
        </is>
      </c>
      <c r="I336" s="675" t="inlineStr">
        <is>
          <t>APPROUVE</t>
        </is>
      </c>
      <c r="J336" s="675" t="inlineStr">
        <is>
          <t>02 CT/SNRT/2026</t>
        </is>
      </c>
      <c r="K336" s="673" t="inlineStr">
        <is>
          <t>NON CONCERNE</t>
        </is>
      </c>
      <c r="L336" s="675" t="inlineStr">
        <is>
          <t>Ordinaire</t>
        </is>
      </c>
      <c r="M336" s="677" t="inlineStr">
        <is>
          <t>FONCTIONNEMENT</t>
        </is>
      </c>
      <c r="N336" s="678" t="inlineStr">
        <is>
          <t>Charges marketing et relations publiques
Annonces et insertions</t>
        </is>
      </c>
      <c r="O336" s="679" t="n"/>
      <c r="P336" s="680" t="n"/>
      <c r="Q336" s="680" t="n"/>
      <c r="R336" s="675" t="inlineStr">
        <is>
          <t>BESOIN RECURRENT</t>
        </is>
      </c>
      <c r="S336" s="681" t="n"/>
      <c r="T336" s="682" t="n"/>
      <c r="U336" s="683" t="inlineStr">
        <is>
          <t>GROUPE MAROC SOIR</t>
        </is>
      </c>
      <c r="V336" s="675" t="n">
        <v>2026</v>
      </c>
      <c r="W336" s="682" t="n">
        <v>46022</v>
      </c>
      <c r="X336" s="682" t="n"/>
      <c r="Y336" s="682" t="n">
        <v>46024</v>
      </c>
      <c r="Z336" s="679" t="n">
        <v>151200</v>
      </c>
      <c r="AA336" s="680" t="n">
        <v>0</v>
      </c>
      <c r="AB336" s="680" t="n">
        <v>181400</v>
      </c>
      <c r="AC336" s="680" t="n">
        <v>0</v>
      </c>
      <c r="AD336" s="680">
        <f>Z336</f>
        <v/>
      </c>
      <c r="AE336" s="680">
        <f>AB336</f>
        <v/>
      </c>
      <c r="AF336" s="684" t="inlineStr">
        <is>
          <t>ENGAGE</t>
        </is>
      </c>
      <c r="AG336" s="683" t="n"/>
      <c r="AH336" s="680" t="n"/>
      <c r="AI336" s="680" t="n"/>
      <c r="AJ336" s="680" t="n"/>
      <c r="AK336" s="680" t="n"/>
      <c r="AL336" s="685" t="n"/>
      <c r="AM336" s="685" t="n"/>
      <c r="AN336" s="683" t="inlineStr">
        <is>
          <t>RAS</t>
        </is>
      </c>
    </row>
    <row r="337" ht="46.5" customHeight="1" s="392">
      <c r="A337" s="672">
        <f>IF(AF337="ENGAGE","✔",IF(AF337="EN COURS D'ENGAGEMENT","◕",IF(AF337="PREENGAGE","◑",IF(AF337="EN COURS DE PREENGAGEMENT","◔",IF(AF337="NON ENGAGE","✖","")))))</f>
        <v/>
      </c>
      <c r="B337" s="673" t="n">
        <v>2026</v>
      </c>
      <c r="C337" s="674" t="inlineStr">
        <is>
          <t>DA</t>
        </is>
      </c>
      <c r="D337" s="674" t="inlineStr">
        <is>
          <t>EXCLUSIVITÉ</t>
        </is>
      </c>
      <c r="E337" s="675" t="inlineStr">
        <is>
          <t>CONTRAT</t>
        </is>
      </c>
      <c r="F337" s="675" t="n">
        <v>1</v>
      </c>
      <c r="G337" s="676" t="inlineStr">
        <is>
          <t>Publication des  insertions de la SNRT dans les deux journaux  du groupe BAYANE</t>
        </is>
      </c>
      <c r="H337" s="673" t="inlineStr">
        <is>
          <t>VALIDE</t>
        </is>
      </c>
      <c r="I337" s="675" t="inlineStr">
        <is>
          <t>APPROUVE</t>
        </is>
      </c>
      <c r="J337" s="675" t="inlineStr">
        <is>
          <t>03 CT/SNRT/2026</t>
        </is>
      </c>
      <c r="K337" s="673" t="inlineStr">
        <is>
          <t>NON CONCERNE</t>
        </is>
      </c>
      <c r="L337" s="675" t="inlineStr">
        <is>
          <t>Ordinaire</t>
        </is>
      </c>
      <c r="M337" s="677" t="inlineStr">
        <is>
          <t>FONCTIONNEMENT</t>
        </is>
      </c>
      <c r="N337" s="678" t="inlineStr">
        <is>
          <t>Charges marketing et relations publiques
Annonces et insertions</t>
        </is>
      </c>
      <c r="O337" s="679" t="n"/>
      <c r="P337" s="680" t="n"/>
      <c r="Q337" s="680" t="n"/>
      <c r="R337" s="675" t="inlineStr">
        <is>
          <t>BESOIN RECURRENT</t>
        </is>
      </c>
      <c r="S337" s="681" t="n"/>
      <c r="T337" s="682" t="n"/>
      <c r="U337" s="683" t="inlineStr">
        <is>
          <t>BAYANE SA</t>
        </is>
      </c>
      <c r="V337" s="675" t="n">
        <v>2026</v>
      </c>
      <c r="W337" s="682" t="n">
        <v>46022</v>
      </c>
      <c r="X337" s="682" t="n"/>
      <c r="Y337" s="682" t="n">
        <v>46024</v>
      </c>
      <c r="Z337" s="679" t="n">
        <v>80000</v>
      </c>
      <c r="AA337" s="680" t="n"/>
      <c r="AB337" s="680" t="n">
        <v>96000</v>
      </c>
      <c r="AC337" s="680" t="n"/>
      <c r="AD337" s="680">
        <f>Z337</f>
        <v/>
      </c>
      <c r="AE337" s="680">
        <f>AB337</f>
        <v/>
      </c>
      <c r="AF337" s="684" t="inlineStr">
        <is>
          <t>ENGAGE</t>
        </is>
      </c>
      <c r="AG337" s="683" t="n"/>
      <c r="AH337" s="680" t="n"/>
      <c r="AI337" s="680" t="n"/>
      <c r="AJ337" s="680" t="n"/>
      <c r="AK337" s="680" t="n"/>
      <c r="AL337" s="685" t="n"/>
      <c r="AM337" s="685" t="n"/>
      <c r="AN337" s="683" t="inlineStr">
        <is>
          <t>RAS</t>
        </is>
      </c>
    </row>
    <row r="338" ht="46.5" customHeight="1" s="392">
      <c r="A338" s="672">
        <f>IF(AF338="ENGAGE","✔",IF(AF338="EN COURS D'ENGAGEMENT","◕",IF(AF338="PREENGAGE","◑",IF(AF338="EN COURS DE PREENGAGEMENT","◔",IF(AF338="NON ENGAGE","✖","")))))</f>
        <v/>
      </c>
      <c r="B338" s="673" t="n">
        <v>2026</v>
      </c>
      <c r="C338" s="674" t="inlineStr">
        <is>
          <t>DA</t>
        </is>
      </c>
      <c r="D338" s="674" t="inlineStr">
        <is>
          <t>EXCLUSIVITÉ</t>
        </is>
      </c>
      <c r="E338" s="675" t="inlineStr">
        <is>
          <t>CONTRAT</t>
        </is>
      </c>
      <c r="F338" s="675" t="n">
        <v>1</v>
      </c>
      <c r="G338" s="676" t="inlineStr">
        <is>
          <t>Publication des insertions de la SNRT dans le Journal " ANNAHAR AL MAGHRIBIYA "</t>
        </is>
      </c>
      <c r="H338" s="673" t="inlineStr">
        <is>
          <t>VALIDE</t>
        </is>
      </c>
      <c r="I338" s="675" t="inlineStr">
        <is>
          <t>APPROUVE</t>
        </is>
      </c>
      <c r="J338" s="675" t="inlineStr">
        <is>
          <t>04 CT/SNRT/2026</t>
        </is>
      </c>
      <c r="K338" s="673" t="inlineStr">
        <is>
          <t>NON CONCERNE</t>
        </is>
      </c>
      <c r="L338" s="675" t="inlineStr">
        <is>
          <t>Ordinaire</t>
        </is>
      </c>
      <c r="M338" s="677" t="inlineStr">
        <is>
          <t>FONCTIONNEMENT</t>
        </is>
      </c>
      <c r="N338" s="678" t="inlineStr">
        <is>
          <t>Charges marketing et relations publiques
Annonces et insertions</t>
        </is>
      </c>
      <c r="O338" s="679" t="n"/>
      <c r="P338" s="680" t="n"/>
      <c r="Q338" s="680" t="n"/>
      <c r="R338" s="675" t="inlineStr">
        <is>
          <t>BESOIN RECURRENT</t>
        </is>
      </c>
      <c r="S338" s="681" t="n"/>
      <c r="T338" s="682" t="n"/>
      <c r="U338" s="683" t="inlineStr">
        <is>
          <t>MEDIA CONFIDENCE</t>
        </is>
      </c>
      <c r="V338" s="675" t="n">
        <v>2026</v>
      </c>
      <c r="W338" s="682" t="n">
        <v>46022</v>
      </c>
      <c r="X338" s="682" t="n"/>
      <c r="Y338" s="682" t="n">
        <v>46024</v>
      </c>
      <c r="Z338" s="679" t="n">
        <v>40000</v>
      </c>
      <c r="AA338" s="680" t="n"/>
      <c r="AB338" s="680" t="n">
        <v>48000</v>
      </c>
      <c r="AC338" s="680" t="n"/>
      <c r="AD338" s="680">
        <f>+Z338</f>
        <v/>
      </c>
      <c r="AE338" s="680">
        <f>+AB338</f>
        <v/>
      </c>
      <c r="AF338" s="684" t="inlineStr">
        <is>
          <t>ENGAGE</t>
        </is>
      </c>
      <c r="AG338" s="683" t="n"/>
      <c r="AH338" s="680" t="n"/>
      <c r="AI338" s="680" t="n"/>
      <c r="AJ338" s="680" t="n"/>
      <c r="AK338" s="680" t="n"/>
      <c r="AL338" s="685" t="n"/>
      <c r="AM338" s="685" t="n"/>
      <c r="AN338" s="683" t="inlineStr">
        <is>
          <t>RAS</t>
        </is>
      </c>
    </row>
    <row r="339" ht="65.40000000000001" customHeight="1" s="392">
      <c r="A339" s="672">
        <f>IF(AF339="ENGAGE","✔",IF(AF339="EN COURS D'ENGAGEMENT","◕",IF(AF339="PREENGAGE","◑",IF(AF339="EN COURS DE PREENGAGEMENT","◔",IF(AF339="NON ENGAGE","✖","")))))</f>
        <v/>
      </c>
      <c r="B339" s="673" t="n">
        <v>2026</v>
      </c>
      <c r="C339" s="674" t="inlineStr">
        <is>
          <t>DCPA</t>
        </is>
      </c>
      <c r="D339" s="674" t="inlineStr">
        <is>
          <t>RECONDUCTION</t>
        </is>
      </c>
      <c r="E339" s="675" t="inlineStr">
        <is>
          <t>AOO-CT</t>
        </is>
      </c>
      <c r="F339" s="675" t="n">
        <v>1</v>
      </c>
      <c r="G339" s="676" t="inlineStr">
        <is>
          <t>La cession exclusive à la SNRT par l'auteur des droits d'auteurs patrimoniaux et les droits de toute utilisation dérivée du concept et des images relatifs à l'émission de Télé-réalité intitulée: ''LALLA LAAROUSSA'', Reconduction N°12</t>
        </is>
      </c>
      <c r="H339" s="673" t="inlineStr">
        <is>
          <t>VALIDE</t>
        </is>
      </c>
      <c r="I339" s="675" t="inlineStr">
        <is>
          <t>APPROUVE</t>
        </is>
      </c>
      <c r="J339" s="675" t="inlineStr">
        <is>
          <t>234 CT/SNRT/2026</t>
        </is>
      </c>
      <c r="K339" s="673" t="inlineStr">
        <is>
          <t>NON CONCERNE</t>
        </is>
      </c>
      <c r="L339" s="675" t="inlineStr">
        <is>
          <t>Ordinaire</t>
        </is>
      </c>
      <c r="M339" s="677" t="inlineStr">
        <is>
          <t>FONCTIONNEMENT</t>
        </is>
      </c>
      <c r="N339" s="678" t="inlineStr">
        <is>
          <t>Achats de productions et de programmes
Acquis définitive Programmes TV externes</t>
        </is>
      </c>
      <c r="O339" s="679" t="n"/>
      <c r="P339" s="680" t="n"/>
      <c r="Q339" s="680" t="n"/>
      <c r="R339" s="675" t="inlineStr">
        <is>
          <t>RECONDUCTION</t>
        </is>
      </c>
      <c r="S339" s="681" t="n"/>
      <c r="T339" s="682" t="n"/>
      <c r="U339" s="683" t="inlineStr">
        <is>
          <t>PUBLIC EVENEMENT PRODUCTION</t>
        </is>
      </c>
      <c r="V339" s="675" t="n">
        <v>2026</v>
      </c>
      <c r="W339" s="682" t="n">
        <v>46052</v>
      </c>
      <c r="X339" s="682" t="n"/>
      <c r="Y339" s="682" t="n">
        <v>46055</v>
      </c>
      <c r="Z339" s="679">
        <f>AB339/1.2</f>
        <v/>
      </c>
      <c r="AA339" s="680" t="n">
        <v>0</v>
      </c>
      <c r="AB339" s="680" t="n">
        <v>12605142.02</v>
      </c>
      <c r="AC339" s="680" t="n">
        <v>0</v>
      </c>
      <c r="AD339" s="680">
        <f>Z339</f>
        <v/>
      </c>
      <c r="AE339" s="680">
        <f>AB339</f>
        <v/>
      </c>
      <c r="AF339" s="684" t="inlineStr">
        <is>
          <t>ENGAGE</t>
        </is>
      </c>
      <c r="AG339" s="683" t="n"/>
      <c r="AH339" s="680" t="n"/>
      <c r="AI339" s="680" t="n"/>
      <c r="AJ339" s="680" t="n"/>
      <c r="AK339" s="680" t="n"/>
      <c r="AL339" s="685" t="n"/>
      <c r="AM339" s="685" t="n"/>
      <c r="AN339" s="683" t="inlineStr">
        <is>
          <t>RAS</t>
        </is>
      </c>
    </row>
    <row r="340" ht="35.7" customHeight="1" s="392">
      <c r="A340" s="672">
        <f>IF(AF340="ENGAGE","✔",IF(AF340="EN COURS D'ENGAGEMENT","◕",IF(AF340="PREENGAGE","◑",IF(AF340="EN COURS DE PREENGAGEMENT","◔",IF(AF340="NON ENGAGE","✖","")))))</f>
        <v/>
      </c>
      <c r="B340" s="673" t="n">
        <v>2026</v>
      </c>
      <c r="C340" s="674" t="inlineStr">
        <is>
          <t>DRH</t>
        </is>
      </c>
      <c r="D340" s="674" t="inlineStr">
        <is>
          <t xml:space="preserve"> 29CT/SNRT/2025</t>
        </is>
      </c>
      <c r="E340" s="675" t="inlineStr">
        <is>
          <t>CONTRAT</t>
        </is>
      </c>
      <c r="F340" s="675" t="n">
        <v>1</v>
      </c>
      <c r="G340" s="676" t="inlineStr">
        <is>
          <t>L’assurance maladie complémentaire au régime de base AMO géré par la CNOPS au profit du personnel de la SNRT</t>
        </is>
      </c>
      <c r="H340" s="673" t="inlineStr">
        <is>
          <t>VALIDE</t>
        </is>
      </c>
      <c r="I340" s="675" t="inlineStr">
        <is>
          <t>APPROUVE</t>
        </is>
      </c>
      <c r="J340" s="675" t="inlineStr">
        <is>
          <t>POLICE N° 0902943</t>
        </is>
      </c>
      <c r="K340" s="673" t="inlineStr">
        <is>
          <t>NON CONCERNE</t>
        </is>
      </c>
      <c r="L340" s="675" t="inlineStr">
        <is>
          <t>Ordinaire</t>
        </is>
      </c>
      <c r="M340" s="677" t="inlineStr">
        <is>
          <t>FONCTIONNEMENT</t>
        </is>
      </c>
      <c r="N340" s="678" t="inlineStr">
        <is>
          <t>Charges sociales diverses</t>
        </is>
      </c>
      <c r="O340" s="679" t="n"/>
      <c r="P340" s="680" t="n"/>
      <c r="Q340" s="680" t="n"/>
      <c r="R340" s="675" t="inlineStr">
        <is>
          <t>NOUVEAU BESOIN</t>
        </is>
      </c>
      <c r="S340" s="681" t="n"/>
      <c r="T340" s="682" t="n"/>
      <c r="U340" s="683" t="inlineStr">
        <is>
          <t>SANLAM</t>
        </is>
      </c>
      <c r="V340" s="675" t="n">
        <v>2026</v>
      </c>
      <c r="W340" s="682" t="n">
        <v>46054</v>
      </c>
      <c r="X340" s="682" t="n"/>
      <c r="Y340" s="682" t="n">
        <v>46055</v>
      </c>
      <c r="Z340" s="679" t="n">
        <v>4365400</v>
      </c>
      <c r="AA340" s="680" t="n">
        <v>0</v>
      </c>
      <c r="AB340" s="680" t="n">
        <v>5042037</v>
      </c>
      <c r="AC340" s="680" t="n">
        <v>0</v>
      </c>
      <c r="AD340" s="680" t="n">
        <v>4365400</v>
      </c>
      <c r="AE340" s="680">
        <f>AB340</f>
        <v/>
      </c>
      <c r="AF340" s="684" t="inlineStr">
        <is>
          <t>ENGAGE</t>
        </is>
      </c>
      <c r="AG340" s="683" t="n"/>
      <c r="AH340" s="680" t="n"/>
      <c r="AI340" s="680" t="n"/>
      <c r="AJ340" s="680" t="n"/>
      <c r="AK340" s="680" t="n"/>
      <c r="AL340" s="685" t="n"/>
      <c r="AM340" s="685" t="n"/>
      <c r="AN340" s="683" t="inlineStr">
        <is>
          <t>RAS</t>
        </is>
      </c>
    </row>
    <row r="341" ht="50.55" customHeight="1" s="392">
      <c r="A341" s="672">
        <f>IF(AF341="ENGAGE","✔",IF(AF341="EN COURS D'ENGAGEMENT","◕",IF(AF341="PREENGAGE","◑",IF(AF341="EN COURS DE PREENGAGEMENT","◔",IF(AF341="NON ENGAGE","✖","")))))</f>
        <v/>
      </c>
      <c r="B341" s="673" t="n">
        <v>2026</v>
      </c>
      <c r="C341" s="674" t="inlineStr">
        <is>
          <t>DPMG</t>
        </is>
      </c>
      <c r="D341" s="674" t="inlineStr">
        <is>
          <t>05 AOM/SNRT</t>
        </is>
      </c>
      <c r="E341" s="675" t="inlineStr">
        <is>
          <t>AOO-M</t>
        </is>
      </c>
      <c r="F341" s="675" t="n">
        <v>1</v>
      </c>
      <c r="G341" s="676" t="inlineStr">
        <is>
          <t>La location en longue durée de véhicule neufs sans option d’achat ainsi que les prestations qui lui sont accessoires et complémentaires pour la SNRT</t>
        </is>
      </c>
      <c r="H341" s="673" t="inlineStr">
        <is>
          <t>VALIDE</t>
        </is>
      </c>
      <c r="I341" s="675" t="inlineStr">
        <is>
          <t>APPROUVE</t>
        </is>
      </c>
      <c r="J341" s="675" t="inlineStr">
        <is>
          <t>11M/2026</t>
        </is>
      </c>
      <c r="K341" s="673" t="inlineStr">
        <is>
          <t>GENERAL</t>
        </is>
      </c>
      <c r="L341" s="675" t="inlineStr">
        <is>
          <t>Ordinaire</t>
        </is>
      </c>
      <c r="M341" s="677" t="inlineStr">
        <is>
          <t>FONCTIONNEMENT</t>
        </is>
      </c>
      <c r="N341" s="678" t="inlineStr">
        <is>
          <t>Location
Location matériel transport</t>
        </is>
      </c>
      <c r="O341" s="679">
        <f>P341*1.2</f>
        <v/>
      </c>
      <c r="P341" s="680" t="n">
        <v>6811236</v>
      </c>
      <c r="Q341" s="680">
        <f>P341/1.2</f>
        <v/>
      </c>
      <c r="R341" s="675" t="inlineStr">
        <is>
          <t>BESOIN RECURRENT</t>
        </is>
      </c>
      <c r="S341" s="681" t="n"/>
      <c r="T341" s="682" t="n"/>
      <c r="U341" s="683" t="inlineStr">
        <is>
          <t>MARLOC</t>
        </is>
      </c>
      <c r="V341" s="675" t="n">
        <v>2026</v>
      </c>
      <c r="W341" s="682" t="n">
        <v>46056</v>
      </c>
      <c r="X341" s="682" t="n">
        <v>46071</v>
      </c>
      <c r="Y341" s="682" t="n">
        <v>46136</v>
      </c>
      <c r="Z341" s="679" t="n">
        <v>4680562.9</v>
      </c>
      <c r="AA341" s="680" t="n">
        <v>0</v>
      </c>
      <c r="AB341" s="680" t="n">
        <v>5616675.48</v>
      </c>
      <c r="AC341" s="680" t="n">
        <v>0</v>
      </c>
      <c r="AD341" s="680">
        <f>Z341</f>
        <v/>
      </c>
      <c r="AE341" s="680">
        <f>AB341</f>
        <v/>
      </c>
      <c r="AF341" s="684" t="inlineStr">
        <is>
          <t>ENGAGE</t>
        </is>
      </c>
      <c r="AG341" s="683" t="n"/>
      <c r="AH341" s="680" t="n"/>
      <c r="AI341" s="680" t="n"/>
      <c r="AJ341" s="680" t="n"/>
      <c r="AK341" s="680" t="n"/>
      <c r="AL341" s="685" t="n"/>
      <c r="AM341" s="685" t="n"/>
      <c r="AN341" s="683" t="inlineStr">
        <is>
          <t>MT de pré engagement correspond au prorata de 06 mois et 20 jours + Location</t>
        </is>
      </c>
    </row>
    <row r="342" ht="35.7" customHeight="1" s="392">
      <c r="A342" s="672">
        <f>IF(AF342="ENGAGE","✔",IF(AF342="EN COURS D'ENGAGEMENT","◕",IF(AF342="PREENGAGE","◑",IF(AF342="EN COURS DE PREENGAGEMENT","◔",IF(AF342="NON ENGAGE","✖","")))))</f>
        <v/>
      </c>
      <c r="B342" s="673" t="n">
        <v>2025</v>
      </c>
      <c r="C342" s="674" t="inlineStr">
        <is>
          <t>DPMG</t>
        </is>
      </c>
      <c r="D342" s="674" t="inlineStr">
        <is>
          <t>Consultation N° 30CT/SNRT</t>
        </is>
      </c>
      <c r="E342" s="675" t="inlineStr">
        <is>
          <t>CONTRAT</t>
        </is>
      </c>
      <c r="F342" s="675" t="n">
        <v>1</v>
      </c>
      <c r="G342" s="676" t="inlineStr">
        <is>
          <t>Organisation de l’opération FTOUR et SHOUR au profit du personnel de la SNRT durant le mois sacré Ramadan 1447/2026</t>
        </is>
      </c>
      <c r="H342" s="673" t="inlineStr">
        <is>
          <t>VALIDE</t>
        </is>
      </c>
      <c r="I342" s="675" t="inlineStr">
        <is>
          <t>APPROUVE</t>
        </is>
      </c>
      <c r="J342" s="675" t="inlineStr">
        <is>
          <t>197 CT/SNRT/2026</t>
        </is>
      </c>
      <c r="K342" s="673" t="inlineStr">
        <is>
          <t>NON CONCERNE</t>
        </is>
      </c>
      <c r="L342" s="675" t="inlineStr">
        <is>
          <t>Ordinaire</t>
        </is>
      </c>
      <c r="M342" s="677" t="inlineStr">
        <is>
          <t>FONCTIONNEMENT</t>
        </is>
      </c>
      <c r="N342" s="678" t="inlineStr">
        <is>
          <t>Déplacements, missions et réceptions</t>
        </is>
      </c>
      <c r="O342" s="679" t="n"/>
      <c r="P342" s="680" t="n"/>
      <c r="Q342" s="680" t="n"/>
      <c r="R342" s="675" t="inlineStr">
        <is>
          <t>BESOIN RECURRENT</t>
        </is>
      </c>
      <c r="S342" s="681" t="n"/>
      <c r="T342" s="682" t="n"/>
      <c r="U342" s="683" t="inlineStr">
        <is>
          <t>GO FRESH</t>
        </is>
      </c>
      <c r="V342" s="675" t="n">
        <v>2026</v>
      </c>
      <c r="W342" s="682" t="n">
        <v>46057</v>
      </c>
      <c r="X342" s="682" t="n"/>
      <c r="Y342" s="682" t="n">
        <v>46057</v>
      </c>
      <c r="Z342" s="679" t="n">
        <v>1163100</v>
      </c>
      <c r="AA342" s="680" t="n">
        <v>0</v>
      </c>
      <c r="AB342" s="680" t="n">
        <v>1290060</v>
      </c>
      <c r="AC342" s="680" t="n">
        <v>0</v>
      </c>
      <c r="AD342" s="680">
        <f>Z342</f>
        <v/>
      </c>
      <c r="AE342" s="680">
        <f>AB342</f>
        <v/>
      </c>
      <c r="AF342" s="684" t="inlineStr">
        <is>
          <t>ENGAGE</t>
        </is>
      </c>
      <c r="AG342" s="683" t="n"/>
      <c r="AH342" s="680" t="n"/>
      <c r="AI342" s="680" t="n"/>
      <c r="AJ342" s="680" t="n"/>
      <c r="AK342" s="680" t="n"/>
      <c r="AL342" s="685" t="n"/>
      <c r="AM342" s="685" t="n"/>
      <c r="AN342" s="683" t="inlineStr">
        <is>
          <t xml:space="preserve">Le MT engagé correspond au MAX </t>
        </is>
      </c>
    </row>
    <row r="343" ht="60" customHeight="1" s="392">
      <c r="A343" s="672">
        <f>IF(AF343="ENGAGE","✔",IF(AF343="EN COURS D'ENGAGEMENT","◕",IF(AF343="PREENGAGE","◑",IF(AF343="EN COURS DE PREENGAGEMENT","◔",IF(AF343="NON ENGAGE","✖","")))))</f>
        <v/>
      </c>
      <c r="B343" s="673" t="n">
        <v>2026</v>
      </c>
      <c r="C343" s="674" t="inlineStr">
        <is>
          <t>DCPA</t>
        </is>
      </c>
      <c r="D343" s="674" t="inlineStr">
        <is>
          <t>EXCLUSIVITÉ</t>
        </is>
      </c>
      <c r="E343" s="675" t="inlineStr">
        <is>
          <t>CONTRAT</t>
        </is>
      </c>
      <c r="F343" s="675" t="n">
        <v>1</v>
      </c>
      <c r="G343" s="676" t="inlineStr">
        <is>
          <t>Contrats de supervision technique et administrative ainsi que la coordination pour l’enregistrement de 30 capsules de la musique andalouse</t>
        </is>
      </c>
      <c r="H343" s="673" t="inlineStr">
        <is>
          <t>VALIDE</t>
        </is>
      </c>
      <c r="I343" s="675" t="inlineStr">
        <is>
          <t>APPROUVE</t>
        </is>
      </c>
      <c r="J343" s="675" t="inlineStr">
        <is>
          <t>192 CT/SNRT/2026</t>
        </is>
      </c>
      <c r="K343" s="673" t="inlineStr">
        <is>
          <t>NON CONCERNE</t>
        </is>
      </c>
      <c r="L343" s="675" t="inlineStr">
        <is>
          <t>Ordinaire</t>
        </is>
      </c>
      <c r="M343" s="677" t="inlineStr">
        <is>
          <t>FONCTIONNEMENT</t>
        </is>
      </c>
      <c r="N343" s="678" t="inlineStr">
        <is>
          <t xml:space="preserve">Achats de productions et de programmes
Achat des programmes en production interne </t>
        </is>
      </c>
      <c r="O343" s="679" t="n"/>
      <c r="P343" s="680" t="n"/>
      <c r="Q343" s="680" t="n"/>
      <c r="R343" s="675" t="inlineStr">
        <is>
          <t>BESOIN RECURRENT</t>
        </is>
      </c>
      <c r="S343" s="681" t="n"/>
      <c r="T343" s="682" t="n"/>
      <c r="U343" s="683" t="inlineStr">
        <is>
          <t>ALI ER-RBAHY</t>
        </is>
      </c>
      <c r="V343" s="675" t="n">
        <v>2026</v>
      </c>
      <c r="W343" s="682" t="n">
        <v>46064</v>
      </c>
      <c r="X343" s="682" t="n"/>
      <c r="Y343" s="682" t="n">
        <v>46066</v>
      </c>
      <c r="Z343" s="679" t="n">
        <v>60975.61</v>
      </c>
      <c r="AA343" s="680" t="n">
        <v>0</v>
      </c>
      <c r="AB343" s="680" t="n">
        <v>60975.61</v>
      </c>
      <c r="AC343" s="680" t="n">
        <v>0</v>
      </c>
      <c r="AD343" s="680">
        <f>+Z343</f>
        <v/>
      </c>
      <c r="AE343" s="680">
        <f>+Z343</f>
        <v/>
      </c>
      <c r="AF343" s="684" t="inlineStr">
        <is>
          <t>ENGAGE</t>
        </is>
      </c>
      <c r="AG343" s="683" t="n"/>
      <c r="AH343" s="680" t="n"/>
      <c r="AI343" s="680" t="n"/>
      <c r="AJ343" s="680" t="n"/>
      <c r="AK343" s="680" t="n"/>
      <c r="AL343" s="685" t="n"/>
      <c r="AM343" s="685" t="n"/>
      <c r="AN343" s="683" t="inlineStr">
        <is>
          <t>RAS</t>
        </is>
      </c>
    </row>
    <row r="344" ht="60" customHeight="1" s="392">
      <c r="A344" s="672">
        <f>IF(AF344="ENGAGE","✔",IF(AF344="EN COURS D'ENGAGEMENT","◕",IF(AF344="PREENGAGE","◑",IF(AF344="EN COURS DE PREENGAGEMENT","◔",IF(AF344="NON ENGAGE","✖","")))))</f>
        <v/>
      </c>
      <c r="B344" s="673" t="n">
        <v>2026</v>
      </c>
      <c r="C344" s="674" t="inlineStr">
        <is>
          <t>DCPA</t>
        </is>
      </c>
      <c r="D344" s="674" t="inlineStr">
        <is>
          <t>EXCLUSIVITÉ</t>
        </is>
      </c>
      <c r="E344" s="675" t="inlineStr">
        <is>
          <t>CONTRAT</t>
        </is>
      </c>
      <c r="F344" s="675" t="n">
        <v>1</v>
      </c>
      <c r="G344" s="676" t="inlineStr">
        <is>
          <t>Contrats de supervision technique et administrative ainsi que la coordination pour l’enregistrement de 30 capsules de la musique andalouse</t>
        </is>
      </c>
      <c r="H344" s="673" t="inlineStr">
        <is>
          <t>VALIDE</t>
        </is>
      </c>
      <c r="I344" s="675" t="inlineStr">
        <is>
          <t>APPROUVE</t>
        </is>
      </c>
      <c r="J344" s="675" t="inlineStr">
        <is>
          <t>193 CT/SNRT/2026</t>
        </is>
      </c>
      <c r="K344" s="673" t="inlineStr">
        <is>
          <t>NON CONCERNE</t>
        </is>
      </c>
      <c r="L344" s="675" t="inlineStr">
        <is>
          <t>Ordinaire</t>
        </is>
      </c>
      <c r="M344" s="677" t="inlineStr">
        <is>
          <t>FONCTIONNEMENT</t>
        </is>
      </c>
      <c r="N344" s="678" t="inlineStr">
        <is>
          <t xml:space="preserve">Achats de productions et de programmes
Achat des programmes en production interne </t>
        </is>
      </c>
      <c r="O344" s="679" t="n"/>
      <c r="P344" s="680" t="n"/>
      <c r="Q344" s="680" t="n"/>
      <c r="R344" s="675" t="inlineStr">
        <is>
          <t>BESOIN RECURRENT</t>
        </is>
      </c>
      <c r="S344" s="681" t="n"/>
      <c r="T344" s="682" t="n"/>
      <c r="U344" s="683" t="inlineStr">
        <is>
          <t>ABDESSALAM KHALOUFI</t>
        </is>
      </c>
      <c r="V344" s="675" t="n">
        <v>2026</v>
      </c>
      <c r="W344" s="682" t="n">
        <v>46064</v>
      </c>
      <c r="X344" s="682" t="n"/>
      <c r="Y344" s="682" t="n">
        <v>46066</v>
      </c>
      <c r="Z344" s="679" t="n">
        <v>60975.61</v>
      </c>
      <c r="AA344" s="680" t="n">
        <v>0</v>
      </c>
      <c r="AB344" s="680" t="n">
        <v>60975.61</v>
      </c>
      <c r="AC344" s="680" t="n">
        <v>0</v>
      </c>
      <c r="AD344" s="680">
        <f>+Z344</f>
        <v/>
      </c>
      <c r="AE344" s="680">
        <f>+Z344</f>
        <v/>
      </c>
      <c r="AF344" s="684" t="inlineStr">
        <is>
          <t>ENGAGE</t>
        </is>
      </c>
      <c r="AG344" s="683" t="n"/>
      <c r="AH344" s="680" t="n"/>
      <c r="AI344" s="680" t="n"/>
      <c r="AJ344" s="680" t="n"/>
      <c r="AK344" s="680" t="n"/>
      <c r="AL344" s="685" t="n"/>
      <c r="AM344" s="685" t="n"/>
      <c r="AN344" s="683" t="inlineStr">
        <is>
          <t>RAS</t>
        </is>
      </c>
    </row>
    <row r="345" ht="60" customHeight="1" s="392">
      <c r="A345" s="672">
        <f>IF(AF345="ENGAGE","✔",IF(AF345="EN COURS D'ENGAGEMENT","◕",IF(AF345="PREENGAGE","◑",IF(AF345="EN COURS DE PREENGAGEMENT","◔",IF(AF345="NON ENGAGE","✖","")))))</f>
        <v/>
      </c>
      <c r="B345" s="673" t="n">
        <v>2026</v>
      </c>
      <c r="C345" s="674" t="inlineStr">
        <is>
          <t>DCPA</t>
        </is>
      </c>
      <c r="D345" s="674" t="inlineStr">
        <is>
          <t>EXCLUSIVITÉ</t>
        </is>
      </c>
      <c r="E345" s="675" t="inlineStr">
        <is>
          <t>CONTRAT</t>
        </is>
      </c>
      <c r="F345" s="675" t="n">
        <v>1</v>
      </c>
      <c r="G345" s="676" t="inlineStr">
        <is>
          <t>Contrats de cessions des droits de captation enregistrement et exploitation de 30 capsules de la musique andalouse</t>
        </is>
      </c>
      <c r="H345" s="673" t="inlineStr">
        <is>
          <t>VALIDE</t>
        </is>
      </c>
      <c r="I345" s="675" t="inlineStr">
        <is>
          <t>APPROUVE</t>
        </is>
      </c>
      <c r="J345" s="675" t="inlineStr">
        <is>
          <t>195 CT/SNRT/2026</t>
        </is>
      </c>
      <c r="K345" s="673" t="inlineStr">
        <is>
          <t>NON CONCERNE</t>
        </is>
      </c>
      <c r="L345" s="675" t="inlineStr">
        <is>
          <t>Ordinaire</t>
        </is>
      </c>
      <c r="M345" s="677" t="inlineStr">
        <is>
          <t>FONCTIONNEMENT</t>
        </is>
      </c>
      <c r="N345" s="678" t="inlineStr">
        <is>
          <t xml:space="preserve">Achats de productions et de programmes
Achat des programmes en production interne </t>
        </is>
      </c>
      <c r="O345" s="679" t="n"/>
      <c r="P345" s="680" t="n"/>
      <c r="Q345" s="680" t="n"/>
      <c r="R345" s="675" t="inlineStr">
        <is>
          <t>BESOIN RECURRENT</t>
        </is>
      </c>
      <c r="S345" s="681" t="n"/>
      <c r="T345" s="682" t="n"/>
      <c r="U345" s="683" t="inlineStr">
        <is>
          <t>MOHAMED AMINE EL AKRAMI</t>
        </is>
      </c>
      <c r="V345" s="675" t="n">
        <v>2026</v>
      </c>
      <c r="W345" s="682" t="n">
        <v>46064</v>
      </c>
      <c r="X345" s="682" t="n"/>
      <c r="Y345" s="682" t="n">
        <v>46066</v>
      </c>
      <c r="Z345" s="679" t="n">
        <v>317073.17</v>
      </c>
      <c r="AA345" s="680" t="n">
        <v>0</v>
      </c>
      <c r="AB345" s="680">
        <f>317073.17</f>
        <v/>
      </c>
      <c r="AC345" s="680" t="n">
        <v>0</v>
      </c>
      <c r="AD345" s="680">
        <f>Z345</f>
        <v/>
      </c>
      <c r="AE345" s="680">
        <f>AB345</f>
        <v/>
      </c>
      <c r="AF345" s="684" t="inlineStr">
        <is>
          <t>ENGAGE</t>
        </is>
      </c>
      <c r="AG345" s="683" t="n"/>
      <c r="AH345" s="680" t="n"/>
      <c r="AI345" s="680" t="n"/>
      <c r="AJ345" s="680" t="n"/>
      <c r="AK345" s="680" t="n"/>
      <c r="AL345" s="685" t="n"/>
      <c r="AM345" s="685" t="n"/>
      <c r="AN345" s="683" t="inlineStr">
        <is>
          <t>RAS</t>
        </is>
      </c>
    </row>
    <row r="346" ht="60" customHeight="1" s="392">
      <c r="A346" s="672">
        <f>IF(AF346="ENGAGE","✔",IF(AF346="EN COURS D'ENGAGEMENT","◕",IF(AF346="PREENGAGE","◑",IF(AF346="EN COURS DE PREENGAGEMENT","◔",IF(AF346="NON ENGAGE","✖","")))))</f>
        <v/>
      </c>
      <c r="B346" s="673" t="n">
        <v>2026</v>
      </c>
      <c r="C346" s="674" t="inlineStr">
        <is>
          <t>DCPA</t>
        </is>
      </c>
      <c r="D346" s="674" t="inlineStr">
        <is>
          <t>EXCLUSIVITÉ</t>
        </is>
      </c>
      <c r="E346" s="675" t="inlineStr">
        <is>
          <t>CONTRAT</t>
        </is>
      </c>
      <c r="F346" s="675" t="n">
        <v>1</v>
      </c>
      <c r="G346" s="676" t="inlineStr">
        <is>
          <t>Contrats de cessions des droits de captation enregistrement et exploitation de 30 capsules de la musique andalouse</t>
        </is>
      </c>
      <c r="H346" s="673" t="inlineStr">
        <is>
          <t>VALIDE</t>
        </is>
      </c>
      <c r="I346" s="675" t="inlineStr">
        <is>
          <t>APPROUVE</t>
        </is>
      </c>
      <c r="J346" s="675" t="inlineStr">
        <is>
          <t>194 CT/SNRT/2026</t>
        </is>
      </c>
      <c r="K346" s="673" t="inlineStr">
        <is>
          <t>NON CONCERNE</t>
        </is>
      </c>
      <c r="L346" s="675" t="inlineStr">
        <is>
          <t>Ordinaire</t>
        </is>
      </c>
      <c r="M346" s="677" t="inlineStr">
        <is>
          <t>FONCTIONNEMENT</t>
        </is>
      </c>
      <c r="N346" s="678" t="inlineStr">
        <is>
          <t xml:space="preserve">Achats de productions et de programmes
Achat des programmes en production interne </t>
        </is>
      </c>
      <c r="O346" s="679" t="n"/>
      <c r="P346" s="680" t="n"/>
      <c r="Q346" s="680" t="n"/>
      <c r="R346" s="675" t="inlineStr">
        <is>
          <t>BESOIN RECURRENT</t>
        </is>
      </c>
      <c r="S346" s="681" t="n"/>
      <c r="T346" s="682" t="n"/>
      <c r="U346" s="683" t="inlineStr">
        <is>
          <t>DAOUD STITOU</t>
        </is>
      </c>
      <c r="V346" s="675" t="n">
        <v>2026</v>
      </c>
      <c r="W346" s="682" t="n">
        <v>46064</v>
      </c>
      <c r="X346" s="682" t="n"/>
      <c r="Y346" s="682" t="n">
        <v>46066</v>
      </c>
      <c r="Z346" s="679" t="n">
        <v>317073.17</v>
      </c>
      <c r="AA346" s="680" t="n">
        <v>0</v>
      </c>
      <c r="AB346" s="680">
        <f>317073.17</f>
        <v/>
      </c>
      <c r="AC346" s="680" t="n">
        <v>0</v>
      </c>
      <c r="AD346" s="680">
        <f>Z346</f>
        <v/>
      </c>
      <c r="AE346" s="680">
        <f>AB346</f>
        <v/>
      </c>
      <c r="AF346" s="684" t="inlineStr">
        <is>
          <t>ENGAGE</t>
        </is>
      </c>
      <c r="AG346" s="683" t="n"/>
      <c r="AH346" s="680" t="n"/>
      <c r="AI346" s="680" t="n"/>
      <c r="AJ346" s="680" t="n"/>
      <c r="AK346" s="680" t="n"/>
      <c r="AL346" s="685" t="n"/>
      <c r="AM346" s="685" t="n"/>
      <c r="AN346" s="683" t="inlineStr">
        <is>
          <t>RAS</t>
        </is>
      </c>
    </row>
    <row r="347" ht="60" customHeight="1" s="392">
      <c r="A347" s="672">
        <f>IF(AF347="ENGAGE","✔",IF(AF347="EN COURS D'ENGAGEMENT","◕",IF(AF347="PREENGAGE","◑",IF(AF347="EN COURS DE PREENGAGEMENT","◔",IF(AF347="NON ENGAGE","✖","")))))</f>
        <v/>
      </c>
      <c r="B347" s="673" t="n">
        <v>2026</v>
      </c>
      <c r="C347" s="674" t="inlineStr">
        <is>
          <t>DCPA</t>
        </is>
      </c>
      <c r="D347" s="674" t="inlineStr">
        <is>
          <t>EXCLUSIVITÉ</t>
        </is>
      </c>
      <c r="E347" s="675" t="inlineStr">
        <is>
          <t>CONTRAT</t>
        </is>
      </c>
      <c r="F347" s="675" t="n">
        <v>1</v>
      </c>
      <c r="G347" s="676" t="inlineStr">
        <is>
          <t>Contrats de cessions des droits de captation enregistrement et exploitation de 30 capsules de la musique andalouse</t>
        </is>
      </c>
      <c r="H347" s="673" t="inlineStr">
        <is>
          <t>VALIDE</t>
        </is>
      </c>
      <c r="I347" s="675" t="inlineStr">
        <is>
          <t>APPROUVE</t>
        </is>
      </c>
      <c r="J347" s="675" t="inlineStr">
        <is>
          <t>236 CT/SNRT/2026</t>
        </is>
      </c>
      <c r="K347" s="673" t="inlineStr">
        <is>
          <t>NON CONCERNE</t>
        </is>
      </c>
      <c r="L347" s="675" t="inlineStr">
        <is>
          <t>Ordinaire</t>
        </is>
      </c>
      <c r="M347" s="677" t="inlineStr">
        <is>
          <t>FONCTIONNEMENT</t>
        </is>
      </c>
      <c r="N347" s="678" t="inlineStr">
        <is>
          <t xml:space="preserve">Achats de productions et de programmes
Achat des programmes en production interne </t>
        </is>
      </c>
      <c r="O347" s="679" t="n"/>
      <c r="P347" s="680" t="n"/>
      <c r="Q347" s="680" t="n"/>
      <c r="R347" s="675" t="inlineStr">
        <is>
          <t>BESOIN RECURRENT</t>
        </is>
      </c>
      <c r="S347" s="681" t="n"/>
      <c r="T347" s="682" t="n"/>
      <c r="U347" s="683" t="inlineStr">
        <is>
          <t>ASSOCIATION AL YOUSSOUFIA LI TOURAT WA SAMAA WA TILAWA</t>
        </is>
      </c>
      <c r="V347" s="675" t="n">
        <v>2026</v>
      </c>
      <c r="W347" s="682" t="n">
        <v>46064</v>
      </c>
      <c r="X347" s="682" t="n"/>
      <c r="Y347" s="682" t="n">
        <v>46066</v>
      </c>
      <c r="Z347" s="679" t="n">
        <v>260000</v>
      </c>
      <c r="AA347" s="680" t="n">
        <v>0</v>
      </c>
      <c r="AB347" s="680" t="n">
        <v>260000</v>
      </c>
      <c r="AC347" s="680" t="n">
        <v>0</v>
      </c>
      <c r="AD347" s="680" t="n">
        <v>260000</v>
      </c>
      <c r="AE347" s="680">
        <f>AB347</f>
        <v/>
      </c>
      <c r="AF347" s="684" t="inlineStr">
        <is>
          <t>ENGAGE</t>
        </is>
      </c>
      <c r="AG347" s="683" t="n"/>
      <c r="AH347" s="680" t="n"/>
      <c r="AI347" s="680" t="n"/>
      <c r="AJ347" s="680" t="n"/>
      <c r="AK347" s="680" t="n"/>
      <c r="AL347" s="685" t="n"/>
      <c r="AM347" s="685" t="n"/>
      <c r="AN347" s="683" t="inlineStr">
        <is>
          <t>RAS</t>
        </is>
      </c>
    </row>
    <row r="348" ht="32" customHeight="1" s="392">
      <c r="A348" s="672">
        <f>IF(AF348="ENGAGE","✔",IF(AF348="EN COURS D'ENGAGEMENT","◕",IF(AF348="PREENGAGE","◑",IF(AF348="EN COURS DE PREENGAGEMENT","◔",IF(AF348="NON ENGAGE","✖","")))))</f>
        <v/>
      </c>
      <c r="B348" s="673" t="n">
        <v>2025</v>
      </c>
      <c r="C348" s="674" t="inlineStr">
        <is>
          <t>DPMG</t>
        </is>
      </c>
      <c r="D348" s="674" t="inlineStr">
        <is>
          <t>92 AOM/SNRT</t>
        </is>
      </c>
      <c r="E348" s="675" t="inlineStr">
        <is>
          <t>AOO-M</t>
        </is>
      </c>
      <c r="F348" s="675" t="n">
        <v>1</v>
      </c>
      <c r="G348" s="676" t="inlineStr">
        <is>
          <t>Acquisition de mobilier de bureau pour la SNRT</t>
        </is>
      </c>
      <c r="H348" s="673" t="inlineStr">
        <is>
          <t>VALIDE</t>
        </is>
      </c>
      <c r="I348" s="675" t="inlineStr">
        <is>
          <t>APPROUVE</t>
        </is>
      </c>
      <c r="J348" s="675" t="inlineStr">
        <is>
          <t>04M/2026</t>
        </is>
      </c>
      <c r="K348" s="673" t="inlineStr">
        <is>
          <t>GENERAL</t>
        </is>
      </c>
      <c r="L348" s="675" t="inlineStr">
        <is>
          <t>REPORT BUDGET ANNEE ANTERIEURE</t>
        </is>
      </c>
      <c r="M348" s="677" t="inlineStr">
        <is>
          <t>INVESTISSEMENT</t>
        </is>
      </c>
      <c r="N348" s="678" t="inlineStr">
        <is>
          <t>Mobilier de bureau</t>
        </is>
      </c>
      <c r="O348" s="679">
        <f>P348*1.2</f>
        <v/>
      </c>
      <c r="P348" s="680" t="n">
        <v>1310280</v>
      </c>
      <c r="Q348" s="680">
        <f>P348/1.2</f>
        <v/>
      </c>
      <c r="R348" s="675" t="inlineStr">
        <is>
          <t>NOUVEAU BESOIN</t>
        </is>
      </c>
      <c r="S348" s="681" t="n"/>
      <c r="T348" s="682" t="n"/>
      <c r="U348" s="683" t="inlineStr">
        <is>
          <t>STOKAD</t>
        </is>
      </c>
      <c r="V348" s="675" t="n">
        <v>2026</v>
      </c>
      <c r="W348" s="682" t="n">
        <v>46057</v>
      </c>
      <c r="X348" s="682" t="n"/>
      <c r="Y348" s="682" t="n">
        <v>46063</v>
      </c>
      <c r="Z348" s="679">
        <f>AB348/1.2</f>
        <v/>
      </c>
      <c r="AA348" s="680" t="n">
        <v>0</v>
      </c>
      <c r="AB348" s="680" t="n">
        <v>1569228</v>
      </c>
      <c r="AC348" s="680" t="n">
        <v>0</v>
      </c>
      <c r="AD348" s="680">
        <f>Z348</f>
        <v/>
      </c>
      <c r="AE348" s="680">
        <f>AB348</f>
        <v/>
      </c>
      <c r="AF348" s="684" t="inlineStr">
        <is>
          <t>ENGAGE</t>
        </is>
      </c>
      <c r="AG348" s="683" t="n"/>
      <c r="AH348" s="680" t="n"/>
      <c r="AI348" s="680" t="n"/>
      <c r="AJ348" s="680" t="n"/>
      <c r="AK348" s="680" t="n"/>
      <c r="AL348" s="685" t="n"/>
      <c r="AM348" s="685" t="n"/>
      <c r="AN348" s="683" t="inlineStr">
        <is>
          <t>RAS</t>
        </is>
      </c>
    </row>
    <row r="349" ht="35.7" customHeight="1" s="392">
      <c r="A349" s="672">
        <f>IF(AF349="ENGAGE","✔",IF(AF349="EN COURS D'ENGAGEMENT","◕",IF(AF349="PREENGAGE","◑",IF(AF349="EN COURS DE PREENGAGEMENT","◔",IF(AF349="NON ENGAGE","✖","")))))</f>
        <v/>
      </c>
      <c r="B349" s="673" t="n">
        <v>2026</v>
      </c>
      <c r="C349" s="674" t="inlineStr">
        <is>
          <t>ARRIYADIA</t>
        </is>
      </c>
      <c r="D349" s="674" t="inlineStr">
        <is>
          <t>EXCLUSIVITÉ</t>
        </is>
      </c>
      <c r="E349" s="675" t="inlineStr">
        <is>
          <t>CONTRAT</t>
        </is>
      </c>
      <c r="F349" s="675" t="n">
        <v>1</v>
      </c>
      <c r="G349" s="676" t="inlineStr">
        <is>
          <t>CESSION AU PROFIT DE LA SNRT, LES DROITS DE LA COUVERTURE Télévisée de la compétition Sahraouiya</t>
        </is>
      </c>
      <c r="H349" s="673" t="inlineStr">
        <is>
          <t>VALIDE</t>
        </is>
      </c>
      <c r="I349" s="675" t="inlineStr">
        <is>
          <t>APPROUVE</t>
        </is>
      </c>
      <c r="J349" s="675" t="inlineStr">
        <is>
          <t>237 CT/SNRT/2026</t>
        </is>
      </c>
      <c r="K349" s="673" t="inlineStr">
        <is>
          <t>NON CONCERNE</t>
        </is>
      </c>
      <c r="L349" s="675" t="inlineStr">
        <is>
          <t>Ordinaire</t>
        </is>
      </c>
      <c r="M349" s="677" t="inlineStr">
        <is>
          <t>FONCTIONNEMENT</t>
        </is>
      </c>
      <c r="N349" s="678" t="inlineStr">
        <is>
          <t>Achats de droits
Achats de droit de sport</t>
        </is>
      </c>
      <c r="O349" s="679" t="n"/>
      <c r="P349" s="680" t="n"/>
      <c r="Q349" s="680" t="n"/>
      <c r="R349" s="675" t="inlineStr">
        <is>
          <t>RECONDUCTION</t>
        </is>
      </c>
      <c r="S349" s="681" t="n"/>
      <c r="T349" s="682" t="n"/>
      <c r="U349" s="683" t="inlineStr">
        <is>
          <t>OL DAKHLA</t>
        </is>
      </c>
      <c r="V349" s="675" t="n">
        <v>2026</v>
      </c>
      <c r="W349" s="682" t="n">
        <v>46051</v>
      </c>
      <c r="X349" s="682" t="n"/>
      <c r="Y349" s="682" t="n">
        <v>46052</v>
      </c>
      <c r="Z349" s="679" t="n">
        <v>150000</v>
      </c>
      <c r="AA349" s="680" t="n">
        <v>0</v>
      </c>
      <c r="AB349" s="680" t="n">
        <v>150000</v>
      </c>
      <c r="AC349" s="680" t="n">
        <v>0</v>
      </c>
      <c r="AD349" s="680">
        <f>AB349</f>
        <v/>
      </c>
      <c r="AE349" s="680">
        <f>AB349</f>
        <v/>
      </c>
      <c r="AF349" s="684" t="inlineStr">
        <is>
          <t>ENGAGE</t>
        </is>
      </c>
      <c r="AG349" s="683" t="n"/>
      <c r="AH349" s="680" t="n"/>
      <c r="AI349" s="680" t="n"/>
      <c r="AJ349" s="680" t="n"/>
      <c r="AK349" s="680" t="n"/>
      <c r="AL349" s="685" t="n"/>
      <c r="AM349" s="685" t="n"/>
      <c r="AN349" s="683" t="inlineStr">
        <is>
          <t>RAS</t>
        </is>
      </c>
    </row>
    <row r="350" ht="50.55" customHeight="1" s="392">
      <c r="A350" s="672">
        <f>IF(AF350="ENGAGE","✔",IF(AF350="EN COURS D'ENGAGEMENT","◕",IF(AF350="PREENGAGE","◑",IF(AF350="EN COURS DE PREENGAGEMENT","◔",IF(AF350="NON ENGAGE","✖","")))))</f>
        <v/>
      </c>
      <c r="B350" s="673" t="n">
        <v>2026</v>
      </c>
      <c r="C350" s="674" t="inlineStr">
        <is>
          <t>DMPTV</t>
        </is>
      </c>
      <c r="D350" s="674" t="inlineStr">
        <is>
          <t>01CT/SNRT/2026</t>
        </is>
      </c>
      <c r="E350" s="675" t="inlineStr">
        <is>
          <t>CONTRAT</t>
        </is>
      </c>
      <c r="F350" s="675" t="n">
        <v>1</v>
      </c>
      <c r="G350" s="676" t="inlineStr">
        <is>
          <t>Achat d’espaces Publicitaires sur les réseaux sociaux Meta, Google et Tiktok pour la promotion des programmes du Ramadan 2026</t>
        </is>
      </c>
      <c r="H350" s="673" t="inlineStr">
        <is>
          <t>VALIDE</t>
        </is>
      </c>
      <c r="I350" s="675" t="inlineStr">
        <is>
          <t>APPROUVE</t>
        </is>
      </c>
      <c r="J350" s="675" t="inlineStr">
        <is>
          <t>235 CT/SNRT/2026</t>
        </is>
      </c>
      <c r="K350" s="673" t="inlineStr">
        <is>
          <t>NON CONCERNE</t>
        </is>
      </c>
      <c r="L350" s="675" t="inlineStr">
        <is>
          <t>Ordinaire</t>
        </is>
      </c>
      <c r="M350" s="677" t="inlineStr">
        <is>
          <t>FONCTIONNEMENT</t>
        </is>
      </c>
      <c r="N350" s="678" t="inlineStr">
        <is>
          <t>Charges marketing et relations publiques</t>
        </is>
      </c>
      <c r="O350" s="679" t="n"/>
      <c r="P350" s="680" t="n"/>
      <c r="Q350" s="680" t="n"/>
      <c r="R350" s="675" t="inlineStr">
        <is>
          <t>BESOIN RECURRENT</t>
        </is>
      </c>
      <c r="S350" s="681" t="n"/>
      <c r="T350" s="682" t="n"/>
      <c r="U350" s="683" t="inlineStr">
        <is>
          <t>BIG IDEAS</t>
        </is>
      </c>
      <c r="V350" s="675" t="n">
        <v>2026</v>
      </c>
      <c r="W350" s="682" t="n">
        <v>46062</v>
      </c>
      <c r="X350" s="682" t="n"/>
      <c r="Y350" s="682" t="n">
        <v>46066</v>
      </c>
      <c r="Z350" s="679" t="n">
        <v>535000</v>
      </c>
      <c r="AA350" s="680" t="n">
        <v>0</v>
      </c>
      <c r="AB350" s="680" t="n">
        <v>642000</v>
      </c>
      <c r="AC350" s="680" t="n">
        <v>0</v>
      </c>
      <c r="AD350" s="680" t="n">
        <v>535000</v>
      </c>
      <c r="AE350" s="680" t="n">
        <v>642000</v>
      </c>
      <c r="AF350" s="684" t="inlineStr">
        <is>
          <t>ENGAGE</t>
        </is>
      </c>
      <c r="AG350" s="683" t="n"/>
      <c r="AH350" s="680" t="n"/>
      <c r="AI350" s="680" t="n"/>
      <c r="AJ350" s="680" t="n"/>
      <c r="AK350" s="680" t="n"/>
      <c r="AL350" s="685" t="n"/>
      <c r="AM350" s="685" t="n"/>
      <c r="AN350" s="683" t="inlineStr">
        <is>
          <t>RAS</t>
        </is>
      </c>
    </row>
    <row r="351" ht="35.7" customHeight="1" s="392">
      <c r="A351" s="672">
        <f>IF(AF351="ENGAGE","✔",IF(AF351="EN COURS D'ENGAGEMENT","◕",IF(AF351="PREENGAGE","◑",IF(AF351="EN COURS DE PREENGAGEMENT","◔",IF(AF351="NON ENGAGE","✖","")))))</f>
        <v/>
      </c>
      <c r="B351" s="673" t="n">
        <v>2026</v>
      </c>
      <c r="C351" s="674" t="inlineStr">
        <is>
          <t>TDF -SITES</t>
        </is>
      </c>
      <c r="D351" s="674" t="inlineStr">
        <is>
          <t>14 AOM/SNRT</t>
        </is>
      </c>
      <c r="E351" s="675" t="inlineStr">
        <is>
          <t>AOO-M</t>
        </is>
      </c>
      <c r="F351" s="675" t="n">
        <v>1</v>
      </c>
      <c r="G351" s="676" t="inlineStr">
        <is>
          <t>Fourniture, installation et mise en service de Blocs UpConverters</t>
        </is>
      </c>
      <c r="H351" s="673" t="inlineStr">
        <is>
          <t>VALIDE</t>
        </is>
      </c>
      <c r="I351" s="675" t="inlineStr">
        <is>
          <t>APPROUVE</t>
        </is>
      </c>
      <c r="J351" s="693" t="n"/>
      <c r="K351" s="673" t="inlineStr">
        <is>
          <t>GENERAL</t>
        </is>
      </c>
      <c r="L351" s="675" t="inlineStr">
        <is>
          <t>REPORT BUDGET ANNEE ANTERIEURE</t>
        </is>
      </c>
      <c r="M351" s="677" t="inlineStr">
        <is>
          <t>INVESTISSEMENT</t>
        </is>
      </c>
      <c r="N351" s="678" t="inlineStr">
        <is>
          <t>Équipements de télédiffusion</t>
        </is>
      </c>
      <c r="O351" s="679">
        <f>P351*1.2</f>
        <v/>
      </c>
      <c r="P351" s="680" t="n">
        <v>979200</v>
      </c>
      <c r="Q351" s="680">
        <f>P351/1.2</f>
        <v/>
      </c>
      <c r="R351" s="675" t="inlineStr">
        <is>
          <t>NOUVEAU BESOIN</t>
        </is>
      </c>
      <c r="S351" s="681" t="n"/>
      <c r="T351" s="682" t="n"/>
      <c r="U351" s="683" t="inlineStr">
        <is>
          <t>INTRATEL</t>
        </is>
      </c>
      <c r="V351" s="675" t="n"/>
      <c r="W351" s="682" t="n">
        <v>46064</v>
      </c>
      <c r="X351" s="682" t="n">
        <v>46084</v>
      </c>
      <c r="Y351" s="682" t="n">
        <v>46213</v>
      </c>
      <c r="Z351" s="679">
        <f>AD351</f>
        <v/>
      </c>
      <c r="AA351" s="680" t="n">
        <v>0</v>
      </c>
      <c r="AB351" s="680">
        <f>AE351</f>
        <v/>
      </c>
      <c r="AC351" s="680" t="n">
        <v>0</v>
      </c>
      <c r="AD351" s="680">
        <f>AE351/1.2</f>
        <v/>
      </c>
      <c r="AE351" s="680" t="n">
        <v>978972</v>
      </c>
      <c r="AF351" s="684" t="inlineStr">
        <is>
          <t>ENGAGE</t>
        </is>
      </c>
      <c r="AG351" s="683" t="n"/>
      <c r="AH351" s="680" t="n"/>
      <c r="AI351" s="680" t="n"/>
      <c r="AJ351" s="680" t="n"/>
      <c r="AK351" s="680" t="n"/>
      <c r="AL351" s="685" t="n"/>
      <c r="AM351" s="685" t="n"/>
      <c r="AN351" s="683" t="inlineStr">
        <is>
          <t>RAS</t>
        </is>
      </c>
    </row>
    <row r="352" ht="50.55" customHeight="1" s="392">
      <c r="A352" s="672">
        <f>IF(AF352="ENGAGE","✔",IF(AF352="EN COURS D'ENGAGEMENT","◕",IF(AF352="PREENGAGE","◑",IF(AF352="EN COURS DE PREENGAGEMENT","◔",IF(AF352="NON ENGAGE","✖","")))))</f>
        <v/>
      </c>
      <c r="B352" s="673" t="n">
        <v>2026</v>
      </c>
      <c r="C352" s="674" t="inlineStr">
        <is>
          <t>TDF -SITES</t>
        </is>
      </c>
      <c r="D352" s="674" t="inlineStr">
        <is>
          <t>07 AOM/SNRT</t>
        </is>
      </c>
      <c r="E352" s="675" t="inlineStr">
        <is>
          <t>AOO-M</t>
        </is>
      </c>
      <c r="F352" s="675" t="n">
        <v>1</v>
      </c>
      <c r="G352" s="676" t="inlineStr">
        <is>
          <t>Fourniture, installation et mise en service des onduleurs 2 x 150 KVA type modulaires et d’un systéme de climatisation au centre de ZAER</t>
        </is>
      </c>
      <c r="H352" s="673" t="inlineStr">
        <is>
          <t>VALIDE</t>
        </is>
      </c>
      <c r="I352" s="675" t="inlineStr">
        <is>
          <t>ATTRIBUE</t>
        </is>
      </c>
      <c r="J352" s="693" t="n"/>
      <c r="K352" s="673" t="inlineStr">
        <is>
          <t>PME</t>
        </is>
      </c>
      <c r="L352" s="675" t="inlineStr">
        <is>
          <t>REPORT BUDGET ANNEE ANTERIEURE</t>
        </is>
      </c>
      <c r="M352" s="677" t="inlineStr">
        <is>
          <t>INVESTISSEMENT</t>
        </is>
      </c>
      <c r="N352" s="678" t="inlineStr">
        <is>
          <t>Équipements de télédiffusion</t>
        </is>
      </c>
      <c r="O352" s="679">
        <f>P352*1.2</f>
        <v/>
      </c>
      <c r="P352" s="680" t="n">
        <v>3201000</v>
      </c>
      <c r="Q352" s="680">
        <f>P352/1.2</f>
        <v/>
      </c>
      <c r="R352" s="675" t="inlineStr">
        <is>
          <t>NOUVEAU BESOIN</t>
        </is>
      </c>
      <c r="S352" s="681" t="n"/>
      <c r="T352" s="682" t="n"/>
      <c r="U352" s="683" t="inlineStr">
        <is>
          <t>ELEXPERT</t>
        </is>
      </c>
      <c r="V352" s="675" t="n"/>
      <c r="W352" s="682" t="n">
        <v>46064</v>
      </c>
      <c r="X352" s="682" t="n">
        <v>46077</v>
      </c>
      <c r="Y352" s="682" t="n">
        <v>46188</v>
      </c>
      <c r="Z352" s="679">
        <f>AD352</f>
        <v/>
      </c>
      <c r="AA352" s="680" t="n">
        <v>0</v>
      </c>
      <c r="AB352" s="680">
        <f>AE352</f>
        <v/>
      </c>
      <c r="AC352" s="680" t="n">
        <v>0</v>
      </c>
      <c r="AD352" s="680">
        <f>AE352/1.2</f>
        <v/>
      </c>
      <c r="AE352" s="680" t="n">
        <v>2801865.6</v>
      </c>
      <c r="AF352" s="684" t="inlineStr">
        <is>
          <t>ENGAGE</t>
        </is>
      </c>
      <c r="AG352" s="683" t="n"/>
      <c r="AH352" s="680" t="n"/>
      <c r="AI352" s="680" t="n"/>
      <c r="AJ352" s="680" t="n"/>
      <c r="AK352" s="680" t="n"/>
      <c r="AL352" s="685" t="n"/>
      <c r="AM352" s="685" t="n"/>
      <c r="AN352" s="683" t="inlineStr">
        <is>
          <t>RAS</t>
        </is>
      </c>
    </row>
    <row r="353" ht="65.40000000000001" customHeight="1" s="392">
      <c r="A353" s="672">
        <f>IF(AF353="ENGAGE","✔",IF(AF353="EN COURS D'ENGAGEMENT","◕",IF(AF353="PREENGAGE","◑",IF(AF353="EN COURS DE PREENGAGEMENT","◔",IF(AF353="NON ENGAGE","✖","")))))</f>
        <v/>
      </c>
      <c r="B353" s="673" t="n">
        <v>2026</v>
      </c>
      <c r="C353" s="674" t="inlineStr">
        <is>
          <t>TDF -SITES</t>
        </is>
      </c>
      <c r="D353" s="674" t="inlineStr">
        <is>
          <t>08 AOM/SNRT</t>
        </is>
      </c>
      <c r="E353" s="675" t="inlineStr">
        <is>
          <t>AOO-M</t>
        </is>
      </c>
      <c r="F353" s="675" t="n">
        <v>1</v>
      </c>
      <c r="G353" s="676" t="inlineStr">
        <is>
          <t>Fourniture d’un nouveau groupe électrogène pour le centre de PALOMAS de puissance 200 KW/PRP, ainsi que la mise à niveau et transfert de quelques groupes électrogène entre quelques centres SNRT</t>
        </is>
      </c>
      <c r="H353" s="673" t="inlineStr">
        <is>
          <t>INFRUCTUEUX</t>
        </is>
      </c>
      <c r="I353" s="675" t="inlineStr">
        <is>
          <t>INFRUCTUEUX</t>
        </is>
      </c>
      <c r="J353" s="675" t="n"/>
      <c r="K353" s="673" t="inlineStr">
        <is>
          <t>PME</t>
        </is>
      </c>
      <c r="L353" s="675" t="inlineStr">
        <is>
          <t>REPORT BUDGET ANNEE ANTERIEURE</t>
        </is>
      </c>
      <c r="M353" s="677" t="inlineStr">
        <is>
          <t>INVESTISSEMENT</t>
        </is>
      </c>
      <c r="N353" s="678" t="inlineStr">
        <is>
          <t>Équipements de télédiffusion</t>
        </is>
      </c>
      <c r="O353" s="679">
        <f>P353*1.2</f>
        <v/>
      </c>
      <c r="P353" s="680" t="n">
        <v>1200000</v>
      </c>
      <c r="Q353" s="680">
        <f>P353/1.2</f>
        <v/>
      </c>
      <c r="R353" s="675" t="inlineStr">
        <is>
          <t>NOUVEAU BESOIN</t>
        </is>
      </c>
      <c r="S353" s="681" t="n"/>
      <c r="T353" s="682" t="n"/>
      <c r="U353" s="683" t="n"/>
      <c r="V353" s="675" t="n"/>
      <c r="W353" s="682" t="n">
        <v>46064</v>
      </c>
      <c r="X353" s="682" t="n">
        <v>46077</v>
      </c>
      <c r="Y353" s="682" t="n"/>
      <c r="Z353" s="679" t="n">
        <v>0</v>
      </c>
      <c r="AA353" s="680" t="n">
        <v>0</v>
      </c>
      <c r="AB353" s="680" t="n">
        <v>0</v>
      </c>
      <c r="AC353" s="680" t="n">
        <v>0</v>
      </c>
      <c r="AD353" s="680" t="n">
        <v>0</v>
      </c>
      <c r="AE353" s="680" t="n">
        <v>0</v>
      </c>
      <c r="AF353" s="684" t="inlineStr">
        <is>
          <t>NON ENGAGE</t>
        </is>
      </c>
      <c r="AG353" s="683" t="n"/>
      <c r="AH353" s="680" t="n"/>
      <c r="AI353" s="680" t="n"/>
      <c r="AJ353" s="680" t="n"/>
      <c r="AK353" s="680" t="n"/>
      <c r="AL353" s="685" t="n"/>
      <c r="AM353" s="685" t="n"/>
      <c r="AN353" s="683" t="inlineStr">
        <is>
          <t>RAS</t>
        </is>
      </c>
    </row>
    <row r="354" ht="50.55" customHeight="1" s="392">
      <c r="A354" s="672">
        <f>IF(AF354="ENGAGE","✔",IF(AF354="EN COURS D'ENGAGEMENT","◕",IF(AF354="PREENGAGE","◑",IF(AF354="EN COURS DE PREENGAGEMENT","◔",IF(AF354="NON ENGAGE","✖","")))))</f>
        <v/>
      </c>
      <c r="B354" s="673" t="n">
        <v>2025</v>
      </c>
      <c r="C354" s="674" t="inlineStr">
        <is>
          <t>DTSI</t>
        </is>
      </c>
      <c r="D354" s="674" t="inlineStr">
        <is>
          <t>104 AOM/SNRT</t>
        </is>
      </c>
      <c r="E354" s="675" t="inlineStr">
        <is>
          <t>AOO-M</t>
        </is>
      </c>
      <c r="F354" s="675" t="n">
        <v>1</v>
      </c>
      <c r="G354" s="676" t="inlineStr">
        <is>
          <t>Fourniture et mise en service d’équipements de captation vidéo et de prise de son destinés aux besoins de production des chaînes de la SNRT</t>
        </is>
      </c>
      <c r="H354" s="673" t="inlineStr">
        <is>
          <t>VALIDE</t>
        </is>
      </c>
      <c r="I354" s="675" t="inlineStr">
        <is>
          <t>APPROUVE</t>
        </is>
      </c>
      <c r="J354" s="675" t="inlineStr">
        <is>
          <t>05 M/2026</t>
        </is>
      </c>
      <c r="K354" s="673" t="inlineStr">
        <is>
          <t>GENERAL</t>
        </is>
      </c>
      <c r="L354" s="675" t="inlineStr">
        <is>
          <t>REPORT BUDGET EXCEP  ANNEE ANTERIEURE</t>
        </is>
      </c>
      <c r="M354" s="677" t="inlineStr">
        <is>
          <t>INVESTISSEMENT</t>
        </is>
      </c>
      <c r="N354" s="678" t="inlineStr">
        <is>
          <t>Équipements techniques</t>
        </is>
      </c>
      <c r="O354" s="679">
        <f>P354*1.2</f>
        <v/>
      </c>
      <c r="P354" s="680" t="n">
        <v>2249508</v>
      </c>
      <c r="Q354" s="680">
        <f>P354/1.2</f>
        <v/>
      </c>
      <c r="R354" s="675" t="inlineStr">
        <is>
          <t>NOUVEAU BESOIN</t>
        </is>
      </c>
      <c r="S354" s="681" t="n"/>
      <c r="T354" s="682" t="n"/>
      <c r="U354" s="683" t="inlineStr">
        <is>
          <t>NYA AUDIO VIDEO</t>
        </is>
      </c>
      <c r="V354" s="675" t="n">
        <v>2026</v>
      </c>
      <c r="W354" s="682" t="n">
        <v>46065</v>
      </c>
      <c r="X354" s="682" t="n"/>
      <c r="Y354" s="682" t="n">
        <v>46066</v>
      </c>
      <c r="Z354" s="679">
        <f>AB354/1.2</f>
        <v/>
      </c>
      <c r="AA354" s="680" t="n">
        <v>0</v>
      </c>
      <c r="AB354" s="680" t="n">
        <v>2688636</v>
      </c>
      <c r="AC354" s="680" t="n">
        <v>0</v>
      </c>
      <c r="AD354" s="680">
        <f>Z354</f>
        <v/>
      </c>
      <c r="AE354" s="680">
        <f>AB354</f>
        <v/>
      </c>
      <c r="AF354" s="684" t="inlineStr">
        <is>
          <t>ENGAGE</t>
        </is>
      </c>
      <c r="AG354" s="683" t="n"/>
      <c r="AH354" s="680" t="n"/>
      <c r="AI354" s="680" t="n"/>
      <c r="AJ354" s="680" t="n"/>
      <c r="AK354" s="680" t="n"/>
      <c r="AL354" s="685" t="n"/>
      <c r="AM354" s="685" t="n"/>
      <c r="AN354" s="683" t="inlineStr">
        <is>
          <t>RAS</t>
        </is>
      </c>
    </row>
    <row r="355" ht="32" customHeight="1" s="392">
      <c r="A355" s="672">
        <f>IF(AF355="ENGAGE","✔",IF(AF355="EN COURS D'ENGAGEMENT","◕",IF(AF355="PREENGAGE","◑",IF(AF355="EN COURS DE PREENGAGEMENT","◔",IF(AF355="NON ENGAGE","✖","")))))</f>
        <v/>
      </c>
      <c r="B355" s="673" t="inlineStr">
        <is>
          <t>-</t>
        </is>
      </c>
      <c r="C355" s="674" t="inlineStr">
        <is>
          <t>DRPSD</t>
        </is>
      </c>
      <c r="D355" s="674" t="inlineStr">
        <is>
          <t>RECONDUCTIBLE</t>
        </is>
      </c>
      <c r="E355" s="675" t="inlineStr">
        <is>
          <t>CONTRAT</t>
        </is>
      </c>
      <c r="F355" s="675" t="n">
        <v>1</v>
      </c>
      <c r="G355" s="676" t="inlineStr">
        <is>
          <t>COTISATIONS PART ANNONCEURS</t>
        </is>
      </c>
      <c r="H355" s="673" t="inlineStr">
        <is>
          <t>VALIDE</t>
        </is>
      </c>
      <c r="I355" s="675" t="inlineStr">
        <is>
          <t>APPROUVE</t>
        </is>
      </c>
      <c r="J355" s="675" t="n">
        <v>21000544</v>
      </c>
      <c r="K355" s="673" t="inlineStr">
        <is>
          <t>NON CONCERNE</t>
        </is>
      </c>
      <c r="L355" s="675" t="inlineStr">
        <is>
          <t>Ordinaire</t>
        </is>
      </c>
      <c r="M355" s="677" t="inlineStr">
        <is>
          <t>FONCTIONNEMENT</t>
        </is>
      </c>
      <c r="N355" s="678" t="inlineStr">
        <is>
          <t>Redevances et cotisations</t>
        </is>
      </c>
      <c r="O355" s="679" t="n"/>
      <c r="P355" s="680" t="n"/>
      <c r="Q355" s="680" t="n"/>
      <c r="R355" s="675" t="inlineStr">
        <is>
          <t>RECONDUCTIBLE</t>
        </is>
      </c>
      <c r="S355" s="681" t="n"/>
      <c r="T355" s="682" t="n"/>
      <c r="U355" s="683" t="inlineStr">
        <is>
          <t>CIRAD</t>
        </is>
      </c>
      <c r="V355" s="675" t="inlineStr">
        <is>
          <t>-</t>
        </is>
      </c>
      <c r="W355" s="682" t="n"/>
      <c r="X355" s="682" t="n"/>
      <c r="Y355" s="682" t="n"/>
      <c r="Z355" s="679">
        <f>AD355</f>
        <v/>
      </c>
      <c r="AA355" s="680" t="n">
        <v>0</v>
      </c>
      <c r="AB355" s="680">
        <f>AE355</f>
        <v/>
      </c>
      <c r="AC355" s="680" t="n">
        <v>0</v>
      </c>
      <c r="AD355" s="680">
        <f>AE355/1.2</f>
        <v/>
      </c>
      <c r="AE355" s="680" t="n">
        <v>1772000</v>
      </c>
      <c r="AF355" s="684" t="inlineStr">
        <is>
          <t>ENGAGE</t>
        </is>
      </c>
      <c r="AG355" s="683" t="n"/>
      <c r="AH355" s="680" t="n"/>
      <c r="AI355" s="680" t="n"/>
      <c r="AJ355" s="680" t="n"/>
      <c r="AK355" s="680" t="n"/>
      <c r="AL355" s="685" t="n"/>
      <c r="AM355" s="685" t="n"/>
      <c r="AN355" s="683" t="inlineStr">
        <is>
          <t>RAS</t>
        </is>
      </c>
    </row>
    <row r="356" ht="32" customHeight="1" s="392">
      <c r="A356" s="672">
        <f>IF(AF356="ENGAGE","✔",IF(AF356="EN COURS D'ENGAGEMENT","◕",IF(AF356="PREENGAGE","◑",IF(AF356="EN COURS DE PREENGAGEMENT","◔",IF(AF356="NON ENGAGE","✖","")))))</f>
        <v/>
      </c>
      <c r="B356" s="673" t="inlineStr">
        <is>
          <t>-</t>
        </is>
      </c>
      <c r="C356" s="674" t="inlineStr">
        <is>
          <t>DRPSD</t>
        </is>
      </c>
      <c r="D356" s="674" t="inlineStr">
        <is>
          <t>RECONDUCTIBLE</t>
        </is>
      </c>
      <c r="E356" s="675" t="inlineStr">
        <is>
          <t>CONTRAT</t>
        </is>
      </c>
      <c r="F356" s="675" t="n">
        <v>1</v>
      </c>
      <c r="G356" s="676" t="inlineStr">
        <is>
          <t>CONTRIBUTION AUX FRAIS DE LA MESURE D'AUDIENCE TV</t>
        </is>
      </c>
      <c r="H356" s="673" t="inlineStr">
        <is>
          <t>VALIDE</t>
        </is>
      </c>
      <c r="I356" s="675" t="inlineStr">
        <is>
          <t>APPROUVE</t>
        </is>
      </c>
      <c r="J356" s="675" t="n">
        <v>21000315</v>
      </c>
      <c r="K356" s="673" t="inlineStr">
        <is>
          <t>NON CONCERNE</t>
        </is>
      </c>
      <c r="L356" s="675" t="inlineStr">
        <is>
          <t>Ordinaire</t>
        </is>
      </c>
      <c r="M356" s="677" t="inlineStr">
        <is>
          <t>FONCTIONNEMENT</t>
        </is>
      </c>
      <c r="N356" s="678" t="inlineStr">
        <is>
          <t>Redevances et cotisations</t>
        </is>
      </c>
      <c r="O356" s="679" t="n"/>
      <c r="P356" s="680" t="n"/>
      <c r="Q356" s="680" t="n"/>
      <c r="R356" s="675" t="inlineStr">
        <is>
          <t>RECONDUCTIBLE</t>
        </is>
      </c>
      <c r="S356" s="681" t="n"/>
      <c r="T356" s="682" t="n"/>
      <c r="U356" s="683" t="inlineStr">
        <is>
          <t>CIAUMED</t>
        </is>
      </c>
      <c r="V356" s="675" t="inlineStr">
        <is>
          <t>-</t>
        </is>
      </c>
      <c r="W356" s="682" t="n"/>
      <c r="X356" s="682" t="n"/>
      <c r="Y356" s="682" t="n"/>
      <c r="Z356" s="679">
        <f>AD356</f>
        <v/>
      </c>
      <c r="AA356" s="680" t="n">
        <v>0</v>
      </c>
      <c r="AB356" s="680">
        <f>AE356</f>
        <v/>
      </c>
      <c r="AC356" s="680" t="n">
        <v>0</v>
      </c>
      <c r="AD356" s="680">
        <f>AE356/1.2</f>
        <v/>
      </c>
      <c r="AE356" s="680" t="n">
        <v>8892550</v>
      </c>
      <c r="AF356" s="684" t="inlineStr">
        <is>
          <t>ENGAGE</t>
        </is>
      </c>
      <c r="AG356" s="683" t="n"/>
      <c r="AH356" s="680" t="n"/>
      <c r="AI356" s="680" t="n"/>
      <c r="AJ356" s="680" t="n"/>
      <c r="AK356" s="680" t="n"/>
      <c r="AL356" s="685" t="n"/>
      <c r="AM356" s="685" t="n"/>
      <c r="AN356" s="683" t="inlineStr">
        <is>
          <t>RAS</t>
        </is>
      </c>
    </row>
    <row r="357" ht="46.5" customHeight="1" s="392">
      <c r="A357" s="672">
        <f>IF(AF357="ENGAGE","✔",IF(AF357="EN COURS D'ENGAGEMENT","◕",IF(AF357="PREENGAGE","◑",IF(AF357="EN COURS DE PREENGAGEMENT","◔",IF(AF357="NON ENGAGE","✖","")))))</f>
        <v/>
      </c>
      <c r="B357" s="673" t="n">
        <v>2024</v>
      </c>
      <c r="C357" s="674" t="inlineStr">
        <is>
          <t>DRPSD</t>
        </is>
      </c>
      <c r="D357" s="674" t="inlineStr">
        <is>
          <t>RECONDUCTIBLE</t>
        </is>
      </c>
      <c r="E357" s="675" t="inlineStr">
        <is>
          <t>CONTRAT</t>
        </is>
      </c>
      <c r="F357" s="675" t="n">
        <v>1</v>
      </c>
      <c r="G357" s="676" t="inlineStr">
        <is>
          <t>Hébergement de la plateforme SNRTNEWS et la plateforme BOTOLA-Web, mobile (Android et IOS) et TV hors contenu video</t>
        </is>
      </c>
      <c r="H357" s="673" t="inlineStr">
        <is>
          <t>VALIDE</t>
        </is>
      </c>
      <c r="I357" s="675" t="inlineStr">
        <is>
          <t>APPROUVE</t>
        </is>
      </c>
      <c r="J357" s="675" t="inlineStr">
        <is>
          <t>497 CT/SNRT</t>
        </is>
      </c>
      <c r="K357" s="673" t="inlineStr">
        <is>
          <t>NON CONCERNE</t>
        </is>
      </c>
      <c r="L357" s="675" t="inlineStr">
        <is>
          <t>Ordinaire</t>
        </is>
      </c>
      <c r="M357" s="677" t="inlineStr">
        <is>
          <t>FONCTIONNEMENT</t>
        </is>
      </c>
      <c r="N357" s="678" t="inlineStr">
        <is>
          <t>Prestation de services
Achat prestations de services locales - sociétés</t>
        </is>
      </c>
      <c r="O357" s="679" t="n"/>
      <c r="P357" s="680" t="n"/>
      <c r="Q357" s="680" t="n"/>
      <c r="R357" s="675" t="inlineStr">
        <is>
          <t>RECONDUCTIBLE</t>
        </is>
      </c>
      <c r="S357" s="681" t="n"/>
      <c r="T357" s="682" t="n"/>
      <c r="U357" s="683" t="inlineStr">
        <is>
          <t>ATLAS HOSTER</t>
        </is>
      </c>
      <c r="V357" s="675" t="n">
        <v>2024</v>
      </c>
      <c r="W357" s="682" t="n"/>
      <c r="X357" s="682" t="n"/>
      <c r="Y357" s="682" t="n"/>
      <c r="Z357" s="679" t="n">
        <v>329600</v>
      </c>
      <c r="AA357" s="680" t="n">
        <v>0</v>
      </c>
      <c r="AB357" s="680" t="n">
        <v>395520</v>
      </c>
      <c r="AC357" s="680" t="n">
        <v>0</v>
      </c>
      <c r="AD357" s="680" t="n">
        <v>329600</v>
      </c>
      <c r="AE357" s="680" t="n">
        <v>395520</v>
      </c>
      <c r="AF357" s="684" t="inlineStr">
        <is>
          <t>ENGAGE</t>
        </is>
      </c>
      <c r="AG357" s="683" t="n"/>
      <c r="AH357" s="680" t="n"/>
      <c r="AI357" s="680" t="n"/>
      <c r="AJ357" s="680" t="n"/>
      <c r="AK357" s="680" t="n"/>
      <c r="AL357" s="685" t="n"/>
      <c r="AM357" s="685" t="n"/>
      <c r="AN357" s="683" t="inlineStr">
        <is>
          <t>RAS</t>
        </is>
      </c>
    </row>
    <row r="358" ht="46.5" customHeight="1" s="392">
      <c r="A358" s="672">
        <f>IF(AF358="ENGAGE","✔",IF(AF358="EN COURS D'ENGAGEMENT","◕",IF(AF358="PREENGAGE","◑",IF(AF358="EN COURS DE PREENGAGEMENT","◔",IF(AF358="NON ENGAGE","✖","")))))</f>
        <v/>
      </c>
      <c r="B358" s="673" t="n">
        <v>2026</v>
      </c>
      <c r="C358" s="674" t="inlineStr">
        <is>
          <t>DRPSD</t>
        </is>
      </c>
      <c r="D358" s="674" t="inlineStr">
        <is>
          <t>ANNULE</t>
        </is>
      </c>
      <c r="E358" s="675" t="inlineStr">
        <is>
          <t>AOO-M</t>
        </is>
      </c>
      <c r="F358" s="675" t="n">
        <v>1</v>
      </c>
      <c r="G358" s="676" t="inlineStr">
        <is>
          <t>Création de capsules digitales pour SNRT News</t>
        </is>
      </c>
      <c r="H358" s="673" t="inlineStr">
        <is>
          <t>ANNULE</t>
        </is>
      </c>
      <c r="I358" s="675" t="inlineStr">
        <is>
          <t>ANNULE</t>
        </is>
      </c>
      <c r="J358" s="675" t="n"/>
      <c r="K358" s="673" t="inlineStr">
        <is>
          <t>GENERAL</t>
        </is>
      </c>
      <c r="L358" s="675" t="inlineStr">
        <is>
          <t>Ordinaire</t>
        </is>
      </c>
      <c r="M358" s="677" t="inlineStr">
        <is>
          <t>FONCTIONNEMENT</t>
        </is>
      </c>
      <c r="N358" s="678" t="inlineStr">
        <is>
          <t>Prestation de services
Achat prestations de services locales - sociétés</t>
        </is>
      </c>
      <c r="O358" s="679">
        <f>P358*1.2</f>
        <v/>
      </c>
      <c r="P358" s="680" t="n">
        <v>200000</v>
      </c>
      <c r="Q358" s="680">
        <f>P358/1.2</f>
        <v/>
      </c>
      <c r="R358" s="675" t="inlineStr">
        <is>
          <t>NOUVEAU BESOIN</t>
        </is>
      </c>
      <c r="S358" s="681" t="n"/>
      <c r="T358" s="682" t="n"/>
      <c r="U358" s="683" t="n"/>
      <c r="V358" s="675" t="n"/>
      <c r="W358" s="682" t="n">
        <v>46064</v>
      </c>
      <c r="X358" s="682" t="n"/>
      <c r="Y358" s="682" t="n"/>
      <c r="Z358" s="679" t="n">
        <v>0</v>
      </c>
      <c r="AA358" s="680" t="n">
        <v>0</v>
      </c>
      <c r="AB358" s="680" t="n">
        <v>0</v>
      </c>
      <c r="AC358" s="680" t="n">
        <v>0</v>
      </c>
      <c r="AD358" s="680" t="n">
        <v>0</v>
      </c>
      <c r="AE358" s="680" t="n">
        <v>0</v>
      </c>
      <c r="AF358" s="684" t="inlineStr">
        <is>
          <t>NON ENGAGE</t>
        </is>
      </c>
      <c r="AG358" s="683" t="n"/>
      <c r="AH358" s="680" t="n"/>
      <c r="AI358" s="680" t="n"/>
      <c r="AJ358" s="680" t="n"/>
      <c r="AK358" s="680" t="n"/>
      <c r="AL358" s="685" t="n"/>
      <c r="AM358" s="685" t="n"/>
      <c r="AN358" s="683" t="inlineStr">
        <is>
          <t>RAS</t>
        </is>
      </c>
    </row>
    <row r="359" ht="33" customHeight="1" s="392">
      <c r="A359" s="672">
        <f>IF(AF359="ENGAGE","✔",IF(AF359="EN COURS D'ENGAGEMENT","◕",IF(AF359="PREENGAGE","◑",IF(AF359="EN COURS DE PREENGAGEMENT","◔",IF(AF359="NON ENGAGE","✖","")))))</f>
        <v/>
      </c>
      <c r="B359" s="673" t="n">
        <v>2026</v>
      </c>
      <c r="C359" s="674" t="inlineStr">
        <is>
          <t>DRPSD</t>
        </is>
      </c>
      <c r="D359" s="674" t="n"/>
      <c r="E359" s="675" t="inlineStr">
        <is>
          <t>AOO-M</t>
        </is>
      </c>
      <c r="F359" s="675" t="n">
        <v>1</v>
      </c>
      <c r="G359" s="676" t="inlineStr">
        <is>
          <t>Assistance et maintenance de la Solution BI</t>
        </is>
      </c>
      <c r="H359" s="673" t="inlineStr">
        <is>
          <t>EN SIGNATURE</t>
        </is>
      </c>
      <c r="I359" s="675" t="inlineStr">
        <is>
          <t>EN SIGNATURE</t>
        </is>
      </c>
      <c r="J359" s="693" t="n"/>
      <c r="K359" s="673" t="inlineStr">
        <is>
          <t>GENERAL</t>
        </is>
      </c>
      <c r="L359" s="675" t="inlineStr">
        <is>
          <t>Ordinaire</t>
        </is>
      </c>
      <c r="M359" s="677" t="inlineStr">
        <is>
          <t>FONCTIONNEMENT</t>
        </is>
      </c>
      <c r="N359" s="678" t="inlineStr">
        <is>
          <t>Entretien, réparation et assurance</t>
        </is>
      </c>
      <c r="O359" s="679">
        <f>P359*1.2</f>
        <v/>
      </c>
      <c r="P359" s="680" t="n">
        <v>200000</v>
      </c>
      <c r="Q359" s="680">
        <f>P359/1.2</f>
        <v/>
      </c>
      <c r="R359" s="675" t="inlineStr">
        <is>
          <t>BESOIN RECURRENT</t>
        </is>
      </c>
      <c r="S359" s="681" t="n"/>
      <c r="T359" s="682" t="n"/>
      <c r="U359" s="683" t="n"/>
      <c r="V359" s="675" t="n"/>
      <c r="W359" s="682" t="n">
        <v>46077</v>
      </c>
      <c r="X359" s="682" t="n"/>
      <c r="Y359" s="682" t="n"/>
      <c r="Z359" s="679" t="n"/>
      <c r="AA359" s="680" t="n">
        <v>0</v>
      </c>
      <c r="AB359" s="680" t="n"/>
      <c r="AC359" s="680" t="n">
        <v>0</v>
      </c>
      <c r="AD359" s="680" t="n"/>
      <c r="AE359" s="680" t="n"/>
      <c r="AF359" s="684" t="inlineStr">
        <is>
          <t>EN COURS DE PREENGAGEMENT</t>
        </is>
      </c>
      <c r="AG359" s="683" t="n"/>
      <c r="AH359" s="680" t="n"/>
      <c r="AI359" s="680" t="n"/>
      <c r="AJ359" s="680" t="n"/>
      <c r="AK359" s="680" t="n"/>
      <c r="AL359" s="685" t="n"/>
      <c r="AM359" s="685" t="n"/>
      <c r="AN359" s="683" t="inlineStr">
        <is>
          <t>Numéro AO + Date visa</t>
        </is>
      </c>
    </row>
    <row r="360" ht="46.5" customHeight="1" s="392">
      <c r="A360" s="672">
        <f>IF(AF360="ENGAGE","✔",IF(AF360="EN COURS D'ENGAGEMENT","◕",IF(AF360="PREENGAGE","◑",IF(AF360="EN COURS DE PREENGAGEMENT","◔",IF(AF360="NON ENGAGE","✖","")))))</f>
        <v/>
      </c>
      <c r="B360" s="673" t="n">
        <v>2026</v>
      </c>
      <c r="C360" s="674" t="inlineStr">
        <is>
          <t>TV LAAYOUNE</t>
        </is>
      </c>
      <c r="D360" s="674" t="n"/>
      <c r="E360" s="675" t="inlineStr">
        <is>
          <t>BCL</t>
        </is>
      </c>
      <c r="F360" s="675" t="n">
        <v>1</v>
      </c>
      <c r="G360" s="676" t="inlineStr">
        <is>
          <t>Travaux d’impression pour la mise en scène de l’émission « MOSABAQAT ALQURAN ALKARIM » pour l’année 1447/2026</t>
        </is>
      </c>
      <c r="H360" s="673" t="inlineStr">
        <is>
          <t>VALIDE</t>
        </is>
      </c>
      <c r="I360" s="675" t="inlineStr">
        <is>
          <t>APPROUVE</t>
        </is>
      </c>
      <c r="J360" s="675" t="inlineStr">
        <is>
          <t>26000001 CL</t>
        </is>
      </c>
      <c r="K360" s="673" t="inlineStr">
        <is>
          <t>GENERAL</t>
        </is>
      </c>
      <c r="L360" s="675" t="inlineStr">
        <is>
          <t>Ordinaire</t>
        </is>
      </c>
      <c r="M360" s="677" t="inlineStr">
        <is>
          <t>FONCTIONNEMENT</t>
        </is>
      </c>
      <c r="N360" s="678" t="inlineStr">
        <is>
          <t>Prestation de services
Achat prestations de services locales - sociétés</t>
        </is>
      </c>
      <c r="O360" s="679" t="n"/>
      <c r="P360" s="680" t="n"/>
      <c r="Q360" s="680" t="n"/>
      <c r="R360" s="675" t="inlineStr">
        <is>
          <t>NOUVEAU BESOIN</t>
        </is>
      </c>
      <c r="S360" s="681" t="n"/>
      <c r="T360" s="682" t="n"/>
      <c r="U360" s="683" t="inlineStr">
        <is>
          <t>TETSOUL SERVICES</t>
        </is>
      </c>
      <c r="V360" s="675" t="n">
        <v>2026</v>
      </c>
      <c r="W360" s="682" t="n">
        <v>46038</v>
      </c>
      <c r="X360" s="682" t="n"/>
      <c r="Y360" s="682" t="n">
        <v>46041</v>
      </c>
      <c r="Z360" s="679" t="n">
        <v>13900</v>
      </c>
      <c r="AA360" s="680" t="n">
        <v>0</v>
      </c>
      <c r="AB360" s="680" t="n">
        <v>13900</v>
      </c>
      <c r="AC360" s="680" t="n">
        <v>0</v>
      </c>
      <c r="AD360" s="680">
        <f>Z360</f>
        <v/>
      </c>
      <c r="AE360" s="680">
        <f>AB360</f>
        <v/>
      </c>
      <c r="AF360" s="684" t="inlineStr">
        <is>
          <t>ENGAGE</t>
        </is>
      </c>
      <c r="AG360" s="683" t="n"/>
      <c r="AH360" s="680" t="n"/>
      <c r="AI360" s="680" t="n"/>
      <c r="AJ360" s="680" t="n"/>
      <c r="AK360" s="680" t="n"/>
      <c r="AL360" s="685" t="n"/>
      <c r="AM360" s="685" t="n"/>
      <c r="AN360" s="683" t="inlineStr">
        <is>
          <t>RAS</t>
        </is>
      </c>
    </row>
    <row r="361" ht="35.7" customHeight="1" s="392">
      <c r="A361" s="672">
        <f>IF(AF361="ENGAGE","✔",IF(AF361="EN COURS D'ENGAGEMENT","◕",IF(AF361="PREENGAGE","◑",IF(AF361="EN COURS DE PREENGAGEMENT","◔",IF(AF361="NON ENGAGE","✖","")))))</f>
        <v/>
      </c>
      <c r="B361" s="673" t="n">
        <v>2026</v>
      </c>
      <c r="C361" s="674" t="inlineStr">
        <is>
          <t>TV LAAYOUNE</t>
        </is>
      </c>
      <c r="D361" s="674" t="n"/>
      <c r="E361" s="675" t="inlineStr">
        <is>
          <t>BCL</t>
        </is>
      </c>
      <c r="F361" s="675" t="n"/>
      <c r="G361" s="676" t="inlineStr">
        <is>
          <t>Achat de trophées pour l’émission  « MOSABAQAT ALQURAN ALKARIM » pour l’année 1447/2026</t>
        </is>
      </c>
      <c r="H361" s="673" t="inlineStr">
        <is>
          <t>VALIDE</t>
        </is>
      </c>
      <c r="I361" s="675" t="inlineStr">
        <is>
          <t>APPROUVE</t>
        </is>
      </c>
      <c r="J361" s="675" t="inlineStr">
        <is>
          <t>26000002 CL</t>
        </is>
      </c>
      <c r="K361" s="673" t="inlineStr">
        <is>
          <t>GENERAL</t>
        </is>
      </c>
      <c r="L361" s="675" t="inlineStr">
        <is>
          <t>Ordinaire</t>
        </is>
      </c>
      <c r="M361" s="677" t="inlineStr">
        <is>
          <t>FONCTIONNEMENT</t>
        </is>
      </c>
      <c r="N361" s="678" t="inlineStr">
        <is>
          <t xml:space="preserve">Achats non stockés de matières et fournitures </t>
        </is>
      </c>
      <c r="O361" s="679" t="n"/>
      <c r="P361" s="680" t="n"/>
      <c r="Q361" s="680" t="n"/>
      <c r="R361" s="675" t="inlineStr">
        <is>
          <t>NOUVEAU BESOIN</t>
        </is>
      </c>
      <c r="S361" s="681" t="n"/>
      <c r="T361" s="682" t="n"/>
      <c r="U361" s="683" t="inlineStr">
        <is>
          <t>TELTAY TRADING</t>
        </is>
      </c>
      <c r="V361" s="675" t="n">
        <v>2026</v>
      </c>
      <c r="W361" s="682" t="n">
        <v>46038</v>
      </c>
      <c r="X361" s="682" t="n"/>
      <c r="Y361" s="682" t="n">
        <v>46041</v>
      </c>
      <c r="Z361" s="679" t="n">
        <v>21600</v>
      </c>
      <c r="AA361" s="680" t="n">
        <v>0</v>
      </c>
      <c r="AB361" s="680" t="n">
        <v>21600</v>
      </c>
      <c r="AC361" s="680" t="n">
        <v>0</v>
      </c>
      <c r="AD361" s="680">
        <f>Z361</f>
        <v/>
      </c>
      <c r="AE361" s="680">
        <f>AB361</f>
        <v/>
      </c>
      <c r="AF361" s="684" t="inlineStr">
        <is>
          <t>ENGAGE</t>
        </is>
      </c>
      <c r="AG361" s="683" t="n"/>
      <c r="AH361" s="680" t="n"/>
      <c r="AI361" s="680" t="n"/>
      <c r="AJ361" s="680" t="n"/>
      <c r="AK361" s="680" t="n"/>
      <c r="AL361" s="685" t="n"/>
      <c r="AM361" s="685" t="n"/>
      <c r="AN361" s="683" t="inlineStr">
        <is>
          <t>RAS</t>
        </is>
      </c>
    </row>
    <row r="362" ht="35.7" customHeight="1" s="392">
      <c r="A362" s="672">
        <f>IF(AF362="ENGAGE","✔",IF(AF362="EN COURS D'ENGAGEMENT","◕",IF(AF362="PREENGAGE","◑",IF(AF362="EN COURS DE PREENGAGEMENT","◔",IF(AF362="NON ENGAGE","✖","")))))</f>
        <v/>
      </c>
      <c r="B362" s="673" t="n">
        <v>2026</v>
      </c>
      <c r="C362" s="674" t="inlineStr">
        <is>
          <t>DPMG</t>
        </is>
      </c>
      <c r="D362" s="674" t="inlineStr">
        <is>
          <t>ANNULE</t>
        </is>
      </c>
      <c r="E362" s="675" t="inlineStr">
        <is>
          <t>AOO-M</t>
        </is>
      </c>
      <c r="F362" s="675" t="n">
        <v>1</v>
      </c>
      <c r="G362" s="676" t="inlineStr">
        <is>
          <t>Acquisition et travaux d'installation de trois ascenseur dans le bâtiment de la SNRT à Rabat et Casablanca</t>
        </is>
      </c>
      <c r="H362" s="673" t="inlineStr">
        <is>
          <t>ANNULE</t>
        </is>
      </c>
      <c r="I362" s="675" t="inlineStr">
        <is>
          <t>ANNULE</t>
        </is>
      </c>
      <c r="J362" s="675" t="n"/>
      <c r="K362" s="673" t="inlineStr">
        <is>
          <t>PME</t>
        </is>
      </c>
      <c r="L362" s="675" t="inlineStr">
        <is>
          <t>REPORT BUDGET ANNEE ANTERIEURE</t>
        </is>
      </c>
      <c r="M362" s="677" t="inlineStr">
        <is>
          <t>INVESTISSEMENT</t>
        </is>
      </c>
      <c r="N362" s="678" t="inlineStr">
        <is>
          <t>Agencements et aménagement constructions</t>
        </is>
      </c>
      <c r="O362" s="679">
        <f>P362*1.2</f>
        <v/>
      </c>
      <c r="P362" s="680" t="n">
        <v>480000</v>
      </c>
      <c r="Q362" s="680">
        <f>P362/1.2</f>
        <v/>
      </c>
      <c r="R362" s="675" t="inlineStr">
        <is>
          <t>NOUVEAU BESOIN</t>
        </is>
      </c>
      <c r="S362" s="681" t="n"/>
      <c r="T362" s="682" t="n"/>
      <c r="U362" s="683" t="n"/>
      <c r="V362" s="675" t="n"/>
      <c r="W362" s="682" t="n">
        <v>46072</v>
      </c>
      <c r="X362" s="682" t="n"/>
      <c r="Y362" s="682" t="n"/>
      <c r="Z362" s="679" t="n">
        <v>0</v>
      </c>
      <c r="AA362" s="680" t="n">
        <v>0</v>
      </c>
      <c r="AB362" s="680" t="n">
        <v>0</v>
      </c>
      <c r="AC362" s="680" t="n">
        <v>0</v>
      </c>
      <c r="AD362" s="680" t="n">
        <v>0</v>
      </c>
      <c r="AE362" s="680" t="n">
        <v>0</v>
      </c>
      <c r="AF362" s="684" t="inlineStr">
        <is>
          <t>NON ENGAGE</t>
        </is>
      </c>
      <c r="AG362" s="683" t="n"/>
      <c r="AH362" s="680" t="n"/>
      <c r="AI362" s="680" t="n"/>
      <c r="AJ362" s="680" t="n"/>
      <c r="AK362" s="680" t="n"/>
      <c r="AL362" s="685" t="n"/>
      <c r="AM362" s="685" t="n"/>
      <c r="AN362" s="683" t="inlineStr">
        <is>
          <t>Annulé</t>
        </is>
      </c>
    </row>
    <row r="363" ht="35.7" customHeight="1" s="392">
      <c r="A363" s="672">
        <f>IF(AF363="ENGAGE","✔",IF(AF363="EN COURS D'ENGAGEMENT","◕",IF(AF363="PREENGAGE","◑",IF(AF363="EN COURS DE PREENGAGEMENT","◔",IF(AF363="NON ENGAGE","✖","")))))</f>
        <v/>
      </c>
      <c r="B363" s="673" t="n">
        <v>2026</v>
      </c>
      <c r="C363" s="674" t="inlineStr">
        <is>
          <t>DPMG</t>
        </is>
      </c>
      <c r="D363" s="674" t="n"/>
      <c r="E363" s="675" t="inlineStr">
        <is>
          <t>AOO-M</t>
        </is>
      </c>
      <c r="F363" s="675" t="n">
        <v>2</v>
      </c>
      <c r="G363" s="676" t="inlineStr">
        <is>
          <t>Acquisition et travaux d'installation d’un ascenseur dans le batiment de la SNRT NEWS à Casablanca</t>
        </is>
      </c>
      <c r="H363" s="673" t="inlineStr">
        <is>
          <t>EN SIGNATURE</t>
        </is>
      </c>
      <c r="I363" s="675" t="inlineStr">
        <is>
          <t>EN SIGNATURE</t>
        </is>
      </c>
      <c r="J363" s="693" t="n"/>
      <c r="K363" s="673" t="inlineStr">
        <is>
          <t>PME</t>
        </is>
      </c>
      <c r="L363" s="675" t="inlineStr">
        <is>
          <t>Ordinaire</t>
        </is>
      </c>
      <c r="M363" s="677" t="inlineStr">
        <is>
          <t>INVESTISSEMENT</t>
        </is>
      </c>
      <c r="N363" s="678" t="inlineStr">
        <is>
          <t>Agencements et aménagement constructions</t>
        </is>
      </c>
      <c r="O363" s="679">
        <f>P363*1.2</f>
        <v/>
      </c>
      <c r="P363" s="680" t="n">
        <v>458400</v>
      </c>
      <c r="Q363" s="680">
        <f>P363/1.2</f>
        <v/>
      </c>
      <c r="R363" s="675" t="inlineStr">
        <is>
          <t>NOUVEAU BESOIN</t>
        </is>
      </c>
      <c r="S363" s="681" t="n"/>
      <c r="T363" s="682" t="n"/>
      <c r="U363" s="683" t="n"/>
      <c r="V363" s="675" t="n"/>
      <c r="W363" s="682" t="n"/>
      <c r="X363" s="682" t="n"/>
      <c r="Y363" s="682" t="n"/>
      <c r="Z363" s="679" t="n"/>
      <c r="AA363" s="680" t="n"/>
      <c r="AB363" s="680" t="n"/>
      <c r="AC363" s="680" t="n"/>
      <c r="AD363" s="680" t="n"/>
      <c r="AE363" s="680" t="n"/>
      <c r="AF363" s="684" t="inlineStr">
        <is>
          <t>EN COURS DE PREENGAGEMENT</t>
        </is>
      </c>
      <c r="AG363" s="683" t="n"/>
      <c r="AH363" s="680" t="n"/>
      <c r="AI363" s="680" t="n"/>
      <c r="AJ363" s="680" t="n"/>
      <c r="AK363" s="680" t="n"/>
      <c r="AL363" s="685" t="n"/>
      <c r="AM363" s="685" t="n"/>
      <c r="AN363" s="683" t="inlineStr">
        <is>
          <t>Numéro AO + Date Fiche et Visa</t>
        </is>
      </c>
      <c r="AO363" s="694" t="n"/>
      <c r="AP363" s="695" t="n"/>
      <c r="AQ363" s="696" t="n"/>
      <c r="AR363" s="696" t="n"/>
      <c r="AS363" s="697" t="n"/>
      <c r="AT363" s="698" t="n"/>
    </row>
    <row r="364" ht="35.7" customHeight="1" s="392">
      <c r="A364" s="672">
        <f>IF(AF364="ENGAGE","✔",IF(AF364="EN COURS D'ENGAGEMENT","◕",IF(AF364="PREENGAGE","◑",IF(AF364="EN COURS DE PREENGAGEMENT","◔",IF(AF364="NON ENGAGE","✖","")))))</f>
        <v/>
      </c>
      <c r="B364" s="673" t="n">
        <v>2023</v>
      </c>
      <c r="C364" s="674" t="inlineStr">
        <is>
          <t>DMPTV</t>
        </is>
      </c>
      <c r="D364" s="674" t="inlineStr">
        <is>
          <t>RECONDUCTION</t>
        </is>
      </c>
      <c r="E364" s="675" t="inlineStr">
        <is>
          <t>CONTRAT</t>
        </is>
      </c>
      <c r="F364" s="675" t="n">
        <v>1</v>
      </c>
      <c r="G364" s="676" t="inlineStr">
        <is>
          <t>le sponsoring du Festival "Mawazine Rytmes du monde" éditions 2024-2025-2026</t>
        </is>
      </c>
      <c r="H364" s="673" t="inlineStr">
        <is>
          <t>VALIDE</t>
        </is>
      </c>
      <c r="I364" s="675" t="inlineStr">
        <is>
          <t>APPROUVE</t>
        </is>
      </c>
      <c r="J364" s="675" t="inlineStr">
        <is>
          <t>001220623/CT-SNRT</t>
        </is>
      </c>
      <c r="K364" s="673" t="inlineStr">
        <is>
          <t>NON CONCERNE</t>
        </is>
      </c>
      <c r="L364" s="675" t="inlineStr">
        <is>
          <t>Ordinaire</t>
        </is>
      </c>
      <c r="M364" s="677" t="inlineStr">
        <is>
          <t>FONCTIONNEMENT</t>
        </is>
      </c>
      <c r="N364" s="678" t="inlineStr">
        <is>
          <t>Charges marketing et relations publiques</t>
        </is>
      </c>
      <c r="O364" s="679" t="n"/>
      <c r="P364" s="680" t="n"/>
      <c r="Q364" s="680" t="n"/>
      <c r="R364" s="675" t="inlineStr">
        <is>
          <t>RECONDUCTIBLE</t>
        </is>
      </c>
      <c r="S364" s="681" t="n"/>
      <c r="T364" s="682" t="n"/>
      <c r="U364" s="683" t="inlineStr">
        <is>
          <t>ASSOCIATION MAROC CULTURES</t>
        </is>
      </c>
      <c r="V364" s="675" t="n">
        <v>2023</v>
      </c>
      <c r="W364" s="682" t="n"/>
      <c r="X364" s="682" t="n"/>
      <c r="Y364" s="682" t="n"/>
      <c r="Z364" s="679" t="n"/>
      <c r="AA364" s="680" t="n"/>
      <c r="AB364" s="680" t="n"/>
      <c r="AC364" s="680" t="n"/>
      <c r="AD364" s="680" t="n"/>
      <c r="AE364" s="680" t="n">
        <v>10200000</v>
      </c>
      <c r="AF364" s="684" t="inlineStr">
        <is>
          <t>ENGAGE</t>
        </is>
      </c>
      <c r="AG364" s="683" t="n"/>
      <c r="AH364" s="680" t="n"/>
      <c r="AI364" s="680" t="n"/>
      <c r="AJ364" s="680" t="n"/>
      <c r="AK364" s="680" t="n"/>
      <c r="AL364" s="685" t="n"/>
      <c r="AM364" s="685" t="n"/>
      <c r="AN364" s="683" t="n"/>
    </row>
    <row r="365" ht="50.55" customHeight="1" s="392">
      <c r="A365" s="672">
        <f>IF(AF365="ENGAGE","✔",IF(AF365="EN COURS D'ENGAGEMENT","◕",IF(AF365="PREENGAGE","◑",IF(AF365="EN COURS DE PREENGAGEMENT","◔",IF(AF365="NON ENGAGE","✖","")))))</f>
        <v/>
      </c>
      <c r="B365" s="673" t="n">
        <v>2026</v>
      </c>
      <c r="C365" s="674" t="inlineStr">
        <is>
          <t>DMPTV</t>
        </is>
      </c>
      <c r="D365" s="674" t="inlineStr">
        <is>
          <t>RECONDUCTION</t>
        </is>
      </c>
      <c r="E365" s="675" t="inlineStr">
        <is>
          <t>CONTRAT</t>
        </is>
      </c>
      <c r="F365" s="675" t="n">
        <v>1</v>
      </c>
      <c r="G365" s="676" t="inlineStr">
        <is>
          <t>Achat d’espace publicitaires sur la presse digitale et la presse écrite pour la promotion des programmes de Ramadan 2026</t>
        </is>
      </c>
      <c r="H365" s="673" t="inlineStr">
        <is>
          <t>VALIDE</t>
        </is>
      </c>
      <c r="I365" s="675" t="inlineStr">
        <is>
          <t>APPROUVE</t>
        </is>
      </c>
      <c r="J365" s="675" t="inlineStr">
        <is>
          <t>325 CT/SNRT/2026</t>
        </is>
      </c>
      <c r="K365" s="673" t="inlineStr">
        <is>
          <t>NON CONCERNE</t>
        </is>
      </c>
      <c r="L365" s="675" t="inlineStr">
        <is>
          <t>Ordinaire</t>
        </is>
      </c>
      <c r="M365" s="677" t="inlineStr">
        <is>
          <t>FONCTIONNEMENT</t>
        </is>
      </c>
      <c r="N365" s="678" t="inlineStr">
        <is>
          <t>Charges marketing et relations publiques</t>
        </is>
      </c>
      <c r="O365" s="679" t="n"/>
      <c r="P365" s="680" t="n"/>
      <c r="Q365" s="680" t="n"/>
      <c r="R365" s="675" t="inlineStr">
        <is>
          <t>BESOIN RECURRENT</t>
        </is>
      </c>
      <c r="S365" s="681" t="n"/>
      <c r="T365" s="682" t="n"/>
      <c r="U365" s="683" t="inlineStr">
        <is>
          <t>ADWEB MAROC</t>
        </is>
      </c>
      <c r="V365" s="675" t="n">
        <v>2026</v>
      </c>
      <c r="W365" s="682" t="n">
        <v>46072</v>
      </c>
      <c r="X365" s="682" t="n"/>
      <c r="Y365" s="682" t="n">
        <v>46077</v>
      </c>
      <c r="Z365" s="679">
        <f>AB365/1.2</f>
        <v/>
      </c>
      <c r="AA365" s="680" t="n">
        <v>0</v>
      </c>
      <c r="AB365" s="680" t="n">
        <v>728483.45</v>
      </c>
      <c r="AC365" s="680" t="n">
        <v>0</v>
      </c>
      <c r="AD365" s="680">
        <f>Z365</f>
        <v/>
      </c>
      <c r="AE365" s="680">
        <f>AB365</f>
        <v/>
      </c>
      <c r="AF365" s="684" t="inlineStr">
        <is>
          <t>ENGAGE</t>
        </is>
      </c>
      <c r="AG365" s="683" t="n"/>
      <c r="AH365" s="680" t="n"/>
      <c r="AI365" s="680" t="n"/>
      <c r="AJ365" s="680" t="n"/>
      <c r="AK365" s="680" t="n"/>
      <c r="AL365" s="685" t="n"/>
      <c r="AM365" s="685" t="n"/>
      <c r="AN365" s="683" t="inlineStr">
        <is>
          <t>R,A,S</t>
        </is>
      </c>
    </row>
    <row r="366" ht="46.5" customHeight="1" s="392">
      <c r="A366" s="672">
        <f>IF(AF366="ENGAGE","✔",IF(AF366="EN COURS D'ENGAGEMENT","◕",IF(AF366="PREENGAGE","◑",IF(AF366="EN COURS DE PREENGAGEMENT","◔",IF(AF366="NON ENGAGE","✖","")))))</f>
        <v/>
      </c>
      <c r="B366" s="673" t="n">
        <v>2026</v>
      </c>
      <c r="C366" s="674" t="inlineStr">
        <is>
          <t>DMPTV</t>
        </is>
      </c>
      <c r="D366" s="674" t="n"/>
      <c r="E366" s="675" t="inlineStr">
        <is>
          <t>BCL</t>
        </is>
      </c>
      <c r="F366" s="675" t="n">
        <v>1</v>
      </c>
      <c r="G366" s="676" t="inlineStr">
        <is>
          <t>Réalisation d’une étude marketing pour le compte de la SNRT</t>
        </is>
      </c>
      <c r="H366" s="673" t="inlineStr">
        <is>
          <t>VALIDE</t>
        </is>
      </c>
      <c r="I366" s="675" t="inlineStr">
        <is>
          <t>APPROUVE</t>
        </is>
      </c>
      <c r="J366" s="675" t="inlineStr">
        <is>
          <t>26000003 CL</t>
        </is>
      </c>
      <c r="K366" s="673" t="inlineStr">
        <is>
          <t>NON CONCERNE</t>
        </is>
      </c>
      <c r="L366" s="675" t="inlineStr">
        <is>
          <t>Ordinaire</t>
        </is>
      </c>
      <c r="M366" s="677" t="inlineStr">
        <is>
          <t>FONCTIONNEMENT</t>
        </is>
      </c>
      <c r="N366" s="678" t="inlineStr">
        <is>
          <t>Prestation de services
Achat prestations de services locales - sociétés</t>
        </is>
      </c>
      <c r="O366" s="679" t="n"/>
      <c r="P366" s="680" t="n"/>
      <c r="Q366" s="680" t="n"/>
      <c r="R366" s="675" t="inlineStr">
        <is>
          <t>BESOIN RECURRENT</t>
        </is>
      </c>
      <c r="S366" s="681" t="n"/>
      <c r="T366" s="682" t="n"/>
      <c r="U366" s="683" t="inlineStr">
        <is>
          <t>LMS-CSA</t>
        </is>
      </c>
      <c r="V366" s="675" t="n">
        <v>2026</v>
      </c>
      <c r="W366" s="682" t="n">
        <v>46072</v>
      </c>
      <c r="X366" s="682" t="n"/>
      <c r="Y366" s="682" t="n">
        <v>46072</v>
      </c>
      <c r="Z366" s="679" t="n">
        <v>94000</v>
      </c>
      <c r="AA366" s="680" t="n">
        <v>0</v>
      </c>
      <c r="AB366" s="680" t="n">
        <v>112800</v>
      </c>
      <c r="AC366" s="680" t="n">
        <v>0</v>
      </c>
      <c r="AD366" s="680">
        <f>Z366</f>
        <v/>
      </c>
      <c r="AE366" s="680">
        <f>AB366</f>
        <v/>
      </c>
      <c r="AF366" s="684" t="inlineStr">
        <is>
          <t>ENGAGE</t>
        </is>
      </c>
      <c r="AG366" s="683" t="n"/>
      <c r="AH366" s="680" t="n"/>
      <c r="AI366" s="680" t="n"/>
      <c r="AJ366" s="680" t="n"/>
      <c r="AK366" s="680" t="n"/>
      <c r="AL366" s="685" t="n"/>
      <c r="AM366" s="685" t="n"/>
      <c r="AN366" s="683" t="inlineStr">
        <is>
          <t>R,A,S</t>
        </is>
      </c>
    </row>
    <row r="367" ht="35.7" customHeight="1" s="392">
      <c r="A367" s="672">
        <f>IF(AF367="ENGAGE","✔",IF(AF367="EN COURS D'ENGAGEMENT","◕",IF(AF367="PREENGAGE","◑",IF(AF367="EN COURS DE PREENGAGEMENT","◔",IF(AF367="NON ENGAGE","✖","")))))</f>
        <v/>
      </c>
      <c r="B367" s="673" t="n">
        <v>2026</v>
      </c>
      <c r="C367" s="674" t="inlineStr">
        <is>
          <t>DPMG</t>
        </is>
      </c>
      <c r="D367" s="674" t="n"/>
      <c r="E367" s="675" t="inlineStr">
        <is>
          <t>BCL</t>
        </is>
      </c>
      <c r="F367" s="675" t="n">
        <v>1</v>
      </c>
      <c r="G367" s="676" t="inlineStr">
        <is>
          <t>Acquisition de cachet pour les besoins des différents entité de la SNRT pour l’année 2026</t>
        </is>
      </c>
      <c r="H367" s="673" t="inlineStr">
        <is>
          <t>VALIDE</t>
        </is>
      </c>
      <c r="I367" s="675" t="inlineStr">
        <is>
          <t>APPROUVE</t>
        </is>
      </c>
      <c r="J367" s="675" t="inlineStr">
        <is>
          <t>26000004 CL</t>
        </is>
      </c>
      <c r="K367" s="673" t="inlineStr">
        <is>
          <t>NON CONCERNE</t>
        </is>
      </c>
      <c r="L367" s="675" t="inlineStr">
        <is>
          <t>Ordinaire</t>
        </is>
      </c>
      <c r="M367" s="677" t="inlineStr">
        <is>
          <t>FONCTIONNEMENT</t>
        </is>
      </c>
      <c r="N367" s="678" t="inlineStr">
        <is>
          <t>Achats de matières et fournitures consommables</t>
        </is>
      </c>
      <c r="O367" s="679" t="n"/>
      <c r="P367" s="680" t="n"/>
      <c r="Q367" s="680" t="n"/>
      <c r="R367" s="675" t="inlineStr">
        <is>
          <t>BESOIN RECURRENT</t>
        </is>
      </c>
      <c r="S367" s="681" t="n"/>
      <c r="T367" s="682" t="n"/>
      <c r="U367" s="683" t="inlineStr">
        <is>
          <t>REPRO MASTER</t>
        </is>
      </c>
      <c r="V367" s="675" t="n">
        <v>2026</v>
      </c>
      <c r="W367" s="682" t="n"/>
      <c r="X367" s="682" t="n"/>
      <c r="Y367" s="682" t="n">
        <v>46063</v>
      </c>
      <c r="Z367" s="679" t="n">
        <v>55180</v>
      </c>
      <c r="AA367" s="680" t="n">
        <v>0</v>
      </c>
      <c r="AB367" s="680" t="n">
        <v>66216</v>
      </c>
      <c r="AC367" s="680" t="n">
        <v>0</v>
      </c>
      <c r="AD367" s="680">
        <f>Z367</f>
        <v/>
      </c>
      <c r="AE367" s="680">
        <f>AB367</f>
        <v/>
      </c>
      <c r="AF367" s="684" t="inlineStr">
        <is>
          <t>ENGAGE</t>
        </is>
      </c>
      <c r="AG367" s="683" t="n"/>
      <c r="AH367" s="680" t="n"/>
      <c r="AI367" s="680" t="n"/>
      <c r="AJ367" s="680" t="n"/>
      <c r="AK367" s="680" t="n"/>
      <c r="AL367" s="685" t="n"/>
      <c r="AM367" s="685" t="n"/>
      <c r="AN367" s="683" t="inlineStr">
        <is>
          <t>R,A,S</t>
        </is>
      </c>
    </row>
    <row r="368" ht="50.55" customHeight="1" s="392">
      <c r="A368" s="672">
        <f>IF(AF368="ENGAGE","✔",IF(AF368="EN COURS D'ENGAGEMENT","◕",IF(AF368="PREENGAGE","◑",IF(AF368="EN COURS DE PREENGAGEMENT","◔",IF(AF368="NON ENGAGE","✖","")))))</f>
        <v/>
      </c>
      <c r="B368" s="673" t="n">
        <v>2026</v>
      </c>
      <c r="C368" s="674" t="inlineStr">
        <is>
          <t>DPMG</t>
        </is>
      </c>
      <c r="D368" s="674" t="n"/>
      <c r="E368" s="675" t="inlineStr">
        <is>
          <t>BCL</t>
        </is>
      </c>
      <c r="F368" s="675" t="n">
        <v>1</v>
      </c>
      <c r="G368" s="676" t="inlineStr">
        <is>
          <t>Impression numérique 4 couleurs de cartes de visites pour les besoins des différentes entités de la SNRT durant l’année 2026</t>
        </is>
      </c>
      <c r="H368" s="673" t="inlineStr">
        <is>
          <t>VALIDE</t>
        </is>
      </c>
      <c r="I368" s="675" t="inlineStr">
        <is>
          <t>APPROUVE</t>
        </is>
      </c>
      <c r="J368" s="675" t="inlineStr">
        <is>
          <t>26000005 CL</t>
        </is>
      </c>
      <c r="K368" s="673" t="inlineStr">
        <is>
          <t>NON CONCERNE</t>
        </is>
      </c>
      <c r="L368" s="675" t="inlineStr">
        <is>
          <t>Ordinaire</t>
        </is>
      </c>
      <c r="M368" s="677" t="inlineStr">
        <is>
          <t>FONCTIONNEMENT</t>
        </is>
      </c>
      <c r="N368" s="678" t="inlineStr">
        <is>
          <t>Achats de matières et fournitures consommables</t>
        </is>
      </c>
      <c r="O368" s="679" t="n"/>
      <c r="P368" s="680" t="n"/>
      <c r="Q368" s="680" t="n"/>
      <c r="R368" s="675" t="inlineStr">
        <is>
          <t>BESOIN RECURRENT</t>
        </is>
      </c>
      <c r="S368" s="681" t="n"/>
      <c r="T368" s="682" t="n"/>
      <c r="U368" s="683" t="inlineStr">
        <is>
          <t>REPRO MASTER</t>
        </is>
      </c>
      <c r="V368" s="675" t="n">
        <v>2026</v>
      </c>
      <c r="W368" s="682" t="n"/>
      <c r="X368" s="682" t="n"/>
      <c r="Y368" s="682" t="n">
        <v>46063</v>
      </c>
      <c r="Z368" s="679" t="n">
        <v>7295</v>
      </c>
      <c r="AA368" s="680" t="n">
        <v>0</v>
      </c>
      <c r="AB368" s="680" t="n">
        <v>8754</v>
      </c>
      <c r="AC368" s="680" t="n">
        <v>0</v>
      </c>
      <c r="AD368" s="680">
        <f>Z368</f>
        <v/>
      </c>
      <c r="AE368" s="680">
        <f>AB368</f>
        <v/>
      </c>
      <c r="AF368" s="684" t="inlineStr">
        <is>
          <t>ENGAGE</t>
        </is>
      </c>
      <c r="AG368" s="683" t="n"/>
      <c r="AH368" s="680" t="n"/>
      <c r="AI368" s="680" t="n"/>
      <c r="AJ368" s="680" t="n"/>
      <c r="AK368" s="680" t="n"/>
      <c r="AL368" s="685" t="n"/>
      <c r="AM368" s="685" t="n"/>
      <c r="AN368" s="683" t="inlineStr">
        <is>
          <t>R,A,S</t>
        </is>
      </c>
    </row>
    <row r="369" ht="50.55" customHeight="1" s="392">
      <c r="A369" s="672">
        <f>IF(AF369="ENGAGE","✔",IF(AF369="EN COURS D'ENGAGEMENT","◕",IF(AF369="PREENGAGE","◑",IF(AF369="EN COURS DE PREENGAGEMENT","◔",IF(AF369="NON ENGAGE","✖","")))))</f>
        <v/>
      </c>
      <c r="B369" s="673" t="n">
        <v>2026</v>
      </c>
      <c r="C369" s="674" t="inlineStr">
        <is>
          <t>TV LAAYOUNE</t>
        </is>
      </c>
      <c r="D369" s="674" t="n"/>
      <c r="E369" s="675" t="inlineStr">
        <is>
          <t>BCL</t>
        </is>
      </c>
      <c r="F369" s="675" t="n">
        <v>1</v>
      </c>
      <c r="G369" s="676" t="inlineStr">
        <is>
          <t>Rupture de jeune et repas de Shour du personnel de la SNRT TV Laâyoune, Centre Émetteur TV/FM Laâyoune et Station Régionale du Radio Laâyoune du mois sacré de RAMADAN 1447/2026</t>
        </is>
      </c>
      <c r="H369" s="673" t="inlineStr">
        <is>
          <t>VALIDE</t>
        </is>
      </c>
      <c r="I369" s="675" t="inlineStr">
        <is>
          <t>APPROUVE</t>
        </is>
      </c>
      <c r="J369" s="675" t="inlineStr">
        <is>
          <t>26000006 CL</t>
        </is>
      </c>
      <c r="K369" s="673" t="inlineStr">
        <is>
          <t>NON CONCERNE</t>
        </is>
      </c>
      <c r="L369" s="675" t="inlineStr">
        <is>
          <t>Ordinaire</t>
        </is>
      </c>
      <c r="M369" s="677" t="inlineStr">
        <is>
          <t>FONCTIONNEMENT</t>
        </is>
      </c>
      <c r="N369" s="678" t="inlineStr">
        <is>
          <t>Déplacements, missions et réceptions</t>
        </is>
      </c>
      <c r="O369" s="679" t="n"/>
      <c r="P369" s="680" t="n"/>
      <c r="Q369" s="680" t="n"/>
      <c r="R369" s="675" t="inlineStr">
        <is>
          <t>BESOIN RECURRENT</t>
        </is>
      </c>
      <c r="S369" s="681" t="n"/>
      <c r="T369" s="682" t="n"/>
      <c r="U369" s="683" t="inlineStr">
        <is>
          <t>STE JAMAA ANNAOUI</t>
        </is>
      </c>
      <c r="V369" s="675" t="n">
        <v>2026</v>
      </c>
      <c r="W369" s="682" t="n">
        <v>46069</v>
      </c>
      <c r="X369" s="682" t="n"/>
      <c r="Y369" s="682" t="n">
        <v>46069</v>
      </c>
      <c r="Z369" s="679" t="n">
        <v>109350</v>
      </c>
      <c r="AA369" s="680" t="n">
        <v>0</v>
      </c>
      <c r="AB369" s="680" t="n">
        <v>109350</v>
      </c>
      <c r="AC369" s="680" t="n">
        <v>0</v>
      </c>
      <c r="AD369" s="680">
        <f>Z369</f>
        <v/>
      </c>
      <c r="AE369" s="680">
        <f>AB369</f>
        <v/>
      </c>
      <c r="AF369" s="684" t="inlineStr">
        <is>
          <t>ENGAGE</t>
        </is>
      </c>
      <c r="AG369" s="683" t="n"/>
      <c r="AH369" s="680" t="n"/>
      <c r="AI369" s="680" t="n"/>
      <c r="AJ369" s="680" t="n"/>
      <c r="AK369" s="680" t="n"/>
      <c r="AL369" s="685" t="n"/>
      <c r="AM369" s="685" t="n"/>
      <c r="AN369" s="683" t="inlineStr">
        <is>
          <t>R,A,S</t>
        </is>
      </c>
    </row>
    <row r="370" ht="50.55" customHeight="1" s="392">
      <c r="A370" s="672">
        <f>IF(AF370="ENGAGE","✔",IF(AF370="EN COURS D'ENGAGEMENT","◕",IF(AF370="PREENGAGE","◑",IF(AF370="EN COURS DE PREENGAGEMENT","◔",IF(AF370="NON ENGAGE","✖","")))))</f>
        <v/>
      </c>
      <c r="B370" s="673" t="n">
        <v>2026</v>
      </c>
      <c r="C370" s="674" t="inlineStr">
        <is>
          <t>DTSI</t>
        </is>
      </c>
      <c r="D370" s="674" t="inlineStr">
        <is>
          <t>15 AOM/SNRT</t>
        </is>
      </c>
      <c r="E370" s="675" t="inlineStr">
        <is>
          <t>AOO-M</t>
        </is>
      </c>
      <c r="F370" s="675" t="n">
        <v>1</v>
      </c>
      <c r="G370" s="676" t="inlineStr">
        <is>
          <t>La fourniture et la mise en service de serveurs haute performance destinés aux applications d’intelligence artificielle et d’apprentissage automatique pour les besoins de la SNRT</t>
        </is>
      </c>
      <c r="H370" s="673" t="inlineStr">
        <is>
          <t>ANNULE</t>
        </is>
      </c>
      <c r="I370" s="675" t="inlineStr">
        <is>
          <t>ANNULE</t>
        </is>
      </c>
      <c r="J370" s="675" t="n"/>
      <c r="K370" s="673" t="inlineStr">
        <is>
          <t>GENERAL</t>
        </is>
      </c>
      <c r="L370" s="675" t="inlineStr">
        <is>
          <t>Ordinaire</t>
        </is>
      </c>
      <c r="M370" s="677" t="inlineStr">
        <is>
          <t>INVESTISSEMENT</t>
        </is>
      </c>
      <c r="N370" s="678" t="inlineStr">
        <is>
          <t>Matériel informatiques</t>
        </is>
      </c>
      <c r="O370" s="679">
        <f>P370*1.2</f>
        <v/>
      </c>
      <c r="P370" s="680" t="n">
        <v>1906704</v>
      </c>
      <c r="Q370" s="680">
        <f>P370/1.2</f>
        <v/>
      </c>
      <c r="R370" s="675" t="inlineStr">
        <is>
          <t>NOUVEAU BESOIN</t>
        </is>
      </c>
      <c r="S370" s="681" t="n"/>
      <c r="T370" s="682" t="n"/>
      <c r="U370" s="683" t="n"/>
      <c r="V370" s="675" t="n"/>
      <c r="W370" s="682" t="n">
        <v>46073</v>
      </c>
      <c r="X370" s="682" t="n">
        <v>46073</v>
      </c>
      <c r="Y370" s="682" t="n"/>
      <c r="Z370" s="679">
        <f>AD370</f>
        <v/>
      </c>
      <c r="AA370" s="680" t="n">
        <v>0</v>
      </c>
      <c r="AB370" s="680" t="n">
        <v>0</v>
      </c>
      <c r="AC370" s="680" t="n">
        <v>0</v>
      </c>
      <c r="AD370" s="680">
        <f>AE370/1.2</f>
        <v/>
      </c>
      <c r="AE370" s="680" t="n">
        <v>0</v>
      </c>
      <c r="AF370" s="684" t="inlineStr">
        <is>
          <t>NON ENGAGE</t>
        </is>
      </c>
      <c r="AG370" s="683" t="n"/>
      <c r="AH370" s="680" t="n"/>
      <c r="AI370" s="680" t="n"/>
      <c r="AJ370" s="680" t="n"/>
      <c r="AK370" s="680" t="n"/>
      <c r="AL370" s="685" t="n"/>
      <c r="AM370" s="685" t="n"/>
      <c r="AN370" s="683" t="inlineStr">
        <is>
          <t>R,A,S</t>
        </is>
      </c>
    </row>
    <row r="371" ht="50.55" customHeight="1" s="392">
      <c r="A371" s="672">
        <f>IF(AF371="ENGAGE","✔",IF(AF371="EN COURS D'ENGAGEMENT","◕",IF(AF371="PREENGAGE","◑",IF(AF371="EN COURS DE PREENGAGEMENT","◔",IF(AF371="NON ENGAGE","✖","")))))</f>
        <v/>
      </c>
      <c r="B371" s="673" t="n">
        <v>2026</v>
      </c>
      <c r="C371" s="674" t="inlineStr">
        <is>
          <t>DTSI</t>
        </is>
      </c>
      <c r="D371" s="674" t="inlineStr">
        <is>
          <t>15 AOM/SNRT</t>
        </is>
      </c>
      <c r="E371" s="675" t="inlineStr">
        <is>
          <t>AOO-M</t>
        </is>
      </c>
      <c r="F371" s="675" t="n">
        <v>2</v>
      </c>
      <c r="G371" s="676" t="inlineStr">
        <is>
          <t>La fourniture et la mise en service d’infrastructures informatiques haute performance pour les applications d’intelligences artificielle pour les besoins de la SNRT</t>
        </is>
      </c>
      <c r="H371" s="673" t="inlineStr">
        <is>
          <t>INFRUCTUEUX</t>
        </is>
      </c>
      <c r="I371" s="675" t="inlineStr">
        <is>
          <t>INFRUCTUEUX</t>
        </is>
      </c>
      <c r="J371" s="675" t="n"/>
      <c r="K371" s="673" t="inlineStr">
        <is>
          <t>GENERAL</t>
        </is>
      </c>
      <c r="L371" s="675" t="inlineStr">
        <is>
          <t>Ordinaire</t>
        </is>
      </c>
      <c r="M371" s="677" t="inlineStr">
        <is>
          <t>INVESTISSEMENT</t>
        </is>
      </c>
      <c r="N371" s="678" t="inlineStr">
        <is>
          <t>Matériel informatiques</t>
        </is>
      </c>
      <c r="O371" s="679">
        <f>P371*1.2</f>
        <v/>
      </c>
      <c r="P371" s="680" t="n">
        <v>677484</v>
      </c>
      <c r="Q371" s="680">
        <f>P371/1.2</f>
        <v/>
      </c>
      <c r="R371" s="675" t="inlineStr">
        <is>
          <t>NOUVEAU BESOIN</t>
        </is>
      </c>
      <c r="S371" s="681" t="n"/>
      <c r="T371" s="682" t="n"/>
      <c r="U371" s="683" t="n"/>
      <c r="V371" s="675" t="n"/>
      <c r="W371" s="682" t="n">
        <v>46073</v>
      </c>
      <c r="X371" s="682" t="n">
        <v>46073</v>
      </c>
      <c r="Y371" s="682" t="n"/>
      <c r="Z371" s="679">
        <f>AD371</f>
        <v/>
      </c>
      <c r="AA371" s="680" t="n"/>
      <c r="AB371" s="680">
        <f>AF371</f>
        <v/>
      </c>
      <c r="AC371" s="680" t="n"/>
      <c r="AD371" s="680">
        <f>AH371</f>
        <v/>
      </c>
      <c r="AE371" s="680">
        <f>AI371</f>
        <v/>
      </c>
      <c r="AF371" s="684" t="inlineStr">
        <is>
          <t>NON ENGAGE</t>
        </is>
      </c>
      <c r="AG371" s="683" t="n"/>
      <c r="AH371" s="680" t="n"/>
      <c r="AI371" s="680" t="n"/>
      <c r="AJ371" s="680" t="n"/>
      <c r="AK371" s="680" t="n"/>
      <c r="AL371" s="685" t="n"/>
      <c r="AM371" s="685" t="n"/>
      <c r="AN371" s="683" t="inlineStr">
        <is>
          <t>R,A,S</t>
        </is>
      </c>
    </row>
    <row r="372" ht="35.7" customHeight="1" s="392">
      <c r="A372" s="672">
        <f>IF(AF372="ENGAGE","✔",IF(AF372="EN COURS D'ENGAGEMENT","◕",IF(AF372="PREENGAGE","◑",IF(AF372="EN COURS DE PREENGAGEMENT","◔",IF(AF372="NON ENGAGE","✖","")))))</f>
        <v/>
      </c>
      <c r="B372" s="673" t="n">
        <v>2026</v>
      </c>
      <c r="C372" s="674" t="inlineStr">
        <is>
          <t>DTSI</t>
        </is>
      </c>
      <c r="D372" s="674" t="inlineStr">
        <is>
          <t>11 AOM/SNRT</t>
        </is>
      </c>
      <c r="E372" s="675" t="inlineStr">
        <is>
          <t>AOO-M</t>
        </is>
      </c>
      <c r="F372" s="675" t="n">
        <v>1</v>
      </c>
      <c r="G372" s="676" t="inlineStr">
        <is>
          <t>La fourniture d’une solution DLP « Data Loss Prevention »pour les besoins de la SNRT</t>
        </is>
      </c>
      <c r="H372" s="673" t="inlineStr">
        <is>
          <t>VALIDE</t>
        </is>
      </c>
      <c r="I372" s="675" t="inlineStr">
        <is>
          <t>APPROUVE</t>
        </is>
      </c>
      <c r="J372" s="675" t="inlineStr">
        <is>
          <t>12M/2026</t>
        </is>
      </c>
      <c r="K372" s="673" t="inlineStr">
        <is>
          <t>PME</t>
        </is>
      </c>
      <c r="L372" s="675" t="inlineStr">
        <is>
          <t>REPORT BUDGET ANNEE ANTERIEURE</t>
        </is>
      </c>
      <c r="M372" s="677" t="inlineStr">
        <is>
          <t>INVESTISSEMENT</t>
        </is>
      </c>
      <c r="N372" s="678" t="inlineStr">
        <is>
          <t>Immobilisations incorporelles (logiciels, licences, etc.)</t>
        </is>
      </c>
      <c r="O372" s="679">
        <f>P372*1.2</f>
        <v/>
      </c>
      <c r="P372" s="680" t="n">
        <v>142872</v>
      </c>
      <c r="Q372" s="680">
        <f>P372/1.2</f>
        <v/>
      </c>
      <c r="R372" s="675" t="inlineStr">
        <is>
          <t>NOUVEAU BESOIN</t>
        </is>
      </c>
      <c r="S372" s="681" t="n"/>
      <c r="T372" s="682" t="n"/>
      <c r="U372" s="683" t="inlineStr">
        <is>
          <t>MODCOD</t>
        </is>
      </c>
      <c r="V372" s="675" t="n">
        <v>2026</v>
      </c>
      <c r="W372" s="682" t="n">
        <v>46073</v>
      </c>
      <c r="X372" s="682" t="n">
        <v>46073</v>
      </c>
      <c r="Y372" s="682" t="n">
        <v>46141</v>
      </c>
      <c r="Z372" s="679">
        <f>AD372</f>
        <v/>
      </c>
      <c r="AA372" s="680" t="n">
        <v>0</v>
      </c>
      <c r="AB372" s="680">
        <f>AE372</f>
        <v/>
      </c>
      <c r="AC372" s="680" t="n">
        <v>0</v>
      </c>
      <c r="AD372" s="680">
        <f>AE372/1.2</f>
        <v/>
      </c>
      <c r="AE372" s="680" t="n">
        <v>166800</v>
      </c>
      <c r="AF372" s="684" t="inlineStr">
        <is>
          <t>ENGAGE</t>
        </is>
      </c>
      <c r="AG372" s="683" t="n"/>
      <c r="AH372" s="680" t="n"/>
      <c r="AI372" s="680" t="n"/>
      <c r="AJ372" s="680" t="n"/>
      <c r="AK372" s="680" t="n"/>
      <c r="AL372" s="685" t="n"/>
      <c r="AM372" s="685" t="n"/>
      <c r="AN372" s="683" t="inlineStr">
        <is>
          <t>R,A,S</t>
        </is>
      </c>
    </row>
    <row r="373" ht="50.55" customHeight="1" s="392">
      <c r="A373" s="672">
        <f>IF(AF373="ENGAGE","✔",IF(AF373="EN COURS D'ENGAGEMENT","◕",IF(AF373="PREENGAGE","◑",IF(AF373="EN COURS DE PREENGAGEMENT","◔",IF(AF373="NON ENGAGE","✖","")))))</f>
        <v/>
      </c>
      <c r="B373" s="673" t="n">
        <v>2025</v>
      </c>
      <c r="C373" s="674" t="inlineStr">
        <is>
          <t>TDF -SITES</t>
        </is>
      </c>
      <c r="D373" s="674" t="inlineStr">
        <is>
          <t>96 AOM/SNRT</t>
        </is>
      </c>
      <c r="E373" s="675" t="inlineStr">
        <is>
          <t>AOO-M</t>
        </is>
      </c>
      <c r="F373" s="675" t="n">
        <v>2</v>
      </c>
      <c r="G373" s="676" t="inlineStr">
        <is>
          <t>Fourniture de convertisseurs « Electrique/ Optique » - « Optique/ Electrique » bidirectionnels pour les signaux électriques SDI, ASI et IP.</t>
        </is>
      </c>
      <c r="H373" s="673" t="inlineStr">
        <is>
          <t>VALIDE</t>
        </is>
      </c>
      <c r="I373" s="675" t="inlineStr">
        <is>
          <t>APPROUVE</t>
        </is>
      </c>
      <c r="J373" s="675" t="inlineStr">
        <is>
          <t>06M/2026</t>
        </is>
      </c>
      <c r="K373" s="673" t="inlineStr">
        <is>
          <t>GENERAL</t>
        </is>
      </c>
      <c r="L373" s="675" t="inlineStr">
        <is>
          <t>REPORT BUDGET ANNEE ANTERIEURE</t>
        </is>
      </c>
      <c r="M373" s="677" t="inlineStr">
        <is>
          <t>INVESTISSEMENT</t>
        </is>
      </c>
      <c r="N373" s="678" t="inlineStr">
        <is>
          <t>Équipements de télédiffusion</t>
        </is>
      </c>
      <c r="O373" s="679">
        <f>P373*1.2</f>
        <v/>
      </c>
      <c r="P373" s="680" t="n">
        <v>1500000</v>
      </c>
      <c r="Q373" s="680">
        <f>P373/1.2</f>
        <v/>
      </c>
      <c r="R373" s="675" t="inlineStr">
        <is>
          <t>NOUVEAU BESOIN</t>
        </is>
      </c>
      <c r="S373" s="681" t="n"/>
      <c r="T373" s="682" t="n"/>
      <c r="U373" s="683" t="inlineStr">
        <is>
          <t>MOYANO MAROC</t>
        </is>
      </c>
      <c r="V373" s="675" t="n">
        <v>2026</v>
      </c>
      <c r="W373" s="682" t="n">
        <v>46073</v>
      </c>
      <c r="X373" s="682" t="n"/>
      <c r="Y373" s="682" t="n">
        <v>46077</v>
      </c>
      <c r="Z373" s="679">
        <f>AB373/1.2</f>
        <v/>
      </c>
      <c r="AA373" s="680" t="n">
        <v>0</v>
      </c>
      <c r="AB373" s="680" t="n">
        <v>1581600</v>
      </c>
      <c r="AC373" s="680" t="n">
        <v>0</v>
      </c>
      <c r="AD373" s="680">
        <f>Z373</f>
        <v/>
      </c>
      <c r="AE373" s="680">
        <f>AB373</f>
        <v/>
      </c>
      <c r="AF373" s="684" t="inlineStr">
        <is>
          <t>ENGAGE</t>
        </is>
      </c>
      <c r="AG373" s="683" t="n"/>
      <c r="AH373" s="680" t="n"/>
      <c r="AI373" s="680" t="n"/>
      <c r="AJ373" s="680" t="n"/>
      <c r="AK373" s="680" t="n"/>
      <c r="AL373" s="685" t="n"/>
      <c r="AM373" s="685" t="n"/>
      <c r="AN373" s="683" t="inlineStr">
        <is>
          <t>R,A,S</t>
        </is>
      </c>
    </row>
    <row r="374" ht="80.25" customHeight="1" s="392">
      <c r="A374" s="672">
        <f>IF(AF374="ENGAGE","✔",IF(AF374="EN COURS D'ENGAGEMENT","◕",IF(AF374="PREENGAGE","◑",IF(AF374="EN COURS DE PREENGAGEMENT","◔",IF(AF374="NON ENGAGE","✖","")))))</f>
        <v/>
      </c>
      <c r="B374" s="673" t="n">
        <v>2026</v>
      </c>
      <c r="C374" s="674" t="inlineStr">
        <is>
          <t>DRPSD</t>
        </is>
      </c>
      <c r="D374" s="674" t="inlineStr">
        <is>
          <t>EXCLUSIVITÉ</t>
        </is>
      </c>
      <c r="E374" s="675" t="inlineStr">
        <is>
          <t>CONTRAT</t>
        </is>
      </c>
      <c r="F374" s="675" t="n">
        <v>1</v>
      </c>
      <c r="G374" s="676" t="inlineStr">
        <is>
          <t>La souscription par la SNRT aux services de mesures d’audience suivants : Planview TV, Radiomat, Fichier Mediapilot, OTVY, Souscription à 21 cibles spécifiques, FICHIER BI, Intégration de la Chaîne Tamazight à Planview, Fichier Mediapilot RADIO</t>
        </is>
      </c>
      <c r="H374" s="673" t="inlineStr">
        <is>
          <t>VALIDE</t>
        </is>
      </c>
      <c r="I374" s="675" t="inlineStr">
        <is>
          <t>APPROUVE</t>
        </is>
      </c>
      <c r="J374" s="675" t="inlineStr">
        <is>
          <t>001/2026</t>
        </is>
      </c>
      <c r="K374" s="673" t="inlineStr">
        <is>
          <t>NON CONCERNE</t>
        </is>
      </c>
      <c r="L374" s="675" t="inlineStr">
        <is>
          <t>Ordinaire</t>
        </is>
      </c>
      <c r="M374" s="677" t="inlineStr">
        <is>
          <t>FONCTIONNEMENT</t>
        </is>
      </c>
      <c r="N374" s="678" t="inlineStr">
        <is>
          <t>Prestation de services
Achat prestations de services locales - sociétés</t>
        </is>
      </c>
      <c r="O374" s="679" t="n"/>
      <c r="P374" s="680" t="n"/>
      <c r="Q374" s="680" t="n"/>
      <c r="R374" s="675" t="inlineStr">
        <is>
          <t>RECONDUCTION</t>
        </is>
      </c>
      <c r="S374" s="681" t="n"/>
      <c r="T374" s="682" t="n"/>
      <c r="U374" s="683" t="inlineStr">
        <is>
          <t>MAROCMETRIE</t>
        </is>
      </c>
      <c r="V374" s="675" t="n">
        <v>2026</v>
      </c>
      <c r="W374" s="682" t="n">
        <v>46387</v>
      </c>
      <c r="X374" s="682" t="n"/>
      <c r="Y374" s="682" t="n">
        <v>46024</v>
      </c>
      <c r="Z374" s="679" t="n">
        <v>308300</v>
      </c>
      <c r="AA374" s="680" t="n">
        <v>0</v>
      </c>
      <c r="AB374" s="680" t="n">
        <v>369960</v>
      </c>
      <c r="AC374" s="680" t="n">
        <v>0</v>
      </c>
      <c r="AD374" s="680">
        <f>Z374</f>
        <v/>
      </c>
      <c r="AE374" s="680">
        <f>AB374</f>
        <v/>
      </c>
      <c r="AF374" s="684" t="inlineStr">
        <is>
          <t>ENGAGE</t>
        </is>
      </c>
      <c r="AG374" s="683" t="n"/>
      <c r="AH374" s="680" t="n"/>
      <c r="AI374" s="680" t="n"/>
      <c r="AJ374" s="680" t="n"/>
      <c r="AK374" s="680" t="n"/>
      <c r="AL374" s="685" t="n"/>
      <c r="AM374" s="685" t="n"/>
      <c r="AN374" s="683" t="inlineStr">
        <is>
          <t>R,A,S</t>
        </is>
      </c>
    </row>
    <row r="375" ht="32" customHeight="1" s="392">
      <c r="A375" s="672">
        <f>IF(AF375="ENGAGE","✔",IF(AF375="EN COURS D'ENGAGEMENT","◕",IF(AF375="PREENGAGE","◑",IF(AF375="EN COURS DE PREENGAGEMENT","◔",IF(AF375="NON ENGAGE","✖","")))))</f>
        <v/>
      </c>
      <c r="B375" s="673" t="n">
        <v>2026</v>
      </c>
      <c r="C375" s="674" t="inlineStr">
        <is>
          <t>DRPSD</t>
        </is>
      </c>
      <c r="D375" s="674" t="inlineStr">
        <is>
          <t>EXCLUSIVITÉ</t>
        </is>
      </c>
      <c r="E375" s="675" t="inlineStr">
        <is>
          <t>CONTRAT</t>
        </is>
      </c>
      <c r="F375" s="675" t="n">
        <v>1</v>
      </c>
      <c r="G375" s="676" t="inlineStr">
        <is>
          <t>Adhésion à l’EGTA année 2026</t>
        </is>
      </c>
      <c r="H375" s="673" t="inlineStr">
        <is>
          <t>VALIDE</t>
        </is>
      </c>
      <c r="I375" s="675" t="inlineStr">
        <is>
          <t>APPROUVE</t>
        </is>
      </c>
      <c r="J375" s="675" t="n"/>
      <c r="K375" s="673" t="inlineStr">
        <is>
          <t>NON CONCERNE</t>
        </is>
      </c>
      <c r="L375" s="675" t="inlineStr">
        <is>
          <t>Ordinaire</t>
        </is>
      </c>
      <c r="M375" s="677" t="inlineStr">
        <is>
          <t>FONCTIONNEMENT</t>
        </is>
      </c>
      <c r="N375" s="678" t="inlineStr">
        <is>
          <t>Redevances et cotisations</t>
        </is>
      </c>
      <c r="O375" s="679" t="n"/>
      <c r="P375" s="680" t="n"/>
      <c r="Q375" s="680" t="n"/>
      <c r="R375" s="675" t="inlineStr">
        <is>
          <t>RECONDUCTION</t>
        </is>
      </c>
      <c r="S375" s="681" t="n"/>
      <c r="T375" s="682" t="n"/>
      <c r="U375" s="683" t="inlineStr">
        <is>
          <t>EGTA</t>
        </is>
      </c>
      <c r="V375" s="675" t="n">
        <v>2026</v>
      </c>
      <c r="W375" s="682" t="n">
        <v>46022</v>
      </c>
      <c r="X375" s="682" t="n"/>
      <c r="Y375" s="682" t="n">
        <v>46024</v>
      </c>
      <c r="Z375" s="679">
        <f>AD375</f>
        <v/>
      </c>
      <c r="AA375" s="680" t="n">
        <v>10639</v>
      </c>
      <c r="AB375" s="680">
        <f>AD375</f>
        <v/>
      </c>
      <c r="AC375" s="680" t="n">
        <v>10639</v>
      </c>
      <c r="AD375" s="680" t="n">
        <v>113711.51</v>
      </c>
      <c r="AE375" s="680" t="n">
        <v>113711.51</v>
      </c>
      <c r="AF375" s="684" t="inlineStr">
        <is>
          <t>ENGAGE</t>
        </is>
      </c>
      <c r="AG375" s="683" t="n"/>
      <c r="AH375" s="680" t="n"/>
      <c r="AI375" s="680" t="n"/>
      <c r="AJ375" s="680" t="n"/>
      <c r="AK375" s="680" t="n"/>
      <c r="AL375" s="685" t="n"/>
      <c r="AM375" s="685" t="n"/>
      <c r="AN375" s="683" t="inlineStr">
        <is>
          <t>R.A.S</t>
        </is>
      </c>
    </row>
    <row r="376" ht="50.55" customHeight="1" s="392">
      <c r="A376" s="672">
        <f>IF(AF376="ENGAGE","✔",IF(AF376="EN COURS D'ENGAGEMENT","◕",IF(AF376="PREENGAGE","◑",IF(AF376="EN COURS DE PREENGAGEMENT","◔",IF(AF376="NON ENGAGE","✖","")))))</f>
        <v/>
      </c>
      <c r="B376" s="673" t="n">
        <v>2026</v>
      </c>
      <c r="C376" s="674" t="inlineStr">
        <is>
          <t>TDF-EXP&amp;MAIN</t>
        </is>
      </c>
      <c r="D376" s="674" t="inlineStr">
        <is>
          <t>09 AOM/SNRT</t>
        </is>
      </c>
      <c r="E376" s="675" t="inlineStr">
        <is>
          <t>AOO-M</t>
        </is>
      </c>
      <c r="F376" s="675" t="n">
        <v>1</v>
      </c>
      <c r="G376" s="676" t="inlineStr">
        <is>
          <t>Acquisition de matériel technique et informatique pour l’extension de l’outil digital de gestion des ressources techniques et humaines de l’exploitation et de la maintenance</t>
        </is>
      </c>
      <c r="H376" s="673" t="inlineStr">
        <is>
          <t>INFRUCTUEUX</t>
        </is>
      </c>
      <c r="I376" s="675" t="inlineStr">
        <is>
          <t>INFRUCTUEUX</t>
        </is>
      </c>
      <c r="J376" s="675" t="n"/>
      <c r="K376" s="673" t="inlineStr">
        <is>
          <t>GENERAL</t>
        </is>
      </c>
      <c r="L376" s="675" t="inlineStr">
        <is>
          <t>REPORT BUDGET ANNEE ANTERIEURE</t>
        </is>
      </c>
      <c r="M376" s="677" t="inlineStr">
        <is>
          <t>INVESTISSEMENT</t>
        </is>
      </c>
      <c r="N376" s="678" t="inlineStr">
        <is>
          <t>Équipements de télédiffusion</t>
        </is>
      </c>
      <c r="O376" s="679">
        <f>P376*1.2</f>
        <v/>
      </c>
      <c r="P376" s="680" t="n">
        <v>540000</v>
      </c>
      <c r="Q376" s="680">
        <f>P376/1.2</f>
        <v/>
      </c>
      <c r="R376" s="675" t="inlineStr">
        <is>
          <t>NOUVEAU BESOIN</t>
        </is>
      </c>
      <c r="S376" s="681" t="n"/>
      <c r="T376" s="682" t="n"/>
      <c r="U376" s="683" t="n"/>
      <c r="V376" s="675" t="n"/>
      <c r="W376" s="682" t="n">
        <v>46080</v>
      </c>
      <c r="X376" s="682" t="n">
        <v>46084</v>
      </c>
      <c r="Y376" s="682" t="n"/>
      <c r="Z376" s="679" t="n">
        <v>0</v>
      </c>
      <c r="AA376" s="680" t="n">
        <v>0</v>
      </c>
      <c r="AB376" s="680" t="n">
        <v>0</v>
      </c>
      <c r="AC376" s="680" t="n">
        <v>0</v>
      </c>
      <c r="AD376" s="680" t="n">
        <v>0</v>
      </c>
      <c r="AE376" s="680" t="n">
        <v>0</v>
      </c>
      <c r="AF376" s="684" t="inlineStr">
        <is>
          <t>NON ENGAGE</t>
        </is>
      </c>
      <c r="AG376" s="683" t="n"/>
      <c r="AH376" s="680" t="n"/>
      <c r="AI376" s="680" t="n"/>
      <c r="AJ376" s="680" t="n"/>
      <c r="AK376" s="680" t="n"/>
      <c r="AL376" s="685" t="n"/>
      <c r="AM376" s="685" t="n"/>
      <c r="AN376" s="683" t="inlineStr">
        <is>
          <t>R.A.S</t>
        </is>
      </c>
    </row>
    <row r="377" ht="35.7" customHeight="1" s="392">
      <c r="A377" s="672">
        <f>IF(AF377="ENGAGE","✔",IF(AF377="EN COURS D'ENGAGEMENT","◕",IF(AF377="PREENGAGE","◑",IF(AF377="EN COURS DE PREENGAGEMENT","◔",IF(AF377="NON ENGAGE","✖","")))))</f>
        <v/>
      </c>
      <c r="B377" s="673" t="n">
        <v>2025</v>
      </c>
      <c r="C377" s="674" t="inlineStr">
        <is>
          <t>TDF -SITES</t>
        </is>
      </c>
      <c r="D377" s="674" t="inlineStr">
        <is>
          <t>75AOM/SNRT</t>
        </is>
      </c>
      <c r="E377" s="675" t="inlineStr">
        <is>
          <t>AOO-M</t>
        </is>
      </c>
      <c r="F377" s="675" t="n">
        <v>1</v>
      </c>
      <c r="G377" s="676" t="inlineStr">
        <is>
          <t>Fourniture, installation et mise en service de climatiseurs de type armoire de puissance frigorifique 48000 Btu</t>
        </is>
      </c>
      <c r="H377" s="673" t="inlineStr">
        <is>
          <t>VALIDE</t>
        </is>
      </c>
      <c r="I377" s="675" t="inlineStr">
        <is>
          <t>APPROUVE</t>
        </is>
      </c>
      <c r="J377" s="675" t="inlineStr">
        <is>
          <t>07M/2026</t>
        </is>
      </c>
      <c r="K377" s="673" t="inlineStr">
        <is>
          <t>PME</t>
        </is>
      </c>
      <c r="L377" s="675" t="inlineStr">
        <is>
          <t>REPORT BUDGET ANNEE ANTERIEURE</t>
        </is>
      </c>
      <c r="M377" s="677" t="inlineStr">
        <is>
          <t>INVESTISSEMENT</t>
        </is>
      </c>
      <c r="N377" s="678" t="inlineStr">
        <is>
          <t>Équipements de télédiffusion</t>
        </is>
      </c>
      <c r="O377" s="679">
        <f>P377*1.2</f>
        <v/>
      </c>
      <c r="P377" s="680" t="n">
        <v>765000</v>
      </c>
      <c r="Q377" s="680">
        <f>P377/1.2</f>
        <v/>
      </c>
      <c r="R377" s="675" t="inlineStr">
        <is>
          <t>BESOIN RECURRENT</t>
        </is>
      </c>
      <c r="S377" s="681" t="n"/>
      <c r="T377" s="682" t="n"/>
      <c r="U377" s="683" t="inlineStr">
        <is>
          <t>SIDATE BRAHIM TECHNO</t>
        </is>
      </c>
      <c r="V377" s="675" t="n">
        <v>2026</v>
      </c>
      <c r="W377" s="682" t="n">
        <v>46080</v>
      </c>
      <c r="X377" s="682" t="n"/>
      <c r="Y377" s="682" t="n">
        <v>46084</v>
      </c>
      <c r="Z377" s="679" t="n">
        <v>500000</v>
      </c>
      <c r="AA377" s="680" t="n">
        <v>0</v>
      </c>
      <c r="AB377" s="680" t="n">
        <v>600000</v>
      </c>
      <c r="AC377" s="680" t="n">
        <v>0</v>
      </c>
      <c r="AD377" s="680" t="n">
        <v>500000</v>
      </c>
      <c r="AE377" s="680" t="n">
        <v>600000</v>
      </c>
      <c r="AF377" s="684" t="inlineStr">
        <is>
          <t>ENGAGE</t>
        </is>
      </c>
      <c r="AG377" s="683" t="n"/>
      <c r="AH377" s="680" t="n"/>
      <c r="AI377" s="680" t="n"/>
      <c r="AJ377" s="680" t="n"/>
      <c r="AK377" s="680" t="n"/>
      <c r="AL377" s="685" t="n"/>
      <c r="AM377" s="685" t="n"/>
      <c r="AN377" s="683" t="inlineStr">
        <is>
          <t>R.A.S</t>
        </is>
      </c>
    </row>
    <row r="378" ht="35.7" customHeight="1" s="392">
      <c r="A378" s="672">
        <f>IF(AF378="ENGAGE","✔",IF(AF378="EN COURS D'ENGAGEMENT","◕",IF(AF378="PREENGAGE","◑",IF(AF378="EN COURS DE PREENGAGEMENT","◔",IF(AF378="NON ENGAGE","✖","")))))</f>
        <v/>
      </c>
      <c r="B378" s="673" t="n">
        <v>2026</v>
      </c>
      <c r="C378" s="674" t="inlineStr">
        <is>
          <t>DPMG</t>
        </is>
      </c>
      <c r="D378" s="674" t="inlineStr">
        <is>
          <t>58AOM/SNRT/2026</t>
        </is>
      </c>
      <c r="E378" s="675" t="inlineStr">
        <is>
          <t>AOO-M</t>
        </is>
      </c>
      <c r="F378" s="675" t="n">
        <v>1</v>
      </c>
      <c r="G378" s="676" t="inlineStr">
        <is>
          <t>Extension et mise à jour de la solution de la vidéosurveillance de la SNRT à Rabat et Casablanca</t>
        </is>
      </c>
      <c r="H378" s="673" t="inlineStr">
        <is>
          <t>VALIDE</t>
        </is>
      </c>
      <c r="I378" s="675" t="inlineStr">
        <is>
          <t>ATTRIBUE</t>
        </is>
      </c>
      <c r="J378" s="675" t="n"/>
      <c r="K378" s="673" t="inlineStr">
        <is>
          <t>PME</t>
        </is>
      </c>
      <c r="L378" s="675" t="inlineStr">
        <is>
          <t>REPORT BUDGET ANNEE ANTERIEURE</t>
        </is>
      </c>
      <c r="M378" s="677" t="inlineStr">
        <is>
          <t>INVESTISSEMENT</t>
        </is>
      </c>
      <c r="N378" s="678" t="inlineStr">
        <is>
          <t>Installations techniques</t>
        </is>
      </c>
      <c r="O378" s="679">
        <f>P378*1.2</f>
        <v/>
      </c>
      <c r="P378" s="680" t="n">
        <v>1024080</v>
      </c>
      <c r="Q378" s="680">
        <f>P378/1.2</f>
        <v/>
      </c>
      <c r="R378" s="675" t="inlineStr">
        <is>
          <t>NOUVEAU BESOIN</t>
        </is>
      </c>
      <c r="S378" s="681" t="n"/>
      <c r="T378" s="682" t="n"/>
      <c r="U378" s="683" t="inlineStr">
        <is>
          <t>MELINT</t>
        </is>
      </c>
      <c r="V378" s="675" t="n"/>
      <c r="W378" s="682" t="n">
        <v>46086</v>
      </c>
      <c r="X378" s="682" t="n"/>
      <c r="Y378" s="682" t="n"/>
      <c r="Z378" s="679" t="n"/>
      <c r="AA378" s="680" t="n"/>
      <c r="AB378" s="680" t="n"/>
      <c r="AC378" s="680" t="n"/>
      <c r="AD378" s="680" t="n"/>
      <c r="AE378" s="680" t="n">
        <v>1003598.4</v>
      </c>
      <c r="AF378" s="684" t="inlineStr">
        <is>
          <t>PREENGAGE</t>
        </is>
      </c>
      <c r="AG378" s="683" t="n"/>
      <c r="AH378" s="680" t="n"/>
      <c r="AI378" s="680" t="n"/>
      <c r="AJ378" s="680" t="n"/>
      <c r="AK378" s="680" t="n"/>
      <c r="AL378" s="685" t="n"/>
      <c r="AM378" s="685" t="n"/>
      <c r="AN378" s="683" t="inlineStr">
        <is>
          <t>N° AO + PME ? + DATE FICHE</t>
        </is>
      </c>
    </row>
    <row r="379" ht="35.7" customHeight="1" s="392">
      <c r="A379" s="672">
        <f>IF(AF379="ENGAGE","✔",IF(AF379="EN COURS D'ENGAGEMENT","◕",IF(AF379="PREENGAGE","◑",IF(AF379="EN COURS DE PREENGAGEMENT","◔",IF(AF379="NON ENGAGE","✖","")))))</f>
        <v/>
      </c>
      <c r="B379" s="673" t="n">
        <v>2026</v>
      </c>
      <c r="C379" s="674" t="inlineStr">
        <is>
          <t>DPMG</t>
        </is>
      </c>
      <c r="D379" s="674" t="inlineStr">
        <is>
          <t>58AOM/SNRT/2026</t>
        </is>
      </c>
      <c r="E379" s="675" t="inlineStr">
        <is>
          <t>AOO-M</t>
        </is>
      </c>
      <c r="F379" s="675" t="n">
        <v>2</v>
      </c>
      <c r="G379" s="676" t="inlineStr">
        <is>
          <t>Extension et mise à jour de la solution de la vidéosurveillance de la SNRT à Station TV LAAYOUNE</t>
        </is>
      </c>
      <c r="H379" s="673" t="inlineStr">
        <is>
          <t>VALIDE</t>
        </is>
      </c>
      <c r="I379" s="675" t="inlineStr">
        <is>
          <t>ATTRIBUE</t>
        </is>
      </c>
      <c r="J379" s="675" t="n"/>
      <c r="K379" s="673" t="inlineStr">
        <is>
          <t>PME</t>
        </is>
      </c>
      <c r="L379" s="675" t="inlineStr">
        <is>
          <t>REPORT BUDGET ANNEE ANTERIEURE</t>
        </is>
      </c>
      <c r="M379" s="677" t="inlineStr">
        <is>
          <t>INVESTISSEMENT</t>
        </is>
      </c>
      <c r="N379" s="678" t="inlineStr">
        <is>
          <t>Installations techniques</t>
        </is>
      </c>
      <c r="O379" s="679">
        <f>P379*1.2</f>
        <v/>
      </c>
      <c r="P379" s="680" t="n">
        <v>542640</v>
      </c>
      <c r="Q379" s="680">
        <f>P379/1.2</f>
        <v/>
      </c>
      <c r="R379" s="675" t="inlineStr">
        <is>
          <t>NOUVEAU BESOIN</t>
        </is>
      </c>
      <c r="S379" s="681" t="n"/>
      <c r="T379" s="682" t="n"/>
      <c r="U379" s="683" t="inlineStr">
        <is>
          <t>MELINT</t>
        </is>
      </c>
      <c r="V379" s="675" t="n"/>
      <c r="W379" s="682" t="n">
        <v>46086</v>
      </c>
      <c r="X379" s="682" t="n"/>
      <c r="Y379" s="682" t="n"/>
      <c r="Z379" s="679" t="n"/>
      <c r="AA379" s="680" t="n"/>
      <c r="AB379" s="680" t="n"/>
      <c r="AC379" s="680" t="n"/>
      <c r="AD379" s="680" t="n"/>
      <c r="AE379" s="680" t="n">
        <v>531787.2</v>
      </c>
      <c r="AF379" s="684" t="inlineStr">
        <is>
          <t>PREENGAGE</t>
        </is>
      </c>
      <c r="AG379" s="683" t="n"/>
      <c r="AH379" s="680" t="n"/>
      <c r="AI379" s="680" t="n"/>
      <c r="AJ379" s="680" t="n"/>
      <c r="AK379" s="680" t="n"/>
      <c r="AL379" s="685" t="n"/>
      <c r="AM379" s="685" t="n"/>
      <c r="AN379" s="683" t="inlineStr">
        <is>
          <t>N° AO + PME ? + DATE FICHE</t>
        </is>
      </c>
    </row>
    <row r="380" ht="32" customHeight="1" s="392">
      <c r="A380" s="672">
        <f>IF(AF380="ENGAGE","✔",IF(AF380="EN COURS D'ENGAGEMENT","◕",IF(AF380="PREENGAGE","◑",IF(AF380="EN COURS DE PREENGAGEMENT","◔",IF(AF380="NON ENGAGE","✖","")))))</f>
        <v/>
      </c>
      <c r="B380" s="673" t="n">
        <v>2026</v>
      </c>
      <c r="C380" s="674" t="inlineStr">
        <is>
          <t>DJURIDIQUE</t>
        </is>
      </c>
      <c r="D380" s="674" t="inlineStr">
        <is>
          <t>EXCLUSIVITÉ</t>
        </is>
      </c>
      <c r="E380" s="675" t="inlineStr">
        <is>
          <t>CONTRAT</t>
        </is>
      </c>
      <c r="F380" s="675" t="n">
        <v>1</v>
      </c>
      <c r="G380" s="676" t="inlineStr">
        <is>
          <t>Convention conclus avec OIAS STATES BOADCASTING</t>
        </is>
      </c>
      <c r="H380" s="673" t="inlineStr">
        <is>
          <t>VALIDE</t>
        </is>
      </c>
      <c r="I380" s="675" t="inlineStr">
        <is>
          <t>APPROUVE</t>
        </is>
      </c>
      <c r="J380" s="675" t="inlineStr">
        <is>
          <t>26000039CT</t>
        </is>
      </c>
      <c r="K380" s="673" t="inlineStr">
        <is>
          <t>NON CONCERNE</t>
        </is>
      </c>
      <c r="L380" s="675" t="inlineStr">
        <is>
          <t>Ordinaire</t>
        </is>
      </c>
      <c r="M380" s="677" t="inlineStr">
        <is>
          <t>FONCTIONNEMENT</t>
        </is>
      </c>
      <c r="N380" s="678" t="inlineStr">
        <is>
          <t>Redevances et cotisations</t>
        </is>
      </c>
      <c r="O380" s="679" t="n"/>
      <c r="P380" s="680" t="n"/>
      <c r="Q380" s="680" t="n"/>
      <c r="R380" s="675" t="inlineStr">
        <is>
          <t>RECONDUCTION</t>
        </is>
      </c>
      <c r="S380" s="681" t="n"/>
      <c r="T380" s="682" t="n"/>
      <c r="U380" s="683" t="inlineStr">
        <is>
          <t>OIAS STATES BROADCASTING</t>
        </is>
      </c>
      <c r="V380" s="675" t="n">
        <v>2026</v>
      </c>
      <c r="W380" s="682" t="n">
        <v>46027</v>
      </c>
      <c r="X380" s="682" t="n"/>
      <c r="Y380" s="682" t="n">
        <v>46027</v>
      </c>
      <c r="Z380" s="679" t="n">
        <v>677850.6800000001</v>
      </c>
      <c r="AA380" s="680" t="n">
        <v>37932.56</v>
      </c>
      <c r="AB380" s="680">
        <f>Z380</f>
        <v/>
      </c>
      <c r="AC380" s="680">
        <f>AA380</f>
        <v/>
      </c>
      <c r="AD380" s="680">
        <f>AB380</f>
        <v/>
      </c>
      <c r="AE380" s="680">
        <f>AB380</f>
        <v/>
      </c>
      <c r="AF380" s="684" t="inlineStr">
        <is>
          <t>ENGAGE</t>
        </is>
      </c>
      <c r="AG380" s="683" t="n"/>
      <c r="AH380" s="680" t="n"/>
      <c r="AI380" s="680" t="n"/>
      <c r="AJ380" s="680" t="n"/>
      <c r="AK380" s="680" t="n"/>
      <c r="AL380" s="685" t="n"/>
      <c r="AM380" s="685" t="n"/>
      <c r="AN380" s="683" t="inlineStr">
        <is>
          <t>R.A.S</t>
        </is>
      </c>
    </row>
    <row r="381" ht="32" customHeight="1" s="392">
      <c r="A381" s="672">
        <f>IF(AF381="ENGAGE","✔",IF(AF381="EN COURS D'ENGAGEMENT","◕",IF(AF381="PREENGAGE","◑",IF(AF381="EN COURS DE PREENGAGEMENT","◔",IF(AF381="NON ENGAGE","✖","")))))</f>
        <v/>
      </c>
      <c r="B381" s="673" t="n">
        <v>2026</v>
      </c>
      <c r="C381" s="674" t="inlineStr">
        <is>
          <t>DJURIDIQUE</t>
        </is>
      </c>
      <c r="D381" s="674" t="inlineStr">
        <is>
          <t>EXCLUSIVITÉ</t>
        </is>
      </c>
      <c r="E381" s="675" t="inlineStr">
        <is>
          <t>CONTRAT</t>
        </is>
      </c>
      <c r="F381" s="675" t="n">
        <v>1</v>
      </c>
      <c r="G381" s="676" t="inlineStr">
        <is>
          <t>Convention conclus avec ASBU</t>
        </is>
      </c>
      <c r="H381" s="673" t="inlineStr">
        <is>
          <t>VALIDE</t>
        </is>
      </c>
      <c r="I381" s="675" t="inlineStr">
        <is>
          <t>APPROUVE</t>
        </is>
      </c>
      <c r="J381" s="675" t="inlineStr">
        <is>
          <t>26000156CT</t>
        </is>
      </c>
      <c r="K381" s="673" t="inlineStr">
        <is>
          <t>NON CONCERNE</t>
        </is>
      </c>
      <c r="L381" s="675" t="inlineStr">
        <is>
          <t>Ordinaire</t>
        </is>
      </c>
      <c r="M381" s="677" t="inlineStr">
        <is>
          <t>FONCTIONNEMENT</t>
        </is>
      </c>
      <c r="N381" s="678" t="inlineStr">
        <is>
          <t>Redevances et cotisations</t>
        </is>
      </c>
      <c r="O381" s="679" t="n"/>
      <c r="P381" s="680" t="n"/>
      <c r="Q381" s="680" t="n"/>
      <c r="R381" s="675" t="inlineStr">
        <is>
          <t>RECONDUCTION</t>
        </is>
      </c>
      <c r="S381" s="681" t="n"/>
      <c r="T381" s="682" t="n"/>
      <c r="U381" s="683" t="inlineStr">
        <is>
          <t>ASBU</t>
        </is>
      </c>
      <c r="V381" s="675" t="n">
        <v>2026</v>
      </c>
      <c r="W381" s="682" t="n">
        <v>46049</v>
      </c>
      <c r="X381" s="682" t="n"/>
      <c r="Y381" s="682" t="n">
        <v>46049</v>
      </c>
      <c r="Z381" s="679" t="n">
        <v>1111110.72</v>
      </c>
      <c r="AA381" s="680" t="n">
        <v>122427</v>
      </c>
      <c r="AB381" s="680">
        <f>Z381</f>
        <v/>
      </c>
      <c r="AC381" s="680">
        <f>AA381</f>
        <v/>
      </c>
      <c r="AD381" s="680">
        <f>AB381</f>
        <v/>
      </c>
      <c r="AE381" s="680">
        <f>AB381</f>
        <v/>
      </c>
      <c r="AF381" s="684" t="inlineStr">
        <is>
          <t>ENGAGE</t>
        </is>
      </c>
      <c r="AG381" s="683" t="n"/>
      <c r="AH381" s="680" t="n"/>
      <c r="AI381" s="680" t="n"/>
      <c r="AJ381" s="680" t="n"/>
      <c r="AK381" s="680" t="n"/>
      <c r="AL381" s="685" t="n"/>
      <c r="AM381" s="685" t="n"/>
      <c r="AN381" s="683" t="inlineStr">
        <is>
          <t>R.A.S</t>
        </is>
      </c>
    </row>
    <row r="382" ht="32" customHeight="1" s="392">
      <c r="A382" s="672">
        <f>IF(AF382="ENGAGE","✔",IF(AF382="EN COURS D'ENGAGEMENT","◕",IF(AF382="PREENGAGE","◑",IF(AF382="EN COURS DE PREENGAGEMENT","◔",IF(AF382="NON ENGAGE","✖","")))))</f>
        <v/>
      </c>
      <c r="B382" s="673" t="n">
        <v>2026</v>
      </c>
      <c r="C382" s="674" t="inlineStr">
        <is>
          <t>DJURIDIQUE</t>
        </is>
      </c>
      <c r="D382" s="674" t="inlineStr">
        <is>
          <t>EXCLUSIVITÉ</t>
        </is>
      </c>
      <c r="E382" s="675" t="inlineStr">
        <is>
          <t>CONTRAT</t>
        </is>
      </c>
      <c r="F382" s="675" t="n">
        <v>1</v>
      </c>
      <c r="G382" s="676" t="inlineStr">
        <is>
          <t>Convention conclus avec ASBU</t>
        </is>
      </c>
      <c r="H382" s="673" t="inlineStr">
        <is>
          <t>VALIDE</t>
        </is>
      </c>
      <c r="I382" s="675" t="inlineStr">
        <is>
          <t>APPROUVE</t>
        </is>
      </c>
      <c r="J382" s="675" t="inlineStr">
        <is>
          <t>26000156CT</t>
        </is>
      </c>
      <c r="K382" s="673" t="inlineStr">
        <is>
          <t>NON CONCERNE</t>
        </is>
      </c>
      <c r="L382" s="675" t="inlineStr">
        <is>
          <t>Ordinaire</t>
        </is>
      </c>
      <c r="M382" s="677" t="inlineStr">
        <is>
          <t>FONCTIONNEMENT</t>
        </is>
      </c>
      <c r="N382" s="678" t="inlineStr">
        <is>
          <t>Redevances et cotisations</t>
        </is>
      </c>
      <c r="O382" s="679" t="n"/>
      <c r="P382" s="680" t="n"/>
      <c r="Q382" s="680" t="n"/>
      <c r="R382" s="675" t="inlineStr">
        <is>
          <t>RECONDUCTION</t>
        </is>
      </c>
      <c r="S382" s="681" t="n"/>
      <c r="T382" s="682" t="n"/>
      <c r="U382" s="683" t="inlineStr">
        <is>
          <t>ASBU</t>
        </is>
      </c>
      <c r="V382" s="675" t="n">
        <v>2026</v>
      </c>
      <c r="W382" s="682" t="n">
        <v>46049</v>
      </c>
      <c r="X382" s="682" t="n"/>
      <c r="Y382" s="682" t="n">
        <v>46049</v>
      </c>
      <c r="Z382" s="679" t="n">
        <v>101358.96</v>
      </c>
      <c r="AA382" s="680" t="n">
        <v>11168.17</v>
      </c>
      <c r="AB382" s="680">
        <f>Z382</f>
        <v/>
      </c>
      <c r="AC382" s="680">
        <f>AA382</f>
        <v/>
      </c>
      <c r="AD382" s="680">
        <f>AB382</f>
        <v/>
      </c>
      <c r="AE382" s="680">
        <f>AB382</f>
        <v/>
      </c>
      <c r="AF382" s="684" t="inlineStr">
        <is>
          <t>ENGAGE</t>
        </is>
      </c>
      <c r="AG382" s="683" t="n"/>
      <c r="AH382" s="680" t="n"/>
      <c r="AI382" s="680" t="n"/>
      <c r="AJ382" s="680" t="n"/>
      <c r="AK382" s="680" t="n"/>
      <c r="AL382" s="685" t="n"/>
      <c r="AM382" s="685" t="n"/>
      <c r="AN382" s="683" t="inlineStr">
        <is>
          <t>R.A.S</t>
        </is>
      </c>
    </row>
    <row r="383" ht="32" customHeight="1" s="392">
      <c r="A383" s="672">
        <f>IF(AF383="ENGAGE","✔",IF(AF383="EN COURS D'ENGAGEMENT","◕",IF(AF383="PREENGAGE","◑",IF(AF383="EN COURS DE PREENGAGEMENT","◔",IF(AF383="NON ENGAGE","✖","")))))</f>
        <v/>
      </c>
      <c r="B383" s="673" t="n">
        <v>2026</v>
      </c>
      <c r="C383" s="674" t="inlineStr">
        <is>
          <t>DJURIDIQUE</t>
        </is>
      </c>
      <c r="D383" s="674" t="inlineStr">
        <is>
          <t>EXCLUSIVITÉ</t>
        </is>
      </c>
      <c r="E383" s="675" t="inlineStr">
        <is>
          <t>CONTRAT</t>
        </is>
      </c>
      <c r="F383" s="675" t="n">
        <v>1</v>
      </c>
      <c r="G383" s="676" t="inlineStr">
        <is>
          <t>Cotisation annuelle CIRTEF au titre de l’année 2026</t>
        </is>
      </c>
      <c r="H383" s="673" t="inlineStr">
        <is>
          <t>VALIDE</t>
        </is>
      </c>
      <c r="I383" s="675" t="inlineStr">
        <is>
          <t>APPROUVE</t>
        </is>
      </c>
      <c r="J383" s="675" t="inlineStr">
        <is>
          <t>26000047CT</t>
        </is>
      </c>
      <c r="K383" s="673" t="inlineStr">
        <is>
          <t>NON CONCERNE</t>
        </is>
      </c>
      <c r="L383" s="675" t="inlineStr">
        <is>
          <t>Ordinaire</t>
        </is>
      </c>
      <c r="M383" s="677" t="inlineStr">
        <is>
          <t>FONCTIONNEMENT</t>
        </is>
      </c>
      <c r="N383" s="678" t="inlineStr">
        <is>
          <t>Redevances et cotisations</t>
        </is>
      </c>
      <c r="O383" s="679" t="n"/>
      <c r="P383" s="680" t="n"/>
      <c r="Q383" s="680" t="n"/>
      <c r="R383" s="675" t="inlineStr">
        <is>
          <t>RECONDUCTION</t>
        </is>
      </c>
      <c r="S383" s="681" t="n"/>
      <c r="T383" s="682" t="n"/>
      <c r="U383" s="683" t="inlineStr">
        <is>
          <t>CIRTEF</t>
        </is>
      </c>
      <c r="V383" s="675" t="n">
        <v>2026</v>
      </c>
      <c r="W383" s="682" t="n">
        <v>46028</v>
      </c>
      <c r="X383" s="682" t="n"/>
      <c r="Y383" s="682" t="n">
        <v>46028</v>
      </c>
      <c r="Z383" s="679" t="n">
        <v>69549.91</v>
      </c>
      <c r="AA383" s="680" t="n">
        <v>6470</v>
      </c>
      <c r="AB383" s="680">
        <f>Z383</f>
        <v/>
      </c>
      <c r="AC383" s="680" t="n">
        <v>6470</v>
      </c>
      <c r="AD383" s="680">
        <f>AB383</f>
        <v/>
      </c>
      <c r="AE383" s="680">
        <f>AB383</f>
        <v/>
      </c>
      <c r="AF383" s="684" t="inlineStr">
        <is>
          <t>ENGAGE</t>
        </is>
      </c>
      <c r="AG383" s="683" t="n"/>
      <c r="AH383" s="680" t="n"/>
      <c r="AI383" s="680" t="n"/>
      <c r="AJ383" s="680" t="n"/>
      <c r="AK383" s="680" t="n"/>
      <c r="AL383" s="685" t="n"/>
      <c r="AM383" s="685" t="n"/>
      <c r="AN383" s="683" t="inlineStr">
        <is>
          <t>R.A.S</t>
        </is>
      </c>
    </row>
    <row r="384" ht="32" customHeight="1" s="392">
      <c r="A384" s="672">
        <f>IF(AF384="ENGAGE","✔",IF(AF384="EN COURS D'ENGAGEMENT","◕",IF(AF384="PREENGAGE","◑",IF(AF384="EN COURS DE PREENGAGEMENT","◔",IF(AF384="NON ENGAGE","✖","")))))</f>
        <v/>
      </c>
      <c r="B384" s="673" t="n">
        <v>2026</v>
      </c>
      <c r="C384" s="674" t="inlineStr">
        <is>
          <t>DJURIDIQUE</t>
        </is>
      </c>
      <c r="D384" s="674" t="inlineStr">
        <is>
          <t>EXCLUSIVITÉ</t>
        </is>
      </c>
      <c r="E384" s="675" t="inlineStr">
        <is>
          <t>CONTRAT</t>
        </is>
      </c>
      <c r="F384" s="675" t="n">
        <v>1</v>
      </c>
      <c r="G384" s="676" t="inlineStr">
        <is>
          <t>Cotisation annuelle EBU au titre de l’année 2026</t>
        </is>
      </c>
      <c r="H384" s="673" t="inlineStr">
        <is>
          <t>VALIDE</t>
        </is>
      </c>
      <c r="I384" s="675" t="inlineStr">
        <is>
          <t>APPROUVE</t>
        </is>
      </c>
      <c r="J384" s="675" t="inlineStr">
        <is>
          <t>26000038CT</t>
        </is>
      </c>
      <c r="K384" s="673" t="inlineStr">
        <is>
          <t>NON CONCERNE</t>
        </is>
      </c>
      <c r="L384" s="675" t="inlineStr">
        <is>
          <t>Ordinaire</t>
        </is>
      </c>
      <c r="M384" s="677" t="inlineStr">
        <is>
          <t>FONCTIONNEMENT</t>
        </is>
      </c>
      <c r="N384" s="678" t="inlineStr">
        <is>
          <t>Redevances et cotisations</t>
        </is>
      </c>
      <c r="O384" s="679" t="n"/>
      <c r="P384" s="680" t="n"/>
      <c r="Q384" s="680" t="n"/>
      <c r="R384" s="675" t="inlineStr">
        <is>
          <t>RECONDUCTION</t>
        </is>
      </c>
      <c r="S384" s="681" t="n"/>
      <c r="T384" s="682" t="n"/>
      <c r="U384" s="683" t="inlineStr">
        <is>
          <t>EBU</t>
        </is>
      </c>
      <c r="V384" s="675" t="n">
        <v>2026</v>
      </c>
      <c r="W384" s="682" t="n">
        <v>46027</v>
      </c>
      <c r="X384" s="682" t="n"/>
      <c r="Y384" s="682" t="n">
        <v>46057</v>
      </c>
      <c r="Z384" s="679" t="n">
        <v>6109952.74</v>
      </c>
      <c r="AA384" s="680" t="n">
        <v>529780</v>
      </c>
      <c r="AB384" s="680">
        <f>Z384</f>
        <v/>
      </c>
      <c r="AC384" s="680" t="n">
        <v>6470</v>
      </c>
      <c r="AD384" s="680">
        <f>AB384</f>
        <v/>
      </c>
      <c r="AE384" s="680">
        <f>AB384</f>
        <v/>
      </c>
      <c r="AF384" s="684" t="inlineStr">
        <is>
          <t>ENGAGE</t>
        </is>
      </c>
      <c r="AG384" s="683" t="n"/>
      <c r="AH384" s="680" t="n"/>
      <c r="AI384" s="680" t="n"/>
      <c r="AJ384" s="680" t="n"/>
      <c r="AK384" s="680" t="n"/>
      <c r="AL384" s="685" t="n"/>
      <c r="AM384" s="685" t="n"/>
      <c r="AN384" s="683" t="inlineStr">
        <is>
          <t>R.A.S</t>
        </is>
      </c>
    </row>
    <row r="385" ht="32" customHeight="1" s="392">
      <c r="A385" s="672">
        <f>IF(AF385="ENGAGE","✔",IF(AF385="EN COURS D'ENGAGEMENT","◕",IF(AF385="PREENGAGE","◑",IF(AF385="EN COURS DE PREENGAGEMENT","◔",IF(AF385="NON ENGAGE","✖","")))))</f>
        <v/>
      </c>
      <c r="B385" s="673" t="n">
        <v>2026</v>
      </c>
      <c r="C385" s="674" t="inlineStr">
        <is>
          <t>DJURIDIQUE</t>
        </is>
      </c>
      <c r="D385" s="674" t="inlineStr">
        <is>
          <t>EXCLUSIVITÉ</t>
        </is>
      </c>
      <c r="E385" s="675" t="inlineStr">
        <is>
          <t>CONTRAT</t>
        </is>
      </c>
      <c r="F385" s="675" t="n">
        <v>1</v>
      </c>
      <c r="G385" s="676" t="inlineStr">
        <is>
          <t>Cotisation annuelle de l’UAR au titre de l’année 2026</t>
        </is>
      </c>
      <c r="H385" s="673" t="inlineStr">
        <is>
          <t>VALIDE</t>
        </is>
      </c>
      <c r="I385" s="675" t="inlineStr">
        <is>
          <t>APPROUVE</t>
        </is>
      </c>
      <c r="J385" s="675" t="inlineStr">
        <is>
          <t>26000036CT</t>
        </is>
      </c>
      <c r="K385" s="673" t="inlineStr">
        <is>
          <t>NON CONCERNE</t>
        </is>
      </c>
      <c r="L385" s="675" t="inlineStr">
        <is>
          <t>Ordinaire</t>
        </is>
      </c>
      <c r="M385" s="677" t="inlineStr">
        <is>
          <t>FONCTIONNEMENT</t>
        </is>
      </c>
      <c r="N385" s="678" t="inlineStr">
        <is>
          <t>Redevances et cotisations</t>
        </is>
      </c>
      <c r="O385" s="679" t="n"/>
      <c r="P385" s="680" t="n"/>
      <c r="Q385" s="680" t="n"/>
      <c r="R385" s="675" t="inlineStr">
        <is>
          <t>RECONDUCTION</t>
        </is>
      </c>
      <c r="S385" s="681" t="n"/>
      <c r="T385" s="682" t="n"/>
      <c r="U385" s="683" t="inlineStr">
        <is>
          <t>UAR</t>
        </is>
      </c>
      <c r="V385" s="675" t="n">
        <v>2026</v>
      </c>
      <c r="W385" s="682" t="n">
        <v>46027</v>
      </c>
      <c r="X385" s="682" t="n"/>
      <c r="Y385" s="682" t="n">
        <v>46027</v>
      </c>
      <c r="Z385" s="679" t="n">
        <v>275055</v>
      </c>
      <c r="AA385" s="680" t="n">
        <v>30000</v>
      </c>
      <c r="AB385" s="680">
        <f>Z385</f>
        <v/>
      </c>
      <c r="AC385" s="680" t="n">
        <v>30000</v>
      </c>
      <c r="AD385" s="680">
        <f>AB385</f>
        <v/>
      </c>
      <c r="AE385" s="680">
        <f>AB385</f>
        <v/>
      </c>
      <c r="AF385" s="684" t="inlineStr">
        <is>
          <t>ENGAGE</t>
        </is>
      </c>
      <c r="AG385" s="683" t="n"/>
      <c r="AH385" s="680" t="n"/>
      <c r="AI385" s="680" t="n"/>
      <c r="AJ385" s="680" t="n"/>
      <c r="AK385" s="680" t="n"/>
      <c r="AL385" s="685" t="n"/>
      <c r="AM385" s="685" t="n"/>
      <c r="AN385" s="683" t="inlineStr">
        <is>
          <t>R.A.S</t>
        </is>
      </c>
    </row>
    <row r="386" ht="32" customHeight="1" s="392">
      <c r="A386" s="672">
        <f>IF(AF386="ENGAGE","✔",IF(AF386="EN COURS D'ENGAGEMENT","◕",IF(AF386="PREENGAGE","◑",IF(AF386="EN COURS DE PREENGAGEMENT","◔",IF(AF386="NON ENGAGE","✖","")))))</f>
        <v/>
      </c>
      <c r="B386" s="673" t="n">
        <v>2026</v>
      </c>
      <c r="C386" s="674" t="inlineStr">
        <is>
          <t>DJURIDIQUE</t>
        </is>
      </c>
      <c r="D386" s="674" t="inlineStr">
        <is>
          <t>EXCLUSIVITÉ</t>
        </is>
      </c>
      <c r="E386" s="675" t="inlineStr">
        <is>
          <t>CONTRAT</t>
        </is>
      </c>
      <c r="F386" s="675" t="n">
        <v>1</v>
      </c>
      <c r="G386" s="676" t="inlineStr">
        <is>
          <t>Cotisation annuelle de l’URTI au titre de l’année 2026</t>
        </is>
      </c>
      <c r="H386" s="673" t="inlineStr">
        <is>
          <t>VALIDE</t>
        </is>
      </c>
      <c r="I386" s="675" t="inlineStr">
        <is>
          <t>APPROUVE</t>
        </is>
      </c>
      <c r="J386" s="675" t="inlineStr">
        <is>
          <t>26000048CT</t>
        </is>
      </c>
      <c r="K386" s="673" t="inlineStr">
        <is>
          <t>NON CONCERNE</t>
        </is>
      </c>
      <c r="L386" s="675" t="inlineStr">
        <is>
          <t>Ordinaire</t>
        </is>
      </c>
      <c r="M386" s="677" t="inlineStr">
        <is>
          <t>FONCTIONNEMENT</t>
        </is>
      </c>
      <c r="N386" s="678" t="inlineStr">
        <is>
          <t>Redevances et cotisations</t>
        </is>
      </c>
      <c r="O386" s="679" t="n"/>
      <c r="P386" s="680" t="n"/>
      <c r="Q386" s="680" t="n"/>
      <c r="R386" s="675" t="inlineStr">
        <is>
          <t>RECONDUCTION</t>
        </is>
      </c>
      <c r="S386" s="681" t="n"/>
      <c r="T386" s="682" t="n"/>
      <c r="U386" s="683" t="inlineStr">
        <is>
          <t>URTI</t>
        </is>
      </c>
      <c r="V386" s="675" t="n">
        <v>2026</v>
      </c>
      <c r="W386" s="682" t="n">
        <v>46028</v>
      </c>
      <c r="X386" s="682" t="n"/>
      <c r="Y386" s="682" t="n">
        <v>46028</v>
      </c>
      <c r="Z386" s="679" t="n">
        <v>67722.48</v>
      </c>
      <c r="AA386" s="680" t="n">
        <v>6300</v>
      </c>
      <c r="AB386" s="680">
        <f>Z386</f>
        <v/>
      </c>
      <c r="AC386" s="680" t="n">
        <v>6300</v>
      </c>
      <c r="AD386" s="680">
        <f>AB386</f>
        <v/>
      </c>
      <c r="AE386" s="680">
        <f>AB386</f>
        <v/>
      </c>
      <c r="AF386" s="684" t="inlineStr">
        <is>
          <t>ENGAGE</t>
        </is>
      </c>
      <c r="AG386" s="683" t="n"/>
      <c r="AH386" s="680" t="n"/>
      <c r="AI386" s="680" t="n"/>
      <c r="AJ386" s="680" t="n"/>
      <c r="AK386" s="680" t="n"/>
      <c r="AL386" s="685" t="n"/>
      <c r="AM386" s="685" t="n"/>
      <c r="AN386" s="683" t="inlineStr">
        <is>
          <t>R.A.S</t>
        </is>
      </c>
    </row>
    <row r="387" ht="32" customHeight="1" s="392">
      <c r="A387" s="672">
        <f>IF(AF387="ENGAGE","✔",IF(AF387="EN COURS D'ENGAGEMENT","◕",IF(AF387="PREENGAGE","◑",IF(AF387="EN COURS DE PREENGAGEMENT","◔",IF(AF387="NON ENGAGE","✖","")))))</f>
        <v/>
      </c>
      <c r="B387" s="673" t="n">
        <v>2026</v>
      </c>
      <c r="C387" s="674" t="inlineStr">
        <is>
          <t>DJURIDIQUE</t>
        </is>
      </c>
      <c r="D387" s="674" t="inlineStr">
        <is>
          <t>EXCLUSIVITÉ</t>
        </is>
      </c>
      <c r="E387" s="675" t="inlineStr">
        <is>
          <t>CONTRAT</t>
        </is>
      </c>
      <c r="F387" s="675" t="n">
        <v>1</v>
      </c>
      <c r="G387" s="676" t="inlineStr">
        <is>
          <t>Cotisation annuelle 2026</t>
        </is>
      </c>
      <c r="H387" s="673" t="inlineStr">
        <is>
          <t>VALIDE</t>
        </is>
      </c>
      <c r="I387" s="675" t="inlineStr">
        <is>
          <t>APPROUVE</t>
        </is>
      </c>
      <c r="J387" s="675" t="inlineStr">
        <is>
          <t>26000035CT</t>
        </is>
      </c>
      <c r="K387" s="673" t="inlineStr">
        <is>
          <t>NON CONCERNE</t>
        </is>
      </c>
      <c r="L387" s="675" t="inlineStr">
        <is>
          <t>Ordinaire</t>
        </is>
      </c>
      <c r="M387" s="677" t="inlineStr">
        <is>
          <t>FONCTIONNEMENT</t>
        </is>
      </c>
      <c r="N387" s="678" t="inlineStr">
        <is>
          <t>Redevances et cotisations</t>
        </is>
      </c>
      <c r="O387" s="679" t="n"/>
      <c r="P387" s="680" t="n"/>
      <c r="Q387" s="680" t="n"/>
      <c r="R387" s="675" t="inlineStr">
        <is>
          <t>RECONDUCTION</t>
        </is>
      </c>
      <c r="S387" s="681" t="n"/>
      <c r="T387" s="682" t="n"/>
      <c r="U387" s="683" t="inlineStr">
        <is>
          <t>COPEAM</t>
        </is>
      </c>
      <c r="V387" s="675" t="n">
        <v>2026</v>
      </c>
      <c r="W387" s="682" t="n">
        <v>46027</v>
      </c>
      <c r="X387" s="682" t="n"/>
      <c r="Y387" s="682" t="n">
        <v>46027</v>
      </c>
      <c r="Z387" s="679" t="n">
        <v>139287.2</v>
      </c>
      <c r="AA387" s="680" t="n">
        <v>13000</v>
      </c>
      <c r="AB387" s="680">
        <f>Z387</f>
        <v/>
      </c>
      <c r="AC387" s="680">
        <f>AA387</f>
        <v/>
      </c>
      <c r="AD387" s="680">
        <f>AB387</f>
        <v/>
      </c>
      <c r="AE387" s="680">
        <f>AB387</f>
        <v/>
      </c>
      <c r="AF387" s="684" t="inlineStr">
        <is>
          <t>ENGAGE</t>
        </is>
      </c>
      <c r="AG387" s="683" t="n"/>
      <c r="AH387" s="680" t="n"/>
      <c r="AI387" s="680" t="n"/>
      <c r="AJ387" s="680" t="n"/>
      <c r="AK387" s="680" t="n"/>
      <c r="AL387" s="685" t="n"/>
      <c r="AM387" s="685" t="n"/>
      <c r="AN387" s="683" t="inlineStr">
        <is>
          <t>R.A.S</t>
        </is>
      </c>
    </row>
    <row r="388" ht="33" customHeight="1" s="392">
      <c r="A388" s="672">
        <f>IF(AF388="ENGAGE","✔",IF(AF388="EN COURS D'ENGAGEMENT","◕",IF(AF388="PREENGAGE","◑",IF(AF388="EN COURS DE PREENGAGEMENT","◔",IF(AF388="NON ENGAGE","✖","")))))</f>
        <v/>
      </c>
      <c r="B388" s="673" t="n">
        <v>2026</v>
      </c>
      <c r="C388" s="674" t="inlineStr">
        <is>
          <t>DPMG</t>
        </is>
      </c>
      <c r="D388" s="674" t="inlineStr">
        <is>
          <t>02AOM/SNRT</t>
        </is>
      </c>
      <c r="E388" s="675" t="inlineStr">
        <is>
          <t>AOO-M</t>
        </is>
      </c>
      <c r="F388" s="675" t="n">
        <v>1</v>
      </c>
      <c r="G388" s="676" t="inlineStr">
        <is>
          <t>Achat de fourniture de Bureau destiné à la SNRT</t>
        </is>
      </c>
      <c r="H388" s="673" t="inlineStr">
        <is>
          <t>VALIDE</t>
        </is>
      </c>
      <c r="I388" s="675" t="inlineStr">
        <is>
          <t>APPROUVE</t>
        </is>
      </c>
      <c r="J388" s="693" t="n"/>
      <c r="K388" s="673" t="inlineStr">
        <is>
          <t>PME</t>
        </is>
      </c>
      <c r="L388" s="675" t="inlineStr">
        <is>
          <t>Ordinaire</t>
        </is>
      </c>
      <c r="M388" s="677" t="inlineStr">
        <is>
          <t>FONCTIONNEMENT</t>
        </is>
      </c>
      <c r="N388" s="678" t="inlineStr">
        <is>
          <t>Achats de matières et fournitures consommables</t>
        </is>
      </c>
      <c r="O388" s="679">
        <f>P388*1.2</f>
        <v/>
      </c>
      <c r="P388" s="680" t="n">
        <v>347478.62</v>
      </c>
      <c r="Q388" s="680">
        <f>P388/1.2</f>
        <v/>
      </c>
      <c r="R388" s="675" t="inlineStr">
        <is>
          <t>BESOIN RECURRENT</t>
        </is>
      </c>
      <c r="S388" s="681" t="n"/>
      <c r="T388" s="682" t="n"/>
      <c r="U388" s="683" t="inlineStr">
        <is>
          <t>EQUIPEMENT GHAZIA</t>
        </is>
      </c>
      <c r="V388" s="675" t="n"/>
      <c r="W388" s="682" t="n">
        <v>46085</v>
      </c>
      <c r="X388" s="682" t="n">
        <v>46087</v>
      </c>
      <c r="Y388" s="682" t="n">
        <v>46157</v>
      </c>
      <c r="Z388" s="679" t="n">
        <v>253381</v>
      </c>
      <c r="AA388" s="680" t="n">
        <v>0</v>
      </c>
      <c r="AB388" s="680" t="n">
        <v>304057.2</v>
      </c>
      <c r="AC388" s="680" t="n">
        <v>0</v>
      </c>
      <c r="AD388" s="680">
        <f>+Z388</f>
        <v/>
      </c>
      <c r="AE388" s="680">
        <f>+AB388</f>
        <v/>
      </c>
      <c r="AF388" s="684" t="inlineStr">
        <is>
          <t>ENGAGE</t>
        </is>
      </c>
      <c r="AG388" s="683" t="n"/>
      <c r="AH388" s="680" t="n"/>
      <c r="AI388" s="680" t="n"/>
      <c r="AJ388" s="680" t="n"/>
      <c r="AK388" s="680" t="n"/>
      <c r="AL388" s="685" t="n"/>
      <c r="AM388" s="685" t="n"/>
      <c r="AN388" s="683" t="inlineStr">
        <is>
          <t>R.A.S</t>
        </is>
      </c>
    </row>
    <row r="389" ht="33" customHeight="1" s="392">
      <c r="A389" s="672">
        <f>IF(AF389="ENGAGE","✔",IF(AF389="EN COURS D'ENGAGEMENT","◕",IF(AF389="PREENGAGE","◑",IF(AF389="EN COURS DE PREENGAGEMENT","◔",IF(AF389="NON ENGAGE","✖","")))))</f>
        <v/>
      </c>
      <c r="B389" s="673" t="n">
        <v>2026</v>
      </c>
      <c r="C389" s="674" t="inlineStr">
        <is>
          <t>DPMG</t>
        </is>
      </c>
      <c r="D389" s="674" t="inlineStr">
        <is>
          <t>02AOM/SNRT</t>
        </is>
      </c>
      <c r="E389" s="675" t="inlineStr">
        <is>
          <t>AOO-M</t>
        </is>
      </c>
      <c r="F389" s="675" t="n">
        <v>2</v>
      </c>
      <c r="G389" s="676" t="inlineStr">
        <is>
          <t>Achat de Papier Fort A4 destiné à la SNRT</t>
        </is>
      </c>
      <c r="H389" s="673" t="inlineStr">
        <is>
          <t>VALIDE</t>
        </is>
      </c>
      <c r="I389" s="675" t="inlineStr">
        <is>
          <t>APPROUVE</t>
        </is>
      </c>
      <c r="J389" s="693" t="n"/>
      <c r="K389" s="673" t="inlineStr">
        <is>
          <t>PME</t>
        </is>
      </c>
      <c r="L389" s="675" t="inlineStr">
        <is>
          <t>Ordinaire</t>
        </is>
      </c>
      <c r="M389" s="677" t="inlineStr">
        <is>
          <t>FONCTIONNEMENT</t>
        </is>
      </c>
      <c r="N389" s="678" t="inlineStr">
        <is>
          <t>Achats de matières et fournitures consommables</t>
        </is>
      </c>
      <c r="O389" s="679">
        <f>P389*1.2</f>
        <v/>
      </c>
      <c r="P389" s="680" t="n">
        <v>300000</v>
      </c>
      <c r="Q389" s="680">
        <f>P389/1.2</f>
        <v/>
      </c>
      <c r="R389" s="675" t="inlineStr">
        <is>
          <t>BESOIN RECURRENT</t>
        </is>
      </c>
      <c r="S389" s="681" t="n"/>
      <c r="T389" s="682" t="n"/>
      <c r="U389" s="683" t="inlineStr">
        <is>
          <t>PRINTYMA</t>
        </is>
      </c>
      <c r="V389" s="675" t="n"/>
      <c r="W389" s="682" t="n">
        <v>46085</v>
      </c>
      <c r="X389" s="682" t="n">
        <v>46087</v>
      </c>
      <c r="Y389" s="682" t="n"/>
      <c r="Z389" s="679">
        <f>AD389</f>
        <v/>
      </c>
      <c r="AA389" s="680" t="n">
        <v>0</v>
      </c>
      <c r="AB389" s="680">
        <f>AE389</f>
        <v/>
      </c>
      <c r="AC389" s="680" t="n">
        <v>0</v>
      </c>
      <c r="AD389" s="680">
        <f>AE389/1.2</f>
        <v/>
      </c>
      <c r="AE389" s="680" t="n">
        <v>240000</v>
      </c>
      <c r="AF389" s="684" t="inlineStr">
        <is>
          <t>ENGAGE</t>
        </is>
      </c>
      <c r="AG389" s="683" t="n"/>
      <c r="AH389" s="680" t="n"/>
      <c r="AI389" s="680" t="n"/>
      <c r="AJ389" s="680" t="n"/>
      <c r="AK389" s="680" t="n"/>
      <c r="AL389" s="685" t="n"/>
      <c r="AM389" s="685" t="n"/>
      <c r="AN389" s="683" t="inlineStr">
        <is>
          <t>R.A.S</t>
        </is>
      </c>
    </row>
    <row r="390" ht="33" customHeight="1" s="392">
      <c r="A390" s="672">
        <f>IF(AF390="ENGAGE","✔",IF(AF390="EN COURS D'ENGAGEMENT","◕",IF(AF390="PREENGAGE","◑",IF(AF390="EN COURS DE PREENGAGEMENT","◔",IF(AF390="NON ENGAGE","✖","")))))</f>
        <v/>
      </c>
      <c r="B390" s="673" t="n">
        <v>2026</v>
      </c>
      <c r="C390" s="674" t="inlineStr">
        <is>
          <t>ARRIYADIA</t>
        </is>
      </c>
      <c r="D390" s="674" t="inlineStr">
        <is>
          <t>RECONDUCTION</t>
        </is>
      </c>
      <c r="E390" s="675" t="inlineStr">
        <is>
          <t>CONTRAT</t>
        </is>
      </c>
      <c r="F390" s="675" t="n">
        <v>1</v>
      </c>
      <c r="G390" s="676" t="inlineStr">
        <is>
          <t>Contrats conclus avec la FRM d’ESCRIME</t>
        </is>
      </c>
      <c r="H390" s="673" t="inlineStr">
        <is>
          <t>VALIDE</t>
        </is>
      </c>
      <c r="I390" s="675" t="inlineStr">
        <is>
          <t>APPROUVE</t>
        </is>
      </c>
      <c r="J390" s="675" t="inlineStr">
        <is>
          <t>01-SNRT/FRMES-2026</t>
        </is>
      </c>
      <c r="K390" s="673" t="inlineStr">
        <is>
          <t>NON CONCERNE</t>
        </is>
      </c>
      <c r="L390" s="675" t="inlineStr">
        <is>
          <t>Ordinaire</t>
        </is>
      </c>
      <c r="M390" s="677" t="inlineStr">
        <is>
          <t>FONCTIONNEMENT</t>
        </is>
      </c>
      <c r="N390" s="678" t="inlineStr">
        <is>
          <t>Achats de droits
Achats de droit de sport</t>
        </is>
      </c>
      <c r="O390" s="679" t="n"/>
      <c r="P390" s="680" t="n"/>
      <c r="Q390" s="680" t="n"/>
      <c r="R390" s="675" t="inlineStr">
        <is>
          <t>RECONDUCTION</t>
        </is>
      </c>
      <c r="S390" s="681" t="n"/>
      <c r="T390" s="682" t="n"/>
      <c r="U390" s="683" t="inlineStr">
        <is>
          <t>FRM d’ESCRIME</t>
        </is>
      </c>
      <c r="V390" s="675" t="n">
        <v>2026</v>
      </c>
      <c r="W390" s="682" t="n">
        <v>46041</v>
      </c>
      <c r="X390" s="682" t="n"/>
      <c r="Y390" s="682" t="n">
        <v>46042</v>
      </c>
      <c r="Z390" s="679" t="n">
        <v>250000</v>
      </c>
      <c r="AA390" s="680" t="n">
        <v>0</v>
      </c>
      <c r="AB390" s="680">
        <f>+Z390</f>
        <v/>
      </c>
      <c r="AC390" s="680" t="n">
        <v>0</v>
      </c>
      <c r="AD390" s="680">
        <f>+AB390</f>
        <v/>
      </c>
      <c r="AE390" s="680">
        <f>+AD390</f>
        <v/>
      </c>
      <c r="AF390" s="684" t="inlineStr">
        <is>
          <t>ENGAGE</t>
        </is>
      </c>
      <c r="AG390" s="683" t="n"/>
      <c r="AH390" s="680" t="n"/>
      <c r="AI390" s="680" t="n"/>
      <c r="AJ390" s="680" t="n"/>
      <c r="AK390" s="680" t="n"/>
      <c r="AL390" s="685" t="n"/>
      <c r="AM390" s="685" t="n"/>
      <c r="AN390" s="683" t="inlineStr">
        <is>
          <t>R.A.S</t>
        </is>
      </c>
    </row>
    <row r="391" ht="33" customHeight="1" s="392">
      <c r="A391" s="672">
        <f>IF(AF391="ENGAGE","✔",IF(AF391="EN COURS D'ENGAGEMENT","◕",IF(AF391="PREENGAGE","◑",IF(AF391="EN COURS DE PREENGAGEMENT","◔",IF(AF391="NON ENGAGE","✖","")))))</f>
        <v/>
      </c>
      <c r="B391" s="673" t="n">
        <v>2026</v>
      </c>
      <c r="C391" s="674" t="inlineStr">
        <is>
          <t>ARRIYADIA</t>
        </is>
      </c>
      <c r="D391" s="674" t="inlineStr">
        <is>
          <t>RECONDUCTION</t>
        </is>
      </c>
      <c r="E391" s="675" t="inlineStr">
        <is>
          <t>CONTRAT</t>
        </is>
      </c>
      <c r="F391" s="675" t="n">
        <v>1</v>
      </c>
      <c r="G391" s="676" t="inlineStr">
        <is>
          <t>Contrats conclus avec la FRM DE TENNIS</t>
        </is>
      </c>
      <c r="H391" s="673" t="inlineStr">
        <is>
          <t>VALIDE</t>
        </is>
      </c>
      <c r="I391" s="675" t="inlineStr">
        <is>
          <t>APPROUVE</t>
        </is>
      </c>
      <c r="J391" s="675" t="inlineStr">
        <is>
          <t>01-SNRT/FRMT-2026</t>
        </is>
      </c>
      <c r="K391" s="673" t="inlineStr">
        <is>
          <t>NON CONCERNE</t>
        </is>
      </c>
      <c r="L391" s="675" t="inlineStr">
        <is>
          <t>Ordinaire</t>
        </is>
      </c>
      <c r="M391" s="677" t="inlineStr">
        <is>
          <t>FONCTIONNEMENT</t>
        </is>
      </c>
      <c r="N391" s="678" t="inlineStr">
        <is>
          <t>Achats de droits
Achats de droit de sport</t>
        </is>
      </c>
      <c r="O391" s="679" t="n"/>
      <c r="P391" s="680" t="n"/>
      <c r="Q391" s="680" t="n"/>
      <c r="R391" s="675" t="inlineStr">
        <is>
          <t>RECONDUCTION</t>
        </is>
      </c>
      <c r="S391" s="681" t="n"/>
      <c r="T391" s="682" t="n"/>
      <c r="U391" s="683" t="inlineStr">
        <is>
          <t>FRM DE TENNIS</t>
        </is>
      </c>
      <c r="V391" s="675" t="n">
        <v>2026</v>
      </c>
      <c r="W391" s="682" t="n">
        <v>46086</v>
      </c>
      <c r="X391" s="682" t="n"/>
      <c r="Y391" s="682" t="n">
        <v>46106</v>
      </c>
      <c r="Z391" s="679" t="n">
        <v>1800000</v>
      </c>
      <c r="AA391" s="680" t="n">
        <v>0</v>
      </c>
      <c r="AB391" s="680" t="n">
        <v>1800000</v>
      </c>
      <c r="AC391" s="680" t="n">
        <v>0</v>
      </c>
      <c r="AD391" s="680">
        <f>Z391</f>
        <v/>
      </c>
      <c r="AE391" s="680">
        <f>AB391</f>
        <v/>
      </c>
      <c r="AF391" s="684" t="inlineStr">
        <is>
          <t>ENGAGE</t>
        </is>
      </c>
      <c r="AG391" s="683" t="n"/>
      <c r="AH391" s="680" t="n"/>
      <c r="AI391" s="680" t="n"/>
      <c r="AJ391" s="680" t="n"/>
      <c r="AK391" s="680" t="n"/>
      <c r="AL391" s="685" t="n"/>
      <c r="AM391" s="685" t="n"/>
      <c r="AN391" s="683" t="inlineStr">
        <is>
          <t>R.A.S</t>
        </is>
      </c>
    </row>
    <row r="392" ht="33" customHeight="1" s="392">
      <c r="A392" s="672">
        <f>IF(AF392="ENGAGE","✔",IF(AF392="EN COURS D'ENGAGEMENT","◕",IF(AF392="PREENGAGE","◑",IF(AF392="EN COURS DE PREENGAGEMENT","◔",IF(AF392="NON ENGAGE","✖","")))))</f>
        <v/>
      </c>
      <c r="B392" s="673" t="n">
        <v>2026</v>
      </c>
      <c r="C392" s="674" t="inlineStr">
        <is>
          <t>ARRIYADIA</t>
        </is>
      </c>
      <c r="D392" s="674" t="inlineStr">
        <is>
          <t>RECONDUCTION</t>
        </is>
      </c>
      <c r="E392" s="675" t="inlineStr">
        <is>
          <t>CONTRAT</t>
        </is>
      </c>
      <c r="F392" s="675" t="n">
        <v>1</v>
      </c>
      <c r="G392" s="676" t="inlineStr">
        <is>
          <t>Contrats conclus avec la FRM DE KARATE</t>
        </is>
      </c>
      <c r="H392" s="673" t="inlineStr">
        <is>
          <t>VALIDE</t>
        </is>
      </c>
      <c r="I392" s="675" t="inlineStr">
        <is>
          <t>APPROUVE</t>
        </is>
      </c>
      <c r="J392" s="675" t="inlineStr">
        <is>
          <t>01-SNRT/FRMK-2026</t>
        </is>
      </c>
      <c r="K392" s="673" t="inlineStr">
        <is>
          <t>NON CONCERNE</t>
        </is>
      </c>
      <c r="L392" s="675" t="inlineStr">
        <is>
          <t>Ordinaire</t>
        </is>
      </c>
      <c r="M392" s="677" t="inlineStr">
        <is>
          <t>FONCTIONNEMENT</t>
        </is>
      </c>
      <c r="N392" s="678" t="inlineStr">
        <is>
          <t>Achats de droits
Achats de droit de sport</t>
        </is>
      </c>
      <c r="O392" s="679" t="n"/>
      <c r="P392" s="680" t="n"/>
      <c r="Q392" s="680" t="n"/>
      <c r="R392" s="675" t="inlineStr">
        <is>
          <t>RECONDUCTION</t>
        </is>
      </c>
      <c r="S392" s="681" t="n"/>
      <c r="T392" s="682" t="n"/>
      <c r="U392" s="683" t="inlineStr">
        <is>
          <t>FRM DE KARATE</t>
        </is>
      </c>
      <c r="V392" s="675" t="n">
        <v>2026</v>
      </c>
      <c r="W392" s="682" t="n">
        <v>46056</v>
      </c>
      <c r="X392" s="682" t="n"/>
      <c r="Y392" s="682" t="n">
        <v>46057</v>
      </c>
      <c r="Z392" s="679" t="n">
        <v>1400000</v>
      </c>
      <c r="AA392" s="680" t="n">
        <v>0</v>
      </c>
      <c r="AB392" s="680" t="n">
        <v>1400000</v>
      </c>
      <c r="AC392" s="680" t="n">
        <v>0</v>
      </c>
      <c r="AD392" s="680">
        <f>Z392</f>
        <v/>
      </c>
      <c r="AE392" s="680">
        <f>AB392</f>
        <v/>
      </c>
      <c r="AF392" s="684" t="inlineStr">
        <is>
          <t>ENGAGE</t>
        </is>
      </c>
      <c r="AG392" s="683" t="n"/>
      <c r="AH392" s="680" t="n"/>
      <c r="AI392" s="680" t="n"/>
      <c r="AJ392" s="680" t="n"/>
      <c r="AK392" s="680" t="n"/>
      <c r="AL392" s="685" t="n"/>
      <c r="AM392" s="685" t="n"/>
      <c r="AN392" s="683" t="inlineStr">
        <is>
          <t>R.A.S</t>
        </is>
      </c>
    </row>
    <row r="393" ht="46.5" customHeight="1" s="392">
      <c r="A393" s="672">
        <f>IF(AF393="ENGAGE","✔",IF(AF393="EN COURS D'ENGAGEMENT","◕",IF(AF393="PREENGAGE","◑",IF(AF393="EN COURS DE PREENGAGEMENT","◔",IF(AF393="NON ENGAGE","✖","")))))</f>
        <v/>
      </c>
      <c r="B393" s="673" t="n">
        <v>2026</v>
      </c>
      <c r="C393" s="674" t="inlineStr">
        <is>
          <t>ARRIYADIA</t>
        </is>
      </c>
      <c r="D393" s="674" t="inlineStr">
        <is>
          <t>EXCLUSIVITÉ</t>
        </is>
      </c>
      <c r="E393" s="675" t="inlineStr">
        <is>
          <t>CONTRAT</t>
        </is>
      </c>
      <c r="F393" s="675" t="n">
        <v>1</v>
      </c>
      <c r="G393" s="676" t="inlineStr">
        <is>
          <t>Frais technique de production des matches amicaux MAROC vs EQUATEUR et MAROC vs PARAGUAY</t>
        </is>
      </c>
      <c r="H393" s="673" t="inlineStr">
        <is>
          <t>VALIDE</t>
        </is>
      </c>
      <c r="I393" s="675" t="inlineStr">
        <is>
          <t>APPROUVE</t>
        </is>
      </c>
      <c r="J393" s="675" t="inlineStr">
        <is>
          <t>01-SNRT-MEDIALUSO-2026</t>
        </is>
      </c>
      <c r="K393" s="673" t="inlineStr">
        <is>
          <t>NON CONCERNE</t>
        </is>
      </c>
      <c r="L393" s="675" t="inlineStr">
        <is>
          <t>Ordinaire</t>
        </is>
      </c>
      <c r="M393" s="677" t="inlineStr">
        <is>
          <t>FONCTIONNEMENT</t>
        </is>
      </c>
      <c r="N393" s="678" t="inlineStr">
        <is>
          <t>Prestation de services
Achat prestations de services locales - sociétés</t>
        </is>
      </c>
      <c r="O393" s="679" t="n"/>
      <c r="P393" s="680" t="n"/>
      <c r="Q393" s="680" t="n"/>
      <c r="R393" s="675" t="inlineStr">
        <is>
          <t>NOUVEAU BESOIN</t>
        </is>
      </c>
      <c r="S393" s="681" t="n"/>
      <c r="T393" s="682" t="n"/>
      <c r="U393" s="683" t="inlineStr">
        <is>
          <t>MEDIALUSO</t>
        </is>
      </c>
      <c r="V393" s="675" t="n">
        <v>2026</v>
      </c>
      <c r="W393" s="682" t="n">
        <v>46084</v>
      </c>
      <c r="X393" s="682" t="n"/>
      <c r="Y393" s="682" t="n">
        <v>46091</v>
      </c>
      <c r="Z393" s="679" t="n">
        <v>777671.4</v>
      </c>
      <c r="AA393" s="680" t="n">
        <v>71940</v>
      </c>
      <c r="AB393" s="680">
        <f>Z393</f>
        <v/>
      </c>
      <c r="AC393" s="680" t="n">
        <v>71940</v>
      </c>
      <c r="AD393" s="680">
        <f>AB393</f>
        <v/>
      </c>
      <c r="AE393" s="680">
        <f>AB393</f>
        <v/>
      </c>
      <c r="AF393" s="684" t="inlineStr">
        <is>
          <t>ENGAGE</t>
        </is>
      </c>
      <c r="AG393" s="683" t="n"/>
      <c r="AH393" s="680" t="n"/>
      <c r="AI393" s="680" t="n"/>
      <c r="AJ393" s="680" t="n"/>
      <c r="AK393" s="680" t="n"/>
      <c r="AL393" s="685" t="n"/>
      <c r="AM393" s="685" t="n"/>
      <c r="AN393" s="683" t="inlineStr">
        <is>
          <t>R.A.S</t>
        </is>
      </c>
    </row>
    <row r="394" ht="50.55" customHeight="1" s="392">
      <c r="A394" s="672">
        <f>IF(AF394="ENGAGE","✔",IF(AF394="EN COURS D'ENGAGEMENT","◕",IF(AF394="PREENGAGE","◑",IF(AF394="EN COURS DE PREENGAGEMENT","◔",IF(AF394="NON ENGAGE","✖","")))))</f>
        <v/>
      </c>
      <c r="B394" s="673" t="n">
        <v>2026</v>
      </c>
      <c r="C394" s="674" t="inlineStr">
        <is>
          <t>DMPTV</t>
        </is>
      </c>
      <c r="D394" s="674" t="inlineStr">
        <is>
          <t>EXCLUSIVITÉ</t>
        </is>
      </c>
      <c r="E394" s="675" t="inlineStr">
        <is>
          <t>CONTRAT</t>
        </is>
      </c>
      <c r="F394" s="675" t="n"/>
      <c r="G394" s="676" t="inlineStr">
        <is>
          <t>Souscription par la SNRT au service de mesures d’audience Radiomat, ainsi que la souscription au service bandes annonce</t>
        </is>
      </c>
      <c r="H394" s="673" t="inlineStr">
        <is>
          <t>VALIDE</t>
        </is>
      </c>
      <c r="I394" s="675" t="inlineStr">
        <is>
          <t>APPROUVE</t>
        </is>
      </c>
      <c r="J394" s="675" t="inlineStr">
        <is>
          <t>002/2026</t>
        </is>
      </c>
      <c r="K394" s="673" t="inlineStr">
        <is>
          <t>NON CONCERNE</t>
        </is>
      </c>
      <c r="L394" s="675" t="inlineStr">
        <is>
          <t>Ordinaire</t>
        </is>
      </c>
      <c r="M394" s="677" t="inlineStr">
        <is>
          <t>FONCTIONNEMENT</t>
        </is>
      </c>
      <c r="N394" s="678" t="inlineStr">
        <is>
          <t>Redevances et cotisations</t>
        </is>
      </c>
      <c r="O394" s="679" t="n"/>
      <c r="P394" s="680" t="n"/>
      <c r="Q394" s="680" t="n"/>
      <c r="R394" s="675" t="inlineStr">
        <is>
          <t>RECONDUCTION</t>
        </is>
      </c>
      <c r="S394" s="681" t="n"/>
      <c r="T394" s="682" t="n"/>
      <c r="U394" s="683" t="inlineStr">
        <is>
          <t>MAROCMETRIE</t>
        </is>
      </c>
      <c r="V394" s="675" t="n">
        <v>2026</v>
      </c>
      <c r="W394" s="682" t="n">
        <v>46387</v>
      </c>
      <c r="X394" s="682" t="n"/>
      <c r="Y394" s="682" t="n">
        <v>46024</v>
      </c>
      <c r="Z394" s="679" t="n">
        <v>95000</v>
      </c>
      <c r="AA394" s="680" t="n"/>
      <c r="AB394" s="680" t="n">
        <v>114000</v>
      </c>
      <c r="AC394" s="680" t="n"/>
      <c r="AD394" s="680">
        <f>Z394</f>
        <v/>
      </c>
      <c r="AE394" s="680">
        <f>AB394</f>
        <v/>
      </c>
      <c r="AF394" s="684" t="inlineStr">
        <is>
          <t>ENGAGE</t>
        </is>
      </c>
      <c r="AG394" s="683" t="n"/>
      <c r="AH394" s="680" t="n"/>
      <c r="AI394" s="680" t="n"/>
      <c r="AJ394" s="680" t="n"/>
      <c r="AK394" s="680" t="n"/>
      <c r="AL394" s="685" t="n"/>
      <c r="AM394" s="685" t="n"/>
      <c r="AN394" s="683" t="n"/>
    </row>
    <row r="395" ht="46.5" customHeight="1" s="392">
      <c r="A395" s="672">
        <f>IF(AF395="ENGAGE","✔",IF(AF395="EN COURS D'ENGAGEMENT","◕",IF(AF395="PREENGAGE","◑",IF(AF395="EN COURS DE PREENGAGEMENT","◔",IF(AF395="NON ENGAGE","✖","")))))</f>
        <v/>
      </c>
      <c r="B395" s="673" t="n">
        <v>2026</v>
      </c>
      <c r="C395" s="674" t="inlineStr">
        <is>
          <t>DPMG</t>
        </is>
      </c>
      <c r="D395" s="674" t="inlineStr">
        <is>
          <t>12AOM/SNRT</t>
        </is>
      </c>
      <c r="E395" s="675" t="inlineStr">
        <is>
          <t>AOO-M</t>
        </is>
      </c>
      <c r="F395" s="675" t="n">
        <v>1</v>
      </c>
      <c r="G395" s="676" t="inlineStr">
        <is>
          <t>Désherbage des sites de la snrt : TEMARA et ZAER</t>
        </is>
      </c>
      <c r="H395" s="673" t="inlineStr">
        <is>
          <t>VALIDE</t>
        </is>
      </c>
      <c r="I395" s="675" t="inlineStr">
        <is>
          <t>ATTRIBUE</t>
        </is>
      </c>
      <c r="J395" s="675" t="inlineStr">
        <is>
          <t>14M/2026</t>
        </is>
      </c>
      <c r="K395" s="673" t="inlineStr">
        <is>
          <t>PME</t>
        </is>
      </c>
      <c r="L395" s="675" t="inlineStr">
        <is>
          <t>Ordinaire</t>
        </is>
      </c>
      <c r="M395" s="677" t="inlineStr">
        <is>
          <t>FONCTIONNEMENT</t>
        </is>
      </c>
      <c r="N395" s="678" t="inlineStr">
        <is>
          <t>Prestations de service
Achat prestations de services locales - sociétés</t>
        </is>
      </c>
      <c r="O395" s="679">
        <f>P395*1.2</f>
        <v/>
      </c>
      <c r="P395" s="680" t="n">
        <v>126000</v>
      </c>
      <c r="Q395" s="680">
        <f>P395/1.2</f>
        <v/>
      </c>
      <c r="R395" s="675" t="inlineStr">
        <is>
          <t>BESOIN RECURRENT</t>
        </is>
      </c>
      <c r="S395" s="681" t="n"/>
      <c r="T395" s="682" t="n"/>
      <c r="U395" s="683" t="inlineStr">
        <is>
          <t>CCOPERATIVE COOPVERT</t>
        </is>
      </c>
      <c r="V395" s="675" t="n"/>
      <c r="W395" s="682" t="n">
        <v>46066</v>
      </c>
      <c r="X395" s="682" t="n">
        <v>46084</v>
      </c>
      <c r="Y395" s="682" t="n">
        <v>46163</v>
      </c>
      <c r="Z395" s="679">
        <f>AB395/1.2</f>
        <v/>
      </c>
      <c r="AA395" s="680" t="n">
        <v>0</v>
      </c>
      <c r="AB395" s="680" t="n">
        <v>94200</v>
      </c>
      <c r="AC395" s="680" t="n">
        <v>0</v>
      </c>
      <c r="AD395" s="680">
        <f>Z395</f>
        <v/>
      </c>
      <c r="AE395" s="680">
        <f>AB395</f>
        <v/>
      </c>
      <c r="AF395" s="684" t="inlineStr">
        <is>
          <t>ENGAGE</t>
        </is>
      </c>
      <c r="AG395" s="683" t="n"/>
      <c r="AH395" s="680" t="n"/>
      <c r="AI395" s="680" t="n"/>
      <c r="AJ395" s="680" t="n"/>
      <c r="AK395" s="680" t="n"/>
      <c r="AL395" s="685" t="n"/>
      <c r="AM395" s="685" t="n"/>
      <c r="AN395" s="683" t="inlineStr">
        <is>
          <t>R.A.S</t>
        </is>
      </c>
    </row>
    <row r="396" ht="46.5" customHeight="1" s="392">
      <c r="A396" s="672">
        <f>IF(AF396="ENGAGE","✔",IF(AF396="EN COURS D'ENGAGEMENT","◕",IF(AF396="PREENGAGE","◑",IF(AF396="EN COURS DE PREENGAGEMENT","◔",IF(AF396="NON ENGAGE","✖","")))))</f>
        <v/>
      </c>
      <c r="B396" s="673" t="n">
        <v>2026</v>
      </c>
      <c r="C396" s="674" t="inlineStr">
        <is>
          <t>DPMG</t>
        </is>
      </c>
      <c r="D396" s="674" t="inlineStr">
        <is>
          <t>12AOM/SNRT</t>
        </is>
      </c>
      <c r="E396" s="675" t="inlineStr">
        <is>
          <t>AOO-M</t>
        </is>
      </c>
      <c r="F396" s="675" t="n">
        <v>2</v>
      </c>
      <c r="G396" s="676" t="inlineStr">
        <is>
          <t>Désherbage des sites de la snrt : Casablanca (Ain Chok et Roche noire)</t>
        </is>
      </c>
      <c r="H396" s="673" t="inlineStr">
        <is>
          <t>VALIDE</t>
        </is>
      </c>
      <c r="I396" s="675" t="inlineStr">
        <is>
          <t>APPROUVE</t>
        </is>
      </c>
      <c r="J396" s="675" t="inlineStr">
        <is>
          <t>13M/2026</t>
        </is>
      </c>
      <c r="K396" s="673" t="inlineStr">
        <is>
          <t>PME</t>
        </is>
      </c>
      <c r="L396" s="675" t="inlineStr">
        <is>
          <t>Ordinaire</t>
        </is>
      </c>
      <c r="M396" s="677" t="inlineStr">
        <is>
          <t>FONCTIONNEMENT</t>
        </is>
      </c>
      <c r="N396" s="678" t="inlineStr">
        <is>
          <t>Prestations de service
Achat prestations de services locales - sociétés</t>
        </is>
      </c>
      <c r="O396" s="679">
        <f>P396*1.2</f>
        <v/>
      </c>
      <c r="P396" s="680" t="n">
        <v>116400</v>
      </c>
      <c r="Q396" s="680">
        <f>P396/1.2</f>
        <v/>
      </c>
      <c r="R396" s="675" t="inlineStr">
        <is>
          <t>BESOIN RECURRENT</t>
        </is>
      </c>
      <c r="S396" s="681" t="n"/>
      <c r="T396" s="682" t="n"/>
      <c r="U396" s="683" t="inlineStr">
        <is>
          <t>LAZI VERT</t>
        </is>
      </c>
      <c r="V396" s="675" t="n">
        <v>2026</v>
      </c>
      <c r="W396" s="682" t="n">
        <v>46066</v>
      </c>
      <c r="X396" s="682" t="n">
        <v>46084</v>
      </c>
      <c r="Y396" s="682" t="n">
        <v>46153</v>
      </c>
      <c r="Z396" s="679">
        <f>AB396/1.2</f>
        <v/>
      </c>
      <c r="AA396" s="680" t="n">
        <v>0</v>
      </c>
      <c r="AB396" s="680" t="n">
        <v>90000</v>
      </c>
      <c r="AC396" s="680" t="n">
        <v>0</v>
      </c>
      <c r="AD396" s="680">
        <f>Z396</f>
        <v/>
      </c>
      <c r="AE396" s="680">
        <f>AB396</f>
        <v/>
      </c>
      <c r="AF396" s="684" t="inlineStr">
        <is>
          <t>ENGAGE</t>
        </is>
      </c>
      <c r="AG396" s="683" t="n"/>
      <c r="AH396" s="680" t="n"/>
      <c r="AI396" s="680" t="n"/>
      <c r="AJ396" s="680" t="n"/>
      <c r="AK396" s="680" t="n"/>
      <c r="AL396" s="685" t="n"/>
      <c r="AM396" s="685" t="n"/>
      <c r="AN396" s="683" t="inlineStr">
        <is>
          <t>R.A.S</t>
        </is>
      </c>
    </row>
    <row r="397" ht="60" customHeight="1" s="392">
      <c r="A397" s="672">
        <f>IF(AF397="ENGAGE","✔",IF(AF397="EN COURS D'ENGAGEMENT","◕",IF(AF397="PREENGAGE","◑",IF(AF397="EN COURS DE PREENGAGEMENT","◔",IF(AF397="NON ENGAGE","✖","")))))</f>
        <v/>
      </c>
      <c r="B397" s="673" t="n">
        <v>2026</v>
      </c>
      <c r="C397" s="674" t="inlineStr">
        <is>
          <t>DCPA</t>
        </is>
      </c>
      <c r="D397" s="674" t="inlineStr">
        <is>
          <t>PV N° : 01NV2026-DCPA</t>
        </is>
      </c>
      <c r="E397" s="675" t="inlineStr">
        <is>
          <t>CONTRAT</t>
        </is>
      </c>
      <c r="F397" s="675" t="n">
        <v>1</v>
      </c>
      <c r="G397" s="676" t="inlineStr">
        <is>
          <t>MOULAY DRISS ABOUELFADEL – Préparation, supervision, suivi et rédaction des commentaires pour une nouvelle série documentaire sur l’environnement marin produite en interne</t>
        </is>
      </c>
      <c r="H397" s="673" t="inlineStr">
        <is>
          <t>VALIDE</t>
        </is>
      </c>
      <c r="I397" s="675" t="inlineStr">
        <is>
          <t>APPROUVE</t>
        </is>
      </c>
      <c r="J397" s="693" t="n"/>
      <c r="K397" s="673" t="inlineStr">
        <is>
          <t>NON CONCERNE</t>
        </is>
      </c>
      <c r="L397" s="675" t="inlineStr">
        <is>
          <t>Ordinaire</t>
        </is>
      </c>
      <c r="M397" s="677" t="inlineStr">
        <is>
          <t>FONCTIONNEMENT</t>
        </is>
      </c>
      <c r="N397" s="678" t="inlineStr">
        <is>
          <t xml:space="preserve">Achats de productions et de programmes
Achat des programmes en production interne </t>
        </is>
      </c>
      <c r="O397" s="679" t="n"/>
      <c r="P397" s="680" t="n"/>
      <c r="Q397" s="680" t="n"/>
      <c r="R397" s="675" t="inlineStr">
        <is>
          <t>NOUVEAU BESOIN</t>
        </is>
      </c>
      <c r="S397" s="681" t="n"/>
      <c r="T397" s="682" t="n"/>
      <c r="U397" s="683" t="inlineStr">
        <is>
          <t>MOULAY DRISS ABOUELFADEL</t>
        </is>
      </c>
      <c r="V397" s="675" t="n">
        <v>2026</v>
      </c>
      <c r="W397" s="682" t="n">
        <v>46091</v>
      </c>
      <c r="X397" s="682" t="n"/>
      <c r="Y397" s="682" t="n">
        <v>46092</v>
      </c>
      <c r="Z397" s="679" t="n">
        <v>156000</v>
      </c>
      <c r="AA397" s="680" t="n">
        <v>0</v>
      </c>
      <c r="AB397" s="680" t="n">
        <v>156000</v>
      </c>
      <c r="AC397" s="680" t="n">
        <v>0</v>
      </c>
      <c r="AD397" s="680">
        <f>Z397</f>
        <v/>
      </c>
      <c r="AE397" s="680">
        <f>AB397</f>
        <v/>
      </c>
      <c r="AF397" s="684" t="inlineStr">
        <is>
          <t>ENGAGE</t>
        </is>
      </c>
      <c r="AG397" s="683" t="n"/>
      <c r="AH397" s="680" t="n"/>
      <c r="AI397" s="680" t="n"/>
      <c r="AJ397" s="680" t="n"/>
      <c r="AK397" s="680" t="n"/>
      <c r="AL397" s="685" t="n"/>
      <c r="AM397" s="685" t="n"/>
      <c r="AN397" s="683" t="inlineStr">
        <is>
          <t>R.A.S</t>
        </is>
      </c>
    </row>
    <row r="398" ht="35.7" customHeight="1" s="392">
      <c r="A398" s="672">
        <f>IF(AF398="ENGAGE","✔",IF(AF398="EN COURS D'ENGAGEMENT","◕",IF(AF398="PREENGAGE","◑",IF(AF398="EN COURS DE PREENGAGEMENT","◔",IF(AF398="NON ENGAGE","✖","")))))</f>
        <v/>
      </c>
      <c r="B398" s="673" t="n">
        <v>2026</v>
      </c>
      <c r="C398" s="674" t="inlineStr">
        <is>
          <t>DTSI</t>
        </is>
      </c>
      <c r="D398" s="674" t="inlineStr">
        <is>
          <t>   </t>
        </is>
      </c>
      <c r="E398" s="675" t="inlineStr">
        <is>
          <t>BCL</t>
        </is>
      </c>
      <c r="F398" s="675" t="n">
        <v>1</v>
      </c>
      <c r="G398" s="676" t="inlineStr">
        <is>
          <t>La fourniture de toners d’impression pour les besoins de la SNRT</t>
        </is>
      </c>
      <c r="H398" s="673" t="inlineStr">
        <is>
          <t>VALIDE</t>
        </is>
      </c>
      <c r="I398" s="675" t="inlineStr">
        <is>
          <t>APPROUVE</t>
        </is>
      </c>
      <c r="J398" s="675" t="inlineStr">
        <is>
          <t>26000012 CL</t>
        </is>
      </c>
      <c r="K398" s="673" t="inlineStr">
        <is>
          <t>NON CONCERNE</t>
        </is>
      </c>
      <c r="L398" s="675" t="inlineStr">
        <is>
          <t>Ordinaire</t>
        </is>
      </c>
      <c r="M398" s="677" t="inlineStr">
        <is>
          <t>FONCTIONNEMENT</t>
        </is>
      </c>
      <c r="N398" s="678" t="inlineStr">
        <is>
          <t>Achat de matière et fourniture consommable</t>
        </is>
      </c>
      <c r="O398" s="679" t="n"/>
      <c r="P398" s="680" t="n"/>
      <c r="Q398" s="680" t="n"/>
      <c r="R398" s="675" t="inlineStr">
        <is>
          <t>BESOIN RECURRENT</t>
        </is>
      </c>
      <c r="S398" s="681" t="n"/>
      <c r="T398" s="682" t="n"/>
      <c r="U398" s="683" t="inlineStr">
        <is>
          <t>MONDOFFICE</t>
        </is>
      </c>
      <c r="V398" s="675" t="n">
        <v>2026</v>
      </c>
      <c r="W398" s="682" t="n">
        <v>46091</v>
      </c>
      <c r="X398" s="682" t="n"/>
      <c r="Y398" s="682" t="n">
        <v>46091</v>
      </c>
      <c r="Z398" s="679">
        <f>AB398/1.2</f>
        <v/>
      </c>
      <c r="AA398" s="680" t="n">
        <v>0</v>
      </c>
      <c r="AB398" s="680" t="n">
        <v>295662</v>
      </c>
      <c r="AC398" s="680" t="n">
        <v>0</v>
      </c>
      <c r="AD398" s="680">
        <f>Z398</f>
        <v/>
      </c>
      <c r="AE398" s="680">
        <f>AB398</f>
        <v/>
      </c>
      <c r="AF398" s="684" t="inlineStr">
        <is>
          <t>ENGAGE</t>
        </is>
      </c>
      <c r="AG398" s="683" t="n"/>
      <c r="AH398" s="680" t="n"/>
      <c r="AI398" s="680" t="n"/>
      <c r="AJ398" s="680" t="n"/>
      <c r="AK398" s="680" t="n"/>
      <c r="AL398" s="685" t="n"/>
      <c r="AM398" s="685" t="n"/>
      <c r="AN398" s="683" t="inlineStr">
        <is>
          <t>R.A.S</t>
        </is>
      </c>
    </row>
    <row r="399" ht="35.7" customHeight="1" s="392">
      <c r="A399" s="672">
        <f>IF(AF399="ENGAGE","✔",IF(AF399="EN COURS D'ENGAGEMENT","◕",IF(AF399="PREENGAGE","◑",IF(AF399="EN COURS DE PREENGAGEMENT","◔",IF(AF399="NON ENGAGE","✖","")))))</f>
        <v/>
      </c>
      <c r="B399" s="673" t="n">
        <v>2025</v>
      </c>
      <c r="C399" s="674" t="inlineStr">
        <is>
          <t>TDF-EXP&amp;MAIN</t>
        </is>
      </c>
      <c r="D399" s="674" t="inlineStr">
        <is>
          <t>100 AOM/SNRT</t>
        </is>
      </c>
      <c r="E399" s="675" t="inlineStr">
        <is>
          <t>AOO-M</t>
        </is>
      </c>
      <c r="F399" s="675" t="n">
        <v>1</v>
      </c>
      <c r="G399" s="676" t="inlineStr">
        <is>
          <t>La fourniture et installation des radômes pour le feeder du centre émetteur Radio AM de Foum El Oued à Laayoune</t>
        </is>
      </c>
      <c r="H399" s="673" t="inlineStr">
        <is>
          <t>VALIDE</t>
        </is>
      </c>
      <c r="I399" s="675" t="inlineStr">
        <is>
          <t>APPROUVE</t>
        </is>
      </c>
      <c r="J399" s="675" t="inlineStr">
        <is>
          <t>09M/2026</t>
        </is>
      </c>
      <c r="K399" s="673" t="inlineStr">
        <is>
          <t>GENERAL</t>
        </is>
      </c>
      <c r="L399" s="675" t="inlineStr">
        <is>
          <t>REPORT BUDGET ANNEE ANTERIEURE</t>
        </is>
      </c>
      <c r="M399" s="677" t="inlineStr">
        <is>
          <t>INVESTISSEMENT</t>
        </is>
      </c>
      <c r="N399" s="678" t="inlineStr">
        <is>
          <t>Équipements de télédiffusion</t>
        </is>
      </c>
      <c r="O399" s="679">
        <f>P399*1.2</f>
        <v/>
      </c>
      <c r="P399" s="680" t="n">
        <v>2086200</v>
      </c>
      <c r="Q399" s="680">
        <f>P399/1.2</f>
        <v/>
      </c>
      <c r="R399" s="675" t="inlineStr">
        <is>
          <t>NOUVEAU BESOIN</t>
        </is>
      </c>
      <c r="S399" s="681" t="n"/>
      <c r="T399" s="682" t="n"/>
      <c r="U399" s="683" t="inlineStr">
        <is>
          <t>MOYANO MAROC</t>
        </is>
      </c>
      <c r="V399" s="675" t="n">
        <v>2026</v>
      </c>
      <c r="W399" s="682" t="n">
        <v>46094</v>
      </c>
      <c r="X399" s="682" t="n"/>
      <c r="Y399" s="682" t="n">
        <v>46108</v>
      </c>
      <c r="Z399" s="679">
        <f>AB399/1.2</f>
        <v/>
      </c>
      <c r="AA399" s="680" t="n">
        <v>0</v>
      </c>
      <c r="AB399" s="680" t="n">
        <v>2497800</v>
      </c>
      <c r="AC399" s="680" t="n">
        <v>0</v>
      </c>
      <c r="AD399" s="680">
        <f>Z399</f>
        <v/>
      </c>
      <c r="AE399" s="680">
        <f>AB399</f>
        <v/>
      </c>
      <c r="AF399" s="684" t="inlineStr">
        <is>
          <t>ENGAGE</t>
        </is>
      </c>
      <c r="AG399" s="683" t="n"/>
      <c r="AH399" s="680" t="n"/>
      <c r="AI399" s="680" t="n"/>
      <c r="AJ399" s="680" t="n"/>
      <c r="AK399" s="680" t="n"/>
      <c r="AL399" s="685" t="n"/>
      <c r="AM399" s="685" t="n"/>
      <c r="AN399" s="683" t="inlineStr">
        <is>
          <t>R,A,S</t>
        </is>
      </c>
    </row>
    <row r="400" ht="33" customHeight="1" s="392">
      <c r="A400" s="672">
        <f>IF(AF400="ENGAGE","✔",IF(AF400="EN COURS D'ENGAGEMENT","◕",IF(AF400="PREENGAGE","◑",IF(AF400="EN COURS DE PREENGAGEMENT","◔",IF(AF400="NON ENGAGE","✖","")))))</f>
        <v/>
      </c>
      <c r="B400" s="673" t="n">
        <v>2026</v>
      </c>
      <c r="C400" s="674" t="inlineStr">
        <is>
          <t>DPMG</t>
        </is>
      </c>
      <c r="D400" s="674" t="inlineStr">
        <is>
          <t>   </t>
        </is>
      </c>
      <c r="E400" s="675" t="inlineStr">
        <is>
          <t>BCL</t>
        </is>
      </c>
      <c r="F400" s="675" t="n">
        <v>1</v>
      </c>
      <c r="G400" s="676" t="inlineStr">
        <is>
          <t xml:space="preserve">Travaux d’aménagement </t>
        </is>
      </c>
      <c r="H400" s="673" t="inlineStr">
        <is>
          <t>VALIDE</t>
        </is>
      </c>
      <c r="I400" s="675" t="inlineStr">
        <is>
          <t>APPROUVE</t>
        </is>
      </c>
      <c r="J400" s="675" t="inlineStr">
        <is>
          <t>26000018 CL</t>
        </is>
      </c>
      <c r="K400" s="673" t="inlineStr">
        <is>
          <t>NON CONCERNE</t>
        </is>
      </c>
      <c r="L400" s="675" t="inlineStr">
        <is>
          <t>Ordinaire</t>
        </is>
      </c>
      <c r="M400" s="677" t="inlineStr">
        <is>
          <t>INVESTISSEMENT</t>
        </is>
      </c>
      <c r="N400" s="678" t="inlineStr">
        <is>
          <t>Agencements et aménagement constructions</t>
        </is>
      </c>
      <c r="O400" s="679" t="n"/>
      <c r="P400" s="680" t="n"/>
      <c r="Q400" s="680" t="n"/>
      <c r="R400" s="675" t="inlineStr">
        <is>
          <t>BESOIN RECURRENT</t>
        </is>
      </c>
      <c r="S400" s="681" t="n"/>
      <c r="T400" s="682" t="n"/>
      <c r="U400" s="683" t="inlineStr">
        <is>
          <t>MDFICATION</t>
        </is>
      </c>
      <c r="V400" s="675" t="n">
        <v>2026</v>
      </c>
      <c r="W400" s="682" t="n"/>
      <c r="X400" s="682" t="n"/>
      <c r="Y400" s="682" t="n">
        <v>46098</v>
      </c>
      <c r="Z400" s="679" t="n">
        <v>199115</v>
      </c>
      <c r="AA400" s="680" t="n">
        <v>0</v>
      </c>
      <c r="AB400" s="680" t="n">
        <v>238938</v>
      </c>
      <c r="AC400" s="680" t="n">
        <v>0</v>
      </c>
      <c r="AD400" s="680">
        <f>Z400</f>
        <v/>
      </c>
      <c r="AE400" s="680">
        <f>AB400</f>
        <v/>
      </c>
      <c r="AF400" s="684" t="inlineStr">
        <is>
          <t>ENGAGE</t>
        </is>
      </c>
      <c r="AG400" s="683" t="n"/>
      <c r="AH400" s="680" t="n"/>
      <c r="AI400" s="680" t="n"/>
      <c r="AJ400" s="680" t="n"/>
      <c r="AK400" s="680" t="n"/>
      <c r="AL400" s="685" t="n"/>
      <c r="AM400" s="685" t="n"/>
      <c r="AN400" s="683" t="n"/>
    </row>
    <row r="401" ht="50.55" customHeight="1" s="392">
      <c r="A401" s="672">
        <f>IF(AF401="ENGAGE","✔",IF(AF401="EN COURS D'ENGAGEMENT","◕",IF(AF401="PREENGAGE","◑",IF(AF401="EN COURS DE PREENGAGEMENT","◔",IF(AF401="NON ENGAGE","✖","")))))</f>
        <v/>
      </c>
      <c r="B401" s="673" t="n">
        <v>2026</v>
      </c>
      <c r="C401" s="674" t="inlineStr">
        <is>
          <t>DPMG</t>
        </is>
      </c>
      <c r="D401" s="674" t="inlineStr">
        <is>
          <t>   </t>
        </is>
      </c>
      <c r="E401" s="675" t="inlineStr">
        <is>
          <t>BCL</t>
        </is>
      </c>
      <c r="F401" s="675" t="n">
        <v>1</v>
      </c>
      <c r="G401" s="676" t="inlineStr">
        <is>
          <t>Hébergement en pension compléte des invités marocains et étrangers dans le cadre du tournage des émission TV de la SNRT</t>
        </is>
      </c>
      <c r="H401" s="673" t="inlineStr">
        <is>
          <t>VALIDE</t>
        </is>
      </c>
      <c r="I401" s="675" t="inlineStr">
        <is>
          <t>APPROUVE</t>
        </is>
      </c>
      <c r="J401" s="675" t="inlineStr">
        <is>
          <t>26000019 CL</t>
        </is>
      </c>
      <c r="K401" s="673" t="inlineStr">
        <is>
          <t>NON CONCERNE</t>
        </is>
      </c>
      <c r="L401" s="675" t="inlineStr">
        <is>
          <t>Ordinaire</t>
        </is>
      </c>
      <c r="M401" s="677" t="inlineStr">
        <is>
          <t>FONCTIONNEMENT</t>
        </is>
      </c>
      <c r="N401" s="678" t="inlineStr">
        <is>
          <t>Déplacements, missions et réceptions</t>
        </is>
      </c>
      <c r="O401" s="679" t="n"/>
      <c r="P401" s="680" t="n"/>
      <c r="Q401" s="680" t="n"/>
      <c r="R401" s="675" t="inlineStr">
        <is>
          <t>BESOIN RECURRENT</t>
        </is>
      </c>
      <c r="S401" s="681" t="n"/>
      <c r="T401" s="682" t="n"/>
      <c r="U401" s="683" t="inlineStr">
        <is>
          <t>FIKRINVEST-HO (NJ HOTEL)</t>
        </is>
      </c>
      <c r="V401" s="675" t="n">
        <v>2026</v>
      </c>
      <c r="W401" s="682" t="n"/>
      <c r="X401" s="682" t="n"/>
      <c r="Y401" s="682" t="n">
        <v>46111</v>
      </c>
      <c r="Z401" s="679" t="n">
        <v>109091.2</v>
      </c>
      <c r="AA401" s="680" t="n">
        <v>0</v>
      </c>
      <c r="AB401" s="680" t="n">
        <v>120000.32</v>
      </c>
      <c r="AC401" s="680" t="n">
        <v>0</v>
      </c>
      <c r="AD401" s="680">
        <f>Z401</f>
        <v/>
      </c>
      <c r="AE401" s="680">
        <f>AB401</f>
        <v/>
      </c>
      <c r="AF401" s="684" t="inlineStr">
        <is>
          <t>ENGAGE</t>
        </is>
      </c>
      <c r="AG401" s="683" t="n"/>
      <c r="AH401" s="680" t="n"/>
      <c r="AI401" s="680" t="n"/>
      <c r="AJ401" s="680" t="n"/>
      <c r="AK401" s="680" t="n"/>
      <c r="AL401" s="685" t="n"/>
      <c r="AM401" s="685" t="n"/>
      <c r="AN401" s="683" t="n"/>
    </row>
    <row r="402" ht="35.7" customHeight="1" s="392">
      <c r="A402" s="672">
        <f>IF(AF402="ENGAGE","✔",IF(AF402="EN COURS D'ENGAGEMENT","◕",IF(AF402="PREENGAGE","◑",IF(AF402="EN COURS DE PREENGAGEMENT","◔",IF(AF402="NON ENGAGE","✖","")))))</f>
        <v/>
      </c>
      <c r="B402" s="673" t="n">
        <v>2026</v>
      </c>
      <c r="C402" s="674" t="inlineStr">
        <is>
          <t>DPMG</t>
        </is>
      </c>
      <c r="D402" s="674" t="inlineStr">
        <is>
          <t>   </t>
        </is>
      </c>
      <c r="E402" s="675" t="inlineStr">
        <is>
          <t>BCL</t>
        </is>
      </c>
      <c r="F402" s="675" t="n">
        <v>1</v>
      </c>
      <c r="G402" s="676" t="inlineStr">
        <is>
          <t>Achat des piles pour les besoins de différentes entités de la SNRT</t>
        </is>
      </c>
      <c r="H402" s="673" t="inlineStr">
        <is>
          <t>VALIDE</t>
        </is>
      </c>
      <c r="I402" s="675" t="inlineStr">
        <is>
          <t>APPROUVE</t>
        </is>
      </c>
      <c r="J402" s="675" t="inlineStr">
        <is>
          <t>26000015 CL</t>
        </is>
      </c>
      <c r="K402" s="673" t="inlineStr">
        <is>
          <t>NON CONCERNE</t>
        </is>
      </c>
      <c r="L402" s="675" t="inlineStr">
        <is>
          <t>Ordinaire</t>
        </is>
      </c>
      <c r="M402" s="677" t="inlineStr">
        <is>
          <t>FONCTIONNEMENT</t>
        </is>
      </c>
      <c r="N402" s="678" t="inlineStr">
        <is>
          <t xml:space="preserve">Achats non stockés de matières et fournitures </t>
        </is>
      </c>
      <c r="O402" s="679" t="n"/>
      <c r="P402" s="680" t="n"/>
      <c r="Q402" s="680" t="n"/>
      <c r="R402" s="675" t="inlineStr">
        <is>
          <t>BESOIN RECURRENT</t>
        </is>
      </c>
      <c r="S402" s="681" t="n"/>
      <c r="T402" s="682" t="n"/>
      <c r="U402" s="683" t="inlineStr">
        <is>
          <t>BURIM</t>
        </is>
      </c>
      <c r="V402" s="675" t="n">
        <v>2026</v>
      </c>
      <c r="W402" s="682" t="n"/>
      <c r="X402" s="682" t="n"/>
      <c r="Y402" s="682" t="n">
        <v>46112</v>
      </c>
      <c r="Z402" s="679" t="n">
        <v>382000</v>
      </c>
      <c r="AA402" s="680" t="n">
        <v>0</v>
      </c>
      <c r="AB402" s="680" t="n">
        <v>458400</v>
      </c>
      <c r="AC402" s="680" t="n">
        <v>0</v>
      </c>
      <c r="AD402" s="680">
        <f>Z402</f>
        <v/>
      </c>
      <c r="AE402" s="680">
        <f>AB402</f>
        <v/>
      </c>
      <c r="AF402" s="684" t="inlineStr">
        <is>
          <t>ENGAGE</t>
        </is>
      </c>
      <c r="AG402" s="683" t="n"/>
      <c r="AH402" s="680" t="n"/>
      <c r="AI402" s="680" t="n"/>
      <c r="AJ402" s="680" t="n"/>
      <c r="AK402" s="680" t="n"/>
      <c r="AL402" s="685" t="n"/>
      <c r="AM402" s="685" t="n"/>
      <c r="AN402" s="683" t="n"/>
    </row>
    <row r="403" ht="46.5" customHeight="1" s="392">
      <c r="A403" s="672">
        <f>IF(AF403="ENGAGE","✔",IF(AF403="EN COURS D'ENGAGEMENT","◕",IF(AF403="PREENGAGE","◑",IF(AF403="EN COURS DE PREENGAGEMENT","◔",IF(AF403="NON ENGAGE","✖","")))))</f>
        <v/>
      </c>
      <c r="B403" s="673" t="n">
        <v>2025</v>
      </c>
      <c r="C403" s="674" t="inlineStr">
        <is>
          <t>DRPSD</t>
        </is>
      </c>
      <c r="D403" s="674" t="inlineStr">
        <is>
          <t>84 AOM/SNRT</t>
        </is>
      </c>
      <c r="E403" s="675" t="inlineStr">
        <is>
          <t>AOO-M</t>
        </is>
      </c>
      <c r="F403" s="675" t="n">
        <v>1</v>
      </c>
      <c r="G403" s="676" t="inlineStr">
        <is>
          <t>Optimisation et amélioration de la stratégie de référencement et maintenance de la plateforme web SNRT news</t>
        </is>
      </c>
      <c r="H403" s="673" t="inlineStr">
        <is>
          <t>VALIDE</t>
        </is>
      </c>
      <c r="I403" s="675" t="inlineStr">
        <is>
          <t>ATTRIBUE</t>
        </is>
      </c>
      <c r="J403" s="693" t="n"/>
      <c r="K403" s="673" t="inlineStr">
        <is>
          <t>PME</t>
        </is>
      </c>
      <c r="L403" s="675" t="inlineStr">
        <is>
          <t>Ordinaire</t>
        </is>
      </c>
      <c r="M403" s="677" t="inlineStr">
        <is>
          <t>FONCTIONNEMENT</t>
        </is>
      </c>
      <c r="N403" s="678" t="inlineStr">
        <is>
          <t>Prestation de services
Achat prestations de services locales - sociétés</t>
        </is>
      </c>
      <c r="O403" s="679">
        <f>P403*1.2</f>
        <v/>
      </c>
      <c r="P403" s="680" t="n">
        <v>350000</v>
      </c>
      <c r="Q403" s="680">
        <f>P403/1.2</f>
        <v/>
      </c>
      <c r="R403" s="675" t="inlineStr">
        <is>
          <t>BESOIN RECURRENT</t>
        </is>
      </c>
      <c r="S403" s="681" t="n"/>
      <c r="T403" s="682" t="n"/>
      <c r="U403" s="683" t="inlineStr">
        <is>
          <t>BE IN BE OUT</t>
        </is>
      </c>
      <c r="V403" s="675" t="n">
        <v>2026</v>
      </c>
      <c r="W403" s="682" t="n">
        <v>46099</v>
      </c>
      <c r="X403" s="682" t="n"/>
      <c r="Y403" s="682" t="n"/>
      <c r="Z403" s="679">
        <f>AB403/1.2</f>
        <v/>
      </c>
      <c r="AA403" s="680" t="n">
        <v>0</v>
      </c>
      <c r="AB403" s="680" t="n">
        <v>350000</v>
      </c>
      <c r="AC403" s="680" t="n">
        <v>0</v>
      </c>
      <c r="AD403" s="680">
        <f>Z403</f>
        <v/>
      </c>
      <c r="AE403" s="680">
        <f>AB403</f>
        <v/>
      </c>
      <c r="AF403" s="684" t="inlineStr">
        <is>
          <t>ENGAGE</t>
        </is>
      </c>
      <c r="AG403" s="683" t="n"/>
      <c r="AH403" s="680" t="n"/>
      <c r="AI403" s="680" t="n"/>
      <c r="AJ403" s="680" t="n"/>
      <c r="AK403" s="680" t="n"/>
      <c r="AL403" s="685" t="n"/>
      <c r="AM403" s="685" t="n"/>
      <c r="AN403" s="683" t="inlineStr">
        <is>
          <t>N° Marché + Date Approbation</t>
        </is>
      </c>
    </row>
    <row r="404" ht="35.7" customHeight="1" s="392">
      <c r="A404" s="672">
        <f>IF(AF404="ENGAGE","✔",IF(AF404="EN COURS D'ENGAGEMENT","◕",IF(AF404="PREENGAGE","◑",IF(AF404="EN COURS DE PREENGAGEMENT","◔",IF(AF404="NON ENGAGE","✖","")))))</f>
        <v/>
      </c>
      <c r="B404" s="673" t="n">
        <v>2025</v>
      </c>
      <c r="C404" s="674" t="inlineStr">
        <is>
          <t>TDF-EXP&amp;MAIN</t>
        </is>
      </c>
      <c r="D404" s="674" t="inlineStr">
        <is>
          <t>78 AOM/SNRT</t>
        </is>
      </c>
      <c r="E404" s="675" t="inlineStr">
        <is>
          <t>AOO-M</t>
        </is>
      </c>
      <c r="F404" s="675" t="n">
        <v>1</v>
      </c>
      <c r="G404" s="676" t="inlineStr">
        <is>
          <t>Travaux de pose de faux planchers et séparation vitrée à la salle technique du centre SNRT d’Ain Chock</t>
        </is>
      </c>
      <c r="H404" s="673" t="inlineStr">
        <is>
          <t>VALIDE</t>
        </is>
      </c>
      <c r="I404" s="675" t="inlineStr">
        <is>
          <t>APPROUVE</t>
        </is>
      </c>
      <c r="J404" s="675" t="inlineStr">
        <is>
          <t>08M/2026</t>
        </is>
      </c>
      <c r="K404" s="673" t="inlineStr">
        <is>
          <t>PME</t>
        </is>
      </c>
      <c r="L404" s="675" t="inlineStr">
        <is>
          <t>REPORT BUDGET ANNEE ANTERIEURE</t>
        </is>
      </c>
      <c r="M404" s="677" t="inlineStr">
        <is>
          <t>INVESTISSEMENT</t>
        </is>
      </c>
      <c r="N404" s="678" t="inlineStr">
        <is>
          <t>Agencements et aménagement constructions</t>
        </is>
      </c>
      <c r="O404" s="679">
        <f>P404*1.2</f>
        <v/>
      </c>
      <c r="P404" s="680" t="n">
        <v>386400</v>
      </c>
      <c r="Q404" s="680">
        <f>P404/1.2</f>
        <v/>
      </c>
      <c r="R404" s="675" t="inlineStr">
        <is>
          <t>NOUVEAU BESOIN</t>
        </is>
      </c>
      <c r="S404" s="681" t="n"/>
      <c r="T404" s="682" t="n"/>
      <c r="U404" s="683" t="inlineStr">
        <is>
          <t>MOYANO MAROC</t>
        </is>
      </c>
      <c r="V404" s="675" t="n">
        <v>2026</v>
      </c>
      <c r="W404" s="682" t="n">
        <v>46099</v>
      </c>
      <c r="X404" s="682" t="n"/>
      <c r="Y404" s="682" t="n">
        <v>46108</v>
      </c>
      <c r="Z404" s="679">
        <f>AB404/1.2</f>
        <v/>
      </c>
      <c r="AA404" s="680" t="n">
        <v>0</v>
      </c>
      <c r="AB404" s="680" t="n">
        <v>460560</v>
      </c>
      <c r="AC404" s="680" t="n">
        <v>0</v>
      </c>
      <c r="AD404" s="680">
        <f>Z404</f>
        <v/>
      </c>
      <c r="AE404" s="680">
        <f>AB404</f>
        <v/>
      </c>
      <c r="AF404" s="684" t="inlineStr">
        <is>
          <t>ENGAGE</t>
        </is>
      </c>
      <c r="AG404" s="683" t="n"/>
      <c r="AH404" s="680" t="n"/>
      <c r="AI404" s="680" t="n"/>
      <c r="AJ404" s="680" t="n"/>
      <c r="AK404" s="680" t="n"/>
      <c r="AL404" s="685" t="n"/>
      <c r="AM404" s="685" t="n"/>
      <c r="AN404" s="683" t="inlineStr">
        <is>
          <t>R,A,S</t>
        </is>
      </c>
    </row>
    <row r="405" ht="50.55" customHeight="1" s="392">
      <c r="A405" s="672">
        <f>IF(AF405="ENGAGE","✔",IF(AF405="EN COURS D'ENGAGEMENT","◕",IF(AF405="PREENGAGE","◑",IF(AF405="EN COURS DE PREENGAGEMENT","◔",IF(AF405="NON ENGAGE","✖","")))))</f>
        <v/>
      </c>
      <c r="B405" s="673" t="n">
        <v>2021</v>
      </c>
      <c r="C405" s="674" t="inlineStr">
        <is>
          <t>DINFOTV</t>
        </is>
      </c>
      <c r="D405" s="674" t="inlineStr">
        <is>
          <t>RECONDUCTIBLE</t>
        </is>
      </c>
      <c r="E405" s="675" t="inlineStr">
        <is>
          <t>CONTRAT</t>
        </is>
      </c>
      <c r="F405" s="675" t="n">
        <v>1</v>
      </c>
      <c r="G405" s="676" t="inlineStr">
        <is>
          <t>DIFFUSION D'EURONEWS EN DIRECT OU EN DIFFERE L'UTILISATION DE CERTAINS CONTENUS AVEC OU SON LOGO, ECHANGES D'INFO, UTILISATION DES TALENTS ET MARQUES EURONEWS</t>
        </is>
      </c>
      <c r="H405" s="673" t="inlineStr">
        <is>
          <t>VALIDE</t>
        </is>
      </c>
      <c r="I405" s="675" t="inlineStr">
        <is>
          <t>APPROUVE</t>
        </is>
      </c>
      <c r="J405" s="675" t="n">
        <v>490</v>
      </c>
      <c r="K405" s="673" t="inlineStr">
        <is>
          <t>NON CONCERNE</t>
        </is>
      </c>
      <c r="L405" s="675" t="inlineStr">
        <is>
          <t>Ordinaire</t>
        </is>
      </c>
      <c r="M405" s="677" t="inlineStr">
        <is>
          <t>FONCTIONNEMENT</t>
        </is>
      </c>
      <c r="N405" s="678" t="inlineStr">
        <is>
          <t>Prestations de service
Achat prestations de services étrangères</t>
        </is>
      </c>
      <c r="O405" s="679" t="n"/>
      <c r="P405" s="680" t="n"/>
      <c r="Q405" s="680" t="n"/>
      <c r="R405" s="675" t="inlineStr">
        <is>
          <t>RECONDUCTIBLE</t>
        </is>
      </c>
      <c r="S405" s="681" t="n"/>
      <c r="T405" s="682" t="n"/>
      <c r="U405" s="683" t="inlineStr">
        <is>
          <t>EURONEWS</t>
        </is>
      </c>
      <c r="V405" s="675" t="n">
        <v>2021</v>
      </c>
      <c r="W405" s="682" t="inlineStr">
        <is>
          <t>-</t>
        </is>
      </c>
      <c r="X405" s="682" t="n"/>
      <c r="Y405" s="682" t="inlineStr">
        <is>
          <t>-</t>
        </is>
      </c>
      <c r="Z405" s="679" t="n"/>
      <c r="AA405" s="680" t="n"/>
      <c r="AB405" s="680" t="n"/>
      <c r="AC405" s="680" t="n"/>
      <c r="AD405" s="680" t="n"/>
      <c r="AE405" s="680" t="n">
        <v>1241174</v>
      </c>
      <c r="AF405" s="684" t="inlineStr">
        <is>
          <t>ENGAGE</t>
        </is>
      </c>
      <c r="AG405" s="683" t="n"/>
      <c r="AH405" s="680" t="n"/>
      <c r="AI405" s="680" t="n"/>
      <c r="AJ405" s="680" t="n"/>
      <c r="AK405" s="680" t="n"/>
      <c r="AL405" s="685" t="n"/>
      <c r="AM405" s="685" t="n"/>
      <c r="AN405" s="683" t="n"/>
    </row>
    <row r="406" ht="46.5" customHeight="1" s="392">
      <c r="A406" s="672">
        <f>IF(AF406="ENGAGE","✔",IF(AF406="EN COURS D'ENGAGEMENT","◕",IF(AF406="PREENGAGE","◑",IF(AF406="EN COURS DE PREENGAGEMENT","◔",IF(AF406="NON ENGAGE","✖","")))))</f>
        <v/>
      </c>
      <c r="B406" s="673" t="n">
        <v>2023</v>
      </c>
      <c r="C406" s="674" t="inlineStr">
        <is>
          <t>DINFOTV</t>
        </is>
      </c>
      <c r="D406" s="674" t="inlineStr">
        <is>
          <t>RECONDUCTIBLE</t>
        </is>
      </c>
      <c r="E406" s="675" t="inlineStr">
        <is>
          <t>CONTRAT</t>
        </is>
      </c>
      <c r="F406" s="675" t="n">
        <v>1</v>
      </c>
      <c r="G406" s="676" t="inlineStr">
        <is>
          <t>l'abonnement aux services media (reuters vidéo et reurters live service-RLS- via WNE linear delivery</t>
        </is>
      </c>
      <c r="H406" s="673" t="inlineStr">
        <is>
          <t>VALIDE</t>
        </is>
      </c>
      <c r="I406" s="675" t="inlineStr">
        <is>
          <t>APPROUVE</t>
        </is>
      </c>
      <c r="J406" s="675" t="inlineStr">
        <is>
          <t>REMA 398</t>
        </is>
      </c>
      <c r="K406" s="673" t="inlineStr">
        <is>
          <t>NON CONCERNE</t>
        </is>
      </c>
      <c r="L406" s="675" t="inlineStr">
        <is>
          <t>Ordinaire</t>
        </is>
      </c>
      <c r="M406" s="677" t="inlineStr">
        <is>
          <t>FONCTIONNEMENT</t>
        </is>
      </c>
      <c r="N406" s="678" t="inlineStr">
        <is>
          <t>Prestations de service
Achat prestations de services étrangères</t>
        </is>
      </c>
      <c r="O406" s="679" t="n"/>
      <c r="P406" s="680" t="n"/>
      <c r="Q406" s="680" t="n"/>
      <c r="R406" s="675" t="inlineStr">
        <is>
          <t>RECONDUCTIBLE</t>
        </is>
      </c>
      <c r="S406" s="681" t="n"/>
      <c r="T406" s="682" t="n"/>
      <c r="U406" s="683" t="inlineStr">
        <is>
          <t>REUTERS LIMITED</t>
        </is>
      </c>
      <c r="V406" s="675" t="n">
        <v>2023</v>
      </c>
      <c r="W406" s="682" t="inlineStr">
        <is>
          <t>-</t>
        </is>
      </c>
      <c r="X406" s="682" t="n"/>
      <c r="Y406" s="682" t="inlineStr">
        <is>
          <t>-</t>
        </is>
      </c>
      <c r="Z406" s="679" t="n"/>
      <c r="AA406" s="680" t="n"/>
      <c r="AB406" s="680" t="n"/>
      <c r="AC406" s="680" t="n"/>
      <c r="AD406" s="680" t="n"/>
      <c r="AE406" s="680" t="n">
        <v>1122588</v>
      </c>
      <c r="AF406" s="684" t="inlineStr">
        <is>
          <t>ENGAGE</t>
        </is>
      </c>
      <c r="AG406" s="683" t="n"/>
      <c r="AH406" s="680" t="n"/>
      <c r="AI406" s="680" t="n"/>
      <c r="AJ406" s="680" t="n"/>
      <c r="AK406" s="680" t="n"/>
      <c r="AL406" s="685" t="n"/>
      <c r="AM406" s="685" t="n"/>
      <c r="AN406" s="683" t="n"/>
    </row>
    <row r="407" ht="65.40000000000001" customHeight="1" s="392">
      <c r="A407" s="672">
        <f>IF(AF407="ENGAGE","✔",IF(AF407="EN COURS D'ENGAGEMENT","◕",IF(AF407="PREENGAGE","◑",IF(AF407="EN COURS DE PREENGAGEMENT","◔",IF(AF407="NON ENGAGE","✖","")))))</f>
        <v/>
      </c>
      <c r="B407" s="673" t="n">
        <v>2023</v>
      </c>
      <c r="C407" s="674" t="inlineStr">
        <is>
          <t>DINFOTV</t>
        </is>
      </c>
      <c r="D407" s="674" t="inlineStr">
        <is>
          <t>RECONDUCTIBLE</t>
        </is>
      </c>
      <c r="E407" s="675" t="inlineStr">
        <is>
          <t>CONTRAT</t>
        </is>
      </c>
      <c r="F407" s="675" t="n">
        <v>1</v>
      </c>
      <c r="G407" s="676" t="inlineStr">
        <is>
          <t>Définir les domaines et les conditions générales de collaboration entre la DGM et la SNRT pour la fourniture des informations météorologiques en matière de donnée et de prévisions météorologiques</t>
        </is>
      </c>
      <c r="H407" s="673" t="inlineStr">
        <is>
          <t>VALIDE</t>
        </is>
      </c>
      <c r="I407" s="675" t="inlineStr">
        <is>
          <t>APPROUVE</t>
        </is>
      </c>
      <c r="J407" s="675" t="inlineStr">
        <is>
          <t>01/2023/SNRT-DGM</t>
        </is>
      </c>
      <c r="K407" s="673" t="inlineStr">
        <is>
          <t>NON CONCERNE</t>
        </is>
      </c>
      <c r="L407" s="675" t="inlineStr">
        <is>
          <t>Ordinaire</t>
        </is>
      </c>
      <c r="M407" s="677" t="inlineStr">
        <is>
          <t>FONCTIONNEMENT</t>
        </is>
      </c>
      <c r="N407" s="678" t="inlineStr">
        <is>
          <t>Redevances et cotisations</t>
        </is>
      </c>
      <c r="O407" s="679" t="n"/>
      <c r="P407" s="680" t="n"/>
      <c r="Q407" s="680" t="n"/>
      <c r="R407" s="675" t="inlineStr">
        <is>
          <t>RECONDUCTIBLE</t>
        </is>
      </c>
      <c r="S407" s="681" t="n"/>
      <c r="T407" s="682" t="n"/>
      <c r="U407" s="683" t="inlineStr">
        <is>
          <t>DGM</t>
        </is>
      </c>
      <c r="V407" s="675" t="n">
        <v>2023</v>
      </c>
      <c r="W407" s="682" t="inlineStr">
        <is>
          <t>-</t>
        </is>
      </c>
      <c r="X407" s="682" t="n"/>
      <c r="Y407" s="682" t="inlineStr">
        <is>
          <t>-</t>
        </is>
      </c>
      <c r="Z407" s="679" t="n"/>
      <c r="AA407" s="680" t="n"/>
      <c r="AB407" s="680" t="n"/>
      <c r="AC407" s="680" t="n"/>
      <c r="AD407" s="680" t="n"/>
      <c r="AE407" s="680" t="n">
        <v>864000</v>
      </c>
      <c r="AF407" s="684" t="inlineStr">
        <is>
          <t>ENGAGE</t>
        </is>
      </c>
      <c r="AG407" s="683" t="n"/>
      <c r="AH407" s="680" t="n"/>
      <c r="AI407" s="680" t="n"/>
      <c r="AJ407" s="680" t="n"/>
      <c r="AK407" s="680" t="n"/>
      <c r="AL407" s="685" t="n"/>
      <c r="AM407" s="685" t="n"/>
      <c r="AN407" s="683" t="n"/>
    </row>
    <row r="408" ht="35.7" customHeight="1" s="392">
      <c r="A408" s="672">
        <f>IF(AF408="ENGAGE","✔",IF(AF408="EN COURS D'ENGAGEMENT","◕",IF(AF408="PREENGAGE","◑",IF(AF408="EN COURS DE PREENGAGEMENT","◔",IF(AF408="NON ENGAGE","✖","")))))</f>
        <v/>
      </c>
      <c r="B408" s="673" t="n">
        <v>2021</v>
      </c>
      <c r="C408" s="674" t="inlineStr">
        <is>
          <t>DINFOTV</t>
        </is>
      </c>
      <c r="D408" s="674" t="inlineStr">
        <is>
          <t>RECONDUCTIBLE</t>
        </is>
      </c>
      <c r="E408" s="675" t="inlineStr">
        <is>
          <t>CONTRAT</t>
        </is>
      </c>
      <c r="F408" s="675" t="n">
        <v>1</v>
      </c>
      <c r="G408" s="676" t="inlineStr">
        <is>
          <t>Acquisition des droits de diffusions des actualités, reportages radiophoniques et télévisuels</t>
        </is>
      </c>
      <c r="H408" s="673" t="inlineStr">
        <is>
          <t>VALIDE</t>
        </is>
      </c>
      <c r="I408" s="675" t="inlineStr">
        <is>
          <t>APPROUVE</t>
        </is>
      </c>
      <c r="J408" s="675" t="n">
        <v>21000511</v>
      </c>
      <c r="K408" s="673" t="inlineStr">
        <is>
          <t>NON CONCERNE</t>
        </is>
      </c>
      <c r="L408" s="675" t="inlineStr">
        <is>
          <t>Ordinaire</t>
        </is>
      </c>
      <c r="M408" s="677" t="inlineStr">
        <is>
          <t>FONCTIONNEMENT</t>
        </is>
      </c>
      <c r="N408" s="678" t="inlineStr">
        <is>
          <t>Redevances et cotisations</t>
        </is>
      </c>
      <c r="O408" s="679" t="n"/>
      <c r="P408" s="680" t="n"/>
      <c r="Q408" s="680" t="n"/>
      <c r="R408" s="675" t="inlineStr">
        <is>
          <t>RECONDUCTIBLE</t>
        </is>
      </c>
      <c r="S408" s="681" t="n"/>
      <c r="T408" s="682" t="n"/>
      <c r="U408" s="683" t="inlineStr">
        <is>
          <t>MAP</t>
        </is>
      </c>
      <c r="V408" s="675" t="n">
        <v>2021</v>
      </c>
      <c r="W408" s="682" t="inlineStr">
        <is>
          <t>-</t>
        </is>
      </c>
      <c r="X408" s="682" t="n"/>
      <c r="Y408" s="682" t="inlineStr">
        <is>
          <t>-</t>
        </is>
      </c>
      <c r="Z408" s="679" t="n"/>
      <c r="AA408" s="680" t="n"/>
      <c r="AB408" s="680" t="n"/>
      <c r="AC408" s="680" t="n"/>
      <c r="AD408" s="680" t="inlineStr">
        <is>
          <t>-</t>
        </is>
      </c>
      <c r="AE408" s="680" t="n">
        <v>2040000</v>
      </c>
      <c r="AF408" s="684" t="inlineStr">
        <is>
          <t>ENGAGE</t>
        </is>
      </c>
      <c r="AG408" s="683" t="n"/>
      <c r="AH408" s="680" t="n"/>
      <c r="AI408" s="680" t="n"/>
      <c r="AJ408" s="680" t="n"/>
      <c r="AK408" s="680" t="n"/>
      <c r="AL408" s="685" t="n"/>
      <c r="AM408" s="685" t="n"/>
      <c r="AN408" s="683" t="n"/>
    </row>
    <row r="409" ht="65.40000000000001" customHeight="1" s="392">
      <c r="A409" s="672">
        <f>IF(AF409="ENGAGE","✔",IF(AF409="EN COURS D'ENGAGEMENT","◕",IF(AF409="PREENGAGE","◑",IF(AF409="EN COURS DE PREENGAGEMENT","◔",IF(AF409="NON ENGAGE","✖","")))))</f>
        <v/>
      </c>
      <c r="B409" s="673" t="n">
        <v>2023</v>
      </c>
      <c r="C409" s="674" t="inlineStr">
        <is>
          <t>DINFOTV</t>
        </is>
      </c>
      <c r="D409" s="674" t="inlineStr">
        <is>
          <t>RECONDUCTIBLE</t>
        </is>
      </c>
      <c r="E409" s="675" t="inlineStr">
        <is>
          <t>CONTRAT</t>
        </is>
      </c>
      <c r="F409" s="675" t="n">
        <v>1</v>
      </c>
      <c r="G409" s="676" t="inlineStr">
        <is>
          <t>La fourniture à la SNRT des services : Pack « Broadcast » pour la confection de Programmes TV et Pack « Digital » pour la confection de Programmes numériques et usage direct sur les Supports Digitaux Web</t>
        </is>
      </c>
      <c r="H409" s="673" t="inlineStr">
        <is>
          <t>VALIDE</t>
        </is>
      </c>
      <c r="I409" s="675" t="inlineStr">
        <is>
          <t>APPROUVE</t>
        </is>
      </c>
      <c r="J409" s="675" t="inlineStr">
        <is>
          <t>001310323/CT-SNRT</t>
        </is>
      </c>
      <c r="K409" s="673" t="inlineStr">
        <is>
          <t>NON CONCERNE</t>
        </is>
      </c>
      <c r="L409" s="675" t="inlineStr">
        <is>
          <t>Ordinaire</t>
        </is>
      </c>
      <c r="M409" s="677" t="inlineStr">
        <is>
          <t>FONCTIONNEMENT</t>
        </is>
      </c>
      <c r="N409" s="678" t="inlineStr">
        <is>
          <t>Prestations de service
Achat prestations de services étrangères</t>
        </is>
      </c>
      <c r="O409" s="679" t="n"/>
      <c r="P409" s="680" t="n"/>
      <c r="Q409" s="680" t="n"/>
      <c r="R409" s="675" t="inlineStr">
        <is>
          <t>RECONDUCTIBLE</t>
        </is>
      </c>
      <c r="S409" s="681" t="n"/>
      <c r="T409" s="682" t="n"/>
      <c r="U409" s="683" t="inlineStr">
        <is>
          <t>AFP</t>
        </is>
      </c>
      <c r="V409" s="675" t="n">
        <v>2023</v>
      </c>
      <c r="W409" s="682" t="inlineStr">
        <is>
          <t>-</t>
        </is>
      </c>
      <c r="X409" s="682" t="n"/>
      <c r="Y409" s="682" t="inlineStr">
        <is>
          <t>-</t>
        </is>
      </c>
      <c r="Z409" s="679" t="n"/>
      <c r="AA409" s="680" t="n"/>
      <c r="AB409" s="680" t="n"/>
      <c r="AC409" s="680" t="n"/>
      <c r="AD409" s="680" t="n"/>
      <c r="AE409" s="680" t="n">
        <v>240480</v>
      </c>
      <c r="AF409" s="684" t="inlineStr">
        <is>
          <t>ENGAGE</t>
        </is>
      </c>
      <c r="AG409" s="683" t="n"/>
      <c r="AH409" s="680" t="n"/>
      <c r="AI409" s="680" t="n"/>
      <c r="AJ409" s="680" t="n"/>
      <c r="AK409" s="680" t="n"/>
      <c r="AL409" s="685" t="n"/>
      <c r="AM409" s="685" t="n"/>
      <c r="AN409" s="683" t="n"/>
    </row>
    <row r="410" ht="50.55" customHeight="1" s="392">
      <c r="A410" s="672">
        <f>IF(AF410="ENGAGE","✔",IF(AF410="EN COURS D'ENGAGEMENT","◕",IF(AF410="PREENGAGE","◑",IF(AF410="EN COURS DE PREENGAGEMENT","◔",IF(AF410="NON ENGAGE","✖","")))))</f>
        <v/>
      </c>
      <c r="B410" s="673" t="n">
        <v>2026</v>
      </c>
      <c r="C410" s="674" t="inlineStr">
        <is>
          <t>DINFOTV</t>
        </is>
      </c>
      <c r="D410" s="674" t="inlineStr">
        <is>
          <t>20 AOM/SNRT</t>
        </is>
      </c>
      <c r="E410" s="675" t="inlineStr">
        <is>
          <t>AOO-M</t>
        </is>
      </c>
      <c r="F410" s="675" t="n">
        <v>1</v>
      </c>
      <c r="G410" s="676" t="inlineStr">
        <is>
          <t>Préstation de blanchisserie du linge et services associés au profit des journalistes présentateurs du Journal Télévisé (JT) de la chaine Al Aoula de la SNRT-Rabat</t>
        </is>
      </c>
      <c r="H410" s="673" t="inlineStr">
        <is>
          <t>VALIDE</t>
        </is>
      </c>
      <c r="I410" s="675" t="inlineStr">
        <is>
          <t>ATTRIBUE</t>
        </is>
      </c>
      <c r="J410" s="693" t="n"/>
      <c r="K410" s="673" t="inlineStr">
        <is>
          <t>PME</t>
        </is>
      </c>
      <c r="L410" s="675" t="inlineStr">
        <is>
          <t>Ordinaire</t>
        </is>
      </c>
      <c r="M410" s="677" t="inlineStr">
        <is>
          <t>FONCTIONNEMENT</t>
        </is>
      </c>
      <c r="N410" s="678" t="inlineStr">
        <is>
          <t>Prestation de services
Achat prestations de services locales - sociétés</t>
        </is>
      </c>
      <c r="O410" s="679">
        <f>P410*1.2</f>
        <v/>
      </c>
      <c r="P410" s="680" t="n">
        <v>89340</v>
      </c>
      <c r="Q410" s="680">
        <f>P410/1.2</f>
        <v/>
      </c>
      <c r="R410" s="675" t="inlineStr">
        <is>
          <t>BESOIN RECURRENT</t>
        </is>
      </c>
      <c r="S410" s="681" t="n"/>
      <c r="T410" s="682" t="n"/>
      <c r="U410" s="683" t="inlineStr">
        <is>
          <t>PRESSING CLAIRE ECO</t>
        </is>
      </c>
      <c r="V410" s="675" t="n"/>
      <c r="W410" s="682" t="n">
        <v>46126</v>
      </c>
      <c r="X410" s="682" t="n">
        <v>46128</v>
      </c>
      <c r="Y410" s="682" t="n"/>
      <c r="Z410" s="679">
        <f>AD410</f>
        <v/>
      </c>
      <c r="AA410" s="680" t="n">
        <v>0</v>
      </c>
      <c r="AB410" s="680">
        <f>AE410</f>
        <v/>
      </c>
      <c r="AC410" s="680" t="n">
        <v>0</v>
      </c>
      <c r="AD410" s="680">
        <f>AE410/1.2</f>
        <v/>
      </c>
      <c r="AE410" s="680" t="n">
        <v>76464</v>
      </c>
      <c r="AF410" s="684" t="inlineStr">
        <is>
          <t>EN COURS D'ENGAGEMENT</t>
        </is>
      </c>
      <c r="AG410" s="683" t="n"/>
      <c r="AH410" s="680" t="n"/>
      <c r="AI410" s="680" t="n"/>
      <c r="AJ410" s="680" t="n"/>
      <c r="AK410" s="680" t="n"/>
      <c r="AL410" s="685" t="n"/>
      <c r="AM410" s="685" t="n"/>
      <c r="AN410" s="683" t="inlineStr">
        <is>
          <t>R,A,S</t>
        </is>
      </c>
    </row>
    <row r="411" ht="65.40000000000001" customHeight="1" s="392">
      <c r="A411" s="672">
        <f>IF(AF411="ENGAGE","✔",IF(AF411="EN COURS D'ENGAGEMENT","◕",IF(AF411="PREENGAGE","◑",IF(AF411="EN COURS DE PREENGAGEMENT","◔",IF(AF411="NON ENGAGE","✖","")))))</f>
        <v/>
      </c>
      <c r="B411" s="673" t="n">
        <v>2026</v>
      </c>
      <c r="C411" s="674" t="inlineStr">
        <is>
          <t>TDF -SITES</t>
        </is>
      </c>
      <c r="D411" s="674" t="inlineStr">
        <is>
          <t>19 AOM/SNRT</t>
        </is>
      </c>
      <c r="E411" s="675" t="inlineStr">
        <is>
          <t>AOO-M</t>
        </is>
      </c>
      <c r="F411" s="675" t="n">
        <v>1</v>
      </c>
      <c r="G411" s="676" t="inlineStr">
        <is>
          <t>Fourniture, installation et mise en service de dix stations DVB-T/T2 de puissance 500 W rms et d'une station DVB-T/T2 de 1KW rms, fonctionnant en mode (2+1) dans la bande [474-690] MHz, avec triplexeurs RF et accessoires</t>
        </is>
      </c>
      <c r="H411" s="673" t="inlineStr">
        <is>
          <t>VALIDE</t>
        </is>
      </c>
      <c r="I411" s="675" t="inlineStr">
        <is>
          <t>ATTRIBUE</t>
        </is>
      </c>
      <c r="J411" s="693" t="n"/>
      <c r="K411" s="673" t="inlineStr">
        <is>
          <t>PME</t>
        </is>
      </c>
      <c r="L411" s="675" t="inlineStr">
        <is>
          <t>REPORT BUDGET ANNEE ANTERIEURE</t>
        </is>
      </c>
      <c r="M411" s="677" t="inlineStr">
        <is>
          <t>INVESTISSEMENT</t>
        </is>
      </c>
      <c r="N411" s="678" t="inlineStr">
        <is>
          <t>Équipements de télédiffusion</t>
        </is>
      </c>
      <c r="O411" s="679">
        <f>P411*1.2</f>
        <v/>
      </c>
      <c r="P411" s="680" t="n">
        <v>5596800</v>
      </c>
      <c r="Q411" s="680">
        <f>P411/1.2</f>
        <v/>
      </c>
      <c r="R411" s="675" t="inlineStr">
        <is>
          <t>NOUVEAU BESOIN</t>
        </is>
      </c>
      <c r="S411" s="681" t="n"/>
      <c r="T411" s="682" t="n"/>
      <c r="U411" s="683" t="inlineStr">
        <is>
          <t>TREDESS 2010</t>
        </is>
      </c>
      <c r="V411" s="675" t="n"/>
      <c r="W411" s="682" t="n">
        <v>46105</v>
      </c>
      <c r="X411" s="682" t="n">
        <v>46112</v>
      </c>
      <c r="Y411" s="682" t="n">
        <v>46265</v>
      </c>
      <c r="Z411" s="679" t="n"/>
      <c r="AA411" s="680" t="n">
        <v>0</v>
      </c>
      <c r="AB411" s="680" t="n"/>
      <c r="AC411" s="680" t="n">
        <v>489919.2</v>
      </c>
      <c r="AD411" s="680" t="n"/>
      <c r="AE411" s="680" t="n">
        <v>5246250.76</v>
      </c>
      <c r="AF411" s="684" t="inlineStr">
        <is>
          <t>ENGAGE</t>
        </is>
      </c>
      <c r="AG411" s="683" t="n"/>
      <c r="AH411" s="680" t="n"/>
      <c r="AI411" s="680" t="n"/>
      <c r="AJ411" s="680" t="n"/>
      <c r="AK411" s="680" t="n"/>
      <c r="AL411" s="685" t="n"/>
      <c r="AM411" s="685" t="n"/>
      <c r="AN411" s="683" t="inlineStr">
        <is>
          <t>Publié le 14/04/2026</t>
        </is>
      </c>
    </row>
    <row r="412" ht="60" customHeight="1" s="392">
      <c r="A412" s="672">
        <f>IF(AF412="ENGAGE","✔",IF(AF412="EN COURS D'ENGAGEMENT","◕",IF(AF412="PREENGAGE","◑",IF(AF412="EN COURS DE PREENGAGEMENT","◔",IF(AF412="NON ENGAGE","✖","")))))</f>
        <v/>
      </c>
      <c r="B412" s="673" t="n">
        <v>2026</v>
      </c>
      <c r="C412" s="674" t="inlineStr">
        <is>
          <t>DCPA</t>
        </is>
      </c>
      <c r="D412" s="674" t="inlineStr">
        <is>
          <t>04 CT/SNRT/2026</t>
        </is>
      </c>
      <c r="E412" s="675" t="inlineStr">
        <is>
          <t>CONTRAT</t>
        </is>
      </c>
      <c r="F412" s="675" t="n">
        <v>1</v>
      </c>
      <c r="G412" s="676" t="inlineStr">
        <is>
          <t>La location d’une salle de féte pour le tournage de productions internes de la chaîne Al Aoula – SNRT (30 épisodes de Musique Andalouse)</t>
        </is>
      </c>
      <c r="H412" s="673" t="inlineStr">
        <is>
          <t>VALIDE</t>
        </is>
      </c>
      <c r="I412" s="675" t="inlineStr">
        <is>
          <t>APPROUVE</t>
        </is>
      </c>
      <c r="J412" s="675" t="inlineStr">
        <is>
          <t>378 CT/SNRT/2026</t>
        </is>
      </c>
      <c r="K412" s="673" t="inlineStr">
        <is>
          <t>NON CONCERNE</t>
        </is>
      </c>
      <c r="L412" s="675" t="inlineStr">
        <is>
          <t>Ordinaire</t>
        </is>
      </c>
      <c r="M412" s="677" t="inlineStr">
        <is>
          <t>FONCTIONNEMENT</t>
        </is>
      </c>
      <c r="N412" s="678" t="inlineStr">
        <is>
          <t xml:space="preserve">Achats de productions et de programmes
Achat des programmes en production interne </t>
        </is>
      </c>
      <c r="O412" s="679" t="n"/>
      <c r="P412" s="680" t="n"/>
      <c r="Q412" s="680" t="n"/>
      <c r="R412" s="675" t="inlineStr">
        <is>
          <t>NOUVEAU BESOIN</t>
        </is>
      </c>
      <c r="S412" s="681" t="n"/>
      <c r="T412" s="682" t="n"/>
      <c r="U412" s="683" t="inlineStr">
        <is>
          <t>KZ</t>
        </is>
      </c>
      <c r="V412" s="675" t="n">
        <v>2026</v>
      </c>
      <c r="W412" s="682" t="n">
        <v>46106</v>
      </c>
      <c r="X412" s="682" t="n"/>
      <c r="Y412" s="682" t="n">
        <v>46113</v>
      </c>
      <c r="Z412" s="679" t="n">
        <v>70400</v>
      </c>
      <c r="AA412" s="680" t="n">
        <v>0</v>
      </c>
      <c r="AB412" s="680" t="n">
        <v>84480</v>
      </c>
      <c r="AC412" s="680" t="n">
        <v>0</v>
      </c>
      <c r="AD412" s="680">
        <f>Z412</f>
        <v/>
      </c>
      <c r="AE412" s="680">
        <f>AB412</f>
        <v/>
      </c>
      <c r="AF412" s="684" t="inlineStr">
        <is>
          <t>ENGAGE</t>
        </is>
      </c>
      <c r="AG412" s="683" t="n"/>
      <c r="AH412" s="680" t="n"/>
      <c r="AI412" s="680" t="n"/>
      <c r="AJ412" s="680" t="n"/>
      <c r="AK412" s="680" t="n"/>
      <c r="AL412" s="685" t="n"/>
      <c r="AM412" s="685" t="n"/>
      <c r="AN412" s="683" t="inlineStr">
        <is>
          <t>R.A.S</t>
        </is>
      </c>
    </row>
    <row r="413" ht="60" customHeight="1" s="392">
      <c r="A413" s="672">
        <f>IF(AF413="ENGAGE","✔",IF(AF413="EN COURS D'ENGAGEMENT","◕",IF(AF413="PREENGAGE","◑",IF(AF413="EN COURS DE PREENGAGEMENT","◔",IF(AF413="NON ENGAGE","✖","")))))</f>
        <v/>
      </c>
      <c r="B413" s="673" t="n">
        <v>2026</v>
      </c>
      <c r="C413" s="674" t="inlineStr">
        <is>
          <t>DCPA</t>
        </is>
      </c>
      <c r="D413" s="674" t="inlineStr">
        <is>
          <t>06 CT/SNRT/2026</t>
        </is>
      </c>
      <c r="E413" s="675" t="inlineStr">
        <is>
          <t>CONTRAT</t>
        </is>
      </c>
      <c r="F413" s="675" t="n">
        <v>1</v>
      </c>
      <c r="G413" s="676" t="inlineStr">
        <is>
          <t>La préparation, la livraison et le service d’un repas et d’une pause-café, au profit des participants aux productions internes de la SNRT</t>
        </is>
      </c>
      <c r="H413" s="673" t="inlineStr">
        <is>
          <t>VALIDE</t>
        </is>
      </c>
      <c r="I413" s="675" t="inlineStr">
        <is>
          <t>APPROUVE</t>
        </is>
      </c>
      <c r="J413" s="675" t="inlineStr">
        <is>
          <t>390 CT/SNRT/2026</t>
        </is>
      </c>
      <c r="K413" s="673" t="inlineStr">
        <is>
          <t>NON CONCERNE</t>
        </is>
      </c>
      <c r="L413" s="675" t="inlineStr">
        <is>
          <t>Ordinaire</t>
        </is>
      </c>
      <c r="M413" s="677" t="inlineStr">
        <is>
          <t>FONCTIONNEMENT</t>
        </is>
      </c>
      <c r="N413" s="678" t="inlineStr">
        <is>
          <t xml:space="preserve">Achats de productions et de programmes
Achat des programmes en production interne </t>
        </is>
      </c>
      <c r="O413" s="679" t="n"/>
      <c r="P413" s="680" t="n"/>
      <c r="Q413" s="680" t="n"/>
      <c r="R413" s="675" t="inlineStr">
        <is>
          <t>NOUVEAU BESOIN</t>
        </is>
      </c>
      <c r="S413" s="681" t="n"/>
      <c r="T413" s="682" t="n"/>
      <c r="U413" s="683" t="inlineStr">
        <is>
          <t>KZ</t>
        </is>
      </c>
      <c r="V413" s="675" t="n">
        <v>2026</v>
      </c>
      <c r="W413" s="682" t="n">
        <v>46119</v>
      </c>
      <c r="X413" s="682" t="n"/>
      <c r="Y413" s="682" t="n">
        <v>46120</v>
      </c>
      <c r="Z413" s="679" t="n">
        <v>81900</v>
      </c>
      <c r="AA413" s="680" t="n">
        <v>0</v>
      </c>
      <c r="AB413" s="680" t="n">
        <v>90090</v>
      </c>
      <c r="AC413" s="680" t="n">
        <v>0</v>
      </c>
      <c r="AD413" s="680">
        <f>Z413</f>
        <v/>
      </c>
      <c r="AE413" s="680">
        <f>AB413</f>
        <v/>
      </c>
      <c r="AF413" s="684" t="inlineStr">
        <is>
          <t>ENGAGE</t>
        </is>
      </c>
      <c r="AG413" s="683" t="n"/>
      <c r="AH413" s="680" t="n"/>
      <c r="AI413" s="680" t="n"/>
      <c r="AJ413" s="680" t="n"/>
      <c r="AK413" s="680" t="n"/>
      <c r="AL413" s="685" t="n"/>
      <c r="AM413" s="685" t="n"/>
      <c r="AN413" s="683" t="inlineStr">
        <is>
          <t>R.A.S</t>
        </is>
      </c>
    </row>
    <row r="414" ht="35.7" customHeight="1" s="392">
      <c r="A414" s="672">
        <f>IF(AF414="ENGAGE","✔",IF(AF414="EN COURS D'ENGAGEMENT","◕",IF(AF414="PREENGAGE","◑",IF(AF414="EN COURS DE PREENGAGEMENT","◔",IF(AF414="NON ENGAGE","✖","")))))</f>
        <v/>
      </c>
      <c r="B414" s="673" t="n">
        <v>2026</v>
      </c>
      <c r="C414" s="674" t="inlineStr">
        <is>
          <t>TDF-EXP&amp;MAIN</t>
        </is>
      </c>
      <c r="D414" s="674" t="inlineStr">
        <is>
          <t>18 AOM/SNRT</t>
        </is>
      </c>
      <c r="E414" s="675" t="inlineStr">
        <is>
          <t>AOO-M</t>
        </is>
      </c>
      <c r="F414" s="675" t="n">
        <v>1</v>
      </c>
      <c r="G414" s="676" t="inlineStr">
        <is>
          <t>Fourniture des modules et pièces de rechanges hydrauliques et électriques pour les émetteurs de diffusion TNT et FM</t>
        </is>
      </c>
      <c r="H414" s="673" t="inlineStr">
        <is>
          <t>VALIDE</t>
        </is>
      </c>
      <c r="I414" s="675" t="inlineStr">
        <is>
          <t>APPROUVE</t>
        </is>
      </c>
      <c r="J414" s="693" t="n"/>
      <c r="K414" s="673" t="inlineStr">
        <is>
          <t>GENERAL</t>
        </is>
      </c>
      <c r="L414" s="675" t="inlineStr">
        <is>
          <t>Ordinaire</t>
        </is>
      </c>
      <c r="M414" s="677" t="inlineStr">
        <is>
          <t>FONCTIONNEMENT</t>
        </is>
      </c>
      <c r="N414" s="678" t="inlineStr">
        <is>
          <t>Achats de matières et fournitures consommables</t>
        </is>
      </c>
      <c r="O414" s="679">
        <f>P414*1.2</f>
        <v/>
      </c>
      <c r="P414" s="680" t="n">
        <v>950000</v>
      </c>
      <c r="Q414" s="680">
        <f>P414/1.2</f>
        <v/>
      </c>
      <c r="R414" s="675" t="inlineStr">
        <is>
          <t>BESOIN RECURRENT</t>
        </is>
      </c>
      <c r="S414" s="681" t="n"/>
      <c r="T414" s="682" t="n"/>
      <c r="U414" s="683" t="inlineStr">
        <is>
          <t>NEURO MEDIA</t>
        </is>
      </c>
      <c r="V414" s="675" t="n"/>
      <c r="W414" s="682" t="n">
        <v>46106</v>
      </c>
      <c r="X414" s="682" t="n">
        <v>46120</v>
      </c>
      <c r="Y414" s="682" t="n">
        <v>46210</v>
      </c>
      <c r="Z414" s="679">
        <f>AD414</f>
        <v/>
      </c>
      <c r="AA414" s="680" t="n">
        <v>0</v>
      </c>
      <c r="AB414" s="680" t="n">
        <v>832134</v>
      </c>
      <c r="AC414" s="680" t="n">
        <v>0</v>
      </c>
      <c r="AD414" s="680">
        <f>AE414/1.2</f>
        <v/>
      </c>
      <c r="AE414" s="680" t="n">
        <v>832134</v>
      </c>
      <c r="AF414" s="684" t="inlineStr">
        <is>
          <t>ENGAGE</t>
        </is>
      </c>
      <c r="AG414" s="683" t="n"/>
      <c r="AH414" s="680" t="n"/>
      <c r="AI414" s="680" t="n"/>
      <c r="AJ414" s="680" t="n"/>
      <c r="AK414" s="680" t="n"/>
      <c r="AL414" s="685" t="n"/>
      <c r="AM414" s="685" t="n"/>
      <c r="AN414" s="683" t="inlineStr">
        <is>
          <t>R.A.S</t>
        </is>
      </c>
    </row>
    <row r="415" ht="50.55" customHeight="1" s="392">
      <c r="A415" s="672">
        <f>IF(AF415="ENGAGE","✔",IF(AF415="EN COURS D'ENGAGEMENT","◕",IF(AF415="PREENGAGE","◑",IF(AF415="EN COURS DE PREENGAGEMENT","◔",IF(AF415="NON ENGAGE","✖","")))))</f>
        <v/>
      </c>
      <c r="B415" s="673" t="n">
        <v>2026</v>
      </c>
      <c r="C415" s="674" t="inlineStr">
        <is>
          <t>TDF-EXP&amp;MAIN</t>
        </is>
      </c>
      <c r="D415" s="674" t="inlineStr">
        <is>
          <t>01 AOM/SNRT</t>
        </is>
      </c>
      <c r="E415" s="675" t="inlineStr">
        <is>
          <t>AOO-M</t>
        </is>
      </c>
      <c r="F415" s="675" t="n">
        <v>1</v>
      </c>
      <c r="G415" s="676" t="inlineStr">
        <is>
          <t>Entretien et maintenance des équipement électriques, électroniques des climatiseurs aux centres de diffusion y compris la fourniture des pièces de rechange</t>
        </is>
      </c>
      <c r="H415" s="673" t="inlineStr">
        <is>
          <t>INFRUCTUEUX</t>
        </is>
      </c>
      <c r="I415" s="675" t="inlineStr">
        <is>
          <t>INFRUCTUEUX</t>
        </is>
      </c>
      <c r="J415" s="693" t="n"/>
      <c r="K415" s="673" t="inlineStr">
        <is>
          <t>GENERAL</t>
        </is>
      </c>
      <c r="L415" s="675" t="inlineStr">
        <is>
          <t>Ordinaire</t>
        </is>
      </c>
      <c r="M415" s="677" t="inlineStr">
        <is>
          <t>FONCTIONNEMENT</t>
        </is>
      </c>
      <c r="N415" s="678" t="inlineStr">
        <is>
          <t>Entretien, réparation et assurance</t>
        </is>
      </c>
      <c r="O415" s="679">
        <f>P415*1.2</f>
        <v/>
      </c>
      <c r="P415" s="680" t="n">
        <v>3600000</v>
      </c>
      <c r="Q415" s="680">
        <f>P415/1.2</f>
        <v/>
      </c>
      <c r="R415" s="675" t="inlineStr">
        <is>
          <t>BESOIN RECURRENT</t>
        </is>
      </c>
      <c r="S415" s="681" t="n"/>
      <c r="T415" s="682" t="n"/>
      <c r="U415" s="683" t="n"/>
      <c r="V415" s="675" t="n"/>
      <c r="W415" s="682" t="n">
        <v>46107</v>
      </c>
      <c r="X415" s="682" t="n">
        <v>46112</v>
      </c>
      <c r="Y415" s="682" t="n"/>
      <c r="Z415" s="679" t="n">
        <v>0</v>
      </c>
      <c r="AA415" s="680" t="n">
        <v>0</v>
      </c>
      <c r="AB415" s="680" t="n">
        <v>0</v>
      </c>
      <c r="AC415" s="680" t="n">
        <v>0</v>
      </c>
      <c r="AD415" s="680" t="n">
        <v>0</v>
      </c>
      <c r="AE415" s="680" t="n">
        <v>0</v>
      </c>
      <c r="AF415" s="684" t="inlineStr">
        <is>
          <t>NON ENGAGE</t>
        </is>
      </c>
      <c r="AG415" s="683" t="n"/>
      <c r="AH415" s="680" t="n"/>
      <c r="AI415" s="680" t="n"/>
      <c r="AJ415" s="680" t="n"/>
      <c r="AK415" s="680" t="n"/>
      <c r="AL415" s="685" t="n"/>
      <c r="AM415" s="685" t="n"/>
      <c r="AN415" s="683" t="inlineStr">
        <is>
          <t>R.A.S</t>
        </is>
      </c>
    </row>
    <row r="416" ht="35.7" customHeight="1" s="392">
      <c r="A416" s="672">
        <f>IF(AF416="ENGAGE","✔",IF(AF416="EN COURS D'ENGAGEMENT","◕",IF(AF416="PREENGAGE","◑",IF(AF416="EN COURS DE PREENGAGEMENT","◔",IF(AF416="NON ENGAGE","✖","")))))</f>
        <v/>
      </c>
      <c r="B416" s="673" t="n">
        <v>2026</v>
      </c>
      <c r="C416" s="674" t="inlineStr">
        <is>
          <t>ARRIYADIA</t>
        </is>
      </c>
      <c r="D416" s="674" t="inlineStr">
        <is>
          <t>EXCLUSIVITÉ</t>
        </is>
      </c>
      <c r="E416" s="675" t="inlineStr">
        <is>
          <t>CONTRAT</t>
        </is>
      </c>
      <c r="F416" s="675" t="n">
        <v>1</v>
      </c>
      <c r="G416" s="676" t="inlineStr">
        <is>
          <t>L’acquisition des droits de diffusion des combats de TAEKWONDO saison – 2026 -</t>
        </is>
      </c>
      <c r="H416" s="673" t="inlineStr">
        <is>
          <t>VALIDE</t>
        </is>
      </c>
      <c r="I416" s="675" t="inlineStr">
        <is>
          <t>APPROUVE</t>
        </is>
      </c>
      <c r="J416" s="693" t="n"/>
      <c r="K416" s="673" t="inlineStr">
        <is>
          <t>NON CONCERNE</t>
        </is>
      </c>
      <c r="L416" s="675" t="inlineStr">
        <is>
          <t>Ordinaire</t>
        </is>
      </c>
      <c r="M416" s="677" t="inlineStr">
        <is>
          <t>FONCTIONNEMENT</t>
        </is>
      </c>
      <c r="N416" s="678" t="inlineStr">
        <is>
          <t>Achats de droits
Achats de droit de sport</t>
        </is>
      </c>
      <c r="O416" s="679" t="n"/>
      <c r="P416" s="680" t="n"/>
      <c r="Q416" s="680" t="n"/>
      <c r="R416" s="675" t="inlineStr">
        <is>
          <t>RECONDUCTION</t>
        </is>
      </c>
      <c r="S416" s="681" t="n"/>
      <c r="T416" s="682" t="n"/>
      <c r="U416" s="683" t="inlineStr">
        <is>
          <t>SILVER SPRING MEDIA AB*</t>
        </is>
      </c>
      <c r="V416" s="675" t="n">
        <v>2026</v>
      </c>
      <c r="W416" s="682" t="n"/>
      <c r="X416" s="682" t="n"/>
      <c r="Y416" s="682" t="n">
        <v>46167</v>
      </c>
      <c r="Z416" s="679" t="n">
        <v>321020</v>
      </c>
      <c r="AA416" s="680" t="n">
        <v>35000</v>
      </c>
      <c r="AB416" s="680" t="n">
        <v>321020</v>
      </c>
      <c r="AC416" s="680" t="n">
        <v>35000</v>
      </c>
      <c r="AD416" s="680" t="n">
        <v>321020</v>
      </c>
      <c r="AE416" s="680" t="n">
        <v>321020</v>
      </c>
      <c r="AF416" s="684" t="inlineStr">
        <is>
          <t>ENGAGE</t>
        </is>
      </c>
      <c r="AG416" s="683" t="n"/>
      <c r="AH416" s="680" t="n"/>
      <c r="AI416" s="680" t="n"/>
      <c r="AJ416" s="680" t="n"/>
      <c r="AK416" s="680" t="n"/>
      <c r="AL416" s="685" t="n"/>
      <c r="AM416" s="685" t="n"/>
      <c r="AN416" s="683" t="inlineStr">
        <is>
          <t>N° + Date Approbation</t>
        </is>
      </c>
    </row>
    <row r="417" ht="35.7" customHeight="1" s="392">
      <c r="A417" s="672">
        <f>IF(AF417="ENGAGE","✔",IF(AF417="EN COURS D'ENGAGEMENT","◕",IF(AF417="PREENGAGE","◑",IF(AF417="EN COURS DE PREENGAGEMENT","◔",IF(AF417="NON ENGAGE","✖","")))))</f>
        <v/>
      </c>
      <c r="B417" s="673" t="n">
        <v>2026</v>
      </c>
      <c r="C417" s="674" t="inlineStr">
        <is>
          <t>ARRIYADIA</t>
        </is>
      </c>
      <c r="D417" s="674" t="inlineStr">
        <is>
          <t>EXCLUSIVITÉ</t>
        </is>
      </c>
      <c r="E417" s="675" t="inlineStr">
        <is>
          <t>CONTRAT</t>
        </is>
      </c>
      <c r="F417" s="675" t="n">
        <v>1</v>
      </c>
      <c r="G417" s="676" t="inlineStr">
        <is>
          <t>L’acquisition des droits de diffusion des combats de KARATE saison – 2026 -</t>
        </is>
      </c>
      <c r="H417" s="673" t="inlineStr">
        <is>
          <t>VALIDE</t>
        </is>
      </c>
      <c r="I417" s="675" t="inlineStr">
        <is>
          <t>APPROUVE</t>
        </is>
      </c>
      <c r="J417" s="693" t="n"/>
      <c r="K417" s="673" t="inlineStr">
        <is>
          <t>NON CONCERNE</t>
        </is>
      </c>
      <c r="L417" s="675" t="inlineStr">
        <is>
          <t>Ordinaire</t>
        </is>
      </c>
      <c r="M417" s="677" t="inlineStr">
        <is>
          <t>FONCTIONNEMENT</t>
        </is>
      </c>
      <c r="N417" s="678" t="inlineStr">
        <is>
          <t>Achats de droits
Achats de droit de sport</t>
        </is>
      </c>
      <c r="O417" s="679" t="n"/>
      <c r="P417" s="680" t="n"/>
      <c r="Q417" s="680" t="n"/>
      <c r="R417" s="675" t="inlineStr">
        <is>
          <t>RECONDUCTION</t>
        </is>
      </c>
      <c r="S417" s="681" t="n"/>
      <c r="T417" s="682" t="n"/>
      <c r="U417" s="683" t="inlineStr">
        <is>
          <t>SILVER SPRING MEDIA AB*</t>
        </is>
      </c>
      <c r="V417" s="675" t="n">
        <v>2026</v>
      </c>
      <c r="W417" s="682" t="n"/>
      <c r="X417" s="682" t="n"/>
      <c r="Y417" s="682" t="n">
        <v>46167</v>
      </c>
      <c r="Z417" s="679" t="n">
        <v>321020</v>
      </c>
      <c r="AA417" s="680" t="n">
        <v>35000</v>
      </c>
      <c r="AB417" s="680" t="n">
        <v>321020</v>
      </c>
      <c r="AC417" s="680" t="n">
        <v>35000</v>
      </c>
      <c r="AD417" s="680" t="n">
        <v>321020</v>
      </c>
      <c r="AE417" s="680" t="n">
        <v>321020</v>
      </c>
      <c r="AF417" s="684" t="inlineStr">
        <is>
          <t>ENGAGE</t>
        </is>
      </c>
      <c r="AG417" s="683" t="n"/>
      <c r="AH417" s="680" t="n"/>
      <c r="AI417" s="680" t="n"/>
      <c r="AJ417" s="680" t="n"/>
      <c r="AK417" s="680" t="n"/>
      <c r="AL417" s="685" t="n"/>
      <c r="AM417" s="685" t="n"/>
      <c r="AN417" s="683" t="inlineStr">
        <is>
          <t>N° + Date Approbation</t>
        </is>
      </c>
    </row>
    <row r="418" ht="33" customHeight="1" s="392">
      <c r="A418" s="672">
        <f>IF(AF418="ENGAGE","✔",IF(AF418="EN COURS D'ENGAGEMENT","◕",IF(AF418="PREENGAGE","◑",IF(AF418="EN COURS DE PREENGAGEMENT","◔",IF(AF418="NON ENGAGE","✖","")))))</f>
        <v/>
      </c>
      <c r="B418" s="673" t="n">
        <v>2026</v>
      </c>
      <c r="C418" s="674" t="inlineStr">
        <is>
          <t>ARRIYADIA</t>
        </is>
      </c>
      <c r="D418" s="674" t="inlineStr">
        <is>
          <t>RECONDUCTION</t>
        </is>
      </c>
      <c r="E418" s="675" t="inlineStr">
        <is>
          <t>CONTRAT</t>
        </is>
      </c>
      <c r="F418" s="675" t="n">
        <v>1</v>
      </c>
      <c r="G418" s="676" t="inlineStr">
        <is>
          <t>Contrats conclus avec la FRM de HANDBALL</t>
        </is>
      </c>
      <c r="H418" s="673" t="inlineStr">
        <is>
          <t>VALIDE</t>
        </is>
      </c>
      <c r="I418" s="675" t="inlineStr">
        <is>
          <t>APPROUVE</t>
        </is>
      </c>
      <c r="J418" s="675" t="inlineStr">
        <is>
          <t>01-SNRT/FRMHB-2026</t>
        </is>
      </c>
      <c r="K418" s="673" t="inlineStr">
        <is>
          <t>NON CONCERNE</t>
        </is>
      </c>
      <c r="L418" s="675" t="inlineStr">
        <is>
          <t>Ordinaire</t>
        </is>
      </c>
      <c r="M418" s="677" t="inlineStr">
        <is>
          <t>FONCTIONNEMENT</t>
        </is>
      </c>
      <c r="N418" s="678" t="inlineStr">
        <is>
          <t>Achats de droits
Achats de droit de sport</t>
        </is>
      </c>
      <c r="O418" s="679" t="n"/>
      <c r="P418" s="680" t="n"/>
      <c r="Q418" s="680" t="n"/>
      <c r="R418" s="675" t="inlineStr">
        <is>
          <t>RECONDUCTION</t>
        </is>
      </c>
      <c r="S418" s="681" t="n"/>
      <c r="T418" s="682" t="n"/>
      <c r="U418" s="683" t="inlineStr">
        <is>
          <t>FRM HANDBALL</t>
        </is>
      </c>
      <c r="V418" s="675" t="n">
        <v>2026</v>
      </c>
      <c r="W418" s="682" t="n">
        <v>46118</v>
      </c>
      <c r="X418" s="682" t="n"/>
      <c r="Y418" s="682" t="n">
        <v>46119</v>
      </c>
      <c r="Z418" s="679" t="n">
        <v>926100</v>
      </c>
      <c r="AA418" s="680" t="n">
        <v>0</v>
      </c>
      <c r="AB418" s="680">
        <f>+Z418</f>
        <v/>
      </c>
      <c r="AC418" s="680" t="n">
        <v>0</v>
      </c>
      <c r="AD418" s="680">
        <f>+AB418</f>
        <v/>
      </c>
      <c r="AE418" s="680">
        <f>+AD418</f>
        <v/>
      </c>
      <c r="AF418" s="684" t="inlineStr">
        <is>
          <t>ENGAGE</t>
        </is>
      </c>
      <c r="AG418" s="683" t="n"/>
      <c r="AH418" s="680" t="n"/>
      <c r="AI418" s="680" t="n"/>
      <c r="AJ418" s="680" t="n"/>
      <c r="AK418" s="680" t="n"/>
      <c r="AL418" s="685" t="n"/>
      <c r="AM418" s="685" t="n"/>
      <c r="AN418" s="683" t="inlineStr">
        <is>
          <t>R.A.S</t>
        </is>
      </c>
    </row>
    <row r="419" ht="35.7" customHeight="1" s="392">
      <c r="A419" s="672">
        <f>IF(AF419="ENGAGE","✔",IF(AF419="EN COURS D'ENGAGEMENT","◕",IF(AF419="PREENGAGE","◑",IF(AF419="EN COURS DE PREENGAGEMENT","◔",IF(AF419="NON ENGAGE","✖","")))))</f>
        <v/>
      </c>
      <c r="B419" s="673" t="n">
        <v>2024</v>
      </c>
      <c r="C419" s="674" t="inlineStr">
        <is>
          <t>ARRIYADIA</t>
        </is>
      </c>
      <c r="D419" s="674" t="inlineStr">
        <is>
          <t>RECONDUCTIBLE</t>
        </is>
      </c>
      <c r="E419" s="675" t="inlineStr">
        <is>
          <t>CONTRAT</t>
        </is>
      </c>
      <c r="F419" s="675" t="n">
        <v>1</v>
      </c>
      <c r="G419" s="676" t="inlineStr">
        <is>
          <t>achat des droits sportifs du championnat du monde d'athlétisme (2024-2029)</t>
        </is>
      </c>
      <c r="H419" s="673" t="inlineStr">
        <is>
          <t>VALIDE</t>
        </is>
      </c>
      <c r="I419" s="675" t="inlineStr">
        <is>
          <t>APPROUVE</t>
        </is>
      </c>
      <c r="J419" s="675" t="inlineStr">
        <is>
          <t>002020124/CT-SNRT</t>
        </is>
      </c>
      <c r="K419" s="673" t="inlineStr">
        <is>
          <t>NON CONCERNE</t>
        </is>
      </c>
      <c r="L419" s="675" t="inlineStr">
        <is>
          <t>Ordinaire</t>
        </is>
      </c>
      <c r="M419" s="677" t="inlineStr">
        <is>
          <t>FONCTIONNEMENT</t>
        </is>
      </c>
      <c r="N419" s="678" t="inlineStr">
        <is>
          <t>Achats de droits
Achats de droit de sport</t>
        </is>
      </c>
      <c r="O419" s="679" t="n"/>
      <c r="P419" s="680" t="n"/>
      <c r="Q419" s="680" t="n"/>
      <c r="R419" s="675" t="inlineStr">
        <is>
          <t>RECONDUCTIBLE</t>
        </is>
      </c>
      <c r="S419" s="681" t="n"/>
      <c r="T419" s="682" t="n"/>
      <c r="U419" s="683" t="inlineStr">
        <is>
          <t>EBU</t>
        </is>
      </c>
      <c r="V419" s="675" t="n">
        <v>2024</v>
      </c>
      <c r="W419" s="682" t="inlineStr">
        <is>
          <t>-</t>
        </is>
      </c>
      <c r="X419" s="682" t="n"/>
      <c r="Y419" s="682" t="inlineStr">
        <is>
          <t>-</t>
        </is>
      </c>
      <c r="Z419" s="679" t="n">
        <v>1200000</v>
      </c>
      <c r="AA419" s="680" t="n">
        <v>0</v>
      </c>
      <c r="AB419" s="680" t="n">
        <v>1200000</v>
      </c>
      <c r="AC419" s="680" t="n">
        <v>0</v>
      </c>
      <c r="AD419" s="680" t="n">
        <v>1200000</v>
      </c>
      <c r="AE419" s="680" t="n">
        <v>1200000</v>
      </c>
      <c r="AF419" s="684" t="inlineStr">
        <is>
          <t>ENGAGE</t>
        </is>
      </c>
      <c r="AG419" s="683" t="n"/>
      <c r="AH419" s="680" t="n"/>
      <c r="AI419" s="680" t="n"/>
      <c r="AJ419" s="680" t="n"/>
      <c r="AK419" s="680" t="n"/>
      <c r="AL419" s="685" t="n"/>
      <c r="AM419" s="685" t="n"/>
      <c r="AN419" s="683" t="inlineStr">
        <is>
          <t>R.A.S</t>
        </is>
      </c>
    </row>
    <row r="420" ht="65.40000000000001" customHeight="1" s="392">
      <c r="A420" s="672">
        <f>IF(AF420="ENGAGE","✔",IF(AF420="EN COURS D'ENGAGEMENT","◕",IF(AF420="PREENGAGE","◑",IF(AF420="EN COURS DE PREENGAGEMENT","◔",IF(AF420="NON ENGAGE","✖","")))))</f>
        <v/>
      </c>
      <c r="B420" s="673" t="n">
        <v>2023</v>
      </c>
      <c r="C420" s="674" t="inlineStr">
        <is>
          <t>ARRIYADIA</t>
        </is>
      </c>
      <c r="D420" s="674" t="inlineStr">
        <is>
          <t>RECONDUCTIBLE</t>
        </is>
      </c>
      <c r="E420" s="675" t="inlineStr">
        <is>
          <t>CONTRAT</t>
        </is>
      </c>
      <c r="F420" s="675" t="n">
        <v>1</v>
      </c>
      <c r="G420" s="676" t="inlineStr">
        <is>
          <t>la Couverture, production retransmission et diffusion audiovisuelle de tous les événements Tennis : Grand prix Hassan II; grand prix SAR la Princesse Lalla Meryem; coupe Davis au titres des années 2023; 2024; 2025; 2026; 2027; 2028</t>
        </is>
      </c>
      <c r="H420" s="673" t="inlineStr">
        <is>
          <t>VALIDE</t>
        </is>
      </c>
      <c r="I420" s="675" t="inlineStr">
        <is>
          <t>APPROUVE</t>
        </is>
      </c>
      <c r="J420" s="675" t="inlineStr">
        <is>
          <t>472 CT/SNRT/2023</t>
        </is>
      </c>
      <c r="K420" s="673" t="inlineStr">
        <is>
          <t>NON CONCERNE</t>
        </is>
      </c>
      <c r="L420" s="675" t="inlineStr">
        <is>
          <t>Ordinaire</t>
        </is>
      </c>
      <c r="M420" s="677" t="inlineStr">
        <is>
          <t>FONCTIONNEMENT</t>
        </is>
      </c>
      <c r="N420" s="678" t="inlineStr">
        <is>
          <t>Achats de droits
Achats de droit de sport</t>
        </is>
      </c>
      <c r="O420" s="679" t="n"/>
      <c r="P420" s="680" t="n"/>
      <c r="Q420" s="680" t="n"/>
      <c r="R420" s="675" t="inlineStr">
        <is>
          <t>RECONDUCTIBLE</t>
        </is>
      </c>
      <c r="S420" s="681" t="n"/>
      <c r="T420" s="682" t="n"/>
      <c r="U420" s="683" t="inlineStr">
        <is>
          <t>FRMT</t>
        </is>
      </c>
      <c r="V420" s="675" t="n">
        <v>2023</v>
      </c>
      <c r="W420" s="682" t="inlineStr">
        <is>
          <t>-</t>
        </is>
      </c>
      <c r="X420" s="682" t="n"/>
      <c r="Y420" s="682" t="inlineStr">
        <is>
          <t>-</t>
        </is>
      </c>
      <c r="Z420" s="679" t="n">
        <v>1000000</v>
      </c>
      <c r="AA420" s="680" t="n">
        <v>0</v>
      </c>
      <c r="AB420" s="680" t="n">
        <v>1000000</v>
      </c>
      <c r="AC420" s="680" t="n">
        <v>0</v>
      </c>
      <c r="AD420" s="680" t="n">
        <v>1000000</v>
      </c>
      <c r="AE420" s="680" t="n">
        <v>1000000</v>
      </c>
      <c r="AF420" s="684" t="inlineStr">
        <is>
          <t>ENGAGE</t>
        </is>
      </c>
      <c r="AG420" s="683" t="n"/>
      <c r="AH420" s="680" t="n"/>
      <c r="AI420" s="680" t="n"/>
      <c r="AJ420" s="680" t="n"/>
      <c r="AK420" s="680" t="n"/>
      <c r="AL420" s="685" t="n"/>
      <c r="AM420" s="685" t="n"/>
      <c r="AN420" s="683" t="inlineStr">
        <is>
          <t>R.A.S</t>
        </is>
      </c>
    </row>
    <row r="421" ht="65.40000000000001" customHeight="1" s="392">
      <c r="A421" s="672">
        <f>IF(AF421="ENGAGE","✔",IF(AF421="EN COURS D'ENGAGEMENT","◕",IF(AF421="PREENGAGE","◑",IF(AF421="EN COURS DE PREENGAGEMENT","◔",IF(AF421="NON ENGAGE","✖","")))))</f>
        <v/>
      </c>
      <c r="B421" s="673" t="n">
        <v>2022</v>
      </c>
      <c r="C421" s="674" t="inlineStr">
        <is>
          <t>ARRIYADIA</t>
        </is>
      </c>
      <c r="D421" s="674" t="inlineStr">
        <is>
          <t>RECONDUCTIBLE</t>
        </is>
      </c>
      <c r="E421" s="675" t="inlineStr">
        <is>
          <t>CONTRAT</t>
        </is>
      </c>
      <c r="F421" s="675" t="n">
        <v>1</v>
      </c>
      <c r="G421" s="676" t="inlineStr">
        <is>
          <t>La cession exclusive à la SNRT des droits d'exploitation audiovisuelle des manifestations, compétitions et/ou évènements spotifs dont la FRMF détient les droits saisons 2022/2023;2023/2024; 2024/2025; 2025/2026</t>
        </is>
      </c>
      <c r="H421" s="673" t="inlineStr">
        <is>
          <t>VALIDE</t>
        </is>
      </c>
      <c r="I421" s="675" t="inlineStr">
        <is>
          <t>APPROUVE</t>
        </is>
      </c>
      <c r="J421" s="675" t="inlineStr">
        <is>
          <t>612 CT/SNRT/2022</t>
        </is>
      </c>
      <c r="K421" s="673" t="inlineStr">
        <is>
          <t>NON CONCERNE</t>
        </is>
      </c>
      <c r="L421" s="675" t="inlineStr">
        <is>
          <t>Ordinaire</t>
        </is>
      </c>
      <c r="M421" s="677" t="inlineStr">
        <is>
          <t>FONCTIONNEMENT</t>
        </is>
      </c>
      <c r="N421" s="678" t="inlineStr">
        <is>
          <t>Achats de droits
Achats de droit de sport</t>
        </is>
      </c>
      <c r="O421" s="679" t="n"/>
      <c r="P421" s="680" t="n"/>
      <c r="Q421" s="680" t="n"/>
      <c r="R421" s="675" t="inlineStr">
        <is>
          <t>RECONDUCTIBLE</t>
        </is>
      </c>
      <c r="S421" s="681" t="n"/>
      <c r="T421" s="682" t="n"/>
      <c r="U421" s="683" t="inlineStr">
        <is>
          <t>FRMF</t>
        </is>
      </c>
      <c r="V421" s="675" t="n">
        <v>2022</v>
      </c>
      <c r="W421" s="682" t="inlineStr">
        <is>
          <t>-</t>
        </is>
      </c>
      <c r="X421" s="682" t="n"/>
      <c r="Y421" s="682" t="inlineStr">
        <is>
          <t>-</t>
        </is>
      </c>
      <c r="Z421" s="679" t="n">
        <v>155000000</v>
      </c>
      <c r="AA421" s="680" t="n">
        <v>0</v>
      </c>
      <c r="AB421" s="680" t="n">
        <v>155000000</v>
      </c>
      <c r="AC421" s="680" t="n">
        <v>0</v>
      </c>
      <c r="AD421" s="680" t="n">
        <v>155000000</v>
      </c>
      <c r="AE421" s="680" t="n">
        <v>155000000</v>
      </c>
      <c r="AF421" s="684" t="inlineStr">
        <is>
          <t>ENGAGE</t>
        </is>
      </c>
      <c r="AG421" s="683" t="n"/>
      <c r="AH421" s="680" t="n"/>
      <c r="AI421" s="680" t="n"/>
      <c r="AJ421" s="680" t="n"/>
      <c r="AK421" s="680" t="n"/>
      <c r="AL421" s="685" t="n"/>
      <c r="AM421" s="685" t="n"/>
      <c r="AN421" s="683" t="inlineStr">
        <is>
          <t>R.A.S</t>
        </is>
      </c>
    </row>
    <row r="422" ht="33" customHeight="1" s="392">
      <c r="A422" s="672">
        <f>IF(AF422="ENGAGE","✔",IF(AF422="EN COURS D'ENGAGEMENT","◕",IF(AF422="PREENGAGE","◑",IF(AF422="EN COURS DE PREENGAGEMENT","◔",IF(AF422="NON ENGAGE","✖","")))))</f>
        <v/>
      </c>
      <c r="B422" s="673" t="n">
        <v>2026</v>
      </c>
      <c r="C422" s="674" t="inlineStr">
        <is>
          <t>ARRIYADIA</t>
        </is>
      </c>
      <c r="D422" s="674" t="inlineStr">
        <is>
          <t>RECONDUCTION</t>
        </is>
      </c>
      <c r="E422" s="675" t="inlineStr">
        <is>
          <t>CONTRAT</t>
        </is>
      </c>
      <c r="F422" s="675" t="n">
        <v>1</v>
      </c>
      <c r="G422" s="676" t="inlineStr">
        <is>
          <t>Contrats conclus avec la FRM de RUGBY</t>
        </is>
      </c>
      <c r="H422" s="673" t="inlineStr">
        <is>
          <t>VALIDE</t>
        </is>
      </c>
      <c r="I422" s="675" t="inlineStr">
        <is>
          <t>APPROUVE</t>
        </is>
      </c>
      <c r="J422" s="675" t="inlineStr">
        <is>
          <t>01-SNRT/FRMR-2026</t>
        </is>
      </c>
      <c r="K422" s="673" t="inlineStr">
        <is>
          <t>NON CONCERNE</t>
        </is>
      </c>
      <c r="L422" s="675" t="inlineStr">
        <is>
          <t>Ordinaire</t>
        </is>
      </c>
      <c r="M422" s="677" t="inlineStr">
        <is>
          <t>FONCTIONNEMENT</t>
        </is>
      </c>
      <c r="N422" s="678" t="inlineStr">
        <is>
          <t>Achats de droits
Achats de droit de sport</t>
        </is>
      </c>
      <c r="O422" s="679" t="n"/>
      <c r="P422" s="680" t="n"/>
      <c r="Q422" s="680" t="n"/>
      <c r="R422" s="675" t="inlineStr">
        <is>
          <t>RECONDUCTION</t>
        </is>
      </c>
      <c r="S422" s="681" t="n"/>
      <c r="T422" s="682" t="n"/>
      <c r="U422" s="683" t="inlineStr">
        <is>
          <t>FRM RUGBY</t>
        </is>
      </c>
      <c r="V422" s="675" t="n">
        <v>2026</v>
      </c>
      <c r="W422" s="682" t="n">
        <v>46118</v>
      </c>
      <c r="X422" s="682" t="n"/>
      <c r="Y422" s="682" t="n">
        <v>46119</v>
      </c>
      <c r="Z422" s="679" t="n">
        <v>250000</v>
      </c>
      <c r="AA422" s="680" t="n">
        <v>0</v>
      </c>
      <c r="AB422" s="680">
        <f>+Z422</f>
        <v/>
      </c>
      <c r="AC422" s="680" t="n">
        <v>0</v>
      </c>
      <c r="AD422" s="680">
        <f>+AB422</f>
        <v/>
      </c>
      <c r="AE422" s="680">
        <f>+AD422</f>
        <v/>
      </c>
      <c r="AF422" s="684" t="inlineStr">
        <is>
          <t>ENGAGE</t>
        </is>
      </c>
      <c r="AG422" s="683" t="n"/>
      <c r="AH422" s="680" t="n"/>
      <c r="AI422" s="680" t="n"/>
      <c r="AJ422" s="680" t="n"/>
      <c r="AK422" s="680" t="n"/>
      <c r="AL422" s="685" t="n"/>
      <c r="AM422" s="685" t="n"/>
      <c r="AN422" s="683" t="inlineStr">
        <is>
          <t>R.A.S</t>
        </is>
      </c>
    </row>
    <row r="423" ht="65.40000000000001" customHeight="1" s="392">
      <c r="A423" s="672">
        <f>IF(AF423="ENGAGE","✔",IF(AF423="EN COURS D'ENGAGEMENT","◕",IF(AF423="PREENGAGE","◑",IF(AF423="EN COURS DE PREENGAGEMENT","◔",IF(AF423="NON ENGAGE","✖","")))))</f>
        <v/>
      </c>
      <c r="B423" s="673" t="n">
        <v>2026</v>
      </c>
      <c r="C423" s="674" t="inlineStr">
        <is>
          <t>DCPA</t>
        </is>
      </c>
      <c r="D423" s="674" t="inlineStr">
        <is>
          <t>EXCLUSIVITÉ</t>
        </is>
      </c>
      <c r="E423" s="675" t="inlineStr">
        <is>
          <t>CONTRAT</t>
        </is>
      </c>
      <c r="F423" s="675" t="n">
        <v>1</v>
      </c>
      <c r="G423" s="676" t="inlineStr">
        <is>
          <t>La cession au profit de la SNRT des droits de captation et de diffusion des actualités et la couverture télévisée de la 15éme édition du Festival de Fiction TV de Meknès qui se tiendra du 03 au 07 avril 2026</t>
        </is>
      </c>
      <c r="H423" s="673" t="inlineStr">
        <is>
          <t>VALIDE</t>
        </is>
      </c>
      <c r="I423" s="675" t="inlineStr">
        <is>
          <t>APPROUVE</t>
        </is>
      </c>
      <c r="J423" s="675" t="inlineStr">
        <is>
          <t>385 CT/SNRT/2026</t>
        </is>
      </c>
      <c r="K423" s="673" t="inlineStr">
        <is>
          <t>NON CONCERNE</t>
        </is>
      </c>
      <c r="L423" s="675" t="inlineStr">
        <is>
          <t>Ordinaire</t>
        </is>
      </c>
      <c r="M423" s="677" t="inlineStr">
        <is>
          <t>FONCTIONNEMENT</t>
        </is>
      </c>
      <c r="N423" s="678" t="inlineStr">
        <is>
          <t>Achats de droits 
Achats des droits de captation</t>
        </is>
      </c>
      <c r="O423" s="679" t="n"/>
      <c r="P423" s="680" t="n"/>
      <c r="Q423" s="680" t="n"/>
      <c r="R423" s="675" t="inlineStr">
        <is>
          <t>NOUVEAU BESOIN</t>
        </is>
      </c>
      <c r="S423" s="681" t="n"/>
      <c r="T423" s="682" t="n"/>
      <c r="U423" s="683" t="inlineStr">
        <is>
          <t>Association le spectacle libre</t>
        </is>
      </c>
      <c r="V423" s="675" t="n">
        <v>2026</v>
      </c>
      <c r="W423" s="682" t="n">
        <v>46113</v>
      </c>
      <c r="X423" s="682" t="n"/>
      <c r="Y423" s="682" t="n">
        <v>46113</v>
      </c>
      <c r="Z423" s="679" t="n">
        <v>200000</v>
      </c>
      <c r="AA423" s="680" t="n">
        <v>0</v>
      </c>
      <c r="AB423" s="680" t="n">
        <v>200000</v>
      </c>
      <c r="AC423" s="680" t="n">
        <v>0</v>
      </c>
      <c r="AD423" s="680">
        <f>Z423</f>
        <v/>
      </c>
      <c r="AE423" s="680">
        <f>AB423</f>
        <v/>
      </c>
      <c r="AF423" s="684" t="inlineStr">
        <is>
          <t>ENGAGE</t>
        </is>
      </c>
      <c r="AG423" s="683" t="n"/>
      <c r="AH423" s="680" t="n"/>
      <c r="AI423" s="680" t="n"/>
      <c r="AJ423" s="680" t="n"/>
      <c r="AK423" s="680" t="n"/>
      <c r="AL423" s="685" t="n"/>
      <c r="AM423" s="685" t="n"/>
      <c r="AN423" s="683" t="inlineStr">
        <is>
          <t>R.A.S</t>
        </is>
      </c>
    </row>
    <row r="424" ht="35.7" customHeight="1" s="392">
      <c r="A424" s="672">
        <f>IF(AF424="ENGAGE","✔",IF(AF424="EN COURS D'ENGAGEMENT","◕",IF(AF424="PREENGAGE","◑",IF(AF424="EN COURS DE PREENGAGEMENT","◔",IF(AF424="NON ENGAGE","✖","")))))</f>
        <v/>
      </c>
      <c r="B424" s="673" t="n">
        <v>2026</v>
      </c>
      <c r="C424" s="674" t="inlineStr">
        <is>
          <t>DMPTV</t>
        </is>
      </c>
      <c r="D424" s="674" t="inlineStr">
        <is>
          <t>EXCLUSIVITÉ</t>
        </is>
      </c>
      <c r="E424" s="675" t="inlineStr">
        <is>
          <t>CONTRAT</t>
        </is>
      </c>
      <c r="F424" s="675" t="n">
        <v>1</v>
      </c>
      <c r="G424" s="676" t="inlineStr">
        <is>
          <t>La publication des insertions de la SNRT dans la revue de la gendarmerie royale</t>
        </is>
      </c>
      <c r="H424" s="673" t="inlineStr">
        <is>
          <t>VALIDE</t>
        </is>
      </c>
      <c r="I424" s="675" t="inlineStr">
        <is>
          <t>APPROUVE</t>
        </is>
      </c>
      <c r="J424" s="675" t="inlineStr">
        <is>
          <t>386 CT/SNRT/2026</t>
        </is>
      </c>
      <c r="K424" s="673" t="inlineStr">
        <is>
          <t>NON CONCERNE</t>
        </is>
      </c>
      <c r="L424" s="675" t="inlineStr">
        <is>
          <t>Ordinaire</t>
        </is>
      </c>
      <c r="M424" s="677" t="inlineStr">
        <is>
          <t>FONCTIONNEMENT</t>
        </is>
      </c>
      <c r="N424" s="678" t="inlineStr">
        <is>
          <t>Charges marketing et relations publiques</t>
        </is>
      </c>
      <c r="O424" s="679" t="n"/>
      <c r="P424" s="680" t="n"/>
      <c r="Q424" s="680" t="n"/>
      <c r="R424" s="675" t="inlineStr">
        <is>
          <t>NOUVEAU BESOIN</t>
        </is>
      </c>
      <c r="S424" s="681" t="n"/>
      <c r="T424" s="682" t="n"/>
      <c r="U424" s="683" t="inlineStr">
        <is>
          <t>MEDIAREP</t>
        </is>
      </c>
      <c r="V424" s="675" t="n">
        <v>2026</v>
      </c>
      <c r="W424" s="682" t="n">
        <v>46114</v>
      </c>
      <c r="X424" s="682" t="n"/>
      <c r="Y424" s="682" t="n">
        <v>46135</v>
      </c>
      <c r="Z424" s="679" t="n">
        <v>60000</v>
      </c>
      <c r="AA424" s="680" t="n">
        <v>0</v>
      </c>
      <c r="AB424" s="680" t="n">
        <v>72000</v>
      </c>
      <c r="AC424" s="680" t="n">
        <v>0</v>
      </c>
      <c r="AD424" s="680">
        <f>Z424</f>
        <v/>
      </c>
      <c r="AE424" s="680">
        <f>AB424</f>
        <v/>
      </c>
      <c r="AF424" s="684" t="inlineStr">
        <is>
          <t>ENGAGE</t>
        </is>
      </c>
      <c r="AG424" s="683" t="n"/>
      <c r="AH424" s="680" t="n"/>
      <c r="AI424" s="680" t="n"/>
      <c r="AJ424" s="680" t="n"/>
      <c r="AK424" s="680" t="n"/>
      <c r="AL424" s="685" t="n"/>
      <c r="AM424" s="685" t="n"/>
      <c r="AN424" s="683" t="inlineStr">
        <is>
          <t>R.A.S</t>
        </is>
      </c>
    </row>
    <row r="425" ht="35.7" customHeight="1" s="392">
      <c r="A425" s="672">
        <f>IF(AF425="ENGAGE","✔",IF(AF425="EN COURS D'ENGAGEMENT","◕",IF(AF425="PREENGAGE","◑",IF(AF425="EN COURS DE PREENGAGEMENT","◔",IF(AF425="NON ENGAGE","✖","")))))</f>
        <v/>
      </c>
      <c r="B425" s="673" t="n">
        <v>2026</v>
      </c>
      <c r="C425" s="674" t="inlineStr">
        <is>
          <t>DTSI</t>
        </is>
      </c>
      <c r="D425" s="674" t="inlineStr">
        <is>
          <t>21 AOM/SNRT</t>
        </is>
      </c>
      <c r="E425" s="675" t="inlineStr">
        <is>
          <t>AOO-M</t>
        </is>
      </c>
      <c r="F425" s="675" t="n">
        <v>1</v>
      </c>
      <c r="G425" s="676" t="inlineStr">
        <is>
          <t>La fourniture et la mise en service d'équipement informatiques les besoins de SNRT new de la SNRT</t>
        </is>
      </c>
      <c r="H425" s="673" t="inlineStr">
        <is>
          <t>INFRUCTUEUX</t>
        </is>
      </c>
      <c r="I425" s="675" t="inlineStr">
        <is>
          <t>INFRUCTUEUX</t>
        </is>
      </c>
      <c r="J425" s="693" t="n"/>
      <c r="K425" s="673" t="inlineStr">
        <is>
          <t>PME</t>
        </is>
      </c>
      <c r="L425" s="675" t="inlineStr">
        <is>
          <t>Ordinaire</t>
        </is>
      </c>
      <c r="M425" s="677" t="inlineStr">
        <is>
          <t>INVESTISSEMENT</t>
        </is>
      </c>
      <c r="N425" s="678" t="inlineStr">
        <is>
          <t>Matériel informatiques</t>
        </is>
      </c>
      <c r="O425" s="679">
        <f>P425*1.2</f>
        <v/>
      </c>
      <c r="P425" s="680" t="n">
        <v>1896696</v>
      </c>
      <c r="Q425" s="680">
        <f>P425/1.2</f>
        <v/>
      </c>
      <c r="R425" s="675" t="inlineStr">
        <is>
          <t>NOUVEAU BESOIN</t>
        </is>
      </c>
      <c r="S425" s="681" t="n"/>
      <c r="T425" s="682" t="n"/>
      <c r="U425" s="683" t="n"/>
      <c r="V425" s="675" t="n"/>
      <c r="W425" s="682" t="n">
        <v>46114</v>
      </c>
      <c r="X425" s="682" t="n">
        <v>46118</v>
      </c>
      <c r="Y425" s="682" t="n"/>
      <c r="Z425" s="679" t="n"/>
      <c r="AA425" s="680" t="n">
        <v>0</v>
      </c>
      <c r="AB425" s="680" t="n"/>
      <c r="AC425" s="680" t="n">
        <v>0</v>
      </c>
      <c r="AD425" s="680" t="n"/>
      <c r="AE425" s="680" t="n"/>
      <c r="AF425" s="684" t="inlineStr">
        <is>
          <t>NON ENGAGE</t>
        </is>
      </c>
      <c r="AG425" s="683" t="n"/>
      <c r="AH425" s="680" t="n"/>
      <c r="AI425" s="680" t="n"/>
      <c r="AJ425" s="680" t="n"/>
      <c r="AK425" s="680" t="n"/>
      <c r="AL425" s="685" t="n"/>
      <c r="AM425" s="685" t="n"/>
      <c r="AN425" s="683" t="inlineStr">
        <is>
          <t>R.A.S</t>
        </is>
      </c>
    </row>
    <row r="426" ht="35.7" customHeight="1" s="392">
      <c r="A426" s="672">
        <f>IF(AF426="ENGAGE","✔",IF(AF426="EN COURS D'ENGAGEMENT","◕",IF(AF426="PREENGAGE","◑",IF(AF426="EN COURS DE PREENGAGEMENT","◔",IF(AF426="NON ENGAGE","✖","")))))</f>
        <v/>
      </c>
      <c r="B426" s="673" t="n">
        <v>2026</v>
      </c>
      <c r="C426" s="674" t="inlineStr">
        <is>
          <t>DTSI</t>
        </is>
      </c>
      <c r="D426" s="674" t="inlineStr">
        <is>
          <t>21AOM/SNRT</t>
        </is>
      </c>
      <c r="E426" s="675" t="inlineStr">
        <is>
          <t>AOO-M</t>
        </is>
      </c>
      <c r="F426" s="675" t="n">
        <v>2</v>
      </c>
      <c r="G426" s="676" t="inlineStr">
        <is>
          <t>La fourniture de consommables d'impression pour les besoins de SNRT News de la SNRT</t>
        </is>
      </c>
      <c r="H426" s="673" t="inlineStr">
        <is>
          <t>VALIDE</t>
        </is>
      </c>
      <c r="I426" s="675" t="inlineStr">
        <is>
          <t>ATTRIBUE</t>
        </is>
      </c>
      <c r="J426" s="693" t="n"/>
      <c r="K426" s="673" t="inlineStr">
        <is>
          <t>PME</t>
        </is>
      </c>
      <c r="L426" s="675" t="inlineStr">
        <is>
          <t>Ordinaire</t>
        </is>
      </c>
      <c r="M426" s="677" t="inlineStr">
        <is>
          <t>FONCTIONNEMENT</t>
        </is>
      </c>
      <c r="N426" s="678" t="inlineStr">
        <is>
          <t>Achat de matière et fourniture consommable</t>
        </is>
      </c>
      <c r="O426" s="679">
        <f>P426*1.2</f>
        <v/>
      </c>
      <c r="P426" s="680" t="n">
        <v>283380</v>
      </c>
      <c r="Q426" s="680">
        <f>P426/1.2</f>
        <v/>
      </c>
      <c r="R426" s="675" t="inlineStr">
        <is>
          <t>NOUVEAU BESOIN</t>
        </is>
      </c>
      <c r="S426" s="681" t="n"/>
      <c r="T426" s="682" t="n"/>
      <c r="U426" s="683" t="inlineStr">
        <is>
          <t>MONDOFFICE</t>
        </is>
      </c>
      <c r="V426" s="675" t="n"/>
      <c r="W426" s="682" t="n">
        <v>46114</v>
      </c>
      <c r="X426" s="682" t="n">
        <v>46118</v>
      </c>
      <c r="Y426" s="682" t="n">
        <v>46189</v>
      </c>
      <c r="Z426" s="679">
        <f>+AD426</f>
        <v/>
      </c>
      <c r="AA426" s="680" t="n">
        <v>0</v>
      </c>
      <c r="AB426" s="680">
        <f>+AE426</f>
        <v/>
      </c>
      <c r="AC426" s="680" t="n">
        <v>0</v>
      </c>
      <c r="AD426" s="680">
        <f>+AE426/1.2</f>
        <v/>
      </c>
      <c r="AE426" s="680" t="n">
        <v>337110</v>
      </c>
      <c r="AF426" s="684" t="inlineStr">
        <is>
          <t>ENGAGE</t>
        </is>
      </c>
      <c r="AG426" s="683" t="n"/>
      <c r="AH426" s="680" t="n"/>
      <c r="AI426" s="680" t="n"/>
      <c r="AJ426" s="680" t="n"/>
      <c r="AK426" s="680" t="n"/>
      <c r="AL426" s="685" t="n"/>
      <c r="AM426" s="685" t="n"/>
      <c r="AN426" s="683" t="inlineStr">
        <is>
          <t>R.A.S</t>
        </is>
      </c>
    </row>
    <row r="427" ht="33" customHeight="1" s="392">
      <c r="A427" s="672">
        <f>IF(AF427="ENGAGE","✔",IF(AF427="EN COURS D'ENGAGEMENT","◕",IF(AF427="PREENGAGE","◑",IF(AF427="EN COURS DE PREENGAGEMENT","◔",IF(AF427="NON ENGAGE","✖","")))))</f>
        <v/>
      </c>
      <c r="B427" s="673" t="n">
        <v>2026</v>
      </c>
      <c r="C427" s="674" t="inlineStr">
        <is>
          <t>DTSI</t>
        </is>
      </c>
      <c r="D427" s="674" t="inlineStr">
        <is>
          <t>06 AOM/SNRT</t>
        </is>
      </c>
      <c r="E427" s="675" t="inlineStr">
        <is>
          <t>AOO-M</t>
        </is>
      </c>
      <c r="F427" s="675" t="n">
        <v>1</v>
      </c>
      <c r="G427" s="676" t="inlineStr">
        <is>
          <t>La fourniture de consommables d'impression pour la SNRT</t>
        </is>
      </c>
      <c r="H427" s="673" t="inlineStr">
        <is>
          <t>VALIDE</t>
        </is>
      </c>
      <c r="I427" s="675" t="inlineStr">
        <is>
          <t>APPROUVE</t>
        </is>
      </c>
      <c r="J427" s="693" t="n"/>
      <c r="K427" s="673" t="inlineStr">
        <is>
          <t>PME</t>
        </is>
      </c>
      <c r="L427" s="675" t="inlineStr">
        <is>
          <t>Ordinaire</t>
        </is>
      </c>
      <c r="M427" s="677" t="inlineStr">
        <is>
          <t>FONCTIONNEMENT</t>
        </is>
      </c>
      <c r="N427" s="678" t="inlineStr">
        <is>
          <t>Achat de matière et fourniture consommable</t>
        </is>
      </c>
      <c r="O427" s="679">
        <f>P427*1.2</f>
        <v/>
      </c>
      <c r="P427" s="680" t="n">
        <v>1269444</v>
      </c>
      <c r="Q427" s="680">
        <f>P427/1.2</f>
        <v/>
      </c>
      <c r="R427" s="675" t="inlineStr">
        <is>
          <t>NOUVEAU BESOIN</t>
        </is>
      </c>
      <c r="S427" s="681" t="n"/>
      <c r="T427" s="682" t="n"/>
      <c r="U427" s="683" t="inlineStr">
        <is>
          <t>EQUIPEMENT BADR</t>
        </is>
      </c>
      <c r="V427" s="675" t="n"/>
      <c r="W427" s="682" t="n">
        <v>46114</v>
      </c>
      <c r="X427" s="682" t="n">
        <v>46120</v>
      </c>
      <c r="Y427" s="682" t="n">
        <v>46197</v>
      </c>
      <c r="Z427" s="679">
        <f>AB427/1.2</f>
        <v/>
      </c>
      <c r="AA427" s="680" t="n">
        <v>0</v>
      </c>
      <c r="AB427" s="680" t="n">
        <v>1379196</v>
      </c>
      <c r="AC427" s="680" t="n">
        <v>0</v>
      </c>
      <c r="AD427" s="680">
        <f>Z427</f>
        <v/>
      </c>
      <c r="AE427" s="680">
        <f>AB427</f>
        <v/>
      </c>
      <c r="AF427" s="684" t="inlineStr">
        <is>
          <t>ENGAGE</t>
        </is>
      </c>
      <c r="AG427" s="683" t="n"/>
      <c r="AH427" s="680" t="n"/>
      <c r="AI427" s="680" t="n"/>
      <c r="AJ427" s="680" t="n"/>
      <c r="AK427" s="680" t="n"/>
      <c r="AL427" s="685" t="n"/>
      <c r="AM427" s="685" t="n"/>
      <c r="AN427" s="683" t="inlineStr">
        <is>
          <t>R.A.S</t>
        </is>
      </c>
    </row>
    <row r="428" ht="50.55" customHeight="1" s="392">
      <c r="A428" s="672">
        <f>IF(AF428="ENGAGE","✔",IF(AF428="EN COURS D'ENGAGEMENT","◕",IF(AF428="PREENGAGE","◑",IF(AF428="EN COURS DE PREENGAGEMENT","◔",IF(AF428="NON ENGAGE","✖","")))))</f>
        <v/>
      </c>
      <c r="B428" s="673" t="n">
        <v>2026</v>
      </c>
      <c r="C428" s="674" t="inlineStr">
        <is>
          <t>DTSI</t>
        </is>
      </c>
      <c r="D428" s="674" t="inlineStr">
        <is>
          <t>06 AOM/SNRT</t>
        </is>
      </c>
      <c r="E428" s="675" t="inlineStr">
        <is>
          <t>AOO-M</t>
        </is>
      </c>
      <c r="F428" s="675" t="n">
        <v>2</v>
      </c>
      <c r="G428" s="676" t="inlineStr">
        <is>
          <t>La fourniture et la mise en service d'accessoires,pièces de rechange et outillage informatique pour les besoins de la SNRT</t>
        </is>
      </c>
      <c r="H428" s="673" t="inlineStr">
        <is>
          <t>INFRUCTUEUX</t>
        </is>
      </c>
      <c r="I428" s="675" t="inlineStr">
        <is>
          <t>INFRUCTUEUX</t>
        </is>
      </c>
      <c r="J428" s="693" t="n"/>
      <c r="K428" s="673" t="inlineStr">
        <is>
          <t>PME</t>
        </is>
      </c>
      <c r="L428" s="675" t="inlineStr">
        <is>
          <t>Ordinaire</t>
        </is>
      </c>
      <c r="M428" s="677" t="inlineStr">
        <is>
          <t>FONCTIONNEMENT</t>
        </is>
      </c>
      <c r="N428" s="678" t="inlineStr">
        <is>
          <t>Achat de matière et fourniture consommable</t>
        </is>
      </c>
      <c r="O428" s="679">
        <f>P428*1.2</f>
        <v/>
      </c>
      <c r="P428" s="680" t="n">
        <v>407304</v>
      </c>
      <c r="Q428" s="680">
        <f>P428/1.2</f>
        <v/>
      </c>
      <c r="R428" s="675" t="inlineStr">
        <is>
          <t>NOUVEAU BESOIN</t>
        </is>
      </c>
      <c r="S428" s="681" t="n"/>
      <c r="T428" s="682" t="n"/>
      <c r="U428" s="683" t="n"/>
      <c r="V428" s="675" t="n"/>
      <c r="W428" s="682" t="n">
        <v>46114</v>
      </c>
      <c r="X428" s="682" t="n">
        <v>46120</v>
      </c>
      <c r="Y428" s="682" t="n">
        <v>0</v>
      </c>
      <c r="Z428" s="679" t="n">
        <v>0</v>
      </c>
      <c r="AA428" s="680" t="n">
        <v>0</v>
      </c>
      <c r="AB428" s="680" t="n">
        <v>0</v>
      </c>
      <c r="AC428" s="680" t="n">
        <v>0</v>
      </c>
      <c r="AD428" s="680" t="n">
        <v>0</v>
      </c>
      <c r="AE428" s="680" t="n">
        <v>0</v>
      </c>
      <c r="AF428" s="684" t="inlineStr">
        <is>
          <t>NON ENGAGE</t>
        </is>
      </c>
      <c r="AG428" s="683" t="n"/>
      <c r="AH428" s="680" t="n"/>
      <c r="AI428" s="680" t="n"/>
      <c r="AJ428" s="680" t="n"/>
      <c r="AK428" s="680" t="n"/>
      <c r="AL428" s="685" t="n"/>
      <c r="AM428" s="685" t="n"/>
      <c r="AN428" s="683" t="inlineStr">
        <is>
          <t>R.A.S</t>
        </is>
      </c>
    </row>
    <row r="429" ht="35.7" customHeight="1" s="392">
      <c r="A429" s="672">
        <f>IF(AF429="ENGAGE","✔",IF(AF429="EN COURS D'ENGAGEMENT","◕",IF(AF429="PREENGAGE","◑",IF(AF429="EN COURS DE PREENGAGEMENT","◔",IF(AF429="NON ENGAGE","✖","")))))</f>
        <v/>
      </c>
      <c r="B429" s="673" t="n">
        <v>2026</v>
      </c>
      <c r="C429" s="674" t="inlineStr">
        <is>
          <t>DPMG</t>
        </is>
      </c>
      <c r="D429" s="674" t="n"/>
      <c r="E429" s="675" t="inlineStr">
        <is>
          <t>BCL</t>
        </is>
      </c>
      <c r="F429" s="675" t="n">
        <v>1</v>
      </c>
      <c r="G429" s="676" t="inlineStr">
        <is>
          <t>Étude des travaux d’aménagement de la nouvelle station radio de Tétouane</t>
        </is>
      </c>
      <c r="H429" s="673" t="inlineStr">
        <is>
          <t>ANNULE</t>
        </is>
      </c>
      <c r="I429" s="675" t="inlineStr">
        <is>
          <t>ANNULE</t>
        </is>
      </c>
      <c r="J429" s="675" t="inlineStr">
        <is>
          <t>26000021 CL</t>
        </is>
      </c>
      <c r="K429" s="673" t="inlineStr">
        <is>
          <t>NON CONCERNE</t>
        </is>
      </c>
      <c r="L429" s="675" t="inlineStr">
        <is>
          <t>Ordinaire</t>
        </is>
      </c>
      <c r="M429" s="677" t="inlineStr">
        <is>
          <t>INVESTISSEMENT</t>
        </is>
      </c>
      <c r="N429" s="678" t="inlineStr">
        <is>
          <t>Frais d’acquisition des immobilisation</t>
        </is>
      </c>
      <c r="O429" s="679" t="n"/>
      <c r="P429" s="680" t="n"/>
      <c r="Q429" s="680" t="n"/>
      <c r="R429" s="675" t="inlineStr">
        <is>
          <t>BESOIN RECURRENT</t>
        </is>
      </c>
      <c r="S429" s="681" t="n"/>
      <c r="T429" s="682" t="n"/>
      <c r="U429" s="683" t="inlineStr">
        <is>
          <t>BLACKLINE STUDIO</t>
        </is>
      </c>
      <c r="V429" s="675" t="n"/>
      <c r="W429" s="682" t="n">
        <v>46118</v>
      </c>
      <c r="X429" s="682" t="n"/>
      <c r="Y429" s="682" t="n"/>
      <c r="Z429" s="679" t="n">
        <v>55000</v>
      </c>
      <c r="AA429" s="680" t="n">
        <v>0</v>
      </c>
      <c r="AB429" s="680" t="n">
        <v>66000</v>
      </c>
      <c r="AC429" s="680" t="n">
        <v>0</v>
      </c>
      <c r="AD429" s="680" t="n">
        <v>55000</v>
      </c>
      <c r="AE429" s="680" t="n">
        <v>66000</v>
      </c>
      <c r="AF429" s="684" t="inlineStr">
        <is>
          <t>NON ENGAGE</t>
        </is>
      </c>
      <c r="AG429" s="683" t="n"/>
      <c r="AH429" s="680" t="n"/>
      <c r="AI429" s="680" t="n"/>
      <c r="AJ429" s="680" t="n"/>
      <c r="AK429" s="680" t="n"/>
      <c r="AL429" s="685" t="n"/>
      <c r="AM429" s="685" t="n"/>
      <c r="AN429" s="683" t="inlineStr">
        <is>
          <t xml:space="preserve">Annulé </t>
        </is>
      </c>
    </row>
    <row r="430" ht="35.7" customHeight="1" s="392">
      <c r="A430" s="672">
        <f>IF(AF430="ENGAGE","✔",IF(AF430="EN COURS D'ENGAGEMENT","◕",IF(AF430="PREENGAGE","◑",IF(AF430="EN COURS DE PREENGAGEMENT","◔",IF(AF430="NON ENGAGE","✖","")))))</f>
        <v/>
      </c>
      <c r="B430" s="673" t="n">
        <v>2026</v>
      </c>
      <c r="C430" s="674" t="inlineStr">
        <is>
          <t>DTSI</t>
        </is>
      </c>
      <c r="D430" s="674" t="inlineStr">
        <is>
          <t>10 AOM/SNRT</t>
        </is>
      </c>
      <c r="E430" s="675" t="inlineStr">
        <is>
          <t>AOO-M</t>
        </is>
      </c>
      <c r="F430" s="675" t="n">
        <v>1</v>
      </c>
      <c r="G430" s="676" t="inlineStr">
        <is>
          <t>La fourniture et la mise en service des équipements d’éclairage pour les besoins de la production de la SNRT</t>
        </is>
      </c>
      <c r="H430" s="673" t="inlineStr">
        <is>
          <t>VALIDE</t>
        </is>
      </c>
      <c r="I430" s="675" t="inlineStr">
        <is>
          <t>ATTRIBUE</t>
        </is>
      </c>
      <c r="J430" s="693" t="n"/>
      <c r="K430" s="673" t="inlineStr">
        <is>
          <t>GENERAL</t>
        </is>
      </c>
      <c r="L430" s="675" t="inlineStr">
        <is>
          <t>Exceptionnel</t>
        </is>
      </c>
      <c r="M430" s="677" t="inlineStr">
        <is>
          <t>INVESTISSEMENT</t>
        </is>
      </c>
      <c r="N430" s="678" t="inlineStr">
        <is>
          <t>Équipements techniques</t>
        </is>
      </c>
      <c r="O430" s="679">
        <f>P430*1.2</f>
        <v/>
      </c>
      <c r="P430" s="680" t="n">
        <v>1782744</v>
      </c>
      <c r="Q430" s="680">
        <f>P430/1.2</f>
        <v/>
      </c>
      <c r="R430" s="675" t="inlineStr">
        <is>
          <t>NOUVEAU BESOIN</t>
        </is>
      </c>
      <c r="S430" s="681" t="n"/>
      <c r="T430" s="682" t="n"/>
      <c r="U430" s="683" t="inlineStr">
        <is>
          <t>NYA AUDIO VIDEO</t>
        </is>
      </c>
      <c r="V430" s="675" t="n"/>
      <c r="W430" s="682" t="n">
        <v>46121</v>
      </c>
      <c r="X430" s="682" t="n">
        <v>46126</v>
      </c>
      <c r="Y430" s="682" t="n"/>
      <c r="Z430" s="679">
        <f>AB430/1.2</f>
        <v/>
      </c>
      <c r="AA430" s="680">
        <f>AC430/1.2</f>
        <v/>
      </c>
      <c r="AB430" s="680" t="n">
        <v>2017741.2</v>
      </c>
      <c r="AC430" s="680" t="n">
        <v>198372.18</v>
      </c>
      <c r="AD430" s="680">
        <f>Z430</f>
        <v/>
      </c>
      <c r="AE430" s="680">
        <f>AB430</f>
        <v/>
      </c>
      <c r="AF430" s="684" t="inlineStr">
        <is>
          <t>EN COURS D'ENGAGEMENT</t>
        </is>
      </c>
      <c r="AG430" s="683" t="n"/>
      <c r="AH430" s="680" t="n"/>
      <c r="AI430" s="680" t="n"/>
      <c r="AJ430" s="680" t="n"/>
      <c r="AK430" s="680" t="n"/>
      <c r="AL430" s="685" t="n"/>
      <c r="AM430" s="685" t="n"/>
      <c r="AN430" s="683" t="inlineStr">
        <is>
          <t>R.A.S</t>
        </is>
      </c>
    </row>
    <row r="431" ht="50.55" customHeight="1" s="392">
      <c r="A431" s="672">
        <f>IF(AF431="ENGAGE","✔",IF(AF431="EN COURS D'ENGAGEMENT","◕",IF(AF431="PREENGAGE","◑",IF(AF431="EN COURS DE PREENGAGEMENT","◔",IF(AF431="NON ENGAGE","✖","")))))</f>
        <v/>
      </c>
      <c r="B431" s="673" t="n">
        <v>2026</v>
      </c>
      <c r="C431" s="674" t="inlineStr">
        <is>
          <t>DTSI</t>
        </is>
      </c>
      <c r="D431" s="674" t="inlineStr">
        <is>
          <t>23 AOM/SNRT</t>
        </is>
      </c>
      <c r="E431" s="675" t="inlineStr">
        <is>
          <t>AOO-M</t>
        </is>
      </c>
      <c r="F431" s="675" t="n">
        <v>1</v>
      </c>
      <c r="G431" s="676" t="inlineStr">
        <is>
          <t>La fourniture et la mise en service d'une solution de transport des communications intercom via des coules audio IP BROADCAST pour les besoins des unités mobiles de la SNRT</t>
        </is>
      </c>
      <c r="H431" s="673" t="inlineStr">
        <is>
          <t>INFRUCTUEUX</t>
        </is>
      </c>
      <c r="I431" s="675" t="inlineStr">
        <is>
          <t>INFRUCTUEUX</t>
        </is>
      </c>
      <c r="J431" s="675" t="n"/>
      <c r="K431" s="673" t="inlineStr">
        <is>
          <t>GENERAL</t>
        </is>
      </c>
      <c r="L431" s="675" t="inlineStr">
        <is>
          <t>REPORT BUDGET ANNEE ANTERIEURE</t>
        </is>
      </c>
      <c r="M431" s="677" t="inlineStr">
        <is>
          <t>INVESTISSEMENT</t>
        </is>
      </c>
      <c r="N431" s="678" t="inlineStr">
        <is>
          <t>Immobilisations incorporelles (logiciels, licences, etc.)</t>
        </is>
      </c>
      <c r="O431" s="679">
        <f>P431*1.2</f>
        <v/>
      </c>
      <c r="P431" s="680" t="n">
        <v>291156</v>
      </c>
      <c r="Q431" s="680">
        <f>P431/1.2</f>
        <v/>
      </c>
      <c r="R431" s="675" t="inlineStr">
        <is>
          <t>NOUVEAU BESOIN</t>
        </is>
      </c>
      <c r="S431" s="681" t="n"/>
      <c r="T431" s="682" t="n"/>
      <c r="U431" s="683" t="n"/>
      <c r="V431" s="675" t="n"/>
      <c r="W431" s="682" t="n">
        <v>46119</v>
      </c>
      <c r="X431" s="682" t="n">
        <v>46126</v>
      </c>
      <c r="Y431" s="682" t="n"/>
      <c r="Z431" s="679" t="n">
        <v>0</v>
      </c>
      <c r="AA431" s="680" t="n">
        <v>0</v>
      </c>
      <c r="AB431" s="680" t="n">
        <v>0</v>
      </c>
      <c r="AC431" s="680" t="n">
        <v>0</v>
      </c>
      <c r="AD431" s="680" t="n">
        <v>0</v>
      </c>
      <c r="AE431" s="680" t="n">
        <v>0</v>
      </c>
      <c r="AF431" s="684" t="inlineStr">
        <is>
          <t>NON ENGAGE</t>
        </is>
      </c>
      <c r="AG431" s="683" t="n"/>
      <c r="AH431" s="680" t="n"/>
      <c r="AI431" s="680" t="n"/>
      <c r="AJ431" s="680" t="n"/>
      <c r="AK431" s="680" t="n"/>
      <c r="AL431" s="685" t="n"/>
      <c r="AM431" s="685" t="n"/>
      <c r="AN431" s="683" t="inlineStr">
        <is>
          <t>R.A.S</t>
        </is>
      </c>
    </row>
    <row r="432" ht="35.7" customHeight="1" s="392">
      <c r="A432" s="672">
        <f>IF(AF432="ENGAGE","✔",IF(AF432="EN COURS D'ENGAGEMENT","◕",IF(AF432="PREENGAGE","◑",IF(AF432="EN COURS DE PREENGAGEMENT","◔",IF(AF432="NON ENGAGE","✖","")))))</f>
        <v/>
      </c>
      <c r="B432" s="673" t="n">
        <v>2026</v>
      </c>
      <c r="C432" s="674" t="inlineStr">
        <is>
          <t>DTSI</t>
        </is>
      </c>
      <c r="D432" s="674" t="inlineStr">
        <is>
          <t>26 AOM/SNRT</t>
        </is>
      </c>
      <c r="E432" s="675" t="inlineStr">
        <is>
          <t>AOO-M</t>
        </is>
      </c>
      <c r="F432" s="675" t="n">
        <v>1</v>
      </c>
      <c r="G432" s="676" t="inlineStr">
        <is>
          <t>Fourniture et mise en service d’équipements audio vidéo au profit de la DCRPSD de la SNRT</t>
        </is>
      </c>
      <c r="H432" s="673" t="inlineStr">
        <is>
          <t>INFRUCTUEUX</t>
        </is>
      </c>
      <c r="I432" s="675" t="inlineStr">
        <is>
          <t>INFRUCTUEUX</t>
        </is>
      </c>
      <c r="J432" s="675" t="n"/>
      <c r="K432" s="673" t="inlineStr">
        <is>
          <t>PME</t>
        </is>
      </c>
      <c r="L432" s="675" t="inlineStr">
        <is>
          <t>Ordinaire</t>
        </is>
      </c>
      <c r="M432" s="677" t="inlineStr">
        <is>
          <t>INVESTISSEMENT</t>
        </is>
      </c>
      <c r="N432" s="678" t="inlineStr">
        <is>
          <t>Matériel informatiques</t>
        </is>
      </c>
      <c r="O432" s="679">
        <f>P432*1.2</f>
        <v/>
      </c>
      <c r="P432" s="680" t="n">
        <v>287676</v>
      </c>
      <c r="Q432" s="680">
        <f>P432/1.2</f>
        <v/>
      </c>
      <c r="R432" s="675" t="inlineStr">
        <is>
          <t>NOUVEAU BESOIN</t>
        </is>
      </c>
      <c r="S432" s="681" t="n"/>
      <c r="T432" s="682" t="n"/>
      <c r="U432" s="683" t="n"/>
      <c r="V432" s="675" t="n"/>
      <c r="W432" s="682" t="n">
        <v>46121</v>
      </c>
      <c r="X432" s="682" t="n">
        <v>46126</v>
      </c>
      <c r="Y432" s="682" t="n">
        <v>0</v>
      </c>
      <c r="Z432" s="679" t="n">
        <v>0</v>
      </c>
      <c r="AA432" s="680" t="n">
        <v>0</v>
      </c>
      <c r="AB432" s="680" t="n">
        <v>0</v>
      </c>
      <c r="AC432" s="680" t="n">
        <v>0</v>
      </c>
      <c r="AD432" s="680" t="n">
        <v>0</v>
      </c>
      <c r="AE432" s="680" t="n">
        <v>0</v>
      </c>
      <c r="AF432" s="684" t="inlineStr">
        <is>
          <t>NON ENGAGE</t>
        </is>
      </c>
      <c r="AG432" s="683" t="n"/>
      <c r="AH432" s="680" t="n"/>
      <c r="AI432" s="680" t="n"/>
      <c r="AJ432" s="680" t="n"/>
      <c r="AK432" s="680" t="n"/>
      <c r="AL432" s="685" t="n"/>
      <c r="AM432" s="685" t="n"/>
      <c r="AN432" s="683" t="inlineStr">
        <is>
          <t>R.A.S</t>
        </is>
      </c>
    </row>
    <row r="433" ht="35.7" customHeight="1" s="392">
      <c r="A433" s="672">
        <f>IF(AF433="ENGAGE","✔",IF(AF433="EN COURS D'ENGAGEMENT","◕",IF(AF433="PREENGAGE","◑",IF(AF433="EN COURS DE PREENGAGEMENT","◔",IF(AF433="NON ENGAGE","✖","")))))</f>
        <v/>
      </c>
      <c r="B433" s="673" t="n">
        <v>2026</v>
      </c>
      <c r="C433" s="674" t="inlineStr">
        <is>
          <t>DTSI</t>
        </is>
      </c>
      <c r="D433" s="674" t="inlineStr">
        <is>
          <t>27 AOM/SNRT</t>
        </is>
      </c>
      <c r="E433" s="675" t="inlineStr">
        <is>
          <t>AOO-M</t>
        </is>
      </c>
      <c r="F433" s="675" t="n">
        <v>1</v>
      </c>
      <c r="G433" s="676" t="inlineStr">
        <is>
          <t>La fourniture de supports d’enregistrement et de lecture pour les besoins des chaines TV de la SNRT</t>
        </is>
      </c>
      <c r="H433" s="673" t="inlineStr">
        <is>
          <t>VALIDE</t>
        </is>
      </c>
      <c r="I433" s="675" t="inlineStr">
        <is>
          <t>APPROUVE</t>
        </is>
      </c>
      <c r="J433" s="693" t="n"/>
      <c r="K433" s="673" t="inlineStr">
        <is>
          <t>GENERAL</t>
        </is>
      </c>
      <c r="L433" s="675" t="inlineStr">
        <is>
          <t>Ordinaire</t>
        </is>
      </c>
      <c r="M433" s="677" t="inlineStr">
        <is>
          <t>FONCTIONNEMENT</t>
        </is>
      </c>
      <c r="N433" s="678" t="inlineStr">
        <is>
          <t>Achat de matière et fourniture consommable</t>
        </is>
      </c>
      <c r="O433" s="679">
        <f>P433*1.2</f>
        <v/>
      </c>
      <c r="P433" s="680" t="n">
        <v>259200</v>
      </c>
      <c r="Q433" s="680">
        <f>P433/1.2</f>
        <v/>
      </c>
      <c r="R433" s="675" t="inlineStr">
        <is>
          <t>BESOIN RECURRENT</t>
        </is>
      </c>
      <c r="S433" s="681" t="n"/>
      <c r="T433" s="682" t="n"/>
      <c r="U433" s="683" t="inlineStr">
        <is>
          <t>LTS NETWORK</t>
        </is>
      </c>
      <c r="V433" s="675" t="n"/>
      <c r="W433" s="682" t="n">
        <v>46126</v>
      </c>
      <c r="X433" s="682" t="n">
        <v>46129</v>
      </c>
      <c r="Y433" s="682" t="n">
        <v>46206</v>
      </c>
      <c r="Z433" s="679">
        <f>AD433</f>
        <v/>
      </c>
      <c r="AA433" s="680" t="n">
        <v>0</v>
      </c>
      <c r="AB433" s="680">
        <f>AE433</f>
        <v/>
      </c>
      <c r="AC433" s="680" t="n">
        <v>0</v>
      </c>
      <c r="AD433" s="680">
        <f>AE433/1.2</f>
        <v/>
      </c>
      <c r="AE433" s="680" t="n">
        <v>307526.4</v>
      </c>
      <c r="AF433" s="684" t="inlineStr">
        <is>
          <t>ENGAGE</t>
        </is>
      </c>
      <c r="AG433" s="683" t="n"/>
      <c r="AH433" s="680" t="n"/>
      <c r="AI433" s="680" t="n"/>
      <c r="AJ433" s="680" t="n"/>
      <c r="AK433" s="680" t="n"/>
      <c r="AL433" s="685" t="n"/>
      <c r="AM433" s="685" t="n"/>
      <c r="AN433" s="683" t="inlineStr">
        <is>
          <t>R.A.S</t>
        </is>
      </c>
    </row>
    <row r="434" ht="50.55" customHeight="1" s="392">
      <c r="A434" s="672">
        <f>IF(AF434="ENGAGE","✔",IF(AF434="EN COURS D'ENGAGEMENT","◕",IF(AF434="PREENGAGE","◑",IF(AF434="EN COURS DE PREENGAGEMENT","◔",IF(AF434="NON ENGAGE","✖","")))))</f>
        <v/>
      </c>
      <c r="B434" s="673" t="n">
        <v>2026</v>
      </c>
      <c r="C434" s="674" t="inlineStr">
        <is>
          <t>TDF -SITES</t>
        </is>
      </c>
      <c r="D434" s="674" t="inlineStr">
        <is>
          <t>ancien 17AOM/SNRT</t>
        </is>
      </c>
      <c r="E434" s="675" t="inlineStr">
        <is>
          <t>AOO-M</t>
        </is>
      </c>
      <c r="F434" s="675" t="n">
        <v>1</v>
      </c>
      <c r="G434" s="676" t="inlineStr">
        <is>
          <t>Élaboration des études techniques et suivi des travaux d’achèvement d’installation d’un pylone auto-stable de 30+10m de hauteur au site SNRT TANAKOUB (P.CHEFCHAOUEN)</t>
        </is>
      </c>
      <c r="H434" s="673" t="inlineStr">
        <is>
          <t>EN SIGNATURE</t>
        </is>
      </c>
      <c r="I434" s="675" t="inlineStr">
        <is>
          <t>EN SIGNATURE</t>
        </is>
      </c>
      <c r="J434" s="693" t="n"/>
      <c r="K434" s="673" t="inlineStr">
        <is>
          <t>GENERAL</t>
        </is>
      </c>
      <c r="L434" s="675" t="inlineStr">
        <is>
          <t>Ordinaire</t>
        </is>
      </c>
      <c r="M434" s="677" t="inlineStr">
        <is>
          <t>INVESTISSEMENT</t>
        </is>
      </c>
      <c r="N434" s="678" t="inlineStr">
        <is>
          <t>Frais d’acquisition des immobilisation</t>
        </is>
      </c>
      <c r="O434" s="679">
        <f>P434*1.2</f>
        <v/>
      </c>
      <c r="P434" s="680" t="n">
        <v>72000</v>
      </c>
      <c r="Q434" s="680">
        <f>P434/1.2</f>
        <v/>
      </c>
      <c r="R434" s="675" t="inlineStr">
        <is>
          <t>NOUVEAU BESOIN</t>
        </is>
      </c>
      <c r="S434" s="681" t="n"/>
      <c r="T434" s="682" t="n"/>
      <c r="U434" s="683" t="n"/>
      <c r="V434" s="675" t="n"/>
      <c r="W434" s="682" t="n">
        <v>46198</v>
      </c>
      <c r="X434" s="682" t="n"/>
      <c r="Y434" s="682" t="n"/>
      <c r="Z434" s="679" t="n"/>
      <c r="AA434" s="680" t="n">
        <v>0</v>
      </c>
      <c r="AB434" s="680" t="n"/>
      <c r="AC434" s="680" t="n">
        <v>0</v>
      </c>
      <c r="AD434" s="680" t="n"/>
      <c r="AE434" s="680" t="n"/>
      <c r="AF434" s="684" t="inlineStr">
        <is>
          <t>EN COURS DE PREENGAGEMENT</t>
        </is>
      </c>
      <c r="AG434" s="683" t="n"/>
      <c r="AH434" s="680" t="n"/>
      <c r="AI434" s="680" t="n"/>
      <c r="AJ434" s="680" t="n"/>
      <c r="AK434" s="680" t="n"/>
      <c r="AL434" s="685" t="n"/>
      <c r="AM434" s="685" t="n"/>
      <c r="AN434" s="683" t="inlineStr">
        <is>
          <t>Date de VISA</t>
        </is>
      </c>
    </row>
    <row r="435" ht="50.55" customHeight="1" s="392">
      <c r="A435" s="672">
        <f>IF(AF435="ENGAGE","✔",IF(AF435="EN COURS D'ENGAGEMENT","◕",IF(AF435="PREENGAGE","◑",IF(AF435="EN COURS DE PREENGAGEMENT","◔",IF(AF435="NON ENGAGE","✖","")))))</f>
        <v/>
      </c>
      <c r="B435" s="673" t="n">
        <v>2026</v>
      </c>
      <c r="C435" s="674" t="inlineStr">
        <is>
          <t>ARRIYADIA</t>
        </is>
      </c>
      <c r="D435" s="674" t="inlineStr">
        <is>
          <t>RECONDUCTION</t>
        </is>
      </c>
      <c r="E435" s="675" t="inlineStr">
        <is>
          <t>CONTRAT</t>
        </is>
      </c>
      <c r="F435" s="675" t="n">
        <v>1</v>
      </c>
      <c r="G435" s="676" t="inlineStr">
        <is>
          <t>La couverture, production, retransmission et diffusion audiovisuelle de toutes les compétitions de VOLLEY BALL – Saison 2026-</t>
        </is>
      </c>
      <c r="H435" s="673" t="inlineStr">
        <is>
          <t>VALIDE</t>
        </is>
      </c>
      <c r="I435" s="675" t="inlineStr">
        <is>
          <t>APPROUVE</t>
        </is>
      </c>
      <c r="J435" s="675" t="inlineStr">
        <is>
          <t>01-SNRT/FRMVB-2026</t>
        </is>
      </c>
      <c r="K435" s="673" t="inlineStr">
        <is>
          <t>NON CONCERNE</t>
        </is>
      </c>
      <c r="L435" s="675" t="inlineStr">
        <is>
          <t>Ordinaire</t>
        </is>
      </c>
      <c r="M435" s="677" t="inlineStr">
        <is>
          <t>FONCTIONNEMENT</t>
        </is>
      </c>
      <c r="N435" s="678" t="inlineStr">
        <is>
          <t>Achats de droits
Achats de droit de sport</t>
        </is>
      </c>
      <c r="O435" s="679" t="n"/>
      <c r="P435" s="680" t="n"/>
      <c r="Q435" s="680" t="n"/>
      <c r="R435" s="675" t="inlineStr">
        <is>
          <t>RECONDUCTION</t>
        </is>
      </c>
      <c r="S435" s="681" t="n"/>
      <c r="T435" s="682" t="n"/>
      <c r="U435" s="683" t="inlineStr">
        <is>
          <t>FRM VEOLLEY BALL</t>
        </is>
      </c>
      <c r="V435" s="675" t="n">
        <v>2026</v>
      </c>
      <c r="W435" s="682" t="n">
        <v>46126</v>
      </c>
      <c r="X435" s="682" t="n"/>
      <c r="Y435" s="682" t="n">
        <v>46127</v>
      </c>
      <c r="Z435" s="679">
        <f>AB435</f>
        <v/>
      </c>
      <c r="AA435" s="680" t="n">
        <v>0</v>
      </c>
      <c r="AB435" s="680">
        <f>AD435</f>
        <v/>
      </c>
      <c r="AC435" s="680" t="n">
        <v>0</v>
      </c>
      <c r="AD435" s="680">
        <f>AE435</f>
        <v/>
      </c>
      <c r="AE435" s="680" t="n">
        <v>848337.5</v>
      </c>
      <c r="AF435" s="684" t="inlineStr">
        <is>
          <t>ENGAGE</t>
        </is>
      </c>
      <c r="AG435" s="683" t="n"/>
      <c r="AH435" s="680" t="n"/>
      <c r="AI435" s="680" t="n"/>
      <c r="AJ435" s="680" t="n"/>
      <c r="AK435" s="680" t="n"/>
      <c r="AL435" s="685" t="n"/>
      <c r="AM435" s="685" t="n"/>
      <c r="AN435" s="683" t="inlineStr">
        <is>
          <t>R.A.S</t>
        </is>
      </c>
    </row>
    <row r="436" ht="35.7" customHeight="1" s="392">
      <c r="A436" s="672">
        <f>IF(AF436="ENGAGE","✔",IF(AF436="EN COURS D'ENGAGEMENT","◕",IF(AF436="PREENGAGE","◑",IF(AF436="EN COURS DE PREENGAGEMENT","◔",IF(AF436="NON ENGAGE","✖","")))))</f>
        <v/>
      </c>
      <c r="B436" s="673" t="n">
        <v>2026</v>
      </c>
      <c r="C436" s="674" t="inlineStr">
        <is>
          <t>ARRIYADIA</t>
        </is>
      </c>
      <c r="D436" s="674" t="inlineStr">
        <is>
          <t>EXCLUSIVITÉ</t>
        </is>
      </c>
      <c r="E436" s="675" t="inlineStr">
        <is>
          <t>CONTRAT</t>
        </is>
      </c>
      <c r="F436" s="675" t="n">
        <v>1</v>
      </c>
      <c r="G436" s="676" t="inlineStr">
        <is>
          <t>Acquisition des droits de diffusion télévisuelle du programme intitulé « FIGHT SPIRIT »</t>
        </is>
      </c>
      <c r="H436" s="673" t="inlineStr">
        <is>
          <t>VALIDE</t>
        </is>
      </c>
      <c r="I436" s="675" t="inlineStr">
        <is>
          <t>APPROUVE</t>
        </is>
      </c>
      <c r="J436" s="675" t="inlineStr">
        <is>
          <t>388 CT/SNRT/2026</t>
        </is>
      </c>
      <c r="K436" s="673" t="inlineStr">
        <is>
          <t>NON CONCERNE</t>
        </is>
      </c>
      <c r="L436" s="675" t="inlineStr">
        <is>
          <t>Ordinaire</t>
        </is>
      </c>
      <c r="M436" s="677" t="inlineStr">
        <is>
          <t>FONCTIONNEMENT</t>
        </is>
      </c>
      <c r="N436" s="678" t="inlineStr">
        <is>
          <t>Achats de droits
Achats de droit de sport</t>
        </is>
      </c>
      <c r="O436" s="679" t="n"/>
      <c r="P436" s="680" t="n"/>
      <c r="Q436" s="680" t="n"/>
      <c r="R436" s="675" t="inlineStr">
        <is>
          <t>BESOIN RECURRENT</t>
        </is>
      </c>
      <c r="S436" s="681" t="n"/>
      <c r="T436" s="682" t="n"/>
      <c r="U436" s="683" t="inlineStr">
        <is>
          <t>ATLAS MEDIA ORGANISATION</t>
        </is>
      </c>
      <c r="V436" s="675" t="n">
        <v>2026</v>
      </c>
      <c r="W436" s="682" t="n">
        <v>46118</v>
      </c>
      <c r="X436" s="682" t="n"/>
      <c r="Y436" s="682" t="n">
        <v>46119</v>
      </c>
      <c r="Z436" s="679" t="n">
        <v>1349674.56</v>
      </c>
      <c r="AA436" s="680" t="n">
        <v>124800</v>
      </c>
      <c r="AB436" s="680">
        <f>Z436</f>
        <v/>
      </c>
      <c r="AC436" s="680">
        <f>AA436</f>
        <v/>
      </c>
      <c r="AD436" s="680">
        <f>AB436</f>
        <v/>
      </c>
      <c r="AE436" s="680">
        <f>AB436</f>
        <v/>
      </c>
      <c r="AF436" s="684" t="inlineStr">
        <is>
          <t>ENGAGE</t>
        </is>
      </c>
      <c r="AG436" s="683" t="n"/>
      <c r="AH436" s="680" t="n"/>
      <c r="AI436" s="680" t="n"/>
      <c r="AJ436" s="680" t="n"/>
      <c r="AK436" s="680" t="n"/>
      <c r="AL436" s="685" t="n"/>
      <c r="AM436" s="685" t="n"/>
      <c r="AN436" s="683" t="inlineStr">
        <is>
          <t>R.A.S</t>
        </is>
      </c>
    </row>
    <row r="437" ht="35.7" customHeight="1" s="392">
      <c r="A437" s="672">
        <f>IF(AF437="ENGAGE","✔",IF(AF437="EN COURS D'ENGAGEMENT","◕",IF(AF437="PREENGAGE","◑",IF(AF437="EN COURS DE PREENGAGEMENT","◔",IF(AF437="NON ENGAGE","✖","")))))</f>
        <v/>
      </c>
      <c r="B437" s="673" t="n">
        <v>2026</v>
      </c>
      <c r="C437" s="674" t="inlineStr">
        <is>
          <t>ARRIYADIA</t>
        </is>
      </c>
      <c r="D437" s="674" t="inlineStr">
        <is>
          <t>EXCLUSIVITÉ</t>
        </is>
      </c>
      <c r="E437" s="675" t="inlineStr">
        <is>
          <t>CONTRAT</t>
        </is>
      </c>
      <c r="F437" s="675" t="n">
        <v>1</v>
      </c>
      <c r="G437" s="676" t="inlineStr">
        <is>
          <t>Acquisition des droits de diffusion télévisuelle de 90 matchs du programme intitulé « OLYMPIC SOCCER FIVE »</t>
        </is>
      </c>
      <c r="H437" s="673" t="inlineStr">
        <is>
          <t>VALIDE</t>
        </is>
      </c>
      <c r="I437" s="675" t="inlineStr">
        <is>
          <t>APPROUVE</t>
        </is>
      </c>
      <c r="J437" s="675" t="inlineStr">
        <is>
          <t>387 CT/SNRT/2026</t>
        </is>
      </c>
      <c r="K437" s="673" t="inlineStr">
        <is>
          <t>NON CONCERNE</t>
        </is>
      </c>
      <c r="L437" s="675" t="inlineStr">
        <is>
          <t>Ordinaire</t>
        </is>
      </c>
      <c r="M437" s="677" t="inlineStr">
        <is>
          <t>FONCTIONNEMENT</t>
        </is>
      </c>
      <c r="N437" s="678" t="inlineStr">
        <is>
          <t>Achats de droits
Achats de droit de sport</t>
        </is>
      </c>
      <c r="O437" s="679" t="n"/>
      <c r="P437" s="680" t="n"/>
      <c r="Q437" s="680" t="n"/>
      <c r="R437" s="675" t="inlineStr">
        <is>
          <t>BESOIN RECURRENT</t>
        </is>
      </c>
      <c r="S437" s="681" t="n"/>
      <c r="T437" s="682" t="n"/>
      <c r="U437" s="683" t="inlineStr">
        <is>
          <t>MABC</t>
        </is>
      </c>
      <c r="V437" s="675" t="n">
        <v>2026</v>
      </c>
      <c r="W437" s="682" t="n">
        <v>46118</v>
      </c>
      <c r="X437" s="682" t="n"/>
      <c r="Y437" s="682" t="n">
        <v>46119</v>
      </c>
      <c r="Z437" s="679" t="n">
        <v>2335975.2</v>
      </c>
      <c r="AA437" s="680" t="n">
        <v>216000</v>
      </c>
      <c r="AB437" s="680">
        <f>+Z437</f>
        <v/>
      </c>
      <c r="AC437" s="680">
        <f>+AA437</f>
        <v/>
      </c>
      <c r="AD437" s="680">
        <f>AB437</f>
        <v/>
      </c>
      <c r="AE437" s="680">
        <f>AD437</f>
        <v/>
      </c>
      <c r="AF437" s="684" t="inlineStr">
        <is>
          <t>ENGAGE</t>
        </is>
      </c>
      <c r="AG437" s="683" t="n"/>
      <c r="AH437" s="680" t="n"/>
      <c r="AI437" s="680" t="n"/>
      <c r="AJ437" s="680" t="n"/>
      <c r="AK437" s="680" t="n"/>
      <c r="AL437" s="685" t="n"/>
      <c r="AM437" s="685" t="n"/>
      <c r="AN437" s="683" t="inlineStr">
        <is>
          <t>R.A.S</t>
        </is>
      </c>
    </row>
    <row r="438" ht="50.55" customHeight="1" s="392">
      <c r="A438" s="672">
        <f>IF(AF438="ENGAGE","✔",IF(AF438="EN COURS D'ENGAGEMENT","◕",IF(AF438="PREENGAGE","◑",IF(AF438="EN COURS DE PREENGAGEMENT","◔",IF(AF438="NON ENGAGE","✖","")))))</f>
        <v/>
      </c>
      <c r="B438" s="673" t="n">
        <v>2026</v>
      </c>
      <c r="C438" s="674" t="inlineStr">
        <is>
          <t>ARRIYADIA</t>
        </is>
      </c>
      <c r="D438" s="674" t="inlineStr">
        <is>
          <t>EXCLUSIVITÉ</t>
        </is>
      </c>
      <c r="E438" s="675" t="inlineStr">
        <is>
          <t>CONTRAT</t>
        </is>
      </c>
      <c r="F438" s="675" t="n">
        <v>1</v>
      </c>
      <c r="G438" s="676" t="inlineStr">
        <is>
          <t>La couverture, la transmission et la transmission et la diffusion audiovisuelle du tournoi de football international 7 Cup de Marrakech qui se tiendra du 07/05 au 10/05/2026</t>
        </is>
      </c>
      <c r="H438" s="673" t="inlineStr">
        <is>
          <t>VALIDE</t>
        </is>
      </c>
      <c r="I438" s="675" t="inlineStr">
        <is>
          <t>APPROUVE</t>
        </is>
      </c>
      <c r="J438" s="675" t="inlineStr">
        <is>
          <t>389 CT/SNRT/2026</t>
        </is>
      </c>
      <c r="K438" s="673" t="inlineStr">
        <is>
          <t>NON CONCERNE</t>
        </is>
      </c>
      <c r="L438" s="675" t="inlineStr">
        <is>
          <t>Ordinaire</t>
        </is>
      </c>
      <c r="M438" s="677" t="inlineStr">
        <is>
          <t>FONCTIONNEMENT</t>
        </is>
      </c>
      <c r="N438" s="678" t="inlineStr">
        <is>
          <t>Achats de droits
Achats de droit de sport</t>
        </is>
      </c>
      <c r="O438" s="679" t="n"/>
      <c r="P438" s="680" t="n"/>
      <c r="Q438" s="680" t="n"/>
      <c r="R438" s="675" t="inlineStr">
        <is>
          <t>BESOIN RECURRENT</t>
        </is>
      </c>
      <c r="S438" s="681" t="n"/>
      <c r="T438" s="682" t="n"/>
      <c r="U438" s="683" t="inlineStr">
        <is>
          <t>N LAKAY</t>
        </is>
      </c>
      <c r="V438" s="675" t="n">
        <v>2026</v>
      </c>
      <c r="W438" s="682" t="n">
        <v>46118</v>
      </c>
      <c r="X438" s="682" t="n"/>
      <c r="Y438" s="682" t="n">
        <v>46119</v>
      </c>
      <c r="Z438" s="679" t="n">
        <v>150000</v>
      </c>
      <c r="AA438" s="680" t="n">
        <v>0</v>
      </c>
      <c r="AB438" s="680">
        <f>Z438</f>
        <v/>
      </c>
      <c r="AC438" s="680" t="n">
        <v>0</v>
      </c>
      <c r="AD438" s="680" t="n">
        <v>125000</v>
      </c>
      <c r="AE438" s="680">
        <f>AB438</f>
        <v/>
      </c>
      <c r="AF438" s="684" t="inlineStr">
        <is>
          <t>ENGAGE</t>
        </is>
      </c>
      <c r="AG438" s="683" t="n"/>
      <c r="AH438" s="680" t="n"/>
      <c r="AI438" s="680" t="n"/>
      <c r="AJ438" s="680" t="n"/>
      <c r="AK438" s="680" t="n"/>
      <c r="AL438" s="685" t="n"/>
      <c r="AM438" s="685" t="n"/>
      <c r="AN438" s="683" t="inlineStr">
        <is>
          <t>R.A.S</t>
        </is>
      </c>
    </row>
    <row r="439" ht="95.10000000000001" customHeight="1" s="392">
      <c r="A439" s="672">
        <f>IF(AF439="ENGAGE","✔",IF(AF439="EN COURS D'ENGAGEMENT","◕",IF(AF439="PREENGAGE","◑",IF(AF439="EN COURS DE PREENGAGEMENT","◔",IF(AF439="NON ENGAGE","✖","")))))</f>
        <v/>
      </c>
      <c r="B439" s="673" t="n">
        <v>2025</v>
      </c>
      <c r="C439" s="674" t="inlineStr">
        <is>
          <t>TDF -SITES</t>
        </is>
      </c>
      <c r="D439" s="674" t="inlineStr">
        <is>
          <t>102 AOM/SNRT</t>
        </is>
      </c>
      <c r="E439" s="675" t="inlineStr">
        <is>
          <t>AOO-M</t>
        </is>
      </c>
      <c r="F439" s="675" t="n">
        <v>1</v>
      </c>
      <c r="G439" s="676" t="inlineStr">
        <is>
          <t>La fourniture ,l'installation et la mise en service de -Une station de diffusion radio FM composée d'émetteurs de puissance 1KW en mode (5+1) et un combiner RF avec ses accessoires -Deux stations de diffusions radio FM composée d'émetteurs de puissance 500 W en mode (5+1) et un RF  avec leurs accessoires</t>
        </is>
      </c>
      <c r="H439" s="673" t="inlineStr">
        <is>
          <t>VALIDE</t>
        </is>
      </c>
      <c r="I439" s="675" t="inlineStr">
        <is>
          <t>APPROUVE</t>
        </is>
      </c>
      <c r="J439" s="675" t="inlineStr">
        <is>
          <t>10M/2026</t>
        </is>
      </c>
      <c r="K439" s="673" t="inlineStr">
        <is>
          <t>GENERAL</t>
        </is>
      </c>
      <c r="L439" s="675" t="inlineStr">
        <is>
          <t>REPORT BUDGET ANNEE ANTERIEURE</t>
        </is>
      </c>
      <c r="M439" s="677" t="inlineStr">
        <is>
          <t>INVESTISSEMENT</t>
        </is>
      </c>
      <c r="N439" s="678" t="inlineStr">
        <is>
          <t>Équipements de télédiffusion</t>
        </is>
      </c>
      <c r="O439" s="679">
        <f>P439*1.2</f>
        <v/>
      </c>
      <c r="P439" s="680" t="n">
        <v>2556000</v>
      </c>
      <c r="Q439" s="680">
        <f>P439/1.2</f>
        <v/>
      </c>
      <c r="R439" s="675" t="inlineStr">
        <is>
          <t>NOUVEAU BESOIN</t>
        </is>
      </c>
      <c r="S439" s="681" t="n"/>
      <c r="T439" s="682" t="n"/>
      <c r="U439" s="683" t="inlineStr">
        <is>
          <t>RFE BROADCAST</t>
        </is>
      </c>
      <c r="V439" s="675" t="n">
        <v>2026</v>
      </c>
      <c r="W439" s="682" t="n">
        <v>46120</v>
      </c>
      <c r="X439" s="682" t="n"/>
      <c r="Y439" s="682" t="n">
        <v>46121</v>
      </c>
      <c r="Z439" s="679">
        <f>AB439/1.2</f>
        <v/>
      </c>
      <c r="AA439" s="680">
        <f>AC439/1.2</f>
        <v/>
      </c>
      <c r="AB439" s="680" t="n">
        <v>2373651.54</v>
      </c>
      <c r="AC439" s="680" t="n">
        <v>221400</v>
      </c>
      <c r="AD439" s="680">
        <f>Z439</f>
        <v/>
      </c>
      <c r="AE439" s="680">
        <f>AB439</f>
        <v/>
      </c>
      <c r="AF439" s="684" t="inlineStr">
        <is>
          <t>ENGAGE</t>
        </is>
      </c>
      <c r="AG439" s="683" t="n"/>
      <c r="AH439" s="680" t="n"/>
      <c r="AI439" s="680" t="n"/>
      <c r="AJ439" s="680" t="n"/>
      <c r="AK439" s="680" t="n"/>
      <c r="AL439" s="685" t="n"/>
      <c r="AM439" s="685" t="n"/>
      <c r="AN439" s="683" t="inlineStr">
        <is>
          <t>R.A.S</t>
        </is>
      </c>
    </row>
    <row r="440" ht="35.7" customHeight="1" s="392">
      <c r="A440" s="672">
        <f>IF(AF440="ENGAGE","✔",IF(AF440="EN COURS D'ENGAGEMENT","◕",IF(AF440="PREENGAGE","◑",IF(AF440="EN COURS DE PREENGAGEMENT","◔",IF(AF440="NON ENGAGE","✖","")))))</f>
        <v/>
      </c>
      <c r="B440" s="673" t="n">
        <v>2026</v>
      </c>
      <c r="C440" s="674" t="inlineStr">
        <is>
          <t>TDF -SITES</t>
        </is>
      </c>
      <c r="D440" s="674" t="inlineStr">
        <is>
          <t>-</t>
        </is>
      </c>
      <c r="E440" s="675" t="inlineStr">
        <is>
          <t>BCL</t>
        </is>
      </c>
      <c r="F440" s="675" t="n">
        <v>1</v>
      </c>
      <c r="G440" s="676" t="inlineStr">
        <is>
          <t>Entretien et maintenance du poste de livraison et de transformation MT/BT au centre de diffusion SNRT d’AIN CHOCK</t>
        </is>
      </c>
      <c r="H440" s="673" t="inlineStr">
        <is>
          <t>VALIDE</t>
        </is>
      </c>
      <c r="I440" s="675" t="inlineStr">
        <is>
          <t>APPROUVE</t>
        </is>
      </c>
      <c r="J440" s="675" t="inlineStr">
        <is>
          <t xml:space="preserve">260000020 CL </t>
        </is>
      </c>
      <c r="K440" s="673" t="inlineStr">
        <is>
          <t>NON CONCERNE</t>
        </is>
      </c>
      <c r="L440" s="675" t="inlineStr">
        <is>
          <t>Ordinaire</t>
        </is>
      </c>
      <c r="M440" s="677" t="inlineStr">
        <is>
          <t>FONCTIONNEMENT</t>
        </is>
      </c>
      <c r="N440" s="678" t="inlineStr">
        <is>
          <t>Entretien, réparation et assurance</t>
        </is>
      </c>
      <c r="O440" s="679" t="n"/>
      <c r="P440" s="680" t="n"/>
      <c r="Q440" s="680" t="n"/>
      <c r="R440" s="675" t="inlineStr">
        <is>
          <t>BESOIN RECURRENT</t>
        </is>
      </c>
      <c r="S440" s="681" t="n"/>
      <c r="T440" s="682" t="n"/>
      <c r="U440" s="683" t="inlineStr">
        <is>
          <t>SOGENELEC</t>
        </is>
      </c>
      <c r="V440" s="675" t="n">
        <v>2026</v>
      </c>
      <c r="W440" s="682" t="n">
        <v>46106</v>
      </c>
      <c r="X440" s="682" t="n"/>
      <c r="Y440" s="682" t="n">
        <v>46133</v>
      </c>
      <c r="Z440" s="679" t="n">
        <v>89166.67</v>
      </c>
      <c r="AA440" s="680" t="n">
        <v>0</v>
      </c>
      <c r="AB440" s="680" t="n">
        <v>107000</v>
      </c>
      <c r="AC440" s="680" t="n">
        <v>0</v>
      </c>
      <c r="AD440" s="680">
        <f>Z440</f>
        <v/>
      </c>
      <c r="AE440" s="680">
        <f>AB440</f>
        <v/>
      </c>
      <c r="AF440" s="684" t="inlineStr">
        <is>
          <t>ENGAGE</t>
        </is>
      </c>
      <c r="AG440" s="683" t="n"/>
      <c r="AH440" s="680" t="n"/>
      <c r="AI440" s="680" t="n"/>
      <c r="AJ440" s="680" t="n"/>
      <c r="AK440" s="680" t="n"/>
      <c r="AL440" s="685" t="n"/>
      <c r="AM440" s="685" t="n"/>
      <c r="AN440" s="683" t="n"/>
    </row>
    <row r="441" ht="35.7" customHeight="1" s="392">
      <c r="A441" s="672">
        <f>IF(AF441="ENGAGE","✔",IF(AF441="EN COURS D'ENGAGEMENT","◕",IF(AF441="PREENGAGE","◑",IF(AF441="EN COURS DE PREENGAGEMENT","◔",IF(AF441="NON ENGAGE","✖","")))))</f>
        <v/>
      </c>
      <c r="B441" s="673" t="n">
        <v>2026</v>
      </c>
      <c r="C441" s="674" t="inlineStr">
        <is>
          <t>TDF -SITES</t>
        </is>
      </c>
      <c r="D441" s="674" t="inlineStr">
        <is>
          <t>-</t>
        </is>
      </c>
      <c r="E441" s="675" t="inlineStr">
        <is>
          <t>BCL</t>
        </is>
      </c>
      <c r="F441" s="675" t="n">
        <v>1</v>
      </c>
      <c r="G441" s="676" t="inlineStr">
        <is>
          <t>Réparation et Maintenance du groupe électrogène au centre SNRT de DAKHLA</t>
        </is>
      </c>
      <c r="H441" s="673" t="inlineStr">
        <is>
          <t>VALIDE</t>
        </is>
      </c>
      <c r="I441" s="675" t="inlineStr">
        <is>
          <t>APPROUVE</t>
        </is>
      </c>
      <c r="J441" s="675" t="inlineStr">
        <is>
          <t xml:space="preserve">260000023 CL </t>
        </is>
      </c>
      <c r="K441" s="673" t="inlineStr">
        <is>
          <t>NON CONCERNE</t>
        </is>
      </c>
      <c r="L441" s="675" t="inlineStr">
        <is>
          <t>Ordinaire</t>
        </is>
      </c>
      <c r="M441" s="677" t="inlineStr">
        <is>
          <t>FONCTIONNEMENT</t>
        </is>
      </c>
      <c r="N441" s="678" t="inlineStr">
        <is>
          <t>Entretien, réparation et assurance</t>
        </is>
      </c>
      <c r="O441" s="679" t="n"/>
      <c r="P441" s="680" t="n"/>
      <c r="Q441" s="680" t="n"/>
      <c r="R441" s="675" t="inlineStr">
        <is>
          <t>BESOIN RECURRENT</t>
        </is>
      </c>
      <c r="S441" s="681" t="n"/>
      <c r="T441" s="682" t="n"/>
      <c r="U441" s="683" t="inlineStr">
        <is>
          <t>BEHWY SARL</t>
        </is>
      </c>
      <c r="V441" s="675" t="n">
        <v>2026</v>
      </c>
      <c r="W441" s="682" t="n">
        <v>46106</v>
      </c>
      <c r="X441" s="682" t="n"/>
      <c r="Y441" s="682" t="n">
        <v>46133</v>
      </c>
      <c r="Z441" s="679" t="n">
        <v>31500</v>
      </c>
      <c r="AA441" s="680" t="n">
        <v>0</v>
      </c>
      <c r="AB441" s="680" t="n">
        <v>37800</v>
      </c>
      <c r="AC441" s="680" t="n">
        <v>0</v>
      </c>
      <c r="AD441" s="680">
        <f>Z441</f>
        <v/>
      </c>
      <c r="AE441" s="680">
        <f>AB441</f>
        <v/>
      </c>
      <c r="AF441" s="684" t="inlineStr">
        <is>
          <t>ENGAGE</t>
        </is>
      </c>
      <c r="AG441" s="683" t="n"/>
      <c r="AH441" s="680" t="n"/>
      <c r="AI441" s="680" t="n"/>
      <c r="AJ441" s="680" t="n"/>
      <c r="AK441" s="680" t="n"/>
      <c r="AL441" s="685" t="n"/>
      <c r="AM441" s="685" t="n"/>
      <c r="AN441" s="683" t="n"/>
    </row>
    <row r="442" ht="50.55" customHeight="1" s="392">
      <c r="A442" s="672">
        <f>IF(AF442="ENGAGE","✔",IF(AF442="EN COURS D'ENGAGEMENT","◕",IF(AF442="PREENGAGE","◑",IF(AF442="EN COURS DE PREENGAGEMENT","◔",IF(AF442="NON ENGAGE","✖","")))))</f>
        <v/>
      </c>
      <c r="B442" s="673" t="n">
        <v>2026</v>
      </c>
      <c r="C442" s="674" t="inlineStr">
        <is>
          <t>DINFOTV</t>
        </is>
      </c>
      <c r="D442" s="674" t="inlineStr">
        <is>
          <t>PV N° : 01NV2026- DITV</t>
        </is>
      </c>
      <c r="E442" s="675" t="inlineStr">
        <is>
          <t>CONTRAT</t>
        </is>
      </c>
      <c r="F442" s="675" t="n">
        <v>1</v>
      </c>
      <c r="G442" s="676" t="inlineStr">
        <is>
          <t>MOHAMED-MOURAD KHETTA  -  Journaliste sportif chargé de réaliser des couvertures et reportages liés au sport et à l’actualité diverse au journal télévisé</t>
        </is>
      </c>
      <c r="H442" s="673" t="inlineStr">
        <is>
          <t>VALIDE</t>
        </is>
      </c>
      <c r="I442" s="675" t="inlineStr">
        <is>
          <t>APPROUVE</t>
        </is>
      </c>
      <c r="J442" s="693" t="n"/>
      <c r="K442" s="673" t="inlineStr">
        <is>
          <t>NON CONCERNE</t>
        </is>
      </c>
      <c r="L442" s="675" t="inlineStr">
        <is>
          <t>Ordinaire</t>
        </is>
      </c>
      <c r="M442" s="677" t="inlineStr">
        <is>
          <t>FONCTIONNEMENT</t>
        </is>
      </c>
      <c r="N442" s="678" t="inlineStr">
        <is>
          <t>Prestations de service
Achat prestations de services locales - personnes physiques</t>
        </is>
      </c>
      <c r="O442" s="679" t="n"/>
      <c r="P442" s="680" t="n"/>
      <c r="Q442" s="680" t="n"/>
      <c r="R442" s="675" t="inlineStr">
        <is>
          <t>NOUVEAU BESOIN</t>
        </is>
      </c>
      <c r="S442" s="681" t="n"/>
      <c r="T442" s="682" t="n"/>
      <c r="U442" s="683" t="inlineStr">
        <is>
          <t>MOHAMED-MOURAD KHETTA</t>
        </is>
      </c>
      <c r="V442" s="675" t="n"/>
      <c r="W442" s="682" t="n">
        <v>46082</v>
      </c>
      <c r="X442" s="682" t="n"/>
      <c r="Y442" s="682" t="n">
        <v>46083</v>
      </c>
      <c r="Z442" s="679" t="n">
        <v>130000</v>
      </c>
      <c r="AA442" s="680" t="n">
        <v>0</v>
      </c>
      <c r="AB442" s="680">
        <f>Z442</f>
        <v/>
      </c>
      <c r="AC442" s="680" t="n">
        <v>0</v>
      </c>
      <c r="AD442" s="680">
        <f>AB442</f>
        <v/>
      </c>
      <c r="AE442" s="680">
        <f>AB442</f>
        <v/>
      </c>
      <c r="AF442" s="684" t="inlineStr">
        <is>
          <t>ENGAGE</t>
        </is>
      </c>
      <c r="AG442" s="683" t="n"/>
      <c r="AH442" s="680" t="n"/>
      <c r="AI442" s="680" t="n"/>
      <c r="AJ442" s="680" t="n"/>
      <c r="AK442" s="680" t="n"/>
      <c r="AL442" s="685" t="n"/>
      <c r="AM442" s="685" t="n"/>
      <c r="AN442" s="683" t="inlineStr">
        <is>
          <t>R.A.S</t>
        </is>
      </c>
    </row>
    <row r="443" ht="50.55" customHeight="1" s="392">
      <c r="A443" s="672">
        <f>IF(AF443="ENGAGE","✔",IF(AF443="EN COURS D'ENGAGEMENT","◕",IF(AF443="PREENGAGE","◑",IF(AF443="EN COURS DE PREENGAGEMENT","◔",IF(AF443="NON ENGAGE","✖","")))))</f>
        <v/>
      </c>
      <c r="B443" s="673" t="n">
        <v>2026</v>
      </c>
      <c r="C443" s="674" t="inlineStr">
        <is>
          <t>DINFOTV</t>
        </is>
      </c>
      <c r="D443" s="674" t="inlineStr">
        <is>
          <t>PV N° : 01NV2026- DITV</t>
        </is>
      </c>
      <c r="E443" s="675" t="inlineStr">
        <is>
          <t>CONTRAT</t>
        </is>
      </c>
      <c r="F443" s="675" t="n">
        <v>1</v>
      </c>
      <c r="G443" s="676" t="inlineStr">
        <is>
          <t>SAFAE NOURY  -  Journaliste sportif chargé de réaliser des couvertures et reportages liés au sport et à l’actualité diverse au journal télévisé</t>
        </is>
      </c>
      <c r="H443" s="673" t="inlineStr">
        <is>
          <t>VALIDE</t>
        </is>
      </c>
      <c r="I443" s="675" t="inlineStr">
        <is>
          <t>APPROUVE</t>
        </is>
      </c>
      <c r="J443" s="693" t="n"/>
      <c r="K443" s="673" t="inlineStr">
        <is>
          <t>NON CONCERNE</t>
        </is>
      </c>
      <c r="L443" s="675" t="inlineStr">
        <is>
          <t>Ordinaire</t>
        </is>
      </c>
      <c r="M443" s="677" t="inlineStr">
        <is>
          <t>FONCTIONNEMENT</t>
        </is>
      </c>
      <c r="N443" s="678" t="inlineStr">
        <is>
          <t>Prestations de service
Achat prestations de services locales - personnes physiques</t>
        </is>
      </c>
      <c r="O443" s="679" t="n"/>
      <c r="P443" s="680" t="n"/>
      <c r="Q443" s="680" t="n"/>
      <c r="R443" s="675" t="inlineStr">
        <is>
          <t>NOUVEAU BESOIN</t>
        </is>
      </c>
      <c r="S443" s="681" t="n"/>
      <c r="T443" s="682" t="n"/>
      <c r="U443" s="683" t="inlineStr">
        <is>
          <t>SAFAE NOURY</t>
        </is>
      </c>
      <c r="V443" s="675" t="n"/>
      <c r="W443" s="682" t="n">
        <v>46082</v>
      </c>
      <c r="X443" s="682" t="n"/>
      <c r="Y443" s="682" t="n">
        <v>46083</v>
      </c>
      <c r="Z443" s="679" t="n">
        <v>130000</v>
      </c>
      <c r="AA443" s="680" t="n">
        <v>0</v>
      </c>
      <c r="AB443" s="680">
        <f>Z443</f>
        <v/>
      </c>
      <c r="AC443" s="680" t="n">
        <v>0</v>
      </c>
      <c r="AD443" s="680">
        <f>AB443</f>
        <v/>
      </c>
      <c r="AE443" s="680">
        <f>AB443</f>
        <v/>
      </c>
      <c r="AF443" s="684" t="inlineStr">
        <is>
          <t>ENGAGE</t>
        </is>
      </c>
      <c r="AG443" s="683" t="n"/>
      <c r="AH443" s="680" t="n"/>
      <c r="AI443" s="680" t="n"/>
      <c r="AJ443" s="680" t="n"/>
      <c r="AK443" s="680" t="n"/>
      <c r="AL443" s="685" t="n"/>
      <c r="AM443" s="685" t="n"/>
      <c r="AN443" s="683" t="inlineStr">
        <is>
          <t>R.A.S</t>
        </is>
      </c>
    </row>
    <row r="444" ht="50.55" customHeight="1" s="392">
      <c r="A444" s="672">
        <f>IF(AF444="ENGAGE","✔",IF(AF444="EN COURS D'ENGAGEMENT","◕",IF(AF444="PREENGAGE","◑",IF(AF444="EN COURS DE PREENGAGEMENT","◔",IF(AF444="NON ENGAGE","✖","")))))</f>
        <v/>
      </c>
      <c r="B444" s="673" t="n">
        <v>2026</v>
      </c>
      <c r="C444" s="674" t="inlineStr">
        <is>
          <t>DINFOTV</t>
        </is>
      </c>
      <c r="D444" s="674" t="inlineStr">
        <is>
          <t>PV N° : 01NV2026- DITV</t>
        </is>
      </c>
      <c r="E444" s="675" t="inlineStr">
        <is>
          <t>CONTRAT</t>
        </is>
      </c>
      <c r="F444" s="675" t="n">
        <v>1</v>
      </c>
      <c r="G444" s="676" t="inlineStr">
        <is>
          <t>OBAID HARRAS  -  Journaliste sportif chargé de réaliser des couvertures et reportages liés au sport et à l’actualité diverse au journal télévisé</t>
        </is>
      </c>
      <c r="H444" s="673" t="inlineStr">
        <is>
          <t>VALIDE</t>
        </is>
      </c>
      <c r="I444" s="675" t="inlineStr">
        <is>
          <t>APPROUVE</t>
        </is>
      </c>
      <c r="J444" s="693" t="n"/>
      <c r="K444" s="673" t="inlineStr">
        <is>
          <t>NON CONCERNE</t>
        </is>
      </c>
      <c r="L444" s="675" t="inlineStr">
        <is>
          <t>Ordinaire</t>
        </is>
      </c>
      <c r="M444" s="677" t="inlineStr">
        <is>
          <t>FONCTIONNEMENT</t>
        </is>
      </c>
      <c r="N444" s="678" t="inlineStr">
        <is>
          <t>Prestations de service
Achat prestations de services locales - personnes physiques</t>
        </is>
      </c>
      <c r="O444" s="679" t="n"/>
      <c r="P444" s="680" t="n"/>
      <c r="Q444" s="680" t="n"/>
      <c r="R444" s="675" t="inlineStr">
        <is>
          <t>NOUVEAU BESOIN</t>
        </is>
      </c>
      <c r="S444" s="681" t="n"/>
      <c r="T444" s="682" t="n"/>
      <c r="U444" s="683" t="inlineStr">
        <is>
          <t>OBAID HARRAS</t>
        </is>
      </c>
      <c r="V444" s="675" t="n"/>
      <c r="W444" s="682" t="n">
        <v>46082</v>
      </c>
      <c r="X444" s="682" t="n"/>
      <c r="Y444" s="682" t="n">
        <v>46083</v>
      </c>
      <c r="Z444" s="679" t="n">
        <v>130000</v>
      </c>
      <c r="AA444" s="680" t="n">
        <v>0</v>
      </c>
      <c r="AB444" s="680">
        <f>Z444</f>
        <v/>
      </c>
      <c r="AC444" s="680" t="n">
        <v>0</v>
      </c>
      <c r="AD444" s="680">
        <f>AB444</f>
        <v/>
      </c>
      <c r="AE444" s="680">
        <f>AB444</f>
        <v/>
      </c>
      <c r="AF444" s="684" t="inlineStr">
        <is>
          <t>ENGAGE</t>
        </is>
      </c>
      <c r="AG444" s="683" t="n"/>
      <c r="AH444" s="680" t="n"/>
      <c r="AI444" s="680" t="n"/>
      <c r="AJ444" s="680" t="n"/>
      <c r="AK444" s="680" t="n"/>
      <c r="AL444" s="685" t="n"/>
      <c r="AM444" s="685" t="n"/>
      <c r="AN444" s="683" t="inlineStr">
        <is>
          <t>R.A.S</t>
        </is>
      </c>
    </row>
    <row r="445" ht="50.55" customHeight="1" s="392">
      <c r="A445" s="672">
        <f>IF(AF445="ENGAGE","✔",IF(AF445="EN COURS D'ENGAGEMENT","◕",IF(AF445="PREENGAGE","◑",IF(AF445="EN COURS DE PREENGAGEMENT","◔",IF(AF445="NON ENGAGE","✖","")))))</f>
        <v/>
      </c>
      <c r="B445" s="673" t="n">
        <v>2026</v>
      </c>
      <c r="C445" s="674" t="inlineStr">
        <is>
          <t>DTSI</t>
        </is>
      </c>
      <c r="D445" s="674" t="inlineStr">
        <is>
          <t>28 AOM/SNRT</t>
        </is>
      </c>
      <c r="E445" s="675" t="inlineStr">
        <is>
          <t>AOO-M</t>
        </is>
      </c>
      <c r="F445" s="675" t="n">
        <v>1</v>
      </c>
      <c r="G445" s="676" t="inlineStr">
        <is>
          <t>La fourniture et la mise en service d’infrastructures informatiques haute performance pour les applications d’intelligences artificielle pour les besoins de la SNRT</t>
        </is>
      </c>
      <c r="H445" s="673" t="inlineStr">
        <is>
          <t>VALIDE</t>
        </is>
      </c>
      <c r="I445" s="675" t="inlineStr">
        <is>
          <t>APPROUVE</t>
        </is>
      </c>
      <c r="J445" s="693" t="n"/>
      <c r="K445" s="673" t="inlineStr">
        <is>
          <t>GENERAL</t>
        </is>
      </c>
      <c r="L445" s="675" t="inlineStr">
        <is>
          <t>Ordinaire</t>
        </is>
      </c>
      <c r="M445" s="677" t="inlineStr">
        <is>
          <t>INVESTISSEMENT</t>
        </is>
      </c>
      <c r="N445" s="678" t="inlineStr">
        <is>
          <t>Matériel informatiques</t>
        </is>
      </c>
      <c r="O445" s="679">
        <f>P445*1.2</f>
        <v/>
      </c>
      <c r="P445" s="680" t="n">
        <v>746316</v>
      </c>
      <c r="Q445" s="680">
        <f>P445/1.2</f>
        <v/>
      </c>
      <c r="R445" s="675" t="inlineStr">
        <is>
          <t>BESOIN RECURRENT</t>
        </is>
      </c>
      <c r="S445" s="681" t="n"/>
      <c r="T445" s="682" t="n"/>
      <c r="U445" s="683" t="n"/>
      <c r="V445" s="675" t="n"/>
      <c r="W445" s="682" t="n">
        <v>46128</v>
      </c>
      <c r="X445" s="682" t="n">
        <v>46126</v>
      </c>
      <c r="Y445" s="682" t="n">
        <v>46212</v>
      </c>
      <c r="Z445" s="679" t="n"/>
      <c r="AA445" s="680" t="n"/>
      <c r="AB445" s="680" t="n">
        <v>641388</v>
      </c>
      <c r="AC445" s="680" t="n">
        <v>0</v>
      </c>
      <c r="AD445" s="680" t="n">
        <v>534490</v>
      </c>
      <c r="AE445" s="680">
        <f>AB445</f>
        <v/>
      </c>
      <c r="AF445" s="684" t="inlineStr">
        <is>
          <t>ENGAGE</t>
        </is>
      </c>
      <c r="AG445" s="683" t="n"/>
      <c r="AH445" s="680" t="n"/>
      <c r="AI445" s="680" t="n"/>
      <c r="AJ445" s="680" t="n"/>
      <c r="AK445" s="680" t="n"/>
      <c r="AL445" s="685" t="n"/>
      <c r="AM445" s="685" t="n"/>
      <c r="AN445" s="683" t="inlineStr">
        <is>
          <t>Suite a AO 15 = INFRUCTUEUX</t>
        </is>
      </c>
    </row>
    <row r="446" ht="32" customHeight="1" s="392">
      <c r="A446" s="672">
        <f>IF(AF446="ENGAGE","✔",IF(AF446="EN COURS D'ENGAGEMENT","◕",IF(AF446="PREENGAGE","◑",IF(AF446="EN COURS DE PREENGAGEMENT","◔",IF(AF446="NON ENGAGE","✖","")))))</f>
        <v/>
      </c>
      <c r="B446" s="673" t="n">
        <v>2026</v>
      </c>
      <c r="C446" s="674" t="inlineStr">
        <is>
          <t>DPMG</t>
        </is>
      </c>
      <c r="D446" s="674" t="inlineStr">
        <is>
          <t>RECONDUCTIBLE</t>
        </is>
      </c>
      <c r="E446" s="675" t="inlineStr">
        <is>
          <t>CONTRAT</t>
        </is>
      </c>
      <c r="F446" s="675" t="n">
        <v>1</v>
      </c>
      <c r="G446" s="676" t="inlineStr">
        <is>
          <t xml:space="preserve">Location d’immeuble </t>
        </is>
      </c>
      <c r="H446" s="673" t="inlineStr">
        <is>
          <t>VALIDE</t>
        </is>
      </c>
      <c r="I446" s="675" t="inlineStr">
        <is>
          <t>APPROUVE</t>
        </is>
      </c>
      <c r="J446" s="675" t="n">
        <v>20000459</v>
      </c>
      <c r="K446" s="673" t="inlineStr">
        <is>
          <t>NON CONCERNE</t>
        </is>
      </c>
      <c r="L446" s="675" t="inlineStr">
        <is>
          <t>Ordinaire</t>
        </is>
      </c>
      <c r="M446" s="677" t="inlineStr">
        <is>
          <t>FONCTIONNEMENT</t>
        </is>
      </c>
      <c r="N446" s="678" t="inlineStr">
        <is>
          <t>Locations</t>
        </is>
      </c>
      <c r="O446" s="679" t="n"/>
      <c r="P446" s="680" t="n"/>
      <c r="Q446" s="680" t="n"/>
      <c r="R446" s="675" t="inlineStr">
        <is>
          <t>RECONDUCTIBLE</t>
        </is>
      </c>
      <c r="S446" s="681" t="n"/>
      <c r="T446" s="682" t="n"/>
      <c r="U446" s="683" t="inlineStr">
        <is>
          <t>BENBAREK SALAH</t>
        </is>
      </c>
      <c r="V446" s="675" t="n"/>
      <c r="W446" s="682" t="n"/>
      <c r="X446" s="682" t="n"/>
      <c r="Y446" s="682" t="n"/>
      <c r="Z446" s="679">
        <f>AD446</f>
        <v/>
      </c>
      <c r="AA446" s="680" t="n">
        <v>0</v>
      </c>
      <c r="AB446" s="680">
        <f>AD446</f>
        <v/>
      </c>
      <c r="AC446" s="680" t="n">
        <v>0</v>
      </c>
      <c r="AD446" s="680">
        <f>AE446</f>
        <v/>
      </c>
      <c r="AE446" s="680" t="n">
        <v>622864.76</v>
      </c>
      <c r="AF446" s="684" t="inlineStr">
        <is>
          <t>ENGAGE</t>
        </is>
      </c>
      <c r="AG446" s="683" t="n"/>
      <c r="AH446" s="680" t="n"/>
      <c r="AI446" s="680" t="n"/>
      <c r="AJ446" s="680" t="n"/>
      <c r="AK446" s="680" t="n"/>
      <c r="AL446" s="685" t="n"/>
      <c r="AM446" s="685" t="n"/>
      <c r="AN446" s="683" t="inlineStr">
        <is>
          <t>R.A.S</t>
        </is>
      </c>
    </row>
    <row r="447" ht="32" customHeight="1" s="392">
      <c r="A447" s="672">
        <f>IF(AF447="ENGAGE","✔",IF(AF447="EN COURS D'ENGAGEMENT","◕",IF(AF447="PREENGAGE","◑",IF(AF447="EN COURS DE PREENGAGEMENT","◔",IF(AF447="NON ENGAGE","✖","")))))</f>
        <v/>
      </c>
      <c r="B447" s="673" t="n">
        <v>2026</v>
      </c>
      <c r="C447" s="674" t="inlineStr">
        <is>
          <t>DPMG</t>
        </is>
      </c>
      <c r="D447" s="674" t="inlineStr">
        <is>
          <t>RECONDUCTIBLE</t>
        </is>
      </c>
      <c r="E447" s="675" t="inlineStr">
        <is>
          <t>CONTRAT</t>
        </is>
      </c>
      <c r="F447" s="675" t="n">
        <v>1</v>
      </c>
      <c r="G447" s="676" t="inlineStr">
        <is>
          <t xml:space="preserve">Location d’immeuble </t>
        </is>
      </c>
      <c r="H447" s="673" t="inlineStr">
        <is>
          <t>VALIDE</t>
        </is>
      </c>
      <c r="I447" s="675" t="inlineStr">
        <is>
          <t>APPROUVE</t>
        </is>
      </c>
      <c r="J447" s="675" t="n">
        <v>20000470</v>
      </c>
      <c r="K447" s="673" t="inlineStr">
        <is>
          <t>NON CONCERNE</t>
        </is>
      </c>
      <c r="L447" s="675" t="inlineStr">
        <is>
          <t>Ordinaire</t>
        </is>
      </c>
      <c r="M447" s="677" t="inlineStr">
        <is>
          <t>FONCTIONNEMENT</t>
        </is>
      </c>
      <c r="N447" s="678" t="inlineStr">
        <is>
          <t>Locations</t>
        </is>
      </c>
      <c r="O447" s="679" t="n"/>
      <c r="P447" s="680" t="n"/>
      <c r="Q447" s="680" t="n"/>
      <c r="R447" s="675" t="inlineStr">
        <is>
          <t>RECONDUCTIBLE</t>
        </is>
      </c>
      <c r="S447" s="681" t="n"/>
      <c r="T447" s="682" t="n"/>
      <c r="U447" s="683" t="inlineStr">
        <is>
          <t>MICHELE "AZIZA LEBOUC "</t>
        </is>
      </c>
      <c r="V447" s="675" t="n"/>
      <c r="W447" s="682" t="n"/>
      <c r="X447" s="682" t="n"/>
      <c r="Y447" s="682" t="n"/>
      <c r="Z447" s="679">
        <f>AD447</f>
        <v/>
      </c>
      <c r="AA447" s="680" t="n">
        <v>0</v>
      </c>
      <c r="AB447" s="680">
        <f>AD447</f>
        <v/>
      </c>
      <c r="AC447" s="680" t="n">
        <v>0</v>
      </c>
      <c r="AD447" s="680">
        <f>AE447</f>
        <v/>
      </c>
      <c r="AE447" s="680" t="n">
        <v>9116.24</v>
      </c>
      <c r="AF447" s="684" t="inlineStr">
        <is>
          <t>ENGAGE</t>
        </is>
      </c>
      <c r="AG447" s="683" t="n"/>
      <c r="AH447" s="680" t="n"/>
      <c r="AI447" s="680" t="n"/>
      <c r="AJ447" s="680" t="n"/>
      <c r="AK447" s="680" t="n"/>
      <c r="AL447" s="685" t="n"/>
      <c r="AM447" s="685" t="n"/>
      <c r="AN447" s="683" t="inlineStr">
        <is>
          <t>R.A.S</t>
        </is>
      </c>
    </row>
    <row r="448" ht="32" customHeight="1" s="392">
      <c r="A448" s="672">
        <f>IF(AF448="ENGAGE","✔",IF(AF448="EN COURS D'ENGAGEMENT","◕",IF(AF448="PREENGAGE","◑",IF(AF448="EN COURS DE PREENGAGEMENT","◔",IF(AF448="NON ENGAGE","✖","")))))</f>
        <v/>
      </c>
      <c r="B448" s="673" t="n">
        <v>2026</v>
      </c>
      <c r="C448" s="674" t="inlineStr">
        <is>
          <t>DPMG</t>
        </is>
      </c>
      <c r="D448" s="674" t="inlineStr">
        <is>
          <t>RECONDUCTIBLE</t>
        </is>
      </c>
      <c r="E448" s="675" t="inlineStr">
        <is>
          <t>CONTRAT</t>
        </is>
      </c>
      <c r="F448" s="675" t="n">
        <v>1</v>
      </c>
      <c r="G448" s="676" t="inlineStr">
        <is>
          <t xml:space="preserve">Location d’immeuble </t>
        </is>
      </c>
      <c r="H448" s="673" t="inlineStr">
        <is>
          <t>VALIDE</t>
        </is>
      </c>
      <c r="I448" s="675" t="inlineStr">
        <is>
          <t>APPROUVE</t>
        </is>
      </c>
      <c r="J448" s="675" t="n">
        <v>20000471</v>
      </c>
      <c r="K448" s="673" t="inlineStr">
        <is>
          <t>NON CONCERNE</t>
        </is>
      </c>
      <c r="L448" s="675" t="inlineStr">
        <is>
          <t>Ordinaire</t>
        </is>
      </c>
      <c r="M448" s="677" t="inlineStr">
        <is>
          <t>FONCTIONNEMENT</t>
        </is>
      </c>
      <c r="N448" s="678" t="inlineStr">
        <is>
          <t>Locations</t>
        </is>
      </c>
      <c r="O448" s="679" t="n"/>
      <c r="P448" s="680" t="n"/>
      <c r="Q448" s="680" t="n"/>
      <c r="R448" s="675" t="inlineStr">
        <is>
          <t>RECONDUCTIBLE</t>
        </is>
      </c>
      <c r="S448" s="681" t="n"/>
      <c r="T448" s="682" t="n"/>
      <c r="U448" s="683" t="inlineStr">
        <is>
          <t>SALIMA BELGHMI-KOUHEN</t>
        </is>
      </c>
      <c r="V448" s="675" t="n"/>
      <c r="W448" s="682" t="n"/>
      <c r="X448" s="682" t="n"/>
      <c r="Y448" s="682" t="n"/>
      <c r="Z448" s="679">
        <f>AD448</f>
        <v/>
      </c>
      <c r="AA448" s="680" t="n">
        <v>0</v>
      </c>
      <c r="AB448" s="680">
        <f>AD448</f>
        <v/>
      </c>
      <c r="AC448" s="680" t="n">
        <v>0</v>
      </c>
      <c r="AD448" s="680">
        <f>AE448</f>
        <v/>
      </c>
      <c r="AE448" s="680" t="n">
        <v>12762.72</v>
      </c>
      <c r="AF448" s="684" t="inlineStr">
        <is>
          <t>ENGAGE</t>
        </is>
      </c>
      <c r="AG448" s="683" t="n"/>
      <c r="AH448" s="680" t="n"/>
      <c r="AI448" s="680" t="n"/>
      <c r="AJ448" s="680" t="n"/>
      <c r="AK448" s="680" t="n"/>
      <c r="AL448" s="685" t="n"/>
      <c r="AM448" s="685" t="n"/>
      <c r="AN448" s="683" t="inlineStr">
        <is>
          <t>R.A.S</t>
        </is>
      </c>
    </row>
    <row r="449" ht="32" customHeight="1" s="392">
      <c r="A449" s="672">
        <f>IF(AF449="ENGAGE","✔",IF(AF449="EN COURS D'ENGAGEMENT","◕",IF(AF449="PREENGAGE","◑",IF(AF449="EN COURS DE PREENGAGEMENT","◔",IF(AF449="NON ENGAGE","✖","")))))</f>
        <v/>
      </c>
      <c r="B449" s="673" t="n">
        <v>2026</v>
      </c>
      <c r="C449" s="674" t="inlineStr">
        <is>
          <t>DPMG</t>
        </is>
      </c>
      <c r="D449" s="674" t="inlineStr">
        <is>
          <t>RECONDUCTIBLE</t>
        </is>
      </c>
      <c r="E449" s="675" t="inlineStr">
        <is>
          <t>CONTRAT</t>
        </is>
      </c>
      <c r="F449" s="675" t="n">
        <v>1</v>
      </c>
      <c r="G449" s="676" t="inlineStr">
        <is>
          <t xml:space="preserve">Location d’immeuble </t>
        </is>
      </c>
      <c r="H449" s="673" t="inlineStr">
        <is>
          <t>VALIDE</t>
        </is>
      </c>
      <c r="I449" s="675" t="inlineStr">
        <is>
          <t>APPROUVE</t>
        </is>
      </c>
      <c r="J449" s="675" t="n">
        <v>20000454</v>
      </c>
      <c r="K449" s="673" t="inlineStr">
        <is>
          <t>NON CONCERNE</t>
        </is>
      </c>
      <c r="L449" s="675" t="inlineStr">
        <is>
          <t>Ordinaire</t>
        </is>
      </c>
      <c r="M449" s="677" t="inlineStr">
        <is>
          <t>FONCTIONNEMENT</t>
        </is>
      </c>
      <c r="N449" s="678" t="inlineStr">
        <is>
          <t>Locations</t>
        </is>
      </c>
      <c r="O449" s="679" t="n"/>
      <c r="P449" s="680" t="n"/>
      <c r="Q449" s="680" t="n"/>
      <c r="R449" s="675" t="inlineStr">
        <is>
          <t>RECONDUCTIBLE</t>
        </is>
      </c>
      <c r="S449" s="681" t="n"/>
      <c r="T449" s="682" t="n"/>
      <c r="U449" s="683" t="inlineStr">
        <is>
          <t>FATIMA BENABDALLAH</t>
        </is>
      </c>
      <c r="V449" s="675" t="n"/>
      <c r="W449" s="682" t="n"/>
      <c r="X449" s="682" t="n"/>
      <c r="Y449" s="682" t="n"/>
      <c r="Z449" s="679">
        <f>AD449</f>
        <v/>
      </c>
      <c r="AA449" s="680" t="n">
        <v>0</v>
      </c>
      <c r="AB449" s="680">
        <f>AD449</f>
        <v/>
      </c>
      <c r="AC449" s="680" t="n">
        <v>0</v>
      </c>
      <c r="AD449" s="680">
        <f>AE449</f>
        <v/>
      </c>
      <c r="AE449" s="680" t="n">
        <v>1896356.04</v>
      </c>
      <c r="AF449" s="684" t="inlineStr">
        <is>
          <t>ENGAGE</t>
        </is>
      </c>
      <c r="AG449" s="683" t="n"/>
      <c r="AH449" s="680" t="n"/>
      <c r="AI449" s="680" t="n"/>
      <c r="AJ449" s="680" t="n"/>
      <c r="AK449" s="680" t="n"/>
      <c r="AL449" s="685" t="n"/>
      <c r="AM449" s="685" t="n"/>
      <c r="AN449" s="683" t="inlineStr">
        <is>
          <t>R.A.S</t>
        </is>
      </c>
    </row>
    <row r="450" ht="32" customHeight="1" s="392">
      <c r="A450" s="672">
        <f>IF(AF450="ENGAGE","✔",IF(AF450="EN COURS D'ENGAGEMENT","◕",IF(AF450="PREENGAGE","◑",IF(AF450="EN COURS DE PREENGAGEMENT","◔",IF(AF450="NON ENGAGE","✖","")))))</f>
        <v/>
      </c>
      <c r="B450" s="673" t="n">
        <v>2026</v>
      </c>
      <c r="C450" s="674" t="inlineStr">
        <is>
          <t>DPMG</t>
        </is>
      </c>
      <c r="D450" s="674" t="inlineStr">
        <is>
          <t>RECONDUCTIBLE</t>
        </is>
      </c>
      <c r="E450" s="675" t="inlineStr">
        <is>
          <t>CONTRAT</t>
        </is>
      </c>
      <c r="F450" s="675" t="n">
        <v>1</v>
      </c>
      <c r="G450" s="676" t="inlineStr">
        <is>
          <t xml:space="preserve">Location d’immeuble </t>
        </is>
      </c>
      <c r="H450" s="673" t="inlineStr">
        <is>
          <t>VALIDE</t>
        </is>
      </c>
      <c r="I450" s="675" t="inlineStr">
        <is>
          <t>APPROUVE</t>
        </is>
      </c>
      <c r="J450" s="675" t="n">
        <v>20000481</v>
      </c>
      <c r="K450" s="673" t="inlineStr">
        <is>
          <t>NON CONCERNE</t>
        </is>
      </c>
      <c r="L450" s="675" t="inlineStr">
        <is>
          <t>Ordinaire</t>
        </is>
      </c>
      <c r="M450" s="677" t="inlineStr">
        <is>
          <t>FONCTIONNEMENT</t>
        </is>
      </c>
      <c r="N450" s="678" t="inlineStr">
        <is>
          <t>Locations</t>
        </is>
      </c>
      <c r="O450" s="679" t="n"/>
      <c r="P450" s="680" t="n"/>
      <c r="Q450" s="680" t="n"/>
      <c r="R450" s="675" t="inlineStr">
        <is>
          <t>RECONDUCTIBLE</t>
        </is>
      </c>
      <c r="S450" s="681" t="n"/>
      <c r="T450" s="682" t="n"/>
      <c r="U450" s="683" t="inlineStr">
        <is>
          <t>BENBAREK JAMAL EDDINE</t>
        </is>
      </c>
      <c r="V450" s="675" t="n"/>
      <c r="W450" s="682" t="n"/>
      <c r="X450" s="682" t="n"/>
      <c r="Y450" s="682" t="n"/>
      <c r="Z450" s="679">
        <f>AD450</f>
        <v/>
      </c>
      <c r="AA450" s="680" t="n">
        <v>0</v>
      </c>
      <c r="AB450" s="680">
        <f>AD450</f>
        <v/>
      </c>
      <c r="AC450" s="680" t="n">
        <v>0</v>
      </c>
      <c r="AD450" s="680">
        <f>AE450</f>
        <v/>
      </c>
      <c r="AE450" s="680" t="n">
        <v>190540.92</v>
      </c>
      <c r="AF450" s="684" t="inlineStr">
        <is>
          <t>ENGAGE</t>
        </is>
      </c>
      <c r="AG450" s="683" t="n"/>
      <c r="AH450" s="680" t="n"/>
      <c r="AI450" s="680" t="n"/>
      <c r="AJ450" s="680" t="n"/>
      <c r="AK450" s="680" t="n"/>
      <c r="AL450" s="685" t="n"/>
      <c r="AM450" s="685" t="n"/>
      <c r="AN450" s="683" t="inlineStr">
        <is>
          <t>R.A.S</t>
        </is>
      </c>
    </row>
    <row r="451" ht="32" customHeight="1" s="392">
      <c r="A451" s="672">
        <f>IF(AF451="ENGAGE","✔",IF(AF451="EN COURS D'ENGAGEMENT","◕",IF(AF451="PREENGAGE","◑",IF(AF451="EN COURS DE PREENGAGEMENT","◔",IF(AF451="NON ENGAGE","✖","")))))</f>
        <v/>
      </c>
      <c r="B451" s="673" t="n">
        <v>2026</v>
      </c>
      <c r="C451" s="674" t="inlineStr">
        <is>
          <t>DPMG</t>
        </is>
      </c>
      <c r="D451" s="674" t="inlineStr">
        <is>
          <t>RECONDUCTIBLE</t>
        </is>
      </c>
      <c r="E451" s="675" t="inlineStr">
        <is>
          <t>CONTRAT</t>
        </is>
      </c>
      <c r="F451" s="675" t="n">
        <v>1</v>
      </c>
      <c r="G451" s="676" t="inlineStr">
        <is>
          <t xml:space="preserve">Location d’immeuble </t>
        </is>
      </c>
      <c r="H451" s="673" t="inlineStr">
        <is>
          <t>VALIDE</t>
        </is>
      </c>
      <c r="I451" s="675" t="inlineStr">
        <is>
          <t>APPROUVE</t>
        </is>
      </c>
      <c r="J451" s="675" t="n">
        <v>20000669</v>
      </c>
      <c r="K451" s="673" t="inlineStr">
        <is>
          <t>NON CONCERNE</t>
        </is>
      </c>
      <c r="L451" s="675" t="inlineStr">
        <is>
          <t>Ordinaire</t>
        </is>
      </c>
      <c r="M451" s="677" t="inlineStr">
        <is>
          <t>FONCTIONNEMENT</t>
        </is>
      </c>
      <c r="N451" s="678" t="inlineStr">
        <is>
          <t>Locations</t>
        </is>
      </c>
      <c r="O451" s="679" t="n"/>
      <c r="P451" s="680" t="n"/>
      <c r="Q451" s="680" t="n"/>
      <c r="R451" s="675" t="inlineStr">
        <is>
          <t>RECONDUCTIBLE</t>
        </is>
      </c>
      <c r="S451" s="681" t="n"/>
      <c r="T451" s="682" t="n"/>
      <c r="U451" s="683" t="inlineStr">
        <is>
          <t>NOUZHA BENBAREK</t>
        </is>
      </c>
      <c r="V451" s="675" t="n"/>
      <c r="W451" s="682" t="n"/>
      <c r="X451" s="682" t="n"/>
      <c r="Y451" s="682" t="n"/>
      <c r="Z451" s="679">
        <f>AD451</f>
        <v/>
      </c>
      <c r="AA451" s="680" t="n">
        <v>0</v>
      </c>
      <c r="AB451" s="680">
        <f>AD451</f>
        <v/>
      </c>
      <c r="AC451" s="680" t="n">
        <v>0</v>
      </c>
      <c r="AD451" s="680">
        <f>AE451</f>
        <v/>
      </c>
      <c r="AE451" s="680" t="n">
        <v>144079.24</v>
      </c>
      <c r="AF451" s="684" t="inlineStr">
        <is>
          <t>ENGAGE</t>
        </is>
      </c>
      <c r="AG451" s="683" t="n"/>
      <c r="AH451" s="680" t="n"/>
      <c r="AI451" s="680" t="n"/>
      <c r="AJ451" s="680" t="n"/>
      <c r="AK451" s="680" t="n"/>
      <c r="AL451" s="685" t="n"/>
      <c r="AM451" s="685" t="n"/>
      <c r="AN451" s="683" t="inlineStr">
        <is>
          <t>R.A.S</t>
        </is>
      </c>
    </row>
    <row r="452" ht="32" customHeight="1" s="392">
      <c r="A452" s="672">
        <f>IF(AF452="ENGAGE","✔",IF(AF452="EN COURS D'ENGAGEMENT","◕",IF(AF452="PREENGAGE","◑",IF(AF452="EN COURS DE PREENGAGEMENT","◔",IF(AF452="NON ENGAGE","✖","")))))</f>
        <v/>
      </c>
      <c r="B452" s="673" t="n">
        <v>2026</v>
      </c>
      <c r="C452" s="674" t="inlineStr">
        <is>
          <t>DPMG</t>
        </is>
      </c>
      <c r="D452" s="674" t="inlineStr">
        <is>
          <t>RECONDUCTIBLE</t>
        </is>
      </c>
      <c r="E452" s="675" t="inlineStr">
        <is>
          <t>CONTRAT</t>
        </is>
      </c>
      <c r="F452" s="675" t="n">
        <v>1</v>
      </c>
      <c r="G452" s="676" t="inlineStr">
        <is>
          <t xml:space="preserve">Location d’immeuble </t>
        </is>
      </c>
      <c r="H452" s="673" t="inlineStr">
        <is>
          <t>VALIDE</t>
        </is>
      </c>
      <c r="I452" s="675" t="inlineStr">
        <is>
          <t>APPROUVE</t>
        </is>
      </c>
      <c r="J452" s="675" t="n">
        <v>20000468</v>
      </c>
      <c r="K452" s="673" t="inlineStr">
        <is>
          <t>NON CONCERNE</t>
        </is>
      </c>
      <c r="L452" s="675" t="inlineStr">
        <is>
          <t>Ordinaire</t>
        </is>
      </c>
      <c r="M452" s="677" t="inlineStr">
        <is>
          <t>FONCTIONNEMENT</t>
        </is>
      </c>
      <c r="N452" s="678" t="inlineStr">
        <is>
          <t>Locations</t>
        </is>
      </c>
      <c r="O452" s="679" t="n"/>
      <c r="P452" s="680" t="n"/>
      <c r="Q452" s="680" t="n"/>
      <c r="R452" s="675" t="inlineStr">
        <is>
          <t>RECONDUCTIBLE</t>
        </is>
      </c>
      <c r="S452" s="681" t="n"/>
      <c r="T452" s="682" t="n"/>
      <c r="U452" s="683" t="inlineStr">
        <is>
          <t>KARIM BELGHMI</t>
        </is>
      </c>
      <c r="V452" s="675" t="n"/>
      <c r="W452" s="682" t="n"/>
      <c r="X452" s="682" t="n"/>
      <c r="Y452" s="682" t="n"/>
      <c r="Z452" s="679">
        <f>AD452</f>
        <v/>
      </c>
      <c r="AA452" s="680" t="n">
        <v>0</v>
      </c>
      <c r="AB452" s="680">
        <f>AD452</f>
        <v/>
      </c>
      <c r="AC452" s="680" t="n">
        <v>0</v>
      </c>
      <c r="AD452" s="680">
        <f>AE452</f>
        <v/>
      </c>
      <c r="AE452" s="680" t="n">
        <v>25525.52</v>
      </c>
      <c r="AF452" s="684" t="inlineStr">
        <is>
          <t>ENGAGE</t>
        </is>
      </c>
      <c r="AG452" s="683" t="n"/>
      <c r="AH452" s="680" t="n"/>
      <c r="AI452" s="680" t="n"/>
      <c r="AJ452" s="680" t="n"/>
      <c r="AK452" s="680" t="n"/>
      <c r="AL452" s="685" t="n"/>
      <c r="AM452" s="685" t="n"/>
      <c r="AN452" s="683" t="inlineStr">
        <is>
          <t>R.A.S</t>
        </is>
      </c>
    </row>
    <row r="453" ht="32" customHeight="1" s="392">
      <c r="A453" s="672">
        <f>IF(AF453="ENGAGE","✔",IF(AF453="EN COURS D'ENGAGEMENT","◕",IF(AF453="PREENGAGE","◑",IF(AF453="EN COURS DE PREENGAGEMENT","◔",IF(AF453="NON ENGAGE","✖","")))))</f>
        <v/>
      </c>
      <c r="B453" s="673" t="n">
        <v>2026</v>
      </c>
      <c r="C453" s="674" t="inlineStr">
        <is>
          <t>DPMG</t>
        </is>
      </c>
      <c r="D453" s="674" t="inlineStr">
        <is>
          <t>RECONDUCTIBLE</t>
        </is>
      </c>
      <c r="E453" s="675" t="inlineStr">
        <is>
          <t>CONTRAT</t>
        </is>
      </c>
      <c r="F453" s="675" t="n">
        <v>1</v>
      </c>
      <c r="G453" s="676" t="inlineStr">
        <is>
          <t xml:space="preserve">Location d’immeuble </t>
        </is>
      </c>
      <c r="H453" s="673" t="inlineStr">
        <is>
          <t>VALIDE</t>
        </is>
      </c>
      <c r="I453" s="675" t="inlineStr">
        <is>
          <t>APPROUVE</t>
        </is>
      </c>
      <c r="J453" s="675" t="n">
        <v>20000469</v>
      </c>
      <c r="K453" s="673" t="inlineStr">
        <is>
          <t>NON CONCERNE</t>
        </is>
      </c>
      <c r="L453" s="675" t="inlineStr">
        <is>
          <t>Ordinaire</t>
        </is>
      </c>
      <c r="M453" s="677" t="inlineStr">
        <is>
          <t>FONCTIONNEMENT</t>
        </is>
      </c>
      <c r="N453" s="678" t="inlineStr">
        <is>
          <t>Locations</t>
        </is>
      </c>
      <c r="O453" s="679" t="n"/>
      <c r="P453" s="680" t="n"/>
      <c r="Q453" s="680" t="n"/>
      <c r="R453" s="675" t="inlineStr">
        <is>
          <t>RECONDUCTIBLE</t>
        </is>
      </c>
      <c r="S453" s="681" t="n"/>
      <c r="T453" s="682" t="n"/>
      <c r="U453" s="683" t="inlineStr">
        <is>
          <t>MOHAMMED KAMAL BELGHMI</t>
        </is>
      </c>
      <c r="V453" s="675" t="n"/>
      <c r="W453" s="682" t="n"/>
      <c r="X453" s="682" t="n"/>
      <c r="Y453" s="682" t="n"/>
      <c r="Z453" s="679">
        <f>AD453</f>
        <v/>
      </c>
      <c r="AA453" s="680" t="n">
        <v>0</v>
      </c>
      <c r="AB453" s="680">
        <f>AD453</f>
        <v/>
      </c>
      <c r="AC453" s="680" t="n">
        <v>0</v>
      </c>
      <c r="AD453" s="680">
        <f>AE453</f>
        <v/>
      </c>
      <c r="AE453" s="680" t="n">
        <v>25525.52</v>
      </c>
      <c r="AF453" s="684" t="inlineStr">
        <is>
          <t>ENGAGE</t>
        </is>
      </c>
      <c r="AG453" s="683" t="n"/>
      <c r="AH453" s="680" t="n"/>
      <c r="AI453" s="680" t="n"/>
      <c r="AJ453" s="680" t="n"/>
      <c r="AK453" s="680" t="n"/>
      <c r="AL453" s="685" t="n"/>
      <c r="AM453" s="685" t="n"/>
      <c r="AN453" s="683" t="inlineStr">
        <is>
          <t>R.A.S</t>
        </is>
      </c>
    </row>
    <row r="454" ht="35.7" customHeight="1" s="392">
      <c r="A454" s="672">
        <f>IF(AF454="ENGAGE","✔",IF(AF454="EN COURS D'ENGAGEMENT","◕",IF(AF454="PREENGAGE","◑",IF(AF454="EN COURS DE PREENGAGEMENT","◔",IF(AF454="NON ENGAGE","✖","")))))</f>
        <v/>
      </c>
      <c r="B454" s="673" t="n">
        <v>2026</v>
      </c>
      <c r="C454" s="674" t="inlineStr">
        <is>
          <t>DPMG</t>
        </is>
      </c>
      <c r="D454" s="674" t="inlineStr">
        <is>
          <t>RECONDUCTIBLE</t>
        </is>
      </c>
      <c r="E454" s="675" t="inlineStr">
        <is>
          <t>CONTRAT</t>
        </is>
      </c>
      <c r="F454" s="675" t="n">
        <v>1</v>
      </c>
      <c r="G454" s="676" t="inlineStr">
        <is>
          <t xml:space="preserve">Location d’immeuble </t>
        </is>
      </c>
      <c r="H454" s="673" t="inlineStr">
        <is>
          <t>VALIDE</t>
        </is>
      </c>
      <c r="I454" s="675" t="inlineStr">
        <is>
          <t>APPROUVE</t>
        </is>
      </c>
      <c r="J454" s="675" t="n">
        <v>20000451</v>
      </c>
      <c r="K454" s="673" t="inlineStr">
        <is>
          <t>NON CONCERNE</t>
        </is>
      </c>
      <c r="L454" s="675" t="inlineStr">
        <is>
          <t>Ordinaire</t>
        </is>
      </c>
      <c r="M454" s="677" t="inlineStr">
        <is>
          <t>FONCTIONNEMENT</t>
        </is>
      </c>
      <c r="N454" s="678" t="inlineStr">
        <is>
          <t>Locations</t>
        </is>
      </c>
      <c r="O454" s="679" t="n"/>
      <c r="P454" s="680" t="n"/>
      <c r="Q454" s="680" t="n"/>
      <c r="R454" s="675" t="inlineStr">
        <is>
          <t>RECONDUCTIBLE</t>
        </is>
      </c>
      <c r="S454" s="681" t="n"/>
      <c r="T454" s="682" t="n"/>
      <c r="U454" s="683" t="inlineStr">
        <is>
          <t>BENCHAKROUN ADNANE ET CONSORTS</t>
        </is>
      </c>
      <c r="V454" s="675" t="n"/>
      <c r="W454" s="682" t="n"/>
      <c r="X454" s="682" t="n"/>
      <c r="Y454" s="682" t="n"/>
      <c r="Z454" s="679">
        <f>AD454</f>
        <v/>
      </c>
      <c r="AA454" s="680" t="n">
        <v>0</v>
      </c>
      <c r="AB454" s="680">
        <f>AD454</f>
        <v/>
      </c>
      <c r="AC454" s="680" t="n">
        <v>0</v>
      </c>
      <c r="AD454" s="680">
        <f>AE454</f>
        <v/>
      </c>
      <c r="AE454" s="680" t="n">
        <v>88245</v>
      </c>
      <c r="AF454" s="684" t="inlineStr">
        <is>
          <t>ENGAGE</t>
        </is>
      </c>
      <c r="AG454" s="683" t="n"/>
      <c r="AH454" s="680" t="n"/>
      <c r="AI454" s="680" t="n"/>
      <c r="AJ454" s="680" t="n"/>
      <c r="AK454" s="680" t="n"/>
      <c r="AL454" s="685" t="n"/>
      <c r="AM454" s="685" t="n"/>
      <c r="AN454" s="683" t="inlineStr">
        <is>
          <t>R.A.S</t>
        </is>
      </c>
    </row>
    <row r="455" ht="32" customHeight="1" s="392">
      <c r="A455" s="672">
        <f>IF(AF455="ENGAGE","✔",IF(AF455="EN COURS D'ENGAGEMENT","◕",IF(AF455="PREENGAGE","◑",IF(AF455="EN COURS DE PREENGAGEMENT","◔",IF(AF455="NON ENGAGE","✖","")))))</f>
        <v/>
      </c>
      <c r="B455" s="673" t="n">
        <v>2026</v>
      </c>
      <c r="C455" s="674" t="inlineStr">
        <is>
          <t>DPMG</t>
        </is>
      </c>
      <c r="D455" s="674" t="inlineStr">
        <is>
          <t>RECONDUCTIBLE</t>
        </is>
      </c>
      <c r="E455" s="675" t="inlineStr">
        <is>
          <t>CONTRAT</t>
        </is>
      </c>
      <c r="F455" s="675" t="n">
        <v>1</v>
      </c>
      <c r="G455" s="676" t="inlineStr">
        <is>
          <t xml:space="preserve">Location d’immeuble </t>
        </is>
      </c>
      <c r="H455" s="673" t="inlineStr">
        <is>
          <t>VALIDE</t>
        </is>
      </c>
      <c r="I455" s="675" t="inlineStr">
        <is>
          <t>APPROUVE</t>
        </is>
      </c>
      <c r="J455" s="675" t="n">
        <v>20000668</v>
      </c>
      <c r="K455" s="673" t="inlineStr">
        <is>
          <t>NON CONCERNE</t>
        </is>
      </c>
      <c r="L455" s="675" t="inlineStr">
        <is>
          <t>Ordinaire</t>
        </is>
      </c>
      <c r="M455" s="677" t="inlineStr">
        <is>
          <t>FONCTIONNEMENT</t>
        </is>
      </c>
      <c r="N455" s="678" t="inlineStr">
        <is>
          <t>Locations</t>
        </is>
      </c>
      <c r="O455" s="679" t="n"/>
      <c r="P455" s="680" t="n"/>
      <c r="Q455" s="680" t="n"/>
      <c r="R455" s="675" t="inlineStr">
        <is>
          <t>RECONDUCTIBLE</t>
        </is>
      </c>
      <c r="S455" s="681" t="n"/>
      <c r="T455" s="682" t="n"/>
      <c r="U455" s="683" t="inlineStr">
        <is>
          <t>SOUAD BENBAREK</t>
        </is>
      </c>
      <c r="V455" s="675" t="n"/>
      <c r="W455" s="682" t="n"/>
      <c r="X455" s="682" t="n"/>
      <c r="Y455" s="682" t="n"/>
      <c r="Z455" s="679">
        <f>AD455</f>
        <v/>
      </c>
      <c r="AA455" s="680" t="n">
        <v>0</v>
      </c>
      <c r="AB455" s="680">
        <f>AD455</f>
        <v/>
      </c>
      <c r="AC455" s="680" t="n">
        <v>0</v>
      </c>
      <c r="AD455" s="680">
        <f>AE455</f>
        <v/>
      </c>
      <c r="AE455" s="680" t="n">
        <v>265585.04</v>
      </c>
      <c r="AF455" s="684" t="inlineStr">
        <is>
          <t>ENGAGE</t>
        </is>
      </c>
      <c r="AG455" s="683" t="n"/>
      <c r="AH455" s="680" t="n"/>
      <c r="AI455" s="680" t="n"/>
      <c r="AJ455" s="680" t="n"/>
      <c r="AK455" s="680" t="n"/>
      <c r="AL455" s="685" t="n"/>
      <c r="AM455" s="685" t="n"/>
      <c r="AN455" s="683" t="inlineStr">
        <is>
          <t>R.A.S</t>
        </is>
      </c>
    </row>
    <row r="456" ht="32" customHeight="1" s="392">
      <c r="A456" s="672">
        <f>IF(AF456="ENGAGE","✔",IF(AF456="EN COURS D'ENGAGEMENT","◕",IF(AF456="PREENGAGE","◑",IF(AF456="EN COURS DE PREENGAGEMENT","◔",IF(AF456="NON ENGAGE","✖","")))))</f>
        <v/>
      </c>
      <c r="B456" s="673" t="n">
        <v>2026</v>
      </c>
      <c r="C456" s="674" t="inlineStr">
        <is>
          <t>DPMG</t>
        </is>
      </c>
      <c r="D456" s="674" t="inlineStr">
        <is>
          <t>RECONDUCTIBLE</t>
        </is>
      </c>
      <c r="E456" s="675" t="inlineStr">
        <is>
          <t>CONTRAT</t>
        </is>
      </c>
      <c r="F456" s="675" t="n">
        <v>1</v>
      </c>
      <c r="G456" s="676" t="inlineStr">
        <is>
          <t xml:space="preserve">Location d’immeuble </t>
        </is>
      </c>
      <c r="H456" s="673" t="inlineStr">
        <is>
          <t>VALIDE</t>
        </is>
      </c>
      <c r="I456" s="675" t="inlineStr">
        <is>
          <t>APPROUVE</t>
        </is>
      </c>
      <c r="J456" s="675" t="n">
        <v>20000480</v>
      </c>
      <c r="K456" s="673" t="inlineStr">
        <is>
          <t>NON CONCERNE</t>
        </is>
      </c>
      <c r="L456" s="675" t="inlineStr">
        <is>
          <t>Ordinaire</t>
        </is>
      </c>
      <c r="M456" s="677" t="inlineStr">
        <is>
          <t>FONCTIONNEMENT</t>
        </is>
      </c>
      <c r="N456" s="678" t="inlineStr">
        <is>
          <t>Locations</t>
        </is>
      </c>
      <c r="O456" s="679" t="n"/>
      <c r="P456" s="680" t="n"/>
      <c r="Q456" s="680" t="n"/>
      <c r="R456" s="675" t="inlineStr">
        <is>
          <t>RECONDUCTIBLE</t>
        </is>
      </c>
      <c r="S456" s="681" t="n"/>
      <c r="T456" s="682" t="n"/>
      <c r="U456" s="683" t="inlineStr">
        <is>
          <t>GUESSOUS FETTOUMA</t>
        </is>
      </c>
      <c r="V456" s="675" t="n"/>
      <c r="W456" s="682" t="n"/>
      <c r="X456" s="682" t="n"/>
      <c r="Y456" s="682" t="n"/>
      <c r="Z456" s="679">
        <f>AD456</f>
        <v/>
      </c>
      <c r="AA456" s="680" t="n">
        <v>0</v>
      </c>
      <c r="AB456" s="680">
        <f>AD456</f>
        <v/>
      </c>
      <c r="AC456" s="680" t="n">
        <v>0</v>
      </c>
      <c r="AD456" s="680">
        <f>AE456</f>
        <v/>
      </c>
      <c r="AE456" s="680" t="n">
        <v>135907.6</v>
      </c>
      <c r="AF456" s="684" t="inlineStr">
        <is>
          <t>ENGAGE</t>
        </is>
      </c>
      <c r="AG456" s="683" t="n"/>
      <c r="AH456" s="680" t="n"/>
      <c r="AI456" s="680" t="n"/>
      <c r="AJ456" s="680" t="n"/>
      <c r="AK456" s="680" t="n"/>
      <c r="AL456" s="685" t="n"/>
      <c r="AM456" s="685" t="n"/>
      <c r="AN456" s="683" t="inlineStr">
        <is>
          <t>R.A.S</t>
        </is>
      </c>
    </row>
    <row r="457" ht="35.7" customHeight="1" s="392">
      <c r="A457" s="672">
        <f>IF(AF457="ENGAGE","✔",IF(AF457="EN COURS D'ENGAGEMENT","◕",IF(AF457="PREENGAGE","◑",IF(AF457="EN COURS DE PREENGAGEMENT","◔",IF(AF457="NON ENGAGE","✖","")))))</f>
        <v/>
      </c>
      <c r="B457" s="673" t="n">
        <v>2026</v>
      </c>
      <c r="C457" s="674" t="inlineStr">
        <is>
          <t>DPMG</t>
        </is>
      </c>
      <c r="D457" s="674" t="inlineStr">
        <is>
          <t>RECONDUCTIBLE</t>
        </is>
      </c>
      <c r="E457" s="675" t="inlineStr">
        <is>
          <t>CONTRAT</t>
        </is>
      </c>
      <c r="F457" s="675" t="n">
        <v>1</v>
      </c>
      <c r="G457" s="676" t="inlineStr">
        <is>
          <t xml:space="preserve">Location d’immeuble </t>
        </is>
      </c>
      <c r="H457" s="673" t="inlineStr">
        <is>
          <t>VALIDE</t>
        </is>
      </c>
      <c r="I457" s="675" t="inlineStr">
        <is>
          <t>APPROUVE</t>
        </is>
      </c>
      <c r="J457" s="675" t="n">
        <v>20000482</v>
      </c>
      <c r="K457" s="673" t="inlineStr">
        <is>
          <t>NON CONCERNE</t>
        </is>
      </c>
      <c r="L457" s="675" t="inlineStr">
        <is>
          <t>Ordinaire</t>
        </is>
      </c>
      <c r="M457" s="677" t="inlineStr">
        <is>
          <t>FONCTIONNEMENT</t>
        </is>
      </c>
      <c r="N457" s="678" t="inlineStr">
        <is>
          <t>Locations</t>
        </is>
      </c>
      <c r="O457" s="679" t="n"/>
      <c r="P457" s="680" t="n"/>
      <c r="Q457" s="680" t="n"/>
      <c r="R457" s="675" t="inlineStr">
        <is>
          <t>RECONDUCTIBLE</t>
        </is>
      </c>
      <c r="S457" s="681" t="n"/>
      <c r="T457" s="682" t="n"/>
      <c r="U457" s="683" t="inlineStr">
        <is>
          <t xml:space="preserve">MOHAMMED LAHLOU ET CONSORTS </t>
        </is>
      </c>
      <c r="V457" s="675" t="n"/>
      <c r="W457" s="682" t="n"/>
      <c r="X457" s="682" t="n"/>
      <c r="Y457" s="682" t="n"/>
      <c r="Z457" s="679">
        <f>AD457</f>
        <v/>
      </c>
      <c r="AA457" s="680" t="n">
        <v>0</v>
      </c>
      <c r="AB457" s="680">
        <f>AD457</f>
        <v/>
      </c>
      <c r="AC457" s="680" t="n">
        <v>0</v>
      </c>
      <c r="AD457" s="680">
        <f>AE457</f>
        <v/>
      </c>
      <c r="AE457" s="680" t="n">
        <v>1863740.64</v>
      </c>
      <c r="AF457" s="684" t="inlineStr">
        <is>
          <t>ENGAGE</t>
        </is>
      </c>
      <c r="AG457" s="683" t="n"/>
      <c r="AH457" s="680" t="n"/>
      <c r="AI457" s="680" t="n"/>
      <c r="AJ457" s="680" t="n"/>
      <c r="AK457" s="680" t="n"/>
      <c r="AL457" s="685" t="n"/>
      <c r="AM457" s="685" t="n"/>
      <c r="AN457" s="683" t="inlineStr">
        <is>
          <t>R.A.S</t>
        </is>
      </c>
    </row>
    <row r="458" ht="35.7" customHeight="1" s="392">
      <c r="A458" s="672">
        <f>IF(AF458="ENGAGE","✔",IF(AF458="EN COURS D'ENGAGEMENT","◕",IF(AF458="PREENGAGE","◑",IF(AF458="EN COURS DE PREENGAGEMENT","◔",IF(AF458="NON ENGAGE","✖","")))))</f>
        <v/>
      </c>
      <c r="B458" s="673" t="n">
        <v>2026</v>
      </c>
      <c r="C458" s="674" t="inlineStr">
        <is>
          <t>DPMG</t>
        </is>
      </c>
      <c r="D458" s="674" t="inlineStr">
        <is>
          <t>RECONDUCTIBLE</t>
        </is>
      </c>
      <c r="E458" s="675" t="inlineStr">
        <is>
          <t>CONTRAT</t>
        </is>
      </c>
      <c r="F458" s="675" t="n">
        <v>1</v>
      </c>
      <c r="G458" s="676" t="inlineStr">
        <is>
          <t xml:space="preserve">Location d’immeuble </t>
        </is>
      </c>
      <c r="H458" s="673" t="inlineStr">
        <is>
          <t>VALIDE</t>
        </is>
      </c>
      <c r="I458" s="675" t="inlineStr">
        <is>
          <t>APPROUVE</t>
        </is>
      </c>
      <c r="J458" s="675" t="n">
        <v>20000464</v>
      </c>
      <c r="K458" s="673" t="inlineStr">
        <is>
          <t>NON CONCERNE</t>
        </is>
      </c>
      <c r="L458" s="675" t="inlineStr">
        <is>
          <t>Ordinaire</t>
        </is>
      </c>
      <c r="M458" s="677" t="inlineStr">
        <is>
          <t>FONCTIONNEMENT</t>
        </is>
      </c>
      <c r="N458" s="678" t="inlineStr">
        <is>
          <t>Locations</t>
        </is>
      </c>
      <c r="O458" s="679" t="n"/>
      <c r="P458" s="680" t="n"/>
      <c r="Q458" s="680" t="n"/>
      <c r="R458" s="675" t="inlineStr">
        <is>
          <t>RECONDUCTIBLE</t>
        </is>
      </c>
      <c r="S458" s="681" t="n"/>
      <c r="T458" s="682" t="n"/>
      <c r="U458" s="683" t="inlineStr">
        <is>
          <t xml:space="preserve">LAMARTI AHMED BEN HASSAN ET CONSORT </t>
        </is>
      </c>
      <c r="V458" s="675" t="n"/>
      <c r="W458" s="682" t="n"/>
      <c r="X458" s="682" t="n"/>
      <c r="Y458" s="682" t="n"/>
      <c r="Z458" s="679">
        <f>AD458</f>
        <v/>
      </c>
      <c r="AA458" s="680" t="n">
        <v>0</v>
      </c>
      <c r="AB458" s="680">
        <f>AD458</f>
        <v/>
      </c>
      <c r="AC458" s="680" t="n">
        <v>0</v>
      </c>
      <c r="AD458" s="680">
        <f>AE458</f>
        <v/>
      </c>
      <c r="AE458" s="680" t="n">
        <v>1553117.28</v>
      </c>
      <c r="AF458" s="684" t="inlineStr">
        <is>
          <t>ENGAGE</t>
        </is>
      </c>
      <c r="AG458" s="683" t="n"/>
      <c r="AH458" s="680" t="n"/>
      <c r="AI458" s="680" t="n"/>
      <c r="AJ458" s="680" t="n"/>
      <c r="AK458" s="680" t="n"/>
      <c r="AL458" s="685" t="n"/>
      <c r="AM458" s="685" t="n"/>
      <c r="AN458" s="683" t="inlineStr">
        <is>
          <t>R.A.S</t>
        </is>
      </c>
    </row>
    <row r="459" ht="32" customHeight="1" s="392">
      <c r="A459" s="672">
        <f>IF(AF459="ENGAGE","✔",IF(AF459="EN COURS D'ENGAGEMENT","◕",IF(AF459="PREENGAGE","◑",IF(AF459="EN COURS DE PREENGAGEMENT","◔",IF(AF459="NON ENGAGE","✖","")))))</f>
        <v/>
      </c>
      <c r="B459" s="673" t="n">
        <v>2026</v>
      </c>
      <c r="C459" s="674" t="inlineStr">
        <is>
          <t>DPMG</t>
        </is>
      </c>
      <c r="D459" s="674" t="inlineStr">
        <is>
          <t>RECONDUCTIBLE</t>
        </is>
      </c>
      <c r="E459" s="675" t="inlineStr">
        <is>
          <t>CONTRAT</t>
        </is>
      </c>
      <c r="F459" s="675" t="n">
        <v>1</v>
      </c>
      <c r="G459" s="676" t="inlineStr">
        <is>
          <t xml:space="preserve">Location d’immeuble </t>
        </is>
      </c>
      <c r="H459" s="673" t="inlineStr">
        <is>
          <t>VALIDE</t>
        </is>
      </c>
      <c r="I459" s="675" t="inlineStr">
        <is>
          <t>APPROUVE</t>
        </is>
      </c>
      <c r="J459" s="675" t="n">
        <v>20000466</v>
      </c>
      <c r="K459" s="673" t="inlineStr">
        <is>
          <t>NON CONCERNE</t>
        </is>
      </c>
      <c r="L459" s="675" t="inlineStr">
        <is>
          <t>Ordinaire</t>
        </is>
      </c>
      <c r="M459" s="677" t="inlineStr">
        <is>
          <t>FONCTIONNEMENT</t>
        </is>
      </c>
      <c r="N459" s="678" t="inlineStr">
        <is>
          <t>Locations</t>
        </is>
      </c>
      <c r="O459" s="679" t="n"/>
      <c r="P459" s="680" t="n"/>
      <c r="Q459" s="680" t="n"/>
      <c r="R459" s="675" t="inlineStr">
        <is>
          <t>RECONDUCTIBLE</t>
        </is>
      </c>
      <c r="S459" s="681" t="n"/>
      <c r="T459" s="682" t="n"/>
      <c r="U459" s="683" t="inlineStr">
        <is>
          <t>IMMO MHM</t>
        </is>
      </c>
      <c r="V459" s="675" t="n"/>
      <c r="W459" s="682" t="n"/>
      <c r="X459" s="682" t="n"/>
      <c r="Y459" s="682" t="n"/>
      <c r="Z459" s="679">
        <f>AD459</f>
        <v/>
      </c>
      <c r="AA459" s="680" t="n">
        <v>0</v>
      </c>
      <c r="AB459" s="680">
        <f>AD459</f>
        <v/>
      </c>
      <c r="AC459" s="680" t="n">
        <v>0</v>
      </c>
      <c r="AD459" s="680">
        <f>AE459</f>
        <v/>
      </c>
      <c r="AE459" s="680" t="n">
        <v>1588415.4</v>
      </c>
      <c r="AF459" s="684" t="inlineStr">
        <is>
          <t>ENGAGE</t>
        </is>
      </c>
      <c r="AG459" s="683" t="n"/>
      <c r="AH459" s="680" t="n"/>
      <c r="AI459" s="680" t="n"/>
      <c r="AJ459" s="680" t="n"/>
      <c r="AK459" s="680" t="n"/>
      <c r="AL459" s="685" t="n"/>
      <c r="AM459" s="685" t="n"/>
      <c r="AN459" s="683" t="inlineStr">
        <is>
          <t>R.A.S</t>
        </is>
      </c>
    </row>
    <row r="460" ht="32" customHeight="1" s="392">
      <c r="A460" s="672">
        <f>IF(AF460="ENGAGE","✔",IF(AF460="EN COURS D'ENGAGEMENT","◕",IF(AF460="PREENGAGE","◑",IF(AF460="EN COURS DE PREENGAGEMENT","◔",IF(AF460="NON ENGAGE","✖","")))))</f>
        <v/>
      </c>
      <c r="B460" s="673" t="n">
        <v>2026</v>
      </c>
      <c r="C460" s="674" t="inlineStr">
        <is>
          <t>DPMG</t>
        </is>
      </c>
      <c r="D460" s="674" t="inlineStr">
        <is>
          <t>RECONDUCTIBLE</t>
        </is>
      </c>
      <c r="E460" s="675" t="inlineStr">
        <is>
          <t>CONTRAT</t>
        </is>
      </c>
      <c r="F460" s="675" t="n">
        <v>1</v>
      </c>
      <c r="G460" s="676" t="inlineStr">
        <is>
          <t xml:space="preserve">Location d’immeuble </t>
        </is>
      </c>
      <c r="H460" s="673" t="inlineStr">
        <is>
          <t>VALIDE</t>
        </is>
      </c>
      <c r="I460" s="675" t="inlineStr">
        <is>
          <t>APPROUVE</t>
        </is>
      </c>
      <c r="J460" s="675" t="n">
        <v>20000465</v>
      </c>
      <c r="K460" s="673" t="inlineStr">
        <is>
          <t>NON CONCERNE</t>
        </is>
      </c>
      <c r="L460" s="675" t="inlineStr">
        <is>
          <t>Ordinaire</t>
        </is>
      </c>
      <c r="M460" s="677" t="inlineStr">
        <is>
          <t>FONCTIONNEMENT</t>
        </is>
      </c>
      <c r="N460" s="678" t="inlineStr">
        <is>
          <t>Locations</t>
        </is>
      </c>
      <c r="O460" s="679" t="n"/>
      <c r="P460" s="680" t="n"/>
      <c r="Q460" s="680" t="n"/>
      <c r="R460" s="675" t="inlineStr">
        <is>
          <t>RECONDUCTIBLE</t>
        </is>
      </c>
      <c r="S460" s="681" t="n"/>
      <c r="T460" s="682" t="n"/>
      <c r="U460" s="683" t="inlineStr">
        <is>
          <t>IMMO MHM</t>
        </is>
      </c>
      <c r="V460" s="675" t="n"/>
      <c r="W460" s="682" t="n"/>
      <c r="X460" s="682" t="n"/>
      <c r="Y460" s="682" t="n"/>
      <c r="Z460" s="679">
        <f>AD460</f>
        <v/>
      </c>
      <c r="AA460" s="680" t="n">
        <v>0</v>
      </c>
      <c r="AB460" s="680">
        <f>AD460</f>
        <v/>
      </c>
      <c r="AC460" s="680" t="n">
        <v>0</v>
      </c>
      <c r="AD460" s="680">
        <f>AE460</f>
        <v/>
      </c>
      <c r="AE460" s="680" t="n">
        <v>529471.8</v>
      </c>
      <c r="AF460" s="684" t="inlineStr">
        <is>
          <t>ENGAGE</t>
        </is>
      </c>
      <c r="AG460" s="683" t="n"/>
      <c r="AH460" s="680" t="n"/>
      <c r="AI460" s="680" t="n"/>
      <c r="AJ460" s="680" t="n"/>
      <c r="AK460" s="680" t="n"/>
      <c r="AL460" s="685" t="n"/>
      <c r="AM460" s="685" t="n"/>
      <c r="AN460" s="683" t="inlineStr">
        <is>
          <t>R.A.S</t>
        </is>
      </c>
    </row>
    <row r="461" ht="32" customHeight="1" s="392">
      <c r="A461" s="672">
        <f>IF(AF461="ENGAGE","✔",IF(AF461="EN COURS D'ENGAGEMENT","◕",IF(AF461="PREENGAGE","◑",IF(AF461="EN COURS DE PREENGAGEMENT","◔",IF(AF461="NON ENGAGE","✖","")))))</f>
        <v/>
      </c>
      <c r="B461" s="673" t="n">
        <v>2026</v>
      </c>
      <c r="C461" s="674" t="inlineStr">
        <is>
          <t>DPMG</t>
        </is>
      </c>
      <c r="D461" s="674" t="inlineStr">
        <is>
          <t>RECONDUCTIBLE</t>
        </is>
      </c>
      <c r="E461" s="675" t="inlineStr">
        <is>
          <t>CONTRAT</t>
        </is>
      </c>
      <c r="F461" s="675" t="n">
        <v>1</v>
      </c>
      <c r="G461" s="676" t="inlineStr">
        <is>
          <t xml:space="preserve">Location d’immeuble </t>
        </is>
      </c>
      <c r="H461" s="673" t="inlineStr">
        <is>
          <t>VALIDE</t>
        </is>
      </c>
      <c r="I461" s="675" t="inlineStr">
        <is>
          <t>APPROUVE</t>
        </is>
      </c>
      <c r="J461" s="675" t="n">
        <v>20000467</v>
      </c>
      <c r="K461" s="673" t="inlineStr">
        <is>
          <t>NON CONCERNE</t>
        </is>
      </c>
      <c r="L461" s="675" t="inlineStr">
        <is>
          <t>Ordinaire</t>
        </is>
      </c>
      <c r="M461" s="677" t="inlineStr">
        <is>
          <t>FONCTIONNEMENT</t>
        </is>
      </c>
      <c r="N461" s="678" t="inlineStr">
        <is>
          <t>Locations</t>
        </is>
      </c>
      <c r="O461" s="679" t="n"/>
      <c r="P461" s="680" t="n"/>
      <c r="Q461" s="680" t="n"/>
      <c r="R461" s="675" t="inlineStr">
        <is>
          <t>RECONDUCTIBLE</t>
        </is>
      </c>
      <c r="S461" s="681" t="n"/>
      <c r="T461" s="682" t="n"/>
      <c r="U461" s="683" t="inlineStr">
        <is>
          <t>IMMO MHM</t>
        </is>
      </c>
      <c r="V461" s="675" t="n"/>
      <c r="W461" s="682" t="n"/>
      <c r="X461" s="682" t="n"/>
      <c r="Y461" s="682" t="n"/>
      <c r="Z461" s="679">
        <f>AD461</f>
        <v/>
      </c>
      <c r="AA461" s="680" t="n">
        <v>0</v>
      </c>
      <c r="AB461" s="680">
        <f>AD461</f>
        <v/>
      </c>
      <c r="AC461" s="680" t="n">
        <v>0</v>
      </c>
      <c r="AD461" s="680">
        <f>AE461</f>
        <v/>
      </c>
      <c r="AE461" s="680" t="n">
        <v>641784</v>
      </c>
      <c r="AF461" s="684" t="inlineStr">
        <is>
          <t>ENGAGE</t>
        </is>
      </c>
      <c r="AG461" s="683" t="n"/>
      <c r="AH461" s="680" t="n"/>
      <c r="AI461" s="680" t="n"/>
      <c r="AJ461" s="680" t="n"/>
      <c r="AK461" s="680" t="n"/>
      <c r="AL461" s="685" t="n"/>
      <c r="AM461" s="685" t="n"/>
      <c r="AN461" s="683" t="inlineStr">
        <is>
          <t>R.A.S</t>
        </is>
      </c>
    </row>
    <row r="462" ht="32" customHeight="1" s="392">
      <c r="A462" s="672">
        <f>IF(AF462="ENGAGE","✔",IF(AF462="EN COURS D'ENGAGEMENT","◕",IF(AF462="PREENGAGE","◑",IF(AF462="EN COURS DE PREENGAGEMENT","◔",IF(AF462="NON ENGAGE","✖","")))))</f>
        <v/>
      </c>
      <c r="B462" s="673" t="n">
        <v>2026</v>
      </c>
      <c r="C462" s="674" t="inlineStr">
        <is>
          <t>DPMG</t>
        </is>
      </c>
      <c r="D462" s="674" t="inlineStr">
        <is>
          <t>RECONDUCTIBLE</t>
        </is>
      </c>
      <c r="E462" s="675" t="inlineStr">
        <is>
          <t>CONTRAT</t>
        </is>
      </c>
      <c r="F462" s="675" t="n">
        <v>1</v>
      </c>
      <c r="G462" s="676" t="inlineStr">
        <is>
          <t xml:space="preserve">Location d’immeuble </t>
        </is>
      </c>
      <c r="H462" s="673" t="inlineStr">
        <is>
          <t>VALIDE</t>
        </is>
      </c>
      <c r="I462" s="675" t="inlineStr">
        <is>
          <t>APPROUVE</t>
        </is>
      </c>
      <c r="J462" s="675" t="n">
        <v>20000472</v>
      </c>
      <c r="K462" s="673" t="inlineStr">
        <is>
          <t>NON CONCERNE</t>
        </is>
      </c>
      <c r="L462" s="675" t="inlineStr">
        <is>
          <t>Ordinaire</t>
        </is>
      </c>
      <c r="M462" s="677" t="inlineStr">
        <is>
          <t>FONCTIONNEMENT</t>
        </is>
      </c>
      <c r="N462" s="678" t="inlineStr">
        <is>
          <t>Locations</t>
        </is>
      </c>
      <c r="O462" s="679" t="n"/>
      <c r="P462" s="680" t="n"/>
      <c r="Q462" s="680" t="n"/>
      <c r="R462" s="675" t="inlineStr">
        <is>
          <t>RECONDUCTIBLE</t>
        </is>
      </c>
      <c r="S462" s="681" t="n"/>
      <c r="T462" s="682" t="n"/>
      <c r="U462" s="683" t="inlineStr">
        <is>
          <t>SOUMAYA LOUDYI</t>
        </is>
      </c>
      <c r="V462" s="675" t="n"/>
      <c r="W462" s="682" t="n"/>
      <c r="X462" s="682" t="n"/>
      <c r="Y462" s="682" t="n"/>
      <c r="Z462" s="679">
        <f>AD462</f>
        <v/>
      </c>
      <c r="AA462" s="680" t="n">
        <v>0</v>
      </c>
      <c r="AB462" s="680">
        <f>AD462</f>
        <v/>
      </c>
      <c r="AC462" s="680" t="n">
        <v>0</v>
      </c>
      <c r="AD462" s="680">
        <f>AE462</f>
        <v/>
      </c>
      <c r="AE462" s="680" t="n">
        <v>260724.72</v>
      </c>
      <c r="AF462" s="684" t="inlineStr">
        <is>
          <t>ENGAGE</t>
        </is>
      </c>
      <c r="AG462" s="683" t="n"/>
      <c r="AH462" s="680" t="n"/>
      <c r="AI462" s="680" t="n"/>
      <c r="AJ462" s="680" t="n"/>
      <c r="AK462" s="680" t="n"/>
      <c r="AL462" s="685" t="n"/>
      <c r="AM462" s="685" t="n"/>
      <c r="AN462" s="683" t="inlineStr">
        <is>
          <t>R.A.S</t>
        </is>
      </c>
    </row>
    <row r="463" ht="32" customHeight="1" s="392">
      <c r="A463" s="672">
        <f>IF(AF463="ENGAGE","✔",IF(AF463="EN COURS D'ENGAGEMENT","◕",IF(AF463="PREENGAGE","◑",IF(AF463="EN COURS DE PREENGAGEMENT","◔",IF(AF463="NON ENGAGE","✖","")))))</f>
        <v/>
      </c>
      <c r="B463" s="673" t="n">
        <v>2026</v>
      </c>
      <c r="C463" s="674" t="inlineStr">
        <is>
          <t>DPMG</t>
        </is>
      </c>
      <c r="D463" s="674" t="inlineStr">
        <is>
          <t>RECONDUCTIBLE</t>
        </is>
      </c>
      <c r="E463" s="675" t="inlineStr">
        <is>
          <t>CONTRAT</t>
        </is>
      </c>
      <c r="F463" s="675" t="n">
        <v>1</v>
      </c>
      <c r="G463" s="676" t="inlineStr">
        <is>
          <t xml:space="preserve">Location d’immeuble </t>
        </is>
      </c>
      <c r="H463" s="673" t="inlineStr">
        <is>
          <t>VALIDE</t>
        </is>
      </c>
      <c r="I463" s="675" t="inlineStr">
        <is>
          <t>APPROUVE</t>
        </is>
      </c>
      <c r="J463" s="675" t="n">
        <v>20000473</v>
      </c>
      <c r="K463" s="673" t="inlineStr">
        <is>
          <t>NON CONCERNE</t>
        </is>
      </c>
      <c r="L463" s="675" t="inlineStr">
        <is>
          <t>Ordinaire</t>
        </is>
      </c>
      <c r="M463" s="677" t="inlineStr">
        <is>
          <t>FONCTIONNEMENT</t>
        </is>
      </c>
      <c r="N463" s="678" t="inlineStr">
        <is>
          <t>Locations</t>
        </is>
      </c>
      <c r="O463" s="679" t="n"/>
      <c r="P463" s="680" t="n"/>
      <c r="Q463" s="680" t="n"/>
      <c r="R463" s="675" t="inlineStr">
        <is>
          <t>RECONDUCTIBLE</t>
        </is>
      </c>
      <c r="S463" s="681" t="n"/>
      <c r="T463" s="682" t="n"/>
      <c r="U463" s="683" t="inlineStr">
        <is>
          <t>BTISSAM JAKHOUKH</t>
        </is>
      </c>
      <c r="V463" s="675" t="n"/>
      <c r="W463" s="682" t="n"/>
      <c r="X463" s="682" t="n"/>
      <c r="Y463" s="682" t="n"/>
      <c r="Z463" s="679">
        <f>AD463</f>
        <v/>
      </c>
      <c r="AA463" s="680" t="n">
        <v>0</v>
      </c>
      <c r="AB463" s="680">
        <f>AD463</f>
        <v/>
      </c>
      <c r="AC463" s="680" t="n">
        <v>0</v>
      </c>
      <c r="AD463" s="680">
        <f>AE463</f>
        <v/>
      </c>
      <c r="AE463" s="680" t="n">
        <v>260724.72</v>
      </c>
      <c r="AF463" s="684" t="inlineStr">
        <is>
          <t>ENGAGE</t>
        </is>
      </c>
      <c r="AG463" s="683" t="n"/>
      <c r="AH463" s="680" t="n"/>
      <c r="AI463" s="680" t="n"/>
      <c r="AJ463" s="680" t="n"/>
      <c r="AK463" s="680" t="n"/>
      <c r="AL463" s="685" t="n"/>
      <c r="AM463" s="685" t="n"/>
      <c r="AN463" s="683" t="inlineStr">
        <is>
          <t>R.A.S</t>
        </is>
      </c>
    </row>
    <row r="464" ht="32" customHeight="1" s="392">
      <c r="A464" s="672">
        <f>IF(AF464="ENGAGE","✔",IF(AF464="EN COURS D'ENGAGEMENT","◕",IF(AF464="PREENGAGE","◑",IF(AF464="EN COURS DE PREENGAGEMENT","◔",IF(AF464="NON ENGAGE","✖","")))))</f>
        <v/>
      </c>
      <c r="B464" s="673" t="n">
        <v>2026</v>
      </c>
      <c r="C464" s="674" t="inlineStr">
        <is>
          <t>DPMG</t>
        </is>
      </c>
      <c r="D464" s="674" t="inlineStr">
        <is>
          <t>RECONDUCTIBLE</t>
        </is>
      </c>
      <c r="E464" s="675" t="inlineStr">
        <is>
          <t>CONTRAT</t>
        </is>
      </c>
      <c r="F464" s="675" t="n">
        <v>1</v>
      </c>
      <c r="G464" s="676" t="inlineStr">
        <is>
          <t xml:space="preserve">Location d’immeuble </t>
        </is>
      </c>
      <c r="H464" s="673" t="inlineStr">
        <is>
          <t>VALIDE</t>
        </is>
      </c>
      <c r="I464" s="675" t="inlineStr">
        <is>
          <t>APPROUVE</t>
        </is>
      </c>
      <c r="J464" s="675" t="n">
        <v>20000474</v>
      </c>
      <c r="K464" s="673" t="inlineStr">
        <is>
          <t>NON CONCERNE</t>
        </is>
      </c>
      <c r="L464" s="675" t="inlineStr">
        <is>
          <t>Ordinaire</t>
        </is>
      </c>
      <c r="M464" s="677" t="inlineStr">
        <is>
          <t>FONCTIONNEMENT</t>
        </is>
      </c>
      <c r="N464" s="678" t="inlineStr">
        <is>
          <t>Locations</t>
        </is>
      </c>
      <c r="O464" s="679" t="n"/>
      <c r="P464" s="680" t="n"/>
      <c r="Q464" s="680" t="n"/>
      <c r="R464" s="675" t="inlineStr">
        <is>
          <t>RECONDUCTIBLE</t>
        </is>
      </c>
      <c r="S464" s="681" t="n"/>
      <c r="T464" s="682" t="n"/>
      <c r="U464" s="683" t="inlineStr">
        <is>
          <t>TARIK JAKHOUKH</t>
        </is>
      </c>
      <c r="V464" s="675" t="n"/>
      <c r="W464" s="682" t="n"/>
      <c r="X464" s="682" t="n"/>
      <c r="Y464" s="682" t="n"/>
      <c r="Z464" s="679">
        <f>AD464</f>
        <v/>
      </c>
      <c r="AA464" s="680" t="n">
        <v>0</v>
      </c>
      <c r="AB464" s="680">
        <f>AD464</f>
        <v/>
      </c>
      <c r="AC464" s="680" t="n">
        <v>0</v>
      </c>
      <c r="AD464" s="680">
        <f>AE464</f>
        <v/>
      </c>
      <c r="AE464" s="680" t="n">
        <v>521449.44</v>
      </c>
      <c r="AF464" s="684" t="inlineStr">
        <is>
          <t>ENGAGE</t>
        </is>
      </c>
      <c r="AG464" s="683" t="n"/>
      <c r="AH464" s="680" t="n"/>
      <c r="AI464" s="680" t="n"/>
      <c r="AJ464" s="680" t="n"/>
      <c r="AK464" s="680" t="n"/>
      <c r="AL464" s="685" t="n"/>
      <c r="AM464" s="685" t="n"/>
      <c r="AN464" s="683" t="inlineStr">
        <is>
          <t>R.A.S</t>
        </is>
      </c>
    </row>
    <row r="465" ht="32" customHeight="1" s="392">
      <c r="A465" s="672">
        <f>IF(AF465="ENGAGE","✔",IF(AF465="EN COURS D'ENGAGEMENT","◕",IF(AF465="PREENGAGE","◑",IF(AF465="EN COURS DE PREENGAGEMENT","◔",IF(AF465="NON ENGAGE","✖","")))))</f>
        <v/>
      </c>
      <c r="B465" s="673" t="n">
        <v>2026</v>
      </c>
      <c r="C465" s="674" t="inlineStr">
        <is>
          <t>DPMG</t>
        </is>
      </c>
      <c r="D465" s="674" t="inlineStr">
        <is>
          <t>RECONDUCTIBLE</t>
        </is>
      </c>
      <c r="E465" s="675" t="inlineStr">
        <is>
          <t>CONTRAT</t>
        </is>
      </c>
      <c r="F465" s="675" t="n">
        <v>1</v>
      </c>
      <c r="G465" s="676" t="inlineStr">
        <is>
          <t xml:space="preserve">Location d’immeuble </t>
        </is>
      </c>
      <c r="H465" s="673" t="inlineStr">
        <is>
          <t>VALIDE</t>
        </is>
      </c>
      <c r="I465" s="675" t="inlineStr">
        <is>
          <t>APPROUVE</t>
        </is>
      </c>
      <c r="J465" s="675" t="n">
        <v>20000475</v>
      </c>
      <c r="K465" s="673" t="inlineStr">
        <is>
          <t>NON CONCERNE</t>
        </is>
      </c>
      <c r="L465" s="675" t="inlineStr">
        <is>
          <t>Ordinaire</t>
        </is>
      </c>
      <c r="M465" s="677" t="inlineStr">
        <is>
          <t>FONCTIONNEMENT</t>
        </is>
      </c>
      <c r="N465" s="678" t="inlineStr">
        <is>
          <t>Locations</t>
        </is>
      </c>
      <c r="O465" s="679" t="n"/>
      <c r="P465" s="680" t="n"/>
      <c r="Q465" s="680" t="n"/>
      <c r="R465" s="675" t="inlineStr">
        <is>
          <t>RECONDUCTIBLE</t>
        </is>
      </c>
      <c r="S465" s="681" t="n"/>
      <c r="T465" s="682" t="n"/>
      <c r="U465" s="683" t="inlineStr">
        <is>
          <t>BADER-EDDINE  JAKHOUKH</t>
        </is>
      </c>
      <c r="V465" s="675" t="n"/>
      <c r="W465" s="682" t="n"/>
      <c r="X465" s="682" t="n"/>
      <c r="Y465" s="682" t="n"/>
      <c r="Z465" s="679">
        <f>AD465</f>
        <v/>
      </c>
      <c r="AA465" s="680" t="n">
        <v>0</v>
      </c>
      <c r="AB465" s="680">
        <f>AD465</f>
        <v/>
      </c>
      <c r="AC465" s="680" t="n">
        <v>0</v>
      </c>
      <c r="AD465" s="680">
        <f>AE465</f>
        <v/>
      </c>
      <c r="AE465" s="680" t="n">
        <v>521449.44</v>
      </c>
      <c r="AF465" s="684" t="inlineStr">
        <is>
          <t>ENGAGE</t>
        </is>
      </c>
      <c r="AG465" s="683" t="n"/>
      <c r="AH465" s="680" t="n"/>
      <c r="AI465" s="680" t="n"/>
      <c r="AJ465" s="680" t="n"/>
      <c r="AK465" s="680" t="n"/>
      <c r="AL465" s="685" t="n"/>
      <c r="AM465" s="685" t="n"/>
      <c r="AN465" s="683" t="inlineStr">
        <is>
          <t>R.A.S</t>
        </is>
      </c>
    </row>
    <row r="466" ht="32" customHeight="1" s="392">
      <c r="A466" s="672">
        <f>IF(AF466="ENGAGE","✔",IF(AF466="EN COURS D'ENGAGEMENT","◕",IF(AF466="PREENGAGE","◑",IF(AF466="EN COURS DE PREENGAGEMENT","◔",IF(AF466="NON ENGAGE","✖","")))))</f>
        <v/>
      </c>
      <c r="B466" s="673" t="n">
        <v>2026</v>
      </c>
      <c r="C466" s="674" t="inlineStr">
        <is>
          <t>DPMG</t>
        </is>
      </c>
      <c r="D466" s="674" t="inlineStr">
        <is>
          <t>RECONDUCTIBLE</t>
        </is>
      </c>
      <c r="E466" s="675" t="inlineStr">
        <is>
          <t>CONTRAT</t>
        </is>
      </c>
      <c r="F466" s="675" t="n">
        <v>1</v>
      </c>
      <c r="G466" s="676" t="inlineStr">
        <is>
          <t xml:space="preserve">Location d’immeuble </t>
        </is>
      </c>
      <c r="H466" s="673" t="inlineStr">
        <is>
          <t>VALIDE</t>
        </is>
      </c>
      <c r="I466" s="675" t="inlineStr">
        <is>
          <t>APPROUVE</t>
        </is>
      </c>
      <c r="J466" s="675" t="n">
        <v>20000476</v>
      </c>
      <c r="K466" s="673" t="inlineStr">
        <is>
          <t>NON CONCERNE</t>
        </is>
      </c>
      <c r="L466" s="675" t="inlineStr">
        <is>
          <t>Ordinaire</t>
        </is>
      </c>
      <c r="M466" s="677" t="inlineStr">
        <is>
          <t>FONCTIONNEMENT</t>
        </is>
      </c>
      <c r="N466" s="678" t="inlineStr">
        <is>
          <t>Locations</t>
        </is>
      </c>
      <c r="O466" s="679" t="n"/>
      <c r="P466" s="680" t="n"/>
      <c r="Q466" s="680" t="n"/>
      <c r="R466" s="675" t="inlineStr">
        <is>
          <t>RECONDUCTIBLE</t>
        </is>
      </c>
      <c r="S466" s="681" t="n"/>
      <c r="T466" s="682" t="n"/>
      <c r="U466" s="683" t="inlineStr">
        <is>
          <t>ANOUAR  JAKHOUKH</t>
        </is>
      </c>
      <c r="V466" s="675" t="n"/>
      <c r="W466" s="682" t="n"/>
      <c r="X466" s="682" t="n"/>
      <c r="Y466" s="682" t="n"/>
      <c r="Z466" s="679">
        <f>AD466</f>
        <v/>
      </c>
      <c r="AA466" s="680" t="n">
        <v>0</v>
      </c>
      <c r="AB466" s="680">
        <f>AD466</f>
        <v/>
      </c>
      <c r="AC466" s="680" t="n">
        <v>0</v>
      </c>
      <c r="AD466" s="680">
        <f>AE466</f>
        <v/>
      </c>
      <c r="AE466" s="680" t="n">
        <v>521449.44</v>
      </c>
      <c r="AF466" s="684" t="inlineStr">
        <is>
          <t>ENGAGE</t>
        </is>
      </c>
      <c r="AG466" s="683" t="n"/>
      <c r="AH466" s="680" t="n"/>
      <c r="AI466" s="680" t="n"/>
      <c r="AJ466" s="680" t="n"/>
      <c r="AK466" s="680" t="n"/>
      <c r="AL466" s="685" t="n"/>
      <c r="AM466" s="685" t="n"/>
      <c r="AN466" s="683" t="inlineStr">
        <is>
          <t>R.A.S</t>
        </is>
      </c>
    </row>
    <row r="467" ht="32" customHeight="1" s="392">
      <c r="A467" s="672">
        <f>IF(AF467="ENGAGE","✔",IF(AF467="EN COURS D'ENGAGEMENT","◕",IF(AF467="PREENGAGE","◑",IF(AF467="EN COURS DE PREENGAGEMENT","◔",IF(AF467="NON ENGAGE","✖","")))))</f>
        <v/>
      </c>
      <c r="B467" s="673" t="n">
        <v>2026</v>
      </c>
      <c r="C467" s="674" t="inlineStr">
        <is>
          <t>DPMG</t>
        </is>
      </c>
      <c r="D467" s="674" t="inlineStr">
        <is>
          <t>RECONDUCTIBLE</t>
        </is>
      </c>
      <c r="E467" s="675" t="inlineStr">
        <is>
          <t>CONTRAT</t>
        </is>
      </c>
      <c r="F467" s="675" t="n">
        <v>1</v>
      </c>
      <c r="G467" s="676" t="inlineStr">
        <is>
          <t xml:space="preserve">Location d’immeuble </t>
        </is>
      </c>
      <c r="H467" s="673" t="inlineStr">
        <is>
          <t>VALIDE</t>
        </is>
      </c>
      <c r="I467" s="675" t="inlineStr">
        <is>
          <t>APPROUVE</t>
        </is>
      </c>
      <c r="J467" s="675" t="n">
        <v>20000479</v>
      </c>
      <c r="K467" s="673" t="inlineStr">
        <is>
          <t>NON CONCERNE</t>
        </is>
      </c>
      <c r="L467" s="675" t="inlineStr">
        <is>
          <t>Ordinaire</t>
        </is>
      </c>
      <c r="M467" s="677" t="inlineStr">
        <is>
          <t>FONCTIONNEMENT</t>
        </is>
      </c>
      <c r="N467" s="678" t="inlineStr">
        <is>
          <t>Locations</t>
        </is>
      </c>
      <c r="O467" s="679" t="n"/>
      <c r="P467" s="680" t="n"/>
      <c r="Q467" s="680" t="n"/>
      <c r="R467" s="675" t="inlineStr">
        <is>
          <t>RECONDUCTIBLE</t>
        </is>
      </c>
      <c r="S467" s="681" t="n"/>
      <c r="T467" s="682" t="n"/>
      <c r="U467" s="683" t="inlineStr">
        <is>
          <t>NADIA LYOUSSI</t>
        </is>
      </c>
      <c r="V467" s="675" t="n"/>
      <c r="W467" s="682" t="n"/>
      <c r="X467" s="682" t="n"/>
      <c r="Y467" s="682" t="n"/>
      <c r="Z467" s="679">
        <f>AD467</f>
        <v/>
      </c>
      <c r="AA467" s="680" t="n">
        <v>0</v>
      </c>
      <c r="AB467" s="680">
        <f>AD467</f>
        <v/>
      </c>
      <c r="AC467" s="680" t="n">
        <v>0</v>
      </c>
      <c r="AD467" s="680">
        <f>AE467</f>
        <v/>
      </c>
      <c r="AE467" s="680" t="n">
        <v>75219.96000000001</v>
      </c>
      <c r="AF467" s="684" t="inlineStr">
        <is>
          <t>ENGAGE</t>
        </is>
      </c>
      <c r="AG467" s="683" t="n"/>
      <c r="AH467" s="680" t="n"/>
      <c r="AI467" s="680" t="n"/>
      <c r="AJ467" s="680" t="n"/>
      <c r="AK467" s="680" t="n"/>
      <c r="AL467" s="685" t="n"/>
      <c r="AM467" s="685" t="n"/>
      <c r="AN467" s="683" t="inlineStr">
        <is>
          <t>R.A.S</t>
        </is>
      </c>
    </row>
    <row r="468" ht="32" customHeight="1" s="392">
      <c r="A468" s="672">
        <f>IF(AF468="ENGAGE","✔",IF(AF468="EN COURS D'ENGAGEMENT","◕",IF(AF468="PREENGAGE","◑",IF(AF468="EN COURS DE PREENGAGEMENT","◔",IF(AF468="NON ENGAGE","✖","")))))</f>
        <v/>
      </c>
      <c r="B468" s="673" t="n">
        <v>2026</v>
      </c>
      <c r="C468" s="674" t="inlineStr">
        <is>
          <t>DPMG</t>
        </is>
      </c>
      <c r="D468" s="674" t="inlineStr">
        <is>
          <t>RECONDUCTIBLE</t>
        </is>
      </c>
      <c r="E468" s="675" t="inlineStr">
        <is>
          <t>CONTRAT</t>
        </is>
      </c>
      <c r="F468" s="675" t="n">
        <v>1</v>
      </c>
      <c r="G468" s="676" t="inlineStr">
        <is>
          <t xml:space="preserve">Location d’immeuble </t>
        </is>
      </c>
      <c r="H468" s="673" t="inlineStr">
        <is>
          <t>VALIDE</t>
        </is>
      </c>
      <c r="I468" s="675" t="inlineStr">
        <is>
          <t>APPROUVE</t>
        </is>
      </c>
      <c r="J468" s="675" t="n">
        <v>20000478</v>
      </c>
      <c r="K468" s="673" t="inlineStr">
        <is>
          <t>NON CONCERNE</t>
        </is>
      </c>
      <c r="L468" s="675" t="inlineStr">
        <is>
          <t>Ordinaire</t>
        </is>
      </c>
      <c r="M468" s="677" t="inlineStr">
        <is>
          <t>FONCTIONNEMENT</t>
        </is>
      </c>
      <c r="N468" s="678" t="inlineStr">
        <is>
          <t>Locations</t>
        </is>
      </c>
      <c r="O468" s="679" t="n"/>
      <c r="P468" s="680" t="n"/>
      <c r="Q468" s="680" t="n"/>
      <c r="R468" s="675" t="inlineStr">
        <is>
          <t>RECONDUCTIBLE</t>
        </is>
      </c>
      <c r="S468" s="681" t="n"/>
      <c r="T468" s="682" t="n"/>
      <c r="U468" s="683" t="inlineStr">
        <is>
          <t>NADIA LYOUSSI</t>
        </is>
      </c>
      <c r="V468" s="675" t="n"/>
      <c r="W468" s="682" t="n"/>
      <c r="X468" s="682" t="n"/>
      <c r="Y468" s="682" t="n"/>
      <c r="Z468" s="679">
        <f>AD468</f>
        <v/>
      </c>
      <c r="AA468" s="680" t="n">
        <v>0</v>
      </c>
      <c r="AB468" s="680">
        <f>AD468</f>
        <v/>
      </c>
      <c r="AC468" s="680" t="n">
        <v>0</v>
      </c>
      <c r="AD468" s="680">
        <f>AE468</f>
        <v/>
      </c>
      <c r="AE468" s="680" t="n">
        <v>38579.88</v>
      </c>
      <c r="AF468" s="684" t="inlineStr">
        <is>
          <t>ENGAGE</t>
        </is>
      </c>
      <c r="AG468" s="683" t="n"/>
      <c r="AH468" s="680" t="n"/>
      <c r="AI468" s="680" t="n"/>
      <c r="AJ468" s="680" t="n"/>
      <c r="AK468" s="680" t="n"/>
      <c r="AL468" s="685" t="n"/>
      <c r="AM468" s="685" t="n"/>
      <c r="AN468" s="683" t="inlineStr">
        <is>
          <t>R.A.S</t>
        </is>
      </c>
    </row>
    <row r="469" ht="32" customHeight="1" s="392">
      <c r="A469" s="672">
        <f>IF(AF469="ENGAGE","✔",IF(AF469="EN COURS D'ENGAGEMENT","◕",IF(AF469="PREENGAGE","◑",IF(AF469="EN COURS DE PREENGAGEMENT","◔",IF(AF469="NON ENGAGE","✖","")))))</f>
        <v/>
      </c>
      <c r="B469" s="673" t="n">
        <v>2026</v>
      </c>
      <c r="C469" s="674" t="inlineStr">
        <is>
          <t>DPMG</t>
        </is>
      </c>
      <c r="D469" s="674" t="inlineStr">
        <is>
          <t>RECONDUCTIBLE</t>
        </is>
      </c>
      <c r="E469" s="675" t="inlineStr">
        <is>
          <t>CONTRAT</t>
        </is>
      </c>
      <c r="F469" s="675" t="n">
        <v>1</v>
      </c>
      <c r="G469" s="676" t="inlineStr">
        <is>
          <t xml:space="preserve">Location d’immeuble </t>
        </is>
      </c>
      <c r="H469" s="673" t="inlineStr">
        <is>
          <t>VALIDE</t>
        </is>
      </c>
      <c r="I469" s="675" t="inlineStr">
        <is>
          <t>APPROUVE</t>
        </is>
      </c>
      <c r="J469" s="675" t="n">
        <v>20000477</v>
      </c>
      <c r="K469" s="673" t="inlineStr">
        <is>
          <t>NON CONCERNE</t>
        </is>
      </c>
      <c r="L469" s="675" t="inlineStr">
        <is>
          <t>Ordinaire</t>
        </is>
      </c>
      <c r="M469" s="677" t="inlineStr">
        <is>
          <t>FONCTIONNEMENT</t>
        </is>
      </c>
      <c r="N469" s="678" t="inlineStr">
        <is>
          <t>Locations</t>
        </is>
      </c>
      <c r="O469" s="679" t="n"/>
      <c r="P469" s="680" t="n"/>
      <c r="Q469" s="680" t="n"/>
      <c r="R469" s="675" t="inlineStr">
        <is>
          <t>RECONDUCTIBLE</t>
        </is>
      </c>
      <c r="S469" s="681" t="n"/>
      <c r="T469" s="682" t="n"/>
      <c r="U469" s="683" t="inlineStr">
        <is>
          <t xml:space="preserve">RAZAMA MOHAMED </t>
        </is>
      </c>
      <c r="V469" s="675" t="n"/>
      <c r="W469" s="682" t="n"/>
      <c r="X469" s="682" t="n"/>
      <c r="Y469" s="682" t="n"/>
      <c r="Z469" s="679">
        <f>AD469</f>
        <v/>
      </c>
      <c r="AA469" s="680" t="n">
        <v>0</v>
      </c>
      <c r="AB469" s="680">
        <f>AD469</f>
        <v/>
      </c>
      <c r="AC469" s="680" t="n">
        <v>0</v>
      </c>
      <c r="AD469" s="680">
        <f>AE469</f>
        <v/>
      </c>
      <c r="AE469" s="680" t="n">
        <v>319440</v>
      </c>
      <c r="AF469" s="684" t="inlineStr">
        <is>
          <t>ENGAGE</t>
        </is>
      </c>
      <c r="AG469" s="683" t="n"/>
      <c r="AH469" s="680" t="n"/>
      <c r="AI469" s="680" t="n"/>
      <c r="AJ469" s="680" t="n"/>
      <c r="AK469" s="680" t="n"/>
      <c r="AL469" s="685" t="n"/>
      <c r="AM469" s="685" t="n"/>
      <c r="AN469" s="683" t="inlineStr">
        <is>
          <t>R.A.S</t>
        </is>
      </c>
    </row>
    <row r="470" ht="32" customHeight="1" s="392">
      <c r="A470" s="672">
        <f>IF(AF470="ENGAGE","✔",IF(AF470="EN COURS D'ENGAGEMENT","◕",IF(AF470="PREENGAGE","◑",IF(AF470="EN COURS DE PREENGAGEMENT","◔",IF(AF470="NON ENGAGE","✖","")))))</f>
        <v/>
      </c>
      <c r="B470" s="673" t="n">
        <v>2026</v>
      </c>
      <c r="C470" s="674" t="inlineStr">
        <is>
          <t>DPMG</t>
        </is>
      </c>
      <c r="D470" s="674" t="inlineStr">
        <is>
          <t>RECONDUCTIBLE</t>
        </is>
      </c>
      <c r="E470" s="675" t="inlineStr">
        <is>
          <t>CONTRAT</t>
        </is>
      </c>
      <c r="F470" s="675" t="n">
        <v>1</v>
      </c>
      <c r="G470" s="676" t="inlineStr">
        <is>
          <t xml:space="preserve">Location d’immeuble </t>
        </is>
      </c>
      <c r="H470" s="673" t="inlineStr">
        <is>
          <t>VALIDE</t>
        </is>
      </c>
      <c r="I470" s="675" t="inlineStr">
        <is>
          <t>APPROUVE</t>
        </is>
      </c>
      <c r="J470" s="675" t="n">
        <v>20000462</v>
      </c>
      <c r="K470" s="673" t="inlineStr">
        <is>
          <t>NON CONCERNE</t>
        </is>
      </c>
      <c r="L470" s="675" t="inlineStr">
        <is>
          <t>Ordinaire</t>
        </is>
      </c>
      <c r="M470" s="677" t="inlineStr">
        <is>
          <t>FONCTIONNEMENT</t>
        </is>
      </c>
      <c r="N470" s="678" t="inlineStr">
        <is>
          <t>Locations</t>
        </is>
      </c>
      <c r="O470" s="679" t="n"/>
      <c r="P470" s="680" t="n"/>
      <c r="Q470" s="680" t="n"/>
      <c r="R470" s="675" t="inlineStr">
        <is>
          <t>RECONDUCTIBLE</t>
        </is>
      </c>
      <c r="S470" s="681" t="n"/>
      <c r="T470" s="682" t="n"/>
      <c r="U470" s="683" t="inlineStr">
        <is>
          <t>BEIDA M BAREK</t>
        </is>
      </c>
      <c r="V470" s="675" t="n"/>
      <c r="W470" s="682" t="n"/>
      <c r="X470" s="682" t="n"/>
      <c r="Y470" s="682" t="n"/>
      <c r="Z470" s="679">
        <f>AD470</f>
        <v/>
      </c>
      <c r="AA470" s="680" t="n">
        <v>0</v>
      </c>
      <c r="AB470" s="680">
        <f>AD470</f>
        <v/>
      </c>
      <c r="AC470" s="680" t="n">
        <v>0</v>
      </c>
      <c r="AD470" s="680">
        <f>AE470</f>
        <v/>
      </c>
      <c r="AE470" s="680" t="n">
        <v>154608.96</v>
      </c>
      <c r="AF470" s="684" t="inlineStr">
        <is>
          <t>ENGAGE</t>
        </is>
      </c>
      <c r="AG470" s="683" t="n"/>
      <c r="AH470" s="680" t="n"/>
      <c r="AI470" s="680" t="n"/>
      <c r="AJ470" s="680" t="n"/>
      <c r="AK470" s="680" t="n"/>
      <c r="AL470" s="685" t="n"/>
      <c r="AM470" s="685" t="n"/>
      <c r="AN470" s="683" t="inlineStr">
        <is>
          <t>R.A.S</t>
        </is>
      </c>
    </row>
    <row r="471" ht="32" customHeight="1" s="392">
      <c r="A471" s="672">
        <f>IF(AF471="ENGAGE","✔",IF(AF471="EN COURS D'ENGAGEMENT","◕",IF(AF471="PREENGAGE","◑",IF(AF471="EN COURS DE PREENGAGEMENT","◔",IF(AF471="NON ENGAGE","✖","")))))</f>
        <v/>
      </c>
      <c r="B471" s="673" t="n">
        <v>2026</v>
      </c>
      <c r="C471" s="674" t="inlineStr">
        <is>
          <t>DPMG</t>
        </is>
      </c>
      <c r="D471" s="674" t="inlineStr">
        <is>
          <t>RECONDUCTIBLE</t>
        </is>
      </c>
      <c r="E471" s="675" t="inlineStr">
        <is>
          <t>CONTRAT</t>
        </is>
      </c>
      <c r="F471" s="675" t="n">
        <v>1</v>
      </c>
      <c r="G471" s="676" t="inlineStr">
        <is>
          <t xml:space="preserve">Location d’immeuble </t>
        </is>
      </c>
      <c r="H471" s="673" t="inlineStr">
        <is>
          <t>VALIDE</t>
        </is>
      </c>
      <c r="I471" s="675" t="inlineStr">
        <is>
          <t>APPROUVE</t>
        </is>
      </c>
      <c r="J471" s="675" t="n">
        <v>20000483</v>
      </c>
      <c r="K471" s="673" t="inlineStr">
        <is>
          <t>NON CONCERNE</t>
        </is>
      </c>
      <c r="L471" s="675" t="inlineStr">
        <is>
          <t>Ordinaire</t>
        </is>
      </c>
      <c r="M471" s="677" t="inlineStr">
        <is>
          <t>FONCTIONNEMENT</t>
        </is>
      </c>
      <c r="N471" s="678" t="inlineStr">
        <is>
          <t>Locations</t>
        </is>
      </c>
      <c r="O471" s="679" t="n"/>
      <c r="P471" s="680" t="n"/>
      <c r="Q471" s="680" t="n"/>
      <c r="R471" s="675" t="inlineStr">
        <is>
          <t>RECONDUCTIBLE</t>
        </is>
      </c>
      <c r="S471" s="681" t="n"/>
      <c r="T471" s="682" t="n"/>
      <c r="U471" s="683" t="inlineStr">
        <is>
          <t xml:space="preserve">SOCIETE MEDITERRAC </t>
        </is>
      </c>
      <c r="V471" s="675" t="n"/>
      <c r="W471" s="682" t="n"/>
      <c r="X471" s="682" t="n"/>
      <c r="Y471" s="682" t="n"/>
      <c r="Z471" s="679">
        <f>AD471</f>
        <v/>
      </c>
      <c r="AA471" s="680" t="n">
        <v>0</v>
      </c>
      <c r="AB471" s="680">
        <f>AD471</f>
        <v/>
      </c>
      <c r="AC471" s="680" t="n">
        <v>0</v>
      </c>
      <c r="AD471" s="680">
        <f>AE471</f>
        <v/>
      </c>
      <c r="AE471" s="680" t="n">
        <v>92400</v>
      </c>
      <c r="AF471" s="684" t="inlineStr">
        <is>
          <t>ENGAGE</t>
        </is>
      </c>
      <c r="AG471" s="683" t="n"/>
      <c r="AH471" s="680" t="n"/>
      <c r="AI471" s="680" t="n"/>
      <c r="AJ471" s="680" t="n"/>
      <c r="AK471" s="680" t="n"/>
      <c r="AL471" s="685" t="n"/>
      <c r="AM471" s="685" t="n"/>
      <c r="AN471" s="683" t="inlineStr">
        <is>
          <t>R.A.S</t>
        </is>
      </c>
    </row>
    <row r="472" ht="32" customHeight="1" s="392">
      <c r="A472" s="672">
        <f>IF(AF472="ENGAGE","✔",IF(AF472="EN COURS D'ENGAGEMENT","◕",IF(AF472="PREENGAGE","◑",IF(AF472="EN COURS DE PREENGAGEMENT","◔",IF(AF472="NON ENGAGE","✖","")))))</f>
        <v/>
      </c>
      <c r="B472" s="673" t="n">
        <v>2026</v>
      </c>
      <c r="C472" s="674" t="inlineStr">
        <is>
          <t>DPMG</t>
        </is>
      </c>
      <c r="D472" s="674" t="inlineStr">
        <is>
          <t>RECONDUCTIBLE</t>
        </is>
      </c>
      <c r="E472" s="675" t="inlineStr">
        <is>
          <t>CONTRAT</t>
        </is>
      </c>
      <c r="F472" s="675" t="n">
        <v>1</v>
      </c>
      <c r="G472" s="676" t="inlineStr">
        <is>
          <t xml:space="preserve">Location d’immeuble </t>
        </is>
      </c>
      <c r="H472" s="673" t="inlineStr">
        <is>
          <t>VALIDE</t>
        </is>
      </c>
      <c r="I472" s="675" t="inlineStr">
        <is>
          <t>APPROUVE</t>
        </is>
      </c>
      <c r="J472" s="675" t="n">
        <v>20000457</v>
      </c>
      <c r="K472" s="673" t="inlineStr">
        <is>
          <t>NON CONCERNE</t>
        </is>
      </c>
      <c r="L472" s="675" t="inlineStr">
        <is>
          <t>Ordinaire</t>
        </is>
      </c>
      <c r="M472" s="677" t="inlineStr">
        <is>
          <t>FONCTIONNEMENT</t>
        </is>
      </c>
      <c r="N472" s="678" t="inlineStr">
        <is>
          <t>Locations</t>
        </is>
      </c>
      <c r="O472" s="679" t="n"/>
      <c r="P472" s="680" t="n"/>
      <c r="Q472" s="680" t="n"/>
      <c r="R472" s="675" t="inlineStr">
        <is>
          <t>RECONDUCTIBLE</t>
        </is>
      </c>
      <c r="S472" s="681" t="n"/>
      <c r="T472" s="682" t="n"/>
      <c r="U472" s="683" t="inlineStr">
        <is>
          <t>SOUKAINA AHL- CHEIKH</t>
        </is>
      </c>
      <c r="V472" s="675" t="n"/>
      <c r="W472" s="682" t="n"/>
      <c r="X472" s="682" t="n"/>
      <c r="Y472" s="682" t="n"/>
      <c r="Z472" s="679">
        <f>AD472</f>
        <v/>
      </c>
      <c r="AA472" s="680" t="n">
        <v>0</v>
      </c>
      <c r="AB472" s="680">
        <f>AD472</f>
        <v/>
      </c>
      <c r="AC472" s="680" t="n">
        <v>0</v>
      </c>
      <c r="AD472" s="680">
        <f>AE472</f>
        <v/>
      </c>
      <c r="AE472" s="680" t="n">
        <v>290400</v>
      </c>
      <c r="AF472" s="684" t="inlineStr">
        <is>
          <t>ENGAGE</t>
        </is>
      </c>
      <c r="AG472" s="683" t="n"/>
      <c r="AH472" s="680" t="n"/>
      <c r="AI472" s="680" t="n"/>
      <c r="AJ472" s="680" t="n"/>
      <c r="AK472" s="680" t="n"/>
      <c r="AL472" s="685" t="n"/>
      <c r="AM472" s="685" t="n"/>
      <c r="AN472" s="683" t="inlineStr">
        <is>
          <t>R.A.S</t>
        </is>
      </c>
    </row>
    <row r="473" ht="32" customHeight="1" s="392">
      <c r="A473" s="672">
        <f>IF(AF473="ENGAGE","✔",IF(AF473="EN COURS D'ENGAGEMENT","◕",IF(AF473="PREENGAGE","◑",IF(AF473="EN COURS DE PREENGAGEMENT","◔",IF(AF473="NON ENGAGE","✖","")))))</f>
        <v/>
      </c>
      <c r="B473" s="673" t="n">
        <v>2026</v>
      </c>
      <c r="C473" s="674" t="inlineStr">
        <is>
          <t>DPMG</t>
        </is>
      </c>
      <c r="D473" s="674" t="inlineStr">
        <is>
          <t>RECONDUCTIBLE</t>
        </is>
      </c>
      <c r="E473" s="675" t="inlineStr">
        <is>
          <t>CONTRAT</t>
        </is>
      </c>
      <c r="F473" s="675" t="n">
        <v>1</v>
      </c>
      <c r="G473" s="676" t="inlineStr">
        <is>
          <t xml:space="preserve">Location d’immeuble </t>
        </is>
      </c>
      <c r="H473" s="673" t="inlineStr">
        <is>
          <t>VALIDE</t>
        </is>
      </c>
      <c r="I473" s="675" t="inlineStr">
        <is>
          <t>APPROUVE</t>
        </is>
      </c>
      <c r="J473" s="675" t="n">
        <v>20000461</v>
      </c>
      <c r="K473" s="673" t="inlineStr">
        <is>
          <t>NON CONCERNE</t>
        </is>
      </c>
      <c r="L473" s="675" t="inlineStr">
        <is>
          <t>Ordinaire</t>
        </is>
      </c>
      <c r="M473" s="677" t="inlineStr">
        <is>
          <t>FONCTIONNEMENT</t>
        </is>
      </c>
      <c r="N473" s="678" t="inlineStr">
        <is>
          <t>Locations</t>
        </is>
      </c>
      <c r="O473" s="679" t="n"/>
      <c r="P473" s="680" t="n"/>
      <c r="Q473" s="680" t="n"/>
      <c r="R473" s="675" t="inlineStr">
        <is>
          <t>RECONDUCTIBLE</t>
        </is>
      </c>
      <c r="S473" s="681" t="n"/>
      <c r="T473" s="682" t="n"/>
      <c r="U473" s="683" t="inlineStr">
        <is>
          <t xml:space="preserve">GHLANA BOUHRIGUA </t>
        </is>
      </c>
      <c r="V473" s="675" t="n"/>
      <c r="W473" s="682" t="n"/>
      <c r="X473" s="682" t="n"/>
      <c r="Y473" s="682" t="n"/>
      <c r="Z473" s="679">
        <f>AD473</f>
        <v/>
      </c>
      <c r="AA473" s="680" t="n">
        <v>0</v>
      </c>
      <c r="AB473" s="680">
        <f>AD473</f>
        <v/>
      </c>
      <c r="AC473" s="680" t="n">
        <v>0</v>
      </c>
      <c r="AD473" s="680">
        <f>AE473</f>
        <v/>
      </c>
      <c r="AE473" s="680" t="n">
        <v>303600</v>
      </c>
      <c r="AF473" s="684" t="inlineStr">
        <is>
          <t>ENGAGE</t>
        </is>
      </c>
      <c r="AG473" s="683" t="n"/>
      <c r="AH473" s="680" t="n"/>
      <c r="AI473" s="680" t="n"/>
      <c r="AJ473" s="680" t="n"/>
      <c r="AK473" s="680" t="n"/>
      <c r="AL473" s="685" t="n"/>
      <c r="AM473" s="685" t="n"/>
      <c r="AN473" s="683" t="inlineStr">
        <is>
          <t>R.A.S</t>
        </is>
      </c>
    </row>
    <row r="474" ht="32" customHeight="1" s="392">
      <c r="A474" s="672">
        <f>IF(AF474="ENGAGE","✔",IF(AF474="EN COURS D'ENGAGEMENT","◕",IF(AF474="PREENGAGE","◑",IF(AF474="EN COURS DE PREENGAGEMENT","◔",IF(AF474="NON ENGAGE","✖","")))))</f>
        <v/>
      </c>
      <c r="B474" s="673" t="n">
        <v>2026</v>
      </c>
      <c r="C474" s="674" t="inlineStr">
        <is>
          <t>DPMG</t>
        </is>
      </c>
      <c r="D474" s="674" t="inlineStr">
        <is>
          <t>RECONDUCTIBLE</t>
        </is>
      </c>
      <c r="E474" s="675" t="inlineStr">
        <is>
          <t>CONTRAT</t>
        </is>
      </c>
      <c r="F474" s="675" t="n">
        <v>1</v>
      </c>
      <c r="G474" s="676" t="inlineStr">
        <is>
          <t xml:space="preserve">Location d’immeuble </t>
        </is>
      </c>
      <c r="H474" s="673" t="inlineStr">
        <is>
          <t>VALIDE</t>
        </is>
      </c>
      <c r="I474" s="675" t="inlineStr">
        <is>
          <t>APPROUVE</t>
        </is>
      </c>
      <c r="J474" s="675" t="n">
        <v>20000458</v>
      </c>
      <c r="K474" s="673" t="inlineStr">
        <is>
          <t>NON CONCERNE</t>
        </is>
      </c>
      <c r="L474" s="675" t="inlineStr">
        <is>
          <t>Ordinaire</t>
        </is>
      </c>
      <c r="M474" s="677" t="inlineStr">
        <is>
          <t>FONCTIONNEMENT</t>
        </is>
      </c>
      <c r="N474" s="678" t="inlineStr">
        <is>
          <t>Locations</t>
        </is>
      </c>
      <c r="O474" s="679" t="n"/>
      <c r="P474" s="680" t="n"/>
      <c r="Q474" s="680" t="n"/>
      <c r="R474" s="675" t="inlineStr">
        <is>
          <t>RECONDUCTIBLE</t>
        </is>
      </c>
      <c r="S474" s="681" t="n"/>
      <c r="T474" s="682" t="n"/>
      <c r="U474" s="683" t="inlineStr">
        <is>
          <t xml:space="preserve">ABDELHAFID EL AZHARI </t>
        </is>
      </c>
      <c r="V474" s="675" t="n"/>
      <c r="W474" s="682" t="n"/>
      <c r="X474" s="682" t="n"/>
      <c r="Y474" s="682" t="n"/>
      <c r="Z474" s="679">
        <f>AD474</f>
        <v/>
      </c>
      <c r="AA474" s="680" t="n">
        <v>0</v>
      </c>
      <c r="AB474" s="680">
        <f>AD474</f>
        <v/>
      </c>
      <c r="AC474" s="680" t="n">
        <v>0</v>
      </c>
      <c r="AD474" s="680">
        <f>AE474</f>
        <v/>
      </c>
      <c r="AE474" s="680" t="n">
        <v>288802.8</v>
      </c>
      <c r="AF474" s="684" t="inlineStr">
        <is>
          <t>ENGAGE</t>
        </is>
      </c>
      <c r="AG474" s="683" t="n"/>
      <c r="AH474" s="680" t="n"/>
      <c r="AI474" s="680" t="n"/>
      <c r="AJ474" s="680" t="n"/>
      <c r="AK474" s="680" t="n"/>
      <c r="AL474" s="685" t="n"/>
      <c r="AM474" s="685" t="n"/>
      <c r="AN474" s="683" t="inlineStr">
        <is>
          <t>R.A.S</t>
        </is>
      </c>
    </row>
    <row r="475" ht="35.7" customHeight="1" s="392">
      <c r="A475" s="672">
        <f>IF(AF475="ENGAGE","✔",IF(AF475="EN COURS D'ENGAGEMENT","◕",IF(AF475="PREENGAGE","◑",IF(AF475="EN COURS DE PREENGAGEMENT","◔",IF(AF475="NON ENGAGE","✖","")))))</f>
        <v/>
      </c>
      <c r="B475" s="673" t="n">
        <v>2026</v>
      </c>
      <c r="C475" s="674" t="inlineStr">
        <is>
          <t>DPMG</t>
        </is>
      </c>
      <c r="D475" s="674" t="inlineStr">
        <is>
          <t>RECONDUCTIBLE</t>
        </is>
      </c>
      <c r="E475" s="675" t="inlineStr">
        <is>
          <t>CONTRAT</t>
        </is>
      </c>
      <c r="F475" s="675" t="n">
        <v>1</v>
      </c>
      <c r="G475" s="676" t="inlineStr">
        <is>
          <t xml:space="preserve">Location d’immeuble </t>
        </is>
      </c>
      <c r="H475" s="673" t="inlineStr">
        <is>
          <t>VALIDE</t>
        </is>
      </c>
      <c r="I475" s="675" t="inlineStr">
        <is>
          <t>APPROUVE</t>
        </is>
      </c>
      <c r="J475" s="675" t="n">
        <v>20000463</v>
      </c>
      <c r="K475" s="673" t="inlineStr">
        <is>
          <t>NON CONCERNE</t>
        </is>
      </c>
      <c r="L475" s="675" t="inlineStr">
        <is>
          <t>Ordinaire</t>
        </is>
      </c>
      <c r="M475" s="677" t="inlineStr">
        <is>
          <t>FONCTIONNEMENT</t>
        </is>
      </c>
      <c r="N475" s="678" t="inlineStr">
        <is>
          <t>Locations</t>
        </is>
      </c>
      <c r="O475" s="679" t="n"/>
      <c r="P475" s="680" t="n"/>
      <c r="Q475" s="680" t="n"/>
      <c r="R475" s="675" t="inlineStr">
        <is>
          <t>RECONDUCTIBLE</t>
        </is>
      </c>
      <c r="S475" s="681" t="n"/>
      <c r="T475" s="682" t="n"/>
      <c r="U475" s="683" t="inlineStr">
        <is>
          <t xml:space="preserve">MOHAMED SALEM HAMOU OU ALI </t>
        </is>
      </c>
      <c r="V475" s="675" t="n"/>
      <c r="W475" s="682" t="n"/>
      <c r="X475" s="682" t="n"/>
      <c r="Y475" s="682" t="n"/>
      <c r="Z475" s="679">
        <f>AD475</f>
        <v/>
      </c>
      <c r="AA475" s="680" t="n">
        <v>0</v>
      </c>
      <c r="AB475" s="680">
        <f>AD475</f>
        <v/>
      </c>
      <c r="AC475" s="680" t="n">
        <v>0</v>
      </c>
      <c r="AD475" s="680">
        <f>AE475</f>
        <v/>
      </c>
      <c r="AE475" s="680" t="n">
        <v>406560</v>
      </c>
      <c r="AF475" s="684" t="inlineStr">
        <is>
          <t>ENGAGE</t>
        </is>
      </c>
      <c r="AG475" s="683" t="n"/>
      <c r="AH475" s="680" t="n"/>
      <c r="AI475" s="680" t="n"/>
      <c r="AJ475" s="680" t="n"/>
      <c r="AK475" s="680" t="n"/>
      <c r="AL475" s="685" t="n"/>
      <c r="AM475" s="685" t="n"/>
      <c r="AN475" s="683" t="inlineStr">
        <is>
          <t>R.A.S</t>
        </is>
      </c>
    </row>
    <row r="476" ht="32" customHeight="1" s="392">
      <c r="A476" s="672">
        <f>IF(AF476="ENGAGE","✔",IF(AF476="EN COURS D'ENGAGEMENT","◕",IF(AF476="PREENGAGE","◑",IF(AF476="EN COURS DE PREENGAGEMENT","◔",IF(AF476="NON ENGAGE","✖","")))))</f>
        <v/>
      </c>
      <c r="B476" s="673" t="n">
        <v>2026</v>
      </c>
      <c r="C476" s="674" t="inlineStr">
        <is>
          <t>DPMG</t>
        </is>
      </c>
      <c r="D476" s="674" t="inlineStr">
        <is>
          <t>RECONDUCTIBLE</t>
        </is>
      </c>
      <c r="E476" s="675" t="inlineStr">
        <is>
          <t>CONTRAT</t>
        </is>
      </c>
      <c r="F476" s="675" t="n">
        <v>1</v>
      </c>
      <c r="G476" s="676" t="inlineStr">
        <is>
          <t xml:space="preserve">Location d’immeuble </t>
        </is>
      </c>
      <c r="H476" s="673" t="inlineStr">
        <is>
          <t>VALIDE</t>
        </is>
      </c>
      <c r="I476" s="675" t="inlineStr">
        <is>
          <t>APPROUVE</t>
        </is>
      </c>
      <c r="J476" s="675" t="n">
        <v>20000447</v>
      </c>
      <c r="K476" s="673" t="inlineStr">
        <is>
          <t>NON CONCERNE</t>
        </is>
      </c>
      <c r="L476" s="675" t="inlineStr">
        <is>
          <t>Ordinaire</t>
        </is>
      </c>
      <c r="M476" s="677" t="inlineStr">
        <is>
          <t>FONCTIONNEMENT</t>
        </is>
      </c>
      <c r="N476" s="678" t="inlineStr">
        <is>
          <t>Locations</t>
        </is>
      </c>
      <c r="O476" s="679" t="n"/>
      <c r="P476" s="680" t="n"/>
      <c r="Q476" s="680" t="n"/>
      <c r="R476" s="675" t="inlineStr">
        <is>
          <t>RECONDUCTIBLE</t>
        </is>
      </c>
      <c r="S476" s="681" t="n"/>
      <c r="T476" s="682" t="n"/>
      <c r="U476" s="683" t="inlineStr">
        <is>
          <t xml:space="preserve">SOCIETE CIVILE LEOPARDI </t>
        </is>
      </c>
      <c r="V476" s="675" t="n"/>
      <c r="W476" s="682" t="n"/>
      <c r="X476" s="682" t="n"/>
      <c r="Y476" s="682" t="n"/>
      <c r="Z476" s="679">
        <f>AD476</f>
        <v/>
      </c>
      <c r="AA476" s="680" t="n">
        <v>0</v>
      </c>
      <c r="AB476" s="680">
        <f>AD476</f>
        <v/>
      </c>
      <c r="AC476" s="680" t="n">
        <v>0</v>
      </c>
      <c r="AD476" s="680">
        <f>AE476</f>
        <v/>
      </c>
      <c r="AE476" s="680" t="n">
        <v>58564</v>
      </c>
      <c r="AF476" s="684" t="inlineStr">
        <is>
          <t>ENGAGE</t>
        </is>
      </c>
      <c r="AG476" s="683" t="n"/>
      <c r="AH476" s="680" t="n"/>
      <c r="AI476" s="680" t="n"/>
      <c r="AJ476" s="680" t="n"/>
      <c r="AK476" s="680" t="n"/>
      <c r="AL476" s="685" t="n"/>
      <c r="AM476" s="685" t="n"/>
      <c r="AN476" s="683" t="inlineStr">
        <is>
          <t>R.A.S</t>
        </is>
      </c>
    </row>
    <row r="477" ht="50.55" customHeight="1" s="392">
      <c r="A477" s="672">
        <f>IF(AF477="ENGAGE","✔",IF(AF477="EN COURS D'ENGAGEMENT","◕",IF(AF477="PREENGAGE","◑",IF(AF477="EN COURS DE PREENGAGEMENT","◔",IF(AF477="NON ENGAGE","✖","")))))</f>
        <v/>
      </c>
      <c r="B477" s="673" t="n">
        <v>2022</v>
      </c>
      <c r="C477" s="674" t="inlineStr">
        <is>
          <t>DPMG</t>
        </is>
      </c>
      <c r="D477" s="674" t="inlineStr">
        <is>
          <t>RECONDUCTIBLE</t>
        </is>
      </c>
      <c r="E477" s="675" t="inlineStr">
        <is>
          <t>AOO-M</t>
        </is>
      </c>
      <c r="F477" s="675" t="n">
        <v>1</v>
      </c>
      <c r="G477" s="676" t="inlineStr">
        <is>
          <t>Location long durée de véhicule neufs sans option d’achat ainsi que les prestations qui lui sont accessoires et complémentaires pour la SNRT</t>
        </is>
      </c>
      <c r="H477" s="673" t="inlineStr">
        <is>
          <t>VALIDE</t>
        </is>
      </c>
      <c r="I477" s="675" t="inlineStr">
        <is>
          <t>APPROUVE</t>
        </is>
      </c>
      <c r="J477" s="675" t="inlineStr">
        <is>
          <t>32M/2022</t>
        </is>
      </c>
      <c r="K477" s="673" t="inlineStr">
        <is>
          <t>GENERAL</t>
        </is>
      </c>
      <c r="L477" s="675" t="inlineStr">
        <is>
          <t>Ordinaire</t>
        </is>
      </c>
      <c r="M477" s="677" t="inlineStr">
        <is>
          <t>FONCTIONNEMENT</t>
        </is>
      </c>
      <c r="N477" s="678" t="inlineStr">
        <is>
          <t>Location
Location matériel transport</t>
        </is>
      </c>
      <c r="O477" s="679" t="n"/>
      <c r="P477" s="680" t="n"/>
      <c r="Q477" s="680" t="n"/>
      <c r="R477" s="675" t="inlineStr">
        <is>
          <t>RECONDUCTIBLE</t>
        </is>
      </c>
      <c r="S477" s="681" t="n">
        <v>44844</v>
      </c>
      <c r="T477" s="682" t="n">
        <v>46670</v>
      </c>
      <c r="U477" s="683" t="inlineStr">
        <is>
          <t>WAFA LLD</t>
        </is>
      </c>
      <c r="V477" s="675" t="n">
        <v>2022</v>
      </c>
      <c r="W477" s="682" t="n"/>
      <c r="X477" s="682" t="n"/>
      <c r="Y477" s="682" t="n">
        <v>44761</v>
      </c>
      <c r="Z477" s="679" t="n">
        <v>6119655.7</v>
      </c>
      <c r="AA477" s="680" t="n">
        <v>0</v>
      </c>
      <c r="AB477" s="680" t="n">
        <v>7343586.84</v>
      </c>
      <c r="AC477" s="680" t="n">
        <v>0</v>
      </c>
      <c r="AD477" s="680">
        <f>Z477</f>
        <v/>
      </c>
      <c r="AE477" s="680">
        <f>AB477</f>
        <v/>
      </c>
      <c r="AF477" s="684" t="inlineStr">
        <is>
          <t>ENGAGE</t>
        </is>
      </c>
      <c r="AG477" s="683" t="n"/>
      <c r="AH477" s="680" t="n"/>
      <c r="AI477" s="680" t="n"/>
      <c r="AJ477" s="680" t="n"/>
      <c r="AK477" s="680" t="n"/>
      <c r="AL477" s="685" t="n"/>
      <c r="AM477" s="685" t="n"/>
      <c r="AN477" s="683" t="n"/>
    </row>
    <row r="478" ht="35.7" customHeight="1" s="392">
      <c r="A478" s="672">
        <f>IF(AF478="ENGAGE","✔",IF(AF478="EN COURS D'ENGAGEMENT","◕",IF(AF478="PREENGAGE","◑",IF(AF478="EN COURS DE PREENGAGEMENT","◔",IF(AF478="NON ENGAGE","✖","")))))</f>
        <v/>
      </c>
      <c r="B478" s="673" t="n">
        <v>2023</v>
      </c>
      <c r="C478" s="674" t="inlineStr">
        <is>
          <t>DPMG</t>
        </is>
      </c>
      <c r="D478" s="674" t="inlineStr">
        <is>
          <t>RECONDUCTIBLE</t>
        </is>
      </c>
      <c r="E478" s="675" t="inlineStr">
        <is>
          <t>AOO-M</t>
        </is>
      </c>
      <c r="F478" s="675" t="n">
        <v>1</v>
      </c>
      <c r="G478" s="676" t="inlineStr">
        <is>
          <t>Location de véhicules neufs avec chauffeurs pour le transport permanent et régulier du personnel de la SNRT</t>
        </is>
      </c>
      <c r="H478" s="673" t="inlineStr">
        <is>
          <t>VALIDE</t>
        </is>
      </c>
      <c r="I478" s="675" t="inlineStr">
        <is>
          <t>APPROUVE</t>
        </is>
      </c>
      <c r="J478" s="675" t="inlineStr">
        <is>
          <t>19M/2023</t>
        </is>
      </c>
      <c r="K478" s="673" t="inlineStr">
        <is>
          <t>GENERAL</t>
        </is>
      </c>
      <c r="L478" s="675" t="inlineStr">
        <is>
          <t>Ordinaire</t>
        </is>
      </c>
      <c r="M478" s="677" t="inlineStr">
        <is>
          <t>FONCTIONNEMENT</t>
        </is>
      </c>
      <c r="N478" s="678" t="inlineStr">
        <is>
          <t>Autres charges de fonctionnement</t>
        </is>
      </c>
      <c r="O478" s="679" t="n"/>
      <c r="P478" s="680" t="n"/>
      <c r="Q478" s="680" t="n"/>
      <c r="R478" s="675" t="inlineStr">
        <is>
          <t>RECONDUCTIBLE</t>
        </is>
      </c>
      <c r="S478" s="681" t="n">
        <v>45042</v>
      </c>
      <c r="T478" s="682" t="n">
        <v>46869</v>
      </c>
      <c r="U478" s="683" t="inlineStr">
        <is>
          <t>GM2 TOURS</t>
        </is>
      </c>
      <c r="V478" s="675" t="n">
        <v>2023</v>
      </c>
      <c r="W478" s="682" t="n"/>
      <c r="X478" s="682" t="n"/>
      <c r="Y478" s="682" t="n">
        <v>45028</v>
      </c>
      <c r="Z478" s="679" t="n">
        <v>1208077</v>
      </c>
      <c r="AA478" s="680" t="n">
        <v>0</v>
      </c>
      <c r="AB478" s="680" t="n">
        <v>1449692.4</v>
      </c>
      <c r="AC478" s="680" t="n">
        <v>0</v>
      </c>
      <c r="AD478" s="680">
        <f>Z478</f>
        <v/>
      </c>
      <c r="AE478" s="680">
        <f>AB478</f>
        <v/>
      </c>
      <c r="AF478" s="684" t="inlineStr">
        <is>
          <t>ENGAGE</t>
        </is>
      </c>
      <c r="AG478" s="683" t="n"/>
      <c r="AH478" s="680" t="n"/>
      <c r="AI478" s="680" t="n"/>
      <c r="AJ478" s="680" t="n"/>
      <c r="AK478" s="680" t="n"/>
      <c r="AL478" s="685" t="n"/>
      <c r="AM478" s="685" t="n"/>
      <c r="AN478" s="683" t="n"/>
    </row>
    <row r="479" ht="50.55" customHeight="1" s="392">
      <c r="A479" s="672">
        <f>IF(AF479="ENGAGE","✔",IF(AF479="EN COURS D'ENGAGEMENT","◕",IF(AF479="PREENGAGE","◑",IF(AF479="EN COURS DE PREENGAGEMENT","◔",IF(AF479="NON ENGAGE","✖","")))))</f>
        <v/>
      </c>
      <c r="B479" s="673" t="n">
        <v>2021</v>
      </c>
      <c r="C479" s="674" t="inlineStr">
        <is>
          <t>DPMG</t>
        </is>
      </c>
      <c r="D479" s="674" t="inlineStr">
        <is>
          <t>RECONDUCTIBLE</t>
        </is>
      </c>
      <c r="E479" s="675" t="inlineStr">
        <is>
          <t>AOO-M</t>
        </is>
      </c>
      <c r="F479" s="675" t="n">
        <v>1</v>
      </c>
      <c r="G479" s="676" t="inlineStr">
        <is>
          <t>Location long durée de véhicule neufs sans option d’achat ainsi que les prestations qui lui sont accessoires et complémentaires pour la SNRT</t>
        </is>
      </c>
      <c r="H479" s="673" t="inlineStr">
        <is>
          <t>VALIDE</t>
        </is>
      </c>
      <c r="I479" s="675" t="inlineStr">
        <is>
          <t>APPROUVE</t>
        </is>
      </c>
      <c r="J479" s="675" t="inlineStr">
        <is>
          <t>11M/2021</t>
        </is>
      </c>
      <c r="K479" s="673" t="inlineStr">
        <is>
          <t>GENERAL</t>
        </is>
      </c>
      <c r="L479" s="675" t="inlineStr">
        <is>
          <t>Ordinaire</t>
        </is>
      </c>
      <c r="M479" s="677" t="inlineStr">
        <is>
          <t>FONCTIONNEMENT</t>
        </is>
      </c>
      <c r="N479" s="678" t="inlineStr">
        <is>
          <t>Location
Location matériel transport</t>
        </is>
      </c>
      <c r="O479" s="679" t="n"/>
      <c r="P479" s="680" t="n"/>
      <c r="Q479" s="680" t="n"/>
      <c r="R479" s="675" t="inlineStr">
        <is>
          <t>RECONDUCTIBLE</t>
        </is>
      </c>
      <c r="S479" s="681" t="n">
        <v>44358</v>
      </c>
      <c r="T479" s="682" t="n">
        <v>46184</v>
      </c>
      <c r="U479" s="683" t="inlineStr">
        <is>
          <t>MARLOC EUROPCAR</t>
        </is>
      </c>
      <c r="V479" s="675" t="n">
        <v>2021</v>
      </c>
      <c r="W479" s="682" t="n"/>
      <c r="X479" s="682" t="n"/>
      <c r="Y479" s="682" t="n">
        <v>44312</v>
      </c>
      <c r="Z479" s="679" t="n"/>
      <c r="AA479" s="680" t="n">
        <v>0</v>
      </c>
      <c r="AB479" s="680" t="n">
        <v>2940732</v>
      </c>
      <c r="AC479" s="680" t="n">
        <v>0</v>
      </c>
      <c r="AD479" s="680" t="n"/>
      <c r="AE479" s="680" t="n">
        <v>2940732</v>
      </c>
      <c r="AF479" s="684" t="inlineStr">
        <is>
          <t>ENGAGE</t>
        </is>
      </c>
      <c r="AG479" s="683" t="n"/>
      <c r="AH479" s="680" t="n"/>
      <c r="AI479" s="680" t="n"/>
      <c r="AJ479" s="680" t="n"/>
      <c r="AK479" s="680" t="n"/>
      <c r="AL479" s="685" t="n"/>
      <c r="AM479" s="685" t="n"/>
      <c r="AN479" s="683" t="inlineStr">
        <is>
          <t>Jusqu’a 11 Juin 2026</t>
        </is>
      </c>
    </row>
    <row r="480" ht="35.7" customHeight="1" s="392">
      <c r="A480" s="672">
        <f>IF(AF480="ENGAGE","✔",IF(AF480="EN COURS D'ENGAGEMENT","◕",IF(AF480="PREENGAGE","◑",IF(AF480="EN COURS DE PREENGAGEMENT","◔",IF(AF480="NON ENGAGE","✖","")))))</f>
        <v/>
      </c>
      <c r="B480" s="673" t="n">
        <v>2023</v>
      </c>
      <c r="C480" s="674" t="inlineStr">
        <is>
          <t>DPMG</t>
        </is>
      </c>
      <c r="D480" s="674" t="inlineStr">
        <is>
          <t>RECONDUCTIBLE</t>
        </is>
      </c>
      <c r="E480" s="675" t="inlineStr">
        <is>
          <t>AOO-M</t>
        </is>
      </c>
      <c r="F480" s="675" t="n">
        <v>1</v>
      </c>
      <c r="G480" s="676" t="inlineStr">
        <is>
          <t>Location de véhicules neufs avec chauffeurs pour le transport permanent et régulier du personnel de la SNRT</t>
        </is>
      </c>
      <c r="H480" s="673" t="inlineStr">
        <is>
          <t>VALIDE</t>
        </is>
      </c>
      <c r="I480" s="675" t="inlineStr">
        <is>
          <t>APPROUVE</t>
        </is>
      </c>
      <c r="J480" s="675" t="inlineStr">
        <is>
          <t>20M/2023</t>
        </is>
      </c>
      <c r="K480" s="673" t="inlineStr">
        <is>
          <t>GENERAL</t>
        </is>
      </c>
      <c r="L480" s="675" t="inlineStr">
        <is>
          <t>Ordinaire</t>
        </is>
      </c>
      <c r="M480" s="677" t="inlineStr">
        <is>
          <t>FONCTIONNEMENT</t>
        </is>
      </c>
      <c r="N480" s="678" t="inlineStr">
        <is>
          <t>Autres charges de fonctionnement</t>
        </is>
      </c>
      <c r="O480" s="679" t="n"/>
      <c r="P480" s="680" t="n"/>
      <c r="Q480" s="680" t="n"/>
      <c r="R480" s="675" t="inlineStr">
        <is>
          <t>RECONDUCTIBLE</t>
        </is>
      </c>
      <c r="S480" s="681" t="n">
        <v>45042</v>
      </c>
      <c r="T480" s="682" t="n">
        <v>46869</v>
      </c>
      <c r="U480" s="683" t="inlineStr">
        <is>
          <t>ANFGOU TOURS</t>
        </is>
      </c>
      <c r="V480" s="675" t="n">
        <v>2023</v>
      </c>
      <c r="W480" s="682" t="n"/>
      <c r="X480" s="682" t="n"/>
      <c r="Y480" s="682" t="n">
        <v>45028</v>
      </c>
      <c r="Z480" s="679" t="n">
        <v>572137.5</v>
      </c>
      <c r="AA480" s="680" t="n">
        <v>0</v>
      </c>
      <c r="AB480" s="680" t="n">
        <v>686565</v>
      </c>
      <c r="AC480" s="680" t="n">
        <v>0</v>
      </c>
      <c r="AD480" s="680">
        <f>Z480</f>
        <v/>
      </c>
      <c r="AE480" s="680">
        <f>AB480</f>
        <v/>
      </c>
      <c r="AF480" s="684" t="inlineStr">
        <is>
          <t>ENGAGE</t>
        </is>
      </c>
      <c r="AG480" s="683" t="n"/>
      <c r="AH480" s="680" t="n"/>
      <c r="AI480" s="680" t="n"/>
      <c r="AJ480" s="680" t="n"/>
      <c r="AK480" s="680" t="n"/>
      <c r="AL480" s="685" t="n"/>
      <c r="AM480" s="685" t="n"/>
      <c r="AN480" s="683" t="n"/>
    </row>
    <row r="481" ht="50.55" customHeight="1" s="392">
      <c r="A481" s="672">
        <f>IF(AF481="ENGAGE","✔",IF(AF481="EN COURS D'ENGAGEMENT","◕",IF(AF481="PREENGAGE","◑",IF(AF481="EN COURS DE PREENGAGEMENT","◔",IF(AF481="NON ENGAGE","✖","")))))</f>
        <v/>
      </c>
      <c r="B481" s="673" t="n">
        <v>2023</v>
      </c>
      <c r="C481" s="674" t="inlineStr">
        <is>
          <t>DPMG</t>
        </is>
      </c>
      <c r="D481" s="674" t="inlineStr">
        <is>
          <t>RECONDUCTIBLE</t>
        </is>
      </c>
      <c r="E481" s="675" t="inlineStr">
        <is>
          <t>AOO-M</t>
        </is>
      </c>
      <c r="F481" s="675" t="n">
        <v>1</v>
      </c>
      <c r="G481" s="676" t="inlineStr">
        <is>
          <t xml:space="preserve">Prestation de nettoyage complète y compris les produits de nettoyage et l'entretien des locaux administratifs et techniques des services centraux et régionaux de la SNRT. </t>
        </is>
      </c>
      <c r="H481" s="673" t="inlineStr">
        <is>
          <t>VALIDE</t>
        </is>
      </c>
      <c r="I481" s="675" t="inlineStr">
        <is>
          <t>APPROUVE</t>
        </is>
      </c>
      <c r="J481" s="675" t="inlineStr">
        <is>
          <t>02M/2023</t>
        </is>
      </c>
      <c r="K481" s="673" t="inlineStr">
        <is>
          <t>GENERAL</t>
        </is>
      </c>
      <c r="L481" s="675" t="inlineStr">
        <is>
          <t>Ordinaire</t>
        </is>
      </c>
      <c r="M481" s="677" t="inlineStr">
        <is>
          <t>FONCTIONNEMENT</t>
        </is>
      </c>
      <c r="N481" s="678" t="inlineStr">
        <is>
          <t>Prestations de service
Achat prestations de services locales - sociétés</t>
        </is>
      </c>
      <c r="O481" s="679" t="n"/>
      <c r="P481" s="680" t="n"/>
      <c r="Q481" s="680" t="n"/>
      <c r="R481" s="675" t="inlineStr">
        <is>
          <t>RECONDUCTIBLE</t>
        </is>
      </c>
      <c r="S481" s="681" t="n">
        <v>44959</v>
      </c>
      <c r="T481" s="682" t="n">
        <v>46055</v>
      </c>
      <c r="U481" s="683" t="inlineStr">
        <is>
          <t>HYATT NEGOCE SERVICE</t>
        </is>
      </c>
      <c r="V481" s="675" t="n">
        <v>2023</v>
      </c>
      <c r="W481" s="682" t="n"/>
      <c r="X481" s="682" t="n"/>
      <c r="Y481" s="682" t="n">
        <v>44957</v>
      </c>
      <c r="Z481" s="679" t="n"/>
      <c r="AA481" s="680" t="n">
        <v>0</v>
      </c>
      <c r="AB481" s="680" t="n">
        <v>867981.0699999999</v>
      </c>
      <c r="AC481" s="680" t="n">
        <v>0</v>
      </c>
      <c r="AD481" s="680" t="n"/>
      <c r="AE481" s="680" t="n">
        <v>867981.0699999999</v>
      </c>
      <c r="AF481" s="684" t="inlineStr">
        <is>
          <t>ENGAGE</t>
        </is>
      </c>
      <c r="AG481" s="683" t="n"/>
      <c r="AH481" s="680" t="n"/>
      <c r="AI481" s="680" t="n"/>
      <c r="AJ481" s="680" t="n"/>
      <c r="AK481" s="680" t="n"/>
      <c r="AL481" s="685" t="n"/>
      <c r="AM481" s="685" t="n"/>
      <c r="AN481" s="683" t="inlineStr">
        <is>
          <t>Facture réelle</t>
        </is>
      </c>
    </row>
    <row r="482" ht="50.55" customHeight="1" s="392">
      <c r="A482" s="672">
        <f>IF(AF482="ENGAGE","✔",IF(AF482="EN COURS D'ENGAGEMENT","◕",IF(AF482="PREENGAGE","◑",IF(AF482="EN COURS DE PREENGAGEMENT","◔",IF(AF482="NON ENGAGE","✖","")))))</f>
        <v/>
      </c>
      <c r="B482" s="673" t="n">
        <v>2023</v>
      </c>
      <c r="C482" s="674" t="inlineStr">
        <is>
          <t>DPMG</t>
        </is>
      </c>
      <c r="D482" s="674" t="inlineStr">
        <is>
          <t>RECONDUCTIBLE</t>
        </is>
      </c>
      <c r="E482" s="675" t="inlineStr">
        <is>
          <t>AOO-M</t>
        </is>
      </c>
      <c r="F482" s="675" t="n">
        <v>1</v>
      </c>
      <c r="G482" s="676" t="inlineStr">
        <is>
          <t>Location long durée de véhicule neufs sans option d’achat ainsi que les prestations qui lui sont accessoires et complémentaires pour la SNRT</t>
        </is>
      </c>
      <c r="H482" s="673" t="inlineStr">
        <is>
          <t>VALIDE</t>
        </is>
      </c>
      <c r="I482" s="675" t="inlineStr">
        <is>
          <t>APPROUVE</t>
        </is>
      </c>
      <c r="J482" s="675" t="inlineStr">
        <is>
          <t>97M/2023</t>
        </is>
      </c>
      <c r="K482" s="673" t="inlineStr">
        <is>
          <t>GENERAL</t>
        </is>
      </c>
      <c r="L482" s="675" t="inlineStr">
        <is>
          <t>Ordinaire</t>
        </is>
      </c>
      <c r="M482" s="677" t="inlineStr">
        <is>
          <t>FONCTIONNEMENT</t>
        </is>
      </c>
      <c r="N482" s="678" t="inlineStr">
        <is>
          <t>Location
Location matériel transport</t>
        </is>
      </c>
      <c r="O482" s="679" t="n"/>
      <c r="P482" s="680" t="n"/>
      <c r="Q482" s="680" t="n"/>
      <c r="R482" s="675" t="inlineStr">
        <is>
          <t>RECONDUCTIBLE</t>
        </is>
      </c>
      <c r="S482" s="681" t="n">
        <v>45378</v>
      </c>
      <c r="T482" s="682" t="n">
        <v>47204</v>
      </c>
      <c r="U482" s="683" t="inlineStr">
        <is>
          <t>MARLOC EUROPCAR</t>
        </is>
      </c>
      <c r="V482" s="675" t="n">
        <v>2023</v>
      </c>
      <c r="W482" s="682" t="n"/>
      <c r="X482" s="682" t="n"/>
      <c r="Y482" s="682" t="n">
        <v>45288</v>
      </c>
      <c r="Z482" s="679" t="n">
        <v>333060</v>
      </c>
      <c r="AA482" s="680" t="n">
        <v>0</v>
      </c>
      <c r="AB482" s="680" t="n">
        <v>399672</v>
      </c>
      <c r="AC482" s="680" t="n">
        <v>0</v>
      </c>
      <c r="AD482" s="680">
        <f>Z482</f>
        <v/>
      </c>
      <c r="AE482" s="680">
        <f>AB482</f>
        <v/>
      </c>
      <c r="AF482" s="684" t="inlineStr">
        <is>
          <t>ENGAGE</t>
        </is>
      </c>
      <c r="AG482" s="683" t="n"/>
      <c r="AH482" s="680" t="n"/>
      <c r="AI482" s="680" t="n"/>
      <c r="AJ482" s="680" t="n"/>
      <c r="AK482" s="680" t="n"/>
      <c r="AL482" s="685" t="n"/>
      <c r="AM482" s="685" t="n"/>
      <c r="AN482" s="683" t="n"/>
    </row>
    <row r="483" ht="50.55" customHeight="1" s="392">
      <c r="A483" s="672">
        <f>IF(AF483="ENGAGE","✔",IF(AF483="EN COURS D'ENGAGEMENT","◕",IF(AF483="PREENGAGE","◑",IF(AF483="EN COURS DE PREENGAGEMENT","◔",IF(AF483="NON ENGAGE","✖","")))))</f>
        <v/>
      </c>
      <c r="B483" s="673" t="n">
        <v>2022</v>
      </c>
      <c r="C483" s="674" t="inlineStr">
        <is>
          <t>DPMG</t>
        </is>
      </c>
      <c r="D483" s="674" t="inlineStr">
        <is>
          <t>RECONDUCTIBLE</t>
        </is>
      </c>
      <c r="E483" s="675" t="inlineStr">
        <is>
          <t>AOO-M</t>
        </is>
      </c>
      <c r="F483" s="675" t="n">
        <v>1</v>
      </c>
      <c r="G483" s="676" t="inlineStr">
        <is>
          <t>Location long durée de véhicule neufs sans option d’achat ainsi que les prestations qui lui sont accessoires et complémentaires pour la SNRT</t>
        </is>
      </c>
      <c r="H483" s="673" t="inlineStr">
        <is>
          <t>VALIDE</t>
        </is>
      </c>
      <c r="I483" s="675" t="inlineStr">
        <is>
          <t>APPROUVE</t>
        </is>
      </c>
      <c r="J483" s="675" t="inlineStr">
        <is>
          <t>40M/2024</t>
        </is>
      </c>
      <c r="K483" s="673" t="inlineStr">
        <is>
          <t>GENERAL</t>
        </is>
      </c>
      <c r="L483" s="675" t="inlineStr">
        <is>
          <t>Ordinaire</t>
        </is>
      </c>
      <c r="M483" s="677" t="inlineStr">
        <is>
          <t>FONCTIONNEMENT</t>
        </is>
      </c>
      <c r="N483" s="678" t="inlineStr">
        <is>
          <t>Location
Location matériel transport</t>
        </is>
      </c>
      <c r="O483" s="679" t="n"/>
      <c r="P483" s="680" t="n"/>
      <c r="Q483" s="680" t="n"/>
      <c r="R483" s="675" t="inlineStr">
        <is>
          <t>RECONDUCTIBLE</t>
        </is>
      </c>
      <c r="S483" s="681" t="n">
        <v>45650</v>
      </c>
      <c r="T483" s="682" t="n">
        <v>47476</v>
      </c>
      <c r="U483" s="683" t="inlineStr">
        <is>
          <t>WAFA LLD</t>
        </is>
      </c>
      <c r="V483" s="675" t="n">
        <v>2024</v>
      </c>
      <c r="W483" s="682" t="n"/>
      <c r="X483" s="682" t="n"/>
      <c r="Y483" s="682" t="n">
        <v>45559</v>
      </c>
      <c r="Z483" s="679" t="n">
        <v>2891971.65</v>
      </c>
      <c r="AA483" s="680" t="n">
        <v>0</v>
      </c>
      <c r="AB483" s="680" t="n">
        <v>3470365.98</v>
      </c>
      <c r="AC483" s="680" t="n">
        <v>0</v>
      </c>
      <c r="AD483" s="680">
        <f>Z483</f>
        <v/>
      </c>
      <c r="AE483" s="680">
        <f>AB483</f>
        <v/>
      </c>
      <c r="AF483" s="684" t="inlineStr">
        <is>
          <t>ENGAGE</t>
        </is>
      </c>
      <c r="AG483" s="683" t="n"/>
      <c r="AH483" s="680" t="n"/>
      <c r="AI483" s="680" t="n"/>
      <c r="AJ483" s="680" t="n"/>
      <c r="AK483" s="680" t="n"/>
      <c r="AL483" s="685" t="n"/>
      <c r="AM483" s="685" t="n"/>
      <c r="AN483" s="683" t="n"/>
    </row>
    <row r="484" ht="46.5" customHeight="1" s="392">
      <c r="A484" s="672">
        <f>IF(AF484="ENGAGE","✔",IF(AF484="EN COURS D'ENGAGEMENT","◕",IF(AF484="PREENGAGE","◑",IF(AF484="EN COURS DE PREENGAGEMENT","◔",IF(AF484="NON ENGAGE","✖","")))))</f>
        <v/>
      </c>
      <c r="B484" s="673" t="n">
        <v>2025</v>
      </c>
      <c r="C484" s="674" t="inlineStr">
        <is>
          <t>DPMG</t>
        </is>
      </c>
      <c r="D484" s="674" t="inlineStr">
        <is>
          <t>RECONDUCTIBLE</t>
        </is>
      </c>
      <c r="E484" s="675" t="inlineStr">
        <is>
          <t>AOO-M</t>
        </is>
      </c>
      <c r="F484" s="675" t="n">
        <v>1</v>
      </c>
      <c r="G484" s="676" t="inlineStr">
        <is>
          <t>Sécurité  et gardiennage Siège &amp; centres régionaux</t>
        </is>
      </c>
      <c r="H484" s="673" t="inlineStr">
        <is>
          <t>VALIDE</t>
        </is>
      </c>
      <c r="I484" s="675" t="inlineStr">
        <is>
          <t>APPROUVE</t>
        </is>
      </c>
      <c r="J484" s="675" t="inlineStr">
        <is>
          <t>19M/2025</t>
        </is>
      </c>
      <c r="K484" s="673" t="inlineStr">
        <is>
          <t>GENERAL</t>
        </is>
      </c>
      <c r="L484" s="675" t="inlineStr">
        <is>
          <t>Ordinaire</t>
        </is>
      </c>
      <c r="M484" s="677" t="inlineStr">
        <is>
          <t>FONCTIONNEMENT</t>
        </is>
      </c>
      <c r="N484" s="678" t="inlineStr">
        <is>
          <t>Prestations de service
Achat prestations de services locales - sociétés</t>
        </is>
      </c>
      <c r="O484" s="679" t="n"/>
      <c r="P484" s="680" t="n"/>
      <c r="Q484" s="680" t="n"/>
      <c r="R484" s="675" t="inlineStr">
        <is>
          <t>RECONDUCTIBLE</t>
        </is>
      </c>
      <c r="S484" s="681" t="n">
        <v>45778</v>
      </c>
      <c r="T484" s="682" t="n">
        <v>46874</v>
      </c>
      <c r="U484" s="683" t="inlineStr">
        <is>
          <t>HYATT NEGOCE SERVICE</t>
        </is>
      </c>
      <c r="V484" s="675" t="n">
        <v>2025</v>
      </c>
      <c r="W484" s="682" t="n"/>
      <c r="X484" s="682" t="n"/>
      <c r="Y484" s="682" t="n">
        <v>45777</v>
      </c>
      <c r="Z484" s="679">
        <f>+AB484/1.2</f>
        <v/>
      </c>
      <c r="AA484" s="680" t="n">
        <v>0</v>
      </c>
      <c r="AB484" s="680" t="n">
        <v>41205482</v>
      </c>
      <c r="AC484" s="680" t="n">
        <v>0</v>
      </c>
      <c r="AD484" s="680">
        <f>+Z484</f>
        <v/>
      </c>
      <c r="AE484" s="680">
        <f>+AB484</f>
        <v/>
      </c>
      <c r="AF484" s="684" t="inlineStr">
        <is>
          <t>ENGAGE</t>
        </is>
      </c>
      <c r="AG484" s="683" t="n"/>
      <c r="AH484" s="680" t="n"/>
      <c r="AI484" s="680" t="n"/>
      <c r="AJ484" s="680" t="n"/>
      <c r="AK484" s="680" t="n"/>
      <c r="AL484" s="685" t="n"/>
      <c r="AM484" s="685" t="n"/>
      <c r="AN484" s="683" t="n"/>
    </row>
    <row r="485" ht="95.10000000000001" customHeight="1" s="392">
      <c r="A485" s="672">
        <f>IF(AF485="ENGAGE","✔",IF(AF485="EN COURS D'ENGAGEMENT","◕",IF(AF485="PREENGAGE","◑",IF(AF485="EN COURS DE PREENGAGEMENT","◔",IF(AF485="NON ENGAGE","✖","")))))</f>
        <v/>
      </c>
      <c r="B485" s="673" t="n">
        <v>2025</v>
      </c>
      <c r="C485" s="674" t="inlineStr">
        <is>
          <t>DPMG</t>
        </is>
      </c>
      <c r="D485" s="674" t="inlineStr">
        <is>
          <t>RECONDUCTIBLE</t>
        </is>
      </c>
      <c r="E485" s="675" t="inlineStr">
        <is>
          <t>AOO-M</t>
        </is>
      </c>
      <c r="F485" s="675" t="n">
        <v>1</v>
      </c>
      <c r="G485" s="676" t="inlineStr">
        <is>
          <t>Prix n°1 : L’abonnement d’accès à des bases de données en ligne de la traçabilité de la flotte automobile SNRT. (En utilisant les boitiers GPS existants) Prix n°2 : L’abonnement d’accès à des bases de données en ligne de la traçabilité de la flotte automobile SNRT avec acquisition et installation de boitiers GPS</t>
        </is>
      </c>
      <c r="H485" s="673" t="inlineStr">
        <is>
          <t>VALIDE</t>
        </is>
      </c>
      <c r="I485" s="675" t="inlineStr">
        <is>
          <t>APPROUVE</t>
        </is>
      </c>
      <c r="J485" s="675" t="inlineStr">
        <is>
          <t>470 CT/SNRT/2025</t>
        </is>
      </c>
      <c r="K485" s="673" t="inlineStr">
        <is>
          <t>GENERAL</t>
        </is>
      </c>
      <c r="L485" s="675" t="inlineStr">
        <is>
          <t>Ordinaire</t>
        </is>
      </c>
      <c r="M485" s="677" t="inlineStr">
        <is>
          <t>FONCTIONNEMENT</t>
        </is>
      </c>
      <c r="N485" s="678" t="inlineStr">
        <is>
          <t>Redevances et cotisations</t>
        </is>
      </c>
      <c r="O485" s="679" t="n"/>
      <c r="P485" s="680" t="n"/>
      <c r="Q485" s="680" t="n"/>
      <c r="R485" s="675" t="inlineStr">
        <is>
          <t>RECONDUCTIBLE</t>
        </is>
      </c>
      <c r="S485" s="681" t="n">
        <v>45981</v>
      </c>
      <c r="T485" s="682" t="n">
        <v>47457</v>
      </c>
      <c r="U485" s="683" t="inlineStr">
        <is>
          <t>ARRIBAT TECHNOLOGY</t>
        </is>
      </c>
      <c r="V485" s="675" t="n">
        <v>2025</v>
      </c>
      <c r="W485" s="682" t="n"/>
      <c r="X485" s="682" t="n"/>
      <c r="Y485" s="682" t="n">
        <v>45981</v>
      </c>
      <c r="Z485" s="679" t="n">
        <v>150080</v>
      </c>
      <c r="AA485" s="680" t="n">
        <v>0</v>
      </c>
      <c r="AB485" s="680" t="n">
        <v>180096</v>
      </c>
      <c r="AC485" s="680" t="n">
        <v>0</v>
      </c>
      <c r="AD485" s="680" t="n">
        <v>150080</v>
      </c>
      <c r="AE485" s="680" t="n">
        <v>180096</v>
      </c>
      <c r="AF485" s="684" t="inlineStr">
        <is>
          <t>ENGAGE</t>
        </is>
      </c>
      <c r="AG485" s="683" t="n"/>
      <c r="AH485" s="680" t="n"/>
      <c r="AI485" s="680" t="n"/>
      <c r="AJ485" s="680" t="n"/>
      <c r="AK485" s="680" t="n"/>
      <c r="AL485" s="685" t="n"/>
      <c r="AM485" s="685" t="n"/>
      <c r="AN485" s="683" t="n"/>
    </row>
    <row r="486" ht="35.7" customHeight="1" s="392">
      <c r="A486" s="672">
        <f>IF(AF486="ENGAGE","✔",IF(AF486="EN COURS D'ENGAGEMENT","◕",IF(AF486="PREENGAGE","◑",IF(AF486="EN COURS DE PREENGAGEMENT","◔",IF(AF486="NON ENGAGE","✖","")))))</f>
        <v/>
      </c>
      <c r="B486" s="673" t="n">
        <v>2025</v>
      </c>
      <c r="C486" s="674" t="inlineStr">
        <is>
          <t>DPMG</t>
        </is>
      </c>
      <c r="D486" s="674" t="inlineStr">
        <is>
          <t>RECONDUCTIBLE</t>
        </is>
      </c>
      <c r="E486" s="675" t="inlineStr">
        <is>
          <t>CONTRAT</t>
        </is>
      </c>
      <c r="F486" s="675" t="n">
        <v>1</v>
      </c>
      <c r="G486" s="676" t="inlineStr">
        <is>
          <t xml:space="preserve">L'achat de carburant par "carbucarte" à lecture électronique pour les véhicules de la SNRT </t>
        </is>
      </c>
      <c r="H486" s="673" t="inlineStr">
        <is>
          <t>VALIDE</t>
        </is>
      </c>
      <c r="I486" s="675" t="inlineStr">
        <is>
          <t>APPROUVE</t>
        </is>
      </c>
      <c r="J486" s="675" t="inlineStr">
        <is>
          <t>Convention N° 392CT/SNRT/2025</t>
        </is>
      </c>
      <c r="K486" s="673" t="inlineStr">
        <is>
          <t>NON CONCERNE</t>
        </is>
      </c>
      <c r="L486" s="675" t="inlineStr">
        <is>
          <t>Ordinaire</t>
        </is>
      </c>
      <c r="M486" s="677" t="inlineStr">
        <is>
          <t>FONCTIONNEMENT</t>
        </is>
      </c>
      <c r="N486" s="678" t="inlineStr">
        <is>
          <t>Achats non stockés de matières et fournitures</t>
        </is>
      </c>
      <c r="O486" s="679" t="n"/>
      <c r="P486" s="680" t="n"/>
      <c r="Q486" s="680" t="n"/>
      <c r="R486" s="675" t="inlineStr">
        <is>
          <t>RECONDUCTIBLE</t>
        </is>
      </c>
      <c r="S486" s="681" t="n">
        <v>45761</v>
      </c>
      <c r="T486" s="682" t="n">
        <v>46856</v>
      </c>
      <c r="U486" s="683" t="inlineStr">
        <is>
          <t>AFRIQUIA SMDC</t>
        </is>
      </c>
      <c r="V486" s="675" t="n">
        <v>2025</v>
      </c>
      <c r="W486" s="682" t="n"/>
      <c r="X486" s="682" t="n"/>
      <c r="Y486" s="682" t="n"/>
      <c r="Z486" s="679" t="n">
        <v>8891000</v>
      </c>
      <c r="AA486" s="680" t="n">
        <v>0</v>
      </c>
      <c r="AB486" s="680" t="n">
        <v>9780100</v>
      </c>
      <c r="AC486" s="680" t="n">
        <v>0</v>
      </c>
      <c r="AD486" s="680" t="n">
        <v>8891000</v>
      </c>
      <c r="AE486" s="680">
        <f>AB486</f>
        <v/>
      </c>
      <c r="AF486" s="684" t="inlineStr">
        <is>
          <t>ENGAGE</t>
        </is>
      </c>
      <c r="AG486" s="683" t="n"/>
      <c r="AH486" s="680" t="n"/>
      <c r="AI486" s="680" t="n"/>
      <c r="AJ486" s="680" t="n"/>
      <c r="AK486" s="680" t="n"/>
      <c r="AL486" s="685" t="n"/>
      <c r="AM486" s="685" t="n"/>
      <c r="AN486" s="683" t="n"/>
    </row>
    <row r="487" ht="80.25" customHeight="1" s="392">
      <c r="A487" s="672">
        <f>IF(AF487="ENGAGE","✔",IF(AF487="EN COURS D'ENGAGEMENT","◕",IF(AF487="PREENGAGE","◑",IF(AF487="EN COURS DE PREENGAGEMENT","◔",IF(AF487="NON ENGAGE","✖","")))))</f>
        <v/>
      </c>
      <c r="B487" s="673" t="n">
        <v>2025</v>
      </c>
      <c r="C487" s="674" t="inlineStr">
        <is>
          <t>DPMG</t>
        </is>
      </c>
      <c r="D487" s="674" t="inlineStr">
        <is>
          <t>RECONDUCTIBLE</t>
        </is>
      </c>
      <c r="E487" s="675" t="inlineStr">
        <is>
          <t>CONTRAT</t>
        </is>
      </c>
      <c r="F487" s="675" t="n">
        <v>1</v>
      </c>
      <c r="G487" s="676" t="inlineStr">
        <is>
          <t>La couverture en termes d'assurance multirisque automobile pour l'ensemble du Par Auto de la SNRT Contrat N° FL 11202102045593/01/2025 + Assurance des nouveaux tracteurs acquis, ainsi les tracteurs en cours d'acquisition par la Direction technique.</t>
        </is>
      </c>
      <c r="H487" s="673" t="inlineStr">
        <is>
          <t>VALIDE</t>
        </is>
      </c>
      <c r="I487" s="675" t="inlineStr">
        <is>
          <t>APPROUVE</t>
        </is>
      </c>
      <c r="J487" s="675" t="inlineStr">
        <is>
          <t>FL 11202102045593/01/2025</t>
        </is>
      </c>
      <c r="K487" s="673" t="inlineStr">
        <is>
          <t>NON CONCERNE</t>
        </is>
      </c>
      <c r="L487" s="675" t="inlineStr">
        <is>
          <t>Ordinaire</t>
        </is>
      </c>
      <c r="M487" s="677" t="inlineStr">
        <is>
          <t>FONCTIONNEMENT</t>
        </is>
      </c>
      <c r="N487" s="678" t="inlineStr">
        <is>
          <t>Entretien, réparation et assurance</t>
        </is>
      </c>
      <c r="O487" s="679" t="n"/>
      <c r="P487" s="680" t="n"/>
      <c r="Q487" s="680" t="n"/>
      <c r="R487" s="675" t="inlineStr">
        <is>
          <t>RECONDUCTIBLE</t>
        </is>
      </c>
      <c r="S487" s="681" t="n">
        <v>45658</v>
      </c>
      <c r="T487" s="682" t="n">
        <v>47118</v>
      </c>
      <c r="U487" s="683" t="inlineStr">
        <is>
          <t>SANLAM</t>
        </is>
      </c>
      <c r="V487" s="675" t="n">
        <v>2025</v>
      </c>
      <c r="W487" s="682" t="n"/>
      <c r="X487" s="682" t="n"/>
      <c r="Y487" s="682" t="n"/>
      <c r="Z487" s="679" t="n"/>
      <c r="AA487" s="680" t="n">
        <v>0</v>
      </c>
      <c r="AB487" s="680" t="n">
        <v>400000</v>
      </c>
      <c r="AC487" s="680" t="n">
        <v>0</v>
      </c>
      <c r="AD487" s="680" t="n"/>
      <c r="AE487" s="680">
        <f>AB487</f>
        <v/>
      </c>
      <c r="AF487" s="684" t="inlineStr">
        <is>
          <t>ENGAGE</t>
        </is>
      </c>
      <c r="AG487" s="683" t="n"/>
      <c r="AH487" s="680" t="n"/>
      <c r="AI487" s="680" t="n"/>
      <c r="AJ487" s="680" t="n"/>
      <c r="AK487" s="680" t="n"/>
      <c r="AL487" s="685" t="n"/>
      <c r="AM487" s="685" t="n"/>
      <c r="AN487" s="683" t="n"/>
    </row>
    <row r="488" ht="50.55" customHeight="1" s="392">
      <c r="A488" s="672">
        <f>IF(AF488="ENGAGE","✔",IF(AF488="EN COURS D'ENGAGEMENT","◕",IF(AF488="PREENGAGE","◑",IF(AF488="EN COURS DE PREENGAGEMENT","◔",IF(AF488="NON ENGAGE","✖","")))))</f>
        <v/>
      </c>
      <c r="B488" s="673" t="inlineStr">
        <is>
          <t>-</t>
        </is>
      </c>
      <c r="C488" s="674" t="inlineStr">
        <is>
          <t>DPMG</t>
        </is>
      </c>
      <c r="D488" s="674" t="inlineStr">
        <is>
          <t>RECONDUCTIBLE</t>
        </is>
      </c>
      <c r="E488" s="675" t="inlineStr">
        <is>
          <t>CONTRAT</t>
        </is>
      </c>
      <c r="F488" s="675" t="n">
        <v>1</v>
      </c>
      <c r="G488" s="676" t="inlineStr">
        <is>
          <t>L’abonnement d’accès des données de traçabilité en ligne de la flotte automobile SNRT avec boitiers GPS  + acquisition des boitier pour les nouveaux véhicules</t>
        </is>
      </c>
      <c r="H488" s="673" t="inlineStr">
        <is>
          <t>VALIDE</t>
        </is>
      </c>
      <c r="I488" s="675" t="inlineStr">
        <is>
          <t>APPROUVE</t>
        </is>
      </c>
      <c r="J488" s="693" t="n"/>
      <c r="K488" s="673" t="inlineStr">
        <is>
          <t>NON CONCERNE</t>
        </is>
      </c>
      <c r="L488" s="675" t="inlineStr">
        <is>
          <t>Ordinaire</t>
        </is>
      </c>
      <c r="M488" s="677" t="inlineStr">
        <is>
          <t>FONCTIONNEMENT</t>
        </is>
      </c>
      <c r="N488" s="678" t="inlineStr">
        <is>
          <t>Redevances et cotisations</t>
        </is>
      </c>
      <c r="O488" s="679" t="n"/>
      <c r="P488" s="680" t="n"/>
      <c r="Q488" s="680" t="n"/>
      <c r="R488" s="675" t="inlineStr">
        <is>
          <t>RECONDUCTIBLE</t>
        </is>
      </c>
      <c r="S488" s="681" t="n"/>
      <c r="T488" s="682" t="n"/>
      <c r="U488" s="683" t="inlineStr">
        <is>
          <t>ARRIBAT TECHNOLOGY</t>
        </is>
      </c>
      <c r="V488" s="675" t="n">
        <v>2025</v>
      </c>
      <c r="W488" s="682" t="n"/>
      <c r="X488" s="682" t="n"/>
      <c r="Y488" s="682" t="n"/>
      <c r="Z488" s="679" t="n"/>
      <c r="AA488" s="680" t="n">
        <v>0</v>
      </c>
      <c r="AB488" s="680" t="n">
        <v>1100000</v>
      </c>
      <c r="AC488" s="680" t="n">
        <v>0</v>
      </c>
      <c r="AD488" s="680" t="n"/>
      <c r="AE488" s="680">
        <f>AB488</f>
        <v/>
      </c>
      <c r="AF488" s="684" t="inlineStr">
        <is>
          <t>ENGAGE</t>
        </is>
      </c>
      <c r="AG488" s="683" t="n"/>
      <c r="AH488" s="680" t="n"/>
      <c r="AI488" s="680" t="n"/>
      <c r="AJ488" s="680" t="n"/>
      <c r="AK488" s="680" t="n"/>
      <c r="AL488" s="685" t="n"/>
      <c r="AM488" s="685" t="n"/>
      <c r="AN488" s="683" t="n"/>
    </row>
    <row r="489" ht="35.7" customHeight="1" s="392">
      <c r="A489" s="672">
        <f>IF(AF489="ENGAGE","✔",IF(AF489="EN COURS D'ENGAGEMENT","◕",IF(AF489="PREENGAGE","◑",IF(AF489="EN COURS DE PREENGAGEMENT","◔",IF(AF489="NON ENGAGE","✖","")))))</f>
        <v/>
      </c>
      <c r="B489" s="673" t="inlineStr">
        <is>
          <t>-</t>
        </is>
      </c>
      <c r="C489" s="674" t="inlineStr">
        <is>
          <t>DPMG</t>
        </is>
      </c>
      <c r="D489" s="674" t="inlineStr">
        <is>
          <t>RECONDUCTIBLE</t>
        </is>
      </c>
      <c r="E489" s="675" t="inlineStr">
        <is>
          <t>CONTRAT</t>
        </is>
      </c>
      <c r="F489" s="675" t="n"/>
      <c r="G489" s="676" t="inlineStr">
        <is>
          <t xml:space="preserve">Acquisition et Recharge des Tags télépéage par la SNRT (JAWAZ) </t>
        </is>
      </c>
      <c r="H489" s="673" t="inlineStr">
        <is>
          <t>VALIDE</t>
        </is>
      </c>
      <c r="I489" s="675" t="inlineStr">
        <is>
          <t>APPROUVE</t>
        </is>
      </c>
      <c r="J489" s="675" t="inlineStr">
        <is>
          <t>Convention N°52/18/S</t>
        </is>
      </c>
      <c r="K489" s="673" t="inlineStr">
        <is>
          <t>NON CONCERNE</t>
        </is>
      </c>
      <c r="L489" s="675" t="inlineStr">
        <is>
          <t>Ordinaire</t>
        </is>
      </c>
      <c r="M489" s="677" t="inlineStr">
        <is>
          <t>FONCTIONNEMENT</t>
        </is>
      </c>
      <c r="N489" s="678" t="inlineStr">
        <is>
          <t>Déplacements, missions et réceptions</t>
        </is>
      </c>
      <c r="O489" s="679" t="n"/>
      <c r="P489" s="680" t="n"/>
      <c r="Q489" s="680" t="n"/>
      <c r="R489" s="675" t="inlineStr">
        <is>
          <t>RECONDUCTIBLE</t>
        </is>
      </c>
      <c r="S489" s="681" t="n"/>
      <c r="T489" s="682" t="n"/>
      <c r="U489" s="683" t="inlineStr">
        <is>
          <t>ADM</t>
        </is>
      </c>
      <c r="V489" s="675" t="n"/>
      <c r="W489" s="682" t="n"/>
      <c r="X489" s="682" t="n"/>
      <c r="Y489" s="682" t="n"/>
      <c r="Z489" s="679" t="n"/>
      <c r="AA489" s="680" t="n">
        <v>0</v>
      </c>
      <c r="AB489" s="680" t="n">
        <v>1200000</v>
      </c>
      <c r="AC489" s="680" t="n">
        <v>0</v>
      </c>
      <c r="AD489" s="680" t="n"/>
      <c r="AE489" s="680">
        <f>AB489</f>
        <v/>
      </c>
      <c r="AF489" s="684" t="inlineStr">
        <is>
          <t>ENGAGE</t>
        </is>
      </c>
      <c r="AG489" s="683" t="n"/>
      <c r="AH489" s="680" t="n"/>
      <c r="AI489" s="680" t="n"/>
      <c r="AJ489" s="680" t="n"/>
      <c r="AK489" s="680" t="n"/>
      <c r="AL489" s="685" t="n"/>
      <c r="AM489" s="685" t="n"/>
      <c r="AN489" s="683" t="n"/>
    </row>
    <row r="490" ht="32" customHeight="1" s="392">
      <c r="A490" s="672">
        <f>IF(AF490="ENGAGE","✔",IF(AF490="EN COURS D'ENGAGEMENT","◕",IF(AF490="PREENGAGE","◑",IF(AF490="EN COURS DE PREENGAGEMENT","◔",IF(AF490="NON ENGAGE","✖","")))))</f>
        <v/>
      </c>
      <c r="B490" s="673" t="inlineStr">
        <is>
          <t>-</t>
        </is>
      </c>
      <c r="C490" s="674" t="inlineStr">
        <is>
          <t>DPMG</t>
        </is>
      </c>
      <c r="D490" s="674" t="inlineStr">
        <is>
          <t>RECONDUCTIBLE</t>
        </is>
      </c>
      <c r="E490" s="675" t="inlineStr">
        <is>
          <t>CONTRAT</t>
        </is>
      </c>
      <c r="F490" s="675" t="n">
        <v>1</v>
      </c>
      <c r="G490" s="676" t="inlineStr">
        <is>
          <t xml:space="preserve">Contrat de la boite postale </t>
        </is>
      </c>
      <c r="H490" s="673" t="inlineStr">
        <is>
          <t>VALIDE</t>
        </is>
      </c>
      <c r="I490" s="675" t="inlineStr">
        <is>
          <t>APPROUVE</t>
        </is>
      </c>
      <c r="J490" s="693" t="n"/>
      <c r="K490" s="673" t="inlineStr">
        <is>
          <t>NON CONCERNE</t>
        </is>
      </c>
      <c r="L490" s="675" t="inlineStr">
        <is>
          <t>Ordinaire</t>
        </is>
      </c>
      <c r="M490" s="677" t="inlineStr">
        <is>
          <t>FONCTIONNEMENT</t>
        </is>
      </c>
      <c r="N490" s="678" t="inlineStr">
        <is>
          <t>Autres charges de fonctionnement</t>
        </is>
      </c>
      <c r="O490" s="679" t="n"/>
      <c r="P490" s="680" t="n"/>
      <c r="Q490" s="680" t="n"/>
      <c r="R490" s="675" t="inlineStr">
        <is>
          <t>RECONDUCTIBLE</t>
        </is>
      </c>
      <c r="S490" s="681" t="n"/>
      <c r="T490" s="682" t="n"/>
      <c r="U490" s="683" t="n"/>
      <c r="V490" s="675" t="n"/>
      <c r="W490" s="682" t="n"/>
      <c r="X490" s="682" t="n"/>
      <c r="Y490" s="682" t="n"/>
      <c r="Z490" s="679" t="n"/>
      <c r="AA490" s="680" t="n">
        <v>0</v>
      </c>
      <c r="AB490" s="680" t="n">
        <v>318</v>
      </c>
      <c r="AC490" s="680" t="n">
        <v>0</v>
      </c>
      <c r="AD490" s="680" t="n"/>
      <c r="AE490" s="680">
        <f>+AB490</f>
        <v/>
      </c>
      <c r="AF490" s="684" t="inlineStr">
        <is>
          <t>ENGAGE</t>
        </is>
      </c>
      <c r="AG490" s="683" t="n"/>
      <c r="AH490" s="680" t="n"/>
      <c r="AI490" s="680" t="n"/>
      <c r="AJ490" s="680" t="n"/>
      <c r="AK490" s="680" t="n"/>
      <c r="AL490" s="685" t="n"/>
      <c r="AM490" s="685" t="n"/>
      <c r="AN490" s="683" t="n"/>
    </row>
    <row r="491" ht="50.55" customHeight="1" s="392">
      <c r="A491" s="672">
        <f>IF(AF491="ENGAGE","✔",IF(AF491="EN COURS D'ENGAGEMENT","◕",IF(AF491="PREENGAGE","◑",IF(AF491="EN COURS DE PREENGAGEMENT","◔",IF(AF491="NON ENGAGE","✖","")))))</f>
        <v/>
      </c>
      <c r="B491" s="673" t="inlineStr">
        <is>
          <t>-</t>
        </is>
      </c>
      <c r="C491" s="674" t="inlineStr">
        <is>
          <t>DPMG</t>
        </is>
      </c>
      <c r="D491" s="674" t="inlineStr">
        <is>
          <t>RECONDUCTIBLE</t>
        </is>
      </c>
      <c r="E491" s="675" t="inlineStr">
        <is>
          <t>CONTRAT</t>
        </is>
      </c>
      <c r="F491" s="675" t="n">
        <v>1</v>
      </c>
      <c r="G491" s="676" t="inlineStr">
        <is>
          <t>Couverture en termes d’assurance pour le bris de machine concernant les régies montées sur véhicules roulants – Contrat N° 0302220000247</t>
        </is>
      </c>
      <c r="H491" s="673" t="inlineStr">
        <is>
          <t>VALIDE</t>
        </is>
      </c>
      <c r="I491" s="675" t="inlineStr">
        <is>
          <t>APPROUVE</t>
        </is>
      </c>
      <c r="J491" s="675" t="n">
        <v>302220000247</v>
      </c>
      <c r="K491" s="673" t="inlineStr">
        <is>
          <t>NON CONCERNE</t>
        </is>
      </c>
      <c r="L491" s="675" t="inlineStr">
        <is>
          <t>Ordinaire</t>
        </is>
      </c>
      <c r="M491" s="677" t="inlineStr">
        <is>
          <t>FONCTIONNEMENT</t>
        </is>
      </c>
      <c r="N491" s="678" t="inlineStr">
        <is>
          <t>Entretien, réparation et assurance</t>
        </is>
      </c>
      <c r="O491" s="679" t="n"/>
      <c r="P491" s="680" t="n"/>
      <c r="Q491" s="680" t="n"/>
      <c r="R491" s="675" t="inlineStr">
        <is>
          <t>RECONDUCTIBLE</t>
        </is>
      </c>
      <c r="S491" s="681" t="n"/>
      <c r="T491" s="682" t="n"/>
      <c r="U491" s="683" t="n"/>
      <c r="V491" s="675" t="n"/>
      <c r="W491" s="682" t="n"/>
      <c r="X491" s="682" t="n"/>
      <c r="Y491" s="682" t="n"/>
      <c r="Z491" s="679" t="n"/>
      <c r="AA491" s="680" t="n">
        <v>0</v>
      </c>
      <c r="AB491" s="680" t="n">
        <v>5000000</v>
      </c>
      <c r="AC491" s="680" t="n">
        <v>0</v>
      </c>
      <c r="AD491" s="680" t="n"/>
      <c r="AE491" s="680">
        <f>+AB491</f>
        <v/>
      </c>
      <c r="AF491" s="684" t="inlineStr">
        <is>
          <t>ENGAGE</t>
        </is>
      </c>
      <c r="AG491" s="683" t="n"/>
      <c r="AH491" s="680" t="n"/>
      <c r="AI491" s="680" t="n"/>
      <c r="AJ491" s="680" t="n"/>
      <c r="AK491" s="680" t="n"/>
      <c r="AL491" s="685" t="n"/>
      <c r="AM491" s="685" t="n"/>
      <c r="AN491" s="683" t="n"/>
    </row>
    <row r="492" ht="32" customHeight="1" s="392">
      <c r="A492" s="672">
        <f>IF(AF492="ENGAGE","✔",IF(AF492="EN COURS D'ENGAGEMENT","◕",IF(AF492="PREENGAGE","◑",IF(AF492="EN COURS DE PREENGAGEMENT","◔",IF(AF492="NON ENGAGE","✖","")))))</f>
        <v/>
      </c>
      <c r="B492" s="673" t="inlineStr">
        <is>
          <t>-</t>
        </is>
      </c>
      <c r="C492" s="674" t="inlineStr">
        <is>
          <t>DPMG</t>
        </is>
      </c>
      <c r="D492" s="674" t="inlineStr">
        <is>
          <t>RECONDUCTIBLE</t>
        </is>
      </c>
      <c r="E492" s="675" t="inlineStr">
        <is>
          <t>CONTRAT</t>
        </is>
      </c>
      <c r="F492" s="675" t="n">
        <v>1</v>
      </c>
      <c r="G492" s="676" t="inlineStr">
        <is>
          <t>Contrat Barid el Maghreb - Contrat N° 07/2020 BP</t>
        </is>
      </c>
      <c r="H492" s="673" t="inlineStr">
        <is>
          <t>VALIDE</t>
        </is>
      </c>
      <c r="I492" s="675" t="inlineStr">
        <is>
          <t>APPROUVE</t>
        </is>
      </c>
      <c r="J492" s="675" t="inlineStr">
        <is>
          <t>07/2020 BP</t>
        </is>
      </c>
      <c r="K492" s="673" t="inlineStr">
        <is>
          <t>NON CONCERNE</t>
        </is>
      </c>
      <c r="L492" s="675" t="inlineStr">
        <is>
          <t>Ordinaire</t>
        </is>
      </c>
      <c r="M492" s="677" t="inlineStr">
        <is>
          <t>FONCTIONNEMENT</t>
        </is>
      </c>
      <c r="N492" s="678" t="inlineStr">
        <is>
          <t>Autres charges de fonctionnement</t>
        </is>
      </c>
      <c r="O492" s="679" t="n"/>
      <c r="P492" s="680" t="n"/>
      <c r="Q492" s="680" t="n"/>
      <c r="R492" s="675" t="inlineStr">
        <is>
          <t>RECONDUCTIBLE</t>
        </is>
      </c>
      <c r="S492" s="681" t="n"/>
      <c r="T492" s="682" t="n"/>
      <c r="U492" s="683" t="n"/>
      <c r="V492" s="675" t="n"/>
      <c r="W492" s="682" t="n"/>
      <c r="X492" s="682" t="n"/>
      <c r="Y492" s="682" t="n"/>
      <c r="Z492" s="679" t="n"/>
      <c r="AA492" s="680" t="n">
        <v>0</v>
      </c>
      <c r="AB492" s="680" t="n">
        <v>70000</v>
      </c>
      <c r="AC492" s="680" t="n">
        <v>0</v>
      </c>
      <c r="AD492" s="680" t="n"/>
      <c r="AE492" s="680">
        <f>+AB492</f>
        <v/>
      </c>
      <c r="AF492" s="684" t="inlineStr">
        <is>
          <t>ENGAGE</t>
        </is>
      </c>
      <c r="AG492" s="683" t="n"/>
      <c r="AH492" s="680" t="n"/>
      <c r="AI492" s="680" t="n"/>
      <c r="AJ492" s="680" t="n"/>
      <c r="AK492" s="680" t="n"/>
      <c r="AL492" s="685" t="n"/>
      <c r="AM492" s="685" t="n"/>
      <c r="AN492" s="683" t="n"/>
    </row>
    <row r="493" ht="32" customHeight="1" s="392">
      <c r="A493" s="672">
        <f>IF(AF493="ENGAGE","✔",IF(AF493="EN COURS D'ENGAGEMENT","◕",IF(AF493="PREENGAGE","◑",IF(AF493="EN COURS DE PREENGAGEMENT","◔",IF(AF493="NON ENGAGE","✖","")))))</f>
        <v/>
      </c>
      <c r="B493" s="673" t="inlineStr">
        <is>
          <t>-</t>
        </is>
      </c>
      <c r="C493" s="674" t="inlineStr">
        <is>
          <t>DPMG</t>
        </is>
      </c>
      <c r="D493" s="674" t="inlineStr">
        <is>
          <t>RECONDUCTIBLE</t>
        </is>
      </c>
      <c r="E493" s="675" t="inlineStr">
        <is>
          <t>CONTRAT</t>
        </is>
      </c>
      <c r="F493" s="675" t="n">
        <v>1</v>
      </c>
      <c r="G493" s="676" t="inlineStr">
        <is>
          <t>Contrat d'AMANA  -  Contrat N° CL03733</t>
        </is>
      </c>
      <c r="H493" s="673" t="inlineStr">
        <is>
          <t>VALIDE</t>
        </is>
      </c>
      <c r="I493" s="675" t="inlineStr">
        <is>
          <t>APPROUVE</t>
        </is>
      </c>
      <c r="J493" s="675" t="inlineStr">
        <is>
          <t>CL03733</t>
        </is>
      </c>
      <c r="K493" s="673" t="inlineStr">
        <is>
          <t>NON CONCERNE</t>
        </is>
      </c>
      <c r="L493" s="675" t="inlineStr">
        <is>
          <t>Ordinaire</t>
        </is>
      </c>
      <c r="M493" s="677" t="inlineStr">
        <is>
          <t>FONCTIONNEMENT</t>
        </is>
      </c>
      <c r="N493" s="678" t="inlineStr">
        <is>
          <t>Autres charges de fonctionnement</t>
        </is>
      </c>
      <c r="O493" s="679" t="n"/>
      <c r="P493" s="680" t="n"/>
      <c r="Q493" s="680" t="n"/>
      <c r="R493" s="675" t="inlineStr">
        <is>
          <t>RECONDUCTIBLE</t>
        </is>
      </c>
      <c r="S493" s="681" t="n"/>
      <c r="T493" s="682" t="n"/>
      <c r="U493" s="683" t="n"/>
      <c r="V493" s="675" t="n"/>
      <c r="W493" s="682" t="n"/>
      <c r="X493" s="682" t="n"/>
      <c r="Y493" s="682" t="n"/>
      <c r="Z493" s="679" t="n"/>
      <c r="AA493" s="680" t="n">
        <v>0</v>
      </c>
      <c r="AB493" s="680" t="n">
        <v>5000</v>
      </c>
      <c r="AC493" s="680" t="n">
        <v>0</v>
      </c>
      <c r="AD493" s="680" t="n"/>
      <c r="AE493" s="680">
        <f>+AB493</f>
        <v/>
      </c>
      <c r="AF493" s="684" t="inlineStr">
        <is>
          <t>ENGAGE</t>
        </is>
      </c>
      <c r="AG493" s="683" t="n"/>
      <c r="AH493" s="680" t="n"/>
      <c r="AI493" s="680" t="n"/>
      <c r="AJ493" s="680" t="n"/>
      <c r="AK493" s="680" t="n"/>
      <c r="AL493" s="685" t="n"/>
      <c r="AM493" s="685" t="n"/>
      <c r="AN493" s="683" t="n"/>
    </row>
    <row r="494" ht="35.7" customHeight="1" s="392">
      <c r="A494" s="672">
        <f>IF(AF494="ENGAGE","✔",IF(AF494="EN COURS D'ENGAGEMENT","◕",IF(AF494="PREENGAGE","◑",IF(AF494="EN COURS DE PREENGAGEMENT","◔",IF(AF494="NON ENGAGE","✖","")))))</f>
        <v/>
      </c>
      <c r="B494" s="673" t="inlineStr">
        <is>
          <t>-</t>
        </is>
      </c>
      <c r="C494" s="674" t="inlineStr">
        <is>
          <t>DPMG</t>
        </is>
      </c>
      <c r="D494" s="674" t="inlineStr">
        <is>
          <t>RECONDUCTIBLE</t>
        </is>
      </c>
      <c r="E494" s="675" t="inlineStr">
        <is>
          <t>CONTRAT</t>
        </is>
      </c>
      <c r="F494" s="675" t="n">
        <v>1</v>
      </c>
      <c r="G494" s="676" t="inlineStr">
        <is>
          <t>Contrat d'acquisition billeterie Aérienne -  Convention N° 505CT/SNRT/2024</t>
        </is>
      </c>
      <c r="H494" s="673" t="inlineStr">
        <is>
          <t>VALIDE</t>
        </is>
      </c>
      <c r="I494" s="675" t="inlineStr">
        <is>
          <t>APPROUVE</t>
        </is>
      </c>
      <c r="J494" s="675" t="inlineStr">
        <is>
          <t>505CT/SNRT/2024</t>
        </is>
      </c>
      <c r="K494" s="673" t="inlineStr">
        <is>
          <t>NON CONCERNE</t>
        </is>
      </c>
      <c r="L494" s="675" t="inlineStr">
        <is>
          <t>Ordinaire</t>
        </is>
      </c>
      <c r="M494" s="677" t="inlineStr">
        <is>
          <t>FONCTIONNEMENT</t>
        </is>
      </c>
      <c r="N494" s="678" t="inlineStr">
        <is>
          <t>Déplacements, missions et réceptions</t>
        </is>
      </c>
      <c r="O494" s="679" t="n"/>
      <c r="P494" s="680" t="n"/>
      <c r="Q494" s="680" t="n"/>
      <c r="R494" s="675" t="inlineStr">
        <is>
          <t>RECONDUCTIBLE</t>
        </is>
      </c>
      <c r="S494" s="681" t="n"/>
      <c r="T494" s="682" t="n"/>
      <c r="U494" s="683" t="n"/>
      <c r="V494" s="675" t="n"/>
      <c r="W494" s="682" t="n"/>
      <c r="X494" s="682" t="n"/>
      <c r="Y494" s="682" t="n"/>
      <c r="Z494" s="679" t="n"/>
      <c r="AA494" s="680" t="n">
        <v>0</v>
      </c>
      <c r="AB494" s="680" t="n">
        <v>4000000</v>
      </c>
      <c r="AC494" s="680" t="n">
        <v>0</v>
      </c>
      <c r="AD494" s="680" t="n"/>
      <c r="AE494" s="680">
        <f>+AB494</f>
        <v/>
      </c>
      <c r="AF494" s="684" t="inlineStr">
        <is>
          <t>ENGAGE</t>
        </is>
      </c>
      <c r="AG494" s="683" t="n"/>
      <c r="AH494" s="680" t="n"/>
      <c r="AI494" s="680" t="n"/>
      <c r="AJ494" s="680" t="n"/>
      <c r="AK494" s="680" t="n"/>
      <c r="AL494" s="685" t="n"/>
      <c r="AM494" s="685" t="n"/>
      <c r="AN494" s="683" t="n"/>
    </row>
    <row r="495" ht="33" customHeight="1" s="392">
      <c r="A495" s="672">
        <f>IF(AF495="ENGAGE","✔",IF(AF495="EN COURS D'ENGAGEMENT","◕",IF(AF495="PREENGAGE","◑",IF(AF495="EN COURS DE PREENGAGEMENT","◔",IF(AF495="NON ENGAGE","✖","")))))</f>
        <v/>
      </c>
      <c r="B495" s="673" t="inlineStr">
        <is>
          <t>-</t>
        </is>
      </c>
      <c r="C495" s="674" t="inlineStr">
        <is>
          <t>DPMG</t>
        </is>
      </c>
      <c r="D495" s="674" t="inlineStr">
        <is>
          <t>RECONDUCTIBLE</t>
        </is>
      </c>
      <c r="E495" s="675" t="inlineStr">
        <is>
          <t>CONTRAT</t>
        </is>
      </c>
      <c r="F495" s="675" t="n">
        <v>1</v>
      </c>
      <c r="G495" s="676" t="inlineStr">
        <is>
          <t>Assurance multirisque professionnelle</t>
        </is>
      </c>
      <c r="H495" s="673" t="inlineStr">
        <is>
          <t>VALIDE</t>
        </is>
      </c>
      <c r="I495" s="675" t="inlineStr">
        <is>
          <t>APPROUVE</t>
        </is>
      </c>
      <c r="J495" s="693" t="n"/>
      <c r="K495" s="673" t="inlineStr">
        <is>
          <t>NON CONCERNE</t>
        </is>
      </c>
      <c r="L495" s="675" t="inlineStr">
        <is>
          <t>Ordinaire</t>
        </is>
      </c>
      <c r="M495" s="677" t="inlineStr">
        <is>
          <t>FONCTIONNEMENT</t>
        </is>
      </c>
      <c r="N495" s="678" t="inlineStr">
        <is>
          <t>Entretien, réparation et assurance</t>
        </is>
      </c>
      <c r="O495" s="679" t="n"/>
      <c r="P495" s="680" t="n"/>
      <c r="Q495" s="680" t="n"/>
      <c r="R495" s="675" t="inlineStr">
        <is>
          <t>RECONDUCTIBLE</t>
        </is>
      </c>
      <c r="S495" s="681" t="n"/>
      <c r="T495" s="682" t="n"/>
      <c r="U495" s="683" t="n"/>
      <c r="V495" s="675" t="n"/>
      <c r="W495" s="682" t="n"/>
      <c r="X495" s="682" t="n"/>
      <c r="Y495" s="682" t="n"/>
      <c r="Z495" s="679" t="n"/>
      <c r="AA495" s="680" t="n">
        <v>0</v>
      </c>
      <c r="AB495" s="680" t="n">
        <v>900000</v>
      </c>
      <c r="AC495" s="680" t="n">
        <v>0</v>
      </c>
      <c r="AD495" s="680" t="n"/>
      <c r="AE495" s="680">
        <f>+AB495</f>
        <v/>
      </c>
      <c r="AF495" s="684" t="inlineStr">
        <is>
          <t>ENGAGE</t>
        </is>
      </c>
      <c r="AG495" s="683" t="n"/>
      <c r="AH495" s="680" t="n"/>
      <c r="AI495" s="680" t="n"/>
      <c r="AJ495" s="680" t="n"/>
      <c r="AK495" s="680" t="n"/>
      <c r="AL495" s="685" t="n"/>
      <c r="AM495" s="685" t="n"/>
      <c r="AN495" s="683" t="n"/>
    </row>
    <row r="496" ht="46.5" customHeight="1" s="392">
      <c r="A496" s="672">
        <f>IF(AF496="ENGAGE","✔",IF(AF496="EN COURS D'ENGAGEMENT","◕",IF(AF496="PREENGAGE","◑",IF(AF496="EN COURS DE PREENGAGEMENT","◔",IF(AF496="NON ENGAGE","✖","")))))</f>
        <v/>
      </c>
      <c r="B496" s="673" t="inlineStr">
        <is>
          <t>-</t>
        </is>
      </c>
      <c r="C496" s="674" t="inlineStr">
        <is>
          <t>DPMG</t>
        </is>
      </c>
      <c r="D496" s="674" t="inlineStr">
        <is>
          <t>RECONDUCTIBLE</t>
        </is>
      </c>
      <c r="E496" s="675" t="inlineStr">
        <is>
          <t>CONTRAT</t>
        </is>
      </c>
      <c r="F496" s="675" t="n">
        <v>1</v>
      </c>
      <c r="G496" s="676" t="inlineStr">
        <is>
          <t>Parking Twin center DRPSD</t>
        </is>
      </c>
      <c r="H496" s="673" t="inlineStr">
        <is>
          <t>VALIDE</t>
        </is>
      </c>
      <c r="I496" s="675" t="inlineStr">
        <is>
          <t>APPROUVE</t>
        </is>
      </c>
      <c r="J496" s="693" t="n"/>
      <c r="K496" s="673" t="inlineStr">
        <is>
          <t>NON CONCERNE</t>
        </is>
      </c>
      <c r="L496" s="675" t="inlineStr">
        <is>
          <t>Ordinaire</t>
        </is>
      </c>
      <c r="M496" s="677" t="inlineStr">
        <is>
          <t>FONCTIONNEMENT</t>
        </is>
      </c>
      <c r="N496" s="678" t="inlineStr">
        <is>
          <t>Prestations de service
Achat prestations de services locales - sociétés</t>
        </is>
      </c>
      <c r="O496" s="679" t="n"/>
      <c r="P496" s="680" t="n"/>
      <c r="Q496" s="680" t="n"/>
      <c r="R496" s="675" t="inlineStr">
        <is>
          <t>RECONDUCTIBLE</t>
        </is>
      </c>
      <c r="S496" s="681" t="n"/>
      <c r="T496" s="682" t="n"/>
      <c r="U496" s="683" t="n"/>
      <c r="V496" s="675" t="n"/>
      <c r="W496" s="682" t="n"/>
      <c r="X496" s="682" t="n"/>
      <c r="Y496" s="682" t="n"/>
      <c r="Z496" s="679" t="n"/>
      <c r="AA496" s="680" t="n">
        <v>0</v>
      </c>
      <c r="AB496" s="680" t="n">
        <v>51000</v>
      </c>
      <c r="AC496" s="680" t="n">
        <v>0</v>
      </c>
      <c r="AD496" s="680" t="n"/>
      <c r="AE496" s="680">
        <f>+AB496</f>
        <v/>
      </c>
      <c r="AF496" s="684" t="inlineStr">
        <is>
          <t>ENGAGE</t>
        </is>
      </c>
      <c r="AG496" s="683" t="n"/>
      <c r="AH496" s="680" t="n"/>
      <c r="AI496" s="680" t="n"/>
      <c r="AJ496" s="680" t="n"/>
      <c r="AK496" s="680" t="n"/>
      <c r="AL496" s="685" t="n"/>
      <c r="AM496" s="685" t="n"/>
      <c r="AN496" s="683" t="n"/>
    </row>
    <row r="497" ht="32" customHeight="1" s="392">
      <c r="A497" s="672">
        <f>IF(AF497="ENGAGE","✔",IF(AF497="EN COURS D'ENGAGEMENT","◕",IF(AF497="PREENGAGE","◑",IF(AF497="EN COURS DE PREENGAGEMENT","◔",IF(AF497="NON ENGAGE","✖","")))))</f>
        <v/>
      </c>
      <c r="B497" s="673" t="inlineStr">
        <is>
          <t>-</t>
        </is>
      </c>
      <c r="C497" s="674" t="inlineStr">
        <is>
          <t>DPMG</t>
        </is>
      </c>
      <c r="D497" s="674" t="inlineStr">
        <is>
          <t>RECONDUCTIBLE</t>
        </is>
      </c>
      <c r="E497" s="675" t="inlineStr">
        <is>
          <t>CONTRAT</t>
        </is>
      </c>
      <c r="F497" s="675" t="n">
        <v>1</v>
      </c>
      <c r="G497" s="676" t="inlineStr">
        <is>
          <t>INWI</t>
        </is>
      </c>
      <c r="H497" s="673" t="inlineStr">
        <is>
          <t>VALIDE</t>
        </is>
      </c>
      <c r="I497" s="675" t="inlineStr">
        <is>
          <t>APPROUVE</t>
        </is>
      </c>
      <c r="J497" s="693" t="n"/>
      <c r="K497" s="673" t="inlineStr">
        <is>
          <t>NON CONCERNE</t>
        </is>
      </c>
      <c r="L497" s="675" t="inlineStr">
        <is>
          <t>Ordinaire</t>
        </is>
      </c>
      <c r="M497" s="677" t="inlineStr">
        <is>
          <t>FONCTIONNEMENT</t>
        </is>
      </c>
      <c r="N497" s="678" t="inlineStr">
        <is>
          <t>Autres charges de fonctionnement</t>
        </is>
      </c>
      <c r="O497" s="679" t="n"/>
      <c r="P497" s="680" t="n"/>
      <c r="Q497" s="680" t="n"/>
      <c r="R497" s="675" t="inlineStr">
        <is>
          <t>RECONDUCTIBLE</t>
        </is>
      </c>
      <c r="S497" s="681" t="n"/>
      <c r="T497" s="682" t="n"/>
      <c r="U497" s="683" t="n"/>
      <c r="V497" s="675" t="n"/>
      <c r="W497" s="682" t="n"/>
      <c r="X497" s="682" t="n"/>
      <c r="Y497" s="682" t="n"/>
      <c r="Z497" s="679" t="n"/>
      <c r="AA497" s="680" t="n">
        <v>0</v>
      </c>
      <c r="AB497" s="680" t="n">
        <v>2934182.63</v>
      </c>
      <c r="AC497" s="680" t="n">
        <v>0</v>
      </c>
      <c r="AD497" s="680" t="n"/>
      <c r="AE497" s="680">
        <f>AB497</f>
        <v/>
      </c>
      <c r="AF497" s="684" t="inlineStr">
        <is>
          <t>ENGAGE</t>
        </is>
      </c>
      <c r="AG497" s="683" t="n"/>
      <c r="AH497" s="680" t="n"/>
      <c r="AI497" s="680" t="n"/>
      <c r="AJ497" s="680" t="n"/>
      <c r="AK497" s="680" t="n"/>
      <c r="AL497" s="685" t="n"/>
      <c r="AM497" s="685" t="n"/>
      <c r="AN497" s="683" t="n"/>
    </row>
    <row r="498" ht="32" customHeight="1" s="392">
      <c r="A498" s="672">
        <f>IF(AF498="ENGAGE","✔",IF(AF498="EN COURS D'ENGAGEMENT","◕",IF(AF498="PREENGAGE","◑",IF(AF498="EN COURS DE PREENGAGEMENT","◔",IF(AF498="NON ENGAGE","✖","")))))</f>
        <v/>
      </c>
      <c r="B498" s="673" t="inlineStr">
        <is>
          <t>-</t>
        </is>
      </c>
      <c r="C498" s="674" t="inlineStr">
        <is>
          <t>DPMG</t>
        </is>
      </c>
      <c r="D498" s="674" t="inlineStr">
        <is>
          <t>RECONDUCTIBLE</t>
        </is>
      </c>
      <c r="E498" s="675" t="inlineStr">
        <is>
          <t>CONTRAT</t>
        </is>
      </c>
      <c r="F498" s="675" t="n">
        <v>1</v>
      </c>
      <c r="G498" s="676" t="inlineStr">
        <is>
          <t>MAROC TELECOM</t>
        </is>
      </c>
      <c r="H498" s="673" t="inlineStr">
        <is>
          <t>VALIDE</t>
        </is>
      </c>
      <c r="I498" s="675" t="inlineStr">
        <is>
          <t>APPROUVE</t>
        </is>
      </c>
      <c r="J498" s="693" t="n"/>
      <c r="K498" s="673" t="inlineStr">
        <is>
          <t>NON CONCERNE</t>
        </is>
      </c>
      <c r="L498" s="675" t="inlineStr">
        <is>
          <t>Ordinaire</t>
        </is>
      </c>
      <c r="M498" s="677" t="inlineStr">
        <is>
          <t>FONCTIONNEMENT</t>
        </is>
      </c>
      <c r="N498" s="678" t="inlineStr">
        <is>
          <t>Autres charges de fonctionnement</t>
        </is>
      </c>
      <c r="O498" s="679" t="n"/>
      <c r="P498" s="680" t="n"/>
      <c r="Q498" s="680" t="n"/>
      <c r="R498" s="675" t="inlineStr">
        <is>
          <t>RECONDUCTIBLE</t>
        </is>
      </c>
      <c r="S498" s="681" t="n"/>
      <c r="T498" s="682" t="n"/>
      <c r="U498" s="683" t="n"/>
      <c r="V498" s="675" t="n"/>
      <c r="W498" s="682" t="n"/>
      <c r="X498" s="682" t="n"/>
      <c r="Y498" s="682" t="n"/>
      <c r="Z498" s="679" t="n"/>
      <c r="AA498" s="680" t="n">
        <v>0</v>
      </c>
      <c r="AB498" s="680" t="n">
        <v>6602511.15</v>
      </c>
      <c r="AC498" s="680" t="n">
        <v>0</v>
      </c>
      <c r="AD498" s="680" t="n"/>
      <c r="AE498" s="680">
        <f>AB498</f>
        <v/>
      </c>
      <c r="AF498" s="684" t="inlineStr">
        <is>
          <t>ENGAGE</t>
        </is>
      </c>
      <c r="AG498" s="683" t="n"/>
      <c r="AH498" s="680" t="n"/>
      <c r="AI498" s="680" t="n"/>
      <c r="AJ498" s="680" t="n"/>
      <c r="AK498" s="680" t="n"/>
      <c r="AL498" s="685" t="n"/>
      <c r="AM498" s="685" t="n"/>
      <c r="AN498" s="683" t="n"/>
    </row>
    <row r="499" ht="32" customHeight="1" s="392">
      <c r="A499" s="672">
        <f>IF(AF499="ENGAGE","✔",IF(AF499="EN COURS D'ENGAGEMENT","◕",IF(AF499="PREENGAGE","◑",IF(AF499="EN COURS DE PREENGAGEMENT","◔",IF(AF499="NON ENGAGE","✖","")))))</f>
        <v/>
      </c>
      <c r="B499" s="673" t="inlineStr">
        <is>
          <t>-</t>
        </is>
      </c>
      <c r="C499" s="674" t="inlineStr">
        <is>
          <t>DPMG</t>
        </is>
      </c>
      <c r="D499" s="674" t="inlineStr">
        <is>
          <t>RECONDUCTIBLE</t>
        </is>
      </c>
      <c r="E499" s="675" t="inlineStr">
        <is>
          <t>CONTRAT</t>
        </is>
      </c>
      <c r="F499" s="675" t="n">
        <v>1</v>
      </c>
      <c r="G499" s="676" t="inlineStr">
        <is>
          <t>ORANGE</t>
        </is>
      </c>
      <c r="H499" s="673" t="inlineStr">
        <is>
          <t>VALIDE</t>
        </is>
      </c>
      <c r="I499" s="675" t="inlineStr">
        <is>
          <t>APPROUVE</t>
        </is>
      </c>
      <c r="J499" s="693" t="n"/>
      <c r="K499" s="673" t="inlineStr">
        <is>
          <t>NON CONCERNE</t>
        </is>
      </c>
      <c r="L499" s="675" t="inlineStr">
        <is>
          <t>Ordinaire</t>
        </is>
      </c>
      <c r="M499" s="677" t="inlineStr">
        <is>
          <t>FONCTIONNEMENT</t>
        </is>
      </c>
      <c r="N499" s="678" t="inlineStr">
        <is>
          <t>Autres charges de fonctionnement</t>
        </is>
      </c>
      <c r="O499" s="679" t="n"/>
      <c r="P499" s="680" t="n"/>
      <c r="Q499" s="680" t="n"/>
      <c r="R499" s="675" t="inlineStr">
        <is>
          <t>RECONDUCTIBLE</t>
        </is>
      </c>
      <c r="S499" s="681" t="n"/>
      <c r="T499" s="682" t="n"/>
      <c r="U499" s="683" t="n"/>
      <c r="V499" s="675" t="n"/>
      <c r="W499" s="682" t="n"/>
      <c r="X499" s="682" t="n"/>
      <c r="Y499" s="682" t="n"/>
      <c r="Z499" s="679" t="n"/>
      <c r="AA499" s="680" t="n">
        <v>0</v>
      </c>
      <c r="AB499" s="680" t="n">
        <v>3806571</v>
      </c>
      <c r="AC499" s="680" t="n">
        <v>0</v>
      </c>
      <c r="AD499" s="680" t="n"/>
      <c r="AE499" s="680">
        <f>AB499</f>
        <v/>
      </c>
      <c r="AF499" s="684" t="inlineStr">
        <is>
          <t>ENGAGE</t>
        </is>
      </c>
      <c r="AG499" s="683" t="n"/>
      <c r="AH499" s="680" t="n"/>
      <c r="AI499" s="680" t="n"/>
      <c r="AJ499" s="680" t="n"/>
      <c r="AK499" s="680" t="n"/>
      <c r="AL499" s="685" t="n"/>
      <c r="AM499" s="685" t="n"/>
      <c r="AN499" s="683" t="n"/>
    </row>
    <row r="500" ht="32" customHeight="1" s="392">
      <c r="A500" s="672">
        <f>IF(AF500="ENGAGE","✔",IF(AF500="EN COURS D'ENGAGEMENT","◕",IF(AF500="PREENGAGE","◑",IF(AF500="EN COURS DE PREENGAGEMENT","◔",IF(AF500="NON ENGAGE","✖","")))))</f>
        <v/>
      </c>
      <c r="B500" s="673" t="inlineStr">
        <is>
          <t>-</t>
        </is>
      </c>
      <c r="C500" s="674" t="inlineStr">
        <is>
          <t>DPMG</t>
        </is>
      </c>
      <c r="D500" s="674" t="inlineStr">
        <is>
          <t>RECONDUCTIBLE</t>
        </is>
      </c>
      <c r="E500" s="675" t="inlineStr">
        <is>
          <t>CONTRAT</t>
        </is>
      </c>
      <c r="F500" s="675" t="n">
        <v>1</v>
      </c>
      <c r="G500" s="676" t="inlineStr">
        <is>
          <t>Occupation temporaire eaux et forets</t>
        </is>
      </c>
      <c r="H500" s="673" t="inlineStr">
        <is>
          <t>VALIDE</t>
        </is>
      </c>
      <c r="I500" s="675" t="inlineStr">
        <is>
          <t>APPROUVE</t>
        </is>
      </c>
      <c r="J500" s="693" t="n"/>
      <c r="K500" s="673" t="inlineStr">
        <is>
          <t>NON CONCERNE</t>
        </is>
      </c>
      <c r="L500" s="675" t="inlineStr">
        <is>
          <t>Ordinaire</t>
        </is>
      </c>
      <c r="M500" s="677" t="inlineStr">
        <is>
          <t>FONCTIONNEMENT</t>
        </is>
      </c>
      <c r="N500" s="678" t="inlineStr">
        <is>
          <t>Location</t>
        </is>
      </c>
      <c r="O500" s="679" t="n"/>
      <c r="P500" s="680" t="n"/>
      <c r="Q500" s="680" t="n"/>
      <c r="R500" s="675" t="inlineStr">
        <is>
          <t>RECONDUCTIBLE</t>
        </is>
      </c>
      <c r="S500" s="681" t="n"/>
      <c r="T500" s="682" t="n"/>
      <c r="U500" s="683" t="n"/>
      <c r="V500" s="675" t="n"/>
      <c r="W500" s="682" t="n"/>
      <c r="X500" s="682" t="n"/>
      <c r="Y500" s="682" t="n"/>
      <c r="Z500" s="679" t="n"/>
      <c r="AA500" s="680" t="n">
        <v>0</v>
      </c>
      <c r="AB500" s="680">
        <f>AE500</f>
        <v/>
      </c>
      <c r="AC500" s="680" t="n">
        <v>0</v>
      </c>
      <c r="AD500" s="680" t="n"/>
      <c r="AE500" s="680" t="n">
        <v>550000</v>
      </c>
      <c r="AF500" s="684" t="inlineStr">
        <is>
          <t>ENGAGE</t>
        </is>
      </c>
      <c r="AG500" s="683" t="n"/>
      <c r="AH500" s="680" t="n"/>
      <c r="AI500" s="680" t="n"/>
      <c r="AJ500" s="680" t="n"/>
      <c r="AK500" s="680" t="n"/>
      <c r="AL500" s="685" t="n"/>
      <c r="AM500" s="685" t="n"/>
      <c r="AN500" s="683" t="n"/>
    </row>
    <row r="501" ht="32" customHeight="1" s="392">
      <c r="A501" s="672">
        <f>IF(AF501="ENGAGE","✔",IF(AF501="EN COURS D'ENGAGEMENT","◕",IF(AF501="PREENGAGE","◑",IF(AF501="EN COURS DE PREENGAGEMENT","◔",IF(AF501="NON ENGAGE","✖","")))))</f>
        <v/>
      </c>
      <c r="B501" s="673" t="inlineStr">
        <is>
          <t>-</t>
        </is>
      </c>
      <c r="C501" s="674" t="inlineStr">
        <is>
          <t>DPMG</t>
        </is>
      </c>
      <c r="D501" s="674" t="inlineStr">
        <is>
          <t>RECONDUCTIBLE</t>
        </is>
      </c>
      <c r="E501" s="675" t="inlineStr">
        <is>
          <t>CONTRAT</t>
        </is>
      </c>
      <c r="F501" s="675" t="n">
        <v>1</v>
      </c>
      <c r="G501" s="676" t="inlineStr">
        <is>
          <t>contrat location collectivités ethniques</t>
        </is>
      </c>
      <c r="H501" s="673" t="inlineStr">
        <is>
          <t>VALIDE</t>
        </is>
      </c>
      <c r="I501" s="675" t="inlineStr">
        <is>
          <t>APPROUVE</t>
        </is>
      </c>
      <c r="J501" s="693" t="n"/>
      <c r="K501" s="673" t="inlineStr">
        <is>
          <t>NON CONCERNE</t>
        </is>
      </c>
      <c r="L501" s="675" t="inlineStr">
        <is>
          <t>Ordinaire</t>
        </is>
      </c>
      <c r="M501" s="677" t="inlineStr">
        <is>
          <t>FONCTIONNEMENT</t>
        </is>
      </c>
      <c r="N501" s="678" t="inlineStr">
        <is>
          <t>Location</t>
        </is>
      </c>
      <c r="O501" s="679" t="n"/>
      <c r="P501" s="680" t="n"/>
      <c r="Q501" s="680" t="n"/>
      <c r="R501" s="675" t="inlineStr">
        <is>
          <t>RECONDUCTIBLE</t>
        </is>
      </c>
      <c r="S501" s="681" t="n"/>
      <c r="T501" s="682" t="n"/>
      <c r="U501" s="683" t="n"/>
      <c r="V501" s="675" t="n"/>
      <c r="W501" s="682" t="n"/>
      <c r="X501" s="682" t="n"/>
      <c r="Y501" s="682" t="n"/>
      <c r="Z501" s="679" t="n"/>
      <c r="AA501" s="680" t="n">
        <v>0</v>
      </c>
      <c r="AB501" s="680" t="n">
        <v>1119028</v>
      </c>
      <c r="AC501" s="680" t="n">
        <v>0</v>
      </c>
      <c r="AD501" s="680" t="n"/>
      <c r="AE501" s="680" t="n">
        <v>1119028</v>
      </c>
      <c r="AF501" s="684" t="inlineStr">
        <is>
          <t>ENGAGE</t>
        </is>
      </c>
      <c r="AG501" s="683" t="n"/>
      <c r="AH501" s="680" t="n"/>
      <c r="AI501" s="680" t="n"/>
      <c r="AJ501" s="680" t="n"/>
      <c r="AK501" s="680" t="n"/>
      <c r="AL501" s="685" t="n"/>
      <c r="AM501" s="685" t="n"/>
      <c r="AN501" s="683" t="n"/>
    </row>
    <row r="502" ht="35.7" customHeight="1" s="392">
      <c r="A502" s="672">
        <f>IF(AF502="ENGAGE","✔",IF(AF502="EN COURS D'ENGAGEMENT","◕",IF(AF502="PREENGAGE","◑",IF(AF502="EN COURS DE PREENGAGEMENT","◔",IF(AF502="NON ENGAGE","✖","")))))</f>
        <v/>
      </c>
      <c r="B502" s="673" t="n">
        <v>2017</v>
      </c>
      <c r="C502" s="674" t="inlineStr">
        <is>
          <t>DRH</t>
        </is>
      </c>
      <c r="D502" s="674" t="inlineStr">
        <is>
          <t>RECONDUCTIBLE</t>
        </is>
      </c>
      <c r="E502" s="675" t="inlineStr">
        <is>
          <t>CONTRAT</t>
        </is>
      </c>
      <c r="F502" s="675" t="n">
        <v>1</v>
      </c>
      <c r="G502" s="676" t="inlineStr">
        <is>
          <t>Assurer personnellement au service médical de la SNRT, un service de vingt heures (20 heures) par mois</t>
        </is>
      </c>
      <c r="H502" s="673" t="inlineStr">
        <is>
          <t>VALIDE</t>
        </is>
      </c>
      <c r="I502" s="675" t="inlineStr">
        <is>
          <t>APPROUVE</t>
        </is>
      </c>
      <c r="J502" s="675" t="inlineStr">
        <is>
          <t>760/SNRT/2017</t>
        </is>
      </c>
      <c r="K502" s="673" t="inlineStr">
        <is>
          <t>NON CONCERNE</t>
        </is>
      </c>
      <c r="L502" s="675" t="inlineStr">
        <is>
          <t>Ordinaire</t>
        </is>
      </c>
      <c r="M502" s="677" t="inlineStr">
        <is>
          <t>FONCTIONNEMENT</t>
        </is>
      </c>
      <c r="N502" s="678" t="inlineStr">
        <is>
          <t>Charges sociales diverses</t>
        </is>
      </c>
      <c r="O502" s="679" t="n"/>
      <c r="P502" s="680" t="n"/>
      <c r="Q502" s="680" t="n"/>
      <c r="R502" s="675" t="inlineStr">
        <is>
          <t>RECONDUCTIBLE</t>
        </is>
      </c>
      <c r="S502" s="681" t="n"/>
      <c r="T502" s="682" t="n"/>
      <c r="U502" s="683" t="inlineStr">
        <is>
          <t>DOCTEUR BOUBKER ABOUZAHIR</t>
        </is>
      </c>
      <c r="V502" s="675" t="n">
        <v>2017</v>
      </c>
      <c r="W502" s="682" t="n"/>
      <c r="X502" s="682" t="n"/>
      <c r="Y502" s="682" t="n"/>
      <c r="Z502" s="679" t="n">
        <v>85714.32000000001</v>
      </c>
      <c r="AA502" s="680" t="n">
        <v>0</v>
      </c>
      <c r="AB502" s="680" t="n">
        <v>85714.32000000001</v>
      </c>
      <c r="AC502" s="680" t="n">
        <v>0</v>
      </c>
      <c r="AD502" s="680" t="n">
        <v>85714.32000000001</v>
      </c>
      <c r="AE502" s="680" t="n">
        <v>85714.32000000001</v>
      </c>
      <c r="AF502" s="684" t="inlineStr">
        <is>
          <t>ENGAGE</t>
        </is>
      </c>
      <c r="AG502" s="683" t="n"/>
      <c r="AH502" s="680" t="n"/>
      <c r="AI502" s="680" t="n"/>
      <c r="AJ502" s="680" t="n"/>
      <c r="AK502" s="680" t="n"/>
      <c r="AL502" s="685" t="n"/>
      <c r="AM502" s="685" t="n"/>
      <c r="AN502" s="683" t="n"/>
    </row>
    <row r="503" ht="35.7" customHeight="1" s="392">
      <c r="A503" s="672">
        <f>IF(AF503="ENGAGE","✔",IF(AF503="EN COURS D'ENGAGEMENT","◕",IF(AF503="PREENGAGE","◑",IF(AF503="EN COURS DE PREENGAGEMENT","◔",IF(AF503="NON ENGAGE","✖","")))))</f>
        <v/>
      </c>
      <c r="B503" s="673" t="n">
        <v>2011</v>
      </c>
      <c r="C503" s="674" t="inlineStr">
        <is>
          <t>DRH</t>
        </is>
      </c>
      <c r="D503" s="674" t="inlineStr">
        <is>
          <t>RECONDUCTIBLE</t>
        </is>
      </c>
      <c r="E503" s="675" t="inlineStr">
        <is>
          <t>CONTRAT</t>
        </is>
      </c>
      <c r="F503" s="675" t="n">
        <v>1</v>
      </c>
      <c r="G503" s="676" t="inlineStr">
        <is>
          <t>MEDECIN DE TRAVAIL- Docteur inscrite au tableau de l'ordre des médecins (Région Rabat-Nord)-</t>
        </is>
      </c>
      <c r="H503" s="673" t="inlineStr">
        <is>
          <t>VALIDE</t>
        </is>
      </c>
      <c r="I503" s="675" t="inlineStr">
        <is>
          <t>APPROUVE</t>
        </is>
      </c>
      <c r="J503" s="675" t="inlineStr">
        <is>
          <t>06/SNRT/2011</t>
        </is>
      </c>
      <c r="K503" s="673" t="inlineStr">
        <is>
          <t>NON CONCERNE</t>
        </is>
      </c>
      <c r="L503" s="675" t="inlineStr">
        <is>
          <t>Ordinaire</t>
        </is>
      </c>
      <c r="M503" s="677" t="inlineStr">
        <is>
          <t>FONCTIONNEMENT</t>
        </is>
      </c>
      <c r="N503" s="678" t="inlineStr">
        <is>
          <t>Charges sociales diverses</t>
        </is>
      </c>
      <c r="O503" s="679" t="n"/>
      <c r="P503" s="680" t="n"/>
      <c r="Q503" s="680" t="n"/>
      <c r="R503" s="675" t="inlineStr">
        <is>
          <t>RECONDUCTIBLE</t>
        </is>
      </c>
      <c r="S503" s="681" t="n"/>
      <c r="T503" s="682" t="n"/>
      <c r="U503" s="683" t="inlineStr">
        <is>
          <t>OUAFAA FAHSI</t>
        </is>
      </c>
      <c r="V503" s="675" t="n">
        <v>2011</v>
      </c>
      <c r="W503" s="682" t="n"/>
      <c r="X503" s="682" t="n"/>
      <c r="Y503" s="682" t="n"/>
      <c r="Z503" s="679" t="n">
        <v>171428.5704</v>
      </c>
      <c r="AA503" s="680" t="n">
        <v>0</v>
      </c>
      <c r="AB503" s="680" t="n">
        <v>171428.5704</v>
      </c>
      <c r="AC503" s="680" t="n">
        <v>0</v>
      </c>
      <c r="AD503" s="680" t="n">
        <v>171428.5704</v>
      </c>
      <c r="AE503" s="680" t="n">
        <v>171428.5704</v>
      </c>
      <c r="AF503" s="684" t="inlineStr">
        <is>
          <t>ENGAGE</t>
        </is>
      </c>
      <c r="AG503" s="683" t="n"/>
      <c r="AH503" s="680" t="n"/>
      <c r="AI503" s="680" t="n"/>
      <c r="AJ503" s="680" t="n"/>
      <c r="AK503" s="680" t="n"/>
      <c r="AL503" s="685" t="n"/>
      <c r="AM503" s="685" t="n"/>
      <c r="AN503" s="683" t="n"/>
    </row>
    <row r="504" ht="35.7" customHeight="1" s="392">
      <c r="A504" s="672">
        <f>IF(AF504="ENGAGE","✔",IF(AF504="EN COURS D'ENGAGEMENT","◕",IF(AF504="PREENGAGE","◑",IF(AF504="EN COURS DE PREENGAGEMENT","◔",IF(AF504="NON ENGAGE","✖","")))))</f>
        <v/>
      </c>
      <c r="B504" s="673" t="n">
        <v>2011</v>
      </c>
      <c r="C504" s="674" t="inlineStr">
        <is>
          <t>DRH</t>
        </is>
      </c>
      <c r="D504" s="674" t="inlineStr">
        <is>
          <t>RECONDUCTIBLE</t>
        </is>
      </c>
      <c r="E504" s="675" t="inlineStr">
        <is>
          <t>CONTRAT</t>
        </is>
      </c>
      <c r="F504" s="675" t="n">
        <v>1</v>
      </c>
      <c r="G504" s="676" t="inlineStr">
        <is>
          <t>MEDECIN DE TRAVAIL- Docteur inscrite au tableau de l'ordre des médecins (Région Rabat-Nord)-</t>
        </is>
      </c>
      <c r="H504" s="673" t="inlineStr">
        <is>
          <t>VALIDE</t>
        </is>
      </c>
      <c r="I504" s="675" t="inlineStr">
        <is>
          <t>APPROUVE</t>
        </is>
      </c>
      <c r="J504" s="675" t="inlineStr">
        <is>
          <t>07/SNRT/2011</t>
        </is>
      </c>
      <c r="K504" s="673" t="inlineStr">
        <is>
          <t>NON CONCERNE</t>
        </is>
      </c>
      <c r="L504" s="675" t="inlineStr">
        <is>
          <t>Ordinaire</t>
        </is>
      </c>
      <c r="M504" s="677" t="inlineStr">
        <is>
          <t>FONCTIONNEMENT</t>
        </is>
      </c>
      <c r="N504" s="678" t="inlineStr">
        <is>
          <t>Charges sociales diverses</t>
        </is>
      </c>
      <c r="O504" s="679" t="n"/>
      <c r="P504" s="680" t="n"/>
      <c r="Q504" s="680" t="n"/>
      <c r="R504" s="675" t="inlineStr">
        <is>
          <t>RECONDUCTIBLE</t>
        </is>
      </c>
      <c r="S504" s="681" t="n"/>
      <c r="T504" s="682" t="n"/>
      <c r="U504" s="683" t="inlineStr">
        <is>
          <t>ZAKARIA BENSAOUD</t>
        </is>
      </c>
      <c r="V504" s="675" t="n">
        <v>2011</v>
      </c>
      <c r="W504" s="682" t="n"/>
      <c r="X504" s="682" t="n"/>
      <c r="Y504" s="682" t="n"/>
      <c r="Z504" s="679" t="n">
        <v>171428.5704</v>
      </c>
      <c r="AA504" s="680" t="n">
        <v>0</v>
      </c>
      <c r="AB504" s="680" t="n">
        <v>171428.5704</v>
      </c>
      <c r="AC504" s="680" t="n">
        <v>0</v>
      </c>
      <c r="AD504" s="680" t="n">
        <v>171428.5704</v>
      </c>
      <c r="AE504" s="680" t="n">
        <v>171428.5704</v>
      </c>
      <c r="AF504" s="684" t="inlineStr">
        <is>
          <t>ENGAGE</t>
        </is>
      </c>
      <c r="AG504" s="683" t="n"/>
      <c r="AH504" s="680" t="n"/>
      <c r="AI504" s="680" t="n"/>
      <c r="AJ504" s="680" t="n"/>
      <c r="AK504" s="680" t="n"/>
      <c r="AL504" s="685" t="n"/>
      <c r="AM504" s="685" t="n"/>
      <c r="AN504" s="683" t="n"/>
    </row>
    <row r="505" ht="35.7" customHeight="1" s="392">
      <c r="A505" s="672">
        <f>IF(AF505="ENGAGE","✔",IF(AF505="EN COURS D'ENGAGEMENT","◕",IF(AF505="PREENGAGE","◑",IF(AF505="EN COURS DE PREENGAGEMENT","◔",IF(AF505="NON ENGAGE","✖","")))))</f>
        <v/>
      </c>
      <c r="B505" s="673" t="n">
        <v>2011</v>
      </c>
      <c r="C505" s="674" t="inlineStr">
        <is>
          <t>DRH</t>
        </is>
      </c>
      <c r="D505" s="674" t="inlineStr">
        <is>
          <t>RECONDUCTIBLE</t>
        </is>
      </c>
      <c r="E505" s="675" t="inlineStr">
        <is>
          <t>CONTRAT</t>
        </is>
      </c>
      <c r="F505" s="675" t="n">
        <v>1</v>
      </c>
      <c r="G505" s="676" t="inlineStr">
        <is>
          <t>MEDECIN DE TRAVAIL -Docteur inscrite au tableau de l'ordre des médecins (Région Rabat-Nord)-</t>
        </is>
      </c>
      <c r="H505" s="673" t="inlineStr">
        <is>
          <t>VALIDE</t>
        </is>
      </c>
      <c r="I505" s="675" t="inlineStr">
        <is>
          <t>APPROUVE</t>
        </is>
      </c>
      <c r="J505" s="675" t="inlineStr">
        <is>
          <t>08/SNRT/2011</t>
        </is>
      </c>
      <c r="K505" s="673" t="inlineStr">
        <is>
          <t>NON CONCERNE</t>
        </is>
      </c>
      <c r="L505" s="675" t="inlineStr">
        <is>
          <t>Ordinaire</t>
        </is>
      </c>
      <c r="M505" s="677" t="inlineStr">
        <is>
          <t>FONCTIONNEMENT</t>
        </is>
      </c>
      <c r="N505" s="678" t="inlineStr">
        <is>
          <t>Charges sociales diverses</t>
        </is>
      </c>
      <c r="O505" s="679" t="n"/>
      <c r="P505" s="680" t="n"/>
      <c r="Q505" s="680" t="n"/>
      <c r="R505" s="675" t="inlineStr">
        <is>
          <t>RECONDUCTIBLE</t>
        </is>
      </c>
      <c r="S505" s="681" t="n"/>
      <c r="T505" s="682" t="n"/>
      <c r="U505" s="683" t="inlineStr">
        <is>
          <t>ABDELHAMID KHADRI</t>
        </is>
      </c>
      <c r="V505" s="675" t="n">
        <v>2011</v>
      </c>
      <c r="W505" s="682" t="n"/>
      <c r="X505" s="682" t="n"/>
      <c r="Y505" s="682" t="n"/>
      <c r="Z505" s="679" t="n">
        <v>171428.5704</v>
      </c>
      <c r="AA505" s="680" t="n">
        <v>0</v>
      </c>
      <c r="AB505" s="680" t="n">
        <v>171428.5704</v>
      </c>
      <c r="AC505" s="680" t="n">
        <v>0</v>
      </c>
      <c r="AD505" s="680" t="n">
        <v>171428.5704</v>
      </c>
      <c r="AE505" s="680" t="n">
        <v>171428.5704</v>
      </c>
      <c r="AF505" s="684" t="inlineStr">
        <is>
          <t>ENGAGE</t>
        </is>
      </c>
      <c r="AG505" s="683" t="n"/>
      <c r="AH505" s="680" t="n"/>
      <c r="AI505" s="680" t="n"/>
      <c r="AJ505" s="680" t="n"/>
      <c r="AK505" s="680" t="n"/>
      <c r="AL505" s="685" t="n"/>
      <c r="AM505" s="685" t="n"/>
      <c r="AN505" s="683" t="n"/>
    </row>
    <row r="506" ht="46.5" customHeight="1" s="392">
      <c r="A506" s="672">
        <f>IF(AF506="ENGAGE","✔",IF(AF506="EN COURS D'ENGAGEMENT","◕",IF(AF506="PREENGAGE","◑",IF(AF506="EN COURS DE PREENGAGEMENT","◔",IF(AF506="NON ENGAGE","✖","")))))</f>
        <v/>
      </c>
      <c r="B506" s="673" t="inlineStr">
        <is>
          <t>-</t>
        </is>
      </c>
      <c r="C506" s="674" t="inlineStr">
        <is>
          <t>DRH</t>
        </is>
      </c>
      <c r="D506" s="674" t="inlineStr">
        <is>
          <t>RECONDUCTIBLE</t>
        </is>
      </c>
      <c r="E506" s="675" t="inlineStr">
        <is>
          <t>CONTRAT</t>
        </is>
      </c>
      <c r="F506" s="675" t="n">
        <v>1</v>
      </c>
      <c r="G506" s="676" t="inlineStr">
        <is>
          <t>Traitement de la Paie</t>
        </is>
      </c>
      <c r="H506" s="673" t="inlineStr">
        <is>
          <t>VALIDE</t>
        </is>
      </c>
      <c r="I506" s="675" t="inlineStr">
        <is>
          <t>APPROUVE</t>
        </is>
      </c>
      <c r="J506" s="675" t="inlineStr">
        <is>
          <t>JDE : 19000754</t>
        </is>
      </c>
      <c r="K506" s="673" t="inlineStr">
        <is>
          <t>NON CONCERNE</t>
        </is>
      </c>
      <c r="L506" s="675" t="inlineStr">
        <is>
          <t>Ordinaire</t>
        </is>
      </c>
      <c r="M506" s="677" t="inlineStr">
        <is>
          <t>FONCTIONNEMENT</t>
        </is>
      </c>
      <c r="N506" s="678" t="inlineStr">
        <is>
          <t>Prestation de services
Achat prestations de services locales - sociétés</t>
        </is>
      </c>
      <c r="O506" s="679" t="n"/>
      <c r="P506" s="680" t="n"/>
      <c r="Q506" s="680" t="n"/>
      <c r="R506" s="675" t="inlineStr">
        <is>
          <t>RECONDUCTIBLE</t>
        </is>
      </c>
      <c r="S506" s="681" t="n"/>
      <c r="T506" s="682" t="n"/>
      <c r="U506" s="683" t="inlineStr">
        <is>
          <t>TGR</t>
        </is>
      </c>
      <c r="V506" s="675" t="n"/>
      <c r="W506" s="682" t="n"/>
      <c r="X506" s="682" t="n"/>
      <c r="Y506" s="682" t="n"/>
      <c r="Z506" s="679" t="n">
        <v>183680</v>
      </c>
      <c r="AA506" s="680" t="n">
        <v>0</v>
      </c>
      <c r="AB506" s="680" t="n">
        <v>183680</v>
      </c>
      <c r="AC506" s="680" t="n">
        <v>0</v>
      </c>
      <c r="AD506" s="680" t="n">
        <v>183680</v>
      </c>
      <c r="AE506" s="680" t="n">
        <v>183680</v>
      </c>
      <c r="AF506" s="684" t="inlineStr">
        <is>
          <t>ENGAGE</t>
        </is>
      </c>
      <c r="AG506" s="683" t="n"/>
      <c r="AH506" s="680" t="n"/>
      <c r="AI506" s="680" t="n"/>
      <c r="AJ506" s="680" t="n"/>
      <c r="AK506" s="680" t="n"/>
      <c r="AL506" s="685" t="n"/>
      <c r="AM506" s="685" t="n"/>
      <c r="AN506" s="683" t="n"/>
    </row>
    <row r="507" ht="46.5" customHeight="1" s="392">
      <c r="A507" s="672">
        <f>IF(AF507="ENGAGE","✔",IF(AF507="EN COURS D'ENGAGEMENT","◕",IF(AF507="PREENGAGE","◑",IF(AF507="EN COURS DE PREENGAGEMENT","◔",IF(AF507="NON ENGAGE","✖","")))))</f>
        <v/>
      </c>
      <c r="B507" s="673" t="n">
        <v>2001</v>
      </c>
      <c r="C507" s="674" t="inlineStr">
        <is>
          <t>DRH</t>
        </is>
      </c>
      <c r="D507" s="674" t="inlineStr">
        <is>
          <t>RECONDUCTIBLE</t>
        </is>
      </c>
      <c r="E507" s="675" t="inlineStr">
        <is>
          <t>CONTRAT</t>
        </is>
      </c>
      <c r="F507" s="675" t="n">
        <v>1</v>
      </c>
      <c r="G507" s="676" t="inlineStr">
        <is>
          <t>Traitement de la Paie</t>
        </is>
      </c>
      <c r="H507" s="673" t="inlineStr">
        <is>
          <t>VALIDE</t>
        </is>
      </c>
      <c r="I507" s="675" t="inlineStr">
        <is>
          <t>APPROUVE</t>
        </is>
      </c>
      <c r="J507" s="675" t="inlineStr">
        <is>
          <t>322/2001</t>
        </is>
      </c>
      <c r="K507" s="673" t="inlineStr">
        <is>
          <t>NON CONCERNE</t>
        </is>
      </c>
      <c r="L507" s="675" t="inlineStr">
        <is>
          <t>Ordinaire</t>
        </is>
      </c>
      <c r="M507" s="677" t="inlineStr">
        <is>
          <t>FONCTIONNEMENT</t>
        </is>
      </c>
      <c r="N507" s="678" t="inlineStr">
        <is>
          <t>Prestation de services
Achat prestations de services locales - sociétés</t>
        </is>
      </c>
      <c r="O507" s="679" t="n"/>
      <c r="P507" s="680" t="n"/>
      <c r="Q507" s="680" t="n"/>
      <c r="R507" s="675" t="inlineStr">
        <is>
          <t>RECONDUCTIBLE</t>
        </is>
      </c>
      <c r="S507" s="681" t="n"/>
      <c r="T507" s="682" t="n"/>
      <c r="U507" s="683" t="inlineStr">
        <is>
          <t>SOMEIGE</t>
        </is>
      </c>
      <c r="V507" s="675" t="n">
        <v>2001</v>
      </c>
      <c r="W507" s="682" t="n"/>
      <c r="X507" s="682" t="n"/>
      <c r="Y507" s="682" t="n"/>
      <c r="Z507" s="679" t="n">
        <v>127666.666666667</v>
      </c>
      <c r="AA507" s="680" t="n">
        <v>0</v>
      </c>
      <c r="AB507" s="680" t="n">
        <v>127666.666666667</v>
      </c>
      <c r="AC507" s="680" t="n">
        <v>0</v>
      </c>
      <c r="AD507" s="680" t="n">
        <v>127666.666666667</v>
      </c>
      <c r="AE507" s="680" t="n">
        <v>127666.666666667</v>
      </c>
      <c r="AF507" s="684" t="inlineStr">
        <is>
          <t>ENGAGE</t>
        </is>
      </c>
      <c r="AG507" s="683" t="n"/>
      <c r="AH507" s="680" t="n"/>
      <c r="AI507" s="680" t="n"/>
      <c r="AJ507" s="680" t="n"/>
      <c r="AK507" s="680" t="n"/>
      <c r="AL507" s="685" t="n"/>
      <c r="AM507" s="685" t="n"/>
      <c r="AN507" s="683" t="n"/>
    </row>
    <row r="508" ht="50.55" customHeight="1" s="392">
      <c r="A508" s="672">
        <f>IF(AF508="ENGAGE","✔",IF(AF508="EN COURS D'ENGAGEMENT","◕",IF(AF508="PREENGAGE","◑",IF(AF508="EN COURS DE PREENGAGEMENT","◔",IF(AF508="NON ENGAGE","✖","")))))</f>
        <v/>
      </c>
      <c r="B508" s="673" t="n">
        <v>2025</v>
      </c>
      <c r="C508" s="674" t="inlineStr">
        <is>
          <t>DMPTV</t>
        </is>
      </c>
      <c r="D508" s="674" t="inlineStr">
        <is>
          <t>RECONDUCTIBLE</t>
        </is>
      </c>
      <c r="E508" s="675" t="inlineStr">
        <is>
          <t>CONTRAT</t>
        </is>
      </c>
      <c r="F508" s="675" t="n">
        <v>1</v>
      </c>
      <c r="G508" s="676" t="inlineStr">
        <is>
          <t>Determiner les termes et conditions par lesquels la SNRT " SPONSOR  SILVER "  du Nationnal Performmances Tour des éditions 2025,2026 et 2027</t>
        </is>
      </c>
      <c r="H508" s="673" t="inlineStr">
        <is>
          <t>VALIDE</t>
        </is>
      </c>
      <c r="I508" s="675" t="inlineStr">
        <is>
          <t>APPROUVE</t>
        </is>
      </c>
      <c r="J508" s="675" t="inlineStr">
        <is>
          <t>001270125/CT-SNRT</t>
        </is>
      </c>
      <c r="K508" s="673" t="inlineStr">
        <is>
          <t>NON CONCERNE</t>
        </is>
      </c>
      <c r="L508" s="675" t="inlineStr">
        <is>
          <t>Ordinaire</t>
        </is>
      </c>
      <c r="M508" s="677" t="inlineStr">
        <is>
          <t>FONCTIONNEMENT</t>
        </is>
      </c>
      <c r="N508" s="678" t="inlineStr">
        <is>
          <t>Charges marketing et relations publiques</t>
        </is>
      </c>
      <c r="O508" s="679" t="n"/>
      <c r="P508" s="680" t="n"/>
      <c r="Q508" s="680" t="n"/>
      <c r="R508" s="675" t="inlineStr">
        <is>
          <t>RECONDUCTIBLE</t>
        </is>
      </c>
      <c r="S508" s="681" t="n"/>
      <c r="T508" s="682" t="n"/>
      <c r="U508" s="683" t="inlineStr">
        <is>
          <t>ASSOCIATION DU TROPHEE HASSAN II</t>
        </is>
      </c>
      <c r="V508" s="675" t="n">
        <v>2025</v>
      </c>
      <c r="W508" s="682" t="n"/>
      <c r="X508" s="682" t="n"/>
      <c r="Y508" s="682" t="n"/>
      <c r="Z508" s="679">
        <f>AD508</f>
        <v/>
      </c>
      <c r="AA508" s="680" t="n">
        <v>0</v>
      </c>
      <c r="AB508" s="680">
        <f>AE508</f>
        <v/>
      </c>
      <c r="AC508" s="680" t="n">
        <v>0</v>
      </c>
      <c r="AD508" s="680" t="n">
        <v>1300000</v>
      </c>
      <c r="AE508" s="680" t="n">
        <v>1560000</v>
      </c>
      <c r="AF508" s="684" t="inlineStr">
        <is>
          <t>ENGAGE</t>
        </is>
      </c>
      <c r="AG508" s="683" t="n"/>
      <c r="AH508" s="680" t="n"/>
      <c r="AI508" s="680" t="n"/>
      <c r="AJ508" s="680" t="n"/>
      <c r="AK508" s="680" t="n"/>
      <c r="AL508" s="685" t="n"/>
      <c r="AM508" s="685" t="n"/>
      <c r="AN508" s="683" t="n"/>
    </row>
    <row r="509" ht="35.7" customHeight="1" s="392">
      <c r="A509" s="672">
        <f>IF(AF509="ENGAGE","✔",IF(AF509="EN COURS D'ENGAGEMENT","◕",IF(AF509="PREENGAGE","◑",IF(AF509="EN COURS DE PREENGAGEMENT","◔",IF(AF509="NON ENGAGE","✖","")))))</f>
        <v/>
      </c>
      <c r="B509" s="673" t="inlineStr">
        <is>
          <t>-</t>
        </is>
      </c>
      <c r="C509" s="674" t="inlineStr">
        <is>
          <t>DRPSD</t>
        </is>
      </c>
      <c r="D509" s="674" t="inlineStr">
        <is>
          <t>RECONDUCTIBLE</t>
        </is>
      </c>
      <c r="E509" s="675" t="inlineStr">
        <is>
          <t>CONTRAT</t>
        </is>
      </c>
      <c r="F509" s="675" t="n">
        <v>1</v>
      </c>
      <c r="G509" s="676" t="inlineStr">
        <is>
          <t>FRAIS DE SYNDICAT DU TWIN CENTER</t>
        </is>
      </c>
      <c r="H509" s="673" t="inlineStr">
        <is>
          <t>VALIDE</t>
        </is>
      </c>
      <c r="I509" s="675" t="inlineStr">
        <is>
          <t>APPROUVE</t>
        </is>
      </c>
      <c r="J509" s="675" t="inlineStr">
        <is>
          <t>JDE : 21000030</t>
        </is>
      </c>
      <c r="K509" s="673" t="inlineStr">
        <is>
          <t>NON CONCERNE</t>
        </is>
      </c>
      <c r="L509" s="675" t="inlineStr">
        <is>
          <t>Ordinaire</t>
        </is>
      </c>
      <c r="M509" s="677" t="inlineStr">
        <is>
          <t>FONCTIONNEMENT</t>
        </is>
      </c>
      <c r="N509" s="678" t="inlineStr">
        <is>
          <t>Redevances et cotisations</t>
        </is>
      </c>
      <c r="O509" s="679" t="n"/>
      <c r="P509" s="680" t="n"/>
      <c r="Q509" s="680" t="n"/>
      <c r="R509" s="675" t="inlineStr">
        <is>
          <t>RECONDUCTIBLE</t>
        </is>
      </c>
      <c r="S509" s="681" t="n"/>
      <c r="T509" s="682" t="n"/>
      <c r="U509" s="683" t="inlineStr">
        <is>
          <t>SYNDICAT DES PROPRIETAIRES DU TWIN CENTR</t>
        </is>
      </c>
      <c r="V509" s="675" t="inlineStr">
        <is>
          <t>-</t>
        </is>
      </c>
      <c r="W509" s="682" t="n"/>
      <c r="X509" s="682" t="n"/>
      <c r="Y509" s="682" t="n"/>
      <c r="Z509" s="679" t="n">
        <v>250000</v>
      </c>
      <c r="AA509" s="680" t="n">
        <v>0</v>
      </c>
      <c r="AB509" s="680" t="n">
        <v>250000</v>
      </c>
      <c r="AC509" s="680" t="n">
        <v>0</v>
      </c>
      <c r="AD509" s="680" t="n">
        <v>250000</v>
      </c>
      <c r="AE509" s="680" t="n">
        <v>250000</v>
      </c>
      <c r="AF509" s="684" t="inlineStr">
        <is>
          <t>ENGAGE</t>
        </is>
      </c>
      <c r="AG509" s="683" t="n"/>
      <c r="AH509" s="680" t="n"/>
      <c r="AI509" s="680" t="n"/>
      <c r="AJ509" s="680" t="n"/>
      <c r="AK509" s="680" t="n"/>
      <c r="AL509" s="685" t="n"/>
      <c r="AM509" s="685" t="n"/>
      <c r="AN509" s="683" t="n"/>
    </row>
    <row r="510" ht="35.7" customHeight="1" s="392">
      <c r="A510" s="672">
        <f>IF(AF510="ENGAGE","✔",IF(AF510="EN COURS D'ENGAGEMENT","◕",IF(AF510="PREENGAGE","◑",IF(AF510="EN COURS DE PREENGAGEMENT","◔",IF(AF510="NON ENGAGE","✖","")))))</f>
        <v/>
      </c>
      <c r="B510" s="673" t="n">
        <v>2024</v>
      </c>
      <c r="C510" s="674" t="inlineStr">
        <is>
          <t>ARRIYADIA</t>
        </is>
      </c>
      <c r="D510" s="674" t="inlineStr">
        <is>
          <t>RECONDUCTIBLE</t>
        </is>
      </c>
      <c r="E510" s="675" t="inlineStr">
        <is>
          <t>CONTRAT</t>
        </is>
      </c>
      <c r="F510" s="675" t="n">
        <v>1</v>
      </c>
      <c r="G510" s="676" t="inlineStr">
        <is>
          <t>l’acquisition des droits de diffusion de SPORT NEWS REPORTING (2024 – 2029).</t>
        </is>
      </c>
      <c r="H510" s="673" t="inlineStr">
        <is>
          <t>VALIDE</t>
        </is>
      </c>
      <c r="I510" s="675" t="inlineStr">
        <is>
          <t>APPROUVE</t>
        </is>
      </c>
      <c r="J510" s="675" t="inlineStr">
        <is>
          <t>004070224/CT-SNRT</t>
        </is>
      </c>
      <c r="K510" s="673" t="inlineStr">
        <is>
          <t>NON CONCERNE</t>
        </is>
      </c>
      <c r="L510" s="675" t="inlineStr">
        <is>
          <t>Ordinaire</t>
        </is>
      </c>
      <c r="M510" s="677" t="inlineStr">
        <is>
          <t>FONCTIONNEMENT</t>
        </is>
      </c>
      <c r="N510" s="678" t="inlineStr">
        <is>
          <t>Achats de droits
Achats de droit de sport</t>
        </is>
      </c>
      <c r="O510" s="679" t="n"/>
      <c r="P510" s="680" t="n"/>
      <c r="Q510" s="680" t="n"/>
      <c r="R510" s="675" t="inlineStr">
        <is>
          <t>RECONDUCTIBLE</t>
        </is>
      </c>
      <c r="S510" s="681" t="n"/>
      <c r="T510" s="682" t="n"/>
      <c r="U510" s="683" t="inlineStr">
        <is>
          <t>SNTV</t>
        </is>
      </c>
      <c r="V510" s="675" t="n">
        <v>2024</v>
      </c>
      <c r="W510" s="682" t="n"/>
      <c r="X510" s="682" t="n"/>
      <c r="Y510" s="682" t="n"/>
      <c r="Z510" s="679" t="n">
        <v>1427180</v>
      </c>
      <c r="AA510" s="680" t="n">
        <v>0</v>
      </c>
      <c r="AB510" s="680" t="n">
        <v>1427180</v>
      </c>
      <c r="AC510" s="680" t="n">
        <v>0</v>
      </c>
      <c r="AD510" s="680" t="n">
        <v>1427180</v>
      </c>
      <c r="AE510" s="680" t="n">
        <v>1427180</v>
      </c>
      <c r="AF510" s="684" t="inlineStr">
        <is>
          <t>ENGAGE</t>
        </is>
      </c>
      <c r="AG510" s="683" t="n"/>
      <c r="AH510" s="680" t="n"/>
      <c r="AI510" s="680" t="n"/>
      <c r="AJ510" s="680" t="n"/>
      <c r="AK510" s="680" t="n"/>
      <c r="AL510" s="685" t="n"/>
      <c r="AM510" s="685" t="n"/>
      <c r="AN510" s="683" t="inlineStr">
        <is>
          <t>R.A.S</t>
        </is>
      </c>
    </row>
    <row r="511" ht="35.7" customHeight="1" s="392">
      <c r="A511" s="672">
        <f>IF(AF511="ENGAGE","✔",IF(AF511="EN COURS D'ENGAGEMENT","◕",IF(AF511="PREENGAGE","◑",IF(AF511="EN COURS DE PREENGAGEMENT","◔",IF(AF511="NON ENGAGE","✖","")))))</f>
        <v/>
      </c>
      <c r="B511" s="673" t="n">
        <v>2025</v>
      </c>
      <c r="C511" s="674" t="inlineStr">
        <is>
          <t>ARRIYADIA</t>
        </is>
      </c>
      <c r="D511" s="674" t="inlineStr">
        <is>
          <t>RECONDUCTIBLE</t>
        </is>
      </c>
      <c r="E511" s="675" t="inlineStr">
        <is>
          <t>CONTRAT</t>
        </is>
      </c>
      <c r="F511" s="675" t="n">
        <v>1</v>
      </c>
      <c r="G511" s="676" t="inlineStr">
        <is>
          <t>L’acquisition des droits de diffusion des compétitions de Judo 2025</t>
        </is>
      </c>
      <c r="H511" s="673" t="inlineStr">
        <is>
          <t>VALIDE</t>
        </is>
      </c>
      <c r="I511" s="675" t="inlineStr">
        <is>
          <t>APPROUVE</t>
        </is>
      </c>
      <c r="J511" s="675" t="inlineStr">
        <is>
          <t>004270125/CT-SNRT</t>
        </is>
      </c>
      <c r="K511" s="673" t="inlineStr">
        <is>
          <t>NON CONCERNE</t>
        </is>
      </c>
      <c r="L511" s="675" t="inlineStr">
        <is>
          <t>Ordinaire</t>
        </is>
      </c>
      <c r="M511" s="677" t="inlineStr">
        <is>
          <t>FONCTIONNEMENT</t>
        </is>
      </c>
      <c r="N511" s="678" t="inlineStr">
        <is>
          <t>Achats de droits
Achats de droit de sport</t>
        </is>
      </c>
      <c r="O511" s="679" t="n"/>
      <c r="P511" s="680" t="n"/>
      <c r="Q511" s="680" t="n"/>
      <c r="R511" s="675" t="inlineStr">
        <is>
          <t>RECONDUCTIBLE</t>
        </is>
      </c>
      <c r="S511" s="681" t="n"/>
      <c r="T511" s="682" t="n"/>
      <c r="U511" s="683" t="inlineStr">
        <is>
          <t>SILVER SPRING MEDIA AB</t>
        </is>
      </c>
      <c r="V511" s="675" t="n">
        <v>2025</v>
      </c>
      <c r="W511" s="682" t="n"/>
      <c r="X511" s="682" t="n"/>
      <c r="Y511" s="682" t="n"/>
      <c r="Z511" s="679" t="n">
        <v>414064</v>
      </c>
      <c r="AA511" s="680" t="n">
        <v>40000</v>
      </c>
      <c r="AB511" s="680" t="n">
        <v>414064</v>
      </c>
      <c r="AC511" s="680" t="n">
        <v>40000</v>
      </c>
      <c r="AD511" s="680" t="n">
        <v>414064</v>
      </c>
      <c r="AE511" s="680" t="n">
        <v>414064</v>
      </c>
      <c r="AF511" s="684" t="inlineStr">
        <is>
          <t>ENGAGE</t>
        </is>
      </c>
      <c r="AG511" s="683" t="n"/>
      <c r="AH511" s="680" t="n"/>
      <c r="AI511" s="680" t="n"/>
      <c r="AJ511" s="680" t="n"/>
      <c r="AK511" s="680" t="n"/>
      <c r="AL511" s="685" t="n"/>
      <c r="AM511" s="685" t="n"/>
      <c r="AN511" s="683" t="inlineStr">
        <is>
          <t>R.A.S</t>
        </is>
      </c>
    </row>
    <row r="512" ht="35.7" customHeight="1" s="392">
      <c r="A512" s="672">
        <f>IF(AF512="ENGAGE","✔",IF(AF512="EN COURS D'ENGAGEMENT","◕",IF(AF512="PREENGAGE","◑",IF(AF512="EN COURS DE PREENGAGEMENT","◔",IF(AF512="NON ENGAGE","✖","")))))</f>
        <v/>
      </c>
      <c r="B512" s="673" t="n">
        <v>2025</v>
      </c>
      <c r="C512" s="674" t="inlineStr">
        <is>
          <t>ARRIYADIA</t>
        </is>
      </c>
      <c r="D512" s="674" t="inlineStr">
        <is>
          <t>RECONDUCTIBLE</t>
        </is>
      </c>
      <c r="E512" s="675" t="inlineStr">
        <is>
          <t>CONTRAT</t>
        </is>
      </c>
      <c r="F512" s="675" t="n">
        <v>1</v>
      </c>
      <c r="G512" s="676" t="inlineStr">
        <is>
          <t>Achats des droits de diffusion des compétitions du championnat de la ligue africaine du Basket Ball 10 000/année</t>
        </is>
      </c>
      <c r="H512" s="673" t="inlineStr">
        <is>
          <t>VALIDE</t>
        </is>
      </c>
      <c r="I512" s="675" t="inlineStr">
        <is>
          <t>APPROUVE</t>
        </is>
      </c>
      <c r="J512" s="675" t="inlineStr">
        <is>
          <t>003020425/CT-SNRT</t>
        </is>
      </c>
      <c r="K512" s="673" t="inlineStr">
        <is>
          <t>NON CONCERNE</t>
        </is>
      </c>
      <c r="L512" s="675" t="inlineStr">
        <is>
          <t>Ordinaire</t>
        </is>
      </c>
      <c r="M512" s="677" t="inlineStr">
        <is>
          <t>FONCTIONNEMENT</t>
        </is>
      </c>
      <c r="N512" s="678" t="inlineStr">
        <is>
          <t>Achats de droits
Achats de droit de sport</t>
        </is>
      </c>
      <c r="O512" s="679" t="n"/>
      <c r="P512" s="680" t="n"/>
      <c r="Q512" s="680" t="n"/>
      <c r="R512" s="675" t="inlineStr">
        <is>
          <t>RECONDUCTIBLE</t>
        </is>
      </c>
      <c r="S512" s="681" t="n"/>
      <c r="T512" s="682" t="n"/>
      <c r="U512" s="683" t="inlineStr">
        <is>
          <t>BALP</t>
        </is>
      </c>
      <c r="V512" s="675" t="n">
        <v>2025</v>
      </c>
      <c r="W512" s="682" t="n"/>
      <c r="X512" s="682" t="n"/>
      <c r="Y512" s="682" t="n"/>
      <c r="Z512" s="679" t="n">
        <v>96190</v>
      </c>
      <c r="AA512" s="680" t="n">
        <v>10000</v>
      </c>
      <c r="AB512" s="680" t="n">
        <v>96190</v>
      </c>
      <c r="AC512" s="680" t="n">
        <v>10000</v>
      </c>
      <c r="AD512" s="680" t="n">
        <v>96190</v>
      </c>
      <c r="AE512" s="680" t="n">
        <v>96190</v>
      </c>
      <c r="AF512" s="684" t="inlineStr">
        <is>
          <t>ENGAGE</t>
        </is>
      </c>
      <c r="AG512" s="683" t="n"/>
      <c r="AH512" s="680" t="n"/>
      <c r="AI512" s="680" t="n"/>
      <c r="AJ512" s="680" t="n"/>
      <c r="AK512" s="680" t="n"/>
      <c r="AL512" s="685" t="n"/>
      <c r="AM512" s="685" t="n"/>
      <c r="AN512" s="683" t="inlineStr">
        <is>
          <t>R.A.S</t>
        </is>
      </c>
    </row>
    <row r="513" ht="50.55" customHeight="1" s="392">
      <c r="A513" s="672">
        <f>IF(AF513="ENGAGE","✔",IF(AF513="EN COURS D'ENGAGEMENT","◕",IF(AF513="PREENGAGE","◑",IF(AF513="EN COURS DE PREENGAGEMENT","◔",IF(AF513="NON ENGAGE","✖","")))))</f>
        <v/>
      </c>
      <c r="B513" s="673" t="n">
        <v>2025</v>
      </c>
      <c r="C513" s="674" t="inlineStr">
        <is>
          <t>DTSI</t>
        </is>
      </c>
      <c r="D513" s="674" t="inlineStr">
        <is>
          <t>RECONDUCTIBLE</t>
        </is>
      </c>
      <c r="E513" s="675" t="inlineStr">
        <is>
          <t>CONTRAT</t>
        </is>
      </c>
      <c r="F513" s="675" t="n">
        <v>1</v>
      </c>
      <c r="G513" s="676" t="inlineStr">
        <is>
          <t>Abonnement au service de production virtuelle basé sur l'intelligence artificielle de Huawei Cloud ''MetaStudio'' pour les besoins de la SNRT.</t>
        </is>
      </c>
      <c r="H513" s="673" t="inlineStr">
        <is>
          <t>VALIDE</t>
        </is>
      </c>
      <c r="I513" s="675" t="inlineStr">
        <is>
          <t>APPROUVE</t>
        </is>
      </c>
      <c r="J513" s="675" t="inlineStr">
        <is>
          <t>472 CT/SNRT/2025</t>
        </is>
      </c>
      <c r="K513" s="673" t="inlineStr">
        <is>
          <t>NON CONCERNE</t>
        </is>
      </c>
      <c r="L513" s="675" t="inlineStr">
        <is>
          <t>Ordinaire</t>
        </is>
      </c>
      <c r="M513" s="677" t="inlineStr">
        <is>
          <t>FONCTIONNEMENT</t>
        </is>
      </c>
      <c r="N513" s="678" t="inlineStr">
        <is>
          <t>Redevances et cotisations</t>
        </is>
      </c>
      <c r="O513" s="679" t="n"/>
      <c r="P513" s="680" t="n"/>
      <c r="Q513" s="680" t="n"/>
      <c r="R513" s="675" t="inlineStr">
        <is>
          <t>RECONDUCTIBLE</t>
        </is>
      </c>
      <c r="S513" s="681" t="n"/>
      <c r="T513" s="682" t="n"/>
      <c r="U513" s="683" t="inlineStr">
        <is>
          <t>ONE CLOUD</t>
        </is>
      </c>
      <c r="V513" s="675" t="n">
        <v>2025</v>
      </c>
      <c r="W513" s="682" t="n"/>
      <c r="X513" s="682" t="n"/>
      <c r="Y513" s="682" t="n"/>
      <c r="Z513" s="679" t="n">
        <v>366650</v>
      </c>
      <c r="AA513" s="680" t="n">
        <v>0</v>
      </c>
      <c r="AB513" s="680" t="n">
        <v>439980</v>
      </c>
      <c r="AC513" s="680" t="n">
        <v>0</v>
      </c>
      <c r="AD513" s="680" t="n">
        <v>366650</v>
      </c>
      <c r="AE513" s="680" t="n">
        <v>439980</v>
      </c>
      <c r="AF513" s="684" t="inlineStr">
        <is>
          <t>ENGAGE</t>
        </is>
      </c>
      <c r="AG513" s="683" t="n"/>
      <c r="AH513" s="680" t="n"/>
      <c r="AI513" s="680" t="n"/>
      <c r="AJ513" s="680" t="n"/>
      <c r="AK513" s="680" t="n"/>
      <c r="AL513" s="685" t="n"/>
      <c r="AM513" s="685" t="n"/>
      <c r="AN513" s="683" t="n"/>
    </row>
    <row r="514" ht="32" customHeight="1" s="392">
      <c r="A514" s="672">
        <f>IF(AF514="ENGAGE","✔",IF(AF514="EN COURS D'ENGAGEMENT","◕",IF(AF514="PREENGAGE","◑",IF(AF514="EN COURS DE PREENGAGEMENT","◔",IF(AF514="NON ENGAGE","✖","")))))</f>
        <v/>
      </c>
      <c r="B514" s="673" t="n">
        <v>2025</v>
      </c>
      <c r="C514" s="674" t="inlineStr">
        <is>
          <t>DTSI</t>
        </is>
      </c>
      <c r="D514" s="674" t="inlineStr">
        <is>
          <t>RECONDUCTIBLE</t>
        </is>
      </c>
      <c r="E514" s="675" t="inlineStr">
        <is>
          <t>CONTRAT</t>
        </is>
      </c>
      <c r="F514" s="675" t="n">
        <v>1</v>
      </c>
      <c r="G514" s="676" t="inlineStr">
        <is>
          <t>Abonnement  "Google Workspace"</t>
        </is>
      </c>
      <c r="H514" s="673" t="inlineStr">
        <is>
          <t>VALIDE</t>
        </is>
      </c>
      <c r="I514" s="675" t="inlineStr">
        <is>
          <t>APPROUVE</t>
        </is>
      </c>
      <c r="J514" s="675" t="inlineStr">
        <is>
          <t>427 CT/SNRT/2024</t>
        </is>
      </c>
      <c r="K514" s="673" t="inlineStr">
        <is>
          <t>NON CONCERNE</t>
        </is>
      </c>
      <c r="L514" s="675" t="inlineStr">
        <is>
          <t>Ordinaire</t>
        </is>
      </c>
      <c r="M514" s="677" t="inlineStr">
        <is>
          <t>FONCTIONNEMENT</t>
        </is>
      </c>
      <c r="N514" s="678" t="inlineStr">
        <is>
          <t>Redevances et cotisations</t>
        </is>
      </c>
      <c r="O514" s="679" t="n"/>
      <c r="P514" s="680" t="n"/>
      <c r="Q514" s="680" t="n"/>
      <c r="R514" s="675" t="inlineStr">
        <is>
          <t>RECONDUCTIBLE</t>
        </is>
      </c>
      <c r="S514" s="681" t="n"/>
      <c r="T514" s="682" t="n"/>
      <c r="U514" s="683" t="inlineStr">
        <is>
          <t>NPONE SARL</t>
        </is>
      </c>
      <c r="V514" s="675" t="n">
        <v>2024</v>
      </c>
      <c r="W514" s="682" t="n"/>
      <c r="X514" s="682" t="n"/>
      <c r="Y514" s="682" t="n"/>
      <c r="Z514" s="679" t="n">
        <v>283200</v>
      </c>
      <c r="AA514" s="680" t="n">
        <v>0</v>
      </c>
      <c r="AB514" s="680" t="n">
        <v>339840</v>
      </c>
      <c r="AC514" s="680" t="n"/>
      <c r="AD514" s="680" t="n">
        <v>0</v>
      </c>
      <c r="AE514" s="680" t="n">
        <v>339840</v>
      </c>
      <c r="AF514" s="684" t="inlineStr">
        <is>
          <t>ENGAGE</t>
        </is>
      </c>
      <c r="AG514" s="683" t="n"/>
      <c r="AH514" s="680" t="n"/>
      <c r="AI514" s="680" t="n"/>
      <c r="AJ514" s="680" t="n"/>
      <c r="AK514" s="680" t="n"/>
      <c r="AL514" s="685" t="n"/>
      <c r="AM514" s="685" t="n"/>
      <c r="AN514" s="683" t="n"/>
    </row>
    <row r="515" ht="50.55" customHeight="1" s="392">
      <c r="A515" s="672">
        <f>IF(AF515="ENGAGE","✔",IF(AF515="EN COURS D'ENGAGEMENT","◕",IF(AF515="PREENGAGE","◑",IF(AF515="EN COURS DE PREENGAGEMENT","◔",IF(AF515="NON ENGAGE","✖","")))))</f>
        <v/>
      </c>
      <c r="B515" s="673" t="n">
        <v>2025</v>
      </c>
      <c r="C515" s="674" t="inlineStr">
        <is>
          <t>DTSI</t>
        </is>
      </c>
      <c r="D515" s="674" t="inlineStr">
        <is>
          <t>RECONDUCTIBLE</t>
        </is>
      </c>
      <c r="E515" s="675" t="inlineStr">
        <is>
          <t>CONTRAT</t>
        </is>
      </c>
      <c r="F515" s="675" t="n">
        <v>1</v>
      </c>
      <c r="G515" s="676" t="inlineStr">
        <is>
          <t>Abonnement au service de synthése vocale basée sur les voix Text-To-Speech de Google Cloud AI pour les besoins de la SNRT.</t>
        </is>
      </c>
      <c r="H515" s="673" t="inlineStr">
        <is>
          <t>VALIDE</t>
        </is>
      </c>
      <c r="I515" s="675" t="inlineStr">
        <is>
          <t>APPROUVE</t>
        </is>
      </c>
      <c r="J515" s="675" t="inlineStr">
        <is>
          <t>471 CT/SNRT/2025</t>
        </is>
      </c>
      <c r="K515" s="673" t="inlineStr">
        <is>
          <t>NON CONCERNE</t>
        </is>
      </c>
      <c r="L515" s="675" t="inlineStr">
        <is>
          <t>Ordinaire</t>
        </is>
      </c>
      <c r="M515" s="677" t="inlineStr">
        <is>
          <t>FONCTIONNEMENT</t>
        </is>
      </c>
      <c r="N515" s="678" t="inlineStr">
        <is>
          <t>Redevances et cotisations</t>
        </is>
      </c>
      <c r="O515" s="679" t="n"/>
      <c r="P515" s="680" t="n"/>
      <c r="Q515" s="680" t="n"/>
      <c r="R515" s="675" t="inlineStr">
        <is>
          <t>RECONDUCTIBLE</t>
        </is>
      </c>
      <c r="S515" s="681" t="n"/>
      <c r="T515" s="682" t="n"/>
      <c r="U515" s="683" t="inlineStr">
        <is>
          <t>ONE CLOUD</t>
        </is>
      </c>
      <c r="V515" s="675" t="n">
        <v>2025</v>
      </c>
      <c r="W515" s="682" t="n"/>
      <c r="X515" s="682" t="n"/>
      <c r="Y515" s="682" t="n"/>
      <c r="Z515" s="679" t="n">
        <v>114720</v>
      </c>
      <c r="AA515" s="680" t="n">
        <v>0</v>
      </c>
      <c r="AB515" s="680" t="n">
        <v>137664</v>
      </c>
      <c r="AC515" s="680" t="n">
        <v>0</v>
      </c>
      <c r="AD515" s="680" t="n">
        <v>114720</v>
      </c>
      <c r="AE515" s="680" t="n">
        <v>137664</v>
      </c>
      <c r="AF515" s="684" t="inlineStr">
        <is>
          <t>ENGAGE</t>
        </is>
      </c>
      <c r="AG515" s="683" t="n"/>
      <c r="AH515" s="680" t="n"/>
      <c r="AI515" s="680" t="n"/>
      <c r="AJ515" s="680" t="n"/>
      <c r="AK515" s="680" t="n"/>
      <c r="AL515" s="685" t="n"/>
      <c r="AM515" s="685" t="n"/>
      <c r="AN515" s="683" t="n"/>
    </row>
    <row r="516" ht="46.5" customHeight="1" s="392">
      <c r="A516" s="672">
        <f>IF(AF516="ENGAGE","✔",IF(AF516="EN COURS D'ENGAGEMENT","◕",IF(AF516="PREENGAGE","◑",IF(AF516="EN COURS DE PREENGAGEMENT","◔",IF(AF516="NON ENGAGE","✖","")))))</f>
        <v/>
      </c>
      <c r="B516" s="673" t="n">
        <v>2025</v>
      </c>
      <c r="C516" s="674" t="inlineStr">
        <is>
          <t>DTSI</t>
        </is>
      </c>
      <c r="D516" s="674" t="inlineStr">
        <is>
          <t>RECONDUCTIBLE</t>
        </is>
      </c>
      <c r="E516" s="675" t="inlineStr">
        <is>
          <t>CONTRAT</t>
        </is>
      </c>
      <c r="F516" s="675" t="n">
        <v>1</v>
      </c>
      <c r="G516" s="676" t="inlineStr">
        <is>
          <t>Services (transcodage, segmentation et streaming Live sur internet) pour les chaînes TV et Radio de la SNRT.</t>
        </is>
      </c>
      <c r="H516" s="673" t="inlineStr">
        <is>
          <t>VALIDE</t>
        </is>
      </c>
      <c r="I516" s="675" t="inlineStr">
        <is>
          <t>APPROUVE</t>
        </is>
      </c>
      <c r="J516" s="675" t="inlineStr">
        <is>
          <t>389 CT/SNRT/2025</t>
        </is>
      </c>
      <c r="K516" s="673" t="inlineStr">
        <is>
          <t>NON CONCERNE</t>
        </is>
      </c>
      <c r="L516" s="675" t="inlineStr">
        <is>
          <t>Ordinaire</t>
        </is>
      </c>
      <c r="M516" s="677" t="inlineStr">
        <is>
          <t>FONCTIONNEMENT</t>
        </is>
      </c>
      <c r="N516" s="678" t="inlineStr">
        <is>
          <t>Prestation de services
Achat prestations de services locales - sociétés</t>
        </is>
      </c>
      <c r="O516" s="679" t="n"/>
      <c r="P516" s="680" t="n"/>
      <c r="Q516" s="680" t="n"/>
      <c r="R516" s="675" t="inlineStr">
        <is>
          <t>RECONDUCTIBLE</t>
        </is>
      </c>
      <c r="S516" s="681" t="n"/>
      <c r="T516" s="682" t="n"/>
      <c r="U516" s="683" t="inlineStr">
        <is>
          <t>EASYBROADCAST</t>
        </is>
      </c>
      <c r="V516" s="675" t="n">
        <v>2025</v>
      </c>
      <c r="W516" s="682" t="n"/>
      <c r="X516" s="682" t="n"/>
      <c r="Y516" s="682" t="n"/>
      <c r="Z516" s="679" t="n">
        <v>1644442.8</v>
      </c>
      <c r="AA516" s="680" t="n">
        <v>156000</v>
      </c>
      <c r="AB516" s="680" t="n">
        <v>1644442.8</v>
      </c>
      <c r="AC516" s="680" t="n">
        <v>156000</v>
      </c>
      <c r="AD516" s="680" t="n">
        <v>1644442.8</v>
      </c>
      <c r="AE516" s="680" t="n">
        <v>1644442.8</v>
      </c>
      <c r="AF516" s="684" t="inlineStr">
        <is>
          <t>ENGAGE</t>
        </is>
      </c>
      <c r="AG516" s="683" t="n"/>
      <c r="AH516" s="680" t="n"/>
      <c r="AI516" s="680" t="n"/>
      <c r="AJ516" s="680" t="n"/>
      <c r="AK516" s="680" t="n"/>
      <c r="AL516" s="685" t="n"/>
      <c r="AM516" s="685" t="n"/>
      <c r="AN516" s="683" t="n"/>
    </row>
    <row r="517" ht="35.7" customHeight="1" s="392">
      <c r="A517" s="672">
        <f>IF(AF517="ENGAGE","✔",IF(AF517="EN COURS D'ENGAGEMENT","◕",IF(AF517="PREENGAGE","◑",IF(AF517="EN COURS DE PREENGAGEMENT","◔",IF(AF517="NON ENGAGE","✖","")))))</f>
        <v/>
      </c>
      <c r="B517" s="673" t="n">
        <v>2025</v>
      </c>
      <c r="C517" s="674" t="inlineStr">
        <is>
          <t>DG</t>
        </is>
      </c>
      <c r="D517" s="674" t="inlineStr">
        <is>
          <t>RECONDUCTIBLE</t>
        </is>
      </c>
      <c r="E517" s="675" t="inlineStr">
        <is>
          <t>CONTRAT</t>
        </is>
      </c>
      <c r="F517" s="675" t="n">
        <v>1</v>
      </c>
      <c r="G517" s="676" t="inlineStr">
        <is>
          <t xml:space="preserve"> Consultant s’engage à accomplir une mission de conseil, d’étude et d’expertise, au profit de la SNRT.</t>
        </is>
      </c>
      <c r="H517" s="673" t="inlineStr">
        <is>
          <t>VALIDE</t>
        </is>
      </c>
      <c r="I517" s="675" t="inlineStr">
        <is>
          <t>APPROUVE</t>
        </is>
      </c>
      <c r="J517" s="675" t="inlineStr">
        <is>
          <t>445 CT/SNRT/2025</t>
        </is>
      </c>
      <c r="K517" s="673" t="inlineStr">
        <is>
          <t>NON CONCERNE</t>
        </is>
      </c>
      <c r="L517" s="675" t="inlineStr">
        <is>
          <t>Ordinaire</t>
        </is>
      </c>
      <c r="M517" s="677" t="inlineStr">
        <is>
          <t>FONCTIONNEMENT</t>
        </is>
      </c>
      <c r="N517" s="678" t="inlineStr">
        <is>
          <t>Honoraires et rémunération du personnel occasionnel</t>
        </is>
      </c>
      <c r="O517" s="679" t="n"/>
      <c r="P517" s="680" t="n"/>
      <c r="Q517" s="680" t="n"/>
      <c r="R517" s="675" t="inlineStr">
        <is>
          <t>RECONDUCTIBLE</t>
        </is>
      </c>
      <c r="S517" s="681" t="n"/>
      <c r="T517" s="682" t="n"/>
      <c r="U517" s="683" t="inlineStr">
        <is>
          <t>TALBI AUDIT ET CONSEIL</t>
        </is>
      </c>
      <c r="V517" s="675" t="n">
        <v>2025</v>
      </c>
      <c r="W517" s="682" t="n"/>
      <c r="X517" s="682" t="n"/>
      <c r="Y517" s="682" t="n"/>
      <c r="Z517" s="679" t="n">
        <v>480000</v>
      </c>
      <c r="AA517" s="680" t="n">
        <v>0</v>
      </c>
      <c r="AB517" s="680" t="n">
        <v>576000</v>
      </c>
      <c r="AC517" s="680" t="n">
        <v>0</v>
      </c>
      <c r="AD517" s="680" t="n">
        <v>480000</v>
      </c>
      <c r="AE517" s="680" t="n">
        <v>576000</v>
      </c>
      <c r="AF517" s="684" t="inlineStr">
        <is>
          <t>ENGAGE</t>
        </is>
      </c>
      <c r="AG517" s="683" t="n"/>
      <c r="AH517" s="680" t="n"/>
      <c r="AI517" s="680" t="n"/>
      <c r="AJ517" s="680" t="n"/>
      <c r="AK517" s="680" t="n"/>
      <c r="AL517" s="685" t="n"/>
      <c r="AM517" s="685" t="n"/>
      <c r="AN517" s="683" t="n"/>
    </row>
    <row r="518" ht="33" customHeight="1" s="392">
      <c r="A518" s="672">
        <f>IF(AF518="ENGAGE","✔",IF(AF518="EN COURS D'ENGAGEMENT","◕",IF(AF518="PREENGAGE","◑",IF(AF518="EN COURS DE PREENGAGEMENT","◔",IF(AF518="NON ENGAGE","✖","")))))</f>
        <v/>
      </c>
      <c r="B518" s="673" t="n">
        <v>2023</v>
      </c>
      <c r="C518" s="674" t="inlineStr">
        <is>
          <t>DACG</t>
        </is>
      </c>
      <c r="D518" s="674" t="inlineStr">
        <is>
          <t>RECONDUCTIBLE</t>
        </is>
      </c>
      <c r="E518" s="675" t="inlineStr">
        <is>
          <t>CONTRAT</t>
        </is>
      </c>
      <c r="F518" s="675" t="n">
        <v>1</v>
      </c>
      <c r="G518" s="676" t="inlineStr">
        <is>
          <t>Abonnement à la base de données ARTEMIS</t>
        </is>
      </c>
      <c r="H518" s="673" t="inlineStr">
        <is>
          <t>VALIDE</t>
        </is>
      </c>
      <c r="I518" s="675" t="inlineStr">
        <is>
          <t>APPROUVE</t>
        </is>
      </c>
      <c r="J518" s="682" t="n">
        <v>45292</v>
      </c>
      <c r="K518" s="673" t="inlineStr">
        <is>
          <t>NON CONCERNE</t>
        </is>
      </c>
      <c r="L518" s="675" t="inlineStr">
        <is>
          <t>Ordinaire</t>
        </is>
      </c>
      <c r="M518" s="677" t="inlineStr">
        <is>
          <t>FONCTIONNEMENT</t>
        </is>
      </c>
      <c r="N518" s="678" t="inlineStr">
        <is>
          <t>Redevances et cotisations
Abonnements</t>
        </is>
      </c>
      <c r="O518" s="679" t="n"/>
      <c r="P518" s="680" t="n"/>
      <c r="Q518" s="680" t="n"/>
      <c r="R518" s="675" t="inlineStr">
        <is>
          <t>RECONDUCTIBLE</t>
        </is>
      </c>
      <c r="S518" s="681" t="n"/>
      <c r="T518" s="682" t="n"/>
      <c r="U518" s="683" t="inlineStr">
        <is>
          <t>ARTEMIS</t>
        </is>
      </c>
      <c r="V518" s="675" t="n">
        <v>2024</v>
      </c>
      <c r="W518" s="682" t="n"/>
      <c r="X518" s="682" t="n"/>
      <c r="Y518" s="682" t="n"/>
      <c r="Z518" s="679">
        <f>AD518</f>
        <v/>
      </c>
      <c r="AA518" s="680" t="n">
        <v>0</v>
      </c>
      <c r="AB518" s="680">
        <f>AE518</f>
        <v/>
      </c>
      <c r="AC518" s="680" t="n">
        <v>0</v>
      </c>
      <c r="AD518" s="680">
        <f>AE518/1.2</f>
        <v/>
      </c>
      <c r="AE518" s="680" t="n">
        <v>118500</v>
      </c>
      <c r="AF518" s="684" t="inlineStr">
        <is>
          <t>ENGAGE</t>
        </is>
      </c>
      <c r="AG518" s="683" t="n"/>
      <c r="AH518" s="680" t="n"/>
      <c r="AI518" s="680" t="n"/>
      <c r="AJ518" s="680" t="n"/>
      <c r="AK518" s="680" t="n"/>
      <c r="AL518" s="685" t="n"/>
      <c r="AM518" s="685" t="n"/>
      <c r="AN518" s="683" t="n"/>
    </row>
    <row r="519" ht="35.7" customHeight="1" s="392">
      <c r="A519" s="672">
        <f>IF(AF519="ENGAGE","✔",IF(AF519="EN COURS D'ENGAGEMENT","◕",IF(AF519="PREENGAGE","◑",IF(AF519="EN COURS DE PREENGAGEMENT","◔",IF(AF519="NON ENGAGE","✖","")))))</f>
        <v/>
      </c>
      <c r="B519" s="673" t="n">
        <v>2023</v>
      </c>
      <c r="C519" s="674" t="inlineStr">
        <is>
          <t>DACG</t>
        </is>
      </c>
      <c r="D519" s="674" t="inlineStr">
        <is>
          <t>RECONDUCTIBLE</t>
        </is>
      </c>
      <c r="E519" s="675" t="inlineStr">
        <is>
          <t>CONTRAT</t>
        </is>
      </c>
      <c r="F519" s="675" t="n">
        <v>1</v>
      </c>
      <c r="G519" s="676" t="inlineStr">
        <is>
          <t>Consultations portant sur des problématiques spécifiques liées aux domaines comptable, fiscal et social</t>
        </is>
      </c>
      <c r="H519" s="673" t="inlineStr">
        <is>
          <t>VALIDE</t>
        </is>
      </c>
      <c r="I519" s="675" t="inlineStr">
        <is>
          <t>APPROUVE</t>
        </is>
      </c>
      <c r="J519" s="675" t="inlineStr">
        <is>
          <t>404 CT/SNRT/2023</t>
        </is>
      </c>
      <c r="K519" s="673" t="inlineStr">
        <is>
          <t>NON CONCERNE</t>
        </is>
      </c>
      <c r="L519" s="675" t="inlineStr">
        <is>
          <t>Ordinaire</t>
        </is>
      </c>
      <c r="M519" s="677" t="inlineStr">
        <is>
          <t>FONCTIONNEMENT</t>
        </is>
      </c>
      <c r="N519" s="678" t="inlineStr">
        <is>
          <t>Honoraires et rémunération du personnel occasionnel</t>
        </is>
      </c>
      <c r="O519" s="679" t="n"/>
      <c r="P519" s="680" t="n"/>
      <c r="Q519" s="680" t="n"/>
      <c r="R519" s="675" t="inlineStr">
        <is>
          <t>RECONDUCTIBLE</t>
        </is>
      </c>
      <c r="S519" s="681" t="n"/>
      <c r="T519" s="682" t="n"/>
      <c r="U519" s="683" t="inlineStr">
        <is>
          <t>EL JERARI AUDIT CONSEIL</t>
        </is>
      </c>
      <c r="V519" s="675" t="n">
        <v>2023</v>
      </c>
      <c r="W519" s="682" t="n"/>
      <c r="X519" s="682" t="n"/>
      <c r="Y519" s="682" t="n"/>
      <c r="Z519" s="679">
        <f>AB519/1.2</f>
        <v/>
      </c>
      <c r="AA519" s="680" t="n">
        <v>0</v>
      </c>
      <c r="AB519" s="680" t="n">
        <v>100000</v>
      </c>
      <c r="AC519" s="680" t="n">
        <v>0</v>
      </c>
      <c r="AD519" s="680">
        <f>Z519</f>
        <v/>
      </c>
      <c r="AE519" s="680">
        <f>AB519</f>
        <v/>
      </c>
      <c r="AF519" s="684" t="inlineStr">
        <is>
          <t>ENGAGE</t>
        </is>
      </c>
      <c r="AG519" s="683" t="n"/>
      <c r="AH519" s="680" t="n"/>
      <c r="AI519" s="680" t="n"/>
      <c r="AJ519" s="680" t="n"/>
      <c r="AK519" s="680" t="n"/>
      <c r="AL519" s="685" t="n"/>
      <c r="AM519" s="685" t="n"/>
      <c r="AN519" s="683" t="inlineStr">
        <is>
          <t>R.A.S</t>
        </is>
      </c>
    </row>
    <row r="520" ht="33" customHeight="1" s="392">
      <c r="A520" s="672">
        <f>IF(AF520="ENGAGE","✔",IF(AF520="EN COURS D'ENGAGEMENT","◕",IF(AF520="PREENGAGE","◑",IF(AF520="EN COURS DE PREENGAGEMENT","◔",IF(AF520="NON ENGAGE","✖","")))))</f>
        <v/>
      </c>
      <c r="B520" s="673" t="n">
        <v>2022</v>
      </c>
      <c r="C520" s="674" t="inlineStr">
        <is>
          <t>DACG</t>
        </is>
      </c>
      <c r="D520" s="674" t="inlineStr">
        <is>
          <t>RECONDUCTIBLE</t>
        </is>
      </c>
      <c r="E520" s="675" t="inlineStr">
        <is>
          <t>CONTRAT</t>
        </is>
      </c>
      <c r="F520" s="675" t="n">
        <v>1</v>
      </c>
      <c r="G520" s="676" t="inlineStr">
        <is>
          <t>Prestation de conseil juridique au profit de la SNRT</t>
        </is>
      </c>
      <c r="H520" s="673" t="inlineStr">
        <is>
          <t>VALIDE</t>
        </is>
      </c>
      <c r="I520" s="675" t="inlineStr">
        <is>
          <t>APPROUVE</t>
        </is>
      </c>
      <c r="J520" s="675" t="inlineStr">
        <is>
          <t>529 CT/SNRT/2022</t>
        </is>
      </c>
      <c r="K520" s="673" t="inlineStr">
        <is>
          <t>NON CONCERNE</t>
        </is>
      </c>
      <c r="L520" s="675" t="inlineStr">
        <is>
          <t>Ordinaire</t>
        </is>
      </c>
      <c r="M520" s="677" t="inlineStr">
        <is>
          <t>FONCTIONNEMENT</t>
        </is>
      </c>
      <c r="N520" s="678" t="inlineStr">
        <is>
          <t>Honoraires et rémunération du personnel occasionnel</t>
        </is>
      </c>
      <c r="O520" s="679" t="n"/>
      <c r="P520" s="680" t="n"/>
      <c r="Q520" s="680" t="n"/>
      <c r="R520" s="675" t="inlineStr">
        <is>
          <t>RECONDUCTIBLE</t>
        </is>
      </c>
      <c r="S520" s="681" t="n"/>
      <c r="T520" s="682" t="n"/>
      <c r="U520" s="683" t="inlineStr">
        <is>
          <t>AB LAW</t>
        </is>
      </c>
      <c r="V520" s="675" t="n">
        <v>2022</v>
      </c>
      <c r="W520" s="682" t="n"/>
      <c r="X520" s="682" t="n"/>
      <c r="Y520" s="682" t="n"/>
      <c r="Z520" s="679">
        <f>AB520/1.2</f>
        <v/>
      </c>
      <c r="AA520" s="680" t="n">
        <v>0</v>
      </c>
      <c r="AB520" s="680" t="n">
        <v>100000</v>
      </c>
      <c r="AC520" s="680" t="n">
        <v>0</v>
      </c>
      <c r="AD520" s="680">
        <f>Z520</f>
        <v/>
      </c>
      <c r="AE520" s="680">
        <f>AB520</f>
        <v/>
      </c>
      <c r="AF520" s="684" t="inlineStr">
        <is>
          <t>ENGAGE</t>
        </is>
      </c>
      <c r="AG520" s="683" t="n"/>
      <c r="AH520" s="680" t="n"/>
      <c r="AI520" s="680" t="n"/>
      <c r="AJ520" s="680" t="n"/>
      <c r="AK520" s="680" t="n"/>
      <c r="AL520" s="685" t="n"/>
      <c r="AM520" s="685" t="n"/>
      <c r="AN520" s="683" t="inlineStr">
        <is>
          <t>R.A.S</t>
        </is>
      </c>
    </row>
    <row r="521" ht="32" customHeight="1" s="392">
      <c r="A521" s="672">
        <f>IF(AF521="ENGAGE","✔",IF(AF521="EN COURS D'ENGAGEMENT","◕",IF(AF521="PREENGAGE","◑",IF(AF521="EN COURS DE PREENGAGEMENT","◔",IF(AF521="NON ENGAGE","✖","")))))</f>
        <v/>
      </c>
      <c r="B521" s="673" t="inlineStr">
        <is>
          <t>-</t>
        </is>
      </c>
      <c r="C521" s="674" t="inlineStr">
        <is>
          <t>TDF -SITES</t>
        </is>
      </c>
      <c r="D521" s="674" t="inlineStr">
        <is>
          <t>RECONDUCTIBLE</t>
        </is>
      </c>
      <c r="E521" s="675" t="inlineStr">
        <is>
          <t>CONTRAT</t>
        </is>
      </c>
      <c r="F521" s="675" t="n">
        <v>1</v>
      </c>
      <c r="G521" s="676" t="inlineStr">
        <is>
          <t xml:space="preserve"> Prestation satellitaire Nilesat</t>
        </is>
      </c>
      <c r="H521" s="673" t="inlineStr">
        <is>
          <t>VALIDE</t>
        </is>
      </c>
      <c r="I521" s="675" t="inlineStr">
        <is>
          <t>APPROUVE</t>
        </is>
      </c>
      <c r="J521" s="693" t="n"/>
      <c r="K521" s="673" t="inlineStr">
        <is>
          <t>NON CONCERNE</t>
        </is>
      </c>
      <c r="L521" s="675" t="inlineStr">
        <is>
          <t>Ordinaire</t>
        </is>
      </c>
      <c r="M521" s="677" t="inlineStr">
        <is>
          <t>FONCTIONNEMENT</t>
        </is>
      </c>
      <c r="N521" s="678" t="inlineStr">
        <is>
          <t>Redevances satellitaires</t>
        </is>
      </c>
      <c r="O521" s="679" t="n"/>
      <c r="P521" s="680" t="n"/>
      <c r="Q521" s="680" t="n"/>
      <c r="R521" s="675" t="inlineStr">
        <is>
          <t>RECONDUCTIBLE</t>
        </is>
      </c>
      <c r="S521" s="681" t="n"/>
      <c r="T521" s="682" t="n"/>
      <c r="U521" s="683" t="inlineStr">
        <is>
          <t>NILESAT</t>
        </is>
      </c>
      <c r="V521" s="675" t="inlineStr">
        <is>
          <t>-</t>
        </is>
      </c>
      <c r="W521" s="682" t="n"/>
      <c r="X521" s="682" t="n"/>
      <c r="Y521" s="682" t="n"/>
      <c r="Z521" s="679">
        <f>AD521</f>
        <v/>
      </c>
      <c r="AA521" s="680" t="inlineStr">
        <is>
          <t>-</t>
        </is>
      </c>
      <c r="AB521" s="680">
        <f>AD521</f>
        <v/>
      </c>
      <c r="AC521" s="680" t="inlineStr">
        <is>
          <t>-</t>
        </is>
      </c>
      <c r="AD521" s="680">
        <f>AE521</f>
        <v/>
      </c>
      <c r="AE521" s="680" t="n">
        <v>3000000</v>
      </c>
      <c r="AF521" s="684" t="inlineStr">
        <is>
          <t>ENGAGE</t>
        </is>
      </c>
      <c r="AG521" s="683" t="n"/>
      <c r="AH521" s="680" t="n"/>
      <c r="AI521" s="680" t="n"/>
      <c r="AJ521" s="680" t="n"/>
      <c r="AK521" s="680" t="n"/>
      <c r="AL521" s="685" t="n"/>
      <c r="AM521" s="685" t="n"/>
      <c r="AN521" s="683" t="n"/>
    </row>
    <row r="522" ht="32" customHeight="1" s="392">
      <c r="A522" s="672">
        <f>IF(AF522="ENGAGE","✔",IF(AF522="EN COURS D'ENGAGEMENT","◕",IF(AF522="PREENGAGE","◑",IF(AF522="EN COURS DE PREENGAGEMENT","◔",IF(AF522="NON ENGAGE","✖","")))))</f>
        <v/>
      </c>
      <c r="B522" s="673" t="inlineStr">
        <is>
          <t>-</t>
        </is>
      </c>
      <c r="C522" s="674" t="inlineStr">
        <is>
          <t>TDF -SITES</t>
        </is>
      </c>
      <c r="D522" s="674" t="inlineStr">
        <is>
          <t>RECONDUCTIBLE</t>
        </is>
      </c>
      <c r="E522" s="675" t="inlineStr">
        <is>
          <t>CONTRAT</t>
        </is>
      </c>
      <c r="F522" s="675" t="n">
        <v>1</v>
      </c>
      <c r="G522" s="676" t="inlineStr">
        <is>
          <t>Prestation satellitaire Arabsat</t>
        </is>
      </c>
      <c r="H522" s="673" t="inlineStr">
        <is>
          <t>VALIDE</t>
        </is>
      </c>
      <c r="I522" s="675" t="inlineStr">
        <is>
          <t>APPROUVE</t>
        </is>
      </c>
      <c r="J522" s="693" t="n"/>
      <c r="K522" s="673" t="inlineStr">
        <is>
          <t>NON CONCERNE</t>
        </is>
      </c>
      <c r="L522" s="675" t="inlineStr">
        <is>
          <t>Ordinaire</t>
        </is>
      </c>
      <c r="M522" s="677" t="inlineStr">
        <is>
          <t>FONCTIONNEMENT</t>
        </is>
      </c>
      <c r="N522" s="678" t="inlineStr">
        <is>
          <t>Redevances satellitaires</t>
        </is>
      </c>
      <c r="O522" s="679" t="n"/>
      <c r="P522" s="680" t="n"/>
      <c r="Q522" s="680" t="n"/>
      <c r="R522" s="675" t="inlineStr">
        <is>
          <t>RECONDUCTIBLE</t>
        </is>
      </c>
      <c r="S522" s="681" t="n"/>
      <c r="T522" s="682" t="n"/>
      <c r="U522" s="683" t="inlineStr">
        <is>
          <t>ARABSAT</t>
        </is>
      </c>
      <c r="V522" s="675" t="inlineStr">
        <is>
          <t>-</t>
        </is>
      </c>
      <c r="W522" s="682" t="n"/>
      <c r="X522" s="682" t="n"/>
      <c r="Y522" s="682" t="n"/>
      <c r="Z522" s="679">
        <f>AD522</f>
        <v/>
      </c>
      <c r="AA522" s="680" t="inlineStr">
        <is>
          <t>-</t>
        </is>
      </c>
      <c r="AB522" s="680">
        <f>AD522</f>
        <v/>
      </c>
      <c r="AC522" s="680" t="inlineStr">
        <is>
          <t>-</t>
        </is>
      </c>
      <c r="AD522" s="680" t="n">
        <v>2340000</v>
      </c>
      <c r="AE522" s="680" t="n">
        <v>2340000</v>
      </c>
      <c r="AF522" s="684" t="inlineStr">
        <is>
          <t>ENGAGE</t>
        </is>
      </c>
      <c r="AG522" s="683" t="n"/>
      <c r="AH522" s="680" t="n"/>
      <c r="AI522" s="680" t="n"/>
      <c r="AJ522" s="680" t="n"/>
      <c r="AK522" s="680" t="n"/>
      <c r="AL522" s="685" t="n"/>
      <c r="AM522" s="685" t="n"/>
      <c r="AN522" s="683" t="n"/>
    </row>
    <row r="523" ht="32" customHeight="1" s="392">
      <c r="A523" s="672">
        <f>IF(AF523="ENGAGE","✔",IF(AF523="EN COURS D'ENGAGEMENT","◕",IF(AF523="PREENGAGE","◑",IF(AF523="EN COURS DE PREENGAGEMENT","◔",IF(AF523="NON ENGAGE","✖","")))))</f>
        <v/>
      </c>
      <c r="B523" s="673" t="inlineStr">
        <is>
          <t>-</t>
        </is>
      </c>
      <c r="C523" s="674" t="inlineStr">
        <is>
          <t>TDF -SITES</t>
        </is>
      </c>
      <c r="D523" s="674" t="inlineStr">
        <is>
          <t>RECONDUCTIBLE</t>
        </is>
      </c>
      <c r="E523" s="675" t="inlineStr">
        <is>
          <t>CONTRAT</t>
        </is>
      </c>
      <c r="F523" s="675" t="n">
        <v>1</v>
      </c>
      <c r="G523" s="676" t="inlineStr">
        <is>
          <t>Prestation satellitaire Es'hailsat</t>
        </is>
      </c>
      <c r="H523" s="673" t="inlineStr">
        <is>
          <t>VALIDE</t>
        </is>
      </c>
      <c r="I523" s="675" t="inlineStr">
        <is>
          <t>APPROUVE</t>
        </is>
      </c>
      <c r="J523" s="693" t="n"/>
      <c r="K523" s="673" t="inlineStr">
        <is>
          <t>NON CONCERNE</t>
        </is>
      </c>
      <c r="L523" s="675" t="inlineStr">
        <is>
          <t>Ordinaire</t>
        </is>
      </c>
      <c r="M523" s="677" t="inlineStr">
        <is>
          <t>FONCTIONNEMENT</t>
        </is>
      </c>
      <c r="N523" s="678" t="inlineStr">
        <is>
          <t>Redevances satellitaires</t>
        </is>
      </c>
      <c r="O523" s="679" t="n"/>
      <c r="P523" s="680" t="n"/>
      <c r="Q523" s="680" t="n"/>
      <c r="R523" s="675" t="inlineStr">
        <is>
          <t>RECONDUCTIBLE</t>
        </is>
      </c>
      <c r="S523" s="681" t="n"/>
      <c r="T523" s="682" t="n"/>
      <c r="U523" s="683" t="inlineStr">
        <is>
          <t>ES'HAILSAT</t>
        </is>
      </c>
      <c r="V523" s="675" t="inlineStr">
        <is>
          <t>-</t>
        </is>
      </c>
      <c r="W523" s="682" t="n"/>
      <c r="X523" s="682" t="n"/>
      <c r="Y523" s="682" t="n"/>
      <c r="Z523" s="679">
        <f>AD523</f>
        <v/>
      </c>
      <c r="AA523" s="680" t="inlineStr">
        <is>
          <t>-</t>
        </is>
      </c>
      <c r="AB523" s="680">
        <f>AE523</f>
        <v/>
      </c>
      <c r="AC523" s="680" t="inlineStr">
        <is>
          <t>-</t>
        </is>
      </c>
      <c r="AD523" s="680">
        <f>AE523/1.2</f>
        <v/>
      </c>
      <c r="AE523" s="680" t="n">
        <v>18960000</v>
      </c>
      <c r="AF523" s="684" t="inlineStr">
        <is>
          <t>ENGAGE</t>
        </is>
      </c>
      <c r="AG523" s="683" t="n"/>
      <c r="AH523" s="680" t="n"/>
      <c r="AI523" s="680" t="n"/>
      <c r="AJ523" s="680" t="n"/>
      <c r="AK523" s="680" t="n"/>
      <c r="AL523" s="685" t="n"/>
      <c r="AM523" s="685" t="n"/>
      <c r="AN523" s="683" t="n"/>
    </row>
    <row r="524" ht="32" customHeight="1" s="392">
      <c r="A524" s="672">
        <f>IF(AF524="ENGAGE","✔",IF(AF524="EN COURS D'ENGAGEMENT","◕",IF(AF524="PREENGAGE","◑",IF(AF524="EN COURS DE PREENGAGEMENT","◔",IF(AF524="NON ENGAGE","✖","")))))</f>
        <v/>
      </c>
      <c r="B524" s="673" t="inlineStr">
        <is>
          <t>-</t>
        </is>
      </c>
      <c r="C524" s="674" t="inlineStr">
        <is>
          <t>TDF -SITES</t>
        </is>
      </c>
      <c r="D524" s="674" t="inlineStr">
        <is>
          <t>RECONDUCTIBLE</t>
        </is>
      </c>
      <c r="E524" s="675" t="inlineStr">
        <is>
          <t>CONTRAT</t>
        </is>
      </c>
      <c r="F524" s="675" t="n">
        <v>1</v>
      </c>
      <c r="G524" s="676" t="inlineStr">
        <is>
          <t>Prestation satellitaire Eutelsat</t>
        </is>
      </c>
      <c r="H524" s="673" t="inlineStr">
        <is>
          <t>VALIDE</t>
        </is>
      </c>
      <c r="I524" s="675" t="inlineStr">
        <is>
          <t>APPROUVE</t>
        </is>
      </c>
      <c r="J524" s="693" t="n"/>
      <c r="K524" s="673" t="inlineStr">
        <is>
          <t>NON CONCERNE</t>
        </is>
      </c>
      <c r="L524" s="675" t="inlineStr">
        <is>
          <t>Ordinaire</t>
        </is>
      </c>
      <c r="M524" s="677" t="inlineStr">
        <is>
          <t>FONCTIONNEMENT</t>
        </is>
      </c>
      <c r="N524" s="678" t="inlineStr">
        <is>
          <t>Redevances satellitaires</t>
        </is>
      </c>
      <c r="O524" s="679" t="n"/>
      <c r="P524" s="680" t="n"/>
      <c r="Q524" s="680" t="n"/>
      <c r="R524" s="675" t="inlineStr">
        <is>
          <t>RECONDUCTIBLE</t>
        </is>
      </c>
      <c r="S524" s="681" t="n"/>
      <c r="T524" s="682" t="n"/>
      <c r="U524" s="683" t="inlineStr">
        <is>
          <t>EUTELSAT</t>
        </is>
      </c>
      <c r="V524" s="675" t="inlineStr">
        <is>
          <t>-</t>
        </is>
      </c>
      <c r="W524" s="682" t="n"/>
      <c r="X524" s="682" t="n"/>
      <c r="Y524" s="682" t="n"/>
      <c r="Z524" s="679" t="n">
        <v>66430944.36</v>
      </c>
      <c r="AA524" s="680" t="inlineStr">
        <is>
          <t>-</t>
        </is>
      </c>
      <c r="AB524" s="680" t="n">
        <v>66430944.36</v>
      </c>
      <c r="AC524" s="680" t="inlineStr">
        <is>
          <t>-</t>
        </is>
      </c>
      <c r="AD524" s="680" t="n">
        <v>66430944.36</v>
      </c>
      <c r="AE524" s="680" t="n">
        <v>66430944.36</v>
      </c>
      <c r="AF524" s="684" t="inlineStr">
        <is>
          <t>ENGAGE</t>
        </is>
      </c>
      <c r="AG524" s="683" t="n"/>
      <c r="AH524" s="680" t="n"/>
      <c r="AI524" s="680" t="n"/>
      <c r="AJ524" s="680" t="n"/>
      <c r="AK524" s="680" t="n"/>
      <c r="AL524" s="685" t="n"/>
      <c r="AM524" s="685" t="n"/>
      <c r="AN524" s="683" t="n"/>
    </row>
    <row r="525" ht="32" customHeight="1" s="392">
      <c r="A525" s="672">
        <f>IF(AF525="ENGAGE","✔",IF(AF525="EN COURS D'ENGAGEMENT","◕",IF(AF525="PREENGAGE","◑",IF(AF525="EN COURS DE PREENGAGEMENT","◔",IF(AF525="NON ENGAGE","✖","")))))</f>
        <v/>
      </c>
      <c r="B525" s="673" t="inlineStr">
        <is>
          <t>-</t>
        </is>
      </c>
      <c r="C525" s="674" t="inlineStr">
        <is>
          <t>TDF -SITES</t>
        </is>
      </c>
      <c r="D525" s="674" t="inlineStr">
        <is>
          <t>RECONDUCTIBLE</t>
        </is>
      </c>
      <c r="E525" s="675" t="inlineStr">
        <is>
          <t>CONTRAT</t>
        </is>
      </c>
      <c r="F525" s="675" t="n">
        <v>1</v>
      </c>
      <c r="G525" s="676" t="inlineStr">
        <is>
          <t>Prestation GlobeCast</t>
        </is>
      </c>
      <c r="H525" s="673" t="inlineStr">
        <is>
          <t>VALIDE</t>
        </is>
      </c>
      <c r="I525" s="675" t="inlineStr">
        <is>
          <t>APPROUVE</t>
        </is>
      </c>
      <c r="J525" s="693" t="n"/>
      <c r="K525" s="673" t="inlineStr">
        <is>
          <t>NON CONCERNE</t>
        </is>
      </c>
      <c r="L525" s="675" t="inlineStr">
        <is>
          <t>Ordinaire</t>
        </is>
      </c>
      <c r="M525" s="677" t="inlineStr">
        <is>
          <t>FONCTIONNEMENT</t>
        </is>
      </c>
      <c r="N525" s="678" t="inlineStr">
        <is>
          <t>Redevances satellitaires</t>
        </is>
      </c>
      <c r="O525" s="679" t="n"/>
      <c r="P525" s="680" t="n"/>
      <c r="Q525" s="680" t="n"/>
      <c r="R525" s="675" t="inlineStr">
        <is>
          <t>RECONDUCTIBLE</t>
        </is>
      </c>
      <c r="S525" s="681" t="n"/>
      <c r="T525" s="682" t="n"/>
      <c r="U525" s="683" t="inlineStr">
        <is>
          <t>GlobeCast</t>
        </is>
      </c>
      <c r="V525" s="675" t="inlineStr">
        <is>
          <t>-</t>
        </is>
      </c>
      <c r="W525" s="682" t="n"/>
      <c r="X525" s="682" t="n"/>
      <c r="Y525" s="682" t="n"/>
      <c r="Z525" s="679">
        <f>AD525</f>
        <v/>
      </c>
      <c r="AA525" s="680" t="inlineStr">
        <is>
          <t>-</t>
        </is>
      </c>
      <c r="AB525" s="680">
        <f>AE525</f>
        <v/>
      </c>
      <c r="AC525" s="680" t="inlineStr">
        <is>
          <t>-</t>
        </is>
      </c>
      <c r="AD525" s="680">
        <f>AE525/1.2</f>
        <v/>
      </c>
      <c r="AE525" s="680" t="n">
        <v>1950000</v>
      </c>
      <c r="AF525" s="684" t="inlineStr">
        <is>
          <t>ENGAGE</t>
        </is>
      </c>
      <c r="AG525" s="683" t="n"/>
      <c r="AH525" s="680" t="n"/>
      <c r="AI525" s="680" t="n"/>
      <c r="AJ525" s="680" t="n"/>
      <c r="AK525" s="680" t="n"/>
      <c r="AL525" s="685" t="n"/>
      <c r="AM525" s="685" t="n"/>
      <c r="AN525" s="683" t="n"/>
    </row>
    <row r="526" ht="32" customHeight="1" s="392">
      <c r="A526" s="672">
        <f>IF(AF526="ENGAGE","✔",IF(AF526="EN COURS D'ENGAGEMENT","◕",IF(AF526="PREENGAGE","◑",IF(AF526="EN COURS DE PREENGAGEMENT","◔",IF(AF526="NON ENGAGE","✖","")))))</f>
        <v/>
      </c>
      <c r="B526" s="673" t="n">
        <v>2021</v>
      </c>
      <c r="C526" s="674" t="inlineStr">
        <is>
          <t>TDF -SITES</t>
        </is>
      </c>
      <c r="D526" s="674" t="inlineStr">
        <is>
          <t>RECONDUCTIBLE</t>
        </is>
      </c>
      <c r="E526" s="675" t="inlineStr">
        <is>
          <t>CONTRAT</t>
        </is>
      </c>
      <c r="F526" s="675" t="n">
        <v>1</v>
      </c>
      <c r="G526" s="676" t="inlineStr">
        <is>
          <t xml:space="preserve">Redevances d'assignation de fréquences </t>
        </is>
      </c>
      <c r="H526" s="673" t="inlineStr">
        <is>
          <t>VALIDE</t>
        </is>
      </c>
      <c r="I526" s="675" t="inlineStr">
        <is>
          <t>APPROUVE</t>
        </is>
      </c>
      <c r="J526" s="693" t="n"/>
      <c r="K526" s="673" t="inlineStr">
        <is>
          <t>NON CONCERNE</t>
        </is>
      </c>
      <c r="L526" s="675" t="inlineStr">
        <is>
          <t>Ordinaire</t>
        </is>
      </c>
      <c r="M526" s="677" t="inlineStr">
        <is>
          <t>FONCTIONNEMENT</t>
        </is>
      </c>
      <c r="N526" s="678" t="inlineStr">
        <is>
          <t>Redevances et cotisations</t>
        </is>
      </c>
      <c r="O526" s="679" t="n"/>
      <c r="P526" s="680" t="n"/>
      <c r="Q526" s="680" t="n"/>
      <c r="R526" s="675" t="inlineStr">
        <is>
          <t>RECONDUCTIBLE</t>
        </is>
      </c>
      <c r="S526" s="681" t="n"/>
      <c r="T526" s="682" t="n"/>
      <c r="U526" s="683" t="inlineStr">
        <is>
          <t>ANRT</t>
        </is>
      </c>
      <c r="V526" s="675" t="n">
        <v>2021</v>
      </c>
      <c r="W526" s="682" t="n"/>
      <c r="X526" s="682" t="n"/>
      <c r="Y526" s="682" t="n"/>
      <c r="Z526" s="679">
        <f>AD526</f>
        <v/>
      </c>
      <c r="AA526" s="680" t="inlineStr">
        <is>
          <t>-</t>
        </is>
      </c>
      <c r="AB526" s="680">
        <f>AE526</f>
        <v/>
      </c>
      <c r="AC526" s="680" t="inlineStr">
        <is>
          <t>-</t>
        </is>
      </c>
      <c r="AD526" s="680">
        <f>AE526/1.2</f>
        <v/>
      </c>
      <c r="AE526" s="680" t="n">
        <v>1805904</v>
      </c>
      <c r="AF526" s="684" t="inlineStr">
        <is>
          <t>ENGAGE</t>
        </is>
      </c>
      <c r="AG526" s="683" t="n"/>
      <c r="AH526" s="680" t="n"/>
      <c r="AI526" s="680" t="n"/>
      <c r="AJ526" s="680" t="n"/>
      <c r="AK526" s="680" t="n"/>
      <c r="AL526" s="685" t="n"/>
      <c r="AM526" s="685" t="n"/>
      <c r="AN526" s="683" t="n"/>
    </row>
    <row r="527" ht="50.55" customHeight="1" s="392">
      <c r="A527" s="672">
        <f>IF(AF527="ENGAGE","✔",IF(AF527="EN COURS D'ENGAGEMENT","◕",IF(AF527="PREENGAGE","◑",IF(AF527="EN COURS DE PREENGAGEMENT","◔",IF(AF527="NON ENGAGE","✖","")))))</f>
        <v/>
      </c>
      <c r="B527" s="673" t="n">
        <v>2021</v>
      </c>
      <c r="C527" s="674" t="inlineStr">
        <is>
          <t>TDF -SITES</t>
        </is>
      </c>
      <c r="D527" s="674" t="inlineStr">
        <is>
          <t>RECONDUCTIBLE</t>
        </is>
      </c>
      <c r="E527" s="675" t="inlineStr">
        <is>
          <t>CONTRAT</t>
        </is>
      </c>
      <c r="F527" s="675" t="n">
        <v>1</v>
      </c>
      <c r="G527" s="676" t="inlineStr">
        <is>
          <t>Redevance pour assignation de fréquences TV, Redevance pour assignation de fréquences RD et Redevance pour assignation de fréquences radio</t>
        </is>
      </c>
      <c r="H527" s="673" t="inlineStr">
        <is>
          <t>VALIDE</t>
        </is>
      </c>
      <c r="I527" s="675" t="inlineStr">
        <is>
          <t>APPROUVE</t>
        </is>
      </c>
      <c r="J527" s="693" t="n"/>
      <c r="K527" s="673" t="inlineStr">
        <is>
          <t>NON CONCERNE</t>
        </is>
      </c>
      <c r="L527" s="675" t="inlineStr">
        <is>
          <t>Ordinaire</t>
        </is>
      </c>
      <c r="M527" s="677" t="inlineStr">
        <is>
          <t>FONCTIONNEMENT</t>
        </is>
      </c>
      <c r="N527" s="678" t="inlineStr">
        <is>
          <t>Redevances et cotisations</t>
        </is>
      </c>
      <c r="O527" s="679" t="n"/>
      <c r="P527" s="680" t="n"/>
      <c r="Q527" s="680" t="n"/>
      <c r="R527" s="675" t="inlineStr">
        <is>
          <t>RECONDUCTIBLE</t>
        </is>
      </c>
      <c r="S527" s="681" t="n"/>
      <c r="T527" s="682" t="n"/>
      <c r="U527" s="683" t="inlineStr">
        <is>
          <t>HACA</t>
        </is>
      </c>
      <c r="V527" s="675" t="n">
        <v>2021</v>
      </c>
      <c r="W527" s="682" t="n"/>
      <c r="X527" s="682" t="n"/>
      <c r="Y527" s="682" t="n"/>
      <c r="Z527" s="679">
        <f>AD527</f>
        <v/>
      </c>
      <c r="AA527" s="680" t="inlineStr">
        <is>
          <t>-</t>
        </is>
      </c>
      <c r="AB527" s="680">
        <f>AE527</f>
        <v/>
      </c>
      <c r="AC527" s="680" t="inlineStr">
        <is>
          <t>-</t>
        </is>
      </c>
      <c r="AD527" s="680">
        <f>AE527/1.2</f>
        <v/>
      </c>
      <c r="AE527" s="680" t="n">
        <v>11163484.99</v>
      </c>
      <c r="AF527" s="684" t="inlineStr">
        <is>
          <t>ENGAGE</t>
        </is>
      </c>
      <c r="AG527" s="683" t="n"/>
      <c r="AH527" s="680" t="n"/>
      <c r="AI527" s="680" t="n"/>
      <c r="AJ527" s="680" t="n"/>
      <c r="AK527" s="680" t="n"/>
      <c r="AL527" s="685" t="n"/>
      <c r="AM527" s="685" t="n"/>
      <c r="AN527" s="683" t="n"/>
    </row>
    <row r="528" ht="35.7" customHeight="1" s="392">
      <c r="A528" s="672">
        <f>IF(AF528="ENGAGE","✔",IF(AF528="EN COURS D'ENGAGEMENT","◕",IF(AF528="PREENGAGE","◑",IF(AF528="EN COURS DE PREENGAGEMENT","◔",IF(AF528="NON ENGAGE","✖","")))))</f>
        <v/>
      </c>
      <c r="B528" s="673" t="n">
        <v>2023</v>
      </c>
      <c r="C528" s="674" t="inlineStr">
        <is>
          <t>TDF -SITES</t>
        </is>
      </c>
      <c r="D528" s="674" t="inlineStr">
        <is>
          <t>RECONDUCTIBLE</t>
        </is>
      </c>
      <c r="E528" s="675" t="inlineStr">
        <is>
          <t>AOO-M</t>
        </is>
      </c>
      <c r="F528" s="675" t="n">
        <v>1</v>
      </c>
      <c r="G528" s="676" t="inlineStr">
        <is>
          <t>La maintenance périodique du systéme de calcul de couverture TV et FM</t>
        </is>
      </c>
      <c r="H528" s="673" t="inlineStr">
        <is>
          <t>VALIDE</t>
        </is>
      </c>
      <c r="I528" s="675" t="inlineStr">
        <is>
          <t>APPROUVE</t>
        </is>
      </c>
      <c r="J528" s="675" t="inlineStr">
        <is>
          <t>47M/SNRT/2023</t>
        </is>
      </c>
      <c r="K528" s="673" t="inlineStr">
        <is>
          <t>NON CONCERNE</t>
        </is>
      </c>
      <c r="L528" s="675" t="inlineStr">
        <is>
          <t>Ordinaire</t>
        </is>
      </c>
      <c r="M528" s="677" t="inlineStr">
        <is>
          <t>FONCTIONNEMENT</t>
        </is>
      </c>
      <c r="N528" s="678" t="inlineStr">
        <is>
          <t>Entretien, réparation et assurance</t>
        </is>
      </c>
      <c r="O528" s="679" t="n"/>
      <c r="P528" s="680" t="n"/>
      <c r="Q528" s="680" t="n"/>
      <c r="R528" s="675" t="inlineStr">
        <is>
          <t>RECONDUCTIBLE</t>
        </is>
      </c>
      <c r="S528" s="681" t="n"/>
      <c r="T528" s="682" t="n"/>
      <c r="U528" s="683" t="inlineStr">
        <is>
          <t>LS TELECOM</t>
        </is>
      </c>
      <c r="V528" s="675" t="n">
        <v>2023</v>
      </c>
      <c r="W528" s="682" t="n"/>
      <c r="X528" s="682" t="n"/>
      <c r="Y528" s="682" t="n"/>
      <c r="Z528" s="679">
        <f>AD528</f>
        <v/>
      </c>
      <c r="AA528" s="680" t="inlineStr">
        <is>
          <t>-</t>
        </is>
      </c>
      <c r="AB528" s="680">
        <f>AE528</f>
        <v/>
      </c>
      <c r="AC528" s="680" t="inlineStr">
        <is>
          <t>-</t>
        </is>
      </c>
      <c r="AD528" s="680">
        <f>AE528/1.2</f>
        <v/>
      </c>
      <c r="AE528" s="680" t="n">
        <v>180000</v>
      </c>
      <c r="AF528" s="684" t="inlineStr">
        <is>
          <t>ENGAGE</t>
        </is>
      </c>
      <c r="AG528" s="683" t="n"/>
      <c r="AH528" s="680" t="n"/>
      <c r="AI528" s="680" t="n"/>
      <c r="AJ528" s="680" t="n"/>
      <c r="AK528" s="680" t="n"/>
      <c r="AL528" s="685" t="n"/>
      <c r="AM528" s="685" t="n"/>
      <c r="AN528" s="683" t="n"/>
    </row>
    <row r="529" ht="46.5" customHeight="1" s="392">
      <c r="A529" s="672">
        <f>IF(AF529="ENGAGE","✔",IF(AF529="EN COURS D'ENGAGEMENT","◕",IF(AF529="PREENGAGE","◑",IF(AF529="EN COURS DE PREENGAGEMENT","◔",IF(AF529="NON ENGAGE","✖","")))))</f>
        <v/>
      </c>
      <c r="B529" s="673" t="n">
        <v>2023</v>
      </c>
      <c r="C529" s="674" t="inlineStr">
        <is>
          <t>TDF -SITES</t>
        </is>
      </c>
      <c r="D529" s="674" t="inlineStr">
        <is>
          <t>RECONDUCTIBLE</t>
        </is>
      </c>
      <c r="E529" s="675" t="inlineStr">
        <is>
          <t>AOO-M</t>
        </is>
      </c>
      <c r="F529" s="675" t="n">
        <v>1</v>
      </c>
      <c r="G529" s="676" t="inlineStr">
        <is>
          <t>Etude et assistance technique aux travaux d'essais d'expertises et de conrole des ouvrages (Pylones, Tours, Batiments)</t>
        </is>
      </c>
      <c r="H529" s="673" t="inlineStr">
        <is>
          <t>VALIDE</t>
        </is>
      </c>
      <c r="I529" s="675" t="inlineStr">
        <is>
          <t>APPROUVE</t>
        </is>
      </c>
      <c r="J529" s="675" t="inlineStr">
        <is>
          <t>82M/SNRT/2023</t>
        </is>
      </c>
      <c r="K529" s="673" t="inlineStr">
        <is>
          <t>NON CONCERNE</t>
        </is>
      </c>
      <c r="L529" s="675" t="inlineStr">
        <is>
          <t>Ordinaire</t>
        </is>
      </c>
      <c r="M529" s="677" t="inlineStr">
        <is>
          <t>FONCTIONNEMENT</t>
        </is>
      </c>
      <c r="N529" s="678" t="inlineStr">
        <is>
          <t>Prestation de services
Achat prestations de services locales - sociétés</t>
        </is>
      </c>
      <c r="O529" s="679" t="n"/>
      <c r="P529" s="680" t="n"/>
      <c r="Q529" s="680" t="n"/>
      <c r="R529" s="675" t="inlineStr">
        <is>
          <t>RECONDUCTIBLE</t>
        </is>
      </c>
      <c r="S529" s="681" t="n"/>
      <c r="T529" s="682" t="n"/>
      <c r="U529" s="683" t="inlineStr">
        <is>
          <t>LPEE</t>
        </is>
      </c>
      <c r="V529" s="675" t="n">
        <v>2023</v>
      </c>
      <c r="W529" s="682" t="n"/>
      <c r="X529" s="682" t="n"/>
      <c r="Y529" s="682" t="n"/>
      <c r="Z529" s="679" t="n">
        <v>766500</v>
      </c>
      <c r="AA529" s="680" t="n">
        <v>0</v>
      </c>
      <c r="AB529" s="680" t="n">
        <v>919800</v>
      </c>
      <c r="AC529" s="680" t="n">
        <v>0</v>
      </c>
      <c r="AD529" s="680">
        <f>Z529</f>
        <v/>
      </c>
      <c r="AE529" s="680">
        <f>AB529</f>
        <v/>
      </c>
      <c r="AF529" s="684" t="inlineStr">
        <is>
          <t>ENGAGE</t>
        </is>
      </c>
      <c r="AG529" s="683" t="n"/>
      <c r="AH529" s="680" t="n"/>
      <c r="AI529" s="680" t="n"/>
      <c r="AJ529" s="680" t="n"/>
      <c r="AK529" s="680" t="n"/>
      <c r="AL529" s="685" t="n"/>
      <c r="AM529" s="685" t="n"/>
      <c r="AN529" s="683" t="n"/>
    </row>
    <row r="530" ht="35.7" customHeight="1" s="392">
      <c r="A530" s="672">
        <f>IF(AF530="ENGAGE","✔",IF(AF530="EN COURS D'ENGAGEMENT","◕",IF(AF530="PREENGAGE","◑",IF(AF530="EN COURS DE PREENGAGEMENT","◔",IF(AF530="NON ENGAGE","✖","")))))</f>
        <v/>
      </c>
      <c r="B530" s="673" t="n">
        <v>2022</v>
      </c>
      <c r="C530" s="674" t="inlineStr">
        <is>
          <t>TDF -SITES</t>
        </is>
      </c>
      <c r="D530" s="674" t="inlineStr">
        <is>
          <t>RECONDUCTIBLE</t>
        </is>
      </c>
      <c r="E530" s="675" t="inlineStr">
        <is>
          <t>AOO-M</t>
        </is>
      </c>
      <c r="F530" s="675" t="n">
        <v>1</v>
      </c>
      <c r="G530" s="676" t="inlineStr">
        <is>
          <t>Maintenance de la solution exustante de ka chaine radio info-trafic</t>
        </is>
      </c>
      <c r="H530" s="673" t="inlineStr">
        <is>
          <t>VALIDE</t>
        </is>
      </c>
      <c r="I530" s="675" t="inlineStr">
        <is>
          <t>APPROUVE</t>
        </is>
      </c>
      <c r="J530" s="675" t="inlineStr">
        <is>
          <t>31M/SNRT/2022</t>
        </is>
      </c>
      <c r="K530" s="673" t="inlineStr">
        <is>
          <t>NON CONCERNE</t>
        </is>
      </c>
      <c r="L530" s="675" t="inlineStr">
        <is>
          <t>Ordinaire</t>
        </is>
      </c>
      <c r="M530" s="677" t="inlineStr">
        <is>
          <t>FONCTIONNEMENT</t>
        </is>
      </c>
      <c r="N530" s="678" t="inlineStr">
        <is>
          <t>Entretien, réparation et assurance</t>
        </is>
      </c>
      <c r="O530" s="679" t="n"/>
      <c r="P530" s="680" t="n"/>
      <c r="Q530" s="680" t="n"/>
      <c r="R530" s="675" t="inlineStr">
        <is>
          <t>RECONDUCTIBLE</t>
        </is>
      </c>
      <c r="S530" s="681" t="n"/>
      <c r="T530" s="682" t="n"/>
      <c r="U530" s="683" t="inlineStr">
        <is>
          <t>PHF COM</t>
        </is>
      </c>
      <c r="V530" s="675" t="n">
        <v>2022</v>
      </c>
      <c r="W530" s="682" t="n"/>
      <c r="X530" s="682" t="n"/>
      <c r="Y530" s="682" t="n"/>
      <c r="Z530" s="679" t="n">
        <v>265800</v>
      </c>
      <c r="AA530" s="680" t="n">
        <v>0</v>
      </c>
      <c r="AB530" s="680" t="n">
        <v>318960</v>
      </c>
      <c r="AC530" s="680" t="n">
        <v>0</v>
      </c>
      <c r="AD530" s="680">
        <f>Z530</f>
        <v/>
      </c>
      <c r="AE530" s="680">
        <f>AB530</f>
        <v/>
      </c>
      <c r="AF530" s="684" t="inlineStr">
        <is>
          <t>ENGAGE</t>
        </is>
      </c>
      <c r="AG530" s="683" t="n"/>
      <c r="AH530" s="680" t="n"/>
      <c r="AI530" s="680" t="n"/>
      <c r="AJ530" s="680" t="n"/>
      <c r="AK530" s="680" t="n"/>
      <c r="AL530" s="685" t="n"/>
      <c r="AM530" s="685" t="n"/>
      <c r="AN530" s="683" t="n"/>
    </row>
    <row r="531" ht="50.55" customHeight="1" s="392">
      <c r="A531" s="672">
        <f>IF(AF531="ENGAGE","✔",IF(AF531="EN COURS D'ENGAGEMENT","◕",IF(AF531="PREENGAGE","◑",IF(AF531="EN COURS DE PREENGAGEMENT","◔",IF(AF531="NON ENGAGE","✖","")))))</f>
        <v/>
      </c>
      <c r="B531" s="673" t="n">
        <v>2023</v>
      </c>
      <c r="C531" s="674" t="inlineStr">
        <is>
          <t>TDF -SITES</t>
        </is>
      </c>
      <c r="D531" s="674" t="inlineStr">
        <is>
          <t>RECONDUCTIBLE</t>
        </is>
      </c>
      <c r="E531" s="675" t="inlineStr">
        <is>
          <t>AOO-M</t>
        </is>
      </c>
      <c r="F531" s="675" t="n">
        <v>1</v>
      </c>
      <c r="G531" s="676" t="inlineStr">
        <is>
          <t>La maintenance préventive et curative de la plateforme soft de  codage et de pultiplexage des ouvrages (Pylones, Tours, Batiments)</t>
        </is>
      </c>
      <c r="H531" s="673" t="inlineStr">
        <is>
          <t>VALIDE</t>
        </is>
      </c>
      <c r="I531" s="675" t="inlineStr">
        <is>
          <t>APPROUVE</t>
        </is>
      </c>
      <c r="J531" s="675" t="inlineStr">
        <is>
          <t>91M/SNRT/2023</t>
        </is>
      </c>
      <c r="K531" s="673" t="inlineStr">
        <is>
          <t>NON CONCERNE</t>
        </is>
      </c>
      <c r="L531" s="675" t="inlineStr">
        <is>
          <t>Ordinaire</t>
        </is>
      </c>
      <c r="M531" s="677" t="inlineStr">
        <is>
          <t>FONCTIONNEMENT</t>
        </is>
      </c>
      <c r="N531" s="678" t="inlineStr">
        <is>
          <t>Entretien, réparation et assurance</t>
        </is>
      </c>
      <c r="O531" s="679" t="n"/>
      <c r="P531" s="680" t="n"/>
      <c r="Q531" s="680" t="n"/>
      <c r="R531" s="675" t="inlineStr">
        <is>
          <t>RECONDUCTIBLE</t>
        </is>
      </c>
      <c r="S531" s="681" t="n"/>
      <c r="T531" s="682" t="n"/>
      <c r="U531" s="683" t="inlineStr">
        <is>
          <t>INTRATEL</t>
        </is>
      </c>
      <c r="V531" s="675" t="n">
        <v>2023</v>
      </c>
      <c r="W531" s="682" t="n"/>
      <c r="X531" s="682" t="n"/>
      <c r="Y531" s="682" t="n"/>
      <c r="Z531" s="679" t="n">
        <v>699000</v>
      </c>
      <c r="AA531" s="680" t="n">
        <v>0</v>
      </c>
      <c r="AB531" s="680" t="n">
        <v>838800</v>
      </c>
      <c r="AC531" s="680" t="n">
        <v>0</v>
      </c>
      <c r="AD531" s="680">
        <f>Z531</f>
        <v/>
      </c>
      <c r="AE531" s="680">
        <f>AB531</f>
        <v/>
      </c>
      <c r="AF531" s="684" t="inlineStr">
        <is>
          <t>ENGAGE</t>
        </is>
      </c>
      <c r="AG531" s="683" t="n"/>
      <c r="AH531" s="680" t="n"/>
      <c r="AI531" s="680" t="n"/>
      <c r="AJ531" s="680" t="n"/>
      <c r="AK531" s="680" t="n"/>
      <c r="AL531" s="685" t="n"/>
      <c r="AM531" s="685" t="n"/>
      <c r="AN531" s="683" t="n"/>
    </row>
    <row r="532" ht="46.5" customHeight="1" s="392">
      <c r="A532" s="672">
        <f>IF(AF532="ENGAGE","✔",IF(AF532="EN COURS D'ENGAGEMENT","◕",IF(AF532="PREENGAGE","◑",IF(AF532="EN COURS DE PREENGAGEMENT","◔",IF(AF532="NON ENGAGE","✖","")))))</f>
        <v/>
      </c>
      <c r="B532" s="673" t="n">
        <v>2024</v>
      </c>
      <c r="C532" s="674" t="inlineStr">
        <is>
          <t>DTSI</t>
        </is>
      </c>
      <c r="D532" s="674" t="inlineStr">
        <is>
          <t>RECONDUCTIBLE</t>
        </is>
      </c>
      <c r="E532" s="675" t="inlineStr">
        <is>
          <t>AOO-M</t>
        </is>
      </c>
      <c r="F532" s="675" t="n">
        <v>1</v>
      </c>
      <c r="G532" s="676" t="inlineStr">
        <is>
          <t>Location et infogérance de plateforme publiques d'hébergement "Cloud" et fourniture des services associés.</t>
        </is>
      </c>
      <c r="H532" s="673" t="inlineStr">
        <is>
          <t>VALIDE</t>
        </is>
      </c>
      <c r="I532" s="675" t="inlineStr">
        <is>
          <t>APPROUVE</t>
        </is>
      </c>
      <c r="J532" s="675" t="inlineStr">
        <is>
          <t>31M/SNRT/2024</t>
        </is>
      </c>
      <c r="K532" s="673" t="inlineStr">
        <is>
          <t>NON CONCERNE</t>
        </is>
      </c>
      <c r="L532" s="675" t="inlineStr">
        <is>
          <t>Ordinaire</t>
        </is>
      </c>
      <c r="M532" s="677" t="inlineStr">
        <is>
          <t>FONCTIONNEMENT</t>
        </is>
      </c>
      <c r="N532" s="678" t="inlineStr">
        <is>
          <t>Prestation de services
Achat prestations de services locales - sociétés</t>
        </is>
      </c>
      <c r="O532" s="679" t="n"/>
      <c r="P532" s="680" t="n"/>
      <c r="Q532" s="680" t="n"/>
      <c r="R532" s="675" t="inlineStr">
        <is>
          <t>RECONDUCTIBLE</t>
        </is>
      </c>
      <c r="S532" s="681" t="n"/>
      <c r="T532" s="682" t="n"/>
      <c r="U532" s="683" t="n"/>
      <c r="V532" s="675" t="n">
        <v>2024</v>
      </c>
      <c r="W532" s="682" t="n"/>
      <c r="X532" s="682" t="n"/>
      <c r="Y532" s="682" t="n"/>
      <c r="Z532" s="679">
        <f>AD532</f>
        <v/>
      </c>
      <c r="AA532" s="680" t="n">
        <v>0</v>
      </c>
      <c r="AB532" s="680">
        <f>AE532</f>
        <v/>
      </c>
      <c r="AC532" s="680" t="n">
        <v>0</v>
      </c>
      <c r="AD532" s="680">
        <f>AE532/1.2</f>
        <v/>
      </c>
      <c r="AE532" s="680" t="n">
        <v>375420</v>
      </c>
      <c r="AF532" s="684" t="inlineStr">
        <is>
          <t>ENGAGE</t>
        </is>
      </c>
      <c r="AG532" s="683" t="n"/>
      <c r="AH532" s="680" t="n"/>
      <c r="AI532" s="680" t="n"/>
      <c r="AJ532" s="680" t="n"/>
      <c r="AK532" s="680" t="n"/>
      <c r="AL532" s="685" t="n"/>
      <c r="AM532" s="685" t="n"/>
      <c r="AN532" s="683" t="n"/>
    </row>
    <row r="533" ht="46.5" customHeight="1" s="392">
      <c r="A533" s="672">
        <f>IF(AF533="ENGAGE","✔",IF(AF533="EN COURS D'ENGAGEMENT","◕",IF(AF533="PREENGAGE","◑",IF(AF533="EN COURS DE PREENGAGEMENT","◔",IF(AF533="NON ENGAGE","✖","")))))</f>
        <v/>
      </c>
      <c r="B533" s="673" t="n">
        <v>2025</v>
      </c>
      <c r="C533" s="674" t="inlineStr">
        <is>
          <t>DTSI</t>
        </is>
      </c>
      <c r="D533" s="674" t="inlineStr">
        <is>
          <t>RECONDUCTIBLE</t>
        </is>
      </c>
      <c r="E533" s="675" t="inlineStr">
        <is>
          <t>AOO-M</t>
        </is>
      </c>
      <c r="F533" s="675" t="n">
        <v>1</v>
      </c>
      <c r="G533" s="676" t="inlineStr">
        <is>
          <t>Prestations de maintenance du progiciel de gestion des ressources humaines AGIRH</t>
        </is>
      </c>
      <c r="H533" s="673" t="inlineStr">
        <is>
          <t>VALIDE</t>
        </is>
      </c>
      <c r="I533" s="675" t="inlineStr">
        <is>
          <t>APPROUVE</t>
        </is>
      </c>
      <c r="J533" s="693" t="n"/>
      <c r="K533" s="673" t="inlineStr">
        <is>
          <t>NON CONCERNE</t>
        </is>
      </c>
      <c r="L533" s="675" t="inlineStr">
        <is>
          <t>Ordinaire</t>
        </is>
      </c>
      <c r="M533" s="677" t="inlineStr">
        <is>
          <t>FONCTIONNEMENT</t>
        </is>
      </c>
      <c r="N533" s="678" t="inlineStr">
        <is>
          <t>Prestation de services
Achat prestations de services locales - sociétés</t>
        </is>
      </c>
      <c r="O533" s="679" t="n"/>
      <c r="P533" s="680" t="n"/>
      <c r="Q533" s="680" t="n"/>
      <c r="R533" s="675" t="inlineStr">
        <is>
          <t>RECONDUCTIBLE</t>
        </is>
      </c>
      <c r="S533" s="681" t="n"/>
      <c r="T533" s="682" t="n"/>
      <c r="U533" s="683" t="n"/>
      <c r="V533" s="675" t="n">
        <v>2025</v>
      </c>
      <c r="W533" s="682" t="n"/>
      <c r="X533" s="682" t="n"/>
      <c r="Y533" s="682" t="n"/>
      <c r="Z533" s="679">
        <f>AD533</f>
        <v/>
      </c>
      <c r="AA533" s="680" t="n">
        <v>0</v>
      </c>
      <c r="AB533" s="680">
        <f>AE533</f>
        <v/>
      </c>
      <c r="AC533" s="680" t="n">
        <v>0</v>
      </c>
      <c r="AD533" s="680">
        <f>AE533/1.2</f>
        <v/>
      </c>
      <c r="AE533" s="680" t="n">
        <v>240000</v>
      </c>
      <c r="AF533" s="684" t="inlineStr">
        <is>
          <t>ENGAGE</t>
        </is>
      </c>
      <c r="AG533" s="683" t="n"/>
      <c r="AH533" s="680" t="n"/>
      <c r="AI533" s="680" t="n"/>
      <c r="AJ533" s="680" t="n"/>
      <c r="AK533" s="680" t="n"/>
      <c r="AL533" s="685" t="n"/>
      <c r="AM533" s="685" t="n"/>
      <c r="AN533" s="683" t="n"/>
    </row>
    <row r="534" ht="46.5" customHeight="1" s="392">
      <c r="A534" s="672">
        <f>IF(AF534="ENGAGE","✔",IF(AF534="EN COURS D'ENGAGEMENT","◕",IF(AF534="PREENGAGE","◑",IF(AF534="EN COURS DE PREENGAGEMENT","◔",IF(AF534="NON ENGAGE","✖","")))))</f>
        <v/>
      </c>
      <c r="B534" s="673" t="n">
        <v>2025</v>
      </c>
      <c r="C534" s="674" t="inlineStr">
        <is>
          <t>DTSI</t>
        </is>
      </c>
      <c r="D534" s="674" t="inlineStr">
        <is>
          <t>RECONDUCTIBLE</t>
        </is>
      </c>
      <c r="E534" s="675" t="inlineStr">
        <is>
          <t>AOO-M</t>
        </is>
      </c>
      <c r="F534" s="675" t="n">
        <v>1</v>
      </c>
      <c r="G534" s="676" t="inlineStr">
        <is>
          <t>Prestations fonctionnelles et techniques du progiciel de gestion intégré de la SNRT: JDEWARDS</t>
        </is>
      </c>
      <c r="H534" s="673" t="inlineStr">
        <is>
          <t>VALIDE</t>
        </is>
      </c>
      <c r="I534" s="675" t="inlineStr">
        <is>
          <t>APPROUVE</t>
        </is>
      </c>
      <c r="J534" s="693" t="n"/>
      <c r="K534" s="673" t="inlineStr">
        <is>
          <t>NON CONCERNE</t>
        </is>
      </c>
      <c r="L534" s="675" t="inlineStr">
        <is>
          <t>Ordinaire</t>
        </is>
      </c>
      <c r="M534" s="677" t="inlineStr">
        <is>
          <t>FONCTIONNEMENT</t>
        </is>
      </c>
      <c r="N534" s="678" t="inlineStr">
        <is>
          <t>Prestation de services
Achat prestations de services locales - sociétés</t>
        </is>
      </c>
      <c r="O534" s="679" t="n"/>
      <c r="P534" s="680" t="n"/>
      <c r="Q534" s="680" t="n"/>
      <c r="R534" s="675" t="inlineStr">
        <is>
          <t>RECONDUCTIBLE</t>
        </is>
      </c>
      <c r="S534" s="681" t="n"/>
      <c r="T534" s="682" t="n"/>
      <c r="U534" s="683" t="n"/>
      <c r="V534" s="675" t="n">
        <v>2025</v>
      </c>
      <c r="W534" s="682" t="n"/>
      <c r="X534" s="682" t="n"/>
      <c r="Y534" s="682" t="n"/>
      <c r="Z534" s="679">
        <f>AD534</f>
        <v/>
      </c>
      <c r="AA534" s="680" t="n">
        <v>0</v>
      </c>
      <c r="AB534" s="680">
        <f>AE534</f>
        <v/>
      </c>
      <c r="AC534" s="680" t="n">
        <v>0</v>
      </c>
      <c r="AD534" s="680">
        <f>AE534/1.2</f>
        <v/>
      </c>
      <c r="AE534" s="680" t="n">
        <v>516000</v>
      </c>
      <c r="AF534" s="684" t="inlineStr">
        <is>
          <t>ENGAGE</t>
        </is>
      </c>
      <c r="AG534" s="683" t="n"/>
      <c r="AH534" s="680" t="n"/>
      <c r="AI534" s="680" t="n"/>
      <c r="AJ534" s="680" t="n"/>
      <c r="AK534" s="680" t="n"/>
      <c r="AL534" s="685" t="n"/>
      <c r="AM534" s="685" t="n"/>
      <c r="AN534" s="683" t="n"/>
    </row>
    <row r="535" ht="46.5" customHeight="1" s="392">
      <c r="A535" s="672">
        <f>IF(AF535="ENGAGE","✔",IF(AF535="EN COURS D'ENGAGEMENT","◕",IF(AF535="PREENGAGE","◑",IF(AF535="EN COURS DE PREENGAGEMENT","◔",IF(AF535="NON ENGAGE","✖","")))))</f>
        <v/>
      </c>
      <c r="B535" s="673" t="n">
        <v>2022</v>
      </c>
      <c r="C535" s="674" t="inlineStr">
        <is>
          <t>DTSI</t>
        </is>
      </c>
      <c r="D535" s="674" t="inlineStr">
        <is>
          <t>RECONDUCTIBLE</t>
        </is>
      </c>
      <c r="E535" s="675" t="inlineStr">
        <is>
          <t>AOO-M</t>
        </is>
      </c>
      <c r="F535" s="675" t="n">
        <v>1</v>
      </c>
      <c r="G535" s="676" t="inlineStr">
        <is>
          <t>Contrat de service de support (SLA) du Système de Production News « News Room » de la SNRT.</t>
        </is>
      </c>
      <c r="H535" s="673" t="inlineStr">
        <is>
          <t>VALIDE</t>
        </is>
      </c>
      <c r="I535" s="675" t="inlineStr">
        <is>
          <t>APPROUVE</t>
        </is>
      </c>
      <c r="J535" s="675" t="inlineStr">
        <is>
          <t>51M/SNRT/2022</t>
        </is>
      </c>
      <c r="K535" s="673" t="inlineStr">
        <is>
          <t>GENERAL</t>
        </is>
      </c>
      <c r="L535" s="675" t="inlineStr">
        <is>
          <t>Ordinaire</t>
        </is>
      </c>
      <c r="M535" s="677" t="inlineStr">
        <is>
          <t>FONCTIONNEMENT</t>
        </is>
      </c>
      <c r="N535" s="678" t="inlineStr">
        <is>
          <t>Prestation de services
Achat prestations de services locales - sociétés</t>
        </is>
      </c>
      <c r="O535" s="679" t="n"/>
      <c r="P535" s="680" t="n"/>
      <c r="Q535" s="680" t="n"/>
      <c r="R535" s="675" t="inlineStr">
        <is>
          <t>RECONDUCTIBLE</t>
        </is>
      </c>
      <c r="S535" s="681" t="n"/>
      <c r="T535" s="682" t="n"/>
      <c r="U535" s="683" t="n"/>
      <c r="V535" s="675" t="n">
        <v>2022</v>
      </c>
      <c r="W535" s="682" t="n"/>
      <c r="X535" s="682" t="n"/>
      <c r="Y535" s="682" t="n"/>
      <c r="Z535" s="679">
        <f>AD535</f>
        <v/>
      </c>
      <c r="AA535" s="680" t="n">
        <v>0</v>
      </c>
      <c r="AB535" s="680">
        <f>AE535</f>
        <v/>
      </c>
      <c r="AC535" s="680" t="n">
        <v>0</v>
      </c>
      <c r="AD535" s="680">
        <f>AE535/1.2</f>
        <v/>
      </c>
      <c r="AE535" s="680" t="n">
        <v>1365699.456</v>
      </c>
      <c r="AF535" s="684" t="inlineStr">
        <is>
          <t>ENGAGE</t>
        </is>
      </c>
      <c r="AG535" s="683" t="n"/>
      <c r="AH535" s="680" t="n"/>
      <c r="AI535" s="680" t="n"/>
      <c r="AJ535" s="680" t="n"/>
      <c r="AK535" s="680" t="n"/>
      <c r="AL535" s="685" t="n"/>
      <c r="AM535" s="685" t="n"/>
      <c r="AN535" s="683" t="n"/>
    </row>
    <row r="536" ht="50.55" customHeight="1" s="392">
      <c r="A536" s="672">
        <f>IF(AF536="ENGAGE","✔",IF(AF536="EN COURS D'ENGAGEMENT","◕",IF(AF536="PREENGAGE","◑",IF(AF536="EN COURS DE PREENGAGEMENT","◔",IF(AF536="NON ENGAGE","✖","")))))</f>
        <v/>
      </c>
      <c r="B536" s="673" t="n">
        <v>2023</v>
      </c>
      <c r="C536" s="674" t="inlineStr">
        <is>
          <t>DTSI</t>
        </is>
      </c>
      <c r="D536" s="674" t="inlineStr">
        <is>
          <t>RECONDUCTIBLE</t>
        </is>
      </c>
      <c r="E536" s="675" t="inlineStr">
        <is>
          <t>AOO-M</t>
        </is>
      </c>
      <c r="F536" s="675" t="n">
        <v>1</v>
      </c>
      <c r="G536" s="676" t="inlineStr">
        <is>
          <t>Souscription à un abonnement annuel de licences de logiciels de montage et de graphisme pour les besoins des chaines TV de la SNRT.</t>
        </is>
      </c>
      <c r="H536" s="673" t="inlineStr">
        <is>
          <t>VALIDE</t>
        </is>
      </c>
      <c r="I536" s="675" t="inlineStr">
        <is>
          <t>APPROUVE</t>
        </is>
      </c>
      <c r="J536" s="675" t="inlineStr">
        <is>
          <t>22M/SNRT/2023</t>
        </is>
      </c>
      <c r="K536" s="673" t="inlineStr">
        <is>
          <t>GENERAL</t>
        </is>
      </c>
      <c r="L536" s="675" t="inlineStr">
        <is>
          <t>Ordinaire</t>
        </is>
      </c>
      <c r="M536" s="677" t="inlineStr">
        <is>
          <t>FONCTIONNEMENT</t>
        </is>
      </c>
      <c r="N536" s="678" t="inlineStr">
        <is>
          <t>Redevances et cotisations</t>
        </is>
      </c>
      <c r="O536" s="679" t="n"/>
      <c r="P536" s="680" t="n"/>
      <c r="Q536" s="680" t="n"/>
      <c r="R536" s="675" t="inlineStr">
        <is>
          <t>RECONDUCTIBLE</t>
        </is>
      </c>
      <c r="S536" s="681" t="n"/>
      <c r="T536" s="682" t="n"/>
      <c r="U536" s="683" t="n"/>
      <c r="V536" s="675" t="n">
        <v>2023</v>
      </c>
      <c r="W536" s="682" t="n"/>
      <c r="X536" s="682" t="n"/>
      <c r="Y536" s="682" t="n"/>
      <c r="Z536" s="679">
        <f>AD536</f>
        <v/>
      </c>
      <c r="AA536" s="680" t="n">
        <v>0</v>
      </c>
      <c r="AB536" s="680">
        <f>AE536</f>
        <v/>
      </c>
      <c r="AC536" s="680" t="n">
        <v>0</v>
      </c>
      <c r="AD536" s="680">
        <f>AE536/1.2</f>
        <v/>
      </c>
      <c r="AE536" s="680" t="n">
        <v>494628</v>
      </c>
      <c r="AF536" s="684" t="inlineStr">
        <is>
          <t>ENGAGE</t>
        </is>
      </c>
      <c r="AG536" s="683" t="n"/>
      <c r="AH536" s="680" t="n"/>
      <c r="AI536" s="680" t="n"/>
      <c r="AJ536" s="680" t="n"/>
      <c r="AK536" s="680" t="n"/>
      <c r="AL536" s="685" t="n"/>
      <c r="AM536" s="685" t="n"/>
      <c r="AN536" s="683" t="n"/>
    </row>
    <row r="537" ht="50.55" customHeight="1" s="392">
      <c r="A537" s="672">
        <f>IF(AF537="ENGAGE","✔",IF(AF537="EN COURS D'ENGAGEMENT","◕",IF(AF537="PREENGAGE","◑",IF(AF537="EN COURS DE PREENGAGEMENT","◔",IF(AF537="NON ENGAGE","✖","")))))</f>
        <v/>
      </c>
      <c r="B537" s="673" t="n">
        <v>2026</v>
      </c>
      <c r="C537" s="674" t="inlineStr">
        <is>
          <t>DTSI</t>
        </is>
      </c>
      <c r="D537" s="674" t="inlineStr">
        <is>
          <t>30 AOM/SNRT</t>
        </is>
      </c>
      <c r="E537" s="675" t="inlineStr">
        <is>
          <t>AOO-M</t>
        </is>
      </c>
      <c r="F537" s="675" t="n">
        <v>1</v>
      </c>
      <c r="G537" s="676" t="inlineStr">
        <is>
          <t>La fourniture et la mise en service de serveurs pour renouvellement de serveurs d’enregistrement et de replay pour les besoins de la production TV des manifestations sportives</t>
        </is>
      </c>
      <c r="H537" s="673" t="inlineStr">
        <is>
          <t>INFRUCTUEUX</t>
        </is>
      </c>
      <c r="I537" s="675" t="inlineStr">
        <is>
          <t>INFRUCTUEUX</t>
        </is>
      </c>
      <c r="J537" s="675" t="n"/>
      <c r="K537" s="673" t="inlineStr">
        <is>
          <t>GENERAL</t>
        </is>
      </c>
      <c r="L537" s="675" t="inlineStr">
        <is>
          <t>REPORT BUDGET EXCEP  ANNEE ANTERIEURE</t>
        </is>
      </c>
      <c r="M537" s="677" t="inlineStr">
        <is>
          <t>INVESTISSEMENT</t>
        </is>
      </c>
      <c r="N537" s="678" t="inlineStr">
        <is>
          <t>Équipements techniques</t>
        </is>
      </c>
      <c r="O537" s="679">
        <f>P537*1.2</f>
        <v/>
      </c>
      <c r="P537" s="680" t="n">
        <v>8948880</v>
      </c>
      <c r="Q537" s="680">
        <f>P537/1.2</f>
        <v/>
      </c>
      <c r="R537" s="675" t="inlineStr">
        <is>
          <t>NOUVEAU BESOIN</t>
        </is>
      </c>
      <c r="S537" s="681" t="n"/>
      <c r="T537" s="682" t="n"/>
      <c r="U537" s="683" t="n"/>
      <c r="V537" s="675" t="n"/>
      <c r="W537" s="682" t="n">
        <v>46129</v>
      </c>
      <c r="X537" s="682" t="n">
        <v>46133</v>
      </c>
      <c r="Y537" s="682" t="n"/>
      <c r="Z537" s="679" t="n">
        <v>0</v>
      </c>
      <c r="AA537" s="680" t="n">
        <v>0</v>
      </c>
      <c r="AB537" s="680" t="n">
        <v>0</v>
      </c>
      <c r="AC537" s="680" t="n">
        <v>0</v>
      </c>
      <c r="AD537" s="680" t="n">
        <v>0</v>
      </c>
      <c r="AE537" s="680" t="n">
        <v>0</v>
      </c>
      <c r="AF537" s="684" t="inlineStr">
        <is>
          <t>NON ENGAGE</t>
        </is>
      </c>
      <c r="AG537" s="683" t="n"/>
      <c r="AH537" s="680" t="n"/>
      <c r="AI537" s="680" t="n"/>
      <c r="AJ537" s="680" t="n"/>
      <c r="AK537" s="680" t="n"/>
      <c r="AL537" s="685" t="n"/>
      <c r="AM537" s="685" t="n"/>
      <c r="AN537" s="683" t="n"/>
    </row>
    <row r="538" ht="60" customHeight="1" s="392">
      <c r="A538" s="672">
        <f>IF(AF538="ENGAGE","✔",IF(AF538="EN COURS D'ENGAGEMENT","◕",IF(AF538="PREENGAGE","◑",IF(AF538="EN COURS DE PREENGAGEMENT","◔",IF(AF538="NON ENGAGE","✖","")))))</f>
        <v/>
      </c>
      <c r="B538" s="673" t="n">
        <v>2026</v>
      </c>
      <c r="C538" s="674" t="inlineStr">
        <is>
          <t>ASSADISSA</t>
        </is>
      </c>
      <c r="D538" s="674" t="inlineStr">
        <is>
          <t>PV N° 02RE2025-DPPCCRTV</t>
        </is>
      </c>
      <c r="E538" s="675" t="inlineStr">
        <is>
          <t>CONTRAT</t>
        </is>
      </c>
      <c r="F538" s="675" t="n">
        <v>1</v>
      </c>
      <c r="G538" s="676" t="inlineStr">
        <is>
          <t>HAKIM KHIZRAN  -  Préparation et présentation de l’émission RD الابتهالات</t>
        </is>
      </c>
      <c r="H538" s="673" t="inlineStr">
        <is>
          <t>VALIDE</t>
        </is>
      </c>
      <c r="I538" s="675" t="inlineStr">
        <is>
          <t>APPROUVE</t>
        </is>
      </c>
      <c r="J538" s="675" t="n"/>
      <c r="K538" s="673" t="inlineStr">
        <is>
          <t>NON CONCERNE</t>
        </is>
      </c>
      <c r="L538" s="675" t="inlineStr">
        <is>
          <t>Ordinaire</t>
        </is>
      </c>
      <c r="M538" s="677" t="inlineStr">
        <is>
          <t>FONCTIONNEMENT</t>
        </is>
      </c>
      <c r="N538" s="678" t="inlineStr">
        <is>
          <t>Achats de productions et de programmes
Achat des programmes en production interne - personnes physiques</t>
        </is>
      </c>
      <c r="O538" s="679" t="n"/>
      <c r="P538" s="680" t="n"/>
      <c r="Q538" s="680" t="n"/>
      <c r="R538" s="675" t="inlineStr">
        <is>
          <t>NOUVEAU BESOIN</t>
        </is>
      </c>
      <c r="S538" s="681" t="n"/>
      <c r="T538" s="682" t="n"/>
      <c r="U538" s="683" t="inlineStr">
        <is>
          <t>HAKIM KHIZRAN</t>
        </is>
      </c>
      <c r="V538" s="675" t="n">
        <v>2026</v>
      </c>
      <c r="W538" s="682" t="n">
        <v>46129</v>
      </c>
      <c r="X538" s="682" t="n"/>
      <c r="Y538" s="682" t="n"/>
      <c r="Z538" s="679" t="n">
        <v>45000</v>
      </c>
      <c r="AA538" s="680" t="n">
        <v>0</v>
      </c>
      <c r="AB538" s="680" t="n">
        <v>45000</v>
      </c>
      <c r="AC538" s="680" t="n">
        <v>0</v>
      </c>
      <c r="AD538" s="680">
        <f>Z538</f>
        <v/>
      </c>
      <c r="AE538" s="680">
        <f>AD538</f>
        <v/>
      </c>
      <c r="AF538" s="684" t="inlineStr">
        <is>
          <t>ENGAGE</t>
        </is>
      </c>
      <c r="AG538" s="683" t="n"/>
      <c r="AH538" s="680" t="n"/>
      <c r="AI538" s="680" t="n"/>
      <c r="AJ538" s="680" t="n"/>
      <c r="AK538" s="680" t="n"/>
      <c r="AL538" s="685" t="n"/>
      <c r="AM538" s="685" t="n"/>
      <c r="AN538" s="683" t="n"/>
    </row>
    <row r="539" ht="60" customHeight="1" s="392">
      <c r="A539" s="672">
        <f>IF(AF539="ENGAGE","✔",IF(AF539="EN COURS D'ENGAGEMENT","◕",IF(AF539="PREENGAGE","◑",IF(AF539="EN COURS DE PREENGAGEMENT","◔",IF(AF539="NON ENGAGE","✖","")))))</f>
        <v/>
      </c>
      <c r="B539" s="673" t="n">
        <v>2026</v>
      </c>
      <c r="C539" s="674" t="inlineStr">
        <is>
          <t>ASSADISSA</t>
        </is>
      </c>
      <c r="D539" s="674" t="inlineStr">
        <is>
          <t>PV N° 02RE2025-DPPCCRTV</t>
        </is>
      </c>
      <c r="E539" s="675" t="inlineStr">
        <is>
          <t>CONTRAT</t>
        </is>
      </c>
      <c r="F539" s="675" t="n">
        <v>1</v>
      </c>
      <c r="G539" s="676" t="inlineStr">
        <is>
          <t>HICHAM EL HLIMI -  Préparation et présentation de l’émission RD في حضرة زوايا</t>
        </is>
      </c>
      <c r="H539" s="673" t="inlineStr">
        <is>
          <t>VALIDE</t>
        </is>
      </c>
      <c r="I539" s="675" t="inlineStr">
        <is>
          <t>APPROUVE</t>
        </is>
      </c>
      <c r="J539" s="675" t="n"/>
      <c r="K539" s="673" t="inlineStr">
        <is>
          <t>NON CONCERNE</t>
        </is>
      </c>
      <c r="L539" s="675" t="inlineStr">
        <is>
          <t>Ordinaire</t>
        </is>
      </c>
      <c r="M539" s="677" t="inlineStr">
        <is>
          <t>FONCTIONNEMENT</t>
        </is>
      </c>
      <c r="N539" s="678" t="inlineStr">
        <is>
          <t>Achats de productions et de programmes
Achat des programmes en production interne - personnes physiques</t>
        </is>
      </c>
      <c r="O539" s="679" t="n"/>
      <c r="P539" s="680" t="n"/>
      <c r="Q539" s="680" t="n"/>
      <c r="R539" s="675" t="inlineStr">
        <is>
          <t>NOUVEAU BESOIN</t>
        </is>
      </c>
      <c r="S539" s="681" t="n"/>
      <c r="T539" s="682" t="n"/>
      <c r="U539" s="683" t="inlineStr">
        <is>
          <t>HICHAM EL HLIMI</t>
        </is>
      </c>
      <c r="V539" s="675" t="n">
        <v>2026</v>
      </c>
      <c r="W539" s="682" t="n">
        <v>46129</v>
      </c>
      <c r="X539" s="682" t="n"/>
      <c r="Y539" s="682" t="n"/>
      <c r="Z539" s="679" t="n">
        <v>96000</v>
      </c>
      <c r="AA539" s="680" t="n">
        <v>0</v>
      </c>
      <c r="AB539" s="680" t="n">
        <v>96000</v>
      </c>
      <c r="AC539" s="680" t="n">
        <v>0</v>
      </c>
      <c r="AD539" s="680">
        <f>Z539</f>
        <v/>
      </c>
      <c r="AE539" s="680">
        <f>AD539</f>
        <v/>
      </c>
      <c r="AF539" s="684" t="inlineStr">
        <is>
          <t>ENGAGE</t>
        </is>
      </c>
      <c r="AG539" s="683" t="n"/>
      <c r="AH539" s="680" t="n"/>
      <c r="AI539" s="680" t="n"/>
      <c r="AJ539" s="680" t="n"/>
      <c r="AK539" s="680" t="n"/>
      <c r="AL539" s="685" t="n"/>
      <c r="AM539" s="685" t="n"/>
      <c r="AN539" s="683" t="n"/>
    </row>
    <row r="540" ht="46.5" customHeight="1" s="392">
      <c r="A540" s="672">
        <f>IF(AF540="ENGAGE","✔",IF(AF540="EN COURS D'ENGAGEMENT","◕",IF(AF540="PREENGAGE","◑",IF(AF540="EN COURS DE PREENGAGEMENT","◔",IF(AF540="NON ENGAGE","✖","")))))</f>
        <v/>
      </c>
      <c r="B540" s="673" t="n">
        <v>2026</v>
      </c>
      <c r="C540" s="674" t="inlineStr">
        <is>
          <t>DINFOTV</t>
        </is>
      </c>
      <c r="D540" s="674" t="inlineStr">
        <is>
          <t>EXCLUSIVITÉ</t>
        </is>
      </c>
      <c r="E540" s="675" t="inlineStr">
        <is>
          <t>CONTRAT</t>
        </is>
      </c>
      <c r="F540" s="675" t="n">
        <v>1</v>
      </c>
      <c r="G540" s="676" t="inlineStr">
        <is>
          <t>Acquisition des droits de diffusion de reportages télévisuels sur l’actualité à Bruxelles</t>
        </is>
      </c>
      <c r="H540" s="673" t="inlineStr">
        <is>
          <t>VALIDE</t>
        </is>
      </c>
      <c r="I540" s="675" t="inlineStr">
        <is>
          <t>APPROUVE</t>
        </is>
      </c>
      <c r="J540" s="675" t="inlineStr">
        <is>
          <t>391 CT/SNRT</t>
        </is>
      </c>
      <c r="K540" s="673" t="inlineStr">
        <is>
          <t>NON CONCERNE</t>
        </is>
      </c>
      <c r="L540" s="675" t="inlineStr">
        <is>
          <t>Ordinaire</t>
        </is>
      </c>
      <c r="M540" s="677" t="inlineStr">
        <is>
          <t>FONCTIONNEMENT</t>
        </is>
      </c>
      <c r="N540" s="678" t="inlineStr">
        <is>
          <t>Prestation de services
Achat prestations de services locales - sociétés</t>
        </is>
      </c>
      <c r="O540" s="679" t="n"/>
      <c r="P540" s="680" t="n"/>
      <c r="Q540" s="680" t="n"/>
      <c r="R540" s="675" t="inlineStr">
        <is>
          <t>BESOIN RECURRENT</t>
        </is>
      </c>
      <c r="S540" s="681" t="n"/>
      <c r="T540" s="682" t="n"/>
      <c r="U540" s="683" t="inlineStr">
        <is>
          <t>NET PROD</t>
        </is>
      </c>
      <c r="V540" s="675" t="n">
        <v>2026</v>
      </c>
      <c r="W540" s="682" t="n">
        <v>46132</v>
      </c>
      <c r="X540" s="682" t="n"/>
      <c r="Y540" s="682" t="n">
        <v>46115</v>
      </c>
      <c r="Z540" s="679" t="n">
        <v>360000</v>
      </c>
      <c r="AA540" s="680" t="n">
        <v>0</v>
      </c>
      <c r="AB540" s="680" t="n">
        <v>432000</v>
      </c>
      <c r="AC540" s="680" t="n">
        <v>0</v>
      </c>
      <c r="AD540" s="680">
        <f>Z540</f>
        <v/>
      </c>
      <c r="AE540" s="680">
        <f>AD540</f>
        <v/>
      </c>
      <c r="AF540" s="684" t="inlineStr">
        <is>
          <t>ENGAGE</t>
        </is>
      </c>
      <c r="AG540" s="683" t="n"/>
      <c r="AH540" s="680" t="n"/>
      <c r="AI540" s="680" t="n"/>
      <c r="AJ540" s="680" t="n"/>
      <c r="AK540" s="680" t="n"/>
      <c r="AL540" s="685" t="n"/>
      <c r="AM540" s="685" t="n"/>
      <c r="AN540" s="683" t="n"/>
    </row>
    <row r="541" ht="46.5" customHeight="1" s="392">
      <c r="A541" s="672">
        <f>IF(AF541="ENGAGE","✔",IF(AF541="EN COURS D'ENGAGEMENT","◕",IF(AF541="PREENGAGE","◑",IF(AF541="EN COURS DE PREENGAGEMENT","◔",IF(AF541="NON ENGAGE","✖","")))))</f>
        <v/>
      </c>
      <c r="B541" s="673" t="n">
        <v>2026</v>
      </c>
      <c r="C541" s="674" t="inlineStr">
        <is>
          <t>DINFOTV</t>
        </is>
      </c>
      <c r="D541" s="674" t="inlineStr">
        <is>
          <t>EXCLUSIVITÉ</t>
        </is>
      </c>
      <c r="E541" s="675" t="inlineStr">
        <is>
          <t>CONTRAT</t>
        </is>
      </c>
      <c r="F541" s="675" t="n">
        <v>1</v>
      </c>
      <c r="G541" s="676" t="inlineStr">
        <is>
          <t>Acquisition des droits de diffusion de reportages télévisuels sur l’actualité en Palestine</t>
        </is>
      </c>
      <c r="H541" s="673" t="inlineStr">
        <is>
          <t>VALIDE</t>
        </is>
      </c>
      <c r="I541" s="675" t="inlineStr">
        <is>
          <t>APPROUVE</t>
        </is>
      </c>
      <c r="J541" s="675" t="inlineStr">
        <is>
          <t>392 CT/SNRT</t>
        </is>
      </c>
      <c r="K541" s="673" t="inlineStr">
        <is>
          <t>NON CONCERNE</t>
        </is>
      </c>
      <c r="L541" s="675" t="inlineStr">
        <is>
          <t>Ordinaire</t>
        </is>
      </c>
      <c r="M541" s="677" t="inlineStr">
        <is>
          <t>FONCTIONNEMENT</t>
        </is>
      </c>
      <c r="N541" s="678" t="inlineStr">
        <is>
          <t>Prestations de service
Achat prestations de services étrangères</t>
        </is>
      </c>
      <c r="O541" s="679" t="n"/>
      <c r="P541" s="680" t="n"/>
      <c r="Q541" s="680" t="n"/>
      <c r="R541" s="675" t="inlineStr">
        <is>
          <t>BESOIN RECURRENT</t>
        </is>
      </c>
      <c r="S541" s="681" t="n"/>
      <c r="T541" s="682" t="n"/>
      <c r="U541" s="683" t="inlineStr">
        <is>
          <t>ALAM NEWS CO.FOR MEDIA PRODUCTION</t>
        </is>
      </c>
      <c r="V541" s="675" t="n">
        <v>2026</v>
      </c>
      <c r="W541" s="682" t="n">
        <v>46132</v>
      </c>
      <c r="X541" s="682" t="n"/>
      <c r="Y541" s="682" t="n">
        <v>46115</v>
      </c>
      <c r="Z541" s="679" t="n">
        <v>437638.83</v>
      </c>
      <c r="AA541" s="680" t="n">
        <v>46667.04</v>
      </c>
      <c r="AB541" s="680">
        <f>Z541</f>
        <v/>
      </c>
      <c r="AC541" s="680" t="n">
        <v>46667.04</v>
      </c>
      <c r="AD541" s="680">
        <f>Z541</f>
        <v/>
      </c>
      <c r="AE541" s="680">
        <f>AD541</f>
        <v/>
      </c>
      <c r="AF541" s="684" t="inlineStr">
        <is>
          <t>ENGAGE</t>
        </is>
      </c>
      <c r="AG541" s="683" t="n"/>
      <c r="AH541" s="680" t="n"/>
      <c r="AI541" s="680" t="n"/>
      <c r="AJ541" s="680" t="n"/>
      <c r="AK541" s="680" t="n"/>
      <c r="AL541" s="685" t="n"/>
      <c r="AM541" s="685" t="n"/>
      <c r="AN541" s="683" t="n"/>
    </row>
    <row r="542" ht="35.7" customHeight="1" s="392">
      <c r="A542" s="672">
        <f>IF(AF542="ENGAGE","✔",IF(AF542="EN COURS D'ENGAGEMENT","◕",IF(AF542="PREENGAGE","◑",IF(AF542="EN COURS DE PREENGAGEMENT","◔",IF(AF542="NON ENGAGE","✖","")))))</f>
        <v/>
      </c>
      <c r="B542" s="673" t="n">
        <v>2026</v>
      </c>
      <c r="C542" s="674" t="inlineStr">
        <is>
          <t>DMPTV</t>
        </is>
      </c>
      <c r="D542" s="674" t="inlineStr">
        <is>
          <t>EXCLUSIVITÉ</t>
        </is>
      </c>
      <c r="E542" s="675" t="inlineStr">
        <is>
          <t>CONTRAT</t>
        </is>
      </c>
      <c r="F542" s="675" t="n">
        <v>1</v>
      </c>
      <c r="G542" s="676" t="inlineStr">
        <is>
          <t xml:space="preserve">Location de Deux unipoles LED entrée/sortie Casablanca Technopark au niveau du pont a Haubans </t>
        </is>
      </c>
      <c r="H542" s="673" t="inlineStr">
        <is>
          <t>VALIDE</t>
        </is>
      </c>
      <c r="I542" s="675" t="inlineStr">
        <is>
          <t>APPROUVE</t>
        </is>
      </c>
      <c r="J542" s="675" t="inlineStr">
        <is>
          <t>FR/KR/02/2026</t>
        </is>
      </c>
      <c r="K542" s="673" t="inlineStr">
        <is>
          <t>NON CONCERNE</t>
        </is>
      </c>
      <c r="L542" s="675" t="inlineStr">
        <is>
          <t>Ordinaire</t>
        </is>
      </c>
      <c r="M542" s="677" t="inlineStr">
        <is>
          <t>FONCTIONNEMENT</t>
        </is>
      </c>
      <c r="N542" s="678" t="inlineStr">
        <is>
          <t>Charges marketing et relations publiques</t>
        </is>
      </c>
      <c r="O542" s="679" t="n"/>
      <c r="P542" s="680" t="n"/>
      <c r="Q542" s="680" t="n"/>
      <c r="R542" s="675" t="inlineStr">
        <is>
          <t>BESOIN RECURRENT</t>
        </is>
      </c>
      <c r="S542" s="681" t="n"/>
      <c r="T542" s="682" t="n"/>
      <c r="U542" s="683" t="inlineStr">
        <is>
          <t>FC MEDIA</t>
        </is>
      </c>
      <c r="V542" s="675" t="n">
        <v>2026</v>
      </c>
      <c r="W542" s="682" t="n">
        <v>46132</v>
      </c>
      <c r="X542" s="682" t="n"/>
      <c r="Y542" s="682" t="n">
        <v>46168</v>
      </c>
      <c r="Z542" s="679" t="n">
        <v>900000</v>
      </c>
      <c r="AA542" s="680" t="n">
        <v>0</v>
      </c>
      <c r="AB542" s="680" t="n">
        <v>1080000</v>
      </c>
      <c r="AC542" s="680" t="n">
        <v>0</v>
      </c>
      <c r="AD542" s="680">
        <f>Z542</f>
        <v/>
      </c>
      <c r="AE542" s="680">
        <f>+AB542</f>
        <v/>
      </c>
      <c r="AF542" s="684" t="inlineStr">
        <is>
          <t>ENGAGE</t>
        </is>
      </c>
      <c r="AG542" s="683" t="n"/>
      <c r="AH542" s="680" t="n"/>
      <c r="AI542" s="680" t="n"/>
      <c r="AJ542" s="680" t="n"/>
      <c r="AK542" s="680" t="n"/>
      <c r="AL542" s="685" t="n"/>
      <c r="AM542" s="685" t="n"/>
      <c r="AN542" s="683" t="n"/>
    </row>
    <row r="543" ht="46.5" customHeight="1" s="392">
      <c r="A543" s="672">
        <f>IF(AF543="ENGAGE","✔",IF(AF543="EN COURS D'ENGAGEMENT","◕",IF(AF543="PREENGAGE","◑",IF(AF543="EN COURS DE PREENGAGEMENT","◔",IF(AF543="NON ENGAGE","✖","")))))</f>
        <v/>
      </c>
      <c r="B543" s="673" t="n">
        <v>2026</v>
      </c>
      <c r="C543" s="674" t="inlineStr">
        <is>
          <t>ASSADISSA</t>
        </is>
      </c>
      <c r="D543" s="674" t="inlineStr">
        <is>
          <t>PV N° : 01RE2026- DPPCCRTV</t>
        </is>
      </c>
      <c r="E543" s="675" t="inlineStr">
        <is>
          <t>CONTRAT</t>
        </is>
      </c>
      <c r="F543" s="675" t="n"/>
      <c r="G543" s="676" t="inlineStr">
        <is>
          <t>IMAD ZAOUI – Programmateur TV : conducteur quotidien, montage, coordination et suivi avec la commission technique TV</t>
        </is>
      </c>
      <c r="H543" s="673" t="inlineStr">
        <is>
          <t>VALIDE</t>
        </is>
      </c>
      <c r="I543" s="675" t="inlineStr">
        <is>
          <t>APPROUVE</t>
        </is>
      </c>
      <c r="J543" s="675" t="n"/>
      <c r="K543" s="673" t="inlineStr">
        <is>
          <t>NON CONCERNE</t>
        </is>
      </c>
      <c r="L543" s="675" t="inlineStr">
        <is>
          <t>Ordinaire</t>
        </is>
      </c>
      <c r="M543" s="677" t="inlineStr">
        <is>
          <t>FONCTIONNEMENT</t>
        </is>
      </c>
      <c r="N543" s="678" t="inlineStr">
        <is>
          <t xml:space="preserve">Prestations de service
Achat prestations de services locales - personnes physiques </t>
        </is>
      </c>
      <c r="O543" s="679" t="n"/>
      <c r="P543" s="680" t="n"/>
      <c r="Q543" s="680" t="n"/>
      <c r="R543" s="675" t="inlineStr">
        <is>
          <t>BESOIN RECURRENT</t>
        </is>
      </c>
      <c r="S543" s="681" t="n"/>
      <c r="T543" s="682" t="n"/>
      <c r="U543" s="683" t="inlineStr">
        <is>
          <t>IMAD ZAOUI</t>
        </is>
      </c>
      <c r="V543" s="675" t="n">
        <v>2026</v>
      </c>
      <c r="W543" s="682" t="n">
        <v>46082</v>
      </c>
      <c r="X543" s="682" t="n"/>
      <c r="Y543" s="682" t="n"/>
      <c r="Z543" s="679" t="n">
        <v>70000</v>
      </c>
      <c r="AA543" s="680" t="n">
        <v>0</v>
      </c>
      <c r="AB543" s="680">
        <f>Z543</f>
        <v/>
      </c>
      <c r="AC543" s="680" t="n">
        <v>0</v>
      </c>
      <c r="AD543" s="680">
        <f>Z543</f>
        <v/>
      </c>
      <c r="AE543" s="680">
        <f>Z543</f>
        <v/>
      </c>
      <c r="AF543" s="684" t="inlineStr">
        <is>
          <t>ENGAGE</t>
        </is>
      </c>
      <c r="AG543" s="683" t="n"/>
      <c r="AH543" s="680" t="n"/>
      <c r="AI543" s="680" t="n"/>
      <c r="AJ543" s="680" t="n"/>
      <c r="AK543" s="680" t="n"/>
      <c r="AL543" s="685" t="n"/>
      <c r="AM543" s="685" t="n"/>
      <c r="AN543" s="683" t="inlineStr">
        <is>
          <t>Manque n° contrat</t>
        </is>
      </c>
      <c r="AO543" s="686" t="n"/>
      <c r="AP543" s="687" t="n"/>
      <c r="AQ543" s="688" t="n"/>
      <c r="AR543" s="688" t="n"/>
      <c r="AS543" s="23" t="n"/>
      <c r="AT543" s="688" t="n"/>
    </row>
    <row r="544" ht="46.5" customHeight="1" s="392">
      <c r="A544" s="672">
        <f>IF(AF544="ENGAGE","✔",IF(AF544="EN COURS D'ENGAGEMENT","◕",IF(AF544="PREENGAGE","◑",IF(AF544="EN COURS DE PREENGAGEMENT","◔",IF(AF544="NON ENGAGE","✖","")))))</f>
        <v/>
      </c>
      <c r="B544" s="673" t="n">
        <v>2026</v>
      </c>
      <c r="C544" s="674" t="inlineStr">
        <is>
          <t>ASSADISSA</t>
        </is>
      </c>
      <c r="D544" s="674" t="inlineStr">
        <is>
          <t>PV N° : 01RE2026- DPPCCRTV</t>
        </is>
      </c>
      <c r="E544" s="675" t="inlineStr">
        <is>
          <t>CONTRAT</t>
        </is>
      </c>
      <c r="F544" s="675" t="n"/>
      <c r="G544" s="676" t="inlineStr">
        <is>
          <t>AICHA CHAFAI – Animateur RD/TV : les gestion de l’antenne RD, la couverture et le reportage RD/TV</t>
        </is>
      </c>
      <c r="H544" s="673" t="inlineStr">
        <is>
          <t>VALIDE</t>
        </is>
      </c>
      <c r="I544" s="675" t="inlineStr">
        <is>
          <t>APPROUVE</t>
        </is>
      </c>
      <c r="J544" s="675" t="n"/>
      <c r="K544" s="673" t="inlineStr">
        <is>
          <t>NON CONCERNE</t>
        </is>
      </c>
      <c r="L544" s="675" t="inlineStr">
        <is>
          <t>Ordinaire</t>
        </is>
      </c>
      <c r="M544" s="677" t="inlineStr">
        <is>
          <t>FONCTIONNEMENT</t>
        </is>
      </c>
      <c r="N544" s="678" t="inlineStr">
        <is>
          <t xml:space="preserve">Prestations de service
Achat prestations de services locales - personnes physiques </t>
        </is>
      </c>
      <c r="O544" s="679" t="n"/>
      <c r="P544" s="680" t="n"/>
      <c r="Q544" s="680" t="n"/>
      <c r="R544" s="675" t="inlineStr">
        <is>
          <t>BESOIN RECURRENT</t>
        </is>
      </c>
      <c r="S544" s="681" t="n"/>
      <c r="T544" s="682" t="n"/>
      <c r="U544" s="683" t="inlineStr">
        <is>
          <t>AICHA CHAFAI</t>
        </is>
      </c>
      <c r="V544" s="675" t="n">
        <v>2026</v>
      </c>
      <c r="W544" s="682" t="n">
        <v>46082</v>
      </c>
      <c r="X544" s="682" t="n"/>
      <c r="Y544" s="682" t="n"/>
      <c r="Z544" s="679" t="n">
        <v>80000</v>
      </c>
      <c r="AA544" s="680" t="n">
        <v>0</v>
      </c>
      <c r="AB544" s="680">
        <f>Z544</f>
        <v/>
      </c>
      <c r="AC544" s="680" t="n">
        <v>0</v>
      </c>
      <c r="AD544" s="680">
        <f>Z544</f>
        <v/>
      </c>
      <c r="AE544" s="680">
        <f>Z544</f>
        <v/>
      </c>
      <c r="AF544" s="684" t="inlineStr">
        <is>
          <t>ENGAGE</t>
        </is>
      </c>
      <c r="AG544" s="683" t="n"/>
      <c r="AH544" s="680" t="n"/>
      <c r="AI544" s="680" t="n"/>
      <c r="AJ544" s="680" t="n"/>
      <c r="AK544" s="680" t="n"/>
      <c r="AL544" s="685" t="n"/>
      <c r="AM544" s="685" t="n"/>
      <c r="AN544" s="683" t="inlineStr">
        <is>
          <t>Manque n° contrat</t>
        </is>
      </c>
      <c r="AO544" s="686" t="n"/>
      <c r="AP544" s="687" t="n"/>
      <c r="AQ544" s="688" t="n"/>
      <c r="AR544" s="688" t="n"/>
      <c r="AS544" s="23" t="n"/>
      <c r="AT544" s="688" t="n"/>
    </row>
    <row r="545" ht="46.5" customHeight="1" s="392">
      <c r="A545" s="672">
        <f>IF(AF545="ENGAGE","✔",IF(AF545="EN COURS D'ENGAGEMENT","◕",IF(AF545="PREENGAGE","◑",IF(AF545="EN COURS DE PREENGAGEMENT","◔",IF(AF545="NON ENGAGE","✖","")))))</f>
        <v/>
      </c>
      <c r="B545" s="673" t="n">
        <v>2026</v>
      </c>
      <c r="C545" s="674" t="inlineStr">
        <is>
          <t>ASSADISSA</t>
        </is>
      </c>
      <c r="D545" s="674" t="inlineStr">
        <is>
          <t>PV N° : 01RE2026- DPPCCRTV</t>
        </is>
      </c>
      <c r="E545" s="675" t="inlineStr">
        <is>
          <t>CONTRAT</t>
        </is>
      </c>
      <c r="F545" s="675" t="n"/>
      <c r="G545" s="676" t="inlineStr">
        <is>
          <t>AMINE MARZOUKI – Programmation TV (conducteur quotidien)</t>
        </is>
      </c>
      <c r="H545" s="673" t="inlineStr">
        <is>
          <t>VALIDE</t>
        </is>
      </c>
      <c r="I545" s="675" t="inlineStr">
        <is>
          <t>APPROUVE</t>
        </is>
      </c>
      <c r="J545" s="675" t="n"/>
      <c r="K545" s="673" t="inlineStr">
        <is>
          <t>NON CONCERNE</t>
        </is>
      </c>
      <c r="L545" s="675" t="inlineStr">
        <is>
          <t>Ordinaire</t>
        </is>
      </c>
      <c r="M545" s="677" t="inlineStr">
        <is>
          <t>FONCTIONNEMENT</t>
        </is>
      </c>
      <c r="N545" s="678" t="inlineStr">
        <is>
          <t xml:space="preserve">Prestations de service
Achat prestations de services locales - personnes physiques </t>
        </is>
      </c>
      <c r="O545" s="679" t="n"/>
      <c r="P545" s="680" t="n"/>
      <c r="Q545" s="680" t="n"/>
      <c r="R545" s="675" t="inlineStr">
        <is>
          <t>BESOIN RECURRENT</t>
        </is>
      </c>
      <c r="S545" s="681" t="n"/>
      <c r="T545" s="682" t="n"/>
      <c r="U545" s="683" t="inlineStr">
        <is>
          <t>AMINE MARZOUKI</t>
        </is>
      </c>
      <c r="V545" s="675" t="n">
        <v>2026</v>
      </c>
      <c r="W545" s="682" t="n">
        <v>46082</v>
      </c>
      <c r="X545" s="682" t="n"/>
      <c r="Y545" s="682" t="n"/>
      <c r="Z545" s="679" t="n">
        <v>70000</v>
      </c>
      <c r="AA545" s="680" t="n">
        <v>0</v>
      </c>
      <c r="AB545" s="680">
        <f>Z545</f>
        <v/>
      </c>
      <c r="AC545" s="680" t="n">
        <v>0</v>
      </c>
      <c r="AD545" s="680">
        <f>Z545</f>
        <v/>
      </c>
      <c r="AE545" s="680">
        <f>Z545</f>
        <v/>
      </c>
      <c r="AF545" s="684" t="inlineStr">
        <is>
          <t>ENGAGE</t>
        </is>
      </c>
      <c r="AG545" s="683" t="n"/>
      <c r="AH545" s="680" t="n"/>
      <c r="AI545" s="680" t="n"/>
      <c r="AJ545" s="680" t="n"/>
      <c r="AK545" s="680" t="n"/>
      <c r="AL545" s="685" t="n"/>
      <c r="AM545" s="685" t="n"/>
      <c r="AN545" s="683" t="inlineStr">
        <is>
          <t>Manque n° contrat</t>
        </is>
      </c>
      <c r="AO545" s="686" t="n"/>
      <c r="AP545" s="687" t="n"/>
      <c r="AQ545" s="688" t="n"/>
      <c r="AR545" s="688" t="n"/>
      <c r="AS545" s="23" t="n"/>
      <c r="AT545" s="688" t="n"/>
    </row>
    <row r="546" ht="50.55" customHeight="1" s="392">
      <c r="A546" s="672">
        <f>IF(AF546="ENGAGE","✔",IF(AF546="EN COURS D'ENGAGEMENT","◕",IF(AF546="PREENGAGE","◑",IF(AF546="EN COURS DE PREENGAGEMENT","◔",IF(AF546="NON ENGAGE","✖","")))))</f>
        <v/>
      </c>
      <c r="B546" s="673" t="n">
        <v>2026</v>
      </c>
      <c r="C546" s="674" t="inlineStr">
        <is>
          <t>ASSADISSA</t>
        </is>
      </c>
      <c r="D546" s="674" t="inlineStr">
        <is>
          <t>PV N° : 01RE2026- DPPCCRTV</t>
        </is>
      </c>
      <c r="E546" s="675" t="inlineStr">
        <is>
          <t>CONTRAT</t>
        </is>
      </c>
      <c r="F546" s="675" t="n"/>
      <c r="G546" s="676" t="inlineStr">
        <is>
          <t>YOUSSEF ESBAISS – Programmatrice TV : le montage, la coordination et le suivi avec la commission scinetiifique, l’archive STM et la coordination du portail de la chaine</t>
        </is>
      </c>
      <c r="H546" s="673" t="inlineStr">
        <is>
          <t>VALIDE</t>
        </is>
      </c>
      <c r="I546" s="675" t="inlineStr">
        <is>
          <t>APPROUVE</t>
        </is>
      </c>
      <c r="J546" s="675" t="n"/>
      <c r="K546" s="673" t="inlineStr">
        <is>
          <t>NON CONCERNE</t>
        </is>
      </c>
      <c r="L546" s="675" t="inlineStr">
        <is>
          <t>Ordinaire</t>
        </is>
      </c>
      <c r="M546" s="677" t="inlineStr">
        <is>
          <t>FONCTIONNEMENT</t>
        </is>
      </c>
      <c r="N546" s="678" t="inlineStr">
        <is>
          <t xml:space="preserve">Prestations de service
Achat prestations de services locales - personnes physiques </t>
        </is>
      </c>
      <c r="O546" s="679" t="n"/>
      <c r="P546" s="680" t="n"/>
      <c r="Q546" s="680" t="n"/>
      <c r="R546" s="675" t="inlineStr">
        <is>
          <t>BESOIN RECURRENT</t>
        </is>
      </c>
      <c r="S546" s="681" t="n"/>
      <c r="T546" s="682" t="n"/>
      <c r="U546" s="683" t="inlineStr">
        <is>
          <t>YOUSSEF ESBAISS</t>
        </is>
      </c>
      <c r="V546" s="675" t="n">
        <v>2026</v>
      </c>
      <c r="W546" s="682" t="n">
        <v>46082</v>
      </c>
      <c r="X546" s="682" t="n"/>
      <c r="Y546" s="682" t="n"/>
      <c r="Z546" s="679" t="n">
        <v>70000</v>
      </c>
      <c r="AA546" s="680" t="n">
        <v>0</v>
      </c>
      <c r="AB546" s="680">
        <f>Z546</f>
        <v/>
      </c>
      <c r="AC546" s="680" t="n">
        <v>0</v>
      </c>
      <c r="AD546" s="680">
        <f>Z546</f>
        <v/>
      </c>
      <c r="AE546" s="680">
        <f>Z546</f>
        <v/>
      </c>
      <c r="AF546" s="684" t="inlineStr">
        <is>
          <t>ENGAGE</t>
        </is>
      </c>
      <c r="AG546" s="683" t="n"/>
      <c r="AH546" s="680" t="n"/>
      <c r="AI546" s="680" t="n"/>
      <c r="AJ546" s="680" t="n"/>
      <c r="AK546" s="680" t="n"/>
      <c r="AL546" s="685" t="n"/>
      <c r="AM546" s="685" t="n"/>
      <c r="AN546" s="683" t="inlineStr">
        <is>
          <t>Manque n° contrat</t>
        </is>
      </c>
      <c r="AO546" s="686" t="n"/>
      <c r="AP546" s="687" t="n"/>
      <c r="AQ546" s="688" t="n"/>
      <c r="AR546" s="688" t="n"/>
      <c r="AS546" s="23" t="n"/>
      <c r="AT546" s="688" t="n"/>
    </row>
    <row r="547" ht="35.7" customHeight="1" s="392">
      <c r="A547" s="672">
        <f>IF(AF547="ENGAGE","✔",IF(AF547="EN COURS D'ENGAGEMENT","◕",IF(AF547="PREENGAGE","◑",IF(AF547="EN COURS DE PREENGAGEMENT","◔",IF(AF547="NON ENGAGE","✖","")))))</f>
        <v/>
      </c>
      <c r="B547" s="673" t="n">
        <v>2026</v>
      </c>
      <c r="C547" s="674" t="inlineStr">
        <is>
          <t>DPMG</t>
        </is>
      </c>
      <c r="D547" s="674" t="inlineStr">
        <is>
          <t>61AOM/SNRT</t>
        </is>
      </c>
      <c r="E547" s="675" t="inlineStr">
        <is>
          <t>AOO-M</t>
        </is>
      </c>
      <c r="F547" s="675" t="n"/>
      <c r="G547" s="676" t="inlineStr">
        <is>
          <t>Maintenance et entretien des appareils de climatisation (Pièce et main d’œuvre) : Rabat et Casablanca</t>
        </is>
      </c>
      <c r="H547" s="673" t="inlineStr">
        <is>
          <t>VALIDE</t>
        </is>
      </c>
      <c r="I547" s="675" t="inlineStr">
        <is>
          <t>PHASE AOO</t>
        </is>
      </c>
      <c r="J547" s="675" t="n"/>
      <c r="K547" s="673" t="inlineStr">
        <is>
          <t>PME</t>
        </is>
      </c>
      <c r="L547" s="675" t="inlineStr">
        <is>
          <t>Ordinaire</t>
        </is>
      </c>
      <c r="M547" s="677" t="inlineStr">
        <is>
          <t>FONCTIONNEMENT</t>
        </is>
      </c>
      <c r="N547" s="678" t="inlineStr">
        <is>
          <t>Entretien, réparation et assurance</t>
        </is>
      </c>
      <c r="O547" s="679">
        <f>P547*1.2</f>
        <v/>
      </c>
      <c r="P547" s="680" t="n">
        <v>500580</v>
      </c>
      <c r="Q547" s="680">
        <f>P547/1.2</f>
        <v/>
      </c>
      <c r="R547" s="675" t="inlineStr">
        <is>
          <t>BESOIN RECURRENT</t>
        </is>
      </c>
      <c r="S547" s="681" t="n"/>
      <c r="T547" s="682" t="n"/>
      <c r="U547" s="683" t="n"/>
      <c r="V547" s="675" t="n"/>
      <c r="W547" s="682" t="n">
        <v>46213</v>
      </c>
      <c r="X547" s="682" t="n"/>
      <c r="Y547" s="682" t="n"/>
      <c r="Z547" s="679" t="n"/>
      <c r="AA547" s="680" t="n"/>
      <c r="AB547" s="680" t="n"/>
      <c r="AC547" s="680" t="n"/>
      <c r="AD547" s="680" t="n"/>
      <c r="AE547" s="680" t="n"/>
      <c r="AF547" s="684" t="inlineStr">
        <is>
          <t>PREENGAGE</t>
        </is>
      </c>
      <c r="AG547" s="683" t="n"/>
      <c r="AH547" s="680" t="n"/>
      <c r="AI547" s="680" t="n"/>
      <c r="AJ547" s="680" t="n"/>
      <c r="AK547" s="680" t="n"/>
      <c r="AL547" s="685" t="n"/>
      <c r="AM547" s="685" t="n"/>
      <c r="AN547" s="683" t="inlineStr">
        <is>
          <t xml:space="preserve">N° AO et DATE VALIDATION </t>
        </is>
      </c>
      <c r="AO547" s="686" t="n"/>
      <c r="AP547" s="687" t="n"/>
      <c r="AQ547" s="688" t="n"/>
      <c r="AR547" s="688" t="n"/>
      <c r="AS547" s="23" t="n"/>
      <c r="AT547" s="688" t="n"/>
    </row>
    <row r="548" ht="32" customHeight="1" s="392">
      <c r="A548" s="672">
        <f>IF(AF548="ENGAGE","✔",IF(AF548="EN COURS D'ENGAGEMENT","◕",IF(AF548="PREENGAGE","◑",IF(AF548="EN COURS DE PREENGAGEMENT","◔",IF(AF548="NON ENGAGE","✖","")))))</f>
        <v/>
      </c>
      <c r="B548" s="673" t="n">
        <v>2026</v>
      </c>
      <c r="C548" s="674" t="inlineStr">
        <is>
          <t>TDF -SITES</t>
        </is>
      </c>
      <c r="D548" s="674" t="inlineStr">
        <is>
          <t>31 AOM/SNRT</t>
        </is>
      </c>
      <c r="E548" s="675" t="inlineStr">
        <is>
          <t>AOO-M</t>
        </is>
      </c>
      <c r="F548" s="675" t="n"/>
      <c r="G548" s="676" t="inlineStr">
        <is>
          <t>Fourniture de commutateurs de flux transport stream</t>
        </is>
      </c>
      <c r="H548" s="673" t="inlineStr">
        <is>
          <t>VALIDE</t>
        </is>
      </c>
      <c r="I548" s="675" t="inlineStr">
        <is>
          <t>ATTRIBUE</t>
        </is>
      </c>
      <c r="J548" s="693" t="n"/>
      <c r="K548" s="673" t="inlineStr">
        <is>
          <t>GENERAL</t>
        </is>
      </c>
      <c r="L548" s="675" t="inlineStr">
        <is>
          <t>REPORT BUDGET ANNEE ANTERIEURE</t>
        </is>
      </c>
      <c r="M548" s="677" t="inlineStr">
        <is>
          <t>INVESTISSEMENT</t>
        </is>
      </c>
      <c r="N548" s="678" t="inlineStr">
        <is>
          <t>Équipements de télédiffusion</t>
        </is>
      </c>
      <c r="O548" s="679">
        <f>P548*1.2</f>
        <v/>
      </c>
      <c r="P548" s="680" t="n">
        <v>1785000</v>
      </c>
      <c r="Q548" s="680">
        <f>P548/1.2</f>
        <v/>
      </c>
      <c r="R548" s="675" t="inlineStr">
        <is>
          <t>NOUVEAU BESOIN</t>
        </is>
      </c>
      <c r="S548" s="681" t="n"/>
      <c r="T548" s="682" t="n"/>
      <c r="U548" s="683" t="inlineStr">
        <is>
          <t>INTRATEL</t>
        </is>
      </c>
      <c r="V548" s="675" t="n"/>
      <c r="W548" s="682" t="n">
        <v>46136</v>
      </c>
      <c r="X548" s="682" t="n">
        <v>46142</v>
      </c>
      <c r="Y548" s="682" t="n">
        <v>46258</v>
      </c>
      <c r="Z548" s="679" t="n"/>
      <c r="AA548" s="680" t="n">
        <v>0</v>
      </c>
      <c r="AB548" s="680" t="n">
        <v>2135520</v>
      </c>
      <c r="AC548" s="680" t="n">
        <v>0</v>
      </c>
      <c r="AD548" s="680">
        <f>Engagements2026Juillet[[#This Row],[MONTANT MARCHE TTC  PART EN MAD]]/1.2</f>
        <v/>
      </c>
      <c r="AE548" s="680">
        <f>Engagements2026Juillet[[#This Row],[MONTANT MARCHE TTC  PART EN MAD]]</f>
        <v/>
      </c>
      <c r="AF548" s="684" t="inlineStr">
        <is>
          <t>ENGAGE</t>
        </is>
      </c>
      <c r="AG548" s="683" t="n"/>
      <c r="AH548" s="680" t="n"/>
      <c r="AI548" s="680" t="n"/>
      <c r="AJ548" s="680" t="n"/>
      <c r="AK548" s="680" t="n"/>
      <c r="AL548" s="685" t="n"/>
      <c r="AM548" s="685" t="n"/>
      <c r="AN548" s="683" t="n"/>
      <c r="AO548" s="686" t="n"/>
      <c r="AP548" s="687" t="n"/>
      <c r="AQ548" s="688" t="n"/>
      <c r="AR548" s="688" t="n"/>
      <c r="AS548" s="23" t="n"/>
      <c r="AT548" s="688" t="n"/>
    </row>
    <row r="549" ht="50.55" customHeight="1" s="392">
      <c r="A549" s="672">
        <f>IF(AF549="ENGAGE","✔",IF(AF549="EN COURS D'ENGAGEMENT","◕",IF(AF549="PREENGAGE","◑",IF(AF549="EN COURS DE PREENGAGEMENT","◔",IF(AF549="NON ENGAGE","✖","")))))</f>
        <v/>
      </c>
      <c r="B549" s="673" t="n">
        <v>2026</v>
      </c>
      <c r="C549" s="674" t="inlineStr">
        <is>
          <t>DCRI</t>
        </is>
      </c>
      <c r="D549" s="674" t="inlineStr">
        <is>
          <t>Consultation N° 08CT/SNRT/2026</t>
        </is>
      </c>
      <c r="E549" s="675" t="inlineStr">
        <is>
          <t>CONTRAT</t>
        </is>
      </c>
      <c r="F549" s="675" t="n"/>
      <c r="G549" s="676" t="inlineStr">
        <is>
          <t>Agencement d’un stand de 66 M2 au Salon International de l’Édition et du livre (SIEL) ainsi que l’organisation de 05 récéptions pour 40 personnes</t>
        </is>
      </c>
      <c r="H549" s="673" t="inlineStr">
        <is>
          <t>VALIDE</t>
        </is>
      </c>
      <c r="I549" s="675" t="inlineStr">
        <is>
          <t>APPROUVE</t>
        </is>
      </c>
      <c r="J549" s="675" t="inlineStr">
        <is>
          <t>394 CT/SNRT/2026</t>
        </is>
      </c>
      <c r="K549" s="673" t="inlineStr">
        <is>
          <t>NON CONCERNE</t>
        </is>
      </c>
      <c r="L549" s="675" t="inlineStr">
        <is>
          <t>Ordinaire</t>
        </is>
      </c>
      <c r="M549" s="677" t="inlineStr">
        <is>
          <t>FONCTIONNEMENT</t>
        </is>
      </c>
      <c r="N549" s="678" t="inlineStr">
        <is>
          <t>Charges marketing et relations publiques</t>
        </is>
      </c>
      <c r="O549" s="679" t="n"/>
      <c r="P549" s="680" t="n"/>
      <c r="Q549" s="680" t="n"/>
      <c r="R549" s="675" t="inlineStr">
        <is>
          <t>BESOIN RECURRENT</t>
        </is>
      </c>
      <c r="S549" s="681" t="n"/>
      <c r="T549" s="682" t="n"/>
      <c r="U549" s="683" t="inlineStr">
        <is>
          <t>KI VISION</t>
        </is>
      </c>
      <c r="V549" s="675" t="n"/>
      <c r="W549" s="682" t="n">
        <v>46135</v>
      </c>
      <c r="X549" s="682" t="n"/>
      <c r="Y549" s="682" t="n">
        <v>46135</v>
      </c>
      <c r="Z549" s="679" t="n">
        <v>265200</v>
      </c>
      <c r="AA549" s="680" t="n">
        <v>0</v>
      </c>
      <c r="AB549" s="680" t="n">
        <v>318240</v>
      </c>
      <c r="AC549" s="680" t="n">
        <v>0</v>
      </c>
      <c r="AD549" s="680">
        <f>Z549</f>
        <v/>
      </c>
      <c r="AE549" s="680">
        <f>AB549</f>
        <v/>
      </c>
      <c r="AF549" s="684" t="inlineStr">
        <is>
          <t>ENGAGE</t>
        </is>
      </c>
      <c r="AG549" s="683" t="n"/>
      <c r="AH549" s="680" t="n"/>
      <c r="AI549" s="680" t="n"/>
      <c r="AJ549" s="680" t="n"/>
      <c r="AK549" s="680" t="n"/>
      <c r="AL549" s="685" t="n"/>
      <c r="AM549" s="685" t="n"/>
      <c r="AN549" s="683" t="inlineStr">
        <is>
          <t>R.A.S</t>
        </is>
      </c>
      <c r="AO549" s="686" t="n"/>
      <c r="AP549" s="687" t="n"/>
      <c r="AQ549" s="688" t="n"/>
      <c r="AR549" s="688" t="n"/>
      <c r="AS549" s="23" t="n"/>
      <c r="AT549" s="688" t="n"/>
    </row>
    <row r="550" ht="50.55" customHeight="1" s="392">
      <c r="A550" s="672">
        <f>IF(AF550="ENGAGE","✔",IF(AF550="EN COURS D'ENGAGEMENT","◕",IF(AF550="PREENGAGE","◑",IF(AF550="EN COURS DE PREENGAGEMENT","◔",IF(AF550="NON ENGAGE","✖","")))))</f>
        <v/>
      </c>
      <c r="B550" s="673" t="n">
        <v>2026</v>
      </c>
      <c r="C550" s="674" t="inlineStr">
        <is>
          <t>TDF-EXP&amp;MAIN</t>
        </is>
      </c>
      <c r="D550" s="674" t="inlineStr">
        <is>
          <t>32 AOM/SNRT</t>
        </is>
      </c>
      <c r="E550" s="675" t="inlineStr">
        <is>
          <t>AOO-M</t>
        </is>
      </c>
      <c r="F550" s="675" t="n">
        <v>1</v>
      </c>
      <c r="G550" s="676" t="inlineStr">
        <is>
          <t>Acquisition de matériel technique et informatique pour l’extension de l’outil digital de gestion des ressources techniques et humaines de l’exploitation et de la maintenance</t>
        </is>
      </c>
      <c r="H550" s="673" t="inlineStr">
        <is>
          <t>INFRUCTUEUX</t>
        </is>
      </c>
      <c r="I550" s="675" t="inlineStr">
        <is>
          <t>INFRUCTUEUX</t>
        </is>
      </c>
      <c r="J550" s="675" t="n"/>
      <c r="K550" s="673" t="inlineStr">
        <is>
          <t>GENERAL</t>
        </is>
      </c>
      <c r="L550" s="675" t="inlineStr">
        <is>
          <t>REPORT BUDGET ANNEE ANTERIEURE</t>
        </is>
      </c>
      <c r="M550" s="677" t="inlineStr">
        <is>
          <t>INVESTISSEMENT</t>
        </is>
      </c>
      <c r="N550" s="678" t="inlineStr">
        <is>
          <t>Équipements de télédiffusion</t>
        </is>
      </c>
      <c r="O550" s="679">
        <f>P550*1.2</f>
        <v/>
      </c>
      <c r="P550" s="680" t="n">
        <v>540000</v>
      </c>
      <c r="Q550" s="680">
        <f>P550/1.2</f>
        <v/>
      </c>
      <c r="R550" s="675" t="inlineStr">
        <is>
          <t>NOUVEAU BESOIN</t>
        </is>
      </c>
      <c r="S550" s="681" t="n"/>
      <c r="T550" s="682" t="n"/>
      <c r="U550" s="683" t="n"/>
      <c r="V550" s="675" t="n"/>
      <c r="W550" s="682" t="n">
        <v>46080</v>
      </c>
      <c r="X550" s="682" t="n">
        <v>46084</v>
      </c>
      <c r="Y550" s="682" t="inlineStr">
        <is>
          <t>-</t>
        </is>
      </c>
      <c r="Z550" s="679" t="n">
        <v>0</v>
      </c>
      <c r="AA550" s="680" t="n">
        <v>0</v>
      </c>
      <c r="AB550" s="680" t="n">
        <v>0</v>
      </c>
      <c r="AC550" s="680" t="n">
        <v>0</v>
      </c>
      <c r="AD550" s="680" t="n">
        <v>0</v>
      </c>
      <c r="AE550" s="680" t="n">
        <v>0</v>
      </c>
      <c r="AF550" s="684" t="inlineStr">
        <is>
          <t>NON ENGAGE</t>
        </is>
      </c>
      <c r="AG550" s="683" t="n"/>
      <c r="AH550" s="680" t="n"/>
      <c r="AI550" s="680" t="n"/>
      <c r="AJ550" s="680" t="n"/>
      <c r="AK550" s="680" t="n"/>
      <c r="AL550" s="685" t="n"/>
      <c r="AM550" s="685" t="n"/>
      <c r="AN550" s="683" t="inlineStr">
        <is>
          <t>Publié le 19/03/2026</t>
        </is>
      </c>
    </row>
    <row r="551" ht="50.55" customHeight="1" s="392">
      <c r="A551" s="672">
        <f>IF(AF551="ENGAGE","✔",IF(AF551="EN COURS D'ENGAGEMENT","◕",IF(AF551="PREENGAGE","◑",IF(AF551="EN COURS DE PREENGAGEMENT","◔",IF(AF551="NON ENGAGE","✖","")))))</f>
        <v/>
      </c>
      <c r="B551" s="673" t="n">
        <v>2026</v>
      </c>
      <c r="C551" s="674" t="inlineStr">
        <is>
          <t>DTSI</t>
        </is>
      </c>
      <c r="D551" s="674" t="inlineStr">
        <is>
          <t>33 AOM/SNRT</t>
        </is>
      </c>
      <c r="E551" s="675" t="inlineStr">
        <is>
          <t>AOO-M</t>
        </is>
      </c>
      <c r="F551" s="675" t="n">
        <v>1</v>
      </c>
      <c r="G551" s="676" t="inlineStr">
        <is>
          <t>La fourniture et la mise en service de serveurs haute performance destinés aux applications d’intelligence artificielle et d’apprentissage automatique pour les besoins de la SNRT</t>
        </is>
      </c>
      <c r="H551" s="673" t="inlineStr">
        <is>
          <t>INFRUCTUEUX</t>
        </is>
      </c>
      <c r="I551" s="675" t="inlineStr">
        <is>
          <t>INFRUCTUEUX</t>
        </is>
      </c>
      <c r="J551" s="675" t="n"/>
      <c r="K551" s="673" t="inlineStr">
        <is>
          <t>GENERAL</t>
        </is>
      </c>
      <c r="L551" s="675" t="inlineStr">
        <is>
          <t>Ordinaire</t>
        </is>
      </c>
      <c r="M551" s="677" t="inlineStr">
        <is>
          <t>INVESTISSEMENT</t>
        </is>
      </c>
      <c r="N551" s="678" t="inlineStr">
        <is>
          <t>Matériel informatiques</t>
        </is>
      </c>
      <c r="O551" s="679">
        <f>P551*1.2</f>
        <v/>
      </c>
      <c r="P551" s="680" t="n">
        <v>1906704</v>
      </c>
      <c r="Q551" s="680">
        <f>P551/1.2</f>
        <v/>
      </c>
      <c r="R551" s="675" t="inlineStr">
        <is>
          <t>NOUVEAU BESOIN</t>
        </is>
      </c>
      <c r="S551" s="681" t="n"/>
      <c r="T551" s="682" t="n"/>
      <c r="U551" s="683" t="n"/>
      <c r="V551" s="675" t="n"/>
      <c r="W551" s="682" t="n">
        <v>46140</v>
      </c>
      <c r="X551" s="682" t="n">
        <v>46142</v>
      </c>
      <c r="Y551" s="682" t="inlineStr">
        <is>
          <t>-</t>
        </is>
      </c>
      <c r="Z551" s="679" t="n">
        <v>0</v>
      </c>
      <c r="AA551" s="680" t="n">
        <v>0</v>
      </c>
      <c r="AB551" s="680" t="n">
        <v>0</v>
      </c>
      <c r="AC551" s="680" t="n">
        <v>0</v>
      </c>
      <c r="AD551" s="680" t="n">
        <v>0</v>
      </c>
      <c r="AE551" s="680" t="n">
        <v>0</v>
      </c>
      <c r="AF551" s="684" t="inlineStr">
        <is>
          <t>NON ENGAGE</t>
        </is>
      </c>
      <c r="AG551" s="683" t="n"/>
      <c r="AH551" s="680" t="n"/>
      <c r="AI551" s="680" t="n"/>
      <c r="AJ551" s="680" t="n"/>
      <c r="AK551" s="680" t="n"/>
      <c r="AL551" s="685" t="n"/>
      <c r="AM551" s="685" t="n"/>
      <c r="AN551" s="683" t="inlineStr">
        <is>
          <t>Suite annuléation AO 15</t>
        </is>
      </c>
    </row>
    <row r="552" ht="50.55" customHeight="1" s="392">
      <c r="A552" s="672">
        <f>IF(AF552="ENGAGE","✔",IF(AF552="EN COURS D'ENGAGEMENT","◕",IF(AF552="PREENGAGE","◑",IF(AF552="EN COURS DE PREENGAGEMENT","◔",IF(AF552="NON ENGAGE","✖","")))))</f>
        <v/>
      </c>
      <c r="B552" s="673" t="n">
        <v>2026</v>
      </c>
      <c r="C552" s="674" t="inlineStr">
        <is>
          <t>DTSI</t>
        </is>
      </c>
      <c r="D552" s="674" t="inlineStr">
        <is>
          <t>34 AOM/SNRT</t>
        </is>
      </c>
      <c r="E552" s="675" t="inlineStr">
        <is>
          <t>AOO-M</t>
        </is>
      </c>
      <c r="F552" s="675" t="n">
        <v>1</v>
      </c>
      <c r="G552" s="676" t="inlineStr">
        <is>
          <t>Souscription à des abonnements annuels de licences de logiciels de création de contenu et outils basés sur l’intelligence artificielle au profit de la DCRPSD</t>
        </is>
      </c>
      <c r="H552" s="673" t="inlineStr">
        <is>
          <t>VALIDE</t>
        </is>
      </c>
      <c r="I552" s="675" t="inlineStr">
        <is>
          <t>ATTRIBUE</t>
        </is>
      </c>
      <c r="J552" s="693" t="n"/>
      <c r="K552" s="673" t="inlineStr">
        <is>
          <t>PME</t>
        </is>
      </c>
      <c r="L552" s="675" t="inlineStr">
        <is>
          <t>Ordinaire</t>
        </is>
      </c>
      <c r="M552" s="677" t="inlineStr">
        <is>
          <t>FONCTIONNEMENT</t>
        </is>
      </c>
      <c r="N552" s="678" t="inlineStr">
        <is>
          <t>Redevances et cotisations</t>
        </is>
      </c>
      <c r="O552" s="679">
        <f>P552*1.2</f>
        <v/>
      </c>
      <c r="P552" s="680" t="n">
        <v>100620</v>
      </c>
      <c r="Q552" s="680">
        <f>P552/1.2</f>
        <v/>
      </c>
      <c r="R552" s="675" t="inlineStr">
        <is>
          <t>BESOIN RECURRENT</t>
        </is>
      </c>
      <c r="S552" s="681" t="n"/>
      <c r="T552" s="682" t="n"/>
      <c r="U552" s="683" t="inlineStr">
        <is>
          <t>WARNA</t>
        </is>
      </c>
      <c r="V552" s="675" t="n"/>
      <c r="W552" s="682" t="n">
        <v>46140</v>
      </c>
      <c r="X552" s="682" t="n">
        <v>46141</v>
      </c>
      <c r="Y552" s="682" t="n"/>
      <c r="Z552" s="679" t="n"/>
      <c r="AA552" s="680" t="n"/>
      <c r="AB552" s="680" t="n">
        <v>119737.08</v>
      </c>
      <c r="AC552" s="680" t="n"/>
      <c r="AD552" s="680">
        <f>Engagements2026Juillet[[#This Row],[TOTAL MARCHE TTC TOTAL ENGAGE TTC]]/1.2</f>
        <v/>
      </c>
      <c r="AE552" s="680" t="n">
        <v>119737.08</v>
      </c>
      <c r="AF552" s="684" t="inlineStr">
        <is>
          <t>ENGAGE</t>
        </is>
      </c>
      <c r="AG552" s="683" t="n"/>
      <c r="AH552" s="680" t="n"/>
      <c r="AI552" s="680" t="n"/>
      <c r="AJ552" s="680" t="n"/>
      <c r="AK552" s="680" t="n"/>
      <c r="AL552" s="685" t="n"/>
      <c r="AM552" s="685" t="n"/>
      <c r="AN552" s="683" t="inlineStr">
        <is>
          <t>R.A.S</t>
        </is>
      </c>
    </row>
    <row r="553" ht="46.5" customHeight="1" s="392">
      <c r="A553" s="672">
        <f>IF(AF553="ENGAGE","✔",IF(AF553="EN COURS D'ENGAGEMENT","◕",IF(AF553="PREENGAGE","◑",IF(AF553="EN COURS DE PREENGAGEMENT","◔",IF(AF553="NON ENGAGE","✖","")))))</f>
        <v/>
      </c>
      <c r="B553" s="673" t="n">
        <v>2026</v>
      </c>
      <c r="C553" s="674" t="inlineStr">
        <is>
          <t>ARRIYADIA</t>
        </is>
      </c>
      <c r="D553" s="674" t="inlineStr">
        <is>
          <t>01RE2026-DCCCA</t>
        </is>
      </c>
      <c r="E553" s="675" t="inlineStr">
        <is>
          <t>CONTRAT</t>
        </is>
      </c>
      <c r="F553" s="675" t="n">
        <v>1</v>
      </c>
      <c r="G553" s="676" t="inlineStr">
        <is>
          <t>SAMIR BENCHEKROUN – CONSULTANT EN MATCHS DE FOOTBALL</t>
        </is>
      </c>
      <c r="H553" s="673" t="inlineStr">
        <is>
          <t>VALIDE</t>
        </is>
      </c>
      <c r="I553" s="675" t="inlineStr">
        <is>
          <t>APPROUVE</t>
        </is>
      </c>
      <c r="J553" s="675" t="n"/>
      <c r="K553" s="673" t="inlineStr">
        <is>
          <t>NON CONCERNE</t>
        </is>
      </c>
      <c r="L553" s="675" t="inlineStr">
        <is>
          <t>Ordinaire</t>
        </is>
      </c>
      <c r="M553" s="677" t="inlineStr">
        <is>
          <t>FONCTIONNEMENT</t>
        </is>
      </c>
      <c r="N553" s="678" t="inlineStr">
        <is>
          <t xml:space="preserve">Prestations de service
Achat prestations de services locales - personnes physiques </t>
        </is>
      </c>
      <c r="O553" s="679" t="n"/>
      <c r="P553" s="680" t="n"/>
      <c r="Q553" s="680" t="n"/>
      <c r="R553" s="675" t="inlineStr">
        <is>
          <t>NOUVEAU BESOIN</t>
        </is>
      </c>
      <c r="S553" s="681" t="n"/>
      <c r="T553" s="682" t="n"/>
      <c r="U553" s="683" t="inlineStr">
        <is>
          <t>SAMIR BENCHEKROUN</t>
        </is>
      </c>
      <c r="V553" s="675" t="n">
        <v>2026</v>
      </c>
      <c r="W553" s="682" t="n">
        <v>46087</v>
      </c>
      <c r="X553" s="682" t="n"/>
      <c r="Y553" s="682" t="n">
        <v>46087</v>
      </c>
      <c r="Z553" s="679" t="n">
        <v>150000</v>
      </c>
      <c r="AA553" s="680" t="n">
        <v>0</v>
      </c>
      <c r="AB553" s="680" t="n">
        <v>150000</v>
      </c>
      <c r="AC553" s="680" t="n">
        <v>0</v>
      </c>
      <c r="AD553" s="680" t="n">
        <v>150000</v>
      </c>
      <c r="AE553" s="680" t="n">
        <v>150000</v>
      </c>
      <c r="AF553" s="684" t="inlineStr">
        <is>
          <t>ENGAGE</t>
        </is>
      </c>
      <c r="AG553" s="683" t="n"/>
      <c r="AH553" s="680" t="n"/>
      <c r="AI553" s="680" t="n"/>
      <c r="AJ553" s="680" t="n"/>
      <c r="AK553" s="680" t="n"/>
      <c r="AL553" s="685" t="n"/>
      <c r="AM553" s="685" t="n"/>
      <c r="AN553" s="683" t="inlineStr">
        <is>
          <t>R.A.S</t>
        </is>
      </c>
    </row>
    <row r="554" ht="46.5" customHeight="1" s="392">
      <c r="A554" s="672">
        <f>IF(AF554="ENGAGE","✔",IF(AF554="EN COURS D'ENGAGEMENT","◕",IF(AF554="PREENGAGE","◑",IF(AF554="EN COURS DE PREENGAGEMENT","◔",IF(AF554="NON ENGAGE","✖","")))))</f>
        <v/>
      </c>
      <c r="B554" s="673" t="n">
        <v>2026</v>
      </c>
      <c r="C554" s="674" t="inlineStr">
        <is>
          <t>TAMAZIGHT</t>
        </is>
      </c>
      <c r="D554" s="674" t="inlineStr">
        <is>
          <t>01RE2026-DCPCART</t>
        </is>
      </c>
      <c r="E554" s="675" t="inlineStr">
        <is>
          <t>CONTRAT</t>
        </is>
      </c>
      <c r="F554" s="675" t="n">
        <v>1</v>
      </c>
      <c r="G554" s="676" t="inlineStr">
        <is>
          <t>SAIDA EL ALAOUI – JOURNALISTE</t>
        </is>
      </c>
      <c r="H554" s="673" t="inlineStr">
        <is>
          <t>VALIDE</t>
        </is>
      </c>
      <c r="I554" s="675" t="inlineStr">
        <is>
          <t>APPROUVE</t>
        </is>
      </c>
      <c r="J554" s="675" t="n"/>
      <c r="K554" s="673" t="inlineStr">
        <is>
          <t>NON CONCERNE</t>
        </is>
      </c>
      <c r="L554" s="675" t="inlineStr">
        <is>
          <t>Ordinaire</t>
        </is>
      </c>
      <c r="M554" s="677" t="inlineStr">
        <is>
          <t>FONCTIONNEMENT</t>
        </is>
      </c>
      <c r="N554" s="678" t="inlineStr">
        <is>
          <t xml:space="preserve">Prestations de service
Achat prestations de services locales - personnes physiques </t>
        </is>
      </c>
      <c r="O554" s="679" t="n"/>
      <c r="P554" s="680" t="n"/>
      <c r="Q554" s="680" t="n"/>
      <c r="R554" s="675" t="n"/>
      <c r="S554" s="681" t="n"/>
      <c r="T554" s="682" t="n"/>
      <c r="U554" s="683" t="inlineStr">
        <is>
          <t>SAIDA EL ALAOUI</t>
        </is>
      </c>
      <c r="V554" s="675" t="n"/>
      <c r="W554" s="682" t="n">
        <v>46146</v>
      </c>
      <c r="X554" s="682" t="n">
        <v>46142</v>
      </c>
      <c r="Y554" s="682" t="n"/>
      <c r="Z554" s="679" t="n"/>
      <c r="AA554" s="680" t="n"/>
      <c r="AB554" s="680" t="n"/>
      <c r="AC554" s="680" t="n"/>
      <c r="AD554" s="680" t="n"/>
      <c r="AE554" s="680" t="n">
        <v>64000</v>
      </c>
      <c r="AF554" s="684" t="inlineStr">
        <is>
          <t>ENGAGE</t>
        </is>
      </c>
      <c r="AG554" s="683" t="n"/>
      <c r="AH554" s="680" t="n"/>
      <c r="AI554" s="680" t="n"/>
      <c r="AJ554" s="680" t="n"/>
      <c r="AK554" s="680" t="n"/>
      <c r="AL554" s="685" t="n"/>
      <c r="AM554" s="685" t="n"/>
      <c r="AN554" s="683" t="inlineStr">
        <is>
          <t>R.A.S</t>
        </is>
      </c>
    </row>
    <row r="555" ht="50.55" customHeight="1" s="392">
      <c r="A555" s="672">
        <f>IF(AF555="ENGAGE","✔",IF(AF555="EN COURS D'ENGAGEMENT","◕",IF(AF555="PREENGAGE","◑",IF(AF555="EN COURS DE PREENGAGEMENT","◔",IF(AF555="NON ENGAGE","✖","")))))</f>
        <v/>
      </c>
      <c r="B555" s="673" t="n">
        <v>2026</v>
      </c>
      <c r="C555" s="674" t="inlineStr">
        <is>
          <t>DCPA</t>
        </is>
      </c>
      <c r="D555" s="674" t="inlineStr">
        <is>
          <t>EXCLUSIVITÉ</t>
        </is>
      </c>
      <c r="E555" s="675" t="inlineStr">
        <is>
          <t>CONTRAT</t>
        </is>
      </c>
      <c r="F555" s="675" t="n">
        <v>1</v>
      </c>
      <c r="G555" s="676" t="inlineStr">
        <is>
          <t>Cession des droits de diffusion des actualités et la couverture télévisée de la 14éme édition du Festival International du Film de Dakhla,  qui se tiendra du 06 au 12 Juin 2026,</t>
        </is>
      </c>
      <c r="H555" s="673" t="inlineStr">
        <is>
          <t>VALIDE</t>
        </is>
      </c>
      <c r="I555" s="675" t="inlineStr">
        <is>
          <t>APPROUVE</t>
        </is>
      </c>
      <c r="J555" s="675" t="inlineStr">
        <is>
          <t>398 CT/SNRT/2026</t>
        </is>
      </c>
      <c r="K555" s="673" t="inlineStr">
        <is>
          <t>NON CONCERNE</t>
        </is>
      </c>
      <c r="L555" s="675" t="inlineStr">
        <is>
          <t>Ordinaire</t>
        </is>
      </c>
      <c r="M555" s="677" t="inlineStr">
        <is>
          <t>FONCTIONNEMENT</t>
        </is>
      </c>
      <c r="N555" s="678" t="inlineStr">
        <is>
          <t>Achats de droits 
Achats des droits de captation</t>
        </is>
      </c>
      <c r="O555" s="679" t="n"/>
      <c r="P555" s="680" t="n"/>
      <c r="Q555" s="680" t="n"/>
      <c r="R555" s="675" t="inlineStr">
        <is>
          <t>NOUVEAU BESOIN</t>
        </is>
      </c>
      <c r="S555" s="681" t="n"/>
      <c r="T555" s="682" t="n"/>
      <c r="U555" s="683" t="inlineStr">
        <is>
          <t>ASSOCIATION D'ANIMATION CULTURELLE ET ARTISTIQUE DES PROVINCES DU SUD</t>
        </is>
      </c>
      <c r="V555" s="675" t="n">
        <v>2026</v>
      </c>
      <c r="W555" s="682" t="n">
        <v>46146</v>
      </c>
      <c r="X555" s="682" t="n"/>
      <c r="Y555" s="682" t="n">
        <v>46153</v>
      </c>
      <c r="Z555" s="679">
        <f>AB555</f>
        <v/>
      </c>
      <c r="AA555" s="680" t="n">
        <v>0</v>
      </c>
      <c r="AB555" s="680">
        <f>AD555</f>
        <v/>
      </c>
      <c r="AC555" s="680" t="n">
        <v>0</v>
      </c>
      <c r="AD555" s="680">
        <f>AE555</f>
        <v/>
      </c>
      <c r="AE555" s="680" t="n">
        <v>200000</v>
      </c>
      <c r="AF555" s="684" t="inlineStr">
        <is>
          <t>ENGAGE</t>
        </is>
      </c>
      <c r="AG555" s="683" t="n"/>
      <c r="AH555" s="680" t="n"/>
      <c r="AI555" s="680" t="n"/>
      <c r="AJ555" s="680" t="n"/>
      <c r="AK555" s="680" t="n"/>
      <c r="AL555" s="685" t="n"/>
      <c r="AM555" s="685" t="n"/>
      <c r="AN555" s="683" t="inlineStr">
        <is>
          <t>R.A.S</t>
        </is>
      </c>
    </row>
    <row r="556" ht="50.55" customHeight="1" s="392">
      <c r="A556" s="672">
        <f>IF(AF556="ENGAGE","✔",IF(AF556="EN COURS D'ENGAGEMENT","◕",IF(AF556="PREENGAGE","◑",IF(AF556="EN COURS DE PREENGAGEMENT","◔",IF(AF556="NON ENGAGE","✖","")))))</f>
        <v/>
      </c>
      <c r="B556" s="673" t="n">
        <v>2026</v>
      </c>
      <c r="C556" s="674" t="inlineStr">
        <is>
          <t>DTSI</t>
        </is>
      </c>
      <c r="D556" s="674" t="n"/>
      <c r="E556" s="675" t="inlineStr">
        <is>
          <t>BCL</t>
        </is>
      </c>
      <c r="F556" s="675" t="n">
        <v>1</v>
      </c>
      <c r="G556" s="676" t="inlineStr">
        <is>
          <t>Fourniture et mise en service de systèmes de commande sans fils pour optique de caméra pour les besoins des unités mobiles de la SNRT</t>
        </is>
      </c>
      <c r="H556" s="673" t="inlineStr">
        <is>
          <t>VALIDE</t>
        </is>
      </c>
      <c r="I556" s="675" t="inlineStr">
        <is>
          <t>APPROUVE</t>
        </is>
      </c>
      <c r="J556" s="675" t="inlineStr">
        <is>
          <t>26000024 CL</t>
        </is>
      </c>
      <c r="K556" s="673" t="inlineStr">
        <is>
          <t>NON CONCERNE</t>
        </is>
      </c>
      <c r="L556" s="675" t="inlineStr">
        <is>
          <t>Ordinaire</t>
        </is>
      </c>
      <c r="M556" s="677" t="inlineStr">
        <is>
          <t>INVESTISSEMENT</t>
        </is>
      </c>
      <c r="N556" s="678" t="inlineStr">
        <is>
          <t>Équipements techniques</t>
        </is>
      </c>
      <c r="O556" s="679" t="n"/>
      <c r="P556" s="680" t="n"/>
      <c r="Q556" s="680" t="n"/>
      <c r="R556" s="675" t="inlineStr">
        <is>
          <t>NOUVEAU BESOIN</t>
        </is>
      </c>
      <c r="S556" s="681" t="n"/>
      <c r="T556" s="682" t="n"/>
      <c r="U556" s="683" t="inlineStr">
        <is>
          <t>LTS NETWORK</t>
        </is>
      </c>
      <c r="V556" s="675" t="n">
        <v>2026</v>
      </c>
      <c r="W556" s="682" t="n">
        <v>46133</v>
      </c>
      <c r="X556" s="682" t="n"/>
      <c r="Y556" s="682" t="n">
        <v>46133</v>
      </c>
      <c r="Z556" s="679">
        <f>AD556</f>
        <v/>
      </c>
      <c r="AA556" s="680" t="n">
        <v>0</v>
      </c>
      <c r="AB556" s="680">
        <f>AE556</f>
        <v/>
      </c>
      <c r="AC556" s="680" t="n">
        <v>0</v>
      </c>
      <c r="AD556" s="680">
        <f>AE556/1.2</f>
        <v/>
      </c>
      <c r="AE556" s="680" t="n">
        <v>83649.19</v>
      </c>
      <c r="AF556" s="684" t="inlineStr">
        <is>
          <t>ENGAGE</t>
        </is>
      </c>
      <c r="AG556" s="683" t="n"/>
      <c r="AH556" s="680" t="n"/>
      <c r="AI556" s="680" t="n"/>
      <c r="AJ556" s="680" t="n"/>
      <c r="AK556" s="680" t="n"/>
      <c r="AL556" s="685" t="n"/>
      <c r="AM556" s="685" t="n"/>
      <c r="AN556" s="683" t="inlineStr">
        <is>
          <t>R.A.S</t>
        </is>
      </c>
    </row>
    <row r="557" ht="50.55" customHeight="1" s="392">
      <c r="A557" s="672">
        <f>IF(AF557="ENGAGE","✔",IF(AF557="EN COURS D'ENGAGEMENT","◕",IF(AF557="PREENGAGE","◑",IF(AF557="EN COURS DE PREENGAGEMENT","◔",IF(AF557="NON ENGAGE","✖","")))))</f>
        <v/>
      </c>
      <c r="B557" s="673" t="n">
        <v>2026</v>
      </c>
      <c r="C557" s="674" t="inlineStr">
        <is>
          <t>DTSI</t>
        </is>
      </c>
      <c r="D557" s="674" t="inlineStr">
        <is>
          <t>37 AOM/SNRT</t>
        </is>
      </c>
      <c r="E557" s="675" t="inlineStr">
        <is>
          <t>AOO-M</t>
        </is>
      </c>
      <c r="F557" s="675" t="n">
        <v>1</v>
      </c>
      <c r="G557" s="676" t="inlineStr">
        <is>
          <t>L'élaboration du Schéma Directeur des Systèmes d'information (SDSI) de la Société Nationale de Radiodiffusion et de Télévision.</t>
        </is>
      </c>
      <c r="H557" s="673" t="inlineStr">
        <is>
          <t>VALIDE</t>
        </is>
      </c>
      <c r="I557" s="675" t="inlineStr">
        <is>
          <t>ATTRIBUE</t>
        </is>
      </c>
      <c r="J557" s="675" t="n"/>
      <c r="K557" s="673" t="inlineStr">
        <is>
          <t>GENERAL</t>
        </is>
      </c>
      <c r="L557" s="675" t="inlineStr">
        <is>
          <t>Ordinaire</t>
        </is>
      </c>
      <c r="M557" s="677" t="inlineStr">
        <is>
          <t>INVESTISSEMENT</t>
        </is>
      </c>
      <c r="N557" s="678" t="inlineStr">
        <is>
          <t>Matériel informatiques</t>
        </is>
      </c>
      <c r="O557" s="679">
        <f>P557*1.2</f>
        <v/>
      </c>
      <c r="P557" s="680" t="n">
        <v>840000</v>
      </c>
      <c r="Q557" s="680">
        <f>P557/1.2</f>
        <v/>
      </c>
      <c r="R557" s="675" t="n"/>
      <c r="S557" s="681" t="n"/>
      <c r="T557" s="682" t="n"/>
      <c r="U557" s="683" t="n"/>
      <c r="V557" s="675" t="n"/>
      <c r="W557" s="682" t="n">
        <v>46147</v>
      </c>
      <c r="X557" s="682" t="n">
        <v>46148</v>
      </c>
      <c r="Y557" s="682" t="n"/>
      <c r="Z557" s="679">
        <f>Engagements2026Juillet[[#This Row],[TOTAL MARCHE HT TOTAL ENGAGE HT]]</f>
        <v/>
      </c>
      <c r="AA557" s="680" t="n"/>
      <c r="AB557" s="680">
        <f>Engagements2026Juillet[[#This Row],[TOTAL MARCHE TTC TOTAL ENGAGE TTC]]</f>
        <v/>
      </c>
      <c r="AC557" s="680">
        <f>Engagements2026Juillet[[#This Row],[TOTAL MARCHE TTC TOTAL ENGAGE TTC]]</f>
        <v/>
      </c>
      <c r="AD557" s="680">
        <f>Engagements2026Juillet[[#This Row],[TOTAL MARCHE TTC TOTAL ENGAGE TTC]]/1.2</f>
        <v/>
      </c>
      <c r="AE557" s="680" t="n">
        <v>705900</v>
      </c>
      <c r="AF557" s="684" t="inlineStr">
        <is>
          <t>PREENGAGE</t>
        </is>
      </c>
      <c r="AG557" s="683" t="n"/>
      <c r="AH557" s="680" t="n"/>
      <c r="AI557" s="680" t="n"/>
      <c r="AJ557" s="680" t="n"/>
      <c r="AK557" s="680" t="n"/>
      <c r="AL557" s="685" t="n"/>
      <c r="AM557" s="685" t="n"/>
      <c r="AN557" s="683" t="inlineStr">
        <is>
          <t>R.A.S</t>
        </is>
      </c>
    </row>
    <row r="558" ht="35.7" customHeight="1" s="392">
      <c r="A558" s="672">
        <f>IF(AF558="ENGAGE","✔",IF(AF558="EN COURS D'ENGAGEMENT","◕",IF(AF558="PREENGAGE","◑",IF(AF558="EN COURS DE PREENGAGEMENT","◔",IF(AF558="NON ENGAGE","✖","")))))</f>
        <v/>
      </c>
      <c r="B558" s="673" t="n">
        <v>2026</v>
      </c>
      <c r="C558" s="674" t="inlineStr">
        <is>
          <t>DTSI</t>
        </is>
      </c>
      <c r="D558" s="674" t="inlineStr">
        <is>
          <t>38 AOM/SNRT</t>
        </is>
      </c>
      <c r="E558" s="675" t="inlineStr">
        <is>
          <t>AOO-M</t>
        </is>
      </c>
      <c r="F558" s="675" t="n">
        <v>1</v>
      </c>
      <c r="G558" s="676" t="inlineStr">
        <is>
          <t>La fourniture et la mise en service de lecteurs LTO destinés aux besoins d’archivage de la SNRT</t>
        </is>
      </c>
      <c r="H558" s="673" t="inlineStr">
        <is>
          <t>INFRUCTUEUX</t>
        </is>
      </c>
      <c r="I558" s="675" t="inlineStr">
        <is>
          <t>INFRUCTUEUX</t>
        </is>
      </c>
      <c r="J558" s="675" t="n"/>
      <c r="K558" s="673" t="inlineStr">
        <is>
          <t>GENERAL</t>
        </is>
      </c>
      <c r="L558" s="675" t="inlineStr">
        <is>
          <t>Ordinaire</t>
        </is>
      </c>
      <c r="M558" s="677" t="inlineStr">
        <is>
          <t>INVESTISSEMENT</t>
        </is>
      </c>
      <c r="N558" s="678" t="inlineStr">
        <is>
          <t>Équipements techniques</t>
        </is>
      </c>
      <c r="O558" s="679">
        <f>P558*1.2</f>
        <v/>
      </c>
      <c r="P558" s="680" t="n">
        <v>367296</v>
      </c>
      <c r="Q558" s="680">
        <f>P558/1.2</f>
        <v/>
      </c>
      <c r="R558" s="675" t="n"/>
      <c r="S558" s="681" t="n"/>
      <c r="T558" s="682" t="n"/>
      <c r="U558" s="683" t="n"/>
      <c r="V558" s="675" t="n"/>
      <c r="W558" s="682" t="n">
        <v>46147</v>
      </c>
      <c r="X558" s="682" t="n">
        <v>46148</v>
      </c>
      <c r="Y558" s="682" t="inlineStr">
        <is>
          <t>-</t>
        </is>
      </c>
      <c r="Z558" s="679" t="n">
        <v>0</v>
      </c>
      <c r="AA558" s="680" t="n">
        <v>0</v>
      </c>
      <c r="AB558" s="680" t="n">
        <v>0</v>
      </c>
      <c r="AC558" s="680" t="n">
        <v>0</v>
      </c>
      <c r="AD558" s="680" t="n">
        <v>0</v>
      </c>
      <c r="AE558" s="680" t="n">
        <v>0</v>
      </c>
      <c r="AF558" s="684" t="inlineStr">
        <is>
          <t>NON ENGAGE</t>
        </is>
      </c>
      <c r="AG558" s="683" t="n"/>
      <c r="AH558" s="680" t="n"/>
      <c r="AI558" s="680" t="n"/>
      <c r="AJ558" s="680" t="n"/>
      <c r="AK558" s="680" t="n"/>
      <c r="AL558" s="685" t="n"/>
      <c r="AM558" s="685" t="n"/>
      <c r="AN558" s="683" t="n"/>
    </row>
    <row r="559" ht="50.55" customHeight="1" s="392">
      <c r="A559" s="672">
        <f>IF(AF559="ENGAGE","✔",IF(AF559="EN COURS D'ENGAGEMENT","◕",IF(AF559="PREENGAGE","◑",IF(AF559="EN COURS DE PREENGAGEMENT","◔",IF(AF559="NON ENGAGE","✖","")))))</f>
        <v/>
      </c>
      <c r="B559" s="673" t="n">
        <v>2026</v>
      </c>
      <c r="C559" s="674" t="inlineStr">
        <is>
          <t>TDF -SITES</t>
        </is>
      </c>
      <c r="D559" s="674" t="inlineStr">
        <is>
          <t>39 AOM/SNRT</t>
        </is>
      </c>
      <c r="E559" s="675" t="inlineStr">
        <is>
          <t>AOO-M</t>
        </is>
      </c>
      <c r="F559" s="675" t="n">
        <v>1</v>
      </c>
      <c r="G559" s="676" t="inlineStr">
        <is>
          <t>Fourniture, installation, paramétrage et mise en service de batteries pour onduleurs existants de marque EATON déployés au siége SNRT à Rabat</t>
        </is>
      </c>
      <c r="H559" s="673" t="inlineStr">
        <is>
          <t>VALIDE</t>
        </is>
      </c>
      <c r="I559" s="675" t="inlineStr">
        <is>
          <t>PHASE AOO</t>
        </is>
      </c>
      <c r="J559" s="675" t="n"/>
      <c r="K559" s="673" t="inlineStr">
        <is>
          <t>GENERAL</t>
        </is>
      </c>
      <c r="L559" s="675" t="inlineStr">
        <is>
          <t>Ordinaire</t>
        </is>
      </c>
      <c r="M559" s="677" t="inlineStr">
        <is>
          <t>FONCTIONNEMENT</t>
        </is>
      </c>
      <c r="N559" s="678" t="inlineStr">
        <is>
          <t>Entretien, réparation et assurance</t>
        </is>
      </c>
      <c r="O559" s="679">
        <f>P559*1.2</f>
        <v/>
      </c>
      <c r="P559" s="680" t="n">
        <v>793728</v>
      </c>
      <c r="Q559" s="680">
        <f>P559/1.2</f>
        <v/>
      </c>
      <c r="R559" s="675" t="n"/>
      <c r="S559" s="681" t="n"/>
      <c r="T559" s="682" t="n"/>
      <c r="U559" s="683" t="n"/>
      <c r="V559" s="675" t="n"/>
      <c r="W559" s="682" t="n"/>
      <c r="X559" s="682" t="n"/>
      <c r="Y559" s="682" t="n"/>
      <c r="Z559" s="679" t="n"/>
      <c r="AA559" s="680" t="n"/>
      <c r="AB559" s="680" t="n"/>
      <c r="AC559" s="680" t="n"/>
      <c r="AD559" s="680" t="n"/>
      <c r="AE559" s="680" t="n"/>
      <c r="AF559" s="684" t="inlineStr">
        <is>
          <t>PREENGAGE</t>
        </is>
      </c>
      <c r="AG559" s="683" t="n"/>
      <c r="AH559" s="680" t="n"/>
      <c r="AI559" s="680" t="n"/>
      <c r="AJ559" s="680" t="n"/>
      <c r="AK559" s="680" t="n"/>
      <c r="AL559" s="685" t="n"/>
      <c r="AM559" s="685" t="n"/>
      <c r="AN559" s="683" t="n"/>
    </row>
    <row r="560" ht="50.55" customHeight="1" s="392">
      <c r="A560" s="672">
        <f>IF(AF560="ENGAGE","✔",IF(AF560="EN COURS D'ENGAGEMENT","◕",IF(AF560="PREENGAGE","◑",IF(AF560="EN COURS DE PREENGAGEMENT","◔",IF(AF560="NON ENGAGE","✖","")))))</f>
        <v/>
      </c>
      <c r="B560" s="673" t="n">
        <v>2026</v>
      </c>
      <c r="C560" s="674" t="inlineStr">
        <is>
          <t>TDF -SITES</t>
        </is>
      </c>
      <c r="D560" s="674" t="n"/>
      <c r="E560" s="675" t="inlineStr">
        <is>
          <t>AOO-M</t>
        </is>
      </c>
      <c r="F560" s="675" t="n">
        <v>1</v>
      </c>
      <c r="G560" s="676" t="inlineStr">
        <is>
          <t>Élaboration des études techniques et suivi des travaux d’installation d’un pylône auto-stable de 55m de hauteur au site SNRT TAOURIRT (P.TAOURIRT)</t>
        </is>
      </c>
      <c r="H560" s="673" t="inlineStr">
        <is>
          <t>EN SIGNATURE</t>
        </is>
      </c>
      <c r="I560" s="675" t="inlineStr">
        <is>
          <t>EN SIGNATURE</t>
        </is>
      </c>
      <c r="J560" s="675" t="n"/>
      <c r="K560" s="673" t="inlineStr">
        <is>
          <t>GENERAL</t>
        </is>
      </c>
      <c r="L560" s="675" t="inlineStr">
        <is>
          <t>Ordinaire</t>
        </is>
      </c>
      <c r="M560" s="677" t="inlineStr">
        <is>
          <t>INVESTISSEMENT</t>
        </is>
      </c>
      <c r="N560" s="678" t="inlineStr">
        <is>
          <t>Frais d'acquisition des immobilisations</t>
        </is>
      </c>
      <c r="O560" s="679">
        <f>P560*1.2</f>
        <v/>
      </c>
      <c r="P560" s="680" t="n">
        <v>72000</v>
      </c>
      <c r="Q560" s="680">
        <f>P560/1.2</f>
        <v/>
      </c>
      <c r="R560" s="675" t="inlineStr">
        <is>
          <t>NOUVEAU BESOIN</t>
        </is>
      </c>
      <c r="S560" s="681" t="n"/>
      <c r="T560" s="682" t="n"/>
      <c r="U560" s="683" t="n"/>
      <c r="V560" s="675" t="n"/>
      <c r="W560" s="682" t="n">
        <v>46198</v>
      </c>
      <c r="X560" s="682" t="n"/>
      <c r="Y560" s="682" t="n"/>
      <c r="Z560" s="679" t="n"/>
      <c r="AA560" s="680" t="n"/>
      <c r="AB560" s="680" t="n"/>
      <c r="AC560" s="680" t="n"/>
      <c r="AD560" s="680" t="n"/>
      <c r="AE560" s="680" t="n"/>
      <c r="AF560" s="684" t="inlineStr">
        <is>
          <t>EN COURS DE PREENGAGEMENT</t>
        </is>
      </c>
      <c r="AG560" s="683" t="n"/>
      <c r="AH560" s="680" t="n"/>
      <c r="AI560" s="680" t="n"/>
      <c r="AJ560" s="680" t="n"/>
      <c r="AK560" s="680" t="n"/>
      <c r="AL560" s="685" t="n"/>
      <c r="AM560" s="685" t="n"/>
      <c r="AN560" s="683" t="n"/>
    </row>
    <row r="561" ht="60" customHeight="1" s="392">
      <c r="A561" s="672">
        <f>IF(AF561="ENGAGE","✔",IF(AF561="EN COURS D'ENGAGEMENT","◕",IF(AF561="PREENGAGE","◑",IF(AF561="EN COURS DE PREENGAGEMENT","◔",IF(AF561="NON ENGAGE","✖","")))))</f>
        <v/>
      </c>
      <c r="B561" s="673" t="n">
        <v>2026</v>
      </c>
      <c r="C561" s="674" t="inlineStr">
        <is>
          <t>DCPA</t>
        </is>
      </c>
      <c r="D561" s="674" t="inlineStr">
        <is>
          <t xml:space="preserve">PV N° : 01RE2025-DCPA </t>
        </is>
      </c>
      <c r="E561" s="675" t="inlineStr">
        <is>
          <t>CONTRAT</t>
        </is>
      </c>
      <c r="F561" s="675" t="n">
        <v>1</v>
      </c>
      <c r="G561" s="676" t="inlineStr">
        <is>
          <t>AZIZ BENISSAAD – Ecriture de commentaires de l’émission interne « الغالية بلادي »</t>
        </is>
      </c>
      <c r="H561" s="673" t="inlineStr">
        <is>
          <t>VALIDE</t>
        </is>
      </c>
      <c r="I561" s="675" t="inlineStr">
        <is>
          <t>APPROUVE</t>
        </is>
      </c>
      <c r="J561" s="675" t="n"/>
      <c r="K561" s="673" t="inlineStr">
        <is>
          <t>NON CONCERNE</t>
        </is>
      </c>
      <c r="L561" s="675" t="inlineStr">
        <is>
          <t>Ordinaire</t>
        </is>
      </c>
      <c r="M561" s="677" t="inlineStr">
        <is>
          <t>FONCTIONNEMENT</t>
        </is>
      </c>
      <c r="N561" s="678" t="inlineStr">
        <is>
          <t xml:space="preserve">Achats de productions et de programmes
Achat des programmes en production interne </t>
        </is>
      </c>
      <c r="O561" s="679" t="n"/>
      <c r="P561" s="680" t="n"/>
      <c r="Q561" s="680" t="n"/>
      <c r="R561" s="675" t="n"/>
      <c r="S561" s="681" t="n"/>
      <c r="T561" s="682" t="n"/>
      <c r="U561" s="683" t="inlineStr">
        <is>
          <t>AZIZ BENISSAAD</t>
        </is>
      </c>
      <c r="V561" s="675" t="n"/>
      <c r="W561" s="682" t="n"/>
      <c r="X561" s="682" t="n"/>
      <c r="Y561" s="682" t="n"/>
      <c r="Z561" s="679" t="n">
        <v>50071.4</v>
      </c>
      <c r="AA561" s="680" t="n">
        <v>0</v>
      </c>
      <c r="AB561" s="680" t="n">
        <v>50071.4</v>
      </c>
      <c r="AC561" s="680" t="n"/>
      <c r="AD561" s="680">
        <f>Z561</f>
        <v/>
      </c>
      <c r="AE561" s="680">
        <f>AB561</f>
        <v/>
      </c>
      <c r="AF561" s="684" t="inlineStr">
        <is>
          <t>ENGAGE</t>
        </is>
      </c>
      <c r="AG561" s="683" t="n"/>
      <c r="AH561" s="680" t="n"/>
      <c r="AI561" s="680" t="n"/>
      <c r="AJ561" s="680" t="n"/>
      <c r="AK561" s="680" t="n"/>
      <c r="AL561" s="685" t="n"/>
      <c r="AM561" s="685" t="n"/>
      <c r="AN561" s="683" t="n"/>
    </row>
    <row r="562" ht="35.7" customHeight="1" s="392">
      <c r="A562" s="672">
        <f>IF(AF562="ENGAGE","✔",IF(AF562="EN COURS D'ENGAGEMENT","◕",IF(AF562="PREENGAGE","◑",IF(AF562="EN COURS DE PREENGAGEMENT","◔",IF(AF562="NON ENGAGE","✖","")))))</f>
        <v/>
      </c>
      <c r="B562" s="673" t="n">
        <v>2026</v>
      </c>
      <c r="C562" s="674" t="inlineStr">
        <is>
          <t>DPMG</t>
        </is>
      </c>
      <c r="D562" s="674" t="inlineStr">
        <is>
          <t>36 AOM/SNRT</t>
        </is>
      </c>
      <c r="E562" s="675" t="inlineStr">
        <is>
          <t>AOO-M</t>
        </is>
      </c>
      <c r="F562" s="675" t="n">
        <v>1</v>
      </c>
      <c r="G562" s="676" t="inlineStr">
        <is>
          <t>Achat d’habillement pour le personnel de la SNRT (Journalistes, Caméramen, Techniciens et Chauffeurs</t>
        </is>
      </c>
      <c r="H562" s="673" t="inlineStr">
        <is>
          <t>VALIDE</t>
        </is>
      </c>
      <c r="I562" s="675" t="inlineStr">
        <is>
          <t>APPROUVE</t>
        </is>
      </c>
      <c r="J562" s="675" t="n"/>
      <c r="K562" s="673" t="inlineStr">
        <is>
          <t>GENERAL</t>
        </is>
      </c>
      <c r="L562" s="675" t="inlineStr">
        <is>
          <t>Ordinaire</t>
        </is>
      </c>
      <c r="M562" s="677" t="inlineStr">
        <is>
          <t>FONCTIONNEMENT</t>
        </is>
      </c>
      <c r="N562" s="678" t="inlineStr">
        <is>
          <t>Charges sociales diverses</t>
        </is>
      </c>
      <c r="O562" s="679">
        <f>P562*1.2</f>
        <v/>
      </c>
      <c r="P562" s="680" t="n">
        <v>574656</v>
      </c>
      <c r="Q562" s="680">
        <f>P562/1.2</f>
        <v/>
      </c>
      <c r="R562" s="675" t="n"/>
      <c r="S562" s="681" t="n"/>
      <c r="T562" s="682" t="n"/>
      <c r="U562" s="683" t="n"/>
      <c r="V562" s="675" t="n"/>
      <c r="W562" s="682" t="n">
        <v>46150</v>
      </c>
      <c r="X562" s="682" t="n">
        <v>46153</v>
      </c>
      <c r="Y562" s="682" t="n">
        <v>46216</v>
      </c>
      <c r="Z562" s="679" t="n"/>
      <c r="AA562" s="680">
        <f>AB562/1.2</f>
        <v/>
      </c>
      <c r="AB562" s="680" t="n">
        <v>674520</v>
      </c>
      <c r="AC562" s="680" t="n"/>
      <c r="AD562" s="680">
        <f>AA562</f>
        <v/>
      </c>
      <c r="AE562" s="680">
        <f>AB562</f>
        <v/>
      </c>
      <c r="AF562" s="684" t="inlineStr">
        <is>
          <t>ENGAGE</t>
        </is>
      </c>
      <c r="AG562" s="683" t="n"/>
      <c r="AH562" s="680" t="n"/>
      <c r="AI562" s="680" t="n"/>
      <c r="AJ562" s="680" t="n"/>
      <c r="AK562" s="680" t="n"/>
      <c r="AL562" s="685" t="n"/>
      <c r="AM562" s="685" t="n"/>
      <c r="AN562" s="683" t="n"/>
    </row>
    <row r="563" ht="50.55" customHeight="1" s="392">
      <c r="A563" s="672">
        <f>IF(AF563="ENGAGE","✔",IF(AF563="EN COURS D'ENGAGEMENT","◕",IF(AF563="PREENGAGE","◑",IF(AF563="EN COURS DE PREENGAGEMENT","◔",IF(AF563="NON ENGAGE","✖","")))))</f>
        <v/>
      </c>
      <c r="B563" s="673" t="n">
        <v>2026</v>
      </c>
      <c r="C563" s="674" t="inlineStr">
        <is>
          <t>DACG</t>
        </is>
      </c>
      <c r="D563" s="674" t="inlineStr">
        <is>
          <t>59AOM/SNRT</t>
        </is>
      </c>
      <c r="E563" s="675" t="inlineStr">
        <is>
          <t>AOO-M</t>
        </is>
      </c>
      <c r="F563" s="675" t="n">
        <v>1</v>
      </c>
      <c r="G563" s="676" t="inlineStr">
        <is>
          <t>Élaboration de la cartographie des risques de la SNRT et déploiement du dispositif de suivi et de mise à jour y afférent</t>
        </is>
      </c>
      <c r="H563" s="673" t="inlineStr">
        <is>
          <t>EN SIGNATURE</t>
        </is>
      </c>
      <c r="I563" s="675" t="inlineStr">
        <is>
          <t>EN SIGNATURE</t>
        </is>
      </c>
      <c r="J563" s="675" t="n"/>
      <c r="K563" s="673" t="inlineStr">
        <is>
          <t>PME</t>
        </is>
      </c>
      <c r="L563" s="675" t="inlineStr">
        <is>
          <t>Ordinaire</t>
        </is>
      </c>
      <c r="M563" s="677" t="inlineStr">
        <is>
          <t>FONCTIONNEMENT</t>
        </is>
      </c>
      <c r="N563" s="678" t="inlineStr">
        <is>
          <t>Honoraires et rémunération du personnel occasionnel</t>
        </is>
      </c>
      <c r="O563" s="679">
        <f>P563*1.2</f>
        <v/>
      </c>
      <c r="P563" s="680" t="n">
        <v>120000</v>
      </c>
      <c r="Q563" s="680">
        <f>P563/1.2</f>
        <v/>
      </c>
      <c r="R563" s="675" t="n"/>
      <c r="S563" s="681" t="n"/>
      <c r="T563" s="682" t="n"/>
      <c r="U563" s="683" t="n"/>
      <c r="V563" s="675" t="n"/>
      <c r="W563" s="682" t="n">
        <v>46192</v>
      </c>
      <c r="X563" s="682" t="n"/>
      <c r="Y563" s="682" t="n"/>
      <c r="Z563" s="679" t="n"/>
      <c r="AA563" s="680" t="n"/>
      <c r="AB563" s="680" t="n"/>
      <c r="AC563" s="680" t="n"/>
      <c r="AD563" s="680" t="n"/>
      <c r="AE563" s="680" t="n"/>
      <c r="AF563" s="684" t="inlineStr">
        <is>
          <t>EN COURS DE PREENGAGEMENT</t>
        </is>
      </c>
      <c r="AG563" s="683" t="n"/>
      <c r="AH563" s="680" t="n"/>
      <c r="AI563" s="680" t="n"/>
      <c r="AJ563" s="680" t="n"/>
      <c r="AK563" s="680" t="n"/>
      <c r="AL563" s="685" t="n"/>
      <c r="AM563" s="685" t="n"/>
      <c r="AN563" s="683" t="n"/>
    </row>
    <row r="564" ht="33" customHeight="1" s="392">
      <c r="A564" s="672">
        <f>IF(AF564="ENGAGE","✔",IF(AF564="EN COURS D'ENGAGEMENT","◕",IF(AF564="PREENGAGE","◑",IF(AF564="EN COURS DE PREENGAGEMENT","◔",IF(AF564="NON ENGAGE","✖","")))))</f>
        <v/>
      </c>
      <c r="B564" s="673" t="n">
        <v>2026</v>
      </c>
      <c r="C564" s="674" t="inlineStr">
        <is>
          <t>DMPTV</t>
        </is>
      </c>
      <c r="D564" s="674" t="inlineStr">
        <is>
          <t>60AOM/SNRT</t>
        </is>
      </c>
      <c r="E564" s="675" t="inlineStr">
        <is>
          <t>AOO-M</t>
        </is>
      </c>
      <c r="F564" s="675" t="n">
        <v>1</v>
      </c>
      <c r="G564" s="676" t="inlineStr">
        <is>
          <t>Location de supports d’affichage urbain 4X3 pour la SNRT</t>
        </is>
      </c>
      <c r="H564" s="673" t="inlineStr">
        <is>
          <t>VALIDE</t>
        </is>
      </c>
      <c r="I564" s="675" t="inlineStr">
        <is>
          <t>PHASE AOO</t>
        </is>
      </c>
      <c r="J564" s="675" t="n"/>
      <c r="K564" s="673" t="inlineStr">
        <is>
          <t>GENERAL</t>
        </is>
      </c>
      <c r="L564" s="675" t="inlineStr">
        <is>
          <t>Ordinaire</t>
        </is>
      </c>
      <c r="M564" s="677" t="inlineStr">
        <is>
          <t>FONCTIONNEMENT</t>
        </is>
      </c>
      <c r="N564" s="678" t="inlineStr">
        <is>
          <t>Charges marketing et relations publiques</t>
        </is>
      </c>
      <c r="O564" s="679">
        <f>P564*1.2</f>
        <v/>
      </c>
      <c r="P564" s="680" t="n">
        <v>12373800</v>
      </c>
      <c r="Q564" s="680">
        <f>P564/1.2</f>
        <v/>
      </c>
      <c r="R564" s="675" t="inlineStr">
        <is>
          <t>BESOIN RECURRENT</t>
        </is>
      </c>
      <c r="S564" s="681" t="n"/>
      <c r="T564" s="682" t="n"/>
      <c r="U564" s="683" t="n"/>
      <c r="V564" s="675" t="n"/>
      <c r="W564" s="682" t="n"/>
      <c r="X564" s="682" t="n"/>
      <c r="Y564" s="682" t="n"/>
      <c r="Z564" s="679" t="n"/>
      <c r="AA564" s="680" t="n"/>
      <c r="AB564" s="680" t="n"/>
      <c r="AC564" s="680" t="n"/>
      <c r="AD564" s="680" t="n"/>
      <c r="AE564" s="680" t="n"/>
      <c r="AF564" s="684" t="inlineStr">
        <is>
          <t>PREENGAGE</t>
        </is>
      </c>
      <c r="AG564" s="683" t="n"/>
      <c r="AH564" s="680" t="n"/>
      <c r="AI564" s="680" t="n"/>
      <c r="AJ564" s="680" t="n"/>
      <c r="AK564" s="680" t="n"/>
      <c r="AL564" s="685" t="n"/>
      <c r="AM564" s="685" t="n"/>
      <c r="AN564" s="683" t="n"/>
    </row>
    <row r="565" ht="50.55" customHeight="1" s="392">
      <c r="A565" s="672">
        <f>IF(AF565="ENGAGE","✔",IF(AF565="EN COURS D'ENGAGEMENT","◕",IF(AF565="PREENGAGE","◑",IF(AF565="EN COURS DE PREENGAGEMENT","◔",IF(AF565="NON ENGAGE","✖","")))))</f>
        <v/>
      </c>
      <c r="B565" s="673" t="n">
        <v>2026</v>
      </c>
      <c r="C565" s="674" t="inlineStr">
        <is>
          <t>DMPTV</t>
        </is>
      </c>
      <c r="D565" s="674" t="inlineStr">
        <is>
          <t>26000002 CI</t>
        </is>
      </c>
      <c r="E565" s="675" t="inlineStr">
        <is>
          <t>BCI</t>
        </is>
      </c>
      <c r="F565" s="675" t="n">
        <v>1</v>
      </c>
      <c r="G565" s="676" t="inlineStr">
        <is>
          <t>Conception d’un décor virtuel pour la chaine Arryadia avec des éléments de réalité augmentée (RA) destinée  à accompagner la couverture de la CAN féminine</t>
        </is>
      </c>
      <c r="H565" s="673" t="inlineStr">
        <is>
          <t>VALIDE</t>
        </is>
      </c>
      <c r="I565" s="675" t="inlineStr">
        <is>
          <t>APPROUVE</t>
        </is>
      </c>
      <c r="J565" s="675" t="inlineStr">
        <is>
          <t>26000002 CI</t>
        </is>
      </c>
      <c r="K565" s="673" t="inlineStr">
        <is>
          <t>NON CONCERNE</t>
        </is>
      </c>
      <c r="L565" s="675" t="inlineStr">
        <is>
          <t>Ordinaire</t>
        </is>
      </c>
      <c r="M565" s="677" t="inlineStr">
        <is>
          <t>INVESTISSEMENT</t>
        </is>
      </c>
      <c r="N565" s="678" t="inlineStr">
        <is>
          <t>Installations techniques</t>
        </is>
      </c>
      <c r="O565" s="679" t="n"/>
      <c r="P565" s="680" t="n"/>
      <c r="Q565" s="680" t="n"/>
      <c r="R565" s="675" t="n"/>
      <c r="S565" s="681" t="n"/>
      <c r="T565" s="682" t="n"/>
      <c r="U565" s="683" t="inlineStr">
        <is>
          <t>ASKI-DA CREATIVE</t>
        </is>
      </c>
      <c r="V565" s="675" t="n"/>
      <c r="W565" s="682" t="n"/>
      <c r="X565" s="682" t="n"/>
      <c r="Y565" s="682" t="n">
        <v>46148</v>
      </c>
      <c r="Z565" s="679">
        <f>AE565</f>
        <v/>
      </c>
      <c r="AA565" s="680">
        <f>AC565</f>
        <v/>
      </c>
      <c r="AB565" s="680">
        <f>AD565</f>
        <v/>
      </c>
      <c r="AC565" s="680" t="n">
        <v>18440.4</v>
      </c>
      <c r="AD565" s="680">
        <f>AE565</f>
        <v/>
      </c>
      <c r="AE565" s="680" t="n">
        <v>198971.91</v>
      </c>
      <c r="AF565" s="684" t="inlineStr">
        <is>
          <t>ENGAGE</t>
        </is>
      </c>
      <c r="AG565" s="683" t="n"/>
      <c r="AH565" s="680" t="n"/>
      <c r="AI565" s="680" t="n"/>
      <c r="AJ565" s="680" t="n"/>
      <c r="AK565" s="680" t="n"/>
      <c r="AL565" s="685" t="n"/>
      <c r="AM565" s="685" t="n"/>
      <c r="AN565" s="683" t="n"/>
    </row>
    <row r="566" ht="46.5" customHeight="1" s="392">
      <c r="A566" s="672">
        <f>IF(AF566="ENGAGE","✔",IF(AF566="EN COURS D'ENGAGEMENT","◕",IF(AF566="PREENGAGE","◑",IF(AF566="EN COURS DE PREENGAGEMENT","◔",IF(AF566="NON ENGAGE","✖","")))))</f>
        <v/>
      </c>
      <c r="B566" s="673" t="n">
        <v>2026</v>
      </c>
      <c r="C566" s="674" t="inlineStr">
        <is>
          <t>ARRIYADIA</t>
        </is>
      </c>
      <c r="D566" s="674" t="inlineStr">
        <is>
          <t>SANS PV</t>
        </is>
      </c>
      <c r="E566" s="675" t="inlineStr">
        <is>
          <t>CONTRAT</t>
        </is>
      </c>
      <c r="F566" s="675" t="n">
        <v>1</v>
      </c>
      <c r="G566" s="676" t="inlineStr">
        <is>
          <t>MOHAMMED BENDIAB – Consiltant Golf</t>
        </is>
      </c>
      <c r="H566" s="673" t="inlineStr">
        <is>
          <t>VALIDE</t>
        </is>
      </c>
      <c r="I566" s="675" t="inlineStr">
        <is>
          <t>APPROUVE</t>
        </is>
      </c>
      <c r="J566" s="675" t="n"/>
      <c r="K566" s="673" t="inlineStr">
        <is>
          <t>NON CONCERNE</t>
        </is>
      </c>
      <c r="L566" s="675" t="inlineStr">
        <is>
          <t>Ordinaire</t>
        </is>
      </c>
      <c r="M566" s="677" t="inlineStr">
        <is>
          <t>FONCTIONNEMENT</t>
        </is>
      </c>
      <c r="N566" s="678" t="inlineStr">
        <is>
          <t xml:space="preserve">Prestations de service
Achat prestations de services locales - personnes physiques </t>
        </is>
      </c>
      <c r="O566" s="679" t="n"/>
      <c r="P566" s="680" t="n"/>
      <c r="Q566" s="680" t="n"/>
      <c r="R566" s="675" t="inlineStr">
        <is>
          <t>NOUVEAU BESOIN</t>
        </is>
      </c>
      <c r="S566" s="681" t="n"/>
      <c r="T566" s="682" t="n"/>
      <c r="U566" s="683" t="inlineStr">
        <is>
          <t>MOHAMMED BENDIAB</t>
        </is>
      </c>
      <c r="V566" s="675" t="n"/>
      <c r="W566" s="682" t="n">
        <v>46156</v>
      </c>
      <c r="X566" s="682" t="n"/>
      <c r="Y566" s="682" t="n">
        <v>46157</v>
      </c>
      <c r="Z566" s="679" t="n">
        <v>12857.14</v>
      </c>
      <c r="AA566" s="680" t="n"/>
      <c r="AB566" s="680" t="n">
        <v>12857.14</v>
      </c>
      <c r="AC566" s="680" t="n"/>
      <c r="AD566" s="680" t="n">
        <v>12857.14</v>
      </c>
      <c r="AE566" s="680" t="n">
        <v>12857.14</v>
      </c>
      <c r="AF566" s="684" t="inlineStr">
        <is>
          <t>ENGAGE</t>
        </is>
      </c>
      <c r="AG566" s="683" t="n"/>
      <c r="AH566" s="680" t="n"/>
      <c r="AI566" s="680" t="n"/>
      <c r="AJ566" s="680" t="n"/>
      <c r="AK566" s="680" t="n"/>
      <c r="AL566" s="685" t="n"/>
      <c r="AM566" s="685" t="n"/>
      <c r="AN566" s="683" t="inlineStr">
        <is>
          <t>R.A.S</t>
        </is>
      </c>
    </row>
    <row r="567" ht="50.55" customHeight="1" s="392">
      <c r="A567" s="672">
        <f>IF(AF567="ENGAGE","✔",IF(AF567="EN COURS D'ENGAGEMENT","◕",IF(AF567="PREENGAGE","◑",IF(AF567="EN COURS DE PREENGAGEMENT","◔",IF(AF567="NON ENGAGE","✖","")))))</f>
        <v/>
      </c>
      <c r="B567" s="673" t="n">
        <v>2026</v>
      </c>
      <c r="C567" s="674" t="inlineStr">
        <is>
          <t>TDF-EXP&amp;MAIN</t>
        </is>
      </c>
      <c r="D567" s="674" t="inlineStr">
        <is>
          <t>ancien13AOM/SNRT</t>
        </is>
      </c>
      <c r="E567" s="675" t="inlineStr">
        <is>
          <t>AOO-M</t>
        </is>
      </c>
      <c r="F567" s="675" t="n">
        <v>1</v>
      </c>
      <c r="G567" s="676" t="inlineStr">
        <is>
          <t>Entretien et remises en état du système de verrouillage et de protection de la cabine d’antenne du centre AM de Sbaa Aioune</t>
        </is>
      </c>
      <c r="H567" s="673" t="inlineStr">
        <is>
          <t>EN SIGNATURE</t>
        </is>
      </c>
      <c r="I567" s="675" t="inlineStr">
        <is>
          <t>EN SIGNATURE</t>
        </is>
      </c>
      <c r="J567" s="675" t="n"/>
      <c r="K567" s="673" t="n"/>
      <c r="L567" s="675" t="inlineStr">
        <is>
          <t>Ordinaire</t>
        </is>
      </c>
      <c r="M567" s="677" t="inlineStr">
        <is>
          <t>FONCTIONNEMENT</t>
        </is>
      </c>
      <c r="N567" s="678" t="inlineStr">
        <is>
          <t>Entretien, réparation et assurance</t>
        </is>
      </c>
      <c r="O567" s="679">
        <f>P567*1.2</f>
        <v/>
      </c>
      <c r="P567" s="680" t="n">
        <v>1650000</v>
      </c>
      <c r="Q567" s="680">
        <f>P567/1.2</f>
        <v/>
      </c>
      <c r="R567" s="675" t="n"/>
      <c r="S567" s="681" t="n"/>
      <c r="T567" s="682" t="n"/>
      <c r="U567" s="683" t="n"/>
      <c r="V567" s="675" t="n"/>
      <c r="W567" s="682" t="n"/>
      <c r="X567" s="682" t="n"/>
      <c r="Y567" s="682" t="n"/>
      <c r="Z567" s="679" t="n"/>
      <c r="AA567" s="680" t="n"/>
      <c r="AB567" s="680" t="n"/>
      <c r="AC567" s="680" t="n"/>
      <c r="AD567" s="680" t="n"/>
      <c r="AE567" s="680" t="n"/>
      <c r="AF567" s="684" t="inlineStr">
        <is>
          <t>EN COURS DE PREENGAGEMENT</t>
        </is>
      </c>
      <c r="AG567" s="683" t="n"/>
      <c r="AH567" s="680" t="n"/>
      <c r="AI567" s="680" t="n"/>
      <c r="AJ567" s="680" t="n"/>
      <c r="AK567" s="680" t="n"/>
      <c r="AL567" s="685" t="n"/>
      <c r="AM567" s="685" t="n"/>
      <c r="AN567" s="683" t="n"/>
    </row>
    <row r="568" ht="35.7" customHeight="1" s="392">
      <c r="A568" s="672">
        <f>IF(AF568="ENGAGE","✔",IF(AF568="EN COURS D'ENGAGEMENT","◕",IF(AF568="PREENGAGE","◑",IF(AF568="EN COURS DE PREENGAGEMENT","◔",IF(AF568="NON ENGAGE","✖","")))))</f>
        <v/>
      </c>
      <c r="B568" s="673" t="n">
        <v>2026</v>
      </c>
      <c r="C568" s="674" t="inlineStr">
        <is>
          <t>DPMG</t>
        </is>
      </c>
      <c r="D568" s="674" t="n"/>
      <c r="E568" s="675" t="inlineStr">
        <is>
          <t>CONTRAT</t>
        </is>
      </c>
      <c r="F568" s="675" t="n">
        <v>1</v>
      </c>
      <c r="G568" s="676" t="inlineStr">
        <is>
          <t>Acquisition de vignettes pour l’entretien et la réparation des véhicules de la SNRT</t>
        </is>
      </c>
      <c r="H568" s="673" t="inlineStr">
        <is>
          <t>VALIDE</t>
        </is>
      </c>
      <c r="I568" s="675" t="inlineStr">
        <is>
          <t>APPROUVE</t>
        </is>
      </c>
      <c r="J568" s="675" t="inlineStr">
        <is>
          <t>Convention N° 5913</t>
        </is>
      </c>
      <c r="K568" s="673" t="inlineStr">
        <is>
          <t>NON CONCERNE</t>
        </is>
      </c>
      <c r="L568" s="675" t="inlineStr">
        <is>
          <t>Ordinaire</t>
        </is>
      </c>
      <c r="M568" s="677" t="inlineStr">
        <is>
          <t>FONCTIONNEMENT</t>
        </is>
      </c>
      <c r="N568" s="678" t="inlineStr">
        <is>
          <t>Entretien, réparation et assurance</t>
        </is>
      </c>
      <c r="O568" s="679" t="n"/>
      <c r="P568" s="680" t="n"/>
      <c r="Q568" s="680" t="n"/>
      <c r="R568" s="675" t="inlineStr">
        <is>
          <t>RECONDUCTION</t>
        </is>
      </c>
      <c r="S568" s="681" t="n"/>
      <c r="T568" s="682" t="n"/>
      <c r="U568" s="683" t="inlineStr">
        <is>
          <t>SNTL</t>
        </is>
      </c>
      <c r="V568" s="675" t="n"/>
      <c r="W568" s="682" t="n">
        <v>46161</v>
      </c>
      <c r="X568" s="682" t="n"/>
      <c r="Y568" s="682" t="n">
        <v>46168</v>
      </c>
      <c r="Z568" s="679" t="n">
        <v>500000</v>
      </c>
      <c r="AA568" s="680" t="n">
        <v>0</v>
      </c>
      <c r="AB568" s="680" t="n">
        <v>500000</v>
      </c>
      <c r="AC568" s="680" t="n">
        <v>0</v>
      </c>
      <c r="AD568" s="680">
        <f>+AB568</f>
        <v/>
      </c>
      <c r="AE568" s="680">
        <f>+AB568</f>
        <v/>
      </c>
      <c r="AF568" s="684" t="inlineStr">
        <is>
          <t>ENGAGE</t>
        </is>
      </c>
      <c r="AG568" s="683" t="n"/>
      <c r="AH568" s="680" t="n"/>
      <c r="AI568" s="680" t="n"/>
      <c r="AJ568" s="680" t="n"/>
      <c r="AK568" s="680" t="n"/>
      <c r="AL568" s="685" t="n"/>
      <c r="AM568" s="685" t="n"/>
      <c r="AN568" s="683" t="n"/>
    </row>
    <row r="569" ht="35.7" customHeight="1" s="392">
      <c r="A569" s="672">
        <f>IF(AF569="ENGAGE","✔",IF(AF569="EN COURS D'ENGAGEMENT","◕",IF(AF569="PREENGAGE","◑",IF(AF569="EN COURS DE PREENGAGEMENT","◔",IF(AF569="NON ENGAGE","✖","")))))</f>
        <v/>
      </c>
      <c r="B569" s="673" t="n">
        <v>2026</v>
      </c>
      <c r="C569" s="674" t="inlineStr">
        <is>
          <t>DMPTV</t>
        </is>
      </c>
      <c r="D569" s="674" t="inlineStr">
        <is>
          <t>EXCLUSIVITÉ</t>
        </is>
      </c>
      <c r="E569" s="675" t="inlineStr">
        <is>
          <t>CONTRAT</t>
        </is>
      </c>
      <c r="F569" s="675" t="n">
        <v>1</v>
      </c>
      <c r="G569" s="676" t="inlineStr">
        <is>
          <t>La publication des insertions de la SNRT dans le supports : « le jardin des Hespérides »</t>
        </is>
      </c>
      <c r="H569" s="673" t="inlineStr">
        <is>
          <t>VALIDE</t>
        </is>
      </c>
      <c r="I569" s="675" t="inlineStr">
        <is>
          <t>APPROUVE</t>
        </is>
      </c>
      <c r="J569" s="675" t="inlineStr">
        <is>
          <t>393 CT/SNRT/2026</t>
        </is>
      </c>
      <c r="K569" s="673" t="inlineStr">
        <is>
          <t>NON CONCERNE</t>
        </is>
      </c>
      <c r="L569" s="675" t="inlineStr">
        <is>
          <t>Ordinaire</t>
        </is>
      </c>
      <c r="M569" s="677" t="inlineStr">
        <is>
          <t>FONCTIONNEMENT</t>
        </is>
      </c>
      <c r="N569" s="678" t="inlineStr">
        <is>
          <t>Charges marketing et relations publiques</t>
        </is>
      </c>
      <c r="O569" s="679" t="n"/>
      <c r="P569" s="680" t="n"/>
      <c r="Q569" s="680" t="n"/>
      <c r="R569" s="675" t="inlineStr">
        <is>
          <t>BESOIN RECURRENT</t>
        </is>
      </c>
      <c r="S569" s="681" t="n"/>
      <c r="T569" s="682" t="n"/>
      <c r="U569" s="683" t="inlineStr">
        <is>
          <t>AGENCE PROMOTION DAKHLA</t>
        </is>
      </c>
      <c r="V569" s="675" t="n"/>
      <c r="W569" s="682" t="n">
        <v>46161</v>
      </c>
      <c r="X569" s="682" t="n"/>
      <c r="Y569" s="682" t="n">
        <v>46174</v>
      </c>
      <c r="Z569" s="679" t="n">
        <v>50000</v>
      </c>
      <c r="AA569" s="680" t="n">
        <v>0</v>
      </c>
      <c r="AB569" s="680" t="n">
        <v>60000</v>
      </c>
      <c r="AC569" s="680" t="n">
        <v>0</v>
      </c>
      <c r="AD569" s="680">
        <f>+Z569</f>
        <v/>
      </c>
      <c r="AE569" s="680">
        <f>+AB569</f>
        <v/>
      </c>
      <c r="AF569" s="684" t="inlineStr">
        <is>
          <t>ENGAGE</t>
        </is>
      </c>
      <c r="AG569" s="683" t="n"/>
      <c r="AH569" s="680" t="n"/>
      <c r="AI569" s="680" t="n"/>
      <c r="AJ569" s="680" t="n"/>
      <c r="AK569" s="680" t="n"/>
      <c r="AL569" s="685" t="n"/>
      <c r="AM569" s="685" t="n"/>
      <c r="AN569" s="683" t="n"/>
    </row>
    <row r="570" ht="46.5" customHeight="1" s="392">
      <c r="A570" s="672">
        <f>IF(AF570="ENGAGE","✔",IF(AF570="EN COURS D'ENGAGEMENT","◕",IF(AF570="PREENGAGE","◑",IF(AF570="EN COURS DE PREENGAGEMENT","◔",IF(AF570="NON ENGAGE","✖","")))))</f>
        <v/>
      </c>
      <c r="B570" s="673" t="n">
        <v>2026</v>
      </c>
      <c r="C570" s="674" t="inlineStr">
        <is>
          <t>DINFORADIO</t>
        </is>
      </c>
      <c r="D570" s="674" t="n"/>
      <c r="E570" s="675" t="inlineStr">
        <is>
          <t>CONTRAT</t>
        </is>
      </c>
      <c r="F570" s="675" t="n">
        <v>1</v>
      </c>
      <c r="G570" s="676" t="inlineStr">
        <is>
          <t>LINA BOUFARDOU – Journaliste francophone, présentatrice et animatrice de débats sur la chaine Inter.</t>
        </is>
      </c>
      <c r="H570" s="673" t="inlineStr">
        <is>
          <t>VALIDE</t>
        </is>
      </c>
      <c r="I570" s="675" t="inlineStr">
        <is>
          <t>APPROUVE</t>
        </is>
      </c>
      <c r="J570" s="675" t="n"/>
      <c r="K570" s="673" t="inlineStr">
        <is>
          <t>NON CONCERNE</t>
        </is>
      </c>
      <c r="L570" s="675" t="inlineStr">
        <is>
          <t>Ordinaire</t>
        </is>
      </c>
      <c r="M570" s="677" t="inlineStr">
        <is>
          <t>FONCTIONNEMENT</t>
        </is>
      </c>
      <c r="N570" s="678" t="inlineStr">
        <is>
          <t xml:space="preserve">Prestations de service
Achat prestations de services locales - personnes physiques </t>
        </is>
      </c>
      <c r="O570" s="679" t="n"/>
      <c r="P570" s="680" t="n"/>
      <c r="Q570" s="680" t="n"/>
      <c r="R570" s="675" t="n"/>
      <c r="S570" s="681" t="n"/>
      <c r="T570" s="682" t="n"/>
      <c r="U570" s="683" t="inlineStr">
        <is>
          <t>LINA BOUFARDOU</t>
        </is>
      </c>
      <c r="V570" s="675" t="n">
        <v>2026</v>
      </c>
      <c r="W570" s="682" t="n"/>
      <c r="X570" s="682" t="n"/>
      <c r="Y570" s="682" t="n">
        <v>46146</v>
      </c>
      <c r="Z570" s="679" t="n">
        <v>88000</v>
      </c>
      <c r="AA570" s="680" t="n"/>
      <c r="AB570" s="680" t="n">
        <v>88000</v>
      </c>
      <c r="AC570" s="680" t="n"/>
      <c r="AD570" s="680" t="n">
        <v>88000</v>
      </c>
      <c r="AE570" s="680" t="n">
        <v>88000</v>
      </c>
      <c r="AF570" s="684" t="inlineStr">
        <is>
          <t>ENGAGE</t>
        </is>
      </c>
      <c r="AG570" s="683" t="n"/>
      <c r="AH570" s="680" t="n"/>
      <c r="AI570" s="680" t="n"/>
      <c r="AJ570" s="680" t="n"/>
      <c r="AK570" s="680" t="n"/>
      <c r="AL570" s="685" t="n"/>
      <c r="AM570" s="685" t="n"/>
      <c r="AN570" s="683" t="n"/>
    </row>
    <row r="571" ht="35.7" customHeight="1" s="392">
      <c r="A571" s="672">
        <f>IF(AF571="ENGAGE","✔",IF(AF571="EN COURS D'ENGAGEMENT","◕",IF(AF571="PREENGAGE","◑",IF(AF571="EN COURS DE PREENGAGEMENT","◔",IF(AF571="NON ENGAGE","✖","")))))</f>
        <v/>
      </c>
      <c r="B571" s="673" t="n">
        <v>2026</v>
      </c>
      <c r="C571" s="674" t="inlineStr">
        <is>
          <t>ARRIYADIA</t>
        </is>
      </c>
      <c r="D571" s="674" t="inlineStr">
        <is>
          <t>EXCLUSIVITÉ</t>
        </is>
      </c>
      <c r="E571" s="675" t="inlineStr">
        <is>
          <t>CONTRAT</t>
        </is>
      </c>
      <c r="F571" s="675" t="n">
        <v>1</v>
      </c>
      <c r="G571" s="676" t="inlineStr">
        <is>
          <t>Achats des droits sportifs Match Maroc vs Norvège (Retenue à la source à la charge de la SNRT)</t>
        </is>
      </c>
      <c r="H571" s="673" t="inlineStr">
        <is>
          <t>VALIDE</t>
        </is>
      </c>
      <c r="I571" s="675" t="inlineStr">
        <is>
          <t>APPROUVE</t>
        </is>
      </c>
      <c r="J571" s="675" t="n"/>
      <c r="K571" s="673" t="inlineStr">
        <is>
          <t>NON CONCERNE</t>
        </is>
      </c>
      <c r="L571" s="675" t="inlineStr">
        <is>
          <t>Ordinaire</t>
        </is>
      </c>
      <c r="M571" s="677" t="inlineStr">
        <is>
          <t>FONCTIONNEMENT</t>
        </is>
      </c>
      <c r="N571" s="678" t="inlineStr">
        <is>
          <t>Achats de droits
Achats de droit de sport</t>
        </is>
      </c>
      <c r="O571" s="679" t="n"/>
      <c r="P571" s="680" t="n"/>
      <c r="Q571" s="680" t="n"/>
      <c r="R571" s="675" t="inlineStr">
        <is>
          <t>BESOIN RECURRENT</t>
        </is>
      </c>
      <c r="S571" s="681" t="n"/>
      <c r="T571" s="682" t="n"/>
      <c r="U571" s="683" t="inlineStr">
        <is>
          <t>FANZONE STUDIOS</t>
        </is>
      </c>
      <c r="V571" s="675" t="n">
        <v>2026</v>
      </c>
      <c r="W571" s="682" t="n">
        <v>46163</v>
      </c>
      <c r="X571" s="682" t="n"/>
      <c r="Y571" s="682" t="n">
        <v>46174</v>
      </c>
      <c r="Z571" s="679" t="n">
        <v>803722.5</v>
      </c>
      <c r="AA571" s="680" t="n">
        <v>75000</v>
      </c>
      <c r="AB571" s="680" t="n">
        <v>803722.5</v>
      </c>
      <c r="AC571" s="680" t="n">
        <v>75000</v>
      </c>
      <c r="AD571" s="680">
        <f>+AB571</f>
        <v/>
      </c>
      <c r="AE571" s="680">
        <f>+AD571</f>
        <v/>
      </c>
      <c r="AF571" s="684" t="inlineStr">
        <is>
          <t>ENGAGE</t>
        </is>
      </c>
      <c r="AG571" s="683" t="n"/>
      <c r="AH571" s="680" t="n"/>
      <c r="AI571" s="680" t="n"/>
      <c r="AJ571" s="680" t="n"/>
      <c r="AK571" s="680" t="n"/>
      <c r="AL571" s="685" t="n"/>
      <c r="AM571" s="685" t="n"/>
      <c r="AN571" s="683" t="inlineStr">
        <is>
          <t>R.A.S</t>
        </is>
      </c>
    </row>
    <row r="572" ht="33" customHeight="1" s="392">
      <c r="A572" s="672">
        <f>IF(AF572="ENGAGE","✔",IF(AF572="EN COURS D'ENGAGEMENT","◕",IF(AF572="PREENGAGE","◑",IF(AF572="EN COURS DE PREENGAGEMENT","◔",IF(AF572="NON ENGAGE","✖","")))))</f>
        <v/>
      </c>
      <c r="B572" s="673" t="n">
        <v>2026</v>
      </c>
      <c r="C572" s="674" t="inlineStr">
        <is>
          <t>DPMG</t>
        </is>
      </c>
      <c r="D572" s="674" t="inlineStr">
        <is>
          <t>45AOM/SNRT/2026</t>
        </is>
      </c>
      <c r="E572" s="675" t="inlineStr">
        <is>
          <t>AOO-M</t>
        </is>
      </c>
      <c r="F572" s="675" t="n"/>
      <c r="G572" s="676" t="inlineStr">
        <is>
          <t>Peinture des facades et des locaux de la SNRT</t>
        </is>
      </c>
      <c r="H572" s="673" t="inlineStr">
        <is>
          <t>VALIDE</t>
        </is>
      </c>
      <c r="I572" s="675" t="inlineStr">
        <is>
          <t>ATTRIBUE</t>
        </is>
      </c>
      <c r="J572" s="675" t="n"/>
      <c r="K572" s="673" t="inlineStr">
        <is>
          <t>PME</t>
        </is>
      </c>
      <c r="L572" s="675" t="inlineStr">
        <is>
          <t>Ordinaire</t>
        </is>
      </c>
      <c r="M572" s="677" t="inlineStr">
        <is>
          <t>INVESTISSEMENT</t>
        </is>
      </c>
      <c r="N572" s="678" t="inlineStr">
        <is>
          <t>Agencements et aménagement constructions</t>
        </is>
      </c>
      <c r="O572" s="679">
        <f>P572*1.2</f>
        <v/>
      </c>
      <c r="P572" s="680" t="n">
        <v>459600</v>
      </c>
      <c r="Q572" s="680">
        <f>P572/1.2</f>
        <v/>
      </c>
      <c r="R572" s="675" t="inlineStr">
        <is>
          <t>NOUVEAU BESOIN</t>
        </is>
      </c>
      <c r="S572" s="681" t="n"/>
      <c r="T572" s="682" t="n"/>
      <c r="U572" s="683" t="inlineStr">
        <is>
          <t>ALI OUBANE TRAVAUX</t>
        </is>
      </c>
      <c r="V572" s="675" t="n"/>
      <c r="W572" s="682" t="n">
        <v>46195</v>
      </c>
      <c r="X572" s="682" t="n"/>
      <c r="Y572" s="682" t="n"/>
      <c r="Z572" s="679" t="n"/>
      <c r="AA572" s="680" t="n"/>
      <c r="AB572" s="680" t="n"/>
      <c r="AC572" s="680" t="n"/>
      <c r="AD572" s="680" t="n"/>
      <c r="AE572" s="680" t="n">
        <v>457560</v>
      </c>
      <c r="AF572" s="684" t="inlineStr">
        <is>
          <t>EN COURS D'ENGAGEMENT</t>
        </is>
      </c>
      <c r="AG572" s="683" t="n"/>
      <c r="AH572" s="680" t="n"/>
      <c r="AI572" s="680" t="n"/>
      <c r="AJ572" s="680" t="n"/>
      <c r="AK572" s="680" t="n"/>
      <c r="AL572" s="685" t="n"/>
      <c r="AM572" s="685" t="n"/>
      <c r="AN572" s="683" t="n"/>
    </row>
    <row r="573" ht="35.7" customHeight="1" s="392">
      <c r="A573" s="672">
        <f>IF(AF573="ENGAGE","✔",IF(AF573="EN COURS D'ENGAGEMENT","◕",IF(AF573="PREENGAGE","◑",IF(AF573="EN COURS DE PREENGAGEMENT","◔",IF(AF573="NON ENGAGE","✖","")))))</f>
        <v/>
      </c>
      <c r="B573" s="673" t="n">
        <v>2026</v>
      </c>
      <c r="C573" s="674" t="inlineStr">
        <is>
          <t>DPMG</t>
        </is>
      </c>
      <c r="D573" s="674" t="inlineStr">
        <is>
          <t>22 AOM/SNRT</t>
        </is>
      </c>
      <c r="E573" s="675" t="inlineStr">
        <is>
          <t>AOO-M</t>
        </is>
      </c>
      <c r="F573" s="675" t="n">
        <v>1</v>
      </c>
      <c r="G573" s="676" t="inlineStr">
        <is>
          <t>Fourniture et installation du matériel de bureau : Photocopieurs, Fax, Toners, Drums et Fours</t>
        </is>
      </c>
      <c r="H573" s="673" t="inlineStr">
        <is>
          <t>VALIDE</t>
        </is>
      </c>
      <c r="I573" s="675" t="inlineStr">
        <is>
          <t>APPROUVE</t>
        </is>
      </c>
      <c r="J573" s="675" t="n"/>
      <c r="K573" s="673" t="inlineStr">
        <is>
          <t>GENERAL</t>
        </is>
      </c>
      <c r="L573" s="675" t="inlineStr">
        <is>
          <t>REPORT BUDGET ANNEE ANTERIEURE</t>
        </is>
      </c>
      <c r="M573" s="677" t="inlineStr">
        <is>
          <t>INVESTISSEMENT</t>
        </is>
      </c>
      <c r="N573" s="678" t="inlineStr">
        <is>
          <t>Matériel de bureau</t>
        </is>
      </c>
      <c r="O573" s="679">
        <f>P573*1.2</f>
        <v/>
      </c>
      <c r="P573" s="680" t="n">
        <v>782160</v>
      </c>
      <c r="Q573" s="680">
        <f>P573/1.2</f>
        <v/>
      </c>
      <c r="R573" s="675" t="inlineStr">
        <is>
          <t>BESOIN RECURRENT</t>
        </is>
      </c>
      <c r="S573" s="681" t="n"/>
      <c r="T573" s="682" t="n"/>
      <c r="U573" s="683" t="n"/>
      <c r="V573" s="675" t="n"/>
      <c r="W573" s="682" t="n">
        <v>46175</v>
      </c>
      <c r="X573" s="682" t="n">
        <v>46176</v>
      </c>
      <c r="Y573" s="682" t="n"/>
      <c r="Z573" s="679" t="n"/>
      <c r="AA573" s="680" t="n"/>
      <c r="AB573" s="680" t="n"/>
      <c r="AC573" s="680" t="n"/>
      <c r="AD573" s="680">
        <f>Engagements2026Juillet[[#This Row],[TOTAL MARCHE TTC TOTAL ENGAGE TTC]]/1.2</f>
        <v/>
      </c>
      <c r="AE573" s="680" t="n">
        <v>868200</v>
      </c>
      <c r="AF573" s="684" t="inlineStr">
        <is>
          <t>ENGAGE</t>
        </is>
      </c>
      <c r="AG573" s="683" t="n"/>
      <c r="AH573" s="680" t="n"/>
      <c r="AI573" s="680" t="n"/>
      <c r="AJ573" s="680" t="n"/>
      <c r="AK573" s="680" t="n"/>
      <c r="AL573" s="685" t="n"/>
      <c r="AM573" s="685" t="n"/>
      <c r="AN573" s="683" t="n"/>
    </row>
    <row r="574" ht="35.7" customHeight="1" s="392">
      <c r="A574" s="672">
        <f>IF(AF574="ENGAGE","✔",IF(AF574="EN COURS D'ENGAGEMENT","◕",IF(AF574="PREENGAGE","◑",IF(AF574="EN COURS DE PREENGAGEMENT","◔",IF(AF574="NON ENGAGE","✖","")))))</f>
        <v/>
      </c>
      <c r="B574" s="673" t="n">
        <v>2026</v>
      </c>
      <c r="C574" s="674" t="inlineStr">
        <is>
          <t>DPMG</t>
        </is>
      </c>
      <c r="D574" s="674" t="inlineStr">
        <is>
          <t>22 AOM/SNRT</t>
        </is>
      </c>
      <c r="E574" s="675" t="inlineStr">
        <is>
          <t>AOO-M</t>
        </is>
      </c>
      <c r="F574" s="675" t="n">
        <v>2</v>
      </c>
      <c r="G574" s="676" t="inlineStr">
        <is>
          <t>Achat du consommable pour photocopieur et fax : Toners, Drums et Fours</t>
        </is>
      </c>
      <c r="H574" s="673" t="inlineStr">
        <is>
          <t>VALIDE</t>
        </is>
      </c>
      <c r="I574" s="675" t="inlineStr">
        <is>
          <t>ATTRIBUE</t>
        </is>
      </c>
      <c r="J574" s="675" t="n"/>
      <c r="K574" s="673" t="inlineStr">
        <is>
          <t>GENERAL</t>
        </is>
      </c>
      <c r="L574" s="675" t="inlineStr">
        <is>
          <t>Ordinaire</t>
        </is>
      </c>
      <c r="M574" s="677" t="inlineStr">
        <is>
          <t>FONCTIONNEMENT</t>
        </is>
      </c>
      <c r="N574" s="678" t="inlineStr">
        <is>
          <t>Achats de matières et fournitures consommables</t>
        </is>
      </c>
      <c r="O574" s="679">
        <f>P574*1.2</f>
        <v/>
      </c>
      <c r="P574" s="680" t="n">
        <v>201000</v>
      </c>
      <c r="Q574" s="680">
        <f>P574/1.2</f>
        <v/>
      </c>
      <c r="R574" s="675" t="inlineStr">
        <is>
          <t>BESOIN RECURRENT</t>
        </is>
      </c>
      <c r="S574" s="681" t="n"/>
      <c r="T574" s="682" t="n"/>
      <c r="U574" s="683" t="n"/>
      <c r="V574" s="675" t="n"/>
      <c r="W574" s="682" t="n">
        <v>46175</v>
      </c>
      <c r="X574" s="682" t="n">
        <v>46176</v>
      </c>
      <c r="Y574" s="682" t="n"/>
      <c r="Z574" s="679" t="n"/>
      <c r="AA574" s="680" t="n"/>
      <c r="AB574" s="680" t="n"/>
      <c r="AC574" s="680" t="n"/>
      <c r="AD574" s="680">
        <f>Engagements2026Juillet[[#This Row],[TOTAL MARCHE TTC TOTAL ENGAGE TTC]]/1.2</f>
        <v/>
      </c>
      <c r="AE574" s="680" t="n">
        <v>223140</v>
      </c>
      <c r="AF574" s="684" t="inlineStr">
        <is>
          <t>EN COURS D'ENGAGEMENT</t>
        </is>
      </c>
      <c r="AG574" s="683" t="n"/>
      <c r="AH574" s="680" t="n"/>
      <c r="AI574" s="680" t="n"/>
      <c r="AJ574" s="680" t="n"/>
      <c r="AK574" s="680" t="n"/>
      <c r="AL574" s="685" t="n"/>
      <c r="AM574" s="685" t="n"/>
      <c r="AN574" s="683" t="n"/>
    </row>
    <row r="575" ht="46.5" customHeight="1" s="392">
      <c r="A575" s="672">
        <f>IF(AF575="ENGAGE","✔",IF(AF575="EN COURS D'ENGAGEMENT","◕",IF(AF575="PREENGAGE","◑",IF(AF575="EN COURS DE PREENGAGEMENT","◔",IF(AF575="NON ENGAGE","✖","")))))</f>
        <v/>
      </c>
      <c r="B575" s="673" t="n">
        <v>2026</v>
      </c>
      <c r="C575" s="674" t="inlineStr">
        <is>
          <t>DINFOTV</t>
        </is>
      </c>
      <c r="D575" s="674" t="inlineStr">
        <is>
          <t>PV N° : 02NV2026- DITV</t>
        </is>
      </c>
      <c r="E575" s="675" t="inlineStr">
        <is>
          <t>CONTRAT</t>
        </is>
      </c>
      <c r="F575" s="675" t="n">
        <v>1</v>
      </c>
      <c r="G575" s="676" t="inlineStr">
        <is>
          <t>BELHAISSI YOUSSEF – La préparation et la présentation des emissions politiques</t>
        </is>
      </c>
      <c r="H575" s="673" t="inlineStr">
        <is>
          <t>VALIDE</t>
        </is>
      </c>
      <c r="I575" s="675" t="inlineStr">
        <is>
          <t>APPROUVE</t>
        </is>
      </c>
      <c r="J575" s="675" t="n"/>
      <c r="K575" s="673" t="inlineStr">
        <is>
          <t>NON CONCERNE</t>
        </is>
      </c>
      <c r="L575" s="675" t="inlineStr">
        <is>
          <t>Ordinaire</t>
        </is>
      </c>
      <c r="M575" s="677" t="inlineStr">
        <is>
          <t>FONCTIONNEMENT</t>
        </is>
      </c>
      <c r="N575" s="678" t="inlineStr">
        <is>
          <t>Prestations de service
Achat prestations de services locales - personnes physiques</t>
        </is>
      </c>
      <c r="O575" s="679" t="n"/>
      <c r="P575" s="680" t="n"/>
      <c r="Q575" s="680" t="n"/>
      <c r="R575" s="675" t="inlineStr">
        <is>
          <t>BESOIN RECURRENT</t>
        </is>
      </c>
      <c r="S575" s="681" t="n"/>
      <c r="T575" s="682" t="n"/>
      <c r="U575" s="683" t="inlineStr">
        <is>
          <t>BELHAISSI YOUSSEF</t>
        </is>
      </c>
      <c r="V575" s="675" t="n"/>
      <c r="W575" s="682" t="n">
        <v>46084</v>
      </c>
      <c r="X575" s="682" t="n"/>
      <c r="Y575" s="682" t="n"/>
      <c r="Z575" s="679" t="n">
        <v>800000</v>
      </c>
      <c r="AA575" s="680" t="n"/>
      <c r="AB575" s="680" t="n">
        <v>960000</v>
      </c>
      <c r="AC575" s="680" t="n"/>
      <c r="AD575" s="680">
        <f>+Z575</f>
        <v/>
      </c>
      <c r="AE575" s="680">
        <f>+AB575</f>
        <v/>
      </c>
      <c r="AF575" s="684" t="inlineStr">
        <is>
          <t>ENGAGE</t>
        </is>
      </c>
      <c r="AG575" s="683" t="n"/>
      <c r="AH575" s="680" t="n"/>
      <c r="AI575" s="680" t="n"/>
      <c r="AJ575" s="680" t="n"/>
      <c r="AK575" s="680" t="n"/>
      <c r="AL575" s="685" t="n"/>
      <c r="AM575" s="685" t="n"/>
      <c r="AN575" s="683" t="n"/>
    </row>
    <row r="576" ht="50.55" customHeight="1" s="392">
      <c r="A576" s="672">
        <f>IF(AF576="ENGAGE","✔",IF(AF576="EN COURS D'ENGAGEMENT","◕",IF(AF576="PREENGAGE","◑",IF(AF576="EN COURS DE PREENGAGEMENT","◔",IF(AF576="NON ENGAGE","✖","")))))</f>
        <v/>
      </c>
      <c r="B576" s="673" t="n">
        <v>2026</v>
      </c>
      <c r="C576" s="674" t="inlineStr">
        <is>
          <t>DTSI</t>
        </is>
      </c>
      <c r="D576" s="674" t="inlineStr">
        <is>
          <t>52 AOM/SNRT</t>
        </is>
      </c>
      <c r="E576" s="675" t="inlineStr">
        <is>
          <t>AOO-M</t>
        </is>
      </c>
      <c r="F576" s="675" t="n">
        <v>1</v>
      </c>
      <c r="G576" s="676" t="inlineStr">
        <is>
          <t>La fourniture et la mise en service de véhicules fourgon aménagés en rayonnage pour les besoins de la production de la SNRT</t>
        </is>
      </c>
      <c r="H576" s="673" t="inlineStr">
        <is>
          <t>INFRUCTUEUX</t>
        </is>
      </c>
      <c r="I576" s="675" t="inlineStr">
        <is>
          <t>INFRUCTUEUX</t>
        </is>
      </c>
      <c r="J576" s="675" t="n"/>
      <c r="K576" s="673" t="inlineStr">
        <is>
          <t>GENERAL</t>
        </is>
      </c>
      <c r="L576" s="675" t="inlineStr">
        <is>
          <t>Exceptionnel</t>
        </is>
      </c>
      <c r="M576" s="677" t="inlineStr">
        <is>
          <t>INVESTISSEMENT</t>
        </is>
      </c>
      <c r="N576" s="678" t="inlineStr">
        <is>
          <t>Équipements techniques</t>
        </is>
      </c>
      <c r="O576" s="679">
        <f>P576*1.2</f>
        <v/>
      </c>
      <c r="P576" s="680" t="n">
        <v>2054700</v>
      </c>
      <c r="Q576" s="680">
        <f>P576/1.2</f>
        <v/>
      </c>
      <c r="R576" s="675" t="inlineStr">
        <is>
          <t>NOUVEAU BESOIN</t>
        </is>
      </c>
      <c r="S576" s="681" t="n"/>
      <c r="T576" s="682" t="n"/>
      <c r="U576" s="683" t="n"/>
      <c r="V576" s="675" t="n"/>
      <c r="W576" s="682" t="n">
        <v>46175</v>
      </c>
      <c r="X576" s="682" t="n">
        <v>46176</v>
      </c>
      <c r="Y576" s="682" t="n"/>
      <c r="Z576" s="679" t="n"/>
      <c r="AA576" s="680" t="n"/>
      <c r="AB576" s="680" t="n"/>
      <c r="AC576" s="680" t="n"/>
      <c r="AD576" s="680" t="n"/>
      <c r="AE576" s="680" t="n">
        <v>0</v>
      </c>
      <c r="AF576" s="684" t="inlineStr">
        <is>
          <t>NON ENGAGE</t>
        </is>
      </c>
      <c r="AG576" s="683" t="n"/>
      <c r="AH576" s="680" t="n"/>
      <c r="AI576" s="680" t="n"/>
      <c r="AJ576" s="680" t="n"/>
      <c r="AK576" s="680" t="n"/>
      <c r="AL576" s="685" t="n"/>
      <c r="AM576" s="685" t="n"/>
      <c r="AN576" s="683" t="n"/>
    </row>
    <row r="577" ht="35.7" customHeight="1" s="392">
      <c r="A577" s="672">
        <f>IF(AF577="ENGAGE","✔",IF(AF577="EN COURS D'ENGAGEMENT","◕",IF(AF577="PREENGAGE","◑",IF(AF577="EN COURS DE PREENGAGEMENT","◔",IF(AF577="NON ENGAGE","✖","")))))</f>
        <v/>
      </c>
      <c r="B577" s="673" t="n">
        <v>2026</v>
      </c>
      <c r="C577" s="674" t="inlineStr">
        <is>
          <t>DTSI</t>
        </is>
      </c>
      <c r="D577" s="674" t="inlineStr">
        <is>
          <t>46 AOM/SNRT</t>
        </is>
      </c>
      <c r="E577" s="675" t="inlineStr">
        <is>
          <t>AOO-M</t>
        </is>
      </c>
      <c r="F577" s="675" t="n">
        <v>1</v>
      </c>
      <c r="G577" s="676" t="inlineStr">
        <is>
          <t>Renouvellement des licences de la solution de gestion financière pour les besoins de la SNRT</t>
        </is>
      </c>
      <c r="H577" s="673" t="inlineStr">
        <is>
          <t>VALIDE</t>
        </is>
      </c>
      <c r="I577" s="675" t="inlineStr">
        <is>
          <t>INFRUCTUEUX</t>
        </is>
      </c>
      <c r="J577" s="675" t="n"/>
      <c r="K577" s="673" t="inlineStr">
        <is>
          <t>PME</t>
        </is>
      </c>
      <c r="L577" s="675" t="inlineStr">
        <is>
          <t>Ordinaire</t>
        </is>
      </c>
      <c r="M577" s="677" t="inlineStr">
        <is>
          <t>FONCTIONNEMENT</t>
        </is>
      </c>
      <c r="N577" s="678" t="inlineStr">
        <is>
          <t>Redevances et cotisations</t>
        </is>
      </c>
      <c r="O577" s="679">
        <f>P577*1.2</f>
        <v/>
      </c>
      <c r="P577" s="680" t="n">
        <v>112824</v>
      </c>
      <c r="Q577" s="680">
        <f>P577/1.2</f>
        <v/>
      </c>
      <c r="R577" s="675" t="inlineStr">
        <is>
          <t>BESOIN RECURRENT</t>
        </is>
      </c>
      <c r="S577" s="681" t="n"/>
      <c r="T577" s="682" t="n"/>
      <c r="U577" s="683" t="n"/>
      <c r="V577" s="675" t="n"/>
      <c r="W577" s="682" t="n">
        <v>46175</v>
      </c>
      <c r="X577" s="682" t="n">
        <v>46176</v>
      </c>
      <c r="Y577" s="682" t="n"/>
      <c r="Z577" s="679" t="n"/>
      <c r="AA577" s="680" t="n"/>
      <c r="AB577" s="680" t="n"/>
      <c r="AC577" s="680" t="n"/>
      <c r="AD577" s="680" t="n"/>
      <c r="AE577" s="680" t="n"/>
      <c r="AF577" s="684" t="inlineStr">
        <is>
          <t>NON ENGAGE</t>
        </is>
      </c>
      <c r="AG577" s="683" t="n"/>
      <c r="AH577" s="680" t="n"/>
      <c r="AI577" s="680" t="n"/>
      <c r="AJ577" s="680" t="n"/>
      <c r="AK577" s="680" t="n"/>
      <c r="AL577" s="685" t="n"/>
      <c r="AM577" s="685" t="n"/>
      <c r="AN577" s="683" t="n"/>
    </row>
    <row r="578" ht="50.55" customHeight="1" s="392">
      <c r="A578" s="672">
        <f>IF(AF578="ENGAGE","✔",IF(AF578="EN COURS D'ENGAGEMENT","◕",IF(AF578="PREENGAGE","◑",IF(AF578="EN COURS DE PREENGAGEMENT","◔",IF(AF578="NON ENGAGE","✖","")))))</f>
        <v/>
      </c>
      <c r="B578" s="673" t="n">
        <v>2026</v>
      </c>
      <c r="C578" s="674" t="inlineStr">
        <is>
          <t>DTSI</t>
        </is>
      </c>
      <c r="D578" s="674" t="inlineStr">
        <is>
          <t>16 AOM/SNRT</t>
        </is>
      </c>
      <c r="E578" s="675" t="inlineStr">
        <is>
          <t>AOO-M</t>
        </is>
      </c>
      <c r="F578" s="675" t="n">
        <v>1</v>
      </c>
      <c r="G578" s="676" t="inlineStr">
        <is>
          <t>La numérisation des anciennes archives télévisuelles stockées sur des supports analogiques de type cassette U-MATIC pour les besoins des archives TV de la SNRT</t>
        </is>
      </c>
      <c r="H578" s="673" t="inlineStr">
        <is>
          <t>VALIDE</t>
        </is>
      </c>
      <c r="I578" s="675" t="inlineStr">
        <is>
          <t>ATTRIBUE</t>
        </is>
      </c>
      <c r="J578" s="675" t="n"/>
      <c r="K578" s="673" t="inlineStr">
        <is>
          <t>GENERAL</t>
        </is>
      </c>
      <c r="L578" s="675" t="inlineStr">
        <is>
          <t>Ordinaire</t>
        </is>
      </c>
      <c r="M578" s="677" t="inlineStr">
        <is>
          <t>FONCTIONNEMENT</t>
        </is>
      </c>
      <c r="N578" s="678" t="inlineStr">
        <is>
          <t>Prestation de services
Achat prestations de services locales - sociétés</t>
        </is>
      </c>
      <c r="O578" s="679">
        <f>P578*1.2</f>
        <v/>
      </c>
      <c r="P578" s="680" t="n">
        <v>1019520</v>
      </c>
      <c r="Q578" s="680">
        <f>P578/1.2</f>
        <v/>
      </c>
      <c r="R578" s="675" t="inlineStr">
        <is>
          <t>NOUVEAU BESOIN</t>
        </is>
      </c>
      <c r="S578" s="681" t="n"/>
      <c r="T578" s="682" t="n"/>
      <c r="U578" s="683" t="inlineStr">
        <is>
          <t>VESTRACOM</t>
        </is>
      </c>
      <c r="V578" s="675" t="n"/>
      <c r="W578" s="682" t="n">
        <v>46175</v>
      </c>
      <c r="X578" s="682" t="n">
        <v>46176</v>
      </c>
      <c r="Y578" s="682" t="n"/>
      <c r="Z578" s="679" t="n"/>
      <c r="AA578" s="680" t="n"/>
      <c r="AB578" s="680" t="n"/>
      <c r="AC578" s="680" t="n">
        <v>90720</v>
      </c>
      <c r="AD578" s="680" t="n"/>
      <c r="AE578" s="680" t="n">
        <v>970159.6800000001</v>
      </c>
      <c r="AF578" s="684" t="inlineStr">
        <is>
          <t>EN COURS D'ENGAGEMENT</t>
        </is>
      </c>
      <c r="AG578" s="683" t="n"/>
      <c r="AH578" s="680" t="n"/>
      <c r="AI578" s="680" t="n"/>
      <c r="AJ578" s="680" t="n"/>
      <c r="AK578" s="680" t="n"/>
      <c r="AL578" s="685" t="n"/>
      <c r="AM578" s="685" t="n"/>
      <c r="AN578" s="683" t="n"/>
    </row>
    <row r="579" ht="35.7" customHeight="1" s="392">
      <c r="A579" s="672">
        <f>IF(AF579="ENGAGE","✔",IF(AF579="EN COURS D'ENGAGEMENT","◕",IF(AF579="PREENGAGE","◑",IF(AF579="EN COURS DE PREENGAGEMENT","◔",IF(AF579="NON ENGAGE","✖","")))))</f>
        <v/>
      </c>
      <c r="B579" s="673" t="n">
        <v>2026</v>
      </c>
      <c r="C579" s="674" t="inlineStr">
        <is>
          <t>TDF-EXP&amp;MAIN</t>
        </is>
      </c>
      <c r="D579" s="674" t="inlineStr">
        <is>
          <t>51 AOM</t>
        </is>
      </c>
      <c r="E579" s="675" t="inlineStr">
        <is>
          <t>AOO-M</t>
        </is>
      </c>
      <c r="F579" s="675" t="n">
        <v>1</v>
      </c>
      <c r="G579" s="676" t="inlineStr">
        <is>
          <t>Fourniture des modules et pièces de rechange pour les émetteurs FM de marque RVR</t>
        </is>
      </c>
      <c r="H579" s="673" t="inlineStr">
        <is>
          <t>VALIDE</t>
        </is>
      </c>
      <c r="I579" s="675" t="inlineStr">
        <is>
          <t>ATTRIBUE</t>
        </is>
      </c>
      <c r="J579" s="675" t="n"/>
      <c r="K579" s="673" t="inlineStr">
        <is>
          <t>GENERAL</t>
        </is>
      </c>
      <c r="L579" s="675" t="inlineStr">
        <is>
          <t>Ordinaire</t>
        </is>
      </c>
      <c r="M579" s="677" t="inlineStr">
        <is>
          <t>FONCTIONNEMENT</t>
        </is>
      </c>
      <c r="N579" s="678" t="inlineStr">
        <is>
          <t>Achats de matières et fournitures consommables</t>
        </is>
      </c>
      <c r="O579" s="679">
        <f>P579*1.2</f>
        <v/>
      </c>
      <c r="P579" s="680" t="n">
        <v>2254080</v>
      </c>
      <c r="Q579" s="680">
        <f>P579/1.2</f>
        <v/>
      </c>
      <c r="R579" s="675" t="inlineStr">
        <is>
          <t>BESOIN RECURRENT</t>
        </is>
      </c>
      <c r="S579" s="681" t="n"/>
      <c r="T579" s="682" t="n"/>
      <c r="U579" s="683" t="inlineStr">
        <is>
          <t>MOYANO MAROC</t>
        </is>
      </c>
      <c r="V579" s="675" t="n"/>
      <c r="W579" s="682" t="n">
        <v>46175</v>
      </c>
      <c r="X579" s="682" t="n">
        <v>46176</v>
      </c>
      <c r="Y579" s="682" t="n"/>
      <c r="Z579" s="679" t="n"/>
      <c r="AA579" s="680" t="n"/>
      <c r="AB579" s="680">
        <f>Engagements2026Juillet[[#This Row],[TOTAL MARCHE TTC TOTAL ENGAGE TTC]]</f>
        <v/>
      </c>
      <c r="AC579" s="680" t="n"/>
      <c r="AD579" s="680">
        <f>Engagements2026Juillet[[#This Row],[TOTAL MARCHE TTC TOTAL ENGAGE TTC]]/1.2</f>
        <v/>
      </c>
      <c r="AE579" s="680" t="n">
        <v>2700386.4</v>
      </c>
      <c r="AF579" s="684" t="inlineStr">
        <is>
          <t>EN COURS D'ENGAGEMENT</t>
        </is>
      </c>
      <c r="AG579" s="683" t="n"/>
      <c r="AH579" s="680" t="n"/>
      <c r="AI579" s="680" t="n"/>
      <c r="AJ579" s="680" t="n"/>
      <c r="AK579" s="680" t="n"/>
      <c r="AL579" s="685" t="n"/>
      <c r="AM579" s="685" t="n"/>
      <c r="AN579" s="683" t="n"/>
    </row>
    <row r="580" ht="35.7" customHeight="1" s="392">
      <c r="A580" s="672">
        <f>IF(AF580="ENGAGE","✔",IF(AF580="EN COURS D'ENGAGEMENT","◕",IF(AF580="PREENGAGE","◑",IF(AF580="EN COURS DE PREENGAGEMENT","◔",IF(AF580="NON ENGAGE","✖","")))))</f>
        <v/>
      </c>
      <c r="B580" s="673" t="n">
        <v>2026</v>
      </c>
      <c r="C580" s="674" t="inlineStr">
        <is>
          <t>TDF-EXP&amp;MAIN</t>
        </is>
      </c>
      <c r="D580" s="674" t="inlineStr">
        <is>
          <t>51 AOM</t>
        </is>
      </c>
      <c r="E580" s="675" t="inlineStr">
        <is>
          <t>AOO-M</t>
        </is>
      </c>
      <c r="F580" s="675" t="n">
        <v>2</v>
      </c>
      <c r="G580" s="676" t="inlineStr">
        <is>
          <t>Fourniture des modules et pièces de rechange pour les émetteurs FM 10 KW et 5 KW de marque RFE</t>
        </is>
      </c>
      <c r="H580" s="673" t="inlineStr">
        <is>
          <t>INFRUCTUEUX</t>
        </is>
      </c>
      <c r="I580" s="675" t="inlineStr">
        <is>
          <t>INFRUCTUEUX</t>
        </is>
      </c>
      <c r="J580" s="675" t="n"/>
      <c r="K580" s="673" t="inlineStr">
        <is>
          <t>GENERAL</t>
        </is>
      </c>
      <c r="L580" s="675" t="inlineStr">
        <is>
          <t>Ordinaire</t>
        </is>
      </c>
      <c r="M580" s="677" t="inlineStr">
        <is>
          <t>FONCTIONNEMENT</t>
        </is>
      </c>
      <c r="N580" s="678" t="inlineStr">
        <is>
          <t>Achats de matières et fournitures consommables</t>
        </is>
      </c>
      <c r="O580" s="679">
        <f>P580*1.2</f>
        <v/>
      </c>
      <c r="P580" s="680" t="n">
        <v>2945880</v>
      </c>
      <c r="Q580" s="680">
        <f>P580/1.2</f>
        <v/>
      </c>
      <c r="R580" s="675" t="inlineStr">
        <is>
          <t>BESOIN RECURRENT</t>
        </is>
      </c>
      <c r="S580" s="681" t="n"/>
      <c r="T580" s="682" t="n"/>
      <c r="U580" s="683" t="n"/>
      <c r="V580" s="675" t="n"/>
      <c r="W580" s="682" t="n">
        <v>46175</v>
      </c>
      <c r="X580" s="682" t="n">
        <v>46176</v>
      </c>
      <c r="Y580" s="682" t="n"/>
      <c r="Z580" s="679" t="n"/>
      <c r="AA580" s="680" t="n"/>
      <c r="AB580" s="680" t="n"/>
      <c r="AC580" s="680" t="n"/>
      <c r="AD580" s="680" t="n"/>
      <c r="AE580" s="680" t="n"/>
      <c r="AF580" s="684" t="inlineStr">
        <is>
          <t>NON ENGAGE</t>
        </is>
      </c>
      <c r="AG580" s="683" t="n"/>
      <c r="AH580" s="680" t="n"/>
      <c r="AI580" s="680" t="n"/>
      <c r="AJ580" s="680" t="n"/>
      <c r="AK580" s="680" t="n"/>
      <c r="AL580" s="685" t="n"/>
      <c r="AM580" s="685" t="n"/>
      <c r="AN580" s="683" t="n"/>
    </row>
    <row r="581" ht="50.55" customHeight="1" s="392">
      <c r="A581" s="672">
        <f>IF(AF581="ENGAGE","✔",IF(AF581="EN COURS D'ENGAGEMENT","◕",IF(AF581="PREENGAGE","◑",IF(AF581="EN COURS DE PREENGAGEMENT","◔",IF(AF581="NON ENGAGE","✖","")))))</f>
        <v/>
      </c>
      <c r="B581" s="673" t="n">
        <v>2026</v>
      </c>
      <c r="C581" s="674" t="inlineStr">
        <is>
          <t>DCPA</t>
        </is>
      </c>
      <c r="D581" s="674" t="inlineStr">
        <is>
          <t>EXCLUSIVITÉ</t>
        </is>
      </c>
      <c r="E581" s="675" t="inlineStr">
        <is>
          <t>CONTRAT</t>
        </is>
      </c>
      <c r="F581" s="675" t="n">
        <v>1</v>
      </c>
      <c r="G581" s="676" t="inlineStr">
        <is>
          <t>La captation et la cession exclusive pour le compte de la SNRT des droits de diffusion des concerts du Festival Gnaoua et Musiques du Monde</t>
        </is>
      </c>
      <c r="H581" s="673" t="inlineStr">
        <is>
          <t>VALIDE</t>
        </is>
      </c>
      <c r="I581" s="675" t="inlineStr">
        <is>
          <t>APPROUVE</t>
        </is>
      </c>
      <c r="J581" s="675" t="n"/>
      <c r="K581" s="673" t="inlineStr">
        <is>
          <t>NON CONCERNE</t>
        </is>
      </c>
      <c r="L581" s="675" t="inlineStr">
        <is>
          <t>Ordinaire</t>
        </is>
      </c>
      <c r="M581" s="677" t="inlineStr">
        <is>
          <t>FONCTIONNEMENT</t>
        </is>
      </c>
      <c r="N581" s="678" t="inlineStr">
        <is>
          <t>Achats de droits 
Achats des droits de captation</t>
        </is>
      </c>
      <c r="O581" s="679" t="n"/>
      <c r="P581" s="680" t="n"/>
      <c r="Q581" s="680" t="n"/>
      <c r="R581" s="675" t="inlineStr">
        <is>
          <t>BESOIN RECURRENT</t>
        </is>
      </c>
      <c r="S581" s="681" t="n"/>
      <c r="T581" s="682" t="n"/>
      <c r="U581" s="683" t="inlineStr">
        <is>
          <t>A3 COMMUNICATION</t>
        </is>
      </c>
      <c r="V581" s="675" t="n">
        <v>2026</v>
      </c>
      <c r="W581" s="682" t="n">
        <v>46185</v>
      </c>
      <c r="X581" s="682" t="n"/>
      <c r="Y581" s="682" t="n">
        <v>46191</v>
      </c>
      <c r="Z581" s="679">
        <f>AD581</f>
        <v/>
      </c>
      <c r="AA581" s="680" t="n">
        <v>0</v>
      </c>
      <c r="AB581" s="680">
        <f>AE581</f>
        <v/>
      </c>
      <c r="AC581" s="680" t="n">
        <v>0</v>
      </c>
      <c r="AD581" s="680">
        <f>AE581/1.2</f>
        <v/>
      </c>
      <c r="AE581" s="680" t="n">
        <v>400000</v>
      </c>
      <c r="AF581" s="684" t="inlineStr">
        <is>
          <t>ENGAGE</t>
        </is>
      </c>
      <c r="AG581" s="683" t="n"/>
      <c r="AH581" s="680" t="n"/>
      <c r="AI581" s="680" t="n"/>
      <c r="AJ581" s="680" t="n"/>
      <c r="AK581" s="680" t="n"/>
      <c r="AL581" s="685" t="n"/>
      <c r="AM581" s="685" t="n"/>
      <c r="AN581" s="683" t="n"/>
    </row>
    <row r="582" ht="35.7" customHeight="1" s="392">
      <c r="A582" s="672">
        <f>IF(AF582="ENGAGE","✔",IF(AF582="EN COURS D'ENGAGEMENT","◕",IF(AF582="PREENGAGE","◑",IF(AF582="EN COURS DE PREENGAGEMENT","◔",IF(AF582="NON ENGAGE","✖","")))))</f>
        <v/>
      </c>
      <c r="B582" s="673" t="n">
        <v>2026</v>
      </c>
      <c r="C582" s="674" t="inlineStr">
        <is>
          <t>TDF-EXP&amp;MAIN</t>
        </is>
      </c>
      <c r="D582" s="674" t="inlineStr">
        <is>
          <t>47 AOM</t>
        </is>
      </c>
      <c r="E582" s="675" t="inlineStr">
        <is>
          <t>AOO-M</t>
        </is>
      </c>
      <c r="F582" s="675" t="n">
        <v>1</v>
      </c>
      <c r="G582" s="676" t="inlineStr">
        <is>
          <t>Fourniture des modules et piéces de rechange pour les émetteurs TNT de puissance 250 Watts de marque EUROTEK</t>
        </is>
      </c>
      <c r="H582" s="673" t="inlineStr">
        <is>
          <t>EN SIGNATURE</t>
        </is>
      </c>
      <c r="I582" s="675" t="inlineStr">
        <is>
          <t>ATTRIBUE</t>
        </is>
      </c>
      <c r="J582" s="675" t="n"/>
      <c r="K582" s="673" t="inlineStr">
        <is>
          <t>GENERAL</t>
        </is>
      </c>
      <c r="L582" s="675" t="inlineStr">
        <is>
          <t>Ordinaire</t>
        </is>
      </c>
      <c r="M582" s="677" t="inlineStr">
        <is>
          <t>FONCTIONNEMENT</t>
        </is>
      </c>
      <c r="N582" s="678" t="inlineStr">
        <is>
          <t>Achats de matières et fournitures consommables</t>
        </is>
      </c>
      <c r="O582" s="679">
        <f>P582*1.2</f>
        <v/>
      </c>
      <c r="P582" s="680" t="n">
        <v>1841022</v>
      </c>
      <c r="Q582" s="680">
        <f>P582/1.2</f>
        <v/>
      </c>
      <c r="R582" s="675" t="inlineStr">
        <is>
          <t>BESOIN RECURRENT</t>
        </is>
      </c>
      <c r="S582" s="681" t="n"/>
      <c r="T582" s="682" t="n"/>
      <c r="U582" s="683" t="inlineStr">
        <is>
          <t>KLS INFRASTRUCTURE</t>
        </is>
      </c>
      <c r="V582" s="675" t="n"/>
      <c r="W582" s="682" t="n">
        <v>46185</v>
      </c>
      <c r="X582" s="682" t="n"/>
      <c r="Y582" s="682" t="n"/>
      <c r="Z582" s="679" t="n"/>
      <c r="AA582" s="680" t="n"/>
      <c r="AB582" s="680" t="n"/>
      <c r="AC582" s="680" t="n"/>
      <c r="AD582" s="680" t="n"/>
      <c r="AE582" s="680" t="n">
        <v>2190688.8</v>
      </c>
      <c r="AF582" s="684" t="inlineStr">
        <is>
          <t>PREENGAGE</t>
        </is>
      </c>
      <c r="AG582" s="683" t="n"/>
      <c r="AH582" s="680" t="n"/>
      <c r="AI582" s="680" t="n"/>
      <c r="AJ582" s="680" t="n"/>
      <c r="AK582" s="680" t="n"/>
      <c r="AL582" s="685" t="n"/>
      <c r="AM582" s="685" t="n"/>
      <c r="AN582" s="683" t="n"/>
    </row>
    <row r="583" ht="35.7" customHeight="1" s="392">
      <c r="A583" s="672">
        <f>IF(AF583="ENGAGE","✔",IF(AF583="EN COURS D'ENGAGEMENT","◕",IF(AF583="PREENGAGE","◑",IF(AF583="EN COURS DE PREENGAGEMENT","◔",IF(AF583="NON ENGAGE","✖","")))))</f>
        <v/>
      </c>
      <c r="B583" s="673" t="n">
        <v>2026</v>
      </c>
      <c r="C583" s="674" t="inlineStr">
        <is>
          <t>TDF-EXP&amp;MAIN</t>
        </is>
      </c>
      <c r="D583" s="674" t="inlineStr">
        <is>
          <t>47 AOM</t>
        </is>
      </c>
      <c r="E583" s="675" t="inlineStr">
        <is>
          <t>AOO-M</t>
        </is>
      </c>
      <c r="F583" s="675" t="n">
        <v>2</v>
      </c>
      <c r="G583" s="676" t="inlineStr">
        <is>
          <t>Fourniture des modules et piéces de rechange des émetteurs TNT de marque ITELSIS</t>
        </is>
      </c>
      <c r="H583" s="673" t="inlineStr">
        <is>
          <t>EN SIGNATURE</t>
        </is>
      </c>
      <c r="I583" s="675" t="inlineStr">
        <is>
          <t>ATTRIBUE</t>
        </is>
      </c>
      <c r="J583" s="675" t="n"/>
      <c r="K583" s="673" t="inlineStr">
        <is>
          <t>GENERAL</t>
        </is>
      </c>
      <c r="L583" s="675" t="inlineStr">
        <is>
          <t>Ordinaire</t>
        </is>
      </c>
      <c r="M583" s="677" t="inlineStr">
        <is>
          <t>FONCTIONNEMENT</t>
        </is>
      </c>
      <c r="N583" s="678" t="inlineStr">
        <is>
          <t>Achats de matières et fournitures consommables</t>
        </is>
      </c>
      <c r="O583" s="679">
        <f>P583*1.2</f>
        <v/>
      </c>
      <c r="P583" s="680" t="n">
        <v>1855800</v>
      </c>
      <c r="Q583" s="680">
        <f>P583/1.2</f>
        <v/>
      </c>
      <c r="R583" s="675" t="inlineStr">
        <is>
          <t>BESOIN RECURRENT</t>
        </is>
      </c>
      <c r="S583" s="681" t="n"/>
      <c r="T583" s="682" t="n"/>
      <c r="U583" s="683" t="inlineStr">
        <is>
          <t>KLS INFRASTRUCTURE</t>
        </is>
      </c>
      <c r="V583" s="675" t="n"/>
      <c r="W583" s="682" t="n">
        <v>46185</v>
      </c>
      <c r="X583" s="682" t="n"/>
      <c r="Y583" s="682" t="n"/>
      <c r="Z583" s="679" t="n"/>
      <c r="AA583" s="680" t="n"/>
      <c r="AB583" s="680" t="n"/>
      <c r="AC583" s="680" t="n"/>
      <c r="AD583" s="680" t="n"/>
      <c r="AE583" s="680" t="n">
        <v>2217600</v>
      </c>
      <c r="AF583" s="684" t="inlineStr">
        <is>
          <t>PREENGAGE</t>
        </is>
      </c>
      <c r="AG583" s="683" t="n"/>
      <c r="AH583" s="680" t="n"/>
      <c r="AI583" s="680" t="n"/>
      <c r="AJ583" s="680" t="n"/>
      <c r="AK583" s="680" t="n"/>
      <c r="AL583" s="685" t="n"/>
      <c r="AM583" s="685" t="n"/>
      <c r="AN583" s="683" t="n"/>
    </row>
    <row r="584" ht="35.7" customHeight="1" s="392">
      <c r="A584" s="672">
        <f>IF(AF584="ENGAGE","✔",IF(AF584="EN COURS D'ENGAGEMENT","◕",IF(AF584="PREENGAGE","◑",IF(AF584="EN COURS DE PREENGAGEMENT","◔",IF(AF584="NON ENGAGE","✖","")))))</f>
        <v/>
      </c>
      <c r="B584" s="673" t="n">
        <v>2026</v>
      </c>
      <c r="C584" s="674" t="inlineStr">
        <is>
          <t>TDF-EXP&amp;MAIN</t>
        </is>
      </c>
      <c r="D584" s="674" t="inlineStr">
        <is>
          <t>47 AOM</t>
        </is>
      </c>
      <c r="E584" s="675" t="inlineStr">
        <is>
          <t>AOO-M</t>
        </is>
      </c>
      <c r="F584" s="675" t="n">
        <v>3</v>
      </c>
      <c r="G584" s="676" t="inlineStr">
        <is>
          <t>Fourniture des modules et piéces de rechange des émetteurs TNT de marque EGATEL de puissance 10KW</t>
        </is>
      </c>
      <c r="H584" s="673" t="inlineStr">
        <is>
          <t>EN SIGNATURE</t>
        </is>
      </c>
      <c r="I584" s="675" t="inlineStr">
        <is>
          <t>ATTRIBUE</t>
        </is>
      </c>
      <c r="J584" s="675" t="n"/>
      <c r="K584" s="673" t="inlineStr">
        <is>
          <t>GENERAL</t>
        </is>
      </c>
      <c r="L584" s="675" t="inlineStr">
        <is>
          <t>Ordinaire</t>
        </is>
      </c>
      <c r="M584" s="677" t="inlineStr">
        <is>
          <t>FONCTIONNEMENT</t>
        </is>
      </c>
      <c r="N584" s="678" t="inlineStr">
        <is>
          <t>Achats de matières et fournitures consommables</t>
        </is>
      </c>
      <c r="O584" s="679">
        <f>P584*1.2</f>
        <v/>
      </c>
      <c r="P584" s="680" t="n">
        <v>1503144</v>
      </c>
      <c r="Q584" s="680">
        <f>P584/1.2</f>
        <v/>
      </c>
      <c r="R584" s="675" t="inlineStr">
        <is>
          <t>BESOIN RECURRENT</t>
        </is>
      </c>
      <c r="S584" s="681" t="n"/>
      <c r="T584" s="682" t="n"/>
      <c r="U584" s="683" t="inlineStr">
        <is>
          <t>KLS INFRASTRUCTURE</t>
        </is>
      </c>
      <c r="V584" s="675" t="n"/>
      <c r="W584" s="682" t="n">
        <v>46185</v>
      </c>
      <c r="X584" s="682" t="n"/>
      <c r="Y584" s="682" t="n"/>
      <c r="Z584" s="679" t="n"/>
      <c r="AA584" s="680" t="n"/>
      <c r="AB584" s="680" t="n"/>
      <c r="AC584" s="680" t="n"/>
      <c r="AD584" s="680" t="n"/>
      <c r="AE584" s="680" t="n">
        <v>1792788</v>
      </c>
      <c r="AF584" s="684" t="inlineStr">
        <is>
          <t>PREENGAGE</t>
        </is>
      </c>
      <c r="AG584" s="683" t="n"/>
      <c r="AH584" s="680" t="n"/>
      <c r="AI584" s="680" t="n"/>
      <c r="AJ584" s="680" t="n"/>
      <c r="AK584" s="680" t="n"/>
      <c r="AL584" s="685" t="n"/>
      <c r="AM584" s="685" t="n"/>
      <c r="AN584" s="683" t="n"/>
    </row>
    <row r="585" ht="35.7" customHeight="1" s="392">
      <c r="A585" s="672">
        <f>IF(AF585="ENGAGE","✔",IF(AF585="EN COURS D'ENGAGEMENT","◕",IF(AF585="PREENGAGE","◑",IF(AF585="EN COURS DE PREENGAGEMENT","◔",IF(AF585="NON ENGAGE","✖","")))))</f>
        <v/>
      </c>
      <c r="B585" s="673" t="n">
        <v>2026</v>
      </c>
      <c r="C585" s="674" t="inlineStr">
        <is>
          <t>DTSI</t>
        </is>
      </c>
      <c r="D585" s="674" t="inlineStr">
        <is>
          <t>29 AOM</t>
        </is>
      </c>
      <c r="E585" s="675" t="inlineStr">
        <is>
          <t>AOO-M</t>
        </is>
      </c>
      <c r="F585" s="675" t="n">
        <v>1</v>
      </c>
      <c r="G585" s="676" t="inlineStr">
        <is>
          <t>La fourniture et la mise en service d'encodeurs et décodeurs SRT pour les besoins des unités mobiles de la SNRT</t>
        </is>
      </c>
      <c r="H585" s="673" t="inlineStr">
        <is>
          <t>VALIDE</t>
        </is>
      </c>
      <c r="I585" s="675" t="inlineStr">
        <is>
          <t>APPROUVE</t>
        </is>
      </c>
      <c r="J585" s="675" t="n"/>
      <c r="K585" s="673" t="inlineStr">
        <is>
          <t>GENERAL</t>
        </is>
      </c>
      <c r="L585" s="675" t="inlineStr">
        <is>
          <t>Ordinaire</t>
        </is>
      </c>
      <c r="M585" s="677" t="inlineStr">
        <is>
          <t>INVESTISSEMENT</t>
        </is>
      </c>
      <c r="N585" s="678" t="inlineStr">
        <is>
          <t>Equipements techniques</t>
        </is>
      </c>
      <c r="O585" s="679">
        <f>P585*1.2</f>
        <v/>
      </c>
      <c r="P585" s="680" t="n">
        <v>2906664</v>
      </c>
      <c r="Q585" s="680">
        <f>P585/1.2</f>
        <v/>
      </c>
      <c r="R585" s="675" t="n"/>
      <c r="S585" s="681" t="n"/>
      <c r="T585" s="682" t="n"/>
      <c r="U585" s="683" t="inlineStr">
        <is>
          <t>LTS NETWORK/LTS France</t>
        </is>
      </c>
      <c r="V585" s="675" t="n"/>
      <c r="W585" s="682" t="n">
        <v>46185</v>
      </c>
      <c r="X585" s="682" t="n">
        <v>46075</v>
      </c>
      <c r="Y585" s="682" t="n">
        <v>46268</v>
      </c>
      <c r="Z585" s="679" t="n"/>
      <c r="AA585" s="680" t="n"/>
      <c r="AB585" s="680" t="n"/>
      <c r="AC585" s="680" t="n"/>
      <c r="AD585" s="680" t="n"/>
      <c r="AE585" s="680" t="n">
        <v>3486881.04</v>
      </c>
      <c r="AF585" s="684" t="inlineStr">
        <is>
          <t>ENGAGE</t>
        </is>
      </c>
      <c r="AG585" s="683" t="n"/>
      <c r="AH585" s="680" t="n"/>
      <c r="AI585" s="680" t="n"/>
      <c r="AJ585" s="680" t="n"/>
      <c r="AK585" s="680" t="n"/>
      <c r="AL585" s="685" t="n"/>
      <c r="AM585" s="685" t="n"/>
      <c r="AN585" s="683" t="n"/>
    </row>
    <row r="586" ht="35.7" customHeight="1" s="392">
      <c r="A586" s="672">
        <f>IF(AF586="ENGAGE","✔",IF(AF586="EN COURS D'ENGAGEMENT","◕",IF(AF586="PREENGAGE","◑",IF(AF586="EN COURS DE PREENGAGEMENT","◔",IF(AF586="NON ENGAGE","✖","")))))</f>
        <v/>
      </c>
      <c r="B586" s="673" t="n">
        <v>2026</v>
      </c>
      <c r="C586" s="674" t="inlineStr">
        <is>
          <t>DTSI</t>
        </is>
      </c>
      <c r="D586" s="674" t="inlineStr">
        <is>
          <t>44 AOM</t>
        </is>
      </c>
      <c r="E586" s="675" t="inlineStr">
        <is>
          <t>AOO-M</t>
        </is>
      </c>
      <c r="F586" s="675" t="n">
        <v>1</v>
      </c>
      <c r="G586" s="676" t="inlineStr">
        <is>
          <t>La fourniture et la mise en service de lecteurs LTO destinés aux besoins d’archivage de la SNRT</t>
        </is>
      </c>
      <c r="H586" s="673" t="inlineStr">
        <is>
          <t>VALIDE</t>
        </is>
      </c>
      <c r="I586" s="675" t="inlineStr">
        <is>
          <t>INFRUCTUEUX</t>
        </is>
      </c>
      <c r="J586" s="675" t="n"/>
      <c r="K586" s="673" t="inlineStr">
        <is>
          <t>GENERAL</t>
        </is>
      </c>
      <c r="L586" s="675" t="inlineStr">
        <is>
          <t>Ordinaire</t>
        </is>
      </c>
      <c r="M586" s="677" t="inlineStr">
        <is>
          <t>INVESTISSEMENT</t>
        </is>
      </c>
      <c r="N586" s="678" t="inlineStr">
        <is>
          <t>Equipements techniques</t>
        </is>
      </c>
      <c r="O586" s="679">
        <f>P586*1.2</f>
        <v/>
      </c>
      <c r="P586" s="680" t="n">
        <v>422256</v>
      </c>
      <c r="Q586" s="680">
        <f>P586/1.2</f>
        <v/>
      </c>
      <c r="R586" s="675" t="n"/>
      <c r="S586" s="681" t="n"/>
      <c r="T586" s="682" t="n"/>
      <c r="U586" s="683" t="n"/>
      <c r="V586" s="675" t="n"/>
      <c r="W586" s="682" t="n">
        <v>46185</v>
      </c>
      <c r="X586" s="682" t="n">
        <v>46195</v>
      </c>
      <c r="Y586" s="682" t="n"/>
      <c r="Z586" s="679" t="n"/>
      <c r="AA586" s="680" t="n"/>
      <c r="AB586" s="680" t="n"/>
      <c r="AC586" s="680" t="n"/>
      <c r="AD586" s="680" t="n"/>
      <c r="AE586" s="680" t="n"/>
      <c r="AF586" s="684" t="inlineStr">
        <is>
          <t>NON ENGAGE</t>
        </is>
      </c>
      <c r="AG586" s="683" t="n"/>
      <c r="AH586" s="680" t="n"/>
      <c r="AI586" s="680" t="n"/>
      <c r="AJ586" s="680" t="n"/>
      <c r="AK586" s="680" t="n"/>
      <c r="AL586" s="685" t="n"/>
      <c r="AM586" s="685" t="n"/>
      <c r="AN586" s="683" t="n"/>
    </row>
    <row r="587" ht="50.55" customHeight="1" s="392">
      <c r="A587" s="672">
        <f>IF(AF587="ENGAGE","✔",IF(AF587="EN COURS D'ENGAGEMENT","◕",IF(AF587="PREENGAGE","◑",IF(AF587="EN COURS DE PREENGAGEMENT","◔",IF(AF587="NON ENGAGE","✖","")))))</f>
        <v/>
      </c>
      <c r="B587" s="673" t="n">
        <v>2026</v>
      </c>
      <c r="C587" s="674" t="inlineStr">
        <is>
          <t>DTSI</t>
        </is>
      </c>
      <c r="D587" s="674" t="inlineStr">
        <is>
          <t>35 AOM</t>
        </is>
      </c>
      <c r="E587" s="675" t="inlineStr">
        <is>
          <t>AOO-M</t>
        </is>
      </c>
      <c r="F587" s="675" t="n">
        <v>1</v>
      </c>
      <c r="G587" s="676" t="inlineStr">
        <is>
          <t>La fourniture et la mise en service de serveurs haute performance destinés aux applications d’intelligence artificielle et d’apprentissage automatique pour les besoins de la SNRT</t>
        </is>
      </c>
      <c r="H587" s="673" t="inlineStr">
        <is>
          <t>VALIDE</t>
        </is>
      </c>
      <c r="I587" s="675" t="inlineStr">
        <is>
          <t>APPROUVE</t>
        </is>
      </c>
      <c r="J587" s="675" t="n"/>
      <c r="K587" s="673" t="inlineStr">
        <is>
          <t>GENERAL</t>
        </is>
      </c>
      <c r="L587" s="675" t="inlineStr">
        <is>
          <t>Ordinaire</t>
        </is>
      </c>
      <c r="M587" s="677" t="inlineStr">
        <is>
          <t>INVESTISSEMENT</t>
        </is>
      </c>
      <c r="N587" s="678" t="inlineStr">
        <is>
          <t>Matériel informatiques</t>
        </is>
      </c>
      <c r="O587" s="679">
        <f>P587*1.2</f>
        <v/>
      </c>
      <c r="P587" s="680" t="n">
        <v>3000000</v>
      </c>
      <c r="Q587" s="680">
        <f>+P587/1.2</f>
        <v/>
      </c>
      <c r="R587" s="675" t="inlineStr">
        <is>
          <t>NOUVEAU BESOIN</t>
        </is>
      </c>
      <c r="S587" s="681" t="n"/>
      <c r="T587" s="682" t="n"/>
      <c r="U587" s="683" t="inlineStr">
        <is>
          <t>3N SYSTÈME</t>
        </is>
      </c>
      <c r="V587" s="675" t="n"/>
      <c r="W587" s="682" t="n">
        <v>46185</v>
      </c>
      <c r="X587" s="682" t="n"/>
      <c r="Y587" s="682" t="n">
        <v>46276</v>
      </c>
      <c r="Z587" s="679" t="n"/>
      <c r="AA587" s="680" t="n"/>
      <c r="AB587" s="680" t="n"/>
      <c r="AC587" s="680" t="n"/>
      <c r="AD587" s="680" t="n"/>
      <c r="AE587" s="680" t="n">
        <v>2880000</v>
      </c>
      <c r="AF587" s="684" t="inlineStr">
        <is>
          <t>ENGAGE</t>
        </is>
      </c>
      <c r="AG587" s="683" t="inlineStr">
        <is>
          <t>Suite annuléation AO 15</t>
        </is>
      </c>
      <c r="AH587" s="680" t="n"/>
      <c r="AI587" s="680" t="n"/>
      <c r="AJ587" s="680" t="n"/>
      <c r="AK587" s="680" t="n"/>
      <c r="AL587" s="685" t="n"/>
      <c r="AM587" s="685" t="n"/>
      <c r="AN587" s="683" t="n"/>
    </row>
    <row r="588" ht="33" customHeight="1" s="392">
      <c r="A588" s="672">
        <f>IF(AF588="ENGAGE","✔",IF(AF588="EN COURS D'ENGAGEMENT","◕",IF(AF588="PREENGAGE","◑",IF(AF588="EN COURS DE PREENGAGEMENT","◔",IF(AF588="NON ENGAGE","✖","")))))</f>
        <v/>
      </c>
      <c r="B588" s="673" t="n">
        <v>2026</v>
      </c>
      <c r="C588" s="674" t="inlineStr">
        <is>
          <t>DRPSD</t>
        </is>
      </c>
      <c r="D588" s="674" t="inlineStr">
        <is>
          <t>49 AOM</t>
        </is>
      </c>
      <c r="E588" s="675" t="inlineStr">
        <is>
          <t>AOO-M</t>
        </is>
      </c>
      <c r="F588" s="675" t="n">
        <v>1</v>
      </c>
      <c r="G588" s="676" t="inlineStr">
        <is>
          <t>La maintenance de messagerie Lotus Notes/Domino</t>
        </is>
      </c>
      <c r="H588" s="673" t="inlineStr">
        <is>
          <t>EN SIGNATURE</t>
        </is>
      </c>
      <c r="I588" s="675" t="inlineStr">
        <is>
          <t>EN SIGNATURE</t>
        </is>
      </c>
      <c r="J588" s="675" t="n"/>
      <c r="K588" s="673" t="n"/>
      <c r="L588" s="675" t="inlineStr">
        <is>
          <t>Ordinaire</t>
        </is>
      </c>
      <c r="M588" s="677" t="inlineStr">
        <is>
          <t>FONCTIONNEMENT</t>
        </is>
      </c>
      <c r="N588" s="678" t="inlineStr">
        <is>
          <t>Entretien, réparation et assurance</t>
        </is>
      </c>
      <c r="O588" s="679">
        <f>P588*1.2</f>
        <v/>
      </c>
      <c r="P588" s="680" t="n">
        <v>51000</v>
      </c>
      <c r="Q588" s="680">
        <f>+P588/1.2</f>
        <v/>
      </c>
      <c r="R588" s="675" t="inlineStr">
        <is>
          <t>BESOIN RECURRENT</t>
        </is>
      </c>
      <c r="S588" s="681" t="n"/>
      <c r="T588" s="682" t="n"/>
      <c r="U588" s="683" t="n"/>
      <c r="V588" s="675" t="n"/>
      <c r="W588" s="682" t="n">
        <v>46191</v>
      </c>
      <c r="X588" s="682" t="n"/>
      <c r="Y588" s="682" t="n"/>
      <c r="Z588" s="679" t="n"/>
      <c r="AA588" s="680" t="n"/>
      <c r="AB588" s="680" t="n"/>
      <c r="AC588" s="680" t="n"/>
      <c r="AD588" s="680" t="n"/>
      <c r="AE588" s="680" t="n"/>
      <c r="AF588" s="684" t="inlineStr">
        <is>
          <t>EN COURS DE PREENGAGEMENT</t>
        </is>
      </c>
      <c r="AG588" s="683" t="n"/>
      <c r="AH588" s="680" t="n"/>
      <c r="AI588" s="680" t="n"/>
      <c r="AJ588" s="680" t="n"/>
      <c r="AK588" s="680" t="n"/>
      <c r="AL588" s="685" t="n"/>
      <c r="AM588" s="685" t="n"/>
      <c r="AN588" s="683" t="n"/>
    </row>
    <row r="589" ht="50.55" customHeight="1" s="392">
      <c r="A589" s="672">
        <f>IF(AF589="ENGAGE","✔",IF(AF589="EN COURS D'ENGAGEMENT","◕",IF(AF589="PREENGAGE","◑",IF(AF589="EN COURS DE PREENGAGEMENT","◔",IF(AF589="NON ENGAGE","✖","")))))</f>
        <v/>
      </c>
      <c r="B589" s="673" t="n">
        <v>2026</v>
      </c>
      <c r="C589" s="674" t="inlineStr">
        <is>
          <t>DRPSD</t>
        </is>
      </c>
      <c r="D589" s="674" t="inlineStr">
        <is>
          <t>48 AOM</t>
        </is>
      </c>
      <c r="E589" s="675" t="inlineStr">
        <is>
          <t>AOO-M</t>
        </is>
      </c>
      <c r="F589" s="675" t="n">
        <v>1</v>
      </c>
      <c r="G589" s="676" t="inlineStr">
        <is>
          <t>Prestation de maintenance et assitance /  Support du logiciel de gestion des campagnes publicitaires des support TV et Radio de la SNRT</t>
        </is>
      </c>
      <c r="H589" s="673" t="inlineStr">
        <is>
          <t>EN SIGNATURE</t>
        </is>
      </c>
      <c r="I589" s="675" t="inlineStr">
        <is>
          <t>EN SIGNATURE</t>
        </is>
      </c>
      <c r="J589" s="675" t="n"/>
      <c r="K589" s="673" t="n"/>
      <c r="L589" s="675" t="inlineStr">
        <is>
          <t>Ordinaire</t>
        </is>
      </c>
      <c r="M589" s="677" t="inlineStr">
        <is>
          <t>FONCTIONNEMENT</t>
        </is>
      </c>
      <c r="N589" s="678" t="inlineStr">
        <is>
          <t>Entretien, réparation et assurance</t>
        </is>
      </c>
      <c r="O589" s="679">
        <f>P589*1.2</f>
        <v/>
      </c>
      <c r="P589" s="680" t="n">
        <v>753940</v>
      </c>
      <c r="Q589" s="680">
        <f>+P589/1.2</f>
        <v/>
      </c>
      <c r="R589" s="675" t="inlineStr">
        <is>
          <t>BESOIN RECURRENT</t>
        </is>
      </c>
      <c r="S589" s="681" t="n"/>
      <c r="T589" s="682" t="n"/>
      <c r="U589" s="683" t="n"/>
      <c r="V589" s="675" t="n"/>
      <c r="W589" s="682" t="n">
        <v>46191</v>
      </c>
      <c r="X589" s="682" t="n"/>
      <c r="Y589" s="682" t="n"/>
      <c r="Z589" s="679" t="n"/>
      <c r="AA589" s="680" t="n"/>
      <c r="AB589" s="680" t="n"/>
      <c r="AC589" s="680" t="n"/>
      <c r="AD589" s="680" t="n"/>
      <c r="AE589" s="680" t="n"/>
      <c r="AF589" s="684" t="inlineStr">
        <is>
          <t>EN COURS DE PREENGAGEMENT</t>
        </is>
      </c>
      <c r="AG589" s="683" t="n"/>
      <c r="AH589" s="680" t="n"/>
      <c r="AI589" s="680" t="n"/>
      <c r="AJ589" s="680" t="n"/>
      <c r="AK589" s="680" t="n"/>
      <c r="AL589" s="685" t="n"/>
      <c r="AM589" s="685" t="n"/>
      <c r="AN589" s="683" t="n"/>
    </row>
    <row r="590" ht="50.55" customHeight="1" s="392">
      <c r="A590" s="672">
        <f>IF(AF590="ENGAGE","✔",IF(AF590="EN COURS D'ENGAGEMENT","◕",IF(AF590="PREENGAGE","◑",IF(AF590="EN COURS DE PREENGAGEMENT","◔",IF(AF590="NON ENGAGE","✖","")))))</f>
        <v/>
      </c>
      <c r="B590" s="673" t="n">
        <v>2026</v>
      </c>
      <c r="C590" s="674" t="inlineStr">
        <is>
          <t>DTSI</t>
        </is>
      </c>
      <c r="D590" s="674" t="inlineStr">
        <is>
          <t>25 AOM/SNRT</t>
        </is>
      </c>
      <c r="E590" s="675" t="inlineStr">
        <is>
          <t>AOO-M</t>
        </is>
      </c>
      <c r="F590" s="675" t="n">
        <v>1</v>
      </c>
      <c r="G590" s="676" t="inlineStr">
        <is>
          <t>La fourniture et la mise en service d'une solution de transport des communications intercom via des coules audio IP BROADCAST pour les besoins des unités mobiles de la SNRT</t>
        </is>
      </c>
      <c r="H590" s="673" t="inlineStr">
        <is>
          <t>VALIDE</t>
        </is>
      </c>
      <c r="I590" s="675" t="inlineStr">
        <is>
          <t>ATTRIBUE</t>
        </is>
      </c>
      <c r="J590" s="693" t="n"/>
      <c r="K590" s="673" t="inlineStr">
        <is>
          <t>GENERAL</t>
        </is>
      </c>
      <c r="L590" s="675" t="inlineStr">
        <is>
          <t>REPORT BUDGET ANNEE ANTERIEURE</t>
        </is>
      </c>
      <c r="M590" s="677" t="inlineStr">
        <is>
          <t>INVESTISSEMENT</t>
        </is>
      </c>
      <c r="N590" s="678" t="inlineStr">
        <is>
          <t>Immobilisations incorporelles (logiciels, licences, etc.)</t>
        </is>
      </c>
      <c r="O590" s="679" t="n">
        <v>349387.2</v>
      </c>
      <c r="P590" s="680" t="n">
        <v>291156</v>
      </c>
      <c r="Q590" s="680" t="n">
        <v>242630</v>
      </c>
      <c r="R590" s="675" t="inlineStr">
        <is>
          <t>NOUVEAU BESOIN</t>
        </is>
      </c>
      <c r="S590" s="681" t="n"/>
      <c r="T590" s="682" t="n"/>
      <c r="U590" s="683" t="inlineStr">
        <is>
          <t>BSS TRADING</t>
        </is>
      </c>
      <c r="V590" s="675" t="n"/>
      <c r="W590" s="682" t="n">
        <v>46191</v>
      </c>
      <c r="X590" s="682" t="n"/>
      <c r="Y590" s="682" t="n"/>
      <c r="Z590" s="679" t="n"/>
      <c r="AA590" s="680" t="n">
        <v>0</v>
      </c>
      <c r="AB590" s="680" t="n"/>
      <c r="AC590" s="680" t="n">
        <v>32462.08</v>
      </c>
      <c r="AD590" s="680" t="n"/>
      <c r="AE590" s="680" t="n">
        <v>346250.28</v>
      </c>
      <c r="AF590" s="684" t="inlineStr">
        <is>
          <t>PREENGAGE</t>
        </is>
      </c>
      <c r="AG590" s="683" t="inlineStr">
        <is>
          <t>R.A.S</t>
        </is>
      </c>
      <c r="AH590" s="680" t="n"/>
      <c r="AI590" s="680" t="n"/>
      <c r="AJ590" s="680" t="n"/>
      <c r="AK590" s="680" t="n"/>
      <c r="AL590" s="685" t="n"/>
      <c r="AM590" s="685" t="n"/>
      <c r="AN590" s="683" t="inlineStr">
        <is>
          <t>SUITE AO INFRUCTUEUX</t>
        </is>
      </c>
    </row>
    <row r="591" ht="32" customHeight="1" s="392">
      <c r="A591" s="672">
        <f>IF(AF591="ENGAGE","✔",IF(AF591="EN COURS D'ENGAGEMENT","◕",IF(AF591="PREENGAGE","◑",IF(AF591="EN COURS DE PREENGAGEMENT","◔",IF(AF591="NON ENGAGE","✖","")))))</f>
        <v/>
      </c>
      <c r="B591" s="673" t="n">
        <v>2026</v>
      </c>
      <c r="C591" s="674" t="inlineStr">
        <is>
          <t>TDF -SITES</t>
        </is>
      </c>
      <c r="D591" s="674" t="inlineStr">
        <is>
          <t>26000042 CL</t>
        </is>
      </c>
      <c r="E591" s="675" t="inlineStr">
        <is>
          <t>BCL</t>
        </is>
      </c>
      <c r="F591" s="675" t="n">
        <v>1</v>
      </c>
      <c r="G591" s="676" t="inlineStr">
        <is>
          <t>Fourniture de materiel de diffusion</t>
        </is>
      </c>
      <c r="H591" s="673" t="inlineStr">
        <is>
          <t>VALIDE</t>
        </is>
      </c>
      <c r="I591" s="675" t="inlineStr">
        <is>
          <t>APPROUVE</t>
        </is>
      </c>
      <c r="J591" s="675" t="inlineStr">
        <is>
          <t>26000042 CL</t>
        </is>
      </c>
      <c r="K591" s="673" t="inlineStr">
        <is>
          <t>NON CONCERNE</t>
        </is>
      </c>
      <c r="L591" s="675" t="inlineStr">
        <is>
          <t>Ordinaire</t>
        </is>
      </c>
      <c r="M591" s="677" t="inlineStr">
        <is>
          <t>INVESTISSEMENT</t>
        </is>
      </c>
      <c r="N591" s="678" t="inlineStr">
        <is>
          <t>Équipements de télédiffusion</t>
        </is>
      </c>
      <c r="O591" s="679" t="n"/>
      <c r="P591" s="680" t="n"/>
      <c r="Q591" s="680" t="n"/>
      <c r="R591" s="675" t="inlineStr">
        <is>
          <t>NOUVEAU BESOIN</t>
        </is>
      </c>
      <c r="S591" s="681" t="n"/>
      <c r="T591" s="682" t="n"/>
      <c r="U591" s="683" t="inlineStr">
        <is>
          <t>LYSMA SYSTÈME</t>
        </is>
      </c>
      <c r="V591" s="675" t="n">
        <v>2026</v>
      </c>
      <c r="W591" s="682" t="n">
        <v>46184</v>
      </c>
      <c r="X591" s="682" t="n"/>
      <c r="Y591" s="682" t="n">
        <v>46233</v>
      </c>
      <c r="Z591" s="679">
        <f>+AD591</f>
        <v/>
      </c>
      <c r="AA591" s="680" t="n">
        <v>0</v>
      </c>
      <c r="AB591" s="680">
        <f>+AE591</f>
        <v/>
      </c>
      <c r="AC591" s="680" t="n">
        <v>0</v>
      </c>
      <c r="AD591" s="680">
        <f>+AE591/1.2</f>
        <v/>
      </c>
      <c r="AE591" s="680" t="n">
        <v>89976</v>
      </c>
      <c r="AF591" s="684" t="inlineStr">
        <is>
          <t>ENGAGE</t>
        </is>
      </c>
      <c r="AG591" s="683" t="n"/>
      <c r="AH591" s="680" t="n"/>
      <c r="AI591" s="680" t="n"/>
      <c r="AJ591" s="680" t="n"/>
      <c r="AK591" s="680" t="n"/>
      <c r="AL591" s="685" t="n"/>
      <c r="AM591" s="685" t="n"/>
      <c r="AN591" s="683" t="n"/>
    </row>
    <row r="592" ht="80.25" customHeight="1" s="392">
      <c r="A592" s="672">
        <f>IF(AF592="ENGAGE","✔",IF(AF592="EN COURS D'ENGAGEMENT","◕",IF(AF592="PREENGAGE","◑",IF(AF592="EN COURS DE PREENGAGEMENT","◔",IF(AF592="NON ENGAGE","✖","")))))</f>
        <v/>
      </c>
      <c r="B592" s="673" t="n">
        <v>2026</v>
      </c>
      <c r="C592" s="674" t="inlineStr">
        <is>
          <t>TDF -SITES</t>
        </is>
      </c>
      <c r="D592" s="674" t="inlineStr">
        <is>
          <t>50 AOM/SNRT</t>
        </is>
      </c>
      <c r="E592" s="675" t="inlineStr">
        <is>
          <t>AOO-M</t>
        </is>
      </c>
      <c r="F592" s="675" t="n">
        <v>1</v>
      </c>
      <c r="G592" s="676" t="inlineStr">
        <is>
          <t>Fourniture, installation et mise en service d'un nouveau groupe électrogène de puissance 200KW/PRP pour le centre SNRT de PALOMAS (P.EL HOCEIMA), ainsi que le transfert de quelques groupes électrogènes entre des centres SNRT y compris leurs mises à niveau</t>
        </is>
      </c>
      <c r="H592" s="673" t="inlineStr">
        <is>
          <t>VALIDE</t>
        </is>
      </c>
      <c r="I592" s="675" t="inlineStr">
        <is>
          <t>PHASE AOO</t>
        </is>
      </c>
      <c r="J592" s="693" t="n"/>
      <c r="K592" s="673" t="inlineStr">
        <is>
          <t>PME</t>
        </is>
      </c>
      <c r="L592" s="675" t="inlineStr">
        <is>
          <t>REPORT BUDGET ANNEE ANTERIEURE</t>
        </is>
      </c>
      <c r="M592" s="677" t="inlineStr">
        <is>
          <t>INVESTISSEMENT</t>
        </is>
      </c>
      <c r="N592" s="678" t="inlineStr">
        <is>
          <t>Équipements de télédiffusion</t>
        </is>
      </c>
      <c r="O592" s="679">
        <f>P592*1.2</f>
        <v/>
      </c>
      <c r="P592" s="680" t="n">
        <v>1260000</v>
      </c>
      <c r="Q592" s="680">
        <f>P592/1.2</f>
        <v/>
      </c>
      <c r="R592" s="675" t="inlineStr">
        <is>
          <t>NOUVEAU BESOIN</t>
        </is>
      </c>
      <c r="S592" s="681" t="n"/>
      <c r="T592" s="682" t="n"/>
      <c r="U592" s="683" t="n"/>
      <c r="V592" s="675" t="n"/>
      <c r="W592" s="682" t="n">
        <v>46191</v>
      </c>
      <c r="X592" s="682" t="n"/>
      <c r="Y592" s="682" t="n"/>
      <c r="Z592" s="679" t="n"/>
      <c r="AA592" s="680" t="n"/>
      <c r="AB592" s="680" t="n"/>
      <c r="AC592" s="680" t="n"/>
      <c r="AD592" s="680" t="n"/>
      <c r="AE592" s="680" t="n"/>
      <c r="AF592" s="684" t="inlineStr">
        <is>
          <t>PREENGAGE</t>
        </is>
      </c>
      <c r="AG592" s="683" t="n"/>
      <c r="AH592" s="680" t="n"/>
      <c r="AI592" s="680" t="n"/>
      <c r="AJ592" s="680" t="n"/>
      <c r="AK592" s="680" t="n"/>
      <c r="AL592" s="685" t="n"/>
      <c r="AM592" s="685" t="n"/>
      <c r="AN592" s="683" t="n"/>
    </row>
    <row r="593" ht="35.7" customHeight="1" s="392">
      <c r="A593" s="672">
        <f>IF(AF593="ENGAGE","✔",IF(AF593="EN COURS D'ENGAGEMENT","◕",IF(AF593="PREENGAGE","◑",IF(AF593="EN COURS DE PREENGAGEMENT","◔",IF(AF593="NON ENGAGE","✖","")))))</f>
        <v/>
      </c>
      <c r="B593" s="673" t="n">
        <v>2026</v>
      </c>
      <c r="C593" s="674" t="inlineStr">
        <is>
          <t>DTSI</t>
        </is>
      </c>
      <c r="D593" s="674" t="inlineStr">
        <is>
          <t>53 AOM/SNRT</t>
        </is>
      </c>
      <c r="E593" s="675" t="inlineStr">
        <is>
          <t>AOO-M</t>
        </is>
      </c>
      <c r="F593" s="675" t="n">
        <v>1</v>
      </c>
      <c r="G593" s="676" t="inlineStr">
        <is>
          <t>La fourniture et la mise en service d'équipement informatiques les besoins de SNRT new de la SNRT</t>
        </is>
      </c>
      <c r="H593" s="673" t="inlineStr">
        <is>
          <t>VALIDE</t>
        </is>
      </c>
      <c r="I593" s="675" t="inlineStr">
        <is>
          <t>INFRUCTUEUX</t>
        </is>
      </c>
      <c r="J593" s="693" t="n"/>
      <c r="K593" s="673" t="inlineStr">
        <is>
          <t>PME</t>
        </is>
      </c>
      <c r="L593" s="675" t="inlineStr">
        <is>
          <t>Ordinaire</t>
        </is>
      </c>
      <c r="M593" s="677" t="inlineStr">
        <is>
          <t>INVESTISSEMENT</t>
        </is>
      </c>
      <c r="N593" s="678" t="inlineStr">
        <is>
          <t>Matériel informatiques</t>
        </is>
      </c>
      <c r="O593" s="679">
        <f>P593*1.2</f>
        <v/>
      </c>
      <c r="P593" s="680" t="n">
        <v>2086500</v>
      </c>
      <c r="Q593" s="680">
        <f>P593/1.2</f>
        <v/>
      </c>
      <c r="R593" s="675" t="inlineStr">
        <is>
          <t>NOUVEAU BESOIN</t>
        </is>
      </c>
      <c r="S593" s="681" t="n"/>
      <c r="T593" s="682" t="n"/>
      <c r="U593" s="683" t="n"/>
      <c r="V593" s="675" t="n"/>
      <c r="W593" s="682" t="n">
        <v>46191</v>
      </c>
      <c r="X593" s="682" t="n"/>
      <c r="Y593" s="682" t="n"/>
      <c r="Z593" s="679" t="n"/>
      <c r="AA593" s="680" t="n">
        <v>0</v>
      </c>
      <c r="AB593" s="680" t="n"/>
      <c r="AC593" s="680" t="n">
        <v>0</v>
      </c>
      <c r="AD593" s="680" t="n"/>
      <c r="AE593" s="680" t="n"/>
      <c r="AF593" s="684" t="inlineStr">
        <is>
          <t>NON ENGAGE</t>
        </is>
      </c>
      <c r="AG593" s="683" t="inlineStr">
        <is>
          <t>R.A.S</t>
        </is>
      </c>
      <c r="AH593" s="680" t="n"/>
      <c r="AI593" s="680" t="n"/>
      <c r="AJ593" s="680" t="n"/>
      <c r="AK593" s="680" t="n"/>
      <c r="AL593" s="685" t="n"/>
      <c r="AM593" s="685" t="n"/>
      <c r="AN593" s="683" t="inlineStr">
        <is>
          <t>SUITE AO INFRUCTUEUX</t>
        </is>
      </c>
    </row>
    <row r="594" ht="46.5" customHeight="1" s="392">
      <c r="A594" s="672">
        <f>IF(AF594="ENGAGE","✔",IF(AF594="EN COURS D'ENGAGEMENT","◕",IF(AF594="PREENGAGE","◑",IF(AF594="EN COURS DE PREENGAGEMENT","◔",IF(AF594="NON ENGAGE","✖","")))))</f>
        <v/>
      </c>
      <c r="B594" s="673" t="n">
        <v>2026</v>
      </c>
      <c r="C594" s="674" t="inlineStr">
        <is>
          <t>TDF-EXP&amp;MAIN</t>
        </is>
      </c>
      <c r="D594" s="674" t="inlineStr">
        <is>
          <t>DPN26000058DV</t>
        </is>
      </c>
      <c r="E594" s="675" t="inlineStr">
        <is>
          <t>BCL</t>
        </is>
      </c>
      <c r="F594" s="675" t="n">
        <v>1</v>
      </c>
      <c r="G594" s="676" t="inlineStr">
        <is>
          <t>Désherbage elagage deraninage des arbres de centre emetteur radio AM de Sebaa Aioune</t>
        </is>
      </c>
      <c r="H594" s="673" t="inlineStr">
        <is>
          <t>VALIDE</t>
        </is>
      </c>
      <c r="I594" s="675" t="inlineStr">
        <is>
          <t>APPROUVE</t>
        </is>
      </c>
      <c r="J594" s="675" t="inlineStr">
        <is>
          <t>26000049 CL</t>
        </is>
      </c>
      <c r="K594" s="673" t="inlineStr">
        <is>
          <t>NON CONCERNE</t>
        </is>
      </c>
      <c r="L594" s="675" t="inlineStr">
        <is>
          <t>Ordinaire</t>
        </is>
      </c>
      <c r="M594" s="677" t="inlineStr">
        <is>
          <t>FONCTIONNEMENT</t>
        </is>
      </c>
      <c r="N594" s="678" t="inlineStr">
        <is>
          <t>Prestation de services
Achat prestations de services locales - sociétés</t>
        </is>
      </c>
      <c r="O594" s="679" t="n"/>
      <c r="P594" s="680" t="n"/>
      <c r="Q594" s="680" t="n"/>
      <c r="R594" s="675" t="inlineStr">
        <is>
          <t>NOUVEAU BESOIN</t>
        </is>
      </c>
      <c r="S594" s="681" t="n"/>
      <c r="T594" s="682" t="n"/>
      <c r="U594" s="683" t="inlineStr">
        <is>
          <t>HOUSSADIM</t>
        </is>
      </c>
      <c r="V594" s="675" t="n">
        <v>2026</v>
      </c>
      <c r="W594" s="682" t="n">
        <v>46196</v>
      </c>
      <c r="X594" s="682" t="n">
        <v>46203</v>
      </c>
      <c r="Y594" s="682" t="n"/>
      <c r="Z594" s="679" t="n">
        <v>48000</v>
      </c>
      <c r="AA594" s="680" t="n">
        <v>0</v>
      </c>
      <c r="AB594" s="680" t="n">
        <v>57600</v>
      </c>
      <c r="AC594" s="680" t="n">
        <v>0</v>
      </c>
      <c r="AD594" s="680" t="n">
        <v>48000</v>
      </c>
      <c r="AE594" s="680" t="n">
        <v>57600</v>
      </c>
      <c r="AF594" s="684" t="inlineStr">
        <is>
          <t>ENGAGE</t>
        </is>
      </c>
      <c r="AG594" s="683" t="n"/>
      <c r="AH594" s="680" t="n"/>
      <c r="AI594" s="680" t="n"/>
      <c r="AJ594" s="680" t="n"/>
      <c r="AK594" s="680" t="n"/>
      <c r="AL594" s="685" t="n"/>
      <c r="AM594" s="685" t="n"/>
      <c r="AN594" s="683" t="n"/>
    </row>
    <row r="595" ht="46.5" customHeight="1" s="392">
      <c r="A595" s="672">
        <f>IF(AF595="ENGAGE","✔",IF(AF595="EN COURS D'ENGAGEMENT","◕",IF(AF595="PREENGAGE","◑",IF(AF595="EN COURS DE PREENGAGEMENT","◔",IF(AF595="NON ENGAGE","✖","")))))</f>
        <v/>
      </c>
      <c r="B595" s="673" t="n">
        <v>2026</v>
      </c>
      <c r="C595" s="674" t="inlineStr">
        <is>
          <t>TDF-EXP&amp;MAIN</t>
        </is>
      </c>
      <c r="D595" s="674" t="inlineStr">
        <is>
          <t>DPN26000060DV</t>
        </is>
      </c>
      <c r="E595" s="675" t="inlineStr">
        <is>
          <t>BCL</t>
        </is>
      </c>
      <c r="F595" s="675" t="n">
        <v>1</v>
      </c>
      <c r="G595" s="676" t="inlineStr">
        <is>
          <t>Désherbage elagage deraninage des arbres de centre emetteur radio AM d'Oujda</t>
        </is>
      </c>
      <c r="H595" s="673" t="inlineStr">
        <is>
          <t>VALIDE</t>
        </is>
      </c>
      <c r="I595" s="675" t="inlineStr">
        <is>
          <t>APPROUVE</t>
        </is>
      </c>
      <c r="J595" s="675" t="inlineStr">
        <is>
          <t>26000050 CL</t>
        </is>
      </c>
      <c r="K595" s="673" t="inlineStr">
        <is>
          <t>NON CONCERNE</t>
        </is>
      </c>
      <c r="L595" s="675" t="inlineStr">
        <is>
          <t>Ordinaire</t>
        </is>
      </c>
      <c r="M595" s="677" t="inlineStr">
        <is>
          <t>FONCTIONNEMENT</t>
        </is>
      </c>
      <c r="N595" s="678" t="inlineStr">
        <is>
          <t>Prestation de services
Achat prestations de services locales - sociétés</t>
        </is>
      </c>
      <c r="O595" s="679" t="n"/>
      <c r="P595" s="680" t="n"/>
      <c r="Q595" s="680" t="n"/>
      <c r="R595" s="675" t="inlineStr">
        <is>
          <t>NOUVEAU BESOIN</t>
        </is>
      </c>
      <c r="S595" s="681" t="n"/>
      <c r="T595" s="682" t="n"/>
      <c r="U595" s="683" t="inlineStr">
        <is>
          <t>HOUSSADIM</t>
        </is>
      </c>
      <c r="V595" s="675" t="n">
        <v>2026</v>
      </c>
      <c r="W595" s="682" t="n">
        <v>46196</v>
      </c>
      <c r="X595" s="682" t="n">
        <v>46202</v>
      </c>
      <c r="Y595" s="682" t="n"/>
      <c r="Z595" s="679" t="n">
        <v>29980</v>
      </c>
      <c r="AA595" s="680" t="n">
        <v>0</v>
      </c>
      <c r="AB595" s="680">
        <f>Z595*1.2</f>
        <v/>
      </c>
      <c r="AC595" s="680" t="n">
        <v>0</v>
      </c>
      <c r="AD595" s="680">
        <f>Z595</f>
        <v/>
      </c>
      <c r="AE595" s="680">
        <f>AB595</f>
        <v/>
      </c>
      <c r="AF595" s="684" t="inlineStr">
        <is>
          <t>ENGAGE</t>
        </is>
      </c>
      <c r="AG595" s="683" t="n"/>
      <c r="AH595" s="680" t="n"/>
      <c r="AI595" s="680" t="n"/>
      <c r="AJ595" s="680" t="n"/>
      <c r="AK595" s="680" t="n"/>
      <c r="AL595" s="685" t="n"/>
      <c r="AM595" s="685" t="n"/>
      <c r="AN595" s="683" t="n"/>
    </row>
    <row r="596" ht="50.55" customHeight="1" s="392">
      <c r="A596" s="672">
        <f>IF(AF596="ENGAGE","✔",IF(AF596="EN COURS D'ENGAGEMENT","◕",IF(AF596="PREENGAGE","◑",IF(AF596="EN COURS DE PREENGAGEMENT","◔",IF(AF596="NON ENGAGE","✖","")))))</f>
        <v/>
      </c>
      <c r="B596" s="673" t="n">
        <v>2026</v>
      </c>
      <c r="C596" s="674" t="inlineStr">
        <is>
          <t>DTSI</t>
        </is>
      </c>
      <c r="D596" s="674" t="inlineStr">
        <is>
          <t>DPN26000056DV</t>
        </is>
      </c>
      <c r="E596" s="675" t="inlineStr">
        <is>
          <t>BCL</t>
        </is>
      </c>
      <c r="F596" s="675" t="n">
        <v>1</v>
      </c>
      <c r="G596" s="676" t="inlineStr">
        <is>
          <t>Fourniture et mise en service de cartes graphiques pour applications de calcul intensif et d'intelligence artificielle pour les besoins de la SNRT</t>
        </is>
      </c>
      <c r="H596" s="673" t="inlineStr">
        <is>
          <t>VALIDE</t>
        </is>
      </c>
      <c r="I596" s="675" t="inlineStr">
        <is>
          <t>APPROUVE</t>
        </is>
      </c>
      <c r="J596" s="675" t="inlineStr">
        <is>
          <t>26000047 CL</t>
        </is>
      </c>
      <c r="K596" s="673" t="inlineStr">
        <is>
          <t>NON CONCERNE</t>
        </is>
      </c>
      <c r="L596" s="675" t="inlineStr">
        <is>
          <t>Ordinaire</t>
        </is>
      </c>
      <c r="M596" s="677" t="inlineStr">
        <is>
          <t>INVESTISSEMENT</t>
        </is>
      </c>
      <c r="N596" s="678" t="inlineStr">
        <is>
          <t>Matériel informatiques</t>
        </is>
      </c>
      <c r="O596" s="679" t="n"/>
      <c r="P596" s="680" t="n"/>
      <c r="Q596" s="680" t="n"/>
      <c r="R596" s="675" t="inlineStr">
        <is>
          <t>NOUVEAU BESOIN</t>
        </is>
      </c>
      <c r="S596" s="681" t="n"/>
      <c r="T596" s="682" t="n"/>
      <c r="U596" s="683" t="inlineStr">
        <is>
          <t>LTS NETWORK</t>
        </is>
      </c>
      <c r="V596" s="675" t="n"/>
      <c r="W596" s="682" t="n">
        <v>46197</v>
      </c>
      <c r="X596" s="682" t="n"/>
      <c r="Y596" s="682" t="n"/>
      <c r="Z596" s="679" t="n">
        <v>343397.56</v>
      </c>
      <c r="AA596" s="680" t="n">
        <v>0</v>
      </c>
      <c r="AB596" s="680" t="n">
        <v>412077.77</v>
      </c>
      <c r="AC596" s="680" t="n">
        <v>0</v>
      </c>
      <c r="AD596" s="680" t="n">
        <v>343397.56</v>
      </c>
      <c r="AE596" s="680" t="n">
        <v>412077.77</v>
      </c>
      <c r="AF596" s="684" t="inlineStr">
        <is>
          <t>ENGAGE</t>
        </is>
      </c>
      <c r="AG596" s="683" t="n"/>
      <c r="AH596" s="680" t="n"/>
      <c r="AI596" s="680" t="n"/>
      <c r="AJ596" s="680" t="n"/>
      <c r="AK596" s="680" t="n"/>
      <c r="AL596" s="685" t="n"/>
      <c r="AM596" s="685" t="n"/>
      <c r="AN596" s="683" t="n"/>
    </row>
    <row r="597" ht="50.55" customHeight="1" s="392">
      <c r="A597" s="672">
        <f>IF(AF597="ENGAGE","✔",IF(AF597="EN COURS D'ENGAGEMENT","◕",IF(AF597="PREENGAGE","◑",IF(AF597="EN COURS DE PREENGAGEMENT","◔",IF(AF597="NON ENGAGE","✖","")))))</f>
        <v/>
      </c>
      <c r="B597" s="673" t="n">
        <v>2026</v>
      </c>
      <c r="C597" s="674" t="inlineStr">
        <is>
          <t>TDF -SITES</t>
        </is>
      </c>
      <c r="D597" s="674" t="inlineStr">
        <is>
          <t>26000044 CL</t>
        </is>
      </c>
      <c r="E597" s="675" t="inlineStr">
        <is>
          <t>BCL</t>
        </is>
      </c>
      <c r="F597" s="675" t="n">
        <v>1</v>
      </c>
      <c r="G597" s="676" t="inlineStr">
        <is>
          <t>Réparation et maintenance du Poste de transformation MT/BT haut de poteau type H61 50KVA au site SNRT de LAKSIBA (P.BENI MELLAL)</t>
        </is>
      </c>
      <c r="H597" s="673" t="inlineStr">
        <is>
          <t>VALIDE</t>
        </is>
      </c>
      <c r="I597" s="675" t="inlineStr">
        <is>
          <t>APPROUVE</t>
        </is>
      </c>
      <c r="J597" s="675" t="inlineStr">
        <is>
          <t>26000044 CL</t>
        </is>
      </c>
      <c r="K597" s="673" t="inlineStr">
        <is>
          <t>NON CONCERNE</t>
        </is>
      </c>
      <c r="L597" s="675" t="inlineStr">
        <is>
          <t>Ordinaire</t>
        </is>
      </c>
      <c r="M597" s="677" t="inlineStr">
        <is>
          <t>FONCTIONNEMENT</t>
        </is>
      </c>
      <c r="N597" s="678" t="inlineStr">
        <is>
          <t>Entretien, réparation et assurance</t>
        </is>
      </c>
      <c r="O597" s="679" t="n"/>
      <c r="P597" s="680" t="n"/>
      <c r="Q597" s="680" t="n"/>
      <c r="R597" s="675" t="inlineStr">
        <is>
          <t>NOUVEAU BESOIN</t>
        </is>
      </c>
      <c r="S597" s="681" t="n"/>
      <c r="T597" s="682" t="n"/>
      <c r="U597" s="683" t="inlineStr">
        <is>
          <t>SOGENELEC</t>
        </is>
      </c>
      <c r="V597" s="675" t="n"/>
      <c r="W597" s="682" t="n">
        <v>46197</v>
      </c>
      <c r="X597" s="682" t="n"/>
      <c r="Y597" s="682" t="n">
        <v>46175</v>
      </c>
      <c r="Z597" s="679" t="n">
        <v>11666.67</v>
      </c>
      <c r="AA597" s="680" t="n">
        <v>0</v>
      </c>
      <c r="AB597" s="680" t="n">
        <v>14000</v>
      </c>
      <c r="AC597" s="680" t="n">
        <v>0</v>
      </c>
      <c r="AD597" s="680" t="n">
        <v>11666.67</v>
      </c>
      <c r="AE597" s="680" t="n">
        <v>14000</v>
      </c>
      <c r="AF597" s="684" t="inlineStr">
        <is>
          <t>ENGAGE</t>
        </is>
      </c>
      <c r="AG597" s="683" t="n"/>
      <c r="AH597" s="680" t="n"/>
      <c r="AI597" s="680" t="n"/>
      <c r="AJ597" s="680" t="n"/>
      <c r="AK597" s="680" t="n"/>
      <c r="AL597" s="685" t="n"/>
      <c r="AM597" s="685" t="n"/>
      <c r="AN597" s="683" t="n"/>
    </row>
    <row r="598" ht="35.7" customHeight="1" s="392">
      <c r="A598" s="672">
        <f>IF(AF598="ENGAGE","✔",IF(AF598="EN COURS D'ENGAGEMENT","◕",IF(AF598="PREENGAGE","◑",IF(AF598="EN COURS DE PREENGAGEMENT","◔",IF(AF598="NON ENGAGE","✖","")))))</f>
        <v/>
      </c>
      <c r="B598" s="673" t="n">
        <v>2026</v>
      </c>
      <c r="C598" s="674" t="inlineStr">
        <is>
          <t>DPMG</t>
        </is>
      </c>
      <c r="D598" s="674" t="inlineStr">
        <is>
          <t>26000043 CL</t>
        </is>
      </c>
      <c r="E598" s="675" t="inlineStr">
        <is>
          <t>BCL</t>
        </is>
      </c>
      <c r="F598" s="675" t="n">
        <v>1</v>
      </c>
      <c r="G598" s="676" t="inlineStr">
        <is>
          <t>LOT n°1: Etude des travaux d'aménagement du nouveau siège de la radio de Tétouane</t>
        </is>
      </c>
      <c r="H598" s="673" t="inlineStr">
        <is>
          <t>VALIDE</t>
        </is>
      </c>
      <c r="I598" s="675" t="inlineStr">
        <is>
          <t>APPROUVE</t>
        </is>
      </c>
      <c r="J598" s="675" t="inlineStr">
        <is>
          <t>26000043 CL</t>
        </is>
      </c>
      <c r="K598" s="673" t="inlineStr">
        <is>
          <t>NON CONCERNE</t>
        </is>
      </c>
      <c r="L598" s="675" t="inlineStr">
        <is>
          <t>Ordinaire</t>
        </is>
      </c>
      <c r="M598" s="677" t="inlineStr">
        <is>
          <t>INVESTISSEMENT</t>
        </is>
      </c>
      <c r="N598" s="678" t="inlineStr">
        <is>
          <t>Frais d'acquisition des immobilisations</t>
        </is>
      </c>
      <c r="O598" s="679" t="n"/>
      <c r="P598" s="680" t="n"/>
      <c r="Q598" s="680" t="n"/>
      <c r="R598" s="675" t="inlineStr">
        <is>
          <t>NOUVEAU BESOIN</t>
        </is>
      </c>
      <c r="S598" s="681" t="n"/>
      <c r="T598" s="682" t="n"/>
      <c r="U598" s="683" t="inlineStr">
        <is>
          <t>MES ETUDES</t>
        </is>
      </c>
      <c r="V598" s="675" t="n"/>
      <c r="W598" s="682" t="n">
        <v>46197</v>
      </c>
      <c r="X598" s="682" t="n"/>
      <c r="Y598" s="682" t="n">
        <v>46245</v>
      </c>
      <c r="Z598" s="679" t="n">
        <v>37500</v>
      </c>
      <c r="AA598" s="680" t="n">
        <v>0</v>
      </c>
      <c r="AB598" s="680" t="n">
        <v>45000</v>
      </c>
      <c r="AC598" s="680" t="n">
        <v>0</v>
      </c>
      <c r="AD598" s="680" t="n">
        <v>37500</v>
      </c>
      <c r="AE598" s="680" t="n">
        <v>45000</v>
      </c>
      <c r="AF598" s="684" t="inlineStr">
        <is>
          <t>EN COURS D'ENGAGEMENT</t>
        </is>
      </c>
      <c r="AG598" s="683" t="n"/>
      <c r="AH598" s="680" t="n"/>
      <c r="AI598" s="680" t="n"/>
      <c r="AJ598" s="680" t="n"/>
      <c r="AK598" s="680" t="n"/>
      <c r="AL598" s="685" t="n"/>
      <c r="AM598" s="685" t="n"/>
      <c r="AN598" s="683" t="n"/>
    </row>
    <row r="599" ht="46.5" customHeight="1" s="392">
      <c r="A599" s="672">
        <f>IF(AF599="ENGAGE","✔",IF(AF599="EN COURS D'ENGAGEMENT","◕",IF(AF599="PREENGAGE","◑",IF(AF599="EN COURS DE PREENGAGEMENT","◔",IF(AF599="NON ENGAGE","✖","")))))</f>
        <v/>
      </c>
      <c r="B599" s="673" t="n">
        <v>2026</v>
      </c>
      <c r="C599" s="674" t="inlineStr">
        <is>
          <t>TDF-EXP&amp;MAIN</t>
        </is>
      </c>
      <c r="D599" s="674" t="inlineStr">
        <is>
          <t>DPN26000059DV</t>
        </is>
      </c>
      <c r="E599" s="675" t="inlineStr">
        <is>
          <t>BCL</t>
        </is>
      </c>
      <c r="F599" s="675" t="n">
        <v>1</v>
      </c>
      <c r="G599" s="676" t="inlineStr">
        <is>
          <t>Désherbage elagage deraninage des arbres de centre emetteur radio AM d'Ait Melloul</t>
        </is>
      </c>
      <c r="H599" s="673" t="inlineStr">
        <is>
          <t>VALIDE</t>
        </is>
      </c>
      <c r="I599" s="675" t="inlineStr">
        <is>
          <t>APPROUVE</t>
        </is>
      </c>
      <c r="J599" s="675" t="inlineStr">
        <is>
          <t>26000052 CL</t>
        </is>
      </c>
      <c r="K599" s="673" t="inlineStr">
        <is>
          <t>NON CONCERNE</t>
        </is>
      </c>
      <c r="L599" s="675" t="inlineStr">
        <is>
          <t>Ordinaire</t>
        </is>
      </c>
      <c r="M599" s="677" t="inlineStr">
        <is>
          <t>FONCTIONNEMENT</t>
        </is>
      </c>
      <c r="N599" s="678" t="inlineStr">
        <is>
          <t>Prestation de services
Achat prestations de services locales - sociétés</t>
        </is>
      </c>
      <c r="O599" s="679" t="n"/>
      <c r="P599" s="680" t="n"/>
      <c r="Q599" s="680" t="n"/>
      <c r="R599" s="675" t="inlineStr">
        <is>
          <t>NOUVEAU BESOIN</t>
        </is>
      </c>
      <c r="S599" s="681" t="n"/>
      <c r="T599" s="682" t="n"/>
      <c r="U599" s="683" t="inlineStr">
        <is>
          <t>EXCELIACOM CONTRACTORS</t>
        </is>
      </c>
      <c r="V599" s="675" t="n">
        <v>2026</v>
      </c>
      <c r="W599" s="682" t="n">
        <v>46197</v>
      </c>
      <c r="X599" s="682" t="n">
        <v>46203</v>
      </c>
      <c r="Y599" s="682" t="n"/>
      <c r="Z599" s="679" t="n">
        <v>26700</v>
      </c>
      <c r="AA599" s="680" t="n">
        <v>0</v>
      </c>
      <c r="AB599" s="680">
        <f>Z599*1.2</f>
        <v/>
      </c>
      <c r="AC599" s="680" t="n">
        <v>0</v>
      </c>
      <c r="AD599" s="680">
        <f>Z599</f>
        <v/>
      </c>
      <c r="AE599" s="680">
        <f>AB599</f>
        <v/>
      </c>
      <c r="AF599" s="684" t="inlineStr">
        <is>
          <t>ENGAGE</t>
        </is>
      </c>
      <c r="AG599" s="683" t="n"/>
      <c r="AH599" s="680" t="n"/>
      <c r="AI599" s="680" t="n"/>
      <c r="AJ599" s="680" t="n"/>
      <c r="AK599" s="680" t="n"/>
      <c r="AL599" s="685" t="n"/>
      <c r="AM599" s="685" t="n"/>
      <c r="AN599" s="683" t="n"/>
    </row>
    <row r="600" ht="35.7" customHeight="1" s="392">
      <c r="A600" s="672">
        <f>IF(AF600="ENGAGE","✔",IF(AF600="EN COURS D'ENGAGEMENT","◕",IF(AF600="PREENGAGE","◑",IF(AF600="EN COURS DE PREENGAGEMENT","◔",IF(AF600="NON ENGAGE","✖","")))))</f>
        <v/>
      </c>
      <c r="B600" s="673" t="n">
        <v>2026</v>
      </c>
      <c r="C600" s="674" t="inlineStr">
        <is>
          <t>ARRIYADIA</t>
        </is>
      </c>
      <c r="D600" s="674" t="inlineStr">
        <is>
          <t>26000554 CT</t>
        </is>
      </c>
      <c r="E600" s="675" t="inlineStr">
        <is>
          <t>CONTRAT</t>
        </is>
      </c>
      <c r="F600" s="675" t="n">
        <v>1</v>
      </c>
      <c r="G600" s="676" t="inlineStr">
        <is>
          <t>Frais technique pour la coupe du monde FIFA 2026</t>
        </is>
      </c>
      <c r="H600" s="673" t="inlineStr">
        <is>
          <t>EN SIGNATURE</t>
        </is>
      </c>
      <c r="I600" s="675" t="inlineStr">
        <is>
          <t>EN SIGNATURE</t>
        </is>
      </c>
      <c r="J600" s="675" t="inlineStr">
        <is>
          <t>26000554 CT</t>
        </is>
      </c>
      <c r="K600" s="673" t="inlineStr">
        <is>
          <t>NON CONCERNE</t>
        </is>
      </c>
      <c r="L600" s="675" t="inlineStr">
        <is>
          <t>Ordinaire</t>
        </is>
      </c>
      <c r="M600" s="677" t="inlineStr">
        <is>
          <t>FONCTIONNEMENT</t>
        </is>
      </c>
      <c r="N600" s="678" t="inlineStr">
        <is>
          <t>Achats de droits</t>
        </is>
      </c>
      <c r="O600" s="679" t="n"/>
      <c r="P600" s="680" t="n"/>
      <c r="Q600" s="680" t="n"/>
      <c r="R600" s="675" t="inlineStr">
        <is>
          <t>NOUVEAU BESOIN</t>
        </is>
      </c>
      <c r="S600" s="681" t="n"/>
      <c r="T600" s="682" t="n"/>
      <c r="U600" s="683" t="inlineStr">
        <is>
          <t>HOST BROADCAST SERVICES-HBS</t>
        </is>
      </c>
      <c r="V600" s="675" t="n"/>
      <c r="W600" s="682" t="n"/>
      <c r="X600" s="682" t="n"/>
      <c r="Y600" s="682" t="n"/>
      <c r="Z600" s="679" t="n">
        <v>2776080</v>
      </c>
      <c r="AA600" s="680" t="n">
        <v>300000</v>
      </c>
      <c r="AB600" s="680" t="n">
        <v>2776080</v>
      </c>
      <c r="AC600" s="680" t="n">
        <v>300000</v>
      </c>
      <c r="AD600" s="680" t="n">
        <v>2776080</v>
      </c>
      <c r="AE600" s="680" t="n">
        <v>2776080</v>
      </c>
      <c r="AF600" s="684" t="inlineStr">
        <is>
          <t>ENGAGE</t>
        </is>
      </c>
      <c r="AG600" s="683" t="n"/>
      <c r="AH600" s="680" t="n"/>
      <c r="AI600" s="680" t="n"/>
      <c r="AJ600" s="680" t="n"/>
      <c r="AK600" s="680" t="n"/>
      <c r="AL600" s="685" t="n"/>
      <c r="AM600" s="685" t="n"/>
      <c r="AN600" s="683" t="n"/>
    </row>
    <row r="601" ht="50.55" customHeight="1" s="392">
      <c r="A601" s="672">
        <f>IF(AF601="ENGAGE","✔",IF(AF601="EN COURS D'ENGAGEMENT","◕",IF(AF601="PREENGAGE","◑",IF(AF601="EN COURS DE PREENGAGEMENT","◔",IF(AF601="NON ENGAGE","✖","")))))</f>
        <v/>
      </c>
      <c r="B601" s="673" t="n">
        <v>2026</v>
      </c>
      <c r="C601" s="674" t="inlineStr">
        <is>
          <t>TDF -SITES</t>
        </is>
      </c>
      <c r="D601" s="674" t="inlineStr">
        <is>
          <t>ancien 43AOM/SNRT</t>
        </is>
      </c>
      <c r="E601" s="675" t="inlineStr">
        <is>
          <t>AOO-M</t>
        </is>
      </c>
      <c r="F601" s="675" t="n">
        <v>1</v>
      </c>
      <c r="G601" s="676" t="inlineStr">
        <is>
          <t>Elaboration des études techniques et suivi des travaux d'aménagement de l'ancien site de diffusion TV/FM de la SNRT à Jbel Hammat Moulay Hachem (P.Midelt)</t>
        </is>
      </c>
      <c r="H601" s="673" t="inlineStr">
        <is>
          <t>EN SIGNATURE</t>
        </is>
      </c>
      <c r="I601" s="675" t="inlineStr">
        <is>
          <t>EN SIGNATURE</t>
        </is>
      </c>
      <c r="J601" s="693" t="n"/>
      <c r="K601" s="673" t="inlineStr">
        <is>
          <t>GENERAL</t>
        </is>
      </c>
      <c r="L601" s="675" t="inlineStr">
        <is>
          <t>Ordinaire</t>
        </is>
      </c>
      <c r="M601" s="677" t="inlineStr">
        <is>
          <t>INVESTISSEMENT</t>
        </is>
      </c>
      <c r="N601" s="678" t="inlineStr">
        <is>
          <t>Frais d'acquisition des immobilisations</t>
        </is>
      </c>
      <c r="O601" s="679">
        <f>P601*1.2</f>
        <v/>
      </c>
      <c r="P601" s="680" t="n">
        <v>72000</v>
      </c>
      <c r="Q601" s="680" t="n">
        <v>60000</v>
      </c>
      <c r="R601" s="675" t="inlineStr">
        <is>
          <t>NOUVEAU BESOIN</t>
        </is>
      </c>
      <c r="S601" s="681" t="n"/>
      <c r="T601" s="682" t="n"/>
      <c r="U601" s="683" t="n"/>
      <c r="V601" s="675" t="n"/>
      <c r="W601" s="682" t="n">
        <v>46198</v>
      </c>
      <c r="X601" s="682" t="n"/>
      <c r="Y601" s="682" t="n"/>
      <c r="Z601" s="679" t="n"/>
      <c r="AA601" s="680" t="n"/>
      <c r="AB601" s="680" t="n"/>
      <c r="AC601" s="680" t="n"/>
      <c r="AD601" s="680" t="n"/>
      <c r="AE601" s="680" t="n"/>
      <c r="AF601" s="684" t="inlineStr">
        <is>
          <t>EN COURS DE PREENGAGEMENT</t>
        </is>
      </c>
      <c r="AG601" s="683" t="n"/>
      <c r="AH601" s="680" t="n"/>
      <c r="AI601" s="680" t="n"/>
      <c r="AJ601" s="680" t="n"/>
      <c r="AK601" s="680" t="n"/>
      <c r="AL601" s="685" t="n"/>
      <c r="AM601" s="685" t="n"/>
      <c r="AN601" s="683" t="n"/>
    </row>
    <row r="602" ht="50.55" customHeight="1" s="392">
      <c r="A602" s="672">
        <f>IF(AF602="ENGAGE","✔",IF(AF602="EN COURS D'ENGAGEMENT","◕",IF(AF602="PREENGAGE","◑",IF(AF602="EN COURS DE PREENGAGEMENT","◔",IF(AF602="NON ENGAGE","✖","")))))</f>
        <v/>
      </c>
      <c r="B602" s="673" t="n">
        <v>2026</v>
      </c>
      <c r="C602" s="674" t="inlineStr">
        <is>
          <t>TDF -SITES</t>
        </is>
      </c>
      <c r="D602" s="674" t="inlineStr">
        <is>
          <t>ancien 43AOM/SNRT</t>
        </is>
      </c>
      <c r="E602" s="675" t="inlineStr">
        <is>
          <t>AOO-M</t>
        </is>
      </c>
      <c r="F602" s="675" t="n">
        <v>2</v>
      </c>
      <c r="G602" s="676" t="inlineStr">
        <is>
          <t>Elaboration des études techniques et suivi des travaux de construction du site de diffusion TV/FM de la SNRT à Msissi(P.Tinghir)</t>
        </is>
      </c>
      <c r="H602" s="673" t="inlineStr">
        <is>
          <t>EN SIGNATURE</t>
        </is>
      </c>
      <c r="I602" s="675" t="inlineStr">
        <is>
          <t>EN SIGNATURE</t>
        </is>
      </c>
      <c r="J602" s="693" t="n"/>
      <c r="K602" s="673" t="inlineStr">
        <is>
          <t>GENERAL</t>
        </is>
      </c>
      <c r="L602" s="675" t="inlineStr">
        <is>
          <t>Ordinaire</t>
        </is>
      </c>
      <c r="M602" s="677" t="inlineStr">
        <is>
          <t>INVESTISSEMENT</t>
        </is>
      </c>
      <c r="N602" s="678" t="inlineStr">
        <is>
          <t>Frais d'acquisition des immobilisations</t>
        </is>
      </c>
      <c r="O602" s="679" t="n">
        <v>86400</v>
      </c>
      <c r="P602" s="680" t="n">
        <v>72000</v>
      </c>
      <c r="Q602" s="680" t="n">
        <v>60000</v>
      </c>
      <c r="R602" s="675" t="inlineStr">
        <is>
          <t>NOUVEAU BESOIN</t>
        </is>
      </c>
      <c r="S602" s="681" t="n"/>
      <c r="T602" s="682" t="n"/>
      <c r="U602" s="683" t="n"/>
      <c r="V602" s="675" t="n"/>
      <c r="W602" s="682" t="n">
        <v>46198</v>
      </c>
      <c r="X602" s="682" t="n"/>
      <c r="Y602" s="682" t="n"/>
      <c r="Z602" s="679" t="n"/>
      <c r="AA602" s="680" t="n"/>
      <c r="AB602" s="680" t="n"/>
      <c r="AC602" s="680" t="n"/>
      <c r="AD602" s="680" t="n"/>
      <c r="AE602" s="680" t="n"/>
      <c r="AF602" s="684" t="inlineStr">
        <is>
          <t>EN COURS DE PREENGAGEMENT</t>
        </is>
      </c>
      <c r="AG602" s="683" t="n"/>
      <c r="AH602" s="680" t="n"/>
      <c r="AI602" s="680" t="n"/>
      <c r="AJ602" s="680" t="n"/>
      <c r="AK602" s="680" t="n"/>
      <c r="AL602" s="685" t="n"/>
      <c r="AM602" s="685" t="n"/>
      <c r="AN602" s="683" t="n"/>
    </row>
    <row r="603" ht="95.10000000000001" customHeight="1" s="392">
      <c r="A603" s="672">
        <f>IF(AF603="ENGAGE","✔",IF(AF603="EN COURS D'ENGAGEMENT","◕",IF(AF603="PREENGAGE","◑",IF(AF603="EN COURS DE PREENGAGEMENT","◔",IF(AF603="NON ENGAGE","✖","")))))</f>
        <v/>
      </c>
      <c r="B603" s="673" t="n">
        <v>2026</v>
      </c>
      <c r="C603" s="674" t="inlineStr">
        <is>
          <t>TDF -SITES</t>
        </is>
      </c>
      <c r="D603" s="674" t="inlineStr">
        <is>
          <t>56AOM/SNRT</t>
        </is>
      </c>
      <c r="E603" s="675" t="inlineStr">
        <is>
          <t>AOO-M</t>
        </is>
      </c>
      <c r="F603" s="675" t="n">
        <v>1</v>
      </c>
      <c r="G603" s="676" t="inlineStr">
        <is>
          <t>Electrification du centre SNRT d'AKKA IGHEN (P,TATA) par la construction d'un reseau aérien 2ème catégarie (ligne 22kv), d'un poste de transformation MT/BT haut de poteau de puissance 100KVA équipé de l'ensemble des équipements MT/BT nécessaire , appareillage de distribution BT, Anti-surtention et mise à terre.</t>
        </is>
      </c>
      <c r="H603" s="673" t="inlineStr">
        <is>
          <t>VALIDE</t>
        </is>
      </c>
      <c r="I603" s="675" t="inlineStr">
        <is>
          <t>PHASE AOO</t>
        </is>
      </c>
      <c r="J603" s="693" t="n"/>
      <c r="K603" s="673" t="inlineStr">
        <is>
          <t>PME</t>
        </is>
      </c>
      <c r="L603" s="675" t="inlineStr">
        <is>
          <t>Ordinaire</t>
        </is>
      </c>
      <c r="M603" s="677" t="inlineStr">
        <is>
          <t>INVESTISSEMENT</t>
        </is>
      </c>
      <c r="N603" s="678" t="inlineStr">
        <is>
          <t>Equipements de télédiffusion</t>
        </is>
      </c>
      <c r="O603" s="679" t="n">
        <v>2057660.17</v>
      </c>
      <c r="P603" s="680" t="n">
        <v>1714716.81</v>
      </c>
      <c r="Q603" s="680">
        <f>P603/1.2</f>
        <v/>
      </c>
      <c r="R603" s="675" t="inlineStr">
        <is>
          <t>NOUVEAU BESOIN</t>
        </is>
      </c>
      <c r="S603" s="681" t="n"/>
      <c r="T603" s="682" t="n"/>
      <c r="U603" s="683" t="n"/>
      <c r="V603" s="675" t="n"/>
      <c r="W603" s="682" t="n"/>
      <c r="X603" s="682" t="n"/>
      <c r="Y603" s="682" t="n"/>
      <c r="Z603" s="679" t="n"/>
      <c r="AA603" s="680" t="n"/>
      <c r="AB603" s="680" t="n"/>
      <c r="AC603" s="680" t="n"/>
      <c r="AD603" s="680" t="n"/>
      <c r="AE603" s="680" t="n"/>
      <c r="AF603" s="684" t="inlineStr">
        <is>
          <t>PREENGAGE</t>
        </is>
      </c>
      <c r="AG603" s="683" t="n"/>
      <c r="AH603" s="680" t="n"/>
      <c r="AI603" s="680" t="n"/>
      <c r="AJ603" s="680" t="n"/>
      <c r="AK603" s="680" t="n"/>
      <c r="AL603" s="685" t="n"/>
      <c r="AM603" s="685" t="n"/>
      <c r="AN603" s="683" t="n"/>
    </row>
    <row r="604" ht="50.55" customHeight="1" s="392">
      <c r="A604" s="672">
        <f>IF(AF604="ENGAGE","✔",IF(AF604="EN COURS D'ENGAGEMENT","◕",IF(AF604="PREENGAGE","◑",IF(AF604="EN COURS DE PREENGAGEMENT","◔",IF(AF604="NON ENGAGE","✖","")))))</f>
        <v/>
      </c>
      <c r="B604" s="673" t="n">
        <v>2026</v>
      </c>
      <c r="C604" s="674" t="inlineStr">
        <is>
          <t>TDF-EXP&amp;MAIN</t>
        </is>
      </c>
      <c r="D604" s="674" t="inlineStr">
        <is>
          <t>55AOM/SNRT</t>
        </is>
      </c>
      <c r="E604" s="675" t="inlineStr">
        <is>
          <t>AOO-M</t>
        </is>
      </c>
      <c r="F604" s="675" t="n">
        <v>1</v>
      </c>
      <c r="G604" s="676" t="inlineStr">
        <is>
          <t>Entretien et maintenance des équipement électriques, électroniques des climatiseurs aux centres de diffusion y compris la fourniture des pièces de rechange</t>
        </is>
      </c>
      <c r="H604" s="673" t="inlineStr">
        <is>
          <t>VALIDE</t>
        </is>
      </c>
      <c r="I604" s="675" t="inlineStr">
        <is>
          <t>PHASE AOO</t>
        </is>
      </c>
      <c r="J604" s="693" t="n"/>
      <c r="K604" s="673" t="inlineStr">
        <is>
          <t>PME</t>
        </is>
      </c>
      <c r="L604" s="675" t="inlineStr">
        <is>
          <t>Ordinaire</t>
        </is>
      </c>
      <c r="M604" s="677" t="inlineStr">
        <is>
          <t>FONCTIONNEMENT</t>
        </is>
      </c>
      <c r="N604" s="678" t="inlineStr">
        <is>
          <t>Entretien, réparation et assurance</t>
        </is>
      </c>
      <c r="O604" s="679">
        <f>P604*1.2</f>
        <v/>
      </c>
      <c r="P604" s="680" t="n">
        <v>3600000</v>
      </c>
      <c r="Q604" s="680">
        <f>P604/1.2</f>
        <v/>
      </c>
      <c r="R604" s="675" t="inlineStr">
        <is>
          <t>BESOIN RECURRENT</t>
        </is>
      </c>
      <c r="S604" s="681" t="n"/>
      <c r="T604" s="682" t="n"/>
      <c r="U604" s="683" t="n"/>
      <c r="V604" s="675" t="n"/>
      <c r="W604" s="682" t="n"/>
      <c r="X604" s="682" t="n"/>
      <c r="Y604" s="682" t="n"/>
      <c r="Z604" s="679" t="n"/>
      <c r="AA604" s="680" t="n"/>
      <c r="AB604" s="680" t="n"/>
      <c r="AC604" s="680" t="n"/>
      <c r="AD604" s="680" t="n"/>
      <c r="AE604" s="680" t="n"/>
      <c r="AF604" s="684" t="inlineStr">
        <is>
          <t>PREENGAGE</t>
        </is>
      </c>
      <c r="AG604" s="683" t="n"/>
      <c r="AH604" s="680" t="n"/>
      <c r="AI604" s="680" t="n"/>
      <c r="AJ604" s="680" t="n"/>
      <c r="AK604" s="680" t="n"/>
      <c r="AL604" s="685" t="n"/>
      <c r="AM604" s="685" t="n"/>
      <c r="AN604" s="683" t="n"/>
    </row>
    <row r="605" ht="46.5" customHeight="1" s="392">
      <c r="A605" s="672">
        <f>IF(AF605="ENGAGE","✔",IF(AF605="EN COURS D'ENGAGEMENT","◕",IF(AF605="PREENGAGE","◑",IF(AF605="EN COURS DE PREENGAGEMENT","◔",IF(AF605="NON ENGAGE","✖","")))))</f>
        <v/>
      </c>
      <c r="B605" s="673" t="n">
        <v>2026</v>
      </c>
      <c r="C605" s="674" t="inlineStr">
        <is>
          <t>TDF-EXP&amp;MAIN</t>
        </is>
      </c>
      <c r="D605" s="674" t="inlineStr">
        <is>
          <t>DPN26000059DV</t>
        </is>
      </c>
      <c r="E605" s="675" t="inlineStr">
        <is>
          <t>BCL</t>
        </is>
      </c>
      <c r="F605" s="675" t="n">
        <v>1</v>
      </c>
      <c r="G605" s="676" t="inlineStr">
        <is>
          <t>Désherbage elagage deracinage des arbres de centre de télédiffusion TV/FM Cap spartel</t>
        </is>
      </c>
      <c r="H605" s="673" t="inlineStr">
        <is>
          <t>VALIDE</t>
        </is>
      </c>
      <c r="I605" s="675" t="inlineStr">
        <is>
          <t>APPROUVE</t>
        </is>
      </c>
      <c r="J605" s="675" t="inlineStr">
        <is>
          <t>26000048 CL</t>
        </is>
      </c>
      <c r="K605" s="673" t="inlineStr">
        <is>
          <t>NON CONCERNE</t>
        </is>
      </c>
      <c r="L605" s="675" t="inlineStr">
        <is>
          <t>Ordinaire</t>
        </is>
      </c>
      <c r="M605" s="677" t="inlineStr">
        <is>
          <t>FONCTIONNEMENT</t>
        </is>
      </c>
      <c r="N605" s="678" t="inlineStr">
        <is>
          <t>Prestation de services
Achat prestations de services locales - sociétés</t>
        </is>
      </c>
      <c r="O605" s="679" t="n"/>
      <c r="P605" s="680" t="n"/>
      <c r="Q605" s="680" t="n"/>
      <c r="R605" s="675" t="inlineStr">
        <is>
          <t>NOUVEAU BESOIN</t>
        </is>
      </c>
      <c r="S605" s="681" t="n"/>
      <c r="T605" s="682" t="n"/>
      <c r="U605" s="683" t="inlineStr">
        <is>
          <t>EXCELIACOM CONTRACTORS</t>
        </is>
      </c>
      <c r="V605" s="675" t="n">
        <v>2026</v>
      </c>
      <c r="W605" s="682" t="n">
        <v>46203</v>
      </c>
      <c r="X605" s="682" t="n">
        <v>46203</v>
      </c>
      <c r="Y605" s="682" t="n"/>
      <c r="Z605" s="679" t="n">
        <v>21600</v>
      </c>
      <c r="AA605" s="680" t="n">
        <v>0</v>
      </c>
      <c r="AB605" s="680">
        <f>Z605*1.2</f>
        <v/>
      </c>
      <c r="AC605" s="680" t="n">
        <v>0</v>
      </c>
      <c r="AD605" s="680" t="n">
        <v>21600</v>
      </c>
      <c r="AE605" s="680">
        <f>AD605*1.2</f>
        <v/>
      </c>
      <c r="AF605" s="684" t="inlineStr">
        <is>
          <t>ENGAGE</t>
        </is>
      </c>
      <c r="AG605" s="683" t="n"/>
      <c r="AH605" s="680" t="n"/>
      <c r="AI605" s="680" t="n"/>
      <c r="AJ605" s="680" t="n"/>
      <c r="AK605" s="680" t="n"/>
      <c r="AL605" s="685" t="n"/>
      <c r="AM605" s="685" t="n"/>
      <c r="AN605" s="683" t="n"/>
    </row>
    <row r="606" ht="35.7" customHeight="1" s="392">
      <c r="A606" s="672">
        <f>IF(AF606="ENGAGE","✔",IF(AF606="EN COURS D'ENGAGEMENT","◕",IF(AF606="PREENGAGE","◑",IF(AF606="EN COURS DE PREENGAGEMENT","◔",IF(AF606="NON ENGAGE","✖","")))))</f>
        <v/>
      </c>
      <c r="B606" s="673" t="n">
        <v>2026</v>
      </c>
      <c r="C606" s="674" t="inlineStr">
        <is>
          <t>DCPA</t>
        </is>
      </c>
      <c r="D606" s="674" t="inlineStr">
        <is>
          <t>DPN 26000052DV</t>
        </is>
      </c>
      <c r="E606" s="675" t="inlineStr">
        <is>
          <t>BCL</t>
        </is>
      </c>
      <c r="F606" s="675" t="n">
        <v>1</v>
      </c>
      <c r="G606" s="676" t="inlineStr">
        <is>
          <t>Entretien et réparation de mobilier pour l'emission "CHABAB FI AL WAJIHA" au studio Ain Chok à Casablanca</t>
        </is>
      </c>
      <c r="H606" s="673" t="inlineStr">
        <is>
          <t>VALIDE</t>
        </is>
      </c>
      <c r="I606" s="675" t="inlineStr">
        <is>
          <t>EN SIGNATURE</t>
        </is>
      </c>
      <c r="J606" s="675" t="inlineStr">
        <is>
          <t>26000051 CL</t>
        </is>
      </c>
      <c r="K606" s="673" t="inlineStr">
        <is>
          <t>NON CONCERNE</t>
        </is>
      </c>
      <c r="L606" s="675" t="inlineStr">
        <is>
          <t>Ordinaire</t>
        </is>
      </c>
      <c r="M606" s="677" t="inlineStr">
        <is>
          <t>FONCTIONNEMENT</t>
        </is>
      </c>
      <c r="N606" s="678" t="inlineStr">
        <is>
          <t xml:space="preserve">Achats non stockés de matières et fournitures </t>
        </is>
      </c>
      <c r="O606" s="679" t="n"/>
      <c r="P606" s="680" t="n"/>
      <c r="Q606" s="680" t="n"/>
      <c r="R606" s="675" t="inlineStr">
        <is>
          <t>NOUVEAU BESOIN</t>
        </is>
      </c>
      <c r="S606" s="681" t="n"/>
      <c r="T606" s="682" t="n"/>
      <c r="U606" s="683" t="inlineStr">
        <is>
          <t>BEST PRODUCTION</t>
        </is>
      </c>
      <c r="V606" s="675" t="n">
        <v>2026</v>
      </c>
      <c r="W606" s="682" t="n">
        <v>46203</v>
      </c>
      <c r="X606" s="682" t="n"/>
      <c r="Y606" s="682" t="n"/>
      <c r="Z606" s="679" t="n">
        <v>29000</v>
      </c>
      <c r="AA606" s="680" t="n">
        <v>0</v>
      </c>
      <c r="AB606" s="680">
        <f>+Z606*1.2</f>
        <v/>
      </c>
      <c r="AC606" s="680" t="n"/>
      <c r="AD606" s="680" t="n">
        <v>29000</v>
      </c>
      <c r="AE606" s="680">
        <f>AD606*1.2</f>
        <v/>
      </c>
      <c r="AF606" s="684" t="inlineStr">
        <is>
          <t>ENGAGE</t>
        </is>
      </c>
      <c r="AG606" s="683" t="n"/>
      <c r="AH606" s="680" t="n"/>
      <c r="AI606" s="680" t="n"/>
      <c r="AJ606" s="680" t="n"/>
      <c r="AK606" s="680" t="n"/>
      <c r="AL606" s="685" t="n"/>
      <c r="AM606" s="685" t="n"/>
      <c r="AN606" s="683" t="n"/>
    </row>
    <row r="607" ht="33" customHeight="1" s="392">
      <c r="A607" s="672">
        <f>IF(AF607="ENGAGE","✔",IF(AF607="EN COURS D'ENGAGEMENT","◕",IF(AF607="PREENGAGE","◑",IF(AF607="EN COURS DE PREENGAGEMENT","◔",IF(AF607="NON ENGAGE","✖","")))))</f>
        <v/>
      </c>
      <c r="B607" s="673" t="n">
        <v>2026</v>
      </c>
      <c r="C607" s="674" t="inlineStr">
        <is>
          <t>TV LAAYOUNE</t>
        </is>
      </c>
      <c r="D607" s="674" t="inlineStr">
        <is>
          <t>24AOM/SNRT/2026</t>
        </is>
      </c>
      <c r="E607" s="675" t="inlineStr">
        <is>
          <t>AOO-M</t>
        </is>
      </c>
      <c r="F607" s="675" t="n">
        <v>1</v>
      </c>
      <c r="G607" s="676" t="inlineStr">
        <is>
          <t>Achat de maquillage des animateurs pour TV LAAYOUNE.</t>
        </is>
      </c>
      <c r="H607" s="673" t="inlineStr">
        <is>
          <t>VALIDE</t>
        </is>
      </c>
      <c r="I607" s="675" t="inlineStr">
        <is>
          <t>PHASE AOO</t>
        </is>
      </c>
      <c r="J607" s="693" t="n"/>
      <c r="K607" s="673" t="inlineStr">
        <is>
          <t>GENERAL</t>
        </is>
      </c>
      <c r="L607" s="675" t="inlineStr">
        <is>
          <t>Ordinaire</t>
        </is>
      </c>
      <c r="M607" s="677" t="inlineStr">
        <is>
          <t>FONCTIONNEMENT</t>
        </is>
      </c>
      <c r="N607" s="678" t="inlineStr">
        <is>
          <t xml:space="preserve">Achats non stockés de matières et fournitures </t>
        </is>
      </c>
      <c r="O607" s="679" t="n">
        <v>102000</v>
      </c>
      <c r="P607" s="680" t="n">
        <v>85000</v>
      </c>
      <c r="Q607" s="680">
        <f>P607/1.2</f>
        <v/>
      </c>
      <c r="R607" s="675" t="inlineStr">
        <is>
          <t>NOUVEAU BESOIN</t>
        </is>
      </c>
      <c r="S607" s="681" t="n"/>
      <c r="T607" s="682" t="n"/>
      <c r="U607" s="683" t="n"/>
      <c r="V607" s="675" t="n"/>
      <c r="W607" s="682" t="n"/>
      <c r="X607" s="682" t="n"/>
      <c r="Y607" s="682" t="n"/>
      <c r="Z607" s="679" t="n"/>
      <c r="AA607" s="680" t="n"/>
      <c r="AB607" s="680" t="n"/>
      <c r="AC607" s="680" t="n"/>
      <c r="AD607" s="680" t="n"/>
      <c r="AE607" s="680" t="n"/>
      <c r="AF607" s="684" t="inlineStr">
        <is>
          <t>PREENGAGE</t>
        </is>
      </c>
      <c r="AG607" s="683" t="n"/>
      <c r="AH607" s="680" t="n"/>
      <c r="AI607" s="680" t="n"/>
      <c r="AJ607" s="680" t="n"/>
      <c r="AK607" s="680" t="n"/>
      <c r="AL607" s="685" t="n"/>
      <c r="AM607" s="685" t="n"/>
      <c r="AN607" s="683" t="n"/>
    </row>
    <row r="608" ht="50.55" customHeight="1" s="392">
      <c r="A608" s="672">
        <f>IF(AF608="ENGAGE","✔",IF(AF608="EN COURS D'ENGAGEMENT","◕",IF(AF608="PREENGAGE","◑",IF(AF608="EN COURS DE PREENGAGEMENT","◔",IF(AF608="NON ENGAGE","✖","")))))</f>
        <v/>
      </c>
      <c r="B608" s="673" t="n">
        <v>2026</v>
      </c>
      <c r="C608" s="674" t="inlineStr">
        <is>
          <t>DTSI</t>
        </is>
      </c>
      <c r="D608" s="674" t="inlineStr">
        <is>
          <t>57AOM/SNRT/2026</t>
        </is>
      </c>
      <c r="E608" s="675" t="inlineStr">
        <is>
          <t>AOO-M</t>
        </is>
      </c>
      <c r="F608" s="675" t="n">
        <v>1</v>
      </c>
      <c r="G608" s="676" t="inlineStr">
        <is>
          <t>La fourniture et la mise en service de serveurs pour renouvellement de serveurs d’enregistrement et de replay pour les besoins de la production TV des manifestations sportives</t>
        </is>
      </c>
      <c r="H608" s="673" t="inlineStr">
        <is>
          <t>VALIDE</t>
        </is>
      </c>
      <c r="I608" s="675" t="inlineStr">
        <is>
          <t>ATTRIBUE</t>
        </is>
      </c>
      <c r="J608" s="693" t="n"/>
      <c r="K608" s="673" t="inlineStr">
        <is>
          <t>GENERAL</t>
        </is>
      </c>
      <c r="L608" s="675" t="inlineStr">
        <is>
          <t>REPORT BUDGET EXCEP  ANNEE ANTERIEURE</t>
        </is>
      </c>
      <c r="M608" s="677" t="inlineStr">
        <is>
          <t>INVESTISSEMENT</t>
        </is>
      </c>
      <c r="N608" s="678" t="inlineStr">
        <is>
          <t>Équipements techniques</t>
        </is>
      </c>
      <c r="O608" s="679">
        <f>P608*1.2</f>
        <v/>
      </c>
      <c r="P608" s="680" t="n">
        <v>9154152</v>
      </c>
      <c r="Q608" s="680">
        <f>P608/1.2</f>
        <v/>
      </c>
      <c r="R608" s="675" t="inlineStr">
        <is>
          <t>NOUVEAU BESOIN</t>
        </is>
      </c>
      <c r="S608" s="681" t="n"/>
      <c r="T608" s="682" t="n"/>
      <c r="U608" s="683" t="inlineStr">
        <is>
          <t>Lts network et Lts France</t>
        </is>
      </c>
      <c r="V608" s="675" t="n"/>
      <c r="W608" s="682" t="n">
        <v>46206</v>
      </c>
      <c r="X608" s="682" t="n"/>
      <c r="Y608" s="682" t="n"/>
      <c r="Z608" s="679" t="n"/>
      <c r="AA608" s="680" t="n"/>
      <c r="AB608" s="680" t="n"/>
      <c r="AC608" s="680" t="n"/>
      <c r="AD608" s="680" t="n"/>
      <c r="AE608" s="680" t="n">
        <v>10979856.08</v>
      </c>
      <c r="AF608" s="684" t="inlineStr">
        <is>
          <t>PREENGAGE</t>
        </is>
      </c>
      <c r="AG608" s="683" t="n"/>
      <c r="AH608" s="680" t="n"/>
      <c r="AI608" s="680" t="n"/>
      <c r="AJ608" s="680" t="n"/>
      <c r="AK608" s="680" t="n"/>
      <c r="AL608" s="685" t="n"/>
      <c r="AM608" s="685" t="n"/>
      <c r="AN608" s="683" t="n"/>
    </row>
    <row r="609" ht="35.7" customHeight="1" s="392">
      <c r="A609" s="672">
        <f>IF(AF609="ENGAGE","✔",IF(AF609="EN COURS D'ENGAGEMENT","◕",IF(AF609="PREENGAGE","◑",IF(AF609="EN COURS DE PREENGAGEMENT","◔",IF(AF609="NON ENGAGE","✖","")))))</f>
        <v/>
      </c>
      <c r="B609" s="673" t="n">
        <v>2026</v>
      </c>
      <c r="C609" s="674" t="inlineStr">
        <is>
          <t>DCPA</t>
        </is>
      </c>
      <c r="D609" s="699" t="n"/>
      <c r="E609" s="675" t="inlineStr">
        <is>
          <t>CA</t>
        </is>
      </c>
      <c r="F609" s="675" t="n">
        <v>1</v>
      </c>
      <c r="G609" s="676" t="inlineStr">
        <is>
          <t>ALI ER-RBAHY-Supervision technique et administratif et coordination</t>
        </is>
      </c>
      <c r="H609" s="673" t="inlineStr">
        <is>
          <t>VALIDE</t>
        </is>
      </c>
      <c r="I609" s="675" t="inlineStr">
        <is>
          <t>APPROUVE</t>
        </is>
      </c>
      <c r="J609" s="693" t="n"/>
      <c r="K609" s="673" t="inlineStr">
        <is>
          <t>NON CONCERNE</t>
        </is>
      </c>
      <c r="L609" s="675" t="inlineStr">
        <is>
          <t>Ordinaire</t>
        </is>
      </c>
      <c r="M609" s="677" t="inlineStr">
        <is>
          <t>FONCTIONNEMENT</t>
        </is>
      </c>
      <c r="N609" s="678" t="inlineStr">
        <is>
          <t>Achats de productions et de programmes</t>
        </is>
      </c>
      <c r="O609" s="679" t="n"/>
      <c r="P609" s="680" t="n"/>
      <c r="Q609" s="680" t="n"/>
      <c r="R609" s="675" t="inlineStr">
        <is>
          <t>NOUVEAU BESOIN</t>
        </is>
      </c>
      <c r="S609" s="681" t="n"/>
      <c r="T609" s="682" t="n"/>
      <c r="U609" s="683" t="inlineStr">
        <is>
          <t>ALI ER-RBAHY</t>
        </is>
      </c>
      <c r="V609" s="675" t="n">
        <v>2026</v>
      </c>
      <c r="W609" s="682" t="n"/>
      <c r="X609" s="682" t="n"/>
      <c r="Y609" s="682" t="n">
        <v>46217</v>
      </c>
      <c r="Z609" s="679" t="n">
        <v>48780</v>
      </c>
      <c r="AA609" s="680" t="n"/>
      <c r="AB609" s="680" t="n">
        <v>48780</v>
      </c>
      <c r="AC609" s="680" t="n"/>
      <c r="AD609" s="680" t="n"/>
      <c r="AE609" s="680" t="n">
        <v>48780</v>
      </c>
      <c r="AF609" s="684" t="inlineStr">
        <is>
          <t>ENGAGE</t>
        </is>
      </c>
      <c r="AG609" s="683" t="n"/>
      <c r="AH609" s="680" t="n"/>
      <c r="AI609" s="680" t="n"/>
      <c r="AJ609" s="680" t="n"/>
      <c r="AK609" s="680" t="n"/>
      <c r="AL609" s="685" t="n"/>
      <c r="AM609" s="685" t="n"/>
      <c r="AN609" s="683" t="n"/>
    </row>
    <row r="610" ht="35.7" customHeight="1" s="392">
      <c r="A610" s="672">
        <f>IF(AF610="ENGAGE","✔",IF(AF610="EN COURS D'ENGAGEMENT","◕",IF(AF610="PREENGAGE","◑",IF(AF610="EN COURS DE PREENGAGEMENT","◔",IF(AF610="NON ENGAGE","✖","")))))</f>
        <v/>
      </c>
      <c r="B610" s="673" t="n">
        <v>2026</v>
      </c>
      <c r="C610" s="674" t="inlineStr">
        <is>
          <t>DCPA</t>
        </is>
      </c>
      <c r="D610" s="699" t="n"/>
      <c r="E610" s="675" t="inlineStr">
        <is>
          <t>CA</t>
        </is>
      </c>
      <c r="F610" s="675" t="n">
        <v>1</v>
      </c>
      <c r="G610" s="676" t="inlineStr">
        <is>
          <t>ABDESLAM KHALOUFI-Supervision technique et administratif et coordination</t>
        </is>
      </c>
      <c r="H610" s="673" t="inlineStr">
        <is>
          <t>EN SIGNATURE</t>
        </is>
      </c>
      <c r="I610" s="675" t="inlineStr">
        <is>
          <t>EN SIGNATURE</t>
        </is>
      </c>
      <c r="J610" s="693" t="n"/>
      <c r="K610" s="673" t="inlineStr">
        <is>
          <t>NON CONCERNE</t>
        </is>
      </c>
      <c r="L610" s="675" t="inlineStr">
        <is>
          <t>Ordinaire</t>
        </is>
      </c>
      <c r="M610" s="677" t="inlineStr">
        <is>
          <t>FONCTIONNEMENT</t>
        </is>
      </c>
      <c r="N610" s="678" t="inlineStr">
        <is>
          <t>Achats de productions et de programmes</t>
        </is>
      </c>
      <c r="O610" s="679" t="n"/>
      <c r="P610" s="680" t="n"/>
      <c r="Q610" s="680" t="n"/>
      <c r="R610" s="675" t="inlineStr">
        <is>
          <t>NOUVEAU BESOIN</t>
        </is>
      </c>
      <c r="S610" s="681" t="n"/>
      <c r="T610" s="682" t="n"/>
      <c r="U610" s="683" t="inlineStr">
        <is>
          <t>ABDESLAM KHALOUFI</t>
        </is>
      </c>
      <c r="V610" s="675" t="n">
        <v>2026</v>
      </c>
      <c r="W610" s="682" t="n"/>
      <c r="X610" s="682" t="n"/>
      <c r="Y610" s="682" t="n"/>
      <c r="Z610" s="679" t="n">
        <v>48780</v>
      </c>
      <c r="AA610" s="680" t="n"/>
      <c r="AB610" s="680" t="n">
        <v>48780</v>
      </c>
      <c r="AC610" s="680" t="n"/>
      <c r="AD610" s="680" t="n"/>
      <c r="AE610" s="680" t="n">
        <v>48780</v>
      </c>
      <c r="AF610" s="684" t="inlineStr">
        <is>
          <t>EN COURS D'ENGAGEMENT</t>
        </is>
      </c>
      <c r="AG610" s="683" t="n"/>
      <c r="AH610" s="680" t="n"/>
      <c r="AI610" s="680" t="n"/>
      <c r="AJ610" s="680" t="n"/>
      <c r="AK610" s="680" t="n"/>
      <c r="AL610" s="685" t="n"/>
      <c r="AM610" s="685" t="n"/>
      <c r="AN610" s="683" t="n"/>
    </row>
    <row r="611" ht="35.7" customHeight="1" s="392">
      <c r="A611" s="672">
        <f>IF(AF611="ENGAGE","✔",IF(AF611="EN COURS D'ENGAGEMENT","◕",IF(AF611="PREENGAGE","◑",IF(AF611="EN COURS DE PREENGAGEMENT","◔",IF(AF611="NON ENGAGE","✖","")))))</f>
        <v/>
      </c>
      <c r="B611" s="673" t="n">
        <v>2026</v>
      </c>
      <c r="C611" s="674" t="inlineStr">
        <is>
          <t>DCPA</t>
        </is>
      </c>
      <c r="D611" s="699" t="n"/>
      <c r="E611" s="675" t="inlineStr">
        <is>
          <t>CA</t>
        </is>
      </c>
      <c r="F611" s="675" t="n">
        <v>1</v>
      </c>
      <c r="G611" s="676" t="inlineStr">
        <is>
          <t>NADIA EL MECHRAFI-Le droit d'enregistrement de diffusion et d'exploitation de 10 séances de musique gharnati</t>
        </is>
      </c>
      <c r="H611" s="673" t="inlineStr">
        <is>
          <t>VALIDE</t>
        </is>
      </c>
      <c r="I611" s="675" t="inlineStr">
        <is>
          <t>APPROUVE</t>
        </is>
      </c>
      <c r="J611" s="693" t="n"/>
      <c r="K611" s="673" t="inlineStr">
        <is>
          <t>NON CONCERNE</t>
        </is>
      </c>
      <c r="L611" s="675" t="inlineStr">
        <is>
          <t>Ordinaire</t>
        </is>
      </c>
      <c r="M611" s="677" t="inlineStr">
        <is>
          <t>FONCTIONNEMENT</t>
        </is>
      </c>
      <c r="N611" s="678" t="inlineStr">
        <is>
          <t>Achats de productions et de programmes</t>
        </is>
      </c>
      <c r="O611" s="679" t="n"/>
      <c r="P611" s="680" t="n"/>
      <c r="Q611" s="680" t="n"/>
      <c r="R611" s="675" t="inlineStr">
        <is>
          <t>NOUVEAU BESOIN</t>
        </is>
      </c>
      <c r="S611" s="681" t="n"/>
      <c r="T611" s="682" t="n"/>
      <c r="U611" s="683" t="inlineStr">
        <is>
          <t>NADIA EL MECHRAFI</t>
        </is>
      </c>
      <c r="V611" s="675" t="n">
        <v>2026</v>
      </c>
      <c r="W611" s="682" t="n"/>
      <c r="X611" s="682" t="n"/>
      <c r="Y611" s="682" t="n">
        <v>46217</v>
      </c>
      <c r="Z611" s="679" t="inlineStr">
        <is>
          <t>317 073,17</t>
        </is>
      </c>
      <c r="AA611" s="680" t="n"/>
      <c r="AB611" s="680" t="inlineStr">
        <is>
          <t>317 073,17</t>
        </is>
      </c>
      <c r="AC611" s="680" t="n"/>
      <c r="AD611" s="680" t="n"/>
      <c r="AE611" s="680" t="inlineStr">
        <is>
          <t>317 073,17</t>
        </is>
      </c>
      <c r="AF611" s="684" t="inlineStr">
        <is>
          <t>ENGAGE</t>
        </is>
      </c>
      <c r="AG611" s="683" t="n"/>
      <c r="AH611" s="680" t="n"/>
      <c r="AI611" s="680" t="n"/>
      <c r="AJ611" s="680" t="n"/>
      <c r="AK611" s="680" t="n"/>
      <c r="AL611" s="685" t="n"/>
      <c r="AM611" s="685" t="n"/>
      <c r="AN611" s="683" t="n"/>
    </row>
    <row r="612" ht="50.55" customHeight="1" s="392">
      <c r="A612" s="672">
        <f>IF(AF612="ENGAGE","✔",IF(AF612="EN COURS D'ENGAGEMENT","◕",IF(AF612="PREENGAGE","◑",IF(AF612="EN COURS DE PREENGAGEMENT","◔",IF(AF612="NON ENGAGE","✖","")))))</f>
        <v/>
      </c>
      <c r="B612" s="673" t="n">
        <v>2026</v>
      </c>
      <c r="C612" s="674" t="inlineStr">
        <is>
          <t>DCPA</t>
        </is>
      </c>
      <c r="D612" s="699" t="n"/>
      <c r="E612" s="675" t="inlineStr">
        <is>
          <t>CA</t>
        </is>
      </c>
      <c r="F612" s="675" t="n">
        <v>1</v>
      </c>
      <c r="G612" s="676" t="inlineStr">
        <is>
          <t>ASSOCIATION AHMED PIRO DE MUSIQUE GHARNATI-Le droit d'enregistrement de diffusion et d'exploitation de 10 séances de musique gharnati</t>
        </is>
      </c>
      <c r="H612" s="673" t="inlineStr">
        <is>
          <t>VALIDE</t>
        </is>
      </c>
      <c r="I612" s="675" t="inlineStr">
        <is>
          <t>APPROUVE</t>
        </is>
      </c>
      <c r="J612" s="693" t="n"/>
      <c r="K612" s="673" t="inlineStr">
        <is>
          <t>NON CONCERNE</t>
        </is>
      </c>
      <c r="L612" s="675" t="inlineStr">
        <is>
          <t>Ordinaire</t>
        </is>
      </c>
      <c r="M612" s="677" t="inlineStr">
        <is>
          <t>FONCTIONNEMENT</t>
        </is>
      </c>
      <c r="N612" s="678" t="inlineStr">
        <is>
          <t>Achats de productions et de programmes</t>
        </is>
      </c>
      <c r="O612" s="679" t="n"/>
      <c r="P612" s="680" t="n"/>
      <c r="Q612" s="680" t="n"/>
      <c r="R612" s="675" t="inlineStr">
        <is>
          <t>NOUVEAU BESOIN</t>
        </is>
      </c>
      <c r="S612" s="681" t="n"/>
      <c r="T612" s="682" t="n"/>
      <c r="U612" s="683" t="inlineStr">
        <is>
          <t>ASSOCIATION AHMED PIRO DE MUSIQUE GHARNATI-</t>
        </is>
      </c>
      <c r="V612" s="675" t="n">
        <v>2026</v>
      </c>
      <c r="W612" s="682" t="n"/>
      <c r="X612" s="682" t="n"/>
      <c r="Y612" s="682" t="n">
        <v>46217</v>
      </c>
      <c r="Z612" s="679" t="n">
        <v>260000</v>
      </c>
      <c r="AA612" s="680" t="n"/>
      <c r="AB612" s="680" t="n">
        <v>260000</v>
      </c>
      <c r="AC612" s="680" t="n"/>
      <c r="AD612" s="680" t="n"/>
      <c r="AE612" s="680" t="n">
        <v>260000</v>
      </c>
      <c r="AF612" s="684" t="inlineStr">
        <is>
          <t>ENGAGE</t>
        </is>
      </c>
      <c r="AG612" s="683" t="n"/>
      <c r="AH612" s="680" t="n"/>
      <c r="AI612" s="680" t="n"/>
      <c r="AJ612" s="680" t="n"/>
      <c r="AK612" s="680" t="n"/>
      <c r="AL612" s="685" t="n"/>
      <c r="AM612" s="685" t="n"/>
      <c r="AN612" s="683" t="n"/>
    </row>
    <row r="613" ht="46.5" customHeight="1" s="392">
      <c r="A613" s="672">
        <f>IF(AF613="ENGAGE","✔",IF(AF613="EN COURS D'ENGAGEMENT","◕",IF(AF613="PREENGAGE","◑",IF(AF613="EN COURS DE PREENGAGEMENT","◔",IF(AF613="NON ENGAGE","✖","")))))</f>
        <v/>
      </c>
      <c r="B613" s="673" t="n">
        <v>2026</v>
      </c>
      <c r="C613" s="674" t="inlineStr">
        <is>
          <t>DPMG</t>
        </is>
      </c>
      <c r="D613" s="674" t="inlineStr">
        <is>
          <t>PV N01RE2026-DPMG</t>
        </is>
      </c>
      <c r="E613" s="675" t="inlineStr">
        <is>
          <t>CA</t>
        </is>
      </c>
      <c r="F613" s="675" t="n">
        <v>1</v>
      </c>
      <c r="G613" s="676" t="inlineStr">
        <is>
          <t>YOUSSEF EL MANSOUR-Metreur en BTP</t>
        </is>
      </c>
      <c r="H613" s="673" t="inlineStr">
        <is>
          <t>EN SIGNATURE</t>
        </is>
      </c>
      <c r="I613" s="675" t="inlineStr">
        <is>
          <t>EN SIGNATURE</t>
        </is>
      </c>
      <c r="J613" s="693" t="n"/>
      <c r="K613" s="673" t="inlineStr">
        <is>
          <t>NON CONCERNE</t>
        </is>
      </c>
      <c r="L613" s="675" t="inlineStr">
        <is>
          <t>Ordinaire</t>
        </is>
      </c>
      <c r="M613" s="677" t="inlineStr">
        <is>
          <t>FONCTIONNEMENT</t>
        </is>
      </c>
      <c r="N613" s="678" t="inlineStr">
        <is>
          <t xml:space="preserve">Prestations de service
Achat prestations de services locales - personnes physiques </t>
        </is>
      </c>
      <c r="O613" s="679" t="n"/>
      <c r="P613" s="680" t="n"/>
      <c r="Q613" s="680" t="n"/>
      <c r="R613" s="675" t="inlineStr">
        <is>
          <t>NOUVEAU BESOIN</t>
        </is>
      </c>
      <c r="S613" s="681" t="n"/>
      <c r="T613" s="682" t="n"/>
      <c r="U613" s="683" t="inlineStr">
        <is>
          <t>YOUSSEF ELMANSOUR</t>
        </is>
      </c>
      <c r="V613" s="675" t="n">
        <v>2026</v>
      </c>
      <c r="W613" s="682" t="n"/>
      <c r="X613" s="682" t="n"/>
      <c r="Y613" s="682" t="n"/>
      <c r="Z613" s="679" t="n">
        <v>42000</v>
      </c>
      <c r="AA613" s="680" t="n"/>
      <c r="AB613" s="680" t="n">
        <v>42000</v>
      </c>
      <c r="AC613" s="680" t="n"/>
      <c r="AD613" s="680" t="n"/>
      <c r="AE613" s="680" t="n">
        <v>42000</v>
      </c>
      <c r="AF613" s="684" t="inlineStr">
        <is>
          <t>EN COURS D'ENGAGEMENT</t>
        </is>
      </c>
      <c r="AG613" s="683" t="n"/>
      <c r="AH613" s="680" t="n"/>
      <c r="AI613" s="680" t="n"/>
      <c r="AJ613" s="680" t="n"/>
      <c r="AK613" s="680" t="n"/>
      <c r="AL613" s="685" t="n"/>
      <c r="AM613" s="685" t="n"/>
      <c r="AN613" s="683" t="inlineStr">
        <is>
          <t>PV EN COURS DE SIGNATURE</t>
        </is>
      </c>
    </row>
    <row r="614" ht="50.55" customHeight="1" s="392">
      <c r="A614" s="672">
        <f>IF(AF614="ENGAGE","✔",IF(AF614="EN COURS D'ENGAGEMENT","◕",IF(AF614="PREENGAGE","◑",IF(AF614="EN COURS DE PREENGAGEMENT","◔",IF(AF614="NON ENGAGE","✖","")))))</f>
        <v/>
      </c>
      <c r="B614" s="673" t="n">
        <v>2026</v>
      </c>
      <c r="C614" s="674" t="inlineStr">
        <is>
          <t>DTSI</t>
        </is>
      </c>
      <c r="D614" s="674" t="inlineStr">
        <is>
          <t>40AOM/SNRT/2026</t>
        </is>
      </c>
      <c r="E614" s="675" t="inlineStr">
        <is>
          <t>AOO-M</t>
        </is>
      </c>
      <c r="F614" s="675" t="n">
        <v>1</v>
      </c>
      <c r="G614" s="676" t="inlineStr">
        <is>
          <t>La fourniture et la mise en service de logiciels et de licences de solutions IT pour les besoins de la Société Nationale de Radiodiffusion et de Télévision</t>
        </is>
      </c>
      <c r="H614" s="673" t="inlineStr">
        <is>
          <t>VALIDE</t>
        </is>
      </c>
      <c r="I614" s="675" t="inlineStr">
        <is>
          <t>INFRUCTUEUX</t>
        </is>
      </c>
      <c r="J614" s="693" t="n"/>
      <c r="K614" s="673" t="inlineStr">
        <is>
          <t>GENERAL</t>
        </is>
      </c>
      <c r="L614" s="675" t="inlineStr">
        <is>
          <t>Ordinaire</t>
        </is>
      </c>
      <c r="M614" s="677" t="inlineStr">
        <is>
          <t>INVESTISSEMENT</t>
        </is>
      </c>
      <c r="N614" s="678" t="inlineStr">
        <is>
          <t>Matériel informatiques</t>
        </is>
      </c>
      <c r="O614" s="679">
        <f>P614*1.2</f>
        <v/>
      </c>
      <c r="P614" s="680" t="n">
        <v>988416</v>
      </c>
      <c r="Q614" s="680">
        <f>P614/1.2</f>
        <v/>
      </c>
      <c r="R614" s="675" t="inlineStr">
        <is>
          <t>NOUVEAU BESOIN</t>
        </is>
      </c>
      <c r="S614" s="681" t="n"/>
      <c r="T614" s="682" t="n"/>
      <c r="U614" s="683" t="n"/>
      <c r="V614" s="675" t="n"/>
      <c r="W614" s="682" t="n">
        <v>46209</v>
      </c>
      <c r="X614" s="682" t="n"/>
      <c r="Y614" s="682" t="n"/>
      <c r="Z614" s="679" t="n"/>
      <c r="AA614" s="680" t="n"/>
      <c r="AB614" s="680" t="n"/>
      <c r="AC614" s="680" t="n"/>
      <c r="AD614" s="680" t="n"/>
      <c r="AE614" s="680" t="n"/>
      <c r="AF614" s="684" t="inlineStr">
        <is>
          <t>NON ENGAGE</t>
        </is>
      </c>
      <c r="AG614" s="683" t="n"/>
      <c r="AH614" s="680" t="n"/>
      <c r="AI614" s="680" t="n"/>
      <c r="AJ614" s="680" t="n"/>
      <c r="AK614" s="680" t="n"/>
      <c r="AL614" s="685" t="n"/>
      <c r="AM614" s="685" t="n"/>
      <c r="AN614" s="683" t="n"/>
    </row>
    <row r="615" ht="35.7" customHeight="1" s="392">
      <c r="A615" s="672">
        <f>IF(AF615="ENGAGE","✔",IF(AF615="EN COURS D'ENGAGEMENT","◕",IF(AF615="PREENGAGE","◑",IF(AF615="EN COURS DE PREENGAGEMENT","◔",IF(AF615="NON ENGAGE","✖","")))))</f>
        <v/>
      </c>
      <c r="B615" s="673" t="n">
        <v>2026</v>
      </c>
      <c r="C615" s="674" t="inlineStr">
        <is>
          <t>DJURIDIQUE</t>
        </is>
      </c>
      <c r="D615" s="674" t="inlineStr">
        <is>
          <t>26000057 CL</t>
        </is>
      </c>
      <c r="E615" s="675" t="inlineStr">
        <is>
          <t>BCL</t>
        </is>
      </c>
      <c r="F615" s="675" t="n">
        <v>1</v>
      </c>
      <c r="G615" s="676" t="inlineStr">
        <is>
          <t>Publications des comptes annuels de la SNRT 2025 au Bulletin Officiel</t>
        </is>
      </c>
      <c r="H615" s="673" t="inlineStr">
        <is>
          <t>EN SIGNATURE</t>
        </is>
      </c>
      <c r="I615" s="675" t="inlineStr">
        <is>
          <t>EN SIGNATURE</t>
        </is>
      </c>
      <c r="J615" s="675" t="inlineStr">
        <is>
          <t>26000057 CL</t>
        </is>
      </c>
      <c r="K615" s="673" t="inlineStr">
        <is>
          <t>NON CONCERNE</t>
        </is>
      </c>
      <c r="L615" s="675" t="inlineStr">
        <is>
          <t>Ordinaire</t>
        </is>
      </c>
      <c r="M615" s="677" t="inlineStr">
        <is>
          <t>FONCTIONNEMENT</t>
        </is>
      </c>
      <c r="N615" s="678" t="inlineStr">
        <is>
          <t>Redevances et cotisations</t>
        </is>
      </c>
      <c r="O615" s="679" t="n"/>
      <c r="P615" s="680" t="n"/>
      <c r="Q615" s="680" t="n"/>
      <c r="R615" s="675" t="inlineStr">
        <is>
          <t>BESOIN RECURRENT</t>
        </is>
      </c>
      <c r="S615" s="681" t="n"/>
      <c r="T615" s="682" t="n"/>
      <c r="U615" s="683" t="inlineStr">
        <is>
          <t>Directions de l'imprimerie officel</t>
        </is>
      </c>
      <c r="V615" s="675" t="n">
        <v>2026</v>
      </c>
      <c r="W615" s="682" t="n">
        <v>46212</v>
      </c>
      <c r="X615" s="682" t="n"/>
      <c r="Y615" s="682" t="n"/>
      <c r="Z615" s="679" t="n">
        <v>9600</v>
      </c>
      <c r="AA615" s="680" t="n"/>
      <c r="AB615" s="680">
        <f>Engagements2026Juillet[[#This Row],[MONTANT MARCHE HT PART EN MAD]]</f>
        <v/>
      </c>
      <c r="AC615" s="680" t="n"/>
      <c r="AD615" s="680" t="n"/>
      <c r="AE615" s="680">
        <f>Engagements2026Juillet[[#This Row],[MONTANT MARCHE HT PART EN MAD]]</f>
        <v/>
      </c>
      <c r="AF615" s="684" t="inlineStr">
        <is>
          <t>EN COURS D'ENGAGEMENT</t>
        </is>
      </c>
      <c r="AG615" s="683" t="n"/>
      <c r="AH615" s="680" t="n"/>
      <c r="AI615" s="680" t="n"/>
      <c r="AJ615" s="680" t="n"/>
      <c r="AK615" s="680" t="n"/>
      <c r="AL615" s="685" t="n"/>
      <c r="AM615" s="685" t="n"/>
      <c r="AN615" s="683" t="n"/>
    </row>
    <row r="616" ht="50.55" customHeight="1" s="392">
      <c r="A616" s="672">
        <f>IF(AF616="ENGAGE","✔",IF(AF616="EN COURS D'ENGAGEMENT","◕",IF(AF616="PREENGAGE","◑",IF(AF616="EN COURS DE PREENGAGEMENT","◔",IF(AF616="NON ENGAGE","✖","")))))</f>
        <v/>
      </c>
      <c r="B616" s="673" t="n">
        <v>2026</v>
      </c>
      <c r="C616" s="674" t="inlineStr">
        <is>
          <t>DPPR</t>
        </is>
      </c>
      <c r="D616" s="674" t="inlineStr">
        <is>
          <t>26000564 CT</t>
        </is>
      </c>
      <c r="E616" s="675" t="inlineStr">
        <is>
          <t>CONTRAT</t>
        </is>
      </c>
      <c r="F616" s="675" t="n">
        <v>1</v>
      </c>
      <c r="G616" s="676" t="inlineStr">
        <is>
          <t>MAHJOUB BEN-SI-ALI - Journaliste chargé de la préparation et la présentation des bulletins et flashs d'information des èmissions RD</t>
        </is>
      </c>
      <c r="H616" s="673" t="inlineStr">
        <is>
          <t>VALIDE</t>
        </is>
      </c>
      <c r="I616" s="675" t="inlineStr">
        <is>
          <t>APPROUVE</t>
        </is>
      </c>
      <c r="J616" s="675" t="inlineStr">
        <is>
          <t>26000564 CT</t>
        </is>
      </c>
      <c r="K616" s="673" t="inlineStr">
        <is>
          <t>NON CONCERNE</t>
        </is>
      </c>
      <c r="L616" s="675" t="inlineStr">
        <is>
          <t>Ordinaire</t>
        </is>
      </c>
      <c r="M616" s="677" t="inlineStr">
        <is>
          <t>FONCTIONNEMENT</t>
        </is>
      </c>
      <c r="N616" s="678" t="inlineStr">
        <is>
          <t xml:space="preserve">Prestations de service
Achat prestations de services locales - personnes physiques </t>
        </is>
      </c>
      <c r="O616" s="679" t="n"/>
      <c r="P616" s="680" t="n"/>
      <c r="Q616" s="680" t="n"/>
      <c r="R616" s="675" t="inlineStr">
        <is>
          <t>RECONDUCTIBLE</t>
        </is>
      </c>
      <c r="S616" s="681" t="n"/>
      <c r="T616" s="682" t="n"/>
      <c r="U616" s="683" t="inlineStr">
        <is>
          <t>MAHJOUB BEN -SI-ALI</t>
        </is>
      </c>
      <c r="V616" s="675" t="n">
        <v>2026</v>
      </c>
      <c r="W616" s="682" t="n"/>
      <c r="X616" s="682" t="n"/>
      <c r="Y616" s="682" t="n"/>
      <c r="Z616" s="679" t="n">
        <v>48000</v>
      </c>
      <c r="AA616" s="680" t="n"/>
      <c r="AB616" s="680" t="n">
        <v>48000</v>
      </c>
      <c r="AC616" s="680" t="n"/>
      <c r="AD616" s="680" t="n"/>
      <c r="AE616" s="680" t="n">
        <v>48000</v>
      </c>
      <c r="AF616" s="684" t="inlineStr">
        <is>
          <t>ENGAGE</t>
        </is>
      </c>
      <c r="AG616" s="683" t="n"/>
      <c r="AH616" s="680" t="n"/>
      <c r="AI616" s="680" t="n"/>
      <c r="AJ616" s="680" t="n"/>
      <c r="AK616" s="680" t="n"/>
      <c r="AL616" s="685" t="n"/>
      <c r="AM616" s="685" t="n"/>
      <c r="AN616" s="683" t="n"/>
      <c r="AO616" s="700" t="n"/>
      <c r="AP616" s="701" t="n"/>
      <c r="AQ616" s="702" t="n"/>
      <c r="AR616" s="702" t="n"/>
      <c r="AS616" s="703" t="n"/>
      <c r="AT616" s="704" t="n"/>
    </row>
    <row r="617" ht="50.55" customHeight="1" s="392">
      <c r="A617" s="672">
        <f>IF(AF617="ENGAGE","✔",IF(AF617="EN COURS D'ENGAGEMENT","◕",IF(AF617="PREENGAGE","◑",IF(AF617="EN COURS DE PREENGAGEMENT","◔",IF(AF617="NON ENGAGE","✖","")))))</f>
        <v/>
      </c>
      <c r="B617" s="673" t="n">
        <v>2026</v>
      </c>
      <c r="C617" s="674" t="inlineStr">
        <is>
          <t>DPPR</t>
        </is>
      </c>
      <c r="D617" s="674" t="inlineStr">
        <is>
          <t>26000565 CT</t>
        </is>
      </c>
      <c r="E617" s="675" t="inlineStr">
        <is>
          <t>CONTRAT</t>
        </is>
      </c>
      <c r="F617" s="675" t="n">
        <v>1</v>
      </c>
      <c r="G617" s="676" t="inlineStr">
        <is>
          <t>FATIMA ZOHRA BOUSKRAOUI-Journaliste chargé de la préparation et la présentation des bulletins et flashs d'information des èmissions RD</t>
        </is>
      </c>
      <c r="H617" s="673" t="inlineStr">
        <is>
          <t>VALIDE</t>
        </is>
      </c>
      <c r="I617" s="675" t="inlineStr">
        <is>
          <t>APPROUVE</t>
        </is>
      </c>
      <c r="J617" s="675" t="inlineStr">
        <is>
          <t>26000565CT</t>
        </is>
      </c>
      <c r="K617" s="673" t="inlineStr">
        <is>
          <t>NON CONCERNE</t>
        </is>
      </c>
      <c r="L617" s="675" t="inlineStr">
        <is>
          <t>Ordinaire</t>
        </is>
      </c>
      <c r="M617" s="677" t="inlineStr">
        <is>
          <t>FONCTIONNEMENT</t>
        </is>
      </c>
      <c r="N617" s="678" t="inlineStr">
        <is>
          <t xml:space="preserve">Prestations de service
Achat prestations de services locales - personnes physiques </t>
        </is>
      </c>
      <c r="O617" s="679" t="n"/>
      <c r="P617" s="680" t="n"/>
      <c r="Q617" s="680" t="n"/>
      <c r="R617" s="675" t="inlineStr">
        <is>
          <t>RECONDUCTIBLE</t>
        </is>
      </c>
      <c r="S617" s="681" t="n"/>
      <c r="T617" s="682" t="n"/>
      <c r="U617" s="683" t="inlineStr">
        <is>
          <t>FATIMA ZOHRA BOUSKRAOUI</t>
        </is>
      </c>
      <c r="V617" s="675" t="n">
        <v>2026</v>
      </c>
      <c r="W617" s="682" t="n"/>
      <c r="X617" s="682" t="n"/>
      <c r="Y617" s="682" t="n"/>
      <c r="Z617" s="679" t="n">
        <v>48000</v>
      </c>
      <c r="AA617" s="680" t="n"/>
      <c r="AB617" s="680" t="n">
        <v>48000</v>
      </c>
      <c r="AC617" s="680" t="n"/>
      <c r="AD617" s="680" t="n"/>
      <c r="AE617" s="680" t="n">
        <v>48000</v>
      </c>
      <c r="AF617" s="684" t="inlineStr">
        <is>
          <t>ENGAGE</t>
        </is>
      </c>
      <c r="AG617" s="683" t="n"/>
      <c r="AH617" s="680" t="n"/>
      <c r="AI617" s="680" t="n"/>
      <c r="AJ617" s="680" t="n"/>
      <c r="AK617" s="680" t="n"/>
      <c r="AL617" s="685" t="n"/>
      <c r="AM617" s="685" t="n"/>
      <c r="AN617" s="683" t="n"/>
      <c r="AO617" s="700" t="n"/>
      <c r="AP617" s="701" t="n"/>
      <c r="AQ617" s="702" t="n"/>
      <c r="AR617" s="702" t="n"/>
      <c r="AS617" s="703" t="n"/>
      <c r="AT617" s="704" t="n"/>
    </row>
    <row r="618" ht="50.55" customHeight="1" s="392">
      <c r="A618" s="672">
        <f>IF(AF618="ENGAGE","✔",IF(AF618="EN COURS D'ENGAGEMENT","◕",IF(AF618="PREENGAGE","◑",IF(AF618="EN COURS DE PREENGAGEMENT","◔",IF(AF618="NON ENGAGE","✖","")))))</f>
        <v/>
      </c>
      <c r="B618" s="673" t="n">
        <v>2026</v>
      </c>
      <c r="C618" s="674" t="inlineStr">
        <is>
          <t>DPPR</t>
        </is>
      </c>
      <c r="D618" s="674" t="inlineStr">
        <is>
          <t>26000566 CT</t>
        </is>
      </c>
      <c r="E618" s="675" t="inlineStr">
        <is>
          <t>CONTRAT</t>
        </is>
      </c>
      <c r="F618" s="675" t="n">
        <v>1</v>
      </c>
      <c r="G618" s="676" t="inlineStr">
        <is>
          <t>MEHDI EL ATIFI - Journaliste chargé de la préparation et la présentation des bulletins et flashs d'information des èmissions RD</t>
        </is>
      </c>
      <c r="H618" s="673" t="inlineStr">
        <is>
          <t>VALIDE</t>
        </is>
      </c>
      <c r="I618" s="675" t="inlineStr">
        <is>
          <t>APPROUVE</t>
        </is>
      </c>
      <c r="J618" s="675" t="inlineStr">
        <is>
          <t>26000566 CT</t>
        </is>
      </c>
      <c r="K618" s="673" t="inlineStr">
        <is>
          <t>NON CONCERNE</t>
        </is>
      </c>
      <c r="L618" s="675" t="inlineStr">
        <is>
          <t>Ordinaire</t>
        </is>
      </c>
      <c r="M618" s="677" t="inlineStr">
        <is>
          <t>FONCTIONNEMENT</t>
        </is>
      </c>
      <c r="N618" s="678" t="inlineStr">
        <is>
          <t xml:space="preserve">Prestations de service
Achat prestations de services locales - personnes physiques </t>
        </is>
      </c>
      <c r="O618" s="679" t="n"/>
      <c r="P618" s="680" t="n"/>
      <c r="Q618" s="680" t="n"/>
      <c r="R618" s="675" t="inlineStr">
        <is>
          <t>RECONDUCTIBLE</t>
        </is>
      </c>
      <c r="S618" s="681" t="n"/>
      <c r="T618" s="682" t="n"/>
      <c r="U618" s="683" t="inlineStr">
        <is>
          <t>MEHDI EL ATIFI</t>
        </is>
      </c>
      <c r="V618" s="675" t="n">
        <v>2026</v>
      </c>
      <c r="W618" s="682" t="n"/>
      <c r="X618" s="682" t="n"/>
      <c r="Y618" s="682" t="n"/>
      <c r="Z618" s="679" t="n">
        <v>48000</v>
      </c>
      <c r="AA618" s="680" t="n"/>
      <c r="AB618" s="680" t="n">
        <v>48000</v>
      </c>
      <c r="AC618" s="680" t="n"/>
      <c r="AD618" s="680" t="n"/>
      <c r="AE618" s="680" t="n">
        <v>48000</v>
      </c>
      <c r="AF618" s="684" t="inlineStr">
        <is>
          <t>ENGAGE</t>
        </is>
      </c>
      <c r="AG618" s="683" t="n"/>
      <c r="AH618" s="680" t="n"/>
      <c r="AI618" s="680" t="n"/>
      <c r="AJ618" s="680" t="n"/>
      <c r="AK618" s="680" t="n"/>
      <c r="AL618" s="685" t="n"/>
      <c r="AM618" s="685" t="n"/>
      <c r="AN618" s="683" t="n"/>
      <c r="AO618" s="700" t="n"/>
      <c r="AP618" s="701" t="n"/>
      <c r="AQ618" s="702" t="n"/>
      <c r="AR618" s="702" t="n"/>
      <c r="AS618" s="703" t="n"/>
      <c r="AT618" s="704" t="n"/>
    </row>
    <row r="619" ht="65.40000000000001" customHeight="1" s="392">
      <c r="A619" s="672">
        <f>IF(AF619="ENGAGE","✔",IF(AF619="EN COURS D'ENGAGEMENT","◕",IF(AF619="PREENGAGE","◑",IF(AF619="EN COURS DE PREENGAGEMENT","◔",IF(AF619="NON ENGAGE","✖","")))))</f>
        <v/>
      </c>
      <c r="B619" s="673" t="n">
        <v>2026</v>
      </c>
      <c r="C619" s="674" t="inlineStr">
        <is>
          <t>DCT</t>
        </is>
      </c>
      <c r="D619" s="674" t="inlineStr">
        <is>
          <t>63AOM/SNRT/2026</t>
        </is>
      </c>
      <c r="E619" s="675" t="inlineStr">
        <is>
          <t>AOO-M</t>
        </is>
      </c>
      <c r="F619" s="675" t="n">
        <v>1</v>
      </c>
      <c r="G619" s="676" t="inlineStr">
        <is>
          <t>Fourniture et mise en service d'équipements audio vidéo au profit de la Direction de la Régie Publicitaire et Solutions Digitales de la Société Nationale de la Radiodiffusion et de la Télévision</t>
        </is>
      </c>
      <c r="H619" s="673" t="inlineStr">
        <is>
          <t>VALIDE</t>
        </is>
      </c>
      <c r="I619" s="675" t="inlineStr">
        <is>
          <t>PHASE AOO</t>
        </is>
      </c>
      <c r="J619" s="693" t="n"/>
      <c r="K619" s="673" t="inlineStr">
        <is>
          <t>GENERAL</t>
        </is>
      </c>
      <c r="L619" s="675" t="inlineStr">
        <is>
          <t>Ordinaire</t>
        </is>
      </c>
      <c r="M619" s="677" t="inlineStr">
        <is>
          <t>INVESTISSEMENT</t>
        </is>
      </c>
      <c r="N619" s="678" t="inlineStr">
        <is>
          <t>Matériel informatique</t>
        </is>
      </c>
      <c r="O619" s="679">
        <f>Engagements2026Juillet[[#This Row],[ESTIMATION TTC]]*1.2</f>
        <v/>
      </c>
      <c r="P619" s="680" t="n">
        <v>323628</v>
      </c>
      <c r="Q619" s="680">
        <f>Engagements2026Juillet[[#This Row],[ESTIMATION TTC]]/1.2</f>
        <v/>
      </c>
      <c r="R619" s="675" t="inlineStr">
        <is>
          <t>NOUVEAU BESOIN</t>
        </is>
      </c>
      <c r="S619" s="681" t="n"/>
      <c r="T619" s="682" t="n"/>
      <c r="U619" s="683" t="n"/>
      <c r="V619" s="693" t="n"/>
      <c r="W619" s="682" t="n">
        <v>46218</v>
      </c>
      <c r="X619" s="682" t="n"/>
      <c r="Y619" s="682" t="n"/>
      <c r="Z619" s="679" t="n"/>
      <c r="AA619" s="680" t="n"/>
      <c r="AB619" s="680" t="n"/>
      <c r="AC619" s="680" t="n"/>
      <c r="AD619" s="680" t="n"/>
      <c r="AE619" s="680" t="n"/>
      <c r="AF619" s="684" t="inlineStr">
        <is>
          <t>PREENGAGE</t>
        </is>
      </c>
      <c r="AG619" s="683" t="n"/>
      <c r="AH619" s="680" t="n"/>
      <c r="AI619" s="680" t="n"/>
      <c r="AJ619" s="680" t="n"/>
      <c r="AK619" s="680" t="n"/>
      <c r="AL619" s="685" t="n"/>
      <c r="AM619" s="685" t="n"/>
      <c r="AN619" s="683" t="n"/>
      <c r="AO619" s="700" t="n"/>
      <c r="AP619" s="701" t="n"/>
      <c r="AQ619" s="702" t="n"/>
      <c r="AR619" s="702" t="n"/>
      <c r="AS619" s="703" t="n"/>
      <c r="AT619" s="704" t="n"/>
    </row>
    <row r="620" ht="35.7" customHeight="1" s="392">
      <c r="A620" s="672">
        <f>IF(AF620="ENGAGE","✔",IF(AF620="EN COURS D'ENGAGEMENT","◕",IF(AF620="PREENGAGE","◑",IF(AF620="EN COURS DE PREENGAGEMENT","◔",IF(AF620="NON ENGAGE","✖","")))))</f>
        <v/>
      </c>
      <c r="B620" s="673" t="n">
        <v>2026</v>
      </c>
      <c r="C620" s="674" t="inlineStr">
        <is>
          <t>DCT</t>
        </is>
      </c>
      <c r="D620" s="674" t="inlineStr">
        <is>
          <t>64AOM/SNRT/2026</t>
        </is>
      </c>
      <c r="E620" s="675" t="inlineStr">
        <is>
          <t>AOO-M</t>
        </is>
      </c>
      <c r="F620" s="675" t="n">
        <v>1</v>
      </c>
      <c r="G620" s="676" t="inlineStr">
        <is>
          <t>Fourniture et mise en service d'un système de traveling robotisé pour les besoins de la production de la SNRT</t>
        </is>
      </c>
      <c r="H620" s="673" t="inlineStr">
        <is>
          <t>VALIDE</t>
        </is>
      </c>
      <c r="I620" s="675" t="inlineStr">
        <is>
          <t>INFRUCTUEUX</t>
        </is>
      </c>
      <c r="J620" s="693" t="n"/>
      <c r="K620" s="673" t="inlineStr">
        <is>
          <t>GENERAL</t>
        </is>
      </c>
      <c r="L620" s="675" t="inlineStr">
        <is>
          <t>Exceptionnel</t>
        </is>
      </c>
      <c r="M620" s="677" t="inlineStr">
        <is>
          <t>INVESTISSEMENT</t>
        </is>
      </c>
      <c r="N620" s="678" t="inlineStr">
        <is>
          <t>Équipements techniques</t>
        </is>
      </c>
      <c r="O620" s="679">
        <f>Engagements2026Juillet[[#This Row],[ESTIMATION TTC]]*1.2</f>
        <v/>
      </c>
      <c r="P620" s="680" t="n">
        <v>3132276</v>
      </c>
      <c r="Q620" s="680">
        <f>Engagements2026Juillet[[#This Row],[ESTIMATION TTC]]/1.2</f>
        <v/>
      </c>
      <c r="R620" s="675" t="n"/>
      <c r="S620" s="681" t="n"/>
      <c r="T620" s="682" t="n"/>
      <c r="U620" s="683" t="n"/>
      <c r="V620" s="693" t="n"/>
      <c r="W620" s="682" t="n">
        <v>46127</v>
      </c>
      <c r="X620" s="682" t="n"/>
      <c r="Y620" s="682" t="n"/>
      <c r="Z620" s="679" t="n"/>
      <c r="AA620" s="680" t="n"/>
      <c r="AB620" s="680" t="n"/>
      <c r="AC620" s="680" t="n"/>
      <c r="AD620" s="680" t="n"/>
      <c r="AE620" s="680" t="n"/>
      <c r="AF620" s="684" t="inlineStr">
        <is>
          <t>NON ENGAGE</t>
        </is>
      </c>
      <c r="AG620" s="683" t="n"/>
      <c r="AH620" s="680" t="n"/>
      <c r="AI620" s="680" t="n"/>
      <c r="AJ620" s="680" t="n"/>
      <c r="AK620" s="680" t="n"/>
      <c r="AL620" s="685" t="n"/>
      <c r="AM620" s="685" t="n"/>
      <c r="AN620" s="683" t="n"/>
      <c r="AO620" s="700" t="n"/>
      <c r="AP620" s="701" t="n"/>
      <c r="AQ620" s="702" t="n"/>
      <c r="AR620" s="702" t="n"/>
      <c r="AS620" s="703" t="n"/>
      <c r="AT620" s="704" t="n"/>
    </row>
    <row r="621" ht="50.55" customHeight="1" s="392">
      <c r="A621" s="672">
        <f>IF(AF621="ENGAGE","✔",IF(AF621="EN COURS D'ENGAGEMENT","◕",IF(AF621="PREENGAGE","◑",IF(AF621="EN COURS DE PREENGAGEMENT","◔",IF(AF621="NON ENGAGE","✖","")))))</f>
        <v/>
      </c>
      <c r="B621" s="673" t="n">
        <v>2026</v>
      </c>
      <c r="C621" s="674" t="inlineStr">
        <is>
          <t>DINFOTV</t>
        </is>
      </c>
      <c r="D621" s="674" t="inlineStr">
        <is>
          <t>PV N°04NV2026-DITV</t>
        </is>
      </c>
      <c r="E621" s="675" t="inlineStr">
        <is>
          <t>CONTRAT</t>
        </is>
      </c>
      <c r="F621" s="675" t="n">
        <v>1</v>
      </c>
      <c r="G621" s="676" t="inlineStr">
        <is>
          <t>DRISS ABIS- L'accompagnement de la couverture médiatique des grandes compétitions sportives dans le cadre des journaux télévisés et des studios d'analyse des matchs</t>
        </is>
      </c>
      <c r="H621" s="673" t="inlineStr">
        <is>
          <t>EN SIGNATURE</t>
        </is>
      </c>
      <c r="I621" s="675" t="inlineStr">
        <is>
          <t>EN SIGNATURE</t>
        </is>
      </c>
      <c r="J621" s="693" t="n"/>
      <c r="K621" s="673" t="inlineStr">
        <is>
          <t>NON CONCERNE</t>
        </is>
      </c>
      <c r="L621" s="675" t="inlineStr">
        <is>
          <t>Ordinaire</t>
        </is>
      </c>
      <c r="M621" s="677" t="inlineStr">
        <is>
          <t>FONCTIONNEMENT</t>
        </is>
      </c>
      <c r="N621" s="678" t="inlineStr">
        <is>
          <t xml:space="preserve">Prestations de service
Achat prestations de services locales - personnes physiques </t>
        </is>
      </c>
      <c r="O621" s="679" t="n"/>
      <c r="P621" s="680" t="n"/>
      <c r="Q621" s="680" t="n"/>
      <c r="R621" s="675" t="inlineStr">
        <is>
          <t>RECONDUCTIBLE</t>
        </is>
      </c>
      <c r="S621" s="681" t="n"/>
      <c r="T621" s="682" t="n"/>
      <c r="U621" s="683" t="inlineStr">
        <is>
          <t>DRISS ABIS</t>
        </is>
      </c>
      <c r="V621" s="675" t="n">
        <v>2026</v>
      </c>
      <c r="W621" s="682" t="n"/>
      <c r="X621" s="682" t="n"/>
      <c r="Y621" s="682" t="n"/>
      <c r="Z621" s="679" t="n"/>
      <c r="AA621" s="680" t="n"/>
      <c r="AB621" s="680" t="n">
        <v>350000</v>
      </c>
      <c r="AC621" s="680" t="n"/>
      <c r="AD621" s="680" t="n"/>
      <c r="AE621" s="680">
        <f>Engagements2026Juillet[[#This Row],[MONTANT MARCHE TTC  PART EN MAD]]</f>
        <v/>
      </c>
      <c r="AF621" s="684" t="inlineStr">
        <is>
          <t>EN COURS D'ENGAGEMENT</t>
        </is>
      </c>
      <c r="AG621" s="683" t="n"/>
      <c r="AH621" s="680" t="n"/>
      <c r="AI621" s="680" t="n"/>
      <c r="AJ621" s="680" t="n"/>
      <c r="AK621" s="680" t="n"/>
      <c r="AL621" s="685" t="n"/>
      <c r="AM621" s="685" t="n"/>
      <c r="AN621" s="683" t="n"/>
      <c r="AO621" s="700" t="n"/>
      <c r="AP621" s="701" t="n"/>
      <c r="AQ621" s="702" t="n"/>
      <c r="AR621" s="702" t="n"/>
      <c r="AS621" s="703" t="n"/>
      <c r="AT621" s="704" t="n"/>
    </row>
    <row r="622" ht="35.7" customHeight="1" s="392">
      <c r="A622" s="672">
        <f>IF(AF622="ENGAGE","✔",IF(AF622="EN COURS D'ENGAGEMENT","◕",IF(AF622="PREENGAGE","◑",IF(AF622="EN COURS DE PREENGAGEMENT","◔",IF(AF622="NON ENGAGE","✖","")))))</f>
        <v/>
      </c>
      <c r="B622" s="673" t="n">
        <v>2026</v>
      </c>
      <c r="C622" s="674" t="inlineStr">
        <is>
          <t>DPMG</t>
        </is>
      </c>
      <c r="D622" s="674" t="inlineStr">
        <is>
          <t>26000068 CL</t>
        </is>
      </c>
      <c r="E622" s="675" t="inlineStr">
        <is>
          <t>BCL</t>
        </is>
      </c>
      <c r="F622" s="675" t="n">
        <v>1</v>
      </c>
      <c r="G622" s="676" t="inlineStr">
        <is>
          <t>Acquisition de mini-refrigerateurs pour les directions de la SNRT</t>
        </is>
      </c>
      <c r="H622" s="673" t="inlineStr">
        <is>
          <t>EN SIGNATURE</t>
        </is>
      </c>
      <c r="I622" s="675" t="inlineStr">
        <is>
          <t>EN SIGNATURE</t>
        </is>
      </c>
      <c r="J622" s="675" t="inlineStr">
        <is>
          <t>26000068 CL</t>
        </is>
      </c>
      <c r="K622" s="673" t="inlineStr">
        <is>
          <t>NON CONCERNE</t>
        </is>
      </c>
      <c r="L622" s="675" t="n"/>
      <c r="M622" s="677" t="inlineStr">
        <is>
          <t>FONCTIONNEMENT</t>
        </is>
      </c>
      <c r="N622" s="678" t="inlineStr">
        <is>
          <t xml:space="preserve">Achats non stockés de matières et fournitures </t>
        </is>
      </c>
      <c r="O622" s="679" t="n"/>
      <c r="P622" s="680" t="n"/>
      <c r="Q622" s="680" t="n"/>
      <c r="R622" s="675" t="inlineStr">
        <is>
          <t>NOUVEAU BESOIN</t>
        </is>
      </c>
      <c r="S622" s="681" t="n"/>
      <c r="T622" s="682" t="n"/>
      <c r="U622" s="683" t="inlineStr">
        <is>
          <t>ASWAK ASSALAM</t>
        </is>
      </c>
      <c r="V622" s="693" t="n"/>
      <c r="W622" s="682" t="n">
        <v>46223</v>
      </c>
      <c r="X622" s="682" t="n"/>
      <c r="Y622" s="682" t="n"/>
      <c r="Z622" s="679" t="n">
        <v>11660</v>
      </c>
      <c r="AA622" s="680" t="n"/>
      <c r="AB622" s="680">
        <f>+Engagements2026Juillet[[#This Row],[MONTANT MARCHE HT PART EN MAD]]*1.2</f>
        <v/>
      </c>
      <c r="AC622" s="680" t="n"/>
      <c r="AD622" s="680" t="n"/>
      <c r="AE622" s="680">
        <f>Engagements2026Juillet[[#This Row],[MONTANT MARCHE TTC  PART EN MAD]]</f>
        <v/>
      </c>
      <c r="AF622" s="684" t="inlineStr">
        <is>
          <t>EN COURS D'ENGAGEMENT</t>
        </is>
      </c>
      <c r="AG622" s="683" t="n"/>
      <c r="AH622" s="680" t="n"/>
      <c r="AI622" s="680" t="n"/>
      <c r="AJ622" s="680" t="n"/>
      <c r="AK622" s="680" t="n"/>
      <c r="AL622" s="685" t="n"/>
      <c r="AM622" s="685" t="n"/>
      <c r="AN622" s="683" t="n"/>
      <c r="AO622" s="700" t="n"/>
      <c r="AP622" s="701" t="n"/>
      <c r="AQ622" s="702" t="n"/>
      <c r="AR622" s="702" t="n"/>
      <c r="AS622" s="703" t="n"/>
      <c r="AT622" s="704" t="n"/>
    </row>
    <row r="623" ht="35.7" customHeight="1" s="392">
      <c r="A623" s="672">
        <f>IF(AF623="ENGAGE","✔",IF(AF623="EN COURS D'ENGAGEMENT","◕",IF(AF623="PREENGAGE","◑",IF(AF623="EN COURS DE PREENGAGEMENT","◔",IF(AF623="NON ENGAGE","✖","")))))</f>
        <v/>
      </c>
      <c r="B623" s="673" t="n">
        <v>2026</v>
      </c>
      <c r="C623" s="674" t="inlineStr">
        <is>
          <t>DCT</t>
        </is>
      </c>
      <c r="D623" s="674" t="inlineStr">
        <is>
          <t>54AOM/SNRT/2026</t>
        </is>
      </c>
      <c r="E623" s="675" t="inlineStr">
        <is>
          <t>AOO-M</t>
        </is>
      </c>
      <c r="F623" s="675" t="n">
        <v>1</v>
      </c>
      <c r="G623" s="676" t="inlineStr">
        <is>
          <t>Renouvellement des licences de la solution de gestion financière pour les besoins de la SNRT</t>
        </is>
      </c>
      <c r="H623" s="673" t="inlineStr">
        <is>
          <t>VALIDE</t>
        </is>
      </c>
      <c r="I623" s="675" t="inlineStr">
        <is>
          <t>PHASE AOO</t>
        </is>
      </c>
      <c r="J623" s="693" t="n"/>
      <c r="K623" s="673" t="inlineStr">
        <is>
          <t>GENERAL</t>
        </is>
      </c>
      <c r="L623" s="675" t="inlineStr">
        <is>
          <t>Ordinaire</t>
        </is>
      </c>
      <c r="M623" s="677" t="inlineStr">
        <is>
          <t>FONCTIONNEMENT</t>
        </is>
      </c>
      <c r="N623" s="678" t="inlineStr">
        <is>
          <t>Redevances et cotisations</t>
        </is>
      </c>
      <c r="O623" s="679">
        <f>Engagements2026Juillet[[#This Row],[ESTIMATION TTC]]*1.2</f>
        <v/>
      </c>
      <c r="P623" s="680" t="n">
        <v>112824</v>
      </c>
      <c r="Q623" s="680">
        <f>Engagements2026Juillet[[#This Row],[ESTIMATION TTC]]/1.2</f>
        <v/>
      </c>
      <c r="R623" s="675" t="inlineStr">
        <is>
          <t>NOUVEAU BESOIN</t>
        </is>
      </c>
      <c r="S623" s="681" t="n"/>
      <c r="T623" s="682" t="n"/>
      <c r="U623" s="683" t="n"/>
      <c r="V623" s="693" t="n"/>
      <c r="W623" s="682" t="n"/>
      <c r="X623" s="682" t="n"/>
      <c r="Y623" s="682" t="n"/>
      <c r="Z623" s="679" t="n"/>
      <c r="AA623" s="680" t="n"/>
      <c r="AB623" s="680" t="n"/>
      <c r="AC623" s="680" t="n"/>
      <c r="AD623" s="680" t="n"/>
      <c r="AE623" s="680" t="n"/>
      <c r="AF623" s="684" t="inlineStr">
        <is>
          <t>PREENGAGE</t>
        </is>
      </c>
      <c r="AG623" s="683" t="n"/>
      <c r="AH623" s="680" t="n"/>
      <c r="AI623" s="680" t="n"/>
      <c r="AJ623" s="680" t="n"/>
      <c r="AK623" s="680" t="n"/>
      <c r="AL623" s="685" t="n"/>
      <c r="AM623" s="685" t="n"/>
      <c r="AN623" s="683" t="n"/>
      <c r="AO623" s="700" t="n"/>
      <c r="AP623" s="701" t="n"/>
      <c r="AQ623" s="702" t="n"/>
      <c r="AR623" s="702" t="n"/>
      <c r="AS623" s="703" t="n"/>
      <c r="AT623" s="704" t="n"/>
    </row>
    <row r="624" ht="65.40000000000001" customHeight="1" s="392">
      <c r="A624" s="672">
        <f>IF(AF624="ENGAGE","✔",IF(AF624="EN COURS D'ENGAGEMENT","◕",IF(AF624="PREENGAGE","◑",IF(AF624="EN COURS DE PREENGAGEMENT","◔",IF(AF624="NON ENGAGE","✖","")))))</f>
        <v/>
      </c>
      <c r="B624" s="673" t="n">
        <v>2026</v>
      </c>
      <c r="C624" s="674" t="inlineStr">
        <is>
          <t>DCPA</t>
        </is>
      </c>
      <c r="D624" s="674" t="inlineStr">
        <is>
          <t>26000594 CT</t>
        </is>
      </c>
      <c r="E624" s="675" t="inlineStr">
        <is>
          <t>CONTRAT</t>
        </is>
      </c>
      <c r="F624" s="675" t="n">
        <v>1</v>
      </c>
      <c r="G624" s="676" t="inlineStr">
        <is>
          <t>ABDELLAH TOUKOUNA(ALIAS FERKOUSS)-LA PARTICIPATION ARTISTIQUE DE L'ARTISTE ABDELLAH TAKOUNA DANS LA SERIE DOCUMENTAIRE HANINE EL FARAH EPISODE - IMALCHIL MAWSSIM AL JAMAL WA AL HAYAT</t>
        </is>
      </c>
      <c r="H624" s="673" t="inlineStr">
        <is>
          <t>EN SIGNATURE</t>
        </is>
      </c>
      <c r="I624" s="675" t="inlineStr">
        <is>
          <t>EN SIGNATURE</t>
        </is>
      </c>
      <c r="J624" s="693" t="n"/>
      <c r="K624" s="673" t="inlineStr">
        <is>
          <t>NON CONCERNE</t>
        </is>
      </c>
      <c r="L624" s="675" t="inlineStr">
        <is>
          <t>Ordinaire</t>
        </is>
      </c>
      <c r="M624" s="677" t="inlineStr">
        <is>
          <t>FONCTIONNEMENT</t>
        </is>
      </c>
      <c r="N624" s="678" t="inlineStr">
        <is>
          <t xml:space="preserve">Achats de productions et de programmes
Achat des programmes en production interne </t>
        </is>
      </c>
      <c r="O624" s="679" t="n"/>
      <c r="P624" s="680" t="n"/>
      <c r="Q624" s="680" t="n"/>
      <c r="R624" s="675" t="inlineStr">
        <is>
          <t>NOUVEAU BESOIN</t>
        </is>
      </c>
      <c r="S624" s="681" t="n"/>
      <c r="T624" s="682" t="n"/>
      <c r="U624" s="683" t="inlineStr">
        <is>
          <t xml:space="preserve">ABDELLAH TOUKOUNA </t>
        </is>
      </c>
      <c r="V624" s="682" t="n">
        <v>46224</v>
      </c>
      <c r="W624" s="682" t="n"/>
      <c r="X624" s="682" t="n"/>
      <c r="Y624" s="682" t="n"/>
      <c r="Z624" s="679" t="n">
        <v>12000</v>
      </c>
      <c r="AA624" s="680" t="n"/>
      <c r="AB624" s="680" t="n">
        <v>12000</v>
      </c>
      <c r="AC624" s="680" t="n"/>
      <c r="AD624" s="680" t="n"/>
      <c r="AE624" s="680" t="n">
        <v>0</v>
      </c>
      <c r="AF624" s="684" t="inlineStr">
        <is>
          <t>NON ENGAGE</t>
        </is>
      </c>
      <c r="AG624" s="683" t="n"/>
      <c r="AH624" s="680" t="n"/>
      <c r="AI624" s="680" t="n"/>
      <c r="AJ624" s="680" t="n"/>
      <c r="AK624" s="680" t="n"/>
      <c r="AL624" s="685" t="n"/>
      <c r="AM624" s="685" t="n"/>
      <c r="AN624" s="683" t="n"/>
      <c r="AO624" s="700" t="n"/>
      <c r="AP624" s="701" t="n"/>
      <c r="AQ624" s="702" t="n"/>
      <c r="AR624" s="702" t="n"/>
      <c r="AS624" s="703" t="n"/>
      <c r="AT624" s="704" t="n"/>
    </row>
    <row r="625" ht="60" customHeight="1" s="392">
      <c r="A625" s="672">
        <f>IF(AF625="ENGAGE","✔",IF(AF625="EN COURS D'ENGAGEMENT","◕",IF(AF625="PREENGAGE","◑",IF(AF625="EN COURS DE PREENGAGEMENT","◔",IF(AF625="NON ENGAGE","✖","")))))</f>
        <v/>
      </c>
      <c r="B625" s="673" t="n">
        <v>2026</v>
      </c>
      <c r="C625" s="674" t="inlineStr">
        <is>
          <t>DCPA</t>
        </is>
      </c>
      <c r="D625" s="674" t="inlineStr">
        <is>
          <t>26000593 CT</t>
        </is>
      </c>
      <c r="E625" s="675" t="inlineStr">
        <is>
          <t>CONTRAT</t>
        </is>
      </c>
      <c r="F625" s="675" t="n"/>
      <c r="G625" s="676" t="inlineStr">
        <is>
          <t>MOHAMED ATIR - la participation artiqtique de l'artiste Mohamed Atir dans la serie documentaire -Dakirate Tourab- episode -Hariss Mina Adakirat-</t>
        </is>
      </c>
      <c r="H625" s="673" t="inlineStr">
        <is>
          <t>VALIDE</t>
        </is>
      </c>
      <c r="I625" s="675" t="inlineStr">
        <is>
          <t>APPROUVE</t>
        </is>
      </c>
      <c r="J625" s="693" t="n"/>
      <c r="K625" s="673" t="inlineStr">
        <is>
          <t>NON CONCERNE</t>
        </is>
      </c>
      <c r="L625" s="675" t="inlineStr">
        <is>
          <t>Ordinaire</t>
        </is>
      </c>
      <c r="M625" s="677" t="inlineStr">
        <is>
          <t>FONCTIONNEMENT</t>
        </is>
      </c>
      <c r="N625" s="678" t="inlineStr">
        <is>
          <t xml:space="preserve">Achats de productions et de programmes
Achat des programmes en production interne </t>
        </is>
      </c>
      <c r="O625" s="679" t="n"/>
      <c r="P625" s="680" t="n"/>
      <c r="Q625" s="680" t="n"/>
      <c r="R625" s="675" t="inlineStr">
        <is>
          <t>NOUVEAU BESOIN</t>
        </is>
      </c>
      <c r="S625" s="681" t="n"/>
      <c r="T625" s="682" t="n"/>
      <c r="U625" s="683" t="inlineStr">
        <is>
          <t>MOHAMED ATIR</t>
        </is>
      </c>
      <c r="V625" s="682" t="n">
        <v>46224</v>
      </c>
      <c r="W625" s="682" t="n"/>
      <c r="X625" s="682" t="n"/>
      <c r="Y625" s="682" t="n"/>
      <c r="Z625" s="679" t="n">
        <v>36600</v>
      </c>
      <c r="AA625" s="680" t="n"/>
      <c r="AB625" s="680" t="n">
        <v>36600</v>
      </c>
      <c r="AC625" s="680" t="n"/>
      <c r="AD625" s="680" t="n"/>
      <c r="AE625" s="680" t="n">
        <v>36600</v>
      </c>
      <c r="AF625" s="684" t="inlineStr">
        <is>
          <t>ENGAGE</t>
        </is>
      </c>
      <c r="AG625" s="683" t="n"/>
      <c r="AH625" s="680" t="n"/>
      <c r="AI625" s="680" t="n"/>
      <c r="AJ625" s="680" t="n"/>
      <c r="AK625" s="680" t="n"/>
      <c r="AL625" s="685" t="n"/>
      <c r="AM625" s="685" t="n"/>
      <c r="AN625" s="683" t="n"/>
      <c r="AO625" s="700" t="n"/>
      <c r="AP625" s="701" t="n"/>
      <c r="AQ625" s="702" t="n"/>
      <c r="AR625" s="702" t="n"/>
      <c r="AS625" s="703" t="n"/>
      <c r="AT625" s="704" t="n"/>
    </row>
    <row r="626" ht="46.5" customHeight="1" s="392">
      <c r="A626" s="672">
        <f>IF(AF626="ENGAGE","✔",IF(AF626="EN COURS D'ENGAGEMENT","◕",IF(AF626="PREENGAGE","◑",IF(AF626="EN COURS DE PREENGAGEMENT","◔",IF(AF626="NON ENGAGE","✖","")))))</f>
        <v/>
      </c>
      <c r="B626" s="673" t="n">
        <v>2026</v>
      </c>
      <c r="C626" s="674" t="inlineStr">
        <is>
          <t>MAGHRIBIA</t>
        </is>
      </c>
      <c r="D626" s="674" t="inlineStr">
        <is>
          <t>26000598 CT</t>
        </is>
      </c>
      <c r="E626" s="675" t="inlineStr">
        <is>
          <t>CONTRAT</t>
        </is>
      </c>
      <c r="F626" s="675" t="n">
        <v>1</v>
      </c>
      <c r="G626" s="676" t="inlineStr">
        <is>
          <t>CHAIMAE BENLECHHAB - TECHNICIENNE ASSISTANTE REALISATEUR</t>
        </is>
      </c>
      <c r="H626" s="673" t="inlineStr">
        <is>
          <t>VALIDE</t>
        </is>
      </c>
      <c r="I626" s="675" t="inlineStr">
        <is>
          <t>APPROUVE</t>
        </is>
      </c>
      <c r="J626" s="693" t="n"/>
      <c r="K626" s="673" t="inlineStr">
        <is>
          <t>NON CONCERNE</t>
        </is>
      </c>
      <c r="L626" s="675" t="inlineStr">
        <is>
          <t>Ordinaire</t>
        </is>
      </c>
      <c r="M626" s="677" t="inlineStr">
        <is>
          <t>FONCTIONNEMENT</t>
        </is>
      </c>
      <c r="N626" s="678" t="inlineStr">
        <is>
          <t xml:space="preserve">Prestations de service
Achat prestations de services locales - personnes physiques </t>
        </is>
      </c>
      <c r="O626" s="679" t="n"/>
      <c r="P626" s="680" t="n"/>
      <c r="Q626" s="680" t="n"/>
      <c r="R626" s="675" t="inlineStr">
        <is>
          <t>NOUVEAU BESOIN</t>
        </is>
      </c>
      <c r="S626" s="681" t="n"/>
      <c r="T626" s="682" t="n"/>
      <c r="U626" s="683" t="inlineStr">
        <is>
          <t>CHAIMAE BENLECHHAB</t>
        </is>
      </c>
      <c r="V626" s="693" t="n"/>
      <c r="W626" s="682" t="n"/>
      <c r="X626" s="682" t="n"/>
      <c r="Y626" s="682" t="n"/>
      <c r="Z626" s="679" t="n">
        <v>50400</v>
      </c>
      <c r="AA626" s="680" t="n"/>
      <c r="AB626" s="680" t="n">
        <v>50400</v>
      </c>
      <c r="AC626" s="680" t="n"/>
      <c r="AD626" s="680" t="n"/>
      <c r="AE626" s="680" t="n">
        <v>50400</v>
      </c>
      <c r="AF626" s="684" t="inlineStr">
        <is>
          <t>ENGAGE</t>
        </is>
      </c>
      <c r="AG626" s="683" t="n"/>
      <c r="AH626" s="680" t="n"/>
      <c r="AI626" s="680" t="n"/>
      <c r="AJ626" s="680" t="n"/>
      <c r="AK626" s="680" t="n"/>
      <c r="AL626" s="685" t="n"/>
      <c r="AM626" s="685" t="n"/>
      <c r="AN626" s="683" t="n"/>
      <c r="AO626" s="700" t="n"/>
      <c r="AP626" s="701" t="n"/>
      <c r="AQ626" s="702" t="n"/>
      <c r="AR626" s="702" t="n"/>
      <c r="AS626" s="703" t="n"/>
      <c r="AT626" s="704" t="n"/>
    </row>
    <row r="627" ht="50.55" customHeight="1" s="392">
      <c r="A627" s="672">
        <f>IF(AF627="ENGAGE","✔",IF(AF627="EN COURS D'ENGAGEMENT","◕",IF(AF627="PREENGAGE","◑",IF(AF627="EN COURS DE PREENGAGEMENT","◔",IF(AF627="NON ENGAGE","✖","")))))</f>
        <v/>
      </c>
      <c r="B627" s="673" t="n">
        <v>2026</v>
      </c>
      <c r="C627" s="674" t="inlineStr">
        <is>
          <t>DCT</t>
        </is>
      </c>
      <c r="D627" s="674" t="inlineStr">
        <is>
          <t>62AOM/SNRT/2026</t>
        </is>
      </c>
      <c r="E627" s="675" t="inlineStr">
        <is>
          <t>AOO-M</t>
        </is>
      </c>
      <c r="F627" s="675" t="n">
        <v>1</v>
      </c>
      <c r="G627" s="676" t="inlineStr">
        <is>
          <t>La fourniture et la mise en service d'une unité mobile clé en main de contribution des signaux audio/vidéo an 4K par satellite (DSNG) pour les besoins de la SNRT</t>
        </is>
      </c>
      <c r="H627" s="673" t="inlineStr">
        <is>
          <t>VALIDE</t>
        </is>
      </c>
      <c r="I627" s="675" t="inlineStr">
        <is>
          <t>PHASE AOO</t>
        </is>
      </c>
      <c r="J627" s="693" t="n"/>
      <c r="K627" s="673" t="inlineStr">
        <is>
          <t>NON CONCERNE</t>
        </is>
      </c>
      <c r="L627" s="675" t="inlineStr">
        <is>
          <t>REPORT BUDGET EXCEP  ANNEE ANTERIEURE</t>
        </is>
      </c>
      <c r="M627" s="677" t="inlineStr">
        <is>
          <t>INVESTISSEMENT</t>
        </is>
      </c>
      <c r="N627" s="678" t="inlineStr">
        <is>
          <t>Équipements techniques</t>
        </is>
      </c>
      <c r="O627" s="679">
        <f>Engagements2026Juillet[[#This Row],[ESTIMATION TTC]]*1.2</f>
        <v/>
      </c>
      <c r="P627" s="680" t="n">
        <v>5442864</v>
      </c>
      <c r="Q627" s="680">
        <f>Engagements2026Juillet[[#This Row],[ESTIMATION TTC]]/1.2</f>
        <v/>
      </c>
      <c r="R627" s="675" t="inlineStr">
        <is>
          <t>NOUVEAU BESOIN</t>
        </is>
      </c>
      <c r="S627" s="681" t="n"/>
      <c r="T627" s="682" t="n"/>
      <c r="U627" s="683" t="n"/>
      <c r="V627" s="693" t="n"/>
      <c r="W627" s="682" t="n"/>
      <c r="X627" s="682" t="n"/>
      <c r="Y627" s="682" t="n"/>
      <c r="Z627" s="679" t="n"/>
      <c r="AA627" s="680" t="n"/>
      <c r="AB627" s="680" t="n"/>
      <c r="AC627" s="680" t="n"/>
      <c r="AD627" s="680" t="n"/>
      <c r="AE627" s="680" t="n"/>
      <c r="AF627" s="684" t="inlineStr">
        <is>
          <t>PREENGAGE</t>
        </is>
      </c>
      <c r="AG627" s="683" t="n"/>
      <c r="AH627" s="680" t="n"/>
      <c r="AI627" s="680" t="n"/>
      <c r="AJ627" s="680" t="n"/>
      <c r="AK627" s="680" t="n"/>
      <c r="AL627" s="685" t="n"/>
      <c r="AM627" s="685" t="n"/>
      <c r="AN627" s="683" t="n"/>
      <c r="AO627" s="700" t="n"/>
      <c r="AP627" s="701" t="n"/>
      <c r="AQ627" s="702" t="n"/>
      <c r="AR627" s="702" t="n"/>
      <c r="AS627" s="703" t="n"/>
      <c r="AT627" s="704" t="n"/>
    </row>
    <row r="628" ht="50.55" customHeight="1" s="392">
      <c r="A628" s="672">
        <f>IF(AF628="ENGAGE","✔",IF(AF628="EN COURS D'ENGAGEMENT","◕",IF(AF628="PREENGAGE","◑",IF(AF628="EN COURS DE PREENGAGEMENT","◔",IF(AF628="NON ENGAGE","✖","")))))</f>
        <v/>
      </c>
      <c r="B628" s="673" t="n">
        <v>2026</v>
      </c>
      <c r="C628" s="674" t="inlineStr">
        <is>
          <t>DCT</t>
        </is>
      </c>
      <c r="D628" s="674" t="inlineStr">
        <is>
          <t>62AOM/SNRT/2026</t>
        </is>
      </c>
      <c r="E628" s="675" t="inlineStr">
        <is>
          <t>AOO-M</t>
        </is>
      </c>
      <c r="F628" s="675" t="n">
        <v>2</v>
      </c>
      <c r="G628" s="676" t="inlineStr">
        <is>
          <t>La fourniture et la mise en service de modulateurs pour les besoins des moyens de contribution de signaux audio/vidéo par satellite pour les besoins de la SNRT</t>
        </is>
      </c>
      <c r="H628" s="673" t="inlineStr">
        <is>
          <t>VALIDE</t>
        </is>
      </c>
      <c r="I628" s="675" t="inlineStr">
        <is>
          <t>PHASE AOO</t>
        </is>
      </c>
      <c r="J628" s="693" t="n"/>
      <c r="K628" s="673" t="inlineStr">
        <is>
          <t>NON CONCERNE</t>
        </is>
      </c>
      <c r="L628" s="675" t="inlineStr">
        <is>
          <t>REPORT BUDGET EXCEP  ANNEE ANTERIEURE</t>
        </is>
      </c>
      <c r="M628" s="677" t="inlineStr">
        <is>
          <t>INVESTISSEMENT</t>
        </is>
      </c>
      <c r="N628" s="678" t="inlineStr">
        <is>
          <t>Équipements techniques</t>
        </is>
      </c>
      <c r="O628" s="679">
        <f>Engagements2026Juillet[[#This Row],[ESTIMATION TTC]]*1.2</f>
        <v/>
      </c>
      <c r="P628" s="680" t="n">
        <v>605376</v>
      </c>
      <c r="Q628" s="680">
        <f>Engagements2026Juillet[[#This Row],[ESTIMATION TTC]]/1.2</f>
        <v/>
      </c>
      <c r="R628" s="675" t="inlineStr">
        <is>
          <t>NOUVEAU BESOIN</t>
        </is>
      </c>
      <c r="S628" s="681" t="n"/>
      <c r="T628" s="682" t="n"/>
      <c r="U628" s="683" t="n"/>
      <c r="V628" s="693" t="n"/>
      <c r="W628" s="682" t="n"/>
      <c r="X628" s="682" t="n"/>
      <c r="Y628" s="682" t="n"/>
      <c r="Z628" s="679" t="n"/>
      <c r="AA628" s="680" t="n"/>
      <c r="AB628" s="680" t="n"/>
      <c r="AC628" s="680" t="n"/>
      <c r="AD628" s="680" t="n"/>
      <c r="AE628" s="680" t="n"/>
      <c r="AF628" s="684" t="inlineStr">
        <is>
          <t>PREENGAGE</t>
        </is>
      </c>
      <c r="AG628" s="683" t="n"/>
      <c r="AH628" s="680" t="n"/>
      <c r="AI628" s="680" t="n"/>
      <c r="AJ628" s="680" t="n"/>
      <c r="AK628" s="680" t="n"/>
      <c r="AL628" s="685" t="n"/>
      <c r="AM628" s="685" t="n"/>
      <c r="AN628" s="683" t="n"/>
      <c r="AO628" s="700" t="n"/>
      <c r="AP628" s="701" t="n"/>
      <c r="AQ628" s="702" t="n"/>
      <c r="AR628" s="702" t="n"/>
      <c r="AS628" s="703" t="n"/>
      <c r="AT628" s="704" t="n"/>
    </row>
    <row r="629" ht="50.55" customHeight="1" s="392">
      <c r="A629" s="672">
        <f>IF(AF629="ENGAGE","✔",IF(AF629="EN COURS D'ENGAGEMENT","◕",IF(AF629="PREENGAGE","◑",IF(AF629="EN COURS DE PREENGAGEMENT","◔",IF(AF629="NON ENGAGE","✖","")))))</f>
        <v/>
      </c>
      <c r="B629" s="673" t="n">
        <v>2026</v>
      </c>
      <c r="C629" s="674" t="inlineStr">
        <is>
          <t>DCT</t>
        </is>
      </c>
      <c r="D629" s="674" t="inlineStr">
        <is>
          <t>65AOM/SNRT/2026</t>
        </is>
      </c>
      <c r="E629" s="675" t="inlineStr">
        <is>
          <t>AOO-M</t>
        </is>
      </c>
      <c r="F629" s="675" t="n">
        <v>1</v>
      </c>
      <c r="G629" s="676" t="inlineStr">
        <is>
          <t>La fourniture et la mise en service de véhicules fourgon aménagés en rayonnage pour les besoins de la production de la SNRT</t>
        </is>
      </c>
      <c r="H629" s="673" t="inlineStr">
        <is>
          <t>VALIDE</t>
        </is>
      </c>
      <c r="I629" s="675" t="inlineStr">
        <is>
          <t>PHASE AOO</t>
        </is>
      </c>
      <c r="J629" s="693" t="n"/>
      <c r="K629" s="673" t="inlineStr">
        <is>
          <t>GENERAL</t>
        </is>
      </c>
      <c r="L629" s="675" t="inlineStr">
        <is>
          <t>Ordinaire</t>
        </is>
      </c>
      <c r="M629" s="677" t="inlineStr">
        <is>
          <t>INVESTISSEMENT</t>
        </is>
      </c>
      <c r="N629" s="678" t="inlineStr">
        <is>
          <t>Équipements techniques</t>
        </is>
      </c>
      <c r="O629" s="679" t="n">
        <v>2465640</v>
      </c>
      <c r="P629" s="680" t="n">
        <v>2054700</v>
      </c>
      <c r="Q629" s="680" t="n">
        <v>1712250</v>
      </c>
      <c r="R629" s="675" t="inlineStr">
        <is>
          <t>NOUVEAU BESOIN</t>
        </is>
      </c>
      <c r="S629" s="681" t="n"/>
      <c r="T629" s="682" t="n"/>
      <c r="U629" s="683" t="n"/>
      <c r="V629" s="693" t="n"/>
      <c r="W629" s="682" t="n"/>
      <c r="X629" s="682" t="n"/>
      <c r="Y629" s="682" t="n"/>
      <c r="Z629" s="679" t="n"/>
      <c r="AA629" s="680" t="n"/>
      <c r="AB629" s="680" t="n"/>
      <c r="AC629" s="680" t="n"/>
      <c r="AD629" s="680" t="n"/>
      <c r="AE629" s="680" t="n"/>
      <c r="AF629" s="684" t="inlineStr">
        <is>
          <t>PREENGAGE</t>
        </is>
      </c>
      <c r="AG629" s="683" t="n"/>
      <c r="AH629" s="680" t="n"/>
      <c r="AI629" s="680" t="n"/>
      <c r="AJ629" s="680" t="n"/>
      <c r="AK629" s="680" t="n"/>
      <c r="AL629" s="685" t="n"/>
      <c r="AM629" s="685" t="n"/>
      <c r="AN629" s="683" t="inlineStr">
        <is>
          <t xml:space="preserve">INFRUCTUEUX 51/2026 </t>
        </is>
      </c>
    </row>
    <row r="630" ht="50.55" customHeight="1" s="392">
      <c r="A630" s="672">
        <f>IF(AF630="ENGAGE","✔",IF(AF630="EN COURS D'ENGAGEMENT","◕",IF(AF630="PREENGAGE","◑",IF(AF630="EN COURS DE PREENGAGEMENT","◔",IF(AF630="NON ENGAGE","✖","")))))</f>
        <v/>
      </c>
      <c r="B630" s="673" t="n">
        <v>2026</v>
      </c>
      <c r="C630" s="674" t="inlineStr">
        <is>
          <t>DCT</t>
        </is>
      </c>
      <c r="D630" s="674" t="inlineStr">
        <is>
          <t>17AOM/SNRT/2026</t>
        </is>
      </c>
      <c r="E630" s="675" t="inlineStr">
        <is>
          <t>AOO-M</t>
        </is>
      </c>
      <c r="F630" s="675" t="n">
        <v>1</v>
      </c>
      <c r="G630" s="676" t="inlineStr">
        <is>
          <t>La  fourniture et la mise en service de caméras box en ULTRA HAUTE DEFINITION (4K) pour les besoins des unités mobiles de la SNRT</t>
        </is>
      </c>
      <c r="H630" s="673" t="inlineStr">
        <is>
          <t>VALIDE</t>
        </is>
      </c>
      <c r="I630" s="675" t="inlineStr">
        <is>
          <t>PHASE AOO</t>
        </is>
      </c>
      <c r="J630" s="693" t="n"/>
      <c r="K630" s="673" t="inlineStr">
        <is>
          <t>GENERAL</t>
        </is>
      </c>
      <c r="L630" s="675" t="inlineStr">
        <is>
          <t>Exceptionnel</t>
        </is>
      </c>
      <c r="M630" s="677" t="inlineStr">
        <is>
          <t>INVESTISSEMENT</t>
        </is>
      </c>
      <c r="N630" s="678" t="inlineStr">
        <is>
          <t>Équipements techniques</t>
        </is>
      </c>
      <c r="O630" s="679">
        <f>Engagements2026Juillet[[#This Row],[ESTIMATION TTC]]*1.2</f>
        <v/>
      </c>
      <c r="P630" s="680" t="n">
        <v>1864044</v>
      </c>
      <c r="Q630" s="680" t="n"/>
      <c r="R630" s="675" t="inlineStr">
        <is>
          <t>NOUVEAU BESOIN</t>
        </is>
      </c>
      <c r="S630" s="681" t="n"/>
      <c r="T630" s="682" t="n"/>
      <c r="U630" s="683" t="n"/>
      <c r="V630" s="693" t="n"/>
      <c r="W630" s="682" t="n"/>
      <c r="X630" s="682" t="n"/>
      <c r="Y630" s="682" t="n"/>
      <c r="Z630" s="679" t="n"/>
      <c r="AA630" s="680" t="n"/>
      <c r="AB630" s="680" t="n"/>
      <c r="AC630" s="680" t="n"/>
      <c r="AD630" s="680" t="n"/>
      <c r="AE630" s="680" t="n"/>
      <c r="AF630" s="684" t="inlineStr">
        <is>
          <t>PREENGAGE</t>
        </is>
      </c>
      <c r="AG630" s="683" t="n"/>
      <c r="AH630" s="680" t="n"/>
      <c r="AI630" s="680" t="n"/>
      <c r="AJ630" s="680" t="n"/>
      <c r="AK630" s="680" t="n"/>
      <c r="AL630" s="685" t="n"/>
      <c r="AM630" s="685" t="n"/>
      <c r="AN630" s="683" t="n"/>
    </row>
    <row r="631" ht="95.10000000000001" customHeight="1" s="392">
      <c r="A631" s="672">
        <f>IF(AF631="ENGAGE","✔",IF(AF631="EN COURS D'ENGAGEMENT","◕",IF(AF631="PREENGAGE","◑",IF(AF631="EN COURS DE PREENGAGEMENT","◔",IF(AF631="NON ENGAGE","✖","")))))</f>
        <v/>
      </c>
      <c r="B631" s="673" t="n">
        <v>2026</v>
      </c>
      <c r="C631" s="674" t="inlineStr">
        <is>
          <t>TDF -SITES</t>
        </is>
      </c>
      <c r="D631" s="674" t="inlineStr">
        <is>
          <t>43AOM/SNRT/2026</t>
        </is>
      </c>
      <c r="E631" s="675" t="inlineStr">
        <is>
          <t>AOO-M</t>
        </is>
      </c>
      <c r="F631" s="675" t="n">
        <v>1</v>
      </c>
      <c r="G631" s="676" t="inlineStr">
        <is>
          <t xml:space="preserve">   ↳ La fourniture, l'installation et la mise en service de : - Une station de diffusion radio FM composée de six émetteurs de puissance 1KW chacun fonctionnant en mode (5+1) avec son multiplexeur RF, son système d'antennes FM et ses accessoires, - Quatre stations de diffusion radio FM, chacune est composée de quatre émetteurs de puissannce 1 KW chacun, fonctionnant en mode (4+0) avec deux multiplexeurs RF et leurs accessoires, - Trois stations de diffusion  radio FM, chacune est composée de six émetteurs de puissance 500 W chacun, fonctionnant en mode (5+1) avec leurs multiplexeurs RF, leurs systèmes d'antennes FM et leurs accessoires,</t>
        </is>
      </c>
      <c r="H631" s="673" t="inlineStr">
        <is>
          <t>VALIDE</t>
        </is>
      </c>
      <c r="I631" s="675" t="inlineStr">
        <is>
          <t>PHASE AOO</t>
        </is>
      </c>
      <c r="J631" s="693" t="n"/>
      <c r="K631" s="673" t="inlineStr">
        <is>
          <t>GENERAL</t>
        </is>
      </c>
      <c r="L631" s="675" t="inlineStr">
        <is>
          <t>Ordinaire</t>
        </is>
      </c>
      <c r="M631" s="677" t="inlineStr">
        <is>
          <t>INVESTISSEMENT</t>
        </is>
      </c>
      <c r="N631" s="678" t="inlineStr">
        <is>
          <t>Équipements de télédiffusion</t>
        </is>
      </c>
      <c r="O631" s="679">
        <f>Engagements2026Juillet[[#This Row],[ESTIMATION TTC]]*1.2</f>
        <v/>
      </c>
      <c r="P631" s="680" t="n">
        <v>4141200</v>
      </c>
      <c r="Q631" s="680" t="n"/>
      <c r="R631" s="675" t="inlineStr">
        <is>
          <t>NOUVEAU BESOIN</t>
        </is>
      </c>
      <c r="S631" s="681" t="n"/>
      <c r="T631" s="682" t="n"/>
      <c r="U631" s="683" t="n"/>
      <c r="V631" s="693" t="n"/>
      <c r="W631" s="682" t="n"/>
      <c r="X631" s="682" t="n"/>
      <c r="Y631" s="682" t="n"/>
      <c r="Z631" s="679" t="n"/>
      <c r="AA631" s="680" t="n"/>
      <c r="AB631" s="680" t="n"/>
      <c r="AC631" s="680" t="n"/>
      <c r="AD631" s="680" t="n"/>
      <c r="AE631" s="680" t="n"/>
      <c r="AF631" s="684" t="inlineStr">
        <is>
          <t>PREENGAGE</t>
        </is>
      </c>
      <c r="AG631" s="683" t="n"/>
      <c r="AH631" s="680" t="n"/>
      <c r="AI631" s="680" t="n"/>
      <c r="AJ631" s="680" t="n"/>
      <c r="AK631" s="680" t="n"/>
      <c r="AL631" s="685" t="n"/>
      <c r="AM631" s="685" t="n"/>
      <c r="AN631" s="683" t="n"/>
    </row>
    <row r="632" ht="46.5" customHeight="1" s="392">
      <c r="A632" s="672">
        <f>IF(AF632="ENGAGE","✔",IF(AF632="EN COURS D'ENGAGEMENT","◕",IF(AF632="PREENGAGE","◑",IF(AF632="EN COURS DE PREENGAGEMENT","◔",IF(AF632="NON ENGAGE","✖","")))))</f>
        <v/>
      </c>
      <c r="B632" s="673" t="n">
        <v>2026</v>
      </c>
      <c r="C632" s="674" t="inlineStr">
        <is>
          <t>DCT</t>
        </is>
      </c>
      <c r="D632" s="674" t="inlineStr">
        <is>
          <t>26000003 CI</t>
        </is>
      </c>
      <c r="E632" s="675" t="inlineStr">
        <is>
          <t>BCI</t>
        </is>
      </c>
      <c r="F632" s="675" t="n">
        <v>1</v>
      </c>
      <c r="G632" s="676" t="inlineStr">
        <is>
          <t>Assistanceet support "SLA" de la solution NRCS du système de production News "Newsroom" de la SNRT</t>
        </is>
      </c>
      <c r="H632" s="673" t="inlineStr">
        <is>
          <t>EN SIGNATURE</t>
        </is>
      </c>
      <c r="I632" s="675" t="inlineStr">
        <is>
          <t>EN SIGNATURE</t>
        </is>
      </c>
      <c r="J632" s="693" t="n"/>
      <c r="K632" s="673" t="inlineStr">
        <is>
          <t>GENERAL</t>
        </is>
      </c>
      <c r="L632" s="675" t="inlineStr">
        <is>
          <t>Ordinaire</t>
        </is>
      </c>
      <c r="M632" s="677" t="inlineStr">
        <is>
          <t>FONCTIONNEMENT</t>
        </is>
      </c>
      <c r="N632" s="678" t="inlineStr">
        <is>
          <t>Prestations de service
Achat prestations de services locales - sociétés</t>
        </is>
      </c>
      <c r="O632" s="679" t="n"/>
      <c r="P632" s="680" t="n"/>
      <c r="Q632" s="680" t="n"/>
      <c r="R632" s="675" t="n"/>
      <c r="S632" s="681" t="n"/>
      <c r="T632" s="682" t="n"/>
      <c r="U632" s="683" t="inlineStr">
        <is>
          <t>OCTOPUS NEWSROOM</t>
        </is>
      </c>
      <c r="V632" s="675" t="n">
        <v>2026</v>
      </c>
      <c r="W632" s="682" t="n"/>
      <c r="X632" s="682" t="n"/>
      <c r="Y632" s="682" t="n">
        <v>46234</v>
      </c>
      <c r="Z632" s="679" t="n"/>
      <c r="AA632" s="680" t="n"/>
      <c r="AB632" s="680" t="n"/>
      <c r="AC632" s="680" t="n"/>
      <c r="AD632" s="680" t="n"/>
      <c r="AE632" s="680" t="n">
        <v>134289.08</v>
      </c>
      <c r="AF632" s="684" t="inlineStr">
        <is>
          <t>ENGAGE</t>
        </is>
      </c>
      <c r="AG632" s="683" t="n"/>
      <c r="AH632" s="680" t="n"/>
      <c r="AI632" s="680" t="n"/>
      <c r="AJ632" s="680" t="n"/>
      <c r="AK632" s="680" t="n"/>
      <c r="AL632" s="685" t="n"/>
      <c r="AM632" s="685" t="n"/>
      <c r="AN632" s="683" t="n"/>
    </row>
    <row r="633" ht="35.7" customHeight="1" s="392">
      <c r="A633" s="672">
        <f>IF(AF633="ENGAGE","✔",IF(AF633="EN COURS D'ENGAGEMENT","◕",IF(AF633="PREENGAGE","◑",IF(AF633="EN COURS DE PREENGAGEMENT","◔",IF(AF633="NON ENGAGE","✖","")))))</f>
        <v/>
      </c>
      <c r="B633" s="673" t="n">
        <v>2026</v>
      </c>
      <c r="C633" s="674" t="inlineStr">
        <is>
          <t>DPMG</t>
        </is>
      </c>
      <c r="D633" s="674" t="inlineStr">
        <is>
          <t>26000025 CL</t>
        </is>
      </c>
      <c r="E633" s="675" t="inlineStr">
        <is>
          <t>BCL</t>
        </is>
      </c>
      <c r="F633" s="675" t="n">
        <v>1</v>
      </c>
      <c r="G633" s="676" t="inlineStr">
        <is>
          <t>Prestations de restauration au profit du personnel des directions du siège et des annexes de la SNRT à RABAT</t>
        </is>
      </c>
      <c r="H633" s="673" t="inlineStr">
        <is>
          <t>VALIDE</t>
        </is>
      </c>
      <c r="I633" s="675" t="inlineStr">
        <is>
          <t>APPROUVE</t>
        </is>
      </c>
      <c r="J633" s="693" t="n"/>
      <c r="K633" s="673" t="inlineStr">
        <is>
          <t>GENERAL</t>
        </is>
      </c>
      <c r="L633" s="675" t="inlineStr">
        <is>
          <t>Ordinaire</t>
        </is>
      </c>
      <c r="M633" s="677" t="inlineStr">
        <is>
          <t>FONCTIONNEMENT</t>
        </is>
      </c>
      <c r="N633" s="678" t="inlineStr">
        <is>
          <t>Déplacements, missions et réceptions</t>
        </is>
      </c>
      <c r="O633" s="679" t="n"/>
      <c r="P633" s="680" t="n"/>
      <c r="Q633" s="680" t="n"/>
      <c r="R633" s="675" t="n"/>
      <c r="S633" s="681" t="n"/>
      <c r="T633" s="682" t="n"/>
      <c r="U633" s="683" t="inlineStr">
        <is>
          <t>GO FRESH</t>
        </is>
      </c>
      <c r="V633" s="682" t="n">
        <v>46120</v>
      </c>
      <c r="W633" s="682" t="n"/>
      <c r="X633" s="682" t="n"/>
      <c r="Y633" s="682" t="n"/>
      <c r="Z633" s="679" t="n"/>
      <c r="AA633" s="680" t="n"/>
      <c r="AB633" s="680" t="n"/>
      <c r="AC633" s="680" t="n">
        <v>490050</v>
      </c>
      <c r="AD633" s="680" t="n">
        <v>445500</v>
      </c>
      <c r="AE633" s="680" t="n">
        <v>490050</v>
      </c>
      <c r="AF633" s="684" t="inlineStr">
        <is>
          <t>ENGAGE</t>
        </is>
      </c>
      <c r="AG633" s="683" t="n"/>
      <c r="AH633" s="680" t="n"/>
      <c r="AI633" s="680" t="n"/>
      <c r="AJ633" s="680" t="n"/>
      <c r="AK633" s="680" t="n"/>
      <c r="AL633" s="685" t="n"/>
      <c r="AM633" s="685" t="n"/>
      <c r="AN633" s="683" t="n"/>
    </row>
    <row r="634" ht="33" customHeight="1" s="392">
      <c r="A634" s="672">
        <f>IF(AF634="ENGAGE","✔",IF(AF634="EN COURS D'ENGAGEMENT","◕",IF(AF634="PREENGAGE","◑",IF(AF634="EN COURS DE PREENGAGEMENT","◔",IF(AF634="NON ENGAGE","✖","")))))</f>
        <v/>
      </c>
      <c r="B634" s="673" t="n">
        <v>2026</v>
      </c>
      <c r="C634" s="674" t="inlineStr">
        <is>
          <t>DPMG</t>
        </is>
      </c>
      <c r="D634" s="674" t="inlineStr">
        <is>
          <t>26000026 CL</t>
        </is>
      </c>
      <c r="E634" s="675" t="inlineStr">
        <is>
          <t>BCL</t>
        </is>
      </c>
      <c r="F634" s="675" t="n">
        <v>1</v>
      </c>
      <c r="G634" s="676" t="inlineStr">
        <is>
          <t>Achat de gasoil pour chauffage</t>
        </is>
      </c>
      <c r="H634" s="673" t="inlineStr">
        <is>
          <t>VALIDE</t>
        </is>
      </c>
      <c r="I634" s="675" t="inlineStr">
        <is>
          <t>APPROUVE</t>
        </is>
      </c>
      <c r="J634" s="693" t="n"/>
      <c r="K634" s="673" t="inlineStr">
        <is>
          <t>GENERAL</t>
        </is>
      </c>
      <c r="L634" s="675" t="inlineStr">
        <is>
          <t>Ordinaire</t>
        </is>
      </c>
      <c r="M634" s="677" t="inlineStr">
        <is>
          <t>FONCTIONNEMENT</t>
        </is>
      </c>
      <c r="N634" s="678" t="inlineStr">
        <is>
          <t xml:space="preserve">Achats non stockés de matières et fournitures </t>
        </is>
      </c>
      <c r="O634" s="679" t="n"/>
      <c r="P634" s="680" t="n"/>
      <c r="Q634" s="680" t="n"/>
      <c r="R634" s="675" t="n"/>
      <c r="S634" s="681" t="n"/>
      <c r="T634" s="682" t="n"/>
      <c r="U634" s="683" t="inlineStr">
        <is>
          <t>AFRIQUIA SMDC</t>
        </is>
      </c>
      <c r="V634" s="682" t="n">
        <v>46129</v>
      </c>
      <c r="W634" s="682" t="n"/>
      <c r="X634" s="682" t="n"/>
      <c r="Y634" s="682" t="n"/>
      <c r="Z634" s="679" t="n"/>
      <c r="AA634" s="680" t="n"/>
      <c r="AB634" s="680" t="n"/>
      <c r="AC634" s="680" t="n">
        <v>297000</v>
      </c>
      <c r="AD634" s="680" t="n">
        <v>270000</v>
      </c>
      <c r="AE634" s="680" t="n">
        <v>297000</v>
      </c>
      <c r="AF634" s="684" t="inlineStr">
        <is>
          <t>ENGAGE</t>
        </is>
      </c>
      <c r="AG634" s="683" t="n"/>
      <c r="AH634" s="680" t="n"/>
      <c r="AI634" s="680" t="n"/>
      <c r="AJ634" s="680" t="n"/>
      <c r="AK634" s="680" t="n"/>
      <c r="AL634" s="685" t="n"/>
      <c r="AM634" s="685" t="n"/>
      <c r="AN634" s="683" t="n"/>
    </row>
    <row r="635" ht="35.7" customHeight="1" s="392">
      <c r="A635" s="672">
        <f>IF(AF635="ENGAGE","✔",IF(AF635="EN COURS D'ENGAGEMENT","◕",IF(AF635="PREENGAGE","◑",IF(AF635="EN COURS DE PREENGAGEMENT","◔",IF(AF635="NON ENGAGE","✖","")))))</f>
        <v/>
      </c>
      <c r="B635" s="673" t="n">
        <v>2026</v>
      </c>
      <c r="C635" s="674" t="inlineStr">
        <is>
          <t>DPMG</t>
        </is>
      </c>
      <c r="D635" s="674" t="inlineStr">
        <is>
          <t>26000032 CL</t>
        </is>
      </c>
      <c r="E635" s="675" t="inlineStr">
        <is>
          <t>BCL</t>
        </is>
      </c>
      <c r="F635" s="675" t="n">
        <v>1</v>
      </c>
      <c r="G635" s="676" t="inlineStr">
        <is>
          <t>Impression papier en-tete</t>
        </is>
      </c>
      <c r="H635" s="673" t="inlineStr">
        <is>
          <t>VALIDE</t>
        </is>
      </c>
      <c r="I635" s="675" t="inlineStr">
        <is>
          <t>APPROUVE</t>
        </is>
      </c>
      <c r="J635" s="693" t="n"/>
      <c r="K635" s="673" t="inlineStr">
        <is>
          <t>GENERAL</t>
        </is>
      </c>
      <c r="L635" s="675" t="inlineStr">
        <is>
          <t>Ordinaire</t>
        </is>
      </c>
      <c r="M635" s="677" t="inlineStr">
        <is>
          <t>FONCTIONNEMENT</t>
        </is>
      </c>
      <c r="N635" s="678" t="inlineStr">
        <is>
          <t>Achats de matières et fournitures consommables</t>
        </is>
      </c>
      <c r="O635" s="679" t="n"/>
      <c r="P635" s="680" t="n"/>
      <c r="Q635" s="680" t="n"/>
      <c r="R635" s="675" t="n"/>
      <c r="S635" s="681" t="n"/>
      <c r="T635" s="682" t="n"/>
      <c r="U635" s="683" t="inlineStr">
        <is>
          <t>IMPRIMERIE PAPETRIE EL FADIL</t>
        </is>
      </c>
      <c r="V635" s="682" t="n">
        <v>46135</v>
      </c>
      <c r="W635" s="682" t="n"/>
      <c r="X635" s="682" t="n"/>
      <c r="Y635" s="682" t="n"/>
      <c r="Z635" s="679" t="n"/>
      <c r="AA635" s="680" t="n"/>
      <c r="AB635" s="680" t="n"/>
      <c r="AC635" s="680" t="n">
        <v>57000</v>
      </c>
      <c r="AD635" s="680" t="n">
        <v>47500</v>
      </c>
      <c r="AE635" s="680" t="n">
        <v>57000</v>
      </c>
      <c r="AF635" s="684" t="inlineStr">
        <is>
          <t>ENGAGE</t>
        </is>
      </c>
      <c r="AG635" s="683" t="n"/>
      <c r="AH635" s="680" t="n"/>
      <c r="AI635" s="680" t="n"/>
      <c r="AJ635" s="680" t="n"/>
      <c r="AK635" s="680" t="n"/>
      <c r="AL635" s="685" t="n"/>
      <c r="AM635" s="685" t="n"/>
      <c r="AN635" s="683" t="n"/>
    </row>
    <row r="636" ht="35.7" customHeight="1" s="392">
      <c r="A636" s="672">
        <f>IF(AF636="ENGAGE","✔",IF(AF636="EN COURS D'ENGAGEMENT","◕",IF(AF636="PREENGAGE","◑",IF(AF636="EN COURS DE PREENGAGEMENT","◔",IF(AF636="NON ENGAGE","✖","")))))</f>
        <v/>
      </c>
      <c r="B636" s="673" t="n">
        <v>2026</v>
      </c>
      <c r="C636" s="674" t="inlineStr">
        <is>
          <t>DPMG</t>
        </is>
      </c>
      <c r="D636" s="674" t="inlineStr">
        <is>
          <t>26000033 CL</t>
        </is>
      </c>
      <c r="E636" s="675" t="inlineStr">
        <is>
          <t>BCL</t>
        </is>
      </c>
      <c r="F636" s="675" t="n">
        <v>1</v>
      </c>
      <c r="G636" s="676" t="inlineStr">
        <is>
          <t>Achat de 2000 paquets de 12 bouteilles d'eau minérale 0,5 L</t>
        </is>
      </c>
      <c r="H636" s="673" t="inlineStr">
        <is>
          <t>VALIDE</t>
        </is>
      </c>
      <c r="I636" s="675" t="inlineStr">
        <is>
          <t>APPROUVE</t>
        </is>
      </c>
      <c r="J636" s="693" t="n"/>
      <c r="K636" s="673" t="inlineStr">
        <is>
          <t>GENERAL</t>
        </is>
      </c>
      <c r="L636" s="675" t="inlineStr">
        <is>
          <t>Ordinaire</t>
        </is>
      </c>
      <c r="M636" s="677" t="inlineStr">
        <is>
          <t>FONCTIONNEMENT</t>
        </is>
      </c>
      <c r="N636" s="678" t="inlineStr">
        <is>
          <t>Déplacements, missions et réceptions</t>
        </is>
      </c>
      <c r="O636" s="679" t="n"/>
      <c r="P636" s="680" t="n"/>
      <c r="Q636" s="680" t="n"/>
      <c r="R636" s="675" t="n"/>
      <c r="S636" s="681" t="n"/>
      <c r="T636" s="682" t="n"/>
      <c r="U636" s="683" t="inlineStr">
        <is>
          <t>LES EAUX MINERALES D'OULMES</t>
        </is>
      </c>
      <c r="V636" s="682" t="n">
        <v>46135</v>
      </c>
      <c r="W636" s="682" t="n"/>
      <c r="X636" s="682" t="n"/>
      <c r="Y636" s="682" t="n"/>
      <c r="Z636" s="679" t="n"/>
      <c r="AA636" s="680" t="n"/>
      <c r="AB636" s="680" t="n"/>
      <c r="AC636" s="680" t="n">
        <v>65592</v>
      </c>
      <c r="AD636" s="680" t="n">
        <v>54660</v>
      </c>
      <c r="AE636" s="680" t="n">
        <v>65592</v>
      </c>
      <c r="AF636" s="684" t="inlineStr">
        <is>
          <t>ENGAGE</t>
        </is>
      </c>
      <c r="AG636" s="683" t="n"/>
      <c r="AH636" s="680" t="n"/>
      <c r="AI636" s="680" t="n"/>
      <c r="AJ636" s="680" t="n"/>
      <c r="AK636" s="680" t="n"/>
      <c r="AL636" s="685" t="n"/>
      <c r="AM636" s="685" t="n"/>
      <c r="AN636" s="683" t="n"/>
    </row>
    <row r="637" ht="35.7" customHeight="1" s="392">
      <c r="A637" s="672">
        <f>IF(AF637="ENGAGE","✔",IF(AF637="EN COURS D'ENGAGEMENT","◕",IF(AF637="PREENGAGE","◑",IF(AF637="EN COURS DE PREENGAGEMENT","◔",IF(AF637="NON ENGAGE","✖","")))))</f>
        <v/>
      </c>
      <c r="B637" s="673" t="n">
        <v>2026</v>
      </c>
      <c r="C637" s="674" t="inlineStr">
        <is>
          <t>DMPTV</t>
        </is>
      </c>
      <c r="D637" s="674" t="inlineStr">
        <is>
          <t>26000040 CL</t>
        </is>
      </c>
      <c r="E637" s="675" t="inlineStr">
        <is>
          <t>BCL</t>
        </is>
      </c>
      <c r="F637" s="675" t="n">
        <v>1</v>
      </c>
      <c r="G637" s="676" t="inlineStr">
        <is>
          <t>Fourniture et pose du mobilier d'exposition pour le Stand SNRT (trophee hassan II Golf 2026)</t>
        </is>
      </c>
      <c r="H637" s="673" t="inlineStr">
        <is>
          <t>VALIDE</t>
        </is>
      </c>
      <c r="I637" s="675" t="inlineStr">
        <is>
          <t>APPROUVE</t>
        </is>
      </c>
      <c r="J637" s="693" t="n"/>
      <c r="K637" s="673" t="inlineStr">
        <is>
          <t>GENERAL</t>
        </is>
      </c>
      <c r="L637" s="675" t="inlineStr">
        <is>
          <t>Ordinaire</t>
        </is>
      </c>
      <c r="M637" s="677" t="inlineStr">
        <is>
          <t>FONCTIONNEMENT</t>
        </is>
      </c>
      <c r="N637" s="678" t="inlineStr">
        <is>
          <t>Charges marketing et relations publiques</t>
        </is>
      </c>
      <c r="O637" s="679" t="n"/>
      <c r="P637" s="680" t="n"/>
      <c r="Q637" s="680" t="n"/>
      <c r="R637" s="675" t="n"/>
      <c r="S637" s="681" t="n"/>
      <c r="T637" s="682" t="n"/>
      <c r="U637" s="683" t="inlineStr">
        <is>
          <t>RT CONCEPT MAROC</t>
        </is>
      </c>
      <c r="V637" s="682" t="n">
        <v>46150</v>
      </c>
      <c r="W637" s="682" t="n"/>
      <c r="X637" s="682" t="n"/>
      <c r="Y637" s="682" t="n"/>
      <c r="Z637" s="679" t="n"/>
      <c r="AA637" s="680" t="n"/>
      <c r="AB637" s="680" t="n"/>
      <c r="AC637" s="680" t="n">
        <v>106200</v>
      </c>
      <c r="AD637" s="680" t="n">
        <v>88500</v>
      </c>
      <c r="AE637" s="680" t="n">
        <v>106200</v>
      </c>
      <c r="AF637" s="684" t="inlineStr">
        <is>
          <t>ENGAGE</t>
        </is>
      </c>
      <c r="AG637" s="683" t="n"/>
      <c r="AH637" s="680" t="n"/>
      <c r="AI637" s="680" t="n"/>
      <c r="AJ637" s="680" t="n"/>
      <c r="AK637" s="680" t="n"/>
      <c r="AL637" s="685" t="n"/>
      <c r="AM637" s="685" t="n"/>
      <c r="AN637" s="683" t="n"/>
    </row>
    <row r="638" ht="35.7" customHeight="1" s="392">
      <c r="A638" s="672">
        <f>IF(AF638="ENGAGE","✔",IF(AF638="EN COURS D'ENGAGEMENT","◕",IF(AF638="PREENGAGE","◑",IF(AF638="EN COURS DE PREENGAGEMENT","◔",IF(AF638="NON ENGAGE","✖","")))))</f>
        <v/>
      </c>
      <c r="B638" s="673" t="n">
        <v>2026</v>
      </c>
      <c r="C638" s="674" t="inlineStr">
        <is>
          <t>DPMG</t>
        </is>
      </c>
      <c r="D638" s="674" t="inlineStr">
        <is>
          <t>26000046 CL</t>
        </is>
      </c>
      <c r="E638" s="675" t="inlineStr">
        <is>
          <t>BCL</t>
        </is>
      </c>
      <c r="F638" s="675" t="n">
        <v>1</v>
      </c>
      <c r="G638" s="676" t="inlineStr">
        <is>
          <t>Achat des tonners rouges originaux pour une machine à affranchir NEOPOST I J 40</t>
        </is>
      </c>
      <c r="H638" s="673" t="inlineStr">
        <is>
          <t>VALIDE</t>
        </is>
      </c>
      <c r="I638" s="675" t="inlineStr">
        <is>
          <t>APPROUVE</t>
        </is>
      </c>
      <c r="J638" s="693" t="n"/>
      <c r="K638" s="673" t="inlineStr">
        <is>
          <t>GENERAL</t>
        </is>
      </c>
      <c r="L638" s="675" t="inlineStr">
        <is>
          <t>Ordinaire</t>
        </is>
      </c>
      <c r="M638" s="677" t="inlineStr">
        <is>
          <t>FONCTIONNEMENT</t>
        </is>
      </c>
      <c r="N638" s="678" t="inlineStr">
        <is>
          <t>Matériel de bureau</t>
        </is>
      </c>
      <c r="O638" s="679" t="n"/>
      <c r="P638" s="680" t="n"/>
      <c r="Q638" s="680" t="n"/>
      <c r="R638" s="675" t="n"/>
      <c r="S638" s="681" t="n"/>
      <c r="T638" s="682" t="n"/>
      <c r="U638" s="683" t="inlineStr">
        <is>
          <t>MAJD TECHNOLOGIE</t>
        </is>
      </c>
      <c r="V638" s="682" t="n">
        <v>46183</v>
      </c>
      <c r="W638" s="682" t="n"/>
      <c r="X638" s="682" t="n"/>
      <c r="Y638" s="682" t="n"/>
      <c r="Z638" s="679" t="n"/>
      <c r="AA638" s="680" t="n"/>
      <c r="AB638" s="680" t="n"/>
      <c r="AC638" s="680" t="n">
        <v>4200</v>
      </c>
      <c r="AD638" s="680" t="n">
        <v>3500</v>
      </c>
      <c r="AE638" s="680" t="n">
        <v>4200</v>
      </c>
      <c r="AF638" s="684" t="inlineStr">
        <is>
          <t>ENGAGE</t>
        </is>
      </c>
      <c r="AG638" s="683" t="n"/>
      <c r="AH638" s="680" t="n"/>
      <c r="AI638" s="680" t="n"/>
      <c r="AJ638" s="680" t="n"/>
      <c r="AK638" s="680" t="n"/>
      <c r="AL638" s="685" t="n"/>
      <c r="AM638" s="685" t="n"/>
      <c r="AN638" s="683" t="n"/>
    </row>
    <row r="639" ht="35.7" customHeight="1" s="392">
      <c r="A639" s="672">
        <f>IF(AF639="ENGAGE","✔",IF(AF639="EN COURS D'ENGAGEMENT","◕",IF(AF639="PREENGAGE","◑",IF(AF639="EN COURS DE PREENGAGEMENT","◔",IF(AF639="NON ENGAGE","✖","")))))</f>
        <v/>
      </c>
      <c r="B639" s="673" t="n">
        <v>2026</v>
      </c>
      <c r="C639" s="674" t="inlineStr">
        <is>
          <t>DCPA</t>
        </is>
      </c>
      <c r="D639" s="674" t="inlineStr">
        <is>
          <t>26000014 CL</t>
        </is>
      </c>
      <c r="E639" s="675" t="inlineStr">
        <is>
          <t>BCL</t>
        </is>
      </c>
      <c r="F639" s="675" t="n">
        <v>1</v>
      </c>
      <c r="G639" s="676" t="inlineStr">
        <is>
          <t xml:space="preserve">Location du matériel d'éclairage pour le tournage des 30 épisodes de "Musique Andalousie" </t>
        </is>
      </c>
      <c r="H639" s="673" t="inlineStr">
        <is>
          <t>VALIDE</t>
        </is>
      </c>
      <c r="I639" s="675" t="inlineStr">
        <is>
          <t>APPROUVE</t>
        </is>
      </c>
      <c r="J639" s="693" t="n"/>
      <c r="K639" s="673" t="inlineStr">
        <is>
          <t>GENERAL</t>
        </is>
      </c>
      <c r="L639" s="675" t="inlineStr">
        <is>
          <t>Ordinaire</t>
        </is>
      </c>
      <c r="M639" s="677" t="inlineStr">
        <is>
          <t>FONCTIONNEMENT</t>
        </is>
      </c>
      <c r="N639" s="678" t="inlineStr">
        <is>
          <t xml:space="preserve">Achats non stockés de matières et fournitures </t>
        </is>
      </c>
      <c r="O639" s="679" t="n"/>
      <c r="P639" s="680" t="n"/>
      <c r="Q639" s="680" t="n"/>
      <c r="R639" s="675" t="n"/>
      <c r="S639" s="681" t="n"/>
      <c r="T639" s="682" t="n"/>
      <c r="U639" s="683" t="inlineStr">
        <is>
          <t>BEST PRODUCTION</t>
        </is>
      </c>
      <c r="V639" s="682" t="n">
        <v>46092</v>
      </c>
      <c r="W639" s="682" t="n"/>
      <c r="X639" s="682" t="n"/>
      <c r="Y639" s="682" t="n"/>
      <c r="Z639" s="679" t="n"/>
      <c r="AA639" s="680" t="n"/>
      <c r="AB639" s="680" t="n"/>
      <c r="AC639" s="680" t="n">
        <v>22800</v>
      </c>
      <c r="AD639" s="680" t="n">
        <v>19000</v>
      </c>
      <c r="AE639" s="680" t="n">
        <v>22800</v>
      </c>
      <c r="AF639" s="684" t="inlineStr">
        <is>
          <t>ENGAGE</t>
        </is>
      </c>
      <c r="AG639" s="683" t="n"/>
      <c r="AH639" s="680" t="n"/>
      <c r="AI639" s="680" t="n"/>
      <c r="AJ639" s="680" t="n"/>
      <c r="AK639" s="680" t="n"/>
      <c r="AL639" s="685" t="n"/>
      <c r="AM639" s="685" t="n"/>
      <c r="AN639" s="683" t="n"/>
    </row>
    <row r="640" ht="50.55" customHeight="1" s="392">
      <c r="A640" s="672">
        <f>IF(AF640="ENGAGE","✔",IF(AF640="EN COURS D'ENGAGEMENT","◕",IF(AF640="PREENGAGE","◑",IF(AF640="EN COURS DE PREENGAGEMENT","◔",IF(AF640="NON ENGAGE","✖","")))))</f>
        <v/>
      </c>
      <c r="B640" s="673" t="n">
        <v>2026</v>
      </c>
      <c r="C640" s="674" t="inlineStr">
        <is>
          <t>DPMG</t>
        </is>
      </c>
      <c r="D640" s="674" t="inlineStr">
        <is>
          <t>26000070 CL</t>
        </is>
      </c>
      <c r="E640" s="675" t="inlineStr">
        <is>
          <t>BCL</t>
        </is>
      </c>
      <c r="F640" s="675" t="n">
        <v>1</v>
      </c>
      <c r="G640" s="676" t="inlineStr">
        <is>
          <t>Prestation de restauration au profit du personnel assurant la couverture TV de la CAN Féminine 2026 émission : Lil Hadit Bakia , et couverture des éléctions législatives 2026</t>
        </is>
      </c>
      <c r="H640" s="673" t="inlineStr">
        <is>
          <t>VALIDE</t>
        </is>
      </c>
      <c r="I640" s="675" t="inlineStr">
        <is>
          <t>APPROUVE</t>
        </is>
      </c>
      <c r="J640" s="693" t="n"/>
      <c r="K640" s="673" t="inlineStr">
        <is>
          <t>GENERAL</t>
        </is>
      </c>
      <c r="L640" s="675" t="inlineStr">
        <is>
          <t>Ordinaire</t>
        </is>
      </c>
      <c r="M640" s="677" t="inlineStr">
        <is>
          <t>FONCTIONNEMENT</t>
        </is>
      </c>
      <c r="N640" s="678" t="inlineStr">
        <is>
          <t>Déplacements, missions et réceptions</t>
        </is>
      </c>
      <c r="O640" s="679" t="n"/>
      <c r="P640" s="680" t="n"/>
      <c r="Q640" s="680" t="n"/>
      <c r="R640" s="675" t="n"/>
      <c r="S640" s="681" t="n"/>
      <c r="T640" s="682" t="n"/>
      <c r="U640" s="683" t="inlineStr">
        <is>
          <t>GO FRESH</t>
        </is>
      </c>
      <c r="V640" s="693" t="n"/>
      <c r="W640" s="682" t="n"/>
      <c r="X640" s="682" t="n"/>
      <c r="Y640" s="682" t="n">
        <v>46232</v>
      </c>
      <c r="Z640" s="679" t="n"/>
      <c r="AA640" s="680" t="n"/>
      <c r="AB640" s="680" t="n"/>
      <c r="AC640" s="680" t="n">
        <v>459030</v>
      </c>
      <c r="AD640" s="680" t="n">
        <v>417300</v>
      </c>
      <c r="AE640" s="680" t="n">
        <v>459030</v>
      </c>
      <c r="AF640" s="684" t="inlineStr">
        <is>
          <t>ENGAGE</t>
        </is>
      </c>
      <c r="AG640" s="683" t="n"/>
      <c r="AH640" s="680" t="n"/>
      <c r="AI640" s="680" t="n"/>
      <c r="AJ640" s="680" t="n"/>
      <c r="AK640" s="680" t="n"/>
      <c r="AL640" s="685" t="n"/>
      <c r="AM640" s="685" t="n"/>
      <c r="AN640" s="683" t="n"/>
    </row>
    <row r="641" ht="35.7" customHeight="1" s="392">
      <c r="A641" s="672">
        <f>IF(AF641="ENGAGE","✔",IF(AF641="EN COURS D'ENGAGEMENT","◕",IF(AF641="PREENGAGE","◑",IF(AF641="EN COURS DE PREENGAGEMENT","◔",IF(AF641="NON ENGAGE","✖","")))))</f>
        <v/>
      </c>
      <c r="B641" s="673" t="n">
        <v>2026</v>
      </c>
      <c r="C641" s="674" t="inlineStr">
        <is>
          <t>TDF -SITES</t>
        </is>
      </c>
      <c r="D641" s="674" t="inlineStr">
        <is>
          <t>26000056 CL</t>
        </is>
      </c>
      <c r="E641" s="675" t="inlineStr">
        <is>
          <t>BCL</t>
        </is>
      </c>
      <c r="F641" s="675" t="n">
        <v>1</v>
      </c>
      <c r="G641" s="676" t="inlineStr">
        <is>
          <t xml:space="preserve">Diagnostic et expertise des onduleurs de tyoe 93E de marque Eaton et de puissance 80KVA </t>
        </is>
      </c>
      <c r="H641" s="673" t="inlineStr">
        <is>
          <t>VALIDE</t>
        </is>
      </c>
      <c r="I641" s="675" t="inlineStr">
        <is>
          <t>APPROUVE</t>
        </is>
      </c>
      <c r="J641" s="693" t="n"/>
      <c r="K641" s="673" t="inlineStr">
        <is>
          <t>GENERAL</t>
        </is>
      </c>
      <c r="L641" s="675" t="inlineStr">
        <is>
          <t>Ordinaire</t>
        </is>
      </c>
      <c r="M641" s="677" t="inlineStr">
        <is>
          <t>INVESTISSEMENT</t>
        </is>
      </c>
      <c r="N641" s="678" t="inlineStr">
        <is>
          <t>Prestations de service à immobiliser</t>
        </is>
      </c>
      <c r="O641" s="679" t="n"/>
      <c r="P641" s="680" t="n"/>
      <c r="Q641" s="680" t="n"/>
      <c r="R641" s="675" t="n"/>
      <c r="S641" s="681" t="n"/>
      <c r="T641" s="682" t="n"/>
      <c r="U641" s="683" t="inlineStr">
        <is>
          <t>EATON ELECTRIC</t>
        </is>
      </c>
      <c r="V641" s="693" t="n"/>
      <c r="W641" s="682" t="n"/>
      <c r="X641" s="682" t="n"/>
      <c r="Y641" s="682" t="n">
        <v>46245</v>
      </c>
      <c r="Z641" s="679" t="n"/>
      <c r="AA641" s="680" t="n"/>
      <c r="AB641" s="680" t="n"/>
      <c r="AC641" s="680" t="n">
        <v>19200</v>
      </c>
      <c r="AD641" s="680" t="n">
        <v>16000</v>
      </c>
      <c r="AE641" s="680" t="n">
        <v>19200</v>
      </c>
      <c r="AF641" s="684" t="inlineStr">
        <is>
          <t>ENGAGE</t>
        </is>
      </c>
      <c r="AG641" s="683" t="n"/>
      <c r="AH641" s="680" t="n"/>
      <c r="AI641" s="680" t="n"/>
      <c r="AJ641" s="680" t="n"/>
      <c r="AK641" s="680" t="n"/>
      <c r="AL641" s="685" t="n"/>
      <c r="AM641" s="685" t="n"/>
      <c r="AN641" s="683" t="n"/>
    </row>
    <row r="642" ht="46.5" customHeight="1" s="392">
      <c r="A642" s="672">
        <f>IF(AF642="ENGAGE","✔",IF(AF642="EN COURS D'ENGAGEMENT","◕",IF(AF642="PREENGAGE","◑",IF(AF642="EN COURS DE PREENGAGEMENT","◔",IF(AF642="NON ENGAGE","✖","")))))</f>
        <v/>
      </c>
      <c r="B642" s="673" t="n">
        <v>2026</v>
      </c>
      <c r="C642" s="674" t="inlineStr">
        <is>
          <t>DPMG</t>
        </is>
      </c>
      <c r="D642" s="674" t="inlineStr">
        <is>
          <t>67AOM/SNRT/2026</t>
        </is>
      </c>
      <c r="E642" s="675" t="inlineStr">
        <is>
          <t>AOO-M</t>
        </is>
      </c>
      <c r="F642" s="675" t="n">
        <v>1</v>
      </c>
      <c r="G642" s="676" t="inlineStr">
        <is>
          <t xml:space="preserve"> Inventaire physique et fiabilisation du fichier comptable des immobilisations de la SNRT</t>
        </is>
      </c>
      <c r="H642" s="673" t="inlineStr">
        <is>
          <t>EN SIGNATURE</t>
        </is>
      </c>
      <c r="I642" s="675" t="inlineStr">
        <is>
          <t>EN SIGNATURE</t>
        </is>
      </c>
      <c r="J642" s="693" t="n"/>
      <c r="K642" s="673" t="inlineStr">
        <is>
          <t>GENERAL</t>
        </is>
      </c>
      <c r="L642" s="675" t="inlineStr">
        <is>
          <t>Ordinaire</t>
        </is>
      </c>
      <c r="M642" s="677" t="inlineStr">
        <is>
          <t>FONCTIONNEMENT</t>
        </is>
      </c>
      <c r="N642" s="678" t="inlineStr">
        <is>
          <t>Prestations de service Achat prestations de services locales - sociétés</t>
        </is>
      </c>
      <c r="O642" s="679">
        <f>Engagements2026Juillet[[#This Row],[ESTIMATION TTC]]*1.2</f>
        <v/>
      </c>
      <c r="P642" s="680" t="n">
        <v>2400000</v>
      </c>
      <c r="Q642" s="680" t="n"/>
      <c r="R642" s="675" t="n"/>
      <c r="S642" s="681" t="n"/>
      <c r="T642" s="682" t="n"/>
      <c r="U642" s="683" t="n"/>
      <c r="V642" s="693" t="n"/>
      <c r="W642" s="682" t="n"/>
      <c r="X642" s="682" t="n"/>
      <c r="Y642" s="682" t="n"/>
      <c r="Z642" s="679" t="n"/>
      <c r="AA642" s="680" t="n"/>
      <c r="AB642" s="680" t="n"/>
      <c r="AC642" s="680" t="n"/>
      <c r="AD642" s="680" t="n"/>
      <c r="AE642" s="680" t="n"/>
      <c r="AF642" s="684" t="inlineStr">
        <is>
          <t>EN COURS DE PREENGAGEMENT</t>
        </is>
      </c>
      <c r="AG642" s="683" t="n"/>
      <c r="AH642" s="680" t="n"/>
      <c r="AI642" s="680" t="n"/>
      <c r="AJ642" s="680" t="n"/>
      <c r="AK642" s="680" t="n"/>
      <c r="AL642" s="685" t="n"/>
      <c r="AM642" s="685" t="n"/>
      <c r="AN642" s="683" t="n"/>
    </row>
    <row r="643" ht="50.55" customHeight="1" s="392">
      <c r="A643" s="672">
        <f>IF(AF643="ENGAGE","✔",IF(AF643="EN COURS D'ENGAGEMENT","◕",IF(AF643="PREENGAGE","◑",IF(AF643="EN COURS DE PREENGAGEMENT","◔",IF(AF643="NON ENGAGE","✖","")))))</f>
        <v/>
      </c>
      <c r="B643" s="673" t="n">
        <v>2026</v>
      </c>
      <c r="C643" s="674" t="inlineStr">
        <is>
          <t>DPMG</t>
        </is>
      </c>
      <c r="D643" s="674" t="inlineStr">
        <is>
          <t>26000606 CT</t>
        </is>
      </c>
      <c r="E643" s="675" t="inlineStr">
        <is>
          <t>CONTRAT</t>
        </is>
      </c>
      <c r="F643" s="675" t="n">
        <v>1</v>
      </c>
      <c r="G643" s="676" t="inlineStr">
        <is>
          <t>la fourniture des vignettes pour payer les frais de transport par voie terrestre du personnel de la SNRT pour l'exercice de 2026</t>
        </is>
      </c>
      <c r="H643" s="673" t="inlineStr">
        <is>
          <t>VALIDE</t>
        </is>
      </c>
      <c r="I643" s="675" t="inlineStr">
        <is>
          <t>APPROUVE</t>
        </is>
      </c>
      <c r="J643" s="693" t="n"/>
      <c r="K643" s="673" t="inlineStr">
        <is>
          <t>GENERAL</t>
        </is>
      </c>
      <c r="L643" s="675" t="inlineStr">
        <is>
          <t>Ordinaire</t>
        </is>
      </c>
      <c r="M643" s="677" t="inlineStr">
        <is>
          <t>FONCTIONNEMENT</t>
        </is>
      </c>
      <c r="N643" s="678" t="inlineStr">
        <is>
          <t>Déplacements, missions et réceptions</t>
        </is>
      </c>
      <c r="O643" s="679" t="n"/>
      <c r="P643" s="680" t="n"/>
      <c r="Q643" s="680" t="n"/>
      <c r="R643" s="675" t="n"/>
      <c r="S643" s="681" t="n"/>
      <c r="T643" s="682" t="n"/>
      <c r="U643" s="683" t="inlineStr">
        <is>
          <t>SNTL</t>
        </is>
      </c>
      <c r="V643" s="693" t="n"/>
      <c r="W643" s="682" t="n"/>
      <c r="X643" s="682" t="n"/>
      <c r="Y643" s="682" t="n"/>
      <c r="Z643" s="679" t="n"/>
      <c r="AA643" s="680" t="n"/>
      <c r="AB643" s="680" t="n"/>
      <c r="AC643" s="680" t="n">
        <v>200000</v>
      </c>
      <c r="AD643" s="680" t="n"/>
      <c r="AE643" s="680" t="n">
        <v>200000</v>
      </c>
      <c r="AF643" s="684" t="inlineStr">
        <is>
          <t>ENGAGE</t>
        </is>
      </c>
      <c r="AG643" s="683" t="n"/>
      <c r="AH643" s="680" t="n"/>
      <c r="AI643" s="680" t="n"/>
      <c r="AJ643" s="680" t="n"/>
      <c r="AK643" s="680" t="n"/>
      <c r="AL643" s="685" t="n"/>
      <c r="AM643" s="685" t="n"/>
      <c r="AN643" s="683" t="n"/>
    </row>
    <row r="644" ht="50.55" customHeight="1" s="392">
      <c r="A644" s="672">
        <f>IF(AF644="ENGAGE","✔",IF(AF644="EN COURS D'ENGAGEMENT","◕",IF(AF644="PREENGAGE","◑",IF(AF644="EN COURS DE PREENGAGEMENT","◔",IF(AF644="NON ENGAGE","✖","")))))</f>
        <v/>
      </c>
      <c r="B644" s="673" t="n">
        <v>2026</v>
      </c>
      <c r="C644" s="674" t="inlineStr">
        <is>
          <t>DINFOTV</t>
        </is>
      </c>
      <c r="D644" s="674" t="inlineStr">
        <is>
          <t>26000609 CT</t>
        </is>
      </c>
      <c r="E644" s="675" t="inlineStr">
        <is>
          <t>CONTRAT</t>
        </is>
      </c>
      <c r="F644" s="675" t="n">
        <v>1</v>
      </c>
      <c r="G644" s="676" t="inlineStr">
        <is>
          <t>Aquisition auprés de REUTERS de services et de droits d'utilisation et de diffusion de contenus d'actualité sur les chaines de télévision et les supports numériques de la SNRT</t>
        </is>
      </c>
      <c r="H644" s="673" t="inlineStr">
        <is>
          <t>EN SIGNATURE</t>
        </is>
      </c>
      <c r="I644" s="675" t="inlineStr">
        <is>
          <t>EN SIGNATURE</t>
        </is>
      </c>
      <c r="J644" s="693" t="n"/>
      <c r="K644" s="673" t="inlineStr">
        <is>
          <t>GENERAL</t>
        </is>
      </c>
      <c r="L644" s="675" t="inlineStr">
        <is>
          <t>Ordinaire</t>
        </is>
      </c>
      <c r="M644" s="677" t="inlineStr">
        <is>
          <t>FONCTIONNEMENT</t>
        </is>
      </c>
      <c r="N644" s="678" t="inlineStr">
        <is>
          <t>Prestations de service
Achat prestations de services étrangères</t>
        </is>
      </c>
      <c r="O644" s="679" t="n"/>
      <c r="P644" s="680" t="n"/>
      <c r="Q644" s="680" t="n"/>
      <c r="R644" s="675" t="n"/>
      <c r="S644" s="681" t="n"/>
      <c r="T644" s="682" t="n"/>
      <c r="U644" s="683" t="inlineStr">
        <is>
          <t>REUTERS</t>
        </is>
      </c>
      <c r="V644" s="693" t="n"/>
      <c r="W644" s="682" t="n"/>
      <c r="X644" s="682" t="n"/>
      <c r="Y644" s="682" t="n"/>
      <c r="Z644" s="679" t="n"/>
      <c r="AA644" s="680" t="n"/>
      <c r="AB644" s="680" t="n"/>
      <c r="AC644" s="680" t="n"/>
      <c r="AD644" s="680" t="n"/>
      <c r="AE644" s="680" t="n">
        <v>1082231.34</v>
      </c>
      <c r="AF644" s="684" t="inlineStr">
        <is>
          <t>EN COURS D'ENGAGEMENT</t>
        </is>
      </c>
      <c r="AG644" s="683" t="n"/>
      <c r="AH644" s="680" t="n"/>
      <c r="AI644" s="680" t="n"/>
      <c r="AJ644" s="680" t="n"/>
      <c r="AK644" s="680" t="n"/>
      <c r="AL644" s="685" t="n"/>
      <c r="AM644" s="685" t="n"/>
      <c r="AN644" s="683" t="n"/>
    </row>
    <row r="645" ht="35.7" customHeight="1" s="392">
      <c r="A645" s="672">
        <f>IF(AF645="ENGAGE","✔",IF(AF645="EN COURS D'ENGAGEMENT","◕",IF(AF645="PREENGAGE","◑",IF(AF645="EN COURS DE PREENGAGEMENT","◔",IF(AF645="NON ENGAGE","✖","")))))</f>
        <v/>
      </c>
      <c r="B645" s="673" t="n">
        <v>2026</v>
      </c>
      <c r="C645" s="674" t="inlineStr">
        <is>
          <t>TDF-EXP&amp;MAIN</t>
        </is>
      </c>
      <c r="D645" s="674" t="inlineStr">
        <is>
          <t>66AOM/SNRT/2026</t>
        </is>
      </c>
      <c r="E645" s="675" t="inlineStr">
        <is>
          <t>AOO-M</t>
        </is>
      </c>
      <c r="F645" s="675" t="n">
        <v>1</v>
      </c>
      <c r="G645" s="676" t="inlineStr">
        <is>
          <t>Fourniture des modules et pièces de rechange pour les émetteurs FM 10 KW et 5 KW de marque RFE</t>
        </is>
      </c>
      <c r="H645" s="673" t="inlineStr">
        <is>
          <t>VALIDE</t>
        </is>
      </c>
      <c r="I645" s="675" t="inlineStr">
        <is>
          <t>PHASE AOO</t>
        </is>
      </c>
      <c r="J645" s="693" t="n"/>
      <c r="K645" s="673" t="inlineStr">
        <is>
          <t>GENERAL</t>
        </is>
      </c>
      <c r="L645" s="675" t="inlineStr">
        <is>
          <t>Ordinaire</t>
        </is>
      </c>
      <c r="M645" s="677" t="inlineStr">
        <is>
          <t>FONCTIONNEMENT</t>
        </is>
      </c>
      <c r="N645" s="678" t="inlineStr">
        <is>
          <t>Achats de matières et fournitures consommables</t>
        </is>
      </c>
      <c r="O645" s="679">
        <f>Engagements2026Juillet[[#This Row],[ESTIMATION TTC]]*1.2</f>
        <v/>
      </c>
      <c r="P645" s="680" t="n">
        <v>2945880</v>
      </c>
      <c r="Q645" s="680" t="n"/>
      <c r="R645" s="675" t="n"/>
      <c r="S645" s="681" t="n"/>
      <c r="T645" s="682" t="n"/>
      <c r="U645" s="683" t="n"/>
      <c r="V645" s="693" t="n"/>
      <c r="W645" s="682" t="n"/>
      <c r="X645" s="682" t="n"/>
      <c r="Y645" s="682" t="n"/>
      <c r="Z645" s="679" t="n"/>
      <c r="AA645" s="680" t="n"/>
      <c r="AB645" s="680" t="n"/>
      <c r="AC645" s="680" t="n"/>
      <c r="AD645" s="680" t="n"/>
      <c r="AE645" s="680" t="n"/>
      <c r="AF645" s="684" t="inlineStr">
        <is>
          <t>PREENGAGE</t>
        </is>
      </c>
      <c r="AG645" s="683" t="n"/>
      <c r="AH645" s="680" t="n"/>
      <c r="AI645" s="680" t="n"/>
      <c r="AJ645" s="680" t="n"/>
      <c r="AK645" s="680" t="n"/>
      <c r="AL645" s="685" t="n"/>
      <c r="AM645" s="685" t="n"/>
      <c r="AN645" s="683" t="n"/>
    </row>
    <row r="646" ht="80.25" customHeight="1" s="392">
      <c r="A646" s="672">
        <f>IF(AF646="ENGAGE","✔",IF(AF646="EN COURS D'ENGAGEMENT","◕",IF(AF646="PREENGAGE","◑",IF(AF646="EN COURS DE PREENGAGEMENT","◔",IF(AF646="NON ENGAGE","✖","")))))</f>
        <v/>
      </c>
      <c r="B646" s="673" t="n">
        <v>2026</v>
      </c>
      <c r="C646" s="674" t="inlineStr">
        <is>
          <t>DPMG</t>
        </is>
      </c>
      <c r="D646" s="674" t="inlineStr">
        <is>
          <t>42AOM/SNRT/2026</t>
        </is>
      </c>
      <c r="E646" s="675" t="inlineStr">
        <is>
          <t>AOO-M</t>
        </is>
      </c>
      <c r="F646" s="675" t="n">
        <v>1</v>
      </c>
      <c r="G646" s="676" t="inlineStr">
        <is>
          <t>Maintenance et entretien des onduleurs (Pièce et main d’œuvre) : Onduleurs au niveau des sites de la SNRT Rabat, Casablanca et stations régionales Radio-Poste de transformation MT/BT situé au niveau de la station TV Ain Chok à Casablanca de la SNRT</t>
        </is>
      </c>
      <c r="H646" s="673" t="inlineStr">
        <is>
          <t>VALIDE</t>
        </is>
      </c>
      <c r="I646" s="675" t="inlineStr">
        <is>
          <t>PHASE AOO</t>
        </is>
      </c>
      <c r="J646" s="693" t="n"/>
      <c r="K646" s="673" t="inlineStr">
        <is>
          <t>GENERAL</t>
        </is>
      </c>
      <c r="L646" s="675" t="inlineStr">
        <is>
          <t>Ordinaire</t>
        </is>
      </c>
      <c r="M646" s="677" t="inlineStr">
        <is>
          <t>FONCTIONNEMENT</t>
        </is>
      </c>
      <c r="N646" s="678" t="inlineStr">
        <is>
          <t>Entretien, réparation et assurance</t>
        </is>
      </c>
      <c r="O646" s="679">
        <f>Engagements2026Juillet[[#This Row],[ESTIMATION TTC]]*1.2</f>
        <v/>
      </c>
      <c r="P646" s="680" t="n">
        <v>730000</v>
      </c>
      <c r="Q646" s="680" t="n"/>
      <c r="R646" s="675" t="n"/>
      <c r="S646" s="681" t="n"/>
      <c r="T646" s="682" t="n"/>
      <c r="U646" s="683" t="n"/>
      <c r="V646" s="693" t="n"/>
      <c r="W646" s="682" t="n"/>
      <c r="X646" s="682" t="n"/>
      <c r="Y646" s="682" t="n"/>
      <c r="Z646" s="679" t="n"/>
      <c r="AA646" s="680" t="n"/>
      <c r="AB646" s="680" t="n"/>
      <c r="AC646" s="680" t="n"/>
      <c r="AD646" s="680" t="n"/>
      <c r="AE646" s="680" t="n"/>
      <c r="AF646" s="684" t="inlineStr">
        <is>
          <t>PREENGAGE</t>
        </is>
      </c>
      <c r="AG646" s="683" t="n"/>
      <c r="AH646" s="680" t="n"/>
      <c r="AI646" s="680" t="n"/>
      <c r="AJ646" s="680" t="n"/>
      <c r="AK646" s="680" t="n"/>
      <c r="AL646" s="685" t="n"/>
      <c r="AM646" s="685" t="n"/>
      <c r="AN646" s="683" t="n"/>
    </row>
    <row r="647" ht="35.7" customHeight="1" s="392">
      <c r="A647" s="672">
        <f>IF(AF647="ENGAGE","✔",IF(AF647="EN COURS D'ENGAGEMENT","◕",IF(AF647="PREENGAGE","◑",IF(AF647="EN COURS DE PREENGAGEMENT","◔",IF(AF647="NON ENGAGE","✖","")))))</f>
        <v/>
      </c>
      <c r="B647" s="673" t="n">
        <v>2026</v>
      </c>
      <c r="C647" s="674" t="inlineStr">
        <is>
          <t>ARRIYADIA</t>
        </is>
      </c>
      <c r="D647" s="674" t="inlineStr">
        <is>
          <t>26000549CT</t>
        </is>
      </c>
      <c r="E647" s="675" t="inlineStr">
        <is>
          <t>CONTRAT</t>
        </is>
      </c>
      <c r="F647" s="675" t="n">
        <v>1</v>
      </c>
      <c r="G647" s="676" t="inlineStr">
        <is>
          <t>Achat des droits sportifs des jeux méditerranéens et des jeux méditerrannéens de plage</t>
        </is>
      </c>
      <c r="H647" s="673" t="inlineStr">
        <is>
          <t>VALIDE</t>
        </is>
      </c>
      <c r="I647" s="675" t="inlineStr">
        <is>
          <t>APPROUVE</t>
        </is>
      </c>
      <c r="J647" s="693" t="n"/>
      <c r="K647" s="673" t="inlineStr">
        <is>
          <t>GENERAL</t>
        </is>
      </c>
      <c r="L647" s="675" t="inlineStr">
        <is>
          <t>Ordinaire</t>
        </is>
      </c>
      <c r="M647" s="677" t="inlineStr">
        <is>
          <t>FONCTIONNEMENT</t>
        </is>
      </c>
      <c r="N647" s="678" t="inlineStr">
        <is>
          <t>Achats de droits
Achats de droit de sport</t>
        </is>
      </c>
      <c r="O647" s="679" t="n"/>
      <c r="P647" s="680" t="n"/>
      <c r="Q647" s="680" t="n"/>
      <c r="R647" s="675" t="n"/>
      <c r="S647" s="681" t="n"/>
      <c r="T647" s="682" t="n"/>
      <c r="U647" s="683" t="inlineStr">
        <is>
          <t>EUROPEEN BROADCASTING UNION</t>
        </is>
      </c>
      <c r="V647" s="693" t="n"/>
      <c r="W647" s="682" t="n"/>
      <c r="X647" s="682" t="n"/>
      <c r="Y647" s="682" t="n"/>
      <c r="Z647" s="679" t="n"/>
      <c r="AA647" s="680" t="n"/>
      <c r="AB647" s="680" t="n"/>
      <c r="AC647" s="680" t="n"/>
      <c r="AD647" s="680" t="n"/>
      <c r="AE647" s="680" t="n">
        <v>534310</v>
      </c>
      <c r="AF647" s="684" t="inlineStr">
        <is>
          <t>ENGAGE</t>
        </is>
      </c>
      <c r="AG647" s="683" t="n"/>
      <c r="AH647" s="680" t="n"/>
      <c r="AI647" s="680" t="n"/>
      <c r="AJ647" s="680" t="n"/>
      <c r="AK647" s="680" t="n"/>
      <c r="AL647" s="685" t="n"/>
      <c r="AM647" s="685" t="n"/>
      <c r="AN647" s="683" t="n"/>
    </row>
    <row r="648" ht="60" customHeight="1" s="392">
      <c r="A648" s="672">
        <f>IF(AF648="ENGAGE","✔",IF(AF648="EN COURS D'ENGAGEMENT","◕",IF(AF648="PREENGAGE","◑",IF(AF648="EN COURS DE PREENGAGEMENT","◔",IF(AF648="NON ENGAGE","✖","")))))</f>
        <v/>
      </c>
      <c r="B648" s="673" t="n">
        <v>2026</v>
      </c>
      <c r="C648" s="674" t="inlineStr">
        <is>
          <t>DCPA</t>
        </is>
      </c>
      <c r="D648" s="674" t="inlineStr">
        <is>
          <t>425CT/SNRT/2026</t>
        </is>
      </c>
      <c r="E648" s="675" t="inlineStr">
        <is>
          <t>AOO-CT</t>
        </is>
      </c>
      <c r="F648" s="675" t="n">
        <v>1</v>
      </c>
      <c r="G648" s="676" t="inlineStr">
        <is>
          <t>Documentaire - MIN SOUK L SOUK</t>
        </is>
      </c>
      <c r="H648" s="673" t="inlineStr">
        <is>
          <t>EN SIGNATURE</t>
        </is>
      </c>
      <c r="I648" s="675" t="inlineStr">
        <is>
          <t>EN SIGNATURE</t>
        </is>
      </c>
      <c r="J648" s="693" t="n"/>
      <c r="K648" s="673" t="inlineStr">
        <is>
          <t>GENERAL</t>
        </is>
      </c>
      <c r="L648" s="675" t="inlineStr">
        <is>
          <t>Ordinaire</t>
        </is>
      </c>
      <c r="M648" s="677" t="inlineStr">
        <is>
          <t>FONCTIONNEMENT</t>
        </is>
      </c>
      <c r="N648" s="678" t="inlineStr">
        <is>
          <t>Achats de productions et de programmes
Acquis définitive Programmes TV externes</t>
        </is>
      </c>
      <c r="O648" s="679" t="n"/>
      <c r="P648" s="680" t="n"/>
      <c r="Q648" s="680" t="n"/>
      <c r="R648" s="675" t="n"/>
      <c r="S648" s="681" t="n"/>
      <c r="T648" s="682" t="n"/>
      <c r="U648" s="683" t="inlineStr">
        <is>
          <t>MEDIA COLLECT</t>
        </is>
      </c>
      <c r="V648" s="693" t="n"/>
      <c r="W648" s="682" t="n"/>
      <c r="X648" s="682" t="n"/>
      <c r="Y648" s="682" t="n"/>
      <c r="Z648" s="679" t="n"/>
      <c r="AA648" s="680" t="n"/>
      <c r="AB648" s="680" t="n"/>
      <c r="AC648" s="680" t="n"/>
      <c r="AD648" s="680" t="n">
        <v>3339840</v>
      </c>
      <c r="AE648" s="680" t="n">
        <v>3339840</v>
      </c>
      <c r="AF648" s="684" t="inlineStr">
        <is>
          <t>ENGAGE</t>
        </is>
      </c>
      <c r="AG648" s="683" t="n"/>
      <c r="AH648" s="680" t="n"/>
      <c r="AI648" s="680" t="n"/>
      <c r="AJ648" s="680" t="n"/>
      <c r="AK648" s="680" t="n"/>
      <c r="AL648" s="685" t="n"/>
      <c r="AM648" s="685" t="n"/>
      <c r="AN648" s="683" t="n"/>
    </row>
    <row r="649" ht="60" customHeight="1" s="392">
      <c r="A649" s="672">
        <f>IF(AF649="ENGAGE","✔",IF(AF649="EN COURS D'ENGAGEMENT","◕",IF(AF649="PREENGAGE","◑",IF(AF649="EN COURS DE PREENGAGEMENT","◔",IF(AF649="NON ENGAGE","✖","")))))</f>
        <v/>
      </c>
      <c r="B649" s="673" t="n">
        <v>2026</v>
      </c>
      <c r="C649" s="674" t="inlineStr">
        <is>
          <t>DCPA</t>
        </is>
      </c>
      <c r="D649" s="674" t="inlineStr">
        <is>
          <t>422CT/SNRT/2026</t>
        </is>
      </c>
      <c r="E649" s="675" t="inlineStr">
        <is>
          <t>AOO-CT</t>
        </is>
      </c>
      <c r="F649" s="675" t="n">
        <v>1</v>
      </c>
      <c r="G649" s="676" t="inlineStr">
        <is>
          <t>Documentaire - AMOUDOU</t>
        </is>
      </c>
      <c r="H649" s="673" t="inlineStr">
        <is>
          <t>EN SIGNATURE</t>
        </is>
      </c>
      <c r="I649" s="675" t="inlineStr">
        <is>
          <t>EN SIGNATURE</t>
        </is>
      </c>
      <c r="J649" s="693" t="n"/>
      <c r="K649" s="673" t="inlineStr">
        <is>
          <t>GENERAL</t>
        </is>
      </c>
      <c r="L649" s="675" t="inlineStr">
        <is>
          <t>Ordinaire</t>
        </is>
      </c>
      <c r="M649" s="677" t="inlineStr">
        <is>
          <t>FONCTIONNEMENT</t>
        </is>
      </c>
      <c r="N649" s="678" t="inlineStr">
        <is>
          <t>Achats de productions et de programmes
Acquis définitive Programmes TV externes</t>
        </is>
      </c>
      <c r="O649" s="679" t="n"/>
      <c r="P649" s="680" t="n"/>
      <c r="Q649" s="680" t="n"/>
      <c r="R649" s="675" t="n"/>
      <c r="S649" s="681" t="n"/>
      <c r="T649" s="682" t="n"/>
      <c r="U649" s="683" t="inlineStr">
        <is>
          <t>FAOUZI VISION</t>
        </is>
      </c>
      <c r="V649" s="693" t="n"/>
      <c r="W649" s="682" t="n"/>
      <c r="X649" s="682" t="n"/>
      <c r="Y649" s="682" t="n"/>
      <c r="Z649" s="679" t="n"/>
      <c r="AA649" s="680" t="n"/>
      <c r="AB649" s="680" t="n"/>
      <c r="AC649" s="680" t="n"/>
      <c r="AD649" s="680" t="n">
        <v>3581536</v>
      </c>
      <c r="AE649" s="680" t="n">
        <v>3581536</v>
      </c>
      <c r="AF649" s="684" t="inlineStr">
        <is>
          <t>EN COURS D'ENGAGEMENT</t>
        </is>
      </c>
      <c r="AG649" s="683" t="n"/>
      <c r="AH649" s="680" t="n"/>
      <c r="AI649" s="680" t="n"/>
      <c r="AJ649" s="680" t="n"/>
      <c r="AK649" s="680" t="n"/>
      <c r="AL649" s="685" t="n"/>
      <c r="AM649" s="685" t="n"/>
      <c r="AN649" s="683" t="n"/>
    </row>
    <row r="650" ht="60" customHeight="1" s="392">
      <c r="A650" s="672">
        <f>IF(AF650="ENGAGE","✔",IF(AF650="EN COURS D'ENGAGEMENT","◕",IF(AF650="PREENGAGE","◑",IF(AF650="EN COURS DE PREENGAGEMENT","◔",IF(AF650="NON ENGAGE","✖","")))))</f>
        <v/>
      </c>
      <c r="B650" s="673" t="n">
        <v>2026</v>
      </c>
      <c r="C650" s="674" t="inlineStr">
        <is>
          <t>DCPA</t>
        </is>
      </c>
      <c r="D650" s="674" t="inlineStr">
        <is>
          <t>421CT/SNRT/2026</t>
        </is>
      </c>
      <c r="E650" s="675" t="inlineStr">
        <is>
          <t>AOO-CT</t>
        </is>
      </c>
      <c r="F650" s="675" t="n">
        <v>1</v>
      </c>
      <c r="G650" s="676" t="inlineStr">
        <is>
          <t>Documentaire - AMALLAY</t>
        </is>
      </c>
      <c r="H650" s="673" t="inlineStr">
        <is>
          <t>EN SIGNATURE</t>
        </is>
      </c>
      <c r="I650" s="675" t="inlineStr">
        <is>
          <t>EN SIGNATURE</t>
        </is>
      </c>
      <c r="J650" s="693" t="n"/>
      <c r="K650" s="673" t="inlineStr">
        <is>
          <t>GENERAL</t>
        </is>
      </c>
      <c r="L650" s="675" t="inlineStr">
        <is>
          <t>Ordinaire</t>
        </is>
      </c>
      <c r="M650" s="677" t="inlineStr">
        <is>
          <t>FONCTIONNEMENT</t>
        </is>
      </c>
      <c r="N650" s="678" t="inlineStr">
        <is>
          <t>Achats de productions et de programmes
Acquis définitive Programmes TV externes</t>
        </is>
      </c>
      <c r="O650" s="679" t="n"/>
      <c r="P650" s="680" t="n"/>
      <c r="Q650" s="680" t="n"/>
      <c r="R650" s="675" t="n"/>
      <c r="S650" s="681" t="n"/>
      <c r="T650" s="682" t="n"/>
      <c r="U650" s="683" t="inlineStr">
        <is>
          <t>FAOUZI VISION</t>
        </is>
      </c>
      <c r="V650" s="693" t="n"/>
      <c r="W650" s="682" t="n"/>
      <c r="X650" s="682" t="n"/>
      <c r="Y650" s="682" t="n"/>
      <c r="Z650" s="679" t="n"/>
      <c r="AA650" s="680" t="n"/>
      <c r="AB650" s="680" t="n"/>
      <c r="AC650" s="680" t="n"/>
      <c r="AD650" s="680" t="n">
        <v>4086096</v>
      </c>
      <c r="AE650" s="680" t="n">
        <v>4086096</v>
      </c>
      <c r="AF650" s="684" t="inlineStr">
        <is>
          <t>ENGAGE</t>
        </is>
      </c>
      <c r="AG650" s="683" t="n"/>
      <c r="AH650" s="680" t="n"/>
      <c r="AI650" s="680" t="n"/>
      <c r="AJ650" s="680" t="n"/>
      <c r="AK650" s="680" t="n"/>
      <c r="AL650" s="685" t="n"/>
      <c r="AM650" s="685" t="n"/>
      <c r="AN650" s="683" t="n"/>
    </row>
    <row r="651" ht="60" customHeight="1" s="392">
      <c r="A651" s="672">
        <f>IF(AF651="ENGAGE","✔",IF(AF651="EN COURS D'ENGAGEMENT","◕",IF(AF651="PREENGAGE","◑",IF(AF651="EN COURS DE PREENGAGEMENT","◔",IF(AF651="NON ENGAGE","✖","")))))</f>
        <v/>
      </c>
      <c r="B651" s="673" t="n">
        <v>2026</v>
      </c>
      <c r="C651" s="674" t="inlineStr">
        <is>
          <t>DCPA</t>
        </is>
      </c>
      <c r="D651" s="674" t="inlineStr">
        <is>
          <t>423CT/SNRT/2026</t>
        </is>
      </c>
      <c r="E651" s="675" t="inlineStr">
        <is>
          <t>AOO-CT</t>
        </is>
      </c>
      <c r="F651" s="675" t="n">
        <v>1</v>
      </c>
      <c r="G651" s="676" t="inlineStr">
        <is>
          <t>Docu-fiction - MOUDAWALA</t>
        </is>
      </c>
      <c r="H651" s="673" t="inlineStr">
        <is>
          <t>EN SIGNATURE</t>
        </is>
      </c>
      <c r="I651" s="675" t="inlineStr">
        <is>
          <t>EN SIGNATURE</t>
        </is>
      </c>
      <c r="J651" s="693" t="n"/>
      <c r="K651" s="673" t="inlineStr">
        <is>
          <t>GENERAL</t>
        </is>
      </c>
      <c r="L651" s="675" t="inlineStr">
        <is>
          <t>Ordinaire</t>
        </is>
      </c>
      <c r="M651" s="677" t="inlineStr">
        <is>
          <t>FONCTIONNEMENT</t>
        </is>
      </c>
      <c r="N651" s="678" t="inlineStr">
        <is>
          <t>Achats de productions et de programmes
Acquis définitive Programmes TV externes</t>
        </is>
      </c>
      <c r="O651" s="679" t="n"/>
      <c r="P651" s="680" t="n"/>
      <c r="Q651" s="680" t="n"/>
      <c r="R651" s="675" t="n"/>
      <c r="S651" s="681" t="n"/>
      <c r="T651" s="682" t="n"/>
      <c r="U651" s="683" t="inlineStr">
        <is>
          <t>HASSANI SOFT</t>
        </is>
      </c>
      <c r="V651" s="693" t="n"/>
      <c r="W651" s="682" t="n"/>
      <c r="X651" s="682" t="n"/>
      <c r="Y651" s="682" t="n"/>
      <c r="Z651" s="679" t="n"/>
      <c r="AA651" s="680" t="n"/>
      <c r="AB651" s="680" t="n"/>
      <c r="AC651" s="680" t="n"/>
      <c r="AD651" s="680" t="n">
        <v>3901912.01</v>
      </c>
      <c r="AE651" s="680">
        <f>AD651*1.2</f>
        <v/>
      </c>
      <c r="AF651" s="684" t="inlineStr">
        <is>
          <t>ENGAGE</t>
        </is>
      </c>
      <c r="AG651" s="683" t="n"/>
      <c r="AH651" s="680" t="n"/>
      <c r="AI651" s="680" t="n"/>
      <c r="AJ651" s="680" t="n"/>
      <c r="AK651" s="680" t="n"/>
      <c r="AL651" s="685" t="n"/>
      <c r="AM651" s="685" t="n"/>
      <c r="AN651" s="683" t="n"/>
    </row>
    <row r="652" ht="60" customHeight="1" s="392">
      <c r="A652" s="672">
        <f>IF(AF652="ENGAGE","✔",IF(AF652="EN COURS D'ENGAGEMENT","◕",IF(AF652="PREENGAGE","◑",IF(AF652="EN COURS DE PREENGAGEMENT","◔",IF(AF652="NON ENGAGE","✖","")))))</f>
        <v/>
      </c>
      <c r="B652" s="673" t="n">
        <v>2026</v>
      </c>
      <c r="C652" s="674" t="inlineStr">
        <is>
          <t>DCPA</t>
        </is>
      </c>
      <c r="D652" s="674" t="inlineStr">
        <is>
          <t>417CT/SNRT/2026</t>
        </is>
      </c>
      <c r="E652" s="675" t="inlineStr">
        <is>
          <t>AOO-CT</t>
        </is>
      </c>
      <c r="F652" s="675" t="n">
        <v>1</v>
      </c>
      <c r="G652" s="676" t="inlineStr">
        <is>
          <t>Docu-fiction - ABAK ATTOURATH</t>
        </is>
      </c>
      <c r="H652" s="673" t="inlineStr">
        <is>
          <t>EN SIGNATURE</t>
        </is>
      </c>
      <c r="I652" s="675" t="inlineStr">
        <is>
          <t>EN SIGNATURE</t>
        </is>
      </c>
      <c r="J652" s="693" t="n"/>
      <c r="K652" s="673" t="inlineStr">
        <is>
          <t>GENERAL</t>
        </is>
      </c>
      <c r="L652" s="675" t="inlineStr">
        <is>
          <t>Ordinaire</t>
        </is>
      </c>
      <c r="M652" s="677" t="inlineStr">
        <is>
          <t>FONCTIONNEMENT</t>
        </is>
      </c>
      <c r="N652" s="678" t="inlineStr">
        <is>
          <t>Achats de productions et de programmes
Acquis définitive Programmes TV externes</t>
        </is>
      </c>
      <c r="O652" s="679" t="n"/>
      <c r="P652" s="680" t="n"/>
      <c r="Q652" s="680" t="n"/>
      <c r="R652" s="675" t="n"/>
      <c r="S652" s="681" t="n"/>
      <c r="T652" s="682" t="n"/>
      <c r="U652" s="683" t="inlineStr">
        <is>
          <t>AGHLAL PRODUCTION</t>
        </is>
      </c>
      <c r="V652" s="693" t="n"/>
      <c r="W652" s="682" t="n"/>
      <c r="X652" s="682" t="n"/>
      <c r="Y652" s="682" t="n"/>
      <c r="Z652" s="679" t="n"/>
      <c r="AA652" s="680" t="n"/>
      <c r="AB652" s="680" t="n"/>
      <c r="AC652" s="680" t="n"/>
      <c r="AD652" s="680" t="n">
        <v>4101440</v>
      </c>
      <c r="AE652" s="680">
        <f>AD652*1.2</f>
        <v/>
      </c>
      <c r="AF652" s="684" t="inlineStr">
        <is>
          <t>ENGAGE</t>
        </is>
      </c>
      <c r="AG652" s="683" t="n"/>
      <c r="AH652" s="680" t="n"/>
      <c r="AI652" s="680" t="n"/>
      <c r="AJ652" s="680" t="n"/>
      <c r="AK652" s="680" t="n"/>
      <c r="AL652" s="685" t="n"/>
      <c r="AM652" s="685" t="n"/>
      <c r="AN652" s="683" t="n"/>
    </row>
    <row r="653" ht="60" customHeight="1" s="392">
      <c r="A653" s="672">
        <f>IF(AF653="ENGAGE","✔",IF(AF653="EN COURS D'ENGAGEMENT","◕",IF(AF653="PREENGAGE","◑",IF(AF653="EN COURS DE PREENGAGEMENT","◔",IF(AF653="NON ENGAGE","✖","")))))</f>
        <v/>
      </c>
      <c r="B653" s="673" t="n">
        <v>2026</v>
      </c>
      <c r="C653" s="674" t="inlineStr">
        <is>
          <t>DCPA</t>
        </is>
      </c>
      <c r="D653" s="674" t="inlineStr">
        <is>
          <t>430CT/SNRT/2026</t>
        </is>
      </c>
      <c r="E653" s="675" t="inlineStr">
        <is>
          <t>AOO-CT</t>
        </is>
      </c>
      <c r="F653" s="675" t="n">
        <v>1</v>
      </c>
      <c r="G653" s="676" t="inlineStr">
        <is>
          <t>Emission Téléréalité - MATIHCH AALA LBAL</t>
        </is>
      </c>
      <c r="H653" s="673" t="inlineStr">
        <is>
          <t>EN SIGNATURE</t>
        </is>
      </c>
      <c r="I653" s="675" t="inlineStr">
        <is>
          <t>EN SIGNATURE</t>
        </is>
      </c>
      <c r="J653" s="693" t="n"/>
      <c r="K653" s="673" t="inlineStr">
        <is>
          <t>GENERAL</t>
        </is>
      </c>
      <c r="L653" s="675" t="inlineStr">
        <is>
          <t>Ordinaire</t>
        </is>
      </c>
      <c r="M653" s="677" t="inlineStr">
        <is>
          <t>FONCTIONNEMENT</t>
        </is>
      </c>
      <c r="N653" s="678" t="inlineStr">
        <is>
          <t>Achats de productions et de programmes
Acquis définitive Programmes TV externes</t>
        </is>
      </c>
      <c r="O653" s="679" t="n"/>
      <c r="P653" s="680" t="n"/>
      <c r="Q653" s="680" t="n"/>
      <c r="R653" s="675" t="n"/>
      <c r="S653" s="681" t="n"/>
      <c r="T653" s="682" t="n"/>
      <c r="U653" s="683" t="inlineStr">
        <is>
          <t>W5 MEDIA</t>
        </is>
      </c>
      <c r="V653" s="693" t="n"/>
      <c r="W653" s="682" t="n"/>
      <c r="X653" s="682" t="n"/>
      <c r="Y653" s="682" t="n"/>
      <c r="Z653" s="679" t="n"/>
      <c r="AA653" s="680" t="n"/>
      <c r="AB653" s="680" t="n"/>
      <c r="AC653" s="680" t="n"/>
      <c r="AD653" s="680" t="n">
        <v>1460480</v>
      </c>
      <c r="AE653" s="680">
        <f>AD653*1.2</f>
        <v/>
      </c>
      <c r="AF653" s="684" t="inlineStr">
        <is>
          <t>ENGAGE</t>
        </is>
      </c>
      <c r="AG653" s="683" t="n"/>
      <c r="AH653" s="680" t="n"/>
      <c r="AI653" s="680" t="n"/>
      <c r="AJ653" s="680" t="n"/>
      <c r="AK653" s="680" t="n"/>
      <c r="AL653" s="685" t="n"/>
      <c r="AM653" s="685" t="n"/>
      <c r="AN653" s="683" t="n"/>
    </row>
    <row r="654" ht="60" customHeight="1" s="392">
      <c r="A654" s="672">
        <f>IF(AF654="ENGAGE","✔",IF(AF654="EN COURS D'ENGAGEMENT","◕",IF(AF654="PREENGAGE","◑",IF(AF654="EN COURS DE PREENGAGEMENT","◔",IF(AF654="NON ENGAGE","✖","")))))</f>
        <v/>
      </c>
      <c r="B654" s="673" t="n">
        <v>2026</v>
      </c>
      <c r="C654" s="674" t="inlineStr">
        <is>
          <t>DCPA</t>
        </is>
      </c>
      <c r="D654" s="674" t="inlineStr">
        <is>
          <t>419CT/SNRT/2026</t>
        </is>
      </c>
      <c r="E654" s="675" t="inlineStr">
        <is>
          <t>AOO-CT</t>
        </is>
      </c>
      <c r="F654" s="675" t="n">
        <v>1</v>
      </c>
      <c r="G654" s="676" t="inlineStr">
        <is>
          <t>Emission Téléréalité - STAND UP</t>
        </is>
      </c>
      <c r="H654" s="673" t="inlineStr">
        <is>
          <t>EN SIGNATURE</t>
        </is>
      </c>
      <c r="I654" s="675" t="inlineStr">
        <is>
          <t>EN SIGNATURE</t>
        </is>
      </c>
      <c r="J654" s="693" t="n"/>
      <c r="K654" s="673" t="inlineStr">
        <is>
          <t>GENERAL</t>
        </is>
      </c>
      <c r="L654" s="675" t="inlineStr">
        <is>
          <t>Ordinaire</t>
        </is>
      </c>
      <c r="M654" s="677" t="inlineStr">
        <is>
          <t>FONCTIONNEMENT</t>
        </is>
      </c>
      <c r="N654" s="678" t="inlineStr">
        <is>
          <t>Achats de productions et de programmes
Acquis définitive Programmes TV externes</t>
        </is>
      </c>
      <c r="O654" s="679" t="n"/>
      <c r="P654" s="680" t="n"/>
      <c r="Q654" s="680" t="n"/>
      <c r="R654" s="675" t="n"/>
      <c r="S654" s="681" t="n"/>
      <c r="T654" s="682" t="n"/>
      <c r="U654" s="683" t="inlineStr">
        <is>
          <t>CONNEXION MEDIA</t>
        </is>
      </c>
      <c r="V654" s="693" t="n"/>
      <c r="W654" s="682" t="n"/>
      <c r="X654" s="682" t="n"/>
      <c r="Y654" s="682" t="n"/>
      <c r="Z654" s="679" t="n"/>
      <c r="AA654" s="680" t="n"/>
      <c r="AB654" s="680" t="n"/>
      <c r="AC654" s="680" t="n"/>
      <c r="AD654" s="680" t="n">
        <v>6183900.8</v>
      </c>
      <c r="AE654" s="680">
        <f>AD654*1.2</f>
        <v/>
      </c>
      <c r="AF654" s="684" t="inlineStr">
        <is>
          <t>ENGAGE</t>
        </is>
      </c>
      <c r="AG654" s="683" t="n"/>
      <c r="AH654" s="680" t="n"/>
      <c r="AI654" s="680" t="n"/>
      <c r="AJ654" s="680" t="n"/>
      <c r="AK654" s="680" t="n"/>
      <c r="AL654" s="685" t="n"/>
      <c r="AM654" s="685" t="n"/>
      <c r="AN654" s="683" t="n"/>
    </row>
    <row r="655" ht="60" customHeight="1" s="392">
      <c r="A655" s="672">
        <f>IF(AF655="ENGAGE","✔",IF(AF655="EN COURS D'ENGAGEMENT","◕",IF(AF655="PREENGAGE","◑",IF(AF655="EN COURS DE PREENGAGEMENT","◔",IF(AF655="NON ENGAGE","✖","")))))</f>
        <v/>
      </c>
      <c r="B655" s="673" t="n">
        <v>2026</v>
      </c>
      <c r="C655" s="674" t="inlineStr">
        <is>
          <t>DCPA</t>
        </is>
      </c>
      <c r="D655" s="674" t="inlineStr">
        <is>
          <t>420CT/SNRT/2026</t>
        </is>
      </c>
      <c r="E655" s="675" t="inlineStr">
        <is>
          <t>AOO-CT</t>
        </is>
      </c>
      <c r="F655" s="675" t="n">
        <v>1</v>
      </c>
      <c r="G655" s="676" t="inlineStr">
        <is>
          <t>Magasine d'investigation-45 min</t>
        </is>
      </c>
      <c r="H655" s="673" t="inlineStr">
        <is>
          <t>EN SIGNATURE</t>
        </is>
      </c>
      <c r="I655" s="675" t="inlineStr">
        <is>
          <t>EN SIGNATURE</t>
        </is>
      </c>
      <c r="J655" s="693" t="n"/>
      <c r="K655" s="673" t="inlineStr">
        <is>
          <t>GENERAL</t>
        </is>
      </c>
      <c r="L655" s="675" t="inlineStr">
        <is>
          <t>Ordinaire</t>
        </is>
      </c>
      <c r="M655" s="677" t="inlineStr">
        <is>
          <t>FONCTIONNEMENT</t>
        </is>
      </c>
      <c r="N655" s="678" t="inlineStr">
        <is>
          <t>Achats de productions et de programmes
Acquis définitive Programmes TV externes</t>
        </is>
      </c>
      <c r="O655" s="679" t="n"/>
      <c r="P655" s="680" t="n"/>
      <c r="Q655" s="680" t="n"/>
      <c r="R655" s="675" t="n"/>
      <c r="S655" s="681" t="n"/>
      <c r="T655" s="682" t="n"/>
      <c r="U655" s="683" t="inlineStr">
        <is>
          <t>CONNEXION MEDIA</t>
        </is>
      </c>
      <c r="V655" s="693" t="n"/>
      <c r="W655" s="682" t="n"/>
      <c r="X655" s="682" t="n"/>
      <c r="Y655" s="682" t="n"/>
      <c r="Z655" s="679" t="n"/>
      <c r="AA655" s="680" t="n"/>
      <c r="AB655" s="680" t="n"/>
      <c r="AC655" s="680" t="n"/>
      <c r="AD655" s="680" t="n">
        <v>5048959.96</v>
      </c>
      <c r="AE655" s="680">
        <f>AD655*1.2</f>
        <v/>
      </c>
      <c r="AF655" s="684" t="inlineStr">
        <is>
          <t>EN COURS D'ENGAGEMENT</t>
        </is>
      </c>
      <c r="AG655" s="683" t="n"/>
      <c r="AH655" s="680" t="n"/>
      <c r="AI655" s="680" t="n"/>
      <c r="AJ655" s="680" t="n"/>
      <c r="AK655" s="680" t="n"/>
      <c r="AL655" s="685" t="n"/>
      <c r="AM655" s="685" t="n"/>
      <c r="AN655" s="683" t="n"/>
    </row>
    <row r="656" ht="35.7" customHeight="1" s="392">
      <c r="A656" s="672">
        <f>IF(AF656="ENGAGE","✔",IF(AF656="EN COURS D'ENGAGEMENT","◕",IF(AF656="PREENGAGE","◑",IF(AF656="EN COURS DE PREENGAGEMENT","◔",IF(AF656="NON ENGAGE","✖","")))))</f>
        <v/>
      </c>
      <c r="B656" s="673" t="n">
        <v>2026</v>
      </c>
      <c r="C656" s="674" t="inlineStr">
        <is>
          <t>DCT</t>
        </is>
      </c>
      <c r="D656" s="674" t="inlineStr">
        <is>
          <t>26000071 CL</t>
        </is>
      </c>
      <c r="E656" s="675" t="inlineStr">
        <is>
          <t>BCL</t>
        </is>
      </c>
      <c r="F656" s="675" t="n">
        <v>1</v>
      </c>
      <c r="G656" s="676" t="inlineStr">
        <is>
          <t>La fourniture d'alimentations électriques des mélangeurs SONY MVS-300A pour les besoins de la SNRT</t>
        </is>
      </c>
      <c r="H656" s="673" t="inlineStr">
        <is>
          <t>VALIDE</t>
        </is>
      </c>
      <c r="I656" s="675" t="inlineStr">
        <is>
          <t>APPROUVE</t>
        </is>
      </c>
      <c r="J656" s="693" t="n"/>
      <c r="K656" s="673" t="inlineStr">
        <is>
          <t>GENERAL</t>
        </is>
      </c>
      <c r="L656" s="675" t="inlineStr">
        <is>
          <t>Ordinaire</t>
        </is>
      </c>
      <c r="M656" s="677" t="inlineStr">
        <is>
          <t>FONCTIONNEMENT</t>
        </is>
      </c>
      <c r="N656" s="678" t="inlineStr">
        <is>
          <t>Achats de matières et fournitures consommables</t>
        </is>
      </c>
      <c r="O656" s="679" t="n"/>
      <c r="P656" s="680" t="n"/>
      <c r="Q656" s="680" t="n"/>
      <c r="R656" s="675" t="n"/>
      <c r="S656" s="681" t="n"/>
      <c r="T656" s="682" t="n"/>
      <c r="U656" s="683" t="inlineStr">
        <is>
          <t>IBS DIGITAL MEDIA</t>
        </is>
      </c>
      <c r="V656" s="693" t="n"/>
      <c r="W656" s="682" t="n">
        <v>46246</v>
      </c>
      <c r="X656" s="682" t="n"/>
      <c r="Y656" s="682" t="n"/>
      <c r="Z656" s="679" t="n"/>
      <c r="AA656" s="680" t="n"/>
      <c r="AB656" s="680" t="n"/>
      <c r="AC656" s="680" t="n"/>
      <c r="AD656" s="680" t="n"/>
      <c r="AE656" s="680" t="n">
        <v>137160</v>
      </c>
      <c r="AF656" s="684" t="inlineStr">
        <is>
          <t>ENGAGE</t>
        </is>
      </c>
      <c r="AG656" s="683" t="n"/>
      <c r="AH656" s="680" t="n"/>
      <c r="AI656" s="680" t="n"/>
      <c r="AJ656" s="680" t="n"/>
      <c r="AK656" s="680" t="n"/>
      <c r="AL656" s="685" t="n"/>
      <c r="AM656" s="685" t="n"/>
      <c r="AN656" s="683" t="n"/>
    </row>
    <row r="657" ht="46.5" customHeight="1" s="392">
      <c r="A657" s="672">
        <f>IF(AF657="ENGAGE","✔",IF(AF657="EN COURS D'ENGAGEMENT","◕",IF(AF657="PREENGAGE","◑",IF(AF657="EN COURS DE PREENGAGEMENT","◔",IF(AF657="NON ENGAGE","✖","")))))</f>
        <v/>
      </c>
      <c r="B657" s="673" t="n">
        <v>2026</v>
      </c>
      <c r="C657" s="674" t="inlineStr">
        <is>
          <t>TDF -SITES</t>
        </is>
      </c>
      <c r="D657" s="674" t="inlineStr">
        <is>
          <t>26000072 CL</t>
        </is>
      </c>
      <c r="E657" s="675" t="inlineStr">
        <is>
          <t>BCL</t>
        </is>
      </c>
      <c r="F657" s="675" t="n">
        <v>1</v>
      </c>
      <c r="G657" s="676" t="inlineStr">
        <is>
          <t>Transfert des batteries depuis le site SNRT d'AIN CHOCK vers le site SNRT de Zaer</t>
        </is>
      </c>
      <c r="H657" s="673" t="inlineStr">
        <is>
          <t>VALIDE</t>
        </is>
      </c>
      <c r="I657" s="675" t="inlineStr">
        <is>
          <t>APPROUVE</t>
        </is>
      </c>
      <c r="J657" s="675" t="n"/>
      <c r="K657" s="673" t="inlineStr">
        <is>
          <t>GENERAL</t>
        </is>
      </c>
      <c r="L657" s="675" t="inlineStr">
        <is>
          <t>Ordinaire</t>
        </is>
      </c>
      <c r="M657" s="677" t="inlineStr">
        <is>
          <t>FONCTIONNEMENT</t>
        </is>
      </c>
      <c r="N657" s="678" t="inlineStr">
        <is>
          <t>Prestations de service
Achat prestations de services locales - sociétés</t>
        </is>
      </c>
      <c r="O657" s="679" t="n"/>
      <c r="P657" s="680" t="n"/>
      <c r="Q657" s="680" t="n"/>
      <c r="R657" s="675" t="n"/>
      <c r="S657" s="681" t="n"/>
      <c r="T657" s="682" t="n"/>
      <c r="U657" s="683" t="inlineStr">
        <is>
          <t>IT ENERGIE</t>
        </is>
      </c>
      <c r="V657" s="675" t="n"/>
      <c r="W657" s="682" t="n"/>
      <c r="X657" s="682" t="n"/>
      <c r="Y657" s="682" t="n">
        <v>46247</v>
      </c>
      <c r="Z657" s="679" t="n"/>
      <c r="AA657" s="680" t="n"/>
      <c r="AB657" s="680" t="n"/>
      <c r="AC657" s="680" t="n"/>
      <c r="AD657" s="680" t="n">
        <v>21200</v>
      </c>
      <c r="AE657" s="680" t="n">
        <v>25440</v>
      </c>
      <c r="AF657" s="684" t="inlineStr">
        <is>
          <t>ENGAGE</t>
        </is>
      </c>
      <c r="AG657" s="683" t="n"/>
      <c r="AH657" s="680" t="n"/>
      <c r="AI657" s="680" t="n"/>
      <c r="AJ657" s="680" t="n"/>
      <c r="AK657" s="680" t="n"/>
      <c r="AL657" s="685" t="n"/>
      <c r="AM657" s="685" t="n"/>
      <c r="AN657" s="683" t="n"/>
    </row>
    <row r="658" ht="32" customHeight="1" s="392">
      <c r="A658" s="672">
        <f>IF(AF658="ENGAGE","✔",IF(AF658="EN COURS D'ENGAGEMENT","◕",IF(AF658="PREENGAGE","◑",IF(AF658="EN COURS DE PREENGAGEMENT","◔",IF(AF658="NON ENGAGE","✖","")))))</f>
        <v/>
      </c>
      <c r="B658" s="673" t="n">
        <v>2026</v>
      </c>
      <c r="C658" s="674" t="inlineStr">
        <is>
          <t>DRPSD</t>
        </is>
      </c>
      <c r="D658" s="674" t="inlineStr">
        <is>
          <t>403CT/SNRT2026</t>
        </is>
      </c>
      <c r="E658" s="675" t="inlineStr">
        <is>
          <t>CONTRAT</t>
        </is>
      </c>
      <c r="F658" s="675" t="n">
        <v>1</v>
      </c>
      <c r="G658" s="676" t="inlineStr">
        <is>
          <t>VOD FORJA</t>
        </is>
      </c>
      <c r="H658" s="673" t="inlineStr">
        <is>
          <t>VALIDE</t>
        </is>
      </c>
      <c r="I658" s="675" t="inlineStr">
        <is>
          <t>APPROUVE</t>
        </is>
      </c>
      <c r="J658" s="675" t="n"/>
      <c r="K658" s="673" t="inlineStr">
        <is>
          <t>GENERAL</t>
        </is>
      </c>
      <c r="L658" s="675" t="inlineStr">
        <is>
          <t>Ordinaire</t>
        </is>
      </c>
      <c r="M658" s="677" t="inlineStr">
        <is>
          <t>FONCTIONNEMENT</t>
        </is>
      </c>
      <c r="N658" s="678" t="inlineStr">
        <is>
          <t>Redevances et cotisations</t>
        </is>
      </c>
      <c r="O658" s="679" t="n"/>
      <c r="P658" s="680" t="n"/>
      <c r="Q658" s="680" t="n"/>
      <c r="R658" s="675" t="n"/>
      <c r="S658" s="681" t="n"/>
      <c r="T658" s="682" t="n"/>
      <c r="U658" s="683" t="inlineStr">
        <is>
          <t>EASY BROADCAST</t>
        </is>
      </c>
      <c r="V658" s="675" t="n"/>
      <c r="W658" s="682" t="n"/>
      <c r="X658" s="682" t="n"/>
      <c r="Y658" s="682" t="n"/>
      <c r="Z658" s="679" t="n"/>
      <c r="AA658" s="680" t="n"/>
      <c r="AB658" s="680" t="n"/>
      <c r="AC658" s="680" t="n"/>
      <c r="AD658" s="680" t="n"/>
      <c r="AE658" s="680" t="n">
        <v>5675853.26</v>
      </c>
      <c r="AF658" s="684" t="inlineStr">
        <is>
          <t>ENGAGE</t>
        </is>
      </c>
      <c r="AG658" s="683" t="n"/>
      <c r="AH658" s="680" t="n"/>
      <c r="AI658" s="680" t="n"/>
      <c r="AJ658" s="680" t="n"/>
      <c r="AK658" s="680" t="n"/>
      <c r="AL658" s="685" t="n"/>
      <c r="AM658" s="685" t="n"/>
      <c r="AN658" s="705" t="n"/>
      <c r="AO658" s="700" t="n"/>
      <c r="AP658" s="701" t="n"/>
      <c r="AQ658" s="702" t="n"/>
      <c r="AR658" s="702" t="n"/>
      <c r="AS658" s="703" t="n"/>
      <c r="AT658" s="704" t="n"/>
    </row>
    <row r="659" ht="35.7" customHeight="1" s="392">
      <c r="A659" s="672">
        <f>IF(AF659="ENGAGE","✔",IF(AF659="EN COURS D'ENGAGEMENT","◕",IF(AF659="PREENGAGE","◑",IF(AF659="EN COURS DE PREENGAGEMENT","◔",IF(AF659="NON ENGAGE","✖","")))))</f>
        <v/>
      </c>
      <c r="B659" s="673" t="n">
        <v>2026</v>
      </c>
      <c r="C659" s="674" t="inlineStr">
        <is>
          <t>RSSI</t>
        </is>
      </c>
      <c r="D659" s="674" t="inlineStr">
        <is>
          <t>68AOM/SNRT/2026</t>
        </is>
      </c>
      <c r="E659" s="675" t="inlineStr">
        <is>
          <t>AOO-M</t>
        </is>
      </c>
      <c r="F659" s="675" t="n">
        <v>1</v>
      </c>
      <c r="G659" s="676" t="inlineStr">
        <is>
          <t>Réalisation des prestationsd'Audit de sécurité des systèmes d'information de la SNRT relevant de la "Classe A"</t>
        </is>
      </c>
      <c r="H659" s="673" t="inlineStr">
        <is>
          <t>VALIDE</t>
        </is>
      </c>
      <c r="I659" s="675" t="inlineStr">
        <is>
          <t>PHASE AOO</t>
        </is>
      </c>
      <c r="J659" s="675" t="n"/>
      <c r="K659" s="673" t="inlineStr">
        <is>
          <t>GENERAL</t>
        </is>
      </c>
      <c r="L659" s="675" t="inlineStr">
        <is>
          <t>Ordinaire</t>
        </is>
      </c>
      <c r="M659" s="677" t="inlineStr">
        <is>
          <t>FONCTIONNEMENT</t>
        </is>
      </c>
      <c r="N659" s="678" t="inlineStr">
        <is>
          <t>Honoraires et rémunération du personnel occasionnel</t>
        </is>
      </c>
      <c r="O659" s="679">
        <f>P659*1.2</f>
        <v/>
      </c>
      <c r="P659" s="680" t="n">
        <v>336316.8</v>
      </c>
      <c r="Q659" s="680" t="n"/>
      <c r="R659" s="675" t="n"/>
      <c r="S659" s="681" t="n"/>
      <c r="T659" s="682" t="n"/>
      <c r="U659" s="683" t="n"/>
      <c r="V659" s="675" t="n"/>
      <c r="W659" s="682" t="n"/>
      <c r="X659" s="682" t="n"/>
      <c r="Y659" s="682" t="n"/>
      <c r="Z659" s="679" t="n"/>
      <c r="AA659" s="680" t="n"/>
      <c r="AB659" s="680" t="n"/>
      <c r="AC659" s="680" t="n"/>
      <c r="AD659" s="680" t="n"/>
      <c r="AE659" s="680" t="n"/>
      <c r="AF659" s="684" t="inlineStr">
        <is>
          <t>PREENGAGE</t>
        </is>
      </c>
      <c r="AG659" s="683" t="n"/>
      <c r="AH659" s="680" t="n"/>
      <c r="AI659" s="680" t="n"/>
      <c r="AJ659" s="680" t="n"/>
      <c r="AK659" s="680" t="n"/>
      <c r="AL659" s="685" t="n"/>
      <c r="AM659" s="685" t="n"/>
      <c r="AN659" s="705" t="n"/>
      <c r="AO659" s="700" t="n"/>
      <c r="AP659" s="701" t="n"/>
      <c r="AQ659" s="702" t="n"/>
      <c r="AR659" s="702" t="n"/>
      <c r="AS659" s="703" t="n"/>
      <c r="AT659" s="704" t="n"/>
    </row>
    <row r="660" ht="50.55" customHeight="1" s="392">
      <c r="A660" s="672">
        <f>IF(AF660="ENGAGE","✔",IF(AF660="EN COURS D'ENGAGEMENT","◕",IF(AF660="PREENGAGE","◑",IF(AF660="EN COURS DE PREENGAGEMENT","◔",IF(AF660="NON ENGAGE","✖","")))))</f>
        <v/>
      </c>
      <c r="B660" s="673" t="n">
        <v>2026</v>
      </c>
      <c r="C660" s="674" t="inlineStr">
        <is>
          <t>RSSI</t>
        </is>
      </c>
      <c r="D660" s="674" t="inlineStr">
        <is>
          <t>68AOM/SNRT/2026</t>
        </is>
      </c>
      <c r="E660" s="675" t="inlineStr">
        <is>
          <t>AOO-M</t>
        </is>
      </c>
      <c r="F660" s="675" t="n">
        <v>2</v>
      </c>
      <c r="G660" s="676" t="inlineStr">
        <is>
          <t>Réalisation des prestationsd'Audit de sécurité des systèmes d'information de la SNRT relevant de la "Classe B""Classe C""Classe D"</t>
        </is>
      </c>
      <c r="H660" s="673" t="inlineStr">
        <is>
          <t>VALIDE</t>
        </is>
      </c>
      <c r="I660" s="675" t="inlineStr">
        <is>
          <t>PHASE AOO</t>
        </is>
      </c>
      <c r="J660" s="675" t="n"/>
      <c r="K660" s="673" t="inlineStr">
        <is>
          <t>GENERAL</t>
        </is>
      </c>
      <c r="L660" s="675" t="inlineStr">
        <is>
          <t>Ordinaire</t>
        </is>
      </c>
      <c r="M660" s="677" t="inlineStr">
        <is>
          <t>FONCTIONNEMENT</t>
        </is>
      </c>
      <c r="N660" s="678" t="inlineStr">
        <is>
          <t>Honoraires et rémunération du personnel occasionnel</t>
        </is>
      </c>
      <c r="O660" s="679">
        <f>P660*1.2</f>
        <v/>
      </c>
      <c r="P660" s="680" t="n">
        <v>380736</v>
      </c>
      <c r="Q660" s="680" t="n"/>
      <c r="R660" s="675" t="n"/>
      <c r="S660" s="681" t="n"/>
      <c r="T660" s="682" t="n"/>
      <c r="U660" s="683" t="n"/>
      <c r="V660" s="675" t="n"/>
      <c r="W660" s="682" t="n"/>
      <c r="X660" s="682" t="n"/>
      <c r="Y660" s="682" t="n"/>
      <c r="Z660" s="679" t="n"/>
      <c r="AA660" s="680" t="n"/>
      <c r="AB660" s="680" t="n"/>
      <c r="AC660" s="680" t="n"/>
      <c r="AD660" s="680" t="n"/>
      <c r="AE660" s="680" t="n"/>
      <c r="AF660" s="684" t="inlineStr">
        <is>
          <t>PREENGAGE</t>
        </is>
      </c>
      <c r="AG660" s="683" t="n"/>
      <c r="AH660" s="680" t="n"/>
      <c r="AI660" s="680" t="n"/>
      <c r="AJ660" s="680" t="n"/>
      <c r="AK660" s="680" t="n"/>
      <c r="AL660" s="685" t="n"/>
      <c r="AM660" s="685" t="n"/>
      <c r="AN660" s="705" t="n"/>
      <c r="AO660" s="700" t="n"/>
      <c r="AP660" s="701" t="n"/>
      <c r="AQ660" s="702" t="n"/>
      <c r="AR660" s="702" t="n"/>
      <c r="AS660" s="703" t="n"/>
      <c r="AT660" s="704" t="n"/>
    </row>
    <row r="661" ht="35.7" customHeight="1" s="392">
      <c r="A661" s="672">
        <f>IF(AF661="ENGAGE","✔",IF(AF661="EN COURS D'ENGAGEMENT","◕",IF(AF661="PREENGAGE","◑",IF(AF661="EN COURS DE PREENGAGEMENT","◔",IF(AF661="NON ENGAGE","✖","")))))</f>
        <v/>
      </c>
      <c r="B661" s="673" t="n">
        <v>2026</v>
      </c>
      <c r="C661" s="674" t="inlineStr">
        <is>
          <t>DPMG</t>
        </is>
      </c>
      <c r="D661" s="674" t="inlineStr">
        <is>
          <t>AOM/SNRT/2026</t>
        </is>
      </c>
      <c r="E661" s="675" t="inlineStr">
        <is>
          <t>AOO-M</t>
        </is>
      </c>
      <c r="F661" s="675" t="n">
        <v>1</v>
      </c>
      <c r="G661" s="676" t="inlineStr">
        <is>
          <t>Travaux d'aménagement et sécurisation des salles serveurs des Stations régioanles Radio de la SNRT : Lot 1:Amenagement</t>
        </is>
      </c>
      <c r="H661" s="673" t="inlineStr">
        <is>
          <t>EN SIGNATURE</t>
        </is>
      </c>
      <c r="I661" s="675" t="inlineStr">
        <is>
          <t>EN SIGNATURE</t>
        </is>
      </c>
      <c r="J661" s="675" t="n"/>
      <c r="K661" s="673" t="inlineStr">
        <is>
          <t>GENERAL</t>
        </is>
      </c>
      <c r="L661" s="675" t="inlineStr">
        <is>
          <t>Ordinaire</t>
        </is>
      </c>
      <c r="M661" s="677" t="inlineStr">
        <is>
          <t>INVESTISSEMENT</t>
        </is>
      </c>
      <c r="N661" s="678" t="inlineStr">
        <is>
          <t>Agencements et aménagement constructions</t>
        </is>
      </c>
      <c r="O661" s="679">
        <f>P661*1.2</f>
        <v/>
      </c>
      <c r="P661" s="680" t="n">
        <v>810420</v>
      </c>
      <c r="Q661" s="680" t="n"/>
      <c r="R661" s="675" t="n"/>
      <c r="S661" s="681" t="n"/>
      <c r="T661" s="682" t="n"/>
      <c r="U661" s="683" t="n"/>
      <c r="V661" s="675" t="n"/>
      <c r="W661" s="682" t="n"/>
      <c r="X661" s="682" t="n"/>
      <c r="Y661" s="682" t="n"/>
      <c r="Z661" s="679" t="n"/>
      <c r="AA661" s="680" t="n"/>
      <c r="AB661" s="680" t="n"/>
      <c r="AC661" s="680" t="n"/>
      <c r="AD661" s="680" t="n"/>
      <c r="AE661" s="680" t="n"/>
      <c r="AF661" s="684" t="inlineStr">
        <is>
          <t>EN COURS DE PREENGAGEMENT</t>
        </is>
      </c>
      <c r="AG661" s="683" t="n"/>
      <c r="AH661" s="680" t="n"/>
      <c r="AI661" s="680" t="n"/>
      <c r="AJ661" s="680" t="n"/>
      <c r="AK661" s="680" t="n"/>
      <c r="AL661" s="685" t="n"/>
      <c r="AM661" s="685" t="n"/>
      <c r="AN661" s="705" t="n"/>
      <c r="AO661" s="700" t="n"/>
      <c r="AP661" s="701" t="n"/>
      <c r="AQ661" s="702" t="n"/>
      <c r="AR661" s="702" t="n"/>
      <c r="AS661" s="703" t="n"/>
      <c r="AT661" s="704" t="n"/>
    </row>
    <row r="662" ht="50.55" customHeight="1" s="392">
      <c r="A662" s="672">
        <f>IF(AF662="ENGAGE","✔",IF(AF662="EN COURS D'ENGAGEMENT","◕",IF(AF662="PREENGAGE","◑",IF(AF662="EN COURS DE PREENGAGEMENT","◔",IF(AF662="NON ENGAGE","✖","")))))</f>
        <v/>
      </c>
      <c r="B662" s="673" t="n">
        <v>2026</v>
      </c>
      <c r="C662" s="674" t="inlineStr">
        <is>
          <t>DPMG</t>
        </is>
      </c>
      <c r="D662" s="674" t="inlineStr">
        <is>
          <t>AOM/SNRT/2026</t>
        </is>
      </c>
      <c r="E662" s="675" t="inlineStr">
        <is>
          <t>AOO-M</t>
        </is>
      </c>
      <c r="F662" s="675" t="n">
        <v>2</v>
      </c>
      <c r="G662" s="676" t="inlineStr">
        <is>
          <t>Travaux d'aménagement et sécurisation des salles serveurs des Stations régioanles Radio de la SNRT : Lot 2:Systèmes de Securité</t>
        </is>
      </c>
      <c r="H662" s="673" t="inlineStr">
        <is>
          <t>EN SIGNATURE</t>
        </is>
      </c>
      <c r="I662" s="675" t="inlineStr">
        <is>
          <t>EN SIGNATURE</t>
        </is>
      </c>
      <c r="J662" s="675" t="n"/>
      <c r="K662" s="673" t="inlineStr">
        <is>
          <t>GENERAL</t>
        </is>
      </c>
      <c r="L662" s="675" t="inlineStr">
        <is>
          <t>Ordinaire</t>
        </is>
      </c>
      <c r="M662" s="677" t="inlineStr">
        <is>
          <t>INVESTISSEMENT</t>
        </is>
      </c>
      <c r="N662" s="678" t="inlineStr">
        <is>
          <t>Agencements et aménagement constructions</t>
        </is>
      </c>
      <c r="O662" s="679">
        <f>P662*1.2</f>
        <v/>
      </c>
      <c r="P662" s="680" t="n">
        <v>577200</v>
      </c>
      <c r="Q662" s="680" t="n"/>
      <c r="R662" s="675" t="n"/>
      <c r="S662" s="681" t="n"/>
      <c r="T662" s="682" t="n"/>
      <c r="U662" s="683" t="n"/>
      <c r="V662" s="675" t="n"/>
      <c r="W662" s="682" t="n"/>
      <c r="X662" s="682" t="n"/>
      <c r="Y662" s="682" t="n"/>
      <c r="Z662" s="679" t="n"/>
      <c r="AA662" s="680" t="n"/>
      <c r="AB662" s="680" t="n"/>
      <c r="AC662" s="680" t="n"/>
      <c r="AD662" s="680" t="n"/>
      <c r="AE662" s="680" t="n"/>
      <c r="AF662" s="684" t="inlineStr">
        <is>
          <t>EN COURS DE PREENGAGEMENT</t>
        </is>
      </c>
      <c r="AG662" s="683" t="n"/>
      <c r="AH662" s="680" t="n"/>
      <c r="AI662" s="680" t="n"/>
      <c r="AJ662" s="680" t="n"/>
      <c r="AK662" s="680" t="n"/>
      <c r="AL662" s="685" t="n"/>
      <c r="AM662" s="685" t="n"/>
      <c r="AN662" s="705" t="n"/>
      <c r="AO662" s="700" t="n"/>
      <c r="AP662" s="701" t="n"/>
      <c r="AQ662" s="702" t="n"/>
      <c r="AR662" s="702" t="n"/>
      <c r="AS662" s="703" t="n"/>
      <c r="AT662" s="704" t="n"/>
    </row>
    <row r="663" ht="33" customHeight="1" s="392">
      <c r="A663" s="672">
        <f>IF(AF663="ENGAGE","✔",IF(AF663="EN COURS D'ENGAGEMENT","◕",IF(AF663="PREENGAGE","◑",IF(AF663="EN COURS DE PREENGAGEMENT","◔",IF(AF663="NON ENGAGE","✖","")))))</f>
        <v/>
      </c>
      <c r="B663" s="673" t="n">
        <v>2026</v>
      </c>
      <c r="C663" s="674" t="inlineStr">
        <is>
          <t>DPMG</t>
        </is>
      </c>
      <c r="D663" s="674" t="inlineStr">
        <is>
          <t>26000076 CL</t>
        </is>
      </c>
      <c r="E663" s="675" t="inlineStr">
        <is>
          <t>BCL</t>
        </is>
      </c>
      <c r="F663" s="675" t="n">
        <v>1</v>
      </c>
      <c r="G663" s="676" t="inlineStr">
        <is>
          <t>Achat de fournitures pour les climatiseurs</t>
        </is>
      </c>
      <c r="H663" s="673" t="inlineStr">
        <is>
          <t>EN SIGNATURE</t>
        </is>
      </c>
      <c r="I663" s="675" t="inlineStr">
        <is>
          <t>EN SIGNATURE</t>
        </is>
      </c>
      <c r="J663" s="675" t="n"/>
      <c r="K663" s="673" t="inlineStr">
        <is>
          <t>GENERAL</t>
        </is>
      </c>
      <c r="L663" s="675" t="inlineStr">
        <is>
          <t>Ordinaire</t>
        </is>
      </c>
      <c r="M663" s="677" t="inlineStr">
        <is>
          <t>FONCTIONNEMENT</t>
        </is>
      </c>
      <c r="N663" s="678" t="inlineStr">
        <is>
          <t xml:space="preserve">Achats non stockés de matières et fournitures </t>
        </is>
      </c>
      <c r="O663" s="679" t="n"/>
      <c r="P663" s="680" t="n"/>
      <c r="Q663" s="680" t="n"/>
      <c r="R663" s="675" t="n"/>
      <c r="S663" s="681" t="n"/>
      <c r="T663" s="682" t="n"/>
      <c r="U663" s="683" t="inlineStr">
        <is>
          <t>OUAHAD ELEC</t>
        </is>
      </c>
      <c r="V663" s="675" t="n"/>
      <c r="W663" s="682" t="n">
        <v>46261</v>
      </c>
      <c r="X663" s="682" t="n"/>
      <c r="Y663" s="682" t="n"/>
      <c r="Z663" s="679" t="n"/>
      <c r="AA663" s="680" t="n"/>
      <c r="AB663" s="680" t="n"/>
      <c r="AC663" s="680" t="n"/>
      <c r="AD663" s="680" t="n">
        <v>175500</v>
      </c>
      <c r="AE663" s="680" t="n">
        <v>210600</v>
      </c>
      <c r="AF663" s="684" t="inlineStr">
        <is>
          <t>ENGAGE</t>
        </is>
      </c>
      <c r="AG663" s="683" t="n"/>
      <c r="AH663" s="680" t="n"/>
      <c r="AI663" s="680" t="n"/>
      <c r="AJ663" s="680" t="n"/>
      <c r="AK663" s="680" t="n"/>
      <c r="AL663" s="685" t="n"/>
      <c r="AM663" s="685" t="n"/>
      <c r="AN663" s="705" t="n"/>
      <c r="AO663" s="700" t="n"/>
      <c r="AP663" s="701" t="n"/>
      <c r="AQ663" s="702" t="n"/>
      <c r="AR663" s="702" t="n"/>
      <c r="AS663" s="703" t="n"/>
      <c r="AT663" s="704" t="n"/>
    </row>
    <row r="664" ht="35.7" customHeight="1" s="392">
      <c r="A664" s="672">
        <f>IF(AF664="ENGAGE","✔",IF(AF664="EN COURS D'ENGAGEMENT","◕",IF(AF664="PREENGAGE","◑",IF(AF664="EN COURS DE PREENGAGEMENT","◔",IF(AF664="NON ENGAGE","✖","")))))</f>
        <v/>
      </c>
      <c r="B664" s="673" t="n">
        <v>2026</v>
      </c>
      <c r="C664" s="674" t="inlineStr">
        <is>
          <t>DPMG</t>
        </is>
      </c>
      <c r="D664" s="674" t="inlineStr">
        <is>
          <t>26000075 CL</t>
        </is>
      </c>
      <c r="E664" s="675" t="inlineStr">
        <is>
          <t>BCL</t>
        </is>
      </c>
      <c r="F664" s="675" t="n">
        <v>1</v>
      </c>
      <c r="G664" s="676" t="inlineStr">
        <is>
          <t>La mise à niveau des blocs sanitaires au siège de la SNRT à Rabat</t>
        </is>
      </c>
      <c r="H664" s="673" t="inlineStr">
        <is>
          <t>VALIDE</t>
        </is>
      </c>
      <c r="I664" s="675" t="inlineStr">
        <is>
          <t>APPROUVE</t>
        </is>
      </c>
      <c r="J664" s="675" t="n"/>
      <c r="K664" s="673" t="inlineStr">
        <is>
          <t>GENERAL</t>
        </is>
      </c>
      <c r="L664" s="675" t="inlineStr">
        <is>
          <t>Ordinaire</t>
        </is>
      </c>
      <c r="M664" s="677" t="inlineStr">
        <is>
          <t>INVESTISSEMENT</t>
        </is>
      </c>
      <c r="N664" s="678" t="inlineStr">
        <is>
          <t>Agencements et aménagement constructions</t>
        </is>
      </c>
      <c r="O664" s="679" t="n"/>
      <c r="P664" s="680" t="n"/>
      <c r="Q664" s="680" t="n"/>
      <c r="R664" s="675" t="n"/>
      <c r="S664" s="681" t="n"/>
      <c r="T664" s="682" t="n"/>
      <c r="U664" s="683" t="inlineStr">
        <is>
          <t>BATI VERT</t>
        </is>
      </c>
      <c r="V664" s="675" t="n"/>
      <c r="W664" s="682" t="n">
        <v>46261</v>
      </c>
      <c r="X664" s="682" t="n"/>
      <c r="Y664" s="682" t="n"/>
      <c r="Z664" s="679" t="n"/>
      <c r="AA664" s="680" t="n"/>
      <c r="AB664" s="680" t="n"/>
      <c r="AC664" s="680" t="n"/>
      <c r="AD664" s="680" t="n">
        <v>82760</v>
      </c>
      <c r="AE664" s="680" t="n">
        <v>99312</v>
      </c>
      <c r="AF664" s="684" t="inlineStr">
        <is>
          <t>ENGAGE</t>
        </is>
      </c>
      <c r="AG664" s="683" t="n"/>
      <c r="AH664" s="680" t="n"/>
      <c r="AI664" s="680" t="n"/>
      <c r="AJ664" s="680" t="n"/>
      <c r="AK664" s="680" t="n"/>
      <c r="AL664" s="685" t="n"/>
      <c r="AM664" s="685" t="n"/>
      <c r="AN664" s="705" t="n"/>
      <c r="AO664" s="700" t="n"/>
      <c r="AP664" s="701" t="n"/>
      <c r="AQ664" s="702" t="n"/>
      <c r="AR664" s="702" t="n"/>
      <c r="AS664" s="703" t="n"/>
      <c r="AT664" s="704" t="n"/>
    </row>
    <row r="665" ht="35.7" customHeight="1" s="392">
      <c r="A665" s="672">
        <f>IF(AF665="ENGAGE","✔",IF(AF665="EN COURS D'ENGAGEMENT","◕",IF(AF665="PREENGAGE","◑",IF(AF665="EN COURS DE PREENGAGEMENT","◔",IF(AF665="NON ENGAGE","✖","")))))</f>
        <v/>
      </c>
      <c r="B665" s="673" t="n">
        <v>2026</v>
      </c>
      <c r="C665" s="674" t="inlineStr">
        <is>
          <t>DPMG</t>
        </is>
      </c>
      <c r="D665" s="674" t="inlineStr">
        <is>
          <t>26000082 CL</t>
        </is>
      </c>
      <c r="E665" s="675" t="inlineStr">
        <is>
          <t>BCL</t>
        </is>
      </c>
      <c r="F665" s="675" t="n">
        <v>1</v>
      </c>
      <c r="G665" s="676" t="inlineStr">
        <is>
          <t>Aménagement de la salle serveur de la station radio régionale Meknes : Aménagement - électricité -  climatisation</t>
        </is>
      </c>
      <c r="H665" s="673" t="inlineStr">
        <is>
          <t>EN SIGNATURE</t>
        </is>
      </c>
      <c r="I665" s="675" t="inlineStr">
        <is>
          <t>EN SIGNATURE</t>
        </is>
      </c>
      <c r="J665" s="675" t="n"/>
      <c r="K665" s="673" t="inlineStr">
        <is>
          <t>GENERAL</t>
        </is>
      </c>
      <c r="L665" s="675" t="inlineStr">
        <is>
          <t>Ordinaire</t>
        </is>
      </c>
      <c r="M665" s="677" t="inlineStr">
        <is>
          <t>INVESTISSEMENT</t>
        </is>
      </c>
      <c r="N665" s="678" t="inlineStr">
        <is>
          <t>Agencements et aménagement constructions</t>
        </is>
      </c>
      <c r="O665" s="679" t="n"/>
      <c r="P665" s="680" t="n"/>
      <c r="Q665" s="680" t="n"/>
      <c r="R665" s="675" t="n"/>
      <c r="S665" s="681" t="n"/>
      <c r="T665" s="682" t="n"/>
      <c r="U665" s="683" t="inlineStr">
        <is>
          <t>Ouhad ELEC</t>
        </is>
      </c>
      <c r="V665" s="675" t="n"/>
      <c r="W665" s="682" t="n">
        <v>46261</v>
      </c>
      <c r="X665" s="682" t="n"/>
      <c r="Y665" s="682" t="n"/>
      <c r="Z665" s="679" t="n"/>
      <c r="AA665" s="680" t="n"/>
      <c r="AB665" s="680" t="n"/>
      <c r="AC665" s="680" t="n"/>
      <c r="AD665" s="680">
        <f>AE665/1.2</f>
        <v/>
      </c>
      <c r="AE665" s="680" t="n">
        <v>160000.8</v>
      </c>
      <c r="AF665" s="684" t="inlineStr">
        <is>
          <t>EN COURS D'ENGAGEMENT</t>
        </is>
      </c>
      <c r="AG665" s="683" t="n"/>
      <c r="AH665" s="680" t="n"/>
      <c r="AI665" s="680" t="n"/>
      <c r="AJ665" s="680" t="n"/>
      <c r="AK665" s="680" t="n"/>
      <c r="AL665" s="685" t="n"/>
      <c r="AM665" s="685" t="n"/>
      <c r="AN665" s="705" t="n"/>
      <c r="AO665" s="700" t="n"/>
      <c r="AP665" s="701" t="n"/>
      <c r="AQ665" s="702" t="n"/>
      <c r="AR665" s="702" t="n"/>
      <c r="AS665" s="703" t="n"/>
      <c r="AT665" s="704" t="n"/>
    </row>
    <row r="666" ht="65.40000000000001" customHeight="1" s="392">
      <c r="A666" s="672">
        <f>IF(AF666="ENGAGE","✔",IF(AF666="EN COURS D'ENGAGEMENT","◕",IF(AF666="PREENGAGE","◑",IF(AF666="EN COURS DE PREENGAGEMENT","◔",IF(AF666="NON ENGAGE","✖","")))))</f>
        <v/>
      </c>
      <c r="B666" s="673" t="n">
        <v>2026</v>
      </c>
      <c r="C666" s="674" t="inlineStr">
        <is>
          <t>TDF -SITES</t>
        </is>
      </c>
      <c r="D666" s="674" t="inlineStr">
        <is>
          <t>71AOM/SNRT/2026</t>
        </is>
      </c>
      <c r="E666" s="675" t="inlineStr">
        <is>
          <t>AOO-M</t>
        </is>
      </c>
      <c r="F666" s="675" t="n">
        <v>1</v>
      </c>
      <c r="G666" s="676" t="inlineStr">
        <is>
          <t>Fourniture installation et mise en service de deux onduleurs de puissance 200 KVA chacun de type modulaire y compris des systèmes de climatisation associés aux sites SNRT d'Oukaimden (P,EL HAOUZ) et de BOUKOUALI(P,TAOURIRT)</t>
        </is>
      </c>
      <c r="H666" s="673" t="inlineStr">
        <is>
          <t>VALIDE</t>
        </is>
      </c>
      <c r="I666" s="675" t="inlineStr">
        <is>
          <t>PHASE AOO</t>
        </is>
      </c>
      <c r="J666" s="675" t="n"/>
      <c r="K666" s="673" t="inlineStr">
        <is>
          <t>GENERAL</t>
        </is>
      </c>
      <c r="L666" s="675" t="inlineStr">
        <is>
          <t>Ordinaire</t>
        </is>
      </c>
      <c r="M666" s="677" t="inlineStr">
        <is>
          <t>INVESTISSEMENT</t>
        </is>
      </c>
      <c r="N666" s="678" t="inlineStr">
        <is>
          <t>Equipements de télédiffusion</t>
        </is>
      </c>
      <c r="O666" s="679">
        <f>P666*1.2</f>
        <v/>
      </c>
      <c r="P666" s="680" t="n">
        <v>3610800</v>
      </c>
      <c r="Q666" s="680" t="n"/>
      <c r="R666" s="675" t="n"/>
      <c r="S666" s="681" t="n"/>
      <c r="T666" s="682" t="n"/>
      <c r="U666" s="683" t="n"/>
      <c r="V666" s="675" t="n"/>
      <c r="W666" s="682" t="n">
        <v>46262</v>
      </c>
      <c r="X666" s="682" t="n"/>
      <c r="Y666" s="682" t="n"/>
      <c r="Z666" s="679" t="n"/>
      <c r="AA666" s="680" t="n"/>
      <c r="AB666" s="680" t="n"/>
      <c r="AC666" s="680" t="n"/>
      <c r="AD666" s="680" t="n"/>
      <c r="AE666" s="680" t="n"/>
      <c r="AF666" s="684" t="inlineStr">
        <is>
          <t>PREENGAGE</t>
        </is>
      </c>
      <c r="AG666" s="683" t="n"/>
      <c r="AH666" s="680" t="n"/>
      <c r="AI666" s="680" t="n"/>
      <c r="AJ666" s="680" t="n"/>
      <c r="AK666" s="680" t="n"/>
      <c r="AL666" s="685" t="n"/>
      <c r="AM666" s="685" t="n"/>
      <c r="AN666" s="705" t="n"/>
      <c r="AO666" s="700" t="n"/>
      <c r="AP666" s="701" t="n"/>
      <c r="AQ666" s="702" t="n"/>
      <c r="AR666" s="702" t="n"/>
      <c r="AS666" s="703" t="n"/>
      <c r="AT666" s="704" t="n"/>
    </row>
    <row r="667" ht="35.7" customHeight="1" s="392">
      <c r="A667" s="672">
        <f>IF(AF667="ENGAGE","✔",IF(AF667="EN COURS D'ENGAGEMENT","◕",IF(AF667="PREENGAGE","◑",IF(AF667="EN COURS DE PREENGAGEMENT","◔",IF(AF667="NON ENGAGE","✖","")))))</f>
        <v/>
      </c>
      <c r="B667" s="673" t="n">
        <v>2026</v>
      </c>
      <c r="C667" s="674" t="inlineStr">
        <is>
          <t>ARRIYADIA</t>
        </is>
      </c>
      <c r="D667" s="674" t="inlineStr">
        <is>
          <t>26000618 CT</t>
        </is>
      </c>
      <c r="E667" s="675" t="inlineStr">
        <is>
          <t>CONTRAT</t>
        </is>
      </c>
      <c r="F667" s="675" t="n">
        <v>1</v>
      </c>
      <c r="G667" s="676" t="inlineStr">
        <is>
          <t>Achat droits d'un documentaire des jeux méditéranneens</t>
        </is>
      </c>
      <c r="H667" s="673" t="inlineStr">
        <is>
          <t>EN SIGNATURE</t>
        </is>
      </c>
      <c r="I667" s="675" t="inlineStr">
        <is>
          <t>EN SIGNATURE</t>
        </is>
      </c>
      <c r="J667" s="675" t="n"/>
      <c r="K667" s="673" t="inlineStr">
        <is>
          <t>GENERAL</t>
        </is>
      </c>
      <c r="L667" s="675" t="inlineStr">
        <is>
          <t>Ordinaire</t>
        </is>
      </c>
      <c r="M667" s="677" t="inlineStr">
        <is>
          <t>FONCTIONNEMENT</t>
        </is>
      </c>
      <c r="N667" s="678" t="inlineStr">
        <is>
          <t>Achats de droits
Achats de droit de sport</t>
        </is>
      </c>
      <c r="O667" s="679" t="n"/>
      <c r="P667" s="680" t="n"/>
      <c r="Q667" s="680" t="n"/>
      <c r="R667" s="675" t="n"/>
      <c r="S667" s="681" t="n"/>
      <c r="T667" s="682" t="n"/>
      <c r="U667" s="683" t="inlineStr">
        <is>
          <t>MEDIA SPORTS MANAGEMENT FE LLC</t>
        </is>
      </c>
      <c r="V667" s="675" t="n"/>
      <c r="W667" s="682" t="n">
        <v>46262</v>
      </c>
      <c r="X667" s="682" t="n"/>
      <c r="Y667" s="682" t="n"/>
      <c r="Z667" s="679" t="n"/>
      <c r="AA667" s="680" t="n"/>
      <c r="AB667" s="680" t="n"/>
      <c r="AC667" s="680" t="inlineStr">
        <is>
          <t>1800 DOL</t>
        </is>
      </c>
      <c r="AD667" s="680" t="n"/>
      <c r="AE667" s="680" t="n">
        <v>16653.24</v>
      </c>
      <c r="AF667" s="684" t="inlineStr">
        <is>
          <t>EN COURS D'ENGAGEMENT</t>
        </is>
      </c>
      <c r="AG667" s="683" t="n"/>
      <c r="AH667" s="680" t="n"/>
      <c r="AI667" s="680" t="n"/>
      <c r="AJ667" s="680" t="n"/>
      <c r="AK667" s="680" t="n"/>
      <c r="AL667" s="685" t="n"/>
      <c r="AM667" s="685" t="n"/>
      <c r="AN667" s="705" t="n"/>
      <c r="AO667" s="700" t="n"/>
      <c r="AP667" s="701" t="n"/>
      <c r="AQ667" s="702" t="n"/>
      <c r="AR667" s="702" t="n"/>
      <c r="AS667" s="703" t="n"/>
      <c r="AT667" s="704" t="n"/>
    </row>
    <row r="668" ht="35.7" customHeight="1" s="392">
      <c r="A668" s="672">
        <f>IF(AF668="ENGAGE","✔",IF(AF668="EN COURS D'ENGAGEMENT","◕",IF(AF668="PREENGAGE","◑",IF(AF668="EN COURS DE PREENGAGEMENT","◔",IF(AF668="NON ENGAGE","✖","")))))</f>
        <v/>
      </c>
      <c r="B668" s="673" t="n">
        <v>2026</v>
      </c>
      <c r="C668" s="674" t="inlineStr">
        <is>
          <t>TDF-EXP&amp;MAIN</t>
        </is>
      </c>
      <c r="D668" s="674" t="n"/>
      <c r="E668" s="675" t="inlineStr">
        <is>
          <t>AOO-M</t>
        </is>
      </c>
      <c r="F668" s="675" t="n">
        <v>1</v>
      </c>
      <c r="G668" s="676" t="inlineStr">
        <is>
          <t>Entretien et maintenance du syteme d'antennes du centre radio AM d'Ait Melloul</t>
        </is>
      </c>
      <c r="H668" s="673" t="inlineStr">
        <is>
          <t>EN SIGNATURE</t>
        </is>
      </c>
      <c r="I668" s="675" t="inlineStr">
        <is>
          <t>EN SIGNATURE</t>
        </is>
      </c>
      <c r="J668" s="675" t="n"/>
      <c r="K668" s="673" t="inlineStr">
        <is>
          <t>GENERAL</t>
        </is>
      </c>
      <c r="L668" s="675" t="inlineStr">
        <is>
          <t>Ordinaire</t>
        </is>
      </c>
      <c r="M668" s="677" t="inlineStr">
        <is>
          <t>FONCTIONNEMENT</t>
        </is>
      </c>
      <c r="N668" s="678" t="inlineStr">
        <is>
          <t>Entretien, réparation et assurance</t>
        </is>
      </c>
      <c r="O668" s="679">
        <f>P668*1.2</f>
        <v/>
      </c>
      <c r="P668" s="680" t="n">
        <v>2600000</v>
      </c>
      <c r="Q668" s="680" t="n"/>
      <c r="R668" s="675" t="n"/>
      <c r="S668" s="681" t="n"/>
      <c r="T668" s="682" t="n"/>
      <c r="U668" s="683" t="n"/>
      <c r="V668" s="675" t="n"/>
      <c r="W668" s="682" t="n">
        <v>46265</v>
      </c>
      <c r="X668" s="682" t="n"/>
      <c r="Y668" s="682" t="n"/>
      <c r="Z668" s="679" t="n"/>
      <c r="AA668" s="680" t="n"/>
      <c r="AB668" s="680" t="n"/>
      <c r="AC668" s="680" t="n"/>
      <c r="AD668" s="680" t="n"/>
      <c r="AE668" s="680" t="n"/>
      <c r="AF668" s="684" t="inlineStr">
        <is>
          <t>EN COURS DE PREENGAGEMENT</t>
        </is>
      </c>
      <c r="AG668" s="683" t="n"/>
      <c r="AH668" s="680" t="n"/>
      <c r="AI668" s="680" t="n"/>
      <c r="AJ668" s="680" t="n"/>
      <c r="AK668" s="680" t="n"/>
      <c r="AL668" s="685" t="n"/>
      <c r="AM668" s="685" t="n"/>
      <c r="AN668" s="705" t="n"/>
      <c r="AO668" s="700" t="n"/>
      <c r="AP668" s="701" t="n"/>
      <c r="AQ668" s="702" t="n"/>
      <c r="AR668" s="702" t="n"/>
      <c r="AS668" s="703" t="n"/>
      <c r="AT668" s="704" t="n"/>
    </row>
    <row r="669" ht="35.7" customHeight="1" s="392">
      <c r="A669" s="672">
        <f>IF(AF669="ENGAGE","✔",IF(AF669="EN COURS D'ENGAGEMENT","◕",IF(AF669="PREENGAGE","◑",IF(AF669="EN COURS DE PREENGAGEMENT","◔",IF(AF669="NON ENGAGE","✖","")))))</f>
        <v/>
      </c>
      <c r="B669" s="673" t="n">
        <v>2026</v>
      </c>
      <c r="C669" s="674" t="inlineStr">
        <is>
          <t>TDF-EXP&amp;MAIN</t>
        </is>
      </c>
      <c r="D669" s="674" t="inlineStr">
        <is>
          <t>73AOM/SNRT/2026</t>
        </is>
      </c>
      <c r="E669" s="675" t="inlineStr">
        <is>
          <t>AOO-M</t>
        </is>
      </c>
      <c r="F669" s="675" t="n">
        <v>1</v>
      </c>
      <c r="G669" s="676" t="inlineStr">
        <is>
          <t>Fourniture des feeders antennes distributeurs de puissance RF connecteurs adaptateurs et accessoires de raccordement</t>
        </is>
      </c>
      <c r="H669" s="673" t="inlineStr">
        <is>
          <t>VALIDE</t>
        </is>
      </c>
      <c r="I669" s="675" t="inlineStr">
        <is>
          <t>PHASE AOO</t>
        </is>
      </c>
      <c r="J669" s="675" t="n"/>
      <c r="K669" s="673" t="inlineStr">
        <is>
          <t>GENERAL</t>
        </is>
      </c>
      <c r="L669" s="675" t="inlineStr">
        <is>
          <t>Ordinaire</t>
        </is>
      </c>
      <c r="M669" s="677" t="inlineStr">
        <is>
          <t>FONCTIONNEMENT</t>
        </is>
      </c>
      <c r="N669" s="678" t="inlineStr">
        <is>
          <t>Achats de matières et fournitures consommables</t>
        </is>
      </c>
      <c r="O669" s="679">
        <f>P669*1.2</f>
        <v/>
      </c>
      <c r="P669" s="680" t="n">
        <v>3309600</v>
      </c>
      <c r="Q669" s="680" t="n"/>
      <c r="R669" s="675" t="n"/>
      <c r="S669" s="681" t="n"/>
      <c r="T669" s="682" t="n"/>
      <c r="U669" s="683" t="n"/>
      <c r="V669" s="675" t="n"/>
      <c r="W669" s="682" t="n">
        <v>46265</v>
      </c>
      <c r="X669" s="682" t="n"/>
      <c r="Y669" s="682" t="n"/>
      <c r="Z669" s="679" t="n"/>
      <c r="AA669" s="680" t="n"/>
      <c r="AB669" s="680" t="n"/>
      <c r="AC669" s="680" t="n"/>
      <c r="AD669" s="680" t="n"/>
      <c r="AE669" s="680" t="n"/>
      <c r="AF669" s="684" t="inlineStr">
        <is>
          <t>PREENGAGE</t>
        </is>
      </c>
      <c r="AG669" s="683" t="n"/>
      <c r="AH669" s="680" t="n"/>
      <c r="AI669" s="680" t="n"/>
      <c r="AJ669" s="680" t="n"/>
      <c r="AK669" s="680" t="n"/>
      <c r="AL669" s="685" t="n"/>
      <c r="AM669" s="685" t="n"/>
      <c r="AN669" s="705" t="n"/>
      <c r="AO669" s="700" t="n"/>
      <c r="AP669" s="701" t="n"/>
      <c r="AQ669" s="702" t="n"/>
      <c r="AR669" s="702" t="n"/>
      <c r="AS669" s="703" t="n"/>
      <c r="AT669" s="704" t="n"/>
    </row>
    <row r="670" ht="33" customHeight="1" s="392">
      <c r="A670" s="672">
        <f>IF(AF670="ENGAGE","✔",IF(AF670="EN COURS D'ENGAGEMENT","◕",IF(AF670="PREENGAGE","◑",IF(AF670="EN COURS DE PREENGAGEMENT","◔",IF(AF670="NON ENGAGE","✖","")))))</f>
        <v/>
      </c>
      <c r="B670" s="673" t="n">
        <v>2026</v>
      </c>
      <c r="C670" s="674" t="inlineStr">
        <is>
          <t>TDF-EXP&amp;MAIN</t>
        </is>
      </c>
      <c r="D670" s="674" t="inlineStr">
        <is>
          <t>73AOM/SNRT/2026</t>
        </is>
      </c>
      <c r="E670" s="675" t="inlineStr">
        <is>
          <t>AOO-M</t>
        </is>
      </c>
      <c r="F670" s="675" t="n">
        <v>2</v>
      </c>
      <c r="G670" s="676" t="inlineStr">
        <is>
          <t>Fourniture de duplexeurs filtres combiners et patch panels</t>
        </is>
      </c>
      <c r="H670" s="673" t="inlineStr">
        <is>
          <t>VALIDE</t>
        </is>
      </c>
      <c r="I670" s="675" t="inlineStr">
        <is>
          <t>PHASE AOO</t>
        </is>
      </c>
      <c r="J670" s="675" t="n"/>
      <c r="K670" s="673" t="inlineStr">
        <is>
          <t>GENERAL</t>
        </is>
      </c>
      <c r="L670" s="675" t="inlineStr">
        <is>
          <t>Ordinaire</t>
        </is>
      </c>
      <c r="M670" s="677" t="inlineStr">
        <is>
          <t>FONCTIONNEMENT</t>
        </is>
      </c>
      <c r="N670" s="678" t="inlineStr">
        <is>
          <t>Achats de matières et fournitures consommables</t>
        </is>
      </c>
      <c r="O670" s="679">
        <f>P670*1.2</f>
        <v/>
      </c>
      <c r="P670" s="680" t="n">
        <v>1600000</v>
      </c>
      <c r="Q670" s="680" t="n"/>
      <c r="R670" s="675" t="n"/>
      <c r="S670" s="681" t="n"/>
      <c r="T670" s="682" t="n"/>
      <c r="U670" s="683" t="n"/>
      <c r="V670" s="675" t="n"/>
      <c r="W670" s="682" t="n">
        <v>46265</v>
      </c>
      <c r="X670" s="682" t="n"/>
      <c r="Y670" s="682" t="n"/>
      <c r="Z670" s="679" t="n"/>
      <c r="AA670" s="680" t="n"/>
      <c r="AB670" s="680" t="n"/>
      <c r="AC670" s="680" t="n"/>
      <c r="AD670" s="680" t="n"/>
      <c r="AE670" s="680" t="n"/>
      <c r="AF670" s="684" t="inlineStr">
        <is>
          <t>PREENGAGE</t>
        </is>
      </c>
      <c r="AG670" s="683" t="n"/>
      <c r="AH670" s="680" t="n"/>
      <c r="AI670" s="680" t="n"/>
      <c r="AJ670" s="680" t="n"/>
      <c r="AK670" s="680" t="n"/>
      <c r="AL670" s="685" t="n"/>
      <c r="AM670" s="685" t="n"/>
      <c r="AN670" s="705" t="n"/>
      <c r="AO670" s="700" t="n"/>
      <c r="AP670" s="701" t="n"/>
      <c r="AQ670" s="702" t="n"/>
      <c r="AR670" s="702" t="n"/>
      <c r="AS670" s="703" t="n"/>
      <c r="AT670" s="704" t="n"/>
    </row>
    <row r="671" ht="65.40000000000001" customHeight="1" s="392">
      <c r="A671" s="672">
        <f>IF(AF671="ENGAGE","✔",IF(AF671="EN COURS D'ENGAGEMENT","◕",IF(AF671="PREENGAGE","◑",IF(AF671="EN COURS DE PREENGAGEMENT","◔",IF(AF671="NON ENGAGE","✖","")))))</f>
        <v/>
      </c>
      <c r="B671" s="673" t="n">
        <v>2026</v>
      </c>
      <c r="C671" s="674" t="inlineStr">
        <is>
          <t>TDF -SITES</t>
        </is>
      </c>
      <c r="D671" s="674" t="inlineStr">
        <is>
          <t>72AOM/SNRT/2026</t>
        </is>
      </c>
      <c r="E671" s="675" t="inlineStr">
        <is>
          <t>AOO-M</t>
        </is>
      </c>
      <c r="F671" s="675" t="n">
        <v>1</v>
      </c>
      <c r="G671" s="676" t="inlineStr">
        <is>
          <t>Fourniture, installation et mise en service de deux émetteurs DVB-T/T2 double drive refroidi à liquide fonctionnant dans la bande [474-690] MHz et de puissance 5KW rms chacun avec leurs accessoires</t>
        </is>
      </c>
      <c r="H671" s="673" t="inlineStr">
        <is>
          <t>VALIDE</t>
        </is>
      </c>
      <c r="I671" s="675" t="inlineStr">
        <is>
          <t>PHASE AOO</t>
        </is>
      </c>
      <c r="J671" s="675" t="n"/>
      <c r="K671" s="673" t="inlineStr">
        <is>
          <t>GENERAL</t>
        </is>
      </c>
      <c r="L671" s="675" t="inlineStr">
        <is>
          <t>Ordinaire</t>
        </is>
      </c>
      <c r="M671" s="677" t="inlineStr">
        <is>
          <t>INVESTISSEMENT</t>
        </is>
      </c>
      <c r="N671" s="678" t="inlineStr">
        <is>
          <t>Equipements de télédiffusion</t>
        </is>
      </c>
      <c r="O671" s="679">
        <f>P671*1.2</f>
        <v/>
      </c>
      <c r="P671" s="680" t="n">
        <v>4110000</v>
      </c>
      <c r="Q671" s="680" t="n"/>
      <c r="R671" s="675" t="n"/>
      <c r="S671" s="681" t="n"/>
      <c r="T671" s="682" t="n"/>
      <c r="U671" s="683" t="n"/>
      <c r="V671" s="675" t="n"/>
      <c r="W671" s="682" t="n">
        <v>46266</v>
      </c>
      <c r="X671" s="682" t="n"/>
      <c r="Y671" s="682" t="n"/>
      <c r="Z671" s="679" t="n"/>
      <c r="AA671" s="680" t="n"/>
      <c r="AB671" s="680" t="n"/>
      <c r="AC671" s="680" t="n"/>
      <c r="AD671" s="680" t="n"/>
      <c r="AE671" s="680" t="n"/>
      <c r="AF671" s="684" t="inlineStr">
        <is>
          <t>PREENGAGE</t>
        </is>
      </c>
      <c r="AG671" s="683" t="n"/>
      <c r="AH671" s="680" t="n"/>
      <c r="AI671" s="680" t="n"/>
      <c r="AJ671" s="680" t="n"/>
      <c r="AK671" s="680" t="n"/>
      <c r="AL671" s="685" t="n"/>
      <c r="AM671" s="685" t="n"/>
      <c r="AN671" s="705" t="n"/>
      <c r="AO671" s="700" t="n"/>
      <c r="AP671" s="701" t="n"/>
      <c r="AQ671" s="702" t="n"/>
      <c r="AR671" s="702" t="n"/>
      <c r="AS671" s="703" t="n"/>
      <c r="AT671" s="704" t="n"/>
    </row>
    <row r="672" ht="35.7" customHeight="1" s="392">
      <c r="A672" s="672">
        <f>IF(AF672="ENGAGE","✔",IF(AF672="EN COURS D'ENGAGEMENT","◕",IF(AF672="PREENGAGE","◑",IF(AF672="EN COURS DE PREENGAGEMENT","◔",IF(AF672="NON ENGAGE","✖","")))))</f>
        <v/>
      </c>
      <c r="B672" s="673" t="n">
        <v>2026</v>
      </c>
      <c r="C672" s="674" t="inlineStr">
        <is>
          <t>DPMG</t>
        </is>
      </c>
      <c r="D672" s="674" t="inlineStr">
        <is>
          <t>402CT/SNRT/2026</t>
        </is>
      </c>
      <c r="E672" s="675" t="inlineStr">
        <is>
          <t>CONTRAT</t>
        </is>
      </c>
      <c r="F672" s="675" t="n">
        <v>1</v>
      </c>
      <c r="G672" s="676" t="inlineStr">
        <is>
          <t>Aquisition des véhicules aménagés de transport de personnel</t>
        </is>
      </c>
      <c r="H672" s="673" t="inlineStr">
        <is>
          <t>EN SIGNATURE</t>
        </is>
      </c>
      <c r="I672" s="675" t="inlineStr">
        <is>
          <t>EN SIGNATURE</t>
        </is>
      </c>
      <c r="J672" s="675" t="n"/>
      <c r="K672" s="673" t="inlineStr">
        <is>
          <t>GENERAL</t>
        </is>
      </c>
      <c r="L672" s="675" t="inlineStr">
        <is>
          <t>Exceptionnel</t>
        </is>
      </c>
      <c r="M672" s="677" t="inlineStr">
        <is>
          <t>INVESTISSEMENT</t>
        </is>
      </c>
      <c r="N672" s="678" t="inlineStr">
        <is>
          <t>Matériels de transport</t>
        </is>
      </c>
      <c r="O672" s="679" t="n"/>
      <c r="P672" s="680" t="n"/>
      <c r="Q672" s="680" t="n"/>
      <c r="R672" s="675" t="n"/>
      <c r="S672" s="681" t="n"/>
      <c r="T672" s="682" t="n"/>
      <c r="U672" s="683" t="inlineStr">
        <is>
          <t>ATLAS VEHICULES INDUSTRIELS</t>
        </is>
      </c>
      <c r="V672" s="675" t="n"/>
      <c r="W672" s="682" t="n">
        <v>46268</v>
      </c>
      <c r="X672" s="682" t="n"/>
      <c r="Y672" s="682" t="n"/>
      <c r="Z672" s="679" t="n"/>
      <c r="AA672" s="680" t="n"/>
      <c r="AB672" s="680" t="n"/>
      <c r="AC672" s="680" t="n"/>
      <c r="AD672" s="680" t="n"/>
      <c r="AE672" s="680" t="n">
        <v>3547200</v>
      </c>
      <c r="AF672" s="684" t="inlineStr">
        <is>
          <t>EN COURS D'ENGAGEMENT</t>
        </is>
      </c>
      <c r="AG672" s="683" t="n"/>
      <c r="AH672" s="680" t="n"/>
      <c r="AI672" s="680" t="n"/>
      <c r="AJ672" s="680" t="n"/>
      <c r="AK672" s="680" t="n"/>
      <c r="AL672" s="685" t="n"/>
      <c r="AM672" s="685" t="n"/>
      <c r="AN672" s="705" t="n"/>
      <c r="AO672" s="700" t="n"/>
      <c r="AP672" s="701" t="n"/>
      <c r="AQ672" s="702" t="n"/>
      <c r="AR672" s="702" t="n"/>
      <c r="AS672" s="703" t="n"/>
      <c r="AT672" s="704" t="n"/>
    </row>
    <row r="673" ht="50.55" customHeight="1" s="392">
      <c r="A673" s="672">
        <f>IF(AF673="ENGAGE","✔",IF(AF673="EN COURS D'ENGAGEMENT","◕",IF(AF673="PREENGAGE","◑",IF(AF673="EN COURS DE PREENGAGEMENT","◔",IF(AF673="NON ENGAGE","✖","")))))</f>
        <v/>
      </c>
      <c r="B673" s="673" t="n">
        <v>2026</v>
      </c>
      <c r="C673" s="674" t="inlineStr">
        <is>
          <t>DCT</t>
        </is>
      </c>
      <c r="D673" s="674" t="inlineStr">
        <is>
          <t>74AOM/SNRT/2026</t>
        </is>
      </c>
      <c r="E673" s="675" t="inlineStr">
        <is>
          <t>AOO-M</t>
        </is>
      </c>
      <c r="F673" s="675" t="n">
        <v>1</v>
      </c>
      <c r="G673" s="676" t="inlineStr">
        <is>
          <t>La fourniture et la mise en service d'équipement de traitement de signaux Audio/vidéo pour les besoins des chaines TV de la SNRT</t>
        </is>
      </c>
      <c r="H673" s="673" t="inlineStr">
        <is>
          <t>VALIDE</t>
        </is>
      </c>
      <c r="I673" s="675" t="inlineStr">
        <is>
          <t>PHASE AOO</t>
        </is>
      </c>
      <c r="J673" s="675" t="n"/>
      <c r="K673" s="673" t="inlineStr">
        <is>
          <t>GENERAL</t>
        </is>
      </c>
      <c r="L673" s="675" t="inlineStr">
        <is>
          <t>Exceptionnel</t>
        </is>
      </c>
      <c r="M673" s="677" t="inlineStr">
        <is>
          <t>INVESTISSEMENT</t>
        </is>
      </c>
      <c r="N673" s="678" t="inlineStr">
        <is>
          <t>Équipements techniques</t>
        </is>
      </c>
      <c r="O673" s="679">
        <f>Engagements2026Juillet[[#This Row],[ESTIMATION TTC]]*1.2</f>
        <v/>
      </c>
      <c r="P673" s="680" t="n">
        <v>2770812</v>
      </c>
      <c r="Q673" s="680" t="n"/>
      <c r="R673" s="675" t="n"/>
      <c r="S673" s="681" t="n"/>
      <c r="T673" s="682" t="n"/>
      <c r="U673" s="683" t="n"/>
      <c r="V673" s="675" t="n"/>
      <c r="W673" s="682" t="n">
        <v>46266</v>
      </c>
      <c r="X673" s="682" t="n"/>
      <c r="Y673" s="682" t="n"/>
      <c r="Z673" s="679" t="n"/>
      <c r="AA673" s="680" t="n"/>
      <c r="AB673" s="680" t="n"/>
      <c r="AC673" s="680" t="n"/>
      <c r="AD673" s="680" t="n"/>
      <c r="AE673" s="680" t="n"/>
      <c r="AF673" s="684" t="inlineStr">
        <is>
          <t>PREENGAGE</t>
        </is>
      </c>
      <c r="AG673" s="683" t="n"/>
      <c r="AH673" s="680" t="n"/>
      <c r="AI673" s="680" t="n"/>
      <c r="AJ673" s="680" t="n"/>
      <c r="AK673" s="680" t="n"/>
      <c r="AL673" s="685" t="n"/>
      <c r="AM673" s="685" t="n"/>
      <c r="AN673" s="705" t="n"/>
      <c r="AO673" s="700" t="n"/>
      <c r="AP673" s="701" t="n"/>
      <c r="AQ673" s="702" t="n"/>
      <c r="AR673" s="702" t="n"/>
      <c r="AS673" s="703" t="n"/>
      <c r="AT673" s="704" t="n"/>
    </row>
    <row r="674" ht="65.40000000000001" customHeight="1" s="392">
      <c r="A674" s="672">
        <f>IF(AF674="ENGAGE","✔",IF(AF674="EN COURS D'ENGAGEMENT","◕",IF(AF674="PREENGAGE","◑",IF(AF674="EN COURS DE PREENGAGEMENT","◔",IF(AF674="NON ENGAGE","✖","")))))</f>
        <v/>
      </c>
      <c r="B674" s="673" t="n">
        <v>2026</v>
      </c>
      <c r="C674" s="674" t="inlineStr">
        <is>
          <t>DCPA</t>
        </is>
      </c>
      <c r="D674" s="699" t="n"/>
      <c r="E674" s="675" t="inlineStr">
        <is>
          <t>CONTRAT</t>
        </is>
      </c>
      <c r="F674" s="675" t="n">
        <v>1</v>
      </c>
      <c r="G674" s="676" t="inlineStr">
        <is>
          <t>ABDELLAH TOUKOUNA(ALIAS FERKOUSS)-LA PARTICIPATION ARTISTIQUE DE L'ARTISTE ABDELLAH TAKOUNA DANS LA SERIE DOCUMENTAIRE HANINE EL FARAH EPISODE - IMALCHIL MAWSSIM AL JAMAL WA AL HAYAT</t>
        </is>
      </c>
      <c r="H674" s="673" t="inlineStr">
        <is>
          <t>VALIDE</t>
        </is>
      </c>
      <c r="I674" s="675" t="inlineStr">
        <is>
          <t>APPROUVE</t>
        </is>
      </c>
      <c r="J674" s="693" t="n"/>
      <c r="K674" s="673" t="inlineStr">
        <is>
          <t>NON CONCERNE</t>
        </is>
      </c>
      <c r="L674" s="675" t="inlineStr">
        <is>
          <t>Ordinaire</t>
        </is>
      </c>
      <c r="M674" s="677" t="inlineStr">
        <is>
          <t>FONCTIONNEMENT</t>
        </is>
      </c>
      <c r="N674" s="678" t="inlineStr">
        <is>
          <t>Achats de productions et de programmes
Achat des programmes en production interne</t>
        </is>
      </c>
      <c r="O674" s="679" t="n"/>
      <c r="P674" s="680" t="n"/>
      <c r="Q674" s="680" t="n"/>
      <c r="R674" s="675" t="n"/>
      <c r="S674" s="681" t="n"/>
      <c r="T674" s="682" t="n"/>
      <c r="U674" s="683" t="inlineStr">
        <is>
          <t xml:space="preserve">ABDELLAH TOUKOUNA </t>
        </is>
      </c>
      <c r="V674" s="675" t="n"/>
      <c r="W674" s="682" t="n"/>
      <c r="X674" s="682" t="n"/>
      <c r="Y674" s="682" t="n"/>
      <c r="Z674" s="679" t="n"/>
      <c r="AA674" s="680" t="n"/>
      <c r="AB674" s="680" t="n"/>
      <c r="AC674" s="680" t="n"/>
      <c r="AD674" s="680" t="n"/>
      <c r="AE674" s="680" t="n">
        <v>36600</v>
      </c>
      <c r="AF674" s="684" t="inlineStr">
        <is>
          <t>ENGAGE</t>
        </is>
      </c>
      <c r="AG674" s="683" t="n"/>
      <c r="AH674" s="680" t="n"/>
      <c r="AI674" s="680" t="n"/>
      <c r="AJ674" s="680" t="n"/>
      <c r="AK674" s="680" t="n"/>
      <c r="AL674" s="685" t="n"/>
      <c r="AM674" s="685" t="n"/>
      <c r="AN674" s="683" t="n"/>
      <c r="AO674" s="700" t="n"/>
      <c r="AP674" s="701" t="n"/>
      <c r="AQ674" s="702" t="n"/>
      <c r="AR674" s="702" t="n"/>
      <c r="AS674" s="703" t="n"/>
      <c r="AT674" s="704" t="n"/>
    </row>
    <row r="675" ht="60" customHeight="1" s="392">
      <c r="A675" s="672">
        <f>IF(AF675="ENGAGE","✔",IF(AF675="EN COURS D'ENGAGEMENT","◕",IF(AF675="PREENGAGE","◑",IF(AF675="EN COURS DE PREENGAGEMENT","◔",IF(AF675="NON ENGAGE","✖","")))))</f>
        <v/>
      </c>
      <c r="B675" s="673" t="n">
        <v>2026</v>
      </c>
      <c r="C675" s="674" t="inlineStr">
        <is>
          <t>DCPA</t>
        </is>
      </c>
      <c r="D675" s="674" t="inlineStr">
        <is>
          <t>424CT/SNRT/2026</t>
        </is>
      </c>
      <c r="E675" s="675" t="inlineStr">
        <is>
          <t>AOO-CT</t>
        </is>
      </c>
      <c r="F675" s="675" t="n">
        <v>1</v>
      </c>
      <c r="G675" s="676" t="inlineStr">
        <is>
          <t>Emission Matinale 'Ousrati'</t>
        </is>
      </c>
      <c r="H675" s="673" t="inlineStr">
        <is>
          <t>VALIDE</t>
        </is>
      </c>
      <c r="I675" s="675" t="inlineStr">
        <is>
          <t>APPROUVE</t>
        </is>
      </c>
      <c r="J675" s="693" t="n"/>
      <c r="K675" s="673" t="inlineStr">
        <is>
          <t>GENERAL</t>
        </is>
      </c>
      <c r="L675" s="675" t="inlineStr">
        <is>
          <t>Ordinaire</t>
        </is>
      </c>
      <c r="M675" s="677" t="inlineStr">
        <is>
          <t>FONCTIONNEMENT</t>
        </is>
      </c>
      <c r="N675" s="678" t="inlineStr">
        <is>
          <t>Achats de productions et de programmes
Acquis définitive Programmes TV externes</t>
        </is>
      </c>
      <c r="O675" s="679" t="n"/>
      <c r="P675" s="680" t="n"/>
      <c r="Q675" s="680" t="n"/>
      <c r="R675" s="675" t="n"/>
      <c r="S675" s="681" t="n"/>
      <c r="T675" s="682" t="n"/>
      <c r="U675" s="683" t="inlineStr">
        <is>
          <t>IMAGE FACTORY</t>
        </is>
      </c>
      <c r="V675" s="693" t="n"/>
      <c r="W675" s="682" t="n"/>
      <c r="X675" s="682" t="n"/>
      <c r="Y675" s="682" t="n"/>
      <c r="Z675" s="679" t="n"/>
      <c r="AA675" s="680" t="n"/>
      <c r="AB675" s="680" t="n"/>
      <c r="AC675" s="680" t="n"/>
      <c r="AD675" s="680" t="n"/>
      <c r="AE675" s="680" t="n">
        <v>5489836.8</v>
      </c>
      <c r="AF675" s="684" t="inlineStr">
        <is>
          <t>ENGAGE</t>
        </is>
      </c>
      <c r="AG675" s="683" t="n"/>
      <c r="AH675" s="680" t="n"/>
      <c r="AI675" s="680" t="n"/>
      <c r="AJ675" s="680" t="n"/>
      <c r="AK675" s="680" t="n"/>
      <c r="AL675" s="685" t="n"/>
      <c r="AM675" s="685" t="n"/>
      <c r="AN675" s="683" t="n"/>
      <c r="AO675" s="706" t="n"/>
      <c r="AP675" s="707" t="n"/>
      <c r="AQ675" s="708" t="n"/>
      <c r="AR675" s="708" t="n"/>
      <c r="AS675" s="709" t="n"/>
      <c r="AT675" s="710" t="n"/>
    </row>
    <row r="676" ht="60" customHeight="1" s="392">
      <c r="A676" s="672">
        <f>IF(AF676="ENGAGE","✔",IF(AF676="EN COURS D'ENGAGEMENT","◕",IF(AF676="PREENGAGE","◑",IF(AF676="EN COURS DE PREENGAGEMENT","◔",IF(AF676="NON ENGAGE","✖","")))))</f>
        <v/>
      </c>
      <c r="B676" s="673" t="n">
        <v>2026</v>
      </c>
      <c r="C676" s="674" t="inlineStr">
        <is>
          <t>DCPA</t>
        </is>
      </c>
      <c r="D676" s="674" t="inlineStr">
        <is>
          <t>426CT/SNRT/2026</t>
        </is>
      </c>
      <c r="E676" s="675" t="inlineStr">
        <is>
          <t>AOO-CT</t>
        </is>
      </c>
      <c r="F676" s="675" t="n">
        <v>1</v>
      </c>
      <c r="G676" s="676" t="inlineStr">
        <is>
          <t>Documentaire 'ICHAA MAMLAKA'</t>
        </is>
      </c>
      <c r="H676" s="673" t="inlineStr">
        <is>
          <t>VALIDE</t>
        </is>
      </c>
      <c r="I676" s="675" t="inlineStr">
        <is>
          <t>APPROUVE</t>
        </is>
      </c>
      <c r="J676" s="693" t="n"/>
      <c r="K676" s="673" t="inlineStr">
        <is>
          <t>GENERAL</t>
        </is>
      </c>
      <c r="L676" s="675" t="inlineStr">
        <is>
          <t>Ordinaire</t>
        </is>
      </c>
      <c r="M676" s="677" t="inlineStr">
        <is>
          <t>FONCTIONNEMENT</t>
        </is>
      </c>
      <c r="N676" s="678" t="inlineStr">
        <is>
          <t>Achats de productions et de programmes
Acquis définitive Programmes TV externes</t>
        </is>
      </c>
      <c r="O676" s="679" t="n"/>
      <c r="P676" s="680" t="n"/>
      <c r="Q676" s="680" t="n"/>
      <c r="R676" s="675" t="n"/>
      <c r="S676" s="681" t="n"/>
      <c r="T676" s="682" t="n"/>
      <c r="U676" s="683" t="inlineStr">
        <is>
          <t>MONAFRIQUE PRODCOM</t>
        </is>
      </c>
      <c r="V676" s="693" t="n"/>
      <c r="W676" s="682" t="n"/>
      <c r="X676" s="682" t="n"/>
      <c r="Y676" s="682" t="n"/>
      <c r="Z676" s="679" t="n"/>
      <c r="AA676" s="680" t="n"/>
      <c r="AB676" s="680" t="n"/>
      <c r="AC676" s="680" t="n"/>
      <c r="AD676" s="680" t="n"/>
      <c r="AE676" s="680" t="n">
        <v>4082624.04</v>
      </c>
      <c r="AF676" s="684" t="inlineStr">
        <is>
          <t>ENGAGE</t>
        </is>
      </c>
      <c r="AG676" s="683" t="n"/>
      <c r="AH676" s="680" t="n"/>
      <c r="AI676" s="680" t="n"/>
      <c r="AJ676" s="680" t="n"/>
      <c r="AK676" s="680" t="n"/>
      <c r="AL676" s="685" t="n"/>
      <c r="AM676" s="685" t="n"/>
      <c r="AN676" s="683" t="n"/>
      <c r="AO676" s="706" t="n"/>
      <c r="AP676" s="707" t="n"/>
      <c r="AQ676" s="708" t="n"/>
      <c r="AR676" s="708" t="n"/>
      <c r="AS676" s="709" t="n"/>
      <c r="AT676" s="710" t="n"/>
    </row>
    <row r="677" ht="60" customHeight="1" s="392">
      <c r="A677" s="672">
        <f>IF(AF677="ENGAGE","✔",IF(AF677="EN COURS D'ENGAGEMENT","◕",IF(AF677="PREENGAGE","◑",IF(AF677="EN COURS DE PREENGAGEMENT","◔",IF(AF677="NON ENGAGE","✖","")))))</f>
        <v/>
      </c>
      <c r="B677" s="673" t="n">
        <v>2026</v>
      </c>
      <c r="C677" s="674" t="inlineStr">
        <is>
          <t>DCPA</t>
        </is>
      </c>
      <c r="D677" s="674" t="inlineStr">
        <is>
          <t>428CT/SNRT/2026</t>
        </is>
      </c>
      <c r="E677" s="675" t="inlineStr">
        <is>
          <t>AOO-CT</t>
        </is>
      </c>
      <c r="F677" s="675" t="n">
        <v>1</v>
      </c>
      <c r="G677" s="676" t="inlineStr">
        <is>
          <t>Emission pour enfabt 'WLIDATE BLADI'</t>
        </is>
      </c>
      <c r="H677" s="673" t="inlineStr">
        <is>
          <t>VALIDE</t>
        </is>
      </c>
      <c r="I677" s="675" t="inlineStr">
        <is>
          <t>APPROUVE</t>
        </is>
      </c>
      <c r="J677" s="693" t="n"/>
      <c r="K677" s="673" t="inlineStr">
        <is>
          <t>GENERAL</t>
        </is>
      </c>
      <c r="L677" s="675" t="inlineStr">
        <is>
          <t>Ordinaire</t>
        </is>
      </c>
      <c r="M677" s="677" t="inlineStr">
        <is>
          <t>FONCTIONNEMENT</t>
        </is>
      </c>
      <c r="N677" s="678" t="inlineStr">
        <is>
          <t>Achats de productions et de programmes
Acquis définitive Programmes TV externes</t>
        </is>
      </c>
      <c r="O677" s="679" t="n"/>
      <c r="P677" s="680" t="n"/>
      <c r="Q677" s="680" t="n"/>
      <c r="R677" s="675" t="n"/>
      <c r="S677" s="681" t="n"/>
      <c r="T677" s="682" t="n"/>
      <c r="U677" s="683" t="inlineStr">
        <is>
          <t>POPKORN PRODUCTON</t>
        </is>
      </c>
      <c r="V677" s="693" t="n"/>
      <c r="W677" s="682" t="n"/>
      <c r="X677" s="682" t="n"/>
      <c r="Y677" s="682" t="n"/>
      <c r="Z677" s="679" t="n"/>
      <c r="AA677" s="680" t="n"/>
      <c r="AB677" s="680" t="n"/>
      <c r="AC677" s="680" t="n"/>
      <c r="AD677" s="680" t="n"/>
      <c r="AE677" s="680" t="n">
        <v>2885702.4</v>
      </c>
      <c r="AF677" s="684" t="inlineStr">
        <is>
          <t>ENGAGE</t>
        </is>
      </c>
      <c r="AG677" s="683" t="n"/>
      <c r="AH677" s="680" t="n"/>
      <c r="AI677" s="680" t="n"/>
      <c r="AJ677" s="680" t="n"/>
      <c r="AK677" s="680" t="n"/>
      <c r="AL677" s="685" t="n"/>
      <c r="AM677" s="685" t="n"/>
      <c r="AN677" s="683" t="n"/>
      <c r="AO677" s="706" t="n"/>
      <c r="AP677" s="707" t="n"/>
      <c r="AQ677" s="708" t="n"/>
      <c r="AR677" s="708" t="n"/>
      <c r="AS677" s="709" t="n"/>
      <c r="AT677" s="710" t="n"/>
    </row>
    <row r="678" ht="60" customHeight="1" s="392">
      <c r="A678" s="672">
        <f>IF(AF678="ENGAGE","✔",IF(AF678="EN COURS D'ENGAGEMENT","◕",IF(AF678="PREENGAGE","◑",IF(AF678="EN COURS DE PREENGAGEMENT","◔",IF(AF678="NON ENGAGE","✖","")))))</f>
        <v/>
      </c>
      <c r="B678" s="673" t="n">
        <v>2026</v>
      </c>
      <c r="C678" s="674" t="inlineStr">
        <is>
          <t>DCPA</t>
        </is>
      </c>
      <c r="D678" s="674" t="inlineStr">
        <is>
          <t>427CT/SNRT/2026</t>
        </is>
      </c>
      <c r="E678" s="675" t="inlineStr">
        <is>
          <t>AOO-CT</t>
        </is>
      </c>
      <c r="F678" s="675" t="n">
        <v>1</v>
      </c>
      <c r="G678" s="676" t="inlineStr">
        <is>
          <t>Documentaire 'AHL AL MAGHREB'</t>
        </is>
      </c>
      <c r="H678" s="673" t="inlineStr">
        <is>
          <t>VALIDE</t>
        </is>
      </c>
      <c r="I678" s="675" t="inlineStr">
        <is>
          <t>APPROUVE</t>
        </is>
      </c>
      <c r="J678" s="693" t="n"/>
      <c r="K678" s="673" t="inlineStr">
        <is>
          <t>GENERAL</t>
        </is>
      </c>
      <c r="L678" s="675" t="inlineStr">
        <is>
          <t>Ordinaire</t>
        </is>
      </c>
      <c r="M678" s="677" t="inlineStr">
        <is>
          <t>FONCTIONNEMENT</t>
        </is>
      </c>
      <c r="N678" s="678" t="inlineStr">
        <is>
          <t>Achats de productions et de programmes
Acquis définitive Programmes TV externes</t>
        </is>
      </c>
      <c r="O678" s="679" t="n"/>
      <c r="P678" s="680" t="n"/>
      <c r="Q678" s="680" t="n"/>
      <c r="R678" s="675" t="n"/>
      <c r="S678" s="681" t="n"/>
      <c r="T678" s="682" t="n"/>
      <c r="U678" s="683" t="inlineStr">
        <is>
          <t>NADACOM DESIGN</t>
        </is>
      </c>
      <c r="V678" s="693" t="n"/>
      <c r="W678" s="682" t="n"/>
      <c r="X678" s="682" t="n"/>
      <c r="Y678" s="682" t="n"/>
      <c r="Z678" s="679" t="n"/>
      <c r="AA678" s="680" t="n"/>
      <c r="AB678" s="680" t="n"/>
      <c r="AC678" s="680" t="n"/>
      <c r="AD678" s="680" t="n"/>
      <c r="AE678" s="680" t="n">
        <v>3107440</v>
      </c>
      <c r="AF678" s="684" t="inlineStr">
        <is>
          <t>ENGAGE</t>
        </is>
      </c>
      <c r="AG678" s="683" t="n"/>
      <c r="AH678" s="680" t="n"/>
      <c r="AI678" s="680" t="n"/>
      <c r="AJ678" s="680" t="n"/>
      <c r="AK678" s="680" t="n"/>
      <c r="AL678" s="685" t="n"/>
      <c r="AM678" s="685" t="n"/>
      <c r="AN678" s="683" t="n"/>
      <c r="AO678" s="706" t="n"/>
      <c r="AP678" s="707" t="n"/>
      <c r="AQ678" s="708" t="n"/>
      <c r="AR678" s="708" t="n"/>
      <c r="AS678" s="709" t="n"/>
      <c r="AT678" s="710" t="n"/>
    </row>
    <row r="679" ht="60" customHeight="1" s="392">
      <c r="A679" s="672">
        <f>IF(AF679="ENGAGE","✔",IF(AF679="EN COURS D'ENGAGEMENT","◕",IF(AF679="PREENGAGE","◑",IF(AF679="EN COURS DE PREENGAGEMENT","◔",IF(AF679="NON ENGAGE","✖","")))))</f>
        <v/>
      </c>
      <c r="B679" s="673" t="n">
        <v>2026</v>
      </c>
      <c r="C679" s="674" t="inlineStr">
        <is>
          <t>DCPA</t>
        </is>
      </c>
      <c r="D679" s="674" t="inlineStr">
        <is>
          <t>431CT/SNRT/2026</t>
        </is>
      </c>
      <c r="E679" s="675" t="inlineStr">
        <is>
          <t>AOO-CT</t>
        </is>
      </c>
      <c r="F679" s="675" t="n">
        <v>1</v>
      </c>
      <c r="G679" s="676" t="inlineStr">
        <is>
          <t>Emission Magazine Economique 'MADE IN MOROCCO'</t>
        </is>
      </c>
      <c r="H679" s="673" t="inlineStr">
        <is>
          <t>VALIDE</t>
        </is>
      </c>
      <c r="I679" s="675" t="inlineStr">
        <is>
          <t>APPROUVE</t>
        </is>
      </c>
      <c r="J679" s="693" t="n"/>
      <c r="K679" s="673" t="inlineStr">
        <is>
          <t>GENERAL</t>
        </is>
      </c>
      <c r="L679" s="675" t="inlineStr">
        <is>
          <t>Ordinaire</t>
        </is>
      </c>
      <c r="M679" s="677" t="inlineStr">
        <is>
          <t>FONCTIONNEMENT</t>
        </is>
      </c>
      <c r="N679" s="678" t="inlineStr">
        <is>
          <t>Achats de productions et de programmes
Acquis définitive Programmes TV externes</t>
        </is>
      </c>
      <c r="O679" s="679" t="n"/>
      <c r="P679" s="680" t="n"/>
      <c r="Q679" s="680" t="n"/>
      <c r="R679" s="675" t="n"/>
      <c r="S679" s="681" t="n"/>
      <c r="T679" s="682" t="n"/>
      <c r="U679" s="683" t="inlineStr">
        <is>
          <t>W5 MEDIA</t>
        </is>
      </c>
      <c r="V679" s="693" t="n"/>
      <c r="W679" s="682" t="n"/>
      <c r="X679" s="682" t="n"/>
      <c r="Y679" s="682" t="n"/>
      <c r="Z679" s="679" t="n"/>
      <c r="AA679" s="680" t="n"/>
      <c r="AB679" s="680" t="n"/>
      <c r="AC679" s="680" t="n"/>
      <c r="AD679" s="680" t="n"/>
      <c r="AE679" s="680" t="n">
        <v>1958880</v>
      </c>
      <c r="AF679" s="684" t="inlineStr">
        <is>
          <t>ENGAGE</t>
        </is>
      </c>
      <c r="AG679" s="683" t="n"/>
      <c r="AH679" s="680" t="n"/>
      <c r="AI679" s="680" t="n"/>
      <c r="AJ679" s="680" t="n"/>
      <c r="AK679" s="680" t="n"/>
      <c r="AL679" s="685" t="n"/>
      <c r="AM679" s="685" t="n"/>
      <c r="AN679" s="683" t="n"/>
      <c r="AO679" s="706" t="n"/>
      <c r="AP679" s="707" t="n"/>
      <c r="AQ679" s="708" t="n"/>
      <c r="AR679" s="708" t="n"/>
      <c r="AS679" s="709" t="n"/>
      <c r="AT679" s="710" t="n"/>
    </row>
    <row r="680" ht="35.7" customHeight="1" s="392">
      <c r="A680" s="672">
        <f>IF(AF680="ENGAGE","✔",IF(AF680="EN COURS D'ENGAGEMENT","◕",IF(AF680="PREENGAGE","◑",IF(AF680="EN COURS DE PREENGAGEMENT","◔",IF(AF680="NON ENGAGE","✖","")))))</f>
        <v/>
      </c>
      <c r="B680" s="673" t="n">
        <v>2026</v>
      </c>
      <c r="C680" s="674" t="inlineStr">
        <is>
          <t>DPMG</t>
        </is>
      </c>
      <c r="D680" s="674" t="inlineStr">
        <is>
          <t>76AOM/SNRT/2026</t>
        </is>
      </c>
      <c r="E680" s="675" t="inlineStr">
        <is>
          <t>AOO-M</t>
        </is>
      </c>
      <c r="F680" s="675" t="n">
        <v>1</v>
      </c>
      <c r="G680" s="676" t="inlineStr">
        <is>
          <t>Travaux d'electricite et de climatisation des locaux technique de la SNRT à Rabat</t>
        </is>
      </c>
      <c r="H680" s="673" t="inlineStr">
        <is>
          <t>EN SIGNATURE</t>
        </is>
      </c>
      <c r="I680" s="675" t="inlineStr">
        <is>
          <t>EN SIGNATURE</t>
        </is>
      </c>
      <c r="J680" s="693" t="n"/>
      <c r="K680" s="673" t="inlineStr">
        <is>
          <t>PME</t>
        </is>
      </c>
      <c r="L680" s="675" t="inlineStr">
        <is>
          <t>REPORT BUDGET ANNEE ANTERIEURE</t>
        </is>
      </c>
      <c r="M680" s="677" t="inlineStr">
        <is>
          <t>INVESTISSEMENT</t>
        </is>
      </c>
      <c r="N680" s="678" t="inlineStr">
        <is>
          <t>Agencements et aménagement constructions</t>
        </is>
      </c>
      <c r="O680" s="679">
        <f>P680*1.2</f>
        <v/>
      </c>
      <c r="P680" s="680" t="n">
        <v>3242700</v>
      </c>
      <c r="Q680" s="680" t="n"/>
      <c r="R680" s="675" t="n"/>
      <c r="S680" s="681" t="n"/>
      <c r="T680" s="682" t="n"/>
      <c r="U680" s="683" t="n"/>
      <c r="V680" s="693" t="n"/>
      <c r="W680" s="682" t="n"/>
      <c r="X680" s="682" t="n"/>
      <c r="Y680" s="682" t="n"/>
      <c r="Z680" s="679" t="n"/>
      <c r="AA680" s="680" t="n"/>
      <c r="AB680" s="680" t="n"/>
      <c r="AC680" s="680" t="n"/>
      <c r="AD680" s="680" t="n"/>
      <c r="AE680" s="680" t="n"/>
      <c r="AF680" s="684" t="inlineStr">
        <is>
          <t>EN COURS DE PREENGAGEMENT</t>
        </is>
      </c>
      <c r="AG680" s="683" t="n"/>
      <c r="AH680" s="680" t="n"/>
      <c r="AI680" s="680" t="n"/>
      <c r="AJ680" s="680" t="n"/>
      <c r="AK680" s="680" t="n"/>
      <c r="AL680" s="685" t="n"/>
      <c r="AM680" s="685" t="n"/>
      <c r="AN680" s="683" t="n"/>
      <c r="AO680" s="700" t="n"/>
      <c r="AP680" s="701" t="n"/>
      <c r="AQ680" s="702" t="n"/>
      <c r="AR680" s="702" t="n"/>
      <c r="AS680" s="703" t="n"/>
      <c r="AT680" s="704" t="n"/>
    </row>
    <row r="681" ht="35.7" customHeight="1" s="392">
      <c r="A681" s="672">
        <f>IF(AF681="ENGAGE","✔",IF(AF681="EN COURS D'ENGAGEMENT","◕",IF(AF681="PREENGAGE","◑",IF(AF681="EN COURS DE PREENGAGEMENT","◔",IF(AF681="NON ENGAGE","✖","")))))</f>
        <v/>
      </c>
      <c r="B681" s="673" t="n">
        <v>2026</v>
      </c>
      <c r="C681" s="674" t="inlineStr">
        <is>
          <t>DCPA</t>
        </is>
      </c>
      <c r="D681" s="674" t="inlineStr">
        <is>
          <t>435CT/SNRT/2026</t>
        </is>
      </c>
      <c r="E681" s="675" t="inlineStr">
        <is>
          <t>CONTRAT</t>
        </is>
      </c>
      <c r="F681" s="675" t="n">
        <v>1</v>
      </c>
      <c r="G681" s="676" t="inlineStr">
        <is>
          <t>Edition 31 du festival international du cinéma méditerranéen de Tétouan du 03 au 10/10/2026</t>
        </is>
      </c>
      <c r="H681" s="673" t="inlineStr">
        <is>
          <t>EN SIGNATURE</t>
        </is>
      </c>
      <c r="I681" s="675" t="inlineStr">
        <is>
          <t>EN SIGNATURE</t>
        </is>
      </c>
      <c r="J681" s="693" t="n"/>
      <c r="K681" s="673" t="inlineStr">
        <is>
          <t>GENERAL</t>
        </is>
      </c>
      <c r="L681" s="675" t="inlineStr">
        <is>
          <t>Ordinaire</t>
        </is>
      </c>
      <c r="M681" s="677" t="inlineStr">
        <is>
          <t>FONCTIONNEMENT</t>
        </is>
      </c>
      <c r="N681" s="678" t="inlineStr">
        <is>
          <t>Achats de droits
Achats des droits de captation</t>
        </is>
      </c>
      <c r="O681" s="679" t="n"/>
      <c r="P681" s="680" t="n"/>
      <c r="Q681" s="680" t="n"/>
      <c r="R681" s="675" t="n"/>
      <c r="S681" s="681" t="n"/>
      <c r="T681" s="682" t="n"/>
      <c r="U681" s="683" t="inlineStr">
        <is>
          <t>Fondation de Festival de cinéma 13001948</t>
        </is>
      </c>
      <c r="V681" s="693" t="n"/>
      <c r="W681" s="682" t="n"/>
      <c r="X681" s="682" t="n"/>
      <c r="Y681" s="682" t="n"/>
      <c r="Z681" s="679" t="n"/>
      <c r="AA681" s="680" t="n"/>
      <c r="AB681" s="680" t="n"/>
      <c r="AC681" s="680" t="n"/>
      <c r="AD681" s="680" t="n"/>
      <c r="AE681" s="680" t="n">
        <v>200000</v>
      </c>
      <c r="AF681" s="684" t="inlineStr">
        <is>
          <t>EN COURS D'ENGAGEMENT</t>
        </is>
      </c>
      <c r="AG681" s="683" t="n"/>
      <c r="AH681" s="680" t="n"/>
      <c r="AI681" s="680" t="n"/>
      <c r="AJ681" s="680" t="n"/>
      <c r="AK681" s="680" t="n"/>
      <c r="AL681" s="685" t="n"/>
      <c r="AM681" s="685" t="n"/>
      <c r="AN681" s="683" t="n"/>
      <c r="AO681" s="700" t="n"/>
      <c r="AP681" s="701" t="n"/>
      <c r="AQ681" s="702" t="n"/>
      <c r="AR681" s="702" t="n"/>
      <c r="AS681" s="703" t="n"/>
      <c r="AT681" s="704" t="n"/>
    </row>
    <row r="682" ht="35.7" customHeight="1" s="392">
      <c r="A682" s="672">
        <f>IF(AF682="ENGAGE","✔",IF(AF682="EN COURS D'ENGAGEMENT","◕",IF(AF682="PREENGAGE","◑",IF(AF682="EN COURS DE PREENGAGEMENT","◔",IF(AF682="NON ENGAGE","✖","")))))</f>
        <v/>
      </c>
      <c r="B682" s="673" t="n">
        <v>2026</v>
      </c>
      <c r="C682" s="674" t="inlineStr">
        <is>
          <t>TDF-EXP&amp;MAIN</t>
        </is>
      </c>
      <c r="D682" s="674" t="inlineStr">
        <is>
          <t>75AOM/SNRT/2026</t>
        </is>
      </c>
      <c r="E682" s="675" t="inlineStr">
        <is>
          <t>AOO-M</t>
        </is>
      </c>
      <c r="F682" s="675" t="n">
        <v>1</v>
      </c>
      <c r="G682" s="676" t="inlineStr">
        <is>
          <t>Entretien et remise en état des systèmes de balisage aux pylônes des centres de diffusion TV/FM</t>
        </is>
      </c>
      <c r="H682" s="673" t="inlineStr">
        <is>
          <t>VALIDE</t>
        </is>
      </c>
      <c r="I682" s="675" t="inlineStr">
        <is>
          <t>PHASE AOO</t>
        </is>
      </c>
      <c r="J682" s="693" t="n"/>
      <c r="K682" s="673" t="inlineStr">
        <is>
          <t>PME</t>
        </is>
      </c>
      <c r="L682" s="675" t="inlineStr">
        <is>
          <t>Ordinaire</t>
        </is>
      </c>
      <c r="M682" s="677" t="inlineStr">
        <is>
          <t>FONCTIONNEMENT</t>
        </is>
      </c>
      <c r="N682" s="678" t="inlineStr">
        <is>
          <t>Entretien, réparation et assurance</t>
        </is>
      </c>
      <c r="O682" s="679">
        <f>P682*1.2</f>
        <v/>
      </c>
      <c r="P682" s="680" t="n">
        <v>500000</v>
      </c>
      <c r="Q682" s="680" t="n"/>
      <c r="R682" s="675" t="n"/>
      <c r="S682" s="681" t="n"/>
      <c r="T682" s="682" t="n"/>
      <c r="U682" s="683" t="n"/>
      <c r="V682" s="693" t="n"/>
      <c r="W682" s="682" t="n"/>
      <c r="X682" s="682" t="n"/>
      <c r="Y682" s="682" t="n"/>
      <c r="Z682" s="679" t="n"/>
      <c r="AA682" s="680" t="n"/>
      <c r="AB682" s="680" t="n"/>
      <c r="AC682" s="680" t="n"/>
      <c r="AD682" s="680" t="n"/>
      <c r="AE682" s="680" t="n"/>
      <c r="AF682" s="684" t="inlineStr">
        <is>
          <t>PREENGAGE</t>
        </is>
      </c>
      <c r="AG682" s="683" t="n"/>
      <c r="AH682" s="680" t="n"/>
      <c r="AI682" s="680" t="n"/>
      <c r="AJ682" s="680" t="n"/>
      <c r="AK682" s="680" t="n"/>
      <c r="AL682" s="685" t="n"/>
      <c r="AM682" s="685" t="n"/>
      <c r="AN682" s="683" t="n"/>
      <c r="AO682" s="700" t="n"/>
      <c r="AP682" s="701" t="n"/>
      <c r="AQ682" s="702" t="n"/>
      <c r="AR682" s="702" t="n"/>
      <c r="AS682" s="703" t="n"/>
      <c r="AT682" s="704" t="n"/>
    </row>
    <row r="683" ht="50.55" customHeight="1" s="392">
      <c r="A683" s="672">
        <f>IF(AF683="ENGAGE","✔",IF(AF683="EN COURS D'ENGAGEMENT","◕",IF(AF683="PREENGAGE","◑",IF(AF683="EN COURS DE PREENGAGEMENT","◔",IF(AF683="NON ENGAGE","✖","")))))</f>
        <v/>
      </c>
      <c r="B683" s="673" t="n">
        <v>2026</v>
      </c>
      <c r="C683" s="674" t="inlineStr">
        <is>
          <t>DMPTV</t>
        </is>
      </c>
      <c r="D683" s="674" t="inlineStr">
        <is>
          <t>436CT/SNRT/2026</t>
        </is>
      </c>
      <c r="E683" s="675" t="inlineStr">
        <is>
          <t>CONTRAT</t>
        </is>
      </c>
      <c r="F683" s="675" t="n">
        <v>1</v>
      </c>
      <c r="G683" s="676" t="inlineStr">
        <is>
          <t>La création et réalisation pour le compte de la SNRT, d'une œuvre artistique en réalité augmentée des éléments graphiques, pour la couverture de la soirée électrorale 2026</t>
        </is>
      </c>
      <c r="H683" s="673" t="inlineStr">
        <is>
          <t>EN SIGNATURE</t>
        </is>
      </c>
      <c r="I683" s="675" t="inlineStr">
        <is>
          <t>EN SIGNATURE</t>
        </is>
      </c>
      <c r="J683" s="693" t="n"/>
      <c r="K683" s="673" t="inlineStr">
        <is>
          <t>NON CONCERNE</t>
        </is>
      </c>
      <c r="L683" s="675" t="inlineStr">
        <is>
          <t>Ordinaire</t>
        </is>
      </c>
      <c r="M683" s="677" t="inlineStr">
        <is>
          <t>FONCTIONNEMENT</t>
        </is>
      </c>
      <c r="N683" s="678" t="inlineStr">
        <is>
          <t>Charges marketing et relations publiques</t>
        </is>
      </c>
      <c r="O683" s="679" t="n"/>
      <c r="P683" s="680" t="n"/>
      <c r="Q683" s="680" t="n"/>
      <c r="R683" s="675" t="n"/>
      <c r="S683" s="681" t="n"/>
      <c r="T683" s="682" t="n"/>
      <c r="U683" s="683" t="inlineStr">
        <is>
          <t>VIZRT AUSTRIA GMBH</t>
        </is>
      </c>
      <c r="V683" s="693" t="n"/>
      <c r="W683" s="682" t="n"/>
      <c r="X683" s="682" t="n"/>
      <c r="Y683" s="682" t="n"/>
      <c r="Z683" s="679" t="n"/>
      <c r="AA683" s="680" t="n"/>
      <c r="AB683" s="680" t="n"/>
      <c r="AC683" s="680" t="n"/>
      <c r="AD683" s="680" t="n"/>
      <c r="AE683" s="680" t="n">
        <v>552106.61</v>
      </c>
      <c r="AF683" s="684" t="inlineStr">
        <is>
          <t>EN COURS D'ENGAGEMENT</t>
        </is>
      </c>
      <c r="AG683" s="683" t="n"/>
      <c r="AH683" s="680" t="n"/>
      <c r="AI683" s="680" t="n"/>
      <c r="AJ683" s="680" t="n"/>
      <c r="AK683" s="680" t="n"/>
      <c r="AL683" s="685" t="n"/>
      <c r="AM683" s="685" t="n"/>
      <c r="AN683" s="683" t="n"/>
      <c r="AO683" s="700" t="n"/>
      <c r="AP683" s="701" t="n"/>
      <c r="AQ683" s="702" t="n"/>
      <c r="AR683" s="702" t="n"/>
      <c r="AS683" s="703" t="n"/>
      <c r="AT683" s="704" t="n"/>
    </row>
    <row r="684" ht="46.5" customHeight="1" s="392">
      <c r="A684" s="672">
        <f>IF(AF684="ENGAGE","✔",IF(AF684="EN COURS D'ENGAGEMENT","◕",IF(AF684="PREENGAGE","◑",IF(AF684="EN COURS DE PREENGAGEMENT","◔",IF(AF684="NON ENGAGE","✖","")))))</f>
        <v/>
      </c>
      <c r="B684" s="673" t="n">
        <v>2026</v>
      </c>
      <c r="C684" s="674" t="inlineStr">
        <is>
          <t>DPMG</t>
        </is>
      </c>
      <c r="D684" s="674" t="inlineStr">
        <is>
          <t>26000550CT</t>
        </is>
      </c>
      <c r="E684" s="675" t="inlineStr">
        <is>
          <t>CONTRAT</t>
        </is>
      </c>
      <c r="F684" s="675" t="n">
        <v>1</v>
      </c>
      <c r="G684" s="676" t="inlineStr">
        <is>
          <t>Augmentation de puissance pour le nouveau siège de la station régionale radio de Tétouan</t>
        </is>
      </c>
      <c r="H684" s="673" t="inlineStr">
        <is>
          <t>EN SIGNATURE</t>
        </is>
      </c>
      <c r="I684" s="675" t="inlineStr">
        <is>
          <t>EN SIGNATURE</t>
        </is>
      </c>
      <c r="J684" s="693" t="n"/>
      <c r="K684" s="673" t="inlineStr">
        <is>
          <t>NON CONCERNE</t>
        </is>
      </c>
      <c r="L684" s="675" t="inlineStr">
        <is>
          <t>Ordinaire</t>
        </is>
      </c>
      <c r="M684" s="677" t="inlineStr">
        <is>
          <t>FONCTIONNEMENT</t>
        </is>
      </c>
      <c r="N684" s="678" t="inlineStr">
        <is>
          <t>Prestations de service
Achat prestations de services locales - sociétés</t>
        </is>
      </c>
      <c r="O684" s="679" t="n"/>
      <c r="P684" s="680" t="n"/>
      <c r="Q684" s="680" t="n"/>
      <c r="R684" s="675" t="n"/>
      <c r="S684" s="681" t="n"/>
      <c r="T684" s="682" t="n"/>
      <c r="U684" s="683" t="inlineStr">
        <is>
          <t>Amendis</t>
        </is>
      </c>
      <c r="V684" s="693" t="n"/>
      <c r="W684" s="682" t="n"/>
      <c r="X684" s="682" t="n"/>
      <c r="Y684" s="682" t="n"/>
      <c r="Z684" s="679" t="n"/>
      <c r="AA684" s="680" t="n"/>
      <c r="AB684" s="680" t="n"/>
      <c r="AC684" s="680" t="n"/>
      <c r="AD684" s="680" t="n"/>
      <c r="AE684" s="680" t="n">
        <v>79676.92999999999</v>
      </c>
      <c r="AF684" s="684" t="inlineStr">
        <is>
          <t>EN COURS D'ENGAGEMENT</t>
        </is>
      </c>
      <c r="AG684" s="683" t="n"/>
      <c r="AH684" s="680" t="n"/>
      <c r="AI684" s="680" t="n"/>
      <c r="AJ684" s="680" t="n"/>
      <c r="AK684" s="680" t="n"/>
      <c r="AL684" s="685" t="n"/>
      <c r="AM684" s="685" t="n"/>
      <c r="AN684" s="683" t="n"/>
      <c r="AO684" s="700" t="n"/>
      <c r="AP684" s="701" t="n"/>
      <c r="AQ684" s="702" t="n"/>
      <c r="AR684" s="702" t="n"/>
      <c r="AS684" s="703" t="n"/>
      <c r="AT684" s="704" t="n"/>
    </row>
    <row r="685" ht="35.7" customHeight="1" s="392">
      <c r="A685" s="672">
        <f>IF(AF685="ENGAGE","✔",IF(AF685="EN COURS D'ENGAGEMENT","◕",IF(AF685="PREENGAGE","◑",IF(AF685="EN COURS DE PREENGAGEMENT","◔",IF(AF685="NON ENGAGE","✖","")))))</f>
        <v/>
      </c>
      <c r="B685" s="673" t="n">
        <v>2026</v>
      </c>
      <c r="C685" s="674" t="inlineStr">
        <is>
          <t>DCT</t>
        </is>
      </c>
      <c r="D685" s="674" t="inlineStr">
        <is>
          <t>69AOM/SNRT/2026</t>
        </is>
      </c>
      <c r="E685" s="675" t="inlineStr">
        <is>
          <t>AOO-M</t>
        </is>
      </c>
      <c r="F685" s="675" t="n">
        <v>1</v>
      </c>
      <c r="G685" s="676" t="inlineStr">
        <is>
          <t>Aquisition d'un porteur pré-câblé multi-caméras pour les besoins des moyens mobiles de la SNRT</t>
        </is>
      </c>
      <c r="H685" s="673" t="inlineStr">
        <is>
          <t>EN SIGNATURE</t>
        </is>
      </c>
      <c r="I685" s="675" t="inlineStr">
        <is>
          <t>EN SIGNATURE</t>
        </is>
      </c>
      <c r="J685" s="693" t="n"/>
      <c r="K685" s="673" t="inlineStr">
        <is>
          <t>GENERAL</t>
        </is>
      </c>
      <c r="L685" s="675" t="inlineStr">
        <is>
          <t>REPORT BUDGET EXCEP  ANNEE ANTERIEURE</t>
        </is>
      </c>
      <c r="M685" s="677" t="inlineStr">
        <is>
          <t>INVESTISSEMENT</t>
        </is>
      </c>
      <c r="N685" s="678" t="inlineStr">
        <is>
          <t>Équipements techniques</t>
        </is>
      </c>
      <c r="O685" s="679">
        <f>P685*1.2</f>
        <v/>
      </c>
      <c r="P685" s="680" t="n">
        <v>9630000</v>
      </c>
      <c r="Q685" s="680" t="n"/>
      <c r="R685" s="675" t="n"/>
      <c r="S685" s="681" t="n"/>
      <c r="T685" s="682" t="n"/>
      <c r="U685" s="683" t="n"/>
      <c r="V685" s="693" t="n"/>
      <c r="W685" s="682" t="n"/>
      <c r="X685" s="682" t="n"/>
      <c r="Y685" s="682" t="n"/>
      <c r="Z685" s="679" t="n"/>
      <c r="AA685" s="680" t="n"/>
      <c r="AB685" s="680" t="n"/>
      <c r="AC685" s="680" t="n"/>
      <c r="AD685" s="680" t="n"/>
      <c r="AE685" s="680" t="n"/>
      <c r="AF685" s="684" t="inlineStr">
        <is>
          <t>EN COURS DE PREENGAGEMENT</t>
        </is>
      </c>
      <c r="AG685" s="683" t="n"/>
      <c r="AH685" s="680" t="n"/>
      <c r="AI685" s="680" t="n"/>
      <c r="AJ685" s="680" t="n"/>
      <c r="AK685" s="680" t="n"/>
      <c r="AL685" s="685" t="n"/>
      <c r="AM685" s="685" t="n"/>
      <c r="AN685" s="683" t="n"/>
      <c r="AO685" s="700" t="n"/>
      <c r="AP685" s="701" t="n"/>
      <c r="AQ685" s="702" t="n"/>
      <c r="AR685" s="702" t="n"/>
      <c r="AS685" s="703" t="n"/>
      <c r="AT685" s="704" t="n"/>
    </row>
    <row r="686" ht="15" customHeight="1" s="392">
      <c r="O686" s="711" t="n"/>
    </row>
    <row r="687" ht="15" customHeight="1" s="392">
      <c r="O687" s="711" t="n"/>
    </row>
    <row r="688" ht="15" customHeight="1" s="392">
      <c r="O688" s="711" t="n"/>
    </row>
    <row r="689" ht="15" customHeight="1" s="392">
      <c r="O689" s="711" t="n"/>
    </row>
    <row r="690" ht="15" customHeight="1" s="392">
      <c r="O690" s="711" t="n"/>
    </row>
    <row r="691" ht="15" customHeight="1" s="392">
      <c r="O691" s="711" t="n"/>
    </row>
    <row r="692" ht="15" customHeight="1" s="392">
      <c r="O692" s="711" t="n"/>
    </row>
    <row r="693" ht="15" customHeight="1" s="392">
      <c r="O693" s="711" t="n"/>
    </row>
    <row r="694" ht="15" customHeight="1" s="392">
      <c r="O694" s="711" t="n"/>
    </row>
    <row r="695" ht="15" customHeight="1" s="392">
      <c r="O695" s="711" t="n"/>
    </row>
    <row r="696" ht="15" customHeight="1" s="392">
      <c r="O696" s="711" t="n"/>
    </row>
    <row r="697" ht="15" customHeight="1" s="392">
      <c r="O697" s="711" t="n"/>
    </row>
    <row r="698" ht="15" customHeight="1" s="392">
      <c r="O698" s="711" t="n"/>
    </row>
    <row r="699" ht="15" customHeight="1" s="392">
      <c r="O699" s="711" t="n"/>
    </row>
    <row r="700" ht="15" customHeight="1" s="392">
      <c r="O700" s="711" t="n"/>
    </row>
    <row r="701" ht="15" customHeight="1" s="392">
      <c r="O701" s="711" t="n"/>
    </row>
    <row r="702" ht="15" customHeight="1" s="392">
      <c r="O702" s="711" t="n"/>
    </row>
    <row r="703" ht="15" customHeight="1" s="392">
      <c r="O703" s="711" t="n"/>
    </row>
    <row r="704" ht="15" customHeight="1" s="392">
      <c r="O704" s="711" t="n"/>
    </row>
    <row r="705" ht="15" customHeight="1" s="392">
      <c r="O705" s="711" t="n"/>
    </row>
    <row r="706" ht="15" customHeight="1" s="392">
      <c r="O706" s="711" t="n"/>
    </row>
    <row r="707" ht="15" customHeight="1" s="392">
      <c r="O707" s="711" t="n"/>
    </row>
    <row r="708" ht="15" customHeight="1" s="392">
      <c r="O708" s="711" t="n"/>
    </row>
    <row r="709" ht="15" customHeight="1" s="392">
      <c r="O709" s="711" t="n"/>
    </row>
    <row r="710" ht="15" customHeight="1" s="392">
      <c r="O710" s="711" t="n"/>
    </row>
    <row r="711" ht="15" customHeight="1" s="392">
      <c r="O711" s="711" t="n"/>
    </row>
    <row r="712" ht="15" customHeight="1" s="392">
      <c r="O712" s="711" t="n"/>
    </row>
    <row r="713" ht="15" customHeight="1" s="392">
      <c r="O713" s="711" t="n"/>
    </row>
    <row r="714" ht="15" customHeight="1" s="392">
      <c r="O714" s="711" t="n"/>
    </row>
    <row r="715" ht="15" customHeight="1" s="392">
      <c r="O715" s="711" t="n"/>
    </row>
    <row r="716" ht="15" customHeight="1" s="392">
      <c r="O716" s="711" t="n"/>
    </row>
    <row r="717" ht="15" customHeight="1" s="392">
      <c r="O717" s="711" t="n"/>
    </row>
    <row r="718" ht="15" customHeight="1" s="392">
      <c r="O718" s="711" t="n"/>
    </row>
    <row r="719" ht="15" customHeight="1" s="392">
      <c r="O719" s="711" t="n"/>
    </row>
    <row r="720" ht="15" customHeight="1" s="392">
      <c r="O720" s="711" t="n"/>
    </row>
    <row r="721" ht="15" customHeight="1" s="392">
      <c r="O721" s="711" t="n"/>
    </row>
    <row r="722" ht="15" customHeight="1" s="392">
      <c r="O722" s="711" t="n"/>
    </row>
    <row r="723" ht="15" customHeight="1" s="392">
      <c r="O723" s="711" t="n"/>
    </row>
    <row r="724" ht="15" customHeight="1" s="392">
      <c r="O724" s="711" t="n"/>
    </row>
    <row r="725" ht="15" customHeight="1" s="392">
      <c r="O725" s="711" t="n"/>
    </row>
    <row r="726" ht="15" customHeight="1" s="392">
      <c r="O726" s="711" t="n"/>
    </row>
    <row r="727" ht="15" customHeight="1" s="392">
      <c r="O727" s="711" t="n"/>
    </row>
    <row r="728" ht="15" customHeight="1" s="392">
      <c r="O728" s="711" t="n"/>
    </row>
    <row r="729" ht="15" customHeight="1" s="392">
      <c r="O729" s="711" t="n"/>
    </row>
    <row r="730" ht="15" customHeight="1" s="392">
      <c r="O730" s="711" t="n"/>
    </row>
    <row r="731" ht="15" customHeight="1" s="392">
      <c r="O731" s="711" t="n"/>
    </row>
    <row r="732" ht="15" customHeight="1" s="392">
      <c r="O732" s="711" t="n"/>
    </row>
    <row r="733" ht="15" customHeight="1" s="392">
      <c r="O733" s="711" t="n"/>
    </row>
    <row r="734" ht="15" customHeight="1" s="392">
      <c r="O734" s="711" t="n"/>
    </row>
    <row r="735" ht="15" customHeight="1" s="392">
      <c r="O735" s="711" t="n"/>
    </row>
    <row r="736" ht="15" customHeight="1" s="392">
      <c r="O736" s="711" t="n"/>
    </row>
    <row r="737" ht="15" customHeight="1" s="392">
      <c r="O737" s="711" t="n"/>
    </row>
    <row r="738" ht="15" customHeight="1" s="392">
      <c r="O738" s="711" t="n"/>
    </row>
    <row r="739" ht="15" customHeight="1" s="392">
      <c r="O739" s="711" t="n"/>
    </row>
    <row r="740" ht="15" customHeight="1" s="392">
      <c r="O740" s="711" t="n"/>
    </row>
    <row r="741" ht="15" customHeight="1" s="392">
      <c r="O741" s="711" t="n"/>
    </row>
    <row r="742" ht="15" customHeight="1" s="392">
      <c r="O742" s="711" t="n"/>
    </row>
    <row r="743" ht="15" customHeight="1" s="392">
      <c r="O743" s="711" t="n"/>
    </row>
    <row r="744" ht="15" customHeight="1" s="392">
      <c r="O744" s="711" t="n"/>
    </row>
    <row r="745" ht="15" customHeight="1" s="392">
      <c r="O745" s="711" t="n"/>
    </row>
    <row r="746" ht="15" customHeight="1" s="392">
      <c r="O746" s="711" t="n"/>
    </row>
    <row r="747" ht="15" customHeight="1" s="392">
      <c r="O747" s="711" t="n"/>
    </row>
    <row r="748" ht="15" customHeight="1" s="392">
      <c r="O748" s="711" t="n"/>
    </row>
    <row r="749" ht="15" customHeight="1" s="392">
      <c r="O749" s="711" t="n"/>
    </row>
    <row r="750" ht="15" customHeight="1" s="392">
      <c r="O750" s="711" t="n"/>
    </row>
    <row r="751" ht="15" customHeight="1" s="392">
      <c r="O751" s="711" t="n"/>
    </row>
    <row r="752" ht="15" customHeight="1" s="392">
      <c r="O752" s="711" t="n"/>
    </row>
    <row r="753" ht="15" customHeight="1" s="392">
      <c r="O753" s="711" t="n"/>
    </row>
    <row r="754" ht="15" customHeight="1" s="392">
      <c r="O754" s="711" t="n"/>
    </row>
    <row r="755" ht="15" customHeight="1" s="392">
      <c r="O755" s="711" t="n"/>
    </row>
    <row r="756" ht="15" customHeight="1" s="392">
      <c r="O756" s="711" t="n"/>
    </row>
    <row r="757" ht="15" customHeight="1" s="392">
      <c r="O757" s="711" t="n"/>
    </row>
    <row r="758" ht="15" customHeight="1" s="392">
      <c r="O758" s="711" t="n"/>
    </row>
    <row r="759" ht="15" customHeight="1" s="392">
      <c r="O759" s="711" t="n"/>
    </row>
    <row r="760" ht="15" customHeight="1" s="392">
      <c r="O760" s="711" t="n"/>
    </row>
    <row r="761" ht="15" customHeight="1" s="392">
      <c r="O761" s="711" t="n"/>
    </row>
    <row r="762" ht="15" customHeight="1" s="392">
      <c r="O762" s="711" t="n"/>
    </row>
    <row r="763" ht="15" customHeight="1" s="392">
      <c r="O763" s="711" t="n"/>
    </row>
    <row r="764" ht="15" customHeight="1" s="392">
      <c r="O764" s="711" t="n"/>
    </row>
    <row r="765" ht="15" customHeight="1" s="392">
      <c r="O765" s="711" t="n"/>
    </row>
    <row r="766" ht="15" customHeight="1" s="392">
      <c r="O766" s="711" t="n"/>
    </row>
    <row r="767" ht="15" customHeight="1" s="392">
      <c r="O767" s="711" t="n"/>
    </row>
    <row r="768" ht="15" customHeight="1" s="392">
      <c r="O768" s="711" t="n"/>
    </row>
    <row r="769" ht="15" customHeight="1" s="392">
      <c r="O769" s="711" t="n"/>
    </row>
    <row r="770" ht="15" customHeight="1" s="392">
      <c r="O770" s="711" t="n"/>
    </row>
    <row r="771" ht="15" customHeight="1" s="392">
      <c r="O771" s="711" t="n"/>
    </row>
    <row r="772" ht="15" customHeight="1" s="392">
      <c r="O772" s="711" t="n"/>
    </row>
    <row r="773" ht="15" customHeight="1" s="392">
      <c r="O773" s="711" t="n"/>
    </row>
    <row r="774" ht="15" customHeight="1" s="392">
      <c r="O774" s="711" t="n"/>
    </row>
    <row r="775" ht="15" customHeight="1" s="392">
      <c r="O775" s="711" t="n"/>
    </row>
    <row r="776" ht="15" customHeight="1" s="392">
      <c r="O776" s="711" t="n"/>
    </row>
    <row r="777" ht="15" customHeight="1" s="392">
      <c r="O777" s="711" t="n"/>
    </row>
    <row r="778" ht="15" customHeight="1" s="392">
      <c r="O778" s="711" t="n"/>
    </row>
    <row r="779" ht="15" customHeight="1" s="392">
      <c r="O779" s="711" t="n"/>
    </row>
    <row r="780" ht="15" customHeight="1" s="392">
      <c r="O780" s="711" t="n"/>
    </row>
    <row r="781" ht="15" customHeight="1" s="392">
      <c r="O781" s="711" t="n"/>
    </row>
    <row r="782" ht="15" customHeight="1" s="392">
      <c r="O782" s="711" t="n"/>
    </row>
    <row r="783" ht="15" customHeight="1" s="392">
      <c r="O783" s="711" t="n"/>
    </row>
    <row r="784" ht="15" customHeight="1" s="392">
      <c r="O784" s="711" t="n"/>
    </row>
    <row r="785" ht="15" customHeight="1" s="392">
      <c r="O785" s="711" t="n"/>
    </row>
    <row r="786" ht="15" customHeight="1" s="392">
      <c r="O786" s="711" t="n"/>
    </row>
    <row r="787" ht="15" customHeight="1" s="392">
      <c r="O787" s="711" t="n"/>
    </row>
    <row r="788" ht="15" customHeight="1" s="392">
      <c r="O788" s="711" t="n"/>
    </row>
    <row r="789" ht="15" customHeight="1" s="392">
      <c r="O789" s="711" t="n"/>
    </row>
    <row r="790" ht="15" customHeight="1" s="392">
      <c r="O790" s="711" t="n"/>
    </row>
    <row r="791" ht="15" customHeight="1" s="392">
      <c r="O791" s="711" t="n"/>
    </row>
    <row r="792" ht="15" customHeight="1" s="392">
      <c r="O792" s="711" t="n"/>
    </row>
    <row r="793" ht="15" customHeight="1" s="392">
      <c r="O793" s="711" t="n"/>
    </row>
    <row r="794" ht="15" customHeight="1" s="392">
      <c r="O794" s="711" t="n"/>
    </row>
    <row r="795" ht="15" customHeight="1" s="392">
      <c r="O795" s="711" t="n"/>
    </row>
    <row r="796" ht="15" customHeight="1" s="392">
      <c r="O796" s="711" t="n"/>
    </row>
    <row r="797" ht="15" customHeight="1" s="392">
      <c r="O797" s="711" t="n"/>
    </row>
    <row r="798" ht="15" customHeight="1" s="392">
      <c r="O798" s="711" t="n"/>
    </row>
    <row r="799" ht="15" customHeight="1" s="392">
      <c r="O799" s="711" t="n"/>
    </row>
    <row r="800" ht="15" customHeight="1" s="392">
      <c r="O800" s="711" t="n"/>
    </row>
    <row r="801" ht="15" customHeight="1" s="392">
      <c r="O801" s="711" t="n"/>
    </row>
    <row r="802" ht="15" customHeight="1" s="392">
      <c r="O802" s="711" t="n"/>
    </row>
    <row r="803" ht="15" customHeight="1" s="392">
      <c r="O803" s="711" t="n"/>
    </row>
    <row r="804" ht="15" customHeight="1" s="392">
      <c r="O804" s="711" t="n"/>
    </row>
    <row r="805" ht="15" customHeight="1" s="392">
      <c r="O805" s="711" t="n"/>
    </row>
    <row r="806" ht="15" customHeight="1" s="392">
      <c r="O806" s="711" t="n"/>
    </row>
    <row r="807" ht="15" customHeight="1" s="392">
      <c r="O807" s="711" t="n"/>
    </row>
    <row r="808" ht="15" customHeight="1" s="392">
      <c r="O808" s="711" t="n"/>
    </row>
    <row r="809" ht="15" customHeight="1" s="392">
      <c r="O809" s="711" t="n"/>
    </row>
    <row r="810" ht="15" customHeight="1" s="392">
      <c r="O810" s="711" t="n"/>
    </row>
    <row r="811" ht="15" customHeight="1" s="392">
      <c r="O811" s="711" t="n"/>
    </row>
    <row r="812" ht="15" customHeight="1" s="392">
      <c r="O812" s="711" t="n"/>
    </row>
    <row r="813" ht="15" customHeight="1" s="392">
      <c r="O813" s="711" t="n"/>
    </row>
    <row r="814" ht="15" customHeight="1" s="392">
      <c r="O814" s="711" t="n"/>
    </row>
    <row r="815" ht="15" customHeight="1" s="392">
      <c r="O815" s="711" t="n"/>
    </row>
    <row r="816" ht="15" customHeight="1" s="392">
      <c r="O816" s="711" t="n"/>
    </row>
    <row r="817" ht="15" customHeight="1" s="392">
      <c r="O817" s="711" t="n"/>
    </row>
    <row r="818" ht="15" customHeight="1" s="392">
      <c r="O818" s="711" t="n"/>
    </row>
    <row r="819" ht="15" customHeight="1" s="392">
      <c r="O819" s="711" t="n"/>
    </row>
    <row r="820" ht="15" customHeight="1" s="392">
      <c r="O820" s="711" t="n"/>
    </row>
    <row r="821" ht="15" customHeight="1" s="392">
      <c r="O821" s="711" t="n"/>
    </row>
    <row r="822" ht="15" customHeight="1" s="392">
      <c r="O822" s="711" t="n"/>
    </row>
    <row r="823" ht="15" customHeight="1" s="392">
      <c r="O823" s="711" t="n"/>
    </row>
    <row r="824" ht="15" customHeight="1" s="392">
      <c r="O824" s="711" t="n"/>
    </row>
    <row r="825" ht="15" customHeight="1" s="392">
      <c r="O825" s="711" t="n"/>
    </row>
    <row r="826" ht="15" customHeight="1" s="392">
      <c r="O826" s="711" t="n"/>
    </row>
    <row r="827" ht="15" customHeight="1" s="392">
      <c r="O827" s="711" t="n"/>
    </row>
    <row r="828" ht="15" customHeight="1" s="392">
      <c r="O828" s="711" t="n"/>
    </row>
    <row r="829" ht="15" customHeight="1" s="392">
      <c r="O829" s="711" t="n"/>
    </row>
    <row r="830" ht="15" customHeight="1" s="392">
      <c r="O830" s="711" t="n"/>
    </row>
    <row r="831" ht="15" customHeight="1" s="392">
      <c r="O831" s="711" t="n"/>
    </row>
    <row r="832" ht="15" customHeight="1" s="392">
      <c r="O832" s="711" t="n"/>
    </row>
    <row r="833" ht="15" customHeight="1" s="392">
      <c r="O833" s="711" t="n"/>
    </row>
    <row r="834" ht="15" customHeight="1" s="392">
      <c r="O834" s="711" t="n"/>
    </row>
    <row r="835" ht="15" customHeight="1" s="392">
      <c r="O835" s="711" t="n"/>
    </row>
    <row r="836" ht="15" customHeight="1" s="392">
      <c r="O836" s="711" t="n"/>
    </row>
    <row r="837" ht="15" customHeight="1" s="392">
      <c r="O837" s="711" t="n"/>
    </row>
    <row r="838" ht="15" customHeight="1" s="392">
      <c r="O838" s="711" t="n"/>
    </row>
    <row r="839" ht="15" customHeight="1" s="392">
      <c r="O839" s="711" t="n"/>
    </row>
    <row r="840" ht="15" customHeight="1" s="392">
      <c r="O840" s="711" t="n"/>
    </row>
    <row r="841" ht="15" customHeight="1" s="392">
      <c r="O841" s="711" t="n"/>
    </row>
    <row r="842" ht="15" customHeight="1" s="392">
      <c r="O842" s="711" t="n"/>
    </row>
    <row r="843" ht="15" customHeight="1" s="392">
      <c r="O843" s="711" t="n"/>
    </row>
    <row r="844" ht="15" customHeight="1" s="392">
      <c r="O844" s="711" t="n"/>
    </row>
    <row r="845" ht="15" customHeight="1" s="392">
      <c r="O845" s="711" t="n"/>
    </row>
    <row r="846" ht="15" customHeight="1" s="392">
      <c r="O846" s="711" t="n"/>
    </row>
    <row r="847" ht="15" customHeight="1" s="392">
      <c r="O847" s="711" t="n"/>
    </row>
    <row r="848" ht="15" customHeight="1" s="392">
      <c r="O848" s="711" t="n"/>
    </row>
    <row r="849" ht="15" customHeight="1" s="392">
      <c r="O849" s="711" t="n"/>
    </row>
    <row r="850" ht="15" customHeight="1" s="392">
      <c r="O850" s="711" t="n"/>
    </row>
    <row r="851" ht="15" customHeight="1" s="392">
      <c r="O851" s="711" t="n"/>
    </row>
    <row r="852" ht="15" customHeight="1" s="392">
      <c r="O852" s="711" t="n"/>
    </row>
    <row r="853" ht="15" customHeight="1" s="392">
      <c r="O853" s="711" t="n"/>
    </row>
    <row r="854" ht="15" customHeight="1" s="392">
      <c r="O854" s="711" t="n"/>
    </row>
    <row r="855" ht="15" customHeight="1" s="392">
      <c r="O855" s="711" t="n"/>
    </row>
    <row r="856" ht="15" customHeight="1" s="392">
      <c r="O856" s="711" t="n"/>
    </row>
    <row r="857" ht="15" customHeight="1" s="392">
      <c r="O857" s="711" t="n"/>
    </row>
    <row r="858" ht="15" customHeight="1" s="392">
      <c r="O858" s="711" t="n"/>
    </row>
    <row r="859" ht="15" customHeight="1" s="392">
      <c r="O859" s="711" t="n"/>
    </row>
    <row r="860" ht="15" customHeight="1" s="392">
      <c r="O860" s="711" t="n"/>
    </row>
    <row r="861" ht="15" customHeight="1" s="392">
      <c r="O861" s="711" t="n"/>
    </row>
    <row r="862" ht="15" customHeight="1" s="392">
      <c r="O862" s="711" t="n"/>
    </row>
    <row r="863" ht="15" customHeight="1" s="392">
      <c r="O863" s="711" t="n"/>
    </row>
    <row r="864" ht="15" customHeight="1" s="392">
      <c r="O864" s="711" t="n"/>
    </row>
    <row r="865" ht="15" customHeight="1" s="392">
      <c r="O865" s="711" t="n"/>
    </row>
    <row r="866" ht="15" customHeight="1" s="392">
      <c r="O866" s="711" t="n"/>
    </row>
    <row r="867" ht="15" customHeight="1" s="392">
      <c r="O867" s="711" t="n"/>
    </row>
  </sheetData>
  <conditionalFormatting sqref="A2:AN3000">
    <cfRule type="expression" priority="1" dxfId="701">
      <formula>$AF2="ENGAGE"</formula>
    </cfRule>
    <cfRule type="expression" priority="4" dxfId="702">
      <formula>$AF2="EN COURS D'ENGAGEMENT"</formula>
    </cfRule>
    <cfRule type="expression" priority="7" dxfId="703">
      <formula>$AF2="PREENGAGE"</formula>
    </cfRule>
    <cfRule type="expression" priority="10" dxfId="704">
      <formula>$AF2="EN COURS DE PREENGAGEMENT"</formula>
    </cfRule>
    <cfRule type="expression" priority="13" dxfId="705">
      <formula>$AF2="NON ENGAGE"</formula>
    </cfRule>
  </conditionalFormatting>
  <conditionalFormatting sqref="A2:A3000">
    <cfRule type="expression" priority="2" dxfId="706">
      <formula>$AF2="ENGAGE"</formula>
    </cfRule>
    <cfRule type="expression" priority="5" dxfId="707">
      <formula>$AF2="EN COURS D'ENGAGEMENT"</formula>
    </cfRule>
    <cfRule type="expression" priority="8" dxfId="708">
      <formula>$AF2="PREENGAGE"</formula>
    </cfRule>
    <cfRule type="expression" priority="11" dxfId="709">
      <formula>$AF2="EN COURS DE PREENGAGEMENT"</formula>
    </cfRule>
    <cfRule type="expression" priority="14" dxfId="710">
      <formula>$AF2="NON ENGAGE"</formula>
    </cfRule>
  </conditionalFormatting>
  <conditionalFormatting sqref="AF2:AF3000">
    <cfRule type="expression" priority="3" dxfId="706">
      <formula>$AF2="ENGAGE"</formula>
    </cfRule>
    <cfRule type="expression" priority="6" dxfId="707">
      <formula>$AF2="EN COURS D'ENGAGEMENT"</formula>
    </cfRule>
    <cfRule type="expression" priority="9" dxfId="708">
      <formula>$AF2="PREENGAGE"</formula>
    </cfRule>
    <cfRule type="expression" priority="12" dxfId="709">
      <formula>$AF2="EN COURS DE PREENGAGEMENT"</formula>
    </cfRule>
    <cfRule type="expression" priority="15" dxfId="710">
      <formula>$AF2="NON ENGAGE"</formula>
    </cfRule>
  </conditionalFormatting>
  <dataValidations count="30">
    <dataValidation sqref="R1:R553 R555:R556 R560 R564 R566 R568:R1635" showDropDown="0" showInputMessage="1" showErrorMessage="1" allowBlank="1" type="list" operator="equal">
      <formula1>xBesoin</formula1>
      <formula2>0</formula2>
    </dataValidation>
    <dataValidation sqref="S1:S304 S543:S549 S616:S1635" showDropDown="0" showInputMessage="0" showErrorMessage="1" allowBlank="0" errorTitle="ALERTE" error="Ce champ est réservé à la Reconduction" type="custom">
      <formula1>P1=xRec</formula1>
      <formula2>0</formula2>
    </dataValidation>
    <dataValidation sqref="T1:T304 T543:T549 T616:T1635 X2:X304 X543:X547 X549 X553" showDropDown="0" showInputMessage="0" showErrorMessage="1" allowBlank="0" errorTitle="ALERTE" error="Ce champ est réservé à la Reconduction" type="custom">
      <formula1>P1=xRec</formula1>
      <formula2>0</formula2>
    </dataValidation>
    <dataValidation sqref="AF1:AF1635 AG1:AH586 AG616:AH1635" showDropDown="0" showInputMessage="1" showErrorMessage="1" allowBlank="1" type="list" operator="equal">
      <formula1>xStEng</formula1>
      <formula2>0</formula2>
    </dataValidation>
    <dataValidation sqref="AL587:AL615 AS2:AS586 AS616:AS1635" showDropDown="0" showInputMessage="1" showErrorMessage="1" allowBlank="1" type="list" operator="equal">
      <formula1>xnatreg</formula1>
      <formula2>0</formula2>
    </dataValidation>
    <dataValidation sqref="O1162 O1211" showDropDown="0" showInputMessage="1" showErrorMessage="1" allowBlank="1" type="list" operator="equal">
      <formula1>INDIRECT(#REF!)</formula1>
      <formula2>0</formula2>
    </dataValidation>
    <dataValidation sqref="I1:I1635 AA616:AA1635" showDropDown="0" showInputMessage="1" showErrorMessage="1" allowBlank="1" type="list" operator="equal">
      <formula1>xSTATUTSUP</formula1>
      <formula2>0</formula2>
    </dataValidation>
    <dataValidation sqref="C1:C1635" showDropDown="0" showInputMessage="1" showErrorMessage="1" allowBlank="1" type="list" operator="equal">
      <formula1>xDIRECTION</formula1>
      <formula2>0</formula2>
    </dataValidation>
    <dataValidation sqref="E1:E1635 F1629:G1635" showDropDown="0" showInputMessage="1" showErrorMessage="1" allowBlank="1" type="list" operator="equal">
      <formula1>xTYPE1</formula1>
      <formula2>0</formula2>
    </dataValidation>
    <dataValidation sqref="H1:H1635" showDropDown="0" showInputMessage="1" showErrorMessage="1" allowBlank="1" type="list" operator="equal">
      <formula1>xStatut1</formula1>
      <formula2>0</formula2>
    </dataValidation>
    <dataValidation sqref="K1:K1635" showDropDown="0" showInputMessage="1" showErrorMessage="1" allowBlank="1" type="list" operator="equal">
      <formula1>xCATEGORIES</formula1>
      <formula2>0</formula2>
    </dataValidation>
    <dataValidation sqref="L2:L1635" showDropDown="0" showInputMessage="1" showErrorMessage="1" allowBlank="1" type="list" operator="equal">
      <formula1>TypBudget</formula1>
      <formula2>0</formula2>
    </dataValidation>
    <dataValidation sqref="M2:M1635" showDropDown="0" showInputMessage="1" showErrorMessage="1" allowBlank="1" type="list" operator="equal">
      <formula1>xBUDGET</formula1>
      <formula2>0</formula2>
    </dataValidation>
    <dataValidation sqref="O1166:O1210" showDropDown="0" showInputMessage="1" showErrorMessage="1" allowBlank="1" type="list" operator="equal">
      <formula1>INDIRECT($G537)</formula1>
      <formula2>0</formula2>
    </dataValidation>
    <dataValidation sqref="O1085:O1147 O1163:O1165" showDropDown="0" showInputMessage="1" showErrorMessage="1" allowBlank="1" type="list" operator="equal">
      <formula1>INDIRECT($G422)</formula1>
      <formula2>0</formula2>
    </dataValidation>
    <dataValidation sqref="O1212" showDropDown="0" showInputMessage="1" showErrorMessage="1" allowBlank="1" type="list" operator="equal">
      <formula1>INDIRECT($G587)</formula1>
      <formula2>0</formula2>
    </dataValidation>
    <dataValidation sqref="O1442:O1635" showDropDown="0" showInputMessage="1" showErrorMessage="1" allowBlank="1" type="list" operator="equal">
      <formula1>INDIRECT($G868)</formula1>
      <formula2>0</formula2>
    </dataValidation>
    <dataValidation sqref="O1148:O1161" showDropDown="0" showInputMessage="1" showErrorMessage="1" allowBlank="1" type="list" operator="equal">
      <formula1>INDIRECT($G486)</formula1>
      <formula2>0</formula2>
    </dataValidation>
    <dataValidation sqref="O1076:O1084" showDropDown="0" showInputMessage="1" showErrorMessage="1" allowBlank="1" type="list" operator="equal">
      <formula1>INDIRECT($G410)</formula1>
      <formula2>0</formula2>
    </dataValidation>
    <dataValidation sqref="O1036:O1075" showDropDown="0" showInputMessage="1" showErrorMessage="1" allowBlank="1" type="list" operator="equal">
      <formula1>INDIRECT($G365)</formula1>
      <formula2>0</formula2>
    </dataValidation>
    <dataValidation sqref="O868:O1029" showDropDown="0" showInputMessage="1" showErrorMessage="1" allowBlank="1" type="list" operator="equal">
      <formula1>INDIRECT($G193)</formula1>
      <formula2>0</formula2>
    </dataValidation>
    <dataValidation sqref="O1030:O1035" showDropDown="0" showInputMessage="1" showErrorMessage="1" allowBlank="1" type="list" operator="equal">
      <formula1>INDIRECT($G358)</formula1>
      <formula2>0</formula2>
    </dataValidation>
    <dataValidation sqref="O1213:O1215" showDropDown="0" showInputMessage="1" showErrorMessage="1" allowBlank="1" type="list" operator="equal">
      <formula1>INDIRECT($G616)</formula1>
      <formula2>0</formula2>
    </dataValidation>
    <dataValidation sqref="O1216:O1243" showDropDown="0" showInputMessage="1" showErrorMessage="1" allowBlank="1" type="list" operator="equal">
      <formula1>INDIRECT($G620)</formula1>
      <formula2>0</formula2>
    </dataValidation>
    <dataValidation sqref="O1244:O1252" showDropDown="0" showInputMessage="1" showErrorMessage="1" allowBlank="1" type="list" operator="equal">
      <formula1>INDIRECT($G649)</formula1>
      <formula2>0</formula2>
    </dataValidation>
    <dataValidation sqref="O1253:O1254" showDropDown="0" showInputMessage="1" showErrorMessage="1" allowBlank="1" type="list" operator="equal">
      <formula1>INDIRECT($G659)</formula1>
      <formula2>0</formula2>
    </dataValidation>
    <dataValidation sqref="O1255" showDropDown="0" showInputMessage="1" showErrorMessage="1" allowBlank="1" type="list" operator="equal">
      <formula1>INDIRECT($G662)</formula1>
      <formula2>0</formula2>
    </dataValidation>
    <dataValidation sqref="O1256:O1257" showDropDown="0" showInputMessage="1" showErrorMessage="1" allowBlank="1" type="list" operator="equal">
      <formula1>INDIRECT($G669)</formula1>
      <formula2>0</formula2>
    </dataValidation>
    <dataValidation sqref="O1258:O1261" showDropDown="0" showInputMessage="1" showErrorMessage="1" allowBlank="1" type="list" operator="equal">
      <formula1>INDIRECT($G676)</formula1>
      <formula2>0</formula2>
    </dataValidation>
    <dataValidation sqref="O1262:O1441" showDropDown="0" showInputMessage="1" showErrorMessage="1" allowBlank="1" type="list" operator="equal">
      <formula1>INDIRECT($G686)</formula1>
      <formula2>0</formula2>
    </dataValidation>
  </dataValidations>
  <pageMargins left="0.75" right="0.75" top="1" bottom="1" header="0.5" footer="0.5"/>
  <pageSetup orientation="landscape"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58"/>
  <sheetViews>
    <sheetView workbookViewId="0">
      <selection activeCell="A1" sqref="A1"/>
    </sheetView>
  </sheetViews>
  <sheetFormatPr baseColWidth="8" defaultRowHeight="15"/>
  <cols>
    <col width="88" customWidth="1" style="392" min="2" max="2"/>
  </cols>
  <sheetData>
    <row r="1" ht="15" customHeight="1" s="392">
      <c r="A1" s="24" t="inlineStr">
        <is>
          <t>Compte</t>
        </is>
      </c>
      <c r="B1" s="24" t="inlineStr">
        <is>
          <t>Libellé</t>
        </is>
      </c>
    </row>
    <row r="2" ht="15" customHeight="1" s="392">
      <c r="A2" s="25" t="inlineStr">
        <is>
          <t>212-1</t>
        </is>
      </c>
      <c r="B2" s="25" t="inlineStr">
        <is>
          <t>Frais d'acquisition des immobilisations</t>
        </is>
      </c>
    </row>
    <row r="3" ht="15" customHeight="1" s="392">
      <c r="A3" s="25" t="inlineStr">
        <is>
          <t>212-2</t>
        </is>
      </c>
      <c r="B3" s="25" t="inlineStr">
        <is>
          <t>Prestations de service à immobiliser</t>
        </is>
      </c>
    </row>
    <row r="4" ht="15" customHeight="1" s="392">
      <c r="A4" s="25" t="inlineStr">
        <is>
          <t>221-1</t>
        </is>
      </c>
      <c r="B4" s="25" t="inlineStr">
        <is>
          <t>Immobilisations incorporelles (logiciels, licences, etc.)</t>
        </is>
      </c>
    </row>
    <row r="5" ht="15" customHeight="1" s="392">
      <c r="A5" s="25" t="inlineStr">
        <is>
          <t>231-1</t>
        </is>
      </c>
      <c r="B5" s="25" t="inlineStr">
        <is>
          <t>Terrains</t>
        </is>
      </c>
    </row>
    <row r="6" ht="15" customHeight="1" s="392">
      <c r="A6" s="25" t="inlineStr">
        <is>
          <t>232-2</t>
        </is>
      </c>
      <c r="B6" s="25" t="inlineStr">
        <is>
          <t>Agencements et aménagement constructions</t>
        </is>
      </c>
    </row>
    <row r="7" ht="15" customHeight="1" s="392">
      <c r="A7" s="25" t="inlineStr">
        <is>
          <t>233-1</t>
        </is>
      </c>
      <c r="B7" s="25" t="inlineStr">
        <is>
          <t>Installations techniques</t>
        </is>
      </c>
    </row>
    <row r="8" ht="15" customHeight="1" s="392">
      <c r="A8" s="25" t="inlineStr">
        <is>
          <t>233-2</t>
        </is>
      </c>
      <c r="B8" s="25" t="inlineStr">
        <is>
          <t xml:space="preserve">Matériel et outillage </t>
        </is>
      </c>
    </row>
    <row r="9" ht="15" customHeight="1" s="392">
      <c r="A9" s="25" t="inlineStr">
        <is>
          <t>233-3</t>
        </is>
      </c>
      <c r="B9" s="25" t="inlineStr">
        <is>
          <t>Equipements de télédiffusion</t>
        </is>
      </c>
    </row>
    <row r="10" ht="15" customHeight="1" s="392">
      <c r="A10" s="25" t="inlineStr">
        <is>
          <t>233-4</t>
        </is>
      </c>
      <c r="B10" s="25" t="inlineStr">
        <is>
          <t>Equipements techniques</t>
        </is>
      </c>
    </row>
    <row r="11" ht="15" customHeight="1" s="392">
      <c r="A11" s="25" t="inlineStr">
        <is>
          <t>235-1</t>
        </is>
      </c>
      <c r="B11" s="25" t="inlineStr">
        <is>
          <t>Mobilier de bureau</t>
        </is>
      </c>
    </row>
    <row r="12" ht="15" customHeight="1" s="392">
      <c r="A12" s="25" t="inlineStr">
        <is>
          <t>235-2</t>
        </is>
      </c>
      <c r="B12" s="25" t="inlineStr">
        <is>
          <t>Matériel de bureau</t>
        </is>
      </c>
    </row>
    <row r="13" ht="15" customHeight="1" s="392">
      <c r="A13" s="25" t="inlineStr">
        <is>
          <t>235-3</t>
        </is>
      </c>
      <c r="B13" s="25" t="inlineStr">
        <is>
          <t>Matériel informatiques</t>
        </is>
      </c>
    </row>
    <row r="14" ht="15" customHeight="1" s="392">
      <c r="A14" s="25" t="inlineStr">
        <is>
          <t>235-4</t>
        </is>
      </c>
      <c r="B14" s="25" t="inlineStr">
        <is>
          <t>Autres Matériel et mobilier de bureau</t>
        </is>
      </c>
    </row>
    <row r="15" ht="15" customHeight="1" s="392">
      <c r="A15" s="25" t="inlineStr">
        <is>
          <t>612-1-1</t>
        </is>
      </c>
      <c r="B15" s="25" t="inlineStr">
        <is>
          <t>Acquis définitive Programmes TV externes</t>
        </is>
      </c>
    </row>
    <row r="16" ht="15" customHeight="1" s="392">
      <c r="A16" s="25" t="inlineStr">
        <is>
          <t>612-1-3</t>
        </is>
      </c>
      <c r="B16" s="25" t="inlineStr">
        <is>
          <t>Achat des programmes en production interne</t>
        </is>
      </c>
    </row>
    <row r="17" ht="15" customHeight="1" s="392">
      <c r="A17" s="25" t="inlineStr">
        <is>
          <t>612-1-4</t>
        </is>
      </c>
      <c r="B17" s="25" t="inlineStr">
        <is>
          <t>Achats des programmes en co-production</t>
        </is>
      </c>
    </row>
    <row r="18" ht="15" customHeight="1" s="392">
      <c r="A18" s="25" t="inlineStr">
        <is>
          <t>612-2-1</t>
        </is>
      </c>
      <c r="B18" s="25" t="inlineStr">
        <is>
          <t>Achats des droits de captation</t>
        </is>
      </c>
    </row>
    <row r="19" ht="15" customHeight="1" s="392">
      <c r="A19" s="25" t="inlineStr">
        <is>
          <t>612-2-2</t>
        </is>
      </c>
      <c r="B19" s="25" t="inlineStr">
        <is>
          <t xml:space="preserve">Cession de Droits de sport </t>
        </is>
      </c>
    </row>
    <row r="20" ht="15" customHeight="1" s="392">
      <c r="A20" s="25" t="inlineStr">
        <is>
          <t>612-3-2</t>
        </is>
      </c>
      <c r="B20" s="25" t="inlineStr">
        <is>
          <t>Achats des pièces de rechange</t>
        </is>
      </c>
    </row>
    <row r="21" ht="15" customHeight="1" s="392">
      <c r="A21" s="25" t="inlineStr">
        <is>
          <t>612-3-3</t>
        </is>
      </c>
      <c r="B21" s="25" t="inlineStr">
        <is>
          <t>Fournitures de bureau et fournitures informatiques</t>
        </is>
      </c>
    </row>
    <row r="22" ht="15" customHeight="1" s="392">
      <c r="A22" s="25" t="inlineStr">
        <is>
          <t>612-3-4</t>
        </is>
      </c>
      <c r="B22" s="25" t="inlineStr">
        <is>
          <t>Autres Matières et fournitures consommables</t>
        </is>
      </c>
    </row>
    <row r="23" ht="15" customHeight="1" s="392">
      <c r="A23" s="25" t="inlineStr">
        <is>
          <t>612-4-2</t>
        </is>
      </c>
      <c r="B23" s="25" t="inlineStr">
        <is>
          <t>Achats de carburants</t>
        </is>
      </c>
    </row>
    <row r="24" ht="15" customHeight="1" s="392">
      <c r="A24" s="25" t="inlineStr">
        <is>
          <t>612-4-3</t>
        </is>
      </c>
      <c r="B24" s="25" t="inlineStr">
        <is>
          <t>Achats Petit outillage &amp; petit équipement</t>
        </is>
      </c>
    </row>
    <row r="25" ht="15" customHeight="1" s="392">
      <c r="A25" s="25" t="inlineStr">
        <is>
          <t>612-4-4</t>
        </is>
      </c>
      <c r="B25" s="25" t="inlineStr">
        <is>
          <t>Achat fournitures (entretien, fournitures de bureau et fournitures informatiques)</t>
        </is>
      </c>
    </row>
    <row r="26" ht="15" customHeight="1" s="392">
      <c r="A26" s="25" t="inlineStr">
        <is>
          <t>612-5-1</t>
        </is>
      </c>
      <c r="B26" s="25" t="inlineStr">
        <is>
          <t xml:space="preserve">Achats d'études </t>
        </is>
      </c>
    </row>
    <row r="27" ht="15" customHeight="1" s="392">
      <c r="A27" s="25" t="inlineStr">
        <is>
          <t>612-5-2</t>
        </is>
      </c>
      <c r="B27" s="25" t="inlineStr">
        <is>
          <t>Achat prestations de services locales - sociétés</t>
        </is>
      </c>
    </row>
    <row r="28" ht="15" customHeight="1" s="392">
      <c r="A28" s="25" t="inlineStr">
        <is>
          <t>612-5-3</t>
        </is>
      </c>
      <c r="B28" s="25" t="inlineStr">
        <is>
          <t xml:space="preserve">Achat prestations de services locales - personnes physiques </t>
        </is>
      </c>
    </row>
    <row r="29" ht="15" customHeight="1" s="392">
      <c r="A29" s="25" t="inlineStr">
        <is>
          <t>612-5-4</t>
        </is>
      </c>
      <c r="B29" s="25" t="inlineStr">
        <is>
          <t>Achat prestations services Etrangères</t>
        </is>
      </c>
    </row>
    <row r="30" ht="15" customHeight="1" s="392">
      <c r="A30" s="25" t="inlineStr">
        <is>
          <t>612-6-1</t>
        </is>
      </c>
      <c r="B30" s="25" t="inlineStr">
        <is>
          <t xml:space="preserve">Achat prestations satellitaires </t>
        </is>
      </c>
    </row>
    <row r="31" ht="15" customHeight="1" s="392">
      <c r="A31" s="25" t="inlineStr">
        <is>
          <t>613-1-1</t>
        </is>
      </c>
      <c r="B31" s="25" t="inlineStr">
        <is>
          <t>Location de terrains et constructions</t>
        </is>
      </c>
    </row>
    <row r="32" ht="15" customHeight="1" s="392">
      <c r="A32" s="25" t="inlineStr">
        <is>
          <t>613-1-4</t>
        </is>
      </c>
      <c r="B32" s="25" t="inlineStr">
        <is>
          <t>Location matériel transport</t>
        </is>
      </c>
    </row>
    <row r="33" ht="15" customHeight="1" s="392">
      <c r="A33" s="25" t="inlineStr">
        <is>
          <t>613-2-1</t>
        </is>
      </c>
      <c r="B33" s="25" t="inlineStr">
        <is>
          <t>Entr&amp;réparat biens immoblier</t>
        </is>
      </c>
    </row>
    <row r="34" ht="15" customHeight="1" s="392">
      <c r="A34" s="25" t="inlineStr">
        <is>
          <t>613-2-2</t>
        </is>
      </c>
      <c r="B34" s="25" t="inlineStr">
        <is>
          <t>Entr&amp;réparat biens mobilier</t>
        </is>
      </c>
    </row>
    <row r="35" ht="15" customHeight="1" s="392">
      <c r="A35" s="25" t="inlineStr">
        <is>
          <t>613-2-3</t>
        </is>
      </c>
      <c r="B35" s="25" t="inlineStr">
        <is>
          <t>Entretien et réparation matériel transport</t>
        </is>
      </c>
    </row>
    <row r="36" ht="15" customHeight="1" s="392">
      <c r="A36" s="25" t="inlineStr">
        <is>
          <t>613-2-4</t>
        </is>
      </c>
      <c r="B36" s="25" t="inlineStr">
        <is>
          <t>Entretien et réparation matériel&amp;outillage</t>
        </is>
      </c>
    </row>
    <row r="37" ht="15" customHeight="1" s="392">
      <c r="A37" s="25" t="inlineStr">
        <is>
          <t>613-2-5</t>
        </is>
      </c>
      <c r="B37" s="25" t="inlineStr">
        <is>
          <t>Entretien et maintenance matériel Informatiq &amp; logiciels</t>
        </is>
      </c>
    </row>
    <row r="38" ht="15" customHeight="1" s="392">
      <c r="A38" s="25" t="inlineStr">
        <is>
          <t>613-2-6</t>
        </is>
      </c>
      <c r="B38" s="25" t="inlineStr">
        <is>
          <t xml:space="preserve">Assurances </t>
        </is>
      </c>
    </row>
    <row r="39" ht="15" customHeight="1" s="392">
      <c r="A39" s="25" t="inlineStr">
        <is>
          <t>613-3-2</t>
        </is>
      </c>
      <c r="B39" s="25" t="inlineStr">
        <is>
          <t>Honoraires</t>
        </is>
      </c>
    </row>
    <row r="40" ht="15" customHeight="1" s="392">
      <c r="A40" s="25" t="inlineStr">
        <is>
          <t>613-3-3</t>
        </is>
      </c>
      <c r="B40" s="25" t="inlineStr">
        <is>
          <t>Frais d'actes et contentieux</t>
        </is>
      </c>
    </row>
    <row r="41" ht="15" customHeight="1" s="392">
      <c r="A41" s="25" t="inlineStr">
        <is>
          <t>613-4-2</t>
        </is>
      </c>
      <c r="B41" s="25" t="inlineStr">
        <is>
          <t>Autres redevances</t>
        </is>
      </c>
    </row>
    <row r="42" ht="15" customHeight="1" s="392">
      <c r="A42" s="25" t="inlineStr">
        <is>
          <t>613-4-3</t>
        </is>
      </c>
      <c r="B42" s="25" t="inlineStr">
        <is>
          <t xml:space="preserve">Documentation </t>
        </is>
      </c>
    </row>
    <row r="43" ht="15" customHeight="1" s="392">
      <c r="A43" s="25" t="inlineStr">
        <is>
          <t>613-4-4</t>
        </is>
      </c>
      <c r="B43" s="25" t="inlineStr">
        <is>
          <t>Abonnements</t>
        </is>
      </c>
    </row>
    <row r="44" ht="15" customHeight="1" s="392">
      <c r="A44" s="25" t="inlineStr">
        <is>
          <t>613-4-5</t>
        </is>
      </c>
      <c r="B44" s="25" t="inlineStr">
        <is>
          <t>Cotisations</t>
        </is>
      </c>
    </row>
    <row r="45" ht="15" customHeight="1" s="392">
      <c r="A45" s="25" t="inlineStr">
        <is>
          <t>614-1-1</t>
        </is>
      </c>
      <c r="B45" s="25" t="inlineStr">
        <is>
          <t>Mission au Maroc</t>
        </is>
      </c>
    </row>
    <row r="46" ht="15" customHeight="1" s="392">
      <c r="A46" s="25" t="inlineStr">
        <is>
          <t>614-1-2</t>
        </is>
      </c>
      <c r="B46" s="25" t="inlineStr">
        <is>
          <t>Mission à l'étranger</t>
        </is>
      </c>
    </row>
    <row r="47" ht="15" customHeight="1" s="392">
      <c r="A47" s="25" t="inlineStr">
        <is>
          <t>614-1-3</t>
        </is>
      </c>
      <c r="B47" s="25" t="inlineStr">
        <is>
          <t>Réceptions</t>
        </is>
      </c>
    </row>
    <row r="48" ht="15" customHeight="1" s="392">
      <c r="A48" s="25" t="inlineStr">
        <is>
          <t>614-2-1</t>
        </is>
      </c>
      <c r="B48" s="25" t="inlineStr">
        <is>
          <t>Annonces et insertions</t>
        </is>
      </c>
    </row>
    <row r="49" ht="15" customHeight="1" s="392">
      <c r="A49" s="25" t="inlineStr">
        <is>
          <t>614-2-2</t>
        </is>
      </c>
      <c r="B49" s="25" t="inlineStr">
        <is>
          <t>Charges de publicité</t>
        </is>
      </c>
    </row>
    <row r="50" ht="15" customHeight="1" s="392">
      <c r="A50" s="25" t="inlineStr">
        <is>
          <t>614-2-3</t>
        </is>
      </c>
      <c r="B50" s="25" t="inlineStr">
        <is>
          <t>Autres charges de relations publiques</t>
        </is>
      </c>
    </row>
    <row r="51" ht="15" customHeight="1" s="392">
      <c r="A51" s="25" t="inlineStr">
        <is>
          <t>614-3-1</t>
        </is>
      </c>
      <c r="B51" s="25" t="inlineStr">
        <is>
          <t>Frais postaux</t>
        </is>
      </c>
    </row>
    <row r="52" ht="15" customHeight="1" s="392">
      <c r="A52" s="25" t="inlineStr">
        <is>
          <t>614-3-2</t>
        </is>
      </c>
      <c r="B52" s="25" t="inlineStr">
        <is>
          <t>Téléphone &amp; internet</t>
        </is>
      </c>
    </row>
    <row r="53" ht="15" customHeight="1" s="392">
      <c r="A53" s="25" t="inlineStr">
        <is>
          <t>614-3-4</t>
        </is>
      </c>
      <c r="B53" s="25" t="inlineStr">
        <is>
          <t>Transport du personnel</t>
        </is>
      </c>
    </row>
    <row r="54" ht="15" customHeight="1" s="392">
      <c r="A54" s="25" t="inlineStr">
        <is>
          <t>614-3-5</t>
        </is>
      </c>
      <c r="B54" s="25" t="inlineStr">
        <is>
          <t>Autres transports</t>
        </is>
      </c>
    </row>
    <row r="55" ht="15" customHeight="1" s="392">
      <c r="A55" s="25" t="inlineStr">
        <is>
          <t>617-1-1</t>
        </is>
      </c>
      <c r="B55" s="25" t="inlineStr">
        <is>
          <t>Salaires de bases +rappels</t>
        </is>
      </c>
    </row>
    <row r="56" ht="15" customHeight="1" s="392">
      <c r="A56" s="25" t="inlineStr">
        <is>
          <t>617-1-2</t>
        </is>
      </c>
      <c r="B56" s="25" t="inlineStr">
        <is>
          <t xml:space="preserve">Primes et indemnités </t>
        </is>
      </c>
    </row>
    <row r="57" ht="15" customHeight="1" s="392">
      <c r="A57" s="25" t="inlineStr">
        <is>
          <t>617-2</t>
        </is>
      </c>
      <c r="B57" s="25" t="inlineStr">
        <is>
          <t>Charges sociales</t>
        </is>
      </c>
    </row>
    <row r="58" ht="15" customHeight="1" s="392">
      <c r="A58" s="25" t="inlineStr">
        <is>
          <t>617-3</t>
        </is>
      </c>
      <c r="B58" s="25" t="inlineStr">
        <is>
          <t>Charges sociales diverses</t>
        </is>
      </c>
    </row>
  </sheetData>
  <pageMargins left="0.75" right="0.75" top="1" bottom="1" header="0.5" footer="0.5"/>
  <pageSetup orientation="portrait" paperSize="9"/>
</worksheet>
</file>

<file path=xl/worksheets/sheet7.xml><?xml version="1.0" encoding="utf-8"?>
<worksheet xmlns="http://schemas.openxmlformats.org/spreadsheetml/2006/main">
  <sheetPr>
    <outlinePr summaryBelow="1" summaryRight="1"/>
    <pageSetUpPr/>
  </sheetPr>
  <dimension ref="A1:AD169"/>
  <sheetViews>
    <sheetView workbookViewId="0">
      <selection activeCell="A1" sqref="A1"/>
    </sheetView>
  </sheetViews>
  <sheetFormatPr baseColWidth="10" defaultColWidth="8.7265625" defaultRowHeight="14.5"/>
  <cols>
    <col width="26.54296875" customWidth="1" style="392" min="1" max="1"/>
    <col width="48.54296875" customWidth="1" style="392" min="2" max="2"/>
    <col width="13.7265625" customWidth="1" style="392" min="3" max="3"/>
    <col width="19.26953125" customWidth="1" style="392" min="4" max="4"/>
    <col width="16.7265625" customWidth="1" style="392" min="5" max="5"/>
    <col width="19.1796875" customWidth="1" style="392" min="6" max="6"/>
    <col width="14.1796875" customWidth="1" style="392" min="7" max="7"/>
    <col width="14.54296875" customWidth="1" style="392" min="8" max="8"/>
    <col width="16" customWidth="1" style="392" min="9" max="9"/>
    <col width="9.1796875" customWidth="1" style="392" min="10" max="10"/>
  </cols>
  <sheetData>
    <row r="1">
      <c r="A1" s="410" t="inlineStr">
        <is>
          <t xml:space="preserve">PROGRAMME PREVISIONNEL DES MARCHES PAR APPELS D'OFFRES </t>
        </is>
      </c>
    </row>
    <row r="2">
      <c r="A2" s="408" t="n"/>
    </row>
    <row r="3"/>
    <row r="4"/>
    <row r="5"/>
    <row r="6"/>
    <row r="7"/>
    <row r="8">
      <c r="A8" s="409" t="n"/>
      <c r="B8" s="409" t="n"/>
      <c r="C8" s="409" t="n"/>
      <c r="D8" s="409" t="n"/>
      <c r="E8" s="409" t="n"/>
      <c r="F8" s="409" t="n"/>
      <c r="G8" s="409" t="n"/>
      <c r="H8" s="409" t="n"/>
    </row>
    <row r="9" ht="47.25" customHeight="1" s="392">
      <c r="A9" s="219" t="inlineStr">
        <is>
          <t xml:space="preserve">DIRECTION </t>
        </is>
      </c>
      <c r="B9" s="219" t="inlineStr">
        <is>
          <t xml:space="preserve">OBJET
 </t>
        </is>
      </c>
      <c r="C9" s="219" t="inlineStr">
        <is>
          <t>NATURE DE LA PRESTATION</t>
        </is>
      </c>
      <c r="D9" s="219" t="inlineStr">
        <is>
          <t>MODE DE PASSATION</t>
        </is>
      </c>
      <c r="E9" s="219" t="inlineStr">
        <is>
          <t>PERIODE PREVUE POUR LE LANCEMENT</t>
        </is>
      </c>
      <c r="F9" s="219" t="inlineStr">
        <is>
          <t>LIEU D'EXECUTION</t>
        </is>
      </c>
      <c r="G9" s="219" t="inlineStr">
        <is>
          <t xml:space="preserve">AOO RESERVES AUX PME </t>
        </is>
      </c>
      <c r="H9" s="219" t="inlineStr">
        <is>
          <t>ESTIMATION</t>
        </is>
      </c>
      <c r="I9" s="219" t="inlineStr">
        <is>
          <t>NATURE BUDGET</t>
        </is>
      </c>
    </row>
    <row r="10" ht="37.5" customHeight="1" s="392">
      <c r="A10" s="220" t="inlineStr">
        <is>
          <t>Direction de la Télédiffusion</t>
        </is>
      </c>
      <c r="B10" s="220" t="inlineStr">
        <is>
          <t>Fourniture des  modules  de  traitement audio et RDS  pour les émetteurs FM</t>
        </is>
      </c>
      <c r="C10" s="221" t="inlineStr">
        <is>
          <t>Fournitures</t>
        </is>
      </c>
      <c r="D10" s="222" t="inlineStr">
        <is>
          <t>Appel d'offres ouvert</t>
        </is>
      </c>
      <c r="E10" s="221" t="inlineStr">
        <is>
          <t>T3</t>
        </is>
      </c>
      <c r="F10" s="221" t="inlineStr">
        <is>
          <t>Magasin Temara</t>
        </is>
      </c>
      <c r="G10" s="221" t="inlineStr">
        <is>
          <t>Non</t>
        </is>
      </c>
      <c r="H10" s="223" t="n">
        <v>1800000</v>
      </c>
      <c r="I10" s="224" t="inlineStr">
        <is>
          <t>Investissement</t>
        </is>
      </c>
    </row>
    <row r="11" ht="39.75" customHeight="1" s="392">
      <c r="A11" s="220" t="inlineStr">
        <is>
          <t>Direction de la Télédiffusion</t>
        </is>
      </c>
      <c r="B11" s="220" t="inlineStr">
        <is>
          <t>Fourniture, installation et mise en service de systèmes de supervision des antennes de diffusion FM et TV</t>
        </is>
      </c>
      <c r="C11" s="221" t="inlineStr">
        <is>
          <t>Fournitures</t>
        </is>
      </c>
      <c r="D11" s="222" t="inlineStr">
        <is>
          <t>Appel d'offres ouvert</t>
        </is>
      </c>
      <c r="E11" s="221" t="inlineStr">
        <is>
          <t>T2</t>
        </is>
      </c>
      <c r="F11" s="221" t="inlineStr">
        <is>
          <t>Centres de diffusion de la SNRT</t>
        </is>
      </c>
      <c r="G11" s="221" t="inlineStr">
        <is>
          <t>Non</t>
        </is>
      </c>
      <c r="H11" s="223" t="n">
        <v>2755000</v>
      </c>
      <c r="I11" s="224" t="inlineStr">
        <is>
          <t>Investissement</t>
        </is>
      </c>
    </row>
    <row r="12" ht="41.25" customHeight="1" s="392">
      <c r="A12" s="220" t="inlineStr">
        <is>
          <t>Direction de la Télédiffusion</t>
        </is>
      </c>
      <c r="B12" s="220" t="inlineStr">
        <is>
          <t>Fourniture et installation des équipements de contrôle audio et vidéo pour les petits centres de diffusion TV/FM</t>
        </is>
      </c>
      <c r="C12" s="221" t="inlineStr">
        <is>
          <t>Fournitures</t>
        </is>
      </c>
      <c r="D12" s="222" t="inlineStr">
        <is>
          <t>Appel d'offres ouvert</t>
        </is>
      </c>
      <c r="E12" s="221" t="inlineStr">
        <is>
          <t>T2</t>
        </is>
      </c>
      <c r="F12" s="221" t="inlineStr">
        <is>
          <t>Centres de diffusion de la SNRT</t>
        </is>
      </c>
      <c r="G12" s="221" t="inlineStr">
        <is>
          <t>Non</t>
        </is>
      </c>
      <c r="H12" s="223" t="n">
        <v>1000000</v>
      </c>
      <c r="I12" s="224" t="inlineStr">
        <is>
          <t>Investissement</t>
        </is>
      </c>
    </row>
    <row r="13" ht="38.25" customHeight="1" s="392">
      <c r="A13" s="220" t="inlineStr">
        <is>
          <t>Direction de la Télédiffusion</t>
        </is>
      </c>
      <c r="B13" s="225" t="inlineStr">
        <is>
          <t>Fourniture, installation et mise en service des climatiseurs aux centres de diffusion de la SNRT</t>
        </is>
      </c>
      <c r="C13" s="221" t="inlineStr">
        <is>
          <t>Fournitures</t>
        </is>
      </c>
      <c r="D13" s="222" t="inlineStr">
        <is>
          <t>Appel d'offres ouvert</t>
        </is>
      </c>
      <c r="E13" s="221" t="inlineStr">
        <is>
          <t>T3</t>
        </is>
      </c>
      <c r="F13" s="221" t="inlineStr">
        <is>
          <t>Centres de diffusion de la SNRT</t>
        </is>
      </c>
      <c r="G13" s="221" t="inlineStr">
        <is>
          <t>Oui</t>
        </is>
      </c>
      <c r="H13" s="223" t="n">
        <v>3500000</v>
      </c>
      <c r="I13" s="224" t="inlineStr">
        <is>
          <t>Investissement</t>
        </is>
      </c>
    </row>
    <row r="14" ht="31.5" customHeight="1" s="392">
      <c r="A14" s="220" t="inlineStr">
        <is>
          <t>Direction de la Télédiffusion</t>
        </is>
      </c>
      <c r="B14" s="226" t="inlineStr">
        <is>
          <t>Fourniture des analyseurs de réseaux électrique et les appareils de mesure électrique</t>
        </is>
      </c>
      <c r="C14" s="224" t="inlineStr">
        <is>
          <t>Fournitures</t>
        </is>
      </c>
      <c r="D14" s="222" t="inlineStr">
        <is>
          <t>Appel d'offres ouvert</t>
        </is>
      </c>
      <c r="E14" s="224" t="inlineStr">
        <is>
          <t>T2</t>
        </is>
      </c>
      <c r="F14" s="224" t="inlineStr">
        <is>
          <t>Magasin Temara</t>
        </is>
      </c>
      <c r="G14" s="224" t="inlineStr">
        <is>
          <t>Non</t>
        </is>
      </c>
      <c r="H14" s="227" t="n">
        <v>800000</v>
      </c>
      <c r="I14" s="224" t="inlineStr">
        <is>
          <t>Investissement</t>
        </is>
      </c>
    </row>
    <row r="15" ht="39.75" customHeight="1" s="392">
      <c r="A15" s="220" t="inlineStr">
        <is>
          <t>Direction de la Télédiffusion</t>
        </is>
      </c>
      <c r="B15" s="220" t="inlineStr">
        <is>
          <t>Fourniture,installation et mise en service des commutateurs et distributeurs des signaux ASI et IP pour les centres de diffusion TNT et FM</t>
        </is>
      </c>
      <c r="C15" s="221" t="inlineStr">
        <is>
          <t>Fournitures</t>
        </is>
      </c>
      <c r="D15" s="222" t="inlineStr">
        <is>
          <t>Appel d'offres ouvert</t>
        </is>
      </c>
      <c r="E15" s="221" t="inlineStr">
        <is>
          <t>T3</t>
        </is>
      </c>
      <c r="F15" s="221" t="inlineStr">
        <is>
          <t>Centres de diffusion de la SNRT</t>
        </is>
      </c>
      <c r="G15" s="224" t="inlineStr">
        <is>
          <t>Non</t>
        </is>
      </c>
      <c r="H15" s="223" t="n">
        <v>1000000</v>
      </c>
      <c r="I15" s="224" t="inlineStr">
        <is>
          <t>Investissement</t>
        </is>
      </c>
    </row>
    <row r="16" ht="40.5" customHeight="1" s="392">
      <c r="A16" s="220" t="inlineStr">
        <is>
          <t>Direction de la Télédiffusion</t>
        </is>
      </c>
      <c r="B16" s="226" t="inlineStr">
        <is>
          <t>Fourniture et installation des sondes FM et TNT pour le contrôle des signaux audios et vidéo des chaines radio et télevision de la SNRT</t>
        </is>
      </c>
      <c r="C16" s="228" t="inlineStr">
        <is>
          <t>Fournitures</t>
        </is>
      </c>
      <c r="D16" s="222" t="inlineStr">
        <is>
          <t>Appel d'offres ouvert</t>
        </is>
      </c>
      <c r="E16" s="228" t="inlineStr">
        <is>
          <t>T3</t>
        </is>
      </c>
      <c r="F16" s="228" t="inlineStr">
        <is>
          <t>Magasin Temara</t>
        </is>
      </c>
      <c r="G16" s="224" t="inlineStr">
        <is>
          <t>Non</t>
        </is>
      </c>
      <c r="H16" s="229" t="n">
        <v>1200000</v>
      </c>
      <c r="I16" s="228" t="inlineStr">
        <is>
          <t>Investissement</t>
        </is>
      </c>
    </row>
    <row r="17" ht="25.5" customHeight="1" s="392">
      <c r="A17" s="230" t="inlineStr">
        <is>
          <t>Direction de la Télédiffusion</t>
        </is>
      </c>
      <c r="B17" s="230" t="inlineStr">
        <is>
          <t>Fourniture des modules et pièces de rechanges des émetteurs TNT de  des centres de la SNRT</t>
        </is>
      </c>
      <c r="C17" s="231" t="inlineStr">
        <is>
          <t>Fournitures</t>
        </is>
      </c>
      <c r="D17" s="232" t="inlineStr">
        <is>
          <t>Appel d'offres ouvert</t>
        </is>
      </c>
      <c r="E17" s="231" t="inlineStr">
        <is>
          <t>T2</t>
        </is>
      </c>
      <c r="F17" s="231" t="inlineStr">
        <is>
          <t>Magasin Temara</t>
        </is>
      </c>
      <c r="G17" s="231" t="inlineStr">
        <is>
          <t>Non</t>
        </is>
      </c>
      <c r="H17" s="233" t="n">
        <v>6500000</v>
      </c>
      <c r="I17" s="231" t="inlineStr">
        <is>
          <t>Fonctionnement</t>
        </is>
      </c>
    </row>
    <row r="18" ht="25.5" customHeight="1" s="392">
      <c r="A18" s="230" t="inlineStr">
        <is>
          <t>Direction de la Télédiffusion</t>
        </is>
      </c>
      <c r="B18" s="230" t="inlineStr">
        <is>
          <t>Fourniture des modules et pièces de rechanges des émetteurs FM  des centres de la SNRT</t>
        </is>
      </c>
      <c r="C18" s="231" t="inlineStr">
        <is>
          <t>Fournitures</t>
        </is>
      </c>
      <c r="D18" s="232" t="inlineStr">
        <is>
          <t>Appel d'offres ouvert</t>
        </is>
      </c>
      <c r="E18" s="231" t="inlineStr">
        <is>
          <t>T2</t>
        </is>
      </c>
      <c r="F18" s="231" t="inlineStr">
        <is>
          <t>Magasin Temara</t>
        </is>
      </c>
      <c r="G18" s="231" t="inlineStr">
        <is>
          <t>Non</t>
        </is>
      </c>
      <c r="H18" s="233" t="n">
        <v>6500000</v>
      </c>
      <c r="I18" s="231" t="inlineStr">
        <is>
          <t>Fonctionnement</t>
        </is>
      </c>
    </row>
    <row r="19" ht="25.5" customHeight="1" s="392">
      <c r="A19" s="220" t="inlineStr">
        <is>
          <t>Direction de la Télédiffusion</t>
        </is>
      </c>
      <c r="B19" s="220" t="inlineStr">
        <is>
          <t>Fourniture des duplexeurs, filtres, patchs panel , commutateurs RF et adaptateurs</t>
        </is>
      </c>
      <c r="C19" s="221" t="inlineStr">
        <is>
          <t>Fournitures</t>
        </is>
      </c>
      <c r="D19" s="222" t="inlineStr">
        <is>
          <t>Appel d'offres ouvert</t>
        </is>
      </c>
      <c r="E19" s="221" t="inlineStr">
        <is>
          <t>T3</t>
        </is>
      </c>
      <c r="F19" s="221" t="inlineStr">
        <is>
          <t>Magasin Temara</t>
        </is>
      </c>
      <c r="G19" s="224" t="inlineStr">
        <is>
          <t>Non</t>
        </is>
      </c>
      <c r="H19" s="223" t="n">
        <v>1600000</v>
      </c>
      <c r="I19" s="224" t="inlineStr">
        <is>
          <t>Fonctionnement</t>
        </is>
      </c>
    </row>
    <row r="20" ht="25.5" customHeight="1" s="392">
      <c r="A20" s="220" t="inlineStr">
        <is>
          <t>Direction de la Télédiffusion</t>
        </is>
      </c>
      <c r="B20" s="226" t="inlineStr">
        <is>
          <t>Fourniture des distributeurs de puissance UHF et  FM, combiners, feeders et antennes</t>
        </is>
      </c>
      <c r="C20" s="224" t="inlineStr">
        <is>
          <t>Fournitures</t>
        </is>
      </c>
      <c r="D20" s="222" t="inlineStr">
        <is>
          <t>Appel d'offres ouvert</t>
        </is>
      </c>
      <c r="E20" s="224" t="inlineStr">
        <is>
          <t>T3</t>
        </is>
      </c>
      <c r="F20" s="224" t="inlineStr">
        <is>
          <t>Magasin Temara</t>
        </is>
      </c>
      <c r="G20" s="224" t="inlineStr">
        <is>
          <t>Non</t>
        </is>
      </c>
      <c r="H20" s="227" t="n">
        <v>3500000</v>
      </c>
      <c r="I20" s="224" t="inlineStr">
        <is>
          <t>Fonctionnement</t>
        </is>
      </c>
    </row>
    <row r="21" ht="38.25" customHeight="1" s="392">
      <c r="A21" s="220" t="inlineStr">
        <is>
          <t>Direction de la Télédiffusion</t>
        </is>
      </c>
      <c r="B21" s="220" t="inlineStr">
        <is>
          <t>Fourniture des modules et pièces de rechanges hydrauliques et électriques  pour les émetteurs de diffusion TNT et FM</t>
        </is>
      </c>
      <c r="C21" s="221" t="inlineStr">
        <is>
          <t>Fournitures</t>
        </is>
      </c>
      <c r="D21" s="222" t="inlineStr">
        <is>
          <t>Appel d'offres ouvert</t>
        </is>
      </c>
      <c r="E21" s="221" t="inlineStr">
        <is>
          <t>T2</t>
        </is>
      </c>
      <c r="F21" s="221" t="inlineStr">
        <is>
          <t>Magasin Temara</t>
        </is>
      </c>
      <c r="G21" s="224" t="inlineStr">
        <is>
          <t>Non</t>
        </is>
      </c>
      <c r="H21" s="223" t="n">
        <v>1100000</v>
      </c>
      <c r="I21" s="224" t="inlineStr">
        <is>
          <t>Fonctionnement</t>
        </is>
      </c>
    </row>
    <row r="22" ht="44.25" customHeight="1" s="392">
      <c r="A22" s="220" t="inlineStr">
        <is>
          <t>Direction de la Télédiffusion</t>
        </is>
      </c>
      <c r="B22" s="220" t="inlineStr">
        <is>
          <t>L'entretien et la remise en état des systèmes de balisage aux pylônes des centres de diffusion TV/FM</t>
        </is>
      </c>
      <c r="C22" s="221" t="inlineStr">
        <is>
          <t>Services</t>
        </is>
      </c>
      <c r="D22" s="222" t="inlineStr">
        <is>
          <t>Appel d'offres ouvert</t>
        </is>
      </c>
      <c r="E22" s="221" t="inlineStr">
        <is>
          <t>T2</t>
        </is>
      </c>
      <c r="F22" s="221" t="inlineStr">
        <is>
          <t>centres de diffusion de la SNRT</t>
        </is>
      </c>
      <c r="G22" s="221" t="inlineStr">
        <is>
          <t>Oui</t>
        </is>
      </c>
      <c r="H22" s="223" t="n">
        <v>500000</v>
      </c>
      <c r="I22" s="224" t="inlineStr">
        <is>
          <t>Fonctionnement</t>
        </is>
      </c>
    </row>
    <row r="23" ht="37.5" customHeight="1" s="392">
      <c r="A23" s="220" t="inlineStr">
        <is>
          <t>Direction de la Télédiffusion</t>
        </is>
      </c>
      <c r="B23" s="226" t="inlineStr">
        <is>
          <t>Entretien et maintenance du syteme d'antennes du centre radio AM d'Ait Melloul</t>
        </is>
      </c>
      <c r="C23" s="224" t="inlineStr">
        <is>
          <t>Services</t>
        </is>
      </c>
      <c r="D23" s="222" t="inlineStr">
        <is>
          <t>Appel d'offres ouvert</t>
        </is>
      </c>
      <c r="E23" s="221" t="inlineStr">
        <is>
          <t>T2</t>
        </is>
      </c>
      <c r="F23" s="224" t="inlineStr">
        <is>
          <t>Ait Melloul</t>
        </is>
      </c>
      <c r="G23" s="221" t="inlineStr">
        <is>
          <t>Oui</t>
        </is>
      </c>
      <c r="H23" s="227" t="n">
        <v>2600000</v>
      </c>
      <c r="I23" s="224" t="inlineStr">
        <is>
          <t>Fonctionnement</t>
        </is>
      </c>
    </row>
    <row r="24" ht="43.5" customHeight="1" s="392">
      <c r="A24" s="230" t="inlineStr">
        <is>
          <t>Direction de la Télédiffusion</t>
        </is>
      </c>
      <c r="B24" s="230" t="inlineStr">
        <is>
          <t>Entretien et remise en état  du système de verouillage et de protection des cabines d'antennes de  centres AM</t>
        </is>
      </c>
      <c r="C24" s="231" t="inlineStr">
        <is>
          <t>Services</t>
        </is>
      </c>
      <c r="D24" s="232" t="inlineStr">
        <is>
          <t>Appel d'offres ouvert</t>
        </is>
      </c>
      <c r="E24" s="231" t="inlineStr">
        <is>
          <t>T3</t>
        </is>
      </c>
      <c r="F24" s="231" t="inlineStr">
        <is>
          <t>centres de diffusion de la SNRT</t>
        </is>
      </c>
      <c r="G24" s="231" t="inlineStr">
        <is>
          <t>Oui</t>
        </is>
      </c>
      <c r="H24" s="233" t="n">
        <v>1800000</v>
      </c>
      <c r="I24" s="231" t="inlineStr">
        <is>
          <t>Fonctionnement</t>
        </is>
      </c>
    </row>
    <row r="25" ht="25.5" customHeight="1" s="392">
      <c r="A25" s="220" t="inlineStr">
        <is>
          <t>Direction de la Télédiffusion</t>
        </is>
      </c>
      <c r="B25" s="220" t="inlineStr">
        <is>
          <t>Entretien des  systèmes de la télésurveillance des centres radio AM.</t>
        </is>
      </c>
      <c r="C25" s="224" t="inlineStr">
        <is>
          <t>Services</t>
        </is>
      </c>
      <c r="D25" s="222" t="inlineStr">
        <is>
          <t>Appel d'offres ouvert</t>
        </is>
      </c>
      <c r="E25" s="224" t="inlineStr">
        <is>
          <t>T2</t>
        </is>
      </c>
      <c r="F25" s="221" t="inlineStr">
        <is>
          <t>Centre de diffusion AM</t>
        </is>
      </c>
      <c r="G25" s="221" t="inlineStr">
        <is>
          <t>Oui</t>
        </is>
      </c>
      <c r="H25" s="227" t="n">
        <v>180000</v>
      </c>
      <c r="I25" s="224" t="inlineStr">
        <is>
          <t>Fonctionnement</t>
        </is>
      </c>
    </row>
    <row r="26" ht="38.25" customHeight="1" s="392">
      <c r="A26" s="220" t="inlineStr">
        <is>
          <t>Direction de la Télédiffusion</t>
        </is>
      </c>
      <c r="B26" s="220" t="inlineStr">
        <is>
          <t>Entretien et maintenance des équipements électriques, électroniques des climatiseurs aux centres de diffusion, y compris la fourniture des pièces de rechange.</t>
        </is>
      </c>
      <c r="C26" s="234" t="inlineStr">
        <is>
          <t>Services</t>
        </is>
      </c>
      <c r="D26" s="222" t="inlineStr">
        <is>
          <t>Appel d'offres ouvert</t>
        </is>
      </c>
      <c r="E26" s="234" t="inlineStr">
        <is>
          <t>T2</t>
        </is>
      </c>
      <c r="F26" s="221" t="inlineStr">
        <is>
          <t>Centres de diffusion TV/FM</t>
        </is>
      </c>
      <c r="G26" s="221" t="inlineStr">
        <is>
          <t>Oui</t>
        </is>
      </c>
      <c r="H26" s="574" t="n">
        <v>4500000</v>
      </c>
      <c r="I26" s="224" t="inlineStr">
        <is>
          <t>Fonctionnement</t>
        </is>
      </c>
    </row>
    <row r="27" ht="38.25" customHeight="1" s="392">
      <c r="A27" s="220" t="inlineStr">
        <is>
          <t>Direction de la Télédiffusion</t>
        </is>
      </c>
      <c r="B27" s="220" t="inlineStr">
        <is>
          <t xml:space="preserve">Fourniture, installation et mise en service des émetteurs DVB-T/T2 avec combiners pour quelques sites de diffusion </t>
        </is>
      </c>
      <c r="C27" s="221" t="inlineStr">
        <is>
          <t>Fournitures</t>
        </is>
      </c>
      <c r="D27" s="222" t="inlineStr">
        <is>
          <t>Appel d'offres ouvert</t>
        </is>
      </c>
      <c r="E27" s="221" t="inlineStr">
        <is>
          <t>T2</t>
        </is>
      </c>
      <c r="F27" s="221" t="inlineStr">
        <is>
          <t>Laayoune, Palomas, Tazerkount</t>
        </is>
      </c>
      <c r="G27" s="221" t="inlineStr">
        <is>
          <t>Non</t>
        </is>
      </c>
      <c r="H27" s="227" t="n">
        <v>4000000</v>
      </c>
      <c r="I27" s="224" t="inlineStr">
        <is>
          <t>Investissement</t>
        </is>
      </c>
      <c r="J27" s="235" t="n"/>
      <c r="K27" s="235" t="n"/>
      <c r="L27" s="235" t="n"/>
      <c r="M27" s="235" t="n"/>
      <c r="N27" s="235" t="n"/>
      <c r="O27" s="235" t="n"/>
      <c r="P27" s="235" t="n"/>
      <c r="Q27" s="235" t="n"/>
      <c r="R27" s="235" t="n"/>
      <c r="S27" s="235" t="n"/>
      <c r="T27" s="235" t="n"/>
      <c r="U27" s="235" t="n"/>
      <c r="V27" s="235" t="n"/>
    </row>
    <row r="28" ht="38.25" customHeight="1" s="392">
      <c r="A28" s="220" t="inlineStr">
        <is>
          <t>Direction de la Télédiffusion</t>
        </is>
      </c>
      <c r="B28" s="220" t="inlineStr">
        <is>
          <t xml:space="preserve">Fourniture, installation et mise en service des émetteurs FM avec combiners et systèmes d'antennes FM pour quelques sites de diffusion </t>
        </is>
      </c>
      <c r="C28" s="221" t="inlineStr">
        <is>
          <t>Fournitures</t>
        </is>
      </c>
      <c r="D28" s="222" t="inlineStr">
        <is>
          <t>Appel d'offres ouvert</t>
        </is>
      </c>
      <c r="E28" s="221" t="inlineStr">
        <is>
          <t>T2</t>
        </is>
      </c>
      <c r="F28" s="221" t="inlineStr">
        <is>
          <t>Azougar, Bouarfa,  Figuig, Palomas,  Tizi Azza</t>
        </is>
      </c>
      <c r="G28" s="221" t="inlineStr">
        <is>
          <t>Non</t>
        </is>
      </c>
      <c r="H28" s="227" t="n">
        <v>4400000</v>
      </c>
      <c r="I28" s="224" t="inlineStr">
        <is>
          <t>Investissement</t>
        </is>
      </c>
      <c r="J28" s="235" t="n"/>
      <c r="K28" s="235" t="n"/>
      <c r="L28" s="235" t="n"/>
      <c r="M28" s="235" t="n"/>
      <c r="N28" s="235" t="n"/>
      <c r="O28" s="235" t="n"/>
      <c r="P28" s="235" t="n"/>
      <c r="Q28" s="235" t="n"/>
      <c r="R28" s="235" t="n"/>
      <c r="S28" s="235" t="n"/>
      <c r="T28" s="235" t="n"/>
      <c r="U28" s="235" t="n"/>
      <c r="V28" s="235" t="n"/>
    </row>
    <row r="29" ht="75" customHeight="1" s="392">
      <c r="A29" s="220" t="inlineStr">
        <is>
          <t>Direction de la Télédiffusion</t>
        </is>
      </c>
      <c r="B29" s="220" t="inlineStr">
        <is>
          <t>Fourniture, installation et mise en service de nouvelles liaisons de faisceaux hertzien pour un Trafic MPEG-TS/IP et IP.</t>
        </is>
      </c>
      <c r="C29" s="221" t="inlineStr">
        <is>
          <t>Fournitures</t>
        </is>
      </c>
      <c r="D29" s="222" t="inlineStr">
        <is>
          <t>Appel d'offres ouvert</t>
        </is>
      </c>
      <c r="E29" s="221" t="inlineStr">
        <is>
          <t>T3</t>
        </is>
      </c>
      <c r="F29" s="221" t="inlineStr">
        <is>
          <t>Zerhoun - Azougar - Tiguelmamine - Takka Tissoufra - Izeft - Errachidia - Rich
Rabat - Zaers - Témara.</t>
        </is>
      </c>
      <c r="G29" s="221" t="inlineStr">
        <is>
          <t>Non</t>
        </is>
      </c>
      <c r="H29" s="227" t="n">
        <v>8000000</v>
      </c>
      <c r="I29" s="224" t="inlineStr">
        <is>
          <t>Investissement</t>
        </is>
      </c>
      <c r="J29" s="235" t="n"/>
      <c r="K29" s="235" t="n"/>
      <c r="L29" s="235" t="n"/>
      <c r="M29" s="235" t="n"/>
      <c r="N29" s="235" t="n"/>
      <c r="O29" s="235" t="n"/>
      <c r="P29" s="235" t="n"/>
      <c r="Q29" s="235" t="n"/>
      <c r="R29" s="235" t="n"/>
      <c r="S29" s="235" t="n"/>
      <c r="T29" s="235" t="n"/>
      <c r="U29" s="235" t="n"/>
      <c r="V29" s="235" t="n"/>
    </row>
    <row r="30" ht="34.5" customHeight="1" s="392">
      <c r="A30" s="230" t="inlineStr">
        <is>
          <t>Direction de la Télédiffusion</t>
        </is>
      </c>
      <c r="B30" s="230" t="inlineStr">
        <is>
          <t>Fourniture de combiners/upconverters.</t>
        </is>
      </c>
      <c r="C30" s="236" t="inlineStr">
        <is>
          <t>Fournitures</t>
        </is>
      </c>
      <c r="D30" s="232" t="inlineStr">
        <is>
          <t>Appel d'offres ouvert</t>
        </is>
      </c>
      <c r="E30" s="231" t="inlineStr">
        <is>
          <t>T1</t>
        </is>
      </c>
      <c r="F30" s="231" t="inlineStr">
        <is>
          <t>Rabat</t>
        </is>
      </c>
      <c r="G30" s="231" t="inlineStr">
        <is>
          <t>Non</t>
        </is>
      </c>
      <c r="H30" s="233" t="n">
        <v>979200</v>
      </c>
      <c r="I30" s="224" t="inlineStr">
        <is>
          <t>Investissement</t>
        </is>
      </c>
      <c r="J30" s="235" t="n"/>
      <c r="K30" s="235" t="n"/>
      <c r="L30" s="235" t="n"/>
      <c r="M30" s="235" t="n"/>
      <c r="N30" s="235" t="n"/>
      <c r="O30" s="235" t="n"/>
      <c r="P30" s="235" t="n"/>
      <c r="Q30" s="235" t="n"/>
      <c r="R30" s="235" t="n"/>
      <c r="S30" s="235" t="n"/>
      <c r="T30" s="235" t="n"/>
      <c r="U30" s="235" t="n"/>
      <c r="V30" s="235" t="n"/>
    </row>
    <row r="31" ht="47.25" customHeight="1" s="392">
      <c r="A31" s="230" t="inlineStr">
        <is>
          <t>Direction de la Télédiffusion</t>
        </is>
      </c>
      <c r="B31" s="230" t="inlineStr">
        <is>
          <t>Fourniture, installation et mise en service des onduleurs 2x150 KVA type modulaires et d’un système de climatisation au centre SNRT de ZAER (RABAT).</t>
        </is>
      </c>
      <c r="C31" s="236" t="inlineStr">
        <is>
          <t>Fournitures</t>
        </is>
      </c>
      <c r="D31" s="232" t="inlineStr">
        <is>
          <t>Appel d'offres ouvert</t>
        </is>
      </c>
      <c r="E31" s="231" t="inlineStr">
        <is>
          <t>T1</t>
        </is>
      </c>
      <c r="F31" s="231" t="inlineStr">
        <is>
          <t>Rabat zaer</t>
        </is>
      </c>
      <c r="G31" s="231" t="inlineStr">
        <is>
          <t>Oui</t>
        </is>
      </c>
      <c r="H31" s="233" t="n">
        <v>3301704</v>
      </c>
      <c r="I31" s="224" t="inlineStr">
        <is>
          <t>Investissement</t>
        </is>
      </c>
      <c r="J31" s="235" t="n"/>
      <c r="K31" s="235" t="n"/>
      <c r="L31" s="235" t="n"/>
      <c r="M31" s="235" t="n"/>
      <c r="N31" s="235" t="n"/>
      <c r="O31" s="235" t="n"/>
      <c r="P31" s="235" t="n"/>
      <c r="Q31" s="235" t="n"/>
      <c r="R31" s="235" t="n"/>
      <c r="S31" s="235" t="n"/>
      <c r="T31" s="235" t="n"/>
      <c r="U31" s="235" t="n"/>
      <c r="V31" s="235" t="n"/>
    </row>
    <row r="32" ht="52.5" customHeight="1" s="392">
      <c r="A32" s="230" t="inlineStr">
        <is>
          <t>Direction de la Télédiffusion</t>
        </is>
      </c>
      <c r="B32" s="230" t="inlineStr">
        <is>
          <t xml:space="preserve">Acquisition de matériel technique et informatique pour l'extension de l'outil digital de gestion des ressources techniques et humaines de l'exploitation et de la maintenance. </t>
        </is>
      </c>
      <c r="C32" s="236" t="inlineStr">
        <is>
          <t>Fournitures</t>
        </is>
      </c>
      <c r="D32" s="232" t="inlineStr">
        <is>
          <t>Appel d'offres ouvert</t>
        </is>
      </c>
      <c r="E32" s="231" t="inlineStr">
        <is>
          <t>T1</t>
        </is>
      </c>
      <c r="F32" s="231" t="inlineStr">
        <is>
          <t>Témara</t>
        </is>
      </c>
      <c r="G32" s="231" t="inlineStr">
        <is>
          <t>Non</t>
        </is>
      </c>
      <c r="H32" s="233" t="n">
        <v>540000</v>
      </c>
      <c r="I32" s="224" t="inlineStr">
        <is>
          <t>Investissement</t>
        </is>
      </c>
      <c r="J32" s="235" t="n"/>
      <c r="K32" s="235" t="n"/>
      <c r="L32" s="235" t="n"/>
      <c r="M32" s="235" t="n"/>
      <c r="N32" s="235" t="n"/>
      <c r="O32" s="235" t="n"/>
      <c r="P32" s="235" t="n"/>
      <c r="Q32" s="235" t="n"/>
      <c r="R32" s="235" t="n"/>
      <c r="S32" s="235" t="n"/>
      <c r="T32" s="235" t="n"/>
      <c r="U32" s="235" t="n"/>
      <c r="V32" s="235" t="n"/>
    </row>
    <row r="33" ht="75.75" customHeight="1" s="392">
      <c r="A33" s="230" t="inlineStr">
        <is>
          <t>Direction de la Télédiffusion</t>
        </is>
      </c>
      <c r="B33" s="230" t="inlineStr">
        <is>
          <t>Fourniture installation et mise en service d’un nouveau groupe électrogène  de puissance 200 KW/PRP  pour le centre SNRT de PALOMAS (P.EL HOCEIMA), ainsi que le transfert de quelques groupes électrogènes entre des centres SNRT y compris leurs mise à niveau.</t>
        </is>
      </c>
      <c r="C33" s="236" t="inlineStr">
        <is>
          <t>Travaux</t>
        </is>
      </c>
      <c r="D33" s="232" t="inlineStr">
        <is>
          <t>Appel d'offres ouvert</t>
        </is>
      </c>
      <c r="E33" s="231" t="inlineStr">
        <is>
          <t>T1</t>
        </is>
      </c>
      <c r="F33" s="231" t="inlineStr">
        <is>
          <t>Al Houceima</t>
        </is>
      </c>
      <c r="G33" s="231" t="inlineStr">
        <is>
          <t>Oui</t>
        </is>
      </c>
      <c r="H33" s="233" t="n">
        <v>1200000</v>
      </c>
      <c r="I33" s="224" t="inlineStr">
        <is>
          <t>Investissement</t>
        </is>
      </c>
      <c r="J33" s="235" t="n"/>
      <c r="K33" s="235" t="n"/>
      <c r="L33" s="235" t="n"/>
      <c r="M33" s="235" t="n"/>
      <c r="N33" s="235" t="n"/>
      <c r="O33" s="235" t="n"/>
      <c r="P33" s="235" t="n"/>
      <c r="Q33" s="235" t="n"/>
      <c r="R33" s="235" t="n"/>
      <c r="S33" s="235" t="n"/>
      <c r="T33" s="235" t="n"/>
      <c r="U33" s="235" t="n"/>
      <c r="V33" s="235" t="n"/>
    </row>
    <row r="34" ht="51" customHeight="1" s="392">
      <c r="A34" s="220" t="inlineStr">
        <is>
          <t>Direction de la Télédiffusion</t>
        </is>
      </c>
      <c r="B34" s="220" t="inlineStr">
        <is>
          <t>Fourniture, installation et mise en service de nouveaux onduleurs dans quelques sites de diffusion.</t>
        </is>
      </c>
      <c r="C34" s="221" t="inlineStr">
        <is>
          <t>Fournitures</t>
        </is>
      </c>
      <c r="D34" s="222" t="inlineStr">
        <is>
          <t>Appel d'offres ouvert</t>
        </is>
      </c>
      <c r="E34" s="221" t="inlineStr">
        <is>
          <t>T2</t>
        </is>
      </c>
      <c r="F34" s="221" t="inlineStr">
        <is>
          <t>JBEL LAHDID (ESSAOUIRA) - ZERHOUNE - OUKEIMEDEN</t>
        </is>
      </c>
      <c r="G34" s="221" t="inlineStr">
        <is>
          <t>Oui</t>
        </is>
      </c>
      <c r="H34" s="227" t="n">
        <v>4000000</v>
      </c>
      <c r="I34" s="224" t="inlineStr">
        <is>
          <t>Investissement</t>
        </is>
      </c>
      <c r="J34" s="235" t="n"/>
      <c r="K34" s="235" t="n"/>
      <c r="L34" s="235" t="n"/>
      <c r="M34" s="235" t="n"/>
      <c r="N34" s="235" t="n"/>
      <c r="O34" s="235" t="n"/>
      <c r="P34" s="235" t="n"/>
      <c r="Q34" s="235" t="n"/>
      <c r="R34" s="235" t="n"/>
      <c r="S34" s="235" t="n"/>
      <c r="T34" s="235" t="n"/>
      <c r="U34" s="235" t="n"/>
      <c r="V34" s="235" t="n"/>
    </row>
    <row r="35" ht="38.25" customHeight="1" s="392">
      <c r="A35" s="220" t="inlineStr">
        <is>
          <t>Direction de la Télédiffusion</t>
        </is>
      </c>
      <c r="B35" s="220" t="inlineStr">
        <is>
          <t>Fourniture, installation et mise en service des groupes électrogènes dans quelques sites de diffusion.</t>
        </is>
      </c>
      <c r="C35" s="221" t="inlineStr">
        <is>
          <t>Travaux</t>
        </is>
      </c>
      <c r="D35" s="222" t="inlineStr">
        <is>
          <t>Appel d'offres ouvert</t>
        </is>
      </c>
      <c r="E35" s="221" t="inlineStr">
        <is>
          <t>T2</t>
        </is>
      </c>
      <c r="F35" s="221" t="inlineStr">
        <is>
          <t>Tarfaya - Akhfennir - Abtih - Sidi IfniI - Sidi Bounouara</t>
        </is>
      </c>
      <c r="G35" s="221" t="inlineStr">
        <is>
          <t>Oui</t>
        </is>
      </c>
      <c r="H35" s="227" t="n">
        <v>3000000</v>
      </c>
      <c r="I35" s="224" t="inlineStr">
        <is>
          <t>Investissement</t>
        </is>
      </c>
      <c r="J35" s="235" t="n"/>
      <c r="K35" s="235" t="n"/>
      <c r="L35" s="235" t="n"/>
      <c r="M35" s="235" t="n"/>
      <c r="N35" s="235" t="n"/>
      <c r="O35" s="235" t="n"/>
      <c r="P35" s="235" t="n"/>
      <c r="Q35" s="235" t="n"/>
      <c r="R35" s="235" t="n"/>
      <c r="S35" s="235" t="n"/>
      <c r="T35" s="235" t="n"/>
      <c r="U35" s="235" t="n"/>
      <c r="V35" s="235" t="n"/>
    </row>
    <row r="36" ht="48.75" customHeight="1" s="392">
      <c r="A36" s="230" t="inlineStr">
        <is>
          <t>Direction de la Télédiffusion</t>
        </is>
      </c>
      <c r="B36" s="230" t="inlineStr">
        <is>
          <t>Electricafication/augmentation MT/BT 2éme reseau de quelques sites de diffusion SNRT.</t>
        </is>
      </c>
      <c r="C36" s="231" t="inlineStr">
        <is>
          <t>Travaux</t>
        </is>
      </c>
      <c r="D36" s="232" t="inlineStr">
        <is>
          <t>Appel d'offres ouvert</t>
        </is>
      </c>
      <c r="E36" s="231" t="inlineStr">
        <is>
          <t>T3</t>
        </is>
      </c>
      <c r="F36" s="231" t="inlineStr">
        <is>
          <t>Fogo (Guelmim) - Akka Ighan (Tata) - Arfoud (Errachidia)</t>
        </is>
      </c>
      <c r="G36" s="231" t="inlineStr">
        <is>
          <t>Oui</t>
        </is>
      </c>
      <c r="H36" s="233" t="n">
        <v>4000000</v>
      </c>
      <c r="I36" s="224" t="inlineStr">
        <is>
          <t>Investissement</t>
        </is>
      </c>
      <c r="J36" s="235" t="n"/>
      <c r="K36" s="235" t="n"/>
      <c r="L36" s="235" t="n"/>
      <c r="M36" s="235" t="n"/>
      <c r="N36" s="235" t="n"/>
      <c r="O36" s="235" t="n"/>
      <c r="P36" s="235" t="n"/>
      <c r="Q36" s="235" t="n"/>
      <c r="R36" s="235" t="n"/>
      <c r="S36" s="235" t="n"/>
      <c r="T36" s="235" t="n"/>
      <c r="U36" s="235" t="n"/>
      <c r="V36" s="235" t="n"/>
    </row>
    <row r="37" ht="76.5" customHeight="1" s="392">
      <c r="A37" s="220" t="inlineStr">
        <is>
          <t>Direction de la Télédiffusion</t>
        </is>
      </c>
      <c r="B37" s="220" t="inlineStr">
        <is>
          <t>Fourniture de matériel électrique et pièces de rechange pour les installations MT/BT, groupes électrogènes et onduleurs. batteries de compensation, batteries des groupes, batteries pour onduleurs et gazoil pour Groupes électrogènes, et pour les équipements de diffusion et des réseaux de transmission.</t>
        </is>
      </c>
      <c r="C37" s="221" t="inlineStr">
        <is>
          <t>Fournitures</t>
        </is>
      </c>
      <c r="D37" s="222" t="inlineStr">
        <is>
          <t>Appel d'offres ouvert</t>
        </is>
      </c>
      <c r="E37" s="221" t="inlineStr">
        <is>
          <t>T2</t>
        </is>
      </c>
      <c r="F37" s="221" t="inlineStr">
        <is>
          <t>Magasin Témara</t>
        </is>
      </c>
      <c r="G37" s="221" t="inlineStr">
        <is>
          <t>Oui</t>
        </is>
      </c>
      <c r="H37" s="227" t="n">
        <v>900000</v>
      </c>
      <c r="I37" s="224" t="inlineStr">
        <is>
          <t>Investissement</t>
        </is>
      </c>
      <c r="J37" s="235" t="n"/>
      <c r="K37" s="235" t="n"/>
      <c r="L37" s="235" t="n"/>
      <c r="M37" s="235" t="n"/>
      <c r="N37" s="235" t="n"/>
      <c r="O37" s="235" t="n"/>
      <c r="P37" s="235" t="n"/>
      <c r="Q37" s="235" t="n"/>
      <c r="R37" s="235" t="n"/>
      <c r="S37" s="235" t="n"/>
      <c r="T37" s="235" t="n"/>
      <c r="U37" s="235" t="n"/>
      <c r="V37" s="235" t="n"/>
    </row>
    <row r="38" ht="25.5" customHeight="1" s="392">
      <c r="A38" s="220" t="inlineStr">
        <is>
          <t>Direction de la Télédiffusion</t>
        </is>
      </c>
      <c r="B38" s="220" t="inlineStr">
        <is>
          <t>Acquisition de climatiseurs</t>
        </is>
      </c>
      <c r="C38" s="221" t="inlineStr">
        <is>
          <t>Fournitures</t>
        </is>
      </c>
      <c r="D38" s="222" t="inlineStr">
        <is>
          <t>Appel d'offres ouvert</t>
        </is>
      </c>
      <c r="E38" s="221" t="inlineStr">
        <is>
          <t>T4</t>
        </is>
      </c>
      <c r="F38" s="221" t="inlineStr">
        <is>
          <t>Akka Ighan + tout besoin ponctuel</t>
        </is>
      </c>
      <c r="G38" s="221" t="inlineStr">
        <is>
          <t>Oui</t>
        </is>
      </c>
      <c r="H38" s="227" t="n">
        <v>200000</v>
      </c>
      <c r="I38" s="224" t="inlineStr">
        <is>
          <t>Investissement</t>
        </is>
      </c>
      <c r="J38" s="235" t="n"/>
      <c r="K38" s="235" t="n"/>
      <c r="L38" s="235" t="n"/>
      <c r="M38" s="235" t="n"/>
      <c r="N38" s="235" t="n"/>
      <c r="O38" s="235" t="n"/>
      <c r="P38" s="235" t="n"/>
      <c r="Q38" s="235" t="n"/>
      <c r="R38" s="235" t="n"/>
      <c r="S38" s="235" t="n"/>
      <c r="T38" s="235" t="n"/>
      <c r="U38" s="235" t="n"/>
      <c r="V38" s="235" t="n"/>
    </row>
    <row r="39" ht="38.25" customHeight="1" s="392">
      <c r="A39" s="220" t="inlineStr">
        <is>
          <t>Direction de la Télédiffusion</t>
        </is>
      </c>
      <c r="B39" s="220" t="inlineStr">
        <is>
          <t>Construction et achèvement d'installation des pylônes auto-stable aux sites SNRT TANAKOUBE ( P.CHEFCHAOUEN) et TAOURIRT</t>
        </is>
      </c>
      <c r="C39" s="221" t="inlineStr">
        <is>
          <t>Travaux</t>
        </is>
      </c>
      <c r="D39" s="222" t="inlineStr">
        <is>
          <t>Appel d'offres ouvert</t>
        </is>
      </c>
      <c r="E39" s="221" t="inlineStr">
        <is>
          <t>T3</t>
        </is>
      </c>
      <c r="F39" s="221" t="inlineStr">
        <is>
          <t>Tanakoube ( (P,Chefchaouen) et Taourirt)</t>
        </is>
      </c>
      <c r="G39" s="221" t="inlineStr">
        <is>
          <t>Oui</t>
        </is>
      </c>
      <c r="H39" s="227" t="n">
        <v>2000000</v>
      </c>
      <c r="I39" s="224" t="inlineStr">
        <is>
          <t>Investissement</t>
        </is>
      </c>
      <c r="J39" s="235" t="n"/>
      <c r="K39" s="235" t="n"/>
      <c r="L39" s="235" t="n"/>
      <c r="M39" s="235" t="n"/>
      <c r="N39" s="235" t="n"/>
      <c r="O39" s="235" t="n"/>
      <c r="P39" s="235" t="n"/>
      <c r="Q39" s="235" t="n"/>
      <c r="R39" s="235" t="n"/>
      <c r="S39" s="235" t="n"/>
      <c r="T39" s="235" t="n"/>
      <c r="U39" s="235" t="n"/>
      <c r="V39" s="235" t="n"/>
    </row>
    <row r="40" ht="68.25" customHeight="1" s="392">
      <c r="A40" s="230" t="inlineStr">
        <is>
          <t>Direction de la Télédiffusion</t>
        </is>
      </c>
      <c r="B40" s="230" t="inlineStr">
        <is>
          <t>Elaboration des études technique et le suivi des travaux  pour la construction et achèvement d'installation des pylônes auto-stable aux sites SNRT TANAKOUBE ( P.CHEFCHAOUEN) et TAOURIRT</t>
        </is>
      </c>
      <c r="C40" s="231" t="inlineStr">
        <is>
          <t>Services</t>
        </is>
      </c>
      <c r="D40" s="232" t="inlineStr">
        <is>
          <t>Appel d'offres ouvert</t>
        </is>
      </c>
      <c r="E40" s="231" t="inlineStr">
        <is>
          <t>T2</t>
        </is>
      </c>
      <c r="F40" s="231" t="inlineStr">
        <is>
          <t>Tanakoube
 ( P,Chefchaouen) et Taourirt</t>
        </is>
      </c>
      <c r="G40" s="231" t="inlineStr">
        <is>
          <t>Non</t>
        </is>
      </c>
      <c r="H40" s="233" t="n">
        <v>120000</v>
      </c>
      <c r="I40" s="224" t="inlineStr">
        <is>
          <t>Investissement</t>
        </is>
      </c>
      <c r="J40" s="235" t="n"/>
      <c r="K40" s="235" t="n"/>
      <c r="L40" s="235" t="n"/>
      <c r="M40" s="235" t="n"/>
      <c r="N40" s="235" t="n"/>
      <c r="O40" s="235" t="n"/>
      <c r="P40" s="235" t="n"/>
      <c r="Q40" s="235" t="n"/>
      <c r="R40" s="235" t="n"/>
      <c r="S40" s="235" t="n"/>
      <c r="T40" s="235" t="n"/>
      <c r="U40" s="235" t="n"/>
      <c r="V40" s="235" t="n"/>
    </row>
    <row r="41" ht="51.75" customHeight="1" s="392">
      <c r="A41" s="220" t="inlineStr">
        <is>
          <t>Direction de la Télédiffusion</t>
        </is>
      </c>
      <c r="B41" s="220" t="inlineStr">
        <is>
          <t>Etudes architecturales et le suivi des travaux pour la construction des nouveau sites de diffusion de la SNRT à RICH et MSISSI</t>
        </is>
      </c>
      <c r="C41" s="221" t="inlineStr">
        <is>
          <t>Services</t>
        </is>
      </c>
      <c r="D41" s="222" t="inlineStr">
        <is>
          <t>Appel d'offres ouvert</t>
        </is>
      </c>
      <c r="E41" s="221" t="inlineStr">
        <is>
          <t>T2</t>
        </is>
      </c>
      <c r="F41" s="221" t="inlineStr">
        <is>
          <t>Rich  et Msissi</t>
        </is>
      </c>
      <c r="G41" s="221" t="inlineStr">
        <is>
          <t>Non</t>
        </is>
      </c>
      <c r="H41" s="223" t="n">
        <v>180000</v>
      </c>
      <c r="I41" s="224" t="inlineStr">
        <is>
          <t>Investissement</t>
        </is>
      </c>
      <c r="J41" s="235" t="n"/>
      <c r="K41" s="235" t="n"/>
      <c r="L41" s="235" t="n"/>
      <c r="M41" s="235" t="n"/>
      <c r="N41" s="235" t="n"/>
      <c r="O41" s="235" t="n"/>
      <c r="P41" s="235" t="n"/>
      <c r="Q41" s="235" t="n"/>
      <c r="R41" s="235" t="n"/>
      <c r="S41" s="235" t="n"/>
      <c r="T41" s="235" t="n"/>
      <c r="U41" s="235" t="n"/>
      <c r="V41" s="235" t="n"/>
    </row>
    <row r="42" ht="58.5" customHeight="1" s="392">
      <c r="A42" s="230" t="inlineStr">
        <is>
          <t>Direction de la Télédiffusion</t>
        </is>
      </c>
      <c r="B42" s="230" t="inlineStr">
        <is>
          <t>Elaboration des études technique et le suivi des travaux  pour la construction des nouveau sites de diffusion  à RICH et MSISSI</t>
        </is>
      </c>
      <c r="C42" s="231" t="inlineStr">
        <is>
          <t>Services</t>
        </is>
      </c>
      <c r="D42" s="232" t="inlineStr">
        <is>
          <t>Appel d'offres ouvert</t>
        </is>
      </c>
      <c r="E42" s="231" t="inlineStr">
        <is>
          <t>T2</t>
        </is>
      </c>
      <c r="F42" s="231" t="inlineStr">
        <is>
          <t>Rich  et Msissi</t>
        </is>
      </c>
      <c r="G42" s="231" t="inlineStr">
        <is>
          <t>Non</t>
        </is>
      </c>
      <c r="H42" s="233" t="n">
        <v>150000</v>
      </c>
      <c r="I42" s="224" t="inlineStr">
        <is>
          <t>Investissement</t>
        </is>
      </c>
      <c r="J42" s="235" t="n"/>
      <c r="K42" s="235" t="n"/>
      <c r="L42" s="235" t="n"/>
      <c r="M42" s="235" t="n"/>
      <c r="N42" s="235" t="n"/>
      <c r="O42" s="235" t="n"/>
      <c r="P42" s="235" t="n"/>
      <c r="Q42" s="235" t="n"/>
      <c r="R42" s="235" t="n"/>
      <c r="S42" s="235" t="n"/>
      <c r="T42" s="235" t="n"/>
      <c r="U42" s="235" t="n"/>
      <c r="V42" s="235" t="n"/>
    </row>
    <row r="43" ht="25.5" customHeight="1" s="392">
      <c r="A43" s="220" t="inlineStr">
        <is>
          <t>Direction de la Télédiffusion</t>
        </is>
      </c>
      <c r="B43" s="220" t="inlineStr">
        <is>
          <t>Travaux de construction de nouveaux sites à RICH et MSISSI</t>
        </is>
      </c>
      <c r="C43" s="221" t="inlineStr">
        <is>
          <t>Travaux</t>
        </is>
      </c>
      <c r="D43" s="222" t="inlineStr">
        <is>
          <t>Appel d'offres ouvert</t>
        </is>
      </c>
      <c r="E43" s="221" t="inlineStr">
        <is>
          <t>T3</t>
        </is>
      </c>
      <c r="F43" s="221" t="inlineStr">
        <is>
          <t>Rich  et Msissi</t>
        </is>
      </c>
      <c r="G43" s="221" t="inlineStr">
        <is>
          <t>Oui</t>
        </is>
      </c>
      <c r="H43" s="227" t="n">
        <v>3000000</v>
      </c>
      <c r="I43" s="224" t="inlineStr">
        <is>
          <t>Investissement</t>
        </is>
      </c>
      <c r="J43" s="235" t="n"/>
      <c r="K43" s="235" t="n"/>
      <c r="L43" s="235" t="n"/>
      <c r="M43" s="235" t="n"/>
      <c r="N43" s="235" t="n"/>
      <c r="O43" s="235" t="n"/>
      <c r="P43" s="235" t="n"/>
      <c r="Q43" s="235" t="n"/>
      <c r="R43" s="235" t="n"/>
      <c r="S43" s="235" t="n"/>
      <c r="T43" s="235" t="n"/>
      <c r="U43" s="235" t="n"/>
      <c r="V43" s="235" t="n"/>
    </row>
    <row r="44" ht="55.5" customHeight="1" s="392">
      <c r="A44" s="220" t="inlineStr">
        <is>
          <t>Direction de la Télédiffusion</t>
        </is>
      </c>
      <c r="B44" s="220" t="inlineStr">
        <is>
          <t>Travaux d'aménagement des sites de diffusion.</t>
        </is>
      </c>
      <c r="C44" s="221" t="inlineStr">
        <is>
          <t>Travaux</t>
        </is>
      </c>
      <c r="D44" s="222" t="inlineStr">
        <is>
          <t>Appel d'offres ouvert</t>
        </is>
      </c>
      <c r="E44" s="221" t="inlineStr">
        <is>
          <t>T2 - T3 - T4</t>
        </is>
      </c>
      <c r="F44" s="221" t="inlineStr">
        <is>
          <t>Hafa Safa, Zerhoune,  Figuig, Izeft, Safi</t>
        </is>
      </c>
      <c r="G44" s="221" t="inlineStr">
        <is>
          <t>Oui</t>
        </is>
      </c>
      <c r="H44" s="223" t="n">
        <v>4800000</v>
      </c>
      <c r="I44" s="224" t="inlineStr">
        <is>
          <t>Investissement</t>
        </is>
      </c>
      <c r="J44" s="235" t="n"/>
      <c r="K44" s="235" t="n"/>
      <c r="L44" s="235" t="n"/>
      <c r="M44" s="235" t="n"/>
      <c r="N44" s="235" t="n"/>
      <c r="O44" s="235" t="n"/>
      <c r="P44" s="235" t="n"/>
      <c r="Q44" s="235" t="n"/>
      <c r="R44" s="235" t="n"/>
      <c r="S44" s="235" t="n"/>
      <c r="T44" s="235" t="n"/>
      <c r="U44" s="235" t="n"/>
      <c r="V44" s="235" t="n"/>
    </row>
    <row r="45" ht="51" customHeight="1" s="392">
      <c r="A45" s="220" t="inlineStr">
        <is>
          <t>Direction de la Télédiffusion</t>
        </is>
      </c>
      <c r="B45" s="220" t="inlineStr">
        <is>
          <t xml:space="preserve">Entretien des pylônes et tours dessites de diffusion </t>
        </is>
      </c>
      <c r="C45" s="221" t="inlineStr">
        <is>
          <t>Travaux</t>
        </is>
      </c>
      <c r="D45" s="222" t="inlineStr">
        <is>
          <t>Appel d'offres ouvert</t>
        </is>
      </c>
      <c r="E45" s="221" t="inlineStr">
        <is>
          <t>T3</t>
        </is>
      </c>
      <c r="F45" s="221" t="inlineStr">
        <is>
          <t>Cap Spartel, Hafa Safa, Zerhoune, Safi, Ain Chock, Mirchich et Lakhiar</t>
        </is>
      </c>
      <c r="G45" s="221" t="inlineStr">
        <is>
          <t>Oui</t>
        </is>
      </c>
      <c r="H45" s="227" t="n">
        <v>2000000</v>
      </c>
      <c r="I45" s="224" t="inlineStr">
        <is>
          <t>Investissement</t>
        </is>
      </c>
      <c r="J45" s="235" t="n"/>
      <c r="K45" s="235" t="n"/>
      <c r="L45" s="235" t="n"/>
      <c r="M45" s="235" t="n"/>
      <c r="N45" s="235" t="n"/>
      <c r="O45" s="235" t="n"/>
      <c r="P45" s="235" t="n"/>
      <c r="Q45" s="235" t="n"/>
      <c r="R45" s="235" t="n"/>
      <c r="S45" s="235" t="n"/>
      <c r="T45" s="235" t="n"/>
      <c r="U45" s="235" t="n"/>
      <c r="V45" s="235" t="n"/>
    </row>
    <row r="46" ht="38.25" customHeight="1" s="392">
      <c r="A46" s="220" t="inlineStr">
        <is>
          <t>Direction de la Télédiffusion</t>
        </is>
      </c>
      <c r="B46" s="220" t="inlineStr">
        <is>
          <t>Fourniture, installation et mise en service de plateformes d'encodage et de multiplexage/Mise à niveau des platformes existantes.</t>
        </is>
      </c>
      <c r="C46" s="221" t="inlineStr">
        <is>
          <t>Fournitures</t>
        </is>
      </c>
      <c r="D46" s="222" t="inlineStr">
        <is>
          <t>Appel d'offres ouvert</t>
        </is>
      </c>
      <c r="E46" s="221" t="inlineStr">
        <is>
          <t>T2</t>
        </is>
      </c>
      <c r="F46" s="221" t="inlineStr">
        <is>
          <t>Rabat - Casablanca</t>
        </is>
      </c>
      <c r="G46" s="221" t="inlineStr">
        <is>
          <t>Non</t>
        </is>
      </c>
      <c r="H46" s="227" t="n">
        <v>5000000</v>
      </c>
      <c r="I46" s="224" t="inlineStr">
        <is>
          <t>Investissement</t>
        </is>
      </c>
      <c r="J46" s="235" t="n"/>
      <c r="K46" s="235" t="n"/>
      <c r="L46" s="235" t="n"/>
      <c r="M46" s="235" t="n"/>
      <c r="N46" s="235" t="n"/>
      <c r="O46" s="235" t="n"/>
      <c r="P46" s="235" t="n"/>
      <c r="Q46" s="235" t="n"/>
      <c r="R46" s="235" t="n"/>
      <c r="S46" s="235" t="n"/>
      <c r="T46" s="235" t="n"/>
      <c r="U46" s="235" t="n"/>
      <c r="V46" s="235" t="n"/>
    </row>
    <row r="47" ht="38.25" customHeight="1" s="392">
      <c r="A47" s="230" t="inlineStr">
        <is>
          <t>Direction de la Télédiffusion</t>
        </is>
      </c>
      <c r="B47" s="230" t="inlineStr">
        <is>
          <t>Fourniture des équipements de transmission pour les réseaux FH, satellite, contribution, tête réseau et NMS des stations terriennes.</t>
        </is>
      </c>
      <c r="C47" s="231" t="inlineStr">
        <is>
          <t>Fournitures</t>
        </is>
      </c>
      <c r="D47" s="232" t="inlineStr">
        <is>
          <t>Appel d'offres ouvert</t>
        </is>
      </c>
      <c r="E47" s="231" t="inlineStr">
        <is>
          <t>T2</t>
        </is>
      </c>
      <c r="F47" s="231" t="inlineStr">
        <is>
          <t>Rabat - Casablanca - Témara</t>
        </is>
      </c>
      <c r="G47" s="231" t="inlineStr">
        <is>
          <t>Non</t>
        </is>
      </c>
      <c r="H47" s="233" t="n">
        <v>8000000</v>
      </c>
      <c r="I47" s="231" t="inlineStr">
        <is>
          <t>Investissement</t>
        </is>
      </c>
      <c r="J47" s="237" t="n"/>
      <c r="K47" s="237" t="n"/>
      <c r="L47" s="237" t="n"/>
      <c r="M47" s="237" t="n"/>
      <c r="N47" s="237" t="n"/>
      <c r="O47" s="237" t="n"/>
      <c r="P47" s="237" t="n"/>
      <c r="Q47" s="237" t="n"/>
      <c r="R47" s="237" t="n"/>
      <c r="S47" s="237" t="n"/>
      <c r="T47" s="237" t="n"/>
      <c r="U47" s="237" t="n"/>
      <c r="V47" s="237" t="n"/>
    </row>
    <row r="48" ht="25.5" customHeight="1" s="392">
      <c r="A48" s="220" t="inlineStr">
        <is>
          <t>Direction de la Télédiffusion</t>
        </is>
      </c>
      <c r="B48" s="220" t="inlineStr">
        <is>
          <t>Formation dans les réseaux informatiques et réseaux de transmission.</t>
        </is>
      </c>
      <c r="C48" s="221" t="inlineStr">
        <is>
          <t>Services</t>
        </is>
      </c>
      <c r="D48" s="222" t="inlineStr">
        <is>
          <t>Appel d'offres ouvert</t>
        </is>
      </c>
      <c r="E48" s="221" t="inlineStr">
        <is>
          <t>T4</t>
        </is>
      </c>
      <c r="F48" s="221" t="inlineStr">
        <is>
          <t>Rabat</t>
        </is>
      </c>
      <c r="G48" s="221" t="inlineStr">
        <is>
          <t>Non</t>
        </is>
      </c>
      <c r="H48" s="223" t="n">
        <v>500000</v>
      </c>
      <c r="I48" s="224" t="inlineStr">
        <is>
          <t>Investissement</t>
        </is>
      </c>
      <c r="J48" s="235" t="n"/>
      <c r="K48" s="235" t="n"/>
      <c r="L48" s="235" t="n"/>
      <c r="M48" s="235" t="n"/>
      <c r="N48" s="235" t="n"/>
      <c r="O48" s="235" t="n"/>
      <c r="P48" s="235" t="n"/>
      <c r="Q48" s="235" t="n"/>
      <c r="R48" s="235" t="n"/>
      <c r="S48" s="235" t="n"/>
      <c r="T48" s="235" t="n"/>
      <c r="U48" s="235" t="n"/>
      <c r="V48" s="235" t="n"/>
    </row>
    <row r="49" ht="25.5" customHeight="1" s="392">
      <c r="A49" s="220" t="inlineStr">
        <is>
          <t>Direction de la Télédiffusion</t>
        </is>
      </c>
      <c r="B49" s="238" t="inlineStr">
        <is>
          <t>Entretien, réparation et maintenance des équipements de transmission.</t>
        </is>
      </c>
      <c r="C49" s="221" t="inlineStr">
        <is>
          <t>Services</t>
        </is>
      </c>
      <c r="D49" s="222" t="inlineStr">
        <is>
          <t>Appel d'offres ouvert</t>
        </is>
      </c>
      <c r="E49" s="221" t="inlineStr">
        <is>
          <t>T2</t>
        </is>
      </c>
      <c r="F49" s="221" t="inlineStr">
        <is>
          <t>Sites de Transmission</t>
        </is>
      </c>
      <c r="G49" s="221" t="inlineStr">
        <is>
          <t>Non</t>
        </is>
      </c>
      <c r="H49" s="223" t="n">
        <v>934000</v>
      </c>
      <c r="I49" s="224" t="inlineStr">
        <is>
          <t>Investissement</t>
        </is>
      </c>
      <c r="J49" s="235" t="n"/>
      <c r="K49" s="235" t="n"/>
      <c r="L49" s="235" t="n"/>
      <c r="M49" s="235" t="n"/>
      <c r="N49" s="235" t="n"/>
      <c r="O49" s="235" t="n"/>
      <c r="P49" s="235" t="n"/>
      <c r="Q49" s="235" t="n"/>
      <c r="R49" s="235" t="n"/>
      <c r="S49" s="235" t="n"/>
      <c r="T49" s="235" t="n"/>
      <c r="U49" s="235" t="n"/>
      <c r="V49" s="235" t="n"/>
    </row>
    <row r="50" ht="25.5" customHeight="1" s="392">
      <c r="A50" s="220" t="inlineStr">
        <is>
          <t>Direction Financière</t>
        </is>
      </c>
      <c r="B50" s="238" t="inlineStr">
        <is>
          <t>Commissarit aux apports - Expertise d'évaluation du foncier transféré par l'Etat à la SNRT</t>
        </is>
      </c>
      <c r="C50" s="221" t="inlineStr">
        <is>
          <t>Services</t>
        </is>
      </c>
      <c r="D50" s="222" t="inlineStr">
        <is>
          <t>Appel d'offres ouvert</t>
        </is>
      </c>
      <c r="E50" s="221" t="inlineStr">
        <is>
          <t>T2</t>
        </is>
      </c>
      <c r="F50" s="221" t="inlineStr">
        <is>
          <t xml:space="preserve">Siège SNRT </t>
        </is>
      </c>
      <c r="G50" s="221" t="inlineStr">
        <is>
          <t>Non</t>
        </is>
      </c>
      <c r="H50" s="575" t="n">
        <v>360000</v>
      </c>
      <c r="I50" s="224" t="inlineStr">
        <is>
          <t>Investissement</t>
        </is>
      </c>
    </row>
    <row r="51" ht="25.5" customHeight="1" s="392">
      <c r="A51" s="220" t="inlineStr">
        <is>
          <t>Direction Financière</t>
        </is>
      </c>
      <c r="B51" s="238" t="inlineStr">
        <is>
          <t xml:space="preserve">Audit fiscal de la SNRT au titre des exercices non prescrits (2022 - 2025) </t>
        </is>
      </c>
      <c r="C51" s="221" t="inlineStr">
        <is>
          <t>Services</t>
        </is>
      </c>
      <c r="D51" s="222" t="inlineStr">
        <is>
          <t>Appel d'offres ouvert</t>
        </is>
      </c>
      <c r="E51" s="221" t="inlineStr">
        <is>
          <t>T2</t>
        </is>
      </c>
      <c r="F51" s="221" t="inlineStr">
        <is>
          <t>Siège SNRT</t>
        </is>
      </c>
      <c r="G51" s="221" t="inlineStr">
        <is>
          <t>Non</t>
        </is>
      </c>
      <c r="H51" s="575" t="n">
        <v>600000</v>
      </c>
      <c r="I51" s="224" t="inlineStr">
        <is>
          <t>Investissement</t>
        </is>
      </c>
    </row>
    <row r="52" ht="63.75" customHeight="1" s="392">
      <c r="A52" s="220" t="inlineStr">
        <is>
          <t>Direction Financière</t>
        </is>
      </c>
      <c r="B52" s="238" t="inlineStr">
        <is>
          <t>Accompagnement du Groupe SNRT dans la production des comptes en IFRS (trois prix distincts : la production des comptes individuels de la SNRT, la production des comptes individuels des filiales, la production des comptes consolidés du groupe)</t>
        </is>
      </c>
      <c r="C52" s="221" t="inlineStr">
        <is>
          <t>Services</t>
        </is>
      </c>
      <c r="D52" s="222" t="inlineStr">
        <is>
          <t>Appel d'offres ouvert</t>
        </is>
      </c>
      <c r="E52" s="221" t="inlineStr">
        <is>
          <t>T2</t>
        </is>
      </c>
      <c r="F52" s="221" t="inlineStr">
        <is>
          <t>SNRT et Filiales</t>
        </is>
      </c>
      <c r="G52" s="221" t="inlineStr">
        <is>
          <t>Non</t>
        </is>
      </c>
      <c r="H52" s="575" t="n">
        <v>2600000</v>
      </c>
      <c r="I52" s="224" t="inlineStr">
        <is>
          <t>Investissement</t>
        </is>
      </c>
    </row>
    <row r="53" ht="25.5" customHeight="1" s="392">
      <c r="A53" s="220" t="inlineStr">
        <is>
          <t>Direction Centrale Marketing et Programmation TV</t>
        </is>
      </c>
      <c r="B53" s="238" t="inlineStr">
        <is>
          <t>Réalisation d'études qualitatives et quantitatives marketing pour la SNRT</t>
        </is>
      </c>
      <c r="C53" s="221" t="inlineStr">
        <is>
          <t>Services</t>
        </is>
      </c>
      <c r="D53" s="222" t="inlineStr">
        <is>
          <t>Appel d'offres ouvert</t>
        </is>
      </c>
      <c r="E53" s="221" t="inlineStr">
        <is>
          <t>T4</t>
        </is>
      </c>
      <c r="F53" s="221" t="inlineStr">
        <is>
          <t>Royaume du 
Maroc</t>
        </is>
      </c>
      <c r="G53" s="221" t="inlineStr">
        <is>
          <t>Non</t>
        </is>
      </c>
      <c r="H53" s="575" t="n">
        <v>800000</v>
      </c>
      <c r="I53" s="224" t="inlineStr">
        <is>
          <t>Fonctionnement</t>
        </is>
      </c>
    </row>
    <row r="54" ht="25.5" customHeight="1" s="392">
      <c r="A54" s="220" t="inlineStr">
        <is>
          <t>Direction Centrale Marketing et Programmation TV</t>
        </is>
      </c>
      <c r="B54" s="220" t="inlineStr">
        <is>
          <t>Maintenance du portail de la SNRT</t>
        </is>
      </c>
      <c r="C54" s="224" t="inlineStr">
        <is>
          <t>Services</t>
        </is>
      </c>
      <c r="D54" s="226" t="inlineStr">
        <is>
          <t>Appel d'offres ouvert</t>
        </is>
      </c>
      <c r="E54" s="221" t="inlineStr">
        <is>
          <t>T2</t>
        </is>
      </c>
      <c r="F54" s="224" t="inlineStr">
        <is>
          <t>Rabat</t>
        </is>
      </c>
      <c r="G54" s="224" t="inlineStr">
        <is>
          <t>Non</t>
        </is>
      </c>
      <c r="H54" s="576" t="n">
        <v>730000</v>
      </c>
      <c r="I54" s="224" t="inlineStr">
        <is>
          <t>Fonctionnement</t>
        </is>
      </c>
    </row>
    <row r="55" ht="25.5" customHeight="1" s="392">
      <c r="A55" s="220" t="inlineStr">
        <is>
          <t>Direction Centrale Marketing et Programmation TV</t>
        </is>
      </c>
      <c r="B55" s="220" t="inlineStr">
        <is>
          <t>Production de flags et bonnettes pour les micros des chaînes TV et radios de la SNRT</t>
        </is>
      </c>
      <c r="C55" s="224" t="inlineStr">
        <is>
          <t>Fournitures</t>
        </is>
      </c>
      <c r="D55" s="226" t="inlineStr">
        <is>
          <t>Appel d'offres ouvert</t>
        </is>
      </c>
      <c r="E55" s="221" t="inlineStr">
        <is>
          <t>T2</t>
        </is>
      </c>
      <c r="F55" s="224" t="inlineStr">
        <is>
          <t>Rabat</t>
        </is>
      </c>
      <c r="G55" s="224" t="inlineStr">
        <is>
          <t>Non</t>
        </is>
      </c>
      <c r="H55" s="576" t="n">
        <v>500000</v>
      </c>
      <c r="I55" s="224" t="inlineStr">
        <is>
          <t>Fonctionnement</t>
        </is>
      </c>
    </row>
    <row r="56" ht="25.5" customHeight="1" s="392">
      <c r="A56" s="220" t="inlineStr">
        <is>
          <t>Direction Centrale Marketing et Programmation TV</t>
        </is>
      </c>
      <c r="B56" s="220" t="inlineStr">
        <is>
          <t xml:space="preserve">Stratégie Marketing, conseil en communication, exécution et production des campagnes </t>
        </is>
      </c>
      <c r="C56" s="224" t="inlineStr">
        <is>
          <t>Services</t>
        </is>
      </c>
      <c r="D56" s="226" t="inlineStr">
        <is>
          <t>Appel d'offres ouvert</t>
        </is>
      </c>
      <c r="E56" s="221" t="inlineStr">
        <is>
          <t>T4</t>
        </is>
      </c>
      <c r="F56" s="224" t="inlineStr">
        <is>
          <t>Rabat</t>
        </is>
      </c>
      <c r="G56" s="224" t="inlineStr">
        <is>
          <t>Non</t>
        </is>
      </c>
      <c r="H56" s="576" t="n">
        <v>4000000</v>
      </c>
      <c r="I56" s="224" t="inlineStr">
        <is>
          <t>Fonctionnement</t>
        </is>
      </c>
    </row>
    <row r="57" ht="25.5" customHeight="1" s="392">
      <c r="A57" s="230" t="inlineStr">
        <is>
          <t>Direction Centrale Marketing et Programmation TV</t>
        </is>
      </c>
      <c r="B57" s="230" t="inlineStr">
        <is>
          <t>Location de supports d'affichage urbain 4x3 pour la promotion des produits et services de la SNRT</t>
        </is>
      </c>
      <c r="C57" s="231" t="inlineStr">
        <is>
          <t>Services</t>
        </is>
      </c>
      <c r="D57" s="230" t="inlineStr">
        <is>
          <t>Appel d'offres ouvert</t>
        </is>
      </c>
      <c r="E57" s="231" t="inlineStr">
        <is>
          <t>T2</t>
        </is>
      </c>
      <c r="F57" s="231" t="inlineStr">
        <is>
          <t>Rabat</t>
        </is>
      </c>
      <c r="G57" s="231" t="inlineStr">
        <is>
          <t>Non</t>
        </is>
      </c>
      <c r="H57" s="577" t="n">
        <v>11700000</v>
      </c>
      <c r="I57" s="224" t="inlineStr">
        <is>
          <t>Fonctionnement</t>
        </is>
      </c>
    </row>
    <row r="58" ht="25.5" customHeight="1" s="392">
      <c r="A58" s="220" t="inlineStr">
        <is>
          <t>Direction Centrale Marketing et Programmation TV</t>
        </is>
      </c>
      <c r="B58" s="220" t="inlineStr">
        <is>
          <t>Production de spots / films publicitaires pour la promotion des produits et services de la SNRT</t>
        </is>
      </c>
      <c r="C58" s="224" t="inlineStr">
        <is>
          <t>Services</t>
        </is>
      </c>
      <c r="D58" s="226" t="inlineStr">
        <is>
          <t>Appel d'offres ouvert</t>
        </is>
      </c>
      <c r="E58" s="221" t="inlineStr">
        <is>
          <t>T2</t>
        </is>
      </c>
      <c r="F58" s="224" t="inlineStr">
        <is>
          <t>Royaume du 
Maroc</t>
        </is>
      </c>
      <c r="G58" s="224" t="inlineStr">
        <is>
          <t>Non</t>
        </is>
      </c>
      <c r="H58" s="576" t="n">
        <v>2750000</v>
      </c>
      <c r="I58" s="224" t="inlineStr">
        <is>
          <t>Fonctionnement</t>
        </is>
      </c>
    </row>
    <row r="59" ht="25.5" customHeight="1" s="392">
      <c r="A59" s="220" t="inlineStr">
        <is>
          <t>Direction Centrale Marketing et Programmation TV</t>
        </is>
      </c>
      <c r="B59" s="220" t="inlineStr">
        <is>
          <t>Décor  JT Al Aoula , Laayoune, Tamazight
Habillage chaînes SNRT</t>
        </is>
      </c>
      <c r="C59" s="224" t="inlineStr">
        <is>
          <t>Fournitures</t>
        </is>
      </c>
      <c r="D59" s="226" t="inlineStr">
        <is>
          <t>Appel d'offres ouvert</t>
        </is>
      </c>
      <c r="E59" s="221" t="inlineStr">
        <is>
          <t>T2</t>
        </is>
      </c>
      <c r="F59" s="224" t="inlineStr">
        <is>
          <t>Rabat et Laayoune</t>
        </is>
      </c>
      <c r="G59" s="224" t="inlineStr">
        <is>
          <t>Non</t>
        </is>
      </c>
      <c r="H59" s="576" t="n">
        <v>5500000</v>
      </c>
      <c r="I59" s="224" t="inlineStr">
        <is>
          <t>Investissement</t>
        </is>
      </c>
    </row>
    <row r="60" ht="25.5" customHeight="1" s="392">
      <c r="A60" s="220" t="inlineStr">
        <is>
          <t>Direction Centrale Marketing et Programmation TV</t>
        </is>
      </c>
      <c r="B60" s="239" t="inlineStr">
        <is>
          <t xml:space="preserve">Décors virtuels des chaînes de la SNRT </t>
        </is>
      </c>
      <c r="C60" s="240" t="inlineStr">
        <is>
          <t>Services</t>
        </is>
      </c>
      <c r="D60" s="241" t="inlineStr">
        <is>
          <t>Appel d'offres ouvert</t>
        </is>
      </c>
      <c r="E60" s="242" t="inlineStr">
        <is>
          <t>T2</t>
        </is>
      </c>
      <c r="F60" s="240" t="inlineStr">
        <is>
          <t>Rabat/Casablanca</t>
        </is>
      </c>
      <c r="G60" s="240" t="inlineStr">
        <is>
          <t>Non</t>
        </is>
      </c>
      <c r="H60" s="578" t="n">
        <v>2000000</v>
      </c>
      <c r="I60" s="240" t="inlineStr">
        <is>
          <t>Investissement</t>
        </is>
      </c>
    </row>
    <row r="61" ht="25.5" customHeight="1" s="392">
      <c r="A61" s="230" t="inlineStr">
        <is>
          <t xml:space="preserve">Direction du Patrimoine et Moyens Généraux </t>
        </is>
      </c>
      <c r="B61" s="230" t="inlineStr">
        <is>
          <t>Acquisition et installation des caméras dans les locaux de la SNRT y compris serveurs et baie de stockage</t>
        </is>
      </c>
      <c r="C61" s="236" t="inlineStr">
        <is>
          <t>Fournitures</t>
        </is>
      </c>
      <c r="D61" s="243" t="inlineStr">
        <is>
          <t>Appel d'offres ouvert</t>
        </is>
      </c>
      <c r="E61" s="231" t="inlineStr">
        <is>
          <t>T1-T2</t>
        </is>
      </c>
      <c r="F61" s="231" t="inlineStr">
        <is>
          <t>Annexes SNRT</t>
        </is>
      </c>
      <c r="G61" s="231" t="inlineStr">
        <is>
          <t>Oui</t>
        </is>
      </c>
      <c r="H61" s="233" t="n">
        <v>6838480</v>
      </c>
      <c r="I61" s="224" t="inlineStr">
        <is>
          <t>Investissement</t>
        </is>
      </c>
    </row>
    <row r="62" ht="25.5" customHeight="1" s="392">
      <c r="A62" s="220" t="inlineStr">
        <is>
          <t xml:space="preserve">Direction du Patrimoine et Moyens Généraux </t>
        </is>
      </c>
      <c r="B62" s="220" t="inlineStr">
        <is>
          <t>Travaux d'aménagement des locaux d'archive TV de la SNRT  à Témara.</t>
        </is>
      </c>
      <c r="C62" s="244" t="inlineStr">
        <is>
          <t>Travaux</t>
        </is>
      </c>
      <c r="D62" s="245" t="inlineStr">
        <is>
          <t>Appel d'offres ouvert</t>
        </is>
      </c>
      <c r="E62" s="221" t="inlineStr">
        <is>
          <t>T2</t>
        </is>
      </c>
      <c r="F62" s="221" t="inlineStr">
        <is>
          <t xml:space="preserve">Rabat </t>
        </is>
      </c>
      <c r="G62" s="221" t="inlineStr">
        <is>
          <t>Oui</t>
        </is>
      </c>
      <c r="H62" s="223" t="n">
        <v>600000</v>
      </c>
      <c r="I62" s="224" t="inlineStr">
        <is>
          <t>Investissement</t>
        </is>
      </c>
    </row>
    <row r="63" ht="25.5" customHeight="1" s="392">
      <c r="A63" s="220" t="inlineStr">
        <is>
          <t xml:space="preserve">Direction du Patrimoine et Moyens Généraux </t>
        </is>
      </c>
      <c r="B63" s="220" t="inlineStr">
        <is>
          <t>Travaux d'aménagement des  locaux de la SNRT  à Rabat.</t>
        </is>
      </c>
      <c r="C63" s="244" t="inlineStr">
        <is>
          <t>Travaux</t>
        </is>
      </c>
      <c r="D63" s="245" t="inlineStr">
        <is>
          <t>Appel d'offres ouvert</t>
        </is>
      </c>
      <c r="E63" s="221" t="inlineStr">
        <is>
          <t>T3</t>
        </is>
      </c>
      <c r="F63" s="221" t="inlineStr">
        <is>
          <t xml:space="preserve">Rabat </t>
        </is>
      </c>
      <c r="G63" s="221" t="inlineStr">
        <is>
          <t>Oui</t>
        </is>
      </c>
      <c r="H63" s="223" t="n">
        <v>3000000</v>
      </c>
      <c r="I63" s="224" t="inlineStr">
        <is>
          <t>Investissement</t>
        </is>
      </c>
    </row>
    <row r="64" ht="25.5" customHeight="1" s="392">
      <c r="A64" s="220" t="inlineStr">
        <is>
          <t xml:space="preserve">Direction du Patrimoine et Moyens Généraux </t>
        </is>
      </c>
      <c r="B64" s="220" t="inlineStr">
        <is>
          <t>Travaux d'aménagement de la station régionale Radio de Marrakech</t>
        </is>
      </c>
      <c r="C64" s="244" t="inlineStr">
        <is>
          <t>Travaux</t>
        </is>
      </c>
      <c r="D64" s="245" t="inlineStr">
        <is>
          <t>Appel d'offres ouvert</t>
        </is>
      </c>
      <c r="E64" s="221" t="inlineStr">
        <is>
          <t>T2</t>
        </is>
      </c>
      <c r="F64" s="221" t="inlineStr">
        <is>
          <t>Marrakech</t>
        </is>
      </c>
      <c r="G64" s="221" t="inlineStr">
        <is>
          <t>Oui</t>
        </is>
      </c>
      <c r="H64" s="223" t="n">
        <v>1400000</v>
      </c>
      <c r="I64" s="224" t="inlineStr">
        <is>
          <t>Investissement</t>
        </is>
      </c>
    </row>
    <row r="65" ht="25.5" customHeight="1" s="392">
      <c r="A65" s="220" t="inlineStr">
        <is>
          <t xml:space="preserve">Direction du Patrimoine et Moyens Généraux </t>
        </is>
      </c>
      <c r="B65" s="220" t="inlineStr">
        <is>
          <t>Travaux d'aménagement de la station régionale Radio d'AL Houceima</t>
        </is>
      </c>
      <c r="C65" s="244" t="inlineStr">
        <is>
          <t>Travaux</t>
        </is>
      </c>
      <c r="D65" s="245" t="inlineStr">
        <is>
          <t>Appel d'offres ouvert</t>
        </is>
      </c>
      <c r="E65" s="221" t="inlineStr">
        <is>
          <t>T3</t>
        </is>
      </c>
      <c r="F65" s="221" t="inlineStr">
        <is>
          <t>Al Houceima</t>
        </is>
      </c>
      <c r="G65" s="221" t="inlineStr">
        <is>
          <t>Oui</t>
        </is>
      </c>
      <c r="H65" s="223" t="n">
        <v>800000</v>
      </c>
      <c r="I65" s="224" t="inlineStr">
        <is>
          <t>Investissement</t>
        </is>
      </c>
    </row>
    <row r="66" ht="25.5" customHeight="1" s="392">
      <c r="A66" s="220" t="inlineStr">
        <is>
          <t xml:space="preserve">Direction du Patrimoine et Moyens Généraux </t>
        </is>
      </c>
      <c r="B66" s="220" t="inlineStr">
        <is>
          <t>Travaux d'aménagement de la station régionale Radio de Tetouane,</t>
        </is>
      </c>
      <c r="C66" s="244" t="inlineStr">
        <is>
          <t>Travaux</t>
        </is>
      </c>
      <c r="D66" s="245" t="inlineStr">
        <is>
          <t>Appel d'offres ouvert</t>
        </is>
      </c>
      <c r="E66" s="221" t="inlineStr">
        <is>
          <t>T2</t>
        </is>
      </c>
      <c r="F66" s="221" t="inlineStr">
        <is>
          <t>Al Houceima</t>
        </is>
      </c>
      <c r="G66" s="221" t="inlineStr">
        <is>
          <t>Oui</t>
        </is>
      </c>
      <c r="H66" s="223" t="n">
        <v>1000000</v>
      </c>
      <c r="I66" s="224" t="inlineStr">
        <is>
          <t>Investissement</t>
        </is>
      </c>
    </row>
    <row r="67" ht="25.5" customHeight="1" s="392">
      <c r="A67" s="220" t="inlineStr">
        <is>
          <t xml:space="preserve">Direction du Patrimoine et Moyens Généraux </t>
        </is>
      </c>
      <c r="B67" s="239" t="inlineStr">
        <is>
          <t>Travaux d'installation électrique au bâtiment administratif de la SNRT à Rabat</t>
        </is>
      </c>
      <c r="C67" s="244" t="inlineStr">
        <is>
          <t>Travaux</t>
        </is>
      </c>
      <c r="D67" s="245" t="inlineStr">
        <is>
          <t>Appel d'offres ouvert</t>
        </is>
      </c>
      <c r="E67" s="221" t="inlineStr">
        <is>
          <t>T2</t>
        </is>
      </c>
      <c r="F67" s="221" t="inlineStr">
        <is>
          <t xml:space="preserve">Rabat </t>
        </is>
      </c>
      <c r="G67" s="221" t="inlineStr">
        <is>
          <t>Non</t>
        </is>
      </c>
      <c r="H67" s="223" t="n">
        <v>450000</v>
      </c>
      <c r="I67" s="224" t="inlineStr">
        <is>
          <t>Investissement</t>
        </is>
      </c>
    </row>
    <row r="68" ht="25.5" customHeight="1" s="392">
      <c r="A68" s="220" t="inlineStr">
        <is>
          <t xml:space="preserve">Direction du Patrimoine et Moyens Généraux </t>
        </is>
      </c>
      <c r="B68" s="220" t="inlineStr">
        <is>
          <t>Travaux de plomberie au niveau des locaux de la SNRT Rabat</t>
        </is>
      </c>
      <c r="C68" s="244" t="inlineStr">
        <is>
          <t>Travaux</t>
        </is>
      </c>
      <c r="D68" s="245" t="inlineStr">
        <is>
          <t>Appel d'offres ouvert</t>
        </is>
      </c>
      <c r="E68" s="221" t="inlineStr">
        <is>
          <t>T3</t>
        </is>
      </c>
      <c r="F68" s="221" t="inlineStr">
        <is>
          <t xml:space="preserve">Rabat </t>
        </is>
      </c>
      <c r="G68" s="221" t="inlineStr">
        <is>
          <t>Oui</t>
        </is>
      </c>
      <c r="H68" s="223" t="n">
        <v>600000</v>
      </c>
      <c r="I68" s="224" t="inlineStr">
        <is>
          <t>Investissement</t>
        </is>
      </c>
    </row>
    <row r="69" ht="25.5" customHeight="1" s="392">
      <c r="A69" s="220" t="inlineStr">
        <is>
          <t xml:space="preserve">Direction du Patrimoine et Moyens Généraux </t>
        </is>
      </c>
      <c r="B69" s="220" t="inlineStr">
        <is>
          <t xml:space="preserve">Peinture extérieure pour les façades des bâtiments de la SNRT à Rabat. </t>
        </is>
      </c>
      <c r="C69" s="244" t="inlineStr">
        <is>
          <t>Travaux</t>
        </is>
      </c>
      <c r="D69" s="245" t="inlineStr">
        <is>
          <t>Appel d'offres ouvert</t>
        </is>
      </c>
      <c r="E69" s="221" t="inlineStr">
        <is>
          <t>T2</t>
        </is>
      </c>
      <c r="F69" s="221" t="inlineStr">
        <is>
          <t xml:space="preserve">Rabat </t>
        </is>
      </c>
      <c r="G69" s="221" t="inlineStr">
        <is>
          <t>Oui</t>
        </is>
      </c>
      <c r="H69" s="223" t="n">
        <v>650000</v>
      </c>
      <c r="I69" s="224" t="inlineStr">
        <is>
          <t>Investissement</t>
        </is>
      </c>
    </row>
    <row r="70" ht="25.5" customHeight="1" s="392">
      <c r="A70" s="220" t="inlineStr">
        <is>
          <t xml:space="preserve">Direction du Patrimoine et Moyens Généraux </t>
        </is>
      </c>
      <c r="B70" s="220" t="inlineStr">
        <is>
          <t>Aménagement des locaux Techniques (salles machines) des stations régionales radio de la SNRT.</t>
        </is>
      </c>
      <c r="C70" s="244" t="inlineStr">
        <is>
          <t>Travaux</t>
        </is>
      </c>
      <c r="D70" s="245" t="inlineStr">
        <is>
          <t>Appel d'offres ouvert</t>
        </is>
      </c>
      <c r="E70" s="221" t="inlineStr">
        <is>
          <t>T2</t>
        </is>
      </c>
      <c r="F70" s="221" t="inlineStr">
        <is>
          <t>Stations régionales Radio</t>
        </is>
      </c>
      <c r="G70" s="221" t="inlineStr">
        <is>
          <t>Non</t>
        </is>
      </c>
      <c r="H70" s="223" t="n">
        <v>1000000</v>
      </c>
      <c r="I70" s="224" t="inlineStr">
        <is>
          <t>Investissement</t>
        </is>
      </c>
    </row>
    <row r="71" ht="38.25" customHeight="1" s="392">
      <c r="A71" s="220" t="inlineStr">
        <is>
          <t xml:space="preserve">Direction du Patrimoine et Moyens Généraux </t>
        </is>
      </c>
      <c r="B71" s="220" t="inlineStr">
        <is>
          <t xml:space="preserve">Acquisition et installation de climatiseurs au niveau des locaux techniques des stations regionales radio.
</t>
        </is>
      </c>
      <c r="C71" s="244" t="inlineStr">
        <is>
          <t>Travaux</t>
        </is>
      </c>
      <c r="D71" s="245" t="inlineStr">
        <is>
          <t>Appel d'offres ouvert</t>
        </is>
      </c>
      <c r="E71" s="221" t="inlineStr">
        <is>
          <t>T2</t>
        </is>
      </c>
      <c r="F71" s="221" t="inlineStr">
        <is>
          <t>Stations régionales Radio</t>
        </is>
      </c>
      <c r="G71" s="221" t="inlineStr">
        <is>
          <t>Non</t>
        </is>
      </c>
      <c r="H71" s="223" t="n">
        <v>2420000</v>
      </c>
      <c r="I71" s="224" t="inlineStr">
        <is>
          <t>Investissement</t>
        </is>
      </c>
    </row>
    <row r="72" ht="25.5" customHeight="1" s="392">
      <c r="A72" s="220" t="inlineStr">
        <is>
          <t xml:space="preserve">Direction du Patrimoine et Moyens Généraux </t>
        </is>
      </c>
      <c r="B72" s="220" t="inlineStr">
        <is>
          <t>Etanchéité des terrasses des locaux de la SNRT à Rabat et Casablanca.</t>
        </is>
      </c>
      <c r="C72" s="244" t="inlineStr">
        <is>
          <t>Travaux</t>
        </is>
      </c>
      <c r="D72" s="245" t="inlineStr">
        <is>
          <t>Appel d'offres ouvert</t>
        </is>
      </c>
      <c r="E72" s="221" t="inlineStr">
        <is>
          <t>T2</t>
        </is>
      </c>
      <c r="F72" s="221" t="inlineStr">
        <is>
          <t>Rabat et Casablanca</t>
        </is>
      </c>
      <c r="G72" s="221" t="inlineStr">
        <is>
          <t>Oui</t>
        </is>
      </c>
      <c r="H72" s="223" t="n">
        <v>400000</v>
      </c>
      <c r="I72" s="224" t="inlineStr">
        <is>
          <t>Investissement</t>
        </is>
      </c>
    </row>
    <row r="73" ht="25.5" customHeight="1" s="392">
      <c r="A73" s="220" t="inlineStr">
        <is>
          <t xml:space="preserve">Direction du Patrimoine et Moyens Généraux </t>
        </is>
      </c>
      <c r="B73" s="220" t="inlineStr">
        <is>
          <t>Aménagement du studio virtuel de la station TV Laayoune.</t>
        </is>
      </c>
      <c r="C73" s="244" t="inlineStr">
        <is>
          <t>Travaux</t>
        </is>
      </c>
      <c r="D73" s="245" t="inlineStr">
        <is>
          <t>Appel d'offres ouvert</t>
        </is>
      </c>
      <c r="E73" s="221" t="inlineStr">
        <is>
          <t>T3</t>
        </is>
      </c>
      <c r="F73" s="221" t="inlineStr">
        <is>
          <t>Laayoune</t>
        </is>
      </c>
      <c r="G73" s="221" t="inlineStr">
        <is>
          <t>Non</t>
        </is>
      </c>
      <c r="H73" s="223" t="n">
        <v>1000000</v>
      </c>
      <c r="I73" s="224" t="inlineStr">
        <is>
          <t>Investissement</t>
        </is>
      </c>
    </row>
    <row r="74" ht="25.5" customHeight="1" s="392">
      <c r="A74" s="230" t="inlineStr">
        <is>
          <t xml:space="preserve">Direction du Patrimoine et Moyens Généraux </t>
        </is>
      </c>
      <c r="B74" s="230" t="inlineStr">
        <is>
          <t xml:space="preserve">Prestations de désherbage. </t>
        </is>
      </c>
      <c r="C74" s="236" t="inlineStr">
        <is>
          <t>Services</t>
        </is>
      </c>
      <c r="D74" s="243" t="inlineStr">
        <is>
          <t>Appel d'offres ouvert</t>
        </is>
      </c>
      <c r="E74" s="231" t="inlineStr">
        <is>
          <t>T1</t>
        </is>
      </c>
      <c r="F74" s="231" t="inlineStr">
        <is>
          <t>Rabat Temara casablanca</t>
        </is>
      </c>
      <c r="G74" s="231" t="inlineStr">
        <is>
          <t>Oui</t>
        </is>
      </c>
      <c r="H74" s="233" t="n">
        <v>400000</v>
      </c>
      <c r="I74" s="224" t="inlineStr">
        <is>
          <t>Fonctionnement</t>
        </is>
      </c>
    </row>
    <row r="75" ht="25.5" customHeight="1" s="392">
      <c r="A75" s="220" t="inlineStr">
        <is>
          <t xml:space="preserve">Direction du Patrimoine et Moyens Généraux </t>
        </is>
      </c>
      <c r="B75" s="220" t="inlineStr">
        <is>
          <t>Maintenance des ascenseurs.</t>
        </is>
      </c>
      <c r="C75" s="244" t="inlineStr">
        <is>
          <t>Services</t>
        </is>
      </c>
      <c r="D75" s="245" t="inlineStr">
        <is>
          <t>Appel d'offres ouvert</t>
        </is>
      </c>
      <c r="E75" s="221" t="inlineStr">
        <is>
          <t>T4</t>
        </is>
      </c>
      <c r="F75" s="221" t="inlineStr">
        <is>
          <t>Rabat- Casablanca</t>
        </is>
      </c>
      <c r="G75" s="221" t="inlineStr">
        <is>
          <t>Non</t>
        </is>
      </c>
      <c r="H75" s="223" t="n">
        <v>200000</v>
      </c>
      <c r="I75" s="224" t="inlineStr">
        <is>
          <t>Fonctionnement</t>
        </is>
      </c>
    </row>
    <row r="76" ht="25.5" customHeight="1" s="392">
      <c r="A76" s="220" t="inlineStr">
        <is>
          <t xml:space="preserve">Direction du Patrimoine et Moyens Généraux </t>
        </is>
      </c>
      <c r="B76" s="220" t="inlineStr">
        <is>
          <t>Maintenance des extincteurs.</t>
        </is>
      </c>
      <c r="C76" s="244" t="inlineStr">
        <is>
          <t>Services</t>
        </is>
      </c>
      <c r="D76" s="245" t="inlineStr">
        <is>
          <t>Appel d'offres ouvert</t>
        </is>
      </c>
      <c r="E76" s="221" t="inlineStr">
        <is>
          <t>T4</t>
        </is>
      </c>
      <c r="F76" s="221" t="inlineStr">
        <is>
          <t>Anexes SNRT</t>
        </is>
      </c>
      <c r="G76" s="221" t="inlineStr">
        <is>
          <t>Oui</t>
        </is>
      </c>
      <c r="H76" s="223" t="n">
        <v>150000</v>
      </c>
      <c r="I76" s="224" t="inlineStr">
        <is>
          <t>Fonctionnement</t>
        </is>
      </c>
    </row>
    <row r="77" ht="25.5" customHeight="1" s="392">
      <c r="A77" s="230" t="inlineStr">
        <is>
          <t xml:space="preserve">Direction du Patrimoine et Moyens Généraux </t>
        </is>
      </c>
      <c r="B77" s="230" t="inlineStr">
        <is>
          <t>Maintenance des onduleurs.</t>
        </is>
      </c>
      <c r="C77" s="236" t="inlineStr">
        <is>
          <t>Services</t>
        </is>
      </c>
      <c r="D77" s="243" t="inlineStr">
        <is>
          <t>Appel d'offres ouvert</t>
        </is>
      </c>
      <c r="E77" s="231" t="inlineStr">
        <is>
          <t>T2</t>
        </is>
      </c>
      <c r="F77" s="231" t="inlineStr">
        <is>
          <t>Rabat et Casablanca</t>
        </is>
      </c>
      <c r="G77" s="231" t="inlineStr">
        <is>
          <t>Non</t>
        </is>
      </c>
      <c r="H77" s="233" t="n">
        <v>600000</v>
      </c>
      <c r="I77" s="224" t="inlineStr">
        <is>
          <t>Fonctionnement</t>
        </is>
      </c>
    </row>
    <row r="78" ht="38.25" customHeight="1" s="392">
      <c r="A78" s="220" t="inlineStr">
        <is>
          <t xml:space="preserve">Direction du Patrimoine et Moyens Généraux </t>
        </is>
      </c>
      <c r="B78" s="220" t="inlineStr">
        <is>
          <t xml:space="preserve">Maintenance des installations de détection et d'extinction automatique d'incendie .
</t>
        </is>
      </c>
      <c r="C78" s="244" t="inlineStr">
        <is>
          <t>Services</t>
        </is>
      </c>
      <c r="D78" s="245" t="inlineStr">
        <is>
          <t>Appel d'offres ouvert</t>
        </is>
      </c>
      <c r="E78" s="221" t="inlineStr">
        <is>
          <t>T2</t>
        </is>
      </c>
      <c r="F78" s="221" t="inlineStr">
        <is>
          <t>Rabat et Casablanca</t>
        </is>
      </c>
      <c r="G78" s="221" t="inlineStr">
        <is>
          <t>Oui</t>
        </is>
      </c>
      <c r="H78" s="223" t="n">
        <v>650000</v>
      </c>
      <c r="I78" s="224" t="inlineStr">
        <is>
          <t>Fonctionnement</t>
        </is>
      </c>
    </row>
    <row r="79" ht="25.5" customHeight="1" s="392">
      <c r="A79" s="230" t="inlineStr">
        <is>
          <t xml:space="preserve">Direction du Patrimoine et Moyens Généraux </t>
        </is>
      </c>
      <c r="B79" s="230" t="inlineStr">
        <is>
          <t xml:space="preserve">Maintenance des installations de climatisation: 
 Rabat Casablanca </t>
        </is>
      </c>
      <c r="C79" s="236" t="inlineStr">
        <is>
          <t>Services</t>
        </is>
      </c>
      <c r="D79" s="243" t="inlineStr">
        <is>
          <t>Appel d'offres ouvert</t>
        </is>
      </c>
      <c r="E79" s="231" t="inlineStr">
        <is>
          <t>T2</t>
        </is>
      </c>
      <c r="F79" s="231" t="inlineStr">
        <is>
          <t>Anexes SNRT</t>
        </is>
      </c>
      <c r="G79" s="231" t="inlineStr">
        <is>
          <t>Non</t>
        </is>
      </c>
      <c r="H79" s="233" t="n">
        <v>590000</v>
      </c>
      <c r="I79" s="224" t="inlineStr">
        <is>
          <t>Fonctionnement</t>
        </is>
      </c>
    </row>
    <row r="80" ht="25.5" customHeight="1" s="392">
      <c r="A80" s="220" t="inlineStr">
        <is>
          <t xml:space="preserve">Direction du Patrimoine et Moyens Généraux </t>
        </is>
      </c>
      <c r="B80" s="220" t="inlineStr">
        <is>
          <t>Mise à jour de la solution de pointage et de contrôle d'accès</t>
        </is>
      </c>
      <c r="C80" s="244" t="inlineStr">
        <is>
          <t>Services</t>
        </is>
      </c>
      <c r="D80" s="245" t="inlineStr">
        <is>
          <t>Appel d'offres ouvert</t>
        </is>
      </c>
      <c r="E80" s="221" t="inlineStr">
        <is>
          <t>T3</t>
        </is>
      </c>
      <c r="F80" s="221" t="inlineStr">
        <is>
          <t>Rabat, Casablanca et Laayoune</t>
        </is>
      </c>
      <c r="G80" s="221" t="inlineStr">
        <is>
          <t>Non</t>
        </is>
      </c>
      <c r="H80" s="223" t="n">
        <v>500000</v>
      </c>
      <c r="I80" s="224" t="inlineStr">
        <is>
          <t>Fonctionnement</t>
        </is>
      </c>
    </row>
    <row r="81" ht="25.5" customHeight="1" s="392">
      <c r="A81" s="220" t="inlineStr">
        <is>
          <t xml:space="preserve">Direction du Patrimoine et Moyens Généraux </t>
        </is>
      </c>
      <c r="B81" s="220" t="inlineStr">
        <is>
          <t>Fourniture Matériel Electrique Siége et Annexes</t>
        </is>
      </c>
      <c r="C81" s="244" t="inlineStr">
        <is>
          <t>Fournitures</t>
        </is>
      </c>
      <c r="D81" s="245" t="inlineStr">
        <is>
          <t>Appel d'offres ouvert</t>
        </is>
      </c>
      <c r="E81" s="221" t="inlineStr">
        <is>
          <t>T3</t>
        </is>
      </c>
      <c r="F81" s="221" t="inlineStr">
        <is>
          <t>Anexes SNRT</t>
        </is>
      </c>
      <c r="G81" s="221" t="inlineStr">
        <is>
          <t>Oui</t>
        </is>
      </c>
      <c r="H81" s="223" t="n">
        <v>200000</v>
      </c>
      <c r="I81" s="224" t="inlineStr">
        <is>
          <t>Fonctionnement</t>
        </is>
      </c>
    </row>
    <row r="82" ht="25.5" customHeight="1" s="392">
      <c r="A82" s="220" t="inlineStr">
        <is>
          <t xml:space="preserve">Direction du Patrimoine et Moyens Généraux </t>
        </is>
      </c>
      <c r="B82" s="220" t="inlineStr">
        <is>
          <t>Installation extracteurs et détection incendie locaux Archives Finances et Achats</t>
        </is>
      </c>
      <c r="C82" s="244" t="inlineStr">
        <is>
          <t>Fournitures</t>
        </is>
      </c>
      <c r="D82" s="245" t="inlineStr">
        <is>
          <t>Appel d'offres ouvert</t>
        </is>
      </c>
      <c r="E82" s="221" t="inlineStr">
        <is>
          <t>T2</t>
        </is>
      </c>
      <c r="F82" s="221" t="inlineStr">
        <is>
          <t>Rabat</t>
        </is>
      </c>
      <c r="G82" s="221" t="inlineStr">
        <is>
          <t>Oui</t>
        </is>
      </c>
      <c r="H82" s="223" t="n">
        <v>800000</v>
      </c>
      <c r="I82" s="224" t="inlineStr">
        <is>
          <t>Investissement</t>
        </is>
      </c>
    </row>
    <row r="83" ht="25.5" customHeight="1" s="392">
      <c r="A83" s="220" t="inlineStr">
        <is>
          <t xml:space="preserve">Direction du Patrimoine et Moyens Généraux </t>
        </is>
      </c>
      <c r="B83" s="220" t="inlineStr">
        <is>
          <t xml:space="preserve">Acquisition de climatiseurs </t>
        </is>
      </c>
      <c r="C83" s="244" t="inlineStr">
        <is>
          <t>Fournitures</t>
        </is>
      </c>
      <c r="D83" s="245" t="inlineStr">
        <is>
          <t>Appel d'offres ouvert</t>
        </is>
      </c>
      <c r="E83" s="221" t="inlineStr">
        <is>
          <t>T3</t>
        </is>
      </c>
      <c r="F83" s="221" t="inlineStr">
        <is>
          <t>Anexes SNRT</t>
        </is>
      </c>
      <c r="G83" s="221" t="inlineStr">
        <is>
          <t>Oui</t>
        </is>
      </c>
      <c r="H83" s="223" t="n">
        <v>1500000</v>
      </c>
      <c r="I83" s="224" t="inlineStr">
        <is>
          <t>Investissement</t>
        </is>
      </c>
    </row>
    <row r="84" ht="25.5" customHeight="1" s="392">
      <c r="A84" s="220" t="inlineStr">
        <is>
          <t xml:space="preserve">Direction du Patrimoine et Moyens Généraux </t>
        </is>
      </c>
      <c r="B84" s="220" t="inlineStr">
        <is>
          <t xml:space="preserve">Travaux d'aménagement de la régie et du Studio N°5 de la  Radio </t>
        </is>
      </c>
      <c r="C84" s="244" t="inlineStr">
        <is>
          <t>Travaux</t>
        </is>
      </c>
      <c r="D84" s="245" t="inlineStr">
        <is>
          <t>Appel d'offres ouvert</t>
        </is>
      </c>
      <c r="E84" s="221" t="inlineStr">
        <is>
          <t>T3</t>
        </is>
      </c>
      <c r="F84" s="221" t="inlineStr">
        <is>
          <t>Rabat</t>
        </is>
      </c>
      <c r="G84" s="221" t="inlineStr">
        <is>
          <t>Non</t>
        </is>
      </c>
      <c r="H84" s="223" t="n">
        <v>800000</v>
      </c>
      <c r="I84" s="224" t="inlineStr">
        <is>
          <t>Investissement</t>
        </is>
      </c>
    </row>
    <row r="85" ht="45" customHeight="1" s="392">
      <c r="A85" s="220" t="inlineStr">
        <is>
          <t xml:space="preserve">Direction du Patrimoine et Moyens Généraux </t>
        </is>
      </c>
      <c r="B85" s="220" t="inlineStr">
        <is>
          <t>Acquisition et travaux d'installation de deux ascenseurs aux bâtiments  de la Radio SNRT-Rabat et de Radio-TV coranique Assadissa</t>
        </is>
      </c>
      <c r="C85" s="244" t="inlineStr">
        <is>
          <t>Travaux</t>
        </is>
      </c>
      <c r="D85" s="245" t="inlineStr">
        <is>
          <t>Appel d'offres ouvert</t>
        </is>
      </c>
      <c r="E85" s="221" t="inlineStr">
        <is>
          <t>T2</t>
        </is>
      </c>
      <c r="F85" s="221" t="inlineStr">
        <is>
          <t>Rabat</t>
        </is>
      </c>
      <c r="G85" s="221" t="inlineStr">
        <is>
          <t>Oui</t>
        </is>
      </c>
      <c r="H85" s="246" t="n">
        <v>1076000</v>
      </c>
      <c r="I85" s="247" t="inlineStr">
        <is>
          <t>Investissement</t>
        </is>
      </c>
    </row>
    <row r="86" ht="38.25" customHeight="1" s="392">
      <c r="A86" s="230" t="inlineStr">
        <is>
          <t xml:space="preserve">Direction du Patrimoine et Moyens Généraux </t>
        </is>
      </c>
      <c r="B86" s="230" t="inlineStr">
        <is>
          <t xml:space="preserve"> la location de longue durée à la SNRT de véhicules neufs sans option d'achat  ainsi que les prestations qui lui sont accessoires et complémentaire</t>
        </is>
      </c>
      <c r="C86" s="236" t="inlineStr">
        <is>
          <t>Services</t>
        </is>
      </c>
      <c r="D86" s="243" t="inlineStr">
        <is>
          <t>Appel d'offres ouvert</t>
        </is>
      </c>
      <c r="E86" s="231" t="inlineStr">
        <is>
          <t>T1</t>
        </is>
      </c>
      <c r="F86" s="231" t="inlineStr">
        <is>
          <t>Rabat</t>
        </is>
      </c>
      <c r="G86" s="231" t="inlineStr">
        <is>
          <t>Non</t>
        </is>
      </c>
      <c r="H86" s="233" t="n">
        <v>8234049.6</v>
      </c>
      <c r="I86" s="224" t="inlineStr">
        <is>
          <t>Fonctionnement</t>
        </is>
      </c>
    </row>
    <row r="87" ht="35.25" customHeight="1" s="392">
      <c r="A87" s="230" t="inlineStr">
        <is>
          <t xml:space="preserve">Direction du Patrimoine et Moyens Généraux </t>
        </is>
      </c>
      <c r="B87" s="230" t="inlineStr">
        <is>
          <t xml:space="preserve">Acquisition  de mobilier de bureau </t>
        </is>
      </c>
      <c r="C87" s="236" t="inlineStr">
        <is>
          <t>Fournitures</t>
        </is>
      </c>
      <c r="D87" s="243" t="inlineStr">
        <is>
          <t>Appel d'offres ouvert</t>
        </is>
      </c>
      <c r="E87" s="231" t="inlineStr">
        <is>
          <t>T2</t>
        </is>
      </c>
      <c r="F87" s="231" t="inlineStr">
        <is>
          <t>Rabat</t>
        </is>
      </c>
      <c r="G87" s="231" t="inlineStr">
        <is>
          <t>Non</t>
        </is>
      </c>
      <c r="H87" s="233" t="n">
        <v>2000000</v>
      </c>
      <c r="I87" s="224" t="inlineStr">
        <is>
          <t>Investissement</t>
        </is>
      </c>
    </row>
    <row r="88" ht="25.5" customHeight="1" s="392">
      <c r="A88" s="230" t="inlineStr">
        <is>
          <t xml:space="preserve">Direction du Patrimoine et Moyens Généraux </t>
        </is>
      </c>
      <c r="B88" s="230" t="inlineStr">
        <is>
          <t xml:space="preserve">Acquisition de Matériel de Bureau (photocopieurs, Fax, Destructeur Tonners et drums ) </t>
        </is>
      </c>
      <c r="C88" s="236" t="inlineStr">
        <is>
          <t>Fournitures</t>
        </is>
      </c>
      <c r="D88" s="243" t="inlineStr">
        <is>
          <t>Appel d'offres ouvert</t>
        </is>
      </c>
      <c r="E88" s="231" t="inlineStr">
        <is>
          <t>T1-T4</t>
        </is>
      </c>
      <c r="F88" s="231" t="inlineStr">
        <is>
          <t>Rabat</t>
        </is>
      </c>
      <c r="G88" s="231" t="inlineStr">
        <is>
          <t>Oui</t>
        </is>
      </c>
      <c r="H88" s="233" t="n">
        <v>2028592</v>
      </c>
      <c r="I88" s="224" t="inlineStr">
        <is>
          <t>Investissement</t>
        </is>
      </c>
    </row>
    <row r="89" ht="25.5" customHeight="1" s="392">
      <c r="A89" s="230" t="inlineStr">
        <is>
          <t xml:space="preserve">Direction du Patrimoine et Moyens Généraux </t>
        </is>
      </c>
      <c r="B89" s="230" t="inlineStr">
        <is>
          <t xml:space="preserve">Achat Fournitures de Bureau </t>
        </is>
      </c>
      <c r="C89" s="236" t="inlineStr">
        <is>
          <t>Fournitures</t>
        </is>
      </c>
      <c r="D89" s="243" t="inlineStr">
        <is>
          <t>Appel d'offres ouvert</t>
        </is>
      </c>
      <c r="E89" s="231" t="inlineStr">
        <is>
          <t>T1</t>
        </is>
      </c>
      <c r="F89" s="231" t="inlineStr">
        <is>
          <t>Rabat</t>
        </is>
      </c>
      <c r="G89" s="231" t="inlineStr">
        <is>
          <t>Oui</t>
        </is>
      </c>
      <c r="H89" s="233" t="n">
        <v>300000</v>
      </c>
      <c r="I89" s="224" t="inlineStr">
        <is>
          <t>Fonctionnement</t>
        </is>
      </c>
    </row>
    <row r="90" ht="25.5" customHeight="1" s="392">
      <c r="A90" s="230" t="inlineStr">
        <is>
          <t xml:space="preserve">Direction du Patrimoine et Moyens Généraux </t>
        </is>
      </c>
      <c r="B90" s="230" t="inlineStr">
        <is>
          <t xml:space="preserve">Achat Papier Fort A4
</t>
        </is>
      </c>
      <c r="C90" s="236" t="inlineStr">
        <is>
          <t>Fournitures</t>
        </is>
      </c>
      <c r="D90" s="243" t="inlineStr">
        <is>
          <t>Appel d'offres ouvert</t>
        </is>
      </c>
      <c r="E90" s="231" t="inlineStr">
        <is>
          <t>T1</t>
        </is>
      </c>
      <c r="F90" s="231" t="inlineStr">
        <is>
          <t>Rabat</t>
        </is>
      </c>
      <c r="G90" s="231" t="inlineStr">
        <is>
          <t>Oui</t>
        </is>
      </c>
      <c r="H90" s="233" t="n">
        <v>3000000</v>
      </c>
      <c r="I90" s="224" t="inlineStr">
        <is>
          <t>Fonctionnement</t>
        </is>
      </c>
    </row>
    <row r="91" ht="41.25" customHeight="1" s="392">
      <c r="A91" s="220" t="inlineStr">
        <is>
          <t xml:space="preserve">Direction du Patrimoine et Moyens Généraux </t>
        </is>
      </c>
      <c r="B91" s="220" t="inlineStr">
        <is>
          <t xml:space="preserve"> Inventaire physique et fiabilisation du fichier comptable des immobilisations de la SNRT,
</t>
        </is>
      </c>
      <c r="C91" s="244" t="inlineStr">
        <is>
          <t>Services</t>
        </is>
      </c>
      <c r="D91" s="245" t="inlineStr">
        <is>
          <t>Appel d'offres ouvert</t>
        </is>
      </c>
      <c r="E91" s="221" t="inlineStr">
        <is>
          <t>T2</t>
        </is>
      </c>
      <c r="F91" s="221" t="inlineStr">
        <is>
          <t>Sites de la SNRT</t>
        </is>
      </c>
      <c r="G91" s="221" t="inlineStr">
        <is>
          <t>Non</t>
        </is>
      </c>
      <c r="H91" s="223" t="n">
        <v>3000000</v>
      </c>
      <c r="I91" s="224" t="inlineStr">
        <is>
          <t>Fonctionnement</t>
        </is>
      </c>
    </row>
    <row r="92" ht="29.25" customHeight="1" s="392">
      <c r="A92" s="220" t="inlineStr">
        <is>
          <t xml:space="preserve">Direction du Patrimoine et Moyens Généraux </t>
        </is>
      </c>
      <c r="B92" s="220" t="inlineStr">
        <is>
          <t>Extension de l'abri des cars régies à Témara</t>
        </is>
      </c>
      <c r="C92" s="244" t="inlineStr">
        <is>
          <t>Travaux</t>
        </is>
      </c>
      <c r="D92" s="245" t="inlineStr">
        <is>
          <t>Appel d'offres ouvert</t>
        </is>
      </c>
      <c r="E92" s="221" t="inlineStr">
        <is>
          <t>T2</t>
        </is>
      </c>
      <c r="F92" s="221" t="inlineStr">
        <is>
          <t>Témara</t>
        </is>
      </c>
      <c r="G92" s="221" t="inlineStr">
        <is>
          <t>Oui</t>
        </is>
      </c>
      <c r="H92" s="223" t="n">
        <v>7792000</v>
      </c>
      <c r="I92" s="224" t="inlineStr">
        <is>
          <t>Investissement</t>
        </is>
      </c>
    </row>
    <row r="93" ht="25.5" customHeight="1" s="392">
      <c r="A93" s="230" t="inlineStr">
        <is>
          <t xml:space="preserve">Direction du Patrimoine et Moyens Généraux </t>
        </is>
      </c>
      <c r="B93" s="230" t="inlineStr">
        <is>
          <t>Travaux de démolition et de reconstruction d'un mur de cloture de la station Régionale Radio à Oujda</t>
        </is>
      </c>
      <c r="C93" s="236" t="inlineStr">
        <is>
          <t>Travaux</t>
        </is>
      </c>
      <c r="D93" s="243" t="inlineStr">
        <is>
          <t>Appel d'offres ouvert</t>
        </is>
      </c>
      <c r="E93" s="231" t="inlineStr">
        <is>
          <t>T1</t>
        </is>
      </c>
      <c r="F93" s="231" t="inlineStr">
        <is>
          <t>Oujda</t>
        </is>
      </c>
      <c r="G93" s="231" t="inlineStr">
        <is>
          <t>Oui</t>
        </is>
      </c>
      <c r="H93" s="233" t="n">
        <v>1050000</v>
      </c>
      <c r="I93" s="224" t="inlineStr">
        <is>
          <t>Investissement</t>
        </is>
      </c>
    </row>
    <row r="94" ht="25.5" customHeight="1" s="392">
      <c r="A94" s="220" t="inlineStr">
        <is>
          <t xml:space="preserve">Direction du Patrimoine et Moyens Généraux </t>
        </is>
      </c>
      <c r="B94" s="220" t="inlineStr">
        <is>
          <t>Travaux d'aménagement et d'agencement de la régie publicitaire et des solutions digitales</t>
        </is>
      </c>
      <c r="C94" s="244" t="inlineStr">
        <is>
          <t>Travaux</t>
        </is>
      </c>
      <c r="D94" s="245" t="inlineStr">
        <is>
          <t>Appel d'offres ouvert</t>
        </is>
      </c>
      <c r="E94" s="221" t="inlineStr">
        <is>
          <t>T2</t>
        </is>
      </c>
      <c r="F94" s="221" t="inlineStr">
        <is>
          <t xml:space="preserve">Casablanca </t>
        </is>
      </c>
      <c r="G94" s="221" t="inlineStr">
        <is>
          <t>Oui</t>
        </is>
      </c>
      <c r="H94" s="223" t="n">
        <v>2551240.8</v>
      </c>
      <c r="I94" s="224" t="inlineStr">
        <is>
          <t>Investissement</t>
        </is>
      </c>
    </row>
    <row r="95" ht="35.25" customHeight="1" s="392">
      <c r="A95" s="230" t="inlineStr">
        <is>
          <t xml:space="preserve">Direction du Patrimoine et Moyens Généraux </t>
        </is>
      </c>
      <c r="B95" s="230" t="inlineStr">
        <is>
          <t>Travaux d'aménagement des locaux techniques à Rabat Aménagement et Agencement</t>
        </is>
      </c>
      <c r="C95" s="236" t="inlineStr">
        <is>
          <t>Travaux</t>
        </is>
      </c>
      <c r="D95" s="243" t="inlineStr">
        <is>
          <t>Appel d'offres ouvert</t>
        </is>
      </c>
      <c r="E95" s="231" t="inlineStr">
        <is>
          <t>T2</t>
        </is>
      </c>
      <c r="F95" s="231" t="inlineStr">
        <is>
          <t>Rabat</t>
        </is>
      </c>
      <c r="G95" s="231" t="inlineStr">
        <is>
          <t>Oui</t>
        </is>
      </c>
      <c r="H95" s="233" t="n">
        <v>3248928</v>
      </c>
      <c r="I95" s="224" t="inlineStr">
        <is>
          <t>Investissement</t>
        </is>
      </c>
    </row>
    <row r="96" ht="25.5" customHeight="1" s="392">
      <c r="A96" s="230" t="inlineStr">
        <is>
          <t xml:space="preserve">Direction du Patrimoine et Moyens Généraux </t>
        </is>
      </c>
      <c r="B96" s="230" t="inlineStr">
        <is>
          <t>Travaux d'aménagement des locaux techniques à Rabat  Electricité-Lustreries-Climatisation</t>
        </is>
      </c>
      <c r="C96" s="236" t="inlineStr">
        <is>
          <t>Travaux</t>
        </is>
      </c>
      <c r="D96" s="243" t="inlineStr">
        <is>
          <t>Appel d'offres ouvert</t>
        </is>
      </c>
      <c r="E96" s="231" t="inlineStr">
        <is>
          <t>T2</t>
        </is>
      </c>
      <c r="F96" s="231" t="inlineStr">
        <is>
          <t>Rabat</t>
        </is>
      </c>
      <c r="G96" s="231" t="inlineStr">
        <is>
          <t>Oui</t>
        </is>
      </c>
      <c r="H96" s="233" t="n">
        <v>587419.2</v>
      </c>
      <c r="I96" s="224" t="inlineStr">
        <is>
          <t>Investissement</t>
        </is>
      </c>
    </row>
    <row r="97" ht="36" customHeight="1" s="392">
      <c r="A97" s="220" t="inlineStr">
        <is>
          <t xml:space="preserve">Direction du Patrimoine et Moyens Généraux </t>
        </is>
      </c>
      <c r="B97" s="220" t="inlineStr">
        <is>
          <t>Fourniture et installation des Panneaux de signatlisation Bâtiments SNRT</t>
        </is>
      </c>
      <c r="C97" s="244" t="inlineStr">
        <is>
          <t>Fournitures</t>
        </is>
      </c>
      <c r="D97" s="245" t="inlineStr">
        <is>
          <t>Appel d'offres ouvert</t>
        </is>
      </c>
      <c r="E97" s="221" t="inlineStr">
        <is>
          <t>T3</t>
        </is>
      </c>
      <c r="F97" s="221" t="inlineStr">
        <is>
          <t>Sites SNRT</t>
        </is>
      </c>
      <c r="G97" s="221" t="inlineStr">
        <is>
          <t>Non</t>
        </is>
      </c>
      <c r="H97" s="223" t="n">
        <v>300000</v>
      </c>
      <c r="I97" s="224" t="inlineStr">
        <is>
          <t>Investissement</t>
        </is>
      </c>
    </row>
    <row r="98" ht="25.5" customHeight="1" s="392">
      <c r="A98" s="220" t="inlineStr">
        <is>
          <t xml:space="preserve">Direction Centrale de la Production et de l'Antenne </t>
        </is>
      </c>
      <c r="B98" s="220" t="inlineStr">
        <is>
          <t>Décors Emissions Internes Al Aoula</t>
        </is>
      </c>
      <c r="C98" s="221" t="inlineStr">
        <is>
          <t>Services</t>
        </is>
      </c>
      <c r="D98" s="222" t="inlineStr">
        <is>
          <t>Appel d'offres ouvert</t>
        </is>
      </c>
      <c r="E98" s="221" t="inlineStr">
        <is>
          <t>T2</t>
        </is>
      </c>
      <c r="F98" s="221" t="inlineStr">
        <is>
          <t>Casablanca / Rabat</t>
        </is>
      </c>
      <c r="G98" s="221" t="inlineStr">
        <is>
          <t>Oui</t>
        </is>
      </c>
      <c r="H98" s="575" t="n">
        <v>1620000</v>
      </c>
      <c r="I98" s="224" t="inlineStr">
        <is>
          <t>Investissement</t>
        </is>
      </c>
    </row>
    <row r="99" ht="25.5" customHeight="1" s="392">
      <c r="A99" s="220" t="inlineStr">
        <is>
          <t xml:space="preserve">Direction Centrale de la Production et de l'Antenne </t>
        </is>
      </c>
      <c r="B99" s="220" t="inlineStr">
        <is>
          <t>Location Ecrans &amp; Barres à Led</t>
        </is>
      </c>
      <c r="C99" s="221" t="inlineStr">
        <is>
          <t>Services</t>
        </is>
      </c>
      <c r="D99" s="222" t="inlineStr">
        <is>
          <t>Appel d'offres ouvert</t>
        </is>
      </c>
      <c r="E99" s="221" t="inlineStr">
        <is>
          <t>T2</t>
        </is>
      </c>
      <c r="F99" s="221" t="inlineStr">
        <is>
          <t>Casablanca / Rabat</t>
        </is>
      </c>
      <c r="G99" s="221" t="inlineStr">
        <is>
          <t>Oui</t>
        </is>
      </c>
      <c r="H99" s="575" t="n">
        <v>360000</v>
      </c>
      <c r="I99" s="224" t="inlineStr">
        <is>
          <t>Investissement</t>
        </is>
      </c>
    </row>
    <row r="100" ht="25.5" customHeight="1" s="392">
      <c r="A100" s="220" t="inlineStr">
        <is>
          <t xml:space="preserve">Direction Centrale de la Production et de l'Antenne </t>
        </is>
      </c>
      <c r="B100" s="220" t="inlineStr">
        <is>
          <t>Location Matériel pour les productions internes Al Aoula</t>
        </is>
      </c>
      <c r="C100" s="221" t="inlineStr">
        <is>
          <t>Services</t>
        </is>
      </c>
      <c r="D100" s="222" t="inlineStr">
        <is>
          <t>Appel d'offres ouvert</t>
        </is>
      </c>
      <c r="E100" s="221" t="inlineStr">
        <is>
          <t>T2</t>
        </is>
      </c>
      <c r="F100" s="221" t="inlineStr">
        <is>
          <t>Casablanca / Rabat</t>
        </is>
      </c>
      <c r="G100" s="221" t="inlineStr">
        <is>
          <t>Oui</t>
        </is>
      </c>
      <c r="H100" s="575" t="n">
        <v>1232000</v>
      </c>
      <c r="I100" s="224" t="inlineStr">
        <is>
          <t>Investissement</t>
        </is>
      </c>
    </row>
    <row r="101" ht="38.25" customHeight="1" s="392">
      <c r="A101" s="220" t="inlineStr">
        <is>
          <t>Direction Al Maghribia</t>
        </is>
      </c>
      <c r="B101" s="220" t="inlineStr">
        <is>
          <t>Prestation de blanchisserie du linge et services associés au profit des journalistes présentateurs du journal Télévisés (JT)</t>
        </is>
      </c>
      <c r="C101" s="221" t="inlineStr">
        <is>
          <t>Services</t>
        </is>
      </c>
      <c r="D101" s="222" t="inlineStr">
        <is>
          <t>Appel d'offres ouvert</t>
        </is>
      </c>
      <c r="E101" s="221" t="inlineStr">
        <is>
          <t>T2</t>
        </is>
      </c>
      <c r="F101" s="221" t="inlineStr">
        <is>
          <t>Rabat</t>
        </is>
      </c>
      <c r="G101" s="221" t="inlineStr">
        <is>
          <t>Oui</t>
        </is>
      </c>
      <c r="H101" s="575" t="n">
        <v>60000</v>
      </c>
      <c r="I101" s="224" t="inlineStr">
        <is>
          <t>Investissement</t>
        </is>
      </c>
    </row>
    <row r="102">
      <c r="A102" s="220" t="inlineStr">
        <is>
          <t>Direction Al Maghribia</t>
        </is>
      </c>
      <c r="B102" s="220" t="inlineStr">
        <is>
          <t>Décor Virtuel Live News</t>
        </is>
      </c>
      <c r="C102" s="221" t="inlineStr">
        <is>
          <t>Services</t>
        </is>
      </c>
      <c r="D102" s="222" t="inlineStr">
        <is>
          <t>Appel d'offres ouvert</t>
        </is>
      </c>
      <c r="E102" s="221" t="inlineStr">
        <is>
          <t>T2</t>
        </is>
      </c>
      <c r="F102" s="221" t="inlineStr">
        <is>
          <t>Rabat</t>
        </is>
      </c>
      <c r="G102" s="221" t="inlineStr">
        <is>
          <t>Oui</t>
        </is>
      </c>
      <c r="H102" s="575" t="n">
        <v>150000</v>
      </c>
      <c r="I102" s="224" t="inlineStr">
        <is>
          <t>Investissement</t>
        </is>
      </c>
    </row>
    <row r="103" ht="25.5" customHeight="1" s="392">
      <c r="A103" s="230" t="inlineStr">
        <is>
          <t xml:space="preserve">Direction Audit et Contrôle et de Gestion </t>
        </is>
      </c>
      <c r="B103" s="230" t="inlineStr">
        <is>
          <t>Elaboration d'une cartographie des risques couvrant les processus de la SNRT</t>
        </is>
      </c>
      <c r="C103" s="231" t="inlineStr">
        <is>
          <t>Services</t>
        </is>
      </c>
      <c r="D103" s="232" t="inlineStr">
        <is>
          <t>Appel d'offres ouvert</t>
        </is>
      </c>
      <c r="E103" s="231" t="inlineStr">
        <is>
          <t>T2</t>
        </is>
      </c>
      <c r="F103" s="231" t="inlineStr">
        <is>
          <t>Rabat</t>
        </is>
      </c>
      <c r="G103" s="231" t="inlineStr">
        <is>
          <t>Non</t>
        </is>
      </c>
      <c r="H103" s="579" t="n">
        <v>840000</v>
      </c>
      <c r="I103" s="248" t="inlineStr">
        <is>
          <t>Investissement</t>
        </is>
      </c>
    </row>
    <row r="104" ht="38.25" customHeight="1" s="392">
      <c r="A104" s="220" t="inlineStr">
        <is>
          <t>Direction chargée des programmes Amazigh Radio et TV</t>
        </is>
      </c>
      <c r="B104" s="239" t="inlineStr">
        <is>
          <t>Habillage général de la chaîne Amazighia</t>
        </is>
      </c>
      <c r="C104" s="221" t="inlineStr">
        <is>
          <t>Services</t>
        </is>
      </c>
      <c r="D104" s="222" t="inlineStr">
        <is>
          <t>Appel d'offres ouvert</t>
        </is>
      </c>
      <c r="E104" s="221" t="inlineStr">
        <is>
          <t>T2</t>
        </is>
      </c>
      <c r="F104" s="221" t="inlineStr">
        <is>
          <t>Rabat</t>
        </is>
      </c>
      <c r="G104" s="221" t="inlineStr">
        <is>
          <t>Non</t>
        </is>
      </c>
      <c r="H104" s="575" t="n">
        <v>1500000</v>
      </c>
      <c r="I104" s="224" t="inlineStr">
        <is>
          <t>Investissement</t>
        </is>
      </c>
    </row>
    <row r="105" ht="38.25" customHeight="1" s="392">
      <c r="A105" s="220" t="inlineStr">
        <is>
          <t>Direction chargée des programmes Amazigh Radio et TV</t>
        </is>
      </c>
      <c r="B105" s="220" t="inlineStr">
        <is>
          <t>Conception et fabrication d'un ensemble de décors comprenant une table et cinq chaises dédiées aux émissions de débat télévisé diffusées sur la chaîne TV8.</t>
        </is>
      </c>
      <c r="C105" s="221" t="inlineStr">
        <is>
          <t>Services</t>
        </is>
      </c>
      <c r="D105" s="222" t="inlineStr">
        <is>
          <t>Appel d'offres ouvert</t>
        </is>
      </c>
      <c r="E105" s="221" t="inlineStr">
        <is>
          <t>T2</t>
        </is>
      </c>
      <c r="F105" s="221" t="inlineStr">
        <is>
          <t>Rabat</t>
        </is>
      </c>
      <c r="G105" s="221" t="inlineStr">
        <is>
          <t>Oui</t>
        </is>
      </c>
      <c r="H105" s="575" t="n">
        <v>600000</v>
      </c>
      <c r="I105" s="224" t="inlineStr">
        <is>
          <t>Investissement</t>
        </is>
      </c>
    </row>
    <row r="106" ht="38.25" customHeight="1" s="392">
      <c r="A106" s="220" t="inlineStr">
        <is>
          <t>Direction chargée des programmes Amazigh Radio et TV</t>
        </is>
      </c>
      <c r="B106" s="220" t="inlineStr">
        <is>
          <t>Habillage général de Radio Amazigh</t>
        </is>
      </c>
      <c r="C106" s="221" t="inlineStr">
        <is>
          <t>Services</t>
        </is>
      </c>
      <c r="D106" s="222" t="inlineStr">
        <is>
          <t>Appel d'offres ouvert</t>
        </is>
      </c>
      <c r="E106" s="221" t="inlineStr">
        <is>
          <t>T3</t>
        </is>
      </c>
      <c r="F106" s="221" t="inlineStr">
        <is>
          <t>Rabat</t>
        </is>
      </c>
      <c r="G106" s="221" t="inlineStr">
        <is>
          <t>Non</t>
        </is>
      </c>
      <c r="H106" s="575" t="n">
        <v>500000</v>
      </c>
      <c r="I106" s="224" t="inlineStr">
        <is>
          <t>Investissement</t>
        </is>
      </c>
    </row>
    <row r="107" ht="25.5" customHeight="1" s="392">
      <c r="A107" s="220" t="inlineStr">
        <is>
          <t>Direction des  Ressources Humaines</t>
        </is>
      </c>
      <c r="B107" s="220" t="inlineStr">
        <is>
          <t>Programmes de formation  au profit du personnel de la SNRT</t>
        </is>
      </c>
      <c r="C107" s="221" t="inlineStr">
        <is>
          <t>Services</t>
        </is>
      </c>
      <c r="D107" s="222" t="inlineStr">
        <is>
          <t>Appel d'offres ouvert</t>
        </is>
      </c>
      <c r="E107" s="234" t="inlineStr">
        <is>
          <t>T2</t>
        </is>
      </c>
      <c r="F107" s="221" t="inlineStr">
        <is>
          <t>Rabat</t>
        </is>
      </c>
      <c r="G107" s="249" t="inlineStr">
        <is>
          <t>Non</t>
        </is>
      </c>
      <c r="H107" s="575" t="n">
        <v>1208041.4</v>
      </c>
      <c r="I107" s="224" t="inlineStr">
        <is>
          <t>Fonctionnement</t>
        </is>
      </c>
    </row>
    <row r="108" ht="45.75" customHeight="1" s="392">
      <c r="A108" s="220" t="inlineStr">
        <is>
          <t>Direction de l'Information TV</t>
        </is>
      </c>
      <c r="B108" s="220" t="inlineStr">
        <is>
          <t>Prestation de blanchisserie du linge et services assiciés au profit des journalistes présentateurs du journal Télévisés (JT) ,</t>
        </is>
      </c>
      <c r="C108" s="221" t="inlineStr">
        <is>
          <t>Services</t>
        </is>
      </c>
      <c r="D108" s="222" t="inlineStr">
        <is>
          <t>Appel d'offres ouvert</t>
        </is>
      </c>
      <c r="E108" s="234" t="inlineStr">
        <is>
          <t>T2</t>
        </is>
      </c>
      <c r="F108" s="221" t="inlineStr">
        <is>
          <t>Rabat</t>
        </is>
      </c>
      <c r="G108" s="221" t="inlineStr">
        <is>
          <t>Oui</t>
        </is>
      </c>
      <c r="H108" s="575" t="n">
        <v>100000</v>
      </c>
      <c r="I108" s="224" t="inlineStr">
        <is>
          <t>Fonctionnement</t>
        </is>
      </c>
    </row>
    <row r="109" ht="25.5" customHeight="1" s="392">
      <c r="A109" s="220" t="inlineStr">
        <is>
          <t xml:space="preserve">Direction du Patrimoine et Moyens Généraux </t>
        </is>
      </c>
      <c r="B109" s="220" t="inlineStr">
        <is>
          <t xml:space="preserve">Achat d'habillement au profit des journalistes présentateurs des évenements sportifs, </t>
        </is>
      </c>
      <c r="C109" s="244" t="inlineStr">
        <is>
          <t>Fournitures</t>
        </is>
      </c>
      <c r="D109" s="222" t="inlineStr">
        <is>
          <t>Appel d'offres ouvert</t>
        </is>
      </c>
      <c r="E109" s="234" t="inlineStr">
        <is>
          <t>T2</t>
        </is>
      </c>
      <c r="F109" s="221" t="inlineStr">
        <is>
          <t>Rabat</t>
        </is>
      </c>
      <c r="G109" s="221" t="inlineStr">
        <is>
          <t>Non</t>
        </is>
      </c>
      <c r="H109" s="575" t="n">
        <v>300000</v>
      </c>
      <c r="I109" s="224" t="inlineStr">
        <is>
          <t>Investissement</t>
        </is>
      </c>
    </row>
    <row r="110" ht="25.5" customHeight="1" s="392">
      <c r="A110" s="220" t="inlineStr">
        <is>
          <t>Direction de l'Information TV</t>
        </is>
      </c>
      <c r="B110" s="220" t="inlineStr">
        <is>
          <t>Achat d'habillement au profit des journalistes présentateurs des JTV ,</t>
        </is>
      </c>
      <c r="C110" s="244" t="inlineStr">
        <is>
          <t>Fournitures</t>
        </is>
      </c>
      <c r="D110" s="222" t="inlineStr">
        <is>
          <t>Appel d'offres ouvert</t>
        </is>
      </c>
      <c r="E110" s="234" t="inlineStr">
        <is>
          <t>T2</t>
        </is>
      </c>
      <c r="F110" s="221" t="inlineStr">
        <is>
          <t>Rabat</t>
        </is>
      </c>
      <c r="G110" s="221" t="inlineStr">
        <is>
          <t>Non</t>
        </is>
      </c>
      <c r="H110" s="575" t="n">
        <v>700000</v>
      </c>
      <c r="I110" s="224" t="inlineStr">
        <is>
          <t>Investissement</t>
        </is>
      </c>
    </row>
    <row r="111" ht="38.25" customHeight="1" s="392">
      <c r="A111" s="220" t="inlineStr">
        <is>
          <t>Direction de l'Information TV</t>
        </is>
      </c>
      <c r="B111" s="220" t="inlineStr">
        <is>
          <t>Conception et réalisation d'un décor du plateau de télévision professionnel aux standards internationaux pour la couverture de la CAN 2026 (femmes)</t>
        </is>
      </c>
      <c r="C111" s="244" t="inlineStr">
        <is>
          <t>Fournitures</t>
        </is>
      </c>
      <c r="D111" s="222" t="inlineStr">
        <is>
          <t>Appel d'offres ouvert</t>
        </is>
      </c>
      <c r="E111" s="234" t="inlineStr">
        <is>
          <t>T2</t>
        </is>
      </c>
      <c r="F111" s="221" t="inlineStr">
        <is>
          <t>Rabat</t>
        </is>
      </c>
      <c r="G111" s="221" t="inlineStr">
        <is>
          <t>Non</t>
        </is>
      </c>
      <c r="H111" s="575" t="n">
        <v>400000</v>
      </c>
      <c r="I111" s="224" t="inlineStr">
        <is>
          <t>Investissement</t>
        </is>
      </c>
    </row>
    <row r="112" ht="38.25" customHeight="1" s="392">
      <c r="A112" s="220" t="inlineStr">
        <is>
          <t>Direction de l'Information TV</t>
        </is>
      </c>
      <c r="B112" s="239" t="inlineStr">
        <is>
          <t>Réalisation d'un décor plateau de télévision professionnel aux standards internationaux pour l'émission" نقطة الى السطر"</t>
        </is>
      </c>
      <c r="C112" s="244" t="inlineStr">
        <is>
          <t>Services</t>
        </is>
      </c>
      <c r="D112" s="222" t="inlineStr">
        <is>
          <t>Appel d'offres ouvert</t>
        </is>
      </c>
      <c r="E112" s="234" t="inlineStr">
        <is>
          <t>T2</t>
        </is>
      </c>
      <c r="F112" s="221" t="inlineStr">
        <is>
          <t>Rabat</t>
        </is>
      </c>
      <c r="G112" s="221" t="inlineStr">
        <is>
          <t>Non</t>
        </is>
      </c>
      <c r="H112" s="575" t="n">
        <v>500000</v>
      </c>
      <c r="I112" s="224" t="inlineStr">
        <is>
          <t>Investissement</t>
        </is>
      </c>
    </row>
    <row r="113" ht="25.5" customHeight="1" s="392">
      <c r="A113" s="220" t="inlineStr">
        <is>
          <t>Direction de l'Information TV</t>
        </is>
      </c>
      <c r="B113" s="220" t="inlineStr">
        <is>
          <t>Conception et fabrication de décor pour une émission grand débat  politique 2026</t>
        </is>
      </c>
      <c r="C113" s="244" t="inlineStr">
        <is>
          <t>Fournitures</t>
        </is>
      </c>
      <c r="D113" s="222" t="inlineStr">
        <is>
          <t>Appel d'offres ouvert</t>
        </is>
      </c>
      <c r="E113" s="234" t="inlineStr">
        <is>
          <t>T2</t>
        </is>
      </c>
      <c r="F113" s="221" t="inlineStr">
        <is>
          <t>Rabat</t>
        </is>
      </c>
      <c r="G113" s="221" t="inlineStr">
        <is>
          <t>Non</t>
        </is>
      </c>
      <c r="H113" s="575" t="n">
        <v>400000</v>
      </c>
      <c r="I113" s="250" t="inlineStr">
        <is>
          <t>Investissement</t>
        </is>
      </c>
    </row>
    <row r="114" ht="25.5" customHeight="1" s="392">
      <c r="A114" s="220" t="inlineStr">
        <is>
          <t>Direction de l'Information TV</t>
        </is>
      </c>
      <c r="B114" s="239" t="inlineStr">
        <is>
          <t>Acquisition des produits de maquillage pour les présentateurs des  JT e t des émissions TV,</t>
        </is>
      </c>
      <c r="C114" s="244" t="inlineStr">
        <is>
          <t>Fournitures</t>
        </is>
      </c>
      <c r="D114" s="222" t="inlineStr">
        <is>
          <t>Appel d'offres ouvert</t>
        </is>
      </c>
      <c r="E114" s="234" t="inlineStr">
        <is>
          <t>T2</t>
        </is>
      </c>
      <c r="F114" s="245" t="inlineStr">
        <is>
          <t>Rabat</t>
        </is>
      </c>
      <c r="G114" s="221" t="inlineStr">
        <is>
          <t>Non</t>
        </is>
      </c>
      <c r="H114" s="575" t="n">
        <v>300000</v>
      </c>
      <c r="I114" s="224" t="inlineStr">
        <is>
          <t>Fonctionnement</t>
        </is>
      </c>
    </row>
    <row r="115" ht="38.25" customHeight="1" s="392">
      <c r="A115" s="220" t="inlineStr">
        <is>
          <t>Direction Centrale Technique</t>
        </is>
      </c>
      <c r="B115" s="251" t="inlineStr">
        <is>
          <t>Acquisition de systèmes de caméras aériennes sur câbles pour répondre aux besoins de production de la SNRT.</t>
        </is>
      </c>
      <c r="C115" s="234" t="inlineStr">
        <is>
          <t>Fournitures</t>
        </is>
      </c>
      <c r="D115" s="245" t="inlineStr">
        <is>
          <t>Appel d'offres ouvert</t>
        </is>
      </c>
      <c r="E115" s="245" t="inlineStr">
        <is>
          <t>T2</t>
        </is>
      </c>
      <c r="F115" s="245" t="inlineStr">
        <is>
          <t>Rabat - Tanger</t>
        </is>
      </c>
      <c r="G115" s="245" t="inlineStr">
        <is>
          <t>Non</t>
        </is>
      </c>
      <c r="H115" s="252" t="n">
        <v>13200000</v>
      </c>
      <c r="I115" s="240" t="inlineStr">
        <is>
          <t>Investissement</t>
        </is>
      </c>
    </row>
    <row r="116" ht="33.75" customHeight="1" s="392">
      <c r="A116" s="220" t="inlineStr">
        <is>
          <t>Direction Centrale Technique</t>
        </is>
      </c>
      <c r="B116" s="253" t="inlineStr">
        <is>
          <t>Acquisition de matériel audio/vidéo pour le renouvellement des dispositifs des unités mobiles de la SNRT.</t>
        </is>
      </c>
      <c r="C116" s="244" t="inlineStr">
        <is>
          <t>Fournitures</t>
        </is>
      </c>
      <c r="D116" s="245" t="inlineStr">
        <is>
          <t>Appel d'offres ouvert</t>
        </is>
      </c>
      <c r="E116" s="245" t="inlineStr">
        <is>
          <t>T2</t>
        </is>
      </c>
      <c r="F116" s="245" t="inlineStr">
        <is>
          <t>Témara</t>
        </is>
      </c>
      <c r="G116" s="245" t="inlineStr">
        <is>
          <t>Non</t>
        </is>
      </c>
      <c r="H116" s="254" t="n">
        <v>6000000</v>
      </c>
      <c r="I116" s="240" t="inlineStr">
        <is>
          <t>Investissement</t>
        </is>
      </c>
    </row>
    <row r="117" ht="33" customHeight="1" s="392">
      <c r="A117" s="220" t="inlineStr">
        <is>
          <t>Direction Centrale Technique</t>
        </is>
      </c>
      <c r="B117" s="251" t="inlineStr">
        <is>
          <t>Acquisition de véhicules « Support Trucks » pour répondre aux besoins des unités mobiles de la SNRT.</t>
        </is>
      </c>
      <c r="C117" s="244" t="inlineStr">
        <is>
          <t>Fournitures</t>
        </is>
      </c>
      <c r="D117" s="245" t="inlineStr">
        <is>
          <t>Appel d'offres ouvert</t>
        </is>
      </c>
      <c r="E117" s="245" t="inlineStr">
        <is>
          <t>T2</t>
        </is>
      </c>
      <c r="F117" s="245" t="inlineStr">
        <is>
          <t>Témara</t>
        </is>
      </c>
      <c r="G117" s="245" t="inlineStr">
        <is>
          <t>Non</t>
        </is>
      </c>
      <c r="H117" s="252" t="n">
        <v>7200000</v>
      </c>
      <c r="I117" s="240" t="inlineStr">
        <is>
          <t>Investissement</t>
        </is>
      </c>
    </row>
    <row r="118" ht="44.25" customHeight="1" s="392">
      <c r="A118" s="230" t="inlineStr">
        <is>
          <t>Direction Centrale Technique</t>
        </is>
      </c>
      <c r="B118" s="255" t="inlineStr">
        <is>
          <t>Acquisition des équipements de machinerie et d'éclairage pour répondre aux besoins de production de la SNRT</t>
        </is>
      </c>
      <c r="C118" s="236" t="inlineStr">
        <is>
          <t>Fournitures</t>
        </is>
      </c>
      <c r="D118" s="243" t="inlineStr">
        <is>
          <t>Appel d'offres ouvert</t>
        </is>
      </c>
      <c r="E118" s="243" t="inlineStr">
        <is>
          <t>T2</t>
        </is>
      </c>
      <c r="F118" s="243" t="inlineStr">
        <is>
          <t>Témara</t>
        </is>
      </c>
      <c r="G118" s="243" t="inlineStr">
        <is>
          <t>Non</t>
        </is>
      </c>
      <c r="H118" s="256" t="n">
        <v>2400000</v>
      </c>
      <c r="I118" s="257" t="inlineStr">
        <is>
          <t>Investissement</t>
        </is>
      </c>
      <c r="J118" s="258" t="n"/>
      <c r="K118" s="258" t="n"/>
      <c r="L118" s="258" t="n"/>
      <c r="M118" s="258" t="n"/>
      <c r="N118" s="258" t="n"/>
      <c r="O118" s="258" t="n"/>
      <c r="P118" s="258" t="n"/>
      <c r="Q118" s="258" t="n"/>
      <c r="R118" s="258" t="n"/>
      <c r="S118" s="258" t="n"/>
      <c r="T118" s="258" t="n"/>
      <c r="U118" s="258" t="n"/>
      <c r="V118" s="258" t="n"/>
    </row>
    <row r="119" ht="41.25" customHeight="1" s="392">
      <c r="A119" s="220" t="inlineStr">
        <is>
          <t>Direction Centrale Technique</t>
        </is>
      </c>
      <c r="B119" s="259" t="inlineStr">
        <is>
          <t>Acquisition de véhicules utilitaires aménagés pour abriter les équipements d'éclairage et de machinerie pour répondre aux besoins de production de la SNRT.</t>
        </is>
      </c>
      <c r="C119" s="244" t="inlineStr">
        <is>
          <t>Fournitures</t>
        </is>
      </c>
      <c r="D119" s="245" t="inlineStr">
        <is>
          <t>Appel d'offres ouvert</t>
        </is>
      </c>
      <c r="E119" s="245" t="inlineStr">
        <is>
          <t>T2</t>
        </is>
      </c>
      <c r="F119" s="245" t="inlineStr">
        <is>
          <t>Témara</t>
        </is>
      </c>
      <c r="G119" s="245" t="inlineStr">
        <is>
          <t>Non</t>
        </is>
      </c>
      <c r="H119" s="252" t="n">
        <v>4800000</v>
      </c>
      <c r="I119" s="240" t="inlineStr">
        <is>
          <t>Investissement</t>
        </is>
      </c>
    </row>
    <row r="120" ht="42.75" customHeight="1" s="392">
      <c r="A120" s="220" t="inlineStr">
        <is>
          <t>Direction Centrale Technique</t>
        </is>
      </c>
      <c r="B120" s="251" t="inlineStr">
        <is>
          <t>Renouvellement et mise à niveau des équipements d'enregistrement, de lecture  et de traitement pour les besoins du système News Room de la SNRT.</t>
        </is>
      </c>
      <c r="C120" s="244" t="inlineStr">
        <is>
          <t>Fournitures</t>
        </is>
      </c>
      <c r="D120" s="245" t="inlineStr">
        <is>
          <t>Appel d'offres ouvert</t>
        </is>
      </c>
      <c r="E120" s="245" t="inlineStr">
        <is>
          <t>T2</t>
        </is>
      </c>
      <c r="F120" s="245" t="inlineStr">
        <is>
          <t>Rabat</t>
        </is>
      </c>
      <c r="G120" s="245" t="inlineStr">
        <is>
          <t>Non</t>
        </is>
      </c>
      <c r="H120" s="252" t="n">
        <v>7200000</v>
      </c>
      <c r="I120" s="240" t="inlineStr">
        <is>
          <t>Investissement</t>
        </is>
      </c>
    </row>
    <row r="121" ht="44.25" customHeight="1" s="392">
      <c r="A121" s="220" t="inlineStr">
        <is>
          <t>Direction Centrale Technique</t>
        </is>
      </c>
      <c r="B121" s="253" t="inlineStr">
        <is>
          <t>Contrat de support logiciel du système News Room (PAM et NRCS) pour les besoins des chaines TV de la SNRT.</t>
        </is>
      </c>
      <c r="C121" s="244" t="inlineStr">
        <is>
          <t>Services</t>
        </is>
      </c>
      <c r="D121" s="245" t="inlineStr">
        <is>
          <t>Appel d'offres ouvert</t>
        </is>
      </c>
      <c r="E121" s="245" t="inlineStr">
        <is>
          <t>T2</t>
        </is>
      </c>
      <c r="F121" s="245" t="inlineStr">
        <is>
          <t>Rabat</t>
        </is>
      </c>
      <c r="G121" s="245" t="inlineStr">
        <is>
          <t>Non</t>
        </is>
      </c>
      <c r="H121" s="254" t="n">
        <v>600000</v>
      </c>
      <c r="I121" s="240" t="inlineStr">
        <is>
          <t>Fonctionnement</t>
        </is>
      </c>
    </row>
    <row r="122" ht="54" customHeight="1" s="392">
      <c r="A122" s="220" t="inlineStr">
        <is>
          <t>Direction Centrale Technique</t>
        </is>
      </c>
      <c r="B122" s="251" t="inlineStr">
        <is>
          <t>Renouvellement des licences logicielles pour les stations d’habillage et de graphisme pour les besoins des chaînes TV de la SNRT.</t>
        </is>
      </c>
      <c r="C122" s="244" t="inlineStr">
        <is>
          <t>Services</t>
        </is>
      </c>
      <c r="D122" s="245" t="inlineStr">
        <is>
          <t>Appel d'offres ouvert</t>
        </is>
      </c>
      <c r="E122" s="245" t="inlineStr">
        <is>
          <t>T2</t>
        </is>
      </c>
      <c r="F122" s="245" t="inlineStr">
        <is>
          <t>Rabat</t>
        </is>
      </c>
      <c r="G122" s="221" t="inlineStr">
        <is>
          <t>Oui</t>
        </is>
      </c>
      <c r="H122" s="252" t="n">
        <v>480000</v>
      </c>
      <c r="I122" s="240" t="inlineStr">
        <is>
          <t>Fonctionnement</t>
        </is>
      </c>
    </row>
    <row r="123" ht="51" customHeight="1" s="392">
      <c r="A123" s="220" t="inlineStr">
        <is>
          <t>Direction Centrale Technique</t>
        </is>
      </c>
      <c r="B123" s="253" t="inlineStr">
        <is>
          <t>Renouvellement des équipements audio/vidéo et des châssis de traitement de signaux pour répondre aux besoins des installations techniques de la SNRT.</t>
        </is>
      </c>
      <c r="C123" s="244" t="inlineStr">
        <is>
          <t>Fournitures</t>
        </is>
      </c>
      <c r="D123" s="245" t="inlineStr">
        <is>
          <t>Appel d'offres ouvert</t>
        </is>
      </c>
      <c r="E123" s="245" t="inlineStr">
        <is>
          <t>T2</t>
        </is>
      </c>
      <c r="F123" s="245" t="inlineStr">
        <is>
          <t>Rabat</t>
        </is>
      </c>
      <c r="G123" s="245" t="inlineStr">
        <is>
          <t>Non</t>
        </is>
      </c>
      <c r="H123" s="254" t="n">
        <v>2400000</v>
      </c>
      <c r="I123" s="240" t="inlineStr">
        <is>
          <t>Investissement</t>
        </is>
      </c>
    </row>
    <row r="124" ht="43.5" customHeight="1" s="392">
      <c r="A124" s="220" t="inlineStr">
        <is>
          <t>Direction Centrale Technique</t>
        </is>
      </c>
      <c r="B124" s="251" t="inlineStr">
        <is>
          <t>Mise en place d'un système d'automation TV pour répondre aux besoins de la diffusion des chaines TV de la SNRT.</t>
        </is>
      </c>
      <c r="C124" s="244" t="inlineStr">
        <is>
          <t>Fournitures</t>
        </is>
      </c>
      <c r="D124" s="245" t="inlineStr">
        <is>
          <t>Appel d'offres ouvert</t>
        </is>
      </c>
      <c r="E124" s="245" t="inlineStr">
        <is>
          <t>T3</t>
        </is>
      </c>
      <c r="F124" s="245" t="inlineStr">
        <is>
          <t>Rabat</t>
        </is>
      </c>
      <c r="G124" s="245" t="inlineStr">
        <is>
          <t>Non</t>
        </is>
      </c>
      <c r="H124" s="252" t="n">
        <v>6000000</v>
      </c>
      <c r="I124" s="240" t="inlineStr">
        <is>
          <t>Investissement</t>
        </is>
      </c>
    </row>
    <row r="125" ht="40.5" customHeight="1" s="392">
      <c r="A125" s="230" t="inlineStr">
        <is>
          <t>Direction Centrale Technique</t>
        </is>
      </c>
      <c r="B125" s="255" t="inlineStr">
        <is>
          <t>Renouvellement des équipements Audio/Vidéo pour répondre aux besoins des chaines TV de la SNRT.</t>
        </is>
      </c>
      <c r="C125" s="236" t="inlineStr">
        <is>
          <t>Fournitures</t>
        </is>
      </c>
      <c r="D125" s="243" t="inlineStr">
        <is>
          <t>Appel d'offres ouvert</t>
        </is>
      </c>
      <c r="E125" s="243" t="inlineStr">
        <is>
          <t>T3</t>
        </is>
      </c>
      <c r="F125" s="243" t="inlineStr">
        <is>
          <t>Rabat</t>
        </is>
      </c>
      <c r="G125" s="243" t="inlineStr">
        <is>
          <t>Non</t>
        </is>
      </c>
      <c r="H125" s="256" t="n">
        <v>2400000</v>
      </c>
      <c r="I125" s="240" t="inlineStr">
        <is>
          <t>Investissement</t>
        </is>
      </c>
    </row>
    <row r="126" ht="45.75" customHeight="1" s="392">
      <c r="A126" s="220" t="inlineStr">
        <is>
          <t>Direction Centrale Technique</t>
        </is>
      </c>
      <c r="B126" s="239" t="inlineStr">
        <is>
          <t>Acquisition et mise à niveau des équipements Audio/vidéo de la régie multidiffusion pour répondre aux besoins de la chaine Arryadia de la SNRT.</t>
        </is>
      </c>
      <c r="C126" s="244" t="inlineStr">
        <is>
          <t>Fournitures</t>
        </is>
      </c>
      <c r="D126" s="245" t="inlineStr">
        <is>
          <t>Appel d'offres ouvert</t>
        </is>
      </c>
      <c r="E126" s="245" t="inlineStr">
        <is>
          <t>T2</t>
        </is>
      </c>
      <c r="F126" s="245" t="inlineStr">
        <is>
          <t>Rabat</t>
        </is>
      </c>
      <c r="G126" s="245" t="inlineStr">
        <is>
          <t>Non</t>
        </is>
      </c>
      <c r="H126" s="254" t="n">
        <v>6000000</v>
      </c>
      <c r="I126" s="240" t="inlineStr">
        <is>
          <t>Investissement</t>
        </is>
      </c>
    </row>
    <row r="127" ht="44.25" customHeight="1" s="392">
      <c r="A127" s="220" t="inlineStr">
        <is>
          <t>Direction Centrale Technique</t>
        </is>
      </c>
      <c r="B127" s="253" t="inlineStr">
        <is>
          <t>Renouvellement des équipements Audio/Vidéo du plateau JT pour répondre aux besoins de la chaine Al Aoula de la SNRT.</t>
        </is>
      </c>
      <c r="C127" s="244" t="inlineStr">
        <is>
          <t>Fournitures</t>
        </is>
      </c>
      <c r="D127" s="245" t="inlineStr">
        <is>
          <t>Appel d'offres ouvert</t>
        </is>
      </c>
      <c r="E127" s="245" t="inlineStr">
        <is>
          <t>T2</t>
        </is>
      </c>
      <c r="F127" s="245" t="inlineStr">
        <is>
          <t>Rabat</t>
        </is>
      </c>
      <c r="G127" s="245" t="inlineStr">
        <is>
          <t>Non</t>
        </is>
      </c>
      <c r="H127" s="252" t="n">
        <v>9600000</v>
      </c>
      <c r="I127" s="240" t="inlineStr">
        <is>
          <t>Investissement</t>
        </is>
      </c>
    </row>
    <row r="128" ht="30.75" customHeight="1" s="392">
      <c r="A128" s="220" t="inlineStr">
        <is>
          <t>Direction Centrale Technique</t>
        </is>
      </c>
      <c r="B128" s="239" t="inlineStr">
        <is>
          <t>Renouvellement des équipements de captation Audio/Vidéo pour répondre aux besoins de la chaine Al Aoula de la SNRT.</t>
        </is>
      </c>
      <c r="C128" s="244" t="inlineStr">
        <is>
          <t>Fournitures</t>
        </is>
      </c>
      <c r="D128" s="245" t="inlineStr">
        <is>
          <t>Appel d'offres ouvert</t>
        </is>
      </c>
      <c r="E128" s="245" t="inlineStr">
        <is>
          <t>T2</t>
        </is>
      </c>
      <c r="F128" s="245" t="inlineStr">
        <is>
          <t>Rabat</t>
        </is>
      </c>
      <c r="G128" s="245" t="inlineStr">
        <is>
          <t>Non</t>
        </is>
      </c>
      <c r="H128" s="254" t="n">
        <v>2400000</v>
      </c>
      <c r="I128" s="240" t="inlineStr">
        <is>
          <t>Investissement</t>
        </is>
      </c>
    </row>
    <row r="129" ht="46.5" customHeight="1" s="392">
      <c r="A129" s="220" t="inlineStr">
        <is>
          <t>Direction Centrale Technique</t>
        </is>
      </c>
      <c r="B129" s="253" t="inlineStr">
        <is>
          <t>Renouvellement et mise à niveau des équipements Audio/Vidéo de la régie JT pour répondre aux besoins de la chaine TV Laayoune de la SNRT.</t>
        </is>
      </c>
      <c r="C129" s="244" t="inlineStr">
        <is>
          <t>Fournitures</t>
        </is>
      </c>
      <c r="D129" s="245" t="inlineStr">
        <is>
          <t>Appel d'offres ouvert</t>
        </is>
      </c>
      <c r="E129" s="245" t="inlineStr">
        <is>
          <t>T2</t>
        </is>
      </c>
      <c r="F129" s="245" t="inlineStr">
        <is>
          <t>Rabat</t>
        </is>
      </c>
      <c r="G129" s="245" t="inlineStr">
        <is>
          <t>Non</t>
        </is>
      </c>
      <c r="H129" s="252" t="n">
        <v>2400000</v>
      </c>
      <c r="I129" s="240" t="inlineStr">
        <is>
          <t>Investissement</t>
        </is>
      </c>
    </row>
    <row r="130" ht="51.75" customHeight="1" s="392">
      <c r="A130" s="220" t="inlineStr">
        <is>
          <t>Direction Centrale Technique</t>
        </is>
      </c>
      <c r="B130" s="239" t="inlineStr">
        <is>
          <t>Acquisition et mise à niveau des équipements Audio/Vidéo du studio virtuel pour répondre aux besoins de production de la chaine TV Laayoune de la SNRT.</t>
        </is>
      </c>
      <c r="C130" s="244" t="inlineStr">
        <is>
          <t>Fournitures</t>
        </is>
      </c>
      <c r="D130" s="245" t="inlineStr">
        <is>
          <t>Appel d'offres ouvert</t>
        </is>
      </c>
      <c r="E130" s="245" t="inlineStr">
        <is>
          <t>T2</t>
        </is>
      </c>
      <c r="F130" s="245" t="inlineStr">
        <is>
          <t>Laayoune</t>
        </is>
      </c>
      <c r="G130" s="245" t="inlineStr">
        <is>
          <t>Non</t>
        </is>
      </c>
      <c r="H130" s="252" t="n">
        <v>4200000</v>
      </c>
      <c r="I130" s="240" t="inlineStr">
        <is>
          <t>Investissement</t>
        </is>
      </c>
    </row>
    <row r="131" ht="25.5" customHeight="1" s="392">
      <c r="A131" s="220" t="inlineStr">
        <is>
          <t>Direction Centrale Technique</t>
        </is>
      </c>
      <c r="B131" s="253" t="inlineStr">
        <is>
          <t>Acquisition des équipements audio pour les besoins des chaines radios de la SNRT.</t>
        </is>
      </c>
      <c r="C131" s="244" t="inlineStr">
        <is>
          <t>Fournitures</t>
        </is>
      </c>
      <c r="D131" s="245" t="inlineStr">
        <is>
          <t>Appel d'offres ouvert</t>
        </is>
      </c>
      <c r="E131" s="245" t="inlineStr">
        <is>
          <t>T2</t>
        </is>
      </c>
      <c r="F131" s="245" t="inlineStr">
        <is>
          <t>Rabat</t>
        </is>
      </c>
      <c r="G131" s="245" t="inlineStr">
        <is>
          <t>Non</t>
        </is>
      </c>
      <c r="H131" s="254" t="n">
        <v>2400000</v>
      </c>
      <c r="I131" s="240" t="inlineStr">
        <is>
          <t>Investissement</t>
        </is>
      </c>
    </row>
    <row r="132" ht="56.25" customHeight="1" s="392">
      <c r="A132" s="220" t="inlineStr">
        <is>
          <t>Direction Centrale Technique</t>
        </is>
      </c>
      <c r="B132" s="251" t="inlineStr">
        <is>
          <t>Renouvellement et mise à niveau du Centre de Diffusion et de Monitoring (CDM) pour les besoins des chaines Radio de la SNRT. afin d’assurer la supervision centralisée, la redondance et la continuité de service des diffusions.</t>
        </is>
      </c>
      <c r="C132" s="244" t="inlineStr">
        <is>
          <t>Fournitures</t>
        </is>
      </c>
      <c r="D132" s="245" t="inlineStr">
        <is>
          <t>Appel d'offres ouvert</t>
        </is>
      </c>
      <c r="E132" s="245" t="inlineStr">
        <is>
          <t>T2</t>
        </is>
      </c>
      <c r="F132" s="245" t="inlineStr">
        <is>
          <t>Rabat</t>
        </is>
      </c>
      <c r="G132" s="245" t="inlineStr">
        <is>
          <t>Non</t>
        </is>
      </c>
      <c r="H132" s="252" t="n">
        <v>3600000</v>
      </c>
      <c r="I132" s="240" t="inlineStr">
        <is>
          <t>Investissement</t>
        </is>
      </c>
    </row>
    <row r="133" ht="36.75" customHeight="1" s="392">
      <c r="A133" s="220" t="inlineStr">
        <is>
          <t>Direction Centrale Technique</t>
        </is>
      </c>
      <c r="B133" s="253" t="inlineStr">
        <is>
          <t>Renouvellement des systèmes d’automation radio des chaînes radios régionales de la SNRT.</t>
        </is>
      </c>
      <c r="C133" s="244" t="inlineStr">
        <is>
          <t>Fournitures</t>
        </is>
      </c>
      <c r="D133" s="245" t="inlineStr">
        <is>
          <t>Appel d'offres ouvert</t>
        </is>
      </c>
      <c r="E133" s="245" t="inlineStr">
        <is>
          <t>T2</t>
        </is>
      </c>
      <c r="F133" s="245" t="inlineStr">
        <is>
          <t>Radios régionales</t>
        </is>
      </c>
      <c r="G133" s="245" t="inlineStr">
        <is>
          <t>Non</t>
        </is>
      </c>
      <c r="H133" s="254" t="n">
        <v>4800000</v>
      </c>
      <c r="I133" s="240" t="inlineStr">
        <is>
          <t>Investissement</t>
        </is>
      </c>
    </row>
    <row r="134" ht="40.5" customHeight="1" s="392">
      <c r="A134" s="220" t="inlineStr">
        <is>
          <t>Direction Centrale Technique</t>
        </is>
      </c>
      <c r="B134" s="239" t="inlineStr">
        <is>
          <t>Acquisition des équipements informatiques Broadcast pour les besoins des chaines radios régionales de la SNRT.</t>
        </is>
      </c>
      <c r="C134" s="244" t="inlineStr">
        <is>
          <t>Fournitures</t>
        </is>
      </c>
      <c r="D134" s="245" t="inlineStr">
        <is>
          <t>Appel d'offres ouvert</t>
        </is>
      </c>
      <c r="E134" s="245" t="inlineStr">
        <is>
          <t>T3</t>
        </is>
      </c>
      <c r="F134" s="245" t="inlineStr">
        <is>
          <t>Rabat</t>
        </is>
      </c>
      <c r="G134" s="245" t="inlineStr">
        <is>
          <t>Non</t>
        </is>
      </c>
      <c r="H134" s="252" t="n">
        <v>3000000</v>
      </c>
      <c r="I134" s="240" t="inlineStr">
        <is>
          <t>Investissement</t>
        </is>
      </c>
    </row>
    <row r="135" ht="44.25" customHeight="1" s="392">
      <c r="A135" s="230" t="inlineStr">
        <is>
          <t>Direction Centrale Technique</t>
        </is>
      </c>
      <c r="B135" s="255" t="inlineStr">
        <is>
          <t>Acquisition des supports d’enregistrement et de lecture pour les besoins des chaines TV de la SNRT</t>
        </is>
      </c>
      <c r="C135" s="236" t="inlineStr">
        <is>
          <t>Fournitures</t>
        </is>
      </c>
      <c r="D135" s="243" t="inlineStr">
        <is>
          <t>Appel d'offres ouvert</t>
        </is>
      </c>
      <c r="E135" s="243" t="inlineStr">
        <is>
          <t>T2</t>
        </is>
      </c>
      <c r="F135" s="243" t="inlineStr">
        <is>
          <t>Rabat</t>
        </is>
      </c>
      <c r="G135" s="243" t="inlineStr">
        <is>
          <t>Non</t>
        </is>
      </c>
      <c r="H135" s="256" t="n">
        <v>480000</v>
      </c>
      <c r="I135" s="242" t="inlineStr">
        <is>
          <t>Fonctionnement</t>
        </is>
      </c>
      <c r="J135" s="260" t="n"/>
      <c r="K135" s="260" t="n"/>
      <c r="L135" s="260" t="n"/>
      <c r="M135" s="260" t="n"/>
      <c r="N135" s="260" t="n"/>
      <c r="O135" s="260" t="n"/>
      <c r="P135" s="260" t="n"/>
      <c r="Q135" s="260" t="n"/>
      <c r="R135" s="260" t="n"/>
      <c r="S135" s="260" t="n"/>
      <c r="T135" s="260" t="n"/>
      <c r="U135" s="260" t="n"/>
      <c r="V135" s="260" t="n"/>
      <c r="W135" s="260" t="n"/>
      <c r="X135" s="260" t="n"/>
      <c r="Y135" s="260" t="n"/>
      <c r="Z135" s="260" t="n"/>
      <c r="AA135" s="260" t="n"/>
      <c r="AB135" s="260" t="n"/>
      <c r="AC135" s="260" t="n"/>
      <c r="AD135" s="260" t="n"/>
    </row>
    <row r="136" ht="36" customHeight="1" s="392">
      <c r="A136" s="230" t="inlineStr">
        <is>
          <t>Direction Centrale Technique</t>
        </is>
      </c>
      <c r="B136" s="255" t="inlineStr">
        <is>
          <t>Acquisition de lecteurs LTO destinés aux besoins d’archivage de la SNRT</t>
        </is>
      </c>
      <c r="C136" s="236" t="inlineStr">
        <is>
          <t>Fournitures</t>
        </is>
      </c>
      <c r="D136" s="243" t="inlineStr">
        <is>
          <t>Appel d'offres ouvert</t>
        </is>
      </c>
      <c r="E136" s="243" t="inlineStr">
        <is>
          <t>T2</t>
        </is>
      </c>
      <c r="F136" s="243" t="inlineStr">
        <is>
          <t>Rabat</t>
        </is>
      </c>
      <c r="G136" s="243" t="inlineStr">
        <is>
          <t>Non</t>
        </is>
      </c>
      <c r="H136" s="256" t="n">
        <v>1200000</v>
      </c>
      <c r="I136" s="257" t="inlineStr">
        <is>
          <t>Investissement</t>
        </is>
      </c>
      <c r="J136" s="258" t="n"/>
      <c r="K136" s="258" t="n"/>
      <c r="L136" s="258" t="n"/>
      <c r="M136" s="258" t="n"/>
      <c r="N136" s="258" t="n"/>
      <c r="O136" s="258" t="n"/>
      <c r="P136" s="258" t="n"/>
      <c r="Q136" s="258" t="n"/>
      <c r="R136" s="258" t="n"/>
      <c r="S136" s="258" t="n"/>
      <c r="T136" s="258" t="n"/>
      <c r="U136" s="258" t="n"/>
      <c r="V136" s="258" t="n"/>
    </row>
    <row r="137" ht="51.75" customHeight="1" s="392">
      <c r="A137" s="230" t="inlineStr">
        <is>
          <t>Direction Centrale Technique</t>
        </is>
      </c>
      <c r="B137" s="255" t="inlineStr">
        <is>
          <t>Numérisation des anciennes archives télévisuelles stockées sur des supports analogiques de type U-MATIC, pour les besoins des archives TV de la SNRT</t>
        </is>
      </c>
      <c r="C137" s="236" t="inlineStr">
        <is>
          <t>Services</t>
        </is>
      </c>
      <c r="D137" s="243" t="inlineStr">
        <is>
          <t>Appel d'offres ouvert</t>
        </is>
      </c>
      <c r="E137" s="243" t="inlineStr">
        <is>
          <t>T2</t>
        </is>
      </c>
      <c r="F137" s="243" t="inlineStr">
        <is>
          <t>Rabat</t>
        </is>
      </c>
      <c r="G137" s="243" t="inlineStr">
        <is>
          <t>Non</t>
        </is>
      </c>
      <c r="H137" s="256" t="n">
        <v>1200000</v>
      </c>
      <c r="I137" s="257" t="inlineStr">
        <is>
          <t>Fonctionnement</t>
        </is>
      </c>
      <c r="J137" s="258" t="n"/>
      <c r="K137" s="258" t="n"/>
      <c r="L137" s="258" t="n"/>
      <c r="M137" s="258" t="n"/>
      <c r="N137" s="258" t="n"/>
      <c r="O137" s="258" t="n"/>
      <c r="P137" s="258" t="n"/>
      <c r="Q137" s="258" t="n"/>
      <c r="R137" s="258" t="n"/>
      <c r="S137" s="258" t="n"/>
      <c r="T137" s="258" t="n"/>
      <c r="U137" s="258" t="n"/>
      <c r="V137" s="258" t="n"/>
    </row>
    <row r="138" ht="36.75" customHeight="1" s="392">
      <c r="A138" s="230" t="inlineStr">
        <is>
          <t>Direction Centrale Technique</t>
        </is>
      </c>
      <c r="B138" s="255" t="inlineStr">
        <is>
          <t>Renouvellement et mise à niveau des systèmes et solutions logicielles de l'infrastructure IT de la SNRT</t>
        </is>
      </c>
      <c r="C138" s="236" t="inlineStr">
        <is>
          <t>Fournitures</t>
        </is>
      </c>
      <c r="D138" s="243" t="inlineStr">
        <is>
          <t>Appel d'offres ouvert</t>
        </is>
      </c>
      <c r="E138" s="243" t="inlineStr">
        <is>
          <t>T1-T2</t>
        </is>
      </c>
      <c r="F138" s="243" t="inlineStr">
        <is>
          <t>Rabat</t>
        </is>
      </c>
      <c r="G138" s="243" t="inlineStr">
        <is>
          <t>Non</t>
        </is>
      </c>
      <c r="H138" s="256" t="n">
        <v>10200000</v>
      </c>
      <c r="I138" s="240" t="inlineStr">
        <is>
          <t>Investissement</t>
        </is>
      </c>
    </row>
    <row r="139" ht="26.25" customHeight="1" s="392">
      <c r="A139" s="230" t="inlineStr">
        <is>
          <t>Direction Centrale Technique</t>
        </is>
      </c>
      <c r="B139" s="255" t="inlineStr">
        <is>
          <t>Souscription à un abonnement annuel de licences logiciels pour les besoins de la SNRT</t>
        </is>
      </c>
      <c r="C139" s="236" t="inlineStr">
        <is>
          <t>Services</t>
        </is>
      </c>
      <c r="D139" s="243" t="inlineStr">
        <is>
          <t>Appel d'offres ouvert</t>
        </is>
      </c>
      <c r="E139" s="243" t="inlineStr">
        <is>
          <t>T2</t>
        </is>
      </c>
      <c r="F139" s="243" t="inlineStr">
        <is>
          <t>Rabat</t>
        </is>
      </c>
      <c r="G139" s="231" t="inlineStr">
        <is>
          <t>Oui</t>
        </is>
      </c>
      <c r="H139" s="256" t="n">
        <v>1800000</v>
      </c>
      <c r="I139" s="240" t="inlineStr">
        <is>
          <t>Fonctionnement</t>
        </is>
      </c>
    </row>
    <row r="140" ht="42.75" customHeight="1" s="392">
      <c r="A140" s="220" t="inlineStr">
        <is>
          <t>Direction Centrale Technique</t>
        </is>
      </c>
      <c r="B140" s="261" t="inlineStr">
        <is>
          <t>Acquisition des consommables, accessoires, pièces de rechange et outillage informatiques pour les besoins de la SNRT</t>
        </is>
      </c>
      <c r="C140" s="244" t="inlineStr">
        <is>
          <t>Fournitures</t>
        </is>
      </c>
      <c r="D140" s="245" t="inlineStr">
        <is>
          <t>Appel d'offres ouvert</t>
        </is>
      </c>
      <c r="E140" s="245" t="inlineStr">
        <is>
          <t>T2</t>
        </is>
      </c>
      <c r="F140" s="245" t="inlineStr">
        <is>
          <t>Rabat</t>
        </is>
      </c>
      <c r="G140" s="221" t="inlineStr">
        <is>
          <t>Oui</t>
        </is>
      </c>
      <c r="H140" s="252" t="n">
        <v>2400000</v>
      </c>
      <c r="I140" s="240" t="inlineStr">
        <is>
          <t>Investissement</t>
        </is>
      </c>
    </row>
    <row r="141" ht="36" customHeight="1" s="392">
      <c r="A141" s="230" t="inlineStr">
        <is>
          <t>Direction Centrale Technique</t>
        </is>
      </c>
      <c r="B141" s="255" t="inlineStr">
        <is>
          <t>Acquisition des serveurs et des équipements Informatiques pour les besoins de la SNRT</t>
        </is>
      </c>
      <c r="C141" s="236" t="inlineStr">
        <is>
          <t>Fournitures</t>
        </is>
      </c>
      <c r="D141" s="243" t="inlineStr">
        <is>
          <t>Appel d'offres ouvert</t>
        </is>
      </c>
      <c r="E141" s="243" t="inlineStr">
        <is>
          <t>T1-T2</t>
        </is>
      </c>
      <c r="F141" s="243" t="inlineStr">
        <is>
          <t>Rabat</t>
        </is>
      </c>
      <c r="G141" s="243" t="inlineStr">
        <is>
          <t>Non</t>
        </is>
      </c>
      <c r="H141" s="256" t="n">
        <v>4800000</v>
      </c>
      <c r="I141" s="240" t="inlineStr">
        <is>
          <t>Investissement</t>
        </is>
      </c>
    </row>
    <row r="142" ht="29.25" customHeight="1" s="392">
      <c r="A142" s="220" t="inlineStr">
        <is>
          <t>Direction Centrale Technique</t>
        </is>
      </c>
      <c r="B142" s="261" t="inlineStr">
        <is>
          <t>Acquisition des équipements pour la mise à niveau de l'infrastructure réseau de la SNRT</t>
        </is>
      </c>
      <c r="C142" s="244" t="inlineStr">
        <is>
          <t>Fournitures</t>
        </is>
      </c>
      <c r="D142" s="245" t="inlineStr">
        <is>
          <t>Appel d'offres ouvert</t>
        </is>
      </c>
      <c r="E142" s="245" t="inlineStr">
        <is>
          <t>T2</t>
        </is>
      </c>
      <c r="F142" s="245" t="inlineStr">
        <is>
          <t>Rabat</t>
        </is>
      </c>
      <c r="G142" s="245" t="inlineStr">
        <is>
          <t>Non</t>
        </is>
      </c>
      <c r="H142" s="252" t="n">
        <v>5400000</v>
      </c>
      <c r="I142" s="240" t="inlineStr">
        <is>
          <t>Investissement</t>
        </is>
      </c>
    </row>
    <row r="143" ht="33" customHeight="1" s="392">
      <c r="A143" s="220" t="inlineStr">
        <is>
          <t>Direction Centrale Technique</t>
        </is>
      </c>
      <c r="B143" s="251" t="inlineStr">
        <is>
          <t>Acquisition d’équipements informatiques  pour les besoins de SNRT NEWS</t>
        </is>
      </c>
      <c r="C143" s="244" t="inlineStr">
        <is>
          <t>Fournitures</t>
        </is>
      </c>
      <c r="D143" s="245" t="inlineStr">
        <is>
          <t>Appel d'offres ouvert</t>
        </is>
      </c>
      <c r="E143" s="245" t="inlineStr">
        <is>
          <t>T2</t>
        </is>
      </c>
      <c r="F143" s="245" t="inlineStr">
        <is>
          <t>Rabat</t>
        </is>
      </c>
      <c r="G143" s="221" t="inlineStr">
        <is>
          <t>Oui</t>
        </is>
      </c>
      <c r="H143" s="254" t="n">
        <v>3600000</v>
      </c>
      <c r="I143" s="240" t="inlineStr">
        <is>
          <t>Investissement</t>
        </is>
      </c>
    </row>
    <row r="144" ht="34.5" customHeight="1" s="392">
      <c r="A144" s="230" t="inlineStr">
        <is>
          <t>Direction Centrale Technique</t>
        </is>
      </c>
      <c r="B144" s="262" t="inlineStr">
        <is>
          <t>Acquisition d’équipements informatiques et audiovisuels pour la mise à niveau du matériel de SNRT NEWS</t>
        </is>
      </c>
      <c r="C144" s="236" t="inlineStr">
        <is>
          <t>Fournitures</t>
        </is>
      </c>
      <c r="D144" s="243" t="inlineStr">
        <is>
          <t>Appel d'offres ouvert</t>
        </is>
      </c>
      <c r="E144" s="243" t="inlineStr">
        <is>
          <t>T2</t>
        </is>
      </c>
      <c r="F144" s="243" t="inlineStr">
        <is>
          <t>Rabat</t>
        </is>
      </c>
      <c r="G144" s="231" t="inlineStr">
        <is>
          <t>Oui</t>
        </is>
      </c>
      <c r="H144" s="256" t="n">
        <v>1400000</v>
      </c>
      <c r="I144" s="240" t="inlineStr">
        <is>
          <t>Investissement</t>
        </is>
      </c>
    </row>
    <row r="145" ht="37.5" customHeight="1" s="392">
      <c r="A145" s="220" t="inlineStr">
        <is>
          <t>Direction Centrale Technique</t>
        </is>
      </c>
      <c r="B145" s="251" t="inlineStr">
        <is>
          <t>Acquisition de licences et de logiciels pour  les besoins de SNRT NEWS</t>
        </is>
      </c>
      <c r="C145" s="244" t="inlineStr">
        <is>
          <t>Fournitures</t>
        </is>
      </c>
      <c r="D145" s="245" t="inlineStr">
        <is>
          <t>Appel d'offres ouvert</t>
        </is>
      </c>
      <c r="E145" s="245" t="inlineStr">
        <is>
          <t>T2</t>
        </is>
      </c>
      <c r="F145" s="245" t="inlineStr">
        <is>
          <t>Rabat</t>
        </is>
      </c>
      <c r="G145" s="221" t="inlineStr">
        <is>
          <t>Oui</t>
        </is>
      </c>
      <c r="H145" s="252" t="n">
        <v>210000</v>
      </c>
      <c r="I145" s="240" t="inlineStr">
        <is>
          <t>Fonctionnement</t>
        </is>
      </c>
    </row>
    <row r="146" ht="42" customHeight="1" s="392">
      <c r="A146" s="220" t="inlineStr">
        <is>
          <t>Direction Centrale de la Régie publicitaire et des Solutions Digitales</t>
        </is>
      </c>
      <c r="B146" s="239" t="inlineStr">
        <is>
          <t>Assistance et maintenance de lasolution BI etlocation de licences</t>
        </is>
      </c>
      <c r="C146" s="221" t="inlineStr">
        <is>
          <t>Services</t>
        </is>
      </c>
      <c r="D146" s="222" t="inlineStr">
        <is>
          <t>Appel d'offres ouvert</t>
        </is>
      </c>
      <c r="E146" s="263" t="inlineStr">
        <is>
          <t>T2</t>
        </is>
      </c>
      <c r="F146" s="221" t="inlineStr">
        <is>
          <t>Casablanca</t>
        </is>
      </c>
      <c r="G146" s="221" t="inlineStr">
        <is>
          <t>Oui</t>
        </is>
      </c>
      <c r="H146" s="575" t="n">
        <v>250000</v>
      </c>
      <c r="I146" s="224" t="inlineStr">
        <is>
          <t>Fonctionnement</t>
        </is>
      </c>
    </row>
    <row r="147" ht="68.25" customHeight="1" s="392">
      <c r="A147" s="230" t="inlineStr">
        <is>
          <t>Direction Centrale de la Régie publicitaire et des Solutions Digitales</t>
        </is>
      </c>
      <c r="B147" s="230" t="inlineStr">
        <is>
          <t>Prestation de maintenance corrective, maintenance évolutive, d'assistance utilisateur, d'assistance technique et des mises à jour de Media Pilot, Logiciel de gestion de la commercialisation de l'espace publicitaire des supports TV Radio de la SNRT</t>
        </is>
      </c>
      <c r="C147" s="231" t="inlineStr">
        <is>
          <t>Services</t>
        </is>
      </c>
      <c r="D147" s="232" t="inlineStr">
        <is>
          <t>Appel d'offres ouvert</t>
        </is>
      </c>
      <c r="E147" s="264" t="inlineStr">
        <is>
          <t>T2</t>
        </is>
      </c>
      <c r="F147" s="231" t="inlineStr">
        <is>
          <t>Casablanca</t>
        </is>
      </c>
      <c r="G147" s="231" t="inlineStr">
        <is>
          <t>Non</t>
        </is>
      </c>
      <c r="H147" s="580" t="n">
        <v>753940</v>
      </c>
      <c r="I147" s="231" t="inlineStr">
        <is>
          <t>Fonctionnement</t>
        </is>
      </c>
      <c r="J147" s="258" t="n"/>
      <c r="K147" s="258" t="n"/>
      <c r="L147" s="258" t="n"/>
      <c r="M147" s="258" t="n"/>
      <c r="N147" s="258" t="n"/>
      <c r="O147" s="258" t="n"/>
      <c r="P147" s="258" t="n"/>
      <c r="Q147" s="258" t="n"/>
      <c r="R147" s="258" t="n"/>
      <c r="S147" s="258" t="n"/>
      <c r="T147" s="258" t="n"/>
      <c r="U147" s="258" t="n"/>
      <c r="V147" s="258" t="n"/>
    </row>
    <row r="148" ht="51" customHeight="1" s="392">
      <c r="A148" s="220" t="inlineStr">
        <is>
          <t>Direction Centrale de la Régie publicitaire et des Solutions Digitales</t>
        </is>
      </c>
      <c r="B148" s="226" t="inlineStr">
        <is>
          <t>"Acquisition d'une Solution Multifonction visant la gestion de projets, la mise en place de la chaine Devops et l’acquisition des Outils de développement : éditeur de code".</t>
        </is>
      </c>
      <c r="C148" s="221" t="inlineStr">
        <is>
          <t>Services</t>
        </is>
      </c>
      <c r="D148" s="222" t="inlineStr">
        <is>
          <t>Appel d'offres ouvert</t>
        </is>
      </c>
      <c r="E148" s="265" t="inlineStr">
        <is>
          <t>T2</t>
        </is>
      </c>
      <c r="F148" s="221" t="inlineStr">
        <is>
          <t>Casablanca</t>
        </is>
      </c>
      <c r="G148" s="221" t="inlineStr">
        <is>
          <t>Oui</t>
        </is>
      </c>
      <c r="H148" s="581" t="n">
        <v>250000</v>
      </c>
      <c r="I148" s="224" t="inlineStr">
        <is>
          <t>Fonctionnement</t>
        </is>
      </c>
    </row>
    <row r="149" ht="63.75" customHeight="1" s="392">
      <c r="A149" s="220" t="inlineStr">
        <is>
          <t>Direction Centrale de la Régie publicitaire et des Solutions Digitales</t>
        </is>
      </c>
      <c r="B149" s="226" t="inlineStr">
        <is>
          <t>Mise en place d’une plateforme de gestion de données : Data management platorm: (DMP) pour la collecte et l’analyse de données sociodémographiques et comportementales, afin d'optimiser les campagnes publicitaires sur les plateformes digitales de la régie.</t>
        </is>
      </c>
      <c r="C149" s="221" t="inlineStr">
        <is>
          <t>Services</t>
        </is>
      </c>
      <c r="D149" s="222" t="inlineStr">
        <is>
          <t>Appel d'offres ouvert</t>
        </is>
      </c>
      <c r="E149" s="265" t="inlineStr">
        <is>
          <t>T2</t>
        </is>
      </c>
      <c r="F149" s="221" t="inlineStr">
        <is>
          <t>Casablanca</t>
        </is>
      </c>
      <c r="G149" s="221" t="inlineStr">
        <is>
          <t>Oui</t>
        </is>
      </c>
      <c r="H149" s="581" t="n">
        <v>600000</v>
      </c>
      <c r="I149" s="224" t="inlineStr">
        <is>
          <t>Fonctionnement</t>
        </is>
      </c>
    </row>
    <row r="150" ht="62.25" customHeight="1" s="392">
      <c r="A150" s="220" t="inlineStr">
        <is>
          <t>Direction Centrale de la Régie publicitaire et des Solutions Digitales</t>
        </is>
      </c>
      <c r="B150" s="226" t="inlineStr">
        <is>
          <t>Lancement d'une Analyse de l'impact  de l'engagement et de l'attention des téléspectateurs sur les programmes TV : De la mémorisation à l’attractivité pour les marques ( Efficacité publicitaire TV (linéaire + Broadcaster Video On Demand).</t>
        </is>
      </c>
      <c r="C150" s="221" t="inlineStr">
        <is>
          <t>Services</t>
        </is>
      </c>
      <c r="D150" s="222" t="inlineStr">
        <is>
          <t>Appel d'offres ouvert</t>
        </is>
      </c>
      <c r="E150" s="265" t="inlineStr">
        <is>
          <t>T2</t>
        </is>
      </c>
      <c r="F150" s="221" t="inlineStr">
        <is>
          <t>Casablanca</t>
        </is>
      </c>
      <c r="G150" s="221" t="inlineStr">
        <is>
          <t>Oui</t>
        </is>
      </c>
      <c r="H150" s="581" t="n">
        <v>600000</v>
      </c>
      <c r="I150" s="224" t="inlineStr">
        <is>
          <t>Fonctionnement</t>
        </is>
      </c>
    </row>
    <row r="151" ht="54" customHeight="1" s="392">
      <c r="A151" s="220" t="inlineStr">
        <is>
          <t>Direction Centrale de la Régie publicitaire et des Solutions Digitales</t>
        </is>
      </c>
      <c r="B151" s="241" t="inlineStr">
        <is>
          <t xml:space="preserve">Lancement d'une étude "Return on investment": ( ROI) permettant l'évaluation de l'effiicacité des camapgnes publicitaires </t>
        </is>
      </c>
      <c r="C151" s="221" t="inlineStr">
        <is>
          <t>Services</t>
        </is>
      </c>
      <c r="D151" s="222" t="inlineStr">
        <is>
          <t>Appel d'offres ouvert</t>
        </is>
      </c>
      <c r="E151" s="265" t="inlineStr">
        <is>
          <t>T2</t>
        </is>
      </c>
      <c r="F151" s="221" t="inlineStr">
        <is>
          <t>Casablanca</t>
        </is>
      </c>
      <c r="G151" s="221" t="inlineStr">
        <is>
          <t>Oui</t>
        </is>
      </c>
      <c r="H151" s="581" t="n">
        <v>600000</v>
      </c>
      <c r="I151" s="224" t="inlineStr">
        <is>
          <t>Fonctionnement</t>
        </is>
      </c>
    </row>
    <row r="152" ht="46.5" customHeight="1" s="392">
      <c r="A152" s="230" t="inlineStr">
        <is>
          <t>Direction Centrale de la Régie publicitaire et des Solutions Digitales</t>
        </is>
      </c>
      <c r="B152" s="262" t="inlineStr">
        <is>
          <t xml:space="preserve">Maintenance de la messagerie de la DRPSD  </t>
        </is>
      </c>
      <c r="C152" s="231" t="inlineStr">
        <is>
          <t>Services</t>
        </is>
      </c>
      <c r="D152" s="232" t="inlineStr">
        <is>
          <t>Appel d'offres ouvert</t>
        </is>
      </c>
      <c r="E152" s="266" t="inlineStr">
        <is>
          <t>T4</t>
        </is>
      </c>
      <c r="F152" s="231" t="inlineStr">
        <is>
          <t>Casablanca</t>
        </is>
      </c>
      <c r="G152" s="231" t="inlineStr">
        <is>
          <t>Oui</t>
        </is>
      </c>
      <c r="H152" s="580" t="n">
        <v>51000</v>
      </c>
      <c r="I152" s="231" t="inlineStr">
        <is>
          <t>Fonctionnement</t>
        </is>
      </c>
      <c r="J152" s="258" t="n"/>
      <c r="K152" s="258" t="n"/>
      <c r="L152" s="258" t="n"/>
      <c r="M152" s="258" t="n"/>
      <c r="N152" s="258" t="n"/>
      <c r="O152" s="258" t="n"/>
      <c r="P152" s="258" t="n"/>
      <c r="Q152" s="258" t="n"/>
      <c r="R152" s="258" t="n"/>
      <c r="S152" s="258" t="n"/>
      <c r="T152" s="258" t="n"/>
      <c r="U152" s="258" t="n"/>
      <c r="V152" s="258" t="n"/>
    </row>
    <row r="153" ht="38.25" customHeight="1" s="392">
      <c r="A153" s="220" t="inlineStr">
        <is>
          <t>Direction Centrale de la Régie publicitaire et des Solutions Digitales</t>
        </is>
      </c>
      <c r="B153" s="241" t="inlineStr">
        <is>
          <t xml:space="preserve">Acquisition d'une Solution visant l'Automatisation et la Digitalisation de la Gestion des Campagnes Publicitaires 
( Annonceurs - Agences- Régie Publicitaire ) </t>
        </is>
      </c>
      <c r="C153" s="221" t="inlineStr">
        <is>
          <t>Services</t>
        </is>
      </c>
      <c r="D153" s="222" t="inlineStr">
        <is>
          <t>Appel d'offres ouvert</t>
        </is>
      </c>
      <c r="E153" s="267" t="inlineStr">
        <is>
          <t>T2</t>
        </is>
      </c>
      <c r="F153" s="221" t="inlineStr">
        <is>
          <t>Casablanca</t>
        </is>
      </c>
      <c r="G153" s="221" t="inlineStr">
        <is>
          <t>NON</t>
        </is>
      </c>
      <c r="H153" s="581" t="n">
        <v>350000</v>
      </c>
      <c r="I153" s="224" t="inlineStr">
        <is>
          <t>Investissement</t>
        </is>
      </c>
    </row>
    <row r="154" ht="45" customHeight="1" s="392">
      <c r="A154" s="220" t="inlineStr">
        <is>
          <t>Direction Centrale de la Régie publicitaire et des Solutions Digitales</t>
        </is>
      </c>
      <c r="B154" s="226" t="inlineStr">
        <is>
          <t>Refonte de la Solution de publicité digitale pour l'ensemble des plateformes digitales de la SNRT</t>
        </is>
      </c>
      <c r="C154" s="221" t="inlineStr">
        <is>
          <t>Services</t>
        </is>
      </c>
      <c r="D154" s="222" t="inlineStr">
        <is>
          <t>Appel d'offres ouvert</t>
        </is>
      </c>
      <c r="E154" s="267" t="inlineStr">
        <is>
          <t>T2</t>
        </is>
      </c>
      <c r="F154" s="221" t="inlineStr">
        <is>
          <t>Casablanca</t>
        </is>
      </c>
      <c r="G154" s="221" t="inlineStr">
        <is>
          <t>Oui</t>
        </is>
      </c>
      <c r="H154" s="575" t="n">
        <v>400000</v>
      </c>
      <c r="I154" s="224" t="inlineStr">
        <is>
          <t>Investissement</t>
        </is>
      </c>
    </row>
    <row r="155" ht="38.25" customHeight="1" s="392">
      <c r="A155" s="220" t="inlineStr">
        <is>
          <t>Direction Centrale de la Régie publicitaire et des Solutions Digitales</t>
        </is>
      </c>
      <c r="B155" s="226" t="inlineStr">
        <is>
          <t xml:space="preserve">Réferencement de la plate forme SNRTNEWS et Mise en place de la stratégie digitale </t>
        </is>
      </c>
      <c r="C155" s="221" t="inlineStr">
        <is>
          <t>Services</t>
        </is>
      </c>
      <c r="D155" s="222" t="inlineStr">
        <is>
          <t>Appel d'offres ouvert</t>
        </is>
      </c>
      <c r="E155" s="265" t="inlineStr">
        <is>
          <t>T2</t>
        </is>
      </c>
      <c r="F155" s="221" t="inlineStr">
        <is>
          <t>Casablanca</t>
        </is>
      </c>
      <c r="G155" s="221" t="inlineStr">
        <is>
          <t>Oui</t>
        </is>
      </c>
      <c r="H155" s="581" t="n">
        <v>350000</v>
      </c>
      <c r="I155" s="224" t="inlineStr">
        <is>
          <t>Fonctionnement</t>
        </is>
      </c>
    </row>
    <row r="156" ht="38.25" customHeight="1" s="392">
      <c r="A156" s="220" t="inlineStr">
        <is>
          <t>Direction Centrale de la Régie publicitaire et des Solutions Digitales</t>
        </is>
      </c>
      <c r="B156" s="226" t="inlineStr">
        <is>
          <t xml:space="preserve">Accompagnement et Sponsoring des plateformes digitales </t>
        </is>
      </c>
      <c r="C156" s="221" t="inlineStr">
        <is>
          <t>Services</t>
        </is>
      </c>
      <c r="D156" s="222" t="inlineStr">
        <is>
          <t>Appel d'offres ouvert</t>
        </is>
      </c>
      <c r="E156" s="265" t="inlineStr">
        <is>
          <t>T2</t>
        </is>
      </c>
      <c r="F156" s="221" t="inlineStr">
        <is>
          <t>Casablanca</t>
        </is>
      </c>
      <c r="G156" s="221" t="inlineStr">
        <is>
          <t>Non</t>
        </is>
      </c>
      <c r="H156" s="581" t="n">
        <v>500000</v>
      </c>
      <c r="I156" s="224" t="inlineStr">
        <is>
          <t>Fonctionnement</t>
        </is>
      </c>
    </row>
    <row r="157" ht="38.25" customHeight="1" s="392">
      <c r="A157" s="220" t="inlineStr">
        <is>
          <t>Direction Centrale de la Régie publicitaire et des Solutions Digitales</t>
        </is>
      </c>
      <c r="B157" s="226" t="inlineStr">
        <is>
          <t>Solutions relatives au projet d'homologation RSSI</t>
        </is>
      </c>
      <c r="C157" s="221" t="inlineStr">
        <is>
          <t>Services</t>
        </is>
      </c>
      <c r="D157" s="222" t="inlineStr">
        <is>
          <t>Appel d'offres ouvert</t>
        </is>
      </c>
      <c r="E157" s="265" t="inlineStr">
        <is>
          <t>T2</t>
        </is>
      </c>
      <c r="F157" s="221" t="inlineStr">
        <is>
          <t>Casablanca</t>
        </is>
      </c>
      <c r="G157" s="221" t="inlineStr">
        <is>
          <t>Oui</t>
        </is>
      </c>
      <c r="H157" s="581" t="n">
        <v>300000</v>
      </c>
      <c r="I157" s="224" t="inlineStr">
        <is>
          <t>Investissement</t>
        </is>
      </c>
    </row>
    <row r="158" ht="38.25" customHeight="1" s="392">
      <c r="A158" s="220" t="inlineStr">
        <is>
          <t>Direction Centrale de la Régie publicitaire et des Solutions Digitales</t>
        </is>
      </c>
      <c r="B158" s="226" t="inlineStr">
        <is>
          <t xml:space="preserve">Développement de projets digitaux </t>
        </is>
      </c>
      <c r="C158" s="221" t="inlineStr">
        <is>
          <t>Services</t>
        </is>
      </c>
      <c r="D158" s="222" t="inlineStr">
        <is>
          <t>Appel d'offres ouvert</t>
        </is>
      </c>
      <c r="E158" s="265" t="inlineStr">
        <is>
          <t>T2</t>
        </is>
      </c>
      <c r="F158" s="221" t="inlineStr">
        <is>
          <t>Casablanca</t>
        </is>
      </c>
      <c r="G158" s="221" t="inlineStr">
        <is>
          <t>Oui</t>
        </is>
      </c>
      <c r="H158" s="581" t="n">
        <v>450000</v>
      </c>
      <c r="I158" s="224" t="inlineStr">
        <is>
          <t>Investissement</t>
        </is>
      </c>
    </row>
    <row r="159" ht="63.75" customHeight="1" s="392">
      <c r="A159" s="220" t="inlineStr">
        <is>
          <t>Responsable de la Sécurité des Systèmes d’Information (RSSI)</t>
        </is>
      </c>
      <c r="B159" s="220" t="inlineStr">
        <is>
          <t>Acquisition, installation, mise en service et exploitation d'un système de gestion des informations et des événements de Cybersécurité, dans le cadre de la mise en place du centre opérationnel de cybersécurité interne (CyberSOC &amp; CyberCERT) de la SNRT.</t>
        </is>
      </c>
      <c r="C159" s="221" t="inlineStr">
        <is>
          <t>Services</t>
        </is>
      </c>
      <c r="D159" s="222" t="inlineStr">
        <is>
          <t>Appel d'offres ouvert</t>
        </is>
      </c>
      <c r="E159" s="221" t="inlineStr">
        <is>
          <t>T2</t>
        </is>
      </c>
      <c r="F159" s="221" t="inlineStr">
        <is>
          <t>Rabat</t>
        </is>
      </c>
      <c r="G159" s="221" t="inlineStr">
        <is>
          <t xml:space="preserve">Non </t>
        </is>
      </c>
      <c r="H159" s="582" t="n">
        <v>1800000</v>
      </c>
      <c r="I159" s="224" t="inlineStr">
        <is>
          <t>Investissement</t>
        </is>
      </c>
    </row>
    <row r="160" ht="63.75" customHeight="1" s="392">
      <c r="A160" s="220" t="inlineStr">
        <is>
          <t>Responsable de la Sécurité des Systèmes d’Information (RSSI)</t>
        </is>
      </c>
      <c r="B160" s="220" t="inlineStr">
        <is>
          <t>Souscription au service de "Cyber Threat Intelligence (CTI)" pour les besoins des équipes CyberSOC et CyberCERT, dans le cadre de la mise en place du centre opérationnel de cybersécurité interne (CyberSOC &amp; CyberCERT) de la SNRT.</t>
        </is>
      </c>
      <c r="C160" s="221" t="inlineStr">
        <is>
          <t>Services</t>
        </is>
      </c>
      <c r="D160" s="222" t="inlineStr">
        <is>
          <t>Appel d'offres ouvert</t>
        </is>
      </c>
      <c r="E160" s="221" t="inlineStr">
        <is>
          <t>T2</t>
        </is>
      </c>
      <c r="F160" s="221" t="inlineStr">
        <is>
          <t>Rabat</t>
        </is>
      </c>
      <c r="G160" s="224" t="inlineStr">
        <is>
          <t>Non</t>
        </is>
      </c>
      <c r="H160" s="582" t="n">
        <v>750000</v>
      </c>
      <c r="I160" s="224" t="inlineStr">
        <is>
          <t>Investissement</t>
        </is>
      </c>
    </row>
    <row r="161" ht="102" customHeight="1" s="392">
      <c r="A161" s="220" t="inlineStr">
        <is>
          <t>Responsable de la Sécurité des Systèmes d’Information (RSSI)</t>
        </is>
      </c>
      <c r="B161" s="220" t="inlineStr">
        <is>
          <t>Acquisition, installation et mise en service d’une solution de cybersécurité intégrant des capacités d’intelligence artificielle, permettant la détection en temps réel de comportements suspects et de menaces sophistiquées et complexes, pour les besoins des équipes CyberSOC et CyberCERT, dans le cadre de la mise en place du centre opérationnel de cybersécurité interne (CyberSOC &amp; CyberCERT) de la SNRT.</t>
        </is>
      </c>
      <c r="C161" s="221" t="inlineStr">
        <is>
          <t>Services</t>
        </is>
      </c>
      <c r="D161" s="222" t="inlineStr">
        <is>
          <t>Appel d'offres ouvert</t>
        </is>
      </c>
      <c r="E161" s="221" t="inlineStr">
        <is>
          <t>T2</t>
        </is>
      </c>
      <c r="F161" s="221" t="inlineStr">
        <is>
          <t>Rabat</t>
        </is>
      </c>
      <c r="G161" s="224" t="inlineStr">
        <is>
          <t>Non</t>
        </is>
      </c>
      <c r="H161" s="582" t="n">
        <v>850000</v>
      </c>
      <c r="I161" s="224" t="inlineStr">
        <is>
          <t>Investissement</t>
        </is>
      </c>
    </row>
    <row r="162" ht="116.25" customHeight="1" s="392">
      <c r="A162" s="220" t="inlineStr">
        <is>
          <t>Responsable de la Sécurité des Systèmes d’Information (RSSI)</t>
        </is>
      </c>
      <c r="B162" s="220" t="inlineStr">
        <is>
          <t>Réalisation de prestations d’audit de sécurité des systèmes d’information de la SNRT, relevant des classes « A », « B », « C » et « D ».
Audit organisationnel et physique
Audit d’architecture
Audit de configuration
Audit de code source
Test d’intrusion
Audit des systèmes industriels</t>
        </is>
      </c>
      <c r="C162" s="221" t="inlineStr">
        <is>
          <t>Services</t>
        </is>
      </c>
      <c r="D162" s="222" t="inlineStr">
        <is>
          <t>Appel d'offres ouvert</t>
        </is>
      </c>
      <c r="E162" s="221" t="inlineStr">
        <is>
          <t>T4</t>
        </is>
      </c>
      <c r="F162" s="221" t="inlineStr">
        <is>
          <t>Rabat</t>
        </is>
      </c>
      <c r="G162" s="224" t="inlineStr">
        <is>
          <t>Non</t>
        </is>
      </c>
      <c r="H162" s="582" t="n">
        <v>800000</v>
      </c>
      <c r="I162" s="224" t="inlineStr">
        <is>
          <t>Investissement</t>
        </is>
      </c>
    </row>
    <row r="163" ht="51" customHeight="1" s="392">
      <c r="A163" s="220" t="inlineStr">
        <is>
          <t>Responsable de la Sécurité des Systèmes d’Information (RSSI)</t>
        </is>
      </c>
      <c r="B163" s="220" t="inlineStr">
        <is>
          <t>Accompagnement à la transition vers la nouvelle version ISO/IEC 27001:2022 et extension du domaine d'application du SMSI pour couvrir l'ensemble des systèmes d'information de la SNRT.</t>
        </is>
      </c>
      <c r="C163" s="221" t="inlineStr">
        <is>
          <t>Services</t>
        </is>
      </c>
      <c r="D163" s="222" t="inlineStr">
        <is>
          <t>Appel d'offres ouvert</t>
        </is>
      </c>
      <c r="E163" s="221" t="inlineStr">
        <is>
          <t>T4</t>
        </is>
      </c>
      <c r="F163" s="221" t="inlineStr">
        <is>
          <t>Rabat</t>
        </is>
      </c>
      <c r="G163" s="224" t="inlineStr">
        <is>
          <t>Non</t>
        </is>
      </c>
      <c r="H163" s="582" t="n">
        <v>450000</v>
      </c>
      <c r="I163" s="224" t="inlineStr">
        <is>
          <t>Investissement</t>
        </is>
      </c>
    </row>
    <row r="164" ht="56.25" customHeight="1" s="392">
      <c r="A164" s="268" t="inlineStr">
        <is>
          <t>Responsable de la Sécurité des Systèmes d’Information (RSSI)</t>
        </is>
      </c>
      <c r="B164" s="268" t="inlineStr">
        <is>
          <t>Réalisation de prestations d'audits de certification et de surveillance annuels du Système de Management de la Sécurité de l'Information (SMSI) selon la norme ISO/IEC 27001:2022</t>
        </is>
      </c>
      <c r="C164" s="269" t="inlineStr">
        <is>
          <t>Services</t>
        </is>
      </c>
      <c r="D164" s="270" t="inlineStr">
        <is>
          <t>Appel d'offres ouvert</t>
        </is>
      </c>
      <c r="E164" s="269" t="inlineStr">
        <is>
          <t>T4</t>
        </is>
      </c>
      <c r="F164" s="269" t="inlineStr">
        <is>
          <t>Rabat</t>
        </is>
      </c>
      <c r="G164" s="228" t="inlineStr">
        <is>
          <t>Non</t>
        </is>
      </c>
      <c r="H164" s="583" t="n">
        <v>200000</v>
      </c>
      <c r="I164" s="228" t="inlineStr">
        <is>
          <t>Investissement</t>
        </is>
      </c>
    </row>
    <row r="165" ht="30.75" customHeight="1" s="392">
      <c r="A165" s="220" t="inlineStr">
        <is>
          <t>Direction Attakafia</t>
        </is>
      </c>
      <c r="B165" s="220" t="inlineStr">
        <is>
          <t>Prestation de blanchisserie du linge et services associés au profit des journalistes présentateurs</t>
        </is>
      </c>
      <c r="C165" s="221" t="inlineStr">
        <is>
          <t>Services</t>
        </is>
      </c>
      <c r="D165" s="222" t="inlineStr">
        <is>
          <t>Appel d'offres ouvert</t>
        </is>
      </c>
      <c r="E165" s="221" t="inlineStr">
        <is>
          <t>T2</t>
        </is>
      </c>
      <c r="F165" s="221" t="inlineStr">
        <is>
          <t>Rabat</t>
        </is>
      </c>
      <c r="G165" s="224" t="inlineStr">
        <is>
          <t>Oui</t>
        </is>
      </c>
      <c r="H165" s="582" t="n">
        <v>60000</v>
      </c>
      <c r="I165" s="224" t="inlineStr">
        <is>
          <t>Fonctionnement</t>
        </is>
      </c>
    </row>
    <row r="166" ht="34.5" customHeight="1" s="392">
      <c r="A166" s="220" t="inlineStr">
        <is>
          <t>Direction de la Chaîne TV Laayoune</t>
        </is>
      </c>
      <c r="B166" s="226" t="inlineStr">
        <is>
          <t>Fabrication de décor et conception d'habillage  de l'émission "AL FADAA ARIYADI".</t>
        </is>
      </c>
      <c r="C166" s="221" t="inlineStr">
        <is>
          <t>Fournitures</t>
        </is>
      </c>
      <c r="D166" s="222" t="inlineStr">
        <is>
          <t>Appel d'offres ouvert</t>
        </is>
      </c>
      <c r="E166" s="265" t="inlineStr">
        <is>
          <t>T2</t>
        </is>
      </c>
      <c r="F166" s="221" t="inlineStr">
        <is>
          <t>Laayoune</t>
        </is>
      </c>
      <c r="G166" s="221" t="inlineStr">
        <is>
          <t>Non</t>
        </is>
      </c>
      <c r="H166" s="582" t="n">
        <v>300000</v>
      </c>
      <c r="I166" s="224" t="inlineStr">
        <is>
          <t>Investissement</t>
        </is>
      </c>
    </row>
    <row r="167" ht="34.5" customHeight="1" s="392">
      <c r="A167" s="220" t="inlineStr">
        <is>
          <t>Direction de la Chaîne TV Laayoune</t>
        </is>
      </c>
      <c r="B167" s="226" t="inlineStr">
        <is>
          <t>Fabrication de décor et conception d'habillage  de l'émission "AAOYON ALMAGHRIB ".</t>
        </is>
      </c>
      <c r="C167" s="221" t="inlineStr">
        <is>
          <t>Fournitures</t>
        </is>
      </c>
      <c r="D167" s="222" t="inlineStr">
        <is>
          <t>Appel d'offres ouvert</t>
        </is>
      </c>
      <c r="E167" s="265" t="inlineStr">
        <is>
          <t>T2</t>
        </is>
      </c>
      <c r="F167" s="221" t="inlineStr">
        <is>
          <t>Laayoune</t>
        </is>
      </c>
      <c r="G167" s="221" t="inlineStr">
        <is>
          <t>Non</t>
        </is>
      </c>
      <c r="H167" s="582" t="n">
        <v>300000</v>
      </c>
      <c r="I167" s="224" t="inlineStr">
        <is>
          <t>Investissement</t>
        </is>
      </c>
    </row>
    <row r="168" ht="51" customHeight="1" s="392">
      <c r="A168" s="271" t="inlineStr">
        <is>
          <t>Direction Centrale Technique</t>
        </is>
      </c>
      <c r="B168" s="271" t="inlineStr">
        <is>
          <t>La fourniture et la mise en service de serveurs 
pour renouvellement de serveurs d’enregistrement et de replay pour les besoins de la production TV des manifestations sportives.</t>
        </is>
      </c>
      <c r="C168" s="271" t="inlineStr">
        <is>
          <t>Fournitures</t>
        </is>
      </c>
      <c r="D168" s="271" t="inlineStr">
        <is>
          <t>Appel d'offres ouvert</t>
        </is>
      </c>
      <c r="E168" s="271" t="inlineStr">
        <is>
          <t>T2</t>
        </is>
      </c>
      <c r="F168" s="271" t="inlineStr">
        <is>
          <t>Rabat</t>
        </is>
      </c>
      <c r="G168" s="271" t="inlineStr">
        <is>
          <t>Non</t>
        </is>
      </c>
      <c r="H168" s="271" t="n">
        <v>8948880</v>
      </c>
      <c r="I168" s="272" t="inlineStr">
        <is>
          <t>Investissement</t>
        </is>
      </c>
    </row>
    <row r="169" ht="25.5" customHeight="1" s="392">
      <c r="A169" s="271" t="inlineStr">
        <is>
          <t>Direction Centrale Technique</t>
        </is>
      </c>
      <c r="B169" s="271" t="inlineStr">
        <is>
          <t>Fourniture et mise en service d'un systéme d'intercom boradcast pour les besoins de la SNRT</t>
        </is>
      </c>
      <c r="C169" s="271" t="inlineStr">
        <is>
          <t>Fournitures</t>
        </is>
      </c>
      <c r="D169" s="271" t="inlineStr">
        <is>
          <t>Appel d'offres ouvert</t>
        </is>
      </c>
      <c r="E169" s="271" t="inlineStr">
        <is>
          <t>T2</t>
        </is>
      </c>
      <c r="F169" s="271" t="inlineStr">
        <is>
          <t>Rabat</t>
        </is>
      </c>
      <c r="G169" s="271" t="inlineStr">
        <is>
          <t>Non</t>
        </is>
      </c>
      <c r="H169" s="273" t="n">
        <v>291156</v>
      </c>
      <c r="I169" s="224" t="inlineStr">
        <is>
          <t>Investissement</t>
        </is>
      </c>
    </row>
  </sheetData>
  <mergeCells count="2">
    <mergeCell ref="A2:H8"/>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3000"/>
  <sheetViews>
    <sheetView workbookViewId="0">
      <pane ySplit="1" topLeftCell="A2" activePane="bottomLeft" state="frozen"/>
      <selection pane="bottomLeft" activeCell="A1" sqref="A1"/>
    </sheetView>
  </sheetViews>
  <sheetFormatPr baseColWidth="8" defaultRowHeight="15"/>
  <cols>
    <col width="30" customWidth="1" style="392" min="1" max="1"/>
    <col width="14" customWidth="1" style="392" min="2" max="2"/>
    <col width="16" customWidth="1" style="392" min="3" max="3"/>
    <col width="45" customWidth="1" style="392" min="4" max="4"/>
    <col width="24" customWidth="1" style="392" min="5" max="5"/>
    <col width="18" customWidth="1" style="392" min="6" max="6"/>
    <col width="16" customWidth="1" style="392" min="7" max="7"/>
    <col width="22" customWidth="1" style="392" min="8" max="8"/>
    <col width="12" customWidth="1" style="392" min="9" max="9"/>
    <col width="15" customWidth="1" style="392" min="10" max="10"/>
    <col width="13" customWidth="1" style="392" min="11" max="11"/>
    <col width="14" customWidth="1" style="392" min="12" max="12"/>
    <col width="18" customWidth="1" style="392" min="13" max="13"/>
    <col width="26" customWidth="1" style="392" min="14" max="14"/>
    <col width="18" customWidth="1" style="392" min="15" max="15"/>
    <col width="16" customWidth="1" style="392" min="16" max="16"/>
    <col width="20" customWidth="1" style="392" min="17" max="17"/>
  </cols>
  <sheetData>
    <row r="1">
      <c r="A1" s="584" t="inlineStr">
        <is>
          <t>DIRECTION</t>
        </is>
      </c>
      <c r="B1" s="584" t="inlineStr">
        <is>
          <t>REF</t>
        </is>
      </c>
      <c r="C1" s="584" t="inlineStr">
        <is>
          <t>BCI (TYPE D'ACHAT)</t>
        </is>
      </c>
      <c r="D1" s="584" t="inlineStr">
        <is>
          <t>OBJET</t>
        </is>
      </c>
      <c r="E1" s="584" t="inlineStr">
        <is>
          <t>STATUT SUPPORT D'ENGAGEMENT</t>
        </is>
      </c>
      <c r="F1" s="584" t="inlineStr">
        <is>
          <t>N° SUPPORT D'ENGAGEMENT</t>
        </is>
      </c>
      <c r="G1" s="584" t="inlineStr">
        <is>
          <t>NATURE BUDGET</t>
        </is>
      </c>
      <c r="H1" s="584" t="inlineStr">
        <is>
          <t>STATUT D'ENGAGEMENT</t>
        </is>
      </c>
      <c r="I1" s="584" t="inlineStr">
        <is>
          <t>STATUT 1</t>
        </is>
      </c>
      <c r="J1" s="584" t="inlineStr">
        <is>
          <t>MONTANT (MAD)</t>
        </is>
      </c>
      <c r="K1" s="584" t="inlineStr">
        <is>
          <t>DATE FICHE</t>
        </is>
      </c>
      <c r="L1" s="584" t="inlineStr">
        <is>
          <t>ANCIENNETE (jours)</t>
        </is>
      </c>
      <c r="M1" s="584" t="inlineStr">
        <is>
          <t>CATEGORIE SUIVI</t>
        </is>
      </c>
      <c r="N1" s="584" t="inlineStr">
        <is>
          <t>TYPE BUDGET</t>
        </is>
      </c>
      <c r="O1" s="584" t="inlineStr">
        <is>
          <t>NATURE BUDGET</t>
        </is>
      </c>
      <c r="P1" s="584" t="inlineStr">
        <is>
          <t>CATEGORIES</t>
        </is>
      </c>
      <c r="Q1" s="584" t="inlineStr">
        <is>
          <t>CLE INFR-ANNULE</t>
        </is>
      </c>
    </row>
    <row r="2">
      <c r="A2">
        <f>IF(ISBLANK('ENGAGEMENTS 2026'!C2),"",IF('ENGAGEMENTS 2026'!C2="DTSI","DCT",'ENGAGEMENTS 2026'!C2))</f>
        <v/>
      </c>
      <c r="B2">
        <f>IF(ISBLANK('ENGAGEMENTS 2026'!C2),"",'ENGAGEMENTS 2026'!D2)</f>
        <v/>
      </c>
      <c r="C2">
        <f>IF(ISBLANK('ENGAGEMENTS 2026'!C2),"",'ENGAGEMENTS 2026'!E2)</f>
        <v/>
      </c>
      <c r="D2">
        <f>IF(ISBLANK('ENGAGEMENTS 2026'!C2),"",'ENGAGEMENTS 2026'!G2)</f>
        <v/>
      </c>
      <c r="E2">
        <f>IF(ISBLANK('ENGAGEMENTS 2026'!C2),"",'ENGAGEMENTS 2026'!I2)</f>
        <v/>
      </c>
      <c r="F2">
        <f>IF(ISBLANK('ENGAGEMENTS 2026'!C2),"",'ENGAGEMENTS 2026'!J2)</f>
        <v/>
      </c>
      <c r="G2">
        <f>IF(ISBLANK('ENGAGEMENTS 2026'!C2),"",'ENGAGEMENTS 2026'!M2)</f>
        <v/>
      </c>
      <c r="H2">
        <f>IF(ISBLANK('ENGAGEMENTS 2026'!C2),"",'ENGAGEMENTS 2026'!AF2)</f>
        <v/>
      </c>
      <c r="I2">
        <f>IF(ISBLANK('ENGAGEMENTS 2026'!C2),"",'ENGAGEMENTS 2026'!H2)</f>
        <v/>
      </c>
      <c r="J2" s="275">
        <f>IF(ISBLANK('ENGAGEMENTS 2026'!C2),"",IF(AND(OR($E2="INFRUCTUEUX",$E2="ANNULE"),$C2="AOO-M"),'ENGAGEMENTS 2026'!P2,IF($H2="EN COURS DE PREENGAGEMENT",'ENGAGEMENTS 2026'!O2,IF($H2="PREENGAGE",IF($E2="ATTRIBUE",'ENGAGEMENTS 2026'!AE2,'ENGAGEMENTS 2026'!O2),'ENGAGEMENTS 2026'!AE2))))</f>
        <v/>
      </c>
      <c r="K2" s="604">
        <f>IF(ISBLANK('ENGAGEMENTS 2026'!W2),"",'ENGAGEMENTS 2026'!W2)</f>
        <v/>
      </c>
      <c r="L2" s="276">
        <f>IF($K2="","",TODAY()-$K2)</f>
        <v/>
      </c>
      <c r="M2">
        <f>IF($A2="","",IF($H2="ENGAGE","Engagé",IF(AND($H2="NON ENGAGE",OR($I2="INFRUCTUEUX",$I2="ANNULE")),"Clôturé sans suite","En cours")))</f>
        <v/>
      </c>
      <c r="N2">
        <f>IF(ISBLANK('ENGAGEMENTS 2026'!C2),"",'ENGAGEMENTS 2026'!L2)</f>
        <v/>
      </c>
      <c r="O2">
        <f>IF(ISBLANK('ENGAGEMENTS 2026'!C2),"",'ENGAGEMENTS 2026'!M2)</f>
        <v/>
      </c>
      <c r="P2">
        <f>IF(ISBLANK('ENGAGEMENTS 2026'!C2),"",'ENGAGEMENTS 2026'!K2)</f>
        <v/>
      </c>
      <c r="Q2">
        <f>IF($A2="","",IF(OR($E2="INFRUCTUEUX",$E2="ANNULE"),$A2&amp;"|"&amp;(COUNTIFS($A$2:$A2,$A2,$E$2:$E2,"INFRUCTUEUX")+COUNTIFS($A$2:$A2,$A2,$E$2:$E2,"ANNULE")),""))</f>
        <v/>
      </c>
    </row>
    <row r="3">
      <c r="A3">
        <f>IF(ISBLANK('ENGAGEMENTS 2026'!C3),"",IF('ENGAGEMENTS 2026'!C3="DTSI","DCT",'ENGAGEMENTS 2026'!C3))</f>
        <v/>
      </c>
      <c r="B3">
        <f>IF(ISBLANK('ENGAGEMENTS 2026'!C3),"",'ENGAGEMENTS 2026'!D3)</f>
        <v/>
      </c>
      <c r="C3">
        <f>IF(ISBLANK('ENGAGEMENTS 2026'!C3),"",'ENGAGEMENTS 2026'!E3)</f>
        <v/>
      </c>
      <c r="D3">
        <f>IF(ISBLANK('ENGAGEMENTS 2026'!C3),"",'ENGAGEMENTS 2026'!G3)</f>
        <v/>
      </c>
      <c r="E3">
        <f>IF(ISBLANK('ENGAGEMENTS 2026'!C3),"",'ENGAGEMENTS 2026'!I3)</f>
        <v/>
      </c>
      <c r="F3">
        <f>IF(ISBLANK('ENGAGEMENTS 2026'!C3),"",'ENGAGEMENTS 2026'!J3)</f>
        <v/>
      </c>
      <c r="G3">
        <f>IF(ISBLANK('ENGAGEMENTS 2026'!C3),"",'ENGAGEMENTS 2026'!M3)</f>
        <v/>
      </c>
      <c r="H3">
        <f>IF(ISBLANK('ENGAGEMENTS 2026'!C3),"",'ENGAGEMENTS 2026'!AF3)</f>
        <v/>
      </c>
      <c r="I3">
        <f>IF(ISBLANK('ENGAGEMENTS 2026'!C3),"",'ENGAGEMENTS 2026'!H3)</f>
        <v/>
      </c>
      <c r="J3" s="275">
        <f>IF(ISBLANK('ENGAGEMENTS 2026'!C3),"",IF(AND(OR($E3="INFRUCTUEUX",$E3="ANNULE"),$C3="AOO-M"),'ENGAGEMENTS 2026'!P3,IF($H3="EN COURS DE PREENGAGEMENT",'ENGAGEMENTS 2026'!O3,IF($H3="PREENGAGE",IF($E3="ATTRIBUE",'ENGAGEMENTS 2026'!AE3,'ENGAGEMENTS 2026'!O3),'ENGAGEMENTS 2026'!AE3))))</f>
        <v/>
      </c>
      <c r="K3" s="604">
        <f>IF(ISBLANK('ENGAGEMENTS 2026'!W3),"",'ENGAGEMENTS 2026'!W3)</f>
        <v/>
      </c>
      <c r="L3" s="276">
        <f>IF($K3="","",TODAY()-$K3)</f>
        <v/>
      </c>
      <c r="M3">
        <f>IF($A3="","",IF($H3="ENGAGE","Engagé",IF(AND($H3="NON ENGAGE",OR($I3="INFRUCTUEUX",$I3="ANNULE")),"Clôturé sans suite","En cours")))</f>
        <v/>
      </c>
      <c r="N3">
        <f>IF(ISBLANK('ENGAGEMENTS 2026'!C3),"",'ENGAGEMENTS 2026'!L3)</f>
        <v/>
      </c>
      <c r="O3">
        <f>IF(ISBLANK('ENGAGEMENTS 2026'!C3),"",'ENGAGEMENTS 2026'!M3)</f>
        <v/>
      </c>
      <c r="P3">
        <f>IF(ISBLANK('ENGAGEMENTS 2026'!C3),"",'ENGAGEMENTS 2026'!K3)</f>
        <v/>
      </c>
      <c r="Q3">
        <f>IF($A3="","",IF(OR($E3="INFRUCTUEUX",$E3="ANNULE"),$A3&amp;"|"&amp;(COUNTIFS($A$2:$A3,$A3,$E$2:$E3,"INFRUCTUEUX")+COUNTIFS($A$2:$A3,$A3,$E$2:$E3,"ANNULE")),""))</f>
        <v/>
      </c>
    </row>
    <row r="4">
      <c r="A4">
        <f>IF(ISBLANK('ENGAGEMENTS 2026'!C4),"",IF('ENGAGEMENTS 2026'!C4="DTSI","DCT",'ENGAGEMENTS 2026'!C4))</f>
        <v/>
      </c>
      <c r="B4">
        <f>IF(ISBLANK('ENGAGEMENTS 2026'!C4),"",'ENGAGEMENTS 2026'!D4)</f>
        <v/>
      </c>
      <c r="C4">
        <f>IF(ISBLANK('ENGAGEMENTS 2026'!C4),"",'ENGAGEMENTS 2026'!E4)</f>
        <v/>
      </c>
      <c r="D4">
        <f>IF(ISBLANK('ENGAGEMENTS 2026'!C4),"",'ENGAGEMENTS 2026'!G4)</f>
        <v/>
      </c>
      <c r="E4">
        <f>IF(ISBLANK('ENGAGEMENTS 2026'!C4),"",'ENGAGEMENTS 2026'!I4)</f>
        <v/>
      </c>
      <c r="F4">
        <f>IF(ISBLANK('ENGAGEMENTS 2026'!C4),"",'ENGAGEMENTS 2026'!J4)</f>
        <v/>
      </c>
      <c r="G4">
        <f>IF(ISBLANK('ENGAGEMENTS 2026'!C4),"",'ENGAGEMENTS 2026'!M4)</f>
        <v/>
      </c>
      <c r="H4">
        <f>IF(ISBLANK('ENGAGEMENTS 2026'!C4),"",'ENGAGEMENTS 2026'!AF4)</f>
        <v/>
      </c>
      <c r="I4">
        <f>IF(ISBLANK('ENGAGEMENTS 2026'!C4),"",'ENGAGEMENTS 2026'!H4)</f>
        <v/>
      </c>
      <c r="J4" s="275">
        <f>IF(ISBLANK('ENGAGEMENTS 2026'!C4),"",IF(AND(OR($E4="INFRUCTUEUX",$E4="ANNULE"),$C4="AOO-M"),'ENGAGEMENTS 2026'!P4,IF($H4="EN COURS DE PREENGAGEMENT",'ENGAGEMENTS 2026'!O4,IF($H4="PREENGAGE",IF($E4="ATTRIBUE",'ENGAGEMENTS 2026'!AE4,'ENGAGEMENTS 2026'!O4),'ENGAGEMENTS 2026'!AE4))))</f>
        <v/>
      </c>
      <c r="K4" s="604">
        <f>IF(ISBLANK('ENGAGEMENTS 2026'!W4),"",'ENGAGEMENTS 2026'!W4)</f>
        <v/>
      </c>
      <c r="L4" s="276">
        <f>IF($K4="","",TODAY()-$K4)</f>
        <v/>
      </c>
      <c r="M4">
        <f>IF($A4="","",IF($H4="ENGAGE","Engagé",IF(AND($H4="NON ENGAGE",OR($I4="INFRUCTUEUX",$I4="ANNULE")),"Clôturé sans suite","En cours")))</f>
        <v/>
      </c>
      <c r="N4">
        <f>IF(ISBLANK('ENGAGEMENTS 2026'!C4),"",'ENGAGEMENTS 2026'!L4)</f>
        <v/>
      </c>
      <c r="O4">
        <f>IF(ISBLANK('ENGAGEMENTS 2026'!C4),"",'ENGAGEMENTS 2026'!M4)</f>
        <v/>
      </c>
      <c r="P4">
        <f>IF(ISBLANK('ENGAGEMENTS 2026'!C4),"",'ENGAGEMENTS 2026'!K4)</f>
        <v/>
      </c>
      <c r="Q4">
        <f>IF($A4="","",IF(OR($E4="INFRUCTUEUX",$E4="ANNULE"),$A4&amp;"|"&amp;(COUNTIFS($A$2:$A4,$A4,$E$2:$E4,"INFRUCTUEUX")+COUNTIFS($A$2:$A4,$A4,$E$2:$E4,"ANNULE")),""))</f>
        <v/>
      </c>
    </row>
    <row r="5">
      <c r="A5">
        <f>IF(ISBLANK('ENGAGEMENTS 2026'!C5),"",IF('ENGAGEMENTS 2026'!C5="DTSI","DCT",'ENGAGEMENTS 2026'!C5))</f>
        <v/>
      </c>
      <c r="B5">
        <f>IF(ISBLANK('ENGAGEMENTS 2026'!C5),"",'ENGAGEMENTS 2026'!D5)</f>
        <v/>
      </c>
      <c r="C5">
        <f>IF(ISBLANK('ENGAGEMENTS 2026'!C5),"",'ENGAGEMENTS 2026'!E5)</f>
        <v/>
      </c>
      <c r="D5">
        <f>IF(ISBLANK('ENGAGEMENTS 2026'!C5),"",'ENGAGEMENTS 2026'!G5)</f>
        <v/>
      </c>
      <c r="E5">
        <f>IF(ISBLANK('ENGAGEMENTS 2026'!C5),"",'ENGAGEMENTS 2026'!I5)</f>
        <v/>
      </c>
      <c r="F5">
        <f>IF(ISBLANK('ENGAGEMENTS 2026'!C5),"",'ENGAGEMENTS 2026'!J5)</f>
        <v/>
      </c>
      <c r="G5">
        <f>IF(ISBLANK('ENGAGEMENTS 2026'!C5),"",'ENGAGEMENTS 2026'!M5)</f>
        <v/>
      </c>
      <c r="H5">
        <f>IF(ISBLANK('ENGAGEMENTS 2026'!C5),"",'ENGAGEMENTS 2026'!AF5)</f>
        <v/>
      </c>
      <c r="I5">
        <f>IF(ISBLANK('ENGAGEMENTS 2026'!C5),"",'ENGAGEMENTS 2026'!H5)</f>
        <v/>
      </c>
      <c r="J5" s="275">
        <f>IF(ISBLANK('ENGAGEMENTS 2026'!C5),"",IF(AND(OR($E5="INFRUCTUEUX",$E5="ANNULE"),$C5="AOO-M"),'ENGAGEMENTS 2026'!P5,IF($H5="EN COURS DE PREENGAGEMENT",'ENGAGEMENTS 2026'!O5,IF($H5="PREENGAGE",IF($E5="ATTRIBUE",'ENGAGEMENTS 2026'!AE5,'ENGAGEMENTS 2026'!O5),'ENGAGEMENTS 2026'!AE5))))</f>
        <v/>
      </c>
      <c r="K5" s="604">
        <f>IF(ISBLANK('ENGAGEMENTS 2026'!W5),"",'ENGAGEMENTS 2026'!W5)</f>
        <v/>
      </c>
      <c r="L5" s="276">
        <f>IF($K5="","",TODAY()-$K5)</f>
        <v/>
      </c>
      <c r="M5">
        <f>IF($A5="","",IF($H5="ENGAGE","Engagé",IF(AND($H5="NON ENGAGE",OR($I5="INFRUCTUEUX",$I5="ANNULE")),"Clôturé sans suite","En cours")))</f>
        <v/>
      </c>
      <c r="N5">
        <f>IF(ISBLANK('ENGAGEMENTS 2026'!C5),"",'ENGAGEMENTS 2026'!L5)</f>
        <v/>
      </c>
      <c r="O5">
        <f>IF(ISBLANK('ENGAGEMENTS 2026'!C5),"",'ENGAGEMENTS 2026'!M5)</f>
        <v/>
      </c>
      <c r="P5">
        <f>IF(ISBLANK('ENGAGEMENTS 2026'!C5),"",'ENGAGEMENTS 2026'!K5)</f>
        <v/>
      </c>
      <c r="Q5">
        <f>IF($A5="","",IF(OR($E5="INFRUCTUEUX",$E5="ANNULE"),$A5&amp;"|"&amp;(COUNTIFS($A$2:$A5,$A5,$E$2:$E5,"INFRUCTUEUX")+COUNTIFS($A$2:$A5,$A5,$E$2:$E5,"ANNULE")),""))</f>
        <v/>
      </c>
    </row>
    <row r="6">
      <c r="A6">
        <f>IF(ISBLANK('ENGAGEMENTS 2026'!C6),"",IF('ENGAGEMENTS 2026'!C6="DTSI","DCT",'ENGAGEMENTS 2026'!C6))</f>
        <v/>
      </c>
      <c r="B6">
        <f>IF(ISBLANK('ENGAGEMENTS 2026'!C6),"",'ENGAGEMENTS 2026'!D6)</f>
        <v/>
      </c>
      <c r="C6">
        <f>IF(ISBLANK('ENGAGEMENTS 2026'!C6),"",'ENGAGEMENTS 2026'!E6)</f>
        <v/>
      </c>
      <c r="D6">
        <f>IF(ISBLANK('ENGAGEMENTS 2026'!C6),"",'ENGAGEMENTS 2026'!G6)</f>
        <v/>
      </c>
      <c r="E6">
        <f>IF(ISBLANK('ENGAGEMENTS 2026'!C6),"",'ENGAGEMENTS 2026'!I6)</f>
        <v/>
      </c>
      <c r="F6">
        <f>IF(ISBLANK('ENGAGEMENTS 2026'!C6),"",'ENGAGEMENTS 2026'!J6)</f>
        <v/>
      </c>
      <c r="G6">
        <f>IF(ISBLANK('ENGAGEMENTS 2026'!C6),"",'ENGAGEMENTS 2026'!M6)</f>
        <v/>
      </c>
      <c r="H6">
        <f>IF(ISBLANK('ENGAGEMENTS 2026'!C6),"",'ENGAGEMENTS 2026'!AF6)</f>
        <v/>
      </c>
      <c r="I6">
        <f>IF(ISBLANK('ENGAGEMENTS 2026'!C6),"",'ENGAGEMENTS 2026'!H6)</f>
        <v/>
      </c>
      <c r="J6" s="275">
        <f>IF(ISBLANK('ENGAGEMENTS 2026'!C6),"",IF(AND(OR($E6="INFRUCTUEUX",$E6="ANNULE"),$C6="AOO-M"),'ENGAGEMENTS 2026'!P6,IF($H6="EN COURS DE PREENGAGEMENT",'ENGAGEMENTS 2026'!O6,IF($H6="PREENGAGE",IF($E6="ATTRIBUE",'ENGAGEMENTS 2026'!AE6,'ENGAGEMENTS 2026'!O6),'ENGAGEMENTS 2026'!AE6))))</f>
        <v/>
      </c>
      <c r="K6" s="604">
        <f>IF(ISBLANK('ENGAGEMENTS 2026'!W6),"",'ENGAGEMENTS 2026'!W6)</f>
        <v/>
      </c>
      <c r="L6" s="276">
        <f>IF($K6="","",TODAY()-$K6)</f>
        <v/>
      </c>
      <c r="M6">
        <f>IF($A6="","",IF($H6="ENGAGE","Engagé",IF(AND($H6="NON ENGAGE",OR($I6="INFRUCTUEUX",$I6="ANNULE")),"Clôturé sans suite","En cours")))</f>
        <v/>
      </c>
      <c r="N6">
        <f>IF(ISBLANK('ENGAGEMENTS 2026'!C6),"",'ENGAGEMENTS 2026'!L6)</f>
        <v/>
      </c>
      <c r="O6">
        <f>IF(ISBLANK('ENGAGEMENTS 2026'!C6),"",'ENGAGEMENTS 2026'!M6)</f>
        <v/>
      </c>
      <c r="P6">
        <f>IF(ISBLANK('ENGAGEMENTS 2026'!C6),"",'ENGAGEMENTS 2026'!K6)</f>
        <v/>
      </c>
      <c r="Q6">
        <f>IF($A6="","",IF(OR($E6="INFRUCTUEUX",$E6="ANNULE"),$A6&amp;"|"&amp;(COUNTIFS($A$2:$A6,$A6,$E$2:$E6,"INFRUCTUEUX")+COUNTIFS($A$2:$A6,$A6,$E$2:$E6,"ANNULE")),""))</f>
        <v/>
      </c>
    </row>
    <row r="7">
      <c r="A7">
        <f>IF(ISBLANK('ENGAGEMENTS 2026'!C7),"",IF('ENGAGEMENTS 2026'!C7="DTSI","DCT",'ENGAGEMENTS 2026'!C7))</f>
        <v/>
      </c>
      <c r="B7">
        <f>IF(ISBLANK('ENGAGEMENTS 2026'!C7),"",'ENGAGEMENTS 2026'!D7)</f>
        <v/>
      </c>
      <c r="C7">
        <f>IF(ISBLANK('ENGAGEMENTS 2026'!C7),"",'ENGAGEMENTS 2026'!E7)</f>
        <v/>
      </c>
      <c r="D7">
        <f>IF(ISBLANK('ENGAGEMENTS 2026'!C7),"",'ENGAGEMENTS 2026'!G7)</f>
        <v/>
      </c>
      <c r="E7">
        <f>IF(ISBLANK('ENGAGEMENTS 2026'!C7),"",'ENGAGEMENTS 2026'!I7)</f>
        <v/>
      </c>
      <c r="F7">
        <f>IF(ISBLANK('ENGAGEMENTS 2026'!C7),"",'ENGAGEMENTS 2026'!J7)</f>
        <v/>
      </c>
      <c r="G7">
        <f>IF(ISBLANK('ENGAGEMENTS 2026'!C7),"",'ENGAGEMENTS 2026'!M7)</f>
        <v/>
      </c>
      <c r="H7">
        <f>IF(ISBLANK('ENGAGEMENTS 2026'!C7),"",'ENGAGEMENTS 2026'!AF7)</f>
        <v/>
      </c>
      <c r="I7">
        <f>IF(ISBLANK('ENGAGEMENTS 2026'!C7),"",'ENGAGEMENTS 2026'!H7)</f>
        <v/>
      </c>
      <c r="J7" s="275">
        <f>IF(ISBLANK('ENGAGEMENTS 2026'!C7),"",IF(AND(OR($E7="INFRUCTUEUX",$E7="ANNULE"),$C7="AOO-M"),'ENGAGEMENTS 2026'!P7,IF($H7="EN COURS DE PREENGAGEMENT",'ENGAGEMENTS 2026'!O7,IF($H7="PREENGAGE",IF($E7="ATTRIBUE",'ENGAGEMENTS 2026'!AE7,'ENGAGEMENTS 2026'!O7),'ENGAGEMENTS 2026'!AE7))))</f>
        <v/>
      </c>
      <c r="K7" s="604">
        <f>IF(ISBLANK('ENGAGEMENTS 2026'!W7),"",'ENGAGEMENTS 2026'!W7)</f>
        <v/>
      </c>
      <c r="L7" s="276">
        <f>IF($K7="","",TODAY()-$K7)</f>
        <v/>
      </c>
      <c r="M7">
        <f>IF($A7="","",IF($H7="ENGAGE","Engagé",IF(AND($H7="NON ENGAGE",OR($I7="INFRUCTUEUX",$I7="ANNULE")),"Clôturé sans suite","En cours")))</f>
        <v/>
      </c>
      <c r="N7">
        <f>IF(ISBLANK('ENGAGEMENTS 2026'!C7),"",'ENGAGEMENTS 2026'!L7)</f>
        <v/>
      </c>
      <c r="O7">
        <f>IF(ISBLANK('ENGAGEMENTS 2026'!C7),"",'ENGAGEMENTS 2026'!M7)</f>
        <v/>
      </c>
      <c r="P7">
        <f>IF(ISBLANK('ENGAGEMENTS 2026'!C7),"",'ENGAGEMENTS 2026'!K7)</f>
        <v/>
      </c>
      <c r="Q7">
        <f>IF($A7="","",IF(OR($E7="INFRUCTUEUX",$E7="ANNULE"),$A7&amp;"|"&amp;(COUNTIFS($A$2:$A7,$A7,$E$2:$E7,"INFRUCTUEUX")+COUNTIFS($A$2:$A7,$A7,$E$2:$E7,"ANNULE")),""))</f>
        <v/>
      </c>
    </row>
    <row r="8">
      <c r="A8">
        <f>IF(ISBLANK('ENGAGEMENTS 2026'!C8),"",IF('ENGAGEMENTS 2026'!C8="DTSI","DCT",'ENGAGEMENTS 2026'!C8))</f>
        <v/>
      </c>
      <c r="B8">
        <f>IF(ISBLANK('ENGAGEMENTS 2026'!C8),"",'ENGAGEMENTS 2026'!D8)</f>
        <v/>
      </c>
      <c r="C8">
        <f>IF(ISBLANK('ENGAGEMENTS 2026'!C8),"",'ENGAGEMENTS 2026'!E8)</f>
        <v/>
      </c>
      <c r="D8">
        <f>IF(ISBLANK('ENGAGEMENTS 2026'!C8),"",'ENGAGEMENTS 2026'!G8)</f>
        <v/>
      </c>
      <c r="E8">
        <f>IF(ISBLANK('ENGAGEMENTS 2026'!C8),"",'ENGAGEMENTS 2026'!I8)</f>
        <v/>
      </c>
      <c r="F8">
        <f>IF(ISBLANK('ENGAGEMENTS 2026'!C8),"",'ENGAGEMENTS 2026'!J8)</f>
        <v/>
      </c>
      <c r="G8">
        <f>IF(ISBLANK('ENGAGEMENTS 2026'!C8),"",'ENGAGEMENTS 2026'!M8)</f>
        <v/>
      </c>
      <c r="H8">
        <f>IF(ISBLANK('ENGAGEMENTS 2026'!C8),"",'ENGAGEMENTS 2026'!AF8)</f>
        <v/>
      </c>
      <c r="I8">
        <f>IF(ISBLANK('ENGAGEMENTS 2026'!C8),"",'ENGAGEMENTS 2026'!H8)</f>
        <v/>
      </c>
      <c r="J8" s="275">
        <f>IF(ISBLANK('ENGAGEMENTS 2026'!C8),"",IF(AND(OR($E8="INFRUCTUEUX",$E8="ANNULE"),$C8="AOO-M"),'ENGAGEMENTS 2026'!P8,IF($H8="EN COURS DE PREENGAGEMENT",'ENGAGEMENTS 2026'!O8,IF($H8="PREENGAGE",IF($E8="ATTRIBUE",'ENGAGEMENTS 2026'!AE8,'ENGAGEMENTS 2026'!O8),'ENGAGEMENTS 2026'!AE8))))</f>
        <v/>
      </c>
      <c r="K8" s="604">
        <f>IF(ISBLANK('ENGAGEMENTS 2026'!W8),"",'ENGAGEMENTS 2026'!W8)</f>
        <v/>
      </c>
      <c r="L8" s="276">
        <f>IF($K8="","",TODAY()-$K8)</f>
        <v/>
      </c>
      <c r="M8">
        <f>IF($A8="","",IF($H8="ENGAGE","Engagé",IF(AND($H8="NON ENGAGE",OR($I8="INFRUCTUEUX",$I8="ANNULE")),"Clôturé sans suite","En cours")))</f>
        <v/>
      </c>
      <c r="N8">
        <f>IF(ISBLANK('ENGAGEMENTS 2026'!C8),"",'ENGAGEMENTS 2026'!L8)</f>
        <v/>
      </c>
      <c r="O8">
        <f>IF(ISBLANK('ENGAGEMENTS 2026'!C8),"",'ENGAGEMENTS 2026'!M8)</f>
        <v/>
      </c>
      <c r="P8">
        <f>IF(ISBLANK('ENGAGEMENTS 2026'!C8),"",'ENGAGEMENTS 2026'!K8)</f>
        <v/>
      </c>
      <c r="Q8">
        <f>IF($A8="","",IF(OR($E8="INFRUCTUEUX",$E8="ANNULE"),$A8&amp;"|"&amp;(COUNTIFS($A$2:$A8,$A8,$E$2:$E8,"INFRUCTUEUX")+COUNTIFS($A$2:$A8,$A8,$E$2:$E8,"ANNULE")),""))</f>
        <v/>
      </c>
    </row>
    <row r="9">
      <c r="A9">
        <f>IF(ISBLANK('ENGAGEMENTS 2026'!C9),"",IF('ENGAGEMENTS 2026'!C9="DTSI","DCT",'ENGAGEMENTS 2026'!C9))</f>
        <v/>
      </c>
      <c r="B9">
        <f>IF(ISBLANK('ENGAGEMENTS 2026'!C9),"",'ENGAGEMENTS 2026'!D9)</f>
        <v/>
      </c>
      <c r="C9">
        <f>IF(ISBLANK('ENGAGEMENTS 2026'!C9),"",'ENGAGEMENTS 2026'!E9)</f>
        <v/>
      </c>
      <c r="D9">
        <f>IF(ISBLANK('ENGAGEMENTS 2026'!C9),"",'ENGAGEMENTS 2026'!G9)</f>
        <v/>
      </c>
      <c r="E9">
        <f>IF(ISBLANK('ENGAGEMENTS 2026'!C9),"",'ENGAGEMENTS 2026'!I9)</f>
        <v/>
      </c>
      <c r="F9">
        <f>IF(ISBLANK('ENGAGEMENTS 2026'!C9),"",'ENGAGEMENTS 2026'!J9)</f>
        <v/>
      </c>
      <c r="G9">
        <f>IF(ISBLANK('ENGAGEMENTS 2026'!C9),"",'ENGAGEMENTS 2026'!M9)</f>
        <v/>
      </c>
      <c r="H9">
        <f>IF(ISBLANK('ENGAGEMENTS 2026'!C9),"",'ENGAGEMENTS 2026'!AF9)</f>
        <v/>
      </c>
      <c r="I9">
        <f>IF(ISBLANK('ENGAGEMENTS 2026'!C9),"",'ENGAGEMENTS 2026'!H9)</f>
        <v/>
      </c>
      <c r="J9" s="275">
        <f>IF(ISBLANK('ENGAGEMENTS 2026'!C9),"",IF(AND(OR($E9="INFRUCTUEUX",$E9="ANNULE"),$C9="AOO-M"),'ENGAGEMENTS 2026'!P9,IF($H9="EN COURS DE PREENGAGEMENT",'ENGAGEMENTS 2026'!O9,IF($H9="PREENGAGE",IF($E9="ATTRIBUE",'ENGAGEMENTS 2026'!AE9,'ENGAGEMENTS 2026'!O9),'ENGAGEMENTS 2026'!AE9))))</f>
        <v/>
      </c>
      <c r="K9" s="604">
        <f>IF(ISBLANK('ENGAGEMENTS 2026'!W9),"",'ENGAGEMENTS 2026'!W9)</f>
        <v/>
      </c>
      <c r="L9" s="276">
        <f>IF($K9="","",TODAY()-$K9)</f>
        <v/>
      </c>
      <c r="M9">
        <f>IF($A9="","",IF($H9="ENGAGE","Engagé",IF(AND($H9="NON ENGAGE",OR($I9="INFRUCTUEUX",$I9="ANNULE")),"Clôturé sans suite","En cours")))</f>
        <v/>
      </c>
      <c r="N9">
        <f>IF(ISBLANK('ENGAGEMENTS 2026'!C9),"",'ENGAGEMENTS 2026'!L9)</f>
        <v/>
      </c>
      <c r="O9">
        <f>IF(ISBLANK('ENGAGEMENTS 2026'!C9),"",'ENGAGEMENTS 2026'!M9)</f>
        <v/>
      </c>
      <c r="P9">
        <f>IF(ISBLANK('ENGAGEMENTS 2026'!C9),"",'ENGAGEMENTS 2026'!K9)</f>
        <v/>
      </c>
      <c r="Q9">
        <f>IF($A9="","",IF(OR($E9="INFRUCTUEUX",$E9="ANNULE"),$A9&amp;"|"&amp;(COUNTIFS($A$2:$A9,$A9,$E$2:$E9,"INFRUCTUEUX")+COUNTIFS($A$2:$A9,$A9,$E$2:$E9,"ANNULE")),""))</f>
        <v/>
      </c>
    </row>
    <row r="10">
      <c r="A10">
        <f>IF(ISBLANK('ENGAGEMENTS 2026'!C10),"",IF('ENGAGEMENTS 2026'!C10="DTSI","DCT",'ENGAGEMENTS 2026'!C10))</f>
        <v/>
      </c>
      <c r="B10">
        <f>IF(ISBLANK('ENGAGEMENTS 2026'!C10),"",'ENGAGEMENTS 2026'!D10)</f>
        <v/>
      </c>
      <c r="C10">
        <f>IF(ISBLANK('ENGAGEMENTS 2026'!C10),"",'ENGAGEMENTS 2026'!E10)</f>
        <v/>
      </c>
      <c r="D10">
        <f>IF(ISBLANK('ENGAGEMENTS 2026'!C10),"",'ENGAGEMENTS 2026'!G10)</f>
        <v/>
      </c>
      <c r="E10">
        <f>IF(ISBLANK('ENGAGEMENTS 2026'!C10),"",'ENGAGEMENTS 2026'!I10)</f>
        <v/>
      </c>
      <c r="F10">
        <f>IF(ISBLANK('ENGAGEMENTS 2026'!C10),"",'ENGAGEMENTS 2026'!J10)</f>
        <v/>
      </c>
      <c r="G10">
        <f>IF(ISBLANK('ENGAGEMENTS 2026'!C10),"",'ENGAGEMENTS 2026'!M10)</f>
        <v/>
      </c>
      <c r="H10">
        <f>IF(ISBLANK('ENGAGEMENTS 2026'!C10),"",'ENGAGEMENTS 2026'!AF10)</f>
        <v/>
      </c>
      <c r="I10">
        <f>IF(ISBLANK('ENGAGEMENTS 2026'!C10),"",'ENGAGEMENTS 2026'!H10)</f>
        <v/>
      </c>
      <c r="J10" s="275">
        <f>IF(ISBLANK('ENGAGEMENTS 2026'!C10),"",IF(AND(OR($E10="INFRUCTUEUX",$E10="ANNULE"),$C10="AOO-M"),'ENGAGEMENTS 2026'!P10,IF($H10="EN COURS DE PREENGAGEMENT",'ENGAGEMENTS 2026'!O10,IF($H10="PREENGAGE",IF($E10="ATTRIBUE",'ENGAGEMENTS 2026'!AE10,'ENGAGEMENTS 2026'!O10),'ENGAGEMENTS 2026'!AE10))))</f>
        <v/>
      </c>
      <c r="K10" s="604">
        <f>IF(ISBLANK('ENGAGEMENTS 2026'!W10),"",'ENGAGEMENTS 2026'!W10)</f>
        <v/>
      </c>
      <c r="L10" s="276">
        <f>IF($K10="","",TODAY()-$K10)</f>
        <v/>
      </c>
      <c r="M10">
        <f>IF($A10="","",IF($H10="ENGAGE","Engagé",IF(AND($H10="NON ENGAGE",OR($I10="INFRUCTUEUX",$I10="ANNULE")),"Clôturé sans suite","En cours")))</f>
        <v/>
      </c>
      <c r="N10">
        <f>IF(ISBLANK('ENGAGEMENTS 2026'!C10),"",'ENGAGEMENTS 2026'!L10)</f>
        <v/>
      </c>
      <c r="O10">
        <f>IF(ISBLANK('ENGAGEMENTS 2026'!C10),"",'ENGAGEMENTS 2026'!M10)</f>
        <v/>
      </c>
      <c r="P10">
        <f>IF(ISBLANK('ENGAGEMENTS 2026'!C10),"",'ENGAGEMENTS 2026'!K10)</f>
        <v/>
      </c>
      <c r="Q10">
        <f>IF($A10="","",IF(OR($E10="INFRUCTUEUX",$E10="ANNULE"),$A10&amp;"|"&amp;(COUNTIFS($A$2:$A10,$A10,$E$2:$E10,"INFRUCTUEUX")+COUNTIFS($A$2:$A10,$A10,$E$2:$E10,"ANNULE")),""))</f>
        <v/>
      </c>
    </row>
    <row r="11">
      <c r="A11">
        <f>IF(ISBLANK('ENGAGEMENTS 2026'!C11),"",IF('ENGAGEMENTS 2026'!C11="DTSI","DCT",'ENGAGEMENTS 2026'!C11))</f>
        <v/>
      </c>
      <c r="B11">
        <f>IF(ISBLANK('ENGAGEMENTS 2026'!C11),"",'ENGAGEMENTS 2026'!D11)</f>
        <v/>
      </c>
      <c r="C11">
        <f>IF(ISBLANK('ENGAGEMENTS 2026'!C11),"",'ENGAGEMENTS 2026'!E11)</f>
        <v/>
      </c>
      <c r="D11">
        <f>IF(ISBLANK('ENGAGEMENTS 2026'!C11),"",'ENGAGEMENTS 2026'!G11)</f>
        <v/>
      </c>
      <c r="E11">
        <f>IF(ISBLANK('ENGAGEMENTS 2026'!C11),"",'ENGAGEMENTS 2026'!I11)</f>
        <v/>
      </c>
      <c r="F11">
        <f>IF(ISBLANK('ENGAGEMENTS 2026'!C11),"",'ENGAGEMENTS 2026'!J11)</f>
        <v/>
      </c>
      <c r="G11">
        <f>IF(ISBLANK('ENGAGEMENTS 2026'!C11),"",'ENGAGEMENTS 2026'!M11)</f>
        <v/>
      </c>
      <c r="H11">
        <f>IF(ISBLANK('ENGAGEMENTS 2026'!C11),"",'ENGAGEMENTS 2026'!AF11)</f>
        <v/>
      </c>
      <c r="I11">
        <f>IF(ISBLANK('ENGAGEMENTS 2026'!C11),"",'ENGAGEMENTS 2026'!H11)</f>
        <v/>
      </c>
      <c r="J11" s="275">
        <f>IF(ISBLANK('ENGAGEMENTS 2026'!C11),"",IF(AND(OR($E11="INFRUCTUEUX",$E11="ANNULE"),$C11="AOO-M"),'ENGAGEMENTS 2026'!P11,IF($H11="EN COURS DE PREENGAGEMENT",'ENGAGEMENTS 2026'!O11,IF($H11="PREENGAGE",IF($E11="ATTRIBUE",'ENGAGEMENTS 2026'!AE11,'ENGAGEMENTS 2026'!O11),'ENGAGEMENTS 2026'!AE11))))</f>
        <v/>
      </c>
      <c r="K11" s="604">
        <f>IF(ISBLANK('ENGAGEMENTS 2026'!W11),"",'ENGAGEMENTS 2026'!W11)</f>
        <v/>
      </c>
      <c r="L11" s="276">
        <f>IF($K11="","",TODAY()-$K11)</f>
        <v/>
      </c>
      <c r="M11">
        <f>IF($A11="","",IF($H11="ENGAGE","Engagé",IF(AND($H11="NON ENGAGE",OR($I11="INFRUCTUEUX",$I11="ANNULE")),"Clôturé sans suite","En cours")))</f>
        <v/>
      </c>
      <c r="N11">
        <f>IF(ISBLANK('ENGAGEMENTS 2026'!C11),"",'ENGAGEMENTS 2026'!L11)</f>
        <v/>
      </c>
      <c r="O11">
        <f>IF(ISBLANK('ENGAGEMENTS 2026'!C11),"",'ENGAGEMENTS 2026'!M11)</f>
        <v/>
      </c>
      <c r="P11">
        <f>IF(ISBLANK('ENGAGEMENTS 2026'!C11),"",'ENGAGEMENTS 2026'!K11)</f>
        <v/>
      </c>
      <c r="Q11">
        <f>IF($A11="","",IF(OR($E11="INFRUCTUEUX",$E11="ANNULE"),$A11&amp;"|"&amp;(COUNTIFS($A$2:$A11,$A11,$E$2:$E11,"INFRUCTUEUX")+COUNTIFS($A$2:$A11,$A11,$E$2:$E11,"ANNULE")),""))</f>
        <v/>
      </c>
    </row>
    <row r="12">
      <c r="A12">
        <f>IF(ISBLANK('ENGAGEMENTS 2026'!C12),"",IF('ENGAGEMENTS 2026'!C12="DTSI","DCT",'ENGAGEMENTS 2026'!C12))</f>
        <v/>
      </c>
      <c r="B12">
        <f>IF(ISBLANK('ENGAGEMENTS 2026'!C12),"",'ENGAGEMENTS 2026'!D12)</f>
        <v/>
      </c>
      <c r="C12">
        <f>IF(ISBLANK('ENGAGEMENTS 2026'!C12),"",'ENGAGEMENTS 2026'!E12)</f>
        <v/>
      </c>
      <c r="D12">
        <f>IF(ISBLANK('ENGAGEMENTS 2026'!C12),"",'ENGAGEMENTS 2026'!G12)</f>
        <v/>
      </c>
      <c r="E12">
        <f>IF(ISBLANK('ENGAGEMENTS 2026'!C12),"",'ENGAGEMENTS 2026'!I12)</f>
        <v/>
      </c>
      <c r="F12">
        <f>IF(ISBLANK('ENGAGEMENTS 2026'!C12),"",'ENGAGEMENTS 2026'!J12)</f>
        <v/>
      </c>
      <c r="G12">
        <f>IF(ISBLANK('ENGAGEMENTS 2026'!C12),"",'ENGAGEMENTS 2026'!M12)</f>
        <v/>
      </c>
      <c r="H12">
        <f>IF(ISBLANK('ENGAGEMENTS 2026'!C12),"",'ENGAGEMENTS 2026'!AF12)</f>
        <v/>
      </c>
      <c r="I12">
        <f>IF(ISBLANK('ENGAGEMENTS 2026'!C12),"",'ENGAGEMENTS 2026'!H12)</f>
        <v/>
      </c>
      <c r="J12" s="275">
        <f>IF(ISBLANK('ENGAGEMENTS 2026'!C12),"",IF(AND(OR($E12="INFRUCTUEUX",$E12="ANNULE"),$C12="AOO-M"),'ENGAGEMENTS 2026'!P12,IF($H12="EN COURS DE PREENGAGEMENT",'ENGAGEMENTS 2026'!O12,IF($H12="PREENGAGE",IF($E12="ATTRIBUE",'ENGAGEMENTS 2026'!AE12,'ENGAGEMENTS 2026'!O12),'ENGAGEMENTS 2026'!AE12))))</f>
        <v/>
      </c>
      <c r="K12" s="604">
        <f>IF(ISBLANK('ENGAGEMENTS 2026'!W12),"",'ENGAGEMENTS 2026'!W12)</f>
        <v/>
      </c>
      <c r="L12" s="276">
        <f>IF($K12="","",TODAY()-$K12)</f>
        <v/>
      </c>
      <c r="M12">
        <f>IF($A12="","",IF($H12="ENGAGE","Engagé",IF(AND($H12="NON ENGAGE",OR($I12="INFRUCTUEUX",$I12="ANNULE")),"Clôturé sans suite","En cours")))</f>
        <v/>
      </c>
      <c r="N12">
        <f>IF(ISBLANK('ENGAGEMENTS 2026'!C12),"",'ENGAGEMENTS 2026'!L12)</f>
        <v/>
      </c>
      <c r="O12">
        <f>IF(ISBLANK('ENGAGEMENTS 2026'!C12),"",'ENGAGEMENTS 2026'!M12)</f>
        <v/>
      </c>
      <c r="P12">
        <f>IF(ISBLANK('ENGAGEMENTS 2026'!C12),"",'ENGAGEMENTS 2026'!K12)</f>
        <v/>
      </c>
      <c r="Q12">
        <f>IF($A12="","",IF(OR($E12="INFRUCTUEUX",$E12="ANNULE"),$A12&amp;"|"&amp;(COUNTIFS($A$2:$A12,$A12,$E$2:$E12,"INFRUCTUEUX")+COUNTIFS($A$2:$A12,$A12,$E$2:$E12,"ANNULE")),""))</f>
        <v/>
      </c>
    </row>
    <row r="13">
      <c r="A13">
        <f>IF(ISBLANK('ENGAGEMENTS 2026'!C13),"",IF('ENGAGEMENTS 2026'!C13="DTSI","DCT",'ENGAGEMENTS 2026'!C13))</f>
        <v/>
      </c>
      <c r="B13">
        <f>IF(ISBLANK('ENGAGEMENTS 2026'!C13),"",'ENGAGEMENTS 2026'!D13)</f>
        <v/>
      </c>
      <c r="C13">
        <f>IF(ISBLANK('ENGAGEMENTS 2026'!C13),"",'ENGAGEMENTS 2026'!E13)</f>
        <v/>
      </c>
      <c r="D13">
        <f>IF(ISBLANK('ENGAGEMENTS 2026'!C13),"",'ENGAGEMENTS 2026'!G13)</f>
        <v/>
      </c>
      <c r="E13">
        <f>IF(ISBLANK('ENGAGEMENTS 2026'!C13),"",'ENGAGEMENTS 2026'!I13)</f>
        <v/>
      </c>
      <c r="F13">
        <f>IF(ISBLANK('ENGAGEMENTS 2026'!C13),"",'ENGAGEMENTS 2026'!J13)</f>
        <v/>
      </c>
      <c r="G13">
        <f>IF(ISBLANK('ENGAGEMENTS 2026'!C13),"",'ENGAGEMENTS 2026'!M13)</f>
        <v/>
      </c>
      <c r="H13">
        <f>IF(ISBLANK('ENGAGEMENTS 2026'!C13),"",'ENGAGEMENTS 2026'!AF13)</f>
        <v/>
      </c>
      <c r="I13">
        <f>IF(ISBLANK('ENGAGEMENTS 2026'!C13),"",'ENGAGEMENTS 2026'!H13)</f>
        <v/>
      </c>
      <c r="J13" s="275">
        <f>IF(ISBLANK('ENGAGEMENTS 2026'!C13),"",IF(AND(OR($E13="INFRUCTUEUX",$E13="ANNULE"),$C13="AOO-M"),'ENGAGEMENTS 2026'!P13,IF($H13="EN COURS DE PREENGAGEMENT",'ENGAGEMENTS 2026'!O13,IF($H13="PREENGAGE",IF($E13="ATTRIBUE",'ENGAGEMENTS 2026'!AE13,'ENGAGEMENTS 2026'!O13),'ENGAGEMENTS 2026'!AE13))))</f>
        <v/>
      </c>
      <c r="K13" s="604">
        <f>IF(ISBLANK('ENGAGEMENTS 2026'!W13),"",'ENGAGEMENTS 2026'!W13)</f>
        <v/>
      </c>
      <c r="L13" s="276">
        <f>IF($K13="","",TODAY()-$K13)</f>
        <v/>
      </c>
      <c r="M13">
        <f>IF($A13="","",IF($H13="ENGAGE","Engagé",IF(AND($H13="NON ENGAGE",OR($I13="INFRUCTUEUX",$I13="ANNULE")),"Clôturé sans suite","En cours")))</f>
        <v/>
      </c>
      <c r="N13">
        <f>IF(ISBLANK('ENGAGEMENTS 2026'!C13),"",'ENGAGEMENTS 2026'!L13)</f>
        <v/>
      </c>
      <c r="O13">
        <f>IF(ISBLANK('ENGAGEMENTS 2026'!C13),"",'ENGAGEMENTS 2026'!M13)</f>
        <v/>
      </c>
      <c r="P13">
        <f>IF(ISBLANK('ENGAGEMENTS 2026'!C13),"",'ENGAGEMENTS 2026'!K13)</f>
        <v/>
      </c>
      <c r="Q13">
        <f>IF($A13="","",IF(OR($E13="INFRUCTUEUX",$E13="ANNULE"),$A13&amp;"|"&amp;(COUNTIFS($A$2:$A13,$A13,$E$2:$E13,"INFRUCTUEUX")+COUNTIFS($A$2:$A13,$A13,$E$2:$E13,"ANNULE")),""))</f>
        <v/>
      </c>
    </row>
    <row r="14">
      <c r="A14">
        <f>IF(ISBLANK('ENGAGEMENTS 2026'!C14),"",IF('ENGAGEMENTS 2026'!C14="DTSI","DCT",'ENGAGEMENTS 2026'!C14))</f>
        <v/>
      </c>
      <c r="B14">
        <f>IF(ISBLANK('ENGAGEMENTS 2026'!C14),"",'ENGAGEMENTS 2026'!D14)</f>
        <v/>
      </c>
      <c r="C14">
        <f>IF(ISBLANK('ENGAGEMENTS 2026'!C14),"",'ENGAGEMENTS 2026'!E14)</f>
        <v/>
      </c>
      <c r="D14">
        <f>IF(ISBLANK('ENGAGEMENTS 2026'!C14),"",'ENGAGEMENTS 2026'!G14)</f>
        <v/>
      </c>
      <c r="E14">
        <f>IF(ISBLANK('ENGAGEMENTS 2026'!C14),"",'ENGAGEMENTS 2026'!I14)</f>
        <v/>
      </c>
      <c r="F14">
        <f>IF(ISBLANK('ENGAGEMENTS 2026'!C14),"",'ENGAGEMENTS 2026'!J14)</f>
        <v/>
      </c>
      <c r="G14">
        <f>IF(ISBLANK('ENGAGEMENTS 2026'!C14),"",'ENGAGEMENTS 2026'!M14)</f>
        <v/>
      </c>
      <c r="H14">
        <f>IF(ISBLANK('ENGAGEMENTS 2026'!C14),"",'ENGAGEMENTS 2026'!AF14)</f>
        <v/>
      </c>
      <c r="I14">
        <f>IF(ISBLANK('ENGAGEMENTS 2026'!C14),"",'ENGAGEMENTS 2026'!H14)</f>
        <v/>
      </c>
      <c r="J14" s="275">
        <f>IF(ISBLANK('ENGAGEMENTS 2026'!C14),"",IF(AND(OR($E14="INFRUCTUEUX",$E14="ANNULE"),$C14="AOO-M"),'ENGAGEMENTS 2026'!P14,IF($H14="EN COURS DE PREENGAGEMENT",'ENGAGEMENTS 2026'!O14,IF($H14="PREENGAGE",IF($E14="ATTRIBUE",'ENGAGEMENTS 2026'!AE14,'ENGAGEMENTS 2026'!O14),'ENGAGEMENTS 2026'!AE14))))</f>
        <v/>
      </c>
      <c r="K14" s="604">
        <f>IF(ISBLANK('ENGAGEMENTS 2026'!W14),"",'ENGAGEMENTS 2026'!W14)</f>
        <v/>
      </c>
      <c r="L14" s="276">
        <f>IF($K14="","",TODAY()-$K14)</f>
        <v/>
      </c>
      <c r="M14">
        <f>IF($A14="","",IF($H14="ENGAGE","Engagé",IF(AND($H14="NON ENGAGE",OR($I14="INFRUCTUEUX",$I14="ANNULE")),"Clôturé sans suite","En cours")))</f>
        <v/>
      </c>
      <c r="N14">
        <f>IF(ISBLANK('ENGAGEMENTS 2026'!C14),"",'ENGAGEMENTS 2026'!L14)</f>
        <v/>
      </c>
      <c r="O14">
        <f>IF(ISBLANK('ENGAGEMENTS 2026'!C14),"",'ENGAGEMENTS 2026'!M14)</f>
        <v/>
      </c>
      <c r="P14">
        <f>IF(ISBLANK('ENGAGEMENTS 2026'!C14),"",'ENGAGEMENTS 2026'!K14)</f>
        <v/>
      </c>
      <c r="Q14">
        <f>IF($A14="","",IF(OR($E14="INFRUCTUEUX",$E14="ANNULE"),$A14&amp;"|"&amp;(COUNTIFS($A$2:$A14,$A14,$E$2:$E14,"INFRUCTUEUX")+COUNTIFS($A$2:$A14,$A14,$E$2:$E14,"ANNULE")),""))</f>
        <v/>
      </c>
    </row>
    <row r="15">
      <c r="A15">
        <f>IF(ISBLANK('ENGAGEMENTS 2026'!C15),"",IF('ENGAGEMENTS 2026'!C15="DTSI","DCT",'ENGAGEMENTS 2026'!C15))</f>
        <v/>
      </c>
      <c r="B15">
        <f>IF(ISBLANK('ENGAGEMENTS 2026'!C15),"",'ENGAGEMENTS 2026'!D15)</f>
        <v/>
      </c>
      <c r="C15">
        <f>IF(ISBLANK('ENGAGEMENTS 2026'!C15),"",'ENGAGEMENTS 2026'!E15)</f>
        <v/>
      </c>
      <c r="D15">
        <f>IF(ISBLANK('ENGAGEMENTS 2026'!C15),"",'ENGAGEMENTS 2026'!G15)</f>
        <v/>
      </c>
      <c r="E15">
        <f>IF(ISBLANK('ENGAGEMENTS 2026'!C15),"",'ENGAGEMENTS 2026'!I15)</f>
        <v/>
      </c>
      <c r="F15">
        <f>IF(ISBLANK('ENGAGEMENTS 2026'!C15),"",'ENGAGEMENTS 2026'!J15)</f>
        <v/>
      </c>
      <c r="G15">
        <f>IF(ISBLANK('ENGAGEMENTS 2026'!C15),"",'ENGAGEMENTS 2026'!M15)</f>
        <v/>
      </c>
      <c r="H15">
        <f>IF(ISBLANK('ENGAGEMENTS 2026'!C15),"",'ENGAGEMENTS 2026'!AF15)</f>
        <v/>
      </c>
      <c r="I15">
        <f>IF(ISBLANK('ENGAGEMENTS 2026'!C15),"",'ENGAGEMENTS 2026'!H15)</f>
        <v/>
      </c>
      <c r="J15" s="275">
        <f>IF(ISBLANK('ENGAGEMENTS 2026'!C15),"",IF(AND(OR($E15="INFRUCTUEUX",$E15="ANNULE"),$C15="AOO-M"),'ENGAGEMENTS 2026'!P15,IF($H15="EN COURS DE PREENGAGEMENT",'ENGAGEMENTS 2026'!O15,IF($H15="PREENGAGE",IF($E15="ATTRIBUE",'ENGAGEMENTS 2026'!AE15,'ENGAGEMENTS 2026'!O15),'ENGAGEMENTS 2026'!AE15))))</f>
        <v/>
      </c>
      <c r="K15" s="604">
        <f>IF(ISBLANK('ENGAGEMENTS 2026'!W15),"",'ENGAGEMENTS 2026'!W15)</f>
        <v/>
      </c>
      <c r="L15" s="276">
        <f>IF($K15="","",TODAY()-$K15)</f>
        <v/>
      </c>
      <c r="M15">
        <f>IF($A15="","",IF($H15="ENGAGE","Engagé",IF(AND($H15="NON ENGAGE",OR($I15="INFRUCTUEUX",$I15="ANNULE")),"Clôturé sans suite","En cours")))</f>
        <v/>
      </c>
      <c r="N15">
        <f>IF(ISBLANK('ENGAGEMENTS 2026'!C15),"",'ENGAGEMENTS 2026'!L15)</f>
        <v/>
      </c>
      <c r="O15">
        <f>IF(ISBLANK('ENGAGEMENTS 2026'!C15),"",'ENGAGEMENTS 2026'!M15)</f>
        <v/>
      </c>
      <c r="P15">
        <f>IF(ISBLANK('ENGAGEMENTS 2026'!C15),"",'ENGAGEMENTS 2026'!K15)</f>
        <v/>
      </c>
      <c r="Q15">
        <f>IF($A15="","",IF(OR($E15="INFRUCTUEUX",$E15="ANNULE"),$A15&amp;"|"&amp;(COUNTIFS($A$2:$A15,$A15,$E$2:$E15,"INFRUCTUEUX")+COUNTIFS($A$2:$A15,$A15,$E$2:$E15,"ANNULE")),""))</f>
        <v/>
      </c>
    </row>
    <row r="16">
      <c r="A16">
        <f>IF(ISBLANK('ENGAGEMENTS 2026'!C16),"",IF('ENGAGEMENTS 2026'!C16="DTSI","DCT",'ENGAGEMENTS 2026'!C16))</f>
        <v/>
      </c>
      <c r="B16">
        <f>IF(ISBLANK('ENGAGEMENTS 2026'!C16),"",'ENGAGEMENTS 2026'!D16)</f>
        <v/>
      </c>
      <c r="C16">
        <f>IF(ISBLANK('ENGAGEMENTS 2026'!C16),"",'ENGAGEMENTS 2026'!E16)</f>
        <v/>
      </c>
      <c r="D16">
        <f>IF(ISBLANK('ENGAGEMENTS 2026'!C16),"",'ENGAGEMENTS 2026'!G16)</f>
        <v/>
      </c>
      <c r="E16">
        <f>IF(ISBLANK('ENGAGEMENTS 2026'!C16),"",'ENGAGEMENTS 2026'!I16)</f>
        <v/>
      </c>
      <c r="F16">
        <f>IF(ISBLANK('ENGAGEMENTS 2026'!C16),"",'ENGAGEMENTS 2026'!J16)</f>
        <v/>
      </c>
      <c r="G16">
        <f>IF(ISBLANK('ENGAGEMENTS 2026'!C16),"",'ENGAGEMENTS 2026'!M16)</f>
        <v/>
      </c>
      <c r="H16">
        <f>IF(ISBLANK('ENGAGEMENTS 2026'!C16),"",'ENGAGEMENTS 2026'!AF16)</f>
        <v/>
      </c>
      <c r="I16">
        <f>IF(ISBLANK('ENGAGEMENTS 2026'!C16),"",'ENGAGEMENTS 2026'!H16)</f>
        <v/>
      </c>
      <c r="J16" s="275">
        <f>IF(ISBLANK('ENGAGEMENTS 2026'!C16),"",IF(AND(OR($E16="INFRUCTUEUX",$E16="ANNULE"),$C16="AOO-M"),'ENGAGEMENTS 2026'!P16,IF($H16="EN COURS DE PREENGAGEMENT",'ENGAGEMENTS 2026'!O16,IF($H16="PREENGAGE",IF($E16="ATTRIBUE",'ENGAGEMENTS 2026'!AE16,'ENGAGEMENTS 2026'!O16),'ENGAGEMENTS 2026'!AE16))))</f>
        <v/>
      </c>
      <c r="K16" s="604">
        <f>IF(ISBLANK('ENGAGEMENTS 2026'!W16),"",'ENGAGEMENTS 2026'!W16)</f>
        <v/>
      </c>
      <c r="L16" s="276">
        <f>IF($K16="","",TODAY()-$K16)</f>
        <v/>
      </c>
      <c r="M16">
        <f>IF($A16="","",IF($H16="ENGAGE","Engagé",IF(AND($H16="NON ENGAGE",OR($I16="INFRUCTUEUX",$I16="ANNULE")),"Clôturé sans suite","En cours")))</f>
        <v/>
      </c>
      <c r="N16">
        <f>IF(ISBLANK('ENGAGEMENTS 2026'!C16),"",'ENGAGEMENTS 2026'!L16)</f>
        <v/>
      </c>
      <c r="O16">
        <f>IF(ISBLANK('ENGAGEMENTS 2026'!C16),"",'ENGAGEMENTS 2026'!M16)</f>
        <v/>
      </c>
      <c r="P16">
        <f>IF(ISBLANK('ENGAGEMENTS 2026'!C16),"",'ENGAGEMENTS 2026'!K16)</f>
        <v/>
      </c>
      <c r="Q16">
        <f>IF($A16="","",IF(OR($E16="INFRUCTUEUX",$E16="ANNULE"),$A16&amp;"|"&amp;(COUNTIFS($A$2:$A16,$A16,$E$2:$E16,"INFRUCTUEUX")+COUNTIFS($A$2:$A16,$A16,$E$2:$E16,"ANNULE")),""))</f>
        <v/>
      </c>
    </row>
    <row r="17">
      <c r="A17">
        <f>IF(ISBLANK('ENGAGEMENTS 2026'!C17),"",IF('ENGAGEMENTS 2026'!C17="DTSI","DCT",'ENGAGEMENTS 2026'!C17))</f>
        <v/>
      </c>
      <c r="B17">
        <f>IF(ISBLANK('ENGAGEMENTS 2026'!C17),"",'ENGAGEMENTS 2026'!D17)</f>
        <v/>
      </c>
      <c r="C17">
        <f>IF(ISBLANK('ENGAGEMENTS 2026'!C17),"",'ENGAGEMENTS 2026'!E17)</f>
        <v/>
      </c>
      <c r="D17">
        <f>IF(ISBLANK('ENGAGEMENTS 2026'!C17),"",'ENGAGEMENTS 2026'!G17)</f>
        <v/>
      </c>
      <c r="E17">
        <f>IF(ISBLANK('ENGAGEMENTS 2026'!C17),"",'ENGAGEMENTS 2026'!I17)</f>
        <v/>
      </c>
      <c r="F17">
        <f>IF(ISBLANK('ENGAGEMENTS 2026'!C17),"",'ENGAGEMENTS 2026'!J17)</f>
        <v/>
      </c>
      <c r="G17">
        <f>IF(ISBLANK('ENGAGEMENTS 2026'!C17),"",'ENGAGEMENTS 2026'!M17)</f>
        <v/>
      </c>
      <c r="H17">
        <f>IF(ISBLANK('ENGAGEMENTS 2026'!C17),"",'ENGAGEMENTS 2026'!AF17)</f>
        <v/>
      </c>
      <c r="I17">
        <f>IF(ISBLANK('ENGAGEMENTS 2026'!C17),"",'ENGAGEMENTS 2026'!H17)</f>
        <v/>
      </c>
      <c r="J17" s="275">
        <f>IF(ISBLANK('ENGAGEMENTS 2026'!C17),"",IF(AND(OR($E17="INFRUCTUEUX",$E17="ANNULE"),$C17="AOO-M"),'ENGAGEMENTS 2026'!P17,IF($H17="EN COURS DE PREENGAGEMENT",'ENGAGEMENTS 2026'!O17,IF($H17="PREENGAGE",IF($E17="ATTRIBUE",'ENGAGEMENTS 2026'!AE17,'ENGAGEMENTS 2026'!O17),'ENGAGEMENTS 2026'!AE17))))</f>
        <v/>
      </c>
      <c r="K17" s="604">
        <f>IF(ISBLANK('ENGAGEMENTS 2026'!W17),"",'ENGAGEMENTS 2026'!W17)</f>
        <v/>
      </c>
      <c r="L17" s="276">
        <f>IF($K17="","",TODAY()-$K17)</f>
        <v/>
      </c>
      <c r="M17">
        <f>IF($A17="","",IF($H17="ENGAGE","Engagé",IF(AND($H17="NON ENGAGE",OR($I17="INFRUCTUEUX",$I17="ANNULE")),"Clôturé sans suite","En cours")))</f>
        <v/>
      </c>
      <c r="N17">
        <f>IF(ISBLANK('ENGAGEMENTS 2026'!C17),"",'ENGAGEMENTS 2026'!L17)</f>
        <v/>
      </c>
      <c r="O17">
        <f>IF(ISBLANK('ENGAGEMENTS 2026'!C17),"",'ENGAGEMENTS 2026'!M17)</f>
        <v/>
      </c>
      <c r="P17">
        <f>IF(ISBLANK('ENGAGEMENTS 2026'!C17),"",'ENGAGEMENTS 2026'!K17)</f>
        <v/>
      </c>
      <c r="Q17">
        <f>IF($A17="","",IF(OR($E17="INFRUCTUEUX",$E17="ANNULE"),$A17&amp;"|"&amp;(COUNTIFS($A$2:$A17,$A17,$E$2:$E17,"INFRUCTUEUX")+COUNTIFS($A$2:$A17,$A17,$E$2:$E17,"ANNULE")),""))</f>
        <v/>
      </c>
    </row>
    <row r="18">
      <c r="A18">
        <f>IF(ISBLANK('ENGAGEMENTS 2026'!C18),"",IF('ENGAGEMENTS 2026'!C18="DTSI","DCT",'ENGAGEMENTS 2026'!C18))</f>
        <v/>
      </c>
      <c r="B18">
        <f>IF(ISBLANK('ENGAGEMENTS 2026'!C18),"",'ENGAGEMENTS 2026'!D18)</f>
        <v/>
      </c>
      <c r="C18">
        <f>IF(ISBLANK('ENGAGEMENTS 2026'!C18),"",'ENGAGEMENTS 2026'!E18)</f>
        <v/>
      </c>
      <c r="D18">
        <f>IF(ISBLANK('ENGAGEMENTS 2026'!C18),"",'ENGAGEMENTS 2026'!G18)</f>
        <v/>
      </c>
      <c r="E18">
        <f>IF(ISBLANK('ENGAGEMENTS 2026'!C18),"",'ENGAGEMENTS 2026'!I18)</f>
        <v/>
      </c>
      <c r="F18">
        <f>IF(ISBLANK('ENGAGEMENTS 2026'!C18),"",'ENGAGEMENTS 2026'!J18)</f>
        <v/>
      </c>
      <c r="G18">
        <f>IF(ISBLANK('ENGAGEMENTS 2026'!C18),"",'ENGAGEMENTS 2026'!M18)</f>
        <v/>
      </c>
      <c r="H18">
        <f>IF(ISBLANK('ENGAGEMENTS 2026'!C18),"",'ENGAGEMENTS 2026'!AF18)</f>
        <v/>
      </c>
      <c r="I18">
        <f>IF(ISBLANK('ENGAGEMENTS 2026'!C18),"",'ENGAGEMENTS 2026'!H18)</f>
        <v/>
      </c>
      <c r="J18" s="275">
        <f>IF(ISBLANK('ENGAGEMENTS 2026'!C18),"",IF(AND(OR($E18="INFRUCTUEUX",$E18="ANNULE"),$C18="AOO-M"),'ENGAGEMENTS 2026'!P18,IF($H18="EN COURS DE PREENGAGEMENT",'ENGAGEMENTS 2026'!O18,IF($H18="PREENGAGE",IF($E18="ATTRIBUE",'ENGAGEMENTS 2026'!AE18,'ENGAGEMENTS 2026'!O18),'ENGAGEMENTS 2026'!AE18))))</f>
        <v/>
      </c>
      <c r="K18" s="604">
        <f>IF(ISBLANK('ENGAGEMENTS 2026'!W18),"",'ENGAGEMENTS 2026'!W18)</f>
        <v/>
      </c>
      <c r="L18" s="276">
        <f>IF($K18="","",TODAY()-$K18)</f>
        <v/>
      </c>
      <c r="M18">
        <f>IF($A18="","",IF($H18="ENGAGE","Engagé",IF(AND($H18="NON ENGAGE",OR($I18="INFRUCTUEUX",$I18="ANNULE")),"Clôturé sans suite","En cours")))</f>
        <v/>
      </c>
      <c r="N18">
        <f>IF(ISBLANK('ENGAGEMENTS 2026'!C18),"",'ENGAGEMENTS 2026'!L18)</f>
        <v/>
      </c>
      <c r="O18">
        <f>IF(ISBLANK('ENGAGEMENTS 2026'!C18),"",'ENGAGEMENTS 2026'!M18)</f>
        <v/>
      </c>
      <c r="P18">
        <f>IF(ISBLANK('ENGAGEMENTS 2026'!C18),"",'ENGAGEMENTS 2026'!K18)</f>
        <v/>
      </c>
      <c r="Q18">
        <f>IF($A18="","",IF(OR($E18="INFRUCTUEUX",$E18="ANNULE"),$A18&amp;"|"&amp;(COUNTIFS($A$2:$A18,$A18,$E$2:$E18,"INFRUCTUEUX")+COUNTIFS($A$2:$A18,$A18,$E$2:$E18,"ANNULE")),""))</f>
        <v/>
      </c>
    </row>
    <row r="19">
      <c r="A19">
        <f>IF(ISBLANK('ENGAGEMENTS 2026'!C19),"",IF('ENGAGEMENTS 2026'!C19="DTSI","DCT",'ENGAGEMENTS 2026'!C19))</f>
        <v/>
      </c>
      <c r="B19">
        <f>IF(ISBLANK('ENGAGEMENTS 2026'!C19),"",'ENGAGEMENTS 2026'!D19)</f>
        <v/>
      </c>
      <c r="C19">
        <f>IF(ISBLANK('ENGAGEMENTS 2026'!C19),"",'ENGAGEMENTS 2026'!E19)</f>
        <v/>
      </c>
      <c r="D19">
        <f>IF(ISBLANK('ENGAGEMENTS 2026'!C19),"",'ENGAGEMENTS 2026'!G19)</f>
        <v/>
      </c>
      <c r="E19">
        <f>IF(ISBLANK('ENGAGEMENTS 2026'!C19),"",'ENGAGEMENTS 2026'!I19)</f>
        <v/>
      </c>
      <c r="F19">
        <f>IF(ISBLANK('ENGAGEMENTS 2026'!C19),"",'ENGAGEMENTS 2026'!J19)</f>
        <v/>
      </c>
      <c r="G19">
        <f>IF(ISBLANK('ENGAGEMENTS 2026'!C19),"",'ENGAGEMENTS 2026'!M19)</f>
        <v/>
      </c>
      <c r="H19">
        <f>IF(ISBLANK('ENGAGEMENTS 2026'!C19),"",'ENGAGEMENTS 2026'!AF19)</f>
        <v/>
      </c>
      <c r="I19">
        <f>IF(ISBLANK('ENGAGEMENTS 2026'!C19),"",'ENGAGEMENTS 2026'!H19)</f>
        <v/>
      </c>
      <c r="J19" s="275">
        <f>IF(ISBLANK('ENGAGEMENTS 2026'!C19),"",IF(AND(OR($E19="INFRUCTUEUX",$E19="ANNULE"),$C19="AOO-M"),'ENGAGEMENTS 2026'!P19,IF($H19="EN COURS DE PREENGAGEMENT",'ENGAGEMENTS 2026'!O19,IF($H19="PREENGAGE",IF($E19="ATTRIBUE",'ENGAGEMENTS 2026'!AE19,'ENGAGEMENTS 2026'!O19),'ENGAGEMENTS 2026'!AE19))))</f>
        <v/>
      </c>
      <c r="K19" s="604">
        <f>IF(ISBLANK('ENGAGEMENTS 2026'!W19),"",'ENGAGEMENTS 2026'!W19)</f>
        <v/>
      </c>
      <c r="L19" s="276">
        <f>IF($K19="","",TODAY()-$K19)</f>
        <v/>
      </c>
      <c r="M19">
        <f>IF($A19="","",IF($H19="ENGAGE","Engagé",IF(AND($H19="NON ENGAGE",OR($I19="INFRUCTUEUX",$I19="ANNULE")),"Clôturé sans suite","En cours")))</f>
        <v/>
      </c>
      <c r="N19">
        <f>IF(ISBLANK('ENGAGEMENTS 2026'!C19),"",'ENGAGEMENTS 2026'!L19)</f>
        <v/>
      </c>
      <c r="O19">
        <f>IF(ISBLANK('ENGAGEMENTS 2026'!C19),"",'ENGAGEMENTS 2026'!M19)</f>
        <v/>
      </c>
      <c r="P19">
        <f>IF(ISBLANK('ENGAGEMENTS 2026'!C19),"",'ENGAGEMENTS 2026'!K19)</f>
        <v/>
      </c>
      <c r="Q19">
        <f>IF($A19="","",IF(OR($E19="INFRUCTUEUX",$E19="ANNULE"),$A19&amp;"|"&amp;(COUNTIFS($A$2:$A19,$A19,$E$2:$E19,"INFRUCTUEUX")+COUNTIFS($A$2:$A19,$A19,$E$2:$E19,"ANNULE")),""))</f>
        <v/>
      </c>
    </row>
    <row r="20">
      <c r="A20">
        <f>IF(ISBLANK('ENGAGEMENTS 2026'!C20),"",IF('ENGAGEMENTS 2026'!C20="DTSI","DCT",'ENGAGEMENTS 2026'!C20))</f>
        <v/>
      </c>
      <c r="B20">
        <f>IF(ISBLANK('ENGAGEMENTS 2026'!C20),"",'ENGAGEMENTS 2026'!D20)</f>
        <v/>
      </c>
      <c r="C20">
        <f>IF(ISBLANK('ENGAGEMENTS 2026'!C20),"",'ENGAGEMENTS 2026'!E20)</f>
        <v/>
      </c>
      <c r="D20">
        <f>IF(ISBLANK('ENGAGEMENTS 2026'!C20),"",'ENGAGEMENTS 2026'!G20)</f>
        <v/>
      </c>
      <c r="E20">
        <f>IF(ISBLANK('ENGAGEMENTS 2026'!C20),"",'ENGAGEMENTS 2026'!I20)</f>
        <v/>
      </c>
      <c r="F20">
        <f>IF(ISBLANK('ENGAGEMENTS 2026'!C20),"",'ENGAGEMENTS 2026'!J20)</f>
        <v/>
      </c>
      <c r="G20">
        <f>IF(ISBLANK('ENGAGEMENTS 2026'!C20),"",'ENGAGEMENTS 2026'!M20)</f>
        <v/>
      </c>
      <c r="H20">
        <f>IF(ISBLANK('ENGAGEMENTS 2026'!C20),"",'ENGAGEMENTS 2026'!AF20)</f>
        <v/>
      </c>
      <c r="I20">
        <f>IF(ISBLANK('ENGAGEMENTS 2026'!C20),"",'ENGAGEMENTS 2026'!H20)</f>
        <v/>
      </c>
      <c r="J20" s="275">
        <f>IF(ISBLANK('ENGAGEMENTS 2026'!C20),"",IF(AND(OR($E20="INFRUCTUEUX",$E20="ANNULE"),$C20="AOO-M"),'ENGAGEMENTS 2026'!P20,IF($H20="EN COURS DE PREENGAGEMENT",'ENGAGEMENTS 2026'!O20,IF($H20="PREENGAGE",IF($E20="ATTRIBUE",'ENGAGEMENTS 2026'!AE20,'ENGAGEMENTS 2026'!O20),'ENGAGEMENTS 2026'!AE20))))</f>
        <v/>
      </c>
      <c r="K20" s="604">
        <f>IF(ISBLANK('ENGAGEMENTS 2026'!W20),"",'ENGAGEMENTS 2026'!W20)</f>
        <v/>
      </c>
      <c r="L20" s="276">
        <f>IF($K20="","",TODAY()-$K20)</f>
        <v/>
      </c>
      <c r="M20">
        <f>IF($A20="","",IF($H20="ENGAGE","Engagé",IF(AND($H20="NON ENGAGE",OR($I20="INFRUCTUEUX",$I20="ANNULE")),"Clôturé sans suite","En cours")))</f>
        <v/>
      </c>
      <c r="N20">
        <f>IF(ISBLANK('ENGAGEMENTS 2026'!C20),"",'ENGAGEMENTS 2026'!L20)</f>
        <v/>
      </c>
      <c r="O20">
        <f>IF(ISBLANK('ENGAGEMENTS 2026'!C20),"",'ENGAGEMENTS 2026'!M20)</f>
        <v/>
      </c>
      <c r="P20">
        <f>IF(ISBLANK('ENGAGEMENTS 2026'!C20),"",'ENGAGEMENTS 2026'!K20)</f>
        <v/>
      </c>
      <c r="Q20">
        <f>IF($A20="","",IF(OR($E20="INFRUCTUEUX",$E20="ANNULE"),$A20&amp;"|"&amp;(COUNTIFS($A$2:$A20,$A20,$E$2:$E20,"INFRUCTUEUX")+COUNTIFS($A$2:$A20,$A20,$E$2:$E20,"ANNULE")),""))</f>
        <v/>
      </c>
    </row>
    <row r="21">
      <c r="A21">
        <f>IF(ISBLANK('ENGAGEMENTS 2026'!C21),"",IF('ENGAGEMENTS 2026'!C21="DTSI","DCT",'ENGAGEMENTS 2026'!C21))</f>
        <v/>
      </c>
      <c r="B21">
        <f>IF(ISBLANK('ENGAGEMENTS 2026'!C21),"",'ENGAGEMENTS 2026'!D21)</f>
        <v/>
      </c>
      <c r="C21">
        <f>IF(ISBLANK('ENGAGEMENTS 2026'!C21),"",'ENGAGEMENTS 2026'!E21)</f>
        <v/>
      </c>
      <c r="D21">
        <f>IF(ISBLANK('ENGAGEMENTS 2026'!C21),"",'ENGAGEMENTS 2026'!G21)</f>
        <v/>
      </c>
      <c r="E21">
        <f>IF(ISBLANK('ENGAGEMENTS 2026'!C21),"",'ENGAGEMENTS 2026'!I21)</f>
        <v/>
      </c>
      <c r="F21">
        <f>IF(ISBLANK('ENGAGEMENTS 2026'!C21),"",'ENGAGEMENTS 2026'!J21)</f>
        <v/>
      </c>
      <c r="G21">
        <f>IF(ISBLANK('ENGAGEMENTS 2026'!C21),"",'ENGAGEMENTS 2026'!M21)</f>
        <v/>
      </c>
      <c r="H21">
        <f>IF(ISBLANK('ENGAGEMENTS 2026'!C21),"",'ENGAGEMENTS 2026'!AF21)</f>
        <v/>
      </c>
      <c r="I21">
        <f>IF(ISBLANK('ENGAGEMENTS 2026'!C21),"",'ENGAGEMENTS 2026'!H21)</f>
        <v/>
      </c>
      <c r="J21" s="275">
        <f>IF(ISBLANK('ENGAGEMENTS 2026'!C21),"",IF(AND(OR($E21="INFRUCTUEUX",$E21="ANNULE"),$C21="AOO-M"),'ENGAGEMENTS 2026'!P21,IF($H21="EN COURS DE PREENGAGEMENT",'ENGAGEMENTS 2026'!O21,IF($H21="PREENGAGE",IF($E21="ATTRIBUE",'ENGAGEMENTS 2026'!AE21,'ENGAGEMENTS 2026'!O21),'ENGAGEMENTS 2026'!AE21))))</f>
        <v/>
      </c>
      <c r="K21" s="604">
        <f>IF(ISBLANK('ENGAGEMENTS 2026'!W21),"",'ENGAGEMENTS 2026'!W21)</f>
        <v/>
      </c>
      <c r="L21" s="276">
        <f>IF($K21="","",TODAY()-$K21)</f>
        <v/>
      </c>
      <c r="M21">
        <f>IF($A21="","",IF($H21="ENGAGE","Engagé",IF(AND($H21="NON ENGAGE",OR($I21="INFRUCTUEUX",$I21="ANNULE")),"Clôturé sans suite","En cours")))</f>
        <v/>
      </c>
      <c r="N21">
        <f>IF(ISBLANK('ENGAGEMENTS 2026'!C21),"",'ENGAGEMENTS 2026'!L21)</f>
        <v/>
      </c>
      <c r="O21">
        <f>IF(ISBLANK('ENGAGEMENTS 2026'!C21),"",'ENGAGEMENTS 2026'!M21)</f>
        <v/>
      </c>
      <c r="P21">
        <f>IF(ISBLANK('ENGAGEMENTS 2026'!C21),"",'ENGAGEMENTS 2026'!K21)</f>
        <v/>
      </c>
      <c r="Q21">
        <f>IF($A21="","",IF(OR($E21="INFRUCTUEUX",$E21="ANNULE"),$A21&amp;"|"&amp;(COUNTIFS($A$2:$A21,$A21,$E$2:$E21,"INFRUCTUEUX")+COUNTIFS($A$2:$A21,$A21,$E$2:$E21,"ANNULE")),""))</f>
        <v/>
      </c>
    </row>
    <row r="22">
      <c r="A22">
        <f>IF(ISBLANK('ENGAGEMENTS 2026'!C22),"",IF('ENGAGEMENTS 2026'!C22="DTSI","DCT",'ENGAGEMENTS 2026'!C22))</f>
        <v/>
      </c>
      <c r="B22">
        <f>IF(ISBLANK('ENGAGEMENTS 2026'!C22),"",'ENGAGEMENTS 2026'!D22)</f>
        <v/>
      </c>
      <c r="C22">
        <f>IF(ISBLANK('ENGAGEMENTS 2026'!C22),"",'ENGAGEMENTS 2026'!E22)</f>
        <v/>
      </c>
      <c r="D22">
        <f>IF(ISBLANK('ENGAGEMENTS 2026'!C22),"",'ENGAGEMENTS 2026'!G22)</f>
        <v/>
      </c>
      <c r="E22">
        <f>IF(ISBLANK('ENGAGEMENTS 2026'!C22),"",'ENGAGEMENTS 2026'!I22)</f>
        <v/>
      </c>
      <c r="F22">
        <f>IF(ISBLANK('ENGAGEMENTS 2026'!C22),"",'ENGAGEMENTS 2026'!J22)</f>
        <v/>
      </c>
      <c r="G22">
        <f>IF(ISBLANK('ENGAGEMENTS 2026'!C22),"",'ENGAGEMENTS 2026'!M22)</f>
        <v/>
      </c>
      <c r="H22">
        <f>IF(ISBLANK('ENGAGEMENTS 2026'!C22),"",'ENGAGEMENTS 2026'!AF22)</f>
        <v/>
      </c>
      <c r="I22">
        <f>IF(ISBLANK('ENGAGEMENTS 2026'!C22),"",'ENGAGEMENTS 2026'!H22)</f>
        <v/>
      </c>
      <c r="J22" s="275">
        <f>IF(ISBLANK('ENGAGEMENTS 2026'!C22),"",IF(AND(OR($E22="INFRUCTUEUX",$E22="ANNULE"),$C22="AOO-M"),'ENGAGEMENTS 2026'!P22,IF($H22="EN COURS DE PREENGAGEMENT",'ENGAGEMENTS 2026'!O22,IF($H22="PREENGAGE",IF($E22="ATTRIBUE",'ENGAGEMENTS 2026'!AE22,'ENGAGEMENTS 2026'!O22),'ENGAGEMENTS 2026'!AE22))))</f>
        <v/>
      </c>
      <c r="K22" s="604">
        <f>IF(ISBLANK('ENGAGEMENTS 2026'!W22),"",'ENGAGEMENTS 2026'!W22)</f>
        <v/>
      </c>
      <c r="L22" s="276">
        <f>IF($K22="","",TODAY()-$K22)</f>
        <v/>
      </c>
      <c r="M22">
        <f>IF($A22="","",IF($H22="ENGAGE","Engagé",IF(AND($H22="NON ENGAGE",OR($I22="INFRUCTUEUX",$I22="ANNULE")),"Clôturé sans suite","En cours")))</f>
        <v/>
      </c>
      <c r="N22">
        <f>IF(ISBLANK('ENGAGEMENTS 2026'!C22),"",'ENGAGEMENTS 2026'!L22)</f>
        <v/>
      </c>
      <c r="O22">
        <f>IF(ISBLANK('ENGAGEMENTS 2026'!C22),"",'ENGAGEMENTS 2026'!M22)</f>
        <v/>
      </c>
      <c r="P22">
        <f>IF(ISBLANK('ENGAGEMENTS 2026'!C22),"",'ENGAGEMENTS 2026'!K22)</f>
        <v/>
      </c>
      <c r="Q22">
        <f>IF($A22="","",IF(OR($E22="INFRUCTUEUX",$E22="ANNULE"),$A22&amp;"|"&amp;(COUNTIFS($A$2:$A22,$A22,$E$2:$E22,"INFRUCTUEUX")+COUNTIFS($A$2:$A22,$A22,$E$2:$E22,"ANNULE")),""))</f>
        <v/>
      </c>
    </row>
    <row r="23">
      <c r="A23">
        <f>IF(ISBLANK('ENGAGEMENTS 2026'!C23),"",IF('ENGAGEMENTS 2026'!C23="DTSI","DCT",'ENGAGEMENTS 2026'!C23))</f>
        <v/>
      </c>
      <c r="B23">
        <f>IF(ISBLANK('ENGAGEMENTS 2026'!C23),"",'ENGAGEMENTS 2026'!D23)</f>
        <v/>
      </c>
      <c r="C23">
        <f>IF(ISBLANK('ENGAGEMENTS 2026'!C23),"",'ENGAGEMENTS 2026'!E23)</f>
        <v/>
      </c>
      <c r="D23">
        <f>IF(ISBLANK('ENGAGEMENTS 2026'!C23),"",'ENGAGEMENTS 2026'!G23)</f>
        <v/>
      </c>
      <c r="E23">
        <f>IF(ISBLANK('ENGAGEMENTS 2026'!C23),"",'ENGAGEMENTS 2026'!I23)</f>
        <v/>
      </c>
      <c r="F23">
        <f>IF(ISBLANK('ENGAGEMENTS 2026'!C23),"",'ENGAGEMENTS 2026'!J23)</f>
        <v/>
      </c>
      <c r="G23">
        <f>IF(ISBLANK('ENGAGEMENTS 2026'!C23),"",'ENGAGEMENTS 2026'!M23)</f>
        <v/>
      </c>
      <c r="H23">
        <f>IF(ISBLANK('ENGAGEMENTS 2026'!C23),"",'ENGAGEMENTS 2026'!AF23)</f>
        <v/>
      </c>
      <c r="I23">
        <f>IF(ISBLANK('ENGAGEMENTS 2026'!C23),"",'ENGAGEMENTS 2026'!H23)</f>
        <v/>
      </c>
      <c r="J23" s="275">
        <f>IF(ISBLANK('ENGAGEMENTS 2026'!C23),"",IF(AND(OR($E23="INFRUCTUEUX",$E23="ANNULE"),$C23="AOO-M"),'ENGAGEMENTS 2026'!P23,IF($H23="EN COURS DE PREENGAGEMENT",'ENGAGEMENTS 2026'!O23,IF($H23="PREENGAGE",IF($E23="ATTRIBUE",'ENGAGEMENTS 2026'!AE23,'ENGAGEMENTS 2026'!O23),'ENGAGEMENTS 2026'!AE23))))</f>
        <v/>
      </c>
      <c r="K23" s="604">
        <f>IF(ISBLANK('ENGAGEMENTS 2026'!W23),"",'ENGAGEMENTS 2026'!W23)</f>
        <v/>
      </c>
      <c r="L23" s="276">
        <f>IF($K23="","",TODAY()-$K23)</f>
        <v/>
      </c>
      <c r="M23">
        <f>IF($A23="","",IF($H23="ENGAGE","Engagé",IF(AND($H23="NON ENGAGE",OR($I23="INFRUCTUEUX",$I23="ANNULE")),"Clôturé sans suite","En cours")))</f>
        <v/>
      </c>
      <c r="N23">
        <f>IF(ISBLANK('ENGAGEMENTS 2026'!C23),"",'ENGAGEMENTS 2026'!L23)</f>
        <v/>
      </c>
      <c r="O23">
        <f>IF(ISBLANK('ENGAGEMENTS 2026'!C23),"",'ENGAGEMENTS 2026'!M23)</f>
        <v/>
      </c>
      <c r="P23">
        <f>IF(ISBLANK('ENGAGEMENTS 2026'!C23),"",'ENGAGEMENTS 2026'!K23)</f>
        <v/>
      </c>
      <c r="Q23">
        <f>IF($A23="","",IF(OR($E23="INFRUCTUEUX",$E23="ANNULE"),$A23&amp;"|"&amp;(COUNTIFS($A$2:$A23,$A23,$E$2:$E23,"INFRUCTUEUX")+COUNTIFS($A$2:$A23,$A23,$E$2:$E23,"ANNULE")),""))</f>
        <v/>
      </c>
    </row>
    <row r="24">
      <c r="A24">
        <f>IF(ISBLANK('ENGAGEMENTS 2026'!C24),"",IF('ENGAGEMENTS 2026'!C24="DTSI","DCT",'ENGAGEMENTS 2026'!C24))</f>
        <v/>
      </c>
      <c r="B24">
        <f>IF(ISBLANK('ENGAGEMENTS 2026'!C24),"",'ENGAGEMENTS 2026'!D24)</f>
        <v/>
      </c>
      <c r="C24">
        <f>IF(ISBLANK('ENGAGEMENTS 2026'!C24),"",'ENGAGEMENTS 2026'!E24)</f>
        <v/>
      </c>
      <c r="D24">
        <f>IF(ISBLANK('ENGAGEMENTS 2026'!C24),"",'ENGAGEMENTS 2026'!G24)</f>
        <v/>
      </c>
      <c r="E24">
        <f>IF(ISBLANK('ENGAGEMENTS 2026'!C24),"",'ENGAGEMENTS 2026'!I24)</f>
        <v/>
      </c>
      <c r="F24">
        <f>IF(ISBLANK('ENGAGEMENTS 2026'!C24),"",'ENGAGEMENTS 2026'!J24)</f>
        <v/>
      </c>
      <c r="G24">
        <f>IF(ISBLANK('ENGAGEMENTS 2026'!C24),"",'ENGAGEMENTS 2026'!M24)</f>
        <v/>
      </c>
      <c r="H24">
        <f>IF(ISBLANK('ENGAGEMENTS 2026'!C24),"",'ENGAGEMENTS 2026'!AF24)</f>
        <v/>
      </c>
      <c r="I24">
        <f>IF(ISBLANK('ENGAGEMENTS 2026'!C24),"",'ENGAGEMENTS 2026'!H24)</f>
        <v/>
      </c>
      <c r="J24" s="275">
        <f>IF(ISBLANK('ENGAGEMENTS 2026'!C24),"",IF(AND(OR($E24="INFRUCTUEUX",$E24="ANNULE"),$C24="AOO-M"),'ENGAGEMENTS 2026'!P24,IF($H24="EN COURS DE PREENGAGEMENT",'ENGAGEMENTS 2026'!O24,IF($H24="PREENGAGE",IF($E24="ATTRIBUE",'ENGAGEMENTS 2026'!AE24,'ENGAGEMENTS 2026'!O24),'ENGAGEMENTS 2026'!AE24))))</f>
        <v/>
      </c>
      <c r="K24" s="604">
        <f>IF(ISBLANK('ENGAGEMENTS 2026'!W24),"",'ENGAGEMENTS 2026'!W24)</f>
        <v/>
      </c>
      <c r="L24" s="276">
        <f>IF($K24="","",TODAY()-$K24)</f>
        <v/>
      </c>
      <c r="M24">
        <f>IF($A24="","",IF($H24="ENGAGE","Engagé",IF(AND($H24="NON ENGAGE",OR($I24="INFRUCTUEUX",$I24="ANNULE")),"Clôturé sans suite","En cours")))</f>
        <v/>
      </c>
      <c r="N24">
        <f>IF(ISBLANK('ENGAGEMENTS 2026'!C24),"",'ENGAGEMENTS 2026'!L24)</f>
        <v/>
      </c>
      <c r="O24">
        <f>IF(ISBLANK('ENGAGEMENTS 2026'!C24),"",'ENGAGEMENTS 2026'!M24)</f>
        <v/>
      </c>
      <c r="P24">
        <f>IF(ISBLANK('ENGAGEMENTS 2026'!C24),"",'ENGAGEMENTS 2026'!K24)</f>
        <v/>
      </c>
      <c r="Q24">
        <f>IF($A24="","",IF(OR($E24="INFRUCTUEUX",$E24="ANNULE"),$A24&amp;"|"&amp;(COUNTIFS($A$2:$A24,$A24,$E$2:$E24,"INFRUCTUEUX")+COUNTIFS($A$2:$A24,$A24,$E$2:$E24,"ANNULE")),""))</f>
        <v/>
      </c>
    </row>
    <row r="25">
      <c r="A25">
        <f>IF(ISBLANK('ENGAGEMENTS 2026'!C25),"",IF('ENGAGEMENTS 2026'!C25="DTSI","DCT",'ENGAGEMENTS 2026'!C25))</f>
        <v/>
      </c>
      <c r="B25">
        <f>IF(ISBLANK('ENGAGEMENTS 2026'!C25),"",'ENGAGEMENTS 2026'!D25)</f>
        <v/>
      </c>
      <c r="C25">
        <f>IF(ISBLANK('ENGAGEMENTS 2026'!C25),"",'ENGAGEMENTS 2026'!E25)</f>
        <v/>
      </c>
      <c r="D25">
        <f>IF(ISBLANK('ENGAGEMENTS 2026'!C25),"",'ENGAGEMENTS 2026'!G25)</f>
        <v/>
      </c>
      <c r="E25">
        <f>IF(ISBLANK('ENGAGEMENTS 2026'!C25),"",'ENGAGEMENTS 2026'!I25)</f>
        <v/>
      </c>
      <c r="F25">
        <f>IF(ISBLANK('ENGAGEMENTS 2026'!C25),"",'ENGAGEMENTS 2026'!J25)</f>
        <v/>
      </c>
      <c r="G25">
        <f>IF(ISBLANK('ENGAGEMENTS 2026'!C25),"",'ENGAGEMENTS 2026'!M25)</f>
        <v/>
      </c>
      <c r="H25">
        <f>IF(ISBLANK('ENGAGEMENTS 2026'!C25),"",'ENGAGEMENTS 2026'!AF25)</f>
        <v/>
      </c>
      <c r="I25">
        <f>IF(ISBLANK('ENGAGEMENTS 2026'!C25),"",'ENGAGEMENTS 2026'!H25)</f>
        <v/>
      </c>
      <c r="J25" s="275">
        <f>IF(ISBLANK('ENGAGEMENTS 2026'!C25),"",IF(AND(OR($E25="INFRUCTUEUX",$E25="ANNULE"),$C25="AOO-M"),'ENGAGEMENTS 2026'!P25,IF($H25="EN COURS DE PREENGAGEMENT",'ENGAGEMENTS 2026'!O25,IF($H25="PREENGAGE",IF($E25="ATTRIBUE",'ENGAGEMENTS 2026'!AE25,'ENGAGEMENTS 2026'!O25),'ENGAGEMENTS 2026'!AE25))))</f>
        <v/>
      </c>
      <c r="K25" s="604">
        <f>IF(ISBLANK('ENGAGEMENTS 2026'!W25),"",'ENGAGEMENTS 2026'!W25)</f>
        <v/>
      </c>
      <c r="L25" s="276">
        <f>IF($K25="","",TODAY()-$K25)</f>
        <v/>
      </c>
      <c r="M25">
        <f>IF($A25="","",IF($H25="ENGAGE","Engagé",IF(AND($H25="NON ENGAGE",OR($I25="INFRUCTUEUX",$I25="ANNULE")),"Clôturé sans suite","En cours")))</f>
        <v/>
      </c>
      <c r="N25">
        <f>IF(ISBLANK('ENGAGEMENTS 2026'!C25),"",'ENGAGEMENTS 2026'!L25)</f>
        <v/>
      </c>
      <c r="O25">
        <f>IF(ISBLANK('ENGAGEMENTS 2026'!C25),"",'ENGAGEMENTS 2026'!M25)</f>
        <v/>
      </c>
      <c r="P25">
        <f>IF(ISBLANK('ENGAGEMENTS 2026'!C25),"",'ENGAGEMENTS 2026'!K25)</f>
        <v/>
      </c>
      <c r="Q25">
        <f>IF($A25="","",IF(OR($E25="INFRUCTUEUX",$E25="ANNULE"),$A25&amp;"|"&amp;(COUNTIFS($A$2:$A25,$A25,$E$2:$E25,"INFRUCTUEUX")+COUNTIFS($A$2:$A25,$A25,$E$2:$E25,"ANNULE")),""))</f>
        <v/>
      </c>
    </row>
    <row r="26">
      <c r="A26">
        <f>IF(ISBLANK('ENGAGEMENTS 2026'!C26),"",IF('ENGAGEMENTS 2026'!C26="DTSI","DCT",'ENGAGEMENTS 2026'!C26))</f>
        <v/>
      </c>
      <c r="B26">
        <f>IF(ISBLANK('ENGAGEMENTS 2026'!C26),"",'ENGAGEMENTS 2026'!D26)</f>
        <v/>
      </c>
      <c r="C26">
        <f>IF(ISBLANK('ENGAGEMENTS 2026'!C26),"",'ENGAGEMENTS 2026'!E26)</f>
        <v/>
      </c>
      <c r="D26">
        <f>IF(ISBLANK('ENGAGEMENTS 2026'!C26),"",'ENGAGEMENTS 2026'!G26)</f>
        <v/>
      </c>
      <c r="E26">
        <f>IF(ISBLANK('ENGAGEMENTS 2026'!C26),"",'ENGAGEMENTS 2026'!I26)</f>
        <v/>
      </c>
      <c r="F26">
        <f>IF(ISBLANK('ENGAGEMENTS 2026'!C26),"",'ENGAGEMENTS 2026'!J26)</f>
        <v/>
      </c>
      <c r="G26">
        <f>IF(ISBLANK('ENGAGEMENTS 2026'!C26),"",'ENGAGEMENTS 2026'!M26)</f>
        <v/>
      </c>
      <c r="H26">
        <f>IF(ISBLANK('ENGAGEMENTS 2026'!C26),"",'ENGAGEMENTS 2026'!AF26)</f>
        <v/>
      </c>
      <c r="I26">
        <f>IF(ISBLANK('ENGAGEMENTS 2026'!C26),"",'ENGAGEMENTS 2026'!H26)</f>
        <v/>
      </c>
      <c r="J26" s="275">
        <f>IF(ISBLANK('ENGAGEMENTS 2026'!C26),"",IF(AND(OR($E26="INFRUCTUEUX",$E26="ANNULE"),$C26="AOO-M"),'ENGAGEMENTS 2026'!P26,IF($H26="EN COURS DE PREENGAGEMENT",'ENGAGEMENTS 2026'!O26,IF($H26="PREENGAGE",IF($E26="ATTRIBUE",'ENGAGEMENTS 2026'!AE26,'ENGAGEMENTS 2026'!O26),'ENGAGEMENTS 2026'!AE26))))</f>
        <v/>
      </c>
      <c r="K26" s="604">
        <f>IF(ISBLANK('ENGAGEMENTS 2026'!W26),"",'ENGAGEMENTS 2026'!W26)</f>
        <v/>
      </c>
      <c r="L26" s="276">
        <f>IF($K26="","",TODAY()-$K26)</f>
        <v/>
      </c>
      <c r="M26">
        <f>IF($A26="","",IF($H26="ENGAGE","Engagé",IF(AND($H26="NON ENGAGE",OR($I26="INFRUCTUEUX",$I26="ANNULE")),"Clôturé sans suite","En cours")))</f>
        <v/>
      </c>
      <c r="N26">
        <f>IF(ISBLANK('ENGAGEMENTS 2026'!C26),"",'ENGAGEMENTS 2026'!L26)</f>
        <v/>
      </c>
      <c r="O26">
        <f>IF(ISBLANK('ENGAGEMENTS 2026'!C26),"",'ENGAGEMENTS 2026'!M26)</f>
        <v/>
      </c>
      <c r="P26">
        <f>IF(ISBLANK('ENGAGEMENTS 2026'!C26),"",'ENGAGEMENTS 2026'!K26)</f>
        <v/>
      </c>
      <c r="Q26">
        <f>IF($A26="","",IF(OR($E26="INFRUCTUEUX",$E26="ANNULE"),$A26&amp;"|"&amp;(COUNTIFS($A$2:$A26,$A26,$E$2:$E26,"INFRUCTUEUX")+COUNTIFS($A$2:$A26,$A26,$E$2:$E26,"ANNULE")),""))</f>
        <v/>
      </c>
    </row>
    <row r="27">
      <c r="A27">
        <f>IF(ISBLANK('ENGAGEMENTS 2026'!C27),"",IF('ENGAGEMENTS 2026'!C27="DTSI","DCT",'ENGAGEMENTS 2026'!C27))</f>
        <v/>
      </c>
      <c r="B27">
        <f>IF(ISBLANK('ENGAGEMENTS 2026'!C27),"",'ENGAGEMENTS 2026'!D27)</f>
        <v/>
      </c>
      <c r="C27">
        <f>IF(ISBLANK('ENGAGEMENTS 2026'!C27),"",'ENGAGEMENTS 2026'!E27)</f>
        <v/>
      </c>
      <c r="D27">
        <f>IF(ISBLANK('ENGAGEMENTS 2026'!C27),"",'ENGAGEMENTS 2026'!G27)</f>
        <v/>
      </c>
      <c r="E27">
        <f>IF(ISBLANK('ENGAGEMENTS 2026'!C27),"",'ENGAGEMENTS 2026'!I27)</f>
        <v/>
      </c>
      <c r="F27">
        <f>IF(ISBLANK('ENGAGEMENTS 2026'!C27),"",'ENGAGEMENTS 2026'!J27)</f>
        <v/>
      </c>
      <c r="G27">
        <f>IF(ISBLANK('ENGAGEMENTS 2026'!C27),"",'ENGAGEMENTS 2026'!M27)</f>
        <v/>
      </c>
      <c r="H27">
        <f>IF(ISBLANK('ENGAGEMENTS 2026'!C27),"",'ENGAGEMENTS 2026'!AF27)</f>
        <v/>
      </c>
      <c r="I27">
        <f>IF(ISBLANK('ENGAGEMENTS 2026'!C27),"",'ENGAGEMENTS 2026'!H27)</f>
        <v/>
      </c>
      <c r="J27" s="275">
        <f>IF(ISBLANK('ENGAGEMENTS 2026'!C27),"",IF(AND(OR($E27="INFRUCTUEUX",$E27="ANNULE"),$C27="AOO-M"),'ENGAGEMENTS 2026'!P27,IF($H27="EN COURS DE PREENGAGEMENT",'ENGAGEMENTS 2026'!O27,IF($H27="PREENGAGE",IF($E27="ATTRIBUE",'ENGAGEMENTS 2026'!AE27,'ENGAGEMENTS 2026'!O27),'ENGAGEMENTS 2026'!AE27))))</f>
        <v/>
      </c>
      <c r="K27" s="604">
        <f>IF(ISBLANK('ENGAGEMENTS 2026'!W27),"",'ENGAGEMENTS 2026'!W27)</f>
        <v/>
      </c>
      <c r="L27" s="276">
        <f>IF($K27="","",TODAY()-$K27)</f>
        <v/>
      </c>
      <c r="M27">
        <f>IF($A27="","",IF($H27="ENGAGE","Engagé",IF(AND($H27="NON ENGAGE",OR($I27="INFRUCTUEUX",$I27="ANNULE")),"Clôturé sans suite","En cours")))</f>
        <v/>
      </c>
      <c r="N27">
        <f>IF(ISBLANK('ENGAGEMENTS 2026'!C27),"",'ENGAGEMENTS 2026'!L27)</f>
        <v/>
      </c>
      <c r="O27">
        <f>IF(ISBLANK('ENGAGEMENTS 2026'!C27),"",'ENGAGEMENTS 2026'!M27)</f>
        <v/>
      </c>
      <c r="P27">
        <f>IF(ISBLANK('ENGAGEMENTS 2026'!C27),"",'ENGAGEMENTS 2026'!K27)</f>
        <v/>
      </c>
      <c r="Q27">
        <f>IF($A27="","",IF(OR($E27="INFRUCTUEUX",$E27="ANNULE"),$A27&amp;"|"&amp;(COUNTIFS($A$2:$A27,$A27,$E$2:$E27,"INFRUCTUEUX")+COUNTIFS($A$2:$A27,$A27,$E$2:$E27,"ANNULE")),""))</f>
        <v/>
      </c>
    </row>
    <row r="28">
      <c r="A28">
        <f>IF(ISBLANK('ENGAGEMENTS 2026'!C28),"",IF('ENGAGEMENTS 2026'!C28="DTSI","DCT",'ENGAGEMENTS 2026'!C28))</f>
        <v/>
      </c>
      <c r="B28">
        <f>IF(ISBLANK('ENGAGEMENTS 2026'!C28),"",'ENGAGEMENTS 2026'!D28)</f>
        <v/>
      </c>
      <c r="C28">
        <f>IF(ISBLANK('ENGAGEMENTS 2026'!C28),"",'ENGAGEMENTS 2026'!E28)</f>
        <v/>
      </c>
      <c r="D28">
        <f>IF(ISBLANK('ENGAGEMENTS 2026'!C28),"",'ENGAGEMENTS 2026'!G28)</f>
        <v/>
      </c>
      <c r="E28">
        <f>IF(ISBLANK('ENGAGEMENTS 2026'!C28),"",'ENGAGEMENTS 2026'!I28)</f>
        <v/>
      </c>
      <c r="F28">
        <f>IF(ISBLANK('ENGAGEMENTS 2026'!C28),"",'ENGAGEMENTS 2026'!J28)</f>
        <v/>
      </c>
      <c r="G28">
        <f>IF(ISBLANK('ENGAGEMENTS 2026'!C28),"",'ENGAGEMENTS 2026'!M28)</f>
        <v/>
      </c>
      <c r="H28">
        <f>IF(ISBLANK('ENGAGEMENTS 2026'!C28),"",'ENGAGEMENTS 2026'!AF28)</f>
        <v/>
      </c>
      <c r="I28">
        <f>IF(ISBLANK('ENGAGEMENTS 2026'!C28),"",'ENGAGEMENTS 2026'!H28)</f>
        <v/>
      </c>
      <c r="J28" s="275">
        <f>IF(ISBLANK('ENGAGEMENTS 2026'!C28),"",IF(AND(OR($E28="INFRUCTUEUX",$E28="ANNULE"),$C28="AOO-M"),'ENGAGEMENTS 2026'!P28,IF($H28="EN COURS DE PREENGAGEMENT",'ENGAGEMENTS 2026'!O28,IF($H28="PREENGAGE",IF($E28="ATTRIBUE",'ENGAGEMENTS 2026'!AE28,'ENGAGEMENTS 2026'!O28),'ENGAGEMENTS 2026'!AE28))))</f>
        <v/>
      </c>
      <c r="K28" s="604">
        <f>IF(ISBLANK('ENGAGEMENTS 2026'!W28),"",'ENGAGEMENTS 2026'!W28)</f>
        <v/>
      </c>
      <c r="L28" s="276">
        <f>IF($K28="","",TODAY()-$K28)</f>
        <v/>
      </c>
      <c r="M28">
        <f>IF($A28="","",IF($H28="ENGAGE","Engagé",IF(AND($H28="NON ENGAGE",OR($I28="INFRUCTUEUX",$I28="ANNULE")),"Clôturé sans suite","En cours")))</f>
        <v/>
      </c>
      <c r="N28">
        <f>IF(ISBLANK('ENGAGEMENTS 2026'!C28),"",'ENGAGEMENTS 2026'!L28)</f>
        <v/>
      </c>
      <c r="O28">
        <f>IF(ISBLANK('ENGAGEMENTS 2026'!C28),"",'ENGAGEMENTS 2026'!M28)</f>
        <v/>
      </c>
      <c r="P28">
        <f>IF(ISBLANK('ENGAGEMENTS 2026'!C28),"",'ENGAGEMENTS 2026'!K28)</f>
        <v/>
      </c>
      <c r="Q28">
        <f>IF($A28="","",IF(OR($E28="INFRUCTUEUX",$E28="ANNULE"),$A28&amp;"|"&amp;(COUNTIFS($A$2:$A28,$A28,$E$2:$E28,"INFRUCTUEUX")+COUNTIFS($A$2:$A28,$A28,$E$2:$E28,"ANNULE")),""))</f>
        <v/>
      </c>
    </row>
    <row r="29">
      <c r="A29">
        <f>IF(ISBLANK('ENGAGEMENTS 2026'!C29),"",IF('ENGAGEMENTS 2026'!C29="DTSI","DCT",'ENGAGEMENTS 2026'!C29))</f>
        <v/>
      </c>
      <c r="B29">
        <f>IF(ISBLANK('ENGAGEMENTS 2026'!C29),"",'ENGAGEMENTS 2026'!D29)</f>
        <v/>
      </c>
      <c r="C29">
        <f>IF(ISBLANK('ENGAGEMENTS 2026'!C29),"",'ENGAGEMENTS 2026'!E29)</f>
        <v/>
      </c>
      <c r="D29">
        <f>IF(ISBLANK('ENGAGEMENTS 2026'!C29),"",'ENGAGEMENTS 2026'!G29)</f>
        <v/>
      </c>
      <c r="E29">
        <f>IF(ISBLANK('ENGAGEMENTS 2026'!C29),"",'ENGAGEMENTS 2026'!I29)</f>
        <v/>
      </c>
      <c r="F29">
        <f>IF(ISBLANK('ENGAGEMENTS 2026'!C29),"",'ENGAGEMENTS 2026'!J29)</f>
        <v/>
      </c>
      <c r="G29">
        <f>IF(ISBLANK('ENGAGEMENTS 2026'!C29),"",'ENGAGEMENTS 2026'!M29)</f>
        <v/>
      </c>
      <c r="H29">
        <f>IF(ISBLANK('ENGAGEMENTS 2026'!C29),"",'ENGAGEMENTS 2026'!AF29)</f>
        <v/>
      </c>
      <c r="I29">
        <f>IF(ISBLANK('ENGAGEMENTS 2026'!C29),"",'ENGAGEMENTS 2026'!H29)</f>
        <v/>
      </c>
      <c r="J29" s="275">
        <f>IF(ISBLANK('ENGAGEMENTS 2026'!C29),"",IF(AND(OR($E29="INFRUCTUEUX",$E29="ANNULE"),$C29="AOO-M"),'ENGAGEMENTS 2026'!P29,IF($H29="EN COURS DE PREENGAGEMENT",'ENGAGEMENTS 2026'!O29,IF($H29="PREENGAGE",IF($E29="ATTRIBUE",'ENGAGEMENTS 2026'!AE29,'ENGAGEMENTS 2026'!O29),'ENGAGEMENTS 2026'!AE29))))</f>
        <v/>
      </c>
      <c r="K29" s="604">
        <f>IF(ISBLANK('ENGAGEMENTS 2026'!W29),"",'ENGAGEMENTS 2026'!W29)</f>
        <v/>
      </c>
      <c r="L29" s="276">
        <f>IF($K29="","",TODAY()-$K29)</f>
        <v/>
      </c>
      <c r="M29">
        <f>IF($A29="","",IF($H29="ENGAGE","Engagé",IF(AND($H29="NON ENGAGE",OR($I29="INFRUCTUEUX",$I29="ANNULE")),"Clôturé sans suite","En cours")))</f>
        <v/>
      </c>
      <c r="N29">
        <f>IF(ISBLANK('ENGAGEMENTS 2026'!C29),"",'ENGAGEMENTS 2026'!L29)</f>
        <v/>
      </c>
      <c r="O29">
        <f>IF(ISBLANK('ENGAGEMENTS 2026'!C29),"",'ENGAGEMENTS 2026'!M29)</f>
        <v/>
      </c>
      <c r="P29">
        <f>IF(ISBLANK('ENGAGEMENTS 2026'!C29),"",'ENGAGEMENTS 2026'!K29)</f>
        <v/>
      </c>
      <c r="Q29">
        <f>IF($A29="","",IF(OR($E29="INFRUCTUEUX",$E29="ANNULE"),$A29&amp;"|"&amp;(COUNTIFS($A$2:$A29,$A29,$E$2:$E29,"INFRUCTUEUX")+COUNTIFS($A$2:$A29,$A29,$E$2:$E29,"ANNULE")),""))</f>
        <v/>
      </c>
    </row>
    <row r="30">
      <c r="A30">
        <f>IF(ISBLANK('ENGAGEMENTS 2026'!C30),"",IF('ENGAGEMENTS 2026'!C30="DTSI","DCT",'ENGAGEMENTS 2026'!C30))</f>
        <v/>
      </c>
      <c r="B30">
        <f>IF(ISBLANK('ENGAGEMENTS 2026'!C30),"",'ENGAGEMENTS 2026'!D30)</f>
        <v/>
      </c>
      <c r="C30">
        <f>IF(ISBLANK('ENGAGEMENTS 2026'!C30),"",'ENGAGEMENTS 2026'!E30)</f>
        <v/>
      </c>
      <c r="D30">
        <f>IF(ISBLANK('ENGAGEMENTS 2026'!C30),"",'ENGAGEMENTS 2026'!G30)</f>
        <v/>
      </c>
      <c r="E30">
        <f>IF(ISBLANK('ENGAGEMENTS 2026'!C30),"",'ENGAGEMENTS 2026'!I30)</f>
        <v/>
      </c>
      <c r="F30">
        <f>IF(ISBLANK('ENGAGEMENTS 2026'!C30),"",'ENGAGEMENTS 2026'!J30)</f>
        <v/>
      </c>
      <c r="G30">
        <f>IF(ISBLANK('ENGAGEMENTS 2026'!C30),"",'ENGAGEMENTS 2026'!M30)</f>
        <v/>
      </c>
      <c r="H30">
        <f>IF(ISBLANK('ENGAGEMENTS 2026'!C30),"",'ENGAGEMENTS 2026'!AF30)</f>
        <v/>
      </c>
      <c r="I30">
        <f>IF(ISBLANK('ENGAGEMENTS 2026'!C30),"",'ENGAGEMENTS 2026'!H30)</f>
        <v/>
      </c>
      <c r="J30" s="275">
        <f>IF(ISBLANK('ENGAGEMENTS 2026'!C30),"",IF(AND(OR($E30="INFRUCTUEUX",$E30="ANNULE"),$C30="AOO-M"),'ENGAGEMENTS 2026'!P30,IF($H30="EN COURS DE PREENGAGEMENT",'ENGAGEMENTS 2026'!O30,IF($H30="PREENGAGE",IF($E30="ATTRIBUE",'ENGAGEMENTS 2026'!AE30,'ENGAGEMENTS 2026'!O30),'ENGAGEMENTS 2026'!AE30))))</f>
        <v/>
      </c>
      <c r="K30" s="604">
        <f>IF(ISBLANK('ENGAGEMENTS 2026'!W30),"",'ENGAGEMENTS 2026'!W30)</f>
        <v/>
      </c>
      <c r="L30" s="276">
        <f>IF($K30="","",TODAY()-$K30)</f>
        <v/>
      </c>
      <c r="M30">
        <f>IF($A30="","",IF($H30="ENGAGE","Engagé",IF(AND($H30="NON ENGAGE",OR($I30="INFRUCTUEUX",$I30="ANNULE")),"Clôturé sans suite","En cours")))</f>
        <v/>
      </c>
      <c r="N30">
        <f>IF(ISBLANK('ENGAGEMENTS 2026'!C30),"",'ENGAGEMENTS 2026'!L30)</f>
        <v/>
      </c>
      <c r="O30">
        <f>IF(ISBLANK('ENGAGEMENTS 2026'!C30),"",'ENGAGEMENTS 2026'!M30)</f>
        <v/>
      </c>
      <c r="P30">
        <f>IF(ISBLANK('ENGAGEMENTS 2026'!C30),"",'ENGAGEMENTS 2026'!K30)</f>
        <v/>
      </c>
      <c r="Q30">
        <f>IF($A30="","",IF(OR($E30="INFRUCTUEUX",$E30="ANNULE"),$A30&amp;"|"&amp;(COUNTIFS($A$2:$A30,$A30,$E$2:$E30,"INFRUCTUEUX")+COUNTIFS($A$2:$A30,$A30,$E$2:$E30,"ANNULE")),""))</f>
        <v/>
      </c>
    </row>
    <row r="31">
      <c r="A31">
        <f>IF(ISBLANK('ENGAGEMENTS 2026'!C31),"",IF('ENGAGEMENTS 2026'!C31="DTSI","DCT",'ENGAGEMENTS 2026'!C31))</f>
        <v/>
      </c>
      <c r="B31">
        <f>IF(ISBLANK('ENGAGEMENTS 2026'!C31),"",'ENGAGEMENTS 2026'!D31)</f>
        <v/>
      </c>
      <c r="C31">
        <f>IF(ISBLANK('ENGAGEMENTS 2026'!C31),"",'ENGAGEMENTS 2026'!E31)</f>
        <v/>
      </c>
      <c r="D31">
        <f>IF(ISBLANK('ENGAGEMENTS 2026'!C31),"",'ENGAGEMENTS 2026'!G31)</f>
        <v/>
      </c>
      <c r="E31">
        <f>IF(ISBLANK('ENGAGEMENTS 2026'!C31),"",'ENGAGEMENTS 2026'!I31)</f>
        <v/>
      </c>
      <c r="F31">
        <f>IF(ISBLANK('ENGAGEMENTS 2026'!C31),"",'ENGAGEMENTS 2026'!J31)</f>
        <v/>
      </c>
      <c r="G31">
        <f>IF(ISBLANK('ENGAGEMENTS 2026'!C31),"",'ENGAGEMENTS 2026'!M31)</f>
        <v/>
      </c>
      <c r="H31">
        <f>IF(ISBLANK('ENGAGEMENTS 2026'!C31),"",'ENGAGEMENTS 2026'!AF31)</f>
        <v/>
      </c>
      <c r="I31">
        <f>IF(ISBLANK('ENGAGEMENTS 2026'!C31),"",'ENGAGEMENTS 2026'!H31)</f>
        <v/>
      </c>
      <c r="J31" s="275">
        <f>IF(ISBLANK('ENGAGEMENTS 2026'!C31),"",IF(AND(OR($E31="INFRUCTUEUX",$E31="ANNULE"),$C31="AOO-M"),'ENGAGEMENTS 2026'!P31,IF($H31="EN COURS DE PREENGAGEMENT",'ENGAGEMENTS 2026'!O31,IF($H31="PREENGAGE",IF($E31="ATTRIBUE",'ENGAGEMENTS 2026'!AE31,'ENGAGEMENTS 2026'!O31),'ENGAGEMENTS 2026'!AE31))))</f>
        <v/>
      </c>
      <c r="K31" s="604">
        <f>IF(ISBLANK('ENGAGEMENTS 2026'!W31),"",'ENGAGEMENTS 2026'!W31)</f>
        <v/>
      </c>
      <c r="L31" s="276">
        <f>IF($K31="","",TODAY()-$K31)</f>
        <v/>
      </c>
      <c r="M31">
        <f>IF($A31="","",IF($H31="ENGAGE","Engagé",IF(AND($H31="NON ENGAGE",OR($I31="INFRUCTUEUX",$I31="ANNULE")),"Clôturé sans suite","En cours")))</f>
        <v/>
      </c>
      <c r="N31">
        <f>IF(ISBLANK('ENGAGEMENTS 2026'!C31),"",'ENGAGEMENTS 2026'!L31)</f>
        <v/>
      </c>
      <c r="O31">
        <f>IF(ISBLANK('ENGAGEMENTS 2026'!C31),"",'ENGAGEMENTS 2026'!M31)</f>
        <v/>
      </c>
      <c r="P31">
        <f>IF(ISBLANK('ENGAGEMENTS 2026'!C31),"",'ENGAGEMENTS 2026'!K31)</f>
        <v/>
      </c>
      <c r="Q31">
        <f>IF($A31="","",IF(OR($E31="INFRUCTUEUX",$E31="ANNULE"),$A31&amp;"|"&amp;(COUNTIFS($A$2:$A31,$A31,$E$2:$E31,"INFRUCTUEUX")+COUNTIFS($A$2:$A31,$A31,$E$2:$E31,"ANNULE")),""))</f>
        <v/>
      </c>
    </row>
    <row r="32">
      <c r="A32">
        <f>IF(ISBLANK('ENGAGEMENTS 2026'!C32),"",IF('ENGAGEMENTS 2026'!C32="DTSI","DCT",'ENGAGEMENTS 2026'!C32))</f>
        <v/>
      </c>
      <c r="B32">
        <f>IF(ISBLANK('ENGAGEMENTS 2026'!C32),"",'ENGAGEMENTS 2026'!D32)</f>
        <v/>
      </c>
      <c r="C32">
        <f>IF(ISBLANK('ENGAGEMENTS 2026'!C32),"",'ENGAGEMENTS 2026'!E32)</f>
        <v/>
      </c>
      <c r="D32">
        <f>IF(ISBLANK('ENGAGEMENTS 2026'!C32),"",'ENGAGEMENTS 2026'!G32)</f>
        <v/>
      </c>
      <c r="E32">
        <f>IF(ISBLANK('ENGAGEMENTS 2026'!C32),"",'ENGAGEMENTS 2026'!I32)</f>
        <v/>
      </c>
      <c r="F32">
        <f>IF(ISBLANK('ENGAGEMENTS 2026'!C32),"",'ENGAGEMENTS 2026'!J32)</f>
        <v/>
      </c>
      <c r="G32">
        <f>IF(ISBLANK('ENGAGEMENTS 2026'!C32),"",'ENGAGEMENTS 2026'!M32)</f>
        <v/>
      </c>
      <c r="H32">
        <f>IF(ISBLANK('ENGAGEMENTS 2026'!C32),"",'ENGAGEMENTS 2026'!AF32)</f>
        <v/>
      </c>
      <c r="I32">
        <f>IF(ISBLANK('ENGAGEMENTS 2026'!C32),"",'ENGAGEMENTS 2026'!H32)</f>
        <v/>
      </c>
      <c r="J32" s="275">
        <f>IF(ISBLANK('ENGAGEMENTS 2026'!C32),"",IF(AND(OR($E32="INFRUCTUEUX",$E32="ANNULE"),$C32="AOO-M"),'ENGAGEMENTS 2026'!P32,IF($H32="EN COURS DE PREENGAGEMENT",'ENGAGEMENTS 2026'!O32,IF($H32="PREENGAGE",IF($E32="ATTRIBUE",'ENGAGEMENTS 2026'!AE32,'ENGAGEMENTS 2026'!O32),'ENGAGEMENTS 2026'!AE32))))</f>
        <v/>
      </c>
      <c r="K32" s="604">
        <f>IF(ISBLANK('ENGAGEMENTS 2026'!W32),"",'ENGAGEMENTS 2026'!W32)</f>
        <v/>
      </c>
      <c r="L32" s="276">
        <f>IF($K32="","",TODAY()-$K32)</f>
        <v/>
      </c>
      <c r="M32">
        <f>IF($A32="","",IF($H32="ENGAGE","Engagé",IF(AND($H32="NON ENGAGE",OR($I32="INFRUCTUEUX",$I32="ANNULE")),"Clôturé sans suite","En cours")))</f>
        <v/>
      </c>
      <c r="N32">
        <f>IF(ISBLANK('ENGAGEMENTS 2026'!C32),"",'ENGAGEMENTS 2026'!L32)</f>
        <v/>
      </c>
      <c r="O32">
        <f>IF(ISBLANK('ENGAGEMENTS 2026'!C32),"",'ENGAGEMENTS 2026'!M32)</f>
        <v/>
      </c>
      <c r="P32">
        <f>IF(ISBLANK('ENGAGEMENTS 2026'!C32),"",'ENGAGEMENTS 2026'!K32)</f>
        <v/>
      </c>
      <c r="Q32">
        <f>IF($A32="","",IF(OR($E32="INFRUCTUEUX",$E32="ANNULE"),$A32&amp;"|"&amp;(COUNTIFS($A$2:$A32,$A32,$E$2:$E32,"INFRUCTUEUX")+COUNTIFS($A$2:$A32,$A32,$E$2:$E32,"ANNULE")),""))</f>
        <v/>
      </c>
    </row>
    <row r="33">
      <c r="A33">
        <f>IF(ISBLANK('ENGAGEMENTS 2026'!C33),"",IF('ENGAGEMENTS 2026'!C33="DTSI","DCT",'ENGAGEMENTS 2026'!C33))</f>
        <v/>
      </c>
      <c r="B33">
        <f>IF(ISBLANK('ENGAGEMENTS 2026'!C33),"",'ENGAGEMENTS 2026'!D33)</f>
        <v/>
      </c>
      <c r="C33">
        <f>IF(ISBLANK('ENGAGEMENTS 2026'!C33),"",'ENGAGEMENTS 2026'!E33)</f>
        <v/>
      </c>
      <c r="D33">
        <f>IF(ISBLANK('ENGAGEMENTS 2026'!C33),"",'ENGAGEMENTS 2026'!G33)</f>
        <v/>
      </c>
      <c r="E33">
        <f>IF(ISBLANK('ENGAGEMENTS 2026'!C33),"",'ENGAGEMENTS 2026'!I33)</f>
        <v/>
      </c>
      <c r="F33">
        <f>IF(ISBLANK('ENGAGEMENTS 2026'!C33),"",'ENGAGEMENTS 2026'!J33)</f>
        <v/>
      </c>
      <c r="G33">
        <f>IF(ISBLANK('ENGAGEMENTS 2026'!C33),"",'ENGAGEMENTS 2026'!M33)</f>
        <v/>
      </c>
      <c r="H33">
        <f>IF(ISBLANK('ENGAGEMENTS 2026'!C33),"",'ENGAGEMENTS 2026'!AF33)</f>
        <v/>
      </c>
      <c r="I33">
        <f>IF(ISBLANK('ENGAGEMENTS 2026'!C33),"",'ENGAGEMENTS 2026'!H33)</f>
        <v/>
      </c>
      <c r="J33" s="275">
        <f>IF(ISBLANK('ENGAGEMENTS 2026'!C33),"",IF(AND(OR($E33="INFRUCTUEUX",$E33="ANNULE"),$C33="AOO-M"),'ENGAGEMENTS 2026'!P33,IF($H33="EN COURS DE PREENGAGEMENT",'ENGAGEMENTS 2026'!O33,IF($H33="PREENGAGE",IF($E33="ATTRIBUE",'ENGAGEMENTS 2026'!AE33,'ENGAGEMENTS 2026'!O33),'ENGAGEMENTS 2026'!AE33))))</f>
        <v/>
      </c>
      <c r="K33" s="604">
        <f>IF(ISBLANK('ENGAGEMENTS 2026'!W33),"",'ENGAGEMENTS 2026'!W33)</f>
        <v/>
      </c>
      <c r="L33" s="276">
        <f>IF($K33="","",TODAY()-$K33)</f>
        <v/>
      </c>
      <c r="M33">
        <f>IF($A33="","",IF($H33="ENGAGE","Engagé",IF(AND($H33="NON ENGAGE",OR($I33="INFRUCTUEUX",$I33="ANNULE")),"Clôturé sans suite","En cours")))</f>
        <v/>
      </c>
      <c r="N33">
        <f>IF(ISBLANK('ENGAGEMENTS 2026'!C33),"",'ENGAGEMENTS 2026'!L33)</f>
        <v/>
      </c>
      <c r="O33">
        <f>IF(ISBLANK('ENGAGEMENTS 2026'!C33),"",'ENGAGEMENTS 2026'!M33)</f>
        <v/>
      </c>
      <c r="P33">
        <f>IF(ISBLANK('ENGAGEMENTS 2026'!C33),"",'ENGAGEMENTS 2026'!K33)</f>
        <v/>
      </c>
      <c r="Q33">
        <f>IF($A33="","",IF(OR($E33="INFRUCTUEUX",$E33="ANNULE"),$A33&amp;"|"&amp;(COUNTIFS($A$2:$A33,$A33,$E$2:$E33,"INFRUCTUEUX")+COUNTIFS($A$2:$A33,$A33,$E$2:$E33,"ANNULE")),""))</f>
        <v/>
      </c>
    </row>
    <row r="34">
      <c r="A34">
        <f>IF(ISBLANK('ENGAGEMENTS 2026'!C34),"",IF('ENGAGEMENTS 2026'!C34="DTSI","DCT",'ENGAGEMENTS 2026'!C34))</f>
        <v/>
      </c>
      <c r="B34">
        <f>IF(ISBLANK('ENGAGEMENTS 2026'!C34),"",'ENGAGEMENTS 2026'!D34)</f>
        <v/>
      </c>
      <c r="C34">
        <f>IF(ISBLANK('ENGAGEMENTS 2026'!C34),"",'ENGAGEMENTS 2026'!E34)</f>
        <v/>
      </c>
      <c r="D34">
        <f>IF(ISBLANK('ENGAGEMENTS 2026'!C34),"",'ENGAGEMENTS 2026'!G34)</f>
        <v/>
      </c>
      <c r="E34">
        <f>IF(ISBLANK('ENGAGEMENTS 2026'!C34),"",'ENGAGEMENTS 2026'!I34)</f>
        <v/>
      </c>
      <c r="F34">
        <f>IF(ISBLANK('ENGAGEMENTS 2026'!C34),"",'ENGAGEMENTS 2026'!J34)</f>
        <v/>
      </c>
      <c r="G34">
        <f>IF(ISBLANK('ENGAGEMENTS 2026'!C34),"",'ENGAGEMENTS 2026'!M34)</f>
        <v/>
      </c>
      <c r="H34">
        <f>IF(ISBLANK('ENGAGEMENTS 2026'!C34),"",'ENGAGEMENTS 2026'!AF34)</f>
        <v/>
      </c>
      <c r="I34">
        <f>IF(ISBLANK('ENGAGEMENTS 2026'!C34),"",'ENGAGEMENTS 2026'!H34)</f>
        <v/>
      </c>
      <c r="J34" s="275">
        <f>IF(ISBLANK('ENGAGEMENTS 2026'!C34),"",IF(AND(OR($E34="INFRUCTUEUX",$E34="ANNULE"),$C34="AOO-M"),'ENGAGEMENTS 2026'!P34,IF($H34="EN COURS DE PREENGAGEMENT",'ENGAGEMENTS 2026'!O34,IF($H34="PREENGAGE",IF($E34="ATTRIBUE",'ENGAGEMENTS 2026'!AE34,'ENGAGEMENTS 2026'!O34),'ENGAGEMENTS 2026'!AE34))))</f>
        <v/>
      </c>
      <c r="K34" s="604">
        <f>IF(ISBLANK('ENGAGEMENTS 2026'!W34),"",'ENGAGEMENTS 2026'!W34)</f>
        <v/>
      </c>
      <c r="L34" s="276">
        <f>IF($K34="","",TODAY()-$K34)</f>
        <v/>
      </c>
      <c r="M34">
        <f>IF($A34="","",IF($H34="ENGAGE","Engagé",IF(AND($H34="NON ENGAGE",OR($I34="INFRUCTUEUX",$I34="ANNULE")),"Clôturé sans suite","En cours")))</f>
        <v/>
      </c>
      <c r="N34">
        <f>IF(ISBLANK('ENGAGEMENTS 2026'!C34),"",'ENGAGEMENTS 2026'!L34)</f>
        <v/>
      </c>
      <c r="O34">
        <f>IF(ISBLANK('ENGAGEMENTS 2026'!C34),"",'ENGAGEMENTS 2026'!M34)</f>
        <v/>
      </c>
      <c r="P34">
        <f>IF(ISBLANK('ENGAGEMENTS 2026'!C34),"",'ENGAGEMENTS 2026'!K34)</f>
        <v/>
      </c>
      <c r="Q34">
        <f>IF($A34="","",IF(OR($E34="INFRUCTUEUX",$E34="ANNULE"),$A34&amp;"|"&amp;(COUNTIFS($A$2:$A34,$A34,$E$2:$E34,"INFRUCTUEUX")+COUNTIFS($A$2:$A34,$A34,$E$2:$E34,"ANNULE")),""))</f>
        <v/>
      </c>
    </row>
    <row r="35">
      <c r="A35">
        <f>IF(ISBLANK('ENGAGEMENTS 2026'!C35),"",IF('ENGAGEMENTS 2026'!C35="DTSI","DCT",'ENGAGEMENTS 2026'!C35))</f>
        <v/>
      </c>
      <c r="B35">
        <f>IF(ISBLANK('ENGAGEMENTS 2026'!C35),"",'ENGAGEMENTS 2026'!D35)</f>
        <v/>
      </c>
      <c r="C35">
        <f>IF(ISBLANK('ENGAGEMENTS 2026'!C35),"",'ENGAGEMENTS 2026'!E35)</f>
        <v/>
      </c>
      <c r="D35">
        <f>IF(ISBLANK('ENGAGEMENTS 2026'!C35),"",'ENGAGEMENTS 2026'!G35)</f>
        <v/>
      </c>
      <c r="E35">
        <f>IF(ISBLANK('ENGAGEMENTS 2026'!C35),"",'ENGAGEMENTS 2026'!I35)</f>
        <v/>
      </c>
      <c r="F35">
        <f>IF(ISBLANK('ENGAGEMENTS 2026'!C35),"",'ENGAGEMENTS 2026'!J35)</f>
        <v/>
      </c>
      <c r="G35">
        <f>IF(ISBLANK('ENGAGEMENTS 2026'!C35),"",'ENGAGEMENTS 2026'!M35)</f>
        <v/>
      </c>
      <c r="H35">
        <f>IF(ISBLANK('ENGAGEMENTS 2026'!C35),"",'ENGAGEMENTS 2026'!AF35)</f>
        <v/>
      </c>
      <c r="I35">
        <f>IF(ISBLANK('ENGAGEMENTS 2026'!C35),"",'ENGAGEMENTS 2026'!H35)</f>
        <v/>
      </c>
      <c r="J35" s="275">
        <f>IF(ISBLANK('ENGAGEMENTS 2026'!C35),"",IF(AND(OR($E35="INFRUCTUEUX",$E35="ANNULE"),$C35="AOO-M"),'ENGAGEMENTS 2026'!P35,IF($H35="EN COURS DE PREENGAGEMENT",'ENGAGEMENTS 2026'!O35,IF($H35="PREENGAGE",IF($E35="ATTRIBUE",'ENGAGEMENTS 2026'!AE35,'ENGAGEMENTS 2026'!O35),'ENGAGEMENTS 2026'!AE35))))</f>
        <v/>
      </c>
      <c r="K35" s="604">
        <f>IF(ISBLANK('ENGAGEMENTS 2026'!W35),"",'ENGAGEMENTS 2026'!W35)</f>
        <v/>
      </c>
      <c r="L35" s="276">
        <f>IF($K35="","",TODAY()-$K35)</f>
        <v/>
      </c>
      <c r="M35">
        <f>IF($A35="","",IF($H35="ENGAGE","Engagé",IF(AND($H35="NON ENGAGE",OR($I35="INFRUCTUEUX",$I35="ANNULE")),"Clôturé sans suite","En cours")))</f>
        <v/>
      </c>
      <c r="N35">
        <f>IF(ISBLANK('ENGAGEMENTS 2026'!C35),"",'ENGAGEMENTS 2026'!L35)</f>
        <v/>
      </c>
      <c r="O35">
        <f>IF(ISBLANK('ENGAGEMENTS 2026'!C35),"",'ENGAGEMENTS 2026'!M35)</f>
        <v/>
      </c>
      <c r="P35">
        <f>IF(ISBLANK('ENGAGEMENTS 2026'!C35),"",'ENGAGEMENTS 2026'!K35)</f>
        <v/>
      </c>
      <c r="Q35">
        <f>IF($A35="","",IF(OR($E35="INFRUCTUEUX",$E35="ANNULE"),$A35&amp;"|"&amp;(COUNTIFS($A$2:$A35,$A35,$E$2:$E35,"INFRUCTUEUX")+COUNTIFS($A$2:$A35,$A35,$E$2:$E35,"ANNULE")),""))</f>
        <v/>
      </c>
    </row>
    <row r="36">
      <c r="A36">
        <f>IF(ISBLANK('ENGAGEMENTS 2026'!C36),"",IF('ENGAGEMENTS 2026'!C36="DTSI","DCT",'ENGAGEMENTS 2026'!C36))</f>
        <v/>
      </c>
      <c r="B36">
        <f>IF(ISBLANK('ENGAGEMENTS 2026'!C36),"",'ENGAGEMENTS 2026'!D36)</f>
        <v/>
      </c>
      <c r="C36">
        <f>IF(ISBLANK('ENGAGEMENTS 2026'!C36),"",'ENGAGEMENTS 2026'!E36)</f>
        <v/>
      </c>
      <c r="D36">
        <f>IF(ISBLANK('ENGAGEMENTS 2026'!C36),"",'ENGAGEMENTS 2026'!G36)</f>
        <v/>
      </c>
      <c r="E36">
        <f>IF(ISBLANK('ENGAGEMENTS 2026'!C36),"",'ENGAGEMENTS 2026'!I36)</f>
        <v/>
      </c>
      <c r="F36">
        <f>IF(ISBLANK('ENGAGEMENTS 2026'!C36),"",'ENGAGEMENTS 2026'!J36)</f>
        <v/>
      </c>
      <c r="G36">
        <f>IF(ISBLANK('ENGAGEMENTS 2026'!C36),"",'ENGAGEMENTS 2026'!M36)</f>
        <v/>
      </c>
      <c r="H36">
        <f>IF(ISBLANK('ENGAGEMENTS 2026'!C36),"",'ENGAGEMENTS 2026'!AF36)</f>
        <v/>
      </c>
      <c r="I36">
        <f>IF(ISBLANK('ENGAGEMENTS 2026'!C36),"",'ENGAGEMENTS 2026'!H36)</f>
        <v/>
      </c>
      <c r="J36" s="275">
        <f>IF(ISBLANK('ENGAGEMENTS 2026'!C36),"",IF(AND(OR($E36="INFRUCTUEUX",$E36="ANNULE"),$C36="AOO-M"),'ENGAGEMENTS 2026'!P36,IF($H36="EN COURS DE PREENGAGEMENT",'ENGAGEMENTS 2026'!O36,IF($H36="PREENGAGE",IF($E36="ATTRIBUE",'ENGAGEMENTS 2026'!AE36,'ENGAGEMENTS 2026'!O36),'ENGAGEMENTS 2026'!AE36))))</f>
        <v/>
      </c>
      <c r="K36" s="604">
        <f>IF(ISBLANK('ENGAGEMENTS 2026'!W36),"",'ENGAGEMENTS 2026'!W36)</f>
        <v/>
      </c>
      <c r="L36" s="276">
        <f>IF($K36="","",TODAY()-$K36)</f>
        <v/>
      </c>
      <c r="M36">
        <f>IF($A36="","",IF($H36="ENGAGE","Engagé",IF(AND($H36="NON ENGAGE",OR($I36="INFRUCTUEUX",$I36="ANNULE")),"Clôturé sans suite","En cours")))</f>
        <v/>
      </c>
      <c r="N36">
        <f>IF(ISBLANK('ENGAGEMENTS 2026'!C36),"",'ENGAGEMENTS 2026'!L36)</f>
        <v/>
      </c>
      <c r="O36">
        <f>IF(ISBLANK('ENGAGEMENTS 2026'!C36),"",'ENGAGEMENTS 2026'!M36)</f>
        <v/>
      </c>
      <c r="P36">
        <f>IF(ISBLANK('ENGAGEMENTS 2026'!C36),"",'ENGAGEMENTS 2026'!K36)</f>
        <v/>
      </c>
      <c r="Q36">
        <f>IF($A36="","",IF(OR($E36="INFRUCTUEUX",$E36="ANNULE"),$A36&amp;"|"&amp;(COUNTIFS($A$2:$A36,$A36,$E$2:$E36,"INFRUCTUEUX")+COUNTIFS($A$2:$A36,$A36,$E$2:$E36,"ANNULE")),""))</f>
        <v/>
      </c>
    </row>
    <row r="37">
      <c r="A37">
        <f>IF(ISBLANK('ENGAGEMENTS 2026'!C37),"",IF('ENGAGEMENTS 2026'!C37="DTSI","DCT",'ENGAGEMENTS 2026'!C37))</f>
        <v/>
      </c>
      <c r="B37">
        <f>IF(ISBLANK('ENGAGEMENTS 2026'!C37),"",'ENGAGEMENTS 2026'!D37)</f>
        <v/>
      </c>
      <c r="C37">
        <f>IF(ISBLANK('ENGAGEMENTS 2026'!C37),"",'ENGAGEMENTS 2026'!E37)</f>
        <v/>
      </c>
      <c r="D37">
        <f>IF(ISBLANK('ENGAGEMENTS 2026'!C37),"",'ENGAGEMENTS 2026'!G37)</f>
        <v/>
      </c>
      <c r="E37">
        <f>IF(ISBLANK('ENGAGEMENTS 2026'!C37),"",'ENGAGEMENTS 2026'!I37)</f>
        <v/>
      </c>
      <c r="F37">
        <f>IF(ISBLANK('ENGAGEMENTS 2026'!C37),"",'ENGAGEMENTS 2026'!J37)</f>
        <v/>
      </c>
      <c r="G37">
        <f>IF(ISBLANK('ENGAGEMENTS 2026'!C37),"",'ENGAGEMENTS 2026'!M37)</f>
        <v/>
      </c>
      <c r="H37">
        <f>IF(ISBLANK('ENGAGEMENTS 2026'!C37),"",'ENGAGEMENTS 2026'!AF37)</f>
        <v/>
      </c>
      <c r="I37">
        <f>IF(ISBLANK('ENGAGEMENTS 2026'!C37),"",'ENGAGEMENTS 2026'!H37)</f>
        <v/>
      </c>
      <c r="J37" s="275">
        <f>IF(ISBLANK('ENGAGEMENTS 2026'!C37),"",IF(AND(OR($E37="INFRUCTUEUX",$E37="ANNULE"),$C37="AOO-M"),'ENGAGEMENTS 2026'!P37,IF($H37="EN COURS DE PREENGAGEMENT",'ENGAGEMENTS 2026'!O37,IF($H37="PREENGAGE",IF($E37="ATTRIBUE",'ENGAGEMENTS 2026'!AE37,'ENGAGEMENTS 2026'!O37),'ENGAGEMENTS 2026'!AE37))))</f>
        <v/>
      </c>
      <c r="K37" s="604">
        <f>IF(ISBLANK('ENGAGEMENTS 2026'!W37),"",'ENGAGEMENTS 2026'!W37)</f>
        <v/>
      </c>
      <c r="L37" s="276">
        <f>IF($K37="","",TODAY()-$K37)</f>
        <v/>
      </c>
      <c r="M37">
        <f>IF($A37="","",IF($H37="ENGAGE","Engagé",IF(AND($H37="NON ENGAGE",OR($I37="INFRUCTUEUX",$I37="ANNULE")),"Clôturé sans suite","En cours")))</f>
        <v/>
      </c>
      <c r="N37">
        <f>IF(ISBLANK('ENGAGEMENTS 2026'!C37),"",'ENGAGEMENTS 2026'!L37)</f>
        <v/>
      </c>
      <c r="O37">
        <f>IF(ISBLANK('ENGAGEMENTS 2026'!C37),"",'ENGAGEMENTS 2026'!M37)</f>
        <v/>
      </c>
      <c r="P37">
        <f>IF(ISBLANK('ENGAGEMENTS 2026'!C37),"",'ENGAGEMENTS 2026'!K37)</f>
        <v/>
      </c>
      <c r="Q37">
        <f>IF($A37="","",IF(OR($E37="INFRUCTUEUX",$E37="ANNULE"),$A37&amp;"|"&amp;(COUNTIFS($A$2:$A37,$A37,$E$2:$E37,"INFRUCTUEUX")+COUNTIFS($A$2:$A37,$A37,$E$2:$E37,"ANNULE")),""))</f>
        <v/>
      </c>
    </row>
    <row r="38">
      <c r="A38">
        <f>IF(ISBLANK('ENGAGEMENTS 2026'!C38),"",IF('ENGAGEMENTS 2026'!C38="DTSI","DCT",'ENGAGEMENTS 2026'!C38))</f>
        <v/>
      </c>
      <c r="B38">
        <f>IF(ISBLANK('ENGAGEMENTS 2026'!C38),"",'ENGAGEMENTS 2026'!D38)</f>
        <v/>
      </c>
      <c r="C38">
        <f>IF(ISBLANK('ENGAGEMENTS 2026'!C38),"",'ENGAGEMENTS 2026'!E38)</f>
        <v/>
      </c>
      <c r="D38">
        <f>IF(ISBLANK('ENGAGEMENTS 2026'!C38),"",'ENGAGEMENTS 2026'!G38)</f>
        <v/>
      </c>
      <c r="E38">
        <f>IF(ISBLANK('ENGAGEMENTS 2026'!C38),"",'ENGAGEMENTS 2026'!I38)</f>
        <v/>
      </c>
      <c r="F38">
        <f>IF(ISBLANK('ENGAGEMENTS 2026'!C38),"",'ENGAGEMENTS 2026'!J38)</f>
        <v/>
      </c>
      <c r="G38">
        <f>IF(ISBLANK('ENGAGEMENTS 2026'!C38),"",'ENGAGEMENTS 2026'!M38)</f>
        <v/>
      </c>
      <c r="H38">
        <f>IF(ISBLANK('ENGAGEMENTS 2026'!C38),"",'ENGAGEMENTS 2026'!AF38)</f>
        <v/>
      </c>
      <c r="I38">
        <f>IF(ISBLANK('ENGAGEMENTS 2026'!C38),"",'ENGAGEMENTS 2026'!H38)</f>
        <v/>
      </c>
      <c r="J38" s="275">
        <f>IF(ISBLANK('ENGAGEMENTS 2026'!C38),"",IF(AND(OR($E38="INFRUCTUEUX",$E38="ANNULE"),$C38="AOO-M"),'ENGAGEMENTS 2026'!P38,IF($H38="EN COURS DE PREENGAGEMENT",'ENGAGEMENTS 2026'!O38,IF($H38="PREENGAGE",IF($E38="ATTRIBUE",'ENGAGEMENTS 2026'!AE38,'ENGAGEMENTS 2026'!O38),'ENGAGEMENTS 2026'!AE38))))</f>
        <v/>
      </c>
      <c r="K38" s="604">
        <f>IF(ISBLANK('ENGAGEMENTS 2026'!W38),"",'ENGAGEMENTS 2026'!W38)</f>
        <v/>
      </c>
      <c r="L38" s="276">
        <f>IF($K38="","",TODAY()-$K38)</f>
        <v/>
      </c>
      <c r="M38">
        <f>IF($A38="","",IF($H38="ENGAGE","Engagé",IF(AND($H38="NON ENGAGE",OR($I38="INFRUCTUEUX",$I38="ANNULE")),"Clôturé sans suite","En cours")))</f>
        <v/>
      </c>
      <c r="N38">
        <f>IF(ISBLANK('ENGAGEMENTS 2026'!C38),"",'ENGAGEMENTS 2026'!L38)</f>
        <v/>
      </c>
      <c r="O38">
        <f>IF(ISBLANK('ENGAGEMENTS 2026'!C38),"",'ENGAGEMENTS 2026'!M38)</f>
        <v/>
      </c>
      <c r="P38">
        <f>IF(ISBLANK('ENGAGEMENTS 2026'!C38),"",'ENGAGEMENTS 2026'!K38)</f>
        <v/>
      </c>
      <c r="Q38">
        <f>IF($A38="","",IF(OR($E38="INFRUCTUEUX",$E38="ANNULE"),$A38&amp;"|"&amp;(COUNTIFS($A$2:$A38,$A38,$E$2:$E38,"INFRUCTUEUX")+COUNTIFS($A$2:$A38,$A38,$E$2:$E38,"ANNULE")),""))</f>
        <v/>
      </c>
    </row>
    <row r="39">
      <c r="A39">
        <f>IF(ISBLANK('ENGAGEMENTS 2026'!C39),"",IF('ENGAGEMENTS 2026'!C39="DTSI","DCT",'ENGAGEMENTS 2026'!C39))</f>
        <v/>
      </c>
      <c r="B39">
        <f>IF(ISBLANK('ENGAGEMENTS 2026'!C39),"",'ENGAGEMENTS 2026'!D39)</f>
        <v/>
      </c>
      <c r="C39">
        <f>IF(ISBLANK('ENGAGEMENTS 2026'!C39),"",'ENGAGEMENTS 2026'!E39)</f>
        <v/>
      </c>
      <c r="D39">
        <f>IF(ISBLANK('ENGAGEMENTS 2026'!C39),"",'ENGAGEMENTS 2026'!G39)</f>
        <v/>
      </c>
      <c r="E39">
        <f>IF(ISBLANK('ENGAGEMENTS 2026'!C39),"",'ENGAGEMENTS 2026'!I39)</f>
        <v/>
      </c>
      <c r="F39">
        <f>IF(ISBLANK('ENGAGEMENTS 2026'!C39),"",'ENGAGEMENTS 2026'!J39)</f>
        <v/>
      </c>
      <c r="G39">
        <f>IF(ISBLANK('ENGAGEMENTS 2026'!C39),"",'ENGAGEMENTS 2026'!M39)</f>
        <v/>
      </c>
      <c r="H39">
        <f>IF(ISBLANK('ENGAGEMENTS 2026'!C39),"",'ENGAGEMENTS 2026'!AF39)</f>
        <v/>
      </c>
      <c r="I39">
        <f>IF(ISBLANK('ENGAGEMENTS 2026'!C39),"",'ENGAGEMENTS 2026'!H39)</f>
        <v/>
      </c>
      <c r="J39" s="275">
        <f>IF(ISBLANK('ENGAGEMENTS 2026'!C39),"",IF(AND(OR($E39="INFRUCTUEUX",$E39="ANNULE"),$C39="AOO-M"),'ENGAGEMENTS 2026'!P39,IF($H39="EN COURS DE PREENGAGEMENT",'ENGAGEMENTS 2026'!O39,IF($H39="PREENGAGE",IF($E39="ATTRIBUE",'ENGAGEMENTS 2026'!AE39,'ENGAGEMENTS 2026'!O39),'ENGAGEMENTS 2026'!AE39))))</f>
        <v/>
      </c>
      <c r="K39" s="604">
        <f>IF(ISBLANK('ENGAGEMENTS 2026'!W39),"",'ENGAGEMENTS 2026'!W39)</f>
        <v/>
      </c>
      <c r="L39" s="276">
        <f>IF($K39="","",TODAY()-$K39)</f>
        <v/>
      </c>
      <c r="M39">
        <f>IF($A39="","",IF($H39="ENGAGE","Engagé",IF(AND($H39="NON ENGAGE",OR($I39="INFRUCTUEUX",$I39="ANNULE")),"Clôturé sans suite","En cours")))</f>
        <v/>
      </c>
      <c r="N39">
        <f>IF(ISBLANK('ENGAGEMENTS 2026'!C39),"",'ENGAGEMENTS 2026'!L39)</f>
        <v/>
      </c>
      <c r="O39">
        <f>IF(ISBLANK('ENGAGEMENTS 2026'!C39),"",'ENGAGEMENTS 2026'!M39)</f>
        <v/>
      </c>
      <c r="P39">
        <f>IF(ISBLANK('ENGAGEMENTS 2026'!C39),"",'ENGAGEMENTS 2026'!K39)</f>
        <v/>
      </c>
      <c r="Q39">
        <f>IF($A39="","",IF(OR($E39="INFRUCTUEUX",$E39="ANNULE"),$A39&amp;"|"&amp;(COUNTIFS($A$2:$A39,$A39,$E$2:$E39,"INFRUCTUEUX")+COUNTIFS($A$2:$A39,$A39,$E$2:$E39,"ANNULE")),""))</f>
        <v/>
      </c>
    </row>
    <row r="40">
      <c r="A40">
        <f>IF(ISBLANK('ENGAGEMENTS 2026'!C40),"",IF('ENGAGEMENTS 2026'!C40="DTSI","DCT",'ENGAGEMENTS 2026'!C40))</f>
        <v/>
      </c>
      <c r="B40">
        <f>IF(ISBLANK('ENGAGEMENTS 2026'!C40),"",'ENGAGEMENTS 2026'!D40)</f>
        <v/>
      </c>
      <c r="C40">
        <f>IF(ISBLANK('ENGAGEMENTS 2026'!C40),"",'ENGAGEMENTS 2026'!E40)</f>
        <v/>
      </c>
      <c r="D40">
        <f>IF(ISBLANK('ENGAGEMENTS 2026'!C40),"",'ENGAGEMENTS 2026'!G40)</f>
        <v/>
      </c>
      <c r="E40">
        <f>IF(ISBLANK('ENGAGEMENTS 2026'!C40),"",'ENGAGEMENTS 2026'!I40)</f>
        <v/>
      </c>
      <c r="F40">
        <f>IF(ISBLANK('ENGAGEMENTS 2026'!C40),"",'ENGAGEMENTS 2026'!J40)</f>
        <v/>
      </c>
      <c r="G40">
        <f>IF(ISBLANK('ENGAGEMENTS 2026'!C40),"",'ENGAGEMENTS 2026'!M40)</f>
        <v/>
      </c>
      <c r="H40">
        <f>IF(ISBLANK('ENGAGEMENTS 2026'!C40),"",'ENGAGEMENTS 2026'!AF40)</f>
        <v/>
      </c>
      <c r="I40">
        <f>IF(ISBLANK('ENGAGEMENTS 2026'!C40),"",'ENGAGEMENTS 2026'!H40)</f>
        <v/>
      </c>
      <c r="J40" s="275">
        <f>IF(ISBLANK('ENGAGEMENTS 2026'!C40),"",IF(AND(OR($E40="INFRUCTUEUX",$E40="ANNULE"),$C40="AOO-M"),'ENGAGEMENTS 2026'!P40,IF($H40="EN COURS DE PREENGAGEMENT",'ENGAGEMENTS 2026'!O40,IF($H40="PREENGAGE",IF($E40="ATTRIBUE",'ENGAGEMENTS 2026'!AE40,'ENGAGEMENTS 2026'!O40),'ENGAGEMENTS 2026'!AE40))))</f>
        <v/>
      </c>
      <c r="K40" s="604">
        <f>IF(ISBLANK('ENGAGEMENTS 2026'!W40),"",'ENGAGEMENTS 2026'!W40)</f>
        <v/>
      </c>
      <c r="L40" s="276">
        <f>IF($K40="","",TODAY()-$K40)</f>
        <v/>
      </c>
      <c r="M40">
        <f>IF($A40="","",IF($H40="ENGAGE","Engagé",IF(AND($H40="NON ENGAGE",OR($I40="INFRUCTUEUX",$I40="ANNULE")),"Clôturé sans suite","En cours")))</f>
        <v/>
      </c>
      <c r="N40">
        <f>IF(ISBLANK('ENGAGEMENTS 2026'!C40),"",'ENGAGEMENTS 2026'!L40)</f>
        <v/>
      </c>
      <c r="O40">
        <f>IF(ISBLANK('ENGAGEMENTS 2026'!C40),"",'ENGAGEMENTS 2026'!M40)</f>
        <v/>
      </c>
      <c r="P40">
        <f>IF(ISBLANK('ENGAGEMENTS 2026'!C40),"",'ENGAGEMENTS 2026'!K40)</f>
        <v/>
      </c>
      <c r="Q40">
        <f>IF($A40="","",IF(OR($E40="INFRUCTUEUX",$E40="ANNULE"),$A40&amp;"|"&amp;(COUNTIFS($A$2:$A40,$A40,$E$2:$E40,"INFRUCTUEUX")+COUNTIFS($A$2:$A40,$A40,$E$2:$E40,"ANNULE")),""))</f>
        <v/>
      </c>
    </row>
    <row r="41">
      <c r="A41">
        <f>IF(ISBLANK('ENGAGEMENTS 2026'!C41),"",IF('ENGAGEMENTS 2026'!C41="DTSI","DCT",'ENGAGEMENTS 2026'!C41))</f>
        <v/>
      </c>
      <c r="B41">
        <f>IF(ISBLANK('ENGAGEMENTS 2026'!C41),"",'ENGAGEMENTS 2026'!D41)</f>
        <v/>
      </c>
      <c r="C41">
        <f>IF(ISBLANK('ENGAGEMENTS 2026'!C41),"",'ENGAGEMENTS 2026'!E41)</f>
        <v/>
      </c>
      <c r="D41">
        <f>IF(ISBLANK('ENGAGEMENTS 2026'!C41),"",'ENGAGEMENTS 2026'!G41)</f>
        <v/>
      </c>
      <c r="E41">
        <f>IF(ISBLANK('ENGAGEMENTS 2026'!C41),"",'ENGAGEMENTS 2026'!I41)</f>
        <v/>
      </c>
      <c r="F41">
        <f>IF(ISBLANK('ENGAGEMENTS 2026'!C41),"",'ENGAGEMENTS 2026'!J41)</f>
        <v/>
      </c>
      <c r="G41">
        <f>IF(ISBLANK('ENGAGEMENTS 2026'!C41),"",'ENGAGEMENTS 2026'!M41)</f>
        <v/>
      </c>
      <c r="H41">
        <f>IF(ISBLANK('ENGAGEMENTS 2026'!C41),"",'ENGAGEMENTS 2026'!AF41)</f>
        <v/>
      </c>
      <c r="I41">
        <f>IF(ISBLANK('ENGAGEMENTS 2026'!C41),"",'ENGAGEMENTS 2026'!H41)</f>
        <v/>
      </c>
      <c r="J41" s="275">
        <f>IF(ISBLANK('ENGAGEMENTS 2026'!C41),"",IF(AND(OR($E41="INFRUCTUEUX",$E41="ANNULE"),$C41="AOO-M"),'ENGAGEMENTS 2026'!P41,IF($H41="EN COURS DE PREENGAGEMENT",'ENGAGEMENTS 2026'!O41,IF($H41="PREENGAGE",IF($E41="ATTRIBUE",'ENGAGEMENTS 2026'!AE41,'ENGAGEMENTS 2026'!O41),'ENGAGEMENTS 2026'!AE41))))</f>
        <v/>
      </c>
      <c r="K41" s="604">
        <f>IF(ISBLANK('ENGAGEMENTS 2026'!W41),"",'ENGAGEMENTS 2026'!W41)</f>
        <v/>
      </c>
      <c r="L41" s="276">
        <f>IF($K41="","",TODAY()-$K41)</f>
        <v/>
      </c>
      <c r="M41">
        <f>IF($A41="","",IF($H41="ENGAGE","Engagé",IF(AND($H41="NON ENGAGE",OR($I41="INFRUCTUEUX",$I41="ANNULE")),"Clôturé sans suite","En cours")))</f>
        <v/>
      </c>
      <c r="N41">
        <f>IF(ISBLANK('ENGAGEMENTS 2026'!C41),"",'ENGAGEMENTS 2026'!L41)</f>
        <v/>
      </c>
      <c r="O41">
        <f>IF(ISBLANK('ENGAGEMENTS 2026'!C41),"",'ENGAGEMENTS 2026'!M41)</f>
        <v/>
      </c>
      <c r="P41">
        <f>IF(ISBLANK('ENGAGEMENTS 2026'!C41),"",'ENGAGEMENTS 2026'!K41)</f>
        <v/>
      </c>
      <c r="Q41">
        <f>IF($A41="","",IF(OR($E41="INFRUCTUEUX",$E41="ANNULE"),$A41&amp;"|"&amp;(COUNTIFS($A$2:$A41,$A41,$E$2:$E41,"INFRUCTUEUX")+COUNTIFS($A$2:$A41,$A41,$E$2:$E41,"ANNULE")),""))</f>
        <v/>
      </c>
    </row>
    <row r="42">
      <c r="A42">
        <f>IF(ISBLANK('ENGAGEMENTS 2026'!C42),"",IF('ENGAGEMENTS 2026'!C42="DTSI","DCT",'ENGAGEMENTS 2026'!C42))</f>
        <v/>
      </c>
      <c r="B42">
        <f>IF(ISBLANK('ENGAGEMENTS 2026'!C42),"",'ENGAGEMENTS 2026'!D42)</f>
        <v/>
      </c>
      <c r="C42">
        <f>IF(ISBLANK('ENGAGEMENTS 2026'!C42),"",'ENGAGEMENTS 2026'!E42)</f>
        <v/>
      </c>
      <c r="D42">
        <f>IF(ISBLANK('ENGAGEMENTS 2026'!C42),"",'ENGAGEMENTS 2026'!G42)</f>
        <v/>
      </c>
      <c r="E42">
        <f>IF(ISBLANK('ENGAGEMENTS 2026'!C42),"",'ENGAGEMENTS 2026'!I42)</f>
        <v/>
      </c>
      <c r="F42">
        <f>IF(ISBLANK('ENGAGEMENTS 2026'!C42),"",'ENGAGEMENTS 2026'!J42)</f>
        <v/>
      </c>
      <c r="G42">
        <f>IF(ISBLANK('ENGAGEMENTS 2026'!C42),"",'ENGAGEMENTS 2026'!M42)</f>
        <v/>
      </c>
      <c r="H42">
        <f>IF(ISBLANK('ENGAGEMENTS 2026'!C42),"",'ENGAGEMENTS 2026'!AF42)</f>
        <v/>
      </c>
      <c r="I42">
        <f>IF(ISBLANK('ENGAGEMENTS 2026'!C42),"",'ENGAGEMENTS 2026'!H42)</f>
        <v/>
      </c>
      <c r="J42" s="275">
        <f>IF(ISBLANK('ENGAGEMENTS 2026'!C42),"",IF(AND(OR($E42="INFRUCTUEUX",$E42="ANNULE"),$C42="AOO-M"),'ENGAGEMENTS 2026'!P42,IF($H42="EN COURS DE PREENGAGEMENT",'ENGAGEMENTS 2026'!O42,IF($H42="PREENGAGE",IF($E42="ATTRIBUE",'ENGAGEMENTS 2026'!AE42,'ENGAGEMENTS 2026'!O42),'ENGAGEMENTS 2026'!AE42))))</f>
        <v/>
      </c>
      <c r="K42" s="604">
        <f>IF(ISBLANK('ENGAGEMENTS 2026'!W42),"",'ENGAGEMENTS 2026'!W42)</f>
        <v/>
      </c>
      <c r="L42" s="276">
        <f>IF($K42="","",TODAY()-$K42)</f>
        <v/>
      </c>
      <c r="M42">
        <f>IF($A42="","",IF($H42="ENGAGE","Engagé",IF(AND($H42="NON ENGAGE",OR($I42="INFRUCTUEUX",$I42="ANNULE")),"Clôturé sans suite","En cours")))</f>
        <v/>
      </c>
      <c r="N42">
        <f>IF(ISBLANK('ENGAGEMENTS 2026'!C42),"",'ENGAGEMENTS 2026'!L42)</f>
        <v/>
      </c>
      <c r="O42">
        <f>IF(ISBLANK('ENGAGEMENTS 2026'!C42),"",'ENGAGEMENTS 2026'!M42)</f>
        <v/>
      </c>
      <c r="P42">
        <f>IF(ISBLANK('ENGAGEMENTS 2026'!C42),"",'ENGAGEMENTS 2026'!K42)</f>
        <v/>
      </c>
      <c r="Q42">
        <f>IF($A42="","",IF(OR($E42="INFRUCTUEUX",$E42="ANNULE"),$A42&amp;"|"&amp;(COUNTIFS($A$2:$A42,$A42,$E$2:$E42,"INFRUCTUEUX")+COUNTIFS($A$2:$A42,$A42,$E$2:$E42,"ANNULE")),""))</f>
        <v/>
      </c>
    </row>
    <row r="43">
      <c r="A43">
        <f>IF(ISBLANK('ENGAGEMENTS 2026'!C43),"",IF('ENGAGEMENTS 2026'!C43="DTSI","DCT",'ENGAGEMENTS 2026'!C43))</f>
        <v/>
      </c>
      <c r="B43">
        <f>IF(ISBLANK('ENGAGEMENTS 2026'!C43),"",'ENGAGEMENTS 2026'!D43)</f>
        <v/>
      </c>
      <c r="C43">
        <f>IF(ISBLANK('ENGAGEMENTS 2026'!C43),"",'ENGAGEMENTS 2026'!E43)</f>
        <v/>
      </c>
      <c r="D43">
        <f>IF(ISBLANK('ENGAGEMENTS 2026'!C43),"",'ENGAGEMENTS 2026'!G43)</f>
        <v/>
      </c>
      <c r="E43">
        <f>IF(ISBLANK('ENGAGEMENTS 2026'!C43),"",'ENGAGEMENTS 2026'!I43)</f>
        <v/>
      </c>
      <c r="F43">
        <f>IF(ISBLANK('ENGAGEMENTS 2026'!C43),"",'ENGAGEMENTS 2026'!J43)</f>
        <v/>
      </c>
      <c r="G43">
        <f>IF(ISBLANK('ENGAGEMENTS 2026'!C43),"",'ENGAGEMENTS 2026'!M43)</f>
        <v/>
      </c>
      <c r="H43">
        <f>IF(ISBLANK('ENGAGEMENTS 2026'!C43),"",'ENGAGEMENTS 2026'!AF43)</f>
        <v/>
      </c>
      <c r="I43">
        <f>IF(ISBLANK('ENGAGEMENTS 2026'!C43),"",'ENGAGEMENTS 2026'!H43)</f>
        <v/>
      </c>
      <c r="J43" s="275">
        <f>IF(ISBLANK('ENGAGEMENTS 2026'!C43),"",IF(AND(OR($E43="INFRUCTUEUX",$E43="ANNULE"),$C43="AOO-M"),'ENGAGEMENTS 2026'!P43,IF($H43="EN COURS DE PREENGAGEMENT",'ENGAGEMENTS 2026'!O43,IF($H43="PREENGAGE",IF($E43="ATTRIBUE",'ENGAGEMENTS 2026'!AE43,'ENGAGEMENTS 2026'!O43),'ENGAGEMENTS 2026'!AE43))))</f>
        <v/>
      </c>
      <c r="K43" s="604">
        <f>IF(ISBLANK('ENGAGEMENTS 2026'!W43),"",'ENGAGEMENTS 2026'!W43)</f>
        <v/>
      </c>
      <c r="L43" s="276">
        <f>IF($K43="","",TODAY()-$K43)</f>
        <v/>
      </c>
      <c r="M43">
        <f>IF($A43="","",IF($H43="ENGAGE","Engagé",IF(AND($H43="NON ENGAGE",OR($I43="INFRUCTUEUX",$I43="ANNULE")),"Clôturé sans suite","En cours")))</f>
        <v/>
      </c>
      <c r="N43">
        <f>IF(ISBLANK('ENGAGEMENTS 2026'!C43),"",'ENGAGEMENTS 2026'!L43)</f>
        <v/>
      </c>
      <c r="O43">
        <f>IF(ISBLANK('ENGAGEMENTS 2026'!C43),"",'ENGAGEMENTS 2026'!M43)</f>
        <v/>
      </c>
      <c r="P43">
        <f>IF(ISBLANK('ENGAGEMENTS 2026'!C43),"",'ENGAGEMENTS 2026'!K43)</f>
        <v/>
      </c>
      <c r="Q43">
        <f>IF($A43="","",IF(OR($E43="INFRUCTUEUX",$E43="ANNULE"),$A43&amp;"|"&amp;(COUNTIFS($A$2:$A43,$A43,$E$2:$E43,"INFRUCTUEUX")+COUNTIFS($A$2:$A43,$A43,$E$2:$E43,"ANNULE")),""))</f>
        <v/>
      </c>
    </row>
    <row r="44">
      <c r="A44">
        <f>IF(ISBLANK('ENGAGEMENTS 2026'!C44),"",IF('ENGAGEMENTS 2026'!C44="DTSI","DCT",'ENGAGEMENTS 2026'!C44))</f>
        <v/>
      </c>
      <c r="B44">
        <f>IF(ISBLANK('ENGAGEMENTS 2026'!C44),"",'ENGAGEMENTS 2026'!D44)</f>
        <v/>
      </c>
      <c r="C44">
        <f>IF(ISBLANK('ENGAGEMENTS 2026'!C44),"",'ENGAGEMENTS 2026'!E44)</f>
        <v/>
      </c>
      <c r="D44">
        <f>IF(ISBLANK('ENGAGEMENTS 2026'!C44),"",'ENGAGEMENTS 2026'!G44)</f>
        <v/>
      </c>
      <c r="E44">
        <f>IF(ISBLANK('ENGAGEMENTS 2026'!C44),"",'ENGAGEMENTS 2026'!I44)</f>
        <v/>
      </c>
      <c r="F44">
        <f>IF(ISBLANK('ENGAGEMENTS 2026'!C44),"",'ENGAGEMENTS 2026'!J44)</f>
        <v/>
      </c>
      <c r="G44">
        <f>IF(ISBLANK('ENGAGEMENTS 2026'!C44),"",'ENGAGEMENTS 2026'!M44)</f>
        <v/>
      </c>
      <c r="H44">
        <f>IF(ISBLANK('ENGAGEMENTS 2026'!C44),"",'ENGAGEMENTS 2026'!AF44)</f>
        <v/>
      </c>
      <c r="I44">
        <f>IF(ISBLANK('ENGAGEMENTS 2026'!C44),"",'ENGAGEMENTS 2026'!H44)</f>
        <v/>
      </c>
      <c r="J44" s="275">
        <f>IF(ISBLANK('ENGAGEMENTS 2026'!C44),"",IF(AND(OR($E44="INFRUCTUEUX",$E44="ANNULE"),$C44="AOO-M"),'ENGAGEMENTS 2026'!P44,IF($H44="EN COURS DE PREENGAGEMENT",'ENGAGEMENTS 2026'!O44,IF($H44="PREENGAGE",IF($E44="ATTRIBUE",'ENGAGEMENTS 2026'!AE44,'ENGAGEMENTS 2026'!O44),'ENGAGEMENTS 2026'!AE44))))</f>
        <v/>
      </c>
      <c r="K44" s="604">
        <f>IF(ISBLANK('ENGAGEMENTS 2026'!W44),"",'ENGAGEMENTS 2026'!W44)</f>
        <v/>
      </c>
      <c r="L44" s="276">
        <f>IF($K44="","",TODAY()-$K44)</f>
        <v/>
      </c>
      <c r="M44">
        <f>IF($A44="","",IF($H44="ENGAGE","Engagé",IF(AND($H44="NON ENGAGE",OR($I44="INFRUCTUEUX",$I44="ANNULE")),"Clôturé sans suite","En cours")))</f>
        <v/>
      </c>
      <c r="N44">
        <f>IF(ISBLANK('ENGAGEMENTS 2026'!C44),"",'ENGAGEMENTS 2026'!L44)</f>
        <v/>
      </c>
      <c r="O44">
        <f>IF(ISBLANK('ENGAGEMENTS 2026'!C44),"",'ENGAGEMENTS 2026'!M44)</f>
        <v/>
      </c>
      <c r="P44">
        <f>IF(ISBLANK('ENGAGEMENTS 2026'!C44),"",'ENGAGEMENTS 2026'!K44)</f>
        <v/>
      </c>
      <c r="Q44">
        <f>IF($A44="","",IF(OR($E44="INFRUCTUEUX",$E44="ANNULE"),$A44&amp;"|"&amp;(COUNTIFS($A$2:$A44,$A44,$E$2:$E44,"INFRUCTUEUX")+COUNTIFS($A$2:$A44,$A44,$E$2:$E44,"ANNULE")),""))</f>
        <v/>
      </c>
    </row>
    <row r="45">
      <c r="A45">
        <f>IF(ISBLANK('ENGAGEMENTS 2026'!C45),"",IF('ENGAGEMENTS 2026'!C45="DTSI","DCT",'ENGAGEMENTS 2026'!C45))</f>
        <v/>
      </c>
      <c r="B45">
        <f>IF(ISBLANK('ENGAGEMENTS 2026'!C45),"",'ENGAGEMENTS 2026'!D45)</f>
        <v/>
      </c>
      <c r="C45">
        <f>IF(ISBLANK('ENGAGEMENTS 2026'!C45),"",'ENGAGEMENTS 2026'!E45)</f>
        <v/>
      </c>
      <c r="D45">
        <f>IF(ISBLANK('ENGAGEMENTS 2026'!C45),"",'ENGAGEMENTS 2026'!G45)</f>
        <v/>
      </c>
      <c r="E45">
        <f>IF(ISBLANK('ENGAGEMENTS 2026'!C45),"",'ENGAGEMENTS 2026'!I45)</f>
        <v/>
      </c>
      <c r="F45">
        <f>IF(ISBLANK('ENGAGEMENTS 2026'!C45),"",'ENGAGEMENTS 2026'!J45)</f>
        <v/>
      </c>
      <c r="G45">
        <f>IF(ISBLANK('ENGAGEMENTS 2026'!C45),"",'ENGAGEMENTS 2026'!M45)</f>
        <v/>
      </c>
      <c r="H45">
        <f>IF(ISBLANK('ENGAGEMENTS 2026'!C45),"",'ENGAGEMENTS 2026'!AF45)</f>
        <v/>
      </c>
      <c r="I45">
        <f>IF(ISBLANK('ENGAGEMENTS 2026'!C45),"",'ENGAGEMENTS 2026'!H45)</f>
        <v/>
      </c>
      <c r="J45" s="275">
        <f>IF(ISBLANK('ENGAGEMENTS 2026'!C45),"",IF(AND(OR($E45="INFRUCTUEUX",$E45="ANNULE"),$C45="AOO-M"),'ENGAGEMENTS 2026'!P45,IF($H45="EN COURS DE PREENGAGEMENT",'ENGAGEMENTS 2026'!O45,IF($H45="PREENGAGE",IF($E45="ATTRIBUE",'ENGAGEMENTS 2026'!AE45,'ENGAGEMENTS 2026'!O45),'ENGAGEMENTS 2026'!AE45))))</f>
        <v/>
      </c>
      <c r="K45" s="604">
        <f>IF(ISBLANK('ENGAGEMENTS 2026'!W45),"",'ENGAGEMENTS 2026'!W45)</f>
        <v/>
      </c>
      <c r="L45" s="276">
        <f>IF($K45="","",TODAY()-$K45)</f>
        <v/>
      </c>
      <c r="M45">
        <f>IF($A45="","",IF($H45="ENGAGE","Engagé",IF(AND($H45="NON ENGAGE",OR($I45="INFRUCTUEUX",$I45="ANNULE")),"Clôturé sans suite","En cours")))</f>
        <v/>
      </c>
      <c r="N45">
        <f>IF(ISBLANK('ENGAGEMENTS 2026'!C45),"",'ENGAGEMENTS 2026'!L45)</f>
        <v/>
      </c>
      <c r="O45">
        <f>IF(ISBLANK('ENGAGEMENTS 2026'!C45),"",'ENGAGEMENTS 2026'!M45)</f>
        <v/>
      </c>
      <c r="P45">
        <f>IF(ISBLANK('ENGAGEMENTS 2026'!C45),"",'ENGAGEMENTS 2026'!K45)</f>
        <v/>
      </c>
      <c r="Q45">
        <f>IF($A45="","",IF(OR($E45="INFRUCTUEUX",$E45="ANNULE"),$A45&amp;"|"&amp;(COUNTIFS($A$2:$A45,$A45,$E$2:$E45,"INFRUCTUEUX")+COUNTIFS($A$2:$A45,$A45,$E$2:$E45,"ANNULE")),""))</f>
        <v/>
      </c>
    </row>
    <row r="46">
      <c r="A46">
        <f>IF(ISBLANK('ENGAGEMENTS 2026'!C46),"",IF('ENGAGEMENTS 2026'!C46="DTSI","DCT",'ENGAGEMENTS 2026'!C46))</f>
        <v/>
      </c>
      <c r="B46">
        <f>IF(ISBLANK('ENGAGEMENTS 2026'!C46),"",'ENGAGEMENTS 2026'!D46)</f>
        <v/>
      </c>
      <c r="C46">
        <f>IF(ISBLANK('ENGAGEMENTS 2026'!C46),"",'ENGAGEMENTS 2026'!E46)</f>
        <v/>
      </c>
      <c r="D46">
        <f>IF(ISBLANK('ENGAGEMENTS 2026'!C46),"",'ENGAGEMENTS 2026'!G46)</f>
        <v/>
      </c>
      <c r="E46">
        <f>IF(ISBLANK('ENGAGEMENTS 2026'!C46),"",'ENGAGEMENTS 2026'!I46)</f>
        <v/>
      </c>
      <c r="F46">
        <f>IF(ISBLANK('ENGAGEMENTS 2026'!C46),"",'ENGAGEMENTS 2026'!J46)</f>
        <v/>
      </c>
      <c r="G46">
        <f>IF(ISBLANK('ENGAGEMENTS 2026'!C46),"",'ENGAGEMENTS 2026'!M46)</f>
        <v/>
      </c>
      <c r="H46">
        <f>IF(ISBLANK('ENGAGEMENTS 2026'!C46),"",'ENGAGEMENTS 2026'!AF46)</f>
        <v/>
      </c>
      <c r="I46">
        <f>IF(ISBLANK('ENGAGEMENTS 2026'!C46),"",'ENGAGEMENTS 2026'!H46)</f>
        <v/>
      </c>
      <c r="J46" s="275">
        <f>IF(ISBLANK('ENGAGEMENTS 2026'!C46),"",IF(AND(OR($E46="INFRUCTUEUX",$E46="ANNULE"),$C46="AOO-M"),'ENGAGEMENTS 2026'!P46,IF($H46="EN COURS DE PREENGAGEMENT",'ENGAGEMENTS 2026'!O46,IF($H46="PREENGAGE",IF($E46="ATTRIBUE",'ENGAGEMENTS 2026'!AE46,'ENGAGEMENTS 2026'!O46),'ENGAGEMENTS 2026'!AE46))))</f>
        <v/>
      </c>
      <c r="K46" s="604">
        <f>IF(ISBLANK('ENGAGEMENTS 2026'!W46),"",'ENGAGEMENTS 2026'!W46)</f>
        <v/>
      </c>
      <c r="L46" s="276">
        <f>IF($K46="","",TODAY()-$K46)</f>
        <v/>
      </c>
      <c r="M46">
        <f>IF($A46="","",IF($H46="ENGAGE","Engagé",IF(AND($H46="NON ENGAGE",OR($I46="INFRUCTUEUX",$I46="ANNULE")),"Clôturé sans suite","En cours")))</f>
        <v/>
      </c>
      <c r="N46">
        <f>IF(ISBLANK('ENGAGEMENTS 2026'!C46),"",'ENGAGEMENTS 2026'!L46)</f>
        <v/>
      </c>
      <c r="O46">
        <f>IF(ISBLANK('ENGAGEMENTS 2026'!C46),"",'ENGAGEMENTS 2026'!M46)</f>
        <v/>
      </c>
      <c r="P46">
        <f>IF(ISBLANK('ENGAGEMENTS 2026'!C46),"",'ENGAGEMENTS 2026'!K46)</f>
        <v/>
      </c>
      <c r="Q46">
        <f>IF($A46="","",IF(OR($E46="INFRUCTUEUX",$E46="ANNULE"),$A46&amp;"|"&amp;(COUNTIFS($A$2:$A46,$A46,$E$2:$E46,"INFRUCTUEUX")+COUNTIFS($A$2:$A46,$A46,$E$2:$E46,"ANNULE")),""))</f>
        <v/>
      </c>
    </row>
    <row r="47">
      <c r="A47">
        <f>IF(ISBLANK('ENGAGEMENTS 2026'!C47),"",IF('ENGAGEMENTS 2026'!C47="DTSI","DCT",'ENGAGEMENTS 2026'!C47))</f>
        <v/>
      </c>
      <c r="B47">
        <f>IF(ISBLANK('ENGAGEMENTS 2026'!C47),"",'ENGAGEMENTS 2026'!D47)</f>
        <v/>
      </c>
      <c r="C47">
        <f>IF(ISBLANK('ENGAGEMENTS 2026'!C47),"",'ENGAGEMENTS 2026'!E47)</f>
        <v/>
      </c>
      <c r="D47">
        <f>IF(ISBLANK('ENGAGEMENTS 2026'!C47),"",'ENGAGEMENTS 2026'!G47)</f>
        <v/>
      </c>
      <c r="E47">
        <f>IF(ISBLANK('ENGAGEMENTS 2026'!C47),"",'ENGAGEMENTS 2026'!I47)</f>
        <v/>
      </c>
      <c r="F47">
        <f>IF(ISBLANK('ENGAGEMENTS 2026'!C47),"",'ENGAGEMENTS 2026'!J47)</f>
        <v/>
      </c>
      <c r="G47">
        <f>IF(ISBLANK('ENGAGEMENTS 2026'!C47),"",'ENGAGEMENTS 2026'!M47)</f>
        <v/>
      </c>
      <c r="H47">
        <f>IF(ISBLANK('ENGAGEMENTS 2026'!C47),"",'ENGAGEMENTS 2026'!AF47)</f>
        <v/>
      </c>
      <c r="I47">
        <f>IF(ISBLANK('ENGAGEMENTS 2026'!C47),"",'ENGAGEMENTS 2026'!H47)</f>
        <v/>
      </c>
      <c r="J47" s="275">
        <f>IF(ISBLANK('ENGAGEMENTS 2026'!C47),"",IF(AND(OR($E47="INFRUCTUEUX",$E47="ANNULE"),$C47="AOO-M"),'ENGAGEMENTS 2026'!P47,IF($H47="EN COURS DE PREENGAGEMENT",'ENGAGEMENTS 2026'!O47,IF($H47="PREENGAGE",IF($E47="ATTRIBUE",'ENGAGEMENTS 2026'!AE47,'ENGAGEMENTS 2026'!O47),'ENGAGEMENTS 2026'!AE47))))</f>
        <v/>
      </c>
      <c r="K47" s="604">
        <f>IF(ISBLANK('ENGAGEMENTS 2026'!W47),"",'ENGAGEMENTS 2026'!W47)</f>
        <v/>
      </c>
      <c r="L47" s="276">
        <f>IF($K47="","",TODAY()-$K47)</f>
        <v/>
      </c>
      <c r="M47">
        <f>IF($A47="","",IF($H47="ENGAGE","Engagé",IF(AND($H47="NON ENGAGE",OR($I47="INFRUCTUEUX",$I47="ANNULE")),"Clôturé sans suite","En cours")))</f>
        <v/>
      </c>
      <c r="N47">
        <f>IF(ISBLANK('ENGAGEMENTS 2026'!C47),"",'ENGAGEMENTS 2026'!L47)</f>
        <v/>
      </c>
      <c r="O47">
        <f>IF(ISBLANK('ENGAGEMENTS 2026'!C47),"",'ENGAGEMENTS 2026'!M47)</f>
        <v/>
      </c>
      <c r="P47">
        <f>IF(ISBLANK('ENGAGEMENTS 2026'!C47),"",'ENGAGEMENTS 2026'!K47)</f>
        <v/>
      </c>
      <c r="Q47">
        <f>IF($A47="","",IF(OR($E47="INFRUCTUEUX",$E47="ANNULE"),$A47&amp;"|"&amp;(COUNTIFS($A$2:$A47,$A47,$E$2:$E47,"INFRUCTUEUX")+COUNTIFS($A$2:$A47,$A47,$E$2:$E47,"ANNULE")),""))</f>
        <v/>
      </c>
    </row>
    <row r="48">
      <c r="A48">
        <f>IF(ISBLANK('ENGAGEMENTS 2026'!C48),"",IF('ENGAGEMENTS 2026'!C48="DTSI","DCT",'ENGAGEMENTS 2026'!C48))</f>
        <v/>
      </c>
      <c r="B48">
        <f>IF(ISBLANK('ENGAGEMENTS 2026'!C48),"",'ENGAGEMENTS 2026'!D48)</f>
        <v/>
      </c>
      <c r="C48">
        <f>IF(ISBLANK('ENGAGEMENTS 2026'!C48),"",'ENGAGEMENTS 2026'!E48)</f>
        <v/>
      </c>
      <c r="D48">
        <f>IF(ISBLANK('ENGAGEMENTS 2026'!C48),"",'ENGAGEMENTS 2026'!G48)</f>
        <v/>
      </c>
      <c r="E48">
        <f>IF(ISBLANK('ENGAGEMENTS 2026'!C48),"",'ENGAGEMENTS 2026'!I48)</f>
        <v/>
      </c>
      <c r="F48">
        <f>IF(ISBLANK('ENGAGEMENTS 2026'!C48),"",'ENGAGEMENTS 2026'!J48)</f>
        <v/>
      </c>
      <c r="G48">
        <f>IF(ISBLANK('ENGAGEMENTS 2026'!C48),"",'ENGAGEMENTS 2026'!M48)</f>
        <v/>
      </c>
      <c r="H48">
        <f>IF(ISBLANK('ENGAGEMENTS 2026'!C48),"",'ENGAGEMENTS 2026'!AF48)</f>
        <v/>
      </c>
      <c r="I48">
        <f>IF(ISBLANK('ENGAGEMENTS 2026'!C48),"",'ENGAGEMENTS 2026'!H48)</f>
        <v/>
      </c>
      <c r="J48" s="275">
        <f>IF(ISBLANK('ENGAGEMENTS 2026'!C48),"",IF(AND(OR($E48="INFRUCTUEUX",$E48="ANNULE"),$C48="AOO-M"),'ENGAGEMENTS 2026'!P48,IF($H48="EN COURS DE PREENGAGEMENT",'ENGAGEMENTS 2026'!O48,IF($H48="PREENGAGE",IF($E48="ATTRIBUE",'ENGAGEMENTS 2026'!AE48,'ENGAGEMENTS 2026'!O48),'ENGAGEMENTS 2026'!AE48))))</f>
        <v/>
      </c>
      <c r="K48" s="604">
        <f>IF(ISBLANK('ENGAGEMENTS 2026'!W48),"",'ENGAGEMENTS 2026'!W48)</f>
        <v/>
      </c>
      <c r="L48" s="276">
        <f>IF($K48="","",TODAY()-$K48)</f>
        <v/>
      </c>
      <c r="M48">
        <f>IF($A48="","",IF($H48="ENGAGE","Engagé",IF(AND($H48="NON ENGAGE",OR($I48="INFRUCTUEUX",$I48="ANNULE")),"Clôturé sans suite","En cours")))</f>
        <v/>
      </c>
      <c r="N48">
        <f>IF(ISBLANK('ENGAGEMENTS 2026'!C48),"",'ENGAGEMENTS 2026'!L48)</f>
        <v/>
      </c>
      <c r="O48">
        <f>IF(ISBLANK('ENGAGEMENTS 2026'!C48),"",'ENGAGEMENTS 2026'!M48)</f>
        <v/>
      </c>
      <c r="P48">
        <f>IF(ISBLANK('ENGAGEMENTS 2026'!C48),"",'ENGAGEMENTS 2026'!K48)</f>
        <v/>
      </c>
      <c r="Q48">
        <f>IF($A48="","",IF(OR($E48="INFRUCTUEUX",$E48="ANNULE"),$A48&amp;"|"&amp;(COUNTIFS($A$2:$A48,$A48,$E$2:$E48,"INFRUCTUEUX")+COUNTIFS($A$2:$A48,$A48,$E$2:$E48,"ANNULE")),""))</f>
        <v/>
      </c>
    </row>
    <row r="49">
      <c r="A49">
        <f>IF(ISBLANK('ENGAGEMENTS 2026'!C49),"",IF('ENGAGEMENTS 2026'!C49="DTSI","DCT",'ENGAGEMENTS 2026'!C49))</f>
        <v/>
      </c>
      <c r="B49">
        <f>IF(ISBLANK('ENGAGEMENTS 2026'!C49),"",'ENGAGEMENTS 2026'!D49)</f>
        <v/>
      </c>
      <c r="C49">
        <f>IF(ISBLANK('ENGAGEMENTS 2026'!C49),"",'ENGAGEMENTS 2026'!E49)</f>
        <v/>
      </c>
      <c r="D49">
        <f>IF(ISBLANK('ENGAGEMENTS 2026'!C49),"",'ENGAGEMENTS 2026'!G49)</f>
        <v/>
      </c>
      <c r="E49">
        <f>IF(ISBLANK('ENGAGEMENTS 2026'!C49),"",'ENGAGEMENTS 2026'!I49)</f>
        <v/>
      </c>
      <c r="F49">
        <f>IF(ISBLANK('ENGAGEMENTS 2026'!C49),"",'ENGAGEMENTS 2026'!J49)</f>
        <v/>
      </c>
      <c r="G49">
        <f>IF(ISBLANK('ENGAGEMENTS 2026'!C49),"",'ENGAGEMENTS 2026'!M49)</f>
        <v/>
      </c>
      <c r="H49">
        <f>IF(ISBLANK('ENGAGEMENTS 2026'!C49),"",'ENGAGEMENTS 2026'!AF49)</f>
        <v/>
      </c>
      <c r="I49">
        <f>IF(ISBLANK('ENGAGEMENTS 2026'!C49),"",'ENGAGEMENTS 2026'!H49)</f>
        <v/>
      </c>
      <c r="J49" s="275">
        <f>IF(ISBLANK('ENGAGEMENTS 2026'!C49),"",IF(AND(OR($E49="INFRUCTUEUX",$E49="ANNULE"),$C49="AOO-M"),'ENGAGEMENTS 2026'!P49,IF($H49="EN COURS DE PREENGAGEMENT",'ENGAGEMENTS 2026'!O49,IF($H49="PREENGAGE",IF($E49="ATTRIBUE",'ENGAGEMENTS 2026'!AE49,'ENGAGEMENTS 2026'!O49),'ENGAGEMENTS 2026'!AE49))))</f>
        <v/>
      </c>
      <c r="K49" s="604">
        <f>IF(ISBLANK('ENGAGEMENTS 2026'!W49),"",'ENGAGEMENTS 2026'!W49)</f>
        <v/>
      </c>
      <c r="L49" s="276">
        <f>IF($K49="","",TODAY()-$K49)</f>
        <v/>
      </c>
      <c r="M49">
        <f>IF($A49="","",IF($H49="ENGAGE","Engagé",IF(AND($H49="NON ENGAGE",OR($I49="INFRUCTUEUX",$I49="ANNULE")),"Clôturé sans suite","En cours")))</f>
        <v/>
      </c>
      <c r="N49">
        <f>IF(ISBLANK('ENGAGEMENTS 2026'!C49),"",'ENGAGEMENTS 2026'!L49)</f>
        <v/>
      </c>
      <c r="O49">
        <f>IF(ISBLANK('ENGAGEMENTS 2026'!C49),"",'ENGAGEMENTS 2026'!M49)</f>
        <v/>
      </c>
      <c r="P49">
        <f>IF(ISBLANK('ENGAGEMENTS 2026'!C49),"",'ENGAGEMENTS 2026'!K49)</f>
        <v/>
      </c>
      <c r="Q49">
        <f>IF($A49="","",IF(OR($E49="INFRUCTUEUX",$E49="ANNULE"),$A49&amp;"|"&amp;(COUNTIFS($A$2:$A49,$A49,$E$2:$E49,"INFRUCTUEUX")+COUNTIFS($A$2:$A49,$A49,$E$2:$E49,"ANNULE")),""))</f>
        <v/>
      </c>
    </row>
    <row r="50">
      <c r="A50">
        <f>IF(ISBLANK('ENGAGEMENTS 2026'!C50),"",IF('ENGAGEMENTS 2026'!C50="DTSI","DCT",'ENGAGEMENTS 2026'!C50))</f>
        <v/>
      </c>
      <c r="B50">
        <f>IF(ISBLANK('ENGAGEMENTS 2026'!C50),"",'ENGAGEMENTS 2026'!D50)</f>
        <v/>
      </c>
      <c r="C50">
        <f>IF(ISBLANK('ENGAGEMENTS 2026'!C50),"",'ENGAGEMENTS 2026'!E50)</f>
        <v/>
      </c>
      <c r="D50">
        <f>IF(ISBLANK('ENGAGEMENTS 2026'!C50),"",'ENGAGEMENTS 2026'!G50)</f>
        <v/>
      </c>
      <c r="E50">
        <f>IF(ISBLANK('ENGAGEMENTS 2026'!C50),"",'ENGAGEMENTS 2026'!I50)</f>
        <v/>
      </c>
      <c r="F50">
        <f>IF(ISBLANK('ENGAGEMENTS 2026'!C50),"",'ENGAGEMENTS 2026'!J50)</f>
        <v/>
      </c>
      <c r="G50">
        <f>IF(ISBLANK('ENGAGEMENTS 2026'!C50),"",'ENGAGEMENTS 2026'!M50)</f>
        <v/>
      </c>
      <c r="H50">
        <f>IF(ISBLANK('ENGAGEMENTS 2026'!C50),"",'ENGAGEMENTS 2026'!AF50)</f>
        <v/>
      </c>
      <c r="I50">
        <f>IF(ISBLANK('ENGAGEMENTS 2026'!C50),"",'ENGAGEMENTS 2026'!H50)</f>
        <v/>
      </c>
      <c r="J50" s="275">
        <f>IF(ISBLANK('ENGAGEMENTS 2026'!C50),"",IF(AND(OR($E50="INFRUCTUEUX",$E50="ANNULE"),$C50="AOO-M"),'ENGAGEMENTS 2026'!P50,IF($H50="EN COURS DE PREENGAGEMENT",'ENGAGEMENTS 2026'!O50,IF($H50="PREENGAGE",IF($E50="ATTRIBUE",'ENGAGEMENTS 2026'!AE50,'ENGAGEMENTS 2026'!O50),'ENGAGEMENTS 2026'!AE50))))</f>
        <v/>
      </c>
      <c r="K50" s="604">
        <f>IF(ISBLANK('ENGAGEMENTS 2026'!W50),"",'ENGAGEMENTS 2026'!W50)</f>
        <v/>
      </c>
      <c r="L50" s="276">
        <f>IF($K50="","",TODAY()-$K50)</f>
        <v/>
      </c>
      <c r="M50">
        <f>IF($A50="","",IF($H50="ENGAGE","Engagé",IF(AND($H50="NON ENGAGE",OR($I50="INFRUCTUEUX",$I50="ANNULE")),"Clôturé sans suite","En cours")))</f>
        <v/>
      </c>
      <c r="N50">
        <f>IF(ISBLANK('ENGAGEMENTS 2026'!C50),"",'ENGAGEMENTS 2026'!L50)</f>
        <v/>
      </c>
      <c r="O50">
        <f>IF(ISBLANK('ENGAGEMENTS 2026'!C50),"",'ENGAGEMENTS 2026'!M50)</f>
        <v/>
      </c>
      <c r="P50">
        <f>IF(ISBLANK('ENGAGEMENTS 2026'!C50),"",'ENGAGEMENTS 2026'!K50)</f>
        <v/>
      </c>
      <c r="Q50">
        <f>IF($A50="","",IF(OR($E50="INFRUCTUEUX",$E50="ANNULE"),$A50&amp;"|"&amp;(COUNTIFS($A$2:$A50,$A50,$E$2:$E50,"INFRUCTUEUX")+COUNTIFS($A$2:$A50,$A50,$E$2:$E50,"ANNULE")),""))</f>
        <v/>
      </c>
    </row>
    <row r="51">
      <c r="A51">
        <f>IF(ISBLANK('ENGAGEMENTS 2026'!C51),"",IF('ENGAGEMENTS 2026'!C51="DTSI","DCT",'ENGAGEMENTS 2026'!C51))</f>
        <v/>
      </c>
      <c r="B51">
        <f>IF(ISBLANK('ENGAGEMENTS 2026'!C51),"",'ENGAGEMENTS 2026'!D51)</f>
        <v/>
      </c>
      <c r="C51">
        <f>IF(ISBLANK('ENGAGEMENTS 2026'!C51),"",'ENGAGEMENTS 2026'!E51)</f>
        <v/>
      </c>
      <c r="D51">
        <f>IF(ISBLANK('ENGAGEMENTS 2026'!C51),"",'ENGAGEMENTS 2026'!G51)</f>
        <v/>
      </c>
      <c r="E51">
        <f>IF(ISBLANK('ENGAGEMENTS 2026'!C51),"",'ENGAGEMENTS 2026'!I51)</f>
        <v/>
      </c>
      <c r="F51">
        <f>IF(ISBLANK('ENGAGEMENTS 2026'!C51),"",'ENGAGEMENTS 2026'!J51)</f>
        <v/>
      </c>
      <c r="G51">
        <f>IF(ISBLANK('ENGAGEMENTS 2026'!C51),"",'ENGAGEMENTS 2026'!M51)</f>
        <v/>
      </c>
      <c r="H51">
        <f>IF(ISBLANK('ENGAGEMENTS 2026'!C51),"",'ENGAGEMENTS 2026'!AF51)</f>
        <v/>
      </c>
      <c r="I51">
        <f>IF(ISBLANK('ENGAGEMENTS 2026'!C51),"",'ENGAGEMENTS 2026'!H51)</f>
        <v/>
      </c>
      <c r="J51" s="275">
        <f>IF(ISBLANK('ENGAGEMENTS 2026'!C51),"",IF(AND(OR($E51="INFRUCTUEUX",$E51="ANNULE"),$C51="AOO-M"),'ENGAGEMENTS 2026'!P51,IF($H51="EN COURS DE PREENGAGEMENT",'ENGAGEMENTS 2026'!O51,IF($H51="PREENGAGE",IF($E51="ATTRIBUE",'ENGAGEMENTS 2026'!AE51,'ENGAGEMENTS 2026'!O51),'ENGAGEMENTS 2026'!AE51))))</f>
        <v/>
      </c>
      <c r="K51" s="604">
        <f>IF(ISBLANK('ENGAGEMENTS 2026'!W51),"",'ENGAGEMENTS 2026'!W51)</f>
        <v/>
      </c>
      <c r="L51" s="276">
        <f>IF($K51="","",TODAY()-$K51)</f>
        <v/>
      </c>
      <c r="M51">
        <f>IF($A51="","",IF($H51="ENGAGE","Engagé",IF(AND($H51="NON ENGAGE",OR($I51="INFRUCTUEUX",$I51="ANNULE")),"Clôturé sans suite","En cours")))</f>
        <v/>
      </c>
      <c r="N51">
        <f>IF(ISBLANK('ENGAGEMENTS 2026'!C51),"",'ENGAGEMENTS 2026'!L51)</f>
        <v/>
      </c>
      <c r="O51">
        <f>IF(ISBLANK('ENGAGEMENTS 2026'!C51),"",'ENGAGEMENTS 2026'!M51)</f>
        <v/>
      </c>
      <c r="P51">
        <f>IF(ISBLANK('ENGAGEMENTS 2026'!C51),"",'ENGAGEMENTS 2026'!K51)</f>
        <v/>
      </c>
      <c r="Q51">
        <f>IF($A51="","",IF(OR($E51="INFRUCTUEUX",$E51="ANNULE"),$A51&amp;"|"&amp;(COUNTIFS($A$2:$A51,$A51,$E$2:$E51,"INFRUCTUEUX")+COUNTIFS($A$2:$A51,$A51,$E$2:$E51,"ANNULE")),""))</f>
        <v/>
      </c>
    </row>
    <row r="52">
      <c r="A52">
        <f>IF(ISBLANK('ENGAGEMENTS 2026'!C52),"",IF('ENGAGEMENTS 2026'!C52="DTSI","DCT",'ENGAGEMENTS 2026'!C52))</f>
        <v/>
      </c>
      <c r="B52">
        <f>IF(ISBLANK('ENGAGEMENTS 2026'!C52),"",'ENGAGEMENTS 2026'!D52)</f>
        <v/>
      </c>
      <c r="C52">
        <f>IF(ISBLANK('ENGAGEMENTS 2026'!C52),"",'ENGAGEMENTS 2026'!E52)</f>
        <v/>
      </c>
      <c r="D52">
        <f>IF(ISBLANK('ENGAGEMENTS 2026'!C52),"",'ENGAGEMENTS 2026'!G52)</f>
        <v/>
      </c>
      <c r="E52">
        <f>IF(ISBLANK('ENGAGEMENTS 2026'!C52),"",'ENGAGEMENTS 2026'!I52)</f>
        <v/>
      </c>
      <c r="F52">
        <f>IF(ISBLANK('ENGAGEMENTS 2026'!C52),"",'ENGAGEMENTS 2026'!J52)</f>
        <v/>
      </c>
      <c r="G52">
        <f>IF(ISBLANK('ENGAGEMENTS 2026'!C52),"",'ENGAGEMENTS 2026'!M52)</f>
        <v/>
      </c>
      <c r="H52">
        <f>IF(ISBLANK('ENGAGEMENTS 2026'!C52),"",'ENGAGEMENTS 2026'!AF52)</f>
        <v/>
      </c>
      <c r="I52">
        <f>IF(ISBLANK('ENGAGEMENTS 2026'!C52),"",'ENGAGEMENTS 2026'!H52)</f>
        <v/>
      </c>
      <c r="J52" s="275">
        <f>IF(ISBLANK('ENGAGEMENTS 2026'!C52),"",IF(AND(OR($E52="INFRUCTUEUX",$E52="ANNULE"),$C52="AOO-M"),'ENGAGEMENTS 2026'!P52,IF($H52="EN COURS DE PREENGAGEMENT",'ENGAGEMENTS 2026'!O52,IF($H52="PREENGAGE",IF($E52="ATTRIBUE",'ENGAGEMENTS 2026'!AE52,'ENGAGEMENTS 2026'!O52),'ENGAGEMENTS 2026'!AE52))))</f>
        <v/>
      </c>
      <c r="K52" s="604">
        <f>IF(ISBLANK('ENGAGEMENTS 2026'!W52),"",'ENGAGEMENTS 2026'!W52)</f>
        <v/>
      </c>
      <c r="L52" s="276">
        <f>IF($K52="","",TODAY()-$K52)</f>
        <v/>
      </c>
      <c r="M52">
        <f>IF($A52="","",IF($H52="ENGAGE","Engagé",IF(AND($H52="NON ENGAGE",OR($I52="INFRUCTUEUX",$I52="ANNULE")),"Clôturé sans suite","En cours")))</f>
        <v/>
      </c>
      <c r="N52">
        <f>IF(ISBLANK('ENGAGEMENTS 2026'!C52),"",'ENGAGEMENTS 2026'!L52)</f>
        <v/>
      </c>
      <c r="O52">
        <f>IF(ISBLANK('ENGAGEMENTS 2026'!C52),"",'ENGAGEMENTS 2026'!M52)</f>
        <v/>
      </c>
      <c r="P52">
        <f>IF(ISBLANK('ENGAGEMENTS 2026'!C52),"",'ENGAGEMENTS 2026'!K52)</f>
        <v/>
      </c>
      <c r="Q52">
        <f>IF($A52="","",IF(OR($E52="INFRUCTUEUX",$E52="ANNULE"),$A52&amp;"|"&amp;(COUNTIFS($A$2:$A52,$A52,$E$2:$E52,"INFRUCTUEUX")+COUNTIFS($A$2:$A52,$A52,$E$2:$E52,"ANNULE")),""))</f>
        <v/>
      </c>
    </row>
    <row r="53">
      <c r="A53">
        <f>IF(ISBLANK('ENGAGEMENTS 2026'!C53),"",IF('ENGAGEMENTS 2026'!C53="DTSI","DCT",'ENGAGEMENTS 2026'!C53))</f>
        <v/>
      </c>
      <c r="B53">
        <f>IF(ISBLANK('ENGAGEMENTS 2026'!C53),"",'ENGAGEMENTS 2026'!D53)</f>
        <v/>
      </c>
      <c r="C53">
        <f>IF(ISBLANK('ENGAGEMENTS 2026'!C53),"",'ENGAGEMENTS 2026'!E53)</f>
        <v/>
      </c>
      <c r="D53">
        <f>IF(ISBLANK('ENGAGEMENTS 2026'!C53),"",'ENGAGEMENTS 2026'!G53)</f>
        <v/>
      </c>
      <c r="E53">
        <f>IF(ISBLANK('ENGAGEMENTS 2026'!C53),"",'ENGAGEMENTS 2026'!I53)</f>
        <v/>
      </c>
      <c r="F53">
        <f>IF(ISBLANK('ENGAGEMENTS 2026'!C53),"",'ENGAGEMENTS 2026'!J53)</f>
        <v/>
      </c>
      <c r="G53">
        <f>IF(ISBLANK('ENGAGEMENTS 2026'!C53),"",'ENGAGEMENTS 2026'!M53)</f>
        <v/>
      </c>
      <c r="H53">
        <f>IF(ISBLANK('ENGAGEMENTS 2026'!C53),"",'ENGAGEMENTS 2026'!AF53)</f>
        <v/>
      </c>
      <c r="I53">
        <f>IF(ISBLANK('ENGAGEMENTS 2026'!C53),"",'ENGAGEMENTS 2026'!H53)</f>
        <v/>
      </c>
      <c r="J53" s="275">
        <f>IF(ISBLANK('ENGAGEMENTS 2026'!C53),"",IF(AND(OR($E53="INFRUCTUEUX",$E53="ANNULE"),$C53="AOO-M"),'ENGAGEMENTS 2026'!P53,IF($H53="EN COURS DE PREENGAGEMENT",'ENGAGEMENTS 2026'!O53,IF($H53="PREENGAGE",IF($E53="ATTRIBUE",'ENGAGEMENTS 2026'!AE53,'ENGAGEMENTS 2026'!O53),'ENGAGEMENTS 2026'!AE53))))</f>
        <v/>
      </c>
      <c r="K53" s="604">
        <f>IF(ISBLANK('ENGAGEMENTS 2026'!W53),"",'ENGAGEMENTS 2026'!W53)</f>
        <v/>
      </c>
      <c r="L53" s="276">
        <f>IF($K53="","",TODAY()-$K53)</f>
        <v/>
      </c>
      <c r="M53">
        <f>IF($A53="","",IF($H53="ENGAGE","Engagé",IF(AND($H53="NON ENGAGE",OR($I53="INFRUCTUEUX",$I53="ANNULE")),"Clôturé sans suite","En cours")))</f>
        <v/>
      </c>
      <c r="N53">
        <f>IF(ISBLANK('ENGAGEMENTS 2026'!C53),"",'ENGAGEMENTS 2026'!L53)</f>
        <v/>
      </c>
      <c r="O53">
        <f>IF(ISBLANK('ENGAGEMENTS 2026'!C53),"",'ENGAGEMENTS 2026'!M53)</f>
        <v/>
      </c>
      <c r="P53">
        <f>IF(ISBLANK('ENGAGEMENTS 2026'!C53),"",'ENGAGEMENTS 2026'!K53)</f>
        <v/>
      </c>
      <c r="Q53">
        <f>IF($A53="","",IF(OR($E53="INFRUCTUEUX",$E53="ANNULE"),$A53&amp;"|"&amp;(COUNTIFS($A$2:$A53,$A53,$E$2:$E53,"INFRUCTUEUX")+COUNTIFS($A$2:$A53,$A53,$E$2:$E53,"ANNULE")),""))</f>
        <v/>
      </c>
    </row>
    <row r="54">
      <c r="A54">
        <f>IF(ISBLANK('ENGAGEMENTS 2026'!C54),"",IF('ENGAGEMENTS 2026'!C54="DTSI","DCT",'ENGAGEMENTS 2026'!C54))</f>
        <v/>
      </c>
      <c r="B54">
        <f>IF(ISBLANK('ENGAGEMENTS 2026'!C54),"",'ENGAGEMENTS 2026'!D54)</f>
        <v/>
      </c>
      <c r="C54">
        <f>IF(ISBLANK('ENGAGEMENTS 2026'!C54),"",'ENGAGEMENTS 2026'!E54)</f>
        <v/>
      </c>
      <c r="D54">
        <f>IF(ISBLANK('ENGAGEMENTS 2026'!C54),"",'ENGAGEMENTS 2026'!G54)</f>
        <v/>
      </c>
      <c r="E54">
        <f>IF(ISBLANK('ENGAGEMENTS 2026'!C54),"",'ENGAGEMENTS 2026'!I54)</f>
        <v/>
      </c>
      <c r="F54">
        <f>IF(ISBLANK('ENGAGEMENTS 2026'!C54),"",'ENGAGEMENTS 2026'!J54)</f>
        <v/>
      </c>
      <c r="G54">
        <f>IF(ISBLANK('ENGAGEMENTS 2026'!C54),"",'ENGAGEMENTS 2026'!M54)</f>
        <v/>
      </c>
      <c r="H54">
        <f>IF(ISBLANK('ENGAGEMENTS 2026'!C54),"",'ENGAGEMENTS 2026'!AF54)</f>
        <v/>
      </c>
      <c r="I54">
        <f>IF(ISBLANK('ENGAGEMENTS 2026'!C54),"",'ENGAGEMENTS 2026'!H54)</f>
        <v/>
      </c>
      <c r="J54" s="275">
        <f>IF(ISBLANK('ENGAGEMENTS 2026'!C54),"",IF(AND(OR($E54="INFRUCTUEUX",$E54="ANNULE"),$C54="AOO-M"),'ENGAGEMENTS 2026'!P54,IF($H54="EN COURS DE PREENGAGEMENT",'ENGAGEMENTS 2026'!O54,IF($H54="PREENGAGE",IF($E54="ATTRIBUE",'ENGAGEMENTS 2026'!AE54,'ENGAGEMENTS 2026'!O54),'ENGAGEMENTS 2026'!AE54))))</f>
        <v/>
      </c>
      <c r="K54" s="604">
        <f>IF(ISBLANK('ENGAGEMENTS 2026'!W54),"",'ENGAGEMENTS 2026'!W54)</f>
        <v/>
      </c>
      <c r="L54" s="276">
        <f>IF($K54="","",TODAY()-$K54)</f>
        <v/>
      </c>
      <c r="M54">
        <f>IF($A54="","",IF($H54="ENGAGE","Engagé",IF(AND($H54="NON ENGAGE",OR($I54="INFRUCTUEUX",$I54="ANNULE")),"Clôturé sans suite","En cours")))</f>
        <v/>
      </c>
      <c r="N54">
        <f>IF(ISBLANK('ENGAGEMENTS 2026'!C54),"",'ENGAGEMENTS 2026'!L54)</f>
        <v/>
      </c>
      <c r="O54">
        <f>IF(ISBLANK('ENGAGEMENTS 2026'!C54),"",'ENGAGEMENTS 2026'!M54)</f>
        <v/>
      </c>
      <c r="P54">
        <f>IF(ISBLANK('ENGAGEMENTS 2026'!C54),"",'ENGAGEMENTS 2026'!K54)</f>
        <v/>
      </c>
      <c r="Q54">
        <f>IF($A54="","",IF(OR($E54="INFRUCTUEUX",$E54="ANNULE"),$A54&amp;"|"&amp;(COUNTIFS($A$2:$A54,$A54,$E$2:$E54,"INFRUCTUEUX")+COUNTIFS($A$2:$A54,$A54,$E$2:$E54,"ANNULE")),""))</f>
        <v/>
      </c>
    </row>
    <row r="55">
      <c r="A55">
        <f>IF(ISBLANK('ENGAGEMENTS 2026'!C55),"",IF('ENGAGEMENTS 2026'!C55="DTSI","DCT",'ENGAGEMENTS 2026'!C55))</f>
        <v/>
      </c>
      <c r="B55">
        <f>IF(ISBLANK('ENGAGEMENTS 2026'!C55),"",'ENGAGEMENTS 2026'!D55)</f>
        <v/>
      </c>
      <c r="C55">
        <f>IF(ISBLANK('ENGAGEMENTS 2026'!C55),"",'ENGAGEMENTS 2026'!E55)</f>
        <v/>
      </c>
      <c r="D55">
        <f>IF(ISBLANK('ENGAGEMENTS 2026'!C55),"",'ENGAGEMENTS 2026'!G55)</f>
        <v/>
      </c>
      <c r="E55">
        <f>IF(ISBLANK('ENGAGEMENTS 2026'!C55),"",'ENGAGEMENTS 2026'!I55)</f>
        <v/>
      </c>
      <c r="F55">
        <f>IF(ISBLANK('ENGAGEMENTS 2026'!C55),"",'ENGAGEMENTS 2026'!J55)</f>
        <v/>
      </c>
      <c r="G55">
        <f>IF(ISBLANK('ENGAGEMENTS 2026'!C55),"",'ENGAGEMENTS 2026'!M55)</f>
        <v/>
      </c>
      <c r="H55">
        <f>IF(ISBLANK('ENGAGEMENTS 2026'!C55),"",'ENGAGEMENTS 2026'!AF55)</f>
        <v/>
      </c>
      <c r="I55">
        <f>IF(ISBLANK('ENGAGEMENTS 2026'!C55),"",'ENGAGEMENTS 2026'!H55)</f>
        <v/>
      </c>
      <c r="J55" s="275">
        <f>IF(ISBLANK('ENGAGEMENTS 2026'!C55),"",IF(AND(OR($E55="INFRUCTUEUX",$E55="ANNULE"),$C55="AOO-M"),'ENGAGEMENTS 2026'!P55,IF($H55="EN COURS DE PREENGAGEMENT",'ENGAGEMENTS 2026'!O55,IF($H55="PREENGAGE",IF($E55="ATTRIBUE",'ENGAGEMENTS 2026'!AE55,'ENGAGEMENTS 2026'!O55),'ENGAGEMENTS 2026'!AE55))))</f>
        <v/>
      </c>
      <c r="K55" s="604">
        <f>IF(ISBLANK('ENGAGEMENTS 2026'!W55),"",'ENGAGEMENTS 2026'!W55)</f>
        <v/>
      </c>
      <c r="L55" s="276">
        <f>IF($K55="","",TODAY()-$K55)</f>
        <v/>
      </c>
      <c r="M55">
        <f>IF($A55="","",IF($H55="ENGAGE","Engagé",IF(AND($H55="NON ENGAGE",OR($I55="INFRUCTUEUX",$I55="ANNULE")),"Clôturé sans suite","En cours")))</f>
        <v/>
      </c>
      <c r="N55">
        <f>IF(ISBLANK('ENGAGEMENTS 2026'!C55),"",'ENGAGEMENTS 2026'!L55)</f>
        <v/>
      </c>
      <c r="O55">
        <f>IF(ISBLANK('ENGAGEMENTS 2026'!C55),"",'ENGAGEMENTS 2026'!M55)</f>
        <v/>
      </c>
      <c r="P55">
        <f>IF(ISBLANK('ENGAGEMENTS 2026'!C55),"",'ENGAGEMENTS 2026'!K55)</f>
        <v/>
      </c>
      <c r="Q55">
        <f>IF($A55="","",IF(OR($E55="INFRUCTUEUX",$E55="ANNULE"),$A55&amp;"|"&amp;(COUNTIFS($A$2:$A55,$A55,$E$2:$E55,"INFRUCTUEUX")+COUNTIFS($A$2:$A55,$A55,$E$2:$E55,"ANNULE")),""))</f>
        <v/>
      </c>
    </row>
    <row r="56">
      <c r="A56">
        <f>IF(ISBLANK('ENGAGEMENTS 2026'!C56),"",IF('ENGAGEMENTS 2026'!C56="DTSI","DCT",'ENGAGEMENTS 2026'!C56))</f>
        <v/>
      </c>
      <c r="B56">
        <f>IF(ISBLANK('ENGAGEMENTS 2026'!C56),"",'ENGAGEMENTS 2026'!D56)</f>
        <v/>
      </c>
      <c r="C56">
        <f>IF(ISBLANK('ENGAGEMENTS 2026'!C56),"",'ENGAGEMENTS 2026'!E56)</f>
        <v/>
      </c>
      <c r="D56">
        <f>IF(ISBLANK('ENGAGEMENTS 2026'!C56),"",'ENGAGEMENTS 2026'!G56)</f>
        <v/>
      </c>
      <c r="E56">
        <f>IF(ISBLANK('ENGAGEMENTS 2026'!C56),"",'ENGAGEMENTS 2026'!I56)</f>
        <v/>
      </c>
      <c r="F56">
        <f>IF(ISBLANK('ENGAGEMENTS 2026'!C56),"",'ENGAGEMENTS 2026'!J56)</f>
        <v/>
      </c>
      <c r="G56">
        <f>IF(ISBLANK('ENGAGEMENTS 2026'!C56),"",'ENGAGEMENTS 2026'!M56)</f>
        <v/>
      </c>
      <c r="H56">
        <f>IF(ISBLANK('ENGAGEMENTS 2026'!C56),"",'ENGAGEMENTS 2026'!AF56)</f>
        <v/>
      </c>
      <c r="I56">
        <f>IF(ISBLANK('ENGAGEMENTS 2026'!C56),"",'ENGAGEMENTS 2026'!H56)</f>
        <v/>
      </c>
      <c r="J56" s="275">
        <f>IF(ISBLANK('ENGAGEMENTS 2026'!C56),"",IF(AND(OR($E56="INFRUCTUEUX",$E56="ANNULE"),$C56="AOO-M"),'ENGAGEMENTS 2026'!P56,IF($H56="EN COURS DE PREENGAGEMENT",'ENGAGEMENTS 2026'!O56,IF($H56="PREENGAGE",IF($E56="ATTRIBUE",'ENGAGEMENTS 2026'!AE56,'ENGAGEMENTS 2026'!O56),'ENGAGEMENTS 2026'!AE56))))</f>
        <v/>
      </c>
      <c r="K56" s="604">
        <f>IF(ISBLANK('ENGAGEMENTS 2026'!W56),"",'ENGAGEMENTS 2026'!W56)</f>
        <v/>
      </c>
      <c r="L56" s="276">
        <f>IF($K56="","",TODAY()-$K56)</f>
        <v/>
      </c>
      <c r="M56">
        <f>IF($A56="","",IF($H56="ENGAGE","Engagé",IF(AND($H56="NON ENGAGE",OR($I56="INFRUCTUEUX",$I56="ANNULE")),"Clôturé sans suite","En cours")))</f>
        <v/>
      </c>
      <c r="N56">
        <f>IF(ISBLANK('ENGAGEMENTS 2026'!C56),"",'ENGAGEMENTS 2026'!L56)</f>
        <v/>
      </c>
      <c r="O56">
        <f>IF(ISBLANK('ENGAGEMENTS 2026'!C56),"",'ENGAGEMENTS 2026'!M56)</f>
        <v/>
      </c>
      <c r="P56">
        <f>IF(ISBLANK('ENGAGEMENTS 2026'!C56),"",'ENGAGEMENTS 2026'!K56)</f>
        <v/>
      </c>
      <c r="Q56">
        <f>IF($A56="","",IF(OR($E56="INFRUCTUEUX",$E56="ANNULE"),$A56&amp;"|"&amp;(COUNTIFS($A$2:$A56,$A56,$E$2:$E56,"INFRUCTUEUX")+COUNTIFS($A$2:$A56,$A56,$E$2:$E56,"ANNULE")),""))</f>
        <v/>
      </c>
    </row>
    <row r="57">
      <c r="A57">
        <f>IF(ISBLANK('ENGAGEMENTS 2026'!C57),"",IF('ENGAGEMENTS 2026'!C57="DTSI","DCT",'ENGAGEMENTS 2026'!C57))</f>
        <v/>
      </c>
      <c r="B57">
        <f>IF(ISBLANK('ENGAGEMENTS 2026'!C57),"",'ENGAGEMENTS 2026'!D57)</f>
        <v/>
      </c>
      <c r="C57">
        <f>IF(ISBLANK('ENGAGEMENTS 2026'!C57),"",'ENGAGEMENTS 2026'!E57)</f>
        <v/>
      </c>
      <c r="D57">
        <f>IF(ISBLANK('ENGAGEMENTS 2026'!C57),"",'ENGAGEMENTS 2026'!G57)</f>
        <v/>
      </c>
      <c r="E57">
        <f>IF(ISBLANK('ENGAGEMENTS 2026'!C57),"",'ENGAGEMENTS 2026'!I57)</f>
        <v/>
      </c>
      <c r="F57">
        <f>IF(ISBLANK('ENGAGEMENTS 2026'!C57),"",'ENGAGEMENTS 2026'!J57)</f>
        <v/>
      </c>
      <c r="G57">
        <f>IF(ISBLANK('ENGAGEMENTS 2026'!C57),"",'ENGAGEMENTS 2026'!M57)</f>
        <v/>
      </c>
      <c r="H57">
        <f>IF(ISBLANK('ENGAGEMENTS 2026'!C57),"",'ENGAGEMENTS 2026'!AF57)</f>
        <v/>
      </c>
      <c r="I57">
        <f>IF(ISBLANK('ENGAGEMENTS 2026'!C57),"",'ENGAGEMENTS 2026'!H57)</f>
        <v/>
      </c>
      <c r="J57" s="275">
        <f>IF(ISBLANK('ENGAGEMENTS 2026'!C57),"",IF(AND(OR($E57="INFRUCTUEUX",$E57="ANNULE"),$C57="AOO-M"),'ENGAGEMENTS 2026'!P57,IF($H57="EN COURS DE PREENGAGEMENT",'ENGAGEMENTS 2026'!O57,IF($H57="PREENGAGE",IF($E57="ATTRIBUE",'ENGAGEMENTS 2026'!AE57,'ENGAGEMENTS 2026'!O57),'ENGAGEMENTS 2026'!AE57))))</f>
        <v/>
      </c>
      <c r="K57" s="604">
        <f>IF(ISBLANK('ENGAGEMENTS 2026'!W57),"",'ENGAGEMENTS 2026'!W57)</f>
        <v/>
      </c>
      <c r="L57" s="276">
        <f>IF($K57="","",TODAY()-$K57)</f>
        <v/>
      </c>
      <c r="M57">
        <f>IF($A57="","",IF($H57="ENGAGE","Engagé",IF(AND($H57="NON ENGAGE",OR($I57="INFRUCTUEUX",$I57="ANNULE")),"Clôturé sans suite","En cours")))</f>
        <v/>
      </c>
      <c r="N57">
        <f>IF(ISBLANK('ENGAGEMENTS 2026'!C57),"",'ENGAGEMENTS 2026'!L57)</f>
        <v/>
      </c>
      <c r="O57">
        <f>IF(ISBLANK('ENGAGEMENTS 2026'!C57),"",'ENGAGEMENTS 2026'!M57)</f>
        <v/>
      </c>
      <c r="P57">
        <f>IF(ISBLANK('ENGAGEMENTS 2026'!C57),"",'ENGAGEMENTS 2026'!K57)</f>
        <v/>
      </c>
      <c r="Q57">
        <f>IF($A57="","",IF(OR($E57="INFRUCTUEUX",$E57="ANNULE"),$A57&amp;"|"&amp;(COUNTIFS($A$2:$A57,$A57,$E$2:$E57,"INFRUCTUEUX")+COUNTIFS($A$2:$A57,$A57,$E$2:$E57,"ANNULE")),""))</f>
        <v/>
      </c>
    </row>
    <row r="58">
      <c r="A58">
        <f>IF(ISBLANK('ENGAGEMENTS 2026'!C58),"",IF('ENGAGEMENTS 2026'!C58="DTSI","DCT",'ENGAGEMENTS 2026'!C58))</f>
        <v/>
      </c>
      <c r="B58">
        <f>IF(ISBLANK('ENGAGEMENTS 2026'!C58),"",'ENGAGEMENTS 2026'!D58)</f>
        <v/>
      </c>
      <c r="C58">
        <f>IF(ISBLANK('ENGAGEMENTS 2026'!C58),"",'ENGAGEMENTS 2026'!E58)</f>
        <v/>
      </c>
      <c r="D58">
        <f>IF(ISBLANK('ENGAGEMENTS 2026'!C58),"",'ENGAGEMENTS 2026'!G58)</f>
        <v/>
      </c>
      <c r="E58">
        <f>IF(ISBLANK('ENGAGEMENTS 2026'!C58),"",'ENGAGEMENTS 2026'!I58)</f>
        <v/>
      </c>
      <c r="F58">
        <f>IF(ISBLANK('ENGAGEMENTS 2026'!C58),"",'ENGAGEMENTS 2026'!J58)</f>
        <v/>
      </c>
      <c r="G58">
        <f>IF(ISBLANK('ENGAGEMENTS 2026'!C58),"",'ENGAGEMENTS 2026'!M58)</f>
        <v/>
      </c>
      <c r="H58">
        <f>IF(ISBLANK('ENGAGEMENTS 2026'!C58),"",'ENGAGEMENTS 2026'!AF58)</f>
        <v/>
      </c>
      <c r="I58">
        <f>IF(ISBLANK('ENGAGEMENTS 2026'!C58),"",'ENGAGEMENTS 2026'!H58)</f>
        <v/>
      </c>
      <c r="J58" s="275">
        <f>IF(ISBLANK('ENGAGEMENTS 2026'!C58),"",IF(AND(OR($E58="INFRUCTUEUX",$E58="ANNULE"),$C58="AOO-M"),'ENGAGEMENTS 2026'!P58,IF($H58="EN COURS DE PREENGAGEMENT",'ENGAGEMENTS 2026'!O58,IF($H58="PREENGAGE",IF($E58="ATTRIBUE",'ENGAGEMENTS 2026'!AE58,'ENGAGEMENTS 2026'!O58),'ENGAGEMENTS 2026'!AE58))))</f>
        <v/>
      </c>
      <c r="K58" s="604">
        <f>IF(ISBLANK('ENGAGEMENTS 2026'!W58),"",'ENGAGEMENTS 2026'!W58)</f>
        <v/>
      </c>
      <c r="L58" s="276">
        <f>IF($K58="","",TODAY()-$K58)</f>
        <v/>
      </c>
      <c r="M58">
        <f>IF($A58="","",IF($H58="ENGAGE","Engagé",IF(AND($H58="NON ENGAGE",OR($I58="INFRUCTUEUX",$I58="ANNULE")),"Clôturé sans suite","En cours")))</f>
        <v/>
      </c>
      <c r="N58">
        <f>IF(ISBLANK('ENGAGEMENTS 2026'!C58),"",'ENGAGEMENTS 2026'!L58)</f>
        <v/>
      </c>
      <c r="O58">
        <f>IF(ISBLANK('ENGAGEMENTS 2026'!C58),"",'ENGAGEMENTS 2026'!M58)</f>
        <v/>
      </c>
      <c r="P58">
        <f>IF(ISBLANK('ENGAGEMENTS 2026'!C58),"",'ENGAGEMENTS 2026'!K58)</f>
        <v/>
      </c>
      <c r="Q58">
        <f>IF($A58="","",IF(OR($E58="INFRUCTUEUX",$E58="ANNULE"),$A58&amp;"|"&amp;(COUNTIFS($A$2:$A58,$A58,$E$2:$E58,"INFRUCTUEUX")+COUNTIFS($A$2:$A58,$A58,$E$2:$E58,"ANNULE")),""))</f>
        <v/>
      </c>
    </row>
    <row r="59">
      <c r="A59">
        <f>IF(ISBLANK('ENGAGEMENTS 2026'!C59),"",IF('ENGAGEMENTS 2026'!C59="DTSI","DCT",'ENGAGEMENTS 2026'!C59))</f>
        <v/>
      </c>
      <c r="B59">
        <f>IF(ISBLANK('ENGAGEMENTS 2026'!C59),"",'ENGAGEMENTS 2026'!D59)</f>
        <v/>
      </c>
      <c r="C59">
        <f>IF(ISBLANK('ENGAGEMENTS 2026'!C59),"",'ENGAGEMENTS 2026'!E59)</f>
        <v/>
      </c>
      <c r="D59">
        <f>IF(ISBLANK('ENGAGEMENTS 2026'!C59),"",'ENGAGEMENTS 2026'!G59)</f>
        <v/>
      </c>
      <c r="E59">
        <f>IF(ISBLANK('ENGAGEMENTS 2026'!C59),"",'ENGAGEMENTS 2026'!I59)</f>
        <v/>
      </c>
      <c r="F59">
        <f>IF(ISBLANK('ENGAGEMENTS 2026'!C59),"",'ENGAGEMENTS 2026'!J59)</f>
        <v/>
      </c>
      <c r="G59">
        <f>IF(ISBLANK('ENGAGEMENTS 2026'!C59),"",'ENGAGEMENTS 2026'!M59)</f>
        <v/>
      </c>
      <c r="H59">
        <f>IF(ISBLANK('ENGAGEMENTS 2026'!C59),"",'ENGAGEMENTS 2026'!AF59)</f>
        <v/>
      </c>
      <c r="I59">
        <f>IF(ISBLANK('ENGAGEMENTS 2026'!C59),"",'ENGAGEMENTS 2026'!H59)</f>
        <v/>
      </c>
      <c r="J59" s="275">
        <f>IF(ISBLANK('ENGAGEMENTS 2026'!C59),"",IF(AND(OR($E59="INFRUCTUEUX",$E59="ANNULE"),$C59="AOO-M"),'ENGAGEMENTS 2026'!P59,IF($H59="EN COURS DE PREENGAGEMENT",'ENGAGEMENTS 2026'!O59,IF($H59="PREENGAGE",IF($E59="ATTRIBUE",'ENGAGEMENTS 2026'!AE59,'ENGAGEMENTS 2026'!O59),'ENGAGEMENTS 2026'!AE59))))</f>
        <v/>
      </c>
      <c r="K59" s="604">
        <f>IF(ISBLANK('ENGAGEMENTS 2026'!W59),"",'ENGAGEMENTS 2026'!W59)</f>
        <v/>
      </c>
      <c r="L59" s="276">
        <f>IF($K59="","",TODAY()-$K59)</f>
        <v/>
      </c>
      <c r="M59">
        <f>IF($A59="","",IF($H59="ENGAGE","Engagé",IF(AND($H59="NON ENGAGE",OR($I59="INFRUCTUEUX",$I59="ANNULE")),"Clôturé sans suite","En cours")))</f>
        <v/>
      </c>
      <c r="N59">
        <f>IF(ISBLANK('ENGAGEMENTS 2026'!C59),"",'ENGAGEMENTS 2026'!L59)</f>
        <v/>
      </c>
      <c r="O59">
        <f>IF(ISBLANK('ENGAGEMENTS 2026'!C59),"",'ENGAGEMENTS 2026'!M59)</f>
        <v/>
      </c>
      <c r="P59">
        <f>IF(ISBLANK('ENGAGEMENTS 2026'!C59),"",'ENGAGEMENTS 2026'!K59)</f>
        <v/>
      </c>
      <c r="Q59">
        <f>IF($A59="","",IF(OR($E59="INFRUCTUEUX",$E59="ANNULE"),$A59&amp;"|"&amp;(COUNTIFS($A$2:$A59,$A59,$E$2:$E59,"INFRUCTUEUX")+COUNTIFS($A$2:$A59,$A59,$E$2:$E59,"ANNULE")),""))</f>
        <v/>
      </c>
    </row>
    <row r="60">
      <c r="A60">
        <f>IF(ISBLANK('ENGAGEMENTS 2026'!C60),"",IF('ENGAGEMENTS 2026'!C60="DTSI","DCT",'ENGAGEMENTS 2026'!C60))</f>
        <v/>
      </c>
      <c r="B60">
        <f>IF(ISBLANK('ENGAGEMENTS 2026'!C60),"",'ENGAGEMENTS 2026'!D60)</f>
        <v/>
      </c>
      <c r="C60">
        <f>IF(ISBLANK('ENGAGEMENTS 2026'!C60),"",'ENGAGEMENTS 2026'!E60)</f>
        <v/>
      </c>
      <c r="D60">
        <f>IF(ISBLANK('ENGAGEMENTS 2026'!C60),"",'ENGAGEMENTS 2026'!G60)</f>
        <v/>
      </c>
      <c r="E60">
        <f>IF(ISBLANK('ENGAGEMENTS 2026'!C60),"",'ENGAGEMENTS 2026'!I60)</f>
        <v/>
      </c>
      <c r="F60">
        <f>IF(ISBLANK('ENGAGEMENTS 2026'!C60),"",'ENGAGEMENTS 2026'!J60)</f>
        <v/>
      </c>
      <c r="G60">
        <f>IF(ISBLANK('ENGAGEMENTS 2026'!C60),"",'ENGAGEMENTS 2026'!M60)</f>
        <v/>
      </c>
      <c r="H60">
        <f>IF(ISBLANK('ENGAGEMENTS 2026'!C60),"",'ENGAGEMENTS 2026'!AF60)</f>
        <v/>
      </c>
      <c r="I60">
        <f>IF(ISBLANK('ENGAGEMENTS 2026'!C60),"",'ENGAGEMENTS 2026'!H60)</f>
        <v/>
      </c>
      <c r="J60" s="275">
        <f>IF(ISBLANK('ENGAGEMENTS 2026'!C60),"",IF(AND(OR($E60="INFRUCTUEUX",$E60="ANNULE"),$C60="AOO-M"),'ENGAGEMENTS 2026'!P60,IF($H60="EN COURS DE PREENGAGEMENT",'ENGAGEMENTS 2026'!O60,IF($H60="PREENGAGE",IF($E60="ATTRIBUE",'ENGAGEMENTS 2026'!AE60,'ENGAGEMENTS 2026'!O60),'ENGAGEMENTS 2026'!AE60))))</f>
        <v/>
      </c>
      <c r="K60" s="604">
        <f>IF(ISBLANK('ENGAGEMENTS 2026'!W60),"",'ENGAGEMENTS 2026'!W60)</f>
        <v/>
      </c>
      <c r="L60" s="276">
        <f>IF($K60="","",TODAY()-$K60)</f>
        <v/>
      </c>
      <c r="M60">
        <f>IF($A60="","",IF($H60="ENGAGE","Engagé",IF(AND($H60="NON ENGAGE",OR($I60="INFRUCTUEUX",$I60="ANNULE")),"Clôturé sans suite","En cours")))</f>
        <v/>
      </c>
      <c r="N60">
        <f>IF(ISBLANK('ENGAGEMENTS 2026'!C60),"",'ENGAGEMENTS 2026'!L60)</f>
        <v/>
      </c>
      <c r="O60">
        <f>IF(ISBLANK('ENGAGEMENTS 2026'!C60),"",'ENGAGEMENTS 2026'!M60)</f>
        <v/>
      </c>
      <c r="P60">
        <f>IF(ISBLANK('ENGAGEMENTS 2026'!C60),"",'ENGAGEMENTS 2026'!K60)</f>
        <v/>
      </c>
      <c r="Q60">
        <f>IF($A60="","",IF(OR($E60="INFRUCTUEUX",$E60="ANNULE"),$A60&amp;"|"&amp;(COUNTIFS($A$2:$A60,$A60,$E$2:$E60,"INFRUCTUEUX")+COUNTIFS($A$2:$A60,$A60,$E$2:$E60,"ANNULE")),""))</f>
        <v/>
      </c>
    </row>
    <row r="61">
      <c r="A61">
        <f>IF(ISBLANK('ENGAGEMENTS 2026'!C61),"",IF('ENGAGEMENTS 2026'!C61="DTSI","DCT",'ENGAGEMENTS 2026'!C61))</f>
        <v/>
      </c>
      <c r="B61">
        <f>IF(ISBLANK('ENGAGEMENTS 2026'!C61),"",'ENGAGEMENTS 2026'!D61)</f>
        <v/>
      </c>
      <c r="C61">
        <f>IF(ISBLANK('ENGAGEMENTS 2026'!C61),"",'ENGAGEMENTS 2026'!E61)</f>
        <v/>
      </c>
      <c r="D61">
        <f>IF(ISBLANK('ENGAGEMENTS 2026'!C61),"",'ENGAGEMENTS 2026'!G61)</f>
        <v/>
      </c>
      <c r="E61">
        <f>IF(ISBLANK('ENGAGEMENTS 2026'!C61),"",'ENGAGEMENTS 2026'!I61)</f>
        <v/>
      </c>
      <c r="F61">
        <f>IF(ISBLANK('ENGAGEMENTS 2026'!C61),"",'ENGAGEMENTS 2026'!J61)</f>
        <v/>
      </c>
      <c r="G61">
        <f>IF(ISBLANK('ENGAGEMENTS 2026'!C61),"",'ENGAGEMENTS 2026'!M61)</f>
        <v/>
      </c>
      <c r="H61">
        <f>IF(ISBLANK('ENGAGEMENTS 2026'!C61),"",'ENGAGEMENTS 2026'!AF61)</f>
        <v/>
      </c>
      <c r="I61">
        <f>IF(ISBLANK('ENGAGEMENTS 2026'!C61),"",'ENGAGEMENTS 2026'!H61)</f>
        <v/>
      </c>
      <c r="J61" s="275">
        <f>IF(ISBLANK('ENGAGEMENTS 2026'!C61),"",IF(AND(OR($E61="INFRUCTUEUX",$E61="ANNULE"),$C61="AOO-M"),'ENGAGEMENTS 2026'!P61,IF($H61="EN COURS DE PREENGAGEMENT",'ENGAGEMENTS 2026'!O61,IF($H61="PREENGAGE",IF($E61="ATTRIBUE",'ENGAGEMENTS 2026'!AE61,'ENGAGEMENTS 2026'!O61),'ENGAGEMENTS 2026'!AE61))))</f>
        <v/>
      </c>
      <c r="K61" s="604">
        <f>IF(ISBLANK('ENGAGEMENTS 2026'!W61),"",'ENGAGEMENTS 2026'!W61)</f>
        <v/>
      </c>
      <c r="L61" s="276">
        <f>IF($K61="","",TODAY()-$K61)</f>
        <v/>
      </c>
      <c r="M61">
        <f>IF($A61="","",IF($H61="ENGAGE","Engagé",IF(AND($H61="NON ENGAGE",OR($I61="INFRUCTUEUX",$I61="ANNULE")),"Clôturé sans suite","En cours")))</f>
        <v/>
      </c>
      <c r="N61">
        <f>IF(ISBLANK('ENGAGEMENTS 2026'!C61),"",'ENGAGEMENTS 2026'!L61)</f>
        <v/>
      </c>
      <c r="O61">
        <f>IF(ISBLANK('ENGAGEMENTS 2026'!C61),"",'ENGAGEMENTS 2026'!M61)</f>
        <v/>
      </c>
      <c r="P61">
        <f>IF(ISBLANK('ENGAGEMENTS 2026'!C61),"",'ENGAGEMENTS 2026'!K61)</f>
        <v/>
      </c>
      <c r="Q61">
        <f>IF($A61="","",IF(OR($E61="INFRUCTUEUX",$E61="ANNULE"),$A61&amp;"|"&amp;(COUNTIFS($A$2:$A61,$A61,$E$2:$E61,"INFRUCTUEUX")+COUNTIFS($A$2:$A61,$A61,$E$2:$E61,"ANNULE")),""))</f>
        <v/>
      </c>
    </row>
    <row r="62">
      <c r="A62">
        <f>IF(ISBLANK('ENGAGEMENTS 2026'!C62),"",IF('ENGAGEMENTS 2026'!C62="DTSI","DCT",'ENGAGEMENTS 2026'!C62))</f>
        <v/>
      </c>
      <c r="B62">
        <f>IF(ISBLANK('ENGAGEMENTS 2026'!C62),"",'ENGAGEMENTS 2026'!D62)</f>
        <v/>
      </c>
      <c r="C62">
        <f>IF(ISBLANK('ENGAGEMENTS 2026'!C62),"",'ENGAGEMENTS 2026'!E62)</f>
        <v/>
      </c>
      <c r="D62">
        <f>IF(ISBLANK('ENGAGEMENTS 2026'!C62),"",'ENGAGEMENTS 2026'!G62)</f>
        <v/>
      </c>
      <c r="E62">
        <f>IF(ISBLANK('ENGAGEMENTS 2026'!C62),"",'ENGAGEMENTS 2026'!I62)</f>
        <v/>
      </c>
      <c r="F62">
        <f>IF(ISBLANK('ENGAGEMENTS 2026'!C62),"",'ENGAGEMENTS 2026'!J62)</f>
        <v/>
      </c>
      <c r="G62">
        <f>IF(ISBLANK('ENGAGEMENTS 2026'!C62),"",'ENGAGEMENTS 2026'!M62)</f>
        <v/>
      </c>
      <c r="H62">
        <f>IF(ISBLANK('ENGAGEMENTS 2026'!C62),"",'ENGAGEMENTS 2026'!AF62)</f>
        <v/>
      </c>
      <c r="I62">
        <f>IF(ISBLANK('ENGAGEMENTS 2026'!C62),"",'ENGAGEMENTS 2026'!H62)</f>
        <v/>
      </c>
      <c r="J62" s="275">
        <f>IF(ISBLANK('ENGAGEMENTS 2026'!C62),"",IF(AND(OR($E62="INFRUCTUEUX",$E62="ANNULE"),$C62="AOO-M"),'ENGAGEMENTS 2026'!P62,IF($H62="EN COURS DE PREENGAGEMENT",'ENGAGEMENTS 2026'!O62,IF($H62="PREENGAGE",IF($E62="ATTRIBUE",'ENGAGEMENTS 2026'!AE62,'ENGAGEMENTS 2026'!O62),'ENGAGEMENTS 2026'!AE62))))</f>
        <v/>
      </c>
      <c r="K62" s="604">
        <f>IF(ISBLANK('ENGAGEMENTS 2026'!W62),"",'ENGAGEMENTS 2026'!W62)</f>
        <v/>
      </c>
      <c r="L62" s="276">
        <f>IF($K62="","",TODAY()-$K62)</f>
        <v/>
      </c>
      <c r="M62">
        <f>IF($A62="","",IF($H62="ENGAGE","Engagé",IF(AND($H62="NON ENGAGE",OR($I62="INFRUCTUEUX",$I62="ANNULE")),"Clôturé sans suite","En cours")))</f>
        <v/>
      </c>
      <c r="N62">
        <f>IF(ISBLANK('ENGAGEMENTS 2026'!C62),"",'ENGAGEMENTS 2026'!L62)</f>
        <v/>
      </c>
      <c r="O62">
        <f>IF(ISBLANK('ENGAGEMENTS 2026'!C62),"",'ENGAGEMENTS 2026'!M62)</f>
        <v/>
      </c>
      <c r="P62">
        <f>IF(ISBLANK('ENGAGEMENTS 2026'!C62),"",'ENGAGEMENTS 2026'!K62)</f>
        <v/>
      </c>
      <c r="Q62">
        <f>IF($A62="","",IF(OR($E62="INFRUCTUEUX",$E62="ANNULE"),$A62&amp;"|"&amp;(COUNTIFS($A$2:$A62,$A62,$E$2:$E62,"INFRUCTUEUX")+COUNTIFS($A$2:$A62,$A62,$E$2:$E62,"ANNULE")),""))</f>
        <v/>
      </c>
    </row>
    <row r="63">
      <c r="A63">
        <f>IF(ISBLANK('ENGAGEMENTS 2026'!C63),"",IF('ENGAGEMENTS 2026'!C63="DTSI","DCT",'ENGAGEMENTS 2026'!C63))</f>
        <v/>
      </c>
      <c r="B63">
        <f>IF(ISBLANK('ENGAGEMENTS 2026'!C63),"",'ENGAGEMENTS 2026'!D63)</f>
        <v/>
      </c>
      <c r="C63">
        <f>IF(ISBLANK('ENGAGEMENTS 2026'!C63),"",'ENGAGEMENTS 2026'!E63)</f>
        <v/>
      </c>
      <c r="D63">
        <f>IF(ISBLANK('ENGAGEMENTS 2026'!C63),"",'ENGAGEMENTS 2026'!G63)</f>
        <v/>
      </c>
      <c r="E63">
        <f>IF(ISBLANK('ENGAGEMENTS 2026'!C63),"",'ENGAGEMENTS 2026'!I63)</f>
        <v/>
      </c>
      <c r="F63">
        <f>IF(ISBLANK('ENGAGEMENTS 2026'!C63),"",'ENGAGEMENTS 2026'!J63)</f>
        <v/>
      </c>
      <c r="G63">
        <f>IF(ISBLANK('ENGAGEMENTS 2026'!C63),"",'ENGAGEMENTS 2026'!M63)</f>
        <v/>
      </c>
      <c r="H63">
        <f>IF(ISBLANK('ENGAGEMENTS 2026'!C63),"",'ENGAGEMENTS 2026'!AF63)</f>
        <v/>
      </c>
      <c r="I63">
        <f>IF(ISBLANK('ENGAGEMENTS 2026'!C63),"",'ENGAGEMENTS 2026'!H63)</f>
        <v/>
      </c>
      <c r="J63" s="275">
        <f>IF(ISBLANK('ENGAGEMENTS 2026'!C63),"",IF(AND(OR($E63="INFRUCTUEUX",$E63="ANNULE"),$C63="AOO-M"),'ENGAGEMENTS 2026'!P63,IF($H63="EN COURS DE PREENGAGEMENT",'ENGAGEMENTS 2026'!O63,IF($H63="PREENGAGE",IF($E63="ATTRIBUE",'ENGAGEMENTS 2026'!AE63,'ENGAGEMENTS 2026'!O63),'ENGAGEMENTS 2026'!AE63))))</f>
        <v/>
      </c>
      <c r="K63" s="604">
        <f>IF(ISBLANK('ENGAGEMENTS 2026'!W63),"",'ENGAGEMENTS 2026'!W63)</f>
        <v/>
      </c>
      <c r="L63" s="276">
        <f>IF($K63="","",TODAY()-$K63)</f>
        <v/>
      </c>
      <c r="M63">
        <f>IF($A63="","",IF($H63="ENGAGE","Engagé",IF(AND($H63="NON ENGAGE",OR($I63="INFRUCTUEUX",$I63="ANNULE")),"Clôturé sans suite","En cours")))</f>
        <v/>
      </c>
      <c r="N63">
        <f>IF(ISBLANK('ENGAGEMENTS 2026'!C63),"",'ENGAGEMENTS 2026'!L63)</f>
        <v/>
      </c>
      <c r="O63">
        <f>IF(ISBLANK('ENGAGEMENTS 2026'!C63),"",'ENGAGEMENTS 2026'!M63)</f>
        <v/>
      </c>
      <c r="P63">
        <f>IF(ISBLANK('ENGAGEMENTS 2026'!C63),"",'ENGAGEMENTS 2026'!K63)</f>
        <v/>
      </c>
      <c r="Q63">
        <f>IF($A63="","",IF(OR($E63="INFRUCTUEUX",$E63="ANNULE"),$A63&amp;"|"&amp;(COUNTIFS($A$2:$A63,$A63,$E$2:$E63,"INFRUCTUEUX")+COUNTIFS($A$2:$A63,$A63,$E$2:$E63,"ANNULE")),""))</f>
        <v/>
      </c>
    </row>
    <row r="64">
      <c r="A64">
        <f>IF(ISBLANK('ENGAGEMENTS 2026'!C64),"",IF('ENGAGEMENTS 2026'!C64="DTSI","DCT",'ENGAGEMENTS 2026'!C64))</f>
        <v/>
      </c>
      <c r="B64">
        <f>IF(ISBLANK('ENGAGEMENTS 2026'!C64),"",'ENGAGEMENTS 2026'!D64)</f>
        <v/>
      </c>
      <c r="C64">
        <f>IF(ISBLANK('ENGAGEMENTS 2026'!C64),"",'ENGAGEMENTS 2026'!E64)</f>
        <v/>
      </c>
      <c r="D64">
        <f>IF(ISBLANK('ENGAGEMENTS 2026'!C64),"",'ENGAGEMENTS 2026'!G64)</f>
        <v/>
      </c>
      <c r="E64">
        <f>IF(ISBLANK('ENGAGEMENTS 2026'!C64),"",'ENGAGEMENTS 2026'!I64)</f>
        <v/>
      </c>
      <c r="F64">
        <f>IF(ISBLANK('ENGAGEMENTS 2026'!C64),"",'ENGAGEMENTS 2026'!J64)</f>
        <v/>
      </c>
      <c r="G64">
        <f>IF(ISBLANK('ENGAGEMENTS 2026'!C64),"",'ENGAGEMENTS 2026'!M64)</f>
        <v/>
      </c>
      <c r="H64">
        <f>IF(ISBLANK('ENGAGEMENTS 2026'!C64),"",'ENGAGEMENTS 2026'!AF64)</f>
        <v/>
      </c>
      <c r="I64">
        <f>IF(ISBLANK('ENGAGEMENTS 2026'!C64),"",'ENGAGEMENTS 2026'!H64)</f>
        <v/>
      </c>
      <c r="J64" s="275">
        <f>IF(ISBLANK('ENGAGEMENTS 2026'!C64),"",IF(AND(OR($E64="INFRUCTUEUX",$E64="ANNULE"),$C64="AOO-M"),'ENGAGEMENTS 2026'!P64,IF($H64="EN COURS DE PREENGAGEMENT",'ENGAGEMENTS 2026'!O64,IF($H64="PREENGAGE",IF($E64="ATTRIBUE",'ENGAGEMENTS 2026'!AE64,'ENGAGEMENTS 2026'!O64),'ENGAGEMENTS 2026'!AE64))))</f>
        <v/>
      </c>
      <c r="K64" s="604">
        <f>IF(ISBLANK('ENGAGEMENTS 2026'!W64),"",'ENGAGEMENTS 2026'!W64)</f>
        <v/>
      </c>
      <c r="L64" s="276">
        <f>IF($K64="","",TODAY()-$K64)</f>
        <v/>
      </c>
      <c r="M64">
        <f>IF($A64="","",IF($H64="ENGAGE","Engagé",IF(AND($H64="NON ENGAGE",OR($I64="INFRUCTUEUX",$I64="ANNULE")),"Clôturé sans suite","En cours")))</f>
        <v/>
      </c>
      <c r="N64">
        <f>IF(ISBLANK('ENGAGEMENTS 2026'!C64),"",'ENGAGEMENTS 2026'!L64)</f>
        <v/>
      </c>
      <c r="O64">
        <f>IF(ISBLANK('ENGAGEMENTS 2026'!C64),"",'ENGAGEMENTS 2026'!M64)</f>
        <v/>
      </c>
      <c r="P64">
        <f>IF(ISBLANK('ENGAGEMENTS 2026'!C64),"",'ENGAGEMENTS 2026'!K64)</f>
        <v/>
      </c>
      <c r="Q64">
        <f>IF($A64="","",IF(OR($E64="INFRUCTUEUX",$E64="ANNULE"),$A64&amp;"|"&amp;(COUNTIFS($A$2:$A64,$A64,$E$2:$E64,"INFRUCTUEUX")+COUNTIFS($A$2:$A64,$A64,$E$2:$E64,"ANNULE")),""))</f>
        <v/>
      </c>
    </row>
    <row r="65">
      <c r="A65">
        <f>IF(ISBLANK('ENGAGEMENTS 2026'!C65),"",IF('ENGAGEMENTS 2026'!C65="DTSI","DCT",'ENGAGEMENTS 2026'!C65))</f>
        <v/>
      </c>
      <c r="B65">
        <f>IF(ISBLANK('ENGAGEMENTS 2026'!C65),"",'ENGAGEMENTS 2026'!D65)</f>
        <v/>
      </c>
      <c r="C65">
        <f>IF(ISBLANK('ENGAGEMENTS 2026'!C65),"",'ENGAGEMENTS 2026'!E65)</f>
        <v/>
      </c>
      <c r="D65">
        <f>IF(ISBLANK('ENGAGEMENTS 2026'!C65),"",'ENGAGEMENTS 2026'!G65)</f>
        <v/>
      </c>
      <c r="E65">
        <f>IF(ISBLANK('ENGAGEMENTS 2026'!C65),"",'ENGAGEMENTS 2026'!I65)</f>
        <v/>
      </c>
      <c r="F65">
        <f>IF(ISBLANK('ENGAGEMENTS 2026'!C65),"",'ENGAGEMENTS 2026'!J65)</f>
        <v/>
      </c>
      <c r="G65">
        <f>IF(ISBLANK('ENGAGEMENTS 2026'!C65),"",'ENGAGEMENTS 2026'!M65)</f>
        <v/>
      </c>
      <c r="H65">
        <f>IF(ISBLANK('ENGAGEMENTS 2026'!C65),"",'ENGAGEMENTS 2026'!AF65)</f>
        <v/>
      </c>
      <c r="I65">
        <f>IF(ISBLANK('ENGAGEMENTS 2026'!C65),"",'ENGAGEMENTS 2026'!H65)</f>
        <v/>
      </c>
      <c r="J65" s="275">
        <f>IF(ISBLANK('ENGAGEMENTS 2026'!C65),"",IF(AND(OR($E65="INFRUCTUEUX",$E65="ANNULE"),$C65="AOO-M"),'ENGAGEMENTS 2026'!P65,IF($H65="EN COURS DE PREENGAGEMENT",'ENGAGEMENTS 2026'!O65,IF($H65="PREENGAGE",IF($E65="ATTRIBUE",'ENGAGEMENTS 2026'!AE65,'ENGAGEMENTS 2026'!O65),'ENGAGEMENTS 2026'!AE65))))</f>
        <v/>
      </c>
      <c r="K65" s="604">
        <f>IF(ISBLANK('ENGAGEMENTS 2026'!W65),"",'ENGAGEMENTS 2026'!W65)</f>
        <v/>
      </c>
      <c r="L65" s="276">
        <f>IF($K65="","",TODAY()-$K65)</f>
        <v/>
      </c>
      <c r="M65">
        <f>IF($A65="","",IF($H65="ENGAGE","Engagé",IF(AND($H65="NON ENGAGE",OR($I65="INFRUCTUEUX",$I65="ANNULE")),"Clôturé sans suite","En cours")))</f>
        <v/>
      </c>
      <c r="N65">
        <f>IF(ISBLANK('ENGAGEMENTS 2026'!C65),"",'ENGAGEMENTS 2026'!L65)</f>
        <v/>
      </c>
      <c r="O65">
        <f>IF(ISBLANK('ENGAGEMENTS 2026'!C65),"",'ENGAGEMENTS 2026'!M65)</f>
        <v/>
      </c>
      <c r="P65">
        <f>IF(ISBLANK('ENGAGEMENTS 2026'!C65),"",'ENGAGEMENTS 2026'!K65)</f>
        <v/>
      </c>
      <c r="Q65">
        <f>IF($A65="","",IF(OR($E65="INFRUCTUEUX",$E65="ANNULE"),$A65&amp;"|"&amp;(COUNTIFS($A$2:$A65,$A65,$E$2:$E65,"INFRUCTUEUX")+COUNTIFS($A$2:$A65,$A65,$E$2:$E65,"ANNULE")),""))</f>
        <v/>
      </c>
    </row>
    <row r="66">
      <c r="A66">
        <f>IF(ISBLANK('ENGAGEMENTS 2026'!C66),"",IF('ENGAGEMENTS 2026'!C66="DTSI","DCT",'ENGAGEMENTS 2026'!C66))</f>
        <v/>
      </c>
      <c r="B66">
        <f>IF(ISBLANK('ENGAGEMENTS 2026'!C66),"",'ENGAGEMENTS 2026'!D66)</f>
        <v/>
      </c>
      <c r="C66">
        <f>IF(ISBLANK('ENGAGEMENTS 2026'!C66),"",'ENGAGEMENTS 2026'!E66)</f>
        <v/>
      </c>
      <c r="D66">
        <f>IF(ISBLANK('ENGAGEMENTS 2026'!C66),"",'ENGAGEMENTS 2026'!G66)</f>
        <v/>
      </c>
      <c r="E66">
        <f>IF(ISBLANK('ENGAGEMENTS 2026'!C66),"",'ENGAGEMENTS 2026'!I66)</f>
        <v/>
      </c>
      <c r="F66">
        <f>IF(ISBLANK('ENGAGEMENTS 2026'!C66),"",'ENGAGEMENTS 2026'!J66)</f>
        <v/>
      </c>
      <c r="G66">
        <f>IF(ISBLANK('ENGAGEMENTS 2026'!C66),"",'ENGAGEMENTS 2026'!M66)</f>
        <v/>
      </c>
      <c r="H66">
        <f>IF(ISBLANK('ENGAGEMENTS 2026'!C66),"",'ENGAGEMENTS 2026'!AF66)</f>
        <v/>
      </c>
      <c r="I66">
        <f>IF(ISBLANK('ENGAGEMENTS 2026'!C66),"",'ENGAGEMENTS 2026'!H66)</f>
        <v/>
      </c>
      <c r="J66" s="275">
        <f>IF(ISBLANK('ENGAGEMENTS 2026'!C66),"",IF(AND(OR($E66="INFRUCTUEUX",$E66="ANNULE"),$C66="AOO-M"),'ENGAGEMENTS 2026'!P66,IF($H66="EN COURS DE PREENGAGEMENT",'ENGAGEMENTS 2026'!O66,IF($H66="PREENGAGE",IF($E66="ATTRIBUE",'ENGAGEMENTS 2026'!AE66,'ENGAGEMENTS 2026'!O66),'ENGAGEMENTS 2026'!AE66))))</f>
        <v/>
      </c>
      <c r="K66" s="604">
        <f>IF(ISBLANK('ENGAGEMENTS 2026'!W66),"",'ENGAGEMENTS 2026'!W66)</f>
        <v/>
      </c>
      <c r="L66" s="276">
        <f>IF($K66="","",TODAY()-$K66)</f>
        <v/>
      </c>
      <c r="M66">
        <f>IF($A66="","",IF($H66="ENGAGE","Engagé",IF(AND($H66="NON ENGAGE",OR($I66="INFRUCTUEUX",$I66="ANNULE")),"Clôturé sans suite","En cours")))</f>
        <v/>
      </c>
      <c r="N66">
        <f>IF(ISBLANK('ENGAGEMENTS 2026'!C66),"",'ENGAGEMENTS 2026'!L66)</f>
        <v/>
      </c>
      <c r="O66">
        <f>IF(ISBLANK('ENGAGEMENTS 2026'!C66),"",'ENGAGEMENTS 2026'!M66)</f>
        <v/>
      </c>
      <c r="P66">
        <f>IF(ISBLANK('ENGAGEMENTS 2026'!C66),"",'ENGAGEMENTS 2026'!K66)</f>
        <v/>
      </c>
      <c r="Q66">
        <f>IF($A66="","",IF(OR($E66="INFRUCTUEUX",$E66="ANNULE"),$A66&amp;"|"&amp;(COUNTIFS($A$2:$A66,$A66,$E$2:$E66,"INFRUCTUEUX")+COUNTIFS($A$2:$A66,$A66,$E$2:$E66,"ANNULE")),""))</f>
        <v/>
      </c>
    </row>
    <row r="67">
      <c r="A67">
        <f>IF(ISBLANK('ENGAGEMENTS 2026'!C67),"",IF('ENGAGEMENTS 2026'!C67="DTSI","DCT",'ENGAGEMENTS 2026'!C67))</f>
        <v/>
      </c>
      <c r="B67">
        <f>IF(ISBLANK('ENGAGEMENTS 2026'!C67),"",'ENGAGEMENTS 2026'!D67)</f>
        <v/>
      </c>
      <c r="C67">
        <f>IF(ISBLANK('ENGAGEMENTS 2026'!C67),"",'ENGAGEMENTS 2026'!E67)</f>
        <v/>
      </c>
      <c r="D67">
        <f>IF(ISBLANK('ENGAGEMENTS 2026'!C67),"",'ENGAGEMENTS 2026'!G67)</f>
        <v/>
      </c>
      <c r="E67">
        <f>IF(ISBLANK('ENGAGEMENTS 2026'!C67),"",'ENGAGEMENTS 2026'!I67)</f>
        <v/>
      </c>
      <c r="F67">
        <f>IF(ISBLANK('ENGAGEMENTS 2026'!C67),"",'ENGAGEMENTS 2026'!J67)</f>
        <v/>
      </c>
      <c r="G67">
        <f>IF(ISBLANK('ENGAGEMENTS 2026'!C67),"",'ENGAGEMENTS 2026'!M67)</f>
        <v/>
      </c>
      <c r="H67">
        <f>IF(ISBLANK('ENGAGEMENTS 2026'!C67),"",'ENGAGEMENTS 2026'!AF67)</f>
        <v/>
      </c>
      <c r="I67">
        <f>IF(ISBLANK('ENGAGEMENTS 2026'!C67),"",'ENGAGEMENTS 2026'!H67)</f>
        <v/>
      </c>
      <c r="J67" s="275">
        <f>IF(ISBLANK('ENGAGEMENTS 2026'!C67),"",IF(AND(OR($E67="INFRUCTUEUX",$E67="ANNULE"),$C67="AOO-M"),'ENGAGEMENTS 2026'!P67,IF($H67="EN COURS DE PREENGAGEMENT",'ENGAGEMENTS 2026'!O67,IF($H67="PREENGAGE",IF($E67="ATTRIBUE",'ENGAGEMENTS 2026'!AE67,'ENGAGEMENTS 2026'!O67),'ENGAGEMENTS 2026'!AE67))))</f>
        <v/>
      </c>
      <c r="K67" s="604">
        <f>IF(ISBLANK('ENGAGEMENTS 2026'!W67),"",'ENGAGEMENTS 2026'!W67)</f>
        <v/>
      </c>
      <c r="L67" s="276">
        <f>IF($K67="","",TODAY()-$K67)</f>
        <v/>
      </c>
      <c r="M67">
        <f>IF($A67="","",IF($H67="ENGAGE","Engagé",IF(AND($H67="NON ENGAGE",OR($I67="INFRUCTUEUX",$I67="ANNULE")),"Clôturé sans suite","En cours")))</f>
        <v/>
      </c>
      <c r="N67">
        <f>IF(ISBLANK('ENGAGEMENTS 2026'!C67),"",'ENGAGEMENTS 2026'!L67)</f>
        <v/>
      </c>
      <c r="O67">
        <f>IF(ISBLANK('ENGAGEMENTS 2026'!C67),"",'ENGAGEMENTS 2026'!M67)</f>
        <v/>
      </c>
      <c r="P67">
        <f>IF(ISBLANK('ENGAGEMENTS 2026'!C67),"",'ENGAGEMENTS 2026'!K67)</f>
        <v/>
      </c>
      <c r="Q67">
        <f>IF($A67="","",IF(OR($E67="INFRUCTUEUX",$E67="ANNULE"),$A67&amp;"|"&amp;(COUNTIFS($A$2:$A67,$A67,$E$2:$E67,"INFRUCTUEUX")+COUNTIFS($A$2:$A67,$A67,$E$2:$E67,"ANNULE")),""))</f>
        <v/>
      </c>
    </row>
    <row r="68">
      <c r="A68">
        <f>IF(ISBLANK('ENGAGEMENTS 2026'!C68),"",IF('ENGAGEMENTS 2026'!C68="DTSI","DCT",'ENGAGEMENTS 2026'!C68))</f>
        <v/>
      </c>
      <c r="B68">
        <f>IF(ISBLANK('ENGAGEMENTS 2026'!C68),"",'ENGAGEMENTS 2026'!D68)</f>
        <v/>
      </c>
      <c r="C68">
        <f>IF(ISBLANK('ENGAGEMENTS 2026'!C68),"",'ENGAGEMENTS 2026'!E68)</f>
        <v/>
      </c>
      <c r="D68">
        <f>IF(ISBLANK('ENGAGEMENTS 2026'!C68),"",'ENGAGEMENTS 2026'!G68)</f>
        <v/>
      </c>
      <c r="E68">
        <f>IF(ISBLANK('ENGAGEMENTS 2026'!C68),"",'ENGAGEMENTS 2026'!I68)</f>
        <v/>
      </c>
      <c r="F68">
        <f>IF(ISBLANK('ENGAGEMENTS 2026'!C68),"",'ENGAGEMENTS 2026'!J68)</f>
        <v/>
      </c>
      <c r="G68">
        <f>IF(ISBLANK('ENGAGEMENTS 2026'!C68),"",'ENGAGEMENTS 2026'!M68)</f>
        <v/>
      </c>
      <c r="H68">
        <f>IF(ISBLANK('ENGAGEMENTS 2026'!C68),"",'ENGAGEMENTS 2026'!AF68)</f>
        <v/>
      </c>
      <c r="I68">
        <f>IF(ISBLANK('ENGAGEMENTS 2026'!C68),"",'ENGAGEMENTS 2026'!H68)</f>
        <v/>
      </c>
      <c r="J68" s="275">
        <f>IF(ISBLANK('ENGAGEMENTS 2026'!C68),"",IF(AND(OR($E68="INFRUCTUEUX",$E68="ANNULE"),$C68="AOO-M"),'ENGAGEMENTS 2026'!P68,IF($H68="EN COURS DE PREENGAGEMENT",'ENGAGEMENTS 2026'!O68,IF($H68="PREENGAGE",IF($E68="ATTRIBUE",'ENGAGEMENTS 2026'!AE68,'ENGAGEMENTS 2026'!O68),'ENGAGEMENTS 2026'!AE68))))</f>
        <v/>
      </c>
      <c r="K68" s="604">
        <f>IF(ISBLANK('ENGAGEMENTS 2026'!W68),"",'ENGAGEMENTS 2026'!W68)</f>
        <v/>
      </c>
      <c r="L68" s="276">
        <f>IF($K68="","",TODAY()-$K68)</f>
        <v/>
      </c>
      <c r="M68">
        <f>IF($A68="","",IF($H68="ENGAGE","Engagé",IF(AND($H68="NON ENGAGE",OR($I68="INFRUCTUEUX",$I68="ANNULE")),"Clôturé sans suite","En cours")))</f>
        <v/>
      </c>
      <c r="N68">
        <f>IF(ISBLANK('ENGAGEMENTS 2026'!C68),"",'ENGAGEMENTS 2026'!L68)</f>
        <v/>
      </c>
      <c r="O68">
        <f>IF(ISBLANK('ENGAGEMENTS 2026'!C68),"",'ENGAGEMENTS 2026'!M68)</f>
        <v/>
      </c>
      <c r="P68">
        <f>IF(ISBLANK('ENGAGEMENTS 2026'!C68),"",'ENGAGEMENTS 2026'!K68)</f>
        <v/>
      </c>
      <c r="Q68">
        <f>IF($A68="","",IF(OR($E68="INFRUCTUEUX",$E68="ANNULE"),$A68&amp;"|"&amp;(COUNTIFS($A$2:$A68,$A68,$E$2:$E68,"INFRUCTUEUX")+COUNTIFS($A$2:$A68,$A68,$E$2:$E68,"ANNULE")),""))</f>
        <v/>
      </c>
    </row>
    <row r="69">
      <c r="A69">
        <f>IF(ISBLANK('ENGAGEMENTS 2026'!C69),"",IF('ENGAGEMENTS 2026'!C69="DTSI","DCT",'ENGAGEMENTS 2026'!C69))</f>
        <v/>
      </c>
      <c r="B69">
        <f>IF(ISBLANK('ENGAGEMENTS 2026'!C69),"",'ENGAGEMENTS 2026'!D69)</f>
        <v/>
      </c>
      <c r="C69">
        <f>IF(ISBLANK('ENGAGEMENTS 2026'!C69),"",'ENGAGEMENTS 2026'!E69)</f>
        <v/>
      </c>
      <c r="D69">
        <f>IF(ISBLANK('ENGAGEMENTS 2026'!C69),"",'ENGAGEMENTS 2026'!G69)</f>
        <v/>
      </c>
      <c r="E69">
        <f>IF(ISBLANK('ENGAGEMENTS 2026'!C69),"",'ENGAGEMENTS 2026'!I69)</f>
        <v/>
      </c>
      <c r="F69">
        <f>IF(ISBLANK('ENGAGEMENTS 2026'!C69),"",'ENGAGEMENTS 2026'!J69)</f>
        <v/>
      </c>
      <c r="G69">
        <f>IF(ISBLANK('ENGAGEMENTS 2026'!C69),"",'ENGAGEMENTS 2026'!M69)</f>
        <v/>
      </c>
      <c r="H69">
        <f>IF(ISBLANK('ENGAGEMENTS 2026'!C69),"",'ENGAGEMENTS 2026'!AF69)</f>
        <v/>
      </c>
      <c r="I69">
        <f>IF(ISBLANK('ENGAGEMENTS 2026'!C69),"",'ENGAGEMENTS 2026'!H69)</f>
        <v/>
      </c>
      <c r="J69" s="275">
        <f>IF(ISBLANK('ENGAGEMENTS 2026'!C69),"",IF(AND(OR($E69="INFRUCTUEUX",$E69="ANNULE"),$C69="AOO-M"),'ENGAGEMENTS 2026'!P69,IF($H69="EN COURS DE PREENGAGEMENT",'ENGAGEMENTS 2026'!O69,IF($H69="PREENGAGE",IF($E69="ATTRIBUE",'ENGAGEMENTS 2026'!AE69,'ENGAGEMENTS 2026'!O69),'ENGAGEMENTS 2026'!AE69))))</f>
        <v/>
      </c>
      <c r="K69" s="604">
        <f>IF(ISBLANK('ENGAGEMENTS 2026'!W69),"",'ENGAGEMENTS 2026'!W69)</f>
        <v/>
      </c>
      <c r="L69" s="276">
        <f>IF($K69="","",TODAY()-$K69)</f>
        <v/>
      </c>
      <c r="M69">
        <f>IF($A69="","",IF($H69="ENGAGE","Engagé",IF(AND($H69="NON ENGAGE",OR($I69="INFRUCTUEUX",$I69="ANNULE")),"Clôturé sans suite","En cours")))</f>
        <v/>
      </c>
      <c r="N69">
        <f>IF(ISBLANK('ENGAGEMENTS 2026'!C69),"",'ENGAGEMENTS 2026'!L69)</f>
        <v/>
      </c>
      <c r="O69">
        <f>IF(ISBLANK('ENGAGEMENTS 2026'!C69),"",'ENGAGEMENTS 2026'!M69)</f>
        <v/>
      </c>
      <c r="P69">
        <f>IF(ISBLANK('ENGAGEMENTS 2026'!C69),"",'ENGAGEMENTS 2026'!K69)</f>
        <v/>
      </c>
      <c r="Q69">
        <f>IF($A69="","",IF(OR($E69="INFRUCTUEUX",$E69="ANNULE"),$A69&amp;"|"&amp;(COUNTIFS($A$2:$A69,$A69,$E$2:$E69,"INFRUCTUEUX")+COUNTIFS($A$2:$A69,$A69,$E$2:$E69,"ANNULE")),""))</f>
        <v/>
      </c>
    </row>
    <row r="70">
      <c r="A70">
        <f>IF(ISBLANK('ENGAGEMENTS 2026'!C70),"",IF('ENGAGEMENTS 2026'!C70="DTSI","DCT",'ENGAGEMENTS 2026'!C70))</f>
        <v/>
      </c>
      <c r="B70">
        <f>IF(ISBLANK('ENGAGEMENTS 2026'!C70),"",'ENGAGEMENTS 2026'!D70)</f>
        <v/>
      </c>
      <c r="C70">
        <f>IF(ISBLANK('ENGAGEMENTS 2026'!C70),"",'ENGAGEMENTS 2026'!E70)</f>
        <v/>
      </c>
      <c r="D70">
        <f>IF(ISBLANK('ENGAGEMENTS 2026'!C70),"",'ENGAGEMENTS 2026'!G70)</f>
        <v/>
      </c>
      <c r="E70">
        <f>IF(ISBLANK('ENGAGEMENTS 2026'!C70),"",'ENGAGEMENTS 2026'!I70)</f>
        <v/>
      </c>
      <c r="F70">
        <f>IF(ISBLANK('ENGAGEMENTS 2026'!C70),"",'ENGAGEMENTS 2026'!J70)</f>
        <v/>
      </c>
      <c r="G70">
        <f>IF(ISBLANK('ENGAGEMENTS 2026'!C70),"",'ENGAGEMENTS 2026'!M70)</f>
        <v/>
      </c>
      <c r="H70">
        <f>IF(ISBLANK('ENGAGEMENTS 2026'!C70),"",'ENGAGEMENTS 2026'!AF70)</f>
        <v/>
      </c>
      <c r="I70">
        <f>IF(ISBLANK('ENGAGEMENTS 2026'!C70),"",'ENGAGEMENTS 2026'!H70)</f>
        <v/>
      </c>
      <c r="J70" s="275">
        <f>IF(ISBLANK('ENGAGEMENTS 2026'!C70),"",IF(AND(OR($E70="INFRUCTUEUX",$E70="ANNULE"),$C70="AOO-M"),'ENGAGEMENTS 2026'!P70,IF($H70="EN COURS DE PREENGAGEMENT",'ENGAGEMENTS 2026'!O70,IF($H70="PREENGAGE",IF($E70="ATTRIBUE",'ENGAGEMENTS 2026'!AE70,'ENGAGEMENTS 2026'!O70),'ENGAGEMENTS 2026'!AE70))))</f>
        <v/>
      </c>
      <c r="K70" s="604">
        <f>IF(ISBLANK('ENGAGEMENTS 2026'!W70),"",'ENGAGEMENTS 2026'!W70)</f>
        <v/>
      </c>
      <c r="L70" s="276">
        <f>IF($K70="","",TODAY()-$K70)</f>
        <v/>
      </c>
      <c r="M70">
        <f>IF($A70="","",IF($H70="ENGAGE","Engagé",IF(AND($H70="NON ENGAGE",OR($I70="INFRUCTUEUX",$I70="ANNULE")),"Clôturé sans suite","En cours")))</f>
        <v/>
      </c>
      <c r="N70">
        <f>IF(ISBLANK('ENGAGEMENTS 2026'!C70),"",'ENGAGEMENTS 2026'!L70)</f>
        <v/>
      </c>
      <c r="O70">
        <f>IF(ISBLANK('ENGAGEMENTS 2026'!C70),"",'ENGAGEMENTS 2026'!M70)</f>
        <v/>
      </c>
      <c r="P70">
        <f>IF(ISBLANK('ENGAGEMENTS 2026'!C70),"",'ENGAGEMENTS 2026'!K70)</f>
        <v/>
      </c>
      <c r="Q70">
        <f>IF($A70="","",IF(OR($E70="INFRUCTUEUX",$E70="ANNULE"),$A70&amp;"|"&amp;(COUNTIFS($A$2:$A70,$A70,$E$2:$E70,"INFRUCTUEUX")+COUNTIFS($A$2:$A70,$A70,$E$2:$E70,"ANNULE")),""))</f>
        <v/>
      </c>
    </row>
    <row r="71">
      <c r="A71">
        <f>IF(ISBLANK('ENGAGEMENTS 2026'!C71),"",IF('ENGAGEMENTS 2026'!C71="DTSI","DCT",'ENGAGEMENTS 2026'!C71))</f>
        <v/>
      </c>
      <c r="B71">
        <f>IF(ISBLANK('ENGAGEMENTS 2026'!C71),"",'ENGAGEMENTS 2026'!D71)</f>
        <v/>
      </c>
      <c r="C71">
        <f>IF(ISBLANK('ENGAGEMENTS 2026'!C71),"",'ENGAGEMENTS 2026'!E71)</f>
        <v/>
      </c>
      <c r="D71">
        <f>IF(ISBLANK('ENGAGEMENTS 2026'!C71),"",'ENGAGEMENTS 2026'!G71)</f>
        <v/>
      </c>
      <c r="E71">
        <f>IF(ISBLANK('ENGAGEMENTS 2026'!C71),"",'ENGAGEMENTS 2026'!I71)</f>
        <v/>
      </c>
      <c r="F71">
        <f>IF(ISBLANK('ENGAGEMENTS 2026'!C71),"",'ENGAGEMENTS 2026'!J71)</f>
        <v/>
      </c>
      <c r="G71">
        <f>IF(ISBLANK('ENGAGEMENTS 2026'!C71),"",'ENGAGEMENTS 2026'!M71)</f>
        <v/>
      </c>
      <c r="H71">
        <f>IF(ISBLANK('ENGAGEMENTS 2026'!C71),"",'ENGAGEMENTS 2026'!AF71)</f>
        <v/>
      </c>
      <c r="I71">
        <f>IF(ISBLANK('ENGAGEMENTS 2026'!C71),"",'ENGAGEMENTS 2026'!H71)</f>
        <v/>
      </c>
      <c r="J71" s="275">
        <f>IF(ISBLANK('ENGAGEMENTS 2026'!C71),"",IF(AND(OR($E71="INFRUCTUEUX",$E71="ANNULE"),$C71="AOO-M"),'ENGAGEMENTS 2026'!P71,IF($H71="EN COURS DE PREENGAGEMENT",'ENGAGEMENTS 2026'!O71,IF($H71="PREENGAGE",IF($E71="ATTRIBUE",'ENGAGEMENTS 2026'!AE71,'ENGAGEMENTS 2026'!O71),'ENGAGEMENTS 2026'!AE71))))</f>
        <v/>
      </c>
      <c r="K71" s="604">
        <f>IF(ISBLANK('ENGAGEMENTS 2026'!W71),"",'ENGAGEMENTS 2026'!W71)</f>
        <v/>
      </c>
      <c r="L71" s="276">
        <f>IF($K71="","",TODAY()-$K71)</f>
        <v/>
      </c>
      <c r="M71">
        <f>IF($A71="","",IF($H71="ENGAGE","Engagé",IF(AND($H71="NON ENGAGE",OR($I71="INFRUCTUEUX",$I71="ANNULE")),"Clôturé sans suite","En cours")))</f>
        <v/>
      </c>
      <c r="N71">
        <f>IF(ISBLANK('ENGAGEMENTS 2026'!C71),"",'ENGAGEMENTS 2026'!L71)</f>
        <v/>
      </c>
      <c r="O71">
        <f>IF(ISBLANK('ENGAGEMENTS 2026'!C71),"",'ENGAGEMENTS 2026'!M71)</f>
        <v/>
      </c>
      <c r="P71">
        <f>IF(ISBLANK('ENGAGEMENTS 2026'!C71),"",'ENGAGEMENTS 2026'!K71)</f>
        <v/>
      </c>
      <c r="Q71">
        <f>IF($A71="","",IF(OR($E71="INFRUCTUEUX",$E71="ANNULE"),$A71&amp;"|"&amp;(COUNTIFS($A$2:$A71,$A71,$E$2:$E71,"INFRUCTUEUX")+COUNTIFS($A$2:$A71,$A71,$E$2:$E71,"ANNULE")),""))</f>
        <v/>
      </c>
    </row>
    <row r="72">
      <c r="A72">
        <f>IF(ISBLANK('ENGAGEMENTS 2026'!C72),"",IF('ENGAGEMENTS 2026'!C72="DTSI","DCT",'ENGAGEMENTS 2026'!C72))</f>
        <v/>
      </c>
      <c r="B72">
        <f>IF(ISBLANK('ENGAGEMENTS 2026'!C72),"",'ENGAGEMENTS 2026'!D72)</f>
        <v/>
      </c>
      <c r="C72">
        <f>IF(ISBLANK('ENGAGEMENTS 2026'!C72),"",'ENGAGEMENTS 2026'!E72)</f>
        <v/>
      </c>
      <c r="D72">
        <f>IF(ISBLANK('ENGAGEMENTS 2026'!C72),"",'ENGAGEMENTS 2026'!G72)</f>
        <v/>
      </c>
      <c r="E72">
        <f>IF(ISBLANK('ENGAGEMENTS 2026'!C72),"",'ENGAGEMENTS 2026'!I72)</f>
        <v/>
      </c>
      <c r="F72">
        <f>IF(ISBLANK('ENGAGEMENTS 2026'!C72),"",'ENGAGEMENTS 2026'!J72)</f>
        <v/>
      </c>
      <c r="G72">
        <f>IF(ISBLANK('ENGAGEMENTS 2026'!C72),"",'ENGAGEMENTS 2026'!M72)</f>
        <v/>
      </c>
      <c r="H72">
        <f>IF(ISBLANK('ENGAGEMENTS 2026'!C72),"",'ENGAGEMENTS 2026'!AF72)</f>
        <v/>
      </c>
      <c r="I72">
        <f>IF(ISBLANK('ENGAGEMENTS 2026'!C72),"",'ENGAGEMENTS 2026'!H72)</f>
        <v/>
      </c>
      <c r="J72" s="275">
        <f>IF(ISBLANK('ENGAGEMENTS 2026'!C72),"",IF(AND(OR($E72="INFRUCTUEUX",$E72="ANNULE"),$C72="AOO-M"),'ENGAGEMENTS 2026'!P72,IF($H72="EN COURS DE PREENGAGEMENT",'ENGAGEMENTS 2026'!O72,IF($H72="PREENGAGE",IF($E72="ATTRIBUE",'ENGAGEMENTS 2026'!AE72,'ENGAGEMENTS 2026'!O72),'ENGAGEMENTS 2026'!AE72))))</f>
        <v/>
      </c>
      <c r="K72" s="604">
        <f>IF(ISBLANK('ENGAGEMENTS 2026'!W72),"",'ENGAGEMENTS 2026'!W72)</f>
        <v/>
      </c>
      <c r="L72" s="276">
        <f>IF($K72="","",TODAY()-$K72)</f>
        <v/>
      </c>
      <c r="M72">
        <f>IF($A72="","",IF($H72="ENGAGE","Engagé",IF(AND($H72="NON ENGAGE",OR($I72="INFRUCTUEUX",$I72="ANNULE")),"Clôturé sans suite","En cours")))</f>
        <v/>
      </c>
      <c r="N72">
        <f>IF(ISBLANK('ENGAGEMENTS 2026'!C72),"",'ENGAGEMENTS 2026'!L72)</f>
        <v/>
      </c>
      <c r="O72">
        <f>IF(ISBLANK('ENGAGEMENTS 2026'!C72),"",'ENGAGEMENTS 2026'!M72)</f>
        <v/>
      </c>
      <c r="P72">
        <f>IF(ISBLANK('ENGAGEMENTS 2026'!C72),"",'ENGAGEMENTS 2026'!K72)</f>
        <v/>
      </c>
      <c r="Q72">
        <f>IF($A72="","",IF(OR($E72="INFRUCTUEUX",$E72="ANNULE"),$A72&amp;"|"&amp;(COUNTIFS($A$2:$A72,$A72,$E$2:$E72,"INFRUCTUEUX")+COUNTIFS($A$2:$A72,$A72,$E$2:$E72,"ANNULE")),""))</f>
        <v/>
      </c>
    </row>
    <row r="73">
      <c r="A73">
        <f>IF(ISBLANK('ENGAGEMENTS 2026'!C73),"",IF('ENGAGEMENTS 2026'!C73="DTSI","DCT",'ENGAGEMENTS 2026'!C73))</f>
        <v/>
      </c>
      <c r="B73">
        <f>IF(ISBLANK('ENGAGEMENTS 2026'!C73),"",'ENGAGEMENTS 2026'!D73)</f>
        <v/>
      </c>
      <c r="C73">
        <f>IF(ISBLANK('ENGAGEMENTS 2026'!C73),"",'ENGAGEMENTS 2026'!E73)</f>
        <v/>
      </c>
      <c r="D73">
        <f>IF(ISBLANK('ENGAGEMENTS 2026'!C73),"",'ENGAGEMENTS 2026'!G73)</f>
        <v/>
      </c>
      <c r="E73">
        <f>IF(ISBLANK('ENGAGEMENTS 2026'!C73),"",'ENGAGEMENTS 2026'!I73)</f>
        <v/>
      </c>
      <c r="F73">
        <f>IF(ISBLANK('ENGAGEMENTS 2026'!C73),"",'ENGAGEMENTS 2026'!J73)</f>
        <v/>
      </c>
      <c r="G73">
        <f>IF(ISBLANK('ENGAGEMENTS 2026'!C73),"",'ENGAGEMENTS 2026'!M73)</f>
        <v/>
      </c>
      <c r="H73">
        <f>IF(ISBLANK('ENGAGEMENTS 2026'!C73),"",'ENGAGEMENTS 2026'!AF73)</f>
        <v/>
      </c>
      <c r="I73">
        <f>IF(ISBLANK('ENGAGEMENTS 2026'!C73),"",'ENGAGEMENTS 2026'!H73)</f>
        <v/>
      </c>
      <c r="J73" s="275">
        <f>IF(ISBLANK('ENGAGEMENTS 2026'!C73),"",IF(AND(OR($E73="INFRUCTUEUX",$E73="ANNULE"),$C73="AOO-M"),'ENGAGEMENTS 2026'!P73,IF($H73="EN COURS DE PREENGAGEMENT",'ENGAGEMENTS 2026'!O73,IF($H73="PREENGAGE",IF($E73="ATTRIBUE",'ENGAGEMENTS 2026'!AE73,'ENGAGEMENTS 2026'!O73),'ENGAGEMENTS 2026'!AE73))))</f>
        <v/>
      </c>
      <c r="K73" s="604">
        <f>IF(ISBLANK('ENGAGEMENTS 2026'!W73),"",'ENGAGEMENTS 2026'!W73)</f>
        <v/>
      </c>
      <c r="L73" s="276">
        <f>IF($K73="","",TODAY()-$K73)</f>
        <v/>
      </c>
      <c r="M73">
        <f>IF($A73="","",IF($H73="ENGAGE","Engagé",IF(AND($H73="NON ENGAGE",OR($I73="INFRUCTUEUX",$I73="ANNULE")),"Clôturé sans suite","En cours")))</f>
        <v/>
      </c>
      <c r="N73">
        <f>IF(ISBLANK('ENGAGEMENTS 2026'!C73),"",'ENGAGEMENTS 2026'!L73)</f>
        <v/>
      </c>
      <c r="O73">
        <f>IF(ISBLANK('ENGAGEMENTS 2026'!C73),"",'ENGAGEMENTS 2026'!M73)</f>
        <v/>
      </c>
      <c r="P73">
        <f>IF(ISBLANK('ENGAGEMENTS 2026'!C73),"",'ENGAGEMENTS 2026'!K73)</f>
        <v/>
      </c>
      <c r="Q73">
        <f>IF($A73="","",IF(OR($E73="INFRUCTUEUX",$E73="ANNULE"),$A73&amp;"|"&amp;(COUNTIFS($A$2:$A73,$A73,$E$2:$E73,"INFRUCTUEUX")+COUNTIFS($A$2:$A73,$A73,$E$2:$E73,"ANNULE")),""))</f>
        <v/>
      </c>
    </row>
    <row r="74">
      <c r="A74">
        <f>IF(ISBLANK('ENGAGEMENTS 2026'!C74),"",IF('ENGAGEMENTS 2026'!C74="DTSI","DCT",'ENGAGEMENTS 2026'!C74))</f>
        <v/>
      </c>
      <c r="B74">
        <f>IF(ISBLANK('ENGAGEMENTS 2026'!C74),"",'ENGAGEMENTS 2026'!D74)</f>
        <v/>
      </c>
      <c r="C74">
        <f>IF(ISBLANK('ENGAGEMENTS 2026'!C74),"",'ENGAGEMENTS 2026'!E74)</f>
        <v/>
      </c>
      <c r="D74">
        <f>IF(ISBLANK('ENGAGEMENTS 2026'!C74),"",'ENGAGEMENTS 2026'!G74)</f>
        <v/>
      </c>
      <c r="E74">
        <f>IF(ISBLANK('ENGAGEMENTS 2026'!C74),"",'ENGAGEMENTS 2026'!I74)</f>
        <v/>
      </c>
      <c r="F74">
        <f>IF(ISBLANK('ENGAGEMENTS 2026'!C74),"",'ENGAGEMENTS 2026'!J74)</f>
        <v/>
      </c>
      <c r="G74">
        <f>IF(ISBLANK('ENGAGEMENTS 2026'!C74),"",'ENGAGEMENTS 2026'!M74)</f>
        <v/>
      </c>
      <c r="H74">
        <f>IF(ISBLANK('ENGAGEMENTS 2026'!C74),"",'ENGAGEMENTS 2026'!AF74)</f>
        <v/>
      </c>
      <c r="I74">
        <f>IF(ISBLANK('ENGAGEMENTS 2026'!C74),"",'ENGAGEMENTS 2026'!H74)</f>
        <v/>
      </c>
      <c r="J74" s="275">
        <f>IF(ISBLANK('ENGAGEMENTS 2026'!C74),"",IF(AND(OR($E74="INFRUCTUEUX",$E74="ANNULE"),$C74="AOO-M"),'ENGAGEMENTS 2026'!P74,IF($H74="EN COURS DE PREENGAGEMENT",'ENGAGEMENTS 2026'!O74,IF($H74="PREENGAGE",IF($E74="ATTRIBUE",'ENGAGEMENTS 2026'!AE74,'ENGAGEMENTS 2026'!O74),'ENGAGEMENTS 2026'!AE74))))</f>
        <v/>
      </c>
      <c r="K74" s="604">
        <f>IF(ISBLANK('ENGAGEMENTS 2026'!W74),"",'ENGAGEMENTS 2026'!W74)</f>
        <v/>
      </c>
      <c r="L74" s="276">
        <f>IF($K74="","",TODAY()-$K74)</f>
        <v/>
      </c>
      <c r="M74">
        <f>IF($A74="","",IF($H74="ENGAGE","Engagé",IF(AND($H74="NON ENGAGE",OR($I74="INFRUCTUEUX",$I74="ANNULE")),"Clôturé sans suite","En cours")))</f>
        <v/>
      </c>
      <c r="N74">
        <f>IF(ISBLANK('ENGAGEMENTS 2026'!C74),"",'ENGAGEMENTS 2026'!L74)</f>
        <v/>
      </c>
      <c r="O74">
        <f>IF(ISBLANK('ENGAGEMENTS 2026'!C74),"",'ENGAGEMENTS 2026'!M74)</f>
        <v/>
      </c>
      <c r="P74">
        <f>IF(ISBLANK('ENGAGEMENTS 2026'!C74),"",'ENGAGEMENTS 2026'!K74)</f>
        <v/>
      </c>
      <c r="Q74">
        <f>IF($A74="","",IF(OR($E74="INFRUCTUEUX",$E74="ANNULE"),$A74&amp;"|"&amp;(COUNTIFS($A$2:$A74,$A74,$E$2:$E74,"INFRUCTUEUX")+COUNTIFS($A$2:$A74,$A74,$E$2:$E74,"ANNULE")),""))</f>
        <v/>
      </c>
    </row>
    <row r="75">
      <c r="A75">
        <f>IF(ISBLANK('ENGAGEMENTS 2026'!C75),"",IF('ENGAGEMENTS 2026'!C75="DTSI","DCT",'ENGAGEMENTS 2026'!C75))</f>
        <v/>
      </c>
      <c r="B75">
        <f>IF(ISBLANK('ENGAGEMENTS 2026'!C75),"",'ENGAGEMENTS 2026'!D75)</f>
        <v/>
      </c>
      <c r="C75">
        <f>IF(ISBLANK('ENGAGEMENTS 2026'!C75),"",'ENGAGEMENTS 2026'!E75)</f>
        <v/>
      </c>
      <c r="D75">
        <f>IF(ISBLANK('ENGAGEMENTS 2026'!C75),"",'ENGAGEMENTS 2026'!G75)</f>
        <v/>
      </c>
      <c r="E75">
        <f>IF(ISBLANK('ENGAGEMENTS 2026'!C75),"",'ENGAGEMENTS 2026'!I75)</f>
        <v/>
      </c>
      <c r="F75">
        <f>IF(ISBLANK('ENGAGEMENTS 2026'!C75),"",'ENGAGEMENTS 2026'!J75)</f>
        <v/>
      </c>
      <c r="G75">
        <f>IF(ISBLANK('ENGAGEMENTS 2026'!C75),"",'ENGAGEMENTS 2026'!M75)</f>
        <v/>
      </c>
      <c r="H75">
        <f>IF(ISBLANK('ENGAGEMENTS 2026'!C75),"",'ENGAGEMENTS 2026'!AF75)</f>
        <v/>
      </c>
      <c r="I75">
        <f>IF(ISBLANK('ENGAGEMENTS 2026'!C75),"",'ENGAGEMENTS 2026'!H75)</f>
        <v/>
      </c>
      <c r="J75" s="275">
        <f>IF(ISBLANK('ENGAGEMENTS 2026'!C75),"",IF(AND(OR($E75="INFRUCTUEUX",$E75="ANNULE"),$C75="AOO-M"),'ENGAGEMENTS 2026'!P75,IF($H75="EN COURS DE PREENGAGEMENT",'ENGAGEMENTS 2026'!O75,IF($H75="PREENGAGE",IF($E75="ATTRIBUE",'ENGAGEMENTS 2026'!AE75,'ENGAGEMENTS 2026'!O75),'ENGAGEMENTS 2026'!AE75))))</f>
        <v/>
      </c>
      <c r="K75" s="604">
        <f>IF(ISBLANK('ENGAGEMENTS 2026'!W75),"",'ENGAGEMENTS 2026'!W75)</f>
        <v/>
      </c>
      <c r="L75" s="276">
        <f>IF($K75="","",TODAY()-$K75)</f>
        <v/>
      </c>
      <c r="M75">
        <f>IF($A75="","",IF($H75="ENGAGE","Engagé",IF(AND($H75="NON ENGAGE",OR($I75="INFRUCTUEUX",$I75="ANNULE")),"Clôturé sans suite","En cours")))</f>
        <v/>
      </c>
      <c r="N75">
        <f>IF(ISBLANK('ENGAGEMENTS 2026'!C75),"",'ENGAGEMENTS 2026'!L75)</f>
        <v/>
      </c>
      <c r="O75">
        <f>IF(ISBLANK('ENGAGEMENTS 2026'!C75),"",'ENGAGEMENTS 2026'!M75)</f>
        <v/>
      </c>
      <c r="P75">
        <f>IF(ISBLANK('ENGAGEMENTS 2026'!C75),"",'ENGAGEMENTS 2026'!K75)</f>
        <v/>
      </c>
      <c r="Q75">
        <f>IF($A75="","",IF(OR($E75="INFRUCTUEUX",$E75="ANNULE"),$A75&amp;"|"&amp;(COUNTIFS($A$2:$A75,$A75,$E$2:$E75,"INFRUCTUEUX")+COUNTIFS($A$2:$A75,$A75,$E$2:$E75,"ANNULE")),""))</f>
        <v/>
      </c>
    </row>
    <row r="76">
      <c r="A76">
        <f>IF(ISBLANK('ENGAGEMENTS 2026'!C76),"",IF('ENGAGEMENTS 2026'!C76="DTSI","DCT",'ENGAGEMENTS 2026'!C76))</f>
        <v/>
      </c>
      <c r="B76">
        <f>IF(ISBLANK('ENGAGEMENTS 2026'!C76),"",'ENGAGEMENTS 2026'!D76)</f>
        <v/>
      </c>
      <c r="C76">
        <f>IF(ISBLANK('ENGAGEMENTS 2026'!C76),"",'ENGAGEMENTS 2026'!E76)</f>
        <v/>
      </c>
      <c r="D76">
        <f>IF(ISBLANK('ENGAGEMENTS 2026'!C76),"",'ENGAGEMENTS 2026'!G76)</f>
        <v/>
      </c>
      <c r="E76">
        <f>IF(ISBLANK('ENGAGEMENTS 2026'!C76),"",'ENGAGEMENTS 2026'!I76)</f>
        <v/>
      </c>
      <c r="F76">
        <f>IF(ISBLANK('ENGAGEMENTS 2026'!C76),"",'ENGAGEMENTS 2026'!J76)</f>
        <v/>
      </c>
      <c r="G76">
        <f>IF(ISBLANK('ENGAGEMENTS 2026'!C76),"",'ENGAGEMENTS 2026'!M76)</f>
        <v/>
      </c>
      <c r="H76">
        <f>IF(ISBLANK('ENGAGEMENTS 2026'!C76),"",'ENGAGEMENTS 2026'!AF76)</f>
        <v/>
      </c>
      <c r="I76">
        <f>IF(ISBLANK('ENGAGEMENTS 2026'!C76),"",'ENGAGEMENTS 2026'!H76)</f>
        <v/>
      </c>
      <c r="J76" s="275">
        <f>IF(ISBLANK('ENGAGEMENTS 2026'!C76),"",IF(AND(OR($E76="INFRUCTUEUX",$E76="ANNULE"),$C76="AOO-M"),'ENGAGEMENTS 2026'!P76,IF($H76="EN COURS DE PREENGAGEMENT",'ENGAGEMENTS 2026'!O76,IF($H76="PREENGAGE",IF($E76="ATTRIBUE",'ENGAGEMENTS 2026'!AE76,'ENGAGEMENTS 2026'!O76),'ENGAGEMENTS 2026'!AE76))))</f>
        <v/>
      </c>
      <c r="K76" s="604">
        <f>IF(ISBLANK('ENGAGEMENTS 2026'!W76),"",'ENGAGEMENTS 2026'!W76)</f>
        <v/>
      </c>
      <c r="L76" s="276">
        <f>IF($K76="","",TODAY()-$K76)</f>
        <v/>
      </c>
      <c r="M76">
        <f>IF($A76="","",IF($H76="ENGAGE","Engagé",IF(AND($H76="NON ENGAGE",OR($I76="INFRUCTUEUX",$I76="ANNULE")),"Clôturé sans suite","En cours")))</f>
        <v/>
      </c>
      <c r="N76">
        <f>IF(ISBLANK('ENGAGEMENTS 2026'!C76),"",'ENGAGEMENTS 2026'!L76)</f>
        <v/>
      </c>
      <c r="O76">
        <f>IF(ISBLANK('ENGAGEMENTS 2026'!C76),"",'ENGAGEMENTS 2026'!M76)</f>
        <v/>
      </c>
      <c r="P76">
        <f>IF(ISBLANK('ENGAGEMENTS 2026'!C76),"",'ENGAGEMENTS 2026'!K76)</f>
        <v/>
      </c>
      <c r="Q76">
        <f>IF($A76="","",IF(OR($E76="INFRUCTUEUX",$E76="ANNULE"),$A76&amp;"|"&amp;(COUNTIFS($A$2:$A76,$A76,$E$2:$E76,"INFRUCTUEUX")+COUNTIFS($A$2:$A76,$A76,$E$2:$E76,"ANNULE")),""))</f>
        <v/>
      </c>
    </row>
    <row r="77">
      <c r="A77">
        <f>IF(ISBLANK('ENGAGEMENTS 2026'!C77),"",IF('ENGAGEMENTS 2026'!C77="DTSI","DCT",'ENGAGEMENTS 2026'!C77))</f>
        <v/>
      </c>
      <c r="B77">
        <f>IF(ISBLANK('ENGAGEMENTS 2026'!C77),"",'ENGAGEMENTS 2026'!D77)</f>
        <v/>
      </c>
      <c r="C77">
        <f>IF(ISBLANK('ENGAGEMENTS 2026'!C77),"",'ENGAGEMENTS 2026'!E77)</f>
        <v/>
      </c>
      <c r="D77">
        <f>IF(ISBLANK('ENGAGEMENTS 2026'!C77),"",'ENGAGEMENTS 2026'!G77)</f>
        <v/>
      </c>
      <c r="E77">
        <f>IF(ISBLANK('ENGAGEMENTS 2026'!C77),"",'ENGAGEMENTS 2026'!I77)</f>
        <v/>
      </c>
      <c r="F77">
        <f>IF(ISBLANK('ENGAGEMENTS 2026'!C77),"",'ENGAGEMENTS 2026'!J77)</f>
        <v/>
      </c>
      <c r="G77">
        <f>IF(ISBLANK('ENGAGEMENTS 2026'!C77),"",'ENGAGEMENTS 2026'!M77)</f>
        <v/>
      </c>
      <c r="H77">
        <f>IF(ISBLANK('ENGAGEMENTS 2026'!C77),"",'ENGAGEMENTS 2026'!AF77)</f>
        <v/>
      </c>
      <c r="I77">
        <f>IF(ISBLANK('ENGAGEMENTS 2026'!C77),"",'ENGAGEMENTS 2026'!H77)</f>
        <v/>
      </c>
      <c r="J77" s="275">
        <f>IF(ISBLANK('ENGAGEMENTS 2026'!C77),"",IF(AND(OR($E77="INFRUCTUEUX",$E77="ANNULE"),$C77="AOO-M"),'ENGAGEMENTS 2026'!P77,IF($H77="EN COURS DE PREENGAGEMENT",'ENGAGEMENTS 2026'!O77,IF($H77="PREENGAGE",IF($E77="ATTRIBUE",'ENGAGEMENTS 2026'!AE77,'ENGAGEMENTS 2026'!O77),'ENGAGEMENTS 2026'!AE77))))</f>
        <v/>
      </c>
      <c r="K77" s="604">
        <f>IF(ISBLANK('ENGAGEMENTS 2026'!W77),"",'ENGAGEMENTS 2026'!W77)</f>
        <v/>
      </c>
      <c r="L77" s="276">
        <f>IF($K77="","",TODAY()-$K77)</f>
        <v/>
      </c>
      <c r="M77">
        <f>IF($A77="","",IF($H77="ENGAGE","Engagé",IF(AND($H77="NON ENGAGE",OR($I77="INFRUCTUEUX",$I77="ANNULE")),"Clôturé sans suite","En cours")))</f>
        <v/>
      </c>
      <c r="N77">
        <f>IF(ISBLANK('ENGAGEMENTS 2026'!C77),"",'ENGAGEMENTS 2026'!L77)</f>
        <v/>
      </c>
      <c r="O77">
        <f>IF(ISBLANK('ENGAGEMENTS 2026'!C77),"",'ENGAGEMENTS 2026'!M77)</f>
        <v/>
      </c>
      <c r="P77">
        <f>IF(ISBLANK('ENGAGEMENTS 2026'!C77),"",'ENGAGEMENTS 2026'!K77)</f>
        <v/>
      </c>
      <c r="Q77">
        <f>IF($A77="","",IF(OR($E77="INFRUCTUEUX",$E77="ANNULE"),$A77&amp;"|"&amp;(COUNTIFS($A$2:$A77,$A77,$E$2:$E77,"INFRUCTUEUX")+COUNTIFS($A$2:$A77,$A77,$E$2:$E77,"ANNULE")),""))</f>
        <v/>
      </c>
    </row>
    <row r="78">
      <c r="A78">
        <f>IF(ISBLANK('ENGAGEMENTS 2026'!C78),"",IF('ENGAGEMENTS 2026'!C78="DTSI","DCT",'ENGAGEMENTS 2026'!C78))</f>
        <v/>
      </c>
      <c r="B78">
        <f>IF(ISBLANK('ENGAGEMENTS 2026'!C78),"",'ENGAGEMENTS 2026'!D78)</f>
        <v/>
      </c>
      <c r="C78">
        <f>IF(ISBLANK('ENGAGEMENTS 2026'!C78),"",'ENGAGEMENTS 2026'!E78)</f>
        <v/>
      </c>
      <c r="D78">
        <f>IF(ISBLANK('ENGAGEMENTS 2026'!C78),"",'ENGAGEMENTS 2026'!G78)</f>
        <v/>
      </c>
      <c r="E78">
        <f>IF(ISBLANK('ENGAGEMENTS 2026'!C78),"",'ENGAGEMENTS 2026'!I78)</f>
        <v/>
      </c>
      <c r="F78">
        <f>IF(ISBLANK('ENGAGEMENTS 2026'!C78),"",'ENGAGEMENTS 2026'!J78)</f>
        <v/>
      </c>
      <c r="G78">
        <f>IF(ISBLANK('ENGAGEMENTS 2026'!C78),"",'ENGAGEMENTS 2026'!M78)</f>
        <v/>
      </c>
      <c r="H78">
        <f>IF(ISBLANK('ENGAGEMENTS 2026'!C78),"",'ENGAGEMENTS 2026'!AF78)</f>
        <v/>
      </c>
      <c r="I78">
        <f>IF(ISBLANK('ENGAGEMENTS 2026'!C78),"",'ENGAGEMENTS 2026'!H78)</f>
        <v/>
      </c>
      <c r="J78" s="275">
        <f>IF(ISBLANK('ENGAGEMENTS 2026'!C78),"",IF(AND(OR($E78="INFRUCTUEUX",$E78="ANNULE"),$C78="AOO-M"),'ENGAGEMENTS 2026'!P78,IF($H78="EN COURS DE PREENGAGEMENT",'ENGAGEMENTS 2026'!O78,IF($H78="PREENGAGE",IF($E78="ATTRIBUE",'ENGAGEMENTS 2026'!AE78,'ENGAGEMENTS 2026'!O78),'ENGAGEMENTS 2026'!AE78))))</f>
        <v/>
      </c>
      <c r="K78" s="604">
        <f>IF(ISBLANK('ENGAGEMENTS 2026'!W78),"",'ENGAGEMENTS 2026'!W78)</f>
        <v/>
      </c>
      <c r="L78" s="276">
        <f>IF($K78="","",TODAY()-$K78)</f>
        <v/>
      </c>
      <c r="M78">
        <f>IF($A78="","",IF($H78="ENGAGE","Engagé",IF(AND($H78="NON ENGAGE",OR($I78="INFRUCTUEUX",$I78="ANNULE")),"Clôturé sans suite","En cours")))</f>
        <v/>
      </c>
      <c r="N78">
        <f>IF(ISBLANK('ENGAGEMENTS 2026'!C78),"",'ENGAGEMENTS 2026'!L78)</f>
        <v/>
      </c>
      <c r="O78">
        <f>IF(ISBLANK('ENGAGEMENTS 2026'!C78),"",'ENGAGEMENTS 2026'!M78)</f>
        <v/>
      </c>
      <c r="P78">
        <f>IF(ISBLANK('ENGAGEMENTS 2026'!C78),"",'ENGAGEMENTS 2026'!K78)</f>
        <v/>
      </c>
      <c r="Q78">
        <f>IF($A78="","",IF(OR($E78="INFRUCTUEUX",$E78="ANNULE"),$A78&amp;"|"&amp;(COUNTIFS($A$2:$A78,$A78,$E$2:$E78,"INFRUCTUEUX")+COUNTIFS($A$2:$A78,$A78,$E$2:$E78,"ANNULE")),""))</f>
        <v/>
      </c>
    </row>
    <row r="79">
      <c r="A79">
        <f>IF(ISBLANK('ENGAGEMENTS 2026'!C79),"",IF('ENGAGEMENTS 2026'!C79="DTSI","DCT",'ENGAGEMENTS 2026'!C79))</f>
        <v/>
      </c>
      <c r="B79">
        <f>IF(ISBLANK('ENGAGEMENTS 2026'!C79),"",'ENGAGEMENTS 2026'!D79)</f>
        <v/>
      </c>
      <c r="C79">
        <f>IF(ISBLANK('ENGAGEMENTS 2026'!C79),"",'ENGAGEMENTS 2026'!E79)</f>
        <v/>
      </c>
      <c r="D79">
        <f>IF(ISBLANK('ENGAGEMENTS 2026'!C79),"",'ENGAGEMENTS 2026'!G79)</f>
        <v/>
      </c>
      <c r="E79">
        <f>IF(ISBLANK('ENGAGEMENTS 2026'!C79),"",'ENGAGEMENTS 2026'!I79)</f>
        <v/>
      </c>
      <c r="F79">
        <f>IF(ISBLANK('ENGAGEMENTS 2026'!C79),"",'ENGAGEMENTS 2026'!J79)</f>
        <v/>
      </c>
      <c r="G79">
        <f>IF(ISBLANK('ENGAGEMENTS 2026'!C79),"",'ENGAGEMENTS 2026'!M79)</f>
        <v/>
      </c>
      <c r="H79">
        <f>IF(ISBLANK('ENGAGEMENTS 2026'!C79),"",'ENGAGEMENTS 2026'!AF79)</f>
        <v/>
      </c>
      <c r="I79">
        <f>IF(ISBLANK('ENGAGEMENTS 2026'!C79),"",'ENGAGEMENTS 2026'!H79)</f>
        <v/>
      </c>
      <c r="J79" s="275">
        <f>IF(ISBLANK('ENGAGEMENTS 2026'!C79),"",IF(AND(OR($E79="INFRUCTUEUX",$E79="ANNULE"),$C79="AOO-M"),'ENGAGEMENTS 2026'!P79,IF($H79="EN COURS DE PREENGAGEMENT",'ENGAGEMENTS 2026'!O79,IF($H79="PREENGAGE",IF($E79="ATTRIBUE",'ENGAGEMENTS 2026'!AE79,'ENGAGEMENTS 2026'!O79),'ENGAGEMENTS 2026'!AE79))))</f>
        <v/>
      </c>
      <c r="K79" s="604">
        <f>IF(ISBLANK('ENGAGEMENTS 2026'!W79),"",'ENGAGEMENTS 2026'!W79)</f>
        <v/>
      </c>
      <c r="L79" s="276">
        <f>IF($K79="","",TODAY()-$K79)</f>
        <v/>
      </c>
      <c r="M79">
        <f>IF($A79="","",IF($H79="ENGAGE","Engagé",IF(AND($H79="NON ENGAGE",OR($I79="INFRUCTUEUX",$I79="ANNULE")),"Clôturé sans suite","En cours")))</f>
        <v/>
      </c>
      <c r="N79">
        <f>IF(ISBLANK('ENGAGEMENTS 2026'!C79),"",'ENGAGEMENTS 2026'!L79)</f>
        <v/>
      </c>
      <c r="O79">
        <f>IF(ISBLANK('ENGAGEMENTS 2026'!C79),"",'ENGAGEMENTS 2026'!M79)</f>
        <v/>
      </c>
      <c r="P79">
        <f>IF(ISBLANK('ENGAGEMENTS 2026'!C79),"",'ENGAGEMENTS 2026'!K79)</f>
        <v/>
      </c>
      <c r="Q79">
        <f>IF($A79="","",IF(OR($E79="INFRUCTUEUX",$E79="ANNULE"),$A79&amp;"|"&amp;(COUNTIFS($A$2:$A79,$A79,$E$2:$E79,"INFRUCTUEUX")+COUNTIFS($A$2:$A79,$A79,$E$2:$E79,"ANNULE")),""))</f>
        <v/>
      </c>
    </row>
    <row r="80">
      <c r="A80">
        <f>IF(ISBLANK('ENGAGEMENTS 2026'!C80),"",IF('ENGAGEMENTS 2026'!C80="DTSI","DCT",'ENGAGEMENTS 2026'!C80))</f>
        <v/>
      </c>
      <c r="B80">
        <f>IF(ISBLANK('ENGAGEMENTS 2026'!C80),"",'ENGAGEMENTS 2026'!D80)</f>
        <v/>
      </c>
      <c r="C80">
        <f>IF(ISBLANK('ENGAGEMENTS 2026'!C80),"",'ENGAGEMENTS 2026'!E80)</f>
        <v/>
      </c>
      <c r="D80">
        <f>IF(ISBLANK('ENGAGEMENTS 2026'!C80),"",'ENGAGEMENTS 2026'!G80)</f>
        <v/>
      </c>
      <c r="E80">
        <f>IF(ISBLANK('ENGAGEMENTS 2026'!C80),"",'ENGAGEMENTS 2026'!I80)</f>
        <v/>
      </c>
      <c r="F80">
        <f>IF(ISBLANK('ENGAGEMENTS 2026'!C80),"",'ENGAGEMENTS 2026'!J80)</f>
        <v/>
      </c>
      <c r="G80">
        <f>IF(ISBLANK('ENGAGEMENTS 2026'!C80),"",'ENGAGEMENTS 2026'!M80)</f>
        <v/>
      </c>
      <c r="H80">
        <f>IF(ISBLANK('ENGAGEMENTS 2026'!C80),"",'ENGAGEMENTS 2026'!AF80)</f>
        <v/>
      </c>
      <c r="I80">
        <f>IF(ISBLANK('ENGAGEMENTS 2026'!C80),"",'ENGAGEMENTS 2026'!H80)</f>
        <v/>
      </c>
      <c r="J80" s="275">
        <f>IF(ISBLANK('ENGAGEMENTS 2026'!C80),"",IF(AND(OR($E80="INFRUCTUEUX",$E80="ANNULE"),$C80="AOO-M"),'ENGAGEMENTS 2026'!P80,IF($H80="EN COURS DE PREENGAGEMENT",'ENGAGEMENTS 2026'!O80,IF($H80="PREENGAGE",IF($E80="ATTRIBUE",'ENGAGEMENTS 2026'!AE80,'ENGAGEMENTS 2026'!O80),'ENGAGEMENTS 2026'!AE80))))</f>
        <v/>
      </c>
      <c r="K80" s="604">
        <f>IF(ISBLANK('ENGAGEMENTS 2026'!W80),"",'ENGAGEMENTS 2026'!W80)</f>
        <v/>
      </c>
      <c r="L80" s="276">
        <f>IF($K80="","",TODAY()-$K80)</f>
        <v/>
      </c>
      <c r="M80">
        <f>IF($A80="","",IF($H80="ENGAGE","Engagé",IF(AND($H80="NON ENGAGE",OR($I80="INFRUCTUEUX",$I80="ANNULE")),"Clôturé sans suite","En cours")))</f>
        <v/>
      </c>
      <c r="N80">
        <f>IF(ISBLANK('ENGAGEMENTS 2026'!C80),"",'ENGAGEMENTS 2026'!L80)</f>
        <v/>
      </c>
      <c r="O80">
        <f>IF(ISBLANK('ENGAGEMENTS 2026'!C80),"",'ENGAGEMENTS 2026'!M80)</f>
        <v/>
      </c>
      <c r="P80">
        <f>IF(ISBLANK('ENGAGEMENTS 2026'!C80),"",'ENGAGEMENTS 2026'!K80)</f>
        <v/>
      </c>
      <c r="Q80">
        <f>IF($A80="","",IF(OR($E80="INFRUCTUEUX",$E80="ANNULE"),$A80&amp;"|"&amp;(COUNTIFS($A$2:$A80,$A80,$E$2:$E80,"INFRUCTUEUX")+COUNTIFS($A$2:$A80,$A80,$E$2:$E80,"ANNULE")),""))</f>
        <v/>
      </c>
    </row>
    <row r="81">
      <c r="A81">
        <f>IF(ISBLANK('ENGAGEMENTS 2026'!C81),"",IF('ENGAGEMENTS 2026'!C81="DTSI","DCT",'ENGAGEMENTS 2026'!C81))</f>
        <v/>
      </c>
      <c r="B81">
        <f>IF(ISBLANK('ENGAGEMENTS 2026'!C81),"",'ENGAGEMENTS 2026'!D81)</f>
        <v/>
      </c>
      <c r="C81">
        <f>IF(ISBLANK('ENGAGEMENTS 2026'!C81),"",'ENGAGEMENTS 2026'!E81)</f>
        <v/>
      </c>
      <c r="D81">
        <f>IF(ISBLANK('ENGAGEMENTS 2026'!C81),"",'ENGAGEMENTS 2026'!G81)</f>
        <v/>
      </c>
      <c r="E81">
        <f>IF(ISBLANK('ENGAGEMENTS 2026'!C81),"",'ENGAGEMENTS 2026'!I81)</f>
        <v/>
      </c>
      <c r="F81">
        <f>IF(ISBLANK('ENGAGEMENTS 2026'!C81),"",'ENGAGEMENTS 2026'!J81)</f>
        <v/>
      </c>
      <c r="G81">
        <f>IF(ISBLANK('ENGAGEMENTS 2026'!C81),"",'ENGAGEMENTS 2026'!M81)</f>
        <v/>
      </c>
      <c r="H81">
        <f>IF(ISBLANK('ENGAGEMENTS 2026'!C81),"",'ENGAGEMENTS 2026'!AF81)</f>
        <v/>
      </c>
      <c r="I81">
        <f>IF(ISBLANK('ENGAGEMENTS 2026'!C81),"",'ENGAGEMENTS 2026'!H81)</f>
        <v/>
      </c>
      <c r="J81" s="275">
        <f>IF(ISBLANK('ENGAGEMENTS 2026'!C81),"",IF(AND(OR($E81="INFRUCTUEUX",$E81="ANNULE"),$C81="AOO-M"),'ENGAGEMENTS 2026'!P81,IF($H81="EN COURS DE PREENGAGEMENT",'ENGAGEMENTS 2026'!O81,IF($H81="PREENGAGE",IF($E81="ATTRIBUE",'ENGAGEMENTS 2026'!AE81,'ENGAGEMENTS 2026'!O81),'ENGAGEMENTS 2026'!AE81))))</f>
        <v/>
      </c>
      <c r="K81" s="604">
        <f>IF(ISBLANK('ENGAGEMENTS 2026'!W81),"",'ENGAGEMENTS 2026'!W81)</f>
        <v/>
      </c>
      <c r="L81" s="276">
        <f>IF($K81="","",TODAY()-$K81)</f>
        <v/>
      </c>
      <c r="M81">
        <f>IF($A81="","",IF($H81="ENGAGE","Engagé",IF(AND($H81="NON ENGAGE",OR($I81="INFRUCTUEUX",$I81="ANNULE")),"Clôturé sans suite","En cours")))</f>
        <v/>
      </c>
      <c r="N81">
        <f>IF(ISBLANK('ENGAGEMENTS 2026'!C81),"",'ENGAGEMENTS 2026'!L81)</f>
        <v/>
      </c>
      <c r="O81">
        <f>IF(ISBLANK('ENGAGEMENTS 2026'!C81),"",'ENGAGEMENTS 2026'!M81)</f>
        <v/>
      </c>
      <c r="P81">
        <f>IF(ISBLANK('ENGAGEMENTS 2026'!C81),"",'ENGAGEMENTS 2026'!K81)</f>
        <v/>
      </c>
      <c r="Q81">
        <f>IF($A81="","",IF(OR($E81="INFRUCTUEUX",$E81="ANNULE"),$A81&amp;"|"&amp;(COUNTIFS($A$2:$A81,$A81,$E$2:$E81,"INFRUCTUEUX")+COUNTIFS($A$2:$A81,$A81,$E$2:$E81,"ANNULE")),""))</f>
        <v/>
      </c>
    </row>
    <row r="82">
      <c r="A82">
        <f>IF(ISBLANK('ENGAGEMENTS 2026'!C82),"",IF('ENGAGEMENTS 2026'!C82="DTSI","DCT",'ENGAGEMENTS 2026'!C82))</f>
        <v/>
      </c>
      <c r="B82">
        <f>IF(ISBLANK('ENGAGEMENTS 2026'!C82),"",'ENGAGEMENTS 2026'!D82)</f>
        <v/>
      </c>
      <c r="C82">
        <f>IF(ISBLANK('ENGAGEMENTS 2026'!C82),"",'ENGAGEMENTS 2026'!E82)</f>
        <v/>
      </c>
      <c r="D82">
        <f>IF(ISBLANK('ENGAGEMENTS 2026'!C82),"",'ENGAGEMENTS 2026'!G82)</f>
        <v/>
      </c>
      <c r="E82">
        <f>IF(ISBLANK('ENGAGEMENTS 2026'!C82),"",'ENGAGEMENTS 2026'!I82)</f>
        <v/>
      </c>
      <c r="F82">
        <f>IF(ISBLANK('ENGAGEMENTS 2026'!C82),"",'ENGAGEMENTS 2026'!J82)</f>
        <v/>
      </c>
      <c r="G82">
        <f>IF(ISBLANK('ENGAGEMENTS 2026'!C82),"",'ENGAGEMENTS 2026'!M82)</f>
        <v/>
      </c>
      <c r="H82">
        <f>IF(ISBLANK('ENGAGEMENTS 2026'!C82),"",'ENGAGEMENTS 2026'!AF82)</f>
        <v/>
      </c>
      <c r="I82">
        <f>IF(ISBLANK('ENGAGEMENTS 2026'!C82),"",'ENGAGEMENTS 2026'!H82)</f>
        <v/>
      </c>
      <c r="J82" s="275">
        <f>IF(ISBLANK('ENGAGEMENTS 2026'!C82),"",IF(AND(OR($E82="INFRUCTUEUX",$E82="ANNULE"),$C82="AOO-M"),'ENGAGEMENTS 2026'!P82,IF($H82="EN COURS DE PREENGAGEMENT",'ENGAGEMENTS 2026'!O82,IF($H82="PREENGAGE",IF($E82="ATTRIBUE",'ENGAGEMENTS 2026'!AE82,'ENGAGEMENTS 2026'!O82),'ENGAGEMENTS 2026'!AE82))))</f>
        <v/>
      </c>
      <c r="K82" s="604">
        <f>IF(ISBLANK('ENGAGEMENTS 2026'!W82),"",'ENGAGEMENTS 2026'!W82)</f>
        <v/>
      </c>
      <c r="L82" s="276">
        <f>IF($K82="","",TODAY()-$K82)</f>
        <v/>
      </c>
      <c r="M82">
        <f>IF($A82="","",IF($H82="ENGAGE","Engagé",IF(AND($H82="NON ENGAGE",OR($I82="INFRUCTUEUX",$I82="ANNULE")),"Clôturé sans suite","En cours")))</f>
        <v/>
      </c>
      <c r="N82">
        <f>IF(ISBLANK('ENGAGEMENTS 2026'!C82),"",'ENGAGEMENTS 2026'!L82)</f>
        <v/>
      </c>
      <c r="O82">
        <f>IF(ISBLANK('ENGAGEMENTS 2026'!C82),"",'ENGAGEMENTS 2026'!M82)</f>
        <v/>
      </c>
      <c r="P82">
        <f>IF(ISBLANK('ENGAGEMENTS 2026'!C82),"",'ENGAGEMENTS 2026'!K82)</f>
        <v/>
      </c>
      <c r="Q82">
        <f>IF($A82="","",IF(OR($E82="INFRUCTUEUX",$E82="ANNULE"),$A82&amp;"|"&amp;(COUNTIFS($A$2:$A82,$A82,$E$2:$E82,"INFRUCTUEUX")+COUNTIFS($A$2:$A82,$A82,$E$2:$E82,"ANNULE")),""))</f>
        <v/>
      </c>
    </row>
    <row r="83">
      <c r="A83">
        <f>IF(ISBLANK('ENGAGEMENTS 2026'!C83),"",IF('ENGAGEMENTS 2026'!C83="DTSI","DCT",'ENGAGEMENTS 2026'!C83))</f>
        <v/>
      </c>
      <c r="B83">
        <f>IF(ISBLANK('ENGAGEMENTS 2026'!C83),"",'ENGAGEMENTS 2026'!D83)</f>
        <v/>
      </c>
      <c r="C83">
        <f>IF(ISBLANK('ENGAGEMENTS 2026'!C83),"",'ENGAGEMENTS 2026'!E83)</f>
        <v/>
      </c>
      <c r="D83">
        <f>IF(ISBLANK('ENGAGEMENTS 2026'!C83),"",'ENGAGEMENTS 2026'!G83)</f>
        <v/>
      </c>
      <c r="E83">
        <f>IF(ISBLANK('ENGAGEMENTS 2026'!C83),"",'ENGAGEMENTS 2026'!I83)</f>
        <v/>
      </c>
      <c r="F83">
        <f>IF(ISBLANK('ENGAGEMENTS 2026'!C83),"",'ENGAGEMENTS 2026'!J83)</f>
        <v/>
      </c>
      <c r="G83">
        <f>IF(ISBLANK('ENGAGEMENTS 2026'!C83),"",'ENGAGEMENTS 2026'!M83)</f>
        <v/>
      </c>
      <c r="H83">
        <f>IF(ISBLANK('ENGAGEMENTS 2026'!C83),"",'ENGAGEMENTS 2026'!AF83)</f>
        <v/>
      </c>
      <c r="I83">
        <f>IF(ISBLANK('ENGAGEMENTS 2026'!C83),"",'ENGAGEMENTS 2026'!H83)</f>
        <v/>
      </c>
      <c r="J83" s="275">
        <f>IF(ISBLANK('ENGAGEMENTS 2026'!C83),"",IF(AND(OR($E83="INFRUCTUEUX",$E83="ANNULE"),$C83="AOO-M"),'ENGAGEMENTS 2026'!P83,IF($H83="EN COURS DE PREENGAGEMENT",'ENGAGEMENTS 2026'!O83,IF($H83="PREENGAGE",IF($E83="ATTRIBUE",'ENGAGEMENTS 2026'!AE83,'ENGAGEMENTS 2026'!O83),'ENGAGEMENTS 2026'!AE83))))</f>
        <v/>
      </c>
      <c r="K83" s="604">
        <f>IF(ISBLANK('ENGAGEMENTS 2026'!W83),"",'ENGAGEMENTS 2026'!W83)</f>
        <v/>
      </c>
      <c r="L83" s="276">
        <f>IF($K83="","",TODAY()-$K83)</f>
        <v/>
      </c>
      <c r="M83">
        <f>IF($A83="","",IF($H83="ENGAGE","Engagé",IF(AND($H83="NON ENGAGE",OR($I83="INFRUCTUEUX",$I83="ANNULE")),"Clôturé sans suite","En cours")))</f>
        <v/>
      </c>
      <c r="N83">
        <f>IF(ISBLANK('ENGAGEMENTS 2026'!C83),"",'ENGAGEMENTS 2026'!L83)</f>
        <v/>
      </c>
      <c r="O83">
        <f>IF(ISBLANK('ENGAGEMENTS 2026'!C83),"",'ENGAGEMENTS 2026'!M83)</f>
        <v/>
      </c>
      <c r="P83">
        <f>IF(ISBLANK('ENGAGEMENTS 2026'!C83),"",'ENGAGEMENTS 2026'!K83)</f>
        <v/>
      </c>
      <c r="Q83">
        <f>IF($A83="","",IF(OR($E83="INFRUCTUEUX",$E83="ANNULE"),$A83&amp;"|"&amp;(COUNTIFS($A$2:$A83,$A83,$E$2:$E83,"INFRUCTUEUX")+COUNTIFS($A$2:$A83,$A83,$E$2:$E83,"ANNULE")),""))</f>
        <v/>
      </c>
    </row>
    <row r="84">
      <c r="A84">
        <f>IF(ISBLANK('ENGAGEMENTS 2026'!C84),"",IF('ENGAGEMENTS 2026'!C84="DTSI","DCT",'ENGAGEMENTS 2026'!C84))</f>
        <v/>
      </c>
      <c r="B84">
        <f>IF(ISBLANK('ENGAGEMENTS 2026'!C84),"",'ENGAGEMENTS 2026'!D84)</f>
        <v/>
      </c>
      <c r="C84">
        <f>IF(ISBLANK('ENGAGEMENTS 2026'!C84),"",'ENGAGEMENTS 2026'!E84)</f>
        <v/>
      </c>
      <c r="D84">
        <f>IF(ISBLANK('ENGAGEMENTS 2026'!C84),"",'ENGAGEMENTS 2026'!G84)</f>
        <v/>
      </c>
      <c r="E84">
        <f>IF(ISBLANK('ENGAGEMENTS 2026'!C84),"",'ENGAGEMENTS 2026'!I84)</f>
        <v/>
      </c>
      <c r="F84">
        <f>IF(ISBLANK('ENGAGEMENTS 2026'!C84),"",'ENGAGEMENTS 2026'!J84)</f>
        <v/>
      </c>
      <c r="G84">
        <f>IF(ISBLANK('ENGAGEMENTS 2026'!C84),"",'ENGAGEMENTS 2026'!M84)</f>
        <v/>
      </c>
      <c r="H84">
        <f>IF(ISBLANK('ENGAGEMENTS 2026'!C84),"",'ENGAGEMENTS 2026'!AF84)</f>
        <v/>
      </c>
      <c r="I84">
        <f>IF(ISBLANK('ENGAGEMENTS 2026'!C84),"",'ENGAGEMENTS 2026'!H84)</f>
        <v/>
      </c>
      <c r="J84" s="275">
        <f>IF(ISBLANK('ENGAGEMENTS 2026'!C84),"",IF(AND(OR($E84="INFRUCTUEUX",$E84="ANNULE"),$C84="AOO-M"),'ENGAGEMENTS 2026'!P84,IF($H84="EN COURS DE PREENGAGEMENT",'ENGAGEMENTS 2026'!O84,IF($H84="PREENGAGE",IF($E84="ATTRIBUE",'ENGAGEMENTS 2026'!AE84,'ENGAGEMENTS 2026'!O84),'ENGAGEMENTS 2026'!AE84))))</f>
        <v/>
      </c>
      <c r="K84" s="604">
        <f>IF(ISBLANK('ENGAGEMENTS 2026'!W84),"",'ENGAGEMENTS 2026'!W84)</f>
        <v/>
      </c>
      <c r="L84" s="276">
        <f>IF($K84="","",TODAY()-$K84)</f>
        <v/>
      </c>
      <c r="M84">
        <f>IF($A84="","",IF($H84="ENGAGE","Engagé",IF(AND($H84="NON ENGAGE",OR($I84="INFRUCTUEUX",$I84="ANNULE")),"Clôturé sans suite","En cours")))</f>
        <v/>
      </c>
      <c r="N84">
        <f>IF(ISBLANK('ENGAGEMENTS 2026'!C84),"",'ENGAGEMENTS 2026'!L84)</f>
        <v/>
      </c>
      <c r="O84">
        <f>IF(ISBLANK('ENGAGEMENTS 2026'!C84),"",'ENGAGEMENTS 2026'!M84)</f>
        <v/>
      </c>
      <c r="P84">
        <f>IF(ISBLANK('ENGAGEMENTS 2026'!C84),"",'ENGAGEMENTS 2026'!K84)</f>
        <v/>
      </c>
      <c r="Q84">
        <f>IF($A84="","",IF(OR($E84="INFRUCTUEUX",$E84="ANNULE"),$A84&amp;"|"&amp;(COUNTIFS($A$2:$A84,$A84,$E$2:$E84,"INFRUCTUEUX")+COUNTIFS($A$2:$A84,$A84,$E$2:$E84,"ANNULE")),""))</f>
        <v/>
      </c>
    </row>
    <row r="85">
      <c r="A85">
        <f>IF(ISBLANK('ENGAGEMENTS 2026'!C85),"",IF('ENGAGEMENTS 2026'!C85="DTSI","DCT",'ENGAGEMENTS 2026'!C85))</f>
        <v/>
      </c>
      <c r="B85">
        <f>IF(ISBLANK('ENGAGEMENTS 2026'!C85),"",'ENGAGEMENTS 2026'!D85)</f>
        <v/>
      </c>
      <c r="C85">
        <f>IF(ISBLANK('ENGAGEMENTS 2026'!C85),"",'ENGAGEMENTS 2026'!E85)</f>
        <v/>
      </c>
      <c r="D85">
        <f>IF(ISBLANK('ENGAGEMENTS 2026'!C85),"",'ENGAGEMENTS 2026'!G85)</f>
        <v/>
      </c>
      <c r="E85">
        <f>IF(ISBLANK('ENGAGEMENTS 2026'!C85),"",'ENGAGEMENTS 2026'!I85)</f>
        <v/>
      </c>
      <c r="F85">
        <f>IF(ISBLANK('ENGAGEMENTS 2026'!C85),"",'ENGAGEMENTS 2026'!J85)</f>
        <v/>
      </c>
      <c r="G85">
        <f>IF(ISBLANK('ENGAGEMENTS 2026'!C85),"",'ENGAGEMENTS 2026'!M85)</f>
        <v/>
      </c>
      <c r="H85">
        <f>IF(ISBLANK('ENGAGEMENTS 2026'!C85),"",'ENGAGEMENTS 2026'!AF85)</f>
        <v/>
      </c>
      <c r="I85">
        <f>IF(ISBLANK('ENGAGEMENTS 2026'!C85),"",'ENGAGEMENTS 2026'!H85)</f>
        <v/>
      </c>
      <c r="J85" s="275">
        <f>IF(ISBLANK('ENGAGEMENTS 2026'!C85),"",IF(AND(OR($E85="INFRUCTUEUX",$E85="ANNULE"),$C85="AOO-M"),'ENGAGEMENTS 2026'!P85,IF($H85="EN COURS DE PREENGAGEMENT",'ENGAGEMENTS 2026'!O85,IF($H85="PREENGAGE",IF($E85="ATTRIBUE",'ENGAGEMENTS 2026'!AE85,'ENGAGEMENTS 2026'!O85),'ENGAGEMENTS 2026'!AE85))))</f>
        <v/>
      </c>
      <c r="K85" s="604">
        <f>IF(ISBLANK('ENGAGEMENTS 2026'!W85),"",'ENGAGEMENTS 2026'!W85)</f>
        <v/>
      </c>
      <c r="L85" s="276">
        <f>IF($K85="","",TODAY()-$K85)</f>
        <v/>
      </c>
      <c r="M85">
        <f>IF($A85="","",IF($H85="ENGAGE","Engagé",IF(AND($H85="NON ENGAGE",OR($I85="INFRUCTUEUX",$I85="ANNULE")),"Clôturé sans suite","En cours")))</f>
        <v/>
      </c>
      <c r="N85">
        <f>IF(ISBLANK('ENGAGEMENTS 2026'!C85),"",'ENGAGEMENTS 2026'!L85)</f>
        <v/>
      </c>
      <c r="O85">
        <f>IF(ISBLANK('ENGAGEMENTS 2026'!C85),"",'ENGAGEMENTS 2026'!M85)</f>
        <v/>
      </c>
      <c r="P85">
        <f>IF(ISBLANK('ENGAGEMENTS 2026'!C85),"",'ENGAGEMENTS 2026'!K85)</f>
        <v/>
      </c>
      <c r="Q85">
        <f>IF($A85="","",IF(OR($E85="INFRUCTUEUX",$E85="ANNULE"),$A85&amp;"|"&amp;(COUNTIFS($A$2:$A85,$A85,$E$2:$E85,"INFRUCTUEUX")+COUNTIFS($A$2:$A85,$A85,$E$2:$E85,"ANNULE")),""))</f>
        <v/>
      </c>
    </row>
    <row r="86">
      <c r="A86">
        <f>IF(ISBLANK('ENGAGEMENTS 2026'!C86),"",IF('ENGAGEMENTS 2026'!C86="DTSI","DCT",'ENGAGEMENTS 2026'!C86))</f>
        <v/>
      </c>
      <c r="B86">
        <f>IF(ISBLANK('ENGAGEMENTS 2026'!C86),"",'ENGAGEMENTS 2026'!D86)</f>
        <v/>
      </c>
      <c r="C86">
        <f>IF(ISBLANK('ENGAGEMENTS 2026'!C86),"",'ENGAGEMENTS 2026'!E86)</f>
        <v/>
      </c>
      <c r="D86">
        <f>IF(ISBLANK('ENGAGEMENTS 2026'!C86),"",'ENGAGEMENTS 2026'!G86)</f>
        <v/>
      </c>
      <c r="E86">
        <f>IF(ISBLANK('ENGAGEMENTS 2026'!C86),"",'ENGAGEMENTS 2026'!I86)</f>
        <v/>
      </c>
      <c r="F86">
        <f>IF(ISBLANK('ENGAGEMENTS 2026'!C86),"",'ENGAGEMENTS 2026'!J86)</f>
        <v/>
      </c>
      <c r="G86">
        <f>IF(ISBLANK('ENGAGEMENTS 2026'!C86),"",'ENGAGEMENTS 2026'!M86)</f>
        <v/>
      </c>
      <c r="H86">
        <f>IF(ISBLANK('ENGAGEMENTS 2026'!C86),"",'ENGAGEMENTS 2026'!AF86)</f>
        <v/>
      </c>
      <c r="I86">
        <f>IF(ISBLANK('ENGAGEMENTS 2026'!C86),"",'ENGAGEMENTS 2026'!H86)</f>
        <v/>
      </c>
      <c r="J86" s="275">
        <f>IF(ISBLANK('ENGAGEMENTS 2026'!C86),"",IF(AND(OR($E86="INFRUCTUEUX",$E86="ANNULE"),$C86="AOO-M"),'ENGAGEMENTS 2026'!P86,IF($H86="EN COURS DE PREENGAGEMENT",'ENGAGEMENTS 2026'!O86,IF($H86="PREENGAGE",IF($E86="ATTRIBUE",'ENGAGEMENTS 2026'!AE86,'ENGAGEMENTS 2026'!O86),'ENGAGEMENTS 2026'!AE86))))</f>
        <v/>
      </c>
      <c r="K86" s="604">
        <f>IF(ISBLANK('ENGAGEMENTS 2026'!W86),"",'ENGAGEMENTS 2026'!W86)</f>
        <v/>
      </c>
      <c r="L86" s="276">
        <f>IF($K86="","",TODAY()-$K86)</f>
        <v/>
      </c>
      <c r="M86">
        <f>IF($A86="","",IF($H86="ENGAGE","Engagé",IF(AND($H86="NON ENGAGE",OR($I86="INFRUCTUEUX",$I86="ANNULE")),"Clôturé sans suite","En cours")))</f>
        <v/>
      </c>
      <c r="N86">
        <f>IF(ISBLANK('ENGAGEMENTS 2026'!C86),"",'ENGAGEMENTS 2026'!L86)</f>
        <v/>
      </c>
      <c r="O86">
        <f>IF(ISBLANK('ENGAGEMENTS 2026'!C86),"",'ENGAGEMENTS 2026'!M86)</f>
        <v/>
      </c>
      <c r="P86">
        <f>IF(ISBLANK('ENGAGEMENTS 2026'!C86),"",'ENGAGEMENTS 2026'!K86)</f>
        <v/>
      </c>
      <c r="Q86">
        <f>IF($A86="","",IF(OR($E86="INFRUCTUEUX",$E86="ANNULE"),$A86&amp;"|"&amp;(COUNTIFS($A$2:$A86,$A86,$E$2:$E86,"INFRUCTUEUX")+COUNTIFS($A$2:$A86,$A86,$E$2:$E86,"ANNULE")),""))</f>
        <v/>
      </c>
    </row>
    <row r="87">
      <c r="A87">
        <f>IF(ISBLANK('ENGAGEMENTS 2026'!C87),"",IF('ENGAGEMENTS 2026'!C87="DTSI","DCT",'ENGAGEMENTS 2026'!C87))</f>
        <v/>
      </c>
      <c r="B87">
        <f>IF(ISBLANK('ENGAGEMENTS 2026'!C87),"",'ENGAGEMENTS 2026'!D87)</f>
        <v/>
      </c>
      <c r="C87">
        <f>IF(ISBLANK('ENGAGEMENTS 2026'!C87),"",'ENGAGEMENTS 2026'!E87)</f>
        <v/>
      </c>
      <c r="D87">
        <f>IF(ISBLANK('ENGAGEMENTS 2026'!C87),"",'ENGAGEMENTS 2026'!G87)</f>
        <v/>
      </c>
      <c r="E87">
        <f>IF(ISBLANK('ENGAGEMENTS 2026'!C87),"",'ENGAGEMENTS 2026'!I87)</f>
        <v/>
      </c>
      <c r="F87">
        <f>IF(ISBLANK('ENGAGEMENTS 2026'!C87),"",'ENGAGEMENTS 2026'!J87)</f>
        <v/>
      </c>
      <c r="G87">
        <f>IF(ISBLANK('ENGAGEMENTS 2026'!C87),"",'ENGAGEMENTS 2026'!M87)</f>
        <v/>
      </c>
      <c r="H87">
        <f>IF(ISBLANK('ENGAGEMENTS 2026'!C87),"",'ENGAGEMENTS 2026'!AF87)</f>
        <v/>
      </c>
      <c r="I87">
        <f>IF(ISBLANK('ENGAGEMENTS 2026'!C87),"",'ENGAGEMENTS 2026'!H87)</f>
        <v/>
      </c>
      <c r="J87" s="275">
        <f>IF(ISBLANK('ENGAGEMENTS 2026'!C87),"",IF(AND(OR($E87="INFRUCTUEUX",$E87="ANNULE"),$C87="AOO-M"),'ENGAGEMENTS 2026'!P87,IF($H87="EN COURS DE PREENGAGEMENT",'ENGAGEMENTS 2026'!O87,IF($H87="PREENGAGE",IF($E87="ATTRIBUE",'ENGAGEMENTS 2026'!AE87,'ENGAGEMENTS 2026'!O87),'ENGAGEMENTS 2026'!AE87))))</f>
        <v/>
      </c>
      <c r="K87" s="604">
        <f>IF(ISBLANK('ENGAGEMENTS 2026'!W87),"",'ENGAGEMENTS 2026'!W87)</f>
        <v/>
      </c>
      <c r="L87" s="276">
        <f>IF($K87="","",TODAY()-$K87)</f>
        <v/>
      </c>
      <c r="M87">
        <f>IF($A87="","",IF($H87="ENGAGE","Engagé",IF(AND($H87="NON ENGAGE",OR($I87="INFRUCTUEUX",$I87="ANNULE")),"Clôturé sans suite","En cours")))</f>
        <v/>
      </c>
      <c r="N87">
        <f>IF(ISBLANK('ENGAGEMENTS 2026'!C87),"",'ENGAGEMENTS 2026'!L87)</f>
        <v/>
      </c>
      <c r="O87">
        <f>IF(ISBLANK('ENGAGEMENTS 2026'!C87),"",'ENGAGEMENTS 2026'!M87)</f>
        <v/>
      </c>
      <c r="P87">
        <f>IF(ISBLANK('ENGAGEMENTS 2026'!C87),"",'ENGAGEMENTS 2026'!K87)</f>
        <v/>
      </c>
      <c r="Q87">
        <f>IF($A87="","",IF(OR($E87="INFRUCTUEUX",$E87="ANNULE"),$A87&amp;"|"&amp;(COUNTIFS($A$2:$A87,$A87,$E$2:$E87,"INFRUCTUEUX")+COUNTIFS($A$2:$A87,$A87,$E$2:$E87,"ANNULE")),""))</f>
        <v/>
      </c>
    </row>
    <row r="88">
      <c r="A88">
        <f>IF(ISBLANK('ENGAGEMENTS 2026'!C88),"",IF('ENGAGEMENTS 2026'!C88="DTSI","DCT",'ENGAGEMENTS 2026'!C88))</f>
        <v/>
      </c>
      <c r="B88">
        <f>IF(ISBLANK('ENGAGEMENTS 2026'!C88),"",'ENGAGEMENTS 2026'!D88)</f>
        <v/>
      </c>
      <c r="C88">
        <f>IF(ISBLANK('ENGAGEMENTS 2026'!C88),"",'ENGAGEMENTS 2026'!E88)</f>
        <v/>
      </c>
      <c r="D88">
        <f>IF(ISBLANK('ENGAGEMENTS 2026'!C88),"",'ENGAGEMENTS 2026'!G88)</f>
        <v/>
      </c>
      <c r="E88">
        <f>IF(ISBLANK('ENGAGEMENTS 2026'!C88),"",'ENGAGEMENTS 2026'!I88)</f>
        <v/>
      </c>
      <c r="F88">
        <f>IF(ISBLANK('ENGAGEMENTS 2026'!C88),"",'ENGAGEMENTS 2026'!J88)</f>
        <v/>
      </c>
      <c r="G88">
        <f>IF(ISBLANK('ENGAGEMENTS 2026'!C88),"",'ENGAGEMENTS 2026'!M88)</f>
        <v/>
      </c>
      <c r="H88">
        <f>IF(ISBLANK('ENGAGEMENTS 2026'!C88),"",'ENGAGEMENTS 2026'!AF88)</f>
        <v/>
      </c>
      <c r="I88">
        <f>IF(ISBLANK('ENGAGEMENTS 2026'!C88),"",'ENGAGEMENTS 2026'!H88)</f>
        <v/>
      </c>
      <c r="J88" s="275">
        <f>IF(ISBLANK('ENGAGEMENTS 2026'!C88),"",IF(AND(OR($E88="INFRUCTUEUX",$E88="ANNULE"),$C88="AOO-M"),'ENGAGEMENTS 2026'!P88,IF($H88="EN COURS DE PREENGAGEMENT",'ENGAGEMENTS 2026'!O88,IF($H88="PREENGAGE",IF($E88="ATTRIBUE",'ENGAGEMENTS 2026'!AE88,'ENGAGEMENTS 2026'!O88),'ENGAGEMENTS 2026'!AE88))))</f>
        <v/>
      </c>
      <c r="K88" s="604">
        <f>IF(ISBLANK('ENGAGEMENTS 2026'!W88),"",'ENGAGEMENTS 2026'!W88)</f>
        <v/>
      </c>
      <c r="L88" s="276">
        <f>IF($K88="","",TODAY()-$K88)</f>
        <v/>
      </c>
      <c r="M88">
        <f>IF($A88="","",IF($H88="ENGAGE","Engagé",IF(AND($H88="NON ENGAGE",OR($I88="INFRUCTUEUX",$I88="ANNULE")),"Clôturé sans suite","En cours")))</f>
        <v/>
      </c>
      <c r="N88">
        <f>IF(ISBLANK('ENGAGEMENTS 2026'!C88),"",'ENGAGEMENTS 2026'!L88)</f>
        <v/>
      </c>
      <c r="O88">
        <f>IF(ISBLANK('ENGAGEMENTS 2026'!C88),"",'ENGAGEMENTS 2026'!M88)</f>
        <v/>
      </c>
      <c r="P88">
        <f>IF(ISBLANK('ENGAGEMENTS 2026'!C88),"",'ENGAGEMENTS 2026'!K88)</f>
        <v/>
      </c>
      <c r="Q88">
        <f>IF($A88="","",IF(OR($E88="INFRUCTUEUX",$E88="ANNULE"),$A88&amp;"|"&amp;(COUNTIFS($A$2:$A88,$A88,$E$2:$E88,"INFRUCTUEUX")+COUNTIFS($A$2:$A88,$A88,$E$2:$E88,"ANNULE")),""))</f>
        <v/>
      </c>
    </row>
    <row r="89">
      <c r="A89">
        <f>IF(ISBLANK('ENGAGEMENTS 2026'!C89),"",IF('ENGAGEMENTS 2026'!C89="DTSI","DCT",'ENGAGEMENTS 2026'!C89))</f>
        <v/>
      </c>
      <c r="B89">
        <f>IF(ISBLANK('ENGAGEMENTS 2026'!C89),"",'ENGAGEMENTS 2026'!D89)</f>
        <v/>
      </c>
      <c r="C89">
        <f>IF(ISBLANK('ENGAGEMENTS 2026'!C89),"",'ENGAGEMENTS 2026'!E89)</f>
        <v/>
      </c>
      <c r="D89">
        <f>IF(ISBLANK('ENGAGEMENTS 2026'!C89),"",'ENGAGEMENTS 2026'!G89)</f>
        <v/>
      </c>
      <c r="E89">
        <f>IF(ISBLANK('ENGAGEMENTS 2026'!C89),"",'ENGAGEMENTS 2026'!I89)</f>
        <v/>
      </c>
      <c r="F89">
        <f>IF(ISBLANK('ENGAGEMENTS 2026'!C89),"",'ENGAGEMENTS 2026'!J89)</f>
        <v/>
      </c>
      <c r="G89">
        <f>IF(ISBLANK('ENGAGEMENTS 2026'!C89),"",'ENGAGEMENTS 2026'!M89)</f>
        <v/>
      </c>
      <c r="H89">
        <f>IF(ISBLANK('ENGAGEMENTS 2026'!C89),"",'ENGAGEMENTS 2026'!AF89)</f>
        <v/>
      </c>
      <c r="I89">
        <f>IF(ISBLANK('ENGAGEMENTS 2026'!C89),"",'ENGAGEMENTS 2026'!H89)</f>
        <v/>
      </c>
      <c r="J89" s="275">
        <f>IF(ISBLANK('ENGAGEMENTS 2026'!C89),"",IF(AND(OR($E89="INFRUCTUEUX",$E89="ANNULE"),$C89="AOO-M"),'ENGAGEMENTS 2026'!P89,IF($H89="EN COURS DE PREENGAGEMENT",'ENGAGEMENTS 2026'!O89,IF($H89="PREENGAGE",IF($E89="ATTRIBUE",'ENGAGEMENTS 2026'!AE89,'ENGAGEMENTS 2026'!O89),'ENGAGEMENTS 2026'!AE89))))</f>
        <v/>
      </c>
      <c r="K89" s="604">
        <f>IF(ISBLANK('ENGAGEMENTS 2026'!W89),"",'ENGAGEMENTS 2026'!W89)</f>
        <v/>
      </c>
      <c r="L89" s="276">
        <f>IF($K89="","",TODAY()-$K89)</f>
        <v/>
      </c>
      <c r="M89">
        <f>IF($A89="","",IF($H89="ENGAGE","Engagé",IF(AND($H89="NON ENGAGE",OR($I89="INFRUCTUEUX",$I89="ANNULE")),"Clôturé sans suite","En cours")))</f>
        <v/>
      </c>
      <c r="N89">
        <f>IF(ISBLANK('ENGAGEMENTS 2026'!C89),"",'ENGAGEMENTS 2026'!L89)</f>
        <v/>
      </c>
      <c r="O89">
        <f>IF(ISBLANK('ENGAGEMENTS 2026'!C89),"",'ENGAGEMENTS 2026'!M89)</f>
        <v/>
      </c>
      <c r="P89">
        <f>IF(ISBLANK('ENGAGEMENTS 2026'!C89),"",'ENGAGEMENTS 2026'!K89)</f>
        <v/>
      </c>
      <c r="Q89">
        <f>IF($A89="","",IF(OR($E89="INFRUCTUEUX",$E89="ANNULE"),$A89&amp;"|"&amp;(COUNTIFS($A$2:$A89,$A89,$E$2:$E89,"INFRUCTUEUX")+COUNTIFS($A$2:$A89,$A89,$E$2:$E89,"ANNULE")),""))</f>
        <v/>
      </c>
    </row>
    <row r="90">
      <c r="A90">
        <f>IF(ISBLANK('ENGAGEMENTS 2026'!C90),"",IF('ENGAGEMENTS 2026'!C90="DTSI","DCT",'ENGAGEMENTS 2026'!C90))</f>
        <v/>
      </c>
      <c r="B90">
        <f>IF(ISBLANK('ENGAGEMENTS 2026'!C90),"",'ENGAGEMENTS 2026'!D90)</f>
        <v/>
      </c>
      <c r="C90">
        <f>IF(ISBLANK('ENGAGEMENTS 2026'!C90),"",'ENGAGEMENTS 2026'!E90)</f>
        <v/>
      </c>
      <c r="D90">
        <f>IF(ISBLANK('ENGAGEMENTS 2026'!C90),"",'ENGAGEMENTS 2026'!G90)</f>
        <v/>
      </c>
      <c r="E90">
        <f>IF(ISBLANK('ENGAGEMENTS 2026'!C90),"",'ENGAGEMENTS 2026'!I90)</f>
        <v/>
      </c>
      <c r="F90">
        <f>IF(ISBLANK('ENGAGEMENTS 2026'!C90),"",'ENGAGEMENTS 2026'!J90)</f>
        <v/>
      </c>
      <c r="G90">
        <f>IF(ISBLANK('ENGAGEMENTS 2026'!C90),"",'ENGAGEMENTS 2026'!M90)</f>
        <v/>
      </c>
      <c r="H90">
        <f>IF(ISBLANK('ENGAGEMENTS 2026'!C90),"",'ENGAGEMENTS 2026'!AF90)</f>
        <v/>
      </c>
      <c r="I90">
        <f>IF(ISBLANK('ENGAGEMENTS 2026'!C90),"",'ENGAGEMENTS 2026'!H90)</f>
        <v/>
      </c>
      <c r="J90" s="275">
        <f>IF(ISBLANK('ENGAGEMENTS 2026'!C90),"",IF(AND(OR($E90="INFRUCTUEUX",$E90="ANNULE"),$C90="AOO-M"),'ENGAGEMENTS 2026'!P90,IF($H90="EN COURS DE PREENGAGEMENT",'ENGAGEMENTS 2026'!O90,IF($H90="PREENGAGE",IF($E90="ATTRIBUE",'ENGAGEMENTS 2026'!AE90,'ENGAGEMENTS 2026'!O90),'ENGAGEMENTS 2026'!AE90))))</f>
        <v/>
      </c>
      <c r="K90" s="604">
        <f>IF(ISBLANK('ENGAGEMENTS 2026'!W90),"",'ENGAGEMENTS 2026'!W90)</f>
        <v/>
      </c>
      <c r="L90" s="276">
        <f>IF($K90="","",TODAY()-$K90)</f>
        <v/>
      </c>
      <c r="M90">
        <f>IF($A90="","",IF($H90="ENGAGE","Engagé",IF(AND($H90="NON ENGAGE",OR($I90="INFRUCTUEUX",$I90="ANNULE")),"Clôturé sans suite","En cours")))</f>
        <v/>
      </c>
      <c r="N90">
        <f>IF(ISBLANK('ENGAGEMENTS 2026'!C90),"",'ENGAGEMENTS 2026'!L90)</f>
        <v/>
      </c>
      <c r="O90">
        <f>IF(ISBLANK('ENGAGEMENTS 2026'!C90),"",'ENGAGEMENTS 2026'!M90)</f>
        <v/>
      </c>
      <c r="P90">
        <f>IF(ISBLANK('ENGAGEMENTS 2026'!C90),"",'ENGAGEMENTS 2026'!K90)</f>
        <v/>
      </c>
      <c r="Q90">
        <f>IF($A90="","",IF(OR($E90="INFRUCTUEUX",$E90="ANNULE"),$A90&amp;"|"&amp;(COUNTIFS($A$2:$A90,$A90,$E$2:$E90,"INFRUCTUEUX")+COUNTIFS($A$2:$A90,$A90,$E$2:$E90,"ANNULE")),""))</f>
        <v/>
      </c>
    </row>
    <row r="91">
      <c r="A91">
        <f>IF(ISBLANK('ENGAGEMENTS 2026'!C91),"",IF('ENGAGEMENTS 2026'!C91="DTSI","DCT",'ENGAGEMENTS 2026'!C91))</f>
        <v/>
      </c>
      <c r="B91">
        <f>IF(ISBLANK('ENGAGEMENTS 2026'!C91),"",'ENGAGEMENTS 2026'!D91)</f>
        <v/>
      </c>
      <c r="C91">
        <f>IF(ISBLANK('ENGAGEMENTS 2026'!C91),"",'ENGAGEMENTS 2026'!E91)</f>
        <v/>
      </c>
      <c r="D91">
        <f>IF(ISBLANK('ENGAGEMENTS 2026'!C91),"",'ENGAGEMENTS 2026'!G91)</f>
        <v/>
      </c>
      <c r="E91">
        <f>IF(ISBLANK('ENGAGEMENTS 2026'!C91),"",'ENGAGEMENTS 2026'!I91)</f>
        <v/>
      </c>
      <c r="F91">
        <f>IF(ISBLANK('ENGAGEMENTS 2026'!C91),"",'ENGAGEMENTS 2026'!J91)</f>
        <v/>
      </c>
      <c r="G91">
        <f>IF(ISBLANK('ENGAGEMENTS 2026'!C91),"",'ENGAGEMENTS 2026'!M91)</f>
        <v/>
      </c>
      <c r="H91">
        <f>IF(ISBLANK('ENGAGEMENTS 2026'!C91),"",'ENGAGEMENTS 2026'!AF91)</f>
        <v/>
      </c>
      <c r="I91">
        <f>IF(ISBLANK('ENGAGEMENTS 2026'!C91),"",'ENGAGEMENTS 2026'!H91)</f>
        <v/>
      </c>
      <c r="J91" s="275">
        <f>IF(ISBLANK('ENGAGEMENTS 2026'!C91),"",IF(AND(OR($E91="INFRUCTUEUX",$E91="ANNULE"),$C91="AOO-M"),'ENGAGEMENTS 2026'!P91,IF($H91="EN COURS DE PREENGAGEMENT",'ENGAGEMENTS 2026'!O91,IF($H91="PREENGAGE",IF($E91="ATTRIBUE",'ENGAGEMENTS 2026'!AE91,'ENGAGEMENTS 2026'!O91),'ENGAGEMENTS 2026'!AE91))))</f>
        <v/>
      </c>
      <c r="K91" s="604">
        <f>IF(ISBLANK('ENGAGEMENTS 2026'!W91),"",'ENGAGEMENTS 2026'!W91)</f>
        <v/>
      </c>
      <c r="L91" s="276">
        <f>IF($K91="","",TODAY()-$K91)</f>
        <v/>
      </c>
      <c r="M91">
        <f>IF($A91="","",IF($H91="ENGAGE","Engagé",IF(AND($H91="NON ENGAGE",OR($I91="INFRUCTUEUX",$I91="ANNULE")),"Clôturé sans suite","En cours")))</f>
        <v/>
      </c>
      <c r="N91">
        <f>IF(ISBLANK('ENGAGEMENTS 2026'!C91),"",'ENGAGEMENTS 2026'!L91)</f>
        <v/>
      </c>
      <c r="O91">
        <f>IF(ISBLANK('ENGAGEMENTS 2026'!C91),"",'ENGAGEMENTS 2026'!M91)</f>
        <v/>
      </c>
      <c r="P91">
        <f>IF(ISBLANK('ENGAGEMENTS 2026'!C91),"",'ENGAGEMENTS 2026'!K91)</f>
        <v/>
      </c>
      <c r="Q91">
        <f>IF($A91="","",IF(OR($E91="INFRUCTUEUX",$E91="ANNULE"),$A91&amp;"|"&amp;(COUNTIFS($A$2:$A91,$A91,$E$2:$E91,"INFRUCTUEUX")+COUNTIFS($A$2:$A91,$A91,$E$2:$E91,"ANNULE")),""))</f>
        <v/>
      </c>
    </row>
    <row r="92">
      <c r="A92">
        <f>IF(ISBLANK('ENGAGEMENTS 2026'!C92),"",IF('ENGAGEMENTS 2026'!C92="DTSI","DCT",'ENGAGEMENTS 2026'!C92))</f>
        <v/>
      </c>
      <c r="B92">
        <f>IF(ISBLANK('ENGAGEMENTS 2026'!C92),"",'ENGAGEMENTS 2026'!D92)</f>
        <v/>
      </c>
      <c r="C92">
        <f>IF(ISBLANK('ENGAGEMENTS 2026'!C92),"",'ENGAGEMENTS 2026'!E92)</f>
        <v/>
      </c>
      <c r="D92">
        <f>IF(ISBLANK('ENGAGEMENTS 2026'!C92),"",'ENGAGEMENTS 2026'!G92)</f>
        <v/>
      </c>
      <c r="E92">
        <f>IF(ISBLANK('ENGAGEMENTS 2026'!C92),"",'ENGAGEMENTS 2026'!I92)</f>
        <v/>
      </c>
      <c r="F92">
        <f>IF(ISBLANK('ENGAGEMENTS 2026'!C92),"",'ENGAGEMENTS 2026'!J92)</f>
        <v/>
      </c>
      <c r="G92">
        <f>IF(ISBLANK('ENGAGEMENTS 2026'!C92),"",'ENGAGEMENTS 2026'!M92)</f>
        <v/>
      </c>
      <c r="H92">
        <f>IF(ISBLANK('ENGAGEMENTS 2026'!C92),"",'ENGAGEMENTS 2026'!AF92)</f>
        <v/>
      </c>
      <c r="I92">
        <f>IF(ISBLANK('ENGAGEMENTS 2026'!C92),"",'ENGAGEMENTS 2026'!H92)</f>
        <v/>
      </c>
      <c r="J92" s="275">
        <f>IF(ISBLANK('ENGAGEMENTS 2026'!C92),"",IF(AND(OR($E92="INFRUCTUEUX",$E92="ANNULE"),$C92="AOO-M"),'ENGAGEMENTS 2026'!P92,IF($H92="EN COURS DE PREENGAGEMENT",'ENGAGEMENTS 2026'!O92,IF($H92="PREENGAGE",IF($E92="ATTRIBUE",'ENGAGEMENTS 2026'!AE92,'ENGAGEMENTS 2026'!O92),'ENGAGEMENTS 2026'!AE92))))</f>
        <v/>
      </c>
      <c r="K92" s="604">
        <f>IF(ISBLANK('ENGAGEMENTS 2026'!W92),"",'ENGAGEMENTS 2026'!W92)</f>
        <v/>
      </c>
      <c r="L92" s="276">
        <f>IF($K92="","",TODAY()-$K92)</f>
        <v/>
      </c>
      <c r="M92">
        <f>IF($A92="","",IF($H92="ENGAGE","Engagé",IF(AND($H92="NON ENGAGE",OR($I92="INFRUCTUEUX",$I92="ANNULE")),"Clôturé sans suite","En cours")))</f>
        <v/>
      </c>
      <c r="N92">
        <f>IF(ISBLANK('ENGAGEMENTS 2026'!C92),"",'ENGAGEMENTS 2026'!L92)</f>
        <v/>
      </c>
      <c r="O92">
        <f>IF(ISBLANK('ENGAGEMENTS 2026'!C92),"",'ENGAGEMENTS 2026'!M92)</f>
        <v/>
      </c>
      <c r="P92">
        <f>IF(ISBLANK('ENGAGEMENTS 2026'!C92),"",'ENGAGEMENTS 2026'!K92)</f>
        <v/>
      </c>
      <c r="Q92">
        <f>IF($A92="","",IF(OR($E92="INFRUCTUEUX",$E92="ANNULE"),$A92&amp;"|"&amp;(COUNTIFS($A$2:$A92,$A92,$E$2:$E92,"INFRUCTUEUX")+COUNTIFS($A$2:$A92,$A92,$E$2:$E92,"ANNULE")),""))</f>
        <v/>
      </c>
    </row>
    <row r="93">
      <c r="A93">
        <f>IF(ISBLANK('ENGAGEMENTS 2026'!C93),"",IF('ENGAGEMENTS 2026'!C93="DTSI","DCT",'ENGAGEMENTS 2026'!C93))</f>
        <v/>
      </c>
      <c r="B93">
        <f>IF(ISBLANK('ENGAGEMENTS 2026'!C93),"",'ENGAGEMENTS 2026'!D93)</f>
        <v/>
      </c>
      <c r="C93">
        <f>IF(ISBLANK('ENGAGEMENTS 2026'!C93),"",'ENGAGEMENTS 2026'!E93)</f>
        <v/>
      </c>
      <c r="D93">
        <f>IF(ISBLANK('ENGAGEMENTS 2026'!C93),"",'ENGAGEMENTS 2026'!G93)</f>
        <v/>
      </c>
      <c r="E93">
        <f>IF(ISBLANK('ENGAGEMENTS 2026'!C93),"",'ENGAGEMENTS 2026'!I93)</f>
        <v/>
      </c>
      <c r="F93">
        <f>IF(ISBLANK('ENGAGEMENTS 2026'!C93),"",'ENGAGEMENTS 2026'!J93)</f>
        <v/>
      </c>
      <c r="G93">
        <f>IF(ISBLANK('ENGAGEMENTS 2026'!C93),"",'ENGAGEMENTS 2026'!M93)</f>
        <v/>
      </c>
      <c r="H93">
        <f>IF(ISBLANK('ENGAGEMENTS 2026'!C93),"",'ENGAGEMENTS 2026'!AF93)</f>
        <v/>
      </c>
      <c r="I93">
        <f>IF(ISBLANK('ENGAGEMENTS 2026'!C93),"",'ENGAGEMENTS 2026'!H93)</f>
        <v/>
      </c>
      <c r="J93" s="275">
        <f>IF(ISBLANK('ENGAGEMENTS 2026'!C93),"",IF(AND(OR($E93="INFRUCTUEUX",$E93="ANNULE"),$C93="AOO-M"),'ENGAGEMENTS 2026'!P93,IF($H93="EN COURS DE PREENGAGEMENT",'ENGAGEMENTS 2026'!O93,IF($H93="PREENGAGE",IF($E93="ATTRIBUE",'ENGAGEMENTS 2026'!AE93,'ENGAGEMENTS 2026'!O93),'ENGAGEMENTS 2026'!AE93))))</f>
        <v/>
      </c>
      <c r="K93" s="604">
        <f>IF(ISBLANK('ENGAGEMENTS 2026'!W93),"",'ENGAGEMENTS 2026'!W93)</f>
        <v/>
      </c>
      <c r="L93" s="276">
        <f>IF($K93="","",TODAY()-$K93)</f>
        <v/>
      </c>
      <c r="M93">
        <f>IF($A93="","",IF($H93="ENGAGE","Engagé",IF(AND($H93="NON ENGAGE",OR($I93="INFRUCTUEUX",$I93="ANNULE")),"Clôturé sans suite","En cours")))</f>
        <v/>
      </c>
      <c r="N93">
        <f>IF(ISBLANK('ENGAGEMENTS 2026'!C93),"",'ENGAGEMENTS 2026'!L93)</f>
        <v/>
      </c>
      <c r="O93">
        <f>IF(ISBLANK('ENGAGEMENTS 2026'!C93),"",'ENGAGEMENTS 2026'!M93)</f>
        <v/>
      </c>
      <c r="P93">
        <f>IF(ISBLANK('ENGAGEMENTS 2026'!C93),"",'ENGAGEMENTS 2026'!K93)</f>
        <v/>
      </c>
      <c r="Q93">
        <f>IF($A93="","",IF(OR($E93="INFRUCTUEUX",$E93="ANNULE"),$A93&amp;"|"&amp;(COUNTIFS($A$2:$A93,$A93,$E$2:$E93,"INFRUCTUEUX")+COUNTIFS($A$2:$A93,$A93,$E$2:$E93,"ANNULE")),""))</f>
        <v/>
      </c>
    </row>
    <row r="94">
      <c r="A94">
        <f>IF(ISBLANK('ENGAGEMENTS 2026'!C94),"",IF('ENGAGEMENTS 2026'!C94="DTSI","DCT",'ENGAGEMENTS 2026'!C94))</f>
        <v/>
      </c>
      <c r="B94">
        <f>IF(ISBLANK('ENGAGEMENTS 2026'!C94),"",'ENGAGEMENTS 2026'!D94)</f>
        <v/>
      </c>
      <c r="C94">
        <f>IF(ISBLANK('ENGAGEMENTS 2026'!C94),"",'ENGAGEMENTS 2026'!E94)</f>
        <v/>
      </c>
      <c r="D94">
        <f>IF(ISBLANK('ENGAGEMENTS 2026'!C94),"",'ENGAGEMENTS 2026'!G94)</f>
        <v/>
      </c>
      <c r="E94">
        <f>IF(ISBLANK('ENGAGEMENTS 2026'!C94),"",'ENGAGEMENTS 2026'!I94)</f>
        <v/>
      </c>
      <c r="F94">
        <f>IF(ISBLANK('ENGAGEMENTS 2026'!C94),"",'ENGAGEMENTS 2026'!J94)</f>
        <v/>
      </c>
      <c r="G94">
        <f>IF(ISBLANK('ENGAGEMENTS 2026'!C94),"",'ENGAGEMENTS 2026'!M94)</f>
        <v/>
      </c>
      <c r="H94">
        <f>IF(ISBLANK('ENGAGEMENTS 2026'!C94),"",'ENGAGEMENTS 2026'!AF94)</f>
        <v/>
      </c>
      <c r="I94">
        <f>IF(ISBLANK('ENGAGEMENTS 2026'!C94),"",'ENGAGEMENTS 2026'!H94)</f>
        <v/>
      </c>
      <c r="J94" s="275">
        <f>IF(ISBLANK('ENGAGEMENTS 2026'!C94),"",IF(AND(OR($E94="INFRUCTUEUX",$E94="ANNULE"),$C94="AOO-M"),'ENGAGEMENTS 2026'!P94,IF($H94="EN COURS DE PREENGAGEMENT",'ENGAGEMENTS 2026'!O94,IF($H94="PREENGAGE",IF($E94="ATTRIBUE",'ENGAGEMENTS 2026'!AE94,'ENGAGEMENTS 2026'!O94),'ENGAGEMENTS 2026'!AE94))))</f>
        <v/>
      </c>
      <c r="K94" s="604">
        <f>IF(ISBLANK('ENGAGEMENTS 2026'!W94),"",'ENGAGEMENTS 2026'!W94)</f>
        <v/>
      </c>
      <c r="L94" s="276">
        <f>IF($K94="","",TODAY()-$K94)</f>
        <v/>
      </c>
      <c r="M94">
        <f>IF($A94="","",IF($H94="ENGAGE","Engagé",IF(AND($H94="NON ENGAGE",OR($I94="INFRUCTUEUX",$I94="ANNULE")),"Clôturé sans suite","En cours")))</f>
        <v/>
      </c>
      <c r="N94">
        <f>IF(ISBLANK('ENGAGEMENTS 2026'!C94),"",'ENGAGEMENTS 2026'!L94)</f>
        <v/>
      </c>
      <c r="O94">
        <f>IF(ISBLANK('ENGAGEMENTS 2026'!C94),"",'ENGAGEMENTS 2026'!M94)</f>
        <v/>
      </c>
      <c r="P94">
        <f>IF(ISBLANK('ENGAGEMENTS 2026'!C94),"",'ENGAGEMENTS 2026'!K94)</f>
        <v/>
      </c>
      <c r="Q94">
        <f>IF($A94="","",IF(OR($E94="INFRUCTUEUX",$E94="ANNULE"),$A94&amp;"|"&amp;(COUNTIFS($A$2:$A94,$A94,$E$2:$E94,"INFRUCTUEUX")+COUNTIFS($A$2:$A94,$A94,$E$2:$E94,"ANNULE")),""))</f>
        <v/>
      </c>
    </row>
    <row r="95">
      <c r="A95">
        <f>IF(ISBLANK('ENGAGEMENTS 2026'!C95),"",IF('ENGAGEMENTS 2026'!C95="DTSI","DCT",'ENGAGEMENTS 2026'!C95))</f>
        <v/>
      </c>
      <c r="B95">
        <f>IF(ISBLANK('ENGAGEMENTS 2026'!C95),"",'ENGAGEMENTS 2026'!D95)</f>
        <v/>
      </c>
      <c r="C95">
        <f>IF(ISBLANK('ENGAGEMENTS 2026'!C95),"",'ENGAGEMENTS 2026'!E95)</f>
        <v/>
      </c>
      <c r="D95">
        <f>IF(ISBLANK('ENGAGEMENTS 2026'!C95),"",'ENGAGEMENTS 2026'!G95)</f>
        <v/>
      </c>
      <c r="E95">
        <f>IF(ISBLANK('ENGAGEMENTS 2026'!C95),"",'ENGAGEMENTS 2026'!I95)</f>
        <v/>
      </c>
      <c r="F95">
        <f>IF(ISBLANK('ENGAGEMENTS 2026'!C95),"",'ENGAGEMENTS 2026'!J95)</f>
        <v/>
      </c>
      <c r="G95">
        <f>IF(ISBLANK('ENGAGEMENTS 2026'!C95),"",'ENGAGEMENTS 2026'!M95)</f>
        <v/>
      </c>
      <c r="H95">
        <f>IF(ISBLANK('ENGAGEMENTS 2026'!C95),"",'ENGAGEMENTS 2026'!AF95)</f>
        <v/>
      </c>
      <c r="I95">
        <f>IF(ISBLANK('ENGAGEMENTS 2026'!C95),"",'ENGAGEMENTS 2026'!H95)</f>
        <v/>
      </c>
      <c r="J95" s="275">
        <f>IF(ISBLANK('ENGAGEMENTS 2026'!C95),"",IF(AND(OR($E95="INFRUCTUEUX",$E95="ANNULE"),$C95="AOO-M"),'ENGAGEMENTS 2026'!P95,IF($H95="EN COURS DE PREENGAGEMENT",'ENGAGEMENTS 2026'!O95,IF($H95="PREENGAGE",IF($E95="ATTRIBUE",'ENGAGEMENTS 2026'!AE95,'ENGAGEMENTS 2026'!O95),'ENGAGEMENTS 2026'!AE95))))</f>
        <v/>
      </c>
      <c r="K95" s="604">
        <f>IF(ISBLANK('ENGAGEMENTS 2026'!W95),"",'ENGAGEMENTS 2026'!W95)</f>
        <v/>
      </c>
      <c r="L95" s="276">
        <f>IF($K95="","",TODAY()-$K95)</f>
        <v/>
      </c>
      <c r="M95">
        <f>IF($A95="","",IF($H95="ENGAGE","Engagé",IF(AND($H95="NON ENGAGE",OR($I95="INFRUCTUEUX",$I95="ANNULE")),"Clôturé sans suite","En cours")))</f>
        <v/>
      </c>
      <c r="N95">
        <f>IF(ISBLANK('ENGAGEMENTS 2026'!C95),"",'ENGAGEMENTS 2026'!L95)</f>
        <v/>
      </c>
      <c r="O95">
        <f>IF(ISBLANK('ENGAGEMENTS 2026'!C95),"",'ENGAGEMENTS 2026'!M95)</f>
        <v/>
      </c>
      <c r="P95">
        <f>IF(ISBLANK('ENGAGEMENTS 2026'!C95),"",'ENGAGEMENTS 2026'!K95)</f>
        <v/>
      </c>
      <c r="Q95">
        <f>IF($A95="","",IF(OR($E95="INFRUCTUEUX",$E95="ANNULE"),$A95&amp;"|"&amp;(COUNTIFS($A$2:$A95,$A95,$E$2:$E95,"INFRUCTUEUX")+COUNTIFS($A$2:$A95,$A95,$E$2:$E95,"ANNULE")),""))</f>
        <v/>
      </c>
    </row>
    <row r="96">
      <c r="A96">
        <f>IF(ISBLANK('ENGAGEMENTS 2026'!C96),"",IF('ENGAGEMENTS 2026'!C96="DTSI","DCT",'ENGAGEMENTS 2026'!C96))</f>
        <v/>
      </c>
      <c r="B96">
        <f>IF(ISBLANK('ENGAGEMENTS 2026'!C96),"",'ENGAGEMENTS 2026'!D96)</f>
        <v/>
      </c>
      <c r="C96">
        <f>IF(ISBLANK('ENGAGEMENTS 2026'!C96),"",'ENGAGEMENTS 2026'!E96)</f>
        <v/>
      </c>
      <c r="D96">
        <f>IF(ISBLANK('ENGAGEMENTS 2026'!C96),"",'ENGAGEMENTS 2026'!G96)</f>
        <v/>
      </c>
      <c r="E96">
        <f>IF(ISBLANK('ENGAGEMENTS 2026'!C96),"",'ENGAGEMENTS 2026'!I96)</f>
        <v/>
      </c>
      <c r="F96">
        <f>IF(ISBLANK('ENGAGEMENTS 2026'!C96),"",'ENGAGEMENTS 2026'!J96)</f>
        <v/>
      </c>
      <c r="G96">
        <f>IF(ISBLANK('ENGAGEMENTS 2026'!C96),"",'ENGAGEMENTS 2026'!M96)</f>
        <v/>
      </c>
      <c r="H96">
        <f>IF(ISBLANK('ENGAGEMENTS 2026'!C96),"",'ENGAGEMENTS 2026'!AF96)</f>
        <v/>
      </c>
      <c r="I96">
        <f>IF(ISBLANK('ENGAGEMENTS 2026'!C96),"",'ENGAGEMENTS 2026'!H96)</f>
        <v/>
      </c>
      <c r="J96" s="275">
        <f>IF(ISBLANK('ENGAGEMENTS 2026'!C96),"",IF(AND(OR($E96="INFRUCTUEUX",$E96="ANNULE"),$C96="AOO-M"),'ENGAGEMENTS 2026'!P96,IF($H96="EN COURS DE PREENGAGEMENT",'ENGAGEMENTS 2026'!O96,IF($H96="PREENGAGE",IF($E96="ATTRIBUE",'ENGAGEMENTS 2026'!AE96,'ENGAGEMENTS 2026'!O96),'ENGAGEMENTS 2026'!AE96))))</f>
        <v/>
      </c>
      <c r="K96" s="604">
        <f>IF(ISBLANK('ENGAGEMENTS 2026'!W96),"",'ENGAGEMENTS 2026'!W96)</f>
        <v/>
      </c>
      <c r="L96" s="276">
        <f>IF($K96="","",TODAY()-$K96)</f>
        <v/>
      </c>
      <c r="M96">
        <f>IF($A96="","",IF($H96="ENGAGE","Engagé",IF(AND($H96="NON ENGAGE",OR($I96="INFRUCTUEUX",$I96="ANNULE")),"Clôturé sans suite","En cours")))</f>
        <v/>
      </c>
      <c r="N96">
        <f>IF(ISBLANK('ENGAGEMENTS 2026'!C96),"",'ENGAGEMENTS 2026'!L96)</f>
        <v/>
      </c>
      <c r="O96">
        <f>IF(ISBLANK('ENGAGEMENTS 2026'!C96),"",'ENGAGEMENTS 2026'!M96)</f>
        <v/>
      </c>
      <c r="P96">
        <f>IF(ISBLANK('ENGAGEMENTS 2026'!C96),"",'ENGAGEMENTS 2026'!K96)</f>
        <v/>
      </c>
      <c r="Q96">
        <f>IF($A96="","",IF(OR($E96="INFRUCTUEUX",$E96="ANNULE"),$A96&amp;"|"&amp;(COUNTIFS($A$2:$A96,$A96,$E$2:$E96,"INFRUCTUEUX")+COUNTIFS($A$2:$A96,$A96,$E$2:$E96,"ANNULE")),""))</f>
        <v/>
      </c>
    </row>
    <row r="97">
      <c r="A97">
        <f>IF(ISBLANK('ENGAGEMENTS 2026'!C97),"",IF('ENGAGEMENTS 2026'!C97="DTSI","DCT",'ENGAGEMENTS 2026'!C97))</f>
        <v/>
      </c>
      <c r="B97">
        <f>IF(ISBLANK('ENGAGEMENTS 2026'!C97),"",'ENGAGEMENTS 2026'!D97)</f>
        <v/>
      </c>
      <c r="C97">
        <f>IF(ISBLANK('ENGAGEMENTS 2026'!C97),"",'ENGAGEMENTS 2026'!E97)</f>
        <v/>
      </c>
      <c r="D97">
        <f>IF(ISBLANK('ENGAGEMENTS 2026'!C97),"",'ENGAGEMENTS 2026'!G97)</f>
        <v/>
      </c>
      <c r="E97">
        <f>IF(ISBLANK('ENGAGEMENTS 2026'!C97),"",'ENGAGEMENTS 2026'!I97)</f>
        <v/>
      </c>
      <c r="F97">
        <f>IF(ISBLANK('ENGAGEMENTS 2026'!C97),"",'ENGAGEMENTS 2026'!J97)</f>
        <v/>
      </c>
      <c r="G97">
        <f>IF(ISBLANK('ENGAGEMENTS 2026'!C97),"",'ENGAGEMENTS 2026'!M97)</f>
        <v/>
      </c>
      <c r="H97">
        <f>IF(ISBLANK('ENGAGEMENTS 2026'!C97),"",'ENGAGEMENTS 2026'!AF97)</f>
        <v/>
      </c>
      <c r="I97">
        <f>IF(ISBLANK('ENGAGEMENTS 2026'!C97),"",'ENGAGEMENTS 2026'!H97)</f>
        <v/>
      </c>
      <c r="J97" s="275">
        <f>IF(ISBLANK('ENGAGEMENTS 2026'!C97),"",IF(AND(OR($E97="INFRUCTUEUX",$E97="ANNULE"),$C97="AOO-M"),'ENGAGEMENTS 2026'!P97,IF($H97="EN COURS DE PREENGAGEMENT",'ENGAGEMENTS 2026'!O97,IF($H97="PREENGAGE",IF($E97="ATTRIBUE",'ENGAGEMENTS 2026'!AE97,'ENGAGEMENTS 2026'!O97),'ENGAGEMENTS 2026'!AE97))))</f>
        <v/>
      </c>
      <c r="K97" s="604">
        <f>IF(ISBLANK('ENGAGEMENTS 2026'!W97),"",'ENGAGEMENTS 2026'!W97)</f>
        <v/>
      </c>
      <c r="L97" s="276">
        <f>IF($K97="","",TODAY()-$K97)</f>
        <v/>
      </c>
      <c r="M97">
        <f>IF($A97="","",IF($H97="ENGAGE","Engagé",IF(AND($H97="NON ENGAGE",OR($I97="INFRUCTUEUX",$I97="ANNULE")),"Clôturé sans suite","En cours")))</f>
        <v/>
      </c>
      <c r="N97">
        <f>IF(ISBLANK('ENGAGEMENTS 2026'!C97),"",'ENGAGEMENTS 2026'!L97)</f>
        <v/>
      </c>
      <c r="O97">
        <f>IF(ISBLANK('ENGAGEMENTS 2026'!C97),"",'ENGAGEMENTS 2026'!M97)</f>
        <v/>
      </c>
      <c r="P97">
        <f>IF(ISBLANK('ENGAGEMENTS 2026'!C97),"",'ENGAGEMENTS 2026'!K97)</f>
        <v/>
      </c>
      <c r="Q97">
        <f>IF($A97="","",IF(OR($E97="INFRUCTUEUX",$E97="ANNULE"),$A97&amp;"|"&amp;(COUNTIFS($A$2:$A97,$A97,$E$2:$E97,"INFRUCTUEUX")+COUNTIFS($A$2:$A97,$A97,$E$2:$E97,"ANNULE")),""))</f>
        <v/>
      </c>
    </row>
    <row r="98">
      <c r="A98">
        <f>IF(ISBLANK('ENGAGEMENTS 2026'!C98),"",IF('ENGAGEMENTS 2026'!C98="DTSI","DCT",'ENGAGEMENTS 2026'!C98))</f>
        <v/>
      </c>
      <c r="B98">
        <f>IF(ISBLANK('ENGAGEMENTS 2026'!C98),"",'ENGAGEMENTS 2026'!D98)</f>
        <v/>
      </c>
      <c r="C98">
        <f>IF(ISBLANK('ENGAGEMENTS 2026'!C98),"",'ENGAGEMENTS 2026'!E98)</f>
        <v/>
      </c>
      <c r="D98">
        <f>IF(ISBLANK('ENGAGEMENTS 2026'!C98),"",'ENGAGEMENTS 2026'!G98)</f>
        <v/>
      </c>
      <c r="E98">
        <f>IF(ISBLANK('ENGAGEMENTS 2026'!C98),"",'ENGAGEMENTS 2026'!I98)</f>
        <v/>
      </c>
      <c r="F98">
        <f>IF(ISBLANK('ENGAGEMENTS 2026'!C98),"",'ENGAGEMENTS 2026'!J98)</f>
        <v/>
      </c>
      <c r="G98">
        <f>IF(ISBLANK('ENGAGEMENTS 2026'!C98),"",'ENGAGEMENTS 2026'!M98)</f>
        <v/>
      </c>
      <c r="H98">
        <f>IF(ISBLANK('ENGAGEMENTS 2026'!C98),"",'ENGAGEMENTS 2026'!AF98)</f>
        <v/>
      </c>
      <c r="I98">
        <f>IF(ISBLANK('ENGAGEMENTS 2026'!C98),"",'ENGAGEMENTS 2026'!H98)</f>
        <v/>
      </c>
      <c r="J98" s="275">
        <f>IF(ISBLANK('ENGAGEMENTS 2026'!C98),"",IF(AND(OR($E98="INFRUCTUEUX",$E98="ANNULE"),$C98="AOO-M"),'ENGAGEMENTS 2026'!P98,IF($H98="EN COURS DE PREENGAGEMENT",'ENGAGEMENTS 2026'!O98,IF($H98="PREENGAGE",IF($E98="ATTRIBUE",'ENGAGEMENTS 2026'!AE98,'ENGAGEMENTS 2026'!O98),'ENGAGEMENTS 2026'!AE98))))</f>
        <v/>
      </c>
      <c r="K98" s="604">
        <f>IF(ISBLANK('ENGAGEMENTS 2026'!W98),"",'ENGAGEMENTS 2026'!W98)</f>
        <v/>
      </c>
      <c r="L98" s="276">
        <f>IF($K98="","",TODAY()-$K98)</f>
        <v/>
      </c>
      <c r="M98">
        <f>IF($A98="","",IF($H98="ENGAGE","Engagé",IF(AND($H98="NON ENGAGE",OR($I98="INFRUCTUEUX",$I98="ANNULE")),"Clôturé sans suite","En cours")))</f>
        <v/>
      </c>
      <c r="N98">
        <f>IF(ISBLANK('ENGAGEMENTS 2026'!C98),"",'ENGAGEMENTS 2026'!L98)</f>
        <v/>
      </c>
      <c r="O98">
        <f>IF(ISBLANK('ENGAGEMENTS 2026'!C98),"",'ENGAGEMENTS 2026'!M98)</f>
        <v/>
      </c>
      <c r="P98">
        <f>IF(ISBLANK('ENGAGEMENTS 2026'!C98),"",'ENGAGEMENTS 2026'!K98)</f>
        <v/>
      </c>
      <c r="Q98">
        <f>IF($A98="","",IF(OR($E98="INFRUCTUEUX",$E98="ANNULE"),$A98&amp;"|"&amp;(COUNTIFS($A$2:$A98,$A98,$E$2:$E98,"INFRUCTUEUX")+COUNTIFS($A$2:$A98,$A98,$E$2:$E98,"ANNULE")),""))</f>
        <v/>
      </c>
    </row>
    <row r="99">
      <c r="A99">
        <f>IF(ISBLANK('ENGAGEMENTS 2026'!C99),"",IF('ENGAGEMENTS 2026'!C99="DTSI","DCT",'ENGAGEMENTS 2026'!C99))</f>
        <v/>
      </c>
      <c r="B99">
        <f>IF(ISBLANK('ENGAGEMENTS 2026'!C99),"",'ENGAGEMENTS 2026'!D99)</f>
        <v/>
      </c>
      <c r="C99">
        <f>IF(ISBLANK('ENGAGEMENTS 2026'!C99),"",'ENGAGEMENTS 2026'!E99)</f>
        <v/>
      </c>
      <c r="D99">
        <f>IF(ISBLANK('ENGAGEMENTS 2026'!C99),"",'ENGAGEMENTS 2026'!G99)</f>
        <v/>
      </c>
      <c r="E99">
        <f>IF(ISBLANK('ENGAGEMENTS 2026'!C99),"",'ENGAGEMENTS 2026'!I99)</f>
        <v/>
      </c>
      <c r="F99">
        <f>IF(ISBLANK('ENGAGEMENTS 2026'!C99),"",'ENGAGEMENTS 2026'!J99)</f>
        <v/>
      </c>
      <c r="G99">
        <f>IF(ISBLANK('ENGAGEMENTS 2026'!C99),"",'ENGAGEMENTS 2026'!M99)</f>
        <v/>
      </c>
      <c r="H99">
        <f>IF(ISBLANK('ENGAGEMENTS 2026'!C99),"",'ENGAGEMENTS 2026'!AF99)</f>
        <v/>
      </c>
      <c r="I99">
        <f>IF(ISBLANK('ENGAGEMENTS 2026'!C99),"",'ENGAGEMENTS 2026'!H99)</f>
        <v/>
      </c>
      <c r="J99" s="275">
        <f>IF(ISBLANK('ENGAGEMENTS 2026'!C99),"",IF(AND(OR($E99="INFRUCTUEUX",$E99="ANNULE"),$C99="AOO-M"),'ENGAGEMENTS 2026'!P99,IF($H99="EN COURS DE PREENGAGEMENT",'ENGAGEMENTS 2026'!O99,IF($H99="PREENGAGE",IF($E99="ATTRIBUE",'ENGAGEMENTS 2026'!AE99,'ENGAGEMENTS 2026'!O99),'ENGAGEMENTS 2026'!AE99))))</f>
        <v/>
      </c>
      <c r="K99" s="604">
        <f>IF(ISBLANK('ENGAGEMENTS 2026'!W99),"",'ENGAGEMENTS 2026'!W99)</f>
        <v/>
      </c>
      <c r="L99" s="276">
        <f>IF($K99="","",TODAY()-$K99)</f>
        <v/>
      </c>
      <c r="M99">
        <f>IF($A99="","",IF($H99="ENGAGE","Engagé",IF(AND($H99="NON ENGAGE",OR($I99="INFRUCTUEUX",$I99="ANNULE")),"Clôturé sans suite","En cours")))</f>
        <v/>
      </c>
      <c r="N99">
        <f>IF(ISBLANK('ENGAGEMENTS 2026'!C99),"",'ENGAGEMENTS 2026'!L99)</f>
        <v/>
      </c>
      <c r="O99">
        <f>IF(ISBLANK('ENGAGEMENTS 2026'!C99),"",'ENGAGEMENTS 2026'!M99)</f>
        <v/>
      </c>
      <c r="P99">
        <f>IF(ISBLANK('ENGAGEMENTS 2026'!C99),"",'ENGAGEMENTS 2026'!K99)</f>
        <v/>
      </c>
      <c r="Q99">
        <f>IF($A99="","",IF(OR($E99="INFRUCTUEUX",$E99="ANNULE"),$A99&amp;"|"&amp;(COUNTIFS($A$2:$A99,$A99,$E$2:$E99,"INFRUCTUEUX")+COUNTIFS($A$2:$A99,$A99,$E$2:$E99,"ANNULE")),""))</f>
        <v/>
      </c>
    </row>
    <row r="100">
      <c r="A100">
        <f>IF(ISBLANK('ENGAGEMENTS 2026'!C100),"",IF('ENGAGEMENTS 2026'!C100="DTSI","DCT",'ENGAGEMENTS 2026'!C100))</f>
        <v/>
      </c>
      <c r="B100">
        <f>IF(ISBLANK('ENGAGEMENTS 2026'!C100),"",'ENGAGEMENTS 2026'!D100)</f>
        <v/>
      </c>
      <c r="C100">
        <f>IF(ISBLANK('ENGAGEMENTS 2026'!C100),"",'ENGAGEMENTS 2026'!E100)</f>
        <v/>
      </c>
      <c r="D100">
        <f>IF(ISBLANK('ENGAGEMENTS 2026'!C100),"",'ENGAGEMENTS 2026'!G100)</f>
        <v/>
      </c>
      <c r="E100">
        <f>IF(ISBLANK('ENGAGEMENTS 2026'!C100),"",'ENGAGEMENTS 2026'!I100)</f>
        <v/>
      </c>
      <c r="F100">
        <f>IF(ISBLANK('ENGAGEMENTS 2026'!C100),"",'ENGAGEMENTS 2026'!J100)</f>
        <v/>
      </c>
      <c r="G100">
        <f>IF(ISBLANK('ENGAGEMENTS 2026'!C100),"",'ENGAGEMENTS 2026'!M100)</f>
        <v/>
      </c>
      <c r="H100">
        <f>IF(ISBLANK('ENGAGEMENTS 2026'!C100),"",'ENGAGEMENTS 2026'!AF100)</f>
        <v/>
      </c>
      <c r="I100">
        <f>IF(ISBLANK('ENGAGEMENTS 2026'!C100),"",'ENGAGEMENTS 2026'!H100)</f>
        <v/>
      </c>
      <c r="J100" s="275">
        <f>IF(ISBLANK('ENGAGEMENTS 2026'!C100),"",IF(AND(OR($E100="INFRUCTUEUX",$E100="ANNULE"),$C100="AOO-M"),'ENGAGEMENTS 2026'!P100,IF($H100="EN COURS DE PREENGAGEMENT",'ENGAGEMENTS 2026'!O100,IF($H100="PREENGAGE",IF($E100="ATTRIBUE",'ENGAGEMENTS 2026'!AE100,'ENGAGEMENTS 2026'!O100),'ENGAGEMENTS 2026'!AE100))))</f>
        <v/>
      </c>
      <c r="K100" s="604">
        <f>IF(ISBLANK('ENGAGEMENTS 2026'!W100),"",'ENGAGEMENTS 2026'!W100)</f>
        <v/>
      </c>
      <c r="L100" s="276">
        <f>IF($K100="","",TODAY()-$K100)</f>
        <v/>
      </c>
      <c r="M100">
        <f>IF($A100="","",IF($H100="ENGAGE","Engagé",IF(AND($H100="NON ENGAGE",OR($I100="INFRUCTUEUX",$I100="ANNULE")),"Clôturé sans suite","En cours")))</f>
        <v/>
      </c>
      <c r="N100">
        <f>IF(ISBLANK('ENGAGEMENTS 2026'!C100),"",'ENGAGEMENTS 2026'!L100)</f>
        <v/>
      </c>
      <c r="O100">
        <f>IF(ISBLANK('ENGAGEMENTS 2026'!C100),"",'ENGAGEMENTS 2026'!M100)</f>
        <v/>
      </c>
      <c r="P100">
        <f>IF(ISBLANK('ENGAGEMENTS 2026'!C100),"",'ENGAGEMENTS 2026'!K100)</f>
        <v/>
      </c>
      <c r="Q100">
        <f>IF($A100="","",IF(OR($E100="INFRUCTUEUX",$E100="ANNULE"),$A100&amp;"|"&amp;(COUNTIFS($A$2:$A100,$A100,$E$2:$E100,"INFRUCTUEUX")+COUNTIFS($A$2:$A100,$A100,$E$2:$E100,"ANNULE")),""))</f>
        <v/>
      </c>
    </row>
    <row r="101">
      <c r="A101">
        <f>IF(ISBLANK('ENGAGEMENTS 2026'!C101),"",IF('ENGAGEMENTS 2026'!C101="DTSI","DCT",'ENGAGEMENTS 2026'!C101))</f>
        <v/>
      </c>
      <c r="B101">
        <f>IF(ISBLANK('ENGAGEMENTS 2026'!C101),"",'ENGAGEMENTS 2026'!D101)</f>
        <v/>
      </c>
      <c r="C101">
        <f>IF(ISBLANK('ENGAGEMENTS 2026'!C101),"",'ENGAGEMENTS 2026'!E101)</f>
        <v/>
      </c>
      <c r="D101">
        <f>IF(ISBLANK('ENGAGEMENTS 2026'!C101),"",'ENGAGEMENTS 2026'!G101)</f>
        <v/>
      </c>
      <c r="E101">
        <f>IF(ISBLANK('ENGAGEMENTS 2026'!C101),"",'ENGAGEMENTS 2026'!I101)</f>
        <v/>
      </c>
      <c r="F101">
        <f>IF(ISBLANK('ENGAGEMENTS 2026'!C101),"",'ENGAGEMENTS 2026'!J101)</f>
        <v/>
      </c>
      <c r="G101">
        <f>IF(ISBLANK('ENGAGEMENTS 2026'!C101),"",'ENGAGEMENTS 2026'!M101)</f>
        <v/>
      </c>
      <c r="H101">
        <f>IF(ISBLANK('ENGAGEMENTS 2026'!C101),"",'ENGAGEMENTS 2026'!AF101)</f>
        <v/>
      </c>
      <c r="I101">
        <f>IF(ISBLANK('ENGAGEMENTS 2026'!C101),"",'ENGAGEMENTS 2026'!H101)</f>
        <v/>
      </c>
      <c r="J101" s="275">
        <f>IF(ISBLANK('ENGAGEMENTS 2026'!C101),"",IF(AND(OR($E101="INFRUCTUEUX",$E101="ANNULE"),$C101="AOO-M"),'ENGAGEMENTS 2026'!P101,IF($H101="EN COURS DE PREENGAGEMENT",'ENGAGEMENTS 2026'!O101,IF($H101="PREENGAGE",IF($E101="ATTRIBUE",'ENGAGEMENTS 2026'!AE101,'ENGAGEMENTS 2026'!O101),'ENGAGEMENTS 2026'!AE101))))</f>
        <v/>
      </c>
      <c r="K101" s="604">
        <f>IF(ISBLANK('ENGAGEMENTS 2026'!W101),"",'ENGAGEMENTS 2026'!W101)</f>
        <v/>
      </c>
      <c r="L101" s="276">
        <f>IF($K101="","",TODAY()-$K101)</f>
        <v/>
      </c>
      <c r="M101">
        <f>IF($A101="","",IF($H101="ENGAGE","Engagé",IF(AND($H101="NON ENGAGE",OR($I101="INFRUCTUEUX",$I101="ANNULE")),"Clôturé sans suite","En cours")))</f>
        <v/>
      </c>
      <c r="N101">
        <f>IF(ISBLANK('ENGAGEMENTS 2026'!C101),"",'ENGAGEMENTS 2026'!L101)</f>
        <v/>
      </c>
      <c r="O101">
        <f>IF(ISBLANK('ENGAGEMENTS 2026'!C101),"",'ENGAGEMENTS 2026'!M101)</f>
        <v/>
      </c>
      <c r="P101">
        <f>IF(ISBLANK('ENGAGEMENTS 2026'!C101),"",'ENGAGEMENTS 2026'!K101)</f>
        <v/>
      </c>
      <c r="Q101">
        <f>IF($A101="","",IF(OR($E101="INFRUCTUEUX",$E101="ANNULE"),$A101&amp;"|"&amp;(COUNTIFS($A$2:$A101,$A101,$E$2:$E101,"INFRUCTUEUX")+COUNTIFS($A$2:$A101,$A101,$E$2:$E101,"ANNULE")),""))</f>
        <v/>
      </c>
    </row>
    <row r="102">
      <c r="A102">
        <f>IF(ISBLANK('ENGAGEMENTS 2026'!C102),"",IF('ENGAGEMENTS 2026'!C102="DTSI","DCT",'ENGAGEMENTS 2026'!C102))</f>
        <v/>
      </c>
      <c r="B102">
        <f>IF(ISBLANK('ENGAGEMENTS 2026'!C102),"",'ENGAGEMENTS 2026'!D102)</f>
        <v/>
      </c>
      <c r="C102">
        <f>IF(ISBLANK('ENGAGEMENTS 2026'!C102),"",'ENGAGEMENTS 2026'!E102)</f>
        <v/>
      </c>
      <c r="D102">
        <f>IF(ISBLANK('ENGAGEMENTS 2026'!C102),"",'ENGAGEMENTS 2026'!G102)</f>
        <v/>
      </c>
      <c r="E102">
        <f>IF(ISBLANK('ENGAGEMENTS 2026'!C102),"",'ENGAGEMENTS 2026'!I102)</f>
        <v/>
      </c>
      <c r="F102">
        <f>IF(ISBLANK('ENGAGEMENTS 2026'!C102),"",'ENGAGEMENTS 2026'!J102)</f>
        <v/>
      </c>
      <c r="G102">
        <f>IF(ISBLANK('ENGAGEMENTS 2026'!C102),"",'ENGAGEMENTS 2026'!M102)</f>
        <v/>
      </c>
      <c r="H102">
        <f>IF(ISBLANK('ENGAGEMENTS 2026'!C102),"",'ENGAGEMENTS 2026'!AF102)</f>
        <v/>
      </c>
      <c r="I102">
        <f>IF(ISBLANK('ENGAGEMENTS 2026'!C102),"",'ENGAGEMENTS 2026'!H102)</f>
        <v/>
      </c>
      <c r="J102" s="275">
        <f>IF(ISBLANK('ENGAGEMENTS 2026'!C102),"",IF(AND(OR($E102="INFRUCTUEUX",$E102="ANNULE"),$C102="AOO-M"),'ENGAGEMENTS 2026'!P102,IF($H102="EN COURS DE PREENGAGEMENT",'ENGAGEMENTS 2026'!O102,IF($H102="PREENGAGE",IF($E102="ATTRIBUE",'ENGAGEMENTS 2026'!AE102,'ENGAGEMENTS 2026'!O102),'ENGAGEMENTS 2026'!AE102))))</f>
        <v/>
      </c>
      <c r="K102" s="604">
        <f>IF(ISBLANK('ENGAGEMENTS 2026'!W102),"",'ENGAGEMENTS 2026'!W102)</f>
        <v/>
      </c>
      <c r="L102" s="276">
        <f>IF($K102="","",TODAY()-$K102)</f>
        <v/>
      </c>
      <c r="M102">
        <f>IF($A102="","",IF($H102="ENGAGE","Engagé",IF(AND($H102="NON ENGAGE",OR($I102="INFRUCTUEUX",$I102="ANNULE")),"Clôturé sans suite","En cours")))</f>
        <v/>
      </c>
      <c r="N102">
        <f>IF(ISBLANK('ENGAGEMENTS 2026'!C102),"",'ENGAGEMENTS 2026'!L102)</f>
        <v/>
      </c>
      <c r="O102">
        <f>IF(ISBLANK('ENGAGEMENTS 2026'!C102),"",'ENGAGEMENTS 2026'!M102)</f>
        <v/>
      </c>
      <c r="P102">
        <f>IF(ISBLANK('ENGAGEMENTS 2026'!C102),"",'ENGAGEMENTS 2026'!K102)</f>
        <v/>
      </c>
      <c r="Q102">
        <f>IF($A102="","",IF(OR($E102="INFRUCTUEUX",$E102="ANNULE"),$A102&amp;"|"&amp;(COUNTIFS($A$2:$A102,$A102,$E$2:$E102,"INFRUCTUEUX")+COUNTIFS($A$2:$A102,$A102,$E$2:$E102,"ANNULE")),""))</f>
        <v/>
      </c>
    </row>
    <row r="103">
      <c r="A103">
        <f>IF(ISBLANK('ENGAGEMENTS 2026'!C103),"",IF('ENGAGEMENTS 2026'!C103="DTSI","DCT",'ENGAGEMENTS 2026'!C103))</f>
        <v/>
      </c>
      <c r="B103">
        <f>IF(ISBLANK('ENGAGEMENTS 2026'!C103),"",'ENGAGEMENTS 2026'!D103)</f>
        <v/>
      </c>
      <c r="C103">
        <f>IF(ISBLANK('ENGAGEMENTS 2026'!C103),"",'ENGAGEMENTS 2026'!E103)</f>
        <v/>
      </c>
      <c r="D103">
        <f>IF(ISBLANK('ENGAGEMENTS 2026'!C103),"",'ENGAGEMENTS 2026'!G103)</f>
        <v/>
      </c>
      <c r="E103">
        <f>IF(ISBLANK('ENGAGEMENTS 2026'!C103),"",'ENGAGEMENTS 2026'!I103)</f>
        <v/>
      </c>
      <c r="F103">
        <f>IF(ISBLANK('ENGAGEMENTS 2026'!C103),"",'ENGAGEMENTS 2026'!J103)</f>
        <v/>
      </c>
      <c r="G103">
        <f>IF(ISBLANK('ENGAGEMENTS 2026'!C103),"",'ENGAGEMENTS 2026'!M103)</f>
        <v/>
      </c>
      <c r="H103">
        <f>IF(ISBLANK('ENGAGEMENTS 2026'!C103),"",'ENGAGEMENTS 2026'!AF103)</f>
        <v/>
      </c>
      <c r="I103">
        <f>IF(ISBLANK('ENGAGEMENTS 2026'!C103),"",'ENGAGEMENTS 2026'!H103)</f>
        <v/>
      </c>
      <c r="J103" s="275">
        <f>IF(ISBLANK('ENGAGEMENTS 2026'!C103),"",IF(AND(OR($E103="INFRUCTUEUX",$E103="ANNULE"),$C103="AOO-M"),'ENGAGEMENTS 2026'!P103,IF($H103="EN COURS DE PREENGAGEMENT",'ENGAGEMENTS 2026'!O103,IF($H103="PREENGAGE",IF($E103="ATTRIBUE",'ENGAGEMENTS 2026'!AE103,'ENGAGEMENTS 2026'!O103),'ENGAGEMENTS 2026'!AE103))))</f>
        <v/>
      </c>
      <c r="K103" s="604">
        <f>IF(ISBLANK('ENGAGEMENTS 2026'!W103),"",'ENGAGEMENTS 2026'!W103)</f>
        <v/>
      </c>
      <c r="L103" s="276">
        <f>IF($K103="","",TODAY()-$K103)</f>
        <v/>
      </c>
      <c r="M103">
        <f>IF($A103="","",IF($H103="ENGAGE","Engagé",IF(AND($H103="NON ENGAGE",OR($I103="INFRUCTUEUX",$I103="ANNULE")),"Clôturé sans suite","En cours")))</f>
        <v/>
      </c>
      <c r="N103">
        <f>IF(ISBLANK('ENGAGEMENTS 2026'!C103),"",'ENGAGEMENTS 2026'!L103)</f>
        <v/>
      </c>
      <c r="O103">
        <f>IF(ISBLANK('ENGAGEMENTS 2026'!C103),"",'ENGAGEMENTS 2026'!M103)</f>
        <v/>
      </c>
      <c r="P103">
        <f>IF(ISBLANK('ENGAGEMENTS 2026'!C103),"",'ENGAGEMENTS 2026'!K103)</f>
        <v/>
      </c>
      <c r="Q103">
        <f>IF($A103="","",IF(OR($E103="INFRUCTUEUX",$E103="ANNULE"),$A103&amp;"|"&amp;(COUNTIFS($A$2:$A103,$A103,$E$2:$E103,"INFRUCTUEUX")+COUNTIFS($A$2:$A103,$A103,$E$2:$E103,"ANNULE")),""))</f>
        <v/>
      </c>
    </row>
    <row r="104">
      <c r="A104">
        <f>IF(ISBLANK('ENGAGEMENTS 2026'!C104),"",IF('ENGAGEMENTS 2026'!C104="DTSI","DCT",'ENGAGEMENTS 2026'!C104))</f>
        <v/>
      </c>
      <c r="B104">
        <f>IF(ISBLANK('ENGAGEMENTS 2026'!C104),"",'ENGAGEMENTS 2026'!D104)</f>
        <v/>
      </c>
      <c r="C104">
        <f>IF(ISBLANK('ENGAGEMENTS 2026'!C104),"",'ENGAGEMENTS 2026'!E104)</f>
        <v/>
      </c>
      <c r="D104">
        <f>IF(ISBLANK('ENGAGEMENTS 2026'!C104),"",'ENGAGEMENTS 2026'!G104)</f>
        <v/>
      </c>
      <c r="E104">
        <f>IF(ISBLANK('ENGAGEMENTS 2026'!C104),"",'ENGAGEMENTS 2026'!I104)</f>
        <v/>
      </c>
      <c r="F104">
        <f>IF(ISBLANK('ENGAGEMENTS 2026'!C104),"",'ENGAGEMENTS 2026'!J104)</f>
        <v/>
      </c>
      <c r="G104">
        <f>IF(ISBLANK('ENGAGEMENTS 2026'!C104),"",'ENGAGEMENTS 2026'!M104)</f>
        <v/>
      </c>
      <c r="H104">
        <f>IF(ISBLANK('ENGAGEMENTS 2026'!C104),"",'ENGAGEMENTS 2026'!AF104)</f>
        <v/>
      </c>
      <c r="I104">
        <f>IF(ISBLANK('ENGAGEMENTS 2026'!C104),"",'ENGAGEMENTS 2026'!H104)</f>
        <v/>
      </c>
      <c r="J104" s="275">
        <f>IF(ISBLANK('ENGAGEMENTS 2026'!C104),"",IF(AND(OR($E104="INFRUCTUEUX",$E104="ANNULE"),$C104="AOO-M"),'ENGAGEMENTS 2026'!P104,IF($H104="EN COURS DE PREENGAGEMENT",'ENGAGEMENTS 2026'!O104,IF($H104="PREENGAGE",IF($E104="ATTRIBUE",'ENGAGEMENTS 2026'!AE104,'ENGAGEMENTS 2026'!O104),'ENGAGEMENTS 2026'!AE104))))</f>
        <v/>
      </c>
      <c r="K104" s="604">
        <f>IF(ISBLANK('ENGAGEMENTS 2026'!W104),"",'ENGAGEMENTS 2026'!W104)</f>
        <v/>
      </c>
      <c r="L104" s="276">
        <f>IF($K104="","",TODAY()-$K104)</f>
        <v/>
      </c>
      <c r="M104">
        <f>IF($A104="","",IF($H104="ENGAGE","Engagé",IF(AND($H104="NON ENGAGE",OR($I104="INFRUCTUEUX",$I104="ANNULE")),"Clôturé sans suite","En cours")))</f>
        <v/>
      </c>
      <c r="N104">
        <f>IF(ISBLANK('ENGAGEMENTS 2026'!C104),"",'ENGAGEMENTS 2026'!L104)</f>
        <v/>
      </c>
      <c r="O104">
        <f>IF(ISBLANK('ENGAGEMENTS 2026'!C104),"",'ENGAGEMENTS 2026'!M104)</f>
        <v/>
      </c>
      <c r="P104">
        <f>IF(ISBLANK('ENGAGEMENTS 2026'!C104),"",'ENGAGEMENTS 2026'!K104)</f>
        <v/>
      </c>
      <c r="Q104">
        <f>IF($A104="","",IF(OR($E104="INFRUCTUEUX",$E104="ANNULE"),$A104&amp;"|"&amp;(COUNTIFS($A$2:$A104,$A104,$E$2:$E104,"INFRUCTUEUX")+COUNTIFS($A$2:$A104,$A104,$E$2:$E104,"ANNULE")),""))</f>
        <v/>
      </c>
    </row>
    <row r="105">
      <c r="A105">
        <f>IF(ISBLANK('ENGAGEMENTS 2026'!C105),"",IF('ENGAGEMENTS 2026'!C105="DTSI","DCT",'ENGAGEMENTS 2026'!C105))</f>
        <v/>
      </c>
      <c r="B105">
        <f>IF(ISBLANK('ENGAGEMENTS 2026'!C105),"",'ENGAGEMENTS 2026'!D105)</f>
        <v/>
      </c>
      <c r="C105">
        <f>IF(ISBLANK('ENGAGEMENTS 2026'!C105),"",'ENGAGEMENTS 2026'!E105)</f>
        <v/>
      </c>
      <c r="D105">
        <f>IF(ISBLANK('ENGAGEMENTS 2026'!C105),"",'ENGAGEMENTS 2026'!G105)</f>
        <v/>
      </c>
      <c r="E105">
        <f>IF(ISBLANK('ENGAGEMENTS 2026'!C105),"",'ENGAGEMENTS 2026'!I105)</f>
        <v/>
      </c>
      <c r="F105">
        <f>IF(ISBLANK('ENGAGEMENTS 2026'!C105),"",'ENGAGEMENTS 2026'!J105)</f>
        <v/>
      </c>
      <c r="G105">
        <f>IF(ISBLANK('ENGAGEMENTS 2026'!C105),"",'ENGAGEMENTS 2026'!M105)</f>
        <v/>
      </c>
      <c r="H105">
        <f>IF(ISBLANK('ENGAGEMENTS 2026'!C105),"",'ENGAGEMENTS 2026'!AF105)</f>
        <v/>
      </c>
      <c r="I105">
        <f>IF(ISBLANK('ENGAGEMENTS 2026'!C105),"",'ENGAGEMENTS 2026'!H105)</f>
        <v/>
      </c>
      <c r="J105" s="275">
        <f>IF(ISBLANK('ENGAGEMENTS 2026'!C105),"",IF(AND(OR($E105="INFRUCTUEUX",$E105="ANNULE"),$C105="AOO-M"),'ENGAGEMENTS 2026'!P105,IF($H105="EN COURS DE PREENGAGEMENT",'ENGAGEMENTS 2026'!O105,IF($H105="PREENGAGE",IF($E105="ATTRIBUE",'ENGAGEMENTS 2026'!AE105,'ENGAGEMENTS 2026'!O105),'ENGAGEMENTS 2026'!AE105))))</f>
        <v/>
      </c>
      <c r="K105" s="604">
        <f>IF(ISBLANK('ENGAGEMENTS 2026'!W105),"",'ENGAGEMENTS 2026'!W105)</f>
        <v/>
      </c>
      <c r="L105" s="276">
        <f>IF($K105="","",TODAY()-$K105)</f>
        <v/>
      </c>
      <c r="M105">
        <f>IF($A105="","",IF($H105="ENGAGE","Engagé",IF(AND($H105="NON ENGAGE",OR($I105="INFRUCTUEUX",$I105="ANNULE")),"Clôturé sans suite","En cours")))</f>
        <v/>
      </c>
      <c r="N105">
        <f>IF(ISBLANK('ENGAGEMENTS 2026'!C105),"",'ENGAGEMENTS 2026'!L105)</f>
        <v/>
      </c>
      <c r="O105">
        <f>IF(ISBLANK('ENGAGEMENTS 2026'!C105),"",'ENGAGEMENTS 2026'!M105)</f>
        <v/>
      </c>
      <c r="P105">
        <f>IF(ISBLANK('ENGAGEMENTS 2026'!C105),"",'ENGAGEMENTS 2026'!K105)</f>
        <v/>
      </c>
      <c r="Q105">
        <f>IF($A105="","",IF(OR($E105="INFRUCTUEUX",$E105="ANNULE"),$A105&amp;"|"&amp;(COUNTIFS($A$2:$A105,$A105,$E$2:$E105,"INFRUCTUEUX")+COUNTIFS($A$2:$A105,$A105,$E$2:$E105,"ANNULE")),""))</f>
        <v/>
      </c>
    </row>
    <row r="106">
      <c r="A106">
        <f>IF(ISBLANK('ENGAGEMENTS 2026'!C106),"",IF('ENGAGEMENTS 2026'!C106="DTSI","DCT",'ENGAGEMENTS 2026'!C106))</f>
        <v/>
      </c>
      <c r="B106">
        <f>IF(ISBLANK('ENGAGEMENTS 2026'!C106),"",'ENGAGEMENTS 2026'!D106)</f>
        <v/>
      </c>
      <c r="C106">
        <f>IF(ISBLANK('ENGAGEMENTS 2026'!C106),"",'ENGAGEMENTS 2026'!E106)</f>
        <v/>
      </c>
      <c r="D106">
        <f>IF(ISBLANK('ENGAGEMENTS 2026'!C106),"",'ENGAGEMENTS 2026'!G106)</f>
        <v/>
      </c>
      <c r="E106">
        <f>IF(ISBLANK('ENGAGEMENTS 2026'!C106),"",'ENGAGEMENTS 2026'!I106)</f>
        <v/>
      </c>
      <c r="F106">
        <f>IF(ISBLANK('ENGAGEMENTS 2026'!C106),"",'ENGAGEMENTS 2026'!J106)</f>
        <v/>
      </c>
      <c r="G106">
        <f>IF(ISBLANK('ENGAGEMENTS 2026'!C106),"",'ENGAGEMENTS 2026'!M106)</f>
        <v/>
      </c>
      <c r="H106">
        <f>IF(ISBLANK('ENGAGEMENTS 2026'!C106),"",'ENGAGEMENTS 2026'!AF106)</f>
        <v/>
      </c>
      <c r="I106">
        <f>IF(ISBLANK('ENGAGEMENTS 2026'!C106),"",'ENGAGEMENTS 2026'!H106)</f>
        <v/>
      </c>
      <c r="J106" s="275">
        <f>IF(ISBLANK('ENGAGEMENTS 2026'!C106),"",IF(AND(OR($E106="INFRUCTUEUX",$E106="ANNULE"),$C106="AOO-M"),'ENGAGEMENTS 2026'!P106,IF($H106="EN COURS DE PREENGAGEMENT",'ENGAGEMENTS 2026'!O106,IF($H106="PREENGAGE",IF($E106="ATTRIBUE",'ENGAGEMENTS 2026'!AE106,'ENGAGEMENTS 2026'!O106),'ENGAGEMENTS 2026'!AE106))))</f>
        <v/>
      </c>
      <c r="K106" s="604">
        <f>IF(ISBLANK('ENGAGEMENTS 2026'!W106),"",'ENGAGEMENTS 2026'!W106)</f>
        <v/>
      </c>
      <c r="L106" s="276">
        <f>IF($K106="","",TODAY()-$K106)</f>
        <v/>
      </c>
      <c r="M106">
        <f>IF($A106="","",IF($H106="ENGAGE","Engagé",IF(AND($H106="NON ENGAGE",OR($I106="INFRUCTUEUX",$I106="ANNULE")),"Clôturé sans suite","En cours")))</f>
        <v/>
      </c>
      <c r="N106">
        <f>IF(ISBLANK('ENGAGEMENTS 2026'!C106),"",'ENGAGEMENTS 2026'!L106)</f>
        <v/>
      </c>
      <c r="O106">
        <f>IF(ISBLANK('ENGAGEMENTS 2026'!C106),"",'ENGAGEMENTS 2026'!M106)</f>
        <v/>
      </c>
      <c r="P106">
        <f>IF(ISBLANK('ENGAGEMENTS 2026'!C106),"",'ENGAGEMENTS 2026'!K106)</f>
        <v/>
      </c>
      <c r="Q106">
        <f>IF($A106="","",IF(OR($E106="INFRUCTUEUX",$E106="ANNULE"),$A106&amp;"|"&amp;(COUNTIFS($A$2:$A106,$A106,$E$2:$E106,"INFRUCTUEUX")+COUNTIFS($A$2:$A106,$A106,$E$2:$E106,"ANNULE")),""))</f>
        <v/>
      </c>
    </row>
    <row r="107">
      <c r="A107">
        <f>IF(ISBLANK('ENGAGEMENTS 2026'!C107),"",IF('ENGAGEMENTS 2026'!C107="DTSI","DCT",'ENGAGEMENTS 2026'!C107))</f>
        <v/>
      </c>
      <c r="B107">
        <f>IF(ISBLANK('ENGAGEMENTS 2026'!C107),"",'ENGAGEMENTS 2026'!D107)</f>
        <v/>
      </c>
      <c r="C107">
        <f>IF(ISBLANK('ENGAGEMENTS 2026'!C107),"",'ENGAGEMENTS 2026'!E107)</f>
        <v/>
      </c>
      <c r="D107">
        <f>IF(ISBLANK('ENGAGEMENTS 2026'!C107),"",'ENGAGEMENTS 2026'!G107)</f>
        <v/>
      </c>
      <c r="E107">
        <f>IF(ISBLANK('ENGAGEMENTS 2026'!C107),"",'ENGAGEMENTS 2026'!I107)</f>
        <v/>
      </c>
      <c r="F107">
        <f>IF(ISBLANK('ENGAGEMENTS 2026'!C107),"",'ENGAGEMENTS 2026'!J107)</f>
        <v/>
      </c>
      <c r="G107">
        <f>IF(ISBLANK('ENGAGEMENTS 2026'!C107),"",'ENGAGEMENTS 2026'!M107)</f>
        <v/>
      </c>
      <c r="H107">
        <f>IF(ISBLANK('ENGAGEMENTS 2026'!C107),"",'ENGAGEMENTS 2026'!AF107)</f>
        <v/>
      </c>
      <c r="I107">
        <f>IF(ISBLANK('ENGAGEMENTS 2026'!C107),"",'ENGAGEMENTS 2026'!H107)</f>
        <v/>
      </c>
      <c r="J107" s="275">
        <f>IF(ISBLANK('ENGAGEMENTS 2026'!C107),"",IF(AND(OR($E107="INFRUCTUEUX",$E107="ANNULE"),$C107="AOO-M"),'ENGAGEMENTS 2026'!P107,IF($H107="EN COURS DE PREENGAGEMENT",'ENGAGEMENTS 2026'!O107,IF($H107="PREENGAGE",IF($E107="ATTRIBUE",'ENGAGEMENTS 2026'!AE107,'ENGAGEMENTS 2026'!O107),'ENGAGEMENTS 2026'!AE107))))</f>
        <v/>
      </c>
      <c r="K107" s="604">
        <f>IF(ISBLANK('ENGAGEMENTS 2026'!W107),"",'ENGAGEMENTS 2026'!W107)</f>
        <v/>
      </c>
      <c r="L107" s="276">
        <f>IF($K107="","",TODAY()-$K107)</f>
        <v/>
      </c>
      <c r="M107">
        <f>IF($A107="","",IF($H107="ENGAGE","Engagé",IF(AND($H107="NON ENGAGE",OR($I107="INFRUCTUEUX",$I107="ANNULE")),"Clôturé sans suite","En cours")))</f>
        <v/>
      </c>
      <c r="N107">
        <f>IF(ISBLANK('ENGAGEMENTS 2026'!C107),"",'ENGAGEMENTS 2026'!L107)</f>
        <v/>
      </c>
      <c r="O107">
        <f>IF(ISBLANK('ENGAGEMENTS 2026'!C107),"",'ENGAGEMENTS 2026'!M107)</f>
        <v/>
      </c>
      <c r="P107">
        <f>IF(ISBLANK('ENGAGEMENTS 2026'!C107),"",'ENGAGEMENTS 2026'!K107)</f>
        <v/>
      </c>
      <c r="Q107">
        <f>IF($A107="","",IF(OR($E107="INFRUCTUEUX",$E107="ANNULE"),$A107&amp;"|"&amp;(COUNTIFS($A$2:$A107,$A107,$E$2:$E107,"INFRUCTUEUX")+COUNTIFS($A$2:$A107,$A107,$E$2:$E107,"ANNULE")),""))</f>
        <v/>
      </c>
    </row>
    <row r="108">
      <c r="A108">
        <f>IF(ISBLANK('ENGAGEMENTS 2026'!C108),"",IF('ENGAGEMENTS 2026'!C108="DTSI","DCT",'ENGAGEMENTS 2026'!C108))</f>
        <v/>
      </c>
      <c r="B108">
        <f>IF(ISBLANK('ENGAGEMENTS 2026'!C108),"",'ENGAGEMENTS 2026'!D108)</f>
        <v/>
      </c>
      <c r="C108">
        <f>IF(ISBLANK('ENGAGEMENTS 2026'!C108),"",'ENGAGEMENTS 2026'!E108)</f>
        <v/>
      </c>
      <c r="D108">
        <f>IF(ISBLANK('ENGAGEMENTS 2026'!C108),"",'ENGAGEMENTS 2026'!G108)</f>
        <v/>
      </c>
      <c r="E108">
        <f>IF(ISBLANK('ENGAGEMENTS 2026'!C108),"",'ENGAGEMENTS 2026'!I108)</f>
        <v/>
      </c>
      <c r="F108">
        <f>IF(ISBLANK('ENGAGEMENTS 2026'!C108),"",'ENGAGEMENTS 2026'!J108)</f>
        <v/>
      </c>
      <c r="G108">
        <f>IF(ISBLANK('ENGAGEMENTS 2026'!C108),"",'ENGAGEMENTS 2026'!M108)</f>
        <v/>
      </c>
      <c r="H108">
        <f>IF(ISBLANK('ENGAGEMENTS 2026'!C108),"",'ENGAGEMENTS 2026'!AF108)</f>
        <v/>
      </c>
      <c r="I108">
        <f>IF(ISBLANK('ENGAGEMENTS 2026'!C108),"",'ENGAGEMENTS 2026'!H108)</f>
        <v/>
      </c>
      <c r="J108" s="275">
        <f>IF(ISBLANK('ENGAGEMENTS 2026'!C108),"",IF(AND(OR($E108="INFRUCTUEUX",$E108="ANNULE"),$C108="AOO-M"),'ENGAGEMENTS 2026'!P108,IF($H108="EN COURS DE PREENGAGEMENT",'ENGAGEMENTS 2026'!O108,IF($H108="PREENGAGE",IF($E108="ATTRIBUE",'ENGAGEMENTS 2026'!AE108,'ENGAGEMENTS 2026'!O108),'ENGAGEMENTS 2026'!AE108))))</f>
        <v/>
      </c>
      <c r="K108" s="604">
        <f>IF(ISBLANK('ENGAGEMENTS 2026'!W108),"",'ENGAGEMENTS 2026'!W108)</f>
        <v/>
      </c>
      <c r="L108" s="276">
        <f>IF($K108="","",TODAY()-$K108)</f>
        <v/>
      </c>
      <c r="M108">
        <f>IF($A108="","",IF($H108="ENGAGE","Engagé",IF(AND($H108="NON ENGAGE",OR($I108="INFRUCTUEUX",$I108="ANNULE")),"Clôturé sans suite","En cours")))</f>
        <v/>
      </c>
      <c r="N108">
        <f>IF(ISBLANK('ENGAGEMENTS 2026'!C108),"",'ENGAGEMENTS 2026'!L108)</f>
        <v/>
      </c>
      <c r="O108">
        <f>IF(ISBLANK('ENGAGEMENTS 2026'!C108),"",'ENGAGEMENTS 2026'!M108)</f>
        <v/>
      </c>
      <c r="P108">
        <f>IF(ISBLANK('ENGAGEMENTS 2026'!C108),"",'ENGAGEMENTS 2026'!K108)</f>
        <v/>
      </c>
      <c r="Q108">
        <f>IF($A108="","",IF(OR($E108="INFRUCTUEUX",$E108="ANNULE"),$A108&amp;"|"&amp;(COUNTIFS($A$2:$A108,$A108,$E$2:$E108,"INFRUCTUEUX")+COUNTIFS($A$2:$A108,$A108,$E$2:$E108,"ANNULE")),""))</f>
        <v/>
      </c>
    </row>
    <row r="109">
      <c r="A109">
        <f>IF(ISBLANK('ENGAGEMENTS 2026'!C109),"",IF('ENGAGEMENTS 2026'!C109="DTSI","DCT",'ENGAGEMENTS 2026'!C109))</f>
        <v/>
      </c>
      <c r="B109">
        <f>IF(ISBLANK('ENGAGEMENTS 2026'!C109),"",'ENGAGEMENTS 2026'!D109)</f>
        <v/>
      </c>
      <c r="C109">
        <f>IF(ISBLANK('ENGAGEMENTS 2026'!C109),"",'ENGAGEMENTS 2026'!E109)</f>
        <v/>
      </c>
      <c r="D109">
        <f>IF(ISBLANK('ENGAGEMENTS 2026'!C109),"",'ENGAGEMENTS 2026'!G109)</f>
        <v/>
      </c>
      <c r="E109">
        <f>IF(ISBLANK('ENGAGEMENTS 2026'!C109),"",'ENGAGEMENTS 2026'!I109)</f>
        <v/>
      </c>
      <c r="F109">
        <f>IF(ISBLANK('ENGAGEMENTS 2026'!C109),"",'ENGAGEMENTS 2026'!J109)</f>
        <v/>
      </c>
      <c r="G109">
        <f>IF(ISBLANK('ENGAGEMENTS 2026'!C109),"",'ENGAGEMENTS 2026'!M109)</f>
        <v/>
      </c>
      <c r="H109">
        <f>IF(ISBLANK('ENGAGEMENTS 2026'!C109),"",'ENGAGEMENTS 2026'!AF109)</f>
        <v/>
      </c>
      <c r="I109">
        <f>IF(ISBLANK('ENGAGEMENTS 2026'!C109),"",'ENGAGEMENTS 2026'!H109)</f>
        <v/>
      </c>
      <c r="J109" s="275">
        <f>IF(ISBLANK('ENGAGEMENTS 2026'!C109),"",IF(AND(OR($E109="INFRUCTUEUX",$E109="ANNULE"),$C109="AOO-M"),'ENGAGEMENTS 2026'!P109,IF($H109="EN COURS DE PREENGAGEMENT",'ENGAGEMENTS 2026'!O109,IF($H109="PREENGAGE",IF($E109="ATTRIBUE",'ENGAGEMENTS 2026'!AE109,'ENGAGEMENTS 2026'!O109),'ENGAGEMENTS 2026'!AE109))))</f>
        <v/>
      </c>
      <c r="K109" s="604">
        <f>IF(ISBLANK('ENGAGEMENTS 2026'!W109),"",'ENGAGEMENTS 2026'!W109)</f>
        <v/>
      </c>
      <c r="L109" s="276">
        <f>IF($K109="","",TODAY()-$K109)</f>
        <v/>
      </c>
      <c r="M109">
        <f>IF($A109="","",IF($H109="ENGAGE","Engagé",IF(AND($H109="NON ENGAGE",OR($I109="INFRUCTUEUX",$I109="ANNULE")),"Clôturé sans suite","En cours")))</f>
        <v/>
      </c>
      <c r="N109">
        <f>IF(ISBLANK('ENGAGEMENTS 2026'!C109),"",'ENGAGEMENTS 2026'!L109)</f>
        <v/>
      </c>
      <c r="O109">
        <f>IF(ISBLANK('ENGAGEMENTS 2026'!C109),"",'ENGAGEMENTS 2026'!M109)</f>
        <v/>
      </c>
      <c r="P109">
        <f>IF(ISBLANK('ENGAGEMENTS 2026'!C109),"",'ENGAGEMENTS 2026'!K109)</f>
        <v/>
      </c>
      <c r="Q109">
        <f>IF($A109="","",IF(OR($E109="INFRUCTUEUX",$E109="ANNULE"),$A109&amp;"|"&amp;(COUNTIFS($A$2:$A109,$A109,$E$2:$E109,"INFRUCTUEUX")+COUNTIFS($A$2:$A109,$A109,$E$2:$E109,"ANNULE")),""))</f>
        <v/>
      </c>
    </row>
    <row r="110">
      <c r="A110">
        <f>IF(ISBLANK('ENGAGEMENTS 2026'!C110),"",IF('ENGAGEMENTS 2026'!C110="DTSI","DCT",'ENGAGEMENTS 2026'!C110))</f>
        <v/>
      </c>
      <c r="B110">
        <f>IF(ISBLANK('ENGAGEMENTS 2026'!C110),"",'ENGAGEMENTS 2026'!D110)</f>
        <v/>
      </c>
      <c r="C110">
        <f>IF(ISBLANK('ENGAGEMENTS 2026'!C110),"",'ENGAGEMENTS 2026'!E110)</f>
        <v/>
      </c>
      <c r="D110">
        <f>IF(ISBLANK('ENGAGEMENTS 2026'!C110),"",'ENGAGEMENTS 2026'!G110)</f>
        <v/>
      </c>
      <c r="E110">
        <f>IF(ISBLANK('ENGAGEMENTS 2026'!C110),"",'ENGAGEMENTS 2026'!I110)</f>
        <v/>
      </c>
      <c r="F110">
        <f>IF(ISBLANK('ENGAGEMENTS 2026'!C110),"",'ENGAGEMENTS 2026'!J110)</f>
        <v/>
      </c>
      <c r="G110">
        <f>IF(ISBLANK('ENGAGEMENTS 2026'!C110),"",'ENGAGEMENTS 2026'!M110)</f>
        <v/>
      </c>
      <c r="H110">
        <f>IF(ISBLANK('ENGAGEMENTS 2026'!C110),"",'ENGAGEMENTS 2026'!AF110)</f>
        <v/>
      </c>
      <c r="I110">
        <f>IF(ISBLANK('ENGAGEMENTS 2026'!C110),"",'ENGAGEMENTS 2026'!H110)</f>
        <v/>
      </c>
      <c r="J110" s="275">
        <f>IF(ISBLANK('ENGAGEMENTS 2026'!C110),"",IF(AND(OR($E110="INFRUCTUEUX",$E110="ANNULE"),$C110="AOO-M"),'ENGAGEMENTS 2026'!P110,IF($H110="EN COURS DE PREENGAGEMENT",'ENGAGEMENTS 2026'!O110,IF($H110="PREENGAGE",IF($E110="ATTRIBUE",'ENGAGEMENTS 2026'!AE110,'ENGAGEMENTS 2026'!O110),'ENGAGEMENTS 2026'!AE110))))</f>
        <v/>
      </c>
      <c r="K110" s="604">
        <f>IF(ISBLANK('ENGAGEMENTS 2026'!W110),"",'ENGAGEMENTS 2026'!W110)</f>
        <v/>
      </c>
      <c r="L110" s="276">
        <f>IF($K110="","",TODAY()-$K110)</f>
        <v/>
      </c>
      <c r="M110">
        <f>IF($A110="","",IF($H110="ENGAGE","Engagé",IF(AND($H110="NON ENGAGE",OR($I110="INFRUCTUEUX",$I110="ANNULE")),"Clôturé sans suite","En cours")))</f>
        <v/>
      </c>
      <c r="N110">
        <f>IF(ISBLANK('ENGAGEMENTS 2026'!C110),"",'ENGAGEMENTS 2026'!L110)</f>
        <v/>
      </c>
      <c r="O110">
        <f>IF(ISBLANK('ENGAGEMENTS 2026'!C110),"",'ENGAGEMENTS 2026'!M110)</f>
        <v/>
      </c>
      <c r="P110">
        <f>IF(ISBLANK('ENGAGEMENTS 2026'!C110),"",'ENGAGEMENTS 2026'!K110)</f>
        <v/>
      </c>
      <c r="Q110">
        <f>IF($A110="","",IF(OR($E110="INFRUCTUEUX",$E110="ANNULE"),$A110&amp;"|"&amp;(COUNTIFS($A$2:$A110,$A110,$E$2:$E110,"INFRUCTUEUX")+COUNTIFS($A$2:$A110,$A110,$E$2:$E110,"ANNULE")),""))</f>
        <v/>
      </c>
    </row>
    <row r="111">
      <c r="A111">
        <f>IF(ISBLANK('ENGAGEMENTS 2026'!C111),"",IF('ENGAGEMENTS 2026'!C111="DTSI","DCT",'ENGAGEMENTS 2026'!C111))</f>
        <v/>
      </c>
      <c r="B111">
        <f>IF(ISBLANK('ENGAGEMENTS 2026'!C111),"",'ENGAGEMENTS 2026'!D111)</f>
        <v/>
      </c>
      <c r="C111">
        <f>IF(ISBLANK('ENGAGEMENTS 2026'!C111),"",'ENGAGEMENTS 2026'!E111)</f>
        <v/>
      </c>
      <c r="D111">
        <f>IF(ISBLANK('ENGAGEMENTS 2026'!C111),"",'ENGAGEMENTS 2026'!G111)</f>
        <v/>
      </c>
      <c r="E111">
        <f>IF(ISBLANK('ENGAGEMENTS 2026'!C111),"",'ENGAGEMENTS 2026'!I111)</f>
        <v/>
      </c>
      <c r="F111">
        <f>IF(ISBLANK('ENGAGEMENTS 2026'!C111),"",'ENGAGEMENTS 2026'!J111)</f>
        <v/>
      </c>
      <c r="G111">
        <f>IF(ISBLANK('ENGAGEMENTS 2026'!C111),"",'ENGAGEMENTS 2026'!M111)</f>
        <v/>
      </c>
      <c r="H111">
        <f>IF(ISBLANK('ENGAGEMENTS 2026'!C111),"",'ENGAGEMENTS 2026'!AF111)</f>
        <v/>
      </c>
      <c r="I111">
        <f>IF(ISBLANK('ENGAGEMENTS 2026'!C111),"",'ENGAGEMENTS 2026'!H111)</f>
        <v/>
      </c>
      <c r="J111" s="275">
        <f>IF(ISBLANK('ENGAGEMENTS 2026'!C111),"",IF(AND(OR($E111="INFRUCTUEUX",$E111="ANNULE"),$C111="AOO-M"),'ENGAGEMENTS 2026'!P111,IF($H111="EN COURS DE PREENGAGEMENT",'ENGAGEMENTS 2026'!O111,IF($H111="PREENGAGE",IF($E111="ATTRIBUE",'ENGAGEMENTS 2026'!AE111,'ENGAGEMENTS 2026'!O111),'ENGAGEMENTS 2026'!AE111))))</f>
        <v/>
      </c>
      <c r="K111" s="604">
        <f>IF(ISBLANK('ENGAGEMENTS 2026'!W111),"",'ENGAGEMENTS 2026'!W111)</f>
        <v/>
      </c>
      <c r="L111" s="276">
        <f>IF($K111="","",TODAY()-$K111)</f>
        <v/>
      </c>
      <c r="M111">
        <f>IF($A111="","",IF($H111="ENGAGE","Engagé",IF(AND($H111="NON ENGAGE",OR($I111="INFRUCTUEUX",$I111="ANNULE")),"Clôturé sans suite","En cours")))</f>
        <v/>
      </c>
      <c r="N111">
        <f>IF(ISBLANK('ENGAGEMENTS 2026'!C111),"",'ENGAGEMENTS 2026'!L111)</f>
        <v/>
      </c>
      <c r="O111">
        <f>IF(ISBLANK('ENGAGEMENTS 2026'!C111),"",'ENGAGEMENTS 2026'!M111)</f>
        <v/>
      </c>
      <c r="P111">
        <f>IF(ISBLANK('ENGAGEMENTS 2026'!C111),"",'ENGAGEMENTS 2026'!K111)</f>
        <v/>
      </c>
      <c r="Q111">
        <f>IF($A111="","",IF(OR($E111="INFRUCTUEUX",$E111="ANNULE"),$A111&amp;"|"&amp;(COUNTIFS($A$2:$A111,$A111,$E$2:$E111,"INFRUCTUEUX")+COUNTIFS($A$2:$A111,$A111,$E$2:$E111,"ANNULE")),""))</f>
        <v/>
      </c>
    </row>
    <row r="112">
      <c r="A112">
        <f>IF(ISBLANK('ENGAGEMENTS 2026'!C112),"",IF('ENGAGEMENTS 2026'!C112="DTSI","DCT",'ENGAGEMENTS 2026'!C112))</f>
        <v/>
      </c>
      <c r="B112">
        <f>IF(ISBLANK('ENGAGEMENTS 2026'!C112),"",'ENGAGEMENTS 2026'!D112)</f>
        <v/>
      </c>
      <c r="C112">
        <f>IF(ISBLANK('ENGAGEMENTS 2026'!C112),"",'ENGAGEMENTS 2026'!E112)</f>
        <v/>
      </c>
      <c r="D112">
        <f>IF(ISBLANK('ENGAGEMENTS 2026'!C112),"",'ENGAGEMENTS 2026'!G112)</f>
        <v/>
      </c>
      <c r="E112">
        <f>IF(ISBLANK('ENGAGEMENTS 2026'!C112),"",'ENGAGEMENTS 2026'!I112)</f>
        <v/>
      </c>
      <c r="F112">
        <f>IF(ISBLANK('ENGAGEMENTS 2026'!C112),"",'ENGAGEMENTS 2026'!J112)</f>
        <v/>
      </c>
      <c r="G112">
        <f>IF(ISBLANK('ENGAGEMENTS 2026'!C112),"",'ENGAGEMENTS 2026'!M112)</f>
        <v/>
      </c>
      <c r="H112">
        <f>IF(ISBLANK('ENGAGEMENTS 2026'!C112),"",'ENGAGEMENTS 2026'!AF112)</f>
        <v/>
      </c>
      <c r="I112">
        <f>IF(ISBLANK('ENGAGEMENTS 2026'!C112),"",'ENGAGEMENTS 2026'!H112)</f>
        <v/>
      </c>
      <c r="J112" s="275">
        <f>IF(ISBLANK('ENGAGEMENTS 2026'!C112),"",IF(AND(OR($E112="INFRUCTUEUX",$E112="ANNULE"),$C112="AOO-M"),'ENGAGEMENTS 2026'!P112,IF($H112="EN COURS DE PREENGAGEMENT",'ENGAGEMENTS 2026'!O112,IF($H112="PREENGAGE",IF($E112="ATTRIBUE",'ENGAGEMENTS 2026'!AE112,'ENGAGEMENTS 2026'!O112),'ENGAGEMENTS 2026'!AE112))))</f>
        <v/>
      </c>
      <c r="K112" s="604">
        <f>IF(ISBLANK('ENGAGEMENTS 2026'!W112),"",'ENGAGEMENTS 2026'!W112)</f>
        <v/>
      </c>
      <c r="L112" s="276">
        <f>IF($K112="","",TODAY()-$K112)</f>
        <v/>
      </c>
      <c r="M112">
        <f>IF($A112="","",IF($H112="ENGAGE","Engagé",IF(AND($H112="NON ENGAGE",OR($I112="INFRUCTUEUX",$I112="ANNULE")),"Clôturé sans suite","En cours")))</f>
        <v/>
      </c>
      <c r="N112">
        <f>IF(ISBLANK('ENGAGEMENTS 2026'!C112),"",'ENGAGEMENTS 2026'!L112)</f>
        <v/>
      </c>
      <c r="O112">
        <f>IF(ISBLANK('ENGAGEMENTS 2026'!C112),"",'ENGAGEMENTS 2026'!M112)</f>
        <v/>
      </c>
      <c r="P112">
        <f>IF(ISBLANK('ENGAGEMENTS 2026'!C112),"",'ENGAGEMENTS 2026'!K112)</f>
        <v/>
      </c>
      <c r="Q112">
        <f>IF($A112="","",IF(OR($E112="INFRUCTUEUX",$E112="ANNULE"),$A112&amp;"|"&amp;(COUNTIFS($A$2:$A112,$A112,$E$2:$E112,"INFRUCTUEUX")+COUNTIFS($A$2:$A112,$A112,$E$2:$E112,"ANNULE")),""))</f>
        <v/>
      </c>
    </row>
    <row r="113">
      <c r="A113">
        <f>IF(ISBLANK('ENGAGEMENTS 2026'!C113),"",IF('ENGAGEMENTS 2026'!C113="DTSI","DCT",'ENGAGEMENTS 2026'!C113))</f>
        <v/>
      </c>
      <c r="B113">
        <f>IF(ISBLANK('ENGAGEMENTS 2026'!C113),"",'ENGAGEMENTS 2026'!D113)</f>
        <v/>
      </c>
      <c r="C113">
        <f>IF(ISBLANK('ENGAGEMENTS 2026'!C113),"",'ENGAGEMENTS 2026'!E113)</f>
        <v/>
      </c>
      <c r="D113">
        <f>IF(ISBLANK('ENGAGEMENTS 2026'!C113),"",'ENGAGEMENTS 2026'!G113)</f>
        <v/>
      </c>
      <c r="E113">
        <f>IF(ISBLANK('ENGAGEMENTS 2026'!C113),"",'ENGAGEMENTS 2026'!I113)</f>
        <v/>
      </c>
      <c r="F113">
        <f>IF(ISBLANK('ENGAGEMENTS 2026'!C113),"",'ENGAGEMENTS 2026'!J113)</f>
        <v/>
      </c>
      <c r="G113">
        <f>IF(ISBLANK('ENGAGEMENTS 2026'!C113),"",'ENGAGEMENTS 2026'!M113)</f>
        <v/>
      </c>
      <c r="H113">
        <f>IF(ISBLANK('ENGAGEMENTS 2026'!C113),"",'ENGAGEMENTS 2026'!AF113)</f>
        <v/>
      </c>
      <c r="I113">
        <f>IF(ISBLANK('ENGAGEMENTS 2026'!C113),"",'ENGAGEMENTS 2026'!H113)</f>
        <v/>
      </c>
      <c r="J113" s="275">
        <f>IF(ISBLANK('ENGAGEMENTS 2026'!C113),"",IF(AND(OR($E113="INFRUCTUEUX",$E113="ANNULE"),$C113="AOO-M"),'ENGAGEMENTS 2026'!P113,IF($H113="EN COURS DE PREENGAGEMENT",'ENGAGEMENTS 2026'!O113,IF($H113="PREENGAGE",IF($E113="ATTRIBUE",'ENGAGEMENTS 2026'!AE113,'ENGAGEMENTS 2026'!O113),'ENGAGEMENTS 2026'!AE113))))</f>
        <v/>
      </c>
      <c r="K113" s="604">
        <f>IF(ISBLANK('ENGAGEMENTS 2026'!W113),"",'ENGAGEMENTS 2026'!W113)</f>
        <v/>
      </c>
      <c r="L113" s="276">
        <f>IF($K113="","",TODAY()-$K113)</f>
        <v/>
      </c>
      <c r="M113">
        <f>IF($A113="","",IF($H113="ENGAGE","Engagé",IF(AND($H113="NON ENGAGE",OR($I113="INFRUCTUEUX",$I113="ANNULE")),"Clôturé sans suite","En cours")))</f>
        <v/>
      </c>
      <c r="N113">
        <f>IF(ISBLANK('ENGAGEMENTS 2026'!C113),"",'ENGAGEMENTS 2026'!L113)</f>
        <v/>
      </c>
      <c r="O113">
        <f>IF(ISBLANK('ENGAGEMENTS 2026'!C113),"",'ENGAGEMENTS 2026'!M113)</f>
        <v/>
      </c>
      <c r="P113">
        <f>IF(ISBLANK('ENGAGEMENTS 2026'!C113),"",'ENGAGEMENTS 2026'!K113)</f>
        <v/>
      </c>
      <c r="Q113">
        <f>IF($A113="","",IF(OR($E113="INFRUCTUEUX",$E113="ANNULE"),$A113&amp;"|"&amp;(COUNTIFS($A$2:$A113,$A113,$E$2:$E113,"INFRUCTUEUX")+COUNTIFS($A$2:$A113,$A113,$E$2:$E113,"ANNULE")),""))</f>
        <v/>
      </c>
    </row>
    <row r="114">
      <c r="A114">
        <f>IF(ISBLANK('ENGAGEMENTS 2026'!C114),"",IF('ENGAGEMENTS 2026'!C114="DTSI","DCT",'ENGAGEMENTS 2026'!C114))</f>
        <v/>
      </c>
      <c r="B114">
        <f>IF(ISBLANK('ENGAGEMENTS 2026'!C114),"",'ENGAGEMENTS 2026'!D114)</f>
        <v/>
      </c>
      <c r="C114">
        <f>IF(ISBLANK('ENGAGEMENTS 2026'!C114),"",'ENGAGEMENTS 2026'!E114)</f>
        <v/>
      </c>
      <c r="D114">
        <f>IF(ISBLANK('ENGAGEMENTS 2026'!C114),"",'ENGAGEMENTS 2026'!G114)</f>
        <v/>
      </c>
      <c r="E114">
        <f>IF(ISBLANK('ENGAGEMENTS 2026'!C114),"",'ENGAGEMENTS 2026'!I114)</f>
        <v/>
      </c>
      <c r="F114">
        <f>IF(ISBLANK('ENGAGEMENTS 2026'!C114),"",'ENGAGEMENTS 2026'!J114)</f>
        <v/>
      </c>
      <c r="G114">
        <f>IF(ISBLANK('ENGAGEMENTS 2026'!C114),"",'ENGAGEMENTS 2026'!M114)</f>
        <v/>
      </c>
      <c r="H114">
        <f>IF(ISBLANK('ENGAGEMENTS 2026'!C114),"",'ENGAGEMENTS 2026'!AF114)</f>
        <v/>
      </c>
      <c r="I114">
        <f>IF(ISBLANK('ENGAGEMENTS 2026'!C114),"",'ENGAGEMENTS 2026'!H114)</f>
        <v/>
      </c>
      <c r="J114" s="275">
        <f>IF(ISBLANK('ENGAGEMENTS 2026'!C114),"",IF(AND(OR($E114="INFRUCTUEUX",$E114="ANNULE"),$C114="AOO-M"),'ENGAGEMENTS 2026'!P114,IF($H114="EN COURS DE PREENGAGEMENT",'ENGAGEMENTS 2026'!O114,IF($H114="PREENGAGE",IF($E114="ATTRIBUE",'ENGAGEMENTS 2026'!AE114,'ENGAGEMENTS 2026'!O114),'ENGAGEMENTS 2026'!AE114))))</f>
        <v/>
      </c>
      <c r="K114" s="604">
        <f>IF(ISBLANK('ENGAGEMENTS 2026'!W114),"",'ENGAGEMENTS 2026'!W114)</f>
        <v/>
      </c>
      <c r="L114" s="276">
        <f>IF($K114="","",TODAY()-$K114)</f>
        <v/>
      </c>
      <c r="M114">
        <f>IF($A114="","",IF($H114="ENGAGE","Engagé",IF(AND($H114="NON ENGAGE",OR($I114="INFRUCTUEUX",$I114="ANNULE")),"Clôturé sans suite","En cours")))</f>
        <v/>
      </c>
      <c r="N114">
        <f>IF(ISBLANK('ENGAGEMENTS 2026'!C114),"",'ENGAGEMENTS 2026'!L114)</f>
        <v/>
      </c>
      <c r="O114">
        <f>IF(ISBLANK('ENGAGEMENTS 2026'!C114),"",'ENGAGEMENTS 2026'!M114)</f>
        <v/>
      </c>
      <c r="P114">
        <f>IF(ISBLANK('ENGAGEMENTS 2026'!C114),"",'ENGAGEMENTS 2026'!K114)</f>
        <v/>
      </c>
      <c r="Q114">
        <f>IF($A114="","",IF(OR($E114="INFRUCTUEUX",$E114="ANNULE"),$A114&amp;"|"&amp;(COUNTIFS($A$2:$A114,$A114,$E$2:$E114,"INFRUCTUEUX")+COUNTIFS($A$2:$A114,$A114,$E$2:$E114,"ANNULE")),""))</f>
        <v/>
      </c>
    </row>
    <row r="115">
      <c r="A115">
        <f>IF(ISBLANK('ENGAGEMENTS 2026'!C115),"",IF('ENGAGEMENTS 2026'!C115="DTSI","DCT",'ENGAGEMENTS 2026'!C115))</f>
        <v/>
      </c>
      <c r="B115">
        <f>IF(ISBLANK('ENGAGEMENTS 2026'!C115),"",'ENGAGEMENTS 2026'!D115)</f>
        <v/>
      </c>
      <c r="C115">
        <f>IF(ISBLANK('ENGAGEMENTS 2026'!C115),"",'ENGAGEMENTS 2026'!E115)</f>
        <v/>
      </c>
      <c r="D115">
        <f>IF(ISBLANK('ENGAGEMENTS 2026'!C115),"",'ENGAGEMENTS 2026'!G115)</f>
        <v/>
      </c>
      <c r="E115">
        <f>IF(ISBLANK('ENGAGEMENTS 2026'!C115),"",'ENGAGEMENTS 2026'!I115)</f>
        <v/>
      </c>
      <c r="F115">
        <f>IF(ISBLANK('ENGAGEMENTS 2026'!C115),"",'ENGAGEMENTS 2026'!J115)</f>
        <v/>
      </c>
      <c r="G115">
        <f>IF(ISBLANK('ENGAGEMENTS 2026'!C115),"",'ENGAGEMENTS 2026'!M115)</f>
        <v/>
      </c>
      <c r="H115">
        <f>IF(ISBLANK('ENGAGEMENTS 2026'!C115),"",'ENGAGEMENTS 2026'!AF115)</f>
        <v/>
      </c>
      <c r="I115">
        <f>IF(ISBLANK('ENGAGEMENTS 2026'!C115),"",'ENGAGEMENTS 2026'!H115)</f>
        <v/>
      </c>
      <c r="J115" s="275">
        <f>IF(ISBLANK('ENGAGEMENTS 2026'!C115),"",IF(AND(OR($E115="INFRUCTUEUX",$E115="ANNULE"),$C115="AOO-M"),'ENGAGEMENTS 2026'!P115,IF($H115="EN COURS DE PREENGAGEMENT",'ENGAGEMENTS 2026'!O115,IF($H115="PREENGAGE",IF($E115="ATTRIBUE",'ENGAGEMENTS 2026'!AE115,'ENGAGEMENTS 2026'!O115),'ENGAGEMENTS 2026'!AE115))))</f>
        <v/>
      </c>
      <c r="K115" s="604">
        <f>IF(ISBLANK('ENGAGEMENTS 2026'!W115),"",'ENGAGEMENTS 2026'!W115)</f>
        <v/>
      </c>
      <c r="L115" s="276">
        <f>IF($K115="","",TODAY()-$K115)</f>
        <v/>
      </c>
      <c r="M115">
        <f>IF($A115="","",IF($H115="ENGAGE","Engagé",IF(AND($H115="NON ENGAGE",OR($I115="INFRUCTUEUX",$I115="ANNULE")),"Clôturé sans suite","En cours")))</f>
        <v/>
      </c>
      <c r="N115">
        <f>IF(ISBLANK('ENGAGEMENTS 2026'!C115),"",'ENGAGEMENTS 2026'!L115)</f>
        <v/>
      </c>
      <c r="O115">
        <f>IF(ISBLANK('ENGAGEMENTS 2026'!C115),"",'ENGAGEMENTS 2026'!M115)</f>
        <v/>
      </c>
      <c r="P115">
        <f>IF(ISBLANK('ENGAGEMENTS 2026'!C115),"",'ENGAGEMENTS 2026'!K115)</f>
        <v/>
      </c>
      <c r="Q115">
        <f>IF($A115="","",IF(OR($E115="INFRUCTUEUX",$E115="ANNULE"),$A115&amp;"|"&amp;(COUNTIFS($A$2:$A115,$A115,$E$2:$E115,"INFRUCTUEUX")+COUNTIFS($A$2:$A115,$A115,$E$2:$E115,"ANNULE")),""))</f>
        <v/>
      </c>
    </row>
    <row r="116">
      <c r="A116">
        <f>IF(ISBLANK('ENGAGEMENTS 2026'!C116),"",IF('ENGAGEMENTS 2026'!C116="DTSI","DCT",'ENGAGEMENTS 2026'!C116))</f>
        <v/>
      </c>
      <c r="B116">
        <f>IF(ISBLANK('ENGAGEMENTS 2026'!C116),"",'ENGAGEMENTS 2026'!D116)</f>
        <v/>
      </c>
      <c r="C116">
        <f>IF(ISBLANK('ENGAGEMENTS 2026'!C116),"",'ENGAGEMENTS 2026'!E116)</f>
        <v/>
      </c>
      <c r="D116">
        <f>IF(ISBLANK('ENGAGEMENTS 2026'!C116),"",'ENGAGEMENTS 2026'!G116)</f>
        <v/>
      </c>
      <c r="E116">
        <f>IF(ISBLANK('ENGAGEMENTS 2026'!C116),"",'ENGAGEMENTS 2026'!I116)</f>
        <v/>
      </c>
      <c r="F116">
        <f>IF(ISBLANK('ENGAGEMENTS 2026'!C116),"",'ENGAGEMENTS 2026'!J116)</f>
        <v/>
      </c>
      <c r="G116">
        <f>IF(ISBLANK('ENGAGEMENTS 2026'!C116),"",'ENGAGEMENTS 2026'!M116)</f>
        <v/>
      </c>
      <c r="H116">
        <f>IF(ISBLANK('ENGAGEMENTS 2026'!C116),"",'ENGAGEMENTS 2026'!AF116)</f>
        <v/>
      </c>
      <c r="I116">
        <f>IF(ISBLANK('ENGAGEMENTS 2026'!C116),"",'ENGAGEMENTS 2026'!H116)</f>
        <v/>
      </c>
      <c r="J116" s="275">
        <f>IF(ISBLANK('ENGAGEMENTS 2026'!C116),"",IF(AND(OR($E116="INFRUCTUEUX",$E116="ANNULE"),$C116="AOO-M"),'ENGAGEMENTS 2026'!P116,IF($H116="EN COURS DE PREENGAGEMENT",'ENGAGEMENTS 2026'!O116,IF($H116="PREENGAGE",IF($E116="ATTRIBUE",'ENGAGEMENTS 2026'!AE116,'ENGAGEMENTS 2026'!O116),'ENGAGEMENTS 2026'!AE116))))</f>
        <v/>
      </c>
      <c r="K116" s="604">
        <f>IF(ISBLANK('ENGAGEMENTS 2026'!W116),"",'ENGAGEMENTS 2026'!W116)</f>
        <v/>
      </c>
      <c r="L116" s="276">
        <f>IF($K116="","",TODAY()-$K116)</f>
        <v/>
      </c>
      <c r="M116">
        <f>IF($A116="","",IF($H116="ENGAGE","Engagé",IF(AND($H116="NON ENGAGE",OR($I116="INFRUCTUEUX",$I116="ANNULE")),"Clôturé sans suite","En cours")))</f>
        <v/>
      </c>
      <c r="N116">
        <f>IF(ISBLANK('ENGAGEMENTS 2026'!C116),"",'ENGAGEMENTS 2026'!L116)</f>
        <v/>
      </c>
      <c r="O116">
        <f>IF(ISBLANK('ENGAGEMENTS 2026'!C116),"",'ENGAGEMENTS 2026'!M116)</f>
        <v/>
      </c>
      <c r="P116">
        <f>IF(ISBLANK('ENGAGEMENTS 2026'!C116),"",'ENGAGEMENTS 2026'!K116)</f>
        <v/>
      </c>
      <c r="Q116">
        <f>IF($A116="","",IF(OR($E116="INFRUCTUEUX",$E116="ANNULE"),$A116&amp;"|"&amp;(COUNTIFS($A$2:$A116,$A116,$E$2:$E116,"INFRUCTUEUX")+COUNTIFS($A$2:$A116,$A116,$E$2:$E116,"ANNULE")),""))</f>
        <v/>
      </c>
    </row>
    <row r="117">
      <c r="A117">
        <f>IF(ISBLANK('ENGAGEMENTS 2026'!C117),"",IF('ENGAGEMENTS 2026'!C117="DTSI","DCT",'ENGAGEMENTS 2026'!C117))</f>
        <v/>
      </c>
      <c r="B117">
        <f>IF(ISBLANK('ENGAGEMENTS 2026'!C117),"",'ENGAGEMENTS 2026'!D117)</f>
        <v/>
      </c>
      <c r="C117">
        <f>IF(ISBLANK('ENGAGEMENTS 2026'!C117),"",'ENGAGEMENTS 2026'!E117)</f>
        <v/>
      </c>
      <c r="D117">
        <f>IF(ISBLANK('ENGAGEMENTS 2026'!C117),"",'ENGAGEMENTS 2026'!G117)</f>
        <v/>
      </c>
      <c r="E117">
        <f>IF(ISBLANK('ENGAGEMENTS 2026'!C117),"",'ENGAGEMENTS 2026'!I117)</f>
        <v/>
      </c>
      <c r="F117">
        <f>IF(ISBLANK('ENGAGEMENTS 2026'!C117),"",'ENGAGEMENTS 2026'!J117)</f>
        <v/>
      </c>
      <c r="G117">
        <f>IF(ISBLANK('ENGAGEMENTS 2026'!C117),"",'ENGAGEMENTS 2026'!M117)</f>
        <v/>
      </c>
      <c r="H117">
        <f>IF(ISBLANK('ENGAGEMENTS 2026'!C117),"",'ENGAGEMENTS 2026'!AF117)</f>
        <v/>
      </c>
      <c r="I117">
        <f>IF(ISBLANK('ENGAGEMENTS 2026'!C117),"",'ENGAGEMENTS 2026'!H117)</f>
        <v/>
      </c>
      <c r="J117" s="275">
        <f>IF(ISBLANK('ENGAGEMENTS 2026'!C117),"",IF(AND(OR($E117="INFRUCTUEUX",$E117="ANNULE"),$C117="AOO-M"),'ENGAGEMENTS 2026'!P117,IF($H117="EN COURS DE PREENGAGEMENT",'ENGAGEMENTS 2026'!O117,IF($H117="PREENGAGE",IF($E117="ATTRIBUE",'ENGAGEMENTS 2026'!AE117,'ENGAGEMENTS 2026'!O117),'ENGAGEMENTS 2026'!AE117))))</f>
        <v/>
      </c>
      <c r="K117" s="604">
        <f>IF(ISBLANK('ENGAGEMENTS 2026'!W117),"",'ENGAGEMENTS 2026'!W117)</f>
        <v/>
      </c>
      <c r="L117" s="276">
        <f>IF($K117="","",TODAY()-$K117)</f>
        <v/>
      </c>
      <c r="M117">
        <f>IF($A117="","",IF($H117="ENGAGE","Engagé",IF(AND($H117="NON ENGAGE",OR($I117="INFRUCTUEUX",$I117="ANNULE")),"Clôturé sans suite","En cours")))</f>
        <v/>
      </c>
      <c r="N117">
        <f>IF(ISBLANK('ENGAGEMENTS 2026'!C117),"",'ENGAGEMENTS 2026'!L117)</f>
        <v/>
      </c>
      <c r="O117">
        <f>IF(ISBLANK('ENGAGEMENTS 2026'!C117),"",'ENGAGEMENTS 2026'!M117)</f>
        <v/>
      </c>
      <c r="P117">
        <f>IF(ISBLANK('ENGAGEMENTS 2026'!C117),"",'ENGAGEMENTS 2026'!K117)</f>
        <v/>
      </c>
      <c r="Q117">
        <f>IF($A117="","",IF(OR($E117="INFRUCTUEUX",$E117="ANNULE"),$A117&amp;"|"&amp;(COUNTIFS($A$2:$A117,$A117,$E$2:$E117,"INFRUCTUEUX")+COUNTIFS($A$2:$A117,$A117,$E$2:$E117,"ANNULE")),""))</f>
        <v/>
      </c>
    </row>
    <row r="118">
      <c r="A118">
        <f>IF(ISBLANK('ENGAGEMENTS 2026'!C118),"",IF('ENGAGEMENTS 2026'!C118="DTSI","DCT",'ENGAGEMENTS 2026'!C118))</f>
        <v/>
      </c>
      <c r="B118">
        <f>IF(ISBLANK('ENGAGEMENTS 2026'!C118),"",'ENGAGEMENTS 2026'!D118)</f>
        <v/>
      </c>
      <c r="C118">
        <f>IF(ISBLANK('ENGAGEMENTS 2026'!C118),"",'ENGAGEMENTS 2026'!E118)</f>
        <v/>
      </c>
      <c r="D118">
        <f>IF(ISBLANK('ENGAGEMENTS 2026'!C118),"",'ENGAGEMENTS 2026'!G118)</f>
        <v/>
      </c>
      <c r="E118">
        <f>IF(ISBLANK('ENGAGEMENTS 2026'!C118),"",'ENGAGEMENTS 2026'!I118)</f>
        <v/>
      </c>
      <c r="F118">
        <f>IF(ISBLANK('ENGAGEMENTS 2026'!C118),"",'ENGAGEMENTS 2026'!J118)</f>
        <v/>
      </c>
      <c r="G118">
        <f>IF(ISBLANK('ENGAGEMENTS 2026'!C118),"",'ENGAGEMENTS 2026'!M118)</f>
        <v/>
      </c>
      <c r="H118">
        <f>IF(ISBLANK('ENGAGEMENTS 2026'!C118),"",'ENGAGEMENTS 2026'!AF118)</f>
        <v/>
      </c>
      <c r="I118">
        <f>IF(ISBLANK('ENGAGEMENTS 2026'!C118),"",'ENGAGEMENTS 2026'!H118)</f>
        <v/>
      </c>
      <c r="J118" s="275">
        <f>IF(ISBLANK('ENGAGEMENTS 2026'!C118),"",IF(AND(OR($E118="INFRUCTUEUX",$E118="ANNULE"),$C118="AOO-M"),'ENGAGEMENTS 2026'!P118,IF($H118="EN COURS DE PREENGAGEMENT",'ENGAGEMENTS 2026'!O118,IF($H118="PREENGAGE",IF($E118="ATTRIBUE",'ENGAGEMENTS 2026'!AE118,'ENGAGEMENTS 2026'!O118),'ENGAGEMENTS 2026'!AE118))))</f>
        <v/>
      </c>
      <c r="K118" s="604">
        <f>IF(ISBLANK('ENGAGEMENTS 2026'!W118),"",'ENGAGEMENTS 2026'!W118)</f>
        <v/>
      </c>
      <c r="L118" s="276">
        <f>IF($K118="","",TODAY()-$K118)</f>
        <v/>
      </c>
      <c r="M118">
        <f>IF($A118="","",IF($H118="ENGAGE","Engagé",IF(AND($H118="NON ENGAGE",OR($I118="INFRUCTUEUX",$I118="ANNULE")),"Clôturé sans suite","En cours")))</f>
        <v/>
      </c>
      <c r="N118">
        <f>IF(ISBLANK('ENGAGEMENTS 2026'!C118),"",'ENGAGEMENTS 2026'!L118)</f>
        <v/>
      </c>
      <c r="O118">
        <f>IF(ISBLANK('ENGAGEMENTS 2026'!C118),"",'ENGAGEMENTS 2026'!M118)</f>
        <v/>
      </c>
      <c r="P118">
        <f>IF(ISBLANK('ENGAGEMENTS 2026'!C118),"",'ENGAGEMENTS 2026'!K118)</f>
        <v/>
      </c>
      <c r="Q118">
        <f>IF($A118="","",IF(OR($E118="INFRUCTUEUX",$E118="ANNULE"),$A118&amp;"|"&amp;(COUNTIFS($A$2:$A118,$A118,$E$2:$E118,"INFRUCTUEUX")+COUNTIFS($A$2:$A118,$A118,$E$2:$E118,"ANNULE")),""))</f>
        <v/>
      </c>
    </row>
    <row r="119">
      <c r="A119">
        <f>IF(ISBLANK('ENGAGEMENTS 2026'!C119),"",IF('ENGAGEMENTS 2026'!C119="DTSI","DCT",'ENGAGEMENTS 2026'!C119))</f>
        <v/>
      </c>
      <c r="B119">
        <f>IF(ISBLANK('ENGAGEMENTS 2026'!C119),"",'ENGAGEMENTS 2026'!D119)</f>
        <v/>
      </c>
      <c r="C119">
        <f>IF(ISBLANK('ENGAGEMENTS 2026'!C119),"",'ENGAGEMENTS 2026'!E119)</f>
        <v/>
      </c>
      <c r="D119">
        <f>IF(ISBLANK('ENGAGEMENTS 2026'!C119),"",'ENGAGEMENTS 2026'!G119)</f>
        <v/>
      </c>
      <c r="E119">
        <f>IF(ISBLANK('ENGAGEMENTS 2026'!C119),"",'ENGAGEMENTS 2026'!I119)</f>
        <v/>
      </c>
      <c r="F119">
        <f>IF(ISBLANK('ENGAGEMENTS 2026'!C119),"",'ENGAGEMENTS 2026'!J119)</f>
        <v/>
      </c>
      <c r="G119">
        <f>IF(ISBLANK('ENGAGEMENTS 2026'!C119),"",'ENGAGEMENTS 2026'!M119)</f>
        <v/>
      </c>
      <c r="H119">
        <f>IF(ISBLANK('ENGAGEMENTS 2026'!C119),"",'ENGAGEMENTS 2026'!AF119)</f>
        <v/>
      </c>
      <c r="I119">
        <f>IF(ISBLANK('ENGAGEMENTS 2026'!C119),"",'ENGAGEMENTS 2026'!H119)</f>
        <v/>
      </c>
      <c r="J119" s="275">
        <f>IF(ISBLANK('ENGAGEMENTS 2026'!C119),"",IF(AND(OR($E119="INFRUCTUEUX",$E119="ANNULE"),$C119="AOO-M"),'ENGAGEMENTS 2026'!P119,IF($H119="EN COURS DE PREENGAGEMENT",'ENGAGEMENTS 2026'!O119,IF($H119="PREENGAGE",IF($E119="ATTRIBUE",'ENGAGEMENTS 2026'!AE119,'ENGAGEMENTS 2026'!O119),'ENGAGEMENTS 2026'!AE119))))</f>
        <v/>
      </c>
      <c r="K119" s="604">
        <f>IF(ISBLANK('ENGAGEMENTS 2026'!W119),"",'ENGAGEMENTS 2026'!W119)</f>
        <v/>
      </c>
      <c r="L119" s="276">
        <f>IF($K119="","",TODAY()-$K119)</f>
        <v/>
      </c>
      <c r="M119">
        <f>IF($A119="","",IF($H119="ENGAGE","Engagé",IF(AND($H119="NON ENGAGE",OR($I119="INFRUCTUEUX",$I119="ANNULE")),"Clôturé sans suite","En cours")))</f>
        <v/>
      </c>
      <c r="N119">
        <f>IF(ISBLANK('ENGAGEMENTS 2026'!C119),"",'ENGAGEMENTS 2026'!L119)</f>
        <v/>
      </c>
      <c r="O119">
        <f>IF(ISBLANK('ENGAGEMENTS 2026'!C119),"",'ENGAGEMENTS 2026'!M119)</f>
        <v/>
      </c>
      <c r="P119">
        <f>IF(ISBLANK('ENGAGEMENTS 2026'!C119),"",'ENGAGEMENTS 2026'!K119)</f>
        <v/>
      </c>
      <c r="Q119">
        <f>IF($A119="","",IF(OR($E119="INFRUCTUEUX",$E119="ANNULE"),$A119&amp;"|"&amp;(COUNTIFS($A$2:$A119,$A119,$E$2:$E119,"INFRUCTUEUX")+COUNTIFS($A$2:$A119,$A119,$E$2:$E119,"ANNULE")),""))</f>
        <v/>
      </c>
    </row>
    <row r="120">
      <c r="A120">
        <f>IF(ISBLANK('ENGAGEMENTS 2026'!C120),"",IF('ENGAGEMENTS 2026'!C120="DTSI","DCT",'ENGAGEMENTS 2026'!C120))</f>
        <v/>
      </c>
      <c r="B120">
        <f>IF(ISBLANK('ENGAGEMENTS 2026'!C120),"",'ENGAGEMENTS 2026'!D120)</f>
        <v/>
      </c>
      <c r="C120">
        <f>IF(ISBLANK('ENGAGEMENTS 2026'!C120),"",'ENGAGEMENTS 2026'!E120)</f>
        <v/>
      </c>
      <c r="D120">
        <f>IF(ISBLANK('ENGAGEMENTS 2026'!C120),"",'ENGAGEMENTS 2026'!G120)</f>
        <v/>
      </c>
      <c r="E120">
        <f>IF(ISBLANK('ENGAGEMENTS 2026'!C120),"",'ENGAGEMENTS 2026'!I120)</f>
        <v/>
      </c>
      <c r="F120">
        <f>IF(ISBLANK('ENGAGEMENTS 2026'!C120),"",'ENGAGEMENTS 2026'!J120)</f>
        <v/>
      </c>
      <c r="G120">
        <f>IF(ISBLANK('ENGAGEMENTS 2026'!C120),"",'ENGAGEMENTS 2026'!M120)</f>
        <v/>
      </c>
      <c r="H120">
        <f>IF(ISBLANK('ENGAGEMENTS 2026'!C120),"",'ENGAGEMENTS 2026'!AF120)</f>
        <v/>
      </c>
      <c r="I120">
        <f>IF(ISBLANK('ENGAGEMENTS 2026'!C120),"",'ENGAGEMENTS 2026'!H120)</f>
        <v/>
      </c>
      <c r="J120" s="275">
        <f>IF(ISBLANK('ENGAGEMENTS 2026'!C120),"",IF(AND(OR($E120="INFRUCTUEUX",$E120="ANNULE"),$C120="AOO-M"),'ENGAGEMENTS 2026'!P120,IF($H120="EN COURS DE PREENGAGEMENT",'ENGAGEMENTS 2026'!O120,IF($H120="PREENGAGE",IF($E120="ATTRIBUE",'ENGAGEMENTS 2026'!AE120,'ENGAGEMENTS 2026'!O120),'ENGAGEMENTS 2026'!AE120))))</f>
        <v/>
      </c>
      <c r="K120" s="604">
        <f>IF(ISBLANK('ENGAGEMENTS 2026'!W120),"",'ENGAGEMENTS 2026'!W120)</f>
        <v/>
      </c>
      <c r="L120" s="276">
        <f>IF($K120="","",TODAY()-$K120)</f>
        <v/>
      </c>
      <c r="M120">
        <f>IF($A120="","",IF($H120="ENGAGE","Engagé",IF(AND($H120="NON ENGAGE",OR($I120="INFRUCTUEUX",$I120="ANNULE")),"Clôturé sans suite","En cours")))</f>
        <v/>
      </c>
      <c r="N120">
        <f>IF(ISBLANK('ENGAGEMENTS 2026'!C120),"",'ENGAGEMENTS 2026'!L120)</f>
        <v/>
      </c>
      <c r="O120">
        <f>IF(ISBLANK('ENGAGEMENTS 2026'!C120),"",'ENGAGEMENTS 2026'!M120)</f>
        <v/>
      </c>
      <c r="P120">
        <f>IF(ISBLANK('ENGAGEMENTS 2026'!C120),"",'ENGAGEMENTS 2026'!K120)</f>
        <v/>
      </c>
      <c r="Q120">
        <f>IF($A120="","",IF(OR($E120="INFRUCTUEUX",$E120="ANNULE"),$A120&amp;"|"&amp;(COUNTIFS($A$2:$A120,$A120,$E$2:$E120,"INFRUCTUEUX")+COUNTIFS($A$2:$A120,$A120,$E$2:$E120,"ANNULE")),""))</f>
        <v/>
      </c>
    </row>
    <row r="121">
      <c r="A121">
        <f>IF(ISBLANK('ENGAGEMENTS 2026'!C121),"",IF('ENGAGEMENTS 2026'!C121="DTSI","DCT",'ENGAGEMENTS 2026'!C121))</f>
        <v/>
      </c>
      <c r="B121">
        <f>IF(ISBLANK('ENGAGEMENTS 2026'!C121),"",'ENGAGEMENTS 2026'!D121)</f>
        <v/>
      </c>
      <c r="C121">
        <f>IF(ISBLANK('ENGAGEMENTS 2026'!C121),"",'ENGAGEMENTS 2026'!E121)</f>
        <v/>
      </c>
      <c r="D121">
        <f>IF(ISBLANK('ENGAGEMENTS 2026'!C121),"",'ENGAGEMENTS 2026'!G121)</f>
        <v/>
      </c>
      <c r="E121">
        <f>IF(ISBLANK('ENGAGEMENTS 2026'!C121),"",'ENGAGEMENTS 2026'!I121)</f>
        <v/>
      </c>
      <c r="F121">
        <f>IF(ISBLANK('ENGAGEMENTS 2026'!C121),"",'ENGAGEMENTS 2026'!J121)</f>
        <v/>
      </c>
      <c r="G121">
        <f>IF(ISBLANK('ENGAGEMENTS 2026'!C121),"",'ENGAGEMENTS 2026'!M121)</f>
        <v/>
      </c>
      <c r="H121">
        <f>IF(ISBLANK('ENGAGEMENTS 2026'!C121),"",'ENGAGEMENTS 2026'!AF121)</f>
        <v/>
      </c>
      <c r="I121">
        <f>IF(ISBLANK('ENGAGEMENTS 2026'!C121),"",'ENGAGEMENTS 2026'!H121)</f>
        <v/>
      </c>
      <c r="J121" s="275">
        <f>IF(ISBLANK('ENGAGEMENTS 2026'!C121),"",IF(AND(OR($E121="INFRUCTUEUX",$E121="ANNULE"),$C121="AOO-M"),'ENGAGEMENTS 2026'!P121,IF($H121="EN COURS DE PREENGAGEMENT",'ENGAGEMENTS 2026'!O121,IF($H121="PREENGAGE",IF($E121="ATTRIBUE",'ENGAGEMENTS 2026'!AE121,'ENGAGEMENTS 2026'!O121),'ENGAGEMENTS 2026'!AE121))))</f>
        <v/>
      </c>
      <c r="K121" s="604">
        <f>IF(ISBLANK('ENGAGEMENTS 2026'!W121),"",'ENGAGEMENTS 2026'!W121)</f>
        <v/>
      </c>
      <c r="L121" s="276">
        <f>IF($K121="","",TODAY()-$K121)</f>
        <v/>
      </c>
      <c r="M121">
        <f>IF($A121="","",IF($H121="ENGAGE","Engagé",IF(AND($H121="NON ENGAGE",OR($I121="INFRUCTUEUX",$I121="ANNULE")),"Clôturé sans suite","En cours")))</f>
        <v/>
      </c>
      <c r="N121">
        <f>IF(ISBLANK('ENGAGEMENTS 2026'!C121),"",'ENGAGEMENTS 2026'!L121)</f>
        <v/>
      </c>
      <c r="O121">
        <f>IF(ISBLANK('ENGAGEMENTS 2026'!C121),"",'ENGAGEMENTS 2026'!M121)</f>
        <v/>
      </c>
      <c r="P121">
        <f>IF(ISBLANK('ENGAGEMENTS 2026'!C121),"",'ENGAGEMENTS 2026'!K121)</f>
        <v/>
      </c>
      <c r="Q121">
        <f>IF($A121="","",IF(OR($E121="INFRUCTUEUX",$E121="ANNULE"),$A121&amp;"|"&amp;(COUNTIFS($A$2:$A121,$A121,$E$2:$E121,"INFRUCTUEUX")+COUNTIFS($A$2:$A121,$A121,$E$2:$E121,"ANNULE")),""))</f>
        <v/>
      </c>
    </row>
    <row r="122">
      <c r="A122">
        <f>IF(ISBLANK('ENGAGEMENTS 2026'!C122),"",IF('ENGAGEMENTS 2026'!C122="DTSI","DCT",'ENGAGEMENTS 2026'!C122))</f>
        <v/>
      </c>
      <c r="B122">
        <f>IF(ISBLANK('ENGAGEMENTS 2026'!C122),"",'ENGAGEMENTS 2026'!D122)</f>
        <v/>
      </c>
      <c r="C122">
        <f>IF(ISBLANK('ENGAGEMENTS 2026'!C122),"",'ENGAGEMENTS 2026'!E122)</f>
        <v/>
      </c>
      <c r="D122">
        <f>IF(ISBLANK('ENGAGEMENTS 2026'!C122),"",'ENGAGEMENTS 2026'!G122)</f>
        <v/>
      </c>
      <c r="E122">
        <f>IF(ISBLANK('ENGAGEMENTS 2026'!C122),"",'ENGAGEMENTS 2026'!I122)</f>
        <v/>
      </c>
      <c r="F122">
        <f>IF(ISBLANK('ENGAGEMENTS 2026'!C122),"",'ENGAGEMENTS 2026'!J122)</f>
        <v/>
      </c>
      <c r="G122">
        <f>IF(ISBLANK('ENGAGEMENTS 2026'!C122),"",'ENGAGEMENTS 2026'!M122)</f>
        <v/>
      </c>
      <c r="H122">
        <f>IF(ISBLANK('ENGAGEMENTS 2026'!C122),"",'ENGAGEMENTS 2026'!AF122)</f>
        <v/>
      </c>
      <c r="I122">
        <f>IF(ISBLANK('ENGAGEMENTS 2026'!C122),"",'ENGAGEMENTS 2026'!H122)</f>
        <v/>
      </c>
      <c r="J122" s="275">
        <f>IF(ISBLANK('ENGAGEMENTS 2026'!C122),"",IF(AND(OR($E122="INFRUCTUEUX",$E122="ANNULE"),$C122="AOO-M"),'ENGAGEMENTS 2026'!P122,IF($H122="EN COURS DE PREENGAGEMENT",'ENGAGEMENTS 2026'!O122,IF($H122="PREENGAGE",IF($E122="ATTRIBUE",'ENGAGEMENTS 2026'!AE122,'ENGAGEMENTS 2026'!O122),'ENGAGEMENTS 2026'!AE122))))</f>
        <v/>
      </c>
      <c r="K122" s="604">
        <f>IF(ISBLANK('ENGAGEMENTS 2026'!W122),"",'ENGAGEMENTS 2026'!W122)</f>
        <v/>
      </c>
      <c r="L122" s="276">
        <f>IF($K122="","",TODAY()-$K122)</f>
        <v/>
      </c>
      <c r="M122">
        <f>IF($A122="","",IF($H122="ENGAGE","Engagé",IF(AND($H122="NON ENGAGE",OR($I122="INFRUCTUEUX",$I122="ANNULE")),"Clôturé sans suite","En cours")))</f>
        <v/>
      </c>
      <c r="N122">
        <f>IF(ISBLANK('ENGAGEMENTS 2026'!C122),"",'ENGAGEMENTS 2026'!L122)</f>
        <v/>
      </c>
      <c r="O122">
        <f>IF(ISBLANK('ENGAGEMENTS 2026'!C122),"",'ENGAGEMENTS 2026'!M122)</f>
        <v/>
      </c>
      <c r="P122">
        <f>IF(ISBLANK('ENGAGEMENTS 2026'!C122),"",'ENGAGEMENTS 2026'!K122)</f>
        <v/>
      </c>
      <c r="Q122">
        <f>IF($A122="","",IF(OR($E122="INFRUCTUEUX",$E122="ANNULE"),$A122&amp;"|"&amp;(COUNTIFS($A$2:$A122,$A122,$E$2:$E122,"INFRUCTUEUX")+COUNTIFS($A$2:$A122,$A122,$E$2:$E122,"ANNULE")),""))</f>
        <v/>
      </c>
    </row>
    <row r="123">
      <c r="A123">
        <f>IF(ISBLANK('ENGAGEMENTS 2026'!C123),"",IF('ENGAGEMENTS 2026'!C123="DTSI","DCT",'ENGAGEMENTS 2026'!C123))</f>
        <v/>
      </c>
      <c r="B123">
        <f>IF(ISBLANK('ENGAGEMENTS 2026'!C123),"",'ENGAGEMENTS 2026'!D123)</f>
        <v/>
      </c>
      <c r="C123">
        <f>IF(ISBLANK('ENGAGEMENTS 2026'!C123),"",'ENGAGEMENTS 2026'!E123)</f>
        <v/>
      </c>
      <c r="D123">
        <f>IF(ISBLANK('ENGAGEMENTS 2026'!C123),"",'ENGAGEMENTS 2026'!G123)</f>
        <v/>
      </c>
      <c r="E123">
        <f>IF(ISBLANK('ENGAGEMENTS 2026'!C123),"",'ENGAGEMENTS 2026'!I123)</f>
        <v/>
      </c>
      <c r="F123">
        <f>IF(ISBLANK('ENGAGEMENTS 2026'!C123),"",'ENGAGEMENTS 2026'!J123)</f>
        <v/>
      </c>
      <c r="G123">
        <f>IF(ISBLANK('ENGAGEMENTS 2026'!C123),"",'ENGAGEMENTS 2026'!M123)</f>
        <v/>
      </c>
      <c r="H123">
        <f>IF(ISBLANK('ENGAGEMENTS 2026'!C123),"",'ENGAGEMENTS 2026'!AF123)</f>
        <v/>
      </c>
      <c r="I123">
        <f>IF(ISBLANK('ENGAGEMENTS 2026'!C123),"",'ENGAGEMENTS 2026'!H123)</f>
        <v/>
      </c>
      <c r="J123" s="275">
        <f>IF(ISBLANK('ENGAGEMENTS 2026'!C123),"",IF(AND(OR($E123="INFRUCTUEUX",$E123="ANNULE"),$C123="AOO-M"),'ENGAGEMENTS 2026'!P123,IF($H123="EN COURS DE PREENGAGEMENT",'ENGAGEMENTS 2026'!O123,IF($H123="PREENGAGE",IF($E123="ATTRIBUE",'ENGAGEMENTS 2026'!AE123,'ENGAGEMENTS 2026'!O123),'ENGAGEMENTS 2026'!AE123))))</f>
        <v/>
      </c>
      <c r="K123" s="604">
        <f>IF(ISBLANK('ENGAGEMENTS 2026'!W123),"",'ENGAGEMENTS 2026'!W123)</f>
        <v/>
      </c>
      <c r="L123" s="276">
        <f>IF($K123="","",TODAY()-$K123)</f>
        <v/>
      </c>
      <c r="M123">
        <f>IF($A123="","",IF($H123="ENGAGE","Engagé",IF(AND($H123="NON ENGAGE",OR($I123="INFRUCTUEUX",$I123="ANNULE")),"Clôturé sans suite","En cours")))</f>
        <v/>
      </c>
      <c r="N123">
        <f>IF(ISBLANK('ENGAGEMENTS 2026'!C123),"",'ENGAGEMENTS 2026'!L123)</f>
        <v/>
      </c>
      <c r="O123">
        <f>IF(ISBLANK('ENGAGEMENTS 2026'!C123),"",'ENGAGEMENTS 2026'!M123)</f>
        <v/>
      </c>
      <c r="P123">
        <f>IF(ISBLANK('ENGAGEMENTS 2026'!C123),"",'ENGAGEMENTS 2026'!K123)</f>
        <v/>
      </c>
      <c r="Q123">
        <f>IF($A123="","",IF(OR($E123="INFRUCTUEUX",$E123="ANNULE"),$A123&amp;"|"&amp;(COUNTIFS($A$2:$A123,$A123,$E$2:$E123,"INFRUCTUEUX")+COUNTIFS($A$2:$A123,$A123,$E$2:$E123,"ANNULE")),""))</f>
        <v/>
      </c>
    </row>
    <row r="124">
      <c r="A124">
        <f>IF(ISBLANK('ENGAGEMENTS 2026'!C124),"",IF('ENGAGEMENTS 2026'!C124="DTSI","DCT",'ENGAGEMENTS 2026'!C124))</f>
        <v/>
      </c>
      <c r="B124">
        <f>IF(ISBLANK('ENGAGEMENTS 2026'!C124),"",'ENGAGEMENTS 2026'!D124)</f>
        <v/>
      </c>
      <c r="C124">
        <f>IF(ISBLANK('ENGAGEMENTS 2026'!C124),"",'ENGAGEMENTS 2026'!E124)</f>
        <v/>
      </c>
      <c r="D124">
        <f>IF(ISBLANK('ENGAGEMENTS 2026'!C124),"",'ENGAGEMENTS 2026'!G124)</f>
        <v/>
      </c>
      <c r="E124">
        <f>IF(ISBLANK('ENGAGEMENTS 2026'!C124),"",'ENGAGEMENTS 2026'!I124)</f>
        <v/>
      </c>
      <c r="F124">
        <f>IF(ISBLANK('ENGAGEMENTS 2026'!C124),"",'ENGAGEMENTS 2026'!J124)</f>
        <v/>
      </c>
      <c r="G124">
        <f>IF(ISBLANK('ENGAGEMENTS 2026'!C124),"",'ENGAGEMENTS 2026'!M124)</f>
        <v/>
      </c>
      <c r="H124">
        <f>IF(ISBLANK('ENGAGEMENTS 2026'!C124),"",'ENGAGEMENTS 2026'!AF124)</f>
        <v/>
      </c>
      <c r="I124">
        <f>IF(ISBLANK('ENGAGEMENTS 2026'!C124),"",'ENGAGEMENTS 2026'!H124)</f>
        <v/>
      </c>
      <c r="J124" s="275">
        <f>IF(ISBLANK('ENGAGEMENTS 2026'!C124),"",IF(AND(OR($E124="INFRUCTUEUX",$E124="ANNULE"),$C124="AOO-M"),'ENGAGEMENTS 2026'!P124,IF($H124="EN COURS DE PREENGAGEMENT",'ENGAGEMENTS 2026'!O124,IF($H124="PREENGAGE",IF($E124="ATTRIBUE",'ENGAGEMENTS 2026'!AE124,'ENGAGEMENTS 2026'!O124),'ENGAGEMENTS 2026'!AE124))))</f>
        <v/>
      </c>
      <c r="K124" s="604">
        <f>IF(ISBLANK('ENGAGEMENTS 2026'!W124),"",'ENGAGEMENTS 2026'!W124)</f>
        <v/>
      </c>
      <c r="L124" s="276">
        <f>IF($K124="","",TODAY()-$K124)</f>
        <v/>
      </c>
      <c r="M124">
        <f>IF($A124="","",IF($H124="ENGAGE","Engagé",IF(AND($H124="NON ENGAGE",OR($I124="INFRUCTUEUX",$I124="ANNULE")),"Clôturé sans suite","En cours")))</f>
        <v/>
      </c>
      <c r="N124">
        <f>IF(ISBLANK('ENGAGEMENTS 2026'!C124),"",'ENGAGEMENTS 2026'!L124)</f>
        <v/>
      </c>
      <c r="O124">
        <f>IF(ISBLANK('ENGAGEMENTS 2026'!C124),"",'ENGAGEMENTS 2026'!M124)</f>
        <v/>
      </c>
      <c r="P124">
        <f>IF(ISBLANK('ENGAGEMENTS 2026'!C124),"",'ENGAGEMENTS 2026'!K124)</f>
        <v/>
      </c>
      <c r="Q124">
        <f>IF($A124="","",IF(OR($E124="INFRUCTUEUX",$E124="ANNULE"),$A124&amp;"|"&amp;(COUNTIFS($A$2:$A124,$A124,$E$2:$E124,"INFRUCTUEUX")+COUNTIFS($A$2:$A124,$A124,$E$2:$E124,"ANNULE")),""))</f>
        <v/>
      </c>
    </row>
    <row r="125">
      <c r="A125">
        <f>IF(ISBLANK('ENGAGEMENTS 2026'!C125),"",IF('ENGAGEMENTS 2026'!C125="DTSI","DCT",'ENGAGEMENTS 2026'!C125))</f>
        <v/>
      </c>
      <c r="B125">
        <f>IF(ISBLANK('ENGAGEMENTS 2026'!C125),"",'ENGAGEMENTS 2026'!D125)</f>
        <v/>
      </c>
      <c r="C125">
        <f>IF(ISBLANK('ENGAGEMENTS 2026'!C125),"",'ENGAGEMENTS 2026'!E125)</f>
        <v/>
      </c>
      <c r="D125">
        <f>IF(ISBLANK('ENGAGEMENTS 2026'!C125),"",'ENGAGEMENTS 2026'!G125)</f>
        <v/>
      </c>
      <c r="E125">
        <f>IF(ISBLANK('ENGAGEMENTS 2026'!C125),"",'ENGAGEMENTS 2026'!I125)</f>
        <v/>
      </c>
      <c r="F125">
        <f>IF(ISBLANK('ENGAGEMENTS 2026'!C125),"",'ENGAGEMENTS 2026'!J125)</f>
        <v/>
      </c>
      <c r="G125">
        <f>IF(ISBLANK('ENGAGEMENTS 2026'!C125),"",'ENGAGEMENTS 2026'!M125)</f>
        <v/>
      </c>
      <c r="H125">
        <f>IF(ISBLANK('ENGAGEMENTS 2026'!C125),"",'ENGAGEMENTS 2026'!AF125)</f>
        <v/>
      </c>
      <c r="I125">
        <f>IF(ISBLANK('ENGAGEMENTS 2026'!C125),"",'ENGAGEMENTS 2026'!H125)</f>
        <v/>
      </c>
      <c r="J125" s="275">
        <f>IF(ISBLANK('ENGAGEMENTS 2026'!C125),"",IF(AND(OR($E125="INFRUCTUEUX",$E125="ANNULE"),$C125="AOO-M"),'ENGAGEMENTS 2026'!P125,IF($H125="EN COURS DE PREENGAGEMENT",'ENGAGEMENTS 2026'!O125,IF($H125="PREENGAGE",IF($E125="ATTRIBUE",'ENGAGEMENTS 2026'!AE125,'ENGAGEMENTS 2026'!O125),'ENGAGEMENTS 2026'!AE125))))</f>
        <v/>
      </c>
      <c r="K125" s="604">
        <f>IF(ISBLANK('ENGAGEMENTS 2026'!W125),"",'ENGAGEMENTS 2026'!W125)</f>
        <v/>
      </c>
      <c r="L125" s="276">
        <f>IF($K125="","",TODAY()-$K125)</f>
        <v/>
      </c>
      <c r="M125">
        <f>IF($A125="","",IF($H125="ENGAGE","Engagé",IF(AND($H125="NON ENGAGE",OR($I125="INFRUCTUEUX",$I125="ANNULE")),"Clôturé sans suite","En cours")))</f>
        <v/>
      </c>
      <c r="N125">
        <f>IF(ISBLANK('ENGAGEMENTS 2026'!C125),"",'ENGAGEMENTS 2026'!L125)</f>
        <v/>
      </c>
      <c r="O125">
        <f>IF(ISBLANK('ENGAGEMENTS 2026'!C125),"",'ENGAGEMENTS 2026'!M125)</f>
        <v/>
      </c>
      <c r="P125">
        <f>IF(ISBLANK('ENGAGEMENTS 2026'!C125),"",'ENGAGEMENTS 2026'!K125)</f>
        <v/>
      </c>
      <c r="Q125">
        <f>IF($A125="","",IF(OR($E125="INFRUCTUEUX",$E125="ANNULE"),$A125&amp;"|"&amp;(COUNTIFS($A$2:$A125,$A125,$E$2:$E125,"INFRUCTUEUX")+COUNTIFS($A$2:$A125,$A125,$E$2:$E125,"ANNULE")),""))</f>
        <v/>
      </c>
    </row>
    <row r="126">
      <c r="A126">
        <f>IF(ISBLANK('ENGAGEMENTS 2026'!C126),"",IF('ENGAGEMENTS 2026'!C126="DTSI","DCT",'ENGAGEMENTS 2026'!C126))</f>
        <v/>
      </c>
      <c r="B126">
        <f>IF(ISBLANK('ENGAGEMENTS 2026'!C126),"",'ENGAGEMENTS 2026'!D126)</f>
        <v/>
      </c>
      <c r="C126">
        <f>IF(ISBLANK('ENGAGEMENTS 2026'!C126),"",'ENGAGEMENTS 2026'!E126)</f>
        <v/>
      </c>
      <c r="D126">
        <f>IF(ISBLANK('ENGAGEMENTS 2026'!C126),"",'ENGAGEMENTS 2026'!G126)</f>
        <v/>
      </c>
      <c r="E126">
        <f>IF(ISBLANK('ENGAGEMENTS 2026'!C126),"",'ENGAGEMENTS 2026'!I126)</f>
        <v/>
      </c>
      <c r="F126">
        <f>IF(ISBLANK('ENGAGEMENTS 2026'!C126),"",'ENGAGEMENTS 2026'!J126)</f>
        <v/>
      </c>
      <c r="G126">
        <f>IF(ISBLANK('ENGAGEMENTS 2026'!C126),"",'ENGAGEMENTS 2026'!M126)</f>
        <v/>
      </c>
      <c r="H126">
        <f>IF(ISBLANK('ENGAGEMENTS 2026'!C126),"",'ENGAGEMENTS 2026'!AF126)</f>
        <v/>
      </c>
      <c r="I126">
        <f>IF(ISBLANK('ENGAGEMENTS 2026'!C126),"",'ENGAGEMENTS 2026'!H126)</f>
        <v/>
      </c>
      <c r="J126" s="275">
        <f>IF(ISBLANK('ENGAGEMENTS 2026'!C126),"",IF(AND(OR($E126="INFRUCTUEUX",$E126="ANNULE"),$C126="AOO-M"),'ENGAGEMENTS 2026'!P126,IF($H126="EN COURS DE PREENGAGEMENT",'ENGAGEMENTS 2026'!O126,IF($H126="PREENGAGE",IF($E126="ATTRIBUE",'ENGAGEMENTS 2026'!AE126,'ENGAGEMENTS 2026'!O126),'ENGAGEMENTS 2026'!AE126))))</f>
        <v/>
      </c>
      <c r="K126" s="604">
        <f>IF(ISBLANK('ENGAGEMENTS 2026'!W126),"",'ENGAGEMENTS 2026'!W126)</f>
        <v/>
      </c>
      <c r="L126" s="276">
        <f>IF($K126="","",TODAY()-$K126)</f>
        <v/>
      </c>
      <c r="M126">
        <f>IF($A126="","",IF($H126="ENGAGE","Engagé",IF(AND($H126="NON ENGAGE",OR($I126="INFRUCTUEUX",$I126="ANNULE")),"Clôturé sans suite","En cours")))</f>
        <v/>
      </c>
      <c r="N126">
        <f>IF(ISBLANK('ENGAGEMENTS 2026'!C126),"",'ENGAGEMENTS 2026'!L126)</f>
        <v/>
      </c>
      <c r="O126">
        <f>IF(ISBLANK('ENGAGEMENTS 2026'!C126),"",'ENGAGEMENTS 2026'!M126)</f>
        <v/>
      </c>
      <c r="P126">
        <f>IF(ISBLANK('ENGAGEMENTS 2026'!C126),"",'ENGAGEMENTS 2026'!K126)</f>
        <v/>
      </c>
      <c r="Q126">
        <f>IF($A126="","",IF(OR($E126="INFRUCTUEUX",$E126="ANNULE"),$A126&amp;"|"&amp;(COUNTIFS($A$2:$A126,$A126,$E$2:$E126,"INFRUCTUEUX")+COUNTIFS($A$2:$A126,$A126,$E$2:$E126,"ANNULE")),""))</f>
        <v/>
      </c>
    </row>
    <row r="127">
      <c r="A127">
        <f>IF(ISBLANK('ENGAGEMENTS 2026'!C127),"",IF('ENGAGEMENTS 2026'!C127="DTSI","DCT",'ENGAGEMENTS 2026'!C127))</f>
        <v/>
      </c>
      <c r="B127">
        <f>IF(ISBLANK('ENGAGEMENTS 2026'!C127),"",'ENGAGEMENTS 2026'!D127)</f>
        <v/>
      </c>
      <c r="C127">
        <f>IF(ISBLANK('ENGAGEMENTS 2026'!C127),"",'ENGAGEMENTS 2026'!E127)</f>
        <v/>
      </c>
      <c r="D127">
        <f>IF(ISBLANK('ENGAGEMENTS 2026'!C127),"",'ENGAGEMENTS 2026'!G127)</f>
        <v/>
      </c>
      <c r="E127">
        <f>IF(ISBLANK('ENGAGEMENTS 2026'!C127),"",'ENGAGEMENTS 2026'!I127)</f>
        <v/>
      </c>
      <c r="F127">
        <f>IF(ISBLANK('ENGAGEMENTS 2026'!C127),"",'ENGAGEMENTS 2026'!J127)</f>
        <v/>
      </c>
      <c r="G127">
        <f>IF(ISBLANK('ENGAGEMENTS 2026'!C127),"",'ENGAGEMENTS 2026'!M127)</f>
        <v/>
      </c>
      <c r="H127">
        <f>IF(ISBLANK('ENGAGEMENTS 2026'!C127),"",'ENGAGEMENTS 2026'!AF127)</f>
        <v/>
      </c>
      <c r="I127">
        <f>IF(ISBLANK('ENGAGEMENTS 2026'!C127),"",'ENGAGEMENTS 2026'!H127)</f>
        <v/>
      </c>
      <c r="J127" s="275">
        <f>IF(ISBLANK('ENGAGEMENTS 2026'!C127),"",IF(AND(OR($E127="INFRUCTUEUX",$E127="ANNULE"),$C127="AOO-M"),'ENGAGEMENTS 2026'!P127,IF($H127="EN COURS DE PREENGAGEMENT",'ENGAGEMENTS 2026'!O127,IF($H127="PREENGAGE",IF($E127="ATTRIBUE",'ENGAGEMENTS 2026'!AE127,'ENGAGEMENTS 2026'!O127),'ENGAGEMENTS 2026'!AE127))))</f>
        <v/>
      </c>
      <c r="K127" s="604">
        <f>IF(ISBLANK('ENGAGEMENTS 2026'!W127),"",'ENGAGEMENTS 2026'!W127)</f>
        <v/>
      </c>
      <c r="L127" s="276">
        <f>IF($K127="","",TODAY()-$K127)</f>
        <v/>
      </c>
      <c r="M127">
        <f>IF($A127="","",IF($H127="ENGAGE","Engagé",IF(AND($H127="NON ENGAGE",OR($I127="INFRUCTUEUX",$I127="ANNULE")),"Clôturé sans suite","En cours")))</f>
        <v/>
      </c>
      <c r="N127">
        <f>IF(ISBLANK('ENGAGEMENTS 2026'!C127),"",'ENGAGEMENTS 2026'!L127)</f>
        <v/>
      </c>
      <c r="O127">
        <f>IF(ISBLANK('ENGAGEMENTS 2026'!C127),"",'ENGAGEMENTS 2026'!M127)</f>
        <v/>
      </c>
      <c r="P127">
        <f>IF(ISBLANK('ENGAGEMENTS 2026'!C127),"",'ENGAGEMENTS 2026'!K127)</f>
        <v/>
      </c>
      <c r="Q127">
        <f>IF($A127="","",IF(OR($E127="INFRUCTUEUX",$E127="ANNULE"),$A127&amp;"|"&amp;(COUNTIFS($A$2:$A127,$A127,$E$2:$E127,"INFRUCTUEUX")+COUNTIFS($A$2:$A127,$A127,$E$2:$E127,"ANNULE")),""))</f>
        <v/>
      </c>
    </row>
    <row r="128">
      <c r="A128">
        <f>IF(ISBLANK('ENGAGEMENTS 2026'!C128),"",IF('ENGAGEMENTS 2026'!C128="DTSI","DCT",'ENGAGEMENTS 2026'!C128))</f>
        <v/>
      </c>
      <c r="B128">
        <f>IF(ISBLANK('ENGAGEMENTS 2026'!C128),"",'ENGAGEMENTS 2026'!D128)</f>
        <v/>
      </c>
      <c r="C128">
        <f>IF(ISBLANK('ENGAGEMENTS 2026'!C128),"",'ENGAGEMENTS 2026'!E128)</f>
        <v/>
      </c>
      <c r="D128">
        <f>IF(ISBLANK('ENGAGEMENTS 2026'!C128),"",'ENGAGEMENTS 2026'!G128)</f>
        <v/>
      </c>
      <c r="E128">
        <f>IF(ISBLANK('ENGAGEMENTS 2026'!C128),"",'ENGAGEMENTS 2026'!I128)</f>
        <v/>
      </c>
      <c r="F128">
        <f>IF(ISBLANK('ENGAGEMENTS 2026'!C128),"",'ENGAGEMENTS 2026'!J128)</f>
        <v/>
      </c>
      <c r="G128">
        <f>IF(ISBLANK('ENGAGEMENTS 2026'!C128),"",'ENGAGEMENTS 2026'!M128)</f>
        <v/>
      </c>
      <c r="H128">
        <f>IF(ISBLANK('ENGAGEMENTS 2026'!C128),"",'ENGAGEMENTS 2026'!AF128)</f>
        <v/>
      </c>
      <c r="I128">
        <f>IF(ISBLANK('ENGAGEMENTS 2026'!C128),"",'ENGAGEMENTS 2026'!H128)</f>
        <v/>
      </c>
      <c r="J128" s="275">
        <f>IF(ISBLANK('ENGAGEMENTS 2026'!C128),"",IF(AND(OR($E128="INFRUCTUEUX",$E128="ANNULE"),$C128="AOO-M"),'ENGAGEMENTS 2026'!P128,IF($H128="EN COURS DE PREENGAGEMENT",'ENGAGEMENTS 2026'!O128,IF($H128="PREENGAGE",IF($E128="ATTRIBUE",'ENGAGEMENTS 2026'!AE128,'ENGAGEMENTS 2026'!O128),'ENGAGEMENTS 2026'!AE128))))</f>
        <v/>
      </c>
      <c r="K128" s="604">
        <f>IF(ISBLANK('ENGAGEMENTS 2026'!W128),"",'ENGAGEMENTS 2026'!W128)</f>
        <v/>
      </c>
      <c r="L128" s="276">
        <f>IF($K128="","",TODAY()-$K128)</f>
        <v/>
      </c>
      <c r="M128">
        <f>IF($A128="","",IF($H128="ENGAGE","Engagé",IF(AND($H128="NON ENGAGE",OR($I128="INFRUCTUEUX",$I128="ANNULE")),"Clôturé sans suite","En cours")))</f>
        <v/>
      </c>
      <c r="N128">
        <f>IF(ISBLANK('ENGAGEMENTS 2026'!C128),"",'ENGAGEMENTS 2026'!L128)</f>
        <v/>
      </c>
      <c r="O128">
        <f>IF(ISBLANK('ENGAGEMENTS 2026'!C128),"",'ENGAGEMENTS 2026'!M128)</f>
        <v/>
      </c>
      <c r="P128">
        <f>IF(ISBLANK('ENGAGEMENTS 2026'!C128),"",'ENGAGEMENTS 2026'!K128)</f>
        <v/>
      </c>
      <c r="Q128">
        <f>IF($A128="","",IF(OR($E128="INFRUCTUEUX",$E128="ANNULE"),$A128&amp;"|"&amp;(COUNTIFS($A$2:$A128,$A128,$E$2:$E128,"INFRUCTUEUX")+COUNTIFS($A$2:$A128,$A128,$E$2:$E128,"ANNULE")),""))</f>
        <v/>
      </c>
    </row>
    <row r="129">
      <c r="A129">
        <f>IF(ISBLANK('ENGAGEMENTS 2026'!C129),"",IF('ENGAGEMENTS 2026'!C129="DTSI","DCT",'ENGAGEMENTS 2026'!C129))</f>
        <v/>
      </c>
      <c r="B129">
        <f>IF(ISBLANK('ENGAGEMENTS 2026'!C129),"",'ENGAGEMENTS 2026'!D129)</f>
        <v/>
      </c>
      <c r="C129">
        <f>IF(ISBLANK('ENGAGEMENTS 2026'!C129),"",'ENGAGEMENTS 2026'!E129)</f>
        <v/>
      </c>
      <c r="D129">
        <f>IF(ISBLANK('ENGAGEMENTS 2026'!C129),"",'ENGAGEMENTS 2026'!G129)</f>
        <v/>
      </c>
      <c r="E129">
        <f>IF(ISBLANK('ENGAGEMENTS 2026'!C129),"",'ENGAGEMENTS 2026'!I129)</f>
        <v/>
      </c>
      <c r="F129">
        <f>IF(ISBLANK('ENGAGEMENTS 2026'!C129),"",'ENGAGEMENTS 2026'!J129)</f>
        <v/>
      </c>
      <c r="G129">
        <f>IF(ISBLANK('ENGAGEMENTS 2026'!C129),"",'ENGAGEMENTS 2026'!M129)</f>
        <v/>
      </c>
      <c r="H129">
        <f>IF(ISBLANK('ENGAGEMENTS 2026'!C129),"",'ENGAGEMENTS 2026'!AF129)</f>
        <v/>
      </c>
      <c r="I129">
        <f>IF(ISBLANK('ENGAGEMENTS 2026'!C129),"",'ENGAGEMENTS 2026'!H129)</f>
        <v/>
      </c>
      <c r="J129" s="275">
        <f>IF(ISBLANK('ENGAGEMENTS 2026'!C129),"",IF(AND(OR($E129="INFRUCTUEUX",$E129="ANNULE"),$C129="AOO-M"),'ENGAGEMENTS 2026'!P129,IF($H129="EN COURS DE PREENGAGEMENT",'ENGAGEMENTS 2026'!O129,IF($H129="PREENGAGE",IF($E129="ATTRIBUE",'ENGAGEMENTS 2026'!AE129,'ENGAGEMENTS 2026'!O129),'ENGAGEMENTS 2026'!AE129))))</f>
        <v/>
      </c>
      <c r="K129" s="604">
        <f>IF(ISBLANK('ENGAGEMENTS 2026'!W129),"",'ENGAGEMENTS 2026'!W129)</f>
        <v/>
      </c>
      <c r="L129" s="276">
        <f>IF($K129="","",TODAY()-$K129)</f>
        <v/>
      </c>
      <c r="M129">
        <f>IF($A129="","",IF($H129="ENGAGE","Engagé",IF(AND($H129="NON ENGAGE",OR($I129="INFRUCTUEUX",$I129="ANNULE")),"Clôturé sans suite","En cours")))</f>
        <v/>
      </c>
      <c r="N129">
        <f>IF(ISBLANK('ENGAGEMENTS 2026'!C129),"",'ENGAGEMENTS 2026'!L129)</f>
        <v/>
      </c>
      <c r="O129">
        <f>IF(ISBLANK('ENGAGEMENTS 2026'!C129),"",'ENGAGEMENTS 2026'!M129)</f>
        <v/>
      </c>
      <c r="P129">
        <f>IF(ISBLANK('ENGAGEMENTS 2026'!C129),"",'ENGAGEMENTS 2026'!K129)</f>
        <v/>
      </c>
      <c r="Q129">
        <f>IF($A129="","",IF(OR($E129="INFRUCTUEUX",$E129="ANNULE"),$A129&amp;"|"&amp;(COUNTIFS($A$2:$A129,$A129,$E$2:$E129,"INFRUCTUEUX")+COUNTIFS($A$2:$A129,$A129,$E$2:$E129,"ANNULE")),""))</f>
        <v/>
      </c>
    </row>
    <row r="130">
      <c r="A130">
        <f>IF(ISBLANK('ENGAGEMENTS 2026'!C130),"",IF('ENGAGEMENTS 2026'!C130="DTSI","DCT",'ENGAGEMENTS 2026'!C130))</f>
        <v/>
      </c>
      <c r="B130">
        <f>IF(ISBLANK('ENGAGEMENTS 2026'!C130),"",'ENGAGEMENTS 2026'!D130)</f>
        <v/>
      </c>
      <c r="C130">
        <f>IF(ISBLANK('ENGAGEMENTS 2026'!C130),"",'ENGAGEMENTS 2026'!E130)</f>
        <v/>
      </c>
      <c r="D130">
        <f>IF(ISBLANK('ENGAGEMENTS 2026'!C130),"",'ENGAGEMENTS 2026'!G130)</f>
        <v/>
      </c>
      <c r="E130">
        <f>IF(ISBLANK('ENGAGEMENTS 2026'!C130),"",'ENGAGEMENTS 2026'!I130)</f>
        <v/>
      </c>
      <c r="F130">
        <f>IF(ISBLANK('ENGAGEMENTS 2026'!C130),"",'ENGAGEMENTS 2026'!J130)</f>
        <v/>
      </c>
      <c r="G130">
        <f>IF(ISBLANK('ENGAGEMENTS 2026'!C130),"",'ENGAGEMENTS 2026'!M130)</f>
        <v/>
      </c>
      <c r="H130">
        <f>IF(ISBLANK('ENGAGEMENTS 2026'!C130),"",'ENGAGEMENTS 2026'!AF130)</f>
        <v/>
      </c>
      <c r="I130">
        <f>IF(ISBLANK('ENGAGEMENTS 2026'!C130),"",'ENGAGEMENTS 2026'!H130)</f>
        <v/>
      </c>
      <c r="J130" s="275">
        <f>IF(ISBLANK('ENGAGEMENTS 2026'!C130),"",IF(AND(OR($E130="INFRUCTUEUX",$E130="ANNULE"),$C130="AOO-M"),'ENGAGEMENTS 2026'!P130,IF($H130="EN COURS DE PREENGAGEMENT",'ENGAGEMENTS 2026'!O130,IF($H130="PREENGAGE",IF($E130="ATTRIBUE",'ENGAGEMENTS 2026'!AE130,'ENGAGEMENTS 2026'!O130),'ENGAGEMENTS 2026'!AE130))))</f>
        <v/>
      </c>
      <c r="K130" s="604">
        <f>IF(ISBLANK('ENGAGEMENTS 2026'!W130),"",'ENGAGEMENTS 2026'!W130)</f>
        <v/>
      </c>
      <c r="L130" s="276">
        <f>IF($K130="","",TODAY()-$K130)</f>
        <v/>
      </c>
      <c r="M130">
        <f>IF($A130="","",IF($H130="ENGAGE","Engagé",IF(AND($H130="NON ENGAGE",OR($I130="INFRUCTUEUX",$I130="ANNULE")),"Clôturé sans suite","En cours")))</f>
        <v/>
      </c>
      <c r="N130">
        <f>IF(ISBLANK('ENGAGEMENTS 2026'!C130),"",'ENGAGEMENTS 2026'!L130)</f>
        <v/>
      </c>
      <c r="O130">
        <f>IF(ISBLANK('ENGAGEMENTS 2026'!C130),"",'ENGAGEMENTS 2026'!M130)</f>
        <v/>
      </c>
      <c r="P130">
        <f>IF(ISBLANK('ENGAGEMENTS 2026'!C130),"",'ENGAGEMENTS 2026'!K130)</f>
        <v/>
      </c>
      <c r="Q130">
        <f>IF($A130="","",IF(OR($E130="INFRUCTUEUX",$E130="ANNULE"),$A130&amp;"|"&amp;(COUNTIFS($A$2:$A130,$A130,$E$2:$E130,"INFRUCTUEUX")+COUNTIFS($A$2:$A130,$A130,$E$2:$E130,"ANNULE")),""))</f>
        <v/>
      </c>
    </row>
    <row r="131">
      <c r="A131">
        <f>IF(ISBLANK('ENGAGEMENTS 2026'!C131),"",IF('ENGAGEMENTS 2026'!C131="DTSI","DCT",'ENGAGEMENTS 2026'!C131))</f>
        <v/>
      </c>
      <c r="B131">
        <f>IF(ISBLANK('ENGAGEMENTS 2026'!C131),"",'ENGAGEMENTS 2026'!D131)</f>
        <v/>
      </c>
      <c r="C131">
        <f>IF(ISBLANK('ENGAGEMENTS 2026'!C131),"",'ENGAGEMENTS 2026'!E131)</f>
        <v/>
      </c>
      <c r="D131">
        <f>IF(ISBLANK('ENGAGEMENTS 2026'!C131),"",'ENGAGEMENTS 2026'!G131)</f>
        <v/>
      </c>
      <c r="E131">
        <f>IF(ISBLANK('ENGAGEMENTS 2026'!C131),"",'ENGAGEMENTS 2026'!I131)</f>
        <v/>
      </c>
      <c r="F131">
        <f>IF(ISBLANK('ENGAGEMENTS 2026'!C131),"",'ENGAGEMENTS 2026'!J131)</f>
        <v/>
      </c>
      <c r="G131">
        <f>IF(ISBLANK('ENGAGEMENTS 2026'!C131),"",'ENGAGEMENTS 2026'!M131)</f>
        <v/>
      </c>
      <c r="H131">
        <f>IF(ISBLANK('ENGAGEMENTS 2026'!C131),"",'ENGAGEMENTS 2026'!AF131)</f>
        <v/>
      </c>
      <c r="I131">
        <f>IF(ISBLANK('ENGAGEMENTS 2026'!C131),"",'ENGAGEMENTS 2026'!H131)</f>
        <v/>
      </c>
      <c r="J131" s="275">
        <f>IF(ISBLANK('ENGAGEMENTS 2026'!C131),"",IF(AND(OR($E131="INFRUCTUEUX",$E131="ANNULE"),$C131="AOO-M"),'ENGAGEMENTS 2026'!P131,IF($H131="EN COURS DE PREENGAGEMENT",'ENGAGEMENTS 2026'!O131,IF($H131="PREENGAGE",IF($E131="ATTRIBUE",'ENGAGEMENTS 2026'!AE131,'ENGAGEMENTS 2026'!O131),'ENGAGEMENTS 2026'!AE131))))</f>
        <v/>
      </c>
      <c r="K131" s="604">
        <f>IF(ISBLANK('ENGAGEMENTS 2026'!W131),"",'ENGAGEMENTS 2026'!W131)</f>
        <v/>
      </c>
      <c r="L131" s="276">
        <f>IF($K131="","",TODAY()-$K131)</f>
        <v/>
      </c>
      <c r="M131">
        <f>IF($A131="","",IF($H131="ENGAGE","Engagé",IF(AND($H131="NON ENGAGE",OR($I131="INFRUCTUEUX",$I131="ANNULE")),"Clôturé sans suite","En cours")))</f>
        <v/>
      </c>
      <c r="N131">
        <f>IF(ISBLANK('ENGAGEMENTS 2026'!C131),"",'ENGAGEMENTS 2026'!L131)</f>
        <v/>
      </c>
      <c r="O131">
        <f>IF(ISBLANK('ENGAGEMENTS 2026'!C131),"",'ENGAGEMENTS 2026'!M131)</f>
        <v/>
      </c>
      <c r="P131">
        <f>IF(ISBLANK('ENGAGEMENTS 2026'!C131),"",'ENGAGEMENTS 2026'!K131)</f>
        <v/>
      </c>
      <c r="Q131">
        <f>IF($A131="","",IF(OR($E131="INFRUCTUEUX",$E131="ANNULE"),$A131&amp;"|"&amp;(COUNTIFS($A$2:$A131,$A131,$E$2:$E131,"INFRUCTUEUX")+COUNTIFS($A$2:$A131,$A131,$E$2:$E131,"ANNULE")),""))</f>
        <v/>
      </c>
    </row>
    <row r="132">
      <c r="A132">
        <f>IF(ISBLANK('ENGAGEMENTS 2026'!C132),"",IF('ENGAGEMENTS 2026'!C132="DTSI","DCT",'ENGAGEMENTS 2026'!C132))</f>
        <v/>
      </c>
      <c r="B132">
        <f>IF(ISBLANK('ENGAGEMENTS 2026'!C132),"",'ENGAGEMENTS 2026'!D132)</f>
        <v/>
      </c>
      <c r="C132">
        <f>IF(ISBLANK('ENGAGEMENTS 2026'!C132),"",'ENGAGEMENTS 2026'!E132)</f>
        <v/>
      </c>
      <c r="D132">
        <f>IF(ISBLANK('ENGAGEMENTS 2026'!C132),"",'ENGAGEMENTS 2026'!G132)</f>
        <v/>
      </c>
      <c r="E132">
        <f>IF(ISBLANK('ENGAGEMENTS 2026'!C132),"",'ENGAGEMENTS 2026'!I132)</f>
        <v/>
      </c>
      <c r="F132">
        <f>IF(ISBLANK('ENGAGEMENTS 2026'!C132),"",'ENGAGEMENTS 2026'!J132)</f>
        <v/>
      </c>
      <c r="G132">
        <f>IF(ISBLANK('ENGAGEMENTS 2026'!C132),"",'ENGAGEMENTS 2026'!M132)</f>
        <v/>
      </c>
      <c r="H132">
        <f>IF(ISBLANK('ENGAGEMENTS 2026'!C132),"",'ENGAGEMENTS 2026'!AF132)</f>
        <v/>
      </c>
      <c r="I132">
        <f>IF(ISBLANK('ENGAGEMENTS 2026'!C132),"",'ENGAGEMENTS 2026'!H132)</f>
        <v/>
      </c>
      <c r="J132" s="275">
        <f>IF(ISBLANK('ENGAGEMENTS 2026'!C132),"",IF(AND(OR($E132="INFRUCTUEUX",$E132="ANNULE"),$C132="AOO-M"),'ENGAGEMENTS 2026'!P132,IF($H132="EN COURS DE PREENGAGEMENT",'ENGAGEMENTS 2026'!O132,IF($H132="PREENGAGE",IF($E132="ATTRIBUE",'ENGAGEMENTS 2026'!AE132,'ENGAGEMENTS 2026'!O132),'ENGAGEMENTS 2026'!AE132))))</f>
        <v/>
      </c>
      <c r="K132" s="604">
        <f>IF(ISBLANK('ENGAGEMENTS 2026'!W132),"",'ENGAGEMENTS 2026'!W132)</f>
        <v/>
      </c>
      <c r="L132" s="276">
        <f>IF($K132="","",TODAY()-$K132)</f>
        <v/>
      </c>
      <c r="M132">
        <f>IF($A132="","",IF($H132="ENGAGE","Engagé",IF(AND($H132="NON ENGAGE",OR($I132="INFRUCTUEUX",$I132="ANNULE")),"Clôturé sans suite","En cours")))</f>
        <v/>
      </c>
      <c r="N132">
        <f>IF(ISBLANK('ENGAGEMENTS 2026'!C132),"",'ENGAGEMENTS 2026'!L132)</f>
        <v/>
      </c>
      <c r="O132">
        <f>IF(ISBLANK('ENGAGEMENTS 2026'!C132),"",'ENGAGEMENTS 2026'!M132)</f>
        <v/>
      </c>
      <c r="P132">
        <f>IF(ISBLANK('ENGAGEMENTS 2026'!C132),"",'ENGAGEMENTS 2026'!K132)</f>
        <v/>
      </c>
      <c r="Q132">
        <f>IF($A132="","",IF(OR($E132="INFRUCTUEUX",$E132="ANNULE"),$A132&amp;"|"&amp;(COUNTIFS($A$2:$A132,$A132,$E$2:$E132,"INFRUCTUEUX")+COUNTIFS($A$2:$A132,$A132,$E$2:$E132,"ANNULE")),""))</f>
        <v/>
      </c>
    </row>
    <row r="133">
      <c r="A133">
        <f>IF(ISBLANK('ENGAGEMENTS 2026'!C133),"",IF('ENGAGEMENTS 2026'!C133="DTSI","DCT",'ENGAGEMENTS 2026'!C133))</f>
        <v/>
      </c>
      <c r="B133">
        <f>IF(ISBLANK('ENGAGEMENTS 2026'!C133),"",'ENGAGEMENTS 2026'!D133)</f>
        <v/>
      </c>
      <c r="C133">
        <f>IF(ISBLANK('ENGAGEMENTS 2026'!C133),"",'ENGAGEMENTS 2026'!E133)</f>
        <v/>
      </c>
      <c r="D133">
        <f>IF(ISBLANK('ENGAGEMENTS 2026'!C133),"",'ENGAGEMENTS 2026'!G133)</f>
        <v/>
      </c>
      <c r="E133">
        <f>IF(ISBLANK('ENGAGEMENTS 2026'!C133),"",'ENGAGEMENTS 2026'!I133)</f>
        <v/>
      </c>
      <c r="F133">
        <f>IF(ISBLANK('ENGAGEMENTS 2026'!C133),"",'ENGAGEMENTS 2026'!J133)</f>
        <v/>
      </c>
      <c r="G133">
        <f>IF(ISBLANK('ENGAGEMENTS 2026'!C133),"",'ENGAGEMENTS 2026'!M133)</f>
        <v/>
      </c>
      <c r="H133">
        <f>IF(ISBLANK('ENGAGEMENTS 2026'!C133),"",'ENGAGEMENTS 2026'!AF133)</f>
        <v/>
      </c>
      <c r="I133">
        <f>IF(ISBLANK('ENGAGEMENTS 2026'!C133),"",'ENGAGEMENTS 2026'!H133)</f>
        <v/>
      </c>
      <c r="J133" s="275">
        <f>IF(ISBLANK('ENGAGEMENTS 2026'!C133),"",IF(AND(OR($E133="INFRUCTUEUX",$E133="ANNULE"),$C133="AOO-M"),'ENGAGEMENTS 2026'!P133,IF($H133="EN COURS DE PREENGAGEMENT",'ENGAGEMENTS 2026'!O133,IF($H133="PREENGAGE",IF($E133="ATTRIBUE",'ENGAGEMENTS 2026'!AE133,'ENGAGEMENTS 2026'!O133),'ENGAGEMENTS 2026'!AE133))))</f>
        <v/>
      </c>
      <c r="K133" s="604">
        <f>IF(ISBLANK('ENGAGEMENTS 2026'!W133),"",'ENGAGEMENTS 2026'!W133)</f>
        <v/>
      </c>
      <c r="L133" s="276">
        <f>IF($K133="","",TODAY()-$K133)</f>
        <v/>
      </c>
      <c r="M133">
        <f>IF($A133="","",IF($H133="ENGAGE","Engagé",IF(AND($H133="NON ENGAGE",OR($I133="INFRUCTUEUX",$I133="ANNULE")),"Clôturé sans suite","En cours")))</f>
        <v/>
      </c>
      <c r="N133">
        <f>IF(ISBLANK('ENGAGEMENTS 2026'!C133),"",'ENGAGEMENTS 2026'!L133)</f>
        <v/>
      </c>
      <c r="O133">
        <f>IF(ISBLANK('ENGAGEMENTS 2026'!C133),"",'ENGAGEMENTS 2026'!M133)</f>
        <v/>
      </c>
      <c r="P133">
        <f>IF(ISBLANK('ENGAGEMENTS 2026'!C133),"",'ENGAGEMENTS 2026'!K133)</f>
        <v/>
      </c>
      <c r="Q133">
        <f>IF($A133="","",IF(OR($E133="INFRUCTUEUX",$E133="ANNULE"),$A133&amp;"|"&amp;(COUNTIFS($A$2:$A133,$A133,$E$2:$E133,"INFRUCTUEUX")+COUNTIFS($A$2:$A133,$A133,$E$2:$E133,"ANNULE")),""))</f>
        <v/>
      </c>
    </row>
    <row r="134">
      <c r="A134">
        <f>IF(ISBLANK('ENGAGEMENTS 2026'!C134),"",IF('ENGAGEMENTS 2026'!C134="DTSI","DCT",'ENGAGEMENTS 2026'!C134))</f>
        <v/>
      </c>
      <c r="B134">
        <f>IF(ISBLANK('ENGAGEMENTS 2026'!C134),"",'ENGAGEMENTS 2026'!D134)</f>
        <v/>
      </c>
      <c r="C134">
        <f>IF(ISBLANK('ENGAGEMENTS 2026'!C134),"",'ENGAGEMENTS 2026'!E134)</f>
        <v/>
      </c>
      <c r="D134">
        <f>IF(ISBLANK('ENGAGEMENTS 2026'!C134),"",'ENGAGEMENTS 2026'!G134)</f>
        <v/>
      </c>
      <c r="E134">
        <f>IF(ISBLANK('ENGAGEMENTS 2026'!C134),"",'ENGAGEMENTS 2026'!I134)</f>
        <v/>
      </c>
      <c r="F134">
        <f>IF(ISBLANK('ENGAGEMENTS 2026'!C134),"",'ENGAGEMENTS 2026'!J134)</f>
        <v/>
      </c>
      <c r="G134">
        <f>IF(ISBLANK('ENGAGEMENTS 2026'!C134),"",'ENGAGEMENTS 2026'!M134)</f>
        <v/>
      </c>
      <c r="H134">
        <f>IF(ISBLANK('ENGAGEMENTS 2026'!C134),"",'ENGAGEMENTS 2026'!AF134)</f>
        <v/>
      </c>
      <c r="I134">
        <f>IF(ISBLANK('ENGAGEMENTS 2026'!C134),"",'ENGAGEMENTS 2026'!H134)</f>
        <v/>
      </c>
      <c r="J134" s="275">
        <f>IF(ISBLANK('ENGAGEMENTS 2026'!C134),"",IF(AND(OR($E134="INFRUCTUEUX",$E134="ANNULE"),$C134="AOO-M"),'ENGAGEMENTS 2026'!P134,IF($H134="EN COURS DE PREENGAGEMENT",'ENGAGEMENTS 2026'!O134,IF($H134="PREENGAGE",IF($E134="ATTRIBUE",'ENGAGEMENTS 2026'!AE134,'ENGAGEMENTS 2026'!O134),'ENGAGEMENTS 2026'!AE134))))</f>
        <v/>
      </c>
      <c r="K134" s="604">
        <f>IF(ISBLANK('ENGAGEMENTS 2026'!W134),"",'ENGAGEMENTS 2026'!W134)</f>
        <v/>
      </c>
      <c r="L134" s="276">
        <f>IF($K134="","",TODAY()-$K134)</f>
        <v/>
      </c>
      <c r="M134">
        <f>IF($A134="","",IF($H134="ENGAGE","Engagé",IF(AND($H134="NON ENGAGE",OR($I134="INFRUCTUEUX",$I134="ANNULE")),"Clôturé sans suite","En cours")))</f>
        <v/>
      </c>
      <c r="N134">
        <f>IF(ISBLANK('ENGAGEMENTS 2026'!C134),"",'ENGAGEMENTS 2026'!L134)</f>
        <v/>
      </c>
      <c r="O134">
        <f>IF(ISBLANK('ENGAGEMENTS 2026'!C134),"",'ENGAGEMENTS 2026'!M134)</f>
        <v/>
      </c>
      <c r="P134">
        <f>IF(ISBLANK('ENGAGEMENTS 2026'!C134),"",'ENGAGEMENTS 2026'!K134)</f>
        <v/>
      </c>
      <c r="Q134">
        <f>IF($A134="","",IF(OR($E134="INFRUCTUEUX",$E134="ANNULE"),$A134&amp;"|"&amp;(COUNTIFS($A$2:$A134,$A134,$E$2:$E134,"INFRUCTUEUX")+COUNTIFS($A$2:$A134,$A134,$E$2:$E134,"ANNULE")),""))</f>
        <v/>
      </c>
    </row>
    <row r="135">
      <c r="A135">
        <f>IF(ISBLANK('ENGAGEMENTS 2026'!C135),"",IF('ENGAGEMENTS 2026'!C135="DTSI","DCT",'ENGAGEMENTS 2026'!C135))</f>
        <v/>
      </c>
      <c r="B135">
        <f>IF(ISBLANK('ENGAGEMENTS 2026'!C135),"",'ENGAGEMENTS 2026'!D135)</f>
        <v/>
      </c>
      <c r="C135">
        <f>IF(ISBLANK('ENGAGEMENTS 2026'!C135),"",'ENGAGEMENTS 2026'!E135)</f>
        <v/>
      </c>
      <c r="D135">
        <f>IF(ISBLANK('ENGAGEMENTS 2026'!C135),"",'ENGAGEMENTS 2026'!G135)</f>
        <v/>
      </c>
      <c r="E135">
        <f>IF(ISBLANK('ENGAGEMENTS 2026'!C135),"",'ENGAGEMENTS 2026'!I135)</f>
        <v/>
      </c>
      <c r="F135">
        <f>IF(ISBLANK('ENGAGEMENTS 2026'!C135),"",'ENGAGEMENTS 2026'!J135)</f>
        <v/>
      </c>
      <c r="G135">
        <f>IF(ISBLANK('ENGAGEMENTS 2026'!C135),"",'ENGAGEMENTS 2026'!M135)</f>
        <v/>
      </c>
      <c r="H135">
        <f>IF(ISBLANK('ENGAGEMENTS 2026'!C135),"",'ENGAGEMENTS 2026'!AF135)</f>
        <v/>
      </c>
      <c r="I135">
        <f>IF(ISBLANK('ENGAGEMENTS 2026'!C135),"",'ENGAGEMENTS 2026'!H135)</f>
        <v/>
      </c>
      <c r="J135" s="275">
        <f>IF(ISBLANK('ENGAGEMENTS 2026'!C135),"",IF(AND(OR($E135="INFRUCTUEUX",$E135="ANNULE"),$C135="AOO-M"),'ENGAGEMENTS 2026'!P135,IF($H135="EN COURS DE PREENGAGEMENT",'ENGAGEMENTS 2026'!O135,IF($H135="PREENGAGE",IF($E135="ATTRIBUE",'ENGAGEMENTS 2026'!AE135,'ENGAGEMENTS 2026'!O135),'ENGAGEMENTS 2026'!AE135))))</f>
        <v/>
      </c>
      <c r="K135" s="604">
        <f>IF(ISBLANK('ENGAGEMENTS 2026'!W135),"",'ENGAGEMENTS 2026'!W135)</f>
        <v/>
      </c>
      <c r="L135" s="276">
        <f>IF($K135="","",TODAY()-$K135)</f>
        <v/>
      </c>
      <c r="M135">
        <f>IF($A135="","",IF($H135="ENGAGE","Engagé",IF(AND($H135="NON ENGAGE",OR($I135="INFRUCTUEUX",$I135="ANNULE")),"Clôturé sans suite","En cours")))</f>
        <v/>
      </c>
      <c r="N135">
        <f>IF(ISBLANK('ENGAGEMENTS 2026'!C135),"",'ENGAGEMENTS 2026'!L135)</f>
        <v/>
      </c>
      <c r="O135">
        <f>IF(ISBLANK('ENGAGEMENTS 2026'!C135),"",'ENGAGEMENTS 2026'!M135)</f>
        <v/>
      </c>
      <c r="P135">
        <f>IF(ISBLANK('ENGAGEMENTS 2026'!C135),"",'ENGAGEMENTS 2026'!K135)</f>
        <v/>
      </c>
      <c r="Q135">
        <f>IF($A135="","",IF(OR($E135="INFRUCTUEUX",$E135="ANNULE"),$A135&amp;"|"&amp;(COUNTIFS($A$2:$A135,$A135,$E$2:$E135,"INFRUCTUEUX")+COUNTIFS($A$2:$A135,$A135,$E$2:$E135,"ANNULE")),""))</f>
        <v/>
      </c>
    </row>
    <row r="136">
      <c r="A136">
        <f>IF(ISBLANK('ENGAGEMENTS 2026'!C136),"",IF('ENGAGEMENTS 2026'!C136="DTSI","DCT",'ENGAGEMENTS 2026'!C136))</f>
        <v/>
      </c>
      <c r="B136">
        <f>IF(ISBLANK('ENGAGEMENTS 2026'!C136),"",'ENGAGEMENTS 2026'!D136)</f>
        <v/>
      </c>
      <c r="C136">
        <f>IF(ISBLANK('ENGAGEMENTS 2026'!C136),"",'ENGAGEMENTS 2026'!E136)</f>
        <v/>
      </c>
      <c r="D136">
        <f>IF(ISBLANK('ENGAGEMENTS 2026'!C136),"",'ENGAGEMENTS 2026'!G136)</f>
        <v/>
      </c>
      <c r="E136">
        <f>IF(ISBLANK('ENGAGEMENTS 2026'!C136),"",'ENGAGEMENTS 2026'!I136)</f>
        <v/>
      </c>
      <c r="F136">
        <f>IF(ISBLANK('ENGAGEMENTS 2026'!C136),"",'ENGAGEMENTS 2026'!J136)</f>
        <v/>
      </c>
      <c r="G136">
        <f>IF(ISBLANK('ENGAGEMENTS 2026'!C136),"",'ENGAGEMENTS 2026'!M136)</f>
        <v/>
      </c>
      <c r="H136">
        <f>IF(ISBLANK('ENGAGEMENTS 2026'!C136),"",'ENGAGEMENTS 2026'!AF136)</f>
        <v/>
      </c>
      <c r="I136">
        <f>IF(ISBLANK('ENGAGEMENTS 2026'!C136),"",'ENGAGEMENTS 2026'!H136)</f>
        <v/>
      </c>
      <c r="J136" s="275">
        <f>IF(ISBLANK('ENGAGEMENTS 2026'!C136),"",IF(AND(OR($E136="INFRUCTUEUX",$E136="ANNULE"),$C136="AOO-M"),'ENGAGEMENTS 2026'!P136,IF($H136="EN COURS DE PREENGAGEMENT",'ENGAGEMENTS 2026'!O136,IF($H136="PREENGAGE",IF($E136="ATTRIBUE",'ENGAGEMENTS 2026'!AE136,'ENGAGEMENTS 2026'!O136),'ENGAGEMENTS 2026'!AE136))))</f>
        <v/>
      </c>
      <c r="K136" s="604">
        <f>IF(ISBLANK('ENGAGEMENTS 2026'!W136),"",'ENGAGEMENTS 2026'!W136)</f>
        <v/>
      </c>
      <c r="L136" s="276">
        <f>IF($K136="","",TODAY()-$K136)</f>
        <v/>
      </c>
      <c r="M136">
        <f>IF($A136="","",IF($H136="ENGAGE","Engagé",IF(AND($H136="NON ENGAGE",OR($I136="INFRUCTUEUX",$I136="ANNULE")),"Clôturé sans suite","En cours")))</f>
        <v/>
      </c>
      <c r="N136">
        <f>IF(ISBLANK('ENGAGEMENTS 2026'!C136),"",'ENGAGEMENTS 2026'!L136)</f>
        <v/>
      </c>
      <c r="O136">
        <f>IF(ISBLANK('ENGAGEMENTS 2026'!C136),"",'ENGAGEMENTS 2026'!M136)</f>
        <v/>
      </c>
      <c r="P136">
        <f>IF(ISBLANK('ENGAGEMENTS 2026'!C136),"",'ENGAGEMENTS 2026'!K136)</f>
        <v/>
      </c>
      <c r="Q136">
        <f>IF($A136="","",IF(OR($E136="INFRUCTUEUX",$E136="ANNULE"),$A136&amp;"|"&amp;(COUNTIFS($A$2:$A136,$A136,$E$2:$E136,"INFRUCTUEUX")+COUNTIFS($A$2:$A136,$A136,$E$2:$E136,"ANNULE")),""))</f>
        <v/>
      </c>
    </row>
    <row r="137">
      <c r="A137">
        <f>IF(ISBLANK('ENGAGEMENTS 2026'!C137),"",IF('ENGAGEMENTS 2026'!C137="DTSI","DCT",'ENGAGEMENTS 2026'!C137))</f>
        <v/>
      </c>
      <c r="B137">
        <f>IF(ISBLANK('ENGAGEMENTS 2026'!C137),"",'ENGAGEMENTS 2026'!D137)</f>
        <v/>
      </c>
      <c r="C137">
        <f>IF(ISBLANK('ENGAGEMENTS 2026'!C137),"",'ENGAGEMENTS 2026'!E137)</f>
        <v/>
      </c>
      <c r="D137">
        <f>IF(ISBLANK('ENGAGEMENTS 2026'!C137),"",'ENGAGEMENTS 2026'!G137)</f>
        <v/>
      </c>
      <c r="E137">
        <f>IF(ISBLANK('ENGAGEMENTS 2026'!C137),"",'ENGAGEMENTS 2026'!I137)</f>
        <v/>
      </c>
      <c r="F137">
        <f>IF(ISBLANK('ENGAGEMENTS 2026'!C137),"",'ENGAGEMENTS 2026'!J137)</f>
        <v/>
      </c>
      <c r="G137">
        <f>IF(ISBLANK('ENGAGEMENTS 2026'!C137),"",'ENGAGEMENTS 2026'!M137)</f>
        <v/>
      </c>
      <c r="H137">
        <f>IF(ISBLANK('ENGAGEMENTS 2026'!C137),"",'ENGAGEMENTS 2026'!AF137)</f>
        <v/>
      </c>
      <c r="I137">
        <f>IF(ISBLANK('ENGAGEMENTS 2026'!C137),"",'ENGAGEMENTS 2026'!H137)</f>
        <v/>
      </c>
      <c r="J137" s="275">
        <f>IF(ISBLANK('ENGAGEMENTS 2026'!C137),"",IF(AND(OR($E137="INFRUCTUEUX",$E137="ANNULE"),$C137="AOO-M"),'ENGAGEMENTS 2026'!P137,IF($H137="EN COURS DE PREENGAGEMENT",'ENGAGEMENTS 2026'!O137,IF($H137="PREENGAGE",IF($E137="ATTRIBUE",'ENGAGEMENTS 2026'!AE137,'ENGAGEMENTS 2026'!O137),'ENGAGEMENTS 2026'!AE137))))</f>
        <v/>
      </c>
      <c r="K137" s="604">
        <f>IF(ISBLANK('ENGAGEMENTS 2026'!W137),"",'ENGAGEMENTS 2026'!W137)</f>
        <v/>
      </c>
      <c r="L137" s="276">
        <f>IF($K137="","",TODAY()-$K137)</f>
        <v/>
      </c>
      <c r="M137">
        <f>IF($A137="","",IF($H137="ENGAGE","Engagé",IF(AND($H137="NON ENGAGE",OR($I137="INFRUCTUEUX",$I137="ANNULE")),"Clôturé sans suite","En cours")))</f>
        <v/>
      </c>
      <c r="N137">
        <f>IF(ISBLANK('ENGAGEMENTS 2026'!C137),"",'ENGAGEMENTS 2026'!L137)</f>
        <v/>
      </c>
      <c r="O137">
        <f>IF(ISBLANK('ENGAGEMENTS 2026'!C137),"",'ENGAGEMENTS 2026'!M137)</f>
        <v/>
      </c>
      <c r="P137">
        <f>IF(ISBLANK('ENGAGEMENTS 2026'!C137),"",'ENGAGEMENTS 2026'!K137)</f>
        <v/>
      </c>
      <c r="Q137">
        <f>IF($A137="","",IF(OR($E137="INFRUCTUEUX",$E137="ANNULE"),$A137&amp;"|"&amp;(COUNTIFS($A$2:$A137,$A137,$E$2:$E137,"INFRUCTUEUX")+COUNTIFS($A$2:$A137,$A137,$E$2:$E137,"ANNULE")),""))</f>
        <v/>
      </c>
    </row>
    <row r="138">
      <c r="A138">
        <f>IF(ISBLANK('ENGAGEMENTS 2026'!C138),"",IF('ENGAGEMENTS 2026'!C138="DTSI","DCT",'ENGAGEMENTS 2026'!C138))</f>
        <v/>
      </c>
      <c r="B138">
        <f>IF(ISBLANK('ENGAGEMENTS 2026'!C138),"",'ENGAGEMENTS 2026'!D138)</f>
        <v/>
      </c>
      <c r="C138">
        <f>IF(ISBLANK('ENGAGEMENTS 2026'!C138),"",'ENGAGEMENTS 2026'!E138)</f>
        <v/>
      </c>
      <c r="D138">
        <f>IF(ISBLANK('ENGAGEMENTS 2026'!C138),"",'ENGAGEMENTS 2026'!G138)</f>
        <v/>
      </c>
      <c r="E138">
        <f>IF(ISBLANK('ENGAGEMENTS 2026'!C138),"",'ENGAGEMENTS 2026'!I138)</f>
        <v/>
      </c>
      <c r="F138">
        <f>IF(ISBLANK('ENGAGEMENTS 2026'!C138),"",'ENGAGEMENTS 2026'!J138)</f>
        <v/>
      </c>
      <c r="G138">
        <f>IF(ISBLANK('ENGAGEMENTS 2026'!C138),"",'ENGAGEMENTS 2026'!M138)</f>
        <v/>
      </c>
      <c r="H138">
        <f>IF(ISBLANK('ENGAGEMENTS 2026'!C138),"",'ENGAGEMENTS 2026'!AF138)</f>
        <v/>
      </c>
      <c r="I138">
        <f>IF(ISBLANK('ENGAGEMENTS 2026'!C138),"",'ENGAGEMENTS 2026'!H138)</f>
        <v/>
      </c>
      <c r="J138" s="275">
        <f>IF(ISBLANK('ENGAGEMENTS 2026'!C138),"",IF(AND(OR($E138="INFRUCTUEUX",$E138="ANNULE"),$C138="AOO-M"),'ENGAGEMENTS 2026'!P138,IF($H138="EN COURS DE PREENGAGEMENT",'ENGAGEMENTS 2026'!O138,IF($H138="PREENGAGE",IF($E138="ATTRIBUE",'ENGAGEMENTS 2026'!AE138,'ENGAGEMENTS 2026'!O138),'ENGAGEMENTS 2026'!AE138))))</f>
        <v/>
      </c>
      <c r="K138" s="604">
        <f>IF(ISBLANK('ENGAGEMENTS 2026'!W138),"",'ENGAGEMENTS 2026'!W138)</f>
        <v/>
      </c>
      <c r="L138" s="276">
        <f>IF($K138="","",TODAY()-$K138)</f>
        <v/>
      </c>
      <c r="M138">
        <f>IF($A138="","",IF($H138="ENGAGE","Engagé",IF(AND($H138="NON ENGAGE",OR($I138="INFRUCTUEUX",$I138="ANNULE")),"Clôturé sans suite","En cours")))</f>
        <v/>
      </c>
      <c r="N138">
        <f>IF(ISBLANK('ENGAGEMENTS 2026'!C138),"",'ENGAGEMENTS 2026'!L138)</f>
        <v/>
      </c>
      <c r="O138">
        <f>IF(ISBLANK('ENGAGEMENTS 2026'!C138),"",'ENGAGEMENTS 2026'!M138)</f>
        <v/>
      </c>
      <c r="P138">
        <f>IF(ISBLANK('ENGAGEMENTS 2026'!C138),"",'ENGAGEMENTS 2026'!K138)</f>
        <v/>
      </c>
      <c r="Q138">
        <f>IF($A138="","",IF(OR($E138="INFRUCTUEUX",$E138="ANNULE"),$A138&amp;"|"&amp;(COUNTIFS($A$2:$A138,$A138,$E$2:$E138,"INFRUCTUEUX")+COUNTIFS($A$2:$A138,$A138,$E$2:$E138,"ANNULE")),""))</f>
        <v/>
      </c>
    </row>
    <row r="139">
      <c r="A139">
        <f>IF(ISBLANK('ENGAGEMENTS 2026'!C139),"",IF('ENGAGEMENTS 2026'!C139="DTSI","DCT",'ENGAGEMENTS 2026'!C139))</f>
        <v/>
      </c>
      <c r="B139">
        <f>IF(ISBLANK('ENGAGEMENTS 2026'!C139),"",'ENGAGEMENTS 2026'!D139)</f>
        <v/>
      </c>
      <c r="C139">
        <f>IF(ISBLANK('ENGAGEMENTS 2026'!C139),"",'ENGAGEMENTS 2026'!E139)</f>
        <v/>
      </c>
      <c r="D139">
        <f>IF(ISBLANK('ENGAGEMENTS 2026'!C139),"",'ENGAGEMENTS 2026'!G139)</f>
        <v/>
      </c>
      <c r="E139">
        <f>IF(ISBLANK('ENGAGEMENTS 2026'!C139),"",'ENGAGEMENTS 2026'!I139)</f>
        <v/>
      </c>
      <c r="F139">
        <f>IF(ISBLANK('ENGAGEMENTS 2026'!C139),"",'ENGAGEMENTS 2026'!J139)</f>
        <v/>
      </c>
      <c r="G139">
        <f>IF(ISBLANK('ENGAGEMENTS 2026'!C139),"",'ENGAGEMENTS 2026'!M139)</f>
        <v/>
      </c>
      <c r="H139">
        <f>IF(ISBLANK('ENGAGEMENTS 2026'!C139),"",'ENGAGEMENTS 2026'!AF139)</f>
        <v/>
      </c>
      <c r="I139">
        <f>IF(ISBLANK('ENGAGEMENTS 2026'!C139),"",'ENGAGEMENTS 2026'!H139)</f>
        <v/>
      </c>
      <c r="J139" s="275">
        <f>IF(ISBLANK('ENGAGEMENTS 2026'!C139),"",IF(AND(OR($E139="INFRUCTUEUX",$E139="ANNULE"),$C139="AOO-M"),'ENGAGEMENTS 2026'!P139,IF($H139="EN COURS DE PREENGAGEMENT",'ENGAGEMENTS 2026'!O139,IF($H139="PREENGAGE",IF($E139="ATTRIBUE",'ENGAGEMENTS 2026'!AE139,'ENGAGEMENTS 2026'!O139),'ENGAGEMENTS 2026'!AE139))))</f>
        <v/>
      </c>
      <c r="K139" s="604">
        <f>IF(ISBLANK('ENGAGEMENTS 2026'!W139),"",'ENGAGEMENTS 2026'!W139)</f>
        <v/>
      </c>
      <c r="L139" s="276">
        <f>IF($K139="","",TODAY()-$K139)</f>
        <v/>
      </c>
      <c r="M139">
        <f>IF($A139="","",IF($H139="ENGAGE","Engagé",IF(AND($H139="NON ENGAGE",OR($I139="INFRUCTUEUX",$I139="ANNULE")),"Clôturé sans suite","En cours")))</f>
        <v/>
      </c>
      <c r="N139">
        <f>IF(ISBLANK('ENGAGEMENTS 2026'!C139),"",'ENGAGEMENTS 2026'!L139)</f>
        <v/>
      </c>
      <c r="O139">
        <f>IF(ISBLANK('ENGAGEMENTS 2026'!C139),"",'ENGAGEMENTS 2026'!M139)</f>
        <v/>
      </c>
      <c r="P139">
        <f>IF(ISBLANK('ENGAGEMENTS 2026'!C139),"",'ENGAGEMENTS 2026'!K139)</f>
        <v/>
      </c>
      <c r="Q139">
        <f>IF($A139="","",IF(OR($E139="INFRUCTUEUX",$E139="ANNULE"),$A139&amp;"|"&amp;(COUNTIFS($A$2:$A139,$A139,$E$2:$E139,"INFRUCTUEUX")+COUNTIFS($A$2:$A139,$A139,$E$2:$E139,"ANNULE")),""))</f>
        <v/>
      </c>
    </row>
    <row r="140">
      <c r="A140">
        <f>IF(ISBLANK('ENGAGEMENTS 2026'!C140),"",IF('ENGAGEMENTS 2026'!C140="DTSI","DCT",'ENGAGEMENTS 2026'!C140))</f>
        <v/>
      </c>
      <c r="B140">
        <f>IF(ISBLANK('ENGAGEMENTS 2026'!C140),"",'ENGAGEMENTS 2026'!D140)</f>
        <v/>
      </c>
      <c r="C140">
        <f>IF(ISBLANK('ENGAGEMENTS 2026'!C140),"",'ENGAGEMENTS 2026'!E140)</f>
        <v/>
      </c>
      <c r="D140">
        <f>IF(ISBLANK('ENGAGEMENTS 2026'!C140),"",'ENGAGEMENTS 2026'!G140)</f>
        <v/>
      </c>
      <c r="E140">
        <f>IF(ISBLANK('ENGAGEMENTS 2026'!C140),"",'ENGAGEMENTS 2026'!I140)</f>
        <v/>
      </c>
      <c r="F140">
        <f>IF(ISBLANK('ENGAGEMENTS 2026'!C140),"",'ENGAGEMENTS 2026'!J140)</f>
        <v/>
      </c>
      <c r="G140">
        <f>IF(ISBLANK('ENGAGEMENTS 2026'!C140),"",'ENGAGEMENTS 2026'!M140)</f>
        <v/>
      </c>
      <c r="H140">
        <f>IF(ISBLANK('ENGAGEMENTS 2026'!C140),"",'ENGAGEMENTS 2026'!AF140)</f>
        <v/>
      </c>
      <c r="I140">
        <f>IF(ISBLANK('ENGAGEMENTS 2026'!C140),"",'ENGAGEMENTS 2026'!H140)</f>
        <v/>
      </c>
      <c r="J140" s="275">
        <f>IF(ISBLANK('ENGAGEMENTS 2026'!C140),"",IF(AND(OR($E140="INFRUCTUEUX",$E140="ANNULE"),$C140="AOO-M"),'ENGAGEMENTS 2026'!P140,IF($H140="EN COURS DE PREENGAGEMENT",'ENGAGEMENTS 2026'!O140,IF($H140="PREENGAGE",IF($E140="ATTRIBUE",'ENGAGEMENTS 2026'!AE140,'ENGAGEMENTS 2026'!O140),'ENGAGEMENTS 2026'!AE140))))</f>
        <v/>
      </c>
      <c r="K140" s="604">
        <f>IF(ISBLANK('ENGAGEMENTS 2026'!W140),"",'ENGAGEMENTS 2026'!W140)</f>
        <v/>
      </c>
      <c r="L140" s="276">
        <f>IF($K140="","",TODAY()-$K140)</f>
        <v/>
      </c>
      <c r="M140">
        <f>IF($A140="","",IF($H140="ENGAGE","Engagé",IF(AND($H140="NON ENGAGE",OR($I140="INFRUCTUEUX",$I140="ANNULE")),"Clôturé sans suite","En cours")))</f>
        <v/>
      </c>
      <c r="N140">
        <f>IF(ISBLANK('ENGAGEMENTS 2026'!C140),"",'ENGAGEMENTS 2026'!L140)</f>
        <v/>
      </c>
      <c r="O140">
        <f>IF(ISBLANK('ENGAGEMENTS 2026'!C140),"",'ENGAGEMENTS 2026'!M140)</f>
        <v/>
      </c>
      <c r="P140">
        <f>IF(ISBLANK('ENGAGEMENTS 2026'!C140),"",'ENGAGEMENTS 2026'!K140)</f>
        <v/>
      </c>
      <c r="Q140">
        <f>IF($A140="","",IF(OR($E140="INFRUCTUEUX",$E140="ANNULE"),$A140&amp;"|"&amp;(COUNTIFS($A$2:$A140,$A140,$E$2:$E140,"INFRUCTUEUX")+COUNTIFS($A$2:$A140,$A140,$E$2:$E140,"ANNULE")),""))</f>
        <v/>
      </c>
    </row>
    <row r="141">
      <c r="A141">
        <f>IF(ISBLANK('ENGAGEMENTS 2026'!C141),"",IF('ENGAGEMENTS 2026'!C141="DTSI","DCT",'ENGAGEMENTS 2026'!C141))</f>
        <v/>
      </c>
      <c r="B141">
        <f>IF(ISBLANK('ENGAGEMENTS 2026'!C141),"",'ENGAGEMENTS 2026'!D141)</f>
        <v/>
      </c>
      <c r="C141">
        <f>IF(ISBLANK('ENGAGEMENTS 2026'!C141),"",'ENGAGEMENTS 2026'!E141)</f>
        <v/>
      </c>
      <c r="D141">
        <f>IF(ISBLANK('ENGAGEMENTS 2026'!C141),"",'ENGAGEMENTS 2026'!G141)</f>
        <v/>
      </c>
      <c r="E141">
        <f>IF(ISBLANK('ENGAGEMENTS 2026'!C141),"",'ENGAGEMENTS 2026'!I141)</f>
        <v/>
      </c>
      <c r="F141">
        <f>IF(ISBLANK('ENGAGEMENTS 2026'!C141),"",'ENGAGEMENTS 2026'!J141)</f>
        <v/>
      </c>
      <c r="G141">
        <f>IF(ISBLANK('ENGAGEMENTS 2026'!C141),"",'ENGAGEMENTS 2026'!M141)</f>
        <v/>
      </c>
      <c r="H141">
        <f>IF(ISBLANK('ENGAGEMENTS 2026'!C141),"",'ENGAGEMENTS 2026'!AF141)</f>
        <v/>
      </c>
      <c r="I141">
        <f>IF(ISBLANK('ENGAGEMENTS 2026'!C141),"",'ENGAGEMENTS 2026'!H141)</f>
        <v/>
      </c>
      <c r="J141" s="275">
        <f>IF(ISBLANK('ENGAGEMENTS 2026'!C141),"",IF(AND(OR($E141="INFRUCTUEUX",$E141="ANNULE"),$C141="AOO-M"),'ENGAGEMENTS 2026'!P141,IF($H141="EN COURS DE PREENGAGEMENT",'ENGAGEMENTS 2026'!O141,IF($H141="PREENGAGE",IF($E141="ATTRIBUE",'ENGAGEMENTS 2026'!AE141,'ENGAGEMENTS 2026'!O141),'ENGAGEMENTS 2026'!AE141))))</f>
        <v/>
      </c>
      <c r="K141" s="604">
        <f>IF(ISBLANK('ENGAGEMENTS 2026'!W141),"",'ENGAGEMENTS 2026'!W141)</f>
        <v/>
      </c>
      <c r="L141" s="276">
        <f>IF($K141="","",TODAY()-$K141)</f>
        <v/>
      </c>
      <c r="M141">
        <f>IF($A141="","",IF($H141="ENGAGE","Engagé",IF(AND($H141="NON ENGAGE",OR($I141="INFRUCTUEUX",$I141="ANNULE")),"Clôturé sans suite","En cours")))</f>
        <v/>
      </c>
      <c r="N141">
        <f>IF(ISBLANK('ENGAGEMENTS 2026'!C141),"",'ENGAGEMENTS 2026'!L141)</f>
        <v/>
      </c>
      <c r="O141">
        <f>IF(ISBLANK('ENGAGEMENTS 2026'!C141),"",'ENGAGEMENTS 2026'!M141)</f>
        <v/>
      </c>
      <c r="P141">
        <f>IF(ISBLANK('ENGAGEMENTS 2026'!C141),"",'ENGAGEMENTS 2026'!K141)</f>
        <v/>
      </c>
      <c r="Q141">
        <f>IF($A141="","",IF(OR($E141="INFRUCTUEUX",$E141="ANNULE"),$A141&amp;"|"&amp;(COUNTIFS($A$2:$A141,$A141,$E$2:$E141,"INFRUCTUEUX")+COUNTIFS($A$2:$A141,$A141,$E$2:$E141,"ANNULE")),""))</f>
        <v/>
      </c>
    </row>
    <row r="142">
      <c r="A142">
        <f>IF(ISBLANK('ENGAGEMENTS 2026'!C142),"",IF('ENGAGEMENTS 2026'!C142="DTSI","DCT",'ENGAGEMENTS 2026'!C142))</f>
        <v/>
      </c>
      <c r="B142">
        <f>IF(ISBLANK('ENGAGEMENTS 2026'!C142),"",'ENGAGEMENTS 2026'!D142)</f>
        <v/>
      </c>
      <c r="C142">
        <f>IF(ISBLANK('ENGAGEMENTS 2026'!C142),"",'ENGAGEMENTS 2026'!E142)</f>
        <v/>
      </c>
      <c r="D142">
        <f>IF(ISBLANK('ENGAGEMENTS 2026'!C142),"",'ENGAGEMENTS 2026'!G142)</f>
        <v/>
      </c>
      <c r="E142">
        <f>IF(ISBLANK('ENGAGEMENTS 2026'!C142),"",'ENGAGEMENTS 2026'!I142)</f>
        <v/>
      </c>
      <c r="F142">
        <f>IF(ISBLANK('ENGAGEMENTS 2026'!C142),"",'ENGAGEMENTS 2026'!J142)</f>
        <v/>
      </c>
      <c r="G142">
        <f>IF(ISBLANK('ENGAGEMENTS 2026'!C142),"",'ENGAGEMENTS 2026'!M142)</f>
        <v/>
      </c>
      <c r="H142">
        <f>IF(ISBLANK('ENGAGEMENTS 2026'!C142),"",'ENGAGEMENTS 2026'!AF142)</f>
        <v/>
      </c>
      <c r="I142">
        <f>IF(ISBLANK('ENGAGEMENTS 2026'!C142),"",'ENGAGEMENTS 2026'!H142)</f>
        <v/>
      </c>
      <c r="J142" s="275">
        <f>IF(ISBLANK('ENGAGEMENTS 2026'!C142),"",IF(AND(OR($E142="INFRUCTUEUX",$E142="ANNULE"),$C142="AOO-M"),'ENGAGEMENTS 2026'!P142,IF($H142="EN COURS DE PREENGAGEMENT",'ENGAGEMENTS 2026'!O142,IF($H142="PREENGAGE",IF($E142="ATTRIBUE",'ENGAGEMENTS 2026'!AE142,'ENGAGEMENTS 2026'!O142),'ENGAGEMENTS 2026'!AE142))))</f>
        <v/>
      </c>
      <c r="K142" s="604">
        <f>IF(ISBLANK('ENGAGEMENTS 2026'!W142),"",'ENGAGEMENTS 2026'!W142)</f>
        <v/>
      </c>
      <c r="L142" s="276">
        <f>IF($K142="","",TODAY()-$K142)</f>
        <v/>
      </c>
      <c r="M142">
        <f>IF($A142="","",IF($H142="ENGAGE","Engagé",IF(AND($H142="NON ENGAGE",OR($I142="INFRUCTUEUX",$I142="ANNULE")),"Clôturé sans suite","En cours")))</f>
        <v/>
      </c>
      <c r="N142">
        <f>IF(ISBLANK('ENGAGEMENTS 2026'!C142),"",'ENGAGEMENTS 2026'!L142)</f>
        <v/>
      </c>
      <c r="O142">
        <f>IF(ISBLANK('ENGAGEMENTS 2026'!C142),"",'ENGAGEMENTS 2026'!M142)</f>
        <v/>
      </c>
      <c r="P142">
        <f>IF(ISBLANK('ENGAGEMENTS 2026'!C142),"",'ENGAGEMENTS 2026'!K142)</f>
        <v/>
      </c>
      <c r="Q142">
        <f>IF($A142="","",IF(OR($E142="INFRUCTUEUX",$E142="ANNULE"),$A142&amp;"|"&amp;(COUNTIFS($A$2:$A142,$A142,$E$2:$E142,"INFRUCTUEUX")+COUNTIFS($A$2:$A142,$A142,$E$2:$E142,"ANNULE")),""))</f>
        <v/>
      </c>
    </row>
    <row r="143">
      <c r="A143">
        <f>IF(ISBLANK('ENGAGEMENTS 2026'!C143),"",IF('ENGAGEMENTS 2026'!C143="DTSI","DCT",'ENGAGEMENTS 2026'!C143))</f>
        <v/>
      </c>
      <c r="B143">
        <f>IF(ISBLANK('ENGAGEMENTS 2026'!C143),"",'ENGAGEMENTS 2026'!D143)</f>
        <v/>
      </c>
      <c r="C143">
        <f>IF(ISBLANK('ENGAGEMENTS 2026'!C143),"",'ENGAGEMENTS 2026'!E143)</f>
        <v/>
      </c>
      <c r="D143">
        <f>IF(ISBLANK('ENGAGEMENTS 2026'!C143),"",'ENGAGEMENTS 2026'!G143)</f>
        <v/>
      </c>
      <c r="E143">
        <f>IF(ISBLANK('ENGAGEMENTS 2026'!C143),"",'ENGAGEMENTS 2026'!I143)</f>
        <v/>
      </c>
      <c r="F143">
        <f>IF(ISBLANK('ENGAGEMENTS 2026'!C143),"",'ENGAGEMENTS 2026'!J143)</f>
        <v/>
      </c>
      <c r="G143">
        <f>IF(ISBLANK('ENGAGEMENTS 2026'!C143),"",'ENGAGEMENTS 2026'!M143)</f>
        <v/>
      </c>
      <c r="H143">
        <f>IF(ISBLANK('ENGAGEMENTS 2026'!C143),"",'ENGAGEMENTS 2026'!AF143)</f>
        <v/>
      </c>
      <c r="I143">
        <f>IF(ISBLANK('ENGAGEMENTS 2026'!C143),"",'ENGAGEMENTS 2026'!H143)</f>
        <v/>
      </c>
      <c r="J143" s="275">
        <f>IF(ISBLANK('ENGAGEMENTS 2026'!C143),"",IF(AND(OR($E143="INFRUCTUEUX",$E143="ANNULE"),$C143="AOO-M"),'ENGAGEMENTS 2026'!P143,IF($H143="EN COURS DE PREENGAGEMENT",'ENGAGEMENTS 2026'!O143,IF($H143="PREENGAGE",IF($E143="ATTRIBUE",'ENGAGEMENTS 2026'!AE143,'ENGAGEMENTS 2026'!O143),'ENGAGEMENTS 2026'!AE143))))</f>
        <v/>
      </c>
      <c r="K143" s="604">
        <f>IF(ISBLANK('ENGAGEMENTS 2026'!W143),"",'ENGAGEMENTS 2026'!W143)</f>
        <v/>
      </c>
      <c r="L143" s="276">
        <f>IF($K143="","",TODAY()-$K143)</f>
        <v/>
      </c>
      <c r="M143">
        <f>IF($A143="","",IF($H143="ENGAGE","Engagé",IF(AND($H143="NON ENGAGE",OR($I143="INFRUCTUEUX",$I143="ANNULE")),"Clôturé sans suite","En cours")))</f>
        <v/>
      </c>
      <c r="N143">
        <f>IF(ISBLANK('ENGAGEMENTS 2026'!C143),"",'ENGAGEMENTS 2026'!L143)</f>
        <v/>
      </c>
      <c r="O143">
        <f>IF(ISBLANK('ENGAGEMENTS 2026'!C143),"",'ENGAGEMENTS 2026'!M143)</f>
        <v/>
      </c>
      <c r="P143">
        <f>IF(ISBLANK('ENGAGEMENTS 2026'!C143),"",'ENGAGEMENTS 2026'!K143)</f>
        <v/>
      </c>
      <c r="Q143">
        <f>IF($A143="","",IF(OR($E143="INFRUCTUEUX",$E143="ANNULE"),$A143&amp;"|"&amp;(COUNTIFS($A$2:$A143,$A143,$E$2:$E143,"INFRUCTUEUX")+COUNTIFS($A$2:$A143,$A143,$E$2:$E143,"ANNULE")),""))</f>
        <v/>
      </c>
    </row>
    <row r="144">
      <c r="A144">
        <f>IF(ISBLANK('ENGAGEMENTS 2026'!C144),"",IF('ENGAGEMENTS 2026'!C144="DTSI","DCT",'ENGAGEMENTS 2026'!C144))</f>
        <v/>
      </c>
      <c r="B144">
        <f>IF(ISBLANK('ENGAGEMENTS 2026'!C144),"",'ENGAGEMENTS 2026'!D144)</f>
        <v/>
      </c>
      <c r="C144">
        <f>IF(ISBLANK('ENGAGEMENTS 2026'!C144),"",'ENGAGEMENTS 2026'!E144)</f>
        <v/>
      </c>
      <c r="D144">
        <f>IF(ISBLANK('ENGAGEMENTS 2026'!C144),"",'ENGAGEMENTS 2026'!G144)</f>
        <v/>
      </c>
      <c r="E144">
        <f>IF(ISBLANK('ENGAGEMENTS 2026'!C144),"",'ENGAGEMENTS 2026'!I144)</f>
        <v/>
      </c>
      <c r="F144">
        <f>IF(ISBLANK('ENGAGEMENTS 2026'!C144),"",'ENGAGEMENTS 2026'!J144)</f>
        <v/>
      </c>
      <c r="G144">
        <f>IF(ISBLANK('ENGAGEMENTS 2026'!C144),"",'ENGAGEMENTS 2026'!M144)</f>
        <v/>
      </c>
      <c r="H144">
        <f>IF(ISBLANK('ENGAGEMENTS 2026'!C144),"",'ENGAGEMENTS 2026'!AF144)</f>
        <v/>
      </c>
      <c r="I144">
        <f>IF(ISBLANK('ENGAGEMENTS 2026'!C144),"",'ENGAGEMENTS 2026'!H144)</f>
        <v/>
      </c>
      <c r="J144" s="275">
        <f>IF(ISBLANK('ENGAGEMENTS 2026'!C144),"",IF(AND(OR($E144="INFRUCTUEUX",$E144="ANNULE"),$C144="AOO-M"),'ENGAGEMENTS 2026'!P144,IF($H144="EN COURS DE PREENGAGEMENT",'ENGAGEMENTS 2026'!O144,IF($H144="PREENGAGE",IF($E144="ATTRIBUE",'ENGAGEMENTS 2026'!AE144,'ENGAGEMENTS 2026'!O144),'ENGAGEMENTS 2026'!AE144))))</f>
        <v/>
      </c>
      <c r="K144" s="604">
        <f>IF(ISBLANK('ENGAGEMENTS 2026'!W144),"",'ENGAGEMENTS 2026'!W144)</f>
        <v/>
      </c>
      <c r="L144" s="276">
        <f>IF($K144="","",TODAY()-$K144)</f>
        <v/>
      </c>
      <c r="M144">
        <f>IF($A144="","",IF($H144="ENGAGE","Engagé",IF(AND($H144="NON ENGAGE",OR($I144="INFRUCTUEUX",$I144="ANNULE")),"Clôturé sans suite","En cours")))</f>
        <v/>
      </c>
      <c r="N144">
        <f>IF(ISBLANK('ENGAGEMENTS 2026'!C144),"",'ENGAGEMENTS 2026'!L144)</f>
        <v/>
      </c>
      <c r="O144">
        <f>IF(ISBLANK('ENGAGEMENTS 2026'!C144),"",'ENGAGEMENTS 2026'!M144)</f>
        <v/>
      </c>
      <c r="P144">
        <f>IF(ISBLANK('ENGAGEMENTS 2026'!C144),"",'ENGAGEMENTS 2026'!K144)</f>
        <v/>
      </c>
      <c r="Q144">
        <f>IF($A144="","",IF(OR($E144="INFRUCTUEUX",$E144="ANNULE"),$A144&amp;"|"&amp;(COUNTIFS($A$2:$A144,$A144,$E$2:$E144,"INFRUCTUEUX")+COUNTIFS($A$2:$A144,$A144,$E$2:$E144,"ANNULE")),""))</f>
        <v/>
      </c>
    </row>
    <row r="145">
      <c r="A145">
        <f>IF(ISBLANK('ENGAGEMENTS 2026'!C145),"",IF('ENGAGEMENTS 2026'!C145="DTSI","DCT",'ENGAGEMENTS 2026'!C145))</f>
        <v/>
      </c>
      <c r="B145">
        <f>IF(ISBLANK('ENGAGEMENTS 2026'!C145),"",'ENGAGEMENTS 2026'!D145)</f>
        <v/>
      </c>
      <c r="C145">
        <f>IF(ISBLANK('ENGAGEMENTS 2026'!C145),"",'ENGAGEMENTS 2026'!E145)</f>
        <v/>
      </c>
      <c r="D145">
        <f>IF(ISBLANK('ENGAGEMENTS 2026'!C145),"",'ENGAGEMENTS 2026'!G145)</f>
        <v/>
      </c>
      <c r="E145">
        <f>IF(ISBLANK('ENGAGEMENTS 2026'!C145),"",'ENGAGEMENTS 2026'!I145)</f>
        <v/>
      </c>
      <c r="F145">
        <f>IF(ISBLANK('ENGAGEMENTS 2026'!C145),"",'ENGAGEMENTS 2026'!J145)</f>
        <v/>
      </c>
      <c r="G145">
        <f>IF(ISBLANK('ENGAGEMENTS 2026'!C145),"",'ENGAGEMENTS 2026'!M145)</f>
        <v/>
      </c>
      <c r="H145">
        <f>IF(ISBLANK('ENGAGEMENTS 2026'!C145),"",'ENGAGEMENTS 2026'!AF145)</f>
        <v/>
      </c>
      <c r="I145">
        <f>IF(ISBLANK('ENGAGEMENTS 2026'!C145),"",'ENGAGEMENTS 2026'!H145)</f>
        <v/>
      </c>
      <c r="J145" s="275">
        <f>IF(ISBLANK('ENGAGEMENTS 2026'!C145),"",IF(AND(OR($E145="INFRUCTUEUX",$E145="ANNULE"),$C145="AOO-M"),'ENGAGEMENTS 2026'!P145,IF($H145="EN COURS DE PREENGAGEMENT",'ENGAGEMENTS 2026'!O145,IF($H145="PREENGAGE",IF($E145="ATTRIBUE",'ENGAGEMENTS 2026'!AE145,'ENGAGEMENTS 2026'!O145),'ENGAGEMENTS 2026'!AE145))))</f>
        <v/>
      </c>
      <c r="K145" s="604">
        <f>IF(ISBLANK('ENGAGEMENTS 2026'!W145),"",'ENGAGEMENTS 2026'!W145)</f>
        <v/>
      </c>
      <c r="L145" s="276">
        <f>IF($K145="","",TODAY()-$K145)</f>
        <v/>
      </c>
      <c r="M145">
        <f>IF($A145="","",IF($H145="ENGAGE","Engagé",IF(AND($H145="NON ENGAGE",OR($I145="INFRUCTUEUX",$I145="ANNULE")),"Clôturé sans suite","En cours")))</f>
        <v/>
      </c>
      <c r="N145">
        <f>IF(ISBLANK('ENGAGEMENTS 2026'!C145),"",'ENGAGEMENTS 2026'!L145)</f>
        <v/>
      </c>
      <c r="O145">
        <f>IF(ISBLANK('ENGAGEMENTS 2026'!C145),"",'ENGAGEMENTS 2026'!M145)</f>
        <v/>
      </c>
      <c r="P145">
        <f>IF(ISBLANK('ENGAGEMENTS 2026'!C145),"",'ENGAGEMENTS 2026'!K145)</f>
        <v/>
      </c>
      <c r="Q145">
        <f>IF($A145="","",IF(OR($E145="INFRUCTUEUX",$E145="ANNULE"),$A145&amp;"|"&amp;(COUNTIFS($A$2:$A145,$A145,$E$2:$E145,"INFRUCTUEUX")+COUNTIFS($A$2:$A145,$A145,$E$2:$E145,"ANNULE")),""))</f>
        <v/>
      </c>
    </row>
    <row r="146">
      <c r="A146">
        <f>IF(ISBLANK('ENGAGEMENTS 2026'!C146),"",IF('ENGAGEMENTS 2026'!C146="DTSI","DCT",'ENGAGEMENTS 2026'!C146))</f>
        <v/>
      </c>
      <c r="B146">
        <f>IF(ISBLANK('ENGAGEMENTS 2026'!C146),"",'ENGAGEMENTS 2026'!D146)</f>
        <v/>
      </c>
      <c r="C146">
        <f>IF(ISBLANK('ENGAGEMENTS 2026'!C146),"",'ENGAGEMENTS 2026'!E146)</f>
        <v/>
      </c>
      <c r="D146">
        <f>IF(ISBLANK('ENGAGEMENTS 2026'!C146),"",'ENGAGEMENTS 2026'!G146)</f>
        <v/>
      </c>
      <c r="E146">
        <f>IF(ISBLANK('ENGAGEMENTS 2026'!C146),"",'ENGAGEMENTS 2026'!I146)</f>
        <v/>
      </c>
      <c r="F146">
        <f>IF(ISBLANK('ENGAGEMENTS 2026'!C146),"",'ENGAGEMENTS 2026'!J146)</f>
        <v/>
      </c>
      <c r="G146">
        <f>IF(ISBLANK('ENGAGEMENTS 2026'!C146),"",'ENGAGEMENTS 2026'!M146)</f>
        <v/>
      </c>
      <c r="H146">
        <f>IF(ISBLANK('ENGAGEMENTS 2026'!C146),"",'ENGAGEMENTS 2026'!AF146)</f>
        <v/>
      </c>
      <c r="I146">
        <f>IF(ISBLANK('ENGAGEMENTS 2026'!C146),"",'ENGAGEMENTS 2026'!H146)</f>
        <v/>
      </c>
      <c r="J146" s="275">
        <f>IF(ISBLANK('ENGAGEMENTS 2026'!C146),"",IF(AND(OR($E146="INFRUCTUEUX",$E146="ANNULE"),$C146="AOO-M"),'ENGAGEMENTS 2026'!P146,IF($H146="EN COURS DE PREENGAGEMENT",'ENGAGEMENTS 2026'!O146,IF($H146="PREENGAGE",IF($E146="ATTRIBUE",'ENGAGEMENTS 2026'!AE146,'ENGAGEMENTS 2026'!O146),'ENGAGEMENTS 2026'!AE146))))</f>
        <v/>
      </c>
      <c r="K146" s="604">
        <f>IF(ISBLANK('ENGAGEMENTS 2026'!W146),"",'ENGAGEMENTS 2026'!W146)</f>
        <v/>
      </c>
      <c r="L146" s="276">
        <f>IF($K146="","",TODAY()-$K146)</f>
        <v/>
      </c>
      <c r="M146">
        <f>IF($A146="","",IF($H146="ENGAGE","Engagé",IF(AND($H146="NON ENGAGE",OR($I146="INFRUCTUEUX",$I146="ANNULE")),"Clôturé sans suite","En cours")))</f>
        <v/>
      </c>
      <c r="N146">
        <f>IF(ISBLANK('ENGAGEMENTS 2026'!C146),"",'ENGAGEMENTS 2026'!L146)</f>
        <v/>
      </c>
      <c r="O146">
        <f>IF(ISBLANK('ENGAGEMENTS 2026'!C146),"",'ENGAGEMENTS 2026'!M146)</f>
        <v/>
      </c>
      <c r="P146">
        <f>IF(ISBLANK('ENGAGEMENTS 2026'!C146),"",'ENGAGEMENTS 2026'!K146)</f>
        <v/>
      </c>
      <c r="Q146">
        <f>IF($A146="","",IF(OR($E146="INFRUCTUEUX",$E146="ANNULE"),$A146&amp;"|"&amp;(COUNTIFS($A$2:$A146,$A146,$E$2:$E146,"INFRUCTUEUX")+COUNTIFS($A$2:$A146,$A146,$E$2:$E146,"ANNULE")),""))</f>
        <v/>
      </c>
    </row>
    <row r="147">
      <c r="A147">
        <f>IF(ISBLANK('ENGAGEMENTS 2026'!C147),"",IF('ENGAGEMENTS 2026'!C147="DTSI","DCT",'ENGAGEMENTS 2026'!C147))</f>
        <v/>
      </c>
      <c r="B147">
        <f>IF(ISBLANK('ENGAGEMENTS 2026'!C147),"",'ENGAGEMENTS 2026'!D147)</f>
        <v/>
      </c>
      <c r="C147">
        <f>IF(ISBLANK('ENGAGEMENTS 2026'!C147),"",'ENGAGEMENTS 2026'!E147)</f>
        <v/>
      </c>
      <c r="D147">
        <f>IF(ISBLANK('ENGAGEMENTS 2026'!C147),"",'ENGAGEMENTS 2026'!G147)</f>
        <v/>
      </c>
      <c r="E147">
        <f>IF(ISBLANK('ENGAGEMENTS 2026'!C147),"",'ENGAGEMENTS 2026'!I147)</f>
        <v/>
      </c>
      <c r="F147">
        <f>IF(ISBLANK('ENGAGEMENTS 2026'!C147),"",'ENGAGEMENTS 2026'!J147)</f>
        <v/>
      </c>
      <c r="G147">
        <f>IF(ISBLANK('ENGAGEMENTS 2026'!C147),"",'ENGAGEMENTS 2026'!M147)</f>
        <v/>
      </c>
      <c r="H147">
        <f>IF(ISBLANK('ENGAGEMENTS 2026'!C147),"",'ENGAGEMENTS 2026'!AF147)</f>
        <v/>
      </c>
      <c r="I147">
        <f>IF(ISBLANK('ENGAGEMENTS 2026'!C147),"",'ENGAGEMENTS 2026'!H147)</f>
        <v/>
      </c>
      <c r="J147" s="275">
        <f>IF(ISBLANK('ENGAGEMENTS 2026'!C147),"",IF(AND(OR($E147="INFRUCTUEUX",$E147="ANNULE"),$C147="AOO-M"),'ENGAGEMENTS 2026'!P147,IF($H147="EN COURS DE PREENGAGEMENT",'ENGAGEMENTS 2026'!O147,IF($H147="PREENGAGE",IF($E147="ATTRIBUE",'ENGAGEMENTS 2026'!AE147,'ENGAGEMENTS 2026'!O147),'ENGAGEMENTS 2026'!AE147))))</f>
        <v/>
      </c>
      <c r="K147" s="604">
        <f>IF(ISBLANK('ENGAGEMENTS 2026'!W147),"",'ENGAGEMENTS 2026'!W147)</f>
        <v/>
      </c>
      <c r="L147" s="276">
        <f>IF($K147="","",TODAY()-$K147)</f>
        <v/>
      </c>
      <c r="M147">
        <f>IF($A147="","",IF($H147="ENGAGE","Engagé",IF(AND($H147="NON ENGAGE",OR($I147="INFRUCTUEUX",$I147="ANNULE")),"Clôturé sans suite","En cours")))</f>
        <v/>
      </c>
      <c r="N147">
        <f>IF(ISBLANK('ENGAGEMENTS 2026'!C147),"",'ENGAGEMENTS 2026'!L147)</f>
        <v/>
      </c>
      <c r="O147">
        <f>IF(ISBLANK('ENGAGEMENTS 2026'!C147),"",'ENGAGEMENTS 2026'!M147)</f>
        <v/>
      </c>
      <c r="P147">
        <f>IF(ISBLANK('ENGAGEMENTS 2026'!C147),"",'ENGAGEMENTS 2026'!K147)</f>
        <v/>
      </c>
      <c r="Q147">
        <f>IF($A147="","",IF(OR($E147="INFRUCTUEUX",$E147="ANNULE"),$A147&amp;"|"&amp;(COUNTIFS($A$2:$A147,$A147,$E$2:$E147,"INFRUCTUEUX")+COUNTIFS($A$2:$A147,$A147,$E$2:$E147,"ANNULE")),""))</f>
        <v/>
      </c>
    </row>
    <row r="148">
      <c r="A148">
        <f>IF(ISBLANK('ENGAGEMENTS 2026'!C148),"",IF('ENGAGEMENTS 2026'!C148="DTSI","DCT",'ENGAGEMENTS 2026'!C148))</f>
        <v/>
      </c>
      <c r="B148">
        <f>IF(ISBLANK('ENGAGEMENTS 2026'!C148),"",'ENGAGEMENTS 2026'!D148)</f>
        <v/>
      </c>
      <c r="C148">
        <f>IF(ISBLANK('ENGAGEMENTS 2026'!C148),"",'ENGAGEMENTS 2026'!E148)</f>
        <v/>
      </c>
      <c r="D148">
        <f>IF(ISBLANK('ENGAGEMENTS 2026'!C148),"",'ENGAGEMENTS 2026'!G148)</f>
        <v/>
      </c>
      <c r="E148">
        <f>IF(ISBLANK('ENGAGEMENTS 2026'!C148),"",'ENGAGEMENTS 2026'!I148)</f>
        <v/>
      </c>
      <c r="F148">
        <f>IF(ISBLANK('ENGAGEMENTS 2026'!C148),"",'ENGAGEMENTS 2026'!J148)</f>
        <v/>
      </c>
      <c r="G148">
        <f>IF(ISBLANK('ENGAGEMENTS 2026'!C148),"",'ENGAGEMENTS 2026'!M148)</f>
        <v/>
      </c>
      <c r="H148">
        <f>IF(ISBLANK('ENGAGEMENTS 2026'!C148),"",'ENGAGEMENTS 2026'!AF148)</f>
        <v/>
      </c>
      <c r="I148">
        <f>IF(ISBLANK('ENGAGEMENTS 2026'!C148),"",'ENGAGEMENTS 2026'!H148)</f>
        <v/>
      </c>
      <c r="J148" s="275">
        <f>IF(ISBLANK('ENGAGEMENTS 2026'!C148),"",IF(AND(OR($E148="INFRUCTUEUX",$E148="ANNULE"),$C148="AOO-M"),'ENGAGEMENTS 2026'!P148,IF($H148="EN COURS DE PREENGAGEMENT",'ENGAGEMENTS 2026'!O148,IF($H148="PREENGAGE",IF($E148="ATTRIBUE",'ENGAGEMENTS 2026'!AE148,'ENGAGEMENTS 2026'!O148),'ENGAGEMENTS 2026'!AE148))))</f>
        <v/>
      </c>
      <c r="K148" s="604">
        <f>IF(ISBLANK('ENGAGEMENTS 2026'!W148),"",'ENGAGEMENTS 2026'!W148)</f>
        <v/>
      </c>
      <c r="L148" s="276">
        <f>IF($K148="","",TODAY()-$K148)</f>
        <v/>
      </c>
      <c r="M148">
        <f>IF($A148="","",IF($H148="ENGAGE","Engagé",IF(AND($H148="NON ENGAGE",OR($I148="INFRUCTUEUX",$I148="ANNULE")),"Clôturé sans suite","En cours")))</f>
        <v/>
      </c>
      <c r="N148">
        <f>IF(ISBLANK('ENGAGEMENTS 2026'!C148),"",'ENGAGEMENTS 2026'!L148)</f>
        <v/>
      </c>
      <c r="O148">
        <f>IF(ISBLANK('ENGAGEMENTS 2026'!C148),"",'ENGAGEMENTS 2026'!M148)</f>
        <v/>
      </c>
      <c r="P148">
        <f>IF(ISBLANK('ENGAGEMENTS 2026'!C148),"",'ENGAGEMENTS 2026'!K148)</f>
        <v/>
      </c>
      <c r="Q148">
        <f>IF($A148="","",IF(OR($E148="INFRUCTUEUX",$E148="ANNULE"),$A148&amp;"|"&amp;(COUNTIFS($A$2:$A148,$A148,$E$2:$E148,"INFRUCTUEUX")+COUNTIFS($A$2:$A148,$A148,$E$2:$E148,"ANNULE")),""))</f>
        <v/>
      </c>
    </row>
    <row r="149">
      <c r="A149">
        <f>IF(ISBLANK('ENGAGEMENTS 2026'!C149),"",IF('ENGAGEMENTS 2026'!C149="DTSI","DCT",'ENGAGEMENTS 2026'!C149))</f>
        <v/>
      </c>
      <c r="B149">
        <f>IF(ISBLANK('ENGAGEMENTS 2026'!C149),"",'ENGAGEMENTS 2026'!D149)</f>
        <v/>
      </c>
      <c r="C149">
        <f>IF(ISBLANK('ENGAGEMENTS 2026'!C149),"",'ENGAGEMENTS 2026'!E149)</f>
        <v/>
      </c>
      <c r="D149">
        <f>IF(ISBLANK('ENGAGEMENTS 2026'!C149),"",'ENGAGEMENTS 2026'!G149)</f>
        <v/>
      </c>
      <c r="E149">
        <f>IF(ISBLANK('ENGAGEMENTS 2026'!C149),"",'ENGAGEMENTS 2026'!I149)</f>
        <v/>
      </c>
      <c r="F149">
        <f>IF(ISBLANK('ENGAGEMENTS 2026'!C149),"",'ENGAGEMENTS 2026'!J149)</f>
        <v/>
      </c>
      <c r="G149">
        <f>IF(ISBLANK('ENGAGEMENTS 2026'!C149),"",'ENGAGEMENTS 2026'!M149)</f>
        <v/>
      </c>
      <c r="H149">
        <f>IF(ISBLANK('ENGAGEMENTS 2026'!C149),"",'ENGAGEMENTS 2026'!AF149)</f>
        <v/>
      </c>
      <c r="I149">
        <f>IF(ISBLANK('ENGAGEMENTS 2026'!C149),"",'ENGAGEMENTS 2026'!H149)</f>
        <v/>
      </c>
      <c r="J149" s="275">
        <f>IF(ISBLANK('ENGAGEMENTS 2026'!C149),"",IF(AND(OR($E149="INFRUCTUEUX",$E149="ANNULE"),$C149="AOO-M"),'ENGAGEMENTS 2026'!P149,IF($H149="EN COURS DE PREENGAGEMENT",'ENGAGEMENTS 2026'!O149,IF($H149="PREENGAGE",IF($E149="ATTRIBUE",'ENGAGEMENTS 2026'!AE149,'ENGAGEMENTS 2026'!O149),'ENGAGEMENTS 2026'!AE149))))</f>
        <v/>
      </c>
      <c r="K149" s="604">
        <f>IF(ISBLANK('ENGAGEMENTS 2026'!W149),"",'ENGAGEMENTS 2026'!W149)</f>
        <v/>
      </c>
      <c r="L149" s="276">
        <f>IF($K149="","",TODAY()-$K149)</f>
        <v/>
      </c>
      <c r="M149">
        <f>IF($A149="","",IF($H149="ENGAGE","Engagé",IF(AND($H149="NON ENGAGE",OR($I149="INFRUCTUEUX",$I149="ANNULE")),"Clôturé sans suite","En cours")))</f>
        <v/>
      </c>
      <c r="N149">
        <f>IF(ISBLANK('ENGAGEMENTS 2026'!C149),"",'ENGAGEMENTS 2026'!L149)</f>
        <v/>
      </c>
      <c r="O149">
        <f>IF(ISBLANK('ENGAGEMENTS 2026'!C149),"",'ENGAGEMENTS 2026'!M149)</f>
        <v/>
      </c>
      <c r="P149">
        <f>IF(ISBLANK('ENGAGEMENTS 2026'!C149),"",'ENGAGEMENTS 2026'!K149)</f>
        <v/>
      </c>
      <c r="Q149">
        <f>IF($A149="","",IF(OR($E149="INFRUCTUEUX",$E149="ANNULE"),$A149&amp;"|"&amp;(COUNTIFS($A$2:$A149,$A149,$E$2:$E149,"INFRUCTUEUX")+COUNTIFS($A$2:$A149,$A149,$E$2:$E149,"ANNULE")),""))</f>
        <v/>
      </c>
    </row>
    <row r="150">
      <c r="A150">
        <f>IF(ISBLANK('ENGAGEMENTS 2026'!C150),"",IF('ENGAGEMENTS 2026'!C150="DTSI","DCT",'ENGAGEMENTS 2026'!C150))</f>
        <v/>
      </c>
      <c r="B150">
        <f>IF(ISBLANK('ENGAGEMENTS 2026'!C150),"",'ENGAGEMENTS 2026'!D150)</f>
        <v/>
      </c>
      <c r="C150">
        <f>IF(ISBLANK('ENGAGEMENTS 2026'!C150),"",'ENGAGEMENTS 2026'!E150)</f>
        <v/>
      </c>
      <c r="D150">
        <f>IF(ISBLANK('ENGAGEMENTS 2026'!C150),"",'ENGAGEMENTS 2026'!G150)</f>
        <v/>
      </c>
      <c r="E150">
        <f>IF(ISBLANK('ENGAGEMENTS 2026'!C150),"",'ENGAGEMENTS 2026'!I150)</f>
        <v/>
      </c>
      <c r="F150">
        <f>IF(ISBLANK('ENGAGEMENTS 2026'!C150),"",'ENGAGEMENTS 2026'!J150)</f>
        <v/>
      </c>
      <c r="G150">
        <f>IF(ISBLANK('ENGAGEMENTS 2026'!C150),"",'ENGAGEMENTS 2026'!M150)</f>
        <v/>
      </c>
      <c r="H150">
        <f>IF(ISBLANK('ENGAGEMENTS 2026'!C150),"",'ENGAGEMENTS 2026'!AF150)</f>
        <v/>
      </c>
      <c r="I150">
        <f>IF(ISBLANK('ENGAGEMENTS 2026'!C150),"",'ENGAGEMENTS 2026'!H150)</f>
        <v/>
      </c>
      <c r="J150" s="275">
        <f>IF(ISBLANK('ENGAGEMENTS 2026'!C150),"",IF(AND(OR($E150="INFRUCTUEUX",$E150="ANNULE"),$C150="AOO-M"),'ENGAGEMENTS 2026'!P150,IF($H150="EN COURS DE PREENGAGEMENT",'ENGAGEMENTS 2026'!O150,IF($H150="PREENGAGE",IF($E150="ATTRIBUE",'ENGAGEMENTS 2026'!AE150,'ENGAGEMENTS 2026'!O150),'ENGAGEMENTS 2026'!AE150))))</f>
        <v/>
      </c>
      <c r="K150" s="604">
        <f>IF(ISBLANK('ENGAGEMENTS 2026'!W150),"",'ENGAGEMENTS 2026'!W150)</f>
        <v/>
      </c>
      <c r="L150" s="276">
        <f>IF($K150="","",TODAY()-$K150)</f>
        <v/>
      </c>
      <c r="M150">
        <f>IF($A150="","",IF($H150="ENGAGE","Engagé",IF(AND($H150="NON ENGAGE",OR($I150="INFRUCTUEUX",$I150="ANNULE")),"Clôturé sans suite","En cours")))</f>
        <v/>
      </c>
      <c r="N150">
        <f>IF(ISBLANK('ENGAGEMENTS 2026'!C150),"",'ENGAGEMENTS 2026'!L150)</f>
        <v/>
      </c>
      <c r="O150">
        <f>IF(ISBLANK('ENGAGEMENTS 2026'!C150),"",'ENGAGEMENTS 2026'!M150)</f>
        <v/>
      </c>
      <c r="P150">
        <f>IF(ISBLANK('ENGAGEMENTS 2026'!C150),"",'ENGAGEMENTS 2026'!K150)</f>
        <v/>
      </c>
      <c r="Q150">
        <f>IF($A150="","",IF(OR($E150="INFRUCTUEUX",$E150="ANNULE"),$A150&amp;"|"&amp;(COUNTIFS($A$2:$A150,$A150,$E$2:$E150,"INFRUCTUEUX")+COUNTIFS($A$2:$A150,$A150,$E$2:$E150,"ANNULE")),""))</f>
        <v/>
      </c>
    </row>
    <row r="151">
      <c r="A151">
        <f>IF(ISBLANK('ENGAGEMENTS 2026'!C151),"",IF('ENGAGEMENTS 2026'!C151="DTSI","DCT",'ENGAGEMENTS 2026'!C151))</f>
        <v/>
      </c>
      <c r="B151">
        <f>IF(ISBLANK('ENGAGEMENTS 2026'!C151),"",'ENGAGEMENTS 2026'!D151)</f>
        <v/>
      </c>
      <c r="C151">
        <f>IF(ISBLANK('ENGAGEMENTS 2026'!C151),"",'ENGAGEMENTS 2026'!E151)</f>
        <v/>
      </c>
      <c r="D151">
        <f>IF(ISBLANK('ENGAGEMENTS 2026'!C151),"",'ENGAGEMENTS 2026'!G151)</f>
        <v/>
      </c>
      <c r="E151">
        <f>IF(ISBLANK('ENGAGEMENTS 2026'!C151),"",'ENGAGEMENTS 2026'!I151)</f>
        <v/>
      </c>
      <c r="F151">
        <f>IF(ISBLANK('ENGAGEMENTS 2026'!C151),"",'ENGAGEMENTS 2026'!J151)</f>
        <v/>
      </c>
      <c r="G151">
        <f>IF(ISBLANK('ENGAGEMENTS 2026'!C151),"",'ENGAGEMENTS 2026'!M151)</f>
        <v/>
      </c>
      <c r="H151">
        <f>IF(ISBLANK('ENGAGEMENTS 2026'!C151),"",'ENGAGEMENTS 2026'!AF151)</f>
        <v/>
      </c>
      <c r="I151">
        <f>IF(ISBLANK('ENGAGEMENTS 2026'!C151),"",'ENGAGEMENTS 2026'!H151)</f>
        <v/>
      </c>
      <c r="J151" s="275">
        <f>IF(ISBLANK('ENGAGEMENTS 2026'!C151),"",IF(AND(OR($E151="INFRUCTUEUX",$E151="ANNULE"),$C151="AOO-M"),'ENGAGEMENTS 2026'!P151,IF($H151="EN COURS DE PREENGAGEMENT",'ENGAGEMENTS 2026'!O151,IF($H151="PREENGAGE",IF($E151="ATTRIBUE",'ENGAGEMENTS 2026'!AE151,'ENGAGEMENTS 2026'!O151),'ENGAGEMENTS 2026'!AE151))))</f>
        <v/>
      </c>
      <c r="K151" s="604">
        <f>IF(ISBLANK('ENGAGEMENTS 2026'!W151),"",'ENGAGEMENTS 2026'!W151)</f>
        <v/>
      </c>
      <c r="L151" s="276">
        <f>IF($K151="","",TODAY()-$K151)</f>
        <v/>
      </c>
      <c r="M151">
        <f>IF($A151="","",IF($H151="ENGAGE","Engagé",IF(AND($H151="NON ENGAGE",OR($I151="INFRUCTUEUX",$I151="ANNULE")),"Clôturé sans suite","En cours")))</f>
        <v/>
      </c>
      <c r="N151">
        <f>IF(ISBLANK('ENGAGEMENTS 2026'!C151),"",'ENGAGEMENTS 2026'!L151)</f>
        <v/>
      </c>
      <c r="O151">
        <f>IF(ISBLANK('ENGAGEMENTS 2026'!C151),"",'ENGAGEMENTS 2026'!M151)</f>
        <v/>
      </c>
      <c r="P151">
        <f>IF(ISBLANK('ENGAGEMENTS 2026'!C151),"",'ENGAGEMENTS 2026'!K151)</f>
        <v/>
      </c>
      <c r="Q151">
        <f>IF($A151="","",IF(OR($E151="INFRUCTUEUX",$E151="ANNULE"),$A151&amp;"|"&amp;(COUNTIFS($A$2:$A151,$A151,$E$2:$E151,"INFRUCTUEUX")+COUNTIFS($A$2:$A151,$A151,$E$2:$E151,"ANNULE")),""))</f>
        <v/>
      </c>
    </row>
    <row r="152">
      <c r="A152">
        <f>IF(ISBLANK('ENGAGEMENTS 2026'!C152),"",IF('ENGAGEMENTS 2026'!C152="DTSI","DCT",'ENGAGEMENTS 2026'!C152))</f>
        <v/>
      </c>
      <c r="B152">
        <f>IF(ISBLANK('ENGAGEMENTS 2026'!C152),"",'ENGAGEMENTS 2026'!D152)</f>
        <v/>
      </c>
      <c r="C152">
        <f>IF(ISBLANK('ENGAGEMENTS 2026'!C152),"",'ENGAGEMENTS 2026'!E152)</f>
        <v/>
      </c>
      <c r="D152">
        <f>IF(ISBLANK('ENGAGEMENTS 2026'!C152),"",'ENGAGEMENTS 2026'!G152)</f>
        <v/>
      </c>
      <c r="E152">
        <f>IF(ISBLANK('ENGAGEMENTS 2026'!C152),"",'ENGAGEMENTS 2026'!I152)</f>
        <v/>
      </c>
      <c r="F152">
        <f>IF(ISBLANK('ENGAGEMENTS 2026'!C152),"",'ENGAGEMENTS 2026'!J152)</f>
        <v/>
      </c>
      <c r="G152">
        <f>IF(ISBLANK('ENGAGEMENTS 2026'!C152),"",'ENGAGEMENTS 2026'!M152)</f>
        <v/>
      </c>
      <c r="H152">
        <f>IF(ISBLANK('ENGAGEMENTS 2026'!C152),"",'ENGAGEMENTS 2026'!AF152)</f>
        <v/>
      </c>
      <c r="I152">
        <f>IF(ISBLANK('ENGAGEMENTS 2026'!C152),"",'ENGAGEMENTS 2026'!H152)</f>
        <v/>
      </c>
      <c r="J152" s="275">
        <f>IF(ISBLANK('ENGAGEMENTS 2026'!C152),"",IF(AND(OR($E152="INFRUCTUEUX",$E152="ANNULE"),$C152="AOO-M"),'ENGAGEMENTS 2026'!P152,IF($H152="EN COURS DE PREENGAGEMENT",'ENGAGEMENTS 2026'!O152,IF($H152="PREENGAGE",IF($E152="ATTRIBUE",'ENGAGEMENTS 2026'!AE152,'ENGAGEMENTS 2026'!O152),'ENGAGEMENTS 2026'!AE152))))</f>
        <v/>
      </c>
      <c r="K152" s="604">
        <f>IF(ISBLANK('ENGAGEMENTS 2026'!W152),"",'ENGAGEMENTS 2026'!W152)</f>
        <v/>
      </c>
      <c r="L152" s="276">
        <f>IF($K152="","",TODAY()-$K152)</f>
        <v/>
      </c>
      <c r="M152">
        <f>IF($A152="","",IF($H152="ENGAGE","Engagé",IF(AND($H152="NON ENGAGE",OR($I152="INFRUCTUEUX",$I152="ANNULE")),"Clôturé sans suite","En cours")))</f>
        <v/>
      </c>
      <c r="N152">
        <f>IF(ISBLANK('ENGAGEMENTS 2026'!C152),"",'ENGAGEMENTS 2026'!L152)</f>
        <v/>
      </c>
      <c r="O152">
        <f>IF(ISBLANK('ENGAGEMENTS 2026'!C152),"",'ENGAGEMENTS 2026'!M152)</f>
        <v/>
      </c>
      <c r="P152">
        <f>IF(ISBLANK('ENGAGEMENTS 2026'!C152),"",'ENGAGEMENTS 2026'!K152)</f>
        <v/>
      </c>
      <c r="Q152">
        <f>IF($A152="","",IF(OR($E152="INFRUCTUEUX",$E152="ANNULE"),$A152&amp;"|"&amp;(COUNTIFS($A$2:$A152,$A152,$E$2:$E152,"INFRUCTUEUX")+COUNTIFS($A$2:$A152,$A152,$E$2:$E152,"ANNULE")),""))</f>
        <v/>
      </c>
    </row>
    <row r="153">
      <c r="A153">
        <f>IF(ISBLANK('ENGAGEMENTS 2026'!C153),"",IF('ENGAGEMENTS 2026'!C153="DTSI","DCT",'ENGAGEMENTS 2026'!C153))</f>
        <v/>
      </c>
      <c r="B153">
        <f>IF(ISBLANK('ENGAGEMENTS 2026'!C153),"",'ENGAGEMENTS 2026'!D153)</f>
        <v/>
      </c>
      <c r="C153">
        <f>IF(ISBLANK('ENGAGEMENTS 2026'!C153),"",'ENGAGEMENTS 2026'!E153)</f>
        <v/>
      </c>
      <c r="D153">
        <f>IF(ISBLANK('ENGAGEMENTS 2026'!C153),"",'ENGAGEMENTS 2026'!G153)</f>
        <v/>
      </c>
      <c r="E153">
        <f>IF(ISBLANK('ENGAGEMENTS 2026'!C153),"",'ENGAGEMENTS 2026'!I153)</f>
        <v/>
      </c>
      <c r="F153">
        <f>IF(ISBLANK('ENGAGEMENTS 2026'!C153),"",'ENGAGEMENTS 2026'!J153)</f>
        <v/>
      </c>
      <c r="G153">
        <f>IF(ISBLANK('ENGAGEMENTS 2026'!C153),"",'ENGAGEMENTS 2026'!M153)</f>
        <v/>
      </c>
      <c r="H153">
        <f>IF(ISBLANK('ENGAGEMENTS 2026'!C153),"",'ENGAGEMENTS 2026'!AF153)</f>
        <v/>
      </c>
      <c r="I153">
        <f>IF(ISBLANK('ENGAGEMENTS 2026'!C153),"",'ENGAGEMENTS 2026'!H153)</f>
        <v/>
      </c>
      <c r="J153" s="275">
        <f>IF(ISBLANK('ENGAGEMENTS 2026'!C153),"",IF(AND(OR($E153="INFRUCTUEUX",$E153="ANNULE"),$C153="AOO-M"),'ENGAGEMENTS 2026'!P153,IF($H153="EN COURS DE PREENGAGEMENT",'ENGAGEMENTS 2026'!O153,IF($H153="PREENGAGE",IF($E153="ATTRIBUE",'ENGAGEMENTS 2026'!AE153,'ENGAGEMENTS 2026'!O153),'ENGAGEMENTS 2026'!AE153))))</f>
        <v/>
      </c>
      <c r="K153" s="604">
        <f>IF(ISBLANK('ENGAGEMENTS 2026'!W153),"",'ENGAGEMENTS 2026'!W153)</f>
        <v/>
      </c>
      <c r="L153" s="276">
        <f>IF($K153="","",TODAY()-$K153)</f>
        <v/>
      </c>
      <c r="M153">
        <f>IF($A153="","",IF($H153="ENGAGE","Engagé",IF(AND($H153="NON ENGAGE",OR($I153="INFRUCTUEUX",$I153="ANNULE")),"Clôturé sans suite","En cours")))</f>
        <v/>
      </c>
      <c r="N153">
        <f>IF(ISBLANK('ENGAGEMENTS 2026'!C153),"",'ENGAGEMENTS 2026'!L153)</f>
        <v/>
      </c>
      <c r="O153">
        <f>IF(ISBLANK('ENGAGEMENTS 2026'!C153),"",'ENGAGEMENTS 2026'!M153)</f>
        <v/>
      </c>
      <c r="P153">
        <f>IF(ISBLANK('ENGAGEMENTS 2026'!C153),"",'ENGAGEMENTS 2026'!K153)</f>
        <v/>
      </c>
      <c r="Q153">
        <f>IF($A153="","",IF(OR($E153="INFRUCTUEUX",$E153="ANNULE"),$A153&amp;"|"&amp;(COUNTIFS($A$2:$A153,$A153,$E$2:$E153,"INFRUCTUEUX")+COUNTIFS($A$2:$A153,$A153,$E$2:$E153,"ANNULE")),""))</f>
        <v/>
      </c>
    </row>
    <row r="154">
      <c r="A154">
        <f>IF(ISBLANK('ENGAGEMENTS 2026'!C154),"",IF('ENGAGEMENTS 2026'!C154="DTSI","DCT",'ENGAGEMENTS 2026'!C154))</f>
        <v/>
      </c>
      <c r="B154">
        <f>IF(ISBLANK('ENGAGEMENTS 2026'!C154),"",'ENGAGEMENTS 2026'!D154)</f>
        <v/>
      </c>
      <c r="C154">
        <f>IF(ISBLANK('ENGAGEMENTS 2026'!C154),"",'ENGAGEMENTS 2026'!E154)</f>
        <v/>
      </c>
      <c r="D154">
        <f>IF(ISBLANK('ENGAGEMENTS 2026'!C154),"",'ENGAGEMENTS 2026'!G154)</f>
        <v/>
      </c>
      <c r="E154">
        <f>IF(ISBLANK('ENGAGEMENTS 2026'!C154),"",'ENGAGEMENTS 2026'!I154)</f>
        <v/>
      </c>
      <c r="F154">
        <f>IF(ISBLANK('ENGAGEMENTS 2026'!C154),"",'ENGAGEMENTS 2026'!J154)</f>
        <v/>
      </c>
      <c r="G154">
        <f>IF(ISBLANK('ENGAGEMENTS 2026'!C154),"",'ENGAGEMENTS 2026'!M154)</f>
        <v/>
      </c>
      <c r="H154">
        <f>IF(ISBLANK('ENGAGEMENTS 2026'!C154),"",'ENGAGEMENTS 2026'!AF154)</f>
        <v/>
      </c>
      <c r="I154">
        <f>IF(ISBLANK('ENGAGEMENTS 2026'!C154),"",'ENGAGEMENTS 2026'!H154)</f>
        <v/>
      </c>
      <c r="J154" s="275">
        <f>IF(ISBLANK('ENGAGEMENTS 2026'!C154),"",IF(AND(OR($E154="INFRUCTUEUX",$E154="ANNULE"),$C154="AOO-M"),'ENGAGEMENTS 2026'!P154,IF($H154="EN COURS DE PREENGAGEMENT",'ENGAGEMENTS 2026'!O154,IF($H154="PREENGAGE",IF($E154="ATTRIBUE",'ENGAGEMENTS 2026'!AE154,'ENGAGEMENTS 2026'!O154),'ENGAGEMENTS 2026'!AE154))))</f>
        <v/>
      </c>
      <c r="K154" s="604">
        <f>IF(ISBLANK('ENGAGEMENTS 2026'!W154),"",'ENGAGEMENTS 2026'!W154)</f>
        <v/>
      </c>
      <c r="L154" s="276">
        <f>IF($K154="","",TODAY()-$K154)</f>
        <v/>
      </c>
      <c r="M154">
        <f>IF($A154="","",IF($H154="ENGAGE","Engagé",IF(AND($H154="NON ENGAGE",OR($I154="INFRUCTUEUX",$I154="ANNULE")),"Clôturé sans suite","En cours")))</f>
        <v/>
      </c>
      <c r="N154">
        <f>IF(ISBLANK('ENGAGEMENTS 2026'!C154),"",'ENGAGEMENTS 2026'!L154)</f>
        <v/>
      </c>
      <c r="O154">
        <f>IF(ISBLANK('ENGAGEMENTS 2026'!C154),"",'ENGAGEMENTS 2026'!M154)</f>
        <v/>
      </c>
      <c r="P154">
        <f>IF(ISBLANK('ENGAGEMENTS 2026'!C154),"",'ENGAGEMENTS 2026'!K154)</f>
        <v/>
      </c>
      <c r="Q154">
        <f>IF($A154="","",IF(OR($E154="INFRUCTUEUX",$E154="ANNULE"),$A154&amp;"|"&amp;(COUNTIFS($A$2:$A154,$A154,$E$2:$E154,"INFRUCTUEUX")+COUNTIFS($A$2:$A154,$A154,$E$2:$E154,"ANNULE")),""))</f>
        <v/>
      </c>
    </row>
    <row r="155">
      <c r="A155">
        <f>IF(ISBLANK('ENGAGEMENTS 2026'!C155),"",IF('ENGAGEMENTS 2026'!C155="DTSI","DCT",'ENGAGEMENTS 2026'!C155))</f>
        <v/>
      </c>
      <c r="B155">
        <f>IF(ISBLANK('ENGAGEMENTS 2026'!C155),"",'ENGAGEMENTS 2026'!D155)</f>
        <v/>
      </c>
      <c r="C155">
        <f>IF(ISBLANK('ENGAGEMENTS 2026'!C155),"",'ENGAGEMENTS 2026'!E155)</f>
        <v/>
      </c>
      <c r="D155">
        <f>IF(ISBLANK('ENGAGEMENTS 2026'!C155),"",'ENGAGEMENTS 2026'!G155)</f>
        <v/>
      </c>
      <c r="E155">
        <f>IF(ISBLANK('ENGAGEMENTS 2026'!C155),"",'ENGAGEMENTS 2026'!I155)</f>
        <v/>
      </c>
      <c r="F155">
        <f>IF(ISBLANK('ENGAGEMENTS 2026'!C155),"",'ENGAGEMENTS 2026'!J155)</f>
        <v/>
      </c>
      <c r="G155">
        <f>IF(ISBLANK('ENGAGEMENTS 2026'!C155),"",'ENGAGEMENTS 2026'!M155)</f>
        <v/>
      </c>
      <c r="H155">
        <f>IF(ISBLANK('ENGAGEMENTS 2026'!C155),"",'ENGAGEMENTS 2026'!AF155)</f>
        <v/>
      </c>
      <c r="I155">
        <f>IF(ISBLANK('ENGAGEMENTS 2026'!C155),"",'ENGAGEMENTS 2026'!H155)</f>
        <v/>
      </c>
      <c r="J155" s="275">
        <f>IF(ISBLANK('ENGAGEMENTS 2026'!C155),"",IF(AND(OR($E155="INFRUCTUEUX",$E155="ANNULE"),$C155="AOO-M"),'ENGAGEMENTS 2026'!P155,IF($H155="EN COURS DE PREENGAGEMENT",'ENGAGEMENTS 2026'!O155,IF($H155="PREENGAGE",IF($E155="ATTRIBUE",'ENGAGEMENTS 2026'!AE155,'ENGAGEMENTS 2026'!O155),'ENGAGEMENTS 2026'!AE155))))</f>
        <v/>
      </c>
      <c r="K155" s="604">
        <f>IF(ISBLANK('ENGAGEMENTS 2026'!W155),"",'ENGAGEMENTS 2026'!W155)</f>
        <v/>
      </c>
      <c r="L155" s="276">
        <f>IF($K155="","",TODAY()-$K155)</f>
        <v/>
      </c>
      <c r="M155">
        <f>IF($A155="","",IF($H155="ENGAGE","Engagé",IF(AND($H155="NON ENGAGE",OR($I155="INFRUCTUEUX",$I155="ANNULE")),"Clôturé sans suite","En cours")))</f>
        <v/>
      </c>
      <c r="N155">
        <f>IF(ISBLANK('ENGAGEMENTS 2026'!C155),"",'ENGAGEMENTS 2026'!L155)</f>
        <v/>
      </c>
      <c r="O155">
        <f>IF(ISBLANK('ENGAGEMENTS 2026'!C155),"",'ENGAGEMENTS 2026'!M155)</f>
        <v/>
      </c>
      <c r="P155">
        <f>IF(ISBLANK('ENGAGEMENTS 2026'!C155),"",'ENGAGEMENTS 2026'!K155)</f>
        <v/>
      </c>
      <c r="Q155">
        <f>IF($A155="","",IF(OR($E155="INFRUCTUEUX",$E155="ANNULE"),$A155&amp;"|"&amp;(COUNTIFS($A$2:$A155,$A155,$E$2:$E155,"INFRUCTUEUX")+COUNTIFS($A$2:$A155,$A155,$E$2:$E155,"ANNULE")),""))</f>
        <v/>
      </c>
    </row>
    <row r="156">
      <c r="A156">
        <f>IF(ISBLANK('ENGAGEMENTS 2026'!C156),"",IF('ENGAGEMENTS 2026'!C156="DTSI","DCT",'ENGAGEMENTS 2026'!C156))</f>
        <v/>
      </c>
      <c r="B156">
        <f>IF(ISBLANK('ENGAGEMENTS 2026'!C156),"",'ENGAGEMENTS 2026'!D156)</f>
        <v/>
      </c>
      <c r="C156">
        <f>IF(ISBLANK('ENGAGEMENTS 2026'!C156),"",'ENGAGEMENTS 2026'!E156)</f>
        <v/>
      </c>
      <c r="D156">
        <f>IF(ISBLANK('ENGAGEMENTS 2026'!C156),"",'ENGAGEMENTS 2026'!G156)</f>
        <v/>
      </c>
      <c r="E156">
        <f>IF(ISBLANK('ENGAGEMENTS 2026'!C156),"",'ENGAGEMENTS 2026'!I156)</f>
        <v/>
      </c>
      <c r="F156">
        <f>IF(ISBLANK('ENGAGEMENTS 2026'!C156),"",'ENGAGEMENTS 2026'!J156)</f>
        <v/>
      </c>
      <c r="G156">
        <f>IF(ISBLANK('ENGAGEMENTS 2026'!C156),"",'ENGAGEMENTS 2026'!M156)</f>
        <v/>
      </c>
      <c r="H156">
        <f>IF(ISBLANK('ENGAGEMENTS 2026'!C156),"",'ENGAGEMENTS 2026'!AF156)</f>
        <v/>
      </c>
      <c r="I156">
        <f>IF(ISBLANK('ENGAGEMENTS 2026'!C156),"",'ENGAGEMENTS 2026'!H156)</f>
        <v/>
      </c>
      <c r="J156" s="275">
        <f>IF(ISBLANK('ENGAGEMENTS 2026'!C156),"",IF(AND(OR($E156="INFRUCTUEUX",$E156="ANNULE"),$C156="AOO-M"),'ENGAGEMENTS 2026'!P156,IF($H156="EN COURS DE PREENGAGEMENT",'ENGAGEMENTS 2026'!O156,IF($H156="PREENGAGE",IF($E156="ATTRIBUE",'ENGAGEMENTS 2026'!AE156,'ENGAGEMENTS 2026'!O156),'ENGAGEMENTS 2026'!AE156))))</f>
        <v/>
      </c>
      <c r="K156" s="604">
        <f>IF(ISBLANK('ENGAGEMENTS 2026'!W156),"",'ENGAGEMENTS 2026'!W156)</f>
        <v/>
      </c>
      <c r="L156" s="276">
        <f>IF($K156="","",TODAY()-$K156)</f>
        <v/>
      </c>
      <c r="M156">
        <f>IF($A156="","",IF($H156="ENGAGE","Engagé",IF(AND($H156="NON ENGAGE",OR($I156="INFRUCTUEUX",$I156="ANNULE")),"Clôturé sans suite","En cours")))</f>
        <v/>
      </c>
      <c r="N156">
        <f>IF(ISBLANK('ENGAGEMENTS 2026'!C156),"",'ENGAGEMENTS 2026'!L156)</f>
        <v/>
      </c>
      <c r="O156">
        <f>IF(ISBLANK('ENGAGEMENTS 2026'!C156),"",'ENGAGEMENTS 2026'!M156)</f>
        <v/>
      </c>
      <c r="P156">
        <f>IF(ISBLANK('ENGAGEMENTS 2026'!C156),"",'ENGAGEMENTS 2026'!K156)</f>
        <v/>
      </c>
      <c r="Q156">
        <f>IF($A156="","",IF(OR($E156="INFRUCTUEUX",$E156="ANNULE"),$A156&amp;"|"&amp;(COUNTIFS($A$2:$A156,$A156,$E$2:$E156,"INFRUCTUEUX")+COUNTIFS($A$2:$A156,$A156,$E$2:$E156,"ANNULE")),""))</f>
        <v/>
      </c>
    </row>
    <row r="157">
      <c r="A157">
        <f>IF(ISBLANK('ENGAGEMENTS 2026'!C157),"",IF('ENGAGEMENTS 2026'!C157="DTSI","DCT",'ENGAGEMENTS 2026'!C157))</f>
        <v/>
      </c>
      <c r="B157">
        <f>IF(ISBLANK('ENGAGEMENTS 2026'!C157),"",'ENGAGEMENTS 2026'!D157)</f>
        <v/>
      </c>
      <c r="C157">
        <f>IF(ISBLANK('ENGAGEMENTS 2026'!C157),"",'ENGAGEMENTS 2026'!E157)</f>
        <v/>
      </c>
      <c r="D157">
        <f>IF(ISBLANK('ENGAGEMENTS 2026'!C157),"",'ENGAGEMENTS 2026'!G157)</f>
        <v/>
      </c>
      <c r="E157">
        <f>IF(ISBLANK('ENGAGEMENTS 2026'!C157),"",'ENGAGEMENTS 2026'!I157)</f>
        <v/>
      </c>
      <c r="F157">
        <f>IF(ISBLANK('ENGAGEMENTS 2026'!C157),"",'ENGAGEMENTS 2026'!J157)</f>
        <v/>
      </c>
      <c r="G157">
        <f>IF(ISBLANK('ENGAGEMENTS 2026'!C157),"",'ENGAGEMENTS 2026'!M157)</f>
        <v/>
      </c>
      <c r="H157">
        <f>IF(ISBLANK('ENGAGEMENTS 2026'!C157),"",'ENGAGEMENTS 2026'!AF157)</f>
        <v/>
      </c>
      <c r="I157">
        <f>IF(ISBLANK('ENGAGEMENTS 2026'!C157),"",'ENGAGEMENTS 2026'!H157)</f>
        <v/>
      </c>
      <c r="J157" s="275">
        <f>IF(ISBLANK('ENGAGEMENTS 2026'!C157),"",IF(AND(OR($E157="INFRUCTUEUX",$E157="ANNULE"),$C157="AOO-M"),'ENGAGEMENTS 2026'!P157,IF($H157="EN COURS DE PREENGAGEMENT",'ENGAGEMENTS 2026'!O157,IF($H157="PREENGAGE",IF($E157="ATTRIBUE",'ENGAGEMENTS 2026'!AE157,'ENGAGEMENTS 2026'!O157),'ENGAGEMENTS 2026'!AE157))))</f>
        <v/>
      </c>
      <c r="K157" s="604">
        <f>IF(ISBLANK('ENGAGEMENTS 2026'!W157),"",'ENGAGEMENTS 2026'!W157)</f>
        <v/>
      </c>
      <c r="L157" s="276">
        <f>IF($K157="","",TODAY()-$K157)</f>
        <v/>
      </c>
      <c r="M157">
        <f>IF($A157="","",IF($H157="ENGAGE","Engagé",IF(AND($H157="NON ENGAGE",OR($I157="INFRUCTUEUX",$I157="ANNULE")),"Clôturé sans suite","En cours")))</f>
        <v/>
      </c>
      <c r="N157">
        <f>IF(ISBLANK('ENGAGEMENTS 2026'!C157),"",'ENGAGEMENTS 2026'!L157)</f>
        <v/>
      </c>
      <c r="O157">
        <f>IF(ISBLANK('ENGAGEMENTS 2026'!C157),"",'ENGAGEMENTS 2026'!M157)</f>
        <v/>
      </c>
      <c r="P157">
        <f>IF(ISBLANK('ENGAGEMENTS 2026'!C157),"",'ENGAGEMENTS 2026'!K157)</f>
        <v/>
      </c>
      <c r="Q157">
        <f>IF($A157="","",IF(OR($E157="INFRUCTUEUX",$E157="ANNULE"),$A157&amp;"|"&amp;(COUNTIFS($A$2:$A157,$A157,$E$2:$E157,"INFRUCTUEUX")+COUNTIFS($A$2:$A157,$A157,$E$2:$E157,"ANNULE")),""))</f>
        <v/>
      </c>
    </row>
    <row r="158">
      <c r="A158">
        <f>IF(ISBLANK('ENGAGEMENTS 2026'!C158),"",IF('ENGAGEMENTS 2026'!C158="DTSI","DCT",'ENGAGEMENTS 2026'!C158))</f>
        <v/>
      </c>
      <c r="B158">
        <f>IF(ISBLANK('ENGAGEMENTS 2026'!C158),"",'ENGAGEMENTS 2026'!D158)</f>
        <v/>
      </c>
      <c r="C158">
        <f>IF(ISBLANK('ENGAGEMENTS 2026'!C158),"",'ENGAGEMENTS 2026'!E158)</f>
        <v/>
      </c>
      <c r="D158">
        <f>IF(ISBLANK('ENGAGEMENTS 2026'!C158),"",'ENGAGEMENTS 2026'!G158)</f>
        <v/>
      </c>
      <c r="E158">
        <f>IF(ISBLANK('ENGAGEMENTS 2026'!C158),"",'ENGAGEMENTS 2026'!I158)</f>
        <v/>
      </c>
      <c r="F158">
        <f>IF(ISBLANK('ENGAGEMENTS 2026'!C158),"",'ENGAGEMENTS 2026'!J158)</f>
        <v/>
      </c>
      <c r="G158">
        <f>IF(ISBLANK('ENGAGEMENTS 2026'!C158),"",'ENGAGEMENTS 2026'!M158)</f>
        <v/>
      </c>
      <c r="H158">
        <f>IF(ISBLANK('ENGAGEMENTS 2026'!C158),"",'ENGAGEMENTS 2026'!AF158)</f>
        <v/>
      </c>
      <c r="I158">
        <f>IF(ISBLANK('ENGAGEMENTS 2026'!C158),"",'ENGAGEMENTS 2026'!H158)</f>
        <v/>
      </c>
      <c r="J158" s="275">
        <f>IF(ISBLANK('ENGAGEMENTS 2026'!C158),"",IF(AND(OR($E158="INFRUCTUEUX",$E158="ANNULE"),$C158="AOO-M"),'ENGAGEMENTS 2026'!P158,IF($H158="EN COURS DE PREENGAGEMENT",'ENGAGEMENTS 2026'!O158,IF($H158="PREENGAGE",IF($E158="ATTRIBUE",'ENGAGEMENTS 2026'!AE158,'ENGAGEMENTS 2026'!O158),'ENGAGEMENTS 2026'!AE158))))</f>
        <v/>
      </c>
      <c r="K158" s="604">
        <f>IF(ISBLANK('ENGAGEMENTS 2026'!W158),"",'ENGAGEMENTS 2026'!W158)</f>
        <v/>
      </c>
      <c r="L158" s="276">
        <f>IF($K158="","",TODAY()-$K158)</f>
        <v/>
      </c>
      <c r="M158">
        <f>IF($A158="","",IF($H158="ENGAGE","Engagé",IF(AND($H158="NON ENGAGE",OR($I158="INFRUCTUEUX",$I158="ANNULE")),"Clôturé sans suite","En cours")))</f>
        <v/>
      </c>
      <c r="N158">
        <f>IF(ISBLANK('ENGAGEMENTS 2026'!C158),"",'ENGAGEMENTS 2026'!L158)</f>
        <v/>
      </c>
      <c r="O158">
        <f>IF(ISBLANK('ENGAGEMENTS 2026'!C158),"",'ENGAGEMENTS 2026'!M158)</f>
        <v/>
      </c>
      <c r="P158">
        <f>IF(ISBLANK('ENGAGEMENTS 2026'!C158),"",'ENGAGEMENTS 2026'!K158)</f>
        <v/>
      </c>
      <c r="Q158">
        <f>IF($A158="","",IF(OR($E158="INFRUCTUEUX",$E158="ANNULE"),$A158&amp;"|"&amp;(COUNTIFS($A$2:$A158,$A158,$E$2:$E158,"INFRUCTUEUX")+COUNTIFS($A$2:$A158,$A158,$E$2:$E158,"ANNULE")),""))</f>
        <v/>
      </c>
    </row>
    <row r="159">
      <c r="A159">
        <f>IF(ISBLANK('ENGAGEMENTS 2026'!C159),"",IF('ENGAGEMENTS 2026'!C159="DTSI","DCT",'ENGAGEMENTS 2026'!C159))</f>
        <v/>
      </c>
      <c r="B159">
        <f>IF(ISBLANK('ENGAGEMENTS 2026'!C159),"",'ENGAGEMENTS 2026'!D159)</f>
        <v/>
      </c>
      <c r="C159">
        <f>IF(ISBLANK('ENGAGEMENTS 2026'!C159),"",'ENGAGEMENTS 2026'!E159)</f>
        <v/>
      </c>
      <c r="D159">
        <f>IF(ISBLANK('ENGAGEMENTS 2026'!C159),"",'ENGAGEMENTS 2026'!G159)</f>
        <v/>
      </c>
      <c r="E159">
        <f>IF(ISBLANK('ENGAGEMENTS 2026'!C159),"",'ENGAGEMENTS 2026'!I159)</f>
        <v/>
      </c>
      <c r="F159">
        <f>IF(ISBLANK('ENGAGEMENTS 2026'!C159),"",'ENGAGEMENTS 2026'!J159)</f>
        <v/>
      </c>
      <c r="G159">
        <f>IF(ISBLANK('ENGAGEMENTS 2026'!C159),"",'ENGAGEMENTS 2026'!M159)</f>
        <v/>
      </c>
      <c r="H159">
        <f>IF(ISBLANK('ENGAGEMENTS 2026'!C159),"",'ENGAGEMENTS 2026'!AF159)</f>
        <v/>
      </c>
      <c r="I159">
        <f>IF(ISBLANK('ENGAGEMENTS 2026'!C159),"",'ENGAGEMENTS 2026'!H159)</f>
        <v/>
      </c>
      <c r="J159" s="275">
        <f>IF(ISBLANK('ENGAGEMENTS 2026'!C159),"",IF(AND(OR($E159="INFRUCTUEUX",$E159="ANNULE"),$C159="AOO-M"),'ENGAGEMENTS 2026'!P159,IF($H159="EN COURS DE PREENGAGEMENT",'ENGAGEMENTS 2026'!O159,IF($H159="PREENGAGE",IF($E159="ATTRIBUE",'ENGAGEMENTS 2026'!AE159,'ENGAGEMENTS 2026'!O159),'ENGAGEMENTS 2026'!AE159))))</f>
        <v/>
      </c>
      <c r="K159" s="604">
        <f>IF(ISBLANK('ENGAGEMENTS 2026'!W159),"",'ENGAGEMENTS 2026'!W159)</f>
        <v/>
      </c>
      <c r="L159" s="276">
        <f>IF($K159="","",TODAY()-$K159)</f>
        <v/>
      </c>
      <c r="M159">
        <f>IF($A159="","",IF($H159="ENGAGE","Engagé",IF(AND($H159="NON ENGAGE",OR($I159="INFRUCTUEUX",$I159="ANNULE")),"Clôturé sans suite","En cours")))</f>
        <v/>
      </c>
      <c r="N159">
        <f>IF(ISBLANK('ENGAGEMENTS 2026'!C159),"",'ENGAGEMENTS 2026'!L159)</f>
        <v/>
      </c>
      <c r="O159">
        <f>IF(ISBLANK('ENGAGEMENTS 2026'!C159),"",'ENGAGEMENTS 2026'!M159)</f>
        <v/>
      </c>
      <c r="P159">
        <f>IF(ISBLANK('ENGAGEMENTS 2026'!C159),"",'ENGAGEMENTS 2026'!K159)</f>
        <v/>
      </c>
      <c r="Q159">
        <f>IF($A159="","",IF(OR($E159="INFRUCTUEUX",$E159="ANNULE"),$A159&amp;"|"&amp;(COUNTIFS($A$2:$A159,$A159,$E$2:$E159,"INFRUCTUEUX")+COUNTIFS($A$2:$A159,$A159,$E$2:$E159,"ANNULE")),""))</f>
        <v/>
      </c>
    </row>
    <row r="160">
      <c r="A160">
        <f>IF(ISBLANK('ENGAGEMENTS 2026'!C160),"",IF('ENGAGEMENTS 2026'!C160="DTSI","DCT",'ENGAGEMENTS 2026'!C160))</f>
        <v/>
      </c>
      <c r="B160">
        <f>IF(ISBLANK('ENGAGEMENTS 2026'!C160),"",'ENGAGEMENTS 2026'!D160)</f>
        <v/>
      </c>
      <c r="C160">
        <f>IF(ISBLANK('ENGAGEMENTS 2026'!C160),"",'ENGAGEMENTS 2026'!E160)</f>
        <v/>
      </c>
      <c r="D160">
        <f>IF(ISBLANK('ENGAGEMENTS 2026'!C160),"",'ENGAGEMENTS 2026'!G160)</f>
        <v/>
      </c>
      <c r="E160">
        <f>IF(ISBLANK('ENGAGEMENTS 2026'!C160),"",'ENGAGEMENTS 2026'!I160)</f>
        <v/>
      </c>
      <c r="F160">
        <f>IF(ISBLANK('ENGAGEMENTS 2026'!C160),"",'ENGAGEMENTS 2026'!J160)</f>
        <v/>
      </c>
      <c r="G160">
        <f>IF(ISBLANK('ENGAGEMENTS 2026'!C160),"",'ENGAGEMENTS 2026'!M160)</f>
        <v/>
      </c>
      <c r="H160">
        <f>IF(ISBLANK('ENGAGEMENTS 2026'!C160),"",'ENGAGEMENTS 2026'!AF160)</f>
        <v/>
      </c>
      <c r="I160">
        <f>IF(ISBLANK('ENGAGEMENTS 2026'!C160),"",'ENGAGEMENTS 2026'!H160)</f>
        <v/>
      </c>
      <c r="J160" s="275">
        <f>IF(ISBLANK('ENGAGEMENTS 2026'!C160),"",IF(AND(OR($E160="INFRUCTUEUX",$E160="ANNULE"),$C160="AOO-M"),'ENGAGEMENTS 2026'!P160,IF($H160="EN COURS DE PREENGAGEMENT",'ENGAGEMENTS 2026'!O160,IF($H160="PREENGAGE",IF($E160="ATTRIBUE",'ENGAGEMENTS 2026'!AE160,'ENGAGEMENTS 2026'!O160),'ENGAGEMENTS 2026'!AE160))))</f>
        <v/>
      </c>
      <c r="K160" s="604">
        <f>IF(ISBLANK('ENGAGEMENTS 2026'!W160),"",'ENGAGEMENTS 2026'!W160)</f>
        <v/>
      </c>
      <c r="L160" s="276">
        <f>IF($K160="","",TODAY()-$K160)</f>
        <v/>
      </c>
      <c r="M160">
        <f>IF($A160="","",IF($H160="ENGAGE","Engagé",IF(AND($H160="NON ENGAGE",OR($I160="INFRUCTUEUX",$I160="ANNULE")),"Clôturé sans suite","En cours")))</f>
        <v/>
      </c>
      <c r="N160">
        <f>IF(ISBLANK('ENGAGEMENTS 2026'!C160),"",'ENGAGEMENTS 2026'!L160)</f>
        <v/>
      </c>
      <c r="O160">
        <f>IF(ISBLANK('ENGAGEMENTS 2026'!C160),"",'ENGAGEMENTS 2026'!M160)</f>
        <v/>
      </c>
      <c r="P160">
        <f>IF(ISBLANK('ENGAGEMENTS 2026'!C160),"",'ENGAGEMENTS 2026'!K160)</f>
        <v/>
      </c>
      <c r="Q160">
        <f>IF($A160="","",IF(OR($E160="INFRUCTUEUX",$E160="ANNULE"),$A160&amp;"|"&amp;(COUNTIFS($A$2:$A160,$A160,$E$2:$E160,"INFRUCTUEUX")+COUNTIFS($A$2:$A160,$A160,$E$2:$E160,"ANNULE")),""))</f>
        <v/>
      </c>
    </row>
    <row r="161">
      <c r="A161">
        <f>IF(ISBLANK('ENGAGEMENTS 2026'!C161),"",IF('ENGAGEMENTS 2026'!C161="DTSI","DCT",'ENGAGEMENTS 2026'!C161))</f>
        <v/>
      </c>
      <c r="B161">
        <f>IF(ISBLANK('ENGAGEMENTS 2026'!C161),"",'ENGAGEMENTS 2026'!D161)</f>
        <v/>
      </c>
      <c r="C161">
        <f>IF(ISBLANK('ENGAGEMENTS 2026'!C161),"",'ENGAGEMENTS 2026'!E161)</f>
        <v/>
      </c>
      <c r="D161">
        <f>IF(ISBLANK('ENGAGEMENTS 2026'!C161),"",'ENGAGEMENTS 2026'!G161)</f>
        <v/>
      </c>
      <c r="E161">
        <f>IF(ISBLANK('ENGAGEMENTS 2026'!C161),"",'ENGAGEMENTS 2026'!I161)</f>
        <v/>
      </c>
      <c r="F161">
        <f>IF(ISBLANK('ENGAGEMENTS 2026'!C161),"",'ENGAGEMENTS 2026'!J161)</f>
        <v/>
      </c>
      <c r="G161">
        <f>IF(ISBLANK('ENGAGEMENTS 2026'!C161),"",'ENGAGEMENTS 2026'!M161)</f>
        <v/>
      </c>
      <c r="H161">
        <f>IF(ISBLANK('ENGAGEMENTS 2026'!C161),"",'ENGAGEMENTS 2026'!AF161)</f>
        <v/>
      </c>
      <c r="I161">
        <f>IF(ISBLANK('ENGAGEMENTS 2026'!C161),"",'ENGAGEMENTS 2026'!H161)</f>
        <v/>
      </c>
      <c r="J161" s="275">
        <f>IF(ISBLANK('ENGAGEMENTS 2026'!C161),"",IF(AND(OR($E161="INFRUCTUEUX",$E161="ANNULE"),$C161="AOO-M"),'ENGAGEMENTS 2026'!P161,IF($H161="EN COURS DE PREENGAGEMENT",'ENGAGEMENTS 2026'!O161,IF($H161="PREENGAGE",IF($E161="ATTRIBUE",'ENGAGEMENTS 2026'!AE161,'ENGAGEMENTS 2026'!O161),'ENGAGEMENTS 2026'!AE161))))</f>
        <v/>
      </c>
      <c r="K161" s="604">
        <f>IF(ISBLANK('ENGAGEMENTS 2026'!W161),"",'ENGAGEMENTS 2026'!W161)</f>
        <v/>
      </c>
      <c r="L161" s="276">
        <f>IF($K161="","",TODAY()-$K161)</f>
        <v/>
      </c>
      <c r="M161">
        <f>IF($A161="","",IF($H161="ENGAGE","Engagé",IF(AND($H161="NON ENGAGE",OR($I161="INFRUCTUEUX",$I161="ANNULE")),"Clôturé sans suite","En cours")))</f>
        <v/>
      </c>
      <c r="N161">
        <f>IF(ISBLANK('ENGAGEMENTS 2026'!C161),"",'ENGAGEMENTS 2026'!L161)</f>
        <v/>
      </c>
      <c r="O161">
        <f>IF(ISBLANK('ENGAGEMENTS 2026'!C161),"",'ENGAGEMENTS 2026'!M161)</f>
        <v/>
      </c>
      <c r="P161">
        <f>IF(ISBLANK('ENGAGEMENTS 2026'!C161),"",'ENGAGEMENTS 2026'!K161)</f>
        <v/>
      </c>
      <c r="Q161">
        <f>IF($A161="","",IF(OR($E161="INFRUCTUEUX",$E161="ANNULE"),$A161&amp;"|"&amp;(COUNTIFS($A$2:$A161,$A161,$E$2:$E161,"INFRUCTUEUX")+COUNTIFS($A$2:$A161,$A161,$E$2:$E161,"ANNULE")),""))</f>
        <v/>
      </c>
    </row>
    <row r="162">
      <c r="A162">
        <f>IF(ISBLANK('ENGAGEMENTS 2026'!C162),"",IF('ENGAGEMENTS 2026'!C162="DTSI","DCT",'ENGAGEMENTS 2026'!C162))</f>
        <v/>
      </c>
      <c r="B162">
        <f>IF(ISBLANK('ENGAGEMENTS 2026'!C162),"",'ENGAGEMENTS 2026'!D162)</f>
        <v/>
      </c>
      <c r="C162">
        <f>IF(ISBLANK('ENGAGEMENTS 2026'!C162),"",'ENGAGEMENTS 2026'!E162)</f>
        <v/>
      </c>
      <c r="D162">
        <f>IF(ISBLANK('ENGAGEMENTS 2026'!C162),"",'ENGAGEMENTS 2026'!G162)</f>
        <v/>
      </c>
      <c r="E162">
        <f>IF(ISBLANK('ENGAGEMENTS 2026'!C162),"",'ENGAGEMENTS 2026'!I162)</f>
        <v/>
      </c>
      <c r="F162">
        <f>IF(ISBLANK('ENGAGEMENTS 2026'!C162),"",'ENGAGEMENTS 2026'!J162)</f>
        <v/>
      </c>
      <c r="G162">
        <f>IF(ISBLANK('ENGAGEMENTS 2026'!C162),"",'ENGAGEMENTS 2026'!M162)</f>
        <v/>
      </c>
      <c r="H162">
        <f>IF(ISBLANK('ENGAGEMENTS 2026'!C162),"",'ENGAGEMENTS 2026'!AF162)</f>
        <v/>
      </c>
      <c r="I162">
        <f>IF(ISBLANK('ENGAGEMENTS 2026'!C162),"",'ENGAGEMENTS 2026'!H162)</f>
        <v/>
      </c>
      <c r="J162" s="275">
        <f>IF(ISBLANK('ENGAGEMENTS 2026'!C162),"",IF(AND(OR($E162="INFRUCTUEUX",$E162="ANNULE"),$C162="AOO-M"),'ENGAGEMENTS 2026'!P162,IF($H162="EN COURS DE PREENGAGEMENT",'ENGAGEMENTS 2026'!O162,IF($H162="PREENGAGE",IF($E162="ATTRIBUE",'ENGAGEMENTS 2026'!AE162,'ENGAGEMENTS 2026'!O162),'ENGAGEMENTS 2026'!AE162))))</f>
        <v/>
      </c>
      <c r="K162" s="604">
        <f>IF(ISBLANK('ENGAGEMENTS 2026'!W162),"",'ENGAGEMENTS 2026'!W162)</f>
        <v/>
      </c>
      <c r="L162" s="276">
        <f>IF($K162="","",TODAY()-$K162)</f>
        <v/>
      </c>
      <c r="M162">
        <f>IF($A162="","",IF($H162="ENGAGE","Engagé",IF(AND($H162="NON ENGAGE",OR($I162="INFRUCTUEUX",$I162="ANNULE")),"Clôturé sans suite","En cours")))</f>
        <v/>
      </c>
      <c r="N162">
        <f>IF(ISBLANK('ENGAGEMENTS 2026'!C162),"",'ENGAGEMENTS 2026'!L162)</f>
        <v/>
      </c>
      <c r="O162">
        <f>IF(ISBLANK('ENGAGEMENTS 2026'!C162),"",'ENGAGEMENTS 2026'!M162)</f>
        <v/>
      </c>
      <c r="P162">
        <f>IF(ISBLANK('ENGAGEMENTS 2026'!C162),"",'ENGAGEMENTS 2026'!K162)</f>
        <v/>
      </c>
      <c r="Q162">
        <f>IF($A162="","",IF(OR($E162="INFRUCTUEUX",$E162="ANNULE"),$A162&amp;"|"&amp;(COUNTIFS($A$2:$A162,$A162,$E$2:$E162,"INFRUCTUEUX")+COUNTIFS($A$2:$A162,$A162,$E$2:$E162,"ANNULE")),""))</f>
        <v/>
      </c>
    </row>
    <row r="163">
      <c r="A163">
        <f>IF(ISBLANK('ENGAGEMENTS 2026'!C163),"",IF('ENGAGEMENTS 2026'!C163="DTSI","DCT",'ENGAGEMENTS 2026'!C163))</f>
        <v/>
      </c>
      <c r="B163">
        <f>IF(ISBLANK('ENGAGEMENTS 2026'!C163),"",'ENGAGEMENTS 2026'!D163)</f>
        <v/>
      </c>
      <c r="C163">
        <f>IF(ISBLANK('ENGAGEMENTS 2026'!C163),"",'ENGAGEMENTS 2026'!E163)</f>
        <v/>
      </c>
      <c r="D163">
        <f>IF(ISBLANK('ENGAGEMENTS 2026'!C163),"",'ENGAGEMENTS 2026'!G163)</f>
        <v/>
      </c>
      <c r="E163">
        <f>IF(ISBLANK('ENGAGEMENTS 2026'!C163),"",'ENGAGEMENTS 2026'!I163)</f>
        <v/>
      </c>
      <c r="F163">
        <f>IF(ISBLANK('ENGAGEMENTS 2026'!C163),"",'ENGAGEMENTS 2026'!J163)</f>
        <v/>
      </c>
      <c r="G163">
        <f>IF(ISBLANK('ENGAGEMENTS 2026'!C163),"",'ENGAGEMENTS 2026'!M163)</f>
        <v/>
      </c>
      <c r="H163">
        <f>IF(ISBLANK('ENGAGEMENTS 2026'!C163),"",'ENGAGEMENTS 2026'!AF163)</f>
        <v/>
      </c>
      <c r="I163">
        <f>IF(ISBLANK('ENGAGEMENTS 2026'!C163),"",'ENGAGEMENTS 2026'!H163)</f>
        <v/>
      </c>
      <c r="J163" s="275">
        <f>IF(ISBLANK('ENGAGEMENTS 2026'!C163),"",IF(AND(OR($E163="INFRUCTUEUX",$E163="ANNULE"),$C163="AOO-M"),'ENGAGEMENTS 2026'!P163,IF($H163="EN COURS DE PREENGAGEMENT",'ENGAGEMENTS 2026'!O163,IF($H163="PREENGAGE",IF($E163="ATTRIBUE",'ENGAGEMENTS 2026'!AE163,'ENGAGEMENTS 2026'!O163),'ENGAGEMENTS 2026'!AE163))))</f>
        <v/>
      </c>
      <c r="K163" s="604">
        <f>IF(ISBLANK('ENGAGEMENTS 2026'!W163),"",'ENGAGEMENTS 2026'!W163)</f>
        <v/>
      </c>
      <c r="L163" s="276">
        <f>IF($K163="","",TODAY()-$K163)</f>
        <v/>
      </c>
      <c r="M163">
        <f>IF($A163="","",IF($H163="ENGAGE","Engagé",IF(AND($H163="NON ENGAGE",OR($I163="INFRUCTUEUX",$I163="ANNULE")),"Clôturé sans suite","En cours")))</f>
        <v/>
      </c>
      <c r="N163">
        <f>IF(ISBLANK('ENGAGEMENTS 2026'!C163),"",'ENGAGEMENTS 2026'!L163)</f>
        <v/>
      </c>
      <c r="O163">
        <f>IF(ISBLANK('ENGAGEMENTS 2026'!C163),"",'ENGAGEMENTS 2026'!M163)</f>
        <v/>
      </c>
      <c r="P163">
        <f>IF(ISBLANK('ENGAGEMENTS 2026'!C163),"",'ENGAGEMENTS 2026'!K163)</f>
        <v/>
      </c>
      <c r="Q163">
        <f>IF($A163="","",IF(OR($E163="INFRUCTUEUX",$E163="ANNULE"),$A163&amp;"|"&amp;(COUNTIFS($A$2:$A163,$A163,$E$2:$E163,"INFRUCTUEUX")+COUNTIFS($A$2:$A163,$A163,$E$2:$E163,"ANNULE")),""))</f>
        <v/>
      </c>
    </row>
    <row r="164">
      <c r="A164">
        <f>IF(ISBLANK('ENGAGEMENTS 2026'!C164),"",IF('ENGAGEMENTS 2026'!C164="DTSI","DCT",'ENGAGEMENTS 2026'!C164))</f>
        <v/>
      </c>
      <c r="B164">
        <f>IF(ISBLANK('ENGAGEMENTS 2026'!C164),"",'ENGAGEMENTS 2026'!D164)</f>
        <v/>
      </c>
      <c r="C164">
        <f>IF(ISBLANK('ENGAGEMENTS 2026'!C164),"",'ENGAGEMENTS 2026'!E164)</f>
        <v/>
      </c>
      <c r="D164">
        <f>IF(ISBLANK('ENGAGEMENTS 2026'!C164),"",'ENGAGEMENTS 2026'!G164)</f>
        <v/>
      </c>
      <c r="E164">
        <f>IF(ISBLANK('ENGAGEMENTS 2026'!C164),"",'ENGAGEMENTS 2026'!I164)</f>
        <v/>
      </c>
      <c r="F164">
        <f>IF(ISBLANK('ENGAGEMENTS 2026'!C164),"",'ENGAGEMENTS 2026'!J164)</f>
        <v/>
      </c>
      <c r="G164">
        <f>IF(ISBLANK('ENGAGEMENTS 2026'!C164),"",'ENGAGEMENTS 2026'!M164)</f>
        <v/>
      </c>
      <c r="H164">
        <f>IF(ISBLANK('ENGAGEMENTS 2026'!C164),"",'ENGAGEMENTS 2026'!AF164)</f>
        <v/>
      </c>
      <c r="I164">
        <f>IF(ISBLANK('ENGAGEMENTS 2026'!C164),"",'ENGAGEMENTS 2026'!H164)</f>
        <v/>
      </c>
      <c r="J164" s="275">
        <f>IF(ISBLANK('ENGAGEMENTS 2026'!C164),"",IF(AND(OR($E164="INFRUCTUEUX",$E164="ANNULE"),$C164="AOO-M"),'ENGAGEMENTS 2026'!P164,IF($H164="EN COURS DE PREENGAGEMENT",'ENGAGEMENTS 2026'!O164,IF($H164="PREENGAGE",IF($E164="ATTRIBUE",'ENGAGEMENTS 2026'!AE164,'ENGAGEMENTS 2026'!O164),'ENGAGEMENTS 2026'!AE164))))</f>
        <v/>
      </c>
      <c r="K164" s="604">
        <f>IF(ISBLANK('ENGAGEMENTS 2026'!W164),"",'ENGAGEMENTS 2026'!W164)</f>
        <v/>
      </c>
      <c r="L164" s="276">
        <f>IF($K164="","",TODAY()-$K164)</f>
        <v/>
      </c>
      <c r="M164">
        <f>IF($A164="","",IF($H164="ENGAGE","Engagé",IF(AND($H164="NON ENGAGE",OR($I164="INFRUCTUEUX",$I164="ANNULE")),"Clôturé sans suite","En cours")))</f>
        <v/>
      </c>
      <c r="N164">
        <f>IF(ISBLANK('ENGAGEMENTS 2026'!C164),"",'ENGAGEMENTS 2026'!L164)</f>
        <v/>
      </c>
      <c r="O164">
        <f>IF(ISBLANK('ENGAGEMENTS 2026'!C164),"",'ENGAGEMENTS 2026'!M164)</f>
        <v/>
      </c>
      <c r="P164">
        <f>IF(ISBLANK('ENGAGEMENTS 2026'!C164),"",'ENGAGEMENTS 2026'!K164)</f>
        <v/>
      </c>
      <c r="Q164">
        <f>IF($A164="","",IF(OR($E164="INFRUCTUEUX",$E164="ANNULE"),$A164&amp;"|"&amp;(COUNTIFS($A$2:$A164,$A164,$E$2:$E164,"INFRUCTUEUX")+COUNTIFS($A$2:$A164,$A164,$E$2:$E164,"ANNULE")),""))</f>
        <v/>
      </c>
    </row>
    <row r="165">
      <c r="A165">
        <f>IF(ISBLANK('ENGAGEMENTS 2026'!C165),"",IF('ENGAGEMENTS 2026'!C165="DTSI","DCT",'ENGAGEMENTS 2026'!C165))</f>
        <v/>
      </c>
      <c r="B165">
        <f>IF(ISBLANK('ENGAGEMENTS 2026'!C165),"",'ENGAGEMENTS 2026'!D165)</f>
        <v/>
      </c>
      <c r="C165">
        <f>IF(ISBLANK('ENGAGEMENTS 2026'!C165),"",'ENGAGEMENTS 2026'!E165)</f>
        <v/>
      </c>
      <c r="D165">
        <f>IF(ISBLANK('ENGAGEMENTS 2026'!C165),"",'ENGAGEMENTS 2026'!G165)</f>
        <v/>
      </c>
      <c r="E165">
        <f>IF(ISBLANK('ENGAGEMENTS 2026'!C165),"",'ENGAGEMENTS 2026'!I165)</f>
        <v/>
      </c>
      <c r="F165">
        <f>IF(ISBLANK('ENGAGEMENTS 2026'!C165),"",'ENGAGEMENTS 2026'!J165)</f>
        <v/>
      </c>
      <c r="G165">
        <f>IF(ISBLANK('ENGAGEMENTS 2026'!C165),"",'ENGAGEMENTS 2026'!M165)</f>
        <v/>
      </c>
      <c r="H165">
        <f>IF(ISBLANK('ENGAGEMENTS 2026'!C165),"",'ENGAGEMENTS 2026'!AF165)</f>
        <v/>
      </c>
      <c r="I165">
        <f>IF(ISBLANK('ENGAGEMENTS 2026'!C165),"",'ENGAGEMENTS 2026'!H165)</f>
        <v/>
      </c>
      <c r="J165" s="275">
        <f>IF(ISBLANK('ENGAGEMENTS 2026'!C165),"",IF(AND(OR($E165="INFRUCTUEUX",$E165="ANNULE"),$C165="AOO-M"),'ENGAGEMENTS 2026'!P165,IF($H165="EN COURS DE PREENGAGEMENT",'ENGAGEMENTS 2026'!O165,IF($H165="PREENGAGE",IF($E165="ATTRIBUE",'ENGAGEMENTS 2026'!AE165,'ENGAGEMENTS 2026'!O165),'ENGAGEMENTS 2026'!AE165))))</f>
        <v/>
      </c>
      <c r="K165" s="604">
        <f>IF(ISBLANK('ENGAGEMENTS 2026'!W165),"",'ENGAGEMENTS 2026'!W165)</f>
        <v/>
      </c>
      <c r="L165" s="276">
        <f>IF($K165="","",TODAY()-$K165)</f>
        <v/>
      </c>
      <c r="M165">
        <f>IF($A165="","",IF($H165="ENGAGE","Engagé",IF(AND($H165="NON ENGAGE",OR($I165="INFRUCTUEUX",$I165="ANNULE")),"Clôturé sans suite","En cours")))</f>
        <v/>
      </c>
      <c r="N165">
        <f>IF(ISBLANK('ENGAGEMENTS 2026'!C165),"",'ENGAGEMENTS 2026'!L165)</f>
        <v/>
      </c>
      <c r="O165">
        <f>IF(ISBLANK('ENGAGEMENTS 2026'!C165),"",'ENGAGEMENTS 2026'!M165)</f>
        <v/>
      </c>
      <c r="P165">
        <f>IF(ISBLANK('ENGAGEMENTS 2026'!C165),"",'ENGAGEMENTS 2026'!K165)</f>
        <v/>
      </c>
      <c r="Q165">
        <f>IF($A165="","",IF(OR($E165="INFRUCTUEUX",$E165="ANNULE"),$A165&amp;"|"&amp;(COUNTIFS($A$2:$A165,$A165,$E$2:$E165,"INFRUCTUEUX")+COUNTIFS($A$2:$A165,$A165,$E$2:$E165,"ANNULE")),""))</f>
        <v/>
      </c>
    </row>
    <row r="166">
      <c r="A166">
        <f>IF(ISBLANK('ENGAGEMENTS 2026'!C166),"",IF('ENGAGEMENTS 2026'!C166="DTSI","DCT",'ENGAGEMENTS 2026'!C166))</f>
        <v/>
      </c>
      <c r="B166">
        <f>IF(ISBLANK('ENGAGEMENTS 2026'!C166),"",'ENGAGEMENTS 2026'!D166)</f>
        <v/>
      </c>
      <c r="C166">
        <f>IF(ISBLANK('ENGAGEMENTS 2026'!C166),"",'ENGAGEMENTS 2026'!E166)</f>
        <v/>
      </c>
      <c r="D166">
        <f>IF(ISBLANK('ENGAGEMENTS 2026'!C166),"",'ENGAGEMENTS 2026'!G166)</f>
        <v/>
      </c>
      <c r="E166">
        <f>IF(ISBLANK('ENGAGEMENTS 2026'!C166),"",'ENGAGEMENTS 2026'!I166)</f>
        <v/>
      </c>
      <c r="F166">
        <f>IF(ISBLANK('ENGAGEMENTS 2026'!C166),"",'ENGAGEMENTS 2026'!J166)</f>
        <v/>
      </c>
      <c r="G166">
        <f>IF(ISBLANK('ENGAGEMENTS 2026'!C166),"",'ENGAGEMENTS 2026'!M166)</f>
        <v/>
      </c>
      <c r="H166">
        <f>IF(ISBLANK('ENGAGEMENTS 2026'!C166),"",'ENGAGEMENTS 2026'!AF166)</f>
        <v/>
      </c>
      <c r="I166">
        <f>IF(ISBLANK('ENGAGEMENTS 2026'!C166),"",'ENGAGEMENTS 2026'!H166)</f>
        <v/>
      </c>
      <c r="J166" s="275">
        <f>IF(ISBLANK('ENGAGEMENTS 2026'!C166),"",IF(AND(OR($E166="INFRUCTUEUX",$E166="ANNULE"),$C166="AOO-M"),'ENGAGEMENTS 2026'!P166,IF($H166="EN COURS DE PREENGAGEMENT",'ENGAGEMENTS 2026'!O166,IF($H166="PREENGAGE",IF($E166="ATTRIBUE",'ENGAGEMENTS 2026'!AE166,'ENGAGEMENTS 2026'!O166),'ENGAGEMENTS 2026'!AE166))))</f>
        <v/>
      </c>
      <c r="K166" s="604">
        <f>IF(ISBLANK('ENGAGEMENTS 2026'!W166),"",'ENGAGEMENTS 2026'!W166)</f>
        <v/>
      </c>
      <c r="L166" s="276">
        <f>IF($K166="","",TODAY()-$K166)</f>
        <v/>
      </c>
      <c r="M166">
        <f>IF($A166="","",IF($H166="ENGAGE","Engagé",IF(AND($H166="NON ENGAGE",OR($I166="INFRUCTUEUX",$I166="ANNULE")),"Clôturé sans suite","En cours")))</f>
        <v/>
      </c>
      <c r="N166">
        <f>IF(ISBLANK('ENGAGEMENTS 2026'!C166),"",'ENGAGEMENTS 2026'!L166)</f>
        <v/>
      </c>
      <c r="O166">
        <f>IF(ISBLANK('ENGAGEMENTS 2026'!C166),"",'ENGAGEMENTS 2026'!M166)</f>
        <v/>
      </c>
      <c r="P166">
        <f>IF(ISBLANK('ENGAGEMENTS 2026'!C166),"",'ENGAGEMENTS 2026'!K166)</f>
        <v/>
      </c>
      <c r="Q166">
        <f>IF($A166="","",IF(OR($E166="INFRUCTUEUX",$E166="ANNULE"),$A166&amp;"|"&amp;(COUNTIFS($A$2:$A166,$A166,$E$2:$E166,"INFRUCTUEUX")+COUNTIFS($A$2:$A166,$A166,$E$2:$E166,"ANNULE")),""))</f>
        <v/>
      </c>
    </row>
    <row r="167">
      <c r="A167">
        <f>IF(ISBLANK('ENGAGEMENTS 2026'!C167),"",IF('ENGAGEMENTS 2026'!C167="DTSI","DCT",'ENGAGEMENTS 2026'!C167))</f>
        <v/>
      </c>
      <c r="B167">
        <f>IF(ISBLANK('ENGAGEMENTS 2026'!C167),"",'ENGAGEMENTS 2026'!D167)</f>
        <v/>
      </c>
      <c r="C167">
        <f>IF(ISBLANK('ENGAGEMENTS 2026'!C167),"",'ENGAGEMENTS 2026'!E167)</f>
        <v/>
      </c>
      <c r="D167">
        <f>IF(ISBLANK('ENGAGEMENTS 2026'!C167),"",'ENGAGEMENTS 2026'!G167)</f>
        <v/>
      </c>
      <c r="E167">
        <f>IF(ISBLANK('ENGAGEMENTS 2026'!C167),"",'ENGAGEMENTS 2026'!I167)</f>
        <v/>
      </c>
      <c r="F167">
        <f>IF(ISBLANK('ENGAGEMENTS 2026'!C167),"",'ENGAGEMENTS 2026'!J167)</f>
        <v/>
      </c>
      <c r="G167">
        <f>IF(ISBLANK('ENGAGEMENTS 2026'!C167),"",'ENGAGEMENTS 2026'!M167)</f>
        <v/>
      </c>
      <c r="H167">
        <f>IF(ISBLANK('ENGAGEMENTS 2026'!C167),"",'ENGAGEMENTS 2026'!AF167)</f>
        <v/>
      </c>
      <c r="I167">
        <f>IF(ISBLANK('ENGAGEMENTS 2026'!C167),"",'ENGAGEMENTS 2026'!H167)</f>
        <v/>
      </c>
      <c r="J167" s="275">
        <f>IF(ISBLANK('ENGAGEMENTS 2026'!C167),"",IF(AND(OR($E167="INFRUCTUEUX",$E167="ANNULE"),$C167="AOO-M"),'ENGAGEMENTS 2026'!P167,IF($H167="EN COURS DE PREENGAGEMENT",'ENGAGEMENTS 2026'!O167,IF($H167="PREENGAGE",IF($E167="ATTRIBUE",'ENGAGEMENTS 2026'!AE167,'ENGAGEMENTS 2026'!O167),'ENGAGEMENTS 2026'!AE167))))</f>
        <v/>
      </c>
      <c r="K167" s="604">
        <f>IF(ISBLANK('ENGAGEMENTS 2026'!W167),"",'ENGAGEMENTS 2026'!W167)</f>
        <v/>
      </c>
      <c r="L167" s="276">
        <f>IF($K167="","",TODAY()-$K167)</f>
        <v/>
      </c>
      <c r="M167">
        <f>IF($A167="","",IF($H167="ENGAGE","Engagé",IF(AND($H167="NON ENGAGE",OR($I167="INFRUCTUEUX",$I167="ANNULE")),"Clôturé sans suite","En cours")))</f>
        <v/>
      </c>
      <c r="N167">
        <f>IF(ISBLANK('ENGAGEMENTS 2026'!C167),"",'ENGAGEMENTS 2026'!L167)</f>
        <v/>
      </c>
      <c r="O167">
        <f>IF(ISBLANK('ENGAGEMENTS 2026'!C167),"",'ENGAGEMENTS 2026'!M167)</f>
        <v/>
      </c>
      <c r="P167">
        <f>IF(ISBLANK('ENGAGEMENTS 2026'!C167),"",'ENGAGEMENTS 2026'!K167)</f>
        <v/>
      </c>
      <c r="Q167">
        <f>IF($A167="","",IF(OR($E167="INFRUCTUEUX",$E167="ANNULE"),$A167&amp;"|"&amp;(COUNTIFS($A$2:$A167,$A167,$E$2:$E167,"INFRUCTUEUX")+COUNTIFS($A$2:$A167,$A167,$E$2:$E167,"ANNULE")),""))</f>
        <v/>
      </c>
    </row>
    <row r="168">
      <c r="A168">
        <f>IF(ISBLANK('ENGAGEMENTS 2026'!C168),"",IF('ENGAGEMENTS 2026'!C168="DTSI","DCT",'ENGAGEMENTS 2026'!C168))</f>
        <v/>
      </c>
      <c r="B168">
        <f>IF(ISBLANK('ENGAGEMENTS 2026'!C168),"",'ENGAGEMENTS 2026'!D168)</f>
        <v/>
      </c>
      <c r="C168">
        <f>IF(ISBLANK('ENGAGEMENTS 2026'!C168),"",'ENGAGEMENTS 2026'!E168)</f>
        <v/>
      </c>
      <c r="D168">
        <f>IF(ISBLANK('ENGAGEMENTS 2026'!C168),"",'ENGAGEMENTS 2026'!G168)</f>
        <v/>
      </c>
      <c r="E168">
        <f>IF(ISBLANK('ENGAGEMENTS 2026'!C168),"",'ENGAGEMENTS 2026'!I168)</f>
        <v/>
      </c>
      <c r="F168">
        <f>IF(ISBLANK('ENGAGEMENTS 2026'!C168),"",'ENGAGEMENTS 2026'!J168)</f>
        <v/>
      </c>
      <c r="G168">
        <f>IF(ISBLANK('ENGAGEMENTS 2026'!C168),"",'ENGAGEMENTS 2026'!M168)</f>
        <v/>
      </c>
      <c r="H168">
        <f>IF(ISBLANK('ENGAGEMENTS 2026'!C168),"",'ENGAGEMENTS 2026'!AF168)</f>
        <v/>
      </c>
      <c r="I168">
        <f>IF(ISBLANK('ENGAGEMENTS 2026'!C168),"",'ENGAGEMENTS 2026'!H168)</f>
        <v/>
      </c>
      <c r="J168" s="275">
        <f>IF(ISBLANK('ENGAGEMENTS 2026'!C168),"",IF(AND(OR($E168="INFRUCTUEUX",$E168="ANNULE"),$C168="AOO-M"),'ENGAGEMENTS 2026'!P168,IF($H168="EN COURS DE PREENGAGEMENT",'ENGAGEMENTS 2026'!O168,IF($H168="PREENGAGE",IF($E168="ATTRIBUE",'ENGAGEMENTS 2026'!AE168,'ENGAGEMENTS 2026'!O168),'ENGAGEMENTS 2026'!AE168))))</f>
        <v/>
      </c>
      <c r="K168" s="604">
        <f>IF(ISBLANK('ENGAGEMENTS 2026'!W168),"",'ENGAGEMENTS 2026'!W168)</f>
        <v/>
      </c>
      <c r="L168" s="276">
        <f>IF($K168="","",TODAY()-$K168)</f>
        <v/>
      </c>
      <c r="M168">
        <f>IF($A168="","",IF($H168="ENGAGE","Engagé",IF(AND($H168="NON ENGAGE",OR($I168="INFRUCTUEUX",$I168="ANNULE")),"Clôturé sans suite","En cours")))</f>
        <v/>
      </c>
      <c r="N168">
        <f>IF(ISBLANK('ENGAGEMENTS 2026'!C168),"",'ENGAGEMENTS 2026'!L168)</f>
        <v/>
      </c>
      <c r="O168">
        <f>IF(ISBLANK('ENGAGEMENTS 2026'!C168),"",'ENGAGEMENTS 2026'!M168)</f>
        <v/>
      </c>
      <c r="P168">
        <f>IF(ISBLANK('ENGAGEMENTS 2026'!C168),"",'ENGAGEMENTS 2026'!K168)</f>
        <v/>
      </c>
      <c r="Q168">
        <f>IF($A168="","",IF(OR($E168="INFRUCTUEUX",$E168="ANNULE"),$A168&amp;"|"&amp;(COUNTIFS($A$2:$A168,$A168,$E$2:$E168,"INFRUCTUEUX")+COUNTIFS($A$2:$A168,$A168,$E$2:$E168,"ANNULE")),""))</f>
        <v/>
      </c>
    </row>
    <row r="169">
      <c r="A169">
        <f>IF(ISBLANK('ENGAGEMENTS 2026'!C169),"",IF('ENGAGEMENTS 2026'!C169="DTSI","DCT",'ENGAGEMENTS 2026'!C169))</f>
        <v/>
      </c>
      <c r="B169">
        <f>IF(ISBLANK('ENGAGEMENTS 2026'!C169),"",'ENGAGEMENTS 2026'!D169)</f>
        <v/>
      </c>
      <c r="C169">
        <f>IF(ISBLANK('ENGAGEMENTS 2026'!C169),"",'ENGAGEMENTS 2026'!E169)</f>
        <v/>
      </c>
      <c r="D169">
        <f>IF(ISBLANK('ENGAGEMENTS 2026'!C169),"",'ENGAGEMENTS 2026'!G169)</f>
        <v/>
      </c>
      <c r="E169">
        <f>IF(ISBLANK('ENGAGEMENTS 2026'!C169),"",'ENGAGEMENTS 2026'!I169)</f>
        <v/>
      </c>
      <c r="F169">
        <f>IF(ISBLANK('ENGAGEMENTS 2026'!C169),"",'ENGAGEMENTS 2026'!J169)</f>
        <v/>
      </c>
      <c r="G169">
        <f>IF(ISBLANK('ENGAGEMENTS 2026'!C169),"",'ENGAGEMENTS 2026'!M169)</f>
        <v/>
      </c>
      <c r="H169">
        <f>IF(ISBLANK('ENGAGEMENTS 2026'!C169),"",'ENGAGEMENTS 2026'!AF169)</f>
        <v/>
      </c>
      <c r="I169">
        <f>IF(ISBLANK('ENGAGEMENTS 2026'!C169),"",'ENGAGEMENTS 2026'!H169)</f>
        <v/>
      </c>
      <c r="J169" s="275">
        <f>IF(ISBLANK('ENGAGEMENTS 2026'!C169),"",IF(AND(OR($E169="INFRUCTUEUX",$E169="ANNULE"),$C169="AOO-M"),'ENGAGEMENTS 2026'!P169,IF($H169="EN COURS DE PREENGAGEMENT",'ENGAGEMENTS 2026'!O169,IF($H169="PREENGAGE",IF($E169="ATTRIBUE",'ENGAGEMENTS 2026'!AE169,'ENGAGEMENTS 2026'!O169),'ENGAGEMENTS 2026'!AE169))))</f>
        <v/>
      </c>
      <c r="K169" s="604">
        <f>IF(ISBLANK('ENGAGEMENTS 2026'!W169),"",'ENGAGEMENTS 2026'!W169)</f>
        <v/>
      </c>
      <c r="L169" s="276">
        <f>IF($K169="","",TODAY()-$K169)</f>
        <v/>
      </c>
      <c r="M169">
        <f>IF($A169="","",IF($H169="ENGAGE","Engagé",IF(AND($H169="NON ENGAGE",OR($I169="INFRUCTUEUX",$I169="ANNULE")),"Clôturé sans suite","En cours")))</f>
        <v/>
      </c>
      <c r="N169">
        <f>IF(ISBLANK('ENGAGEMENTS 2026'!C169),"",'ENGAGEMENTS 2026'!L169)</f>
        <v/>
      </c>
      <c r="O169">
        <f>IF(ISBLANK('ENGAGEMENTS 2026'!C169),"",'ENGAGEMENTS 2026'!M169)</f>
        <v/>
      </c>
      <c r="P169">
        <f>IF(ISBLANK('ENGAGEMENTS 2026'!C169),"",'ENGAGEMENTS 2026'!K169)</f>
        <v/>
      </c>
      <c r="Q169">
        <f>IF($A169="","",IF(OR($E169="INFRUCTUEUX",$E169="ANNULE"),$A169&amp;"|"&amp;(COUNTIFS($A$2:$A169,$A169,$E$2:$E169,"INFRUCTUEUX")+COUNTIFS($A$2:$A169,$A169,$E$2:$E169,"ANNULE")),""))</f>
        <v/>
      </c>
    </row>
    <row r="170">
      <c r="A170">
        <f>IF(ISBLANK('ENGAGEMENTS 2026'!C170),"",IF('ENGAGEMENTS 2026'!C170="DTSI","DCT",'ENGAGEMENTS 2026'!C170))</f>
        <v/>
      </c>
      <c r="B170">
        <f>IF(ISBLANK('ENGAGEMENTS 2026'!C170),"",'ENGAGEMENTS 2026'!D170)</f>
        <v/>
      </c>
      <c r="C170">
        <f>IF(ISBLANK('ENGAGEMENTS 2026'!C170),"",'ENGAGEMENTS 2026'!E170)</f>
        <v/>
      </c>
      <c r="D170">
        <f>IF(ISBLANK('ENGAGEMENTS 2026'!C170),"",'ENGAGEMENTS 2026'!G170)</f>
        <v/>
      </c>
      <c r="E170">
        <f>IF(ISBLANK('ENGAGEMENTS 2026'!C170),"",'ENGAGEMENTS 2026'!I170)</f>
        <v/>
      </c>
      <c r="F170">
        <f>IF(ISBLANK('ENGAGEMENTS 2026'!C170),"",'ENGAGEMENTS 2026'!J170)</f>
        <v/>
      </c>
      <c r="G170">
        <f>IF(ISBLANK('ENGAGEMENTS 2026'!C170),"",'ENGAGEMENTS 2026'!M170)</f>
        <v/>
      </c>
      <c r="H170">
        <f>IF(ISBLANK('ENGAGEMENTS 2026'!C170),"",'ENGAGEMENTS 2026'!AF170)</f>
        <v/>
      </c>
      <c r="I170">
        <f>IF(ISBLANK('ENGAGEMENTS 2026'!C170),"",'ENGAGEMENTS 2026'!H170)</f>
        <v/>
      </c>
      <c r="J170" s="275">
        <f>IF(ISBLANK('ENGAGEMENTS 2026'!C170),"",IF(AND(OR($E170="INFRUCTUEUX",$E170="ANNULE"),$C170="AOO-M"),'ENGAGEMENTS 2026'!P170,IF($H170="EN COURS DE PREENGAGEMENT",'ENGAGEMENTS 2026'!O170,IF($H170="PREENGAGE",IF($E170="ATTRIBUE",'ENGAGEMENTS 2026'!AE170,'ENGAGEMENTS 2026'!O170),'ENGAGEMENTS 2026'!AE170))))</f>
        <v/>
      </c>
      <c r="K170" s="604">
        <f>IF(ISBLANK('ENGAGEMENTS 2026'!W170),"",'ENGAGEMENTS 2026'!W170)</f>
        <v/>
      </c>
      <c r="L170" s="276">
        <f>IF($K170="","",TODAY()-$K170)</f>
        <v/>
      </c>
      <c r="M170">
        <f>IF($A170="","",IF($H170="ENGAGE","Engagé",IF(AND($H170="NON ENGAGE",OR($I170="INFRUCTUEUX",$I170="ANNULE")),"Clôturé sans suite","En cours")))</f>
        <v/>
      </c>
      <c r="N170">
        <f>IF(ISBLANK('ENGAGEMENTS 2026'!C170),"",'ENGAGEMENTS 2026'!L170)</f>
        <v/>
      </c>
      <c r="O170">
        <f>IF(ISBLANK('ENGAGEMENTS 2026'!C170),"",'ENGAGEMENTS 2026'!M170)</f>
        <v/>
      </c>
      <c r="P170">
        <f>IF(ISBLANK('ENGAGEMENTS 2026'!C170),"",'ENGAGEMENTS 2026'!K170)</f>
        <v/>
      </c>
      <c r="Q170">
        <f>IF($A170="","",IF(OR($E170="INFRUCTUEUX",$E170="ANNULE"),$A170&amp;"|"&amp;(COUNTIFS($A$2:$A170,$A170,$E$2:$E170,"INFRUCTUEUX")+COUNTIFS($A$2:$A170,$A170,$E$2:$E170,"ANNULE")),""))</f>
        <v/>
      </c>
    </row>
    <row r="171">
      <c r="A171">
        <f>IF(ISBLANK('ENGAGEMENTS 2026'!C171),"",IF('ENGAGEMENTS 2026'!C171="DTSI","DCT",'ENGAGEMENTS 2026'!C171))</f>
        <v/>
      </c>
      <c r="B171">
        <f>IF(ISBLANK('ENGAGEMENTS 2026'!C171),"",'ENGAGEMENTS 2026'!D171)</f>
        <v/>
      </c>
      <c r="C171">
        <f>IF(ISBLANK('ENGAGEMENTS 2026'!C171),"",'ENGAGEMENTS 2026'!E171)</f>
        <v/>
      </c>
      <c r="D171">
        <f>IF(ISBLANK('ENGAGEMENTS 2026'!C171),"",'ENGAGEMENTS 2026'!G171)</f>
        <v/>
      </c>
      <c r="E171">
        <f>IF(ISBLANK('ENGAGEMENTS 2026'!C171),"",'ENGAGEMENTS 2026'!I171)</f>
        <v/>
      </c>
      <c r="F171">
        <f>IF(ISBLANK('ENGAGEMENTS 2026'!C171),"",'ENGAGEMENTS 2026'!J171)</f>
        <v/>
      </c>
      <c r="G171">
        <f>IF(ISBLANK('ENGAGEMENTS 2026'!C171),"",'ENGAGEMENTS 2026'!M171)</f>
        <v/>
      </c>
      <c r="H171">
        <f>IF(ISBLANK('ENGAGEMENTS 2026'!C171),"",'ENGAGEMENTS 2026'!AF171)</f>
        <v/>
      </c>
      <c r="I171">
        <f>IF(ISBLANK('ENGAGEMENTS 2026'!C171),"",'ENGAGEMENTS 2026'!H171)</f>
        <v/>
      </c>
      <c r="J171" s="275">
        <f>IF(ISBLANK('ENGAGEMENTS 2026'!C171),"",IF(AND(OR($E171="INFRUCTUEUX",$E171="ANNULE"),$C171="AOO-M"),'ENGAGEMENTS 2026'!P171,IF($H171="EN COURS DE PREENGAGEMENT",'ENGAGEMENTS 2026'!O171,IF($H171="PREENGAGE",IF($E171="ATTRIBUE",'ENGAGEMENTS 2026'!AE171,'ENGAGEMENTS 2026'!O171),'ENGAGEMENTS 2026'!AE171))))</f>
        <v/>
      </c>
      <c r="K171" s="604">
        <f>IF(ISBLANK('ENGAGEMENTS 2026'!W171),"",'ENGAGEMENTS 2026'!W171)</f>
        <v/>
      </c>
      <c r="L171" s="276">
        <f>IF($K171="","",TODAY()-$K171)</f>
        <v/>
      </c>
      <c r="M171">
        <f>IF($A171="","",IF($H171="ENGAGE","Engagé",IF(AND($H171="NON ENGAGE",OR($I171="INFRUCTUEUX",$I171="ANNULE")),"Clôturé sans suite","En cours")))</f>
        <v/>
      </c>
      <c r="N171">
        <f>IF(ISBLANK('ENGAGEMENTS 2026'!C171),"",'ENGAGEMENTS 2026'!L171)</f>
        <v/>
      </c>
      <c r="O171">
        <f>IF(ISBLANK('ENGAGEMENTS 2026'!C171),"",'ENGAGEMENTS 2026'!M171)</f>
        <v/>
      </c>
      <c r="P171">
        <f>IF(ISBLANK('ENGAGEMENTS 2026'!C171),"",'ENGAGEMENTS 2026'!K171)</f>
        <v/>
      </c>
      <c r="Q171">
        <f>IF($A171="","",IF(OR($E171="INFRUCTUEUX",$E171="ANNULE"),$A171&amp;"|"&amp;(COUNTIFS($A$2:$A171,$A171,$E$2:$E171,"INFRUCTUEUX")+COUNTIFS($A$2:$A171,$A171,$E$2:$E171,"ANNULE")),""))</f>
        <v/>
      </c>
    </row>
    <row r="172">
      <c r="A172">
        <f>IF(ISBLANK('ENGAGEMENTS 2026'!C172),"",IF('ENGAGEMENTS 2026'!C172="DTSI","DCT",'ENGAGEMENTS 2026'!C172))</f>
        <v/>
      </c>
      <c r="B172">
        <f>IF(ISBLANK('ENGAGEMENTS 2026'!C172),"",'ENGAGEMENTS 2026'!D172)</f>
        <v/>
      </c>
      <c r="C172">
        <f>IF(ISBLANK('ENGAGEMENTS 2026'!C172),"",'ENGAGEMENTS 2026'!E172)</f>
        <v/>
      </c>
      <c r="D172">
        <f>IF(ISBLANK('ENGAGEMENTS 2026'!C172),"",'ENGAGEMENTS 2026'!G172)</f>
        <v/>
      </c>
      <c r="E172">
        <f>IF(ISBLANK('ENGAGEMENTS 2026'!C172),"",'ENGAGEMENTS 2026'!I172)</f>
        <v/>
      </c>
      <c r="F172">
        <f>IF(ISBLANK('ENGAGEMENTS 2026'!C172),"",'ENGAGEMENTS 2026'!J172)</f>
        <v/>
      </c>
      <c r="G172">
        <f>IF(ISBLANK('ENGAGEMENTS 2026'!C172),"",'ENGAGEMENTS 2026'!M172)</f>
        <v/>
      </c>
      <c r="H172">
        <f>IF(ISBLANK('ENGAGEMENTS 2026'!C172),"",'ENGAGEMENTS 2026'!AF172)</f>
        <v/>
      </c>
      <c r="I172">
        <f>IF(ISBLANK('ENGAGEMENTS 2026'!C172),"",'ENGAGEMENTS 2026'!H172)</f>
        <v/>
      </c>
      <c r="J172" s="275">
        <f>IF(ISBLANK('ENGAGEMENTS 2026'!C172),"",IF(AND(OR($E172="INFRUCTUEUX",$E172="ANNULE"),$C172="AOO-M"),'ENGAGEMENTS 2026'!P172,IF($H172="EN COURS DE PREENGAGEMENT",'ENGAGEMENTS 2026'!O172,IF($H172="PREENGAGE",IF($E172="ATTRIBUE",'ENGAGEMENTS 2026'!AE172,'ENGAGEMENTS 2026'!O172),'ENGAGEMENTS 2026'!AE172))))</f>
        <v/>
      </c>
      <c r="K172" s="604">
        <f>IF(ISBLANK('ENGAGEMENTS 2026'!W172),"",'ENGAGEMENTS 2026'!W172)</f>
        <v/>
      </c>
      <c r="L172" s="276">
        <f>IF($K172="","",TODAY()-$K172)</f>
        <v/>
      </c>
      <c r="M172">
        <f>IF($A172="","",IF($H172="ENGAGE","Engagé",IF(AND($H172="NON ENGAGE",OR($I172="INFRUCTUEUX",$I172="ANNULE")),"Clôturé sans suite","En cours")))</f>
        <v/>
      </c>
      <c r="N172">
        <f>IF(ISBLANK('ENGAGEMENTS 2026'!C172),"",'ENGAGEMENTS 2026'!L172)</f>
        <v/>
      </c>
      <c r="O172">
        <f>IF(ISBLANK('ENGAGEMENTS 2026'!C172),"",'ENGAGEMENTS 2026'!M172)</f>
        <v/>
      </c>
      <c r="P172">
        <f>IF(ISBLANK('ENGAGEMENTS 2026'!C172),"",'ENGAGEMENTS 2026'!K172)</f>
        <v/>
      </c>
      <c r="Q172">
        <f>IF($A172="","",IF(OR($E172="INFRUCTUEUX",$E172="ANNULE"),$A172&amp;"|"&amp;(COUNTIFS($A$2:$A172,$A172,$E$2:$E172,"INFRUCTUEUX")+COUNTIFS($A$2:$A172,$A172,$E$2:$E172,"ANNULE")),""))</f>
        <v/>
      </c>
    </row>
    <row r="173">
      <c r="A173">
        <f>IF(ISBLANK('ENGAGEMENTS 2026'!C173),"",IF('ENGAGEMENTS 2026'!C173="DTSI","DCT",'ENGAGEMENTS 2026'!C173))</f>
        <v/>
      </c>
      <c r="B173">
        <f>IF(ISBLANK('ENGAGEMENTS 2026'!C173),"",'ENGAGEMENTS 2026'!D173)</f>
        <v/>
      </c>
      <c r="C173">
        <f>IF(ISBLANK('ENGAGEMENTS 2026'!C173),"",'ENGAGEMENTS 2026'!E173)</f>
        <v/>
      </c>
      <c r="D173">
        <f>IF(ISBLANK('ENGAGEMENTS 2026'!C173),"",'ENGAGEMENTS 2026'!G173)</f>
        <v/>
      </c>
      <c r="E173">
        <f>IF(ISBLANK('ENGAGEMENTS 2026'!C173),"",'ENGAGEMENTS 2026'!I173)</f>
        <v/>
      </c>
      <c r="F173">
        <f>IF(ISBLANK('ENGAGEMENTS 2026'!C173),"",'ENGAGEMENTS 2026'!J173)</f>
        <v/>
      </c>
      <c r="G173">
        <f>IF(ISBLANK('ENGAGEMENTS 2026'!C173),"",'ENGAGEMENTS 2026'!M173)</f>
        <v/>
      </c>
      <c r="H173">
        <f>IF(ISBLANK('ENGAGEMENTS 2026'!C173),"",'ENGAGEMENTS 2026'!AF173)</f>
        <v/>
      </c>
      <c r="I173">
        <f>IF(ISBLANK('ENGAGEMENTS 2026'!C173),"",'ENGAGEMENTS 2026'!H173)</f>
        <v/>
      </c>
      <c r="J173" s="275">
        <f>IF(ISBLANK('ENGAGEMENTS 2026'!C173),"",IF(AND(OR($E173="INFRUCTUEUX",$E173="ANNULE"),$C173="AOO-M"),'ENGAGEMENTS 2026'!P173,IF($H173="EN COURS DE PREENGAGEMENT",'ENGAGEMENTS 2026'!O173,IF($H173="PREENGAGE",IF($E173="ATTRIBUE",'ENGAGEMENTS 2026'!AE173,'ENGAGEMENTS 2026'!O173),'ENGAGEMENTS 2026'!AE173))))</f>
        <v/>
      </c>
      <c r="K173" s="604">
        <f>IF(ISBLANK('ENGAGEMENTS 2026'!W173),"",'ENGAGEMENTS 2026'!W173)</f>
        <v/>
      </c>
      <c r="L173" s="276">
        <f>IF($K173="","",TODAY()-$K173)</f>
        <v/>
      </c>
      <c r="M173">
        <f>IF($A173="","",IF($H173="ENGAGE","Engagé",IF(AND($H173="NON ENGAGE",OR($I173="INFRUCTUEUX",$I173="ANNULE")),"Clôturé sans suite","En cours")))</f>
        <v/>
      </c>
      <c r="N173">
        <f>IF(ISBLANK('ENGAGEMENTS 2026'!C173),"",'ENGAGEMENTS 2026'!L173)</f>
        <v/>
      </c>
      <c r="O173">
        <f>IF(ISBLANK('ENGAGEMENTS 2026'!C173),"",'ENGAGEMENTS 2026'!M173)</f>
        <v/>
      </c>
      <c r="P173">
        <f>IF(ISBLANK('ENGAGEMENTS 2026'!C173),"",'ENGAGEMENTS 2026'!K173)</f>
        <v/>
      </c>
      <c r="Q173">
        <f>IF($A173="","",IF(OR($E173="INFRUCTUEUX",$E173="ANNULE"),$A173&amp;"|"&amp;(COUNTIFS($A$2:$A173,$A173,$E$2:$E173,"INFRUCTUEUX")+COUNTIFS($A$2:$A173,$A173,$E$2:$E173,"ANNULE")),""))</f>
        <v/>
      </c>
    </row>
    <row r="174">
      <c r="A174">
        <f>IF(ISBLANK('ENGAGEMENTS 2026'!C174),"",IF('ENGAGEMENTS 2026'!C174="DTSI","DCT",'ENGAGEMENTS 2026'!C174))</f>
        <v/>
      </c>
      <c r="B174">
        <f>IF(ISBLANK('ENGAGEMENTS 2026'!C174),"",'ENGAGEMENTS 2026'!D174)</f>
        <v/>
      </c>
      <c r="C174">
        <f>IF(ISBLANK('ENGAGEMENTS 2026'!C174),"",'ENGAGEMENTS 2026'!E174)</f>
        <v/>
      </c>
      <c r="D174">
        <f>IF(ISBLANK('ENGAGEMENTS 2026'!C174),"",'ENGAGEMENTS 2026'!G174)</f>
        <v/>
      </c>
      <c r="E174">
        <f>IF(ISBLANK('ENGAGEMENTS 2026'!C174),"",'ENGAGEMENTS 2026'!I174)</f>
        <v/>
      </c>
      <c r="F174">
        <f>IF(ISBLANK('ENGAGEMENTS 2026'!C174),"",'ENGAGEMENTS 2026'!J174)</f>
        <v/>
      </c>
      <c r="G174">
        <f>IF(ISBLANK('ENGAGEMENTS 2026'!C174),"",'ENGAGEMENTS 2026'!M174)</f>
        <v/>
      </c>
      <c r="H174">
        <f>IF(ISBLANK('ENGAGEMENTS 2026'!C174),"",'ENGAGEMENTS 2026'!AF174)</f>
        <v/>
      </c>
      <c r="I174">
        <f>IF(ISBLANK('ENGAGEMENTS 2026'!C174),"",'ENGAGEMENTS 2026'!H174)</f>
        <v/>
      </c>
      <c r="J174" s="275">
        <f>IF(ISBLANK('ENGAGEMENTS 2026'!C174),"",IF(AND(OR($E174="INFRUCTUEUX",$E174="ANNULE"),$C174="AOO-M"),'ENGAGEMENTS 2026'!P174,IF($H174="EN COURS DE PREENGAGEMENT",'ENGAGEMENTS 2026'!O174,IF($H174="PREENGAGE",IF($E174="ATTRIBUE",'ENGAGEMENTS 2026'!AE174,'ENGAGEMENTS 2026'!O174),'ENGAGEMENTS 2026'!AE174))))</f>
        <v/>
      </c>
      <c r="K174" s="604">
        <f>IF(ISBLANK('ENGAGEMENTS 2026'!W174),"",'ENGAGEMENTS 2026'!W174)</f>
        <v/>
      </c>
      <c r="L174" s="276">
        <f>IF($K174="","",TODAY()-$K174)</f>
        <v/>
      </c>
      <c r="M174">
        <f>IF($A174="","",IF($H174="ENGAGE","Engagé",IF(AND($H174="NON ENGAGE",OR($I174="INFRUCTUEUX",$I174="ANNULE")),"Clôturé sans suite","En cours")))</f>
        <v/>
      </c>
      <c r="N174">
        <f>IF(ISBLANK('ENGAGEMENTS 2026'!C174),"",'ENGAGEMENTS 2026'!L174)</f>
        <v/>
      </c>
      <c r="O174">
        <f>IF(ISBLANK('ENGAGEMENTS 2026'!C174),"",'ENGAGEMENTS 2026'!M174)</f>
        <v/>
      </c>
      <c r="P174">
        <f>IF(ISBLANK('ENGAGEMENTS 2026'!C174),"",'ENGAGEMENTS 2026'!K174)</f>
        <v/>
      </c>
      <c r="Q174">
        <f>IF($A174="","",IF(OR($E174="INFRUCTUEUX",$E174="ANNULE"),$A174&amp;"|"&amp;(COUNTIFS($A$2:$A174,$A174,$E$2:$E174,"INFRUCTUEUX")+COUNTIFS($A$2:$A174,$A174,$E$2:$E174,"ANNULE")),""))</f>
        <v/>
      </c>
    </row>
    <row r="175">
      <c r="A175">
        <f>IF(ISBLANK('ENGAGEMENTS 2026'!C175),"",IF('ENGAGEMENTS 2026'!C175="DTSI","DCT",'ENGAGEMENTS 2026'!C175))</f>
        <v/>
      </c>
      <c r="B175">
        <f>IF(ISBLANK('ENGAGEMENTS 2026'!C175),"",'ENGAGEMENTS 2026'!D175)</f>
        <v/>
      </c>
      <c r="C175">
        <f>IF(ISBLANK('ENGAGEMENTS 2026'!C175),"",'ENGAGEMENTS 2026'!E175)</f>
        <v/>
      </c>
      <c r="D175">
        <f>IF(ISBLANK('ENGAGEMENTS 2026'!C175),"",'ENGAGEMENTS 2026'!G175)</f>
        <v/>
      </c>
      <c r="E175">
        <f>IF(ISBLANK('ENGAGEMENTS 2026'!C175),"",'ENGAGEMENTS 2026'!I175)</f>
        <v/>
      </c>
      <c r="F175">
        <f>IF(ISBLANK('ENGAGEMENTS 2026'!C175),"",'ENGAGEMENTS 2026'!J175)</f>
        <v/>
      </c>
      <c r="G175">
        <f>IF(ISBLANK('ENGAGEMENTS 2026'!C175),"",'ENGAGEMENTS 2026'!M175)</f>
        <v/>
      </c>
      <c r="H175">
        <f>IF(ISBLANK('ENGAGEMENTS 2026'!C175),"",'ENGAGEMENTS 2026'!AF175)</f>
        <v/>
      </c>
      <c r="I175">
        <f>IF(ISBLANK('ENGAGEMENTS 2026'!C175),"",'ENGAGEMENTS 2026'!H175)</f>
        <v/>
      </c>
      <c r="J175" s="275">
        <f>IF(ISBLANK('ENGAGEMENTS 2026'!C175),"",IF(AND(OR($E175="INFRUCTUEUX",$E175="ANNULE"),$C175="AOO-M"),'ENGAGEMENTS 2026'!P175,IF($H175="EN COURS DE PREENGAGEMENT",'ENGAGEMENTS 2026'!O175,IF($H175="PREENGAGE",IF($E175="ATTRIBUE",'ENGAGEMENTS 2026'!AE175,'ENGAGEMENTS 2026'!O175),'ENGAGEMENTS 2026'!AE175))))</f>
        <v/>
      </c>
      <c r="K175" s="604">
        <f>IF(ISBLANK('ENGAGEMENTS 2026'!W175),"",'ENGAGEMENTS 2026'!W175)</f>
        <v/>
      </c>
      <c r="L175" s="276">
        <f>IF($K175="","",TODAY()-$K175)</f>
        <v/>
      </c>
      <c r="M175">
        <f>IF($A175="","",IF($H175="ENGAGE","Engagé",IF(AND($H175="NON ENGAGE",OR($I175="INFRUCTUEUX",$I175="ANNULE")),"Clôturé sans suite","En cours")))</f>
        <v/>
      </c>
      <c r="N175">
        <f>IF(ISBLANK('ENGAGEMENTS 2026'!C175),"",'ENGAGEMENTS 2026'!L175)</f>
        <v/>
      </c>
      <c r="O175">
        <f>IF(ISBLANK('ENGAGEMENTS 2026'!C175),"",'ENGAGEMENTS 2026'!M175)</f>
        <v/>
      </c>
      <c r="P175">
        <f>IF(ISBLANK('ENGAGEMENTS 2026'!C175),"",'ENGAGEMENTS 2026'!K175)</f>
        <v/>
      </c>
      <c r="Q175">
        <f>IF($A175="","",IF(OR($E175="INFRUCTUEUX",$E175="ANNULE"),$A175&amp;"|"&amp;(COUNTIFS($A$2:$A175,$A175,$E$2:$E175,"INFRUCTUEUX")+COUNTIFS($A$2:$A175,$A175,$E$2:$E175,"ANNULE")),""))</f>
        <v/>
      </c>
    </row>
    <row r="176">
      <c r="A176">
        <f>IF(ISBLANK('ENGAGEMENTS 2026'!C176),"",IF('ENGAGEMENTS 2026'!C176="DTSI","DCT",'ENGAGEMENTS 2026'!C176))</f>
        <v/>
      </c>
      <c r="B176">
        <f>IF(ISBLANK('ENGAGEMENTS 2026'!C176),"",'ENGAGEMENTS 2026'!D176)</f>
        <v/>
      </c>
      <c r="C176">
        <f>IF(ISBLANK('ENGAGEMENTS 2026'!C176),"",'ENGAGEMENTS 2026'!E176)</f>
        <v/>
      </c>
      <c r="D176">
        <f>IF(ISBLANK('ENGAGEMENTS 2026'!C176),"",'ENGAGEMENTS 2026'!G176)</f>
        <v/>
      </c>
      <c r="E176">
        <f>IF(ISBLANK('ENGAGEMENTS 2026'!C176),"",'ENGAGEMENTS 2026'!I176)</f>
        <v/>
      </c>
      <c r="F176">
        <f>IF(ISBLANK('ENGAGEMENTS 2026'!C176),"",'ENGAGEMENTS 2026'!J176)</f>
        <v/>
      </c>
      <c r="G176">
        <f>IF(ISBLANK('ENGAGEMENTS 2026'!C176),"",'ENGAGEMENTS 2026'!M176)</f>
        <v/>
      </c>
      <c r="H176">
        <f>IF(ISBLANK('ENGAGEMENTS 2026'!C176),"",'ENGAGEMENTS 2026'!AF176)</f>
        <v/>
      </c>
      <c r="I176">
        <f>IF(ISBLANK('ENGAGEMENTS 2026'!C176),"",'ENGAGEMENTS 2026'!H176)</f>
        <v/>
      </c>
      <c r="J176" s="275">
        <f>IF(ISBLANK('ENGAGEMENTS 2026'!C176),"",IF(AND(OR($E176="INFRUCTUEUX",$E176="ANNULE"),$C176="AOO-M"),'ENGAGEMENTS 2026'!P176,IF($H176="EN COURS DE PREENGAGEMENT",'ENGAGEMENTS 2026'!O176,IF($H176="PREENGAGE",IF($E176="ATTRIBUE",'ENGAGEMENTS 2026'!AE176,'ENGAGEMENTS 2026'!O176),'ENGAGEMENTS 2026'!AE176))))</f>
        <v/>
      </c>
      <c r="K176" s="604">
        <f>IF(ISBLANK('ENGAGEMENTS 2026'!W176),"",'ENGAGEMENTS 2026'!W176)</f>
        <v/>
      </c>
      <c r="L176" s="276">
        <f>IF($K176="","",TODAY()-$K176)</f>
        <v/>
      </c>
      <c r="M176">
        <f>IF($A176="","",IF($H176="ENGAGE","Engagé",IF(AND($H176="NON ENGAGE",OR($I176="INFRUCTUEUX",$I176="ANNULE")),"Clôturé sans suite","En cours")))</f>
        <v/>
      </c>
      <c r="N176">
        <f>IF(ISBLANK('ENGAGEMENTS 2026'!C176),"",'ENGAGEMENTS 2026'!L176)</f>
        <v/>
      </c>
      <c r="O176">
        <f>IF(ISBLANK('ENGAGEMENTS 2026'!C176),"",'ENGAGEMENTS 2026'!M176)</f>
        <v/>
      </c>
      <c r="P176">
        <f>IF(ISBLANK('ENGAGEMENTS 2026'!C176),"",'ENGAGEMENTS 2026'!K176)</f>
        <v/>
      </c>
      <c r="Q176">
        <f>IF($A176="","",IF(OR($E176="INFRUCTUEUX",$E176="ANNULE"),$A176&amp;"|"&amp;(COUNTIFS($A$2:$A176,$A176,$E$2:$E176,"INFRUCTUEUX")+COUNTIFS($A$2:$A176,$A176,$E$2:$E176,"ANNULE")),""))</f>
        <v/>
      </c>
    </row>
    <row r="177">
      <c r="A177">
        <f>IF(ISBLANK('ENGAGEMENTS 2026'!C177),"",IF('ENGAGEMENTS 2026'!C177="DTSI","DCT",'ENGAGEMENTS 2026'!C177))</f>
        <v/>
      </c>
      <c r="B177">
        <f>IF(ISBLANK('ENGAGEMENTS 2026'!C177),"",'ENGAGEMENTS 2026'!D177)</f>
        <v/>
      </c>
      <c r="C177">
        <f>IF(ISBLANK('ENGAGEMENTS 2026'!C177),"",'ENGAGEMENTS 2026'!E177)</f>
        <v/>
      </c>
      <c r="D177">
        <f>IF(ISBLANK('ENGAGEMENTS 2026'!C177),"",'ENGAGEMENTS 2026'!G177)</f>
        <v/>
      </c>
      <c r="E177">
        <f>IF(ISBLANK('ENGAGEMENTS 2026'!C177),"",'ENGAGEMENTS 2026'!I177)</f>
        <v/>
      </c>
      <c r="F177">
        <f>IF(ISBLANK('ENGAGEMENTS 2026'!C177),"",'ENGAGEMENTS 2026'!J177)</f>
        <v/>
      </c>
      <c r="G177">
        <f>IF(ISBLANK('ENGAGEMENTS 2026'!C177),"",'ENGAGEMENTS 2026'!M177)</f>
        <v/>
      </c>
      <c r="H177">
        <f>IF(ISBLANK('ENGAGEMENTS 2026'!C177),"",'ENGAGEMENTS 2026'!AF177)</f>
        <v/>
      </c>
      <c r="I177">
        <f>IF(ISBLANK('ENGAGEMENTS 2026'!C177),"",'ENGAGEMENTS 2026'!H177)</f>
        <v/>
      </c>
      <c r="J177" s="275">
        <f>IF(ISBLANK('ENGAGEMENTS 2026'!C177),"",IF(AND(OR($E177="INFRUCTUEUX",$E177="ANNULE"),$C177="AOO-M"),'ENGAGEMENTS 2026'!P177,IF($H177="EN COURS DE PREENGAGEMENT",'ENGAGEMENTS 2026'!O177,IF($H177="PREENGAGE",IF($E177="ATTRIBUE",'ENGAGEMENTS 2026'!AE177,'ENGAGEMENTS 2026'!O177),'ENGAGEMENTS 2026'!AE177))))</f>
        <v/>
      </c>
      <c r="K177" s="604">
        <f>IF(ISBLANK('ENGAGEMENTS 2026'!W177),"",'ENGAGEMENTS 2026'!W177)</f>
        <v/>
      </c>
      <c r="L177" s="276">
        <f>IF($K177="","",TODAY()-$K177)</f>
        <v/>
      </c>
      <c r="M177">
        <f>IF($A177="","",IF($H177="ENGAGE","Engagé",IF(AND($H177="NON ENGAGE",OR($I177="INFRUCTUEUX",$I177="ANNULE")),"Clôturé sans suite","En cours")))</f>
        <v/>
      </c>
      <c r="N177">
        <f>IF(ISBLANK('ENGAGEMENTS 2026'!C177),"",'ENGAGEMENTS 2026'!L177)</f>
        <v/>
      </c>
      <c r="O177">
        <f>IF(ISBLANK('ENGAGEMENTS 2026'!C177),"",'ENGAGEMENTS 2026'!M177)</f>
        <v/>
      </c>
      <c r="P177">
        <f>IF(ISBLANK('ENGAGEMENTS 2026'!C177),"",'ENGAGEMENTS 2026'!K177)</f>
        <v/>
      </c>
      <c r="Q177">
        <f>IF($A177="","",IF(OR($E177="INFRUCTUEUX",$E177="ANNULE"),$A177&amp;"|"&amp;(COUNTIFS($A$2:$A177,$A177,$E$2:$E177,"INFRUCTUEUX")+COUNTIFS($A$2:$A177,$A177,$E$2:$E177,"ANNULE")),""))</f>
        <v/>
      </c>
    </row>
    <row r="178">
      <c r="A178">
        <f>IF(ISBLANK('ENGAGEMENTS 2026'!C178),"",IF('ENGAGEMENTS 2026'!C178="DTSI","DCT",'ENGAGEMENTS 2026'!C178))</f>
        <v/>
      </c>
      <c r="B178">
        <f>IF(ISBLANK('ENGAGEMENTS 2026'!C178),"",'ENGAGEMENTS 2026'!D178)</f>
        <v/>
      </c>
      <c r="C178">
        <f>IF(ISBLANK('ENGAGEMENTS 2026'!C178),"",'ENGAGEMENTS 2026'!E178)</f>
        <v/>
      </c>
      <c r="D178">
        <f>IF(ISBLANK('ENGAGEMENTS 2026'!C178),"",'ENGAGEMENTS 2026'!G178)</f>
        <v/>
      </c>
      <c r="E178">
        <f>IF(ISBLANK('ENGAGEMENTS 2026'!C178),"",'ENGAGEMENTS 2026'!I178)</f>
        <v/>
      </c>
      <c r="F178">
        <f>IF(ISBLANK('ENGAGEMENTS 2026'!C178),"",'ENGAGEMENTS 2026'!J178)</f>
        <v/>
      </c>
      <c r="G178">
        <f>IF(ISBLANK('ENGAGEMENTS 2026'!C178),"",'ENGAGEMENTS 2026'!M178)</f>
        <v/>
      </c>
      <c r="H178">
        <f>IF(ISBLANK('ENGAGEMENTS 2026'!C178),"",'ENGAGEMENTS 2026'!AF178)</f>
        <v/>
      </c>
      <c r="I178">
        <f>IF(ISBLANK('ENGAGEMENTS 2026'!C178),"",'ENGAGEMENTS 2026'!H178)</f>
        <v/>
      </c>
      <c r="J178" s="275">
        <f>IF(ISBLANK('ENGAGEMENTS 2026'!C178),"",IF(AND(OR($E178="INFRUCTUEUX",$E178="ANNULE"),$C178="AOO-M"),'ENGAGEMENTS 2026'!P178,IF($H178="EN COURS DE PREENGAGEMENT",'ENGAGEMENTS 2026'!O178,IF($H178="PREENGAGE",IF($E178="ATTRIBUE",'ENGAGEMENTS 2026'!AE178,'ENGAGEMENTS 2026'!O178),'ENGAGEMENTS 2026'!AE178))))</f>
        <v/>
      </c>
      <c r="K178" s="604">
        <f>IF(ISBLANK('ENGAGEMENTS 2026'!W178),"",'ENGAGEMENTS 2026'!W178)</f>
        <v/>
      </c>
      <c r="L178" s="276">
        <f>IF($K178="","",TODAY()-$K178)</f>
        <v/>
      </c>
      <c r="M178">
        <f>IF($A178="","",IF($H178="ENGAGE","Engagé",IF(AND($H178="NON ENGAGE",OR($I178="INFRUCTUEUX",$I178="ANNULE")),"Clôturé sans suite","En cours")))</f>
        <v/>
      </c>
      <c r="N178">
        <f>IF(ISBLANK('ENGAGEMENTS 2026'!C178),"",'ENGAGEMENTS 2026'!L178)</f>
        <v/>
      </c>
      <c r="O178">
        <f>IF(ISBLANK('ENGAGEMENTS 2026'!C178),"",'ENGAGEMENTS 2026'!M178)</f>
        <v/>
      </c>
      <c r="P178">
        <f>IF(ISBLANK('ENGAGEMENTS 2026'!C178),"",'ENGAGEMENTS 2026'!K178)</f>
        <v/>
      </c>
      <c r="Q178">
        <f>IF($A178="","",IF(OR($E178="INFRUCTUEUX",$E178="ANNULE"),$A178&amp;"|"&amp;(COUNTIFS($A$2:$A178,$A178,$E$2:$E178,"INFRUCTUEUX")+COUNTIFS($A$2:$A178,$A178,$E$2:$E178,"ANNULE")),""))</f>
        <v/>
      </c>
    </row>
    <row r="179">
      <c r="A179">
        <f>IF(ISBLANK('ENGAGEMENTS 2026'!C179),"",IF('ENGAGEMENTS 2026'!C179="DTSI","DCT",'ENGAGEMENTS 2026'!C179))</f>
        <v/>
      </c>
      <c r="B179">
        <f>IF(ISBLANK('ENGAGEMENTS 2026'!C179),"",'ENGAGEMENTS 2026'!D179)</f>
        <v/>
      </c>
      <c r="C179">
        <f>IF(ISBLANK('ENGAGEMENTS 2026'!C179),"",'ENGAGEMENTS 2026'!E179)</f>
        <v/>
      </c>
      <c r="D179">
        <f>IF(ISBLANK('ENGAGEMENTS 2026'!C179),"",'ENGAGEMENTS 2026'!G179)</f>
        <v/>
      </c>
      <c r="E179">
        <f>IF(ISBLANK('ENGAGEMENTS 2026'!C179),"",'ENGAGEMENTS 2026'!I179)</f>
        <v/>
      </c>
      <c r="F179">
        <f>IF(ISBLANK('ENGAGEMENTS 2026'!C179),"",'ENGAGEMENTS 2026'!J179)</f>
        <v/>
      </c>
      <c r="G179">
        <f>IF(ISBLANK('ENGAGEMENTS 2026'!C179),"",'ENGAGEMENTS 2026'!M179)</f>
        <v/>
      </c>
      <c r="H179">
        <f>IF(ISBLANK('ENGAGEMENTS 2026'!C179),"",'ENGAGEMENTS 2026'!AF179)</f>
        <v/>
      </c>
      <c r="I179">
        <f>IF(ISBLANK('ENGAGEMENTS 2026'!C179),"",'ENGAGEMENTS 2026'!H179)</f>
        <v/>
      </c>
      <c r="J179" s="275">
        <f>IF(ISBLANK('ENGAGEMENTS 2026'!C179),"",IF(AND(OR($E179="INFRUCTUEUX",$E179="ANNULE"),$C179="AOO-M"),'ENGAGEMENTS 2026'!P179,IF($H179="EN COURS DE PREENGAGEMENT",'ENGAGEMENTS 2026'!O179,IF($H179="PREENGAGE",IF($E179="ATTRIBUE",'ENGAGEMENTS 2026'!AE179,'ENGAGEMENTS 2026'!O179),'ENGAGEMENTS 2026'!AE179))))</f>
        <v/>
      </c>
      <c r="K179" s="604">
        <f>IF(ISBLANK('ENGAGEMENTS 2026'!W179),"",'ENGAGEMENTS 2026'!W179)</f>
        <v/>
      </c>
      <c r="L179" s="276">
        <f>IF($K179="","",TODAY()-$K179)</f>
        <v/>
      </c>
      <c r="M179">
        <f>IF($A179="","",IF($H179="ENGAGE","Engagé",IF(AND($H179="NON ENGAGE",OR($I179="INFRUCTUEUX",$I179="ANNULE")),"Clôturé sans suite","En cours")))</f>
        <v/>
      </c>
      <c r="N179">
        <f>IF(ISBLANK('ENGAGEMENTS 2026'!C179),"",'ENGAGEMENTS 2026'!L179)</f>
        <v/>
      </c>
      <c r="O179">
        <f>IF(ISBLANK('ENGAGEMENTS 2026'!C179),"",'ENGAGEMENTS 2026'!M179)</f>
        <v/>
      </c>
      <c r="P179">
        <f>IF(ISBLANK('ENGAGEMENTS 2026'!C179),"",'ENGAGEMENTS 2026'!K179)</f>
        <v/>
      </c>
      <c r="Q179">
        <f>IF($A179="","",IF(OR($E179="INFRUCTUEUX",$E179="ANNULE"),$A179&amp;"|"&amp;(COUNTIFS($A$2:$A179,$A179,$E$2:$E179,"INFRUCTUEUX")+COUNTIFS($A$2:$A179,$A179,$E$2:$E179,"ANNULE")),""))</f>
        <v/>
      </c>
    </row>
    <row r="180">
      <c r="A180">
        <f>IF(ISBLANK('ENGAGEMENTS 2026'!C180),"",IF('ENGAGEMENTS 2026'!C180="DTSI","DCT",'ENGAGEMENTS 2026'!C180))</f>
        <v/>
      </c>
      <c r="B180">
        <f>IF(ISBLANK('ENGAGEMENTS 2026'!C180),"",'ENGAGEMENTS 2026'!D180)</f>
        <v/>
      </c>
      <c r="C180">
        <f>IF(ISBLANK('ENGAGEMENTS 2026'!C180),"",'ENGAGEMENTS 2026'!E180)</f>
        <v/>
      </c>
      <c r="D180">
        <f>IF(ISBLANK('ENGAGEMENTS 2026'!C180),"",'ENGAGEMENTS 2026'!G180)</f>
        <v/>
      </c>
      <c r="E180">
        <f>IF(ISBLANK('ENGAGEMENTS 2026'!C180),"",'ENGAGEMENTS 2026'!I180)</f>
        <v/>
      </c>
      <c r="F180">
        <f>IF(ISBLANK('ENGAGEMENTS 2026'!C180),"",'ENGAGEMENTS 2026'!J180)</f>
        <v/>
      </c>
      <c r="G180">
        <f>IF(ISBLANK('ENGAGEMENTS 2026'!C180),"",'ENGAGEMENTS 2026'!M180)</f>
        <v/>
      </c>
      <c r="H180">
        <f>IF(ISBLANK('ENGAGEMENTS 2026'!C180),"",'ENGAGEMENTS 2026'!AF180)</f>
        <v/>
      </c>
      <c r="I180">
        <f>IF(ISBLANK('ENGAGEMENTS 2026'!C180),"",'ENGAGEMENTS 2026'!H180)</f>
        <v/>
      </c>
      <c r="J180" s="275">
        <f>IF(ISBLANK('ENGAGEMENTS 2026'!C180),"",IF(AND(OR($E180="INFRUCTUEUX",$E180="ANNULE"),$C180="AOO-M"),'ENGAGEMENTS 2026'!P180,IF($H180="EN COURS DE PREENGAGEMENT",'ENGAGEMENTS 2026'!O180,IF($H180="PREENGAGE",IF($E180="ATTRIBUE",'ENGAGEMENTS 2026'!AE180,'ENGAGEMENTS 2026'!O180),'ENGAGEMENTS 2026'!AE180))))</f>
        <v/>
      </c>
      <c r="K180" s="604">
        <f>IF(ISBLANK('ENGAGEMENTS 2026'!W180),"",'ENGAGEMENTS 2026'!W180)</f>
        <v/>
      </c>
      <c r="L180" s="276">
        <f>IF($K180="","",TODAY()-$K180)</f>
        <v/>
      </c>
      <c r="M180">
        <f>IF($A180="","",IF($H180="ENGAGE","Engagé",IF(AND($H180="NON ENGAGE",OR($I180="INFRUCTUEUX",$I180="ANNULE")),"Clôturé sans suite","En cours")))</f>
        <v/>
      </c>
      <c r="N180">
        <f>IF(ISBLANK('ENGAGEMENTS 2026'!C180),"",'ENGAGEMENTS 2026'!L180)</f>
        <v/>
      </c>
      <c r="O180">
        <f>IF(ISBLANK('ENGAGEMENTS 2026'!C180),"",'ENGAGEMENTS 2026'!M180)</f>
        <v/>
      </c>
      <c r="P180">
        <f>IF(ISBLANK('ENGAGEMENTS 2026'!C180),"",'ENGAGEMENTS 2026'!K180)</f>
        <v/>
      </c>
      <c r="Q180">
        <f>IF($A180="","",IF(OR($E180="INFRUCTUEUX",$E180="ANNULE"),$A180&amp;"|"&amp;(COUNTIFS($A$2:$A180,$A180,$E$2:$E180,"INFRUCTUEUX")+COUNTIFS($A$2:$A180,$A180,$E$2:$E180,"ANNULE")),""))</f>
        <v/>
      </c>
    </row>
    <row r="181">
      <c r="A181">
        <f>IF(ISBLANK('ENGAGEMENTS 2026'!C181),"",IF('ENGAGEMENTS 2026'!C181="DTSI","DCT",'ENGAGEMENTS 2026'!C181))</f>
        <v/>
      </c>
      <c r="B181">
        <f>IF(ISBLANK('ENGAGEMENTS 2026'!C181),"",'ENGAGEMENTS 2026'!D181)</f>
        <v/>
      </c>
      <c r="C181">
        <f>IF(ISBLANK('ENGAGEMENTS 2026'!C181),"",'ENGAGEMENTS 2026'!E181)</f>
        <v/>
      </c>
      <c r="D181">
        <f>IF(ISBLANK('ENGAGEMENTS 2026'!C181),"",'ENGAGEMENTS 2026'!G181)</f>
        <v/>
      </c>
      <c r="E181">
        <f>IF(ISBLANK('ENGAGEMENTS 2026'!C181),"",'ENGAGEMENTS 2026'!I181)</f>
        <v/>
      </c>
      <c r="F181">
        <f>IF(ISBLANK('ENGAGEMENTS 2026'!C181),"",'ENGAGEMENTS 2026'!J181)</f>
        <v/>
      </c>
      <c r="G181">
        <f>IF(ISBLANK('ENGAGEMENTS 2026'!C181),"",'ENGAGEMENTS 2026'!M181)</f>
        <v/>
      </c>
      <c r="H181">
        <f>IF(ISBLANK('ENGAGEMENTS 2026'!C181),"",'ENGAGEMENTS 2026'!AF181)</f>
        <v/>
      </c>
      <c r="I181">
        <f>IF(ISBLANK('ENGAGEMENTS 2026'!C181),"",'ENGAGEMENTS 2026'!H181)</f>
        <v/>
      </c>
      <c r="J181" s="275">
        <f>IF(ISBLANK('ENGAGEMENTS 2026'!C181),"",IF(AND(OR($E181="INFRUCTUEUX",$E181="ANNULE"),$C181="AOO-M"),'ENGAGEMENTS 2026'!P181,IF($H181="EN COURS DE PREENGAGEMENT",'ENGAGEMENTS 2026'!O181,IF($H181="PREENGAGE",IF($E181="ATTRIBUE",'ENGAGEMENTS 2026'!AE181,'ENGAGEMENTS 2026'!O181),'ENGAGEMENTS 2026'!AE181))))</f>
        <v/>
      </c>
      <c r="K181" s="604">
        <f>IF(ISBLANK('ENGAGEMENTS 2026'!W181),"",'ENGAGEMENTS 2026'!W181)</f>
        <v/>
      </c>
      <c r="L181" s="276">
        <f>IF($K181="","",TODAY()-$K181)</f>
        <v/>
      </c>
      <c r="M181">
        <f>IF($A181="","",IF($H181="ENGAGE","Engagé",IF(AND($H181="NON ENGAGE",OR($I181="INFRUCTUEUX",$I181="ANNULE")),"Clôturé sans suite","En cours")))</f>
        <v/>
      </c>
      <c r="N181">
        <f>IF(ISBLANK('ENGAGEMENTS 2026'!C181),"",'ENGAGEMENTS 2026'!L181)</f>
        <v/>
      </c>
      <c r="O181">
        <f>IF(ISBLANK('ENGAGEMENTS 2026'!C181),"",'ENGAGEMENTS 2026'!M181)</f>
        <v/>
      </c>
      <c r="P181">
        <f>IF(ISBLANK('ENGAGEMENTS 2026'!C181),"",'ENGAGEMENTS 2026'!K181)</f>
        <v/>
      </c>
      <c r="Q181">
        <f>IF($A181="","",IF(OR($E181="INFRUCTUEUX",$E181="ANNULE"),$A181&amp;"|"&amp;(COUNTIFS($A$2:$A181,$A181,$E$2:$E181,"INFRUCTUEUX")+COUNTIFS($A$2:$A181,$A181,$E$2:$E181,"ANNULE")),""))</f>
        <v/>
      </c>
    </row>
    <row r="182">
      <c r="A182">
        <f>IF(ISBLANK('ENGAGEMENTS 2026'!C182),"",IF('ENGAGEMENTS 2026'!C182="DTSI","DCT",'ENGAGEMENTS 2026'!C182))</f>
        <v/>
      </c>
      <c r="B182">
        <f>IF(ISBLANK('ENGAGEMENTS 2026'!C182),"",'ENGAGEMENTS 2026'!D182)</f>
        <v/>
      </c>
      <c r="C182">
        <f>IF(ISBLANK('ENGAGEMENTS 2026'!C182),"",'ENGAGEMENTS 2026'!E182)</f>
        <v/>
      </c>
      <c r="D182">
        <f>IF(ISBLANK('ENGAGEMENTS 2026'!C182),"",'ENGAGEMENTS 2026'!G182)</f>
        <v/>
      </c>
      <c r="E182">
        <f>IF(ISBLANK('ENGAGEMENTS 2026'!C182),"",'ENGAGEMENTS 2026'!I182)</f>
        <v/>
      </c>
      <c r="F182">
        <f>IF(ISBLANK('ENGAGEMENTS 2026'!C182),"",'ENGAGEMENTS 2026'!J182)</f>
        <v/>
      </c>
      <c r="G182">
        <f>IF(ISBLANK('ENGAGEMENTS 2026'!C182),"",'ENGAGEMENTS 2026'!M182)</f>
        <v/>
      </c>
      <c r="H182">
        <f>IF(ISBLANK('ENGAGEMENTS 2026'!C182),"",'ENGAGEMENTS 2026'!AF182)</f>
        <v/>
      </c>
      <c r="I182">
        <f>IF(ISBLANK('ENGAGEMENTS 2026'!C182),"",'ENGAGEMENTS 2026'!H182)</f>
        <v/>
      </c>
      <c r="J182" s="275">
        <f>IF(ISBLANK('ENGAGEMENTS 2026'!C182),"",IF(AND(OR($E182="INFRUCTUEUX",$E182="ANNULE"),$C182="AOO-M"),'ENGAGEMENTS 2026'!P182,IF($H182="EN COURS DE PREENGAGEMENT",'ENGAGEMENTS 2026'!O182,IF($H182="PREENGAGE",IF($E182="ATTRIBUE",'ENGAGEMENTS 2026'!AE182,'ENGAGEMENTS 2026'!O182),'ENGAGEMENTS 2026'!AE182))))</f>
        <v/>
      </c>
      <c r="K182" s="604">
        <f>IF(ISBLANK('ENGAGEMENTS 2026'!W182),"",'ENGAGEMENTS 2026'!W182)</f>
        <v/>
      </c>
      <c r="L182" s="276">
        <f>IF($K182="","",TODAY()-$K182)</f>
        <v/>
      </c>
      <c r="M182">
        <f>IF($A182="","",IF($H182="ENGAGE","Engagé",IF(AND($H182="NON ENGAGE",OR($I182="INFRUCTUEUX",$I182="ANNULE")),"Clôturé sans suite","En cours")))</f>
        <v/>
      </c>
      <c r="N182">
        <f>IF(ISBLANK('ENGAGEMENTS 2026'!C182),"",'ENGAGEMENTS 2026'!L182)</f>
        <v/>
      </c>
      <c r="O182">
        <f>IF(ISBLANK('ENGAGEMENTS 2026'!C182),"",'ENGAGEMENTS 2026'!M182)</f>
        <v/>
      </c>
      <c r="P182">
        <f>IF(ISBLANK('ENGAGEMENTS 2026'!C182),"",'ENGAGEMENTS 2026'!K182)</f>
        <v/>
      </c>
      <c r="Q182">
        <f>IF($A182="","",IF(OR($E182="INFRUCTUEUX",$E182="ANNULE"),$A182&amp;"|"&amp;(COUNTIFS($A$2:$A182,$A182,$E$2:$E182,"INFRUCTUEUX")+COUNTIFS($A$2:$A182,$A182,$E$2:$E182,"ANNULE")),""))</f>
        <v/>
      </c>
    </row>
    <row r="183">
      <c r="A183">
        <f>IF(ISBLANK('ENGAGEMENTS 2026'!C183),"",IF('ENGAGEMENTS 2026'!C183="DTSI","DCT",'ENGAGEMENTS 2026'!C183))</f>
        <v/>
      </c>
      <c r="B183">
        <f>IF(ISBLANK('ENGAGEMENTS 2026'!C183),"",'ENGAGEMENTS 2026'!D183)</f>
        <v/>
      </c>
      <c r="C183">
        <f>IF(ISBLANK('ENGAGEMENTS 2026'!C183),"",'ENGAGEMENTS 2026'!E183)</f>
        <v/>
      </c>
      <c r="D183">
        <f>IF(ISBLANK('ENGAGEMENTS 2026'!C183),"",'ENGAGEMENTS 2026'!G183)</f>
        <v/>
      </c>
      <c r="E183">
        <f>IF(ISBLANK('ENGAGEMENTS 2026'!C183),"",'ENGAGEMENTS 2026'!I183)</f>
        <v/>
      </c>
      <c r="F183">
        <f>IF(ISBLANK('ENGAGEMENTS 2026'!C183),"",'ENGAGEMENTS 2026'!J183)</f>
        <v/>
      </c>
      <c r="G183">
        <f>IF(ISBLANK('ENGAGEMENTS 2026'!C183),"",'ENGAGEMENTS 2026'!M183)</f>
        <v/>
      </c>
      <c r="H183">
        <f>IF(ISBLANK('ENGAGEMENTS 2026'!C183),"",'ENGAGEMENTS 2026'!AF183)</f>
        <v/>
      </c>
      <c r="I183">
        <f>IF(ISBLANK('ENGAGEMENTS 2026'!C183),"",'ENGAGEMENTS 2026'!H183)</f>
        <v/>
      </c>
      <c r="J183" s="275">
        <f>IF(ISBLANK('ENGAGEMENTS 2026'!C183),"",IF(AND(OR($E183="INFRUCTUEUX",$E183="ANNULE"),$C183="AOO-M"),'ENGAGEMENTS 2026'!P183,IF($H183="EN COURS DE PREENGAGEMENT",'ENGAGEMENTS 2026'!O183,IF($H183="PREENGAGE",IF($E183="ATTRIBUE",'ENGAGEMENTS 2026'!AE183,'ENGAGEMENTS 2026'!O183),'ENGAGEMENTS 2026'!AE183))))</f>
        <v/>
      </c>
      <c r="K183" s="604">
        <f>IF(ISBLANK('ENGAGEMENTS 2026'!W183),"",'ENGAGEMENTS 2026'!W183)</f>
        <v/>
      </c>
      <c r="L183" s="276">
        <f>IF($K183="","",TODAY()-$K183)</f>
        <v/>
      </c>
      <c r="M183">
        <f>IF($A183="","",IF($H183="ENGAGE","Engagé",IF(AND($H183="NON ENGAGE",OR($I183="INFRUCTUEUX",$I183="ANNULE")),"Clôturé sans suite","En cours")))</f>
        <v/>
      </c>
      <c r="N183">
        <f>IF(ISBLANK('ENGAGEMENTS 2026'!C183),"",'ENGAGEMENTS 2026'!L183)</f>
        <v/>
      </c>
      <c r="O183">
        <f>IF(ISBLANK('ENGAGEMENTS 2026'!C183),"",'ENGAGEMENTS 2026'!M183)</f>
        <v/>
      </c>
      <c r="P183">
        <f>IF(ISBLANK('ENGAGEMENTS 2026'!C183),"",'ENGAGEMENTS 2026'!K183)</f>
        <v/>
      </c>
      <c r="Q183">
        <f>IF($A183="","",IF(OR($E183="INFRUCTUEUX",$E183="ANNULE"),$A183&amp;"|"&amp;(COUNTIFS($A$2:$A183,$A183,$E$2:$E183,"INFRUCTUEUX")+COUNTIFS($A$2:$A183,$A183,$E$2:$E183,"ANNULE")),""))</f>
        <v/>
      </c>
    </row>
    <row r="184">
      <c r="A184">
        <f>IF(ISBLANK('ENGAGEMENTS 2026'!C184),"",IF('ENGAGEMENTS 2026'!C184="DTSI","DCT",'ENGAGEMENTS 2026'!C184))</f>
        <v/>
      </c>
      <c r="B184">
        <f>IF(ISBLANK('ENGAGEMENTS 2026'!C184),"",'ENGAGEMENTS 2026'!D184)</f>
        <v/>
      </c>
      <c r="C184">
        <f>IF(ISBLANK('ENGAGEMENTS 2026'!C184),"",'ENGAGEMENTS 2026'!E184)</f>
        <v/>
      </c>
      <c r="D184">
        <f>IF(ISBLANK('ENGAGEMENTS 2026'!C184),"",'ENGAGEMENTS 2026'!G184)</f>
        <v/>
      </c>
      <c r="E184">
        <f>IF(ISBLANK('ENGAGEMENTS 2026'!C184),"",'ENGAGEMENTS 2026'!I184)</f>
        <v/>
      </c>
      <c r="F184">
        <f>IF(ISBLANK('ENGAGEMENTS 2026'!C184),"",'ENGAGEMENTS 2026'!J184)</f>
        <v/>
      </c>
      <c r="G184">
        <f>IF(ISBLANK('ENGAGEMENTS 2026'!C184),"",'ENGAGEMENTS 2026'!M184)</f>
        <v/>
      </c>
      <c r="H184">
        <f>IF(ISBLANK('ENGAGEMENTS 2026'!C184),"",'ENGAGEMENTS 2026'!AF184)</f>
        <v/>
      </c>
      <c r="I184">
        <f>IF(ISBLANK('ENGAGEMENTS 2026'!C184),"",'ENGAGEMENTS 2026'!H184)</f>
        <v/>
      </c>
      <c r="J184" s="275">
        <f>IF(ISBLANK('ENGAGEMENTS 2026'!C184),"",IF(AND(OR($E184="INFRUCTUEUX",$E184="ANNULE"),$C184="AOO-M"),'ENGAGEMENTS 2026'!P184,IF($H184="EN COURS DE PREENGAGEMENT",'ENGAGEMENTS 2026'!O184,IF($H184="PREENGAGE",IF($E184="ATTRIBUE",'ENGAGEMENTS 2026'!AE184,'ENGAGEMENTS 2026'!O184),'ENGAGEMENTS 2026'!AE184))))</f>
        <v/>
      </c>
      <c r="K184" s="604">
        <f>IF(ISBLANK('ENGAGEMENTS 2026'!W184),"",'ENGAGEMENTS 2026'!W184)</f>
        <v/>
      </c>
      <c r="L184" s="276">
        <f>IF($K184="","",TODAY()-$K184)</f>
        <v/>
      </c>
      <c r="M184">
        <f>IF($A184="","",IF($H184="ENGAGE","Engagé",IF(AND($H184="NON ENGAGE",OR($I184="INFRUCTUEUX",$I184="ANNULE")),"Clôturé sans suite","En cours")))</f>
        <v/>
      </c>
      <c r="N184">
        <f>IF(ISBLANK('ENGAGEMENTS 2026'!C184),"",'ENGAGEMENTS 2026'!L184)</f>
        <v/>
      </c>
      <c r="O184">
        <f>IF(ISBLANK('ENGAGEMENTS 2026'!C184),"",'ENGAGEMENTS 2026'!M184)</f>
        <v/>
      </c>
      <c r="P184">
        <f>IF(ISBLANK('ENGAGEMENTS 2026'!C184),"",'ENGAGEMENTS 2026'!K184)</f>
        <v/>
      </c>
      <c r="Q184">
        <f>IF($A184="","",IF(OR($E184="INFRUCTUEUX",$E184="ANNULE"),$A184&amp;"|"&amp;(COUNTIFS($A$2:$A184,$A184,$E$2:$E184,"INFRUCTUEUX")+COUNTIFS($A$2:$A184,$A184,$E$2:$E184,"ANNULE")),""))</f>
        <v/>
      </c>
    </row>
    <row r="185">
      <c r="A185">
        <f>IF(ISBLANK('ENGAGEMENTS 2026'!C185),"",IF('ENGAGEMENTS 2026'!C185="DTSI","DCT",'ENGAGEMENTS 2026'!C185))</f>
        <v/>
      </c>
      <c r="B185">
        <f>IF(ISBLANK('ENGAGEMENTS 2026'!C185),"",'ENGAGEMENTS 2026'!D185)</f>
        <v/>
      </c>
      <c r="C185">
        <f>IF(ISBLANK('ENGAGEMENTS 2026'!C185),"",'ENGAGEMENTS 2026'!E185)</f>
        <v/>
      </c>
      <c r="D185">
        <f>IF(ISBLANK('ENGAGEMENTS 2026'!C185),"",'ENGAGEMENTS 2026'!G185)</f>
        <v/>
      </c>
      <c r="E185">
        <f>IF(ISBLANK('ENGAGEMENTS 2026'!C185),"",'ENGAGEMENTS 2026'!I185)</f>
        <v/>
      </c>
      <c r="F185">
        <f>IF(ISBLANK('ENGAGEMENTS 2026'!C185),"",'ENGAGEMENTS 2026'!J185)</f>
        <v/>
      </c>
      <c r="G185">
        <f>IF(ISBLANK('ENGAGEMENTS 2026'!C185),"",'ENGAGEMENTS 2026'!M185)</f>
        <v/>
      </c>
      <c r="H185">
        <f>IF(ISBLANK('ENGAGEMENTS 2026'!C185),"",'ENGAGEMENTS 2026'!AF185)</f>
        <v/>
      </c>
      <c r="I185">
        <f>IF(ISBLANK('ENGAGEMENTS 2026'!C185),"",'ENGAGEMENTS 2026'!H185)</f>
        <v/>
      </c>
      <c r="J185" s="275">
        <f>IF(ISBLANK('ENGAGEMENTS 2026'!C185),"",IF(AND(OR($E185="INFRUCTUEUX",$E185="ANNULE"),$C185="AOO-M"),'ENGAGEMENTS 2026'!P185,IF($H185="EN COURS DE PREENGAGEMENT",'ENGAGEMENTS 2026'!O185,IF($H185="PREENGAGE",IF($E185="ATTRIBUE",'ENGAGEMENTS 2026'!AE185,'ENGAGEMENTS 2026'!O185),'ENGAGEMENTS 2026'!AE185))))</f>
        <v/>
      </c>
      <c r="K185" s="604">
        <f>IF(ISBLANK('ENGAGEMENTS 2026'!W185),"",'ENGAGEMENTS 2026'!W185)</f>
        <v/>
      </c>
      <c r="L185" s="276">
        <f>IF($K185="","",TODAY()-$K185)</f>
        <v/>
      </c>
      <c r="M185">
        <f>IF($A185="","",IF($H185="ENGAGE","Engagé",IF(AND($H185="NON ENGAGE",OR($I185="INFRUCTUEUX",$I185="ANNULE")),"Clôturé sans suite","En cours")))</f>
        <v/>
      </c>
      <c r="N185">
        <f>IF(ISBLANK('ENGAGEMENTS 2026'!C185),"",'ENGAGEMENTS 2026'!L185)</f>
        <v/>
      </c>
      <c r="O185">
        <f>IF(ISBLANK('ENGAGEMENTS 2026'!C185),"",'ENGAGEMENTS 2026'!M185)</f>
        <v/>
      </c>
      <c r="P185">
        <f>IF(ISBLANK('ENGAGEMENTS 2026'!C185),"",'ENGAGEMENTS 2026'!K185)</f>
        <v/>
      </c>
      <c r="Q185">
        <f>IF($A185="","",IF(OR($E185="INFRUCTUEUX",$E185="ANNULE"),$A185&amp;"|"&amp;(COUNTIFS($A$2:$A185,$A185,$E$2:$E185,"INFRUCTUEUX")+COUNTIFS($A$2:$A185,$A185,$E$2:$E185,"ANNULE")),""))</f>
        <v/>
      </c>
    </row>
    <row r="186">
      <c r="A186">
        <f>IF(ISBLANK('ENGAGEMENTS 2026'!C186),"",IF('ENGAGEMENTS 2026'!C186="DTSI","DCT",'ENGAGEMENTS 2026'!C186))</f>
        <v/>
      </c>
      <c r="B186">
        <f>IF(ISBLANK('ENGAGEMENTS 2026'!C186),"",'ENGAGEMENTS 2026'!D186)</f>
        <v/>
      </c>
      <c r="C186">
        <f>IF(ISBLANK('ENGAGEMENTS 2026'!C186),"",'ENGAGEMENTS 2026'!E186)</f>
        <v/>
      </c>
      <c r="D186">
        <f>IF(ISBLANK('ENGAGEMENTS 2026'!C186),"",'ENGAGEMENTS 2026'!G186)</f>
        <v/>
      </c>
      <c r="E186">
        <f>IF(ISBLANK('ENGAGEMENTS 2026'!C186),"",'ENGAGEMENTS 2026'!I186)</f>
        <v/>
      </c>
      <c r="F186">
        <f>IF(ISBLANK('ENGAGEMENTS 2026'!C186),"",'ENGAGEMENTS 2026'!J186)</f>
        <v/>
      </c>
      <c r="G186">
        <f>IF(ISBLANK('ENGAGEMENTS 2026'!C186),"",'ENGAGEMENTS 2026'!M186)</f>
        <v/>
      </c>
      <c r="H186">
        <f>IF(ISBLANK('ENGAGEMENTS 2026'!C186),"",'ENGAGEMENTS 2026'!AF186)</f>
        <v/>
      </c>
      <c r="I186">
        <f>IF(ISBLANK('ENGAGEMENTS 2026'!C186),"",'ENGAGEMENTS 2026'!H186)</f>
        <v/>
      </c>
      <c r="J186" s="275">
        <f>IF(ISBLANK('ENGAGEMENTS 2026'!C186),"",IF(AND(OR($E186="INFRUCTUEUX",$E186="ANNULE"),$C186="AOO-M"),'ENGAGEMENTS 2026'!P186,IF($H186="EN COURS DE PREENGAGEMENT",'ENGAGEMENTS 2026'!O186,IF($H186="PREENGAGE",IF($E186="ATTRIBUE",'ENGAGEMENTS 2026'!AE186,'ENGAGEMENTS 2026'!O186),'ENGAGEMENTS 2026'!AE186))))</f>
        <v/>
      </c>
      <c r="K186" s="604">
        <f>IF(ISBLANK('ENGAGEMENTS 2026'!W186),"",'ENGAGEMENTS 2026'!W186)</f>
        <v/>
      </c>
      <c r="L186" s="276">
        <f>IF($K186="","",TODAY()-$K186)</f>
        <v/>
      </c>
      <c r="M186">
        <f>IF($A186="","",IF($H186="ENGAGE","Engagé",IF(AND($H186="NON ENGAGE",OR($I186="INFRUCTUEUX",$I186="ANNULE")),"Clôturé sans suite","En cours")))</f>
        <v/>
      </c>
      <c r="N186">
        <f>IF(ISBLANK('ENGAGEMENTS 2026'!C186),"",'ENGAGEMENTS 2026'!L186)</f>
        <v/>
      </c>
      <c r="O186">
        <f>IF(ISBLANK('ENGAGEMENTS 2026'!C186),"",'ENGAGEMENTS 2026'!M186)</f>
        <v/>
      </c>
      <c r="P186">
        <f>IF(ISBLANK('ENGAGEMENTS 2026'!C186),"",'ENGAGEMENTS 2026'!K186)</f>
        <v/>
      </c>
      <c r="Q186">
        <f>IF($A186="","",IF(OR($E186="INFRUCTUEUX",$E186="ANNULE"),$A186&amp;"|"&amp;(COUNTIFS($A$2:$A186,$A186,$E$2:$E186,"INFRUCTUEUX")+COUNTIFS($A$2:$A186,$A186,$E$2:$E186,"ANNULE")),""))</f>
        <v/>
      </c>
    </row>
    <row r="187">
      <c r="A187">
        <f>IF(ISBLANK('ENGAGEMENTS 2026'!C187),"",IF('ENGAGEMENTS 2026'!C187="DTSI","DCT",'ENGAGEMENTS 2026'!C187))</f>
        <v/>
      </c>
      <c r="B187">
        <f>IF(ISBLANK('ENGAGEMENTS 2026'!C187),"",'ENGAGEMENTS 2026'!D187)</f>
        <v/>
      </c>
      <c r="C187">
        <f>IF(ISBLANK('ENGAGEMENTS 2026'!C187),"",'ENGAGEMENTS 2026'!E187)</f>
        <v/>
      </c>
      <c r="D187">
        <f>IF(ISBLANK('ENGAGEMENTS 2026'!C187),"",'ENGAGEMENTS 2026'!G187)</f>
        <v/>
      </c>
      <c r="E187">
        <f>IF(ISBLANK('ENGAGEMENTS 2026'!C187),"",'ENGAGEMENTS 2026'!I187)</f>
        <v/>
      </c>
      <c r="F187">
        <f>IF(ISBLANK('ENGAGEMENTS 2026'!C187),"",'ENGAGEMENTS 2026'!J187)</f>
        <v/>
      </c>
      <c r="G187">
        <f>IF(ISBLANK('ENGAGEMENTS 2026'!C187),"",'ENGAGEMENTS 2026'!M187)</f>
        <v/>
      </c>
      <c r="H187">
        <f>IF(ISBLANK('ENGAGEMENTS 2026'!C187),"",'ENGAGEMENTS 2026'!AF187)</f>
        <v/>
      </c>
      <c r="I187">
        <f>IF(ISBLANK('ENGAGEMENTS 2026'!C187),"",'ENGAGEMENTS 2026'!H187)</f>
        <v/>
      </c>
      <c r="J187" s="275">
        <f>IF(ISBLANK('ENGAGEMENTS 2026'!C187),"",IF(AND(OR($E187="INFRUCTUEUX",$E187="ANNULE"),$C187="AOO-M"),'ENGAGEMENTS 2026'!P187,IF($H187="EN COURS DE PREENGAGEMENT",'ENGAGEMENTS 2026'!O187,IF($H187="PREENGAGE",IF($E187="ATTRIBUE",'ENGAGEMENTS 2026'!AE187,'ENGAGEMENTS 2026'!O187),'ENGAGEMENTS 2026'!AE187))))</f>
        <v/>
      </c>
      <c r="K187" s="604">
        <f>IF(ISBLANK('ENGAGEMENTS 2026'!W187),"",'ENGAGEMENTS 2026'!W187)</f>
        <v/>
      </c>
      <c r="L187" s="276">
        <f>IF($K187="","",TODAY()-$K187)</f>
        <v/>
      </c>
      <c r="M187">
        <f>IF($A187="","",IF($H187="ENGAGE","Engagé",IF(AND($H187="NON ENGAGE",OR($I187="INFRUCTUEUX",$I187="ANNULE")),"Clôturé sans suite","En cours")))</f>
        <v/>
      </c>
      <c r="N187">
        <f>IF(ISBLANK('ENGAGEMENTS 2026'!C187),"",'ENGAGEMENTS 2026'!L187)</f>
        <v/>
      </c>
      <c r="O187">
        <f>IF(ISBLANK('ENGAGEMENTS 2026'!C187),"",'ENGAGEMENTS 2026'!M187)</f>
        <v/>
      </c>
      <c r="P187">
        <f>IF(ISBLANK('ENGAGEMENTS 2026'!C187),"",'ENGAGEMENTS 2026'!K187)</f>
        <v/>
      </c>
      <c r="Q187">
        <f>IF($A187="","",IF(OR($E187="INFRUCTUEUX",$E187="ANNULE"),$A187&amp;"|"&amp;(COUNTIFS($A$2:$A187,$A187,$E$2:$E187,"INFRUCTUEUX")+COUNTIFS($A$2:$A187,$A187,$E$2:$E187,"ANNULE")),""))</f>
        <v/>
      </c>
    </row>
    <row r="188">
      <c r="A188">
        <f>IF(ISBLANK('ENGAGEMENTS 2026'!C188),"",IF('ENGAGEMENTS 2026'!C188="DTSI","DCT",'ENGAGEMENTS 2026'!C188))</f>
        <v/>
      </c>
      <c r="B188">
        <f>IF(ISBLANK('ENGAGEMENTS 2026'!C188),"",'ENGAGEMENTS 2026'!D188)</f>
        <v/>
      </c>
      <c r="C188">
        <f>IF(ISBLANK('ENGAGEMENTS 2026'!C188),"",'ENGAGEMENTS 2026'!E188)</f>
        <v/>
      </c>
      <c r="D188">
        <f>IF(ISBLANK('ENGAGEMENTS 2026'!C188),"",'ENGAGEMENTS 2026'!G188)</f>
        <v/>
      </c>
      <c r="E188">
        <f>IF(ISBLANK('ENGAGEMENTS 2026'!C188),"",'ENGAGEMENTS 2026'!I188)</f>
        <v/>
      </c>
      <c r="F188">
        <f>IF(ISBLANK('ENGAGEMENTS 2026'!C188),"",'ENGAGEMENTS 2026'!J188)</f>
        <v/>
      </c>
      <c r="G188">
        <f>IF(ISBLANK('ENGAGEMENTS 2026'!C188),"",'ENGAGEMENTS 2026'!M188)</f>
        <v/>
      </c>
      <c r="H188">
        <f>IF(ISBLANK('ENGAGEMENTS 2026'!C188),"",'ENGAGEMENTS 2026'!AF188)</f>
        <v/>
      </c>
      <c r="I188">
        <f>IF(ISBLANK('ENGAGEMENTS 2026'!C188),"",'ENGAGEMENTS 2026'!H188)</f>
        <v/>
      </c>
      <c r="J188" s="275">
        <f>IF(ISBLANK('ENGAGEMENTS 2026'!C188),"",IF(AND(OR($E188="INFRUCTUEUX",$E188="ANNULE"),$C188="AOO-M"),'ENGAGEMENTS 2026'!P188,IF($H188="EN COURS DE PREENGAGEMENT",'ENGAGEMENTS 2026'!O188,IF($H188="PREENGAGE",IF($E188="ATTRIBUE",'ENGAGEMENTS 2026'!AE188,'ENGAGEMENTS 2026'!O188),'ENGAGEMENTS 2026'!AE188))))</f>
        <v/>
      </c>
      <c r="K188" s="604">
        <f>IF(ISBLANK('ENGAGEMENTS 2026'!W188),"",'ENGAGEMENTS 2026'!W188)</f>
        <v/>
      </c>
      <c r="L188" s="276">
        <f>IF($K188="","",TODAY()-$K188)</f>
        <v/>
      </c>
      <c r="M188">
        <f>IF($A188="","",IF($H188="ENGAGE","Engagé",IF(AND($H188="NON ENGAGE",OR($I188="INFRUCTUEUX",$I188="ANNULE")),"Clôturé sans suite","En cours")))</f>
        <v/>
      </c>
      <c r="N188">
        <f>IF(ISBLANK('ENGAGEMENTS 2026'!C188),"",'ENGAGEMENTS 2026'!L188)</f>
        <v/>
      </c>
      <c r="O188">
        <f>IF(ISBLANK('ENGAGEMENTS 2026'!C188),"",'ENGAGEMENTS 2026'!M188)</f>
        <v/>
      </c>
      <c r="P188">
        <f>IF(ISBLANK('ENGAGEMENTS 2026'!C188),"",'ENGAGEMENTS 2026'!K188)</f>
        <v/>
      </c>
      <c r="Q188">
        <f>IF($A188="","",IF(OR($E188="INFRUCTUEUX",$E188="ANNULE"),$A188&amp;"|"&amp;(COUNTIFS($A$2:$A188,$A188,$E$2:$E188,"INFRUCTUEUX")+COUNTIFS($A$2:$A188,$A188,$E$2:$E188,"ANNULE")),""))</f>
        <v/>
      </c>
    </row>
    <row r="189">
      <c r="A189">
        <f>IF(ISBLANK('ENGAGEMENTS 2026'!C189),"",IF('ENGAGEMENTS 2026'!C189="DTSI","DCT",'ENGAGEMENTS 2026'!C189))</f>
        <v/>
      </c>
      <c r="B189">
        <f>IF(ISBLANK('ENGAGEMENTS 2026'!C189),"",'ENGAGEMENTS 2026'!D189)</f>
        <v/>
      </c>
      <c r="C189">
        <f>IF(ISBLANK('ENGAGEMENTS 2026'!C189),"",'ENGAGEMENTS 2026'!E189)</f>
        <v/>
      </c>
      <c r="D189">
        <f>IF(ISBLANK('ENGAGEMENTS 2026'!C189),"",'ENGAGEMENTS 2026'!G189)</f>
        <v/>
      </c>
      <c r="E189">
        <f>IF(ISBLANK('ENGAGEMENTS 2026'!C189),"",'ENGAGEMENTS 2026'!I189)</f>
        <v/>
      </c>
      <c r="F189">
        <f>IF(ISBLANK('ENGAGEMENTS 2026'!C189),"",'ENGAGEMENTS 2026'!J189)</f>
        <v/>
      </c>
      <c r="G189">
        <f>IF(ISBLANK('ENGAGEMENTS 2026'!C189),"",'ENGAGEMENTS 2026'!M189)</f>
        <v/>
      </c>
      <c r="H189">
        <f>IF(ISBLANK('ENGAGEMENTS 2026'!C189),"",'ENGAGEMENTS 2026'!AF189)</f>
        <v/>
      </c>
      <c r="I189">
        <f>IF(ISBLANK('ENGAGEMENTS 2026'!C189),"",'ENGAGEMENTS 2026'!H189)</f>
        <v/>
      </c>
      <c r="J189" s="275">
        <f>IF(ISBLANK('ENGAGEMENTS 2026'!C189),"",IF(AND(OR($E189="INFRUCTUEUX",$E189="ANNULE"),$C189="AOO-M"),'ENGAGEMENTS 2026'!P189,IF($H189="EN COURS DE PREENGAGEMENT",'ENGAGEMENTS 2026'!O189,IF($H189="PREENGAGE",IF($E189="ATTRIBUE",'ENGAGEMENTS 2026'!AE189,'ENGAGEMENTS 2026'!O189),'ENGAGEMENTS 2026'!AE189))))</f>
        <v/>
      </c>
      <c r="K189" s="604">
        <f>IF(ISBLANK('ENGAGEMENTS 2026'!W189),"",'ENGAGEMENTS 2026'!W189)</f>
        <v/>
      </c>
      <c r="L189" s="276">
        <f>IF($K189="","",TODAY()-$K189)</f>
        <v/>
      </c>
      <c r="M189">
        <f>IF($A189="","",IF($H189="ENGAGE","Engagé",IF(AND($H189="NON ENGAGE",OR($I189="INFRUCTUEUX",$I189="ANNULE")),"Clôturé sans suite","En cours")))</f>
        <v/>
      </c>
      <c r="N189">
        <f>IF(ISBLANK('ENGAGEMENTS 2026'!C189),"",'ENGAGEMENTS 2026'!L189)</f>
        <v/>
      </c>
      <c r="O189">
        <f>IF(ISBLANK('ENGAGEMENTS 2026'!C189),"",'ENGAGEMENTS 2026'!M189)</f>
        <v/>
      </c>
      <c r="P189">
        <f>IF(ISBLANK('ENGAGEMENTS 2026'!C189),"",'ENGAGEMENTS 2026'!K189)</f>
        <v/>
      </c>
      <c r="Q189">
        <f>IF($A189="","",IF(OR($E189="INFRUCTUEUX",$E189="ANNULE"),$A189&amp;"|"&amp;(COUNTIFS($A$2:$A189,$A189,$E$2:$E189,"INFRUCTUEUX")+COUNTIFS($A$2:$A189,$A189,$E$2:$E189,"ANNULE")),""))</f>
        <v/>
      </c>
    </row>
    <row r="190">
      <c r="A190">
        <f>IF(ISBLANK('ENGAGEMENTS 2026'!C190),"",IF('ENGAGEMENTS 2026'!C190="DTSI","DCT",'ENGAGEMENTS 2026'!C190))</f>
        <v/>
      </c>
      <c r="B190">
        <f>IF(ISBLANK('ENGAGEMENTS 2026'!C190),"",'ENGAGEMENTS 2026'!D190)</f>
        <v/>
      </c>
      <c r="C190">
        <f>IF(ISBLANK('ENGAGEMENTS 2026'!C190),"",'ENGAGEMENTS 2026'!E190)</f>
        <v/>
      </c>
      <c r="D190">
        <f>IF(ISBLANK('ENGAGEMENTS 2026'!C190),"",'ENGAGEMENTS 2026'!G190)</f>
        <v/>
      </c>
      <c r="E190">
        <f>IF(ISBLANK('ENGAGEMENTS 2026'!C190),"",'ENGAGEMENTS 2026'!I190)</f>
        <v/>
      </c>
      <c r="F190">
        <f>IF(ISBLANK('ENGAGEMENTS 2026'!C190),"",'ENGAGEMENTS 2026'!J190)</f>
        <v/>
      </c>
      <c r="G190">
        <f>IF(ISBLANK('ENGAGEMENTS 2026'!C190),"",'ENGAGEMENTS 2026'!M190)</f>
        <v/>
      </c>
      <c r="H190">
        <f>IF(ISBLANK('ENGAGEMENTS 2026'!C190),"",'ENGAGEMENTS 2026'!AF190)</f>
        <v/>
      </c>
      <c r="I190">
        <f>IF(ISBLANK('ENGAGEMENTS 2026'!C190),"",'ENGAGEMENTS 2026'!H190)</f>
        <v/>
      </c>
      <c r="J190" s="275">
        <f>IF(ISBLANK('ENGAGEMENTS 2026'!C190),"",IF(AND(OR($E190="INFRUCTUEUX",$E190="ANNULE"),$C190="AOO-M"),'ENGAGEMENTS 2026'!P190,IF($H190="EN COURS DE PREENGAGEMENT",'ENGAGEMENTS 2026'!O190,IF($H190="PREENGAGE",IF($E190="ATTRIBUE",'ENGAGEMENTS 2026'!AE190,'ENGAGEMENTS 2026'!O190),'ENGAGEMENTS 2026'!AE190))))</f>
        <v/>
      </c>
      <c r="K190" s="604">
        <f>IF(ISBLANK('ENGAGEMENTS 2026'!W190),"",'ENGAGEMENTS 2026'!W190)</f>
        <v/>
      </c>
      <c r="L190" s="276">
        <f>IF($K190="","",TODAY()-$K190)</f>
        <v/>
      </c>
      <c r="M190">
        <f>IF($A190="","",IF($H190="ENGAGE","Engagé",IF(AND($H190="NON ENGAGE",OR($I190="INFRUCTUEUX",$I190="ANNULE")),"Clôturé sans suite","En cours")))</f>
        <v/>
      </c>
      <c r="N190">
        <f>IF(ISBLANK('ENGAGEMENTS 2026'!C190),"",'ENGAGEMENTS 2026'!L190)</f>
        <v/>
      </c>
      <c r="O190">
        <f>IF(ISBLANK('ENGAGEMENTS 2026'!C190),"",'ENGAGEMENTS 2026'!M190)</f>
        <v/>
      </c>
      <c r="P190">
        <f>IF(ISBLANK('ENGAGEMENTS 2026'!C190),"",'ENGAGEMENTS 2026'!K190)</f>
        <v/>
      </c>
      <c r="Q190">
        <f>IF($A190="","",IF(OR($E190="INFRUCTUEUX",$E190="ANNULE"),$A190&amp;"|"&amp;(COUNTIFS($A$2:$A190,$A190,$E$2:$E190,"INFRUCTUEUX")+COUNTIFS($A$2:$A190,$A190,$E$2:$E190,"ANNULE")),""))</f>
        <v/>
      </c>
    </row>
    <row r="191">
      <c r="A191">
        <f>IF(ISBLANK('ENGAGEMENTS 2026'!C191),"",IF('ENGAGEMENTS 2026'!C191="DTSI","DCT",'ENGAGEMENTS 2026'!C191))</f>
        <v/>
      </c>
      <c r="B191">
        <f>IF(ISBLANK('ENGAGEMENTS 2026'!C191),"",'ENGAGEMENTS 2026'!D191)</f>
        <v/>
      </c>
      <c r="C191">
        <f>IF(ISBLANK('ENGAGEMENTS 2026'!C191),"",'ENGAGEMENTS 2026'!E191)</f>
        <v/>
      </c>
      <c r="D191">
        <f>IF(ISBLANK('ENGAGEMENTS 2026'!C191),"",'ENGAGEMENTS 2026'!G191)</f>
        <v/>
      </c>
      <c r="E191">
        <f>IF(ISBLANK('ENGAGEMENTS 2026'!C191),"",'ENGAGEMENTS 2026'!I191)</f>
        <v/>
      </c>
      <c r="F191">
        <f>IF(ISBLANK('ENGAGEMENTS 2026'!C191),"",'ENGAGEMENTS 2026'!J191)</f>
        <v/>
      </c>
      <c r="G191">
        <f>IF(ISBLANK('ENGAGEMENTS 2026'!C191),"",'ENGAGEMENTS 2026'!M191)</f>
        <v/>
      </c>
      <c r="H191">
        <f>IF(ISBLANK('ENGAGEMENTS 2026'!C191),"",'ENGAGEMENTS 2026'!AF191)</f>
        <v/>
      </c>
      <c r="I191">
        <f>IF(ISBLANK('ENGAGEMENTS 2026'!C191),"",'ENGAGEMENTS 2026'!H191)</f>
        <v/>
      </c>
      <c r="J191" s="275">
        <f>IF(ISBLANK('ENGAGEMENTS 2026'!C191),"",IF(AND(OR($E191="INFRUCTUEUX",$E191="ANNULE"),$C191="AOO-M"),'ENGAGEMENTS 2026'!P191,IF($H191="EN COURS DE PREENGAGEMENT",'ENGAGEMENTS 2026'!O191,IF($H191="PREENGAGE",IF($E191="ATTRIBUE",'ENGAGEMENTS 2026'!AE191,'ENGAGEMENTS 2026'!O191),'ENGAGEMENTS 2026'!AE191))))</f>
        <v/>
      </c>
      <c r="K191" s="604">
        <f>IF(ISBLANK('ENGAGEMENTS 2026'!W191),"",'ENGAGEMENTS 2026'!W191)</f>
        <v/>
      </c>
      <c r="L191" s="276">
        <f>IF($K191="","",TODAY()-$K191)</f>
        <v/>
      </c>
      <c r="M191">
        <f>IF($A191="","",IF($H191="ENGAGE","Engagé",IF(AND($H191="NON ENGAGE",OR($I191="INFRUCTUEUX",$I191="ANNULE")),"Clôturé sans suite","En cours")))</f>
        <v/>
      </c>
      <c r="N191">
        <f>IF(ISBLANK('ENGAGEMENTS 2026'!C191),"",'ENGAGEMENTS 2026'!L191)</f>
        <v/>
      </c>
      <c r="O191">
        <f>IF(ISBLANK('ENGAGEMENTS 2026'!C191),"",'ENGAGEMENTS 2026'!M191)</f>
        <v/>
      </c>
      <c r="P191">
        <f>IF(ISBLANK('ENGAGEMENTS 2026'!C191),"",'ENGAGEMENTS 2026'!K191)</f>
        <v/>
      </c>
      <c r="Q191">
        <f>IF($A191="","",IF(OR($E191="INFRUCTUEUX",$E191="ANNULE"),$A191&amp;"|"&amp;(COUNTIFS($A$2:$A191,$A191,$E$2:$E191,"INFRUCTUEUX")+COUNTIFS($A$2:$A191,$A191,$E$2:$E191,"ANNULE")),""))</f>
        <v/>
      </c>
    </row>
    <row r="192">
      <c r="A192">
        <f>IF(ISBLANK('ENGAGEMENTS 2026'!C192),"",IF('ENGAGEMENTS 2026'!C192="DTSI","DCT",'ENGAGEMENTS 2026'!C192))</f>
        <v/>
      </c>
      <c r="B192">
        <f>IF(ISBLANK('ENGAGEMENTS 2026'!C192),"",'ENGAGEMENTS 2026'!D192)</f>
        <v/>
      </c>
      <c r="C192">
        <f>IF(ISBLANK('ENGAGEMENTS 2026'!C192),"",'ENGAGEMENTS 2026'!E192)</f>
        <v/>
      </c>
      <c r="D192">
        <f>IF(ISBLANK('ENGAGEMENTS 2026'!C192),"",'ENGAGEMENTS 2026'!G192)</f>
        <v/>
      </c>
      <c r="E192">
        <f>IF(ISBLANK('ENGAGEMENTS 2026'!C192),"",'ENGAGEMENTS 2026'!I192)</f>
        <v/>
      </c>
      <c r="F192">
        <f>IF(ISBLANK('ENGAGEMENTS 2026'!C192),"",'ENGAGEMENTS 2026'!J192)</f>
        <v/>
      </c>
      <c r="G192">
        <f>IF(ISBLANK('ENGAGEMENTS 2026'!C192),"",'ENGAGEMENTS 2026'!M192)</f>
        <v/>
      </c>
      <c r="H192">
        <f>IF(ISBLANK('ENGAGEMENTS 2026'!C192),"",'ENGAGEMENTS 2026'!AF192)</f>
        <v/>
      </c>
      <c r="I192">
        <f>IF(ISBLANK('ENGAGEMENTS 2026'!C192),"",'ENGAGEMENTS 2026'!H192)</f>
        <v/>
      </c>
      <c r="J192" s="275">
        <f>IF(ISBLANK('ENGAGEMENTS 2026'!C192),"",IF(AND(OR($E192="INFRUCTUEUX",$E192="ANNULE"),$C192="AOO-M"),'ENGAGEMENTS 2026'!P192,IF($H192="EN COURS DE PREENGAGEMENT",'ENGAGEMENTS 2026'!O192,IF($H192="PREENGAGE",IF($E192="ATTRIBUE",'ENGAGEMENTS 2026'!AE192,'ENGAGEMENTS 2026'!O192),'ENGAGEMENTS 2026'!AE192))))</f>
        <v/>
      </c>
      <c r="K192" s="604">
        <f>IF(ISBLANK('ENGAGEMENTS 2026'!W192),"",'ENGAGEMENTS 2026'!W192)</f>
        <v/>
      </c>
      <c r="L192" s="276">
        <f>IF($K192="","",TODAY()-$K192)</f>
        <v/>
      </c>
      <c r="M192">
        <f>IF($A192="","",IF($H192="ENGAGE","Engagé",IF(AND($H192="NON ENGAGE",OR($I192="INFRUCTUEUX",$I192="ANNULE")),"Clôturé sans suite","En cours")))</f>
        <v/>
      </c>
      <c r="N192">
        <f>IF(ISBLANK('ENGAGEMENTS 2026'!C192),"",'ENGAGEMENTS 2026'!L192)</f>
        <v/>
      </c>
      <c r="O192">
        <f>IF(ISBLANK('ENGAGEMENTS 2026'!C192),"",'ENGAGEMENTS 2026'!M192)</f>
        <v/>
      </c>
      <c r="P192">
        <f>IF(ISBLANK('ENGAGEMENTS 2026'!C192),"",'ENGAGEMENTS 2026'!K192)</f>
        <v/>
      </c>
      <c r="Q192">
        <f>IF($A192="","",IF(OR($E192="INFRUCTUEUX",$E192="ANNULE"),$A192&amp;"|"&amp;(COUNTIFS($A$2:$A192,$A192,$E$2:$E192,"INFRUCTUEUX")+COUNTIFS($A$2:$A192,$A192,$E$2:$E192,"ANNULE")),""))</f>
        <v/>
      </c>
    </row>
    <row r="193">
      <c r="A193">
        <f>IF(ISBLANK('ENGAGEMENTS 2026'!C193),"",IF('ENGAGEMENTS 2026'!C193="DTSI","DCT",'ENGAGEMENTS 2026'!C193))</f>
        <v/>
      </c>
      <c r="B193">
        <f>IF(ISBLANK('ENGAGEMENTS 2026'!C193),"",'ENGAGEMENTS 2026'!D193)</f>
        <v/>
      </c>
      <c r="C193">
        <f>IF(ISBLANK('ENGAGEMENTS 2026'!C193),"",'ENGAGEMENTS 2026'!E193)</f>
        <v/>
      </c>
      <c r="D193">
        <f>IF(ISBLANK('ENGAGEMENTS 2026'!C193),"",'ENGAGEMENTS 2026'!G193)</f>
        <v/>
      </c>
      <c r="E193">
        <f>IF(ISBLANK('ENGAGEMENTS 2026'!C193),"",'ENGAGEMENTS 2026'!I193)</f>
        <v/>
      </c>
      <c r="F193">
        <f>IF(ISBLANK('ENGAGEMENTS 2026'!C193),"",'ENGAGEMENTS 2026'!J193)</f>
        <v/>
      </c>
      <c r="G193">
        <f>IF(ISBLANK('ENGAGEMENTS 2026'!C193),"",'ENGAGEMENTS 2026'!M193)</f>
        <v/>
      </c>
      <c r="H193">
        <f>IF(ISBLANK('ENGAGEMENTS 2026'!C193),"",'ENGAGEMENTS 2026'!AF193)</f>
        <v/>
      </c>
      <c r="I193">
        <f>IF(ISBLANK('ENGAGEMENTS 2026'!C193),"",'ENGAGEMENTS 2026'!H193)</f>
        <v/>
      </c>
      <c r="J193" s="275">
        <f>IF(ISBLANK('ENGAGEMENTS 2026'!C193),"",IF(AND(OR($E193="INFRUCTUEUX",$E193="ANNULE"),$C193="AOO-M"),'ENGAGEMENTS 2026'!P193,IF($H193="EN COURS DE PREENGAGEMENT",'ENGAGEMENTS 2026'!O193,IF($H193="PREENGAGE",IF($E193="ATTRIBUE",'ENGAGEMENTS 2026'!AE193,'ENGAGEMENTS 2026'!O193),'ENGAGEMENTS 2026'!AE193))))</f>
        <v/>
      </c>
      <c r="K193" s="604">
        <f>IF(ISBLANK('ENGAGEMENTS 2026'!W193),"",'ENGAGEMENTS 2026'!W193)</f>
        <v/>
      </c>
      <c r="L193" s="276">
        <f>IF($K193="","",TODAY()-$K193)</f>
        <v/>
      </c>
      <c r="M193">
        <f>IF($A193="","",IF($H193="ENGAGE","Engagé",IF(AND($H193="NON ENGAGE",OR($I193="INFRUCTUEUX",$I193="ANNULE")),"Clôturé sans suite","En cours")))</f>
        <v/>
      </c>
      <c r="N193">
        <f>IF(ISBLANK('ENGAGEMENTS 2026'!C193),"",'ENGAGEMENTS 2026'!L193)</f>
        <v/>
      </c>
      <c r="O193">
        <f>IF(ISBLANK('ENGAGEMENTS 2026'!C193),"",'ENGAGEMENTS 2026'!M193)</f>
        <v/>
      </c>
      <c r="P193">
        <f>IF(ISBLANK('ENGAGEMENTS 2026'!C193),"",'ENGAGEMENTS 2026'!K193)</f>
        <v/>
      </c>
      <c r="Q193">
        <f>IF($A193="","",IF(OR($E193="INFRUCTUEUX",$E193="ANNULE"),$A193&amp;"|"&amp;(COUNTIFS($A$2:$A193,$A193,$E$2:$E193,"INFRUCTUEUX")+COUNTIFS($A$2:$A193,$A193,$E$2:$E193,"ANNULE")),""))</f>
        <v/>
      </c>
    </row>
    <row r="194">
      <c r="A194">
        <f>IF(ISBLANK('ENGAGEMENTS 2026'!C194),"",IF('ENGAGEMENTS 2026'!C194="DTSI","DCT",'ENGAGEMENTS 2026'!C194))</f>
        <v/>
      </c>
      <c r="B194">
        <f>IF(ISBLANK('ENGAGEMENTS 2026'!C194),"",'ENGAGEMENTS 2026'!D194)</f>
        <v/>
      </c>
      <c r="C194">
        <f>IF(ISBLANK('ENGAGEMENTS 2026'!C194),"",'ENGAGEMENTS 2026'!E194)</f>
        <v/>
      </c>
      <c r="D194">
        <f>IF(ISBLANK('ENGAGEMENTS 2026'!C194),"",'ENGAGEMENTS 2026'!G194)</f>
        <v/>
      </c>
      <c r="E194">
        <f>IF(ISBLANK('ENGAGEMENTS 2026'!C194),"",'ENGAGEMENTS 2026'!I194)</f>
        <v/>
      </c>
      <c r="F194">
        <f>IF(ISBLANK('ENGAGEMENTS 2026'!C194),"",'ENGAGEMENTS 2026'!J194)</f>
        <v/>
      </c>
      <c r="G194">
        <f>IF(ISBLANK('ENGAGEMENTS 2026'!C194),"",'ENGAGEMENTS 2026'!M194)</f>
        <v/>
      </c>
      <c r="H194">
        <f>IF(ISBLANK('ENGAGEMENTS 2026'!C194),"",'ENGAGEMENTS 2026'!AF194)</f>
        <v/>
      </c>
      <c r="I194">
        <f>IF(ISBLANK('ENGAGEMENTS 2026'!C194),"",'ENGAGEMENTS 2026'!H194)</f>
        <v/>
      </c>
      <c r="J194" s="275">
        <f>IF(ISBLANK('ENGAGEMENTS 2026'!C194),"",IF(AND(OR($E194="INFRUCTUEUX",$E194="ANNULE"),$C194="AOO-M"),'ENGAGEMENTS 2026'!P194,IF($H194="EN COURS DE PREENGAGEMENT",'ENGAGEMENTS 2026'!O194,IF($H194="PREENGAGE",IF($E194="ATTRIBUE",'ENGAGEMENTS 2026'!AE194,'ENGAGEMENTS 2026'!O194),'ENGAGEMENTS 2026'!AE194))))</f>
        <v/>
      </c>
      <c r="K194" s="604">
        <f>IF(ISBLANK('ENGAGEMENTS 2026'!W194),"",'ENGAGEMENTS 2026'!W194)</f>
        <v/>
      </c>
      <c r="L194" s="276">
        <f>IF($K194="","",TODAY()-$K194)</f>
        <v/>
      </c>
      <c r="M194">
        <f>IF($A194="","",IF($H194="ENGAGE","Engagé",IF(AND($H194="NON ENGAGE",OR($I194="INFRUCTUEUX",$I194="ANNULE")),"Clôturé sans suite","En cours")))</f>
        <v/>
      </c>
      <c r="N194">
        <f>IF(ISBLANK('ENGAGEMENTS 2026'!C194),"",'ENGAGEMENTS 2026'!L194)</f>
        <v/>
      </c>
      <c r="O194">
        <f>IF(ISBLANK('ENGAGEMENTS 2026'!C194),"",'ENGAGEMENTS 2026'!M194)</f>
        <v/>
      </c>
      <c r="P194">
        <f>IF(ISBLANK('ENGAGEMENTS 2026'!C194),"",'ENGAGEMENTS 2026'!K194)</f>
        <v/>
      </c>
      <c r="Q194">
        <f>IF($A194="","",IF(OR($E194="INFRUCTUEUX",$E194="ANNULE"),$A194&amp;"|"&amp;(COUNTIFS($A$2:$A194,$A194,$E$2:$E194,"INFRUCTUEUX")+COUNTIFS($A$2:$A194,$A194,$E$2:$E194,"ANNULE")),""))</f>
        <v/>
      </c>
    </row>
    <row r="195">
      <c r="A195">
        <f>IF(ISBLANK('ENGAGEMENTS 2026'!C195),"",IF('ENGAGEMENTS 2026'!C195="DTSI","DCT",'ENGAGEMENTS 2026'!C195))</f>
        <v/>
      </c>
      <c r="B195">
        <f>IF(ISBLANK('ENGAGEMENTS 2026'!C195),"",'ENGAGEMENTS 2026'!D195)</f>
        <v/>
      </c>
      <c r="C195">
        <f>IF(ISBLANK('ENGAGEMENTS 2026'!C195),"",'ENGAGEMENTS 2026'!E195)</f>
        <v/>
      </c>
      <c r="D195">
        <f>IF(ISBLANK('ENGAGEMENTS 2026'!C195),"",'ENGAGEMENTS 2026'!G195)</f>
        <v/>
      </c>
      <c r="E195">
        <f>IF(ISBLANK('ENGAGEMENTS 2026'!C195),"",'ENGAGEMENTS 2026'!I195)</f>
        <v/>
      </c>
      <c r="F195">
        <f>IF(ISBLANK('ENGAGEMENTS 2026'!C195),"",'ENGAGEMENTS 2026'!J195)</f>
        <v/>
      </c>
      <c r="G195">
        <f>IF(ISBLANK('ENGAGEMENTS 2026'!C195),"",'ENGAGEMENTS 2026'!M195)</f>
        <v/>
      </c>
      <c r="H195">
        <f>IF(ISBLANK('ENGAGEMENTS 2026'!C195),"",'ENGAGEMENTS 2026'!AF195)</f>
        <v/>
      </c>
      <c r="I195">
        <f>IF(ISBLANK('ENGAGEMENTS 2026'!C195),"",'ENGAGEMENTS 2026'!H195)</f>
        <v/>
      </c>
      <c r="J195" s="275">
        <f>IF(ISBLANK('ENGAGEMENTS 2026'!C195),"",IF(AND(OR($E195="INFRUCTUEUX",$E195="ANNULE"),$C195="AOO-M"),'ENGAGEMENTS 2026'!P195,IF($H195="EN COURS DE PREENGAGEMENT",'ENGAGEMENTS 2026'!O195,IF($H195="PREENGAGE",IF($E195="ATTRIBUE",'ENGAGEMENTS 2026'!AE195,'ENGAGEMENTS 2026'!O195),'ENGAGEMENTS 2026'!AE195))))</f>
        <v/>
      </c>
      <c r="K195" s="604">
        <f>IF(ISBLANK('ENGAGEMENTS 2026'!W195),"",'ENGAGEMENTS 2026'!W195)</f>
        <v/>
      </c>
      <c r="L195" s="276">
        <f>IF($K195="","",TODAY()-$K195)</f>
        <v/>
      </c>
      <c r="M195">
        <f>IF($A195="","",IF($H195="ENGAGE","Engagé",IF(AND($H195="NON ENGAGE",OR($I195="INFRUCTUEUX",$I195="ANNULE")),"Clôturé sans suite","En cours")))</f>
        <v/>
      </c>
      <c r="N195">
        <f>IF(ISBLANK('ENGAGEMENTS 2026'!C195),"",'ENGAGEMENTS 2026'!L195)</f>
        <v/>
      </c>
      <c r="O195">
        <f>IF(ISBLANK('ENGAGEMENTS 2026'!C195),"",'ENGAGEMENTS 2026'!M195)</f>
        <v/>
      </c>
      <c r="P195">
        <f>IF(ISBLANK('ENGAGEMENTS 2026'!C195),"",'ENGAGEMENTS 2026'!K195)</f>
        <v/>
      </c>
      <c r="Q195">
        <f>IF($A195="","",IF(OR($E195="INFRUCTUEUX",$E195="ANNULE"),$A195&amp;"|"&amp;(COUNTIFS($A$2:$A195,$A195,$E$2:$E195,"INFRUCTUEUX")+COUNTIFS($A$2:$A195,$A195,$E$2:$E195,"ANNULE")),""))</f>
        <v/>
      </c>
    </row>
    <row r="196">
      <c r="A196">
        <f>IF(ISBLANK('ENGAGEMENTS 2026'!C196),"",IF('ENGAGEMENTS 2026'!C196="DTSI","DCT",'ENGAGEMENTS 2026'!C196))</f>
        <v/>
      </c>
      <c r="B196">
        <f>IF(ISBLANK('ENGAGEMENTS 2026'!C196),"",'ENGAGEMENTS 2026'!D196)</f>
        <v/>
      </c>
      <c r="C196">
        <f>IF(ISBLANK('ENGAGEMENTS 2026'!C196),"",'ENGAGEMENTS 2026'!E196)</f>
        <v/>
      </c>
      <c r="D196">
        <f>IF(ISBLANK('ENGAGEMENTS 2026'!C196),"",'ENGAGEMENTS 2026'!G196)</f>
        <v/>
      </c>
      <c r="E196">
        <f>IF(ISBLANK('ENGAGEMENTS 2026'!C196),"",'ENGAGEMENTS 2026'!I196)</f>
        <v/>
      </c>
      <c r="F196">
        <f>IF(ISBLANK('ENGAGEMENTS 2026'!C196),"",'ENGAGEMENTS 2026'!J196)</f>
        <v/>
      </c>
      <c r="G196">
        <f>IF(ISBLANK('ENGAGEMENTS 2026'!C196),"",'ENGAGEMENTS 2026'!M196)</f>
        <v/>
      </c>
      <c r="H196">
        <f>IF(ISBLANK('ENGAGEMENTS 2026'!C196),"",'ENGAGEMENTS 2026'!AF196)</f>
        <v/>
      </c>
      <c r="I196">
        <f>IF(ISBLANK('ENGAGEMENTS 2026'!C196),"",'ENGAGEMENTS 2026'!H196)</f>
        <v/>
      </c>
      <c r="J196" s="275">
        <f>IF(ISBLANK('ENGAGEMENTS 2026'!C196),"",IF(AND(OR($E196="INFRUCTUEUX",$E196="ANNULE"),$C196="AOO-M"),'ENGAGEMENTS 2026'!P196,IF($H196="EN COURS DE PREENGAGEMENT",'ENGAGEMENTS 2026'!O196,IF($H196="PREENGAGE",IF($E196="ATTRIBUE",'ENGAGEMENTS 2026'!AE196,'ENGAGEMENTS 2026'!O196),'ENGAGEMENTS 2026'!AE196))))</f>
        <v/>
      </c>
      <c r="K196" s="604">
        <f>IF(ISBLANK('ENGAGEMENTS 2026'!W196),"",'ENGAGEMENTS 2026'!W196)</f>
        <v/>
      </c>
      <c r="L196" s="276">
        <f>IF($K196="","",TODAY()-$K196)</f>
        <v/>
      </c>
      <c r="M196">
        <f>IF($A196="","",IF($H196="ENGAGE","Engagé",IF(AND($H196="NON ENGAGE",OR($I196="INFRUCTUEUX",$I196="ANNULE")),"Clôturé sans suite","En cours")))</f>
        <v/>
      </c>
      <c r="N196">
        <f>IF(ISBLANK('ENGAGEMENTS 2026'!C196),"",'ENGAGEMENTS 2026'!L196)</f>
        <v/>
      </c>
      <c r="O196">
        <f>IF(ISBLANK('ENGAGEMENTS 2026'!C196),"",'ENGAGEMENTS 2026'!M196)</f>
        <v/>
      </c>
      <c r="P196">
        <f>IF(ISBLANK('ENGAGEMENTS 2026'!C196),"",'ENGAGEMENTS 2026'!K196)</f>
        <v/>
      </c>
      <c r="Q196">
        <f>IF($A196="","",IF(OR($E196="INFRUCTUEUX",$E196="ANNULE"),$A196&amp;"|"&amp;(COUNTIFS($A$2:$A196,$A196,$E$2:$E196,"INFRUCTUEUX")+COUNTIFS($A$2:$A196,$A196,$E$2:$E196,"ANNULE")),""))</f>
        <v/>
      </c>
    </row>
    <row r="197">
      <c r="A197">
        <f>IF(ISBLANK('ENGAGEMENTS 2026'!C197),"",IF('ENGAGEMENTS 2026'!C197="DTSI","DCT",'ENGAGEMENTS 2026'!C197))</f>
        <v/>
      </c>
      <c r="B197">
        <f>IF(ISBLANK('ENGAGEMENTS 2026'!C197),"",'ENGAGEMENTS 2026'!D197)</f>
        <v/>
      </c>
      <c r="C197">
        <f>IF(ISBLANK('ENGAGEMENTS 2026'!C197),"",'ENGAGEMENTS 2026'!E197)</f>
        <v/>
      </c>
      <c r="D197">
        <f>IF(ISBLANK('ENGAGEMENTS 2026'!C197),"",'ENGAGEMENTS 2026'!G197)</f>
        <v/>
      </c>
      <c r="E197">
        <f>IF(ISBLANK('ENGAGEMENTS 2026'!C197),"",'ENGAGEMENTS 2026'!I197)</f>
        <v/>
      </c>
      <c r="F197">
        <f>IF(ISBLANK('ENGAGEMENTS 2026'!C197),"",'ENGAGEMENTS 2026'!J197)</f>
        <v/>
      </c>
      <c r="G197">
        <f>IF(ISBLANK('ENGAGEMENTS 2026'!C197),"",'ENGAGEMENTS 2026'!M197)</f>
        <v/>
      </c>
      <c r="H197">
        <f>IF(ISBLANK('ENGAGEMENTS 2026'!C197),"",'ENGAGEMENTS 2026'!AF197)</f>
        <v/>
      </c>
      <c r="I197">
        <f>IF(ISBLANK('ENGAGEMENTS 2026'!C197),"",'ENGAGEMENTS 2026'!H197)</f>
        <v/>
      </c>
      <c r="J197" s="275">
        <f>IF(ISBLANK('ENGAGEMENTS 2026'!C197),"",IF(AND(OR($E197="INFRUCTUEUX",$E197="ANNULE"),$C197="AOO-M"),'ENGAGEMENTS 2026'!P197,IF($H197="EN COURS DE PREENGAGEMENT",'ENGAGEMENTS 2026'!O197,IF($H197="PREENGAGE",IF($E197="ATTRIBUE",'ENGAGEMENTS 2026'!AE197,'ENGAGEMENTS 2026'!O197),'ENGAGEMENTS 2026'!AE197))))</f>
        <v/>
      </c>
      <c r="K197" s="604">
        <f>IF(ISBLANK('ENGAGEMENTS 2026'!W197),"",'ENGAGEMENTS 2026'!W197)</f>
        <v/>
      </c>
      <c r="L197" s="276">
        <f>IF($K197="","",TODAY()-$K197)</f>
        <v/>
      </c>
      <c r="M197">
        <f>IF($A197="","",IF($H197="ENGAGE","Engagé",IF(AND($H197="NON ENGAGE",OR($I197="INFRUCTUEUX",$I197="ANNULE")),"Clôturé sans suite","En cours")))</f>
        <v/>
      </c>
      <c r="N197">
        <f>IF(ISBLANK('ENGAGEMENTS 2026'!C197),"",'ENGAGEMENTS 2026'!L197)</f>
        <v/>
      </c>
      <c r="O197">
        <f>IF(ISBLANK('ENGAGEMENTS 2026'!C197),"",'ENGAGEMENTS 2026'!M197)</f>
        <v/>
      </c>
      <c r="P197">
        <f>IF(ISBLANK('ENGAGEMENTS 2026'!C197),"",'ENGAGEMENTS 2026'!K197)</f>
        <v/>
      </c>
      <c r="Q197">
        <f>IF($A197="","",IF(OR($E197="INFRUCTUEUX",$E197="ANNULE"),$A197&amp;"|"&amp;(COUNTIFS($A$2:$A197,$A197,$E$2:$E197,"INFRUCTUEUX")+COUNTIFS($A$2:$A197,$A197,$E$2:$E197,"ANNULE")),""))</f>
        <v/>
      </c>
    </row>
    <row r="198">
      <c r="A198">
        <f>IF(ISBLANK('ENGAGEMENTS 2026'!C198),"",IF('ENGAGEMENTS 2026'!C198="DTSI","DCT",'ENGAGEMENTS 2026'!C198))</f>
        <v/>
      </c>
      <c r="B198">
        <f>IF(ISBLANK('ENGAGEMENTS 2026'!C198),"",'ENGAGEMENTS 2026'!D198)</f>
        <v/>
      </c>
      <c r="C198">
        <f>IF(ISBLANK('ENGAGEMENTS 2026'!C198),"",'ENGAGEMENTS 2026'!E198)</f>
        <v/>
      </c>
      <c r="D198">
        <f>IF(ISBLANK('ENGAGEMENTS 2026'!C198),"",'ENGAGEMENTS 2026'!G198)</f>
        <v/>
      </c>
      <c r="E198">
        <f>IF(ISBLANK('ENGAGEMENTS 2026'!C198),"",'ENGAGEMENTS 2026'!I198)</f>
        <v/>
      </c>
      <c r="F198">
        <f>IF(ISBLANK('ENGAGEMENTS 2026'!C198),"",'ENGAGEMENTS 2026'!J198)</f>
        <v/>
      </c>
      <c r="G198">
        <f>IF(ISBLANK('ENGAGEMENTS 2026'!C198),"",'ENGAGEMENTS 2026'!M198)</f>
        <v/>
      </c>
      <c r="H198">
        <f>IF(ISBLANK('ENGAGEMENTS 2026'!C198),"",'ENGAGEMENTS 2026'!AF198)</f>
        <v/>
      </c>
      <c r="I198">
        <f>IF(ISBLANK('ENGAGEMENTS 2026'!C198),"",'ENGAGEMENTS 2026'!H198)</f>
        <v/>
      </c>
      <c r="J198" s="275">
        <f>IF(ISBLANK('ENGAGEMENTS 2026'!C198),"",IF(AND(OR($E198="INFRUCTUEUX",$E198="ANNULE"),$C198="AOO-M"),'ENGAGEMENTS 2026'!P198,IF($H198="EN COURS DE PREENGAGEMENT",'ENGAGEMENTS 2026'!O198,IF($H198="PREENGAGE",IF($E198="ATTRIBUE",'ENGAGEMENTS 2026'!AE198,'ENGAGEMENTS 2026'!O198),'ENGAGEMENTS 2026'!AE198))))</f>
        <v/>
      </c>
      <c r="K198" s="604">
        <f>IF(ISBLANK('ENGAGEMENTS 2026'!W198),"",'ENGAGEMENTS 2026'!W198)</f>
        <v/>
      </c>
      <c r="L198" s="276">
        <f>IF($K198="","",TODAY()-$K198)</f>
        <v/>
      </c>
      <c r="M198">
        <f>IF($A198="","",IF($H198="ENGAGE","Engagé",IF(AND($H198="NON ENGAGE",OR($I198="INFRUCTUEUX",$I198="ANNULE")),"Clôturé sans suite","En cours")))</f>
        <v/>
      </c>
      <c r="N198">
        <f>IF(ISBLANK('ENGAGEMENTS 2026'!C198),"",'ENGAGEMENTS 2026'!L198)</f>
        <v/>
      </c>
      <c r="O198">
        <f>IF(ISBLANK('ENGAGEMENTS 2026'!C198),"",'ENGAGEMENTS 2026'!M198)</f>
        <v/>
      </c>
      <c r="P198">
        <f>IF(ISBLANK('ENGAGEMENTS 2026'!C198),"",'ENGAGEMENTS 2026'!K198)</f>
        <v/>
      </c>
      <c r="Q198">
        <f>IF($A198="","",IF(OR($E198="INFRUCTUEUX",$E198="ANNULE"),$A198&amp;"|"&amp;(COUNTIFS($A$2:$A198,$A198,$E$2:$E198,"INFRUCTUEUX")+COUNTIFS($A$2:$A198,$A198,$E$2:$E198,"ANNULE")),""))</f>
        <v/>
      </c>
    </row>
    <row r="199">
      <c r="A199">
        <f>IF(ISBLANK('ENGAGEMENTS 2026'!C199),"",IF('ENGAGEMENTS 2026'!C199="DTSI","DCT",'ENGAGEMENTS 2026'!C199))</f>
        <v/>
      </c>
      <c r="B199">
        <f>IF(ISBLANK('ENGAGEMENTS 2026'!C199),"",'ENGAGEMENTS 2026'!D199)</f>
        <v/>
      </c>
      <c r="C199">
        <f>IF(ISBLANK('ENGAGEMENTS 2026'!C199),"",'ENGAGEMENTS 2026'!E199)</f>
        <v/>
      </c>
      <c r="D199">
        <f>IF(ISBLANK('ENGAGEMENTS 2026'!C199),"",'ENGAGEMENTS 2026'!G199)</f>
        <v/>
      </c>
      <c r="E199">
        <f>IF(ISBLANK('ENGAGEMENTS 2026'!C199),"",'ENGAGEMENTS 2026'!I199)</f>
        <v/>
      </c>
      <c r="F199">
        <f>IF(ISBLANK('ENGAGEMENTS 2026'!C199),"",'ENGAGEMENTS 2026'!J199)</f>
        <v/>
      </c>
      <c r="G199">
        <f>IF(ISBLANK('ENGAGEMENTS 2026'!C199),"",'ENGAGEMENTS 2026'!M199)</f>
        <v/>
      </c>
      <c r="H199">
        <f>IF(ISBLANK('ENGAGEMENTS 2026'!C199),"",'ENGAGEMENTS 2026'!AF199)</f>
        <v/>
      </c>
      <c r="I199">
        <f>IF(ISBLANK('ENGAGEMENTS 2026'!C199),"",'ENGAGEMENTS 2026'!H199)</f>
        <v/>
      </c>
      <c r="J199" s="275">
        <f>IF(ISBLANK('ENGAGEMENTS 2026'!C199),"",IF(AND(OR($E199="INFRUCTUEUX",$E199="ANNULE"),$C199="AOO-M"),'ENGAGEMENTS 2026'!P199,IF($H199="EN COURS DE PREENGAGEMENT",'ENGAGEMENTS 2026'!O199,IF($H199="PREENGAGE",IF($E199="ATTRIBUE",'ENGAGEMENTS 2026'!AE199,'ENGAGEMENTS 2026'!O199),'ENGAGEMENTS 2026'!AE199))))</f>
        <v/>
      </c>
      <c r="K199" s="604">
        <f>IF(ISBLANK('ENGAGEMENTS 2026'!W199),"",'ENGAGEMENTS 2026'!W199)</f>
        <v/>
      </c>
      <c r="L199" s="276">
        <f>IF($K199="","",TODAY()-$K199)</f>
        <v/>
      </c>
      <c r="M199">
        <f>IF($A199="","",IF($H199="ENGAGE","Engagé",IF(AND($H199="NON ENGAGE",OR($I199="INFRUCTUEUX",$I199="ANNULE")),"Clôturé sans suite","En cours")))</f>
        <v/>
      </c>
      <c r="N199">
        <f>IF(ISBLANK('ENGAGEMENTS 2026'!C199),"",'ENGAGEMENTS 2026'!L199)</f>
        <v/>
      </c>
      <c r="O199">
        <f>IF(ISBLANK('ENGAGEMENTS 2026'!C199),"",'ENGAGEMENTS 2026'!M199)</f>
        <v/>
      </c>
      <c r="P199">
        <f>IF(ISBLANK('ENGAGEMENTS 2026'!C199),"",'ENGAGEMENTS 2026'!K199)</f>
        <v/>
      </c>
      <c r="Q199">
        <f>IF($A199="","",IF(OR($E199="INFRUCTUEUX",$E199="ANNULE"),$A199&amp;"|"&amp;(COUNTIFS($A$2:$A199,$A199,$E$2:$E199,"INFRUCTUEUX")+COUNTIFS($A$2:$A199,$A199,$E$2:$E199,"ANNULE")),""))</f>
        <v/>
      </c>
    </row>
    <row r="200">
      <c r="A200">
        <f>IF(ISBLANK('ENGAGEMENTS 2026'!C200),"",IF('ENGAGEMENTS 2026'!C200="DTSI","DCT",'ENGAGEMENTS 2026'!C200))</f>
        <v/>
      </c>
      <c r="B200">
        <f>IF(ISBLANK('ENGAGEMENTS 2026'!C200),"",'ENGAGEMENTS 2026'!D200)</f>
        <v/>
      </c>
      <c r="C200">
        <f>IF(ISBLANK('ENGAGEMENTS 2026'!C200),"",'ENGAGEMENTS 2026'!E200)</f>
        <v/>
      </c>
      <c r="D200">
        <f>IF(ISBLANK('ENGAGEMENTS 2026'!C200),"",'ENGAGEMENTS 2026'!G200)</f>
        <v/>
      </c>
      <c r="E200">
        <f>IF(ISBLANK('ENGAGEMENTS 2026'!C200),"",'ENGAGEMENTS 2026'!I200)</f>
        <v/>
      </c>
      <c r="F200">
        <f>IF(ISBLANK('ENGAGEMENTS 2026'!C200),"",'ENGAGEMENTS 2026'!J200)</f>
        <v/>
      </c>
      <c r="G200">
        <f>IF(ISBLANK('ENGAGEMENTS 2026'!C200),"",'ENGAGEMENTS 2026'!M200)</f>
        <v/>
      </c>
      <c r="H200">
        <f>IF(ISBLANK('ENGAGEMENTS 2026'!C200),"",'ENGAGEMENTS 2026'!AF200)</f>
        <v/>
      </c>
      <c r="I200">
        <f>IF(ISBLANK('ENGAGEMENTS 2026'!C200),"",'ENGAGEMENTS 2026'!H200)</f>
        <v/>
      </c>
      <c r="J200" s="275">
        <f>IF(ISBLANK('ENGAGEMENTS 2026'!C200),"",IF(AND(OR($E200="INFRUCTUEUX",$E200="ANNULE"),$C200="AOO-M"),'ENGAGEMENTS 2026'!P200,IF($H200="EN COURS DE PREENGAGEMENT",'ENGAGEMENTS 2026'!O200,IF($H200="PREENGAGE",IF($E200="ATTRIBUE",'ENGAGEMENTS 2026'!AE200,'ENGAGEMENTS 2026'!O200),'ENGAGEMENTS 2026'!AE200))))</f>
        <v/>
      </c>
      <c r="K200" s="604">
        <f>IF(ISBLANK('ENGAGEMENTS 2026'!W200),"",'ENGAGEMENTS 2026'!W200)</f>
        <v/>
      </c>
      <c r="L200" s="276">
        <f>IF($K200="","",TODAY()-$K200)</f>
        <v/>
      </c>
      <c r="M200">
        <f>IF($A200="","",IF($H200="ENGAGE","Engagé",IF(AND($H200="NON ENGAGE",OR($I200="INFRUCTUEUX",$I200="ANNULE")),"Clôturé sans suite","En cours")))</f>
        <v/>
      </c>
      <c r="N200">
        <f>IF(ISBLANK('ENGAGEMENTS 2026'!C200),"",'ENGAGEMENTS 2026'!L200)</f>
        <v/>
      </c>
      <c r="O200">
        <f>IF(ISBLANK('ENGAGEMENTS 2026'!C200),"",'ENGAGEMENTS 2026'!M200)</f>
        <v/>
      </c>
      <c r="P200">
        <f>IF(ISBLANK('ENGAGEMENTS 2026'!C200),"",'ENGAGEMENTS 2026'!K200)</f>
        <v/>
      </c>
      <c r="Q200">
        <f>IF($A200="","",IF(OR($E200="INFRUCTUEUX",$E200="ANNULE"),$A200&amp;"|"&amp;(COUNTIFS($A$2:$A200,$A200,$E$2:$E200,"INFRUCTUEUX")+COUNTIFS($A$2:$A200,$A200,$E$2:$E200,"ANNULE")),""))</f>
        <v/>
      </c>
    </row>
    <row r="201">
      <c r="A201">
        <f>IF(ISBLANK('ENGAGEMENTS 2026'!C201),"",IF('ENGAGEMENTS 2026'!C201="DTSI","DCT",'ENGAGEMENTS 2026'!C201))</f>
        <v/>
      </c>
      <c r="B201">
        <f>IF(ISBLANK('ENGAGEMENTS 2026'!C201),"",'ENGAGEMENTS 2026'!D201)</f>
        <v/>
      </c>
      <c r="C201">
        <f>IF(ISBLANK('ENGAGEMENTS 2026'!C201),"",'ENGAGEMENTS 2026'!E201)</f>
        <v/>
      </c>
      <c r="D201">
        <f>IF(ISBLANK('ENGAGEMENTS 2026'!C201),"",'ENGAGEMENTS 2026'!G201)</f>
        <v/>
      </c>
      <c r="E201">
        <f>IF(ISBLANK('ENGAGEMENTS 2026'!C201),"",'ENGAGEMENTS 2026'!I201)</f>
        <v/>
      </c>
      <c r="F201">
        <f>IF(ISBLANK('ENGAGEMENTS 2026'!C201),"",'ENGAGEMENTS 2026'!J201)</f>
        <v/>
      </c>
      <c r="G201">
        <f>IF(ISBLANK('ENGAGEMENTS 2026'!C201),"",'ENGAGEMENTS 2026'!M201)</f>
        <v/>
      </c>
      <c r="H201">
        <f>IF(ISBLANK('ENGAGEMENTS 2026'!C201),"",'ENGAGEMENTS 2026'!AF201)</f>
        <v/>
      </c>
      <c r="I201">
        <f>IF(ISBLANK('ENGAGEMENTS 2026'!C201),"",'ENGAGEMENTS 2026'!H201)</f>
        <v/>
      </c>
      <c r="J201" s="275">
        <f>IF(ISBLANK('ENGAGEMENTS 2026'!C201),"",IF(AND(OR($E201="INFRUCTUEUX",$E201="ANNULE"),$C201="AOO-M"),'ENGAGEMENTS 2026'!P201,IF($H201="EN COURS DE PREENGAGEMENT",'ENGAGEMENTS 2026'!O201,IF($H201="PREENGAGE",IF($E201="ATTRIBUE",'ENGAGEMENTS 2026'!AE201,'ENGAGEMENTS 2026'!O201),'ENGAGEMENTS 2026'!AE201))))</f>
        <v/>
      </c>
      <c r="K201" s="604">
        <f>IF(ISBLANK('ENGAGEMENTS 2026'!W201),"",'ENGAGEMENTS 2026'!W201)</f>
        <v/>
      </c>
      <c r="L201" s="276">
        <f>IF($K201="","",TODAY()-$K201)</f>
        <v/>
      </c>
      <c r="M201">
        <f>IF($A201="","",IF($H201="ENGAGE","Engagé",IF(AND($H201="NON ENGAGE",OR($I201="INFRUCTUEUX",$I201="ANNULE")),"Clôturé sans suite","En cours")))</f>
        <v/>
      </c>
      <c r="N201">
        <f>IF(ISBLANK('ENGAGEMENTS 2026'!C201),"",'ENGAGEMENTS 2026'!L201)</f>
        <v/>
      </c>
      <c r="O201">
        <f>IF(ISBLANK('ENGAGEMENTS 2026'!C201),"",'ENGAGEMENTS 2026'!M201)</f>
        <v/>
      </c>
      <c r="P201">
        <f>IF(ISBLANK('ENGAGEMENTS 2026'!C201),"",'ENGAGEMENTS 2026'!K201)</f>
        <v/>
      </c>
      <c r="Q201">
        <f>IF($A201="","",IF(OR($E201="INFRUCTUEUX",$E201="ANNULE"),$A201&amp;"|"&amp;(COUNTIFS($A$2:$A201,$A201,$E$2:$E201,"INFRUCTUEUX")+COUNTIFS($A$2:$A201,$A201,$E$2:$E201,"ANNULE")),""))</f>
        <v/>
      </c>
    </row>
    <row r="202">
      <c r="A202">
        <f>IF(ISBLANK('ENGAGEMENTS 2026'!C202),"",IF('ENGAGEMENTS 2026'!C202="DTSI","DCT",'ENGAGEMENTS 2026'!C202))</f>
        <v/>
      </c>
      <c r="B202">
        <f>IF(ISBLANK('ENGAGEMENTS 2026'!C202),"",'ENGAGEMENTS 2026'!D202)</f>
        <v/>
      </c>
      <c r="C202">
        <f>IF(ISBLANK('ENGAGEMENTS 2026'!C202),"",'ENGAGEMENTS 2026'!E202)</f>
        <v/>
      </c>
      <c r="D202">
        <f>IF(ISBLANK('ENGAGEMENTS 2026'!C202),"",'ENGAGEMENTS 2026'!G202)</f>
        <v/>
      </c>
      <c r="E202">
        <f>IF(ISBLANK('ENGAGEMENTS 2026'!C202),"",'ENGAGEMENTS 2026'!I202)</f>
        <v/>
      </c>
      <c r="F202">
        <f>IF(ISBLANK('ENGAGEMENTS 2026'!C202),"",'ENGAGEMENTS 2026'!J202)</f>
        <v/>
      </c>
      <c r="G202">
        <f>IF(ISBLANK('ENGAGEMENTS 2026'!C202),"",'ENGAGEMENTS 2026'!M202)</f>
        <v/>
      </c>
      <c r="H202">
        <f>IF(ISBLANK('ENGAGEMENTS 2026'!C202),"",'ENGAGEMENTS 2026'!AF202)</f>
        <v/>
      </c>
      <c r="I202">
        <f>IF(ISBLANK('ENGAGEMENTS 2026'!C202),"",'ENGAGEMENTS 2026'!H202)</f>
        <v/>
      </c>
      <c r="J202" s="275">
        <f>IF(ISBLANK('ENGAGEMENTS 2026'!C202),"",IF(AND(OR($E202="INFRUCTUEUX",$E202="ANNULE"),$C202="AOO-M"),'ENGAGEMENTS 2026'!P202,IF($H202="EN COURS DE PREENGAGEMENT",'ENGAGEMENTS 2026'!O202,IF($H202="PREENGAGE",IF($E202="ATTRIBUE",'ENGAGEMENTS 2026'!AE202,'ENGAGEMENTS 2026'!O202),'ENGAGEMENTS 2026'!AE202))))</f>
        <v/>
      </c>
      <c r="K202" s="604">
        <f>IF(ISBLANK('ENGAGEMENTS 2026'!W202),"",'ENGAGEMENTS 2026'!W202)</f>
        <v/>
      </c>
      <c r="L202" s="276">
        <f>IF($K202="","",TODAY()-$K202)</f>
        <v/>
      </c>
      <c r="M202">
        <f>IF($A202="","",IF($H202="ENGAGE","Engagé",IF(AND($H202="NON ENGAGE",OR($I202="INFRUCTUEUX",$I202="ANNULE")),"Clôturé sans suite","En cours")))</f>
        <v/>
      </c>
      <c r="N202">
        <f>IF(ISBLANK('ENGAGEMENTS 2026'!C202),"",'ENGAGEMENTS 2026'!L202)</f>
        <v/>
      </c>
      <c r="O202">
        <f>IF(ISBLANK('ENGAGEMENTS 2026'!C202),"",'ENGAGEMENTS 2026'!M202)</f>
        <v/>
      </c>
      <c r="P202">
        <f>IF(ISBLANK('ENGAGEMENTS 2026'!C202),"",'ENGAGEMENTS 2026'!K202)</f>
        <v/>
      </c>
      <c r="Q202">
        <f>IF($A202="","",IF(OR($E202="INFRUCTUEUX",$E202="ANNULE"),$A202&amp;"|"&amp;(COUNTIFS($A$2:$A202,$A202,$E$2:$E202,"INFRUCTUEUX")+COUNTIFS($A$2:$A202,$A202,$E$2:$E202,"ANNULE")),""))</f>
        <v/>
      </c>
    </row>
    <row r="203">
      <c r="A203">
        <f>IF(ISBLANK('ENGAGEMENTS 2026'!C203),"",IF('ENGAGEMENTS 2026'!C203="DTSI","DCT",'ENGAGEMENTS 2026'!C203))</f>
        <v/>
      </c>
      <c r="B203">
        <f>IF(ISBLANK('ENGAGEMENTS 2026'!C203),"",'ENGAGEMENTS 2026'!D203)</f>
        <v/>
      </c>
      <c r="C203">
        <f>IF(ISBLANK('ENGAGEMENTS 2026'!C203),"",'ENGAGEMENTS 2026'!E203)</f>
        <v/>
      </c>
      <c r="D203">
        <f>IF(ISBLANK('ENGAGEMENTS 2026'!C203),"",'ENGAGEMENTS 2026'!G203)</f>
        <v/>
      </c>
      <c r="E203">
        <f>IF(ISBLANK('ENGAGEMENTS 2026'!C203),"",'ENGAGEMENTS 2026'!I203)</f>
        <v/>
      </c>
      <c r="F203">
        <f>IF(ISBLANK('ENGAGEMENTS 2026'!C203),"",'ENGAGEMENTS 2026'!J203)</f>
        <v/>
      </c>
      <c r="G203">
        <f>IF(ISBLANK('ENGAGEMENTS 2026'!C203),"",'ENGAGEMENTS 2026'!M203)</f>
        <v/>
      </c>
      <c r="H203">
        <f>IF(ISBLANK('ENGAGEMENTS 2026'!C203),"",'ENGAGEMENTS 2026'!AF203)</f>
        <v/>
      </c>
      <c r="I203">
        <f>IF(ISBLANK('ENGAGEMENTS 2026'!C203),"",'ENGAGEMENTS 2026'!H203)</f>
        <v/>
      </c>
      <c r="J203" s="275">
        <f>IF(ISBLANK('ENGAGEMENTS 2026'!C203),"",IF(AND(OR($E203="INFRUCTUEUX",$E203="ANNULE"),$C203="AOO-M"),'ENGAGEMENTS 2026'!P203,IF($H203="EN COURS DE PREENGAGEMENT",'ENGAGEMENTS 2026'!O203,IF($H203="PREENGAGE",IF($E203="ATTRIBUE",'ENGAGEMENTS 2026'!AE203,'ENGAGEMENTS 2026'!O203),'ENGAGEMENTS 2026'!AE203))))</f>
        <v/>
      </c>
      <c r="K203" s="604">
        <f>IF(ISBLANK('ENGAGEMENTS 2026'!W203),"",'ENGAGEMENTS 2026'!W203)</f>
        <v/>
      </c>
      <c r="L203" s="276">
        <f>IF($K203="","",TODAY()-$K203)</f>
        <v/>
      </c>
      <c r="M203">
        <f>IF($A203="","",IF($H203="ENGAGE","Engagé",IF(AND($H203="NON ENGAGE",OR($I203="INFRUCTUEUX",$I203="ANNULE")),"Clôturé sans suite","En cours")))</f>
        <v/>
      </c>
      <c r="N203">
        <f>IF(ISBLANK('ENGAGEMENTS 2026'!C203),"",'ENGAGEMENTS 2026'!L203)</f>
        <v/>
      </c>
      <c r="O203">
        <f>IF(ISBLANK('ENGAGEMENTS 2026'!C203),"",'ENGAGEMENTS 2026'!M203)</f>
        <v/>
      </c>
      <c r="P203">
        <f>IF(ISBLANK('ENGAGEMENTS 2026'!C203),"",'ENGAGEMENTS 2026'!K203)</f>
        <v/>
      </c>
      <c r="Q203">
        <f>IF($A203="","",IF(OR($E203="INFRUCTUEUX",$E203="ANNULE"),$A203&amp;"|"&amp;(COUNTIFS($A$2:$A203,$A203,$E$2:$E203,"INFRUCTUEUX")+COUNTIFS($A$2:$A203,$A203,$E$2:$E203,"ANNULE")),""))</f>
        <v/>
      </c>
    </row>
    <row r="204">
      <c r="A204">
        <f>IF(ISBLANK('ENGAGEMENTS 2026'!C204),"",IF('ENGAGEMENTS 2026'!C204="DTSI","DCT",'ENGAGEMENTS 2026'!C204))</f>
        <v/>
      </c>
      <c r="B204">
        <f>IF(ISBLANK('ENGAGEMENTS 2026'!C204),"",'ENGAGEMENTS 2026'!D204)</f>
        <v/>
      </c>
      <c r="C204">
        <f>IF(ISBLANK('ENGAGEMENTS 2026'!C204),"",'ENGAGEMENTS 2026'!E204)</f>
        <v/>
      </c>
      <c r="D204">
        <f>IF(ISBLANK('ENGAGEMENTS 2026'!C204),"",'ENGAGEMENTS 2026'!G204)</f>
        <v/>
      </c>
      <c r="E204">
        <f>IF(ISBLANK('ENGAGEMENTS 2026'!C204),"",'ENGAGEMENTS 2026'!I204)</f>
        <v/>
      </c>
      <c r="F204">
        <f>IF(ISBLANK('ENGAGEMENTS 2026'!C204),"",'ENGAGEMENTS 2026'!J204)</f>
        <v/>
      </c>
      <c r="G204">
        <f>IF(ISBLANK('ENGAGEMENTS 2026'!C204),"",'ENGAGEMENTS 2026'!M204)</f>
        <v/>
      </c>
      <c r="H204">
        <f>IF(ISBLANK('ENGAGEMENTS 2026'!C204),"",'ENGAGEMENTS 2026'!AF204)</f>
        <v/>
      </c>
      <c r="I204">
        <f>IF(ISBLANK('ENGAGEMENTS 2026'!C204),"",'ENGAGEMENTS 2026'!H204)</f>
        <v/>
      </c>
      <c r="J204" s="275">
        <f>IF(ISBLANK('ENGAGEMENTS 2026'!C204),"",IF(AND(OR($E204="INFRUCTUEUX",$E204="ANNULE"),$C204="AOO-M"),'ENGAGEMENTS 2026'!P204,IF($H204="EN COURS DE PREENGAGEMENT",'ENGAGEMENTS 2026'!O204,IF($H204="PREENGAGE",IF($E204="ATTRIBUE",'ENGAGEMENTS 2026'!AE204,'ENGAGEMENTS 2026'!O204),'ENGAGEMENTS 2026'!AE204))))</f>
        <v/>
      </c>
      <c r="K204" s="604">
        <f>IF(ISBLANK('ENGAGEMENTS 2026'!W204),"",'ENGAGEMENTS 2026'!W204)</f>
        <v/>
      </c>
      <c r="L204" s="276">
        <f>IF($K204="","",TODAY()-$K204)</f>
        <v/>
      </c>
      <c r="M204">
        <f>IF($A204="","",IF($H204="ENGAGE","Engagé",IF(AND($H204="NON ENGAGE",OR($I204="INFRUCTUEUX",$I204="ANNULE")),"Clôturé sans suite","En cours")))</f>
        <v/>
      </c>
      <c r="N204">
        <f>IF(ISBLANK('ENGAGEMENTS 2026'!C204),"",'ENGAGEMENTS 2026'!L204)</f>
        <v/>
      </c>
      <c r="O204">
        <f>IF(ISBLANK('ENGAGEMENTS 2026'!C204),"",'ENGAGEMENTS 2026'!M204)</f>
        <v/>
      </c>
      <c r="P204">
        <f>IF(ISBLANK('ENGAGEMENTS 2026'!C204),"",'ENGAGEMENTS 2026'!K204)</f>
        <v/>
      </c>
      <c r="Q204">
        <f>IF($A204="","",IF(OR($E204="INFRUCTUEUX",$E204="ANNULE"),$A204&amp;"|"&amp;(COUNTIFS($A$2:$A204,$A204,$E$2:$E204,"INFRUCTUEUX")+COUNTIFS($A$2:$A204,$A204,$E$2:$E204,"ANNULE")),""))</f>
        <v/>
      </c>
    </row>
    <row r="205">
      <c r="A205">
        <f>IF(ISBLANK('ENGAGEMENTS 2026'!C205),"",IF('ENGAGEMENTS 2026'!C205="DTSI","DCT",'ENGAGEMENTS 2026'!C205))</f>
        <v/>
      </c>
      <c r="B205">
        <f>IF(ISBLANK('ENGAGEMENTS 2026'!C205),"",'ENGAGEMENTS 2026'!D205)</f>
        <v/>
      </c>
      <c r="C205">
        <f>IF(ISBLANK('ENGAGEMENTS 2026'!C205),"",'ENGAGEMENTS 2026'!E205)</f>
        <v/>
      </c>
      <c r="D205">
        <f>IF(ISBLANK('ENGAGEMENTS 2026'!C205),"",'ENGAGEMENTS 2026'!G205)</f>
        <v/>
      </c>
      <c r="E205">
        <f>IF(ISBLANK('ENGAGEMENTS 2026'!C205),"",'ENGAGEMENTS 2026'!I205)</f>
        <v/>
      </c>
      <c r="F205">
        <f>IF(ISBLANK('ENGAGEMENTS 2026'!C205),"",'ENGAGEMENTS 2026'!J205)</f>
        <v/>
      </c>
      <c r="G205">
        <f>IF(ISBLANK('ENGAGEMENTS 2026'!C205),"",'ENGAGEMENTS 2026'!M205)</f>
        <v/>
      </c>
      <c r="H205">
        <f>IF(ISBLANK('ENGAGEMENTS 2026'!C205),"",'ENGAGEMENTS 2026'!AF205)</f>
        <v/>
      </c>
      <c r="I205">
        <f>IF(ISBLANK('ENGAGEMENTS 2026'!C205),"",'ENGAGEMENTS 2026'!H205)</f>
        <v/>
      </c>
      <c r="J205" s="275">
        <f>IF(ISBLANK('ENGAGEMENTS 2026'!C205),"",IF(AND(OR($E205="INFRUCTUEUX",$E205="ANNULE"),$C205="AOO-M"),'ENGAGEMENTS 2026'!P205,IF($H205="EN COURS DE PREENGAGEMENT",'ENGAGEMENTS 2026'!O205,IF($H205="PREENGAGE",IF($E205="ATTRIBUE",'ENGAGEMENTS 2026'!AE205,'ENGAGEMENTS 2026'!O205),'ENGAGEMENTS 2026'!AE205))))</f>
        <v/>
      </c>
      <c r="K205" s="604">
        <f>IF(ISBLANK('ENGAGEMENTS 2026'!W205),"",'ENGAGEMENTS 2026'!W205)</f>
        <v/>
      </c>
      <c r="L205" s="276">
        <f>IF($K205="","",TODAY()-$K205)</f>
        <v/>
      </c>
      <c r="M205">
        <f>IF($A205="","",IF($H205="ENGAGE","Engagé",IF(AND($H205="NON ENGAGE",OR($I205="INFRUCTUEUX",$I205="ANNULE")),"Clôturé sans suite","En cours")))</f>
        <v/>
      </c>
      <c r="N205">
        <f>IF(ISBLANK('ENGAGEMENTS 2026'!C205),"",'ENGAGEMENTS 2026'!L205)</f>
        <v/>
      </c>
      <c r="O205">
        <f>IF(ISBLANK('ENGAGEMENTS 2026'!C205),"",'ENGAGEMENTS 2026'!M205)</f>
        <v/>
      </c>
      <c r="P205">
        <f>IF(ISBLANK('ENGAGEMENTS 2026'!C205),"",'ENGAGEMENTS 2026'!K205)</f>
        <v/>
      </c>
      <c r="Q205">
        <f>IF($A205="","",IF(OR($E205="INFRUCTUEUX",$E205="ANNULE"),$A205&amp;"|"&amp;(COUNTIFS($A$2:$A205,$A205,$E$2:$E205,"INFRUCTUEUX")+COUNTIFS($A$2:$A205,$A205,$E$2:$E205,"ANNULE")),""))</f>
        <v/>
      </c>
    </row>
    <row r="206">
      <c r="A206">
        <f>IF(ISBLANK('ENGAGEMENTS 2026'!C206),"",IF('ENGAGEMENTS 2026'!C206="DTSI","DCT",'ENGAGEMENTS 2026'!C206))</f>
        <v/>
      </c>
      <c r="B206">
        <f>IF(ISBLANK('ENGAGEMENTS 2026'!C206),"",'ENGAGEMENTS 2026'!D206)</f>
        <v/>
      </c>
      <c r="C206">
        <f>IF(ISBLANK('ENGAGEMENTS 2026'!C206),"",'ENGAGEMENTS 2026'!E206)</f>
        <v/>
      </c>
      <c r="D206">
        <f>IF(ISBLANK('ENGAGEMENTS 2026'!C206),"",'ENGAGEMENTS 2026'!G206)</f>
        <v/>
      </c>
      <c r="E206">
        <f>IF(ISBLANK('ENGAGEMENTS 2026'!C206),"",'ENGAGEMENTS 2026'!I206)</f>
        <v/>
      </c>
      <c r="F206">
        <f>IF(ISBLANK('ENGAGEMENTS 2026'!C206),"",'ENGAGEMENTS 2026'!J206)</f>
        <v/>
      </c>
      <c r="G206">
        <f>IF(ISBLANK('ENGAGEMENTS 2026'!C206),"",'ENGAGEMENTS 2026'!M206)</f>
        <v/>
      </c>
      <c r="H206">
        <f>IF(ISBLANK('ENGAGEMENTS 2026'!C206),"",'ENGAGEMENTS 2026'!AF206)</f>
        <v/>
      </c>
      <c r="I206">
        <f>IF(ISBLANK('ENGAGEMENTS 2026'!C206),"",'ENGAGEMENTS 2026'!H206)</f>
        <v/>
      </c>
      <c r="J206" s="275">
        <f>IF(ISBLANK('ENGAGEMENTS 2026'!C206),"",IF(AND(OR($E206="INFRUCTUEUX",$E206="ANNULE"),$C206="AOO-M"),'ENGAGEMENTS 2026'!P206,IF($H206="EN COURS DE PREENGAGEMENT",'ENGAGEMENTS 2026'!O206,IF($H206="PREENGAGE",IF($E206="ATTRIBUE",'ENGAGEMENTS 2026'!AE206,'ENGAGEMENTS 2026'!O206),'ENGAGEMENTS 2026'!AE206))))</f>
        <v/>
      </c>
      <c r="K206" s="604">
        <f>IF(ISBLANK('ENGAGEMENTS 2026'!W206),"",'ENGAGEMENTS 2026'!W206)</f>
        <v/>
      </c>
      <c r="L206" s="276">
        <f>IF($K206="","",TODAY()-$K206)</f>
        <v/>
      </c>
      <c r="M206">
        <f>IF($A206="","",IF($H206="ENGAGE","Engagé",IF(AND($H206="NON ENGAGE",OR($I206="INFRUCTUEUX",$I206="ANNULE")),"Clôturé sans suite","En cours")))</f>
        <v/>
      </c>
      <c r="N206">
        <f>IF(ISBLANK('ENGAGEMENTS 2026'!C206),"",'ENGAGEMENTS 2026'!L206)</f>
        <v/>
      </c>
      <c r="O206">
        <f>IF(ISBLANK('ENGAGEMENTS 2026'!C206),"",'ENGAGEMENTS 2026'!M206)</f>
        <v/>
      </c>
      <c r="P206">
        <f>IF(ISBLANK('ENGAGEMENTS 2026'!C206),"",'ENGAGEMENTS 2026'!K206)</f>
        <v/>
      </c>
      <c r="Q206">
        <f>IF($A206="","",IF(OR($E206="INFRUCTUEUX",$E206="ANNULE"),$A206&amp;"|"&amp;(COUNTIFS($A$2:$A206,$A206,$E$2:$E206,"INFRUCTUEUX")+COUNTIFS($A$2:$A206,$A206,$E$2:$E206,"ANNULE")),""))</f>
        <v/>
      </c>
    </row>
    <row r="207">
      <c r="A207">
        <f>IF(ISBLANK('ENGAGEMENTS 2026'!C207),"",IF('ENGAGEMENTS 2026'!C207="DTSI","DCT",'ENGAGEMENTS 2026'!C207))</f>
        <v/>
      </c>
      <c r="B207">
        <f>IF(ISBLANK('ENGAGEMENTS 2026'!C207),"",'ENGAGEMENTS 2026'!D207)</f>
        <v/>
      </c>
      <c r="C207">
        <f>IF(ISBLANK('ENGAGEMENTS 2026'!C207),"",'ENGAGEMENTS 2026'!E207)</f>
        <v/>
      </c>
      <c r="D207">
        <f>IF(ISBLANK('ENGAGEMENTS 2026'!C207),"",'ENGAGEMENTS 2026'!G207)</f>
        <v/>
      </c>
      <c r="E207">
        <f>IF(ISBLANK('ENGAGEMENTS 2026'!C207),"",'ENGAGEMENTS 2026'!I207)</f>
        <v/>
      </c>
      <c r="F207">
        <f>IF(ISBLANK('ENGAGEMENTS 2026'!C207),"",'ENGAGEMENTS 2026'!J207)</f>
        <v/>
      </c>
      <c r="G207">
        <f>IF(ISBLANK('ENGAGEMENTS 2026'!C207),"",'ENGAGEMENTS 2026'!M207)</f>
        <v/>
      </c>
      <c r="H207">
        <f>IF(ISBLANK('ENGAGEMENTS 2026'!C207),"",'ENGAGEMENTS 2026'!AF207)</f>
        <v/>
      </c>
      <c r="I207">
        <f>IF(ISBLANK('ENGAGEMENTS 2026'!C207),"",'ENGAGEMENTS 2026'!H207)</f>
        <v/>
      </c>
      <c r="J207" s="275">
        <f>IF(ISBLANK('ENGAGEMENTS 2026'!C207),"",IF(AND(OR($E207="INFRUCTUEUX",$E207="ANNULE"),$C207="AOO-M"),'ENGAGEMENTS 2026'!P207,IF($H207="EN COURS DE PREENGAGEMENT",'ENGAGEMENTS 2026'!O207,IF($H207="PREENGAGE",IF($E207="ATTRIBUE",'ENGAGEMENTS 2026'!AE207,'ENGAGEMENTS 2026'!O207),'ENGAGEMENTS 2026'!AE207))))</f>
        <v/>
      </c>
      <c r="K207" s="604">
        <f>IF(ISBLANK('ENGAGEMENTS 2026'!W207),"",'ENGAGEMENTS 2026'!W207)</f>
        <v/>
      </c>
      <c r="L207" s="276">
        <f>IF($K207="","",TODAY()-$K207)</f>
        <v/>
      </c>
      <c r="M207">
        <f>IF($A207="","",IF($H207="ENGAGE","Engagé",IF(AND($H207="NON ENGAGE",OR($I207="INFRUCTUEUX",$I207="ANNULE")),"Clôturé sans suite","En cours")))</f>
        <v/>
      </c>
      <c r="N207">
        <f>IF(ISBLANK('ENGAGEMENTS 2026'!C207),"",'ENGAGEMENTS 2026'!L207)</f>
        <v/>
      </c>
      <c r="O207">
        <f>IF(ISBLANK('ENGAGEMENTS 2026'!C207),"",'ENGAGEMENTS 2026'!M207)</f>
        <v/>
      </c>
      <c r="P207">
        <f>IF(ISBLANK('ENGAGEMENTS 2026'!C207),"",'ENGAGEMENTS 2026'!K207)</f>
        <v/>
      </c>
      <c r="Q207">
        <f>IF($A207="","",IF(OR($E207="INFRUCTUEUX",$E207="ANNULE"),$A207&amp;"|"&amp;(COUNTIFS($A$2:$A207,$A207,$E$2:$E207,"INFRUCTUEUX")+COUNTIFS($A$2:$A207,$A207,$E$2:$E207,"ANNULE")),""))</f>
        <v/>
      </c>
    </row>
    <row r="208">
      <c r="A208">
        <f>IF(ISBLANK('ENGAGEMENTS 2026'!C208),"",IF('ENGAGEMENTS 2026'!C208="DTSI","DCT",'ENGAGEMENTS 2026'!C208))</f>
        <v/>
      </c>
      <c r="B208">
        <f>IF(ISBLANK('ENGAGEMENTS 2026'!C208),"",'ENGAGEMENTS 2026'!D208)</f>
        <v/>
      </c>
      <c r="C208">
        <f>IF(ISBLANK('ENGAGEMENTS 2026'!C208),"",'ENGAGEMENTS 2026'!E208)</f>
        <v/>
      </c>
      <c r="D208">
        <f>IF(ISBLANK('ENGAGEMENTS 2026'!C208),"",'ENGAGEMENTS 2026'!G208)</f>
        <v/>
      </c>
      <c r="E208">
        <f>IF(ISBLANK('ENGAGEMENTS 2026'!C208),"",'ENGAGEMENTS 2026'!I208)</f>
        <v/>
      </c>
      <c r="F208">
        <f>IF(ISBLANK('ENGAGEMENTS 2026'!C208),"",'ENGAGEMENTS 2026'!J208)</f>
        <v/>
      </c>
      <c r="G208">
        <f>IF(ISBLANK('ENGAGEMENTS 2026'!C208),"",'ENGAGEMENTS 2026'!M208)</f>
        <v/>
      </c>
      <c r="H208">
        <f>IF(ISBLANK('ENGAGEMENTS 2026'!C208),"",'ENGAGEMENTS 2026'!AF208)</f>
        <v/>
      </c>
      <c r="I208">
        <f>IF(ISBLANK('ENGAGEMENTS 2026'!C208),"",'ENGAGEMENTS 2026'!H208)</f>
        <v/>
      </c>
      <c r="J208" s="275">
        <f>IF(ISBLANK('ENGAGEMENTS 2026'!C208),"",IF(AND(OR($E208="INFRUCTUEUX",$E208="ANNULE"),$C208="AOO-M"),'ENGAGEMENTS 2026'!P208,IF($H208="EN COURS DE PREENGAGEMENT",'ENGAGEMENTS 2026'!O208,IF($H208="PREENGAGE",IF($E208="ATTRIBUE",'ENGAGEMENTS 2026'!AE208,'ENGAGEMENTS 2026'!O208),'ENGAGEMENTS 2026'!AE208))))</f>
        <v/>
      </c>
      <c r="K208" s="604">
        <f>IF(ISBLANK('ENGAGEMENTS 2026'!W208),"",'ENGAGEMENTS 2026'!W208)</f>
        <v/>
      </c>
      <c r="L208" s="276">
        <f>IF($K208="","",TODAY()-$K208)</f>
        <v/>
      </c>
      <c r="M208">
        <f>IF($A208="","",IF($H208="ENGAGE","Engagé",IF(AND($H208="NON ENGAGE",OR($I208="INFRUCTUEUX",$I208="ANNULE")),"Clôturé sans suite","En cours")))</f>
        <v/>
      </c>
      <c r="N208">
        <f>IF(ISBLANK('ENGAGEMENTS 2026'!C208),"",'ENGAGEMENTS 2026'!L208)</f>
        <v/>
      </c>
      <c r="O208">
        <f>IF(ISBLANK('ENGAGEMENTS 2026'!C208),"",'ENGAGEMENTS 2026'!M208)</f>
        <v/>
      </c>
      <c r="P208">
        <f>IF(ISBLANK('ENGAGEMENTS 2026'!C208),"",'ENGAGEMENTS 2026'!K208)</f>
        <v/>
      </c>
      <c r="Q208">
        <f>IF($A208="","",IF(OR($E208="INFRUCTUEUX",$E208="ANNULE"),$A208&amp;"|"&amp;(COUNTIFS($A$2:$A208,$A208,$E$2:$E208,"INFRUCTUEUX")+COUNTIFS($A$2:$A208,$A208,$E$2:$E208,"ANNULE")),""))</f>
        <v/>
      </c>
    </row>
    <row r="209">
      <c r="A209">
        <f>IF(ISBLANK('ENGAGEMENTS 2026'!C209),"",IF('ENGAGEMENTS 2026'!C209="DTSI","DCT",'ENGAGEMENTS 2026'!C209))</f>
        <v/>
      </c>
      <c r="B209">
        <f>IF(ISBLANK('ENGAGEMENTS 2026'!C209),"",'ENGAGEMENTS 2026'!D209)</f>
        <v/>
      </c>
      <c r="C209">
        <f>IF(ISBLANK('ENGAGEMENTS 2026'!C209),"",'ENGAGEMENTS 2026'!E209)</f>
        <v/>
      </c>
      <c r="D209">
        <f>IF(ISBLANK('ENGAGEMENTS 2026'!C209),"",'ENGAGEMENTS 2026'!G209)</f>
        <v/>
      </c>
      <c r="E209">
        <f>IF(ISBLANK('ENGAGEMENTS 2026'!C209),"",'ENGAGEMENTS 2026'!I209)</f>
        <v/>
      </c>
      <c r="F209">
        <f>IF(ISBLANK('ENGAGEMENTS 2026'!C209),"",'ENGAGEMENTS 2026'!J209)</f>
        <v/>
      </c>
      <c r="G209">
        <f>IF(ISBLANK('ENGAGEMENTS 2026'!C209),"",'ENGAGEMENTS 2026'!M209)</f>
        <v/>
      </c>
      <c r="H209">
        <f>IF(ISBLANK('ENGAGEMENTS 2026'!C209),"",'ENGAGEMENTS 2026'!AF209)</f>
        <v/>
      </c>
      <c r="I209">
        <f>IF(ISBLANK('ENGAGEMENTS 2026'!C209),"",'ENGAGEMENTS 2026'!H209)</f>
        <v/>
      </c>
      <c r="J209" s="275">
        <f>IF(ISBLANK('ENGAGEMENTS 2026'!C209),"",IF(AND(OR($E209="INFRUCTUEUX",$E209="ANNULE"),$C209="AOO-M"),'ENGAGEMENTS 2026'!P209,IF($H209="EN COURS DE PREENGAGEMENT",'ENGAGEMENTS 2026'!O209,IF($H209="PREENGAGE",IF($E209="ATTRIBUE",'ENGAGEMENTS 2026'!AE209,'ENGAGEMENTS 2026'!O209),'ENGAGEMENTS 2026'!AE209))))</f>
        <v/>
      </c>
      <c r="K209" s="604">
        <f>IF(ISBLANK('ENGAGEMENTS 2026'!W209),"",'ENGAGEMENTS 2026'!W209)</f>
        <v/>
      </c>
      <c r="L209" s="276">
        <f>IF($K209="","",TODAY()-$K209)</f>
        <v/>
      </c>
      <c r="M209">
        <f>IF($A209="","",IF($H209="ENGAGE","Engagé",IF(AND($H209="NON ENGAGE",OR($I209="INFRUCTUEUX",$I209="ANNULE")),"Clôturé sans suite","En cours")))</f>
        <v/>
      </c>
      <c r="N209">
        <f>IF(ISBLANK('ENGAGEMENTS 2026'!C209),"",'ENGAGEMENTS 2026'!L209)</f>
        <v/>
      </c>
      <c r="O209">
        <f>IF(ISBLANK('ENGAGEMENTS 2026'!C209),"",'ENGAGEMENTS 2026'!M209)</f>
        <v/>
      </c>
      <c r="P209">
        <f>IF(ISBLANK('ENGAGEMENTS 2026'!C209),"",'ENGAGEMENTS 2026'!K209)</f>
        <v/>
      </c>
      <c r="Q209">
        <f>IF($A209="","",IF(OR($E209="INFRUCTUEUX",$E209="ANNULE"),$A209&amp;"|"&amp;(COUNTIFS($A$2:$A209,$A209,$E$2:$E209,"INFRUCTUEUX")+COUNTIFS($A$2:$A209,$A209,$E$2:$E209,"ANNULE")),""))</f>
        <v/>
      </c>
    </row>
    <row r="210">
      <c r="A210">
        <f>IF(ISBLANK('ENGAGEMENTS 2026'!C210),"",IF('ENGAGEMENTS 2026'!C210="DTSI","DCT",'ENGAGEMENTS 2026'!C210))</f>
        <v/>
      </c>
      <c r="B210">
        <f>IF(ISBLANK('ENGAGEMENTS 2026'!C210),"",'ENGAGEMENTS 2026'!D210)</f>
        <v/>
      </c>
      <c r="C210">
        <f>IF(ISBLANK('ENGAGEMENTS 2026'!C210),"",'ENGAGEMENTS 2026'!E210)</f>
        <v/>
      </c>
      <c r="D210">
        <f>IF(ISBLANK('ENGAGEMENTS 2026'!C210),"",'ENGAGEMENTS 2026'!G210)</f>
        <v/>
      </c>
      <c r="E210">
        <f>IF(ISBLANK('ENGAGEMENTS 2026'!C210),"",'ENGAGEMENTS 2026'!I210)</f>
        <v/>
      </c>
      <c r="F210">
        <f>IF(ISBLANK('ENGAGEMENTS 2026'!C210),"",'ENGAGEMENTS 2026'!J210)</f>
        <v/>
      </c>
      <c r="G210">
        <f>IF(ISBLANK('ENGAGEMENTS 2026'!C210),"",'ENGAGEMENTS 2026'!M210)</f>
        <v/>
      </c>
      <c r="H210">
        <f>IF(ISBLANK('ENGAGEMENTS 2026'!C210),"",'ENGAGEMENTS 2026'!AF210)</f>
        <v/>
      </c>
      <c r="I210">
        <f>IF(ISBLANK('ENGAGEMENTS 2026'!C210),"",'ENGAGEMENTS 2026'!H210)</f>
        <v/>
      </c>
      <c r="J210" s="275">
        <f>IF(ISBLANK('ENGAGEMENTS 2026'!C210),"",IF(AND(OR($E210="INFRUCTUEUX",$E210="ANNULE"),$C210="AOO-M"),'ENGAGEMENTS 2026'!P210,IF($H210="EN COURS DE PREENGAGEMENT",'ENGAGEMENTS 2026'!O210,IF($H210="PREENGAGE",IF($E210="ATTRIBUE",'ENGAGEMENTS 2026'!AE210,'ENGAGEMENTS 2026'!O210),'ENGAGEMENTS 2026'!AE210))))</f>
        <v/>
      </c>
      <c r="K210" s="604">
        <f>IF(ISBLANK('ENGAGEMENTS 2026'!W210),"",'ENGAGEMENTS 2026'!W210)</f>
        <v/>
      </c>
      <c r="L210" s="276">
        <f>IF($K210="","",TODAY()-$K210)</f>
        <v/>
      </c>
      <c r="M210">
        <f>IF($A210="","",IF($H210="ENGAGE","Engagé",IF(AND($H210="NON ENGAGE",OR($I210="INFRUCTUEUX",$I210="ANNULE")),"Clôturé sans suite","En cours")))</f>
        <v/>
      </c>
      <c r="N210">
        <f>IF(ISBLANK('ENGAGEMENTS 2026'!C210),"",'ENGAGEMENTS 2026'!L210)</f>
        <v/>
      </c>
      <c r="O210">
        <f>IF(ISBLANK('ENGAGEMENTS 2026'!C210),"",'ENGAGEMENTS 2026'!M210)</f>
        <v/>
      </c>
      <c r="P210">
        <f>IF(ISBLANK('ENGAGEMENTS 2026'!C210),"",'ENGAGEMENTS 2026'!K210)</f>
        <v/>
      </c>
      <c r="Q210">
        <f>IF($A210="","",IF(OR($E210="INFRUCTUEUX",$E210="ANNULE"),$A210&amp;"|"&amp;(COUNTIFS($A$2:$A210,$A210,$E$2:$E210,"INFRUCTUEUX")+COUNTIFS($A$2:$A210,$A210,$E$2:$E210,"ANNULE")),""))</f>
        <v/>
      </c>
    </row>
    <row r="211">
      <c r="A211">
        <f>IF(ISBLANK('ENGAGEMENTS 2026'!C211),"",IF('ENGAGEMENTS 2026'!C211="DTSI","DCT",'ENGAGEMENTS 2026'!C211))</f>
        <v/>
      </c>
      <c r="B211">
        <f>IF(ISBLANK('ENGAGEMENTS 2026'!C211),"",'ENGAGEMENTS 2026'!D211)</f>
        <v/>
      </c>
      <c r="C211">
        <f>IF(ISBLANK('ENGAGEMENTS 2026'!C211),"",'ENGAGEMENTS 2026'!E211)</f>
        <v/>
      </c>
      <c r="D211">
        <f>IF(ISBLANK('ENGAGEMENTS 2026'!C211),"",'ENGAGEMENTS 2026'!G211)</f>
        <v/>
      </c>
      <c r="E211">
        <f>IF(ISBLANK('ENGAGEMENTS 2026'!C211),"",'ENGAGEMENTS 2026'!I211)</f>
        <v/>
      </c>
      <c r="F211">
        <f>IF(ISBLANK('ENGAGEMENTS 2026'!C211),"",'ENGAGEMENTS 2026'!J211)</f>
        <v/>
      </c>
      <c r="G211">
        <f>IF(ISBLANK('ENGAGEMENTS 2026'!C211),"",'ENGAGEMENTS 2026'!M211)</f>
        <v/>
      </c>
      <c r="H211">
        <f>IF(ISBLANK('ENGAGEMENTS 2026'!C211),"",'ENGAGEMENTS 2026'!AF211)</f>
        <v/>
      </c>
      <c r="I211">
        <f>IF(ISBLANK('ENGAGEMENTS 2026'!C211),"",'ENGAGEMENTS 2026'!H211)</f>
        <v/>
      </c>
      <c r="J211" s="275">
        <f>IF(ISBLANK('ENGAGEMENTS 2026'!C211),"",IF(AND(OR($E211="INFRUCTUEUX",$E211="ANNULE"),$C211="AOO-M"),'ENGAGEMENTS 2026'!P211,IF($H211="EN COURS DE PREENGAGEMENT",'ENGAGEMENTS 2026'!O211,IF($H211="PREENGAGE",IF($E211="ATTRIBUE",'ENGAGEMENTS 2026'!AE211,'ENGAGEMENTS 2026'!O211),'ENGAGEMENTS 2026'!AE211))))</f>
        <v/>
      </c>
      <c r="K211" s="604">
        <f>IF(ISBLANK('ENGAGEMENTS 2026'!W211),"",'ENGAGEMENTS 2026'!W211)</f>
        <v/>
      </c>
      <c r="L211" s="276">
        <f>IF($K211="","",TODAY()-$K211)</f>
        <v/>
      </c>
      <c r="M211">
        <f>IF($A211="","",IF($H211="ENGAGE","Engagé",IF(AND($H211="NON ENGAGE",OR($I211="INFRUCTUEUX",$I211="ANNULE")),"Clôturé sans suite","En cours")))</f>
        <v/>
      </c>
      <c r="N211">
        <f>IF(ISBLANK('ENGAGEMENTS 2026'!C211),"",'ENGAGEMENTS 2026'!L211)</f>
        <v/>
      </c>
      <c r="O211">
        <f>IF(ISBLANK('ENGAGEMENTS 2026'!C211),"",'ENGAGEMENTS 2026'!M211)</f>
        <v/>
      </c>
      <c r="P211">
        <f>IF(ISBLANK('ENGAGEMENTS 2026'!C211),"",'ENGAGEMENTS 2026'!K211)</f>
        <v/>
      </c>
      <c r="Q211">
        <f>IF($A211="","",IF(OR($E211="INFRUCTUEUX",$E211="ANNULE"),$A211&amp;"|"&amp;(COUNTIFS($A$2:$A211,$A211,$E$2:$E211,"INFRUCTUEUX")+COUNTIFS($A$2:$A211,$A211,$E$2:$E211,"ANNULE")),""))</f>
        <v/>
      </c>
    </row>
    <row r="212">
      <c r="A212">
        <f>IF(ISBLANK('ENGAGEMENTS 2026'!C212),"",IF('ENGAGEMENTS 2026'!C212="DTSI","DCT",'ENGAGEMENTS 2026'!C212))</f>
        <v/>
      </c>
      <c r="B212">
        <f>IF(ISBLANK('ENGAGEMENTS 2026'!C212),"",'ENGAGEMENTS 2026'!D212)</f>
        <v/>
      </c>
      <c r="C212">
        <f>IF(ISBLANK('ENGAGEMENTS 2026'!C212),"",'ENGAGEMENTS 2026'!E212)</f>
        <v/>
      </c>
      <c r="D212">
        <f>IF(ISBLANK('ENGAGEMENTS 2026'!C212),"",'ENGAGEMENTS 2026'!G212)</f>
        <v/>
      </c>
      <c r="E212">
        <f>IF(ISBLANK('ENGAGEMENTS 2026'!C212),"",'ENGAGEMENTS 2026'!I212)</f>
        <v/>
      </c>
      <c r="F212">
        <f>IF(ISBLANK('ENGAGEMENTS 2026'!C212),"",'ENGAGEMENTS 2026'!J212)</f>
        <v/>
      </c>
      <c r="G212">
        <f>IF(ISBLANK('ENGAGEMENTS 2026'!C212),"",'ENGAGEMENTS 2026'!M212)</f>
        <v/>
      </c>
      <c r="H212">
        <f>IF(ISBLANK('ENGAGEMENTS 2026'!C212),"",'ENGAGEMENTS 2026'!AF212)</f>
        <v/>
      </c>
      <c r="I212">
        <f>IF(ISBLANK('ENGAGEMENTS 2026'!C212),"",'ENGAGEMENTS 2026'!H212)</f>
        <v/>
      </c>
      <c r="J212" s="275">
        <f>IF(ISBLANK('ENGAGEMENTS 2026'!C212),"",IF(AND(OR($E212="INFRUCTUEUX",$E212="ANNULE"),$C212="AOO-M"),'ENGAGEMENTS 2026'!P212,IF($H212="EN COURS DE PREENGAGEMENT",'ENGAGEMENTS 2026'!O212,IF($H212="PREENGAGE",IF($E212="ATTRIBUE",'ENGAGEMENTS 2026'!AE212,'ENGAGEMENTS 2026'!O212),'ENGAGEMENTS 2026'!AE212))))</f>
        <v/>
      </c>
      <c r="K212" s="604">
        <f>IF(ISBLANK('ENGAGEMENTS 2026'!W212),"",'ENGAGEMENTS 2026'!W212)</f>
        <v/>
      </c>
      <c r="L212" s="276">
        <f>IF($K212="","",TODAY()-$K212)</f>
        <v/>
      </c>
      <c r="M212">
        <f>IF($A212="","",IF($H212="ENGAGE","Engagé",IF(AND($H212="NON ENGAGE",OR($I212="INFRUCTUEUX",$I212="ANNULE")),"Clôturé sans suite","En cours")))</f>
        <v/>
      </c>
      <c r="N212">
        <f>IF(ISBLANK('ENGAGEMENTS 2026'!C212),"",'ENGAGEMENTS 2026'!L212)</f>
        <v/>
      </c>
      <c r="O212">
        <f>IF(ISBLANK('ENGAGEMENTS 2026'!C212),"",'ENGAGEMENTS 2026'!M212)</f>
        <v/>
      </c>
      <c r="P212">
        <f>IF(ISBLANK('ENGAGEMENTS 2026'!C212),"",'ENGAGEMENTS 2026'!K212)</f>
        <v/>
      </c>
      <c r="Q212">
        <f>IF($A212="","",IF(OR($E212="INFRUCTUEUX",$E212="ANNULE"),$A212&amp;"|"&amp;(COUNTIFS($A$2:$A212,$A212,$E$2:$E212,"INFRUCTUEUX")+COUNTIFS($A$2:$A212,$A212,$E$2:$E212,"ANNULE")),""))</f>
        <v/>
      </c>
    </row>
    <row r="213">
      <c r="A213">
        <f>IF(ISBLANK('ENGAGEMENTS 2026'!C213),"",IF('ENGAGEMENTS 2026'!C213="DTSI","DCT",'ENGAGEMENTS 2026'!C213))</f>
        <v/>
      </c>
      <c r="B213">
        <f>IF(ISBLANK('ENGAGEMENTS 2026'!C213),"",'ENGAGEMENTS 2026'!D213)</f>
        <v/>
      </c>
      <c r="C213">
        <f>IF(ISBLANK('ENGAGEMENTS 2026'!C213),"",'ENGAGEMENTS 2026'!E213)</f>
        <v/>
      </c>
      <c r="D213">
        <f>IF(ISBLANK('ENGAGEMENTS 2026'!C213),"",'ENGAGEMENTS 2026'!G213)</f>
        <v/>
      </c>
      <c r="E213">
        <f>IF(ISBLANK('ENGAGEMENTS 2026'!C213),"",'ENGAGEMENTS 2026'!I213)</f>
        <v/>
      </c>
      <c r="F213">
        <f>IF(ISBLANK('ENGAGEMENTS 2026'!C213),"",'ENGAGEMENTS 2026'!J213)</f>
        <v/>
      </c>
      <c r="G213">
        <f>IF(ISBLANK('ENGAGEMENTS 2026'!C213),"",'ENGAGEMENTS 2026'!M213)</f>
        <v/>
      </c>
      <c r="H213">
        <f>IF(ISBLANK('ENGAGEMENTS 2026'!C213),"",'ENGAGEMENTS 2026'!AF213)</f>
        <v/>
      </c>
      <c r="I213">
        <f>IF(ISBLANK('ENGAGEMENTS 2026'!C213),"",'ENGAGEMENTS 2026'!H213)</f>
        <v/>
      </c>
      <c r="J213" s="275">
        <f>IF(ISBLANK('ENGAGEMENTS 2026'!C213),"",IF(AND(OR($E213="INFRUCTUEUX",$E213="ANNULE"),$C213="AOO-M"),'ENGAGEMENTS 2026'!P213,IF($H213="EN COURS DE PREENGAGEMENT",'ENGAGEMENTS 2026'!O213,IF($H213="PREENGAGE",IF($E213="ATTRIBUE",'ENGAGEMENTS 2026'!AE213,'ENGAGEMENTS 2026'!O213),'ENGAGEMENTS 2026'!AE213))))</f>
        <v/>
      </c>
      <c r="K213" s="604">
        <f>IF(ISBLANK('ENGAGEMENTS 2026'!W213),"",'ENGAGEMENTS 2026'!W213)</f>
        <v/>
      </c>
      <c r="L213" s="276">
        <f>IF($K213="","",TODAY()-$K213)</f>
        <v/>
      </c>
      <c r="M213">
        <f>IF($A213="","",IF($H213="ENGAGE","Engagé",IF(AND($H213="NON ENGAGE",OR($I213="INFRUCTUEUX",$I213="ANNULE")),"Clôturé sans suite","En cours")))</f>
        <v/>
      </c>
      <c r="N213">
        <f>IF(ISBLANK('ENGAGEMENTS 2026'!C213),"",'ENGAGEMENTS 2026'!L213)</f>
        <v/>
      </c>
      <c r="O213">
        <f>IF(ISBLANK('ENGAGEMENTS 2026'!C213),"",'ENGAGEMENTS 2026'!M213)</f>
        <v/>
      </c>
      <c r="P213">
        <f>IF(ISBLANK('ENGAGEMENTS 2026'!C213),"",'ENGAGEMENTS 2026'!K213)</f>
        <v/>
      </c>
      <c r="Q213">
        <f>IF($A213="","",IF(OR($E213="INFRUCTUEUX",$E213="ANNULE"),$A213&amp;"|"&amp;(COUNTIFS($A$2:$A213,$A213,$E$2:$E213,"INFRUCTUEUX")+COUNTIFS($A$2:$A213,$A213,$E$2:$E213,"ANNULE")),""))</f>
        <v/>
      </c>
    </row>
    <row r="214">
      <c r="A214">
        <f>IF(ISBLANK('ENGAGEMENTS 2026'!C214),"",IF('ENGAGEMENTS 2026'!C214="DTSI","DCT",'ENGAGEMENTS 2026'!C214))</f>
        <v/>
      </c>
      <c r="B214">
        <f>IF(ISBLANK('ENGAGEMENTS 2026'!C214),"",'ENGAGEMENTS 2026'!D214)</f>
        <v/>
      </c>
      <c r="C214">
        <f>IF(ISBLANK('ENGAGEMENTS 2026'!C214),"",'ENGAGEMENTS 2026'!E214)</f>
        <v/>
      </c>
      <c r="D214">
        <f>IF(ISBLANK('ENGAGEMENTS 2026'!C214),"",'ENGAGEMENTS 2026'!G214)</f>
        <v/>
      </c>
      <c r="E214">
        <f>IF(ISBLANK('ENGAGEMENTS 2026'!C214),"",'ENGAGEMENTS 2026'!I214)</f>
        <v/>
      </c>
      <c r="F214">
        <f>IF(ISBLANK('ENGAGEMENTS 2026'!C214),"",'ENGAGEMENTS 2026'!J214)</f>
        <v/>
      </c>
      <c r="G214">
        <f>IF(ISBLANK('ENGAGEMENTS 2026'!C214),"",'ENGAGEMENTS 2026'!M214)</f>
        <v/>
      </c>
      <c r="H214">
        <f>IF(ISBLANK('ENGAGEMENTS 2026'!C214),"",'ENGAGEMENTS 2026'!AF214)</f>
        <v/>
      </c>
      <c r="I214">
        <f>IF(ISBLANK('ENGAGEMENTS 2026'!C214),"",'ENGAGEMENTS 2026'!H214)</f>
        <v/>
      </c>
      <c r="J214" s="275">
        <f>IF(ISBLANK('ENGAGEMENTS 2026'!C214),"",IF(AND(OR($E214="INFRUCTUEUX",$E214="ANNULE"),$C214="AOO-M"),'ENGAGEMENTS 2026'!P214,IF($H214="EN COURS DE PREENGAGEMENT",'ENGAGEMENTS 2026'!O214,IF($H214="PREENGAGE",IF($E214="ATTRIBUE",'ENGAGEMENTS 2026'!AE214,'ENGAGEMENTS 2026'!O214),'ENGAGEMENTS 2026'!AE214))))</f>
        <v/>
      </c>
      <c r="K214" s="604">
        <f>IF(ISBLANK('ENGAGEMENTS 2026'!W214),"",'ENGAGEMENTS 2026'!W214)</f>
        <v/>
      </c>
      <c r="L214" s="276">
        <f>IF($K214="","",TODAY()-$K214)</f>
        <v/>
      </c>
      <c r="M214">
        <f>IF($A214="","",IF($H214="ENGAGE","Engagé",IF(AND($H214="NON ENGAGE",OR($I214="INFRUCTUEUX",$I214="ANNULE")),"Clôturé sans suite","En cours")))</f>
        <v/>
      </c>
      <c r="N214">
        <f>IF(ISBLANK('ENGAGEMENTS 2026'!C214),"",'ENGAGEMENTS 2026'!L214)</f>
        <v/>
      </c>
      <c r="O214">
        <f>IF(ISBLANK('ENGAGEMENTS 2026'!C214),"",'ENGAGEMENTS 2026'!M214)</f>
        <v/>
      </c>
      <c r="P214">
        <f>IF(ISBLANK('ENGAGEMENTS 2026'!C214),"",'ENGAGEMENTS 2026'!K214)</f>
        <v/>
      </c>
      <c r="Q214">
        <f>IF($A214="","",IF(OR($E214="INFRUCTUEUX",$E214="ANNULE"),$A214&amp;"|"&amp;(COUNTIFS($A$2:$A214,$A214,$E$2:$E214,"INFRUCTUEUX")+COUNTIFS($A$2:$A214,$A214,$E$2:$E214,"ANNULE")),""))</f>
        <v/>
      </c>
    </row>
    <row r="215">
      <c r="A215">
        <f>IF(ISBLANK('ENGAGEMENTS 2026'!C215),"",IF('ENGAGEMENTS 2026'!C215="DTSI","DCT",'ENGAGEMENTS 2026'!C215))</f>
        <v/>
      </c>
      <c r="B215">
        <f>IF(ISBLANK('ENGAGEMENTS 2026'!C215),"",'ENGAGEMENTS 2026'!D215)</f>
        <v/>
      </c>
      <c r="C215">
        <f>IF(ISBLANK('ENGAGEMENTS 2026'!C215),"",'ENGAGEMENTS 2026'!E215)</f>
        <v/>
      </c>
      <c r="D215">
        <f>IF(ISBLANK('ENGAGEMENTS 2026'!C215),"",'ENGAGEMENTS 2026'!G215)</f>
        <v/>
      </c>
      <c r="E215">
        <f>IF(ISBLANK('ENGAGEMENTS 2026'!C215),"",'ENGAGEMENTS 2026'!I215)</f>
        <v/>
      </c>
      <c r="F215">
        <f>IF(ISBLANK('ENGAGEMENTS 2026'!C215),"",'ENGAGEMENTS 2026'!J215)</f>
        <v/>
      </c>
      <c r="G215">
        <f>IF(ISBLANK('ENGAGEMENTS 2026'!C215),"",'ENGAGEMENTS 2026'!M215)</f>
        <v/>
      </c>
      <c r="H215">
        <f>IF(ISBLANK('ENGAGEMENTS 2026'!C215),"",'ENGAGEMENTS 2026'!AF215)</f>
        <v/>
      </c>
      <c r="I215">
        <f>IF(ISBLANK('ENGAGEMENTS 2026'!C215),"",'ENGAGEMENTS 2026'!H215)</f>
        <v/>
      </c>
      <c r="J215" s="275">
        <f>IF(ISBLANK('ENGAGEMENTS 2026'!C215),"",IF(AND(OR($E215="INFRUCTUEUX",$E215="ANNULE"),$C215="AOO-M"),'ENGAGEMENTS 2026'!P215,IF($H215="EN COURS DE PREENGAGEMENT",'ENGAGEMENTS 2026'!O215,IF($H215="PREENGAGE",IF($E215="ATTRIBUE",'ENGAGEMENTS 2026'!AE215,'ENGAGEMENTS 2026'!O215),'ENGAGEMENTS 2026'!AE215))))</f>
        <v/>
      </c>
      <c r="K215" s="604">
        <f>IF(ISBLANK('ENGAGEMENTS 2026'!W215),"",'ENGAGEMENTS 2026'!W215)</f>
        <v/>
      </c>
      <c r="L215" s="276">
        <f>IF($K215="","",TODAY()-$K215)</f>
        <v/>
      </c>
      <c r="M215">
        <f>IF($A215="","",IF($H215="ENGAGE","Engagé",IF(AND($H215="NON ENGAGE",OR($I215="INFRUCTUEUX",$I215="ANNULE")),"Clôturé sans suite","En cours")))</f>
        <v/>
      </c>
      <c r="N215">
        <f>IF(ISBLANK('ENGAGEMENTS 2026'!C215),"",'ENGAGEMENTS 2026'!L215)</f>
        <v/>
      </c>
      <c r="O215">
        <f>IF(ISBLANK('ENGAGEMENTS 2026'!C215),"",'ENGAGEMENTS 2026'!M215)</f>
        <v/>
      </c>
      <c r="P215">
        <f>IF(ISBLANK('ENGAGEMENTS 2026'!C215),"",'ENGAGEMENTS 2026'!K215)</f>
        <v/>
      </c>
      <c r="Q215">
        <f>IF($A215="","",IF(OR($E215="INFRUCTUEUX",$E215="ANNULE"),$A215&amp;"|"&amp;(COUNTIFS($A$2:$A215,$A215,$E$2:$E215,"INFRUCTUEUX")+COUNTIFS($A$2:$A215,$A215,$E$2:$E215,"ANNULE")),""))</f>
        <v/>
      </c>
    </row>
    <row r="216">
      <c r="A216">
        <f>IF(ISBLANK('ENGAGEMENTS 2026'!C216),"",IF('ENGAGEMENTS 2026'!C216="DTSI","DCT",'ENGAGEMENTS 2026'!C216))</f>
        <v/>
      </c>
      <c r="B216">
        <f>IF(ISBLANK('ENGAGEMENTS 2026'!C216),"",'ENGAGEMENTS 2026'!D216)</f>
        <v/>
      </c>
      <c r="C216">
        <f>IF(ISBLANK('ENGAGEMENTS 2026'!C216),"",'ENGAGEMENTS 2026'!E216)</f>
        <v/>
      </c>
      <c r="D216">
        <f>IF(ISBLANK('ENGAGEMENTS 2026'!C216),"",'ENGAGEMENTS 2026'!G216)</f>
        <v/>
      </c>
      <c r="E216">
        <f>IF(ISBLANK('ENGAGEMENTS 2026'!C216),"",'ENGAGEMENTS 2026'!I216)</f>
        <v/>
      </c>
      <c r="F216">
        <f>IF(ISBLANK('ENGAGEMENTS 2026'!C216),"",'ENGAGEMENTS 2026'!J216)</f>
        <v/>
      </c>
      <c r="G216">
        <f>IF(ISBLANK('ENGAGEMENTS 2026'!C216),"",'ENGAGEMENTS 2026'!M216)</f>
        <v/>
      </c>
      <c r="H216">
        <f>IF(ISBLANK('ENGAGEMENTS 2026'!C216),"",'ENGAGEMENTS 2026'!AF216)</f>
        <v/>
      </c>
      <c r="I216">
        <f>IF(ISBLANK('ENGAGEMENTS 2026'!C216),"",'ENGAGEMENTS 2026'!H216)</f>
        <v/>
      </c>
      <c r="J216" s="275">
        <f>IF(ISBLANK('ENGAGEMENTS 2026'!C216),"",IF(AND(OR($E216="INFRUCTUEUX",$E216="ANNULE"),$C216="AOO-M"),'ENGAGEMENTS 2026'!P216,IF($H216="EN COURS DE PREENGAGEMENT",'ENGAGEMENTS 2026'!O216,IF($H216="PREENGAGE",IF($E216="ATTRIBUE",'ENGAGEMENTS 2026'!AE216,'ENGAGEMENTS 2026'!O216),'ENGAGEMENTS 2026'!AE216))))</f>
        <v/>
      </c>
      <c r="K216" s="604">
        <f>IF(ISBLANK('ENGAGEMENTS 2026'!W216),"",'ENGAGEMENTS 2026'!W216)</f>
        <v/>
      </c>
      <c r="L216" s="276">
        <f>IF($K216="","",TODAY()-$K216)</f>
        <v/>
      </c>
      <c r="M216">
        <f>IF($A216="","",IF($H216="ENGAGE","Engagé",IF(AND($H216="NON ENGAGE",OR($I216="INFRUCTUEUX",$I216="ANNULE")),"Clôturé sans suite","En cours")))</f>
        <v/>
      </c>
      <c r="N216">
        <f>IF(ISBLANK('ENGAGEMENTS 2026'!C216),"",'ENGAGEMENTS 2026'!L216)</f>
        <v/>
      </c>
      <c r="O216">
        <f>IF(ISBLANK('ENGAGEMENTS 2026'!C216),"",'ENGAGEMENTS 2026'!M216)</f>
        <v/>
      </c>
      <c r="P216">
        <f>IF(ISBLANK('ENGAGEMENTS 2026'!C216),"",'ENGAGEMENTS 2026'!K216)</f>
        <v/>
      </c>
      <c r="Q216">
        <f>IF($A216="","",IF(OR($E216="INFRUCTUEUX",$E216="ANNULE"),$A216&amp;"|"&amp;(COUNTIFS($A$2:$A216,$A216,$E$2:$E216,"INFRUCTUEUX")+COUNTIFS($A$2:$A216,$A216,$E$2:$E216,"ANNULE")),""))</f>
        <v/>
      </c>
    </row>
    <row r="217">
      <c r="A217">
        <f>IF(ISBLANK('ENGAGEMENTS 2026'!C217),"",IF('ENGAGEMENTS 2026'!C217="DTSI","DCT",'ENGAGEMENTS 2026'!C217))</f>
        <v/>
      </c>
      <c r="B217">
        <f>IF(ISBLANK('ENGAGEMENTS 2026'!C217),"",'ENGAGEMENTS 2026'!D217)</f>
        <v/>
      </c>
      <c r="C217">
        <f>IF(ISBLANK('ENGAGEMENTS 2026'!C217),"",'ENGAGEMENTS 2026'!E217)</f>
        <v/>
      </c>
      <c r="D217">
        <f>IF(ISBLANK('ENGAGEMENTS 2026'!C217),"",'ENGAGEMENTS 2026'!G217)</f>
        <v/>
      </c>
      <c r="E217">
        <f>IF(ISBLANK('ENGAGEMENTS 2026'!C217),"",'ENGAGEMENTS 2026'!I217)</f>
        <v/>
      </c>
      <c r="F217">
        <f>IF(ISBLANK('ENGAGEMENTS 2026'!C217),"",'ENGAGEMENTS 2026'!J217)</f>
        <v/>
      </c>
      <c r="G217">
        <f>IF(ISBLANK('ENGAGEMENTS 2026'!C217),"",'ENGAGEMENTS 2026'!M217)</f>
        <v/>
      </c>
      <c r="H217">
        <f>IF(ISBLANK('ENGAGEMENTS 2026'!C217),"",'ENGAGEMENTS 2026'!AF217)</f>
        <v/>
      </c>
      <c r="I217">
        <f>IF(ISBLANK('ENGAGEMENTS 2026'!C217),"",'ENGAGEMENTS 2026'!H217)</f>
        <v/>
      </c>
      <c r="J217" s="275">
        <f>IF(ISBLANK('ENGAGEMENTS 2026'!C217),"",IF(AND(OR($E217="INFRUCTUEUX",$E217="ANNULE"),$C217="AOO-M"),'ENGAGEMENTS 2026'!P217,IF($H217="EN COURS DE PREENGAGEMENT",'ENGAGEMENTS 2026'!O217,IF($H217="PREENGAGE",IF($E217="ATTRIBUE",'ENGAGEMENTS 2026'!AE217,'ENGAGEMENTS 2026'!O217),'ENGAGEMENTS 2026'!AE217))))</f>
        <v/>
      </c>
      <c r="K217" s="604">
        <f>IF(ISBLANK('ENGAGEMENTS 2026'!W217),"",'ENGAGEMENTS 2026'!W217)</f>
        <v/>
      </c>
      <c r="L217" s="276">
        <f>IF($K217="","",TODAY()-$K217)</f>
        <v/>
      </c>
      <c r="M217">
        <f>IF($A217="","",IF($H217="ENGAGE","Engagé",IF(AND($H217="NON ENGAGE",OR($I217="INFRUCTUEUX",$I217="ANNULE")),"Clôturé sans suite","En cours")))</f>
        <v/>
      </c>
      <c r="N217">
        <f>IF(ISBLANK('ENGAGEMENTS 2026'!C217),"",'ENGAGEMENTS 2026'!L217)</f>
        <v/>
      </c>
      <c r="O217">
        <f>IF(ISBLANK('ENGAGEMENTS 2026'!C217),"",'ENGAGEMENTS 2026'!M217)</f>
        <v/>
      </c>
      <c r="P217">
        <f>IF(ISBLANK('ENGAGEMENTS 2026'!C217),"",'ENGAGEMENTS 2026'!K217)</f>
        <v/>
      </c>
      <c r="Q217">
        <f>IF($A217="","",IF(OR($E217="INFRUCTUEUX",$E217="ANNULE"),$A217&amp;"|"&amp;(COUNTIFS($A$2:$A217,$A217,$E$2:$E217,"INFRUCTUEUX")+COUNTIFS($A$2:$A217,$A217,$E$2:$E217,"ANNULE")),""))</f>
        <v/>
      </c>
    </row>
    <row r="218">
      <c r="A218">
        <f>IF(ISBLANK('ENGAGEMENTS 2026'!C218),"",IF('ENGAGEMENTS 2026'!C218="DTSI","DCT",'ENGAGEMENTS 2026'!C218))</f>
        <v/>
      </c>
      <c r="B218">
        <f>IF(ISBLANK('ENGAGEMENTS 2026'!C218),"",'ENGAGEMENTS 2026'!D218)</f>
        <v/>
      </c>
      <c r="C218">
        <f>IF(ISBLANK('ENGAGEMENTS 2026'!C218),"",'ENGAGEMENTS 2026'!E218)</f>
        <v/>
      </c>
      <c r="D218">
        <f>IF(ISBLANK('ENGAGEMENTS 2026'!C218),"",'ENGAGEMENTS 2026'!G218)</f>
        <v/>
      </c>
      <c r="E218">
        <f>IF(ISBLANK('ENGAGEMENTS 2026'!C218),"",'ENGAGEMENTS 2026'!I218)</f>
        <v/>
      </c>
      <c r="F218">
        <f>IF(ISBLANK('ENGAGEMENTS 2026'!C218),"",'ENGAGEMENTS 2026'!J218)</f>
        <v/>
      </c>
      <c r="G218">
        <f>IF(ISBLANK('ENGAGEMENTS 2026'!C218),"",'ENGAGEMENTS 2026'!M218)</f>
        <v/>
      </c>
      <c r="H218">
        <f>IF(ISBLANK('ENGAGEMENTS 2026'!C218),"",'ENGAGEMENTS 2026'!AF218)</f>
        <v/>
      </c>
      <c r="I218">
        <f>IF(ISBLANK('ENGAGEMENTS 2026'!C218),"",'ENGAGEMENTS 2026'!H218)</f>
        <v/>
      </c>
      <c r="J218" s="275">
        <f>IF(ISBLANK('ENGAGEMENTS 2026'!C218),"",IF(AND(OR($E218="INFRUCTUEUX",$E218="ANNULE"),$C218="AOO-M"),'ENGAGEMENTS 2026'!P218,IF($H218="EN COURS DE PREENGAGEMENT",'ENGAGEMENTS 2026'!O218,IF($H218="PREENGAGE",IF($E218="ATTRIBUE",'ENGAGEMENTS 2026'!AE218,'ENGAGEMENTS 2026'!O218),'ENGAGEMENTS 2026'!AE218))))</f>
        <v/>
      </c>
      <c r="K218" s="604">
        <f>IF(ISBLANK('ENGAGEMENTS 2026'!W218),"",'ENGAGEMENTS 2026'!W218)</f>
        <v/>
      </c>
      <c r="L218" s="276">
        <f>IF($K218="","",TODAY()-$K218)</f>
        <v/>
      </c>
      <c r="M218">
        <f>IF($A218="","",IF($H218="ENGAGE","Engagé",IF(AND($H218="NON ENGAGE",OR($I218="INFRUCTUEUX",$I218="ANNULE")),"Clôturé sans suite","En cours")))</f>
        <v/>
      </c>
      <c r="N218">
        <f>IF(ISBLANK('ENGAGEMENTS 2026'!C218),"",'ENGAGEMENTS 2026'!L218)</f>
        <v/>
      </c>
      <c r="O218">
        <f>IF(ISBLANK('ENGAGEMENTS 2026'!C218),"",'ENGAGEMENTS 2026'!M218)</f>
        <v/>
      </c>
      <c r="P218">
        <f>IF(ISBLANK('ENGAGEMENTS 2026'!C218),"",'ENGAGEMENTS 2026'!K218)</f>
        <v/>
      </c>
      <c r="Q218">
        <f>IF($A218="","",IF(OR($E218="INFRUCTUEUX",$E218="ANNULE"),$A218&amp;"|"&amp;(COUNTIFS($A$2:$A218,$A218,$E$2:$E218,"INFRUCTUEUX")+COUNTIFS($A$2:$A218,$A218,$E$2:$E218,"ANNULE")),""))</f>
        <v/>
      </c>
    </row>
    <row r="219">
      <c r="A219">
        <f>IF(ISBLANK('ENGAGEMENTS 2026'!C219),"",IF('ENGAGEMENTS 2026'!C219="DTSI","DCT",'ENGAGEMENTS 2026'!C219))</f>
        <v/>
      </c>
      <c r="B219">
        <f>IF(ISBLANK('ENGAGEMENTS 2026'!C219),"",'ENGAGEMENTS 2026'!D219)</f>
        <v/>
      </c>
      <c r="C219">
        <f>IF(ISBLANK('ENGAGEMENTS 2026'!C219),"",'ENGAGEMENTS 2026'!E219)</f>
        <v/>
      </c>
      <c r="D219">
        <f>IF(ISBLANK('ENGAGEMENTS 2026'!C219),"",'ENGAGEMENTS 2026'!G219)</f>
        <v/>
      </c>
      <c r="E219">
        <f>IF(ISBLANK('ENGAGEMENTS 2026'!C219),"",'ENGAGEMENTS 2026'!I219)</f>
        <v/>
      </c>
      <c r="F219">
        <f>IF(ISBLANK('ENGAGEMENTS 2026'!C219),"",'ENGAGEMENTS 2026'!J219)</f>
        <v/>
      </c>
      <c r="G219">
        <f>IF(ISBLANK('ENGAGEMENTS 2026'!C219),"",'ENGAGEMENTS 2026'!M219)</f>
        <v/>
      </c>
      <c r="H219">
        <f>IF(ISBLANK('ENGAGEMENTS 2026'!C219),"",'ENGAGEMENTS 2026'!AF219)</f>
        <v/>
      </c>
      <c r="I219">
        <f>IF(ISBLANK('ENGAGEMENTS 2026'!C219),"",'ENGAGEMENTS 2026'!H219)</f>
        <v/>
      </c>
      <c r="J219" s="275">
        <f>IF(ISBLANK('ENGAGEMENTS 2026'!C219),"",IF(AND(OR($E219="INFRUCTUEUX",$E219="ANNULE"),$C219="AOO-M"),'ENGAGEMENTS 2026'!P219,IF($H219="EN COURS DE PREENGAGEMENT",'ENGAGEMENTS 2026'!O219,IF($H219="PREENGAGE",IF($E219="ATTRIBUE",'ENGAGEMENTS 2026'!AE219,'ENGAGEMENTS 2026'!O219),'ENGAGEMENTS 2026'!AE219))))</f>
        <v/>
      </c>
      <c r="K219" s="604">
        <f>IF(ISBLANK('ENGAGEMENTS 2026'!W219),"",'ENGAGEMENTS 2026'!W219)</f>
        <v/>
      </c>
      <c r="L219" s="276">
        <f>IF($K219="","",TODAY()-$K219)</f>
        <v/>
      </c>
      <c r="M219">
        <f>IF($A219="","",IF($H219="ENGAGE","Engagé",IF(AND($H219="NON ENGAGE",OR($I219="INFRUCTUEUX",$I219="ANNULE")),"Clôturé sans suite","En cours")))</f>
        <v/>
      </c>
      <c r="N219">
        <f>IF(ISBLANK('ENGAGEMENTS 2026'!C219),"",'ENGAGEMENTS 2026'!L219)</f>
        <v/>
      </c>
      <c r="O219">
        <f>IF(ISBLANK('ENGAGEMENTS 2026'!C219),"",'ENGAGEMENTS 2026'!M219)</f>
        <v/>
      </c>
      <c r="P219">
        <f>IF(ISBLANK('ENGAGEMENTS 2026'!C219),"",'ENGAGEMENTS 2026'!K219)</f>
        <v/>
      </c>
      <c r="Q219">
        <f>IF($A219="","",IF(OR($E219="INFRUCTUEUX",$E219="ANNULE"),$A219&amp;"|"&amp;(COUNTIFS($A$2:$A219,$A219,$E$2:$E219,"INFRUCTUEUX")+COUNTIFS($A$2:$A219,$A219,$E$2:$E219,"ANNULE")),""))</f>
        <v/>
      </c>
    </row>
    <row r="220">
      <c r="A220">
        <f>IF(ISBLANK('ENGAGEMENTS 2026'!C220),"",IF('ENGAGEMENTS 2026'!C220="DTSI","DCT",'ENGAGEMENTS 2026'!C220))</f>
        <v/>
      </c>
      <c r="B220">
        <f>IF(ISBLANK('ENGAGEMENTS 2026'!C220),"",'ENGAGEMENTS 2026'!D220)</f>
        <v/>
      </c>
      <c r="C220">
        <f>IF(ISBLANK('ENGAGEMENTS 2026'!C220),"",'ENGAGEMENTS 2026'!E220)</f>
        <v/>
      </c>
      <c r="D220">
        <f>IF(ISBLANK('ENGAGEMENTS 2026'!C220),"",'ENGAGEMENTS 2026'!G220)</f>
        <v/>
      </c>
      <c r="E220">
        <f>IF(ISBLANK('ENGAGEMENTS 2026'!C220),"",'ENGAGEMENTS 2026'!I220)</f>
        <v/>
      </c>
      <c r="F220">
        <f>IF(ISBLANK('ENGAGEMENTS 2026'!C220),"",'ENGAGEMENTS 2026'!J220)</f>
        <v/>
      </c>
      <c r="G220">
        <f>IF(ISBLANK('ENGAGEMENTS 2026'!C220),"",'ENGAGEMENTS 2026'!M220)</f>
        <v/>
      </c>
      <c r="H220">
        <f>IF(ISBLANK('ENGAGEMENTS 2026'!C220),"",'ENGAGEMENTS 2026'!AF220)</f>
        <v/>
      </c>
      <c r="I220">
        <f>IF(ISBLANK('ENGAGEMENTS 2026'!C220),"",'ENGAGEMENTS 2026'!H220)</f>
        <v/>
      </c>
      <c r="J220" s="275">
        <f>IF(ISBLANK('ENGAGEMENTS 2026'!C220),"",IF(AND(OR($E220="INFRUCTUEUX",$E220="ANNULE"),$C220="AOO-M"),'ENGAGEMENTS 2026'!P220,IF($H220="EN COURS DE PREENGAGEMENT",'ENGAGEMENTS 2026'!O220,IF($H220="PREENGAGE",IF($E220="ATTRIBUE",'ENGAGEMENTS 2026'!AE220,'ENGAGEMENTS 2026'!O220),'ENGAGEMENTS 2026'!AE220))))</f>
        <v/>
      </c>
      <c r="K220" s="604">
        <f>IF(ISBLANK('ENGAGEMENTS 2026'!W220),"",'ENGAGEMENTS 2026'!W220)</f>
        <v/>
      </c>
      <c r="L220" s="276">
        <f>IF($K220="","",TODAY()-$K220)</f>
        <v/>
      </c>
      <c r="M220">
        <f>IF($A220="","",IF($H220="ENGAGE","Engagé",IF(AND($H220="NON ENGAGE",OR($I220="INFRUCTUEUX",$I220="ANNULE")),"Clôturé sans suite","En cours")))</f>
        <v/>
      </c>
      <c r="N220">
        <f>IF(ISBLANK('ENGAGEMENTS 2026'!C220),"",'ENGAGEMENTS 2026'!L220)</f>
        <v/>
      </c>
      <c r="O220">
        <f>IF(ISBLANK('ENGAGEMENTS 2026'!C220),"",'ENGAGEMENTS 2026'!M220)</f>
        <v/>
      </c>
      <c r="P220">
        <f>IF(ISBLANK('ENGAGEMENTS 2026'!C220),"",'ENGAGEMENTS 2026'!K220)</f>
        <v/>
      </c>
      <c r="Q220">
        <f>IF($A220="","",IF(OR($E220="INFRUCTUEUX",$E220="ANNULE"),$A220&amp;"|"&amp;(COUNTIFS($A$2:$A220,$A220,$E$2:$E220,"INFRUCTUEUX")+COUNTIFS($A$2:$A220,$A220,$E$2:$E220,"ANNULE")),""))</f>
        <v/>
      </c>
    </row>
    <row r="221">
      <c r="A221">
        <f>IF(ISBLANK('ENGAGEMENTS 2026'!C221),"",IF('ENGAGEMENTS 2026'!C221="DTSI","DCT",'ENGAGEMENTS 2026'!C221))</f>
        <v/>
      </c>
      <c r="B221">
        <f>IF(ISBLANK('ENGAGEMENTS 2026'!C221),"",'ENGAGEMENTS 2026'!D221)</f>
        <v/>
      </c>
      <c r="C221">
        <f>IF(ISBLANK('ENGAGEMENTS 2026'!C221),"",'ENGAGEMENTS 2026'!E221)</f>
        <v/>
      </c>
      <c r="D221">
        <f>IF(ISBLANK('ENGAGEMENTS 2026'!C221),"",'ENGAGEMENTS 2026'!G221)</f>
        <v/>
      </c>
      <c r="E221">
        <f>IF(ISBLANK('ENGAGEMENTS 2026'!C221),"",'ENGAGEMENTS 2026'!I221)</f>
        <v/>
      </c>
      <c r="F221">
        <f>IF(ISBLANK('ENGAGEMENTS 2026'!C221),"",'ENGAGEMENTS 2026'!J221)</f>
        <v/>
      </c>
      <c r="G221">
        <f>IF(ISBLANK('ENGAGEMENTS 2026'!C221),"",'ENGAGEMENTS 2026'!M221)</f>
        <v/>
      </c>
      <c r="H221">
        <f>IF(ISBLANK('ENGAGEMENTS 2026'!C221),"",'ENGAGEMENTS 2026'!AF221)</f>
        <v/>
      </c>
      <c r="I221">
        <f>IF(ISBLANK('ENGAGEMENTS 2026'!C221),"",'ENGAGEMENTS 2026'!H221)</f>
        <v/>
      </c>
      <c r="J221" s="275">
        <f>IF(ISBLANK('ENGAGEMENTS 2026'!C221),"",IF(AND(OR($E221="INFRUCTUEUX",$E221="ANNULE"),$C221="AOO-M"),'ENGAGEMENTS 2026'!P221,IF($H221="EN COURS DE PREENGAGEMENT",'ENGAGEMENTS 2026'!O221,IF($H221="PREENGAGE",IF($E221="ATTRIBUE",'ENGAGEMENTS 2026'!AE221,'ENGAGEMENTS 2026'!O221),'ENGAGEMENTS 2026'!AE221))))</f>
        <v/>
      </c>
      <c r="K221" s="604">
        <f>IF(ISBLANK('ENGAGEMENTS 2026'!W221),"",'ENGAGEMENTS 2026'!W221)</f>
        <v/>
      </c>
      <c r="L221" s="276">
        <f>IF($K221="","",TODAY()-$K221)</f>
        <v/>
      </c>
      <c r="M221">
        <f>IF($A221="","",IF($H221="ENGAGE","Engagé",IF(AND($H221="NON ENGAGE",OR($I221="INFRUCTUEUX",$I221="ANNULE")),"Clôturé sans suite","En cours")))</f>
        <v/>
      </c>
      <c r="N221">
        <f>IF(ISBLANK('ENGAGEMENTS 2026'!C221),"",'ENGAGEMENTS 2026'!L221)</f>
        <v/>
      </c>
      <c r="O221">
        <f>IF(ISBLANK('ENGAGEMENTS 2026'!C221),"",'ENGAGEMENTS 2026'!M221)</f>
        <v/>
      </c>
      <c r="P221">
        <f>IF(ISBLANK('ENGAGEMENTS 2026'!C221),"",'ENGAGEMENTS 2026'!K221)</f>
        <v/>
      </c>
      <c r="Q221">
        <f>IF($A221="","",IF(OR($E221="INFRUCTUEUX",$E221="ANNULE"),$A221&amp;"|"&amp;(COUNTIFS($A$2:$A221,$A221,$E$2:$E221,"INFRUCTUEUX")+COUNTIFS($A$2:$A221,$A221,$E$2:$E221,"ANNULE")),""))</f>
        <v/>
      </c>
    </row>
    <row r="222">
      <c r="A222">
        <f>IF(ISBLANK('ENGAGEMENTS 2026'!C222),"",IF('ENGAGEMENTS 2026'!C222="DTSI","DCT",'ENGAGEMENTS 2026'!C222))</f>
        <v/>
      </c>
      <c r="B222">
        <f>IF(ISBLANK('ENGAGEMENTS 2026'!C222),"",'ENGAGEMENTS 2026'!D222)</f>
        <v/>
      </c>
      <c r="C222">
        <f>IF(ISBLANK('ENGAGEMENTS 2026'!C222),"",'ENGAGEMENTS 2026'!E222)</f>
        <v/>
      </c>
      <c r="D222">
        <f>IF(ISBLANK('ENGAGEMENTS 2026'!C222),"",'ENGAGEMENTS 2026'!G222)</f>
        <v/>
      </c>
      <c r="E222">
        <f>IF(ISBLANK('ENGAGEMENTS 2026'!C222),"",'ENGAGEMENTS 2026'!I222)</f>
        <v/>
      </c>
      <c r="F222">
        <f>IF(ISBLANK('ENGAGEMENTS 2026'!C222),"",'ENGAGEMENTS 2026'!J222)</f>
        <v/>
      </c>
      <c r="G222">
        <f>IF(ISBLANK('ENGAGEMENTS 2026'!C222),"",'ENGAGEMENTS 2026'!M222)</f>
        <v/>
      </c>
      <c r="H222">
        <f>IF(ISBLANK('ENGAGEMENTS 2026'!C222),"",'ENGAGEMENTS 2026'!AF222)</f>
        <v/>
      </c>
      <c r="I222">
        <f>IF(ISBLANK('ENGAGEMENTS 2026'!C222),"",'ENGAGEMENTS 2026'!H222)</f>
        <v/>
      </c>
      <c r="J222" s="275">
        <f>IF(ISBLANK('ENGAGEMENTS 2026'!C222),"",IF(AND(OR($E222="INFRUCTUEUX",$E222="ANNULE"),$C222="AOO-M"),'ENGAGEMENTS 2026'!P222,IF($H222="EN COURS DE PREENGAGEMENT",'ENGAGEMENTS 2026'!O222,IF($H222="PREENGAGE",IF($E222="ATTRIBUE",'ENGAGEMENTS 2026'!AE222,'ENGAGEMENTS 2026'!O222),'ENGAGEMENTS 2026'!AE222))))</f>
        <v/>
      </c>
      <c r="K222" s="604">
        <f>IF(ISBLANK('ENGAGEMENTS 2026'!W222),"",'ENGAGEMENTS 2026'!W222)</f>
        <v/>
      </c>
      <c r="L222" s="276">
        <f>IF($K222="","",TODAY()-$K222)</f>
        <v/>
      </c>
      <c r="M222">
        <f>IF($A222="","",IF($H222="ENGAGE","Engagé",IF(AND($H222="NON ENGAGE",OR($I222="INFRUCTUEUX",$I222="ANNULE")),"Clôturé sans suite","En cours")))</f>
        <v/>
      </c>
      <c r="N222">
        <f>IF(ISBLANK('ENGAGEMENTS 2026'!C222),"",'ENGAGEMENTS 2026'!L222)</f>
        <v/>
      </c>
      <c r="O222">
        <f>IF(ISBLANK('ENGAGEMENTS 2026'!C222),"",'ENGAGEMENTS 2026'!M222)</f>
        <v/>
      </c>
      <c r="P222">
        <f>IF(ISBLANK('ENGAGEMENTS 2026'!C222),"",'ENGAGEMENTS 2026'!K222)</f>
        <v/>
      </c>
      <c r="Q222">
        <f>IF($A222="","",IF(OR($E222="INFRUCTUEUX",$E222="ANNULE"),$A222&amp;"|"&amp;(COUNTIFS($A$2:$A222,$A222,$E$2:$E222,"INFRUCTUEUX")+COUNTIFS($A$2:$A222,$A222,$E$2:$E222,"ANNULE")),""))</f>
        <v/>
      </c>
    </row>
    <row r="223">
      <c r="A223">
        <f>IF(ISBLANK('ENGAGEMENTS 2026'!C223),"",IF('ENGAGEMENTS 2026'!C223="DTSI","DCT",'ENGAGEMENTS 2026'!C223))</f>
        <v/>
      </c>
      <c r="B223">
        <f>IF(ISBLANK('ENGAGEMENTS 2026'!C223),"",'ENGAGEMENTS 2026'!D223)</f>
        <v/>
      </c>
      <c r="C223">
        <f>IF(ISBLANK('ENGAGEMENTS 2026'!C223),"",'ENGAGEMENTS 2026'!E223)</f>
        <v/>
      </c>
      <c r="D223">
        <f>IF(ISBLANK('ENGAGEMENTS 2026'!C223),"",'ENGAGEMENTS 2026'!G223)</f>
        <v/>
      </c>
      <c r="E223">
        <f>IF(ISBLANK('ENGAGEMENTS 2026'!C223),"",'ENGAGEMENTS 2026'!I223)</f>
        <v/>
      </c>
      <c r="F223">
        <f>IF(ISBLANK('ENGAGEMENTS 2026'!C223),"",'ENGAGEMENTS 2026'!J223)</f>
        <v/>
      </c>
      <c r="G223">
        <f>IF(ISBLANK('ENGAGEMENTS 2026'!C223),"",'ENGAGEMENTS 2026'!M223)</f>
        <v/>
      </c>
      <c r="H223">
        <f>IF(ISBLANK('ENGAGEMENTS 2026'!C223),"",'ENGAGEMENTS 2026'!AF223)</f>
        <v/>
      </c>
      <c r="I223">
        <f>IF(ISBLANK('ENGAGEMENTS 2026'!C223),"",'ENGAGEMENTS 2026'!H223)</f>
        <v/>
      </c>
      <c r="J223" s="275">
        <f>IF(ISBLANK('ENGAGEMENTS 2026'!C223),"",IF(AND(OR($E223="INFRUCTUEUX",$E223="ANNULE"),$C223="AOO-M"),'ENGAGEMENTS 2026'!P223,IF($H223="EN COURS DE PREENGAGEMENT",'ENGAGEMENTS 2026'!O223,IF($H223="PREENGAGE",IF($E223="ATTRIBUE",'ENGAGEMENTS 2026'!AE223,'ENGAGEMENTS 2026'!O223),'ENGAGEMENTS 2026'!AE223))))</f>
        <v/>
      </c>
      <c r="K223" s="604">
        <f>IF(ISBLANK('ENGAGEMENTS 2026'!W223),"",'ENGAGEMENTS 2026'!W223)</f>
        <v/>
      </c>
      <c r="L223" s="276">
        <f>IF($K223="","",TODAY()-$K223)</f>
        <v/>
      </c>
      <c r="M223">
        <f>IF($A223="","",IF($H223="ENGAGE","Engagé",IF(AND($H223="NON ENGAGE",OR($I223="INFRUCTUEUX",$I223="ANNULE")),"Clôturé sans suite","En cours")))</f>
        <v/>
      </c>
      <c r="N223">
        <f>IF(ISBLANK('ENGAGEMENTS 2026'!C223),"",'ENGAGEMENTS 2026'!L223)</f>
        <v/>
      </c>
      <c r="O223">
        <f>IF(ISBLANK('ENGAGEMENTS 2026'!C223),"",'ENGAGEMENTS 2026'!M223)</f>
        <v/>
      </c>
      <c r="P223">
        <f>IF(ISBLANK('ENGAGEMENTS 2026'!C223),"",'ENGAGEMENTS 2026'!K223)</f>
        <v/>
      </c>
      <c r="Q223">
        <f>IF($A223="","",IF(OR($E223="INFRUCTUEUX",$E223="ANNULE"),$A223&amp;"|"&amp;(COUNTIFS($A$2:$A223,$A223,$E$2:$E223,"INFRUCTUEUX")+COUNTIFS($A$2:$A223,$A223,$E$2:$E223,"ANNULE")),""))</f>
        <v/>
      </c>
    </row>
    <row r="224">
      <c r="A224">
        <f>IF(ISBLANK('ENGAGEMENTS 2026'!C224),"",IF('ENGAGEMENTS 2026'!C224="DTSI","DCT",'ENGAGEMENTS 2026'!C224))</f>
        <v/>
      </c>
      <c r="B224">
        <f>IF(ISBLANK('ENGAGEMENTS 2026'!C224),"",'ENGAGEMENTS 2026'!D224)</f>
        <v/>
      </c>
      <c r="C224">
        <f>IF(ISBLANK('ENGAGEMENTS 2026'!C224),"",'ENGAGEMENTS 2026'!E224)</f>
        <v/>
      </c>
      <c r="D224">
        <f>IF(ISBLANK('ENGAGEMENTS 2026'!C224),"",'ENGAGEMENTS 2026'!G224)</f>
        <v/>
      </c>
      <c r="E224">
        <f>IF(ISBLANK('ENGAGEMENTS 2026'!C224),"",'ENGAGEMENTS 2026'!I224)</f>
        <v/>
      </c>
      <c r="F224">
        <f>IF(ISBLANK('ENGAGEMENTS 2026'!C224),"",'ENGAGEMENTS 2026'!J224)</f>
        <v/>
      </c>
      <c r="G224">
        <f>IF(ISBLANK('ENGAGEMENTS 2026'!C224),"",'ENGAGEMENTS 2026'!M224)</f>
        <v/>
      </c>
      <c r="H224">
        <f>IF(ISBLANK('ENGAGEMENTS 2026'!C224),"",'ENGAGEMENTS 2026'!AF224)</f>
        <v/>
      </c>
      <c r="I224">
        <f>IF(ISBLANK('ENGAGEMENTS 2026'!C224),"",'ENGAGEMENTS 2026'!H224)</f>
        <v/>
      </c>
      <c r="J224" s="275">
        <f>IF(ISBLANK('ENGAGEMENTS 2026'!C224),"",IF(AND(OR($E224="INFRUCTUEUX",$E224="ANNULE"),$C224="AOO-M"),'ENGAGEMENTS 2026'!P224,IF($H224="EN COURS DE PREENGAGEMENT",'ENGAGEMENTS 2026'!O224,IF($H224="PREENGAGE",IF($E224="ATTRIBUE",'ENGAGEMENTS 2026'!AE224,'ENGAGEMENTS 2026'!O224),'ENGAGEMENTS 2026'!AE224))))</f>
        <v/>
      </c>
      <c r="K224" s="604">
        <f>IF(ISBLANK('ENGAGEMENTS 2026'!W224),"",'ENGAGEMENTS 2026'!W224)</f>
        <v/>
      </c>
      <c r="L224" s="276">
        <f>IF($K224="","",TODAY()-$K224)</f>
        <v/>
      </c>
      <c r="M224">
        <f>IF($A224="","",IF($H224="ENGAGE","Engagé",IF(AND($H224="NON ENGAGE",OR($I224="INFRUCTUEUX",$I224="ANNULE")),"Clôturé sans suite","En cours")))</f>
        <v/>
      </c>
      <c r="N224">
        <f>IF(ISBLANK('ENGAGEMENTS 2026'!C224),"",'ENGAGEMENTS 2026'!L224)</f>
        <v/>
      </c>
      <c r="O224">
        <f>IF(ISBLANK('ENGAGEMENTS 2026'!C224),"",'ENGAGEMENTS 2026'!M224)</f>
        <v/>
      </c>
      <c r="P224">
        <f>IF(ISBLANK('ENGAGEMENTS 2026'!C224),"",'ENGAGEMENTS 2026'!K224)</f>
        <v/>
      </c>
      <c r="Q224">
        <f>IF($A224="","",IF(OR($E224="INFRUCTUEUX",$E224="ANNULE"),$A224&amp;"|"&amp;(COUNTIFS($A$2:$A224,$A224,$E$2:$E224,"INFRUCTUEUX")+COUNTIFS($A$2:$A224,$A224,$E$2:$E224,"ANNULE")),""))</f>
        <v/>
      </c>
    </row>
    <row r="225">
      <c r="A225">
        <f>IF(ISBLANK('ENGAGEMENTS 2026'!C225),"",IF('ENGAGEMENTS 2026'!C225="DTSI","DCT",'ENGAGEMENTS 2026'!C225))</f>
        <v/>
      </c>
      <c r="B225">
        <f>IF(ISBLANK('ENGAGEMENTS 2026'!C225),"",'ENGAGEMENTS 2026'!D225)</f>
        <v/>
      </c>
      <c r="C225">
        <f>IF(ISBLANK('ENGAGEMENTS 2026'!C225),"",'ENGAGEMENTS 2026'!E225)</f>
        <v/>
      </c>
      <c r="D225">
        <f>IF(ISBLANK('ENGAGEMENTS 2026'!C225),"",'ENGAGEMENTS 2026'!G225)</f>
        <v/>
      </c>
      <c r="E225">
        <f>IF(ISBLANK('ENGAGEMENTS 2026'!C225),"",'ENGAGEMENTS 2026'!I225)</f>
        <v/>
      </c>
      <c r="F225">
        <f>IF(ISBLANK('ENGAGEMENTS 2026'!C225),"",'ENGAGEMENTS 2026'!J225)</f>
        <v/>
      </c>
      <c r="G225">
        <f>IF(ISBLANK('ENGAGEMENTS 2026'!C225),"",'ENGAGEMENTS 2026'!M225)</f>
        <v/>
      </c>
      <c r="H225">
        <f>IF(ISBLANK('ENGAGEMENTS 2026'!C225),"",'ENGAGEMENTS 2026'!AF225)</f>
        <v/>
      </c>
      <c r="I225">
        <f>IF(ISBLANK('ENGAGEMENTS 2026'!C225),"",'ENGAGEMENTS 2026'!H225)</f>
        <v/>
      </c>
      <c r="J225" s="275">
        <f>IF(ISBLANK('ENGAGEMENTS 2026'!C225),"",IF(AND(OR($E225="INFRUCTUEUX",$E225="ANNULE"),$C225="AOO-M"),'ENGAGEMENTS 2026'!P225,IF($H225="EN COURS DE PREENGAGEMENT",'ENGAGEMENTS 2026'!O225,IF($H225="PREENGAGE",IF($E225="ATTRIBUE",'ENGAGEMENTS 2026'!AE225,'ENGAGEMENTS 2026'!O225),'ENGAGEMENTS 2026'!AE225))))</f>
        <v/>
      </c>
      <c r="K225" s="604">
        <f>IF(ISBLANK('ENGAGEMENTS 2026'!W225),"",'ENGAGEMENTS 2026'!W225)</f>
        <v/>
      </c>
      <c r="L225" s="276">
        <f>IF($K225="","",TODAY()-$K225)</f>
        <v/>
      </c>
      <c r="M225">
        <f>IF($A225="","",IF($H225="ENGAGE","Engagé",IF(AND($H225="NON ENGAGE",OR($I225="INFRUCTUEUX",$I225="ANNULE")),"Clôturé sans suite","En cours")))</f>
        <v/>
      </c>
      <c r="N225">
        <f>IF(ISBLANK('ENGAGEMENTS 2026'!C225),"",'ENGAGEMENTS 2026'!L225)</f>
        <v/>
      </c>
      <c r="O225">
        <f>IF(ISBLANK('ENGAGEMENTS 2026'!C225),"",'ENGAGEMENTS 2026'!M225)</f>
        <v/>
      </c>
      <c r="P225">
        <f>IF(ISBLANK('ENGAGEMENTS 2026'!C225),"",'ENGAGEMENTS 2026'!K225)</f>
        <v/>
      </c>
      <c r="Q225">
        <f>IF($A225="","",IF(OR($E225="INFRUCTUEUX",$E225="ANNULE"),$A225&amp;"|"&amp;(COUNTIFS($A$2:$A225,$A225,$E$2:$E225,"INFRUCTUEUX")+COUNTIFS($A$2:$A225,$A225,$E$2:$E225,"ANNULE")),""))</f>
        <v/>
      </c>
    </row>
    <row r="226">
      <c r="A226">
        <f>IF(ISBLANK('ENGAGEMENTS 2026'!C226),"",IF('ENGAGEMENTS 2026'!C226="DTSI","DCT",'ENGAGEMENTS 2026'!C226))</f>
        <v/>
      </c>
      <c r="B226">
        <f>IF(ISBLANK('ENGAGEMENTS 2026'!C226),"",'ENGAGEMENTS 2026'!D226)</f>
        <v/>
      </c>
      <c r="C226">
        <f>IF(ISBLANK('ENGAGEMENTS 2026'!C226),"",'ENGAGEMENTS 2026'!E226)</f>
        <v/>
      </c>
      <c r="D226">
        <f>IF(ISBLANK('ENGAGEMENTS 2026'!C226),"",'ENGAGEMENTS 2026'!G226)</f>
        <v/>
      </c>
      <c r="E226">
        <f>IF(ISBLANK('ENGAGEMENTS 2026'!C226),"",'ENGAGEMENTS 2026'!I226)</f>
        <v/>
      </c>
      <c r="F226">
        <f>IF(ISBLANK('ENGAGEMENTS 2026'!C226),"",'ENGAGEMENTS 2026'!J226)</f>
        <v/>
      </c>
      <c r="G226">
        <f>IF(ISBLANK('ENGAGEMENTS 2026'!C226),"",'ENGAGEMENTS 2026'!M226)</f>
        <v/>
      </c>
      <c r="H226">
        <f>IF(ISBLANK('ENGAGEMENTS 2026'!C226),"",'ENGAGEMENTS 2026'!AF226)</f>
        <v/>
      </c>
      <c r="I226">
        <f>IF(ISBLANK('ENGAGEMENTS 2026'!C226),"",'ENGAGEMENTS 2026'!H226)</f>
        <v/>
      </c>
      <c r="J226" s="275">
        <f>IF(ISBLANK('ENGAGEMENTS 2026'!C226),"",IF(AND(OR($E226="INFRUCTUEUX",$E226="ANNULE"),$C226="AOO-M"),'ENGAGEMENTS 2026'!P226,IF($H226="EN COURS DE PREENGAGEMENT",'ENGAGEMENTS 2026'!O226,IF($H226="PREENGAGE",IF($E226="ATTRIBUE",'ENGAGEMENTS 2026'!AE226,'ENGAGEMENTS 2026'!O226),'ENGAGEMENTS 2026'!AE226))))</f>
        <v/>
      </c>
      <c r="K226" s="604">
        <f>IF(ISBLANK('ENGAGEMENTS 2026'!W226),"",'ENGAGEMENTS 2026'!W226)</f>
        <v/>
      </c>
      <c r="L226" s="276">
        <f>IF($K226="","",TODAY()-$K226)</f>
        <v/>
      </c>
      <c r="M226">
        <f>IF($A226="","",IF($H226="ENGAGE","Engagé",IF(AND($H226="NON ENGAGE",OR($I226="INFRUCTUEUX",$I226="ANNULE")),"Clôturé sans suite","En cours")))</f>
        <v/>
      </c>
      <c r="N226">
        <f>IF(ISBLANK('ENGAGEMENTS 2026'!C226),"",'ENGAGEMENTS 2026'!L226)</f>
        <v/>
      </c>
      <c r="O226">
        <f>IF(ISBLANK('ENGAGEMENTS 2026'!C226),"",'ENGAGEMENTS 2026'!M226)</f>
        <v/>
      </c>
      <c r="P226">
        <f>IF(ISBLANK('ENGAGEMENTS 2026'!C226),"",'ENGAGEMENTS 2026'!K226)</f>
        <v/>
      </c>
      <c r="Q226">
        <f>IF($A226="","",IF(OR($E226="INFRUCTUEUX",$E226="ANNULE"),$A226&amp;"|"&amp;(COUNTIFS($A$2:$A226,$A226,$E$2:$E226,"INFRUCTUEUX")+COUNTIFS($A$2:$A226,$A226,$E$2:$E226,"ANNULE")),""))</f>
        <v/>
      </c>
    </row>
    <row r="227">
      <c r="A227">
        <f>IF(ISBLANK('ENGAGEMENTS 2026'!C227),"",IF('ENGAGEMENTS 2026'!C227="DTSI","DCT",'ENGAGEMENTS 2026'!C227))</f>
        <v/>
      </c>
      <c r="B227">
        <f>IF(ISBLANK('ENGAGEMENTS 2026'!C227),"",'ENGAGEMENTS 2026'!D227)</f>
        <v/>
      </c>
      <c r="C227">
        <f>IF(ISBLANK('ENGAGEMENTS 2026'!C227),"",'ENGAGEMENTS 2026'!E227)</f>
        <v/>
      </c>
      <c r="D227">
        <f>IF(ISBLANK('ENGAGEMENTS 2026'!C227),"",'ENGAGEMENTS 2026'!G227)</f>
        <v/>
      </c>
      <c r="E227">
        <f>IF(ISBLANK('ENGAGEMENTS 2026'!C227),"",'ENGAGEMENTS 2026'!I227)</f>
        <v/>
      </c>
      <c r="F227">
        <f>IF(ISBLANK('ENGAGEMENTS 2026'!C227),"",'ENGAGEMENTS 2026'!J227)</f>
        <v/>
      </c>
      <c r="G227">
        <f>IF(ISBLANK('ENGAGEMENTS 2026'!C227),"",'ENGAGEMENTS 2026'!M227)</f>
        <v/>
      </c>
      <c r="H227">
        <f>IF(ISBLANK('ENGAGEMENTS 2026'!C227),"",'ENGAGEMENTS 2026'!AF227)</f>
        <v/>
      </c>
      <c r="I227">
        <f>IF(ISBLANK('ENGAGEMENTS 2026'!C227),"",'ENGAGEMENTS 2026'!H227)</f>
        <v/>
      </c>
      <c r="J227" s="275">
        <f>IF(ISBLANK('ENGAGEMENTS 2026'!C227),"",IF(AND(OR($E227="INFRUCTUEUX",$E227="ANNULE"),$C227="AOO-M"),'ENGAGEMENTS 2026'!P227,IF($H227="EN COURS DE PREENGAGEMENT",'ENGAGEMENTS 2026'!O227,IF($H227="PREENGAGE",IF($E227="ATTRIBUE",'ENGAGEMENTS 2026'!AE227,'ENGAGEMENTS 2026'!O227),'ENGAGEMENTS 2026'!AE227))))</f>
        <v/>
      </c>
      <c r="K227" s="604">
        <f>IF(ISBLANK('ENGAGEMENTS 2026'!W227),"",'ENGAGEMENTS 2026'!W227)</f>
        <v/>
      </c>
      <c r="L227" s="276">
        <f>IF($K227="","",TODAY()-$K227)</f>
        <v/>
      </c>
      <c r="M227">
        <f>IF($A227="","",IF($H227="ENGAGE","Engagé",IF(AND($H227="NON ENGAGE",OR($I227="INFRUCTUEUX",$I227="ANNULE")),"Clôturé sans suite","En cours")))</f>
        <v/>
      </c>
      <c r="N227">
        <f>IF(ISBLANK('ENGAGEMENTS 2026'!C227),"",'ENGAGEMENTS 2026'!L227)</f>
        <v/>
      </c>
      <c r="O227">
        <f>IF(ISBLANK('ENGAGEMENTS 2026'!C227),"",'ENGAGEMENTS 2026'!M227)</f>
        <v/>
      </c>
      <c r="P227">
        <f>IF(ISBLANK('ENGAGEMENTS 2026'!C227),"",'ENGAGEMENTS 2026'!K227)</f>
        <v/>
      </c>
      <c r="Q227">
        <f>IF($A227="","",IF(OR($E227="INFRUCTUEUX",$E227="ANNULE"),$A227&amp;"|"&amp;(COUNTIFS($A$2:$A227,$A227,$E$2:$E227,"INFRUCTUEUX")+COUNTIFS($A$2:$A227,$A227,$E$2:$E227,"ANNULE")),""))</f>
        <v/>
      </c>
    </row>
    <row r="228">
      <c r="A228">
        <f>IF(ISBLANK('ENGAGEMENTS 2026'!C228),"",IF('ENGAGEMENTS 2026'!C228="DTSI","DCT",'ENGAGEMENTS 2026'!C228))</f>
        <v/>
      </c>
      <c r="B228">
        <f>IF(ISBLANK('ENGAGEMENTS 2026'!C228),"",'ENGAGEMENTS 2026'!D228)</f>
        <v/>
      </c>
      <c r="C228">
        <f>IF(ISBLANK('ENGAGEMENTS 2026'!C228),"",'ENGAGEMENTS 2026'!E228)</f>
        <v/>
      </c>
      <c r="D228">
        <f>IF(ISBLANK('ENGAGEMENTS 2026'!C228),"",'ENGAGEMENTS 2026'!G228)</f>
        <v/>
      </c>
      <c r="E228">
        <f>IF(ISBLANK('ENGAGEMENTS 2026'!C228),"",'ENGAGEMENTS 2026'!I228)</f>
        <v/>
      </c>
      <c r="F228">
        <f>IF(ISBLANK('ENGAGEMENTS 2026'!C228),"",'ENGAGEMENTS 2026'!J228)</f>
        <v/>
      </c>
      <c r="G228">
        <f>IF(ISBLANK('ENGAGEMENTS 2026'!C228),"",'ENGAGEMENTS 2026'!M228)</f>
        <v/>
      </c>
      <c r="H228">
        <f>IF(ISBLANK('ENGAGEMENTS 2026'!C228),"",'ENGAGEMENTS 2026'!AF228)</f>
        <v/>
      </c>
      <c r="I228">
        <f>IF(ISBLANK('ENGAGEMENTS 2026'!C228),"",'ENGAGEMENTS 2026'!H228)</f>
        <v/>
      </c>
      <c r="J228" s="275">
        <f>IF(ISBLANK('ENGAGEMENTS 2026'!C228),"",IF(AND(OR($E228="INFRUCTUEUX",$E228="ANNULE"),$C228="AOO-M"),'ENGAGEMENTS 2026'!P228,IF($H228="EN COURS DE PREENGAGEMENT",'ENGAGEMENTS 2026'!O228,IF($H228="PREENGAGE",IF($E228="ATTRIBUE",'ENGAGEMENTS 2026'!AE228,'ENGAGEMENTS 2026'!O228),'ENGAGEMENTS 2026'!AE228))))</f>
        <v/>
      </c>
      <c r="K228" s="604">
        <f>IF(ISBLANK('ENGAGEMENTS 2026'!W228),"",'ENGAGEMENTS 2026'!W228)</f>
        <v/>
      </c>
      <c r="L228" s="276">
        <f>IF($K228="","",TODAY()-$K228)</f>
        <v/>
      </c>
      <c r="M228">
        <f>IF($A228="","",IF($H228="ENGAGE","Engagé",IF(AND($H228="NON ENGAGE",OR($I228="INFRUCTUEUX",$I228="ANNULE")),"Clôturé sans suite","En cours")))</f>
        <v/>
      </c>
      <c r="N228">
        <f>IF(ISBLANK('ENGAGEMENTS 2026'!C228),"",'ENGAGEMENTS 2026'!L228)</f>
        <v/>
      </c>
      <c r="O228">
        <f>IF(ISBLANK('ENGAGEMENTS 2026'!C228),"",'ENGAGEMENTS 2026'!M228)</f>
        <v/>
      </c>
      <c r="P228">
        <f>IF(ISBLANK('ENGAGEMENTS 2026'!C228),"",'ENGAGEMENTS 2026'!K228)</f>
        <v/>
      </c>
      <c r="Q228">
        <f>IF($A228="","",IF(OR($E228="INFRUCTUEUX",$E228="ANNULE"),$A228&amp;"|"&amp;(COUNTIFS($A$2:$A228,$A228,$E$2:$E228,"INFRUCTUEUX")+COUNTIFS($A$2:$A228,$A228,$E$2:$E228,"ANNULE")),""))</f>
        <v/>
      </c>
    </row>
    <row r="229">
      <c r="A229">
        <f>IF(ISBLANK('ENGAGEMENTS 2026'!C229),"",IF('ENGAGEMENTS 2026'!C229="DTSI","DCT",'ENGAGEMENTS 2026'!C229))</f>
        <v/>
      </c>
      <c r="B229">
        <f>IF(ISBLANK('ENGAGEMENTS 2026'!C229),"",'ENGAGEMENTS 2026'!D229)</f>
        <v/>
      </c>
      <c r="C229">
        <f>IF(ISBLANK('ENGAGEMENTS 2026'!C229),"",'ENGAGEMENTS 2026'!E229)</f>
        <v/>
      </c>
      <c r="D229">
        <f>IF(ISBLANK('ENGAGEMENTS 2026'!C229),"",'ENGAGEMENTS 2026'!G229)</f>
        <v/>
      </c>
      <c r="E229">
        <f>IF(ISBLANK('ENGAGEMENTS 2026'!C229),"",'ENGAGEMENTS 2026'!I229)</f>
        <v/>
      </c>
      <c r="F229">
        <f>IF(ISBLANK('ENGAGEMENTS 2026'!C229),"",'ENGAGEMENTS 2026'!J229)</f>
        <v/>
      </c>
      <c r="G229">
        <f>IF(ISBLANK('ENGAGEMENTS 2026'!C229),"",'ENGAGEMENTS 2026'!M229)</f>
        <v/>
      </c>
      <c r="H229">
        <f>IF(ISBLANK('ENGAGEMENTS 2026'!C229),"",'ENGAGEMENTS 2026'!AF229)</f>
        <v/>
      </c>
      <c r="I229">
        <f>IF(ISBLANK('ENGAGEMENTS 2026'!C229),"",'ENGAGEMENTS 2026'!H229)</f>
        <v/>
      </c>
      <c r="J229" s="275">
        <f>IF(ISBLANK('ENGAGEMENTS 2026'!C229),"",IF(AND(OR($E229="INFRUCTUEUX",$E229="ANNULE"),$C229="AOO-M"),'ENGAGEMENTS 2026'!P229,IF($H229="EN COURS DE PREENGAGEMENT",'ENGAGEMENTS 2026'!O229,IF($H229="PREENGAGE",IF($E229="ATTRIBUE",'ENGAGEMENTS 2026'!AE229,'ENGAGEMENTS 2026'!O229),'ENGAGEMENTS 2026'!AE229))))</f>
        <v/>
      </c>
      <c r="K229" s="604">
        <f>IF(ISBLANK('ENGAGEMENTS 2026'!W229),"",'ENGAGEMENTS 2026'!W229)</f>
        <v/>
      </c>
      <c r="L229" s="276">
        <f>IF($K229="","",TODAY()-$K229)</f>
        <v/>
      </c>
      <c r="M229">
        <f>IF($A229="","",IF($H229="ENGAGE","Engagé",IF(AND($H229="NON ENGAGE",OR($I229="INFRUCTUEUX",$I229="ANNULE")),"Clôturé sans suite","En cours")))</f>
        <v/>
      </c>
      <c r="N229">
        <f>IF(ISBLANK('ENGAGEMENTS 2026'!C229),"",'ENGAGEMENTS 2026'!L229)</f>
        <v/>
      </c>
      <c r="O229">
        <f>IF(ISBLANK('ENGAGEMENTS 2026'!C229),"",'ENGAGEMENTS 2026'!M229)</f>
        <v/>
      </c>
      <c r="P229">
        <f>IF(ISBLANK('ENGAGEMENTS 2026'!C229),"",'ENGAGEMENTS 2026'!K229)</f>
        <v/>
      </c>
      <c r="Q229">
        <f>IF($A229="","",IF(OR($E229="INFRUCTUEUX",$E229="ANNULE"),$A229&amp;"|"&amp;(COUNTIFS($A$2:$A229,$A229,$E$2:$E229,"INFRUCTUEUX")+COUNTIFS($A$2:$A229,$A229,$E$2:$E229,"ANNULE")),""))</f>
        <v/>
      </c>
    </row>
    <row r="230">
      <c r="A230">
        <f>IF(ISBLANK('ENGAGEMENTS 2026'!C230),"",IF('ENGAGEMENTS 2026'!C230="DTSI","DCT",'ENGAGEMENTS 2026'!C230))</f>
        <v/>
      </c>
      <c r="B230">
        <f>IF(ISBLANK('ENGAGEMENTS 2026'!C230),"",'ENGAGEMENTS 2026'!D230)</f>
        <v/>
      </c>
      <c r="C230">
        <f>IF(ISBLANK('ENGAGEMENTS 2026'!C230),"",'ENGAGEMENTS 2026'!E230)</f>
        <v/>
      </c>
      <c r="D230">
        <f>IF(ISBLANK('ENGAGEMENTS 2026'!C230),"",'ENGAGEMENTS 2026'!G230)</f>
        <v/>
      </c>
      <c r="E230">
        <f>IF(ISBLANK('ENGAGEMENTS 2026'!C230),"",'ENGAGEMENTS 2026'!I230)</f>
        <v/>
      </c>
      <c r="F230">
        <f>IF(ISBLANK('ENGAGEMENTS 2026'!C230),"",'ENGAGEMENTS 2026'!J230)</f>
        <v/>
      </c>
      <c r="G230">
        <f>IF(ISBLANK('ENGAGEMENTS 2026'!C230),"",'ENGAGEMENTS 2026'!M230)</f>
        <v/>
      </c>
      <c r="H230">
        <f>IF(ISBLANK('ENGAGEMENTS 2026'!C230),"",'ENGAGEMENTS 2026'!AF230)</f>
        <v/>
      </c>
      <c r="I230">
        <f>IF(ISBLANK('ENGAGEMENTS 2026'!C230),"",'ENGAGEMENTS 2026'!H230)</f>
        <v/>
      </c>
      <c r="J230" s="275">
        <f>IF(ISBLANK('ENGAGEMENTS 2026'!C230),"",IF(AND(OR($E230="INFRUCTUEUX",$E230="ANNULE"),$C230="AOO-M"),'ENGAGEMENTS 2026'!P230,IF($H230="EN COURS DE PREENGAGEMENT",'ENGAGEMENTS 2026'!O230,IF($H230="PREENGAGE",IF($E230="ATTRIBUE",'ENGAGEMENTS 2026'!AE230,'ENGAGEMENTS 2026'!O230),'ENGAGEMENTS 2026'!AE230))))</f>
        <v/>
      </c>
      <c r="K230" s="604">
        <f>IF(ISBLANK('ENGAGEMENTS 2026'!W230),"",'ENGAGEMENTS 2026'!W230)</f>
        <v/>
      </c>
      <c r="L230" s="276">
        <f>IF($K230="","",TODAY()-$K230)</f>
        <v/>
      </c>
      <c r="M230">
        <f>IF($A230="","",IF($H230="ENGAGE","Engagé",IF(AND($H230="NON ENGAGE",OR($I230="INFRUCTUEUX",$I230="ANNULE")),"Clôturé sans suite","En cours")))</f>
        <v/>
      </c>
      <c r="N230">
        <f>IF(ISBLANK('ENGAGEMENTS 2026'!C230),"",'ENGAGEMENTS 2026'!L230)</f>
        <v/>
      </c>
      <c r="O230">
        <f>IF(ISBLANK('ENGAGEMENTS 2026'!C230),"",'ENGAGEMENTS 2026'!M230)</f>
        <v/>
      </c>
      <c r="P230">
        <f>IF(ISBLANK('ENGAGEMENTS 2026'!C230),"",'ENGAGEMENTS 2026'!K230)</f>
        <v/>
      </c>
      <c r="Q230">
        <f>IF($A230="","",IF(OR($E230="INFRUCTUEUX",$E230="ANNULE"),$A230&amp;"|"&amp;(COUNTIFS($A$2:$A230,$A230,$E$2:$E230,"INFRUCTUEUX")+COUNTIFS($A$2:$A230,$A230,$E$2:$E230,"ANNULE")),""))</f>
        <v/>
      </c>
    </row>
    <row r="231">
      <c r="A231">
        <f>IF(ISBLANK('ENGAGEMENTS 2026'!C231),"",IF('ENGAGEMENTS 2026'!C231="DTSI","DCT",'ENGAGEMENTS 2026'!C231))</f>
        <v/>
      </c>
      <c r="B231">
        <f>IF(ISBLANK('ENGAGEMENTS 2026'!C231),"",'ENGAGEMENTS 2026'!D231)</f>
        <v/>
      </c>
      <c r="C231">
        <f>IF(ISBLANK('ENGAGEMENTS 2026'!C231),"",'ENGAGEMENTS 2026'!E231)</f>
        <v/>
      </c>
      <c r="D231">
        <f>IF(ISBLANK('ENGAGEMENTS 2026'!C231),"",'ENGAGEMENTS 2026'!G231)</f>
        <v/>
      </c>
      <c r="E231">
        <f>IF(ISBLANK('ENGAGEMENTS 2026'!C231),"",'ENGAGEMENTS 2026'!I231)</f>
        <v/>
      </c>
      <c r="F231">
        <f>IF(ISBLANK('ENGAGEMENTS 2026'!C231),"",'ENGAGEMENTS 2026'!J231)</f>
        <v/>
      </c>
      <c r="G231">
        <f>IF(ISBLANK('ENGAGEMENTS 2026'!C231),"",'ENGAGEMENTS 2026'!M231)</f>
        <v/>
      </c>
      <c r="H231">
        <f>IF(ISBLANK('ENGAGEMENTS 2026'!C231),"",'ENGAGEMENTS 2026'!AF231)</f>
        <v/>
      </c>
      <c r="I231">
        <f>IF(ISBLANK('ENGAGEMENTS 2026'!C231),"",'ENGAGEMENTS 2026'!H231)</f>
        <v/>
      </c>
      <c r="J231" s="275">
        <f>IF(ISBLANK('ENGAGEMENTS 2026'!C231),"",IF(AND(OR($E231="INFRUCTUEUX",$E231="ANNULE"),$C231="AOO-M"),'ENGAGEMENTS 2026'!P231,IF($H231="EN COURS DE PREENGAGEMENT",'ENGAGEMENTS 2026'!O231,IF($H231="PREENGAGE",IF($E231="ATTRIBUE",'ENGAGEMENTS 2026'!AE231,'ENGAGEMENTS 2026'!O231),'ENGAGEMENTS 2026'!AE231))))</f>
        <v/>
      </c>
      <c r="K231" s="604">
        <f>IF(ISBLANK('ENGAGEMENTS 2026'!W231),"",'ENGAGEMENTS 2026'!W231)</f>
        <v/>
      </c>
      <c r="L231" s="276">
        <f>IF($K231="","",TODAY()-$K231)</f>
        <v/>
      </c>
      <c r="M231">
        <f>IF($A231="","",IF($H231="ENGAGE","Engagé",IF(AND($H231="NON ENGAGE",OR($I231="INFRUCTUEUX",$I231="ANNULE")),"Clôturé sans suite","En cours")))</f>
        <v/>
      </c>
      <c r="N231">
        <f>IF(ISBLANK('ENGAGEMENTS 2026'!C231),"",'ENGAGEMENTS 2026'!L231)</f>
        <v/>
      </c>
      <c r="O231">
        <f>IF(ISBLANK('ENGAGEMENTS 2026'!C231),"",'ENGAGEMENTS 2026'!M231)</f>
        <v/>
      </c>
      <c r="P231">
        <f>IF(ISBLANK('ENGAGEMENTS 2026'!C231),"",'ENGAGEMENTS 2026'!K231)</f>
        <v/>
      </c>
      <c r="Q231">
        <f>IF($A231="","",IF(OR($E231="INFRUCTUEUX",$E231="ANNULE"),$A231&amp;"|"&amp;(COUNTIFS($A$2:$A231,$A231,$E$2:$E231,"INFRUCTUEUX")+COUNTIFS($A$2:$A231,$A231,$E$2:$E231,"ANNULE")),""))</f>
        <v/>
      </c>
    </row>
    <row r="232">
      <c r="A232">
        <f>IF(ISBLANK('ENGAGEMENTS 2026'!C232),"",IF('ENGAGEMENTS 2026'!C232="DTSI","DCT",'ENGAGEMENTS 2026'!C232))</f>
        <v/>
      </c>
      <c r="B232">
        <f>IF(ISBLANK('ENGAGEMENTS 2026'!C232),"",'ENGAGEMENTS 2026'!D232)</f>
        <v/>
      </c>
      <c r="C232">
        <f>IF(ISBLANK('ENGAGEMENTS 2026'!C232),"",'ENGAGEMENTS 2026'!E232)</f>
        <v/>
      </c>
      <c r="D232">
        <f>IF(ISBLANK('ENGAGEMENTS 2026'!C232),"",'ENGAGEMENTS 2026'!G232)</f>
        <v/>
      </c>
      <c r="E232">
        <f>IF(ISBLANK('ENGAGEMENTS 2026'!C232),"",'ENGAGEMENTS 2026'!I232)</f>
        <v/>
      </c>
      <c r="F232">
        <f>IF(ISBLANK('ENGAGEMENTS 2026'!C232),"",'ENGAGEMENTS 2026'!J232)</f>
        <v/>
      </c>
      <c r="G232">
        <f>IF(ISBLANK('ENGAGEMENTS 2026'!C232),"",'ENGAGEMENTS 2026'!M232)</f>
        <v/>
      </c>
      <c r="H232">
        <f>IF(ISBLANK('ENGAGEMENTS 2026'!C232),"",'ENGAGEMENTS 2026'!AF232)</f>
        <v/>
      </c>
      <c r="I232">
        <f>IF(ISBLANK('ENGAGEMENTS 2026'!C232),"",'ENGAGEMENTS 2026'!H232)</f>
        <v/>
      </c>
      <c r="J232" s="275">
        <f>IF(ISBLANK('ENGAGEMENTS 2026'!C232),"",IF(AND(OR($E232="INFRUCTUEUX",$E232="ANNULE"),$C232="AOO-M"),'ENGAGEMENTS 2026'!P232,IF($H232="EN COURS DE PREENGAGEMENT",'ENGAGEMENTS 2026'!O232,IF($H232="PREENGAGE",IF($E232="ATTRIBUE",'ENGAGEMENTS 2026'!AE232,'ENGAGEMENTS 2026'!O232),'ENGAGEMENTS 2026'!AE232))))</f>
        <v/>
      </c>
      <c r="K232" s="604">
        <f>IF(ISBLANK('ENGAGEMENTS 2026'!W232),"",'ENGAGEMENTS 2026'!W232)</f>
        <v/>
      </c>
      <c r="L232" s="276">
        <f>IF($K232="","",TODAY()-$K232)</f>
        <v/>
      </c>
      <c r="M232">
        <f>IF($A232="","",IF($H232="ENGAGE","Engagé",IF(AND($H232="NON ENGAGE",OR($I232="INFRUCTUEUX",$I232="ANNULE")),"Clôturé sans suite","En cours")))</f>
        <v/>
      </c>
      <c r="N232">
        <f>IF(ISBLANK('ENGAGEMENTS 2026'!C232),"",'ENGAGEMENTS 2026'!L232)</f>
        <v/>
      </c>
      <c r="O232">
        <f>IF(ISBLANK('ENGAGEMENTS 2026'!C232),"",'ENGAGEMENTS 2026'!M232)</f>
        <v/>
      </c>
      <c r="P232">
        <f>IF(ISBLANK('ENGAGEMENTS 2026'!C232),"",'ENGAGEMENTS 2026'!K232)</f>
        <v/>
      </c>
      <c r="Q232">
        <f>IF($A232="","",IF(OR($E232="INFRUCTUEUX",$E232="ANNULE"),$A232&amp;"|"&amp;(COUNTIFS($A$2:$A232,$A232,$E$2:$E232,"INFRUCTUEUX")+COUNTIFS($A$2:$A232,$A232,$E$2:$E232,"ANNULE")),""))</f>
        <v/>
      </c>
    </row>
    <row r="233">
      <c r="A233">
        <f>IF(ISBLANK('ENGAGEMENTS 2026'!C233),"",IF('ENGAGEMENTS 2026'!C233="DTSI","DCT",'ENGAGEMENTS 2026'!C233))</f>
        <v/>
      </c>
      <c r="B233">
        <f>IF(ISBLANK('ENGAGEMENTS 2026'!C233),"",'ENGAGEMENTS 2026'!D233)</f>
        <v/>
      </c>
      <c r="C233">
        <f>IF(ISBLANK('ENGAGEMENTS 2026'!C233),"",'ENGAGEMENTS 2026'!E233)</f>
        <v/>
      </c>
      <c r="D233">
        <f>IF(ISBLANK('ENGAGEMENTS 2026'!C233),"",'ENGAGEMENTS 2026'!G233)</f>
        <v/>
      </c>
      <c r="E233">
        <f>IF(ISBLANK('ENGAGEMENTS 2026'!C233),"",'ENGAGEMENTS 2026'!I233)</f>
        <v/>
      </c>
      <c r="F233">
        <f>IF(ISBLANK('ENGAGEMENTS 2026'!C233),"",'ENGAGEMENTS 2026'!J233)</f>
        <v/>
      </c>
      <c r="G233">
        <f>IF(ISBLANK('ENGAGEMENTS 2026'!C233),"",'ENGAGEMENTS 2026'!M233)</f>
        <v/>
      </c>
      <c r="H233">
        <f>IF(ISBLANK('ENGAGEMENTS 2026'!C233),"",'ENGAGEMENTS 2026'!AF233)</f>
        <v/>
      </c>
      <c r="I233">
        <f>IF(ISBLANK('ENGAGEMENTS 2026'!C233),"",'ENGAGEMENTS 2026'!H233)</f>
        <v/>
      </c>
      <c r="J233" s="275">
        <f>IF(ISBLANK('ENGAGEMENTS 2026'!C233),"",IF(AND(OR($E233="INFRUCTUEUX",$E233="ANNULE"),$C233="AOO-M"),'ENGAGEMENTS 2026'!P233,IF($H233="EN COURS DE PREENGAGEMENT",'ENGAGEMENTS 2026'!O233,IF($H233="PREENGAGE",IF($E233="ATTRIBUE",'ENGAGEMENTS 2026'!AE233,'ENGAGEMENTS 2026'!O233),'ENGAGEMENTS 2026'!AE233))))</f>
        <v/>
      </c>
      <c r="K233" s="604">
        <f>IF(ISBLANK('ENGAGEMENTS 2026'!W233),"",'ENGAGEMENTS 2026'!W233)</f>
        <v/>
      </c>
      <c r="L233" s="276">
        <f>IF($K233="","",TODAY()-$K233)</f>
        <v/>
      </c>
      <c r="M233">
        <f>IF($A233="","",IF($H233="ENGAGE","Engagé",IF(AND($H233="NON ENGAGE",OR($I233="INFRUCTUEUX",$I233="ANNULE")),"Clôturé sans suite","En cours")))</f>
        <v/>
      </c>
      <c r="N233">
        <f>IF(ISBLANK('ENGAGEMENTS 2026'!C233),"",'ENGAGEMENTS 2026'!L233)</f>
        <v/>
      </c>
      <c r="O233">
        <f>IF(ISBLANK('ENGAGEMENTS 2026'!C233),"",'ENGAGEMENTS 2026'!M233)</f>
        <v/>
      </c>
      <c r="P233">
        <f>IF(ISBLANK('ENGAGEMENTS 2026'!C233),"",'ENGAGEMENTS 2026'!K233)</f>
        <v/>
      </c>
      <c r="Q233">
        <f>IF($A233="","",IF(OR($E233="INFRUCTUEUX",$E233="ANNULE"),$A233&amp;"|"&amp;(COUNTIFS($A$2:$A233,$A233,$E$2:$E233,"INFRUCTUEUX")+COUNTIFS($A$2:$A233,$A233,$E$2:$E233,"ANNULE")),""))</f>
        <v/>
      </c>
    </row>
    <row r="234">
      <c r="A234">
        <f>IF(ISBLANK('ENGAGEMENTS 2026'!C234),"",IF('ENGAGEMENTS 2026'!C234="DTSI","DCT",'ENGAGEMENTS 2026'!C234))</f>
        <v/>
      </c>
      <c r="B234">
        <f>IF(ISBLANK('ENGAGEMENTS 2026'!C234),"",'ENGAGEMENTS 2026'!D234)</f>
        <v/>
      </c>
      <c r="C234">
        <f>IF(ISBLANK('ENGAGEMENTS 2026'!C234),"",'ENGAGEMENTS 2026'!E234)</f>
        <v/>
      </c>
      <c r="D234">
        <f>IF(ISBLANK('ENGAGEMENTS 2026'!C234),"",'ENGAGEMENTS 2026'!G234)</f>
        <v/>
      </c>
      <c r="E234">
        <f>IF(ISBLANK('ENGAGEMENTS 2026'!C234),"",'ENGAGEMENTS 2026'!I234)</f>
        <v/>
      </c>
      <c r="F234">
        <f>IF(ISBLANK('ENGAGEMENTS 2026'!C234),"",'ENGAGEMENTS 2026'!J234)</f>
        <v/>
      </c>
      <c r="G234">
        <f>IF(ISBLANK('ENGAGEMENTS 2026'!C234),"",'ENGAGEMENTS 2026'!M234)</f>
        <v/>
      </c>
      <c r="H234">
        <f>IF(ISBLANK('ENGAGEMENTS 2026'!C234),"",'ENGAGEMENTS 2026'!AF234)</f>
        <v/>
      </c>
      <c r="I234">
        <f>IF(ISBLANK('ENGAGEMENTS 2026'!C234),"",'ENGAGEMENTS 2026'!H234)</f>
        <v/>
      </c>
      <c r="J234" s="275">
        <f>IF(ISBLANK('ENGAGEMENTS 2026'!C234),"",IF(AND(OR($E234="INFRUCTUEUX",$E234="ANNULE"),$C234="AOO-M"),'ENGAGEMENTS 2026'!P234,IF($H234="EN COURS DE PREENGAGEMENT",'ENGAGEMENTS 2026'!O234,IF($H234="PREENGAGE",IF($E234="ATTRIBUE",'ENGAGEMENTS 2026'!AE234,'ENGAGEMENTS 2026'!O234),'ENGAGEMENTS 2026'!AE234))))</f>
        <v/>
      </c>
      <c r="K234" s="604">
        <f>IF(ISBLANK('ENGAGEMENTS 2026'!W234),"",'ENGAGEMENTS 2026'!W234)</f>
        <v/>
      </c>
      <c r="L234" s="276">
        <f>IF($K234="","",TODAY()-$K234)</f>
        <v/>
      </c>
      <c r="M234">
        <f>IF($A234="","",IF($H234="ENGAGE","Engagé",IF(AND($H234="NON ENGAGE",OR($I234="INFRUCTUEUX",$I234="ANNULE")),"Clôturé sans suite","En cours")))</f>
        <v/>
      </c>
      <c r="N234">
        <f>IF(ISBLANK('ENGAGEMENTS 2026'!C234),"",'ENGAGEMENTS 2026'!L234)</f>
        <v/>
      </c>
      <c r="O234">
        <f>IF(ISBLANK('ENGAGEMENTS 2026'!C234),"",'ENGAGEMENTS 2026'!M234)</f>
        <v/>
      </c>
      <c r="P234">
        <f>IF(ISBLANK('ENGAGEMENTS 2026'!C234),"",'ENGAGEMENTS 2026'!K234)</f>
        <v/>
      </c>
      <c r="Q234">
        <f>IF($A234="","",IF(OR($E234="INFRUCTUEUX",$E234="ANNULE"),$A234&amp;"|"&amp;(COUNTIFS($A$2:$A234,$A234,$E$2:$E234,"INFRUCTUEUX")+COUNTIFS($A$2:$A234,$A234,$E$2:$E234,"ANNULE")),""))</f>
        <v/>
      </c>
    </row>
    <row r="235">
      <c r="A235">
        <f>IF(ISBLANK('ENGAGEMENTS 2026'!C235),"",IF('ENGAGEMENTS 2026'!C235="DTSI","DCT",'ENGAGEMENTS 2026'!C235))</f>
        <v/>
      </c>
      <c r="B235">
        <f>IF(ISBLANK('ENGAGEMENTS 2026'!C235),"",'ENGAGEMENTS 2026'!D235)</f>
        <v/>
      </c>
      <c r="C235">
        <f>IF(ISBLANK('ENGAGEMENTS 2026'!C235),"",'ENGAGEMENTS 2026'!E235)</f>
        <v/>
      </c>
      <c r="D235">
        <f>IF(ISBLANK('ENGAGEMENTS 2026'!C235),"",'ENGAGEMENTS 2026'!G235)</f>
        <v/>
      </c>
      <c r="E235">
        <f>IF(ISBLANK('ENGAGEMENTS 2026'!C235),"",'ENGAGEMENTS 2026'!I235)</f>
        <v/>
      </c>
      <c r="F235">
        <f>IF(ISBLANK('ENGAGEMENTS 2026'!C235),"",'ENGAGEMENTS 2026'!J235)</f>
        <v/>
      </c>
      <c r="G235">
        <f>IF(ISBLANK('ENGAGEMENTS 2026'!C235),"",'ENGAGEMENTS 2026'!M235)</f>
        <v/>
      </c>
      <c r="H235">
        <f>IF(ISBLANK('ENGAGEMENTS 2026'!C235),"",'ENGAGEMENTS 2026'!AF235)</f>
        <v/>
      </c>
      <c r="I235">
        <f>IF(ISBLANK('ENGAGEMENTS 2026'!C235),"",'ENGAGEMENTS 2026'!H235)</f>
        <v/>
      </c>
      <c r="J235" s="275">
        <f>IF(ISBLANK('ENGAGEMENTS 2026'!C235),"",IF(AND(OR($E235="INFRUCTUEUX",$E235="ANNULE"),$C235="AOO-M"),'ENGAGEMENTS 2026'!P235,IF($H235="EN COURS DE PREENGAGEMENT",'ENGAGEMENTS 2026'!O235,IF($H235="PREENGAGE",IF($E235="ATTRIBUE",'ENGAGEMENTS 2026'!AE235,'ENGAGEMENTS 2026'!O235),'ENGAGEMENTS 2026'!AE235))))</f>
        <v/>
      </c>
      <c r="K235" s="604">
        <f>IF(ISBLANK('ENGAGEMENTS 2026'!W235),"",'ENGAGEMENTS 2026'!W235)</f>
        <v/>
      </c>
      <c r="L235" s="276">
        <f>IF($K235="","",TODAY()-$K235)</f>
        <v/>
      </c>
      <c r="M235">
        <f>IF($A235="","",IF($H235="ENGAGE","Engagé",IF(AND($H235="NON ENGAGE",OR($I235="INFRUCTUEUX",$I235="ANNULE")),"Clôturé sans suite","En cours")))</f>
        <v/>
      </c>
      <c r="N235">
        <f>IF(ISBLANK('ENGAGEMENTS 2026'!C235),"",'ENGAGEMENTS 2026'!L235)</f>
        <v/>
      </c>
      <c r="O235">
        <f>IF(ISBLANK('ENGAGEMENTS 2026'!C235),"",'ENGAGEMENTS 2026'!M235)</f>
        <v/>
      </c>
      <c r="P235">
        <f>IF(ISBLANK('ENGAGEMENTS 2026'!C235),"",'ENGAGEMENTS 2026'!K235)</f>
        <v/>
      </c>
      <c r="Q235">
        <f>IF($A235="","",IF(OR($E235="INFRUCTUEUX",$E235="ANNULE"),$A235&amp;"|"&amp;(COUNTIFS($A$2:$A235,$A235,$E$2:$E235,"INFRUCTUEUX")+COUNTIFS($A$2:$A235,$A235,$E$2:$E235,"ANNULE")),""))</f>
        <v/>
      </c>
    </row>
    <row r="236">
      <c r="A236">
        <f>IF(ISBLANK('ENGAGEMENTS 2026'!C236),"",IF('ENGAGEMENTS 2026'!C236="DTSI","DCT",'ENGAGEMENTS 2026'!C236))</f>
        <v/>
      </c>
      <c r="B236">
        <f>IF(ISBLANK('ENGAGEMENTS 2026'!C236),"",'ENGAGEMENTS 2026'!D236)</f>
        <v/>
      </c>
      <c r="C236">
        <f>IF(ISBLANK('ENGAGEMENTS 2026'!C236),"",'ENGAGEMENTS 2026'!E236)</f>
        <v/>
      </c>
      <c r="D236">
        <f>IF(ISBLANK('ENGAGEMENTS 2026'!C236),"",'ENGAGEMENTS 2026'!G236)</f>
        <v/>
      </c>
      <c r="E236">
        <f>IF(ISBLANK('ENGAGEMENTS 2026'!C236),"",'ENGAGEMENTS 2026'!I236)</f>
        <v/>
      </c>
      <c r="F236">
        <f>IF(ISBLANK('ENGAGEMENTS 2026'!C236),"",'ENGAGEMENTS 2026'!J236)</f>
        <v/>
      </c>
      <c r="G236">
        <f>IF(ISBLANK('ENGAGEMENTS 2026'!C236),"",'ENGAGEMENTS 2026'!M236)</f>
        <v/>
      </c>
      <c r="H236">
        <f>IF(ISBLANK('ENGAGEMENTS 2026'!C236),"",'ENGAGEMENTS 2026'!AF236)</f>
        <v/>
      </c>
      <c r="I236">
        <f>IF(ISBLANK('ENGAGEMENTS 2026'!C236),"",'ENGAGEMENTS 2026'!H236)</f>
        <v/>
      </c>
      <c r="J236" s="275">
        <f>IF(ISBLANK('ENGAGEMENTS 2026'!C236),"",IF(AND(OR($E236="INFRUCTUEUX",$E236="ANNULE"),$C236="AOO-M"),'ENGAGEMENTS 2026'!P236,IF($H236="EN COURS DE PREENGAGEMENT",'ENGAGEMENTS 2026'!O236,IF($H236="PREENGAGE",IF($E236="ATTRIBUE",'ENGAGEMENTS 2026'!AE236,'ENGAGEMENTS 2026'!O236),'ENGAGEMENTS 2026'!AE236))))</f>
        <v/>
      </c>
      <c r="K236" s="604">
        <f>IF(ISBLANK('ENGAGEMENTS 2026'!W236),"",'ENGAGEMENTS 2026'!W236)</f>
        <v/>
      </c>
      <c r="L236" s="276">
        <f>IF($K236="","",TODAY()-$K236)</f>
        <v/>
      </c>
      <c r="M236">
        <f>IF($A236="","",IF($H236="ENGAGE","Engagé",IF(AND($H236="NON ENGAGE",OR($I236="INFRUCTUEUX",$I236="ANNULE")),"Clôturé sans suite","En cours")))</f>
        <v/>
      </c>
      <c r="N236">
        <f>IF(ISBLANK('ENGAGEMENTS 2026'!C236),"",'ENGAGEMENTS 2026'!L236)</f>
        <v/>
      </c>
      <c r="O236">
        <f>IF(ISBLANK('ENGAGEMENTS 2026'!C236),"",'ENGAGEMENTS 2026'!M236)</f>
        <v/>
      </c>
      <c r="P236">
        <f>IF(ISBLANK('ENGAGEMENTS 2026'!C236),"",'ENGAGEMENTS 2026'!K236)</f>
        <v/>
      </c>
      <c r="Q236">
        <f>IF($A236="","",IF(OR($E236="INFRUCTUEUX",$E236="ANNULE"),$A236&amp;"|"&amp;(COUNTIFS($A$2:$A236,$A236,$E$2:$E236,"INFRUCTUEUX")+COUNTIFS($A$2:$A236,$A236,$E$2:$E236,"ANNULE")),""))</f>
        <v/>
      </c>
    </row>
    <row r="237">
      <c r="A237">
        <f>IF(ISBLANK('ENGAGEMENTS 2026'!C237),"",IF('ENGAGEMENTS 2026'!C237="DTSI","DCT",'ENGAGEMENTS 2026'!C237))</f>
        <v/>
      </c>
      <c r="B237">
        <f>IF(ISBLANK('ENGAGEMENTS 2026'!C237),"",'ENGAGEMENTS 2026'!D237)</f>
        <v/>
      </c>
      <c r="C237">
        <f>IF(ISBLANK('ENGAGEMENTS 2026'!C237),"",'ENGAGEMENTS 2026'!E237)</f>
        <v/>
      </c>
      <c r="D237">
        <f>IF(ISBLANK('ENGAGEMENTS 2026'!C237),"",'ENGAGEMENTS 2026'!G237)</f>
        <v/>
      </c>
      <c r="E237">
        <f>IF(ISBLANK('ENGAGEMENTS 2026'!C237),"",'ENGAGEMENTS 2026'!I237)</f>
        <v/>
      </c>
      <c r="F237">
        <f>IF(ISBLANK('ENGAGEMENTS 2026'!C237),"",'ENGAGEMENTS 2026'!J237)</f>
        <v/>
      </c>
      <c r="G237">
        <f>IF(ISBLANK('ENGAGEMENTS 2026'!C237),"",'ENGAGEMENTS 2026'!M237)</f>
        <v/>
      </c>
      <c r="H237">
        <f>IF(ISBLANK('ENGAGEMENTS 2026'!C237),"",'ENGAGEMENTS 2026'!AF237)</f>
        <v/>
      </c>
      <c r="I237">
        <f>IF(ISBLANK('ENGAGEMENTS 2026'!C237),"",'ENGAGEMENTS 2026'!H237)</f>
        <v/>
      </c>
      <c r="J237" s="275">
        <f>IF(ISBLANK('ENGAGEMENTS 2026'!C237),"",IF(AND(OR($E237="INFRUCTUEUX",$E237="ANNULE"),$C237="AOO-M"),'ENGAGEMENTS 2026'!P237,IF($H237="EN COURS DE PREENGAGEMENT",'ENGAGEMENTS 2026'!O237,IF($H237="PREENGAGE",IF($E237="ATTRIBUE",'ENGAGEMENTS 2026'!AE237,'ENGAGEMENTS 2026'!O237),'ENGAGEMENTS 2026'!AE237))))</f>
        <v/>
      </c>
      <c r="K237" s="604">
        <f>IF(ISBLANK('ENGAGEMENTS 2026'!W237),"",'ENGAGEMENTS 2026'!W237)</f>
        <v/>
      </c>
      <c r="L237" s="276">
        <f>IF($K237="","",TODAY()-$K237)</f>
        <v/>
      </c>
      <c r="M237">
        <f>IF($A237="","",IF($H237="ENGAGE","Engagé",IF(AND($H237="NON ENGAGE",OR($I237="INFRUCTUEUX",$I237="ANNULE")),"Clôturé sans suite","En cours")))</f>
        <v/>
      </c>
      <c r="N237">
        <f>IF(ISBLANK('ENGAGEMENTS 2026'!C237),"",'ENGAGEMENTS 2026'!L237)</f>
        <v/>
      </c>
      <c r="O237">
        <f>IF(ISBLANK('ENGAGEMENTS 2026'!C237),"",'ENGAGEMENTS 2026'!M237)</f>
        <v/>
      </c>
      <c r="P237">
        <f>IF(ISBLANK('ENGAGEMENTS 2026'!C237),"",'ENGAGEMENTS 2026'!K237)</f>
        <v/>
      </c>
      <c r="Q237">
        <f>IF($A237="","",IF(OR($E237="INFRUCTUEUX",$E237="ANNULE"),$A237&amp;"|"&amp;(COUNTIFS($A$2:$A237,$A237,$E$2:$E237,"INFRUCTUEUX")+COUNTIFS($A$2:$A237,$A237,$E$2:$E237,"ANNULE")),""))</f>
        <v/>
      </c>
    </row>
    <row r="238">
      <c r="A238">
        <f>IF(ISBLANK('ENGAGEMENTS 2026'!C238),"",IF('ENGAGEMENTS 2026'!C238="DTSI","DCT",'ENGAGEMENTS 2026'!C238))</f>
        <v/>
      </c>
      <c r="B238">
        <f>IF(ISBLANK('ENGAGEMENTS 2026'!C238),"",'ENGAGEMENTS 2026'!D238)</f>
        <v/>
      </c>
      <c r="C238">
        <f>IF(ISBLANK('ENGAGEMENTS 2026'!C238),"",'ENGAGEMENTS 2026'!E238)</f>
        <v/>
      </c>
      <c r="D238">
        <f>IF(ISBLANK('ENGAGEMENTS 2026'!C238),"",'ENGAGEMENTS 2026'!G238)</f>
        <v/>
      </c>
      <c r="E238">
        <f>IF(ISBLANK('ENGAGEMENTS 2026'!C238),"",'ENGAGEMENTS 2026'!I238)</f>
        <v/>
      </c>
      <c r="F238">
        <f>IF(ISBLANK('ENGAGEMENTS 2026'!C238),"",'ENGAGEMENTS 2026'!J238)</f>
        <v/>
      </c>
      <c r="G238">
        <f>IF(ISBLANK('ENGAGEMENTS 2026'!C238),"",'ENGAGEMENTS 2026'!M238)</f>
        <v/>
      </c>
      <c r="H238">
        <f>IF(ISBLANK('ENGAGEMENTS 2026'!C238),"",'ENGAGEMENTS 2026'!AF238)</f>
        <v/>
      </c>
      <c r="I238">
        <f>IF(ISBLANK('ENGAGEMENTS 2026'!C238),"",'ENGAGEMENTS 2026'!H238)</f>
        <v/>
      </c>
      <c r="J238" s="275">
        <f>IF(ISBLANK('ENGAGEMENTS 2026'!C238),"",IF(AND(OR($E238="INFRUCTUEUX",$E238="ANNULE"),$C238="AOO-M"),'ENGAGEMENTS 2026'!P238,IF($H238="EN COURS DE PREENGAGEMENT",'ENGAGEMENTS 2026'!O238,IF($H238="PREENGAGE",IF($E238="ATTRIBUE",'ENGAGEMENTS 2026'!AE238,'ENGAGEMENTS 2026'!O238),'ENGAGEMENTS 2026'!AE238))))</f>
        <v/>
      </c>
      <c r="K238" s="604">
        <f>IF(ISBLANK('ENGAGEMENTS 2026'!W238),"",'ENGAGEMENTS 2026'!W238)</f>
        <v/>
      </c>
      <c r="L238" s="276">
        <f>IF($K238="","",TODAY()-$K238)</f>
        <v/>
      </c>
      <c r="M238">
        <f>IF($A238="","",IF($H238="ENGAGE","Engagé",IF(AND($H238="NON ENGAGE",OR($I238="INFRUCTUEUX",$I238="ANNULE")),"Clôturé sans suite","En cours")))</f>
        <v/>
      </c>
      <c r="N238">
        <f>IF(ISBLANK('ENGAGEMENTS 2026'!C238),"",'ENGAGEMENTS 2026'!L238)</f>
        <v/>
      </c>
      <c r="O238">
        <f>IF(ISBLANK('ENGAGEMENTS 2026'!C238),"",'ENGAGEMENTS 2026'!M238)</f>
        <v/>
      </c>
      <c r="P238">
        <f>IF(ISBLANK('ENGAGEMENTS 2026'!C238),"",'ENGAGEMENTS 2026'!K238)</f>
        <v/>
      </c>
      <c r="Q238">
        <f>IF($A238="","",IF(OR($E238="INFRUCTUEUX",$E238="ANNULE"),$A238&amp;"|"&amp;(COUNTIFS($A$2:$A238,$A238,$E$2:$E238,"INFRUCTUEUX")+COUNTIFS($A$2:$A238,$A238,$E$2:$E238,"ANNULE")),""))</f>
        <v/>
      </c>
    </row>
    <row r="239">
      <c r="A239">
        <f>IF(ISBLANK('ENGAGEMENTS 2026'!C239),"",IF('ENGAGEMENTS 2026'!C239="DTSI","DCT",'ENGAGEMENTS 2026'!C239))</f>
        <v/>
      </c>
      <c r="B239">
        <f>IF(ISBLANK('ENGAGEMENTS 2026'!C239),"",'ENGAGEMENTS 2026'!D239)</f>
        <v/>
      </c>
      <c r="C239">
        <f>IF(ISBLANK('ENGAGEMENTS 2026'!C239),"",'ENGAGEMENTS 2026'!E239)</f>
        <v/>
      </c>
      <c r="D239">
        <f>IF(ISBLANK('ENGAGEMENTS 2026'!C239),"",'ENGAGEMENTS 2026'!G239)</f>
        <v/>
      </c>
      <c r="E239">
        <f>IF(ISBLANK('ENGAGEMENTS 2026'!C239),"",'ENGAGEMENTS 2026'!I239)</f>
        <v/>
      </c>
      <c r="F239">
        <f>IF(ISBLANK('ENGAGEMENTS 2026'!C239),"",'ENGAGEMENTS 2026'!J239)</f>
        <v/>
      </c>
      <c r="G239">
        <f>IF(ISBLANK('ENGAGEMENTS 2026'!C239),"",'ENGAGEMENTS 2026'!M239)</f>
        <v/>
      </c>
      <c r="H239">
        <f>IF(ISBLANK('ENGAGEMENTS 2026'!C239),"",'ENGAGEMENTS 2026'!AF239)</f>
        <v/>
      </c>
      <c r="I239">
        <f>IF(ISBLANK('ENGAGEMENTS 2026'!C239),"",'ENGAGEMENTS 2026'!H239)</f>
        <v/>
      </c>
      <c r="J239" s="275">
        <f>IF(ISBLANK('ENGAGEMENTS 2026'!C239),"",IF(AND(OR($E239="INFRUCTUEUX",$E239="ANNULE"),$C239="AOO-M"),'ENGAGEMENTS 2026'!P239,IF($H239="EN COURS DE PREENGAGEMENT",'ENGAGEMENTS 2026'!O239,IF($H239="PREENGAGE",IF($E239="ATTRIBUE",'ENGAGEMENTS 2026'!AE239,'ENGAGEMENTS 2026'!O239),'ENGAGEMENTS 2026'!AE239))))</f>
        <v/>
      </c>
      <c r="K239" s="604">
        <f>IF(ISBLANK('ENGAGEMENTS 2026'!W239),"",'ENGAGEMENTS 2026'!W239)</f>
        <v/>
      </c>
      <c r="L239" s="276">
        <f>IF($K239="","",TODAY()-$K239)</f>
        <v/>
      </c>
      <c r="M239">
        <f>IF($A239="","",IF($H239="ENGAGE","Engagé",IF(AND($H239="NON ENGAGE",OR($I239="INFRUCTUEUX",$I239="ANNULE")),"Clôturé sans suite","En cours")))</f>
        <v/>
      </c>
      <c r="N239">
        <f>IF(ISBLANK('ENGAGEMENTS 2026'!C239),"",'ENGAGEMENTS 2026'!L239)</f>
        <v/>
      </c>
      <c r="O239">
        <f>IF(ISBLANK('ENGAGEMENTS 2026'!C239),"",'ENGAGEMENTS 2026'!M239)</f>
        <v/>
      </c>
      <c r="P239">
        <f>IF(ISBLANK('ENGAGEMENTS 2026'!C239),"",'ENGAGEMENTS 2026'!K239)</f>
        <v/>
      </c>
      <c r="Q239">
        <f>IF($A239="","",IF(OR($E239="INFRUCTUEUX",$E239="ANNULE"),$A239&amp;"|"&amp;(COUNTIFS($A$2:$A239,$A239,$E$2:$E239,"INFRUCTUEUX")+COUNTIFS($A$2:$A239,$A239,$E$2:$E239,"ANNULE")),""))</f>
        <v/>
      </c>
    </row>
    <row r="240">
      <c r="A240">
        <f>IF(ISBLANK('ENGAGEMENTS 2026'!C240),"",IF('ENGAGEMENTS 2026'!C240="DTSI","DCT",'ENGAGEMENTS 2026'!C240))</f>
        <v/>
      </c>
      <c r="B240">
        <f>IF(ISBLANK('ENGAGEMENTS 2026'!C240),"",'ENGAGEMENTS 2026'!D240)</f>
        <v/>
      </c>
      <c r="C240">
        <f>IF(ISBLANK('ENGAGEMENTS 2026'!C240),"",'ENGAGEMENTS 2026'!E240)</f>
        <v/>
      </c>
      <c r="D240">
        <f>IF(ISBLANK('ENGAGEMENTS 2026'!C240),"",'ENGAGEMENTS 2026'!G240)</f>
        <v/>
      </c>
      <c r="E240">
        <f>IF(ISBLANK('ENGAGEMENTS 2026'!C240),"",'ENGAGEMENTS 2026'!I240)</f>
        <v/>
      </c>
      <c r="F240">
        <f>IF(ISBLANK('ENGAGEMENTS 2026'!C240),"",'ENGAGEMENTS 2026'!J240)</f>
        <v/>
      </c>
      <c r="G240">
        <f>IF(ISBLANK('ENGAGEMENTS 2026'!C240),"",'ENGAGEMENTS 2026'!M240)</f>
        <v/>
      </c>
      <c r="H240">
        <f>IF(ISBLANK('ENGAGEMENTS 2026'!C240),"",'ENGAGEMENTS 2026'!AF240)</f>
        <v/>
      </c>
      <c r="I240">
        <f>IF(ISBLANK('ENGAGEMENTS 2026'!C240),"",'ENGAGEMENTS 2026'!H240)</f>
        <v/>
      </c>
      <c r="J240" s="275">
        <f>IF(ISBLANK('ENGAGEMENTS 2026'!C240),"",IF(AND(OR($E240="INFRUCTUEUX",$E240="ANNULE"),$C240="AOO-M"),'ENGAGEMENTS 2026'!P240,IF($H240="EN COURS DE PREENGAGEMENT",'ENGAGEMENTS 2026'!O240,IF($H240="PREENGAGE",IF($E240="ATTRIBUE",'ENGAGEMENTS 2026'!AE240,'ENGAGEMENTS 2026'!O240),'ENGAGEMENTS 2026'!AE240))))</f>
        <v/>
      </c>
      <c r="K240" s="604">
        <f>IF(ISBLANK('ENGAGEMENTS 2026'!W240),"",'ENGAGEMENTS 2026'!W240)</f>
        <v/>
      </c>
      <c r="L240" s="276">
        <f>IF($K240="","",TODAY()-$K240)</f>
        <v/>
      </c>
      <c r="M240">
        <f>IF($A240="","",IF($H240="ENGAGE","Engagé",IF(AND($H240="NON ENGAGE",OR($I240="INFRUCTUEUX",$I240="ANNULE")),"Clôturé sans suite","En cours")))</f>
        <v/>
      </c>
      <c r="N240">
        <f>IF(ISBLANK('ENGAGEMENTS 2026'!C240),"",'ENGAGEMENTS 2026'!L240)</f>
        <v/>
      </c>
      <c r="O240">
        <f>IF(ISBLANK('ENGAGEMENTS 2026'!C240),"",'ENGAGEMENTS 2026'!M240)</f>
        <v/>
      </c>
      <c r="P240">
        <f>IF(ISBLANK('ENGAGEMENTS 2026'!C240),"",'ENGAGEMENTS 2026'!K240)</f>
        <v/>
      </c>
      <c r="Q240">
        <f>IF($A240="","",IF(OR($E240="INFRUCTUEUX",$E240="ANNULE"),$A240&amp;"|"&amp;(COUNTIFS($A$2:$A240,$A240,$E$2:$E240,"INFRUCTUEUX")+COUNTIFS($A$2:$A240,$A240,$E$2:$E240,"ANNULE")),""))</f>
        <v/>
      </c>
    </row>
    <row r="241">
      <c r="A241">
        <f>IF(ISBLANK('ENGAGEMENTS 2026'!C241),"",IF('ENGAGEMENTS 2026'!C241="DTSI","DCT",'ENGAGEMENTS 2026'!C241))</f>
        <v/>
      </c>
      <c r="B241">
        <f>IF(ISBLANK('ENGAGEMENTS 2026'!C241),"",'ENGAGEMENTS 2026'!D241)</f>
        <v/>
      </c>
      <c r="C241">
        <f>IF(ISBLANK('ENGAGEMENTS 2026'!C241),"",'ENGAGEMENTS 2026'!E241)</f>
        <v/>
      </c>
      <c r="D241">
        <f>IF(ISBLANK('ENGAGEMENTS 2026'!C241),"",'ENGAGEMENTS 2026'!G241)</f>
        <v/>
      </c>
      <c r="E241">
        <f>IF(ISBLANK('ENGAGEMENTS 2026'!C241),"",'ENGAGEMENTS 2026'!I241)</f>
        <v/>
      </c>
      <c r="F241">
        <f>IF(ISBLANK('ENGAGEMENTS 2026'!C241),"",'ENGAGEMENTS 2026'!J241)</f>
        <v/>
      </c>
      <c r="G241">
        <f>IF(ISBLANK('ENGAGEMENTS 2026'!C241),"",'ENGAGEMENTS 2026'!M241)</f>
        <v/>
      </c>
      <c r="H241">
        <f>IF(ISBLANK('ENGAGEMENTS 2026'!C241),"",'ENGAGEMENTS 2026'!AF241)</f>
        <v/>
      </c>
      <c r="I241">
        <f>IF(ISBLANK('ENGAGEMENTS 2026'!C241),"",'ENGAGEMENTS 2026'!H241)</f>
        <v/>
      </c>
      <c r="J241" s="275">
        <f>IF(ISBLANK('ENGAGEMENTS 2026'!C241),"",IF(AND(OR($E241="INFRUCTUEUX",$E241="ANNULE"),$C241="AOO-M"),'ENGAGEMENTS 2026'!P241,IF($H241="EN COURS DE PREENGAGEMENT",'ENGAGEMENTS 2026'!O241,IF($H241="PREENGAGE",IF($E241="ATTRIBUE",'ENGAGEMENTS 2026'!AE241,'ENGAGEMENTS 2026'!O241),'ENGAGEMENTS 2026'!AE241))))</f>
        <v/>
      </c>
      <c r="K241" s="604">
        <f>IF(ISBLANK('ENGAGEMENTS 2026'!W241),"",'ENGAGEMENTS 2026'!W241)</f>
        <v/>
      </c>
      <c r="L241" s="276">
        <f>IF($K241="","",TODAY()-$K241)</f>
        <v/>
      </c>
      <c r="M241">
        <f>IF($A241="","",IF($H241="ENGAGE","Engagé",IF(AND($H241="NON ENGAGE",OR($I241="INFRUCTUEUX",$I241="ANNULE")),"Clôturé sans suite","En cours")))</f>
        <v/>
      </c>
      <c r="N241">
        <f>IF(ISBLANK('ENGAGEMENTS 2026'!C241),"",'ENGAGEMENTS 2026'!L241)</f>
        <v/>
      </c>
      <c r="O241">
        <f>IF(ISBLANK('ENGAGEMENTS 2026'!C241),"",'ENGAGEMENTS 2026'!M241)</f>
        <v/>
      </c>
      <c r="P241">
        <f>IF(ISBLANK('ENGAGEMENTS 2026'!C241),"",'ENGAGEMENTS 2026'!K241)</f>
        <v/>
      </c>
      <c r="Q241">
        <f>IF($A241="","",IF(OR($E241="INFRUCTUEUX",$E241="ANNULE"),$A241&amp;"|"&amp;(COUNTIFS($A$2:$A241,$A241,$E$2:$E241,"INFRUCTUEUX")+COUNTIFS($A$2:$A241,$A241,$E$2:$E241,"ANNULE")),""))</f>
        <v/>
      </c>
    </row>
    <row r="242">
      <c r="A242">
        <f>IF(ISBLANK('ENGAGEMENTS 2026'!C242),"",IF('ENGAGEMENTS 2026'!C242="DTSI","DCT",'ENGAGEMENTS 2026'!C242))</f>
        <v/>
      </c>
      <c r="B242">
        <f>IF(ISBLANK('ENGAGEMENTS 2026'!C242),"",'ENGAGEMENTS 2026'!D242)</f>
        <v/>
      </c>
      <c r="C242">
        <f>IF(ISBLANK('ENGAGEMENTS 2026'!C242),"",'ENGAGEMENTS 2026'!E242)</f>
        <v/>
      </c>
      <c r="D242">
        <f>IF(ISBLANK('ENGAGEMENTS 2026'!C242),"",'ENGAGEMENTS 2026'!G242)</f>
        <v/>
      </c>
      <c r="E242">
        <f>IF(ISBLANK('ENGAGEMENTS 2026'!C242),"",'ENGAGEMENTS 2026'!I242)</f>
        <v/>
      </c>
      <c r="F242">
        <f>IF(ISBLANK('ENGAGEMENTS 2026'!C242),"",'ENGAGEMENTS 2026'!J242)</f>
        <v/>
      </c>
      <c r="G242">
        <f>IF(ISBLANK('ENGAGEMENTS 2026'!C242),"",'ENGAGEMENTS 2026'!M242)</f>
        <v/>
      </c>
      <c r="H242">
        <f>IF(ISBLANK('ENGAGEMENTS 2026'!C242),"",'ENGAGEMENTS 2026'!AF242)</f>
        <v/>
      </c>
      <c r="I242">
        <f>IF(ISBLANK('ENGAGEMENTS 2026'!C242),"",'ENGAGEMENTS 2026'!H242)</f>
        <v/>
      </c>
      <c r="J242" s="275">
        <f>IF(ISBLANK('ENGAGEMENTS 2026'!C242),"",IF(AND(OR($E242="INFRUCTUEUX",$E242="ANNULE"),$C242="AOO-M"),'ENGAGEMENTS 2026'!P242,IF($H242="EN COURS DE PREENGAGEMENT",'ENGAGEMENTS 2026'!O242,IF($H242="PREENGAGE",IF($E242="ATTRIBUE",'ENGAGEMENTS 2026'!AE242,'ENGAGEMENTS 2026'!O242),'ENGAGEMENTS 2026'!AE242))))</f>
        <v/>
      </c>
      <c r="K242" s="604">
        <f>IF(ISBLANK('ENGAGEMENTS 2026'!W242),"",'ENGAGEMENTS 2026'!W242)</f>
        <v/>
      </c>
      <c r="L242" s="276">
        <f>IF($K242="","",TODAY()-$K242)</f>
        <v/>
      </c>
      <c r="M242">
        <f>IF($A242="","",IF($H242="ENGAGE","Engagé",IF(AND($H242="NON ENGAGE",OR($I242="INFRUCTUEUX",$I242="ANNULE")),"Clôturé sans suite","En cours")))</f>
        <v/>
      </c>
      <c r="N242">
        <f>IF(ISBLANK('ENGAGEMENTS 2026'!C242),"",'ENGAGEMENTS 2026'!L242)</f>
        <v/>
      </c>
      <c r="O242">
        <f>IF(ISBLANK('ENGAGEMENTS 2026'!C242),"",'ENGAGEMENTS 2026'!M242)</f>
        <v/>
      </c>
      <c r="P242">
        <f>IF(ISBLANK('ENGAGEMENTS 2026'!C242),"",'ENGAGEMENTS 2026'!K242)</f>
        <v/>
      </c>
      <c r="Q242">
        <f>IF($A242="","",IF(OR($E242="INFRUCTUEUX",$E242="ANNULE"),$A242&amp;"|"&amp;(COUNTIFS($A$2:$A242,$A242,$E$2:$E242,"INFRUCTUEUX")+COUNTIFS($A$2:$A242,$A242,$E$2:$E242,"ANNULE")),""))</f>
        <v/>
      </c>
    </row>
    <row r="243">
      <c r="A243">
        <f>IF(ISBLANK('ENGAGEMENTS 2026'!C243),"",IF('ENGAGEMENTS 2026'!C243="DTSI","DCT",'ENGAGEMENTS 2026'!C243))</f>
        <v/>
      </c>
      <c r="B243">
        <f>IF(ISBLANK('ENGAGEMENTS 2026'!C243),"",'ENGAGEMENTS 2026'!D243)</f>
        <v/>
      </c>
      <c r="C243">
        <f>IF(ISBLANK('ENGAGEMENTS 2026'!C243),"",'ENGAGEMENTS 2026'!E243)</f>
        <v/>
      </c>
      <c r="D243">
        <f>IF(ISBLANK('ENGAGEMENTS 2026'!C243),"",'ENGAGEMENTS 2026'!G243)</f>
        <v/>
      </c>
      <c r="E243">
        <f>IF(ISBLANK('ENGAGEMENTS 2026'!C243),"",'ENGAGEMENTS 2026'!I243)</f>
        <v/>
      </c>
      <c r="F243">
        <f>IF(ISBLANK('ENGAGEMENTS 2026'!C243),"",'ENGAGEMENTS 2026'!J243)</f>
        <v/>
      </c>
      <c r="G243">
        <f>IF(ISBLANK('ENGAGEMENTS 2026'!C243),"",'ENGAGEMENTS 2026'!M243)</f>
        <v/>
      </c>
      <c r="H243">
        <f>IF(ISBLANK('ENGAGEMENTS 2026'!C243),"",'ENGAGEMENTS 2026'!AF243)</f>
        <v/>
      </c>
      <c r="I243">
        <f>IF(ISBLANK('ENGAGEMENTS 2026'!C243),"",'ENGAGEMENTS 2026'!H243)</f>
        <v/>
      </c>
      <c r="J243" s="275">
        <f>IF(ISBLANK('ENGAGEMENTS 2026'!C243),"",IF(AND(OR($E243="INFRUCTUEUX",$E243="ANNULE"),$C243="AOO-M"),'ENGAGEMENTS 2026'!P243,IF($H243="EN COURS DE PREENGAGEMENT",'ENGAGEMENTS 2026'!O243,IF($H243="PREENGAGE",IF($E243="ATTRIBUE",'ENGAGEMENTS 2026'!AE243,'ENGAGEMENTS 2026'!O243),'ENGAGEMENTS 2026'!AE243))))</f>
        <v/>
      </c>
      <c r="K243" s="604">
        <f>IF(ISBLANK('ENGAGEMENTS 2026'!W243),"",'ENGAGEMENTS 2026'!W243)</f>
        <v/>
      </c>
      <c r="L243" s="276">
        <f>IF($K243="","",TODAY()-$K243)</f>
        <v/>
      </c>
      <c r="M243">
        <f>IF($A243="","",IF($H243="ENGAGE","Engagé",IF(AND($H243="NON ENGAGE",OR($I243="INFRUCTUEUX",$I243="ANNULE")),"Clôturé sans suite","En cours")))</f>
        <v/>
      </c>
      <c r="N243">
        <f>IF(ISBLANK('ENGAGEMENTS 2026'!C243),"",'ENGAGEMENTS 2026'!L243)</f>
        <v/>
      </c>
      <c r="O243">
        <f>IF(ISBLANK('ENGAGEMENTS 2026'!C243),"",'ENGAGEMENTS 2026'!M243)</f>
        <v/>
      </c>
      <c r="P243">
        <f>IF(ISBLANK('ENGAGEMENTS 2026'!C243),"",'ENGAGEMENTS 2026'!K243)</f>
        <v/>
      </c>
      <c r="Q243">
        <f>IF($A243="","",IF(OR($E243="INFRUCTUEUX",$E243="ANNULE"),$A243&amp;"|"&amp;(COUNTIFS($A$2:$A243,$A243,$E$2:$E243,"INFRUCTUEUX")+COUNTIFS($A$2:$A243,$A243,$E$2:$E243,"ANNULE")),""))</f>
        <v/>
      </c>
    </row>
    <row r="244">
      <c r="A244">
        <f>IF(ISBLANK('ENGAGEMENTS 2026'!C244),"",IF('ENGAGEMENTS 2026'!C244="DTSI","DCT",'ENGAGEMENTS 2026'!C244))</f>
        <v/>
      </c>
      <c r="B244">
        <f>IF(ISBLANK('ENGAGEMENTS 2026'!C244),"",'ENGAGEMENTS 2026'!D244)</f>
        <v/>
      </c>
      <c r="C244">
        <f>IF(ISBLANK('ENGAGEMENTS 2026'!C244),"",'ENGAGEMENTS 2026'!E244)</f>
        <v/>
      </c>
      <c r="D244">
        <f>IF(ISBLANK('ENGAGEMENTS 2026'!C244),"",'ENGAGEMENTS 2026'!G244)</f>
        <v/>
      </c>
      <c r="E244">
        <f>IF(ISBLANK('ENGAGEMENTS 2026'!C244),"",'ENGAGEMENTS 2026'!I244)</f>
        <v/>
      </c>
      <c r="F244">
        <f>IF(ISBLANK('ENGAGEMENTS 2026'!C244),"",'ENGAGEMENTS 2026'!J244)</f>
        <v/>
      </c>
      <c r="G244">
        <f>IF(ISBLANK('ENGAGEMENTS 2026'!C244),"",'ENGAGEMENTS 2026'!M244)</f>
        <v/>
      </c>
      <c r="H244">
        <f>IF(ISBLANK('ENGAGEMENTS 2026'!C244),"",'ENGAGEMENTS 2026'!AF244)</f>
        <v/>
      </c>
      <c r="I244">
        <f>IF(ISBLANK('ENGAGEMENTS 2026'!C244),"",'ENGAGEMENTS 2026'!H244)</f>
        <v/>
      </c>
      <c r="J244" s="275">
        <f>IF(ISBLANK('ENGAGEMENTS 2026'!C244),"",IF(AND(OR($E244="INFRUCTUEUX",$E244="ANNULE"),$C244="AOO-M"),'ENGAGEMENTS 2026'!P244,IF($H244="EN COURS DE PREENGAGEMENT",'ENGAGEMENTS 2026'!O244,IF($H244="PREENGAGE",IF($E244="ATTRIBUE",'ENGAGEMENTS 2026'!AE244,'ENGAGEMENTS 2026'!O244),'ENGAGEMENTS 2026'!AE244))))</f>
        <v/>
      </c>
      <c r="K244" s="604">
        <f>IF(ISBLANK('ENGAGEMENTS 2026'!W244),"",'ENGAGEMENTS 2026'!W244)</f>
        <v/>
      </c>
      <c r="L244" s="276">
        <f>IF($K244="","",TODAY()-$K244)</f>
        <v/>
      </c>
      <c r="M244">
        <f>IF($A244="","",IF($H244="ENGAGE","Engagé",IF(AND($H244="NON ENGAGE",OR($I244="INFRUCTUEUX",$I244="ANNULE")),"Clôturé sans suite","En cours")))</f>
        <v/>
      </c>
      <c r="N244">
        <f>IF(ISBLANK('ENGAGEMENTS 2026'!C244),"",'ENGAGEMENTS 2026'!L244)</f>
        <v/>
      </c>
      <c r="O244">
        <f>IF(ISBLANK('ENGAGEMENTS 2026'!C244),"",'ENGAGEMENTS 2026'!M244)</f>
        <v/>
      </c>
      <c r="P244">
        <f>IF(ISBLANK('ENGAGEMENTS 2026'!C244),"",'ENGAGEMENTS 2026'!K244)</f>
        <v/>
      </c>
      <c r="Q244">
        <f>IF($A244="","",IF(OR($E244="INFRUCTUEUX",$E244="ANNULE"),$A244&amp;"|"&amp;(COUNTIFS($A$2:$A244,$A244,$E$2:$E244,"INFRUCTUEUX")+COUNTIFS($A$2:$A244,$A244,$E$2:$E244,"ANNULE")),""))</f>
        <v/>
      </c>
    </row>
    <row r="245">
      <c r="A245">
        <f>IF(ISBLANK('ENGAGEMENTS 2026'!C245),"",IF('ENGAGEMENTS 2026'!C245="DTSI","DCT",'ENGAGEMENTS 2026'!C245))</f>
        <v/>
      </c>
      <c r="B245">
        <f>IF(ISBLANK('ENGAGEMENTS 2026'!C245),"",'ENGAGEMENTS 2026'!D245)</f>
        <v/>
      </c>
      <c r="C245">
        <f>IF(ISBLANK('ENGAGEMENTS 2026'!C245),"",'ENGAGEMENTS 2026'!E245)</f>
        <v/>
      </c>
      <c r="D245">
        <f>IF(ISBLANK('ENGAGEMENTS 2026'!C245),"",'ENGAGEMENTS 2026'!G245)</f>
        <v/>
      </c>
      <c r="E245">
        <f>IF(ISBLANK('ENGAGEMENTS 2026'!C245),"",'ENGAGEMENTS 2026'!I245)</f>
        <v/>
      </c>
      <c r="F245">
        <f>IF(ISBLANK('ENGAGEMENTS 2026'!C245),"",'ENGAGEMENTS 2026'!J245)</f>
        <v/>
      </c>
      <c r="G245">
        <f>IF(ISBLANK('ENGAGEMENTS 2026'!C245),"",'ENGAGEMENTS 2026'!M245)</f>
        <v/>
      </c>
      <c r="H245">
        <f>IF(ISBLANK('ENGAGEMENTS 2026'!C245),"",'ENGAGEMENTS 2026'!AF245)</f>
        <v/>
      </c>
      <c r="I245">
        <f>IF(ISBLANK('ENGAGEMENTS 2026'!C245),"",'ENGAGEMENTS 2026'!H245)</f>
        <v/>
      </c>
      <c r="J245" s="275">
        <f>IF(ISBLANK('ENGAGEMENTS 2026'!C245),"",IF(AND(OR($E245="INFRUCTUEUX",$E245="ANNULE"),$C245="AOO-M"),'ENGAGEMENTS 2026'!P245,IF($H245="EN COURS DE PREENGAGEMENT",'ENGAGEMENTS 2026'!O245,IF($H245="PREENGAGE",IF($E245="ATTRIBUE",'ENGAGEMENTS 2026'!AE245,'ENGAGEMENTS 2026'!O245),'ENGAGEMENTS 2026'!AE245))))</f>
        <v/>
      </c>
      <c r="K245" s="604">
        <f>IF(ISBLANK('ENGAGEMENTS 2026'!W245),"",'ENGAGEMENTS 2026'!W245)</f>
        <v/>
      </c>
      <c r="L245" s="276">
        <f>IF($K245="","",TODAY()-$K245)</f>
        <v/>
      </c>
      <c r="M245">
        <f>IF($A245="","",IF($H245="ENGAGE","Engagé",IF(AND($H245="NON ENGAGE",OR($I245="INFRUCTUEUX",$I245="ANNULE")),"Clôturé sans suite","En cours")))</f>
        <v/>
      </c>
      <c r="N245">
        <f>IF(ISBLANK('ENGAGEMENTS 2026'!C245),"",'ENGAGEMENTS 2026'!L245)</f>
        <v/>
      </c>
      <c r="O245">
        <f>IF(ISBLANK('ENGAGEMENTS 2026'!C245),"",'ENGAGEMENTS 2026'!M245)</f>
        <v/>
      </c>
      <c r="P245">
        <f>IF(ISBLANK('ENGAGEMENTS 2026'!C245),"",'ENGAGEMENTS 2026'!K245)</f>
        <v/>
      </c>
      <c r="Q245">
        <f>IF($A245="","",IF(OR($E245="INFRUCTUEUX",$E245="ANNULE"),$A245&amp;"|"&amp;(COUNTIFS($A$2:$A245,$A245,$E$2:$E245,"INFRUCTUEUX")+COUNTIFS($A$2:$A245,$A245,$E$2:$E245,"ANNULE")),""))</f>
        <v/>
      </c>
    </row>
    <row r="246">
      <c r="A246">
        <f>IF(ISBLANK('ENGAGEMENTS 2026'!C246),"",IF('ENGAGEMENTS 2026'!C246="DTSI","DCT",'ENGAGEMENTS 2026'!C246))</f>
        <v/>
      </c>
      <c r="B246">
        <f>IF(ISBLANK('ENGAGEMENTS 2026'!C246),"",'ENGAGEMENTS 2026'!D246)</f>
        <v/>
      </c>
      <c r="C246">
        <f>IF(ISBLANK('ENGAGEMENTS 2026'!C246),"",'ENGAGEMENTS 2026'!E246)</f>
        <v/>
      </c>
      <c r="D246">
        <f>IF(ISBLANK('ENGAGEMENTS 2026'!C246),"",'ENGAGEMENTS 2026'!G246)</f>
        <v/>
      </c>
      <c r="E246">
        <f>IF(ISBLANK('ENGAGEMENTS 2026'!C246),"",'ENGAGEMENTS 2026'!I246)</f>
        <v/>
      </c>
      <c r="F246">
        <f>IF(ISBLANK('ENGAGEMENTS 2026'!C246),"",'ENGAGEMENTS 2026'!J246)</f>
        <v/>
      </c>
      <c r="G246">
        <f>IF(ISBLANK('ENGAGEMENTS 2026'!C246),"",'ENGAGEMENTS 2026'!M246)</f>
        <v/>
      </c>
      <c r="H246">
        <f>IF(ISBLANK('ENGAGEMENTS 2026'!C246),"",'ENGAGEMENTS 2026'!AF246)</f>
        <v/>
      </c>
      <c r="I246">
        <f>IF(ISBLANK('ENGAGEMENTS 2026'!C246),"",'ENGAGEMENTS 2026'!H246)</f>
        <v/>
      </c>
      <c r="J246" s="275">
        <f>IF(ISBLANK('ENGAGEMENTS 2026'!C246),"",IF(AND(OR($E246="INFRUCTUEUX",$E246="ANNULE"),$C246="AOO-M"),'ENGAGEMENTS 2026'!P246,IF($H246="EN COURS DE PREENGAGEMENT",'ENGAGEMENTS 2026'!O246,IF($H246="PREENGAGE",IF($E246="ATTRIBUE",'ENGAGEMENTS 2026'!AE246,'ENGAGEMENTS 2026'!O246),'ENGAGEMENTS 2026'!AE246))))</f>
        <v/>
      </c>
      <c r="K246" s="604">
        <f>IF(ISBLANK('ENGAGEMENTS 2026'!W246),"",'ENGAGEMENTS 2026'!W246)</f>
        <v/>
      </c>
      <c r="L246" s="276">
        <f>IF($K246="","",TODAY()-$K246)</f>
        <v/>
      </c>
      <c r="M246">
        <f>IF($A246="","",IF($H246="ENGAGE","Engagé",IF(AND($H246="NON ENGAGE",OR($I246="INFRUCTUEUX",$I246="ANNULE")),"Clôturé sans suite","En cours")))</f>
        <v/>
      </c>
      <c r="N246">
        <f>IF(ISBLANK('ENGAGEMENTS 2026'!C246),"",'ENGAGEMENTS 2026'!L246)</f>
        <v/>
      </c>
      <c r="O246">
        <f>IF(ISBLANK('ENGAGEMENTS 2026'!C246),"",'ENGAGEMENTS 2026'!M246)</f>
        <v/>
      </c>
      <c r="P246">
        <f>IF(ISBLANK('ENGAGEMENTS 2026'!C246),"",'ENGAGEMENTS 2026'!K246)</f>
        <v/>
      </c>
      <c r="Q246">
        <f>IF($A246="","",IF(OR($E246="INFRUCTUEUX",$E246="ANNULE"),$A246&amp;"|"&amp;(COUNTIFS($A$2:$A246,$A246,$E$2:$E246,"INFRUCTUEUX")+COUNTIFS($A$2:$A246,$A246,$E$2:$E246,"ANNULE")),""))</f>
        <v/>
      </c>
    </row>
    <row r="247">
      <c r="A247">
        <f>IF(ISBLANK('ENGAGEMENTS 2026'!C247),"",IF('ENGAGEMENTS 2026'!C247="DTSI","DCT",'ENGAGEMENTS 2026'!C247))</f>
        <v/>
      </c>
      <c r="B247">
        <f>IF(ISBLANK('ENGAGEMENTS 2026'!C247),"",'ENGAGEMENTS 2026'!D247)</f>
        <v/>
      </c>
      <c r="C247">
        <f>IF(ISBLANK('ENGAGEMENTS 2026'!C247),"",'ENGAGEMENTS 2026'!E247)</f>
        <v/>
      </c>
      <c r="D247">
        <f>IF(ISBLANK('ENGAGEMENTS 2026'!C247),"",'ENGAGEMENTS 2026'!G247)</f>
        <v/>
      </c>
      <c r="E247">
        <f>IF(ISBLANK('ENGAGEMENTS 2026'!C247),"",'ENGAGEMENTS 2026'!I247)</f>
        <v/>
      </c>
      <c r="F247">
        <f>IF(ISBLANK('ENGAGEMENTS 2026'!C247),"",'ENGAGEMENTS 2026'!J247)</f>
        <v/>
      </c>
      <c r="G247">
        <f>IF(ISBLANK('ENGAGEMENTS 2026'!C247),"",'ENGAGEMENTS 2026'!M247)</f>
        <v/>
      </c>
      <c r="H247">
        <f>IF(ISBLANK('ENGAGEMENTS 2026'!C247),"",'ENGAGEMENTS 2026'!AF247)</f>
        <v/>
      </c>
      <c r="I247">
        <f>IF(ISBLANK('ENGAGEMENTS 2026'!C247),"",'ENGAGEMENTS 2026'!H247)</f>
        <v/>
      </c>
      <c r="J247" s="275">
        <f>IF(ISBLANK('ENGAGEMENTS 2026'!C247),"",IF(AND(OR($E247="INFRUCTUEUX",$E247="ANNULE"),$C247="AOO-M"),'ENGAGEMENTS 2026'!P247,IF($H247="EN COURS DE PREENGAGEMENT",'ENGAGEMENTS 2026'!O247,IF($H247="PREENGAGE",IF($E247="ATTRIBUE",'ENGAGEMENTS 2026'!AE247,'ENGAGEMENTS 2026'!O247),'ENGAGEMENTS 2026'!AE247))))</f>
        <v/>
      </c>
      <c r="K247" s="604">
        <f>IF(ISBLANK('ENGAGEMENTS 2026'!W247),"",'ENGAGEMENTS 2026'!W247)</f>
        <v/>
      </c>
      <c r="L247" s="276">
        <f>IF($K247="","",TODAY()-$K247)</f>
        <v/>
      </c>
      <c r="M247">
        <f>IF($A247="","",IF($H247="ENGAGE","Engagé",IF(AND($H247="NON ENGAGE",OR($I247="INFRUCTUEUX",$I247="ANNULE")),"Clôturé sans suite","En cours")))</f>
        <v/>
      </c>
      <c r="N247">
        <f>IF(ISBLANK('ENGAGEMENTS 2026'!C247),"",'ENGAGEMENTS 2026'!L247)</f>
        <v/>
      </c>
      <c r="O247">
        <f>IF(ISBLANK('ENGAGEMENTS 2026'!C247),"",'ENGAGEMENTS 2026'!M247)</f>
        <v/>
      </c>
      <c r="P247">
        <f>IF(ISBLANK('ENGAGEMENTS 2026'!C247),"",'ENGAGEMENTS 2026'!K247)</f>
        <v/>
      </c>
      <c r="Q247">
        <f>IF($A247="","",IF(OR($E247="INFRUCTUEUX",$E247="ANNULE"),$A247&amp;"|"&amp;(COUNTIFS($A$2:$A247,$A247,$E$2:$E247,"INFRUCTUEUX")+COUNTIFS($A$2:$A247,$A247,$E$2:$E247,"ANNULE")),""))</f>
        <v/>
      </c>
    </row>
    <row r="248">
      <c r="A248">
        <f>IF(ISBLANK('ENGAGEMENTS 2026'!C248),"",IF('ENGAGEMENTS 2026'!C248="DTSI","DCT",'ENGAGEMENTS 2026'!C248))</f>
        <v/>
      </c>
      <c r="B248">
        <f>IF(ISBLANK('ENGAGEMENTS 2026'!C248),"",'ENGAGEMENTS 2026'!D248)</f>
        <v/>
      </c>
      <c r="C248">
        <f>IF(ISBLANK('ENGAGEMENTS 2026'!C248),"",'ENGAGEMENTS 2026'!E248)</f>
        <v/>
      </c>
      <c r="D248">
        <f>IF(ISBLANK('ENGAGEMENTS 2026'!C248),"",'ENGAGEMENTS 2026'!G248)</f>
        <v/>
      </c>
      <c r="E248">
        <f>IF(ISBLANK('ENGAGEMENTS 2026'!C248),"",'ENGAGEMENTS 2026'!I248)</f>
        <v/>
      </c>
      <c r="F248">
        <f>IF(ISBLANK('ENGAGEMENTS 2026'!C248),"",'ENGAGEMENTS 2026'!J248)</f>
        <v/>
      </c>
      <c r="G248">
        <f>IF(ISBLANK('ENGAGEMENTS 2026'!C248),"",'ENGAGEMENTS 2026'!M248)</f>
        <v/>
      </c>
      <c r="H248">
        <f>IF(ISBLANK('ENGAGEMENTS 2026'!C248),"",'ENGAGEMENTS 2026'!AF248)</f>
        <v/>
      </c>
      <c r="I248">
        <f>IF(ISBLANK('ENGAGEMENTS 2026'!C248),"",'ENGAGEMENTS 2026'!H248)</f>
        <v/>
      </c>
      <c r="J248" s="275">
        <f>IF(ISBLANK('ENGAGEMENTS 2026'!C248),"",IF(AND(OR($E248="INFRUCTUEUX",$E248="ANNULE"),$C248="AOO-M"),'ENGAGEMENTS 2026'!P248,IF($H248="EN COURS DE PREENGAGEMENT",'ENGAGEMENTS 2026'!O248,IF($H248="PREENGAGE",IF($E248="ATTRIBUE",'ENGAGEMENTS 2026'!AE248,'ENGAGEMENTS 2026'!O248),'ENGAGEMENTS 2026'!AE248))))</f>
        <v/>
      </c>
      <c r="K248" s="604">
        <f>IF(ISBLANK('ENGAGEMENTS 2026'!W248),"",'ENGAGEMENTS 2026'!W248)</f>
        <v/>
      </c>
      <c r="L248" s="276">
        <f>IF($K248="","",TODAY()-$K248)</f>
        <v/>
      </c>
      <c r="M248">
        <f>IF($A248="","",IF($H248="ENGAGE","Engagé",IF(AND($H248="NON ENGAGE",OR($I248="INFRUCTUEUX",$I248="ANNULE")),"Clôturé sans suite","En cours")))</f>
        <v/>
      </c>
      <c r="N248">
        <f>IF(ISBLANK('ENGAGEMENTS 2026'!C248),"",'ENGAGEMENTS 2026'!L248)</f>
        <v/>
      </c>
      <c r="O248">
        <f>IF(ISBLANK('ENGAGEMENTS 2026'!C248),"",'ENGAGEMENTS 2026'!M248)</f>
        <v/>
      </c>
      <c r="P248">
        <f>IF(ISBLANK('ENGAGEMENTS 2026'!C248),"",'ENGAGEMENTS 2026'!K248)</f>
        <v/>
      </c>
      <c r="Q248">
        <f>IF($A248="","",IF(OR($E248="INFRUCTUEUX",$E248="ANNULE"),$A248&amp;"|"&amp;(COUNTIFS($A$2:$A248,$A248,$E$2:$E248,"INFRUCTUEUX")+COUNTIFS($A$2:$A248,$A248,$E$2:$E248,"ANNULE")),""))</f>
        <v/>
      </c>
    </row>
    <row r="249">
      <c r="A249">
        <f>IF(ISBLANK('ENGAGEMENTS 2026'!C249),"",IF('ENGAGEMENTS 2026'!C249="DTSI","DCT",'ENGAGEMENTS 2026'!C249))</f>
        <v/>
      </c>
      <c r="B249">
        <f>IF(ISBLANK('ENGAGEMENTS 2026'!C249),"",'ENGAGEMENTS 2026'!D249)</f>
        <v/>
      </c>
      <c r="C249">
        <f>IF(ISBLANK('ENGAGEMENTS 2026'!C249),"",'ENGAGEMENTS 2026'!E249)</f>
        <v/>
      </c>
      <c r="D249">
        <f>IF(ISBLANK('ENGAGEMENTS 2026'!C249),"",'ENGAGEMENTS 2026'!G249)</f>
        <v/>
      </c>
      <c r="E249">
        <f>IF(ISBLANK('ENGAGEMENTS 2026'!C249),"",'ENGAGEMENTS 2026'!I249)</f>
        <v/>
      </c>
      <c r="F249">
        <f>IF(ISBLANK('ENGAGEMENTS 2026'!C249),"",'ENGAGEMENTS 2026'!J249)</f>
        <v/>
      </c>
      <c r="G249">
        <f>IF(ISBLANK('ENGAGEMENTS 2026'!C249),"",'ENGAGEMENTS 2026'!M249)</f>
        <v/>
      </c>
      <c r="H249">
        <f>IF(ISBLANK('ENGAGEMENTS 2026'!C249),"",'ENGAGEMENTS 2026'!AF249)</f>
        <v/>
      </c>
      <c r="I249">
        <f>IF(ISBLANK('ENGAGEMENTS 2026'!C249),"",'ENGAGEMENTS 2026'!H249)</f>
        <v/>
      </c>
      <c r="J249" s="275">
        <f>IF(ISBLANK('ENGAGEMENTS 2026'!C249),"",IF(AND(OR($E249="INFRUCTUEUX",$E249="ANNULE"),$C249="AOO-M"),'ENGAGEMENTS 2026'!P249,IF($H249="EN COURS DE PREENGAGEMENT",'ENGAGEMENTS 2026'!O249,IF($H249="PREENGAGE",IF($E249="ATTRIBUE",'ENGAGEMENTS 2026'!AE249,'ENGAGEMENTS 2026'!O249),'ENGAGEMENTS 2026'!AE249))))</f>
        <v/>
      </c>
      <c r="K249" s="604">
        <f>IF(ISBLANK('ENGAGEMENTS 2026'!W249),"",'ENGAGEMENTS 2026'!W249)</f>
        <v/>
      </c>
      <c r="L249" s="276">
        <f>IF($K249="","",TODAY()-$K249)</f>
        <v/>
      </c>
      <c r="M249">
        <f>IF($A249="","",IF($H249="ENGAGE","Engagé",IF(AND($H249="NON ENGAGE",OR($I249="INFRUCTUEUX",$I249="ANNULE")),"Clôturé sans suite","En cours")))</f>
        <v/>
      </c>
      <c r="N249">
        <f>IF(ISBLANK('ENGAGEMENTS 2026'!C249),"",'ENGAGEMENTS 2026'!L249)</f>
        <v/>
      </c>
      <c r="O249">
        <f>IF(ISBLANK('ENGAGEMENTS 2026'!C249),"",'ENGAGEMENTS 2026'!M249)</f>
        <v/>
      </c>
      <c r="P249">
        <f>IF(ISBLANK('ENGAGEMENTS 2026'!C249),"",'ENGAGEMENTS 2026'!K249)</f>
        <v/>
      </c>
      <c r="Q249">
        <f>IF($A249="","",IF(OR($E249="INFRUCTUEUX",$E249="ANNULE"),$A249&amp;"|"&amp;(COUNTIFS($A$2:$A249,$A249,$E$2:$E249,"INFRUCTUEUX")+COUNTIFS($A$2:$A249,$A249,$E$2:$E249,"ANNULE")),""))</f>
        <v/>
      </c>
    </row>
    <row r="250">
      <c r="A250">
        <f>IF(ISBLANK('ENGAGEMENTS 2026'!C250),"",IF('ENGAGEMENTS 2026'!C250="DTSI","DCT",'ENGAGEMENTS 2026'!C250))</f>
        <v/>
      </c>
      <c r="B250">
        <f>IF(ISBLANK('ENGAGEMENTS 2026'!C250),"",'ENGAGEMENTS 2026'!D250)</f>
        <v/>
      </c>
      <c r="C250">
        <f>IF(ISBLANK('ENGAGEMENTS 2026'!C250),"",'ENGAGEMENTS 2026'!E250)</f>
        <v/>
      </c>
      <c r="D250">
        <f>IF(ISBLANK('ENGAGEMENTS 2026'!C250),"",'ENGAGEMENTS 2026'!G250)</f>
        <v/>
      </c>
      <c r="E250">
        <f>IF(ISBLANK('ENGAGEMENTS 2026'!C250),"",'ENGAGEMENTS 2026'!I250)</f>
        <v/>
      </c>
      <c r="F250">
        <f>IF(ISBLANK('ENGAGEMENTS 2026'!C250),"",'ENGAGEMENTS 2026'!J250)</f>
        <v/>
      </c>
      <c r="G250">
        <f>IF(ISBLANK('ENGAGEMENTS 2026'!C250),"",'ENGAGEMENTS 2026'!M250)</f>
        <v/>
      </c>
      <c r="H250">
        <f>IF(ISBLANK('ENGAGEMENTS 2026'!C250),"",'ENGAGEMENTS 2026'!AF250)</f>
        <v/>
      </c>
      <c r="I250">
        <f>IF(ISBLANK('ENGAGEMENTS 2026'!C250),"",'ENGAGEMENTS 2026'!H250)</f>
        <v/>
      </c>
      <c r="J250" s="275">
        <f>IF(ISBLANK('ENGAGEMENTS 2026'!C250),"",IF(AND(OR($E250="INFRUCTUEUX",$E250="ANNULE"),$C250="AOO-M"),'ENGAGEMENTS 2026'!P250,IF($H250="EN COURS DE PREENGAGEMENT",'ENGAGEMENTS 2026'!O250,IF($H250="PREENGAGE",IF($E250="ATTRIBUE",'ENGAGEMENTS 2026'!AE250,'ENGAGEMENTS 2026'!O250),'ENGAGEMENTS 2026'!AE250))))</f>
        <v/>
      </c>
      <c r="K250" s="604">
        <f>IF(ISBLANK('ENGAGEMENTS 2026'!W250),"",'ENGAGEMENTS 2026'!W250)</f>
        <v/>
      </c>
      <c r="L250" s="276">
        <f>IF($K250="","",TODAY()-$K250)</f>
        <v/>
      </c>
      <c r="M250">
        <f>IF($A250="","",IF($H250="ENGAGE","Engagé",IF(AND($H250="NON ENGAGE",OR($I250="INFRUCTUEUX",$I250="ANNULE")),"Clôturé sans suite","En cours")))</f>
        <v/>
      </c>
      <c r="N250">
        <f>IF(ISBLANK('ENGAGEMENTS 2026'!C250),"",'ENGAGEMENTS 2026'!L250)</f>
        <v/>
      </c>
      <c r="O250">
        <f>IF(ISBLANK('ENGAGEMENTS 2026'!C250),"",'ENGAGEMENTS 2026'!M250)</f>
        <v/>
      </c>
      <c r="P250">
        <f>IF(ISBLANK('ENGAGEMENTS 2026'!C250),"",'ENGAGEMENTS 2026'!K250)</f>
        <v/>
      </c>
      <c r="Q250">
        <f>IF($A250="","",IF(OR($E250="INFRUCTUEUX",$E250="ANNULE"),$A250&amp;"|"&amp;(COUNTIFS($A$2:$A250,$A250,$E$2:$E250,"INFRUCTUEUX")+COUNTIFS($A$2:$A250,$A250,$E$2:$E250,"ANNULE")),""))</f>
        <v/>
      </c>
    </row>
    <row r="251">
      <c r="A251">
        <f>IF(ISBLANK('ENGAGEMENTS 2026'!C251),"",IF('ENGAGEMENTS 2026'!C251="DTSI","DCT",'ENGAGEMENTS 2026'!C251))</f>
        <v/>
      </c>
      <c r="B251">
        <f>IF(ISBLANK('ENGAGEMENTS 2026'!C251),"",'ENGAGEMENTS 2026'!D251)</f>
        <v/>
      </c>
      <c r="C251">
        <f>IF(ISBLANK('ENGAGEMENTS 2026'!C251),"",'ENGAGEMENTS 2026'!E251)</f>
        <v/>
      </c>
      <c r="D251">
        <f>IF(ISBLANK('ENGAGEMENTS 2026'!C251),"",'ENGAGEMENTS 2026'!G251)</f>
        <v/>
      </c>
      <c r="E251">
        <f>IF(ISBLANK('ENGAGEMENTS 2026'!C251),"",'ENGAGEMENTS 2026'!I251)</f>
        <v/>
      </c>
      <c r="F251">
        <f>IF(ISBLANK('ENGAGEMENTS 2026'!C251),"",'ENGAGEMENTS 2026'!J251)</f>
        <v/>
      </c>
      <c r="G251">
        <f>IF(ISBLANK('ENGAGEMENTS 2026'!C251),"",'ENGAGEMENTS 2026'!M251)</f>
        <v/>
      </c>
      <c r="H251">
        <f>IF(ISBLANK('ENGAGEMENTS 2026'!C251),"",'ENGAGEMENTS 2026'!AF251)</f>
        <v/>
      </c>
      <c r="I251">
        <f>IF(ISBLANK('ENGAGEMENTS 2026'!C251),"",'ENGAGEMENTS 2026'!H251)</f>
        <v/>
      </c>
      <c r="J251" s="275">
        <f>IF(ISBLANK('ENGAGEMENTS 2026'!C251),"",IF(AND(OR($E251="INFRUCTUEUX",$E251="ANNULE"),$C251="AOO-M"),'ENGAGEMENTS 2026'!P251,IF($H251="EN COURS DE PREENGAGEMENT",'ENGAGEMENTS 2026'!O251,IF($H251="PREENGAGE",IF($E251="ATTRIBUE",'ENGAGEMENTS 2026'!AE251,'ENGAGEMENTS 2026'!O251),'ENGAGEMENTS 2026'!AE251))))</f>
        <v/>
      </c>
      <c r="K251" s="604">
        <f>IF(ISBLANK('ENGAGEMENTS 2026'!W251),"",'ENGAGEMENTS 2026'!W251)</f>
        <v/>
      </c>
      <c r="L251" s="276">
        <f>IF($K251="","",TODAY()-$K251)</f>
        <v/>
      </c>
      <c r="M251">
        <f>IF($A251="","",IF($H251="ENGAGE","Engagé",IF(AND($H251="NON ENGAGE",OR($I251="INFRUCTUEUX",$I251="ANNULE")),"Clôturé sans suite","En cours")))</f>
        <v/>
      </c>
      <c r="N251">
        <f>IF(ISBLANK('ENGAGEMENTS 2026'!C251),"",'ENGAGEMENTS 2026'!L251)</f>
        <v/>
      </c>
      <c r="O251">
        <f>IF(ISBLANK('ENGAGEMENTS 2026'!C251),"",'ENGAGEMENTS 2026'!M251)</f>
        <v/>
      </c>
      <c r="P251">
        <f>IF(ISBLANK('ENGAGEMENTS 2026'!C251),"",'ENGAGEMENTS 2026'!K251)</f>
        <v/>
      </c>
      <c r="Q251">
        <f>IF($A251="","",IF(OR($E251="INFRUCTUEUX",$E251="ANNULE"),$A251&amp;"|"&amp;(COUNTIFS($A$2:$A251,$A251,$E$2:$E251,"INFRUCTUEUX")+COUNTIFS($A$2:$A251,$A251,$E$2:$E251,"ANNULE")),""))</f>
        <v/>
      </c>
    </row>
    <row r="252">
      <c r="A252">
        <f>IF(ISBLANK('ENGAGEMENTS 2026'!C252),"",IF('ENGAGEMENTS 2026'!C252="DTSI","DCT",'ENGAGEMENTS 2026'!C252))</f>
        <v/>
      </c>
      <c r="B252">
        <f>IF(ISBLANK('ENGAGEMENTS 2026'!C252),"",'ENGAGEMENTS 2026'!D252)</f>
        <v/>
      </c>
      <c r="C252">
        <f>IF(ISBLANK('ENGAGEMENTS 2026'!C252),"",'ENGAGEMENTS 2026'!E252)</f>
        <v/>
      </c>
      <c r="D252">
        <f>IF(ISBLANK('ENGAGEMENTS 2026'!C252),"",'ENGAGEMENTS 2026'!G252)</f>
        <v/>
      </c>
      <c r="E252">
        <f>IF(ISBLANK('ENGAGEMENTS 2026'!C252),"",'ENGAGEMENTS 2026'!I252)</f>
        <v/>
      </c>
      <c r="F252">
        <f>IF(ISBLANK('ENGAGEMENTS 2026'!C252),"",'ENGAGEMENTS 2026'!J252)</f>
        <v/>
      </c>
      <c r="G252">
        <f>IF(ISBLANK('ENGAGEMENTS 2026'!C252),"",'ENGAGEMENTS 2026'!M252)</f>
        <v/>
      </c>
      <c r="H252">
        <f>IF(ISBLANK('ENGAGEMENTS 2026'!C252),"",'ENGAGEMENTS 2026'!AF252)</f>
        <v/>
      </c>
      <c r="I252">
        <f>IF(ISBLANK('ENGAGEMENTS 2026'!C252),"",'ENGAGEMENTS 2026'!H252)</f>
        <v/>
      </c>
      <c r="J252" s="275">
        <f>IF(ISBLANK('ENGAGEMENTS 2026'!C252),"",IF(AND(OR($E252="INFRUCTUEUX",$E252="ANNULE"),$C252="AOO-M"),'ENGAGEMENTS 2026'!P252,IF($H252="EN COURS DE PREENGAGEMENT",'ENGAGEMENTS 2026'!O252,IF($H252="PREENGAGE",IF($E252="ATTRIBUE",'ENGAGEMENTS 2026'!AE252,'ENGAGEMENTS 2026'!O252),'ENGAGEMENTS 2026'!AE252))))</f>
        <v/>
      </c>
      <c r="K252" s="604">
        <f>IF(ISBLANK('ENGAGEMENTS 2026'!W252),"",'ENGAGEMENTS 2026'!W252)</f>
        <v/>
      </c>
      <c r="L252" s="276">
        <f>IF($K252="","",TODAY()-$K252)</f>
        <v/>
      </c>
      <c r="M252">
        <f>IF($A252="","",IF($H252="ENGAGE","Engagé",IF(AND($H252="NON ENGAGE",OR($I252="INFRUCTUEUX",$I252="ANNULE")),"Clôturé sans suite","En cours")))</f>
        <v/>
      </c>
      <c r="N252">
        <f>IF(ISBLANK('ENGAGEMENTS 2026'!C252),"",'ENGAGEMENTS 2026'!L252)</f>
        <v/>
      </c>
      <c r="O252">
        <f>IF(ISBLANK('ENGAGEMENTS 2026'!C252),"",'ENGAGEMENTS 2026'!M252)</f>
        <v/>
      </c>
      <c r="P252">
        <f>IF(ISBLANK('ENGAGEMENTS 2026'!C252),"",'ENGAGEMENTS 2026'!K252)</f>
        <v/>
      </c>
      <c r="Q252">
        <f>IF($A252="","",IF(OR($E252="INFRUCTUEUX",$E252="ANNULE"),$A252&amp;"|"&amp;(COUNTIFS($A$2:$A252,$A252,$E$2:$E252,"INFRUCTUEUX")+COUNTIFS($A$2:$A252,$A252,$E$2:$E252,"ANNULE")),""))</f>
        <v/>
      </c>
    </row>
    <row r="253">
      <c r="A253">
        <f>IF(ISBLANK('ENGAGEMENTS 2026'!C253),"",IF('ENGAGEMENTS 2026'!C253="DTSI","DCT",'ENGAGEMENTS 2026'!C253))</f>
        <v/>
      </c>
      <c r="B253">
        <f>IF(ISBLANK('ENGAGEMENTS 2026'!C253),"",'ENGAGEMENTS 2026'!D253)</f>
        <v/>
      </c>
      <c r="C253">
        <f>IF(ISBLANK('ENGAGEMENTS 2026'!C253),"",'ENGAGEMENTS 2026'!E253)</f>
        <v/>
      </c>
      <c r="D253">
        <f>IF(ISBLANK('ENGAGEMENTS 2026'!C253),"",'ENGAGEMENTS 2026'!G253)</f>
        <v/>
      </c>
      <c r="E253">
        <f>IF(ISBLANK('ENGAGEMENTS 2026'!C253),"",'ENGAGEMENTS 2026'!I253)</f>
        <v/>
      </c>
      <c r="F253">
        <f>IF(ISBLANK('ENGAGEMENTS 2026'!C253),"",'ENGAGEMENTS 2026'!J253)</f>
        <v/>
      </c>
      <c r="G253">
        <f>IF(ISBLANK('ENGAGEMENTS 2026'!C253),"",'ENGAGEMENTS 2026'!M253)</f>
        <v/>
      </c>
      <c r="H253">
        <f>IF(ISBLANK('ENGAGEMENTS 2026'!C253),"",'ENGAGEMENTS 2026'!AF253)</f>
        <v/>
      </c>
      <c r="I253">
        <f>IF(ISBLANK('ENGAGEMENTS 2026'!C253),"",'ENGAGEMENTS 2026'!H253)</f>
        <v/>
      </c>
      <c r="J253" s="275">
        <f>IF(ISBLANK('ENGAGEMENTS 2026'!C253),"",IF(AND(OR($E253="INFRUCTUEUX",$E253="ANNULE"),$C253="AOO-M"),'ENGAGEMENTS 2026'!P253,IF($H253="EN COURS DE PREENGAGEMENT",'ENGAGEMENTS 2026'!O253,IF($H253="PREENGAGE",IF($E253="ATTRIBUE",'ENGAGEMENTS 2026'!AE253,'ENGAGEMENTS 2026'!O253),'ENGAGEMENTS 2026'!AE253))))</f>
        <v/>
      </c>
      <c r="K253" s="604">
        <f>IF(ISBLANK('ENGAGEMENTS 2026'!W253),"",'ENGAGEMENTS 2026'!W253)</f>
        <v/>
      </c>
      <c r="L253" s="276">
        <f>IF($K253="","",TODAY()-$K253)</f>
        <v/>
      </c>
      <c r="M253">
        <f>IF($A253="","",IF($H253="ENGAGE","Engagé",IF(AND($H253="NON ENGAGE",OR($I253="INFRUCTUEUX",$I253="ANNULE")),"Clôturé sans suite","En cours")))</f>
        <v/>
      </c>
      <c r="N253">
        <f>IF(ISBLANK('ENGAGEMENTS 2026'!C253),"",'ENGAGEMENTS 2026'!L253)</f>
        <v/>
      </c>
      <c r="O253">
        <f>IF(ISBLANK('ENGAGEMENTS 2026'!C253),"",'ENGAGEMENTS 2026'!M253)</f>
        <v/>
      </c>
      <c r="P253">
        <f>IF(ISBLANK('ENGAGEMENTS 2026'!C253),"",'ENGAGEMENTS 2026'!K253)</f>
        <v/>
      </c>
      <c r="Q253">
        <f>IF($A253="","",IF(OR($E253="INFRUCTUEUX",$E253="ANNULE"),$A253&amp;"|"&amp;(COUNTIFS($A$2:$A253,$A253,$E$2:$E253,"INFRUCTUEUX")+COUNTIFS($A$2:$A253,$A253,$E$2:$E253,"ANNULE")),""))</f>
        <v/>
      </c>
    </row>
    <row r="254">
      <c r="A254">
        <f>IF(ISBLANK('ENGAGEMENTS 2026'!C254),"",IF('ENGAGEMENTS 2026'!C254="DTSI","DCT",'ENGAGEMENTS 2026'!C254))</f>
        <v/>
      </c>
      <c r="B254">
        <f>IF(ISBLANK('ENGAGEMENTS 2026'!C254),"",'ENGAGEMENTS 2026'!D254)</f>
        <v/>
      </c>
      <c r="C254">
        <f>IF(ISBLANK('ENGAGEMENTS 2026'!C254),"",'ENGAGEMENTS 2026'!E254)</f>
        <v/>
      </c>
      <c r="D254">
        <f>IF(ISBLANK('ENGAGEMENTS 2026'!C254),"",'ENGAGEMENTS 2026'!G254)</f>
        <v/>
      </c>
      <c r="E254">
        <f>IF(ISBLANK('ENGAGEMENTS 2026'!C254),"",'ENGAGEMENTS 2026'!I254)</f>
        <v/>
      </c>
      <c r="F254">
        <f>IF(ISBLANK('ENGAGEMENTS 2026'!C254),"",'ENGAGEMENTS 2026'!J254)</f>
        <v/>
      </c>
      <c r="G254">
        <f>IF(ISBLANK('ENGAGEMENTS 2026'!C254),"",'ENGAGEMENTS 2026'!M254)</f>
        <v/>
      </c>
      <c r="H254">
        <f>IF(ISBLANK('ENGAGEMENTS 2026'!C254),"",'ENGAGEMENTS 2026'!AF254)</f>
        <v/>
      </c>
      <c r="I254">
        <f>IF(ISBLANK('ENGAGEMENTS 2026'!C254),"",'ENGAGEMENTS 2026'!H254)</f>
        <v/>
      </c>
      <c r="J254" s="275">
        <f>IF(ISBLANK('ENGAGEMENTS 2026'!C254),"",IF(AND(OR($E254="INFRUCTUEUX",$E254="ANNULE"),$C254="AOO-M"),'ENGAGEMENTS 2026'!P254,IF($H254="EN COURS DE PREENGAGEMENT",'ENGAGEMENTS 2026'!O254,IF($H254="PREENGAGE",IF($E254="ATTRIBUE",'ENGAGEMENTS 2026'!AE254,'ENGAGEMENTS 2026'!O254),'ENGAGEMENTS 2026'!AE254))))</f>
        <v/>
      </c>
      <c r="K254" s="604">
        <f>IF(ISBLANK('ENGAGEMENTS 2026'!W254),"",'ENGAGEMENTS 2026'!W254)</f>
        <v/>
      </c>
      <c r="L254" s="276">
        <f>IF($K254="","",TODAY()-$K254)</f>
        <v/>
      </c>
      <c r="M254">
        <f>IF($A254="","",IF($H254="ENGAGE","Engagé",IF(AND($H254="NON ENGAGE",OR($I254="INFRUCTUEUX",$I254="ANNULE")),"Clôturé sans suite","En cours")))</f>
        <v/>
      </c>
      <c r="N254">
        <f>IF(ISBLANK('ENGAGEMENTS 2026'!C254),"",'ENGAGEMENTS 2026'!L254)</f>
        <v/>
      </c>
      <c r="O254">
        <f>IF(ISBLANK('ENGAGEMENTS 2026'!C254),"",'ENGAGEMENTS 2026'!M254)</f>
        <v/>
      </c>
      <c r="P254">
        <f>IF(ISBLANK('ENGAGEMENTS 2026'!C254),"",'ENGAGEMENTS 2026'!K254)</f>
        <v/>
      </c>
      <c r="Q254">
        <f>IF($A254="","",IF(OR($E254="INFRUCTUEUX",$E254="ANNULE"),$A254&amp;"|"&amp;(COUNTIFS($A$2:$A254,$A254,$E$2:$E254,"INFRUCTUEUX")+COUNTIFS($A$2:$A254,$A254,$E$2:$E254,"ANNULE")),""))</f>
        <v/>
      </c>
    </row>
    <row r="255">
      <c r="A255">
        <f>IF(ISBLANK('ENGAGEMENTS 2026'!C255),"",IF('ENGAGEMENTS 2026'!C255="DTSI","DCT",'ENGAGEMENTS 2026'!C255))</f>
        <v/>
      </c>
      <c r="B255">
        <f>IF(ISBLANK('ENGAGEMENTS 2026'!C255),"",'ENGAGEMENTS 2026'!D255)</f>
        <v/>
      </c>
      <c r="C255">
        <f>IF(ISBLANK('ENGAGEMENTS 2026'!C255),"",'ENGAGEMENTS 2026'!E255)</f>
        <v/>
      </c>
      <c r="D255">
        <f>IF(ISBLANK('ENGAGEMENTS 2026'!C255),"",'ENGAGEMENTS 2026'!G255)</f>
        <v/>
      </c>
      <c r="E255">
        <f>IF(ISBLANK('ENGAGEMENTS 2026'!C255),"",'ENGAGEMENTS 2026'!I255)</f>
        <v/>
      </c>
      <c r="F255">
        <f>IF(ISBLANK('ENGAGEMENTS 2026'!C255),"",'ENGAGEMENTS 2026'!J255)</f>
        <v/>
      </c>
      <c r="G255">
        <f>IF(ISBLANK('ENGAGEMENTS 2026'!C255),"",'ENGAGEMENTS 2026'!M255)</f>
        <v/>
      </c>
      <c r="H255">
        <f>IF(ISBLANK('ENGAGEMENTS 2026'!C255),"",'ENGAGEMENTS 2026'!AF255)</f>
        <v/>
      </c>
      <c r="I255">
        <f>IF(ISBLANK('ENGAGEMENTS 2026'!C255),"",'ENGAGEMENTS 2026'!H255)</f>
        <v/>
      </c>
      <c r="J255" s="275">
        <f>IF(ISBLANK('ENGAGEMENTS 2026'!C255),"",IF(AND(OR($E255="INFRUCTUEUX",$E255="ANNULE"),$C255="AOO-M"),'ENGAGEMENTS 2026'!P255,IF($H255="EN COURS DE PREENGAGEMENT",'ENGAGEMENTS 2026'!O255,IF($H255="PREENGAGE",IF($E255="ATTRIBUE",'ENGAGEMENTS 2026'!AE255,'ENGAGEMENTS 2026'!O255),'ENGAGEMENTS 2026'!AE255))))</f>
        <v/>
      </c>
      <c r="K255" s="604">
        <f>IF(ISBLANK('ENGAGEMENTS 2026'!W255),"",'ENGAGEMENTS 2026'!W255)</f>
        <v/>
      </c>
      <c r="L255" s="276">
        <f>IF($K255="","",TODAY()-$K255)</f>
        <v/>
      </c>
      <c r="M255">
        <f>IF($A255="","",IF($H255="ENGAGE","Engagé",IF(AND($H255="NON ENGAGE",OR($I255="INFRUCTUEUX",$I255="ANNULE")),"Clôturé sans suite","En cours")))</f>
        <v/>
      </c>
      <c r="N255">
        <f>IF(ISBLANK('ENGAGEMENTS 2026'!C255),"",'ENGAGEMENTS 2026'!L255)</f>
        <v/>
      </c>
      <c r="O255">
        <f>IF(ISBLANK('ENGAGEMENTS 2026'!C255),"",'ENGAGEMENTS 2026'!M255)</f>
        <v/>
      </c>
      <c r="P255">
        <f>IF(ISBLANK('ENGAGEMENTS 2026'!C255),"",'ENGAGEMENTS 2026'!K255)</f>
        <v/>
      </c>
      <c r="Q255">
        <f>IF($A255="","",IF(OR($E255="INFRUCTUEUX",$E255="ANNULE"),$A255&amp;"|"&amp;(COUNTIFS($A$2:$A255,$A255,$E$2:$E255,"INFRUCTUEUX")+COUNTIFS($A$2:$A255,$A255,$E$2:$E255,"ANNULE")),""))</f>
        <v/>
      </c>
    </row>
    <row r="256">
      <c r="A256">
        <f>IF(ISBLANK('ENGAGEMENTS 2026'!C256),"",IF('ENGAGEMENTS 2026'!C256="DTSI","DCT",'ENGAGEMENTS 2026'!C256))</f>
        <v/>
      </c>
      <c r="B256">
        <f>IF(ISBLANK('ENGAGEMENTS 2026'!C256),"",'ENGAGEMENTS 2026'!D256)</f>
        <v/>
      </c>
      <c r="C256">
        <f>IF(ISBLANK('ENGAGEMENTS 2026'!C256),"",'ENGAGEMENTS 2026'!E256)</f>
        <v/>
      </c>
      <c r="D256">
        <f>IF(ISBLANK('ENGAGEMENTS 2026'!C256),"",'ENGAGEMENTS 2026'!G256)</f>
        <v/>
      </c>
      <c r="E256">
        <f>IF(ISBLANK('ENGAGEMENTS 2026'!C256),"",'ENGAGEMENTS 2026'!I256)</f>
        <v/>
      </c>
      <c r="F256">
        <f>IF(ISBLANK('ENGAGEMENTS 2026'!C256),"",'ENGAGEMENTS 2026'!J256)</f>
        <v/>
      </c>
      <c r="G256">
        <f>IF(ISBLANK('ENGAGEMENTS 2026'!C256),"",'ENGAGEMENTS 2026'!M256)</f>
        <v/>
      </c>
      <c r="H256">
        <f>IF(ISBLANK('ENGAGEMENTS 2026'!C256),"",'ENGAGEMENTS 2026'!AF256)</f>
        <v/>
      </c>
      <c r="I256">
        <f>IF(ISBLANK('ENGAGEMENTS 2026'!C256),"",'ENGAGEMENTS 2026'!H256)</f>
        <v/>
      </c>
      <c r="J256" s="275">
        <f>IF(ISBLANK('ENGAGEMENTS 2026'!C256),"",IF(AND(OR($E256="INFRUCTUEUX",$E256="ANNULE"),$C256="AOO-M"),'ENGAGEMENTS 2026'!P256,IF($H256="EN COURS DE PREENGAGEMENT",'ENGAGEMENTS 2026'!O256,IF($H256="PREENGAGE",IF($E256="ATTRIBUE",'ENGAGEMENTS 2026'!AE256,'ENGAGEMENTS 2026'!O256),'ENGAGEMENTS 2026'!AE256))))</f>
        <v/>
      </c>
      <c r="K256" s="604">
        <f>IF(ISBLANK('ENGAGEMENTS 2026'!W256),"",'ENGAGEMENTS 2026'!W256)</f>
        <v/>
      </c>
      <c r="L256" s="276">
        <f>IF($K256="","",TODAY()-$K256)</f>
        <v/>
      </c>
      <c r="M256">
        <f>IF($A256="","",IF($H256="ENGAGE","Engagé",IF(AND($H256="NON ENGAGE",OR($I256="INFRUCTUEUX",$I256="ANNULE")),"Clôturé sans suite","En cours")))</f>
        <v/>
      </c>
      <c r="N256">
        <f>IF(ISBLANK('ENGAGEMENTS 2026'!C256),"",'ENGAGEMENTS 2026'!L256)</f>
        <v/>
      </c>
      <c r="O256">
        <f>IF(ISBLANK('ENGAGEMENTS 2026'!C256),"",'ENGAGEMENTS 2026'!M256)</f>
        <v/>
      </c>
      <c r="P256">
        <f>IF(ISBLANK('ENGAGEMENTS 2026'!C256),"",'ENGAGEMENTS 2026'!K256)</f>
        <v/>
      </c>
      <c r="Q256">
        <f>IF($A256="","",IF(OR($E256="INFRUCTUEUX",$E256="ANNULE"),$A256&amp;"|"&amp;(COUNTIFS($A$2:$A256,$A256,$E$2:$E256,"INFRUCTUEUX")+COUNTIFS($A$2:$A256,$A256,$E$2:$E256,"ANNULE")),""))</f>
        <v/>
      </c>
    </row>
    <row r="257">
      <c r="A257">
        <f>IF(ISBLANK('ENGAGEMENTS 2026'!C257),"",IF('ENGAGEMENTS 2026'!C257="DTSI","DCT",'ENGAGEMENTS 2026'!C257))</f>
        <v/>
      </c>
      <c r="B257">
        <f>IF(ISBLANK('ENGAGEMENTS 2026'!C257),"",'ENGAGEMENTS 2026'!D257)</f>
        <v/>
      </c>
      <c r="C257">
        <f>IF(ISBLANK('ENGAGEMENTS 2026'!C257),"",'ENGAGEMENTS 2026'!E257)</f>
        <v/>
      </c>
      <c r="D257">
        <f>IF(ISBLANK('ENGAGEMENTS 2026'!C257),"",'ENGAGEMENTS 2026'!G257)</f>
        <v/>
      </c>
      <c r="E257">
        <f>IF(ISBLANK('ENGAGEMENTS 2026'!C257),"",'ENGAGEMENTS 2026'!I257)</f>
        <v/>
      </c>
      <c r="F257">
        <f>IF(ISBLANK('ENGAGEMENTS 2026'!C257),"",'ENGAGEMENTS 2026'!J257)</f>
        <v/>
      </c>
      <c r="G257">
        <f>IF(ISBLANK('ENGAGEMENTS 2026'!C257),"",'ENGAGEMENTS 2026'!M257)</f>
        <v/>
      </c>
      <c r="H257">
        <f>IF(ISBLANK('ENGAGEMENTS 2026'!C257),"",'ENGAGEMENTS 2026'!AF257)</f>
        <v/>
      </c>
      <c r="I257">
        <f>IF(ISBLANK('ENGAGEMENTS 2026'!C257),"",'ENGAGEMENTS 2026'!H257)</f>
        <v/>
      </c>
      <c r="J257" s="275">
        <f>IF(ISBLANK('ENGAGEMENTS 2026'!C257),"",IF(AND(OR($E257="INFRUCTUEUX",$E257="ANNULE"),$C257="AOO-M"),'ENGAGEMENTS 2026'!P257,IF($H257="EN COURS DE PREENGAGEMENT",'ENGAGEMENTS 2026'!O257,IF($H257="PREENGAGE",IF($E257="ATTRIBUE",'ENGAGEMENTS 2026'!AE257,'ENGAGEMENTS 2026'!O257),'ENGAGEMENTS 2026'!AE257))))</f>
        <v/>
      </c>
      <c r="K257" s="604">
        <f>IF(ISBLANK('ENGAGEMENTS 2026'!W257),"",'ENGAGEMENTS 2026'!W257)</f>
        <v/>
      </c>
      <c r="L257" s="276">
        <f>IF($K257="","",TODAY()-$K257)</f>
        <v/>
      </c>
      <c r="M257">
        <f>IF($A257="","",IF($H257="ENGAGE","Engagé",IF(AND($H257="NON ENGAGE",OR($I257="INFRUCTUEUX",$I257="ANNULE")),"Clôturé sans suite","En cours")))</f>
        <v/>
      </c>
      <c r="N257">
        <f>IF(ISBLANK('ENGAGEMENTS 2026'!C257),"",'ENGAGEMENTS 2026'!L257)</f>
        <v/>
      </c>
      <c r="O257">
        <f>IF(ISBLANK('ENGAGEMENTS 2026'!C257),"",'ENGAGEMENTS 2026'!M257)</f>
        <v/>
      </c>
      <c r="P257">
        <f>IF(ISBLANK('ENGAGEMENTS 2026'!C257),"",'ENGAGEMENTS 2026'!K257)</f>
        <v/>
      </c>
      <c r="Q257">
        <f>IF($A257="","",IF(OR($E257="INFRUCTUEUX",$E257="ANNULE"),$A257&amp;"|"&amp;(COUNTIFS($A$2:$A257,$A257,$E$2:$E257,"INFRUCTUEUX")+COUNTIFS($A$2:$A257,$A257,$E$2:$E257,"ANNULE")),""))</f>
        <v/>
      </c>
    </row>
    <row r="258">
      <c r="A258">
        <f>IF(ISBLANK('ENGAGEMENTS 2026'!C258),"",IF('ENGAGEMENTS 2026'!C258="DTSI","DCT",'ENGAGEMENTS 2026'!C258))</f>
        <v/>
      </c>
      <c r="B258">
        <f>IF(ISBLANK('ENGAGEMENTS 2026'!C258),"",'ENGAGEMENTS 2026'!D258)</f>
        <v/>
      </c>
      <c r="C258">
        <f>IF(ISBLANK('ENGAGEMENTS 2026'!C258),"",'ENGAGEMENTS 2026'!E258)</f>
        <v/>
      </c>
      <c r="D258">
        <f>IF(ISBLANK('ENGAGEMENTS 2026'!C258),"",'ENGAGEMENTS 2026'!G258)</f>
        <v/>
      </c>
      <c r="E258">
        <f>IF(ISBLANK('ENGAGEMENTS 2026'!C258),"",'ENGAGEMENTS 2026'!I258)</f>
        <v/>
      </c>
      <c r="F258">
        <f>IF(ISBLANK('ENGAGEMENTS 2026'!C258),"",'ENGAGEMENTS 2026'!J258)</f>
        <v/>
      </c>
      <c r="G258">
        <f>IF(ISBLANK('ENGAGEMENTS 2026'!C258),"",'ENGAGEMENTS 2026'!M258)</f>
        <v/>
      </c>
      <c r="H258">
        <f>IF(ISBLANK('ENGAGEMENTS 2026'!C258),"",'ENGAGEMENTS 2026'!AF258)</f>
        <v/>
      </c>
      <c r="I258">
        <f>IF(ISBLANK('ENGAGEMENTS 2026'!C258),"",'ENGAGEMENTS 2026'!H258)</f>
        <v/>
      </c>
      <c r="J258" s="275">
        <f>IF(ISBLANK('ENGAGEMENTS 2026'!C258),"",IF(AND(OR($E258="INFRUCTUEUX",$E258="ANNULE"),$C258="AOO-M"),'ENGAGEMENTS 2026'!P258,IF($H258="EN COURS DE PREENGAGEMENT",'ENGAGEMENTS 2026'!O258,IF($H258="PREENGAGE",IF($E258="ATTRIBUE",'ENGAGEMENTS 2026'!AE258,'ENGAGEMENTS 2026'!O258),'ENGAGEMENTS 2026'!AE258))))</f>
        <v/>
      </c>
      <c r="K258" s="604">
        <f>IF(ISBLANK('ENGAGEMENTS 2026'!W258),"",'ENGAGEMENTS 2026'!W258)</f>
        <v/>
      </c>
      <c r="L258" s="276">
        <f>IF($K258="","",TODAY()-$K258)</f>
        <v/>
      </c>
      <c r="M258">
        <f>IF($A258="","",IF($H258="ENGAGE","Engagé",IF(AND($H258="NON ENGAGE",OR($I258="INFRUCTUEUX",$I258="ANNULE")),"Clôturé sans suite","En cours")))</f>
        <v/>
      </c>
      <c r="N258">
        <f>IF(ISBLANK('ENGAGEMENTS 2026'!C258),"",'ENGAGEMENTS 2026'!L258)</f>
        <v/>
      </c>
      <c r="O258">
        <f>IF(ISBLANK('ENGAGEMENTS 2026'!C258),"",'ENGAGEMENTS 2026'!M258)</f>
        <v/>
      </c>
      <c r="P258">
        <f>IF(ISBLANK('ENGAGEMENTS 2026'!C258),"",'ENGAGEMENTS 2026'!K258)</f>
        <v/>
      </c>
      <c r="Q258">
        <f>IF($A258="","",IF(OR($E258="INFRUCTUEUX",$E258="ANNULE"),$A258&amp;"|"&amp;(COUNTIFS($A$2:$A258,$A258,$E$2:$E258,"INFRUCTUEUX")+COUNTIFS($A$2:$A258,$A258,$E$2:$E258,"ANNULE")),""))</f>
        <v/>
      </c>
    </row>
    <row r="259">
      <c r="A259">
        <f>IF(ISBLANK('ENGAGEMENTS 2026'!C259),"",IF('ENGAGEMENTS 2026'!C259="DTSI","DCT",'ENGAGEMENTS 2026'!C259))</f>
        <v/>
      </c>
      <c r="B259">
        <f>IF(ISBLANK('ENGAGEMENTS 2026'!C259),"",'ENGAGEMENTS 2026'!D259)</f>
        <v/>
      </c>
      <c r="C259">
        <f>IF(ISBLANK('ENGAGEMENTS 2026'!C259),"",'ENGAGEMENTS 2026'!E259)</f>
        <v/>
      </c>
      <c r="D259">
        <f>IF(ISBLANK('ENGAGEMENTS 2026'!C259),"",'ENGAGEMENTS 2026'!G259)</f>
        <v/>
      </c>
      <c r="E259">
        <f>IF(ISBLANK('ENGAGEMENTS 2026'!C259),"",'ENGAGEMENTS 2026'!I259)</f>
        <v/>
      </c>
      <c r="F259">
        <f>IF(ISBLANK('ENGAGEMENTS 2026'!C259),"",'ENGAGEMENTS 2026'!J259)</f>
        <v/>
      </c>
      <c r="G259">
        <f>IF(ISBLANK('ENGAGEMENTS 2026'!C259),"",'ENGAGEMENTS 2026'!M259)</f>
        <v/>
      </c>
      <c r="H259">
        <f>IF(ISBLANK('ENGAGEMENTS 2026'!C259),"",'ENGAGEMENTS 2026'!AF259)</f>
        <v/>
      </c>
      <c r="I259">
        <f>IF(ISBLANK('ENGAGEMENTS 2026'!C259),"",'ENGAGEMENTS 2026'!H259)</f>
        <v/>
      </c>
      <c r="J259" s="275">
        <f>IF(ISBLANK('ENGAGEMENTS 2026'!C259),"",IF(AND(OR($E259="INFRUCTUEUX",$E259="ANNULE"),$C259="AOO-M"),'ENGAGEMENTS 2026'!P259,IF($H259="EN COURS DE PREENGAGEMENT",'ENGAGEMENTS 2026'!O259,IF($H259="PREENGAGE",IF($E259="ATTRIBUE",'ENGAGEMENTS 2026'!AE259,'ENGAGEMENTS 2026'!O259),'ENGAGEMENTS 2026'!AE259))))</f>
        <v/>
      </c>
      <c r="K259" s="604">
        <f>IF(ISBLANK('ENGAGEMENTS 2026'!W259),"",'ENGAGEMENTS 2026'!W259)</f>
        <v/>
      </c>
      <c r="L259" s="276">
        <f>IF($K259="","",TODAY()-$K259)</f>
        <v/>
      </c>
      <c r="M259">
        <f>IF($A259="","",IF($H259="ENGAGE","Engagé",IF(AND($H259="NON ENGAGE",OR($I259="INFRUCTUEUX",$I259="ANNULE")),"Clôturé sans suite","En cours")))</f>
        <v/>
      </c>
      <c r="N259">
        <f>IF(ISBLANK('ENGAGEMENTS 2026'!C259),"",'ENGAGEMENTS 2026'!L259)</f>
        <v/>
      </c>
      <c r="O259">
        <f>IF(ISBLANK('ENGAGEMENTS 2026'!C259),"",'ENGAGEMENTS 2026'!M259)</f>
        <v/>
      </c>
      <c r="P259">
        <f>IF(ISBLANK('ENGAGEMENTS 2026'!C259),"",'ENGAGEMENTS 2026'!K259)</f>
        <v/>
      </c>
      <c r="Q259">
        <f>IF($A259="","",IF(OR($E259="INFRUCTUEUX",$E259="ANNULE"),$A259&amp;"|"&amp;(COUNTIFS($A$2:$A259,$A259,$E$2:$E259,"INFRUCTUEUX")+COUNTIFS($A$2:$A259,$A259,$E$2:$E259,"ANNULE")),""))</f>
        <v/>
      </c>
    </row>
    <row r="260">
      <c r="A260">
        <f>IF(ISBLANK('ENGAGEMENTS 2026'!C260),"",IF('ENGAGEMENTS 2026'!C260="DTSI","DCT",'ENGAGEMENTS 2026'!C260))</f>
        <v/>
      </c>
      <c r="B260">
        <f>IF(ISBLANK('ENGAGEMENTS 2026'!C260),"",'ENGAGEMENTS 2026'!D260)</f>
        <v/>
      </c>
      <c r="C260">
        <f>IF(ISBLANK('ENGAGEMENTS 2026'!C260),"",'ENGAGEMENTS 2026'!E260)</f>
        <v/>
      </c>
      <c r="D260">
        <f>IF(ISBLANK('ENGAGEMENTS 2026'!C260),"",'ENGAGEMENTS 2026'!G260)</f>
        <v/>
      </c>
      <c r="E260">
        <f>IF(ISBLANK('ENGAGEMENTS 2026'!C260),"",'ENGAGEMENTS 2026'!I260)</f>
        <v/>
      </c>
      <c r="F260">
        <f>IF(ISBLANK('ENGAGEMENTS 2026'!C260),"",'ENGAGEMENTS 2026'!J260)</f>
        <v/>
      </c>
      <c r="G260">
        <f>IF(ISBLANK('ENGAGEMENTS 2026'!C260),"",'ENGAGEMENTS 2026'!M260)</f>
        <v/>
      </c>
      <c r="H260">
        <f>IF(ISBLANK('ENGAGEMENTS 2026'!C260),"",'ENGAGEMENTS 2026'!AF260)</f>
        <v/>
      </c>
      <c r="I260">
        <f>IF(ISBLANK('ENGAGEMENTS 2026'!C260),"",'ENGAGEMENTS 2026'!H260)</f>
        <v/>
      </c>
      <c r="J260" s="275">
        <f>IF(ISBLANK('ENGAGEMENTS 2026'!C260),"",IF(AND(OR($E260="INFRUCTUEUX",$E260="ANNULE"),$C260="AOO-M"),'ENGAGEMENTS 2026'!P260,IF($H260="EN COURS DE PREENGAGEMENT",'ENGAGEMENTS 2026'!O260,IF($H260="PREENGAGE",IF($E260="ATTRIBUE",'ENGAGEMENTS 2026'!AE260,'ENGAGEMENTS 2026'!O260),'ENGAGEMENTS 2026'!AE260))))</f>
        <v/>
      </c>
      <c r="K260" s="604">
        <f>IF(ISBLANK('ENGAGEMENTS 2026'!W260),"",'ENGAGEMENTS 2026'!W260)</f>
        <v/>
      </c>
      <c r="L260" s="276">
        <f>IF($K260="","",TODAY()-$K260)</f>
        <v/>
      </c>
      <c r="M260">
        <f>IF($A260="","",IF($H260="ENGAGE","Engagé",IF(AND($H260="NON ENGAGE",OR($I260="INFRUCTUEUX",$I260="ANNULE")),"Clôturé sans suite","En cours")))</f>
        <v/>
      </c>
      <c r="N260">
        <f>IF(ISBLANK('ENGAGEMENTS 2026'!C260),"",'ENGAGEMENTS 2026'!L260)</f>
        <v/>
      </c>
      <c r="O260">
        <f>IF(ISBLANK('ENGAGEMENTS 2026'!C260),"",'ENGAGEMENTS 2026'!M260)</f>
        <v/>
      </c>
      <c r="P260">
        <f>IF(ISBLANK('ENGAGEMENTS 2026'!C260),"",'ENGAGEMENTS 2026'!K260)</f>
        <v/>
      </c>
      <c r="Q260">
        <f>IF($A260="","",IF(OR($E260="INFRUCTUEUX",$E260="ANNULE"),$A260&amp;"|"&amp;(COUNTIFS($A$2:$A260,$A260,$E$2:$E260,"INFRUCTUEUX")+COUNTIFS($A$2:$A260,$A260,$E$2:$E260,"ANNULE")),""))</f>
        <v/>
      </c>
    </row>
    <row r="261">
      <c r="A261">
        <f>IF(ISBLANK('ENGAGEMENTS 2026'!C261),"",IF('ENGAGEMENTS 2026'!C261="DTSI","DCT",'ENGAGEMENTS 2026'!C261))</f>
        <v/>
      </c>
      <c r="B261">
        <f>IF(ISBLANK('ENGAGEMENTS 2026'!C261),"",'ENGAGEMENTS 2026'!D261)</f>
        <v/>
      </c>
      <c r="C261">
        <f>IF(ISBLANK('ENGAGEMENTS 2026'!C261),"",'ENGAGEMENTS 2026'!E261)</f>
        <v/>
      </c>
      <c r="D261">
        <f>IF(ISBLANK('ENGAGEMENTS 2026'!C261),"",'ENGAGEMENTS 2026'!G261)</f>
        <v/>
      </c>
      <c r="E261">
        <f>IF(ISBLANK('ENGAGEMENTS 2026'!C261),"",'ENGAGEMENTS 2026'!I261)</f>
        <v/>
      </c>
      <c r="F261">
        <f>IF(ISBLANK('ENGAGEMENTS 2026'!C261),"",'ENGAGEMENTS 2026'!J261)</f>
        <v/>
      </c>
      <c r="G261">
        <f>IF(ISBLANK('ENGAGEMENTS 2026'!C261),"",'ENGAGEMENTS 2026'!M261)</f>
        <v/>
      </c>
      <c r="H261">
        <f>IF(ISBLANK('ENGAGEMENTS 2026'!C261),"",'ENGAGEMENTS 2026'!AF261)</f>
        <v/>
      </c>
      <c r="I261">
        <f>IF(ISBLANK('ENGAGEMENTS 2026'!C261),"",'ENGAGEMENTS 2026'!H261)</f>
        <v/>
      </c>
      <c r="J261" s="275">
        <f>IF(ISBLANK('ENGAGEMENTS 2026'!C261),"",IF(AND(OR($E261="INFRUCTUEUX",$E261="ANNULE"),$C261="AOO-M"),'ENGAGEMENTS 2026'!P261,IF($H261="EN COURS DE PREENGAGEMENT",'ENGAGEMENTS 2026'!O261,IF($H261="PREENGAGE",IF($E261="ATTRIBUE",'ENGAGEMENTS 2026'!AE261,'ENGAGEMENTS 2026'!O261),'ENGAGEMENTS 2026'!AE261))))</f>
        <v/>
      </c>
      <c r="K261" s="604">
        <f>IF(ISBLANK('ENGAGEMENTS 2026'!W261),"",'ENGAGEMENTS 2026'!W261)</f>
        <v/>
      </c>
      <c r="L261" s="276">
        <f>IF($K261="","",TODAY()-$K261)</f>
        <v/>
      </c>
      <c r="M261">
        <f>IF($A261="","",IF($H261="ENGAGE","Engagé",IF(AND($H261="NON ENGAGE",OR($I261="INFRUCTUEUX",$I261="ANNULE")),"Clôturé sans suite","En cours")))</f>
        <v/>
      </c>
      <c r="N261">
        <f>IF(ISBLANK('ENGAGEMENTS 2026'!C261),"",'ENGAGEMENTS 2026'!L261)</f>
        <v/>
      </c>
      <c r="O261">
        <f>IF(ISBLANK('ENGAGEMENTS 2026'!C261),"",'ENGAGEMENTS 2026'!M261)</f>
        <v/>
      </c>
      <c r="P261">
        <f>IF(ISBLANK('ENGAGEMENTS 2026'!C261),"",'ENGAGEMENTS 2026'!K261)</f>
        <v/>
      </c>
      <c r="Q261">
        <f>IF($A261="","",IF(OR($E261="INFRUCTUEUX",$E261="ANNULE"),$A261&amp;"|"&amp;(COUNTIFS($A$2:$A261,$A261,$E$2:$E261,"INFRUCTUEUX")+COUNTIFS($A$2:$A261,$A261,$E$2:$E261,"ANNULE")),""))</f>
        <v/>
      </c>
    </row>
    <row r="262">
      <c r="A262">
        <f>IF(ISBLANK('ENGAGEMENTS 2026'!C262),"",IF('ENGAGEMENTS 2026'!C262="DTSI","DCT",'ENGAGEMENTS 2026'!C262))</f>
        <v/>
      </c>
      <c r="B262">
        <f>IF(ISBLANK('ENGAGEMENTS 2026'!C262),"",'ENGAGEMENTS 2026'!D262)</f>
        <v/>
      </c>
      <c r="C262">
        <f>IF(ISBLANK('ENGAGEMENTS 2026'!C262),"",'ENGAGEMENTS 2026'!E262)</f>
        <v/>
      </c>
      <c r="D262">
        <f>IF(ISBLANK('ENGAGEMENTS 2026'!C262),"",'ENGAGEMENTS 2026'!G262)</f>
        <v/>
      </c>
      <c r="E262">
        <f>IF(ISBLANK('ENGAGEMENTS 2026'!C262),"",'ENGAGEMENTS 2026'!I262)</f>
        <v/>
      </c>
      <c r="F262">
        <f>IF(ISBLANK('ENGAGEMENTS 2026'!C262),"",'ENGAGEMENTS 2026'!J262)</f>
        <v/>
      </c>
      <c r="G262">
        <f>IF(ISBLANK('ENGAGEMENTS 2026'!C262),"",'ENGAGEMENTS 2026'!M262)</f>
        <v/>
      </c>
      <c r="H262">
        <f>IF(ISBLANK('ENGAGEMENTS 2026'!C262),"",'ENGAGEMENTS 2026'!AF262)</f>
        <v/>
      </c>
      <c r="I262">
        <f>IF(ISBLANK('ENGAGEMENTS 2026'!C262),"",'ENGAGEMENTS 2026'!H262)</f>
        <v/>
      </c>
      <c r="J262" s="275">
        <f>IF(ISBLANK('ENGAGEMENTS 2026'!C262),"",IF(AND(OR($E262="INFRUCTUEUX",$E262="ANNULE"),$C262="AOO-M"),'ENGAGEMENTS 2026'!P262,IF($H262="EN COURS DE PREENGAGEMENT",'ENGAGEMENTS 2026'!O262,IF($H262="PREENGAGE",IF($E262="ATTRIBUE",'ENGAGEMENTS 2026'!AE262,'ENGAGEMENTS 2026'!O262),'ENGAGEMENTS 2026'!AE262))))</f>
        <v/>
      </c>
      <c r="K262" s="604">
        <f>IF(ISBLANK('ENGAGEMENTS 2026'!W262),"",'ENGAGEMENTS 2026'!W262)</f>
        <v/>
      </c>
      <c r="L262" s="276">
        <f>IF($K262="","",TODAY()-$K262)</f>
        <v/>
      </c>
      <c r="M262">
        <f>IF($A262="","",IF($H262="ENGAGE","Engagé",IF(AND($H262="NON ENGAGE",OR($I262="INFRUCTUEUX",$I262="ANNULE")),"Clôturé sans suite","En cours")))</f>
        <v/>
      </c>
      <c r="N262">
        <f>IF(ISBLANK('ENGAGEMENTS 2026'!C262),"",'ENGAGEMENTS 2026'!L262)</f>
        <v/>
      </c>
      <c r="O262">
        <f>IF(ISBLANK('ENGAGEMENTS 2026'!C262),"",'ENGAGEMENTS 2026'!M262)</f>
        <v/>
      </c>
      <c r="P262">
        <f>IF(ISBLANK('ENGAGEMENTS 2026'!C262),"",'ENGAGEMENTS 2026'!K262)</f>
        <v/>
      </c>
      <c r="Q262">
        <f>IF($A262="","",IF(OR($E262="INFRUCTUEUX",$E262="ANNULE"),$A262&amp;"|"&amp;(COUNTIFS($A$2:$A262,$A262,$E$2:$E262,"INFRUCTUEUX")+COUNTIFS($A$2:$A262,$A262,$E$2:$E262,"ANNULE")),""))</f>
        <v/>
      </c>
    </row>
    <row r="263">
      <c r="A263">
        <f>IF(ISBLANK('ENGAGEMENTS 2026'!C263),"",IF('ENGAGEMENTS 2026'!C263="DTSI","DCT",'ENGAGEMENTS 2026'!C263))</f>
        <v/>
      </c>
      <c r="B263">
        <f>IF(ISBLANK('ENGAGEMENTS 2026'!C263),"",'ENGAGEMENTS 2026'!D263)</f>
        <v/>
      </c>
      <c r="C263">
        <f>IF(ISBLANK('ENGAGEMENTS 2026'!C263),"",'ENGAGEMENTS 2026'!E263)</f>
        <v/>
      </c>
      <c r="D263">
        <f>IF(ISBLANK('ENGAGEMENTS 2026'!C263),"",'ENGAGEMENTS 2026'!G263)</f>
        <v/>
      </c>
      <c r="E263">
        <f>IF(ISBLANK('ENGAGEMENTS 2026'!C263),"",'ENGAGEMENTS 2026'!I263)</f>
        <v/>
      </c>
      <c r="F263">
        <f>IF(ISBLANK('ENGAGEMENTS 2026'!C263),"",'ENGAGEMENTS 2026'!J263)</f>
        <v/>
      </c>
      <c r="G263">
        <f>IF(ISBLANK('ENGAGEMENTS 2026'!C263),"",'ENGAGEMENTS 2026'!M263)</f>
        <v/>
      </c>
      <c r="H263">
        <f>IF(ISBLANK('ENGAGEMENTS 2026'!C263),"",'ENGAGEMENTS 2026'!AF263)</f>
        <v/>
      </c>
      <c r="I263">
        <f>IF(ISBLANK('ENGAGEMENTS 2026'!C263),"",'ENGAGEMENTS 2026'!H263)</f>
        <v/>
      </c>
      <c r="J263" s="275">
        <f>IF(ISBLANK('ENGAGEMENTS 2026'!C263),"",IF(AND(OR($E263="INFRUCTUEUX",$E263="ANNULE"),$C263="AOO-M"),'ENGAGEMENTS 2026'!P263,IF($H263="EN COURS DE PREENGAGEMENT",'ENGAGEMENTS 2026'!O263,IF($H263="PREENGAGE",IF($E263="ATTRIBUE",'ENGAGEMENTS 2026'!AE263,'ENGAGEMENTS 2026'!O263),'ENGAGEMENTS 2026'!AE263))))</f>
        <v/>
      </c>
      <c r="K263" s="604">
        <f>IF(ISBLANK('ENGAGEMENTS 2026'!W263),"",'ENGAGEMENTS 2026'!W263)</f>
        <v/>
      </c>
      <c r="L263" s="276">
        <f>IF($K263="","",TODAY()-$K263)</f>
        <v/>
      </c>
      <c r="M263">
        <f>IF($A263="","",IF($H263="ENGAGE","Engagé",IF(AND($H263="NON ENGAGE",OR($I263="INFRUCTUEUX",$I263="ANNULE")),"Clôturé sans suite","En cours")))</f>
        <v/>
      </c>
      <c r="N263">
        <f>IF(ISBLANK('ENGAGEMENTS 2026'!C263),"",'ENGAGEMENTS 2026'!L263)</f>
        <v/>
      </c>
      <c r="O263">
        <f>IF(ISBLANK('ENGAGEMENTS 2026'!C263),"",'ENGAGEMENTS 2026'!M263)</f>
        <v/>
      </c>
      <c r="P263">
        <f>IF(ISBLANK('ENGAGEMENTS 2026'!C263),"",'ENGAGEMENTS 2026'!K263)</f>
        <v/>
      </c>
      <c r="Q263">
        <f>IF($A263="","",IF(OR($E263="INFRUCTUEUX",$E263="ANNULE"),$A263&amp;"|"&amp;(COUNTIFS($A$2:$A263,$A263,$E$2:$E263,"INFRUCTUEUX")+COUNTIFS($A$2:$A263,$A263,$E$2:$E263,"ANNULE")),""))</f>
        <v/>
      </c>
    </row>
    <row r="264">
      <c r="A264">
        <f>IF(ISBLANK('ENGAGEMENTS 2026'!C264),"",IF('ENGAGEMENTS 2026'!C264="DTSI","DCT",'ENGAGEMENTS 2026'!C264))</f>
        <v/>
      </c>
      <c r="B264">
        <f>IF(ISBLANK('ENGAGEMENTS 2026'!C264),"",'ENGAGEMENTS 2026'!D264)</f>
        <v/>
      </c>
      <c r="C264">
        <f>IF(ISBLANK('ENGAGEMENTS 2026'!C264),"",'ENGAGEMENTS 2026'!E264)</f>
        <v/>
      </c>
      <c r="D264">
        <f>IF(ISBLANK('ENGAGEMENTS 2026'!C264),"",'ENGAGEMENTS 2026'!G264)</f>
        <v/>
      </c>
      <c r="E264">
        <f>IF(ISBLANK('ENGAGEMENTS 2026'!C264),"",'ENGAGEMENTS 2026'!I264)</f>
        <v/>
      </c>
      <c r="F264">
        <f>IF(ISBLANK('ENGAGEMENTS 2026'!C264),"",'ENGAGEMENTS 2026'!J264)</f>
        <v/>
      </c>
      <c r="G264">
        <f>IF(ISBLANK('ENGAGEMENTS 2026'!C264),"",'ENGAGEMENTS 2026'!M264)</f>
        <v/>
      </c>
      <c r="H264">
        <f>IF(ISBLANK('ENGAGEMENTS 2026'!C264),"",'ENGAGEMENTS 2026'!AF264)</f>
        <v/>
      </c>
      <c r="I264">
        <f>IF(ISBLANK('ENGAGEMENTS 2026'!C264),"",'ENGAGEMENTS 2026'!H264)</f>
        <v/>
      </c>
      <c r="J264" s="275">
        <f>IF(ISBLANK('ENGAGEMENTS 2026'!C264),"",IF(AND(OR($E264="INFRUCTUEUX",$E264="ANNULE"),$C264="AOO-M"),'ENGAGEMENTS 2026'!P264,IF($H264="EN COURS DE PREENGAGEMENT",'ENGAGEMENTS 2026'!O264,IF($H264="PREENGAGE",IF($E264="ATTRIBUE",'ENGAGEMENTS 2026'!AE264,'ENGAGEMENTS 2026'!O264),'ENGAGEMENTS 2026'!AE264))))</f>
        <v/>
      </c>
      <c r="K264" s="604">
        <f>IF(ISBLANK('ENGAGEMENTS 2026'!W264),"",'ENGAGEMENTS 2026'!W264)</f>
        <v/>
      </c>
      <c r="L264" s="276">
        <f>IF($K264="","",TODAY()-$K264)</f>
        <v/>
      </c>
      <c r="M264">
        <f>IF($A264="","",IF($H264="ENGAGE","Engagé",IF(AND($H264="NON ENGAGE",OR($I264="INFRUCTUEUX",$I264="ANNULE")),"Clôturé sans suite","En cours")))</f>
        <v/>
      </c>
      <c r="N264">
        <f>IF(ISBLANK('ENGAGEMENTS 2026'!C264),"",'ENGAGEMENTS 2026'!L264)</f>
        <v/>
      </c>
      <c r="O264">
        <f>IF(ISBLANK('ENGAGEMENTS 2026'!C264),"",'ENGAGEMENTS 2026'!M264)</f>
        <v/>
      </c>
      <c r="P264">
        <f>IF(ISBLANK('ENGAGEMENTS 2026'!C264),"",'ENGAGEMENTS 2026'!K264)</f>
        <v/>
      </c>
      <c r="Q264">
        <f>IF($A264="","",IF(OR($E264="INFRUCTUEUX",$E264="ANNULE"),$A264&amp;"|"&amp;(COUNTIFS($A$2:$A264,$A264,$E$2:$E264,"INFRUCTUEUX")+COUNTIFS($A$2:$A264,$A264,$E$2:$E264,"ANNULE")),""))</f>
        <v/>
      </c>
    </row>
    <row r="265">
      <c r="A265">
        <f>IF(ISBLANK('ENGAGEMENTS 2026'!C265),"",IF('ENGAGEMENTS 2026'!C265="DTSI","DCT",'ENGAGEMENTS 2026'!C265))</f>
        <v/>
      </c>
      <c r="B265">
        <f>IF(ISBLANK('ENGAGEMENTS 2026'!C265),"",'ENGAGEMENTS 2026'!D265)</f>
        <v/>
      </c>
      <c r="C265">
        <f>IF(ISBLANK('ENGAGEMENTS 2026'!C265),"",'ENGAGEMENTS 2026'!E265)</f>
        <v/>
      </c>
      <c r="D265">
        <f>IF(ISBLANK('ENGAGEMENTS 2026'!C265),"",'ENGAGEMENTS 2026'!G265)</f>
        <v/>
      </c>
      <c r="E265">
        <f>IF(ISBLANK('ENGAGEMENTS 2026'!C265),"",'ENGAGEMENTS 2026'!I265)</f>
        <v/>
      </c>
      <c r="F265">
        <f>IF(ISBLANK('ENGAGEMENTS 2026'!C265),"",'ENGAGEMENTS 2026'!J265)</f>
        <v/>
      </c>
      <c r="G265">
        <f>IF(ISBLANK('ENGAGEMENTS 2026'!C265),"",'ENGAGEMENTS 2026'!M265)</f>
        <v/>
      </c>
      <c r="H265">
        <f>IF(ISBLANK('ENGAGEMENTS 2026'!C265),"",'ENGAGEMENTS 2026'!AF265)</f>
        <v/>
      </c>
      <c r="I265">
        <f>IF(ISBLANK('ENGAGEMENTS 2026'!C265),"",'ENGAGEMENTS 2026'!H265)</f>
        <v/>
      </c>
      <c r="J265" s="275">
        <f>IF(ISBLANK('ENGAGEMENTS 2026'!C265),"",IF(AND(OR($E265="INFRUCTUEUX",$E265="ANNULE"),$C265="AOO-M"),'ENGAGEMENTS 2026'!P265,IF($H265="EN COURS DE PREENGAGEMENT",'ENGAGEMENTS 2026'!O265,IF($H265="PREENGAGE",IF($E265="ATTRIBUE",'ENGAGEMENTS 2026'!AE265,'ENGAGEMENTS 2026'!O265),'ENGAGEMENTS 2026'!AE265))))</f>
        <v/>
      </c>
      <c r="K265" s="604">
        <f>IF(ISBLANK('ENGAGEMENTS 2026'!W265),"",'ENGAGEMENTS 2026'!W265)</f>
        <v/>
      </c>
      <c r="L265" s="276">
        <f>IF($K265="","",TODAY()-$K265)</f>
        <v/>
      </c>
      <c r="M265">
        <f>IF($A265="","",IF($H265="ENGAGE","Engagé",IF(AND($H265="NON ENGAGE",OR($I265="INFRUCTUEUX",$I265="ANNULE")),"Clôturé sans suite","En cours")))</f>
        <v/>
      </c>
      <c r="N265">
        <f>IF(ISBLANK('ENGAGEMENTS 2026'!C265),"",'ENGAGEMENTS 2026'!L265)</f>
        <v/>
      </c>
      <c r="O265">
        <f>IF(ISBLANK('ENGAGEMENTS 2026'!C265),"",'ENGAGEMENTS 2026'!M265)</f>
        <v/>
      </c>
      <c r="P265">
        <f>IF(ISBLANK('ENGAGEMENTS 2026'!C265),"",'ENGAGEMENTS 2026'!K265)</f>
        <v/>
      </c>
      <c r="Q265">
        <f>IF($A265="","",IF(OR($E265="INFRUCTUEUX",$E265="ANNULE"),$A265&amp;"|"&amp;(COUNTIFS($A$2:$A265,$A265,$E$2:$E265,"INFRUCTUEUX")+COUNTIFS($A$2:$A265,$A265,$E$2:$E265,"ANNULE")),""))</f>
        <v/>
      </c>
    </row>
    <row r="266">
      <c r="A266">
        <f>IF(ISBLANK('ENGAGEMENTS 2026'!C266),"",IF('ENGAGEMENTS 2026'!C266="DTSI","DCT",'ENGAGEMENTS 2026'!C266))</f>
        <v/>
      </c>
      <c r="B266">
        <f>IF(ISBLANK('ENGAGEMENTS 2026'!C266),"",'ENGAGEMENTS 2026'!D266)</f>
        <v/>
      </c>
      <c r="C266">
        <f>IF(ISBLANK('ENGAGEMENTS 2026'!C266),"",'ENGAGEMENTS 2026'!E266)</f>
        <v/>
      </c>
      <c r="D266">
        <f>IF(ISBLANK('ENGAGEMENTS 2026'!C266),"",'ENGAGEMENTS 2026'!G266)</f>
        <v/>
      </c>
      <c r="E266">
        <f>IF(ISBLANK('ENGAGEMENTS 2026'!C266),"",'ENGAGEMENTS 2026'!I266)</f>
        <v/>
      </c>
      <c r="F266">
        <f>IF(ISBLANK('ENGAGEMENTS 2026'!C266),"",'ENGAGEMENTS 2026'!J266)</f>
        <v/>
      </c>
      <c r="G266">
        <f>IF(ISBLANK('ENGAGEMENTS 2026'!C266),"",'ENGAGEMENTS 2026'!M266)</f>
        <v/>
      </c>
      <c r="H266">
        <f>IF(ISBLANK('ENGAGEMENTS 2026'!C266),"",'ENGAGEMENTS 2026'!AF266)</f>
        <v/>
      </c>
      <c r="I266">
        <f>IF(ISBLANK('ENGAGEMENTS 2026'!C266),"",'ENGAGEMENTS 2026'!H266)</f>
        <v/>
      </c>
      <c r="J266" s="275">
        <f>IF(ISBLANK('ENGAGEMENTS 2026'!C266),"",IF(AND(OR($E266="INFRUCTUEUX",$E266="ANNULE"),$C266="AOO-M"),'ENGAGEMENTS 2026'!P266,IF($H266="EN COURS DE PREENGAGEMENT",'ENGAGEMENTS 2026'!O266,IF($H266="PREENGAGE",IF($E266="ATTRIBUE",'ENGAGEMENTS 2026'!AE266,'ENGAGEMENTS 2026'!O266),'ENGAGEMENTS 2026'!AE266))))</f>
        <v/>
      </c>
      <c r="K266" s="604">
        <f>IF(ISBLANK('ENGAGEMENTS 2026'!W266),"",'ENGAGEMENTS 2026'!W266)</f>
        <v/>
      </c>
      <c r="L266" s="276">
        <f>IF($K266="","",TODAY()-$K266)</f>
        <v/>
      </c>
      <c r="M266">
        <f>IF($A266="","",IF($H266="ENGAGE","Engagé",IF(AND($H266="NON ENGAGE",OR($I266="INFRUCTUEUX",$I266="ANNULE")),"Clôturé sans suite","En cours")))</f>
        <v/>
      </c>
      <c r="N266">
        <f>IF(ISBLANK('ENGAGEMENTS 2026'!C266),"",'ENGAGEMENTS 2026'!L266)</f>
        <v/>
      </c>
      <c r="O266">
        <f>IF(ISBLANK('ENGAGEMENTS 2026'!C266),"",'ENGAGEMENTS 2026'!M266)</f>
        <v/>
      </c>
      <c r="P266">
        <f>IF(ISBLANK('ENGAGEMENTS 2026'!C266),"",'ENGAGEMENTS 2026'!K266)</f>
        <v/>
      </c>
      <c r="Q266">
        <f>IF($A266="","",IF(OR($E266="INFRUCTUEUX",$E266="ANNULE"),$A266&amp;"|"&amp;(COUNTIFS($A$2:$A266,$A266,$E$2:$E266,"INFRUCTUEUX")+COUNTIFS($A$2:$A266,$A266,$E$2:$E266,"ANNULE")),""))</f>
        <v/>
      </c>
    </row>
    <row r="267">
      <c r="A267">
        <f>IF(ISBLANK('ENGAGEMENTS 2026'!C267),"",IF('ENGAGEMENTS 2026'!C267="DTSI","DCT",'ENGAGEMENTS 2026'!C267))</f>
        <v/>
      </c>
      <c r="B267">
        <f>IF(ISBLANK('ENGAGEMENTS 2026'!C267),"",'ENGAGEMENTS 2026'!D267)</f>
        <v/>
      </c>
      <c r="C267">
        <f>IF(ISBLANK('ENGAGEMENTS 2026'!C267),"",'ENGAGEMENTS 2026'!E267)</f>
        <v/>
      </c>
      <c r="D267">
        <f>IF(ISBLANK('ENGAGEMENTS 2026'!C267),"",'ENGAGEMENTS 2026'!G267)</f>
        <v/>
      </c>
      <c r="E267">
        <f>IF(ISBLANK('ENGAGEMENTS 2026'!C267),"",'ENGAGEMENTS 2026'!I267)</f>
        <v/>
      </c>
      <c r="F267">
        <f>IF(ISBLANK('ENGAGEMENTS 2026'!C267),"",'ENGAGEMENTS 2026'!J267)</f>
        <v/>
      </c>
      <c r="G267">
        <f>IF(ISBLANK('ENGAGEMENTS 2026'!C267),"",'ENGAGEMENTS 2026'!M267)</f>
        <v/>
      </c>
      <c r="H267">
        <f>IF(ISBLANK('ENGAGEMENTS 2026'!C267),"",'ENGAGEMENTS 2026'!AF267)</f>
        <v/>
      </c>
      <c r="I267">
        <f>IF(ISBLANK('ENGAGEMENTS 2026'!C267),"",'ENGAGEMENTS 2026'!H267)</f>
        <v/>
      </c>
      <c r="J267" s="275">
        <f>IF(ISBLANK('ENGAGEMENTS 2026'!C267),"",IF(AND(OR($E267="INFRUCTUEUX",$E267="ANNULE"),$C267="AOO-M"),'ENGAGEMENTS 2026'!P267,IF($H267="EN COURS DE PREENGAGEMENT",'ENGAGEMENTS 2026'!O267,IF($H267="PREENGAGE",IF($E267="ATTRIBUE",'ENGAGEMENTS 2026'!AE267,'ENGAGEMENTS 2026'!O267),'ENGAGEMENTS 2026'!AE267))))</f>
        <v/>
      </c>
      <c r="K267" s="604">
        <f>IF(ISBLANK('ENGAGEMENTS 2026'!W267),"",'ENGAGEMENTS 2026'!W267)</f>
        <v/>
      </c>
      <c r="L267" s="276">
        <f>IF($K267="","",TODAY()-$K267)</f>
        <v/>
      </c>
      <c r="M267">
        <f>IF($A267="","",IF($H267="ENGAGE","Engagé",IF(AND($H267="NON ENGAGE",OR($I267="INFRUCTUEUX",$I267="ANNULE")),"Clôturé sans suite","En cours")))</f>
        <v/>
      </c>
      <c r="N267">
        <f>IF(ISBLANK('ENGAGEMENTS 2026'!C267),"",'ENGAGEMENTS 2026'!L267)</f>
        <v/>
      </c>
      <c r="O267">
        <f>IF(ISBLANK('ENGAGEMENTS 2026'!C267),"",'ENGAGEMENTS 2026'!M267)</f>
        <v/>
      </c>
      <c r="P267">
        <f>IF(ISBLANK('ENGAGEMENTS 2026'!C267),"",'ENGAGEMENTS 2026'!K267)</f>
        <v/>
      </c>
      <c r="Q267">
        <f>IF($A267="","",IF(OR($E267="INFRUCTUEUX",$E267="ANNULE"),$A267&amp;"|"&amp;(COUNTIFS($A$2:$A267,$A267,$E$2:$E267,"INFRUCTUEUX")+COUNTIFS($A$2:$A267,$A267,$E$2:$E267,"ANNULE")),""))</f>
        <v/>
      </c>
    </row>
    <row r="268">
      <c r="A268">
        <f>IF(ISBLANK('ENGAGEMENTS 2026'!C268),"",IF('ENGAGEMENTS 2026'!C268="DTSI","DCT",'ENGAGEMENTS 2026'!C268))</f>
        <v/>
      </c>
      <c r="B268">
        <f>IF(ISBLANK('ENGAGEMENTS 2026'!C268),"",'ENGAGEMENTS 2026'!D268)</f>
        <v/>
      </c>
      <c r="C268">
        <f>IF(ISBLANK('ENGAGEMENTS 2026'!C268),"",'ENGAGEMENTS 2026'!E268)</f>
        <v/>
      </c>
      <c r="D268">
        <f>IF(ISBLANK('ENGAGEMENTS 2026'!C268),"",'ENGAGEMENTS 2026'!G268)</f>
        <v/>
      </c>
      <c r="E268">
        <f>IF(ISBLANK('ENGAGEMENTS 2026'!C268),"",'ENGAGEMENTS 2026'!I268)</f>
        <v/>
      </c>
      <c r="F268">
        <f>IF(ISBLANK('ENGAGEMENTS 2026'!C268),"",'ENGAGEMENTS 2026'!J268)</f>
        <v/>
      </c>
      <c r="G268">
        <f>IF(ISBLANK('ENGAGEMENTS 2026'!C268),"",'ENGAGEMENTS 2026'!M268)</f>
        <v/>
      </c>
      <c r="H268">
        <f>IF(ISBLANK('ENGAGEMENTS 2026'!C268),"",'ENGAGEMENTS 2026'!AF268)</f>
        <v/>
      </c>
      <c r="I268">
        <f>IF(ISBLANK('ENGAGEMENTS 2026'!C268),"",'ENGAGEMENTS 2026'!H268)</f>
        <v/>
      </c>
      <c r="J268" s="275">
        <f>IF(ISBLANK('ENGAGEMENTS 2026'!C268),"",IF(AND(OR($E268="INFRUCTUEUX",$E268="ANNULE"),$C268="AOO-M"),'ENGAGEMENTS 2026'!P268,IF($H268="EN COURS DE PREENGAGEMENT",'ENGAGEMENTS 2026'!O268,IF($H268="PREENGAGE",IF($E268="ATTRIBUE",'ENGAGEMENTS 2026'!AE268,'ENGAGEMENTS 2026'!O268),'ENGAGEMENTS 2026'!AE268))))</f>
        <v/>
      </c>
      <c r="K268" s="604">
        <f>IF(ISBLANK('ENGAGEMENTS 2026'!W268),"",'ENGAGEMENTS 2026'!W268)</f>
        <v/>
      </c>
      <c r="L268" s="276">
        <f>IF($K268="","",TODAY()-$K268)</f>
        <v/>
      </c>
      <c r="M268">
        <f>IF($A268="","",IF($H268="ENGAGE","Engagé",IF(AND($H268="NON ENGAGE",OR($I268="INFRUCTUEUX",$I268="ANNULE")),"Clôturé sans suite","En cours")))</f>
        <v/>
      </c>
      <c r="N268">
        <f>IF(ISBLANK('ENGAGEMENTS 2026'!C268),"",'ENGAGEMENTS 2026'!L268)</f>
        <v/>
      </c>
      <c r="O268">
        <f>IF(ISBLANK('ENGAGEMENTS 2026'!C268),"",'ENGAGEMENTS 2026'!M268)</f>
        <v/>
      </c>
      <c r="P268">
        <f>IF(ISBLANK('ENGAGEMENTS 2026'!C268),"",'ENGAGEMENTS 2026'!K268)</f>
        <v/>
      </c>
      <c r="Q268">
        <f>IF($A268="","",IF(OR($E268="INFRUCTUEUX",$E268="ANNULE"),$A268&amp;"|"&amp;(COUNTIFS($A$2:$A268,$A268,$E$2:$E268,"INFRUCTUEUX")+COUNTIFS($A$2:$A268,$A268,$E$2:$E268,"ANNULE")),""))</f>
        <v/>
      </c>
    </row>
    <row r="269">
      <c r="A269">
        <f>IF(ISBLANK('ENGAGEMENTS 2026'!C269),"",IF('ENGAGEMENTS 2026'!C269="DTSI","DCT",'ENGAGEMENTS 2026'!C269))</f>
        <v/>
      </c>
      <c r="B269">
        <f>IF(ISBLANK('ENGAGEMENTS 2026'!C269),"",'ENGAGEMENTS 2026'!D269)</f>
        <v/>
      </c>
      <c r="C269">
        <f>IF(ISBLANK('ENGAGEMENTS 2026'!C269),"",'ENGAGEMENTS 2026'!E269)</f>
        <v/>
      </c>
      <c r="D269">
        <f>IF(ISBLANK('ENGAGEMENTS 2026'!C269),"",'ENGAGEMENTS 2026'!G269)</f>
        <v/>
      </c>
      <c r="E269">
        <f>IF(ISBLANK('ENGAGEMENTS 2026'!C269),"",'ENGAGEMENTS 2026'!I269)</f>
        <v/>
      </c>
      <c r="F269">
        <f>IF(ISBLANK('ENGAGEMENTS 2026'!C269),"",'ENGAGEMENTS 2026'!J269)</f>
        <v/>
      </c>
      <c r="G269">
        <f>IF(ISBLANK('ENGAGEMENTS 2026'!C269),"",'ENGAGEMENTS 2026'!M269)</f>
        <v/>
      </c>
      <c r="H269">
        <f>IF(ISBLANK('ENGAGEMENTS 2026'!C269),"",'ENGAGEMENTS 2026'!AF269)</f>
        <v/>
      </c>
      <c r="I269">
        <f>IF(ISBLANK('ENGAGEMENTS 2026'!C269),"",'ENGAGEMENTS 2026'!H269)</f>
        <v/>
      </c>
      <c r="J269" s="275">
        <f>IF(ISBLANK('ENGAGEMENTS 2026'!C269),"",IF(AND(OR($E269="INFRUCTUEUX",$E269="ANNULE"),$C269="AOO-M"),'ENGAGEMENTS 2026'!P269,IF($H269="EN COURS DE PREENGAGEMENT",'ENGAGEMENTS 2026'!O269,IF($H269="PREENGAGE",IF($E269="ATTRIBUE",'ENGAGEMENTS 2026'!AE269,'ENGAGEMENTS 2026'!O269),'ENGAGEMENTS 2026'!AE269))))</f>
        <v/>
      </c>
      <c r="K269" s="604">
        <f>IF(ISBLANK('ENGAGEMENTS 2026'!W269),"",'ENGAGEMENTS 2026'!W269)</f>
        <v/>
      </c>
      <c r="L269" s="276">
        <f>IF($K269="","",TODAY()-$K269)</f>
        <v/>
      </c>
      <c r="M269">
        <f>IF($A269="","",IF($H269="ENGAGE","Engagé",IF(AND($H269="NON ENGAGE",OR($I269="INFRUCTUEUX",$I269="ANNULE")),"Clôturé sans suite","En cours")))</f>
        <v/>
      </c>
      <c r="N269">
        <f>IF(ISBLANK('ENGAGEMENTS 2026'!C269),"",'ENGAGEMENTS 2026'!L269)</f>
        <v/>
      </c>
      <c r="O269">
        <f>IF(ISBLANK('ENGAGEMENTS 2026'!C269),"",'ENGAGEMENTS 2026'!M269)</f>
        <v/>
      </c>
      <c r="P269">
        <f>IF(ISBLANK('ENGAGEMENTS 2026'!C269),"",'ENGAGEMENTS 2026'!K269)</f>
        <v/>
      </c>
      <c r="Q269">
        <f>IF($A269="","",IF(OR($E269="INFRUCTUEUX",$E269="ANNULE"),$A269&amp;"|"&amp;(COUNTIFS($A$2:$A269,$A269,$E$2:$E269,"INFRUCTUEUX")+COUNTIFS($A$2:$A269,$A269,$E$2:$E269,"ANNULE")),""))</f>
        <v/>
      </c>
    </row>
    <row r="270">
      <c r="A270">
        <f>IF(ISBLANK('ENGAGEMENTS 2026'!C270),"",IF('ENGAGEMENTS 2026'!C270="DTSI","DCT",'ENGAGEMENTS 2026'!C270))</f>
        <v/>
      </c>
      <c r="B270">
        <f>IF(ISBLANK('ENGAGEMENTS 2026'!C270),"",'ENGAGEMENTS 2026'!D270)</f>
        <v/>
      </c>
      <c r="C270">
        <f>IF(ISBLANK('ENGAGEMENTS 2026'!C270),"",'ENGAGEMENTS 2026'!E270)</f>
        <v/>
      </c>
      <c r="D270">
        <f>IF(ISBLANK('ENGAGEMENTS 2026'!C270),"",'ENGAGEMENTS 2026'!G270)</f>
        <v/>
      </c>
      <c r="E270">
        <f>IF(ISBLANK('ENGAGEMENTS 2026'!C270),"",'ENGAGEMENTS 2026'!I270)</f>
        <v/>
      </c>
      <c r="F270">
        <f>IF(ISBLANK('ENGAGEMENTS 2026'!C270),"",'ENGAGEMENTS 2026'!J270)</f>
        <v/>
      </c>
      <c r="G270">
        <f>IF(ISBLANK('ENGAGEMENTS 2026'!C270),"",'ENGAGEMENTS 2026'!M270)</f>
        <v/>
      </c>
      <c r="H270">
        <f>IF(ISBLANK('ENGAGEMENTS 2026'!C270),"",'ENGAGEMENTS 2026'!AF270)</f>
        <v/>
      </c>
      <c r="I270">
        <f>IF(ISBLANK('ENGAGEMENTS 2026'!C270),"",'ENGAGEMENTS 2026'!H270)</f>
        <v/>
      </c>
      <c r="J270" s="275">
        <f>IF(ISBLANK('ENGAGEMENTS 2026'!C270),"",IF(AND(OR($E270="INFRUCTUEUX",$E270="ANNULE"),$C270="AOO-M"),'ENGAGEMENTS 2026'!P270,IF($H270="EN COURS DE PREENGAGEMENT",'ENGAGEMENTS 2026'!O270,IF($H270="PREENGAGE",IF($E270="ATTRIBUE",'ENGAGEMENTS 2026'!AE270,'ENGAGEMENTS 2026'!O270),'ENGAGEMENTS 2026'!AE270))))</f>
        <v/>
      </c>
      <c r="K270" s="604">
        <f>IF(ISBLANK('ENGAGEMENTS 2026'!W270),"",'ENGAGEMENTS 2026'!W270)</f>
        <v/>
      </c>
      <c r="L270" s="276">
        <f>IF($K270="","",TODAY()-$K270)</f>
        <v/>
      </c>
      <c r="M270">
        <f>IF($A270="","",IF($H270="ENGAGE","Engagé",IF(AND($H270="NON ENGAGE",OR($I270="INFRUCTUEUX",$I270="ANNULE")),"Clôturé sans suite","En cours")))</f>
        <v/>
      </c>
      <c r="N270">
        <f>IF(ISBLANK('ENGAGEMENTS 2026'!C270),"",'ENGAGEMENTS 2026'!L270)</f>
        <v/>
      </c>
      <c r="O270">
        <f>IF(ISBLANK('ENGAGEMENTS 2026'!C270),"",'ENGAGEMENTS 2026'!M270)</f>
        <v/>
      </c>
      <c r="P270">
        <f>IF(ISBLANK('ENGAGEMENTS 2026'!C270),"",'ENGAGEMENTS 2026'!K270)</f>
        <v/>
      </c>
      <c r="Q270">
        <f>IF($A270="","",IF(OR($E270="INFRUCTUEUX",$E270="ANNULE"),$A270&amp;"|"&amp;(COUNTIFS($A$2:$A270,$A270,$E$2:$E270,"INFRUCTUEUX")+COUNTIFS($A$2:$A270,$A270,$E$2:$E270,"ANNULE")),""))</f>
        <v/>
      </c>
    </row>
    <row r="271">
      <c r="A271">
        <f>IF(ISBLANK('ENGAGEMENTS 2026'!C271),"",IF('ENGAGEMENTS 2026'!C271="DTSI","DCT",'ENGAGEMENTS 2026'!C271))</f>
        <v/>
      </c>
      <c r="B271">
        <f>IF(ISBLANK('ENGAGEMENTS 2026'!C271),"",'ENGAGEMENTS 2026'!D271)</f>
        <v/>
      </c>
      <c r="C271">
        <f>IF(ISBLANK('ENGAGEMENTS 2026'!C271),"",'ENGAGEMENTS 2026'!E271)</f>
        <v/>
      </c>
      <c r="D271">
        <f>IF(ISBLANK('ENGAGEMENTS 2026'!C271),"",'ENGAGEMENTS 2026'!G271)</f>
        <v/>
      </c>
      <c r="E271">
        <f>IF(ISBLANK('ENGAGEMENTS 2026'!C271),"",'ENGAGEMENTS 2026'!I271)</f>
        <v/>
      </c>
      <c r="F271">
        <f>IF(ISBLANK('ENGAGEMENTS 2026'!C271),"",'ENGAGEMENTS 2026'!J271)</f>
        <v/>
      </c>
      <c r="G271">
        <f>IF(ISBLANK('ENGAGEMENTS 2026'!C271),"",'ENGAGEMENTS 2026'!M271)</f>
        <v/>
      </c>
      <c r="H271">
        <f>IF(ISBLANK('ENGAGEMENTS 2026'!C271),"",'ENGAGEMENTS 2026'!AF271)</f>
        <v/>
      </c>
      <c r="I271">
        <f>IF(ISBLANK('ENGAGEMENTS 2026'!C271),"",'ENGAGEMENTS 2026'!H271)</f>
        <v/>
      </c>
      <c r="J271" s="275">
        <f>IF(ISBLANK('ENGAGEMENTS 2026'!C271),"",IF(AND(OR($E271="INFRUCTUEUX",$E271="ANNULE"),$C271="AOO-M"),'ENGAGEMENTS 2026'!P271,IF($H271="EN COURS DE PREENGAGEMENT",'ENGAGEMENTS 2026'!O271,IF($H271="PREENGAGE",IF($E271="ATTRIBUE",'ENGAGEMENTS 2026'!AE271,'ENGAGEMENTS 2026'!O271),'ENGAGEMENTS 2026'!AE271))))</f>
        <v/>
      </c>
      <c r="K271" s="604">
        <f>IF(ISBLANK('ENGAGEMENTS 2026'!W271),"",'ENGAGEMENTS 2026'!W271)</f>
        <v/>
      </c>
      <c r="L271" s="276">
        <f>IF($K271="","",TODAY()-$K271)</f>
        <v/>
      </c>
      <c r="M271">
        <f>IF($A271="","",IF($H271="ENGAGE","Engagé",IF(AND($H271="NON ENGAGE",OR($I271="INFRUCTUEUX",$I271="ANNULE")),"Clôturé sans suite","En cours")))</f>
        <v/>
      </c>
      <c r="N271">
        <f>IF(ISBLANK('ENGAGEMENTS 2026'!C271),"",'ENGAGEMENTS 2026'!L271)</f>
        <v/>
      </c>
      <c r="O271">
        <f>IF(ISBLANK('ENGAGEMENTS 2026'!C271),"",'ENGAGEMENTS 2026'!M271)</f>
        <v/>
      </c>
      <c r="P271">
        <f>IF(ISBLANK('ENGAGEMENTS 2026'!C271),"",'ENGAGEMENTS 2026'!K271)</f>
        <v/>
      </c>
      <c r="Q271">
        <f>IF($A271="","",IF(OR($E271="INFRUCTUEUX",$E271="ANNULE"),$A271&amp;"|"&amp;(COUNTIFS($A$2:$A271,$A271,$E$2:$E271,"INFRUCTUEUX")+COUNTIFS($A$2:$A271,$A271,$E$2:$E271,"ANNULE")),""))</f>
        <v/>
      </c>
    </row>
    <row r="272">
      <c r="A272">
        <f>IF(ISBLANK('ENGAGEMENTS 2026'!C272),"",IF('ENGAGEMENTS 2026'!C272="DTSI","DCT",'ENGAGEMENTS 2026'!C272))</f>
        <v/>
      </c>
      <c r="B272">
        <f>IF(ISBLANK('ENGAGEMENTS 2026'!C272),"",'ENGAGEMENTS 2026'!D272)</f>
        <v/>
      </c>
      <c r="C272">
        <f>IF(ISBLANK('ENGAGEMENTS 2026'!C272),"",'ENGAGEMENTS 2026'!E272)</f>
        <v/>
      </c>
      <c r="D272">
        <f>IF(ISBLANK('ENGAGEMENTS 2026'!C272),"",'ENGAGEMENTS 2026'!G272)</f>
        <v/>
      </c>
      <c r="E272">
        <f>IF(ISBLANK('ENGAGEMENTS 2026'!C272),"",'ENGAGEMENTS 2026'!I272)</f>
        <v/>
      </c>
      <c r="F272">
        <f>IF(ISBLANK('ENGAGEMENTS 2026'!C272),"",'ENGAGEMENTS 2026'!J272)</f>
        <v/>
      </c>
      <c r="G272">
        <f>IF(ISBLANK('ENGAGEMENTS 2026'!C272),"",'ENGAGEMENTS 2026'!M272)</f>
        <v/>
      </c>
      <c r="H272">
        <f>IF(ISBLANK('ENGAGEMENTS 2026'!C272),"",'ENGAGEMENTS 2026'!AF272)</f>
        <v/>
      </c>
      <c r="I272">
        <f>IF(ISBLANK('ENGAGEMENTS 2026'!C272),"",'ENGAGEMENTS 2026'!H272)</f>
        <v/>
      </c>
      <c r="J272" s="275">
        <f>IF(ISBLANK('ENGAGEMENTS 2026'!C272),"",IF(AND(OR($E272="INFRUCTUEUX",$E272="ANNULE"),$C272="AOO-M"),'ENGAGEMENTS 2026'!P272,IF($H272="EN COURS DE PREENGAGEMENT",'ENGAGEMENTS 2026'!O272,IF($H272="PREENGAGE",IF($E272="ATTRIBUE",'ENGAGEMENTS 2026'!AE272,'ENGAGEMENTS 2026'!O272),'ENGAGEMENTS 2026'!AE272))))</f>
        <v/>
      </c>
      <c r="K272" s="604">
        <f>IF(ISBLANK('ENGAGEMENTS 2026'!W272),"",'ENGAGEMENTS 2026'!W272)</f>
        <v/>
      </c>
      <c r="L272" s="276">
        <f>IF($K272="","",TODAY()-$K272)</f>
        <v/>
      </c>
      <c r="M272">
        <f>IF($A272="","",IF($H272="ENGAGE","Engagé",IF(AND($H272="NON ENGAGE",OR($I272="INFRUCTUEUX",$I272="ANNULE")),"Clôturé sans suite","En cours")))</f>
        <v/>
      </c>
      <c r="N272">
        <f>IF(ISBLANK('ENGAGEMENTS 2026'!C272),"",'ENGAGEMENTS 2026'!L272)</f>
        <v/>
      </c>
      <c r="O272">
        <f>IF(ISBLANK('ENGAGEMENTS 2026'!C272),"",'ENGAGEMENTS 2026'!M272)</f>
        <v/>
      </c>
      <c r="P272">
        <f>IF(ISBLANK('ENGAGEMENTS 2026'!C272),"",'ENGAGEMENTS 2026'!K272)</f>
        <v/>
      </c>
      <c r="Q272">
        <f>IF($A272="","",IF(OR($E272="INFRUCTUEUX",$E272="ANNULE"),$A272&amp;"|"&amp;(COUNTIFS($A$2:$A272,$A272,$E$2:$E272,"INFRUCTUEUX")+COUNTIFS($A$2:$A272,$A272,$E$2:$E272,"ANNULE")),""))</f>
        <v/>
      </c>
    </row>
    <row r="273">
      <c r="A273">
        <f>IF(ISBLANK('ENGAGEMENTS 2026'!C273),"",IF('ENGAGEMENTS 2026'!C273="DTSI","DCT",'ENGAGEMENTS 2026'!C273))</f>
        <v/>
      </c>
      <c r="B273">
        <f>IF(ISBLANK('ENGAGEMENTS 2026'!C273),"",'ENGAGEMENTS 2026'!D273)</f>
        <v/>
      </c>
      <c r="C273">
        <f>IF(ISBLANK('ENGAGEMENTS 2026'!C273),"",'ENGAGEMENTS 2026'!E273)</f>
        <v/>
      </c>
      <c r="D273">
        <f>IF(ISBLANK('ENGAGEMENTS 2026'!C273),"",'ENGAGEMENTS 2026'!G273)</f>
        <v/>
      </c>
      <c r="E273">
        <f>IF(ISBLANK('ENGAGEMENTS 2026'!C273),"",'ENGAGEMENTS 2026'!I273)</f>
        <v/>
      </c>
      <c r="F273">
        <f>IF(ISBLANK('ENGAGEMENTS 2026'!C273),"",'ENGAGEMENTS 2026'!J273)</f>
        <v/>
      </c>
      <c r="G273">
        <f>IF(ISBLANK('ENGAGEMENTS 2026'!C273),"",'ENGAGEMENTS 2026'!M273)</f>
        <v/>
      </c>
      <c r="H273">
        <f>IF(ISBLANK('ENGAGEMENTS 2026'!C273),"",'ENGAGEMENTS 2026'!AF273)</f>
        <v/>
      </c>
      <c r="I273">
        <f>IF(ISBLANK('ENGAGEMENTS 2026'!C273),"",'ENGAGEMENTS 2026'!H273)</f>
        <v/>
      </c>
      <c r="J273" s="275">
        <f>IF(ISBLANK('ENGAGEMENTS 2026'!C273),"",IF(AND(OR($E273="INFRUCTUEUX",$E273="ANNULE"),$C273="AOO-M"),'ENGAGEMENTS 2026'!P273,IF($H273="EN COURS DE PREENGAGEMENT",'ENGAGEMENTS 2026'!O273,IF($H273="PREENGAGE",IF($E273="ATTRIBUE",'ENGAGEMENTS 2026'!AE273,'ENGAGEMENTS 2026'!O273),'ENGAGEMENTS 2026'!AE273))))</f>
        <v/>
      </c>
      <c r="K273" s="604">
        <f>IF(ISBLANK('ENGAGEMENTS 2026'!W273),"",'ENGAGEMENTS 2026'!W273)</f>
        <v/>
      </c>
      <c r="L273" s="276">
        <f>IF($K273="","",TODAY()-$K273)</f>
        <v/>
      </c>
      <c r="M273">
        <f>IF($A273="","",IF($H273="ENGAGE","Engagé",IF(AND($H273="NON ENGAGE",OR($I273="INFRUCTUEUX",$I273="ANNULE")),"Clôturé sans suite","En cours")))</f>
        <v/>
      </c>
      <c r="N273">
        <f>IF(ISBLANK('ENGAGEMENTS 2026'!C273),"",'ENGAGEMENTS 2026'!L273)</f>
        <v/>
      </c>
      <c r="O273">
        <f>IF(ISBLANK('ENGAGEMENTS 2026'!C273),"",'ENGAGEMENTS 2026'!M273)</f>
        <v/>
      </c>
      <c r="P273">
        <f>IF(ISBLANK('ENGAGEMENTS 2026'!C273),"",'ENGAGEMENTS 2026'!K273)</f>
        <v/>
      </c>
      <c r="Q273">
        <f>IF($A273="","",IF(OR($E273="INFRUCTUEUX",$E273="ANNULE"),$A273&amp;"|"&amp;(COUNTIFS($A$2:$A273,$A273,$E$2:$E273,"INFRUCTUEUX")+COUNTIFS($A$2:$A273,$A273,$E$2:$E273,"ANNULE")),""))</f>
        <v/>
      </c>
    </row>
    <row r="274">
      <c r="A274">
        <f>IF(ISBLANK('ENGAGEMENTS 2026'!C274),"",IF('ENGAGEMENTS 2026'!C274="DTSI","DCT",'ENGAGEMENTS 2026'!C274))</f>
        <v/>
      </c>
      <c r="B274">
        <f>IF(ISBLANK('ENGAGEMENTS 2026'!C274),"",'ENGAGEMENTS 2026'!D274)</f>
        <v/>
      </c>
      <c r="C274">
        <f>IF(ISBLANK('ENGAGEMENTS 2026'!C274),"",'ENGAGEMENTS 2026'!E274)</f>
        <v/>
      </c>
      <c r="D274">
        <f>IF(ISBLANK('ENGAGEMENTS 2026'!C274),"",'ENGAGEMENTS 2026'!G274)</f>
        <v/>
      </c>
      <c r="E274">
        <f>IF(ISBLANK('ENGAGEMENTS 2026'!C274),"",'ENGAGEMENTS 2026'!I274)</f>
        <v/>
      </c>
      <c r="F274">
        <f>IF(ISBLANK('ENGAGEMENTS 2026'!C274),"",'ENGAGEMENTS 2026'!J274)</f>
        <v/>
      </c>
      <c r="G274">
        <f>IF(ISBLANK('ENGAGEMENTS 2026'!C274),"",'ENGAGEMENTS 2026'!M274)</f>
        <v/>
      </c>
      <c r="H274">
        <f>IF(ISBLANK('ENGAGEMENTS 2026'!C274),"",'ENGAGEMENTS 2026'!AF274)</f>
        <v/>
      </c>
      <c r="I274">
        <f>IF(ISBLANK('ENGAGEMENTS 2026'!C274),"",'ENGAGEMENTS 2026'!H274)</f>
        <v/>
      </c>
      <c r="J274" s="275">
        <f>IF(ISBLANK('ENGAGEMENTS 2026'!C274),"",IF(AND(OR($E274="INFRUCTUEUX",$E274="ANNULE"),$C274="AOO-M"),'ENGAGEMENTS 2026'!P274,IF($H274="EN COURS DE PREENGAGEMENT",'ENGAGEMENTS 2026'!O274,IF($H274="PREENGAGE",IF($E274="ATTRIBUE",'ENGAGEMENTS 2026'!AE274,'ENGAGEMENTS 2026'!O274),'ENGAGEMENTS 2026'!AE274))))</f>
        <v/>
      </c>
      <c r="K274" s="604">
        <f>IF(ISBLANK('ENGAGEMENTS 2026'!W274),"",'ENGAGEMENTS 2026'!W274)</f>
        <v/>
      </c>
      <c r="L274" s="276">
        <f>IF($K274="","",TODAY()-$K274)</f>
        <v/>
      </c>
      <c r="M274">
        <f>IF($A274="","",IF($H274="ENGAGE","Engagé",IF(AND($H274="NON ENGAGE",OR($I274="INFRUCTUEUX",$I274="ANNULE")),"Clôturé sans suite","En cours")))</f>
        <v/>
      </c>
      <c r="N274">
        <f>IF(ISBLANK('ENGAGEMENTS 2026'!C274),"",'ENGAGEMENTS 2026'!L274)</f>
        <v/>
      </c>
      <c r="O274">
        <f>IF(ISBLANK('ENGAGEMENTS 2026'!C274),"",'ENGAGEMENTS 2026'!M274)</f>
        <v/>
      </c>
      <c r="P274">
        <f>IF(ISBLANK('ENGAGEMENTS 2026'!C274),"",'ENGAGEMENTS 2026'!K274)</f>
        <v/>
      </c>
      <c r="Q274">
        <f>IF($A274="","",IF(OR($E274="INFRUCTUEUX",$E274="ANNULE"),$A274&amp;"|"&amp;(COUNTIFS($A$2:$A274,$A274,$E$2:$E274,"INFRUCTUEUX")+COUNTIFS($A$2:$A274,$A274,$E$2:$E274,"ANNULE")),""))</f>
        <v/>
      </c>
    </row>
    <row r="275">
      <c r="A275">
        <f>IF(ISBLANK('ENGAGEMENTS 2026'!C275),"",IF('ENGAGEMENTS 2026'!C275="DTSI","DCT",'ENGAGEMENTS 2026'!C275))</f>
        <v/>
      </c>
      <c r="B275">
        <f>IF(ISBLANK('ENGAGEMENTS 2026'!C275),"",'ENGAGEMENTS 2026'!D275)</f>
        <v/>
      </c>
      <c r="C275">
        <f>IF(ISBLANK('ENGAGEMENTS 2026'!C275),"",'ENGAGEMENTS 2026'!E275)</f>
        <v/>
      </c>
      <c r="D275">
        <f>IF(ISBLANK('ENGAGEMENTS 2026'!C275),"",'ENGAGEMENTS 2026'!G275)</f>
        <v/>
      </c>
      <c r="E275">
        <f>IF(ISBLANK('ENGAGEMENTS 2026'!C275),"",'ENGAGEMENTS 2026'!I275)</f>
        <v/>
      </c>
      <c r="F275">
        <f>IF(ISBLANK('ENGAGEMENTS 2026'!C275),"",'ENGAGEMENTS 2026'!J275)</f>
        <v/>
      </c>
      <c r="G275">
        <f>IF(ISBLANK('ENGAGEMENTS 2026'!C275),"",'ENGAGEMENTS 2026'!M275)</f>
        <v/>
      </c>
      <c r="H275">
        <f>IF(ISBLANK('ENGAGEMENTS 2026'!C275),"",'ENGAGEMENTS 2026'!AF275)</f>
        <v/>
      </c>
      <c r="I275">
        <f>IF(ISBLANK('ENGAGEMENTS 2026'!C275),"",'ENGAGEMENTS 2026'!H275)</f>
        <v/>
      </c>
      <c r="J275" s="275">
        <f>IF(ISBLANK('ENGAGEMENTS 2026'!C275),"",IF(AND(OR($E275="INFRUCTUEUX",$E275="ANNULE"),$C275="AOO-M"),'ENGAGEMENTS 2026'!P275,IF($H275="EN COURS DE PREENGAGEMENT",'ENGAGEMENTS 2026'!O275,IF($H275="PREENGAGE",IF($E275="ATTRIBUE",'ENGAGEMENTS 2026'!AE275,'ENGAGEMENTS 2026'!O275),'ENGAGEMENTS 2026'!AE275))))</f>
        <v/>
      </c>
      <c r="K275" s="604">
        <f>IF(ISBLANK('ENGAGEMENTS 2026'!W275),"",'ENGAGEMENTS 2026'!W275)</f>
        <v/>
      </c>
      <c r="L275" s="276">
        <f>IF($K275="","",TODAY()-$K275)</f>
        <v/>
      </c>
      <c r="M275">
        <f>IF($A275="","",IF($H275="ENGAGE","Engagé",IF(AND($H275="NON ENGAGE",OR($I275="INFRUCTUEUX",$I275="ANNULE")),"Clôturé sans suite","En cours")))</f>
        <v/>
      </c>
      <c r="N275">
        <f>IF(ISBLANK('ENGAGEMENTS 2026'!C275),"",'ENGAGEMENTS 2026'!L275)</f>
        <v/>
      </c>
      <c r="O275">
        <f>IF(ISBLANK('ENGAGEMENTS 2026'!C275),"",'ENGAGEMENTS 2026'!M275)</f>
        <v/>
      </c>
      <c r="P275">
        <f>IF(ISBLANK('ENGAGEMENTS 2026'!C275),"",'ENGAGEMENTS 2026'!K275)</f>
        <v/>
      </c>
      <c r="Q275">
        <f>IF($A275="","",IF(OR($E275="INFRUCTUEUX",$E275="ANNULE"),$A275&amp;"|"&amp;(COUNTIFS($A$2:$A275,$A275,$E$2:$E275,"INFRUCTUEUX")+COUNTIFS($A$2:$A275,$A275,$E$2:$E275,"ANNULE")),""))</f>
        <v/>
      </c>
    </row>
    <row r="276">
      <c r="A276">
        <f>IF(ISBLANK('ENGAGEMENTS 2026'!C276),"",IF('ENGAGEMENTS 2026'!C276="DTSI","DCT",'ENGAGEMENTS 2026'!C276))</f>
        <v/>
      </c>
      <c r="B276">
        <f>IF(ISBLANK('ENGAGEMENTS 2026'!C276),"",'ENGAGEMENTS 2026'!D276)</f>
        <v/>
      </c>
      <c r="C276">
        <f>IF(ISBLANK('ENGAGEMENTS 2026'!C276),"",'ENGAGEMENTS 2026'!E276)</f>
        <v/>
      </c>
      <c r="D276">
        <f>IF(ISBLANK('ENGAGEMENTS 2026'!C276),"",'ENGAGEMENTS 2026'!G276)</f>
        <v/>
      </c>
      <c r="E276">
        <f>IF(ISBLANK('ENGAGEMENTS 2026'!C276),"",'ENGAGEMENTS 2026'!I276)</f>
        <v/>
      </c>
      <c r="F276">
        <f>IF(ISBLANK('ENGAGEMENTS 2026'!C276),"",'ENGAGEMENTS 2026'!J276)</f>
        <v/>
      </c>
      <c r="G276">
        <f>IF(ISBLANK('ENGAGEMENTS 2026'!C276),"",'ENGAGEMENTS 2026'!M276)</f>
        <v/>
      </c>
      <c r="H276">
        <f>IF(ISBLANK('ENGAGEMENTS 2026'!C276),"",'ENGAGEMENTS 2026'!AF276)</f>
        <v/>
      </c>
      <c r="I276">
        <f>IF(ISBLANK('ENGAGEMENTS 2026'!C276),"",'ENGAGEMENTS 2026'!H276)</f>
        <v/>
      </c>
      <c r="J276" s="275">
        <f>IF(ISBLANK('ENGAGEMENTS 2026'!C276),"",IF(AND(OR($E276="INFRUCTUEUX",$E276="ANNULE"),$C276="AOO-M"),'ENGAGEMENTS 2026'!P276,IF($H276="EN COURS DE PREENGAGEMENT",'ENGAGEMENTS 2026'!O276,IF($H276="PREENGAGE",IF($E276="ATTRIBUE",'ENGAGEMENTS 2026'!AE276,'ENGAGEMENTS 2026'!O276),'ENGAGEMENTS 2026'!AE276))))</f>
        <v/>
      </c>
      <c r="K276" s="604">
        <f>IF(ISBLANK('ENGAGEMENTS 2026'!W276),"",'ENGAGEMENTS 2026'!W276)</f>
        <v/>
      </c>
      <c r="L276" s="276">
        <f>IF($K276="","",TODAY()-$K276)</f>
        <v/>
      </c>
      <c r="M276">
        <f>IF($A276="","",IF($H276="ENGAGE","Engagé",IF(AND($H276="NON ENGAGE",OR($I276="INFRUCTUEUX",$I276="ANNULE")),"Clôturé sans suite","En cours")))</f>
        <v/>
      </c>
      <c r="N276">
        <f>IF(ISBLANK('ENGAGEMENTS 2026'!C276),"",'ENGAGEMENTS 2026'!L276)</f>
        <v/>
      </c>
      <c r="O276">
        <f>IF(ISBLANK('ENGAGEMENTS 2026'!C276),"",'ENGAGEMENTS 2026'!M276)</f>
        <v/>
      </c>
      <c r="P276">
        <f>IF(ISBLANK('ENGAGEMENTS 2026'!C276),"",'ENGAGEMENTS 2026'!K276)</f>
        <v/>
      </c>
      <c r="Q276">
        <f>IF($A276="","",IF(OR($E276="INFRUCTUEUX",$E276="ANNULE"),$A276&amp;"|"&amp;(COUNTIFS($A$2:$A276,$A276,$E$2:$E276,"INFRUCTUEUX")+COUNTIFS($A$2:$A276,$A276,$E$2:$E276,"ANNULE")),""))</f>
        <v/>
      </c>
    </row>
    <row r="277">
      <c r="A277">
        <f>IF(ISBLANK('ENGAGEMENTS 2026'!C277),"",IF('ENGAGEMENTS 2026'!C277="DTSI","DCT",'ENGAGEMENTS 2026'!C277))</f>
        <v/>
      </c>
      <c r="B277">
        <f>IF(ISBLANK('ENGAGEMENTS 2026'!C277),"",'ENGAGEMENTS 2026'!D277)</f>
        <v/>
      </c>
      <c r="C277">
        <f>IF(ISBLANK('ENGAGEMENTS 2026'!C277),"",'ENGAGEMENTS 2026'!E277)</f>
        <v/>
      </c>
      <c r="D277">
        <f>IF(ISBLANK('ENGAGEMENTS 2026'!C277),"",'ENGAGEMENTS 2026'!G277)</f>
        <v/>
      </c>
      <c r="E277">
        <f>IF(ISBLANK('ENGAGEMENTS 2026'!C277),"",'ENGAGEMENTS 2026'!I277)</f>
        <v/>
      </c>
      <c r="F277">
        <f>IF(ISBLANK('ENGAGEMENTS 2026'!C277),"",'ENGAGEMENTS 2026'!J277)</f>
        <v/>
      </c>
      <c r="G277">
        <f>IF(ISBLANK('ENGAGEMENTS 2026'!C277),"",'ENGAGEMENTS 2026'!M277)</f>
        <v/>
      </c>
      <c r="H277">
        <f>IF(ISBLANK('ENGAGEMENTS 2026'!C277),"",'ENGAGEMENTS 2026'!AF277)</f>
        <v/>
      </c>
      <c r="I277">
        <f>IF(ISBLANK('ENGAGEMENTS 2026'!C277),"",'ENGAGEMENTS 2026'!H277)</f>
        <v/>
      </c>
      <c r="J277" s="275">
        <f>IF(ISBLANK('ENGAGEMENTS 2026'!C277),"",IF(AND(OR($E277="INFRUCTUEUX",$E277="ANNULE"),$C277="AOO-M"),'ENGAGEMENTS 2026'!P277,IF($H277="EN COURS DE PREENGAGEMENT",'ENGAGEMENTS 2026'!O277,IF($H277="PREENGAGE",IF($E277="ATTRIBUE",'ENGAGEMENTS 2026'!AE277,'ENGAGEMENTS 2026'!O277),'ENGAGEMENTS 2026'!AE277))))</f>
        <v/>
      </c>
      <c r="K277" s="604">
        <f>IF(ISBLANK('ENGAGEMENTS 2026'!W277),"",'ENGAGEMENTS 2026'!W277)</f>
        <v/>
      </c>
      <c r="L277" s="276">
        <f>IF($K277="","",TODAY()-$K277)</f>
        <v/>
      </c>
      <c r="M277">
        <f>IF($A277="","",IF($H277="ENGAGE","Engagé",IF(AND($H277="NON ENGAGE",OR($I277="INFRUCTUEUX",$I277="ANNULE")),"Clôturé sans suite","En cours")))</f>
        <v/>
      </c>
      <c r="N277">
        <f>IF(ISBLANK('ENGAGEMENTS 2026'!C277),"",'ENGAGEMENTS 2026'!L277)</f>
        <v/>
      </c>
      <c r="O277">
        <f>IF(ISBLANK('ENGAGEMENTS 2026'!C277),"",'ENGAGEMENTS 2026'!M277)</f>
        <v/>
      </c>
      <c r="P277">
        <f>IF(ISBLANK('ENGAGEMENTS 2026'!C277),"",'ENGAGEMENTS 2026'!K277)</f>
        <v/>
      </c>
      <c r="Q277">
        <f>IF($A277="","",IF(OR($E277="INFRUCTUEUX",$E277="ANNULE"),$A277&amp;"|"&amp;(COUNTIFS($A$2:$A277,$A277,$E$2:$E277,"INFRUCTUEUX")+COUNTIFS($A$2:$A277,$A277,$E$2:$E277,"ANNULE")),""))</f>
        <v/>
      </c>
    </row>
    <row r="278">
      <c r="A278">
        <f>IF(ISBLANK('ENGAGEMENTS 2026'!C278),"",IF('ENGAGEMENTS 2026'!C278="DTSI","DCT",'ENGAGEMENTS 2026'!C278))</f>
        <v/>
      </c>
      <c r="B278">
        <f>IF(ISBLANK('ENGAGEMENTS 2026'!C278),"",'ENGAGEMENTS 2026'!D278)</f>
        <v/>
      </c>
      <c r="C278">
        <f>IF(ISBLANK('ENGAGEMENTS 2026'!C278),"",'ENGAGEMENTS 2026'!E278)</f>
        <v/>
      </c>
      <c r="D278">
        <f>IF(ISBLANK('ENGAGEMENTS 2026'!C278),"",'ENGAGEMENTS 2026'!G278)</f>
        <v/>
      </c>
      <c r="E278">
        <f>IF(ISBLANK('ENGAGEMENTS 2026'!C278),"",'ENGAGEMENTS 2026'!I278)</f>
        <v/>
      </c>
      <c r="F278">
        <f>IF(ISBLANK('ENGAGEMENTS 2026'!C278),"",'ENGAGEMENTS 2026'!J278)</f>
        <v/>
      </c>
      <c r="G278">
        <f>IF(ISBLANK('ENGAGEMENTS 2026'!C278),"",'ENGAGEMENTS 2026'!M278)</f>
        <v/>
      </c>
      <c r="H278">
        <f>IF(ISBLANK('ENGAGEMENTS 2026'!C278),"",'ENGAGEMENTS 2026'!AF278)</f>
        <v/>
      </c>
      <c r="I278">
        <f>IF(ISBLANK('ENGAGEMENTS 2026'!C278),"",'ENGAGEMENTS 2026'!H278)</f>
        <v/>
      </c>
      <c r="J278" s="275">
        <f>IF(ISBLANK('ENGAGEMENTS 2026'!C278),"",IF(AND(OR($E278="INFRUCTUEUX",$E278="ANNULE"),$C278="AOO-M"),'ENGAGEMENTS 2026'!P278,IF($H278="EN COURS DE PREENGAGEMENT",'ENGAGEMENTS 2026'!O278,IF($H278="PREENGAGE",IF($E278="ATTRIBUE",'ENGAGEMENTS 2026'!AE278,'ENGAGEMENTS 2026'!O278),'ENGAGEMENTS 2026'!AE278))))</f>
        <v/>
      </c>
      <c r="K278" s="604">
        <f>IF(ISBLANK('ENGAGEMENTS 2026'!W278),"",'ENGAGEMENTS 2026'!W278)</f>
        <v/>
      </c>
      <c r="L278" s="276">
        <f>IF($K278="","",TODAY()-$K278)</f>
        <v/>
      </c>
      <c r="M278">
        <f>IF($A278="","",IF($H278="ENGAGE","Engagé",IF(AND($H278="NON ENGAGE",OR($I278="INFRUCTUEUX",$I278="ANNULE")),"Clôturé sans suite","En cours")))</f>
        <v/>
      </c>
      <c r="N278">
        <f>IF(ISBLANK('ENGAGEMENTS 2026'!C278),"",'ENGAGEMENTS 2026'!L278)</f>
        <v/>
      </c>
      <c r="O278">
        <f>IF(ISBLANK('ENGAGEMENTS 2026'!C278),"",'ENGAGEMENTS 2026'!M278)</f>
        <v/>
      </c>
      <c r="P278">
        <f>IF(ISBLANK('ENGAGEMENTS 2026'!C278),"",'ENGAGEMENTS 2026'!K278)</f>
        <v/>
      </c>
      <c r="Q278">
        <f>IF($A278="","",IF(OR($E278="INFRUCTUEUX",$E278="ANNULE"),$A278&amp;"|"&amp;(COUNTIFS($A$2:$A278,$A278,$E$2:$E278,"INFRUCTUEUX")+COUNTIFS($A$2:$A278,$A278,$E$2:$E278,"ANNULE")),""))</f>
        <v/>
      </c>
    </row>
    <row r="279">
      <c r="A279">
        <f>IF(ISBLANK('ENGAGEMENTS 2026'!C279),"",IF('ENGAGEMENTS 2026'!C279="DTSI","DCT",'ENGAGEMENTS 2026'!C279))</f>
        <v/>
      </c>
      <c r="B279">
        <f>IF(ISBLANK('ENGAGEMENTS 2026'!C279),"",'ENGAGEMENTS 2026'!D279)</f>
        <v/>
      </c>
      <c r="C279">
        <f>IF(ISBLANK('ENGAGEMENTS 2026'!C279),"",'ENGAGEMENTS 2026'!E279)</f>
        <v/>
      </c>
      <c r="D279">
        <f>IF(ISBLANK('ENGAGEMENTS 2026'!C279),"",'ENGAGEMENTS 2026'!G279)</f>
        <v/>
      </c>
      <c r="E279">
        <f>IF(ISBLANK('ENGAGEMENTS 2026'!C279),"",'ENGAGEMENTS 2026'!I279)</f>
        <v/>
      </c>
      <c r="F279">
        <f>IF(ISBLANK('ENGAGEMENTS 2026'!C279),"",'ENGAGEMENTS 2026'!J279)</f>
        <v/>
      </c>
      <c r="G279">
        <f>IF(ISBLANK('ENGAGEMENTS 2026'!C279),"",'ENGAGEMENTS 2026'!M279)</f>
        <v/>
      </c>
      <c r="H279">
        <f>IF(ISBLANK('ENGAGEMENTS 2026'!C279),"",'ENGAGEMENTS 2026'!AF279)</f>
        <v/>
      </c>
      <c r="I279">
        <f>IF(ISBLANK('ENGAGEMENTS 2026'!C279),"",'ENGAGEMENTS 2026'!H279)</f>
        <v/>
      </c>
      <c r="J279" s="275">
        <f>IF(ISBLANK('ENGAGEMENTS 2026'!C279),"",IF(AND(OR($E279="INFRUCTUEUX",$E279="ANNULE"),$C279="AOO-M"),'ENGAGEMENTS 2026'!P279,IF($H279="EN COURS DE PREENGAGEMENT",'ENGAGEMENTS 2026'!O279,IF($H279="PREENGAGE",IF($E279="ATTRIBUE",'ENGAGEMENTS 2026'!AE279,'ENGAGEMENTS 2026'!O279),'ENGAGEMENTS 2026'!AE279))))</f>
        <v/>
      </c>
      <c r="K279" s="604">
        <f>IF(ISBLANK('ENGAGEMENTS 2026'!W279),"",'ENGAGEMENTS 2026'!W279)</f>
        <v/>
      </c>
      <c r="L279" s="276">
        <f>IF($K279="","",TODAY()-$K279)</f>
        <v/>
      </c>
      <c r="M279">
        <f>IF($A279="","",IF($H279="ENGAGE","Engagé",IF(AND($H279="NON ENGAGE",OR($I279="INFRUCTUEUX",$I279="ANNULE")),"Clôturé sans suite","En cours")))</f>
        <v/>
      </c>
      <c r="N279">
        <f>IF(ISBLANK('ENGAGEMENTS 2026'!C279),"",'ENGAGEMENTS 2026'!L279)</f>
        <v/>
      </c>
      <c r="O279">
        <f>IF(ISBLANK('ENGAGEMENTS 2026'!C279),"",'ENGAGEMENTS 2026'!M279)</f>
        <v/>
      </c>
      <c r="P279">
        <f>IF(ISBLANK('ENGAGEMENTS 2026'!C279),"",'ENGAGEMENTS 2026'!K279)</f>
        <v/>
      </c>
      <c r="Q279">
        <f>IF($A279="","",IF(OR($E279="INFRUCTUEUX",$E279="ANNULE"),$A279&amp;"|"&amp;(COUNTIFS($A$2:$A279,$A279,$E$2:$E279,"INFRUCTUEUX")+COUNTIFS($A$2:$A279,$A279,$E$2:$E279,"ANNULE")),""))</f>
        <v/>
      </c>
    </row>
    <row r="280">
      <c r="A280">
        <f>IF(ISBLANK('ENGAGEMENTS 2026'!C280),"",IF('ENGAGEMENTS 2026'!C280="DTSI","DCT",'ENGAGEMENTS 2026'!C280))</f>
        <v/>
      </c>
      <c r="B280">
        <f>IF(ISBLANK('ENGAGEMENTS 2026'!C280),"",'ENGAGEMENTS 2026'!D280)</f>
        <v/>
      </c>
      <c r="C280">
        <f>IF(ISBLANK('ENGAGEMENTS 2026'!C280),"",'ENGAGEMENTS 2026'!E280)</f>
        <v/>
      </c>
      <c r="D280">
        <f>IF(ISBLANK('ENGAGEMENTS 2026'!C280),"",'ENGAGEMENTS 2026'!G280)</f>
        <v/>
      </c>
      <c r="E280">
        <f>IF(ISBLANK('ENGAGEMENTS 2026'!C280),"",'ENGAGEMENTS 2026'!I280)</f>
        <v/>
      </c>
      <c r="F280">
        <f>IF(ISBLANK('ENGAGEMENTS 2026'!C280),"",'ENGAGEMENTS 2026'!J280)</f>
        <v/>
      </c>
      <c r="G280">
        <f>IF(ISBLANK('ENGAGEMENTS 2026'!C280),"",'ENGAGEMENTS 2026'!M280)</f>
        <v/>
      </c>
      <c r="H280">
        <f>IF(ISBLANK('ENGAGEMENTS 2026'!C280),"",'ENGAGEMENTS 2026'!AF280)</f>
        <v/>
      </c>
      <c r="I280">
        <f>IF(ISBLANK('ENGAGEMENTS 2026'!C280),"",'ENGAGEMENTS 2026'!H280)</f>
        <v/>
      </c>
      <c r="J280" s="275">
        <f>IF(ISBLANK('ENGAGEMENTS 2026'!C280),"",IF(AND(OR($E280="INFRUCTUEUX",$E280="ANNULE"),$C280="AOO-M"),'ENGAGEMENTS 2026'!P280,IF($H280="EN COURS DE PREENGAGEMENT",'ENGAGEMENTS 2026'!O280,IF($H280="PREENGAGE",IF($E280="ATTRIBUE",'ENGAGEMENTS 2026'!AE280,'ENGAGEMENTS 2026'!O280),'ENGAGEMENTS 2026'!AE280))))</f>
        <v/>
      </c>
      <c r="K280" s="604">
        <f>IF(ISBLANK('ENGAGEMENTS 2026'!W280),"",'ENGAGEMENTS 2026'!W280)</f>
        <v/>
      </c>
      <c r="L280" s="276">
        <f>IF($K280="","",TODAY()-$K280)</f>
        <v/>
      </c>
      <c r="M280">
        <f>IF($A280="","",IF($H280="ENGAGE","Engagé",IF(AND($H280="NON ENGAGE",OR($I280="INFRUCTUEUX",$I280="ANNULE")),"Clôturé sans suite","En cours")))</f>
        <v/>
      </c>
      <c r="N280">
        <f>IF(ISBLANK('ENGAGEMENTS 2026'!C280),"",'ENGAGEMENTS 2026'!L280)</f>
        <v/>
      </c>
      <c r="O280">
        <f>IF(ISBLANK('ENGAGEMENTS 2026'!C280),"",'ENGAGEMENTS 2026'!M280)</f>
        <v/>
      </c>
      <c r="P280">
        <f>IF(ISBLANK('ENGAGEMENTS 2026'!C280),"",'ENGAGEMENTS 2026'!K280)</f>
        <v/>
      </c>
      <c r="Q280">
        <f>IF($A280="","",IF(OR($E280="INFRUCTUEUX",$E280="ANNULE"),$A280&amp;"|"&amp;(COUNTIFS($A$2:$A280,$A280,$E$2:$E280,"INFRUCTUEUX")+COUNTIFS($A$2:$A280,$A280,$E$2:$E280,"ANNULE")),""))</f>
        <v/>
      </c>
    </row>
    <row r="281">
      <c r="A281">
        <f>IF(ISBLANK('ENGAGEMENTS 2026'!C281),"",IF('ENGAGEMENTS 2026'!C281="DTSI","DCT",'ENGAGEMENTS 2026'!C281))</f>
        <v/>
      </c>
      <c r="B281">
        <f>IF(ISBLANK('ENGAGEMENTS 2026'!C281),"",'ENGAGEMENTS 2026'!D281)</f>
        <v/>
      </c>
      <c r="C281">
        <f>IF(ISBLANK('ENGAGEMENTS 2026'!C281),"",'ENGAGEMENTS 2026'!E281)</f>
        <v/>
      </c>
      <c r="D281">
        <f>IF(ISBLANK('ENGAGEMENTS 2026'!C281),"",'ENGAGEMENTS 2026'!G281)</f>
        <v/>
      </c>
      <c r="E281">
        <f>IF(ISBLANK('ENGAGEMENTS 2026'!C281),"",'ENGAGEMENTS 2026'!I281)</f>
        <v/>
      </c>
      <c r="F281">
        <f>IF(ISBLANK('ENGAGEMENTS 2026'!C281),"",'ENGAGEMENTS 2026'!J281)</f>
        <v/>
      </c>
      <c r="G281">
        <f>IF(ISBLANK('ENGAGEMENTS 2026'!C281),"",'ENGAGEMENTS 2026'!M281)</f>
        <v/>
      </c>
      <c r="H281">
        <f>IF(ISBLANK('ENGAGEMENTS 2026'!C281),"",'ENGAGEMENTS 2026'!AF281)</f>
        <v/>
      </c>
      <c r="I281">
        <f>IF(ISBLANK('ENGAGEMENTS 2026'!C281),"",'ENGAGEMENTS 2026'!H281)</f>
        <v/>
      </c>
      <c r="J281" s="275">
        <f>IF(ISBLANK('ENGAGEMENTS 2026'!C281),"",IF(AND(OR($E281="INFRUCTUEUX",$E281="ANNULE"),$C281="AOO-M"),'ENGAGEMENTS 2026'!P281,IF($H281="EN COURS DE PREENGAGEMENT",'ENGAGEMENTS 2026'!O281,IF($H281="PREENGAGE",IF($E281="ATTRIBUE",'ENGAGEMENTS 2026'!AE281,'ENGAGEMENTS 2026'!O281),'ENGAGEMENTS 2026'!AE281))))</f>
        <v/>
      </c>
      <c r="K281" s="604">
        <f>IF(ISBLANK('ENGAGEMENTS 2026'!W281),"",'ENGAGEMENTS 2026'!W281)</f>
        <v/>
      </c>
      <c r="L281" s="276">
        <f>IF($K281="","",TODAY()-$K281)</f>
        <v/>
      </c>
      <c r="M281">
        <f>IF($A281="","",IF($H281="ENGAGE","Engagé",IF(AND($H281="NON ENGAGE",OR($I281="INFRUCTUEUX",$I281="ANNULE")),"Clôturé sans suite","En cours")))</f>
        <v/>
      </c>
      <c r="N281">
        <f>IF(ISBLANK('ENGAGEMENTS 2026'!C281),"",'ENGAGEMENTS 2026'!L281)</f>
        <v/>
      </c>
      <c r="O281">
        <f>IF(ISBLANK('ENGAGEMENTS 2026'!C281),"",'ENGAGEMENTS 2026'!M281)</f>
        <v/>
      </c>
      <c r="P281">
        <f>IF(ISBLANK('ENGAGEMENTS 2026'!C281),"",'ENGAGEMENTS 2026'!K281)</f>
        <v/>
      </c>
      <c r="Q281">
        <f>IF($A281="","",IF(OR($E281="INFRUCTUEUX",$E281="ANNULE"),$A281&amp;"|"&amp;(COUNTIFS($A$2:$A281,$A281,$E$2:$E281,"INFRUCTUEUX")+COUNTIFS($A$2:$A281,$A281,$E$2:$E281,"ANNULE")),""))</f>
        <v/>
      </c>
    </row>
    <row r="282">
      <c r="A282">
        <f>IF(ISBLANK('ENGAGEMENTS 2026'!C282),"",IF('ENGAGEMENTS 2026'!C282="DTSI","DCT",'ENGAGEMENTS 2026'!C282))</f>
        <v/>
      </c>
      <c r="B282">
        <f>IF(ISBLANK('ENGAGEMENTS 2026'!C282),"",'ENGAGEMENTS 2026'!D282)</f>
        <v/>
      </c>
      <c r="C282">
        <f>IF(ISBLANK('ENGAGEMENTS 2026'!C282),"",'ENGAGEMENTS 2026'!E282)</f>
        <v/>
      </c>
      <c r="D282">
        <f>IF(ISBLANK('ENGAGEMENTS 2026'!C282),"",'ENGAGEMENTS 2026'!G282)</f>
        <v/>
      </c>
      <c r="E282">
        <f>IF(ISBLANK('ENGAGEMENTS 2026'!C282),"",'ENGAGEMENTS 2026'!I282)</f>
        <v/>
      </c>
      <c r="F282">
        <f>IF(ISBLANK('ENGAGEMENTS 2026'!C282),"",'ENGAGEMENTS 2026'!J282)</f>
        <v/>
      </c>
      <c r="G282">
        <f>IF(ISBLANK('ENGAGEMENTS 2026'!C282),"",'ENGAGEMENTS 2026'!M282)</f>
        <v/>
      </c>
      <c r="H282">
        <f>IF(ISBLANK('ENGAGEMENTS 2026'!C282),"",'ENGAGEMENTS 2026'!AF282)</f>
        <v/>
      </c>
      <c r="I282">
        <f>IF(ISBLANK('ENGAGEMENTS 2026'!C282),"",'ENGAGEMENTS 2026'!H282)</f>
        <v/>
      </c>
      <c r="J282" s="275">
        <f>IF(ISBLANK('ENGAGEMENTS 2026'!C282),"",IF(AND(OR($E282="INFRUCTUEUX",$E282="ANNULE"),$C282="AOO-M"),'ENGAGEMENTS 2026'!P282,IF($H282="EN COURS DE PREENGAGEMENT",'ENGAGEMENTS 2026'!O282,IF($H282="PREENGAGE",IF($E282="ATTRIBUE",'ENGAGEMENTS 2026'!AE282,'ENGAGEMENTS 2026'!O282),'ENGAGEMENTS 2026'!AE282))))</f>
        <v/>
      </c>
      <c r="K282" s="604">
        <f>IF(ISBLANK('ENGAGEMENTS 2026'!W282),"",'ENGAGEMENTS 2026'!W282)</f>
        <v/>
      </c>
      <c r="L282" s="276">
        <f>IF($K282="","",TODAY()-$K282)</f>
        <v/>
      </c>
      <c r="M282">
        <f>IF($A282="","",IF($H282="ENGAGE","Engagé",IF(AND($H282="NON ENGAGE",OR($I282="INFRUCTUEUX",$I282="ANNULE")),"Clôturé sans suite","En cours")))</f>
        <v/>
      </c>
      <c r="N282">
        <f>IF(ISBLANK('ENGAGEMENTS 2026'!C282),"",'ENGAGEMENTS 2026'!L282)</f>
        <v/>
      </c>
      <c r="O282">
        <f>IF(ISBLANK('ENGAGEMENTS 2026'!C282),"",'ENGAGEMENTS 2026'!M282)</f>
        <v/>
      </c>
      <c r="P282">
        <f>IF(ISBLANK('ENGAGEMENTS 2026'!C282),"",'ENGAGEMENTS 2026'!K282)</f>
        <v/>
      </c>
      <c r="Q282">
        <f>IF($A282="","",IF(OR($E282="INFRUCTUEUX",$E282="ANNULE"),$A282&amp;"|"&amp;(COUNTIFS($A$2:$A282,$A282,$E$2:$E282,"INFRUCTUEUX")+COUNTIFS($A$2:$A282,$A282,$E$2:$E282,"ANNULE")),""))</f>
        <v/>
      </c>
    </row>
    <row r="283">
      <c r="A283">
        <f>IF(ISBLANK('ENGAGEMENTS 2026'!C283),"",IF('ENGAGEMENTS 2026'!C283="DTSI","DCT",'ENGAGEMENTS 2026'!C283))</f>
        <v/>
      </c>
      <c r="B283">
        <f>IF(ISBLANK('ENGAGEMENTS 2026'!C283),"",'ENGAGEMENTS 2026'!D283)</f>
        <v/>
      </c>
      <c r="C283">
        <f>IF(ISBLANK('ENGAGEMENTS 2026'!C283),"",'ENGAGEMENTS 2026'!E283)</f>
        <v/>
      </c>
      <c r="D283">
        <f>IF(ISBLANK('ENGAGEMENTS 2026'!C283),"",'ENGAGEMENTS 2026'!G283)</f>
        <v/>
      </c>
      <c r="E283">
        <f>IF(ISBLANK('ENGAGEMENTS 2026'!C283),"",'ENGAGEMENTS 2026'!I283)</f>
        <v/>
      </c>
      <c r="F283">
        <f>IF(ISBLANK('ENGAGEMENTS 2026'!C283),"",'ENGAGEMENTS 2026'!J283)</f>
        <v/>
      </c>
      <c r="G283">
        <f>IF(ISBLANK('ENGAGEMENTS 2026'!C283),"",'ENGAGEMENTS 2026'!M283)</f>
        <v/>
      </c>
      <c r="H283">
        <f>IF(ISBLANK('ENGAGEMENTS 2026'!C283),"",'ENGAGEMENTS 2026'!AF283)</f>
        <v/>
      </c>
      <c r="I283">
        <f>IF(ISBLANK('ENGAGEMENTS 2026'!C283),"",'ENGAGEMENTS 2026'!H283)</f>
        <v/>
      </c>
      <c r="J283" s="275">
        <f>IF(ISBLANK('ENGAGEMENTS 2026'!C283),"",IF(AND(OR($E283="INFRUCTUEUX",$E283="ANNULE"),$C283="AOO-M"),'ENGAGEMENTS 2026'!P283,IF($H283="EN COURS DE PREENGAGEMENT",'ENGAGEMENTS 2026'!O283,IF($H283="PREENGAGE",IF($E283="ATTRIBUE",'ENGAGEMENTS 2026'!AE283,'ENGAGEMENTS 2026'!O283),'ENGAGEMENTS 2026'!AE283))))</f>
        <v/>
      </c>
      <c r="K283" s="604">
        <f>IF(ISBLANK('ENGAGEMENTS 2026'!W283),"",'ENGAGEMENTS 2026'!W283)</f>
        <v/>
      </c>
      <c r="L283" s="276">
        <f>IF($K283="","",TODAY()-$K283)</f>
        <v/>
      </c>
      <c r="M283">
        <f>IF($A283="","",IF($H283="ENGAGE","Engagé",IF(AND($H283="NON ENGAGE",OR($I283="INFRUCTUEUX",$I283="ANNULE")),"Clôturé sans suite","En cours")))</f>
        <v/>
      </c>
      <c r="N283">
        <f>IF(ISBLANK('ENGAGEMENTS 2026'!C283),"",'ENGAGEMENTS 2026'!L283)</f>
        <v/>
      </c>
      <c r="O283">
        <f>IF(ISBLANK('ENGAGEMENTS 2026'!C283),"",'ENGAGEMENTS 2026'!M283)</f>
        <v/>
      </c>
      <c r="P283">
        <f>IF(ISBLANK('ENGAGEMENTS 2026'!C283),"",'ENGAGEMENTS 2026'!K283)</f>
        <v/>
      </c>
      <c r="Q283">
        <f>IF($A283="","",IF(OR($E283="INFRUCTUEUX",$E283="ANNULE"),$A283&amp;"|"&amp;(COUNTIFS($A$2:$A283,$A283,$E$2:$E283,"INFRUCTUEUX")+COUNTIFS($A$2:$A283,$A283,$E$2:$E283,"ANNULE")),""))</f>
        <v/>
      </c>
    </row>
    <row r="284">
      <c r="A284">
        <f>IF(ISBLANK('ENGAGEMENTS 2026'!C284),"",IF('ENGAGEMENTS 2026'!C284="DTSI","DCT",'ENGAGEMENTS 2026'!C284))</f>
        <v/>
      </c>
      <c r="B284">
        <f>IF(ISBLANK('ENGAGEMENTS 2026'!C284),"",'ENGAGEMENTS 2026'!D284)</f>
        <v/>
      </c>
      <c r="C284">
        <f>IF(ISBLANK('ENGAGEMENTS 2026'!C284),"",'ENGAGEMENTS 2026'!E284)</f>
        <v/>
      </c>
      <c r="D284">
        <f>IF(ISBLANK('ENGAGEMENTS 2026'!C284),"",'ENGAGEMENTS 2026'!G284)</f>
        <v/>
      </c>
      <c r="E284">
        <f>IF(ISBLANK('ENGAGEMENTS 2026'!C284),"",'ENGAGEMENTS 2026'!I284)</f>
        <v/>
      </c>
      <c r="F284">
        <f>IF(ISBLANK('ENGAGEMENTS 2026'!C284),"",'ENGAGEMENTS 2026'!J284)</f>
        <v/>
      </c>
      <c r="G284">
        <f>IF(ISBLANK('ENGAGEMENTS 2026'!C284),"",'ENGAGEMENTS 2026'!M284)</f>
        <v/>
      </c>
      <c r="H284">
        <f>IF(ISBLANK('ENGAGEMENTS 2026'!C284),"",'ENGAGEMENTS 2026'!AF284)</f>
        <v/>
      </c>
      <c r="I284">
        <f>IF(ISBLANK('ENGAGEMENTS 2026'!C284),"",'ENGAGEMENTS 2026'!H284)</f>
        <v/>
      </c>
      <c r="J284" s="275">
        <f>IF(ISBLANK('ENGAGEMENTS 2026'!C284),"",IF(AND(OR($E284="INFRUCTUEUX",$E284="ANNULE"),$C284="AOO-M"),'ENGAGEMENTS 2026'!P284,IF($H284="EN COURS DE PREENGAGEMENT",'ENGAGEMENTS 2026'!O284,IF($H284="PREENGAGE",IF($E284="ATTRIBUE",'ENGAGEMENTS 2026'!AE284,'ENGAGEMENTS 2026'!O284),'ENGAGEMENTS 2026'!AE284))))</f>
        <v/>
      </c>
      <c r="K284" s="604">
        <f>IF(ISBLANK('ENGAGEMENTS 2026'!W284),"",'ENGAGEMENTS 2026'!W284)</f>
        <v/>
      </c>
      <c r="L284" s="276">
        <f>IF($K284="","",TODAY()-$K284)</f>
        <v/>
      </c>
      <c r="M284">
        <f>IF($A284="","",IF($H284="ENGAGE","Engagé",IF(AND($H284="NON ENGAGE",OR($I284="INFRUCTUEUX",$I284="ANNULE")),"Clôturé sans suite","En cours")))</f>
        <v/>
      </c>
      <c r="N284">
        <f>IF(ISBLANK('ENGAGEMENTS 2026'!C284),"",'ENGAGEMENTS 2026'!L284)</f>
        <v/>
      </c>
      <c r="O284">
        <f>IF(ISBLANK('ENGAGEMENTS 2026'!C284),"",'ENGAGEMENTS 2026'!M284)</f>
        <v/>
      </c>
      <c r="P284">
        <f>IF(ISBLANK('ENGAGEMENTS 2026'!C284),"",'ENGAGEMENTS 2026'!K284)</f>
        <v/>
      </c>
      <c r="Q284">
        <f>IF($A284="","",IF(OR($E284="INFRUCTUEUX",$E284="ANNULE"),$A284&amp;"|"&amp;(COUNTIFS($A$2:$A284,$A284,$E$2:$E284,"INFRUCTUEUX")+COUNTIFS($A$2:$A284,$A284,$E$2:$E284,"ANNULE")),""))</f>
        <v/>
      </c>
    </row>
    <row r="285">
      <c r="A285">
        <f>IF(ISBLANK('ENGAGEMENTS 2026'!C285),"",IF('ENGAGEMENTS 2026'!C285="DTSI","DCT",'ENGAGEMENTS 2026'!C285))</f>
        <v/>
      </c>
      <c r="B285">
        <f>IF(ISBLANK('ENGAGEMENTS 2026'!C285),"",'ENGAGEMENTS 2026'!D285)</f>
        <v/>
      </c>
      <c r="C285">
        <f>IF(ISBLANK('ENGAGEMENTS 2026'!C285),"",'ENGAGEMENTS 2026'!E285)</f>
        <v/>
      </c>
      <c r="D285">
        <f>IF(ISBLANK('ENGAGEMENTS 2026'!C285),"",'ENGAGEMENTS 2026'!G285)</f>
        <v/>
      </c>
      <c r="E285">
        <f>IF(ISBLANK('ENGAGEMENTS 2026'!C285),"",'ENGAGEMENTS 2026'!I285)</f>
        <v/>
      </c>
      <c r="F285">
        <f>IF(ISBLANK('ENGAGEMENTS 2026'!C285),"",'ENGAGEMENTS 2026'!J285)</f>
        <v/>
      </c>
      <c r="G285">
        <f>IF(ISBLANK('ENGAGEMENTS 2026'!C285),"",'ENGAGEMENTS 2026'!M285)</f>
        <v/>
      </c>
      <c r="H285">
        <f>IF(ISBLANK('ENGAGEMENTS 2026'!C285),"",'ENGAGEMENTS 2026'!AF285)</f>
        <v/>
      </c>
      <c r="I285">
        <f>IF(ISBLANK('ENGAGEMENTS 2026'!C285),"",'ENGAGEMENTS 2026'!H285)</f>
        <v/>
      </c>
      <c r="J285" s="275">
        <f>IF(ISBLANK('ENGAGEMENTS 2026'!C285),"",IF(AND(OR($E285="INFRUCTUEUX",$E285="ANNULE"),$C285="AOO-M"),'ENGAGEMENTS 2026'!P285,IF($H285="EN COURS DE PREENGAGEMENT",'ENGAGEMENTS 2026'!O285,IF($H285="PREENGAGE",IF($E285="ATTRIBUE",'ENGAGEMENTS 2026'!AE285,'ENGAGEMENTS 2026'!O285),'ENGAGEMENTS 2026'!AE285))))</f>
        <v/>
      </c>
      <c r="K285" s="604">
        <f>IF(ISBLANK('ENGAGEMENTS 2026'!W285),"",'ENGAGEMENTS 2026'!W285)</f>
        <v/>
      </c>
      <c r="L285" s="276">
        <f>IF($K285="","",TODAY()-$K285)</f>
        <v/>
      </c>
      <c r="M285">
        <f>IF($A285="","",IF($H285="ENGAGE","Engagé",IF(AND($H285="NON ENGAGE",OR($I285="INFRUCTUEUX",$I285="ANNULE")),"Clôturé sans suite","En cours")))</f>
        <v/>
      </c>
      <c r="N285">
        <f>IF(ISBLANK('ENGAGEMENTS 2026'!C285),"",'ENGAGEMENTS 2026'!L285)</f>
        <v/>
      </c>
      <c r="O285">
        <f>IF(ISBLANK('ENGAGEMENTS 2026'!C285),"",'ENGAGEMENTS 2026'!M285)</f>
        <v/>
      </c>
      <c r="P285">
        <f>IF(ISBLANK('ENGAGEMENTS 2026'!C285),"",'ENGAGEMENTS 2026'!K285)</f>
        <v/>
      </c>
      <c r="Q285">
        <f>IF($A285="","",IF(OR($E285="INFRUCTUEUX",$E285="ANNULE"),$A285&amp;"|"&amp;(COUNTIFS($A$2:$A285,$A285,$E$2:$E285,"INFRUCTUEUX")+COUNTIFS($A$2:$A285,$A285,$E$2:$E285,"ANNULE")),""))</f>
        <v/>
      </c>
    </row>
    <row r="286">
      <c r="A286">
        <f>IF(ISBLANK('ENGAGEMENTS 2026'!C286),"",IF('ENGAGEMENTS 2026'!C286="DTSI","DCT",'ENGAGEMENTS 2026'!C286))</f>
        <v/>
      </c>
      <c r="B286">
        <f>IF(ISBLANK('ENGAGEMENTS 2026'!C286),"",'ENGAGEMENTS 2026'!D286)</f>
        <v/>
      </c>
      <c r="C286">
        <f>IF(ISBLANK('ENGAGEMENTS 2026'!C286),"",'ENGAGEMENTS 2026'!E286)</f>
        <v/>
      </c>
      <c r="D286">
        <f>IF(ISBLANK('ENGAGEMENTS 2026'!C286),"",'ENGAGEMENTS 2026'!G286)</f>
        <v/>
      </c>
      <c r="E286">
        <f>IF(ISBLANK('ENGAGEMENTS 2026'!C286),"",'ENGAGEMENTS 2026'!I286)</f>
        <v/>
      </c>
      <c r="F286">
        <f>IF(ISBLANK('ENGAGEMENTS 2026'!C286),"",'ENGAGEMENTS 2026'!J286)</f>
        <v/>
      </c>
      <c r="G286">
        <f>IF(ISBLANK('ENGAGEMENTS 2026'!C286),"",'ENGAGEMENTS 2026'!M286)</f>
        <v/>
      </c>
      <c r="H286">
        <f>IF(ISBLANK('ENGAGEMENTS 2026'!C286),"",'ENGAGEMENTS 2026'!AF286)</f>
        <v/>
      </c>
      <c r="I286">
        <f>IF(ISBLANK('ENGAGEMENTS 2026'!C286),"",'ENGAGEMENTS 2026'!H286)</f>
        <v/>
      </c>
      <c r="J286" s="275">
        <f>IF(ISBLANK('ENGAGEMENTS 2026'!C286),"",IF(AND(OR($E286="INFRUCTUEUX",$E286="ANNULE"),$C286="AOO-M"),'ENGAGEMENTS 2026'!P286,IF($H286="EN COURS DE PREENGAGEMENT",'ENGAGEMENTS 2026'!O286,IF($H286="PREENGAGE",IF($E286="ATTRIBUE",'ENGAGEMENTS 2026'!AE286,'ENGAGEMENTS 2026'!O286),'ENGAGEMENTS 2026'!AE286))))</f>
        <v/>
      </c>
      <c r="K286" s="604">
        <f>IF(ISBLANK('ENGAGEMENTS 2026'!W286),"",'ENGAGEMENTS 2026'!W286)</f>
        <v/>
      </c>
      <c r="L286" s="276">
        <f>IF($K286="","",TODAY()-$K286)</f>
        <v/>
      </c>
      <c r="M286">
        <f>IF($A286="","",IF($H286="ENGAGE","Engagé",IF(AND($H286="NON ENGAGE",OR($I286="INFRUCTUEUX",$I286="ANNULE")),"Clôturé sans suite","En cours")))</f>
        <v/>
      </c>
      <c r="N286">
        <f>IF(ISBLANK('ENGAGEMENTS 2026'!C286),"",'ENGAGEMENTS 2026'!L286)</f>
        <v/>
      </c>
      <c r="O286">
        <f>IF(ISBLANK('ENGAGEMENTS 2026'!C286),"",'ENGAGEMENTS 2026'!M286)</f>
        <v/>
      </c>
      <c r="P286">
        <f>IF(ISBLANK('ENGAGEMENTS 2026'!C286),"",'ENGAGEMENTS 2026'!K286)</f>
        <v/>
      </c>
      <c r="Q286">
        <f>IF($A286="","",IF(OR($E286="INFRUCTUEUX",$E286="ANNULE"),$A286&amp;"|"&amp;(COUNTIFS($A$2:$A286,$A286,$E$2:$E286,"INFRUCTUEUX")+COUNTIFS($A$2:$A286,$A286,$E$2:$E286,"ANNULE")),""))</f>
        <v/>
      </c>
    </row>
    <row r="287">
      <c r="A287">
        <f>IF(ISBLANK('ENGAGEMENTS 2026'!C287),"",IF('ENGAGEMENTS 2026'!C287="DTSI","DCT",'ENGAGEMENTS 2026'!C287))</f>
        <v/>
      </c>
      <c r="B287">
        <f>IF(ISBLANK('ENGAGEMENTS 2026'!C287),"",'ENGAGEMENTS 2026'!D287)</f>
        <v/>
      </c>
      <c r="C287">
        <f>IF(ISBLANK('ENGAGEMENTS 2026'!C287),"",'ENGAGEMENTS 2026'!E287)</f>
        <v/>
      </c>
      <c r="D287">
        <f>IF(ISBLANK('ENGAGEMENTS 2026'!C287),"",'ENGAGEMENTS 2026'!G287)</f>
        <v/>
      </c>
      <c r="E287">
        <f>IF(ISBLANK('ENGAGEMENTS 2026'!C287),"",'ENGAGEMENTS 2026'!I287)</f>
        <v/>
      </c>
      <c r="F287">
        <f>IF(ISBLANK('ENGAGEMENTS 2026'!C287),"",'ENGAGEMENTS 2026'!J287)</f>
        <v/>
      </c>
      <c r="G287">
        <f>IF(ISBLANK('ENGAGEMENTS 2026'!C287),"",'ENGAGEMENTS 2026'!M287)</f>
        <v/>
      </c>
      <c r="H287">
        <f>IF(ISBLANK('ENGAGEMENTS 2026'!C287),"",'ENGAGEMENTS 2026'!AF287)</f>
        <v/>
      </c>
      <c r="I287">
        <f>IF(ISBLANK('ENGAGEMENTS 2026'!C287),"",'ENGAGEMENTS 2026'!H287)</f>
        <v/>
      </c>
      <c r="J287" s="275">
        <f>IF(ISBLANK('ENGAGEMENTS 2026'!C287),"",IF(AND(OR($E287="INFRUCTUEUX",$E287="ANNULE"),$C287="AOO-M"),'ENGAGEMENTS 2026'!P287,IF($H287="EN COURS DE PREENGAGEMENT",'ENGAGEMENTS 2026'!O287,IF($H287="PREENGAGE",IF($E287="ATTRIBUE",'ENGAGEMENTS 2026'!AE287,'ENGAGEMENTS 2026'!O287),'ENGAGEMENTS 2026'!AE287))))</f>
        <v/>
      </c>
      <c r="K287" s="604">
        <f>IF(ISBLANK('ENGAGEMENTS 2026'!W287),"",'ENGAGEMENTS 2026'!W287)</f>
        <v/>
      </c>
      <c r="L287" s="276">
        <f>IF($K287="","",TODAY()-$K287)</f>
        <v/>
      </c>
      <c r="M287">
        <f>IF($A287="","",IF($H287="ENGAGE","Engagé",IF(AND($H287="NON ENGAGE",OR($I287="INFRUCTUEUX",$I287="ANNULE")),"Clôturé sans suite","En cours")))</f>
        <v/>
      </c>
      <c r="N287">
        <f>IF(ISBLANK('ENGAGEMENTS 2026'!C287),"",'ENGAGEMENTS 2026'!L287)</f>
        <v/>
      </c>
      <c r="O287">
        <f>IF(ISBLANK('ENGAGEMENTS 2026'!C287),"",'ENGAGEMENTS 2026'!M287)</f>
        <v/>
      </c>
      <c r="P287">
        <f>IF(ISBLANK('ENGAGEMENTS 2026'!C287),"",'ENGAGEMENTS 2026'!K287)</f>
        <v/>
      </c>
      <c r="Q287">
        <f>IF($A287="","",IF(OR($E287="INFRUCTUEUX",$E287="ANNULE"),$A287&amp;"|"&amp;(COUNTIFS($A$2:$A287,$A287,$E$2:$E287,"INFRUCTUEUX")+COUNTIFS($A$2:$A287,$A287,$E$2:$E287,"ANNULE")),""))</f>
        <v/>
      </c>
    </row>
    <row r="288">
      <c r="A288">
        <f>IF(ISBLANK('ENGAGEMENTS 2026'!C288),"",IF('ENGAGEMENTS 2026'!C288="DTSI","DCT",'ENGAGEMENTS 2026'!C288))</f>
        <v/>
      </c>
      <c r="B288">
        <f>IF(ISBLANK('ENGAGEMENTS 2026'!C288),"",'ENGAGEMENTS 2026'!D288)</f>
        <v/>
      </c>
      <c r="C288">
        <f>IF(ISBLANK('ENGAGEMENTS 2026'!C288),"",'ENGAGEMENTS 2026'!E288)</f>
        <v/>
      </c>
      <c r="D288">
        <f>IF(ISBLANK('ENGAGEMENTS 2026'!C288),"",'ENGAGEMENTS 2026'!G288)</f>
        <v/>
      </c>
      <c r="E288">
        <f>IF(ISBLANK('ENGAGEMENTS 2026'!C288),"",'ENGAGEMENTS 2026'!I288)</f>
        <v/>
      </c>
      <c r="F288">
        <f>IF(ISBLANK('ENGAGEMENTS 2026'!C288),"",'ENGAGEMENTS 2026'!J288)</f>
        <v/>
      </c>
      <c r="G288">
        <f>IF(ISBLANK('ENGAGEMENTS 2026'!C288),"",'ENGAGEMENTS 2026'!M288)</f>
        <v/>
      </c>
      <c r="H288">
        <f>IF(ISBLANK('ENGAGEMENTS 2026'!C288),"",'ENGAGEMENTS 2026'!AF288)</f>
        <v/>
      </c>
      <c r="I288">
        <f>IF(ISBLANK('ENGAGEMENTS 2026'!C288),"",'ENGAGEMENTS 2026'!H288)</f>
        <v/>
      </c>
      <c r="J288" s="275">
        <f>IF(ISBLANK('ENGAGEMENTS 2026'!C288),"",IF(AND(OR($E288="INFRUCTUEUX",$E288="ANNULE"),$C288="AOO-M"),'ENGAGEMENTS 2026'!P288,IF($H288="EN COURS DE PREENGAGEMENT",'ENGAGEMENTS 2026'!O288,IF($H288="PREENGAGE",IF($E288="ATTRIBUE",'ENGAGEMENTS 2026'!AE288,'ENGAGEMENTS 2026'!O288),'ENGAGEMENTS 2026'!AE288))))</f>
        <v/>
      </c>
      <c r="K288" s="604">
        <f>IF(ISBLANK('ENGAGEMENTS 2026'!W288),"",'ENGAGEMENTS 2026'!W288)</f>
        <v/>
      </c>
      <c r="L288" s="276">
        <f>IF($K288="","",TODAY()-$K288)</f>
        <v/>
      </c>
      <c r="M288">
        <f>IF($A288="","",IF($H288="ENGAGE","Engagé",IF(AND($H288="NON ENGAGE",OR($I288="INFRUCTUEUX",$I288="ANNULE")),"Clôturé sans suite","En cours")))</f>
        <v/>
      </c>
      <c r="N288">
        <f>IF(ISBLANK('ENGAGEMENTS 2026'!C288),"",'ENGAGEMENTS 2026'!L288)</f>
        <v/>
      </c>
      <c r="O288">
        <f>IF(ISBLANK('ENGAGEMENTS 2026'!C288),"",'ENGAGEMENTS 2026'!M288)</f>
        <v/>
      </c>
      <c r="P288">
        <f>IF(ISBLANK('ENGAGEMENTS 2026'!C288),"",'ENGAGEMENTS 2026'!K288)</f>
        <v/>
      </c>
      <c r="Q288">
        <f>IF($A288="","",IF(OR($E288="INFRUCTUEUX",$E288="ANNULE"),$A288&amp;"|"&amp;(COUNTIFS($A$2:$A288,$A288,$E$2:$E288,"INFRUCTUEUX")+COUNTIFS($A$2:$A288,$A288,$E$2:$E288,"ANNULE")),""))</f>
        <v/>
      </c>
    </row>
    <row r="289">
      <c r="A289">
        <f>IF(ISBLANK('ENGAGEMENTS 2026'!C289),"",IF('ENGAGEMENTS 2026'!C289="DTSI","DCT",'ENGAGEMENTS 2026'!C289))</f>
        <v/>
      </c>
      <c r="B289">
        <f>IF(ISBLANK('ENGAGEMENTS 2026'!C289),"",'ENGAGEMENTS 2026'!D289)</f>
        <v/>
      </c>
      <c r="C289">
        <f>IF(ISBLANK('ENGAGEMENTS 2026'!C289),"",'ENGAGEMENTS 2026'!E289)</f>
        <v/>
      </c>
      <c r="D289">
        <f>IF(ISBLANK('ENGAGEMENTS 2026'!C289),"",'ENGAGEMENTS 2026'!G289)</f>
        <v/>
      </c>
      <c r="E289">
        <f>IF(ISBLANK('ENGAGEMENTS 2026'!C289),"",'ENGAGEMENTS 2026'!I289)</f>
        <v/>
      </c>
      <c r="F289">
        <f>IF(ISBLANK('ENGAGEMENTS 2026'!C289),"",'ENGAGEMENTS 2026'!J289)</f>
        <v/>
      </c>
      <c r="G289">
        <f>IF(ISBLANK('ENGAGEMENTS 2026'!C289),"",'ENGAGEMENTS 2026'!M289)</f>
        <v/>
      </c>
      <c r="H289">
        <f>IF(ISBLANK('ENGAGEMENTS 2026'!C289),"",'ENGAGEMENTS 2026'!AF289)</f>
        <v/>
      </c>
      <c r="I289">
        <f>IF(ISBLANK('ENGAGEMENTS 2026'!C289),"",'ENGAGEMENTS 2026'!H289)</f>
        <v/>
      </c>
      <c r="J289" s="275">
        <f>IF(ISBLANK('ENGAGEMENTS 2026'!C289),"",IF(AND(OR($E289="INFRUCTUEUX",$E289="ANNULE"),$C289="AOO-M"),'ENGAGEMENTS 2026'!P289,IF($H289="EN COURS DE PREENGAGEMENT",'ENGAGEMENTS 2026'!O289,IF($H289="PREENGAGE",IF($E289="ATTRIBUE",'ENGAGEMENTS 2026'!AE289,'ENGAGEMENTS 2026'!O289),'ENGAGEMENTS 2026'!AE289))))</f>
        <v/>
      </c>
      <c r="K289" s="604">
        <f>IF(ISBLANK('ENGAGEMENTS 2026'!W289),"",'ENGAGEMENTS 2026'!W289)</f>
        <v/>
      </c>
      <c r="L289" s="276">
        <f>IF($K289="","",TODAY()-$K289)</f>
        <v/>
      </c>
      <c r="M289">
        <f>IF($A289="","",IF($H289="ENGAGE","Engagé",IF(AND($H289="NON ENGAGE",OR($I289="INFRUCTUEUX",$I289="ANNULE")),"Clôturé sans suite","En cours")))</f>
        <v/>
      </c>
      <c r="N289">
        <f>IF(ISBLANK('ENGAGEMENTS 2026'!C289),"",'ENGAGEMENTS 2026'!L289)</f>
        <v/>
      </c>
      <c r="O289">
        <f>IF(ISBLANK('ENGAGEMENTS 2026'!C289),"",'ENGAGEMENTS 2026'!M289)</f>
        <v/>
      </c>
      <c r="P289">
        <f>IF(ISBLANK('ENGAGEMENTS 2026'!C289),"",'ENGAGEMENTS 2026'!K289)</f>
        <v/>
      </c>
      <c r="Q289">
        <f>IF($A289="","",IF(OR($E289="INFRUCTUEUX",$E289="ANNULE"),$A289&amp;"|"&amp;(COUNTIFS($A$2:$A289,$A289,$E$2:$E289,"INFRUCTUEUX")+COUNTIFS($A$2:$A289,$A289,$E$2:$E289,"ANNULE")),""))</f>
        <v/>
      </c>
    </row>
    <row r="290">
      <c r="A290">
        <f>IF(ISBLANK('ENGAGEMENTS 2026'!C290),"",IF('ENGAGEMENTS 2026'!C290="DTSI","DCT",'ENGAGEMENTS 2026'!C290))</f>
        <v/>
      </c>
      <c r="B290">
        <f>IF(ISBLANK('ENGAGEMENTS 2026'!C290),"",'ENGAGEMENTS 2026'!D290)</f>
        <v/>
      </c>
      <c r="C290">
        <f>IF(ISBLANK('ENGAGEMENTS 2026'!C290),"",'ENGAGEMENTS 2026'!E290)</f>
        <v/>
      </c>
      <c r="D290">
        <f>IF(ISBLANK('ENGAGEMENTS 2026'!C290),"",'ENGAGEMENTS 2026'!G290)</f>
        <v/>
      </c>
      <c r="E290">
        <f>IF(ISBLANK('ENGAGEMENTS 2026'!C290),"",'ENGAGEMENTS 2026'!I290)</f>
        <v/>
      </c>
      <c r="F290">
        <f>IF(ISBLANK('ENGAGEMENTS 2026'!C290),"",'ENGAGEMENTS 2026'!J290)</f>
        <v/>
      </c>
      <c r="G290">
        <f>IF(ISBLANK('ENGAGEMENTS 2026'!C290),"",'ENGAGEMENTS 2026'!M290)</f>
        <v/>
      </c>
      <c r="H290">
        <f>IF(ISBLANK('ENGAGEMENTS 2026'!C290),"",'ENGAGEMENTS 2026'!AF290)</f>
        <v/>
      </c>
      <c r="I290">
        <f>IF(ISBLANK('ENGAGEMENTS 2026'!C290),"",'ENGAGEMENTS 2026'!H290)</f>
        <v/>
      </c>
      <c r="J290" s="275">
        <f>IF(ISBLANK('ENGAGEMENTS 2026'!C290),"",IF(AND(OR($E290="INFRUCTUEUX",$E290="ANNULE"),$C290="AOO-M"),'ENGAGEMENTS 2026'!P290,IF($H290="EN COURS DE PREENGAGEMENT",'ENGAGEMENTS 2026'!O290,IF($H290="PREENGAGE",IF($E290="ATTRIBUE",'ENGAGEMENTS 2026'!AE290,'ENGAGEMENTS 2026'!O290),'ENGAGEMENTS 2026'!AE290))))</f>
        <v/>
      </c>
      <c r="K290" s="604">
        <f>IF(ISBLANK('ENGAGEMENTS 2026'!W290),"",'ENGAGEMENTS 2026'!W290)</f>
        <v/>
      </c>
      <c r="L290" s="276">
        <f>IF($K290="","",TODAY()-$K290)</f>
        <v/>
      </c>
      <c r="M290">
        <f>IF($A290="","",IF($H290="ENGAGE","Engagé",IF(AND($H290="NON ENGAGE",OR($I290="INFRUCTUEUX",$I290="ANNULE")),"Clôturé sans suite","En cours")))</f>
        <v/>
      </c>
      <c r="N290">
        <f>IF(ISBLANK('ENGAGEMENTS 2026'!C290),"",'ENGAGEMENTS 2026'!L290)</f>
        <v/>
      </c>
      <c r="O290">
        <f>IF(ISBLANK('ENGAGEMENTS 2026'!C290),"",'ENGAGEMENTS 2026'!M290)</f>
        <v/>
      </c>
      <c r="P290">
        <f>IF(ISBLANK('ENGAGEMENTS 2026'!C290),"",'ENGAGEMENTS 2026'!K290)</f>
        <v/>
      </c>
      <c r="Q290">
        <f>IF($A290="","",IF(OR($E290="INFRUCTUEUX",$E290="ANNULE"),$A290&amp;"|"&amp;(COUNTIFS($A$2:$A290,$A290,$E$2:$E290,"INFRUCTUEUX")+COUNTIFS($A$2:$A290,$A290,$E$2:$E290,"ANNULE")),""))</f>
        <v/>
      </c>
    </row>
    <row r="291">
      <c r="A291">
        <f>IF(ISBLANK('ENGAGEMENTS 2026'!C291),"",IF('ENGAGEMENTS 2026'!C291="DTSI","DCT",'ENGAGEMENTS 2026'!C291))</f>
        <v/>
      </c>
      <c r="B291">
        <f>IF(ISBLANK('ENGAGEMENTS 2026'!C291),"",'ENGAGEMENTS 2026'!D291)</f>
        <v/>
      </c>
      <c r="C291">
        <f>IF(ISBLANK('ENGAGEMENTS 2026'!C291),"",'ENGAGEMENTS 2026'!E291)</f>
        <v/>
      </c>
      <c r="D291">
        <f>IF(ISBLANK('ENGAGEMENTS 2026'!C291),"",'ENGAGEMENTS 2026'!G291)</f>
        <v/>
      </c>
      <c r="E291">
        <f>IF(ISBLANK('ENGAGEMENTS 2026'!C291),"",'ENGAGEMENTS 2026'!I291)</f>
        <v/>
      </c>
      <c r="F291">
        <f>IF(ISBLANK('ENGAGEMENTS 2026'!C291),"",'ENGAGEMENTS 2026'!J291)</f>
        <v/>
      </c>
      <c r="G291">
        <f>IF(ISBLANK('ENGAGEMENTS 2026'!C291),"",'ENGAGEMENTS 2026'!M291)</f>
        <v/>
      </c>
      <c r="H291">
        <f>IF(ISBLANK('ENGAGEMENTS 2026'!C291),"",'ENGAGEMENTS 2026'!AF291)</f>
        <v/>
      </c>
      <c r="I291">
        <f>IF(ISBLANK('ENGAGEMENTS 2026'!C291),"",'ENGAGEMENTS 2026'!H291)</f>
        <v/>
      </c>
      <c r="J291" s="275">
        <f>IF(ISBLANK('ENGAGEMENTS 2026'!C291),"",IF(AND(OR($E291="INFRUCTUEUX",$E291="ANNULE"),$C291="AOO-M"),'ENGAGEMENTS 2026'!P291,IF($H291="EN COURS DE PREENGAGEMENT",'ENGAGEMENTS 2026'!O291,IF($H291="PREENGAGE",IF($E291="ATTRIBUE",'ENGAGEMENTS 2026'!AE291,'ENGAGEMENTS 2026'!O291),'ENGAGEMENTS 2026'!AE291))))</f>
        <v/>
      </c>
      <c r="K291" s="604">
        <f>IF(ISBLANK('ENGAGEMENTS 2026'!W291),"",'ENGAGEMENTS 2026'!W291)</f>
        <v/>
      </c>
      <c r="L291" s="276">
        <f>IF($K291="","",TODAY()-$K291)</f>
        <v/>
      </c>
      <c r="M291">
        <f>IF($A291="","",IF($H291="ENGAGE","Engagé",IF(AND($H291="NON ENGAGE",OR($I291="INFRUCTUEUX",$I291="ANNULE")),"Clôturé sans suite","En cours")))</f>
        <v/>
      </c>
      <c r="N291">
        <f>IF(ISBLANK('ENGAGEMENTS 2026'!C291),"",'ENGAGEMENTS 2026'!L291)</f>
        <v/>
      </c>
      <c r="O291">
        <f>IF(ISBLANK('ENGAGEMENTS 2026'!C291),"",'ENGAGEMENTS 2026'!M291)</f>
        <v/>
      </c>
      <c r="P291">
        <f>IF(ISBLANK('ENGAGEMENTS 2026'!C291),"",'ENGAGEMENTS 2026'!K291)</f>
        <v/>
      </c>
      <c r="Q291">
        <f>IF($A291="","",IF(OR($E291="INFRUCTUEUX",$E291="ANNULE"),$A291&amp;"|"&amp;(COUNTIFS($A$2:$A291,$A291,$E$2:$E291,"INFRUCTUEUX")+COUNTIFS($A$2:$A291,$A291,$E$2:$E291,"ANNULE")),""))</f>
        <v/>
      </c>
    </row>
    <row r="292">
      <c r="A292">
        <f>IF(ISBLANK('ENGAGEMENTS 2026'!C292),"",IF('ENGAGEMENTS 2026'!C292="DTSI","DCT",'ENGAGEMENTS 2026'!C292))</f>
        <v/>
      </c>
      <c r="B292">
        <f>IF(ISBLANK('ENGAGEMENTS 2026'!C292),"",'ENGAGEMENTS 2026'!D292)</f>
        <v/>
      </c>
      <c r="C292">
        <f>IF(ISBLANK('ENGAGEMENTS 2026'!C292),"",'ENGAGEMENTS 2026'!E292)</f>
        <v/>
      </c>
      <c r="D292">
        <f>IF(ISBLANK('ENGAGEMENTS 2026'!C292),"",'ENGAGEMENTS 2026'!G292)</f>
        <v/>
      </c>
      <c r="E292">
        <f>IF(ISBLANK('ENGAGEMENTS 2026'!C292),"",'ENGAGEMENTS 2026'!I292)</f>
        <v/>
      </c>
      <c r="F292">
        <f>IF(ISBLANK('ENGAGEMENTS 2026'!C292),"",'ENGAGEMENTS 2026'!J292)</f>
        <v/>
      </c>
      <c r="G292">
        <f>IF(ISBLANK('ENGAGEMENTS 2026'!C292),"",'ENGAGEMENTS 2026'!M292)</f>
        <v/>
      </c>
      <c r="H292">
        <f>IF(ISBLANK('ENGAGEMENTS 2026'!C292),"",'ENGAGEMENTS 2026'!AF292)</f>
        <v/>
      </c>
      <c r="I292">
        <f>IF(ISBLANK('ENGAGEMENTS 2026'!C292),"",'ENGAGEMENTS 2026'!H292)</f>
        <v/>
      </c>
      <c r="J292" s="275">
        <f>IF(ISBLANK('ENGAGEMENTS 2026'!C292),"",IF(AND(OR($E292="INFRUCTUEUX",$E292="ANNULE"),$C292="AOO-M"),'ENGAGEMENTS 2026'!P292,IF($H292="EN COURS DE PREENGAGEMENT",'ENGAGEMENTS 2026'!O292,IF($H292="PREENGAGE",IF($E292="ATTRIBUE",'ENGAGEMENTS 2026'!AE292,'ENGAGEMENTS 2026'!O292),'ENGAGEMENTS 2026'!AE292))))</f>
        <v/>
      </c>
      <c r="K292" s="604">
        <f>IF(ISBLANK('ENGAGEMENTS 2026'!W292),"",'ENGAGEMENTS 2026'!W292)</f>
        <v/>
      </c>
      <c r="L292" s="276">
        <f>IF($K292="","",TODAY()-$K292)</f>
        <v/>
      </c>
      <c r="M292">
        <f>IF($A292="","",IF($H292="ENGAGE","Engagé",IF(AND($H292="NON ENGAGE",OR($I292="INFRUCTUEUX",$I292="ANNULE")),"Clôturé sans suite","En cours")))</f>
        <v/>
      </c>
      <c r="N292">
        <f>IF(ISBLANK('ENGAGEMENTS 2026'!C292),"",'ENGAGEMENTS 2026'!L292)</f>
        <v/>
      </c>
      <c r="O292">
        <f>IF(ISBLANK('ENGAGEMENTS 2026'!C292),"",'ENGAGEMENTS 2026'!M292)</f>
        <v/>
      </c>
      <c r="P292">
        <f>IF(ISBLANK('ENGAGEMENTS 2026'!C292),"",'ENGAGEMENTS 2026'!K292)</f>
        <v/>
      </c>
      <c r="Q292">
        <f>IF($A292="","",IF(OR($E292="INFRUCTUEUX",$E292="ANNULE"),$A292&amp;"|"&amp;(COUNTIFS($A$2:$A292,$A292,$E$2:$E292,"INFRUCTUEUX")+COUNTIFS($A$2:$A292,$A292,$E$2:$E292,"ANNULE")),""))</f>
        <v/>
      </c>
    </row>
    <row r="293">
      <c r="A293">
        <f>IF(ISBLANK('ENGAGEMENTS 2026'!C293),"",IF('ENGAGEMENTS 2026'!C293="DTSI","DCT",'ENGAGEMENTS 2026'!C293))</f>
        <v/>
      </c>
      <c r="B293">
        <f>IF(ISBLANK('ENGAGEMENTS 2026'!C293),"",'ENGAGEMENTS 2026'!D293)</f>
        <v/>
      </c>
      <c r="C293">
        <f>IF(ISBLANK('ENGAGEMENTS 2026'!C293),"",'ENGAGEMENTS 2026'!E293)</f>
        <v/>
      </c>
      <c r="D293">
        <f>IF(ISBLANK('ENGAGEMENTS 2026'!C293),"",'ENGAGEMENTS 2026'!G293)</f>
        <v/>
      </c>
      <c r="E293">
        <f>IF(ISBLANK('ENGAGEMENTS 2026'!C293),"",'ENGAGEMENTS 2026'!I293)</f>
        <v/>
      </c>
      <c r="F293">
        <f>IF(ISBLANK('ENGAGEMENTS 2026'!C293),"",'ENGAGEMENTS 2026'!J293)</f>
        <v/>
      </c>
      <c r="G293">
        <f>IF(ISBLANK('ENGAGEMENTS 2026'!C293),"",'ENGAGEMENTS 2026'!M293)</f>
        <v/>
      </c>
      <c r="H293">
        <f>IF(ISBLANK('ENGAGEMENTS 2026'!C293),"",'ENGAGEMENTS 2026'!AF293)</f>
        <v/>
      </c>
      <c r="I293">
        <f>IF(ISBLANK('ENGAGEMENTS 2026'!C293),"",'ENGAGEMENTS 2026'!H293)</f>
        <v/>
      </c>
      <c r="J293" s="275">
        <f>IF(ISBLANK('ENGAGEMENTS 2026'!C293),"",IF(AND(OR($E293="INFRUCTUEUX",$E293="ANNULE"),$C293="AOO-M"),'ENGAGEMENTS 2026'!P293,IF($H293="EN COURS DE PREENGAGEMENT",'ENGAGEMENTS 2026'!O293,IF($H293="PREENGAGE",IF($E293="ATTRIBUE",'ENGAGEMENTS 2026'!AE293,'ENGAGEMENTS 2026'!O293),'ENGAGEMENTS 2026'!AE293))))</f>
        <v/>
      </c>
      <c r="K293" s="604">
        <f>IF(ISBLANK('ENGAGEMENTS 2026'!W293),"",'ENGAGEMENTS 2026'!W293)</f>
        <v/>
      </c>
      <c r="L293" s="276">
        <f>IF($K293="","",TODAY()-$K293)</f>
        <v/>
      </c>
      <c r="M293">
        <f>IF($A293="","",IF($H293="ENGAGE","Engagé",IF(AND($H293="NON ENGAGE",OR($I293="INFRUCTUEUX",$I293="ANNULE")),"Clôturé sans suite","En cours")))</f>
        <v/>
      </c>
      <c r="N293">
        <f>IF(ISBLANK('ENGAGEMENTS 2026'!C293),"",'ENGAGEMENTS 2026'!L293)</f>
        <v/>
      </c>
      <c r="O293">
        <f>IF(ISBLANK('ENGAGEMENTS 2026'!C293),"",'ENGAGEMENTS 2026'!M293)</f>
        <v/>
      </c>
      <c r="P293">
        <f>IF(ISBLANK('ENGAGEMENTS 2026'!C293),"",'ENGAGEMENTS 2026'!K293)</f>
        <v/>
      </c>
      <c r="Q293">
        <f>IF($A293="","",IF(OR($E293="INFRUCTUEUX",$E293="ANNULE"),$A293&amp;"|"&amp;(COUNTIFS($A$2:$A293,$A293,$E$2:$E293,"INFRUCTUEUX")+COUNTIFS($A$2:$A293,$A293,$E$2:$E293,"ANNULE")),""))</f>
        <v/>
      </c>
    </row>
    <row r="294">
      <c r="A294">
        <f>IF(ISBLANK('ENGAGEMENTS 2026'!C294),"",IF('ENGAGEMENTS 2026'!C294="DTSI","DCT",'ENGAGEMENTS 2026'!C294))</f>
        <v/>
      </c>
      <c r="B294">
        <f>IF(ISBLANK('ENGAGEMENTS 2026'!C294),"",'ENGAGEMENTS 2026'!D294)</f>
        <v/>
      </c>
      <c r="C294">
        <f>IF(ISBLANK('ENGAGEMENTS 2026'!C294),"",'ENGAGEMENTS 2026'!E294)</f>
        <v/>
      </c>
      <c r="D294">
        <f>IF(ISBLANK('ENGAGEMENTS 2026'!C294),"",'ENGAGEMENTS 2026'!G294)</f>
        <v/>
      </c>
      <c r="E294">
        <f>IF(ISBLANK('ENGAGEMENTS 2026'!C294),"",'ENGAGEMENTS 2026'!I294)</f>
        <v/>
      </c>
      <c r="F294">
        <f>IF(ISBLANK('ENGAGEMENTS 2026'!C294),"",'ENGAGEMENTS 2026'!J294)</f>
        <v/>
      </c>
      <c r="G294">
        <f>IF(ISBLANK('ENGAGEMENTS 2026'!C294),"",'ENGAGEMENTS 2026'!M294)</f>
        <v/>
      </c>
      <c r="H294">
        <f>IF(ISBLANK('ENGAGEMENTS 2026'!C294),"",'ENGAGEMENTS 2026'!AF294)</f>
        <v/>
      </c>
      <c r="I294">
        <f>IF(ISBLANK('ENGAGEMENTS 2026'!C294),"",'ENGAGEMENTS 2026'!H294)</f>
        <v/>
      </c>
      <c r="J294" s="275">
        <f>IF(ISBLANK('ENGAGEMENTS 2026'!C294),"",IF(AND(OR($E294="INFRUCTUEUX",$E294="ANNULE"),$C294="AOO-M"),'ENGAGEMENTS 2026'!P294,IF($H294="EN COURS DE PREENGAGEMENT",'ENGAGEMENTS 2026'!O294,IF($H294="PREENGAGE",IF($E294="ATTRIBUE",'ENGAGEMENTS 2026'!AE294,'ENGAGEMENTS 2026'!O294),'ENGAGEMENTS 2026'!AE294))))</f>
        <v/>
      </c>
      <c r="K294" s="604">
        <f>IF(ISBLANK('ENGAGEMENTS 2026'!W294),"",'ENGAGEMENTS 2026'!W294)</f>
        <v/>
      </c>
      <c r="L294" s="276">
        <f>IF($K294="","",TODAY()-$K294)</f>
        <v/>
      </c>
      <c r="M294">
        <f>IF($A294="","",IF($H294="ENGAGE","Engagé",IF(AND($H294="NON ENGAGE",OR($I294="INFRUCTUEUX",$I294="ANNULE")),"Clôturé sans suite","En cours")))</f>
        <v/>
      </c>
      <c r="N294">
        <f>IF(ISBLANK('ENGAGEMENTS 2026'!C294),"",'ENGAGEMENTS 2026'!L294)</f>
        <v/>
      </c>
      <c r="O294">
        <f>IF(ISBLANK('ENGAGEMENTS 2026'!C294),"",'ENGAGEMENTS 2026'!M294)</f>
        <v/>
      </c>
      <c r="P294">
        <f>IF(ISBLANK('ENGAGEMENTS 2026'!C294),"",'ENGAGEMENTS 2026'!K294)</f>
        <v/>
      </c>
      <c r="Q294">
        <f>IF($A294="","",IF(OR($E294="INFRUCTUEUX",$E294="ANNULE"),$A294&amp;"|"&amp;(COUNTIFS($A$2:$A294,$A294,$E$2:$E294,"INFRUCTUEUX")+COUNTIFS($A$2:$A294,$A294,$E$2:$E294,"ANNULE")),""))</f>
        <v/>
      </c>
    </row>
    <row r="295">
      <c r="A295">
        <f>IF(ISBLANK('ENGAGEMENTS 2026'!C295),"",IF('ENGAGEMENTS 2026'!C295="DTSI","DCT",'ENGAGEMENTS 2026'!C295))</f>
        <v/>
      </c>
      <c r="B295">
        <f>IF(ISBLANK('ENGAGEMENTS 2026'!C295),"",'ENGAGEMENTS 2026'!D295)</f>
        <v/>
      </c>
      <c r="C295">
        <f>IF(ISBLANK('ENGAGEMENTS 2026'!C295),"",'ENGAGEMENTS 2026'!E295)</f>
        <v/>
      </c>
      <c r="D295">
        <f>IF(ISBLANK('ENGAGEMENTS 2026'!C295),"",'ENGAGEMENTS 2026'!G295)</f>
        <v/>
      </c>
      <c r="E295">
        <f>IF(ISBLANK('ENGAGEMENTS 2026'!C295),"",'ENGAGEMENTS 2026'!I295)</f>
        <v/>
      </c>
      <c r="F295">
        <f>IF(ISBLANK('ENGAGEMENTS 2026'!C295),"",'ENGAGEMENTS 2026'!J295)</f>
        <v/>
      </c>
      <c r="G295">
        <f>IF(ISBLANK('ENGAGEMENTS 2026'!C295),"",'ENGAGEMENTS 2026'!M295)</f>
        <v/>
      </c>
      <c r="H295">
        <f>IF(ISBLANK('ENGAGEMENTS 2026'!C295),"",'ENGAGEMENTS 2026'!AF295)</f>
        <v/>
      </c>
      <c r="I295">
        <f>IF(ISBLANK('ENGAGEMENTS 2026'!C295),"",'ENGAGEMENTS 2026'!H295)</f>
        <v/>
      </c>
      <c r="J295" s="275">
        <f>IF(ISBLANK('ENGAGEMENTS 2026'!C295),"",IF(AND(OR($E295="INFRUCTUEUX",$E295="ANNULE"),$C295="AOO-M"),'ENGAGEMENTS 2026'!P295,IF($H295="EN COURS DE PREENGAGEMENT",'ENGAGEMENTS 2026'!O295,IF($H295="PREENGAGE",IF($E295="ATTRIBUE",'ENGAGEMENTS 2026'!AE295,'ENGAGEMENTS 2026'!O295),'ENGAGEMENTS 2026'!AE295))))</f>
        <v/>
      </c>
      <c r="K295" s="604">
        <f>IF(ISBLANK('ENGAGEMENTS 2026'!W295),"",'ENGAGEMENTS 2026'!W295)</f>
        <v/>
      </c>
      <c r="L295" s="276">
        <f>IF($K295="","",TODAY()-$K295)</f>
        <v/>
      </c>
      <c r="M295">
        <f>IF($A295="","",IF($H295="ENGAGE","Engagé",IF(AND($H295="NON ENGAGE",OR($I295="INFRUCTUEUX",$I295="ANNULE")),"Clôturé sans suite","En cours")))</f>
        <v/>
      </c>
      <c r="N295">
        <f>IF(ISBLANK('ENGAGEMENTS 2026'!C295),"",'ENGAGEMENTS 2026'!L295)</f>
        <v/>
      </c>
      <c r="O295">
        <f>IF(ISBLANK('ENGAGEMENTS 2026'!C295),"",'ENGAGEMENTS 2026'!M295)</f>
        <v/>
      </c>
      <c r="P295">
        <f>IF(ISBLANK('ENGAGEMENTS 2026'!C295),"",'ENGAGEMENTS 2026'!K295)</f>
        <v/>
      </c>
      <c r="Q295">
        <f>IF($A295="","",IF(OR($E295="INFRUCTUEUX",$E295="ANNULE"),$A295&amp;"|"&amp;(COUNTIFS($A$2:$A295,$A295,$E$2:$E295,"INFRUCTUEUX")+COUNTIFS($A$2:$A295,$A295,$E$2:$E295,"ANNULE")),""))</f>
        <v/>
      </c>
    </row>
    <row r="296">
      <c r="A296">
        <f>IF(ISBLANK('ENGAGEMENTS 2026'!C296),"",IF('ENGAGEMENTS 2026'!C296="DTSI","DCT",'ENGAGEMENTS 2026'!C296))</f>
        <v/>
      </c>
      <c r="B296">
        <f>IF(ISBLANK('ENGAGEMENTS 2026'!C296),"",'ENGAGEMENTS 2026'!D296)</f>
        <v/>
      </c>
      <c r="C296">
        <f>IF(ISBLANK('ENGAGEMENTS 2026'!C296),"",'ENGAGEMENTS 2026'!E296)</f>
        <v/>
      </c>
      <c r="D296">
        <f>IF(ISBLANK('ENGAGEMENTS 2026'!C296),"",'ENGAGEMENTS 2026'!G296)</f>
        <v/>
      </c>
      <c r="E296">
        <f>IF(ISBLANK('ENGAGEMENTS 2026'!C296),"",'ENGAGEMENTS 2026'!I296)</f>
        <v/>
      </c>
      <c r="F296">
        <f>IF(ISBLANK('ENGAGEMENTS 2026'!C296),"",'ENGAGEMENTS 2026'!J296)</f>
        <v/>
      </c>
      <c r="G296">
        <f>IF(ISBLANK('ENGAGEMENTS 2026'!C296),"",'ENGAGEMENTS 2026'!M296)</f>
        <v/>
      </c>
      <c r="H296">
        <f>IF(ISBLANK('ENGAGEMENTS 2026'!C296),"",'ENGAGEMENTS 2026'!AF296)</f>
        <v/>
      </c>
      <c r="I296">
        <f>IF(ISBLANK('ENGAGEMENTS 2026'!C296),"",'ENGAGEMENTS 2026'!H296)</f>
        <v/>
      </c>
      <c r="J296" s="275">
        <f>IF(ISBLANK('ENGAGEMENTS 2026'!C296),"",IF(AND(OR($E296="INFRUCTUEUX",$E296="ANNULE"),$C296="AOO-M"),'ENGAGEMENTS 2026'!P296,IF($H296="EN COURS DE PREENGAGEMENT",'ENGAGEMENTS 2026'!O296,IF($H296="PREENGAGE",IF($E296="ATTRIBUE",'ENGAGEMENTS 2026'!AE296,'ENGAGEMENTS 2026'!O296),'ENGAGEMENTS 2026'!AE296))))</f>
        <v/>
      </c>
      <c r="K296" s="604">
        <f>IF(ISBLANK('ENGAGEMENTS 2026'!W296),"",'ENGAGEMENTS 2026'!W296)</f>
        <v/>
      </c>
      <c r="L296" s="276">
        <f>IF($K296="","",TODAY()-$K296)</f>
        <v/>
      </c>
      <c r="M296">
        <f>IF($A296="","",IF($H296="ENGAGE","Engagé",IF(AND($H296="NON ENGAGE",OR($I296="INFRUCTUEUX",$I296="ANNULE")),"Clôturé sans suite","En cours")))</f>
        <v/>
      </c>
      <c r="N296">
        <f>IF(ISBLANK('ENGAGEMENTS 2026'!C296),"",'ENGAGEMENTS 2026'!L296)</f>
        <v/>
      </c>
      <c r="O296">
        <f>IF(ISBLANK('ENGAGEMENTS 2026'!C296),"",'ENGAGEMENTS 2026'!M296)</f>
        <v/>
      </c>
      <c r="P296">
        <f>IF(ISBLANK('ENGAGEMENTS 2026'!C296),"",'ENGAGEMENTS 2026'!K296)</f>
        <v/>
      </c>
      <c r="Q296">
        <f>IF($A296="","",IF(OR($E296="INFRUCTUEUX",$E296="ANNULE"),$A296&amp;"|"&amp;(COUNTIFS($A$2:$A296,$A296,$E$2:$E296,"INFRUCTUEUX")+COUNTIFS($A$2:$A296,$A296,$E$2:$E296,"ANNULE")),""))</f>
        <v/>
      </c>
    </row>
    <row r="297">
      <c r="A297">
        <f>IF(ISBLANK('ENGAGEMENTS 2026'!C297),"",IF('ENGAGEMENTS 2026'!C297="DTSI","DCT",'ENGAGEMENTS 2026'!C297))</f>
        <v/>
      </c>
      <c r="B297">
        <f>IF(ISBLANK('ENGAGEMENTS 2026'!C297),"",'ENGAGEMENTS 2026'!D297)</f>
        <v/>
      </c>
      <c r="C297">
        <f>IF(ISBLANK('ENGAGEMENTS 2026'!C297),"",'ENGAGEMENTS 2026'!E297)</f>
        <v/>
      </c>
      <c r="D297">
        <f>IF(ISBLANK('ENGAGEMENTS 2026'!C297),"",'ENGAGEMENTS 2026'!G297)</f>
        <v/>
      </c>
      <c r="E297">
        <f>IF(ISBLANK('ENGAGEMENTS 2026'!C297),"",'ENGAGEMENTS 2026'!I297)</f>
        <v/>
      </c>
      <c r="F297">
        <f>IF(ISBLANK('ENGAGEMENTS 2026'!C297),"",'ENGAGEMENTS 2026'!J297)</f>
        <v/>
      </c>
      <c r="G297">
        <f>IF(ISBLANK('ENGAGEMENTS 2026'!C297),"",'ENGAGEMENTS 2026'!M297)</f>
        <v/>
      </c>
      <c r="H297">
        <f>IF(ISBLANK('ENGAGEMENTS 2026'!C297),"",'ENGAGEMENTS 2026'!AF297)</f>
        <v/>
      </c>
      <c r="I297">
        <f>IF(ISBLANK('ENGAGEMENTS 2026'!C297),"",'ENGAGEMENTS 2026'!H297)</f>
        <v/>
      </c>
      <c r="J297" s="275">
        <f>IF(ISBLANK('ENGAGEMENTS 2026'!C297),"",IF(AND(OR($E297="INFRUCTUEUX",$E297="ANNULE"),$C297="AOO-M"),'ENGAGEMENTS 2026'!P297,IF($H297="EN COURS DE PREENGAGEMENT",'ENGAGEMENTS 2026'!O297,IF($H297="PREENGAGE",IF($E297="ATTRIBUE",'ENGAGEMENTS 2026'!AE297,'ENGAGEMENTS 2026'!O297),'ENGAGEMENTS 2026'!AE297))))</f>
        <v/>
      </c>
      <c r="K297" s="604">
        <f>IF(ISBLANK('ENGAGEMENTS 2026'!W297),"",'ENGAGEMENTS 2026'!W297)</f>
        <v/>
      </c>
      <c r="L297" s="276">
        <f>IF($K297="","",TODAY()-$K297)</f>
        <v/>
      </c>
      <c r="M297">
        <f>IF($A297="","",IF($H297="ENGAGE","Engagé",IF(AND($H297="NON ENGAGE",OR($I297="INFRUCTUEUX",$I297="ANNULE")),"Clôturé sans suite","En cours")))</f>
        <v/>
      </c>
      <c r="N297">
        <f>IF(ISBLANK('ENGAGEMENTS 2026'!C297),"",'ENGAGEMENTS 2026'!L297)</f>
        <v/>
      </c>
      <c r="O297">
        <f>IF(ISBLANK('ENGAGEMENTS 2026'!C297),"",'ENGAGEMENTS 2026'!M297)</f>
        <v/>
      </c>
      <c r="P297">
        <f>IF(ISBLANK('ENGAGEMENTS 2026'!C297),"",'ENGAGEMENTS 2026'!K297)</f>
        <v/>
      </c>
      <c r="Q297">
        <f>IF($A297="","",IF(OR($E297="INFRUCTUEUX",$E297="ANNULE"),$A297&amp;"|"&amp;(COUNTIFS($A$2:$A297,$A297,$E$2:$E297,"INFRUCTUEUX")+COUNTIFS($A$2:$A297,$A297,$E$2:$E297,"ANNULE")),""))</f>
        <v/>
      </c>
    </row>
    <row r="298">
      <c r="A298">
        <f>IF(ISBLANK('ENGAGEMENTS 2026'!C298),"",IF('ENGAGEMENTS 2026'!C298="DTSI","DCT",'ENGAGEMENTS 2026'!C298))</f>
        <v/>
      </c>
      <c r="B298">
        <f>IF(ISBLANK('ENGAGEMENTS 2026'!C298),"",'ENGAGEMENTS 2026'!D298)</f>
        <v/>
      </c>
      <c r="C298">
        <f>IF(ISBLANK('ENGAGEMENTS 2026'!C298),"",'ENGAGEMENTS 2026'!E298)</f>
        <v/>
      </c>
      <c r="D298">
        <f>IF(ISBLANK('ENGAGEMENTS 2026'!C298),"",'ENGAGEMENTS 2026'!G298)</f>
        <v/>
      </c>
      <c r="E298">
        <f>IF(ISBLANK('ENGAGEMENTS 2026'!C298),"",'ENGAGEMENTS 2026'!I298)</f>
        <v/>
      </c>
      <c r="F298">
        <f>IF(ISBLANK('ENGAGEMENTS 2026'!C298),"",'ENGAGEMENTS 2026'!J298)</f>
        <v/>
      </c>
      <c r="G298">
        <f>IF(ISBLANK('ENGAGEMENTS 2026'!C298),"",'ENGAGEMENTS 2026'!M298)</f>
        <v/>
      </c>
      <c r="H298">
        <f>IF(ISBLANK('ENGAGEMENTS 2026'!C298),"",'ENGAGEMENTS 2026'!AF298)</f>
        <v/>
      </c>
      <c r="I298">
        <f>IF(ISBLANK('ENGAGEMENTS 2026'!C298),"",'ENGAGEMENTS 2026'!H298)</f>
        <v/>
      </c>
      <c r="J298" s="275">
        <f>IF(ISBLANK('ENGAGEMENTS 2026'!C298),"",IF(AND(OR($E298="INFRUCTUEUX",$E298="ANNULE"),$C298="AOO-M"),'ENGAGEMENTS 2026'!P298,IF($H298="EN COURS DE PREENGAGEMENT",'ENGAGEMENTS 2026'!O298,IF($H298="PREENGAGE",IF($E298="ATTRIBUE",'ENGAGEMENTS 2026'!AE298,'ENGAGEMENTS 2026'!O298),'ENGAGEMENTS 2026'!AE298))))</f>
        <v/>
      </c>
      <c r="K298" s="604">
        <f>IF(ISBLANK('ENGAGEMENTS 2026'!W298),"",'ENGAGEMENTS 2026'!W298)</f>
        <v/>
      </c>
      <c r="L298" s="276">
        <f>IF($K298="","",TODAY()-$K298)</f>
        <v/>
      </c>
      <c r="M298">
        <f>IF($A298="","",IF($H298="ENGAGE","Engagé",IF(AND($H298="NON ENGAGE",OR($I298="INFRUCTUEUX",$I298="ANNULE")),"Clôturé sans suite","En cours")))</f>
        <v/>
      </c>
      <c r="N298">
        <f>IF(ISBLANK('ENGAGEMENTS 2026'!C298),"",'ENGAGEMENTS 2026'!L298)</f>
        <v/>
      </c>
      <c r="O298">
        <f>IF(ISBLANK('ENGAGEMENTS 2026'!C298),"",'ENGAGEMENTS 2026'!M298)</f>
        <v/>
      </c>
      <c r="P298">
        <f>IF(ISBLANK('ENGAGEMENTS 2026'!C298),"",'ENGAGEMENTS 2026'!K298)</f>
        <v/>
      </c>
      <c r="Q298">
        <f>IF($A298="","",IF(OR($E298="INFRUCTUEUX",$E298="ANNULE"),$A298&amp;"|"&amp;(COUNTIFS($A$2:$A298,$A298,$E$2:$E298,"INFRUCTUEUX")+COUNTIFS($A$2:$A298,$A298,$E$2:$E298,"ANNULE")),""))</f>
        <v/>
      </c>
    </row>
    <row r="299">
      <c r="A299">
        <f>IF(ISBLANK('ENGAGEMENTS 2026'!C299),"",IF('ENGAGEMENTS 2026'!C299="DTSI","DCT",'ENGAGEMENTS 2026'!C299))</f>
        <v/>
      </c>
      <c r="B299">
        <f>IF(ISBLANK('ENGAGEMENTS 2026'!C299),"",'ENGAGEMENTS 2026'!D299)</f>
        <v/>
      </c>
      <c r="C299">
        <f>IF(ISBLANK('ENGAGEMENTS 2026'!C299),"",'ENGAGEMENTS 2026'!E299)</f>
        <v/>
      </c>
      <c r="D299">
        <f>IF(ISBLANK('ENGAGEMENTS 2026'!C299),"",'ENGAGEMENTS 2026'!G299)</f>
        <v/>
      </c>
      <c r="E299">
        <f>IF(ISBLANK('ENGAGEMENTS 2026'!C299),"",'ENGAGEMENTS 2026'!I299)</f>
        <v/>
      </c>
      <c r="F299">
        <f>IF(ISBLANK('ENGAGEMENTS 2026'!C299),"",'ENGAGEMENTS 2026'!J299)</f>
        <v/>
      </c>
      <c r="G299">
        <f>IF(ISBLANK('ENGAGEMENTS 2026'!C299),"",'ENGAGEMENTS 2026'!M299)</f>
        <v/>
      </c>
      <c r="H299">
        <f>IF(ISBLANK('ENGAGEMENTS 2026'!C299),"",'ENGAGEMENTS 2026'!AF299)</f>
        <v/>
      </c>
      <c r="I299">
        <f>IF(ISBLANK('ENGAGEMENTS 2026'!C299),"",'ENGAGEMENTS 2026'!H299)</f>
        <v/>
      </c>
      <c r="J299" s="275">
        <f>IF(ISBLANK('ENGAGEMENTS 2026'!C299),"",IF(AND(OR($E299="INFRUCTUEUX",$E299="ANNULE"),$C299="AOO-M"),'ENGAGEMENTS 2026'!P299,IF($H299="EN COURS DE PREENGAGEMENT",'ENGAGEMENTS 2026'!O299,IF($H299="PREENGAGE",IF($E299="ATTRIBUE",'ENGAGEMENTS 2026'!AE299,'ENGAGEMENTS 2026'!O299),'ENGAGEMENTS 2026'!AE299))))</f>
        <v/>
      </c>
      <c r="K299" s="604">
        <f>IF(ISBLANK('ENGAGEMENTS 2026'!W299),"",'ENGAGEMENTS 2026'!W299)</f>
        <v/>
      </c>
      <c r="L299" s="276">
        <f>IF($K299="","",TODAY()-$K299)</f>
        <v/>
      </c>
      <c r="M299">
        <f>IF($A299="","",IF($H299="ENGAGE","Engagé",IF(AND($H299="NON ENGAGE",OR($I299="INFRUCTUEUX",$I299="ANNULE")),"Clôturé sans suite","En cours")))</f>
        <v/>
      </c>
      <c r="N299">
        <f>IF(ISBLANK('ENGAGEMENTS 2026'!C299),"",'ENGAGEMENTS 2026'!L299)</f>
        <v/>
      </c>
      <c r="O299">
        <f>IF(ISBLANK('ENGAGEMENTS 2026'!C299),"",'ENGAGEMENTS 2026'!M299)</f>
        <v/>
      </c>
      <c r="P299">
        <f>IF(ISBLANK('ENGAGEMENTS 2026'!C299),"",'ENGAGEMENTS 2026'!K299)</f>
        <v/>
      </c>
      <c r="Q299">
        <f>IF($A299="","",IF(OR($E299="INFRUCTUEUX",$E299="ANNULE"),$A299&amp;"|"&amp;(COUNTIFS($A$2:$A299,$A299,$E$2:$E299,"INFRUCTUEUX")+COUNTIFS($A$2:$A299,$A299,$E$2:$E299,"ANNULE")),""))</f>
        <v/>
      </c>
    </row>
    <row r="300">
      <c r="A300">
        <f>IF(ISBLANK('ENGAGEMENTS 2026'!C300),"",IF('ENGAGEMENTS 2026'!C300="DTSI","DCT",'ENGAGEMENTS 2026'!C300))</f>
        <v/>
      </c>
      <c r="B300">
        <f>IF(ISBLANK('ENGAGEMENTS 2026'!C300),"",'ENGAGEMENTS 2026'!D300)</f>
        <v/>
      </c>
      <c r="C300">
        <f>IF(ISBLANK('ENGAGEMENTS 2026'!C300),"",'ENGAGEMENTS 2026'!E300)</f>
        <v/>
      </c>
      <c r="D300">
        <f>IF(ISBLANK('ENGAGEMENTS 2026'!C300),"",'ENGAGEMENTS 2026'!G300)</f>
        <v/>
      </c>
      <c r="E300">
        <f>IF(ISBLANK('ENGAGEMENTS 2026'!C300),"",'ENGAGEMENTS 2026'!I300)</f>
        <v/>
      </c>
      <c r="F300">
        <f>IF(ISBLANK('ENGAGEMENTS 2026'!C300),"",'ENGAGEMENTS 2026'!J300)</f>
        <v/>
      </c>
      <c r="G300">
        <f>IF(ISBLANK('ENGAGEMENTS 2026'!C300),"",'ENGAGEMENTS 2026'!M300)</f>
        <v/>
      </c>
      <c r="H300">
        <f>IF(ISBLANK('ENGAGEMENTS 2026'!C300),"",'ENGAGEMENTS 2026'!AF300)</f>
        <v/>
      </c>
      <c r="I300">
        <f>IF(ISBLANK('ENGAGEMENTS 2026'!C300),"",'ENGAGEMENTS 2026'!H300)</f>
        <v/>
      </c>
      <c r="J300" s="275">
        <f>IF(ISBLANK('ENGAGEMENTS 2026'!C300),"",IF(AND(OR($E300="INFRUCTUEUX",$E300="ANNULE"),$C300="AOO-M"),'ENGAGEMENTS 2026'!P300,IF($H300="EN COURS DE PREENGAGEMENT",'ENGAGEMENTS 2026'!O300,IF($H300="PREENGAGE",IF($E300="ATTRIBUE",'ENGAGEMENTS 2026'!AE300,'ENGAGEMENTS 2026'!O300),'ENGAGEMENTS 2026'!AE300))))</f>
        <v/>
      </c>
      <c r="K300" s="604">
        <f>IF(ISBLANK('ENGAGEMENTS 2026'!W300),"",'ENGAGEMENTS 2026'!W300)</f>
        <v/>
      </c>
      <c r="L300" s="276">
        <f>IF($K300="","",TODAY()-$K300)</f>
        <v/>
      </c>
      <c r="M300">
        <f>IF($A300="","",IF($H300="ENGAGE","Engagé",IF(AND($H300="NON ENGAGE",OR($I300="INFRUCTUEUX",$I300="ANNULE")),"Clôturé sans suite","En cours")))</f>
        <v/>
      </c>
      <c r="N300">
        <f>IF(ISBLANK('ENGAGEMENTS 2026'!C300),"",'ENGAGEMENTS 2026'!L300)</f>
        <v/>
      </c>
      <c r="O300">
        <f>IF(ISBLANK('ENGAGEMENTS 2026'!C300),"",'ENGAGEMENTS 2026'!M300)</f>
        <v/>
      </c>
      <c r="P300">
        <f>IF(ISBLANK('ENGAGEMENTS 2026'!C300),"",'ENGAGEMENTS 2026'!K300)</f>
        <v/>
      </c>
      <c r="Q300">
        <f>IF($A300="","",IF(OR($E300="INFRUCTUEUX",$E300="ANNULE"),$A300&amp;"|"&amp;(COUNTIFS($A$2:$A300,$A300,$E$2:$E300,"INFRUCTUEUX")+COUNTIFS($A$2:$A300,$A300,$E$2:$E300,"ANNULE")),""))</f>
        <v/>
      </c>
    </row>
    <row r="301">
      <c r="A301">
        <f>IF(ISBLANK('ENGAGEMENTS 2026'!C301),"",IF('ENGAGEMENTS 2026'!C301="DTSI","DCT",'ENGAGEMENTS 2026'!C301))</f>
        <v/>
      </c>
      <c r="B301">
        <f>IF(ISBLANK('ENGAGEMENTS 2026'!C301),"",'ENGAGEMENTS 2026'!D301)</f>
        <v/>
      </c>
      <c r="C301">
        <f>IF(ISBLANK('ENGAGEMENTS 2026'!C301),"",'ENGAGEMENTS 2026'!E301)</f>
        <v/>
      </c>
      <c r="D301">
        <f>IF(ISBLANK('ENGAGEMENTS 2026'!C301),"",'ENGAGEMENTS 2026'!G301)</f>
        <v/>
      </c>
      <c r="E301">
        <f>IF(ISBLANK('ENGAGEMENTS 2026'!C301),"",'ENGAGEMENTS 2026'!I301)</f>
        <v/>
      </c>
      <c r="F301">
        <f>IF(ISBLANK('ENGAGEMENTS 2026'!C301),"",'ENGAGEMENTS 2026'!J301)</f>
        <v/>
      </c>
      <c r="G301">
        <f>IF(ISBLANK('ENGAGEMENTS 2026'!C301),"",'ENGAGEMENTS 2026'!M301)</f>
        <v/>
      </c>
      <c r="H301">
        <f>IF(ISBLANK('ENGAGEMENTS 2026'!C301),"",'ENGAGEMENTS 2026'!AF301)</f>
        <v/>
      </c>
      <c r="I301">
        <f>IF(ISBLANK('ENGAGEMENTS 2026'!C301),"",'ENGAGEMENTS 2026'!H301)</f>
        <v/>
      </c>
      <c r="J301" s="275">
        <f>IF(ISBLANK('ENGAGEMENTS 2026'!C301),"",IF(AND(OR($E301="INFRUCTUEUX",$E301="ANNULE"),$C301="AOO-M"),'ENGAGEMENTS 2026'!P301,IF($H301="EN COURS DE PREENGAGEMENT",'ENGAGEMENTS 2026'!O301,IF($H301="PREENGAGE",IF($E301="ATTRIBUE",'ENGAGEMENTS 2026'!AE301,'ENGAGEMENTS 2026'!O301),'ENGAGEMENTS 2026'!AE301))))</f>
        <v/>
      </c>
      <c r="K301" s="604">
        <f>IF(ISBLANK('ENGAGEMENTS 2026'!W301),"",'ENGAGEMENTS 2026'!W301)</f>
        <v/>
      </c>
      <c r="L301" s="276">
        <f>IF($K301="","",TODAY()-$K301)</f>
        <v/>
      </c>
      <c r="M301">
        <f>IF($A301="","",IF($H301="ENGAGE","Engagé",IF(AND($H301="NON ENGAGE",OR($I301="INFRUCTUEUX",$I301="ANNULE")),"Clôturé sans suite","En cours")))</f>
        <v/>
      </c>
      <c r="N301">
        <f>IF(ISBLANK('ENGAGEMENTS 2026'!C301),"",'ENGAGEMENTS 2026'!L301)</f>
        <v/>
      </c>
      <c r="O301">
        <f>IF(ISBLANK('ENGAGEMENTS 2026'!C301),"",'ENGAGEMENTS 2026'!M301)</f>
        <v/>
      </c>
      <c r="P301">
        <f>IF(ISBLANK('ENGAGEMENTS 2026'!C301),"",'ENGAGEMENTS 2026'!K301)</f>
        <v/>
      </c>
      <c r="Q301">
        <f>IF($A301="","",IF(OR($E301="INFRUCTUEUX",$E301="ANNULE"),$A301&amp;"|"&amp;(COUNTIFS($A$2:$A301,$A301,$E$2:$E301,"INFRUCTUEUX")+COUNTIFS($A$2:$A301,$A301,$E$2:$E301,"ANNULE")),""))</f>
        <v/>
      </c>
    </row>
    <row r="302">
      <c r="A302">
        <f>IF(ISBLANK('ENGAGEMENTS 2026'!C302),"",IF('ENGAGEMENTS 2026'!C302="DTSI","DCT",'ENGAGEMENTS 2026'!C302))</f>
        <v/>
      </c>
      <c r="B302">
        <f>IF(ISBLANK('ENGAGEMENTS 2026'!C302),"",'ENGAGEMENTS 2026'!D302)</f>
        <v/>
      </c>
      <c r="C302">
        <f>IF(ISBLANK('ENGAGEMENTS 2026'!C302),"",'ENGAGEMENTS 2026'!E302)</f>
        <v/>
      </c>
      <c r="D302">
        <f>IF(ISBLANK('ENGAGEMENTS 2026'!C302),"",'ENGAGEMENTS 2026'!G302)</f>
        <v/>
      </c>
      <c r="E302">
        <f>IF(ISBLANK('ENGAGEMENTS 2026'!C302),"",'ENGAGEMENTS 2026'!I302)</f>
        <v/>
      </c>
      <c r="F302">
        <f>IF(ISBLANK('ENGAGEMENTS 2026'!C302),"",'ENGAGEMENTS 2026'!J302)</f>
        <v/>
      </c>
      <c r="G302">
        <f>IF(ISBLANK('ENGAGEMENTS 2026'!C302),"",'ENGAGEMENTS 2026'!M302)</f>
        <v/>
      </c>
      <c r="H302">
        <f>IF(ISBLANK('ENGAGEMENTS 2026'!C302),"",'ENGAGEMENTS 2026'!AF302)</f>
        <v/>
      </c>
      <c r="I302">
        <f>IF(ISBLANK('ENGAGEMENTS 2026'!C302),"",'ENGAGEMENTS 2026'!H302)</f>
        <v/>
      </c>
      <c r="J302" s="275">
        <f>IF(ISBLANK('ENGAGEMENTS 2026'!C302),"",IF(AND(OR($E302="INFRUCTUEUX",$E302="ANNULE"),$C302="AOO-M"),'ENGAGEMENTS 2026'!P302,IF($H302="EN COURS DE PREENGAGEMENT",'ENGAGEMENTS 2026'!O302,IF($H302="PREENGAGE",IF($E302="ATTRIBUE",'ENGAGEMENTS 2026'!AE302,'ENGAGEMENTS 2026'!O302),'ENGAGEMENTS 2026'!AE302))))</f>
        <v/>
      </c>
      <c r="K302" s="604">
        <f>IF(ISBLANK('ENGAGEMENTS 2026'!W302),"",'ENGAGEMENTS 2026'!W302)</f>
        <v/>
      </c>
      <c r="L302" s="276">
        <f>IF($K302="","",TODAY()-$K302)</f>
        <v/>
      </c>
      <c r="M302">
        <f>IF($A302="","",IF($H302="ENGAGE","Engagé",IF(AND($H302="NON ENGAGE",OR($I302="INFRUCTUEUX",$I302="ANNULE")),"Clôturé sans suite","En cours")))</f>
        <v/>
      </c>
      <c r="N302">
        <f>IF(ISBLANK('ENGAGEMENTS 2026'!C302),"",'ENGAGEMENTS 2026'!L302)</f>
        <v/>
      </c>
      <c r="O302">
        <f>IF(ISBLANK('ENGAGEMENTS 2026'!C302),"",'ENGAGEMENTS 2026'!M302)</f>
        <v/>
      </c>
      <c r="P302">
        <f>IF(ISBLANK('ENGAGEMENTS 2026'!C302),"",'ENGAGEMENTS 2026'!K302)</f>
        <v/>
      </c>
      <c r="Q302">
        <f>IF($A302="","",IF(OR($E302="INFRUCTUEUX",$E302="ANNULE"),$A302&amp;"|"&amp;(COUNTIFS($A$2:$A302,$A302,$E$2:$E302,"INFRUCTUEUX")+COUNTIFS($A$2:$A302,$A302,$E$2:$E302,"ANNULE")),""))</f>
        <v/>
      </c>
    </row>
    <row r="303">
      <c r="A303">
        <f>IF(ISBLANK('ENGAGEMENTS 2026'!C303),"",IF('ENGAGEMENTS 2026'!C303="DTSI","DCT",'ENGAGEMENTS 2026'!C303))</f>
        <v/>
      </c>
      <c r="B303">
        <f>IF(ISBLANK('ENGAGEMENTS 2026'!C303),"",'ENGAGEMENTS 2026'!D303)</f>
        <v/>
      </c>
      <c r="C303">
        <f>IF(ISBLANK('ENGAGEMENTS 2026'!C303),"",'ENGAGEMENTS 2026'!E303)</f>
        <v/>
      </c>
      <c r="D303">
        <f>IF(ISBLANK('ENGAGEMENTS 2026'!C303),"",'ENGAGEMENTS 2026'!G303)</f>
        <v/>
      </c>
      <c r="E303">
        <f>IF(ISBLANK('ENGAGEMENTS 2026'!C303),"",'ENGAGEMENTS 2026'!I303)</f>
        <v/>
      </c>
      <c r="F303">
        <f>IF(ISBLANK('ENGAGEMENTS 2026'!C303),"",'ENGAGEMENTS 2026'!J303)</f>
        <v/>
      </c>
      <c r="G303">
        <f>IF(ISBLANK('ENGAGEMENTS 2026'!C303),"",'ENGAGEMENTS 2026'!M303)</f>
        <v/>
      </c>
      <c r="H303">
        <f>IF(ISBLANK('ENGAGEMENTS 2026'!C303),"",'ENGAGEMENTS 2026'!AF303)</f>
        <v/>
      </c>
      <c r="I303">
        <f>IF(ISBLANK('ENGAGEMENTS 2026'!C303),"",'ENGAGEMENTS 2026'!H303)</f>
        <v/>
      </c>
      <c r="J303" s="275">
        <f>IF(ISBLANK('ENGAGEMENTS 2026'!C303),"",IF(AND(OR($E303="INFRUCTUEUX",$E303="ANNULE"),$C303="AOO-M"),'ENGAGEMENTS 2026'!P303,IF($H303="EN COURS DE PREENGAGEMENT",'ENGAGEMENTS 2026'!O303,IF($H303="PREENGAGE",IF($E303="ATTRIBUE",'ENGAGEMENTS 2026'!AE303,'ENGAGEMENTS 2026'!O303),'ENGAGEMENTS 2026'!AE303))))</f>
        <v/>
      </c>
      <c r="K303" s="604">
        <f>IF(ISBLANK('ENGAGEMENTS 2026'!W303),"",'ENGAGEMENTS 2026'!W303)</f>
        <v/>
      </c>
      <c r="L303" s="276">
        <f>IF($K303="","",TODAY()-$K303)</f>
        <v/>
      </c>
      <c r="M303">
        <f>IF($A303="","",IF($H303="ENGAGE","Engagé",IF(AND($H303="NON ENGAGE",OR($I303="INFRUCTUEUX",$I303="ANNULE")),"Clôturé sans suite","En cours")))</f>
        <v/>
      </c>
      <c r="N303">
        <f>IF(ISBLANK('ENGAGEMENTS 2026'!C303),"",'ENGAGEMENTS 2026'!L303)</f>
        <v/>
      </c>
      <c r="O303">
        <f>IF(ISBLANK('ENGAGEMENTS 2026'!C303),"",'ENGAGEMENTS 2026'!M303)</f>
        <v/>
      </c>
      <c r="P303">
        <f>IF(ISBLANK('ENGAGEMENTS 2026'!C303),"",'ENGAGEMENTS 2026'!K303)</f>
        <v/>
      </c>
      <c r="Q303">
        <f>IF($A303="","",IF(OR($E303="INFRUCTUEUX",$E303="ANNULE"),$A303&amp;"|"&amp;(COUNTIFS($A$2:$A303,$A303,$E$2:$E303,"INFRUCTUEUX")+COUNTIFS($A$2:$A303,$A303,$E$2:$E303,"ANNULE")),""))</f>
        <v/>
      </c>
    </row>
    <row r="304">
      <c r="A304">
        <f>IF(ISBLANK('ENGAGEMENTS 2026'!C304),"",IF('ENGAGEMENTS 2026'!C304="DTSI","DCT",'ENGAGEMENTS 2026'!C304))</f>
        <v/>
      </c>
      <c r="B304">
        <f>IF(ISBLANK('ENGAGEMENTS 2026'!C304),"",'ENGAGEMENTS 2026'!D304)</f>
        <v/>
      </c>
      <c r="C304">
        <f>IF(ISBLANK('ENGAGEMENTS 2026'!C304),"",'ENGAGEMENTS 2026'!E304)</f>
        <v/>
      </c>
      <c r="D304">
        <f>IF(ISBLANK('ENGAGEMENTS 2026'!C304),"",'ENGAGEMENTS 2026'!G304)</f>
        <v/>
      </c>
      <c r="E304">
        <f>IF(ISBLANK('ENGAGEMENTS 2026'!C304),"",'ENGAGEMENTS 2026'!I304)</f>
        <v/>
      </c>
      <c r="F304">
        <f>IF(ISBLANK('ENGAGEMENTS 2026'!C304),"",'ENGAGEMENTS 2026'!J304)</f>
        <v/>
      </c>
      <c r="G304">
        <f>IF(ISBLANK('ENGAGEMENTS 2026'!C304),"",'ENGAGEMENTS 2026'!M304)</f>
        <v/>
      </c>
      <c r="H304">
        <f>IF(ISBLANK('ENGAGEMENTS 2026'!C304),"",'ENGAGEMENTS 2026'!AF304)</f>
        <v/>
      </c>
      <c r="I304">
        <f>IF(ISBLANK('ENGAGEMENTS 2026'!C304),"",'ENGAGEMENTS 2026'!H304)</f>
        <v/>
      </c>
      <c r="J304" s="275">
        <f>IF(ISBLANK('ENGAGEMENTS 2026'!C304),"",IF(AND(OR($E304="INFRUCTUEUX",$E304="ANNULE"),$C304="AOO-M"),'ENGAGEMENTS 2026'!P304,IF($H304="EN COURS DE PREENGAGEMENT",'ENGAGEMENTS 2026'!O304,IF($H304="PREENGAGE",IF($E304="ATTRIBUE",'ENGAGEMENTS 2026'!AE304,'ENGAGEMENTS 2026'!O304),'ENGAGEMENTS 2026'!AE304))))</f>
        <v/>
      </c>
      <c r="K304" s="604">
        <f>IF(ISBLANK('ENGAGEMENTS 2026'!W304),"",'ENGAGEMENTS 2026'!W304)</f>
        <v/>
      </c>
      <c r="L304" s="276">
        <f>IF($K304="","",TODAY()-$K304)</f>
        <v/>
      </c>
      <c r="M304">
        <f>IF($A304="","",IF($H304="ENGAGE","Engagé",IF(AND($H304="NON ENGAGE",OR($I304="INFRUCTUEUX",$I304="ANNULE")),"Clôturé sans suite","En cours")))</f>
        <v/>
      </c>
      <c r="N304">
        <f>IF(ISBLANK('ENGAGEMENTS 2026'!C304),"",'ENGAGEMENTS 2026'!L304)</f>
        <v/>
      </c>
      <c r="O304">
        <f>IF(ISBLANK('ENGAGEMENTS 2026'!C304),"",'ENGAGEMENTS 2026'!M304)</f>
        <v/>
      </c>
      <c r="P304">
        <f>IF(ISBLANK('ENGAGEMENTS 2026'!C304),"",'ENGAGEMENTS 2026'!K304)</f>
        <v/>
      </c>
      <c r="Q304">
        <f>IF($A304="","",IF(OR($E304="INFRUCTUEUX",$E304="ANNULE"),$A304&amp;"|"&amp;(COUNTIFS($A$2:$A304,$A304,$E$2:$E304,"INFRUCTUEUX")+COUNTIFS($A$2:$A304,$A304,$E$2:$E304,"ANNULE")),""))</f>
        <v/>
      </c>
    </row>
    <row r="305">
      <c r="A305">
        <f>IF(ISBLANK('ENGAGEMENTS 2026'!C305),"",IF('ENGAGEMENTS 2026'!C305="DTSI","DCT",'ENGAGEMENTS 2026'!C305))</f>
        <v/>
      </c>
      <c r="B305">
        <f>IF(ISBLANK('ENGAGEMENTS 2026'!C305),"",'ENGAGEMENTS 2026'!D305)</f>
        <v/>
      </c>
      <c r="C305">
        <f>IF(ISBLANK('ENGAGEMENTS 2026'!C305),"",'ENGAGEMENTS 2026'!E305)</f>
        <v/>
      </c>
      <c r="D305">
        <f>IF(ISBLANK('ENGAGEMENTS 2026'!C305),"",'ENGAGEMENTS 2026'!G305)</f>
        <v/>
      </c>
      <c r="E305">
        <f>IF(ISBLANK('ENGAGEMENTS 2026'!C305),"",'ENGAGEMENTS 2026'!I305)</f>
        <v/>
      </c>
      <c r="F305">
        <f>IF(ISBLANK('ENGAGEMENTS 2026'!C305),"",'ENGAGEMENTS 2026'!J305)</f>
        <v/>
      </c>
      <c r="G305">
        <f>IF(ISBLANK('ENGAGEMENTS 2026'!C305),"",'ENGAGEMENTS 2026'!M305)</f>
        <v/>
      </c>
      <c r="H305">
        <f>IF(ISBLANK('ENGAGEMENTS 2026'!C305),"",'ENGAGEMENTS 2026'!AF305)</f>
        <v/>
      </c>
      <c r="I305">
        <f>IF(ISBLANK('ENGAGEMENTS 2026'!C305),"",'ENGAGEMENTS 2026'!H305)</f>
        <v/>
      </c>
      <c r="J305" s="275">
        <f>IF(ISBLANK('ENGAGEMENTS 2026'!C305),"",IF(AND(OR($E305="INFRUCTUEUX",$E305="ANNULE"),$C305="AOO-M"),'ENGAGEMENTS 2026'!P305,IF($H305="EN COURS DE PREENGAGEMENT",'ENGAGEMENTS 2026'!O305,IF($H305="PREENGAGE",IF($E305="ATTRIBUE",'ENGAGEMENTS 2026'!AE305,'ENGAGEMENTS 2026'!O305),'ENGAGEMENTS 2026'!AE305))))</f>
        <v/>
      </c>
      <c r="K305" s="604">
        <f>IF(ISBLANK('ENGAGEMENTS 2026'!W305),"",'ENGAGEMENTS 2026'!W305)</f>
        <v/>
      </c>
      <c r="L305" s="276">
        <f>IF($K305="","",TODAY()-$K305)</f>
        <v/>
      </c>
      <c r="M305">
        <f>IF($A305="","",IF($H305="ENGAGE","Engagé",IF(AND($H305="NON ENGAGE",OR($I305="INFRUCTUEUX",$I305="ANNULE")),"Clôturé sans suite","En cours")))</f>
        <v/>
      </c>
      <c r="N305">
        <f>IF(ISBLANK('ENGAGEMENTS 2026'!C305),"",'ENGAGEMENTS 2026'!L305)</f>
        <v/>
      </c>
      <c r="O305">
        <f>IF(ISBLANK('ENGAGEMENTS 2026'!C305),"",'ENGAGEMENTS 2026'!M305)</f>
        <v/>
      </c>
      <c r="P305">
        <f>IF(ISBLANK('ENGAGEMENTS 2026'!C305),"",'ENGAGEMENTS 2026'!K305)</f>
        <v/>
      </c>
      <c r="Q305">
        <f>IF($A305="","",IF(OR($E305="INFRUCTUEUX",$E305="ANNULE"),$A305&amp;"|"&amp;(COUNTIFS($A$2:$A305,$A305,$E$2:$E305,"INFRUCTUEUX")+COUNTIFS($A$2:$A305,$A305,$E$2:$E305,"ANNULE")),""))</f>
        <v/>
      </c>
    </row>
    <row r="306">
      <c r="A306">
        <f>IF(ISBLANK('ENGAGEMENTS 2026'!C306),"",IF('ENGAGEMENTS 2026'!C306="DTSI","DCT",'ENGAGEMENTS 2026'!C306))</f>
        <v/>
      </c>
      <c r="B306">
        <f>IF(ISBLANK('ENGAGEMENTS 2026'!C306),"",'ENGAGEMENTS 2026'!D306)</f>
        <v/>
      </c>
      <c r="C306">
        <f>IF(ISBLANK('ENGAGEMENTS 2026'!C306),"",'ENGAGEMENTS 2026'!E306)</f>
        <v/>
      </c>
      <c r="D306">
        <f>IF(ISBLANK('ENGAGEMENTS 2026'!C306),"",'ENGAGEMENTS 2026'!G306)</f>
        <v/>
      </c>
      <c r="E306">
        <f>IF(ISBLANK('ENGAGEMENTS 2026'!C306),"",'ENGAGEMENTS 2026'!I306)</f>
        <v/>
      </c>
      <c r="F306">
        <f>IF(ISBLANK('ENGAGEMENTS 2026'!C306),"",'ENGAGEMENTS 2026'!J306)</f>
        <v/>
      </c>
      <c r="G306">
        <f>IF(ISBLANK('ENGAGEMENTS 2026'!C306),"",'ENGAGEMENTS 2026'!M306)</f>
        <v/>
      </c>
      <c r="H306">
        <f>IF(ISBLANK('ENGAGEMENTS 2026'!C306),"",'ENGAGEMENTS 2026'!AF306)</f>
        <v/>
      </c>
      <c r="I306">
        <f>IF(ISBLANK('ENGAGEMENTS 2026'!C306),"",'ENGAGEMENTS 2026'!H306)</f>
        <v/>
      </c>
      <c r="J306" s="275">
        <f>IF(ISBLANK('ENGAGEMENTS 2026'!C306),"",IF(AND(OR($E306="INFRUCTUEUX",$E306="ANNULE"),$C306="AOO-M"),'ENGAGEMENTS 2026'!P306,IF($H306="EN COURS DE PREENGAGEMENT",'ENGAGEMENTS 2026'!O306,IF($H306="PREENGAGE",IF($E306="ATTRIBUE",'ENGAGEMENTS 2026'!AE306,'ENGAGEMENTS 2026'!O306),'ENGAGEMENTS 2026'!AE306))))</f>
        <v/>
      </c>
      <c r="K306" s="604">
        <f>IF(ISBLANK('ENGAGEMENTS 2026'!W306),"",'ENGAGEMENTS 2026'!W306)</f>
        <v/>
      </c>
      <c r="L306" s="276">
        <f>IF($K306="","",TODAY()-$K306)</f>
        <v/>
      </c>
      <c r="M306">
        <f>IF($A306="","",IF($H306="ENGAGE","Engagé",IF(AND($H306="NON ENGAGE",OR($I306="INFRUCTUEUX",$I306="ANNULE")),"Clôturé sans suite","En cours")))</f>
        <v/>
      </c>
      <c r="N306">
        <f>IF(ISBLANK('ENGAGEMENTS 2026'!C306),"",'ENGAGEMENTS 2026'!L306)</f>
        <v/>
      </c>
      <c r="O306">
        <f>IF(ISBLANK('ENGAGEMENTS 2026'!C306),"",'ENGAGEMENTS 2026'!M306)</f>
        <v/>
      </c>
      <c r="P306">
        <f>IF(ISBLANK('ENGAGEMENTS 2026'!C306),"",'ENGAGEMENTS 2026'!K306)</f>
        <v/>
      </c>
      <c r="Q306">
        <f>IF($A306="","",IF(OR($E306="INFRUCTUEUX",$E306="ANNULE"),$A306&amp;"|"&amp;(COUNTIFS($A$2:$A306,$A306,$E$2:$E306,"INFRUCTUEUX")+COUNTIFS($A$2:$A306,$A306,$E$2:$E306,"ANNULE")),""))</f>
        <v/>
      </c>
    </row>
    <row r="307">
      <c r="A307">
        <f>IF(ISBLANK('ENGAGEMENTS 2026'!C307),"",IF('ENGAGEMENTS 2026'!C307="DTSI","DCT",'ENGAGEMENTS 2026'!C307))</f>
        <v/>
      </c>
      <c r="B307">
        <f>IF(ISBLANK('ENGAGEMENTS 2026'!C307),"",'ENGAGEMENTS 2026'!D307)</f>
        <v/>
      </c>
      <c r="C307">
        <f>IF(ISBLANK('ENGAGEMENTS 2026'!C307),"",'ENGAGEMENTS 2026'!E307)</f>
        <v/>
      </c>
      <c r="D307">
        <f>IF(ISBLANK('ENGAGEMENTS 2026'!C307),"",'ENGAGEMENTS 2026'!G307)</f>
        <v/>
      </c>
      <c r="E307">
        <f>IF(ISBLANK('ENGAGEMENTS 2026'!C307),"",'ENGAGEMENTS 2026'!I307)</f>
        <v/>
      </c>
      <c r="F307">
        <f>IF(ISBLANK('ENGAGEMENTS 2026'!C307),"",'ENGAGEMENTS 2026'!J307)</f>
        <v/>
      </c>
      <c r="G307">
        <f>IF(ISBLANK('ENGAGEMENTS 2026'!C307),"",'ENGAGEMENTS 2026'!M307)</f>
        <v/>
      </c>
      <c r="H307">
        <f>IF(ISBLANK('ENGAGEMENTS 2026'!C307),"",'ENGAGEMENTS 2026'!AF307)</f>
        <v/>
      </c>
      <c r="I307">
        <f>IF(ISBLANK('ENGAGEMENTS 2026'!C307),"",'ENGAGEMENTS 2026'!H307)</f>
        <v/>
      </c>
      <c r="J307" s="275">
        <f>IF(ISBLANK('ENGAGEMENTS 2026'!C307),"",IF(AND(OR($E307="INFRUCTUEUX",$E307="ANNULE"),$C307="AOO-M"),'ENGAGEMENTS 2026'!P307,IF($H307="EN COURS DE PREENGAGEMENT",'ENGAGEMENTS 2026'!O307,IF($H307="PREENGAGE",IF($E307="ATTRIBUE",'ENGAGEMENTS 2026'!AE307,'ENGAGEMENTS 2026'!O307),'ENGAGEMENTS 2026'!AE307))))</f>
        <v/>
      </c>
      <c r="K307" s="604">
        <f>IF(ISBLANK('ENGAGEMENTS 2026'!W307),"",'ENGAGEMENTS 2026'!W307)</f>
        <v/>
      </c>
      <c r="L307" s="276">
        <f>IF($K307="","",TODAY()-$K307)</f>
        <v/>
      </c>
      <c r="M307">
        <f>IF($A307="","",IF($H307="ENGAGE","Engagé",IF(AND($H307="NON ENGAGE",OR($I307="INFRUCTUEUX",$I307="ANNULE")),"Clôturé sans suite","En cours")))</f>
        <v/>
      </c>
      <c r="N307">
        <f>IF(ISBLANK('ENGAGEMENTS 2026'!C307),"",'ENGAGEMENTS 2026'!L307)</f>
        <v/>
      </c>
      <c r="O307">
        <f>IF(ISBLANK('ENGAGEMENTS 2026'!C307),"",'ENGAGEMENTS 2026'!M307)</f>
        <v/>
      </c>
      <c r="P307">
        <f>IF(ISBLANK('ENGAGEMENTS 2026'!C307),"",'ENGAGEMENTS 2026'!K307)</f>
        <v/>
      </c>
      <c r="Q307">
        <f>IF($A307="","",IF(OR($E307="INFRUCTUEUX",$E307="ANNULE"),$A307&amp;"|"&amp;(COUNTIFS($A$2:$A307,$A307,$E$2:$E307,"INFRUCTUEUX")+COUNTIFS($A$2:$A307,$A307,$E$2:$E307,"ANNULE")),""))</f>
        <v/>
      </c>
    </row>
    <row r="308">
      <c r="A308">
        <f>IF(ISBLANK('ENGAGEMENTS 2026'!C308),"",IF('ENGAGEMENTS 2026'!C308="DTSI","DCT",'ENGAGEMENTS 2026'!C308))</f>
        <v/>
      </c>
      <c r="B308">
        <f>IF(ISBLANK('ENGAGEMENTS 2026'!C308),"",'ENGAGEMENTS 2026'!D308)</f>
        <v/>
      </c>
      <c r="C308">
        <f>IF(ISBLANK('ENGAGEMENTS 2026'!C308),"",'ENGAGEMENTS 2026'!E308)</f>
        <v/>
      </c>
      <c r="D308">
        <f>IF(ISBLANK('ENGAGEMENTS 2026'!C308),"",'ENGAGEMENTS 2026'!G308)</f>
        <v/>
      </c>
      <c r="E308">
        <f>IF(ISBLANK('ENGAGEMENTS 2026'!C308),"",'ENGAGEMENTS 2026'!I308)</f>
        <v/>
      </c>
      <c r="F308">
        <f>IF(ISBLANK('ENGAGEMENTS 2026'!C308),"",'ENGAGEMENTS 2026'!J308)</f>
        <v/>
      </c>
      <c r="G308">
        <f>IF(ISBLANK('ENGAGEMENTS 2026'!C308),"",'ENGAGEMENTS 2026'!M308)</f>
        <v/>
      </c>
      <c r="H308">
        <f>IF(ISBLANK('ENGAGEMENTS 2026'!C308),"",'ENGAGEMENTS 2026'!AF308)</f>
        <v/>
      </c>
      <c r="I308">
        <f>IF(ISBLANK('ENGAGEMENTS 2026'!C308),"",'ENGAGEMENTS 2026'!H308)</f>
        <v/>
      </c>
      <c r="J308" s="275">
        <f>IF(ISBLANK('ENGAGEMENTS 2026'!C308),"",IF(AND(OR($E308="INFRUCTUEUX",$E308="ANNULE"),$C308="AOO-M"),'ENGAGEMENTS 2026'!P308,IF($H308="EN COURS DE PREENGAGEMENT",'ENGAGEMENTS 2026'!O308,IF($H308="PREENGAGE",IF($E308="ATTRIBUE",'ENGAGEMENTS 2026'!AE308,'ENGAGEMENTS 2026'!O308),'ENGAGEMENTS 2026'!AE308))))</f>
        <v/>
      </c>
      <c r="K308" s="604">
        <f>IF(ISBLANK('ENGAGEMENTS 2026'!W308),"",'ENGAGEMENTS 2026'!W308)</f>
        <v/>
      </c>
      <c r="L308" s="276">
        <f>IF($K308="","",TODAY()-$K308)</f>
        <v/>
      </c>
      <c r="M308">
        <f>IF($A308="","",IF($H308="ENGAGE","Engagé",IF(AND($H308="NON ENGAGE",OR($I308="INFRUCTUEUX",$I308="ANNULE")),"Clôturé sans suite","En cours")))</f>
        <v/>
      </c>
      <c r="N308">
        <f>IF(ISBLANK('ENGAGEMENTS 2026'!C308),"",'ENGAGEMENTS 2026'!L308)</f>
        <v/>
      </c>
      <c r="O308">
        <f>IF(ISBLANK('ENGAGEMENTS 2026'!C308),"",'ENGAGEMENTS 2026'!M308)</f>
        <v/>
      </c>
      <c r="P308">
        <f>IF(ISBLANK('ENGAGEMENTS 2026'!C308),"",'ENGAGEMENTS 2026'!K308)</f>
        <v/>
      </c>
      <c r="Q308">
        <f>IF($A308="","",IF(OR($E308="INFRUCTUEUX",$E308="ANNULE"),$A308&amp;"|"&amp;(COUNTIFS($A$2:$A308,$A308,$E$2:$E308,"INFRUCTUEUX")+COUNTIFS($A$2:$A308,$A308,$E$2:$E308,"ANNULE")),""))</f>
        <v/>
      </c>
    </row>
    <row r="309">
      <c r="A309">
        <f>IF(ISBLANK('ENGAGEMENTS 2026'!C309),"",IF('ENGAGEMENTS 2026'!C309="DTSI","DCT",'ENGAGEMENTS 2026'!C309))</f>
        <v/>
      </c>
      <c r="B309">
        <f>IF(ISBLANK('ENGAGEMENTS 2026'!C309),"",'ENGAGEMENTS 2026'!D309)</f>
        <v/>
      </c>
      <c r="C309">
        <f>IF(ISBLANK('ENGAGEMENTS 2026'!C309),"",'ENGAGEMENTS 2026'!E309)</f>
        <v/>
      </c>
      <c r="D309">
        <f>IF(ISBLANK('ENGAGEMENTS 2026'!C309),"",'ENGAGEMENTS 2026'!G309)</f>
        <v/>
      </c>
      <c r="E309">
        <f>IF(ISBLANK('ENGAGEMENTS 2026'!C309),"",'ENGAGEMENTS 2026'!I309)</f>
        <v/>
      </c>
      <c r="F309">
        <f>IF(ISBLANK('ENGAGEMENTS 2026'!C309),"",'ENGAGEMENTS 2026'!J309)</f>
        <v/>
      </c>
      <c r="G309">
        <f>IF(ISBLANK('ENGAGEMENTS 2026'!C309),"",'ENGAGEMENTS 2026'!M309)</f>
        <v/>
      </c>
      <c r="H309">
        <f>IF(ISBLANK('ENGAGEMENTS 2026'!C309),"",'ENGAGEMENTS 2026'!AF309)</f>
        <v/>
      </c>
      <c r="I309">
        <f>IF(ISBLANK('ENGAGEMENTS 2026'!C309),"",'ENGAGEMENTS 2026'!H309)</f>
        <v/>
      </c>
      <c r="J309" s="275">
        <f>IF(ISBLANK('ENGAGEMENTS 2026'!C309),"",IF(AND(OR($E309="INFRUCTUEUX",$E309="ANNULE"),$C309="AOO-M"),'ENGAGEMENTS 2026'!P309,IF($H309="EN COURS DE PREENGAGEMENT",'ENGAGEMENTS 2026'!O309,IF($H309="PREENGAGE",IF($E309="ATTRIBUE",'ENGAGEMENTS 2026'!AE309,'ENGAGEMENTS 2026'!O309),'ENGAGEMENTS 2026'!AE309))))</f>
        <v/>
      </c>
      <c r="K309" s="604">
        <f>IF(ISBLANK('ENGAGEMENTS 2026'!W309),"",'ENGAGEMENTS 2026'!W309)</f>
        <v/>
      </c>
      <c r="L309" s="276">
        <f>IF($K309="","",TODAY()-$K309)</f>
        <v/>
      </c>
      <c r="M309">
        <f>IF($A309="","",IF($H309="ENGAGE","Engagé",IF(AND($H309="NON ENGAGE",OR($I309="INFRUCTUEUX",$I309="ANNULE")),"Clôturé sans suite","En cours")))</f>
        <v/>
      </c>
      <c r="N309">
        <f>IF(ISBLANK('ENGAGEMENTS 2026'!C309),"",'ENGAGEMENTS 2026'!L309)</f>
        <v/>
      </c>
      <c r="O309">
        <f>IF(ISBLANK('ENGAGEMENTS 2026'!C309),"",'ENGAGEMENTS 2026'!M309)</f>
        <v/>
      </c>
      <c r="P309">
        <f>IF(ISBLANK('ENGAGEMENTS 2026'!C309),"",'ENGAGEMENTS 2026'!K309)</f>
        <v/>
      </c>
      <c r="Q309">
        <f>IF($A309="","",IF(OR($E309="INFRUCTUEUX",$E309="ANNULE"),$A309&amp;"|"&amp;(COUNTIFS($A$2:$A309,$A309,$E$2:$E309,"INFRUCTUEUX")+COUNTIFS($A$2:$A309,$A309,$E$2:$E309,"ANNULE")),""))</f>
        <v/>
      </c>
    </row>
    <row r="310">
      <c r="A310">
        <f>IF(ISBLANK('ENGAGEMENTS 2026'!C310),"",IF('ENGAGEMENTS 2026'!C310="DTSI","DCT",'ENGAGEMENTS 2026'!C310))</f>
        <v/>
      </c>
      <c r="B310">
        <f>IF(ISBLANK('ENGAGEMENTS 2026'!C310),"",'ENGAGEMENTS 2026'!D310)</f>
        <v/>
      </c>
      <c r="C310">
        <f>IF(ISBLANK('ENGAGEMENTS 2026'!C310),"",'ENGAGEMENTS 2026'!E310)</f>
        <v/>
      </c>
      <c r="D310">
        <f>IF(ISBLANK('ENGAGEMENTS 2026'!C310),"",'ENGAGEMENTS 2026'!G310)</f>
        <v/>
      </c>
      <c r="E310">
        <f>IF(ISBLANK('ENGAGEMENTS 2026'!C310),"",'ENGAGEMENTS 2026'!I310)</f>
        <v/>
      </c>
      <c r="F310">
        <f>IF(ISBLANK('ENGAGEMENTS 2026'!C310),"",'ENGAGEMENTS 2026'!J310)</f>
        <v/>
      </c>
      <c r="G310">
        <f>IF(ISBLANK('ENGAGEMENTS 2026'!C310),"",'ENGAGEMENTS 2026'!M310)</f>
        <v/>
      </c>
      <c r="H310">
        <f>IF(ISBLANK('ENGAGEMENTS 2026'!C310),"",'ENGAGEMENTS 2026'!AF310)</f>
        <v/>
      </c>
      <c r="I310">
        <f>IF(ISBLANK('ENGAGEMENTS 2026'!C310),"",'ENGAGEMENTS 2026'!H310)</f>
        <v/>
      </c>
      <c r="J310" s="275">
        <f>IF(ISBLANK('ENGAGEMENTS 2026'!C310),"",IF(AND(OR($E310="INFRUCTUEUX",$E310="ANNULE"),$C310="AOO-M"),'ENGAGEMENTS 2026'!P310,IF($H310="EN COURS DE PREENGAGEMENT",'ENGAGEMENTS 2026'!O310,IF($H310="PREENGAGE",IF($E310="ATTRIBUE",'ENGAGEMENTS 2026'!AE310,'ENGAGEMENTS 2026'!O310),'ENGAGEMENTS 2026'!AE310))))</f>
        <v/>
      </c>
      <c r="K310" s="604">
        <f>IF(ISBLANK('ENGAGEMENTS 2026'!W310),"",'ENGAGEMENTS 2026'!W310)</f>
        <v/>
      </c>
      <c r="L310" s="276">
        <f>IF($K310="","",TODAY()-$K310)</f>
        <v/>
      </c>
      <c r="M310">
        <f>IF($A310="","",IF($H310="ENGAGE","Engagé",IF(AND($H310="NON ENGAGE",OR($I310="INFRUCTUEUX",$I310="ANNULE")),"Clôturé sans suite","En cours")))</f>
        <v/>
      </c>
      <c r="N310">
        <f>IF(ISBLANK('ENGAGEMENTS 2026'!C310),"",'ENGAGEMENTS 2026'!L310)</f>
        <v/>
      </c>
      <c r="O310">
        <f>IF(ISBLANK('ENGAGEMENTS 2026'!C310),"",'ENGAGEMENTS 2026'!M310)</f>
        <v/>
      </c>
      <c r="P310">
        <f>IF(ISBLANK('ENGAGEMENTS 2026'!C310),"",'ENGAGEMENTS 2026'!K310)</f>
        <v/>
      </c>
      <c r="Q310">
        <f>IF($A310="","",IF(OR($E310="INFRUCTUEUX",$E310="ANNULE"),$A310&amp;"|"&amp;(COUNTIFS($A$2:$A310,$A310,$E$2:$E310,"INFRUCTUEUX")+COUNTIFS($A$2:$A310,$A310,$E$2:$E310,"ANNULE")),""))</f>
        <v/>
      </c>
    </row>
    <row r="311">
      <c r="A311">
        <f>IF(ISBLANK('ENGAGEMENTS 2026'!C311),"",IF('ENGAGEMENTS 2026'!C311="DTSI","DCT",'ENGAGEMENTS 2026'!C311))</f>
        <v/>
      </c>
      <c r="B311">
        <f>IF(ISBLANK('ENGAGEMENTS 2026'!C311),"",'ENGAGEMENTS 2026'!D311)</f>
        <v/>
      </c>
      <c r="C311">
        <f>IF(ISBLANK('ENGAGEMENTS 2026'!C311),"",'ENGAGEMENTS 2026'!E311)</f>
        <v/>
      </c>
      <c r="D311">
        <f>IF(ISBLANK('ENGAGEMENTS 2026'!C311),"",'ENGAGEMENTS 2026'!G311)</f>
        <v/>
      </c>
      <c r="E311">
        <f>IF(ISBLANK('ENGAGEMENTS 2026'!C311),"",'ENGAGEMENTS 2026'!I311)</f>
        <v/>
      </c>
      <c r="F311">
        <f>IF(ISBLANK('ENGAGEMENTS 2026'!C311),"",'ENGAGEMENTS 2026'!J311)</f>
        <v/>
      </c>
      <c r="G311">
        <f>IF(ISBLANK('ENGAGEMENTS 2026'!C311),"",'ENGAGEMENTS 2026'!M311)</f>
        <v/>
      </c>
      <c r="H311">
        <f>IF(ISBLANK('ENGAGEMENTS 2026'!C311),"",'ENGAGEMENTS 2026'!AF311)</f>
        <v/>
      </c>
      <c r="I311">
        <f>IF(ISBLANK('ENGAGEMENTS 2026'!C311),"",'ENGAGEMENTS 2026'!H311)</f>
        <v/>
      </c>
      <c r="J311" s="275">
        <f>IF(ISBLANK('ENGAGEMENTS 2026'!C311),"",IF(AND(OR($E311="INFRUCTUEUX",$E311="ANNULE"),$C311="AOO-M"),'ENGAGEMENTS 2026'!P311,IF($H311="EN COURS DE PREENGAGEMENT",'ENGAGEMENTS 2026'!O311,IF($H311="PREENGAGE",IF($E311="ATTRIBUE",'ENGAGEMENTS 2026'!AE311,'ENGAGEMENTS 2026'!O311),'ENGAGEMENTS 2026'!AE311))))</f>
        <v/>
      </c>
      <c r="K311" s="604">
        <f>IF(ISBLANK('ENGAGEMENTS 2026'!W311),"",'ENGAGEMENTS 2026'!W311)</f>
        <v/>
      </c>
      <c r="L311" s="276">
        <f>IF($K311="","",TODAY()-$K311)</f>
        <v/>
      </c>
      <c r="M311">
        <f>IF($A311="","",IF($H311="ENGAGE","Engagé",IF(AND($H311="NON ENGAGE",OR($I311="INFRUCTUEUX",$I311="ANNULE")),"Clôturé sans suite","En cours")))</f>
        <v/>
      </c>
      <c r="N311">
        <f>IF(ISBLANK('ENGAGEMENTS 2026'!C311),"",'ENGAGEMENTS 2026'!L311)</f>
        <v/>
      </c>
      <c r="O311">
        <f>IF(ISBLANK('ENGAGEMENTS 2026'!C311),"",'ENGAGEMENTS 2026'!M311)</f>
        <v/>
      </c>
      <c r="P311">
        <f>IF(ISBLANK('ENGAGEMENTS 2026'!C311),"",'ENGAGEMENTS 2026'!K311)</f>
        <v/>
      </c>
      <c r="Q311">
        <f>IF($A311="","",IF(OR($E311="INFRUCTUEUX",$E311="ANNULE"),$A311&amp;"|"&amp;(COUNTIFS($A$2:$A311,$A311,$E$2:$E311,"INFRUCTUEUX")+COUNTIFS($A$2:$A311,$A311,$E$2:$E311,"ANNULE")),""))</f>
        <v/>
      </c>
    </row>
    <row r="312">
      <c r="A312">
        <f>IF(ISBLANK('ENGAGEMENTS 2026'!C312),"",IF('ENGAGEMENTS 2026'!C312="DTSI","DCT",'ENGAGEMENTS 2026'!C312))</f>
        <v/>
      </c>
      <c r="B312">
        <f>IF(ISBLANK('ENGAGEMENTS 2026'!C312),"",'ENGAGEMENTS 2026'!D312)</f>
        <v/>
      </c>
      <c r="C312">
        <f>IF(ISBLANK('ENGAGEMENTS 2026'!C312),"",'ENGAGEMENTS 2026'!E312)</f>
        <v/>
      </c>
      <c r="D312">
        <f>IF(ISBLANK('ENGAGEMENTS 2026'!C312),"",'ENGAGEMENTS 2026'!G312)</f>
        <v/>
      </c>
      <c r="E312">
        <f>IF(ISBLANK('ENGAGEMENTS 2026'!C312),"",'ENGAGEMENTS 2026'!I312)</f>
        <v/>
      </c>
      <c r="F312">
        <f>IF(ISBLANK('ENGAGEMENTS 2026'!C312),"",'ENGAGEMENTS 2026'!J312)</f>
        <v/>
      </c>
      <c r="G312">
        <f>IF(ISBLANK('ENGAGEMENTS 2026'!C312),"",'ENGAGEMENTS 2026'!M312)</f>
        <v/>
      </c>
      <c r="H312">
        <f>IF(ISBLANK('ENGAGEMENTS 2026'!C312),"",'ENGAGEMENTS 2026'!AF312)</f>
        <v/>
      </c>
      <c r="I312">
        <f>IF(ISBLANK('ENGAGEMENTS 2026'!C312),"",'ENGAGEMENTS 2026'!H312)</f>
        <v/>
      </c>
      <c r="J312" s="275">
        <f>IF(ISBLANK('ENGAGEMENTS 2026'!C312),"",IF(AND(OR($E312="INFRUCTUEUX",$E312="ANNULE"),$C312="AOO-M"),'ENGAGEMENTS 2026'!P312,IF($H312="EN COURS DE PREENGAGEMENT",'ENGAGEMENTS 2026'!O312,IF($H312="PREENGAGE",IF($E312="ATTRIBUE",'ENGAGEMENTS 2026'!AE312,'ENGAGEMENTS 2026'!O312),'ENGAGEMENTS 2026'!AE312))))</f>
        <v/>
      </c>
      <c r="K312" s="604">
        <f>IF(ISBLANK('ENGAGEMENTS 2026'!W312),"",'ENGAGEMENTS 2026'!W312)</f>
        <v/>
      </c>
      <c r="L312" s="276">
        <f>IF($K312="","",TODAY()-$K312)</f>
        <v/>
      </c>
      <c r="M312">
        <f>IF($A312="","",IF($H312="ENGAGE","Engagé",IF(AND($H312="NON ENGAGE",OR($I312="INFRUCTUEUX",$I312="ANNULE")),"Clôturé sans suite","En cours")))</f>
        <v/>
      </c>
      <c r="N312">
        <f>IF(ISBLANK('ENGAGEMENTS 2026'!C312),"",'ENGAGEMENTS 2026'!L312)</f>
        <v/>
      </c>
      <c r="O312">
        <f>IF(ISBLANK('ENGAGEMENTS 2026'!C312),"",'ENGAGEMENTS 2026'!M312)</f>
        <v/>
      </c>
      <c r="P312">
        <f>IF(ISBLANK('ENGAGEMENTS 2026'!C312),"",'ENGAGEMENTS 2026'!K312)</f>
        <v/>
      </c>
      <c r="Q312">
        <f>IF($A312="","",IF(OR($E312="INFRUCTUEUX",$E312="ANNULE"),$A312&amp;"|"&amp;(COUNTIFS($A$2:$A312,$A312,$E$2:$E312,"INFRUCTUEUX")+COUNTIFS($A$2:$A312,$A312,$E$2:$E312,"ANNULE")),""))</f>
        <v/>
      </c>
    </row>
    <row r="313">
      <c r="A313">
        <f>IF(ISBLANK('ENGAGEMENTS 2026'!C313),"",IF('ENGAGEMENTS 2026'!C313="DTSI","DCT",'ENGAGEMENTS 2026'!C313))</f>
        <v/>
      </c>
      <c r="B313">
        <f>IF(ISBLANK('ENGAGEMENTS 2026'!C313),"",'ENGAGEMENTS 2026'!D313)</f>
        <v/>
      </c>
      <c r="C313">
        <f>IF(ISBLANK('ENGAGEMENTS 2026'!C313),"",'ENGAGEMENTS 2026'!E313)</f>
        <v/>
      </c>
      <c r="D313">
        <f>IF(ISBLANK('ENGAGEMENTS 2026'!C313),"",'ENGAGEMENTS 2026'!G313)</f>
        <v/>
      </c>
      <c r="E313">
        <f>IF(ISBLANK('ENGAGEMENTS 2026'!C313),"",'ENGAGEMENTS 2026'!I313)</f>
        <v/>
      </c>
      <c r="F313">
        <f>IF(ISBLANK('ENGAGEMENTS 2026'!C313),"",'ENGAGEMENTS 2026'!J313)</f>
        <v/>
      </c>
      <c r="G313">
        <f>IF(ISBLANK('ENGAGEMENTS 2026'!C313),"",'ENGAGEMENTS 2026'!M313)</f>
        <v/>
      </c>
      <c r="H313">
        <f>IF(ISBLANK('ENGAGEMENTS 2026'!C313),"",'ENGAGEMENTS 2026'!AF313)</f>
        <v/>
      </c>
      <c r="I313">
        <f>IF(ISBLANK('ENGAGEMENTS 2026'!C313),"",'ENGAGEMENTS 2026'!H313)</f>
        <v/>
      </c>
      <c r="J313" s="275">
        <f>IF(ISBLANK('ENGAGEMENTS 2026'!C313),"",IF(AND(OR($E313="INFRUCTUEUX",$E313="ANNULE"),$C313="AOO-M"),'ENGAGEMENTS 2026'!P313,IF($H313="EN COURS DE PREENGAGEMENT",'ENGAGEMENTS 2026'!O313,IF($H313="PREENGAGE",IF($E313="ATTRIBUE",'ENGAGEMENTS 2026'!AE313,'ENGAGEMENTS 2026'!O313),'ENGAGEMENTS 2026'!AE313))))</f>
        <v/>
      </c>
      <c r="K313" s="604">
        <f>IF(ISBLANK('ENGAGEMENTS 2026'!W313),"",'ENGAGEMENTS 2026'!W313)</f>
        <v/>
      </c>
      <c r="L313" s="276">
        <f>IF($K313="","",TODAY()-$K313)</f>
        <v/>
      </c>
      <c r="M313">
        <f>IF($A313="","",IF($H313="ENGAGE","Engagé",IF(AND($H313="NON ENGAGE",OR($I313="INFRUCTUEUX",$I313="ANNULE")),"Clôturé sans suite","En cours")))</f>
        <v/>
      </c>
      <c r="N313">
        <f>IF(ISBLANK('ENGAGEMENTS 2026'!C313),"",'ENGAGEMENTS 2026'!L313)</f>
        <v/>
      </c>
      <c r="O313">
        <f>IF(ISBLANK('ENGAGEMENTS 2026'!C313),"",'ENGAGEMENTS 2026'!M313)</f>
        <v/>
      </c>
      <c r="P313">
        <f>IF(ISBLANK('ENGAGEMENTS 2026'!C313),"",'ENGAGEMENTS 2026'!K313)</f>
        <v/>
      </c>
      <c r="Q313">
        <f>IF($A313="","",IF(OR($E313="INFRUCTUEUX",$E313="ANNULE"),$A313&amp;"|"&amp;(COUNTIFS($A$2:$A313,$A313,$E$2:$E313,"INFRUCTUEUX")+COUNTIFS($A$2:$A313,$A313,$E$2:$E313,"ANNULE")),""))</f>
        <v/>
      </c>
    </row>
    <row r="314">
      <c r="A314">
        <f>IF(ISBLANK('ENGAGEMENTS 2026'!C314),"",IF('ENGAGEMENTS 2026'!C314="DTSI","DCT",'ENGAGEMENTS 2026'!C314))</f>
        <v/>
      </c>
      <c r="B314">
        <f>IF(ISBLANK('ENGAGEMENTS 2026'!C314),"",'ENGAGEMENTS 2026'!D314)</f>
        <v/>
      </c>
      <c r="C314">
        <f>IF(ISBLANK('ENGAGEMENTS 2026'!C314),"",'ENGAGEMENTS 2026'!E314)</f>
        <v/>
      </c>
      <c r="D314">
        <f>IF(ISBLANK('ENGAGEMENTS 2026'!C314),"",'ENGAGEMENTS 2026'!G314)</f>
        <v/>
      </c>
      <c r="E314">
        <f>IF(ISBLANK('ENGAGEMENTS 2026'!C314),"",'ENGAGEMENTS 2026'!I314)</f>
        <v/>
      </c>
      <c r="F314">
        <f>IF(ISBLANK('ENGAGEMENTS 2026'!C314),"",'ENGAGEMENTS 2026'!J314)</f>
        <v/>
      </c>
      <c r="G314">
        <f>IF(ISBLANK('ENGAGEMENTS 2026'!C314),"",'ENGAGEMENTS 2026'!M314)</f>
        <v/>
      </c>
      <c r="H314">
        <f>IF(ISBLANK('ENGAGEMENTS 2026'!C314),"",'ENGAGEMENTS 2026'!AF314)</f>
        <v/>
      </c>
      <c r="I314">
        <f>IF(ISBLANK('ENGAGEMENTS 2026'!C314),"",'ENGAGEMENTS 2026'!H314)</f>
        <v/>
      </c>
      <c r="J314" s="275">
        <f>IF(ISBLANK('ENGAGEMENTS 2026'!C314),"",IF(AND(OR($E314="INFRUCTUEUX",$E314="ANNULE"),$C314="AOO-M"),'ENGAGEMENTS 2026'!P314,IF($H314="EN COURS DE PREENGAGEMENT",'ENGAGEMENTS 2026'!O314,IF($H314="PREENGAGE",IF($E314="ATTRIBUE",'ENGAGEMENTS 2026'!AE314,'ENGAGEMENTS 2026'!O314),'ENGAGEMENTS 2026'!AE314))))</f>
        <v/>
      </c>
      <c r="K314" s="604">
        <f>IF(ISBLANK('ENGAGEMENTS 2026'!W314),"",'ENGAGEMENTS 2026'!W314)</f>
        <v/>
      </c>
      <c r="L314" s="276">
        <f>IF($K314="","",TODAY()-$K314)</f>
        <v/>
      </c>
      <c r="M314">
        <f>IF($A314="","",IF($H314="ENGAGE","Engagé",IF(AND($H314="NON ENGAGE",OR($I314="INFRUCTUEUX",$I314="ANNULE")),"Clôturé sans suite","En cours")))</f>
        <v/>
      </c>
      <c r="N314">
        <f>IF(ISBLANK('ENGAGEMENTS 2026'!C314),"",'ENGAGEMENTS 2026'!L314)</f>
        <v/>
      </c>
      <c r="O314">
        <f>IF(ISBLANK('ENGAGEMENTS 2026'!C314),"",'ENGAGEMENTS 2026'!M314)</f>
        <v/>
      </c>
      <c r="P314">
        <f>IF(ISBLANK('ENGAGEMENTS 2026'!C314),"",'ENGAGEMENTS 2026'!K314)</f>
        <v/>
      </c>
      <c r="Q314">
        <f>IF($A314="","",IF(OR($E314="INFRUCTUEUX",$E314="ANNULE"),$A314&amp;"|"&amp;(COUNTIFS($A$2:$A314,$A314,$E$2:$E314,"INFRUCTUEUX")+COUNTIFS($A$2:$A314,$A314,$E$2:$E314,"ANNULE")),""))</f>
        <v/>
      </c>
    </row>
    <row r="315">
      <c r="A315">
        <f>IF(ISBLANK('ENGAGEMENTS 2026'!C315),"",IF('ENGAGEMENTS 2026'!C315="DTSI","DCT",'ENGAGEMENTS 2026'!C315))</f>
        <v/>
      </c>
      <c r="B315">
        <f>IF(ISBLANK('ENGAGEMENTS 2026'!C315),"",'ENGAGEMENTS 2026'!D315)</f>
        <v/>
      </c>
      <c r="C315">
        <f>IF(ISBLANK('ENGAGEMENTS 2026'!C315),"",'ENGAGEMENTS 2026'!E315)</f>
        <v/>
      </c>
      <c r="D315">
        <f>IF(ISBLANK('ENGAGEMENTS 2026'!C315),"",'ENGAGEMENTS 2026'!G315)</f>
        <v/>
      </c>
      <c r="E315">
        <f>IF(ISBLANK('ENGAGEMENTS 2026'!C315),"",'ENGAGEMENTS 2026'!I315)</f>
        <v/>
      </c>
      <c r="F315">
        <f>IF(ISBLANK('ENGAGEMENTS 2026'!C315),"",'ENGAGEMENTS 2026'!J315)</f>
        <v/>
      </c>
      <c r="G315">
        <f>IF(ISBLANK('ENGAGEMENTS 2026'!C315),"",'ENGAGEMENTS 2026'!M315)</f>
        <v/>
      </c>
      <c r="H315">
        <f>IF(ISBLANK('ENGAGEMENTS 2026'!C315),"",'ENGAGEMENTS 2026'!AF315)</f>
        <v/>
      </c>
      <c r="I315">
        <f>IF(ISBLANK('ENGAGEMENTS 2026'!C315),"",'ENGAGEMENTS 2026'!H315)</f>
        <v/>
      </c>
      <c r="J315" s="275">
        <f>IF(ISBLANK('ENGAGEMENTS 2026'!C315),"",IF(AND(OR($E315="INFRUCTUEUX",$E315="ANNULE"),$C315="AOO-M"),'ENGAGEMENTS 2026'!P315,IF($H315="EN COURS DE PREENGAGEMENT",'ENGAGEMENTS 2026'!O315,IF($H315="PREENGAGE",IF($E315="ATTRIBUE",'ENGAGEMENTS 2026'!AE315,'ENGAGEMENTS 2026'!O315),'ENGAGEMENTS 2026'!AE315))))</f>
        <v/>
      </c>
      <c r="K315" s="604">
        <f>IF(ISBLANK('ENGAGEMENTS 2026'!W315),"",'ENGAGEMENTS 2026'!W315)</f>
        <v/>
      </c>
      <c r="L315" s="276">
        <f>IF($K315="","",TODAY()-$K315)</f>
        <v/>
      </c>
      <c r="M315">
        <f>IF($A315="","",IF($H315="ENGAGE","Engagé",IF(AND($H315="NON ENGAGE",OR($I315="INFRUCTUEUX",$I315="ANNULE")),"Clôturé sans suite","En cours")))</f>
        <v/>
      </c>
      <c r="N315">
        <f>IF(ISBLANK('ENGAGEMENTS 2026'!C315),"",'ENGAGEMENTS 2026'!L315)</f>
        <v/>
      </c>
      <c r="O315">
        <f>IF(ISBLANK('ENGAGEMENTS 2026'!C315),"",'ENGAGEMENTS 2026'!M315)</f>
        <v/>
      </c>
      <c r="P315">
        <f>IF(ISBLANK('ENGAGEMENTS 2026'!C315),"",'ENGAGEMENTS 2026'!K315)</f>
        <v/>
      </c>
      <c r="Q315">
        <f>IF($A315="","",IF(OR($E315="INFRUCTUEUX",$E315="ANNULE"),$A315&amp;"|"&amp;(COUNTIFS($A$2:$A315,$A315,$E$2:$E315,"INFRUCTUEUX")+COUNTIFS($A$2:$A315,$A315,$E$2:$E315,"ANNULE")),""))</f>
        <v/>
      </c>
    </row>
    <row r="316">
      <c r="A316">
        <f>IF(ISBLANK('ENGAGEMENTS 2026'!C316),"",IF('ENGAGEMENTS 2026'!C316="DTSI","DCT",'ENGAGEMENTS 2026'!C316))</f>
        <v/>
      </c>
      <c r="B316">
        <f>IF(ISBLANK('ENGAGEMENTS 2026'!C316),"",'ENGAGEMENTS 2026'!D316)</f>
        <v/>
      </c>
      <c r="C316">
        <f>IF(ISBLANK('ENGAGEMENTS 2026'!C316),"",'ENGAGEMENTS 2026'!E316)</f>
        <v/>
      </c>
      <c r="D316">
        <f>IF(ISBLANK('ENGAGEMENTS 2026'!C316),"",'ENGAGEMENTS 2026'!G316)</f>
        <v/>
      </c>
      <c r="E316">
        <f>IF(ISBLANK('ENGAGEMENTS 2026'!C316),"",'ENGAGEMENTS 2026'!I316)</f>
        <v/>
      </c>
      <c r="F316">
        <f>IF(ISBLANK('ENGAGEMENTS 2026'!C316),"",'ENGAGEMENTS 2026'!J316)</f>
        <v/>
      </c>
      <c r="G316">
        <f>IF(ISBLANK('ENGAGEMENTS 2026'!C316),"",'ENGAGEMENTS 2026'!M316)</f>
        <v/>
      </c>
      <c r="H316">
        <f>IF(ISBLANK('ENGAGEMENTS 2026'!C316),"",'ENGAGEMENTS 2026'!AF316)</f>
        <v/>
      </c>
      <c r="I316">
        <f>IF(ISBLANK('ENGAGEMENTS 2026'!C316),"",'ENGAGEMENTS 2026'!H316)</f>
        <v/>
      </c>
      <c r="J316" s="275">
        <f>IF(ISBLANK('ENGAGEMENTS 2026'!C316),"",IF(AND(OR($E316="INFRUCTUEUX",$E316="ANNULE"),$C316="AOO-M"),'ENGAGEMENTS 2026'!P316,IF($H316="EN COURS DE PREENGAGEMENT",'ENGAGEMENTS 2026'!O316,IF($H316="PREENGAGE",IF($E316="ATTRIBUE",'ENGAGEMENTS 2026'!AE316,'ENGAGEMENTS 2026'!O316),'ENGAGEMENTS 2026'!AE316))))</f>
        <v/>
      </c>
      <c r="K316" s="604">
        <f>IF(ISBLANK('ENGAGEMENTS 2026'!W316),"",'ENGAGEMENTS 2026'!W316)</f>
        <v/>
      </c>
      <c r="L316" s="276">
        <f>IF($K316="","",TODAY()-$K316)</f>
        <v/>
      </c>
      <c r="M316">
        <f>IF($A316="","",IF($H316="ENGAGE","Engagé",IF(AND($H316="NON ENGAGE",OR($I316="INFRUCTUEUX",$I316="ANNULE")),"Clôturé sans suite","En cours")))</f>
        <v/>
      </c>
      <c r="N316">
        <f>IF(ISBLANK('ENGAGEMENTS 2026'!C316),"",'ENGAGEMENTS 2026'!L316)</f>
        <v/>
      </c>
      <c r="O316">
        <f>IF(ISBLANK('ENGAGEMENTS 2026'!C316),"",'ENGAGEMENTS 2026'!M316)</f>
        <v/>
      </c>
      <c r="P316">
        <f>IF(ISBLANK('ENGAGEMENTS 2026'!C316),"",'ENGAGEMENTS 2026'!K316)</f>
        <v/>
      </c>
      <c r="Q316">
        <f>IF($A316="","",IF(OR($E316="INFRUCTUEUX",$E316="ANNULE"),$A316&amp;"|"&amp;(COUNTIFS($A$2:$A316,$A316,$E$2:$E316,"INFRUCTUEUX")+COUNTIFS($A$2:$A316,$A316,$E$2:$E316,"ANNULE")),""))</f>
        <v/>
      </c>
    </row>
    <row r="317">
      <c r="A317">
        <f>IF(ISBLANK('ENGAGEMENTS 2026'!C317),"",IF('ENGAGEMENTS 2026'!C317="DTSI","DCT",'ENGAGEMENTS 2026'!C317))</f>
        <v/>
      </c>
      <c r="B317">
        <f>IF(ISBLANK('ENGAGEMENTS 2026'!C317),"",'ENGAGEMENTS 2026'!D317)</f>
        <v/>
      </c>
      <c r="C317">
        <f>IF(ISBLANK('ENGAGEMENTS 2026'!C317),"",'ENGAGEMENTS 2026'!E317)</f>
        <v/>
      </c>
      <c r="D317">
        <f>IF(ISBLANK('ENGAGEMENTS 2026'!C317),"",'ENGAGEMENTS 2026'!G317)</f>
        <v/>
      </c>
      <c r="E317">
        <f>IF(ISBLANK('ENGAGEMENTS 2026'!C317),"",'ENGAGEMENTS 2026'!I317)</f>
        <v/>
      </c>
      <c r="F317">
        <f>IF(ISBLANK('ENGAGEMENTS 2026'!C317),"",'ENGAGEMENTS 2026'!J317)</f>
        <v/>
      </c>
      <c r="G317">
        <f>IF(ISBLANK('ENGAGEMENTS 2026'!C317),"",'ENGAGEMENTS 2026'!M317)</f>
        <v/>
      </c>
      <c r="H317">
        <f>IF(ISBLANK('ENGAGEMENTS 2026'!C317),"",'ENGAGEMENTS 2026'!AF317)</f>
        <v/>
      </c>
      <c r="I317">
        <f>IF(ISBLANK('ENGAGEMENTS 2026'!C317),"",'ENGAGEMENTS 2026'!H317)</f>
        <v/>
      </c>
      <c r="J317" s="275">
        <f>IF(ISBLANK('ENGAGEMENTS 2026'!C317),"",IF(AND(OR($E317="INFRUCTUEUX",$E317="ANNULE"),$C317="AOO-M"),'ENGAGEMENTS 2026'!P317,IF($H317="EN COURS DE PREENGAGEMENT",'ENGAGEMENTS 2026'!O317,IF($H317="PREENGAGE",IF($E317="ATTRIBUE",'ENGAGEMENTS 2026'!AE317,'ENGAGEMENTS 2026'!O317),'ENGAGEMENTS 2026'!AE317))))</f>
        <v/>
      </c>
      <c r="K317" s="604">
        <f>IF(ISBLANK('ENGAGEMENTS 2026'!W317),"",'ENGAGEMENTS 2026'!W317)</f>
        <v/>
      </c>
      <c r="L317" s="276">
        <f>IF($K317="","",TODAY()-$K317)</f>
        <v/>
      </c>
      <c r="M317">
        <f>IF($A317="","",IF($H317="ENGAGE","Engagé",IF(AND($H317="NON ENGAGE",OR($I317="INFRUCTUEUX",$I317="ANNULE")),"Clôturé sans suite","En cours")))</f>
        <v/>
      </c>
      <c r="N317">
        <f>IF(ISBLANK('ENGAGEMENTS 2026'!C317),"",'ENGAGEMENTS 2026'!L317)</f>
        <v/>
      </c>
      <c r="O317">
        <f>IF(ISBLANK('ENGAGEMENTS 2026'!C317),"",'ENGAGEMENTS 2026'!M317)</f>
        <v/>
      </c>
      <c r="P317">
        <f>IF(ISBLANK('ENGAGEMENTS 2026'!C317),"",'ENGAGEMENTS 2026'!K317)</f>
        <v/>
      </c>
      <c r="Q317">
        <f>IF($A317="","",IF(OR($E317="INFRUCTUEUX",$E317="ANNULE"),$A317&amp;"|"&amp;(COUNTIFS($A$2:$A317,$A317,$E$2:$E317,"INFRUCTUEUX")+COUNTIFS($A$2:$A317,$A317,$E$2:$E317,"ANNULE")),""))</f>
        <v/>
      </c>
    </row>
    <row r="318">
      <c r="A318">
        <f>IF(ISBLANK('ENGAGEMENTS 2026'!C318),"",IF('ENGAGEMENTS 2026'!C318="DTSI","DCT",'ENGAGEMENTS 2026'!C318))</f>
        <v/>
      </c>
      <c r="B318">
        <f>IF(ISBLANK('ENGAGEMENTS 2026'!C318),"",'ENGAGEMENTS 2026'!D318)</f>
        <v/>
      </c>
      <c r="C318">
        <f>IF(ISBLANK('ENGAGEMENTS 2026'!C318),"",'ENGAGEMENTS 2026'!E318)</f>
        <v/>
      </c>
      <c r="D318">
        <f>IF(ISBLANK('ENGAGEMENTS 2026'!C318),"",'ENGAGEMENTS 2026'!G318)</f>
        <v/>
      </c>
      <c r="E318">
        <f>IF(ISBLANK('ENGAGEMENTS 2026'!C318),"",'ENGAGEMENTS 2026'!I318)</f>
        <v/>
      </c>
      <c r="F318">
        <f>IF(ISBLANK('ENGAGEMENTS 2026'!C318),"",'ENGAGEMENTS 2026'!J318)</f>
        <v/>
      </c>
      <c r="G318">
        <f>IF(ISBLANK('ENGAGEMENTS 2026'!C318),"",'ENGAGEMENTS 2026'!M318)</f>
        <v/>
      </c>
      <c r="H318">
        <f>IF(ISBLANK('ENGAGEMENTS 2026'!C318),"",'ENGAGEMENTS 2026'!AF318)</f>
        <v/>
      </c>
      <c r="I318">
        <f>IF(ISBLANK('ENGAGEMENTS 2026'!C318),"",'ENGAGEMENTS 2026'!H318)</f>
        <v/>
      </c>
      <c r="J318" s="275">
        <f>IF(ISBLANK('ENGAGEMENTS 2026'!C318),"",IF(AND(OR($E318="INFRUCTUEUX",$E318="ANNULE"),$C318="AOO-M"),'ENGAGEMENTS 2026'!P318,IF($H318="EN COURS DE PREENGAGEMENT",'ENGAGEMENTS 2026'!O318,IF($H318="PREENGAGE",IF($E318="ATTRIBUE",'ENGAGEMENTS 2026'!AE318,'ENGAGEMENTS 2026'!O318),'ENGAGEMENTS 2026'!AE318))))</f>
        <v/>
      </c>
      <c r="K318" s="604">
        <f>IF(ISBLANK('ENGAGEMENTS 2026'!W318),"",'ENGAGEMENTS 2026'!W318)</f>
        <v/>
      </c>
      <c r="L318" s="276">
        <f>IF($K318="","",TODAY()-$K318)</f>
        <v/>
      </c>
      <c r="M318">
        <f>IF($A318="","",IF($H318="ENGAGE","Engagé",IF(AND($H318="NON ENGAGE",OR($I318="INFRUCTUEUX",$I318="ANNULE")),"Clôturé sans suite","En cours")))</f>
        <v/>
      </c>
      <c r="N318">
        <f>IF(ISBLANK('ENGAGEMENTS 2026'!C318),"",'ENGAGEMENTS 2026'!L318)</f>
        <v/>
      </c>
      <c r="O318">
        <f>IF(ISBLANK('ENGAGEMENTS 2026'!C318),"",'ENGAGEMENTS 2026'!M318)</f>
        <v/>
      </c>
      <c r="P318">
        <f>IF(ISBLANK('ENGAGEMENTS 2026'!C318),"",'ENGAGEMENTS 2026'!K318)</f>
        <v/>
      </c>
      <c r="Q318">
        <f>IF($A318="","",IF(OR($E318="INFRUCTUEUX",$E318="ANNULE"),$A318&amp;"|"&amp;(COUNTIFS($A$2:$A318,$A318,$E$2:$E318,"INFRUCTUEUX")+COUNTIFS($A$2:$A318,$A318,$E$2:$E318,"ANNULE")),""))</f>
        <v/>
      </c>
    </row>
    <row r="319">
      <c r="A319">
        <f>IF(ISBLANK('ENGAGEMENTS 2026'!C319),"",IF('ENGAGEMENTS 2026'!C319="DTSI","DCT",'ENGAGEMENTS 2026'!C319))</f>
        <v/>
      </c>
      <c r="B319">
        <f>IF(ISBLANK('ENGAGEMENTS 2026'!C319),"",'ENGAGEMENTS 2026'!D319)</f>
        <v/>
      </c>
      <c r="C319">
        <f>IF(ISBLANK('ENGAGEMENTS 2026'!C319),"",'ENGAGEMENTS 2026'!E319)</f>
        <v/>
      </c>
      <c r="D319">
        <f>IF(ISBLANK('ENGAGEMENTS 2026'!C319),"",'ENGAGEMENTS 2026'!G319)</f>
        <v/>
      </c>
      <c r="E319">
        <f>IF(ISBLANK('ENGAGEMENTS 2026'!C319),"",'ENGAGEMENTS 2026'!I319)</f>
        <v/>
      </c>
      <c r="F319">
        <f>IF(ISBLANK('ENGAGEMENTS 2026'!C319),"",'ENGAGEMENTS 2026'!J319)</f>
        <v/>
      </c>
      <c r="G319">
        <f>IF(ISBLANK('ENGAGEMENTS 2026'!C319),"",'ENGAGEMENTS 2026'!M319)</f>
        <v/>
      </c>
      <c r="H319">
        <f>IF(ISBLANK('ENGAGEMENTS 2026'!C319),"",'ENGAGEMENTS 2026'!AF319)</f>
        <v/>
      </c>
      <c r="I319">
        <f>IF(ISBLANK('ENGAGEMENTS 2026'!C319),"",'ENGAGEMENTS 2026'!H319)</f>
        <v/>
      </c>
      <c r="J319" s="275">
        <f>IF(ISBLANK('ENGAGEMENTS 2026'!C319),"",IF(AND(OR($E319="INFRUCTUEUX",$E319="ANNULE"),$C319="AOO-M"),'ENGAGEMENTS 2026'!P319,IF($H319="EN COURS DE PREENGAGEMENT",'ENGAGEMENTS 2026'!O319,IF($H319="PREENGAGE",IF($E319="ATTRIBUE",'ENGAGEMENTS 2026'!AE319,'ENGAGEMENTS 2026'!O319),'ENGAGEMENTS 2026'!AE319))))</f>
        <v/>
      </c>
      <c r="K319" s="604">
        <f>IF(ISBLANK('ENGAGEMENTS 2026'!W319),"",'ENGAGEMENTS 2026'!W319)</f>
        <v/>
      </c>
      <c r="L319" s="276">
        <f>IF($K319="","",TODAY()-$K319)</f>
        <v/>
      </c>
      <c r="M319">
        <f>IF($A319="","",IF($H319="ENGAGE","Engagé",IF(AND($H319="NON ENGAGE",OR($I319="INFRUCTUEUX",$I319="ANNULE")),"Clôturé sans suite","En cours")))</f>
        <v/>
      </c>
      <c r="N319">
        <f>IF(ISBLANK('ENGAGEMENTS 2026'!C319),"",'ENGAGEMENTS 2026'!L319)</f>
        <v/>
      </c>
      <c r="O319">
        <f>IF(ISBLANK('ENGAGEMENTS 2026'!C319),"",'ENGAGEMENTS 2026'!M319)</f>
        <v/>
      </c>
      <c r="P319">
        <f>IF(ISBLANK('ENGAGEMENTS 2026'!C319),"",'ENGAGEMENTS 2026'!K319)</f>
        <v/>
      </c>
      <c r="Q319">
        <f>IF($A319="","",IF(OR($E319="INFRUCTUEUX",$E319="ANNULE"),$A319&amp;"|"&amp;(COUNTIFS($A$2:$A319,$A319,$E$2:$E319,"INFRUCTUEUX")+COUNTIFS($A$2:$A319,$A319,$E$2:$E319,"ANNULE")),""))</f>
        <v/>
      </c>
    </row>
    <row r="320">
      <c r="A320">
        <f>IF(ISBLANK('ENGAGEMENTS 2026'!C320),"",IF('ENGAGEMENTS 2026'!C320="DTSI","DCT",'ENGAGEMENTS 2026'!C320))</f>
        <v/>
      </c>
      <c r="B320">
        <f>IF(ISBLANK('ENGAGEMENTS 2026'!C320),"",'ENGAGEMENTS 2026'!D320)</f>
        <v/>
      </c>
      <c r="C320">
        <f>IF(ISBLANK('ENGAGEMENTS 2026'!C320),"",'ENGAGEMENTS 2026'!E320)</f>
        <v/>
      </c>
      <c r="D320">
        <f>IF(ISBLANK('ENGAGEMENTS 2026'!C320),"",'ENGAGEMENTS 2026'!G320)</f>
        <v/>
      </c>
      <c r="E320">
        <f>IF(ISBLANK('ENGAGEMENTS 2026'!C320),"",'ENGAGEMENTS 2026'!I320)</f>
        <v/>
      </c>
      <c r="F320">
        <f>IF(ISBLANK('ENGAGEMENTS 2026'!C320),"",'ENGAGEMENTS 2026'!J320)</f>
        <v/>
      </c>
      <c r="G320">
        <f>IF(ISBLANK('ENGAGEMENTS 2026'!C320),"",'ENGAGEMENTS 2026'!M320)</f>
        <v/>
      </c>
      <c r="H320">
        <f>IF(ISBLANK('ENGAGEMENTS 2026'!C320),"",'ENGAGEMENTS 2026'!AF320)</f>
        <v/>
      </c>
      <c r="I320">
        <f>IF(ISBLANK('ENGAGEMENTS 2026'!C320),"",'ENGAGEMENTS 2026'!H320)</f>
        <v/>
      </c>
      <c r="J320" s="275">
        <f>IF(ISBLANK('ENGAGEMENTS 2026'!C320),"",IF(AND(OR($E320="INFRUCTUEUX",$E320="ANNULE"),$C320="AOO-M"),'ENGAGEMENTS 2026'!P320,IF($H320="EN COURS DE PREENGAGEMENT",'ENGAGEMENTS 2026'!O320,IF($H320="PREENGAGE",IF($E320="ATTRIBUE",'ENGAGEMENTS 2026'!AE320,'ENGAGEMENTS 2026'!O320),'ENGAGEMENTS 2026'!AE320))))</f>
        <v/>
      </c>
      <c r="K320" s="604">
        <f>IF(ISBLANK('ENGAGEMENTS 2026'!W320),"",'ENGAGEMENTS 2026'!W320)</f>
        <v/>
      </c>
      <c r="L320" s="276">
        <f>IF($K320="","",TODAY()-$K320)</f>
        <v/>
      </c>
      <c r="M320">
        <f>IF($A320="","",IF($H320="ENGAGE","Engagé",IF(AND($H320="NON ENGAGE",OR($I320="INFRUCTUEUX",$I320="ANNULE")),"Clôturé sans suite","En cours")))</f>
        <v/>
      </c>
      <c r="N320">
        <f>IF(ISBLANK('ENGAGEMENTS 2026'!C320),"",'ENGAGEMENTS 2026'!L320)</f>
        <v/>
      </c>
      <c r="O320">
        <f>IF(ISBLANK('ENGAGEMENTS 2026'!C320),"",'ENGAGEMENTS 2026'!M320)</f>
        <v/>
      </c>
      <c r="P320">
        <f>IF(ISBLANK('ENGAGEMENTS 2026'!C320),"",'ENGAGEMENTS 2026'!K320)</f>
        <v/>
      </c>
      <c r="Q320">
        <f>IF($A320="","",IF(OR($E320="INFRUCTUEUX",$E320="ANNULE"),$A320&amp;"|"&amp;(COUNTIFS($A$2:$A320,$A320,$E$2:$E320,"INFRUCTUEUX")+COUNTIFS($A$2:$A320,$A320,$E$2:$E320,"ANNULE")),""))</f>
        <v/>
      </c>
    </row>
    <row r="321">
      <c r="A321">
        <f>IF(ISBLANK('ENGAGEMENTS 2026'!C321),"",IF('ENGAGEMENTS 2026'!C321="DTSI","DCT",'ENGAGEMENTS 2026'!C321))</f>
        <v/>
      </c>
      <c r="B321">
        <f>IF(ISBLANK('ENGAGEMENTS 2026'!C321),"",'ENGAGEMENTS 2026'!D321)</f>
        <v/>
      </c>
      <c r="C321">
        <f>IF(ISBLANK('ENGAGEMENTS 2026'!C321),"",'ENGAGEMENTS 2026'!E321)</f>
        <v/>
      </c>
      <c r="D321">
        <f>IF(ISBLANK('ENGAGEMENTS 2026'!C321),"",'ENGAGEMENTS 2026'!G321)</f>
        <v/>
      </c>
      <c r="E321">
        <f>IF(ISBLANK('ENGAGEMENTS 2026'!C321),"",'ENGAGEMENTS 2026'!I321)</f>
        <v/>
      </c>
      <c r="F321">
        <f>IF(ISBLANK('ENGAGEMENTS 2026'!C321),"",'ENGAGEMENTS 2026'!J321)</f>
        <v/>
      </c>
      <c r="G321">
        <f>IF(ISBLANK('ENGAGEMENTS 2026'!C321),"",'ENGAGEMENTS 2026'!M321)</f>
        <v/>
      </c>
      <c r="H321">
        <f>IF(ISBLANK('ENGAGEMENTS 2026'!C321),"",'ENGAGEMENTS 2026'!AF321)</f>
        <v/>
      </c>
      <c r="I321">
        <f>IF(ISBLANK('ENGAGEMENTS 2026'!C321),"",'ENGAGEMENTS 2026'!H321)</f>
        <v/>
      </c>
      <c r="J321" s="275">
        <f>IF(ISBLANK('ENGAGEMENTS 2026'!C321),"",IF(AND(OR($E321="INFRUCTUEUX",$E321="ANNULE"),$C321="AOO-M"),'ENGAGEMENTS 2026'!P321,IF($H321="EN COURS DE PREENGAGEMENT",'ENGAGEMENTS 2026'!O321,IF($H321="PREENGAGE",IF($E321="ATTRIBUE",'ENGAGEMENTS 2026'!AE321,'ENGAGEMENTS 2026'!O321),'ENGAGEMENTS 2026'!AE321))))</f>
        <v/>
      </c>
      <c r="K321" s="604">
        <f>IF(ISBLANK('ENGAGEMENTS 2026'!W321),"",'ENGAGEMENTS 2026'!W321)</f>
        <v/>
      </c>
      <c r="L321" s="276">
        <f>IF($K321="","",TODAY()-$K321)</f>
        <v/>
      </c>
      <c r="M321">
        <f>IF($A321="","",IF($H321="ENGAGE","Engagé",IF(AND($H321="NON ENGAGE",OR($I321="INFRUCTUEUX",$I321="ANNULE")),"Clôturé sans suite","En cours")))</f>
        <v/>
      </c>
      <c r="N321">
        <f>IF(ISBLANK('ENGAGEMENTS 2026'!C321),"",'ENGAGEMENTS 2026'!L321)</f>
        <v/>
      </c>
      <c r="O321">
        <f>IF(ISBLANK('ENGAGEMENTS 2026'!C321),"",'ENGAGEMENTS 2026'!M321)</f>
        <v/>
      </c>
      <c r="P321">
        <f>IF(ISBLANK('ENGAGEMENTS 2026'!C321),"",'ENGAGEMENTS 2026'!K321)</f>
        <v/>
      </c>
      <c r="Q321">
        <f>IF($A321="","",IF(OR($E321="INFRUCTUEUX",$E321="ANNULE"),$A321&amp;"|"&amp;(COUNTIFS($A$2:$A321,$A321,$E$2:$E321,"INFRUCTUEUX")+COUNTIFS($A$2:$A321,$A321,$E$2:$E321,"ANNULE")),""))</f>
        <v/>
      </c>
    </row>
    <row r="322">
      <c r="A322">
        <f>IF(ISBLANK('ENGAGEMENTS 2026'!C322),"",IF('ENGAGEMENTS 2026'!C322="DTSI","DCT",'ENGAGEMENTS 2026'!C322))</f>
        <v/>
      </c>
      <c r="B322">
        <f>IF(ISBLANK('ENGAGEMENTS 2026'!C322),"",'ENGAGEMENTS 2026'!D322)</f>
        <v/>
      </c>
      <c r="C322">
        <f>IF(ISBLANK('ENGAGEMENTS 2026'!C322),"",'ENGAGEMENTS 2026'!E322)</f>
        <v/>
      </c>
      <c r="D322">
        <f>IF(ISBLANK('ENGAGEMENTS 2026'!C322),"",'ENGAGEMENTS 2026'!G322)</f>
        <v/>
      </c>
      <c r="E322">
        <f>IF(ISBLANK('ENGAGEMENTS 2026'!C322),"",'ENGAGEMENTS 2026'!I322)</f>
        <v/>
      </c>
      <c r="F322">
        <f>IF(ISBLANK('ENGAGEMENTS 2026'!C322),"",'ENGAGEMENTS 2026'!J322)</f>
        <v/>
      </c>
      <c r="G322">
        <f>IF(ISBLANK('ENGAGEMENTS 2026'!C322),"",'ENGAGEMENTS 2026'!M322)</f>
        <v/>
      </c>
      <c r="H322">
        <f>IF(ISBLANK('ENGAGEMENTS 2026'!C322),"",'ENGAGEMENTS 2026'!AF322)</f>
        <v/>
      </c>
      <c r="I322">
        <f>IF(ISBLANK('ENGAGEMENTS 2026'!C322),"",'ENGAGEMENTS 2026'!H322)</f>
        <v/>
      </c>
      <c r="J322" s="275">
        <f>IF(ISBLANK('ENGAGEMENTS 2026'!C322),"",IF(AND(OR($E322="INFRUCTUEUX",$E322="ANNULE"),$C322="AOO-M"),'ENGAGEMENTS 2026'!P322,IF($H322="EN COURS DE PREENGAGEMENT",'ENGAGEMENTS 2026'!O322,IF($H322="PREENGAGE",IF($E322="ATTRIBUE",'ENGAGEMENTS 2026'!AE322,'ENGAGEMENTS 2026'!O322),'ENGAGEMENTS 2026'!AE322))))</f>
        <v/>
      </c>
      <c r="K322" s="604">
        <f>IF(ISBLANK('ENGAGEMENTS 2026'!W322),"",'ENGAGEMENTS 2026'!W322)</f>
        <v/>
      </c>
      <c r="L322" s="276">
        <f>IF($K322="","",TODAY()-$K322)</f>
        <v/>
      </c>
      <c r="M322">
        <f>IF($A322="","",IF($H322="ENGAGE","Engagé",IF(AND($H322="NON ENGAGE",OR($I322="INFRUCTUEUX",$I322="ANNULE")),"Clôturé sans suite","En cours")))</f>
        <v/>
      </c>
      <c r="N322">
        <f>IF(ISBLANK('ENGAGEMENTS 2026'!C322),"",'ENGAGEMENTS 2026'!L322)</f>
        <v/>
      </c>
      <c r="O322">
        <f>IF(ISBLANK('ENGAGEMENTS 2026'!C322),"",'ENGAGEMENTS 2026'!M322)</f>
        <v/>
      </c>
      <c r="P322">
        <f>IF(ISBLANK('ENGAGEMENTS 2026'!C322),"",'ENGAGEMENTS 2026'!K322)</f>
        <v/>
      </c>
      <c r="Q322">
        <f>IF($A322="","",IF(OR($E322="INFRUCTUEUX",$E322="ANNULE"),$A322&amp;"|"&amp;(COUNTIFS($A$2:$A322,$A322,$E$2:$E322,"INFRUCTUEUX")+COUNTIFS($A$2:$A322,$A322,$E$2:$E322,"ANNULE")),""))</f>
        <v/>
      </c>
    </row>
    <row r="323">
      <c r="A323">
        <f>IF(ISBLANK('ENGAGEMENTS 2026'!C323),"",IF('ENGAGEMENTS 2026'!C323="DTSI","DCT",'ENGAGEMENTS 2026'!C323))</f>
        <v/>
      </c>
      <c r="B323">
        <f>IF(ISBLANK('ENGAGEMENTS 2026'!C323),"",'ENGAGEMENTS 2026'!D323)</f>
        <v/>
      </c>
      <c r="C323">
        <f>IF(ISBLANK('ENGAGEMENTS 2026'!C323),"",'ENGAGEMENTS 2026'!E323)</f>
        <v/>
      </c>
      <c r="D323">
        <f>IF(ISBLANK('ENGAGEMENTS 2026'!C323),"",'ENGAGEMENTS 2026'!G323)</f>
        <v/>
      </c>
      <c r="E323">
        <f>IF(ISBLANK('ENGAGEMENTS 2026'!C323),"",'ENGAGEMENTS 2026'!I323)</f>
        <v/>
      </c>
      <c r="F323">
        <f>IF(ISBLANK('ENGAGEMENTS 2026'!C323),"",'ENGAGEMENTS 2026'!J323)</f>
        <v/>
      </c>
      <c r="G323">
        <f>IF(ISBLANK('ENGAGEMENTS 2026'!C323),"",'ENGAGEMENTS 2026'!M323)</f>
        <v/>
      </c>
      <c r="H323">
        <f>IF(ISBLANK('ENGAGEMENTS 2026'!C323),"",'ENGAGEMENTS 2026'!AF323)</f>
        <v/>
      </c>
      <c r="I323">
        <f>IF(ISBLANK('ENGAGEMENTS 2026'!C323),"",'ENGAGEMENTS 2026'!H323)</f>
        <v/>
      </c>
      <c r="J323" s="275">
        <f>IF(ISBLANK('ENGAGEMENTS 2026'!C323),"",IF(AND(OR($E323="INFRUCTUEUX",$E323="ANNULE"),$C323="AOO-M"),'ENGAGEMENTS 2026'!P323,IF($H323="EN COURS DE PREENGAGEMENT",'ENGAGEMENTS 2026'!O323,IF($H323="PREENGAGE",IF($E323="ATTRIBUE",'ENGAGEMENTS 2026'!AE323,'ENGAGEMENTS 2026'!O323),'ENGAGEMENTS 2026'!AE323))))</f>
        <v/>
      </c>
      <c r="K323" s="604">
        <f>IF(ISBLANK('ENGAGEMENTS 2026'!W323),"",'ENGAGEMENTS 2026'!W323)</f>
        <v/>
      </c>
      <c r="L323" s="276">
        <f>IF($K323="","",TODAY()-$K323)</f>
        <v/>
      </c>
      <c r="M323">
        <f>IF($A323="","",IF($H323="ENGAGE","Engagé",IF(AND($H323="NON ENGAGE",OR($I323="INFRUCTUEUX",$I323="ANNULE")),"Clôturé sans suite","En cours")))</f>
        <v/>
      </c>
      <c r="N323">
        <f>IF(ISBLANK('ENGAGEMENTS 2026'!C323),"",'ENGAGEMENTS 2026'!L323)</f>
        <v/>
      </c>
      <c r="O323">
        <f>IF(ISBLANK('ENGAGEMENTS 2026'!C323),"",'ENGAGEMENTS 2026'!M323)</f>
        <v/>
      </c>
      <c r="P323">
        <f>IF(ISBLANK('ENGAGEMENTS 2026'!C323),"",'ENGAGEMENTS 2026'!K323)</f>
        <v/>
      </c>
      <c r="Q323">
        <f>IF($A323="","",IF(OR($E323="INFRUCTUEUX",$E323="ANNULE"),$A323&amp;"|"&amp;(COUNTIFS($A$2:$A323,$A323,$E$2:$E323,"INFRUCTUEUX")+COUNTIFS($A$2:$A323,$A323,$E$2:$E323,"ANNULE")),""))</f>
        <v/>
      </c>
    </row>
    <row r="324">
      <c r="A324">
        <f>IF(ISBLANK('ENGAGEMENTS 2026'!C324),"",IF('ENGAGEMENTS 2026'!C324="DTSI","DCT",'ENGAGEMENTS 2026'!C324))</f>
        <v/>
      </c>
      <c r="B324">
        <f>IF(ISBLANK('ENGAGEMENTS 2026'!C324),"",'ENGAGEMENTS 2026'!D324)</f>
        <v/>
      </c>
      <c r="C324">
        <f>IF(ISBLANK('ENGAGEMENTS 2026'!C324),"",'ENGAGEMENTS 2026'!E324)</f>
        <v/>
      </c>
      <c r="D324">
        <f>IF(ISBLANK('ENGAGEMENTS 2026'!C324),"",'ENGAGEMENTS 2026'!G324)</f>
        <v/>
      </c>
      <c r="E324">
        <f>IF(ISBLANK('ENGAGEMENTS 2026'!C324),"",'ENGAGEMENTS 2026'!I324)</f>
        <v/>
      </c>
      <c r="F324">
        <f>IF(ISBLANK('ENGAGEMENTS 2026'!C324),"",'ENGAGEMENTS 2026'!J324)</f>
        <v/>
      </c>
      <c r="G324">
        <f>IF(ISBLANK('ENGAGEMENTS 2026'!C324),"",'ENGAGEMENTS 2026'!M324)</f>
        <v/>
      </c>
      <c r="H324">
        <f>IF(ISBLANK('ENGAGEMENTS 2026'!C324),"",'ENGAGEMENTS 2026'!AF324)</f>
        <v/>
      </c>
      <c r="I324">
        <f>IF(ISBLANK('ENGAGEMENTS 2026'!C324),"",'ENGAGEMENTS 2026'!H324)</f>
        <v/>
      </c>
      <c r="J324" s="275">
        <f>IF(ISBLANK('ENGAGEMENTS 2026'!C324),"",IF(AND(OR($E324="INFRUCTUEUX",$E324="ANNULE"),$C324="AOO-M"),'ENGAGEMENTS 2026'!P324,IF($H324="EN COURS DE PREENGAGEMENT",'ENGAGEMENTS 2026'!O324,IF($H324="PREENGAGE",IF($E324="ATTRIBUE",'ENGAGEMENTS 2026'!AE324,'ENGAGEMENTS 2026'!O324),'ENGAGEMENTS 2026'!AE324))))</f>
        <v/>
      </c>
      <c r="K324" s="604">
        <f>IF(ISBLANK('ENGAGEMENTS 2026'!W324),"",'ENGAGEMENTS 2026'!W324)</f>
        <v/>
      </c>
      <c r="L324" s="276">
        <f>IF($K324="","",TODAY()-$K324)</f>
        <v/>
      </c>
      <c r="M324">
        <f>IF($A324="","",IF($H324="ENGAGE","Engagé",IF(AND($H324="NON ENGAGE",OR($I324="INFRUCTUEUX",$I324="ANNULE")),"Clôturé sans suite","En cours")))</f>
        <v/>
      </c>
      <c r="N324">
        <f>IF(ISBLANK('ENGAGEMENTS 2026'!C324),"",'ENGAGEMENTS 2026'!L324)</f>
        <v/>
      </c>
      <c r="O324">
        <f>IF(ISBLANK('ENGAGEMENTS 2026'!C324),"",'ENGAGEMENTS 2026'!M324)</f>
        <v/>
      </c>
      <c r="P324">
        <f>IF(ISBLANK('ENGAGEMENTS 2026'!C324),"",'ENGAGEMENTS 2026'!K324)</f>
        <v/>
      </c>
      <c r="Q324">
        <f>IF($A324="","",IF(OR($E324="INFRUCTUEUX",$E324="ANNULE"),$A324&amp;"|"&amp;(COUNTIFS($A$2:$A324,$A324,$E$2:$E324,"INFRUCTUEUX")+COUNTIFS($A$2:$A324,$A324,$E$2:$E324,"ANNULE")),""))</f>
        <v/>
      </c>
    </row>
    <row r="325">
      <c r="A325">
        <f>IF(ISBLANK('ENGAGEMENTS 2026'!C325),"",IF('ENGAGEMENTS 2026'!C325="DTSI","DCT",'ENGAGEMENTS 2026'!C325))</f>
        <v/>
      </c>
      <c r="B325">
        <f>IF(ISBLANK('ENGAGEMENTS 2026'!C325),"",'ENGAGEMENTS 2026'!D325)</f>
        <v/>
      </c>
      <c r="C325">
        <f>IF(ISBLANK('ENGAGEMENTS 2026'!C325),"",'ENGAGEMENTS 2026'!E325)</f>
        <v/>
      </c>
      <c r="D325">
        <f>IF(ISBLANK('ENGAGEMENTS 2026'!C325),"",'ENGAGEMENTS 2026'!G325)</f>
        <v/>
      </c>
      <c r="E325">
        <f>IF(ISBLANK('ENGAGEMENTS 2026'!C325),"",'ENGAGEMENTS 2026'!I325)</f>
        <v/>
      </c>
      <c r="F325">
        <f>IF(ISBLANK('ENGAGEMENTS 2026'!C325),"",'ENGAGEMENTS 2026'!J325)</f>
        <v/>
      </c>
      <c r="G325">
        <f>IF(ISBLANK('ENGAGEMENTS 2026'!C325),"",'ENGAGEMENTS 2026'!M325)</f>
        <v/>
      </c>
      <c r="H325">
        <f>IF(ISBLANK('ENGAGEMENTS 2026'!C325),"",'ENGAGEMENTS 2026'!AF325)</f>
        <v/>
      </c>
      <c r="I325">
        <f>IF(ISBLANK('ENGAGEMENTS 2026'!C325),"",'ENGAGEMENTS 2026'!H325)</f>
        <v/>
      </c>
      <c r="J325" s="275">
        <f>IF(ISBLANK('ENGAGEMENTS 2026'!C325),"",IF(AND(OR($E325="INFRUCTUEUX",$E325="ANNULE"),$C325="AOO-M"),'ENGAGEMENTS 2026'!P325,IF($H325="EN COURS DE PREENGAGEMENT",'ENGAGEMENTS 2026'!O325,IF($H325="PREENGAGE",IF($E325="ATTRIBUE",'ENGAGEMENTS 2026'!AE325,'ENGAGEMENTS 2026'!O325),'ENGAGEMENTS 2026'!AE325))))</f>
        <v/>
      </c>
      <c r="K325" s="604">
        <f>IF(ISBLANK('ENGAGEMENTS 2026'!W325),"",'ENGAGEMENTS 2026'!W325)</f>
        <v/>
      </c>
      <c r="L325" s="276">
        <f>IF($K325="","",TODAY()-$K325)</f>
        <v/>
      </c>
      <c r="M325">
        <f>IF($A325="","",IF($H325="ENGAGE","Engagé",IF(AND($H325="NON ENGAGE",OR($I325="INFRUCTUEUX",$I325="ANNULE")),"Clôturé sans suite","En cours")))</f>
        <v/>
      </c>
      <c r="N325">
        <f>IF(ISBLANK('ENGAGEMENTS 2026'!C325),"",'ENGAGEMENTS 2026'!L325)</f>
        <v/>
      </c>
      <c r="O325">
        <f>IF(ISBLANK('ENGAGEMENTS 2026'!C325),"",'ENGAGEMENTS 2026'!M325)</f>
        <v/>
      </c>
      <c r="P325">
        <f>IF(ISBLANK('ENGAGEMENTS 2026'!C325),"",'ENGAGEMENTS 2026'!K325)</f>
        <v/>
      </c>
      <c r="Q325">
        <f>IF($A325="","",IF(OR($E325="INFRUCTUEUX",$E325="ANNULE"),$A325&amp;"|"&amp;(COUNTIFS($A$2:$A325,$A325,$E$2:$E325,"INFRUCTUEUX")+COUNTIFS($A$2:$A325,$A325,$E$2:$E325,"ANNULE")),""))</f>
        <v/>
      </c>
    </row>
    <row r="326">
      <c r="A326">
        <f>IF(ISBLANK('ENGAGEMENTS 2026'!C326),"",IF('ENGAGEMENTS 2026'!C326="DTSI","DCT",'ENGAGEMENTS 2026'!C326))</f>
        <v/>
      </c>
      <c r="B326">
        <f>IF(ISBLANK('ENGAGEMENTS 2026'!C326),"",'ENGAGEMENTS 2026'!D326)</f>
        <v/>
      </c>
      <c r="C326">
        <f>IF(ISBLANK('ENGAGEMENTS 2026'!C326),"",'ENGAGEMENTS 2026'!E326)</f>
        <v/>
      </c>
      <c r="D326">
        <f>IF(ISBLANK('ENGAGEMENTS 2026'!C326),"",'ENGAGEMENTS 2026'!G326)</f>
        <v/>
      </c>
      <c r="E326">
        <f>IF(ISBLANK('ENGAGEMENTS 2026'!C326),"",'ENGAGEMENTS 2026'!I326)</f>
        <v/>
      </c>
      <c r="F326">
        <f>IF(ISBLANK('ENGAGEMENTS 2026'!C326),"",'ENGAGEMENTS 2026'!J326)</f>
        <v/>
      </c>
      <c r="G326">
        <f>IF(ISBLANK('ENGAGEMENTS 2026'!C326),"",'ENGAGEMENTS 2026'!M326)</f>
        <v/>
      </c>
      <c r="H326">
        <f>IF(ISBLANK('ENGAGEMENTS 2026'!C326),"",'ENGAGEMENTS 2026'!AF326)</f>
        <v/>
      </c>
      <c r="I326">
        <f>IF(ISBLANK('ENGAGEMENTS 2026'!C326),"",'ENGAGEMENTS 2026'!H326)</f>
        <v/>
      </c>
      <c r="J326" s="275">
        <f>IF(ISBLANK('ENGAGEMENTS 2026'!C326),"",IF(AND(OR($E326="INFRUCTUEUX",$E326="ANNULE"),$C326="AOO-M"),'ENGAGEMENTS 2026'!P326,IF($H326="EN COURS DE PREENGAGEMENT",'ENGAGEMENTS 2026'!O326,IF($H326="PREENGAGE",IF($E326="ATTRIBUE",'ENGAGEMENTS 2026'!AE326,'ENGAGEMENTS 2026'!O326),'ENGAGEMENTS 2026'!AE326))))</f>
        <v/>
      </c>
      <c r="K326" s="604">
        <f>IF(ISBLANK('ENGAGEMENTS 2026'!W326),"",'ENGAGEMENTS 2026'!W326)</f>
        <v/>
      </c>
      <c r="L326" s="276">
        <f>IF($K326="","",TODAY()-$K326)</f>
        <v/>
      </c>
      <c r="M326">
        <f>IF($A326="","",IF($H326="ENGAGE","Engagé",IF(AND($H326="NON ENGAGE",OR($I326="INFRUCTUEUX",$I326="ANNULE")),"Clôturé sans suite","En cours")))</f>
        <v/>
      </c>
      <c r="N326">
        <f>IF(ISBLANK('ENGAGEMENTS 2026'!C326),"",'ENGAGEMENTS 2026'!L326)</f>
        <v/>
      </c>
      <c r="O326">
        <f>IF(ISBLANK('ENGAGEMENTS 2026'!C326),"",'ENGAGEMENTS 2026'!M326)</f>
        <v/>
      </c>
      <c r="P326">
        <f>IF(ISBLANK('ENGAGEMENTS 2026'!C326),"",'ENGAGEMENTS 2026'!K326)</f>
        <v/>
      </c>
      <c r="Q326">
        <f>IF($A326="","",IF(OR($E326="INFRUCTUEUX",$E326="ANNULE"),$A326&amp;"|"&amp;(COUNTIFS($A$2:$A326,$A326,$E$2:$E326,"INFRUCTUEUX")+COUNTIFS($A$2:$A326,$A326,$E$2:$E326,"ANNULE")),""))</f>
        <v/>
      </c>
    </row>
    <row r="327">
      <c r="A327">
        <f>IF(ISBLANK('ENGAGEMENTS 2026'!C327),"",IF('ENGAGEMENTS 2026'!C327="DTSI","DCT",'ENGAGEMENTS 2026'!C327))</f>
        <v/>
      </c>
      <c r="B327">
        <f>IF(ISBLANK('ENGAGEMENTS 2026'!C327),"",'ENGAGEMENTS 2026'!D327)</f>
        <v/>
      </c>
      <c r="C327">
        <f>IF(ISBLANK('ENGAGEMENTS 2026'!C327),"",'ENGAGEMENTS 2026'!E327)</f>
        <v/>
      </c>
      <c r="D327">
        <f>IF(ISBLANK('ENGAGEMENTS 2026'!C327),"",'ENGAGEMENTS 2026'!G327)</f>
        <v/>
      </c>
      <c r="E327">
        <f>IF(ISBLANK('ENGAGEMENTS 2026'!C327),"",'ENGAGEMENTS 2026'!I327)</f>
        <v/>
      </c>
      <c r="F327">
        <f>IF(ISBLANK('ENGAGEMENTS 2026'!C327),"",'ENGAGEMENTS 2026'!J327)</f>
        <v/>
      </c>
      <c r="G327">
        <f>IF(ISBLANK('ENGAGEMENTS 2026'!C327),"",'ENGAGEMENTS 2026'!M327)</f>
        <v/>
      </c>
      <c r="H327">
        <f>IF(ISBLANK('ENGAGEMENTS 2026'!C327),"",'ENGAGEMENTS 2026'!AF327)</f>
        <v/>
      </c>
      <c r="I327">
        <f>IF(ISBLANK('ENGAGEMENTS 2026'!C327),"",'ENGAGEMENTS 2026'!H327)</f>
        <v/>
      </c>
      <c r="J327" s="275">
        <f>IF(ISBLANK('ENGAGEMENTS 2026'!C327),"",IF(AND(OR($E327="INFRUCTUEUX",$E327="ANNULE"),$C327="AOO-M"),'ENGAGEMENTS 2026'!P327,IF($H327="EN COURS DE PREENGAGEMENT",'ENGAGEMENTS 2026'!O327,IF($H327="PREENGAGE",IF($E327="ATTRIBUE",'ENGAGEMENTS 2026'!AE327,'ENGAGEMENTS 2026'!O327),'ENGAGEMENTS 2026'!AE327))))</f>
        <v/>
      </c>
      <c r="K327" s="604">
        <f>IF(ISBLANK('ENGAGEMENTS 2026'!W327),"",'ENGAGEMENTS 2026'!W327)</f>
        <v/>
      </c>
      <c r="L327" s="276">
        <f>IF($K327="","",TODAY()-$K327)</f>
        <v/>
      </c>
      <c r="M327">
        <f>IF($A327="","",IF($H327="ENGAGE","Engagé",IF(AND($H327="NON ENGAGE",OR($I327="INFRUCTUEUX",$I327="ANNULE")),"Clôturé sans suite","En cours")))</f>
        <v/>
      </c>
      <c r="N327">
        <f>IF(ISBLANK('ENGAGEMENTS 2026'!C327),"",'ENGAGEMENTS 2026'!L327)</f>
        <v/>
      </c>
      <c r="O327">
        <f>IF(ISBLANK('ENGAGEMENTS 2026'!C327),"",'ENGAGEMENTS 2026'!M327)</f>
        <v/>
      </c>
      <c r="P327">
        <f>IF(ISBLANK('ENGAGEMENTS 2026'!C327),"",'ENGAGEMENTS 2026'!K327)</f>
        <v/>
      </c>
      <c r="Q327">
        <f>IF($A327="","",IF(OR($E327="INFRUCTUEUX",$E327="ANNULE"),$A327&amp;"|"&amp;(COUNTIFS($A$2:$A327,$A327,$E$2:$E327,"INFRUCTUEUX")+COUNTIFS($A$2:$A327,$A327,$E$2:$E327,"ANNULE")),""))</f>
        <v/>
      </c>
    </row>
    <row r="328">
      <c r="A328">
        <f>IF(ISBLANK('ENGAGEMENTS 2026'!C328),"",IF('ENGAGEMENTS 2026'!C328="DTSI","DCT",'ENGAGEMENTS 2026'!C328))</f>
        <v/>
      </c>
      <c r="B328">
        <f>IF(ISBLANK('ENGAGEMENTS 2026'!C328),"",'ENGAGEMENTS 2026'!D328)</f>
        <v/>
      </c>
      <c r="C328">
        <f>IF(ISBLANK('ENGAGEMENTS 2026'!C328),"",'ENGAGEMENTS 2026'!E328)</f>
        <v/>
      </c>
      <c r="D328">
        <f>IF(ISBLANK('ENGAGEMENTS 2026'!C328),"",'ENGAGEMENTS 2026'!G328)</f>
        <v/>
      </c>
      <c r="E328">
        <f>IF(ISBLANK('ENGAGEMENTS 2026'!C328),"",'ENGAGEMENTS 2026'!I328)</f>
        <v/>
      </c>
      <c r="F328">
        <f>IF(ISBLANK('ENGAGEMENTS 2026'!C328),"",'ENGAGEMENTS 2026'!J328)</f>
        <v/>
      </c>
      <c r="G328">
        <f>IF(ISBLANK('ENGAGEMENTS 2026'!C328),"",'ENGAGEMENTS 2026'!M328)</f>
        <v/>
      </c>
      <c r="H328">
        <f>IF(ISBLANK('ENGAGEMENTS 2026'!C328),"",'ENGAGEMENTS 2026'!AF328)</f>
        <v/>
      </c>
      <c r="I328">
        <f>IF(ISBLANK('ENGAGEMENTS 2026'!C328),"",'ENGAGEMENTS 2026'!H328)</f>
        <v/>
      </c>
      <c r="J328" s="275">
        <f>IF(ISBLANK('ENGAGEMENTS 2026'!C328),"",IF(AND(OR($E328="INFRUCTUEUX",$E328="ANNULE"),$C328="AOO-M"),'ENGAGEMENTS 2026'!P328,IF($H328="EN COURS DE PREENGAGEMENT",'ENGAGEMENTS 2026'!O328,IF($H328="PREENGAGE",IF($E328="ATTRIBUE",'ENGAGEMENTS 2026'!AE328,'ENGAGEMENTS 2026'!O328),'ENGAGEMENTS 2026'!AE328))))</f>
        <v/>
      </c>
      <c r="K328" s="604">
        <f>IF(ISBLANK('ENGAGEMENTS 2026'!W328),"",'ENGAGEMENTS 2026'!W328)</f>
        <v/>
      </c>
      <c r="L328" s="276">
        <f>IF($K328="","",TODAY()-$K328)</f>
        <v/>
      </c>
      <c r="M328">
        <f>IF($A328="","",IF($H328="ENGAGE","Engagé",IF(AND($H328="NON ENGAGE",OR($I328="INFRUCTUEUX",$I328="ANNULE")),"Clôturé sans suite","En cours")))</f>
        <v/>
      </c>
      <c r="N328">
        <f>IF(ISBLANK('ENGAGEMENTS 2026'!C328),"",'ENGAGEMENTS 2026'!L328)</f>
        <v/>
      </c>
      <c r="O328">
        <f>IF(ISBLANK('ENGAGEMENTS 2026'!C328),"",'ENGAGEMENTS 2026'!M328)</f>
        <v/>
      </c>
      <c r="P328">
        <f>IF(ISBLANK('ENGAGEMENTS 2026'!C328),"",'ENGAGEMENTS 2026'!K328)</f>
        <v/>
      </c>
      <c r="Q328">
        <f>IF($A328="","",IF(OR($E328="INFRUCTUEUX",$E328="ANNULE"),$A328&amp;"|"&amp;(COUNTIFS($A$2:$A328,$A328,$E$2:$E328,"INFRUCTUEUX")+COUNTIFS($A$2:$A328,$A328,$E$2:$E328,"ANNULE")),""))</f>
        <v/>
      </c>
    </row>
    <row r="329">
      <c r="A329">
        <f>IF(ISBLANK('ENGAGEMENTS 2026'!C329),"",IF('ENGAGEMENTS 2026'!C329="DTSI","DCT",'ENGAGEMENTS 2026'!C329))</f>
        <v/>
      </c>
      <c r="B329">
        <f>IF(ISBLANK('ENGAGEMENTS 2026'!C329),"",'ENGAGEMENTS 2026'!D329)</f>
        <v/>
      </c>
      <c r="C329">
        <f>IF(ISBLANK('ENGAGEMENTS 2026'!C329),"",'ENGAGEMENTS 2026'!E329)</f>
        <v/>
      </c>
      <c r="D329">
        <f>IF(ISBLANK('ENGAGEMENTS 2026'!C329),"",'ENGAGEMENTS 2026'!G329)</f>
        <v/>
      </c>
      <c r="E329">
        <f>IF(ISBLANK('ENGAGEMENTS 2026'!C329),"",'ENGAGEMENTS 2026'!I329)</f>
        <v/>
      </c>
      <c r="F329">
        <f>IF(ISBLANK('ENGAGEMENTS 2026'!C329),"",'ENGAGEMENTS 2026'!J329)</f>
        <v/>
      </c>
      <c r="G329">
        <f>IF(ISBLANK('ENGAGEMENTS 2026'!C329),"",'ENGAGEMENTS 2026'!M329)</f>
        <v/>
      </c>
      <c r="H329">
        <f>IF(ISBLANK('ENGAGEMENTS 2026'!C329),"",'ENGAGEMENTS 2026'!AF329)</f>
        <v/>
      </c>
      <c r="I329">
        <f>IF(ISBLANK('ENGAGEMENTS 2026'!C329),"",'ENGAGEMENTS 2026'!H329)</f>
        <v/>
      </c>
      <c r="J329" s="275">
        <f>IF(ISBLANK('ENGAGEMENTS 2026'!C329),"",IF(AND(OR($E329="INFRUCTUEUX",$E329="ANNULE"),$C329="AOO-M"),'ENGAGEMENTS 2026'!P329,IF($H329="EN COURS DE PREENGAGEMENT",'ENGAGEMENTS 2026'!O329,IF($H329="PREENGAGE",IF($E329="ATTRIBUE",'ENGAGEMENTS 2026'!AE329,'ENGAGEMENTS 2026'!O329),'ENGAGEMENTS 2026'!AE329))))</f>
        <v/>
      </c>
      <c r="K329" s="604">
        <f>IF(ISBLANK('ENGAGEMENTS 2026'!W329),"",'ENGAGEMENTS 2026'!W329)</f>
        <v/>
      </c>
      <c r="L329" s="276">
        <f>IF($K329="","",TODAY()-$K329)</f>
        <v/>
      </c>
      <c r="M329">
        <f>IF($A329="","",IF($H329="ENGAGE","Engagé",IF(AND($H329="NON ENGAGE",OR($I329="INFRUCTUEUX",$I329="ANNULE")),"Clôturé sans suite","En cours")))</f>
        <v/>
      </c>
      <c r="N329">
        <f>IF(ISBLANK('ENGAGEMENTS 2026'!C329),"",'ENGAGEMENTS 2026'!L329)</f>
        <v/>
      </c>
      <c r="O329">
        <f>IF(ISBLANK('ENGAGEMENTS 2026'!C329),"",'ENGAGEMENTS 2026'!M329)</f>
        <v/>
      </c>
      <c r="P329">
        <f>IF(ISBLANK('ENGAGEMENTS 2026'!C329),"",'ENGAGEMENTS 2026'!K329)</f>
        <v/>
      </c>
      <c r="Q329">
        <f>IF($A329="","",IF(OR($E329="INFRUCTUEUX",$E329="ANNULE"),$A329&amp;"|"&amp;(COUNTIFS($A$2:$A329,$A329,$E$2:$E329,"INFRUCTUEUX")+COUNTIFS($A$2:$A329,$A329,$E$2:$E329,"ANNULE")),""))</f>
        <v/>
      </c>
    </row>
    <row r="330">
      <c r="A330">
        <f>IF(ISBLANK('ENGAGEMENTS 2026'!C330),"",IF('ENGAGEMENTS 2026'!C330="DTSI","DCT",'ENGAGEMENTS 2026'!C330))</f>
        <v/>
      </c>
      <c r="B330">
        <f>IF(ISBLANK('ENGAGEMENTS 2026'!C330),"",'ENGAGEMENTS 2026'!D330)</f>
        <v/>
      </c>
      <c r="C330">
        <f>IF(ISBLANK('ENGAGEMENTS 2026'!C330),"",'ENGAGEMENTS 2026'!E330)</f>
        <v/>
      </c>
      <c r="D330">
        <f>IF(ISBLANK('ENGAGEMENTS 2026'!C330),"",'ENGAGEMENTS 2026'!G330)</f>
        <v/>
      </c>
      <c r="E330">
        <f>IF(ISBLANK('ENGAGEMENTS 2026'!C330),"",'ENGAGEMENTS 2026'!I330)</f>
        <v/>
      </c>
      <c r="F330">
        <f>IF(ISBLANK('ENGAGEMENTS 2026'!C330),"",'ENGAGEMENTS 2026'!J330)</f>
        <v/>
      </c>
      <c r="G330">
        <f>IF(ISBLANK('ENGAGEMENTS 2026'!C330),"",'ENGAGEMENTS 2026'!M330)</f>
        <v/>
      </c>
      <c r="H330">
        <f>IF(ISBLANK('ENGAGEMENTS 2026'!C330),"",'ENGAGEMENTS 2026'!AF330)</f>
        <v/>
      </c>
      <c r="I330">
        <f>IF(ISBLANK('ENGAGEMENTS 2026'!C330),"",'ENGAGEMENTS 2026'!H330)</f>
        <v/>
      </c>
      <c r="J330" s="275">
        <f>IF(ISBLANK('ENGAGEMENTS 2026'!C330),"",IF(AND(OR($E330="INFRUCTUEUX",$E330="ANNULE"),$C330="AOO-M"),'ENGAGEMENTS 2026'!P330,IF($H330="EN COURS DE PREENGAGEMENT",'ENGAGEMENTS 2026'!O330,IF($H330="PREENGAGE",IF($E330="ATTRIBUE",'ENGAGEMENTS 2026'!AE330,'ENGAGEMENTS 2026'!O330),'ENGAGEMENTS 2026'!AE330))))</f>
        <v/>
      </c>
      <c r="K330" s="604">
        <f>IF(ISBLANK('ENGAGEMENTS 2026'!W330),"",'ENGAGEMENTS 2026'!W330)</f>
        <v/>
      </c>
      <c r="L330" s="276">
        <f>IF($K330="","",TODAY()-$K330)</f>
        <v/>
      </c>
      <c r="M330">
        <f>IF($A330="","",IF($H330="ENGAGE","Engagé",IF(AND($H330="NON ENGAGE",OR($I330="INFRUCTUEUX",$I330="ANNULE")),"Clôturé sans suite","En cours")))</f>
        <v/>
      </c>
      <c r="N330">
        <f>IF(ISBLANK('ENGAGEMENTS 2026'!C330),"",'ENGAGEMENTS 2026'!L330)</f>
        <v/>
      </c>
      <c r="O330">
        <f>IF(ISBLANK('ENGAGEMENTS 2026'!C330),"",'ENGAGEMENTS 2026'!M330)</f>
        <v/>
      </c>
      <c r="P330">
        <f>IF(ISBLANK('ENGAGEMENTS 2026'!C330),"",'ENGAGEMENTS 2026'!K330)</f>
        <v/>
      </c>
      <c r="Q330">
        <f>IF($A330="","",IF(OR($E330="INFRUCTUEUX",$E330="ANNULE"),$A330&amp;"|"&amp;(COUNTIFS($A$2:$A330,$A330,$E$2:$E330,"INFRUCTUEUX")+COUNTIFS($A$2:$A330,$A330,$E$2:$E330,"ANNULE")),""))</f>
        <v/>
      </c>
    </row>
    <row r="331">
      <c r="A331">
        <f>IF(ISBLANK('ENGAGEMENTS 2026'!C331),"",IF('ENGAGEMENTS 2026'!C331="DTSI","DCT",'ENGAGEMENTS 2026'!C331))</f>
        <v/>
      </c>
      <c r="B331">
        <f>IF(ISBLANK('ENGAGEMENTS 2026'!C331),"",'ENGAGEMENTS 2026'!D331)</f>
        <v/>
      </c>
      <c r="C331">
        <f>IF(ISBLANK('ENGAGEMENTS 2026'!C331),"",'ENGAGEMENTS 2026'!E331)</f>
        <v/>
      </c>
      <c r="D331">
        <f>IF(ISBLANK('ENGAGEMENTS 2026'!C331),"",'ENGAGEMENTS 2026'!G331)</f>
        <v/>
      </c>
      <c r="E331">
        <f>IF(ISBLANK('ENGAGEMENTS 2026'!C331),"",'ENGAGEMENTS 2026'!I331)</f>
        <v/>
      </c>
      <c r="F331">
        <f>IF(ISBLANK('ENGAGEMENTS 2026'!C331),"",'ENGAGEMENTS 2026'!J331)</f>
        <v/>
      </c>
      <c r="G331">
        <f>IF(ISBLANK('ENGAGEMENTS 2026'!C331),"",'ENGAGEMENTS 2026'!M331)</f>
        <v/>
      </c>
      <c r="H331">
        <f>IF(ISBLANK('ENGAGEMENTS 2026'!C331),"",'ENGAGEMENTS 2026'!AF331)</f>
        <v/>
      </c>
      <c r="I331">
        <f>IF(ISBLANK('ENGAGEMENTS 2026'!C331),"",'ENGAGEMENTS 2026'!H331)</f>
        <v/>
      </c>
      <c r="J331" s="275">
        <f>IF(ISBLANK('ENGAGEMENTS 2026'!C331),"",IF(AND(OR($E331="INFRUCTUEUX",$E331="ANNULE"),$C331="AOO-M"),'ENGAGEMENTS 2026'!P331,IF($H331="EN COURS DE PREENGAGEMENT",'ENGAGEMENTS 2026'!O331,IF($H331="PREENGAGE",IF($E331="ATTRIBUE",'ENGAGEMENTS 2026'!AE331,'ENGAGEMENTS 2026'!O331),'ENGAGEMENTS 2026'!AE331))))</f>
        <v/>
      </c>
      <c r="K331" s="604">
        <f>IF(ISBLANK('ENGAGEMENTS 2026'!W331),"",'ENGAGEMENTS 2026'!W331)</f>
        <v/>
      </c>
      <c r="L331" s="276">
        <f>IF($K331="","",TODAY()-$K331)</f>
        <v/>
      </c>
      <c r="M331">
        <f>IF($A331="","",IF($H331="ENGAGE","Engagé",IF(AND($H331="NON ENGAGE",OR($I331="INFRUCTUEUX",$I331="ANNULE")),"Clôturé sans suite","En cours")))</f>
        <v/>
      </c>
      <c r="N331">
        <f>IF(ISBLANK('ENGAGEMENTS 2026'!C331),"",'ENGAGEMENTS 2026'!L331)</f>
        <v/>
      </c>
      <c r="O331">
        <f>IF(ISBLANK('ENGAGEMENTS 2026'!C331),"",'ENGAGEMENTS 2026'!M331)</f>
        <v/>
      </c>
      <c r="P331">
        <f>IF(ISBLANK('ENGAGEMENTS 2026'!C331),"",'ENGAGEMENTS 2026'!K331)</f>
        <v/>
      </c>
      <c r="Q331">
        <f>IF($A331="","",IF(OR($E331="INFRUCTUEUX",$E331="ANNULE"),$A331&amp;"|"&amp;(COUNTIFS($A$2:$A331,$A331,$E$2:$E331,"INFRUCTUEUX")+COUNTIFS($A$2:$A331,$A331,$E$2:$E331,"ANNULE")),""))</f>
        <v/>
      </c>
    </row>
    <row r="332">
      <c r="A332">
        <f>IF(ISBLANK('ENGAGEMENTS 2026'!C332),"",IF('ENGAGEMENTS 2026'!C332="DTSI","DCT",'ENGAGEMENTS 2026'!C332))</f>
        <v/>
      </c>
      <c r="B332">
        <f>IF(ISBLANK('ENGAGEMENTS 2026'!C332),"",'ENGAGEMENTS 2026'!D332)</f>
        <v/>
      </c>
      <c r="C332">
        <f>IF(ISBLANK('ENGAGEMENTS 2026'!C332),"",'ENGAGEMENTS 2026'!E332)</f>
        <v/>
      </c>
      <c r="D332">
        <f>IF(ISBLANK('ENGAGEMENTS 2026'!C332),"",'ENGAGEMENTS 2026'!G332)</f>
        <v/>
      </c>
      <c r="E332">
        <f>IF(ISBLANK('ENGAGEMENTS 2026'!C332),"",'ENGAGEMENTS 2026'!I332)</f>
        <v/>
      </c>
      <c r="F332">
        <f>IF(ISBLANK('ENGAGEMENTS 2026'!C332),"",'ENGAGEMENTS 2026'!J332)</f>
        <v/>
      </c>
      <c r="G332">
        <f>IF(ISBLANK('ENGAGEMENTS 2026'!C332),"",'ENGAGEMENTS 2026'!M332)</f>
        <v/>
      </c>
      <c r="H332">
        <f>IF(ISBLANK('ENGAGEMENTS 2026'!C332),"",'ENGAGEMENTS 2026'!AF332)</f>
        <v/>
      </c>
      <c r="I332">
        <f>IF(ISBLANK('ENGAGEMENTS 2026'!C332),"",'ENGAGEMENTS 2026'!H332)</f>
        <v/>
      </c>
      <c r="J332" s="275">
        <f>IF(ISBLANK('ENGAGEMENTS 2026'!C332),"",IF(AND(OR($E332="INFRUCTUEUX",$E332="ANNULE"),$C332="AOO-M"),'ENGAGEMENTS 2026'!P332,IF($H332="EN COURS DE PREENGAGEMENT",'ENGAGEMENTS 2026'!O332,IF($H332="PREENGAGE",IF($E332="ATTRIBUE",'ENGAGEMENTS 2026'!AE332,'ENGAGEMENTS 2026'!O332),'ENGAGEMENTS 2026'!AE332))))</f>
        <v/>
      </c>
      <c r="K332" s="604">
        <f>IF(ISBLANK('ENGAGEMENTS 2026'!W332),"",'ENGAGEMENTS 2026'!W332)</f>
        <v/>
      </c>
      <c r="L332" s="276">
        <f>IF($K332="","",TODAY()-$K332)</f>
        <v/>
      </c>
      <c r="M332">
        <f>IF($A332="","",IF($H332="ENGAGE","Engagé",IF(AND($H332="NON ENGAGE",OR($I332="INFRUCTUEUX",$I332="ANNULE")),"Clôturé sans suite","En cours")))</f>
        <v/>
      </c>
      <c r="N332">
        <f>IF(ISBLANK('ENGAGEMENTS 2026'!C332),"",'ENGAGEMENTS 2026'!L332)</f>
        <v/>
      </c>
      <c r="O332">
        <f>IF(ISBLANK('ENGAGEMENTS 2026'!C332),"",'ENGAGEMENTS 2026'!M332)</f>
        <v/>
      </c>
      <c r="P332">
        <f>IF(ISBLANK('ENGAGEMENTS 2026'!C332),"",'ENGAGEMENTS 2026'!K332)</f>
        <v/>
      </c>
      <c r="Q332">
        <f>IF($A332="","",IF(OR($E332="INFRUCTUEUX",$E332="ANNULE"),$A332&amp;"|"&amp;(COUNTIFS($A$2:$A332,$A332,$E$2:$E332,"INFRUCTUEUX")+COUNTIFS($A$2:$A332,$A332,$E$2:$E332,"ANNULE")),""))</f>
        <v/>
      </c>
    </row>
    <row r="333">
      <c r="A333">
        <f>IF(ISBLANK('ENGAGEMENTS 2026'!C333),"",IF('ENGAGEMENTS 2026'!C333="DTSI","DCT",'ENGAGEMENTS 2026'!C333))</f>
        <v/>
      </c>
      <c r="B333">
        <f>IF(ISBLANK('ENGAGEMENTS 2026'!C333),"",'ENGAGEMENTS 2026'!D333)</f>
        <v/>
      </c>
      <c r="C333">
        <f>IF(ISBLANK('ENGAGEMENTS 2026'!C333),"",'ENGAGEMENTS 2026'!E333)</f>
        <v/>
      </c>
      <c r="D333">
        <f>IF(ISBLANK('ENGAGEMENTS 2026'!C333),"",'ENGAGEMENTS 2026'!G333)</f>
        <v/>
      </c>
      <c r="E333">
        <f>IF(ISBLANK('ENGAGEMENTS 2026'!C333),"",'ENGAGEMENTS 2026'!I333)</f>
        <v/>
      </c>
      <c r="F333">
        <f>IF(ISBLANK('ENGAGEMENTS 2026'!C333),"",'ENGAGEMENTS 2026'!J333)</f>
        <v/>
      </c>
      <c r="G333">
        <f>IF(ISBLANK('ENGAGEMENTS 2026'!C333),"",'ENGAGEMENTS 2026'!M333)</f>
        <v/>
      </c>
      <c r="H333">
        <f>IF(ISBLANK('ENGAGEMENTS 2026'!C333),"",'ENGAGEMENTS 2026'!AF333)</f>
        <v/>
      </c>
      <c r="I333">
        <f>IF(ISBLANK('ENGAGEMENTS 2026'!C333),"",'ENGAGEMENTS 2026'!H333)</f>
        <v/>
      </c>
      <c r="J333" s="275">
        <f>IF(ISBLANK('ENGAGEMENTS 2026'!C333),"",IF(AND(OR($E333="INFRUCTUEUX",$E333="ANNULE"),$C333="AOO-M"),'ENGAGEMENTS 2026'!P333,IF($H333="EN COURS DE PREENGAGEMENT",'ENGAGEMENTS 2026'!O333,IF($H333="PREENGAGE",IF($E333="ATTRIBUE",'ENGAGEMENTS 2026'!AE333,'ENGAGEMENTS 2026'!O333),'ENGAGEMENTS 2026'!AE333))))</f>
        <v/>
      </c>
      <c r="K333" s="604">
        <f>IF(ISBLANK('ENGAGEMENTS 2026'!W333),"",'ENGAGEMENTS 2026'!W333)</f>
        <v/>
      </c>
      <c r="L333" s="276">
        <f>IF($K333="","",TODAY()-$K333)</f>
        <v/>
      </c>
      <c r="M333">
        <f>IF($A333="","",IF($H333="ENGAGE","Engagé",IF(AND($H333="NON ENGAGE",OR($I333="INFRUCTUEUX",$I333="ANNULE")),"Clôturé sans suite","En cours")))</f>
        <v/>
      </c>
      <c r="N333">
        <f>IF(ISBLANK('ENGAGEMENTS 2026'!C333),"",'ENGAGEMENTS 2026'!L333)</f>
        <v/>
      </c>
      <c r="O333">
        <f>IF(ISBLANK('ENGAGEMENTS 2026'!C333),"",'ENGAGEMENTS 2026'!M333)</f>
        <v/>
      </c>
      <c r="P333">
        <f>IF(ISBLANK('ENGAGEMENTS 2026'!C333),"",'ENGAGEMENTS 2026'!K333)</f>
        <v/>
      </c>
      <c r="Q333">
        <f>IF($A333="","",IF(OR($E333="INFRUCTUEUX",$E333="ANNULE"),$A333&amp;"|"&amp;(COUNTIFS($A$2:$A333,$A333,$E$2:$E333,"INFRUCTUEUX")+COUNTIFS($A$2:$A333,$A333,$E$2:$E333,"ANNULE")),""))</f>
        <v/>
      </c>
    </row>
    <row r="334">
      <c r="A334">
        <f>IF(ISBLANK('ENGAGEMENTS 2026'!C334),"",IF('ENGAGEMENTS 2026'!C334="DTSI","DCT",'ENGAGEMENTS 2026'!C334))</f>
        <v/>
      </c>
      <c r="B334">
        <f>IF(ISBLANK('ENGAGEMENTS 2026'!C334),"",'ENGAGEMENTS 2026'!D334)</f>
        <v/>
      </c>
      <c r="C334">
        <f>IF(ISBLANK('ENGAGEMENTS 2026'!C334),"",'ENGAGEMENTS 2026'!E334)</f>
        <v/>
      </c>
      <c r="D334">
        <f>IF(ISBLANK('ENGAGEMENTS 2026'!C334),"",'ENGAGEMENTS 2026'!G334)</f>
        <v/>
      </c>
      <c r="E334">
        <f>IF(ISBLANK('ENGAGEMENTS 2026'!C334),"",'ENGAGEMENTS 2026'!I334)</f>
        <v/>
      </c>
      <c r="F334">
        <f>IF(ISBLANK('ENGAGEMENTS 2026'!C334),"",'ENGAGEMENTS 2026'!J334)</f>
        <v/>
      </c>
      <c r="G334">
        <f>IF(ISBLANK('ENGAGEMENTS 2026'!C334),"",'ENGAGEMENTS 2026'!M334)</f>
        <v/>
      </c>
      <c r="H334">
        <f>IF(ISBLANK('ENGAGEMENTS 2026'!C334),"",'ENGAGEMENTS 2026'!AF334)</f>
        <v/>
      </c>
      <c r="I334">
        <f>IF(ISBLANK('ENGAGEMENTS 2026'!C334),"",'ENGAGEMENTS 2026'!H334)</f>
        <v/>
      </c>
      <c r="J334" s="275">
        <f>IF(ISBLANK('ENGAGEMENTS 2026'!C334),"",IF(AND(OR($E334="INFRUCTUEUX",$E334="ANNULE"),$C334="AOO-M"),'ENGAGEMENTS 2026'!P334,IF($H334="EN COURS DE PREENGAGEMENT",'ENGAGEMENTS 2026'!O334,IF($H334="PREENGAGE",IF($E334="ATTRIBUE",'ENGAGEMENTS 2026'!AE334,'ENGAGEMENTS 2026'!O334),'ENGAGEMENTS 2026'!AE334))))</f>
        <v/>
      </c>
      <c r="K334" s="604">
        <f>IF(ISBLANK('ENGAGEMENTS 2026'!W334),"",'ENGAGEMENTS 2026'!W334)</f>
        <v/>
      </c>
      <c r="L334" s="276">
        <f>IF($K334="","",TODAY()-$K334)</f>
        <v/>
      </c>
      <c r="M334">
        <f>IF($A334="","",IF($H334="ENGAGE","Engagé",IF(AND($H334="NON ENGAGE",OR($I334="INFRUCTUEUX",$I334="ANNULE")),"Clôturé sans suite","En cours")))</f>
        <v/>
      </c>
      <c r="N334">
        <f>IF(ISBLANK('ENGAGEMENTS 2026'!C334),"",'ENGAGEMENTS 2026'!L334)</f>
        <v/>
      </c>
      <c r="O334">
        <f>IF(ISBLANK('ENGAGEMENTS 2026'!C334),"",'ENGAGEMENTS 2026'!M334)</f>
        <v/>
      </c>
      <c r="P334">
        <f>IF(ISBLANK('ENGAGEMENTS 2026'!C334),"",'ENGAGEMENTS 2026'!K334)</f>
        <v/>
      </c>
      <c r="Q334">
        <f>IF($A334="","",IF(OR($E334="INFRUCTUEUX",$E334="ANNULE"),$A334&amp;"|"&amp;(COUNTIFS($A$2:$A334,$A334,$E$2:$E334,"INFRUCTUEUX")+COUNTIFS($A$2:$A334,$A334,$E$2:$E334,"ANNULE")),""))</f>
        <v/>
      </c>
    </row>
    <row r="335">
      <c r="A335">
        <f>IF(ISBLANK('ENGAGEMENTS 2026'!C335),"",IF('ENGAGEMENTS 2026'!C335="DTSI","DCT",'ENGAGEMENTS 2026'!C335))</f>
        <v/>
      </c>
      <c r="B335">
        <f>IF(ISBLANK('ENGAGEMENTS 2026'!C335),"",'ENGAGEMENTS 2026'!D335)</f>
        <v/>
      </c>
      <c r="C335">
        <f>IF(ISBLANK('ENGAGEMENTS 2026'!C335),"",'ENGAGEMENTS 2026'!E335)</f>
        <v/>
      </c>
      <c r="D335">
        <f>IF(ISBLANK('ENGAGEMENTS 2026'!C335),"",'ENGAGEMENTS 2026'!G335)</f>
        <v/>
      </c>
      <c r="E335">
        <f>IF(ISBLANK('ENGAGEMENTS 2026'!C335),"",'ENGAGEMENTS 2026'!I335)</f>
        <v/>
      </c>
      <c r="F335">
        <f>IF(ISBLANK('ENGAGEMENTS 2026'!C335),"",'ENGAGEMENTS 2026'!J335)</f>
        <v/>
      </c>
      <c r="G335">
        <f>IF(ISBLANK('ENGAGEMENTS 2026'!C335),"",'ENGAGEMENTS 2026'!M335)</f>
        <v/>
      </c>
      <c r="H335">
        <f>IF(ISBLANK('ENGAGEMENTS 2026'!C335),"",'ENGAGEMENTS 2026'!AF335)</f>
        <v/>
      </c>
      <c r="I335">
        <f>IF(ISBLANK('ENGAGEMENTS 2026'!C335),"",'ENGAGEMENTS 2026'!H335)</f>
        <v/>
      </c>
      <c r="J335" s="275">
        <f>IF(ISBLANK('ENGAGEMENTS 2026'!C335),"",IF(AND(OR($E335="INFRUCTUEUX",$E335="ANNULE"),$C335="AOO-M"),'ENGAGEMENTS 2026'!P335,IF($H335="EN COURS DE PREENGAGEMENT",'ENGAGEMENTS 2026'!O335,IF($H335="PREENGAGE",IF($E335="ATTRIBUE",'ENGAGEMENTS 2026'!AE335,'ENGAGEMENTS 2026'!O335),'ENGAGEMENTS 2026'!AE335))))</f>
        <v/>
      </c>
      <c r="K335" s="604">
        <f>IF(ISBLANK('ENGAGEMENTS 2026'!W335),"",'ENGAGEMENTS 2026'!W335)</f>
        <v/>
      </c>
      <c r="L335" s="276">
        <f>IF($K335="","",TODAY()-$K335)</f>
        <v/>
      </c>
      <c r="M335">
        <f>IF($A335="","",IF($H335="ENGAGE","Engagé",IF(AND($H335="NON ENGAGE",OR($I335="INFRUCTUEUX",$I335="ANNULE")),"Clôturé sans suite","En cours")))</f>
        <v/>
      </c>
      <c r="N335">
        <f>IF(ISBLANK('ENGAGEMENTS 2026'!C335),"",'ENGAGEMENTS 2026'!L335)</f>
        <v/>
      </c>
      <c r="O335">
        <f>IF(ISBLANK('ENGAGEMENTS 2026'!C335),"",'ENGAGEMENTS 2026'!M335)</f>
        <v/>
      </c>
      <c r="P335">
        <f>IF(ISBLANK('ENGAGEMENTS 2026'!C335),"",'ENGAGEMENTS 2026'!K335)</f>
        <v/>
      </c>
      <c r="Q335">
        <f>IF($A335="","",IF(OR($E335="INFRUCTUEUX",$E335="ANNULE"),$A335&amp;"|"&amp;(COUNTIFS($A$2:$A335,$A335,$E$2:$E335,"INFRUCTUEUX")+COUNTIFS($A$2:$A335,$A335,$E$2:$E335,"ANNULE")),""))</f>
        <v/>
      </c>
    </row>
    <row r="336">
      <c r="A336">
        <f>IF(ISBLANK('ENGAGEMENTS 2026'!C336),"",IF('ENGAGEMENTS 2026'!C336="DTSI","DCT",'ENGAGEMENTS 2026'!C336))</f>
        <v/>
      </c>
      <c r="B336">
        <f>IF(ISBLANK('ENGAGEMENTS 2026'!C336),"",'ENGAGEMENTS 2026'!D336)</f>
        <v/>
      </c>
      <c r="C336">
        <f>IF(ISBLANK('ENGAGEMENTS 2026'!C336),"",'ENGAGEMENTS 2026'!E336)</f>
        <v/>
      </c>
      <c r="D336">
        <f>IF(ISBLANK('ENGAGEMENTS 2026'!C336),"",'ENGAGEMENTS 2026'!G336)</f>
        <v/>
      </c>
      <c r="E336">
        <f>IF(ISBLANK('ENGAGEMENTS 2026'!C336),"",'ENGAGEMENTS 2026'!I336)</f>
        <v/>
      </c>
      <c r="F336">
        <f>IF(ISBLANK('ENGAGEMENTS 2026'!C336),"",'ENGAGEMENTS 2026'!J336)</f>
        <v/>
      </c>
      <c r="G336">
        <f>IF(ISBLANK('ENGAGEMENTS 2026'!C336),"",'ENGAGEMENTS 2026'!M336)</f>
        <v/>
      </c>
      <c r="H336">
        <f>IF(ISBLANK('ENGAGEMENTS 2026'!C336),"",'ENGAGEMENTS 2026'!AF336)</f>
        <v/>
      </c>
      <c r="I336">
        <f>IF(ISBLANK('ENGAGEMENTS 2026'!C336),"",'ENGAGEMENTS 2026'!H336)</f>
        <v/>
      </c>
      <c r="J336" s="275">
        <f>IF(ISBLANK('ENGAGEMENTS 2026'!C336),"",IF(AND(OR($E336="INFRUCTUEUX",$E336="ANNULE"),$C336="AOO-M"),'ENGAGEMENTS 2026'!P336,IF($H336="EN COURS DE PREENGAGEMENT",'ENGAGEMENTS 2026'!O336,IF($H336="PREENGAGE",IF($E336="ATTRIBUE",'ENGAGEMENTS 2026'!AE336,'ENGAGEMENTS 2026'!O336),'ENGAGEMENTS 2026'!AE336))))</f>
        <v/>
      </c>
      <c r="K336" s="604">
        <f>IF(ISBLANK('ENGAGEMENTS 2026'!W336),"",'ENGAGEMENTS 2026'!W336)</f>
        <v/>
      </c>
      <c r="L336" s="276">
        <f>IF($K336="","",TODAY()-$K336)</f>
        <v/>
      </c>
      <c r="M336">
        <f>IF($A336="","",IF($H336="ENGAGE","Engagé",IF(AND($H336="NON ENGAGE",OR($I336="INFRUCTUEUX",$I336="ANNULE")),"Clôturé sans suite","En cours")))</f>
        <v/>
      </c>
      <c r="N336">
        <f>IF(ISBLANK('ENGAGEMENTS 2026'!C336),"",'ENGAGEMENTS 2026'!L336)</f>
        <v/>
      </c>
      <c r="O336">
        <f>IF(ISBLANK('ENGAGEMENTS 2026'!C336),"",'ENGAGEMENTS 2026'!M336)</f>
        <v/>
      </c>
      <c r="P336">
        <f>IF(ISBLANK('ENGAGEMENTS 2026'!C336),"",'ENGAGEMENTS 2026'!K336)</f>
        <v/>
      </c>
      <c r="Q336">
        <f>IF($A336="","",IF(OR($E336="INFRUCTUEUX",$E336="ANNULE"),$A336&amp;"|"&amp;(COUNTIFS($A$2:$A336,$A336,$E$2:$E336,"INFRUCTUEUX")+COUNTIFS($A$2:$A336,$A336,$E$2:$E336,"ANNULE")),""))</f>
        <v/>
      </c>
    </row>
    <row r="337">
      <c r="A337">
        <f>IF(ISBLANK('ENGAGEMENTS 2026'!C337),"",IF('ENGAGEMENTS 2026'!C337="DTSI","DCT",'ENGAGEMENTS 2026'!C337))</f>
        <v/>
      </c>
      <c r="B337">
        <f>IF(ISBLANK('ENGAGEMENTS 2026'!C337),"",'ENGAGEMENTS 2026'!D337)</f>
        <v/>
      </c>
      <c r="C337">
        <f>IF(ISBLANK('ENGAGEMENTS 2026'!C337),"",'ENGAGEMENTS 2026'!E337)</f>
        <v/>
      </c>
      <c r="D337">
        <f>IF(ISBLANK('ENGAGEMENTS 2026'!C337),"",'ENGAGEMENTS 2026'!G337)</f>
        <v/>
      </c>
      <c r="E337">
        <f>IF(ISBLANK('ENGAGEMENTS 2026'!C337),"",'ENGAGEMENTS 2026'!I337)</f>
        <v/>
      </c>
      <c r="F337">
        <f>IF(ISBLANK('ENGAGEMENTS 2026'!C337),"",'ENGAGEMENTS 2026'!J337)</f>
        <v/>
      </c>
      <c r="G337">
        <f>IF(ISBLANK('ENGAGEMENTS 2026'!C337),"",'ENGAGEMENTS 2026'!M337)</f>
        <v/>
      </c>
      <c r="H337">
        <f>IF(ISBLANK('ENGAGEMENTS 2026'!C337),"",'ENGAGEMENTS 2026'!AF337)</f>
        <v/>
      </c>
      <c r="I337">
        <f>IF(ISBLANK('ENGAGEMENTS 2026'!C337),"",'ENGAGEMENTS 2026'!H337)</f>
        <v/>
      </c>
      <c r="J337" s="275">
        <f>IF(ISBLANK('ENGAGEMENTS 2026'!C337),"",IF(AND(OR($E337="INFRUCTUEUX",$E337="ANNULE"),$C337="AOO-M"),'ENGAGEMENTS 2026'!P337,IF($H337="EN COURS DE PREENGAGEMENT",'ENGAGEMENTS 2026'!O337,IF($H337="PREENGAGE",IF($E337="ATTRIBUE",'ENGAGEMENTS 2026'!AE337,'ENGAGEMENTS 2026'!O337),'ENGAGEMENTS 2026'!AE337))))</f>
        <v/>
      </c>
      <c r="K337" s="604">
        <f>IF(ISBLANK('ENGAGEMENTS 2026'!W337),"",'ENGAGEMENTS 2026'!W337)</f>
        <v/>
      </c>
      <c r="L337" s="276">
        <f>IF($K337="","",TODAY()-$K337)</f>
        <v/>
      </c>
      <c r="M337">
        <f>IF($A337="","",IF($H337="ENGAGE","Engagé",IF(AND($H337="NON ENGAGE",OR($I337="INFRUCTUEUX",$I337="ANNULE")),"Clôturé sans suite","En cours")))</f>
        <v/>
      </c>
      <c r="N337">
        <f>IF(ISBLANK('ENGAGEMENTS 2026'!C337),"",'ENGAGEMENTS 2026'!L337)</f>
        <v/>
      </c>
      <c r="O337">
        <f>IF(ISBLANK('ENGAGEMENTS 2026'!C337),"",'ENGAGEMENTS 2026'!M337)</f>
        <v/>
      </c>
      <c r="P337">
        <f>IF(ISBLANK('ENGAGEMENTS 2026'!C337),"",'ENGAGEMENTS 2026'!K337)</f>
        <v/>
      </c>
      <c r="Q337">
        <f>IF($A337="","",IF(OR($E337="INFRUCTUEUX",$E337="ANNULE"),$A337&amp;"|"&amp;(COUNTIFS($A$2:$A337,$A337,$E$2:$E337,"INFRUCTUEUX")+COUNTIFS($A$2:$A337,$A337,$E$2:$E337,"ANNULE")),""))</f>
        <v/>
      </c>
    </row>
    <row r="338">
      <c r="A338">
        <f>IF(ISBLANK('ENGAGEMENTS 2026'!C338),"",IF('ENGAGEMENTS 2026'!C338="DTSI","DCT",'ENGAGEMENTS 2026'!C338))</f>
        <v/>
      </c>
      <c r="B338">
        <f>IF(ISBLANK('ENGAGEMENTS 2026'!C338),"",'ENGAGEMENTS 2026'!D338)</f>
        <v/>
      </c>
      <c r="C338">
        <f>IF(ISBLANK('ENGAGEMENTS 2026'!C338),"",'ENGAGEMENTS 2026'!E338)</f>
        <v/>
      </c>
      <c r="D338">
        <f>IF(ISBLANK('ENGAGEMENTS 2026'!C338),"",'ENGAGEMENTS 2026'!G338)</f>
        <v/>
      </c>
      <c r="E338">
        <f>IF(ISBLANK('ENGAGEMENTS 2026'!C338),"",'ENGAGEMENTS 2026'!I338)</f>
        <v/>
      </c>
      <c r="F338">
        <f>IF(ISBLANK('ENGAGEMENTS 2026'!C338),"",'ENGAGEMENTS 2026'!J338)</f>
        <v/>
      </c>
      <c r="G338">
        <f>IF(ISBLANK('ENGAGEMENTS 2026'!C338),"",'ENGAGEMENTS 2026'!M338)</f>
        <v/>
      </c>
      <c r="H338">
        <f>IF(ISBLANK('ENGAGEMENTS 2026'!C338),"",'ENGAGEMENTS 2026'!AF338)</f>
        <v/>
      </c>
      <c r="I338">
        <f>IF(ISBLANK('ENGAGEMENTS 2026'!C338),"",'ENGAGEMENTS 2026'!H338)</f>
        <v/>
      </c>
      <c r="J338" s="275">
        <f>IF(ISBLANK('ENGAGEMENTS 2026'!C338),"",IF(AND(OR($E338="INFRUCTUEUX",$E338="ANNULE"),$C338="AOO-M"),'ENGAGEMENTS 2026'!P338,IF($H338="EN COURS DE PREENGAGEMENT",'ENGAGEMENTS 2026'!O338,IF($H338="PREENGAGE",IF($E338="ATTRIBUE",'ENGAGEMENTS 2026'!AE338,'ENGAGEMENTS 2026'!O338),'ENGAGEMENTS 2026'!AE338))))</f>
        <v/>
      </c>
      <c r="K338" s="604">
        <f>IF(ISBLANK('ENGAGEMENTS 2026'!W338),"",'ENGAGEMENTS 2026'!W338)</f>
        <v/>
      </c>
      <c r="L338" s="276">
        <f>IF($K338="","",TODAY()-$K338)</f>
        <v/>
      </c>
      <c r="M338">
        <f>IF($A338="","",IF($H338="ENGAGE","Engagé",IF(AND($H338="NON ENGAGE",OR($I338="INFRUCTUEUX",$I338="ANNULE")),"Clôturé sans suite","En cours")))</f>
        <v/>
      </c>
      <c r="N338">
        <f>IF(ISBLANK('ENGAGEMENTS 2026'!C338),"",'ENGAGEMENTS 2026'!L338)</f>
        <v/>
      </c>
      <c r="O338">
        <f>IF(ISBLANK('ENGAGEMENTS 2026'!C338),"",'ENGAGEMENTS 2026'!M338)</f>
        <v/>
      </c>
      <c r="P338">
        <f>IF(ISBLANK('ENGAGEMENTS 2026'!C338),"",'ENGAGEMENTS 2026'!K338)</f>
        <v/>
      </c>
      <c r="Q338">
        <f>IF($A338="","",IF(OR($E338="INFRUCTUEUX",$E338="ANNULE"),$A338&amp;"|"&amp;(COUNTIFS($A$2:$A338,$A338,$E$2:$E338,"INFRUCTUEUX")+COUNTIFS($A$2:$A338,$A338,$E$2:$E338,"ANNULE")),""))</f>
        <v/>
      </c>
    </row>
    <row r="339">
      <c r="A339">
        <f>IF(ISBLANK('ENGAGEMENTS 2026'!C339),"",IF('ENGAGEMENTS 2026'!C339="DTSI","DCT",'ENGAGEMENTS 2026'!C339))</f>
        <v/>
      </c>
      <c r="B339">
        <f>IF(ISBLANK('ENGAGEMENTS 2026'!C339),"",'ENGAGEMENTS 2026'!D339)</f>
        <v/>
      </c>
      <c r="C339">
        <f>IF(ISBLANK('ENGAGEMENTS 2026'!C339),"",'ENGAGEMENTS 2026'!E339)</f>
        <v/>
      </c>
      <c r="D339">
        <f>IF(ISBLANK('ENGAGEMENTS 2026'!C339),"",'ENGAGEMENTS 2026'!G339)</f>
        <v/>
      </c>
      <c r="E339">
        <f>IF(ISBLANK('ENGAGEMENTS 2026'!C339),"",'ENGAGEMENTS 2026'!I339)</f>
        <v/>
      </c>
      <c r="F339">
        <f>IF(ISBLANK('ENGAGEMENTS 2026'!C339),"",'ENGAGEMENTS 2026'!J339)</f>
        <v/>
      </c>
      <c r="G339">
        <f>IF(ISBLANK('ENGAGEMENTS 2026'!C339),"",'ENGAGEMENTS 2026'!M339)</f>
        <v/>
      </c>
      <c r="H339">
        <f>IF(ISBLANK('ENGAGEMENTS 2026'!C339),"",'ENGAGEMENTS 2026'!AF339)</f>
        <v/>
      </c>
      <c r="I339">
        <f>IF(ISBLANK('ENGAGEMENTS 2026'!C339),"",'ENGAGEMENTS 2026'!H339)</f>
        <v/>
      </c>
      <c r="J339" s="275">
        <f>IF(ISBLANK('ENGAGEMENTS 2026'!C339),"",IF(AND(OR($E339="INFRUCTUEUX",$E339="ANNULE"),$C339="AOO-M"),'ENGAGEMENTS 2026'!P339,IF($H339="EN COURS DE PREENGAGEMENT",'ENGAGEMENTS 2026'!O339,IF($H339="PREENGAGE",IF($E339="ATTRIBUE",'ENGAGEMENTS 2026'!AE339,'ENGAGEMENTS 2026'!O339),'ENGAGEMENTS 2026'!AE339))))</f>
        <v/>
      </c>
      <c r="K339" s="604">
        <f>IF(ISBLANK('ENGAGEMENTS 2026'!W339),"",'ENGAGEMENTS 2026'!W339)</f>
        <v/>
      </c>
      <c r="L339" s="276">
        <f>IF($K339="","",TODAY()-$K339)</f>
        <v/>
      </c>
      <c r="M339">
        <f>IF($A339="","",IF($H339="ENGAGE","Engagé",IF(AND($H339="NON ENGAGE",OR($I339="INFRUCTUEUX",$I339="ANNULE")),"Clôturé sans suite","En cours")))</f>
        <v/>
      </c>
      <c r="N339">
        <f>IF(ISBLANK('ENGAGEMENTS 2026'!C339),"",'ENGAGEMENTS 2026'!L339)</f>
        <v/>
      </c>
      <c r="O339">
        <f>IF(ISBLANK('ENGAGEMENTS 2026'!C339),"",'ENGAGEMENTS 2026'!M339)</f>
        <v/>
      </c>
      <c r="P339">
        <f>IF(ISBLANK('ENGAGEMENTS 2026'!C339),"",'ENGAGEMENTS 2026'!K339)</f>
        <v/>
      </c>
      <c r="Q339">
        <f>IF($A339="","",IF(OR($E339="INFRUCTUEUX",$E339="ANNULE"),$A339&amp;"|"&amp;(COUNTIFS($A$2:$A339,$A339,$E$2:$E339,"INFRUCTUEUX")+COUNTIFS($A$2:$A339,$A339,$E$2:$E339,"ANNULE")),""))</f>
        <v/>
      </c>
    </row>
    <row r="340">
      <c r="A340">
        <f>IF(ISBLANK('ENGAGEMENTS 2026'!C340),"",IF('ENGAGEMENTS 2026'!C340="DTSI","DCT",'ENGAGEMENTS 2026'!C340))</f>
        <v/>
      </c>
      <c r="B340">
        <f>IF(ISBLANK('ENGAGEMENTS 2026'!C340),"",'ENGAGEMENTS 2026'!D340)</f>
        <v/>
      </c>
      <c r="C340">
        <f>IF(ISBLANK('ENGAGEMENTS 2026'!C340),"",'ENGAGEMENTS 2026'!E340)</f>
        <v/>
      </c>
      <c r="D340">
        <f>IF(ISBLANK('ENGAGEMENTS 2026'!C340),"",'ENGAGEMENTS 2026'!G340)</f>
        <v/>
      </c>
      <c r="E340">
        <f>IF(ISBLANK('ENGAGEMENTS 2026'!C340),"",'ENGAGEMENTS 2026'!I340)</f>
        <v/>
      </c>
      <c r="F340">
        <f>IF(ISBLANK('ENGAGEMENTS 2026'!C340),"",'ENGAGEMENTS 2026'!J340)</f>
        <v/>
      </c>
      <c r="G340">
        <f>IF(ISBLANK('ENGAGEMENTS 2026'!C340),"",'ENGAGEMENTS 2026'!M340)</f>
        <v/>
      </c>
      <c r="H340">
        <f>IF(ISBLANK('ENGAGEMENTS 2026'!C340),"",'ENGAGEMENTS 2026'!AF340)</f>
        <v/>
      </c>
      <c r="I340">
        <f>IF(ISBLANK('ENGAGEMENTS 2026'!C340),"",'ENGAGEMENTS 2026'!H340)</f>
        <v/>
      </c>
      <c r="J340" s="275">
        <f>IF(ISBLANK('ENGAGEMENTS 2026'!C340),"",IF(AND(OR($E340="INFRUCTUEUX",$E340="ANNULE"),$C340="AOO-M"),'ENGAGEMENTS 2026'!P340,IF($H340="EN COURS DE PREENGAGEMENT",'ENGAGEMENTS 2026'!O340,IF($H340="PREENGAGE",IF($E340="ATTRIBUE",'ENGAGEMENTS 2026'!AE340,'ENGAGEMENTS 2026'!O340),'ENGAGEMENTS 2026'!AE340))))</f>
        <v/>
      </c>
      <c r="K340" s="604">
        <f>IF(ISBLANK('ENGAGEMENTS 2026'!W340),"",'ENGAGEMENTS 2026'!W340)</f>
        <v/>
      </c>
      <c r="L340" s="276">
        <f>IF($K340="","",TODAY()-$K340)</f>
        <v/>
      </c>
      <c r="M340">
        <f>IF($A340="","",IF($H340="ENGAGE","Engagé",IF(AND($H340="NON ENGAGE",OR($I340="INFRUCTUEUX",$I340="ANNULE")),"Clôturé sans suite","En cours")))</f>
        <v/>
      </c>
      <c r="N340">
        <f>IF(ISBLANK('ENGAGEMENTS 2026'!C340),"",'ENGAGEMENTS 2026'!L340)</f>
        <v/>
      </c>
      <c r="O340">
        <f>IF(ISBLANK('ENGAGEMENTS 2026'!C340),"",'ENGAGEMENTS 2026'!M340)</f>
        <v/>
      </c>
      <c r="P340">
        <f>IF(ISBLANK('ENGAGEMENTS 2026'!C340),"",'ENGAGEMENTS 2026'!K340)</f>
        <v/>
      </c>
      <c r="Q340">
        <f>IF($A340="","",IF(OR($E340="INFRUCTUEUX",$E340="ANNULE"),$A340&amp;"|"&amp;(COUNTIFS($A$2:$A340,$A340,$E$2:$E340,"INFRUCTUEUX")+COUNTIFS($A$2:$A340,$A340,$E$2:$E340,"ANNULE")),""))</f>
        <v/>
      </c>
    </row>
    <row r="341">
      <c r="A341">
        <f>IF(ISBLANK('ENGAGEMENTS 2026'!C341),"",IF('ENGAGEMENTS 2026'!C341="DTSI","DCT",'ENGAGEMENTS 2026'!C341))</f>
        <v/>
      </c>
      <c r="B341">
        <f>IF(ISBLANK('ENGAGEMENTS 2026'!C341),"",'ENGAGEMENTS 2026'!D341)</f>
        <v/>
      </c>
      <c r="C341">
        <f>IF(ISBLANK('ENGAGEMENTS 2026'!C341),"",'ENGAGEMENTS 2026'!E341)</f>
        <v/>
      </c>
      <c r="D341">
        <f>IF(ISBLANK('ENGAGEMENTS 2026'!C341),"",'ENGAGEMENTS 2026'!G341)</f>
        <v/>
      </c>
      <c r="E341">
        <f>IF(ISBLANK('ENGAGEMENTS 2026'!C341),"",'ENGAGEMENTS 2026'!I341)</f>
        <v/>
      </c>
      <c r="F341">
        <f>IF(ISBLANK('ENGAGEMENTS 2026'!C341),"",'ENGAGEMENTS 2026'!J341)</f>
        <v/>
      </c>
      <c r="G341">
        <f>IF(ISBLANK('ENGAGEMENTS 2026'!C341),"",'ENGAGEMENTS 2026'!M341)</f>
        <v/>
      </c>
      <c r="H341">
        <f>IF(ISBLANK('ENGAGEMENTS 2026'!C341),"",'ENGAGEMENTS 2026'!AF341)</f>
        <v/>
      </c>
      <c r="I341">
        <f>IF(ISBLANK('ENGAGEMENTS 2026'!C341),"",'ENGAGEMENTS 2026'!H341)</f>
        <v/>
      </c>
      <c r="J341" s="275">
        <f>IF(ISBLANK('ENGAGEMENTS 2026'!C341),"",IF(AND(OR($E341="INFRUCTUEUX",$E341="ANNULE"),$C341="AOO-M"),'ENGAGEMENTS 2026'!P341,IF($H341="EN COURS DE PREENGAGEMENT",'ENGAGEMENTS 2026'!O341,IF($H341="PREENGAGE",IF($E341="ATTRIBUE",'ENGAGEMENTS 2026'!AE341,'ENGAGEMENTS 2026'!O341),'ENGAGEMENTS 2026'!AE341))))</f>
        <v/>
      </c>
      <c r="K341" s="604">
        <f>IF(ISBLANK('ENGAGEMENTS 2026'!W341),"",'ENGAGEMENTS 2026'!W341)</f>
        <v/>
      </c>
      <c r="L341" s="276">
        <f>IF($K341="","",TODAY()-$K341)</f>
        <v/>
      </c>
      <c r="M341">
        <f>IF($A341="","",IF($H341="ENGAGE","Engagé",IF(AND($H341="NON ENGAGE",OR($I341="INFRUCTUEUX",$I341="ANNULE")),"Clôturé sans suite","En cours")))</f>
        <v/>
      </c>
      <c r="N341">
        <f>IF(ISBLANK('ENGAGEMENTS 2026'!C341),"",'ENGAGEMENTS 2026'!L341)</f>
        <v/>
      </c>
      <c r="O341">
        <f>IF(ISBLANK('ENGAGEMENTS 2026'!C341),"",'ENGAGEMENTS 2026'!M341)</f>
        <v/>
      </c>
      <c r="P341">
        <f>IF(ISBLANK('ENGAGEMENTS 2026'!C341),"",'ENGAGEMENTS 2026'!K341)</f>
        <v/>
      </c>
      <c r="Q341">
        <f>IF($A341="","",IF(OR($E341="INFRUCTUEUX",$E341="ANNULE"),$A341&amp;"|"&amp;(COUNTIFS($A$2:$A341,$A341,$E$2:$E341,"INFRUCTUEUX")+COUNTIFS($A$2:$A341,$A341,$E$2:$E341,"ANNULE")),""))</f>
        <v/>
      </c>
    </row>
    <row r="342">
      <c r="A342">
        <f>IF(ISBLANK('ENGAGEMENTS 2026'!C342),"",IF('ENGAGEMENTS 2026'!C342="DTSI","DCT",'ENGAGEMENTS 2026'!C342))</f>
        <v/>
      </c>
      <c r="B342">
        <f>IF(ISBLANK('ENGAGEMENTS 2026'!C342),"",'ENGAGEMENTS 2026'!D342)</f>
        <v/>
      </c>
      <c r="C342">
        <f>IF(ISBLANK('ENGAGEMENTS 2026'!C342),"",'ENGAGEMENTS 2026'!E342)</f>
        <v/>
      </c>
      <c r="D342">
        <f>IF(ISBLANK('ENGAGEMENTS 2026'!C342),"",'ENGAGEMENTS 2026'!G342)</f>
        <v/>
      </c>
      <c r="E342">
        <f>IF(ISBLANK('ENGAGEMENTS 2026'!C342),"",'ENGAGEMENTS 2026'!I342)</f>
        <v/>
      </c>
      <c r="F342">
        <f>IF(ISBLANK('ENGAGEMENTS 2026'!C342),"",'ENGAGEMENTS 2026'!J342)</f>
        <v/>
      </c>
      <c r="G342">
        <f>IF(ISBLANK('ENGAGEMENTS 2026'!C342),"",'ENGAGEMENTS 2026'!M342)</f>
        <v/>
      </c>
      <c r="H342">
        <f>IF(ISBLANK('ENGAGEMENTS 2026'!C342),"",'ENGAGEMENTS 2026'!AF342)</f>
        <v/>
      </c>
      <c r="I342">
        <f>IF(ISBLANK('ENGAGEMENTS 2026'!C342),"",'ENGAGEMENTS 2026'!H342)</f>
        <v/>
      </c>
      <c r="J342" s="275">
        <f>IF(ISBLANK('ENGAGEMENTS 2026'!C342),"",IF(AND(OR($E342="INFRUCTUEUX",$E342="ANNULE"),$C342="AOO-M"),'ENGAGEMENTS 2026'!P342,IF($H342="EN COURS DE PREENGAGEMENT",'ENGAGEMENTS 2026'!O342,IF($H342="PREENGAGE",IF($E342="ATTRIBUE",'ENGAGEMENTS 2026'!AE342,'ENGAGEMENTS 2026'!O342),'ENGAGEMENTS 2026'!AE342))))</f>
        <v/>
      </c>
      <c r="K342" s="604">
        <f>IF(ISBLANK('ENGAGEMENTS 2026'!W342),"",'ENGAGEMENTS 2026'!W342)</f>
        <v/>
      </c>
      <c r="L342" s="276">
        <f>IF($K342="","",TODAY()-$K342)</f>
        <v/>
      </c>
      <c r="M342">
        <f>IF($A342="","",IF($H342="ENGAGE","Engagé",IF(AND($H342="NON ENGAGE",OR($I342="INFRUCTUEUX",$I342="ANNULE")),"Clôturé sans suite","En cours")))</f>
        <v/>
      </c>
      <c r="N342">
        <f>IF(ISBLANK('ENGAGEMENTS 2026'!C342),"",'ENGAGEMENTS 2026'!L342)</f>
        <v/>
      </c>
      <c r="O342">
        <f>IF(ISBLANK('ENGAGEMENTS 2026'!C342),"",'ENGAGEMENTS 2026'!M342)</f>
        <v/>
      </c>
      <c r="P342">
        <f>IF(ISBLANK('ENGAGEMENTS 2026'!C342),"",'ENGAGEMENTS 2026'!K342)</f>
        <v/>
      </c>
      <c r="Q342">
        <f>IF($A342="","",IF(OR($E342="INFRUCTUEUX",$E342="ANNULE"),$A342&amp;"|"&amp;(COUNTIFS($A$2:$A342,$A342,$E$2:$E342,"INFRUCTUEUX")+COUNTIFS($A$2:$A342,$A342,$E$2:$E342,"ANNULE")),""))</f>
        <v/>
      </c>
    </row>
    <row r="343">
      <c r="A343">
        <f>IF(ISBLANK('ENGAGEMENTS 2026'!C343),"",IF('ENGAGEMENTS 2026'!C343="DTSI","DCT",'ENGAGEMENTS 2026'!C343))</f>
        <v/>
      </c>
      <c r="B343">
        <f>IF(ISBLANK('ENGAGEMENTS 2026'!C343),"",'ENGAGEMENTS 2026'!D343)</f>
        <v/>
      </c>
      <c r="C343">
        <f>IF(ISBLANK('ENGAGEMENTS 2026'!C343),"",'ENGAGEMENTS 2026'!E343)</f>
        <v/>
      </c>
      <c r="D343">
        <f>IF(ISBLANK('ENGAGEMENTS 2026'!C343),"",'ENGAGEMENTS 2026'!G343)</f>
        <v/>
      </c>
      <c r="E343">
        <f>IF(ISBLANK('ENGAGEMENTS 2026'!C343),"",'ENGAGEMENTS 2026'!I343)</f>
        <v/>
      </c>
      <c r="F343">
        <f>IF(ISBLANK('ENGAGEMENTS 2026'!C343),"",'ENGAGEMENTS 2026'!J343)</f>
        <v/>
      </c>
      <c r="G343">
        <f>IF(ISBLANK('ENGAGEMENTS 2026'!C343),"",'ENGAGEMENTS 2026'!M343)</f>
        <v/>
      </c>
      <c r="H343">
        <f>IF(ISBLANK('ENGAGEMENTS 2026'!C343),"",'ENGAGEMENTS 2026'!AF343)</f>
        <v/>
      </c>
      <c r="I343">
        <f>IF(ISBLANK('ENGAGEMENTS 2026'!C343),"",'ENGAGEMENTS 2026'!H343)</f>
        <v/>
      </c>
      <c r="J343" s="275">
        <f>IF(ISBLANK('ENGAGEMENTS 2026'!C343),"",IF(AND(OR($E343="INFRUCTUEUX",$E343="ANNULE"),$C343="AOO-M"),'ENGAGEMENTS 2026'!P343,IF($H343="EN COURS DE PREENGAGEMENT",'ENGAGEMENTS 2026'!O343,IF($H343="PREENGAGE",IF($E343="ATTRIBUE",'ENGAGEMENTS 2026'!AE343,'ENGAGEMENTS 2026'!O343),'ENGAGEMENTS 2026'!AE343))))</f>
        <v/>
      </c>
      <c r="K343" s="604">
        <f>IF(ISBLANK('ENGAGEMENTS 2026'!W343),"",'ENGAGEMENTS 2026'!W343)</f>
        <v/>
      </c>
      <c r="L343" s="276">
        <f>IF($K343="","",TODAY()-$K343)</f>
        <v/>
      </c>
      <c r="M343">
        <f>IF($A343="","",IF($H343="ENGAGE","Engagé",IF(AND($H343="NON ENGAGE",OR($I343="INFRUCTUEUX",$I343="ANNULE")),"Clôturé sans suite","En cours")))</f>
        <v/>
      </c>
      <c r="N343">
        <f>IF(ISBLANK('ENGAGEMENTS 2026'!C343),"",'ENGAGEMENTS 2026'!L343)</f>
        <v/>
      </c>
      <c r="O343">
        <f>IF(ISBLANK('ENGAGEMENTS 2026'!C343),"",'ENGAGEMENTS 2026'!M343)</f>
        <v/>
      </c>
      <c r="P343">
        <f>IF(ISBLANK('ENGAGEMENTS 2026'!C343),"",'ENGAGEMENTS 2026'!K343)</f>
        <v/>
      </c>
      <c r="Q343">
        <f>IF($A343="","",IF(OR($E343="INFRUCTUEUX",$E343="ANNULE"),$A343&amp;"|"&amp;(COUNTIFS($A$2:$A343,$A343,$E$2:$E343,"INFRUCTUEUX")+COUNTIFS($A$2:$A343,$A343,$E$2:$E343,"ANNULE")),""))</f>
        <v/>
      </c>
    </row>
    <row r="344">
      <c r="A344">
        <f>IF(ISBLANK('ENGAGEMENTS 2026'!C344),"",IF('ENGAGEMENTS 2026'!C344="DTSI","DCT",'ENGAGEMENTS 2026'!C344))</f>
        <v/>
      </c>
      <c r="B344">
        <f>IF(ISBLANK('ENGAGEMENTS 2026'!C344),"",'ENGAGEMENTS 2026'!D344)</f>
        <v/>
      </c>
      <c r="C344">
        <f>IF(ISBLANK('ENGAGEMENTS 2026'!C344),"",'ENGAGEMENTS 2026'!E344)</f>
        <v/>
      </c>
      <c r="D344">
        <f>IF(ISBLANK('ENGAGEMENTS 2026'!C344),"",'ENGAGEMENTS 2026'!G344)</f>
        <v/>
      </c>
      <c r="E344">
        <f>IF(ISBLANK('ENGAGEMENTS 2026'!C344),"",'ENGAGEMENTS 2026'!I344)</f>
        <v/>
      </c>
      <c r="F344">
        <f>IF(ISBLANK('ENGAGEMENTS 2026'!C344),"",'ENGAGEMENTS 2026'!J344)</f>
        <v/>
      </c>
      <c r="G344">
        <f>IF(ISBLANK('ENGAGEMENTS 2026'!C344),"",'ENGAGEMENTS 2026'!M344)</f>
        <v/>
      </c>
      <c r="H344">
        <f>IF(ISBLANK('ENGAGEMENTS 2026'!C344),"",'ENGAGEMENTS 2026'!AF344)</f>
        <v/>
      </c>
      <c r="I344">
        <f>IF(ISBLANK('ENGAGEMENTS 2026'!C344),"",'ENGAGEMENTS 2026'!H344)</f>
        <v/>
      </c>
      <c r="J344" s="275">
        <f>IF(ISBLANK('ENGAGEMENTS 2026'!C344),"",IF(AND(OR($E344="INFRUCTUEUX",$E344="ANNULE"),$C344="AOO-M"),'ENGAGEMENTS 2026'!P344,IF($H344="EN COURS DE PREENGAGEMENT",'ENGAGEMENTS 2026'!O344,IF($H344="PREENGAGE",IF($E344="ATTRIBUE",'ENGAGEMENTS 2026'!AE344,'ENGAGEMENTS 2026'!O344),'ENGAGEMENTS 2026'!AE344))))</f>
        <v/>
      </c>
      <c r="K344" s="604">
        <f>IF(ISBLANK('ENGAGEMENTS 2026'!W344),"",'ENGAGEMENTS 2026'!W344)</f>
        <v/>
      </c>
      <c r="L344" s="276">
        <f>IF($K344="","",TODAY()-$K344)</f>
        <v/>
      </c>
      <c r="M344">
        <f>IF($A344="","",IF($H344="ENGAGE","Engagé",IF(AND($H344="NON ENGAGE",OR($I344="INFRUCTUEUX",$I344="ANNULE")),"Clôturé sans suite","En cours")))</f>
        <v/>
      </c>
      <c r="N344">
        <f>IF(ISBLANK('ENGAGEMENTS 2026'!C344),"",'ENGAGEMENTS 2026'!L344)</f>
        <v/>
      </c>
      <c r="O344">
        <f>IF(ISBLANK('ENGAGEMENTS 2026'!C344),"",'ENGAGEMENTS 2026'!M344)</f>
        <v/>
      </c>
      <c r="P344">
        <f>IF(ISBLANK('ENGAGEMENTS 2026'!C344),"",'ENGAGEMENTS 2026'!K344)</f>
        <v/>
      </c>
      <c r="Q344">
        <f>IF($A344="","",IF(OR($E344="INFRUCTUEUX",$E344="ANNULE"),$A344&amp;"|"&amp;(COUNTIFS($A$2:$A344,$A344,$E$2:$E344,"INFRUCTUEUX")+COUNTIFS($A$2:$A344,$A344,$E$2:$E344,"ANNULE")),""))</f>
        <v/>
      </c>
    </row>
    <row r="345">
      <c r="A345">
        <f>IF(ISBLANK('ENGAGEMENTS 2026'!C345),"",IF('ENGAGEMENTS 2026'!C345="DTSI","DCT",'ENGAGEMENTS 2026'!C345))</f>
        <v/>
      </c>
      <c r="B345">
        <f>IF(ISBLANK('ENGAGEMENTS 2026'!C345),"",'ENGAGEMENTS 2026'!D345)</f>
        <v/>
      </c>
      <c r="C345">
        <f>IF(ISBLANK('ENGAGEMENTS 2026'!C345),"",'ENGAGEMENTS 2026'!E345)</f>
        <v/>
      </c>
      <c r="D345">
        <f>IF(ISBLANK('ENGAGEMENTS 2026'!C345),"",'ENGAGEMENTS 2026'!G345)</f>
        <v/>
      </c>
      <c r="E345">
        <f>IF(ISBLANK('ENGAGEMENTS 2026'!C345),"",'ENGAGEMENTS 2026'!I345)</f>
        <v/>
      </c>
      <c r="F345">
        <f>IF(ISBLANK('ENGAGEMENTS 2026'!C345),"",'ENGAGEMENTS 2026'!J345)</f>
        <v/>
      </c>
      <c r="G345">
        <f>IF(ISBLANK('ENGAGEMENTS 2026'!C345),"",'ENGAGEMENTS 2026'!M345)</f>
        <v/>
      </c>
      <c r="H345">
        <f>IF(ISBLANK('ENGAGEMENTS 2026'!C345),"",'ENGAGEMENTS 2026'!AF345)</f>
        <v/>
      </c>
      <c r="I345">
        <f>IF(ISBLANK('ENGAGEMENTS 2026'!C345),"",'ENGAGEMENTS 2026'!H345)</f>
        <v/>
      </c>
      <c r="J345" s="275">
        <f>IF(ISBLANK('ENGAGEMENTS 2026'!C345),"",IF(AND(OR($E345="INFRUCTUEUX",$E345="ANNULE"),$C345="AOO-M"),'ENGAGEMENTS 2026'!P345,IF($H345="EN COURS DE PREENGAGEMENT",'ENGAGEMENTS 2026'!O345,IF($H345="PREENGAGE",IF($E345="ATTRIBUE",'ENGAGEMENTS 2026'!AE345,'ENGAGEMENTS 2026'!O345),'ENGAGEMENTS 2026'!AE345))))</f>
        <v/>
      </c>
      <c r="K345" s="604">
        <f>IF(ISBLANK('ENGAGEMENTS 2026'!W345),"",'ENGAGEMENTS 2026'!W345)</f>
        <v/>
      </c>
      <c r="L345" s="276">
        <f>IF($K345="","",TODAY()-$K345)</f>
        <v/>
      </c>
      <c r="M345">
        <f>IF($A345="","",IF($H345="ENGAGE","Engagé",IF(AND($H345="NON ENGAGE",OR($I345="INFRUCTUEUX",$I345="ANNULE")),"Clôturé sans suite","En cours")))</f>
        <v/>
      </c>
      <c r="N345">
        <f>IF(ISBLANK('ENGAGEMENTS 2026'!C345),"",'ENGAGEMENTS 2026'!L345)</f>
        <v/>
      </c>
      <c r="O345">
        <f>IF(ISBLANK('ENGAGEMENTS 2026'!C345),"",'ENGAGEMENTS 2026'!M345)</f>
        <v/>
      </c>
      <c r="P345">
        <f>IF(ISBLANK('ENGAGEMENTS 2026'!C345),"",'ENGAGEMENTS 2026'!K345)</f>
        <v/>
      </c>
      <c r="Q345">
        <f>IF($A345="","",IF(OR($E345="INFRUCTUEUX",$E345="ANNULE"),$A345&amp;"|"&amp;(COUNTIFS($A$2:$A345,$A345,$E$2:$E345,"INFRUCTUEUX")+COUNTIFS($A$2:$A345,$A345,$E$2:$E345,"ANNULE")),""))</f>
        <v/>
      </c>
    </row>
    <row r="346">
      <c r="A346">
        <f>IF(ISBLANK('ENGAGEMENTS 2026'!C346),"",IF('ENGAGEMENTS 2026'!C346="DTSI","DCT",'ENGAGEMENTS 2026'!C346))</f>
        <v/>
      </c>
      <c r="B346">
        <f>IF(ISBLANK('ENGAGEMENTS 2026'!C346),"",'ENGAGEMENTS 2026'!D346)</f>
        <v/>
      </c>
      <c r="C346">
        <f>IF(ISBLANK('ENGAGEMENTS 2026'!C346),"",'ENGAGEMENTS 2026'!E346)</f>
        <v/>
      </c>
      <c r="D346">
        <f>IF(ISBLANK('ENGAGEMENTS 2026'!C346),"",'ENGAGEMENTS 2026'!G346)</f>
        <v/>
      </c>
      <c r="E346">
        <f>IF(ISBLANK('ENGAGEMENTS 2026'!C346),"",'ENGAGEMENTS 2026'!I346)</f>
        <v/>
      </c>
      <c r="F346">
        <f>IF(ISBLANK('ENGAGEMENTS 2026'!C346),"",'ENGAGEMENTS 2026'!J346)</f>
        <v/>
      </c>
      <c r="G346">
        <f>IF(ISBLANK('ENGAGEMENTS 2026'!C346),"",'ENGAGEMENTS 2026'!M346)</f>
        <v/>
      </c>
      <c r="H346">
        <f>IF(ISBLANK('ENGAGEMENTS 2026'!C346),"",'ENGAGEMENTS 2026'!AF346)</f>
        <v/>
      </c>
      <c r="I346">
        <f>IF(ISBLANK('ENGAGEMENTS 2026'!C346),"",'ENGAGEMENTS 2026'!H346)</f>
        <v/>
      </c>
      <c r="J346" s="275">
        <f>IF(ISBLANK('ENGAGEMENTS 2026'!C346),"",IF(AND(OR($E346="INFRUCTUEUX",$E346="ANNULE"),$C346="AOO-M"),'ENGAGEMENTS 2026'!P346,IF($H346="EN COURS DE PREENGAGEMENT",'ENGAGEMENTS 2026'!O346,IF($H346="PREENGAGE",IF($E346="ATTRIBUE",'ENGAGEMENTS 2026'!AE346,'ENGAGEMENTS 2026'!O346),'ENGAGEMENTS 2026'!AE346))))</f>
        <v/>
      </c>
      <c r="K346" s="604">
        <f>IF(ISBLANK('ENGAGEMENTS 2026'!W346),"",'ENGAGEMENTS 2026'!W346)</f>
        <v/>
      </c>
      <c r="L346" s="276">
        <f>IF($K346="","",TODAY()-$K346)</f>
        <v/>
      </c>
      <c r="M346">
        <f>IF($A346="","",IF($H346="ENGAGE","Engagé",IF(AND($H346="NON ENGAGE",OR($I346="INFRUCTUEUX",$I346="ANNULE")),"Clôturé sans suite","En cours")))</f>
        <v/>
      </c>
      <c r="N346">
        <f>IF(ISBLANK('ENGAGEMENTS 2026'!C346),"",'ENGAGEMENTS 2026'!L346)</f>
        <v/>
      </c>
      <c r="O346">
        <f>IF(ISBLANK('ENGAGEMENTS 2026'!C346),"",'ENGAGEMENTS 2026'!M346)</f>
        <v/>
      </c>
      <c r="P346">
        <f>IF(ISBLANK('ENGAGEMENTS 2026'!C346),"",'ENGAGEMENTS 2026'!K346)</f>
        <v/>
      </c>
      <c r="Q346">
        <f>IF($A346="","",IF(OR($E346="INFRUCTUEUX",$E346="ANNULE"),$A346&amp;"|"&amp;(COUNTIFS($A$2:$A346,$A346,$E$2:$E346,"INFRUCTUEUX")+COUNTIFS($A$2:$A346,$A346,$E$2:$E346,"ANNULE")),""))</f>
        <v/>
      </c>
    </row>
    <row r="347">
      <c r="A347">
        <f>IF(ISBLANK('ENGAGEMENTS 2026'!C347),"",IF('ENGAGEMENTS 2026'!C347="DTSI","DCT",'ENGAGEMENTS 2026'!C347))</f>
        <v/>
      </c>
      <c r="B347">
        <f>IF(ISBLANK('ENGAGEMENTS 2026'!C347),"",'ENGAGEMENTS 2026'!D347)</f>
        <v/>
      </c>
      <c r="C347">
        <f>IF(ISBLANK('ENGAGEMENTS 2026'!C347),"",'ENGAGEMENTS 2026'!E347)</f>
        <v/>
      </c>
      <c r="D347">
        <f>IF(ISBLANK('ENGAGEMENTS 2026'!C347),"",'ENGAGEMENTS 2026'!G347)</f>
        <v/>
      </c>
      <c r="E347">
        <f>IF(ISBLANK('ENGAGEMENTS 2026'!C347),"",'ENGAGEMENTS 2026'!I347)</f>
        <v/>
      </c>
      <c r="F347">
        <f>IF(ISBLANK('ENGAGEMENTS 2026'!C347),"",'ENGAGEMENTS 2026'!J347)</f>
        <v/>
      </c>
      <c r="G347">
        <f>IF(ISBLANK('ENGAGEMENTS 2026'!C347),"",'ENGAGEMENTS 2026'!M347)</f>
        <v/>
      </c>
      <c r="H347">
        <f>IF(ISBLANK('ENGAGEMENTS 2026'!C347),"",'ENGAGEMENTS 2026'!AF347)</f>
        <v/>
      </c>
      <c r="I347">
        <f>IF(ISBLANK('ENGAGEMENTS 2026'!C347),"",'ENGAGEMENTS 2026'!H347)</f>
        <v/>
      </c>
      <c r="J347" s="275">
        <f>IF(ISBLANK('ENGAGEMENTS 2026'!C347),"",IF(AND(OR($E347="INFRUCTUEUX",$E347="ANNULE"),$C347="AOO-M"),'ENGAGEMENTS 2026'!P347,IF($H347="EN COURS DE PREENGAGEMENT",'ENGAGEMENTS 2026'!O347,IF($H347="PREENGAGE",IF($E347="ATTRIBUE",'ENGAGEMENTS 2026'!AE347,'ENGAGEMENTS 2026'!O347),'ENGAGEMENTS 2026'!AE347))))</f>
        <v/>
      </c>
      <c r="K347" s="604">
        <f>IF(ISBLANK('ENGAGEMENTS 2026'!W347),"",'ENGAGEMENTS 2026'!W347)</f>
        <v/>
      </c>
      <c r="L347" s="276">
        <f>IF($K347="","",TODAY()-$K347)</f>
        <v/>
      </c>
      <c r="M347">
        <f>IF($A347="","",IF($H347="ENGAGE","Engagé",IF(AND($H347="NON ENGAGE",OR($I347="INFRUCTUEUX",$I347="ANNULE")),"Clôturé sans suite","En cours")))</f>
        <v/>
      </c>
      <c r="N347">
        <f>IF(ISBLANK('ENGAGEMENTS 2026'!C347),"",'ENGAGEMENTS 2026'!L347)</f>
        <v/>
      </c>
      <c r="O347">
        <f>IF(ISBLANK('ENGAGEMENTS 2026'!C347),"",'ENGAGEMENTS 2026'!M347)</f>
        <v/>
      </c>
      <c r="P347">
        <f>IF(ISBLANK('ENGAGEMENTS 2026'!C347),"",'ENGAGEMENTS 2026'!K347)</f>
        <v/>
      </c>
      <c r="Q347">
        <f>IF($A347="","",IF(OR($E347="INFRUCTUEUX",$E347="ANNULE"),$A347&amp;"|"&amp;(COUNTIFS($A$2:$A347,$A347,$E$2:$E347,"INFRUCTUEUX")+COUNTIFS($A$2:$A347,$A347,$E$2:$E347,"ANNULE")),""))</f>
        <v/>
      </c>
    </row>
    <row r="348">
      <c r="A348">
        <f>IF(ISBLANK('ENGAGEMENTS 2026'!C348),"",IF('ENGAGEMENTS 2026'!C348="DTSI","DCT",'ENGAGEMENTS 2026'!C348))</f>
        <v/>
      </c>
      <c r="B348">
        <f>IF(ISBLANK('ENGAGEMENTS 2026'!C348),"",'ENGAGEMENTS 2026'!D348)</f>
        <v/>
      </c>
      <c r="C348">
        <f>IF(ISBLANK('ENGAGEMENTS 2026'!C348),"",'ENGAGEMENTS 2026'!E348)</f>
        <v/>
      </c>
      <c r="D348">
        <f>IF(ISBLANK('ENGAGEMENTS 2026'!C348),"",'ENGAGEMENTS 2026'!G348)</f>
        <v/>
      </c>
      <c r="E348">
        <f>IF(ISBLANK('ENGAGEMENTS 2026'!C348),"",'ENGAGEMENTS 2026'!I348)</f>
        <v/>
      </c>
      <c r="F348">
        <f>IF(ISBLANK('ENGAGEMENTS 2026'!C348),"",'ENGAGEMENTS 2026'!J348)</f>
        <v/>
      </c>
      <c r="G348">
        <f>IF(ISBLANK('ENGAGEMENTS 2026'!C348),"",'ENGAGEMENTS 2026'!M348)</f>
        <v/>
      </c>
      <c r="H348">
        <f>IF(ISBLANK('ENGAGEMENTS 2026'!C348),"",'ENGAGEMENTS 2026'!AF348)</f>
        <v/>
      </c>
      <c r="I348">
        <f>IF(ISBLANK('ENGAGEMENTS 2026'!C348),"",'ENGAGEMENTS 2026'!H348)</f>
        <v/>
      </c>
      <c r="J348" s="275">
        <f>IF(ISBLANK('ENGAGEMENTS 2026'!C348),"",IF(AND(OR($E348="INFRUCTUEUX",$E348="ANNULE"),$C348="AOO-M"),'ENGAGEMENTS 2026'!P348,IF($H348="EN COURS DE PREENGAGEMENT",'ENGAGEMENTS 2026'!O348,IF($H348="PREENGAGE",IF($E348="ATTRIBUE",'ENGAGEMENTS 2026'!AE348,'ENGAGEMENTS 2026'!O348),'ENGAGEMENTS 2026'!AE348))))</f>
        <v/>
      </c>
      <c r="K348" s="604">
        <f>IF(ISBLANK('ENGAGEMENTS 2026'!W348),"",'ENGAGEMENTS 2026'!W348)</f>
        <v/>
      </c>
      <c r="L348" s="276">
        <f>IF($K348="","",TODAY()-$K348)</f>
        <v/>
      </c>
      <c r="M348">
        <f>IF($A348="","",IF($H348="ENGAGE","Engagé",IF(AND($H348="NON ENGAGE",OR($I348="INFRUCTUEUX",$I348="ANNULE")),"Clôturé sans suite","En cours")))</f>
        <v/>
      </c>
      <c r="N348">
        <f>IF(ISBLANK('ENGAGEMENTS 2026'!C348),"",'ENGAGEMENTS 2026'!L348)</f>
        <v/>
      </c>
      <c r="O348">
        <f>IF(ISBLANK('ENGAGEMENTS 2026'!C348),"",'ENGAGEMENTS 2026'!M348)</f>
        <v/>
      </c>
      <c r="P348">
        <f>IF(ISBLANK('ENGAGEMENTS 2026'!C348),"",'ENGAGEMENTS 2026'!K348)</f>
        <v/>
      </c>
      <c r="Q348">
        <f>IF($A348="","",IF(OR($E348="INFRUCTUEUX",$E348="ANNULE"),$A348&amp;"|"&amp;(COUNTIFS($A$2:$A348,$A348,$E$2:$E348,"INFRUCTUEUX")+COUNTIFS($A$2:$A348,$A348,$E$2:$E348,"ANNULE")),""))</f>
        <v/>
      </c>
    </row>
    <row r="349">
      <c r="A349">
        <f>IF(ISBLANK('ENGAGEMENTS 2026'!C349),"",IF('ENGAGEMENTS 2026'!C349="DTSI","DCT",'ENGAGEMENTS 2026'!C349))</f>
        <v/>
      </c>
      <c r="B349">
        <f>IF(ISBLANK('ENGAGEMENTS 2026'!C349),"",'ENGAGEMENTS 2026'!D349)</f>
        <v/>
      </c>
      <c r="C349">
        <f>IF(ISBLANK('ENGAGEMENTS 2026'!C349),"",'ENGAGEMENTS 2026'!E349)</f>
        <v/>
      </c>
      <c r="D349">
        <f>IF(ISBLANK('ENGAGEMENTS 2026'!C349),"",'ENGAGEMENTS 2026'!G349)</f>
        <v/>
      </c>
      <c r="E349">
        <f>IF(ISBLANK('ENGAGEMENTS 2026'!C349),"",'ENGAGEMENTS 2026'!I349)</f>
        <v/>
      </c>
      <c r="F349">
        <f>IF(ISBLANK('ENGAGEMENTS 2026'!C349),"",'ENGAGEMENTS 2026'!J349)</f>
        <v/>
      </c>
      <c r="G349">
        <f>IF(ISBLANK('ENGAGEMENTS 2026'!C349),"",'ENGAGEMENTS 2026'!M349)</f>
        <v/>
      </c>
      <c r="H349">
        <f>IF(ISBLANK('ENGAGEMENTS 2026'!C349),"",'ENGAGEMENTS 2026'!AF349)</f>
        <v/>
      </c>
      <c r="I349">
        <f>IF(ISBLANK('ENGAGEMENTS 2026'!C349),"",'ENGAGEMENTS 2026'!H349)</f>
        <v/>
      </c>
      <c r="J349" s="275">
        <f>IF(ISBLANK('ENGAGEMENTS 2026'!C349),"",IF(AND(OR($E349="INFRUCTUEUX",$E349="ANNULE"),$C349="AOO-M"),'ENGAGEMENTS 2026'!P349,IF($H349="EN COURS DE PREENGAGEMENT",'ENGAGEMENTS 2026'!O349,IF($H349="PREENGAGE",IF($E349="ATTRIBUE",'ENGAGEMENTS 2026'!AE349,'ENGAGEMENTS 2026'!O349),'ENGAGEMENTS 2026'!AE349))))</f>
        <v/>
      </c>
      <c r="K349" s="604">
        <f>IF(ISBLANK('ENGAGEMENTS 2026'!W349),"",'ENGAGEMENTS 2026'!W349)</f>
        <v/>
      </c>
      <c r="L349" s="276">
        <f>IF($K349="","",TODAY()-$K349)</f>
        <v/>
      </c>
      <c r="M349">
        <f>IF($A349="","",IF($H349="ENGAGE","Engagé",IF(AND($H349="NON ENGAGE",OR($I349="INFRUCTUEUX",$I349="ANNULE")),"Clôturé sans suite","En cours")))</f>
        <v/>
      </c>
      <c r="N349">
        <f>IF(ISBLANK('ENGAGEMENTS 2026'!C349),"",'ENGAGEMENTS 2026'!L349)</f>
        <v/>
      </c>
      <c r="O349">
        <f>IF(ISBLANK('ENGAGEMENTS 2026'!C349),"",'ENGAGEMENTS 2026'!M349)</f>
        <v/>
      </c>
      <c r="P349">
        <f>IF(ISBLANK('ENGAGEMENTS 2026'!C349),"",'ENGAGEMENTS 2026'!K349)</f>
        <v/>
      </c>
      <c r="Q349">
        <f>IF($A349="","",IF(OR($E349="INFRUCTUEUX",$E349="ANNULE"),$A349&amp;"|"&amp;(COUNTIFS($A$2:$A349,$A349,$E$2:$E349,"INFRUCTUEUX")+COUNTIFS($A$2:$A349,$A349,$E$2:$E349,"ANNULE")),""))</f>
        <v/>
      </c>
    </row>
    <row r="350">
      <c r="A350">
        <f>IF(ISBLANK('ENGAGEMENTS 2026'!C350),"",IF('ENGAGEMENTS 2026'!C350="DTSI","DCT",'ENGAGEMENTS 2026'!C350))</f>
        <v/>
      </c>
      <c r="B350">
        <f>IF(ISBLANK('ENGAGEMENTS 2026'!C350),"",'ENGAGEMENTS 2026'!D350)</f>
        <v/>
      </c>
      <c r="C350">
        <f>IF(ISBLANK('ENGAGEMENTS 2026'!C350),"",'ENGAGEMENTS 2026'!E350)</f>
        <v/>
      </c>
      <c r="D350">
        <f>IF(ISBLANK('ENGAGEMENTS 2026'!C350),"",'ENGAGEMENTS 2026'!G350)</f>
        <v/>
      </c>
      <c r="E350">
        <f>IF(ISBLANK('ENGAGEMENTS 2026'!C350),"",'ENGAGEMENTS 2026'!I350)</f>
        <v/>
      </c>
      <c r="F350">
        <f>IF(ISBLANK('ENGAGEMENTS 2026'!C350),"",'ENGAGEMENTS 2026'!J350)</f>
        <v/>
      </c>
      <c r="G350">
        <f>IF(ISBLANK('ENGAGEMENTS 2026'!C350),"",'ENGAGEMENTS 2026'!M350)</f>
        <v/>
      </c>
      <c r="H350">
        <f>IF(ISBLANK('ENGAGEMENTS 2026'!C350),"",'ENGAGEMENTS 2026'!AF350)</f>
        <v/>
      </c>
      <c r="I350">
        <f>IF(ISBLANK('ENGAGEMENTS 2026'!C350),"",'ENGAGEMENTS 2026'!H350)</f>
        <v/>
      </c>
      <c r="J350" s="275">
        <f>IF(ISBLANK('ENGAGEMENTS 2026'!C350),"",IF(AND(OR($E350="INFRUCTUEUX",$E350="ANNULE"),$C350="AOO-M"),'ENGAGEMENTS 2026'!P350,IF($H350="EN COURS DE PREENGAGEMENT",'ENGAGEMENTS 2026'!O350,IF($H350="PREENGAGE",IF($E350="ATTRIBUE",'ENGAGEMENTS 2026'!AE350,'ENGAGEMENTS 2026'!O350),'ENGAGEMENTS 2026'!AE350))))</f>
        <v/>
      </c>
      <c r="K350" s="604">
        <f>IF(ISBLANK('ENGAGEMENTS 2026'!W350),"",'ENGAGEMENTS 2026'!W350)</f>
        <v/>
      </c>
      <c r="L350" s="276">
        <f>IF($K350="","",TODAY()-$K350)</f>
        <v/>
      </c>
      <c r="M350">
        <f>IF($A350="","",IF($H350="ENGAGE","Engagé",IF(AND($H350="NON ENGAGE",OR($I350="INFRUCTUEUX",$I350="ANNULE")),"Clôturé sans suite","En cours")))</f>
        <v/>
      </c>
      <c r="N350">
        <f>IF(ISBLANK('ENGAGEMENTS 2026'!C350),"",'ENGAGEMENTS 2026'!L350)</f>
        <v/>
      </c>
      <c r="O350">
        <f>IF(ISBLANK('ENGAGEMENTS 2026'!C350),"",'ENGAGEMENTS 2026'!M350)</f>
        <v/>
      </c>
      <c r="P350">
        <f>IF(ISBLANK('ENGAGEMENTS 2026'!C350),"",'ENGAGEMENTS 2026'!K350)</f>
        <v/>
      </c>
      <c r="Q350">
        <f>IF($A350="","",IF(OR($E350="INFRUCTUEUX",$E350="ANNULE"),$A350&amp;"|"&amp;(COUNTIFS($A$2:$A350,$A350,$E$2:$E350,"INFRUCTUEUX")+COUNTIFS($A$2:$A350,$A350,$E$2:$E350,"ANNULE")),""))</f>
        <v/>
      </c>
    </row>
    <row r="351">
      <c r="A351">
        <f>IF(ISBLANK('ENGAGEMENTS 2026'!C351),"",IF('ENGAGEMENTS 2026'!C351="DTSI","DCT",'ENGAGEMENTS 2026'!C351))</f>
        <v/>
      </c>
      <c r="B351">
        <f>IF(ISBLANK('ENGAGEMENTS 2026'!C351),"",'ENGAGEMENTS 2026'!D351)</f>
        <v/>
      </c>
      <c r="C351">
        <f>IF(ISBLANK('ENGAGEMENTS 2026'!C351),"",'ENGAGEMENTS 2026'!E351)</f>
        <v/>
      </c>
      <c r="D351">
        <f>IF(ISBLANK('ENGAGEMENTS 2026'!C351),"",'ENGAGEMENTS 2026'!G351)</f>
        <v/>
      </c>
      <c r="E351">
        <f>IF(ISBLANK('ENGAGEMENTS 2026'!C351),"",'ENGAGEMENTS 2026'!I351)</f>
        <v/>
      </c>
      <c r="F351">
        <f>IF(ISBLANK('ENGAGEMENTS 2026'!C351),"",'ENGAGEMENTS 2026'!J351)</f>
        <v/>
      </c>
      <c r="G351">
        <f>IF(ISBLANK('ENGAGEMENTS 2026'!C351),"",'ENGAGEMENTS 2026'!M351)</f>
        <v/>
      </c>
      <c r="H351">
        <f>IF(ISBLANK('ENGAGEMENTS 2026'!C351),"",'ENGAGEMENTS 2026'!AF351)</f>
        <v/>
      </c>
      <c r="I351">
        <f>IF(ISBLANK('ENGAGEMENTS 2026'!C351),"",'ENGAGEMENTS 2026'!H351)</f>
        <v/>
      </c>
      <c r="J351" s="275">
        <f>IF(ISBLANK('ENGAGEMENTS 2026'!C351),"",IF(AND(OR($E351="INFRUCTUEUX",$E351="ANNULE"),$C351="AOO-M"),'ENGAGEMENTS 2026'!P351,IF($H351="EN COURS DE PREENGAGEMENT",'ENGAGEMENTS 2026'!O351,IF($H351="PREENGAGE",IF($E351="ATTRIBUE",'ENGAGEMENTS 2026'!AE351,'ENGAGEMENTS 2026'!O351),'ENGAGEMENTS 2026'!AE351))))</f>
        <v/>
      </c>
      <c r="K351" s="604">
        <f>IF(ISBLANK('ENGAGEMENTS 2026'!W351),"",'ENGAGEMENTS 2026'!W351)</f>
        <v/>
      </c>
      <c r="L351" s="276">
        <f>IF($K351="","",TODAY()-$K351)</f>
        <v/>
      </c>
      <c r="M351">
        <f>IF($A351="","",IF($H351="ENGAGE","Engagé",IF(AND($H351="NON ENGAGE",OR($I351="INFRUCTUEUX",$I351="ANNULE")),"Clôturé sans suite","En cours")))</f>
        <v/>
      </c>
      <c r="N351">
        <f>IF(ISBLANK('ENGAGEMENTS 2026'!C351),"",'ENGAGEMENTS 2026'!L351)</f>
        <v/>
      </c>
      <c r="O351">
        <f>IF(ISBLANK('ENGAGEMENTS 2026'!C351),"",'ENGAGEMENTS 2026'!M351)</f>
        <v/>
      </c>
      <c r="P351">
        <f>IF(ISBLANK('ENGAGEMENTS 2026'!C351),"",'ENGAGEMENTS 2026'!K351)</f>
        <v/>
      </c>
      <c r="Q351">
        <f>IF($A351="","",IF(OR($E351="INFRUCTUEUX",$E351="ANNULE"),$A351&amp;"|"&amp;(COUNTIFS($A$2:$A351,$A351,$E$2:$E351,"INFRUCTUEUX")+COUNTIFS($A$2:$A351,$A351,$E$2:$E351,"ANNULE")),""))</f>
        <v/>
      </c>
    </row>
    <row r="352">
      <c r="A352">
        <f>IF(ISBLANK('ENGAGEMENTS 2026'!C352),"",IF('ENGAGEMENTS 2026'!C352="DTSI","DCT",'ENGAGEMENTS 2026'!C352))</f>
        <v/>
      </c>
      <c r="B352">
        <f>IF(ISBLANK('ENGAGEMENTS 2026'!C352),"",'ENGAGEMENTS 2026'!D352)</f>
        <v/>
      </c>
      <c r="C352">
        <f>IF(ISBLANK('ENGAGEMENTS 2026'!C352),"",'ENGAGEMENTS 2026'!E352)</f>
        <v/>
      </c>
      <c r="D352">
        <f>IF(ISBLANK('ENGAGEMENTS 2026'!C352),"",'ENGAGEMENTS 2026'!G352)</f>
        <v/>
      </c>
      <c r="E352">
        <f>IF(ISBLANK('ENGAGEMENTS 2026'!C352),"",'ENGAGEMENTS 2026'!I352)</f>
        <v/>
      </c>
      <c r="F352">
        <f>IF(ISBLANK('ENGAGEMENTS 2026'!C352),"",'ENGAGEMENTS 2026'!J352)</f>
        <v/>
      </c>
      <c r="G352">
        <f>IF(ISBLANK('ENGAGEMENTS 2026'!C352),"",'ENGAGEMENTS 2026'!M352)</f>
        <v/>
      </c>
      <c r="H352">
        <f>IF(ISBLANK('ENGAGEMENTS 2026'!C352),"",'ENGAGEMENTS 2026'!AF352)</f>
        <v/>
      </c>
      <c r="I352">
        <f>IF(ISBLANK('ENGAGEMENTS 2026'!C352),"",'ENGAGEMENTS 2026'!H352)</f>
        <v/>
      </c>
      <c r="J352" s="275">
        <f>IF(ISBLANK('ENGAGEMENTS 2026'!C352),"",IF(AND(OR($E352="INFRUCTUEUX",$E352="ANNULE"),$C352="AOO-M"),'ENGAGEMENTS 2026'!P352,IF($H352="EN COURS DE PREENGAGEMENT",'ENGAGEMENTS 2026'!O352,IF($H352="PREENGAGE",IF($E352="ATTRIBUE",'ENGAGEMENTS 2026'!AE352,'ENGAGEMENTS 2026'!O352),'ENGAGEMENTS 2026'!AE352))))</f>
        <v/>
      </c>
      <c r="K352" s="604">
        <f>IF(ISBLANK('ENGAGEMENTS 2026'!W352),"",'ENGAGEMENTS 2026'!W352)</f>
        <v/>
      </c>
      <c r="L352" s="276">
        <f>IF($K352="","",TODAY()-$K352)</f>
        <v/>
      </c>
      <c r="M352">
        <f>IF($A352="","",IF($H352="ENGAGE","Engagé",IF(AND($H352="NON ENGAGE",OR($I352="INFRUCTUEUX",$I352="ANNULE")),"Clôturé sans suite","En cours")))</f>
        <v/>
      </c>
      <c r="N352">
        <f>IF(ISBLANK('ENGAGEMENTS 2026'!C352),"",'ENGAGEMENTS 2026'!L352)</f>
        <v/>
      </c>
      <c r="O352">
        <f>IF(ISBLANK('ENGAGEMENTS 2026'!C352),"",'ENGAGEMENTS 2026'!M352)</f>
        <v/>
      </c>
      <c r="P352">
        <f>IF(ISBLANK('ENGAGEMENTS 2026'!C352),"",'ENGAGEMENTS 2026'!K352)</f>
        <v/>
      </c>
      <c r="Q352">
        <f>IF($A352="","",IF(OR($E352="INFRUCTUEUX",$E352="ANNULE"),$A352&amp;"|"&amp;(COUNTIFS($A$2:$A352,$A352,$E$2:$E352,"INFRUCTUEUX")+COUNTIFS($A$2:$A352,$A352,$E$2:$E352,"ANNULE")),""))</f>
        <v/>
      </c>
    </row>
    <row r="353">
      <c r="A353">
        <f>IF(ISBLANK('ENGAGEMENTS 2026'!C353),"",IF('ENGAGEMENTS 2026'!C353="DTSI","DCT",'ENGAGEMENTS 2026'!C353))</f>
        <v/>
      </c>
      <c r="B353">
        <f>IF(ISBLANK('ENGAGEMENTS 2026'!C353),"",'ENGAGEMENTS 2026'!D353)</f>
        <v/>
      </c>
      <c r="C353">
        <f>IF(ISBLANK('ENGAGEMENTS 2026'!C353),"",'ENGAGEMENTS 2026'!E353)</f>
        <v/>
      </c>
      <c r="D353">
        <f>IF(ISBLANK('ENGAGEMENTS 2026'!C353),"",'ENGAGEMENTS 2026'!G353)</f>
        <v/>
      </c>
      <c r="E353">
        <f>IF(ISBLANK('ENGAGEMENTS 2026'!C353),"",'ENGAGEMENTS 2026'!I353)</f>
        <v/>
      </c>
      <c r="F353">
        <f>IF(ISBLANK('ENGAGEMENTS 2026'!C353),"",'ENGAGEMENTS 2026'!J353)</f>
        <v/>
      </c>
      <c r="G353">
        <f>IF(ISBLANK('ENGAGEMENTS 2026'!C353),"",'ENGAGEMENTS 2026'!M353)</f>
        <v/>
      </c>
      <c r="H353">
        <f>IF(ISBLANK('ENGAGEMENTS 2026'!C353),"",'ENGAGEMENTS 2026'!AF353)</f>
        <v/>
      </c>
      <c r="I353">
        <f>IF(ISBLANK('ENGAGEMENTS 2026'!C353),"",'ENGAGEMENTS 2026'!H353)</f>
        <v/>
      </c>
      <c r="J353" s="275">
        <f>IF(ISBLANK('ENGAGEMENTS 2026'!C353),"",IF(AND(OR($E353="INFRUCTUEUX",$E353="ANNULE"),$C353="AOO-M"),'ENGAGEMENTS 2026'!P353,IF($H353="EN COURS DE PREENGAGEMENT",'ENGAGEMENTS 2026'!O353,IF($H353="PREENGAGE",IF($E353="ATTRIBUE",'ENGAGEMENTS 2026'!AE353,'ENGAGEMENTS 2026'!O353),'ENGAGEMENTS 2026'!AE353))))</f>
        <v/>
      </c>
      <c r="K353" s="604">
        <f>IF(ISBLANK('ENGAGEMENTS 2026'!W353),"",'ENGAGEMENTS 2026'!W353)</f>
        <v/>
      </c>
      <c r="L353" s="276">
        <f>IF($K353="","",TODAY()-$K353)</f>
        <v/>
      </c>
      <c r="M353">
        <f>IF($A353="","",IF($H353="ENGAGE","Engagé",IF(AND($H353="NON ENGAGE",OR($I353="INFRUCTUEUX",$I353="ANNULE")),"Clôturé sans suite","En cours")))</f>
        <v/>
      </c>
      <c r="N353">
        <f>IF(ISBLANK('ENGAGEMENTS 2026'!C353),"",'ENGAGEMENTS 2026'!L353)</f>
        <v/>
      </c>
      <c r="O353">
        <f>IF(ISBLANK('ENGAGEMENTS 2026'!C353),"",'ENGAGEMENTS 2026'!M353)</f>
        <v/>
      </c>
      <c r="P353">
        <f>IF(ISBLANK('ENGAGEMENTS 2026'!C353),"",'ENGAGEMENTS 2026'!K353)</f>
        <v/>
      </c>
      <c r="Q353">
        <f>IF($A353="","",IF(OR($E353="INFRUCTUEUX",$E353="ANNULE"),$A353&amp;"|"&amp;(COUNTIFS($A$2:$A353,$A353,$E$2:$E353,"INFRUCTUEUX")+COUNTIFS($A$2:$A353,$A353,$E$2:$E353,"ANNULE")),""))</f>
        <v/>
      </c>
    </row>
    <row r="354">
      <c r="A354">
        <f>IF(ISBLANK('ENGAGEMENTS 2026'!C354),"",IF('ENGAGEMENTS 2026'!C354="DTSI","DCT",'ENGAGEMENTS 2026'!C354))</f>
        <v/>
      </c>
      <c r="B354">
        <f>IF(ISBLANK('ENGAGEMENTS 2026'!C354),"",'ENGAGEMENTS 2026'!D354)</f>
        <v/>
      </c>
      <c r="C354">
        <f>IF(ISBLANK('ENGAGEMENTS 2026'!C354),"",'ENGAGEMENTS 2026'!E354)</f>
        <v/>
      </c>
      <c r="D354">
        <f>IF(ISBLANK('ENGAGEMENTS 2026'!C354),"",'ENGAGEMENTS 2026'!G354)</f>
        <v/>
      </c>
      <c r="E354">
        <f>IF(ISBLANK('ENGAGEMENTS 2026'!C354),"",'ENGAGEMENTS 2026'!I354)</f>
        <v/>
      </c>
      <c r="F354">
        <f>IF(ISBLANK('ENGAGEMENTS 2026'!C354),"",'ENGAGEMENTS 2026'!J354)</f>
        <v/>
      </c>
      <c r="G354">
        <f>IF(ISBLANK('ENGAGEMENTS 2026'!C354),"",'ENGAGEMENTS 2026'!M354)</f>
        <v/>
      </c>
      <c r="H354">
        <f>IF(ISBLANK('ENGAGEMENTS 2026'!C354),"",'ENGAGEMENTS 2026'!AF354)</f>
        <v/>
      </c>
      <c r="I354">
        <f>IF(ISBLANK('ENGAGEMENTS 2026'!C354),"",'ENGAGEMENTS 2026'!H354)</f>
        <v/>
      </c>
      <c r="J354" s="275">
        <f>IF(ISBLANK('ENGAGEMENTS 2026'!C354),"",IF(AND(OR($E354="INFRUCTUEUX",$E354="ANNULE"),$C354="AOO-M"),'ENGAGEMENTS 2026'!P354,IF($H354="EN COURS DE PREENGAGEMENT",'ENGAGEMENTS 2026'!O354,IF($H354="PREENGAGE",IF($E354="ATTRIBUE",'ENGAGEMENTS 2026'!AE354,'ENGAGEMENTS 2026'!O354),'ENGAGEMENTS 2026'!AE354))))</f>
        <v/>
      </c>
      <c r="K354" s="604">
        <f>IF(ISBLANK('ENGAGEMENTS 2026'!W354),"",'ENGAGEMENTS 2026'!W354)</f>
        <v/>
      </c>
      <c r="L354" s="276">
        <f>IF($K354="","",TODAY()-$K354)</f>
        <v/>
      </c>
      <c r="M354">
        <f>IF($A354="","",IF($H354="ENGAGE","Engagé",IF(AND($H354="NON ENGAGE",OR($I354="INFRUCTUEUX",$I354="ANNULE")),"Clôturé sans suite","En cours")))</f>
        <v/>
      </c>
      <c r="N354">
        <f>IF(ISBLANK('ENGAGEMENTS 2026'!C354),"",'ENGAGEMENTS 2026'!L354)</f>
        <v/>
      </c>
      <c r="O354">
        <f>IF(ISBLANK('ENGAGEMENTS 2026'!C354),"",'ENGAGEMENTS 2026'!M354)</f>
        <v/>
      </c>
      <c r="P354">
        <f>IF(ISBLANK('ENGAGEMENTS 2026'!C354),"",'ENGAGEMENTS 2026'!K354)</f>
        <v/>
      </c>
      <c r="Q354">
        <f>IF($A354="","",IF(OR($E354="INFRUCTUEUX",$E354="ANNULE"),$A354&amp;"|"&amp;(COUNTIFS($A$2:$A354,$A354,$E$2:$E354,"INFRUCTUEUX")+COUNTIFS($A$2:$A354,$A354,$E$2:$E354,"ANNULE")),""))</f>
        <v/>
      </c>
    </row>
    <row r="355">
      <c r="A355">
        <f>IF(ISBLANK('ENGAGEMENTS 2026'!C355),"",IF('ENGAGEMENTS 2026'!C355="DTSI","DCT",'ENGAGEMENTS 2026'!C355))</f>
        <v/>
      </c>
      <c r="B355">
        <f>IF(ISBLANK('ENGAGEMENTS 2026'!C355),"",'ENGAGEMENTS 2026'!D355)</f>
        <v/>
      </c>
      <c r="C355">
        <f>IF(ISBLANK('ENGAGEMENTS 2026'!C355),"",'ENGAGEMENTS 2026'!E355)</f>
        <v/>
      </c>
      <c r="D355">
        <f>IF(ISBLANK('ENGAGEMENTS 2026'!C355),"",'ENGAGEMENTS 2026'!G355)</f>
        <v/>
      </c>
      <c r="E355">
        <f>IF(ISBLANK('ENGAGEMENTS 2026'!C355),"",'ENGAGEMENTS 2026'!I355)</f>
        <v/>
      </c>
      <c r="F355">
        <f>IF(ISBLANK('ENGAGEMENTS 2026'!C355),"",'ENGAGEMENTS 2026'!J355)</f>
        <v/>
      </c>
      <c r="G355">
        <f>IF(ISBLANK('ENGAGEMENTS 2026'!C355),"",'ENGAGEMENTS 2026'!M355)</f>
        <v/>
      </c>
      <c r="H355">
        <f>IF(ISBLANK('ENGAGEMENTS 2026'!C355),"",'ENGAGEMENTS 2026'!AF355)</f>
        <v/>
      </c>
      <c r="I355">
        <f>IF(ISBLANK('ENGAGEMENTS 2026'!C355),"",'ENGAGEMENTS 2026'!H355)</f>
        <v/>
      </c>
      <c r="J355" s="275">
        <f>IF(ISBLANK('ENGAGEMENTS 2026'!C355),"",IF(AND(OR($E355="INFRUCTUEUX",$E355="ANNULE"),$C355="AOO-M"),'ENGAGEMENTS 2026'!P355,IF($H355="EN COURS DE PREENGAGEMENT",'ENGAGEMENTS 2026'!O355,IF($H355="PREENGAGE",IF($E355="ATTRIBUE",'ENGAGEMENTS 2026'!AE355,'ENGAGEMENTS 2026'!O355),'ENGAGEMENTS 2026'!AE355))))</f>
        <v/>
      </c>
      <c r="K355" s="604">
        <f>IF(ISBLANK('ENGAGEMENTS 2026'!W355),"",'ENGAGEMENTS 2026'!W355)</f>
        <v/>
      </c>
      <c r="L355" s="276">
        <f>IF($K355="","",TODAY()-$K355)</f>
        <v/>
      </c>
      <c r="M355">
        <f>IF($A355="","",IF($H355="ENGAGE","Engagé",IF(AND($H355="NON ENGAGE",OR($I355="INFRUCTUEUX",$I355="ANNULE")),"Clôturé sans suite","En cours")))</f>
        <v/>
      </c>
      <c r="N355">
        <f>IF(ISBLANK('ENGAGEMENTS 2026'!C355),"",'ENGAGEMENTS 2026'!L355)</f>
        <v/>
      </c>
      <c r="O355">
        <f>IF(ISBLANK('ENGAGEMENTS 2026'!C355),"",'ENGAGEMENTS 2026'!M355)</f>
        <v/>
      </c>
      <c r="P355">
        <f>IF(ISBLANK('ENGAGEMENTS 2026'!C355),"",'ENGAGEMENTS 2026'!K355)</f>
        <v/>
      </c>
      <c r="Q355">
        <f>IF($A355="","",IF(OR($E355="INFRUCTUEUX",$E355="ANNULE"),$A355&amp;"|"&amp;(COUNTIFS($A$2:$A355,$A355,$E$2:$E355,"INFRUCTUEUX")+COUNTIFS($A$2:$A355,$A355,$E$2:$E355,"ANNULE")),""))</f>
        <v/>
      </c>
    </row>
    <row r="356">
      <c r="A356">
        <f>IF(ISBLANK('ENGAGEMENTS 2026'!C356),"",IF('ENGAGEMENTS 2026'!C356="DTSI","DCT",'ENGAGEMENTS 2026'!C356))</f>
        <v/>
      </c>
      <c r="B356">
        <f>IF(ISBLANK('ENGAGEMENTS 2026'!C356),"",'ENGAGEMENTS 2026'!D356)</f>
        <v/>
      </c>
      <c r="C356">
        <f>IF(ISBLANK('ENGAGEMENTS 2026'!C356),"",'ENGAGEMENTS 2026'!E356)</f>
        <v/>
      </c>
      <c r="D356">
        <f>IF(ISBLANK('ENGAGEMENTS 2026'!C356),"",'ENGAGEMENTS 2026'!G356)</f>
        <v/>
      </c>
      <c r="E356">
        <f>IF(ISBLANK('ENGAGEMENTS 2026'!C356),"",'ENGAGEMENTS 2026'!I356)</f>
        <v/>
      </c>
      <c r="F356">
        <f>IF(ISBLANK('ENGAGEMENTS 2026'!C356),"",'ENGAGEMENTS 2026'!J356)</f>
        <v/>
      </c>
      <c r="G356">
        <f>IF(ISBLANK('ENGAGEMENTS 2026'!C356),"",'ENGAGEMENTS 2026'!M356)</f>
        <v/>
      </c>
      <c r="H356">
        <f>IF(ISBLANK('ENGAGEMENTS 2026'!C356),"",'ENGAGEMENTS 2026'!AF356)</f>
        <v/>
      </c>
      <c r="I356">
        <f>IF(ISBLANK('ENGAGEMENTS 2026'!C356),"",'ENGAGEMENTS 2026'!H356)</f>
        <v/>
      </c>
      <c r="J356" s="275">
        <f>IF(ISBLANK('ENGAGEMENTS 2026'!C356),"",IF(AND(OR($E356="INFRUCTUEUX",$E356="ANNULE"),$C356="AOO-M"),'ENGAGEMENTS 2026'!P356,IF($H356="EN COURS DE PREENGAGEMENT",'ENGAGEMENTS 2026'!O356,IF($H356="PREENGAGE",IF($E356="ATTRIBUE",'ENGAGEMENTS 2026'!AE356,'ENGAGEMENTS 2026'!O356),'ENGAGEMENTS 2026'!AE356))))</f>
        <v/>
      </c>
      <c r="K356" s="604">
        <f>IF(ISBLANK('ENGAGEMENTS 2026'!W356),"",'ENGAGEMENTS 2026'!W356)</f>
        <v/>
      </c>
      <c r="L356" s="276">
        <f>IF($K356="","",TODAY()-$K356)</f>
        <v/>
      </c>
      <c r="M356">
        <f>IF($A356="","",IF($H356="ENGAGE","Engagé",IF(AND($H356="NON ENGAGE",OR($I356="INFRUCTUEUX",$I356="ANNULE")),"Clôturé sans suite","En cours")))</f>
        <v/>
      </c>
      <c r="N356">
        <f>IF(ISBLANK('ENGAGEMENTS 2026'!C356),"",'ENGAGEMENTS 2026'!L356)</f>
        <v/>
      </c>
      <c r="O356">
        <f>IF(ISBLANK('ENGAGEMENTS 2026'!C356),"",'ENGAGEMENTS 2026'!M356)</f>
        <v/>
      </c>
      <c r="P356">
        <f>IF(ISBLANK('ENGAGEMENTS 2026'!C356),"",'ENGAGEMENTS 2026'!K356)</f>
        <v/>
      </c>
      <c r="Q356">
        <f>IF($A356="","",IF(OR($E356="INFRUCTUEUX",$E356="ANNULE"),$A356&amp;"|"&amp;(COUNTIFS($A$2:$A356,$A356,$E$2:$E356,"INFRUCTUEUX")+COUNTIFS($A$2:$A356,$A356,$E$2:$E356,"ANNULE")),""))</f>
        <v/>
      </c>
    </row>
    <row r="357">
      <c r="A357">
        <f>IF(ISBLANK('ENGAGEMENTS 2026'!C357),"",IF('ENGAGEMENTS 2026'!C357="DTSI","DCT",'ENGAGEMENTS 2026'!C357))</f>
        <v/>
      </c>
      <c r="B357">
        <f>IF(ISBLANK('ENGAGEMENTS 2026'!C357),"",'ENGAGEMENTS 2026'!D357)</f>
        <v/>
      </c>
      <c r="C357">
        <f>IF(ISBLANK('ENGAGEMENTS 2026'!C357),"",'ENGAGEMENTS 2026'!E357)</f>
        <v/>
      </c>
      <c r="D357">
        <f>IF(ISBLANK('ENGAGEMENTS 2026'!C357),"",'ENGAGEMENTS 2026'!G357)</f>
        <v/>
      </c>
      <c r="E357">
        <f>IF(ISBLANK('ENGAGEMENTS 2026'!C357),"",'ENGAGEMENTS 2026'!I357)</f>
        <v/>
      </c>
      <c r="F357">
        <f>IF(ISBLANK('ENGAGEMENTS 2026'!C357),"",'ENGAGEMENTS 2026'!J357)</f>
        <v/>
      </c>
      <c r="G357">
        <f>IF(ISBLANK('ENGAGEMENTS 2026'!C357),"",'ENGAGEMENTS 2026'!M357)</f>
        <v/>
      </c>
      <c r="H357">
        <f>IF(ISBLANK('ENGAGEMENTS 2026'!C357),"",'ENGAGEMENTS 2026'!AF357)</f>
        <v/>
      </c>
      <c r="I357">
        <f>IF(ISBLANK('ENGAGEMENTS 2026'!C357),"",'ENGAGEMENTS 2026'!H357)</f>
        <v/>
      </c>
      <c r="J357" s="275">
        <f>IF(ISBLANK('ENGAGEMENTS 2026'!C357),"",IF(AND(OR($E357="INFRUCTUEUX",$E357="ANNULE"),$C357="AOO-M"),'ENGAGEMENTS 2026'!P357,IF($H357="EN COURS DE PREENGAGEMENT",'ENGAGEMENTS 2026'!O357,IF($H357="PREENGAGE",IF($E357="ATTRIBUE",'ENGAGEMENTS 2026'!AE357,'ENGAGEMENTS 2026'!O357),'ENGAGEMENTS 2026'!AE357))))</f>
        <v/>
      </c>
      <c r="K357" s="604">
        <f>IF(ISBLANK('ENGAGEMENTS 2026'!W357),"",'ENGAGEMENTS 2026'!W357)</f>
        <v/>
      </c>
      <c r="L357" s="276">
        <f>IF($K357="","",TODAY()-$K357)</f>
        <v/>
      </c>
      <c r="M357">
        <f>IF($A357="","",IF($H357="ENGAGE","Engagé",IF(AND($H357="NON ENGAGE",OR($I357="INFRUCTUEUX",$I357="ANNULE")),"Clôturé sans suite","En cours")))</f>
        <v/>
      </c>
      <c r="N357">
        <f>IF(ISBLANK('ENGAGEMENTS 2026'!C357),"",'ENGAGEMENTS 2026'!L357)</f>
        <v/>
      </c>
      <c r="O357">
        <f>IF(ISBLANK('ENGAGEMENTS 2026'!C357),"",'ENGAGEMENTS 2026'!M357)</f>
        <v/>
      </c>
      <c r="P357">
        <f>IF(ISBLANK('ENGAGEMENTS 2026'!C357),"",'ENGAGEMENTS 2026'!K357)</f>
        <v/>
      </c>
      <c r="Q357">
        <f>IF($A357="","",IF(OR($E357="INFRUCTUEUX",$E357="ANNULE"),$A357&amp;"|"&amp;(COUNTIFS($A$2:$A357,$A357,$E$2:$E357,"INFRUCTUEUX")+COUNTIFS($A$2:$A357,$A357,$E$2:$E357,"ANNULE")),""))</f>
        <v/>
      </c>
    </row>
    <row r="358">
      <c r="A358">
        <f>IF(ISBLANK('ENGAGEMENTS 2026'!C358),"",IF('ENGAGEMENTS 2026'!C358="DTSI","DCT",'ENGAGEMENTS 2026'!C358))</f>
        <v/>
      </c>
      <c r="B358">
        <f>IF(ISBLANK('ENGAGEMENTS 2026'!C358),"",'ENGAGEMENTS 2026'!D358)</f>
        <v/>
      </c>
      <c r="C358">
        <f>IF(ISBLANK('ENGAGEMENTS 2026'!C358),"",'ENGAGEMENTS 2026'!E358)</f>
        <v/>
      </c>
      <c r="D358">
        <f>IF(ISBLANK('ENGAGEMENTS 2026'!C358),"",'ENGAGEMENTS 2026'!G358)</f>
        <v/>
      </c>
      <c r="E358">
        <f>IF(ISBLANK('ENGAGEMENTS 2026'!C358),"",'ENGAGEMENTS 2026'!I358)</f>
        <v/>
      </c>
      <c r="F358">
        <f>IF(ISBLANK('ENGAGEMENTS 2026'!C358),"",'ENGAGEMENTS 2026'!J358)</f>
        <v/>
      </c>
      <c r="G358">
        <f>IF(ISBLANK('ENGAGEMENTS 2026'!C358),"",'ENGAGEMENTS 2026'!M358)</f>
        <v/>
      </c>
      <c r="H358">
        <f>IF(ISBLANK('ENGAGEMENTS 2026'!C358),"",'ENGAGEMENTS 2026'!AF358)</f>
        <v/>
      </c>
      <c r="I358">
        <f>IF(ISBLANK('ENGAGEMENTS 2026'!C358),"",'ENGAGEMENTS 2026'!H358)</f>
        <v/>
      </c>
      <c r="J358" s="275">
        <f>IF(ISBLANK('ENGAGEMENTS 2026'!C358),"",IF(AND(OR($E358="INFRUCTUEUX",$E358="ANNULE"),$C358="AOO-M"),'ENGAGEMENTS 2026'!P358,IF($H358="EN COURS DE PREENGAGEMENT",'ENGAGEMENTS 2026'!O358,IF($H358="PREENGAGE",IF($E358="ATTRIBUE",'ENGAGEMENTS 2026'!AE358,'ENGAGEMENTS 2026'!O358),'ENGAGEMENTS 2026'!AE358))))</f>
        <v/>
      </c>
      <c r="K358" s="604">
        <f>IF(ISBLANK('ENGAGEMENTS 2026'!W358),"",'ENGAGEMENTS 2026'!W358)</f>
        <v/>
      </c>
      <c r="L358" s="276">
        <f>IF($K358="","",TODAY()-$K358)</f>
        <v/>
      </c>
      <c r="M358">
        <f>IF($A358="","",IF($H358="ENGAGE","Engagé",IF(AND($H358="NON ENGAGE",OR($I358="INFRUCTUEUX",$I358="ANNULE")),"Clôturé sans suite","En cours")))</f>
        <v/>
      </c>
      <c r="N358">
        <f>IF(ISBLANK('ENGAGEMENTS 2026'!C358),"",'ENGAGEMENTS 2026'!L358)</f>
        <v/>
      </c>
      <c r="O358">
        <f>IF(ISBLANK('ENGAGEMENTS 2026'!C358),"",'ENGAGEMENTS 2026'!M358)</f>
        <v/>
      </c>
      <c r="P358">
        <f>IF(ISBLANK('ENGAGEMENTS 2026'!C358),"",'ENGAGEMENTS 2026'!K358)</f>
        <v/>
      </c>
      <c r="Q358">
        <f>IF($A358="","",IF(OR($E358="INFRUCTUEUX",$E358="ANNULE"),$A358&amp;"|"&amp;(COUNTIFS($A$2:$A358,$A358,$E$2:$E358,"INFRUCTUEUX")+COUNTIFS($A$2:$A358,$A358,$E$2:$E358,"ANNULE")),""))</f>
        <v/>
      </c>
    </row>
    <row r="359">
      <c r="A359">
        <f>IF(ISBLANK('ENGAGEMENTS 2026'!C359),"",IF('ENGAGEMENTS 2026'!C359="DTSI","DCT",'ENGAGEMENTS 2026'!C359))</f>
        <v/>
      </c>
      <c r="B359">
        <f>IF(ISBLANK('ENGAGEMENTS 2026'!C359),"",'ENGAGEMENTS 2026'!D359)</f>
        <v/>
      </c>
      <c r="C359">
        <f>IF(ISBLANK('ENGAGEMENTS 2026'!C359),"",'ENGAGEMENTS 2026'!E359)</f>
        <v/>
      </c>
      <c r="D359">
        <f>IF(ISBLANK('ENGAGEMENTS 2026'!C359),"",'ENGAGEMENTS 2026'!G359)</f>
        <v/>
      </c>
      <c r="E359">
        <f>IF(ISBLANK('ENGAGEMENTS 2026'!C359),"",'ENGAGEMENTS 2026'!I359)</f>
        <v/>
      </c>
      <c r="F359">
        <f>IF(ISBLANK('ENGAGEMENTS 2026'!C359),"",'ENGAGEMENTS 2026'!J359)</f>
        <v/>
      </c>
      <c r="G359">
        <f>IF(ISBLANK('ENGAGEMENTS 2026'!C359),"",'ENGAGEMENTS 2026'!M359)</f>
        <v/>
      </c>
      <c r="H359">
        <f>IF(ISBLANK('ENGAGEMENTS 2026'!C359),"",'ENGAGEMENTS 2026'!AF359)</f>
        <v/>
      </c>
      <c r="I359">
        <f>IF(ISBLANK('ENGAGEMENTS 2026'!C359),"",'ENGAGEMENTS 2026'!H359)</f>
        <v/>
      </c>
      <c r="J359" s="275">
        <f>IF(ISBLANK('ENGAGEMENTS 2026'!C359),"",IF(AND(OR($E359="INFRUCTUEUX",$E359="ANNULE"),$C359="AOO-M"),'ENGAGEMENTS 2026'!P359,IF($H359="EN COURS DE PREENGAGEMENT",'ENGAGEMENTS 2026'!O359,IF($H359="PREENGAGE",IF($E359="ATTRIBUE",'ENGAGEMENTS 2026'!AE359,'ENGAGEMENTS 2026'!O359),'ENGAGEMENTS 2026'!AE359))))</f>
        <v/>
      </c>
      <c r="K359" s="604">
        <f>IF(ISBLANK('ENGAGEMENTS 2026'!W359),"",'ENGAGEMENTS 2026'!W359)</f>
        <v/>
      </c>
      <c r="L359" s="276">
        <f>IF($K359="","",TODAY()-$K359)</f>
        <v/>
      </c>
      <c r="M359">
        <f>IF($A359="","",IF($H359="ENGAGE","Engagé",IF(AND($H359="NON ENGAGE",OR($I359="INFRUCTUEUX",$I359="ANNULE")),"Clôturé sans suite","En cours")))</f>
        <v/>
      </c>
      <c r="N359">
        <f>IF(ISBLANK('ENGAGEMENTS 2026'!C359),"",'ENGAGEMENTS 2026'!L359)</f>
        <v/>
      </c>
      <c r="O359">
        <f>IF(ISBLANK('ENGAGEMENTS 2026'!C359),"",'ENGAGEMENTS 2026'!M359)</f>
        <v/>
      </c>
      <c r="P359">
        <f>IF(ISBLANK('ENGAGEMENTS 2026'!C359),"",'ENGAGEMENTS 2026'!K359)</f>
        <v/>
      </c>
      <c r="Q359">
        <f>IF($A359="","",IF(OR($E359="INFRUCTUEUX",$E359="ANNULE"),$A359&amp;"|"&amp;(COUNTIFS($A$2:$A359,$A359,$E$2:$E359,"INFRUCTUEUX")+COUNTIFS($A$2:$A359,$A359,$E$2:$E359,"ANNULE")),""))</f>
        <v/>
      </c>
    </row>
    <row r="360">
      <c r="A360">
        <f>IF(ISBLANK('ENGAGEMENTS 2026'!C360),"",IF('ENGAGEMENTS 2026'!C360="DTSI","DCT",'ENGAGEMENTS 2026'!C360))</f>
        <v/>
      </c>
      <c r="B360">
        <f>IF(ISBLANK('ENGAGEMENTS 2026'!C360),"",'ENGAGEMENTS 2026'!D360)</f>
        <v/>
      </c>
      <c r="C360">
        <f>IF(ISBLANK('ENGAGEMENTS 2026'!C360),"",'ENGAGEMENTS 2026'!E360)</f>
        <v/>
      </c>
      <c r="D360">
        <f>IF(ISBLANK('ENGAGEMENTS 2026'!C360),"",'ENGAGEMENTS 2026'!G360)</f>
        <v/>
      </c>
      <c r="E360">
        <f>IF(ISBLANK('ENGAGEMENTS 2026'!C360),"",'ENGAGEMENTS 2026'!I360)</f>
        <v/>
      </c>
      <c r="F360">
        <f>IF(ISBLANK('ENGAGEMENTS 2026'!C360),"",'ENGAGEMENTS 2026'!J360)</f>
        <v/>
      </c>
      <c r="G360">
        <f>IF(ISBLANK('ENGAGEMENTS 2026'!C360),"",'ENGAGEMENTS 2026'!M360)</f>
        <v/>
      </c>
      <c r="H360">
        <f>IF(ISBLANK('ENGAGEMENTS 2026'!C360),"",'ENGAGEMENTS 2026'!AF360)</f>
        <v/>
      </c>
      <c r="I360">
        <f>IF(ISBLANK('ENGAGEMENTS 2026'!C360),"",'ENGAGEMENTS 2026'!H360)</f>
        <v/>
      </c>
      <c r="J360" s="275">
        <f>IF(ISBLANK('ENGAGEMENTS 2026'!C360),"",IF(AND(OR($E360="INFRUCTUEUX",$E360="ANNULE"),$C360="AOO-M"),'ENGAGEMENTS 2026'!P360,IF($H360="EN COURS DE PREENGAGEMENT",'ENGAGEMENTS 2026'!O360,IF($H360="PREENGAGE",IF($E360="ATTRIBUE",'ENGAGEMENTS 2026'!AE360,'ENGAGEMENTS 2026'!O360),'ENGAGEMENTS 2026'!AE360))))</f>
        <v/>
      </c>
      <c r="K360" s="604">
        <f>IF(ISBLANK('ENGAGEMENTS 2026'!W360),"",'ENGAGEMENTS 2026'!W360)</f>
        <v/>
      </c>
      <c r="L360" s="276">
        <f>IF($K360="","",TODAY()-$K360)</f>
        <v/>
      </c>
      <c r="M360">
        <f>IF($A360="","",IF($H360="ENGAGE","Engagé",IF(AND($H360="NON ENGAGE",OR($I360="INFRUCTUEUX",$I360="ANNULE")),"Clôturé sans suite","En cours")))</f>
        <v/>
      </c>
      <c r="N360">
        <f>IF(ISBLANK('ENGAGEMENTS 2026'!C360),"",'ENGAGEMENTS 2026'!L360)</f>
        <v/>
      </c>
      <c r="O360">
        <f>IF(ISBLANK('ENGAGEMENTS 2026'!C360),"",'ENGAGEMENTS 2026'!M360)</f>
        <v/>
      </c>
      <c r="P360">
        <f>IF(ISBLANK('ENGAGEMENTS 2026'!C360),"",'ENGAGEMENTS 2026'!K360)</f>
        <v/>
      </c>
      <c r="Q360">
        <f>IF($A360="","",IF(OR($E360="INFRUCTUEUX",$E360="ANNULE"),$A360&amp;"|"&amp;(COUNTIFS($A$2:$A360,$A360,$E$2:$E360,"INFRUCTUEUX")+COUNTIFS($A$2:$A360,$A360,$E$2:$E360,"ANNULE")),""))</f>
        <v/>
      </c>
    </row>
    <row r="361">
      <c r="A361">
        <f>IF(ISBLANK('ENGAGEMENTS 2026'!C361),"",IF('ENGAGEMENTS 2026'!C361="DTSI","DCT",'ENGAGEMENTS 2026'!C361))</f>
        <v/>
      </c>
      <c r="B361">
        <f>IF(ISBLANK('ENGAGEMENTS 2026'!C361),"",'ENGAGEMENTS 2026'!D361)</f>
        <v/>
      </c>
      <c r="C361">
        <f>IF(ISBLANK('ENGAGEMENTS 2026'!C361),"",'ENGAGEMENTS 2026'!E361)</f>
        <v/>
      </c>
      <c r="D361">
        <f>IF(ISBLANK('ENGAGEMENTS 2026'!C361),"",'ENGAGEMENTS 2026'!G361)</f>
        <v/>
      </c>
      <c r="E361">
        <f>IF(ISBLANK('ENGAGEMENTS 2026'!C361),"",'ENGAGEMENTS 2026'!I361)</f>
        <v/>
      </c>
      <c r="F361">
        <f>IF(ISBLANK('ENGAGEMENTS 2026'!C361),"",'ENGAGEMENTS 2026'!J361)</f>
        <v/>
      </c>
      <c r="G361">
        <f>IF(ISBLANK('ENGAGEMENTS 2026'!C361),"",'ENGAGEMENTS 2026'!M361)</f>
        <v/>
      </c>
      <c r="H361">
        <f>IF(ISBLANK('ENGAGEMENTS 2026'!C361),"",'ENGAGEMENTS 2026'!AF361)</f>
        <v/>
      </c>
      <c r="I361">
        <f>IF(ISBLANK('ENGAGEMENTS 2026'!C361),"",'ENGAGEMENTS 2026'!H361)</f>
        <v/>
      </c>
      <c r="J361" s="275">
        <f>IF(ISBLANK('ENGAGEMENTS 2026'!C361),"",IF(AND(OR($E361="INFRUCTUEUX",$E361="ANNULE"),$C361="AOO-M"),'ENGAGEMENTS 2026'!P361,IF($H361="EN COURS DE PREENGAGEMENT",'ENGAGEMENTS 2026'!O361,IF($H361="PREENGAGE",IF($E361="ATTRIBUE",'ENGAGEMENTS 2026'!AE361,'ENGAGEMENTS 2026'!O361),'ENGAGEMENTS 2026'!AE361))))</f>
        <v/>
      </c>
      <c r="K361" s="604">
        <f>IF(ISBLANK('ENGAGEMENTS 2026'!W361),"",'ENGAGEMENTS 2026'!W361)</f>
        <v/>
      </c>
      <c r="L361" s="276">
        <f>IF($K361="","",TODAY()-$K361)</f>
        <v/>
      </c>
      <c r="M361">
        <f>IF($A361="","",IF($H361="ENGAGE","Engagé",IF(AND($H361="NON ENGAGE",OR($I361="INFRUCTUEUX",$I361="ANNULE")),"Clôturé sans suite","En cours")))</f>
        <v/>
      </c>
      <c r="N361">
        <f>IF(ISBLANK('ENGAGEMENTS 2026'!C361),"",'ENGAGEMENTS 2026'!L361)</f>
        <v/>
      </c>
      <c r="O361">
        <f>IF(ISBLANK('ENGAGEMENTS 2026'!C361),"",'ENGAGEMENTS 2026'!M361)</f>
        <v/>
      </c>
      <c r="P361">
        <f>IF(ISBLANK('ENGAGEMENTS 2026'!C361),"",'ENGAGEMENTS 2026'!K361)</f>
        <v/>
      </c>
      <c r="Q361">
        <f>IF($A361="","",IF(OR($E361="INFRUCTUEUX",$E361="ANNULE"),$A361&amp;"|"&amp;(COUNTIFS($A$2:$A361,$A361,$E$2:$E361,"INFRUCTUEUX")+COUNTIFS($A$2:$A361,$A361,$E$2:$E361,"ANNULE")),""))</f>
        <v/>
      </c>
    </row>
    <row r="362">
      <c r="A362">
        <f>IF(ISBLANK('ENGAGEMENTS 2026'!C362),"",IF('ENGAGEMENTS 2026'!C362="DTSI","DCT",'ENGAGEMENTS 2026'!C362))</f>
        <v/>
      </c>
      <c r="B362">
        <f>IF(ISBLANK('ENGAGEMENTS 2026'!C362),"",'ENGAGEMENTS 2026'!D362)</f>
        <v/>
      </c>
      <c r="C362">
        <f>IF(ISBLANK('ENGAGEMENTS 2026'!C362),"",'ENGAGEMENTS 2026'!E362)</f>
        <v/>
      </c>
      <c r="D362">
        <f>IF(ISBLANK('ENGAGEMENTS 2026'!C362),"",'ENGAGEMENTS 2026'!G362)</f>
        <v/>
      </c>
      <c r="E362">
        <f>IF(ISBLANK('ENGAGEMENTS 2026'!C362),"",'ENGAGEMENTS 2026'!I362)</f>
        <v/>
      </c>
      <c r="F362">
        <f>IF(ISBLANK('ENGAGEMENTS 2026'!C362),"",'ENGAGEMENTS 2026'!J362)</f>
        <v/>
      </c>
      <c r="G362">
        <f>IF(ISBLANK('ENGAGEMENTS 2026'!C362),"",'ENGAGEMENTS 2026'!M362)</f>
        <v/>
      </c>
      <c r="H362">
        <f>IF(ISBLANK('ENGAGEMENTS 2026'!C362),"",'ENGAGEMENTS 2026'!AF362)</f>
        <v/>
      </c>
      <c r="I362">
        <f>IF(ISBLANK('ENGAGEMENTS 2026'!C362),"",'ENGAGEMENTS 2026'!H362)</f>
        <v/>
      </c>
      <c r="J362" s="275">
        <f>IF(ISBLANK('ENGAGEMENTS 2026'!C362),"",IF(AND(OR($E362="INFRUCTUEUX",$E362="ANNULE"),$C362="AOO-M"),'ENGAGEMENTS 2026'!P362,IF($H362="EN COURS DE PREENGAGEMENT",'ENGAGEMENTS 2026'!O362,IF($H362="PREENGAGE",IF($E362="ATTRIBUE",'ENGAGEMENTS 2026'!AE362,'ENGAGEMENTS 2026'!O362),'ENGAGEMENTS 2026'!AE362))))</f>
        <v/>
      </c>
      <c r="K362" s="604">
        <f>IF(ISBLANK('ENGAGEMENTS 2026'!W362),"",'ENGAGEMENTS 2026'!W362)</f>
        <v/>
      </c>
      <c r="L362" s="276">
        <f>IF($K362="","",TODAY()-$K362)</f>
        <v/>
      </c>
      <c r="M362">
        <f>IF($A362="","",IF($H362="ENGAGE","Engagé",IF(AND($H362="NON ENGAGE",OR($I362="INFRUCTUEUX",$I362="ANNULE")),"Clôturé sans suite","En cours")))</f>
        <v/>
      </c>
      <c r="N362">
        <f>IF(ISBLANK('ENGAGEMENTS 2026'!C362),"",'ENGAGEMENTS 2026'!L362)</f>
        <v/>
      </c>
      <c r="O362">
        <f>IF(ISBLANK('ENGAGEMENTS 2026'!C362),"",'ENGAGEMENTS 2026'!M362)</f>
        <v/>
      </c>
      <c r="P362">
        <f>IF(ISBLANK('ENGAGEMENTS 2026'!C362),"",'ENGAGEMENTS 2026'!K362)</f>
        <v/>
      </c>
      <c r="Q362">
        <f>IF($A362="","",IF(OR($E362="INFRUCTUEUX",$E362="ANNULE"),$A362&amp;"|"&amp;(COUNTIFS($A$2:$A362,$A362,$E$2:$E362,"INFRUCTUEUX")+COUNTIFS($A$2:$A362,$A362,$E$2:$E362,"ANNULE")),""))</f>
        <v/>
      </c>
    </row>
    <row r="363">
      <c r="A363">
        <f>IF(ISBLANK('ENGAGEMENTS 2026'!C363),"",IF('ENGAGEMENTS 2026'!C363="DTSI","DCT",'ENGAGEMENTS 2026'!C363))</f>
        <v/>
      </c>
      <c r="B363">
        <f>IF(ISBLANK('ENGAGEMENTS 2026'!C363),"",'ENGAGEMENTS 2026'!D363)</f>
        <v/>
      </c>
      <c r="C363">
        <f>IF(ISBLANK('ENGAGEMENTS 2026'!C363),"",'ENGAGEMENTS 2026'!E363)</f>
        <v/>
      </c>
      <c r="D363">
        <f>IF(ISBLANK('ENGAGEMENTS 2026'!C363),"",'ENGAGEMENTS 2026'!G363)</f>
        <v/>
      </c>
      <c r="E363">
        <f>IF(ISBLANK('ENGAGEMENTS 2026'!C363),"",'ENGAGEMENTS 2026'!I363)</f>
        <v/>
      </c>
      <c r="F363">
        <f>IF(ISBLANK('ENGAGEMENTS 2026'!C363),"",'ENGAGEMENTS 2026'!J363)</f>
        <v/>
      </c>
      <c r="G363">
        <f>IF(ISBLANK('ENGAGEMENTS 2026'!C363),"",'ENGAGEMENTS 2026'!M363)</f>
        <v/>
      </c>
      <c r="H363">
        <f>IF(ISBLANK('ENGAGEMENTS 2026'!C363),"",'ENGAGEMENTS 2026'!AF363)</f>
        <v/>
      </c>
      <c r="I363">
        <f>IF(ISBLANK('ENGAGEMENTS 2026'!C363),"",'ENGAGEMENTS 2026'!H363)</f>
        <v/>
      </c>
      <c r="J363" s="275">
        <f>IF(ISBLANK('ENGAGEMENTS 2026'!C363),"",IF(AND(OR($E363="INFRUCTUEUX",$E363="ANNULE"),$C363="AOO-M"),'ENGAGEMENTS 2026'!P363,IF($H363="EN COURS DE PREENGAGEMENT",'ENGAGEMENTS 2026'!O363,IF($H363="PREENGAGE",IF($E363="ATTRIBUE",'ENGAGEMENTS 2026'!AE363,'ENGAGEMENTS 2026'!O363),'ENGAGEMENTS 2026'!AE363))))</f>
        <v/>
      </c>
      <c r="K363" s="604">
        <f>IF(ISBLANK('ENGAGEMENTS 2026'!W363),"",'ENGAGEMENTS 2026'!W363)</f>
        <v/>
      </c>
      <c r="L363" s="276">
        <f>IF($K363="","",TODAY()-$K363)</f>
        <v/>
      </c>
      <c r="M363">
        <f>IF($A363="","",IF($H363="ENGAGE","Engagé",IF(AND($H363="NON ENGAGE",OR($I363="INFRUCTUEUX",$I363="ANNULE")),"Clôturé sans suite","En cours")))</f>
        <v/>
      </c>
      <c r="N363">
        <f>IF(ISBLANK('ENGAGEMENTS 2026'!C363),"",'ENGAGEMENTS 2026'!L363)</f>
        <v/>
      </c>
      <c r="O363">
        <f>IF(ISBLANK('ENGAGEMENTS 2026'!C363),"",'ENGAGEMENTS 2026'!M363)</f>
        <v/>
      </c>
      <c r="P363">
        <f>IF(ISBLANK('ENGAGEMENTS 2026'!C363),"",'ENGAGEMENTS 2026'!K363)</f>
        <v/>
      </c>
      <c r="Q363">
        <f>IF($A363="","",IF(OR($E363="INFRUCTUEUX",$E363="ANNULE"),$A363&amp;"|"&amp;(COUNTIFS($A$2:$A363,$A363,$E$2:$E363,"INFRUCTUEUX")+COUNTIFS($A$2:$A363,$A363,$E$2:$E363,"ANNULE")),""))</f>
        <v/>
      </c>
    </row>
    <row r="364">
      <c r="A364">
        <f>IF(ISBLANK('ENGAGEMENTS 2026'!C364),"",IF('ENGAGEMENTS 2026'!C364="DTSI","DCT",'ENGAGEMENTS 2026'!C364))</f>
        <v/>
      </c>
      <c r="B364">
        <f>IF(ISBLANK('ENGAGEMENTS 2026'!C364),"",'ENGAGEMENTS 2026'!D364)</f>
        <v/>
      </c>
      <c r="C364">
        <f>IF(ISBLANK('ENGAGEMENTS 2026'!C364),"",'ENGAGEMENTS 2026'!E364)</f>
        <v/>
      </c>
      <c r="D364">
        <f>IF(ISBLANK('ENGAGEMENTS 2026'!C364),"",'ENGAGEMENTS 2026'!G364)</f>
        <v/>
      </c>
      <c r="E364">
        <f>IF(ISBLANK('ENGAGEMENTS 2026'!C364),"",'ENGAGEMENTS 2026'!I364)</f>
        <v/>
      </c>
      <c r="F364">
        <f>IF(ISBLANK('ENGAGEMENTS 2026'!C364),"",'ENGAGEMENTS 2026'!J364)</f>
        <v/>
      </c>
      <c r="G364">
        <f>IF(ISBLANK('ENGAGEMENTS 2026'!C364),"",'ENGAGEMENTS 2026'!M364)</f>
        <v/>
      </c>
      <c r="H364">
        <f>IF(ISBLANK('ENGAGEMENTS 2026'!C364),"",'ENGAGEMENTS 2026'!AF364)</f>
        <v/>
      </c>
      <c r="I364">
        <f>IF(ISBLANK('ENGAGEMENTS 2026'!C364),"",'ENGAGEMENTS 2026'!H364)</f>
        <v/>
      </c>
      <c r="J364" s="275">
        <f>IF(ISBLANK('ENGAGEMENTS 2026'!C364),"",IF(AND(OR($E364="INFRUCTUEUX",$E364="ANNULE"),$C364="AOO-M"),'ENGAGEMENTS 2026'!P364,IF($H364="EN COURS DE PREENGAGEMENT",'ENGAGEMENTS 2026'!O364,IF($H364="PREENGAGE",IF($E364="ATTRIBUE",'ENGAGEMENTS 2026'!AE364,'ENGAGEMENTS 2026'!O364),'ENGAGEMENTS 2026'!AE364))))</f>
        <v/>
      </c>
      <c r="K364" s="604">
        <f>IF(ISBLANK('ENGAGEMENTS 2026'!W364),"",'ENGAGEMENTS 2026'!W364)</f>
        <v/>
      </c>
      <c r="L364" s="276">
        <f>IF($K364="","",TODAY()-$K364)</f>
        <v/>
      </c>
      <c r="M364">
        <f>IF($A364="","",IF($H364="ENGAGE","Engagé",IF(AND($H364="NON ENGAGE",OR($I364="INFRUCTUEUX",$I364="ANNULE")),"Clôturé sans suite","En cours")))</f>
        <v/>
      </c>
      <c r="N364">
        <f>IF(ISBLANK('ENGAGEMENTS 2026'!C364),"",'ENGAGEMENTS 2026'!L364)</f>
        <v/>
      </c>
      <c r="O364">
        <f>IF(ISBLANK('ENGAGEMENTS 2026'!C364),"",'ENGAGEMENTS 2026'!M364)</f>
        <v/>
      </c>
      <c r="P364">
        <f>IF(ISBLANK('ENGAGEMENTS 2026'!C364),"",'ENGAGEMENTS 2026'!K364)</f>
        <v/>
      </c>
      <c r="Q364">
        <f>IF($A364="","",IF(OR($E364="INFRUCTUEUX",$E364="ANNULE"),$A364&amp;"|"&amp;(COUNTIFS($A$2:$A364,$A364,$E$2:$E364,"INFRUCTUEUX")+COUNTIFS($A$2:$A364,$A364,$E$2:$E364,"ANNULE")),""))</f>
        <v/>
      </c>
    </row>
    <row r="365">
      <c r="A365">
        <f>IF(ISBLANK('ENGAGEMENTS 2026'!C365),"",IF('ENGAGEMENTS 2026'!C365="DTSI","DCT",'ENGAGEMENTS 2026'!C365))</f>
        <v/>
      </c>
      <c r="B365">
        <f>IF(ISBLANK('ENGAGEMENTS 2026'!C365),"",'ENGAGEMENTS 2026'!D365)</f>
        <v/>
      </c>
      <c r="C365">
        <f>IF(ISBLANK('ENGAGEMENTS 2026'!C365),"",'ENGAGEMENTS 2026'!E365)</f>
        <v/>
      </c>
      <c r="D365">
        <f>IF(ISBLANK('ENGAGEMENTS 2026'!C365),"",'ENGAGEMENTS 2026'!G365)</f>
        <v/>
      </c>
      <c r="E365">
        <f>IF(ISBLANK('ENGAGEMENTS 2026'!C365),"",'ENGAGEMENTS 2026'!I365)</f>
        <v/>
      </c>
      <c r="F365">
        <f>IF(ISBLANK('ENGAGEMENTS 2026'!C365),"",'ENGAGEMENTS 2026'!J365)</f>
        <v/>
      </c>
      <c r="G365">
        <f>IF(ISBLANK('ENGAGEMENTS 2026'!C365),"",'ENGAGEMENTS 2026'!M365)</f>
        <v/>
      </c>
      <c r="H365">
        <f>IF(ISBLANK('ENGAGEMENTS 2026'!C365),"",'ENGAGEMENTS 2026'!AF365)</f>
        <v/>
      </c>
      <c r="I365">
        <f>IF(ISBLANK('ENGAGEMENTS 2026'!C365),"",'ENGAGEMENTS 2026'!H365)</f>
        <v/>
      </c>
      <c r="J365" s="275">
        <f>IF(ISBLANK('ENGAGEMENTS 2026'!C365),"",IF(AND(OR($E365="INFRUCTUEUX",$E365="ANNULE"),$C365="AOO-M"),'ENGAGEMENTS 2026'!P365,IF($H365="EN COURS DE PREENGAGEMENT",'ENGAGEMENTS 2026'!O365,IF($H365="PREENGAGE",IF($E365="ATTRIBUE",'ENGAGEMENTS 2026'!AE365,'ENGAGEMENTS 2026'!O365),'ENGAGEMENTS 2026'!AE365))))</f>
        <v/>
      </c>
      <c r="K365" s="604">
        <f>IF(ISBLANK('ENGAGEMENTS 2026'!W365),"",'ENGAGEMENTS 2026'!W365)</f>
        <v/>
      </c>
      <c r="L365" s="276">
        <f>IF($K365="","",TODAY()-$K365)</f>
        <v/>
      </c>
      <c r="M365">
        <f>IF($A365="","",IF($H365="ENGAGE","Engagé",IF(AND($H365="NON ENGAGE",OR($I365="INFRUCTUEUX",$I365="ANNULE")),"Clôturé sans suite","En cours")))</f>
        <v/>
      </c>
      <c r="N365">
        <f>IF(ISBLANK('ENGAGEMENTS 2026'!C365),"",'ENGAGEMENTS 2026'!L365)</f>
        <v/>
      </c>
      <c r="O365">
        <f>IF(ISBLANK('ENGAGEMENTS 2026'!C365),"",'ENGAGEMENTS 2026'!M365)</f>
        <v/>
      </c>
      <c r="P365">
        <f>IF(ISBLANK('ENGAGEMENTS 2026'!C365),"",'ENGAGEMENTS 2026'!K365)</f>
        <v/>
      </c>
      <c r="Q365">
        <f>IF($A365="","",IF(OR($E365="INFRUCTUEUX",$E365="ANNULE"),$A365&amp;"|"&amp;(COUNTIFS($A$2:$A365,$A365,$E$2:$E365,"INFRUCTUEUX")+COUNTIFS($A$2:$A365,$A365,$E$2:$E365,"ANNULE")),""))</f>
        <v/>
      </c>
    </row>
    <row r="366">
      <c r="A366">
        <f>IF(ISBLANK('ENGAGEMENTS 2026'!C366),"",IF('ENGAGEMENTS 2026'!C366="DTSI","DCT",'ENGAGEMENTS 2026'!C366))</f>
        <v/>
      </c>
      <c r="B366">
        <f>IF(ISBLANK('ENGAGEMENTS 2026'!C366),"",'ENGAGEMENTS 2026'!D366)</f>
        <v/>
      </c>
      <c r="C366">
        <f>IF(ISBLANK('ENGAGEMENTS 2026'!C366),"",'ENGAGEMENTS 2026'!E366)</f>
        <v/>
      </c>
      <c r="D366">
        <f>IF(ISBLANK('ENGAGEMENTS 2026'!C366),"",'ENGAGEMENTS 2026'!G366)</f>
        <v/>
      </c>
      <c r="E366">
        <f>IF(ISBLANK('ENGAGEMENTS 2026'!C366),"",'ENGAGEMENTS 2026'!I366)</f>
        <v/>
      </c>
      <c r="F366">
        <f>IF(ISBLANK('ENGAGEMENTS 2026'!C366),"",'ENGAGEMENTS 2026'!J366)</f>
        <v/>
      </c>
      <c r="G366">
        <f>IF(ISBLANK('ENGAGEMENTS 2026'!C366),"",'ENGAGEMENTS 2026'!M366)</f>
        <v/>
      </c>
      <c r="H366">
        <f>IF(ISBLANK('ENGAGEMENTS 2026'!C366),"",'ENGAGEMENTS 2026'!AF366)</f>
        <v/>
      </c>
      <c r="I366">
        <f>IF(ISBLANK('ENGAGEMENTS 2026'!C366),"",'ENGAGEMENTS 2026'!H366)</f>
        <v/>
      </c>
      <c r="J366" s="275">
        <f>IF(ISBLANK('ENGAGEMENTS 2026'!C366),"",IF(AND(OR($E366="INFRUCTUEUX",$E366="ANNULE"),$C366="AOO-M"),'ENGAGEMENTS 2026'!P366,IF($H366="EN COURS DE PREENGAGEMENT",'ENGAGEMENTS 2026'!O366,IF($H366="PREENGAGE",IF($E366="ATTRIBUE",'ENGAGEMENTS 2026'!AE366,'ENGAGEMENTS 2026'!O366),'ENGAGEMENTS 2026'!AE366))))</f>
        <v/>
      </c>
      <c r="K366" s="604">
        <f>IF(ISBLANK('ENGAGEMENTS 2026'!W366),"",'ENGAGEMENTS 2026'!W366)</f>
        <v/>
      </c>
      <c r="L366" s="276">
        <f>IF($K366="","",TODAY()-$K366)</f>
        <v/>
      </c>
      <c r="M366">
        <f>IF($A366="","",IF($H366="ENGAGE","Engagé",IF(AND($H366="NON ENGAGE",OR($I366="INFRUCTUEUX",$I366="ANNULE")),"Clôturé sans suite","En cours")))</f>
        <v/>
      </c>
      <c r="N366">
        <f>IF(ISBLANK('ENGAGEMENTS 2026'!C366),"",'ENGAGEMENTS 2026'!L366)</f>
        <v/>
      </c>
      <c r="O366">
        <f>IF(ISBLANK('ENGAGEMENTS 2026'!C366),"",'ENGAGEMENTS 2026'!M366)</f>
        <v/>
      </c>
      <c r="P366">
        <f>IF(ISBLANK('ENGAGEMENTS 2026'!C366),"",'ENGAGEMENTS 2026'!K366)</f>
        <v/>
      </c>
      <c r="Q366">
        <f>IF($A366="","",IF(OR($E366="INFRUCTUEUX",$E366="ANNULE"),$A366&amp;"|"&amp;(COUNTIFS($A$2:$A366,$A366,$E$2:$E366,"INFRUCTUEUX")+COUNTIFS($A$2:$A366,$A366,$E$2:$E366,"ANNULE")),""))</f>
        <v/>
      </c>
    </row>
    <row r="367">
      <c r="A367">
        <f>IF(ISBLANK('ENGAGEMENTS 2026'!C367),"",IF('ENGAGEMENTS 2026'!C367="DTSI","DCT",'ENGAGEMENTS 2026'!C367))</f>
        <v/>
      </c>
      <c r="B367">
        <f>IF(ISBLANK('ENGAGEMENTS 2026'!C367),"",'ENGAGEMENTS 2026'!D367)</f>
        <v/>
      </c>
      <c r="C367">
        <f>IF(ISBLANK('ENGAGEMENTS 2026'!C367),"",'ENGAGEMENTS 2026'!E367)</f>
        <v/>
      </c>
      <c r="D367">
        <f>IF(ISBLANK('ENGAGEMENTS 2026'!C367),"",'ENGAGEMENTS 2026'!G367)</f>
        <v/>
      </c>
      <c r="E367">
        <f>IF(ISBLANK('ENGAGEMENTS 2026'!C367),"",'ENGAGEMENTS 2026'!I367)</f>
        <v/>
      </c>
      <c r="F367">
        <f>IF(ISBLANK('ENGAGEMENTS 2026'!C367),"",'ENGAGEMENTS 2026'!J367)</f>
        <v/>
      </c>
      <c r="G367">
        <f>IF(ISBLANK('ENGAGEMENTS 2026'!C367),"",'ENGAGEMENTS 2026'!M367)</f>
        <v/>
      </c>
      <c r="H367">
        <f>IF(ISBLANK('ENGAGEMENTS 2026'!C367),"",'ENGAGEMENTS 2026'!AF367)</f>
        <v/>
      </c>
      <c r="I367">
        <f>IF(ISBLANK('ENGAGEMENTS 2026'!C367),"",'ENGAGEMENTS 2026'!H367)</f>
        <v/>
      </c>
      <c r="J367" s="275">
        <f>IF(ISBLANK('ENGAGEMENTS 2026'!C367),"",IF(AND(OR($E367="INFRUCTUEUX",$E367="ANNULE"),$C367="AOO-M"),'ENGAGEMENTS 2026'!P367,IF($H367="EN COURS DE PREENGAGEMENT",'ENGAGEMENTS 2026'!O367,IF($H367="PREENGAGE",IF($E367="ATTRIBUE",'ENGAGEMENTS 2026'!AE367,'ENGAGEMENTS 2026'!O367),'ENGAGEMENTS 2026'!AE367))))</f>
        <v/>
      </c>
      <c r="K367" s="604">
        <f>IF(ISBLANK('ENGAGEMENTS 2026'!W367),"",'ENGAGEMENTS 2026'!W367)</f>
        <v/>
      </c>
      <c r="L367" s="276">
        <f>IF($K367="","",TODAY()-$K367)</f>
        <v/>
      </c>
      <c r="M367">
        <f>IF($A367="","",IF($H367="ENGAGE","Engagé",IF(AND($H367="NON ENGAGE",OR($I367="INFRUCTUEUX",$I367="ANNULE")),"Clôturé sans suite","En cours")))</f>
        <v/>
      </c>
      <c r="N367">
        <f>IF(ISBLANK('ENGAGEMENTS 2026'!C367),"",'ENGAGEMENTS 2026'!L367)</f>
        <v/>
      </c>
      <c r="O367">
        <f>IF(ISBLANK('ENGAGEMENTS 2026'!C367),"",'ENGAGEMENTS 2026'!M367)</f>
        <v/>
      </c>
      <c r="P367">
        <f>IF(ISBLANK('ENGAGEMENTS 2026'!C367),"",'ENGAGEMENTS 2026'!K367)</f>
        <v/>
      </c>
      <c r="Q367">
        <f>IF($A367="","",IF(OR($E367="INFRUCTUEUX",$E367="ANNULE"),$A367&amp;"|"&amp;(COUNTIFS($A$2:$A367,$A367,$E$2:$E367,"INFRUCTUEUX")+COUNTIFS($A$2:$A367,$A367,$E$2:$E367,"ANNULE")),""))</f>
        <v/>
      </c>
    </row>
    <row r="368">
      <c r="A368">
        <f>IF(ISBLANK('ENGAGEMENTS 2026'!C368),"",IF('ENGAGEMENTS 2026'!C368="DTSI","DCT",'ENGAGEMENTS 2026'!C368))</f>
        <v/>
      </c>
      <c r="B368">
        <f>IF(ISBLANK('ENGAGEMENTS 2026'!C368),"",'ENGAGEMENTS 2026'!D368)</f>
        <v/>
      </c>
      <c r="C368">
        <f>IF(ISBLANK('ENGAGEMENTS 2026'!C368),"",'ENGAGEMENTS 2026'!E368)</f>
        <v/>
      </c>
      <c r="D368">
        <f>IF(ISBLANK('ENGAGEMENTS 2026'!C368),"",'ENGAGEMENTS 2026'!G368)</f>
        <v/>
      </c>
      <c r="E368">
        <f>IF(ISBLANK('ENGAGEMENTS 2026'!C368),"",'ENGAGEMENTS 2026'!I368)</f>
        <v/>
      </c>
      <c r="F368">
        <f>IF(ISBLANK('ENGAGEMENTS 2026'!C368),"",'ENGAGEMENTS 2026'!J368)</f>
        <v/>
      </c>
      <c r="G368">
        <f>IF(ISBLANK('ENGAGEMENTS 2026'!C368),"",'ENGAGEMENTS 2026'!M368)</f>
        <v/>
      </c>
      <c r="H368">
        <f>IF(ISBLANK('ENGAGEMENTS 2026'!C368),"",'ENGAGEMENTS 2026'!AF368)</f>
        <v/>
      </c>
      <c r="I368">
        <f>IF(ISBLANK('ENGAGEMENTS 2026'!C368),"",'ENGAGEMENTS 2026'!H368)</f>
        <v/>
      </c>
      <c r="J368" s="275">
        <f>IF(ISBLANK('ENGAGEMENTS 2026'!C368),"",IF(AND(OR($E368="INFRUCTUEUX",$E368="ANNULE"),$C368="AOO-M"),'ENGAGEMENTS 2026'!P368,IF($H368="EN COURS DE PREENGAGEMENT",'ENGAGEMENTS 2026'!O368,IF($H368="PREENGAGE",IF($E368="ATTRIBUE",'ENGAGEMENTS 2026'!AE368,'ENGAGEMENTS 2026'!O368),'ENGAGEMENTS 2026'!AE368))))</f>
        <v/>
      </c>
      <c r="K368" s="604">
        <f>IF(ISBLANK('ENGAGEMENTS 2026'!W368),"",'ENGAGEMENTS 2026'!W368)</f>
        <v/>
      </c>
      <c r="L368" s="276">
        <f>IF($K368="","",TODAY()-$K368)</f>
        <v/>
      </c>
      <c r="M368">
        <f>IF($A368="","",IF($H368="ENGAGE","Engagé",IF(AND($H368="NON ENGAGE",OR($I368="INFRUCTUEUX",$I368="ANNULE")),"Clôturé sans suite","En cours")))</f>
        <v/>
      </c>
      <c r="N368">
        <f>IF(ISBLANK('ENGAGEMENTS 2026'!C368),"",'ENGAGEMENTS 2026'!L368)</f>
        <v/>
      </c>
      <c r="O368">
        <f>IF(ISBLANK('ENGAGEMENTS 2026'!C368),"",'ENGAGEMENTS 2026'!M368)</f>
        <v/>
      </c>
      <c r="P368">
        <f>IF(ISBLANK('ENGAGEMENTS 2026'!C368),"",'ENGAGEMENTS 2026'!K368)</f>
        <v/>
      </c>
      <c r="Q368">
        <f>IF($A368="","",IF(OR($E368="INFRUCTUEUX",$E368="ANNULE"),$A368&amp;"|"&amp;(COUNTIFS($A$2:$A368,$A368,$E$2:$E368,"INFRUCTUEUX")+COUNTIFS($A$2:$A368,$A368,$E$2:$E368,"ANNULE")),""))</f>
        <v/>
      </c>
    </row>
    <row r="369">
      <c r="A369">
        <f>IF(ISBLANK('ENGAGEMENTS 2026'!C369),"",IF('ENGAGEMENTS 2026'!C369="DTSI","DCT",'ENGAGEMENTS 2026'!C369))</f>
        <v/>
      </c>
      <c r="B369">
        <f>IF(ISBLANK('ENGAGEMENTS 2026'!C369),"",'ENGAGEMENTS 2026'!D369)</f>
        <v/>
      </c>
      <c r="C369">
        <f>IF(ISBLANK('ENGAGEMENTS 2026'!C369),"",'ENGAGEMENTS 2026'!E369)</f>
        <v/>
      </c>
      <c r="D369">
        <f>IF(ISBLANK('ENGAGEMENTS 2026'!C369),"",'ENGAGEMENTS 2026'!G369)</f>
        <v/>
      </c>
      <c r="E369">
        <f>IF(ISBLANK('ENGAGEMENTS 2026'!C369),"",'ENGAGEMENTS 2026'!I369)</f>
        <v/>
      </c>
      <c r="F369">
        <f>IF(ISBLANK('ENGAGEMENTS 2026'!C369),"",'ENGAGEMENTS 2026'!J369)</f>
        <v/>
      </c>
      <c r="G369">
        <f>IF(ISBLANK('ENGAGEMENTS 2026'!C369),"",'ENGAGEMENTS 2026'!M369)</f>
        <v/>
      </c>
      <c r="H369">
        <f>IF(ISBLANK('ENGAGEMENTS 2026'!C369),"",'ENGAGEMENTS 2026'!AF369)</f>
        <v/>
      </c>
      <c r="I369">
        <f>IF(ISBLANK('ENGAGEMENTS 2026'!C369),"",'ENGAGEMENTS 2026'!H369)</f>
        <v/>
      </c>
      <c r="J369" s="275">
        <f>IF(ISBLANK('ENGAGEMENTS 2026'!C369),"",IF(AND(OR($E369="INFRUCTUEUX",$E369="ANNULE"),$C369="AOO-M"),'ENGAGEMENTS 2026'!P369,IF($H369="EN COURS DE PREENGAGEMENT",'ENGAGEMENTS 2026'!O369,IF($H369="PREENGAGE",IF($E369="ATTRIBUE",'ENGAGEMENTS 2026'!AE369,'ENGAGEMENTS 2026'!O369),'ENGAGEMENTS 2026'!AE369))))</f>
        <v/>
      </c>
      <c r="K369" s="604">
        <f>IF(ISBLANK('ENGAGEMENTS 2026'!W369),"",'ENGAGEMENTS 2026'!W369)</f>
        <v/>
      </c>
      <c r="L369" s="276">
        <f>IF($K369="","",TODAY()-$K369)</f>
        <v/>
      </c>
      <c r="M369">
        <f>IF($A369="","",IF($H369="ENGAGE","Engagé",IF(AND($H369="NON ENGAGE",OR($I369="INFRUCTUEUX",$I369="ANNULE")),"Clôturé sans suite","En cours")))</f>
        <v/>
      </c>
      <c r="N369">
        <f>IF(ISBLANK('ENGAGEMENTS 2026'!C369),"",'ENGAGEMENTS 2026'!L369)</f>
        <v/>
      </c>
      <c r="O369">
        <f>IF(ISBLANK('ENGAGEMENTS 2026'!C369),"",'ENGAGEMENTS 2026'!M369)</f>
        <v/>
      </c>
      <c r="P369">
        <f>IF(ISBLANK('ENGAGEMENTS 2026'!C369),"",'ENGAGEMENTS 2026'!K369)</f>
        <v/>
      </c>
      <c r="Q369">
        <f>IF($A369="","",IF(OR($E369="INFRUCTUEUX",$E369="ANNULE"),$A369&amp;"|"&amp;(COUNTIFS($A$2:$A369,$A369,$E$2:$E369,"INFRUCTUEUX")+COUNTIFS($A$2:$A369,$A369,$E$2:$E369,"ANNULE")),""))</f>
        <v/>
      </c>
    </row>
    <row r="370">
      <c r="A370">
        <f>IF(ISBLANK('ENGAGEMENTS 2026'!C370),"",IF('ENGAGEMENTS 2026'!C370="DTSI","DCT",'ENGAGEMENTS 2026'!C370))</f>
        <v/>
      </c>
      <c r="B370">
        <f>IF(ISBLANK('ENGAGEMENTS 2026'!C370),"",'ENGAGEMENTS 2026'!D370)</f>
        <v/>
      </c>
      <c r="C370">
        <f>IF(ISBLANK('ENGAGEMENTS 2026'!C370),"",'ENGAGEMENTS 2026'!E370)</f>
        <v/>
      </c>
      <c r="D370">
        <f>IF(ISBLANK('ENGAGEMENTS 2026'!C370),"",'ENGAGEMENTS 2026'!G370)</f>
        <v/>
      </c>
      <c r="E370">
        <f>IF(ISBLANK('ENGAGEMENTS 2026'!C370),"",'ENGAGEMENTS 2026'!I370)</f>
        <v/>
      </c>
      <c r="F370">
        <f>IF(ISBLANK('ENGAGEMENTS 2026'!C370),"",'ENGAGEMENTS 2026'!J370)</f>
        <v/>
      </c>
      <c r="G370">
        <f>IF(ISBLANK('ENGAGEMENTS 2026'!C370),"",'ENGAGEMENTS 2026'!M370)</f>
        <v/>
      </c>
      <c r="H370">
        <f>IF(ISBLANK('ENGAGEMENTS 2026'!C370),"",'ENGAGEMENTS 2026'!AF370)</f>
        <v/>
      </c>
      <c r="I370">
        <f>IF(ISBLANK('ENGAGEMENTS 2026'!C370),"",'ENGAGEMENTS 2026'!H370)</f>
        <v/>
      </c>
      <c r="J370" s="275">
        <f>IF(ISBLANK('ENGAGEMENTS 2026'!C370),"",IF(AND(OR($E370="INFRUCTUEUX",$E370="ANNULE"),$C370="AOO-M"),'ENGAGEMENTS 2026'!P370,IF($H370="EN COURS DE PREENGAGEMENT",'ENGAGEMENTS 2026'!O370,IF($H370="PREENGAGE",IF($E370="ATTRIBUE",'ENGAGEMENTS 2026'!AE370,'ENGAGEMENTS 2026'!O370),'ENGAGEMENTS 2026'!AE370))))</f>
        <v/>
      </c>
      <c r="K370" s="604">
        <f>IF(ISBLANK('ENGAGEMENTS 2026'!W370),"",'ENGAGEMENTS 2026'!W370)</f>
        <v/>
      </c>
      <c r="L370" s="276">
        <f>IF($K370="","",TODAY()-$K370)</f>
        <v/>
      </c>
      <c r="M370">
        <f>IF($A370="","",IF($H370="ENGAGE","Engagé",IF(AND($H370="NON ENGAGE",OR($I370="INFRUCTUEUX",$I370="ANNULE")),"Clôturé sans suite","En cours")))</f>
        <v/>
      </c>
      <c r="N370">
        <f>IF(ISBLANK('ENGAGEMENTS 2026'!C370),"",'ENGAGEMENTS 2026'!L370)</f>
        <v/>
      </c>
      <c r="O370">
        <f>IF(ISBLANK('ENGAGEMENTS 2026'!C370),"",'ENGAGEMENTS 2026'!M370)</f>
        <v/>
      </c>
      <c r="P370">
        <f>IF(ISBLANK('ENGAGEMENTS 2026'!C370),"",'ENGAGEMENTS 2026'!K370)</f>
        <v/>
      </c>
      <c r="Q370">
        <f>IF($A370="","",IF(OR($E370="INFRUCTUEUX",$E370="ANNULE"),$A370&amp;"|"&amp;(COUNTIFS($A$2:$A370,$A370,$E$2:$E370,"INFRUCTUEUX")+COUNTIFS($A$2:$A370,$A370,$E$2:$E370,"ANNULE")),""))</f>
        <v/>
      </c>
    </row>
    <row r="371">
      <c r="A371">
        <f>IF(ISBLANK('ENGAGEMENTS 2026'!C371),"",IF('ENGAGEMENTS 2026'!C371="DTSI","DCT",'ENGAGEMENTS 2026'!C371))</f>
        <v/>
      </c>
      <c r="B371">
        <f>IF(ISBLANK('ENGAGEMENTS 2026'!C371),"",'ENGAGEMENTS 2026'!D371)</f>
        <v/>
      </c>
      <c r="C371">
        <f>IF(ISBLANK('ENGAGEMENTS 2026'!C371),"",'ENGAGEMENTS 2026'!E371)</f>
        <v/>
      </c>
      <c r="D371">
        <f>IF(ISBLANK('ENGAGEMENTS 2026'!C371),"",'ENGAGEMENTS 2026'!G371)</f>
        <v/>
      </c>
      <c r="E371">
        <f>IF(ISBLANK('ENGAGEMENTS 2026'!C371),"",'ENGAGEMENTS 2026'!I371)</f>
        <v/>
      </c>
      <c r="F371">
        <f>IF(ISBLANK('ENGAGEMENTS 2026'!C371),"",'ENGAGEMENTS 2026'!J371)</f>
        <v/>
      </c>
      <c r="G371">
        <f>IF(ISBLANK('ENGAGEMENTS 2026'!C371),"",'ENGAGEMENTS 2026'!M371)</f>
        <v/>
      </c>
      <c r="H371">
        <f>IF(ISBLANK('ENGAGEMENTS 2026'!C371),"",'ENGAGEMENTS 2026'!AF371)</f>
        <v/>
      </c>
      <c r="I371">
        <f>IF(ISBLANK('ENGAGEMENTS 2026'!C371),"",'ENGAGEMENTS 2026'!H371)</f>
        <v/>
      </c>
      <c r="J371" s="275">
        <f>IF(ISBLANK('ENGAGEMENTS 2026'!C371),"",IF(AND(OR($E371="INFRUCTUEUX",$E371="ANNULE"),$C371="AOO-M"),'ENGAGEMENTS 2026'!P371,IF($H371="EN COURS DE PREENGAGEMENT",'ENGAGEMENTS 2026'!O371,IF($H371="PREENGAGE",IF($E371="ATTRIBUE",'ENGAGEMENTS 2026'!AE371,'ENGAGEMENTS 2026'!O371),'ENGAGEMENTS 2026'!AE371))))</f>
        <v/>
      </c>
      <c r="K371" s="604">
        <f>IF(ISBLANK('ENGAGEMENTS 2026'!W371),"",'ENGAGEMENTS 2026'!W371)</f>
        <v/>
      </c>
      <c r="L371" s="276">
        <f>IF($K371="","",TODAY()-$K371)</f>
        <v/>
      </c>
      <c r="M371">
        <f>IF($A371="","",IF($H371="ENGAGE","Engagé",IF(AND($H371="NON ENGAGE",OR($I371="INFRUCTUEUX",$I371="ANNULE")),"Clôturé sans suite","En cours")))</f>
        <v/>
      </c>
      <c r="N371">
        <f>IF(ISBLANK('ENGAGEMENTS 2026'!C371),"",'ENGAGEMENTS 2026'!L371)</f>
        <v/>
      </c>
      <c r="O371">
        <f>IF(ISBLANK('ENGAGEMENTS 2026'!C371),"",'ENGAGEMENTS 2026'!M371)</f>
        <v/>
      </c>
      <c r="P371">
        <f>IF(ISBLANK('ENGAGEMENTS 2026'!C371),"",'ENGAGEMENTS 2026'!K371)</f>
        <v/>
      </c>
      <c r="Q371">
        <f>IF($A371="","",IF(OR($E371="INFRUCTUEUX",$E371="ANNULE"),$A371&amp;"|"&amp;(COUNTIFS($A$2:$A371,$A371,$E$2:$E371,"INFRUCTUEUX")+COUNTIFS($A$2:$A371,$A371,$E$2:$E371,"ANNULE")),""))</f>
        <v/>
      </c>
    </row>
    <row r="372">
      <c r="A372">
        <f>IF(ISBLANK('ENGAGEMENTS 2026'!C372),"",IF('ENGAGEMENTS 2026'!C372="DTSI","DCT",'ENGAGEMENTS 2026'!C372))</f>
        <v/>
      </c>
      <c r="B372">
        <f>IF(ISBLANK('ENGAGEMENTS 2026'!C372),"",'ENGAGEMENTS 2026'!D372)</f>
        <v/>
      </c>
      <c r="C372">
        <f>IF(ISBLANK('ENGAGEMENTS 2026'!C372),"",'ENGAGEMENTS 2026'!E372)</f>
        <v/>
      </c>
      <c r="D372">
        <f>IF(ISBLANK('ENGAGEMENTS 2026'!C372),"",'ENGAGEMENTS 2026'!G372)</f>
        <v/>
      </c>
      <c r="E372">
        <f>IF(ISBLANK('ENGAGEMENTS 2026'!C372),"",'ENGAGEMENTS 2026'!I372)</f>
        <v/>
      </c>
      <c r="F372">
        <f>IF(ISBLANK('ENGAGEMENTS 2026'!C372),"",'ENGAGEMENTS 2026'!J372)</f>
        <v/>
      </c>
      <c r="G372">
        <f>IF(ISBLANK('ENGAGEMENTS 2026'!C372),"",'ENGAGEMENTS 2026'!M372)</f>
        <v/>
      </c>
      <c r="H372">
        <f>IF(ISBLANK('ENGAGEMENTS 2026'!C372),"",'ENGAGEMENTS 2026'!AF372)</f>
        <v/>
      </c>
      <c r="I372">
        <f>IF(ISBLANK('ENGAGEMENTS 2026'!C372),"",'ENGAGEMENTS 2026'!H372)</f>
        <v/>
      </c>
      <c r="J372" s="275">
        <f>IF(ISBLANK('ENGAGEMENTS 2026'!C372),"",IF(AND(OR($E372="INFRUCTUEUX",$E372="ANNULE"),$C372="AOO-M"),'ENGAGEMENTS 2026'!P372,IF($H372="EN COURS DE PREENGAGEMENT",'ENGAGEMENTS 2026'!O372,IF($H372="PREENGAGE",IF($E372="ATTRIBUE",'ENGAGEMENTS 2026'!AE372,'ENGAGEMENTS 2026'!O372),'ENGAGEMENTS 2026'!AE372))))</f>
        <v/>
      </c>
      <c r="K372" s="604">
        <f>IF(ISBLANK('ENGAGEMENTS 2026'!W372),"",'ENGAGEMENTS 2026'!W372)</f>
        <v/>
      </c>
      <c r="L372" s="276">
        <f>IF($K372="","",TODAY()-$K372)</f>
        <v/>
      </c>
      <c r="M372">
        <f>IF($A372="","",IF($H372="ENGAGE","Engagé",IF(AND($H372="NON ENGAGE",OR($I372="INFRUCTUEUX",$I372="ANNULE")),"Clôturé sans suite","En cours")))</f>
        <v/>
      </c>
      <c r="N372">
        <f>IF(ISBLANK('ENGAGEMENTS 2026'!C372),"",'ENGAGEMENTS 2026'!L372)</f>
        <v/>
      </c>
      <c r="O372">
        <f>IF(ISBLANK('ENGAGEMENTS 2026'!C372),"",'ENGAGEMENTS 2026'!M372)</f>
        <v/>
      </c>
      <c r="P372">
        <f>IF(ISBLANK('ENGAGEMENTS 2026'!C372),"",'ENGAGEMENTS 2026'!K372)</f>
        <v/>
      </c>
      <c r="Q372">
        <f>IF($A372="","",IF(OR($E372="INFRUCTUEUX",$E372="ANNULE"),$A372&amp;"|"&amp;(COUNTIFS($A$2:$A372,$A372,$E$2:$E372,"INFRUCTUEUX")+COUNTIFS($A$2:$A372,$A372,$E$2:$E372,"ANNULE")),""))</f>
        <v/>
      </c>
    </row>
    <row r="373">
      <c r="A373">
        <f>IF(ISBLANK('ENGAGEMENTS 2026'!C373),"",IF('ENGAGEMENTS 2026'!C373="DTSI","DCT",'ENGAGEMENTS 2026'!C373))</f>
        <v/>
      </c>
      <c r="B373">
        <f>IF(ISBLANK('ENGAGEMENTS 2026'!C373),"",'ENGAGEMENTS 2026'!D373)</f>
        <v/>
      </c>
      <c r="C373">
        <f>IF(ISBLANK('ENGAGEMENTS 2026'!C373),"",'ENGAGEMENTS 2026'!E373)</f>
        <v/>
      </c>
      <c r="D373">
        <f>IF(ISBLANK('ENGAGEMENTS 2026'!C373),"",'ENGAGEMENTS 2026'!G373)</f>
        <v/>
      </c>
      <c r="E373">
        <f>IF(ISBLANK('ENGAGEMENTS 2026'!C373),"",'ENGAGEMENTS 2026'!I373)</f>
        <v/>
      </c>
      <c r="F373">
        <f>IF(ISBLANK('ENGAGEMENTS 2026'!C373),"",'ENGAGEMENTS 2026'!J373)</f>
        <v/>
      </c>
      <c r="G373">
        <f>IF(ISBLANK('ENGAGEMENTS 2026'!C373),"",'ENGAGEMENTS 2026'!M373)</f>
        <v/>
      </c>
      <c r="H373">
        <f>IF(ISBLANK('ENGAGEMENTS 2026'!C373),"",'ENGAGEMENTS 2026'!AF373)</f>
        <v/>
      </c>
      <c r="I373">
        <f>IF(ISBLANK('ENGAGEMENTS 2026'!C373),"",'ENGAGEMENTS 2026'!H373)</f>
        <v/>
      </c>
      <c r="J373" s="275">
        <f>IF(ISBLANK('ENGAGEMENTS 2026'!C373),"",IF(AND(OR($E373="INFRUCTUEUX",$E373="ANNULE"),$C373="AOO-M"),'ENGAGEMENTS 2026'!P373,IF($H373="EN COURS DE PREENGAGEMENT",'ENGAGEMENTS 2026'!O373,IF($H373="PREENGAGE",IF($E373="ATTRIBUE",'ENGAGEMENTS 2026'!AE373,'ENGAGEMENTS 2026'!O373),'ENGAGEMENTS 2026'!AE373))))</f>
        <v/>
      </c>
      <c r="K373" s="604">
        <f>IF(ISBLANK('ENGAGEMENTS 2026'!W373),"",'ENGAGEMENTS 2026'!W373)</f>
        <v/>
      </c>
      <c r="L373" s="276">
        <f>IF($K373="","",TODAY()-$K373)</f>
        <v/>
      </c>
      <c r="M373">
        <f>IF($A373="","",IF($H373="ENGAGE","Engagé",IF(AND($H373="NON ENGAGE",OR($I373="INFRUCTUEUX",$I373="ANNULE")),"Clôturé sans suite","En cours")))</f>
        <v/>
      </c>
      <c r="N373">
        <f>IF(ISBLANK('ENGAGEMENTS 2026'!C373),"",'ENGAGEMENTS 2026'!L373)</f>
        <v/>
      </c>
      <c r="O373">
        <f>IF(ISBLANK('ENGAGEMENTS 2026'!C373),"",'ENGAGEMENTS 2026'!M373)</f>
        <v/>
      </c>
      <c r="P373">
        <f>IF(ISBLANK('ENGAGEMENTS 2026'!C373),"",'ENGAGEMENTS 2026'!K373)</f>
        <v/>
      </c>
      <c r="Q373">
        <f>IF($A373="","",IF(OR($E373="INFRUCTUEUX",$E373="ANNULE"),$A373&amp;"|"&amp;(COUNTIFS($A$2:$A373,$A373,$E$2:$E373,"INFRUCTUEUX")+COUNTIFS($A$2:$A373,$A373,$E$2:$E373,"ANNULE")),""))</f>
        <v/>
      </c>
    </row>
    <row r="374">
      <c r="A374">
        <f>IF(ISBLANK('ENGAGEMENTS 2026'!C374),"",IF('ENGAGEMENTS 2026'!C374="DTSI","DCT",'ENGAGEMENTS 2026'!C374))</f>
        <v/>
      </c>
      <c r="B374">
        <f>IF(ISBLANK('ENGAGEMENTS 2026'!C374),"",'ENGAGEMENTS 2026'!D374)</f>
        <v/>
      </c>
      <c r="C374">
        <f>IF(ISBLANK('ENGAGEMENTS 2026'!C374),"",'ENGAGEMENTS 2026'!E374)</f>
        <v/>
      </c>
      <c r="D374">
        <f>IF(ISBLANK('ENGAGEMENTS 2026'!C374),"",'ENGAGEMENTS 2026'!G374)</f>
        <v/>
      </c>
      <c r="E374">
        <f>IF(ISBLANK('ENGAGEMENTS 2026'!C374),"",'ENGAGEMENTS 2026'!I374)</f>
        <v/>
      </c>
      <c r="F374">
        <f>IF(ISBLANK('ENGAGEMENTS 2026'!C374),"",'ENGAGEMENTS 2026'!J374)</f>
        <v/>
      </c>
      <c r="G374">
        <f>IF(ISBLANK('ENGAGEMENTS 2026'!C374),"",'ENGAGEMENTS 2026'!M374)</f>
        <v/>
      </c>
      <c r="H374">
        <f>IF(ISBLANK('ENGAGEMENTS 2026'!C374),"",'ENGAGEMENTS 2026'!AF374)</f>
        <v/>
      </c>
      <c r="I374">
        <f>IF(ISBLANK('ENGAGEMENTS 2026'!C374),"",'ENGAGEMENTS 2026'!H374)</f>
        <v/>
      </c>
      <c r="J374" s="275">
        <f>IF(ISBLANK('ENGAGEMENTS 2026'!C374),"",IF(AND(OR($E374="INFRUCTUEUX",$E374="ANNULE"),$C374="AOO-M"),'ENGAGEMENTS 2026'!P374,IF($H374="EN COURS DE PREENGAGEMENT",'ENGAGEMENTS 2026'!O374,IF($H374="PREENGAGE",IF($E374="ATTRIBUE",'ENGAGEMENTS 2026'!AE374,'ENGAGEMENTS 2026'!O374),'ENGAGEMENTS 2026'!AE374))))</f>
        <v/>
      </c>
      <c r="K374" s="604">
        <f>IF(ISBLANK('ENGAGEMENTS 2026'!W374),"",'ENGAGEMENTS 2026'!W374)</f>
        <v/>
      </c>
      <c r="L374" s="276">
        <f>IF($K374="","",TODAY()-$K374)</f>
        <v/>
      </c>
      <c r="M374">
        <f>IF($A374="","",IF($H374="ENGAGE","Engagé",IF(AND($H374="NON ENGAGE",OR($I374="INFRUCTUEUX",$I374="ANNULE")),"Clôturé sans suite","En cours")))</f>
        <v/>
      </c>
      <c r="N374">
        <f>IF(ISBLANK('ENGAGEMENTS 2026'!C374),"",'ENGAGEMENTS 2026'!L374)</f>
        <v/>
      </c>
      <c r="O374">
        <f>IF(ISBLANK('ENGAGEMENTS 2026'!C374),"",'ENGAGEMENTS 2026'!M374)</f>
        <v/>
      </c>
      <c r="P374">
        <f>IF(ISBLANK('ENGAGEMENTS 2026'!C374),"",'ENGAGEMENTS 2026'!K374)</f>
        <v/>
      </c>
      <c r="Q374">
        <f>IF($A374="","",IF(OR($E374="INFRUCTUEUX",$E374="ANNULE"),$A374&amp;"|"&amp;(COUNTIFS($A$2:$A374,$A374,$E$2:$E374,"INFRUCTUEUX")+COUNTIFS($A$2:$A374,$A374,$E$2:$E374,"ANNULE")),""))</f>
        <v/>
      </c>
    </row>
    <row r="375">
      <c r="A375">
        <f>IF(ISBLANK('ENGAGEMENTS 2026'!C375),"",IF('ENGAGEMENTS 2026'!C375="DTSI","DCT",'ENGAGEMENTS 2026'!C375))</f>
        <v/>
      </c>
      <c r="B375">
        <f>IF(ISBLANK('ENGAGEMENTS 2026'!C375),"",'ENGAGEMENTS 2026'!D375)</f>
        <v/>
      </c>
      <c r="C375">
        <f>IF(ISBLANK('ENGAGEMENTS 2026'!C375),"",'ENGAGEMENTS 2026'!E375)</f>
        <v/>
      </c>
      <c r="D375">
        <f>IF(ISBLANK('ENGAGEMENTS 2026'!C375),"",'ENGAGEMENTS 2026'!G375)</f>
        <v/>
      </c>
      <c r="E375">
        <f>IF(ISBLANK('ENGAGEMENTS 2026'!C375),"",'ENGAGEMENTS 2026'!I375)</f>
        <v/>
      </c>
      <c r="F375">
        <f>IF(ISBLANK('ENGAGEMENTS 2026'!C375),"",'ENGAGEMENTS 2026'!J375)</f>
        <v/>
      </c>
      <c r="G375">
        <f>IF(ISBLANK('ENGAGEMENTS 2026'!C375),"",'ENGAGEMENTS 2026'!M375)</f>
        <v/>
      </c>
      <c r="H375">
        <f>IF(ISBLANK('ENGAGEMENTS 2026'!C375),"",'ENGAGEMENTS 2026'!AF375)</f>
        <v/>
      </c>
      <c r="I375">
        <f>IF(ISBLANK('ENGAGEMENTS 2026'!C375),"",'ENGAGEMENTS 2026'!H375)</f>
        <v/>
      </c>
      <c r="J375" s="275">
        <f>IF(ISBLANK('ENGAGEMENTS 2026'!C375),"",IF(AND(OR($E375="INFRUCTUEUX",$E375="ANNULE"),$C375="AOO-M"),'ENGAGEMENTS 2026'!P375,IF($H375="EN COURS DE PREENGAGEMENT",'ENGAGEMENTS 2026'!O375,IF($H375="PREENGAGE",IF($E375="ATTRIBUE",'ENGAGEMENTS 2026'!AE375,'ENGAGEMENTS 2026'!O375),'ENGAGEMENTS 2026'!AE375))))</f>
        <v/>
      </c>
      <c r="K375" s="604">
        <f>IF(ISBLANK('ENGAGEMENTS 2026'!W375),"",'ENGAGEMENTS 2026'!W375)</f>
        <v/>
      </c>
      <c r="L375" s="276">
        <f>IF($K375="","",TODAY()-$K375)</f>
        <v/>
      </c>
      <c r="M375">
        <f>IF($A375="","",IF($H375="ENGAGE","Engagé",IF(AND($H375="NON ENGAGE",OR($I375="INFRUCTUEUX",$I375="ANNULE")),"Clôturé sans suite","En cours")))</f>
        <v/>
      </c>
      <c r="N375">
        <f>IF(ISBLANK('ENGAGEMENTS 2026'!C375),"",'ENGAGEMENTS 2026'!L375)</f>
        <v/>
      </c>
      <c r="O375">
        <f>IF(ISBLANK('ENGAGEMENTS 2026'!C375),"",'ENGAGEMENTS 2026'!M375)</f>
        <v/>
      </c>
      <c r="P375">
        <f>IF(ISBLANK('ENGAGEMENTS 2026'!C375),"",'ENGAGEMENTS 2026'!K375)</f>
        <v/>
      </c>
      <c r="Q375">
        <f>IF($A375="","",IF(OR($E375="INFRUCTUEUX",$E375="ANNULE"),$A375&amp;"|"&amp;(COUNTIFS($A$2:$A375,$A375,$E$2:$E375,"INFRUCTUEUX")+COUNTIFS($A$2:$A375,$A375,$E$2:$E375,"ANNULE")),""))</f>
        <v/>
      </c>
    </row>
    <row r="376">
      <c r="A376">
        <f>IF(ISBLANK('ENGAGEMENTS 2026'!C376),"",IF('ENGAGEMENTS 2026'!C376="DTSI","DCT",'ENGAGEMENTS 2026'!C376))</f>
        <v/>
      </c>
      <c r="B376">
        <f>IF(ISBLANK('ENGAGEMENTS 2026'!C376),"",'ENGAGEMENTS 2026'!D376)</f>
        <v/>
      </c>
      <c r="C376">
        <f>IF(ISBLANK('ENGAGEMENTS 2026'!C376),"",'ENGAGEMENTS 2026'!E376)</f>
        <v/>
      </c>
      <c r="D376">
        <f>IF(ISBLANK('ENGAGEMENTS 2026'!C376),"",'ENGAGEMENTS 2026'!G376)</f>
        <v/>
      </c>
      <c r="E376">
        <f>IF(ISBLANK('ENGAGEMENTS 2026'!C376),"",'ENGAGEMENTS 2026'!I376)</f>
        <v/>
      </c>
      <c r="F376">
        <f>IF(ISBLANK('ENGAGEMENTS 2026'!C376),"",'ENGAGEMENTS 2026'!J376)</f>
        <v/>
      </c>
      <c r="G376">
        <f>IF(ISBLANK('ENGAGEMENTS 2026'!C376),"",'ENGAGEMENTS 2026'!M376)</f>
        <v/>
      </c>
      <c r="H376">
        <f>IF(ISBLANK('ENGAGEMENTS 2026'!C376),"",'ENGAGEMENTS 2026'!AF376)</f>
        <v/>
      </c>
      <c r="I376">
        <f>IF(ISBLANK('ENGAGEMENTS 2026'!C376),"",'ENGAGEMENTS 2026'!H376)</f>
        <v/>
      </c>
      <c r="J376" s="275">
        <f>IF(ISBLANK('ENGAGEMENTS 2026'!C376),"",IF(AND(OR($E376="INFRUCTUEUX",$E376="ANNULE"),$C376="AOO-M"),'ENGAGEMENTS 2026'!P376,IF($H376="EN COURS DE PREENGAGEMENT",'ENGAGEMENTS 2026'!O376,IF($H376="PREENGAGE",IF($E376="ATTRIBUE",'ENGAGEMENTS 2026'!AE376,'ENGAGEMENTS 2026'!O376),'ENGAGEMENTS 2026'!AE376))))</f>
        <v/>
      </c>
      <c r="K376" s="604">
        <f>IF(ISBLANK('ENGAGEMENTS 2026'!W376),"",'ENGAGEMENTS 2026'!W376)</f>
        <v/>
      </c>
      <c r="L376" s="276">
        <f>IF($K376="","",TODAY()-$K376)</f>
        <v/>
      </c>
      <c r="M376">
        <f>IF($A376="","",IF($H376="ENGAGE","Engagé",IF(AND($H376="NON ENGAGE",OR($I376="INFRUCTUEUX",$I376="ANNULE")),"Clôturé sans suite","En cours")))</f>
        <v/>
      </c>
      <c r="N376">
        <f>IF(ISBLANK('ENGAGEMENTS 2026'!C376),"",'ENGAGEMENTS 2026'!L376)</f>
        <v/>
      </c>
      <c r="O376">
        <f>IF(ISBLANK('ENGAGEMENTS 2026'!C376),"",'ENGAGEMENTS 2026'!M376)</f>
        <v/>
      </c>
      <c r="P376">
        <f>IF(ISBLANK('ENGAGEMENTS 2026'!C376),"",'ENGAGEMENTS 2026'!K376)</f>
        <v/>
      </c>
      <c r="Q376">
        <f>IF($A376="","",IF(OR($E376="INFRUCTUEUX",$E376="ANNULE"),$A376&amp;"|"&amp;(COUNTIFS($A$2:$A376,$A376,$E$2:$E376,"INFRUCTUEUX")+COUNTIFS($A$2:$A376,$A376,$E$2:$E376,"ANNULE")),""))</f>
        <v/>
      </c>
    </row>
    <row r="377">
      <c r="A377">
        <f>IF(ISBLANK('ENGAGEMENTS 2026'!C377),"",IF('ENGAGEMENTS 2026'!C377="DTSI","DCT",'ENGAGEMENTS 2026'!C377))</f>
        <v/>
      </c>
      <c r="B377">
        <f>IF(ISBLANK('ENGAGEMENTS 2026'!C377),"",'ENGAGEMENTS 2026'!D377)</f>
        <v/>
      </c>
      <c r="C377">
        <f>IF(ISBLANK('ENGAGEMENTS 2026'!C377),"",'ENGAGEMENTS 2026'!E377)</f>
        <v/>
      </c>
      <c r="D377">
        <f>IF(ISBLANK('ENGAGEMENTS 2026'!C377),"",'ENGAGEMENTS 2026'!G377)</f>
        <v/>
      </c>
      <c r="E377">
        <f>IF(ISBLANK('ENGAGEMENTS 2026'!C377),"",'ENGAGEMENTS 2026'!I377)</f>
        <v/>
      </c>
      <c r="F377">
        <f>IF(ISBLANK('ENGAGEMENTS 2026'!C377),"",'ENGAGEMENTS 2026'!J377)</f>
        <v/>
      </c>
      <c r="G377">
        <f>IF(ISBLANK('ENGAGEMENTS 2026'!C377),"",'ENGAGEMENTS 2026'!M377)</f>
        <v/>
      </c>
      <c r="H377">
        <f>IF(ISBLANK('ENGAGEMENTS 2026'!C377),"",'ENGAGEMENTS 2026'!AF377)</f>
        <v/>
      </c>
      <c r="I377">
        <f>IF(ISBLANK('ENGAGEMENTS 2026'!C377),"",'ENGAGEMENTS 2026'!H377)</f>
        <v/>
      </c>
      <c r="J377" s="275">
        <f>IF(ISBLANK('ENGAGEMENTS 2026'!C377),"",IF(AND(OR($E377="INFRUCTUEUX",$E377="ANNULE"),$C377="AOO-M"),'ENGAGEMENTS 2026'!P377,IF($H377="EN COURS DE PREENGAGEMENT",'ENGAGEMENTS 2026'!O377,IF($H377="PREENGAGE",IF($E377="ATTRIBUE",'ENGAGEMENTS 2026'!AE377,'ENGAGEMENTS 2026'!O377),'ENGAGEMENTS 2026'!AE377))))</f>
        <v/>
      </c>
      <c r="K377" s="604">
        <f>IF(ISBLANK('ENGAGEMENTS 2026'!W377),"",'ENGAGEMENTS 2026'!W377)</f>
        <v/>
      </c>
      <c r="L377" s="276">
        <f>IF($K377="","",TODAY()-$K377)</f>
        <v/>
      </c>
      <c r="M377">
        <f>IF($A377="","",IF($H377="ENGAGE","Engagé",IF(AND($H377="NON ENGAGE",OR($I377="INFRUCTUEUX",$I377="ANNULE")),"Clôturé sans suite","En cours")))</f>
        <v/>
      </c>
      <c r="N377">
        <f>IF(ISBLANK('ENGAGEMENTS 2026'!C377),"",'ENGAGEMENTS 2026'!L377)</f>
        <v/>
      </c>
      <c r="O377">
        <f>IF(ISBLANK('ENGAGEMENTS 2026'!C377),"",'ENGAGEMENTS 2026'!M377)</f>
        <v/>
      </c>
      <c r="P377">
        <f>IF(ISBLANK('ENGAGEMENTS 2026'!C377),"",'ENGAGEMENTS 2026'!K377)</f>
        <v/>
      </c>
      <c r="Q377">
        <f>IF($A377="","",IF(OR($E377="INFRUCTUEUX",$E377="ANNULE"),$A377&amp;"|"&amp;(COUNTIFS($A$2:$A377,$A377,$E$2:$E377,"INFRUCTUEUX")+COUNTIFS($A$2:$A377,$A377,$E$2:$E377,"ANNULE")),""))</f>
        <v/>
      </c>
    </row>
    <row r="378">
      <c r="A378">
        <f>IF(ISBLANK('ENGAGEMENTS 2026'!C378),"",IF('ENGAGEMENTS 2026'!C378="DTSI","DCT",'ENGAGEMENTS 2026'!C378))</f>
        <v/>
      </c>
      <c r="B378">
        <f>IF(ISBLANK('ENGAGEMENTS 2026'!C378),"",'ENGAGEMENTS 2026'!D378)</f>
        <v/>
      </c>
      <c r="C378">
        <f>IF(ISBLANK('ENGAGEMENTS 2026'!C378),"",'ENGAGEMENTS 2026'!E378)</f>
        <v/>
      </c>
      <c r="D378">
        <f>IF(ISBLANK('ENGAGEMENTS 2026'!C378),"",'ENGAGEMENTS 2026'!G378)</f>
        <v/>
      </c>
      <c r="E378">
        <f>IF(ISBLANK('ENGAGEMENTS 2026'!C378),"",'ENGAGEMENTS 2026'!I378)</f>
        <v/>
      </c>
      <c r="F378">
        <f>IF(ISBLANK('ENGAGEMENTS 2026'!C378),"",'ENGAGEMENTS 2026'!J378)</f>
        <v/>
      </c>
      <c r="G378">
        <f>IF(ISBLANK('ENGAGEMENTS 2026'!C378),"",'ENGAGEMENTS 2026'!M378)</f>
        <v/>
      </c>
      <c r="H378">
        <f>IF(ISBLANK('ENGAGEMENTS 2026'!C378),"",'ENGAGEMENTS 2026'!AF378)</f>
        <v/>
      </c>
      <c r="I378">
        <f>IF(ISBLANK('ENGAGEMENTS 2026'!C378),"",'ENGAGEMENTS 2026'!H378)</f>
        <v/>
      </c>
      <c r="J378" s="275">
        <f>IF(ISBLANK('ENGAGEMENTS 2026'!C378),"",IF(AND(OR($E378="INFRUCTUEUX",$E378="ANNULE"),$C378="AOO-M"),'ENGAGEMENTS 2026'!P378,IF($H378="EN COURS DE PREENGAGEMENT",'ENGAGEMENTS 2026'!O378,IF($H378="PREENGAGE",IF($E378="ATTRIBUE",'ENGAGEMENTS 2026'!AE378,'ENGAGEMENTS 2026'!O378),'ENGAGEMENTS 2026'!AE378))))</f>
        <v/>
      </c>
      <c r="K378" s="604">
        <f>IF(ISBLANK('ENGAGEMENTS 2026'!W378),"",'ENGAGEMENTS 2026'!W378)</f>
        <v/>
      </c>
      <c r="L378" s="276">
        <f>IF($K378="","",TODAY()-$K378)</f>
        <v/>
      </c>
      <c r="M378">
        <f>IF($A378="","",IF($H378="ENGAGE","Engagé",IF(AND($H378="NON ENGAGE",OR($I378="INFRUCTUEUX",$I378="ANNULE")),"Clôturé sans suite","En cours")))</f>
        <v/>
      </c>
      <c r="N378">
        <f>IF(ISBLANK('ENGAGEMENTS 2026'!C378),"",'ENGAGEMENTS 2026'!L378)</f>
        <v/>
      </c>
      <c r="O378">
        <f>IF(ISBLANK('ENGAGEMENTS 2026'!C378),"",'ENGAGEMENTS 2026'!M378)</f>
        <v/>
      </c>
      <c r="P378">
        <f>IF(ISBLANK('ENGAGEMENTS 2026'!C378),"",'ENGAGEMENTS 2026'!K378)</f>
        <v/>
      </c>
      <c r="Q378">
        <f>IF($A378="","",IF(OR($E378="INFRUCTUEUX",$E378="ANNULE"),$A378&amp;"|"&amp;(COUNTIFS($A$2:$A378,$A378,$E$2:$E378,"INFRUCTUEUX")+COUNTIFS($A$2:$A378,$A378,$E$2:$E378,"ANNULE")),""))</f>
        <v/>
      </c>
    </row>
    <row r="379">
      <c r="A379">
        <f>IF(ISBLANK('ENGAGEMENTS 2026'!C379),"",IF('ENGAGEMENTS 2026'!C379="DTSI","DCT",'ENGAGEMENTS 2026'!C379))</f>
        <v/>
      </c>
      <c r="B379">
        <f>IF(ISBLANK('ENGAGEMENTS 2026'!C379),"",'ENGAGEMENTS 2026'!D379)</f>
        <v/>
      </c>
      <c r="C379">
        <f>IF(ISBLANK('ENGAGEMENTS 2026'!C379),"",'ENGAGEMENTS 2026'!E379)</f>
        <v/>
      </c>
      <c r="D379">
        <f>IF(ISBLANK('ENGAGEMENTS 2026'!C379),"",'ENGAGEMENTS 2026'!G379)</f>
        <v/>
      </c>
      <c r="E379">
        <f>IF(ISBLANK('ENGAGEMENTS 2026'!C379),"",'ENGAGEMENTS 2026'!I379)</f>
        <v/>
      </c>
      <c r="F379">
        <f>IF(ISBLANK('ENGAGEMENTS 2026'!C379),"",'ENGAGEMENTS 2026'!J379)</f>
        <v/>
      </c>
      <c r="G379">
        <f>IF(ISBLANK('ENGAGEMENTS 2026'!C379),"",'ENGAGEMENTS 2026'!M379)</f>
        <v/>
      </c>
      <c r="H379">
        <f>IF(ISBLANK('ENGAGEMENTS 2026'!C379),"",'ENGAGEMENTS 2026'!AF379)</f>
        <v/>
      </c>
      <c r="I379">
        <f>IF(ISBLANK('ENGAGEMENTS 2026'!C379),"",'ENGAGEMENTS 2026'!H379)</f>
        <v/>
      </c>
      <c r="J379" s="275">
        <f>IF(ISBLANK('ENGAGEMENTS 2026'!C379),"",IF(AND(OR($E379="INFRUCTUEUX",$E379="ANNULE"),$C379="AOO-M"),'ENGAGEMENTS 2026'!P379,IF($H379="EN COURS DE PREENGAGEMENT",'ENGAGEMENTS 2026'!O379,IF($H379="PREENGAGE",IF($E379="ATTRIBUE",'ENGAGEMENTS 2026'!AE379,'ENGAGEMENTS 2026'!O379),'ENGAGEMENTS 2026'!AE379))))</f>
        <v/>
      </c>
      <c r="K379" s="604">
        <f>IF(ISBLANK('ENGAGEMENTS 2026'!W379),"",'ENGAGEMENTS 2026'!W379)</f>
        <v/>
      </c>
      <c r="L379" s="276">
        <f>IF($K379="","",TODAY()-$K379)</f>
        <v/>
      </c>
      <c r="M379">
        <f>IF($A379="","",IF($H379="ENGAGE","Engagé",IF(AND($H379="NON ENGAGE",OR($I379="INFRUCTUEUX",$I379="ANNULE")),"Clôturé sans suite","En cours")))</f>
        <v/>
      </c>
      <c r="N379">
        <f>IF(ISBLANK('ENGAGEMENTS 2026'!C379),"",'ENGAGEMENTS 2026'!L379)</f>
        <v/>
      </c>
      <c r="O379">
        <f>IF(ISBLANK('ENGAGEMENTS 2026'!C379),"",'ENGAGEMENTS 2026'!M379)</f>
        <v/>
      </c>
      <c r="P379">
        <f>IF(ISBLANK('ENGAGEMENTS 2026'!C379),"",'ENGAGEMENTS 2026'!K379)</f>
        <v/>
      </c>
      <c r="Q379">
        <f>IF($A379="","",IF(OR($E379="INFRUCTUEUX",$E379="ANNULE"),$A379&amp;"|"&amp;(COUNTIFS($A$2:$A379,$A379,$E$2:$E379,"INFRUCTUEUX")+COUNTIFS($A$2:$A379,$A379,$E$2:$E379,"ANNULE")),""))</f>
        <v/>
      </c>
    </row>
    <row r="380">
      <c r="A380">
        <f>IF(ISBLANK('ENGAGEMENTS 2026'!C380),"",IF('ENGAGEMENTS 2026'!C380="DTSI","DCT",'ENGAGEMENTS 2026'!C380))</f>
        <v/>
      </c>
      <c r="B380">
        <f>IF(ISBLANK('ENGAGEMENTS 2026'!C380),"",'ENGAGEMENTS 2026'!D380)</f>
        <v/>
      </c>
      <c r="C380">
        <f>IF(ISBLANK('ENGAGEMENTS 2026'!C380),"",'ENGAGEMENTS 2026'!E380)</f>
        <v/>
      </c>
      <c r="D380">
        <f>IF(ISBLANK('ENGAGEMENTS 2026'!C380),"",'ENGAGEMENTS 2026'!G380)</f>
        <v/>
      </c>
      <c r="E380">
        <f>IF(ISBLANK('ENGAGEMENTS 2026'!C380),"",'ENGAGEMENTS 2026'!I380)</f>
        <v/>
      </c>
      <c r="F380">
        <f>IF(ISBLANK('ENGAGEMENTS 2026'!C380),"",'ENGAGEMENTS 2026'!J380)</f>
        <v/>
      </c>
      <c r="G380">
        <f>IF(ISBLANK('ENGAGEMENTS 2026'!C380),"",'ENGAGEMENTS 2026'!M380)</f>
        <v/>
      </c>
      <c r="H380">
        <f>IF(ISBLANK('ENGAGEMENTS 2026'!C380),"",'ENGAGEMENTS 2026'!AF380)</f>
        <v/>
      </c>
      <c r="I380">
        <f>IF(ISBLANK('ENGAGEMENTS 2026'!C380),"",'ENGAGEMENTS 2026'!H380)</f>
        <v/>
      </c>
      <c r="J380" s="275">
        <f>IF(ISBLANK('ENGAGEMENTS 2026'!C380),"",IF(AND(OR($E380="INFRUCTUEUX",$E380="ANNULE"),$C380="AOO-M"),'ENGAGEMENTS 2026'!P380,IF($H380="EN COURS DE PREENGAGEMENT",'ENGAGEMENTS 2026'!O380,IF($H380="PREENGAGE",IF($E380="ATTRIBUE",'ENGAGEMENTS 2026'!AE380,'ENGAGEMENTS 2026'!O380),'ENGAGEMENTS 2026'!AE380))))</f>
        <v/>
      </c>
      <c r="K380" s="604">
        <f>IF(ISBLANK('ENGAGEMENTS 2026'!W380),"",'ENGAGEMENTS 2026'!W380)</f>
        <v/>
      </c>
      <c r="L380" s="276">
        <f>IF($K380="","",TODAY()-$K380)</f>
        <v/>
      </c>
      <c r="M380">
        <f>IF($A380="","",IF($H380="ENGAGE","Engagé",IF(AND($H380="NON ENGAGE",OR($I380="INFRUCTUEUX",$I380="ANNULE")),"Clôturé sans suite","En cours")))</f>
        <v/>
      </c>
      <c r="N380">
        <f>IF(ISBLANK('ENGAGEMENTS 2026'!C380),"",'ENGAGEMENTS 2026'!L380)</f>
        <v/>
      </c>
      <c r="O380">
        <f>IF(ISBLANK('ENGAGEMENTS 2026'!C380),"",'ENGAGEMENTS 2026'!M380)</f>
        <v/>
      </c>
      <c r="P380">
        <f>IF(ISBLANK('ENGAGEMENTS 2026'!C380),"",'ENGAGEMENTS 2026'!K380)</f>
        <v/>
      </c>
      <c r="Q380">
        <f>IF($A380="","",IF(OR($E380="INFRUCTUEUX",$E380="ANNULE"),$A380&amp;"|"&amp;(COUNTIFS($A$2:$A380,$A380,$E$2:$E380,"INFRUCTUEUX")+COUNTIFS($A$2:$A380,$A380,$E$2:$E380,"ANNULE")),""))</f>
        <v/>
      </c>
    </row>
    <row r="381">
      <c r="A381">
        <f>IF(ISBLANK('ENGAGEMENTS 2026'!C381),"",IF('ENGAGEMENTS 2026'!C381="DTSI","DCT",'ENGAGEMENTS 2026'!C381))</f>
        <v/>
      </c>
      <c r="B381">
        <f>IF(ISBLANK('ENGAGEMENTS 2026'!C381),"",'ENGAGEMENTS 2026'!D381)</f>
        <v/>
      </c>
      <c r="C381">
        <f>IF(ISBLANK('ENGAGEMENTS 2026'!C381),"",'ENGAGEMENTS 2026'!E381)</f>
        <v/>
      </c>
      <c r="D381">
        <f>IF(ISBLANK('ENGAGEMENTS 2026'!C381),"",'ENGAGEMENTS 2026'!G381)</f>
        <v/>
      </c>
      <c r="E381">
        <f>IF(ISBLANK('ENGAGEMENTS 2026'!C381),"",'ENGAGEMENTS 2026'!I381)</f>
        <v/>
      </c>
      <c r="F381">
        <f>IF(ISBLANK('ENGAGEMENTS 2026'!C381),"",'ENGAGEMENTS 2026'!J381)</f>
        <v/>
      </c>
      <c r="G381">
        <f>IF(ISBLANK('ENGAGEMENTS 2026'!C381),"",'ENGAGEMENTS 2026'!M381)</f>
        <v/>
      </c>
      <c r="H381">
        <f>IF(ISBLANK('ENGAGEMENTS 2026'!C381),"",'ENGAGEMENTS 2026'!AF381)</f>
        <v/>
      </c>
      <c r="I381">
        <f>IF(ISBLANK('ENGAGEMENTS 2026'!C381),"",'ENGAGEMENTS 2026'!H381)</f>
        <v/>
      </c>
      <c r="J381" s="275">
        <f>IF(ISBLANK('ENGAGEMENTS 2026'!C381),"",IF(AND(OR($E381="INFRUCTUEUX",$E381="ANNULE"),$C381="AOO-M"),'ENGAGEMENTS 2026'!P381,IF($H381="EN COURS DE PREENGAGEMENT",'ENGAGEMENTS 2026'!O381,IF($H381="PREENGAGE",IF($E381="ATTRIBUE",'ENGAGEMENTS 2026'!AE381,'ENGAGEMENTS 2026'!O381),'ENGAGEMENTS 2026'!AE381))))</f>
        <v/>
      </c>
      <c r="K381" s="604">
        <f>IF(ISBLANK('ENGAGEMENTS 2026'!W381),"",'ENGAGEMENTS 2026'!W381)</f>
        <v/>
      </c>
      <c r="L381" s="276">
        <f>IF($K381="","",TODAY()-$K381)</f>
        <v/>
      </c>
      <c r="M381">
        <f>IF($A381="","",IF($H381="ENGAGE","Engagé",IF(AND($H381="NON ENGAGE",OR($I381="INFRUCTUEUX",$I381="ANNULE")),"Clôturé sans suite","En cours")))</f>
        <v/>
      </c>
      <c r="N381">
        <f>IF(ISBLANK('ENGAGEMENTS 2026'!C381),"",'ENGAGEMENTS 2026'!L381)</f>
        <v/>
      </c>
      <c r="O381">
        <f>IF(ISBLANK('ENGAGEMENTS 2026'!C381),"",'ENGAGEMENTS 2026'!M381)</f>
        <v/>
      </c>
      <c r="P381">
        <f>IF(ISBLANK('ENGAGEMENTS 2026'!C381),"",'ENGAGEMENTS 2026'!K381)</f>
        <v/>
      </c>
      <c r="Q381">
        <f>IF($A381="","",IF(OR($E381="INFRUCTUEUX",$E381="ANNULE"),$A381&amp;"|"&amp;(COUNTIFS($A$2:$A381,$A381,$E$2:$E381,"INFRUCTUEUX")+COUNTIFS($A$2:$A381,$A381,$E$2:$E381,"ANNULE")),""))</f>
        <v/>
      </c>
    </row>
    <row r="382">
      <c r="A382">
        <f>IF(ISBLANK('ENGAGEMENTS 2026'!C382),"",IF('ENGAGEMENTS 2026'!C382="DTSI","DCT",'ENGAGEMENTS 2026'!C382))</f>
        <v/>
      </c>
      <c r="B382">
        <f>IF(ISBLANK('ENGAGEMENTS 2026'!C382),"",'ENGAGEMENTS 2026'!D382)</f>
        <v/>
      </c>
      <c r="C382">
        <f>IF(ISBLANK('ENGAGEMENTS 2026'!C382),"",'ENGAGEMENTS 2026'!E382)</f>
        <v/>
      </c>
      <c r="D382">
        <f>IF(ISBLANK('ENGAGEMENTS 2026'!C382),"",'ENGAGEMENTS 2026'!G382)</f>
        <v/>
      </c>
      <c r="E382">
        <f>IF(ISBLANK('ENGAGEMENTS 2026'!C382),"",'ENGAGEMENTS 2026'!I382)</f>
        <v/>
      </c>
      <c r="F382">
        <f>IF(ISBLANK('ENGAGEMENTS 2026'!C382),"",'ENGAGEMENTS 2026'!J382)</f>
        <v/>
      </c>
      <c r="G382">
        <f>IF(ISBLANK('ENGAGEMENTS 2026'!C382),"",'ENGAGEMENTS 2026'!M382)</f>
        <v/>
      </c>
      <c r="H382">
        <f>IF(ISBLANK('ENGAGEMENTS 2026'!C382),"",'ENGAGEMENTS 2026'!AF382)</f>
        <v/>
      </c>
      <c r="I382">
        <f>IF(ISBLANK('ENGAGEMENTS 2026'!C382),"",'ENGAGEMENTS 2026'!H382)</f>
        <v/>
      </c>
      <c r="J382" s="275">
        <f>IF(ISBLANK('ENGAGEMENTS 2026'!C382),"",IF(AND(OR($E382="INFRUCTUEUX",$E382="ANNULE"),$C382="AOO-M"),'ENGAGEMENTS 2026'!P382,IF($H382="EN COURS DE PREENGAGEMENT",'ENGAGEMENTS 2026'!O382,IF($H382="PREENGAGE",IF($E382="ATTRIBUE",'ENGAGEMENTS 2026'!AE382,'ENGAGEMENTS 2026'!O382),'ENGAGEMENTS 2026'!AE382))))</f>
        <v/>
      </c>
      <c r="K382" s="604">
        <f>IF(ISBLANK('ENGAGEMENTS 2026'!W382),"",'ENGAGEMENTS 2026'!W382)</f>
        <v/>
      </c>
      <c r="L382" s="276">
        <f>IF($K382="","",TODAY()-$K382)</f>
        <v/>
      </c>
      <c r="M382">
        <f>IF($A382="","",IF($H382="ENGAGE","Engagé",IF(AND($H382="NON ENGAGE",OR($I382="INFRUCTUEUX",$I382="ANNULE")),"Clôturé sans suite","En cours")))</f>
        <v/>
      </c>
      <c r="N382">
        <f>IF(ISBLANK('ENGAGEMENTS 2026'!C382),"",'ENGAGEMENTS 2026'!L382)</f>
        <v/>
      </c>
      <c r="O382">
        <f>IF(ISBLANK('ENGAGEMENTS 2026'!C382),"",'ENGAGEMENTS 2026'!M382)</f>
        <v/>
      </c>
      <c r="P382">
        <f>IF(ISBLANK('ENGAGEMENTS 2026'!C382),"",'ENGAGEMENTS 2026'!K382)</f>
        <v/>
      </c>
      <c r="Q382">
        <f>IF($A382="","",IF(OR($E382="INFRUCTUEUX",$E382="ANNULE"),$A382&amp;"|"&amp;(COUNTIFS($A$2:$A382,$A382,$E$2:$E382,"INFRUCTUEUX")+COUNTIFS($A$2:$A382,$A382,$E$2:$E382,"ANNULE")),""))</f>
        <v/>
      </c>
    </row>
    <row r="383">
      <c r="A383">
        <f>IF(ISBLANK('ENGAGEMENTS 2026'!C383),"",IF('ENGAGEMENTS 2026'!C383="DTSI","DCT",'ENGAGEMENTS 2026'!C383))</f>
        <v/>
      </c>
      <c r="B383">
        <f>IF(ISBLANK('ENGAGEMENTS 2026'!C383),"",'ENGAGEMENTS 2026'!D383)</f>
        <v/>
      </c>
      <c r="C383">
        <f>IF(ISBLANK('ENGAGEMENTS 2026'!C383),"",'ENGAGEMENTS 2026'!E383)</f>
        <v/>
      </c>
      <c r="D383">
        <f>IF(ISBLANK('ENGAGEMENTS 2026'!C383),"",'ENGAGEMENTS 2026'!G383)</f>
        <v/>
      </c>
      <c r="E383">
        <f>IF(ISBLANK('ENGAGEMENTS 2026'!C383),"",'ENGAGEMENTS 2026'!I383)</f>
        <v/>
      </c>
      <c r="F383">
        <f>IF(ISBLANK('ENGAGEMENTS 2026'!C383),"",'ENGAGEMENTS 2026'!J383)</f>
        <v/>
      </c>
      <c r="G383">
        <f>IF(ISBLANK('ENGAGEMENTS 2026'!C383),"",'ENGAGEMENTS 2026'!M383)</f>
        <v/>
      </c>
      <c r="H383">
        <f>IF(ISBLANK('ENGAGEMENTS 2026'!C383),"",'ENGAGEMENTS 2026'!AF383)</f>
        <v/>
      </c>
      <c r="I383">
        <f>IF(ISBLANK('ENGAGEMENTS 2026'!C383),"",'ENGAGEMENTS 2026'!H383)</f>
        <v/>
      </c>
      <c r="J383" s="275">
        <f>IF(ISBLANK('ENGAGEMENTS 2026'!C383),"",IF(AND(OR($E383="INFRUCTUEUX",$E383="ANNULE"),$C383="AOO-M"),'ENGAGEMENTS 2026'!P383,IF($H383="EN COURS DE PREENGAGEMENT",'ENGAGEMENTS 2026'!O383,IF($H383="PREENGAGE",IF($E383="ATTRIBUE",'ENGAGEMENTS 2026'!AE383,'ENGAGEMENTS 2026'!O383),'ENGAGEMENTS 2026'!AE383))))</f>
        <v/>
      </c>
      <c r="K383" s="604">
        <f>IF(ISBLANK('ENGAGEMENTS 2026'!W383),"",'ENGAGEMENTS 2026'!W383)</f>
        <v/>
      </c>
      <c r="L383" s="276">
        <f>IF($K383="","",TODAY()-$K383)</f>
        <v/>
      </c>
      <c r="M383">
        <f>IF($A383="","",IF($H383="ENGAGE","Engagé",IF(AND($H383="NON ENGAGE",OR($I383="INFRUCTUEUX",$I383="ANNULE")),"Clôturé sans suite","En cours")))</f>
        <v/>
      </c>
      <c r="N383">
        <f>IF(ISBLANK('ENGAGEMENTS 2026'!C383),"",'ENGAGEMENTS 2026'!L383)</f>
        <v/>
      </c>
      <c r="O383">
        <f>IF(ISBLANK('ENGAGEMENTS 2026'!C383),"",'ENGAGEMENTS 2026'!M383)</f>
        <v/>
      </c>
      <c r="P383">
        <f>IF(ISBLANK('ENGAGEMENTS 2026'!C383),"",'ENGAGEMENTS 2026'!K383)</f>
        <v/>
      </c>
      <c r="Q383">
        <f>IF($A383="","",IF(OR($E383="INFRUCTUEUX",$E383="ANNULE"),$A383&amp;"|"&amp;(COUNTIFS($A$2:$A383,$A383,$E$2:$E383,"INFRUCTUEUX")+COUNTIFS($A$2:$A383,$A383,$E$2:$E383,"ANNULE")),""))</f>
        <v/>
      </c>
    </row>
    <row r="384">
      <c r="A384">
        <f>IF(ISBLANK('ENGAGEMENTS 2026'!C384),"",IF('ENGAGEMENTS 2026'!C384="DTSI","DCT",'ENGAGEMENTS 2026'!C384))</f>
        <v/>
      </c>
      <c r="B384">
        <f>IF(ISBLANK('ENGAGEMENTS 2026'!C384),"",'ENGAGEMENTS 2026'!D384)</f>
        <v/>
      </c>
      <c r="C384">
        <f>IF(ISBLANK('ENGAGEMENTS 2026'!C384),"",'ENGAGEMENTS 2026'!E384)</f>
        <v/>
      </c>
      <c r="D384">
        <f>IF(ISBLANK('ENGAGEMENTS 2026'!C384),"",'ENGAGEMENTS 2026'!G384)</f>
        <v/>
      </c>
      <c r="E384">
        <f>IF(ISBLANK('ENGAGEMENTS 2026'!C384),"",'ENGAGEMENTS 2026'!I384)</f>
        <v/>
      </c>
      <c r="F384">
        <f>IF(ISBLANK('ENGAGEMENTS 2026'!C384),"",'ENGAGEMENTS 2026'!J384)</f>
        <v/>
      </c>
      <c r="G384">
        <f>IF(ISBLANK('ENGAGEMENTS 2026'!C384),"",'ENGAGEMENTS 2026'!M384)</f>
        <v/>
      </c>
      <c r="H384">
        <f>IF(ISBLANK('ENGAGEMENTS 2026'!C384),"",'ENGAGEMENTS 2026'!AF384)</f>
        <v/>
      </c>
      <c r="I384">
        <f>IF(ISBLANK('ENGAGEMENTS 2026'!C384),"",'ENGAGEMENTS 2026'!H384)</f>
        <v/>
      </c>
      <c r="J384" s="275">
        <f>IF(ISBLANK('ENGAGEMENTS 2026'!C384),"",IF(AND(OR($E384="INFRUCTUEUX",$E384="ANNULE"),$C384="AOO-M"),'ENGAGEMENTS 2026'!P384,IF($H384="EN COURS DE PREENGAGEMENT",'ENGAGEMENTS 2026'!O384,IF($H384="PREENGAGE",IF($E384="ATTRIBUE",'ENGAGEMENTS 2026'!AE384,'ENGAGEMENTS 2026'!O384),'ENGAGEMENTS 2026'!AE384))))</f>
        <v/>
      </c>
      <c r="K384" s="604">
        <f>IF(ISBLANK('ENGAGEMENTS 2026'!W384),"",'ENGAGEMENTS 2026'!W384)</f>
        <v/>
      </c>
      <c r="L384" s="276">
        <f>IF($K384="","",TODAY()-$K384)</f>
        <v/>
      </c>
      <c r="M384">
        <f>IF($A384="","",IF($H384="ENGAGE","Engagé",IF(AND($H384="NON ENGAGE",OR($I384="INFRUCTUEUX",$I384="ANNULE")),"Clôturé sans suite","En cours")))</f>
        <v/>
      </c>
      <c r="N384">
        <f>IF(ISBLANK('ENGAGEMENTS 2026'!C384),"",'ENGAGEMENTS 2026'!L384)</f>
        <v/>
      </c>
      <c r="O384">
        <f>IF(ISBLANK('ENGAGEMENTS 2026'!C384),"",'ENGAGEMENTS 2026'!M384)</f>
        <v/>
      </c>
      <c r="P384">
        <f>IF(ISBLANK('ENGAGEMENTS 2026'!C384),"",'ENGAGEMENTS 2026'!K384)</f>
        <v/>
      </c>
      <c r="Q384">
        <f>IF($A384="","",IF(OR($E384="INFRUCTUEUX",$E384="ANNULE"),$A384&amp;"|"&amp;(COUNTIFS($A$2:$A384,$A384,$E$2:$E384,"INFRUCTUEUX")+COUNTIFS($A$2:$A384,$A384,$E$2:$E384,"ANNULE")),""))</f>
        <v/>
      </c>
    </row>
    <row r="385">
      <c r="A385">
        <f>IF(ISBLANK('ENGAGEMENTS 2026'!C385),"",IF('ENGAGEMENTS 2026'!C385="DTSI","DCT",'ENGAGEMENTS 2026'!C385))</f>
        <v/>
      </c>
      <c r="B385">
        <f>IF(ISBLANK('ENGAGEMENTS 2026'!C385),"",'ENGAGEMENTS 2026'!D385)</f>
        <v/>
      </c>
      <c r="C385">
        <f>IF(ISBLANK('ENGAGEMENTS 2026'!C385),"",'ENGAGEMENTS 2026'!E385)</f>
        <v/>
      </c>
      <c r="D385">
        <f>IF(ISBLANK('ENGAGEMENTS 2026'!C385),"",'ENGAGEMENTS 2026'!G385)</f>
        <v/>
      </c>
      <c r="E385">
        <f>IF(ISBLANK('ENGAGEMENTS 2026'!C385),"",'ENGAGEMENTS 2026'!I385)</f>
        <v/>
      </c>
      <c r="F385">
        <f>IF(ISBLANK('ENGAGEMENTS 2026'!C385),"",'ENGAGEMENTS 2026'!J385)</f>
        <v/>
      </c>
      <c r="G385">
        <f>IF(ISBLANK('ENGAGEMENTS 2026'!C385),"",'ENGAGEMENTS 2026'!M385)</f>
        <v/>
      </c>
      <c r="H385">
        <f>IF(ISBLANK('ENGAGEMENTS 2026'!C385),"",'ENGAGEMENTS 2026'!AF385)</f>
        <v/>
      </c>
      <c r="I385">
        <f>IF(ISBLANK('ENGAGEMENTS 2026'!C385),"",'ENGAGEMENTS 2026'!H385)</f>
        <v/>
      </c>
      <c r="J385" s="275">
        <f>IF(ISBLANK('ENGAGEMENTS 2026'!C385),"",IF(AND(OR($E385="INFRUCTUEUX",$E385="ANNULE"),$C385="AOO-M"),'ENGAGEMENTS 2026'!P385,IF($H385="EN COURS DE PREENGAGEMENT",'ENGAGEMENTS 2026'!O385,IF($H385="PREENGAGE",IF($E385="ATTRIBUE",'ENGAGEMENTS 2026'!AE385,'ENGAGEMENTS 2026'!O385),'ENGAGEMENTS 2026'!AE385))))</f>
        <v/>
      </c>
      <c r="K385" s="604">
        <f>IF(ISBLANK('ENGAGEMENTS 2026'!W385),"",'ENGAGEMENTS 2026'!W385)</f>
        <v/>
      </c>
      <c r="L385" s="276">
        <f>IF($K385="","",TODAY()-$K385)</f>
        <v/>
      </c>
      <c r="M385">
        <f>IF($A385="","",IF($H385="ENGAGE","Engagé",IF(AND($H385="NON ENGAGE",OR($I385="INFRUCTUEUX",$I385="ANNULE")),"Clôturé sans suite","En cours")))</f>
        <v/>
      </c>
      <c r="N385">
        <f>IF(ISBLANK('ENGAGEMENTS 2026'!C385),"",'ENGAGEMENTS 2026'!L385)</f>
        <v/>
      </c>
      <c r="O385">
        <f>IF(ISBLANK('ENGAGEMENTS 2026'!C385),"",'ENGAGEMENTS 2026'!M385)</f>
        <v/>
      </c>
      <c r="P385">
        <f>IF(ISBLANK('ENGAGEMENTS 2026'!C385),"",'ENGAGEMENTS 2026'!K385)</f>
        <v/>
      </c>
      <c r="Q385">
        <f>IF($A385="","",IF(OR($E385="INFRUCTUEUX",$E385="ANNULE"),$A385&amp;"|"&amp;(COUNTIFS($A$2:$A385,$A385,$E$2:$E385,"INFRUCTUEUX")+COUNTIFS($A$2:$A385,$A385,$E$2:$E385,"ANNULE")),""))</f>
        <v/>
      </c>
    </row>
    <row r="386">
      <c r="A386">
        <f>IF(ISBLANK('ENGAGEMENTS 2026'!C386),"",IF('ENGAGEMENTS 2026'!C386="DTSI","DCT",'ENGAGEMENTS 2026'!C386))</f>
        <v/>
      </c>
      <c r="B386">
        <f>IF(ISBLANK('ENGAGEMENTS 2026'!C386),"",'ENGAGEMENTS 2026'!D386)</f>
        <v/>
      </c>
      <c r="C386">
        <f>IF(ISBLANK('ENGAGEMENTS 2026'!C386),"",'ENGAGEMENTS 2026'!E386)</f>
        <v/>
      </c>
      <c r="D386">
        <f>IF(ISBLANK('ENGAGEMENTS 2026'!C386),"",'ENGAGEMENTS 2026'!G386)</f>
        <v/>
      </c>
      <c r="E386">
        <f>IF(ISBLANK('ENGAGEMENTS 2026'!C386),"",'ENGAGEMENTS 2026'!I386)</f>
        <v/>
      </c>
      <c r="F386">
        <f>IF(ISBLANK('ENGAGEMENTS 2026'!C386),"",'ENGAGEMENTS 2026'!J386)</f>
        <v/>
      </c>
      <c r="G386">
        <f>IF(ISBLANK('ENGAGEMENTS 2026'!C386),"",'ENGAGEMENTS 2026'!M386)</f>
        <v/>
      </c>
      <c r="H386">
        <f>IF(ISBLANK('ENGAGEMENTS 2026'!C386),"",'ENGAGEMENTS 2026'!AF386)</f>
        <v/>
      </c>
      <c r="I386">
        <f>IF(ISBLANK('ENGAGEMENTS 2026'!C386),"",'ENGAGEMENTS 2026'!H386)</f>
        <v/>
      </c>
      <c r="J386" s="275">
        <f>IF(ISBLANK('ENGAGEMENTS 2026'!C386),"",IF(AND(OR($E386="INFRUCTUEUX",$E386="ANNULE"),$C386="AOO-M"),'ENGAGEMENTS 2026'!P386,IF($H386="EN COURS DE PREENGAGEMENT",'ENGAGEMENTS 2026'!O386,IF($H386="PREENGAGE",IF($E386="ATTRIBUE",'ENGAGEMENTS 2026'!AE386,'ENGAGEMENTS 2026'!O386),'ENGAGEMENTS 2026'!AE386))))</f>
        <v/>
      </c>
      <c r="K386" s="604">
        <f>IF(ISBLANK('ENGAGEMENTS 2026'!W386),"",'ENGAGEMENTS 2026'!W386)</f>
        <v/>
      </c>
      <c r="L386" s="276">
        <f>IF($K386="","",TODAY()-$K386)</f>
        <v/>
      </c>
      <c r="M386">
        <f>IF($A386="","",IF($H386="ENGAGE","Engagé",IF(AND($H386="NON ENGAGE",OR($I386="INFRUCTUEUX",$I386="ANNULE")),"Clôturé sans suite","En cours")))</f>
        <v/>
      </c>
      <c r="N386">
        <f>IF(ISBLANK('ENGAGEMENTS 2026'!C386),"",'ENGAGEMENTS 2026'!L386)</f>
        <v/>
      </c>
      <c r="O386">
        <f>IF(ISBLANK('ENGAGEMENTS 2026'!C386),"",'ENGAGEMENTS 2026'!M386)</f>
        <v/>
      </c>
      <c r="P386">
        <f>IF(ISBLANK('ENGAGEMENTS 2026'!C386),"",'ENGAGEMENTS 2026'!K386)</f>
        <v/>
      </c>
      <c r="Q386">
        <f>IF($A386="","",IF(OR($E386="INFRUCTUEUX",$E386="ANNULE"),$A386&amp;"|"&amp;(COUNTIFS($A$2:$A386,$A386,$E$2:$E386,"INFRUCTUEUX")+COUNTIFS($A$2:$A386,$A386,$E$2:$E386,"ANNULE")),""))</f>
        <v/>
      </c>
    </row>
    <row r="387">
      <c r="A387">
        <f>IF(ISBLANK('ENGAGEMENTS 2026'!C387),"",IF('ENGAGEMENTS 2026'!C387="DTSI","DCT",'ENGAGEMENTS 2026'!C387))</f>
        <v/>
      </c>
      <c r="B387">
        <f>IF(ISBLANK('ENGAGEMENTS 2026'!C387),"",'ENGAGEMENTS 2026'!D387)</f>
        <v/>
      </c>
      <c r="C387">
        <f>IF(ISBLANK('ENGAGEMENTS 2026'!C387),"",'ENGAGEMENTS 2026'!E387)</f>
        <v/>
      </c>
      <c r="D387">
        <f>IF(ISBLANK('ENGAGEMENTS 2026'!C387),"",'ENGAGEMENTS 2026'!G387)</f>
        <v/>
      </c>
      <c r="E387">
        <f>IF(ISBLANK('ENGAGEMENTS 2026'!C387),"",'ENGAGEMENTS 2026'!I387)</f>
        <v/>
      </c>
      <c r="F387">
        <f>IF(ISBLANK('ENGAGEMENTS 2026'!C387),"",'ENGAGEMENTS 2026'!J387)</f>
        <v/>
      </c>
      <c r="G387">
        <f>IF(ISBLANK('ENGAGEMENTS 2026'!C387),"",'ENGAGEMENTS 2026'!M387)</f>
        <v/>
      </c>
      <c r="H387">
        <f>IF(ISBLANK('ENGAGEMENTS 2026'!C387),"",'ENGAGEMENTS 2026'!AF387)</f>
        <v/>
      </c>
      <c r="I387">
        <f>IF(ISBLANK('ENGAGEMENTS 2026'!C387),"",'ENGAGEMENTS 2026'!H387)</f>
        <v/>
      </c>
      <c r="J387" s="275">
        <f>IF(ISBLANK('ENGAGEMENTS 2026'!C387),"",IF(AND(OR($E387="INFRUCTUEUX",$E387="ANNULE"),$C387="AOO-M"),'ENGAGEMENTS 2026'!P387,IF($H387="EN COURS DE PREENGAGEMENT",'ENGAGEMENTS 2026'!O387,IF($H387="PREENGAGE",IF($E387="ATTRIBUE",'ENGAGEMENTS 2026'!AE387,'ENGAGEMENTS 2026'!O387),'ENGAGEMENTS 2026'!AE387))))</f>
        <v/>
      </c>
      <c r="K387" s="604">
        <f>IF(ISBLANK('ENGAGEMENTS 2026'!W387),"",'ENGAGEMENTS 2026'!W387)</f>
        <v/>
      </c>
      <c r="L387" s="276">
        <f>IF($K387="","",TODAY()-$K387)</f>
        <v/>
      </c>
      <c r="M387">
        <f>IF($A387="","",IF($H387="ENGAGE","Engagé",IF(AND($H387="NON ENGAGE",OR($I387="INFRUCTUEUX",$I387="ANNULE")),"Clôturé sans suite","En cours")))</f>
        <v/>
      </c>
      <c r="N387">
        <f>IF(ISBLANK('ENGAGEMENTS 2026'!C387),"",'ENGAGEMENTS 2026'!L387)</f>
        <v/>
      </c>
      <c r="O387">
        <f>IF(ISBLANK('ENGAGEMENTS 2026'!C387),"",'ENGAGEMENTS 2026'!M387)</f>
        <v/>
      </c>
      <c r="P387">
        <f>IF(ISBLANK('ENGAGEMENTS 2026'!C387),"",'ENGAGEMENTS 2026'!K387)</f>
        <v/>
      </c>
      <c r="Q387">
        <f>IF($A387="","",IF(OR($E387="INFRUCTUEUX",$E387="ANNULE"),$A387&amp;"|"&amp;(COUNTIFS($A$2:$A387,$A387,$E$2:$E387,"INFRUCTUEUX")+COUNTIFS($A$2:$A387,$A387,$E$2:$E387,"ANNULE")),""))</f>
        <v/>
      </c>
    </row>
    <row r="388">
      <c r="A388">
        <f>IF(ISBLANK('ENGAGEMENTS 2026'!C388),"",IF('ENGAGEMENTS 2026'!C388="DTSI","DCT",'ENGAGEMENTS 2026'!C388))</f>
        <v/>
      </c>
      <c r="B388">
        <f>IF(ISBLANK('ENGAGEMENTS 2026'!C388),"",'ENGAGEMENTS 2026'!D388)</f>
        <v/>
      </c>
      <c r="C388">
        <f>IF(ISBLANK('ENGAGEMENTS 2026'!C388),"",'ENGAGEMENTS 2026'!E388)</f>
        <v/>
      </c>
      <c r="D388">
        <f>IF(ISBLANK('ENGAGEMENTS 2026'!C388),"",'ENGAGEMENTS 2026'!G388)</f>
        <v/>
      </c>
      <c r="E388">
        <f>IF(ISBLANK('ENGAGEMENTS 2026'!C388),"",'ENGAGEMENTS 2026'!I388)</f>
        <v/>
      </c>
      <c r="F388">
        <f>IF(ISBLANK('ENGAGEMENTS 2026'!C388),"",'ENGAGEMENTS 2026'!J388)</f>
        <v/>
      </c>
      <c r="G388">
        <f>IF(ISBLANK('ENGAGEMENTS 2026'!C388),"",'ENGAGEMENTS 2026'!M388)</f>
        <v/>
      </c>
      <c r="H388">
        <f>IF(ISBLANK('ENGAGEMENTS 2026'!C388),"",'ENGAGEMENTS 2026'!AF388)</f>
        <v/>
      </c>
      <c r="I388">
        <f>IF(ISBLANK('ENGAGEMENTS 2026'!C388),"",'ENGAGEMENTS 2026'!H388)</f>
        <v/>
      </c>
      <c r="J388" s="275">
        <f>IF(ISBLANK('ENGAGEMENTS 2026'!C388),"",IF(AND(OR($E388="INFRUCTUEUX",$E388="ANNULE"),$C388="AOO-M"),'ENGAGEMENTS 2026'!P388,IF($H388="EN COURS DE PREENGAGEMENT",'ENGAGEMENTS 2026'!O388,IF($H388="PREENGAGE",IF($E388="ATTRIBUE",'ENGAGEMENTS 2026'!AE388,'ENGAGEMENTS 2026'!O388),'ENGAGEMENTS 2026'!AE388))))</f>
        <v/>
      </c>
      <c r="K388" s="604">
        <f>IF(ISBLANK('ENGAGEMENTS 2026'!W388),"",'ENGAGEMENTS 2026'!W388)</f>
        <v/>
      </c>
      <c r="L388" s="276">
        <f>IF($K388="","",TODAY()-$K388)</f>
        <v/>
      </c>
      <c r="M388">
        <f>IF($A388="","",IF($H388="ENGAGE","Engagé",IF(AND($H388="NON ENGAGE",OR($I388="INFRUCTUEUX",$I388="ANNULE")),"Clôturé sans suite","En cours")))</f>
        <v/>
      </c>
      <c r="N388">
        <f>IF(ISBLANK('ENGAGEMENTS 2026'!C388),"",'ENGAGEMENTS 2026'!L388)</f>
        <v/>
      </c>
      <c r="O388">
        <f>IF(ISBLANK('ENGAGEMENTS 2026'!C388),"",'ENGAGEMENTS 2026'!M388)</f>
        <v/>
      </c>
      <c r="P388">
        <f>IF(ISBLANK('ENGAGEMENTS 2026'!C388),"",'ENGAGEMENTS 2026'!K388)</f>
        <v/>
      </c>
      <c r="Q388">
        <f>IF($A388="","",IF(OR($E388="INFRUCTUEUX",$E388="ANNULE"),$A388&amp;"|"&amp;(COUNTIFS($A$2:$A388,$A388,$E$2:$E388,"INFRUCTUEUX")+COUNTIFS($A$2:$A388,$A388,$E$2:$E388,"ANNULE")),""))</f>
        <v/>
      </c>
    </row>
    <row r="389">
      <c r="A389">
        <f>IF(ISBLANK('ENGAGEMENTS 2026'!C389),"",IF('ENGAGEMENTS 2026'!C389="DTSI","DCT",'ENGAGEMENTS 2026'!C389))</f>
        <v/>
      </c>
      <c r="B389">
        <f>IF(ISBLANK('ENGAGEMENTS 2026'!C389),"",'ENGAGEMENTS 2026'!D389)</f>
        <v/>
      </c>
      <c r="C389">
        <f>IF(ISBLANK('ENGAGEMENTS 2026'!C389),"",'ENGAGEMENTS 2026'!E389)</f>
        <v/>
      </c>
      <c r="D389">
        <f>IF(ISBLANK('ENGAGEMENTS 2026'!C389),"",'ENGAGEMENTS 2026'!G389)</f>
        <v/>
      </c>
      <c r="E389">
        <f>IF(ISBLANK('ENGAGEMENTS 2026'!C389),"",'ENGAGEMENTS 2026'!I389)</f>
        <v/>
      </c>
      <c r="F389">
        <f>IF(ISBLANK('ENGAGEMENTS 2026'!C389),"",'ENGAGEMENTS 2026'!J389)</f>
        <v/>
      </c>
      <c r="G389">
        <f>IF(ISBLANK('ENGAGEMENTS 2026'!C389),"",'ENGAGEMENTS 2026'!M389)</f>
        <v/>
      </c>
      <c r="H389">
        <f>IF(ISBLANK('ENGAGEMENTS 2026'!C389),"",'ENGAGEMENTS 2026'!AF389)</f>
        <v/>
      </c>
      <c r="I389">
        <f>IF(ISBLANK('ENGAGEMENTS 2026'!C389),"",'ENGAGEMENTS 2026'!H389)</f>
        <v/>
      </c>
      <c r="J389" s="275">
        <f>IF(ISBLANK('ENGAGEMENTS 2026'!C389),"",IF(AND(OR($E389="INFRUCTUEUX",$E389="ANNULE"),$C389="AOO-M"),'ENGAGEMENTS 2026'!P389,IF($H389="EN COURS DE PREENGAGEMENT",'ENGAGEMENTS 2026'!O389,IF($H389="PREENGAGE",IF($E389="ATTRIBUE",'ENGAGEMENTS 2026'!AE389,'ENGAGEMENTS 2026'!O389),'ENGAGEMENTS 2026'!AE389))))</f>
        <v/>
      </c>
      <c r="K389" s="604">
        <f>IF(ISBLANK('ENGAGEMENTS 2026'!W389),"",'ENGAGEMENTS 2026'!W389)</f>
        <v/>
      </c>
      <c r="L389" s="276">
        <f>IF($K389="","",TODAY()-$K389)</f>
        <v/>
      </c>
      <c r="M389">
        <f>IF($A389="","",IF($H389="ENGAGE","Engagé",IF(AND($H389="NON ENGAGE",OR($I389="INFRUCTUEUX",$I389="ANNULE")),"Clôturé sans suite","En cours")))</f>
        <v/>
      </c>
      <c r="N389">
        <f>IF(ISBLANK('ENGAGEMENTS 2026'!C389),"",'ENGAGEMENTS 2026'!L389)</f>
        <v/>
      </c>
      <c r="O389">
        <f>IF(ISBLANK('ENGAGEMENTS 2026'!C389),"",'ENGAGEMENTS 2026'!M389)</f>
        <v/>
      </c>
      <c r="P389">
        <f>IF(ISBLANK('ENGAGEMENTS 2026'!C389),"",'ENGAGEMENTS 2026'!K389)</f>
        <v/>
      </c>
      <c r="Q389">
        <f>IF($A389="","",IF(OR($E389="INFRUCTUEUX",$E389="ANNULE"),$A389&amp;"|"&amp;(COUNTIFS($A$2:$A389,$A389,$E$2:$E389,"INFRUCTUEUX")+COUNTIFS($A$2:$A389,$A389,$E$2:$E389,"ANNULE")),""))</f>
        <v/>
      </c>
    </row>
    <row r="390">
      <c r="A390">
        <f>IF(ISBLANK('ENGAGEMENTS 2026'!C390),"",IF('ENGAGEMENTS 2026'!C390="DTSI","DCT",'ENGAGEMENTS 2026'!C390))</f>
        <v/>
      </c>
      <c r="B390">
        <f>IF(ISBLANK('ENGAGEMENTS 2026'!C390),"",'ENGAGEMENTS 2026'!D390)</f>
        <v/>
      </c>
      <c r="C390">
        <f>IF(ISBLANK('ENGAGEMENTS 2026'!C390),"",'ENGAGEMENTS 2026'!E390)</f>
        <v/>
      </c>
      <c r="D390">
        <f>IF(ISBLANK('ENGAGEMENTS 2026'!C390),"",'ENGAGEMENTS 2026'!G390)</f>
        <v/>
      </c>
      <c r="E390">
        <f>IF(ISBLANK('ENGAGEMENTS 2026'!C390),"",'ENGAGEMENTS 2026'!I390)</f>
        <v/>
      </c>
      <c r="F390">
        <f>IF(ISBLANK('ENGAGEMENTS 2026'!C390),"",'ENGAGEMENTS 2026'!J390)</f>
        <v/>
      </c>
      <c r="G390">
        <f>IF(ISBLANK('ENGAGEMENTS 2026'!C390),"",'ENGAGEMENTS 2026'!M390)</f>
        <v/>
      </c>
      <c r="H390">
        <f>IF(ISBLANK('ENGAGEMENTS 2026'!C390),"",'ENGAGEMENTS 2026'!AF390)</f>
        <v/>
      </c>
      <c r="I390">
        <f>IF(ISBLANK('ENGAGEMENTS 2026'!C390),"",'ENGAGEMENTS 2026'!H390)</f>
        <v/>
      </c>
      <c r="J390" s="275">
        <f>IF(ISBLANK('ENGAGEMENTS 2026'!C390),"",IF(AND(OR($E390="INFRUCTUEUX",$E390="ANNULE"),$C390="AOO-M"),'ENGAGEMENTS 2026'!P390,IF($H390="EN COURS DE PREENGAGEMENT",'ENGAGEMENTS 2026'!O390,IF($H390="PREENGAGE",IF($E390="ATTRIBUE",'ENGAGEMENTS 2026'!AE390,'ENGAGEMENTS 2026'!O390),'ENGAGEMENTS 2026'!AE390))))</f>
        <v/>
      </c>
      <c r="K390" s="604">
        <f>IF(ISBLANK('ENGAGEMENTS 2026'!W390),"",'ENGAGEMENTS 2026'!W390)</f>
        <v/>
      </c>
      <c r="L390" s="276">
        <f>IF($K390="","",TODAY()-$K390)</f>
        <v/>
      </c>
      <c r="M390">
        <f>IF($A390="","",IF($H390="ENGAGE","Engagé",IF(AND($H390="NON ENGAGE",OR($I390="INFRUCTUEUX",$I390="ANNULE")),"Clôturé sans suite","En cours")))</f>
        <v/>
      </c>
      <c r="N390">
        <f>IF(ISBLANK('ENGAGEMENTS 2026'!C390),"",'ENGAGEMENTS 2026'!L390)</f>
        <v/>
      </c>
      <c r="O390">
        <f>IF(ISBLANK('ENGAGEMENTS 2026'!C390),"",'ENGAGEMENTS 2026'!M390)</f>
        <v/>
      </c>
      <c r="P390">
        <f>IF(ISBLANK('ENGAGEMENTS 2026'!C390),"",'ENGAGEMENTS 2026'!K390)</f>
        <v/>
      </c>
      <c r="Q390">
        <f>IF($A390="","",IF(OR($E390="INFRUCTUEUX",$E390="ANNULE"),$A390&amp;"|"&amp;(COUNTIFS($A$2:$A390,$A390,$E$2:$E390,"INFRUCTUEUX")+COUNTIFS($A$2:$A390,$A390,$E$2:$E390,"ANNULE")),""))</f>
        <v/>
      </c>
    </row>
    <row r="391">
      <c r="A391">
        <f>IF(ISBLANK('ENGAGEMENTS 2026'!C391),"",IF('ENGAGEMENTS 2026'!C391="DTSI","DCT",'ENGAGEMENTS 2026'!C391))</f>
        <v/>
      </c>
      <c r="B391">
        <f>IF(ISBLANK('ENGAGEMENTS 2026'!C391),"",'ENGAGEMENTS 2026'!D391)</f>
        <v/>
      </c>
      <c r="C391">
        <f>IF(ISBLANK('ENGAGEMENTS 2026'!C391),"",'ENGAGEMENTS 2026'!E391)</f>
        <v/>
      </c>
      <c r="D391">
        <f>IF(ISBLANK('ENGAGEMENTS 2026'!C391),"",'ENGAGEMENTS 2026'!G391)</f>
        <v/>
      </c>
      <c r="E391">
        <f>IF(ISBLANK('ENGAGEMENTS 2026'!C391),"",'ENGAGEMENTS 2026'!I391)</f>
        <v/>
      </c>
      <c r="F391">
        <f>IF(ISBLANK('ENGAGEMENTS 2026'!C391),"",'ENGAGEMENTS 2026'!J391)</f>
        <v/>
      </c>
      <c r="G391">
        <f>IF(ISBLANK('ENGAGEMENTS 2026'!C391),"",'ENGAGEMENTS 2026'!M391)</f>
        <v/>
      </c>
      <c r="H391">
        <f>IF(ISBLANK('ENGAGEMENTS 2026'!C391),"",'ENGAGEMENTS 2026'!AF391)</f>
        <v/>
      </c>
      <c r="I391">
        <f>IF(ISBLANK('ENGAGEMENTS 2026'!C391),"",'ENGAGEMENTS 2026'!H391)</f>
        <v/>
      </c>
      <c r="J391" s="275">
        <f>IF(ISBLANK('ENGAGEMENTS 2026'!C391),"",IF(AND(OR($E391="INFRUCTUEUX",$E391="ANNULE"),$C391="AOO-M"),'ENGAGEMENTS 2026'!P391,IF($H391="EN COURS DE PREENGAGEMENT",'ENGAGEMENTS 2026'!O391,IF($H391="PREENGAGE",IF($E391="ATTRIBUE",'ENGAGEMENTS 2026'!AE391,'ENGAGEMENTS 2026'!O391),'ENGAGEMENTS 2026'!AE391))))</f>
        <v/>
      </c>
      <c r="K391" s="604">
        <f>IF(ISBLANK('ENGAGEMENTS 2026'!W391),"",'ENGAGEMENTS 2026'!W391)</f>
        <v/>
      </c>
      <c r="L391" s="276">
        <f>IF($K391="","",TODAY()-$K391)</f>
        <v/>
      </c>
      <c r="M391">
        <f>IF($A391="","",IF($H391="ENGAGE","Engagé",IF(AND($H391="NON ENGAGE",OR($I391="INFRUCTUEUX",$I391="ANNULE")),"Clôturé sans suite","En cours")))</f>
        <v/>
      </c>
      <c r="N391">
        <f>IF(ISBLANK('ENGAGEMENTS 2026'!C391),"",'ENGAGEMENTS 2026'!L391)</f>
        <v/>
      </c>
      <c r="O391">
        <f>IF(ISBLANK('ENGAGEMENTS 2026'!C391),"",'ENGAGEMENTS 2026'!M391)</f>
        <v/>
      </c>
      <c r="P391">
        <f>IF(ISBLANK('ENGAGEMENTS 2026'!C391),"",'ENGAGEMENTS 2026'!K391)</f>
        <v/>
      </c>
      <c r="Q391">
        <f>IF($A391="","",IF(OR($E391="INFRUCTUEUX",$E391="ANNULE"),$A391&amp;"|"&amp;(COUNTIFS($A$2:$A391,$A391,$E$2:$E391,"INFRUCTUEUX")+COUNTIFS($A$2:$A391,$A391,$E$2:$E391,"ANNULE")),""))</f>
        <v/>
      </c>
    </row>
    <row r="392">
      <c r="A392">
        <f>IF(ISBLANK('ENGAGEMENTS 2026'!C392),"",IF('ENGAGEMENTS 2026'!C392="DTSI","DCT",'ENGAGEMENTS 2026'!C392))</f>
        <v/>
      </c>
      <c r="B392">
        <f>IF(ISBLANK('ENGAGEMENTS 2026'!C392),"",'ENGAGEMENTS 2026'!D392)</f>
        <v/>
      </c>
      <c r="C392">
        <f>IF(ISBLANK('ENGAGEMENTS 2026'!C392),"",'ENGAGEMENTS 2026'!E392)</f>
        <v/>
      </c>
      <c r="D392">
        <f>IF(ISBLANK('ENGAGEMENTS 2026'!C392),"",'ENGAGEMENTS 2026'!G392)</f>
        <v/>
      </c>
      <c r="E392">
        <f>IF(ISBLANK('ENGAGEMENTS 2026'!C392),"",'ENGAGEMENTS 2026'!I392)</f>
        <v/>
      </c>
      <c r="F392">
        <f>IF(ISBLANK('ENGAGEMENTS 2026'!C392),"",'ENGAGEMENTS 2026'!J392)</f>
        <v/>
      </c>
      <c r="G392">
        <f>IF(ISBLANK('ENGAGEMENTS 2026'!C392),"",'ENGAGEMENTS 2026'!M392)</f>
        <v/>
      </c>
      <c r="H392">
        <f>IF(ISBLANK('ENGAGEMENTS 2026'!C392),"",'ENGAGEMENTS 2026'!AF392)</f>
        <v/>
      </c>
      <c r="I392">
        <f>IF(ISBLANK('ENGAGEMENTS 2026'!C392),"",'ENGAGEMENTS 2026'!H392)</f>
        <v/>
      </c>
      <c r="J392" s="275">
        <f>IF(ISBLANK('ENGAGEMENTS 2026'!C392),"",IF(AND(OR($E392="INFRUCTUEUX",$E392="ANNULE"),$C392="AOO-M"),'ENGAGEMENTS 2026'!P392,IF($H392="EN COURS DE PREENGAGEMENT",'ENGAGEMENTS 2026'!O392,IF($H392="PREENGAGE",IF($E392="ATTRIBUE",'ENGAGEMENTS 2026'!AE392,'ENGAGEMENTS 2026'!O392),'ENGAGEMENTS 2026'!AE392))))</f>
        <v/>
      </c>
      <c r="K392" s="604">
        <f>IF(ISBLANK('ENGAGEMENTS 2026'!W392),"",'ENGAGEMENTS 2026'!W392)</f>
        <v/>
      </c>
      <c r="L392" s="276">
        <f>IF($K392="","",TODAY()-$K392)</f>
        <v/>
      </c>
      <c r="M392">
        <f>IF($A392="","",IF($H392="ENGAGE","Engagé",IF(AND($H392="NON ENGAGE",OR($I392="INFRUCTUEUX",$I392="ANNULE")),"Clôturé sans suite","En cours")))</f>
        <v/>
      </c>
      <c r="N392">
        <f>IF(ISBLANK('ENGAGEMENTS 2026'!C392),"",'ENGAGEMENTS 2026'!L392)</f>
        <v/>
      </c>
      <c r="O392">
        <f>IF(ISBLANK('ENGAGEMENTS 2026'!C392),"",'ENGAGEMENTS 2026'!M392)</f>
        <v/>
      </c>
      <c r="P392">
        <f>IF(ISBLANK('ENGAGEMENTS 2026'!C392),"",'ENGAGEMENTS 2026'!K392)</f>
        <v/>
      </c>
      <c r="Q392">
        <f>IF($A392="","",IF(OR($E392="INFRUCTUEUX",$E392="ANNULE"),$A392&amp;"|"&amp;(COUNTIFS($A$2:$A392,$A392,$E$2:$E392,"INFRUCTUEUX")+COUNTIFS($A$2:$A392,$A392,$E$2:$E392,"ANNULE")),""))</f>
        <v/>
      </c>
    </row>
    <row r="393">
      <c r="A393">
        <f>IF(ISBLANK('ENGAGEMENTS 2026'!C393),"",IF('ENGAGEMENTS 2026'!C393="DTSI","DCT",'ENGAGEMENTS 2026'!C393))</f>
        <v/>
      </c>
      <c r="B393">
        <f>IF(ISBLANK('ENGAGEMENTS 2026'!C393),"",'ENGAGEMENTS 2026'!D393)</f>
        <v/>
      </c>
      <c r="C393">
        <f>IF(ISBLANK('ENGAGEMENTS 2026'!C393),"",'ENGAGEMENTS 2026'!E393)</f>
        <v/>
      </c>
      <c r="D393">
        <f>IF(ISBLANK('ENGAGEMENTS 2026'!C393),"",'ENGAGEMENTS 2026'!G393)</f>
        <v/>
      </c>
      <c r="E393">
        <f>IF(ISBLANK('ENGAGEMENTS 2026'!C393),"",'ENGAGEMENTS 2026'!I393)</f>
        <v/>
      </c>
      <c r="F393">
        <f>IF(ISBLANK('ENGAGEMENTS 2026'!C393),"",'ENGAGEMENTS 2026'!J393)</f>
        <v/>
      </c>
      <c r="G393">
        <f>IF(ISBLANK('ENGAGEMENTS 2026'!C393),"",'ENGAGEMENTS 2026'!M393)</f>
        <v/>
      </c>
      <c r="H393">
        <f>IF(ISBLANK('ENGAGEMENTS 2026'!C393),"",'ENGAGEMENTS 2026'!AF393)</f>
        <v/>
      </c>
      <c r="I393">
        <f>IF(ISBLANK('ENGAGEMENTS 2026'!C393),"",'ENGAGEMENTS 2026'!H393)</f>
        <v/>
      </c>
      <c r="J393" s="275">
        <f>IF(ISBLANK('ENGAGEMENTS 2026'!C393),"",IF(AND(OR($E393="INFRUCTUEUX",$E393="ANNULE"),$C393="AOO-M"),'ENGAGEMENTS 2026'!P393,IF($H393="EN COURS DE PREENGAGEMENT",'ENGAGEMENTS 2026'!O393,IF($H393="PREENGAGE",IF($E393="ATTRIBUE",'ENGAGEMENTS 2026'!AE393,'ENGAGEMENTS 2026'!O393),'ENGAGEMENTS 2026'!AE393))))</f>
        <v/>
      </c>
      <c r="K393" s="604">
        <f>IF(ISBLANK('ENGAGEMENTS 2026'!W393),"",'ENGAGEMENTS 2026'!W393)</f>
        <v/>
      </c>
      <c r="L393" s="276">
        <f>IF($K393="","",TODAY()-$K393)</f>
        <v/>
      </c>
      <c r="M393">
        <f>IF($A393="","",IF($H393="ENGAGE","Engagé",IF(AND($H393="NON ENGAGE",OR($I393="INFRUCTUEUX",$I393="ANNULE")),"Clôturé sans suite","En cours")))</f>
        <v/>
      </c>
      <c r="N393">
        <f>IF(ISBLANK('ENGAGEMENTS 2026'!C393),"",'ENGAGEMENTS 2026'!L393)</f>
        <v/>
      </c>
      <c r="O393">
        <f>IF(ISBLANK('ENGAGEMENTS 2026'!C393),"",'ENGAGEMENTS 2026'!M393)</f>
        <v/>
      </c>
      <c r="P393">
        <f>IF(ISBLANK('ENGAGEMENTS 2026'!C393),"",'ENGAGEMENTS 2026'!K393)</f>
        <v/>
      </c>
      <c r="Q393">
        <f>IF($A393="","",IF(OR($E393="INFRUCTUEUX",$E393="ANNULE"),$A393&amp;"|"&amp;(COUNTIFS($A$2:$A393,$A393,$E$2:$E393,"INFRUCTUEUX")+COUNTIFS($A$2:$A393,$A393,$E$2:$E393,"ANNULE")),""))</f>
        <v/>
      </c>
    </row>
    <row r="394">
      <c r="A394">
        <f>IF(ISBLANK('ENGAGEMENTS 2026'!C394),"",IF('ENGAGEMENTS 2026'!C394="DTSI","DCT",'ENGAGEMENTS 2026'!C394))</f>
        <v/>
      </c>
      <c r="B394">
        <f>IF(ISBLANK('ENGAGEMENTS 2026'!C394),"",'ENGAGEMENTS 2026'!D394)</f>
        <v/>
      </c>
      <c r="C394">
        <f>IF(ISBLANK('ENGAGEMENTS 2026'!C394),"",'ENGAGEMENTS 2026'!E394)</f>
        <v/>
      </c>
      <c r="D394">
        <f>IF(ISBLANK('ENGAGEMENTS 2026'!C394),"",'ENGAGEMENTS 2026'!G394)</f>
        <v/>
      </c>
      <c r="E394">
        <f>IF(ISBLANK('ENGAGEMENTS 2026'!C394),"",'ENGAGEMENTS 2026'!I394)</f>
        <v/>
      </c>
      <c r="F394">
        <f>IF(ISBLANK('ENGAGEMENTS 2026'!C394),"",'ENGAGEMENTS 2026'!J394)</f>
        <v/>
      </c>
      <c r="G394">
        <f>IF(ISBLANK('ENGAGEMENTS 2026'!C394),"",'ENGAGEMENTS 2026'!M394)</f>
        <v/>
      </c>
      <c r="H394">
        <f>IF(ISBLANK('ENGAGEMENTS 2026'!C394),"",'ENGAGEMENTS 2026'!AF394)</f>
        <v/>
      </c>
      <c r="I394">
        <f>IF(ISBLANK('ENGAGEMENTS 2026'!C394),"",'ENGAGEMENTS 2026'!H394)</f>
        <v/>
      </c>
      <c r="J394" s="275">
        <f>IF(ISBLANK('ENGAGEMENTS 2026'!C394),"",IF(AND(OR($E394="INFRUCTUEUX",$E394="ANNULE"),$C394="AOO-M"),'ENGAGEMENTS 2026'!P394,IF($H394="EN COURS DE PREENGAGEMENT",'ENGAGEMENTS 2026'!O394,IF($H394="PREENGAGE",IF($E394="ATTRIBUE",'ENGAGEMENTS 2026'!AE394,'ENGAGEMENTS 2026'!O394),'ENGAGEMENTS 2026'!AE394))))</f>
        <v/>
      </c>
      <c r="K394" s="604">
        <f>IF(ISBLANK('ENGAGEMENTS 2026'!W394),"",'ENGAGEMENTS 2026'!W394)</f>
        <v/>
      </c>
      <c r="L394" s="276">
        <f>IF($K394="","",TODAY()-$K394)</f>
        <v/>
      </c>
      <c r="M394">
        <f>IF($A394="","",IF($H394="ENGAGE","Engagé",IF(AND($H394="NON ENGAGE",OR($I394="INFRUCTUEUX",$I394="ANNULE")),"Clôturé sans suite","En cours")))</f>
        <v/>
      </c>
      <c r="N394">
        <f>IF(ISBLANK('ENGAGEMENTS 2026'!C394),"",'ENGAGEMENTS 2026'!L394)</f>
        <v/>
      </c>
      <c r="O394">
        <f>IF(ISBLANK('ENGAGEMENTS 2026'!C394),"",'ENGAGEMENTS 2026'!M394)</f>
        <v/>
      </c>
      <c r="P394">
        <f>IF(ISBLANK('ENGAGEMENTS 2026'!C394),"",'ENGAGEMENTS 2026'!K394)</f>
        <v/>
      </c>
      <c r="Q394">
        <f>IF($A394="","",IF(OR($E394="INFRUCTUEUX",$E394="ANNULE"),$A394&amp;"|"&amp;(COUNTIFS($A$2:$A394,$A394,$E$2:$E394,"INFRUCTUEUX")+COUNTIFS($A$2:$A394,$A394,$E$2:$E394,"ANNULE")),""))</f>
        <v/>
      </c>
    </row>
    <row r="395">
      <c r="A395">
        <f>IF(ISBLANK('ENGAGEMENTS 2026'!C395),"",IF('ENGAGEMENTS 2026'!C395="DTSI","DCT",'ENGAGEMENTS 2026'!C395))</f>
        <v/>
      </c>
      <c r="B395">
        <f>IF(ISBLANK('ENGAGEMENTS 2026'!C395),"",'ENGAGEMENTS 2026'!D395)</f>
        <v/>
      </c>
      <c r="C395">
        <f>IF(ISBLANK('ENGAGEMENTS 2026'!C395),"",'ENGAGEMENTS 2026'!E395)</f>
        <v/>
      </c>
      <c r="D395">
        <f>IF(ISBLANK('ENGAGEMENTS 2026'!C395),"",'ENGAGEMENTS 2026'!G395)</f>
        <v/>
      </c>
      <c r="E395">
        <f>IF(ISBLANK('ENGAGEMENTS 2026'!C395),"",'ENGAGEMENTS 2026'!I395)</f>
        <v/>
      </c>
      <c r="F395">
        <f>IF(ISBLANK('ENGAGEMENTS 2026'!C395),"",'ENGAGEMENTS 2026'!J395)</f>
        <v/>
      </c>
      <c r="G395">
        <f>IF(ISBLANK('ENGAGEMENTS 2026'!C395),"",'ENGAGEMENTS 2026'!M395)</f>
        <v/>
      </c>
      <c r="H395">
        <f>IF(ISBLANK('ENGAGEMENTS 2026'!C395),"",'ENGAGEMENTS 2026'!AF395)</f>
        <v/>
      </c>
      <c r="I395">
        <f>IF(ISBLANK('ENGAGEMENTS 2026'!C395),"",'ENGAGEMENTS 2026'!H395)</f>
        <v/>
      </c>
      <c r="J395" s="275">
        <f>IF(ISBLANK('ENGAGEMENTS 2026'!C395),"",IF(AND(OR($E395="INFRUCTUEUX",$E395="ANNULE"),$C395="AOO-M"),'ENGAGEMENTS 2026'!P395,IF($H395="EN COURS DE PREENGAGEMENT",'ENGAGEMENTS 2026'!O395,IF($H395="PREENGAGE",IF($E395="ATTRIBUE",'ENGAGEMENTS 2026'!AE395,'ENGAGEMENTS 2026'!O395),'ENGAGEMENTS 2026'!AE395))))</f>
        <v/>
      </c>
      <c r="K395" s="604">
        <f>IF(ISBLANK('ENGAGEMENTS 2026'!W395),"",'ENGAGEMENTS 2026'!W395)</f>
        <v/>
      </c>
      <c r="L395" s="276">
        <f>IF($K395="","",TODAY()-$K395)</f>
        <v/>
      </c>
      <c r="M395">
        <f>IF($A395="","",IF($H395="ENGAGE","Engagé",IF(AND($H395="NON ENGAGE",OR($I395="INFRUCTUEUX",$I395="ANNULE")),"Clôturé sans suite","En cours")))</f>
        <v/>
      </c>
      <c r="N395">
        <f>IF(ISBLANK('ENGAGEMENTS 2026'!C395),"",'ENGAGEMENTS 2026'!L395)</f>
        <v/>
      </c>
      <c r="O395">
        <f>IF(ISBLANK('ENGAGEMENTS 2026'!C395),"",'ENGAGEMENTS 2026'!M395)</f>
        <v/>
      </c>
      <c r="P395">
        <f>IF(ISBLANK('ENGAGEMENTS 2026'!C395),"",'ENGAGEMENTS 2026'!K395)</f>
        <v/>
      </c>
      <c r="Q395">
        <f>IF($A395="","",IF(OR($E395="INFRUCTUEUX",$E395="ANNULE"),$A395&amp;"|"&amp;(COUNTIFS($A$2:$A395,$A395,$E$2:$E395,"INFRUCTUEUX")+COUNTIFS($A$2:$A395,$A395,$E$2:$E395,"ANNULE")),""))</f>
        <v/>
      </c>
    </row>
    <row r="396">
      <c r="A396">
        <f>IF(ISBLANK('ENGAGEMENTS 2026'!C396),"",IF('ENGAGEMENTS 2026'!C396="DTSI","DCT",'ENGAGEMENTS 2026'!C396))</f>
        <v/>
      </c>
      <c r="B396">
        <f>IF(ISBLANK('ENGAGEMENTS 2026'!C396),"",'ENGAGEMENTS 2026'!D396)</f>
        <v/>
      </c>
      <c r="C396">
        <f>IF(ISBLANK('ENGAGEMENTS 2026'!C396),"",'ENGAGEMENTS 2026'!E396)</f>
        <v/>
      </c>
      <c r="D396">
        <f>IF(ISBLANK('ENGAGEMENTS 2026'!C396),"",'ENGAGEMENTS 2026'!G396)</f>
        <v/>
      </c>
      <c r="E396">
        <f>IF(ISBLANK('ENGAGEMENTS 2026'!C396),"",'ENGAGEMENTS 2026'!I396)</f>
        <v/>
      </c>
      <c r="F396">
        <f>IF(ISBLANK('ENGAGEMENTS 2026'!C396),"",'ENGAGEMENTS 2026'!J396)</f>
        <v/>
      </c>
      <c r="G396">
        <f>IF(ISBLANK('ENGAGEMENTS 2026'!C396),"",'ENGAGEMENTS 2026'!M396)</f>
        <v/>
      </c>
      <c r="H396">
        <f>IF(ISBLANK('ENGAGEMENTS 2026'!C396),"",'ENGAGEMENTS 2026'!AF396)</f>
        <v/>
      </c>
      <c r="I396">
        <f>IF(ISBLANK('ENGAGEMENTS 2026'!C396),"",'ENGAGEMENTS 2026'!H396)</f>
        <v/>
      </c>
      <c r="J396" s="275">
        <f>IF(ISBLANK('ENGAGEMENTS 2026'!C396),"",IF(AND(OR($E396="INFRUCTUEUX",$E396="ANNULE"),$C396="AOO-M"),'ENGAGEMENTS 2026'!P396,IF($H396="EN COURS DE PREENGAGEMENT",'ENGAGEMENTS 2026'!O396,IF($H396="PREENGAGE",IF($E396="ATTRIBUE",'ENGAGEMENTS 2026'!AE396,'ENGAGEMENTS 2026'!O396),'ENGAGEMENTS 2026'!AE396))))</f>
        <v/>
      </c>
      <c r="K396" s="604">
        <f>IF(ISBLANK('ENGAGEMENTS 2026'!W396),"",'ENGAGEMENTS 2026'!W396)</f>
        <v/>
      </c>
      <c r="L396" s="276">
        <f>IF($K396="","",TODAY()-$K396)</f>
        <v/>
      </c>
      <c r="M396">
        <f>IF($A396="","",IF($H396="ENGAGE","Engagé",IF(AND($H396="NON ENGAGE",OR($I396="INFRUCTUEUX",$I396="ANNULE")),"Clôturé sans suite","En cours")))</f>
        <v/>
      </c>
      <c r="N396">
        <f>IF(ISBLANK('ENGAGEMENTS 2026'!C396),"",'ENGAGEMENTS 2026'!L396)</f>
        <v/>
      </c>
      <c r="O396">
        <f>IF(ISBLANK('ENGAGEMENTS 2026'!C396),"",'ENGAGEMENTS 2026'!M396)</f>
        <v/>
      </c>
      <c r="P396">
        <f>IF(ISBLANK('ENGAGEMENTS 2026'!C396),"",'ENGAGEMENTS 2026'!K396)</f>
        <v/>
      </c>
      <c r="Q396">
        <f>IF($A396="","",IF(OR($E396="INFRUCTUEUX",$E396="ANNULE"),$A396&amp;"|"&amp;(COUNTIFS($A$2:$A396,$A396,$E$2:$E396,"INFRUCTUEUX")+COUNTIFS($A$2:$A396,$A396,$E$2:$E396,"ANNULE")),""))</f>
        <v/>
      </c>
    </row>
    <row r="397">
      <c r="A397">
        <f>IF(ISBLANK('ENGAGEMENTS 2026'!C397),"",IF('ENGAGEMENTS 2026'!C397="DTSI","DCT",'ENGAGEMENTS 2026'!C397))</f>
        <v/>
      </c>
      <c r="B397">
        <f>IF(ISBLANK('ENGAGEMENTS 2026'!C397),"",'ENGAGEMENTS 2026'!D397)</f>
        <v/>
      </c>
      <c r="C397">
        <f>IF(ISBLANK('ENGAGEMENTS 2026'!C397),"",'ENGAGEMENTS 2026'!E397)</f>
        <v/>
      </c>
      <c r="D397">
        <f>IF(ISBLANK('ENGAGEMENTS 2026'!C397),"",'ENGAGEMENTS 2026'!G397)</f>
        <v/>
      </c>
      <c r="E397">
        <f>IF(ISBLANK('ENGAGEMENTS 2026'!C397),"",'ENGAGEMENTS 2026'!I397)</f>
        <v/>
      </c>
      <c r="F397">
        <f>IF(ISBLANK('ENGAGEMENTS 2026'!C397),"",'ENGAGEMENTS 2026'!J397)</f>
        <v/>
      </c>
      <c r="G397">
        <f>IF(ISBLANK('ENGAGEMENTS 2026'!C397),"",'ENGAGEMENTS 2026'!M397)</f>
        <v/>
      </c>
      <c r="H397">
        <f>IF(ISBLANK('ENGAGEMENTS 2026'!C397),"",'ENGAGEMENTS 2026'!AF397)</f>
        <v/>
      </c>
      <c r="I397">
        <f>IF(ISBLANK('ENGAGEMENTS 2026'!C397),"",'ENGAGEMENTS 2026'!H397)</f>
        <v/>
      </c>
      <c r="J397" s="275">
        <f>IF(ISBLANK('ENGAGEMENTS 2026'!C397),"",IF(AND(OR($E397="INFRUCTUEUX",$E397="ANNULE"),$C397="AOO-M"),'ENGAGEMENTS 2026'!P397,IF($H397="EN COURS DE PREENGAGEMENT",'ENGAGEMENTS 2026'!O397,IF($H397="PREENGAGE",IF($E397="ATTRIBUE",'ENGAGEMENTS 2026'!AE397,'ENGAGEMENTS 2026'!O397),'ENGAGEMENTS 2026'!AE397))))</f>
        <v/>
      </c>
      <c r="K397" s="604">
        <f>IF(ISBLANK('ENGAGEMENTS 2026'!W397),"",'ENGAGEMENTS 2026'!W397)</f>
        <v/>
      </c>
      <c r="L397" s="276">
        <f>IF($K397="","",TODAY()-$K397)</f>
        <v/>
      </c>
      <c r="M397">
        <f>IF($A397="","",IF($H397="ENGAGE","Engagé",IF(AND($H397="NON ENGAGE",OR($I397="INFRUCTUEUX",$I397="ANNULE")),"Clôturé sans suite","En cours")))</f>
        <v/>
      </c>
      <c r="N397">
        <f>IF(ISBLANK('ENGAGEMENTS 2026'!C397),"",'ENGAGEMENTS 2026'!L397)</f>
        <v/>
      </c>
      <c r="O397">
        <f>IF(ISBLANK('ENGAGEMENTS 2026'!C397),"",'ENGAGEMENTS 2026'!M397)</f>
        <v/>
      </c>
      <c r="P397">
        <f>IF(ISBLANK('ENGAGEMENTS 2026'!C397),"",'ENGAGEMENTS 2026'!K397)</f>
        <v/>
      </c>
      <c r="Q397">
        <f>IF($A397="","",IF(OR($E397="INFRUCTUEUX",$E397="ANNULE"),$A397&amp;"|"&amp;(COUNTIFS($A$2:$A397,$A397,$E$2:$E397,"INFRUCTUEUX")+COUNTIFS($A$2:$A397,$A397,$E$2:$E397,"ANNULE")),""))</f>
        <v/>
      </c>
    </row>
    <row r="398">
      <c r="A398">
        <f>IF(ISBLANK('ENGAGEMENTS 2026'!C398),"",IF('ENGAGEMENTS 2026'!C398="DTSI","DCT",'ENGAGEMENTS 2026'!C398))</f>
        <v/>
      </c>
      <c r="B398">
        <f>IF(ISBLANK('ENGAGEMENTS 2026'!C398),"",'ENGAGEMENTS 2026'!D398)</f>
        <v/>
      </c>
      <c r="C398">
        <f>IF(ISBLANK('ENGAGEMENTS 2026'!C398),"",'ENGAGEMENTS 2026'!E398)</f>
        <v/>
      </c>
      <c r="D398">
        <f>IF(ISBLANK('ENGAGEMENTS 2026'!C398),"",'ENGAGEMENTS 2026'!G398)</f>
        <v/>
      </c>
      <c r="E398">
        <f>IF(ISBLANK('ENGAGEMENTS 2026'!C398),"",'ENGAGEMENTS 2026'!I398)</f>
        <v/>
      </c>
      <c r="F398">
        <f>IF(ISBLANK('ENGAGEMENTS 2026'!C398),"",'ENGAGEMENTS 2026'!J398)</f>
        <v/>
      </c>
      <c r="G398">
        <f>IF(ISBLANK('ENGAGEMENTS 2026'!C398),"",'ENGAGEMENTS 2026'!M398)</f>
        <v/>
      </c>
      <c r="H398">
        <f>IF(ISBLANK('ENGAGEMENTS 2026'!C398),"",'ENGAGEMENTS 2026'!AF398)</f>
        <v/>
      </c>
      <c r="I398">
        <f>IF(ISBLANK('ENGAGEMENTS 2026'!C398),"",'ENGAGEMENTS 2026'!H398)</f>
        <v/>
      </c>
      <c r="J398" s="275">
        <f>IF(ISBLANK('ENGAGEMENTS 2026'!C398),"",IF(AND(OR($E398="INFRUCTUEUX",$E398="ANNULE"),$C398="AOO-M"),'ENGAGEMENTS 2026'!P398,IF($H398="EN COURS DE PREENGAGEMENT",'ENGAGEMENTS 2026'!O398,IF($H398="PREENGAGE",IF($E398="ATTRIBUE",'ENGAGEMENTS 2026'!AE398,'ENGAGEMENTS 2026'!O398),'ENGAGEMENTS 2026'!AE398))))</f>
        <v/>
      </c>
      <c r="K398" s="604">
        <f>IF(ISBLANK('ENGAGEMENTS 2026'!W398),"",'ENGAGEMENTS 2026'!W398)</f>
        <v/>
      </c>
      <c r="L398" s="276">
        <f>IF($K398="","",TODAY()-$K398)</f>
        <v/>
      </c>
      <c r="M398">
        <f>IF($A398="","",IF($H398="ENGAGE","Engagé",IF(AND($H398="NON ENGAGE",OR($I398="INFRUCTUEUX",$I398="ANNULE")),"Clôturé sans suite","En cours")))</f>
        <v/>
      </c>
      <c r="N398">
        <f>IF(ISBLANK('ENGAGEMENTS 2026'!C398),"",'ENGAGEMENTS 2026'!L398)</f>
        <v/>
      </c>
      <c r="O398">
        <f>IF(ISBLANK('ENGAGEMENTS 2026'!C398),"",'ENGAGEMENTS 2026'!M398)</f>
        <v/>
      </c>
      <c r="P398">
        <f>IF(ISBLANK('ENGAGEMENTS 2026'!C398),"",'ENGAGEMENTS 2026'!K398)</f>
        <v/>
      </c>
      <c r="Q398">
        <f>IF($A398="","",IF(OR($E398="INFRUCTUEUX",$E398="ANNULE"),$A398&amp;"|"&amp;(COUNTIFS($A$2:$A398,$A398,$E$2:$E398,"INFRUCTUEUX")+COUNTIFS($A$2:$A398,$A398,$E$2:$E398,"ANNULE")),""))</f>
        <v/>
      </c>
    </row>
    <row r="399">
      <c r="A399">
        <f>IF(ISBLANK('ENGAGEMENTS 2026'!C399),"",IF('ENGAGEMENTS 2026'!C399="DTSI","DCT",'ENGAGEMENTS 2026'!C399))</f>
        <v/>
      </c>
      <c r="B399">
        <f>IF(ISBLANK('ENGAGEMENTS 2026'!C399),"",'ENGAGEMENTS 2026'!D399)</f>
        <v/>
      </c>
      <c r="C399">
        <f>IF(ISBLANK('ENGAGEMENTS 2026'!C399),"",'ENGAGEMENTS 2026'!E399)</f>
        <v/>
      </c>
      <c r="D399">
        <f>IF(ISBLANK('ENGAGEMENTS 2026'!C399),"",'ENGAGEMENTS 2026'!G399)</f>
        <v/>
      </c>
      <c r="E399">
        <f>IF(ISBLANK('ENGAGEMENTS 2026'!C399),"",'ENGAGEMENTS 2026'!I399)</f>
        <v/>
      </c>
      <c r="F399">
        <f>IF(ISBLANK('ENGAGEMENTS 2026'!C399),"",'ENGAGEMENTS 2026'!J399)</f>
        <v/>
      </c>
      <c r="G399">
        <f>IF(ISBLANK('ENGAGEMENTS 2026'!C399),"",'ENGAGEMENTS 2026'!M399)</f>
        <v/>
      </c>
      <c r="H399">
        <f>IF(ISBLANK('ENGAGEMENTS 2026'!C399),"",'ENGAGEMENTS 2026'!AF399)</f>
        <v/>
      </c>
      <c r="I399">
        <f>IF(ISBLANK('ENGAGEMENTS 2026'!C399),"",'ENGAGEMENTS 2026'!H399)</f>
        <v/>
      </c>
      <c r="J399" s="275">
        <f>IF(ISBLANK('ENGAGEMENTS 2026'!C399),"",IF(AND(OR($E399="INFRUCTUEUX",$E399="ANNULE"),$C399="AOO-M"),'ENGAGEMENTS 2026'!P399,IF($H399="EN COURS DE PREENGAGEMENT",'ENGAGEMENTS 2026'!O399,IF($H399="PREENGAGE",IF($E399="ATTRIBUE",'ENGAGEMENTS 2026'!AE399,'ENGAGEMENTS 2026'!O399),'ENGAGEMENTS 2026'!AE399))))</f>
        <v/>
      </c>
      <c r="K399" s="604">
        <f>IF(ISBLANK('ENGAGEMENTS 2026'!W399),"",'ENGAGEMENTS 2026'!W399)</f>
        <v/>
      </c>
      <c r="L399" s="276">
        <f>IF($K399="","",TODAY()-$K399)</f>
        <v/>
      </c>
      <c r="M399">
        <f>IF($A399="","",IF($H399="ENGAGE","Engagé",IF(AND($H399="NON ENGAGE",OR($I399="INFRUCTUEUX",$I399="ANNULE")),"Clôturé sans suite","En cours")))</f>
        <v/>
      </c>
      <c r="N399">
        <f>IF(ISBLANK('ENGAGEMENTS 2026'!C399),"",'ENGAGEMENTS 2026'!L399)</f>
        <v/>
      </c>
      <c r="O399">
        <f>IF(ISBLANK('ENGAGEMENTS 2026'!C399),"",'ENGAGEMENTS 2026'!M399)</f>
        <v/>
      </c>
      <c r="P399">
        <f>IF(ISBLANK('ENGAGEMENTS 2026'!C399),"",'ENGAGEMENTS 2026'!K399)</f>
        <v/>
      </c>
      <c r="Q399">
        <f>IF($A399="","",IF(OR($E399="INFRUCTUEUX",$E399="ANNULE"),$A399&amp;"|"&amp;(COUNTIFS($A$2:$A399,$A399,$E$2:$E399,"INFRUCTUEUX")+COUNTIFS($A$2:$A399,$A399,$E$2:$E399,"ANNULE")),""))</f>
        <v/>
      </c>
    </row>
    <row r="400">
      <c r="A400">
        <f>IF(ISBLANK('ENGAGEMENTS 2026'!C400),"",IF('ENGAGEMENTS 2026'!C400="DTSI","DCT",'ENGAGEMENTS 2026'!C400))</f>
        <v/>
      </c>
      <c r="B400">
        <f>IF(ISBLANK('ENGAGEMENTS 2026'!C400),"",'ENGAGEMENTS 2026'!D400)</f>
        <v/>
      </c>
      <c r="C400">
        <f>IF(ISBLANK('ENGAGEMENTS 2026'!C400),"",'ENGAGEMENTS 2026'!E400)</f>
        <v/>
      </c>
      <c r="D400">
        <f>IF(ISBLANK('ENGAGEMENTS 2026'!C400),"",'ENGAGEMENTS 2026'!G400)</f>
        <v/>
      </c>
      <c r="E400">
        <f>IF(ISBLANK('ENGAGEMENTS 2026'!C400),"",'ENGAGEMENTS 2026'!I400)</f>
        <v/>
      </c>
      <c r="F400">
        <f>IF(ISBLANK('ENGAGEMENTS 2026'!C400),"",'ENGAGEMENTS 2026'!J400)</f>
        <v/>
      </c>
      <c r="G400">
        <f>IF(ISBLANK('ENGAGEMENTS 2026'!C400),"",'ENGAGEMENTS 2026'!M400)</f>
        <v/>
      </c>
      <c r="H400">
        <f>IF(ISBLANK('ENGAGEMENTS 2026'!C400),"",'ENGAGEMENTS 2026'!AF400)</f>
        <v/>
      </c>
      <c r="I400">
        <f>IF(ISBLANK('ENGAGEMENTS 2026'!C400),"",'ENGAGEMENTS 2026'!H400)</f>
        <v/>
      </c>
      <c r="J400" s="275">
        <f>IF(ISBLANK('ENGAGEMENTS 2026'!C400),"",IF(AND(OR($E400="INFRUCTUEUX",$E400="ANNULE"),$C400="AOO-M"),'ENGAGEMENTS 2026'!P400,IF($H400="EN COURS DE PREENGAGEMENT",'ENGAGEMENTS 2026'!O400,IF($H400="PREENGAGE",IF($E400="ATTRIBUE",'ENGAGEMENTS 2026'!AE400,'ENGAGEMENTS 2026'!O400),'ENGAGEMENTS 2026'!AE400))))</f>
        <v/>
      </c>
      <c r="K400" s="604">
        <f>IF(ISBLANK('ENGAGEMENTS 2026'!W400),"",'ENGAGEMENTS 2026'!W400)</f>
        <v/>
      </c>
      <c r="L400" s="276">
        <f>IF($K400="","",TODAY()-$K400)</f>
        <v/>
      </c>
      <c r="M400">
        <f>IF($A400="","",IF($H400="ENGAGE","Engagé",IF(AND($H400="NON ENGAGE",OR($I400="INFRUCTUEUX",$I400="ANNULE")),"Clôturé sans suite","En cours")))</f>
        <v/>
      </c>
      <c r="N400">
        <f>IF(ISBLANK('ENGAGEMENTS 2026'!C400),"",'ENGAGEMENTS 2026'!L400)</f>
        <v/>
      </c>
      <c r="O400">
        <f>IF(ISBLANK('ENGAGEMENTS 2026'!C400),"",'ENGAGEMENTS 2026'!M400)</f>
        <v/>
      </c>
      <c r="P400">
        <f>IF(ISBLANK('ENGAGEMENTS 2026'!C400),"",'ENGAGEMENTS 2026'!K400)</f>
        <v/>
      </c>
      <c r="Q400">
        <f>IF($A400="","",IF(OR($E400="INFRUCTUEUX",$E400="ANNULE"),$A400&amp;"|"&amp;(COUNTIFS($A$2:$A400,$A400,$E$2:$E400,"INFRUCTUEUX")+COUNTIFS($A$2:$A400,$A400,$E$2:$E400,"ANNULE")),""))</f>
        <v/>
      </c>
    </row>
    <row r="401">
      <c r="A401">
        <f>IF(ISBLANK('ENGAGEMENTS 2026'!C401),"",IF('ENGAGEMENTS 2026'!C401="DTSI","DCT",'ENGAGEMENTS 2026'!C401))</f>
        <v/>
      </c>
      <c r="B401">
        <f>IF(ISBLANK('ENGAGEMENTS 2026'!C401),"",'ENGAGEMENTS 2026'!D401)</f>
        <v/>
      </c>
      <c r="C401">
        <f>IF(ISBLANK('ENGAGEMENTS 2026'!C401),"",'ENGAGEMENTS 2026'!E401)</f>
        <v/>
      </c>
      <c r="D401">
        <f>IF(ISBLANK('ENGAGEMENTS 2026'!C401),"",'ENGAGEMENTS 2026'!G401)</f>
        <v/>
      </c>
      <c r="E401">
        <f>IF(ISBLANK('ENGAGEMENTS 2026'!C401),"",'ENGAGEMENTS 2026'!I401)</f>
        <v/>
      </c>
      <c r="F401">
        <f>IF(ISBLANK('ENGAGEMENTS 2026'!C401),"",'ENGAGEMENTS 2026'!J401)</f>
        <v/>
      </c>
      <c r="G401">
        <f>IF(ISBLANK('ENGAGEMENTS 2026'!C401),"",'ENGAGEMENTS 2026'!M401)</f>
        <v/>
      </c>
      <c r="H401">
        <f>IF(ISBLANK('ENGAGEMENTS 2026'!C401),"",'ENGAGEMENTS 2026'!AF401)</f>
        <v/>
      </c>
      <c r="I401">
        <f>IF(ISBLANK('ENGAGEMENTS 2026'!C401),"",'ENGAGEMENTS 2026'!H401)</f>
        <v/>
      </c>
      <c r="J401" s="275">
        <f>IF(ISBLANK('ENGAGEMENTS 2026'!C401),"",IF(AND(OR($E401="INFRUCTUEUX",$E401="ANNULE"),$C401="AOO-M"),'ENGAGEMENTS 2026'!P401,IF($H401="EN COURS DE PREENGAGEMENT",'ENGAGEMENTS 2026'!O401,IF($H401="PREENGAGE",IF($E401="ATTRIBUE",'ENGAGEMENTS 2026'!AE401,'ENGAGEMENTS 2026'!O401),'ENGAGEMENTS 2026'!AE401))))</f>
        <v/>
      </c>
      <c r="K401" s="604">
        <f>IF(ISBLANK('ENGAGEMENTS 2026'!W401),"",'ENGAGEMENTS 2026'!W401)</f>
        <v/>
      </c>
      <c r="L401" s="276">
        <f>IF($K401="","",TODAY()-$K401)</f>
        <v/>
      </c>
      <c r="M401">
        <f>IF($A401="","",IF($H401="ENGAGE","Engagé",IF(AND($H401="NON ENGAGE",OR($I401="INFRUCTUEUX",$I401="ANNULE")),"Clôturé sans suite","En cours")))</f>
        <v/>
      </c>
      <c r="N401">
        <f>IF(ISBLANK('ENGAGEMENTS 2026'!C401),"",'ENGAGEMENTS 2026'!L401)</f>
        <v/>
      </c>
      <c r="O401">
        <f>IF(ISBLANK('ENGAGEMENTS 2026'!C401),"",'ENGAGEMENTS 2026'!M401)</f>
        <v/>
      </c>
      <c r="P401">
        <f>IF(ISBLANK('ENGAGEMENTS 2026'!C401),"",'ENGAGEMENTS 2026'!K401)</f>
        <v/>
      </c>
      <c r="Q401">
        <f>IF($A401="","",IF(OR($E401="INFRUCTUEUX",$E401="ANNULE"),$A401&amp;"|"&amp;(COUNTIFS($A$2:$A401,$A401,$E$2:$E401,"INFRUCTUEUX")+COUNTIFS($A$2:$A401,$A401,$E$2:$E401,"ANNULE")),""))</f>
        <v/>
      </c>
    </row>
    <row r="402">
      <c r="A402">
        <f>IF(ISBLANK('ENGAGEMENTS 2026'!C402),"",IF('ENGAGEMENTS 2026'!C402="DTSI","DCT",'ENGAGEMENTS 2026'!C402))</f>
        <v/>
      </c>
      <c r="B402">
        <f>IF(ISBLANK('ENGAGEMENTS 2026'!C402),"",'ENGAGEMENTS 2026'!D402)</f>
        <v/>
      </c>
      <c r="C402">
        <f>IF(ISBLANK('ENGAGEMENTS 2026'!C402),"",'ENGAGEMENTS 2026'!E402)</f>
        <v/>
      </c>
      <c r="D402">
        <f>IF(ISBLANK('ENGAGEMENTS 2026'!C402),"",'ENGAGEMENTS 2026'!G402)</f>
        <v/>
      </c>
      <c r="E402">
        <f>IF(ISBLANK('ENGAGEMENTS 2026'!C402),"",'ENGAGEMENTS 2026'!I402)</f>
        <v/>
      </c>
      <c r="F402">
        <f>IF(ISBLANK('ENGAGEMENTS 2026'!C402),"",'ENGAGEMENTS 2026'!J402)</f>
        <v/>
      </c>
      <c r="G402">
        <f>IF(ISBLANK('ENGAGEMENTS 2026'!C402),"",'ENGAGEMENTS 2026'!M402)</f>
        <v/>
      </c>
      <c r="H402">
        <f>IF(ISBLANK('ENGAGEMENTS 2026'!C402),"",'ENGAGEMENTS 2026'!AF402)</f>
        <v/>
      </c>
      <c r="I402">
        <f>IF(ISBLANK('ENGAGEMENTS 2026'!C402),"",'ENGAGEMENTS 2026'!H402)</f>
        <v/>
      </c>
      <c r="J402" s="275">
        <f>IF(ISBLANK('ENGAGEMENTS 2026'!C402),"",IF(AND(OR($E402="INFRUCTUEUX",$E402="ANNULE"),$C402="AOO-M"),'ENGAGEMENTS 2026'!P402,IF($H402="EN COURS DE PREENGAGEMENT",'ENGAGEMENTS 2026'!O402,IF($H402="PREENGAGE",IF($E402="ATTRIBUE",'ENGAGEMENTS 2026'!AE402,'ENGAGEMENTS 2026'!O402),'ENGAGEMENTS 2026'!AE402))))</f>
        <v/>
      </c>
      <c r="K402" s="604">
        <f>IF(ISBLANK('ENGAGEMENTS 2026'!W402),"",'ENGAGEMENTS 2026'!W402)</f>
        <v/>
      </c>
      <c r="L402" s="276">
        <f>IF($K402="","",TODAY()-$K402)</f>
        <v/>
      </c>
      <c r="M402">
        <f>IF($A402="","",IF($H402="ENGAGE","Engagé",IF(AND($H402="NON ENGAGE",OR($I402="INFRUCTUEUX",$I402="ANNULE")),"Clôturé sans suite","En cours")))</f>
        <v/>
      </c>
      <c r="N402">
        <f>IF(ISBLANK('ENGAGEMENTS 2026'!C402),"",'ENGAGEMENTS 2026'!L402)</f>
        <v/>
      </c>
      <c r="O402">
        <f>IF(ISBLANK('ENGAGEMENTS 2026'!C402),"",'ENGAGEMENTS 2026'!M402)</f>
        <v/>
      </c>
      <c r="P402">
        <f>IF(ISBLANK('ENGAGEMENTS 2026'!C402),"",'ENGAGEMENTS 2026'!K402)</f>
        <v/>
      </c>
      <c r="Q402">
        <f>IF($A402="","",IF(OR($E402="INFRUCTUEUX",$E402="ANNULE"),$A402&amp;"|"&amp;(COUNTIFS($A$2:$A402,$A402,$E$2:$E402,"INFRUCTUEUX")+COUNTIFS($A$2:$A402,$A402,$E$2:$E402,"ANNULE")),""))</f>
        <v/>
      </c>
    </row>
    <row r="403">
      <c r="A403">
        <f>IF(ISBLANK('ENGAGEMENTS 2026'!C403),"",IF('ENGAGEMENTS 2026'!C403="DTSI","DCT",'ENGAGEMENTS 2026'!C403))</f>
        <v/>
      </c>
      <c r="B403">
        <f>IF(ISBLANK('ENGAGEMENTS 2026'!C403),"",'ENGAGEMENTS 2026'!D403)</f>
        <v/>
      </c>
      <c r="C403">
        <f>IF(ISBLANK('ENGAGEMENTS 2026'!C403),"",'ENGAGEMENTS 2026'!E403)</f>
        <v/>
      </c>
      <c r="D403">
        <f>IF(ISBLANK('ENGAGEMENTS 2026'!C403),"",'ENGAGEMENTS 2026'!G403)</f>
        <v/>
      </c>
      <c r="E403">
        <f>IF(ISBLANK('ENGAGEMENTS 2026'!C403),"",'ENGAGEMENTS 2026'!I403)</f>
        <v/>
      </c>
      <c r="F403">
        <f>IF(ISBLANK('ENGAGEMENTS 2026'!C403),"",'ENGAGEMENTS 2026'!J403)</f>
        <v/>
      </c>
      <c r="G403">
        <f>IF(ISBLANK('ENGAGEMENTS 2026'!C403),"",'ENGAGEMENTS 2026'!M403)</f>
        <v/>
      </c>
      <c r="H403">
        <f>IF(ISBLANK('ENGAGEMENTS 2026'!C403),"",'ENGAGEMENTS 2026'!AF403)</f>
        <v/>
      </c>
      <c r="I403">
        <f>IF(ISBLANK('ENGAGEMENTS 2026'!C403),"",'ENGAGEMENTS 2026'!H403)</f>
        <v/>
      </c>
      <c r="J403" s="275">
        <f>IF(ISBLANK('ENGAGEMENTS 2026'!C403),"",IF(AND(OR($E403="INFRUCTUEUX",$E403="ANNULE"),$C403="AOO-M"),'ENGAGEMENTS 2026'!P403,IF($H403="EN COURS DE PREENGAGEMENT",'ENGAGEMENTS 2026'!O403,IF($H403="PREENGAGE",IF($E403="ATTRIBUE",'ENGAGEMENTS 2026'!AE403,'ENGAGEMENTS 2026'!O403),'ENGAGEMENTS 2026'!AE403))))</f>
        <v/>
      </c>
      <c r="K403" s="604">
        <f>IF(ISBLANK('ENGAGEMENTS 2026'!W403),"",'ENGAGEMENTS 2026'!W403)</f>
        <v/>
      </c>
      <c r="L403" s="276">
        <f>IF($K403="","",TODAY()-$K403)</f>
        <v/>
      </c>
      <c r="M403">
        <f>IF($A403="","",IF($H403="ENGAGE","Engagé",IF(AND($H403="NON ENGAGE",OR($I403="INFRUCTUEUX",$I403="ANNULE")),"Clôturé sans suite","En cours")))</f>
        <v/>
      </c>
      <c r="N403">
        <f>IF(ISBLANK('ENGAGEMENTS 2026'!C403),"",'ENGAGEMENTS 2026'!L403)</f>
        <v/>
      </c>
      <c r="O403">
        <f>IF(ISBLANK('ENGAGEMENTS 2026'!C403),"",'ENGAGEMENTS 2026'!M403)</f>
        <v/>
      </c>
      <c r="P403">
        <f>IF(ISBLANK('ENGAGEMENTS 2026'!C403),"",'ENGAGEMENTS 2026'!K403)</f>
        <v/>
      </c>
      <c r="Q403">
        <f>IF($A403="","",IF(OR($E403="INFRUCTUEUX",$E403="ANNULE"),$A403&amp;"|"&amp;(COUNTIFS($A$2:$A403,$A403,$E$2:$E403,"INFRUCTUEUX")+COUNTIFS($A$2:$A403,$A403,$E$2:$E403,"ANNULE")),""))</f>
        <v/>
      </c>
    </row>
    <row r="404">
      <c r="A404">
        <f>IF(ISBLANK('ENGAGEMENTS 2026'!C404),"",IF('ENGAGEMENTS 2026'!C404="DTSI","DCT",'ENGAGEMENTS 2026'!C404))</f>
        <v/>
      </c>
      <c r="B404">
        <f>IF(ISBLANK('ENGAGEMENTS 2026'!C404),"",'ENGAGEMENTS 2026'!D404)</f>
        <v/>
      </c>
      <c r="C404">
        <f>IF(ISBLANK('ENGAGEMENTS 2026'!C404),"",'ENGAGEMENTS 2026'!E404)</f>
        <v/>
      </c>
      <c r="D404">
        <f>IF(ISBLANK('ENGAGEMENTS 2026'!C404),"",'ENGAGEMENTS 2026'!G404)</f>
        <v/>
      </c>
      <c r="E404">
        <f>IF(ISBLANK('ENGAGEMENTS 2026'!C404),"",'ENGAGEMENTS 2026'!I404)</f>
        <v/>
      </c>
      <c r="F404">
        <f>IF(ISBLANK('ENGAGEMENTS 2026'!C404),"",'ENGAGEMENTS 2026'!J404)</f>
        <v/>
      </c>
      <c r="G404">
        <f>IF(ISBLANK('ENGAGEMENTS 2026'!C404),"",'ENGAGEMENTS 2026'!M404)</f>
        <v/>
      </c>
      <c r="H404">
        <f>IF(ISBLANK('ENGAGEMENTS 2026'!C404),"",'ENGAGEMENTS 2026'!AF404)</f>
        <v/>
      </c>
      <c r="I404">
        <f>IF(ISBLANK('ENGAGEMENTS 2026'!C404),"",'ENGAGEMENTS 2026'!H404)</f>
        <v/>
      </c>
      <c r="J404" s="275">
        <f>IF(ISBLANK('ENGAGEMENTS 2026'!C404),"",IF(AND(OR($E404="INFRUCTUEUX",$E404="ANNULE"),$C404="AOO-M"),'ENGAGEMENTS 2026'!P404,IF($H404="EN COURS DE PREENGAGEMENT",'ENGAGEMENTS 2026'!O404,IF($H404="PREENGAGE",IF($E404="ATTRIBUE",'ENGAGEMENTS 2026'!AE404,'ENGAGEMENTS 2026'!O404),'ENGAGEMENTS 2026'!AE404))))</f>
        <v/>
      </c>
      <c r="K404" s="604">
        <f>IF(ISBLANK('ENGAGEMENTS 2026'!W404),"",'ENGAGEMENTS 2026'!W404)</f>
        <v/>
      </c>
      <c r="L404" s="276">
        <f>IF($K404="","",TODAY()-$K404)</f>
        <v/>
      </c>
      <c r="M404">
        <f>IF($A404="","",IF($H404="ENGAGE","Engagé",IF(AND($H404="NON ENGAGE",OR($I404="INFRUCTUEUX",$I404="ANNULE")),"Clôturé sans suite","En cours")))</f>
        <v/>
      </c>
      <c r="N404">
        <f>IF(ISBLANK('ENGAGEMENTS 2026'!C404),"",'ENGAGEMENTS 2026'!L404)</f>
        <v/>
      </c>
      <c r="O404">
        <f>IF(ISBLANK('ENGAGEMENTS 2026'!C404),"",'ENGAGEMENTS 2026'!M404)</f>
        <v/>
      </c>
      <c r="P404">
        <f>IF(ISBLANK('ENGAGEMENTS 2026'!C404),"",'ENGAGEMENTS 2026'!K404)</f>
        <v/>
      </c>
      <c r="Q404">
        <f>IF($A404="","",IF(OR($E404="INFRUCTUEUX",$E404="ANNULE"),$A404&amp;"|"&amp;(COUNTIFS($A$2:$A404,$A404,$E$2:$E404,"INFRUCTUEUX")+COUNTIFS($A$2:$A404,$A404,$E$2:$E404,"ANNULE")),""))</f>
        <v/>
      </c>
    </row>
    <row r="405">
      <c r="A405">
        <f>IF(ISBLANK('ENGAGEMENTS 2026'!C405),"",IF('ENGAGEMENTS 2026'!C405="DTSI","DCT",'ENGAGEMENTS 2026'!C405))</f>
        <v/>
      </c>
      <c r="B405">
        <f>IF(ISBLANK('ENGAGEMENTS 2026'!C405),"",'ENGAGEMENTS 2026'!D405)</f>
        <v/>
      </c>
      <c r="C405">
        <f>IF(ISBLANK('ENGAGEMENTS 2026'!C405),"",'ENGAGEMENTS 2026'!E405)</f>
        <v/>
      </c>
      <c r="D405">
        <f>IF(ISBLANK('ENGAGEMENTS 2026'!C405),"",'ENGAGEMENTS 2026'!G405)</f>
        <v/>
      </c>
      <c r="E405">
        <f>IF(ISBLANK('ENGAGEMENTS 2026'!C405),"",'ENGAGEMENTS 2026'!I405)</f>
        <v/>
      </c>
      <c r="F405">
        <f>IF(ISBLANK('ENGAGEMENTS 2026'!C405),"",'ENGAGEMENTS 2026'!J405)</f>
        <v/>
      </c>
      <c r="G405">
        <f>IF(ISBLANK('ENGAGEMENTS 2026'!C405),"",'ENGAGEMENTS 2026'!M405)</f>
        <v/>
      </c>
      <c r="H405">
        <f>IF(ISBLANK('ENGAGEMENTS 2026'!C405),"",'ENGAGEMENTS 2026'!AF405)</f>
        <v/>
      </c>
      <c r="I405">
        <f>IF(ISBLANK('ENGAGEMENTS 2026'!C405),"",'ENGAGEMENTS 2026'!H405)</f>
        <v/>
      </c>
      <c r="J405" s="275">
        <f>IF(ISBLANK('ENGAGEMENTS 2026'!C405),"",IF(AND(OR($E405="INFRUCTUEUX",$E405="ANNULE"),$C405="AOO-M"),'ENGAGEMENTS 2026'!P405,IF($H405="EN COURS DE PREENGAGEMENT",'ENGAGEMENTS 2026'!O405,IF($H405="PREENGAGE",IF($E405="ATTRIBUE",'ENGAGEMENTS 2026'!AE405,'ENGAGEMENTS 2026'!O405),'ENGAGEMENTS 2026'!AE405))))</f>
        <v/>
      </c>
      <c r="K405" s="604">
        <f>IF(ISBLANK('ENGAGEMENTS 2026'!W405),"",'ENGAGEMENTS 2026'!W405)</f>
        <v/>
      </c>
      <c r="L405" s="276">
        <f>IF($K405="","",TODAY()-$K405)</f>
        <v/>
      </c>
      <c r="M405">
        <f>IF($A405="","",IF($H405="ENGAGE","Engagé",IF(AND($H405="NON ENGAGE",OR($I405="INFRUCTUEUX",$I405="ANNULE")),"Clôturé sans suite","En cours")))</f>
        <v/>
      </c>
      <c r="N405">
        <f>IF(ISBLANK('ENGAGEMENTS 2026'!C405),"",'ENGAGEMENTS 2026'!L405)</f>
        <v/>
      </c>
      <c r="O405">
        <f>IF(ISBLANK('ENGAGEMENTS 2026'!C405),"",'ENGAGEMENTS 2026'!M405)</f>
        <v/>
      </c>
      <c r="P405">
        <f>IF(ISBLANK('ENGAGEMENTS 2026'!C405),"",'ENGAGEMENTS 2026'!K405)</f>
        <v/>
      </c>
      <c r="Q405">
        <f>IF($A405="","",IF(OR($E405="INFRUCTUEUX",$E405="ANNULE"),$A405&amp;"|"&amp;(COUNTIFS($A$2:$A405,$A405,$E$2:$E405,"INFRUCTUEUX")+COUNTIFS($A$2:$A405,$A405,$E$2:$E405,"ANNULE")),""))</f>
        <v/>
      </c>
    </row>
    <row r="406">
      <c r="A406">
        <f>IF(ISBLANK('ENGAGEMENTS 2026'!C406),"",IF('ENGAGEMENTS 2026'!C406="DTSI","DCT",'ENGAGEMENTS 2026'!C406))</f>
        <v/>
      </c>
      <c r="B406">
        <f>IF(ISBLANK('ENGAGEMENTS 2026'!C406),"",'ENGAGEMENTS 2026'!D406)</f>
        <v/>
      </c>
      <c r="C406">
        <f>IF(ISBLANK('ENGAGEMENTS 2026'!C406),"",'ENGAGEMENTS 2026'!E406)</f>
        <v/>
      </c>
      <c r="D406">
        <f>IF(ISBLANK('ENGAGEMENTS 2026'!C406),"",'ENGAGEMENTS 2026'!G406)</f>
        <v/>
      </c>
      <c r="E406">
        <f>IF(ISBLANK('ENGAGEMENTS 2026'!C406),"",'ENGAGEMENTS 2026'!I406)</f>
        <v/>
      </c>
      <c r="F406">
        <f>IF(ISBLANK('ENGAGEMENTS 2026'!C406),"",'ENGAGEMENTS 2026'!J406)</f>
        <v/>
      </c>
      <c r="G406">
        <f>IF(ISBLANK('ENGAGEMENTS 2026'!C406),"",'ENGAGEMENTS 2026'!M406)</f>
        <v/>
      </c>
      <c r="H406">
        <f>IF(ISBLANK('ENGAGEMENTS 2026'!C406),"",'ENGAGEMENTS 2026'!AF406)</f>
        <v/>
      </c>
      <c r="I406">
        <f>IF(ISBLANK('ENGAGEMENTS 2026'!C406),"",'ENGAGEMENTS 2026'!H406)</f>
        <v/>
      </c>
      <c r="J406" s="275">
        <f>IF(ISBLANK('ENGAGEMENTS 2026'!C406),"",IF(AND(OR($E406="INFRUCTUEUX",$E406="ANNULE"),$C406="AOO-M"),'ENGAGEMENTS 2026'!P406,IF($H406="EN COURS DE PREENGAGEMENT",'ENGAGEMENTS 2026'!O406,IF($H406="PREENGAGE",IF($E406="ATTRIBUE",'ENGAGEMENTS 2026'!AE406,'ENGAGEMENTS 2026'!O406),'ENGAGEMENTS 2026'!AE406))))</f>
        <v/>
      </c>
      <c r="K406" s="604">
        <f>IF(ISBLANK('ENGAGEMENTS 2026'!W406),"",'ENGAGEMENTS 2026'!W406)</f>
        <v/>
      </c>
      <c r="L406" s="276">
        <f>IF($K406="","",TODAY()-$K406)</f>
        <v/>
      </c>
      <c r="M406">
        <f>IF($A406="","",IF($H406="ENGAGE","Engagé",IF(AND($H406="NON ENGAGE",OR($I406="INFRUCTUEUX",$I406="ANNULE")),"Clôturé sans suite","En cours")))</f>
        <v/>
      </c>
      <c r="N406">
        <f>IF(ISBLANK('ENGAGEMENTS 2026'!C406),"",'ENGAGEMENTS 2026'!L406)</f>
        <v/>
      </c>
      <c r="O406">
        <f>IF(ISBLANK('ENGAGEMENTS 2026'!C406),"",'ENGAGEMENTS 2026'!M406)</f>
        <v/>
      </c>
      <c r="P406">
        <f>IF(ISBLANK('ENGAGEMENTS 2026'!C406),"",'ENGAGEMENTS 2026'!K406)</f>
        <v/>
      </c>
      <c r="Q406">
        <f>IF($A406="","",IF(OR($E406="INFRUCTUEUX",$E406="ANNULE"),$A406&amp;"|"&amp;(COUNTIFS($A$2:$A406,$A406,$E$2:$E406,"INFRUCTUEUX")+COUNTIFS($A$2:$A406,$A406,$E$2:$E406,"ANNULE")),""))</f>
        <v/>
      </c>
    </row>
    <row r="407">
      <c r="A407">
        <f>IF(ISBLANK('ENGAGEMENTS 2026'!C407),"",IF('ENGAGEMENTS 2026'!C407="DTSI","DCT",'ENGAGEMENTS 2026'!C407))</f>
        <v/>
      </c>
      <c r="B407">
        <f>IF(ISBLANK('ENGAGEMENTS 2026'!C407),"",'ENGAGEMENTS 2026'!D407)</f>
        <v/>
      </c>
      <c r="C407">
        <f>IF(ISBLANK('ENGAGEMENTS 2026'!C407),"",'ENGAGEMENTS 2026'!E407)</f>
        <v/>
      </c>
      <c r="D407">
        <f>IF(ISBLANK('ENGAGEMENTS 2026'!C407),"",'ENGAGEMENTS 2026'!G407)</f>
        <v/>
      </c>
      <c r="E407">
        <f>IF(ISBLANK('ENGAGEMENTS 2026'!C407),"",'ENGAGEMENTS 2026'!I407)</f>
        <v/>
      </c>
      <c r="F407">
        <f>IF(ISBLANK('ENGAGEMENTS 2026'!C407),"",'ENGAGEMENTS 2026'!J407)</f>
        <v/>
      </c>
      <c r="G407">
        <f>IF(ISBLANK('ENGAGEMENTS 2026'!C407),"",'ENGAGEMENTS 2026'!M407)</f>
        <v/>
      </c>
      <c r="H407">
        <f>IF(ISBLANK('ENGAGEMENTS 2026'!C407),"",'ENGAGEMENTS 2026'!AF407)</f>
        <v/>
      </c>
      <c r="I407">
        <f>IF(ISBLANK('ENGAGEMENTS 2026'!C407),"",'ENGAGEMENTS 2026'!H407)</f>
        <v/>
      </c>
      <c r="J407" s="275">
        <f>IF(ISBLANK('ENGAGEMENTS 2026'!C407),"",IF(AND(OR($E407="INFRUCTUEUX",$E407="ANNULE"),$C407="AOO-M"),'ENGAGEMENTS 2026'!P407,IF($H407="EN COURS DE PREENGAGEMENT",'ENGAGEMENTS 2026'!O407,IF($H407="PREENGAGE",IF($E407="ATTRIBUE",'ENGAGEMENTS 2026'!AE407,'ENGAGEMENTS 2026'!O407),'ENGAGEMENTS 2026'!AE407))))</f>
        <v/>
      </c>
      <c r="K407" s="604">
        <f>IF(ISBLANK('ENGAGEMENTS 2026'!W407),"",'ENGAGEMENTS 2026'!W407)</f>
        <v/>
      </c>
      <c r="L407" s="276">
        <f>IF($K407="","",TODAY()-$K407)</f>
        <v/>
      </c>
      <c r="M407">
        <f>IF($A407="","",IF($H407="ENGAGE","Engagé",IF(AND($H407="NON ENGAGE",OR($I407="INFRUCTUEUX",$I407="ANNULE")),"Clôturé sans suite","En cours")))</f>
        <v/>
      </c>
      <c r="N407">
        <f>IF(ISBLANK('ENGAGEMENTS 2026'!C407),"",'ENGAGEMENTS 2026'!L407)</f>
        <v/>
      </c>
      <c r="O407">
        <f>IF(ISBLANK('ENGAGEMENTS 2026'!C407),"",'ENGAGEMENTS 2026'!M407)</f>
        <v/>
      </c>
      <c r="P407">
        <f>IF(ISBLANK('ENGAGEMENTS 2026'!C407),"",'ENGAGEMENTS 2026'!K407)</f>
        <v/>
      </c>
      <c r="Q407">
        <f>IF($A407="","",IF(OR($E407="INFRUCTUEUX",$E407="ANNULE"),$A407&amp;"|"&amp;(COUNTIFS($A$2:$A407,$A407,$E$2:$E407,"INFRUCTUEUX")+COUNTIFS($A$2:$A407,$A407,$E$2:$E407,"ANNULE")),""))</f>
        <v/>
      </c>
    </row>
    <row r="408">
      <c r="A408">
        <f>IF(ISBLANK('ENGAGEMENTS 2026'!C408),"",IF('ENGAGEMENTS 2026'!C408="DTSI","DCT",'ENGAGEMENTS 2026'!C408))</f>
        <v/>
      </c>
      <c r="B408">
        <f>IF(ISBLANK('ENGAGEMENTS 2026'!C408),"",'ENGAGEMENTS 2026'!D408)</f>
        <v/>
      </c>
      <c r="C408">
        <f>IF(ISBLANK('ENGAGEMENTS 2026'!C408),"",'ENGAGEMENTS 2026'!E408)</f>
        <v/>
      </c>
      <c r="D408">
        <f>IF(ISBLANK('ENGAGEMENTS 2026'!C408),"",'ENGAGEMENTS 2026'!G408)</f>
        <v/>
      </c>
      <c r="E408">
        <f>IF(ISBLANK('ENGAGEMENTS 2026'!C408),"",'ENGAGEMENTS 2026'!I408)</f>
        <v/>
      </c>
      <c r="F408">
        <f>IF(ISBLANK('ENGAGEMENTS 2026'!C408),"",'ENGAGEMENTS 2026'!J408)</f>
        <v/>
      </c>
      <c r="G408">
        <f>IF(ISBLANK('ENGAGEMENTS 2026'!C408),"",'ENGAGEMENTS 2026'!M408)</f>
        <v/>
      </c>
      <c r="H408">
        <f>IF(ISBLANK('ENGAGEMENTS 2026'!C408),"",'ENGAGEMENTS 2026'!AF408)</f>
        <v/>
      </c>
      <c r="I408">
        <f>IF(ISBLANK('ENGAGEMENTS 2026'!C408),"",'ENGAGEMENTS 2026'!H408)</f>
        <v/>
      </c>
      <c r="J408" s="275">
        <f>IF(ISBLANK('ENGAGEMENTS 2026'!C408),"",IF(AND(OR($E408="INFRUCTUEUX",$E408="ANNULE"),$C408="AOO-M"),'ENGAGEMENTS 2026'!P408,IF($H408="EN COURS DE PREENGAGEMENT",'ENGAGEMENTS 2026'!O408,IF($H408="PREENGAGE",IF($E408="ATTRIBUE",'ENGAGEMENTS 2026'!AE408,'ENGAGEMENTS 2026'!O408),'ENGAGEMENTS 2026'!AE408))))</f>
        <v/>
      </c>
      <c r="K408" s="604">
        <f>IF(ISBLANK('ENGAGEMENTS 2026'!W408),"",'ENGAGEMENTS 2026'!W408)</f>
        <v/>
      </c>
      <c r="L408" s="276">
        <f>IF($K408="","",TODAY()-$K408)</f>
        <v/>
      </c>
      <c r="M408">
        <f>IF($A408="","",IF($H408="ENGAGE","Engagé",IF(AND($H408="NON ENGAGE",OR($I408="INFRUCTUEUX",$I408="ANNULE")),"Clôturé sans suite","En cours")))</f>
        <v/>
      </c>
      <c r="N408">
        <f>IF(ISBLANK('ENGAGEMENTS 2026'!C408),"",'ENGAGEMENTS 2026'!L408)</f>
        <v/>
      </c>
      <c r="O408">
        <f>IF(ISBLANK('ENGAGEMENTS 2026'!C408),"",'ENGAGEMENTS 2026'!M408)</f>
        <v/>
      </c>
      <c r="P408">
        <f>IF(ISBLANK('ENGAGEMENTS 2026'!C408),"",'ENGAGEMENTS 2026'!K408)</f>
        <v/>
      </c>
      <c r="Q408">
        <f>IF($A408="","",IF(OR($E408="INFRUCTUEUX",$E408="ANNULE"),$A408&amp;"|"&amp;(COUNTIFS($A$2:$A408,$A408,$E$2:$E408,"INFRUCTUEUX")+COUNTIFS($A$2:$A408,$A408,$E$2:$E408,"ANNULE")),""))</f>
        <v/>
      </c>
    </row>
    <row r="409">
      <c r="A409">
        <f>IF(ISBLANK('ENGAGEMENTS 2026'!C409),"",IF('ENGAGEMENTS 2026'!C409="DTSI","DCT",'ENGAGEMENTS 2026'!C409))</f>
        <v/>
      </c>
      <c r="B409">
        <f>IF(ISBLANK('ENGAGEMENTS 2026'!C409),"",'ENGAGEMENTS 2026'!D409)</f>
        <v/>
      </c>
      <c r="C409">
        <f>IF(ISBLANK('ENGAGEMENTS 2026'!C409),"",'ENGAGEMENTS 2026'!E409)</f>
        <v/>
      </c>
      <c r="D409">
        <f>IF(ISBLANK('ENGAGEMENTS 2026'!C409),"",'ENGAGEMENTS 2026'!G409)</f>
        <v/>
      </c>
      <c r="E409">
        <f>IF(ISBLANK('ENGAGEMENTS 2026'!C409),"",'ENGAGEMENTS 2026'!I409)</f>
        <v/>
      </c>
      <c r="F409">
        <f>IF(ISBLANK('ENGAGEMENTS 2026'!C409),"",'ENGAGEMENTS 2026'!J409)</f>
        <v/>
      </c>
      <c r="G409">
        <f>IF(ISBLANK('ENGAGEMENTS 2026'!C409),"",'ENGAGEMENTS 2026'!M409)</f>
        <v/>
      </c>
      <c r="H409">
        <f>IF(ISBLANK('ENGAGEMENTS 2026'!C409),"",'ENGAGEMENTS 2026'!AF409)</f>
        <v/>
      </c>
      <c r="I409">
        <f>IF(ISBLANK('ENGAGEMENTS 2026'!C409),"",'ENGAGEMENTS 2026'!H409)</f>
        <v/>
      </c>
      <c r="J409" s="275">
        <f>IF(ISBLANK('ENGAGEMENTS 2026'!C409),"",IF(AND(OR($E409="INFRUCTUEUX",$E409="ANNULE"),$C409="AOO-M"),'ENGAGEMENTS 2026'!P409,IF($H409="EN COURS DE PREENGAGEMENT",'ENGAGEMENTS 2026'!O409,IF($H409="PREENGAGE",IF($E409="ATTRIBUE",'ENGAGEMENTS 2026'!AE409,'ENGAGEMENTS 2026'!O409),'ENGAGEMENTS 2026'!AE409))))</f>
        <v/>
      </c>
      <c r="K409" s="604">
        <f>IF(ISBLANK('ENGAGEMENTS 2026'!W409),"",'ENGAGEMENTS 2026'!W409)</f>
        <v/>
      </c>
      <c r="L409" s="276">
        <f>IF($K409="","",TODAY()-$K409)</f>
        <v/>
      </c>
      <c r="M409">
        <f>IF($A409="","",IF($H409="ENGAGE","Engagé",IF(AND($H409="NON ENGAGE",OR($I409="INFRUCTUEUX",$I409="ANNULE")),"Clôturé sans suite","En cours")))</f>
        <v/>
      </c>
      <c r="N409">
        <f>IF(ISBLANK('ENGAGEMENTS 2026'!C409),"",'ENGAGEMENTS 2026'!L409)</f>
        <v/>
      </c>
      <c r="O409">
        <f>IF(ISBLANK('ENGAGEMENTS 2026'!C409),"",'ENGAGEMENTS 2026'!M409)</f>
        <v/>
      </c>
      <c r="P409">
        <f>IF(ISBLANK('ENGAGEMENTS 2026'!C409),"",'ENGAGEMENTS 2026'!K409)</f>
        <v/>
      </c>
      <c r="Q409">
        <f>IF($A409="","",IF(OR($E409="INFRUCTUEUX",$E409="ANNULE"),$A409&amp;"|"&amp;(COUNTIFS($A$2:$A409,$A409,$E$2:$E409,"INFRUCTUEUX")+COUNTIFS($A$2:$A409,$A409,$E$2:$E409,"ANNULE")),""))</f>
        <v/>
      </c>
    </row>
    <row r="410">
      <c r="A410">
        <f>IF(ISBLANK('ENGAGEMENTS 2026'!C410),"",IF('ENGAGEMENTS 2026'!C410="DTSI","DCT",'ENGAGEMENTS 2026'!C410))</f>
        <v/>
      </c>
      <c r="B410">
        <f>IF(ISBLANK('ENGAGEMENTS 2026'!C410),"",'ENGAGEMENTS 2026'!D410)</f>
        <v/>
      </c>
      <c r="C410">
        <f>IF(ISBLANK('ENGAGEMENTS 2026'!C410),"",'ENGAGEMENTS 2026'!E410)</f>
        <v/>
      </c>
      <c r="D410">
        <f>IF(ISBLANK('ENGAGEMENTS 2026'!C410),"",'ENGAGEMENTS 2026'!G410)</f>
        <v/>
      </c>
      <c r="E410">
        <f>IF(ISBLANK('ENGAGEMENTS 2026'!C410),"",'ENGAGEMENTS 2026'!I410)</f>
        <v/>
      </c>
      <c r="F410">
        <f>IF(ISBLANK('ENGAGEMENTS 2026'!C410),"",'ENGAGEMENTS 2026'!J410)</f>
        <v/>
      </c>
      <c r="G410">
        <f>IF(ISBLANK('ENGAGEMENTS 2026'!C410),"",'ENGAGEMENTS 2026'!M410)</f>
        <v/>
      </c>
      <c r="H410">
        <f>IF(ISBLANK('ENGAGEMENTS 2026'!C410),"",'ENGAGEMENTS 2026'!AF410)</f>
        <v/>
      </c>
      <c r="I410">
        <f>IF(ISBLANK('ENGAGEMENTS 2026'!C410),"",'ENGAGEMENTS 2026'!H410)</f>
        <v/>
      </c>
      <c r="J410" s="275">
        <f>IF(ISBLANK('ENGAGEMENTS 2026'!C410),"",IF(AND(OR($E410="INFRUCTUEUX",$E410="ANNULE"),$C410="AOO-M"),'ENGAGEMENTS 2026'!P410,IF($H410="EN COURS DE PREENGAGEMENT",'ENGAGEMENTS 2026'!O410,IF($H410="PREENGAGE",IF($E410="ATTRIBUE",'ENGAGEMENTS 2026'!AE410,'ENGAGEMENTS 2026'!O410),'ENGAGEMENTS 2026'!AE410))))</f>
        <v/>
      </c>
      <c r="K410" s="604">
        <f>IF(ISBLANK('ENGAGEMENTS 2026'!W410),"",'ENGAGEMENTS 2026'!W410)</f>
        <v/>
      </c>
      <c r="L410" s="276">
        <f>IF($K410="","",TODAY()-$K410)</f>
        <v/>
      </c>
      <c r="M410">
        <f>IF($A410="","",IF($H410="ENGAGE","Engagé",IF(AND($H410="NON ENGAGE",OR($I410="INFRUCTUEUX",$I410="ANNULE")),"Clôturé sans suite","En cours")))</f>
        <v/>
      </c>
      <c r="N410">
        <f>IF(ISBLANK('ENGAGEMENTS 2026'!C410),"",'ENGAGEMENTS 2026'!L410)</f>
        <v/>
      </c>
      <c r="O410">
        <f>IF(ISBLANK('ENGAGEMENTS 2026'!C410),"",'ENGAGEMENTS 2026'!M410)</f>
        <v/>
      </c>
      <c r="P410">
        <f>IF(ISBLANK('ENGAGEMENTS 2026'!C410),"",'ENGAGEMENTS 2026'!K410)</f>
        <v/>
      </c>
      <c r="Q410">
        <f>IF($A410="","",IF(OR($E410="INFRUCTUEUX",$E410="ANNULE"),$A410&amp;"|"&amp;(COUNTIFS($A$2:$A410,$A410,$E$2:$E410,"INFRUCTUEUX")+COUNTIFS($A$2:$A410,$A410,$E$2:$E410,"ANNULE")),""))</f>
        <v/>
      </c>
    </row>
    <row r="411">
      <c r="A411">
        <f>IF(ISBLANK('ENGAGEMENTS 2026'!C411),"",IF('ENGAGEMENTS 2026'!C411="DTSI","DCT",'ENGAGEMENTS 2026'!C411))</f>
        <v/>
      </c>
      <c r="B411">
        <f>IF(ISBLANK('ENGAGEMENTS 2026'!C411),"",'ENGAGEMENTS 2026'!D411)</f>
        <v/>
      </c>
      <c r="C411">
        <f>IF(ISBLANK('ENGAGEMENTS 2026'!C411),"",'ENGAGEMENTS 2026'!E411)</f>
        <v/>
      </c>
      <c r="D411">
        <f>IF(ISBLANK('ENGAGEMENTS 2026'!C411),"",'ENGAGEMENTS 2026'!G411)</f>
        <v/>
      </c>
      <c r="E411">
        <f>IF(ISBLANK('ENGAGEMENTS 2026'!C411),"",'ENGAGEMENTS 2026'!I411)</f>
        <v/>
      </c>
      <c r="F411">
        <f>IF(ISBLANK('ENGAGEMENTS 2026'!C411),"",'ENGAGEMENTS 2026'!J411)</f>
        <v/>
      </c>
      <c r="G411">
        <f>IF(ISBLANK('ENGAGEMENTS 2026'!C411),"",'ENGAGEMENTS 2026'!M411)</f>
        <v/>
      </c>
      <c r="H411">
        <f>IF(ISBLANK('ENGAGEMENTS 2026'!C411),"",'ENGAGEMENTS 2026'!AF411)</f>
        <v/>
      </c>
      <c r="I411">
        <f>IF(ISBLANK('ENGAGEMENTS 2026'!C411),"",'ENGAGEMENTS 2026'!H411)</f>
        <v/>
      </c>
      <c r="J411" s="275">
        <f>IF(ISBLANK('ENGAGEMENTS 2026'!C411),"",IF(AND(OR($E411="INFRUCTUEUX",$E411="ANNULE"),$C411="AOO-M"),'ENGAGEMENTS 2026'!P411,IF($H411="EN COURS DE PREENGAGEMENT",'ENGAGEMENTS 2026'!O411,IF($H411="PREENGAGE",IF($E411="ATTRIBUE",'ENGAGEMENTS 2026'!AE411,'ENGAGEMENTS 2026'!O411),'ENGAGEMENTS 2026'!AE411))))</f>
        <v/>
      </c>
      <c r="K411" s="604">
        <f>IF(ISBLANK('ENGAGEMENTS 2026'!W411),"",'ENGAGEMENTS 2026'!W411)</f>
        <v/>
      </c>
      <c r="L411" s="276">
        <f>IF($K411="","",TODAY()-$K411)</f>
        <v/>
      </c>
      <c r="M411">
        <f>IF($A411="","",IF($H411="ENGAGE","Engagé",IF(AND($H411="NON ENGAGE",OR($I411="INFRUCTUEUX",$I411="ANNULE")),"Clôturé sans suite","En cours")))</f>
        <v/>
      </c>
      <c r="N411">
        <f>IF(ISBLANK('ENGAGEMENTS 2026'!C411),"",'ENGAGEMENTS 2026'!L411)</f>
        <v/>
      </c>
      <c r="O411">
        <f>IF(ISBLANK('ENGAGEMENTS 2026'!C411),"",'ENGAGEMENTS 2026'!M411)</f>
        <v/>
      </c>
      <c r="P411">
        <f>IF(ISBLANK('ENGAGEMENTS 2026'!C411),"",'ENGAGEMENTS 2026'!K411)</f>
        <v/>
      </c>
      <c r="Q411">
        <f>IF($A411="","",IF(OR($E411="INFRUCTUEUX",$E411="ANNULE"),$A411&amp;"|"&amp;(COUNTIFS($A$2:$A411,$A411,$E$2:$E411,"INFRUCTUEUX")+COUNTIFS($A$2:$A411,$A411,$E$2:$E411,"ANNULE")),""))</f>
        <v/>
      </c>
    </row>
    <row r="412">
      <c r="A412">
        <f>IF(ISBLANK('ENGAGEMENTS 2026'!C412),"",IF('ENGAGEMENTS 2026'!C412="DTSI","DCT",'ENGAGEMENTS 2026'!C412))</f>
        <v/>
      </c>
      <c r="B412">
        <f>IF(ISBLANK('ENGAGEMENTS 2026'!C412),"",'ENGAGEMENTS 2026'!D412)</f>
        <v/>
      </c>
      <c r="C412">
        <f>IF(ISBLANK('ENGAGEMENTS 2026'!C412),"",'ENGAGEMENTS 2026'!E412)</f>
        <v/>
      </c>
      <c r="D412">
        <f>IF(ISBLANK('ENGAGEMENTS 2026'!C412),"",'ENGAGEMENTS 2026'!G412)</f>
        <v/>
      </c>
      <c r="E412">
        <f>IF(ISBLANK('ENGAGEMENTS 2026'!C412),"",'ENGAGEMENTS 2026'!I412)</f>
        <v/>
      </c>
      <c r="F412">
        <f>IF(ISBLANK('ENGAGEMENTS 2026'!C412),"",'ENGAGEMENTS 2026'!J412)</f>
        <v/>
      </c>
      <c r="G412">
        <f>IF(ISBLANK('ENGAGEMENTS 2026'!C412),"",'ENGAGEMENTS 2026'!M412)</f>
        <v/>
      </c>
      <c r="H412">
        <f>IF(ISBLANK('ENGAGEMENTS 2026'!C412),"",'ENGAGEMENTS 2026'!AF412)</f>
        <v/>
      </c>
      <c r="I412">
        <f>IF(ISBLANK('ENGAGEMENTS 2026'!C412),"",'ENGAGEMENTS 2026'!H412)</f>
        <v/>
      </c>
      <c r="J412" s="275">
        <f>IF(ISBLANK('ENGAGEMENTS 2026'!C412),"",IF(AND(OR($E412="INFRUCTUEUX",$E412="ANNULE"),$C412="AOO-M"),'ENGAGEMENTS 2026'!P412,IF($H412="EN COURS DE PREENGAGEMENT",'ENGAGEMENTS 2026'!O412,IF($H412="PREENGAGE",IF($E412="ATTRIBUE",'ENGAGEMENTS 2026'!AE412,'ENGAGEMENTS 2026'!O412),'ENGAGEMENTS 2026'!AE412))))</f>
        <v/>
      </c>
      <c r="K412" s="604">
        <f>IF(ISBLANK('ENGAGEMENTS 2026'!W412),"",'ENGAGEMENTS 2026'!W412)</f>
        <v/>
      </c>
      <c r="L412" s="276">
        <f>IF($K412="","",TODAY()-$K412)</f>
        <v/>
      </c>
      <c r="M412">
        <f>IF($A412="","",IF($H412="ENGAGE","Engagé",IF(AND($H412="NON ENGAGE",OR($I412="INFRUCTUEUX",$I412="ANNULE")),"Clôturé sans suite","En cours")))</f>
        <v/>
      </c>
      <c r="N412">
        <f>IF(ISBLANK('ENGAGEMENTS 2026'!C412),"",'ENGAGEMENTS 2026'!L412)</f>
        <v/>
      </c>
      <c r="O412">
        <f>IF(ISBLANK('ENGAGEMENTS 2026'!C412),"",'ENGAGEMENTS 2026'!M412)</f>
        <v/>
      </c>
      <c r="P412">
        <f>IF(ISBLANK('ENGAGEMENTS 2026'!C412),"",'ENGAGEMENTS 2026'!K412)</f>
        <v/>
      </c>
      <c r="Q412">
        <f>IF($A412="","",IF(OR($E412="INFRUCTUEUX",$E412="ANNULE"),$A412&amp;"|"&amp;(COUNTIFS($A$2:$A412,$A412,$E$2:$E412,"INFRUCTUEUX")+COUNTIFS($A$2:$A412,$A412,$E$2:$E412,"ANNULE")),""))</f>
        <v/>
      </c>
    </row>
    <row r="413">
      <c r="A413">
        <f>IF(ISBLANK('ENGAGEMENTS 2026'!C413),"",IF('ENGAGEMENTS 2026'!C413="DTSI","DCT",'ENGAGEMENTS 2026'!C413))</f>
        <v/>
      </c>
      <c r="B413">
        <f>IF(ISBLANK('ENGAGEMENTS 2026'!C413),"",'ENGAGEMENTS 2026'!D413)</f>
        <v/>
      </c>
      <c r="C413">
        <f>IF(ISBLANK('ENGAGEMENTS 2026'!C413),"",'ENGAGEMENTS 2026'!E413)</f>
        <v/>
      </c>
      <c r="D413">
        <f>IF(ISBLANK('ENGAGEMENTS 2026'!C413),"",'ENGAGEMENTS 2026'!G413)</f>
        <v/>
      </c>
      <c r="E413">
        <f>IF(ISBLANK('ENGAGEMENTS 2026'!C413),"",'ENGAGEMENTS 2026'!I413)</f>
        <v/>
      </c>
      <c r="F413">
        <f>IF(ISBLANK('ENGAGEMENTS 2026'!C413),"",'ENGAGEMENTS 2026'!J413)</f>
        <v/>
      </c>
      <c r="G413">
        <f>IF(ISBLANK('ENGAGEMENTS 2026'!C413),"",'ENGAGEMENTS 2026'!M413)</f>
        <v/>
      </c>
      <c r="H413">
        <f>IF(ISBLANK('ENGAGEMENTS 2026'!C413),"",'ENGAGEMENTS 2026'!AF413)</f>
        <v/>
      </c>
      <c r="I413">
        <f>IF(ISBLANK('ENGAGEMENTS 2026'!C413),"",'ENGAGEMENTS 2026'!H413)</f>
        <v/>
      </c>
      <c r="J413" s="275">
        <f>IF(ISBLANK('ENGAGEMENTS 2026'!C413),"",IF(AND(OR($E413="INFRUCTUEUX",$E413="ANNULE"),$C413="AOO-M"),'ENGAGEMENTS 2026'!P413,IF($H413="EN COURS DE PREENGAGEMENT",'ENGAGEMENTS 2026'!O413,IF($H413="PREENGAGE",IF($E413="ATTRIBUE",'ENGAGEMENTS 2026'!AE413,'ENGAGEMENTS 2026'!O413),'ENGAGEMENTS 2026'!AE413))))</f>
        <v/>
      </c>
      <c r="K413" s="604">
        <f>IF(ISBLANK('ENGAGEMENTS 2026'!W413),"",'ENGAGEMENTS 2026'!W413)</f>
        <v/>
      </c>
      <c r="L413" s="276">
        <f>IF($K413="","",TODAY()-$K413)</f>
        <v/>
      </c>
      <c r="M413">
        <f>IF($A413="","",IF($H413="ENGAGE","Engagé",IF(AND($H413="NON ENGAGE",OR($I413="INFRUCTUEUX",$I413="ANNULE")),"Clôturé sans suite","En cours")))</f>
        <v/>
      </c>
      <c r="N413">
        <f>IF(ISBLANK('ENGAGEMENTS 2026'!C413),"",'ENGAGEMENTS 2026'!L413)</f>
        <v/>
      </c>
      <c r="O413">
        <f>IF(ISBLANK('ENGAGEMENTS 2026'!C413),"",'ENGAGEMENTS 2026'!M413)</f>
        <v/>
      </c>
      <c r="P413">
        <f>IF(ISBLANK('ENGAGEMENTS 2026'!C413),"",'ENGAGEMENTS 2026'!K413)</f>
        <v/>
      </c>
      <c r="Q413">
        <f>IF($A413="","",IF(OR($E413="INFRUCTUEUX",$E413="ANNULE"),$A413&amp;"|"&amp;(COUNTIFS($A$2:$A413,$A413,$E$2:$E413,"INFRUCTUEUX")+COUNTIFS($A$2:$A413,$A413,$E$2:$E413,"ANNULE")),""))</f>
        <v/>
      </c>
    </row>
    <row r="414">
      <c r="A414">
        <f>IF(ISBLANK('ENGAGEMENTS 2026'!C414),"",IF('ENGAGEMENTS 2026'!C414="DTSI","DCT",'ENGAGEMENTS 2026'!C414))</f>
        <v/>
      </c>
      <c r="B414">
        <f>IF(ISBLANK('ENGAGEMENTS 2026'!C414),"",'ENGAGEMENTS 2026'!D414)</f>
        <v/>
      </c>
      <c r="C414">
        <f>IF(ISBLANK('ENGAGEMENTS 2026'!C414),"",'ENGAGEMENTS 2026'!E414)</f>
        <v/>
      </c>
      <c r="D414">
        <f>IF(ISBLANK('ENGAGEMENTS 2026'!C414),"",'ENGAGEMENTS 2026'!G414)</f>
        <v/>
      </c>
      <c r="E414">
        <f>IF(ISBLANK('ENGAGEMENTS 2026'!C414),"",'ENGAGEMENTS 2026'!I414)</f>
        <v/>
      </c>
      <c r="F414">
        <f>IF(ISBLANK('ENGAGEMENTS 2026'!C414),"",'ENGAGEMENTS 2026'!J414)</f>
        <v/>
      </c>
      <c r="G414">
        <f>IF(ISBLANK('ENGAGEMENTS 2026'!C414),"",'ENGAGEMENTS 2026'!M414)</f>
        <v/>
      </c>
      <c r="H414">
        <f>IF(ISBLANK('ENGAGEMENTS 2026'!C414),"",'ENGAGEMENTS 2026'!AF414)</f>
        <v/>
      </c>
      <c r="I414">
        <f>IF(ISBLANK('ENGAGEMENTS 2026'!C414),"",'ENGAGEMENTS 2026'!H414)</f>
        <v/>
      </c>
      <c r="J414" s="275">
        <f>IF(ISBLANK('ENGAGEMENTS 2026'!C414),"",IF(AND(OR($E414="INFRUCTUEUX",$E414="ANNULE"),$C414="AOO-M"),'ENGAGEMENTS 2026'!P414,IF($H414="EN COURS DE PREENGAGEMENT",'ENGAGEMENTS 2026'!O414,IF($H414="PREENGAGE",IF($E414="ATTRIBUE",'ENGAGEMENTS 2026'!AE414,'ENGAGEMENTS 2026'!O414),'ENGAGEMENTS 2026'!AE414))))</f>
        <v/>
      </c>
      <c r="K414" s="604">
        <f>IF(ISBLANK('ENGAGEMENTS 2026'!W414),"",'ENGAGEMENTS 2026'!W414)</f>
        <v/>
      </c>
      <c r="L414" s="276">
        <f>IF($K414="","",TODAY()-$K414)</f>
        <v/>
      </c>
      <c r="M414">
        <f>IF($A414="","",IF($H414="ENGAGE","Engagé",IF(AND($H414="NON ENGAGE",OR($I414="INFRUCTUEUX",$I414="ANNULE")),"Clôturé sans suite","En cours")))</f>
        <v/>
      </c>
      <c r="N414">
        <f>IF(ISBLANK('ENGAGEMENTS 2026'!C414),"",'ENGAGEMENTS 2026'!L414)</f>
        <v/>
      </c>
      <c r="O414">
        <f>IF(ISBLANK('ENGAGEMENTS 2026'!C414),"",'ENGAGEMENTS 2026'!M414)</f>
        <v/>
      </c>
      <c r="P414">
        <f>IF(ISBLANK('ENGAGEMENTS 2026'!C414),"",'ENGAGEMENTS 2026'!K414)</f>
        <v/>
      </c>
      <c r="Q414">
        <f>IF($A414="","",IF(OR($E414="INFRUCTUEUX",$E414="ANNULE"),$A414&amp;"|"&amp;(COUNTIFS($A$2:$A414,$A414,$E$2:$E414,"INFRUCTUEUX")+COUNTIFS($A$2:$A414,$A414,$E$2:$E414,"ANNULE")),""))</f>
        <v/>
      </c>
    </row>
    <row r="415">
      <c r="A415">
        <f>IF(ISBLANK('ENGAGEMENTS 2026'!C415),"",IF('ENGAGEMENTS 2026'!C415="DTSI","DCT",'ENGAGEMENTS 2026'!C415))</f>
        <v/>
      </c>
      <c r="B415">
        <f>IF(ISBLANK('ENGAGEMENTS 2026'!C415),"",'ENGAGEMENTS 2026'!D415)</f>
        <v/>
      </c>
      <c r="C415">
        <f>IF(ISBLANK('ENGAGEMENTS 2026'!C415),"",'ENGAGEMENTS 2026'!E415)</f>
        <v/>
      </c>
      <c r="D415">
        <f>IF(ISBLANK('ENGAGEMENTS 2026'!C415),"",'ENGAGEMENTS 2026'!G415)</f>
        <v/>
      </c>
      <c r="E415">
        <f>IF(ISBLANK('ENGAGEMENTS 2026'!C415),"",'ENGAGEMENTS 2026'!I415)</f>
        <v/>
      </c>
      <c r="F415">
        <f>IF(ISBLANK('ENGAGEMENTS 2026'!C415),"",'ENGAGEMENTS 2026'!J415)</f>
        <v/>
      </c>
      <c r="G415">
        <f>IF(ISBLANK('ENGAGEMENTS 2026'!C415),"",'ENGAGEMENTS 2026'!M415)</f>
        <v/>
      </c>
      <c r="H415">
        <f>IF(ISBLANK('ENGAGEMENTS 2026'!C415),"",'ENGAGEMENTS 2026'!AF415)</f>
        <v/>
      </c>
      <c r="I415">
        <f>IF(ISBLANK('ENGAGEMENTS 2026'!C415),"",'ENGAGEMENTS 2026'!H415)</f>
        <v/>
      </c>
      <c r="J415" s="275">
        <f>IF(ISBLANK('ENGAGEMENTS 2026'!C415),"",IF(AND(OR($E415="INFRUCTUEUX",$E415="ANNULE"),$C415="AOO-M"),'ENGAGEMENTS 2026'!P415,IF($H415="EN COURS DE PREENGAGEMENT",'ENGAGEMENTS 2026'!O415,IF($H415="PREENGAGE",IF($E415="ATTRIBUE",'ENGAGEMENTS 2026'!AE415,'ENGAGEMENTS 2026'!O415),'ENGAGEMENTS 2026'!AE415))))</f>
        <v/>
      </c>
      <c r="K415" s="604">
        <f>IF(ISBLANK('ENGAGEMENTS 2026'!W415),"",'ENGAGEMENTS 2026'!W415)</f>
        <v/>
      </c>
      <c r="L415" s="276">
        <f>IF($K415="","",TODAY()-$K415)</f>
        <v/>
      </c>
      <c r="M415">
        <f>IF($A415="","",IF($H415="ENGAGE","Engagé",IF(AND($H415="NON ENGAGE",OR($I415="INFRUCTUEUX",$I415="ANNULE")),"Clôturé sans suite","En cours")))</f>
        <v/>
      </c>
      <c r="N415">
        <f>IF(ISBLANK('ENGAGEMENTS 2026'!C415),"",'ENGAGEMENTS 2026'!L415)</f>
        <v/>
      </c>
      <c r="O415">
        <f>IF(ISBLANK('ENGAGEMENTS 2026'!C415),"",'ENGAGEMENTS 2026'!M415)</f>
        <v/>
      </c>
      <c r="P415">
        <f>IF(ISBLANK('ENGAGEMENTS 2026'!C415),"",'ENGAGEMENTS 2026'!K415)</f>
        <v/>
      </c>
      <c r="Q415">
        <f>IF($A415="","",IF(OR($E415="INFRUCTUEUX",$E415="ANNULE"),$A415&amp;"|"&amp;(COUNTIFS($A$2:$A415,$A415,$E$2:$E415,"INFRUCTUEUX")+COUNTIFS($A$2:$A415,$A415,$E$2:$E415,"ANNULE")),""))</f>
        <v/>
      </c>
    </row>
    <row r="416">
      <c r="A416">
        <f>IF(ISBLANK('ENGAGEMENTS 2026'!C416),"",IF('ENGAGEMENTS 2026'!C416="DTSI","DCT",'ENGAGEMENTS 2026'!C416))</f>
        <v/>
      </c>
      <c r="B416">
        <f>IF(ISBLANK('ENGAGEMENTS 2026'!C416),"",'ENGAGEMENTS 2026'!D416)</f>
        <v/>
      </c>
      <c r="C416">
        <f>IF(ISBLANK('ENGAGEMENTS 2026'!C416),"",'ENGAGEMENTS 2026'!E416)</f>
        <v/>
      </c>
      <c r="D416">
        <f>IF(ISBLANK('ENGAGEMENTS 2026'!C416),"",'ENGAGEMENTS 2026'!G416)</f>
        <v/>
      </c>
      <c r="E416">
        <f>IF(ISBLANK('ENGAGEMENTS 2026'!C416),"",'ENGAGEMENTS 2026'!I416)</f>
        <v/>
      </c>
      <c r="F416">
        <f>IF(ISBLANK('ENGAGEMENTS 2026'!C416),"",'ENGAGEMENTS 2026'!J416)</f>
        <v/>
      </c>
      <c r="G416">
        <f>IF(ISBLANK('ENGAGEMENTS 2026'!C416),"",'ENGAGEMENTS 2026'!M416)</f>
        <v/>
      </c>
      <c r="H416">
        <f>IF(ISBLANK('ENGAGEMENTS 2026'!C416),"",'ENGAGEMENTS 2026'!AF416)</f>
        <v/>
      </c>
      <c r="I416">
        <f>IF(ISBLANK('ENGAGEMENTS 2026'!C416),"",'ENGAGEMENTS 2026'!H416)</f>
        <v/>
      </c>
      <c r="J416" s="275">
        <f>IF(ISBLANK('ENGAGEMENTS 2026'!C416),"",IF(AND(OR($E416="INFRUCTUEUX",$E416="ANNULE"),$C416="AOO-M"),'ENGAGEMENTS 2026'!P416,IF($H416="EN COURS DE PREENGAGEMENT",'ENGAGEMENTS 2026'!O416,IF($H416="PREENGAGE",IF($E416="ATTRIBUE",'ENGAGEMENTS 2026'!AE416,'ENGAGEMENTS 2026'!O416),'ENGAGEMENTS 2026'!AE416))))</f>
        <v/>
      </c>
      <c r="K416" s="604">
        <f>IF(ISBLANK('ENGAGEMENTS 2026'!W416),"",'ENGAGEMENTS 2026'!W416)</f>
        <v/>
      </c>
      <c r="L416" s="276">
        <f>IF($K416="","",TODAY()-$K416)</f>
        <v/>
      </c>
      <c r="M416">
        <f>IF($A416="","",IF($H416="ENGAGE","Engagé",IF(AND($H416="NON ENGAGE",OR($I416="INFRUCTUEUX",$I416="ANNULE")),"Clôturé sans suite","En cours")))</f>
        <v/>
      </c>
      <c r="N416">
        <f>IF(ISBLANK('ENGAGEMENTS 2026'!C416),"",'ENGAGEMENTS 2026'!L416)</f>
        <v/>
      </c>
      <c r="O416">
        <f>IF(ISBLANK('ENGAGEMENTS 2026'!C416),"",'ENGAGEMENTS 2026'!M416)</f>
        <v/>
      </c>
      <c r="P416">
        <f>IF(ISBLANK('ENGAGEMENTS 2026'!C416),"",'ENGAGEMENTS 2026'!K416)</f>
        <v/>
      </c>
      <c r="Q416">
        <f>IF($A416="","",IF(OR($E416="INFRUCTUEUX",$E416="ANNULE"),$A416&amp;"|"&amp;(COUNTIFS($A$2:$A416,$A416,$E$2:$E416,"INFRUCTUEUX")+COUNTIFS($A$2:$A416,$A416,$E$2:$E416,"ANNULE")),""))</f>
        <v/>
      </c>
    </row>
    <row r="417">
      <c r="A417">
        <f>IF(ISBLANK('ENGAGEMENTS 2026'!C417),"",IF('ENGAGEMENTS 2026'!C417="DTSI","DCT",'ENGAGEMENTS 2026'!C417))</f>
        <v/>
      </c>
      <c r="B417">
        <f>IF(ISBLANK('ENGAGEMENTS 2026'!C417),"",'ENGAGEMENTS 2026'!D417)</f>
        <v/>
      </c>
      <c r="C417">
        <f>IF(ISBLANK('ENGAGEMENTS 2026'!C417),"",'ENGAGEMENTS 2026'!E417)</f>
        <v/>
      </c>
      <c r="D417">
        <f>IF(ISBLANK('ENGAGEMENTS 2026'!C417),"",'ENGAGEMENTS 2026'!G417)</f>
        <v/>
      </c>
      <c r="E417">
        <f>IF(ISBLANK('ENGAGEMENTS 2026'!C417),"",'ENGAGEMENTS 2026'!I417)</f>
        <v/>
      </c>
      <c r="F417">
        <f>IF(ISBLANK('ENGAGEMENTS 2026'!C417),"",'ENGAGEMENTS 2026'!J417)</f>
        <v/>
      </c>
      <c r="G417">
        <f>IF(ISBLANK('ENGAGEMENTS 2026'!C417),"",'ENGAGEMENTS 2026'!M417)</f>
        <v/>
      </c>
      <c r="H417">
        <f>IF(ISBLANK('ENGAGEMENTS 2026'!C417),"",'ENGAGEMENTS 2026'!AF417)</f>
        <v/>
      </c>
      <c r="I417">
        <f>IF(ISBLANK('ENGAGEMENTS 2026'!C417),"",'ENGAGEMENTS 2026'!H417)</f>
        <v/>
      </c>
      <c r="J417" s="275">
        <f>IF(ISBLANK('ENGAGEMENTS 2026'!C417),"",IF(AND(OR($E417="INFRUCTUEUX",$E417="ANNULE"),$C417="AOO-M"),'ENGAGEMENTS 2026'!P417,IF($H417="EN COURS DE PREENGAGEMENT",'ENGAGEMENTS 2026'!O417,IF($H417="PREENGAGE",IF($E417="ATTRIBUE",'ENGAGEMENTS 2026'!AE417,'ENGAGEMENTS 2026'!O417),'ENGAGEMENTS 2026'!AE417))))</f>
        <v/>
      </c>
      <c r="K417" s="604">
        <f>IF(ISBLANK('ENGAGEMENTS 2026'!W417),"",'ENGAGEMENTS 2026'!W417)</f>
        <v/>
      </c>
      <c r="L417" s="276">
        <f>IF($K417="","",TODAY()-$K417)</f>
        <v/>
      </c>
      <c r="M417">
        <f>IF($A417="","",IF($H417="ENGAGE","Engagé",IF(AND($H417="NON ENGAGE",OR($I417="INFRUCTUEUX",$I417="ANNULE")),"Clôturé sans suite","En cours")))</f>
        <v/>
      </c>
      <c r="N417">
        <f>IF(ISBLANK('ENGAGEMENTS 2026'!C417),"",'ENGAGEMENTS 2026'!L417)</f>
        <v/>
      </c>
      <c r="O417">
        <f>IF(ISBLANK('ENGAGEMENTS 2026'!C417),"",'ENGAGEMENTS 2026'!M417)</f>
        <v/>
      </c>
      <c r="P417">
        <f>IF(ISBLANK('ENGAGEMENTS 2026'!C417),"",'ENGAGEMENTS 2026'!K417)</f>
        <v/>
      </c>
      <c r="Q417">
        <f>IF($A417="","",IF(OR($E417="INFRUCTUEUX",$E417="ANNULE"),$A417&amp;"|"&amp;(COUNTIFS($A$2:$A417,$A417,$E$2:$E417,"INFRUCTUEUX")+COUNTIFS($A$2:$A417,$A417,$E$2:$E417,"ANNULE")),""))</f>
        <v/>
      </c>
    </row>
    <row r="418">
      <c r="A418">
        <f>IF(ISBLANK('ENGAGEMENTS 2026'!C418),"",IF('ENGAGEMENTS 2026'!C418="DTSI","DCT",'ENGAGEMENTS 2026'!C418))</f>
        <v/>
      </c>
      <c r="B418">
        <f>IF(ISBLANK('ENGAGEMENTS 2026'!C418),"",'ENGAGEMENTS 2026'!D418)</f>
        <v/>
      </c>
      <c r="C418">
        <f>IF(ISBLANK('ENGAGEMENTS 2026'!C418),"",'ENGAGEMENTS 2026'!E418)</f>
        <v/>
      </c>
      <c r="D418">
        <f>IF(ISBLANK('ENGAGEMENTS 2026'!C418),"",'ENGAGEMENTS 2026'!G418)</f>
        <v/>
      </c>
      <c r="E418">
        <f>IF(ISBLANK('ENGAGEMENTS 2026'!C418),"",'ENGAGEMENTS 2026'!I418)</f>
        <v/>
      </c>
      <c r="F418">
        <f>IF(ISBLANK('ENGAGEMENTS 2026'!C418),"",'ENGAGEMENTS 2026'!J418)</f>
        <v/>
      </c>
      <c r="G418">
        <f>IF(ISBLANK('ENGAGEMENTS 2026'!C418),"",'ENGAGEMENTS 2026'!M418)</f>
        <v/>
      </c>
      <c r="H418">
        <f>IF(ISBLANK('ENGAGEMENTS 2026'!C418),"",'ENGAGEMENTS 2026'!AF418)</f>
        <v/>
      </c>
      <c r="I418">
        <f>IF(ISBLANK('ENGAGEMENTS 2026'!C418),"",'ENGAGEMENTS 2026'!H418)</f>
        <v/>
      </c>
      <c r="J418" s="275">
        <f>IF(ISBLANK('ENGAGEMENTS 2026'!C418),"",IF(AND(OR($E418="INFRUCTUEUX",$E418="ANNULE"),$C418="AOO-M"),'ENGAGEMENTS 2026'!P418,IF($H418="EN COURS DE PREENGAGEMENT",'ENGAGEMENTS 2026'!O418,IF($H418="PREENGAGE",IF($E418="ATTRIBUE",'ENGAGEMENTS 2026'!AE418,'ENGAGEMENTS 2026'!O418),'ENGAGEMENTS 2026'!AE418))))</f>
        <v/>
      </c>
      <c r="K418" s="604">
        <f>IF(ISBLANK('ENGAGEMENTS 2026'!W418),"",'ENGAGEMENTS 2026'!W418)</f>
        <v/>
      </c>
      <c r="L418" s="276">
        <f>IF($K418="","",TODAY()-$K418)</f>
        <v/>
      </c>
      <c r="M418">
        <f>IF($A418="","",IF($H418="ENGAGE","Engagé",IF(AND($H418="NON ENGAGE",OR($I418="INFRUCTUEUX",$I418="ANNULE")),"Clôturé sans suite","En cours")))</f>
        <v/>
      </c>
      <c r="N418">
        <f>IF(ISBLANK('ENGAGEMENTS 2026'!C418),"",'ENGAGEMENTS 2026'!L418)</f>
        <v/>
      </c>
      <c r="O418">
        <f>IF(ISBLANK('ENGAGEMENTS 2026'!C418),"",'ENGAGEMENTS 2026'!M418)</f>
        <v/>
      </c>
      <c r="P418">
        <f>IF(ISBLANK('ENGAGEMENTS 2026'!C418),"",'ENGAGEMENTS 2026'!K418)</f>
        <v/>
      </c>
      <c r="Q418">
        <f>IF($A418="","",IF(OR($E418="INFRUCTUEUX",$E418="ANNULE"),$A418&amp;"|"&amp;(COUNTIFS($A$2:$A418,$A418,$E$2:$E418,"INFRUCTUEUX")+COUNTIFS($A$2:$A418,$A418,$E$2:$E418,"ANNULE")),""))</f>
        <v/>
      </c>
    </row>
    <row r="419">
      <c r="A419">
        <f>IF(ISBLANK('ENGAGEMENTS 2026'!C419),"",IF('ENGAGEMENTS 2026'!C419="DTSI","DCT",'ENGAGEMENTS 2026'!C419))</f>
        <v/>
      </c>
      <c r="B419">
        <f>IF(ISBLANK('ENGAGEMENTS 2026'!C419),"",'ENGAGEMENTS 2026'!D419)</f>
        <v/>
      </c>
      <c r="C419">
        <f>IF(ISBLANK('ENGAGEMENTS 2026'!C419),"",'ENGAGEMENTS 2026'!E419)</f>
        <v/>
      </c>
      <c r="D419">
        <f>IF(ISBLANK('ENGAGEMENTS 2026'!C419),"",'ENGAGEMENTS 2026'!G419)</f>
        <v/>
      </c>
      <c r="E419">
        <f>IF(ISBLANK('ENGAGEMENTS 2026'!C419),"",'ENGAGEMENTS 2026'!I419)</f>
        <v/>
      </c>
      <c r="F419">
        <f>IF(ISBLANK('ENGAGEMENTS 2026'!C419),"",'ENGAGEMENTS 2026'!J419)</f>
        <v/>
      </c>
      <c r="G419">
        <f>IF(ISBLANK('ENGAGEMENTS 2026'!C419),"",'ENGAGEMENTS 2026'!M419)</f>
        <v/>
      </c>
      <c r="H419">
        <f>IF(ISBLANK('ENGAGEMENTS 2026'!C419),"",'ENGAGEMENTS 2026'!AF419)</f>
        <v/>
      </c>
      <c r="I419">
        <f>IF(ISBLANK('ENGAGEMENTS 2026'!C419),"",'ENGAGEMENTS 2026'!H419)</f>
        <v/>
      </c>
      <c r="J419" s="275">
        <f>IF(ISBLANK('ENGAGEMENTS 2026'!C419),"",IF(AND(OR($E419="INFRUCTUEUX",$E419="ANNULE"),$C419="AOO-M"),'ENGAGEMENTS 2026'!P419,IF($H419="EN COURS DE PREENGAGEMENT",'ENGAGEMENTS 2026'!O419,IF($H419="PREENGAGE",IF($E419="ATTRIBUE",'ENGAGEMENTS 2026'!AE419,'ENGAGEMENTS 2026'!O419),'ENGAGEMENTS 2026'!AE419))))</f>
        <v/>
      </c>
      <c r="K419" s="604">
        <f>IF(ISBLANK('ENGAGEMENTS 2026'!W419),"",'ENGAGEMENTS 2026'!W419)</f>
        <v/>
      </c>
      <c r="L419" s="276">
        <f>IF($K419="","",TODAY()-$K419)</f>
        <v/>
      </c>
      <c r="M419">
        <f>IF($A419="","",IF($H419="ENGAGE","Engagé",IF(AND($H419="NON ENGAGE",OR($I419="INFRUCTUEUX",$I419="ANNULE")),"Clôturé sans suite","En cours")))</f>
        <v/>
      </c>
      <c r="N419">
        <f>IF(ISBLANK('ENGAGEMENTS 2026'!C419),"",'ENGAGEMENTS 2026'!L419)</f>
        <v/>
      </c>
      <c r="O419">
        <f>IF(ISBLANK('ENGAGEMENTS 2026'!C419),"",'ENGAGEMENTS 2026'!M419)</f>
        <v/>
      </c>
      <c r="P419">
        <f>IF(ISBLANK('ENGAGEMENTS 2026'!C419),"",'ENGAGEMENTS 2026'!K419)</f>
        <v/>
      </c>
      <c r="Q419">
        <f>IF($A419="","",IF(OR($E419="INFRUCTUEUX",$E419="ANNULE"),$A419&amp;"|"&amp;(COUNTIFS($A$2:$A419,$A419,$E$2:$E419,"INFRUCTUEUX")+COUNTIFS($A$2:$A419,$A419,$E$2:$E419,"ANNULE")),""))</f>
        <v/>
      </c>
    </row>
    <row r="420">
      <c r="A420">
        <f>IF(ISBLANK('ENGAGEMENTS 2026'!C420),"",IF('ENGAGEMENTS 2026'!C420="DTSI","DCT",'ENGAGEMENTS 2026'!C420))</f>
        <v/>
      </c>
      <c r="B420">
        <f>IF(ISBLANK('ENGAGEMENTS 2026'!C420),"",'ENGAGEMENTS 2026'!D420)</f>
        <v/>
      </c>
      <c r="C420">
        <f>IF(ISBLANK('ENGAGEMENTS 2026'!C420),"",'ENGAGEMENTS 2026'!E420)</f>
        <v/>
      </c>
      <c r="D420">
        <f>IF(ISBLANK('ENGAGEMENTS 2026'!C420),"",'ENGAGEMENTS 2026'!G420)</f>
        <v/>
      </c>
      <c r="E420">
        <f>IF(ISBLANK('ENGAGEMENTS 2026'!C420),"",'ENGAGEMENTS 2026'!I420)</f>
        <v/>
      </c>
      <c r="F420">
        <f>IF(ISBLANK('ENGAGEMENTS 2026'!C420),"",'ENGAGEMENTS 2026'!J420)</f>
        <v/>
      </c>
      <c r="G420">
        <f>IF(ISBLANK('ENGAGEMENTS 2026'!C420),"",'ENGAGEMENTS 2026'!M420)</f>
        <v/>
      </c>
      <c r="H420">
        <f>IF(ISBLANK('ENGAGEMENTS 2026'!C420),"",'ENGAGEMENTS 2026'!AF420)</f>
        <v/>
      </c>
      <c r="I420">
        <f>IF(ISBLANK('ENGAGEMENTS 2026'!C420),"",'ENGAGEMENTS 2026'!H420)</f>
        <v/>
      </c>
      <c r="J420" s="275">
        <f>IF(ISBLANK('ENGAGEMENTS 2026'!C420),"",IF(AND(OR($E420="INFRUCTUEUX",$E420="ANNULE"),$C420="AOO-M"),'ENGAGEMENTS 2026'!P420,IF($H420="EN COURS DE PREENGAGEMENT",'ENGAGEMENTS 2026'!O420,IF($H420="PREENGAGE",IF($E420="ATTRIBUE",'ENGAGEMENTS 2026'!AE420,'ENGAGEMENTS 2026'!O420),'ENGAGEMENTS 2026'!AE420))))</f>
        <v/>
      </c>
      <c r="K420" s="604">
        <f>IF(ISBLANK('ENGAGEMENTS 2026'!W420),"",'ENGAGEMENTS 2026'!W420)</f>
        <v/>
      </c>
      <c r="L420" s="276">
        <f>IF($K420="","",TODAY()-$K420)</f>
        <v/>
      </c>
      <c r="M420">
        <f>IF($A420="","",IF($H420="ENGAGE","Engagé",IF(AND($H420="NON ENGAGE",OR($I420="INFRUCTUEUX",$I420="ANNULE")),"Clôturé sans suite","En cours")))</f>
        <v/>
      </c>
      <c r="N420">
        <f>IF(ISBLANK('ENGAGEMENTS 2026'!C420),"",'ENGAGEMENTS 2026'!L420)</f>
        <v/>
      </c>
      <c r="O420">
        <f>IF(ISBLANK('ENGAGEMENTS 2026'!C420),"",'ENGAGEMENTS 2026'!M420)</f>
        <v/>
      </c>
      <c r="P420">
        <f>IF(ISBLANK('ENGAGEMENTS 2026'!C420),"",'ENGAGEMENTS 2026'!K420)</f>
        <v/>
      </c>
      <c r="Q420">
        <f>IF($A420="","",IF(OR($E420="INFRUCTUEUX",$E420="ANNULE"),$A420&amp;"|"&amp;(COUNTIFS($A$2:$A420,$A420,$E$2:$E420,"INFRUCTUEUX")+COUNTIFS($A$2:$A420,$A420,$E$2:$E420,"ANNULE")),""))</f>
        <v/>
      </c>
    </row>
    <row r="421">
      <c r="A421">
        <f>IF(ISBLANK('ENGAGEMENTS 2026'!C421),"",IF('ENGAGEMENTS 2026'!C421="DTSI","DCT",'ENGAGEMENTS 2026'!C421))</f>
        <v/>
      </c>
      <c r="B421">
        <f>IF(ISBLANK('ENGAGEMENTS 2026'!C421),"",'ENGAGEMENTS 2026'!D421)</f>
        <v/>
      </c>
      <c r="C421">
        <f>IF(ISBLANK('ENGAGEMENTS 2026'!C421),"",'ENGAGEMENTS 2026'!E421)</f>
        <v/>
      </c>
      <c r="D421">
        <f>IF(ISBLANK('ENGAGEMENTS 2026'!C421),"",'ENGAGEMENTS 2026'!G421)</f>
        <v/>
      </c>
      <c r="E421">
        <f>IF(ISBLANK('ENGAGEMENTS 2026'!C421),"",'ENGAGEMENTS 2026'!I421)</f>
        <v/>
      </c>
      <c r="F421">
        <f>IF(ISBLANK('ENGAGEMENTS 2026'!C421),"",'ENGAGEMENTS 2026'!J421)</f>
        <v/>
      </c>
      <c r="G421">
        <f>IF(ISBLANK('ENGAGEMENTS 2026'!C421),"",'ENGAGEMENTS 2026'!M421)</f>
        <v/>
      </c>
      <c r="H421">
        <f>IF(ISBLANK('ENGAGEMENTS 2026'!C421),"",'ENGAGEMENTS 2026'!AF421)</f>
        <v/>
      </c>
      <c r="I421">
        <f>IF(ISBLANK('ENGAGEMENTS 2026'!C421),"",'ENGAGEMENTS 2026'!H421)</f>
        <v/>
      </c>
      <c r="J421" s="275">
        <f>IF(ISBLANK('ENGAGEMENTS 2026'!C421),"",IF(AND(OR($E421="INFRUCTUEUX",$E421="ANNULE"),$C421="AOO-M"),'ENGAGEMENTS 2026'!P421,IF($H421="EN COURS DE PREENGAGEMENT",'ENGAGEMENTS 2026'!O421,IF($H421="PREENGAGE",IF($E421="ATTRIBUE",'ENGAGEMENTS 2026'!AE421,'ENGAGEMENTS 2026'!O421),'ENGAGEMENTS 2026'!AE421))))</f>
        <v/>
      </c>
      <c r="K421" s="604">
        <f>IF(ISBLANK('ENGAGEMENTS 2026'!W421),"",'ENGAGEMENTS 2026'!W421)</f>
        <v/>
      </c>
      <c r="L421" s="276">
        <f>IF($K421="","",TODAY()-$K421)</f>
        <v/>
      </c>
      <c r="M421">
        <f>IF($A421="","",IF($H421="ENGAGE","Engagé",IF(AND($H421="NON ENGAGE",OR($I421="INFRUCTUEUX",$I421="ANNULE")),"Clôturé sans suite","En cours")))</f>
        <v/>
      </c>
      <c r="N421">
        <f>IF(ISBLANK('ENGAGEMENTS 2026'!C421),"",'ENGAGEMENTS 2026'!L421)</f>
        <v/>
      </c>
      <c r="O421">
        <f>IF(ISBLANK('ENGAGEMENTS 2026'!C421),"",'ENGAGEMENTS 2026'!M421)</f>
        <v/>
      </c>
      <c r="P421">
        <f>IF(ISBLANK('ENGAGEMENTS 2026'!C421),"",'ENGAGEMENTS 2026'!K421)</f>
        <v/>
      </c>
      <c r="Q421">
        <f>IF($A421="","",IF(OR($E421="INFRUCTUEUX",$E421="ANNULE"),$A421&amp;"|"&amp;(COUNTIFS($A$2:$A421,$A421,$E$2:$E421,"INFRUCTUEUX")+COUNTIFS($A$2:$A421,$A421,$E$2:$E421,"ANNULE")),""))</f>
        <v/>
      </c>
    </row>
    <row r="422">
      <c r="A422">
        <f>IF(ISBLANK('ENGAGEMENTS 2026'!C422),"",IF('ENGAGEMENTS 2026'!C422="DTSI","DCT",'ENGAGEMENTS 2026'!C422))</f>
        <v/>
      </c>
      <c r="B422">
        <f>IF(ISBLANK('ENGAGEMENTS 2026'!C422),"",'ENGAGEMENTS 2026'!D422)</f>
        <v/>
      </c>
      <c r="C422">
        <f>IF(ISBLANK('ENGAGEMENTS 2026'!C422),"",'ENGAGEMENTS 2026'!E422)</f>
        <v/>
      </c>
      <c r="D422">
        <f>IF(ISBLANK('ENGAGEMENTS 2026'!C422),"",'ENGAGEMENTS 2026'!G422)</f>
        <v/>
      </c>
      <c r="E422">
        <f>IF(ISBLANK('ENGAGEMENTS 2026'!C422),"",'ENGAGEMENTS 2026'!I422)</f>
        <v/>
      </c>
      <c r="F422">
        <f>IF(ISBLANK('ENGAGEMENTS 2026'!C422),"",'ENGAGEMENTS 2026'!J422)</f>
        <v/>
      </c>
      <c r="G422">
        <f>IF(ISBLANK('ENGAGEMENTS 2026'!C422),"",'ENGAGEMENTS 2026'!M422)</f>
        <v/>
      </c>
      <c r="H422">
        <f>IF(ISBLANK('ENGAGEMENTS 2026'!C422),"",'ENGAGEMENTS 2026'!AF422)</f>
        <v/>
      </c>
      <c r="I422">
        <f>IF(ISBLANK('ENGAGEMENTS 2026'!C422),"",'ENGAGEMENTS 2026'!H422)</f>
        <v/>
      </c>
      <c r="J422" s="275">
        <f>IF(ISBLANK('ENGAGEMENTS 2026'!C422),"",IF(AND(OR($E422="INFRUCTUEUX",$E422="ANNULE"),$C422="AOO-M"),'ENGAGEMENTS 2026'!P422,IF($H422="EN COURS DE PREENGAGEMENT",'ENGAGEMENTS 2026'!O422,IF($H422="PREENGAGE",IF($E422="ATTRIBUE",'ENGAGEMENTS 2026'!AE422,'ENGAGEMENTS 2026'!O422),'ENGAGEMENTS 2026'!AE422))))</f>
        <v/>
      </c>
      <c r="K422" s="604">
        <f>IF(ISBLANK('ENGAGEMENTS 2026'!W422),"",'ENGAGEMENTS 2026'!W422)</f>
        <v/>
      </c>
      <c r="L422" s="276">
        <f>IF($K422="","",TODAY()-$K422)</f>
        <v/>
      </c>
      <c r="M422">
        <f>IF($A422="","",IF($H422="ENGAGE","Engagé",IF(AND($H422="NON ENGAGE",OR($I422="INFRUCTUEUX",$I422="ANNULE")),"Clôturé sans suite","En cours")))</f>
        <v/>
      </c>
      <c r="N422">
        <f>IF(ISBLANK('ENGAGEMENTS 2026'!C422),"",'ENGAGEMENTS 2026'!L422)</f>
        <v/>
      </c>
      <c r="O422">
        <f>IF(ISBLANK('ENGAGEMENTS 2026'!C422),"",'ENGAGEMENTS 2026'!M422)</f>
        <v/>
      </c>
      <c r="P422">
        <f>IF(ISBLANK('ENGAGEMENTS 2026'!C422),"",'ENGAGEMENTS 2026'!K422)</f>
        <v/>
      </c>
      <c r="Q422">
        <f>IF($A422="","",IF(OR($E422="INFRUCTUEUX",$E422="ANNULE"),$A422&amp;"|"&amp;(COUNTIFS($A$2:$A422,$A422,$E$2:$E422,"INFRUCTUEUX")+COUNTIFS($A$2:$A422,$A422,$E$2:$E422,"ANNULE")),""))</f>
        <v/>
      </c>
    </row>
    <row r="423">
      <c r="A423">
        <f>IF(ISBLANK('ENGAGEMENTS 2026'!C423),"",IF('ENGAGEMENTS 2026'!C423="DTSI","DCT",'ENGAGEMENTS 2026'!C423))</f>
        <v/>
      </c>
      <c r="B423">
        <f>IF(ISBLANK('ENGAGEMENTS 2026'!C423),"",'ENGAGEMENTS 2026'!D423)</f>
        <v/>
      </c>
      <c r="C423">
        <f>IF(ISBLANK('ENGAGEMENTS 2026'!C423),"",'ENGAGEMENTS 2026'!E423)</f>
        <v/>
      </c>
      <c r="D423">
        <f>IF(ISBLANK('ENGAGEMENTS 2026'!C423),"",'ENGAGEMENTS 2026'!G423)</f>
        <v/>
      </c>
      <c r="E423">
        <f>IF(ISBLANK('ENGAGEMENTS 2026'!C423),"",'ENGAGEMENTS 2026'!I423)</f>
        <v/>
      </c>
      <c r="F423">
        <f>IF(ISBLANK('ENGAGEMENTS 2026'!C423),"",'ENGAGEMENTS 2026'!J423)</f>
        <v/>
      </c>
      <c r="G423">
        <f>IF(ISBLANK('ENGAGEMENTS 2026'!C423),"",'ENGAGEMENTS 2026'!M423)</f>
        <v/>
      </c>
      <c r="H423">
        <f>IF(ISBLANK('ENGAGEMENTS 2026'!C423),"",'ENGAGEMENTS 2026'!AF423)</f>
        <v/>
      </c>
      <c r="I423">
        <f>IF(ISBLANK('ENGAGEMENTS 2026'!C423),"",'ENGAGEMENTS 2026'!H423)</f>
        <v/>
      </c>
      <c r="J423" s="275">
        <f>IF(ISBLANK('ENGAGEMENTS 2026'!C423),"",IF(AND(OR($E423="INFRUCTUEUX",$E423="ANNULE"),$C423="AOO-M"),'ENGAGEMENTS 2026'!P423,IF($H423="EN COURS DE PREENGAGEMENT",'ENGAGEMENTS 2026'!O423,IF($H423="PREENGAGE",IF($E423="ATTRIBUE",'ENGAGEMENTS 2026'!AE423,'ENGAGEMENTS 2026'!O423),'ENGAGEMENTS 2026'!AE423))))</f>
        <v/>
      </c>
      <c r="K423" s="604">
        <f>IF(ISBLANK('ENGAGEMENTS 2026'!W423),"",'ENGAGEMENTS 2026'!W423)</f>
        <v/>
      </c>
      <c r="L423" s="276">
        <f>IF($K423="","",TODAY()-$K423)</f>
        <v/>
      </c>
      <c r="M423">
        <f>IF($A423="","",IF($H423="ENGAGE","Engagé",IF(AND($H423="NON ENGAGE",OR($I423="INFRUCTUEUX",$I423="ANNULE")),"Clôturé sans suite","En cours")))</f>
        <v/>
      </c>
      <c r="N423">
        <f>IF(ISBLANK('ENGAGEMENTS 2026'!C423),"",'ENGAGEMENTS 2026'!L423)</f>
        <v/>
      </c>
      <c r="O423">
        <f>IF(ISBLANK('ENGAGEMENTS 2026'!C423),"",'ENGAGEMENTS 2026'!M423)</f>
        <v/>
      </c>
      <c r="P423">
        <f>IF(ISBLANK('ENGAGEMENTS 2026'!C423),"",'ENGAGEMENTS 2026'!K423)</f>
        <v/>
      </c>
      <c r="Q423">
        <f>IF($A423="","",IF(OR($E423="INFRUCTUEUX",$E423="ANNULE"),$A423&amp;"|"&amp;(COUNTIFS($A$2:$A423,$A423,$E$2:$E423,"INFRUCTUEUX")+COUNTIFS($A$2:$A423,$A423,$E$2:$E423,"ANNULE")),""))</f>
        <v/>
      </c>
    </row>
    <row r="424">
      <c r="A424">
        <f>IF(ISBLANK('ENGAGEMENTS 2026'!C424),"",IF('ENGAGEMENTS 2026'!C424="DTSI","DCT",'ENGAGEMENTS 2026'!C424))</f>
        <v/>
      </c>
      <c r="B424">
        <f>IF(ISBLANK('ENGAGEMENTS 2026'!C424),"",'ENGAGEMENTS 2026'!D424)</f>
        <v/>
      </c>
      <c r="C424">
        <f>IF(ISBLANK('ENGAGEMENTS 2026'!C424),"",'ENGAGEMENTS 2026'!E424)</f>
        <v/>
      </c>
      <c r="D424">
        <f>IF(ISBLANK('ENGAGEMENTS 2026'!C424),"",'ENGAGEMENTS 2026'!G424)</f>
        <v/>
      </c>
      <c r="E424">
        <f>IF(ISBLANK('ENGAGEMENTS 2026'!C424),"",'ENGAGEMENTS 2026'!I424)</f>
        <v/>
      </c>
      <c r="F424">
        <f>IF(ISBLANK('ENGAGEMENTS 2026'!C424),"",'ENGAGEMENTS 2026'!J424)</f>
        <v/>
      </c>
      <c r="G424">
        <f>IF(ISBLANK('ENGAGEMENTS 2026'!C424),"",'ENGAGEMENTS 2026'!M424)</f>
        <v/>
      </c>
      <c r="H424">
        <f>IF(ISBLANK('ENGAGEMENTS 2026'!C424),"",'ENGAGEMENTS 2026'!AF424)</f>
        <v/>
      </c>
      <c r="I424">
        <f>IF(ISBLANK('ENGAGEMENTS 2026'!C424),"",'ENGAGEMENTS 2026'!H424)</f>
        <v/>
      </c>
      <c r="J424" s="275">
        <f>IF(ISBLANK('ENGAGEMENTS 2026'!C424),"",IF(AND(OR($E424="INFRUCTUEUX",$E424="ANNULE"),$C424="AOO-M"),'ENGAGEMENTS 2026'!P424,IF($H424="EN COURS DE PREENGAGEMENT",'ENGAGEMENTS 2026'!O424,IF($H424="PREENGAGE",IF($E424="ATTRIBUE",'ENGAGEMENTS 2026'!AE424,'ENGAGEMENTS 2026'!O424),'ENGAGEMENTS 2026'!AE424))))</f>
        <v/>
      </c>
      <c r="K424" s="604">
        <f>IF(ISBLANK('ENGAGEMENTS 2026'!W424),"",'ENGAGEMENTS 2026'!W424)</f>
        <v/>
      </c>
      <c r="L424" s="276">
        <f>IF($K424="","",TODAY()-$K424)</f>
        <v/>
      </c>
      <c r="M424">
        <f>IF($A424="","",IF($H424="ENGAGE","Engagé",IF(AND($H424="NON ENGAGE",OR($I424="INFRUCTUEUX",$I424="ANNULE")),"Clôturé sans suite","En cours")))</f>
        <v/>
      </c>
      <c r="N424">
        <f>IF(ISBLANK('ENGAGEMENTS 2026'!C424),"",'ENGAGEMENTS 2026'!L424)</f>
        <v/>
      </c>
      <c r="O424">
        <f>IF(ISBLANK('ENGAGEMENTS 2026'!C424),"",'ENGAGEMENTS 2026'!M424)</f>
        <v/>
      </c>
      <c r="P424">
        <f>IF(ISBLANK('ENGAGEMENTS 2026'!C424),"",'ENGAGEMENTS 2026'!K424)</f>
        <v/>
      </c>
      <c r="Q424">
        <f>IF($A424="","",IF(OR($E424="INFRUCTUEUX",$E424="ANNULE"),$A424&amp;"|"&amp;(COUNTIFS($A$2:$A424,$A424,$E$2:$E424,"INFRUCTUEUX")+COUNTIFS($A$2:$A424,$A424,$E$2:$E424,"ANNULE")),""))</f>
        <v/>
      </c>
    </row>
    <row r="425">
      <c r="A425">
        <f>IF(ISBLANK('ENGAGEMENTS 2026'!C425),"",IF('ENGAGEMENTS 2026'!C425="DTSI","DCT",'ENGAGEMENTS 2026'!C425))</f>
        <v/>
      </c>
      <c r="B425">
        <f>IF(ISBLANK('ENGAGEMENTS 2026'!C425),"",'ENGAGEMENTS 2026'!D425)</f>
        <v/>
      </c>
      <c r="C425">
        <f>IF(ISBLANK('ENGAGEMENTS 2026'!C425),"",'ENGAGEMENTS 2026'!E425)</f>
        <v/>
      </c>
      <c r="D425">
        <f>IF(ISBLANK('ENGAGEMENTS 2026'!C425),"",'ENGAGEMENTS 2026'!G425)</f>
        <v/>
      </c>
      <c r="E425">
        <f>IF(ISBLANK('ENGAGEMENTS 2026'!C425),"",'ENGAGEMENTS 2026'!I425)</f>
        <v/>
      </c>
      <c r="F425">
        <f>IF(ISBLANK('ENGAGEMENTS 2026'!C425),"",'ENGAGEMENTS 2026'!J425)</f>
        <v/>
      </c>
      <c r="G425">
        <f>IF(ISBLANK('ENGAGEMENTS 2026'!C425),"",'ENGAGEMENTS 2026'!M425)</f>
        <v/>
      </c>
      <c r="H425">
        <f>IF(ISBLANK('ENGAGEMENTS 2026'!C425),"",'ENGAGEMENTS 2026'!AF425)</f>
        <v/>
      </c>
      <c r="I425">
        <f>IF(ISBLANK('ENGAGEMENTS 2026'!C425),"",'ENGAGEMENTS 2026'!H425)</f>
        <v/>
      </c>
      <c r="J425" s="275">
        <f>IF(ISBLANK('ENGAGEMENTS 2026'!C425),"",IF(AND(OR($E425="INFRUCTUEUX",$E425="ANNULE"),$C425="AOO-M"),'ENGAGEMENTS 2026'!P425,IF($H425="EN COURS DE PREENGAGEMENT",'ENGAGEMENTS 2026'!O425,IF($H425="PREENGAGE",IF($E425="ATTRIBUE",'ENGAGEMENTS 2026'!AE425,'ENGAGEMENTS 2026'!O425),'ENGAGEMENTS 2026'!AE425))))</f>
        <v/>
      </c>
      <c r="K425" s="604">
        <f>IF(ISBLANK('ENGAGEMENTS 2026'!W425),"",'ENGAGEMENTS 2026'!W425)</f>
        <v/>
      </c>
      <c r="L425" s="276">
        <f>IF($K425="","",TODAY()-$K425)</f>
        <v/>
      </c>
      <c r="M425">
        <f>IF($A425="","",IF($H425="ENGAGE","Engagé",IF(AND($H425="NON ENGAGE",OR($I425="INFRUCTUEUX",$I425="ANNULE")),"Clôturé sans suite","En cours")))</f>
        <v/>
      </c>
      <c r="N425">
        <f>IF(ISBLANK('ENGAGEMENTS 2026'!C425),"",'ENGAGEMENTS 2026'!L425)</f>
        <v/>
      </c>
      <c r="O425">
        <f>IF(ISBLANK('ENGAGEMENTS 2026'!C425),"",'ENGAGEMENTS 2026'!M425)</f>
        <v/>
      </c>
      <c r="P425">
        <f>IF(ISBLANK('ENGAGEMENTS 2026'!C425),"",'ENGAGEMENTS 2026'!K425)</f>
        <v/>
      </c>
      <c r="Q425">
        <f>IF($A425="","",IF(OR($E425="INFRUCTUEUX",$E425="ANNULE"),$A425&amp;"|"&amp;(COUNTIFS($A$2:$A425,$A425,$E$2:$E425,"INFRUCTUEUX")+COUNTIFS($A$2:$A425,$A425,$E$2:$E425,"ANNULE")),""))</f>
        <v/>
      </c>
    </row>
    <row r="426">
      <c r="A426">
        <f>IF(ISBLANK('ENGAGEMENTS 2026'!C426),"",IF('ENGAGEMENTS 2026'!C426="DTSI","DCT",'ENGAGEMENTS 2026'!C426))</f>
        <v/>
      </c>
      <c r="B426">
        <f>IF(ISBLANK('ENGAGEMENTS 2026'!C426),"",'ENGAGEMENTS 2026'!D426)</f>
        <v/>
      </c>
      <c r="C426">
        <f>IF(ISBLANK('ENGAGEMENTS 2026'!C426),"",'ENGAGEMENTS 2026'!E426)</f>
        <v/>
      </c>
      <c r="D426">
        <f>IF(ISBLANK('ENGAGEMENTS 2026'!C426),"",'ENGAGEMENTS 2026'!G426)</f>
        <v/>
      </c>
      <c r="E426">
        <f>IF(ISBLANK('ENGAGEMENTS 2026'!C426),"",'ENGAGEMENTS 2026'!I426)</f>
        <v/>
      </c>
      <c r="F426">
        <f>IF(ISBLANK('ENGAGEMENTS 2026'!C426),"",'ENGAGEMENTS 2026'!J426)</f>
        <v/>
      </c>
      <c r="G426">
        <f>IF(ISBLANK('ENGAGEMENTS 2026'!C426),"",'ENGAGEMENTS 2026'!M426)</f>
        <v/>
      </c>
      <c r="H426">
        <f>IF(ISBLANK('ENGAGEMENTS 2026'!C426),"",'ENGAGEMENTS 2026'!AF426)</f>
        <v/>
      </c>
      <c r="I426">
        <f>IF(ISBLANK('ENGAGEMENTS 2026'!C426),"",'ENGAGEMENTS 2026'!H426)</f>
        <v/>
      </c>
      <c r="J426" s="275">
        <f>IF(ISBLANK('ENGAGEMENTS 2026'!C426),"",IF(AND(OR($E426="INFRUCTUEUX",$E426="ANNULE"),$C426="AOO-M"),'ENGAGEMENTS 2026'!P426,IF($H426="EN COURS DE PREENGAGEMENT",'ENGAGEMENTS 2026'!O426,IF($H426="PREENGAGE",IF($E426="ATTRIBUE",'ENGAGEMENTS 2026'!AE426,'ENGAGEMENTS 2026'!O426),'ENGAGEMENTS 2026'!AE426))))</f>
        <v/>
      </c>
      <c r="K426" s="604">
        <f>IF(ISBLANK('ENGAGEMENTS 2026'!W426),"",'ENGAGEMENTS 2026'!W426)</f>
        <v/>
      </c>
      <c r="L426" s="276">
        <f>IF($K426="","",TODAY()-$K426)</f>
        <v/>
      </c>
      <c r="M426">
        <f>IF($A426="","",IF($H426="ENGAGE","Engagé",IF(AND($H426="NON ENGAGE",OR($I426="INFRUCTUEUX",$I426="ANNULE")),"Clôturé sans suite","En cours")))</f>
        <v/>
      </c>
      <c r="N426">
        <f>IF(ISBLANK('ENGAGEMENTS 2026'!C426),"",'ENGAGEMENTS 2026'!L426)</f>
        <v/>
      </c>
      <c r="O426">
        <f>IF(ISBLANK('ENGAGEMENTS 2026'!C426),"",'ENGAGEMENTS 2026'!M426)</f>
        <v/>
      </c>
      <c r="P426">
        <f>IF(ISBLANK('ENGAGEMENTS 2026'!C426),"",'ENGAGEMENTS 2026'!K426)</f>
        <v/>
      </c>
      <c r="Q426">
        <f>IF($A426="","",IF(OR($E426="INFRUCTUEUX",$E426="ANNULE"),$A426&amp;"|"&amp;(COUNTIFS($A$2:$A426,$A426,$E$2:$E426,"INFRUCTUEUX")+COUNTIFS($A$2:$A426,$A426,$E$2:$E426,"ANNULE")),""))</f>
        <v/>
      </c>
    </row>
    <row r="427">
      <c r="A427">
        <f>IF(ISBLANK('ENGAGEMENTS 2026'!C427),"",IF('ENGAGEMENTS 2026'!C427="DTSI","DCT",'ENGAGEMENTS 2026'!C427))</f>
        <v/>
      </c>
      <c r="B427">
        <f>IF(ISBLANK('ENGAGEMENTS 2026'!C427),"",'ENGAGEMENTS 2026'!D427)</f>
        <v/>
      </c>
      <c r="C427">
        <f>IF(ISBLANK('ENGAGEMENTS 2026'!C427),"",'ENGAGEMENTS 2026'!E427)</f>
        <v/>
      </c>
      <c r="D427">
        <f>IF(ISBLANK('ENGAGEMENTS 2026'!C427),"",'ENGAGEMENTS 2026'!G427)</f>
        <v/>
      </c>
      <c r="E427">
        <f>IF(ISBLANK('ENGAGEMENTS 2026'!C427),"",'ENGAGEMENTS 2026'!I427)</f>
        <v/>
      </c>
      <c r="F427">
        <f>IF(ISBLANK('ENGAGEMENTS 2026'!C427),"",'ENGAGEMENTS 2026'!J427)</f>
        <v/>
      </c>
      <c r="G427">
        <f>IF(ISBLANK('ENGAGEMENTS 2026'!C427),"",'ENGAGEMENTS 2026'!M427)</f>
        <v/>
      </c>
      <c r="H427">
        <f>IF(ISBLANK('ENGAGEMENTS 2026'!C427),"",'ENGAGEMENTS 2026'!AF427)</f>
        <v/>
      </c>
      <c r="I427">
        <f>IF(ISBLANK('ENGAGEMENTS 2026'!C427),"",'ENGAGEMENTS 2026'!H427)</f>
        <v/>
      </c>
      <c r="J427" s="275">
        <f>IF(ISBLANK('ENGAGEMENTS 2026'!C427),"",IF(AND(OR($E427="INFRUCTUEUX",$E427="ANNULE"),$C427="AOO-M"),'ENGAGEMENTS 2026'!P427,IF($H427="EN COURS DE PREENGAGEMENT",'ENGAGEMENTS 2026'!O427,IF($H427="PREENGAGE",IF($E427="ATTRIBUE",'ENGAGEMENTS 2026'!AE427,'ENGAGEMENTS 2026'!O427),'ENGAGEMENTS 2026'!AE427))))</f>
        <v/>
      </c>
      <c r="K427" s="604">
        <f>IF(ISBLANK('ENGAGEMENTS 2026'!W427),"",'ENGAGEMENTS 2026'!W427)</f>
        <v/>
      </c>
      <c r="L427" s="276">
        <f>IF($K427="","",TODAY()-$K427)</f>
        <v/>
      </c>
      <c r="M427">
        <f>IF($A427="","",IF($H427="ENGAGE","Engagé",IF(AND($H427="NON ENGAGE",OR($I427="INFRUCTUEUX",$I427="ANNULE")),"Clôturé sans suite","En cours")))</f>
        <v/>
      </c>
      <c r="N427">
        <f>IF(ISBLANK('ENGAGEMENTS 2026'!C427),"",'ENGAGEMENTS 2026'!L427)</f>
        <v/>
      </c>
      <c r="O427">
        <f>IF(ISBLANK('ENGAGEMENTS 2026'!C427),"",'ENGAGEMENTS 2026'!M427)</f>
        <v/>
      </c>
      <c r="P427">
        <f>IF(ISBLANK('ENGAGEMENTS 2026'!C427),"",'ENGAGEMENTS 2026'!K427)</f>
        <v/>
      </c>
      <c r="Q427">
        <f>IF($A427="","",IF(OR($E427="INFRUCTUEUX",$E427="ANNULE"),$A427&amp;"|"&amp;(COUNTIFS($A$2:$A427,$A427,$E$2:$E427,"INFRUCTUEUX")+COUNTIFS($A$2:$A427,$A427,$E$2:$E427,"ANNULE")),""))</f>
        <v/>
      </c>
    </row>
    <row r="428">
      <c r="A428">
        <f>IF(ISBLANK('ENGAGEMENTS 2026'!C428),"",IF('ENGAGEMENTS 2026'!C428="DTSI","DCT",'ENGAGEMENTS 2026'!C428))</f>
        <v/>
      </c>
      <c r="B428">
        <f>IF(ISBLANK('ENGAGEMENTS 2026'!C428),"",'ENGAGEMENTS 2026'!D428)</f>
        <v/>
      </c>
      <c r="C428">
        <f>IF(ISBLANK('ENGAGEMENTS 2026'!C428),"",'ENGAGEMENTS 2026'!E428)</f>
        <v/>
      </c>
      <c r="D428">
        <f>IF(ISBLANK('ENGAGEMENTS 2026'!C428),"",'ENGAGEMENTS 2026'!G428)</f>
        <v/>
      </c>
      <c r="E428">
        <f>IF(ISBLANK('ENGAGEMENTS 2026'!C428),"",'ENGAGEMENTS 2026'!I428)</f>
        <v/>
      </c>
      <c r="F428">
        <f>IF(ISBLANK('ENGAGEMENTS 2026'!C428),"",'ENGAGEMENTS 2026'!J428)</f>
        <v/>
      </c>
      <c r="G428">
        <f>IF(ISBLANK('ENGAGEMENTS 2026'!C428),"",'ENGAGEMENTS 2026'!M428)</f>
        <v/>
      </c>
      <c r="H428">
        <f>IF(ISBLANK('ENGAGEMENTS 2026'!C428),"",'ENGAGEMENTS 2026'!AF428)</f>
        <v/>
      </c>
      <c r="I428">
        <f>IF(ISBLANK('ENGAGEMENTS 2026'!C428),"",'ENGAGEMENTS 2026'!H428)</f>
        <v/>
      </c>
      <c r="J428" s="275">
        <f>IF(ISBLANK('ENGAGEMENTS 2026'!C428),"",IF(AND(OR($E428="INFRUCTUEUX",$E428="ANNULE"),$C428="AOO-M"),'ENGAGEMENTS 2026'!P428,IF($H428="EN COURS DE PREENGAGEMENT",'ENGAGEMENTS 2026'!O428,IF($H428="PREENGAGE",IF($E428="ATTRIBUE",'ENGAGEMENTS 2026'!AE428,'ENGAGEMENTS 2026'!O428),'ENGAGEMENTS 2026'!AE428))))</f>
        <v/>
      </c>
      <c r="K428" s="604">
        <f>IF(ISBLANK('ENGAGEMENTS 2026'!W428),"",'ENGAGEMENTS 2026'!W428)</f>
        <v/>
      </c>
      <c r="L428" s="276">
        <f>IF($K428="","",TODAY()-$K428)</f>
        <v/>
      </c>
      <c r="M428">
        <f>IF($A428="","",IF($H428="ENGAGE","Engagé",IF(AND($H428="NON ENGAGE",OR($I428="INFRUCTUEUX",$I428="ANNULE")),"Clôturé sans suite","En cours")))</f>
        <v/>
      </c>
      <c r="N428">
        <f>IF(ISBLANK('ENGAGEMENTS 2026'!C428),"",'ENGAGEMENTS 2026'!L428)</f>
        <v/>
      </c>
      <c r="O428">
        <f>IF(ISBLANK('ENGAGEMENTS 2026'!C428),"",'ENGAGEMENTS 2026'!M428)</f>
        <v/>
      </c>
      <c r="P428">
        <f>IF(ISBLANK('ENGAGEMENTS 2026'!C428),"",'ENGAGEMENTS 2026'!K428)</f>
        <v/>
      </c>
      <c r="Q428">
        <f>IF($A428="","",IF(OR($E428="INFRUCTUEUX",$E428="ANNULE"),$A428&amp;"|"&amp;(COUNTIFS($A$2:$A428,$A428,$E$2:$E428,"INFRUCTUEUX")+COUNTIFS($A$2:$A428,$A428,$E$2:$E428,"ANNULE")),""))</f>
        <v/>
      </c>
    </row>
    <row r="429">
      <c r="A429">
        <f>IF(ISBLANK('ENGAGEMENTS 2026'!C429),"",IF('ENGAGEMENTS 2026'!C429="DTSI","DCT",'ENGAGEMENTS 2026'!C429))</f>
        <v/>
      </c>
      <c r="B429">
        <f>IF(ISBLANK('ENGAGEMENTS 2026'!C429),"",'ENGAGEMENTS 2026'!D429)</f>
        <v/>
      </c>
      <c r="C429">
        <f>IF(ISBLANK('ENGAGEMENTS 2026'!C429),"",'ENGAGEMENTS 2026'!E429)</f>
        <v/>
      </c>
      <c r="D429">
        <f>IF(ISBLANK('ENGAGEMENTS 2026'!C429),"",'ENGAGEMENTS 2026'!G429)</f>
        <v/>
      </c>
      <c r="E429">
        <f>IF(ISBLANK('ENGAGEMENTS 2026'!C429),"",'ENGAGEMENTS 2026'!I429)</f>
        <v/>
      </c>
      <c r="F429">
        <f>IF(ISBLANK('ENGAGEMENTS 2026'!C429),"",'ENGAGEMENTS 2026'!J429)</f>
        <v/>
      </c>
      <c r="G429">
        <f>IF(ISBLANK('ENGAGEMENTS 2026'!C429),"",'ENGAGEMENTS 2026'!M429)</f>
        <v/>
      </c>
      <c r="H429">
        <f>IF(ISBLANK('ENGAGEMENTS 2026'!C429),"",'ENGAGEMENTS 2026'!AF429)</f>
        <v/>
      </c>
      <c r="I429">
        <f>IF(ISBLANK('ENGAGEMENTS 2026'!C429),"",'ENGAGEMENTS 2026'!H429)</f>
        <v/>
      </c>
      <c r="J429" s="275">
        <f>IF(ISBLANK('ENGAGEMENTS 2026'!C429),"",IF(AND(OR($E429="INFRUCTUEUX",$E429="ANNULE"),$C429="AOO-M"),'ENGAGEMENTS 2026'!P429,IF($H429="EN COURS DE PREENGAGEMENT",'ENGAGEMENTS 2026'!O429,IF($H429="PREENGAGE",IF($E429="ATTRIBUE",'ENGAGEMENTS 2026'!AE429,'ENGAGEMENTS 2026'!O429),'ENGAGEMENTS 2026'!AE429))))</f>
        <v/>
      </c>
      <c r="K429" s="604">
        <f>IF(ISBLANK('ENGAGEMENTS 2026'!W429),"",'ENGAGEMENTS 2026'!W429)</f>
        <v/>
      </c>
      <c r="L429" s="276">
        <f>IF($K429="","",TODAY()-$K429)</f>
        <v/>
      </c>
      <c r="M429">
        <f>IF($A429="","",IF($H429="ENGAGE","Engagé",IF(AND($H429="NON ENGAGE",OR($I429="INFRUCTUEUX",$I429="ANNULE")),"Clôturé sans suite","En cours")))</f>
        <v/>
      </c>
      <c r="N429">
        <f>IF(ISBLANK('ENGAGEMENTS 2026'!C429),"",'ENGAGEMENTS 2026'!L429)</f>
        <v/>
      </c>
      <c r="O429">
        <f>IF(ISBLANK('ENGAGEMENTS 2026'!C429),"",'ENGAGEMENTS 2026'!M429)</f>
        <v/>
      </c>
      <c r="P429">
        <f>IF(ISBLANK('ENGAGEMENTS 2026'!C429),"",'ENGAGEMENTS 2026'!K429)</f>
        <v/>
      </c>
      <c r="Q429">
        <f>IF($A429="","",IF(OR($E429="INFRUCTUEUX",$E429="ANNULE"),$A429&amp;"|"&amp;(COUNTIFS($A$2:$A429,$A429,$E$2:$E429,"INFRUCTUEUX")+COUNTIFS($A$2:$A429,$A429,$E$2:$E429,"ANNULE")),""))</f>
        <v/>
      </c>
    </row>
    <row r="430">
      <c r="A430">
        <f>IF(ISBLANK('ENGAGEMENTS 2026'!C430),"",IF('ENGAGEMENTS 2026'!C430="DTSI","DCT",'ENGAGEMENTS 2026'!C430))</f>
        <v/>
      </c>
      <c r="B430">
        <f>IF(ISBLANK('ENGAGEMENTS 2026'!C430),"",'ENGAGEMENTS 2026'!D430)</f>
        <v/>
      </c>
      <c r="C430">
        <f>IF(ISBLANK('ENGAGEMENTS 2026'!C430),"",'ENGAGEMENTS 2026'!E430)</f>
        <v/>
      </c>
      <c r="D430">
        <f>IF(ISBLANK('ENGAGEMENTS 2026'!C430),"",'ENGAGEMENTS 2026'!G430)</f>
        <v/>
      </c>
      <c r="E430">
        <f>IF(ISBLANK('ENGAGEMENTS 2026'!C430),"",'ENGAGEMENTS 2026'!I430)</f>
        <v/>
      </c>
      <c r="F430">
        <f>IF(ISBLANK('ENGAGEMENTS 2026'!C430),"",'ENGAGEMENTS 2026'!J430)</f>
        <v/>
      </c>
      <c r="G430">
        <f>IF(ISBLANK('ENGAGEMENTS 2026'!C430),"",'ENGAGEMENTS 2026'!M430)</f>
        <v/>
      </c>
      <c r="H430">
        <f>IF(ISBLANK('ENGAGEMENTS 2026'!C430),"",'ENGAGEMENTS 2026'!AF430)</f>
        <v/>
      </c>
      <c r="I430">
        <f>IF(ISBLANK('ENGAGEMENTS 2026'!C430),"",'ENGAGEMENTS 2026'!H430)</f>
        <v/>
      </c>
      <c r="J430" s="275">
        <f>IF(ISBLANK('ENGAGEMENTS 2026'!C430),"",IF(AND(OR($E430="INFRUCTUEUX",$E430="ANNULE"),$C430="AOO-M"),'ENGAGEMENTS 2026'!P430,IF($H430="EN COURS DE PREENGAGEMENT",'ENGAGEMENTS 2026'!O430,IF($H430="PREENGAGE",IF($E430="ATTRIBUE",'ENGAGEMENTS 2026'!AE430,'ENGAGEMENTS 2026'!O430),'ENGAGEMENTS 2026'!AE430))))</f>
        <v/>
      </c>
      <c r="K430" s="604">
        <f>IF(ISBLANK('ENGAGEMENTS 2026'!W430),"",'ENGAGEMENTS 2026'!W430)</f>
        <v/>
      </c>
      <c r="L430" s="276">
        <f>IF($K430="","",TODAY()-$K430)</f>
        <v/>
      </c>
      <c r="M430">
        <f>IF($A430="","",IF($H430="ENGAGE","Engagé",IF(AND($H430="NON ENGAGE",OR($I430="INFRUCTUEUX",$I430="ANNULE")),"Clôturé sans suite","En cours")))</f>
        <v/>
      </c>
      <c r="N430">
        <f>IF(ISBLANK('ENGAGEMENTS 2026'!C430),"",'ENGAGEMENTS 2026'!L430)</f>
        <v/>
      </c>
      <c r="O430">
        <f>IF(ISBLANK('ENGAGEMENTS 2026'!C430),"",'ENGAGEMENTS 2026'!M430)</f>
        <v/>
      </c>
      <c r="P430">
        <f>IF(ISBLANK('ENGAGEMENTS 2026'!C430),"",'ENGAGEMENTS 2026'!K430)</f>
        <v/>
      </c>
      <c r="Q430">
        <f>IF($A430="","",IF(OR($E430="INFRUCTUEUX",$E430="ANNULE"),$A430&amp;"|"&amp;(COUNTIFS($A$2:$A430,$A430,$E$2:$E430,"INFRUCTUEUX")+COUNTIFS($A$2:$A430,$A430,$E$2:$E430,"ANNULE")),""))</f>
        <v/>
      </c>
    </row>
    <row r="431">
      <c r="A431">
        <f>IF(ISBLANK('ENGAGEMENTS 2026'!C431),"",IF('ENGAGEMENTS 2026'!C431="DTSI","DCT",'ENGAGEMENTS 2026'!C431))</f>
        <v/>
      </c>
      <c r="B431">
        <f>IF(ISBLANK('ENGAGEMENTS 2026'!C431),"",'ENGAGEMENTS 2026'!D431)</f>
        <v/>
      </c>
      <c r="C431">
        <f>IF(ISBLANK('ENGAGEMENTS 2026'!C431),"",'ENGAGEMENTS 2026'!E431)</f>
        <v/>
      </c>
      <c r="D431">
        <f>IF(ISBLANK('ENGAGEMENTS 2026'!C431),"",'ENGAGEMENTS 2026'!G431)</f>
        <v/>
      </c>
      <c r="E431">
        <f>IF(ISBLANK('ENGAGEMENTS 2026'!C431),"",'ENGAGEMENTS 2026'!I431)</f>
        <v/>
      </c>
      <c r="F431">
        <f>IF(ISBLANK('ENGAGEMENTS 2026'!C431),"",'ENGAGEMENTS 2026'!J431)</f>
        <v/>
      </c>
      <c r="G431">
        <f>IF(ISBLANK('ENGAGEMENTS 2026'!C431),"",'ENGAGEMENTS 2026'!M431)</f>
        <v/>
      </c>
      <c r="H431">
        <f>IF(ISBLANK('ENGAGEMENTS 2026'!C431),"",'ENGAGEMENTS 2026'!AF431)</f>
        <v/>
      </c>
      <c r="I431">
        <f>IF(ISBLANK('ENGAGEMENTS 2026'!C431),"",'ENGAGEMENTS 2026'!H431)</f>
        <v/>
      </c>
      <c r="J431" s="275">
        <f>IF(ISBLANK('ENGAGEMENTS 2026'!C431),"",IF(AND(OR($E431="INFRUCTUEUX",$E431="ANNULE"),$C431="AOO-M"),'ENGAGEMENTS 2026'!P431,IF($H431="EN COURS DE PREENGAGEMENT",'ENGAGEMENTS 2026'!O431,IF($H431="PREENGAGE",IF($E431="ATTRIBUE",'ENGAGEMENTS 2026'!AE431,'ENGAGEMENTS 2026'!O431),'ENGAGEMENTS 2026'!AE431))))</f>
        <v/>
      </c>
      <c r="K431" s="604">
        <f>IF(ISBLANK('ENGAGEMENTS 2026'!W431),"",'ENGAGEMENTS 2026'!W431)</f>
        <v/>
      </c>
      <c r="L431" s="276">
        <f>IF($K431="","",TODAY()-$K431)</f>
        <v/>
      </c>
      <c r="M431">
        <f>IF($A431="","",IF($H431="ENGAGE","Engagé",IF(AND($H431="NON ENGAGE",OR($I431="INFRUCTUEUX",$I431="ANNULE")),"Clôturé sans suite","En cours")))</f>
        <v/>
      </c>
      <c r="N431">
        <f>IF(ISBLANK('ENGAGEMENTS 2026'!C431),"",'ENGAGEMENTS 2026'!L431)</f>
        <v/>
      </c>
      <c r="O431">
        <f>IF(ISBLANK('ENGAGEMENTS 2026'!C431),"",'ENGAGEMENTS 2026'!M431)</f>
        <v/>
      </c>
      <c r="P431">
        <f>IF(ISBLANK('ENGAGEMENTS 2026'!C431),"",'ENGAGEMENTS 2026'!K431)</f>
        <v/>
      </c>
      <c r="Q431">
        <f>IF($A431="","",IF(OR($E431="INFRUCTUEUX",$E431="ANNULE"),$A431&amp;"|"&amp;(COUNTIFS($A$2:$A431,$A431,$E$2:$E431,"INFRUCTUEUX")+COUNTIFS($A$2:$A431,$A431,$E$2:$E431,"ANNULE")),""))</f>
        <v/>
      </c>
    </row>
    <row r="432">
      <c r="A432">
        <f>IF(ISBLANK('ENGAGEMENTS 2026'!C432),"",IF('ENGAGEMENTS 2026'!C432="DTSI","DCT",'ENGAGEMENTS 2026'!C432))</f>
        <v/>
      </c>
      <c r="B432">
        <f>IF(ISBLANK('ENGAGEMENTS 2026'!C432),"",'ENGAGEMENTS 2026'!D432)</f>
        <v/>
      </c>
      <c r="C432">
        <f>IF(ISBLANK('ENGAGEMENTS 2026'!C432),"",'ENGAGEMENTS 2026'!E432)</f>
        <v/>
      </c>
      <c r="D432">
        <f>IF(ISBLANK('ENGAGEMENTS 2026'!C432),"",'ENGAGEMENTS 2026'!G432)</f>
        <v/>
      </c>
      <c r="E432">
        <f>IF(ISBLANK('ENGAGEMENTS 2026'!C432),"",'ENGAGEMENTS 2026'!I432)</f>
        <v/>
      </c>
      <c r="F432">
        <f>IF(ISBLANK('ENGAGEMENTS 2026'!C432),"",'ENGAGEMENTS 2026'!J432)</f>
        <v/>
      </c>
      <c r="G432">
        <f>IF(ISBLANK('ENGAGEMENTS 2026'!C432),"",'ENGAGEMENTS 2026'!M432)</f>
        <v/>
      </c>
      <c r="H432">
        <f>IF(ISBLANK('ENGAGEMENTS 2026'!C432),"",'ENGAGEMENTS 2026'!AF432)</f>
        <v/>
      </c>
      <c r="I432">
        <f>IF(ISBLANK('ENGAGEMENTS 2026'!C432),"",'ENGAGEMENTS 2026'!H432)</f>
        <v/>
      </c>
      <c r="J432" s="275">
        <f>IF(ISBLANK('ENGAGEMENTS 2026'!C432),"",IF(AND(OR($E432="INFRUCTUEUX",$E432="ANNULE"),$C432="AOO-M"),'ENGAGEMENTS 2026'!P432,IF($H432="EN COURS DE PREENGAGEMENT",'ENGAGEMENTS 2026'!O432,IF($H432="PREENGAGE",IF($E432="ATTRIBUE",'ENGAGEMENTS 2026'!AE432,'ENGAGEMENTS 2026'!O432),'ENGAGEMENTS 2026'!AE432))))</f>
        <v/>
      </c>
      <c r="K432" s="604">
        <f>IF(ISBLANK('ENGAGEMENTS 2026'!W432),"",'ENGAGEMENTS 2026'!W432)</f>
        <v/>
      </c>
      <c r="L432" s="276">
        <f>IF($K432="","",TODAY()-$K432)</f>
        <v/>
      </c>
      <c r="M432">
        <f>IF($A432="","",IF($H432="ENGAGE","Engagé",IF(AND($H432="NON ENGAGE",OR($I432="INFRUCTUEUX",$I432="ANNULE")),"Clôturé sans suite","En cours")))</f>
        <v/>
      </c>
      <c r="N432">
        <f>IF(ISBLANK('ENGAGEMENTS 2026'!C432),"",'ENGAGEMENTS 2026'!L432)</f>
        <v/>
      </c>
      <c r="O432">
        <f>IF(ISBLANK('ENGAGEMENTS 2026'!C432),"",'ENGAGEMENTS 2026'!M432)</f>
        <v/>
      </c>
      <c r="P432">
        <f>IF(ISBLANK('ENGAGEMENTS 2026'!C432),"",'ENGAGEMENTS 2026'!K432)</f>
        <v/>
      </c>
      <c r="Q432">
        <f>IF($A432="","",IF(OR($E432="INFRUCTUEUX",$E432="ANNULE"),$A432&amp;"|"&amp;(COUNTIFS($A$2:$A432,$A432,$E$2:$E432,"INFRUCTUEUX")+COUNTIFS($A$2:$A432,$A432,$E$2:$E432,"ANNULE")),""))</f>
        <v/>
      </c>
    </row>
    <row r="433">
      <c r="A433">
        <f>IF(ISBLANK('ENGAGEMENTS 2026'!C433),"",IF('ENGAGEMENTS 2026'!C433="DTSI","DCT",'ENGAGEMENTS 2026'!C433))</f>
        <v/>
      </c>
      <c r="B433">
        <f>IF(ISBLANK('ENGAGEMENTS 2026'!C433),"",'ENGAGEMENTS 2026'!D433)</f>
        <v/>
      </c>
      <c r="C433">
        <f>IF(ISBLANK('ENGAGEMENTS 2026'!C433),"",'ENGAGEMENTS 2026'!E433)</f>
        <v/>
      </c>
      <c r="D433">
        <f>IF(ISBLANK('ENGAGEMENTS 2026'!C433),"",'ENGAGEMENTS 2026'!G433)</f>
        <v/>
      </c>
      <c r="E433">
        <f>IF(ISBLANK('ENGAGEMENTS 2026'!C433),"",'ENGAGEMENTS 2026'!I433)</f>
        <v/>
      </c>
      <c r="F433">
        <f>IF(ISBLANK('ENGAGEMENTS 2026'!C433),"",'ENGAGEMENTS 2026'!J433)</f>
        <v/>
      </c>
      <c r="G433">
        <f>IF(ISBLANK('ENGAGEMENTS 2026'!C433),"",'ENGAGEMENTS 2026'!M433)</f>
        <v/>
      </c>
      <c r="H433">
        <f>IF(ISBLANK('ENGAGEMENTS 2026'!C433),"",'ENGAGEMENTS 2026'!AF433)</f>
        <v/>
      </c>
      <c r="I433">
        <f>IF(ISBLANK('ENGAGEMENTS 2026'!C433),"",'ENGAGEMENTS 2026'!H433)</f>
        <v/>
      </c>
      <c r="J433" s="275">
        <f>IF(ISBLANK('ENGAGEMENTS 2026'!C433),"",IF(AND(OR($E433="INFRUCTUEUX",$E433="ANNULE"),$C433="AOO-M"),'ENGAGEMENTS 2026'!P433,IF($H433="EN COURS DE PREENGAGEMENT",'ENGAGEMENTS 2026'!O433,IF($H433="PREENGAGE",IF($E433="ATTRIBUE",'ENGAGEMENTS 2026'!AE433,'ENGAGEMENTS 2026'!O433),'ENGAGEMENTS 2026'!AE433))))</f>
        <v/>
      </c>
      <c r="K433" s="604">
        <f>IF(ISBLANK('ENGAGEMENTS 2026'!W433),"",'ENGAGEMENTS 2026'!W433)</f>
        <v/>
      </c>
      <c r="L433" s="276">
        <f>IF($K433="","",TODAY()-$K433)</f>
        <v/>
      </c>
      <c r="M433">
        <f>IF($A433="","",IF($H433="ENGAGE","Engagé",IF(AND($H433="NON ENGAGE",OR($I433="INFRUCTUEUX",$I433="ANNULE")),"Clôturé sans suite","En cours")))</f>
        <v/>
      </c>
      <c r="N433">
        <f>IF(ISBLANK('ENGAGEMENTS 2026'!C433),"",'ENGAGEMENTS 2026'!L433)</f>
        <v/>
      </c>
      <c r="O433">
        <f>IF(ISBLANK('ENGAGEMENTS 2026'!C433),"",'ENGAGEMENTS 2026'!M433)</f>
        <v/>
      </c>
      <c r="P433">
        <f>IF(ISBLANK('ENGAGEMENTS 2026'!C433),"",'ENGAGEMENTS 2026'!K433)</f>
        <v/>
      </c>
      <c r="Q433">
        <f>IF($A433="","",IF(OR($E433="INFRUCTUEUX",$E433="ANNULE"),$A433&amp;"|"&amp;(COUNTIFS($A$2:$A433,$A433,$E$2:$E433,"INFRUCTUEUX")+COUNTIFS($A$2:$A433,$A433,$E$2:$E433,"ANNULE")),""))</f>
        <v/>
      </c>
    </row>
    <row r="434">
      <c r="A434">
        <f>IF(ISBLANK('ENGAGEMENTS 2026'!C434),"",IF('ENGAGEMENTS 2026'!C434="DTSI","DCT",'ENGAGEMENTS 2026'!C434))</f>
        <v/>
      </c>
      <c r="B434">
        <f>IF(ISBLANK('ENGAGEMENTS 2026'!C434),"",'ENGAGEMENTS 2026'!D434)</f>
        <v/>
      </c>
      <c r="C434">
        <f>IF(ISBLANK('ENGAGEMENTS 2026'!C434),"",'ENGAGEMENTS 2026'!E434)</f>
        <v/>
      </c>
      <c r="D434">
        <f>IF(ISBLANK('ENGAGEMENTS 2026'!C434),"",'ENGAGEMENTS 2026'!G434)</f>
        <v/>
      </c>
      <c r="E434">
        <f>IF(ISBLANK('ENGAGEMENTS 2026'!C434),"",'ENGAGEMENTS 2026'!I434)</f>
        <v/>
      </c>
      <c r="F434">
        <f>IF(ISBLANK('ENGAGEMENTS 2026'!C434),"",'ENGAGEMENTS 2026'!J434)</f>
        <v/>
      </c>
      <c r="G434">
        <f>IF(ISBLANK('ENGAGEMENTS 2026'!C434),"",'ENGAGEMENTS 2026'!M434)</f>
        <v/>
      </c>
      <c r="H434">
        <f>IF(ISBLANK('ENGAGEMENTS 2026'!C434),"",'ENGAGEMENTS 2026'!AF434)</f>
        <v/>
      </c>
      <c r="I434">
        <f>IF(ISBLANK('ENGAGEMENTS 2026'!C434),"",'ENGAGEMENTS 2026'!H434)</f>
        <v/>
      </c>
      <c r="J434" s="275">
        <f>IF(ISBLANK('ENGAGEMENTS 2026'!C434),"",IF(AND(OR($E434="INFRUCTUEUX",$E434="ANNULE"),$C434="AOO-M"),'ENGAGEMENTS 2026'!P434,IF($H434="EN COURS DE PREENGAGEMENT",'ENGAGEMENTS 2026'!O434,IF($H434="PREENGAGE",IF($E434="ATTRIBUE",'ENGAGEMENTS 2026'!AE434,'ENGAGEMENTS 2026'!O434),'ENGAGEMENTS 2026'!AE434))))</f>
        <v/>
      </c>
      <c r="K434" s="604">
        <f>IF(ISBLANK('ENGAGEMENTS 2026'!W434),"",'ENGAGEMENTS 2026'!W434)</f>
        <v/>
      </c>
      <c r="L434" s="276">
        <f>IF($K434="","",TODAY()-$K434)</f>
        <v/>
      </c>
      <c r="M434">
        <f>IF($A434="","",IF($H434="ENGAGE","Engagé",IF(AND($H434="NON ENGAGE",OR($I434="INFRUCTUEUX",$I434="ANNULE")),"Clôturé sans suite","En cours")))</f>
        <v/>
      </c>
      <c r="N434">
        <f>IF(ISBLANK('ENGAGEMENTS 2026'!C434),"",'ENGAGEMENTS 2026'!L434)</f>
        <v/>
      </c>
      <c r="O434">
        <f>IF(ISBLANK('ENGAGEMENTS 2026'!C434),"",'ENGAGEMENTS 2026'!M434)</f>
        <v/>
      </c>
      <c r="P434">
        <f>IF(ISBLANK('ENGAGEMENTS 2026'!C434),"",'ENGAGEMENTS 2026'!K434)</f>
        <v/>
      </c>
      <c r="Q434">
        <f>IF($A434="","",IF(OR($E434="INFRUCTUEUX",$E434="ANNULE"),$A434&amp;"|"&amp;(COUNTIFS($A$2:$A434,$A434,$E$2:$E434,"INFRUCTUEUX")+COUNTIFS($A$2:$A434,$A434,$E$2:$E434,"ANNULE")),""))</f>
        <v/>
      </c>
    </row>
    <row r="435">
      <c r="A435">
        <f>IF(ISBLANK('ENGAGEMENTS 2026'!C435),"",IF('ENGAGEMENTS 2026'!C435="DTSI","DCT",'ENGAGEMENTS 2026'!C435))</f>
        <v/>
      </c>
      <c r="B435">
        <f>IF(ISBLANK('ENGAGEMENTS 2026'!C435),"",'ENGAGEMENTS 2026'!D435)</f>
        <v/>
      </c>
      <c r="C435">
        <f>IF(ISBLANK('ENGAGEMENTS 2026'!C435),"",'ENGAGEMENTS 2026'!E435)</f>
        <v/>
      </c>
      <c r="D435">
        <f>IF(ISBLANK('ENGAGEMENTS 2026'!C435),"",'ENGAGEMENTS 2026'!G435)</f>
        <v/>
      </c>
      <c r="E435">
        <f>IF(ISBLANK('ENGAGEMENTS 2026'!C435),"",'ENGAGEMENTS 2026'!I435)</f>
        <v/>
      </c>
      <c r="F435">
        <f>IF(ISBLANK('ENGAGEMENTS 2026'!C435),"",'ENGAGEMENTS 2026'!J435)</f>
        <v/>
      </c>
      <c r="G435">
        <f>IF(ISBLANK('ENGAGEMENTS 2026'!C435),"",'ENGAGEMENTS 2026'!M435)</f>
        <v/>
      </c>
      <c r="H435">
        <f>IF(ISBLANK('ENGAGEMENTS 2026'!C435),"",'ENGAGEMENTS 2026'!AF435)</f>
        <v/>
      </c>
      <c r="I435">
        <f>IF(ISBLANK('ENGAGEMENTS 2026'!C435),"",'ENGAGEMENTS 2026'!H435)</f>
        <v/>
      </c>
      <c r="J435" s="275">
        <f>IF(ISBLANK('ENGAGEMENTS 2026'!C435),"",IF(AND(OR($E435="INFRUCTUEUX",$E435="ANNULE"),$C435="AOO-M"),'ENGAGEMENTS 2026'!P435,IF($H435="EN COURS DE PREENGAGEMENT",'ENGAGEMENTS 2026'!O435,IF($H435="PREENGAGE",IF($E435="ATTRIBUE",'ENGAGEMENTS 2026'!AE435,'ENGAGEMENTS 2026'!O435),'ENGAGEMENTS 2026'!AE435))))</f>
        <v/>
      </c>
      <c r="K435" s="604">
        <f>IF(ISBLANK('ENGAGEMENTS 2026'!W435),"",'ENGAGEMENTS 2026'!W435)</f>
        <v/>
      </c>
      <c r="L435" s="276">
        <f>IF($K435="","",TODAY()-$K435)</f>
        <v/>
      </c>
      <c r="M435">
        <f>IF($A435="","",IF($H435="ENGAGE","Engagé",IF(AND($H435="NON ENGAGE",OR($I435="INFRUCTUEUX",$I435="ANNULE")),"Clôturé sans suite","En cours")))</f>
        <v/>
      </c>
      <c r="N435">
        <f>IF(ISBLANK('ENGAGEMENTS 2026'!C435),"",'ENGAGEMENTS 2026'!L435)</f>
        <v/>
      </c>
      <c r="O435">
        <f>IF(ISBLANK('ENGAGEMENTS 2026'!C435),"",'ENGAGEMENTS 2026'!M435)</f>
        <v/>
      </c>
      <c r="P435">
        <f>IF(ISBLANK('ENGAGEMENTS 2026'!C435),"",'ENGAGEMENTS 2026'!K435)</f>
        <v/>
      </c>
      <c r="Q435">
        <f>IF($A435="","",IF(OR($E435="INFRUCTUEUX",$E435="ANNULE"),$A435&amp;"|"&amp;(COUNTIFS($A$2:$A435,$A435,$E$2:$E435,"INFRUCTUEUX")+COUNTIFS($A$2:$A435,$A435,$E$2:$E435,"ANNULE")),""))</f>
        <v/>
      </c>
    </row>
    <row r="436">
      <c r="A436">
        <f>IF(ISBLANK('ENGAGEMENTS 2026'!C436),"",IF('ENGAGEMENTS 2026'!C436="DTSI","DCT",'ENGAGEMENTS 2026'!C436))</f>
        <v/>
      </c>
      <c r="B436">
        <f>IF(ISBLANK('ENGAGEMENTS 2026'!C436),"",'ENGAGEMENTS 2026'!D436)</f>
        <v/>
      </c>
      <c r="C436">
        <f>IF(ISBLANK('ENGAGEMENTS 2026'!C436),"",'ENGAGEMENTS 2026'!E436)</f>
        <v/>
      </c>
      <c r="D436">
        <f>IF(ISBLANK('ENGAGEMENTS 2026'!C436),"",'ENGAGEMENTS 2026'!G436)</f>
        <v/>
      </c>
      <c r="E436">
        <f>IF(ISBLANK('ENGAGEMENTS 2026'!C436),"",'ENGAGEMENTS 2026'!I436)</f>
        <v/>
      </c>
      <c r="F436">
        <f>IF(ISBLANK('ENGAGEMENTS 2026'!C436),"",'ENGAGEMENTS 2026'!J436)</f>
        <v/>
      </c>
      <c r="G436">
        <f>IF(ISBLANK('ENGAGEMENTS 2026'!C436),"",'ENGAGEMENTS 2026'!M436)</f>
        <v/>
      </c>
      <c r="H436">
        <f>IF(ISBLANK('ENGAGEMENTS 2026'!C436),"",'ENGAGEMENTS 2026'!AF436)</f>
        <v/>
      </c>
      <c r="I436">
        <f>IF(ISBLANK('ENGAGEMENTS 2026'!C436),"",'ENGAGEMENTS 2026'!H436)</f>
        <v/>
      </c>
      <c r="J436" s="275">
        <f>IF(ISBLANK('ENGAGEMENTS 2026'!C436),"",IF(AND(OR($E436="INFRUCTUEUX",$E436="ANNULE"),$C436="AOO-M"),'ENGAGEMENTS 2026'!P436,IF($H436="EN COURS DE PREENGAGEMENT",'ENGAGEMENTS 2026'!O436,IF($H436="PREENGAGE",IF($E436="ATTRIBUE",'ENGAGEMENTS 2026'!AE436,'ENGAGEMENTS 2026'!O436),'ENGAGEMENTS 2026'!AE436))))</f>
        <v/>
      </c>
      <c r="K436" s="604">
        <f>IF(ISBLANK('ENGAGEMENTS 2026'!W436),"",'ENGAGEMENTS 2026'!W436)</f>
        <v/>
      </c>
      <c r="L436" s="276">
        <f>IF($K436="","",TODAY()-$K436)</f>
        <v/>
      </c>
      <c r="M436">
        <f>IF($A436="","",IF($H436="ENGAGE","Engagé",IF(AND($H436="NON ENGAGE",OR($I436="INFRUCTUEUX",$I436="ANNULE")),"Clôturé sans suite","En cours")))</f>
        <v/>
      </c>
      <c r="N436">
        <f>IF(ISBLANK('ENGAGEMENTS 2026'!C436),"",'ENGAGEMENTS 2026'!L436)</f>
        <v/>
      </c>
      <c r="O436">
        <f>IF(ISBLANK('ENGAGEMENTS 2026'!C436),"",'ENGAGEMENTS 2026'!M436)</f>
        <v/>
      </c>
      <c r="P436">
        <f>IF(ISBLANK('ENGAGEMENTS 2026'!C436),"",'ENGAGEMENTS 2026'!K436)</f>
        <v/>
      </c>
      <c r="Q436">
        <f>IF($A436="","",IF(OR($E436="INFRUCTUEUX",$E436="ANNULE"),$A436&amp;"|"&amp;(COUNTIFS($A$2:$A436,$A436,$E$2:$E436,"INFRUCTUEUX")+COUNTIFS($A$2:$A436,$A436,$E$2:$E436,"ANNULE")),""))</f>
        <v/>
      </c>
    </row>
    <row r="437">
      <c r="A437">
        <f>IF(ISBLANK('ENGAGEMENTS 2026'!C437),"",IF('ENGAGEMENTS 2026'!C437="DTSI","DCT",'ENGAGEMENTS 2026'!C437))</f>
        <v/>
      </c>
      <c r="B437">
        <f>IF(ISBLANK('ENGAGEMENTS 2026'!C437),"",'ENGAGEMENTS 2026'!D437)</f>
        <v/>
      </c>
      <c r="C437">
        <f>IF(ISBLANK('ENGAGEMENTS 2026'!C437),"",'ENGAGEMENTS 2026'!E437)</f>
        <v/>
      </c>
      <c r="D437">
        <f>IF(ISBLANK('ENGAGEMENTS 2026'!C437),"",'ENGAGEMENTS 2026'!G437)</f>
        <v/>
      </c>
      <c r="E437">
        <f>IF(ISBLANK('ENGAGEMENTS 2026'!C437),"",'ENGAGEMENTS 2026'!I437)</f>
        <v/>
      </c>
      <c r="F437">
        <f>IF(ISBLANK('ENGAGEMENTS 2026'!C437),"",'ENGAGEMENTS 2026'!J437)</f>
        <v/>
      </c>
      <c r="G437">
        <f>IF(ISBLANK('ENGAGEMENTS 2026'!C437),"",'ENGAGEMENTS 2026'!M437)</f>
        <v/>
      </c>
      <c r="H437">
        <f>IF(ISBLANK('ENGAGEMENTS 2026'!C437),"",'ENGAGEMENTS 2026'!AF437)</f>
        <v/>
      </c>
      <c r="I437">
        <f>IF(ISBLANK('ENGAGEMENTS 2026'!C437),"",'ENGAGEMENTS 2026'!H437)</f>
        <v/>
      </c>
      <c r="J437" s="275">
        <f>IF(ISBLANK('ENGAGEMENTS 2026'!C437),"",IF(AND(OR($E437="INFRUCTUEUX",$E437="ANNULE"),$C437="AOO-M"),'ENGAGEMENTS 2026'!P437,IF($H437="EN COURS DE PREENGAGEMENT",'ENGAGEMENTS 2026'!O437,IF($H437="PREENGAGE",IF($E437="ATTRIBUE",'ENGAGEMENTS 2026'!AE437,'ENGAGEMENTS 2026'!O437),'ENGAGEMENTS 2026'!AE437))))</f>
        <v/>
      </c>
      <c r="K437" s="604">
        <f>IF(ISBLANK('ENGAGEMENTS 2026'!W437),"",'ENGAGEMENTS 2026'!W437)</f>
        <v/>
      </c>
      <c r="L437" s="276">
        <f>IF($K437="","",TODAY()-$K437)</f>
        <v/>
      </c>
      <c r="M437">
        <f>IF($A437="","",IF($H437="ENGAGE","Engagé",IF(AND($H437="NON ENGAGE",OR($I437="INFRUCTUEUX",$I437="ANNULE")),"Clôturé sans suite","En cours")))</f>
        <v/>
      </c>
      <c r="N437">
        <f>IF(ISBLANK('ENGAGEMENTS 2026'!C437),"",'ENGAGEMENTS 2026'!L437)</f>
        <v/>
      </c>
      <c r="O437">
        <f>IF(ISBLANK('ENGAGEMENTS 2026'!C437),"",'ENGAGEMENTS 2026'!M437)</f>
        <v/>
      </c>
      <c r="P437">
        <f>IF(ISBLANK('ENGAGEMENTS 2026'!C437),"",'ENGAGEMENTS 2026'!K437)</f>
        <v/>
      </c>
      <c r="Q437">
        <f>IF($A437="","",IF(OR($E437="INFRUCTUEUX",$E437="ANNULE"),$A437&amp;"|"&amp;(COUNTIFS($A$2:$A437,$A437,$E$2:$E437,"INFRUCTUEUX")+COUNTIFS($A$2:$A437,$A437,$E$2:$E437,"ANNULE")),""))</f>
        <v/>
      </c>
    </row>
    <row r="438">
      <c r="A438">
        <f>IF(ISBLANK('ENGAGEMENTS 2026'!C438),"",IF('ENGAGEMENTS 2026'!C438="DTSI","DCT",'ENGAGEMENTS 2026'!C438))</f>
        <v/>
      </c>
      <c r="B438">
        <f>IF(ISBLANK('ENGAGEMENTS 2026'!C438),"",'ENGAGEMENTS 2026'!D438)</f>
        <v/>
      </c>
      <c r="C438">
        <f>IF(ISBLANK('ENGAGEMENTS 2026'!C438),"",'ENGAGEMENTS 2026'!E438)</f>
        <v/>
      </c>
      <c r="D438">
        <f>IF(ISBLANK('ENGAGEMENTS 2026'!C438),"",'ENGAGEMENTS 2026'!G438)</f>
        <v/>
      </c>
      <c r="E438">
        <f>IF(ISBLANK('ENGAGEMENTS 2026'!C438),"",'ENGAGEMENTS 2026'!I438)</f>
        <v/>
      </c>
      <c r="F438">
        <f>IF(ISBLANK('ENGAGEMENTS 2026'!C438),"",'ENGAGEMENTS 2026'!J438)</f>
        <v/>
      </c>
      <c r="G438">
        <f>IF(ISBLANK('ENGAGEMENTS 2026'!C438),"",'ENGAGEMENTS 2026'!M438)</f>
        <v/>
      </c>
      <c r="H438">
        <f>IF(ISBLANK('ENGAGEMENTS 2026'!C438),"",'ENGAGEMENTS 2026'!AF438)</f>
        <v/>
      </c>
      <c r="I438">
        <f>IF(ISBLANK('ENGAGEMENTS 2026'!C438),"",'ENGAGEMENTS 2026'!H438)</f>
        <v/>
      </c>
      <c r="J438" s="275">
        <f>IF(ISBLANK('ENGAGEMENTS 2026'!C438),"",IF(AND(OR($E438="INFRUCTUEUX",$E438="ANNULE"),$C438="AOO-M"),'ENGAGEMENTS 2026'!P438,IF($H438="EN COURS DE PREENGAGEMENT",'ENGAGEMENTS 2026'!O438,IF($H438="PREENGAGE",IF($E438="ATTRIBUE",'ENGAGEMENTS 2026'!AE438,'ENGAGEMENTS 2026'!O438),'ENGAGEMENTS 2026'!AE438))))</f>
        <v/>
      </c>
      <c r="K438" s="604">
        <f>IF(ISBLANK('ENGAGEMENTS 2026'!W438),"",'ENGAGEMENTS 2026'!W438)</f>
        <v/>
      </c>
      <c r="L438" s="276">
        <f>IF($K438="","",TODAY()-$K438)</f>
        <v/>
      </c>
      <c r="M438">
        <f>IF($A438="","",IF($H438="ENGAGE","Engagé",IF(AND($H438="NON ENGAGE",OR($I438="INFRUCTUEUX",$I438="ANNULE")),"Clôturé sans suite","En cours")))</f>
        <v/>
      </c>
      <c r="N438">
        <f>IF(ISBLANK('ENGAGEMENTS 2026'!C438),"",'ENGAGEMENTS 2026'!L438)</f>
        <v/>
      </c>
      <c r="O438">
        <f>IF(ISBLANK('ENGAGEMENTS 2026'!C438),"",'ENGAGEMENTS 2026'!M438)</f>
        <v/>
      </c>
      <c r="P438">
        <f>IF(ISBLANK('ENGAGEMENTS 2026'!C438),"",'ENGAGEMENTS 2026'!K438)</f>
        <v/>
      </c>
      <c r="Q438">
        <f>IF($A438="","",IF(OR($E438="INFRUCTUEUX",$E438="ANNULE"),$A438&amp;"|"&amp;(COUNTIFS($A$2:$A438,$A438,$E$2:$E438,"INFRUCTUEUX")+COUNTIFS($A$2:$A438,$A438,$E$2:$E438,"ANNULE")),""))</f>
        <v/>
      </c>
    </row>
    <row r="439">
      <c r="A439">
        <f>IF(ISBLANK('ENGAGEMENTS 2026'!C439),"",IF('ENGAGEMENTS 2026'!C439="DTSI","DCT",'ENGAGEMENTS 2026'!C439))</f>
        <v/>
      </c>
      <c r="B439">
        <f>IF(ISBLANK('ENGAGEMENTS 2026'!C439),"",'ENGAGEMENTS 2026'!D439)</f>
        <v/>
      </c>
      <c r="C439">
        <f>IF(ISBLANK('ENGAGEMENTS 2026'!C439),"",'ENGAGEMENTS 2026'!E439)</f>
        <v/>
      </c>
      <c r="D439">
        <f>IF(ISBLANK('ENGAGEMENTS 2026'!C439),"",'ENGAGEMENTS 2026'!G439)</f>
        <v/>
      </c>
      <c r="E439">
        <f>IF(ISBLANK('ENGAGEMENTS 2026'!C439),"",'ENGAGEMENTS 2026'!I439)</f>
        <v/>
      </c>
      <c r="F439">
        <f>IF(ISBLANK('ENGAGEMENTS 2026'!C439),"",'ENGAGEMENTS 2026'!J439)</f>
        <v/>
      </c>
      <c r="G439">
        <f>IF(ISBLANK('ENGAGEMENTS 2026'!C439),"",'ENGAGEMENTS 2026'!M439)</f>
        <v/>
      </c>
      <c r="H439">
        <f>IF(ISBLANK('ENGAGEMENTS 2026'!C439),"",'ENGAGEMENTS 2026'!AF439)</f>
        <v/>
      </c>
      <c r="I439">
        <f>IF(ISBLANK('ENGAGEMENTS 2026'!C439),"",'ENGAGEMENTS 2026'!H439)</f>
        <v/>
      </c>
      <c r="J439" s="275">
        <f>IF(ISBLANK('ENGAGEMENTS 2026'!C439),"",IF(AND(OR($E439="INFRUCTUEUX",$E439="ANNULE"),$C439="AOO-M"),'ENGAGEMENTS 2026'!P439,IF($H439="EN COURS DE PREENGAGEMENT",'ENGAGEMENTS 2026'!O439,IF($H439="PREENGAGE",IF($E439="ATTRIBUE",'ENGAGEMENTS 2026'!AE439,'ENGAGEMENTS 2026'!O439),'ENGAGEMENTS 2026'!AE439))))</f>
        <v/>
      </c>
      <c r="K439" s="604">
        <f>IF(ISBLANK('ENGAGEMENTS 2026'!W439),"",'ENGAGEMENTS 2026'!W439)</f>
        <v/>
      </c>
      <c r="L439" s="276">
        <f>IF($K439="","",TODAY()-$K439)</f>
        <v/>
      </c>
      <c r="M439">
        <f>IF($A439="","",IF($H439="ENGAGE","Engagé",IF(AND($H439="NON ENGAGE",OR($I439="INFRUCTUEUX",$I439="ANNULE")),"Clôturé sans suite","En cours")))</f>
        <v/>
      </c>
      <c r="N439">
        <f>IF(ISBLANK('ENGAGEMENTS 2026'!C439),"",'ENGAGEMENTS 2026'!L439)</f>
        <v/>
      </c>
      <c r="O439">
        <f>IF(ISBLANK('ENGAGEMENTS 2026'!C439),"",'ENGAGEMENTS 2026'!M439)</f>
        <v/>
      </c>
      <c r="P439">
        <f>IF(ISBLANK('ENGAGEMENTS 2026'!C439),"",'ENGAGEMENTS 2026'!K439)</f>
        <v/>
      </c>
      <c r="Q439">
        <f>IF($A439="","",IF(OR($E439="INFRUCTUEUX",$E439="ANNULE"),$A439&amp;"|"&amp;(COUNTIFS($A$2:$A439,$A439,$E$2:$E439,"INFRUCTUEUX")+COUNTIFS($A$2:$A439,$A439,$E$2:$E439,"ANNULE")),""))</f>
        <v/>
      </c>
    </row>
    <row r="440">
      <c r="A440">
        <f>IF(ISBLANK('ENGAGEMENTS 2026'!C440),"",IF('ENGAGEMENTS 2026'!C440="DTSI","DCT",'ENGAGEMENTS 2026'!C440))</f>
        <v/>
      </c>
      <c r="B440">
        <f>IF(ISBLANK('ENGAGEMENTS 2026'!C440),"",'ENGAGEMENTS 2026'!D440)</f>
        <v/>
      </c>
      <c r="C440">
        <f>IF(ISBLANK('ENGAGEMENTS 2026'!C440),"",'ENGAGEMENTS 2026'!E440)</f>
        <v/>
      </c>
      <c r="D440">
        <f>IF(ISBLANK('ENGAGEMENTS 2026'!C440),"",'ENGAGEMENTS 2026'!G440)</f>
        <v/>
      </c>
      <c r="E440">
        <f>IF(ISBLANK('ENGAGEMENTS 2026'!C440),"",'ENGAGEMENTS 2026'!I440)</f>
        <v/>
      </c>
      <c r="F440">
        <f>IF(ISBLANK('ENGAGEMENTS 2026'!C440),"",'ENGAGEMENTS 2026'!J440)</f>
        <v/>
      </c>
      <c r="G440">
        <f>IF(ISBLANK('ENGAGEMENTS 2026'!C440),"",'ENGAGEMENTS 2026'!M440)</f>
        <v/>
      </c>
      <c r="H440">
        <f>IF(ISBLANK('ENGAGEMENTS 2026'!C440),"",'ENGAGEMENTS 2026'!AF440)</f>
        <v/>
      </c>
      <c r="I440">
        <f>IF(ISBLANK('ENGAGEMENTS 2026'!C440),"",'ENGAGEMENTS 2026'!H440)</f>
        <v/>
      </c>
      <c r="J440" s="275">
        <f>IF(ISBLANK('ENGAGEMENTS 2026'!C440),"",IF(AND(OR($E440="INFRUCTUEUX",$E440="ANNULE"),$C440="AOO-M"),'ENGAGEMENTS 2026'!P440,IF($H440="EN COURS DE PREENGAGEMENT",'ENGAGEMENTS 2026'!O440,IF($H440="PREENGAGE",IF($E440="ATTRIBUE",'ENGAGEMENTS 2026'!AE440,'ENGAGEMENTS 2026'!O440),'ENGAGEMENTS 2026'!AE440))))</f>
        <v/>
      </c>
      <c r="K440" s="604">
        <f>IF(ISBLANK('ENGAGEMENTS 2026'!W440),"",'ENGAGEMENTS 2026'!W440)</f>
        <v/>
      </c>
      <c r="L440" s="276">
        <f>IF($K440="","",TODAY()-$K440)</f>
        <v/>
      </c>
      <c r="M440">
        <f>IF($A440="","",IF($H440="ENGAGE","Engagé",IF(AND($H440="NON ENGAGE",OR($I440="INFRUCTUEUX",$I440="ANNULE")),"Clôturé sans suite","En cours")))</f>
        <v/>
      </c>
      <c r="N440">
        <f>IF(ISBLANK('ENGAGEMENTS 2026'!C440),"",'ENGAGEMENTS 2026'!L440)</f>
        <v/>
      </c>
      <c r="O440">
        <f>IF(ISBLANK('ENGAGEMENTS 2026'!C440),"",'ENGAGEMENTS 2026'!M440)</f>
        <v/>
      </c>
      <c r="P440">
        <f>IF(ISBLANK('ENGAGEMENTS 2026'!C440),"",'ENGAGEMENTS 2026'!K440)</f>
        <v/>
      </c>
      <c r="Q440">
        <f>IF($A440="","",IF(OR($E440="INFRUCTUEUX",$E440="ANNULE"),$A440&amp;"|"&amp;(COUNTIFS($A$2:$A440,$A440,$E$2:$E440,"INFRUCTUEUX")+COUNTIFS($A$2:$A440,$A440,$E$2:$E440,"ANNULE")),""))</f>
        <v/>
      </c>
    </row>
    <row r="441">
      <c r="A441">
        <f>IF(ISBLANK('ENGAGEMENTS 2026'!C441),"",IF('ENGAGEMENTS 2026'!C441="DTSI","DCT",'ENGAGEMENTS 2026'!C441))</f>
        <v/>
      </c>
      <c r="B441">
        <f>IF(ISBLANK('ENGAGEMENTS 2026'!C441),"",'ENGAGEMENTS 2026'!D441)</f>
        <v/>
      </c>
      <c r="C441">
        <f>IF(ISBLANK('ENGAGEMENTS 2026'!C441),"",'ENGAGEMENTS 2026'!E441)</f>
        <v/>
      </c>
      <c r="D441">
        <f>IF(ISBLANK('ENGAGEMENTS 2026'!C441),"",'ENGAGEMENTS 2026'!G441)</f>
        <v/>
      </c>
      <c r="E441">
        <f>IF(ISBLANK('ENGAGEMENTS 2026'!C441),"",'ENGAGEMENTS 2026'!I441)</f>
        <v/>
      </c>
      <c r="F441">
        <f>IF(ISBLANK('ENGAGEMENTS 2026'!C441),"",'ENGAGEMENTS 2026'!J441)</f>
        <v/>
      </c>
      <c r="G441">
        <f>IF(ISBLANK('ENGAGEMENTS 2026'!C441),"",'ENGAGEMENTS 2026'!M441)</f>
        <v/>
      </c>
      <c r="H441">
        <f>IF(ISBLANK('ENGAGEMENTS 2026'!C441),"",'ENGAGEMENTS 2026'!AF441)</f>
        <v/>
      </c>
      <c r="I441">
        <f>IF(ISBLANK('ENGAGEMENTS 2026'!C441),"",'ENGAGEMENTS 2026'!H441)</f>
        <v/>
      </c>
      <c r="J441" s="275">
        <f>IF(ISBLANK('ENGAGEMENTS 2026'!C441),"",IF(AND(OR($E441="INFRUCTUEUX",$E441="ANNULE"),$C441="AOO-M"),'ENGAGEMENTS 2026'!P441,IF($H441="EN COURS DE PREENGAGEMENT",'ENGAGEMENTS 2026'!O441,IF($H441="PREENGAGE",IF($E441="ATTRIBUE",'ENGAGEMENTS 2026'!AE441,'ENGAGEMENTS 2026'!O441),'ENGAGEMENTS 2026'!AE441))))</f>
        <v/>
      </c>
      <c r="K441" s="604">
        <f>IF(ISBLANK('ENGAGEMENTS 2026'!W441),"",'ENGAGEMENTS 2026'!W441)</f>
        <v/>
      </c>
      <c r="L441" s="276">
        <f>IF($K441="","",TODAY()-$K441)</f>
        <v/>
      </c>
      <c r="M441">
        <f>IF($A441="","",IF($H441="ENGAGE","Engagé",IF(AND($H441="NON ENGAGE",OR($I441="INFRUCTUEUX",$I441="ANNULE")),"Clôturé sans suite","En cours")))</f>
        <v/>
      </c>
      <c r="N441">
        <f>IF(ISBLANK('ENGAGEMENTS 2026'!C441),"",'ENGAGEMENTS 2026'!L441)</f>
        <v/>
      </c>
      <c r="O441">
        <f>IF(ISBLANK('ENGAGEMENTS 2026'!C441),"",'ENGAGEMENTS 2026'!M441)</f>
        <v/>
      </c>
      <c r="P441">
        <f>IF(ISBLANK('ENGAGEMENTS 2026'!C441),"",'ENGAGEMENTS 2026'!K441)</f>
        <v/>
      </c>
      <c r="Q441">
        <f>IF($A441="","",IF(OR($E441="INFRUCTUEUX",$E441="ANNULE"),$A441&amp;"|"&amp;(COUNTIFS($A$2:$A441,$A441,$E$2:$E441,"INFRUCTUEUX")+COUNTIFS($A$2:$A441,$A441,$E$2:$E441,"ANNULE")),""))</f>
        <v/>
      </c>
    </row>
    <row r="442">
      <c r="A442">
        <f>IF(ISBLANK('ENGAGEMENTS 2026'!C442),"",IF('ENGAGEMENTS 2026'!C442="DTSI","DCT",'ENGAGEMENTS 2026'!C442))</f>
        <v/>
      </c>
      <c r="B442">
        <f>IF(ISBLANK('ENGAGEMENTS 2026'!C442),"",'ENGAGEMENTS 2026'!D442)</f>
        <v/>
      </c>
      <c r="C442">
        <f>IF(ISBLANK('ENGAGEMENTS 2026'!C442),"",'ENGAGEMENTS 2026'!E442)</f>
        <v/>
      </c>
      <c r="D442">
        <f>IF(ISBLANK('ENGAGEMENTS 2026'!C442),"",'ENGAGEMENTS 2026'!G442)</f>
        <v/>
      </c>
      <c r="E442">
        <f>IF(ISBLANK('ENGAGEMENTS 2026'!C442),"",'ENGAGEMENTS 2026'!I442)</f>
        <v/>
      </c>
      <c r="F442">
        <f>IF(ISBLANK('ENGAGEMENTS 2026'!C442),"",'ENGAGEMENTS 2026'!J442)</f>
        <v/>
      </c>
      <c r="G442">
        <f>IF(ISBLANK('ENGAGEMENTS 2026'!C442),"",'ENGAGEMENTS 2026'!M442)</f>
        <v/>
      </c>
      <c r="H442">
        <f>IF(ISBLANK('ENGAGEMENTS 2026'!C442),"",'ENGAGEMENTS 2026'!AF442)</f>
        <v/>
      </c>
      <c r="I442">
        <f>IF(ISBLANK('ENGAGEMENTS 2026'!C442),"",'ENGAGEMENTS 2026'!H442)</f>
        <v/>
      </c>
      <c r="J442" s="275">
        <f>IF(ISBLANK('ENGAGEMENTS 2026'!C442),"",IF(AND(OR($E442="INFRUCTUEUX",$E442="ANNULE"),$C442="AOO-M"),'ENGAGEMENTS 2026'!P442,IF($H442="EN COURS DE PREENGAGEMENT",'ENGAGEMENTS 2026'!O442,IF($H442="PREENGAGE",IF($E442="ATTRIBUE",'ENGAGEMENTS 2026'!AE442,'ENGAGEMENTS 2026'!O442),'ENGAGEMENTS 2026'!AE442))))</f>
        <v/>
      </c>
      <c r="K442" s="604">
        <f>IF(ISBLANK('ENGAGEMENTS 2026'!W442),"",'ENGAGEMENTS 2026'!W442)</f>
        <v/>
      </c>
      <c r="L442" s="276">
        <f>IF($K442="","",TODAY()-$K442)</f>
        <v/>
      </c>
      <c r="M442">
        <f>IF($A442="","",IF($H442="ENGAGE","Engagé",IF(AND($H442="NON ENGAGE",OR($I442="INFRUCTUEUX",$I442="ANNULE")),"Clôturé sans suite","En cours")))</f>
        <v/>
      </c>
      <c r="N442">
        <f>IF(ISBLANK('ENGAGEMENTS 2026'!C442),"",'ENGAGEMENTS 2026'!L442)</f>
        <v/>
      </c>
      <c r="O442">
        <f>IF(ISBLANK('ENGAGEMENTS 2026'!C442),"",'ENGAGEMENTS 2026'!M442)</f>
        <v/>
      </c>
      <c r="P442">
        <f>IF(ISBLANK('ENGAGEMENTS 2026'!C442),"",'ENGAGEMENTS 2026'!K442)</f>
        <v/>
      </c>
      <c r="Q442">
        <f>IF($A442="","",IF(OR($E442="INFRUCTUEUX",$E442="ANNULE"),$A442&amp;"|"&amp;(COUNTIFS($A$2:$A442,$A442,$E$2:$E442,"INFRUCTUEUX")+COUNTIFS($A$2:$A442,$A442,$E$2:$E442,"ANNULE")),""))</f>
        <v/>
      </c>
    </row>
    <row r="443">
      <c r="A443">
        <f>IF(ISBLANK('ENGAGEMENTS 2026'!C443),"",IF('ENGAGEMENTS 2026'!C443="DTSI","DCT",'ENGAGEMENTS 2026'!C443))</f>
        <v/>
      </c>
      <c r="B443">
        <f>IF(ISBLANK('ENGAGEMENTS 2026'!C443),"",'ENGAGEMENTS 2026'!D443)</f>
        <v/>
      </c>
      <c r="C443">
        <f>IF(ISBLANK('ENGAGEMENTS 2026'!C443),"",'ENGAGEMENTS 2026'!E443)</f>
        <v/>
      </c>
      <c r="D443">
        <f>IF(ISBLANK('ENGAGEMENTS 2026'!C443),"",'ENGAGEMENTS 2026'!G443)</f>
        <v/>
      </c>
      <c r="E443">
        <f>IF(ISBLANK('ENGAGEMENTS 2026'!C443),"",'ENGAGEMENTS 2026'!I443)</f>
        <v/>
      </c>
      <c r="F443">
        <f>IF(ISBLANK('ENGAGEMENTS 2026'!C443),"",'ENGAGEMENTS 2026'!J443)</f>
        <v/>
      </c>
      <c r="G443">
        <f>IF(ISBLANK('ENGAGEMENTS 2026'!C443),"",'ENGAGEMENTS 2026'!M443)</f>
        <v/>
      </c>
      <c r="H443">
        <f>IF(ISBLANK('ENGAGEMENTS 2026'!C443),"",'ENGAGEMENTS 2026'!AF443)</f>
        <v/>
      </c>
      <c r="I443">
        <f>IF(ISBLANK('ENGAGEMENTS 2026'!C443),"",'ENGAGEMENTS 2026'!H443)</f>
        <v/>
      </c>
      <c r="J443" s="275">
        <f>IF(ISBLANK('ENGAGEMENTS 2026'!C443),"",IF(AND(OR($E443="INFRUCTUEUX",$E443="ANNULE"),$C443="AOO-M"),'ENGAGEMENTS 2026'!P443,IF($H443="EN COURS DE PREENGAGEMENT",'ENGAGEMENTS 2026'!O443,IF($H443="PREENGAGE",IF($E443="ATTRIBUE",'ENGAGEMENTS 2026'!AE443,'ENGAGEMENTS 2026'!O443),'ENGAGEMENTS 2026'!AE443))))</f>
        <v/>
      </c>
      <c r="K443" s="604">
        <f>IF(ISBLANK('ENGAGEMENTS 2026'!W443),"",'ENGAGEMENTS 2026'!W443)</f>
        <v/>
      </c>
      <c r="L443" s="276">
        <f>IF($K443="","",TODAY()-$K443)</f>
        <v/>
      </c>
      <c r="M443">
        <f>IF($A443="","",IF($H443="ENGAGE","Engagé",IF(AND($H443="NON ENGAGE",OR($I443="INFRUCTUEUX",$I443="ANNULE")),"Clôturé sans suite","En cours")))</f>
        <v/>
      </c>
      <c r="N443">
        <f>IF(ISBLANK('ENGAGEMENTS 2026'!C443),"",'ENGAGEMENTS 2026'!L443)</f>
        <v/>
      </c>
      <c r="O443">
        <f>IF(ISBLANK('ENGAGEMENTS 2026'!C443),"",'ENGAGEMENTS 2026'!M443)</f>
        <v/>
      </c>
      <c r="P443">
        <f>IF(ISBLANK('ENGAGEMENTS 2026'!C443),"",'ENGAGEMENTS 2026'!K443)</f>
        <v/>
      </c>
      <c r="Q443">
        <f>IF($A443="","",IF(OR($E443="INFRUCTUEUX",$E443="ANNULE"),$A443&amp;"|"&amp;(COUNTIFS($A$2:$A443,$A443,$E$2:$E443,"INFRUCTUEUX")+COUNTIFS($A$2:$A443,$A443,$E$2:$E443,"ANNULE")),""))</f>
        <v/>
      </c>
    </row>
    <row r="444">
      <c r="A444">
        <f>IF(ISBLANK('ENGAGEMENTS 2026'!C444),"",IF('ENGAGEMENTS 2026'!C444="DTSI","DCT",'ENGAGEMENTS 2026'!C444))</f>
        <v/>
      </c>
      <c r="B444">
        <f>IF(ISBLANK('ENGAGEMENTS 2026'!C444),"",'ENGAGEMENTS 2026'!D444)</f>
        <v/>
      </c>
      <c r="C444">
        <f>IF(ISBLANK('ENGAGEMENTS 2026'!C444),"",'ENGAGEMENTS 2026'!E444)</f>
        <v/>
      </c>
      <c r="D444">
        <f>IF(ISBLANK('ENGAGEMENTS 2026'!C444),"",'ENGAGEMENTS 2026'!G444)</f>
        <v/>
      </c>
      <c r="E444">
        <f>IF(ISBLANK('ENGAGEMENTS 2026'!C444),"",'ENGAGEMENTS 2026'!I444)</f>
        <v/>
      </c>
      <c r="F444">
        <f>IF(ISBLANK('ENGAGEMENTS 2026'!C444),"",'ENGAGEMENTS 2026'!J444)</f>
        <v/>
      </c>
      <c r="G444">
        <f>IF(ISBLANK('ENGAGEMENTS 2026'!C444),"",'ENGAGEMENTS 2026'!M444)</f>
        <v/>
      </c>
      <c r="H444">
        <f>IF(ISBLANK('ENGAGEMENTS 2026'!C444),"",'ENGAGEMENTS 2026'!AF444)</f>
        <v/>
      </c>
      <c r="I444">
        <f>IF(ISBLANK('ENGAGEMENTS 2026'!C444),"",'ENGAGEMENTS 2026'!H444)</f>
        <v/>
      </c>
      <c r="J444" s="275">
        <f>IF(ISBLANK('ENGAGEMENTS 2026'!C444),"",IF(AND(OR($E444="INFRUCTUEUX",$E444="ANNULE"),$C444="AOO-M"),'ENGAGEMENTS 2026'!P444,IF($H444="EN COURS DE PREENGAGEMENT",'ENGAGEMENTS 2026'!O444,IF($H444="PREENGAGE",IF($E444="ATTRIBUE",'ENGAGEMENTS 2026'!AE444,'ENGAGEMENTS 2026'!O444),'ENGAGEMENTS 2026'!AE444))))</f>
        <v/>
      </c>
      <c r="K444" s="604">
        <f>IF(ISBLANK('ENGAGEMENTS 2026'!W444),"",'ENGAGEMENTS 2026'!W444)</f>
        <v/>
      </c>
      <c r="L444" s="276">
        <f>IF($K444="","",TODAY()-$K444)</f>
        <v/>
      </c>
      <c r="M444">
        <f>IF($A444="","",IF($H444="ENGAGE","Engagé",IF(AND($H444="NON ENGAGE",OR($I444="INFRUCTUEUX",$I444="ANNULE")),"Clôturé sans suite","En cours")))</f>
        <v/>
      </c>
      <c r="N444">
        <f>IF(ISBLANK('ENGAGEMENTS 2026'!C444),"",'ENGAGEMENTS 2026'!L444)</f>
        <v/>
      </c>
      <c r="O444">
        <f>IF(ISBLANK('ENGAGEMENTS 2026'!C444),"",'ENGAGEMENTS 2026'!M444)</f>
        <v/>
      </c>
      <c r="P444">
        <f>IF(ISBLANK('ENGAGEMENTS 2026'!C444),"",'ENGAGEMENTS 2026'!K444)</f>
        <v/>
      </c>
      <c r="Q444">
        <f>IF($A444="","",IF(OR($E444="INFRUCTUEUX",$E444="ANNULE"),$A444&amp;"|"&amp;(COUNTIFS($A$2:$A444,$A444,$E$2:$E444,"INFRUCTUEUX")+COUNTIFS($A$2:$A444,$A444,$E$2:$E444,"ANNULE")),""))</f>
        <v/>
      </c>
    </row>
    <row r="445">
      <c r="A445">
        <f>IF(ISBLANK('ENGAGEMENTS 2026'!C445),"",IF('ENGAGEMENTS 2026'!C445="DTSI","DCT",'ENGAGEMENTS 2026'!C445))</f>
        <v/>
      </c>
      <c r="B445">
        <f>IF(ISBLANK('ENGAGEMENTS 2026'!C445),"",'ENGAGEMENTS 2026'!D445)</f>
        <v/>
      </c>
      <c r="C445">
        <f>IF(ISBLANK('ENGAGEMENTS 2026'!C445),"",'ENGAGEMENTS 2026'!E445)</f>
        <v/>
      </c>
      <c r="D445">
        <f>IF(ISBLANK('ENGAGEMENTS 2026'!C445),"",'ENGAGEMENTS 2026'!G445)</f>
        <v/>
      </c>
      <c r="E445">
        <f>IF(ISBLANK('ENGAGEMENTS 2026'!C445),"",'ENGAGEMENTS 2026'!I445)</f>
        <v/>
      </c>
      <c r="F445">
        <f>IF(ISBLANK('ENGAGEMENTS 2026'!C445),"",'ENGAGEMENTS 2026'!J445)</f>
        <v/>
      </c>
      <c r="G445">
        <f>IF(ISBLANK('ENGAGEMENTS 2026'!C445),"",'ENGAGEMENTS 2026'!M445)</f>
        <v/>
      </c>
      <c r="H445">
        <f>IF(ISBLANK('ENGAGEMENTS 2026'!C445),"",'ENGAGEMENTS 2026'!AF445)</f>
        <v/>
      </c>
      <c r="I445">
        <f>IF(ISBLANK('ENGAGEMENTS 2026'!C445),"",'ENGAGEMENTS 2026'!H445)</f>
        <v/>
      </c>
      <c r="J445" s="275">
        <f>IF(ISBLANK('ENGAGEMENTS 2026'!C445),"",IF(AND(OR($E445="INFRUCTUEUX",$E445="ANNULE"),$C445="AOO-M"),'ENGAGEMENTS 2026'!P445,IF($H445="EN COURS DE PREENGAGEMENT",'ENGAGEMENTS 2026'!O445,IF($H445="PREENGAGE",IF($E445="ATTRIBUE",'ENGAGEMENTS 2026'!AE445,'ENGAGEMENTS 2026'!O445),'ENGAGEMENTS 2026'!AE445))))</f>
        <v/>
      </c>
      <c r="K445" s="604">
        <f>IF(ISBLANK('ENGAGEMENTS 2026'!W445),"",'ENGAGEMENTS 2026'!W445)</f>
        <v/>
      </c>
      <c r="L445" s="276">
        <f>IF($K445="","",TODAY()-$K445)</f>
        <v/>
      </c>
      <c r="M445">
        <f>IF($A445="","",IF($H445="ENGAGE","Engagé",IF(AND($H445="NON ENGAGE",OR($I445="INFRUCTUEUX",$I445="ANNULE")),"Clôturé sans suite","En cours")))</f>
        <v/>
      </c>
      <c r="N445">
        <f>IF(ISBLANK('ENGAGEMENTS 2026'!C445),"",'ENGAGEMENTS 2026'!L445)</f>
        <v/>
      </c>
      <c r="O445">
        <f>IF(ISBLANK('ENGAGEMENTS 2026'!C445),"",'ENGAGEMENTS 2026'!M445)</f>
        <v/>
      </c>
      <c r="P445">
        <f>IF(ISBLANK('ENGAGEMENTS 2026'!C445),"",'ENGAGEMENTS 2026'!K445)</f>
        <v/>
      </c>
      <c r="Q445">
        <f>IF($A445="","",IF(OR($E445="INFRUCTUEUX",$E445="ANNULE"),$A445&amp;"|"&amp;(COUNTIFS($A$2:$A445,$A445,$E$2:$E445,"INFRUCTUEUX")+COUNTIFS($A$2:$A445,$A445,$E$2:$E445,"ANNULE")),""))</f>
        <v/>
      </c>
    </row>
    <row r="446">
      <c r="A446">
        <f>IF(ISBLANK('ENGAGEMENTS 2026'!C446),"",IF('ENGAGEMENTS 2026'!C446="DTSI","DCT",'ENGAGEMENTS 2026'!C446))</f>
        <v/>
      </c>
      <c r="B446">
        <f>IF(ISBLANK('ENGAGEMENTS 2026'!C446),"",'ENGAGEMENTS 2026'!D446)</f>
        <v/>
      </c>
      <c r="C446">
        <f>IF(ISBLANK('ENGAGEMENTS 2026'!C446),"",'ENGAGEMENTS 2026'!E446)</f>
        <v/>
      </c>
      <c r="D446">
        <f>IF(ISBLANK('ENGAGEMENTS 2026'!C446),"",'ENGAGEMENTS 2026'!G446)</f>
        <v/>
      </c>
      <c r="E446">
        <f>IF(ISBLANK('ENGAGEMENTS 2026'!C446),"",'ENGAGEMENTS 2026'!I446)</f>
        <v/>
      </c>
      <c r="F446">
        <f>IF(ISBLANK('ENGAGEMENTS 2026'!C446),"",'ENGAGEMENTS 2026'!J446)</f>
        <v/>
      </c>
      <c r="G446">
        <f>IF(ISBLANK('ENGAGEMENTS 2026'!C446),"",'ENGAGEMENTS 2026'!M446)</f>
        <v/>
      </c>
      <c r="H446">
        <f>IF(ISBLANK('ENGAGEMENTS 2026'!C446),"",'ENGAGEMENTS 2026'!AF446)</f>
        <v/>
      </c>
      <c r="I446">
        <f>IF(ISBLANK('ENGAGEMENTS 2026'!C446),"",'ENGAGEMENTS 2026'!H446)</f>
        <v/>
      </c>
      <c r="J446" s="275">
        <f>IF(ISBLANK('ENGAGEMENTS 2026'!C446),"",IF(AND(OR($E446="INFRUCTUEUX",$E446="ANNULE"),$C446="AOO-M"),'ENGAGEMENTS 2026'!P446,IF($H446="EN COURS DE PREENGAGEMENT",'ENGAGEMENTS 2026'!O446,IF($H446="PREENGAGE",IF($E446="ATTRIBUE",'ENGAGEMENTS 2026'!AE446,'ENGAGEMENTS 2026'!O446),'ENGAGEMENTS 2026'!AE446))))</f>
        <v/>
      </c>
      <c r="K446" s="604">
        <f>IF(ISBLANK('ENGAGEMENTS 2026'!W446),"",'ENGAGEMENTS 2026'!W446)</f>
        <v/>
      </c>
      <c r="L446" s="276">
        <f>IF($K446="","",TODAY()-$K446)</f>
        <v/>
      </c>
      <c r="M446">
        <f>IF($A446="","",IF($H446="ENGAGE","Engagé",IF(AND($H446="NON ENGAGE",OR($I446="INFRUCTUEUX",$I446="ANNULE")),"Clôturé sans suite","En cours")))</f>
        <v/>
      </c>
      <c r="N446">
        <f>IF(ISBLANK('ENGAGEMENTS 2026'!C446),"",'ENGAGEMENTS 2026'!L446)</f>
        <v/>
      </c>
      <c r="O446">
        <f>IF(ISBLANK('ENGAGEMENTS 2026'!C446),"",'ENGAGEMENTS 2026'!M446)</f>
        <v/>
      </c>
      <c r="P446">
        <f>IF(ISBLANK('ENGAGEMENTS 2026'!C446),"",'ENGAGEMENTS 2026'!K446)</f>
        <v/>
      </c>
      <c r="Q446">
        <f>IF($A446="","",IF(OR($E446="INFRUCTUEUX",$E446="ANNULE"),$A446&amp;"|"&amp;(COUNTIFS($A$2:$A446,$A446,$E$2:$E446,"INFRUCTUEUX")+COUNTIFS($A$2:$A446,$A446,$E$2:$E446,"ANNULE")),""))</f>
        <v/>
      </c>
    </row>
    <row r="447">
      <c r="A447">
        <f>IF(ISBLANK('ENGAGEMENTS 2026'!C447),"",IF('ENGAGEMENTS 2026'!C447="DTSI","DCT",'ENGAGEMENTS 2026'!C447))</f>
        <v/>
      </c>
      <c r="B447">
        <f>IF(ISBLANK('ENGAGEMENTS 2026'!C447),"",'ENGAGEMENTS 2026'!D447)</f>
        <v/>
      </c>
      <c r="C447">
        <f>IF(ISBLANK('ENGAGEMENTS 2026'!C447),"",'ENGAGEMENTS 2026'!E447)</f>
        <v/>
      </c>
      <c r="D447">
        <f>IF(ISBLANK('ENGAGEMENTS 2026'!C447),"",'ENGAGEMENTS 2026'!G447)</f>
        <v/>
      </c>
      <c r="E447">
        <f>IF(ISBLANK('ENGAGEMENTS 2026'!C447),"",'ENGAGEMENTS 2026'!I447)</f>
        <v/>
      </c>
      <c r="F447">
        <f>IF(ISBLANK('ENGAGEMENTS 2026'!C447),"",'ENGAGEMENTS 2026'!J447)</f>
        <v/>
      </c>
      <c r="G447">
        <f>IF(ISBLANK('ENGAGEMENTS 2026'!C447),"",'ENGAGEMENTS 2026'!M447)</f>
        <v/>
      </c>
      <c r="H447">
        <f>IF(ISBLANK('ENGAGEMENTS 2026'!C447),"",'ENGAGEMENTS 2026'!AF447)</f>
        <v/>
      </c>
      <c r="I447">
        <f>IF(ISBLANK('ENGAGEMENTS 2026'!C447),"",'ENGAGEMENTS 2026'!H447)</f>
        <v/>
      </c>
      <c r="J447" s="275">
        <f>IF(ISBLANK('ENGAGEMENTS 2026'!C447),"",IF(AND(OR($E447="INFRUCTUEUX",$E447="ANNULE"),$C447="AOO-M"),'ENGAGEMENTS 2026'!P447,IF($H447="EN COURS DE PREENGAGEMENT",'ENGAGEMENTS 2026'!O447,IF($H447="PREENGAGE",IF($E447="ATTRIBUE",'ENGAGEMENTS 2026'!AE447,'ENGAGEMENTS 2026'!O447),'ENGAGEMENTS 2026'!AE447))))</f>
        <v/>
      </c>
      <c r="K447" s="604">
        <f>IF(ISBLANK('ENGAGEMENTS 2026'!W447),"",'ENGAGEMENTS 2026'!W447)</f>
        <v/>
      </c>
      <c r="L447" s="276">
        <f>IF($K447="","",TODAY()-$K447)</f>
        <v/>
      </c>
      <c r="M447">
        <f>IF($A447="","",IF($H447="ENGAGE","Engagé",IF(AND($H447="NON ENGAGE",OR($I447="INFRUCTUEUX",$I447="ANNULE")),"Clôturé sans suite","En cours")))</f>
        <v/>
      </c>
      <c r="N447">
        <f>IF(ISBLANK('ENGAGEMENTS 2026'!C447),"",'ENGAGEMENTS 2026'!L447)</f>
        <v/>
      </c>
      <c r="O447">
        <f>IF(ISBLANK('ENGAGEMENTS 2026'!C447),"",'ENGAGEMENTS 2026'!M447)</f>
        <v/>
      </c>
      <c r="P447">
        <f>IF(ISBLANK('ENGAGEMENTS 2026'!C447),"",'ENGAGEMENTS 2026'!K447)</f>
        <v/>
      </c>
      <c r="Q447">
        <f>IF($A447="","",IF(OR($E447="INFRUCTUEUX",$E447="ANNULE"),$A447&amp;"|"&amp;(COUNTIFS($A$2:$A447,$A447,$E$2:$E447,"INFRUCTUEUX")+COUNTIFS($A$2:$A447,$A447,$E$2:$E447,"ANNULE")),""))</f>
        <v/>
      </c>
    </row>
    <row r="448">
      <c r="A448">
        <f>IF(ISBLANK('ENGAGEMENTS 2026'!C448),"",IF('ENGAGEMENTS 2026'!C448="DTSI","DCT",'ENGAGEMENTS 2026'!C448))</f>
        <v/>
      </c>
      <c r="B448">
        <f>IF(ISBLANK('ENGAGEMENTS 2026'!C448),"",'ENGAGEMENTS 2026'!D448)</f>
        <v/>
      </c>
      <c r="C448">
        <f>IF(ISBLANK('ENGAGEMENTS 2026'!C448),"",'ENGAGEMENTS 2026'!E448)</f>
        <v/>
      </c>
      <c r="D448">
        <f>IF(ISBLANK('ENGAGEMENTS 2026'!C448),"",'ENGAGEMENTS 2026'!G448)</f>
        <v/>
      </c>
      <c r="E448">
        <f>IF(ISBLANK('ENGAGEMENTS 2026'!C448),"",'ENGAGEMENTS 2026'!I448)</f>
        <v/>
      </c>
      <c r="F448">
        <f>IF(ISBLANK('ENGAGEMENTS 2026'!C448),"",'ENGAGEMENTS 2026'!J448)</f>
        <v/>
      </c>
      <c r="G448">
        <f>IF(ISBLANK('ENGAGEMENTS 2026'!C448),"",'ENGAGEMENTS 2026'!M448)</f>
        <v/>
      </c>
      <c r="H448">
        <f>IF(ISBLANK('ENGAGEMENTS 2026'!C448),"",'ENGAGEMENTS 2026'!AF448)</f>
        <v/>
      </c>
      <c r="I448">
        <f>IF(ISBLANK('ENGAGEMENTS 2026'!C448),"",'ENGAGEMENTS 2026'!H448)</f>
        <v/>
      </c>
      <c r="J448" s="275">
        <f>IF(ISBLANK('ENGAGEMENTS 2026'!C448),"",IF(AND(OR($E448="INFRUCTUEUX",$E448="ANNULE"),$C448="AOO-M"),'ENGAGEMENTS 2026'!P448,IF($H448="EN COURS DE PREENGAGEMENT",'ENGAGEMENTS 2026'!O448,IF($H448="PREENGAGE",IF($E448="ATTRIBUE",'ENGAGEMENTS 2026'!AE448,'ENGAGEMENTS 2026'!O448),'ENGAGEMENTS 2026'!AE448))))</f>
        <v/>
      </c>
      <c r="K448" s="604">
        <f>IF(ISBLANK('ENGAGEMENTS 2026'!W448),"",'ENGAGEMENTS 2026'!W448)</f>
        <v/>
      </c>
      <c r="L448" s="276">
        <f>IF($K448="","",TODAY()-$K448)</f>
        <v/>
      </c>
      <c r="M448">
        <f>IF($A448="","",IF($H448="ENGAGE","Engagé",IF(AND($H448="NON ENGAGE",OR($I448="INFRUCTUEUX",$I448="ANNULE")),"Clôturé sans suite","En cours")))</f>
        <v/>
      </c>
      <c r="N448">
        <f>IF(ISBLANK('ENGAGEMENTS 2026'!C448),"",'ENGAGEMENTS 2026'!L448)</f>
        <v/>
      </c>
      <c r="O448">
        <f>IF(ISBLANK('ENGAGEMENTS 2026'!C448),"",'ENGAGEMENTS 2026'!M448)</f>
        <v/>
      </c>
      <c r="P448">
        <f>IF(ISBLANK('ENGAGEMENTS 2026'!C448),"",'ENGAGEMENTS 2026'!K448)</f>
        <v/>
      </c>
      <c r="Q448">
        <f>IF($A448="","",IF(OR($E448="INFRUCTUEUX",$E448="ANNULE"),$A448&amp;"|"&amp;(COUNTIFS($A$2:$A448,$A448,$E$2:$E448,"INFRUCTUEUX")+COUNTIFS($A$2:$A448,$A448,$E$2:$E448,"ANNULE")),""))</f>
        <v/>
      </c>
    </row>
    <row r="449">
      <c r="A449">
        <f>IF(ISBLANK('ENGAGEMENTS 2026'!C449),"",IF('ENGAGEMENTS 2026'!C449="DTSI","DCT",'ENGAGEMENTS 2026'!C449))</f>
        <v/>
      </c>
      <c r="B449">
        <f>IF(ISBLANK('ENGAGEMENTS 2026'!C449),"",'ENGAGEMENTS 2026'!D449)</f>
        <v/>
      </c>
      <c r="C449">
        <f>IF(ISBLANK('ENGAGEMENTS 2026'!C449),"",'ENGAGEMENTS 2026'!E449)</f>
        <v/>
      </c>
      <c r="D449">
        <f>IF(ISBLANK('ENGAGEMENTS 2026'!C449),"",'ENGAGEMENTS 2026'!G449)</f>
        <v/>
      </c>
      <c r="E449">
        <f>IF(ISBLANK('ENGAGEMENTS 2026'!C449),"",'ENGAGEMENTS 2026'!I449)</f>
        <v/>
      </c>
      <c r="F449">
        <f>IF(ISBLANK('ENGAGEMENTS 2026'!C449),"",'ENGAGEMENTS 2026'!J449)</f>
        <v/>
      </c>
      <c r="G449">
        <f>IF(ISBLANK('ENGAGEMENTS 2026'!C449),"",'ENGAGEMENTS 2026'!M449)</f>
        <v/>
      </c>
      <c r="H449">
        <f>IF(ISBLANK('ENGAGEMENTS 2026'!C449),"",'ENGAGEMENTS 2026'!AF449)</f>
        <v/>
      </c>
      <c r="I449">
        <f>IF(ISBLANK('ENGAGEMENTS 2026'!C449),"",'ENGAGEMENTS 2026'!H449)</f>
        <v/>
      </c>
      <c r="J449" s="275">
        <f>IF(ISBLANK('ENGAGEMENTS 2026'!C449),"",IF(AND(OR($E449="INFRUCTUEUX",$E449="ANNULE"),$C449="AOO-M"),'ENGAGEMENTS 2026'!P449,IF($H449="EN COURS DE PREENGAGEMENT",'ENGAGEMENTS 2026'!O449,IF($H449="PREENGAGE",IF($E449="ATTRIBUE",'ENGAGEMENTS 2026'!AE449,'ENGAGEMENTS 2026'!O449),'ENGAGEMENTS 2026'!AE449))))</f>
        <v/>
      </c>
      <c r="K449" s="604">
        <f>IF(ISBLANK('ENGAGEMENTS 2026'!W449),"",'ENGAGEMENTS 2026'!W449)</f>
        <v/>
      </c>
      <c r="L449" s="276">
        <f>IF($K449="","",TODAY()-$K449)</f>
        <v/>
      </c>
      <c r="M449">
        <f>IF($A449="","",IF($H449="ENGAGE","Engagé",IF(AND($H449="NON ENGAGE",OR($I449="INFRUCTUEUX",$I449="ANNULE")),"Clôturé sans suite","En cours")))</f>
        <v/>
      </c>
      <c r="N449">
        <f>IF(ISBLANK('ENGAGEMENTS 2026'!C449),"",'ENGAGEMENTS 2026'!L449)</f>
        <v/>
      </c>
      <c r="O449">
        <f>IF(ISBLANK('ENGAGEMENTS 2026'!C449),"",'ENGAGEMENTS 2026'!M449)</f>
        <v/>
      </c>
      <c r="P449">
        <f>IF(ISBLANK('ENGAGEMENTS 2026'!C449),"",'ENGAGEMENTS 2026'!K449)</f>
        <v/>
      </c>
      <c r="Q449">
        <f>IF($A449="","",IF(OR($E449="INFRUCTUEUX",$E449="ANNULE"),$A449&amp;"|"&amp;(COUNTIFS($A$2:$A449,$A449,$E$2:$E449,"INFRUCTUEUX")+COUNTIFS($A$2:$A449,$A449,$E$2:$E449,"ANNULE")),""))</f>
        <v/>
      </c>
    </row>
    <row r="450">
      <c r="A450">
        <f>IF(ISBLANK('ENGAGEMENTS 2026'!C450),"",IF('ENGAGEMENTS 2026'!C450="DTSI","DCT",'ENGAGEMENTS 2026'!C450))</f>
        <v/>
      </c>
      <c r="B450">
        <f>IF(ISBLANK('ENGAGEMENTS 2026'!C450),"",'ENGAGEMENTS 2026'!D450)</f>
        <v/>
      </c>
      <c r="C450">
        <f>IF(ISBLANK('ENGAGEMENTS 2026'!C450),"",'ENGAGEMENTS 2026'!E450)</f>
        <v/>
      </c>
      <c r="D450">
        <f>IF(ISBLANK('ENGAGEMENTS 2026'!C450),"",'ENGAGEMENTS 2026'!G450)</f>
        <v/>
      </c>
      <c r="E450">
        <f>IF(ISBLANK('ENGAGEMENTS 2026'!C450),"",'ENGAGEMENTS 2026'!I450)</f>
        <v/>
      </c>
      <c r="F450">
        <f>IF(ISBLANK('ENGAGEMENTS 2026'!C450),"",'ENGAGEMENTS 2026'!J450)</f>
        <v/>
      </c>
      <c r="G450">
        <f>IF(ISBLANK('ENGAGEMENTS 2026'!C450),"",'ENGAGEMENTS 2026'!M450)</f>
        <v/>
      </c>
      <c r="H450">
        <f>IF(ISBLANK('ENGAGEMENTS 2026'!C450),"",'ENGAGEMENTS 2026'!AF450)</f>
        <v/>
      </c>
      <c r="I450">
        <f>IF(ISBLANK('ENGAGEMENTS 2026'!C450),"",'ENGAGEMENTS 2026'!H450)</f>
        <v/>
      </c>
      <c r="J450" s="275">
        <f>IF(ISBLANK('ENGAGEMENTS 2026'!C450),"",IF(AND(OR($E450="INFRUCTUEUX",$E450="ANNULE"),$C450="AOO-M"),'ENGAGEMENTS 2026'!P450,IF($H450="EN COURS DE PREENGAGEMENT",'ENGAGEMENTS 2026'!O450,IF($H450="PREENGAGE",IF($E450="ATTRIBUE",'ENGAGEMENTS 2026'!AE450,'ENGAGEMENTS 2026'!O450),'ENGAGEMENTS 2026'!AE450))))</f>
        <v/>
      </c>
      <c r="K450" s="604">
        <f>IF(ISBLANK('ENGAGEMENTS 2026'!W450),"",'ENGAGEMENTS 2026'!W450)</f>
        <v/>
      </c>
      <c r="L450" s="276">
        <f>IF($K450="","",TODAY()-$K450)</f>
        <v/>
      </c>
      <c r="M450">
        <f>IF($A450="","",IF($H450="ENGAGE","Engagé",IF(AND($H450="NON ENGAGE",OR($I450="INFRUCTUEUX",$I450="ANNULE")),"Clôturé sans suite","En cours")))</f>
        <v/>
      </c>
      <c r="N450">
        <f>IF(ISBLANK('ENGAGEMENTS 2026'!C450),"",'ENGAGEMENTS 2026'!L450)</f>
        <v/>
      </c>
      <c r="O450">
        <f>IF(ISBLANK('ENGAGEMENTS 2026'!C450),"",'ENGAGEMENTS 2026'!M450)</f>
        <v/>
      </c>
      <c r="P450">
        <f>IF(ISBLANK('ENGAGEMENTS 2026'!C450),"",'ENGAGEMENTS 2026'!K450)</f>
        <v/>
      </c>
      <c r="Q450">
        <f>IF($A450="","",IF(OR($E450="INFRUCTUEUX",$E450="ANNULE"),$A450&amp;"|"&amp;(COUNTIFS($A$2:$A450,$A450,$E$2:$E450,"INFRUCTUEUX")+COUNTIFS($A$2:$A450,$A450,$E$2:$E450,"ANNULE")),""))</f>
        <v/>
      </c>
    </row>
    <row r="451">
      <c r="A451">
        <f>IF(ISBLANK('ENGAGEMENTS 2026'!C451),"",IF('ENGAGEMENTS 2026'!C451="DTSI","DCT",'ENGAGEMENTS 2026'!C451))</f>
        <v/>
      </c>
      <c r="B451">
        <f>IF(ISBLANK('ENGAGEMENTS 2026'!C451),"",'ENGAGEMENTS 2026'!D451)</f>
        <v/>
      </c>
      <c r="C451">
        <f>IF(ISBLANK('ENGAGEMENTS 2026'!C451),"",'ENGAGEMENTS 2026'!E451)</f>
        <v/>
      </c>
      <c r="D451">
        <f>IF(ISBLANK('ENGAGEMENTS 2026'!C451),"",'ENGAGEMENTS 2026'!G451)</f>
        <v/>
      </c>
      <c r="E451">
        <f>IF(ISBLANK('ENGAGEMENTS 2026'!C451),"",'ENGAGEMENTS 2026'!I451)</f>
        <v/>
      </c>
      <c r="F451">
        <f>IF(ISBLANK('ENGAGEMENTS 2026'!C451),"",'ENGAGEMENTS 2026'!J451)</f>
        <v/>
      </c>
      <c r="G451">
        <f>IF(ISBLANK('ENGAGEMENTS 2026'!C451),"",'ENGAGEMENTS 2026'!M451)</f>
        <v/>
      </c>
      <c r="H451">
        <f>IF(ISBLANK('ENGAGEMENTS 2026'!C451),"",'ENGAGEMENTS 2026'!AF451)</f>
        <v/>
      </c>
      <c r="I451">
        <f>IF(ISBLANK('ENGAGEMENTS 2026'!C451),"",'ENGAGEMENTS 2026'!H451)</f>
        <v/>
      </c>
      <c r="J451" s="275">
        <f>IF(ISBLANK('ENGAGEMENTS 2026'!C451),"",IF(AND(OR($E451="INFRUCTUEUX",$E451="ANNULE"),$C451="AOO-M"),'ENGAGEMENTS 2026'!P451,IF($H451="EN COURS DE PREENGAGEMENT",'ENGAGEMENTS 2026'!O451,IF($H451="PREENGAGE",IF($E451="ATTRIBUE",'ENGAGEMENTS 2026'!AE451,'ENGAGEMENTS 2026'!O451),'ENGAGEMENTS 2026'!AE451))))</f>
        <v/>
      </c>
      <c r="K451" s="604">
        <f>IF(ISBLANK('ENGAGEMENTS 2026'!W451),"",'ENGAGEMENTS 2026'!W451)</f>
        <v/>
      </c>
      <c r="L451" s="276">
        <f>IF($K451="","",TODAY()-$K451)</f>
        <v/>
      </c>
      <c r="M451">
        <f>IF($A451="","",IF($H451="ENGAGE","Engagé",IF(AND($H451="NON ENGAGE",OR($I451="INFRUCTUEUX",$I451="ANNULE")),"Clôturé sans suite","En cours")))</f>
        <v/>
      </c>
      <c r="N451">
        <f>IF(ISBLANK('ENGAGEMENTS 2026'!C451),"",'ENGAGEMENTS 2026'!L451)</f>
        <v/>
      </c>
      <c r="O451">
        <f>IF(ISBLANK('ENGAGEMENTS 2026'!C451),"",'ENGAGEMENTS 2026'!M451)</f>
        <v/>
      </c>
      <c r="P451">
        <f>IF(ISBLANK('ENGAGEMENTS 2026'!C451),"",'ENGAGEMENTS 2026'!K451)</f>
        <v/>
      </c>
      <c r="Q451">
        <f>IF($A451="","",IF(OR($E451="INFRUCTUEUX",$E451="ANNULE"),$A451&amp;"|"&amp;(COUNTIFS($A$2:$A451,$A451,$E$2:$E451,"INFRUCTUEUX")+COUNTIFS($A$2:$A451,$A451,$E$2:$E451,"ANNULE")),""))</f>
        <v/>
      </c>
    </row>
    <row r="452">
      <c r="A452">
        <f>IF(ISBLANK('ENGAGEMENTS 2026'!C452),"",IF('ENGAGEMENTS 2026'!C452="DTSI","DCT",'ENGAGEMENTS 2026'!C452))</f>
        <v/>
      </c>
      <c r="B452">
        <f>IF(ISBLANK('ENGAGEMENTS 2026'!C452),"",'ENGAGEMENTS 2026'!D452)</f>
        <v/>
      </c>
      <c r="C452">
        <f>IF(ISBLANK('ENGAGEMENTS 2026'!C452),"",'ENGAGEMENTS 2026'!E452)</f>
        <v/>
      </c>
      <c r="D452">
        <f>IF(ISBLANK('ENGAGEMENTS 2026'!C452),"",'ENGAGEMENTS 2026'!G452)</f>
        <v/>
      </c>
      <c r="E452">
        <f>IF(ISBLANK('ENGAGEMENTS 2026'!C452),"",'ENGAGEMENTS 2026'!I452)</f>
        <v/>
      </c>
      <c r="F452">
        <f>IF(ISBLANK('ENGAGEMENTS 2026'!C452),"",'ENGAGEMENTS 2026'!J452)</f>
        <v/>
      </c>
      <c r="G452">
        <f>IF(ISBLANK('ENGAGEMENTS 2026'!C452),"",'ENGAGEMENTS 2026'!M452)</f>
        <v/>
      </c>
      <c r="H452">
        <f>IF(ISBLANK('ENGAGEMENTS 2026'!C452),"",'ENGAGEMENTS 2026'!AF452)</f>
        <v/>
      </c>
      <c r="I452">
        <f>IF(ISBLANK('ENGAGEMENTS 2026'!C452),"",'ENGAGEMENTS 2026'!H452)</f>
        <v/>
      </c>
      <c r="J452" s="275">
        <f>IF(ISBLANK('ENGAGEMENTS 2026'!C452),"",IF(AND(OR($E452="INFRUCTUEUX",$E452="ANNULE"),$C452="AOO-M"),'ENGAGEMENTS 2026'!P452,IF($H452="EN COURS DE PREENGAGEMENT",'ENGAGEMENTS 2026'!O452,IF($H452="PREENGAGE",IF($E452="ATTRIBUE",'ENGAGEMENTS 2026'!AE452,'ENGAGEMENTS 2026'!O452),'ENGAGEMENTS 2026'!AE452))))</f>
        <v/>
      </c>
      <c r="K452" s="604">
        <f>IF(ISBLANK('ENGAGEMENTS 2026'!W452),"",'ENGAGEMENTS 2026'!W452)</f>
        <v/>
      </c>
      <c r="L452" s="276">
        <f>IF($K452="","",TODAY()-$K452)</f>
        <v/>
      </c>
      <c r="M452">
        <f>IF($A452="","",IF($H452="ENGAGE","Engagé",IF(AND($H452="NON ENGAGE",OR($I452="INFRUCTUEUX",$I452="ANNULE")),"Clôturé sans suite","En cours")))</f>
        <v/>
      </c>
      <c r="N452">
        <f>IF(ISBLANK('ENGAGEMENTS 2026'!C452),"",'ENGAGEMENTS 2026'!L452)</f>
        <v/>
      </c>
      <c r="O452">
        <f>IF(ISBLANK('ENGAGEMENTS 2026'!C452),"",'ENGAGEMENTS 2026'!M452)</f>
        <v/>
      </c>
      <c r="P452">
        <f>IF(ISBLANK('ENGAGEMENTS 2026'!C452),"",'ENGAGEMENTS 2026'!K452)</f>
        <v/>
      </c>
      <c r="Q452">
        <f>IF($A452="","",IF(OR($E452="INFRUCTUEUX",$E452="ANNULE"),$A452&amp;"|"&amp;(COUNTIFS($A$2:$A452,$A452,$E$2:$E452,"INFRUCTUEUX")+COUNTIFS($A$2:$A452,$A452,$E$2:$E452,"ANNULE")),""))</f>
        <v/>
      </c>
    </row>
    <row r="453">
      <c r="A453">
        <f>IF(ISBLANK('ENGAGEMENTS 2026'!C453),"",IF('ENGAGEMENTS 2026'!C453="DTSI","DCT",'ENGAGEMENTS 2026'!C453))</f>
        <v/>
      </c>
      <c r="B453">
        <f>IF(ISBLANK('ENGAGEMENTS 2026'!C453),"",'ENGAGEMENTS 2026'!D453)</f>
        <v/>
      </c>
      <c r="C453">
        <f>IF(ISBLANK('ENGAGEMENTS 2026'!C453),"",'ENGAGEMENTS 2026'!E453)</f>
        <v/>
      </c>
      <c r="D453">
        <f>IF(ISBLANK('ENGAGEMENTS 2026'!C453),"",'ENGAGEMENTS 2026'!G453)</f>
        <v/>
      </c>
      <c r="E453">
        <f>IF(ISBLANK('ENGAGEMENTS 2026'!C453),"",'ENGAGEMENTS 2026'!I453)</f>
        <v/>
      </c>
      <c r="F453">
        <f>IF(ISBLANK('ENGAGEMENTS 2026'!C453),"",'ENGAGEMENTS 2026'!J453)</f>
        <v/>
      </c>
      <c r="G453">
        <f>IF(ISBLANK('ENGAGEMENTS 2026'!C453),"",'ENGAGEMENTS 2026'!M453)</f>
        <v/>
      </c>
      <c r="H453">
        <f>IF(ISBLANK('ENGAGEMENTS 2026'!C453),"",'ENGAGEMENTS 2026'!AF453)</f>
        <v/>
      </c>
      <c r="I453">
        <f>IF(ISBLANK('ENGAGEMENTS 2026'!C453),"",'ENGAGEMENTS 2026'!H453)</f>
        <v/>
      </c>
      <c r="J453" s="275">
        <f>IF(ISBLANK('ENGAGEMENTS 2026'!C453),"",IF(AND(OR($E453="INFRUCTUEUX",$E453="ANNULE"),$C453="AOO-M"),'ENGAGEMENTS 2026'!P453,IF($H453="EN COURS DE PREENGAGEMENT",'ENGAGEMENTS 2026'!O453,IF($H453="PREENGAGE",IF($E453="ATTRIBUE",'ENGAGEMENTS 2026'!AE453,'ENGAGEMENTS 2026'!O453),'ENGAGEMENTS 2026'!AE453))))</f>
        <v/>
      </c>
      <c r="K453" s="604">
        <f>IF(ISBLANK('ENGAGEMENTS 2026'!W453),"",'ENGAGEMENTS 2026'!W453)</f>
        <v/>
      </c>
      <c r="L453" s="276">
        <f>IF($K453="","",TODAY()-$K453)</f>
        <v/>
      </c>
      <c r="M453">
        <f>IF($A453="","",IF($H453="ENGAGE","Engagé",IF(AND($H453="NON ENGAGE",OR($I453="INFRUCTUEUX",$I453="ANNULE")),"Clôturé sans suite","En cours")))</f>
        <v/>
      </c>
      <c r="N453">
        <f>IF(ISBLANK('ENGAGEMENTS 2026'!C453),"",'ENGAGEMENTS 2026'!L453)</f>
        <v/>
      </c>
      <c r="O453">
        <f>IF(ISBLANK('ENGAGEMENTS 2026'!C453),"",'ENGAGEMENTS 2026'!M453)</f>
        <v/>
      </c>
      <c r="P453">
        <f>IF(ISBLANK('ENGAGEMENTS 2026'!C453),"",'ENGAGEMENTS 2026'!K453)</f>
        <v/>
      </c>
      <c r="Q453">
        <f>IF($A453="","",IF(OR($E453="INFRUCTUEUX",$E453="ANNULE"),$A453&amp;"|"&amp;(COUNTIFS($A$2:$A453,$A453,$E$2:$E453,"INFRUCTUEUX")+COUNTIFS($A$2:$A453,$A453,$E$2:$E453,"ANNULE")),""))</f>
        <v/>
      </c>
    </row>
    <row r="454">
      <c r="A454">
        <f>IF(ISBLANK('ENGAGEMENTS 2026'!C454),"",IF('ENGAGEMENTS 2026'!C454="DTSI","DCT",'ENGAGEMENTS 2026'!C454))</f>
        <v/>
      </c>
      <c r="B454">
        <f>IF(ISBLANK('ENGAGEMENTS 2026'!C454),"",'ENGAGEMENTS 2026'!D454)</f>
        <v/>
      </c>
      <c r="C454">
        <f>IF(ISBLANK('ENGAGEMENTS 2026'!C454),"",'ENGAGEMENTS 2026'!E454)</f>
        <v/>
      </c>
      <c r="D454">
        <f>IF(ISBLANK('ENGAGEMENTS 2026'!C454),"",'ENGAGEMENTS 2026'!G454)</f>
        <v/>
      </c>
      <c r="E454">
        <f>IF(ISBLANK('ENGAGEMENTS 2026'!C454),"",'ENGAGEMENTS 2026'!I454)</f>
        <v/>
      </c>
      <c r="F454">
        <f>IF(ISBLANK('ENGAGEMENTS 2026'!C454),"",'ENGAGEMENTS 2026'!J454)</f>
        <v/>
      </c>
      <c r="G454">
        <f>IF(ISBLANK('ENGAGEMENTS 2026'!C454),"",'ENGAGEMENTS 2026'!M454)</f>
        <v/>
      </c>
      <c r="H454">
        <f>IF(ISBLANK('ENGAGEMENTS 2026'!C454),"",'ENGAGEMENTS 2026'!AF454)</f>
        <v/>
      </c>
      <c r="I454">
        <f>IF(ISBLANK('ENGAGEMENTS 2026'!C454),"",'ENGAGEMENTS 2026'!H454)</f>
        <v/>
      </c>
      <c r="J454" s="275">
        <f>IF(ISBLANK('ENGAGEMENTS 2026'!C454),"",IF(AND(OR($E454="INFRUCTUEUX",$E454="ANNULE"),$C454="AOO-M"),'ENGAGEMENTS 2026'!P454,IF($H454="EN COURS DE PREENGAGEMENT",'ENGAGEMENTS 2026'!O454,IF($H454="PREENGAGE",IF($E454="ATTRIBUE",'ENGAGEMENTS 2026'!AE454,'ENGAGEMENTS 2026'!O454),'ENGAGEMENTS 2026'!AE454))))</f>
        <v/>
      </c>
      <c r="K454" s="604">
        <f>IF(ISBLANK('ENGAGEMENTS 2026'!W454),"",'ENGAGEMENTS 2026'!W454)</f>
        <v/>
      </c>
      <c r="L454" s="276">
        <f>IF($K454="","",TODAY()-$K454)</f>
        <v/>
      </c>
      <c r="M454">
        <f>IF($A454="","",IF($H454="ENGAGE","Engagé",IF(AND($H454="NON ENGAGE",OR($I454="INFRUCTUEUX",$I454="ANNULE")),"Clôturé sans suite","En cours")))</f>
        <v/>
      </c>
      <c r="N454">
        <f>IF(ISBLANK('ENGAGEMENTS 2026'!C454),"",'ENGAGEMENTS 2026'!L454)</f>
        <v/>
      </c>
      <c r="O454">
        <f>IF(ISBLANK('ENGAGEMENTS 2026'!C454),"",'ENGAGEMENTS 2026'!M454)</f>
        <v/>
      </c>
      <c r="P454">
        <f>IF(ISBLANK('ENGAGEMENTS 2026'!C454),"",'ENGAGEMENTS 2026'!K454)</f>
        <v/>
      </c>
      <c r="Q454">
        <f>IF($A454="","",IF(OR($E454="INFRUCTUEUX",$E454="ANNULE"),$A454&amp;"|"&amp;(COUNTIFS($A$2:$A454,$A454,$E$2:$E454,"INFRUCTUEUX")+COUNTIFS($A$2:$A454,$A454,$E$2:$E454,"ANNULE")),""))</f>
        <v/>
      </c>
    </row>
    <row r="455">
      <c r="A455">
        <f>IF(ISBLANK('ENGAGEMENTS 2026'!C455),"",IF('ENGAGEMENTS 2026'!C455="DTSI","DCT",'ENGAGEMENTS 2026'!C455))</f>
        <v/>
      </c>
      <c r="B455">
        <f>IF(ISBLANK('ENGAGEMENTS 2026'!C455),"",'ENGAGEMENTS 2026'!D455)</f>
        <v/>
      </c>
      <c r="C455">
        <f>IF(ISBLANK('ENGAGEMENTS 2026'!C455),"",'ENGAGEMENTS 2026'!E455)</f>
        <v/>
      </c>
      <c r="D455">
        <f>IF(ISBLANK('ENGAGEMENTS 2026'!C455),"",'ENGAGEMENTS 2026'!G455)</f>
        <v/>
      </c>
      <c r="E455">
        <f>IF(ISBLANK('ENGAGEMENTS 2026'!C455),"",'ENGAGEMENTS 2026'!I455)</f>
        <v/>
      </c>
      <c r="F455">
        <f>IF(ISBLANK('ENGAGEMENTS 2026'!C455),"",'ENGAGEMENTS 2026'!J455)</f>
        <v/>
      </c>
      <c r="G455">
        <f>IF(ISBLANK('ENGAGEMENTS 2026'!C455),"",'ENGAGEMENTS 2026'!M455)</f>
        <v/>
      </c>
      <c r="H455">
        <f>IF(ISBLANK('ENGAGEMENTS 2026'!C455),"",'ENGAGEMENTS 2026'!AF455)</f>
        <v/>
      </c>
      <c r="I455">
        <f>IF(ISBLANK('ENGAGEMENTS 2026'!C455),"",'ENGAGEMENTS 2026'!H455)</f>
        <v/>
      </c>
      <c r="J455" s="275">
        <f>IF(ISBLANK('ENGAGEMENTS 2026'!C455),"",IF(AND(OR($E455="INFRUCTUEUX",$E455="ANNULE"),$C455="AOO-M"),'ENGAGEMENTS 2026'!P455,IF($H455="EN COURS DE PREENGAGEMENT",'ENGAGEMENTS 2026'!O455,IF($H455="PREENGAGE",IF($E455="ATTRIBUE",'ENGAGEMENTS 2026'!AE455,'ENGAGEMENTS 2026'!O455),'ENGAGEMENTS 2026'!AE455))))</f>
        <v/>
      </c>
      <c r="K455" s="604">
        <f>IF(ISBLANK('ENGAGEMENTS 2026'!W455),"",'ENGAGEMENTS 2026'!W455)</f>
        <v/>
      </c>
      <c r="L455" s="276">
        <f>IF($K455="","",TODAY()-$K455)</f>
        <v/>
      </c>
      <c r="M455">
        <f>IF($A455="","",IF($H455="ENGAGE","Engagé",IF(AND($H455="NON ENGAGE",OR($I455="INFRUCTUEUX",$I455="ANNULE")),"Clôturé sans suite","En cours")))</f>
        <v/>
      </c>
      <c r="N455">
        <f>IF(ISBLANK('ENGAGEMENTS 2026'!C455),"",'ENGAGEMENTS 2026'!L455)</f>
        <v/>
      </c>
      <c r="O455">
        <f>IF(ISBLANK('ENGAGEMENTS 2026'!C455),"",'ENGAGEMENTS 2026'!M455)</f>
        <v/>
      </c>
      <c r="P455">
        <f>IF(ISBLANK('ENGAGEMENTS 2026'!C455),"",'ENGAGEMENTS 2026'!K455)</f>
        <v/>
      </c>
      <c r="Q455">
        <f>IF($A455="","",IF(OR($E455="INFRUCTUEUX",$E455="ANNULE"),$A455&amp;"|"&amp;(COUNTIFS($A$2:$A455,$A455,$E$2:$E455,"INFRUCTUEUX")+COUNTIFS($A$2:$A455,$A455,$E$2:$E455,"ANNULE")),""))</f>
        <v/>
      </c>
    </row>
    <row r="456">
      <c r="A456">
        <f>IF(ISBLANK('ENGAGEMENTS 2026'!C456),"",IF('ENGAGEMENTS 2026'!C456="DTSI","DCT",'ENGAGEMENTS 2026'!C456))</f>
        <v/>
      </c>
      <c r="B456">
        <f>IF(ISBLANK('ENGAGEMENTS 2026'!C456),"",'ENGAGEMENTS 2026'!D456)</f>
        <v/>
      </c>
      <c r="C456">
        <f>IF(ISBLANK('ENGAGEMENTS 2026'!C456),"",'ENGAGEMENTS 2026'!E456)</f>
        <v/>
      </c>
      <c r="D456">
        <f>IF(ISBLANK('ENGAGEMENTS 2026'!C456),"",'ENGAGEMENTS 2026'!G456)</f>
        <v/>
      </c>
      <c r="E456">
        <f>IF(ISBLANK('ENGAGEMENTS 2026'!C456),"",'ENGAGEMENTS 2026'!I456)</f>
        <v/>
      </c>
      <c r="F456">
        <f>IF(ISBLANK('ENGAGEMENTS 2026'!C456),"",'ENGAGEMENTS 2026'!J456)</f>
        <v/>
      </c>
      <c r="G456">
        <f>IF(ISBLANK('ENGAGEMENTS 2026'!C456),"",'ENGAGEMENTS 2026'!M456)</f>
        <v/>
      </c>
      <c r="H456">
        <f>IF(ISBLANK('ENGAGEMENTS 2026'!C456),"",'ENGAGEMENTS 2026'!AF456)</f>
        <v/>
      </c>
      <c r="I456">
        <f>IF(ISBLANK('ENGAGEMENTS 2026'!C456),"",'ENGAGEMENTS 2026'!H456)</f>
        <v/>
      </c>
      <c r="J456" s="275">
        <f>IF(ISBLANK('ENGAGEMENTS 2026'!C456),"",IF(AND(OR($E456="INFRUCTUEUX",$E456="ANNULE"),$C456="AOO-M"),'ENGAGEMENTS 2026'!P456,IF($H456="EN COURS DE PREENGAGEMENT",'ENGAGEMENTS 2026'!O456,IF($H456="PREENGAGE",IF($E456="ATTRIBUE",'ENGAGEMENTS 2026'!AE456,'ENGAGEMENTS 2026'!O456),'ENGAGEMENTS 2026'!AE456))))</f>
        <v/>
      </c>
      <c r="K456" s="604">
        <f>IF(ISBLANK('ENGAGEMENTS 2026'!W456),"",'ENGAGEMENTS 2026'!W456)</f>
        <v/>
      </c>
      <c r="L456" s="276">
        <f>IF($K456="","",TODAY()-$K456)</f>
        <v/>
      </c>
      <c r="M456">
        <f>IF($A456="","",IF($H456="ENGAGE","Engagé",IF(AND($H456="NON ENGAGE",OR($I456="INFRUCTUEUX",$I456="ANNULE")),"Clôturé sans suite","En cours")))</f>
        <v/>
      </c>
      <c r="N456">
        <f>IF(ISBLANK('ENGAGEMENTS 2026'!C456),"",'ENGAGEMENTS 2026'!L456)</f>
        <v/>
      </c>
      <c r="O456">
        <f>IF(ISBLANK('ENGAGEMENTS 2026'!C456),"",'ENGAGEMENTS 2026'!M456)</f>
        <v/>
      </c>
      <c r="P456">
        <f>IF(ISBLANK('ENGAGEMENTS 2026'!C456),"",'ENGAGEMENTS 2026'!K456)</f>
        <v/>
      </c>
      <c r="Q456">
        <f>IF($A456="","",IF(OR($E456="INFRUCTUEUX",$E456="ANNULE"),$A456&amp;"|"&amp;(COUNTIFS($A$2:$A456,$A456,$E$2:$E456,"INFRUCTUEUX")+COUNTIFS($A$2:$A456,$A456,$E$2:$E456,"ANNULE")),""))</f>
        <v/>
      </c>
    </row>
    <row r="457">
      <c r="A457">
        <f>IF(ISBLANK('ENGAGEMENTS 2026'!C457),"",IF('ENGAGEMENTS 2026'!C457="DTSI","DCT",'ENGAGEMENTS 2026'!C457))</f>
        <v/>
      </c>
      <c r="B457">
        <f>IF(ISBLANK('ENGAGEMENTS 2026'!C457),"",'ENGAGEMENTS 2026'!D457)</f>
        <v/>
      </c>
      <c r="C457">
        <f>IF(ISBLANK('ENGAGEMENTS 2026'!C457),"",'ENGAGEMENTS 2026'!E457)</f>
        <v/>
      </c>
      <c r="D457">
        <f>IF(ISBLANK('ENGAGEMENTS 2026'!C457),"",'ENGAGEMENTS 2026'!G457)</f>
        <v/>
      </c>
      <c r="E457">
        <f>IF(ISBLANK('ENGAGEMENTS 2026'!C457),"",'ENGAGEMENTS 2026'!I457)</f>
        <v/>
      </c>
      <c r="F457">
        <f>IF(ISBLANK('ENGAGEMENTS 2026'!C457),"",'ENGAGEMENTS 2026'!J457)</f>
        <v/>
      </c>
      <c r="G457">
        <f>IF(ISBLANK('ENGAGEMENTS 2026'!C457),"",'ENGAGEMENTS 2026'!M457)</f>
        <v/>
      </c>
      <c r="H457">
        <f>IF(ISBLANK('ENGAGEMENTS 2026'!C457),"",'ENGAGEMENTS 2026'!AF457)</f>
        <v/>
      </c>
      <c r="I457">
        <f>IF(ISBLANK('ENGAGEMENTS 2026'!C457),"",'ENGAGEMENTS 2026'!H457)</f>
        <v/>
      </c>
      <c r="J457" s="275">
        <f>IF(ISBLANK('ENGAGEMENTS 2026'!C457),"",IF(AND(OR($E457="INFRUCTUEUX",$E457="ANNULE"),$C457="AOO-M"),'ENGAGEMENTS 2026'!P457,IF($H457="EN COURS DE PREENGAGEMENT",'ENGAGEMENTS 2026'!O457,IF($H457="PREENGAGE",IF($E457="ATTRIBUE",'ENGAGEMENTS 2026'!AE457,'ENGAGEMENTS 2026'!O457),'ENGAGEMENTS 2026'!AE457))))</f>
        <v/>
      </c>
      <c r="K457" s="604">
        <f>IF(ISBLANK('ENGAGEMENTS 2026'!W457),"",'ENGAGEMENTS 2026'!W457)</f>
        <v/>
      </c>
      <c r="L457" s="276">
        <f>IF($K457="","",TODAY()-$K457)</f>
        <v/>
      </c>
      <c r="M457">
        <f>IF($A457="","",IF($H457="ENGAGE","Engagé",IF(AND($H457="NON ENGAGE",OR($I457="INFRUCTUEUX",$I457="ANNULE")),"Clôturé sans suite","En cours")))</f>
        <v/>
      </c>
      <c r="N457">
        <f>IF(ISBLANK('ENGAGEMENTS 2026'!C457),"",'ENGAGEMENTS 2026'!L457)</f>
        <v/>
      </c>
      <c r="O457">
        <f>IF(ISBLANK('ENGAGEMENTS 2026'!C457),"",'ENGAGEMENTS 2026'!M457)</f>
        <v/>
      </c>
      <c r="P457">
        <f>IF(ISBLANK('ENGAGEMENTS 2026'!C457),"",'ENGAGEMENTS 2026'!K457)</f>
        <v/>
      </c>
      <c r="Q457">
        <f>IF($A457="","",IF(OR($E457="INFRUCTUEUX",$E457="ANNULE"),$A457&amp;"|"&amp;(COUNTIFS($A$2:$A457,$A457,$E$2:$E457,"INFRUCTUEUX")+COUNTIFS($A$2:$A457,$A457,$E$2:$E457,"ANNULE")),""))</f>
        <v/>
      </c>
    </row>
    <row r="458">
      <c r="A458">
        <f>IF(ISBLANK('ENGAGEMENTS 2026'!C458),"",IF('ENGAGEMENTS 2026'!C458="DTSI","DCT",'ENGAGEMENTS 2026'!C458))</f>
        <v/>
      </c>
      <c r="B458">
        <f>IF(ISBLANK('ENGAGEMENTS 2026'!C458),"",'ENGAGEMENTS 2026'!D458)</f>
        <v/>
      </c>
      <c r="C458">
        <f>IF(ISBLANK('ENGAGEMENTS 2026'!C458),"",'ENGAGEMENTS 2026'!E458)</f>
        <v/>
      </c>
      <c r="D458">
        <f>IF(ISBLANK('ENGAGEMENTS 2026'!C458),"",'ENGAGEMENTS 2026'!G458)</f>
        <v/>
      </c>
      <c r="E458">
        <f>IF(ISBLANK('ENGAGEMENTS 2026'!C458),"",'ENGAGEMENTS 2026'!I458)</f>
        <v/>
      </c>
      <c r="F458">
        <f>IF(ISBLANK('ENGAGEMENTS 2026'!C458),"",'ENGAGEMENTS 2026'!J458)</f>
        <v/>
      </c>
      <c r="G458">
        <f>IF(ISBLANK('ENGAGEMENTS 2026'!C458),"",'ENGAGEMENTS 2026'!M458)</f>
        <v/>
      </c>
      <c r="H458">
        <f>IF(ISBLANK('ENGAGEMENTS 2026'!C458),"",'ENGAGEMENTS 2026'!AF458)</f>
        <v/>
      </c>
      <c r="I458">
        <f>IF(ISBLANK('ENGAGEMENTS 2026'!C458),"",'ENGAGEMENTS 2026'!H458)</f>
        <v/>
      </c>
      <c r="J458" s="275">
        <f>IF(ISBLANK('ENGAGEMENTS 2026'!C458),"",IF(AND(OR($E458="INFRUCTUEUX",$E458="ANNULE"),$C458="AOO-M"),'ENGAGEMENTS 2026'!P458,IF($H458="EN COURS DE PREENGAGEMENT",'ENGAGEMENTS 2026'!O458,IF($H458="PREENGAGE",IF($E458="ATTRIBUE",'ENGAGEMENTS 2026'!AE458,'ENGAGEMENTS 2026'!O458),'ENGAGEMENTS 2026'!AE458))))</f>
        <v/>
      </c>
      <c r="K458" s="604">
        <f>IF(ISBLANK('ENGAGEMENTS 2026'!W458),"",'ENGAGEMENTS 2026'!W458)</f>
        <v/>
      </c>
      <c r="L458" s="276">
        <f>IF($K458="","",TODAY()-$K458)</f>
        <v/>
      </c>
      <c r="M458">
        <f>IF($A458="","",IF($H458="ENGAGE","Engagé",IF(AND($H458="NON ENGAGE",OR($I458="INFRUCTUEUX",$I458="ANNULE")),"Clôturé sans suite","En cours")))</f>
        <v/>
      </c>
      <c r="N458">
        <f>IF(ISBLANK('ENGAGEMENTS 2026'!C458),"",'ENGAGEMENTS 2026'!L458)</f>
        <v/>
      </c>
      <c r="O458">
        <f>IF(ISBLANK('ENGAGEMENTS 2026'!C458),"",'ENGAGEMENTS 2026'!M458)</f>
        <v/>
      </c>
      <c r="P458">
        <f>IF(ISBLANK('ENGAGEMENTS 2026'!C458),"",'ENGAGEMENTS 2026'!K458)</f>
        <v/>
      </c>
      <c r="Q458">
        <f>IF($A458="","",IF(OR($E458="INFRUCTUEUX",$E458="ANNULE"),$A458&amp;"|"&amp;(COUNTIFS($A$2:$A458,$A458,$E$2:$E458,"INFRUCTUEUX")+COUNTIFS($A$2:$A458,$A458,$E$2:$E458,"ANNULE")),""))</f>
        <v/>
      </c>
    </row>
    <row r="459">
      <c r="A459">
        <f>IF(ISBLANK('ENGAGEMENTS 2026'!C459),"",IF('ENGAGEMENTS 2026'!C459="DTSI","DCT",'ENGAGEMENTS 2026'!C459))</f>
        <v/>
      </c>
      <c r="B459">
        <f>IF(ISBLANK('ENGAGEMENTS 2026'!C459),"",'ENGAGEMENTS 2026'!D459)</f>
        <v/>
      </c>
      <c r="C459">
        <f>IF(ISBLANK('ENGAGEMENTS 2026'!C459),"",'ENGAGEMENTS 2026'!E459)</f>
        <v/>
      </c>
      <c r="D459">
        <f>IF(ISBLANK('ENGAGEMENTS 2026'!C459),"",'ENGAGEMENTS 2026'!G459)</f>
        <v/>
      </c>
      <c r="E459">
        <f>IF(ISBLANK('ENGAGEMENTS 2026'!C459),"",'ENGAGEMENTS 2026'!I459)</f>
        <v/>
      </c>
      <c r="F459">
        <f>IF(ISBLANK('ENGAGEMENTS 2026'!C459),"",'ENGAGEMENTS 2026'!J459)</f>
        <v/>
      </c>
      <c r="G459">
        <f>IF(ISBLANK('ENGAGEMENTS 2026'!C459),"",'ENGAGEMENTS 2026'!M459)</f>
        <v/>
      </c>
      <c r="H459">
        <f>IF(ISBLANK('ENGAGEMENTS 2026'!C459),"",'ENGAGEMENTS 2026'!AF459)</f>
        <v/>
      </c>
      <c r="I459">
        <f>IF(ISBLANK('ENGAGEMENTS 2026'!C459),"",'ENGAGEMENTS 2026'!H459)</f>
        <v/>
      </c>
      <c r="J459" s="275">
        <f>IF(ISBLANK('ENGAGEMENTS 2026'!C459),"",IF(AND(OR($E459="INFRUCTUEUX",$E459="ANNULE"),$C459="AOO-M"),'ENGAGEMENTS 2026'!P459,IF($H459="EN COURS DE PREENGAGEMENT",'ENGAGEMENTS 2026'!O459,IF($H459="PREENGAGE",IF($E459="ATTRIBUE",'ENGAGEMENTS 2026'!AE459,'ENGAGEMENTS 2026'!O459),'ENGAGEMENTS 2026'!AE459))))</f>
        <v/>
      </c>
      <c r="K459" s="604">
        <f>IF(ISBLANK('ENGAGEMENTS 2026'!W459),"",'ENGAGEMENTS 2026'!W459)</f>
        <v/>
      </c>
      <c r="L459" s="276">
        <f>IF($K459="","",TODAY()-$K459)</f>
        <v/>
      </c>
      <c r="M459">
        <f>IF($A459="","",IF($H459="ENGAGE","Engagé",IF(AND($H459="NON ENGAGE",OR($I459="INFRUCTUEUX",$I459="ANNULE")),"Clôturé sans suite","En cours")))</f>
        <v/>
      </c>
      <c r="N459">
        <f>IF(ISBLANK('ENGAGEMENTS 2026'!C459),"",'ENGAGEMENTS 2026'!L459)</f>
        <v/>
      </c>
      <c r="O459">
        <f>IF(ISBLANK('ENGAGEMENTS 2026'!C459),"",'ENGAGEMENTS 2026'!M459)</f>
        <v/>
      </c>
      <c r="P459">
        <f>IF(ISBLANK('ENGAGEMENTS 2026'!C459),"",'ENGAGEMENTS 2026'!K459)</f>
        <v/>
      </c>
      <c r="Q459">
        <f>IF($A459="","",IF(OR($E459="INFRUCTUEUX",$E459="ANNULE"),$A459&amp;"|"&amp;(COUNTIFS($A$2:$A459,$A459,$E$2:$E459,"INFRUCTUEUX")+COUNTIFS($A$2:$A459,$A459,$E$2:$E459,"ANNULE")),""))</f>
        <v/>
      </c>
    </row>
    <row r="460">
      <c r="A460">
        <f>IF(ISBLANK('ENGAGEMENTS 2026'!C460),"",IF('ENGAGEMENTS 2026'!C460="DTSI","DCT",'ENGAGEMENTS 2026'!C460))</f>
        <v/>
      </c>
      <c r="B460">
        <f>IF(ISBLANK('ENGAGEMENTS 2026'!C460),"",'ENGAGEMENTS 2026'!D460)</f>
        <v/>
      </c>
      <c r="C460">
        <f>IF(ISBLANK('ENGAGEMENTS 2026'!C460),"",'ENGAGEMENTS 2026'!E460)</f>
        <v/>
      </c>
      <c r="D460">
        <f>IF(ISBLANK('ENGAGEMENTS 2026'!C460),"",'ENGAGEMENTS 2026'!G460)</f>
        <v/>
      </c>
      <c r="E460">
        <f>IF(ISBLANK('ENGAGEMENTS 2026'!C460),"",'ENGAGEMENTS 2026'!I460)</f>
        <v/>
      </c>
      <c r="F460">
        <f>IF(ISBLANK('ENGAGEMENTS 2026'!C460),"",'ENGAGEMENTS 2026'!J460)</f>
        <v/>
      </c>
      <c r="G460">
        <f>IF(ISBLANK('ENGAGEMENTS 2026'!C460),"",'ENGAGEMENTS 2026'!M460)</f>
        <v/>
      </c>
      <c r="H460">
        <f>IF(ISBLANK('ENGAGEMENTS 2026'!C460),"",'ENGAGEMENTS 2026'!AF460)</f>
        <v/>
      </c>
      <c r="I460">
        <f>IF(ISBLANK('ENGAGEMENTS 2026'!C460),"",'ENGAGEMENTS 2026'!H460)</f>
        <v/>
      </c>
      <c r="J460" s="275">
        <f>IF(ISBLANK('ENGAGEMENTS 2026'!C460),"",IF(AND(OR($E460="INFRUCTUEUX",$E460="ANNULE"),$C460="AOO-M"),'ENGAGEMENTS 2026'!P460,IF($H460="EN COURS DE PREENGAGEMENT",'ENGAGEMENTS 2026'!O460,IF($H460="PREENGAGE",IF($E460="ATTRIBUE",'ENGAGEMENTS 2026'!AE460,'ENGAGEMENTS 2026'!O460),'ENGAGEMENTS 2026'!AE460))))</f>
        <v/>
      </c>
      <c r="K460" s="604">
        <f>IF(ISBLANK('ENGAGEMENTS 2026'!W460),"",'ENGAGEMENTS 2026'!W460)</f>
        <v/>
      </c>
      <c r="L460" s="276">
        <f>IF($K460="","",TODAY()-$K460)</f>
        <v/>
      </c>
      <c r="M460">
        <f>IF($A460="","",IF($H460="ENGAGE","Engagé",IF(AND($H460="NON ENGAGE",OR($I460="INFRUCTUEUX",$I460="ANNULE")),"Clôturé sans suite","En cours")))</f>
        <v/>
      </c>
      <c r="N460">
        <f>IF(ISBLANK('ENGAGEMENTS 2026'!C460),"",'ENGAGEMENTS 2026'!L460)</f>
        <v/>
      </c>
      <c r="O460">
        <f>IF(ISBLANK('ENGAGEMENTS 2026'!C460),"",'ENGAGEMENTS 2026'!M460)</f>
        <v/>
      </c>
      <c r="P460">
        <f>IF(ISBLANK('ENGAGEMENTS 2026'!C460),"",'ENGAGEMENTS 2026'!K460)</f>
        <v/>
      </c>
      <c r="Q460">
        <f>IF($A460="","",IF(OR($E460="INFRUCTUEUX",$E460="ANNULE"),$A460&amp;"|"&amp;(COUNTIFS($A$2:$A460,$A460,$E$2:$E460,"INFRUCTUEUX")+COUNTIFS($A$2:$A460,$A460,$E$2:$E460,"ANNULE")),""))</f>
        <v/>
      </c>
    </row>
    <row r="461">
      <c r="A461">
        <f>IF(ISBLANK('ENGAGEMENTS 2026'!C461),"",IF('ENGAGEMENTS 2026'!C461="DTSI","DCT",'ENGAGEMENTS 2026'!C461))</f>
        <v/>
      </c>
      <c r="B461">
        <f>IF(ISBLANK('ENGAGEMENTS 2026'!C461),"",'ENGAGEMENTS 2026'!D461)</f>
        <v/>
      </c>
      <c r="C461">
        <f>IF(ISBLANK('ENGAGEMENTS 2026'!C461),"",'ENGAGEMENTS 2026'!E461)</f>
        <v/>
      </c>
      <c r="D461">
        <f>IF(ISBLANK('ENGAGEMENTS 2026'!C461),"",'ENGAGEMENTS 2026'!G461)</f>
        <v/>
      </c>
      <c r="E461">
        <f>IF(ISBLANK('ENGAGEMENTS 2026'!C461),"",'ENGAGEMENTS 2026'!I461)</f>
        <v/>
      </c>
      <c r="F461">
        <f>IF(ISBLANK('ENGAGEMENTS 2026'!C461),"",'ENGAGEMENTS 2026'!J461)</f>
        <v/>
      </c>
      <c r="G461">
        <f>IF(ISBLANK('ENGAGEMENTS 2026'!C461),"",'ENGAGEMENTS 2026'!M461)</f>
        <v/>
      </c>
      <c r="H461">
        <f>IF(ISBLANK('ENGAGEMENTS 2026'!C461),"",'ENGAGEMENTS 2026'!AF461)</f>
        <v/>
      </c>
      <c r="I461">
        <f>IF(ISBLANK('ENGAGEMENTS 2026'!C461),"",'ENGAGEMENTS 2026'!H461)</f>
        <v/>
      </c>
      <c r="J461" s="275">
        <f>IF(ISBLANK('ENGAGEMENTS 2026'!C461),"",IF(AND(OR($E461="INFRUCTUEUX",$E461="ANNULE"),$C461="AOO-M"),'ENGAGEMENTS 2026'!P461,IF($H461="EN COURS DE PREENGAGEMENT",'ENGAGEMENTS 2026'!O461,IF($H461="PREENGAGE",IF($E461="ATTRIBUE",'ENGAGEMENTS 2026'!AE461,'ENGAGEMENTS 2026'!O461),'ENGAGEMENTS 2026'!AE461))))</f>
        <v/>
      </c>
      <c r="K461" s="604">
        <f>IF(ISBLANK('ENGAGEMENTS 2026'!W461),"",'ENGAGEMENTS 2026'!W461)</f>
        <v/>
      </c>
      <c r="L461" s="276">
        <f>IF($K461="","",TODAY()-$K461)</f>
        <v/>
      </c>
      <c r="M461">
        <f>IF($A461="","",IF($H461="ENGAGE","Engagé",IF(AND($H461="NON ENGAGE",OR($I461="INFRUCTUEUX",$I461="ANNULE")),"Clôturé sans suite","En cours")))</f>
        <v/>
      </c>
      <c r="N461">
        <f>IF(ISBLANK('ENGAGEMENTS 2026'!C461),"",'ENGAGEMENTS 2026'!L461)</f>
        <v/>
      </c>
      <c r="O461">
        <f>IF(ISBLANK('ENGAGEMENTS 2026'!C461),"",'ENGAGEMENTS 2026'!M461)</f>
        <v/>
      </c>
      <c r="P461">
        <f>IF(ISBLANK('ENGAGEMENTS 2026'!C461),"",'ENGAGEMENTS 2026'!K461)</f>
        <v/>
      </c>
      <c r="Q461">
        <f>IF($A461="","",IF(OR($E461="INFRUCTUEUX",$E461="ANNULE"),$A461&amp;"|"&amp;(COUNTIFS($A$2:$A461,$A461,$E$2:$E461,"INFRUCTUEUX")+COUNTIFS($A$2:$A461,$A461,$E$2:$E461,"ANNULE")),""))</f>
        <v/>
      </c>
    </row>
    <row r="462">
      <c r="A462">
        <f>IF(ISBLANK('ENGAGEMENTS 2026'!C462),"",IF('ENGAGEMENTS 2026'!C462="DTSI","DCT",'ENGAGEMENTS 2026'!C462))</f>
        <v/>
      </c>
      <c r="B462">
        <f>IF(ISBLANK('ENGAGEMENTS 2026'!C462),"",'ENGAGEMENTS 2026'!D462)</f>
        <v/>
      </c>
      <c r="C462">
        <f>IF(ISBLANK('ENGAGEMENTS 2026'!C462),"",'ENGAGEMENTS 2026'!E462)</f>
        <v/>
      </c>
      <c r="D462">
        <f>IF(ISBLANK('ENGAGEMENTS 2026'!C462),"",'ENGAGEMENTS 2026'!G462)</f>
        <v/>
      </c>
      <c r="E462">
        <f>IF(ISBLANK('ENGAGEMENTS 2026'!C462),"",'ENGAGEMENTS 2026'!I462)</f>
        <v/>
      </c>
      <c r="F462">
        <f>IF(ISBLANK('ENGAGEMENTS 2026'!C462),"",'ENGAGEMENTS 2026'!J462)</f>
        <v/>
      </c>
      <c r="G462">
        <f>IF(ISBLANK('ENGAGEMENTS 2026'!C462),"",'ENGAGEMENTS 2026'!M462)</f>
        <v/>
      </c>
      <c r="H462">
        <f>IF(ISBLANK('ENGAGEMENTS 2026'!C462),"",'ENGAGEMENTS 2026'!AF462)</f>
        <v/>
      </c>
      <c r="I462">
        <f>IF(ISBLANK('ENGAGEMENTS 2026'!C462),"",'ENGAGEMENTS 2026'!H462)</f>
        <v/>
      </c>
      <c r="J462" s="275">
        <f>IF(ISBLANK('ENGAGEMENTS 2026'!C462),"",IF(AND(OR($E462="INFRUCTUEUX",$E462="ANNULE"),$C462="AOO-M"),'ENGAGEMENTS 2026'!P462,IF($H462="EN COURS DE PREENGAGEMENT",'ENGAGEMENTS 2026'!O462,IF($H462="PREENGAGE",IF($E462="ATTRIBUE",'ENGAGEMENTS 2026'!AE462,'ENGAGEMENTS 2026'!O462),'ENGAGEMENTS 2026'!AE462))))</f>
        <v/>
      </c>
      <c r="K462" s="604">
        <f>IF(ISBLANK('ENGAGEMENTS 2026'!W462),"",'ENGAGEMENTS 2026'!W462)</f>
        <v/>
      </c>
      <c r="L462" s="276">
        <f>IF($K462="","",TODAY()-$K462)</f>
        <v/>
      </c>
      <c r="M462">
        <f>IF($A462="","",IF($H462="ENGAGE","Engagé",IF(AND($H462="NON ENGAGE",OR($I462="INFRUCTUEUX",$I462="ANNULE")),"Clôturé sans suite","En cours")))</f>
        <v/>
      </c>
      <c r="N462">
        <f>IF(ISBLANK('ENGAGEMENTS 2026'!C462),"",'ENGAGEMENTS 2026'!L462)</f>
        <v/>
      </c>
      <c r="O462">
        <f>IF(ISBLANK('ENGAGEMENTS 2026'!C462),"",'ENGAGEMENTS 2026'!M462)</f>
        <v/>
      </c>
      <c r="P462">
        <f>IF(ISBLANK('ENGAGEMENTS 2026'!C462),"",'ENGAGEMENTS 2026'!K462)</f>
        <v/>
      </c>
      <c r="Q462">
        <f>IF($A462="","",IF(OR($E462="INFRUCTUEUX",$E462="ANNULE"),$A462&amp;"|"&amp;(COUNTIFS($A$2:$A462,$A462,$E$2:$E462,"INFRUCTUEUX")+COUNTIFS($A$2:$A462,$A462,$E$2:$E462,"ANNULE")),""))</f>
        <v/>
      </c>
    </row>
    <row r="463">
      <c r="A463">
        <f>IF(ISBLANK('ENGAGEMENTS 2026'!C463),"",IF('ENGAGEMENTS 2026'!C463="DTSI","DCT",'ENGAGEMENTS 2026'!C463))</f>
        <v/>
      </c>
      <c r="B463">
        <f>IF(ISBLANK('ENGAGEMENTS 2026'!C463),"",'ENGAGEMENTS 2026'!D463)</f>
        <v/>
      </c>
      <c r="C463">
        <f>IF(ISBLANK('ENGAGEMENTS 2026'!C463),"",'ENGAGEMENTS 2026'!E463)</f>
        <v/>
      </c>
      <c r="D463">
        <f>IF(ISBLANK('ENGAGEMENTS 2026'!C463),"",'ENGAGEMENTS 2026'!G463)</f>
        <v/>
      </c>
      <c r="E463">
        <f>IF(ISBLANK('ENGAGEMENTS 2026'!C463),"",'ENGAGEMENTS 2026'!I463)</f>
        <v/>
      </c>
      <c r="F463">
        <f>IF(ISBLANK('ENGAGEMENTS 2026'!C463),"",'ENGAGEMENTS 2026'!J463)</f>
        <v/>
      </c>
      <c r="G463">
        <f>IF(ISBLANK('ENGAGEMENTS 2026'!C463),"",'ENGAGEMENTS 2026'!M463)</f>
        <v/>
      </c>
      <c r="H463">
        <f>IF(ISBLANK('ENGAGEMENTS 2026'!C463),"",'ENGAGEMENTS 2026'!AF463)</f>
        <v/>
      </c>
      <c r="I463">
        <f>IF(ISBLANK('ENGAGEMENTS 2026'!C463),"",'ENGAGEMENTS 2026'!H463)</f>
        <v/>
      </c>
      <c r="J463" s="275">
        <f>IF(ISBLANK('ENGAGEMENTS 2026'!C463),"",IF(AND(OR($E463="INFRUCTUEUX",$E463="ANNULE"),$C463="AOO-M"),'ENGAGEMENTS 2026'!P463,IF($H463="EN COURS DE PREENGAGEMENT",'ENGAGEMENTS 2026'!O463,IF($H463="PREENGAGE",IF($E463="ATTRIBUE",'ENGAGEMENTS 2026'!AE463,'ENGAGEMENTS 2026'!O463),'ENGAGEMENTS 2026'!AE463))))</f>
        <v/>
      </c>
      <c r="K463" s="604">
        <f>IF(ISBLANK('ENGAGEMENTS 2026'!W463),"",'ENGAGEMENTS 2026'!W463)</f>
        <v/>
      </c>
      <c r="L463" s="276">
        <f>IF($K463="","",TODAY()-$K463)</f>
        <v/>
      </c>
      <c r="M463">
        <f>IF($A463="","",IF($H463="ENGAGE","Engagé",IF(AND($H463="NON ENGAGE",OR($I463="INFRUCTUEUX",$I463="ANNULE")),"Clôturé sans suite","En cours")))</f>
        <v/>
      </c>
      <c r="N463">
        <f>IF(ISBLANK('ENGAGEMENTS 2026'!C463),"",'ENGAGEMENTS 2026'!L463)</f>
        <v/>
      </c>
      <c r="O463">
        <f>IF(ISBLANK('ENGAGEMENTS 2026'!C463),"",'ENGAGEMENTS 2026'!M463)</f>
        <v/>
      </c>
      <c r="P463">
        <f>IF(ISBLANK('ENGAGEMENTS 2026'!C463),"",'ENGAGEMENTS 2026'!K463)</f>
        <v/>
      </c>
      <c r="Q463">
        <f>IF($A463="","",IF(OR($E463="INFRUCTUEUX",$E463="ANNULE"),$A463&amp;"|"&amp;(COUNTIFS($A$2:$A463,$A463,$E$2:$E463,"INFRUCTUEUX")+COUNTIFS($A$2:$A463,$A463,$E$2:$E463,"ANNULE")),""))</f>
        <v/>
      </c>
    </row>
    <row r="464">
      <c r="A464">
        <f>IF(ISBLANK('ENGAGEMENTS 2026'!C464),"",IF('ENGAGEMENTS 2026'!C464="DTSI","DCT",'ENGAGEMENTS 2026'!C464))</f>
        <v/>
      </c>
      <c r="B464">
        <f>IF(ISBLANK('ENGAGEMENTS 2026'!C464),"",'ENGAGEMENTS 2026'!D464)</f>
        <v/>
      </c>
      <c r="C464">
        <f>IF(ISBLANK('ENGAGEMENTS 2026'!C464),"",'ENGAGEMENTS 2026'!E464)</f>
        <v/>
      </c>
      <c r="D464">
        <f>IF(ISBLANK('ENGAGEMENTS 2026'!C464),"",'ENGAGEMENTS 2026'!G464)</f>
        <v/>
      </c>
      <c r="E464">
        <f>IF(ISBLANK('ENGAGEMENTS 2026'!C464),"",'ENGAGEMENTS 2026'!I464)</f>
        <v/>
      </c>
      <c r="F464">
        <f>IF(ISBLANK('ENGAGEMENTS 2026'!C464),"",'ENGAGEMENTS 2026'!J464)</f>
        <v/>
      </c>
      <c r="G464">
        <f>IF(ISBLANK('ENGAGEMENTS 2026'!C464),"",'ENGAGEMENTS 2026'!M464)</f>
        <v/>
      </c>
      <c r="H464">
        <f>IF(ISBLANK('ENGAGEMENTS 2026'!C464),"",'ENGAGEMENTS 2026'!AF464)</f>
        <v/>
      </c>
      <c r="I464">
        <f>IF(ISBLANK('ENGAGEMENTS 2026'!C464),"",'ENGAGEMENTS 2026'!H464)</f>
        <v/>
      </c>
      <c r="J464" s="275">
        <f>IF(ISBLANK('ENGAGEMENTS 2026'!C464),"",IF(AND(OR($E464="INFRUCTUEUX",$E464="ANNULE"),$C464="AOO-M"),'ENGAGEMENTS 2026'!P464,IF($H464="EN COURS DE PREENGAGEMENT",'ENGAGEMENTS 2026'!O464,IF($H464="PREENGAGE",IF($E464="ATTRIBUE",'ENGAGEMENTS 2026'!AE464,'ENGAGEMENTS 2026'!O464),'ENGAGEMENTS 2026'!AE464))))</f>
        <v/>
      </c>
      <c r="K464" s="604">
        <f>IF(ISBLANK('ENGAGEMENTS 2026'!W464),"",'ENGAGEMENTS 2026'!W464)</f>
        <v/>
      </c>
      <c r="L464" s="276">
        <f>IF($K464="","",TODAY()-$K464)</f>
        <v/>
      </c>
      <c r="M464">
        <f>IF($A464="","",IF($H464="ENGAGE","Engagé",IF(AND($H464="NON ENGAGE",OR($I464="INFRUCTUEUX",$I464="ANNULE")),"Clôturé sans suite","En cours")))</f>
        <v/>
      </c>
      <c r="N464">
        <f>IF(ISBLANK('ENGAGEMENTS 2026'!C464),"",'ENGAGEMENTS 2026'!L464)</f>
        <v/>
      </c>
      <c r="O464">
        <f>IF(ISBLANK('ENGAGEMENTS 2026'!C464),"",'ENGAGEMENTS 2026'!M464)</f>
        <v/>
      </c>
      <c r="P464">
        <f>IF(ISBLANK('ENGAGEMENTS 2026'!C464),"",'ENGAGEMENTS 2026'!K464)</f>
        <v/>
      </c>
      <c r="Q464">
        <f>IF($A464="","",IF(OR($E464="INFRUCTUEUX",$E464="ANNULE"),$A464&amp;"|"&amp;(COUNTIFS($A$2:$A464,$A464,$E$2:$E464,"INFRUCTUEUX")+COUNTIFS($A$2:$A464,$A464,$E$2:$E464,"ANNULE")),""))</f>
        <v/>
      </c>
    </row>
    <row r="465">
      <c r="A465">
        <f>IF(ISBLANK('ENGAGEMENTS 2026'!C465),"",IF('ENGAGEMENTS 2026'!C465="DTSI","DCT",'ENGAGEMENTS 2026'!C465))</f>
        <v/>
      </c>
      <c r="B465">
        <f>IF(ISBLANK('ENGAGEMENTS 2026'!C465),"",'ENGAGEMENTS 2026'!D465)</f>
        <v/>
      </c>
      <c r="C465">
        <f>IF(ISBLANK('ENGAGEMENTS 2026'!C465),"",'ENGAGEMENTS 2026'!E465)</f>
        <v/>
      </c>
      <c r="D465">
        <f>IF(ISBLANK('ENGAGEMENTS 2026'!C465),"",'ENGAGEMENTS 2026'!G465)</f>
        <v/>
      </c>
      <c r="E465">
        <f>IF(ISBLANK('ENGAGEMENTS 2026'!C465),"",'ENGAGEMENTS 2026'!I465)</f>
        <v/>
      </c>
      <c r="F465">
        <f>IF(ISBLANK('ENGAGEMENTS 2026'!C465),"",'ENGAGEMENTS 2026'!J465)</f>
        <v/>
      </c>
      <c r="G465">
        <f>IF(ISBLANK('ENGAGEMENTS 2026'!C465),"",'ENGAGEMENTS 2026'!M465)</f>
        <v/>
      </c>
      <c r="H465">
        <f>IF(ISBLANK('ENGAGEMENTS 2026'!C465),"",'ENGAGEMENTS 2026'!AF465)</f>
        <v/>
      </c>
      <c r="I465">
        <f>IF(ISBLANK('ENGAGEMENTS 2026'!C465),"",'ENGAGEMENTS 2026'!H465)</f>
        <v/>
      </c>
      <c r="J465" s="275">
        <f>IF(ISBLANK('ENGAGEMENTS 2026'!C465),"",IF(AND(OR($E465="INFRUCTUEUX",$E465="ANNULE"),$C465="AOO-M"),'ENGAGEMENTS 2026'!P465,IF($H465="EN COURS DE PREENGAGEMENT",'ENGAGEMENTS 2026'!O465,IF($H465="PREENGAGE",IF($E465="ATTRIBUE",'ENGAGEMENTS 2026'!AE465,'ENGAGEMENTS 2026'!O465),'ENGAGEMENTS 2026'!AE465))))</f>
        <v/>
      </c>
      <c r="K465" s="604">
        <f>IF(ISBLANK('ENGAGEMENTS 2026'!W465),"",'ENGAGEMENTS 2026'!W465)</f>
        <v/>
      </c>
      <c r="L465" s="276">
        <f>IF($K465="","",TODAY()-$K465)</f>
        <v/>
      </c>
      <c r="M465">
        <f>IF($A465="","",IF($H465="ENGAGE","Engagé",IF(AND($H465="NON ENGAGE",OR($I465="INFRUCTUEUX",$I465="ANNULE")),"Clôturé sans suite","En cours")))</f>
        <v/>
      </c>
      <c r="N465">
        <f>IF(ISBLANK('ENGAGEMENTS 2026'!C465),"",'ENGAGEMENTS 2026'!L465)</f>
        <v/>
      </c>
      <c r="O465">
        <f>IF(ISBLANK('ENGAGEMENTS 2026'!C465),"",'ENGAGEMENTS 2026'!M465)</f>
        <v/>
      </c>
      <c r="P465">
        <f>IF(ISBLANK('ENGAGEMENTS 2026'!C465),"",'ENGAGEMENTS 2026'!K465)</f>
        <v/>
      </c>
      <c r="Q465">
        <f>IF($A465="","",IF(OR($E465="INFRUCTUEUX",$E465="ANNULE"),$A465&amp;"|"&amp;(COUNTIFS($A$2:$A465,$A465,$E$2:$E465,"INFRUCTUEUX")+COUNTIFS($A$2:$A465,$A465,$E$2:$E465,"ANNULE")),""))</f>
        <v/>
      </c>
    </row>
    <row r="466">
      <c r="A466">
        <f>IF(ISBLANK('ENGAGEMENTS 2026'!C466),"",IF('ENGAGEMENTS 2026'!C466="DTSI","DCT",'ENGAGEMENTS 2026'!C466))</f>
        <v/>
      </c>
      <c r="B466">
        <f>IF(ISBLANK('ENGAGEMENTS 2026'!C466),"",'ENGAGEMENTS 2026'!D466)</f>
        <v/>
      </c>
      <c r="C466">
        <f>IF(ISBLANK('ENGAGEMENTS 2026'!C466),"",'ENGAGEMENTS 2026'!E466)</f>
        <v/>
      </c>
      <c r="D466">
        <f>IF(ISBLANK('ENGAGEMENTS 2026'!C466),"",'ENGAGEMENTS 2026'!G466)</f>
        <v/>
      </c>
      <c r="E466">
        <f>IF(ISBLANK('ENGAGEMENTS 2026'!C466),"",'ENGAGEMENTS 2026'!I466)</f>
        <v/>
      </c>
      <c r="F466">
        <f>IF(ISBLANK('ENGAGEMENTS 2026'!C466),"",'ENGAGEMENTS 2026'!J466)</f>
        <v/>
      </c>
      <c r="G466">
        <f>IF(ISBLANK('ENGAGEMENTS 2026'!C466),"",'ENGAGEMENTS 2026'!M466)</f>
        <v/>
      </c>
      <c r="H466">
        <f>IF(ISBLANK('ENGAGEMENTS 2026'!C466),"",'ENGAGEMENTS 2026'!AF466)</f>
        <v/>
      </c>
      <c r="I466">
        <f>IF(ISBLANK('ENGAGEMENTS 2026'!C466),"",'ENGAGEMENTS 2026'!H466)</f>
        <v/>
      </c>
      <c r="J466" s="275">
        <f>IF(ISBLANK('ENGAGEMENTS 2026'!C466),"",IF(AND(OR($E466="INFRUCTUEUX",$E466="ANNULE"),$C466="AOO-M"),'ENGAGEMENTS 2026'!P466,IF($H466="EN COURS DE PREENGAGEMENT",'ENGAGEMENTS 2026'!O466,IF($H466="PREENGAGE",IF($E466="ATTRIBUE",'ENGAGEMENTS 2026'!AE466,'ENGAGEMENTS 2026'!O466),'ENGAGEMENTS 2026'!AE466))))</f>
        <v/>
      </c>
      <c r="K466" s="604">
        <f>IF(ISBLANK('ENGAGEMENTS 2026'!W466),"",'ENGAGEMENTS 2026'!W466)</f>
        <v/>
      </c>
      <c r="L466" s="276">
        <f>IF($K466="","",TODAY()-$K466)</f>
        <v/>
      </c>
      <c r="M466">
        <f>IF($A466="","",IF($H466="ENGAGE","Engagé",IF(AND($H466="NON ENGAGE",OR($I466="INFRUCTUEUX",$I466="ANNULE")),"Clôturé sans suite","En cours")))</f>
        <v/>
      </c>
      <c r="N466">
        <f>IF(ISBLANK('ENGAGEMENTS 2026'!C466),"",'ENGAGEMENTS 2026'!L466)</f>
        <v/>
      </c>
      <c r="O466">
        <f>IF(ISBLANK('ENGAGEMENTS 2026'!C466),"",'ENGAGEMENTS 2026'!M466)</f>
        <v/>
      </c>
      <c r="P466">
        <f>IF(ISBLANK('ENGAGEMENTS 2026'!C466),"",'ENGAGEMENTS 2026'!K466)</f>
        <v/>
      </c>
      <c r="Q466">
        <f>IF($A466="","",IF(OR($E466="INFRUCTUEUX",$E466="ANNULE"),$A466&amp;"|"&amp;(COUNTIFS($A$2:$A466,$A466,$E$2:$E466,"INFRUCTUEUX")+COUNTIFS($A$2:$A466,$A466,$E$2:$E466,"ANNULE")),""))</f>
        <v/>
      </c>
    </row>
    <row r="467">
      <c r="A467">
        <f>IF(ISBLANK('ENGAGEMENTS 2026'!C467),"",IF('ENGAGEMENTS 2026'!C467="DTSI","DCT",'ENGAGEMENTS 2026'!C467))</f>
        <v/>
      </c>
      <c r="B467">
        <f>IF(ISBLANK('ENGAGEMENTS 2026'!C467),"",'ENGAGEMENTS 2026'!D467)</f>
        <v/>
      </c>
      <c r="C467">
        <f>IF(ISBLANK('ENGAGEMENTS 2026'!C467),"",'ENGAGEMENTS 2026'!E467)</f>
        <v/>
      </c>
      <c r="D467">
        <f>IF(ISBLANK('ENGAGEMENTS 2026'!C467),"",'ENGAGEMENTS 2026'!G467)</f>
        <v/>
      </c>
      <c r="E467">
        <f>IF(ISBLANK('ENGAGEMENTS 2026'!C467),"",'ENGAGEMENTS 2026'!I467)</f>
        <v/>
      </c>
      <c r="F467">
        <f>IF(ISBLANK('ENGAGEMENTS 2026'!C467),"",'ENGAGEMENTS 2026'!J467)</f>
        <v/>
      </c>
      <c r="G467">
        <f>IF(ISBLANK('ENGAGEMENTS 2026'!C467),"",'ENGAGEMENTS 2026'!M467)</f>
        <v/>
      </c>
      <c r="H467">
        <f>IF(ISBLANK('ENGAGEMENTS 2026'!C467),"",'ENGAGEMENTS 2026'!AF467)</f>
        <v/>
      </c>
      <c r="I467">
        <f>IF(ISBLANK('ENGAGEMENTS 2026'!C467),"",'ENGAGEMENTS 2026'!H467)</f>
        <v/>
      </c>
      <c r="J467" s="275">
        <f>IF(ISBLANK('ENGAGEMENTS 2026'!C467),"",IF(AND(OR($E467="INFRUCTUEUX",$E467="ANNULE"),$C467="AOO-M"),'ENGAGEMENTS 2026'!P467,IF($H467="EN COURS DE PREENGAGEMENT",'ENGAGEMENTS 2026'!O467,IF($H467="PREENGAGE",IF($E467="ATTRIBUE",'ENGAGEMENTS 2026'!AE467,'ENGAGEMENTS 2026'!O467),'ENGAGEMENTS 2026'!AE467))))</f>
        <v/>
      </c>
      <c r="K467" s="604">
        <f>IF(ISBLANK('ENGAGEMENTS 2026'!W467),"",'ENGAGEMENTS 2026'!W467)</f>
        <v/>
      </c>
      <c r="L467" s="276">
        <f>IF($K467="","",TODAY()-$K467)</f>
        <v/>
      </c>
      <c r="M467">
        <f>IF($A467="","",IF($H467="ENGAGE","Engagé",IF(AND($H467="NON ENGAGE",OR($I467="INFRUCTUEUX",$I467="ANNULE")),"Clôturé sans suite","En cours")))</f>
        <v/>
      </c>
      <c r="N467">
        <f>IF(ISBLANK('ENGAGEMENTS 2026'!C467),"",'ENGAGEMENTS 2026'!L467)</f>
        <v/>
      </c>
      <c r="O467">
        <f>IF(ISBLANK('ENGAGEMENTS 2026'!C467),"",'ENGAGEMENTS 2026'!M467)</f>
        <v/>
      </c>
      <c r="P467">
        <f>IF(ISBLANK('ENGAGEMENTS 2026'!C467),"",'ENGAGEMENTS 2026'!K467)</f>
        <v/>
      </c>
      <c r="Q467">
        <f>IF($A467="","",IF(OR($E467="INFRUCTUEUX",$E467="ANNULE"),$A467&amp;"|"&amp;(COUNTIFS($A$2:$A467,$A467,$E$2:$E467,"INFRUCTUEUX")+COUNTIFS($A$2:$A467,$A467,$E$2:$E467,"ANNULE")),""))</f>
        <v/>
      </c>
    </row>
    <row r="468">
      <c r="A468">
        <f>IF(ISBLANK('ENGAGEMENTS 2026'!C468),"",IF('ENGAGEMENTS 2026'!C468="DTSI","DCT",'ENGAGEMENTS 2026'!C468))</f>
        <v/>
      </c>
      <c r="B468">
        <f>IF(ISBLANK('ENGAGEMENTS 2026'!C468),"",'ENGAGEMENTS 2026'!D468)</f>
        <v/>
      </c>
      <c r="C468">
        <f>IF(ISBLANK('ENGAGEMENTS 2026'!C468),"",'ENGAGEMENTS 2026'!E468)</f>
        <v/>
      </c>
      <c r="D468">
        <f>IF(ISBLANK('ENGAGEMENTS 2026'!C468),"",'ENGAGEMENTS 2026'!G468)</f>
        <v/>
      </c>
      <c r="E468">
        <f>IF(ISBLANK('ENGAGEMENTS 2026'!C468),"",'ENGAGEMENTS 2026'!I468)</f>
        <v/>
      </c>
      <c r="F468">
        <f>IF(ISBLANK('ENGAGEMENTS 2026'!C468),"",'ENGAGEMENTS 2026'!J468)</f>
        <v/>
      </c>
      <c r="G468">
        <f>IF(ISBLANK('ENGAGEMENTS 2026'!C468),"",'ENGAGEMENTS 2026'!M468)</f>
        <v/>
      </c>
      <c r="H468">
        <f>IF(ISBLANK('ENGAGEMENTS 2026'!C468),"",'ENGAGEMENTS 2026'!AF468)</f>
        <v/>
      </c>
      <c r="I468">
        <f>IF(ISBLANK('ENGAGEMENTS 2026'!C468),"",'ENGAGEMENTS 2026'!H468)</f>
        <v/>
      </c>
      <c r="J468" s="275">
        <f>IF(ISBLANK('ENGAGEMENTS 2026'!C468),"",IF(AND(OR($E468="INFRUCTUEUX",$E468="ANNULE"),$C468="AOO-M"),'ENGAGEMENTS 2026'!P468,IF($H468="EN COURS DE PREENGAGEMENT",'ENGAGEMENTS 2026'!O468,IF($H468="PREENGAGE",IF($E468="ATTRIBUE",'ENGAGEMENTS 2026'!AE468,'ENGAGEMENTS 2026'!O468),'ENGAGEMENTS 2026'!AE468))))</f>
        <v/>
      </c>
      <c r="K468" s="604">
        <f>IF(ISBLANK('ENGAGEMENTS 2026'!W468),"",'ENGAGEMENTS 2026'!W468)</f>
        <v/>
      </c>
      <c r="L468" s="276">
        <f>IF($K468="","",TODAY()-$K468)</f>
        <v/>
      </c>
      <c r="M468">
        <f>IF($A468="","",IF($H468="ENGAGE","Engagé",IF(AND($H468="NON ENGAGE",OR($I468="INFRUCTUEUX",$I468="ANNULE")),"Clôturé sans suite","En cours")))</f>
        <v/>
      </c>
      <c r="N468">
        <f>IF(ISBLANK('ENGAGEMENTS 2026'!C468),"",'ENGAGEMENTS 2026'!L468)</f>
        <v/>
      </c>
      <c r="O468">
        <f>IF(ISBLANK('ENGAGEMENTS 2026'!C468),"",'ENGAGEMENTS 2026'!M468)</f>
        <v/>
      </c>
      <c r="P468">
        <f>IF(ISBLANK('ENGAGEMENTS 2026'!C468),"",'ENGAGEMENTS 2026'!K468)</f>
        <v/>
      </c>
      <c r="Q468">
        <f>IF($A468="","",IF(OR($E468="INFRUCTUEUX",$E468="ANNULE"),$A468&amp;"|"&amp;(COUNTIFS($A$2:$A468,$A468,$E$2:$E468,"INFRUCTUEUX")+COUNTIFS($A$2:$A468,$A468,$E$2:$E468,"ANNULE")),""))</f>
        <v/>
      </c>
    </row>
    <row r="469">
      <c r="A469">
        <f>IF(ISBLANK('ENGAGEMENTS 2026'!C469),"",IF('ENGAGEMENTS 2026'!C469="DTSI","DCT",'ENGAGEMENTS 2026'!C469))</f>
        <v/>
      </c>
      <c r="B469">
        <f>IF(ISBLANK('ENGAGEMENTS 2026'!C469),"",'ENGAGEMENTS 2026'!D469)</f>
        <v/>
      </c>
      <c r="C469">
        <f>IF(ISBLANK('ENGAGEMENTS 2026'!C469),"",'ENGAGEMENTS 2026'!E469)</f>
        <v/>
      </c>
      <c r="D469">
        <f>IF(ISBLANK('ENGAGEMENTS 2026'!C469),"",'ENGAGEMENTS 2026'!G469)</f>
        <v/>
      </c>
      <c r="E469">
        <f>IF(ISBLANK('ENGAGEMENTS 2026'!C469),"",'ENGAGEMENTS 2026'!I469)</f>
        <v/>
      </c>
      <c r="F469">
        <f>IF(ISBLANK('ENGAGEMENTS 2026'!C469),"",'ENGAGEMENTS 2026'!J469)</f>
        <v/>
      </c>
      <c r="G469">
        <f>IF(ISBLANK('ENGAGEMENTS 2026'!C469),"",'ENGAGEMENTS 2026'!M469)</f>
        <v/>
      </c>
      <c r="H469">
        <f>IF(ISBLANK('ENGAGEMENTS 2026'!C469),"",'ENGAGEMENTS 2026'!AF469)</f>
        <v/>
      </c>
      <c r="I469">
        <f>IF(ISBLANK('ENGAGEMENTS 2026'!C469),"",'ENGAGEMENTS 2026'!H469)</f>
        <v/>
      </c>
      <c r="J469" s="275">
        <f>IF(ISBLANK('ENGAGEMENTS 2026'!C469),"",IF(AND(OR($E469="INFRUCTUEUX",$E469="ANNULE"),$C469="AOO-M"),'ENGAGEMENTS 2026'!P469,IF($H469="EN COURS DE PREENGAGEMENT",'ENGAGEMENTS 2026'!O469,IF($H469="PREENGAGE",IF($E469="ATTRIBUE",'ENGAGEMENTS 2026'!AE469,'ENGAGEMENTS 2026'!O469),'ENGAGEMENTS 2026'!AE469))))</f>
        <v/>
      </c>
      <c r="K469" s="604">
        <f>IF(ISBLANK('ENGAGEMENTS 2026'!W469),"",'ENGAGEMENTS 2026'!W469)</f>
        <v/>
      </c>
      <c r="L469" s="276">
        <f>IF($K469="","",TODAY()-$K469)</f>
        <v/>
      </c>
      <c r="M469">
        <f>IF($A469="","",IF($H469="ENGAGE","Engagé",IF(AND($H469="NON ENGAGE",OR($I469="INFRUCTUEUX",$I469="ANNULE")),"Clôturé sans suite","En cours")))</f>
        <v/>
      </c>
      <c r="N469">
        <f>IF(ISBLANK('ENGAGEMENTS 2026'!C469),"",'ENGAGEMENTS 2026'!L469)</f>
        <v/>
      </c>
      <c r="O469">
        <f>IF(ISBLANK('ENGAGEMENTS 2026'!C469),"",'ENGAGEMENTS 2026'!M469)</f>
        <v/>
      </c>
      <c r="P469">
        <f>IF(ISBLANK('ENGAGEMENTS 2026'!C469),"",'ENGAGEMENTS 2026'!K469)</f>
        <v/>
      </c>
      <c r="Q469">
        <f>IF($A469="","",IF(OR($E469="INFRUCTUEUX",$E469="ANNULE"),$A469&amp;"|"&amp;(COUNTIFS($A$2:$A469,$A469,$E$2:$E469,"INFRUCTUEUX")+COUNTIFS($A$2:$A469,$A469,$E$2:$E469,"ANNULE")),""))</f>
        <v/>
      </c>
    </row>
    <row r="470">
      <c r="A470">
        <f>IF(ISBLANK('ENGAGEMENTS 2026'!C470),"",IF('ENGAGEMENTS 2026'!C470="DTSI","DCT",'ENGAGEMENTS 2026'!C470))</f>
        <v/>
      </c>
      <c r="B470">
        <f>IF(ISBLANK('ENGAGEMENTS 2026'!C470),"",'ENGAGEMENTS 2026'!D470)</f>
        <v/>
      </c>
      <c r="C470">
        <f>IF(ISBLANK('ENGAGEMENTS 2026'!C470),"",'ENGAGEMENTS 2026'!E470)</f>
        <v/>
      </c>
      <c r="D470">
        <f>IF(ISBLANK('ENGAGEMENTS 2026'!C470),"",'ENGAGEMENTS 2026'!G470)</f>
        <v/>
      </c>
      <c r="E470">
        <f>IF(ISBLANK('ENGAGEMENTS 2026'!C470),"",'ENGAGEMENTS 2026'!I470)</f>
        <v/>
      </c>
      <c r="F470">
        <f>IF(ISBLANK('ENGAGEMENTS 2026'!C470),"",'ENGAGEMENTS 2026'!J470)</f>
        <v/>
      </c>
      <c r="G470">
        <f>IF(ISBLANK('ENGAGEMENTS 2026'!C470),"",'ENGAGEMENTS 2026'!M470)</f>
        <v/>
      </c>
      <c r="H470">
        <f>IF(ISBLANK('ENGAGEMENTS 2026'!C470),"",'ENGAGEMENTS 2026'!AF470)</f>
        <v/>
      </c>
      <c r="I470">
        <f>IF(ISBLANK('ENGAGEMENTS 2026'!C470),"",'ENGAGEMENTS 2026'!H470)</f>
        <v/>
      </c>
      <c r="J470" s="275">
        <f>IF(ISBLANK('ENGAGEMENTS 2026'!C470),"",IF(AND(OR($E470="INFRUCTUEUX",$E470="ANNULE"),$C470="AOO-M"),'ENGAGEMENTS 2026'!P470,IF($H470="EN COURS DE PREENGAGEMENT",'ENGAGEMENTS 2026'!O470,IF($H470="PREENGAGE",IF($E470="ATTRIBUE",'ENGAGEMENTS 2026'!AE470,'ENGAGEMENTS 2026'!O470),'ENGAGEMENTS 2026'!AE470))))</f>
        <v/>
      </c>
      <c r="K470" s="604">
        <f>IF(ISBLANK('ENGAGEMENTS 2026'!W470),"",'ENGAGEMENTS 2026'!W470)</f>
        <v/>
      </c>
      <c r="L470" s="276">
        <f>IF($K470="","",TODAY()-$K470)</f>
        <v/>
      </c>
      <c r="M470">
        <f>IF($A470="","",IF($H470="ENGAGE","Engagé",IF(AND($H470="NON ENGAGE",OR($I470="INFRUCTUEUX",$I470="ANNULE")),"Clôturé sans suite","En cours")))</f>
        <v/>
      </c>
      <c r="N470">
        <f>IF(ISBLANK('ENGAGEMENTS 2026'!C470),"",'ENGAGEMENTS 2026'!L470)</f>
        <v/>
      </c>
      <c r="O470">
        <f>IF(ISBLANK('ENGAGEMENTS 2026'!C470),"",'ENGAGEMENTS 2026'!M470)</f>
        <v/>
      </c>
      <c r="P470">
        <f>IF(ISBLANK('ENGAGEMENTS 2026'!C470),"",'ENGAGEMENTS 2026'!K470)</f>
        <v/>
      </c>
      <c r="Q470">
        <f>IF($A470="","",IF(OR($E470="INFRUCTUEUX",$E470="ANNULE"),$A470&amp;"|"&amp;(COUNTIFS($A$2:$A470,$A470,$E$2:$E470,"INFRUCTUEUX")+COUNTIFS($A$2:$A470,$A470,$E$2:$E470,"ANNULE")),""))</f>
        <v/>
      </c>
    </row>
    <row r="471">
      <c r="A471">
        <f>IF(ISBLANK('ENGAGEMENTS 2026'!C471),"",IF('ENGAGEMENTS 2026'!C471="DTSI","DCT",'ENGAGEMENTS 2026'!C471))</f>
        <v/>
      </c>
      <c r="B471">
        <f>IF(ISBLANK('ENGAGEMENTS 2026'!C471),"",'ENGAGEMENTS 2026'!D471)</f>
        <v/>
      </c>
      <c r="C471">
        <f>IF(ISBLANK('ENGAGEMENTS 2026'!C471),"",'ENGAGEMENTS 2026'!E471)</f>
        <v/>
      </c>
      <c r="D471">
        <f>IF(ISBLANK('ENGAGEMENTS 2026'!C471),"",'ENGAGEMENTS 2026'!G471)</f>
        <v/>
      </c>
      <c r="E471">
        <f>IF(ISBLANK('ENGAGEMENTS 2026'!C471),"",'ENGAGEMENTS 2026'!I471)</f>
        <v/>
      </c>
      <c r="F471">
        <f>IF(ISBLANK('ENGAGEMENTS 2026'!C471),"",'ENGAGEMENTS 2026'!J471)</f>
        <v/>
      </c>
      <c r="G471">
        <f>IF(ISBLANK('ENGAGEMENTS 2026'!C471),"",'ENGAGEMENTS 2026'!M471)</f>
        <v/>
      </c>
      <c r="H471">
        <f>IF(ISBLANK('ENGAGEMENTS 2026'!C471),"",'ENGAGEMENTS 2026'!AF471)</f>
        <v/>
      </c>
      <c r="I471">
        <f>IF(ISBLANK('ENGAGEMENTS 2026'!C471),"",'ENGAGEMENTS 2026'!H471)</f>
        <v/>
      </c>
      <c r="J471" s="275">
        <f>IF(ISBLANK('ENGAGEMENTS 2026'!C471),"",IF(AND(OR($E471="INFRUCTUEUX",$E471="ANNULE"),$C471="AOO-M"),'ENGAGEMENTS 2026'!P471,IF($H471="EN COURS DE PREENGAGEMENT",'ENGAGEMENTS 2026'!O471,IF($H471="PREENGAGE",IF($E471="ATTRIBUE",'ENGAGEMENTS 2026'!AE471,'ENGAGEMENTS 2026'!O471),'ENGAGEMENTS 2026'!AE471))))</f>
        <v/>
      </c>
      <c r="K471" s="604">
        <f>IF(ISBLANK('ENGAGEMENTS 2026'!W471),"",'ENGAGEMENTS 2026'!W471)</f>
        <v/>
      </c>
      <c r="L471" s="276">
        <f>IF($K471="","",TODAY()-$K471)</f>
        <v/>
      </c>
      <c r="M471">
        <f>IF($A471="","",IF($H471="ENGAGE","Engagé",IF(AND($H471="NON ENGAGE",OR($I471="INFRUCTUEUX",$I471="ANNULE")),"Clôturé sans suite","En cours")))</f>
        <v/>
      </c>
      <c r="N471">
        <f>IF(ISBLANK('ENGAGEMENTS 2026'!C471),"",'ENGAGEMENTS 2026'!L471)</f>
        <v/>
      </c>
      <c r="O471">
        <f>IF(ISBLANK('ENGAGEMENTS 2026'!C471),"",'ENGAGEMENTS 2026'!M471)</f>
        <v/>
      </c>
      <c r="P471">
        <f>IF(ISBLANK('ENGAGEMENTS 2026'!C471),"",'ENGAGEMENTS 2026'!K471)</f>
        <v/>
      </c>
      <c r="Q471">
        <f>IF($A471="","",IF(OR($E471="INFRUCTUEUX",$E471="ANNULE"),$A471&amp;"|"&amp;(COUNTIFS($A$2:$A471,$A471,$E$2:$E471,"INFRUCTUEUX")+COUNTIFS($A$2:$A471,$A471,$E$2:$E471,"ANNULE")),""))</f>
        <v/>
      </c>
    </row>
    <row r="472">
      <c r="A472">
        <f>IF(ISBLANK('ENGAGEMENTS 2026'!C472),"",IF('ENGAGEMENTS 2026'!C472="DTSI","DCT",'ENGAGEMENTS 2026'!C472))</f>
        <v/>
      </c>
      <c r="B472">
        <f>IF(ISBLANK('ENGAGEMENTS 2026'!C472),"",'ENGAGEMENTS 2026'!D472)</f>
        <v/>
      </c>
      <c r="C472">
        <f>IF(ISBLANK('ENGAGEMENTS 2026'!C472),"",'ENGAGEMENTS 2026'!E472)</f>
        <v/>
      </c>
      <c r="D472">
        <f>IF(ISBLANK('ENGAGEMENTS 2026'!C472),"",'ENGAGEMENTS 2026'!G472)</f>
        <v/>
      </c>
      <c r="E472">
        <f>IF(ISBLANK('ENGAGEMENTS 2026'!C472),"",'ENGAGEMENTS 2026'!I472)</f>
        <v/>
      </c>
      <c r="F472">
        <f>IF(ISBLANK('ENGAGEMENTS 2026'!C472),"",'ENGAGEMENTS 2026'!J472)</f>
        <v/>
      </c>
      <c r="G472">
        <f>IF(ISBLANK('ENGAGEMENTS 2026'!C472),"",'ENGAGEMENTS 2026'!M472)</f>
        <v/>
      </c>
      <c r="H472">
        <f>IF(ISBLANK('ENGAGEMENTS 2026'!C472),"",'ENGAGEMENTS 2026'!AF472)</f>
        <v/>
      </c>
      <c r="I472">
        <f>IF(ISBLANK('ENGAGEMENTS 2026'!C472),"",'ENGAGEMENTS 2026'!H472)</f>
        <v/>
      </c>
      <c r="J472" s="275">
        <f>IF(ISBLANK('ENGAGEMENTS 2026'!C472),"",IF(AND(OR($E472="INFRUCTUEUX",$E472="ANNULE"),$C472="AOO-M"),'ENGAGEMENTS 2026'!P472,IF($H472="EN COURS DE PREENGAGEMENT",'ENGAGEMENTS 2026'!O472,IF($H472="PREENGAGE",IF($E472="ATTRIBUE",'ENGAGEMENTS 2026'!AE472,'ENGAGEMENTS 2026'!O472),'ENGAGEMENTS 2026'!AE472))))</f>
        <v/>
      </c>
      <c r="K472" s="604">
        <f>IF(ISBLANK('ENGAGEMENTS 2026'!W472),"",'ENGAGEMENTS 2026'!W472)</f>
        <v/>
      </c>
      <c r="L472" s="276">
        <f>IF($K472="","",TODAY()-$K472)</f>
        <v/>
      </c>
      <c r="M472">
        <f>IF($A472="","",IF($H472="ENGAGE","Engagé",IF(AND($H472="NON ENGAGE",OR($I472="INFRUCTUEUX",$I472="ANNULE")),"Clôturé sans suite","En cours")))</f>
        <v/>
      </c>
      <c r="N472">
        <f>IF(ISBLANK('ENGAGEMENTS 2026'!C472),"",'ENGAGEMENTS 2026'!L472)</f>
        <v/>
      </c>
      <c r="O472">
        <f>IF(ISBLANK('ENGAGEMENTS 2026'!C472),"",'ENGAGEMENTS 2026'!M472)</f>
        <v/>
      </c>
      <c r="P472">
        <f>IF(ISBLANK('ENGAGEMENTS 2026'!C472),"",'ENGAGEMENTS 2026'!K472)</f>
        <v/>
      </c>
      <c r="Q472">
        <f>IF($A472="","",IF(OR($E472="INFRUCTUEUX",$E472="ANNULE"),$A472&amp;"|"&amp;(COUNTIFS($A$2:$A472,$A472,$E$2:$E472,"INFRUCTUEUX")+COUNTIFS($A$2:$A472,$A472,$E$2:$E472,"ANNULE")),""))</f>
        <v/>
      </c>
    </row>
    <row r="473">
      <c r="A473">
        <f>IF(ISBLANK('ENGAGEMENTS 2026'!C473),"",IF('ENGAGEMENTS 2026'!C473="DTSI","DCT",'ENGAGEMENTS 2026'!C473))</f>
        <v/>
      </c>
      <c r="B473">
        <f>IF(ISBLANK('ENGAGEMENTS 2026'!C473),"",'ENGAGEMENTS 2026'!D473)</f>
        <v/>
      </c>
      <c r="C473">
        <f>IF(ISBLANK('ENGAGEMENTS 2026'!C473),"",'ENGAGEMENTS 2026'!E473)</f>
        <v/>
      </c>
      <c r="D473">
        <f>IF(ISBLANK('ENGAGEMENTS 2026'!C473),"",'ENGAGEMENTS 2026'!G473)</f>
        <v/>
      </c>
      <c r="E473">
        <f>IF(ISBLANK('ENGAGEMENTS 2026'!C473),"",'ENGAGEMENTS 2026'!I473)</f>
        <v/>
      </c>
      <c r="F473">
        <f>IF(ISBLANK('ENGAGEMENTS 2026'!C473),"",'ENGAGEMENTS 2026'!J473)</f>
        <v/>
      </c>
      <c r="G473">
        <f>IF(ISBLANK('ENGAGEMENTS 2026'!C473),"",'ENGAGEMENTS 2026'!M473)</f>
        <v/>
      </c>
      <c r="H473">
        <f>IF(ISBLANK('ENGAGEMENTS 2026'!C473),"",'ENGAGEMENTS 2026'!AF473)</f>
        <v/>
      </c>
      <c r="I473">
        <f>IF(ISBLANK('ENGAGEMENTS 2026'!C473),"",'ENGAGEMENTS 2026'!H473)</f>
        <v/>
      </c>
      <c r="J473" s="275">
        <f>IF(ISBLANK('ENGAGEMENTS 2026'!C473),"",IF(AND(OR($E473="INFRUCTUEUX",$E473="ANNULE"),$C473="AOO-M"),'ENGAGEMENTS 2026'!P473,IF($H473="EN COURS DE PREENGAGEMENT",'ENGAGEMENTS 2026'!O473,IF($H473="PREENGAGE",IF($E473="ATTRIBUE",'ENGAGEMENTS 2026'!AE473,'ENGAGEMENTS 2026'!O473),'ENGAGEMENTS 2026'!AE473))))</f>
        <v/>
      </c>
      <c r="K473" s="604">
        <f>IF(ISBLANK('ENGAGEMENTS 2026'!W473),"",'ENGAGEMENTS 2026'!W473)</f>
        <v/>
      </c>
      <c r="L473" s="276">
        <f>IF($K473="","",TODAY()-$K473)</f>
        <v/>
      </c>
      <c r="M473">
        <f>IF($A473="","",IF($H473="ENGAGE","Engagé",IF(AND($H473="NON ENGAGE",OR($I473="INFRUCTUEUX",$I473="ANNULE")),"Clôturé sans suite","En cours")))</f>
        <v/>
      </c>
      <c r="N473">
        <f>IF(ISBLANK('ENGAGEMENTS 2026'!C473),"",'ENGAGEMENTS 2026'!L473)</f>
        <v/>
      </c>
      <c r="O473">
        <f>IF(ISBLANK('ENGAGEMENTS 2026'!C473),"",'ENGAGEMENTS 2026'!M473)</f>
        <v/>
      </c>
      <c r="P473">
        <f>IF(ISBLANK('ENGAGEMENTS 2026'!C473),"",'ENGAGEMENTS 2026'!K473)</f>
        <v/>
      </c>
      <c r="Q473">
        <f>IF($A473="","",IF(OR($E473="INFRUCTUEUX",$E473="ANNULE"),$A473&amp;"|"&amp;(COUNTIFS($A$2:$A473,$A473,$E$2:$E473,"INFRUCTUEUX")+COUNTIFS($A$2:$A473,$A473,$E$2:$E473,"ANNULE")),""))</f>
        <v/>
      </c>
    </row>
    <row r="474">
      <c r="A474">
        <f>IF(ISBLANK('ENGAGEMENTS 2026'!C474),"",IF('ENGAGEMENTS 2026'!C474="DTSI","DCT",'ENGAGEMENTS 2026'!C474))</f>
        <v/>
      </c>
      <c r="B474">
        <f>IF(ISBLANK('ENGAGEMENTS 2026'!C474),"",'ENGAGEMENTS 2026'!D474)</f>
        <v/>
      </c>
      <c r="C474">
        <f>IF(ISBLANK('ENGAGEMENTS 2026'!C474),"",'ENGAGEMENTS 2026'!E474)</f>
        <v/>
      </c>
      <c r="D474">
        <f>IF(ISBLANK('ENGAGEMENTS 2026'!C474),"",'ENGAGEMENTS 2026'!G474)</f>
        <v/>
      </c>
      <c r="E474">
        <f>IF(ISBLANK('ENGAGEMENTS 2026'!C474),"",'ENGAGEMENTS 2026'!I474)</f>
        <v/>
      </c>
      <c r="F474">
        <f>IF(ISBLANK('ENGAGEMENTS 2026'!C474),"",'ENGAGEMENTS 2026'!J474)</f>
        <v/>
      </c>
      <c r="G474">
        <f>IF(ISBLANK('ENGAGEMENTS 2026'!C474),"",'ENGAGEMENTS 2026'!M474)</f>
        <v/>
      </c>
      <c r="H474">
        <f>IF(ISBLANK('ENGAGEMENTS 2026'!C474),"",'ENGAGEMENTS 2026'!AF474)</f>
        <v/>
      </c>
      <c r="I474">
        <f>IF(ISBLANK('ENGAGEMENTS 2026'!C474),"",'ENGAGEMENTS 2026'!H474)</f>
        <v/>
      </c>
      <c r="J474" s="275">
        <f>IF(ISBLANK('ENGAGEMENTS 2026'!C474),"",IF(AND(OR($E474="INFRUCTUEUX",$E474="ANNULE"),$C474="AOO-M"),'ENGAGEMENTS 2026'!P474,IF($H474="EN COURS DE PREENGAGEMENT",'ENGAGEMENTS 2026'!O474,IF($H474="PREENGAGE",IF($E474="ATTRIBUE",'ENGAGEMENTS 2026'!AE474,'ENGAGEMENTS 2026'!O474),'ENGAGEMENTS 2026'!AE474))))</f>
        <v/>
      </c>
      <c r="K474" s="604">
        <f>IF(ISBLANK('ENGAGEMENTS 2026'!W474),"",'ENGAGEMENTS 2026'!W474)</f>
        <v/>
      </c>
      <c r="L474" s="276">
        <f>IF($K474="","",TODAY()-$K474)</f>
        <v/>
      </c>
      <c r="M474">
        <f>IF($A474="","",IF($H474="ENGAGE","Engagé",IF(AND($H474="NON ENGAGE",OR($I474="INFRUCTUEUX",$I474="ANNULE")),"Clôturé sans suite","En cours")))</f>
        <v/>
      </c>
      <c r="N474">
        <f>IF(ISBLANK('ENGAGEMENTS 2026'!C474),"",'ENGAGEMENTS 2026'!L474)</f>
        <v/>
      </c>
      <c r="O474">
        <f>IF(ISBLANK('ENGAGEMENTS 2026'!C474),"",'ENGAGEMENTS 2026'!M474)</f>
        <v/>
      </c>
      <c r="P474">
        <f>IF(ISBLANK('ENGAGEMENTS 2026'!C474),"",'ENGAGEMENTS 2026'!K474)</f>
        <v/>
      </c>
      <c r="Q474">
        <f>IF($A474="","",IF(OR($E474="INFRUCTUEUX",$E474="ANNULE"),$A474&amp;"|"&amp;(COUNTIFS($A$2:$A474,$A474,$E$2:$E474,"INFRUCTUEUX")+COUNTIFS($A$2:$A474,$A474,$E$2:$E474,"ANNULE")),""))</f>
        <v/>
      </c>
    </row>
    <row r="475">
      <c r="A475">
        <f>IF(ISBLANK('ENGAGEMENTS 2026'!C475),"",IF('ENGAGEMENTS 2026'!C475="DTSI","DCT",'ENGAGEMENTS 2026'!C475))</f>
        <v/>
      </c>
      <c r="B475">
        <f>IF(ISBLANK('ENGAGEMENTS 2026'!C475),"",'ENGAGEMENTS 2026'!D475)</f>
        <v/>
      </c>
      <c r="C475">
        <f>IF(ISBLANK('ENGAGEMENTS 2026'!C475),"",'ENGAGEMENTS 2026'!E475)</f>
        <v/>
      </c>
      <c r="D475">
        <f>IF(ISBLANK('ENGAGEMENTS 2026'!C475),"",'ENGAGEMENTS 2026'!G475)</f>
        <v/>
      </c>
      <c r="E475">
        <f>IF(ISBLANK('ENGAGEMENTS 2026'!C475),"",'ENGAGEMENTS 2026'!I475)</f>
        <v/>
      </c>
      <c r="F475">
        <f>IF(ISBLANK('ENGAGEMENTS 2026'!C475),"",'ENGAGEMENTS 2026'!J475)</f>
        <v/>
      </c>
      <c r="G475">
        <f>IF(ISBLANK('ENGAGEMENTS 2026'!C475),"",'ENGAGEMENTS 2026'!M475)</f>
        <v/>
      </c>
      <c r="H475">
        <f>IF(ISBLANK('ENGAGEMENTS 2026'!C475),"",'ENGAGEMENTS 2026'!AF475)</f>
        <v/>
      </c>
      <c r="I475">
        <f>IF(ISBLANK('ENGAGEMENTS 2026'!C475),"",'ENGAGEMENTS 2026'!H475)</f>
        <v/>
      </c>
      <c r="J475" s="275">
        <f>IF(ISBLANK('ENGAGEMENTS 2026'!C475),"",IF(AND(OR($E475="INFRUCTUEUX",$E475="ANNULE"),$C475="AOO-M"),'ENGAGEMENTS 2026'!P475,IF($H475="EN COURS DE PREENGAGEMENT",'ENGAGEMENTS 2026'!O475,IF($H475="PREENGAGE",IF($E475="ATTRIBUE",'ENGAGEMENTS 2026'!AE475,'ENGAGEMENTS 2026'!O475),'ENGAGEMENTS 2026'!AE475))))</f>
        <v/>
      </c>
      <c r="K475" s="604">
        <f>IF(ISBLANK('ENGAGEMENTS 2026'!W475),"",'ENGAGEMENTS 2026'!W475)</f>
        <v/>
      </c>
      <c r="L475" s="276">
        <f>IF($K475="","",TODAY()-$K475)</f>
        <v/>
      </c>
      <c r="M475">
        <f>IF($A475="","",IF($H475="ENGAGE","Engagé",IF(AND($H475="NON ENGAGE",OR($I475="INFRUCTUEUX",$I475="ANNULE")),"Clôturé sans suite","En cours")))</f>
        <v/>
      </c>
      <c r="N475">
        <f>IF(ISBLANK('ENGAGEMENTS 2026'!C475),"",'ENGAGEMENTS 2026'!L475)</f>
        <v/>
      </c>
      <c r="O475">
        <f>IF(ISBLANK('ENGAGEMENTS 2026'!C475),"",'ENGAGEMENTS 2026'!M475)</f>
        <v/>
      </c>
      <c r="P475">
        <f>IF(ISBLANK('ENGAGEMENTS 2026'!C475),"",'ENGAGEMENTS 2026'!K475)</f>
        <v/>
      </c>
      <c r="Q475">
        <f>IF($A475="","",IF(OR($E475="INFRUCTUEUX",$E475="ANNULE"),$A475&amp;"|"&amp;(COUNTIFS($A$2:$A475,$A475,$E$2:$E475,"INFRUCTUEUX")+COUNTIFS($A$2:$A475,$A475,$E$2:$E475,"ANNULE")),""))</f>
        <v/>
      </c>
    </row>
    <row r="476">
      <c r="A476">
        <f>IF(ISBLANK('ENGAGEMENTS 2026'!C476),"",IF('ENGAGEMENTS 2026'!C476="DTSI","DCT",'ENGAGEMENTS 2026'!C476))</f>
        <v/>
      </c>
      <c r="B476">
        <f>IF(ISBLANK('ENGAGEMENTS 2026'!C476),"",'ENGAGEMENTS 2026'!D476)</f>
        <v/>
      </c>
      <c r="C476">
        <f>IF(ISBLANK('ENGAGEMENTS 2026'!C476),"",'ENGAGEMENTS 2026'!E476)</f>
        <v/>
      </c>
      <c r="D476">
        <f>IF(ISBLANK('ENGAGEMENTS 2026'!C476),"",'ENGAGEMENTS 2026'!G476)</f>
        <v/>
      </c>
      <c r="E476">
        <f>IF(ISBLANK('ENGAGEMENTS 2026'!C476),"",'ENGAGEMENTS 2026'!I476)</f>
        <v/>
      </c>
      <c r="F476">
        <f>IF(ISBLANK('ENGAGEMENTS 2026'!C476),"",'ENGAGEMENTS 2026'!J476)</f>
        <v/>
      </c>
      <c r="G476">
        <f>IF(ISBLANK('ENGAGEMENTS 2026'!C476),"",'ENGAGEMENTS 2026'!M476)</f>
        <v/>
      </c>
      <c r="H476">
        <f>IF(ISBLANK('ENGAGEMENTS 2026'!C476),"",'ENGAGEMENTS 2026'!AF476)</f>
        <v/>
      </c>
      <c r="I476">
        <f>IF(ISBLANK('ENGAGEMENTS 2026'!C476),"",'ENGAGEMENTS 2026'!H476)</f>
        <v/>
      </c>
      <c r="J476" s="275">
        <f>IF(ISBLANK('ENGAGEMENTS 2026'!C476),"",IF(AND(OR($E476="INFRUCTUEUX",$E476="ANNULE"),$C476="AOO-M"),'ENGAGEMENTS 2026'!P476,IF($H476="EN COURS DE PREENGAGEMENT",'ENGAGEMENTS 2026'!O476,IF($H476="PREENGAGE",IF($E476="ATTRIBUE",'ENGAGEMENTS 2026'!AE476,'ENGAGEMENTS 2026'!O476),'ENGAGEMENTS 2026'!AE476))))</f>
        <v/>
      </c>
      <c r="K476" s="604">
        <f>IF(ISBLANK('ENGAGEMENTS 2026'!W476),"",'ENGAGEMENTS 2026'!W476)</f>
        <v/>
      </c>
      <c r="L476" s="276">
        <f>IF($K476="","",TODAY()-$K476)</f>
        <v/>
      </c>
      <c r="M476">
        <f>IF($A476="","",IF($H476="ENGAGE","Engagé",IF(AND($H476="NON ENGAGE",OR($I476="INFRUCTUEUX",$I476="ANNULE")),"Clôturé sans suite","En cours")))</f>
        <v/>
      </c>
      <c r="N476">
        <f>IF(ISBLANK('ENGAGEMENTS 2026'!C476),"",'ENGAGEMENTS 2026'!L476)</f>
        <v/>
      </c>
      <c r="O476">
        <f>IF(ISBLANK('ENGAGEMENTS 2026'!C476),"",'ENGAGEMENTS 2026'!M476)</f>
        <v/>
      </c>
      <c r="P476">
        <f>IF(ISBLANK('ENGAGEMENTS 2026'!C476),"",'ENGAGEMENTS 2026'!K476)</f>
        <v/>
      </c>
      <c r="Q476">
        <f>IF($A476="","",IF(OR($E476="INFRUCTUEUX",$E476="ANNULE"),$A476&amp;"|"&amp;(COUNTIFS($A$2:$A476,$A476,$E$2:$E476,"INFRUCTUEUX")+COUNTIFS($A$2:$A476,$A476,$E$2:$E476,"ANNULE")),""))</f>
        <v/>
      </c>
    </row>
    <row r="477">
      <c r="A477">
        <f>IF(ISBLANK('ENGAGEMENTS 2026'!C477),"",IF('ENGAGEMENTS 2026'!C477="DTSI","DCT",'ENGAGEMENTS 2026'!C477))</f>
        <v/>
      </c>
      <c r="B477">
        <f>IF(ISBLANK('ENGAGEMENTS 2026'!C477),"",'ENGAGEMENTS 2026'!D477)</f>
        <v/>
      </c>
      <c r="C477">
        <f>IF(ISBLANK('ENGAGEMENTS 2026'!C477),"",'ENGAGEMENTS 2026'!E477)</f>
        <v/>
      </c>
      <c r="D477">
        <f>IF(ISBLANK('ENGAGEMENTS 2026'!C477),"",'ENGAGEMENTS 2026'!G477)</f>
        <v/>
      </c>
      <c r="E477">
        <f>IF(ISBLANK('ENGAGEMENTS 2026'!C477),"",'ENGAGEMENTS 2026'!I477)</f>
        <v/>
      </c>
      <c r="F477">
        <f>IF(ISBLANK('ENGAGEMENTS 2026'!C477),"",'ENGAGEMENTS 2026'!J477)</f>
        <v/>
      </c>
      <c r="G477">
        <f>IF(ISBLANK('ENGAGEMENTS 2026'!C477),"",'ENGAGEMENTS 2026'!M477)</f>
        <v/>
      </c>
      <c r="H477">
        <f>IF(ISBLANK('ENGAGEMENTS 2026'!C477),"",'ENGAGEMENTS 2026'!AF477)</f>
        <v/>
      </c>
      <c r="I477">
        <f>IF(ISBLANK('ENGAGEMENTS 2026'!C477),"",'ENGAGEMENTS 2026'!H477)</f>
        <v/>
      </c>
      <c r="J477" s="275">
        <f>IF(ISBLANK('ENGAGEMENTS 2026'!C477),"",IF(AND(OR($E477="INFRUCTUEUX",$E477="ANNULE"),$C477="AOO-M"),'ENGAGEMENTS 2026'!P477,IF($H477="EN COURS DE PREENGAGEMENT",'ENGAGEMENTS 2026'!O477,IF($H477="PREENGAGE",IF($E477="ATTRIBUE",'ENGAGEMENTS 2026'!AE477,'ENGAGEMENTS 2026'!O477),'ENGAGEMENTS 2026'!AE477))))</f>
        <v/>
      </c>
      <c r="K477" s="604">
        <f>IF(ISBLANK('ENGAGEMENTS 2026'!W477),"",'ENGAGEMENTS 2026'!W477)</f>
        <v/>
      </c>
      <c r="L477" s="276">
        <f>IF($K477="","",TODAY()-$K477)</f>
        <v/>
      </c>
      <c r="M477">
        <f>IF($A477="","",IF($H477="ENGAGE","Engagé",IF(AND($H477="NON ENGAGE",OR($I477="INFRUCTUEUX",$I477="ANNULE")),"Clôturé sans suite","En cours")))</f>
        <v/>
      </c>
      <c r="N477">
        <f>IF(ISBLANK('ENGAGEMENTS 2026'!C477),"",'ENGAGEMENTS 2026'!L477)</f>
        <v/>
      </c>
      <c r="O477">
        <f>IF(ISBLANK('ENGAGEMENTS 2026'!C477),"",'ENGAGEMENTS 2026'!M477)</f>
        <v/>
      </c>
      <c r="P477">
        <f>IF(ISBLANK('ENGAGEMENTS 2026'!C477),"",'ENGAGEMENTS 2026'!K477)</f>
        <v/>
      </c>
      <c r="Q477">
        <f>IF($A477="","",IF(OR($E477="INFRUCTUEUX",$E477="ANNULE"),$A477&amp;"|"&amp;(COUNTIFS($A$2:$A477,$A477,$E$2:$E477,"INFRUCTUEUX")+COUNTIFS($A$2:$A477,$A477,$E$2:$E477,"ANNULE")),""))</f>
        <v/>
      </c>
    </row>
    <row r="478">
      <c r="A478">
        <f>IF(ISBLANK('ENGAGEMENTS 2026'!C478),"",IF('ENGAGEMENTS 2026'!C478="DTSI","DCT",'ENGAGEMENTS 2026'!C478))</f>
        <v/>
      </c>
      <c r="B478">
        <f>IF(ISBLANK('ENGAGEMENTS 2026'!C478),"",'ENGAGEMENTS 2026'!D478)</f>
        <v/>
      </c>
      <c r="C478">
        <f>IF(ISBLANK('ENGAGEMENTS 2026'!C478),"",'ENGAGEMENTS 2026'!E478)</f>
        <v/>
      </c>
      <c r="D478">
        <f>IF(ISBLANK('ENGAGEMENTS 2026'!C478),"",'ENGAGEMENTS 2026'!G478)</f>
        <v/>
      </c>
      <c r="E478">
        <f>IF(ISBLANK('ENGAGEMENTS 2026'!C478),"",'ENGAGEMENTS 2026'!I478)</f>
        <v/>
      </c>
      <c r="F478">
        <f>IF(ISBLANK('ENGAGEMENTS 2026'!C478),"",'ENGAGEMENTS 2026'!J478)</f>
        <v/>
      </c>
      <c r="G478">
        <f>IF(ISBLANK('ENGAGEMENTS 2026'!C478),"",'ENGAGEMENTS 2026'!M478)</f>
        <v/>
      </c>
      <c r="H478">
        <f>IF(ISBLANK('ENGAGEMENTS 2026'!C478),"",'ENGAGEMENTS 2026'!AF478)</f>
        <v/>
      </c>
      <c r="I478">
        <f>IF(ISBLANK('ENGAGEMENTS 2026'!C478),"",'ENGAGEMENTS 2026'!H478)</f>
        <v/>
      </c>
      <c r="J478" s="275">
        <f>IF(ISBLANK('ENGAGEMENTS 2026'!C478),"",IF(AND(OR($E478="INFRUCTUEUX",$E478="ANNULE"),$C478="AOO-M"),'ENGAGEMENTS 2026'!P478,IF($H478="EN COURS DE PREENGAGEMENT",'ENGAGEMENTS 2026'!O478,IF($H478="PREENGAGE",IF($E478="ATTRIBUE",'ENGAGEMENTS 2026'!AE478,'ENGAGEMENTS 2026'!O478),'ENGAGEMENTS 2026'!AE478))))</f>
        <v/>
      </c>
      <c r="K478" s="604">
        <f>IF(ISBLANK('ENGAGEMENTS 2026'!W478),"",'ENGAGEMENTS 2026'!W478)</f>
        <v/>
      </c>
      <c r="L478" s="276">
        <f>IF($K478="","",TODAY()-$K478)</f>
        <v/>
      </c>
      <c r="M478">
        <f>IF($A478="","",IF($H478="ENGAGE","Engagé",IF(AND($H478="NON ENGAGE",OR($I478="INFRUCTUEUX",$I478="ANNULE")),"Clôturé sans suite","En cours")))</f>
        <v/>
      </c>
      <c r="N478">
        <f>IF(ISBLANK('ENGAGEMENTS 2026'!C478),"",'ENGAGEMENTS 2026'!L478)</f>
        <v/>
      </c>
      <c r="O478">
        <f>IF(ISBLANK('ENGAGEMENTS 2026'!C478),"",'ENGAGEMENTS 2026'!M478)</f>
        <v/>
      </c>
      <c r="P478">
        <f>IF(ISBLANK('ENGAGEMENTS 2026'!C478),"",'ENGAGEMENTS 2026'!K478)</f>
        <v/>
      </c>
      <c r="Q478">
        <f>IF($A478="","",IF(OR($E478="INFRUCTUEUX",$E478="ANNULE"),$A478&amp;"|"&amp;(COUNTIFS($A$2:$A478,$A478,$E$2:$E478,"INFRUCTUEUX")+COUNTIFS($A$2:$A478,$A478,$E$2:$E478,"ANNULE")),""))</f>
        <v/>
      </c>
    </row>
    <row r="479">
      <c r="A479">
        <f>IF(ISBLANK('ENGAGEMENTS 2026'!C479),"",IF('ENGAGEMENTS 2026'!C479="DTSI","DCT",'ENGAGEMENTS 2026'!C479))</f>
        <v/>
      </c>
      <c r="B479">
        <f>IF(ISBLANK('ENGAGEMENTS 2026'!C479),"",'ENGAGEMENTS 2026'!D479)</f>
        <v/>
      </c>
      <c r="C479">
        <f>IF(ISBLANK('ENGAGEMENTS 2026'!C479),"",'ENGAGEMENTS 2026'!E479)</f>
        <v/>
      </c>
      <c r="D479">
        <f>IF(ISBLANK('ENGAGEMENTS 2026'!C479),"",'ENGAGEMENTS 2026'!G479)</f>
        <v/>
      </c>
      <c r="E479">
        <f>IF(ISBLANK('ENGAGEMENTS 2026'!C479),"",'ENGAGEMENTS 2026'!I479)</f>
        <v/>
      </c>
      <c r="F479">
        <f>IF(ISBLANK('ENGAGEMENTS 2026'!C479),"",'ENGAGEMENTS 2026'!J479)</f>
        <v/>
      </c>
      <c r="G479">
        <f>IF(ISBLANK('ENGAGEMENTS 2026'!C479),"",'ENGAGEMENTS 2026'!M479)</f>
        <v/>
      </c>
      <c r="H479">
        <f>IF(ISBLANK('ENGAGEMENTS 2026'!C479),"",'ENGAGEMENTS 2026'!AF479)</f>
        <v/>
      </c>
      <c r="I479">
        <f>IF(ISBLANK('ENGAGEMENTS 2026'!C479),"",'ENGAGEMENTS 2026'!H479)</f>
        <v/>
      </c>
      <c r="J479" s="275">
        <f>IF(ISBLANK('ENGAGEMENTS 2026'!C479),"",IF(AND(OR($E479="INFRUCTUEUX",$E479="ANNULE"),$C479="AOO-M"),'ENGAGEMENTS 2026'!P479,IF($H479="EN COURS DE PREENGAGEMENT",'ENGAGEMENTS 2026'!O479,IF($H479="PREENGAGE",IF($E479="ATTRIBUE",'ENGAGEMENTS 2026'!AE479,'ENGAGEMENTS 2026'!O479),'ENGAGEMENTS 2026'!AE479))))</f>
        <v/>
      </c>
      <c r="K479" s="604">
        <f>IF(ISBLANK('ENGAGEMENTS 2026'!W479),"",'ENGAGEMENTS 2026'!W479)</f>
        <v/>
      </c>
      <c r="L479" s="276">
        <f>IF($K479="","",TODAY()-$K479)</f>
        <v/>
      </c>
      <c r="M479">
        <f>IF($A479="","",IF($H479="ENGAGE","Engagé",IF(AND($H479="NON ENGAGE",OR($I479="INFRUCTUEUX",$I479="ANNULE")),"Clôturé sans suite","En cours")))</f>
        <v/>
      </c>
      <c r="N479">
        <f>IF(ISBLANK('ENGAGEMENTS 2026'!C479),"",'ENGAGEMENTS 2026'!L479)</f>
        <v/>
      </c>
      <c r="O479">
        <f>IF(ISBLANK('ENGAGEMENTS 2026'!C479),"",'ENGAGEMENTS 2026'!M479)</f>
        <v/>
      </c>
      <c r="P479">
        <f>IF(ISBLANK('ENGAGEMENTS 2026'!C479),"",'ENGAGEMENTS 2026'!K479)</f>
        <v/>
      </c>
      <c r="Q479">
        <f>IF($A479="","",IF(OR($E479="INFRUCTUEUX",$E479="ANNULE"),$A479&amp;"|"&amp;(COUNTIFS($A$2:$A479,$A479,$E$2:$E479,"INFRUCTUEUX")+COUNTIFS($A$2:$A479,$A479,$E$2:$E479,"ANNULE")),""))</f>
        <v/>
      </c>
    </row>
    <row r="480">
      <c r="A480">
        <f>IF(ISBLANK('ENGAGEMENTS 2026'!C480),"",IF('ENGAGEMENTS 2026'!C480="DTSI","DCT",'ENGAGEMENTS 2026'!C480))</f>
        <v/>
      </c>
      <c r="B480">
        <f>IF(ISBLANK('ENGAGEMENTS 2026'!C480),"",'ENGAGEMENTS 2026'!D480)</f>
        <v/>
      </c>
      <c r="C480">
        <f>IF(ISBLANK('ENGAGEMENTS 2026'!C480),"",'ENGAGEMENTS 2026'!E480)</f>
        <v/>
      </c>
      <c r="D480">
        <f>IF(ISBLANK('ENGAGEMENTS 2026'!C480),"",'ENGAGEMENTS 2026'!G480)</f>
        <v/>
      </c>
      <c r="E480">
        <f>IF(ISBLANK('ENGAGEMENTS 2026'!C480),"",'ENGAGEMENTS 2026'!I480)</f>
        <v/>
      </c>
      <c r="F480">
        <f>IF(ISBLANK('ENGAGEMENTS 2026'!C480),"",'ENGAGEMENTS 2026'!J480)</f>
        <v/>
      </c>
      <c r="G480">
        <f>IF(ISBLANK('ENGAGEMENTS 2026'!C480),"",'ENGAGEMENTS 2026'!M480)</f>
        <v/>
      </c>
      <c r="H480">
        <f>IF(ISBLANK('ENGAGEMENTS 2026'!C480),"",'ENGAGEMENTS 2026'!AF480)</f>
        <v/>
      </c>
      <c r="I480">
        <f>IF(ISBLANK('ENGAGEMENTS 2026'!C480),"",'ENGAGEMENTS 2026'!H480)</f>
        <v/>
      </c>
      <c r="J480" s="275">
        <f>IF(ISBLANK('ENGAGEMENTS 2026'!C480),"",IF(AND(OR($E480="INFRUCTUEUX",$E480="ANNULE"),$C480="AOO-M"),'ENGAGEMENTS 2026'!P480,IF($H480="EN COURS DE PREENGAGEMENT",'ENGAGEMENTS 2026'!O480,IF($H480="PREENGAGE",IF($E480="ATTRIBUE",'ENGAGEMENTS 2026'!AE480,'ENGAGEMENTS 2026'!O480),'ENGAGEMENTS 2026'!AE480))))</f>
        <v/>
      </c>
      <c r="K480" s="604">
        <f>IF(ISBLANK('ENGAGEMENTS 2026'!W480),"",'ENGAGEMENTS 2026'!W480)</f>
        <v/>
      </c>
      <c r="L480" s="276">
        <f>IF($K480="","",TODAY()-$K480)</f>
        <v/>
      </c>
      <c r="M480">
        <f>IF($A480="","",IF($H480="ENGAGE","Engagé",IF(AND($H480="NON ENGAGE",OR($I480="INFRUCTUEUX",$I480="ANNULE")),"Clôturé sans suite","En cours")))</f>
        <v/>
      </c>
      <c r="N480">
        <f>IF(ISBLANK('ENGAGEMENTS 2026'!C480),"",'ENGAGEMENTS 2026'!L480)</f>
        <v/>
      </c>
      <c r="O480">
        <f>IF(ISBLANK('ENGAGEMENTS 2026'!C480),"",'ENGAGEMENTS 2026'!M480)</f>
        <v/>
      </c>
      <c r="P480">
        <f>IF(ISBLANK('ENGAGEMENTS 2026'!C480),"",'ENGAGEMENTS 2026'!K480)</f>
        <v/>
      </c>
      <c r="Q480">
        <f>IF($A480="","",IF(OR($E480="INFRUCTUEUX",$E480="ANNULE"),$A480&amp;"|"&amp;(COUNTIFS($A$2:$A480,$A480,$E$2:$E480,"INFRUCTUEUX")+COUNTIFS($A$2:$A480,$A480,$E$2:$E480,"ANNULE")),""))</f>
        <v/>
      </c>
    </row>
    <row r="481">
      <c r="A481">
        <f>IF(ISBLANK('ENGAGEMENTS 2026'!C481),"",IF('ENGAGEMENTS 2026'!C481="DTSI","DCT",'ENGAGEMENTS 2026'!C481))</f>
        <v/>
      </c>
      <c r="B481">
        <f>IF(ISBLANK('ENGAGEMENTS 2026'!C481),"",'ENGAGEMENTS 2026'!D481)</f>
        <v/>
      </c>
      <c r="C481">
        <f>IF(ISBLANK('ENGAGEMENTS 2026'!C481),"",'ENGAGEMENTS 2026'!E481)</f>
        <v/>
      </c>
      <c r="D481">
        <f>IF(ISBLANK('ENGAGEMENTS 2026'!C481),"",'ENGAGEMENTS 2026'!G481)</f>
        <v/>
      </c>
      <c r="E481">
        <f>IF(ISBLANK('ENGAGEMENTS 2026'!C481),"",'ENGAGEMENTS 2026'!I481)</f>
        <v/>
      </c>
      <c r="F481">
        <f>IF(ISBLANK('ENGAGEMENTS 2026'!C481),"",'ENGAGEMENTS 2026'!J481)</f>
        <v/>
      </c>
      <c r="G481">
        <f>IF(ISBLANK('ENGAGEMENTS 2026'!C481),"",'ENGAGEMENTS 2026'!M481)</f>
        <v/>
      </c>
      <c r="H481">
        <f>IF(ISBLANK('ENGAGEMENTS 2026'!C481),"",'ENGAGEMENTS 2026'!AF481)</f>
        <v/>
      </c>
      <c r="I481">
        <f>IF(ISBLANK('ENGAGEMENTS 2026'!C481),"",'ENGAGEMENTS 2026'!H481)</f>
        <v/>
      </c>
      <c r="J481" s="275">
        <f>IF(ISBLANK('ENGAGEMENTS 2026'!C481),"",IF(AND(OR($E481="INFRUCTUEUX",$E481="ANNULE"),$C481="AOO-M"),'ENGAGEMENTS 2026'!P481,IF($H481="EN COURS DE PREENGAGEMENT",'ENGAGEMENTS 2026'!O481,IF($H481="PREENGAGE",IF($E481="ATTRIBUE",'ENGAGEMENTS 2026'!AE481,'ENGAGEMENTS 2026'!O481),'ENGAGEMENTS 2026'!AE481))))</f>
        <v/>
      </c>
      <c r="K481" s="604">
        <f>IF(ISBLANK('ENGAGEMENTS 2026'!W481),"",'ENGAGEMENTS 2026'!W481)</f>
        <v/>
      </c>
      <c r="L481" s="276">
        <f>IF($K481="","",TODAY()-$K481)</f>
        <v/>
      </c>
      <c r="M481">
        <f>IF($A481="","",IF($H481="ENGAGE","Engagé",IF(AND($H481="NON ENGAGE",OR($I481="INFRUCTUEUX",$I481="ANNULE")),"Clôturé sans suite","En cours")))</f>
        <v/>
      </c>
      <c r="N481">
        <f>IF(ISBLANK('ENGAGEMENTS 2026'!C481),"",'ENGAGEMENTS 2026'!L481)</f>
        <v/>
      </c>
      <c r="O481">
        <f>IF(ISBLANK('ENGAGEMENTS 2026'!C481),"",'ENGAGEMENTS 2026'!M481)</f>
        <v/>
      </c>
      <c r="P481">
        <f>IF(ISBLANK('ENGAGEMENTS 2026'!C481),"",'ENGAGEMENTS 2026'!K481)</f>
        <v/>
      </c>
      <c r="Q481">
        <f>IF($A481="","",IF(OR($E481="INFRUCTUEUX",$E481="ANNULE"),$A481&amp;"|"&amp;(COUNTIFS($A$2:$A481,$A481,$E$2:$E481,"INFRUCTUEUX")+COUNTIFS($A$2:$A481,$A481,$E$2:$E481,"ANNULE")),""))</f>
        <v/>
      </c>
    </row>
    <row r="482">
      <c r="A482">
        <f>IF(ISBLANK('ENGAGEMENTS 2026'!C482),"",IF('ENGAGEMENTS 2026'!C482="DTSI","DCT",'ENGAGEMENTS 2026'!C482))</f>
        <v/>
      </c>
      <c r="B482">
        <f>IF(ISBLANK('ENGAGEMENTS 2026'!C482),"",'ENGAGEMENTS 2026'!D482)</f>
        <v/>
      </c>
      <c r="C482">
        <f>IF(ISBLANK('ENGAGEMENTS 2026'!C482),"",'ENGAGEMENTS 2026'!E482)</f>
        <v/>
      </c>
      <c r="D482">
        <f>IF(ISBLANK('ENGAGEMENTS 2026'!C482),"",'ENGAGEMENTS 2026'!G482)</f>
        <v/>
      </c>
      <c r="E482">
        <f>IF(ISBLANK('ENGAGEMENTS 2026'!C482),"",'ENGAGEMENTS 2026'!I482)</f>
        <v/>
      </c>
      <c r="F482">
        <f>IF(ISBLANK('ENGAGEMENTS 2026'!C482),"",'ENGAGEMENTS 2026'!J482)</f>
        <v/>
      </c>
      <c r="G482">
        <f>IF(ISBLANK('ENGAGEMENTS 2026'!C482),"",'ENGAGEMENTS 2026'!M482)</f>
        <v/>
      </c>
      <c r="H482">
        <f>IF(ISBLANK('ENGAGEMENTS 2026'!C482),"",'ENGAGEMENTS 2026'!AF482)</f>
        <v/>
      </c>
      <c r="I482">
        <f>IF(ISBLANK('ENGAGEMENTS 2026'!C482),"",'ENGAGEMENTS 2026'!H482)</f>
        <v/>
      </c>
      <c r="J482" s="275">
        <f>IF(ISBLANK('ENGAGEMENTS 2026'!C482),"",IF(AND(OR($E482="INFRUCTUEUX",$E482="ANNULE"),$C482="AOO-M"),'ENGAGEMENTS 2026'!P482,IF($H482="EN COURS DE PREENGAGEMENT",'ENGAGEMENTS 2026'!O482,IF($H482="PREENGAGE",IF($E482="ATTRIBUE",'ENGAGEMENTS 2026'!AE482,'ENGAGEMENTS 2026'!O482),'ENGAGEMENTS 2026'!AE482))))</f>
        <v/>
      </c>
      <c r="K482" s="604">
        <f>IF(ISBLANK('ENGAGEMENTS 2026'!W482),"",'ENGAGEMENTS 2026'!W482)</f>
        <v/>
      </c>
      <c r="L482" s="276">
        <f>IF($K482="","",TODAY()-$K482)</f>
        <v/>
      </c>
      <c r="M482">
        <f>IF($A482="","",IF($H482="ENGAGE","Engagé",IF(AND($H482="NON ENGAGE",OR($I482="INFRUCTUEUX",$I482="ANNULE")),"Clôturé sans suite","En cours")))</f>
        <v/>
      </c>
      <c r="N482">
        <f>IF(ISBLANK('ENGAGEMENTS 2026'!C482),"",'ENGAGEMENTS 2026'!L482)</f>
        <v/>
      </c>
      <c r="O482">
        <f>IF(ISBLANK('ENGAGEMENTS 2026'!C482),"",'ENGAGEMENTS 2026'!M482)</f>
        <v/>
      </c>
      <c r="P482">
        <f>IF(ISBLANK('ENGAGEMENTS 2026'!C482),"",'ENGAGEMENTS 2026'!K482)</f>
        <v/>
      </c>
      <c r="Q482">
        <f>IF($A482="","",IF(OR($E482="INFRUCTUEUX",$E482="ANNULE"),$A482&amp;"|"&amp;(COUNTIFS($A$2:$A482,$A482,$E$2:$E482,"INFRUCTUEUX")+COUNTIFS($A$2:$A482,$A482,$E$2:$E482,"ANNULE")),""))</f>
        <v/>
      </c>
    </row>
    <row r="483">
      <c r="A483">
        <f>IF(ISBLANK('ENGAGEMENTS 2026'!C483),"",IF('ENGAGEMENTS 2026'!C483="DTSI","DCT",'ENGAGEMENTS 2026'!C483))</f>
        <v/>
      </c>
      <c r="B483">
        <f>IF(ISBLANK('ENGAGEMENTS 2026'!C483),"",'ENGAGEMENTS 2026'!D483)</f>
        <v/>
      </c>
      <c r="C483">
        <f>IF(ISBLANK('ENGAGEMENTS 2026'!C483),"",'ENGAGEMENTS 2026'!E483)</f>
        <v/>
      </c>
      <c r="D483">
        <f>IF(ISBLANK('ENGAGEMENTS 2026'!C483),"",'ENGAGEMENTS 2026'!G483)</f>
        <v/>
      </c>
      <c r="E483">
        <f>IF(ISBLANK('ENGAGEMENTS 2026'!C483),"",'ENGAGEMENTS 2026'!I483)</f>
        <v/>
      </c>
      <c r="F483">
        <f>IF(ISBLANK('ENGAGEMENTS 2026'!C483),"",'ENGAGEMENTS 2026'!J483)</f>
        <v/>
      </c>
      <c r="G483">
        <f>IF(ISBLANK('ENGAGEMENTS 2026'!C483),"",'ENGAGEMENTS 2026'!M483)</f>
        <v/>
      </c>
      <c r="H483">
        <f>IF(ISBLANK('ENGAGEMENTS 2026'!C483),"",'ENGAGEMENTS 2026'!AF483)</f>
        <v/>
      </c>
      <c r="I483">
        <f>IF(ISBLANK('ENGAGEMENTS 2026'!C483),"",'ENGAGEMENTS 2026'!H483)</f>
        <v/>
      </c>
      <c r="J483" s="275">
        <f>IF(ISBLANK('ENGAGEMENTS 2026'!C483),"",IF(AND(OR($E483="INFRUCTUEUX",$E483="ANNULE"),$C483="AOO-M"),'ENGAGEMENTS 2026'!P483,IF($H483="EN COURS DE PREENGAGEMENT",'ENGAGEMENTS 2026'!O483,IF($H483="PREENGAGE",IF($E483="ATTRIBUE",'ENGAGEMENTS 2026'!AE483,'ENGAGEMENTS 2026'!O483),'ENGAGEMENTS 2026'!AE483))))</f>
        <v/>
      </c>
      <c r="K483" s="604">
        <f>IF(ISBLANK('ENGAGEMENTS 2026'!W483),"",'ENGAGEMENTS 2026'!W483)</f>
        <v/>
      </c>
      <c r="L483" s="276">
        <f>IF($K483="","",TODAY()-$K483)</f>
        <v/>
      </c>
      <c r="M483">
        <f>IF($A483="","",IF($H483="ENGAGE","Engagé",IF(AND($H483="NON ENGAGE",OR($I483="INFRUCTUEUX",$I483="ANNULE")),"Clôturé sans suite","En cours")))</f>
        <v/>
      </c>
      <c r="N483">
        <f>IF(ISBLANK('ENGAGEMENTS 2026'!C483),"",'ENGAGEMENTS 2026'!L483)</f>
        <v/>
      </c>
      <c r="O483">
        <f>IF(ISBLANK('ENGAGEMENTS 2026'!C483),"",'ENGAGEMENTS 2026'!M483)</f>
        <v/>
      </c>
      <c r="P483">
        <f>IF(ISBLANK('ENGAGEMENTS 2026'!C483),"",'ENGAGEMENTS 2026'!K483)</f>
        <v/>
      </c>
      <c r="Q483">
        <f>IF($A483="","",IF(OR($E483="INFRUCTUEUX",$E483="ANNULE"),$A483&amp;"|"&amp;(COUNTIFS($A$2:$A483,$A483,$E$2:$E483,"INFRUCTUEUX")+COUNTIFS($A$2:$A483,$A483,$E$2:$E483,"ANNULE")),""))</f>
        <v/>
      </c>
    </row>
    <row r="484">
      <c r="A484">
        <f>IF(ISBLANK('ENGAGEMENTS 2026'!C484),"",IF('ENGAGEMENTS 2026'!C484="DTSI","DCT",'ENGAGEMENTS 2026'!C484))</f>
        <v/>
      </c>
      <c r="B484">
        <f>IF(ISBLANK('ENGAGEMENTS 2026'!C484),"",'ENGAGEMENTS 2026'!D484)</f>
        <v/>
      </c>
      <c r="C484">
        <f>IF(ISBLANK('ENGAGEMENTS 2026'!C484),"",'ENGAGEMENTS 2026'!E484)</f>
        <v/>
      </c>
      <c r="D484">
        <f>IF(ISBLANK('ENGAGEMENTS 2026'!C484),"",'ENGAGEMENTS 2026'!G484)</f>
        <v/>
      </c>
      <c r="E484">
        <f>IF(ISBLANK('ENGAGEMENTS 2026'!C484),"",'ENGAGEMENTS 2026'!I484)</f>
        <v/>
      </c>
      <c r="F484">
        <f>IF(ISBLANK('ENGAGEMENTS 2026'!C484),"",'ENGAGEMENTS 2026'!J484)</f>
        <v/>
      </c>
      <c r="G484">
        <f>IF(ISBLANK('ENGAGEMENTS 2026'!C484),"",'ENGAGEMENTS 2026'!M484)</f>
        <v/>
      </c>
      <c r="H484">
        <f>IF(ISBLANK('ENGAGEMENTS 2026'!C484),"",'ENGAGEMENTS 2026'!AF484)</f>
        <v/>
      </c>
      <c r="I484">
        <f>IF(ISBLANK('ENGAGEMENTS 2026'!C484),"",'ENGAGEMENTS 2026'!H484)</f>
        <v/>
      </c>
      <c r="J484" s="275">
        <f>IF(ISBLANK('ENGAGEMENTS 2026'!C484),"",IF(AND(OR($E484="INFRUCTUEUX",$E484="ANNULE"),$C484="AOO-M"),'ENGAGEMENTS 2026'!P484,IF($H484="EN COURS DE PREENGAGEMENT",'ENGAGEMENTS 2026'!O484,IF($H484="PREENGAGE",IF($E484="ATTRIBUE",'ENGAGEMENTS 2026'!AE484,'ENGAGEMENTS 2026'!O484),'ENGAGEMENTS 2026'!AE484))))</f>
        <v/>
      </c>
      <c r="K484" s="604">
        <f>IF(ISBLANK('ENGAGEMENTS 2026'!W484),"",'ENGAGEMENTS 2026'!W484)</f>
        <v/>
      </c>
      <c r="L484" s="276">
        <f>IF($K484="","",TODAY()-$K484)</f>
        <v/>
      </c>
      <c r="M484">
        <f>IF($A484="","",IF($H484="ENGAGE","Engagé",IF(AND($H484="NON ENGAGE",OR($I484="INFRUCTUEUX",$I484="ANNULE")),"Clôturé sans suite","En cours")))</f>
        <v/>
      </c>
      <c r="N484">
        <f>IF(ISBLANK('ENGAGEMENTS 2026'!C484),"",'ENGAGEMENTS 2026'!L484)</f>
        <v/>
      </c>
      <c r="O484">
        <f>IF(ISBLANK('ENGAGEMENTS 2026'!C484),"",'ENGAGEMENTS 2026'!M484)</f>
        <v/>
      </c>
      <c r="P484">
        <f>IF(ISBLANK('ENGAGEMENTS 2026'!C484),"",'ENGAGEMENTS 2026'!K484)</f>
        <v/>
      </c>
      <c r="Q484">
        <f>IF($A484="","",IF(OR($E484="INFRUCTUEUX",$E484="ANNULE"),$A484&amp;"|"&amp;(COUNTIFS($A$2:$A484,$A484,$E$2:$E484,"INFRUCTUEUX")+COUNTIFS($A$2:$A484,$A484,$E$2:$E484,"ANNULE")),""))</f>
        <v/>
      </c>
    </row>
    <row r="485">
      <c r="A485">
        <f>IF(ISBLANK('ENGAGEMENTS 2026'!C485),"",IF('ENGAGEMENTS 2026'!C485="DTSI","DCT",'ENGAGEMENTS 2026'!C485))</f>
        <v/>
      </c>
      <c r="B485">
        <f>IF(ISBLANK('ENGAGEMENTS 2026'!C485),"",'ENGAGEMENTS 2026'!D485)</f>
        <v/>
      </c>
      <c r="C485">
        <f>IF(ISBLANK('ENGAGEMENTS 2026'!C485),"",'ENGAGEMENTS 2026'!E485)</f>
        <v/>
      </c>
      <c r="D485">
        <f>IF(ISBLANK('ENGAGEMENTS 2026'!C485),"",'ENGAGEMENTS 2026'!G485)</f>
        <v/>
      </c>
      <c r="E485">
        <f>IF(ISBLANK('ENGAGEMENTS 2026'!C485),"",'ENGAGEMENTS 2026'!I485)</f>
        <v/>
      </c>
      <c r="F485">
        <f>IF(ISBLANK('ENGAGEMENTS 2026'!C485),"",'ENGAGEMENTS 2026'!J485)</f>
        <v/>
      </c>
      <c r="G485">
        <f>IF(ISBLANK('ENGAGEMENTS 2026'!C485),"",'ENGAGEMENTS 2026'!M485)</f>
        <v/>
      </c>
      <c r="H485">
        <f>IF(ISBLANK('ENGAGEMENTS 2026'!C485),"",'ENGAGEMENTS 2026'!AF485)</f>
        <v/>
      </c>
      <c r="I485">
        <f>IF(ISBLANK('ENGAGEMENTS 2026'!C485),"",'ENGAGEMENTS 2026'!H485)</f>
        <v/>
      </c>
      <c r="J485" s="275">
        <f>IF(ISBLANK('ENGAGEMENTS 2026'!C485),"",IF(AND(OR($E485="INFRUCTUEUX",$E485="ANNULE"),$C485="AOO-M"),'ENGAGEMENTS 2026'!P485,IF($H485="EN COURS DE PREENGAGEMENT",'ENGAGEMENTS 2026'!O485,IF($H485="PREENGAGE",IF($E485="ATTRIBUE",'ENGAGEMENTS 2026'!AE485,'ENGAGEMENTS 2026'!O485),'ENGAGEMENTS 2026'!AE485))))</f>
        <v/>
      </c>
      <c r="K485" s="604">
        <f>IF(ISBLANK('ENGAGEMENTS 2026'!W485),"",'ENGAGEMENTS 2026'!W485)</f>
        <v/>
      </c>
      <c r="L485" s="276">
        <f>IF($K485="","",TODAY()-$K485)</f>
        <v/>
      </c>
      <c r="M485">
        <f>IF($A485="","",IF($H485="ENGAGE","Engagé",IF(AND($H485="NON ENGAGE",OR($I485="INFRUCTUEUX",$I485="ANNULE")),"Clôturé sans suite","En cours")))</f>
        <v/>
      </c>
      <c r="N485">
        <f>IF(ISBLANK('ENGAGEMENTS 2026'!C485),"",'ENGAGEMENTS 2026'!L485)</f>
        <v/>
      </c>
      <c r="O485">
        <f>IF(ISBLANK('ENGAGEMENTS 2026'!C485),"",'ENGAGEMENTS 2026'!M485)</f>
        <v/>
      </c>
      <c r="P485">
        <f>IF(ISBLANK('ENGAGEMENTS 2026'!C485),"",'ENGAGEMENTS 2026'!K485)</f>
        <v/>
      </c>
      <c r="Q485">
        <f>IF($A485="","",IF(OR($E485="INFRUCTUEUX",$E485="ANNULE"),$A485&amp;"|"&amp;(COUNTIFS($A$2:$A485,$A485,$E$2:$E485,"INFRUCTUEUX")+COUNTIFS($A$2:$A485,$A485,$E$2:$E485,"ANNULE")),""))</f>
        <v/>
      </c>
    </row>
    <row r="486">
      <c r="A486">
        <f>IF(ISBLANK('ENGAGEMENTS 2026'!C486),"",IF('ENGAGEMENTS 2026'!C486="DTSI","DCT",'ENGAGEMENTS 2026'!C486))</f>
        <v/>
      </c>
      <c r="B486">
        <f>IF(ISBLANK('ENGAGEMENTS 2026'!C486),"",'ENGAGEMENTS 2026'!D486)</f>
        <v/>
      </c>
      <c r="C486">
        <f>IF(ISBLANK('ENGAGEMENTS 2026'!C486),"",'ENGAGEMENTS 2026'!E486)</f>
        <v/>
      </c>
      <c r="D486">
        <f>IF(ISBLANK('ENGAGEMENTS 2026'!C486),"",'ENGAGEMENTS 2026'!G486)</f>
        <v/>
      </c>
      <c r="E486">
        <f>IF(ISBLANK('ENGAGEMENTS 2026'!C486),"",'ENGAGEMENTS 2026'!I486)</f>
        <v/>
      </c>
      <c r="F486">
        <f>IF(ISBLANK('ENGAGEMENTS 2026'!C486),"",'ENGAGEMENTS 2026'!J486)</f>
        <v/>
      </c>
      <c r="G486">
        <f>IF(ISBLANK('ENGAGEMENTS 2026'!C486),"",'ENGAGEMENTS 2026'!M486)</f>
        <v/>
      </c>
      <c r="H486">
        <f>IF(ISBLANK('ENGAGEMENTS 2026'!C486),"",'ENGAGEMENTS 2026'!AF486)</f>
        <v/>
      </c>
      <c r="I486">
        <f>IF(ISBLANK('ENGAGEMENTS 2026'!C486),"",'ENGAGEMENTS 2026'!H486)</f>
        <v/>
      </c>
      <c r="J486" s="275">
        <f>IF(ISBLANK('ENGAGEMENTS 2026'!C486),"",IF(AND(OR($E486="INFRUCTUEUX",$E486="ANNULE"),$C486="AOO-M"),'ENGAGEMENTS 2026'!P486,IF($H486="EN COURS DE PREENGAGEMENT",'ENGAGEMENTS 2026'!O486,IF($H486="PREENGAGE",IF($E486="ATTRIBUE",'ENGAGEMENTS 2026'!AE486,'ENGAGEMENTS 2026'!O486),'ENGAGEMENTS 2026'!AE486))))</f>
        <v/>
      </c>
      <c r="K486" s="604">
        <f>IF(ISBLANK('ENGAGEMENTS 2026'!W486),"",'ENGAGEMENTS 2026'!W486)</f>
        <v/>
      </c>
      <c r="L486" s="276">
        <f>IF($K486="","",TODAY()-$K486)</f>
        <v/>
      </c>
      <c r="M486">
        <f>IF($A486="","",IF($H486="ENGAGE","Engagé",IF(AND($H486="NON ENGAGE",OR($I486="INFRUCTUEUX",$I486="ANNULE")),"Clôturé sans suite","En cours")))</f>
        <v/>
      </c>
      <c r="N486">
        <f>IF(ISBLANK('ENGAGEMENTS 2026'!C486),"",'ENGAGEMENTS 2026'!L486)</f>
        <v/>
      </c>
      <c r="O486">
        <f>IF(ISBLANK('ENGAGEMENTS 2026'!C486),"",'ENGAGEMENTS 2026'!M486)</f>
        <v/>
      </c>
      <c r="P486">
        <f>IF(ISBLANK('ENGAGEMENTS 2026'!C486),"",'ENGAGEMENTS 2026'!K486)</f>
        <v/>
      </c>
      <c r="Q486">
        <f>IF($A486="","",IF(OR($E486="INFRUCTUEUX",$E486="ANNULE"),$A486&amp;"|"&amp;(COUNTIFS($A$2:$A486,$A486,$E$2:$E486,"INFRUCTUEUX")+COUNTIFS($A$2:$A486,$A486,$E$2:$E486,"ANNULE")),""))</f>
        <v/>
      </c>
    </row>
    <row r="487">
      <c r="A487">
        <f>IF(ISBLANK('ENGAGEMENTS 2026'!C487),"",IF('ENGAGEMENTS 2026'!C487="DTSI","DCT",'ENGAGEMENTS 2026'!C487))</f>
        <v/>
      </c>
      <c r="B487">
        <f>IF(ISBLANK('ENGAGEMENTS 2026'!C487),"",'ENGAGEMENTS 2026'!D487)</f>
        <v/>
      </c>
      <c r="C487">
        <f>IF(ISBLANK('ENGAGEMENTS 2026'!C487),"",'ENGAGEMENTS 2026'!E487)</f>
        <v/>
      </c>
      <c r="D487">
        <f>IF(ISBLANK('ENGAGEMENTS 2026'!C487),"",'ENGAGEMENTS 2026'!G487)</f>
        <v/>
      </c>
      <c r="E487">
        <f>IF(ISBLANK('ENGAGEMENTS 2026'!C487),"",'ENGAGEMENTS 2026'!I487)</f>
        <v/>
      </c>
      <c r="F487">
        <f>IF(ISBLANK('ENGAGEMENTS 2026'!C487),"",'ENGAGEMENTS 2026'!J487)</f>
        <v/>
      </c>
      <c r="G487">
        <f>IF(ISBLANK('ENGAGEMENTS 2026'!C487),"",'ENGAGEMENTS 2026'!M487)</f>
        <v/>
      </c>
      <c r="H487">
        <f>IF(ISBLANK('ENGAGEMENTS 2026'!C487),"",'ENGAGEMENTS 2026'!AF487)</f>
        <v/>
      </c>
      <c r="I487">
        <f>IF(ISBLANK('ENGAGEMENTS 2026'!C487),"",'ENGAGEMENTS 2026'!H487)</f>
        <v/>
      </c>
      <c r="J487" s="275">
        <f>IF(ISBLANK('ENGAGEMENTS 2026'!C487),"",IF(AND(OR($E487="INFRUCTUEUX",$E487="ANNULE"),$C487="AOO-M"),'ENGAGEMENTS 2026'!P487,IF($H487="EN COURS DE PREENGAGEMENT",'ENGAGEMENTS 2026'!O487,IF($H487="PREENGAGE",IF($E487="ATTRIBUE",'ENGAGEMENTS 2026'!AE487,'ENGAGEMENTS 2026'!O487),'ENGAGEMENTS 2026'!AE487))))</f>
        <v/>
      </c>
      <c r="K487" s="604">
        <f>IF(ISBLANK('ENGAGEMENTS 2026'!W487),"",'ENGAGEMENTS 2026'!W487)</f>
        <v/>
      </c>
      <c r="L487" s="276">
        <f>IF($K487="","",TODAY()-$K487)</f>
        <v/>
      </c>
      <c r="M487">
        <f>IF($A487="","",IF($H487="ENGAGE","Engagé",IF(AND($H487="NON ENGAGE",OR($I487="INFRUCTUEUX",$I487="ANNULE")),"Clôturé sans suite","En cours")))</f>
        <v/>
      </c>
      <c r="N487">
        <f>IF(ISBLANK('ENGAGEMENTS 2026'!C487),"",'ENGAGEMENTS 2026'!L487)</f>
        <v/>
      </c>
      <c r="O487">
        <f>IF(ISBLANK('ENGAGEMENTS 2026'!C487),"",'ENGAGEMENTS 2026'!M487)</f>
        <v/>
      </c>
      <c r="P487">
        <f>IF(ISBLANK('ENGAGEMENTS 2026'!C487),"",'ENGAGEMENTS 2026'!K487)</f>
        <v/>
      </c>
      <c r="Q487">
        <f>IF($A487="","",IF(OR($E487="INFRUCTUEUX",$E487="ANNULE"),$A487&amp;"|"&amp;(COUNTIFS($A$2:$A487,$A487,$E$2:$E487,"INFRUCTUEUX")+COUNTIFS($A$2:$A487,$A487,$E$2:$E487,"ANNULE")),""))</f>
        <v/>
      </c>
    </row>
    <row r="488">
      <c r="A488">
        <f>IF(ISBLANK('ENGAGEMENTS 2026'!C488),"",IF('ENGAGEMENTS 2026'!C488="DTSI","DCT",'ENGAGEMENTS 2026'!C488))</f>
        <v/>
      </c>
      <c r="B488">
        <f>IF(ISBLANK('ENGAGEMENTS 2026'!C488),"",'ENGAGEMENTS 2026'!D488)</f>
        <v/>
      </c>
      <c r="C488">
        <f>IF(ISBLANK('ENGAGEMENTS 2026'!C488),"",'ENGAGEMENTS 2026'!E488)</f>
        <v/>
      </c>
      <c r="D488">
        <f>IF(ISBLANK('ENGAGEMENTS 2026'!C488),"",'ENGAGEMENTS 2026'!G488)</f>
        <v/>
      </c>
      <c r="E488">
        <f>IF(ISBLANK('ENGAGEMENTS 2026'!C488),"",'ENGAGEMENTS 2026'!I488)</f>
        <v/>
      </c>
      <c r="F488">
        <f>IF(ISBLANK('ENGAGEMENTS 2026'!C488),"",'ENGAGEMENTS 2026'!J488)</f>
        <v/>
      </c>
      <c r="G488">
        <f>IF(ISBLANK('ENGAGEMENTS 2026'!C488),"",'ENGAGEMENTS 2026'!M488)</f>
        <v/>
      </c>
      <c r="H488">
        <f>IF(ISBLANK('ENGAGEMENTS 2026'!C488),"",'ENGAGEMENTS 2026'!AF488)</f>
        <v/>
      </c>
      <c r="I488">
        <f>IF(ISBLANK('ENGAGEMENTS 2026'!C488),"",'ENGAGEMENTS 2026'!H488)</f>
        <v/>
      </c>
      <c r="J488" s="275">
        <f>IF(ISBLANK('ENGAGEMENTS 2026'!C488),"",IF(AND(OR($E488="INFRUCTUEUX",$E488="ANNULE"),$C488="AOO-M"),'ENGAGEMENTS 2026'!P488,IF($H488="EN COURS DE PREENGAGEMENT",'ENGAGEMENTS 2026'!O488,IF($H488="PREENGAGE",IF($E488="ATTRIBUE",'ENGAGEMENTS 2026'!AE488,'ENGAGEMENTS 2026'!O488),'ENGAGEMENTS 2026'!AE488))))</f>
        <v/>
      </c>
      <c r="K488" s="604">
        <f>IF(ISBLANK('ENGAGEMENTS 2026'!W488),"",'ENGAGEMENTS 2026'!W488)</f>
        <v/>
      </c>
      <c r="L488" s="276">
        <f>IF($K488="","",TODAY()-$K488)</f>
        <v/>
      </c>
      <c r="M488">
        <f>IF($A488="","",IF($H488="ENGAGE","Engagé",IF(AND($H488="NON ENGAGE",OR($I488="INFRUCTUEUX",$I488="ANNULE")),"Clôturé sans suite","En cours")))</f>
        <v/>
      </c>
      <c r="N488">
        <f>IF(ISBLANK('ENGAGEMENTS 2026'!C488),"",'ENGAGEMENTS 2026'!L488)</f>
        <v/>
      </c>
      <c r="O488">
        <f>IF(ISBLANK('ENGAGEMENTS 2026'!C488),"",'ENGAGEMENTS 2026'!M488)</f>
        <v/>
      </c>
      <c r="P488">
        <f>IF(ISBLANK('ENGAGEMENTS 2026'!C488),"",'ENGAGEMENTS 2026'!K488)</f>
        <v/>
      </c>
      <c r="Q488">
        <f>IF($A488="","",IF(OR($E488="INFRUCTUEUX",$E488="ANNULE"),$A488&amp;"|"&amp;(COUNTIFS($A$2:$A488,$A488,$E$2:$E488,"INFRUCTUEUX")+COUNTIFS($A$2:$A488,$A488,$E$2:$E488,"ANNULE")),""))</f>
        <v/>
      </c>
    </row>
    <row r="489">
      <c r="A489">
        <f>IF(ISBLANK('ENGAGEMENTS 2026'!C489),"",IF('ENGAGEMENTS 2026'!C489="DTSI","DCT",'ENGAGEMENTS 2026'!C489))</f>
        <v/>
      </c>
      <c r="B489">
        <f>IF(ISBLANK('ENGAGEMENTS 2026'!C489),"",'ENGAGEMENTS 2026'!D489)</f>
        <v/>
      </c>
      <c r="C489">
        <f>IF(ISBLANK('ENGAGEMENTS 2026'!C489),"",'ENGAGEMENTS 2026'!E489)</f>
        <v/>
      </c>
      <c r="D489">
        <f>IF(ISBLANK('ENGAGEMENTS 2026'!C489),"",'ENGAGEMENTS 2026'!G489)</f>
        <v/>
      </c>
      <c r="E489">
        <f>IF(ISBLANK('ENGAGEMENTS 2026'!C489),"",'ENGAGEMENTS 2026'!I489)</f>
        <v/>
      </c>
      <c r="F489">
        <f>IF(ISBLANK('ENGAGEMENTS 2026'!C489),"",'ENGAGEMENTS 2026'!J489)</f>
        <v/>
      </c>
      <c r="G489">
        <f>IF(ISBLANK('ENGAGEMENTS 2026'!C489),"",'ENGAGEMENTS 2026'!M489)</f>
        <v/>
      </c>
      <c r="H489">
        <f>IF(ISBLANK('ENGAGEMENTS 2026'!C489),"",'ENGAGEMENTS 2026'!AF489)</f>
        <v/>
      </c>
      <c r="I489">
        <f>IF(ISBLANK('ENGAGEMENTS 2026'!C489),"",'ENGAGEMENTS 2026'!H489)</f>
        <v/>
      </c>
      <c r="J489" s="275">
        <f>IF(ISBLANK('ENGAGEMENTS 2026'!C489),"",IF(AND(OR($E489="INFRUCTUEUX",$E489="ANNULE"),$C489="AOO-M"),'ENGAGEMENTS 2026'!P489,IF($H489="EN COURS DE PREENGAGEMENT",'ENGAGEMENTS 2026'!O489,IF($H489="PREENGAGE",IF($E489="ATTRIBUE",'ENGAGEMENTS 2026'!AE489,'ENGAGEMENTS 2026'!O489),'ENGAGEMENTS 2026'!AE489))))</f>
        <v/>
      </c>
      <c r="K489" s="604">
        <f>IF(ISBLANK('ENGAGEMENTS 2026'!W489),"",'ENGAGEMENTS 2026'!W489)</f>
        <v/>
      </c>
      <c r="L489" s="276">
        <f>IF($K489="","",TODAY()-$K489)</f>
        <v/>
      </c>
      <c r="M489">
        <f>IF($A489="","",IF($H489="ENGAGE","Engagé",IF(AND($H489="NON ENGAGE",OR($I489="INFRUCTUEUX",$I489="ANNULE")),"Clôturé sans suite","En cours")))</f>
        <v/>
      </c>
      <c r="N489">
        <f>IF(ISBLANK('ENGAGEMENTS 2026'!C489),"",'ENGAGEMENTS 2026'!L489)</f>
        <v/>
      </c>
      <c r="O489">
        <f>IF(ISBLANK('ENGAGEMENTS 2026'!C489),"",'ENGAGEMENTS 2026'!M489)</f>
        <v/>
      </c>
      <c r="P489">
        <f>IF(ISBLANK('ENGAGEMENTS 2026'!C489),"",'ENGAGEMENTS 2026'!K489)</f>
        <v/>
      </c>
      <c r="Q489">
        <f>IF($A489="","",IF(OR($E489="INFRUCTUEUX",$E489="ANNULE"),$A489&amp;"|"&amp;(COUNTIFS($A$2:$A489,$A489,$E$2:$E489,"INFRUCTUEUX")+COUNTIFS($A$2:$A489,$A489,$E$2:$E489,"ANNULE")),""))</f>
        <v/>
      </c>
    </row>
    <row r="490">
      <c r="A490">
        <f>IF(ISBLANK('ENGAGEMENTS 2026'!C490),"",IF('ENGAGEMENTS 2026'!C490="DTSI","DCT",'ENGAGEMENTS 2026'!C490))</f>
        <v/>
      </c>
      <c r="B490">
        <f>IF(ISBLANK('ENGAGEMENTS 2026'!C490),"",'ENGAGEMENTS 2026'!D490)</f>
        <v/>
      </c>
      <c r="C490">
        <f>IF(ISBLANK('ENGAGEMENTS 2026'!C490),"",'ENGAGEMENTS 2026'!E490)</f>
        <v/>
      </c>
      <c r="D490">
        <f>IF(ISBLANK('ENGAGEMENTS 2026'!C490),"",'ENGAGEMENTS 2026'!G490)</f>
        <v/>
      </c>
      <c r="E490">
        <f>IF(ISBLANK('ENGAGEMENTS 2026'!C490),"",'ENGAGEMENTS 2026'!I490)</f>
        <v/>
      </c>
      <c r="F490">
        <f>IF(ISBLANK('ENGAGEMENTS 2026'!C490),"",'ENGAGEMENTS 2026'!J490)</f>
        <v/>
      </c>
      <c r="G490">
        <f>IF(ISBLANK('ENGAGEMENTS 2026'!C490),"",'ENGAGEMENTS 2026'!M490)</f>
        <v/>
      </c>
      <c r="H490">
        <f>IF(ISBLANK('ENGAGEMENTS 2026'!C490),"",'ENGAGEMENTS 2026'!AF490)</f>
        <v/>
      </c>
      <c r="I490">
        <f>IF(ISBLANK('ENGAGEMENTS 2026'!C490),"",'ENGAGEMENTS 2026'!H490)</f>
        <v/>
      </c>
      <c r="J490" s="275">
        <f>IF(ISBLANK('ENGAGEMENTS 2026'!C490),"",IF(AND(OR($E490="INFRUCTUEUX",$E490="ANNULE"),$C490="AOO-M"),'ENGAGEMENTS 2026'!P490,IF($H490="EN COURS DE PREENGAGEMENT",'ENGAGEMENTS 2026'!O490,IF($H490="PREENGAGE",IF($E490="ATTRIBUE",'ENGAGEMENTS 2026'!AE490,'ENGAGEMENTS 2026'!O490),'ENGAGEMENTS 2026'!AE490))))</f>
        <v/>
      </c>
      <c r="K490" s="604">
        <f>IF(ISBLANK('ENGAGEMENTS 2026'!W490),"",'ENGAGEMENTS 2026'!W490)</f>
        <v/>
      </c>
      <c r="L490" s="276">
        <f>IF($K490="","",TODAY()-$K490)</f>
        <v/>
      </c>
      <c r="M490">
        <f>IF($A490="","",IF($H490="ENGAGE","Engagé",IF(AND($H490="NON ENGAGE",OR($I490="INFRUCTUEUX",$I490="ANNULE")),"Clôturé sans suite","En cours")))</f>
        <v/>
      </c>
      <c r="N490">
        <f>IF(ISBLANK('ENGAGEMENTS 2026'!C490),"",'ENGAGEMENTS 2026'!L490)</f>
        <v/>
      </c>
      <c r="O490">
        <f>IF(ISBLANK('ENGAGEMENTS 2026'!C490),"",'ENGAGEMENTS 2026'!M490)</f>
        <v/>
      </c>
      <c r="P490">
        <f>IF(ISBLANK('ENGAGEMENTS 2026'!C490),"",'ENGAGEMENTS 2026'!K490)</f>
        <v/>
      </c>
      <c r="Q490">
        <f>IF($A490="","",IF(OR($E490="INFRUCTUEUX",$E490="ANNULE"),$A490&amp;"|"&amp;(COUNTIFS($A$2:$A490,$A490,$E$2:$E490,"INFRUCTUEUX")+COUNTIFS($A$2:$A490,$A490,$E$2:$E490,"ANNULE")),""))</f>
        <v/>
      </c>
    </row>
    <row r="491">
      <c r="A491">
        <f>IF(ISBLANK('ENGAGEMENTS 2026'!C491),"",IF('ENGAGEMENTS 2026'!C491="DTSI","DCT",'ENGAGEMENTS 2026'!C491))</f>
        <v/>
      </c>
      <c r="B491">
        <f>IF(ISBLANK('ENGAGEMENTS 2026'!C491),"",'ENGAGEMENTS 2026'!D491)</f>
        <v/>
      </c>
      <c r="C491">
        <f>IF(ISBLANK('ENGAGEMENTS 2026'!C491),"",'ENGAGEMENTS 2026'!E491)</f>
        <v/>
      </c>
      <c r="D491">
        <f>IF(ISBLANK('ENGAGEMENTS 2026'!C491),"",'ENGAGEMENTS 2026'!G491)</f>
        <v/>
      </c>
      <c r="E491">
        <f>IF(ISBLANK('ENGAGEMENTS 2026'!C491),"",'ENGAGEMENTS 2026'!I491)</f>
        <v/>
      </c>
      <c r="F491">
        <f>IF(ISBLANK('ENGAGEMENTS 2026'!C491),"",'ENGAGEMENTS 2026'!J491)</f>
        <v/>
      </c>
      <c r="G491">
        <f>IF(ISBLANK('ENGAGEMENTS 2026'!C491),"",'ENGAGEMENTS 2026'!M491)</f>
        <v/>
      </c>
      <c r="H491">
        <f>IF(ISBLANK('ENGAGEMENTS 2026'!C491),"",'ENGAGEMENTS 2026'!AF491)</f>
        <v/>
      </c>
      <c r="I491">
        <f>IF(ISBLANK('ENGAGEMENTS 2026'!C491),"",'ENGAGEMENTS 2026'!H491)</f>
        <v/>
      </c>
      <c r="J491" s="275">
        <f>IF(ISBLANK('ENGAGEMENTS 2026'!C491),"",IF(AND(OR($E491="INFRUCTUEUX",$E491="ANNULE"),$C491="AOO-M"),'ENGAGEMENTS 2026'!P491,IF($H491="EN COURS DE PREENGAGEMENT",'ENGAGEMENTS 2026'!O491,IF($H491="PREENGAGE",IF($E491="ATTRIBUE",'ENGAGEMENTS 2026'!AE491,'ENGAGEMENTS 2026'!O491),'ENGAGEMENTS 2026'!AE491))))</f>
        <v/>
      </c>
      <c r="K491" s="604">
        <f>IF(ISBLANK('ENGAGEMENTS 2026'!W491),"",'ENGAGEMENTS 2026'!W491)</f>
        <v/>
      </c>
      <c r="L491" s="276">
        <f>IF($K491="","",TODAY()-$K491)</f>
        <v/>
      </c>
      <c r="M491">
        <f>IF($A491="","",IF($H491="ENGAGE","Engagé",IF(AND($H491="NON ENGAGE",OR($I491="INFRUCTUEUX",$I491="ANNULE")),"Clôturé sans suite","En cours")))</f>
        <v/>
      </c>
      <c r="N491">
        <f>IF(ISBLANK('ENGAGEMENTS 2026'!C491),"",'ENGAGEMENTS 2026'!L491)</f>
        <v/>
      </c>
      <c r="O491">
        <f>IF(ISBLANK('ENGAGEMENTS 2026'!C491),"",'ENGAGEMENTS 2026'!M491)</f>
        <v/>
      </c>
      <c r="P491">
        <f>IF(ISBLANK('ENGAGEMENTS 2026'!C491),"",'ENGAGEMENTS 2026'!K491)</f>
        <v/>
      </c>
      <c r="Q491">
        <f>IF($A491="","",IF(OR($E491="INFRUCTUEUX",$E491="ANNULE"),$A491&amp;"|"&amp;(COUNTIFS($A$2:$A491,$A491,$E$2:$E491,"INFRUCTUEUX")+COUNTIFS($A$2:$A491,$A491,$E$2:$E491,"ANNULE")),""))</f>
        <v/>
      </c>
    </row>
    <row r="492">
      <c r="A492">
        <f>IF(ISBLANK('ENGAGEMENTS 2026'!C492),"",IF('ENGAGEMENTS 2026'!C492="DTSI","DCT",'ENGAGEMENTS 2026'!C492))</f>
        <v/>
      </c>
      <c r="B492">
        <f>IF(ISBLANK('ENGAGEMENTS 2026'!C492),"",'ENGAGEMENTS 2026'!D492)</f>
        <v/>
      </c>
      <c r="C492">
        <f>IF(ISBLANK('ENGAGEMENTS 2026'!C492),"",'ENGAGEMENTS 2026'!E492)</f>
        <v/>
      </c>
      <c r="D492">
        <f>IF(ISBLANK('ENGAGEMENTS 2026'!C492),"",'ENGAGEMENTS 2026'!G492)</f>
        <v/>
      </c>
      <c r="E492">
        <f>IF(ISBLANK('ENGAGEMENTS 2026'!C492),"",'ENGAGEMENTS 2026'!I492)</f>
        <v/>
      </c>
      <c r="F492">
        <f>IF(ISBLANK('ENGAGEMENTS 2026'!C492),"",'ENGAGEMENTS 2026'!J492)</f>
        <v/>
      </c>
      <c r="G492">
        <f>IF(ISBLANK('ENGAGEMENTS 2026'!C492),"",'ENGAGEMENTS 2026'!M492)</f>
        <v/>
      </c>
      <c r="H492">
        <f>IF(ISBLANK('ENGAGEMENTS 2026'!C492),"",'ENGAGEMENTS 2026'!AF492)</f>
        <v/>
      </c>
      <c r="I492">
        <f>IF(ISBLANK('ENGAGEMENTS 2026'!C492),"",'ENGAGEMENTS 2026'!H492)</f>
        <v/>
      </c>
      <c r="J492" s="275">
        <f>IF(ISBLANK('ENGAGEMENTS 2026'!C492),"",IF(AND(OR($E492="INFRUCTUEUX",$E492="ANNULE"),$C492="AOO-M"),'ENGAGEMENTS 2026'!P492,IF($H492="EN COURS DE PREENGAGEMENT",'ENGAGEMENTS 2026'!O492,IF($H492="PREENGAGE",IF($E492="ATTRIBUE",'ENGAGEMENTS 2026'!AE492,'ENGAGEMENTS 2026'!O492),'ENGAGEMENTS 2026'!AE492))))</f>
        <v/>
      </c>
      <c r="K492" s="604">
        <f>IF(ISBLANK('ENGAGEMENTS 2026'!W492),"",'ENGAGEMENTS 2026'!W492)</f>
        <v/>
      </c>
      <c r="L492" s="276">
        <f>IF($K492="","",TODAY()-$K492)</f>
        <v/>
      </c>
      <c r="M492">
        <f>IF($A492="","",IF($H492="ENGAGE","Engagé",IF(AND($H492="NON ENGAGE",OR($I492="INFRUCTUEUX",$I492="ANNULE")),"Clôturé sans suite","En cours")))</f>
        <v/>
      </c>
      <c r="N492">
        <f>IF(ISBLANK('ENGAGEMENTS 2026'!C492),"",'ENGAGEMENTS 2026'!L492)</f>
        <v/>
      </c>
      <c r="O492">
        <f>IF(ISBLANK('ENGAGEMENTS 2026'!C492),"",'ENGAGEMENTS 2026'!M492)</f>
        <v/>
      </c>
      <c r="P492">
        <f>IF(ISBLANK('ENGAGEMENTS 2026'!C492),"",'ENGAGEMENTS 2026'!K492)</f>
        <v/>
      </c>
      <c r="Q492">
        <f>IF($A492="","",IF(OR($E492="INFRUCTUEUX",$E492="ANNULE"),$A492&amp;"|"&amp;(COUNTIFS($A$2:$A492,$A492,$E$2:$E492,"INFRUCTUEUX")+COUNTIFS($A$2:$A492,$A492,$E$2:$E492,"ANNULE")),""))</f>
        <v/>
      </c>
    </row>
    <row r="493">
      <c r="A493">
        <f>IF(ISBLANK('ENGAGEMENTS 2026'!C493),"",IF('ENGAGEMENTS 2026'!C493="DTSI","DCT",'ENGAGEMENTS 2026'!C493))</f>
        <v/>
      </c>
      <c r="B493">
        <f>IF(ISBLANK('ENGAGEMENTS 2026'!C493),"",'ENGAGEMENTS 2026'!D493)</f>
        <v/>
      </c>
      <c r="C493">
        <f>IF(ISBLANK('ENGAGEMENTS 2026'!C493),"",'ENGAGEMENTS 2026'!E493)</f>
        <v/>
      </c>
      <c r="D493">
        <f>IF(ISBLANK('ENGAGEMENTS 2026'!C493),"",'ENGAGEMENTS 2026'!G493)</f>
        <v/>
      </c>
      <c r="E493">
        <f>IF(ISBLANK('ENGAGEMENTS 2026'!C493),"",'ENGAGEMENTS 2026'!I493)</f>
        <v/>
      </c>
      <c r="F493">
        <f>IF(ISBLANK('ENGAGEMENTS 2026'!C493),"",'ENGAGEMENTS 2026'!J493)</f>
        <v/>
      </c>
      <c r="G493">
        <f>IF(ISBLANK('ENGAGEMENTS 2026'!C493),"",'ENGAGEMENTS 2026'!M493)</f>
        <v/>
      </c>
      <c r="H493">
        <f>IF(ISBLANK('ENGAGEMENTS 2026'!C493),"",'ENGAGEMENTS 2026'!AF493)</f>
        <v/>
      </c>
      <c r="I493">
        <f>IF(ISBLANK('ENGAGEMENTS 2026'!C493),"",'ENGAGEMENTS 2026'!H493)</f>
        <v/>
      </c>
      <c r="J493" s="275">
        <f>IF(ISBLANK('ENGAGEMENTS 2026'!C493),"",IF(AND(OR($E493="INFRUCTUEUX",$E493="ANNULE"),$C493="AOO-M"),'ENGAGEMENTS 2026'!P493,IF($H493="EN COURS DE PREENGAGEMENT",'ENGAGEMENTS 2026'!O493,IF($H493="PREENGAGE",IF($E493="ATTRIBUE",'ENGAGEMENTS 2026'!AE493,'ENGAGEMENTS 2026'!O493),'ENGAGEMENTS 2026'!AE493))))</f>
        <v/>
      </c>
      <c r="K493" s="604">
        <f>IF(ISBLANK('ENGAGEMENTS 2026'!W493),"",'ENGAGEMENTS 2026'!W493)</f>
        <v/>
      </c>
      <c r="L493" s="276">
        <f>IF($K493="","",TODAY()-$K493)</f>
        <v/>
      </c>
      <c r="M493">
        <f>IF($A493="","",IF($H493="ENGAGE","Engagé",IF(AND($H493="NON ENGAGE",OR($I493="INFRUCTUEUX",$I493="ANNULE")),"Clôturé sans suite","En cours")))</f>
        <v/>
      </c>
      <c r="N493">
        <f>IF(ISBLANK('ENGAGEMENTS 2026'!C493),"",'ENGAGEMENTS 2026'!L493)</f>
        <v/>
      </c>
      <c r="O493">
        <f>IF(ISBLANK('ENGAGEMENTS 2026'!C493),"",'ENGAGEMENTS 2026'!M493)</f>
        <v/>
      </c>
      <c r="P493">
        <f>IF(ISBLANK('ENGAGEMENTS 2026'!C493),"",'ENGAGEMENTS 2026'!K493)</f>
        <v/>
      </c>
      <c r="Q493">
        <f>IF($A493="","",IF(OR($E493="INFRUCTUEUX",$E493="ANNULE"),$A493&amp;"|"&amp;(COUNTIFS($A$2:$A493,$A493,$E$2:$E493,"INFRUCTUEUX")+COUNTIFS($A$2:$A493,$A493,$E$2:$E493,"ANNULE")),""))</f>
        <v/>
      </c>
    </row>
    <row r="494">
      <c r="A494">
        <f>IF(ISBLANK('ENGAGEMENTS 2026'!C494),"",IF('ENGAGEMENTS 2026'!C494="DTSI","DCT",'ENGAGEMENTS 2026'!C494))</f>
        <v/>
      </c>
      <c r="B494">
        <f>IF(ISBLANK('ENGAGEMENTS 2026'!C494),"",'ENGAGEMENTS 2026'!D494)</f>
        <v/>
      </c>
      <c r="C494">
        <f>IF(ISBLANK('ENGAGEMENTS 2026'!C494),"",'ENGAGEMENTS 2026'!E494)</f>
        <v/>
      </c>
      <c r="D494">
        <f>IF(ISBLANK('ENGAGEMENTS 2026'!C494),"",'ENGAGEMENTS 2026'!G494)</f>
        <v/>
      </c>
      <c r="E494">
        <f>IF(ISBLANK('ENGAGEMENTS 2026'!C494),"",'ENGAGEMENTS 2026'!I494)</f>
        <v/>
      </c>
      <c r="F494">
        <f>IF(ISBLANK('ENGAGEMENTS 2026'!C494),"",'ENGAGEMENTS 2026'!J494)</f>
        <v/>
      </c>
      <c r="G494">
        <f>IF(ISBLANK('ENGAGEMENTS 2026'!C494),"",'ENGAGEMENTS 2026'!M494)</f>
        <v/>
      </c>
      <c r="H494">
        <f>IF(ISBLANK('ENGAGEMENTS 2026'!C494),"",'ENGAGEMENTS 2026'!AF494)</f>
        <v/>
      </c>
      <c r="I494">
        <f>IF(ISBLANK('ENGAGEMENTS 2026'!C494),"",'ENGAGEMENTS 2026'!H494)</f>
        <v/>
      </c>
      <c r="J494" s="275">
        <f>IF(ISBLANK('ENGAGEMENTS 2026'!C494),"",IF(AND(OR($E494="INFRUCTUEUX",$E494="ANNULE"),$C494="AOO-M"),'ENGAGEMENTS 2026'!P494,IF($H494="EN COURS DE PREENGAGEMENT",'ENGAGEMENTS 2026'!O494,IF($H494="PREENGAGE",IF($E494="ATTRIBUE",'ENGAGEMENTS 2026'!AE494,'ENGAGEMENTS 2026'!O494),'ENGAGEMENTS 2026'!AE494))))</f>
        <v/>
      </c>
      <c r="K494" s="604">
        <f>IF(ISBLANK('ENGAGEMENTS 2026'!W494),"",'ENGAGEMENTS 2026'!W494)</f>
        <v/>
      </c>
      <c r="L494" s="276">
        <f>IF($K494="","",TODAY()-$K494)</f>
        <v/>
      </c>
      <c r="M494">
        <f>IF($A494="","",IF($H494="ENGAGE","Engagé",IF(AND($H494="NON ENGAGE",OR($I494="INFRUCTUEUX",$I494="ANNULE")),"Clôturé sans suite","En cours")))</f>
        <v/>
      </c>
      <c r="N494">
        <f>IF(ISBLANK('ENGAGEMENTS 2026'!C494),"",'ENGAGEMENTS 2026'!L494)</f>
        <v/>
      </c>
      <c r="O494">
        <f>IF(ISBLANK('ENGAGEMENTS 2026'!C494),"",'ENGAGEMENTS 2026'!M494)</f>
        <v/>
      </c>
      <c r="P494">
        <f>IF(ISBLANK('ENGAGEMENTS 2026'!C494),"",'ENGAGEMENTS 2026'!K494)</f>
        <v/>
      </c>
      <c r="Q494">
        <f>IF($A494="","",IF(OR($E494="INFRUCTUEUX",$E494="ANNULE"),$A494&amp;"|"&amp;(COUNTIFS($A$2:$A494,$A494,$E$2:$E494,"INFRUCTUEUX")+COUNTIFS($A$2:$A494,$A494,$E$2:$E494,"ANNULE")),""))</f>
        <v/>
      </c>
    </row>
    <row r="495">
      <c r="A495">
        <f>IF(ISBLANK('ENGAGEMENTS 2026'!C495),"",IF('ENGAGEMENTS 2026'!C495="DTSI","DCT",'ENGAGEMENTS 2026'!C495))</f>
        <v/>
      </c>
      <c r="B495">
        <f>IF(ISBLANK('ENGAGEMENTS 2026'!C495),"",'ENGAGEMENTS 2026'!D495)</f>
        <v/>
      </c>
      <c r="C495">
        <f>IF(ISBLANK('ENGAGEMENTS 2026'!C495),"",'ENGAGEMENTS 2026'!E495)</f>
        <v/>
      </c>
      <c r="D495">
        <f>IF(ISBLANK('ENGAGEMENTS 2026'!C495),"",'ENGAGEMENTS 2026'!G495)</f>
        <v/>
      </c>
      <c r="E495">
        <f>IF(ISBLANK('ENGAGEMENTS 2026'!C495),"",'ENGAGEMENTS 2026'!I495)</f>
        <v/>
      </c>
      <c r="F495">
        <f>IF(ISBLANK('ENGAGEMENTS 2026'!C495),"",'ENGAGEMENTS 2026'!J495)</f>
        <v/>
      </c>
      <c r="G495">
        <f>IF(ISBLANK('ENGAGEMENTS 2026'!C495),"",'ENGAGEMENTS 2026'!M495)</f>
        <v/>
      </c>
      <c r="H495">
        <f>IF(ISBLANK('ENGAGEMENTS 2026'!C495),"",'ENGAGEMENTS 2026'!AF495)</f>
        <v/>
      </c>
      <c r="I495">
        <f>IF(ISBLANK('ENGAGEMENTS 2026'!C495),"",'ENGAGEMENTS 2026'!H495)</f>
        <v/>
      </c>
      <c r="J495" s="275">
        <f>IF(ISBLANK('ENGAGEMENTS 2026'!C495),"",IF(AND(OR($E495="INFRUCTUEUX",$E495="ANNULE"),$C495="AOO-M"),'ENGAGEMENTS 2026'!P495,IF($H495="EN COURS DE PREENGAGEMENT",'ENGAGEMENTS 2026'!O495,IF($H495="PREENGAGE",IF($E495="ATTRIBUE",'ENGAGEMENTS 2026'!AE495,'ENGAGEMENTS 2026'!O495),'ENGAGEMENTS 2026'!AE495))))</f>
        <v/>
      </c>
      <c r="K495" s="604">
        <f>IF(ISBLANK('ENGAGEMENTS 2026'!W495),"",'ENGAGEMENTS 2026'!W495)</f>
        <v/>
      </c>
      <c r="L495" s="276">
        <f>IF($K495="","",TODAY()-$K495)</f>
        <v/>
      </c>
      <c r="M495">
        <f>IF($A495="","",IF($H495="ENGAGE","Engagé",IF(AND($H495="NON ENGAGE",OR($I495="INFRUCTUEUX",$I495="ANNULE")),"Clôturé sans suite","En cours")))</f>
        <v/>
      </c>
      <c r="N495">
        <f>IF(ISBLANK('ENGAGEMENTS 2026'!C495),"",'ENGAGEMENTS 2026'!L495)</f>
        <v/>
      </c>
      <c r="O495">
        <f>IF(ISBLANK('ENGAGEMENTS 2026'!C495),"",'ENGAGEMENTS 2026'!M495)</f>
        <v/>
      </c>
      <c r="P495">
        <f>IF(ISBLANK('ENGAGEMENTS 2026'!C495),"",'ENGAGEMENTS 2026'!K495)</f>
        <v/>
      </c>
      <c r="Q495">
        <f>IF($A495="","",IF(OR($E495="INFRUCTUEUX",$E495="ANNULE"),$A495&amp;"|"&amp;(COUNTIFS($A$2:$A495,$A495,$E$2:$E495,"INFRUCTUEUX")+COUNTIFS($A$2:$A495,$A495,$E$2:$E495,"ANNULE")),""))</f>
        <v/>
      </c>
    </row>
    <row r="496">
      <c r="A496">
        <f>IF(ISBLANK('ENGAGEMENTS 2026'!C496),"",IF('ENGAGEMENTS 2026'!C496="DTSI","DCT",'ENGAGEMENTS 2026'!C496))</f>
        <v/>
      </c>
      <c r="B496">
        <f>IF(ISBLANK('ENGAGEMENTS 2026'!C496),"",'ENGAGEMENTS 2026'!D496)</f>
        <v/>
      </c>
      <c r="C496">
        <f>IF(ISBLANK('ENGAGEMENTS 2026'!C496),"",'ENGAGEMENTS 2026'!E496)</f>
        <v/>
      </c>
      <c r="D496">
        <f>IF(ISBLANK('ENGAGEMENTS 2026'!C496),"",'ENGAGEMENTS 2026'!G496)</f>
        <v/>
      </c>
      <c r="E496">
        <f>IF(ISBLANK('ENGAGEMENTS 2026'!C496),"",'ENGAGEMENTS 2026'!I496)</f>
        <v/>
      </c>
      <c r="F496">
        <f>IF(ISBLANK('ENGAGEMENTS 2026'!C496),"",'ENGAGEMENTS 2026'!J496)</f>
        <v/>
      </c>
      <c r="G496">
        <f>IF(ISBLANK('ENGAGEMENTS 2026'!C496),"",'ENGAGEMENTS 2026'!M496)</f>
        <v/>
      </c>
      <c r="H496">
        <f>IF(ISBLANK('ENGAGEMENTS 2026'!C496),"",'ENGAGEMENTS 2026'!AF496)</f>
        <v/>
      </c>
      <c r="I496">
        <f>IF(ISBLANK('ENGAGEMENTS 2026'!C496),"",'ENGAGEMENTS 2026'!H496)</f>
        <v/>
      </c>
      <c r="J496" s="275">
        <f>IF(ISBLANK('ENGAGEMENTS 2026'!C496),"",IF(AND(OR($E496="INFRUCTUEUX",$E496="ANNULE"),$C496="AOO-M"),'ENGAGEMENTS 2026'!P496,IF($H496="EN COURS DE PREENGAGEMENT",'ENGAGEMENTS 2026'!O496,IF($H496="PREENGAGE",IF($E496="ATTRIBUE",'ENGAGEMENTS 2026'!AE496,'ENGAGEMENTS 2026'!O496),'ENGAGEMENTS 2026'!AE496))))</f>
        <v/>
      </c>
      <c r="K496" s="604">
        <f>IF(ISBLANK('ENGAGEMENTS 2026'!W496),"",'ENGAGEMENTS 2026'!W496)</f>
        <v/>
      </c>
      <c r="L496" s="276">
        <f>IF($K496="","",TODAY()-$K496)</f>
        <v/>
      </c>
      <c r="M496">
        <f>IF($A496="","",IF($H496="ENGAGE","Engagé",IF(AND($H496="NON ENGAGE",OR($I496="INFRUCTUEUX",$I496="ANNULE")),"Clôturé sans suite","En cours")))</f>
        <v/>
      </c>
      <c r="N496">
        <f>IF(ISBLANK('ENGAGEMENTS 2026'!C496),"",'ENGAGEMENTS 2026'!L496)</f>
        <v/>
      </c>
      <c r="O496">
        <f>IF(ISBLANK('ENGAGEMENTS 2026'!C496),"",'ENGAGEMENTS 2026'!M496)</f>
        <v/>
      </c>
      <c r="P496">
        <f>IF(ISBLANK('ENGAGEMENTS 2026'!C496),"",'ENGAGEMENTS 2026'!K496)</f>
        <v/>
      </c>
      <c r="Q496">
        <f>IF($A496="","",IF(OR($E496="INFRUCTUEUX",$E496="ANNULE"),$A496&amp;"|"&amp;(COUNTIFS($A$2:$A496,$A496,$E$2:$E496,"INFRUCTUEUX")+COUNTIFS($A$2:$A496,$A496,$E$2:$E496,"ANNULE")),""))</f>
        <v/>
      </c>
    </row>
    <row r="497">
      <c r="A497">
        <f>IF(ISBLANK('ENGAGEMENTS 2026'!C497),"",IF('ENGAGEMENTS 2026'!C497="DTSI","DCT",'ENGAGEMENTS 2026'!C497))</f>
        <v/>
      </c>
      <c r="B497">
        <f>IF(ISBLANK('ENGAGEMENTS 2026'!C497),"",'ENGAGEMENTS 2026'!D497)</f>
        <v/>
      </c>
      <c r="C497">
        <f>IF(ISBLANK('ENGAGEMENTS 2026'!C497),"",'ENGAGEMENTS 2026'!E497)</f>
        <v/>
      </c>
      <c r="D497">
        <f>IF(ISBLANK('ENGAGEMENTS 2026'!C497),"",'ENGAGEMENTS 2026'!G497)</f>
        <v/>
      </c>
      <c r="E497">
        <f>IF(ISBLANK('ENGAGEMENTS 2026'!C497),"",'ENGAGEMENTS 2026'!I497)</f>
        <v/>
      </c>
      <c r="F497">
        <f>IF(ISBLANK('ENGAGEMENTS 2026'!C497),"",'ENGAGEMENTS 2026'!J497)</f>
        <v/>
      </c>
      <c r="G497">
        <f>IF(ISBLANK('ENGAGEMENTS 2026'!C497),"",'ENGAGEMENTS 2026'!M497)</f>
        <v/>
      </c>
      <c r="H497">
        <f>IF(ISBLANK('ENGAGEMENTS 2026'!C497),"",'ENGAGEMENTS 2026'!AF497)</f>
        <v/>
      </c>
      <c r="I497">
        <f>IF(ISBLANK('ENGAGEMENTS 2026'!C497),"",'ENGAGEMENTS 2026'!H497)</f>
        <v/>
      </c>
      <c r="J497" s="275">
        <f>IF(ISBLANK('ENGAGEMENTS 2026'!C497),"",IF(AND(OR($E497="INFRUCTUEUX",$E497="ANNULE"),$C497="AOO-M"),'ENGAGEMENTS 2026'!P497,IF($H497="EN COURS DE PREENGAGEMENT",'ENGAGEMENTS 2026'!O497,IF($H497="PREENGAGE",IF($E497="ATTRIBUE",'ENGAGEMENTS 2026'!AE497,'ENGAGEMENTS 2026'!O497),'ENGAGEMENTS 2026'!AE497))))</f>
        <v/>
      </c>
      <c r="K497" s="604">
        <f>IF(ISBLANK('ENGAGEMENTS 2026'!W497),"",'ENGAGEMENTS 2026'!W497)</f>
        <v/>
      </c>
      <c r="L497" s="276">
        <f>IF($K497="","",TODAY()-$K497)</f>
        <v/>
      </c>
      <c r="M497">
        <f>IF($A497="","",IF($H497="ENGAGE","Engagé",IF(AND($H497="NON ENGAGE",OR($I497="INFRUCTUEUX",$I497="ANNULE")),"Clôturé sans suite","En cours")))</f>
        <v/>
      </c>
      <c r="N497">
        <f>IF(ISBLANK('ENGAGEMENTS 2026'!C497),"",'ENGAGEMENTS 2026'!L497)</f>
        <v/>
      </c>
      <c r="O497">
        <f>IF(ISBLANK('ENGAGEMENTS 2026'!C497),"",'ENGAGEMENTS 2026'!M497)</f>
        <v/>
      </c>
      <c r="P497">
        <f>IF(ISBLANK('ENGAGEMENTS 2026'!C497),"",'ENGAGEMENTS 2026'!K497)</f>
        <v/>
      </c>
      <c r="Q497">
        <f>IF($A497="","",IF(OR($E497="INFRUCTUEUX",$E497="ANNULE"),$A497&amp;"|"&amp;(COUNTIFS($A$2:$A497,$A497,$E$2:$E497,"INFRUCTUEUX")+COUNTIFS($A$2:$A497,$A497,$E$2:$E497,"ANNULE")),""))</f>
        <v/>
      </c>
    </row>
    <row r="498">
      <c r="A498">
        <f>IF(ISBLANK('ENGAGEMENTS 2026'!C498),"",IF('ENGAGEMENTS 2026'!C498="DTSI","DCT",'ENGAGEMENTS 2026'!C498))</f>
        <v/>
      </c>
      <c r="B498">
        <f>IF(ISBLANK('ENGAGEMENTS 2026'!C498),"",'ENGAGEMENTS 2026'!D498)</f>
        <v/>
      </c>
      <c r="C498">
        <f>IF(ISBLANK('ENGAGEMENTS 2026'!C498),"",'ENGAGEMENTS 2026'!E498)</f>
        <v/>
      </c>
      <c r="D498">
        <f>IF(ISBLANK('ENGAGEMENTS 2026'!C498),"",'ENGAGEMENTS 2026'!G498)</f>
        <v/>
      </c>
      <c r="E498">
        <f>IF(ISBLANK('ENGAGEMENTS 2026'!C498),"",'ENGAGEMENTS 2026'!I498)</f>
        <v/>
      </c>
      <c r="F498">
        <f>IF(ISBLANK('ENGAGEMENTS 2026'!C498),"",'ENGAGEMENTS 2026'!J498)</f>
        <v/>
      </c>
      <c r="G498">
        <f>IF(ISBLANK('ENGAGEMENTS 2026'!C498),"",'ENGAGEMENTS 2026'!M498)</f>
        <v/>
      </c>
      <c r="H498">
        <f>IF(ISBLANK('ENGAGEMENTS 2026'!C498),"",'ENGAGEMENTS 2026'!AF498)</f>
        <v/>
      </c>
      <c r="I498">
        <f>IF(ISBLANK('ENGAGEMENTS 2026'!C498),"",'ENGAGEMENTS 2026'!H498)</f>
        <v/>
      </c>
      <c r="J498" s="275">
        <f>IF(ISBLANK('ENGAGEMENTS 2026'!C498),"",IF(AND(OR($E498="INFRUCTUEUX",$E498="ANNULE"),$C498="AOO-M"),'ENGAGEMENTS 2026'!P498,IF($H498="EN COURS DE PREENGAGEMENT",'ENGAGEMENTS 2026'!O498,IF($H498="PREENGAGE",IF($E498="ATTRIBUE",'ENGAGEMENTS 2026'!AE498,'ENGAGEMENTS 2026'!O498),'ENGAGEMENTS 2026'!AE498))))</f>
        <v/>
      </c>
      <c r="K498" s="604">
        <f>IF(ISBLANK('ENGAGEMENTS 2026'!W498),"",'ENGAGEMENTS 2026'!W498)</f>
        <v/>
      </c>
      <c r="L498" s="276">
        <f>IF($K498="","",TODAY()-$K498)</f>
        <v/>
      </c>
      <c r="M498">
        <f>IF($A498="","",IF($H498="ENGAGE","Engagé",IF(AND($H498="NON ENGAGE",OR($I498="INFRUCTUEUX",$I498="ANNULE")),"Clôturé sans suite","En cours")))</f>
        <v/>
      </c>
      <c r="N498">
        <f>IF(ISBLANK('ENGAGEMENTS 2026'!C498),"",'ENGAGEMENTS 2026'!L498)</f>
        <v/>
      </c>
      <c r="O498">
        <f>IF(ISBLANK('ENGAGEMENTS 2026'!C498),"",'ENGAGEMENTS 2026'!M498)</f>
        <v/>
      </c>
      <c r="P498">
        <f>IF(ISBLANK('ENGAGEMENTS 2026'!C498),"",'ENGAGEMENTS 2026'!K498)</f>
        <v/>
      </c>
      <c r="Q498">
        <f>IF($A498="","",IF(OR($E498="INFRUCTUEUX",$E498="ANNULE"),$A498&amp;"|"&amp;(COUNTIFS($A$2:$A498,$A498,$E$2:$E498,"INFRUCTUEUX")+COUNTIFS($A$2:$A498,$A498,$E$2:$E498,"ANNULE")),""))</f>
        <v/>
      </c>
    </row>
    <row r="499">
      <c r="A499">
        <f>IF(ISBLANK('ENGAGEMENTS 2026'!C499),"",IF('ENGAGEMENTS 2026'!C499="DTSI","DCT",'ENGAGEMENTS 2026'!C499))</f>
        <v/>
      </c>
      <c r="B499">
        <f>IF(ISBLANK('ENGAGEMENTS 2026'!C499),"",'ENGAGEMENTS 2026'!D499)</f>
        <v/>
      </c>
      <c r="C499">
        <f>IF(ISBLANK('ENGAGEMENTS 2026'!C499),"",'ENGAGEMENTS 2026'!E499)</f>
        <v/>
      </c>
      <c r="D499">
        <f>IF(ISBLANK('ENGAGEMENTS 2026'!C499),"",'ENGAGEMENTS 2026'!G499)</f>
        <v/>
      </c>
      <c r="E499">
        <f>IF(ISBLANK('ENGAGEMENTS 2026'!C499),"",'ENGAGEMENTS 2026'!I499)</f>
        <v/>
      </c>
      <c r="F499">
        <f>IF(ISBLANK('ENGAGEMENTS 2026'!C499),"",'ENGAGEMENTS 2026'!J499)</f>
        <v/>
      </c>
      <c r="G499">
        <f>IF(ISBLANK('ENGAGEMENTS 2026'!C499),"",'ENGAGEMENTS 2026'!M499)</f>
        <v/>
      </c>
      <c r="H499">
        <f>IF(ISBLANK('ENGAGEMENTS 2026'!C499),"",'ENGAGEMENTS 2026'!AF499)</f>
        <v/>
      </c>
      <c r="I499">
        <f>IF(ISBLANK('ENGAGEMENTS 2026'!C499),"",'ENGAGEMENTS 2026'!H499)</f>
        <v/>
      </c>
      <c r="J499" s="275">
        <f>IF(ISBLANK('ENGAGEMENTS 2026'!C499),"",IF(AND(OR($E499="INFRUCTUEUX",$E499="ANNULE"),$C499="AOO-M"),'ENGAGEMENTS 2026'!P499,IF($H499="EN COURS DE PREENGAGEMENT",'ENGAGEMENTS 2026'!O499,IF($H499="PREENGAGE",IF($E499="ATTRIBUE",'ENGAGEMENTS 2026'!AE499,'ENGAGEMENTS 2026'!O499),'ENGAGEMENTS 2026'!AE499))))</f>
        <v/>
      </c>
      <c r="K499" s="604">
        <f>IF(ISBLANK('ENGAGEMENTS 2026'!W499),"",'ENGAGEMENTS 2026'!W499)</f>
        <v/>
      </c>
      <c r="L499" s="276">
        <f>IF($K499="","",TODAY()-$K499)</f>
        <v/>
      </c>
      <c r="M499">
        <f>IF($A499="","",IF($H499="ENGAGE","Engagé",IF(AND($H499="NON ENGAGE",OR($I499="INFRUCTUEUX",$I499="ANNULE")),"Clôturé sans suite","En cours")))</f>
        <v/>
      </c>
      <c r="N499">
        <f>IF(ISBLANK('ENGAGEMENTS 2026'!C499),"",'ENGAGEMENTS 2026'!L499)</f>
        <v/>
      </c>
      <c r="O499">
        <f>IF(ISBLANK('ENGAGEMENTS 2026'!C499),"",'ENGAGEMENTS 2026'!M499)</f>
        <v/>
      </c>
      <c r="P499">
        <f>IF(ISBLANK('ENGAGEMENTS 2026'!C499),"",'ENGAGEMENTS 2026'!K499)</f>
        <v/>
      </c>
      <c r="Q499">
        <f>IF($A499="","",IF(OR($E499="INFRUCTUEUX",$E499="ANNULE"),$A499&amp;"|"&amp;(COUNTIFS($A$2:$A499,$A499,$E$2:$E499,"INFRUCTUEUX")+COUNTIFS($A$2:$A499,$A499,$E$2:$E499,"ANNULE")),""))</f>
        <v/>
      </c>
    </row>
    <row r="500">
      <c r="A500">
        <f>IF(ISBLANK('ENGAGEMENTS 2026'!C500),"",IF('ENGAGEMENTS 2026'!C500="DTSI","DCT",'ENGAGEMENTS 2026'!C500))</f>
        <v/>
      </c>
      <c r="B500">
        <f>IF(ISBLANK('ENGAGEMENTS 2026'!C500),"",'ENGAGEMENTS 2026'!D500)</f>
        <v/>
      </c>
      <c r="C500">
        <f>IF(ISBLANK('ENGAGEMENTS 2026'!C500),"",'ENGAGEMENTS 2026'!E500)</f>
        <v/>
      </c>
      <c r="D500">
        <f>IF(ISBLANK('ENGAGEMENTS 2026'!C500),"",'ENGAGEMENTS 2026'!G500)</f>
        <v/>
      </c>
      <c r="E500">
        <f>IF(ISBLANK('ENGAGEMENTS 2026'!C500),"",'ENGAGEMENTS 2026'!I500)</f>
        <v/>
      </c>
      <c r="F500">
        <f>IF(ISBLANK('ENGAGEMENTS 2026'!C500),"",'ENGAGEMENTS 2026'!J500)</f>
        <v/>
      </c>
      <c r="G500">
        <f>IF(ISBLANK('ENGAGEMENTS 2026'!C500),"",'ENGAGEMENTS 2026'!M500)</f>
        <v/>
      </c>
      <c r="H500">
        <f>IF(ISBLANK('ENGAGEMENTS 2026'!C500),"",'ENGAGEMENTS 2026'!AF500)</f>
        <v/>
      </c>
      <c r="I500">
        <f>IF(ISBLANK('ENGAGEMENTS 2026'!C500),"",'ENGAGEMENTS 2026'!H500)</f>
        <v/>
      </c>
      <c r="J500" s="275">
        <f>IF(ISBLANK('ENGAGEMENTS 2026'!C500),"",IF(AND(OR($E500="INFRUCTUEUX",$E500="ANNULE"),$C500="AOO-M"),'ENGAGEMENTS 2026'!P500,IF($H500="EN COURS DE PREENGAGEMENT",'ENGAGEMENTS 2026'!O500,IF($H500="PREENGAGE",IF($E500="ATTRIBUE",'ENGAGEMENTS 2026'!AE500,'ENGAGEMENTS 2026'!O500),'ENGAGEMENTS 2026'!AE500))))</f>
        <v/>
      </c>
      <c r="K500" s="604">
        <f>IF(ISBLANK('ENGAGEMENTS 2026'!W500),"",'ENGAGEMENTS 2026'!W500)</f>
        <v/>
      </c>
      <c r="L500" s="276">
        <f>IF($K500="","",TODAY()-$K500)</f>
        <v/>
      </c>
      <c r="M500">
        <f>IF($A500="","",IF($H500="ENGAGE","Engagé",IF(AND($H500="NON ENGAGE",OR($I500="INFRUCTUEUX",$I500="ANNULE")),"Clôturé sans suite","En cours")))</f>
        <v/>
      </c>
      <c r="N500">
        <f>IF(ISBLANK('ENGAGEMENTS 2026'!C500),"",'ENGAGEMENTS 2026'!L500)</f>
        <v/>
      </c>
      <c r="O500">
        <f>IF(ISBLANK('ENGAGEMENTS 2026'!C500),"",'ENGAGEMENTS 2026'!M500)</f>
        <v/>
      </c>
      <c r="P500">
        <f>IF(ISBLANK('ENGAGEMENTS 2026'!C500),"",'ENGAGEMENTS 2026'!K500)</f>
        <v/>
      </c>
      <c r="Q500">
        <f>IF($A500="","",IF(OR($E500="INFRUCTUEUX",$E500="ANNULE"),$A500&amp;"|"&amp;(COUNTIFS($A$2:$A500,$A500,$E$2:$E500,"INFRUCTUEUX")+COUNTIFS($A$2:$A500,$A500,$E$2:$E500,"ANNULE")),""))</f>
        <v/>
      </c>
    </row>
    <row r="501">
      <c r="A501">
        <f>IF(ISBLANK('ENGAGEMENTS 2026'!C501),"",IF('ENGAGEMENTS 2026'!C501="DTSI","DCT",'ENGAGEMENTS 2026'!C501))</f>
        <v/>
      </c>
      <c r="B501">
        <f>IF(ISBLANK('ENGAGEMENTS 2026'!C501),"",'ENGAGEMENTS 2026'!D501)</f>
        <v/>
      </c>
      <c r="C501">
        <f>IF(ISBLANK('ENGAGEMENTS 2026'!C501),"",'ENGAGEMENTS 2026'!E501)</f>
        <v/>
      </c>
      <c r="D501">
        <f>IF(ISBLANK('ENGAGEMENTS 2026'!C501),"",'ENGAGEMENTS 2026'!G501)</f>
        <v/>
      </c>
      <c r="E501">
        <f>IF(ISBLANK('ENGAGEMENTS 2026'!C501),"",'ENGAGEMENTS 2026'!I501)</f>
        <v/>
      </c>
      <c r="F501">
        <f>IF(ISBLANK('ENGAGEMENTS 2026'!C501),"",'ENGAGEMENTS 2026'!J501)</f>
        <v/>
      </c>
      <c r="G501">
        <f>IF(ISBLANK('ENGAGEMENTS 2026'!C501),"",'ENGAGEMENTS 2026'!M501)</f>
        <v/>
      </c>
      <c r="H501">
        <f>IF(ISBLANK('ENGAGEMENTS 2026'!C501),"",'ENGAGEMENTS 2026'!AF501)</f>
        <v/>
      </c>
      <c r="I501">
        <f>IF(ISBLANK('ENGAGEMENTS 2026'!C501),"",'ENGAGEMENTS 2026'!H501)</f>
        <v/>
      </c>
      <c r="J501" s="275">
        <f>IF(ISBLANK('ENGAGEMENTS 2026'!C501),"",IF(AND(OR($E501="INFRUCTUEUX",$E501="ANNULE"),$C501="AOO-M"),'ENGAGEMENTS 2026'!P501,IF($H501="EN COURS DE PREENGAGEMENT",'ENGAGEMENTS 2026'!O501,IF($H501="PREENGAGE",IF($E501="ATTRIBUE",'ENGAGEMENTS 2026'!AE501,'ENGAGEMENTS 2026'!O501),'ENGAGEMENTS 2026'!AE501))))</f>
        <v/>
      </c>
      <c r="K501" s="604">
        <f>IF(ISBLANK('ENGAGEMENTS 2026'!W501),"",'ENGAGEMENTS 2026'!W501)</f>
        <v/>
      </c>
      <c r="L501" s="276">
        <f>IF($K501="","",TODAY()-$K501)</f>
        <v/>
      </c>
      <c r="M501">
        <f>IF($A501="","",IF($H501="ENGAGE","Engagé",IF(AND($H501="NON ENGAGE",OR($I501="INFRUCTUEUX",$I501="ANNULE")),"Clôturé sans suite","En cours")))</f>
        <v/>
      </c>
      <c r="N501">
        <f>IF(ISBLANK('ENGAGEMENTS 2026'!C501),"",'ENGAGEMENTS 2026'!L501)</f>
        <v/>
      </c>
      <c r="O501">
        <f>IF(ISBLANK('ENGAGEMENTS 2026'!C501),"",'ENGAGEMENTS 2026'!M501)</f>
        <v/>
      </c>
      <c r="P501">
        <f>IF(ISBLANK('ENGAGEMENTS 2026'!C501),"",'ENGAGEMENTS 2026'!K501)</f>
        <v/>
      </c>
      <c r="Q501">
        <f>IF($A501="","",IF(OR($E501="INFRUCTUEUX",$E501="ANNULE"),$A501&amp;"|"&amp;(COUNTIFS($A$2:$A501,$A501,$E$2:$E501,"INFRUCTUEUX")+COUNTIFS($A$2:$A501,$A501,$E$2:$E501,"ANNULE")),""))</f>
        <v/>
      </c>
    </row>
    <row r="502">
      <c r="A502">
        <f>IF(ISBLANK('ENGAGEMENTS 2026'!C502),"",IF('ENGAGEMENTS 2026'!C502="DTSI","DCT",'ENGAGEMENTS 2026'!C502))</f>
        <v/>
      </c>
      <c r="B502">
        <f>IF(ISBLANK('ENGAGEMENTS 2026'!C502),"",'ENGAGEMENTS 2026'!D502)</f>
        <v/>
      </c>
      <c r="C502">
        <f>IF(ISBLANK('ENGAGEMENTS 2026'!C502),"",'ENGAGEMENTS 2026'!E502)</f>
        <v/>
      </c>
      <c r="D502">
        <f>IF(ISBLANK('ENGAGEMENTS 2026'!C502),"",'ENGAGEMENTS 2026'!G502)</f>
        <v/>
      </c>
      <c r="E502">
        <f>IF(ISBLANK('ENGAGEMENTS 2026'!C502),"",'ENGAGEMENTS 2026'!I502)</f>
        <v/>
      </c>
      <c r="F502">
        <f>IF(ISBLANK('ENGAGEMENTS 2026'!C502),"",'ENGAGEMENTS 2026'!J502)</f>
        <v/>
      </c>
      <c r="G502">
        <f>IF(ISBLANK('ENGAGEMENTS 2026'!C502),"",'ENGAGEMENTS 2026'!M502)</f>
        <v/>
      </c>
      <c r="H502">
        <f>IF(ISBLANK('ENGAGEMENTS 2026'!C502),"",'ENGAGEMENTS 2026'!AF502)</f>
        <v/>
      </c>
      <c r="I502">
        <f>IF(ISBLANK('ENGAGEMENTS 2026'!C502),"",'ENGAGEMENTS 2026'!H502)</f>
        <v/>
      </c>
      <c r="J502" s="275">
        <f>IF(ISBLANK('ENGAGEMENTS 2026'!C502),"",IF(AND(OR($E502="INFRUCTUEUX",$E502="ANNULE"),$C502="AOO-M"),'ENGAGEMENTS 2026'!P502,IF($H502="EN COURS DE PREENGAGEMENT",'ENGAGEMENTS 2026'!O502,IF($H502="PREENGAGE",IF($E502="ATTRIBUE",'ENGAGEMENTS 2026'!AE502,'ENGAGEMENTS 2026'!O502),'ENGAGEMENTS 2026'!AE502))))</f>
        <v/>
      </c>
      <c r="K502" s="604">
        <f>IF(ISBLANK('ENGAGEMENTS 2026'!W502),"",'ENGAGEMENTS 2026'!W502)</f>
        <v/>
      </c>
      <c r="L502" s="276">
        <f>IF($K502="","",TODAY()-$K502)</f>
        <v/>
      </c>
      <c r="M502">
        <f>IF($A502="","",IF($H502="ENGAGE","Engagé",IF(AND($H502="NON ENGAGE",OR($I502="INFRUCTUEUX",$I502="ANNULE")),"Clôturé sans suite","En cours")))</f>
        <v/>
      </c>
      <c r="N502">
        <f>IF(ISBLANK('ENGAGEMENTS 2026'!C502),"",'ENGAGEMENTS 2026'!L502)</f>
        <v/>
      </c>
      <c r="O502">
        <f>IF(ISBLANK('ENGAGEMENTS 2026'!C502),"",'ENGAGEMENTS 2026'!M502)</f>
        <v/>
      </c>
      <c r="P502">
        <f>IF(ISBLANK('ENGAGEMENTS 2026'!C502),"",'ENGAGEMENTS 2026'!K502)</f>
        <v/>
      </c>
      <c r="Q502">
        <f>IF($A502="","",IF(OR($E502="INFRUCTUEUX",$E502="ANNULE"),$A502&amp;"|"&amp;(COUNTIFS($A$2:$A502,$A502,$E$2:$E502,"INFRUCTUEUX")+COUNTIFS($A$2:$A502,$A502,$E$2:$E502,"ANNULE")),""))</f>
        <v/>
      </c>
    </row>
    <row r="503">
      <c r="A503">
        <f>IF(ISBLANK('ENGAGEMENTS 2026'!C503),"",IF('ENGAGEMENTS 2026'!C503="DTSI","DCT",'ENGAGEMENTS 2026'!C503))</f>
        <v/>
      </c>
      <c r="B503">
        <f>IF(ISBLANK('ENGAGEMENTS 2026'!C503),"",'ENGAGEMENTS 2026'!D503)</f>
        <v/>
      </c>
      <c r="C503">
        <f>IF(ISBLANK('ENGAGEMENTS 2026'!C503),"",'ENGAGEMENTS 2026'!E503)</f>
        <v/>
      </c>
      <c r="D503">
        <f>IF(ISBLANK('ENGAGEMENTS 2026'!C503),"",'ENGAGEMENTS 2026'!G503)</f>
        <v/>
      </c>
      <c r="E503">
        <f>IF(ISBLANK('ENGAGEMENTS 2026'!C503),"",'ENGAGEMENTS 2026'!I503)</f>
        <v/>
      </c>
      <c r="F503">
        <f>IF(ISBLANK('ENGAGEMENTS 2026'!C503),"",'ENGAGEMENTS 2026'!J503)</f>
        <v/>
      </c>
      <c r="G503">
        <f>IF(ISBLANK('ENGAGEMENTS 2026'!C503),"",'ENGAGEMENTS 2026'!M503)</f>
        <v/>
      </c>
      <c r="H503">
        <f>IF(ISBLANK('ENGAGEMENTS 2026'!C503),"",'ENGAGEMENTS 2026'!AF503)</f>
        <v/>
      </c>
      <c r="I503">
        <f>IF(ISBLANK('ENGAGEMENTS 2026'!C503),"",'ENGAGEMENTS 2026'!H503)</f>
        <v/>
      </c>
      <c r="J503" s="275">
        <f>IF(ISBLANK('ENGAGEMENTS 2026'!C503),"",IF(AND(OR($E503="INFRUCTUEUX",$E503="ANNULE"),$C503="AOO-M"),'ENGAGEMENTS 2026'!P503,IF($H503="EN COURS DE PREENGAGEMENT",'ENGAGEMENTS 2026'!O503,IF($H503="PREENGAGE",IF($E503="ATTRIBUE",'ENGAGEMENTS 2026'!AE503,'ENGAGEMENTS 2026'!O503),'ENGAGEMENTS 2026'!AE503))))</f>
        <v/>
      </c>
      <c r="K503" s="604">
        <f>IF(ISBLANK('ENGAGEMENTS 2026'!W503),"",'ENGAGEMENTS 2026'!W503)</f>
        <v/>
      </c>
      <c r="L503" s="276">
        <f>IF($K503="","",TODAY()-$K503)</f>
        <v/>
      </c>
      <c r="M503">
        <f>IF($A503="","",IF($H503="ENGAGE","Engagé",IF(AND($H503="NON ENGAGE",OR($I503="INFRUCTUEUX",$I503="ANNULE")),"Clôturé sans suite","En cours")))</f>
        <v/>
      </c>
      <c r="N503">
        <f>IF(ISBLANK('ENGAGEMENTS 2026'!C503),"",'ENGAGEMENTS 2026'!L503)</f>
        <v/>
      </c>
      <c r="O503">
        <f>IF(ISBLANK('ENGAGEMENTS 2026'!C503),"",'ENGAGEMENTS 2026'!M503)</f>
        <v/>
      </c>
      <c r="P503">
        <f>IF(ISBLANK('ENGAGEMENTS 2026'!C503),"",'ENGAGEMENTS 2026'!K503)</f>
        <v/>
      </c>
      <c r="Q503">
        <f>IF($A503="","",IF(OR($E503="INFRUCTUEUX",$E503="ANNULE"),$A503&amp;"|"&amp;(COUNTIFS($A$2:$A503,$A503,$E$2:$E503,"INFRUCTUEUX")+COUNTIFS($A$2:$A503,$A503,$E$2:$E503,"ANNULE")),""))</f>
        <v/>
      </c>
    </row>
    <row r="504">
      <c r="A504">
        <f>IF(ISBLANK('ENGAGEMENTS 2026'!C504),"",IF('ENGAGEMENTS 2026'!C504="DTSI","DCT",'ENGAGEMENTS 2026'!C504))</f>
        <v/>
      </c>
      <c r="B504">
        <f>IF(ISBLANK('ENGAGEMENTS 2026'!C504),"",'ENGAGEMENTS 2026'!D504)</f>
        <v/>
      </c>
      <c r="C504">
        <f>IF(ISBLANK('ENGAGEMENTS 2026'!C504),"",'ENGAGEMENTS 2026'!E504)</f>
        <v/>
      </c>
      <c r="D504">
        <f>IF(ISBLANK('ENGAGEMENTS 2026'!C504),"",'ENGAGEMENTS 2026'!G504)</f>
        <v/>
      </c>
      <c r="E504">
        <f>IF(ISBLANK('ENGAGEMENTS 2026'!C504),"",'ENGAGEMENTS 2026'!I504)</f>
        <v/>
      </c>
      <c r="F504">
        <f>IF(ISBLANK('ENGAGEMENTS 2026'!C504),"",'ENGAGEMENTS 2026'!J504)</f>
        <v/>
      </c>
      <c r="G504">
        <f>IF(ISBLANK('ENGAGEMENTS 2026'!C504),"",'ENGAGEMENTS 2026'!M504)</f>
        <v/>
      </c>
      <c r="H504">
        <f>IF(ISBLANK('ENGAGEMENTS 2026'!C504),"",'ENGAGEMENTS 2026'!AF504)</f>
        <v/>
      </c>
      <c r="I504">
        <f>IF(ISBLANK('ENGAGEMENTS 2026'!C504),"",'ENGAGEMENTS 2026'!H504)</f>
        <v/>
      </c>
      <c r="J504" s="275">
        <f>IF(ISBLANK('ENGAGEMENTS 2026'!C504),"",IF(AND(OR($E504="INFRUCTUEUX",$E504="ANNULE"),$C504="AOO-M"),'ENGAGEMENTS 2026'!P504,IF($H504="EN COURS DE PREENGAGEMENT",'ENGAGEMENTS 2026'!O504,IF($H504="PREENGAGE",IF($E504="ATTRIBUE",'ENGAGEMENTS 2026'!AE504,'ENGAGEMENTS 2026'!O504),'ENGAGEMENTS 2026'!AE504))))</f>
        <v/>
      </c>
      <c r="K504" s="604">
        <f>IF(ISBLANK('ENGAGEMENTS 2026'!W504),"",'ENGAGEMENTS 2026'!W504)</f>
        <v/>
      </c>
      <c r="L504" s="276">
        <f>IF($K504="","",TODAY()-$K504)</f>
        <v/>
      </c>
      <c r="M504">
        <f>IF($A504="","",IF($H504="ENGAGE","Engagé",IF(AND($H504="NON ENGAGE",OR($I504="INFRUCTUEUX",$I504="ANNULE")),"Clôturé sans suite","En cours")))</f>
        <v/>
      </c>
      <c r="N504">
        <f>IF(ISBLANK('ENGAGEMENTS 2026'!C504),"",'ENGAGEMENTS 2026'!L504)</f>
        <v/>
      </c>
      <c r="O504">
        <f>IF(ISBLANK('ENGAGEMENTS 2026'!C504),"",'ENGAGEMENTS 2026'!M504)</f>
        <v/>
      </c>
      <c r="P504">
        <f>IF(ISBLANK('ENGAGEMENTS 2026'!C504),"",'ENGAGEMENTS 2026'!K504)</f>
        <v/>
      </c>
      <c r="Q504">
        <f>IF($A504="","",IF(OR($E504="INFRUCTUEUX",$E504="ANNULE"),$A504&amp;"|"&amp;(COUNTIFS($A$2:$A504,$A504,$E$2:$E504,"INFRUCTUEUX")+COUNTIFS($A$2:$A504,$A504,$E$2:$E504,"ANNULE")),""))</f>
        <v/>
      </c>
    </row>
    <row r="505">
      <c r="A505">
        <f>IF(ISBLANK('ENGAGEMENTS 2026'!C505),"",IF('ENGAGEMENTS 2026'!C505="DTSI","DCT",'ENGAGEMENTS 2026'!C505))</f>
        <v/>
      </c>
      <c r="B505">
        <f>IF(ISBLANK('ENGAGEMENTS 2026'!C505),"",'ENGAGEMENTS 2026'!D505)</f>
        <v/>
      </c>
      <c r="C505">
        <f>IF(ISBLANK('ENGAGEMENTS 2026'!C505),"",'ENGAGEMENTS 2026'!E505)</f>
        <v/>
      </c>
      <c r="D505">
        <f>IF(ISBLANK('ENGAGEMENTS 2026'!C505),"",'ENGAGEMENTS 2026'!G505)</f>
        <v/>
      </c>
      <c r="E505">
        <f>IF(ISBLANK('ENGAGEMENTS 2026'!C505),"",'ENGAGEMENTS 2026'!I505)</f>
        <v/>
      </c>
      <c r="F505">
        <f>IF(ISBLANK('ENGAGEMENTS 2026'!C505),"",'ENGAGEMENTS 2026'!J505)</f>
        <v/>
      </c>
      <c r="G505">
        <f>IF(ISBLANK('ENGAGEMENTS 2026'!C505),"",'ENGAGEMENTS 2026'!M505)</f>
        <v/>
      </c>
      <c r="H505">
        <f>IF(ISBLANK('ENGAGEMENTS 2026'!C505),"",'ENGAGEMENTS 2026'!AF505)</f>
        <v/>
      </c>
      <c r="I505">
        <f>IF(ISBLANK('ENGAGEMENTS 2026'!C505),"",'ENGAGEMENTS 2026'!H505)</f>
        <v/>
      </c>
      <c r="J505" s="275">
        <f>IF(ISBLANK('ENGAGEMENTS 2026'!C505),"",IF(AND(OR($E505="INFRUCTUEUX",$E505="ANNULE"),$C505="AOO-M"),'ENGAGEMENTS 2026'!P505,IF($H505="EN COURS DE PREENGAGEMENT",'ENGAGEMENTS 2026'!O505,IF($H505="PREENGAGE",IF($E505="ATTRIBUE",'ENGAGEMENTS 2026'!AE505,'ENGAGEMENTS 2026'!O505),'ENGAGEMENTS 2026'!AE505))))</f>
        <v/>
      </c>
      <c r="K505" s="604">
        <f>IF(ISBLANK('ENGAGEMENTS 2026'!W505),"",'ENGAGEMENTS 2026'!W505)</f>
        <v/>
      </c>
      <c r="L505" s="276">
        <f>IF($K505="","",TODAY()-$K505)</f>
        <v/>
      </c>
      <c r="M505">
        <f>IF($A505="","",IF($H505="ENGAGE","Engagé",IF(AND($H505="NON ENGAGE",OR($I505="INFRUCTUEUX",$I505="ANNULE")),"Clôturé sans suite","En cours")))</f>
        <v/>
      </c>
      <c r="N505">
        <f>IF(ISBLANK('ENGAGEMENTS 2026'!C505),"",'ENGAGEMENTS 2026'!L505)</f>
        <v/>
      </c>
      <c r="O505">
        <f>IF(ISBLANK('ENGAGEMENTS 2026'!C505),"",'ENGAGEMENTS 2026'!M505)</f>
        <v/>
      </c>
      <c r="P505">
        <f>IF(ISBLANK('ENGAGEMENTS 2026'!C505),"",'ENGAGEMENTS 2026'!K505)</f>
        <v/>
      </c>
      <c r="Q505">
        <f>IF($A505="","",IF(OR($E505="INFRUCTUEUX",$E505="ANNULE"),$A505&amp;"|"&amp;(COUNTIFS($A$2:$A505,$A505,$E$2:$E505,"INFRUCTUEUX")+COUNTIFS($A$2:$A505,$A505,$E$2:$E505,"ANNULE")),""))</f>
        <v/>
      </c>
    </row>
    <row r="506">
      <c r="A506">
        <f>IF(ISBLANK('ENGAGEMENTS 2026'!C506),"",IF('ENGAGEMENTS 2026'!C506="DTSI","DCT",'ENGAGEMENTS 2026'!C506))</f>
        <v/>
      </c>
      <c r="B506">
        <f>IF(ISBLANK('ENGAGEMENTS 2026'!C506),"",'ENGAGEMENTS 2026'!D506)</f>
        <v/>
      </c>
      <c r="C506">
        <f>IF(ISBLANK('ENGAGEMENTS 2026'!C506),"",'ENGAGEMENTS 2026'!E506)</f>
        <v/>
      </c>
      <c r="D506">
        <f>IF(ISBLANK('ENGAGEMENTS 2026'!C506),"",'ENGAGEMENTS 2026'!G506)</f>
        <v/>
      </c>
      <c r="E506">
        <f>IF(ISBLANK('ENGAGEMENTS 2026'!C506),"",'ENGAGEMENTS 2026'!I506)</f>
        <v/>
      </c>
      <c r="F506">
        <f>IF(ISBLANK('ENGAGEMENTS 2026'!C506),"",'ENGAGEMENTS 2026'!J506)</f>
        <v/>
      </c>
      <c r="G506">
        <f>IF(ISBLANK('ENGAGEMENTS 2026'!C506),"",'ENGAGEMENTS 2026'!M506)</f>
        <v/>
      </c>
      <c r="H506">
        <f>IF(ISBLANK('ENGAGEMENTS 2026'!C506),"",'ENGAGEMENTS 2026'!AF506)</f>
        <v/>
      </c>
      <c r="I506">
        <f>IF(ISBLANK('ENGAGEMENTS 2026'!C506),"",'ENGAGEMENTS 2026'!H506)</f>
        <v/>
      </c>
      <c r="J506" s="275">
        <f>IF(ISBLANK('ENGAGEMENTS 2026'!C506),"",IF(AND(OR($E506="INFRUCTUEUX",$E506="ANNULE"),$C506="AOO-M"),'ENGAGEMENTS 2026'!P506,IF($H506="EN COURS DE PREENGAGEMENT",'ENGAGEMENTS 2026'!O506,IF($H506="PREENGAGE",IF($E506="ATTRIBUE",'ENGAGEMENTS 2026'!AE506,'ENGAGEMENTS 2026'!O506),'ENGAGEMENTS 2026'!AE506))))</f>
        <v/>
      </c>
      <c r="K506" s="604">
        <f>IF(ISBLANK('ENGAGEMENTS 2026'!W506),"",'ENGAGEMENTS 2026'!W506)</f>
        <v/>
      </c>
      <c r="L506" s="276">
        <f>IF($K506="","",TODAY()-$K506)</f>
        <v/>
      </c>
      <c r="M506">
        <f>IF($A506="","",IF($H506="ENGAGE","Engagé",IF(AND($H506="NON ENGAGE",OR($I506="INFRUCTUEUX",$I506="ANNULE")),"Clôturé sans suite","En cours")))</f>
        <v/>
      </c>
      <c r="N506">
        <f>IF(ISBLANK('ENGAGEMENTS 2026'!C506),"",'ENGAGEMENTS 2026'!L506)</f>
        <v/>
      </c>
      <c r="O506">
        <f>IF(ISBLANK('ENGAGEMENTS 2026'!C506),"",'ENGAGEMENTS 2026'!M506)</f>
        <v/>
      </c>
      <c r="P506">
        <f>IF(ISBLANK('ENGAGEMENTS 2026'!C506),"",'ENGAGEMENTS 2026'!K506)</f>
        <v/>
      </c>
      <c r="Q506">
        <f>IF($A506="","",IF(OR($E506="INFRUCTUEUX",$E506="ANNULE"),$A506&amp;"|"&amp;(COUNTIFS($A$2:$A506,$A506,$E$2:$E506,"INFRUCTUEUX")+COUNTIFS($A$2:$A506,$A506,$E$2:$E506,"ANNULE")),""))</f>
        <v/>
      </c>
    </row>
    <row r="507">
      <c r="A507">
        <f>IF(ISBLANK('ENGAGEMENTS 2026'!C507),"",IF('ENGAGEMENTS 2026'!C507="DTSI","DCT",'ENGAGEMENTS 2026'!C507))</f>
        <v/>
      </c>
      <c r="B507">
        <f>IF(ISBLANK('ENGAGEMENTS 2026'!C507),"",'ENGAGEMENTS 2026'!D507)</f>
        <v/>
      </c>
      <c r="C507">
        <f>IF(ISBLANK('ENGAGEMENTS 2026'!C507),"",'ENGAGEMENTS 2026'!E507)</f>
        <v/>
      </c>
      <c r="D507">
        <f>IF(ISBLANK('ENGAGEMENTS 2026'!C507),"",'ENGAGEMENTS 2026'!G507)</f>
        <v/>
      </c>
      <c r="E507">
        <f>IF(ISBLANK('ENGAGEMENTS 2026'!C507),"",'ENGAGEMENTS 2026'!I507)</f>
        <v/>
      </c>
      <c r="F507">
        <f>IF(ISBLANK('ENGAGEMENTS 2026'!C507),"",'ENGAGEMENTS 2026'!J507)</f>
        <v/>
      </c>
      <c r="G507">
        <f>IF(ISBLANK('ENGAGEMENTS 2026'!C507),"",'ENGAGEMENTS 2026'!M507)</f>
        <v/>
      </c>
      <c r="H507">
        <f>IF(ISBLANK('ENGAGEMENTS 2026'!C507),"",'ENGAGEMENTS 2026'!AF507)</f>
        <v/>
      </c>
      <c r="I507">
        <f>IF(ISBLANK('ENGAGEMENTS 2026'!C507),"",'ENGAGEMENTS 2026'!H507)</f>
        <v/>
      </c>
      <c r="J507" s="275">
        <f>IF(ISBLANK('ENGAGEMENTS 2026'!C507),"",IF(AND(OR($E507="INFRUCTUEUX",$E507="ANNULE"),$C507="AOO-M"),'ENGAGEMENTS 2026'!P507,IF($H507="EN COURS DE PREENGAGEMENT",'ENGAGEMENTS 2026'!O507,IF($H507="PREENGAGE",IF($E507="ATTRIBUE",'ENGAGEMENTS 2026'!AE507,'ENGAGEMENTS 2026'!O507),'ENGAGEMENTS 2026'!AE507))))</f>
        <v/>
      </c>
      <c r="K507" s="604">
        <f>IF(ISBLANK('ENGAGEMENTS 2026'!W507),"",'ENGAGEMENTS 2026'!W507)</f>
        <v/>
      </c>
      <c r="L507" s="276">
        <f>IF($K507="","",TODAY()-$K507)</f>
        <v/>
      </c>
      <c r="M507">
        <f>IF($A507="","",IF($H507="ENGAGE","Engagé",IF(AND($H507="NON ENGAGE",OR($I507="INFRUCTUEUX",$I507="ANNULE")),"Clôturé sans suite","En cours")))</f>
        <v/>
      </c>
      <c r="N507">
        <f>IF(ISBLANK('ENGAGEMENTS 2026'!C507),"",'ENGAGEMENTS 2026'!L507)</f>
        <v/>
      </c>
      <c r="O507">
        <f>IF(ISBLANK('ENGAGEMENTS 2026'!C507),"",'ENGAGEMENTS 2026'!M507)</f>
        <v/>
      </c>
      <c r="P507">
        <f>IF(ISBLANK('ENGAGEMENTS 2026'!C507),"",'ENGAGEMENTS 2026'!K507)</f>
        <v/>
      </c>
      <c r="Q507">
        <f>IF($A507="","",IF(OR($E507="INFRUCTUEUX",$E507="ANNULE"),$A507&amp;"|"&amp;(COUNTIFS($A$2:$A507,$A507,$E$2:$E507,"INFRUCTUEUX")+COUNTIFS($A$2:$A507,$A507,$E$2:$E507,"ANNULE")),""))</f>
        <v/>
      </c>
    </row>
    <row r="508">
      <c r="A508">
        <f>IF(ISBLANK('ENGAGEMENTS 2026'!C508),"",IF('ENGAGEMENTS 2026'!C508="DTSI","DCT",'ENGAGEMENTS 2026'!C508))</f>
        <v/>
      </c>
      <c r="B508">
        <f>IF(ISBLANK('ENGAGEMENTS 2026'!C508),"",'ENGAGEMENTS 2026'!D508)</f>
        <v/>
      </c>
      <c r="C508">
        <f>IF(ISBLANK('ENGAGEMENTS 2026'!C508),"",'ENGAGEMENTS 2026'!E508)</f>
        <v/>
      </c>
      <c r="D508">
        <f>IF(ISBLANK('ENGAGEMENTS 2026'!C508),"",'ENGAGEMENTS 2026'!G508)</f>
        <v/>
      </c>
      <c r="E508">
        <f>IF(ISBLANK('ENGAGEMENTS 2026'!C508),"",'ENGAGEMENTS 2026'!I508)</f>
        <v/>
      </c>
      <c r="F508">
        <f>IF(ISBLANK('ENGAGEMENTS 2026'!C508),"",'ENGAGEMENTS 2026'!J508)</f>
        <v/>
      </c>
      <c r="G508">
        <f>IF(ISBLANK('ENGAGEMENTS 2026'!C508),"",'ENGAGEMENTS 2026'!M508)</f>
        <v/>
      </c>
      <c r="H508">
        <f>IF(ISBLANK('ENGAGEMENTS 2026'!C508),"",'ENGAGEMENTS 2026'!AF508)</f>
        <v/>
      </c>
      <c r="I508">
        <f>IF(ISBLANK('ENGAGEMENTS 2026'!C508),"",'ENGAGEMENTS 2026'!H508)</f>
        <v/>
      </c>
      <c r="J508" s="275">
        <f>IF(ISBLANK('ENGAGEMENTS 2026'!C508),"",IF(AND(OR($E508="INFRUCTUEUX",$E508="ANNULE"),$C508="AOO-M"),'ENGAGEMENTS 2026'!P508,IF($H508="EN COURS DE PREENGAGEMENT",'ENGAGEMENTS 2026'!O508,IF($H508="PREENGAGE",IF($E508="ATTRIBUE",'ENGAGEMENTS 2026'!AE508,'ENGAGEMENTS 2026'!O508),'ENGAGEMENTS 2026'!AE508))))</f>
        <v/>
      </c>
      <c r="K508" s="604">
        <f>IF(ISBLANK('ENGAGEMENTS 2026'!W508),"",'ENGAGEMENTS 2026'!W508)</f>
        <v/>
      </c>
      <c r="L508" s="276">
        <f>IF($K508="","",TODAY()-$K508)</f>
        <v/>
      </c>
      <c r="M508">
        <f>IF($A508="","",IF($H508="ENGAGE","Engagé",IF(AND($H508="NON ENGAGE",OR($I508="INFRUCTUEUX",$I508="ANNULE")),"Clôturé sans suite","En cours")))</f>
        <v/>
      </c>
      <c r="N508">
        <f>IF(ISBLANK('ENGAGEMENTS 2026'!C508),"",'ENGAGEMENTS 2026'!L508)</f>
        <v/>
      </c>
      <c r="O508">
        <f>IF(ISBLANK('ENGAGEMENTS 2026'!C508),"",'ENGAGEMENTS 2026'!M508)</f>
        <v/>
      </c>
      <c r="P508">
        <f>IF(ISBLANK('ENGAGEMENTS 2026'!C508),"",'ENGAGEMENTS 2026'!K508)</f>
        <v/>
      </c>
      <c r="Q508">
        <f>IF($A508="","",IF(OR($E508="INFRUCTUEUX",$E508="ANNULE"),$A508&amp;"|"&amp;(COUNTIFS($A$2:$A508,$A508,$E$2:$E508,"INFRUCTUEUX")+COUNTIFS($A$2:$A508,$A508,$E$2:$E508,"ANNULE")),""))</f>
        <v/>
      </c>
    </row>
    <row r="509">
      <c r="A509">
        <f>IF(ISBLANK('ENGAGEMENTS 2026'!C509),"",IF('ENGAGEMENTS 2026'!C509="DTSI","DCT",'ENGAGEMENTS 2026'!C509))</f>
        <v/>
      </c>
      <c r="B509">
        <f>IF(ISBLANK('ENGAGEMENTS 2026'!C509),"",'ENGAGEMENTS 2026'!D509)</f>
        <v/>
      </c>
      <c r="C509">
        <f>IF(ISBLANK('ENGAGEMENTS 2026'!C509),"",'ENGAGEMENTS 2026'!E509)</f>
        <v/>
      </c>
      <c r="D509">
        <f>IF(ISBLANK('ENGAGEMENTS 2026'!C509),"",'ENGAGEMENTS 2026'!G509)</f>
        <v/>
      </c>
      <c r="E509">
        <f>IF(ISBLANK('ENGAGEMENTS 2026'!C509),"",'ENGAGEMENTS 2026'!I509)</f>
        <v/>
      </c>
      <c r="F509">
        <f>IF(ISBLANK('ENGAGEMENTS 2026'!C509),"",'ENGAGEMENTS 2026'!J509)</f>
        <v/>
      </c>
      <c r="G509">
        <f>IF(ISBLANK('ENGAGEMENTS 2026'!C509),"",'ENGAGEMENTS 2026'!M509)</f>
        <v/>
      </c>
      <c r="H509">
        <f>IF(ISBLANK('ENGAGEMENTS 2026'!C509),"",'ENGAGEMENTS 2026'!AF509)</f>
        <v/>
      </c>
      <c r="I509">
        <f>IF(ISBLANK('ENGAGEMENTS 2026'!C509),"",'ENGAGEMENTS 2026'!H509)</f>
        <v/>
      </c>
      <c r="J509" s="275">
        <f>IF(ISBLANK('ENGAGEMENTS 2026'!C509),"",IF(AND(OR($E509="INFRUCTUEUX",$E509="ANNULE"),$C509="AOO-M"),'ENGAGEMENTS 2026'!P509,IF($H509="EN COURS DE PREENGAGEMENT",'ENGAGEMENTS 2026'!O509,IF($H509="PREENGAGE",IF($E509="ATTRIBUE",'ENGAGEMENTS 2026'!AE509,'ENGAGEMENTS 2026'!O509),'ENGAGEMENTS 2026'!AE509))))</f>
        <v/>
      </c>
      <c r="K509" s="604">
        <f>IF(ISBLANK('ENGAGEMENTS 2026'!W509),"",'ENGAGEMENTS 2026'!W509)</f>
        <v/>
      </c>
      <c r="L509" s="276">
        <f>IF($K509="","",TODAY()-$K509)</f>
        <v/>
      </c>
      <c r="M509">
        <f>IF($A509="","",IF($H509="ENGAGE","Engagé",IF(AND($H509="NON ENGAGE",OR($I509="INFRUCTUEUX",$I509="ANNULE")),"Clôturé sans suite","En cours")))</f>
        <v/>
      </c>
      <c r="N509">
        <f>IF(ISBLANK('ENGAGEMENTS 2026'!C509),"",'ENGAGEMENTS 2026'!L509)</f>
        <v/>
      </c>
      <c r="O509">
        <f>IF(ISBLANK('ENGAGEMENTS 2026'!C509),"",'ENGAGEMENTS 2026'!M509)</f>
        <v/>
      </c>
      <c r="P509">
        <f>IF(ISBLANK('ENGAGEMENTS 2026'!C509),"",'ENGAGEMENTS 2026'!K509)</f>
        <v/>
      </c>
      <c r="Q509">
        <f>IF($A509="","",IF(OR($E509="INFRUCTUEUX",$E509="ANNULE"),$A509&amp;"|"&amp;(COUNTIFS($A$2:$A509,$A509,$E$2:$E509,"INFRUCTUEUX")+COUNTIFS($A$2:$A509,$A509,$E$2:$E509,"ANNULE")),""))</f>
        <v/>
      </c>
    </row>
    <row r="510">
      <c r="A510">
        <f>IF(ISBLANK('ENGAGEMENTS 2026'!C510),"",IF('ENGAGEMENTS 2026'!C510="DTSI","DCT",'ENGAGEMENTS 2026'!C510))</f>
        <v/>
      </c>
      <c r="B510">
        <f>IF(ISBLANK('ENGAGEMENTS 2026'!C510),"",'ENGAGEMENTS 2026'!D510)</f>
        <v/>
      </c>
      <c r="C510">
        <f>IF(ISBLANK('ENGAGEMENTS 2026'!C510),"",'ENGAGEMENTS 2026'!E510)</f>
        <v/>
      </c>
      <c r="D510">
        <f>IF(ISBLANK('ENGAGEMENTS 2026'!C510),"",'ENGAGEMENTS 2026'!G510)</f>
        <v/>
      </c>
      <c r="E510">
        <f>IF(ISBLANK('ENGAGEMENTS 2026'!C510),"",'ENGAGEMENTS 2026'!I510)</f>
        <v/>
      </c>
      <c r="F510">
        <f>IF(ISBLANK('ENGAGEMENTS 2026'!C510),"",'ENGAGEMENTS 2026'!J510)</f>
        <v/>
      </c>
      <c r="G510">
        <f>IF(ISBLANK('ENGAGEMENTS 2026'!C510),"",'ENGAGEMENTS 2026'!M510)</f>
        <v/>
      </c>
      <c r="H510">
        <f>IF(ISBLANK('ENGAGEMENTS 2026'!C510),"",'ENGAGEMENTS 2026'!AF510)</f>
        <v/>
      </c>
      <c r="I510">
        <f>IF(ISBLANK('ENGAGEMENTS 2026'!C510),"",'ENGAGEMENTS 2026'!H510)</f>
        <v/>
      </c>
      <c r="J510" s="275">
        <f>IF(ISBLANK('ENGAGEMENTS 2026'!C510),"",IF(AND(OR($E510="INFRUCTUEUX",$E510="ANNULE"),$C510="AOO-M"),'ENGAGEMENTS 2026'!P510,IF($H510="EN COURS DE PREENGAGEMENT",'ENGAGEMENTS 2026'!O510,IF($H510="PREENGAGE",IF($E510="ATTRIBUE",'ENGAGEMENTS 2026'!AE510,'ENGAGEMENTS 2026'!O510),'ENGAGEMENTS 2026'!AE510))))</f>
        <v/>
      </c>
      <c r="K510" s="604">
        <f>IF(ISBLANK('ENGAGEMENTS 2026'!W510),"",'ENGAGEMENTS 2026'!W510)</f>
        <v/>
      </c>
      <c r="L510" s="276">
        <f>IF($K510="","",TODAY()-$K510)</f>
        <v/>
      </c>
      <c r="M510">
        <f>IF($A510="","",IF($H510="ENGAGE","Engagé",IF(AND($H510="NON ENGAGE",OR($I510="INFRUCTUEUX",$I510="ANNULE")),"Clôturé sans suite","En cours")))</f>
        <v/>
      </c>
      <c r="N510">
        <f>IF(ISBLANK('ENGAGEMENTS 2026'!C510),"",'ENGAGEMENTS 2026'!L510)</f>
        <v/>
      </c>
      <c r="O510">
        <f>IF(ISBLANK('ENGAGEMENTS 2026'!C510),"",'ENGAGEMENTS 2026'!M510)</f>
        <v/>
      </c>
      <c r="P510">
        <f>IF(ISBLANK('ENGAGEMENTS 2026'!C510),"",'ENGAGEMENTS 2026'!K510)</f>
        <v/>
      </c>
      <c r="Q510">
        <f>IF($A510="","",IF(OR($E510="INFRUCTUEUX",$E510="ANNULE"),$A510&amp;"|"&amp;(COUNTIFS($A$2:$A510,$A510,$E$2:$E510,"INFRUCTUEUX")+COUNTIFS($A$2:$A510,$A510,$E$2:$E510,"ANNULE")),""))</f>
        <v/>
      </c>
    </row>
    <row r="511">
      <c r="A511">
        <f>IF(ISBLANK('ENGAGEMENTS 2026'!C511),"",IF('ENGAGEMENTS 2026'!C511="DTSI","DCT",'ENGAGEMENTS 2026'!C511))</f>
        <v/>
      </c>
      <c r="B511">
        <f>IF(ISBLANK('ENGAGEMENTS 2026'!C511),"",'ENGAGEMENTS 2026'!D511)</f>
        <v/>
      </c>
      <c r="C511">
        <f>IF(ISBLANK('ENGAGEMENTS 2026'!C511),"",'ENGAGEMENTS 2026'!E511)</f>
        <v/>
      </c>
      <c r="D511">
        <f>IF(ISBLANK('ENGAGEMENTS 2026'!C511),"",'ENGAGEMENTS 2026'!G511)</f>
        <v/>
      </c>
      <c r="E511">
        <f>IF(ISBLANK('ENGAGEMENTS 2026'!C511),"",'ENGAGEMENTS 2026'!I511)</f>
        <v/>
      </c>
      <c r="F511">
        <f>IF(ISBLANK('ENGAGEMENTS 2026'!C511),"",'ENGAGEMENTS 2026'!J511)</f>
        <v/>
      </c>
      <c r="G511">
        <f>IF(ISBLANK('ENGAGEMENTS 2026'!C511),"",'ENGAGEMENTS 2026'!M511)</f>
        <v/>
      </c>
      <c r="H511">
        <f>IF(ISBLANK('ENGAGEMENTS 2026'!C511),"",'ENGAGEMENTS 2026'!AF511)</f>
        <v/>
      </c>
      <c r="I511">
        <f>IF(ISBLANK('ENGAGEMENTS 2026'!C511),"",'ENGAGEMENTS 2026'!H511)</f>
        <v/>
      </c>
      <c r="J511" s="275">
        <f>IF(ISBLANK('ENGAGEMENTS 2026'!C511),"",IF(AND(OR($E511="INFRUCTUEUX",$E511="ANNULE"),$C511="AOO-M"),'ENGAGEMENTS 2026'!P511,IF($H511="EN COURS DE PREENGAGEMENT",'ENGAGEMENTS 2026'!O511,IF($H511="PREENGAGE",IF($E511="ATTRIBUE",'ENGAGEMENTS 2026'!AE511,'ENGAGEMENTS 2026'!O511),'ENGAGEMENTS 2026'!AE511))))</f>
        <v/>
      </c>
      <c r="K511" s="604">
        <f>IF(ISBLANK('ENGAGEMENTS 2026'!W511),"",'ENGAGEMENTS 2026'!W511)</f>
        <v/>
      </c>
      <c r="L511" s="276">
        <f>IF($K511="","",TODAY()-$K511)</f>
        <v/>
      </c>
      <c r="M511">
        <f>IF($A511="","",IF($H511="ENGAGE","Engagé",IF(AND($H511="NON ENGAGE",OR($I511="INFRUCTUEUX",$I511="ANNULE")),"Clôturé sans suite","En cours")))</f>
        <v/>
      </c>
      <c r="N511">
        <f>IF(ISBLANK('ENGAGEMENTS 2026'!C511),"",'ENGAGEMENTS 2026'!L511)</f>
        <v/>
      </c>
      <c r="O511">
        <f>IF(ISBLANK('ENGAGEMENTS 2026'!C511),"",'ENGAGEMENTS 2026'!M511)</f>
        <v/>
      </c>
      <c r="P511">
        <f>IF(ISBLANK('ENGAGEMENTS 2026'!C511),"",'ENGAGEMENTS 2026'!K511)</f>
        <v/>
      </c>
      <c r="Q511">
        <f>IF($A511="","",IF(OR($E511="INFRUCTUEUX",$E511="ANNULE"),$A511&amp;"|"&amp;(COUNTIFS($A$2:$A511,$A511,$E$2:$E511,"INFRUCTUEUX")+COUNTIFS($A$2:$A511,$A511,$E$2:$E511,"ANNULE")),""))</f>
        <v/>
      </c>
    </row>
    <row r="512">
      <c r="A512">
        <f>IF(ISBLANK('ENGAGEMENTS 2026'!C512),"",IF('ENGAGEMENTS 2026'!C512="DTSI","DCT",'ENGAGEMENTS 2026'!C512))</f>
        <v/>
      </c>
      <c r="B512">
        <f>IF(ISBLANK('ENGAGEMENTS 2026'!C512),"",'ENGAGEMENTS 2026'!D512)</f>
        <v/>
      </c>
      <c r="C512">
        <f>IF(ISBLANK('ENGAGEMENTS 2026'!C512),"",'ENGAGEMENTS 2026'!E512)</f>
        <v/>
      </c>
      <c r="D512">
        <f>IF(ISBLANK('ENGAGEMENTS 2026'!C512),"",'ENGAGEMENTS 2026'!G512)</f>
        <v/>
      </c>
      <c r="E512">
        <f>IF(ISBLANK('ENGAGEMENTS 2026'!C512),"",'ENGAGEMENTS 2026'!I512)</f>
        <v/>
      </c>
      <c r="F512">
        <f>IF(ISBLANK('ENGAGEMENTS 2026'!C512),"",'ENGAGEMENTS 2026'!J512)</f>
        <v/>
      </c>
      <c r="G512">
        <f>IF(ISBLANK('ENGAGEMENTS 2026'!C512),"",'ENGAGEMENTS 2026'!M512)</f>
        <v/>
      </c>
      <c r="H512">
        <f>IF(ISBLANK('ENGAGEMENTS 2026'!C512),"",'ENGAGEMENTS 2026'!AF512)</f>
        <v/>
      </c>
      <c r="I512">
        <f>IF(ISBLANK('ENGAGEMENTS 2026'!C512),"",'ENGAGEMENTS 2026'!H512)</f>
        <v/>
      </c>
      <c r="J512" s="275">
        <f>IF(ISBLANK('ENGAGEMENTS 2026'!C512),"",IF(AND(OR($E512="INFRUCTUEUX",$E512="ANNULE"),$C512="AOO-M"),'ENGAGEMENTS 2026'!P512,IF($H512="EN COURS DE PREENGAGEMENT",'ENGAGEMENTS 2026'!O512,IF($H512="PREENGAGE",IF($E512="ATTRIBUE",'ENGAGEMENTS 2026'!AE512,'ENGAGEMENTS 2026'!O512),'ENGAGEMENTS 2026'!AE512))))</f>
        <v/>
      </c>
      <c r="K512" s="604">
        <f>IF(ISBLANK('ENGAGEMENTS 2026'!W512),"",'ENGAGEMENTS 2026'!W512)</f>
        <v/>
      </c>
      <c r="L512" s="276">
        <f>IF($K512="","",TODAY()-$K512)</f>
        <v/>
      </c>
      <c r="M512">
        <f>IF($A512="","",IF($H512="ENGAGE","Engagé",IF(AND($H512="NON ENGAGE",OR($I512="INFRUCTUEUX",$I512="ANNULE")),"Clôturé sans suite","En cours")))</f>
        <v/>
      </c>
      <c r="N512">
        <f>IF(ISBLANK('ENGAGEMENTS 2026'!C512),"",'ENGAGEMENTS 2026'!L512)</f>
        <v/>
      </c>
      <c r="O512">
        <f>IF(ISBLANK('ENGAGEMENTS 2026'!C512),"",'ENGAGEMENTS 2026'!M512)</f>
        <v/>
      </c>
      <c r="P512">
        <f>IF(ISBLANK('ENGAGEMENTS 2026'!C512),"",'ENGAGEMENTS 2026'!K512)</f>
        <v/>
      </c>
      <c r="Q512">
        <f>IF($A512="","",IF(OR($E512="INFRUCTUEUX",$E512="ANNULE"),$A512&amp;"|"&amp;(COUNTIFS($A$2:$A512,$A512,$E$2:$E512,"INFRUCTUEUX")+COUNTIFS($A$2:$A512,$A512,$E$2:$E512,"ANNULE")),""))</f>
        <v/>
      </c>
    </row>
    <row r="513">
      <c r="A513">
        <f>IF(ISBLANK('ENGAGEMENTS 2026'!C513),"",IF('ENGAGEMENTS 2026'!C513="DTSI","DCT",'ENGAGEMENTS 2026'!C513))</f>
        <v/>
      </c>
      <c r="B513">
        <f>IF(ISBLANK('ENGAGEMENTS 2026'!C513),"",'ENGAGEMENTS 2026'!D513)</f>
        <v/>
      </c>
      <c r="C513">
        <f>IF(ISBLANK('ENGAGEMENTS 2026'!C513),"",'ENGAGEMENTS 2026'!E513)</f>
        <v/>
      </c>
      <c r="D513">
        <f>IF(ISBLANK('ENGAGEMENTS 2026'!C513),"",'ENGAGEMENTS 2026'!G513)</f>
        <v/>
      </c>
      <c r="E513">
        <f>IF(ISBLANK('ENGAGEMENTS 2026'!C513),"",'ENGAGEMENTS 2026'!I513)</f>
        <v/>
      </c>
      <c r="F513">
        <f>IF(ISBLANK('ENGAGEMENTS 2026'!C513),"",'ENGAGEMENTS 2026'!J513)</f>
        <v/>
      </c>
      <c r="G513">
        <f>IF(ISBLANK('ENGAGEMENTS 2026'!C513),"",'ENGAGEMENTS 2026'!M513)</f>
        <v/>
      </c>
      <c r="H513">
        <f>IF(ISBLANK('ENGAGEMENTS 2026'!C513),"",'ENGAGEMENTS 2026'!AF513)</f>
        <v/>
      </c>
      <c r="I513">
        <f>IF(ISBLANK('ENGAGEMENTS 2026'!C513),"",'ENGAGEMENTS 2026'!H513)</f>
        <v/>
      </c>
      <c r="J513" s="275">
        <f>IF(ISBLANK('ENGAGEMENTS 2026'!C513),"",IF(AND(OR($E513="INFRUCTUEUX",$E513="ANNULE"),$C513="AOO-M"),'ENGAGEMENTS 2026'!P513,IF($H513="EN COURS DE PREENGAGEMENT",'ENGAGEMENTS 2026'!O513,IF($H513="PREENGAGE",IF($E513="ATTRIBUE",'ENGAGEMENTS 2026'!AE513,'ENGAGEMENTS 2026'!O513),'ENGAGEMENTS 2026'!AE513))))</f>
        <v/>
      </c>
      <c r="K513" s="604">
        <f>IF(ISBLANK('ENGAGEMENTS 2026'!W513),"",'ENGAGEMENTS 2026'!W513)</f>
        <v/>
      </c>
      <c r="L513" s="276">
        <f>IF($K513="","",TODAY()-$K513)</f>
        <v/>
      </c>
      <c r="M513">
        <f>IF($A513="","",IF($H513="ENGAGE","Engagé",IF(AND($H513="NON ENGAGE",OR($I513="INFRUCTUEUX",$I513="ANNULE")),"Clôturé sans suite","En cours")))</f>
        <v/>
      </c>
      <c r="N513">
        <f>IF(ISBLANK('ENGAGEMENTS 2026'!C513),"",'ENGAGEMENTS 2026'!L513)</f>
        <v/>
      </c>
      <c r="O513">
        <f>IF(ISBLANK('ENGAGEMENTS 2026'!C513),"",'ENGAGEMENTS 2026'!M513)</f>
        <v/>
      </c>
      <c r="P513">
        <f>IF(ISBLANK('ENGAGEMENTS 2026'!C513),"",'ENGAGEMENTS 2026'!K513)</f>
        <v/>
      </c>
      <c r="Q513">
        <f>IF($A513="","",IF(OR($E513="INFRUCTUEUX",$E513="ANNULE"),$A513&amp;"|"&amp;(COUNTIFS($A$2:$A513,$A513,$E$2:$E513,"INFRUCTUEUX")+COUNTIFS($A$2:$A513,$A513,$E$2:$E513,"ANNULE")),""))</f>
        <v/>
      </c>
    </row>
    <row r="514">
      <c r="A514">
        <f>IF(ISBLANK('ENGAGEMENTS 2026'!C514),"",IF('ENGAGEMENTS 2026'!C514="DTSI","DCT",'ENGAGEMENTS 2026'!C514))</f>
        <v/>
      </c>
      <c r="B514">
        <f>IF(ISBLANK('ENGAGEMENTS 2026'!C514),"",'ENGAGEMENTS 2026'!D514)</f>
        <v/>
      </c>
      <c r="C514">
        <f>IF(ISBLANK('ENGAGEMENTS 2026'!C514),"",'ENGAGEMENTS 2026'!E514)</f>
        <v/>
      </c>
      <c r="D514">
        <f>IF(ISBLANK('ENGAGEMENTS 2026'!C514),"",'ENGAGEMENTS 2026'!G514)</f>
        <v/>
      </c>
      <c r="E514">
        <f>IF(ISBLANK('ENGAGEMENTS 2026'!C514),"",'ENGAGEMENTS 2026'!I514)</f>
        <v/>
      </c>
      <c r="F514">
        <f>IF(ISBLANK('ENGAGEMENTS 2026'!C514),"",'ENGAGEMENTS 2026'!J514)</f>
        <v/>
      </c>
      <c r="G514">
        <f>IF(ISBLANK('ENGAGEMENTS 2026'!C514),"",'ENGAGEMENTS 2026'!M514)</f>
        <v/>
      </c>
      <c r="H514">
        <f>IF(ISBLANK('ENGAGEMENTS 2026'!C514),"",'ENGAGEMENTS 2026'!AF514)</f>
        <v/>
      </c>
      <c r="I514">
        <f>IF(ISBLANK('ENGAGEMENTS 2026'!C514),"",'ENGAGEMENTS 2026'!H514)</f>
        <v/>
      </c>
      <c r="J514" s="275">
        <f>IF(ISBLANK('ENGAGEMENTS 2026'!C514),"",IF(AND(OR($E514="INFRUCTUEUX",$E514="ANNULE"),$C514="AOO-M"),'ENGAGEMENTS 2026'!P514,IF($H514="EN COURS DE PREENGAGEMENT",'ENGAGEMENTS 2026'!O514,IF($H514="PREENGAGE",IF($E514="ATTRIBUE",'ENGAGEMENTS 2026'!AE514,'ENGAGEMENTS 2026'!O514),'ENGAGEMENTS 2026'!AE514))))</f>
        <v/>
      </c>
      <c r="K514" s="604">
        <f>IF(ISBLANK('ENGAGEMENTS 2026'!W514),"",'ENGAGEMENTS 2026'!W514)</f>
        <v/>
      </c>
      <c r="L514" s="276">
        <f>IF($K514="","",TODAY()-$K514)</f>
        <v/>
      </c>
      <c r="M514">
        <f>IF($A514="","",IF($H514="ENGAGE","Engagé",IF(AND($H514="NON ENGAGE",OR($I514="INFRUCTUEUX",$I514="ANNULE")),"Clôturé sans suite","En cours")))</f>
        <v/>
      </c>
      <c r="N514">
        <f>IF(ISBLANK('ENGAGEMENTS 2026'!C514),"",'ENGAGEMENTS 2026'!L514)</f>
        <v/>
      </c>
      <c r="O514">
        <f>IF(ISBLANK('ENGAGEMENTS 2026'!C514),"",'ENGAGEMENTS 2026'!M514)</f>
        <v/>
      </c>
      <c r="P514">
        <f>IF(ISBLANK('ENGAGEMENTS 2026'!C514),"",'ENGAGEMENTS 2026'!K514)</f>
        <v/>
      </c>
      <c r="Q514">
        <f>IF($A514="","",IF(OR($E514="INFRUCTUEUX",$E514="ANNULE"),$A514&amp;"|"&amp;(COUNTIFS($A$2:$A514,$A514,$E$2:$E514,"INFRUCTUEUX")+COUNTIFS($A$2:$A514,$A514,$E$2:$E514,"ANNULE")),""))</f>
        <v/>
      </c>
    </row>
    <row r="515">
      <c r="A515">
        <f>IF(ISBLANK('ENGAGEMENTS 2026'!C515),"",IF('ENGAGEMENTS 2026'!C515="DTSI","DCT",'ENGAGEMENTS 2026'!C515))</f>
        <v/>
      </c>
      <c r="B515">
        <f>IF(ISBLANK('ENGAGEMENTS 2026'!C515),"",'ENGAGEMENTS 2026'!D515)</f>
        <v/>
      </c>
      <c r="C515">
        <f>IF(ISBLANK('ENGAGEMENTS 2026'!C515),"",'ENGAGEMENTS 2026'!E515)</f>
        <v/>
      </c>
      <c r="D515">
        <f>IF(ISBLANK('ENGAGEMENTS 2026'!C515),"",'ENGAGEMENTS 2026'!G515)</f>
        <v/>
      </c>
      <c r="E515">
        <f>IF(ISBLANK('ENGAGEMENTS 2026'!C515),"",'ENGAGEMENTS 2026'!I515)</f>
        <v/>
      </c>
      <c r="F515">
        <f>IF(ISBLANK('ENGAGEMENTS 2026'!C515),"",'ENGAGEMENTS 2026'!J515)</f>
        <v/>
      </c>
      <c r="G515">
        <f>IF(ISBLANK('ENGAGEMENTS 2026'!C515),"",'ENGAGEMENTS 2026'!M515)</f>
        <v/>
      </c>
      <c r="H515">
        <f>IF(ISBLANK('ENGAGEMENTS 2026'!C515),"",'ENGAGEMENTS 2026'!AF515)</f>
        <v/>
      </c>
      <c r="I515">
        <f>IF(ISBLANK('ENGAGEMENTS 2026'!C515),"",'ENGAGEMENTS 2026'!H515)</f>
        <v/>
      </c>
      <c r="J515" s="275">
        <f>IF(ISBLANK('ENGAGEMENTS 2026'!C515),"",IF(AND(OR($E515="INFRUCTUEUX",$E515="ANNULE"),$C515="AOO-M"),'ENGAGEMENTS 2026'!P515,IF($H515="EN COURS DE PREENGAGEMENT",'ENGAGEMENTS 2026'!O515,IF($H515="PREENGAGE",IF($E515="ATTRIBUE",'ENGAGEMENTS 2026'!AE515,'ENGAGEMENTS 2026'!O515),'ENGAGEMENTS 2026'!AE515))))</f>
        <v/>
      </c>
      <c r="K515" s="604">
        <f>IF(ISBLANK('ENGAGEMENTS 2026'!W515),"",'ENGAGEMENTS 2026'!W515)</f>
        <v/>
      </c>
      <c r="L515" s="276">
        <f>IF($K515="","",TODAY()-$K515)</f>
        <v/>
      </c>
      <c r="M515">
        <f>IF($A515="","",IF($H515="ENGAGE","Engagé",IF(AND($H515="NON ENGAGE",OR($I515="INFRUCTUEUX",$I515="ANNULE")),"Clôturé sans suite","En cours")))</f>
        <v/>
      </c>
      <c r="N515">
        <f>IF(ISBLANK('ENGAGEMENTS 2026'!C515),"",'ENGAGEMENTS 2026'!L515)</f>
        <v/>
      </c>
      <c r="O515">
        <f>IF(ISBLANK('ENGAGEMENTS 2026'!C515),"",'ENGAGEMENTS 2026'!M515)</f>
        <v/>
      </c>
      <c r="P515">
        <f>IF(ISBLANK('ENGAGEMENTS 2026'!C515),"",'ENGAGEMENTS 2026'!K515)</f>
        <v/>
      </c>
      <c r="Q515">
        <f>IF($A515="","",IF(OR($E515="INFRUCTUEUX",$E515="ANNULE"),$A515&amp;"|"&amp;(COUNTIFS($A$2:$A515,$A515,$E$2:$E515,"INFRUCTUEUX")+COUNTIFS($A$2:$A515,$A515,$E$2:$E515,"ANNULE")),""))</f>
        <v/>
      </c>
    </row>
    <row r="516">
      <c r="A516">
        <f>IF(ISBLANK('ENGAGEMENTS 2026'!C516),"",IF('ENGAGEMENTS 2026'!C516="DTSI","DCT",'ENGAGEMENTS 2026'!C516))</f>
        <v/>
      </c>
      <c r="B516">
        <f>IF(ISBLANK('ENGAGEMENTS 2026'!C516),"",'ENGAGEMENTS 2026'!D516)</f>
        <v/>
      </c>
      <c r="C516">
        <f>IF(ISBLANK('ENGAGEMENTS 2026'!C516),"",'ENGAGEMENTS 2026'!E516)</f>
        <v/>
      </c>
      <c r="D516">
        <f>IF(ISBLANK('ENGAGEMENTS 2026'!C516),"",'ENGAGEMENTS 2026'!G516)</f>
        <v/>
      </c>
      <c r="E516">
        <f>IF(ISBLANK('ENGAGEMENTS 2026'!C516),"",'ENGAGEMENTS 2026'!I516)</f>
        <v/>
      </c>
      <c r="F516">
        <f>IF(ISBLANK('ENGAGEMENTS 2026'!C516),"",'ENGAGEMENTS 2026'!J516)</f>
        <v/>
      </c>
      <c r="G516">
        <f>IF(ISBLANK('ENGAGEMENTS 2026'!C516),"",'ENGAGEMENTS 2026'!M516)</f>
        <v/>
      </c>
      <c r="H516">
        <f>IF(ISBLANK('ENGAGEMENTS 2026'!C516),"",'ENGAGEMENTS 2026'!AF516)</f>
        <v/>
      </c>
      <c r="I516">
        <f>IF(ISBLANK('ENGAGEMENTS 2026'!C516),"",'ENGAGEMENTS 2026'!H516)</f>
        <v/>
      </c>
      <c r="J516" s="275">
        <f>IF(ISBLANK('ENGAGEMENTS 2026'!C516),"",IF(AND(OR($E516="INFRUCTUEUX",$E516="ANNULE"),$C516="AOO-M"),'ENGAGEMENTS 2026'!P516,IF($H516="EN COURS DE PREENGAGEMENT",'ENGAGEMENTS 2026'!O516,IF($H516="PREENGAGE",IF($E516="ATTRIBUE",'ENGAGEMENTS 2026'!AE516,'ENGAGEMENTS 2026'!O516),'ENGAGEMENTS 2026'!AE516))))</f>
        <v/>
      </c>
      <c r="K516" s="604">
        <f>IF(ISBLANK('ENGAGEMENTS 2026'!W516),"",'ENGAGEMENTS 2026'!W516)</f>
        <v/>
      </c>
      <c r="L516" s="276">
        <f>IF($K516="","",TODAY()-$K516)</f>
        <v/>
      </c>
      <c r="M516">
        <f>IF($A516="","",IF($H516="ENGAGE","Engagé",IF(AND($H516="NON ENGAGE",OR($I516="INFRUCTUEUX",$I516="ANNULE")),"Clôturé sans suite","En cours")))</f>
        <v/>
      </c>
      <c r="N516">
        <f>IF(ISBLANK('ENGAGEMENTS 2026'!C516),"",'ENGAGEMENTS 2026'!L516)</f>
        <v/>
      </c>
      <c r="O516">
        <f>IF(ISBLANK('ENGAGEMENTS 2026'!C516),"",'ENGAGEMENTS 2026'!M516)</f>
        <v/>
      </c>
      <c r="P516">
        <f>IF(ISBLANK('ENGAGEMENTS 2026'!C516),"",'ENGAGEMENTS 2026'!K516)</f>
        <v/>
      </c>
      <c r="Q516">
        <f>IF($A516="","",IF(OR($E516="INFRUCTUEUX",$E516="ANNULE"),$A516&amp;"|"&amp;(COUNTIFS($A$2:$A516,$A516,$E$2:$E516,"INFRUCTUEUX")+COUNTIFS($A$2:$A516,$A516,$E$2:$E516,"ANNULE")),""))</f>
        <v/>
      </c>
    </row>
    <row r="517">
      <c r="A517">
        <f>IF(ISBLANK('ENGAGEMENTS 2026'!C517),"",IF('ENGAGEMENTS 2026'!C517="DTSI","DCT",'ENGAGEMENTS 2026'!C517))</f>
        <v/>
      </c>
      <c r="B517">
        <f>IF(ISBLANK('ENGAGEMENTS 2026'!C517),"",'ENGAGEMENTS 2026'!D517)</f>
        <v/>
      </c>
      <c r="C517">
        <f>IF(ISBLANK('ENGAGEMENTS 2026'!C517),"",'ENGAGEMENTS 2026'!E517)</f>
        <v/>
      </c>
      <c r="D517">
        <f>IF(ISBLANK('ENGAGEMENTS 2026'!C517),"",'ENGAGEMENTS 2026'!G517)</f>
        <v/>
      </c>
      <c r="E517">
        <f>IF(ISBLANK('ENGAGEMENTS 2026'!C517),"",'ENGAGEMENTS 2026'!I517)</f>
        <v/>
      </c>
      <c r="F517">
        <f>IF(ISBLANK('ENGAGEMENTS 2026'!C517),"",'ENGAGEMENTS 2026'!J517)</f>
        <v/>
      </c>
      <c r="G517">
        <f>IF(ISBLANK('ENGAGEMENTS 2026'!C517),"",'ENGAGEMENTS 2026'!M517)</f>
        <v/>
      </c>
      <c r="H517">
        <f>IF(ISBLANK('ENGAGEMENTS 2026'!C517),"",'ENGAGEMENTS 2026'!AF517)</f>
        <v/>
      </c>
      <c r="I517">
        <f>IF(ISBLANK('ENGAGEMENTS 2026'!C517),"",'ENGAGEMENTS 2026'!H517)</f>
        <v/>
      </c>
      <c r="J517" s="275">
        <f>IF(ISBLANK('ENGAGEMENTS 2026'!C517),"",IF(AND(OR($E517="INFRUCTUEUX",$E517="ANNULE"),$C517="AOO-M"),'ENGAGEMENTS 2026'!P517,IF($H517="EN COURS DE PREENGAGEMENT",'ENGAGEMENTS 2026'!O517,IF($H517="PREENGAGE",IF($E517="ATTRIBUE",'ENGAGEMENTS 2026'!AE517,'ENGAGEMENTS 2026'!O517),'ENGAGEMENTS 2026'!AE517))))</f>
        <v/>
      </c>
      <c r="K517" s="604">
        <f>IF(ISBLANK('ENGAGEMENTS 2026'!W517),"",'ENGAGEMENTS 2026'!W517)</f>
        <v/>
      </c>
      <c r="L517" s="276">
        <f>IF($K517="","",TODAY()-$K517)</f>
        <v/>
      </c>
      <c r="M517">
        <f>IF($A517="","",IF($H517="ENGAGE","Engagé",IF(AND($H517="NON ENGAGE",OR($I517="INFRUCTUEUX",$I517="ANNULE")),"Clôturé sans suite","En cours")))</f>
        <v/>
      </c>
      <c r="N517">
        <f>IF(ISBLANK('ENGAGEMENTS 2026'!C517),"",'ENGAGEMENTS 2026'!L517)</f>
        <v/>
      </c>
      <c r="O517">
        <f>IF(ISBLANK('ENGAGEMENTS 2026'!C517),"",'ENGAGEMENTS 2026'!M517)</f>
        <v/>
      </c>
      <c r="P517">
        <f>IF(ISBLANK('ENGAGEMENTS 2026'!C517),"",'ENGAGEMENTS 2026'!K517)</f>
        <v/>
      </c>
      <c r="Q517">
        <f>IF($A517="","",IF(OR($E517="INFRUCTUEUX",$E517="ANNULE"),$A517&amp;"|"&amp;(COUNTIFS($A$2:$A517,$A517,$E$2:$E517,"INFRUCTUEUX")+COUNTIFS($A$2:$A517,$A517,$E$2:$E517,"ANNULE")),""))</f>
        <v/>
      </c>
    </row>
    <row r="518">
      <c r="A518">
        <f>IF(ISBLANK('ENGAGEMENTS 2026'!C518),"",IF('ENGAGEMENTS 2026'!C518="DTSI","DCT",'ENGAGEMENTS 2026'!C518))</f>
        <v/>
      </c>
      <c r="B518">
        <f>IF(ISBLANK('ENGAGEMENTS 2026'!C518),"",'ENGAGEMENTS 2026'!D518)</f>
        <v/>
      </c>
      <c r="C518">
        <f>IF(ISBLANK('ENGAGEMENTS 2026'!C518),"",'ENGAGEMENTS 2026'!E518)</f>
        <v/>
      </c>
      <c r="D518">
        <f>IF(ISBLANK('ENGAGEMENTS 2026'!C518),"",'ENGAGEMENTS 2026'!G518)</f>
        <v/>
      </c>
      <c r="E518">
        <f>IF(ISBLANK('ENGAGEMENTS 2026'!C518),"",'ENGAGEMENTS 2026'!I518)</f>
        <v/>
      </c>
      <c r="F518">
        <f>IF(ISBLANK('ENGAGEMENTS 2026'!C518),"",'ENGAGEMENTS 2026'!J518)</f>
        <v/>
      </c>
      <c r="G518">
        <f>IF(ISBLANK('ENGAGEMENTS 2026'!C518),"",'ENGAGEMENTS 2026'!M518)</f>
        <v/>
      </c>
      <c r="H518">
        <f>IF(ISBLANK('ENGAGEMENTS 2026'!C518),"",'ENGAGEMENTS 2026'!AF518)</f>
        <v/>
      </c>
      <c r="I518">
        <f>IF(ISBLANK('ENGAGEMENTS 2026'!C518),"",'ENGAGEMENTS 2026'!H518)</f>
        <v/>
      </c>
      <c r="J518" s="275">
        <f>IF(ISBLANK('ENGAGEMENTS 2026'!C518),"",IF(AND(OR($E518="INFRUCTUEUX",$E518="ANNULE"),$C518="AOO-M"),'ENGAGEMENTS 2026'!P518,IF($H518="EN COURS DE PREENGAGEMENT",'ENGAGEMENTS 2026'!O518,IF($H518="PREENGAGE",IF($E518="ATTRIBUE",'ENGAGEMENTS 2026'!AE518,'ENGAGEMENTS 2026'!O518),'ENGAGEMENTS 2026'!AE518))))</f>
        <v/>
      </c>
      <c r="K518" s="604">
        <f>IF(ISBLANK('ENGAGEMENTS 2026'!W518),"",'ENGAGEMENTS 2026'!W518)</f>
        <v/>
      </c>
      <c r="L518" s="276">
        <f>IF($K518="","",TODAY()-$K518)</f>
        <v/>
      </c>
      <c r="M518">
        <f>IF($A518="","",IF($H518="ENGAGE","Engagé",IF(AND($H518="NON ENGAGE",OR($I518="INFRUCTUEUX",$I518="ANNULE")),"Clôturé sans suite","En cours")))</f>
        <v/>
      </c>
      <c r="N518">
        <f>IF(ISBLANK('ENGAGEMENTS 2026'!C518),"",'ENGAGEMENTS 2026'!L518)</f>
        <v/>
      </c>
      <c r="O518">
        <f>IF(ISBLANK('ENGAGEMENTS 2026'!C518),"",'ENGAGEMENTS 2026'!M518)</f>
        <v/>
      </c>
      <c r="P518">
        <f>IF(ISBLANK('ENGAGEMENTS 2026'!C518),"",'ENGAGEMENTS 2026'!K518)</f>
        <v/>
      </c>
      <c r="Q518">
        <f>IF($A518="","",IF(OR($E518="INFRUCTUEUX",$E518="ANNULE"),$A518&amp;"|"&amp;(COUNTIFS($A$2:$A518,$A518,$E$2:$E518,"INFRUCTUEUX")+COUNTIFS($A$2:$A518,$A518,$E$2:$E518,"ANNULE")),""))</f>
        <v/>
      </c>
    </row>
    <row r="519">
      <c r="A519">
        <f>IF(ISBLANK('ENGAGEMENTS 2026'!C519),"",IF('ENGAGEMENTS 2026'!C519="DTSI","DCT",'ENGAGEMENTS 2026'!C519))</f>
        <v/>
      </c>
      <c r="B519">
        <f>IF(ISBLANK('ENGAGEMENTS 2026'!C519),"",'ENGAGEMENTS 2026'!D519)</f>
        <v/>
      </c>
      <c r="C519">
        <f>IF(ISBLANK('ENGAGEMENTS 2026'!C519),"",'ENGAGEMENTS 2026'!E519)</f>
        <v/>
      </c>
      <c r="D519">
        <f>IF(ISBLANK('ENGAGEMENTS 2026'!C519),"",'ENGAGEMENTS 2026'!G519)</f>
        <v/>
      </c>
      <c r="E519">
        <f>IF(ISBLANK('ENGAGEMENTS 2026'!C519),"",'ENGAGEMENTS 2026'!I519)</f>
        <v/>
      </c>
      <c r="F519">
        <f>IF(ISBLANK('ENGAGEMENTS 2026'!C519),"",'ENGAGEMENTS 2026'!J519)</f>
        <v/>
      </c>
      <c r="G519">
        <f>IF(ISBLANK('ENGAGEMENTS 2026'!C519),"",'ENGAGEMENTS 2026'!M519)</f>
        <v/>
      </c>
      <c r="H519">
        <f>IF(ISBLANK('ENGAGEMENTS 2026'!C519),"",'ENGAGEMENTS 2026'!AF519)</f>
        <v/>
      </c>
      <c r="I519">
        <f>IF(ISBLANK('ENGAGEMENTS 2026'!C519),"",'ENGAGEMENTS 2026'!H519)</f>
        <v/>
      </c>
      <c r="J519" s="275">
        <f>IF(ISBLANK('ENGAGEMENTS 2026'!C519),"",IF(AND(OR($E519="INFRUCTUEUX",$E519="ANNULE"),$C519="AOO-M"),'ENGAGEMENTS 2026'!P519,IF($H519="EN COURS DE PREENGAGEMENT",'ENGAGEMENTS 2026'!O519,IF($H519="PREENGAGE",IF($E519="ATTRIBUE",'ENGAGEMENTS 2026'!AE519,'ENGAGEMENTS 2026'!O519),'ENGAGEMENTS 2026'!AE519))))</f>
        <v/>
      </c>
      <c r="K519" s="604">
        <f>IF(ISBLANK('ENGAGEMENTS 2026'!W519),"",'ENGAGEMENTS 2026'!W519)</f>
        <v/>
      </c>
      <c r="L519" s="276">
        <f>IF($K519="","",TODAY()-$K519)</f>
        <v/>
      </c>
      <c r="M519">
        <f>IF($A519="","",IF($H519="ENGAGE","Engagé",IF(AND($H519="NON ENGAGE",OR($I519="INFRUCTUEUX",$I519="ANNULE")),"Clôturé sans suite","En cours")))</f>
        <v/>
      </c>
      <c r="N519">
        <f>IF(ISBLANK('ENGAGEMENTS 2026'!C519),"",'ENGAGEMENTS 2026'!L519)</f>
        <v/>
      </c>
      <c r="O519">
        <f>IF(ISBLANK('ENGAGEMENTS 2026'!C519),"",'ENGAGEMENTS 2026'!M519)</f>
        <v/>
      </c>
      <c r="P519">
        <f>IF(ISBLANK('ENGAGEMENTS 2026'!C519),"",'ENGAGEMENTS 2026'!K519)</f>
        <v/>
      </c>
      <c r="Q519">
        <f>IF($A519="","",IF(OR($E519="INFRUCTUEUX",$E519="ANNULE"),$A519&amp;"|"&amp;(COUNTIFS($A$2:$A519,$A519,$E$2:$E519,"INFRUCTUEUX")+COUNTIFS($A$2:$A519,$A519,$E$2:$E519,"ANNULE")),""))</f>
        <v/>
      </c>
    </row>
    <row r="520">
      <c r="A520">
        <f>IF(ISBLANK('ENGAGEMENTS 2026'!C520),"",IF('ENGAGEMENTS 2026'!C520="DTSI","DCT",'ENGAGEMENTS 2026'!C520))</f>
        <v/>
      </c>
      <c r="B520">
        <f>IF(ISBLANK('ENGAGEMENTS 2026'!C520),"",'ENGAGEMENTS 2026'!D520)</f>
        <v/>
      </c>
      <c r="C520">
        <f>IF(ISBLANK('ENGAGEMENTS 2026'!C520),"",'ENGAGEMENTS 2026'!E520)</f>
        <v/>
      </c>
      <c r="D520">
        <f>IF(ISBLANK('ENGAGEMENTS 2026'!C520),"",'ENGAGEMENTS 2026'!G520)</f>
        <v/>
      </c>
      <c r="E520">
        <f>IF(ISBLANK('ENGAGEMENTS 2026'!C520),"",'ENGAGEMENTS 2026'!I520)</f>
        <v/>
      </c>
      <c r="F520">
        <f>IF(ISBLANK('ENGAGEMENTS 2026'!C520),"",'ENGAGEMENTS 2026'!J520)</f>
        <v/>
      </c>
      <c r="G520">
        <f>IF(ISBLANK('ENGAGEMENTS 2026'!C520),"",'ENGAGEMENTS 2026'!M520)</f>
        <v/>
      </c>
      <c r="H520">
        <f>IF(ISBLANK('ENGAGEMENTS 2026'!C520),"",'ENGAGEMENTS 2026'!AF520)</f>
        <v/>
      </c>
      <c r="I520">
        <f>IF(ISBLANK('ENGAGEMENTS 2026'!C520),"",'ENGAGEMENTS 2026'!H520)</f>
        <v/>
      </c>
      <c r="J520" s="275">
        <f>IF(ISBLANK('ENGAGEMENTS 2026'!C520),"",IF(AND(OR($E520="INFRUCTUEUX",$E520="ANNULE"),$C520="AOO-M"),'ENGAGEMENTS 2026'!P520,IF($H520="EN COURS DE PREENGAGEMENT",'ENGAGEMENTS 2026'!O520,IF($H520="PREENGAGE",IF($E520="ATTRIBUE",'ENGAGEMENTS 2026'!AE520,'ENGAGEMENTS 2026'!O520),'ENGAGEMENTS 2026'!AE520))))</f>
        <v/>
      </c>
      <c r="K520" s="604">
        <f>IF(ISBLANK('ENGAGEMENTS 2026'!W520),"",'ENGAGEMENTS 2026'!W520)</f>
        <v/>
      </c>
      <c r="L520" s="276">
        <f>IF($K520="","",TODAY()-$K520)</f>
        <v/>
      </c>
      <c r="M520">
        <f>IF($A520="","",IF($H520="ENGAGE","Engagé",IF(AND($H520="NON ENGAGE",OR($I520="INFRUCTUEUX",$I520="ANNULE")),"Clôturé sans suite","En cours")))</f>
        <v/>
      </c>
      <c r="N520">
        <f>IF(ISBLANK('ENGAGEMENTS 2026'!C520),"",'ENGAGEMENTS 2026'!L520)</f>
        <v/>
      </c>
      <c r="O520">
        <f>IF(ISBLANK('ENGAGEMENTS 2026'!C520),"",'ENGAGEMENTS 2026'!M520)</f>
        <v/>
      </c>
      <c r="P520">
        <f>IF(ISBLANK('ENGAGEMENTS 2026'!C520),"",'ENGAGEMENTS 2026'!K520)</f>
        <v/>
      </c>
      <c r="Q520">
        <f>IF($A520="","",IF(OR($E520="INFRUCTUEUX",$E520="ANNULE"),$A520&amp;"|"&amp;(COUNTIFS($A$2:$A520,$A520,$E$2:$E520,"INFRUCTUEUX")+COUNTIFS($A$2:$A520,$A520,$E$2:$E520,"ANNULE")),""))</f>
        <v/>
      </c>
    </row>
    <row r="521">
      <c r="A521">
        <f>IF(ISBLANK('ENGAGEMENTS 2026'!C521),"",IF('ENGAGEMENTS 2026'!C521="DTSI","DCT",'ENGAGEMENTS 2026'!C521))</f>
        <v/>
      </c>
      <c r="B521">
        <f>IF(ISBLANK('ENGAGEMENTS 2026'!C521),"",'ENGAGEMENTS 2026'!D521)</f>
        <v/>
      </c>
      <c r="C521">
        <f>IF(ISBLANK('ENGAGEMENTS 2026'!C521),"",'ENGAGEMENTS 2026'!E521)</f>
        <v/>
      </c>
      <c r="D521">
        <f>IF(ISBLANK('ENGAGEMENTS 2026'!C521),"",'ENGAGEMENTS 2026'!G521)</f>
        <v/>
      </c>
      <c r="E521">
        <f>IF(ISBLANK('ENGAGEMENTS 2026'!C521),"",'ENGAGEMENTS 2026'!I521)</f>
        <v/>
      </c>
      <c r="F521">
        <f>IF(ISBLANK('ENGAGEMENTS 2026'!C521),"",'ENGAGEMENTS 2026'!J521)</f>
        <v/>
      </c>
      <c r="G521">
        <f>IF(ISBLANK('ENGAGEMENTS 2026'!C521),"",'ENGAGEMENTS 2026'!M521)</f>
        <v/>
      </c>
      <c r="H521">
        <f>IF(ISBLANK('ENGAGEMENTS 2026'!C521),"",'ENGAGEMENTS 2026'!AF521)</f>
        <v/>
      </c>
      <c r="I521">
        <f>IF(ISBLANK('ENGAGEMENTS 2026'!C521),"",'ENGAGEMENTS 2026'!H521)</f>
        <v/>
      </c>
      <c r="J521" s="275">
        <f>IF(ISBLANK('ENGAGEMENTS 2026'!C521),"",IF(AND(OR($E521="INFRUCTUEUX",$E521="ANNULE"),$C521="AOO-M"),'ENGAGEMENTS 2026'!P521,IF($H521="EN COURS DE PREENGAGEMENT",'ENGAGEMENTS 2026'!O521,IF($H521="PREENGAGE",IF($E521="ATTRIBUE",'ENGAGEMENTS 2026'!AE521,'ENGAGEMENTS 2026'!O521),'ENGAGEMENTS 2026'!AE521))))</f>
        <v/>
      </c>
      <c r="K521" s="604">
        <f>IF(ISBLANK('ENGAGEMENTS 2026'!W521),"",'ENGAGEMENTS 2026'!W521)</f>
        <v/>
      </c>
      <c r="L521" s="276">
        <f>IF($K521="","",TODAY()-$K521)</f>
        <v/>
      </c>
      <c r="M521">
        <f>IF($A521="","",IF($H521="ENGAGE","Engagé",IF(AND($H521="NON ENGAGE",OR($I521="INFRUCTUEUX",$I521="ANNULE")),"Clôturé sans suite","En cours")))</f>
        <v/>
      </c>
      <c r="N521">
        <f>IF(ISBLANK('ENGAGEMENTS 2026'!C521),"",'ENGAGEMENTS 2026'!L521)</f>
        <v/>
      </c>
      <c r="O521">
        <f>IF(ISBLANK('ENGAGEMENTS 2026'!C521),"",'ENGAGEMENTS 2026'!M521)</f>
        <v/>
      </c>
      <c r="P521">
        <f>IF(ISBLANK('ENGAGEMENTS 2026'!C521),"",'ENGAGEMENTS 2026'!K521)</f>
        <v/>
      </c>
      <c r="Q521">
        <f>IF($A521="","",IF(OR($E521="INFRUCTUEUX",$E521="ANNULE"),$A521&amp;"|"&amp;(COUNTIFS($A$2:$A521,$A521,$E$2:$E521,"INFRUCTUEUX")+COUNTIFS($A$2:$A521,$A521,$E$2:$E521,"ANNULE")),""))</f>
        <v/>
      </c>
    </row>
    <row r="522">
      <c r="A522">
        <f>IF(ISBLANK('ENGAGEMENTS 2026'!C522),"",IF('ENGAGEMENTS 2026'!C522="DTSI","DCT",'ENGAGEMENTS 2026'!C522))</f>
        <v/>
      </c>
      <c r="B522">
        <f>IF(ISBLANK('ENGAGEMENTS 2026'!C522),"",'ENGAGEMENTS 2026'!D522)</f>
        <v/>
      </c>
      <c r="C522">
        <f>IF(ISBLANK('ENGAGEMENTS 2026'!C522),"",'ENGAGEMENTS 2026'!E522)</f>
        <v/>
      </c>
      <c r="D522">
        <f>IF(ISBLANK('ENGAGEMENTS 2026'!C522),"",'ENGAGEMENTS 2026'!G522)</f>
        <v/>
      </c>
      <c r="E522">
        <f>IF(ISBLANK('ENGAGEMENTS 2026'!C522),"",'ENGAGEMENTS 2026'!I522)</f>
        <v/>
      </c>
      <c r="F522">
        <f>IF(ISBLANK('ENGAGEMENTS 2026'!C522),"",'ENGAGEMENTS 2026'!J522)</f>
        <v/>
      </c>
      <c r="G522">
        <f>IF(ISBLANK('ENGAGEMENTS 2026'!C522),"",'ENGAGEMENTS 2026'!M522)</f>
        <v/>
      </c>
      <c r="H522">
        <f>IF(ISBLANK('ENGAGEMENTS 2026'!C522),"",'ENGAGEMENTS 2026'!AF522)</f>
        <v/>
      </c>
      <c r="I522">
        <f>IF(ISBLANK('ENGAGEMENTS 2026'!C522),"",'ENGAGEMENTS 2026'!H522)</f>
        <v/>
      </c>
      <c r="J522" s="275">
        <f>IF(ISBLANK('ENGAGEMENTS 2026'!C522),"",IF(AND(OR($E522="INFRUCTUEUX",$E522="ANNULE"),$C522="AOO-M"),'ENGAGEMENTS 2026'!P522,IF($H522="EN COURS DE PREENGAGEMENT",'ENGAGEMENTS 2026'!O522,IF($H522="PREENGAGE",IF($E522="ATTRIBUE",'ENGAGEMENTS 2026'!AE522,'ENGAGEMENTS 2026'!O522),'ENGAGEMENTS 2026'!AE522))))</f>
        <v/>
      </c>
      <c r="K522" s="604">
        <f>IF(ISBLANK('ENGAGEMENTS 2026'!W522),"",'ENGAGEMENTS 2026'!W522)</f>
        <v/>
      </c>
      <c r="L522" s="276">
        <f>IF($K522="","",TODAY()-$K522)</f>
        <v/>
      </c>
      <c r="M522">
        <f>IF($A522="","",IF($H522="ENGAGE","Engagé",IF(AND($H522="NON ENGAGE",OR($I522="INFRUCTUEUX",$I522="ANNULE")),"Clôturé sans suite","En cours")))</f>
        <v/>
      </c>
      <c r="N522">
        <f>IF(ISBLANK('ENGAGEMENTS 2026'!C522),"",'ENGAGEMENTS 2026'!L522)</f>
        <v/>
      </c>
      <c r="O522">
        <f>IF(ISBLANK('ENGAGEMENTS 2026'!C522),"",'ENGAGEMENTS 2026'!M522)</f>
        <v/>
      </c>
      <c r="P522">
        <f>IF(ISBLANK('ENGAGEMENTS 2026'!C522),"",'ENGAGEMENTS 2026'!K522)</f>
        <v/>
      </c>
      <c r="Q522">
        <f>IF($A522="","",IF(OR($E522="INFRUCTUEUX",$E522="ANNULE"),$A522&amp;"|"&amp;(COUNTIFS($A$2:$A522,$A522,$E$2:$E522,"INFRUCTUEUX")+COUNTIFS($A$2:$A522,$A522,$E$2:$E522,"ANNULE")),""))</f>
        <v/>
      </c>
    </row>
    <row r="523">
      <c r="A523">
        <f>IF(ISBLANK('ENGAGEMENTS 2026'!C523),"",IF('ENGAGEMENTS 2026'!C523="DTSI","DCT",'ENGAGEMENTS 2026'!C523))</f>
        <v/>
      </c>
      <c r="B523">
        <f>IF(ISBLANK('ENGAGEMENTS 2026'!C523),"",'ENGAGEMENTS 2026'!D523)</f>
        <v/>
      </c>
      <c r="C523">
        <f>IF(ISBLANK('ENGAGEMENTS 2026'!C523),"",'ENGAGEMENTS 2026'!E523)</f>
        <v/>
      </c>
      <c r="D523">
        <f>IF(ISBLANK('ENGAGEMENTS 2026'!C523),"",'ENGAGEMENTS 2026'!G523)</f>
        <v/>
      </c>
      <c r="E523">
        <f>IF(ISBLANK('ENGAGEMENTS 2026'!C523),"",'ENGAGEMENTS 2026'!I523)</f>
        <v/>
      </c>
      <c r="F523">
        <f>IF(ISBLANK('ENGAGEMENTS 2026'!C523),"",'ENGAGEMENTS 2026'!J523)</f>
        <v/>
      </c>
      <c r="G523">
        <f>IF(ISBLANK('ENGAGEMENTS 2026'!C523),"",'ENGAGEMENTS 2026'!M523)</f>
        <v/>
      </c>
      <c r="H523">
        <f>IF(ISBLANK('ENGAGEMENTS 2026'!C523),"",'ENGAGEMENTS 2026'!AF523)</f>
        <v/>
      </c>
      <c r="I523">
        <f>IF(ISBLANK('ENGAGEMENTS 2026'!C523),"",'ENGAGEMENTS 2026'!H523)</f>
        <v/>
      </c>
      <c r="J523" s="275">
        <f>IF(ISBLANK('ENGAGEMENTS 2026'!C523),"",IF(AND(OR($E523="INFRUCTUEUX",$E523="ANNULE"),$C523="AOO-M"),'ENGAGEMENTS 2026'!P523,IF($H523="EN COURS DE PREENGAGEMENT",'ENGAGEMENTS 2026'!O523,IF($H523="PREENGAGE",IF($E523="ATTRIBUE",'ENGAGEMENTS 2026'!AE523,'ENGAGEMENTS 2026'!O523),'ENGAGEMENTS 2026'!AE523))))</f>
        <v/>
      </c>
      <c r="K523" s="604">
        <f>IF(ISBLANK('ENGAGEMENTS 2026'!W523),"",'ENGAGEMENTS 2026'!W523)</f>
        <v/>
      </c>
      <c r="L523" s="276">
        <f>IF($K523="","",TODAY()-$K523)</f>
        <v/>
      </c>
      <c r="M523">
        <f>IF($A523="","",IF($H523="ENGAGE","Engagé",IF(AND($H523="NON ENGAGE",OR($I523="INFRUCTUEUX",$I523="ANNULE")),"Clôturé sans suite","En cours")))</f>
        <v/>
      </c>
      <c r="N523">
        <f>IF(ISBLANK('ENGAGEMENTS 2026'!C523),"",'ENGAGEMENTS 2026'!L523)</f>
        <v/>
      </c>
      <c r="O523">
        <f>IF(ISBLANK('ENGAGEMENTS 2026'!C523),"",'ENGAGEMENTS 2026'!M523)</f>
        <v/>
      </c>
      <c r="P523">
        <f>IF(ISBLANK('ENGAGEMENTS 2026'!C523),"",'ENGAGEMENTS 2026'!K523)</f>
        <v/>
      </c>
      <c r="Q523">
        <f>IF($A523="","",IF(OR($E523="INFRUCTUEUX",$E523="ANNULE"),$A523&amp;"|"&amp;(COUNTIFS($A$2:$A523,$A523,$E$2:$E523,"INFRUCTUEUX")+COUNTIFS($A$2:$A523,$A523,$E$2:$E523,"ANNULE")),""))</f>
        <v/>
      </c>
    </row>
    <row r="524">
      <c r="A524">
        <f>IF(ISBLANK('ENGAGEMENTS 2026'!C524),"",IF('ENGAGEMENTS 2026'!C524="DTSI","DCT",'ENGAGEMENTS 2026'!C524))</f>
        <v/>
      </c>
      <c r="B524">
        <f>IF(ISBLANK('ENGAGEMENTS 2026'!C524),"",'ENGAGEMENTS 2026'!D524)</f>
        <v/>
      </c>
      <c r="C524">
        <f>IF(ISBLANK('ENGAGEMENTS 2026'!C524),"",'ENGAGEMENTS 2026'!E524)</f>
        <v/>
      </c>
      <c r="D524">
        <f>IF(ISBLANK('ENGAGEMENTS 2026'!C524),"",'ENGAGEMENTS 2026'!G524)</f>
        <v/>
      </c>
      <c r="E524">
        <f>IF(ISBLANK('ENGAGEMENTS 2026'!C524),"",'ENGAGEMENTS 2026'!I524)</f>
        <v/>
      </c>
      <c r="F524">
        <f>IF(ISBLANK('ENGAGEMENTS 2026'!C524),"",'ENGAGEMENTS 2026'!J524)</f>
        <v/>
      </c>
      <c r="G524">
        <f>IF(ISBLANK('ENGAGEMENTS 2026'!C524),"",'ENGAGEMENTS 2026'!M524)</f>
        <v/>
      </c>
      <c r="H524">
        <f>IF(ISBLANK('ENGAGEMENTS 2026'!C524),"",'ENGAGEMENTS 2026'!AF524)</f>
        <v/>
      </c>
      <c r="I524">
        <f>IF(ISBLANK('ENGAGEMENTS 2026'!C524),"",'ENGAGEMENTS 2026'!H524)</f>
        <v/>
      </c>
      <c r="J524" s="275">
        <f>IF(ISBLANK('ENGAGEMENTS 2026'!C524),"",IF(AND(OR($E524="INFRUCTUEUX",$E524="ANNULE"),$C524="AOO-M"),'ENGAGEMENTS 2026'!P524,IF($H524="EN COURS DE PREENGAGEMENT",'ENGAGEMENTS 2026'!O524,IF($H524="PREENGAGE",IF($E524="ATTRIBUE",'ENGAGEMENTS 2026'!AE524,'ENGAGEMENTS 2026'!O524),'ENGAGEMENTS 2026'!AE524))))</f>
        <v/>
      </c>
      <c r="K524" s="604">
        <f>IF(ISBLANK('ENGAGEMENTS 2026'!W524),"",'ENGAGEMENTS 2026'!W524)</f>
        <v/>
      </c>
      <c r="L524" s="276">
        <f>IF($K524="","",TODAY()-$K524)</f>
        <v/>
      </c>
      <c r="M524">
        <f>IF($A524="","",IF($H524="ENGAGE","Engagé",IF(AND($H524="NON ENGAGE",OR($I524="INFRUCTUEUX",$I524="ANNULE")),"Clôturé sans suite","En cours")))</f>
        <v/>
      </c>
      <c r="N524">
        <f>IF(ISBLANK('ENGAGEMENTS 2026'!C524),"",'ENGAGEMENTS 2026'!L524)</f>
        <v/>
      </c>
      <c r="O524">
        <f>IF(ISBLANK('ENGAGEMENTS 2026'!C524),"",'ENGAGEMENTS 2026'!M524)</f>
        <v/>
      </c>
      <c r="P524">
        <f>IF(ISBLANK('ENGAGEMENTS 2026'!C524),"",'ENGAGEMENTS 2026'!K524)</f>
        <v/>
      </c>
      <c r="Q524">
        <f>IF($A524="","",IF(OR($E524="INFRUCTUEUX",$E524="ANNULE"),$A524&amp;"|"&amp;(COUNTIFS($A$2:$A524,$A524,$E$2:$E524,"INFRUCTUEUX")+COUNTIFS($A$2:$A524,$A524,$E$2:$E524,"ANNULE")),""))</f>
        <v/>
      </c>
    </row>
    <row r="525">
      <c r="A525">
        <f>IF(ISBLANK('ENGAGEMENTS 2026'!C525),"",IF('ENGAGEMENTS 2026'!C525="DTSI","DCT",'ENGAGEMENTS 2026'!C525))</f>
        <v/>
      </c>
      <c r="B525">
        <f>IF(ISBLANK('ENGAGEMENTS 2026'!C525),"",'ENGAGEMENTS 2026'!D525)</f>
        <v/>
      </c>
      <c r="C525">
        <f>IF(ISBLANK('ENGAGEMENTS 2026'!C525),"",'ENGAGEMENTS 2026'!E525)</f>
        <v/>
      </c>
      <c r="D525">
        <f>IF(ISBLANK('ENGAGEMENTS 2026'!C525),"",'ENGAGEMENTS 2026'!G525)</f>
        <v/>
      </c>
      <c r="E525">
        <f>IF(ISBLANK('ENGAGEMENTS 2026'!C525),"",'ENGAGEMENTS 2026'!I525)</f>
        <v/>
      </c>
      <c r="F525">
        <f>IF(ISBLANK('ENGAGEMENTS 2026'!C525),"",'ENGAGEMENTS 2026'!J525)</f>
        <v/>
      </c>
      <c r="G525">
        <f>IF(ISBLANK('ENGAGEMENTS 2026'!C525),"",'ENGAGEMENTS 2026'!M525)</f>
        <v/>
      </c>
      <c r="H525">
        <f>IF(ISBLANK('ENGAGEMENTS 2026'!C525),"",'ENGAGEMENTS 2026'!AF525)</f>
        <v/>
      </c>
      <c r="I525">
        <f>IF(ISBLANK('ENGAGEMENTS 2026'!C525),"",'ENGAGEMENTS 2026'!H525)</f>
        <v/>
      </c>
      <c r="J525" s="275">
        <f>IF(ISBLANK('ENGAGEMENTS 2026'!C525),"",IF(AND(OR($E525="INFRUCTUEUX",$E525="ANNULE"),$C525="AOO-M"),'ENGAGEMENTS 2026'!P525,IF($H525="EN COURS DE PREENGAGEMENT",'ENGAGEMENTS 2026'!O525,IF($H525="PREENGAGE",IF($E525="ATTRIBUE",'ENGAGEMENTS 2026'!AE525,'ENGAGEMENTS 2026'!O525),'ENGAGEMENTS 2026'!AE525))))</f>
        <v/>
      </c>
      <c r="K525" s="604">
        <f>IF(ISBLANK('ENGAGEMENTS 2026'!W525),"",'ENGAGEMENTS 2026'!W525)</f>
        <v/>
      </c>
      <c r="L525" s="276">
        <f>IF($K525="","",TODAY()-$K525)</f>
        <v/>
      </c>
      <c r="M525">
        <f>IF($A525="","",IF($H525="ENGAGE","Engagé",IF(AND($H525="NON ENGAGE",OR($I525="INFRUCTUEUX",$I525="ANNULE")),"Clôturé sans suite","En cours")))</f>
        <v/>
      </c>
      <c r="N525">
        <f>IF(ISBLANK('ENGAGEMENTS 2026'!C525),"",'ENGAGEMENTS 2026'!L525)</f>
        <v/>
      </c>
      <c r="O525">
        <f>IF(ISBLANK('ENGAGEMENTS 2026'!C525),"",'ENGAGEMENTS 2026'!M525)</f>
        <v/>
      </c>
      <c r="P525">
        <f>IF(ISBLANK('ENGAGEMENTS 2026'!C525),"",'ENGAGEMENTS 2026'!K525)</f>
        <v/>
      </c>
      <c r="Q525">
        <f>IF($A525="","",IF(OR($E525="INFRUCTUEUX",$E525="ANNULE"),$A525&amp;"|"&amp;(COUNTIFS($A$2:$A525,$A525,$E$2:$E525,"INFRUCTUEUX")+COUNTIFS($A$2:$A525,$A525,$E$2:$E525,"ANNULE")),""))</f>
        <v/>
      </c>
    </row>
    <row r="526">
      <c r="A526">
        <f>IF(ISBLANK('ENGAGEMENTS 2026'!C526),"",IF('ENGAGEMENTS 2026'!C526="DTSI","DCT",'ENGAGEMENTS 2026'!C526))</f>
        <v/>
      </c>
      <c r="B526">
        <f>IF(ISBLANK('ENGAGEMENTS 2026'!C526),"",'ENGAGEMENTS 2026'!D526)</f>
        <v/>
      </c>
      <c r="C526">
        <f>IF(ISBLANK('ENGAGEMENTS 2026'!C526),"",'ENGAGEMENTS 2026'!E526)</f>
        <v/>
      </c>
      <c r="D526">
        <f>IF(ISBLANK('ENGAGEMENTS 2026'!C526),"",'ENGAGEMENTS 2026'!G526)</f>
        <v/>
      </c>
      <c r="E526">
        <f>IF(ISBLANK('ENGAGEMENTS 2026'!C526),"",'ENGAGEMENTS 2026'!I526)</f>
        <v/>
      </c>
      <c r="F526">
        <f>IF(ISBLANK('ENGAGEMENTS 2026'!C526),"",'ENGAGEMENTS 2026'!J526)</f>
        <v/>
      </c>
      <c r="G526">
        <f>IF(ISBLANK('ENGAGEMENTS 2026'!C526),"",'ENGAGEMENTS 2026'!M526)</f>
        <v/>
      </c>
      <c r="H526">
        <f>IF(ISBLANK('ENGAGEMENTS 2026'!C526),"",'ENGAGEMENTS 2026'!AF526)</f>
        <v/>
      </c>
      <c r="I526">
        <f>IF(ISBLANK('ENGAGEMENTS 2026'!C526),"",'ENGAGEMENTS 2026'!H526)</f>
        <v/>
      </c>
      <c r="J526" s="275">
        <f>IF(ISBLANK('ENGAGEMENTS 2026'!C526),"",IF(AND(OR($E526="INFRUCTUEUX",$E526="ANNULE"),$C526="AOO-M"),'ENGAGEMENTS 2026'!P526,IF($H526="EN COURS DE PREENGAGEMENT",'ENGAGEMENTS 2026'!O526,IF($H526="PREENGAGE",IF($E526="ATTRIBUE",'ENGAGEMENTS 2026'!AE526,'ENGAGEMENTS 2026'!O526),'ENGAGEMENTS 2026'!AE526))))</f>
        <v/>
      </c>
      <c r="K526" s="604">
        <f>IF(ISBLANK('ENGAGEMENTS 2026'!W526),"",'ENGAGEMENTS 2026'!W526)</f>
        <v/>
      </c>
      <c r="L526" s="276">
        <f>IF($K526="","",TODAY()-$K526)</f>
        <v/>
      </c>
      <c r="M526">
        <f>IF($A526="","",IF($H526="ENGAGE","Engagé",IF(AND($H526="NON ENGAGE",OR($I526="INFRUCTUEUX",$I526="ANNULE")),"Clôturé sans suite","En cours")))</f>
        <v/>
      </c>
      <c r="N526">
        <f>IF(ISBLANK('ENGAGEMENTS 2026'!C526),"",'ENGAGEMENTS 2026'!L526)</f>
        <v/>
      </c>
      <c r="O526">
        <f>IF(ISBLANK('ENGAGEMENTS 2026'!C526),"",'ENGAGEMENTS 2026'!M526)</f>
        <v/>
      </c>
      <c r="P526">
        <f>IF(ISBLANK('ENGAGEMENTS 2026'!C526),"",'ENGAGEMENTS 2026'!K526)</f>
        <v/>
      </c>
      <c r="Q526">
        <f>IF($A526="","",IF(OR($E526="INFRUCTUEUX",$E526="ANNULE"),$A526&amp;"|"&amp;(COUNTIFS($A$2:$A526,$A526,$E$2:$E526,"INFRUCTUEUX")+COUNTIFS($A$2:$A526,$A526,$E$2:$E526,"ANNULE")),""))</f>
        <v/>
      </c>
    </row>
    <row r="527">
      <c r="A527">
        <f>IF(ISBLANK('ENGAGEMENTS 2026'!C527),"",IF('ENGAGEMENTS 2026'!C527="DTSI","DCT",'ENGAGEMENTS 2026'!C527))</f>
        <v/>
      </c>
      <c r="B527">
        <f>IF(ISBLANK('ENGAGEMENTS 2026'!C527),"",'ENGAGEMENTS 2026'!D527)</f>
        <v/>
      </c>
      <c r="C527">
        <f>IF(ISBLANK('ENGAGEMENTS 2026'!C527),"",'ENGAGEMENTS 2026'!E527)</f>
        <v/>
      </c>
      <c r="D527">
        <f>IF(ISBLANK('ENGAGEMENTS 2026'!C527),"",'ENGAGEMENTS 2026'!G527)</f>
        <v/>
      </c>
      <c r="E527">
        <f>IF(ISBLANK('ENGAGEMENTS 2026'!C527),"",'ENGAGEMENTS 2026'!I527)</f>
        <v/>
      </c>
      <c r="F527">
        <f>IF(ISBLANK('ENGAGEMENTS 2026'!C527),"",'ENGAGEMENTS 2026'!J527)</f>
        <v/>
      </c>
      <c r="G527">
        <f>IF(ISBLANK('ENGAGEMENTS 2026'!C527),"",'ENGAGEMENTS 2026'!M527)</f>
        <v/>
      </c>
      <c r="H527">
        <f>IF(ISBLANK('ENGAGEMENTS 2026'!C527),"",'ENGAGEMENTS 2026'!AF527)</f>
        <v/>
      </c>
      <c r="I527">
        <f>IF(ISBLANK('ENGAGEMENTS 2026'!C527),"",'ENGAGEMENTS 2026'!H527)</f>
        <v/>
      </c>
      <c r="J527" s="275">
        <f>IF(ISBLANK('ENGAGEMENTS 2026'!C527),"",IF(AND(OR($E527="INFRUCTUEUX",$E527="ANNULE"),$C527="AOO-M"),'ENGAGEMENTS 2026'!P527,IF($H527="EN COURS DE PREENGAGEMENT",'ENGAGEMENTS 2026'!O527,IF($H527="PREENGAGE",IF($E527="ATTRIBUE",'ENGAGEMENTS 2026'!AE527,'ENGAGEMENTS 2026'!O527),'ENGAGEMENTS 2026'!AE527))))</f>
        <v/>
      </c>
      <c r="K527" s="604">
        <f>IF(ISBLANK('ENGAGEMENTS 2026'!W527),"",'ENGAGEMENTS 2026'!W527)</f>
        <v/>
      </c>
      <c r="L527" s="276">
        <f>IF($K527="","",TODAY()-$K527)</f>
        <v/>
      </c>
      <c r="M527">
        <f>IF($A527="","",IF($H527="ENGAGE","Engagé",IF(AND($H527="NON ENGAGE",OR($I527="INFRUCTUEUX",$I527="ANNULE")),"Clôturé sans suite","En cours")))</f>
        <v/>
      </c>
      <c r="N527">
        <f>IF(ISBLANK('ENGAGEMENTS 2026'!C527),"",'ENGAGEMENTS 2026'!L527)</f>
        <v/>
      </c>
      <c r="O527">
        <f>IF(ISBLANK('ENGAGEMENTS 2026'!C527),"",'ENGAGEMENTS 2026'!M527)</f>
        <v/>
      </c>
      <c r="P527">
        <f>IF(ISBLANK('ENGAGEMENTS 2026'!C527),"",'ENGAGEMENTS 2026'!K527)</f>
        <v/>
      </c>
      <c r="Q527">
        <f>IF($A527="","",IF(OR($E527="INFRUCTUEUX",$E527="ANNULE"),$A527&amp;"|"&amp;(COUNTIFS($A$2:$A527,$A527,$E$2:$E527,"INFRUCTUEUX")+COUNTIFS($A$2:$A527,$A527,$E$2:$E527,"ANNULE")),""))</f>
        <v/>
      </c>
    </row>
    <row r="528">
      <c r="A528">
        <f>IF(ISBLANK('ENGAGEMENTS 2026'!C528),"",IF('ENGAGEMENTS 2026'!C528="DTSI","DCT",'ENGAGEMENTS 2026'!C528))</f>
        <v/>
      </c>
      <c r="B528">
        <f>IF(ISBLANK('ENGAGEMENTS 2026'!C528),"",'ENGAGEMENTS 2026'!D528)</f>
        <v/>
      </c>
      <c r="C528">
        <f>IF(ISBLANK('ENGAGEMENTS 2026'!C528),"",'ENGAGEMENTS 2026'!E528)</f>
        <v/>
      </c>
      <c r="D528">
        <f>IF(ISBLANK('ENGAGEMENTS 2026'!C528),"",'ENGAGEMENTS 2026'!G528)</f>
        <v/>
      </c>
      <c r="E528">
        <f>IF(ISBLANK('ENGAGEMENTS 2026'!C528),"",'ENGAGEMENTS 2026'!I528)</f>
        <v/>
      </c>
      <c r="F528">
        <f>IF(ISBLANK('ENGAGEMENTS 2026'!C528),"",'ENGAGEMENTS 2026'!J528)</f>
        <v/>
      </c>
      <c r="G528">
        <f>IF(ISBLANK('ENGAGEMENTS 2026'!C528),"",'ENGAGEMENTS 2026'!M528)</f>
        <v/>
      </c>
      <c r="H528">
        <f>IF(ISBLANK('ENGAGEMENTS 2026'!C528),"",'ENGAGEMENTS 2026'!AF528)</f>
        <v/>
      </c>
      <c r="I528">
        <f>IF(ISBLANK('ENGAGEMENTS 2026'!C528),"",'ENGAGEMENTS 2026'!H528)</f>
        <v/>
      </c>
      <c r="J528" s="275">
        <f>IF(ISBLANK('ENGAGEMENTS 2026'!C528),"",IF(AND(OR($E528="INFRUCTUEUX",$E528="ANNULE"),$C528="AOO-M"),'ENGAGEMENTS 2026'!P528,IF($H528="EN COURS DE PREENGAGEMENT",'ENGAGEMENTS 2026'!O528,IF($H528="PREENGAGE",IF($E528="ATTRIBUE",'ENGAGEMENTS 2026'!AE528,'ENGAGEMENTS 2026'!O528),'ENGAGEMENTS 2026'!AE528))))</f>
        <v/>
      </c>
      <c r="K528" s="604">
        <f>IF(ISBLANK('ENGAGEMENTS 2026'!W528),"",'ENGAGEMENTS 2026'!W528)</f>
        <v/>
      </c>
      <c r="L528" s="276">
        <f>IF($K528="","",TODAY()-$K528)</f>
        <v/>
      </c>
      <c r="M528">
        <f>IF($A528="","",IF($H528="ENGAGE","Engagé",IF(AND($H528="NON ENGAGE",OR($I528="INFRUCTUEUX",$I528="ANNULE")),"Clôturé sans suite","En cours")))</f>
        <v/>
      </c>
      <c r="N528">
        <f>IF(ISBLANK('ENGAGEMENTS 2026'!C528),"",'ENGAGEMENTS 2026'!L528)</f>
        <v/>
      </c>
      <c r="O528">
        <f>IF(ISBLANK('ENGAGEMENTS 2026'!C528),"",'ENGAGEMENTS 2026'!M528)</f>
        <v/>
      </c>
      <c r="P528">
        <f>IF(ISBLANK('ENGAGEMENTS 2026'!C528),"",'ENGAGEMENTS 2026'!K528)</f>
        <v/>
      </c>
      <c r="Q528">
        <f>IF($A528="","",IF(OR($E528="INFRUCTUEUX",$E528="ANNULE"),$A528&amp;"|"&amp;(COUNTIFS($A$2:$A528,$A528,$E$2:$E528,"INFRUCTUEUX")+COUNTIFS($A$2:$A528,$A528,$E$2:$E528,"ANNULE")),""))</f>
        <v/>
      </c>
    </row>
    <row r="529">
      <c r="A529">
        <f>IF(ISBLANK('ENGAGEMENTS 2026'!C529),"",IF('ENGAGEMENTS 2026'!C529="DTSI","DCT",'ENGAGEMENTS 2026'!C529))</f>
        <v/>
      </c>
      <c r="B529">
        <f>IF(ISBLANK('ENGAGEMENTS 2026'!C529),"",'ENGAGEMENTS 2026'!D529)</f>
        <v/>
      </c>
      <c r="C529">
        <f>IF(ISBLANK('ENGAGEMENTS 2026'!C529),"",'ENGAGEMENTS 2026'!E529)</f>
        <v/>
      </c>
      <c r="D529">
        <f>IF(ISBLANK('ENGAGEMENTS 2026'!C529),"",'ENGAGEMENTS 2026'!G529)</f>
        <v/>
      </c>
      <c r="E529">
        <f>IF(ISBLANK('ENGAGEMENTS 2026'!C529),"",'ENGAGEMENTS 2026'!I529)</f>
        <v/>
      </c>
      <c r="F529">
        <f>IF(ISBLANK('ENGAGEMENTS 2026'!C529),"",'ENGAGEMENTS 2026'!J529)</f>
        <v/>
      </c>
      <c r="G529">
        <f>IF(ISBLANK('ENGAGEMENTS 2026'!C529),"",'ENGAGEMENTS 2026'!M529)</f>
        <v/>
      </c>
      <c r="H529">
        <f>IF(ISBLANK('ENGAGEMENTS 2026'!C529),"",'ENGAGEMENTS 2026'!AF529)</f>
        <v/>
      </c>
      <c r="I529">
        <f>IF(ISBLANK('ENGAGEMENTS 2026'!C529),"",'ENGAGEMENTS 2026'!H529)</f>
        <v/>
      </c>
      <c r="J529" s="275">
        <f>IF(ISBLANK('ENGAGEMENTS 2026'!C529),"",IF(AND(OR($E529="INFRUCTUEUX",$E529="ANNULE"),$C529="AOO-M"),'ENGAGEMENTS 2026'!P529,IF($H529="EN COURS DE PREENGAGEMENT",'ENGAGEMENTS 2026'!O529,IF($H529="PREENGAGE",IF($E529="ATTRIBUE",'ENGAGEMENTS 2026'!AE529,'ENGAGEMENTS 2026'!O529),'ENGAGEMENTS 2026'!AE529))))</f>
        <v/>
      </c>
      <c r="K529" s="604">
        <f>IF(ISBLANK('ENGAGEMENTS 2026'!W529),"",'ENGAGEMENTS 2026'!W529)</f>
        <v/>
      </c>
      <c r="L529" s="276">
        <f>IF($K529="","",TODAY()-$K529)</f>
        <v/>
      </c>
      <c r="M529">
        <f>IF($A529="","",IF($H529="ENGAGE","Engagé",IF(AND($H529="NON ENGAGE",OR($I529="INFRUCTUEUX",$I529="ANNULE")),"Clôturé sans suite","En cours")))</f>
        <v/>
      </c>
      <c r="N529">
        <f>IF(ISBLANK('ENGAGEMENTS 2026'!C529),"",'ENGAGEMENTS 2026'!L529)</f>
        <v/>
      </c>
      <c r="O529">
        <f>IF(ISBLANK('ENGAGEMENTS 2026'!C529),"",'ENGAGEMENTS 2026'!M529)</f>
        <v/>
      </c>
      <c r="P529">
        <f>IF(ISBLANK('ENGAGEMENTS 2026'!C529),"",'ENGAGEMENTS 2026'!K529)</f>
        <v/>
      </c>
      <c r="Q529">
        <f>IF($A529="","",IF(OR($E529="INFRUCTUEUX",$E529="ANNULE"),$A529&amp;"|"&amp;(COUNTIFS($A$2:$A529,$A529,$E$2:$E529,"INFRUCTUEUX")+COUNTIFS($A$2:$A529,$A529,$E$2:$E529,"ANNULE")),""))</f>
        <v/>
      </c>
    </row>
    <row r="530">
      <c r="A530">
        <f>IF(ISBLANK('ENGAGEMENTS 2026'!C530),"",IF('ENGAGEMENTS 2026'!C530="DTSI","DCT",'ENGAGEMENTS 2026'!C530))</f>
        <v/>
      </c>
      <c r="B530">
        <f>IF(ISBLANK('ENGAGEMENTS 2026'!C530),"",'ENGAGEMENTS 2026'!D530)</f>
        <v/>
      </c>
      <c r="C530">
        <f>IF(ISBLANK('ENGAGEMENTS 2026'!C530),"",'ENGAGEMENTS 2026'!E530)</f>
        <v/>
      </c>
      <c r="D530">
        <f>IF(ISBLANK('ENGAGEMENTS 2026'!C530),"",'ENGAGEMENTS 2026'!G530)</f>
        <v/>
      </c>
      <c r="E530">
        <f>IF(ISBLANK('ENGAGEMENTS 2026'!C530),"",'ENGAGEMENTS 2026'!I530)</f>
        <v/>
      </c>
      <c r="F530">
        <f>IF(ISBLANK('ENGAGEMENTS 2026'!C530),"",'ENGAGEMENTS 2026'!J530)</f>
        <v/>
      </c>
      <c r="G530">
        <f>IF(ISBLANK('ENGAGEMENTS 2026'!C530),"",'ENGAGEMENTS 2026'!M530)</f>
        <v/>
      </c>
      <c r="H530">
        <f>IF(ISBLANK('ENGAGEMENTS 2026'!C530),"",'ENGAGEMENTS 2026'!AF530)</f>
        <v/>
      </c>
      <c r="I530">
        <f>IF(ISBLANK('ENGAGEMENTS 2026'!C530),"",'ENGAGEMENTS 2026'!H530)</f>
        <v/>
      </c>
      <c r="J530" s="275">
        <f>IF(ISBLANK('ENGAGEMENTS 2026'!C530),"",IF(AND(OR($E530="INFRUCTUEUX",$E530="ANNULE"),$C530="AOO-M"),'ENGAGEMENTS 2026'!P530,IF($H530="EN COURS DE PREENGAGEMENT",'ENGAGEMENTS 2026'!O530,IF($H530="PREENGAGE",IF($E530="ATTRIBUE",'ENGAGEMENTS 2026'!AE530,'ENGAGEMENTS 2026'!O530),'ENGAGEMENTS 2026'!AE530))))</f>
        <v/>
      </c>
      <c r="K530" s="604">
        <f>IF(ISBLANK('ENGAGEMENTS 2026'!W530),"",'ENGAGEMENTS 2026'!W530)</f>
        <v/>
      </c>
      <c r="L530" s="276">
        <f>IF($K530="","",TODAY()-$K530)</f>
        <v/>
      </c>
      <c r="M530">
        <f>IF($A530="","",IF($H530="ENGAGE","Engagé",IF(AND($H530="NON ENGAGE",OR($I530="INFRUCTUEUX",$I530="ANNULE")),"Clôturé sans suite","En cours")))</f>
        <v/>
      </c>
      <c r="N530">
        <f>IF(ISBLANK('ENGAGEMENTS 2026'!C530),"",'ENGAGEMENTS 2026'!L530)</f>
        <v/>
      </c>
      <c r="O530">
        <f>IF(ISBLANK('ENGAGEMENTS 2026'!C530),"",'ENGAGEMENTS 2026'!M530)</f>
        <v/>
      </c>
      <c r="P530">
        <f>IF(ISBLANK('ENGAGEMENTS 2026'!C530),"",'ENGAGEMENTS 2026'!K530)</f>
        <v/>
      </c>
      <c r="Q530">
        <f>IF($A530="","",IF(OR($E530="INFRUCTUEUX",$E530="ANNULE"),$A530&amp;"|"&amp;(COUNTIFS($A$2:$A530,$A530,$E$2:$E530,"INFRUCTUEUX")+COUNTIFS($A$2:$A530,$A530,$E$2:$E530,"ANNULE")),""))</f>
        <v/>
      </c>
    </row>
    <row r="531">
      <c r="A531">
        <f>IF(ISBLANK('ENGAGEMENTS 2026'!C531),"",IF('ENGAGEMENTS 2026'!C531="DTSI","DCT",'ENGAGEMENTS 2026'!C531))</f>
        <v/>
      </c>
      <c r="B531">
        <f>IF(ISBLANK('ENGAGEMENTS 2026'!C531),"",'ENGAGEMENTS 2026'!D531)</f>
        <v/>
      </c>
      <c r="C531">
        <f>IF(ISBLANK('ENGAGEMENTS 2026'!C531),"",'ENGAGEMENTS 2026'!E531)</f>
        <v/>
      </c>
      <c r="D531">
        <f>IF(ISBLANK('ENGAGEMENTS 2026'!C531),"",'ENGAGEMENTS 2026'!G531)</f>
        <v/>
      </c>
      <c r="E531">
        <f>IF(ISBLANK('ENGAGEMENTS 2026'!C531),"",'ENGAGEMENTS 2026'!I531)</f>
        <v/>
      </c>
      <c r="F531">
        <f>IF(ISBLANK('ENGAGEMENTS 2026'!C531),"",'ENGAGEMENTS 2026'!J531)</f>
        <v/>
      </c>
      <c r="G531">
        <f>IF(ISBLANK('ENGAGEMENTS 2026'!C531),"",'ENGAGEMENTS 2026'!M531)</f>
        <v/>
      </c>
      <c r="H531">
        <f>IF(ISBLANK('ENGAGEMENTS 2026'!C531),"",'ENGAGEMENTS 2026'!AF531)</f>
        <v/>
      </c>
      <c r="I531">
        <f>IF(ISBLANK('ENGAGEMENTS 2026'!C531),"",'ENGAGEMENTS 2026'!H531)</f>
        <v/>
      </c>
      <c r="J531" s="275">
        <f>IF(ISBLANK('ENGAGEMENTS 2026'!C531),"",IF(AND(OR($E531="INFRUCTUEUX",$E531="ANNULE"),$C531="AOO-M"),'ENGAGEMENTS 2026'!P531,IF($H531="EN COURS DE PREENGAGEMENT",'ENGAGEMENTS 2026'!O531,IF($H531="PREENGAGE",IF($E531="ATTRIBUE",'ENGAGEMENTS 2026'!AE531,'ENGAGEMENTS 2026'!O531),'ENGAGEMENTS 2026'!AE531))))</f>
        <v/>
      </c>
      <c r="K531" s="604">
        <f>IF(ISBLANK('ENGAGEMENTS 2026'!W531),"",'ENGAGEMENTS 2026'!W531)</f>
        <v/>
      </c>
      <c r="L531" s="276">
        <f>IF($K531="","",TODAY()-$K531)</f>
        <v/>
      </c>
      <c r="M531">
        <f>IF($A531="","",IF($H531="ENGAGE","Engagé",IF(AND($H531="NON ENGAGE",OR($I531="INFRUCTUEUX",$I531="ANNULE")),"Clôturé sans suite","En cours")))</f>
        <v/>
      </c>
      <c r="N531">
        <f>IF(ISBLANK('ENGAGEMENTS 2026'!C531),"",'ENGAGEMENTS 2026'!L531)</f>
        <v/>
      </c>
      <c r="O531">
        <f>IF(ISBLANK('ENGAGEMENTS 2026'!C531),"",'ENGAGEMENTS 2026'!M531)</f>
        <v/>
      </c>
      <c r="P531">
        <f>IF(ISBLANK('ENGAGEMENTS 2026'!C531),"",'ENGAGEMENTS 2026'!K531)</f>
        <v/>
      </c>
      <c r="Q531">
        <f>IF($A531="","",IF(OR($E531="INFRUCTUEUX",$E531="ANNULE"),$A531&amp;"|"&amp;(COUNTIFS($A$2:$A531,$A531,$E$2:$E531,"INFRUCTUEUX")+COUNTIFS($A$2:$A531,$A531,$E$2:$E531,"ANNULE")),""))</f>
        <v/>
      </c>
    </row>
    <row r="532">
      <c r="A532">
        <f>IF(ISBLANK('ENGAGEMENTS 2026'!C532),"",IF('ENGAGEMENTS 2026'!C532="DTSI","DCT",'ENGAGEMENTS 2026'!C532))</f>
        <v/>
      </c>
      <c r="B532">
        <f>IF(ISBLANK('ENGAGEMENTS 2026'!C532),"",'ENGAGEMENTS 2026'!D532)</f>
        <v/>
      </c>
      <c r="C532">
        <f>IF(ISBLANK('ENGAGEMENTS 2026'!C532),"",'ENGAGEMENTS 2026'!E532)</f>
        <v/>
      </c>
      <c r="D532">
        <f>IF(ISBLANK('ENGAGEMENTS 2026'!C532),"",'ENGAGEMENTS 2026'!G532)</f>
        <v/>
      </c>
      <c r="E532">
        <f>IF(ISBLANK('ENGAGEMENTS 2026'!C532),"",'ENGAGEMENTS 2026'!I532)</f>
        <v/>
      </c>
      <c r="F532">
        <f>IF(ISBLANK('ENGAGEMENTS 2026'!C532),"",'ENGAGEMENTS 2026'!J532)</f>
        <v/>
      </c>
      <c r="G532">
        <f>IF(ISBLANK('ENGAGEMENTS 2026'!C532),"",'ENGAGEMENTS 2026'!M532)</f>
        <v/>
      </c>
      <c r="H532">
        <f>IF(ISBLANK('ENGAGEMENTS 2026'!C532),"",'ENGAGEMENTS 2026'!AF532)</f>
        <v/>
      </c>
      <c r="I532">
        <f>IF(ISBLANK('ENGAGEMENTS 2026'!C532),"",'ENGAGEMENTS 2026'!H532)</f>
        <v/>
      </c>
      <c r="J532" s="275">
        <f>IF(ISBLANK('ENGAGEMENTS 2026'!C532),"",IF(AND(OR($E532="INFRUCTUEUX",$E532="ANNULE"),$C532="AOO-M"),'ENGAGEMENTS 2026'!P532,IF($H532="EN COURS DE PREENGAGEMENT",'ENGAGEMENTS 2026'!O532,IF($H532="PREENGAGE",IF($E532="ATTRIBUE",'ENGAGEMENTS 2026'!AE532,'ENGAGEMENTS 2026'!O532),'ENGAGEMENTS 2026'!AE532))))</f>
        <v/>
      </c>
      <c r="K532" s="604">
        <f>IF(ISBLANK('ENGAGEMENTS 2026'!W532),"",'ENGAGEMENTS 2026'!W532)</f>
        <v/>
      </c>
      <c r="L532" s="276">
        <f>IF($K532="","",TODAY()-$K532)</f>
        <v/>
      </c>
      <c r="M532">
        <f>IF($A532="","",IF($H532="ENGAGE","Engagé",IF(AND($H532="NON ENGAGE",OR($I532="INFRUCTUEUX",$I532="ANNULE")),"Clôturé sans suite","En cours")))</f>
        <v/>
      </c>
      <c r="N532">
        <f>IF(ISBLANK('ENGAGEMENTS 2026'!C532),"",'ENGAGEMENTS 2026'!L532)</f>
        <v/>
      </c>
      <c r="O532">
        <f>IF(ISBLANK('ENGAGEMENTS 2026'!C532),"",'ENGAGEMENTS 2026'!M532)</f>
        <v/>
      </c>
      <c r="P532">
        <f>IF(ISBLANK('ENGAGEMENTS 2026'!C532),"",'ENGAGEMENTS 2026'!K532)</f>
        <v/>
      </c>
      <c r="Q532">
        <f>IF($A532="","",IF(OR($E532="INFRUCTUEUX",$E532="ANNULE"),$A532&amp;"|"&amp;(COUNTIFS($A$2:$A532,$A532,$E$2:$E532,"INFRUCTUEUX")+COUNTIFS($A$2:$A532,$A532,$E$2:$E532,"ANNULE")),""))</f>
        <v/>
      </c>
    </row>
    <row r="533">
      <c r="A533">
        <f>IF(ISBLANK('ENGAGEMENTS 2026'!C533),"",IF('ENGAGEMENTS 2026'!C533="DTSI","DCT",'ENGAGEMENTS 2026'!C533))</f>
        <v/>
      </c>
      <c r="B533">
        <f>IF(ISBLANK('ENGAGEMENTS 2026'!C533),"",'ENGAGEMENTS 2026'!D533)</f>
        <v/>
      </c>
      <c r="C533">
        <f>IF(ISBLANK('ENGAGEMENTS 2026'!C533),"",'ENGAGEMENTS 2026'!E533)</f>
        <v/>
      </c>
      <c r="D533">
        <f>IF(ISBLANK('ENGAGEMENTS 2026'!C533),"",'ENGAGEMENTS 2026'!G533)</f>
        <v/>
      </c>
      <c r="E533">
        <f>IF(ISBLANK('ENGAGEMENTS 2026'!C533),"",'ENGAGEMENTS 2026'!I533)</f>
        <v/>
      </c>
      <c r="F533">
        <f>IF(ISBLANK('ENGAGEMENTS 2026'!C533),"",'ENGAGEMENTS 2026'!J533)</f>
        <v/>
      </c>
      <c r="G533">
        <f>IF(ISBLANK('ENGAGEMENTS 2026'!C533),"",'ENGAGEMENTS 2026'!M533)</f>
        <v/>
      </c>
      <c r="H533">
        <f>IF(ISBLANK('ENGAGEMENTS 2026'!C533),"",'ENGAGEMENTS 2026'!AF533)</f>
        <v/>
      </c>
      <c r="I533">
        <f>IF(ISBLANK('ENGAGEMENTS 2026'!C533),"",'ENGAGEMENTS 2026'!H533)</f>
        <v/>
      </c>
      <c r="J533" s="275">
        <f>IF(ISBLANK('ENGAGEMENTS 2026'!C533),"",IF(AND(OR($E533="INFRUCTUEUX",$E533="ANNULE"),$C533="AOO-M"),'ENGAGEMENTS 2026'!P533,IF($H533="EN COURS DE PREENGAGEMENT",'ENGAGEMENTS 2026'!O533,IF($H533="PREENGAGE",IF($E533="ATTRIBUE",'ENGAGEMENTS 2026'!AE533,'ENGAGEMENTS 2026'!O533),'ENGAGEMENTS 2026'!AE533))))</f>
        <v/>
      </c>
      <c r="K533" s="604">
        <f>IF(ISBLANK('ENGAGEMENTS 2026'!W533),"",'ENGAGEMENTS 2026'!W533)</f>
        <v/>
      </c>
      <c r="L533" s="276">
        <f>IF($K533="","",TODAY()-$K533)</f>
        <v/>
      </c>
      <c r="M533">
        <f>IF($A533="","",IF($H533="ENGAGE","Engagé",IF(AND($H533="NON ENGAGE",OR($I533="INFRUCTUEUX",$I533="ANNULE")),"Clôturé sans suite","En cours")))</f>
        <v/>
      </c>
      <c r="N533">
        <f>IF(ISBLANK('ENGAGEMENTS 2026'!C533),"",'ENGAGEMENTS 2026'!L533)</f>
        <v/>
      </c>
      <c r="O533">
        <f>IF(ISBLANK('ENGAGEMENTS 2026'!C533),"",'ENGAGEMENTS 2026'!M533)</f>
        <v/>
      </c>
      <c r="P533">
        <f>IF(ISBLANK('ENGAGEMENTS 2026'!C533),"",'ENGAGEMENTS 2026'!K533)</f>
        <v/>
      </c>
      <c r="Q533">
        <f>IF($A533="","",IF(OR($E533="INFRUCTUEUX",$E533="ANNULE"),$A533&amp;"|"&amp;(COUNTIFS($A$2:$A533,$A533,$E$2:$E533,"INFRUCTUEUX")+COUNTIFS($A$2:$A533,$A533,$E$2:$E533,"ANNULE")),""))</f>
        <v/>
      </c>
    </row>
    <row r="534">
      <c r="A534">
        <f>IF(ISBLANK('ENGAGEMENTS 2026'!C534),"",IF('ENGAGEMENTS 2026'!C534="DTSI","DCT",'ENGAGEMENTS 2026'!C534))</f>
        <v/>
      </c>
      <c r="B534">
        <f>IF(ISBLANK('ENGAGEMENTS 2026'!C534),"",'ENGAGEMENTS 2026'!D534)</f>
        <v/>
      </c>
      <c r="C534">
        <f>IF(ISBLANK('ENGAGEMENTS 2026'!C534),"",'ENGAGEMENTS 2026'!E534)</f>
        <v/>
      </c>
      <c r="D534">
        <f>IF(ISBLANK('ENGAGEMENTS 2026'!C534),"",'ENGAGEMENTS 2026'!G534)</f>
        <v/>
      </c>
      <c r="E534">
        <f>IF(ISBLANK('ENGAGEMENTS 2026'!C534),"",'ENGAGEMENTS 2026'!I534)</f>
        <v/>
      </c>
      <c r="F534">
        <f>IF(ISBLANK('ENGAGEMENTS 2026'!C534),"",'ENGAGEMENTS 2026'!J534)</f>
        <v/>
      </c>
      <c r="G534">
        <f>IF(ISBLANK('ENGAGEMENTS 2026'!C534),"",'ENGAGEMENTS 2026'!M534)</f>
        <v/>
      </c>
      <c r="H534">
        <f>IF(ISBLANK('ENGAGEMENTS 2026'!C534),"",'ENGAGEMENTS 2026'!AF534)</f>
        <v/>
      </c>
      <c r="I534">
        <f>IF(ISBLANK('ENGAGEMENTS 2026'!C534),"",'ENGAGEMENTS 2026'!H534)</f>
        <v/>
      </c>
      <c r="J534" s="275">
        <f>IF(ISBLANK('ENGAGEMENTS 2026'!C534),"",IF(AND(OR($E534="INFRUCTUEUX",$E534="ANNULE"),$C534="AOO-M"),'ENGAGEMENTS 2026'!P534,IF($H534="EN COURS DE PREENGAGEMENT",'ENGAGEMENTS 2026'!O534,IF($H534="PREENGAGE",IF($E534="ATTRIBUE",'ENGAGEMENTS 2026'!AE534,'ENGAGEMENTS 2026'!O534),'ENGAGEMENTS 2026'!AE534))))</f>
        <v/>
      </c>
      <c r="K534" s="604">
        <f>IF(ISBLANK('ENGAGEMENTS 2026'!W534),"",'ENGAGEMENTS 2026'!W534)</f>
        <v/>
      </c>
      <c r="L534" s="276">
        <f>IF($K534="","",TODAY()-$K534)</f>
        <v/>
      </c>
      <c r="M534">
        <f>IF($A534="","",IF($H534="ENGAGE","Engagé",IF(AND($H534="NON ENGAGE",OR($I534="INFRUCTUEUX",$I534="ANNULE")),"Clôturé sans suite","En cours")))</f>
        <v/>
      </c>
      <c r="N534">
        <f>IF(ISBLANK('ENGAGEMENTS 2026'!C534),"",'ENGAGEMENTS 2026'!L534)</f>
        <v/>
      </c>
      <c r="O534">
        <f>IF(ISBLANK('ENGAGEMENTS 2026'!C534),"",'ENGAGEMENTS 2026'!M534)</f>
        <v/>
      </c>
      <c r="P534">
        <f>IF(ISBLANK('ENGAGEMENTS 2026'!C534),"",'ENGAGEMENTS 2026'!K534)</f>
        <v/>
      </c>
      <c r="Q534">
        <f>IF($A534="","",IF(OR($E534="INFRUCTUEUX",$E534="ANNULE"),$A534&amp;"|"&amp;(COUNTIFS($A$2:$A534,$A534,$E$2:$E534,"INFRUCTUEUX")+COUNTIFS($A$2:$A534,$A534,$E$2:$E534,"ANNULE")),""))</f>
        <v/>
      </c>
    </row>
    <row r="535">
      <c r="A535">
        <f>IF(ISBLANK('ENGAGEMENTS 2026'!C535),"",IF('ENGAGEMENTS 2026'!C535="DTSI","DCT",'ENGAGEMENTS 2026'!C535))</f>
        <v/>
      </c>
      <c r="B535">
        <f>IF(ISBLANK('ENGAGEMENTS 2026'!C535),"",'ENGAGEMENTS 2026'!D535)</f>
        <v/>
      </c>
      <c r="C535">
        <f>IF(ISBLANK('ENGAGEMENTS 2026'!C535),"",'ENGAGEMENTS 2026'!E535)</f>
        <v/>
      </c>
      <c r="D535">
        <f>IF(ISBLANK('ENGAGEMENTS 2026'!C535),"",'ENGAGEMENTS 2026'!G535)</f>
        <v/>
      </c>
      <c r="E535">
        <f>IF(ISBLANK('ENGAGEMENTS 2026'!C535),"",'ENGAGEMENTS 2026'!I535)</f>
        <v/>
      </c>
      <c r="F535">
        <f>IF(ISBLANK('ENGAGEMENTS 2026'!C535),"",'ENGAGEMENTS 2026'!J535)</f>
        <v/>
      </c>
      <c r="G535">
        <f>IF(ISBLANK('ENGAGEMENTS 2026'!C535),"",'ENGAGEMENTS 2026'!M535)</f>
        <v/>
      </c>
      <c r="H535">
        <f>IF(ISBLANK('ENGAGEMENTS 2026'!C535),"",'ENGAGEMENTS 2026'!AF535)</f>
        <v/>
      </c>
      <c r="I535">
        <f>IF(ISBLANK('ENGAGEMENTS 2026'!C535),"",'ENGAGEMENTS 2026'!H535)</f>
        <v/>
      </c>
      <c r="J535" s="275">
        <f>IF(ISBLANK('ENGAGEMENTS 2026'!C535),"",IF(AND(OR($E535="INFRUCTUEUX",$E535="ANNULE"),$C535="AOO-M"),'ENGAGEMENTS 2026'!P535,IF($H535="EN COURS DE PREENGAGEMENT",'ENGAGEMENTS 2026'!O535,IF($H535="PREENGAGE",IF($E535="ATTRIBUE",'ENGAGEMENTS 2026'!AE535,'ENGAGEMENTS 2026'!O535),'ENGAGEMENTS 2026'!AE535))))</f>
        <v/>
      </c>
      <c r="K535" s="604">
        <f>IF(ISBLANK('ENGAGEMENTS 2026'!W535),"",'ENGAGEMENTS 2026'!W535)</f>
        <v/>
      </c>
      <c r="L535" s="276">
        <f>IF($K535="","",TODAY()-$K535)</f>
        <v/>
      </c>
      <c r="M535">
        <f>IF($A535="","",IF($H535="ENGAGE","Engagé",IF(AND($H535="NON ENGAGE",OR($I535="INFRUCTUEUX",$I535="ANNULE")),"Clôturé sans suite","En cours")))</f>
        <v/>
      </c>
      <c r="N535">
        <f>IF(ISBLANK('ENGAGEMENTS 2026'!C535),"",'ENGAGEMENTS 2026'!L535)</f>
        <v/>
      </c>
      <c r="O535">
        <f>IF(ISBLANK('ENGAGEMENTS 2026'!C535),"",'ENGAGEMENTS 2026'!M535)</f>
        <v/>
      </c>
      <c r="P535">
        <f>IF(ISBLANK('ENGAGEMENTS 2026'!C535),"",'ENGAGEMENTS 2026'!K535)</f>
        <v/>
      </c>
      <c r="Q535">
        <f>IF($A535="","",IF(OR($E535="INFRUCTUEUX",$E535="ANNULE"),$A535&amp;"|"&amp;(COUNTIFS($A$2:$A535,$A535,$E$2:$E535,"INFRUCTUEUX")+COUNTIFS($A$2:$A535,$A535,$E$2:$E535,"ANNULE")),""))</f>
        <v/>
      </c>
    </row>
    <row r="536">
      <c r="A536">
        <f>IF(ISBLANK('ENGAGEMENTS 2026'!C536),"",IF('ENGAGEMENTS 2026'!C536="DTSI","DCT",'ENGAGEMENTS 2026'!C536))</f>
        <v/>
      </c>
      <c r="B536">
        <f>IF(ISBLANK('ENGAGEMENTS 2026'!C536),"",'ENGAGEMENTS 2026'!D536)</f>
        <v/>
      </c>
      <c r="C536">
        <f>IF(ISBLANK('ENGAGEMENTS 2026'!C536),"",'ENGAGEMENTS 2026'!E536)</f>
        <v/>
      </c>
      <c r="D536">
        <f>IF(ISBLANK('ENGAGEMENTS 2026'!C536),"",'ENGAGEMENTS 2026'!G536)</f>
        <v/>
      </c>
      <c r="E536">
        <f>IF(ISBLANK('ENGAGEMENTS 2026'!C536),"",'ENGAGEMENTS 2026'!I536)</f>
        <v/>
      </c>
      <c r="F536">
        <f>IF(ISBLANK('ENGAGEMENTS 2026'!C536),"",'ENGAGEMENTS 2026'!J536)</f>
        <v/>
      </c>
      <c r="G536">
        <f>IF(ISBLANK('ENGAGEMENTS 2026'!C536),"",'ENGAGEMENTS 2026'!M536)</f>
        <v/>
      </c>
      <c r="H536">
        <f>IF(ISBLANK('ENGAGEMENTS 2026'!C536),"",'ENGAGEMENTS 2026'!AF536)</f>
        <v/>
      </c>
      <c r="I536">
        <f>IF(ISBLANK('ENGAGEMENTS 2026'!C536),"",'ENGAGEMENTS 2026'!H536)</f>
        <v/>
      </c>
      <c r="J536" s="275">
        <f>IF(ISBLANK('ENGAGEMENTS 2026'!C536),"",IF(AND(OR($E536="INFRUCTUEUX",$E536="ANNULE"),$C536="AOO-M"),'ENGAGEMENTS 2026'!P536,IF($H536="EN COURS DE PREENGAGEMENT",'ENGAGEMENTS 2026'!O536,IF($H536="PREENGAGE",IF($E536="ATTRIBUE",'ENGAGEMENTS 2026'!AE536,'ENGAGEMENTS 2026'!O536),'ENGAGEMENTS 2026'!AE536))))</f>
        <v/>
      </c>
      <c r="K536" s="604">
        <f>IF(ISBLANK('ENGAGEMENTS 2026'!W536),"",'ENGAGEMENTS 2026'!W536)</f>
        <v/>
      </c>
      <c r="L536" s="276">
        <f>IF($K536="","",TODAY()-$K536)</f>
        <v/>
      </c>
      <c r="M536">
        <f>IF($A536="","",IF($H536="ENGAGE","Engagé",IF(AND($H536="NON ENGAGE",OR($I536="INFRUCTUEUX",$I536="ANNULE")),"Clôturé sans suite","En cours")))</f>
        <v/>
      </c>
      <c r="N536">
        <f>IF(ISBLANK('ENGAGEMENTS 2026'!C536),"",'ENGAGEMENTS 2026'!L536)</f>
        <v/>
      </c>
      <c r="O536">
        <f>IF(ISBLANK('ENGAGEMENTS 2026'!C536),"",'ENGAGEMENTS 2026'!M536)</f>
        <v/>
      </c>
      <c r="P536">
        <f>IF(ISBLANK('ENGAGEMENTS 2026'!C536),"",'ENGAGEMENTS 2026'!K536)</f>
        <v/>
      </c>
      <c r="Q536">
        <f>IF($A536="","",IF(OR($E536="INFRUCTUEUX",$E536="ANNULE"),$A536&amp;"|"&amp;(COUNTIFS($A$2:$A536,$A536,$E$2:$E536,"INFRUCTUEUX")+COUNTIFS($A$2:$A536,$A536,$E$2:$E536,"ANNULE")),""))</f>
        <v/>
      </c>
    </row>
    <row r="537">
      <c r="A537">
        <f>IF(ISBLANK('ENGAGEMENTS 2026'!C537),"",IF('ENGAGEMENTS 2026'!C537="DTSI","DCT",'ENGAGEMENTS 2026'!C537))</f>
        <v/>
      </c>
      <c r="B537">
        <f>IF(ISBLANK('ENGAGEMENTS 2026'!C537),"",'ENGAGEMENTS 2026'!D537)</f>
        <v/>
      </c>
      <c r="C537">
        <f>IF(ISBLANK('ENGAGEMENTS 2026'!C537),"",'ENGAGEMENTS 2026'!E537)</f>
        <v/>
      </c>
      <c r="D537">
        <f>IF(ISBLANK('ENGAGEMENTS 2026'!C537),"",'ENGAGEMENTS 2026'!G537)</f>
        <v/>
      </c>
      <c r="E537">
        <f>IF(ISBLANK('ENGAGEMENTS 2026'!C537),"",'ENGAGEMENTS 2026'!I537)</f>
        <v/>
      </c>
      <c r="F537">
        <f>IF(ISBLANK('ENGAGEMENTS 2026'!C537),"",'ENGAGEMENTS 2026'!J537)</f>
        <v/>
      </c>
      <c r="G537">
        <f>IF(ISBLANK('ENGAGEMENTS 2026'!C537),"",'ENGAGEMENTS 2026'!M537)</f>
        <v/>
      </c>
      <c r="H537">
        <f>IF(ISBLANK('ENGAGEMENTS 2026'!C537),"",'ENGAGEMENTS 2026'!AF537)</f>
        <v/>
      </c>
      <c r="I537">
        <f>IF(ISBLANK('ENGAGEMENTS 2026'!C537),"",'ENGAGEMENTS 2026'!H537)</f>
        <v/>
      </c>
      <c r="J537" s="275">
        <f>IF(ISBLANK('ENGAGEMENTS 2026'!C537),"",IF(AND(OR($E537="INFRUCTUEUX",$E537="ANNULE"),$C537="AOO-M"),'ENGAGEMENTS 2026'!P537,IF($H537="EN COURS DE PREENGAGEMENT",'ENGAGEMENTS 2026'!O537,IF($H537="PREENGAGE",IF($E537="ATTRIBUE",'ENGAGEMENTS 2026'!AE537,'ENGAGEMENTS 2026'!O537),'ENGAGEMENTS 2026'!AE537))))</f>
        <v/>
      </c>
      <c r="K537" s="604">
        <f>IF(ISBLANK('ENGAGEMENTS 2026'!W537),"",'ENGAGEMENTS 2026'!W537)</f>
        <v/>
      </c>
      <c r="L537" s="276">
        <f>IF($K537="","",TODAY()-$K537)</f>
        <v/>
      </c>
      <c r="M537">
        <f>IF($A537="","",IF($H537="ENGAGE","Engagé",IF(AND($H537="NON ENGAGE",OR($I537="INFRUCTUEUX",$I537="ANNULE")),"Clôturé sans suite","En cours")))</f>
        <v/>
      </c>
      <c r="N537">
        <f>IF(ISBLANK('ENGAGEMENTS 2026'!C537),"",'ENGAGEMENTS 2026'!L537)</f>
        <v/>
      </c>
      <c r="O537">
        <f>IF(ISBLANK('ENGAGEMENTS 2026'!C537),"",'ENGAGEMENTS 2026'!M537)</f>
        <v/>
      </c>
      <c r="P537">
        <f>IF(ISBLANK('ENGAGEMENTS 2026'!C537),"",'ENGAGEMENTS 2026'!K537)</f>
        <v/>
      </c>
      <c r="Q537">
        <f>IF($A537="","",IF(OR($E537="INFRUCTUEUX",$E537="ANNULE"),$A537&amp;"|"&amp;(COUNTIFS($A$2:$A537,$A537,$E$2:$E537,"INFRUCTUEUX")+COUNTIFS($A$2:$A537,$A537,$E$2:$E537,"ANNULE")),""))</f>
        <v/>
      </c>
    </row>
    <row r="538">
      <c r="A538">
        <f>IF(ISBLANK('ENGAGEMENTS 2026'!C538),"",IF('ENGAGEMENTS 2026'!C538="DTSI","DCT",'ENGAGEMENTS 2026'!C538))</f>
        <v/>
      </c>
      <c r="B538">
        <f>IF(ISBLANK('ENGAGEMENTS 2026'!C538),"",'ENGAGEMENTS 2026'!D538)</f>
        <v/>
      </c>
      <c r="C538">
        <f>IF(ISBLANK('ENGAGEMENTS 2026'!C538),"",'ENGAGEMENTS 2026'!E538)</f>
        <v/>
      </c>
      <c r="D538">
        <f>IF(ISBLANK('ENGAGEMENTS 2026'!C538),"",'ENGAGEMENTS 2026'!G538)</f>
        <v/>
      </c>
      <c r="E538">
        <f>IF(ISBLANK('ENGAGEMENTS 2026'!C538),"",'ENGAGEMENTS 2026'!I538)</f>
        <v/>
      </c>
      <c r="F538">
        <f>IF(ISBLANK('ENGAGEMENTS 2026'!C538),"",'ENGAGEMENTS 2026'!J538)</f>
        <v/>
      </c>
      <c r="G538">
        <f>IF(ISBLANK('ENGAGEMENTS 2026'!C538),"",'ENGAGEMENTS 2026'!M538)</f>
        <v/>
      </c>
      <c r="H538">
        <f>IF(ISBLANK('ENGAGEMENTS 2026'!C538),"",'ENGAGEMENTS 2026'!AF538)</f>
        <v/>
      </c>
      <c r="I538">
        <f>IF(ISBLANK('ENGAGEMENTS 2026'!C538),"",'ENGAGEMENTS 2026'!H538)</f>
        <v/>
      </c>
      <c r="J538" s="275">
        <f>IF(ISBLANK('ENGAGEMENTS 2026'!C538),"",IF(AND(OR($E538="INFRUCTUEUX",$E538="ANNULE"),$C538="AOO-M"),'ENGAGEMENTS 2026'!P538,IF($H538="EN COURS DE PREENGAGEMENT",'ENGAGEMENTS 2026'!O538,IF($H538="PREENGAGE",IF($E538="ATTRIBUE",'ENGAGEMENTS 2026'!AE538,'ENGAGEMENTS 2026'!O538),'ENGAGEMENTS 2026'!AE538))))</f>
        <v/>
      </c>
      <c r="K538" s="604">
        <f>IF(ISBLANK('ENGAGEMENTS 2026'!W538),"",'ENGAGEMENTS 2026'!W538)</f>
        <v/>
      </c>
      <c r="L538" s="276">
        <f>IF($K538="","",TODAY()-$K538)</f>
        <v/>
      </c>
      <c r="M538">
        <f>IF($A538="","",IF($H538="ENGAGE","Engagé",IF(AND($H538="NON ENGAGE",OR($I538="INFRUCTUEUX",$I538="ANNULE")),"Clôturé sans suite","En cours")))</f>
        <v/>
      </c>
      <c r="N538">
        <f>IF(ISBLANK('ENGAGEMENTS 2026'!C538),"",'ENGAGEMENTS 2026'!L538)</f>
        <v/>
      </c>
      <c r="O538">
        <f>IF(ISBLANK('ENGAGEMENTS 2026'!C538),"",'ENGAGEMENTS 2026'!M538)</f>
        <v/>
      </c>
      <c r="P538">
        <f>IF(ISBLANK('ENGAGEMENTS 2026'!C538),"",'ENGAGEMENTS 2026'!K538)</f>
        <v/>
      </c>
      <c r="Q538">
        <f>IF($A538="","",IF(OR($E538="INFRUCTUEUX",$E538="ANNULE"),$A538&amp;"|"&amp;(COUNTIFS($A$2:$A538,$A538,$E$2:$E538,"INFRUCTUEUX")+COUNTIFS($A$2:$A538,$A538,$E$2:$E538,"ANNULE")),""))</f>
        <v/>
      </c>
    </row>
    <row r="539">
      <c r="A539">
        <f>IF(ISBLANK('ENGAGEMENTS 2026'!C539),"",IF('ENGAGEMENTS 2026'!C539="DTSI","DCT",'ENGAGEMENTS 2026'!C539))</f>
        <v/>
      </c>
      <c r="B539">
        <f>IF(ISBLANK('ENGAGEMENTS 2026'!C539),"",'ENGAGEMENTS 2026'!D539)</f>
        <v/>
      </c>
      <c r="C539">
        <f>IF(ISBLANK('ENGAGEMENTS 2026'!C539),"",'ENGAGEMENTS 2026'!E539)</f>
        <v/>
      </c>
      <c r="D539">
        <f>IF(ISBLANK('ENGAGEMENTS 2026'!C539),"",'ENGAGEMENTS 2026'!G539)</f>
        <v/>
      </c>
      <c r="E539">
        <f>IF(ISBLANK('ENGAGEMENTS 2026'!C539),"",'ENGAGEMENTS 2026'!I539)</f>
        <v/>
      </c>
      <c r="F539">
        <f>IF(ISBLANK('ENGAGEMENTS 2026'!C539),"",'ENGAGEMENTS 2026'!J539)</f>
        <v/>
      </c>
      <c r="G539">
        <f>IF(ISBLANK('ENGAGEMENTS 2026'!C539),"",'ENGAGEMENTS 2026'!M539)</f>
        <v/>
      </c>
      <c r="H539">
        <f>IF(ISBLANK('ENGAGEMENTS 2026'!C539),"",'ENGAGEMENTS 2026'!AF539)</f>
        <v/>
      </c>
      <c r="I539">
        <f>IF(ISBLANK('ENGAGEMENTS 2026'!C539),"",'ENGAGEMENTS 2026'!H539)</f>
        <v/>
      </c>
      <c r="J539" s="275">
        <f>IF(ISBLANK('ENGAGEMENTS 2026'!C539),"",IF(AND(OR($E539="INFRUCTUEUX",$E539="ANNULE"),$C539="AOO-M"),'ENGAGEMENTS 2026'!P539,IF($H539="EN COURS DE PREENGAGEMENT",'ENGAGEMENTS 2026'!O539,IF($H539="PREENGAGE",IF($E539="ATTRIBUE",'ENGAGEMENTS 2026'!AE539,'ENGAGEMENTS 2026'!O539),'ENGAGEMENTS 2026'!AE539))))</f>
        <v/>
      </c>
      <c r="K539" s="604">
        <f>IF(ISBLANK('ENGAGEMENTS 2026'!W539),"",'ENGAGEMENTS 2026'!W539)</f>
        <v/>
      </c>
      <c r="L539" s="276">
        <f>IF($K539="","",TODAY()-$K539)</f>
        <v/>
      </c>
      <c r="M539">
        <f>IF($A539="","",IF($H539="ENGAGE","Engagé",IF(AND($H539="NON ENGAGE",OR($I539="INFRUCTUEUX",$I539="ANNULE")),"Clôturé sans suite","En cours")))</f>
        <v/>
      </c>
      <c r="N539">
        <f>IF(ISBLANK('ENGAGEMENTS 2026'!C539),"",'ENGAGEMENTS 2026'!L539)</f>
        <v/>
      </c>
      <c r="O539">
        <f>IF(ISBLANK('ENGAGEMENTS 2026'!C539),"",'ENGAGEMENTS 2026'!M539)</f>
        <v/>
      </c>
      <c r="P539">
        <f>IF(ISBLANK('ENGAGEMENTS 2026'!C539),"",'ENGAGEMENTS 2026'!K539)</f>
        <v/>
      </c>
      <c r="Q539">
        <f>IF($A539="","",IF(OR($E539="INFRUCTUEUX",$E539="ANNULE"),$A539&amp;"|"&amp;(COUNTIFS($A$2:$A539,$A539,$E$2:$E539,"INFRUCTUEUX")+COUNTIFS($A$2:$A539,$A539,$E$2:$E539,"ANNULE")),""))</f>
        <v/>
      </c>
    </row>
    <row r="540">
      <c r="A540">
        <f>IF(ISBLANK('ENGAGEMENTS 2026'!C540),"",IF('ENGAGEMENTS 2026'!C540="DTSI","DCT",'ENGAGEMENTS 2026'!C540))</f>
        <v/>
      </c>
      <c r="B540">
        <f>IF(ISBLANK('ENGAGEMENTS 2026'!C540),"",'ENGAGEMENTS 2026'!D540)</f>
        <v/>
      </c>
      <c r="C540">
        <f>IF(ISBLANK('ENGAGEMENTS 2026'!C540),"",'ENGAGEMENTS 2026'!E540)</f>
        <v/>
      </c>
      <c r="D540">
        <f>IF(ISBLANK('ENGAGEMENTS 2026'!C540),"",'ENGAGEMENTS 2026'!G540)</f>
        <v/>
      </c>
      <c r="E540">
        <f>IF(ISBLANK('ENGAGEMENTS 2026'!C540),"",'ENGAGEMENTS 2026'!I540)</f>
        <v/>
      </c>
      <c r="F540">
        <f>IF(ISBLANK('ENGAGEMENTS 2026'!C540),"",'ENGAGEMENTS 2026'!J540)</f>
        <v/>
      </c>
      <c r="G540">
        <f>IF(ISBLANK('ENGAGEMENTS 2026'!C540),"",'ENGAGEMENTS 2026'!M540)</f>
        <v/>
      </c>
      <c r="H540">
        <f>IF(ISBLANK('ENGAGEMENTS 2026'!C540),"",'ENGAGEMENTS 2026'!AF540)</f>
        <v/>
      </c>
      <c r="I540">
        <f>IF(ISBLANK('ENGAGEMENTS 2026'!C540),"",'ENGAGEMENTS 2026'!H540)</f>
        <v/>
      </c>
      <c r="J540" s="275">
        <f>IF(ISBLANK('ENGAGEMENTS 2026'!C540),"",IF(AND(OR($E540="INFRUCTUEUX",$E540="ANNULE"),$C540="AOO-M"),'ENGAGEMENTS 2026'!P540,IF($H540="EN COURS DE PREENGAGEMENT",'ENGAGEMENTS 2026'!O540,IF($H540="PREENGAGE",IF($E540="ATTRIBUE",'ENGAGEMENTS 2026'!AE540,'ENGAGEMENTS 2026'!O540),'ENGAGEMENTS 2026'!AE540))))</f>
        <v/>
      </c>
      <c r="K540" s="604">
        <f>IF(ISBLANK('ENGAGEMENTS 2026'!W540),"",'ENGAGEMENTS 2026'!W540)</f>
        <v/>
      </c>
      <c r="L540" s="276">
        <f>IF($K540="","",TODAY()-$K540)</f>
        <v/>
      </c>
      <c r="M540">
        <f>IF($A540="","",IF($H540="ENGAGE","Engagé",IF(AND($H540="NON ENGAGE",OR($I540="INFRUCTUEUX",$I540="ANNULE")),"Clôturé sans suite","En cours")))</f>
        <v/>
      </c>
      <c r="N540">
        <f>IF(ISBLANK('ENGAGEMENTS 2026'!C540),"",'ENGAGEMENTS 2026'!L540)</f>
        <v/>
      </c>
      <c r="O540">
        <f>IF(ISBLANK('ENGAGEMENTS 2026'!C540),"",'ENGAGEMENTS 2026'!M540)</f>
        <v/>
      </c>
      <c r="P540">
        <f>IF(ISBLANK('ENGAGEMENTS 2026'!C540),"",'ENGAGEMENTS 2026'!K540)</f>
        <v/>
      </c>
      <c r="Q540">
        <f>IF($A540="","",IF(OR($E540="INFRUCTUEUX",$E540="ANNULE"),$A540&amp;"|"&amp;(COUNTIFS($A$2:$A540,$A540,$E$2:$E540,"INFRUCTUEUX")+COUNTIFS($A$2:$A540,$A540,$E$2:$E540,"ANNULE")),""))</f>
        <v/>
      </c>
    </row>
    <row r="541">
      <c r="A541">
        <f>IF(ISBLANK('ENGAGEMENTS 2026'!C541),"",IF('ENGAGEMENTS 2026'!C541="DTSI","DCT",'ENGAGEMENTS 2026'!C541))</f>
        <v/>
      </c>
      <c r="B541">
        <f>IF(ISBLANK('ENGAGEMENTS 2026'!C541),"",'ENGAGEMENTS 2026'!D541)</f>
        <v/>
      </c>
      <c r="C541">
        <f>IF(ISBLANK('ENGAGEMENTS 2026'!C541),"",'ENGAGEMENTS 2026'!E541)</f>
        <v/>
      </c>
      <c r="D541">
        <f>IF(ISBLANK('ENGAGEMENTS 2026'!C541),"",'ENGAGEMENTS 2026'!G541)</f>
        <v/>
      </c>
      <c r="E541">
        <f>IF(ISBLANK('ENGAGEMENTS 2026'!C541),"",'ENGAGEMENTS 2026'!I541)</f>
        <v/>
      </c>
      <c r="F541">
        <f>IF(ISBLANK('ENGAGEMENTS 2026'!C541),"",'ENGAGEMENTS 2026'!J541)</f>
        <v/>
      </c>
      <c r="G541">
        <f>IF(ISBLANK('ENGAGEMENTS 2026'!C541),"",'ENGAGEMENTS 2026'!M541)</f>
        <v/>
      </c>
      <c r="H541">
        <f>IF(ISBLANK('ENGAGEMENTS 2026'!C541),"",'ENGAGEMENTS 2026'!AF541)</f>
        <v/>
      </c>
      <c r="I541">
        <f>IF(ISBLANK('ENGAGEMENTS 2026'!C541),"",'ENGAGEMENTS 2026'!H541)</f>
        <v/>
      </c>
      <c r="J541" s="275">
        <f>IF(ISBLANK('ENGAGEMENTS 2026'!C541),"",IF(AND(OR($E541="INFRUCTUEUX",$E541="ANNULE"),$C541="AOO-M"),'ENGAGEMENTS 2026'!P541,IF($H541="EN COURS DE PREENGAGEMENT",'ENGAGEMENTS 2026'!O541,IF($H541="PREENGAGE",IF($E541="ATTRIBUE",'ENGAGEMENTS 2026'!AE541,'ENGAGEMENTS 2026'!O541),'ENGAGEMENTS 2026'!AE541))))</f>
        <v/>
      </c>
      <c r="K541" s="604">
        <f>IF(ISBLANK('ENGAGEMENTS 2026'!W541),"",'ENGAGEMENTS 2026'!W541)</f>
        <v/>
      </c>
      <c r="L541" s="276">
        <f>IF($K541="","",TODAY()-$K541)</f>
        <v/>
      </c>
      <c r="M541">
        <f>IF($A541="","",IF($H541="ENGAGE","Engagé",IF(AND($H541="NON ENGAGE",OR($I541="INFRUCTUEUX",$I541="ANNULE")),"Clôturé sans suite","En cours")))</f>
        <v/>
      </c>
      <c r="N541">
        <f>IF(ISBLANK('ENGAGEMENTS 2026'!C541),"",'ENGAGEMENTS 2026'!L541)</f>
        <v/>
      </c>
      <c r="O541">
        <f>IF(ISBLANK('ENGAGEMENTS 2026'!C541),"",'ENGAGEMENTS 2026'!M541)</f>
        <v/>
      </c>
      <c r="P541">
        <f>IF(ISBLANK('ENGAGEMENTS 2026'!C541),"",'ENGAGEMENTS 2026'!K541)</f>
        <v/>
      </c>
      <c r="Q541">
        <f>IF($A541="","",IF(OR($E541="INFRUCTUEUX",$E541="ANNULE"),$A541&amp;"|"&amp;(COUNTIFS($A$2:$A541,$A541,$E$2:$E541,"INFRUCTUEUX")+COUNTIFS($A$2:$A541,$A541,$E$2:$E541,"ANNULE")),""))</f>
        <v/>
      </c>
    </row>
    <row r="542">
      <c r="A542">
        <f>IF(ISBLANK('ENGAGEMENTS 2026'!C542),"",IF('ENGAGEMENTS 2026'!C542="DTSI","DCT",'ENGAGEMENTS 2026'!C542))</f>
        <v/>
      </c>
      <c r="B542">
        <f>IF(ISBLANK('ENGAGEMENTS 2026'!C542),"",'ENGAGEMENTS 2026'!D542)</f>
        <v/>
      </c>
      <c r="C542">
        <f>IF(ISBLANK('ENGAGEMENTS 2026'!C542),"",'ENGAGEMENTS 2026'!E542)</f>
        <v/>
      </c>
      <c r="D542">
        <f>IF(ISBLANK('ENGAGEMENTS 2026'!C542),"",'ENGAGEMENTS 2026'!G542)</f>
        <v/>
      </c>
      <c r="E542">
        <f>IF(ISBLANK('ENGAGEMENTS 2026'!C542),"",'ENGAGEMENTS 2026'!I542)</f>
        <v/>
      </c>
      <c r="F542">
        <f>IF(ISBLANK('ENGAGEMENTS 2026'!C542),"",'ENGAGEMENTS 2026'!J542)</f>
        <v/>
      </c>
      <c r="G542">
        <f>IF(ISBLANK('ENGAGEMENTS 2026'!C542),"",'ENGAGEMENTS 2026'!M542)</f>
        <v/>
      </c>
      <c r="H542">
        <f>IF(ISBLANK('ENGAGEMENTS 2026'!C542),"",'ENGAGEMENTS 2026'!AF542)</f>
        <v/>
      </c>
      <c r="I542">
        <f>IF(ISBLANK('ENGAGEMENTS 2026'!C542),"",'ENGAGEMENTS 2026'!H542)</f>
        <v/>
      </c>
      <c r="J542" s="275">
        <f>IF(ISBLANK('ENGAGEMENTS 2026'!C542),"",IF(AND(OR($E542="INFRUCTUEUX",$E542="ANNULE"),$C542="AOO-M"),'ENGAGEMENTS 2026'!P542,IF($H542="EN COURS DE PREENGAGEMENT",'ENGAGEMENTS 2026'!O542,IF($H542="PREENGAGE",IF($E542="ATTRIBUE",'ENGAGEMENTS 2026'!AE542,'ENGAGEMENTS 2026'!O542),'ENGAGEMENTS 2026'!AE542))))</f>
        <v/>
      </c>
      <c r="K542" s="604">
        <f>IF(ISBLANK('ENGAGEMENTS 2026'!W542),"",'ENGAGEMENTS 2026'!W542)</f>
        <v/>
      </c>
      <c r="L542" s="276">
        <f>IF($K542="","",TODAY()-$K542)</f>
        <v/>
      </c>
      <c r="M542">
        <f>IF($A542="","",IF($H542="ENGAGE","Engagé",IF(AND($H542="NON ENGAGE",OR($I542="INFRUCTUEUX",$I542="ANNULE")),"Clôturé sans suite","En cours")))</f>
        <v/>
      </c>
      <c r="N542">
        <f>IF(ISBLANK('ENGAGEMENTS 2026'!C542),"",'ENGAGEMENTS 2026'!L542)</f>
        <v/>
      </c>
      <c r="O542">
        <f>IF(ISBLANK('ENGAGEMENTS 2026'!C542),"",'ENGAGEMENTS 2026'!M542)</f>
        <v/>
      </c>
      <c r="P542">
        <f>IF(ISBLANK('ENGAGEMENTS 2026'!C542),"",'ENGAGEMENTS 2026'!K542)</f>
        <v/>
      </c>
      <c r="Q542">
        <f>IF($A542="","",IF(OR($E542="INFRUCTUEUX",$E542="ANNULE"),$A542&amp;"|"&amp;(COUNTIFS($A$2:$A542,$A542,$E$2:$E542,"INFRUCTUEUX")+COUNTIFS($A$2:$A542,$A542,$E$2:$E542,"ANNULE")),""))</f>
        <v/>
      </c>
    </row>
    <row r="543">
      <c r="A543">
        <f>IF(ISBLANK('ENGAGEMENTS 2026'!C543),"",IF('ENGAGEMENTS 2026'!C543="DTSI","DCT",'ENGAGEMENTS 2026'!C543))</f>
        <v/>
      </c>
      <c r="B543">
        <f>IF(ISBLANK('ENGAGEMENTS 2026'!C543),"",'ENGAGEMENTS 2026'!D543)</f>
        <v/>
      </c>
      <c r="C543">
        <f>IF(ISBLANK('ENGAGEMENTS 2026'!C543),"",'ENGAGEMENTS 2026'!E543)</f>
        <v/>
      </c>
      <c r="D543">
        <f>IF(ISBLANK('ENGAGEMENTS 2026'!C543),"",'ENGAGEMENTS 2026'!G543)</f>
        <v/>
      </c>
      <c r="E543">
        <f>IF(ISBLANK('ENGAGEMENTS 2026'!C543),"",'ENGAGEMENTS 2026'!I543)</f>
        <v/>
      </c>
      <c r="F543">
        <f>IF(ISBLANK('ENGAGEMENTS 2026'!C543),"",'ENGAGEMENTS 2026'!J543)</f>
        <v/>
      </c>
      <c r="G543">
        <f>IF(ISBLANK('ENGAGEMENTS 2026'!C543),"",'ENGAGEMENTS 2026'!M543)</f>
        <v/>
      </c>
      <c r="H543">
        <f>IF(ISBLANK('ENGAGEMENTS 2026'!C543),"",'ENGAGEMENTS 2026'!AF543)</f>
        <v/>
      </c>
      <c r="I543">
        <f>IF(ISBLANK('ENGAGEMENTS 2026'!C543),"",'ENGAGEMENTS 2026'!H543)</f>
        <v/>
      </c>
      <c r="J543" s="275">
        <f>IF(ISBLANK('ENGAGEMENTS 2026'!C543),"",IF(AND(OR($E543="INFRUCTUEUX",$E543="ANNULE"),$C543="AOO-M"),'ENGAGEMENTS 2026'!P543,IF($H543="EN COURS DE PREENGAGEMENT",'ENGAGEMENTS 2026'!O543,IF($H543="PREENGAGE",IF($E543="ATTRIBUE",'ENGAGEMENTS 2026'!AE543,'ENGAGEMENTS 2026'!O543),'ENGAGEMENTS 2026'!AE543))))</f>
        <v/>
      </c>
      <c r="K543" s="604">
        <f>IF(ISBLANK('ENGAGEMENTS 2026'!W543),"",'ENGAGEMENTS 2026'!W543)</f>
        <v/>
      </c>
      <c r="L543" s="276">
        <f>IF($K543="","",TODAY()-$K543)</f>
        <v/>
      </c>
      <c r="M543">
        <f>IF($A543="","",IF($H543="ENGAGE","Engagé",IF(AND($H543="NON ENGAGE",OR($I543="INFRUCTUEUX",$I543="ANNULE")),"Clôturé sans suite","En cours")))</f>
        <v/>
      </c>
      <c r="N543">
        <f>IF(ISBLANK('ENGAGEMENTS 2026'!C543),"",'ENGAGEMENTS 2026'!L543)</f>
        <v/>
      </c>
      <c r="O543">
        <f>IF(ISBLANK('ENGAGEMENTS 2026'!C543),"",'ENGAGEMENTS 2026'!M543)</f>
        <v/>
      </c>
      <c r="P543">
        <f>IF(ISBLANK('ENGAGEMENTS 2026'!C543),"",'ENGAGEMENTS 2026'!K543)</f>
        <v/>
      </c>
      <c r="Q543">
        <f>IF($A543="","",IF(OR($E543="INFRUCTUEUX",$E543="ANNULE"),$A543&amp;"|"&amp;(COUNTIFS($A$2:$A543,$A543,$E$2:$E543,"INFRUCTUEUX")+COUNTIFS($A$2:$A543,$A543,$E$2:$E543,"ANNULE")),""))</f>
        <v/>
      </c>
    </row>
    <row r="544">
      <c r="A544">
        <f>IF(ISBLANK('ENGAGEMENTS 2026'!C544),"",IF('ENGAGEMENTS 2026'!C544="DTSI","DCT",'ENGAGEMENTS 2026'!C544))</f>
        <v/>
      </c>
      <c r="B544">
        <f>IF(ISBLANK('ENGAGEMENTS 2026'!C544),"",'ENGAGEMENTS 2026'!D544)</f>
        <v/>
      </c>
      <c r="C544">
        <f>IF(ISBLANK('ENGAGEMENTS 2026'!C544),"",'ENGAGEMENTS 2026'!E544)</f>
        <v/>
      </c>
      <c r="D544">
        <f>IF(ISBLANK('ENGAGEMENTS 2026'!C544),"",'ENGAGEMENTS 2026'!G544)</f>
        <v/>
      </c>
      <c r="E544">
        <f>IF(ISBLANK('ENGAGEMENTS 2026'!C544),"",'ENGAGEMENTS 2026'!I544)</f>
        <v/>
      </c>
      <c r="F544">
        <f>IF(ISBLANK('ENGAGEMENTS 2026'!C544),"",'ENGAGEMENTS 2026'!J544)</f>
        <v/>
      </c>
      <c r="G544">
        <f>IF(ISBLANK('ENGAGEMENTS 2026'!C544),"",'ENGAGEMENTS 2026'!M544)</f>
        <v/>
      </c>
      <c r="H544">
        <f>IF(ISBLANK('ENGAGEMENTS 2026'!C544),"",'ENGAGEMENTS 2026'!AF544)</f>
        <v/>
      </c>
      <c r="I544">
        <f>IF(ISBLANK('ENGAGEMENTS 2026'!C544),"",'ENGAGEMENTS 2026'!H544)</f>
        <v/>
      </c>
      <c r="J544" s="275">
        <f>IF(ISBLANK('ENGAGEMENTS 2026'!C544),"",IF(AND(OR($E544="INFRUCTUEUX",$E544="ANNULE"),$C544="AOO-M"),'ENGAGEMENTS 2026'!P544,IF($H544="EN COURS DE PREENGAGEMENT",'ENGAGEMENTS 2026'!O544,IF($H544="PREENGAGE",IF($E544="ATTRIBUE",'ENGAGEMENTS 2026'!AE544,'ENGAGEMENTS 2026'!O544),'ENGAGEMENTS 2026'!AE544))))</f>
        <v/>
      </c>
      <c r="K544" s="604">
        <f>IF(ISBLANK('ENGAGEMENTS 2026'!W544),"",'ENGAGEMENTS 2026'!W544)</f>
        <v/>
      </c>
      <c r="L544" s="276">
        <f>IF($K544="","",TODAY()-$K544)</f>
        <v/>
      </c>
      <c r="M544">
        <f>IF($A544="","",IF($H544="ENGAGE","Engagé",IF(AND($H544="NON ENGAGE",OR($I544="INFRUCTUEUX",$I544="ANNULE")),"Clôturé sans suite","En cours")))</f>
        <v/>
      </c>
      <c r="N544">
        <f>IF(ISBLANK('ENGAGEMENTS 2026'!C544),"",'ENGAGEMENTS 2026'!L544)</f>
        <v/>
      </c>
      <c r="O544">
        <f>IF(ISBLANK('ENGAGEMENTS 2026'!C544),"",'ENGAGEMENTS 2026'!M544)</f>
        <v/>
      </c>
      <c r="P544">
        <f>IF(ISBLANK('ENGAGEMENTS 2026'!C544),"",'ENGAGEMENTS 2026'!K544)</f>
        <v/>
      </c>
      <c r="Q544">
        <f>IF($A544="","",IF(OR($E544="INFRUCTUEUX",$E544="ANNULE"),$A544&amp;"|"&amp;(COUNTIFS($A$2:$A544,$A544,$E$2:$E544,"INFRUCTUEUX")+COUNTIFS($A$2:$A544,$A544,$E$2:$E544,"ANNULE")),""))</f>
        <v/>
      </c>
    </row>
    <row r="545">
      <c r="A545">
        <f>IF(ISBLANK('ENGAGEMENTS 2026'!C545),"",IF('ENGAGEMENTS 2026'!C545="DTSI","DCT",'ENGAGEMENTS 2026'!C545))</f>
        <v/>
      </c>
      <c r="B545">
        <f>IF(ISBLANK('ENGAGEMENTS 2026'!C545),"",'ENGAGEMENTS 2026'!D545)</f>
        <v/>
      </c>
      <c r="C545">
        <f>IF(ISBLANK('ENGAGEMENTS 2026'!C545),"",'ENGAGEMENTS 2026'!E545)</f>
        <v/>
      </c>
      <c r="D545">
        <f>IF(ISBLANK('ENGAGEMENTS 2026'!C545),"",'ENGAGEMENTS 2026'!G545)</f>
        <v/>
      </c>
      <c r="E545">
        <f>IF(ISBLANK('ENGAGEMENTS 2026'!C545),"",'ENGAGEMENTS 2026'!I545)</f>
        <v/>
      </c>
      <c r="F545">
        <f>IF(ISBLANK('ENGAGEMENTS 2026'!C545),"",'ENGAGEMENTS 2026'!J545)</f>
        <v/>
      </c>
      <c r="G545">
        <f>IF(ISBLANK('ENGAGEMENTS 2026'!C545),"",'ENGAGEMENTS 2026'!M545)</f>
        <v/>
      </c>
      <c r="H545">
        <f>IF(ISBLANK('ENGAGEMENTS 2026'!C545),"",'ENGAGEMENTS 2026'!AF545)</f>
        <v/>
      </c>
      <c r="I545">
        <f>IF(ISBLANK('ENGAGEMENTS 2026'!C545),"",'ENGAGEMENTS 2026'!H545)</f>
        <v/>
      </c>
      <c r="J545" s="275">
        <f>IF(ISBLANK('ENGAGEMENTS 2026'!C545),"",IF(AND(OR($E545="INFRUCTUEUX",$E545="ANNULE"),$C545="AOO-M"),'ENGAGEMENTS 2026'!P545,IF($H545="EN COURS DE PREENGAGEMENT",'ENGAGEMENTS 2026'!O545,IF($H545="PREENGAGE",IF($E545="ATTRIBUE",'ENGAGEMENTS 2026'!AE545,'ENGAGEMENTS 2026'!O545),'ENGAGEMENTS 2026'!AE545))))</f>
        <v/>
      </c>
      <c r="K545" s="604">
        <f>IF(ISBLANK('ENGAGEMENTS 2026'!W545),"",'ENGAGEMENTS 2026'!W545)</f>
        <v/>
      </c>
      <c r="L545" s="276">
        <f>IF($K545="","",TODAY()-$K545)</f>
        <v/>
      </c>
      <c r="M545">
        <f>IF($A545="","",IF($H545="ENGAGE","Engagé",IF(AND($H545="NON ENGAGE",OR($I545="INFRUCTUEUX",$I545="ANNULE")),"Clôturé sans suite","En cours")))</f>
        <v/>
      </c>
      <c r="N545">
        <f>IF(ISBLANK('ENGAGEMENTS 2026'!C545),"",'ENGAGEMENTS 2026'!L545)</f>
        <v/>
      </c>
      <c r="O545">
        <f>IF(ISBLANK('ENGAGEMENTS 2026'!C545),"",'ENGAGEMENTS 2026'!M545)</f>
        <v/>
      </c>
      <c r="P545">
        <f>IF(ISBLANK('ENGAGEMENTS 2026'!C545),"",'ENGAGEMENTS 2026'!K545)</f>
        <v/>
      </c>
      <c r="Q545">
        <f>IF($A545="","",IF(OR($E545="INFRUCTUEUX",$E545="ANNULE"),$A545&amp;"|"&amp;(COUNTIFS($A$2:$A545,$A545,$E$2:$E545,"INFRUCTUEUX")+COUNTIFS($A$2:$A545,$A545,$E$2:$E545,"ANNULE")),""))</f>
        <v/>
      </c>
    </row>
    <row r="546">
      <c r="A546">
        <f>IF(ISBLANK('ENGAGEMENTS 2026'!C546),"",IF('ENGAGEMENTS 2026'!C546="DTSI","DCT",'ENGAGEMENTS 2026'!C546))</f>
        <v/>
      </c>
      <c r="B546">
        <f>IF(ISBLANK('ENGAGEMENTS 2026'!C546),"",'ENGAGEMENTS 2026'!D546)</f>
        <v/>
      </c>
      <c r="C546">
        <f>IF(ISBLANK('ENGAGEMENTS 2026'!C546),"",'ENGAGEMENTS 2026'!E546)</f>
        <v/>
      </c>
      <c r="D546">
        <f>IF(ISBLANK('ENGAGEMENTS 2026'!C546),"",'ENGAGEMENTS 2026'!G546)</f>
        <v/>
      </c>
      <c r="E546">
        <f>IF(ISBLANK('ENGAGEMENTS 2026'!C546),"",'ENGAGEMENTS 2026'!I546)</f>
        <v/>
      </c>
      <c r="F546">
        <f>IF(ISBLANK('ENGAGEMENTS 2026'!C546),"",'ENGAGEMENTS 2026'!J546)</f>
        <v/>
      </c>
      <c r="G546">
        <f>IF(ISBLANK('ENGAGEMENTS 2026'!C546),"",'ENGAGEMENTS 2026'!M546)</f>
        <v/>
      </c>
      <c r="H546">
        <f>IF(ISBLANK('ENGAGEMENTS 2026'!C546),"",'ENGAGEMENTS 2026'!AF546)</f>
        <v/>
      </c>
      <c r="I546">
        <f>IF(ISBLANK('ENGAGEMENTS 2026'!C546),"",'ENGAGEMENTS 2026'!H546)</f>
        <v/>
      </c>
      <c r="J546" s="275">
        <f>IF(ISBLANK('ENGAGEMENTS 2026'!C546),"",IF(AND(OR($E546="INFRUCTUEUX",$E546="ANNULE"),$C546="AOO-M"),'ENGAGEMENTS 2026'!P546,IF($H546="EN COURS DE PREENGAGEMENT",'ENGAGEMENTS 2026'!O546,IF($H546="PREENGAGE",IF($E546="ATTRIBUE",'ENGAGEMENTS 2026'!AE546,'ENGAGEMENTS 2026'!O546),'ENGAGEMENTS 2026'!AE546))))</f>
        <v/>
      </c>
      <c r="K546" s="604">
        <f>IF(ISBLANK('ENGAGEMENTS 2026'!W546),"",'ENGAGEMENTS 2026'!W546)</f>
        <v/>
      </c>
      <c r="L546" s="276">
        <f>IF($K546="","",TODAY()-$K546)</f>
        <v/>
      </c>
      <c r="M546">
        <f>IF($A546="","",IF($H546="ENGAGE","Engagé",IF(AND($H546="NON ENGAGE",OR($I546="INFRUCTUEUX",$I546="ANNULE")),"Clôturé sans suite","En cours")))</f>
        <v/>
      </c>
      <c r="N546">
        <f>IF(ISBLANK('ENGAGEMENTS 2026'!C546),"",'ENGAGEMENTS 2026'!L546)</f>
        <v/>
      </c>
      <c r="O546">
        <f>IF(ISBLANK('ENGAGEMENTS 2026'!C546),"",'ENGAGEMENTS 2026'!M546)</f>
        <v/>
      </c>
      <c r="P546">
        <f>IF(ISBLANK('ENGAGEMENTS 2026'!C546),"",'ENGAGEMENTS 2026'!K546)</f>
        <v/>
      </c>
      <c r="Q546">
        <f>IF($A546="","",IF(OR($E546="INFRUCTUEUX",$E546="ANNULE"),$A546&amp;"|"&amp;(COUNTIFS($A$2:$A546,$A546,$E$2:$E546,"INFRUCTUEUX")+COUNTIFS($A$2:$A546,$A546,$E$2:$E546,"ANNULE")),""))</f>
        <v/>
      </c>
    </row>
    <row r="547">
      <c r="A547">
        <f>IF(ISBLANK('ENGAGEMENTS 2026'!C547),"",IF('ENGAGEMENTS 2026'!C547="DTSI","DCT",'ENGAGEMENTS 2026'!C547))</f>
        <v/>
      </c>
      <c r="B547">
        <f>IF(ISBLANK('ENGAGEMENTS 2026'!C547),"",'ENGAGEMENTS 2026'!D547)</f>
        <v/>
      </c>
      <c r="C547">
        <f>IF(ISBLANK('ENGAGEMENTS 2026'!C547),"",'ENGAGEMENTS 2026'!E547)</f>
        <v/>
      </c>
      <c r="D547">
        <f>IF(ISBLANK('ENGAGEMENTS 2026'!C547),"",'ENGAGEMENTS 2026'!G547)</f>
        <v/>
      </c>
      <c r="E547">
        <f>IF(ISBLANK('ENGAGEMENTS 2026'!C547),"",'ENGAGEMENTS 2026'!I547)</f>
        <v/>
      </c>
      <c r="F547">
        <f>IF(ISBLANK('ENGAGEMENTS 2026'!C547),"",'ENGAGEMENTS 2026'!J547)</f>
        <v/>
      </c>
      <c r="G547">
        <f>IF(ISBLANK('ENGAGEMENTS 2026'!C547),"",'ENGAGEMENTS 2026'!M547)</f>
        <v/>
      </c>
      <c r="H547">
        <f>IF(ISBLANK('ENGAGEMENTS 2026'!C547),"",'ENGAGEMENTS 2026'!AF547)</f>
        <v/>
      </c>
      <c r="I547">
        <f>IF(ISBLANK('ENGAGEMENTS 2026'!C547),"",'ENGAGEMENTS 2026'!H547)</f>
        <v/>
      </c>
      <c r="J547" s="275">
        <f>IF(ISBLANK('ENGAGEMENTS 2026'!C547),"",IF(AND(OR($E547="INFRUCTUEUX",$E547="ANNULE"),$C547="AOO-M"),'ENGAGEMENTS 2026'!P547,IF($H547="EN COURS DE PREENGAGEMENT",'ENGAGEMENTS 2026'!O547,IF($H547="PREENGAGE",IF($E547="ATTRIBUE",'ENGAGEMENTS 2026'!AE547,'ENGAGEMENTS 2026'!O547),'ENGAGEMENTS 2026'!AE547))))</f>
        <v/>
      </c>
      <c r="K547" s="604">
        <f>IF(ISBLANK('ENGAGEMENTS 2026'!W547),"",'ENGAGEMENTS 2026'!W547)</f>
        <v/>
      </c>
      <c r="L547" s="276">
        <f>IF($K547="","",TODAY()-$K547)</f>
        <v/>
      </c>
      <c r="M547">
        <f>IF($A547="","",IF($H547="ENGAGE","Engagé",IF(AND($H547="NON ENGAGE",OR($I547="INFRUCTUEUX",$I547="ANNULE")),"Clôturé sans suite","En cours")))</f>
        <v/>
      </c>
      <c r="N547">
        <f>IF(ISBLANK('ENGAGEMENTS 2026'!C547),"",'ENGAGEMENTS 2026'!L547)</f>
        <v/>
      </c>
      <c r="O547">
        <f>IF(ISBLANK('ENGAGEMENTS 2026'!C547),"",'ENGAGEMENTS 2026'!M547)</f>
        <v/>
      </c>
      <c r="P547">
        <f>IF(ISBLANK('ENGAGEMENTS 2026'!C547),"",'ENGAGEMENTS 2026'!K547)</f>
        <v/>
      </c>
      <c r="Q547">
        <f>IF($A547="","",IF(OR($E547="INFRUCTUEUX",$E547="ANNULE"),$A547&amp;"|"&amp;(COUNTIFS($A$2:$A547,$A547,$E$2:$E547,"INFRUCTUEUX")+COUNTIFS($A$2:$A547,$A547,$E$2:$E547,"ANNULE")),""))</f>
        <v/>
      </c>
    </row>
    <row r="548">
      <c r="A548">
        <f>IF(ISBLANK('ENGAGEMENTS 2026'!C548),"",IF('ENGAGEMENTS 2026'!C548="DTSI","DCT",'ENGAGEMENTS 2026'!C548))</f>
        <v/>
      </c>
      <c r="B548">
        <f>IF(ISBLANK('ENGAGEMENTS 2026'!C548),"",'ENGAGEMENTS 2026'!D548)</f>
        <v/>
      </c>
      <c r="C548">
        <f>IF(ISBLANK('ENGAGEMENTS 2026'!C548),"",'ENGAGEMENTS 2026'!E548)</f>
        <v/>
      </c>
      <c r="D548">
        <f>IF(ISBLANK('ENGAGEMENTS 2026'!C548),"",'ENGAGEMENTS 2026'!G548)</f>
        <v/>
      </c>
      <c r="E548">
        <f>IF(ISBLANK('ENGAGEMENTS 2026'!C548),"",'ENGAGEMENTS 2026'!I548)</f>
        <v/>
      </c>
      <c r="F548">
        <f>IF(ISBLANK('ENGAGEMENTS 2026'!C548),"",'ENGAGEMENTS 2026'!J548)</f>
        <v/>
      </c>
      <c r="G548">
        <f>IF(ISBLANK('ENGAGEMENTS 2026'!C548),"",'ENGAGEMENTS 2026'!M548)</f>
        <v/>
      </c>
      <c r="H548">
        <f>IF(ISBLANK('ENGAGEMENTS 2026'!C548),"",'ENGAGEMENTS 2026'!AF548)</f>
        <v/>
      </c>
      <c r="I548">
        <f>IF(ISBLANK('ENGAGEMENTS 2026'!C548),"",'ENGAGEMENTS 2026'!H548)</f>
        <v/>
      </c>
      <c r="J548" s="275">
        <f>IF(ISBLANK('ENGAGEMENTS 2026'!C548),"",IF(AND(OR($E548="INFRUCTUEUX",$E548="ANNULE"),$C548="AOO-M"),'ENGAGEMENTS 2026'!P548,IF($H548="EN COURS DE PREENGAGEMENT",'ENGAGEMENTS 2026'!O548,IF($H548="PREENGAGE",IF($E548="ATTRIBUE",'ENGAGEMENTS 2026'!AE548,'ENGAGEMENTS 2026'!O548),'ENGAGEMENTS 2026'!AE548))))</f>
        <v/>
      </c>
      <c r="K548" s="604">
        <f>IF(ISBLANK('ENGAGEMENTS 2026'!W548),"",'ENGAGEMENTS 2026'!W548)</f>
        <v/>
      </c>
      <c r="L548" s="276">
        <f>IF($K548="","",TODAY()-$K548)</f>
        <v/>
      </c>
      <c r="M548">
        <f>IF($A548="","",IF($H548="ENGAGE","Engagé",IF(AND($H548="NON ENGAGE",OR($I548="INFRUCTUEUX",$I548="ANNULE")),"Clôturé sans suite","En cours")))</f>
        <v/>
      </c>
      <c r="N548">
        <f>IF(ISBLANK('ENGAGEMENTS 2026'!C548),"",'ENGAGEMENTS 2026'!L548)</f>
        <v/>
      </c>
      <c r="O548">
        <f>IF(ISBLANK('ENGAGEMENTS 2026'!C548),"",'ENGAGEMENTS 2026'!M548)</f>
        <v/>
      </c>
      <c r="P548">
        <f>IF(ISBLANK('ENGAGEMENTS 2026'!C548),"",'ENGAGEMENTS 2026'!K548)</f>
        <v/>
      </c>
      <c r="Q548">
        <f>IF($A548="","",IF(OR($E548="INFRUCTUEUX",$E548="ANNULE"),$A548&amp;"|"&amp;(COUNTIFS($A$2:$A548,$A548,$E$2:$E548,"INFRUCTUEUX")+COUNTIFS($A$2:$A548,$A548,$E$2:$E548,"ANNULE")),""))</f>
        <v/>
      </c>
    </row>
    <row r="549">
      <c r="A549">
        <f>IF(ISBLANK('ENGAGEMENTS 2026'!C549),"",IF('ENGAGEMENTS 2026'!C549="DTSI","DCT",'ENGAGEMENTS 2026'!C549))</f>
        <v/>
      </c>
      <c r="B549">
        <f>IF(ISBLANK('ENGAGEMENTS 2026'!C549),"",'ENGAGEMENTS 2026'!D549)</f>
        <v/>
      </c>
      <c r="C549">
        <f>IF(ISBLANK('ENGAGEMENTS 2026'!C549),"",'ENGAGEMENTS 2026'!E549)</f>
        <v/>
      </c>
      <c r="D549">
        <f>IF(ISBLANK('ENGAGEMENTS 2026'!C549),"",'ENGAGEMENTS 2026'!G549)</f>
        <v/>
      </c>
      <c r="E549">
        <f>IF(ISBLANK('ENGAGEMENTS 2026'!C549),"",'ENGAGEMENTS 2026'!I549)</f>
        <v/>
      </c>
      <c r="F549">
        <f>IF(ISBLANK('ENGAGEMENTS 2026'!C549),"",'ENGAGEMENTS 2026'!J549)</f>
        <v/>
      </c>
      <c r="G549">
        <f>IF(ISBLANK('ENGAGEMENTS 2026'!C549),"",'ENGAGEMENTS 2026'!M549)</f>
        <v/>
      </c>
      <c r="H549">
        <f>IF(ISBLANK('ENGAGEMENTS 2026'!C549),"",'ENGAGEMENTS 2026'!AF549)</f>
        <v/>
      </c>
      <c r="I549">
        <f>IF(ISBLANK('ENGAGEMENTS 2026'!C549),"",'ENGAGEMENTS 2026'!H549)</f>
        <v/>
      </c>
      <c r="J549" s="275">
        <f>IF(ISBLANK('ENGAGEMENTS 2026'!C549),"",IF(AND(OR($E549="INFRUCTUEUX",$E549="ANNULE"),$C549="AOO-M"),'ENGAGEMENTS 2026'!P549,IF($H549="EN COURS DE PREENGAGEMENT",'ENGAGEMENTS 2026'!O549,IF($H549="PREENGAGE",IF($E549="ATTRIBUE",'ENGAGEMENTS 2026'!AE549,'ENGAGEMENTS 2026'!O549),'ENGAGEMENTS 2026'!AE549))))</f>
        <v/>
      </c>
      <c r="K549" s="604">
        <f>IF(ISBLANK('ENGAGEMENTS 2026'!W549),"",'ENGAGEMENTS 2026'!W549)</f>
        <v/>
      </c>
      <c r="L549" s="276">
        <f>IF($K549="","",TODAY()-$K549)</f>
        <v/>
      </c>
      <c r="M549">
        <f>IF($A549="","",IF($H549="ENGAGE","Engagé",IF(AND($H549="NON ENGAGE",OR($I549="INFRUCTUEUX",$I549="ANNULE")),"Clôturé sans suite","En cours")))</f>
        <v/>
      </c>
      <c r="N549">
        <f>IF(ISBLANK('ENGAGEMENTS 2026'!C549),"",'ENGAGEMENTS 2026'!L549)</f>
        <v/>
      </c>
      <c r="O549">
        <f>IF(ISBLANK('ENGAGEMENTS 2026'!C549),"",'ENGAGEMENTS 2026'!M549)</f>
        <v/>
      </c>
      <c r="P549">
        <f>IF(ISBLANK('ENGAGEMENTS 2026'!C549),"",'ENGAGEMENTS 2026'!K549)</f>
        <v/>
      </c>
      <c r="Q549">
        <f>IF($A549="","",IF(OR($E549="INFRUCTUEUX",$E549="ANNULE"),$A549&amp;"|"&amp;(COUNTIFS($A$2:$A549,$A549,$E$2:$E549,"INFRUCTUEUX")+COUNTIFS($A$2:$A549,$A549,$E$2:$E549,"ANNULE")),""))</f>
        <v/>
      </c>
    </row>
    <row r="550">
      <c r="A550">
        <f>IF(ISBLANK('ENGAGEMENTS 2026'!C550),"",IF('ENGAGEMENTS 2026'!C550="DTSI","DCT",'ENGAGEMENTS 2026'!C550))</f>
        <v/>
      </c>
      <c r="B550">
        <f>IF(ISBLANK('ENGAGEMENTS 2026'!C550),"",'ENGAGEMENTS 2026'!D550)</f>
        <v/>
      </c>
      <c r="C550">
        <f>IF(ISBLANK('ENGAGEMENTS 2026'!C550),"",'ENGAGEMENTS 2026'!E550)</f>
        <v/>
      </c>
      <c r="D550">
        <f>IF(ISBLANK('ENGAGEMENTS 2026'!C550),"",'ENGAGEMENTS 2026'!G550)</f>
        <v/>
      </c>
      <c r="E550">
        <f>IF(ISBLANK('ENGAGEMENTS 2026'!C550),"",'ENGAGEMENTS 2026'!I550)</f>
        <v/>
      </c>
      <c r="F550">
        <f>IF(ISBLANK('ENGAGEMENTS 2026'!C550),"",'ENGAGEMENTS 2026'!J550)</f>
        <v/>
      </c>
      <c r="G550">
        <f>IF(ISBLANK('ENGAGEMENTS 2026'!C550),"",'ENGAGEMENTS 2026'!M550)</f>
        <v/>
      </c>
      <c r="H550">
        <f>IF(ISBLANK('ENGAGEMENTS 2026'!C550),"",'ENGAGEMENTS 2026'!AF550)</f>
        <v/>
      </c>
      <c r="I550">
        <f>IF(ISBLANK('ENGAGEMENTS 2026'!C550),"",'ENGAGEMENTS 2026'!H550)</f>
        <v/>
      </c>
      <c r="J550" s="275">
        <f>IF(ISBLANK('ENGAGEMENTS 2026'!C550),"",IF(AND(OR($E550="INFRUCTUEUX",$E550="ANNULE"),$C550="AOO-M"),'ENGAGEMENTS 2026'!P550,IF($H550="EN COURS DE PREENGAGEMENT",'ENGAGEMENTS 2026'!O550,IF($H550="PREENGAGE",IF($E550="ATTRIBUE",'ENGAGEMENTS 2026'!AE550,'ENGAGEMENTS 2026'!O550),'ENGAGEMENTS 2026'!AE550))))</f>
        <v/>
      </c>
      <c r="K550" s="604">
        <f>IF(ISBLANK('ENGAGEMENTS 2026'!W550),"",'ENGAGEMENTS 2026'!W550)</f>
        <v/>
      </c>
      <c r="L550" s="276">
        <f>IF($K550="","",TODAY()-$K550)</f>
        <v/>
      </c>
      <c r="M550">
        <f>IF($A550="","",IF($H550="ENGAGE","Engagé",IF(AND($H550="NON ENGAGE",OR($I550="INFRUCTUEUX",$I550="ANNULE")),"Clôturé sans suite","En cours")))</f>
        <v/>
      </c>
      <c r="N550">
        <f>IF(ISBLANK('ENGAGEMENTS 2026'!C550),"",'ENGAGEMENTS 2026'!L550)</f>
        <v/>
      </c>
      <c r="O550">
        <f>IF(ISBLANK('ENGAGEMENTS 2026'!C550),"",'ENGAGEMENTS 2026'!M550)</f>
        <v/>
      </c>
      <c r="P550">
        <f>IF(ISBLANK('ENGAGEMENTS 2026'!C550),"",'ENGAGEMENTS 2026'!K550)</f>
        <v/>
      </c>
      <c r="Q550">
        <f>IF($A550="","",IF(OR($E550="INFRUCTUEUX",$E550="ANNULE"),$A550&amp;"|"&amp;(COUNTIFS($A$2:$A550,$A550,$E$2:$E550,"INFRUCTUEUX")+COUNTIFS($A$2:$A550,$A550,$E$2:$E550,"ANNULE")),""))</f>
        <v/>
      </c>
    </row>
    <row r="551">
      <c r="A551">
        <f>IF(ISBLANK('ENGAGEMENTS 2026'!C551),"",IF('ENGAGEMENTS 2026'!C551="DTSI","DCT",'ENGAGEMENTS 2026'!C551))</f>
        <v/>
      </c>
      <c r="B551">
        <f>IF(ISBLANK('ENGAGEMENTS 2026'!C551),"",'ENGAGEMENTS 2026'!D551)</f>
        <v/>
      </c>
      <c r="C551">
        <f>IF(ISBLANK('ENGAGEMENTS 2026'!C551),"",'ENGAGEMENTS 2026'!E551)</f>
        <v/>
      </c>
      <c r="D551">
        <f>IF(ISBLANK('ENGAGEMENTS 2026'!C551),"",'ENGAGEMENTS 2026'!G551)</f>
        <v/>
      </c>
      <c r="E551">
        <f>IF(ISBLANK('ENGAGEMENTS 2026'!C551),"",'ENGAGEMENTS 2026'!I551)</f>
        <v/>
      </c>
      <c r="F551">
        <f>IF(ISBLANK('ENGAGEMENTS 2026'!C551),"",'ENGAGEMENTS 2026'!J551)</f>
        <v/>
      </c>
      <c r="G551">
        <f>IF(ISBLANK('ENGAGEMENTS 2026'!C551),"",'ENGAGEMENTS 2026'!M551)</f>
        <v/>
      </c>
      <c r="H551">
        <f>IF(ISBLANK('ENGAGEMENTS 2026'!C551),"",'ENGAGEMENTS 2026'!AF551)</f>
        <v/>
      </c>
      <c r="I551">
        <f>IF(ISBLANK('ENGAGEMENTS 2026'!C551),"",'ENGAGEMENTS 2026'!H551)</f>
        <v/>
      </c>
      <c r="J551" s="275">
        <f>IF(ISBLANK('ENGAGEMENTS 2026'!C551),"",IF(AND(OR($E551="INFRUCTUEUX",$E551="ANNULE"),$C551="AOO-M"),'ENGAGEMENTS 2026'!P551,IF($H551="EN COURS DE PREENGAGEMENT",'ENGAGEMENTS 2026'!O551,IF($H551="PREENGAGE",IF($E551="ATTRIBUE",'ENGAGEMENTS 2026'!AE551,'ENGAGEMENTS 2026'!O551),'ENGAGEMENTS 2026'!AE551))))</f>
        <v/>
      </c>
      <c r="K551" s="604">
        <f>IF(ISBLANK('ENGAGEMENTS 2026'!W551),"",'ENGAGEMENTS 2026'!W551)</f>
        <v/>
      </c>
      <c r="L551" s="276">
        <f>IF($K551="","",TODAY()-$K551)</f>
        <v/>
      </c>
      <c r="M551">
        <f>IF($A551="","",IF($H551="ENGAGE","Engagé",IF(AND($H551="NON ENGAGE",OR($I551="INFRUCTUEUX",$I551="ANNULE")),"Clôturé sans suite","En cours")))</f>
        <v/>
      </c>
      <c r="N551">
        <f>IF(ISBLANK('ENGAGEMENTS 2026'!C551),"",'ENGAGEMENTS 2026'!L551)</f>
        <v/>
      </c>
      <c r="O551">
        <f>IF(ISBLANK('ENGAGEMENTS 2026'!C551),"",'ENGAGEMENTS 2026'!M551)</f>
        <v/>
      </c>
      <c r="P551">
        <f>IF(ISBLANK('ENGAGEMENTS 2026'!C551),"",'ENGAGEMENTS 2026'!K551)</f>
        <v/>
      </c>
      <c r="Q551">
        <f>IF($A551="","",IF(OR($E551="INFRUCTUEUX",$E551="ANNULE"),$A551&amp;"|"&amp;(COUNTIFS($A$2:$A551,$A551,$E$2:$E551,"INFRUCTUEUX")+COUNTIFS($A$2:$A551,$A551,$E$2:$E551,"ANNULE")),""))</f>
        <v/>
      </c>
    </row>
    <row r="552">
      <c r="A552">
        <f>IF(ISBLANK('ENGAGEMENTS 2026'!C552),"",IF('ENGAGEMENTS 2026'!C552="DTSI","DCT",'ENGAGEMENTS 2026'!C552))</f>
        <v/>
      </c>
      <c r="B552">
        <f>IF(ISBLANK('ENGAGEMENTS 2026'!C552),"",'ENGAGEMENTS 2026'!D552)</f>
        <v/>
      </c>
      <c r="C552">
        <f>IF(ISBLANK('ENGAGEMENTS 2026'!C552),"",'ENGAGEMENTS 2026'!E552)</f>
        <v/>
      </c>
      <c r="D552">
        <f>IF(ISBLANK('ENGAGEMENTS 2026'!C552),"",'ENGAGEMENTS 2026'!G552)</f>
        <v/>
      </c>
      <c r="E552">
        <f>IF(ISBLANK('ENGAGEMENTS 2026'!C552),"",'ENGAGEMENTS 2026'!I552)</f>
        <v/>
      </c>
      <c r="F552">
        <f>IF(ISBLANK('ENGAGEMENTS 2026'!C552),"",'ENGAGEMENTS 2026'!J552)</f>
        <v/>
      </c>
      <c r="G552">
        <f>IF(ISBLANK('ENGAGEMENTS 2026'!C552),"",'ENGAGEMENTS 2026'!M552)</f>
        <v/>
      </c>
      <c r="H552">
        <f>IF(ISBLANK('ENGAGEMENTS 2026'!C552),"",'ENGAGEMENTS 2026'!AF552)</f>
        <v/>
      </c>
      <c r="I552">
        <f>IF(ISBLANK('ENGAGEMENTS 2026'!C552),"",'ENGAGEMENTS 2026'!H552)</f>
        <v/>
      </c>
      <c r="J552" s="275">
        <f>IF(ISBLANK('ENGAGEMENTS 2026'!C552),"",IF(AND(OR($E552="INFRUCTUEUX",$E552="ANNULE"),$C552="AOO-M"),'ENGAGEMENTS 2026'!P552,IF($H552="EN COURS DE PREENGAGEMENT",'ENGAGEMENTS 2026'!O552,IF($H552="PREENGAGE",IF($E552="ATTRIBUE",'ENGAGEMENTS 2026'!AE552,'ENGAGEMENTS 2026'!O552),'ENGAGEMENTS 2026'!AE552))))</f>
        <v/>
      </c>
      <c r="K552" s="604">
        <f>IF(ISBLANK('ENGAGEMENTS 2026'!W552),"",'ENGAGEMENTS 2026'!W552)</f>
        <v/>
      </c>
      <c r="L552" s="276">
        <f>IF($K552="","",TODAY()-$K552)</f>
        <v/>
      </c>
      <c r="M552">
        <f>IF($A552="","",IF($H552="ENGAGE","Engagé",IF(AND($H552="NON ENGAGE",OR($I552="INFRUCTUEUX",$I552="ANNULE")),"Clôturé sans suite","En cours")))</f>
        <v/>
      </c>
      <c r="N552">
        <f>IF(ISBLANK('ENGAGEMENTS 2026'!C552),"",'ENGAGEMENTS 2026'!L552)</f>
        <v/>
      </c>
      <c r="O552">
        <f>IF(ISBLANK('ENGAGEMENTS 2026'!C552),"",'ENGAGEMENTS 2026'!M552)</f>
        <v/>
      </c>
      <c r="P552">
        <f>IF(ISBLANK('ENGAGEMENTS 2026'!C552),"",'ENGAGEMENTS 2026'!K552)</f>
        <v/>
      </c>
      <c r="Q552">
        <f>IF($A552="","",IF(OR($E552="INFRUCTUEUX",$E552="ANNULE"),$A552&amp;"|"&amp;(COUNTIFS($A$2:$A552,$A552,$E$2:$E552,"INFRUCTUEUX")+COUNTIFS($A$2:$A552,$A552,$E$2:$E552,"ANNULE")),""))</f>
        <v/>
      </c>
    </row>
    <row r="553">
      <c r="A553">
        <f>IF(ISBLANK('ENGAGEMENTS 2026'!C553),"",IF('ENGAGEMENTS 2026'!C553="DTSI","DCT",'ENGAGEMENTS 2026'!C553))</f>
        <v/>
      </c>
      <c r="B553">
        <f>IF(ISBLANK('ENGAGEMENTS 2026'!C553),"",'ENGAGEMENTS 2026'!D553)</f>
        <v/>
      </c>
      <c r="C553">
        <f>IF(ISBLANK('ENGAGEMENTS 2026'!C553),"",'ENGAGEMENTS 2026'!E553)</f>
        <v/>
      </c>
      <c r="D553">
        <f>IF(ISBLANK('ENGAGEMENTS 2026'!C553),"",'ENGAGEMENTS 2026'!G553)</f>
        <v/>
      </c>
      <c r="E553">
        <f>IF(ISBLANK('ENGAGEMENTS 2026'!C553),"",'ENGAGEMENTS 2026'!I553)</f>
        <v/>
      </c>
      <c r="F553">
        <f>IF(ISBLANK('ENGAGEMENTS 2026'!C553),"",'ENGAGEMENTS 2026'!J553)</f>
        <v/>
      </c>
      <c r="G553">
        <f>IF(ISBLANK('ENGAGEMENTS 2026'!C553),"",'ENGAGEMENTS 2026'!M553)</f>
        <v/>
      </c>
      <c r="H553">
        <f>IF(ISBLANK('ENGAGEMENTS 2026'!C553),"",'ENGAGEMENTS 2026'!AF553)</f>
        <v/>
      </c>
      <c r="I553">
        <f>IF(ISBLANK('ENGAGEMENTS 2026'!C553),"",'ENGAGEMENTS 2026'!H553)</f>
        <v/>
      </c>
      <c r="J553" s="275">
        <f>IF(ISBLANK('ENGAGEMENTS 2026'!C553),"",IF(AND(OR($E553="INFRUCTUEUX",$E553="ANNULE"),$C553="AOO-M"),'ENGAGEMENTS 2026'!P553,IF($H553="EN COURS DE PREENGAGEMENT",'ENGAGEMENTS 2026'!O553,IF($H553="PREENGAGE",IF($E553="ATTRIBUE",'ENGAGEMENTS 2026'!AE553,'ENGAGEMENTS 2026'!O553),'ENGAGEMENTS 2026'!AE553))))</f>
        <v/>
      </c>
      <c r="K553" s="604">
        <f>IF(ISBLANK('ENGAGEMENTS 2026'!W553),"",'ENGAGEMENTS 2026'!W553)</f>
        <v/>
      </c>
      <c r="L553" s="276">
        <f>IF($K553="","",TODAY()-$K553)</f>
        <v/>
      </c>
      <c r="M553">
        <f>IF($A553="","",IF($H553="ENGAGE","Engagé",IF(AND($H553="NON ENGAGE",OR($I553="INFRUCTUEUX",$I553="ANNULE")),"Clôturé sans suite","En cours")))</f>
        <v/>
      </c>
      <c r="N553">
        <f>IF(ISBLANK('ENGAGEMENTS 2026'!C553),"",'ENGAGEMENTS 2026'!L553)</f>
        <v/>
      </c>
      <c r="O553">
        <f>IF(ISBLANK('ENGAGEMENTS 2026'!C553),"",'ENGAGEMENTS 2026'!M553)</f>
        <v/>
      </c>
      <c r="P553">
        <f>IF(ISBLANK('ENGAGEMENTS 2026'!C553),"",'ENGAGEMENTS 2026'!K553)</f>
        <v/>
      </c>
      <c r="Q553">
        <f>IF($A553="","",IF(OR($E553="INFRUCTUEUX",$E553="ANNULE"),$A553&amp;"|"&amp;(COUNTIFS($A$2:$A553,$A553,$E$2:$E553,"INFRUCTUEUX")+COUNTIFS($A$2:$A553,$A553,$E$2:$E553,"ANNULE")),""))</f>
        <v/>
      </c>
    </row>
    <row r="554">
      <c r="A554">
        <f>IF(ISBLANK('ENGAGEMENTS 2026'!C554),"",IF('ENGAGEMENTS 2026'!C554="DTSI","DCT",'ENGAGEMENTS 2026'!C554))</f>
        <v/>
      </c>
      <c r="B554">
        <f>IF(ISBLANK('ENGAGEMENTS 2026'!C554),"",'ENGAGEMENTS 2026'!D554)</f>
        <v/>
      </c>
      <c r="C554">
        <f>IF(ISBLANK('ENGAGEMENTS 2026'!C554),"",'ENGAGEMENTS 2026'!E554)</f>
        <v/>
      </c>
      <c r="D554">
        <f>IF(ISBLANK('ENGAGEMENTS 2026'!C554),"",'ENGAGEMENTS 2026'!G554)</f>
        <v/>
      </c>
      <c r="E554">
        <f>IF(ISBLANK('ENGAGEMENTS 2026'!C554),"",'ENGAGEMENTS 2026'!I554)</f>
        <v/>
      </c>
      <c r="F554">
        <f>IF(ISBLANK('ENGAGEMENTS 2026'!C554),"",'ENGAGEMENTS 2026'!J554)</f>
        <v/>
      </c>
      <c r="G554">
        <f>IF(ISBLANK('ENGAGEMENTS 2026'!C554),"",'ENGAGEMENTS 2026'!M554)</f>
        <v/>
      </c>
      <c r="H554">
        <f>IF(ISBLANK('ENGAGEMENTS 2026'!C554),"",'ENGAGEMENTS 2026'!AF554)</f>
        <v/>
      </c>
      <c r="I554">
        <f>IF(ISBLANK('ENGAGEMENTS 2026'!C554),"",'ENGAGEMENTS 2026'!H554)</f>
        <v/>
      </c>
      <c r="J554" s="275">
        <f>IF(ISBLANK('ENGAGEMENTS 2026'!C554),"",IF(AND(OR($E554="INFRUCTUEUX",$E554="ANNULE"),$C554="AOO-M"),'ENGAGEMENTS 2026'!P554,IF($H554="EN COURS DE PREENGAGEMENT",'ENGAGEMENTS 2026'!O554,IF($H554="PREENGAGE",IF($E554="ATTRIBUE",'ENGAGEMENTS 2026'!AE554,'ENGAGEMENTS 2026'!O554),'ENGAGEMENTS 2026'!AE554))))</f>
        <v/>
      </c>
      <c r="K554" s="604">
        <f>IF(ISBLANK('ENGAGEMENTS 2026'!W554),"",'ENGAGEMENTS 2026'!W554)</f>
        <v/>
      </c>
      <c r="L554" s="276">
        <f>IF($K554="","",TODAY()-$K554)</f>
        <v/>
      </c>
      <c r="M554">
        <f>IF($A554="","",IF($H554="ENGAGE","Engagé",IF(AND($H554="NON ENGAGE",OR($I554="INFRUCTUEUX",$I554="ANNULE")),"Clôturé sans suite","En cours")))</f>
        <v/>
      </c>
      <c r="N554">
        <f>IF(ISBLANK('ENGAGEMENTS 2026'!C554),"",'ENGAGEMENTS 2026'!L554)</f>
        <v/>
      </c>
      <c r="O554">
        <f>IF(ISBLANK('ENGAGEMENTS 2026'!C554),"",'ENGAGEMENTS 2026'!M554)</f>
        <v/>
      </c>
      <c r="P554">
        <f>IF(ISBLANK('ENGAGEMENTS 2026'!C554),"",'ENGAGEMENTS 2026'!K554)</f>
        <v/>
      </c>
      <c r="Q554">
        <f>IF($A554="","",IF(OR($E554="INFRUCTUEUX",$E554="ANNULE"),$A554&amp;"|"&amp;(COUNTIFS($A$2:$A554,$A554,$E$2:$E554,"INFRUCTUEUX")+COUNTIFS($A$2:$A554,$A554,$E$2:$E554,"ANNULE")),""))</f>
        <v/>
      </c>
    </row>
    <row r="555">
      <c r="A555">
        <f>IF(ISBLANK('ENGAGEMENTS 2026'!C555),"",IF('ENGAGEMENTS 2026'!C555="DTSI","DCT",'ENGAGEMENTS 2026'!C555))</f>
        <v/>
      </c>
      <c r="B555">
        <f>IF(ISBLANK('ENGAGEMENTS 2026'!C555),"",'ENGAGEMENTS 2026'!D555)</f>
        <v/>
      </c>
      <c r="C555">
        <f>IF(ISBLANK('ENGAGEMENTS 2026'!C555),"",'ENGAGEMENTS 2026'!E555)</f>
        <v/>
      </c>
      <c r="D555">
        <f>IF(ISBLANK('ENGAGEMENTS 2026'!C555),"",'ENGAGEMENTS 2026'!G555)</f>
        <v/>
      </c>
      <c r="E555">
        <f>IF(ISBLANK('ENGAGEMENTS 2026'!C555),"",'ENGAGEMENTS 2026'!I555)</f>
        <v/>
      </c>
      <c r="F555">
        <f>IF(ISBLANK('ENGAGEMENTS 2026'!C555),"",'ENGAGEMENTS 2026'!J555)</f>
        <v/>
      </c>
      <c r="G555">
        <f>IF(ISBLANK('ENGAGEMENTS 2026'!C555),"",'ENGAGEMENTS 2026'!M555)</f>
        <v/>
      </c>
      <c r="H555">
        <f>IF(ISBLANK('ENGAGEMENTS 2026'!C555),"",'ENGAGEMENTS 2026'!AF555)</f>
        <v/>
      </c>
      <c r="I555">
        <f>IF(ISBLANK('ENGAGEMENTS 2026'!C555),"",'ENGAGEMENTS 2026'!H555)</f>
        <v/>
      </c>
      <c r="J555" s="275">
        <f>IF(ISBLANK('ENGAGEMENTS 2026'!C555),"",IF(AND(OR($E555="INFRUCTUEUX",$E555="ANNULE"),$C555="AOO-M"),'ENGAGEMENTS 2026'!P555,IF($H555="EN COURS DE PREENGAGEMENT",'ENGAGEMENTS 2026'!O555,IF($H555="PREENGAGE",IF($E555="ATTRIBUE",'ENGAGEMENTS 2026'!AE555,'ENGAGEMENTS 2026'!O555),'ENGAGEMENTS 2026'!AE555))))</f>
        <v/>
      </c>
      <c r="K555" s="604">
        <f>IF(ISBLANK('ENGAGEMENTS 2026'!W555),"",'ENGAGEMENTS 2026'!W555)</f>
        <v/>
      </c>
      <c r="L555" s="276">
        <f>IF($K555="","",TODAY()-$K555)</f>
        <v/>
      </c>
      <c r="M555">
        <f>IF($A555="","",IF($H555="ENGAGE","Engagé",IF(AND($H555="NON ENGAGE",OR($I555="INFRUCTUEUX",$I555="ANNULE")),"Clôturé sans suite","En cours")))</f>
        <v/>
      </c>
      <c r="N555">
        <f>IF(ISBLANK('ENGAGEMENTS 2026'!C555),"",'ENGAGEMENTS 2026'!L555)</f>
        <v/>
      </c>
      <c r="O555">
        <f>IF(ISBLANK('ENGAGEMENTS 2026'!C555),"",'ENGAGEMENTS 2026'!M555)</f>
        <v/>
      </c>
      <c r="P555">
        <f>IF(ISBLANK('ENGAGEMENTS 2026'!C555),"",'ENGAGEMENTS 2026'!K555)</f>
        <v/>
      </c>
      <c r="Q555">
        <f>IF($A555="","",IF(OR($E555="INFRUCTUEUX",$E555="ANNULE"),$A555&amp;"|"&amp;(COUNTIFS($A$2:$A555,$A555,$E$2:$E555,"INFRUCTUEUX")+COUNTIFS($A$2:$A555,$A555,$E$2:$E555,"ANNULE")),""))</f>
        <v/>
      </c>
    </row>
    <row r="556">
      <c r="A556">
        <f>IF(ISBLANK('ENGAGEMENTS 2026'!C556),"",IF('ENGAGEMENTS 2026'!C556="DTSI","DCT",'ENGAGEMENTS 2026'!C556))</f>
        <v/>
      </c>
      <c r="B556">
        <f>IF(ISBLANK('ENGAGEMENTS 2026'!C556),"",'ENGAGEMENTS 2026'!D556)</f>
        <v/>
      </c>
      <c r="C556">
        <f>IF(ISBLANK('ENGAGEMENTS 2026'!C556),"",'ENGAGEMENTS 2026'!E556)</f>
        <v/>
      </c>
      <c r="D556">
        <f>IF(ISBLANK('ENGAGEMENTS 2026'!C556),"",'ENGAGEMENTS 2026'!G556)</f>
        <v/>
      </c>
      <c r="E556">
        <f>IF(ISBLANK('ENGAGEMENTS 2026'!C556),"",'ENGAGEMENTS 2026'!I556)</f>
        <v/>
      </c>
      <c r="F556">
        <f>IF(ISBLANK('ENGAGEMENTS 2026'!C556),"",'ENGAGEMENTS 2026'!J556)</f>
        <v/>
      </c>
      <c r="G556">
        <f>IF(ISBLANK('ENGAGEMENTS 2026'!C556),"",'ENGAGEMENTS 2026'!M556)</f>
        <v/>
      </c>
      <c r="H556">
        <f>IF(ISBLANK('ENGAGEMENTS 2026'!C556),"",'ENGAGEMENTS 2026'!AF556)</f>
        <v/>
      </c>
      <c r="I556">
        <f>IF(ISBLANK('ENGAGEMENTS 2026'!C556),"",'ENGAGEMENTS 2026'!H556)</f>
        <v/>
      </c>
      <c r="J556" s="275">
        <f>IF(ISBLANK('ENGAGEMENTS 2026'!C556),"",IF(AND(OR($E556="INFRUCTUEUX",$E556="ANNULE"),$C556="AOO-M"),'ENGAGEMENTS 2026'!P556,IF($H556="EN COURS DE PREENGAGEMENT",'ENGAGEMENTS 2026'!O556,IF($H556="PREENGAGE",IF($E556="ATTRIBUE",'ENGAGEMENTS 2026'!AE556,'ENGAGEMENTS 2026'!O556),'ENGAGEMENTS 2026'!AE556))))</f>
        <v/>
      </c>
      <c r="K556" s="604">
        <f>IF(ISBLANK('ENGAGEMENTS 2026'!W556),"",'ENGAGEMENTS 2026'!W556)</f>
        <v/>
      </c>
      <c r="L556" s="276">
        <f>IF($K556="","",TODAY()-$K556)</f>
        <v/>
      </c>
      <c r="M556">
        <f>IF($A556="","",IF($H556="ENGAGE","Engagé",IF(AND($H556="NON ENGAGE",OR($I556="INFRUCTUEUX",$I556="ANNULE")),"Clôturé sans suite","En cours")))</f>
        <v/>
      </c>
      <c r="N556">
        <f>IF(ISBLANK('ENGAGEMENTS 2026'!C556),"",'ENGAGEMENTS 2026'!L556)</f>
        <v/>
      </c>
      <c r="O556">
        <f>IF(ISBLANK('ENGAGEMENTS 2026'!C556),"",'ENGAGEMENTS 2026'!M556)</f>
        <v/>
      </c>
      <c r="P556">
        <f>IF(ISBLANK('ENGAGEMENTS 2026'!C556),"",'ENGAGEMENTS 2026'!K556)</f>
        <v/>
      </c>
      <c r="Q556">
        <f>IF($A556="","",IF(OR($E556="INFRUCTUEUX",$E556="ANNULE"),$A556&amp;"|"&amp;(COUNTIFS($A$2:$A556,$A556,$E$2:$E556,"INFRUCTUEUX")+COUNTIFS($A$2:$A556,$A556,$E$2:$E556,"ANNULE")),""))</f>
        <v/>
      </c>
    </row>
    <row r="557">
      <c r="A557">
        <f>IF(ISBLANK('ENGAGEMENTS 2026'!C557),"",IF('ENGAGEMENTS 2026'!C557="DTSI","DCT",'ENGAGEMENTS 2026'!C557))</f>
        <v/>
      </c>
      <c r="B557">
        <f>IF(ISBLANK('ENGAGEMENTS 2026'!C557),"",'ENGAGEMENTS 2026'!D557)</f>
        <v/>
      </c>
      <c r="C557">
        <f>IF(ISBLANK('ENGAGEMENTS 2026'!C557),"",'ENGAGEMENTS 2026'!E557)</f>
        <v/>
      </c>
      <c r="D557">
        <f>IF(ISBLANK('ENGAGEMENTS 2026'!C557),"",'ENGAGEMENTS 2026'!G557)</f>
        <v/>
      </c>
      <c r="E557">
        <f>IF(ISBLANK('ENGAGEMENTS 2026'!C557),"",'ENGAGEMENTS 2026'!I557)</f>
        <v/>
      </c>
      <c r="F557">
        <f>IF(ISBLANK('ENGAGEMENTS 2026'!C557),"",'ENGAGEMENTS 2026'!J557)</f>
        <v/>
      </c>
      <c r="G557">
        <f>IF(ISBLANK('ENGAGEMENTS 2026'!C557),"",'ENGAGEMENTS 2026'!M557)</f>
        <v/>
      </c>
      <c r="H557">
        <f>IF(ISBLANK('ENGAGEMENTS 2026'!C557),"",'ENGAGEMENTS 2026'!AF557)</f>
        <v/>
      </c>
      <c r="I557">
        <f>IF(ISBLANK('ENGAGEMENTS 2026'!C557),"",'ENGAGEMENTS 2026'!H557)</f>
        <v/>
      </c>
      <c r="J557" s="275">
        <f>IF(ISBLANK('ENGAGEMENTS 2026'!C557),"",IF(AND(OR($E557="INFRUCTUEUX",$E557="ANNULE"),$C557="AOO-M"),'ENGAGEMENTS 2026'!P557,IF($H557="EN COURS DE PREENGAGEMENT",'ENGAGEMENTS 2026'!O557,IF($H557="PREENGAGE",IF($E557="ATTRIBUE",'ENGAGEMENTS 2026'!AE557,'ENGAGEMENTS 2026'!O557),'ENGAGEMENTS 2026'!AE557))))</f>
        <v/>
      </c>
      <c r="K557" s="604">
        <f>IF(ISBLANK('ENGAGEMENTS 2026'!W557),"",'ENGAGEMENTS 2026'!W557)</f>
        <v/>
      </c>
      <c r="L557" s="276">
        <f>IF($K557="","",TODAY()-$K557)</f>
        <v/>
      </c>
      <c r="M557">
        <f>IF($A557="","",IF($H557="ENGAGE","Engagé",IF(AND($H557="NON ENGAGE",OR($I557="INFRUCTUEUX",$I557="ANNULE")),"Clôturé sans suite","En cours")))</f>
        <v/>
      </c>
      <c r="N557">
        <f>IF(ISBLANK('ENGAGEMENTS 2026'!C557),"",'ENGAGEMENTS 2026'!L557)</f>
        <v/>
      </c>
      <c r="O557">
        <f>IF(ISBLANK('ENGAGEMENTS 2026'!C557),"",'ENGAGEMENTS 2026'!M557)</f>
        <v/>
      </c>
      <c r="P557">
        <f>IF(ISBLANK('ENGAGEMENTS 2026'!C557),"",'ENGAGEMENTS 2026'!K557)</f>
        <v/>
      </c>
      <c r="Q557">
        <f>IF($A557="","",IF(OR($E557="INFRUCTUEUX",$E557="ANNULE"),$A557&amp;"|"&amp;(COUNTIFS($A$2:$A557,$A557,$E$2:$E557,"INFRUCTUEUX")+COUNTIFS($A$2:$A557,$A557,$E$2:$E557,"ANNULE")),""))</f>
        <v/>
      </c>
    </row>
    <row r="558">
      <c r="A558">
        <f>IF(ISBLANK('ENGAGEMENTS 2026'!C558),"",IF('ENGAGEMENTS 2026'!C558="DTSI","DCT",'ENGAGEMENTS 2026'!C558))</f>
        <v/>
      </c>
      <c r="B558">
        <f>IF(ISBLANK('ENGAGEMENTS 2026'!C558),"",'ENGAGEMENTS 2026'!D558)</f>
        <v/>
      </c>
      <c r="C558">
        <f>IF(ISBLANK('ENGAGEMENTS 2026'!C558),"",'ENGAGEMENTS 2026'!E558)</f>
        <v/>
      </c>
      <c r="D558">
        <f>IF(ISBLANK('ENGAGEMENTS 2026'!C558),"",'ENGAGEMENTS 2026'!G558)</f>
        <v/>
      </c>
      <c r="E558">
        <f>IF(ISBLANK('ENGAGEMENTS 2026'!C558),"",'ENGAGEMENTS 2026'!I558)</f>
        <v/>
      </c>
      <c r="F558">
        <f>IF(ISBLANK('ENGAGEMENTS 2026'!C558),"",'ENGAGEMENTS 2026'!J558)</f>
        <v/>
      </c>
      <c r="G558">
        <f>IF(ISBLANK('ENGAGEMENTS 2026'!C558),"",'ENGAGEMENTS 2026'!M558)</f>
        <v/>
      </c>
      <c r="H558">
        <f>IF(ISBLANK('ENGAGEMENTS 2026'!C558),"",'ENGAGEMENTS 2026'!AF558)</f>
        <v/>
      </c>
      <c r="I558">
        <f>IF(ISBLANK('ENGAGEMENTS 2026'!C558),"",'ENGAGEMENTS 2026'!H558)</f>
        <v/>
      </c>
      <c r="J558" s="275">
        <f>IF(ISBLANK('ENGAGEMENTS 2026'!C558),"",IF(AND(OR($E558="INFRUCTUEUX",$E558="ANNULE"),$C558="AOO-M"),'ENGAGEMENTS 2026'!P558,IF($H558="EN COURS DE PREENGAGEMENT",'ENGAGEMENTS 2026'!O558,IF($H558="PREENGAGE",IF($E558="ATTRIBUE",'ENGAGEMENTS 2026'!AE558,'ENGAGEMENTS 2026'!O558),'ENGAGEMENTS 2026'!AE558))))</f>
        <v/>
      </c>
      <c r="K558" s="604">
        <f>IF(ISBLANK('ENGAGEMENTS 2026'!W558),"",'ENGAGEMENTS 2026'!W558)</f>
        <v/>
      </c>
      <c r="L558" s="276">
        <f>IF($K558="","",TODAY()-$K558)</f>
        <v/>
      </c>
      <c r="M558">
        <f>IF($A558="","",IF($H558="ENGAGE","Engagé",IF(AND($H558="NON ENGAGE",OR($I558="INFRUCTUEUX",$I558="ANNULE")),"Clôturé sans suite","En cours")))</f>
        <v/>
      </c>
      <c r="N558">
        <f>IF(ISBLANK('ENGAGEMENTS 2026'!C558),"",'ENGAGEMENTS 2026'!L558)</f>
        <v/>
      </c>
      <c r="O558">
        <f>IF(ISBLANK('ENGAGEMENTS 2026'!C558),"",'ENGAGEMENTS 2026'!M558)</f>
        <v/>
      </c>
      <c r="P558">
        <f>IF(ISBLANK('ENGAGEMENTS 2026'!C558),"",'ENGAGEMENTS 2026'!K558)</f>
        <v/>
      </c>
      <c r="Q558">
        <f>IF($A558="","",IF(OR($E558="INFRUCTUEUX",$E558="ANNULE"),$A558&amp;"|"&amp;(COUNTIFS($A$2:$A558,$A558,$E$2:$E558,"INFRUCTUEUX")+COUNTIFS($A$2:$A558,$A558,$E$2:$E558,"ANNULE")),""))</f>
        <v/>
      </c>
    </row>
    <row r="559">
      <c r="A559">
        <f>IF(ISBLANK('ENGAGEMENTS 2026'!C559),"",IF('ENGAGEMENTS 2026'!C559="DTSI","DCT",'ENGAGEMENTS 2026'!C559))</f>
        <v/>
      </c>
      <c r="B559">
        <f>IF(ISBLANK('ENGAGEMENTS 2026'!C559),"",'ENGAGEMENTS 2026'!D559)</f>
        <v/>
      </c>
      <c r="C559">
        <f>IF(ISBLANK('ENGAGEMENTS 2026'!C559),"",'ENGAGEMENTS 2026'!E559)</f>
        <v/>
      </c>
      <c r="D559">
        <f>IF(ISBLANK('ENGAGEMENTS 2026'!C559),"",'ENGAGEMENTS 2026'!G559)</f>
        <v/>
      </c>
      <c r="E559">
        <f>IF(ISBLANK('ENGAGEMENTS 2026'!C559),"",'ENGAGEMENTS 2026'!I559)</f>
        <v/>
      </c>
      <c r="F559">
        <f>IF(ISBLANK('ENGAGEMENTS 2026'!C559),"",'ENGAGEMENTS 2026'!J559)</f>
        <v/>
      </c>
      <c r="G559">
        <f>IF(ISBLANK('ENGAGEMENTS 2026'!C559),"",'ENGAGEMENTS 2026'!M559)</f>
        <v/>
      </c>
      <c r="H559">
        <f>IF(ISBLANK('ENGAGEMENTS 2026'!C559),"",'ENGAGEMENTS 2026'!AF559)</f>
        <v/>
      </c>
      <c r="I559">
        <f>IF(ISBLANK('ENGAGEMENTS 2026'!C559),"",'ENGAGEMENTS 2026'!H559)</f>
        <v/>
      </c>
      <c r="J559" s="275">
        <f>IF(ISBLANK('ENGAGEMENTS 2026'!C559),"",IF(AND(OR($E559="INFRUCTUEUX",$E559="ANNULE"),$C559="AOO-M"),'ENGAGEMENTS 2026'!P559,IF($H559="EN COURS DE PREENGAGEMENT",'ENGAGEMENTS 2026'!O559,IF($H559="PREENGAGE",IF($E559="ATTRIBUE",'ENGAGEMENTS 2026'!AE559,'ENGAGEMENTS 2026'!O559),'ENGAGEMENTS 2026'!AE559))))</f>
        <v/>
      </c>
      <c r="K559" s="604">
        <f>IF(ISBLANK('ENGAGEMENTS 2026'!W559),"",'ENGAGEMENTS 2026'!W559)</f>
        <v/>
      </c>
      <c r="L559" s="276">
        <f>IF($K559="","",TODAY()-$K559)</f>
        <v/>
      </c>
      <c r="M559">
        <f>IF($A559="","",IF($H559="ENGAGE","Engagé",IF(AND($H559="NON ENGAGE",OR($I559="INFRUCTUEUX",$I559="ANNULE")),"Clôturé sans suite","En cours")))</f>
        <v/>
      </c>
      <c r="N559">
        <f>IF(ISBLANK('ENGAGEMENTS 2026'!C559),"",'ENGAGEMENTS 2026'!L559)</f>
        <v/>
      </c>
      <c r="O559">
        <f>IF(ISBLANK('ENGAGEMENTS 2026'!C559),"",'ENGAGEMENTS 2026'!M559)</f>
        <v/>
      </c>
      <c r="P559">
        <f>IF(ISBLANK('ENGAGEMENTS 2026'!C559),"",'ENGAGEMENTS 2026'!K559)</f>
        <v/>
      </c>
      <c r="Q559">
        <f>IF($A559="","",IF(OR($E559="INFRUCTUEUX",$E559="ANNULE"),$A559&amp;"|"&amp;(COUNTIFS($A$2:$A559,$A559,$E$2:$E559,"INFRUCTUEUX")+COUNTIFS($A$2:$A559,$A559,$E$2:$E559,"ANNULE")),""))</f>
        <v/>
      </c>
    </row>
    <row r="560">
      <c r="A560">
        <f>IF(ISBLANK('ENGAGEMENTS 2026'!C560),"",IF('ENGAGEMENTS 2026'!C560="DTSI","DCT",'ENGAGEMENTS 2026'!C560))</f>
        <v/>
      </c>
      <c r="B560">
        <f>IF(ISBLANK('ENGAGEMENTS 2026'!C560),"",'ENGAGEMENTS 2026'!D560)</f>
        <v/>
      </c>
      <c r="C560">
        <f>IF(ISBLANK('ENGAGEMENTS 2026'!C560),"",'ENGAGEMENTS 2026'!E560)</f>
        <v/>
      </c>
      <c r="D560">
        <f>IF(ISBLANK('ENGAGEMENTS 2026'!C560),"",'ENGAGEMENTS 2026'!G560)</f>
        <v/>
      </c>
      <c r="E560">
        <f>IF(ISBLANK('ENGAGEMENTS 2026'!C560),"",'ENGAGEMENTS 2026'!I560)</f>
        <v/>
      </c>
      <c r="F560">
        <f>IF(ISBLANK('ENGAGEMENTS 2026'!C560),"",'ENGAGEMENTS 2026'!J560)</f>
        <v/>
      </c>
      <c r="G560">
        <f>IF(ISBLANK('ENGAGEMENTS 2026'!C560),"",'ENGAGEMENTS 2026'!M560)</f>
        <v/>
      </c>
      <c r="H560">
        <f>IF(ISBLANK('ENGAGEMENTS 2026'!C560),"",'ENGAGEMENTS 2026'!AF560)</f>
        <v/>
      </c>
      <c r="I560">
        <f>IF(ISBLANK('ENGAGEMENTS 2026'!C560),"",'ENGAGEMENTS 2026'!H560)</f>
        <v/>
      </c>
      <c r="J560" s="275">
        <f>IF(ISBLANK('ENGAGEMENTS 2026'!C560),"",IF(AND(OR($E560="INFRUCTUEUX",$E560="ANNULE"),$C560="AOO-M"),'ENGAGEMENTS 2026'!P560,IF($H560="EN COURS DE PREENGAGEMENT",'ENGAGEMENTS 2026'!O560,IF($H560="PREENGAGE",IF($E560="ATTRIBUE",'ENGAGEMENTS 2026'!AE560,'ENGAGEMENTS 2026'!O560),'ENGAGEMENTS 2026'!AE560))))</f>
        <v/>
      </c>
      <c r="K560" s="604">
        <f>IF(ISBLANK('ENGAGEMENTS 2026'!W560),"",'ENGAGEMENTS 2026'!W560)</f>
        <v/>
      </c>
      <c r="L560" s="276">
        <f>IF($K560="","",TODAY()-$K560)</f>
        <v/>
      </c>
      <c r="M560">
        <f>IF($A560="","",IF($H560="ENGAGE","Engagé",IF(AND($H560="NON ENGAGE",OR($I560="INFRUCTUEUX",$I560="ANNULE")),"Clôturé sans suite","En cours")))</f>
        <v/>
      </c>
      <c r="N560">
        <f>IF(ISBLANK('ENGAGEMENTS 2026'!C560),"",'ENGAGEMENTS 2026'!L560)</f>
        <v/>
      </c>
      <c r="O560">
        <f>IF(ISBLANK('ENGAGEMENTS 2026'!C560),"",'ENGAGEMENTS 2026'!M560)</f>
        <v/>
      </c>
      <c r="P560">
        <f>IF(ISBLANK('ENGAGEMENTS 2026'!C560),"",'ENGAGEMENTS 2026'!K560)</f>
        <v/>
      </c>
      <c r="Q560">
        <f>IF($A560="","",IF(OR($E560="INFRUCTUEUX",$E560="ANNULE"),$A560&amp;"|"&amp;(COUNTIFS($A$2:$A560,$A560,$E$2:$E560,"INFRUCTUEUX")+COUNTIFS($A$2:$A560,$A560,$E$2:$E560,"ANNULE")),""))</f>
        <v/>
      </c>
    </row>
    <row r="561">
      <c r="A561">
        <f>IF(ISBLANK('ENGAGEMENTS 2026'!C561),"",IF('ENGAGEMENTS 2026'!C561="DTSI","DCT",'ENGAGEMENTS 2026'!C561))</f>
        <v/>
      </c>
      <c r="B561">
        <f>IF(ISBLANK('ENGAGEMENTS 2026'!C561),"",'ENGAGEMENTS 2026'!D561)</f>
        <v/>
      </c>
      <c r="C561">
        <f>IF(ISBLANK('ENGAGEMENTS 2026'!C561),"",'ENGAGEMENTS 2026'!E561)</f>
        <v/>
      </c>
      <c r="D561">
        <f>IF(ISBLANK('ENGAGEMENTS 2026'!C561),"",'ENGAGEMENTS 2026'!G561)</f>
        <v/>
      </c>
      <c r="E561">
        <f>IF(ISBLANK('ENGAGEMENTS 2026'!C561),"",'ENGAGEMENTS 2026'!I561)</f>
        <v/>
      </c>
      <c r="F561">
        <f>IF(ISBLANK('ENGAGEMENTS 2026'!C561),"",'ENGAGEMENTS 2026'!J561)</f>
        <v/>
      </c>
      <c r="G561">
        <f>IF(ISBLANK('ENGAGEMENTS 2026'!C561),"",'ENGAGEMENTS 2026'!M561)</f>
        <v/>
      </c>
      <c r="H561">
        <f>IF(ISBLANK('ENGAGEMENTS 2026'!C561),"",'ENGAGEMENTS 2026'!AF561)</f>
        <v/>
      </c>
      <c r="I561">
        <f>IF(ISBLANK('ENGAGEMENTS 2026'!C561),"",'ENGAGEMENTS 2026'!H561)</f>
        <v/>
      </c>
      <c r="J561" s="275">
        <f>IF(ISBLANK('ENGAGEMENTS 2026'!C561),"",IF(AND(OR($E561="INFRUCTUEUX",$E561="ANNULE"),$C561="AOO-M"),'ENGAGEMENTS 2026'!P561,IF($H561="EN COURS DE PREENGAGEMENT",'ENGAGEMENTS 2026'!O561,IF($H561="PREENGAGE",IF($E561="ATTRIBUE",'ENGAGEMENTS 2026'!AE561,'ENGAGEMENTS 2026'!O561),'ENGAGEMENTS 2026'!AE561))))</f>
        <v/>
      </c>
      <c r="K561" s="604">
        <f>IF(ISBLANK('ENGAGEMENTS 2026'!W561),"",'ENGAGEMENTS 2026'!W561)</f>
        <v/>
      </c>
      <c r="L561" s="276">
        <f>IF($K561="","",TODAY()-$K561)</f>
        <v/>
      </c>
      <c r="M561">
        <f>IF($A561="","",IF($H561="ENGAGE","Engagé",IF(AND($H561="NON ENGAGE",OR($I561="INFRUCTUEUX",$I561="ANNULE")),"Clôturé sans suite","En cours")))</f>
        <v/>
      </c>
      <c r="N561">
        <f>IF(ISBLANK('ENGAGEMENTS 2026'!C561),"",'ENGAGEMENTS 2026'!L561)</f>
        <v/>
      </c>
      <c r="O561">
        <f>IF(ISBLANK('ENGAGEMENTS 2026'!C561),"",'ENGAGEMENTS 2026'!M561)</f>
        <v/>
      </c>
      <c r="P561">
        <f>IF(ISBLANK('ENGAGEMENTS 2026'!C561),"",'ENGAGEMENTS 2026'!K561)</f>
        <v/>
      </c>
      <c r="Q561">
        <f>IF($A561="","",IF(OR($E561="INFRUCTUEUX",$E561="ANNULE"),$A561&amp;"|"&amp;(COUNTIFS($A$2:$A561,$A561,$E$2:$E561,"INFRUCTUEUX")+COUNTIFS($A$2:$A561,$A561,$E$2:$E561,"ANNULE")),""))</f>
        <v/>
      </c>
    </row>
    <row r="562">
      <c r="A562">
        <f>IF(ISBLANK('ENGAGEMENTS 2026'!C562),"",IF('ENGAGEMENTS 2026'!C562="DTSI","DCT",'ENGAGEMENTS 2026'!C562))</f>
        <v/>
      </c>
      <c r="B562">
        <f>IF(ISBLANK('ENGAGEMENTS 2026'!C562),"",'ENGAGEMENTS 2026'!D562)</f>
        <v/>
      </c>
      <c r="C562">
        <f>IF(ISBLANK('ENGAGEMENTS 2026'!C562),"",'ENGAGEMENTS 2026'!E562)</f>
        <v/>
      </c>
      <c r="D562">
        <f>IF(ISBLANK('ENGAGEMENTS 2026'!C562),"",'ENGAGEMENTS 2026'!G562)</f>
        <v/>
      </c>
      <c r="E562">
        <f>IF(ISBLANK('ENGAGEMENTS 2026'!C562),"",'ENGAGEMENTS 2026'!I562)</f>
        <v/>
      </c>
      <c r="F562">
        <f>IF(ISBLANK('ENGAGEMENTS 2026'!C562),"",'ENGAGEMENTS 2026'!J562)</f>
        <v/>
      </c>
      <c r="G562">
        <f>IF(ISBLANK('ENGAGEMENTS 2026'!C562),"",'ENGAGEMENTS 2026'!M562)</f>
        <v/>
      </c>
      <c r="H562">
        <f>IF(ISBLANK('ENGAGEMENTS 2026'!C562),"",'ENGAGEMENTS 2026'!AF562)</f>
        <v/>
      </c>
      <c r="I562">
        <f>IF(ISBLANK('ENGAGEMENTS 2026'!C562),"",'ENGAGEMENTS 2026'!H562)</f>
        <v/>
      </c>
      <c r="J562" s="275">
        <f>IF(ISBLANK('ENGAGEMENTS 2026'!C562),"",IF(AND(OR($E562="INFRUCTUEUX",$E562="ANNULE"),$C562="AOO-M"),'ENGAGEMENTS 2026'!P562,IF($H562="EN COURS DE PREENGAGEMENT",'ENGAGEMENTS 2026'!O562,IF($H562="PREENGAGE",IF($E562="ATTRIBUE",'ENGAGEMENTS 2026'!AE562,'ENGAGEMENTS 2026'!O562),'ENGAGEMENTS 2026'!AE562))))</f>
        <v/>
      </c>
      <c r="K562" s="604">
        <f>IF(ISBLANK('ENGAGEMENTS 2026'!W562),"",'ENGAGEMENTS 2026'!W562)</f>
        <v/>
      </c>
      <c r="L562" s="276">
        <f>IF($K562="","",TODAY()-$K562)</f>
        <v/>
      </c>
      <c r="M562">
        <f>IF($A562="","",IF($H562="ENGAGE","Engagé",IF(AND($H562="NON ENGAGE",OR($I562="INFRUCTUEUX",$I562="ANNULE")),"Clôturé sans suite","En cours")))</f>
        <v/>
      </c>
      <c r="N562">
        <f>IF(ISBLANK('ENGAGEMENTS 2026'!C562),"",'ENGAGEMENTS 2026'!L562)</f>
        <v/>
      </c>
      <c r="O562">
        <f>IF(ISBLANK('ENGAGEMENTS 2026'!C562),"",'ENGAGEMENTS 2026'!M562)</f>
        <v/>
      </c>
      <c r="P562">
        <f>IF(ISBLANK('ENGAGEMENTS 2026'!C562),"",'ENGAGEMENTS 2026'!K562)</f>
        <v/>
      </c>
      <c r="Q562">
        <f>IF($A562="","",IF(OR($E562="INFRUCTUEUX",$E562="ANNULE"),$A562&amp;"|"&amp;(COUNTIFS($A$2:$A562,$A562,$E$2:$E562,"INFRUCTUEUX")+COUNTIFS($A$2:$A562,$A562,$E$2:$E562,"ANNULE")),""))</f>
        <v/>
      </c>
    </row>
    <row r="563">
      <c r="A563">
        <f>IF(ISBLANK('ENGAGEMENTS 2026'!C563),"",IF('ENGAGEMENTS 2026'!C563="DTSI","DCT",'ENGAGEMENTS 2026'!C563))</f>
        <v/>
      </c>
      <c r="B563">
        <f>IF(ISBLANK('ENGAGEMENTS 2026'!C563),"",'ENGAGEMENTS 2026'!D563)</f>
        <v/>
      </c>
      <c r="C563">
        <f>IF(ISBLANK('ENGAGEMENTS 2026'!C563),"",'ENGAGEMENTS 2026'!E563)</f>
        <v/>
      </c>
      <c r="D563">
        <f>IF(ISBLANK('ENGAGEMENTS 2026'!C563),"",'ENGAGEMENTS 2026'!G563)</f>
        <v/>
      </c>
      <c r="E563">
        <f>IF(ISBLANK('ENGAGEMENTS 2026'!C563),"",'ENGAGEMENTS 2026'!I563)</f>
        <v/>
      </c>
      <c r="F563">
        <f>IF(ISBLANK('ENGAGEMENTS 2026'!C563),"",'ENGAGEMENTS 2026'!J563)</f>
        <v/>
      </c>
      <c r="G563">
        <f>IF(ISBLANK('ENGAGEMENTS 2026'!C563),"",'ENGAGEMENTS 2026'!M563)</f>
        <v/>
      </c>
      <c r="H563">
        <f>IF(ISBLANK('ENGAGEMENTS 2026'!C563),"",'ENGAGEMENTS 2026'!AF563)</f>
        <v/>
      </c>
      <c r="I563">
        <f>IF(ISBLANK('ENGAGEMENTS 2026'!C563),"",'ENGAGEMENTS 2026'!H563)</f>
        <v/>
      </c>
      <c r="J563" s="275">
        <f>IF(ISBLANK('ENGAGEMENTS 2026'!C563),"",IF(AND(OR($E563="INFRUCTUEUX",$E563="ANNULE"),$C563="AOO-M"),'ENGAGEMENTS 2026'!P563,IF($H563="EN COURS DE PREENGAGEMENT",'ENGAGEMENTS 2026'!O563,IF($H563="PREENGAGE",IF($E563="ATTRIBUE",'ENGAGEMENTS 2026'!AE563,'ENGAGEMENTS 2026'!O563),'ENGAGEMENTS 2026'!AE563))))</f>
        <v/>
      </c>
      <c r="K563" s="604">
        <f>IF(ISBLANK('ENGAGEMENTS 2026'!W563),"",'ENGAGEMENTS 2026'!W563)</f>
        <v/>
      </c>
      <c r="L563" s="276">
        <f>IF($K563="","",TODAY()-$K563)</f>
        <v/>
      </c>
      <c r="M563">
        <f>IF($A563="","",IF($H563="ENGAGE","Engagé",IF(AND($H563="NON ENGAGE",OR($I563="INFRUCTUEUX",$I563="ANNULE")),"Clôturé sans suite","En cours")))</f>
        <v/>
      </c>
      <c r="N563">
        <f>IF(ISBLANK('ENGAGEMENTS 2026'!C563),"",'ENGAGEMENTS 2026'!L563)</f>
        <v/>
      </c>
      <c r="O563">
        <f>IF(ISBLANK('ENGAGEMENTS 2026'!C563),"",'ENGAGEMENTS 2026'!M563)</f>
        <v/>
      </c>
      <c r="P563">
        <f>IF(ISBLANK('ENGAGEMENTS 2026'!C563),"",'ENGAGEMENTS 2026'!K563)</f>
        <v/>
      </c>
      <c r="Q563">
        <f>IF($A563="","",IF(OR($E563="INFRUCTUEUX",$E563="ANNULE"),$A563&amp;"|"&amp;(COUNTIFS($A$2:$A563,$A563,$E$2:$E563,"INFRUCTUEUX")+COUNTIFS($A$2:$A563,$A563,$E$2:$E563,"ANNULE")),""))</f>
        <v/>
      </c>
    </row>
    <row r="564">
      <c r="A564">
        <f>IF(ISBLANK('ENGAGEMENTS 2026'!C564),"",IF('ENGAGEMENTS 2026'!C564="DTSI","DCT",'ENGAGEMENTS 2026'!C564))</f>
        <v/>
      </c>
      <c r="B564">
        <f>IF(ISBLANK('ENGAGEMENTS 2026'!C564),"",'ENGAGEMENTS 2026'!D564)</f>
        <v/>
      </c>
      <c r="C564">
        <f>IF(ISBLANK('ENGAGEMENTS 2026'!C564),"",'ENGAGEMENTS 2026'!E564)</f>
        <v/>
      </c>
      <c r="D564">
        <f>IF(ISBLANK('ENGAGEMENTS 2026'!C564),"",'ENGAGEMENTS 2026'!G564)</f>
        <v/>
      </c>
      <c r="E564">
        <f>IF(ISBLANK('ENGAGEMENTS 2026'!C564),"",'ENGAGEMENTS 2026'!I564)</f>
        <v/>
      </c>
      <c r="F564">
        <f>IF(ISBLANK('ENGAGEMENTS 2026'!C564),"",'ENGAGEMENTS 2026'!J564)</f>
        <v/>
      </c>
      <c r="G564">
        <f>IF(ISBLANK('ENGAGEMENTS 2026'!C564),"",'ENGAGEMENTS 2026'!M564)</f>
        <v/>
      </c>
      <c r="H564">
        <f>IF(ISBLANK('ENGAGEMENTS 2026'!C564),"",'ENGAGEMENTS 2026'!AF564)</f>
        <v/>
      </c>
      <c r="I564">
        <f>IF(ISBLANK('ENGAGEMENTS 2026'!C564),"",'ENGAGEMENTS 2026'!H564)</f>
        <v/>
      </c>
      <c r="J564" s="275">
        <f>IF(ISBLANK('ENGAGEMENTS 2026'!C564),"",IF(AND(OR($E564="INFRUCTUEUX",$E564="ANNULE"),$C564="AOO-M"),'ENGAGEMENTS 2026'!P564,IF($H564="EN COURS DE PREENGAGEMENT",'ENGAGEMENTS 2026'!O564,IF($H564="PREENGAGE",IF($E564="ATTRIBUE",'ENGAGEMENTS 2026'!AE564,'ENGAGEMENTS 2026'!O564),'ENGAGEMENTS 2026'!AE564))))</f>
        <v/>
      </c>
      <c r="K564" s="604">
        <f>IF(ISBLANK('ENGAGEMENTS 2026'!W564),"",'ENGAGEMENTS 2026'!W564)</f>
        <v/>
      </c>
      <c r="L564" s="276">
        <f>IF($K564="","",TODAY()-$K564)</f>
        <v/>
      </c>
      <c r="M564">
        <f>IF($A564="","",IF($H564="ENGAGE","Engagé",IF(AND($H564="NON ENGAGE",OR($I564="INFRUCTUEUX",$I564="ANNULE")),"Clôturé sans suite","En cours")))</f>
        <v/>
      </c>
      <c r="N564">
        <f>IF(ISBLANK('ENGAGEMENTS 2026'!C564),"",'ENGAGEMENTS 2026'!L564)</f>
        <v/>
      </c>
      <c r="O564">
        <f>IF(ISBLANK('ENGAGEMENTS 2026'!C564),"",'ENGAGEMENTS 2026'!M564)</f>
        <v/>
      </c>
      <c r="P564">
        <f>IF(ISBLANK('ENGAGEMENTS 2026'!C564),"",'ENGAGEMENTS 2026'!K564)</f>
        <v/>
      </c>
      <c r="Q564">
        <f>IF($A564="","",IF(OR($E564="INFRUCTUEUX",$E564="ANNULE"),$A564&amp;"|"&amp;(COUNTIFS($A$2:$A564,$A564,$E$2:$E564,"INFRUCTUEUX")+COUNTIFS($A$2:$A564,$A564,$E$2:$E564,"ANNULE")),""))</f>
        <v/>
      </c>
    </row>
    <row r="565">
      <c r="A565">
        <f>IF(ISBLANK('ENGAGEMENTS 2026'!C565),"",IF('ENGAGEMENTS 2026'!C565="DTSI","DCT",'ENGAGEMENTS 2026'!C565))</f>
        <v/>
      </c>
      <c r="B565">
        <f>IF(ISBLANK('ENGAGEMENTS 2026'!C565),"",'ENGAGEMENTS 2026'!D565)</f>
        <v/>
      </c>
      <c r="C565">
        <f>IF(ISBLANK('ENGAGEMENTS 2026'!C565),"",'ENGAGEMENTS 2026'!E565)</f>
        <v/>
      </c>
      <c r="D565">
        <f>IF(ISBLANK('ENGAGEMENTS 2026'!C565),"",'ENGAGEMENTS 2026'!G565)</f>
        <v/>
      </c>
      <c r="E565">
        <f>IF(ISBLANK('ENGAGEMENTS 2026'!C565),"",'ENGAGEMENTS 2026'!I565)</f>
        <v/>
      </c>
      <c r="F565">
        <f>IF(ISBLANK('ENGAGEMENTS 2026'!C565),"",'ENGAGEMENTS 2026'!J565)</f>
        <v/>
      </c>
      <c r="G565">
        <f>IF(ISBLANK('ENGAGEMENTS 2026'!C565),"",'ENGAGEMENTS 2026'!M565)</f>
        <v/>
      </c>
      <c r="H565">
        <f>IF(ISBLANK('ENGAGEMENTS 2026'!C565),"",'ENGAGEMENTS 2026'!AF565)</f>
        <v/>
      </c>
      <c r="I565">
        <f>IF(ISBLANK('ENGAGEMENTS 2026'!C565),"",'ENGAGEMENTS 2026'!H565)</f>
        <v/>
      </c>
      <c r="J565" s="275">
        <f>IF(ISBLANK('ENGAGEMENTS 2026'!C565),"",IF(AND(OR($E565="INFRUCTUEUX",$E565="ANNULE"),$C565="AOO-M"),'ENGAGEMENTS 2026'!P565,IF($H565="EN COURS DE PREENGAGEMENT",'ENGAGEMENTS 2026'!O565,IF($H565="PREENGAGE",IF($E565="ATTRIBUE",'ENGAGEMENTS 2026'!AE565,'ENGAGEMENTS 2026'!O565),'ENGAGEMENTS 2026'!AE565))))</f>
        <v/>
      </c>
      <c r="K565" s="604">
        <f>IF(ISBLANK('ENGAGEMENTS 2026'!W565),"",'ENGAGEMENTS 2026'!W565)</f>
        <v/>
      </c>
      <c r="L565" s="276">
        <f>IF($K565="","",TODAY()-$K565)</f>
        <v/>
      </c>
      <c r="M565">
        <f>IF($A565="","",IF($H565="ENGAGE","Engagé",IF(AND($H565="NON ENGAGE",OR($I565="INFRUCTUEUX",$I565="ANNULE")),"Clôturé sans suite","En cours")))</f>
        <v/>
      </c>
      <c r="N565">
        <f>IF(ISBLANK('ENGAGEMENTS 2026'!C565),"",'ENGAGEMENTS 2026'!L565)</f>
        <v/>
      </c>
      <c r="O565">
        <f>IF(ISBLANK('ENGAGEMENTS 2026'!C565),"",'ENGAGEMENTS 2026'!M565)</f>
        <v/>
      </c>
      <c r="P565">
        <f>IF(ISBLANK('ENGAGEMENTS 2026'!C565),"",'ENGAGEMENTS 2026'!K565)</f>
        <v/>
      </c>
      <c r="Q565">
        <f>IF($A565="","",IF(OR($E565="INFRUCTUEUX",$E565="ANNULE"),$A565&amp;"|"&amp;(COUNTIFS($A$2:$A565,$A565,$E$2:$E565,"INFRUCTUEUX")+COUNTIFS($A$2:$A565,$A565,$E$2:$E565,"ANNULE")),""))</f>
        <v/>
      </c>
    </row>
    <row r="566">
      <c r="A566">
        <f>IF(ISBLANK('ENGAGEMENTS 2026'!C566),"",IF('ENGAGEMENTS 2026'!C566="DTSI","DCT",'ENGAGEMENTS 2026'!C566))</f>
        <v/>
      </c>
      <c r="B566">
        <f>IF(ISBLANK('ENGAGEMENTS 2026'!C566),"",'ENGAGEMENTS 2026'!D566)</f>
        <v/>
      </c>
      <c r="C566">
        <f>IF(ISBLANK('ENGAGEMENTS 2026'!C566),"",'ENGAGEMENTS 2026'!E566)</f>
        <v/>
      </c>
      <c r="D566">
        <f>IF(ISBLANK('ENGAGEMENTS 2026'!C566),"",'ENGAGEMENTS 2026'!G566)</f>
        <v/>
      </c>
      <c r="E566">
        <f>IF(ISBLANK('ENGAGEMENTS 2026'!C566),"",'ENGAGEMENTS 2026'!I566)</f>
        <v/>
      </c>
      <c r="F566">
        <f>IF(ISBLANK('ENGAGEMENTS 2026'!C566),"",'ENGAGEMENTS 2026'!J566)</f>
        <v/>
      </c>
      <c r="G566">
        <f>IF(ISBLANK('ENGAGEMENTS 2026'!C566),"",'ENGAGEMENTS 2026'!M566)</f>
        <v/>
      </c>
      <c r="H566">
        <f>IF(ISBLANK('ENGAGEMENTS 2026'!C566),"",'ENGAGEMENTS 2026'!AF566)</f>
        <v/>
      </c>
      <c r="I566">
        <f>IF(ISBLANK('ENGAGEMENTS 2026'!C566),"",'ENGAGEMENTS 2026'!H566)</f>
        <v/>
      </c>
      <c r="J566" s="275">
        <f>IF(ISBLANK('ENGAGEMENTS 2026'!C566),"",IF(AND(OR($E566="INFRUCTUEUX",$E566="ANNULE"),$C566="AOO-M"),'ENGAGEMENTS 2026'!P566,IF($H566="EN COURS DE PREENGAGEMENT",'ENGAGEMENTS 2026'!O566,IF($H566="PREENGAGE",IF($E566="ATTRIBUE",'ENGAGEMENTS 2026'!AE566,'ENGAGEMENTS 2026'!O566),'ENGAGEMENTS 2026'!AE566))))</f>
        <v/>
      </c>
      <c r="K566" s="604">
        <f>IF(ISBLANK('ENGAGEMENTS 2026'!W566),"",'ENGAGEMENTS 2026'!W566)</f>
        <v/>
      </c>
      <c r="L566" s="276">
        <f>IF($K566="","",TODAY()-$K566)</f>
        <v/>
      </c>
      <c r="M566">
        <f>IF($A566="","",IF($H566="ENGAGE","Engagé",IF(AND($H566="NON ENGAGE",OR($I566="INFRUCTUEUX",$I566="ANNULE")),"Clôturé sans suite","En cours")))</f>
        <v/>
      </c>
      <c r="N566">
        <f>IF(ISBLANK('ENGAGEMENTS 2026'!C566),"",'ENGAGEMENTS 2026'!L566)</f>
        <v/>
      </c>
      <c r="O566">
        <f>IF(ISBLANK('ENGAGEMENTS 2026'!C566),"",'ENGAGEMENTS 2026'!M566)</f>
        <v/>
      </c>
      <c r="P566">
        <f>IF(ISBLANK('ENGAGEMENTS 2026'!C566),"",'ENGAGEMENTS 2026'!K566)</f>
        <v/>
      </c>
      <c r="Q566">
        <f>IF($A566="","",IF(OR($E566="INFRUCTUEUX",$E566="ANNULE"),$A566&amp;"|"&amp;(COUNTIFS($A$2:$A566,$A566,$E$2:$E566,"INFRUCTUEUX")+COUNTIFS($A$2:$A566,$A566,$E$2:$E566,"ANNULE")),""))</f>
        <v/>
      </c>
    </row>
    <row r="567">
      <c r="A567">
        <f>IF(ISBLANK('ENGAGEMENTS 2026'!C567),"",IF('ENGAGEMENTS 2026'!C567="DTSI","DCT",'ENGAGEMENTS 2026'!C567))</f>
        <v/>
      </c>
      <c r="B567">
        <f>IF(ISBLANK('ENGAGEMENTS 2026'!C567),"",'ENGAGEMENTS 2026'!D567)</f>
        <v/>
      </c>
      <c r="C567">
        <f>IF(ISBLANK('ENGAGEMENTS 2026'!C567),"",'ENGAGEMENTS 2026'!E567)</f>
        <v/>
      </c>
      <c r="D567">
        <f>IF(ISBLANK('ENGAGEMENTS 2026'!C567),"",'ENGAGEMENTS 2026'!G567)</f>
        <v/>
      </c>
      <c r="E567">
        <f>IF(ISBLANK('ENGAGEMENTS 2026'!C567),"",'ENGAGEMENTS 2026'!I567)</f>
        <v/>
      </c>
      <c r="F567">
        <f>IF(ISBLANK('ENGAGEMENTS 2026'!C567),"",'ENGAGEMENTS 2026'!J567)</f>
        <v/>
      </c>
      <c r="G567">
        <f>IF(ISBLANK('ENGAGEMENTS 2026'!C567),"",'ENGAGEMENTS 2026'!M567)</f>
        <v/>
      </c>
      <c r="H567">
        <f>IF(ISBLANK('ENGAGEMENTS 2026'!C567),"",'ENGAGEMENTS 2026'!AF567)</f>
        <v/>
      </c>
      <c r="I567">
        <f>IF(ISBLANK('ENGAGEMENTS 2026'!C567),"",'ENGAGEMENTS 2026'!H567)</f>
        <v/>
      </c>
      <c r="J567" s="275">
        <f>IF(ISBLANK('ENGAGEMENTS 2026'!C567),"",IF(AND(OR($E567="INFRUCTUEUX",$E567="ANNULE"),$C567="AOO-M"),'ENGAGEMENTS 2026'!P567,IF($H567="EN COURS DE PREENGAGEMENT",'ENGAGEMENTS 2026'!O567,IF($H567="PREENGAGE",IF($E567="ATTRIBUE",'ENGAGEMENTS 2026'!AE567,'ENGAGEMENTS 2026'!O567),'ENGAGEMENTS 2026'!AE567))))</f>
        <v/>
      </c>
      <c r="K567" s="604">
        <f>IF(ISBLANK('ENGAGEMENTS 2026'!W567),"",'ENGAGEMENTS 2026'!W567)</f>
        <v/>
      </c>
      <c r="L567" s="276">
        <f>IF($K567="","",TODAY()-$K567)</f>
        <v/>
      </c>
      <c r="M567">
        <f>IF($A567="","",IF($H567="ENGAGE","Engagé",IF(AND($H567="NON ENGAGE",OR($I567="INFRUCTUEUX",$I567="ANNULE")),"Clôturé sans suite","En cours")))</f>
        <v/>
      </c>
      <c r="N567">
        <f>IF(ISBLANK('ENGAGEMENTS 2026'!C567),"",'ENGAGEMENTS 2026'!L567)</f>
        <v/>
      </c>
      <c r="O567">
        <f>IF(ISBLANK('ENGAGEMENTS 2026'!C567),"",'ENGAGEMENTS 2026'!M567)</f>
        <v/>
      </c>
      <c r="P567">
        <f>IF(ISBLANK('ENGAGEMENTS 2026'!C567),"",'ENGAGEMENTS 2026'!K567)</f>
        <v/>
      </c>
      <c r="Q567">
        <f>IF($A567="","",IF(OR($E567="INFRUCTUEUX",$E567="ANNULE"),$A567&amp;"|"&amp;(COUNTIFS($A$2:$A567,$A567,$E$2:$E567,"INFRUCTUEUX")+COUNTIFS($A$2:$A567,$A567,$E$2:$E567,"ANNULE")),""))</f>
        <v/>
      </c>
    </row>
    <row r="568">
      <c r="A568">
        <f>IF(ISBLANK('ENGAGEMENTS 2026'!C568),"",IF('ENGAGEMENTS 2026'!C568="DTSI","DCT",'ENGAGEMENTS 2026'!C568))</f>
        <v/>
      </c>
      <c r="B568">
        <f>IF(ISBLANK('ENGAGEMENTS 2026'!C568),"",'ENGAGEMENTS 2026'!D568)</f>
        <v/>
      </c>
      <c r="C568">
        <f>IF(ISBLANK('ENGAGEMENTS 2026'!C568),"",'ENGAGEMENTS 2026'!E568)</f>
        <v/>
      </c>
      <c r="D568">
        <f>IF(ISBLANK('ENGAGEMENTS 2026'!C568),"",'ENGAGEMENTS 2026'!G568)</f>
        <v/>
      </c>
      <c r="E568">
        <f>IF(ISBLANK('ENGAGEMENTS 2026'!C568),"",'ENGAGEMENTS 2026'!I568)</f>
        <v/>
      </c>
      <c r="F568">
        <f>IF(ISBLANK('ENGAGEMENTS 2026'!C568),"",'ENGAGEMENTS 2026'!J568)</f>
        <v/>
      </c>
      <c r="G568">
        <f>IF(ISBLANK('ENGAGEMENTS 2026'!C568),"",'ENGAGEMENTS 2026'!M568)</f>
        <v/>
      </c>
      <c r="H568">
        <f>IF(ISBLANK('ENGAGEMENTS 2026'!C568),"",'ENGAGEMENTS 2026'!AF568)</f>
        <v/>
      </c>
      <c r="I568">
        <f>IF(ISBLANK('ENGAGEMENTS 2026'!C568),"",'ENGAGEMENTS 2026'!H568)</f>
        <v/>
      </c>
      <c r="J568" s="275">
        <f>IF(ISBLANK('ENGAGEMENTS 2026'!C568),"",IF(AND(OR($E568="INFRUCTUEUX",$E568="ANNULE"),$C568="AOO-M"),'ENGAGEMENTS 2026'!P568,IF($H568="EN COURS DE PREENGAGEMENT",'ENGAGEMENTS 2026'!O568,IF($H568="PREENGAGE",IF($E568="ATTRIBUE",'ENGAGEMENTS 2026'!AE568,'ENGAGEMENTS 2026'!O568),'ENGAGEMENTS 2026'!AE568))))</f>
        <v/>
      </c>
      <c r="K568" s="604">
        <f>IF(ISBLANK('ENGAGEMENTS 2026'!W568),"",'ENGAGEMENTS 2026'!W568)</f>
        <v/>
      </c>
      <c r="L568" s="276">
        <f>IF($K568="","",TODAY()-$K568)</f>
        <v/>
      </c>
      <c r="M568">
        <f>IF($A568="","",IF($H568="ENGAGE","Engagé",IF(AND($H568="NON ENGAGE",OR($I568="INFRUCTUEUX",$I568="ANNULE")),"Clôturé sans suite","En cours")))</f>
        <v/>
      </c>
      <c r="N568">
        <f>IF(ISBLANK('ENGAGEMENTS 2026'!C568),"",'ENGAGEMENTS 2026'!L568)</f>
        <v/>
      </c>
      <c r="O568">
        <f>IF(ISBLANK('ENGAGEMENTS 2026'!C568),"",'ENGAGEMENTS 2026'!M568)</f>
        <v/>
      </c>
      <c r="P568">
        <f>IF(ISBLANK('ENGAGEMENTS 2026'!C568),"",'ENGAGEMENTS 2026'!K568)</f>
        <v/>
      </c>
      <c r="Q568">
        <f>IF($A568="","",IF(OR($E568="INFRUCTUEUX",$E568="ANNULE"),$A568&amp;"|"&amp;(COUNTIFS($A$2:$A568,$A568,$E$2:$E568,"INFRUCTUEUX")+COUNTIFS($A$2:$A568,$A568,$E$2:$E568,"ANNULE")),""))</f>
        <v/>
      </c>
    </row>
    <row r="569">
      <c r="A569">
        <f>IF(ISBLANK('ENGAGEMENTS 2026'!C569),"",IF('ENGAGEMENTS 2026'!C569="DTSI","DCT",'ENGAGEMENTS 2026'!C569))</f>
        <v/>
      </c>
      <c r="B569">
        <f>IF(ISBLANK('ENGAGEMENTS 2026'!C569),"",'ENGAGEMENTS 2026'!D569)</f>
        <v/>
      </c>
      <c r="C569">
        <f>IF(ISBLANK('ENGAGEMENTS 2026'!C569),"",'ENGAGEMENTS 2026'!E569)</f>
        <v/>
      </c>
      <c r="D569">
        <f>IF(ISBLANK('ENGAGEMENTS 2026'!C569),"",'ENGAGEMENTS 2026'!G569)</f>
        <v/>
      </c>
      <c r="E569">
        <f>IF(ISBLANK('ENGAGEMENTS 2026'!C569),"",'ENGAGEMENTS 2026'!I569)</f>
        <v/>
      </c>
      <c r="F569">
        <f>IF(ISBLANK('ENGAGEMENTS 2026'!C569),"",'ENGAGEMENTS 2026'!J569)</f>
        <v/>
      </c>
      <c r="G569">
        <f>IF(ISBLANK('ENGAGEMENTS 2026'!C569),"",'ENGAGEMENTS 2026'!M569)</f>
        <v/>
      </c>
      <c r="H569">
        <f>IF(ISBLANK('ENGAGEMENTS 2026'!C569),"",'ENGAGEMENTS 2026'!AF569)</f>
        <v/>
      </c>
      <c r="I569">
        <f>IF(ISBLANK('ENGAGEMENTS 2026'!C569),"",'ENGAGEMENTS 2026'!H569)</f>
        <v/>
      </c>
      <c r="J569" s="275">
        <f>IF(ISBLANK('ENGAGEMENTS 2026'!C569),"",IF(AND(OR($E569="INFRUCTUEUX",$E569="ANNULE"),$C569="AOO-M"),'ENGAGEMENTS 2026'!P569,IF($H569="EN COURS DE PREENGAGEMENT",'ENGAGEMENTS 2026'!O569,IF($H569="PREENGAGE",IF($E569="ATTRIBUE",'ENGAGEMENTS 2026'!AE569,'ENGAGEMENTS 2026'!O569),'ENGAGEMENTS 2026'!AE569))))</f>
        <v/>
      </c>
      <c r="K569" s="604">
        <f>IF(ISBLANK('ENGAGEMENTS 2026'!W569),"",'ENGAGEMENTS 2026'!W569)</f>
        <v/>
      </c>
      <c r="L569" s="276">
        <f>IF($K569="","",TODAY()-$K569)</f>
        <v/>
      </c>
      <c r="M569">
        <f>IF($A569="","",IF($H569="ENGAGE","Engagé",IF(AND($H569="NON ENGAGE",OR($I569="INFRUCTUEUX",$I569="ANNULE")),"Clôturé sans suite","En cours")))</f>
        <v/>
      </c>
      <c r="N569">
        <f>IF(ISBLANK('ENGAGEMENTS 2026'!C569),"",'ENGAGEMENTS 2026'!L569)</f>
        <v/>
      </c>
      <c r="O569">
        <f>IF(ISBLANK('ENGAGEMENTS 2026'!C569),"",'ENGAGEMENTS 2026'!M569)</f>
        <v/>
      </c>
      <c r="P569">
        <f>IF(ISBLANK('ENGAGEMENTS 2026'!C569),"",'ENGAGEMENTS 2026'!K569)</f>
        <v/>
      </c>
      <c r="Q569">
        <f>IF($A569="","",IF(OR($E569="INFRUCTUEUX",$E569="ANNULE"),$A569&amp;"|"&amp;(COUNTIFS($A$2:$A569,$A569,$E$2:$E569,"INFRUCTUEUX")+COUNTIFS($A$2:$A569,$A569,$E$2:$E569,"ANNULE")),""))</f>
        <v/>
      </c>
    </row>
    <row r="570">
      <c r="A570">
        <f>IF(ISBLANK('ENGAGEMENTS 2026'!C570),"",IF('ENGAGEMENTS 2026'!C570="DTSI","DCT",'ENGAGEMENTS 2026'!C570))</f>
        <v/>
      </c>
      <c r="B570">
        <f>IF(ISBLANK('ENGAGEMENTS 2026'!C570),"",'ENGAGEMENTS 2026'!D570)</f>
        <v/>
      </c>
      <c r="C570">
        <f>IF(ISBLANK('ENGAGEMENTS 2026'!C570),"",'ENGAGEMENTS 2026'!E570)</f>
        <v/>
      </c>
      <c r="D570">
        <f>IF(ISBLANK('ENGAGEMENTS 2026'!C570),"",'ENGAGEMENTS 2026'!G570)</f>
        <v/>
      </c>
      <c r="E570">
        <f>IF(ISBLANK('ENGAGEMENTS 2026'!C570),"",'ENGAGEMENTS 2026'!I570)</f>
        <v/>
      </c>
      <c r="F570">
        <f>IF(ISBLANK('ENGAGEMENTS 2026'!C570),"",'ENGAGEMENTS 2026'!J570)</f>
        <v/>
      </c>
      <c r="G570">
        <f>IF(ISBLANK('ENGAGEMENTS 2026'!C570),"",'ENGAGEMENTS 2026'!M570)</f>
        <v/>
      </c>
      <c r="H570">
        <f>IF(ISBLANK('ENGAGEMENTS 2026'!C570),"",'ENGAGEMENTS 2026'!AF570)</f>
        <v/>
      </c>
      <c r="I570">
        <f>IF(ISBLANK('ENGAGEMENTS 2026'!C570),"",'ENGAGEMENTS 2026'!H570)</f>
        <v/>
      </c>
      <c r="J570" s="275">
        <f>IF(ISBLANK('ENGAGEMENTS 2026'!C570),"",IF(AND(OR($E570="INFRUCTUEUX",$E570="ANNULE"),$C570="AOO-M"),'ENGAGEMENTS 2026'!P570,IF($H570="EN COURS DE PREENGAGEMENT",'ENGAGEMENTS 2026'!O570,IF($H570="PREENGAGE",IF($E570="ATTRIBUE",'ENGAGEMENTS 2026'!AE570,'ENGAGEMENTS 2026'!O570),'ENGAGEMENTS 2026'!AE570))))</f>
        <v/>
      </c>
      <c r="K570" s="604">
        <f>IF(ISBLANK('ENGAGEMENTS 2026'!W570),"",'ENGAGEMENTS 2026'!W570)</f>
        <v/>
      </c>
      <c r="L570" s="276">
        <f>IF($K570="","",TODAY()-$K570)</f>
        <v/>
      </c>
      <c r="M570">
        <f>IF($A570="","",IF($H570="ENGAGE","Engagé",IF(AND($H570="NON ENGAGE",OR($I570="INFRUCTUEUX",$I570="ANNULE")),"Clôturé sans suite","En cours")))</f>
        <v/>
      </c>
      <c r="N570">
        <f>IF(ISBLANK('ENGAGEMENTS 2026'!C570),"",'ENGAGEMENTS 2026'!L570)</f>
        <v/>
      </c>
      <c r="O570">
        <f>IF(ISBLANK('ENGAGEMENTS 2026'!C570),"",'ENGAGEMENTS 2026'!M570)</f>
        <v/>
      </c>
      <c r="P570">
        <f>IF(ISBLANK('ENGAGEMENTS 2026'!C570),"",'ENGAGEMENTS 2026'!K570)</f>
        <v/>
      </c>
      <c r="Q570">
        <f>IF($A570="","",IF(OR($E570="INFRUCTUEUX",$E570="ANNULE"),$A570&amp;"|"&amp;(COUNTIFS($A$2:$A570,$A570,$E$2:$E570,"INFRUCTUEUX")+COUNTIFS($A$2:$A570,$A570,$E$2:$E570,"ANNULE")),""))</f>
        <v/>
      </c>
    </row>
    <row r="571">
      <c r="A571">
        <f>IF(ISBLANK('ENGAGEMENTS 2026'!C571),"",IF('ENGAGEMENTS 2026'!C571="DTSI","DCT",'ENGAGEMENTS 2026'!C571))</f>
        <v/>
      </c>
      <c r="B571">
        <f>IF(ISBLANK('ENGAGEMENTS 2026'!C571),"",'ENGAGEMENTS 2026'!D571)</f>
        <v/>
      </c>
      <c r="C571">
        <f>IF(ISBLANK('ENGAGEMENTS 2026'!C571),"",'ENGAGEMENTS 2026'!E571)</f>
        <v/>
      </c>
      <c r="D571">
        <f>IF(ISBLANK('ENGAGEMENTS 2026'!C571),"",'ENGAGEMENTS 2026'!G571)</f>
        <v/>
      </c>
      <c r="E571">
        <f>IF(ISBLANK('ENGAGEMENTS 2026'!C571),"",'ENGAGEMENTS 2026'!I571)</f>
        <v/>
      </c>
      <c r="F571">
        <f>IF(ISBLANK('ENGAGEMENTS 2026'!C571),"",'ENGAGEMENTS 2026'!J571)</f>
        <v/>
      </c>
      <c r="G571">
        <f>IF(ISBLANK('ENGAGEMENTS 2026'!C571),"",'ENGAGEMENTS 2026'!M571)</f>
        <v/>
      </c>
      <c r="H571">
        <f>IF(ISBLANK('ENGAGEMENTS 2026'!C571),"",'ENGAGEMENTS 2026'!AF571)</f>
        <v/>
      </c>
      <c r="I571">
        <f>IF(ISBLANK('ENGAGEMENTS 2026'!C571),"",'ENGAGEMENTS 2026'!H571)</f>
        <v/>
      </c>
      <c r="J571" s="275">
        <f>IF(ISBLANK('ENGAGEMENTS 2026'!C571),"",IF(AND(OR($E571="INFRUCTUEUX",$E571="ANNULE"),$C571="AOO-M"),'ENGAGEMENTS 2026'!P571,IF($H571="EN COURS DE PREENGAGEMENT",'ENGAGEMENTS 2026'!O571,IF($H571="PREENGAGE",IF($E571="ATTRIBUE",'ENGAGEMENTS 2026'!AE571,'ENGAGEMENTS 2026'!O571),'ENGAGEMENTS 2026'!AE571))))</f>
        <v/>
      </c>
      <c r="K571" s="604">
        <f>IF(ISBLANK('ENGAGEMENTS 2026'!W571),"",'ENGAGEMENTS 2026'!W571)</f>
        <v/>
      </c>
      <c r="L571" s="276">
        <f>IF($K571="","",TODAY()-$K571)</f>
        <v/>
      </c>
      <c r="M571">
        <f>IF($A571="","",IF($H571="ENGAGE","Engagé",IF(AND($H571="NON ENGAGE",OR($I571="INFRUCTUEUX",$I571="ANNULE")),"Clôturé sans suite","En cours")))</f>
        <v/>
      </c>
      <c r="N571">
        <f>IF(ISBLANK('ENGAGEMENTS 2026'!C571),"",'ENGAGEMENTS 2026'!L571)</f>
        <v/>
      </c>
      <c r="O571">
        <f>IF(ISBLANK('ENGAGEMENTS 2026'!C571),"",'ENGAGEMENTS 2026'!M571)</f>
        <v/>
      </c>
      <c r="P571">
        <f>IF(ISBLANK('ENGAGEMENTS 2026'!C571),"",'ENGAGEMENTS 2026'!K571)</f>
        <v/>
      </c>
      <c r="Q571">
        <f>IF($A571="","",IF(OR($E571="INFRUCTUEUX",$E571="ANNULE"),$A571&amp;"|"&amp;(COUNTIFS($A$2:$A571,$A571,$E$2:$E571,"INFRUCTUEUX")+COUNTIFS($A$2:$A571,$A571,$E$2:$E571,"ANNULE")),""))</f>
        <v/>
      </c>
    </row>
    <row r="572">
      <c r="A572">
        <f>IF(ISBLANK('ENGAGEMENTS 2026'!C572),"",IF('ENGAGEMENTS 2026'!C572="DTSI","DCT",'ENGAGEMENTS 2026'!C572))</f>
        <v/>
      </c>
      <c r="B572">
        <f>IF(ISBLANK('ENGAGEMENTS 2026'!C572),"",'ENGAGEMENTS 2026'!D572)</f>
        <v/>
      </c>
      <c r="C572">
        <f>IF(ISBLANK('ENGAGEMENTS 2026'!C572),"",'ENGAGEMENTS 2026'!E572)</f>
        <v/>
      </c>
      <c r="D572">
        <f>IF(ISBLANK('ENGAGEMENTS 2026'!C572),"",'ENGAGEMENTS 2026'!G572)</f>
        <v/>
      </c>
      <c r="E572">
        <f>IF(ISBLANK('ENGAGEMENTS 2026'!C572),"",'ENGAGEMENTS 2026'!I572)</f>
        <v/>
      </c>
      <c r="F572">
        <f>IF(ISBLANK('ENGAGEMENTS 2026'!C572),"",'ENGAGEMENTS 2026'!J572)</f>
        <v/>
      </c>
      <c r="G572">
        <f>IF(ISBLANK('ENGAGEMENTS 2026'!C572),"",'ENGAGEMENTS 2026'!M572)</f>
        <v/>
      </c>
      <c r="H572">
        <f>IF(ISBLANK('ENGAGEMENTS 2026'!C572),"",'ENGAGEMENTS 2026'!AF572)</f>
        <v/>
      </c>
      <c r="I572">
        <f>IF(ISBLANK('ENGAGEMENTS 2026'!C572),"",'ENGAGEMENTS 2026'!H572)</f>
        <v/>
      </c>
      <c r="J572" s="275">
        <f>IF(ISBLANK('ENGAGEMENTS 2026'!C572),"",IF(AND(OR($E572="INFRUCTUEUX",$E572="ANNULE"),$C572="AOO-M"),'ENGAGEMENTS 2026'!P572,IF($H572="EN COURS DE PREENGAGEMENT",'ENGAGEMENTS 2026'!O572,IF($H572="PREENGAGE",IF($E572="ATTRIBUE",'ENGAGEMENTS 2026'!AE572,'ENGAGEMENTS 2026'!O572),'ENGAGEMENTS 2026'!AE572))))</f>
        <v/>
      </c>
      <c r="K572" s="604">
        <f>IF(ISBLANK('ENGAGEMENTS 2026'!W572),"",'ENGAGEMENTS 2026'!W572)</f>
        <v/>
      </c>
      <c r="L572" s="276">
        <f>IF($K572="","",TODAY()-$K572)</f>
        <v/>
      </c>
      <c r="M572">
        <f>IF($A572="","",IF($H572="ENGAGE","Engagé",IF(AND($H572="NON ENGAGE",OR($I572="INFRUCTUEUX",$I572="ANNULE")),"Clôturé sans suite","En cours")))</f>
        <v/>
      </c>
      <c r="N572">
        <f>IF(ISBLANK('ENGAGEMENTS 2026'!C572),"",'ENGAGEMENTS 2026'!L572)</f>
        <v/>
      </c>
      <c r="O572">
        <f>IF(ISBLANK('ENGAGEMENTS 2026'!C572),"",'ENGAGEMENTS 2026'!M572)</f>
        <v/>
      </c>
      <c r="P572">
        <f>IF(ISBLANK('ENGAGEMENTS 2026'!C572),"",'ENGAGEMENTS 2026'!K572)</f>
        <v/>
      </c>
      <c r="Q572">
        <f>IF($A572="","",IF(OR($E572="INFRUCTUEUX",$E572="ANNULE"),$A572&amp;"|"&amp;(COUNTIFS($A$2:$A572,$A572,$E$2:$E572,"INFRUCTUEUX")+COUNTIFS($A$2:$A572,$A572,$E$2:$E572,"ANNULE")),""))</f>
        <v/>
      </c>
    </row>
    <row r="573">
      <c r="A573">
        <f>IF(ISBLANK('ENGAGEMENTS 2026'!C573),"",IF('ENGAGEMENTS 2026'!C573="DTSI","DCT",'ENGAGEMENTS 2026'!C573))</f>
        <v/>
      </c>
      <c r="B573">
        <f>IF(ISBLANK('ENGAGEMENTS 2026'!C573),"",'ENGAGEMENTS 2026'!D573)</f>
        <v/>
      </c>
      <c r="C573">
        <f>IF(ISBLANK('ENGAGEMENTS 2026'!C573),"",'ENGAGEMENTS 2026'!E573)</f>
        <v/>
      </c>
      <c r="D573">
        <f>IF(ISBLANK('ENGAGEMENTS 2026'!C573),"",'ENGAGEMENTS 2026'!G573)</f>
        <v/>
      </c>
      <c r="E573">
        <f>IF(ISBLANK('ENGAGEMENTS 2026'!C573),"",'ENGAGEMENTS 2026'!I573)</f>
        <v/>
      </c>
      <c r="F573">
        <f>IF(ISBLANK('ENGAGEMENTS 2026'!C573),"",'ENGAGEMENTS 2026'!J573)</f>
        <v/>
      </c>
      <c r="G573">
        <f>IF(ISBLANK('ENGAGEMENTS 2026'!C573),"",'ENGAGEMENTS 2026'!M573)</f>
        <v/>
      </c>
      <c r="H573">
        <f>IF(ISBLANK('ENGAGEMENTS 2026'!C573),"",'ENGAGEMENTS 2026'!AF573)</f>
        <v/>
      </c>
      <c r="I573">
        <f>IF(ISBLANK('ENGAGEMENTS 2026'!C573),"",'ENGAGEMENTS 2026'!H573)</f>
        <v/>
      </c>
      <c r="J573" s="275">
        <f>IF(ISBLANK('ENGAGEMENTS 2026'!C573),"",IF(AND(OR($E573="INFRUCTUEUX",$E573="ANNULE"),$C573="AOO-M"),'ENGAGEMENTS 2026'!P573,IF($H573="EN COURS DE PREENGAGEMENT",'ENGAGEMENTS 2026'!O573,IF($H573="PREENGAGE",IF($E573="ATTRIBUE",'ENGAGEMENTS 2026'!AE573,'ENGAGEMENTS 2026'!O573),'ENGAGEMENTS 2026'!AE573))))</f>
        <v/>
      </c>
      <c r="K573" s="604">
        <f>IF(ISBLANK('ENGAGEMENTS 2026'!W573),"",'ENGAGEMENTS 2026'!W573)</f>
        <v/>
      </c>
      <c r="L573" s="276">
        <f>IF($K573="","",TODAY()-$K573)</f>
        <v/>
      </c>
      <c r="M573">
        <f>IF($A573="","",IF($H573="ENGAGE","Engagé",IF(AND($H573="NON ENGAGE",OR($I573="INFRUCTUEUX",$I573="ANNULE")),"Clôturé sans suite","En cours")))</f>
        <v/>
      </c>
      <c r="N573">
        <f>IF(ISBLANK('ENGAGEMENTS 2026'!C573),"",'ENGAGEMENTS 2026'!L573)</f>
        <v/>
      </c>
      <c r="O573">
        <f>IF(ISBLANK('ENGAGEMENTS 2026'!C573),"",'ENGAGEMENTS 2026'!M573)</f>
        <v/>
      </c>
      <c r="P573">
        <f>IF(ISBLANK('ENGAGEMENTS 2026'!C573),"",'ENGAGEMENTS 2026'!K573)</f>
        <v/>
      </c>
      <c r="Q573">
        <f>IF($A573="","",IF(OR($E573="INFRUCTUEUX",$E573="ANNULE"),$A573&amp;"|"&amp;(COUNTIFS($A$2:$A573,$A573,$E$2:$E573,"INFRUCTUEUX")+COUNTIFS($A$2:$A573,$A573,$E$2:$E573,"ANNULE")),""))</f>
        <v/>
      </c>
    </row>
    <row r="574">
      <c r="A574">
        <f>IF(ISBLANK('ENGAGEMENTS 2026'!C574),"",IF('ENGAGEMENTS 2026'!C574="DTSI","DCT",'ENGAGEMENTS 2026'!C574))</f>
        <v/>
      </c>
      <c r="B574">
        <f>IF(ISBLANK('ENGAGEMENTS 2026'!C574),"",'ENGAGEMENTS 2026'!D574)</f>
        <v/>
      </c>
      <c r="C574">
        <f>IF(ISBLANK('ENGAGEMENTS 2026'!C574),"",'ENGAGEMENTS 2026'!E574)</f>
        <v/>
      </c>
      <c r="D574">
        <f>IF(ISBLANK('ENGAGEMENTS 2026'!C574),"",'ENGAGEMENTS 2026'!G574)</f>
        <v/>
      </c>
      <c r="E574">
        <f>IF(ISBLANK('ENGAGEMENTS 2026'!C574),"",'ENGAGEMENTS 2026'!I574)</f>
        <v/>
      </c>
      <c r="F574">
        <f>IF(ISBLANK('ENGAGEMENTS 2026'!C574),"",'ENGAGEMENTS 2026'!J574)</f>
        <v/>
      </c>
      <c r="G574">
        <f>IF(ISBLANK('ENGAGEMENTS 2026'!C574),"",'ENGAGEMENTS 2026'!M574)</f>
        <v/>
      </c>
      <c r="H574">
        <f>IF(ISBLANK('ENGAGEMENTS 2026'!C574),"",'ENGAGEMENTS 2026'!AF574)</f>
        <v/>
      </c>
      <c r="I574">
        <f>IF(ISBLANK('ENGAGEMENTS 2026'!C574),"",'ENGAGEMENTS 2026'!H574)</f>
        <v/>
      </c>
      <c r="J574" s="275">
        <f>IF(ISBLANK('ENGAGEMENTS 2026'!C574),"",IF(AND(OR($E574="INFRUCTUEUX",$E574="ANNULE"),$C574="AOO-M"),'ENGAGEMENTS 2026'!P574,IF($H574="EN COURS DE PREENGAGEMENT",'ENGAGEMENTS 2026'!O574,IF($H574="PREENGAGE",IF($E574="ATTRIBUE",'ENGAGEMENTS 2026'!AE574,'ENGAGEMENTS 2026'!O574),'ENGAGEMENTS 2026'!AE574))))</f>
        <v/>
      </c>
      <c r="K574" s="604">
        <f>IF(ISBLANK('ENGAGEMENTS 2026'!W574),"",'ENGAGEMENTS 2026'!W574)</f>
        <v/>
      </c>
      <c r="L574" s="276">
        <f>IF($K574="","",TODAY()-$K574)</f>
        <v/>
      </c>
      <c r="M574">
        <f>IF($A574="","",IF($H574="ENGAGE","Engagé",IF(AND($H574="NON ENGAGE",OR($I574="INFRUCTUEUX",$I574="ANNULE")),"Clôturé sans suite","En cours")))</f>
        <v/>
      </c>
      <c r="N574">
        <f>IF(ISBLANK('ENGAGEMENTS 2026'!C574),"",'ENGAGEMENTS 2026'!L574)</f>
        <v/>
      </c>
      <c r="O574">
        <f>IF(ISBLANK('ENGAGEMENTS 2026'!C574),"",'ENGAGEMENTS 2026'!M574)</f>
        <v/>
      </c>
      <c r="P574">
        <f>IF(ISBLANK('ENGAGEMENTS 2026'!C574),"",'ENGAGEMENTS 2026'!K574)</f>
        <v/>
      </c>
      <c r="Q574">
        <f>IF($A574="","",IF(OR($E574="INFRUCTUEUX",$E574="ANNULE"),$A574&amp;"|"&amp;(COUNTIFS($A$2:$A574,$A574,$E$2:$E574,"INFRUCTUEUX")+COUNTIFS($A$2:$A574,$A574,$E$2:$E574,"ANNULE")),""))</f>
        <v/>
      </c>
    </row>
    <row r="575">
      <c r="A575">
        <f>IF(ISBLANK('ENGAGEMENTS 2026'!C575),"",IF('ENGAGEMENTS 2026'!C575="DTSI","DCT",'ENGAGEMENTS 2026'!C575))</f>
        <v/>
      </c>
      <c r="B575">
        <f>IF(ISBLANK('ENGAGEMENTS 2026'!C575),"",'ENGAGEMENTS 2026'!D575)</f>
        <v/>
      </c>
      <c r="C575">
        <f>IF(ISBLANK('ENGAGEMENTS 2026'!C575),"",'ENGAGEMENTS 2026'!E575)</f>
        <v/>
      </c>
      <c r="D575">
        <f>IF(ISBLANK('ENGAGEMENTS 2026'!C575),"",'ENGAGEMENTS 2026'!G575)</f>
        <v/>
      </c>
      <c r="E575">
        <f>IF(ISBLANK('ENGAGEMENTS 2026'!C575),"",'ENGAGEMENTS 2026'!I575)</f>
        <v/>
      </c>
      <c r="F575">
        <f>IF(ISBLANK('ENGAGEMENTS 2026'!C575),"",'ENGAGEMENTS 2026'!J575)</f>
        <v/>
      </c>
      <c r="G575">
        <f>IF(ISBLANK('ENGAGEMENTS 2026'!C575),"",'ENGAGEMENTS 2026'!M575)</f>
        <v/>
      </c>
      <c r="H575">
        <f>IF(ISBLANK('ENGAGEMENTS 2026'!C575),"",'ENGAGEMENTS 2026'!AF575)</f>
        <v/>
      </c>
      <c r="I575">
        <f>IF(ISBLANK('ENGAGEMENTS 2026'!C575),"",'ENGAGEMENTS 2026'!H575)</f>
        <v/>
      </c>
      <c r="J575" s="275">
        <f>IF(ISBLANK('ENGAGEMENTS 2026'!C575),"",IF(AND(OR($E575="INFRUCTUEUX",$E575="ANNULE"),$C575="AOO-M"),'ENGAGEMENTS 2026'!P575,IF($H575="EN COURS DE PREENGAGEMENT",'ENGAGEMENTS 2026'!O575,IF($H575="PREENGAGE",IF($E575="ATTRIBUE",'ENGAGEMENTS 2026'!AE575,'ENGAGEMENTS 2026'!O575),'ENGAGEMENTS 2026'!AE575))))</f>
        <v/>
      </c>
      <c r="K575" s="604">
        <f>IF(ISBLANK('ENGAGEMENTS 2026'!W575),"",'ENGAGEMENTS 2026'!W575)</f>
        <v/>
      </c>
      <c r="L575" s="276">
        <f>IF($K575="","",TODAY()-$K575)</f>
        <v/>
      </c>
      <c r="M575">
        <f>IF($A575="","",IF($H575="ENGAGE","Engagé",IF(AND($H575="NON ENGAGE",OR($I575="INFRUCTUEUX",$I575="ANNULE")),"Clôturé sans suite","En cours")))</f>
        <v/>
      </c>
      <c r="N575">
        <f>IF(ISBLANK('ENGAGEMENTS 2026'!C575),"",'ENGAGEMENTS 2026'!L575)</f>
        <v/>
      </c>
      <c r="O575">
        <f>IF(ISBLANK('ENGAGEMENTS 2026'!C575),"",'ENGAGEMENTS 2026'!M575)</f>
        <v/>
      </c>
      <c r="P575">
        <f>IF(ISBLANK('ENGAGEMENTS 2026'!C575),"",'ENGAGEMENTS 2026'!K575)</f>
        <v/>
      </c>
      <c r="Q575">
        <f>IF($A575="","",IF(OR($E575="INFRUCTUEUX",$E575="ANNULE"),$A575&amp;"|"&amp;(COUNTIFS($A$2:$A575,$A575,$E$2:$E575,"INFRUCTUEUX")+COUNTIFS($A$2:$A575,$A575,$E$2:$E575,"ANNULE")),""))</f>
        <v/>
      </c>
    </row>
    <row r="576">
      <c r="A576">
        <f>IF(ISBLANK('ENGAGEMENTS 2026'!C576),"",IF('ENGAGEMENTS 2026'!C576="DTSI","DCT",'ENGAGEMENTS 2026'!C576))</f>
        <v/>
      </c>
      <c r="B576">
        <f>IF(ISBLANK('ENGAGEMENTS 2026'!C576),"",'ENGAGEMENTS 2026'!D576)</f>
        <v/>
      </c>
      <c r="C576">
        <f>IF(ISBLANK('ENGAGEMENTS 2026'!C576),"",'ENGAGEMENTS 2026'!E576)</f>
        <v/>
      </c>
      <c r="D576">
        <f>IF(ISBLANK('ENGAGEMENTS 2026'!C576),"",'ENGAGEMENTS 2026'!G576)</f>
        <v/>
      </c>
      <c r="E576">
        <f>IF(ISBLANK('ENGAGEMENTS 2026'!C576),"",'ENGAGEMENTS 2026'!I576)</f>
        <v/>
      </c>
      <c r="F576">
        <f>IF(ISBLANK('ENGAGEMENTS 2026'!C576),"",'ENGAGEMENTS 2026'!J576)</f>
        <v/>
      </c>
      <c r="G576">
        <f>IF(ISBLANK('ENGAGEMENTS 2026'!C576),"",'ENGAGEMENTS 2026'!M576)</f>
        <v/>
      </c>
      <c r="H576">
        <f>IF(ISBLANK('ENGAGEMENTS 2026'!C576),"",'ENGAGEMENTS 2026'!AF576)</f>
        <v/>
      </c>
      <c r="I576">
        <f>IF(ISBLANK('ENGAGEMENTS 2026'!C576),"",'ENGAGEMENTS 2026'!H576)</f>
        <v/>
      </c>
      <c r="J576" s="275">
        <f>IF(ISBLANK('ENGAGEMENTS 2026'!C576),"",IF(AND(OR($E576="INFRUCTUEUX",$E576="ANNULE"),$C576="AOO-M"),'ENGAGEMENTS 2026'!P576,IF($H576="EN COURS DE PREENGAGEMENT",'ENGAGEMENTS 2026'!O576,IF($H576="PREENGAGE",IF($E576="ATTRIBUE",'ENGAGEMENTS 2026'!AE576,'ENGAGEMENTS 2026'!O576),'ENGAGEMENTS 2026'!AE576))))</f>
        <v/>
      </c>
      <c r="K576" s="604">
        <f>IF(ISBLANK('ENGAGEMENTS 2026'!W576),"",'ENGAGEMENTS 2026'!W576)</f>
        <v/>
      </c>
      <c r="L576" s="276">
        <f>IF($K576="","",TODAY()-$K576)</f>
        <v/>
      </c>
      <c r="M576">
        <f>IF($A576="","",IF($H576="ENGAGE","Engagé",IF(AND($H576="NON ENGAGE",OR($I576="INFRUCTUEUX",$I576="ANNULE")),"Clôturé sans suite","En cours")))</f>
        <v/>
      </c>
      <c r="N576">
        <f>IF(ISBLANK('ENGAGEMENTS 2026'!C576),"",'ENGAGEMENTS 2026'!L576)</f>
        <v/>
      </c>
      <c r="O576">
        <f>IF(ISBLANK('ENGAGEMENTS 2026'!C576),"",'ENGAGEMENTS 2026'!M576)</f>
        <v/>
      </c>
      <c r="P576">
        <f>IF(ISBLANK('ENGAGEMENTS 2026'!C576),"",'ENGAGEMENTS 2026'!K576)</f>
        <v/>
      </c>
      <c r="Q576">
        <f>IF($A576="","",IF(OR($E576="INFRUCTUEUX",$E576="ANNULE"),$A576&amp;"|"&amp;(COUNTIFS($A$2:$A576,$A576,$E$2:$E576,"INFRUCTUEUX")+COUNTIFS($A$2:$A576,$A576,$E$2:$E576,"ANNULE")),""))</f>
        <v/>
      </c>
    </row>
    <row r="577">
      <c r="A577">
        <f>IF(ISBLANK('ENGAGEMENTS 2026'!C577),"",IF('ENGAGEMENTS 2026'!C577="DTSI","DCT",'ENGAGEMENTS 2026'!C577))</f>
        <v/>
      </c>
      <c r="B577">
        <f>IF(ISBLANK('ENGAGEMENTS 2026'!C577),"",'ENGAGEMENTS 2026'!D577)</f>
        <v/>
      </c>
      <c r="C577">
        <f>IF(ISBLANK('ENGAGEMENTS 2026'!C577),"",'ENGAGEMENTS 2026'!E577)</f>
        <v/>
      </c>
      <c r="D577">
        <f>IF(ISBLANK('ENGAGEMENTS 2026'!C577),"",'ENGAGEMENTS 2026'!G577)</f>
        <v/>
      </c>
      <c r="E577">
        <f>IF(ISBLANK('ENGAGEMENTS 2026'!C577),"",'ENGAGEMENTS 2026'!I577)</f>
        <v/>
      </c>
      <c r="F577">
        <f>IF(ISBLANK('ENGAGEMENTS 2026'!C577),"",'ENGAGEMENTS 2026'!J577)</f>
        <v/>
      </c>
      <c r="G577">
        <f>IF(ISBLANK('ENGAGEMENTS 2026'!C577),"",'ENGAGEMENTS 2026'!M577)</f>
        <v/>
      </c>
      <c r="H577">
        <f>IF(ISBLANK('ENGAGEMENTS 2026'!C577),"",'ENGAGEMENTS 2026'!AF577)</f>
        <v/>
      </c>
      <c r="I577">
        <f>IF(ISBLANK('ENGAGEMENTS 2026'!C577),"",'ENGAGEMENTS 2026'!H577)</f>
        <v/>
      </c>
      <c r="J577" s="275">
        <f>IF(ISBLANK('ENGAGEMENTS 2026'!C577),"",IF(AND(OR($E577="INFRUCTUEUX",$E577="ANNULE"),$C577="AOO-M"),'ENGAGEMENTS 2026'!P577,IF($H577="EN COURS DE PREENGAGEMENT",'ENGAGEMENTS 2026'!O577,IF($H577="PREENGAGE",IF($E577="ATTRIBUE",'ENGAGEMENTS 2026'!AE577,'ENGAGEMENTS 2026'!O577),'ENGAGEMENTS 2026'!AE577))))</f>
        <v/>
      </c>
      <c r="K577" s="604">
        <f>IF(ISBLANK('ENGAGEMENTS 2026'!W577),"",'ENGAGEMENTS 2026'!W577)</f>
        <v/>
      </c>
      <c r="L577" s="276">
        <f>IF($K577="","",TODAY()-$K577)</f>
        <v/>
      </c>
      <c r="M577">
        <f>IF($A577="","",IF($H577="ENGAGE","Engagé",IF(AND($H577="NON ENGAGE",OR($I577="INFRUCTUEUX",$I577="ANNULE")),"Clôturé sans suite","En cours")))</f>
        <v/>
      </c>
      <c r="N577">
        <f>IF(ISBLANK('ENGAGEMENTS 2026'!C577),"",'ENGAGEMENTS 2026'!L577)</f>
        <v/>
      </c>
      <c r="O577">
        <f>IF(ISBLANK('ENGAGEMENTS 2026'!C577),"",'ENGAGEMENTS 2026'!M577)</f>
        <v/>
      </c>
      <c r="P577">
        <f>IF(ISBLANK('ENGAGEMENTS 2026'!C577),"",'ENGAGEMENTS 2026'!K577)</f>
        <v/>
      </c>
      <c r="Q577">
        <f>IF($A577="","",IF(OR($E577="INFRUCTUEUX",$E577="ANNULE"),$A577&amp;"|"&amp;(COUNTIFS($A$2:$A577,$A577,$E$2:$E577,"INFRUCTUEUX")+COUNTIFS($A$2:$A577,$A577,$E$2:$E577,"ANNULE")),""))</f>
        <v/>
      </c>
    </row>
    <row r="578">
      <c r="A578">
        <f>IF(ISBLANK('ENGAGEMENTS 2026'!C578),"",IF('ENGAGEMENTS 2026'!C578="DTSI","DCT",'ENGAGEMENTS 2026'!C578))</f>
        <v/>
      </c>
      <c r="B578">
        <f>IF(ISBLANK('ENGAGEMENTS 2026'!C578),"",'ENGAGEMENTS 2026'!D578)</f>
        <v/>
      </c>
      <c r="C578">
        <f>IF(ISBLANK('ENGAGEMENTS 2026'!C578),"",'ENGAGEMENTS 2026'!E578)</f>
        <v/>
      </c>
      <c r="D578">
        <f>IF(ISBLANK('ENGAGEMENTS 2026'!C578),"",'ENGAGEMENTS 2026'!G578)</f>
        <v/>
      </c>
      <c r="E578">
        <f>IF(ISBLANK('ENGAGEMENTS 2026'!C578),"",'ENGAGEMENTS 2026'!I578)</f>
        <v/>
      </c>
      <c r="F578">
        <f>IF(ISBLANK('ENGAGEMENTS 2026'!C578),"",'ENGAGEMENTS 2026'!J578)</f>
        <v/>
      </c>
      <c r="G578">
        <f>IF(ISBLANK('ENGAGEMENTS 2026'!C578),"",'ENGAGEMENTS 2026'!M578)</f>
        <v/>
      </c>
      <c r="H578">
        <f>IF(ISBLANK('ENGAGEMENTS 2026'!C578),"",'ENGAGEMENTS 2026'!AF578)</f>
        <v/>
      </c>
      <c r="I578">
        <f>IF(ISBLANK('ENGAGEMENTS 2026'!C578),"",'ENGAGEMENTS 2026'!H578)</f>
        <v/>
      </c>
      <c r="J578" s="275">
        <f>IF(ISBLANK('ENGAGEMENTS 2026'!C578),"",IF(AND(OR($E578="INFRUCTUEUX",$E578="ANNULE"),$C578="AOO-M"),'ENGAGEMENTS 2026'!P578,IF($H578="EN COURS DE PREENGAGEMENT",'ENGAGEMENTS 2026'!O578,IF($H578="PREENGAGE",IF($E578="ATTRIBUE",'ENGAGEMENTS 2026'!AE578,'ENGAGEMENTS 2026'!O578),'ENGAGEMENTS 2026'!AE578))))</f>
        <v/>
      </c>
      <c r="K578" s="604">
        <f>IF(ISBLANK('ENGAGEMENTS 2026'!W578),"",'ENGAGEMENTS 2026'!W578)</f>
        <v/>
      </c>
      <c r="L578" s="276">
        <f>IF($K578="","",TODAY()-$K578)</f>
        <v/>
      </c>
      <c r="M578">
        <f>IF($A578="","",IF($H578="ENGAGE","Engagé",IF(AND($H578="NON ENGAGE",OR($I578="INFRUCTUEUX",$I578="ANNULE")),"Clôturé sans suite","En cours")))</f>
        <v/>
      </c>
      <c r="N578">
        <f>IF(ISBLANK('ENGAGEMENTS 2026'!C578),"",'ENGAGEMENTS 2026'!L578)</f>
        <v/>
      </c>
      <c r="O578">
        <f>IF(ISBLANK('ENGAGEMENTS 2026'!C578),"",'ENGAGEMENTS 2026'!M578)</f>
        <v/>
      </c>
      <c r="P578">
        <f>IF(ISBLANK('ENGAGEMENTS 2026'!C578),"",'ENGAGEMENTS 2026'!K578)</f>
        <v/>
      </c>
      <c r="Q578">
        <f>IF($A578="","",IF(OR($E578="INFRUCTUEUX",$E578="ANNULE"),$A578&amp;"|"&amp;(COUNTIFS($A$2:$A578,$A578,$E$2:$E578,"INFRUCTUEUX")+COUNTIFS($A$2:$A578,$A578,$E$2:$E578,"ANNULE")),""))</f>
        <v/>
      </c>
    </row>
    <row r="579">
      <c r="A579">
        <f>IF(ISBLANK('ENGAGEMENTS 2026'!C579),"",IF('ENGAGEMENTS 2026'!C579="DTSI","DCT",'ENGAGEMENTS 2026'!C579))</f>
        <v/>
      </c>
      <c r="B579">
        <f>IF(ISBLANK('ENGAGEMENTS 2026'!C579),"",'ENGAGEMENTS 2026'!D579)</f>
        <v/>
      </c>
      <c r="C579">
        <f>IF(ISBLANK('ENGAGEMENTS 2026'!C579),"",'ENGAGEMENTS 2026'!E579)</f>
        <v/>
      </c>
      <c r="D579">
        <f>IF(ISBLANK('ENGAGEMENTS 2026'!C579),"",'ENGAGEMENTS 2026'!G579)</f>
        <v/>
      </c>
      <c r="E579">
        <f>IF(ISBLANK('ENGAGEMENTS 2026'!C579),"",'ENGAGEMENTS 2026'!I579)</f>
        <v/>
      </c>
      <c r="F579">
        <f>IF(ISBLANK('ENGAGEMENTS 2026'!C579),"",'ENGAGEMENTS 2026'!J579)</f>
        <v/>
      </c>
      <c r="G579">
        <f>IF(ISBLANK('ENGAGEMENTS 2026'!C579),"",'ENGAGEMENTS 2026'!M579)</f>
        <v/>
      </c>
      <c r="H579">
        <f>IF(ISBLANK('ENGAGEMENTS 2026'!C579),"",'ENGAGEMENTS 2026'!AF579)</f>
        <v/>
      </c>
      <c r="I579">
        <f>IF(ISBLANK('ENGAGEMENTS 2026'!C579),"",'ENGAGEMENTS 2026'!H579)</f>
        <v/>
      </c>
      <c r="J579" s="275">
        <f>IF(ISBLANK('ENGAGEMENTS 2026'!C579),"",IF(AND(OR($E579="INFRUCTUEUX",$E579="ANNULE"),$C579="AOO-M"),'ENGAGEMENTS 2026'!P579,IF($H579="EN COURS DE PREENGAGEMENT",'ENGAGEMENTS 2026'!O579,IF($H579="PREENGAGE",IF($E579="ATTRIBUE",'ENGAGEMENTS 2026'!AE579,'ENGAGEMENTS 2026'!O579),'ENGAGEMENTS 2026'!AE579))))</f>
        <v/>
      </c>
      <c r="K579" s="604">
        <f>IF(ISBLANK('ENGAGEMENTS 2026'!W579),"",'ENGAGEMENTS 2026'!W579)</f>
        <v/>
      </c>
      <c r="L579" s="276">
        <f>IF($K579="","",TODAY()-$K579)</f>
        <v/>
      </c>
      <c r="M579">
        <f>IF($A579="","",IF($H579="ENGAGE","Engagé",IF(AND($H579="NON ENGAGE",OR($I579="INFRUCTUEUX",$I579="ANNULE")),"Clôturé sans suite","En cours")))</f>
        <v/>
      </c>
      <c r="N579">
        <f>IF(ISBLANK('ENGAGEMENTS 2026'!C579),"",'ENGAGEMENTS 2026'!L579)</f>
        <v/>
      </c>
      <c r="O579">
        <f>IF(ISBLANK('ENGAGEMENTS 2026'!C579),"",'ENGAGEMENTS 2026'!M579)</f>
        <v/>
      </c>
      <c r="P579">
        <f>IF(ISBLANK('ENGAGEMENTS 2026'!C579),"",'ENGAGEMENTS 2026'!K579)</f>
        <v/>
      </c>
      <c r="Q579">
        <f>IF($A579="","",IF(OR($E579="INFRUCTUEUX",$E579="ANNULE"),$A579&amp;"|"&amp;(COUNTIFS($A$2:$A579,$A579,$E$2:$E579,"INFRUCTUEUX")+COUNTIFS($A$2:$A579,$A579,$E$2:$E579,"ANNULE")),""))</f>
        <v/>
      </c>
    </row>
    <row r="580">
      <c r="A580">
        <f>IF(ISBLANK('ENGAGEMENTS 2026'!C580),"",IF('ENGAGEMENTS 2026'!C580="DTSI","DCT",'ENGAGEMENTS 2026'!C580))</f>
        <v/>
      </c>
      <c r="B580">
        <f>IF(ISBLANK('ENGAGEMENTS 2026'!C580),"",'ENGAGEMENTS 2026'!D580)</f>
        <v/>
      </c>
      <c r="C580">
        <f>IF(ISBLANK('ENGAGEMENTS 2026'!C580),"",'ENGAGEMENTS 2026'!E580)</f>
        <v/>
      </c>
      <c r="D580">
        <f>IF(ISBLANK('ENGAGEMENTS 2026'!C580),"",'ENGAGEMENTS 2026'!G580)</f>
        <v/>
      </c>
      <c r="E580">
        <f>IF(ISBLANK('ENGAGEMENTS 2026'!C580),"",'ENGAGEMENTS 2026'!I580)</f>
        <v/>
      </c>
      <c r="F580">
        <f>IF(ISBLANK('ENGAGEMENTS 2026'!C580),"",'ENGAGEMENTS 2026'!J580)</f>
        <v/>
      </c>
      <c r="G580">
        <f>IF(ISBLANK('ENGAGEMENTS 2026'!C580),"",'ENGAGEMENTS 2026'!M580)</f>
        <v/>
      </c>
      <c r="H580">
        <f>IF(ISBLANK('ENGAGEMENTS 2026'!C580),"",'ENGAGEMENTS 2026'!AF580)</f>
        <v/>
      </c>
      <c r="I580">
        <f>IF(ISBLANK('ENGAGEMENTS 2026'!C580),"",'ENGAGEMENTS 2026'!H580)</f>
        <v/>
      </c>
      <c r="J580" s="275">
        <f>IF(ISBLANK('ENGAGEMENTS 2026'!C580),"",IF(AND(OR($E580="INFRUCTUEUX",$E580="ANNULE"),$C580="AOO-M"),'ENGAGEMENTS 2026'!P580,IF($H580="EN COURS DE PREENGAGEMENT",'ENGAGEMENTS 2026'!O580,IF($H580="PREENGAGE",IF($E580="ATTRIBUE",'ENGAGEMENTS 2026'!AE580,'ENGAGEMENTS 2026'!O580),'ENGAGEMENTS 2026'!AE580))))</f>
        <v/>
      </c>
      <c r="K580" s="604">
        <f>IF(ISBLANK('ENGAGEMENTS 2026'!W580),"",'ENGAGEMENTS 2026'!W580)</f>
        <v/>
      </c>
      <c r="L580" s="276">
        <f>IF($K580="","",TODAY()-$K580)</f>
        <v/>
      </c>
      <c r="M580">
        <f>IF($A580="","",IF($H580="ENGAGE","Engagé",IF(AND($H580="NON ENGAGE",OR($I580="INFRUCTUEUX",$I580="ANNULE")),"Clôturé sans suite","En cours")))</f>
        <v/>
      </c>
      <c r="N580">
        <f>IF(ISBLANK('ENGAGEMENTS 2026'!C580),"",'ENGAGEMENTS 2026'!L580)</f>
        <v/>
      </c>
      <c r="O580">
        <f>IF(ISBLANK('ENGAGEMENTS 2026'!C580),"",'ENGAGEMENTS 2026'!M580)</f>
        <v/>
      </c>
      <c r="P580">
        <f>IF(ISBLANK('ENGAGEMENTS 2026'!C580),"",'ENGAGEMENTS 2026'!K580)</f>
        <v/>
      </c>
      <c r="Q580">
        <f>IF($A580="","",IF(OR($E580="INFRUCTUEUX",$E580="ANNULE"),$A580&amp;"|"&amp;(COUNTIFS($A$2:$A580,$A580,$E$2:$E580,"INFRUCTUEUX")+COUNTIFS($A$2:$A580,$A580,$E$2:$E580,"ANNULE")),""))</f>
        <v/>
      </c>
    </row>
    <row r="581">
      <c r="A581">
        <f>IF(ISBLANK('ENGAGEMENTS 2026'!C581),"",IF('ENGAGEMENTS 2026'!C581="DTSI","DCT",'ENGAGEMENTS 2026'!C581))</f>
        <v/>
      </c>
      <c r="B581">
        <f>IF(ISBLANK('ENGAGEMENTS 2026'!C581),"",'ENGAGEMENTS 2026'!D581)</f>
        <v/>
      </c>
      <c r="C581">
        <f>IF(ISBLANK('ENGAGEMENTS 2026'!C581),"",'ENGAGEMENTS 2026'!E581)</f>
        <v/>
      </c>
      <c r="D581">
        <f>IF(ISBLANK('ENGAGEMENTS 2026'!C581),"",'ENGAGEMENTS 2026'!G581)</f>
        <v/>
      </c>
      <c r="E581">
        <f>IF(ISBLANK('ENGAGEMENTS 2026'!C581),"",'ENGAGEMENTS 2026'!I581)</f>
        <v/>
      </c>
      <c r="F581">
        <f>IF(ISBLANK('ENGAGEMENTS 2026'!C581),"",'ENGAGEMENTS 2026'!J581)</f>
        <v/>
      </c>
      <c r="G581">
        <f>IF(ISBLANK('ENGAGEMENTS 2026'!C581),"",'ENGAGEMENTS 2026'!M581)</f>
        <v/>
      </c>
      <c r="H581">
        <f>IF(ISBLANK('ENGAGEMENTS 2026'!C581),"",'ENGAGEMENTS 2026'!AF581)</f>
        <v/>
      </c>
      <c r="I581">
        <f>IF(ISBLANK('ENGAGEMENTS 2026'!C581),"",'ENGAGEMENTS 2026'!H581)</f>
        <v/>
      </c>
      <c r="J581" s="275">
        <f>IF(ISBLANK('ENGAGEMENTS 2026'!C581),"",IF(AND(OR($E581="INFRUCTUEUX",$E581="ANNULE"),$C581="AOO-M"),'ENGAGEMENTS 2026'!P581,IF($H581="EN COURS DE PREENGAGEMENT",'ENGAGEMENTS 2026'!O581,IF($H581="PREENGAGE",IF($E581="ATTRIBUE",'ENGAGEMENTS 2026'!AE581,'ENGAGEMENTS 2026'!O581),'ENGAGEMENTS 2026'!AE581))))</f>
        <v/>
      </c>
      <c r="K581" s="604">
        <f>IF(ISBLANK('ENGAGEMENTS 2026'!W581),"",'ENGAGEMENTS 2026'!W581)</f>
        <v/>
      </c>
      <c r="L581" s="276">
        <f>IF($K581="","",TODAY()-$K581)</f>
        <v/>
      </c>
      <c r="M581">
        <f>IF($A581="","",IF($H581="ENGAGE","Engagé",IF(AND($H581="NON ENGAGE",OR($I581="INFRUCTUEUX",$I581="ANNULE")),"Clôturé sans suite","En cours")))</f>
        <v/>
      </c>
      <c r="N581">
        <f>IF(ISBLANK('ENGAGEMENTS 2026'!C581),"",'ENGAGEMENTS 2026'!L581)</f>
        <v/>
      </c>
      <c r="O581">
        <f>IF(ISBLANK('ENGAGEMENTS 2026'!C581),"",'ENGAGEMENTS 2026'!M581)</f>
        <v/>
      </c>
      <c r="P581">
        <f>IF(ISBLANK('ENGAGEMENTS 2026'!C581),"",'ENGAGEMENTS 2026'!K581)</f>
        <v/>
      </c>
      <c r="Q581">
        <f>IF($A581="","",IF(OR($E581="INFRUCTUEUX",$E581="ANNULE"),$A581&amp;"|"&amp;(COUNTIFS($A$2:$A581,$A581,$E$2:$E581,"INFRUCTUEUX")+COUNTIFS($A$2:$A581,$A581,$E$2:$E581,"ANNULE")),""))</f>
        <v/>
      </c>
    </row>
    <row r="582">
      <c r="A582">
        <f>IF(ISBLANK('ENGAGEMENTS 2026'!C582),"",IF('ENGAGEMENTS 2026'!C582="DTSI","DCT",'ENGAGEMENTS 2026'!C582))</f>
        <v/>
      </c>
      <c r="B582">
        <f>IF(ISBLANK('ENGAGEMENTS 2026'!C582),"",'ENGAGEMENTS 2026'!D582)</f>
        <v/>
      </c>
      <c r="C582">
        <f>IF(ISBLANK('ENGAGEMENTS 2026'!C582),"",'ENGAGEMENTS 2026'!E582)</f>
        <v/>
      </c>
      <c r="D582">
        <f>IF(ISBLANK('ENGAGEMENTS 2026'!C582),"",'ENGAGEMENTS 2026'!G582)</f>
        <v/>
      </c>
      <c r="E582">
        <f>IF(ISBLANK('ENGAGEMENTS 2026'!C582),"",'ENGAGEMENTS 2026'!I582)</f>
        <v/>
      </c>
      <c r="F582">
        <f>IF(ISBLANK('ENGAGEMENTS 2026'!C582),"",'ENGAGEMENTS 2026'!J582)</f>
        <v/>
      </c>
      <c r="G582">
        <f>IF(ISBLANK('ENGAGEMENTS 2026'!C582),"",'ENGAGEMENTS 2026'!M582)</f>
        <v/>
      </c>
      <c r="H582">
        <f>IF(ISBLANK('ENGAGEMENTS 2026'!C582),"",'ENGAGEMENTS 2026'!AF582)</f>
        <v/>
      </c>
      <c r="I582">
        <f>IF(ISBLANK('ENGAGEMENTS 2026'!C582),"",'ENGAGEMENTS 2026'!H582)</f>
        <v/>
      </c>
      <c r="J582" s="275">
        <f>IF(ISBLANK('ENGAGEMENTS 2026'!C582),"",IF(AND(OR($E582="INFRUCTUEUX",$E582="ANNULE"),$C582="AOO-M"),'ENGAGEMENTS 2026'!P582,IF($H582="EN COURS DE PREENGAGEMENT",'ENGAGEMENTS 2026'!O582,IF($H582="PREENGAGE",IF($E582="ATTRIBUE",'ENGAGEMENTS 2026'!AE582,'ENGAGEMENTS 2026'!O582),'ENGAGEMENTS 2026'!AE582))))</f>
        <v/>
      </c>
      <c r="K582" s="604">
        <f>IF(ISBLANK('ENGAGEMENTS 2026'!W582),"",'ENGAGEMENTS 2026'!W582)</f>
        <v/>
      </c>
      <c r="L582" s="276">
        <f>IF($K582="","",TODAY()-$K582)</f>
        <v/>
      </c>
      <c r="M582">
        <f>IF($A582="","",IF($H582="ENGAGE","Engagé",IF(AND($H582="NON ENGAGE",OR($I582="INFRUCTUEUX",$I582="ANNULE")),"Clôturé sans suite","En cours")))</f>
        <v/>
      </c>
      <c r="N582">
        <f>IF(ISBLANK('ENGAGEMENTS 2026'!C582),"",'ENGAGEMENTS 2026'!L582)</f>
        <v/>
      </c>
      <c r="O582">
        <f>IF(ISBLANK('ENGAGEMENTS 2026'!C582),"",'ENGAGEMENTS 2026'!M582)</f>
        <v/>
      </c>
      <c r="P582">
        <f>IF(ISBLANK('ENGAGEMENTS 2026'!C582),"",'ENGAGEMENTS 2026'!K582)</f>
        <v/>
      </c>
      <c r="Q582">
        <f>IF($A582="","",IF(OR($E582="INFRUCTUEUX",$E582="ANNULE"),$A582&amp;"|"&amp;(COUNTIFS($A$2:$A582,$A582,$E$2:$E582,"INFRUCTUEUX")+COUNTIFS($A$2:$A582,$A582,$E$2:$E582,"ANNULE")),""))</f>
        <v/>
      </c>
    </row>
    <row r="583">
      <c r="A583">
        <f>IF(ISBLANK('ENGAGEMENTS 2026'!C583),"",IF('ENGAGEMENTS 2026'!C583="DTSI","DCT",'ENGAGEMENTS 2026'!C583))</f>
        <v/>
      </c>
      <c r="B583">
        <f>IF(ISBLANK('ENGAGEMENTS 2026'!C583),"",'ENGAGEMENTS 2026'!D583)</f>
        <v/>
      </c>
      <c r="C583">
        <f>IF(ISBLANK('ENGAGEMENTS 2026'!C583),"",'ENGAGEMENTS 2026'!E583)</f>
        <v/>
      </c>
      <c r="D583">
        <f>IF(ISBLANK('ENGAGEMENTS 2026'!C583),"",'ENGAGEMENTS 2026'!G583)</f>
        <v/>
      </c>
      <c r="E583">
        <f>IF(ISBLANK('ENGAGEMENTS 2026'!C583),"",'ENGAGEMENTS 2026'!I583)</f>
        <v/>
      </c>
      <c r="F583">
        <f>IF(ISBLANK('ENGAGEMENTS 2026'!C583),"",'ENGAGEMENTS 2026'!J583)</f>
        <v/>
      </c>
      <c r="G583">
        <f>IF(ISBLANK('ENGAGEMENTS 2026'!C583),"",'ENGAGEMENTS 2026'!M583)</f>
        <v/>
      </c>
      <c r="H583">
        <f>IF(ISBLANK('ENGAGEMENTS 2026'!C583),"",'ENGAGEMENTS 2026'!AF583)</f>
        <v/>
      </c>
      <c r="I583">
        <f>IF(ISBLANK('ENGAGEMENTS 2026'!C583),"",'ENGAGEMENTS 2026'!H583)</f>
        <v/>
      </c>
      <c r="J583" s="275">
        <f>IF(ISBLANK('ENGAGEMENTS 2026'!C583),"",IF(AND(OR($E583="INFRUCTUEUX",$E583="ANNULE"),$C583="AOO-M"),'ENGAGEMENTS 2026'!P583,IF($H583="EN COURS DE PREENGAGEMENT",'ENGAGEMENTS 2026'!O583,IF($H583="PREENGAGE",IF($E583="ATTRIBUE",'ENGAGEMENTS 2026'!AE583,'ENGAGEMENTS 2026'!O583),'ENGAGEMENTS 2026'!AE583))))</f>
        <v/>
      </c>
      <c r="K583" s="604">
        <f>IF(ISBLANK('ENGAGEMENTS 2026'!W583),"",'ENGAGEMENTS 2026'!W583)</f>
        <v/>
      </c>
      <c r="L583" s="276">
        <f>IF($K583="","",TODAY()-$K583)</f>
        <v/>
      </c>
      <c r="M583">
        <f>IF($A583="","",IF($H583="ENGAGE","Engagé",IF(AND($H583="NON ENGAGE",OR($I583="INFRUCTUEUX",$I583="ANNULE")),"Clôturé sans suite","En cours")))</f>
        <v/>
      </c>
      <c r="N583">
        <f>IF(ISBLANK('ENGAGEMENTS 2026'!C583),"",'ENGAGEMENTS 2026'!L583)</f>
        <v/>
      </c>
      <c r="O583">
        <f>IF(ISBLANK('ENGAGEMENTS 2026'!C583),"",'ENGAGEMENTS 2026'!M583)</f>
        <v/>
      </c>
      <c r="P583">
        <f>IF(ISBLANK('ENGAGEMENTS 2026'!C583),"",'ENGAGEMENTS 2026'!K583)</f>
        <v/>
      </c>
      <c r="Q583">
        <f>IF($A583="","",IF(OR($E583="INFRUCTUEUX",$E583="ANNULE"),$A583&amp;"|"&amp;(COUNTIFS($A$2:$A583,$A583,$E$2:$E583,"INFRUCTUEUX")+COUNTIFS($A$2:$A583,$A583,$E$2:$E583,"ANNULE")),""))</f>
        <v/>
      </c>
    </row>
    <row r="584">
      <c r="A584">
        <f>IF(ISBLANK('ENGAGEMENTS 2026'!C584),"",IF('ENGAGEMENTS 2026'!C584="DTSI","DCT",'ENGAGEMENTS 2026'!C584))</f>
        <v/>
      </c>
      <c r="B584">
        <f>IF(ISBLANK('ENGAGEMENTS 2026'!C584),"",'ENGAGEMENTS 2026'!D584)</f>
        <v/>
      </c>
      <c r="C584">
        <f>IF(ISBLANK('ENGAGEMENTS 2026'!C584),"",'ENGAGEMENTS 2026'!E584)</f>
        <v/>
      </c>
      <c r="D584">
        <f>IF(ISBLANK('ENGAGEMENTS 2026'!C584),"",'ENGAGEMENTS 2026'!G584)</f>
        <v/>
      </c>
      <c r="E584">
        <f>IF(ISBLANK('ENGAGEMENTS 2026'!C584),"",'ENGAGEMENTS 2026'!I584)</f>
        <v/>
      </c>
      <c r="F584">
        <f>IF(ISBLANK('ENGAGEMENTS 2026'!C584),"",'ENGAGEMENTS 2026'!J584)</f>
        <v/>
      </c>
      <c r="G584">
        <f>IF(ISBLANK('ENGAGEMENTS 2026'!C584),"",'ENGAGEMENTS 2026'!M584)</f>
        <v/>
      </c>
      <c r="H584">
        <f>IF(ISBLANK('ENGAGEMENTS 2026'!C584),"",'ENGAGEMENTS 2026'!AF584)</f>
        <v/>
      </c>
      <c r="I584">
        <f>IF(ISBLANK('ENGAGEMENTS 2026'!C584),"",'ENGAGEMENTS 2026'!H584)</f>
        <v/>
      </c>
      <c r="J584" s="275">
        <f>IF(ISBLANK('ENGAGEMENTS 2026'!C584),"",IF(AND(OR($E584="INFRUCTUEUX",$E584="ANNULE"),$C584="AOO-M"),'ENGAGEMENTS 2026'!P584,IF($H584="EN COURS DE PREENGAGEMENT",'ENGAGEMENTS 2026'!O584,IF($H584="PREENGAGE",IF($E584="ATTRIBUE",'ENGAGEMENTS 2026'!AE584,'ENGAGEMENTS 2026'!O584),'ENGAGEMENTS 2026'!AE584))))</f>
        <v/>
      </c>
      <c r="K584" s="604">
        <f>IF(ISBLANK('ENGAGEMENTS 2026'!W584),"",'ENGAGEMENTS 2026'!W584)</f>
        <v/>
      </c>
      <c r="L584" s="276">
        <f>IF($K584="","",TODAY()-$K584)</f>
        <v/>
      </c>
      <c r="M584">
        <f>IF($A584="","",IF($H584="ENGAGE","Engagé",IF(AND($H584="NON ENGAGE",OR($I584="INFRUCTUEUX",$I584="ANNULE")),"Clôturé sans suite","En cours")))</f>
        <v/>
      </c>
      <c r="N584">
        <f>IF(ISBLANK('ENGAGEMENTS 2026'!C584),"",'ENGAGEMENTS 2026'!L584)</f>
        <v/>
      </c>
      <c r="O584">
        <f>IF(ISBLANK('ENGAGEMENTS 2026'!C584),"",'ENGAGEMENTS 2026'!M584)</f>
        <v/>
      </c>
      <c r="P584">
        <f>IF(ISBLANK('ENGAGEMENTS 2026'!C584),"",'ENGAGEMENTS 2026'!K584)</f>
        <v/>
      </c>
      <c r="Q584">
        <f>IF($A584="","",IF(OR($E584="INFRUCTUEUX",$E584="ANNULE"),$A584&amp;"|"&amp;(COUNTIFS($A$2:$A584,$A584,$E$2:$E584,"INFRUCTUEUX")+COUNTIFS($A$2:$A584,$A584,$E$2:$E584,"ANNULE")),""))</f>
        <v/>
      </c>
    </row>
    <row r="585">
      <c r="A585">
        <f>IF(ISBLANK('ENGAGEMENTS 2026'!C585),"",IF('ENGAGEMENTS 2026'!C585="DTSI","DCT",'ENGAGEMENTS 2026'!C585))</f>
        <v/>
      </c>
      <c r="B585">
        <f>IF(ISBLANK('ENGAGEMENTS 2026'!C585),"",'ENGAGEMENTS 2026'!D585)</f>
        <v/>
      </c>
      <c r="C585">
        <f>IF(ISBLANK('ENGAGEMENTS 2026'!C585),"",'ENGAGEMENTS 2026'!E585)</f>
        <v/>
      </c>
      <c r="D585">
        <f>IF(ISBLANK('ENGAGEMENTS 2026'!C585),"",'ENGAGEMENTS 2026'!G585)</f>
        <v/>
      </c>
      <c r="E585">
        <f>IF(ISBLANK('ENGAGEMENTS 2026'!C585),"",'ENGAGEMENTS 2026'!I585)</f>
        <v/>
      </c>
      <c r="F585">
        <f>IF(ISBLANK('ENGAGEMENTS 2026'!C585),"",'ENGAGEMENTS 2026'!J585)</f>
        <v/>
      </c>
      <c r="G585">
        <f>IF(ISBLANK('ENGAGEMENTS 2026'!C585),"",'ENGAGEMENTS 2026'!M585)</f>
        <v/>
      </c>
      <c r="H585">
        <f>IF(ISBLANK('ENGAGEMENTS 2026'!C585),"",'ENGAGEMENTS 2026'!AF585)</f>
        <v/>
      </c>
      <c r="I585">
        <f>IF(ISBLANK('ENGAGEMENTS 2026'!C585),"",'ENGAGEMENTS 2026'!H585)</f>
        <v/>
      </c>
      <c r="J585" s="275">
        <f>IF(ISBLANK('ENGAGEMENTS 2026'!C585),"",IF(AND(OR($E585="INFRUCTUEUX",$E585="ANNULE"),$C585="AOO-M"),'ENGAGEMENTS 2026'!P585,IF($H585="EN COURS DE PREENGAGEMENT",'ENGAGEMENTS 2026'!O585,IF($H585="PREENGAGE",IF($E585="ATTRIBUE",'ENGAGEMENTS 2026'!AE585,'ENGAGEMENTS 2026'!O585),'ENGAGEMENTS 2026'!AE585))))</f>
        <v/>
      </c>
      <c r="K585" s="604">
        <f>IF(ISBLANK('ENGAGEMENTS 2026'!W585),"",'ENGAGEMENTS 2026'!W585)</f>
        <v/>
      </c>
      <c r="L585" s="276">
        <f>IF($K585="","",TODAY()-$K585)</f>
        <v/>
      </c>
      <c r="M585">
        <f>IF($A585="","",IF($H585="ENGAGE","Engagé",IF(AND($H585="NON ENGAGE",OR($I585="INFRUCTUEUX",$I585="ANNULE")),"Clôturé sans suite","En cours")))</f>
        <v/>
      </c>
      <c r="N585">
        <f>IF(ISBLANK('ENGAGEMENTS 2026'!C585),"",'ENGAGEMENTS 2026'!L585)</f>
        <v/>
      </c>
      <c r="O585">
        <f>IF(ISBLANK('ENGAGEMENTS 2026'!C585),"",'ENGAGEMENTS 2026'!M585)</f>
        <v/>
      </c>
      <c r="P585">
        <f>IF(ISBLANK('ENGAGEMENTS 2026'!C585),"",'ENGAGEMENTS 2026'!K585)</f>
        <v/>
      </c>
      <c r="Q585">
        <f>IF($A585="","",IF(OR($E585="INFRUCTUEUX",$E585="ANNULE"),$A585&amp;"|"&amp;(COUNTIFS($A$2:$A585,$A585,$E$2:$E585,"INFRUCTUEUX")+COUNTIFS($A$2:$A585,$A585,$E$2:$E585,"ANNULE")),""))</f>
        <v/>
      </c>
    </row>
    <row r="586">
      <c r="A586">
        <f>IF(ISBLANK('ENGAGEMENTS 2026'!C586),"",IF('ENGAGEMENTS 2026'!C586="DTSI","DCT",'ENGAGEMENTS 2026'!C586))</f>
        <v/>
      </c>
      <c r="B586">
        <f>IF(ISBLANK('ENGAGEMENTS 2026'!C586),"",'ENGAGEMENTS 2026'!D586)</f>
        <v/>
      </c>
      <c r="C586">
        <f>IF(ISBLANK('ENGAGEMENTS 2026'!C586),"",'ENGAGEMENTS 2026'!E586)</f>
        <v/>
      </c>
      <c r="D586">
        <f>IF(ISBLANK('ENGAGEMENTS 2026'!C586),"",'ENGAGEMENTS 2026'!G586)</f>
        <v/>
      </c>
      <c r="E586">
        <f>IF(ISBLANK('ENGAGEMENTS 2026'!C586),"",'ENGAGEMENTS 2026'!I586)</f>
        <v/>
      </c>
      <c r="F586">
        <f>IF(ISBLANK('ENGAGEMENTS 2026'!C586),"",'ENGAGEMENTS 2026'!J586)</f>
        <v/>
      </c>
      <c r="G586">
        <f>IF(ISBLANK('ENGAGEMENTS 2026'!C586),"",'ENGAGEMENTS 2026'!M586)</f>
        <v/>
      </c>
      <c r="H586">
        <f>IF(ISBLANK('ENGAGEMENTS 2026'!C586),"",'ENGAGEMENTS 2026'!AF586)</f>
        <v/>
      </c>
      <c r="I586">
        <f>IF(ISBLANK('ENGAGEMENTS 2026'!C586),"",'ENGAGEMENTS 2026'!H586)</f>
        <v/>
      </c>
      <c r="J586" s="275">
        <f>IF(ISBLANK('ENGAGEMENTS 2026'!C586),"",IF(AND(OR($E586="INFRUCTUEUX",$E586="ANNULE"),$C586="AOO-M"),'ENGAGEMENTS 2026'!P586,IF($H586="EN COURS DE PREENGAGEMENT",'ENGAGEMENTS 2026'!O586,IF($H586="PREENGAGE",IF($E586="ATTRIBUE",'ENGAGEMENTS 2026'!AE586,'ENGAGEMENTS 2026'!O586),'ENGAGEMENTS 2026'!AE586))))</f>
        <v/>
      </c>
      <c r="K586" s="604">
        <f>IF(ISBLANK('ENGAGEMENTS 2026'!W586),"",'ENGAGEMENTS 2026'!W586)</f>
        <v/>
      </c>
      <c r="L586" s="276">
        <f>IF($K586="","",TODAY()-$K586)</f>
        <v/>
      </c>
      <c r="M586">
        <f>IF($A586="","",IF($H586="ENGAGE","Engagé",IF(AND($H586="NON ENGAGE",OR($I586="INFRUCTUEUX",$I586="ANNULE")),"Clôturé sans suite","En cours")))</f>
        <v/>
      </c>
      <c r="N586">
        <f>IF(ISBLANK('ENGAGEMENTS 2026'!C586),"",'ENGAGEMENTS 2026'!L586)</f>
        <v/>
      </c>
      <c r="O586">
        <f>IF(ISBLANK('ENGAGEMENTS 2026'!C586),"",'ENGAGEMENTS 2026'!M586)</f>
        <v/>
      </c>
      <c r="P586">
        <f>IF(ISBLANK('ENGAGEMENTS 2026'!C586),"",'ENGAGEMENTS 2026'!K586)</f>
        <v/>
      </c>
      <c r="Q586">
        <f>IF($A586="","",IF(OR($E586="INFRUCTUEUX",$E586="ANNULE"),$A586&amp;"|"&amp;(COUNTIFS($A$2:$A586,$A586,$E$2:$E586,"INFRUCTUEUX")+COUNTIFS($A$2:$A586,$A586,$E$2:$E586,"ANNULE")),""))</f>
        <v/>
      </c>
    </row>
    <row r="587">
      <c r="A587">
        <f>IF(ISBLANK('ENGAGEMENTS 2026'!C587),"",IF('ENGAGEMENTS 2026'!C587="DTSI","DCT",'ENGAGEMENTS 2026'!C587))</f>
        <v/>
      </c>
      <c r="B587">
        <f>IF(ISBLANK('ENGAGEMENTS 2026'!C587),"",'ENGAGEMENTS 2026'!D587)</f>
        <v/>
      </c>
      <c r="C587">
        <f>IF(ISBLANK('ENGAGEMENTS 2026'!C587),"",'ENGAGEMENTS 2026'!E587)</f>
        <v/>
      </c>
      <c r="D587">
        <f>IF(ISBLANK('ENGAGEMENTS 2026'!C587),"",'ENGAGEMENTS 2026'!G587)</f>
        <v/>
      </c>
      <c r="E587">
        <f>IF(ISBLANK('ENGAGEMENTS 2026'!C587),"",'ENGAGEMENTS 2026'!I587)</f>
        <v/>
      </c>
      <c r="F587">
        <f>IF(ISBLANK('ENGAGEMENTS 2026'!C587),"",'ENGAGEMENTS 2026'!J587)</f>
        <v/>
      </c>
      <c r="G587">
        <f>IF(ISBLANK('ENGAGEMENTS 2026'!C587),"",'ENGAGEMENTS 2026'!M587)</f>
        <v/>
      </c>
      <c r="H587">
        <f>IF(ISBLANK('ENGAGEMENTS 2026'!C587),"",'ENGAGEMENTS 2026'!AF587)</f>
        <v/>
      </c>
      <c r="I587">
        <f>IF(ISBLANK('ENGAGEMENTS 2026'!C587),"",'ENGAGEMENTS 2026'!H587)</f>
        <v/>
      </c>
      <c r="J587" s="275">
        <f>IF(ISBLANK('ENGAGEMENTS 2026'!C587),"",IF(AND(OR($E587="INFRUCTUEUX",$E587="ANNULE"),$C587="AOO-M"),'ENGAGEMENTS 2026'!P587,IF($H587="EN COURS DE PREENGAGEMENT",'ENGAGEMENTS 2026'!O587,IF($H587="PREENGAGE",IF($E587="ATTRIBUE",'ENGAGEMENTS 2026'!AE587,'ENGAGEMENTS 2026'!O587),'ENGAGEMENTS 2026'!AE587))))</f>
        <v/>
      </c>
      <c r="K587" s="604">
        <f>IF(ISBLANK('ENGAGEMENTS 2026'!W587),"",'ENGAGEMENTS 2026'!W587)</f>
        <v/>
      </c>
      <c r="L587" s="276">
        <f>IF($K587="","",TODAY()-$K587)</f>
        <v/>
      </c>
      <c r="M587">
        <f>IF($A587="","",IF($H587="ENGAGE","Engagé",IF(AND($H587="NON ENGAGE",OR($I587="INFRUCTUEUX",$I587="ANNULE")),"Clôturé sans suite","En cours")))</f>
        <v/>
      </c>
      <c r="N587">
        <f>IF(ISBLANK('ENGAGEMENTS 2026'!C587),"",'ENGAGEMENTS 2026'!L587)</f>
        <v/>
      </c>
      <c r="O587">
        <f>IF(ISBLANK('ENGAGEMENTS 2026'!C587),"",'ENGAGEMENTS 2026'!M587)</f>
        <v/>
      </c>
      <c r="P587">
        <f>IF(ISBLANK('ENGAGEMENTS 2026'!C587),"",'ENGAGEMENTS 2026'!K587)</f>
        <v/>
      </c>
      <c r="Q587">
        <f>IF($A587="","",IF(OR($E587="INFRUCTUEUX",$E587="ANNULE"),$A587&amp;"|"&amp;(COUNTIFS($A$2:$A587,$A587,$E$2:$E587,"INFRUCTUEUX")+COUNTIFS($A$2:$A587,$A587,$E$2:$E587,"ANNULE")),""))</f>
        <v/>
      </c>
    </row>
    <row r="588">
      <c r="A588">
        <f>IF(ISBLANK('ENGAGEMENTS 2026'!C588),"",IF('ENGAGEMENTS 2026'!C588="DTSI","DCT",'ENGAGEMENTS 2026'!C588))</f>
        <v/>
      </c>
      <c r="B588">
        <f>IF(ISBLANK('ENGAGEMENTS 2026'!C588),"",'ENGAGEMENTS 2026'!D588)</f>
        <v/>
      </c>
      <c r="C588">
        <f>IF(ISBLANK('ENGAGEMENTS 2026'!C588),"",'ENGAGEMENTS 2026'!E588)</f>
        <v/>
      </c>
      <c r="D588">
        <f>IF(ISBLANK('ENGAGEMENTS 2026'!C588),"",'ENGAGEMENTS 2026'!G588)</f>
        <v/>
      </c>
      <c r="E588">
        <f>IF(ISBLANK('ENGAGEMENTS 2026'!C588),"",'ENGAGEMENTS 2026'!I588)</f>
        <v/>
      </c>
      <c r="F588">
        <f>IF(ISBLANK('ENGAGEMENTS 2026'!C588),"",'ENGAGEMENTS 2026'!J588)</f>
        <v/>
      </c>
      <c r="G588">
        <f>IF(ISBLANK('ENGAGEMENTS 2026'!C588),"",'ENGAGEMENTS 2026'!M588)</f>
        <v/>
      </c>
      <c r="H588">
        <f>IF(ISBLANK('ENGAGEMENTS 2026'!C588),"",'ENGAGEMENTS 2026'!AF588)</f>
        <v/>
      </c>
      <c r="I588">
        <f>IF(ISBLANK('ENGAGEMENTS 2026'!C588),"",'ENGAGEMENTS 2026'!H588)</f>
        <v/>
      </c>
      <c r="J588" s="275">
        <f>IF(ISBLANK('ENGAGEMENTS 2026'!C588),"",IF(AND(OR($E588="INFRUCTUEUX",$E588="ANNULE"),$C588="AOO-M"),'ENGAGEMENTS 2026'!P588,IF($H588="EN COURS DE PREENGAGEMENT",'ENGAGEMENTS 2026'!O588,IF($H588="PREENGAGE",IF($E588="ATTRIBUE",'ENGAGEMENTS 2026'!AE588,'ENGAGEMENTS 2026'!O588),'ENGAGEMENTS 2026'!AE588))))</f>
        <v/>
      </c>
      <c r="K588" s="604">
        <f>IF(ISBLANK('ENGAGEMENTS 2026'!W588),"",'ENGAGEMENTS 2026'!W588)</f>
        <v/>
      </c>
      <c r="L588" s="276">
        <f>IF($K588="","",TODAY()-$K588)</f>
        <v/>
      </c>
      <c r="M588">
        <f>IF($A588="","",IF($H588="ENGAGE","Engagé",IF(AND($H588="NON ENGAGE",OR($I588="INFRUCTUEUX",$I588="ANNULE")),"Clôturé sans suite","En cours")))</f>
        <v/>
      </c>
      <c r="N588">
        <f>IF(ISBLANK('ENGAGEMENTS 2026'!C588),"",'ENGAGEMENTS 2026'!L588)</f>
        <v/>
      </c>
      <c r="O588">
        <f>IF(ISBLANK('ENGAGEMENTS 2026'!C588),"",'ENGAGEMENTS 2026'!M588)</f>
        <v/>
      </c>
      <c r="P588">
        <f>IF(ISBLANK('ENGAGEMENTS 2026'!C588),"",'ENGAGEMENTS 2026'!K588)</f>
        <v/>
      </c>
      <c r="Q588">
        <f>IF($A588="","",IF(OR($E588="INFRUCTUEUX",$E588="ANNULE"),$A588&amp;"|"&amp;(COUNTIFS($A$2:$A588,$A588,$E$2:$E588,"INFRUCTUEUX")+COUNTIFS($A$2:$A588,$A588,$E$2:$E588,"ANNULE")),""))</f>
        <v/>
      </c>
    </row>
    <row r="589">
      <c r="A589">
        <f>IF(ISBLANK('ENGAGEMENTS 2026'!C589),"",IF('ENGAGEMENTS 2026'!C589="DTSI","DCT",'ENGAGEMENTS 2026'!C589))</f>
        <v/>
      </c>
      <c r="B589">
        <f>IF(ISBLANK('ENGAGEMENTS 2026'!C589),"",'ENGAGEMENTS 2026'!D589)</f>
        <v/>
      </c>
      <c r="C589">
        <f>IF(ISBLANK('ENGAGEMENTS 2026'!C589),"",'ENGAGEMENTS 2026'!E589)</f>
        <v/>
      </c>
      <c r="D589">
        <f>IF(ISBLANK('ENGAGEMENTS 2026'!C589),"",'ENGAGEMENTS 2026'!G589)</f>
        <v/>
      </c>
      <c r="E589">
        <f>IF(ISBLANK('ENGAGEMENTS 2026'!C589),"",'ENGAGEMENTS 2026'!I589)</f>
        <v/>
      </c>
      <c r="F589">
        <f>IF(ISBLANK('ENGAGEMENTS 2026'!C589),"",'ENGAGEMENTS 2026'!J589)</f>
        <v/>
      </c>
      <c r="G589">
        <f>IF(ISBLANK('ENGAGEMENTS 2026'!C589),"",'ENGAGEMENTS 2026'!M589)</f>
        <v/>
      </c>
      <c r="H589">
        <f>IF(ISBLANK('ENGAGEMENTS 2026'!C589),"",'ENGAGEMENTS 2026'!AF589)</f>
        <v/>
      </c>
      <c r="I589">
        <f>IF(ISBLANK('ENGAGEMENTS 2026'!C589),"",'ENGAGEMENTS 2026'!H589)</f>
        <v/>
      </c>
      <c r="J589" s="275">
        <f>IF(ISBLANK('ENGAGEMENTS 2026'!C589),"",IF(AND(OR($E589="INFRUCTUEUX",$E589="ANNULE"),$C589="AOO-M"),'ENGAGEMENTS 2026'!P589,IF($H589="EN COURS DE PREENGAGEMENT",'ENGAGEMENTS 2026'!O589,IF($H589="PREENGAGE",IF($E589="ATTRIBUE",'ENGAGEMENTS 2026'!AE589,'ENGAGEMENTS 2026'!O589),'ENGAGEMENTS 2026'!AE589))))</f>
        <v/>
      </c>
      <c r="K589" s="604">
        <f>IF(ISBLANK('ENGAGEMENTS 2026'!W589),"",'ENGAGEMENTS 2026'!W589)</f>
        <v/>
      </c>
      <c r="L589" s="276">
        <f>IF($K589="","",TODAY()-$K589)</f>
        <v/>
      </c>
      <c r="M589">
        <f>IF($A589="","",IF($H589="ENGAGE","Engagé",IF(AND($H589="NON ENGAGE",OR($I589="INFRUCTUEUX",$I589="ANNULE")),"Clôturé sans suite","En cours")))</f>
        <v/>
      </c>
      <c r="N589">
        <f>IF(ISBLANK('ENGAGEMENTS 2026'!C589),"",'ENGAGEMENTS 2026'!L589)</f>
        <v/>
      </c>
      <c r="O589">
        <f>IF(ISBLANK('ENGAGEMENTS 2026'!C589),"",'ENGAGEMENTS 2026'!M589)</f>
        <v/>
      </c>
      <c r="P589">
        <f>IF(ISBLANK('ENGAGEMENTS 2026'!C589),"",'ENGAGEMENTS 2026'!K589)</f>
        <v/>
      </c>
      <c r="Q589">
        <f>IF($A589="","",IF(OR($E589="INFRUCTUEUX",$E589="ANNULE"),$A589&amp;"|"&amp;(COUNTIFS($A$2:$A589,$A589,$E$2:$E589,"INFRUCTUEUX")+COUNTIFS($A$2:$A589,$A589,$E$2:$E589,"ANNULE")),""))</f>
        <v/>
      </c>
    </row>
    <row r="590">
      <c r="A590">
        <f>IF(ISBLANK('ENGAGEMENTS 2026'!C590),"",IF('ENGAGEMENTS 2026'!C590="DTSI","DCT",'ENGAGEMENTS 2026'!C590))</f>
        <v/>
      </c>
      <c r="B590">
        <f>IF(ISBLANK('ENGAGEMENTS 2026'!C590),"",'ENGAGEMENTS 2026'!D590)</f>
        <v/>
      </c>
      <c r="C590">
        <f>IF(ISBLANK('ENGAGEMENTS 2026'!C590),"",'ENGAGEMENTS 2026'!E590)</f>
        <v/>
      </c>
      <c r="D590">
        <f>IF(ISBLANK('ENGAGEMENTS 2026'!C590),"",'ENGAGEMENTS 2026'!G590)</f>
        <v/>
      </c>
      <c r="E590">
        <f>IF(ISBLANK('ENGAGEMENTS 2026'!C590),"",'ENGAGEMENTS 2026'!I590)</f>
        <v/>
      </c>
      <c r="F590">
        <f>IF(ISBLANK('ENGAGEMENTS 2026'!C590),"",'ENGAGEMENTS 2026'!J590)</f>
        <v/>
      </c>
      <c r="G590">
        <f>IF(ISBLANK('ENGAGEMENTS 2026'!C590),"",'ENGAGEMENTS 2026'!M590)</f>
        <v/>
      </c>
      <c r="H590">
        <f>IF(ISBLANK('ENGAGEMENTS 2026'!C590),"",'ENGAGEMENTS 2026'!AF590)</f>
        <v/>
      </c>
      <c r="I590">
        <f>IF(ISBLANK('ENGAGEMENTS 2026'!C590),"",'ENGAGEMENTS 2026'!H590)</f>
        <v/>
      </c>
      <c r="J590" s="275">
        <f>IF(ISBLANK('ENGAGEMENTS 2026'!C590),"",IF(AND(OR($E590="INFRUCTUEUX",$E590="ANNULE"),$C590="AOO-M"),'ENGAGEMENTS 2026'!P590,IF($H590="EN COURS DE PREENGAGEMENT",'ENGAGEMENTS 2026'!O590,IF($H590="PREENGAGE",IF($E590="ATTRIBUE",'ENGAGEMENTS 2026'!AE590,'ENGAGEMENTS 2026'!O590),'ENGAGEMENTS 2026'!AE590))))</f>
        <v/>
      </c>
      <c r="K590" s="604">
        <f>IF(ISBLANK('ENGAGEMENTS 2026'!W590),"",'ENGAGEMENTS 2026'!W590)</f>
        <v/>
      </c>
      <c r="L590" s="276">
        <f>IF($K590="","",TODAY()-$K590)</f>
        <v/>
      </c>
      <c r="M590">
        <f>IF($A590="","",IF($H590="ENGAGE","Engagé",IF(AND($H590="NON ENGAGE",OR($I590="INFRUCTUEUX",$I590="ANNULE")),"Clôturé sans suite","En cours")))</f>
        <v/>
      </c>
      <c r="N590">
        <f>IF(ISBLANK('ENGAGEMENTS 2026'!C590),"",'ENGAGEMENTS 2026'!L590)</f>
        <v/>
      </c>
      <c r="O590">
        <f>IF(ISBLANK('ENGAGEMENTS 2026'!C590),"",'ENGAGEMENTS 2026'!M590)</f>
        <v/>
      </c>
      <c r="P590">
        <f>IF(ISBLANK('ENGAGEMENTS 2026'!C590),"",'ENGAGEMENTS 2026'!K590)</f>
        <v/>
      </c>
      <c r="Q590">
        <f>IF($A590="","",IF(OR($E590="INFRUCTUEUX",$E590="ANNULE"),$A590&amp;"|"&amp;(COUNTIFS($A$2:$A590,$A590,$E$2:$E590,"INFRUCTUEUX")+COUNTIFS($A$2:$A590,$A590,$E$2:$E590,"ANNULE")),""))</f>
        <v/>
      </c>
    </row>
    <row r="591">
      <c r="A591">
        <f>IF(ISBLANK('ENGAGEMENTS 2026'!C591),"",IF('ENGAGEMENTS 2026'!C591="DTSI","DCT",'ENGAGEMENTS 2026'!C591))</f>
        <v/>
      </c>
      <c r="B591">
        <f>IF(ISBLANK('ENGAGEMENTS 2026'!C591),"",'ENGAGEMENTS 2026'!D591)</f>
        <v/>
      </c>
      <c r="C591">
        <f>IF(ISBLANK('ENGAGEMENTS 2026'!C591),"",'ENGAGEMENTS 2026'!E591)</f>
        <v/>
      </c>
      <c r="D591">
        <f>IF(ISBLANK('ENGAGEMENTS 2026'!C591),"",'ENGAGEMENTS 2026'!G591)</f>
        <v/>
      </c>
      <c r="E591">
        <f>IF(ISBLANK('ENGAGEMENTS 2026'!C591),"",'ENGAGEMENTS 2026'!I591)</f>
        <v/>
      </c>
      <c r="F591">
        <f>IF(ISBLANK('ENGAGEMENTS 2026'!C591),"",'ENGAGEMENTS 2026'!J591)</f>
        <v/>
      </c>
      <c r="G591">
        <f>IF(ISBLANK('ENGAGEMENTS 2026'!C591),"",'ENGAGEMENTS 2026'!M591)</f>
        <v/>
      </c>
      <c r="H591">
        <f>IF(ISBLANK('ENGAGEMENTS 2026'!C591),"",'ENGAGEMENTS 2026'!AF591)</f>
        <v/>
      </c>
      <c r="I591">
        <f>IF(ISBLANK('ENGAGEMENTS 2026'!C591),"",'ENGAGEMENTS 2026'!H591)</f>
        <v/>
      </c>
      <c r="J591" s="275">
        <f>IF(ISBLANK('ENGAGEMENTS 2026'!C591),"",IF(AND(OR($E591="INFRUCTUEUX",$E591="ANNULE"),$C591="AOO-M"),'ENGAGEMENTS 2026'!P591,IF($H591="EN COURS DE PREENGAGEMENT",'ENGAGEMENTS 2026'!O591,IF($H591="PREENGAGE",IF($E591="ATTRIBUE",'ENGAGEMENTS 2026'!AE591,'ENGAGEMENTS 2026'!O591),'ENGAGEMENTS 2026'!AE591))))</f>
        <v/>
      </c>
      <c r="K591" s="604">
        <f>IF(ISBLANK('ENGAGEMENTS 2026'!W591),"",'ENGAGEMENTS 2026'!W591)</f>
        <v/>
      </c>
      <c r="L591" s="276">
        <f>IF($K591="","",TODAY()-$K591)</f>
        <v/>
      </c>
      <c r="M591">
        <f>IF($A591="","",IF($H591="ENGAGE","Engagé",IF(AND($H591="NON ENGAGE",OR($I591="INFRUCTUEUX",$I591="ANNULE")),"Clôturé sans suite","En cours")))</f>
        <v/>
      </c>
      <c r="N591">
        <f>IF(ISBLANK('ENGAGEMENTS 2026'!C591),"",'ENGAGEMENTS 2026'!L591)</f>
        <v/>
      </c>
      <c r="O591">
        <f>IF(ISBLANK('ENGAGEMENTS 2026'!C591),"",'ENGAGEMENTS 2026'!M591)</f>
        <v/>
      </c>
      <c r="P591">
        <f>IF(ISBLANK('ENGAGEMENTS 2026'!C591),"",'ENGAGEMENTS 2026'!K591)</f>
        <v/>
      </c>
      <c r="Q591">
        <f>IF($A591="","",IF(OR($E591="INFRUCTUEUX",$E591="ANNULE"),$A591&amp;"|"&amp;(COUNTIFS($A$2:$A591,$A591,$E$2:$E591,"INFRUCTUEUX")+COUNTIFS($A$2:$A591,$A591,$E$2:$E591,"ANNULE")),""))</f>
        <v/>
      </c>
    </row>
    <row r="592">
      <c r="A592">
        <f>IF(ISBLANK('ENGAGEMENTS 2026'!C592),"",IF('ENGAGEMENTS 2026'!C592="DTSI","DCT",'ENGAGEMENTS 2026'!C592))</f>
        <v/>
      </c>
      <c r="B592">
        <f>IF(ISBLANK('ENGAGEMENTS 2026'!C592),"",'ENGAGEMENTS 2026'!D592)</f>
        <v/>
      </c>
      <c r="C592">
        <f>IF(ISBLANK('ENGAGEMENTS 2026'!C592),"",'ENGAGEMENTS 2026'!E592)</f>
        <v/>
      </c>
      <c r="D592">
        <f>IF(ISBLANK('ENGAGEMENTS 2026'!C592),"",'ENGAGEMENTS 2026'!G592)</f>
        <v/>
      </c>
      <c r="E592">
        <f>IF(ISBLANK('ENGAGEMENTS 2026'!C592),"",'ENGAGEMENTS 2026'!I592)</f>
        <v/>
      </c>
      <c r="F592">
        <f>IF(ISBLANK('ENGAGEMENTS 2026'!C592),"",'ENGAGEMENTS 2026'!J592)</f>
        <v/>
      </c>
      <c r="G592">
        <f>IF(ISBLANK('ENGAGEMENTS 2026'!C592),"",'ENGAGEMENTS 2026'!M592)</f>
        <v/>
      </c>
      <c r="H592">
        <f>IF(ISBLANK('ENGAGEMENTS 2026'!C592),"",'ENGAGEMENTS 2026'!AF592)</f>
        <v/>
      </c>
      <c r="I592">
        <f>IF(ISBLANK('ENGAGEMENTS 2026'!C592),"",'ENGAGEMENTS 2026'!H592)</f>
        <v/>
      </c>
      <c r="J592" s="275">
        <f>IF(ISBLANK('ENGAGEMENTS 2026'!C592),"",IF(AND(OR($E592="INFRUCTUEUX",$E592="ANNULE"),$C592="AOO-M"),'ENGAGEMENTS 2026'!P592,IF($H592="EN COURS DE PREENGAGEMENT",'ENGAGEMENTS 2026'!O592,IF($H592="PREENGAGE",IF($E592="ATTRIBUE",'ENGAGEMENTS 2026'!AE592,'ENGAGEMENTS 2026'!O592),'ENGAGEMENTS 2026'!AE592))))</f>
        <v/>
      </c>
      <c r="K592" s="604">
        <f>IF(ISBLANK('ENGAGEMENTS 2026'!W592),"",'ENGAGEMENTS 2026'!W592)</f>
        <v/>
      </c>
      <c r="L592" s="276">
        <f>IF($K592="","",TODAY()-$K592)</f>
        <v/>
      </c>
      <c r="M592">
        <f>IF($A592="","",IF($H592="ENGAGE","Engagé",IF(AND($H592="NON ENGAGE",OR($I592="INFRUCTUEUX",$I592="ANNULE")),"Clôturé sans suite","En cours")))</f>
        <v/>
      </c>
      <c r="N592">
        <f>IF(ISBLANK('ENGAGEMENTS 2026'!C592),"",'ENGAGEMENTS 2026'!L592)</f>
        <v/>
      </c>
      <c r="O592">
        <f>IF(ISBLANK('ENGAGEMENTS 2026'!C592),"",'ENGAGEMENTS 2026'!M592)</f>
        <v/>
      </c>
      <c r="P592">
        <f>IF(ISBLANK('ENGAGEMENTS 2026'!C592),"",'ENGAGEMENTS 2026'!K592)</f>
        <v/>
      </c>
      <c r="Q592">
        <f>IF($A592="","",IF(OR($E592="INFRUCTUEUX",$E592="ANNULE"),$A592&amp;"|"&amp;(COUNTIFS($A$2:$A592,$A592,$E$2:$E592,"INFRUCTUEUX")+COUNTIFS($A$2:$A592,$A592,$E$2:$E592,"ANNULE")),""))</f>
        <v/>
      </c>
    </row>
    <row r="593">
      <c r="A593">
        <f>IF(ISBLANK('ENGAGEMENTS 2026'!C593),"",IF('ENGAGEMENTS 2026'!C593="DTSI","DCT",'ENGAGEMENTS 2026'!C593))</f>
        <v/>
      </c>
      <c r="B593">
        <f>IF(ISBLANK('ENGAGEMENTS 2026'!C593),"",'ENGAGEMENTS 2026'!D593)</f>
        <v/>
      </c>
      <c r="C593">
        <f>IF(ISBLANK('ENGAGEMENTS 2026'!C593),"",'ENGAGEMENTS 2026'!E593)</f>
        <v/>
      </c>
      <c r="D593">
        <f>IF(ISBLANK('ENGAGEMENTS 2026'!C593),"",'ENGAGEMENTS 2026'!G593)</f>
        <v/>
      </c>
      <c r="E593">
        <f>IF(ISBLANK('ENGAGEMENTS 2026'!C593),"",'ENGAGEMENTS 2026'!I593)</f>
        <v/>
      </c>
      <c r="F593">
        <f>IF(ISBLANK('ENGAGEMENTS 2026'!C593),"",'ENGAGEMENTS 2026'!J593)</f>
        <v/>
      </c>
      <c r="G593">
        <f>IF(ISBLANK('ENGAGEMENTS 2026'!C593),"",'ENGAGEMENTS 2026'!M593)</f>
        <v/>
      </c>
      <c r="H593">
        <f>IF(ISBLANK('ENGAGEMENTS 2026'!C593),"",'ENGAGEMENTS 2026'!AF593)</f>
        <v/>
      </c>
      <c r="I593">
        <f>IF(ISBLANK('ENGAGEMENTS 2026'!C593),"",'ENGAGEMENTS 2026'!H593)</f>
        <v/>
      </c>
      <c r="J593" s="275">
        <f>IF(ISBLANK('ENGAGEMENTS 2026'!C593),"",IF(AND(OR($E593="INFRUCTUEUX",$E593="ANNULE"),$C593="AOO-M"),'ENGAGEMENTS 2026'!P593,IF($H593="EN COURS DE PREENGAGEMENT",'ENGAGEMENTS 2026'!O593,IF($H593="PREENGAGE",IF($E593="ATTRIBUE",'ENGAGEMENTS 2026'!AE593,'ENGAGEMENTS 2026'!O593),'ENGAGEMENTS 2026'!AE593))))</f>
        <v/>
      </c>
      <c r="K593" s="604">
        <f>IF(ISBLANK('ENGAGEMENTS 2026'!W593),"",'ENGAGEMENTS 2026'!W593)</f>
        <v/>
      </c>
      <c r="L593" s="276">
        <f>IF($K593="","",TODAY()-$K593)</f>
        <v/>
      </c>
      <c r="M593">
        <f>IF($A593="","",IF($H593="ENGAGE","Engagé",IF(AND($H593="NON ENGAGE",OR($I593="INFRUCTUEUX",$I593="ANNULE")),"Clôturé sans suite","En cours")))</f>
        <v/>
      </c>
      <c r="N593">
        <f>IF(ISBLANK('ENGAGEMENTS 2026'!C593),"",'ENGAGEMENTS 2026'!L593)</f>
        <v/>
      </c>
      <c r="O593">
        <f>IF(ISBLANK('ENGAGEMENTS 2026'!C593),"",'ENGAGEMENTS 2026'!M593)</f>
        <v/>
      </c>
      <c r="P593">
        <f>IF(ISBLANK('ENGAGEMENTS 2026'!C593),"",'ENGAGEMENTS 2026'!K593)</f>
        <v/>
      </c>
      <c r="Q593">
        <f>IF($A593="","",IF(OR($E593="INFRUCTUEUX",$E593="ANNULE"),$A593&amp;"|"&amp;(COUNTIFS($A$2:$A593,$A593,$E$2:$E593,"INFRUCTUEUX")+COUNTIFS($A$2:$A593,$A593,$E$2:$E593,"ANNULE")),""))</f>
        <v/>
      </c>
    </row>
    <row r="594">
      <c r="A594">
        <f>IF(ISBLANK('ENGAGEMENTS 2026'!C594),"",IF('ENGAGEMENTS 2026'!C594="DTSI","DCT",'ENGAGEMENTS 2026'!C594))</f>
        <v/>
      </c>
      <c r="B594">
        <f>IF(ISBLANK('ENGAGEMENTS 2026'!C594),"",'ENGAGEMENTS 2026'!D594)</f>
        <v/>
      </c>
      <c r="C594">
        <f>IF(ISBLANK('ENGAGEMENTS 2026'!C594),"",'ENGAGEMENTS 2026'!E594)</f>
        <v/>
      </c>
      <c r="D594">
        <f>IF(ISBLANK('ENGAGEMENTS 2026'!C594),"",'ENGAGEMENTS 2026'!G594)</f>
        <v/>
      </c>
      <c r="E594">
        <f>IF(ISBLANK('ENGAGEMENTS 2026'!C594),"",'ENGAGEMENTS 2026'!I594)</f>
        <v/>
      </c>
      <c r="F594">
        <f>IF(ISBLANK('ENGAGEMENTS 2026'!C594),"",'ENGAGEMENTS 2026'!J594)</f>
        <v/>
      </c>
      <c r="G594">
        <f>IF(ISBLANK('ENGAGEMENTS 2026'!C594),"",'ENGAGEMENTS 2026'!M594)</f>
        <v/>
      </c>
      <c r="H594">
        <f>IF(ISBLANK('ENGAGEMENTS 2026'!C594),"",'ENGAGEMENTS 2026'!AF594)</f>
        <v/>
      </c>
      <c r="I594">
        <f>IF(ISBLANK('ENGAGEMENTS 2026'!C594),"",'ENGAGEMENTS 2026'!H594)</f>
        <v/>
      </c>
      <c r="J594" s="275">
        <f>IF(ISBLANK('ENGAGEMENTS 2026'!C594),"",IF(AND(OR($E594="INFRUCTUEUX",$E594="ANNULE"),$C594="AOO-M"),'ENGAGEMENTS 2026'!P594,IF($H594="EN COURS DE PREENGAGEMENT",'ENGAGEMENTS 2026'!O594,IF($H594="PREENGAGE",IF($E594="ATTRIBUE",'ENGAGEMENTS 2026'!AE594,'ENGAGEMENTS 2026'!O594),'ENGAGEMENTS 2026'!AE594))))</f>
        <v/>
      </c>
      <c r="K594" s="604">
        <f>IF(ISBLANK('ENGAGEMENTS 2026'!W594),"",'ENGAGEMENTS 2026'!W594)</f>
        <v/>
      </c>
      <c r="L594" s="276">
        <f>IF($K594="","",TODAY()-$K594)</f>
        <v/>
      </c>
      <c r="M594">
        <f>IF($A594="","",IF($H594="ENGAGE","Engagé",IF(AND($H594="NON ENGAGE",OR($I594="INFRUCTUEUX",$I594="ANNULE")),"Clôturé sans suite","En cours")))</f>
        <v/>
      </c>
      <c r="N594">
        <f>IF(ISBLANK('ENGAGEMENTS 2026'!C594),"",'ENGAGEMENTS 2026'!L594)</f>
        <v/>
      </c>
      <c r="O594">
        <f>IF(ISBLANK('ENGAGEMENTS 2026'!C594),"",'ENGAGEMENTS 2026'!M594)</f>
        <v/>
      </c>
      <c r="P594">
        <f>IF(ISBLANK('ENGAGEMENTS 2026'!C594),"",'ENGAGEMENTS 2026'!K594)</f>
        <v/>
      </c>
      <c r="Q594">
        <f>IF($A594="","",IF(OR($E594="INFRUCTUEUX",$E594="ANNULE"),$A594&amp;"|"&amp;(COUNTIFS($A$2:$A594,$A594,$E$2:$E594,"INFRUCTUEUX")+COUNTIFS($A$2:$A594,$A594,$E$2:$E594,"ANNULE")),""))</f>
        <v/>
      </c>
    </row>
    <row r="595">
      <c r="A595">
        <f>IF(ISBLANK('ENGAGEMENTS 2026'!C595),"",IF('ENGAGEMENTS 2026'!C595="DTSI","DCT",'ENGAGEMENTS 2026'!C595))</f>
        <v/>
      </c>
      <c r="B595">
        <f>IF(ISBLANK('ENGAGEMENTS 2026'!C595),"",'ENGAGEMENTS 2026'!D595)</f>
        <v/>
      </c>
      <c r="C595">
        <f>IF(ISBLANK('ENGAGEMENTS 2026'!C595),"",'ENGAGEMENTS 2026'!E595)</f>
        <v/>
      </c>
      <c r="D595">
        <f>IF(ISBLANK('ENGAGEMENTS 2026'!C595),"",'ENGAGEMENTS 2026'!G595)</f>
        <v/>
      </c>
      <c r="E595">
        <f>IF(ISBLANK('ENGAGEMENTS 2026'!C595),"",'ENGAGEMENTS 2026'!I595)</f>
        <v/>
      </c>
      <c r="F595">
        <f>IF(ISBLANK('ENGAGEMENTS 2026'!C595),"",'ENGAGEMENTS 2026'!J595)</f>
        <v/>
      </c>
      <c r="G595">
        <f>IF(ISBLANK('ENGAGEMENTS 2026'!C595),"",'ENGAGEMENTS 2026'!M595)</f>
        <v/>
      </c>
      <c r="H595">
        <f>IF(ISBLANK('ENGAGEMENTS 2026'!C595),"",'ENGAGEMENTS 2026'!AF595)</f>
        <v/>
      </c>
      <c r="I595">
        <f>IF(ISBLANK('ENGAGEMENTS 2026'!C595),"",'ENGAGEMENTS 2026'!H595)</f>
        <v/>
      </c>
      <c r="J595" s="275">
        <f>IF(ISBLANK('ENGAGEMENTS 2026'!C595),"",IF(AND(OR($E595="INFRUCTUEUX",$E595="ANNULE"),$C595="AOO-M"),'ENGAGEMENTS 2026'!P595,IF($H595="EN COURS DE PREENGAGEMENT",'ENGAGEMENTS 2026'!O595,IF($H595="PREENGAGE",IF($E595="ATTRIBUE",'ENGAGEMENTS 2026'!AE595,'ENGAGEMENTS 2026'!O595),'ENGAGEMENTS 2026'!AE595))))</f>
        <v/>
      </c>
      <c r="K595" s="604">
        <f>IF(ISBLANK('ENGAGEMENTS 2026'!W595),"",'ENGAGEMENTS 2026'!W595)</f>
        <v/>
      </c>
      <c r="L595" s="276">
        <f>IF($K595="","",TODAY()-$K595)</f>
        <v/>
      </c>
      <c r="M595">
        <f>IF($A595="","",IF($H595="ENGAGE","Engagé",IF(AND($H595="NON ENGAGE",OR($I595="INFRUCTUEUX",$I595="ANNULE")),"Clôturé sans suite","En cours")))</f>
        <v/>
      </c>
      <c r="N595">
        <f>IF(ISBLANK('ENGAGEMENTS 2026'!C595),"",'ENGAGEMENTS 2026'!L595)</f>
        <v/>
      </c>
      <c r="O595">
        <f>IF(ISBLANK('ENGAGEMENTS 2026'!C595),"",'ENGAGEMENTS 2026'!M595)</f>
        <v/>
      </c>
      <c r="P595">
        <f>IF(ISBLANK('ENGAGEMENTS 2026'!C595),"",'ENGAGEMENTS 2026'!K595)</f>
        <v/>
      </c>
      <c r="Q595">
        <f>IF($A595="","",IF(OR($E595="INFRUCTUEUX",$E595="ANNULE"),$A595&amp;"|"&amp;(COUNTIFS($A$2:$A595,$A595,$E$2:$E595,"INFRUCTUEUX")+COUNTIFS($A$2:$A595,$A595,$E$2:$E595,"ANNULE")),""))</f>
        <v/>
      </c>
    </row>
    <row r="596">
      <c r="A596">
        <f>IF(ISBLANK('ENGAGEMENTS 2026'!C596),"",IF('ENGAGEMENTS 2026'!C596="DTSI","DCT",'ENGAGEMENTS 2026'!C596))</f>
        <v/>
      </c>
      <c r="B596">
        <f>IF(ISBLANK('ENGAGEMENTS 2026'!C596),"",'ENGAGEMENTS 2026'!D596)</f>
        <v/>
      </c>
      <c r="C596">
        <f>IF(ISBLANK('ENGAGEMENTS 2026'!C596),"",'ENGAGEMENTS 2026'!E596)</f>
        <v/>
      </c>
      <c r="D596">
        <f>IF(ISBLANK('ENGAGEMENTS 2026'!C596),"",'ENGAGEMENTS 2026'!G596)</f>
        <v/>
      </c>
      <c r="E596">
        <f>IF(ISBLANK('ENGAGEMENTS 2026'!C596),"",'ENGAGEMENTS 2026'!I596)</f>
        <v/>
      </c>
      <c r="F596">
        <f>IF(ISBLANK('ENGAGEMENTS 2026'!C596),"",'ENGAGEMENTS 2026'!J596)</f>
        <v/>
      </c>
      <c r="G596">
        <f>IF(ISBLANK('ENGAGEMENTS 2026'!C596),"",'ENGAGEMENTS 2026'!M596)</f>
        <v/>
      </c>
      <c r="H596">
        <f>IF(ISBLANK('ENGAGEMENTS 2026'!C596),"",'ENGAGEMENTS 2026'!AF596)</f>
        <v/>
      </c>
      <c r="I596">
        <f>IF(ISBLANK('ENGAGEMENTS 2026'!C596),"",'ENGAGEMENTS 2026'!H596)</f>
        <v/>
      </c>
      <c r="J596" s="275">
        <f>IF(ISBLANK('ENGAGEMENTS 2026'!C596),"",IF(AND(OR($E596="INFRUCTUEUX",$E596="ANNULE"),$C596="AOO-M"),'ENGAGEMENTS 2026'!P596,IF($H596="EN COURS DE PREENGAGEMENT",'ENGAGEMENTS 2026'!O596,IF($H596="PREENGAGE",IF($E596="ATTRIBUE",'ENGAGEMENTS 2026'!AE596,'ENGAGEMENTS 2026'!O596),'ENGAGEMENTS 2026'!AE596))))</f>
        <v/>
      </c>
      <c r="K596" s="604">
        <f>IF(ISBLANK('ENGAGEMENTS 2026'!W596),"",'ENGAGEMENTS 2026'!W596)</f>
        <v/>
      </c>
      <c r="L596" s="276">
        <f>IF($K596="","",TODAY()-$K596)</f>
        <v/>
      </c>
      <c r="M596">
        <f>IF($A596="","",IF($H596="ENGAGE","Engagé",IF(AND($H596="NON ENGAGE",OR($I596="INFRUCTUEUX",$I596="ANNULE")),"Clôturé sans suite","En cours")))</f>
        <v/>
      </c>
      <c r="N596">
        <f>IF(ISBLANK('ENGAGEMENTS 2026'!C596),"",'ENGAGEMENTS 2026'!L596)</f>
        <v/>
      </c>
      <c r="O596">
        <f>IF(ISBLANK('ENGAGEMENTS 2026'!C596),"",'ENGAGEMENTS 2026'!M596)</f>
        <v/>
      </c>
      <c r="P596">
        <f>IF(ISBLANK('ENGAGEMENTS 2026'!C596),"",'ENGAGEMENTS 2026'!K596)</f>
        <v/>
      </c>
      <c r="Q596">
        <f>IF($A596="","",IF(OR($E596="INFRUCTUEUX",$E596="ANNULE"),$A596&amp;"|"&amp;(COUNTIFS($A$2:$A596,$A596,$E$2:$E596,"INFRUCTUEUX")+COUNTIFS($A$2:$A596,$A596,$E$2:$E596,"ANNULE")),""))</f>
        <v/>
      </c>
    </row>
    <row r="597">
      <c r="A597">
        <f>IF(ISBLANK('ENGAGEMENTS 2026'!C597),"",IF('ENGAGEMENTS 2026'!C597="DTSI","DCT",'ENGAGEMENTS 2026'!C597))</f>
        <v/>
      </c>
      <c r="B597">
        <f>IF(ISBLANK('ENGAGEMENTS 2026'!C597),"",'ENGAGEMENTS 2026'!D597)</f>
        <v/>
      </c>
      <c r="C597">
        <f>IF(ISBLANK('ENGAGEMENTS 2026'!C597),"",'ENGAGEMENTS 2026'!E597)</f>
        <v/>
      </c>
      <c r="D597">
        <f>IF(ISBLANK('ENGAGEMENTS 2026'!C597),"",'ENGAGEMENTS 2026'!G597)</f>
        <v/>
      </c>
      <c r="E597">
        <f>IF(ISBLANK('ENGAGEMENTS 2026'!C597),"",'ENGAGEMENTS 2026'!I597)</f>
        <v/>
      </c>
      <c r="F597">
        <f>IF(ISBLANK('ENGAGEMENTS 2026'!C597),"",'ENGAGEMENTS 2026'!J597)</f>
        <v/>
      </c>
      <c r="G597">
        <f>IF(ISBLANK('ENGAGEMENTS 2026'!C597),"",'ENGAGEMENTS 2026'!M597)</f>
        <v/>
      </c>
      <c r="H597">
        <f>IF(ISBLANK('ENGAGEMENTS 2026'!C597),"",'ENGAGEMENTS 2026'!AF597)</f>
        <v/>
      </c>
      <c r="I597">
        <f>IF(ISBLANK('ENGAGEMENTS 2026'!C597),"",'ENGAGEMENTS 2026'!H597)</f>
        <v/>
      </c>
      <c r="J597" s="275">
        <f>IF(ISBLANK('ENGAGEMENTS 2026'!C597),"",IF(AND(OR($E597="INFRUCTUEUX",$E597="ANNULE"),$C597="AOO-M"),'ENGAGEMENTS 2026'!P597,IF($H597="EN COURS DE PREENGAGEMENT",'ENGAGEMENTS 2026'!O597,IF($H597="PREENGAGE",IF($E597="ATTRIBUE",'ENGAGEMENTS 2026'!AE597,'ENGAGEMENTS 2026'!O597),'ENGAGEMENTS 2026'!AE597))))</f>
        <v/>
      </c>
      <c r="K597" s="604">
        <f>IF(ISBLANK('ENGAGEMENTS 2026'!W597),"",'ENGAGEMENTS 2026'!W597)</f>
        <v/>
      </c>
      <c r="L597" s="276">
        <f>IF($K597="","",TODAY()-$K597)</f>
        <v/>
      </c>
      <c r="M597">
        <f>IF($A597="","",IF($H597="ENGAGE","Engagé",IF(AND($H597="NON ENGAGE",OR($I597="INFRUCTUEUX",$I597="ANNULE")),"Clôturé sans suite","En cours")))</f>
        <v/>
      </c>
      <c r="N597">
        <f>IF(ISBLANK('ENGAGEMENTS 2026'!C597),"",'ENGAGEMENTS 2026'!L597)</f>
        <v/>
      </c>
      <c r="O597">
        <f>IF(ISBLANK('ENGAGEMENTS 2026'!C597),"",'ENGAGEMENTS 2026'!M597)</f>
        <v/>
      </c>
      <c r="P597">
        <f>IF(ISBLANK('ENGAGEMENTS 2026'!C597),"",'ENGAGEMENTS 2026'!K597)</f>
        <v/>
      </c>
      <c r="Q597">
        <f>IF($A597="","",IF(OR($E597="INFRUCTUEUX",$E597="ANNULE"),$A597&amp;"|"&amp;(COUNTIFS($A$2:$A597,$A597,$E$2:$E597,"INFRUCTUEUX")+COUNTIFS($A$2:$A597,$A597,$E$2:$E597,"ANNULE")),""))</f>
        <v/>
      </c>
    </row>
    <row r="598">
      <c r="A598">
        <f>IF(ISBLANK('ENGAGEMENTS 2026'!C598),"",IF('ENGAGEMENTS 2026'!C598="DTSI","DCT",'ENGAGEMENTS 2026'!C598))</f>
        <v/>
      </c>
      <c r="B598">
        <f>IF(ISBLANK('ENGAGEMENTS 2026'!C598),"",'ENGAGEMENTS 2026'!D598)</f>
        <v/>
      </c>
      <c r="C598">
        <f>IF(ISBLANK('ENGAGEMENTS 2026'!C598),"",'ENGAGEMENTS 2026'!E598)</f>
        <v/>
      </c>
      <c r="D598">
        <f>IF(ISBLANK('ENGAGEMENTS 2026'!C598),"",'ENGAGEMENTS 2026'!G598)</f>
        <v/>
      </c>
      <c r="E598">
        <f>IF(ISBLANK('ENGAGEMENTS 2026'!C598),"",'ENGAGEMENTS 2026'!I598)</f>
        <v/>
      </c>
      <c r="F598">
        <f>IF(ISBLANK('ENGAGEMENTS 2026'!C598),"",'ENGAGEMENTS 2026'!J598)</f>
        <v/>
      </c>
      <c r="G598">
        <f>IF(ISBLANK('ENGAGEMENTS 2026'!C598),"",'ENGAGEMENTS 2026'!M598)</f>
        <v/>
      </c>
      <c r="H598">
        <f>IF(ISBLANK('ENGAGEMENTS 2026'!C598),"",'ENGAGEMENTS 2026'!AF598)</f>
        <v/>
      </c>
      <c r="I598">
        <f>IF(ISBLANK('ENGAGEMENTS 2026'!C598),"",'ENGAGEMENTS 2026'!H598)</f>
        <v/>
      </c>
      <c r="J598" s="275">
        <f>IF(ISBLANK('ENGAGEMENTS 2026'!C598),"",IF(AND(OR($E598="INFRUCTUEUX",$E598="ANNULE"),$C598="AOO-M"),'ENGAGEMENTS 2026'!P598,IF($H598="EN COURS DE PREENGAGEMENT",'ENGAGEMENTS 2026'!O598,IF($H598="PREENGAGE",IF($E598="ATTRIBUE",'ENGAGEMENTS 2026'!AE598,'ENGAGEMENTS 2026'!O598),'ENGAGEMENTS 2026'!AE598))))</f>
        <v/>
      </c>
      <c r="K598" s="604">
        <f>IF(ISBLANK('ENGAGEMENTS 2026'!W598),"",'ENGAGEMENTS 2026'!W598)</f>
        <v/>
      </c>
      <c r="L598" s="276">
        <f>IF($K598="","",TODAY()-$K598)</f>
        <v/>
      </c>
      <c r="M598">
        <f>IF($A598="","",IF($H598="ENGAGE","Engagé",IF(AND($H598="NON ENGAGE",OR($I598="INFRUCTUEUX",$I598="ANNULE")),"Clôturé sans suite","En cours")))</f>
        <v/>
      </c>
      <c r="N598">
        <f>IF(ISBLANK('ENGAGEMENTS 2026'!C598),"",'ENGAGEMENTS 2026'!L598)</f>
        <v/>
      </c>
      <c r="O598">
        <f>IF(ISBLANK('ENGAGEMENTS 2026'!C598),"",'ENGAGEMENTS 2026'!M598)</f>
        <v/>
      </c>
      <c r="P598">
        <f>IF(ISBLANK('ENGAGEMENTS 2026'!C598),"",'ENGAGEMENTS 2026'!K598)</f>
        <v/>
      </c>
      <c r="Q598">
        <f>IF($A598="","",IF(OR($E598="INFRUCTUEUX",$E598="ANNULE"),$A598&amp;"|"&amp;(COUNTIFS($A$2:$A598,$A598,$E$2:$E598,"INFRUCTUEUX")+COUNTIFS($A$2:$A598,$A598,$E$2:$E598,"ANNULE")),""))</f>
        <v/>
      </c>
    </row>
    <row r="599">
      <c r="A599">
        <f>IF(ISBLANK('ENGAGEMENTS 2026'!C599),"",IF('ENGAGEMENTS 2026'!C599="DTSI","DCT",'ENGAGEMENTS 2026'!C599))</f>
        <v/>
      </c>
      <c r="B599">
        <f>IF(ISBLANK('ENGAGEMENTS 2026'!C599),"",'ENGAGEMENTS 2026'!D599)</f>
        <v/>
      </c>
      <c r="C599">
        <f>IF(ISBLANK('ENGAGEMENTS 2026'!C599),"",'ENGAGEMENTS 2026'!E599)</f>
        <v/>
      </c>
      <c r="D599">
        <f>IF(ISBLANK('ENGAGEMENTS 2026'!C599),"",'ENGAGEMENTS 2026'!G599)</f>
        <v/>
      </c>
      <c r="E599">
        <f>IF(ISBLANK('ENGAGEMENTS 2026'!C599),"",'ENGAGEMENTS 2026'!I599)</f>
        <v/>
      </c>
      <c r="F599">
        <f>IF(ISBLANK('ENGAGEMENTS 2026'!C599),"",'ENGAGEMENTS 2026'!J599)</f>
        <v/>
      </c>
      <c r="G599">
        <f>IF(ISBLANK('ENGAGEMENTS 2026'!C599),"",'ENGAGEMENTS 2026'!M599)</f>
        <v/>
      </c>
      <c r="H599">
        <f>IF(ISBLANK('ENGAGEMENTS 2026'!C599),"",'ENGAGEMENTS 2026'!AF599)</f>
        <v/>
      </c>
      <c r="I599">
        <f>IF(ISBLANK('ENGAGEMENTS 2026'!C599),"",'ENGAGEMENTS 2026'!H599)</f>
        <v/>
      </c>
      <c r="J599" s="275">
        <f>IF(ISBLANK('ENGAGEMENTS 2026'!C599),"",IF(AND(OR($E599="INFRUCTUEUX",$E599="ANNULE"),$C599="AOO-M"),'ENGAGEMENTS 2026'!P599,IF($H599="EN COURS DE PREENGAGEMENT",'ENGAGEMENTS 2026'!O599,IF($H599="PREENGAGE",IF($E599="ATTRIBUE",'ENGAGEMENTS 2026'!AE599,'ENGAGEMENTS 2026'!O599),'ENGAGEMENTS 2026'!AE599))))</f>
        <v/>
      </c>
      <c r="K599" s="604">
        <f>IF(ISBLANK('ENGAGEMENTS 2026'!W599),"",'ENGAGEMENTS 2026'!W599)</f>
        <v/>
      </c>
      <c r="L599" s="276">
        <f>IF($K599="","",TODAY()-$K599)</f>
        <v/>
      </c>
      <c r="M599">
        <f>IF($A599="","",IF($H599="ENGAGE","Engagé",IF(AND($H599="NON ENGAGE",OR($I599="INFRUCTUEUX",$I599="ANNULE")),"Clôturé sans suite","En cours")))</f>
        <v/>
      </c>
      <c r="N599">
        <f>IF(ISBLANK('ENGAGEMENTS 2026'!C599),"",'ENGAGEMENTS 2026'!L599)</f>
        <v/>
      </c>
      <c r="O599">
        <f>IF(ISBLANK('ENGAGEMENTS 2026'!C599),"",'ENGAGEMENTS 2026'!M599)</f>
        <v/>
      </c>
      <c r="P599">
        <f>IF(ISBLANK('ENGAGEMENTS 2026'!C599),"",'ENGAGEMENTS 2026'!K599)</f>
        <v/>
      </c>
      <c r="Q599">
        <f>IF($A599="","",IF(OR($E599="INFRUCTUEUX",$E599="ANNULE"),$A599&amp;"|"&amp;(COUNTIFS($A$2:$A599,$A599,$E$2:$E599,"INFRUCTUEUX")+COUNTIFS($A$2:$A599,$A599,$E$2:$E599,"ANNULE")),""))</f>
        <v/>
      </c>
    </row>
    <row r="600">
      <c r="A600">
        <f>IF(ISBLANK('ENGAGEMENTS 2026'!C600),"",IF('ENGAGEMENTS 2026'!C600="DTSI","DCT",'ENGAGEMENTS 2026'!C600))</f>
        <v/>
      </c>
      <c r="B600">
        <f>IF(ISBLANK('ENGAGEMENTS 2026'!C600),"",'ENGAGEMENTS 2026'!D600)</f>
        <v/>
      </c>
      <c r="C600">
        <f>IF(ISBLANK('ENGAGEMENTS 2026'!C600),"",'ENGAGEMENTS 2026'!E600)</f>
        <v/>
      </c>
      <c r="D600">
        <f>IF(ISBLANK('ENGAGEMENTS 2026'!C600),"",'ENGAGEMENTS 2026'!G600)</f>
        <v/>
      </c>
      <c r="E600">
        <f>IF(ISBLANK('ENGAGEMENTS 2026'!C600),"",'ENGAGEMENTS 2026'!I600)</f>
        <v/>
      </c>
      <c r="F600">
        <f>IF(ISBLANK('ENGAGEMENTS 2026'!C600),"",'ENGAGEMENTS 2026'!J600)</f>
        <v/>
      </c>
      <c r="G600">
        <f>IF(ISBLANK('ENGAGEMENTS 2026'!C600),"",'ENGAGEMENTS 2026'!M600)</f>
        <v/>
      </c>
      <c r="H600">
        <f>IF(ISBLANK('ENGAGEMENTS 2026'!C600),"",'ENGAGEMENTS 2026'!AF600)</f>
        <v/>
      </c>
      <c r="I600">
        <f>IF(ISBLANK('ENGAGEMENTS 2026'!C600),"",'ENGAGEMENTS 2026'!H600)</f>
        <v/>
      </c>
      <c r="J600" s="275">
        <f>IF(ISBLANK('ENGAGEMENTS 2026'!C600),"",IF(AND(OR($E600="INFRUCTUEUX",$E600="ANNULE"),$C600="AOO-M"),'ENGAGEMENTS 2026'!P600,IF($H600="EN COURS DE PREENGAGEMENT",'ENGAGEMENTS 2026'!O600,IF($H600="PREENGAGE",IF($E600="ATTRIBUE",'ENGAGEMENTS 2026'!AE600,'ENGAGEMENTS 2026'!O600),'ENGAGEMENTS 2026'!AE600))))</f>
        <v/>
      </c>
      <c r="K600" s="604">
        <f>IF(ISBLANK('ENGAGEMENTS 2026'!W600),"",'ENGAGEMENTS 2026'!W600)</f>
        <v/>
      </c>
      <c r="L600" s="276">
        <f>IF($K600="","",TODAY()-$K600)</f>
        <v/>
      </c>
      <c r="M600">
        <f>IF($A600="","",IF($H600="ENGAGE","Engagé",IF(AND($H600="NON ENGAGE",OR($I600="INFRUCTUEUX",$I600="ANNULE")),"Clôturé sans suite","En cours")))</f>
        <v/>
      </c>
      <c r="N600">
        <f>IF(ISBLANK('ENGAGEMENTS 2026'!C600),"",'ENGAGEMENTS 2026'!L600)</f>
        <v/>
      </c>
      <c r="O600">
        <f>IF(ISBLANK('ENGAGEMENTS 2026'!C600),"",'ENGAGEMENTS 2026'!M600)</f>
        <v/>
      </c>
      <c r="P600">
        <f>IF(ISBLANK('ENGAGEMENTS 2026'!C600),"",'ENGAGEMENTS 2026'!K600)</f>
        <v/>
      </c>
      <c r="Q600">
        <f>IF($A600="","",IF(OR($E600="INFRUCTUEUX",$E600="ANNULE"),$A600&amp;"|"&amp;(COUNTIFS($A$2:$A600,$A600,$E$2:$E600,"INFRUCTUEUX")+COUNTIFS($A$2:$A600,$A600,$E$2:$E600,"ANNULE")),""))</f>
        <v/>
      </c>
    </row>
    <row r="601">
      <c r="A601">
        <f>IF(ISBLANK('ENGAGEMENTS 2026'!C601),"",IF('ENGAGEMENTS 2026'!C601="DTSI","DCT",'ENGAGEMENTS 2026'!C601))</f>
        <v/>
      </c>
      <c r="B601">
        <f>IF(ISBLANK('ENGAGEMENTS 2026'!C601),"",'ENGAGEMENTS 2026'!D601)</f>
        <v/>
      </c>
      <c r="C601">
        <f>IF(ISBLANK('ENGAGEMENTS 2026'!C601),"",'ENGAGEMENTS 2026'!E601)</f>
        <v/>
      </c>
      <c r="D601">
        <f>IF(ISBLANK('ENGAGEMENTS 2026'!C601),"",'ENGAGEMENTS 2026'!G601)</f>
        <v/>
      </c>
      <c r="E601">
        <f>IF(ISBLANK('ENGAGEMENTS 2026'!C601),"",'ENGAGEMENTS 2026'!I601)</f>
        <v/>
      </c>
      <c r="F601">
        <f>IF(ISBLANK('ENGAGEMENTS 2026'!C601),"",'ENGAGEMENTS 2026'!J601)</f>
        <v/>
      </c>
      <c r="G601">
        <f>IF(ISBLANK('ENGAGEMENTS 2026'!C601),"",'ENGAGEMENTS 2026'!M601)</f>
        <v/>
      </c>
      <c r="H601">
        <f>IF(ISBLANK('ENGAGEMENTS 2026'!C601),"",'ENGAGEMENTS 2026'!AF601)</f>
        <v/>
      </c>
      <c r="I601">
        <f>IF(ISBLANK('ENGAGEMENTS 2026'!C601),"",'ENGAGEMENTS 2026'!H601)</f>
        <v/>
      </c>
      <c r="J601" s="275">
        <f>IF(ISBLANK('ENGAGEMENTS 2026'!C601),"",IF(AND(OR($E601="INFRUCTUEUX",$E601="ANNULE"),$C601="AOO-M"),'ENGAGEMENTS 2026'!P601,IF($H601="EN COURS DE PREENGAGEMENT",'ENGAGEMENTS 2026'!O601,IF($H601="PREENGAGE",IF($E601="ATTRIBUE",'ENGAGEMENTS 2026'!AE601,'ENGAGEMENTS 2026'!O601),'ENGAGEMENTS 2026'!AE601))))</f>
        <v/>
      </c>
      <c r="K601" s="604">
        <f>IF(ISBLANK('ENGAGEMENTS 2026'!W601),"",'ENGAGEMENTS 2026'!W601)</f>
        <v/>
      </c>
      <c r="L601" s="276">
        <f>IF($K601="","",TODAY()-$K601)</f>
        <v/>
      </c>
      <c r="M601">
        <f>IF($A601="","",IF($H601="ENGAGE","Engagé",IF(AND($H601="NON ENGAGE",OR($I601="INFRUCTUEUX",$I601="ANNULE")),"Clôturé sans suite","En cours")))</f>
        <v/>
      </c>
      <c r="N601">
        <f>IF(ISBLANK('ENGAGEMENTS 2026'!C601),"",'ENGAGEMENTS 2026'!L601)</f>
        <v/>
      </c>
      <c r="O601">
        <f>IF(ISBLANK('ENGAGEMENTS 2026'!C601),"",'ENGAGEMENTS 2026'!M601)</f>
        <v/>
      </c>
      <c r="P601">
        <f>IF(ISBLANK('ENGAGEMENTS 2026'!C601),"",'ENGAGEMENTS 2026'!K601)</f>
        <v/>
      </c>
      <c r="Q601">
        <f>IF($A601="","",IF(OR($E601="INFRUCTUEUX",$E601="ANNULE"),$A601&amp;"|"&amp;(COUNTIFS($A$2:$A601,$A601,$E$2:$E601,"INFRUCTUEUX")+COUNTIFS($A$2:$A601,$A601,$E$2:$E601,"ANNULE")),""))</f>
        <v/>
      </c>
    </row>
    <row r="602">
      <c r="A602">
        <f>IF(ISBLANK('ENGAGEMENTS 2026'!C602),"",IF('ENGAGEMENTS 2026'!C602="DTSI","DCT",'ENGAGEMENTS 2026'!C602))</f>
        <v/>
      </c>
      <c r="B602">
        <f>IF(ISBLANK('ENGAGEMENTS 2026'!C602),"",'ENGAGEMENTS 2026'!D602)</f>
        <v/>
      </c>
      <c r="C602">
        <f>IF(ISBLANK('ENGAGEMENTS 2026'!C602),"",'ENGAGEMENTS 2026'!E602)</f>
        <v/>
      </c>
      <c r="D602">
        <f>IF(ISBLANK('ENGAGEMENTS 2026'!C602),"",'ENGAGEMENTS 2026'!G602)</f>
        <v/>
      </c>
      <c r="E602">
        <f>IF(ISBLANK('ENGAGEMENTS 2026'!C602),"",'ENGAGEMENTS 2026'!I602)</f>
        <v/>
      </c>
      <c r="F602">
        <f>IF(ISBLANK('ENGAGEMENTS 2026'!C602),"",'ENGAGEMENTS 2026'!J602)</f>
        <v/>
      </c>
      <c r="G602">
        <f>IF(ISBLANK('ENGAGEMENTS 2026'!C602),"",'ENGAGEMENTS 2026'!M602)</f>
        <v/>
      </c>
      <c r="H602">
        <f>IF(ISBLANK('ENGAGEMENTS 2026'!C602),"",'ENGAGEMENTS 2026'!AF602)</f>
        <v/>
      </c>
      <c r="I602">
        <f>IF(ISBLANK('ENGAGEMENTS 2026'!C602),"",'ENGAGEMENTS 2026'!H602)</f>
        <v/>
      </c>
      <c r="J602" s="275">
        <f>IF(ISBLANK('ENGAGEMENTS 2026'!C602),"",IF(AND(OR($E602="INFRUCTUEUX",$E602="ANNULE"),$C602="AOO-M"),'ENGAGEMENTS 2026'!P602,IF($H602="EN COURS DE PREENGAGEMENT",'ENGAGEMENTS 2026'!O602,IF($H602="PREENGAGE",IF($E602="ATTRIBUE",'ENGAGEMENTS 2026'!AE602,'ENGAGEMENTS 2026'!O602),'ENGAGEMENTS 2026'!AE602))))</f>
        <v/>
      </c>
      <c r="K602" s="604">
        <f>IF(ISBLANK('ENGAGEMENTS 2026'!W602),"",'ENGAGEMENTS 2026'!W602)</f>
        <v/>
      </c>
      <c r="L602" s="276">
        <f>IF($K602="","",TODAY()-$K602)</f>
        <v/>
      </c>
      <c r="M602">
        <f>IF($A602="","",IF($H602="ENGAGE","Engagé",IF(AND($H602="NON ENGAGE",OR($I602="INFRUCTUEUX",$I602="ANNULE")),"Clôturé sans suite","En cours")))</f>
        <v/>
      </c>
      <c r="N602">
        <f>IF(ISBLANK('ENGAGEMENTS 2026'!C602),"",'ENGAGEMENTS 2026'!L602)</f>
        <v/>
      </c>
      <c r="O602">
        <f>IF(ISBLANK('ENGAGEMENTS 2026'!C602),"",'ENGAGEMENTS 2026'!M602)</f>
        <v/>
      </c>
      <c r="P602">
        <f>IF(ISBLANK('ENGAGEMENTS 2026'!C602),"",'ENGAGEMENTS 2026'!K602)</f>
        <v/>
      </c>
      <c r="Q602">
        <f>IF($A602="","",IF(OR($E602="INFRUCTUEUX",$E602="ANNULE"),$A602&amp;"|"&amp;(COUNTIFS($A$2:$A602,$A602,$E$2:$E602,"INFRUCTUEUX")+COUNTIFS($A$2:$A602,$A602,$E$2:$E602,"ANNULE")),""))</f>
        <v/>
      </c>
    </row>
    <row r="603">
      <c r="A603">
        <f>IF(ISBLANK('ENGAGEMENTS 2026'!C603),"",IF('ENGAGEMENTS 2026'!C603="DTSI","DCT",'ENGAGEMENTS 2026'!C603))</f>
        <v/>
      </c>
      <c r="B603">
        <f>IF(ISBLANK('ENGAGEMENTS 2026'!C603),"",'ENGAGEMENTS 2026'!D603)</f>
        <v/>
      </c>
      <c r="C603">
        <f>IF(ISBLANK('ENGAGEMENTS 2026'!C603),"",'ENGAGEMENTS 2026'!E603)</f>
        <v/>
      </c>
      <c r="D603">
        <f>IF(ISBLANK('ENGAGEMENTS 2026'!C603),"",'ENGAGEMENTS 2026'!G603)</f>
        <v/>
      </c>
      <c r="E603">
        <f>IF(ISBLANK('ENGAGEMENTS 2026'!C603),"",'ENGAGEMENTS 2026'!I603)</f>
        <v/>
      </c>
      <c r="F603">
        <f>IF(ISBLANK('ENGAGEMENTS 2026'!C603),"",'ENGAGEMENTS 2026'!J603)</f>
        <v/>
      </c>
      <c r="G603">
        <f>IF(ISBLANK('ENGAGEMENTS 2026'!C603),"",'ENGAGEMENTS 2026'!M603)</f>
        <v/>
      </c>
      <c r="H603">
        <f>IF(ISBLANK('ENGAGEMENTS 2026'!C603),"",'ENGAGEMENTS 2026'!AF603)</f>
        <v/>
      </c>
      <c r="I603">
        <f>IF(ISBLANK('ENGAGEMENTS 2026'!C603),"",'ENGAGEMENTS 2026'!H603)</f>
        <v/>
      </c>
      <c r="J603" s="275">
        <f>IF(ISBLANK('ENGAGEMENTS 2026'!C603),"",IF(AND(OR($E603="INFRUCTUEUX",$E603="ANNULE"),$C603="AOO-M"),'ENGAGEMENTS 2026'!P603,IF($H603="EN COURS DE PREENGAGEMENT",'ENGAGEMENTS 2026'!O603,IF($H603="PREENGAGE",IF($E603="ATTRIBUE",'ENGAGEMENTS 2026'!AE603,'ENGAGEMENTS 2026'!O603),'ENGAGEMENTS 2026'!AE603))))</f>
        <v/>
      </c>
      <c r="K603" s="604">
        <f>IF(ISBLANK('ENGAGEMENTS 2026'!W603),"",'ENGAGEMENTS 2026'!W603)</f>
        <v/>
      </c>
      <c r="L603" s="276">
        <f>IF($K603="","",TODAY()-$K603)</f>
        <v/>
      </c>
      <c r="M603">
        <f>IF($A603="","",IF($H603="ENGAGE","Engagé",IF(AND($H603="NON ENGAGE",OR($I603="INFRUCTUEUX",$I603="ANNULE")),"Clôturé sans suite","En cours")))</f>
        <v/>
      </c>
      <c r="N603">
        <f>IF(ISBLANK('ENGAGEMENTS 2026'!C603),"",'ENGAGEMENTS 2026'!L603)</f>
        <v/>
      </c>
      <c r="O603">
        <f>IF(ISBLANK('ENGAGEMENTS 2026'!C603),"",'ENGAGEMENTS 2026'!M603)</f>
        <v/>
      </c>
      <c r="P603">
        <f>IF(ISBLANK('ENGAGEMENTS 2026'!C603),"",'ENGAGEMENTS 2026'!K603)</f>
        <v/>
      </c>
      <c r="Q603">
        <f>IF($A603="","",IF(OR($E603="INFRUCTUEUX",$E603="ANNULE"),$A603&amp;"|"&amp;(COUNTIFS($A$2:$A603,$A603,$E$2:$E603,"INFRUCTUEUX")+COUNTIFS($A$2:$A603,$A603,$E$2:$E603,"ANNULE")),""))</f>
        <v/>
      </c>
    </row>
    <row r="604">
      <c r="A604">
        <f>IF(ISBLANK('ENGAGEMENTS 2026'!C604),"",IF('ENGAGEMENTS 2026'!C604="DTSI","DCT",'ENGAGEMENTS 2026'!C604))</f>
        <v/>
      </c>
      <c r="B604">
        <f>IF(ISBLANK('ENGAGEMENTS 2026'!C604),"",'ENGAGEMENTS 2026'!D604)</f>
        <v/>
      </c>
      <c r="C604">
        <f>IF(ISBLANK('ENGAGEMENTS 2026'!C604),"",'ENGAGEMENTS 2026'!E604)</f>
        <v/>
      </c>
      <c r="D604">
        <f>IF(ISBLANK('ENGAGEMENTS 2026'!C604),"",'ENGAGEMENTS 2026'!G604)</f>
        <v/>
      </c>
      <c r="E604">
        <f>IF(ISBLANK('ENGAGEMENTS 2026'!C604),"",'ENGAGEMENTS 2026'!I604)</f>
        <v/>
      </c>
      <c r="F604">
        <f>IF(ISBLANK('ENGAGEMENTS 2026'!C604),"",'ENGAGEMENTS 2026'!J604)</f>
        <v/>
      </c>
      <c r="G604">
        <f>IF(ISBLANK('ENGAGEMENTS 2026'!C604),"",'ENGAGEMENTS 2026'!M604)</f>
        <v/>
      </c>
      <c r="H604">
        <f>IF(ISBLANK('ENGAGEMENTS 2026'!C604),"",'ENGAGEMENTS 2026'!AF604)</f>
        <v/>
      </c>
      <c r="I604">
        <f>IF(ISBLANK('ENGAGEMENTS 2026'!C604),"",'ENGAGEMENTS 2026'!H604)</f>
        <v/>
      </c>
      <c r="J604" s="275">
        <f>IF(ISBLANK('ENGAGEMENTS 2026'!C604),"",IF(AND(OR($E604="INFRUCTUEUX",$E604="ANNULE"),$C604="AOO-M"),'ENGAGEMENTS 2026'!P604,IF($H604="EN COURS DE PREENGAGEMENT",'ENGAGEMENTS 2026'!O604,IF($H604="PREENGAGE",IF($E604="ATTRIBUE",'ENGAGEMENTS 2026'!AE604,'ENGAGEMENTS 2026'!O604),'ENGAGEMENTS 2026'!AE604))))</f>
        <v/>
      </c>
      <c r="K604" s="604">
        <f>IF(ISBLANK('ENGAGEMENTS 2026'!W604),"",'ENGAGEMENTS 2026'!W604)</f>
        <v/>
      </c>
      <c r="L604" s="276">
        <f>IF($K604="","",TODAY()-$K604)</f>
        <v/>
      </c>
      <c r="M604">
        <f>IF($A604="","",IF($H604="ENGAGE","Engagé",IF(AND($H604="NON ENGAGE",OR($I604="INFRUCTUEUX",$I604="ANNULE")),"Clôturé sans suite","En cours")))</f>
        <v/>
      </c>
      <c r="N604">
        <f>IF(ISBLANK('ENGAGEMENTS 2026'!C604),"",'ENGAGEMENTS 2026'!L604)</f>
        <v/>
      </c>
      <c r="O604">
        <f>IF(ISBLANK('ENGAGEMENTS 2026'!C604),"",'ENGAGEMENTS 2026'!M604)</f>
        <v/>
      </c>
      <c r="P604">
        <f>IF(ISBLANK('ENGAGEMENTS 2026'!C604),"",'ENGAGEMENTS 2026'!K604)</f>
        <v/>
      </c>
      <c r="Q604">
        <f>IF($A604="","",IF(OR($E604="INFRUCTUEUX",$E604="ANNULE"),$A604&amp;"|"&amp;(COUNTIFS($A$2:$A604,$A604,$E$2:$E604,"INFRUCTUEUX")+COUNTIFS($A$2:$A604,$A604,$E$2:$E604,"ANNULE")),""))</f>
        <v/>
      </c>
    </row>
    <row r="605">
      <c r="A605">
        <f>IF(ISBLANK('ENGAGEMENTS 2026'!C605),"",IF('ENGAGEMENTS 2026'!C605="DTSI","DCT",'ENGAGEMENTS 2026'!C605))</f>
        <v/>
      </c>
      <c r="B605">
        <f>IF(ISBLANK('ENGAGEMENTS 2026'!C605),"",'ENGAGEMENTS 2026'!D605)</f>
        <v/>
      </c>
      <c r="C605">
        <f>IF(ISBLANK('ENGAGEMENTS 2026'!C605),"",'ENGAGEMENTS 2026'!E605)</f>
        <v/>
      </c>
      <c r="D605">
        <f>IF(ISBLANK('ENGAGEMENTS 2026'!C605),"",'ENGAGEMENTS 2026'!G605)</f>
        <v/>
      </c>
      <c r="E605">
        <f>IF(ISBLANK('ENGAGEMENTS 2026'!C605),"",'ENGAGEMENTS 2026'!I605)</f>
        <v/>
      </c>
      <c r="F605">
        <f>IF(ISBLANK('ENGAGEMENTS 2026'!C605),"",'ENGAGEMENTS 2026'!J605)</f>
        <v/>
      </c>
      <c r="G605">
        <f>IF(ISBLANK('ENGAGEMENTS 2026'!C605),"",'ENGAGEMENTS 2026'!M605)</f>
        <v/>
      </c>
      <c r="H605">
        <f>IF(ISBLANK('ENGAGEMENTS 2026'!C605),"",'ENGAGEMENTS 2026'!AF605)</f>
        <v/>
      </c>
      <c r="I605">
        <f>IF(ISBLANK('ENGAGEMENTS 2026'!C605),"",'ENGAGEMENTS 2026'!H605)</f>
        <v/>
      </c>
      <c r="J605" s="275">
        <f>IF(ISBLANK('ENGAGEMENTS 2026'!C605),"",IF(AND(OR($E605="INFRUCTUEUX",$E605="ANNULE"),$C605="AOO-M"),'ENGAGEMENTS 2026'!P605,IF($H605="EN COURS DE PREENGAGEMENT",'ENGAGEMENTS 2026'!O605,IF($H605="PREENGAGE",IF($E605="ATTRIBUE",'ENGAGEMENTS 2026'!AE605,'ENGAGEMENTS 2026'!O605),'ENGAGEMENTS 2026'!AE605))))</f>
        <v/>
      </c>
      <c r="K605" s="604">
        <f>IF(ISBLANK('ENGAGEMENTS 2026'!W605),"",'ENGAGEMENTS 2026'!W605)</f>
        <v/>
      </c>
      <c r="L605" s="276">
        <f>IF($K605="","",TODAY()-$K605)</f>
        <v/>
      </c>
      <c r="M605">
        <f>IF($A605="","",IF($H605="ENGAGE","Engagé",IF(AND($H605="NON ENGAGE",OR($I605="INFRUCTUEUX",$I605="ANNULE")),"Clôturé sans suite","En cours")))</f>
        <v/>
      </c>
      <c r="N605">
        <f>IF(ISBLANK('ENGAGEMENTS 2026'!C605),"",'ENGAGEMENTS 2026'!L605)</f>
        <v/>
      </c>
      <c r="O605">
        <f>IF(ISBLANK('ENGAGEMENTS 2026'!C605),"",'ENGAGEMENTS 2026'!M605)</f>
        <v/>
      </c>
      <c r="P605">
        <f>IF(ISBLANK('ENGAGEMENTS 2026'!C605),"",'ENGAGEMENTS 2026'!K605)</f>
        <v/>
      </c>
      <c r="Q605">
        <f>IF($A605="","",IF(OR($E605="INFRUCTUEUX",$E605="ANNULE"),$A605&amp;"|"&amp;(COUNTIFS($A$2:$A605,$A605,$E$2:$E605,"INFRUCTUEUX")+COUNTIFS($A$2:$A605,$A605,$E$2:$E605,"ANNULE")),""))</f>
        <v/>
      </c>
    </row>
    <row r="606">
      <c r="A606">
        <f>IF(ISBLANK('ENGAGEMENTS 2026'!C606),"",IF('ENGAGEMENTS 2026'!C606="DTSI","DCT",'ENGAGEMENTS 2026'!C606))</f>
        <v/>
      </c>
      <c r="B606">
        <f>IF(ISBLANK('ENGAGEMENTS 2026'!C606),"",'ENGAGEMENTS 2026'!D606)</f>
        <v/>
      </c>
      <c r="C606">
        <f>IF(ISBLANK('ENGAGEMENTS 2026'!C606),"",'ENGAGEMENTS 2026'!E606)</f>
        <v/>
      </c>
      <c r="D606">
        <f>IF(ISBLANK('ENGAGEMENTS 2026'!C606),"",'ENGAGEMENTS 2026'!G606)</f>
        <v/>
      </c>
      <c r="E606">
        <f>IF(ISBLANK('ENGAGEMENTS 2026'!C606),"",'ENGAGEMENTS 2026'!I606)</f>
        <v/>
      </c>
      <c r="F606">
        <f>IF(ISBLANK('ENGAGEMENTS 2026'!C606),"",'ENGAGEMENTS 2026'!J606)</f>
        <v/>
      </c>
      <c r="G606">
        <f>IF(ISBLANK('ENGAGEMENTS 2026'!C606),"",'ENGAGEMENTS 2026'!M606)</f>
        <v/>
      </c>
      <c r="H606">
        <f>IF(ISBLANK('ENGAGEMENTS 2026'!C606),"",'ENGAGEMENTS 2026'!AF606)</f>
        <v/>
      </c>
      <c r="I606">
        <f>IF(ISBLANK('ENGAGEMENTS 2026'!C606),"",'ENGAGEMENTS 2026'!H606)</f>
        <v/>
      </c>
      <c r="J606" s="275">
        <f>IF(ISBLANK('ENGAGEMENTS 2026'!C606),"",IF(AND(OR($E606="INFRUCTUEUX",$E606="ANNULE"),$C606="AOO-M"),'ENGAGEMENTS 2026'!P606,IF($H606="EN COURS DE PREENGAGEMENT",'ENGAGEMENTS 2026'!O606,IF($H606="PREENGAGE",IF($E606="ATTRIBUE",'ENGAGEMENTS 2026'!AE606,'ENGAGEMENTS 2026'!O606),'ENGAGEMENTS 2026'!AE606))))</f>
        <v/>
      </c>
      <c r="K606" s="604">
        <f>IF(ISBLANK('ENGAGEMENTS 2026'!W606),"",'ENGAGEMENTS 2026'!W606)</f>
        <v/>
      </c>
      <c r="L606" s="276">
        <f>IF($K606="","",TODAY()-$K606)</f>
        <v/>
      </c>
      <c r="M606">
        <f>IF($A606="","",IF($H606="ENGAGE","Engagé",IF(AND($H606="NON ENGAGE",OR($I606="INFRUCTUEUX",$I606="ANNULE")),"Clôturé sans suite","En cours")))</f>
        <v/>
      </c>
      <c r="N606">
        <f>IF(ISBLANK('ENGAGEMENTS 2026'!C606),"",'ENGAGEMENTS 2026'!L606)</f>
        <v/>
      </c>
      <c r="O606">
        <f>IF(ISBLANK('ENGAGEMENTS 2026'!C606),"",'ENGAGEMENTS 2026'!M606)</f>
        <v/>
      </c>
      <c r="P606">
        <f>IF(ISBLANK('ENGAGEMENTS 2026'!C606),"",'ENGAGEMENTS 2026'!K606)</f>
        <v/>
      </c>
      <c r="Q606">
        <f>IF($A606="","",IF(OR($E606="INFRUCTUEUX",$E606="ANNULE"),$A606&amp;"|"&amp;(COUNTIFS($A$2:$A606,$A606,$E$2:$E606,"INFRUCTUEUX")+COUNTIFS($A$2:$A606,$A606,$E$2:$E606,"ANNULE")),""))</f>
        <v/>
      </c>
    </row>
    <row r="607">
      <c r="A607">
        <f>IF(ISBLANK('ENGAGEMENTS 2026'!C607),"",IF('ENGAGEMENTS 2026'!C607="DTSI","DCT",'ENGAGEMENTS 2026'!C607))</f>
        <v/>
      </c>
      <c r="B607">
        <f>IF(ISBLANK('ENGAGEMENTS 2026'!C607),"",'ENGAGEMENTS 2026'!D607)</f>
        <v/>
      </c>
      <c r="C607">
        <f>IF(ISBLANK('ENGAGEMENTS 2026'!C607),"",'ENGAGEMENTS 2026'!E607)</f>
        <v/>
      </c>
      <c r="D607">
        <f>IF(ISBLANK('ENGAGEMENTS 2026'!C607),"",'ENGAGEMENTS 2026'!G607)</f>
        <v/>
      </c>
      <c r="E607">
        <f>IF(ISBLANK('ENGAGEMENTS 2026'!C607),"",'ENGAGEMENTS 2026'!I607)</f>
        <v/>
      </c>
      <c r="F607">
        <f>IF(ISBLANK('ENGAGEMENTS 2026'!C607),"",'ENGAGEMENTS 2026'!J607)</f>
        <v/>
      </c>
      <c r="G607">
        <f>IF(ISBLANK('ENGAGEMENTS 2026'!C607),"",'ENGAGEMENTS 2026'!M607)</f>
        <v/>
      </c>
      <c r="H607">
        <f>IF(ISBLANK('ENGAGEMENTS 2026'!C607),"",'ENGAGEMENTS 2026'!AF607)</f>
        <v/>
      </c>
      <c r="I607">
        <f>IF(ISBLANK('ENGAGEMENTS 2026'!C607),"",'ENGAGEMENTS 2026'!H607)</f>
        <v/>
      </c>
      <c r="J607" s="275">
        <f>IF(ISBLANK('ENGAGEMENTS 2026'!C607),"",IF(AND(OR($E607="INFRUCTUEUX",$E607="ANNULE"),$C607="AOO-M"),'ENGAGEMENTS 2026'!P607,IF($H607="EN COURS DE PREENGAGEMENT",'ENGAGEMENTS 2026'!O607,IF($H607="PREENGAGE",IF($E607="ATTRIBUE",'ENGAGEMENTS 2026'!AE607,'ENGAGEMENTS 2026'!O607),'ENGAGEMENTS 2026'!AE607))))</f>
        <v/>
      </c>
      <c r="K607" s="604">
        <f>IF(ISBLANK('ENGAGEMENTS 2026'!W607),"",'ENGAGEMENTS 2026'!W607)</f>
        <v/>
      </c>
      <c r="L607" s="276">
        <f>IF($K607="","",TODAY()-$K607)</f>
        <v/>
      </c>
      <c r="M607">
        <f>IF($A607="","",IF($H607="ENGAGE","Engagé",IF(AND($H607="NON ENGAGE",OR($I607="INFRUCTUEUX",$I607="ANNULE")),"Clôturé sans suite","En cours")))</f>
        <v/>
      </c>
      <c r="N607">
        <f>IF(ISBLANK('ENGAGEMENTS 2026'!C607),"",'ENGAGEMENTS 2026'!L607)</f>
        <v/>
      </c>
      <c r="O607">
        <f>IF(ISBLANK('ENGAGEMENTS 2026'!C607),"",'ENGAGEMENTS 2026'!M607)</f>
        <v/>
      </c>
      <c r="P607">
        <f>IF(ISBLANK('ENGAGEMENTS 2026'!C607),"",'ENGAGEMENTS 2026'!K607)</f>
        <v/>
      </c>
      <c r="Q607">
        <f>IF($A607="","",IF(OR($E607="INFRUCTUEUX",$E607="ANNULE"),$A607&amp;"|"&amp;(COUNTIFS($A$2:$A607,$A607,$E$2:$E607,"INFRUCTUEUX")+COUNTIFS($A$2:$A607,$A607,$E$2:$E607,"ANNULE")),""))</f>
        <v/>
      </c>
    </row>
    <row r="608">
      <c r="A608">
        <f>IF(ISBLANK('ENGAGEMENTS 2026'!C608),"",IF('ENGAGEMENTS 2026'!C608="DTSI","DCT",'ENGAGEMENTS 2026'!C608))</f>
        <v/>
      </c>
      <c r="B608">
        <f>IF(ISBLANK('ENGAGEMENTS 2026'!C608),"",'ENGAGEMENTS 2026'!D608)</f>
        <v/>
      </c>
      <c r="C608">
        <f>IF(ISBLANK('ENGAGEMENTS 2026'!C608),"",'ENGAGEMENTS 2026'!E608)</f>
        <v/>
      </c>
      <c r="D608">
        <f>IF(ISBLANK('ENGAGEMENTS 2026'!C608),"",'ENGAGEMENTS 2026'!G608)</f>
        <v/>
      </c>
      <c r="E608">
        <f>IF(ISBLANK('ENGAGEMENTS 2026'!C608),"",'ENGAGEMENTS 2026'!I608)</f>
        <v/>
      </c>
      <c r="F608">
        <f>IF(ISBLANK('ENGAGEMENTS 2026'!C608),"",'ENGAGEMENTS 2026'!J608)</f>
        <v/>
      </c>
      <c r="G608">
        <f>IF(ISBLANK('ENGAGEMENTS 2026'!C608),"",'ENGAGEMENTS 2026'!M608)</f>
        <v/>
      </c>
      <c r="H608">
        <f>IF(ISBLANK('ENGAGEMENTS 2026'!C608),"",'ENGAGEMENTS 2026'!AF608)</f>
        <v/>
      </c>
      <c r="I608">
        <f>IF(ISBLANK('ENGAGEMENTS 2026'!C608),"",'ENGAGEMENTS 2026'!H608)</f>
        <v/>
      </c>
      <c r="J608" s="275">
        <f>IF(ISBLANK('ENGAGEMENTS 2026'!C608),"",IF(AND(OR($E608="INFRUCTUEUX",$E608="ANNULE"),$C608="AOO-M"),'ENGAGEMENTS 2026'!P608,IF($H608="EN COURS DE PREENGAGEMENT",'ENGAGEMENTS 2026'!O608,IF($H608="PREENGAGE",IF($E608="ATTRIBUE",'ENGAGEMENTS 2026'!AE608,'ENGAGEMENTS 2026'!O608),'ENGAGEMENTS 2026'!AE608))))</f>
        <v/>
      </c>
      <c r="K608" s="604">
        <f>IF(ISBLANK('ENGAGEMENTS 2026'!W608),"",'ENGAGEMENTS 2026'!W608)</f>
        <v/>
      </c>
      <c r="L608" s="276">
        <f>IF($K608="","",TODAY()-$K608)</f>
        <v/>
      </c>
      <c r="M608">
        <f>IF($A608="","",IF($H608="ENGAGE","Engagé",IF(AND($H608="NON ENGAGE",OR($I608="INFRUCTUEUX",$I608="ANNULE")),"Clôturé sans suite","En cours")))</f>
        <v/>
      </c>
      <c r="N608">
        <f>IF(ISBLANK('ENGAGEMENTS 2026'!C608),"",'ENGAGEMENTS 2026'!L608)</f>
        <v/>
      </c>
      <c r="O608">
        <f>IF(ISBLANK('ENGAGEMENTS 2026'!C608),"",'ENGAGEMENTS 2026'!M608)</f>
        <v/>
      </c>
      <c r="P608">
        <f>IF(ISBLANK('ENGAGEMENTS 2026'!C608),"",'ENGAGEMENTS 2026'!K608)</f>
        <v/>
      </c>
      <c r="Q608">
        <f>IF($A608="","",IF(OR($E608="INFRUCTUEUX",$E608="ANNULE"),$A608&amp;"|"&amp;(COUNTIFS($A$2:$A608,$A608,$E$2:$E608,"INFRUCTUEUX")+COUNTIFS($A$2:$A608,$A608,$E$2:$E608,"ANNULE")),""))</f>
        <v/>
      </c>
    </row>
    <row r="609">
      <c r="A609">
        <f>IF(ISBLANK('ENGAGEMENTS 2026'!C609),"",IF('ENGAGEMENTS 2026'!C609="DTSI","DCT",'ENGAGEMENTS 2026'!C609))</f>
        <v/>
      </c>
      <c r="B609">
        <f>IF(ISBLANK('ENGAGEMENTS 2026'!C609),"",'ENGAGEMENTS 2026'!D609)</f>
        <v/>
      </c>
      <c r="C609">
        <f>IF(ISBLANK('ENGAGEMENTS 2026'!C609),"",'ENGAGEMENTS 2026'!E609)</f>
        <v/>
      </c>
      <c r="D609">
        <f>IF(ISBLANK('ENGAGEMENTS 2026'!C609),"",'ENGAGEMENTS 2026'!G609)</f>
        <v/>
      </c>
      <c r="E609">
        <f>IF(ISBLANK('ENGAGEMENTS 2026'!C609),"",'ENGAGEMENTS 2026'!I609)</f>
        <v/>
      </c>
      <c r="F609">
        <f>IF(ISBLANK('ENGAGEMENTS 2026'!C609),"",'ENGAGEMENTS 2026'!J609)</f>
        <v/>
      </c>
      <c r="G609">
        <f>IF(ISBLANK('ENGAGEMENTS 2026'!C609),"",'ENGAGEMENTS 2026'!M609)</f>
        <v/>
      </c>
      <c r="H609">
        <f>IF(ISBLANK('ENGAGEMENTS 2026'!C609),"",'ENGAGEMENTS 2026'!AF609)</f>
        <v/>
      </c>
      <c r="I609">
        <f>IF(ISBLANK('ENGAGEMENTS 2026'!C609),"",'ENGAGEMENTS 2026'!H609)</f>
        <v/>
      </c>
      <c r="J609" s="275">
        <f>IF(ISBLANK('ENGAGEMENTS 2026'!C609),"",IF(AND(OR($E609="INFRUCTUEUX",$E609="ANNULE"),$C609="AOO-M"),'ENGAGEMENTS 2026'!P609,IF($H609="EN COURS DE PREENGAGEMENT",'ENGAGEMENTS 2026'!O609,IF($H609="PREENGAGE",IF($E609="ATTRIBUE",'ENGAGEMENTS 2026'!AE609,'ENGAGEMENTS 2026'!O609),'ENGAGEMENTS 2026'!AE609))))</f>
        <v/>
      </c>
      <c r="K609" s="604">
        <f>IF(ISBLANK('ENGAGEMENTS 2026'!W609),"",'ENGAGEMENTS 2026'!W609)</f>
        <v/>
      </c>
      <c r="L609" s="276">
        <f>IF($K609="","",TODAY()-$K609)</f>
        <v/>
      </c>
      <c r="M609">
        <f>IF($A609="","",IF($H609="ENGAGE","Engagé",IF(AND($H609="NON ENGAGE",OR($I609="INFRUCTUEUX",$I609="ANNULE")),"Clôturé sans suite","En cours")))</f>
        <v/>
      </c>
      <c r="N609">
        <f>IF(ISBLANK('ENGAGEMENTS 2026'!C609),"",'ENGAGEMENTS 2026'!L609)</f>
        <v/>
      </c>
      <c r="O609">
        <f>IF(ISBLANK('ENGAGEMENTS 2026'!C609),"",'ENGAGEMENTS 2026'!M609)</f>
        <v/>
      </c>
      <c r="P609">
        <f>IF(ISBLANK('ENGAGEMENTS 2026'!C609),"",'ENGAGEMENTS 2026'!K609)</f>
        <v/>
      </c>
      <c r="Q609">
        <f>IF($A609="","",IF(OR($E609="INFRUCTUEUX",$E609="ANNULE"),$A609&amp;"|"&amp;(COUNTIFS($A$2:$A609,$A609,$E$2:$E609,"INFRUCTUEUX")+COUNTIFS($A$2:$A609,$A609,$E$2:$E609,"ANNULE")),""))</f>
        <v/>
      </c>
    </row>
    <row r="610">
      <c r="A610">
        <f>IF(ISBLANK('ENGAGEMENTS 2026'!C610),"",IF('ENGAGEMENTS 2026'!C610="DTSI","DCT",'ENGAGEMENTS 2026'!C610))</f>
        <v/>
      </c>
      <c r="B610">
        <f>IF(ISBLANK('ENGAGEMENTS 2026'!C610),"",'ENGAGEMENTS 2026'!D610)</f>
        <v/>
      </c>
      <c r="C610">
        <f>IF(ISBLANK('ENGAGEMENTS 2026'!C610),"",'ENGAGEMENTS 2026'!E610)</f>
        <v/>
      </c>
      <c r="D610">
        <f>IF(ISBLANK('ENGAGEMENTS 2026'!C610),"",'ENGAGEMENTS 2026'!G610)</f>
        <v/>
      </c>
      <c r="E610">
        <f>IF(ISBLANK('ENGAGEMENTS 2026'!C610),"",'ENGAGEMENTS 2026'!I610)</f>
        <v/>
      </c>
      <c r="F610">
        <f>IF(ISBLANK('ENGAGEMENTS 2026'!C610),"",'ENGAGEMENTS 2026'!J610)</f>
        <v/>
      </c>
      <c r="G610">
        <f>IF(ISBLANK('ENGAGEMENTS 2026'!C610),"",'ENGAGEMENTS 2026'!M610)</f>
        <v/>
      </c>
      <c r="H610">
        <f>IF(ISBLANK('ENGAGEMENTS 2026'!C610),"",'ENGAGEMENTS 2026'!AF610)</f>
        <v/>
      </c>
      <c r="I610">
        <f>IF(ISBLANK('ENGAGEMENTS 2026'!C610),"",'ENGAGEMENTS 2026'!H610)</f>
        <v/>
      </c>
      <c r="J610" s="275">
        <f>IF(ISBLANK('ENGAGEMENTS 2026'!C610),"",IF(AND(OR($E610="INFRUCTUEUX",$E610="ANNULE"),$C610="AOO-M"),'ENGAGEMENTS 2026'!P610,IF($H610="EN COURS DE PREENGAGEMENT",'ENGAGEMENTS 2026'!O610,IF($H610="PREENGAGE",IF($E610="ATTRIBUE",'ENGAGEMENTS 2026'!AE610,'ENGAGEMENTS 2026'!O610),'ENGAGEMENTS 2026'!AE610))))</f>
        <v/>
      </c>
      <c r="K610" s="604">
        <f>IF(ISBLANK('ENGAGEMENTS 2026'!W610),"",'ENGAGEMENTS 2026'!W610)</f>
        <v/>
      </c>
      <c r="L610" s="276">
        <f>IF($K610="","",TODAY()-$K610)</f>
        <v/>
      </c>
      <c r="M610">
        <f>IF($A610="","",IF($H610="ENGAGE","Engagé",IF(AND($H610="NON ENGAGE",OR($I610="INFRUCTUEUX",$I610="ANNULE")),"Clôturé sans suite","En cours")))</f>
        <v/>
      </c>
      <c r="N610">
        <f>IF(ISBLANK('ENGAGEMENTS 2026'!C610),"",'ENGAGEMENTS 2026'!L610)</f>
        <v/>
      </c>
      <c r="O610">
        <f>IF(ISBLANK('ENGAGEMENTS 2026'!C610),"",'ENGAGEMENTS 2026'!M610)</f>
        <v/>
      </c>
      <c r="P610">
        <f>IF(ISBLANK('ENGAGEMENTS 2026'!C610),"",'ENGAGEMENTS 2026'!K610)</f>
        <v/>
      </c>
      <c r="Q610">
        <f>IF($A610="","",IF(OR($E610="INFRUCTUEUX",$E610="ANNULE"),$A610&amp;"|"&amp;(COUNTIFS($A$2:$A610,$A610,$E$2:$E610,"INFRUCTUEUX")+COUNTIFS($A$2:$A610,$A610,$E$2:$E610,"ANNULE")),""))</f>
        <v/>
      </c>
    </row>
    <row r="611">
      <c r="A611">
        <f>IF(ISBLANK('ENGAGEMENTS 2026'!C611),"",IF('ENGAGEMENTS 2026'!C611="DTSI","DCT",'ENGAGEMENTS 2026'!C611))</f>
        <v/>
      </c>
      <c r="B611">
        <f>IF(ISBLANK('ENGAGEMENTS 2026'!C611),"",'ENGAGEMENTS 2026'!D611)</f>
        <v/>
      </c>
      <c r="C611">
        <f>IF(ISBLANK('ENGAGEMENTS 2026'!C611),"",'ENGAGEMENTS 2026'!E611)</f>
        <v/>
      </c>
      <c r="D611">
        <f>IF(ISBLANK('ENGAGEMENTS 2026'!C611),"",'ENGAGEMENTS 2026'!G611)</f>
        <v/>
      </c>
      <c r="E611">
        <f>IF(ISBLANK('ENGAGEMENTS 2026'!C611),"",'ENGAGEMENTS 2026'!I611)</f>
        <v/>
      </c>
      <c r="F611">
        <f>IF(ISBLANK('ENGAGEMENTS 2026'!C611),"",'ENGAGEMENTS 2026'!J611)</f>
        <v/>
      </c>
      <c r="G611">
        <f>IF(ISBLANK('ENGAGEMENTS 2026'!C611),"",'ENGAGEMENTS 2026'!M611)</f>
        <v/>
      </c>
      <c r="H611">
        <f>IF(ISBLANK('ENGAGEMENTS 2026'!C611),"",'ENGAGEMENTS 2026'!AF611)</f>
        <v/>
      </c>
      <c r="I611">
        <f>IF(ISBLANK('ENGAGEMENTS 2026'!C611),"",'ENGAGEMENTS 2026'!H611)</f>
        <v/>
      </c>
      <c r="J611" s="275">
        <f>IF(ISBLANK('ENGAGEMENTS 2026'!C611),"",IF(AND(OR($E611="INFRUCTUEUX",$E611="ANNULE"),$C611="AOO-M"),'ENGAGEMENTS 2026'!P611,IF($H611="EN COURS DE PREENGAGEMENT",'ENGAGEMENTS 2026'!O611,IF($H611="PREENGAGE",IF($E611="ATTRIBUE",'ENGAGEMENTS 2026'!AE611,'ENGAGEMENTS 2026'!O611),'ENGAGEMENTS 2026'!AE611))))</f>
        <v/>
      </c>
      <c r="K611" s="604">
        <f>IF(ISBLANK('ENGAGEMENTS 2026'!W611),"",'ENGAGEMENTS 2026'!W611)</f>
        <v/>
      </c>
      <c r="L611" s="276">
        <f>IF($K611="","",TODAY()-$K611)</f>
        <v/>
      </c>
      <c r="M611">
        <f>IF($A611="","",IF($H611="ENGAGE","Engagé",IF(AND($H611="NON ENGAGE",OR($I611="INFRUCTUEUX",$I611="ANNULE")),"Clôturé sans suite","En cours")))</f>
        <v/>
      </c>
      <c r="N611">
        <f>IF(ISBLANK('ENGAGEMENTS 2026'!C611),"",'ENGAGEMENTS 2026'!L611)</f>
        <v/>
      </c>
      <c r="O611">
        <f>IF(ISBLANK('ENGAGEMENTS 2026'!C611),"",'ENGAGEMENTS 2026'!M611)</f>
        <v/>
      </c>
      <c r="P611">
        <f>IF(ISBLANK('ENGAGEMENTS 2026'!C611),"",'ENGAGEMENTS 2026'!K611)</f>
        <v/>
      </c>
      <c r="Q611">
        <f>IF($A611="","",IF(OR($E611="INFRUCTUEUX",$E611="ANNULE"),$A611&amp;"|"&amp;(COUNTIFS($A$2:$A611,$A611,$E$2:$E611,"INFRUCTUEUX")+COUNTIFS($A$2:$A611,$A611,$E$2:$E611,"ANNULE")),""))</f>
        <v/>
      </c>
    </row>
    <row r="612">
      <c r="A612">
        <f>IF(ISBLANK('ENGAGEMENTS 2026'!C612),"",IF('ENGAGEMENTS 2026'!C612="DTSI","DCT",'ENGAGEMENTS 2026'!C612))</f>
        <v/>
      </c>
      <c r="B612">
        <f>IF(ISBLANK('ENGAGEMENTS 2026'!C612),"",'ENGAGEMENTS 2026'!D612)</f>
        <v/>
      </c>
      <c r="C612">
        <f>IF(ISBLANK('ENGAGEMENTS 2026'!C612),"",'ENGAGEMENTS 2026'!E612)</f>
        <v/>
      </c>
      <c r="D612">
        <f>IF(ISBLANK('ENGAGEMENTS 2026'!C612),"",'ENGAGEMENTS 2026'!G612)</f>
        <v/>
      </c>
      <c r="E612">
        <f>IF(ISBLANK('ENGAGEMENTS 2026'!C612),"",'ENGAGEMENTS 2026'!I612)</f>
        <v/>
      </c>
      <c r="F612">
        <f>IF(ISBLANK('ENGAGEMENTS 2026'!C612),"",'ENGAGEMENTS 2026'!J612)</f>
        <v/>
      </c>
      <c r="G612">
        <f>IF(ISBLANK('ENGAGEMENTS 2026'!C612),"",'ENGAGEMENTS 2026'!M612)</f>
        <v/>
      </c>
      <c r="H612">
        <f>IF(ISBLANK('ENGAGEMENTS 2026'!C612),"",'ENGAGEMENTS 2026'!AF612)</f>
        <v/>
      </c>
      <c r="I612">
        <f>IF(ISBLANK('ENGAGEMENTS 2026'!C612),"",'ENGAGEMENTS 2026'!H612)</f>
        <v/>
      </c>
      <c r="J612" s="275">
        <f>IF(ISBLANK('ENGAGEMENTS 2026'!C612),"",IF(AND(OR($E612="INFRUCTUEUX",$E612="ANNULE"),$C612="AOO-M"),'ENGAGEMENTS 2026'!P612,IF($H612="EN COURS DE PREENGAGEMENT",'ENGAGEMENTS 2026'!O612,IF($H612="PREENGAGE",IF($E612="ATTRIBUE",'ENGAGEMENTS 2026'!AE612,'ENGAGEMENTS 2026'!O612),'ENGAGEMENTS 2026'!AE612))))</f>
        <v/>
      </c>
      <c r="K612" s="604">
        <f>IF(ISBLANK('ENGAGEMENTS 2026'!W612),"",'ENGAGEMENTS 2026'!W612)</f>
        <v/>
      </c>
      <c r="L612" s="276">
        <f>IF($K612="","",TODAY()-$K612)</f>
        <v/>
      </c>
      <c r="M612">
        <f>IF($A612="","",IF($H612="ENGAGE","Engagé",IF(AND($H612="NON ENGAGE",OR($I612="INFRUCTUEUX",$I612="ANNULE")),"Clôturé sans suite","En cours")))</f>
        <v/>
      </c>
      <c r="N612">
        <f>IF(ISBLANK('ENGAGEMENTS 2026'!C612),"",'ENGAGEMENTS 2026'!L612)</f>
        <v/>
      </c>
      <c r="O612">
        <f>IF(ISBLANK('ENGAGEMENTS 2026'!C612),"",'ENGAGEMENTS 2026'!M612)</f>
        <v/>
      </c>
      <c r="P612">
        <f>IF(ISBLANK('ENGAGEMENTS 2026'!C612),"",'ENGAGEMENTS 2026'!K612)</f>
        <v/>
      </c>
      <c r="Q612">
        <f>IF($A612="","",IF(OR($E612="INFRUCTUEUX",$E612="ANNULE"),$A612&amp;"|"&amp;(COUNTIFS($A$2:$A612,$A612,$E$2:$E612,"INFRUCTUEUX")+COUNTIFS($A$2:$A612,$A612,$E$2:$E612,"ANNULE")),""))</f>
        <v/>
      </c>
    </row>
    <row r="613">
      <c r="A613">
        <f>IF(ISBLANK('ENGAGEMENTS 2026'!C613),"",IF('ENGAGEMENTS 2026'!C613="DTSI","DCT",'ENGAGEMENTS 2026'!C613))</f>
        <v/>
      </c>
      <c r="B613">
        <f>IF(ISBLANK('ENGAGEMENTS 2026'!C613),"",'ENGAGEMENTS 2026'!D613)</f>
        <v/>
      </c>
      <c r="C613">
        <f>IF(ISBLANK('ENGAGEMENTS 2026'!C613),"",'ENGAGEMENTS 2026'!E613)</f>
        <v/>
      </c>
      <c r="D613">
        <f>IF(ISBLANK('ENGAGEMENTS 2026'!C613),"",'ENGAGEMENTS 2026'!G613)</f>
        <v/>
      </c>
      <c r="E613">
        <f>IF(ISBLANK('ENGAGEMENTS 2026'!C613),"",'ENGAGEMENTS 2026'!I613)</f>
        <v/>
      </c>
      <c r="F613">
        <f>IF(ISBLANK('ENGAGEMENTS 2026'!C613),"",'ENGAGEMENTS 2026'!J613)</f>
        <v/>
      </c>
      <c r="G613">
        <f>IF(ISBLANK('ENGAGEMENTS 2026'!C613),"",'ENGAGEMENTS 2026'!M613)</f>
        <v/>
      </c>
      <c r="H613">
        <f>IF(ISBLANK('ENGAGEMENTS 2026'!C613),"",'ENGAGEMENTS 2026'!AF613)</f>
        <v/>
      </c>
      <c r="I613">
        <f>IF(ISBLANK('ENGAGEMENTS 2026'!C613),"",'ENGAGEMENTS 2026'!H613)</f>
        <v/>
      </c>
      <c r="J613" s="275">
        <f>IF(ISBLANK('ENGAGEMENTS 2026'!C613),"",IF(AND(OR($E613="INFRUCTUEUX",$E613="ANNULE"),$C613="AOO-M"),'ENGAGEMENTS 2026'!P613,IF($H613="EN COURS DE PREENGAGEMENT",'ENGAGEMENTS 2026'!O613,IF($H613="PREENGAGE",IF($E613="ATTRIBUE",'ENGAGEMENTS 2026'!AE613,'ENGAGEMENTS 2026'!O613),'ENGAGEMENTS 2026'!AE613))))</f>
        <v/>
      </c>
      <c r="K613" s="604">
        <f>IF(ISBLANK('ENGAGEMENTS 2026'!W613),"",'ENGAGEMENTS 2026'!W613)</f>
        <v/>
      </c>
      <c r="L613" s="276">
        <f>IF($K613="","",TODAY()-$K613)</f>
        <v/>
      </c>
      <c r="M613">
        <f>IF($A613="","",IF($H613="ENGAGE","Engagé",IF(AND($H613="NON ENGAGE",OR($I613="INFRUCTUEUX",$I613="ANNULE")),"Clôturé sans suite","En cours")))</f>
        <v/>
      </c>
      <c r="N613">
        <f>IF(ISBLANK('ENGAGEMENTS 2026'!C613),"",'ENGAGEMENTS 2026'!L613)</f>
        <v/>
      </c>
      <c r="O613">
        <f>IF(ISBLANK('ENGAGEMENTS 2026'!C613),"",'ENGAGEMENTS 2026'!M613)</f>
        <v/>
      </c>
      <c r="P613">
        <f>IF(ISBLANK('ENGAGEMENTS 2026'!C613),"",'ENGAGEMENTS 2026'!K613)</f>
        <v/>
      </c>
      <c r="Q613">
        <f>IF($A613="","",IF(OR($E613="INFRUCTUEUX",$E613="ANNULE"),$A613&amp;"|"&amp;(COUNTIFS($A$2:$A613,$A613,$E$2:$E613,"INFRUCTUEUX")+COUNTIFS($A$2:$A613,$A613,$E$2:$E613,"ANNULE")),""))</f>
        <v/>
      </c>
    </row>
    <row r="614">
      <c r="A614">
        <f>IF(ISBLANK('ENGAGEMENTS 2026'!C614),"",IF('ENGAGEMENTS 2026'!C614="DTSI","DCT",'ENGAGEMENTS 2026'!C614))</f>
        <v/>
      </c>
      <c r="B614">
        <f>IF(ISBLANK('ENGAGEMENTS 2026'!C614),"",'ENGAGEMENTS 2026'!D614)</f>
        <v/>
      </c>
      <c r="C614">
        <f>IF(ISBLANK('ENGAGEMENTS 2026'!C614),"",'ENGAGEMENTS 2026'!E614)</f>
        <v/>
      </c>
      <c r="D614">
        <f>IF(ISBLANK('ENGAGEMENTS 2026'!C614),"",'ENGAGEMENTS 2026'!G614)</f>
        <v/>
      </c>
      <c r="E614">
        <f>IF(ISBLANK('ENGAGEMENTS 2026'!C614),"",'ENGAGEMENTS 2026'!I614)</f>
        <v/>
      </c>
      <c r="F614">
        <f>IF(ISBLANK('ENGAGEMENTS 2026'!C614),"",'ENGAGEMENTS 2026'!J614)</f>
        <v/>
      </c>
      <c r="G614">
        <f>IF(ISBLANK('ENGAGEMENTS 2026'!C614),"",'ENGAGEMENTS 2026'!M614)</f>
        <v/>
      </c>
      <c r="H614">
        <f>IF(ISBLANK('ENGAGEMENTS 2026'!C614),"",'ENGAGEMENTS 2026'!AF614)</f>
        <v/>
      </c>
      <c r="I614">
        <f>IF(ISBLANK('ENGAGEMENTS 2026'!C614),"",'ENGAGEMENTS 2026'!H614)</f>
        <v/>
      </c>
      <c r="J614" s="275">
        <f>IF(ISBLANK('ENGAGEMENTS 2026'!C614),"",IF(AND(OR($E614="INFRUCTUEUX",$E614="ANNULE"),$C614="AOO-M"),'ENGAGEMENTS 2026'!P614,IF($H614="EN COURS DE PREENGAGEMENT",'ENGAGEMENTS 2026'!O614,IF($H614="PREENGAGE",IF($E614="ATTRIBUE",'ENGAGEMENTS 2026'!AE614,'ENGAGEMENTS 2026'!O614),'ENGAGEMENTS 2026'!AE614))))</f>
        <v/>
      </c>
      <c r="K614" s="604">
        <f>IF(ISBLANK('ENGAGEMENTS 2026'!W614),"",'ENGAGEMENTS 2026'!W614)</f>
        <v/>
      </c>
      <c r="L614" s="276">
        <f>IF($K614="","",TODAY()-$K614)</f>
        <v/>
      </c>
      <c r="M614">
        <f>IF($A614="","",IF($H614="ENGAGE","Engagé",IF(AND($H614="NON ENGAGE",OR($I614="INFRUCTUEUX",$I614="ANNULE")),"Clôturé sans suite","En cours")))</f>
        <v/>
      </c>
      <c r="N614">
        <f>IF(ISBLANK('ENGAGEMENTS 2026'!C614),"",'ENGAGEMENTS 2026'!L614)</f>
        <v/>
      </c>
      <c r="O614">
        <f>IF(ISBLANK('ENGAGEMENTS 2026'!C614),"",'ENGAGEMENTS 2026'!M614)</f>
        <v/>
      </c>
      <c r="P614">
        <f>IF(ISBLANK('ENGAGEMENTS 2026'!C614),"",'ENGAGEMENTS 2026'!K614)</f>
        <v/>
      </c>
      <c r="Q614">
        <f>IF($A614="","",IF(OR($E614="INFRUCTUEUX",$E614="ANNULE"),$A614&amp;"|"&amp;(COUNTIFS($A$2:$A614,$A614,$E$2:$E614,"INFRUCTUEUX")+COUNTIFS($A$2:$A614,$A614,$E$2:$E614,"ANNULE")),""))</f>
        <v/>
      </c>
    </row>
    <row r="615">
      <c r="A615">
        <f>IF(ISBLANK('ENGAGEMENTS 2026'!C615),"",IF('ENGAGEMENTS 2026'!C615="DTSI","DCT",'ENGAGEMENTS 2026'!C615))</f>
        <v/>
      </c>
      <c r="B615">
        <f>IF(ISBLANK('ENGAGEMENTS 2026'!C615),"",'ENGAGEMENTS 2026'!D615)</f>
        <v/>
      </c>
      <c r="C615">
        <f>IF(ISBLANK('ENGAGEMENTS 2026'!C615),"",'ENGAGEMENTS 2026'!E615)</f>
        <v/>
      </c>
      <c r="D615">
        <f>IF(ISBLANK('ENGAGEMENTS 2026'!C615),"",'ENGAGEMENTS 2026'!G615)</f>
        <v/>
      </c>
      <c r="E615">
        <f>IF(ISBLANK('ENGAGEMENTS 2026'!C615),"",'ENGAGEMENTS 2026'!I615)</f>
        <v/>
      </c>
      <c r="F615">
        <f>IF(ISBLANK('ENGAGEMENTS 2026'!C615),"",'ENGAGEMENTS 2026'!J615)</f>
        <v/>
      </c>
      <c r="G615">
        <f>IF(ISBLANK('ENGAGEMENTS 2026'!C615),"",'ENGAGEMENTS 2026'!M615)</f>
        <v/>
      </c>
      <c r="H615">
        <f>IF(ISBLANK('ENGAGEMENTS 2026'!C615),"",'ENGAGEMENTS 2026'!AF615)</f>
        <v/>
      </c>
      <c r="I615">
        <f>IF(ISBLANK('ENGAGEMENTS 2026'!C615),"",'ENGAGEMENTS 2026'!H615)</f>
        <v/>
      </c>
      <c r="J615" s="275">
        <f>IF(ISBLANK('ENGAGEMENTS 2026'!C615),"",IF(AND(OR($E615="INFRUCTUEUX",$E615="ANNULE"),$C615="AOO-M"),'ENGAGEMENTS 2026'!P615,IF($H615="EN COURS DE PREENGAGEMENT",'ENGAGEMENTS 2026'!O615,IF($H615="PREENGAGE",IF($E615="ATTRIBUE",'ENGAGEMENTS 2026'!AE615,'ENGAGEMENTS 2026'!O615),'ENGAGEMENTS 2026'!AE615))))</f>
        <v/>
      </c>
      <c r="K615" s="604">
        <f>IF(ISBLANK('ENGAGEMENTS 2026'!W615),"",'ENGAGEMENTS 2026'!W615)</f>
        <v/>
      </c>
      <c r="L615" s="276">
        <f>IF($K615="","",TODAY()-$K615)</f>
        <v/>
      </c>
      <c r="M615">
        <f>IF($A615="","",IF($H615="ENGAGE","Engagé",IF(AND($H615="NON ENGAGE",OR($I615="INFRUCTUEUX",$I615="ANNULE")),"Clôturé sans suite","En cours")))</f>
        <v/>
      </c>
      <c r="N615">
        <f>IF(ISBLANK('ENGAGEMENTS 2026'!C615),"",'ENGAGEMENTS 2026'!L615)</f>
        <v/>
      </c>
      <c r="O615">
        <f>IF(ISBLANK('ENGAGEMENTS 2026'!C615),"",'ENGAGEMENTS 2026'!M615)</f>
        <v/>
      </c>
      <c r="P615">
        <f>IF(ISBLANK('ENGAGEMENTS 2026'!C615),"",'ENGAGEMENTS 2026'!K615)</f>
        <v/>
      </c>
      <c r="Q615">
        <f>IF($A615="","",IF(OR($E615="INFRUCTUEUX",$E615="ANNULE"),$A615&amp;"|"&amp;(COUNTIFS($A$2:$A615,$A615,$E$2:$E615,"INFRUCTUEUX")+COUNTIFS($A$2:$A615,$A615,$E$2:$E615,"ANNULE")),""))</f>
        <v/>
      </c>
    </row>
    <row r="616">
      <c r="A616">
        <f>IF(ISBLANK('ENGAGEMENTS 2026'!C616),"",IF('ENGAGEMENTS 2026'!C616="DTSI","DCT",'ENGAGEMENTS 2026'!C616))</f>
        <v/>
      </c>
      <c r="B616">
        <f>IF(ISBLANK('ENGAGEMENTS 2026'!C616),"",'ENGAGEMENTS 2026'!D616)</f>
        <v/>
      </c>
      <c r="C616">
        <f>IF(ISBLANK('ENGAGEMENTS 2026'!C616),"",'ENGAGEMENTS 2026'!E616)</f>
        <v/>
      </c>
      <c r="D616">
        <f>IF(ISBLANK('ENGAGEMENTS 2026'!C616),"",'ENGAGEMENTS 2026'!G616)</f>
        <v/>
      </c>
      <c r="E616">
        <f>IF(ISBLANK('ENGAGEMENTS 2026'!C616),"",'ENGAGEMENTS 2026'!I616)</f>
        <v/>
      </c>
      <c r="F616">
        <f>IF(ISBLANK('ENGAGEMENTS 2026'!C616),"",'ENGAGEMENTS 2026'!J616)</f>
        <v/>
      </c>
      <c r="G616">
        <f>IF(ISBLANK('ENGAGEMENTS 2026'!C616),"",'ENGAGEMENTS 2026'!M616)</f>
        <v/>
      </c>
      <c r="H616">
        <f>IF(ISBLANK('ENGAGEMENTS 2026'!C616),"",'ENGAGEMENTS 2026'!AF616)</f>
        <v/>
      </c>
      <c r="I616">
        <f>IF(ISBLANK('ENGAGEMENTS 2026'!C616),"",'ENGAGEMENTS 2026'!H616)</f>
        <v/>
      </c>
      <c r="J616" s="275">
        <f>IF(ISBLANK('ENGAGEMENTS 2026'!C616),"",IF(AND(OR($E616="INFRUCTUEUX",$E616="ANNULE"),$C616="AOO-M"),'ENGAGEMENTS 2026'!P616,IF($H616="EN COURS DE PREENGAGEMENT",'ENGAGEMENTS 2026'!O616,IF($H616="PREENGAGE",IF($E616="ATTRIBUE",'ENGAGEMENTS 2026'!AE616,'ENGAGEMENTS 2026'!O616),'ENGAGEMENTS 2026'!AE616))))</f>
        <v/>
      </c>
      <c r="K616" s="604">
        <f>IF(ISBLANK('ENGAGEMENTS 2026'!W616),"",'ENGAGEMENTS 2026'!W616)</f>
        <v/>
      </c>
      <c r="L616" s="276">
        <f>IF($K616="","",TODAY()-$K616)</f>
        <v/>
      </c>
      <c r="M616">
        <f>IF($A616="","",IF($H616="ENGAGE","Engagé",IF(AND($H616="NON ENGAGE",OR($I616="INFRUCTUEUX",$I616="ANNULE")),"Clôturé sans suite","En cours")))</f>
        <v/>
      </c>
      <c r="N616">
        <f>IF(ISBLANK('ENGAGEMENTS 2026'!C616),"",'ENGAGEMENTS 2026'!L616)</f>
        <v/>
      </c>
      <c r="O616">
        <f>IF(ISBLANK('ENGAGEMENTS 2026'!C616),"",'ENGAGEMENTS 2026'!M616)</f>
        <v/>
      </c>
      <c r="P616">
        <f>IF(ISBLANK('ENGAGEMENTS 2026'!C616),"",'ENGAGEMENTS 2026'!K616)</f>
        <v/>
      </c>
      <c r="Q616">
        <f>IF($A616="","",IF(OR($E616="INFRUCTUEUX",$E616="ANNULE"),$A616&amp;"|"&amp;(COUNTIFS($A$2:$A616,$A616,$E$2:$E616,"INFRUCTUEUX")+COUNTIFS($A$2:$A616,$A616,$E$2:$E616,"ANNULE")),""))</f>
        <v/>
      </c>
    </row>
    <row r="617">
      <c r="A617">
        <f>IF(ISBLANK('ENGAGEMENTS 2026'!C617),"",IF('ENGAGEMENTS 2026'!C617="DTSI","DCT",'ENGAGEMENTS 2026'!C617))</f>
        <v/>
      </c>
      <c r="B617">
        <f>IF(ISBLANK('ENGAGEMENTS 2026'!C617),"",'ENGAGEMENTS 2026'!D617)</f>
        <v/>
      </c>
      <c r="C617">
        <f>IF(ISBLANK('ENGAGEMENTS 2026'!C617),"",'ENGAGEMENTS 2026'!E617)</f>
        <v/>
      </c>
      <c r="D617">
        <f>IF(ISBLANK('ENGAGEMENTS 2026'!C617),"",'ENGAGEMENTS 2026'!G617)</f>
        <v/>
      </c>
      <c r="E617">
        <f>IF(ISBLANK('ENGAGEMENTS 2026'!C617),"",'ENGAGEMENTS 2026'!I617)</f>
        <v/>
      </c>
      <c r="F617">
        <f>IF(ISBLANK('ENGAGEMENTS 2026'!C617),"",'ENGAGEMENTS 2026'!J617)</f>
        <v/>
      </c>
      <c r="G617">
        <f>IF(ISBLANK('ENGAGEMENTS 2026'!C617),"",'ENGAGEMENTS 2026'!M617)</f>
        <v/>
      </c>
      <c r="H617">
        <f>IF(ISBLANK('ENGAGEMENTS 2026'!C617),"",'ENGAGEMENTS 2026'!AF617)</f>
        <v/>
      </c>
      <c r="I617">
        <f>IF(ISBLANK('ENGAGEMENTS 2026'!C617),"",'ENGAGEMENTS 2026'!H617)</f>
        <v/>
      </c>
      <c r="J617" s="275">
        <f>IF(ISBLANK('ENGAGEMENTS 2026'!C617),"",IF(AND(OR($E617="INFRUCTUEUX",$E617="ANNULE"),$C617="AOO-M"),'ENGAGEMENTS 2026'!P617,IF($H617="EN COURS DE PREENGAGEMENT",'ENGAGEMENTS 2026'!O617,IF($H617="PREENGAGE",IF($E617="ATTRIBUE",'ENGAGEMENTS 2026'!AE617,'ENGAGEMENTS 2026'!O617),'ENGAGEMENTS 2026'!AE617))))</f>
        <v/>
      </c>
      <c r="K617" s="604">
        <f>IF(ISBLANK('ENGAGEMENTS 2026'!W617),"",'ENGAGEMENTS 2026'!W617)</f>
        <v/>
      </c>
      <c r="L617" s="276">
        <f>IF($K617="","",TODAY()-$K617)</f>
        <v/>
      </c>
      <c r="M617">
        <f>IF($A617="","",IF($H617="ENGAGE","Engagé",IF(AND($H617="NON ENGAGE",OR($I617="INFRUCTUEUX",$I617="ANNULE")),"Clôturé sans suite","En cours")))</f>
        <v/>
      </c>
      <c r="N617">
        <f>IF(ISBLANK('ENGAGEMENTS 2026'!C617),"",'ENGAGEMENTS 2026'!L617)</f>
        <v/>
      </c>
      <c r="O617">
        <f>IF(ISBLANK('ENGAGEMENTS 2026'!C617),"",'ENGAGEMENTS 2026'!M617)</f>
        <v/>
      </c>
      <c r="P617">
        <f>IF(ISBLANK('ENGAGEMENTS 2026'!C617),"",'ENGAGEMENTS 2026'!K617)</f>
        <v/>
      </c>
      <c r="Q617">
        <f>IF($A617="","",IF(OR($E617="INFRUCTUEUX",$E617="ANNULE"),$A617&amp;"|"&amp;(COUNTIFS($A$2:$A617,$A617,$E$2:$E617,"INFRUCTUEUX")+COUNTIFS($A$2:$A617,$A617,$E$2:$E617,"ANNULE")),""))</f>
        <v/>
      </c>
    </row>
    <row r="618">
      <c r="A618">
        <f>IF(ISBLANK('ENGAGEMENTS 2026'!C618),"",IF('ENGAGEMENTS 2026'!C618="DTSI","DCT",'ENGAGEMENTS 2026'!C618))</f>
        <v/>
      </c>
      <c r="B618">
        <f>IF(ISBLANK('ENGAGEMENTS 2026'!C618),"",'ENGAGEMENTS 2026'!D618)</f>
        <v/>
      </c>
      <c r="C618">
        <f>IF(ISBLANK('ENGAGEMENTS 2026'!C618),"",'ENGAGEMENTS 2026'!E618)</f>
        <v/>
      </c>
      <c r="D618">
        <f>IF(ISBLANK('ENGAGEMENTS 2026'!C618),"",'ENGAGEMENTS 2026'!G618)</f>
        <v/>
      </c>
      <c r="E618">
        <f>IF(ISBLANK('ENGAGEMENTS 2026'!C618),"",'ENGAGEMENTS 2026'!I618)</f>
        <v/>
      </c>
      <c r="F618">
        <f>IF(ISBLANK('ENGAGEMENTS 2026'!C618),"",'ENGAGEMENTS 2026'!J618)</f>
        <v/>
      </c>
      <c r="G618">
        <f>IF(ISBLANK('ENGAGEMENTS 2026'!C618),"",'ENGAGEMENTS 2026'!M618)</f>
        <v/>
      </c>
      <c r="H618">
        <f>IF(ISBLANK('ENGAGEMENTS 2026'!C618),"",'ENGAGEMENTS 2026'!AF618)</f>
        <v/>
      </c>
      <c r="I618">
        <f>IF(ISBLANK('ENGAGEMENTS 2026'!C618),"",'ENGAGEMENTS 2026'!H618)</f>
        <v/>
      </c>
      <c r="J618" s="275">
        <f>IF(ISBLANK('ENGAGEMENTS 2026'!C618),"",IF(AND(OR($E618="INFRUCTUEUX",$E618="ANNULE"),$C618="AOO-M"),'ENGAGEMENTS 2026'!P618,IF($H618="EN COURS DE PREENGAGEMENT",'ENGAGEMENTS 2026'!O618,IF($H618="PREENGAGE",IF($E618="ATTRIBUE",'ENGAGEMENTS 2026'!AE618,'ENGAGEMENTS 2026'!O618),'ENGAGEMENTS 2026'!AE618))))</f>
        <v/>
      </c>
      <c r="K618" s="604">
        <f>IF(ISBLANK('ENGAGEMENTS 2026'!W618),"",'ENGAGEMENTS 2026'!W618)</f>
        <v/>
      </c>
      <c r="L618" s="276">
        <f>IF($K618="","",TODAY()-$K618)</f>
        <v/>
      </c>
      <c r="M618">
        <f>IF($A618="","",IF($H618="ENGAGE","Engagé",IF(AND($H618="NON ENGAGE",OR($I618="INFRUCTUEUX",$I618="ANNULE")),"Clôturé sans suite","En cours")))</f>
        <v/>
      </c>
      <c r="N618">
        <f>IF(ISBLANK('ENGAGEMENTS 2026'!C618),"",'ENGAGEMENTS 2026'!L618)</f>
        <v/>
      </c>
      <c r="O618">
        <f>IF(ISBLANK('ENGAGEMENTS 2026'!C618),"",'ENGAGEMENTS 2026'!M618)</f>
        <v/>
      </c>
      <c r="P618">
        <f>IF(ISBLANK('ENGAGEMENTS 2026'!C618),"",'ENGAGEMENTS 2026'!K618)</f>
        <v/>
      </c>
      <c r="Q618">
        <f>IF($A618="","",IF(OR($E618="INFRUCTUEUX",$E618="ANNULE"),$A618&amp;"|"&amp;(COUNTIFS($A$2:$A618,$A618,$E$2:$E618,"INFRUCTUEUX")+COUNTIFS($A$2:$A618,$A618,$E$2:$E618,"ANNULE")),""))</f>
        <v/>
      </c>
    </row>
    <row r="619">
      <c r="A619">
        <f>IF(ISBLANK('ENGAGEMENTS 2026'!C619),"",IF('ENGAGEMENTS 2026'!C619="DTSI","DCT",'ENGAGEMENTS 2026'!C619))</f>
        <v/>
      </c>
      <c r="B619">
        <f>IF(ISBLANK('ENGAGEMENTS 2026'!C619),"",'ENGAGEMENTS 2026'!D619)</f>
        <v/>
      </c>
      <c r="C619">
        <f>IF(ISBLANK('ENGAGEMENTS 2026'!C619),"",'ENGAGEMENTS 2026'!E619)</f>
        <v/>
      </c>
      <c r="D619">
        <f>IF(ISBLANK('ENGAGEMENTS 2026'!C619),"",'ENGAGEMENTS 2026'!G619)</f>
        <v/>
      </c>
      <c r="E619">
        <f>IF(ISBLANK('ENGAGEMENTS 2026'!C619),"",'ENGAGEMENTS 2026'!I619)</f>
        <v/>
      </c>
      <c r="F619">
        <f>IF(ISBLANK('ENGAGEMENTS 2026'!C619),"",'ENGAGEMENTS 2026'!J619)</f>
        <v/>
      </c>
      <c r="G619">
        <f>IF(ISBLANK('ENGAGEMENTS 2026'!C619),"",'ENGAGEMENTS 2026'!M619)</f>
        <v/>
      </c>
      <c r="H619">
        <f>IF(ISBLANK('ENGAGEMENTS 2026'!C619),"",'ENGAGEMENTS 2026'!AF619)</f>
        <v/>
      </c>
      <c r="I619">
        <f>IF(ISBLANK('ENGAGEMENTS 2026'!C619),"",'ENGAGEMENTS 2026'!H619)</f>
        <v/>
      </c>
      <c r="J619" s="275">
        <f>IF(ISBLANK('ENGAGEMENTS 2026'!C619),"",IF(AND(OR($E619="INFRUCTUEUX",$E619="ANNULE"),$C619="AOO-M"),'ENGAGEMENTS 2026'!P619,IF($H619="EN COURS DE PREENGAGEMENT",'ENGAGEMENTS 2026'!O619,IF($H619="PREENGAGE",IF($E619="ATTRIBUE",'ENGAGEMENTS 2026'!AE619,'ENGAGEMENTS 2026'!O619),'ENGAGEMENTS 2026'!AE619))))</f>
        <v/>
      </c>
      <c r="K619" s="604">
        <f>IF(ISBLANK('ENGAGEMENTS 2026'!W619),"",'ENGAGEMENTS 2026'!W619)</f>
        <v/>
      </c>
      <c r="L619" s="276">
        <f>IF($K619="","",TODAY()-$K619)</f>
        <v/>
      </c>
      <c r="M619">
        <f>IF($A619="","",IF($H619="ENGAGE","Engagé",IF(AND($H619="NON ENGAGE",OR($I619="INFRUCTUEUX",$I619="ANNULE")),"Clôturé sans suite","En cours")))</f>
        <v/>
      </c>
      <c r="N619">
        <f>IF(ISBLANK('ENGAGEMENTS 2026'!C619),"",'ENGAGEMENTS 2026'!L619)</f>
        <v/>
      </c>
      <c r="O619">
        <f>IF(ISBLANK('ENGAGEMENTS 2026'!C619),"",'ENGAGEMENTS 2026'!M619)</f>
        <v/>
      </c>
      <c r="P619">
        <f>IF(ISBLANK('ENGAGEMENTS 2026'!C619),"",'ENGAGEMENTS 2026'!K619)</f>
        <v/>
      </c>
      <c r="Q619">
        <f>IF($A619="","",IF(OR($E619="INFRUCTUEUX",$E619="ANNULE"),$A619&amp;"|"&amp;(COUNTIFS($A$2:$A619,$A619,$E$2:$E619,"INFRUCTUEUX")+COUNTIFS($A$2:$A619,$A619,$E$2:$E619,"ANNULE")),""))</f>
        <v/>
      </c>
    </row>
    <row r="620">
      <c r="A620">
        <f>IF(ISBLANK('ENGAGEMENTS 2026'!C620),"",IF('ENGAGEMENTS 2026'!C620="DTSI","DCT",'ENGAGEMENTS 2026'!C620))</f>
        <v/>
      </c>
      <c r="B620">
        <f>IF(ISBLANK('ENGAGEMENTS 2026'!C620),"",'ENGAGEMENTS 2026'!D620)</f>
        <v/>
      </c>
      <c r="C620">
        <f>IF(ISBLANK('ENGAGEMENTS 2026'!C620),"",'ENGAGEMENTS 2026'!E620)</f>
        <v/>
      </c>
      <c r="D620">
        <f>IF(ISBLANK('ENGAGEMENTS 2026'!C620),"",'ENGAGEMENTS 2026'!G620)</f>
        <v/>
      </c>
      <c r="E620">
        <f>IF(ISBLANK('ENGAGEMENTS 2026'!C620),"",'ENGAGEMENTS 2026'!I620)</f>
        <v/>
      </c>
      <c r="F620">
        <f>IF(ISBLANK('ENGAGEMENTS 2026'!C620),"",'ENGAGEMENTS 2026'!J620)</f>
        <v/>
      </c>
      <c r="G620">
        <f>IF(ISBLANK('ENGAGEMENTS 2026'!C620),"",'ENGAGEMENTS 2026'!M620)</f>
        <v/>
      </c>
      <c r="H620">
        <f>IF(ISBLANK('ENGAGEMENTS 2026'!C620),"",'ENGAGEMENTS 2026'!AF620)</f>
        <v/>
      </c>
      <c r="I620">
        <f>IF(ISBLANK('ENGAGEMENTS 2026'!C620),"",'ENGAGEMENTS 2026'!H620)</f>
        <v/>
      </c>
      <c r="J620" s="275">
        <f>IF(ISBLANK('ENGAGEMENTS 2026'!C620),"",IF(AND(OR($E620="INFRUCTUEUX",$E620="ANNULE"),$C620="AOO-M"),'ENGAGEMENTS 2026'!P620,IF($H620="EN COURS DE PREENGAGEMENT",'ENGAGEMENTS 2026'!O620,IF($H620="PREENGAGE",IF($E620="ATTRIBUE",'ENGAGEMENTS 2026'!AE620,'ENGAGEMENTS 2026'!O620),'ENGAGEMENTS 2026'!AE620))))</f>
        <v/>
      </c>
      <c r="K620" s="604">
        <f>IF(ISBLANK('ENGAGEMENTS 2026'!W620),"",'ENGAGEMENTS 2026'!W620)</f>
        <v/>
      </c>
      <c r="L620" s="276">
        <f>IF($K620="","",TODAY()-$K620)</f>
        <v/>
      </c>
      <c r="M620">
        <f>IF($A620="","",IF($H620="ENGAGE","Engagé",IF(AND($H620="NON ENGAGE",OR($I620="INFRUCTUEUX",$I620="ANNULE")),"Clôturé sans suite","En cours")))</f>
        <v/>
      </c>
      <c r="N620">
        <f>IF(ISBLANK('ENGAGEMENTS 2026'!C620),"",'ENGAGEMENTS 2026'!L620)</f>
        <v/>
      </c>
      <c r="O620">
        <f>IF(ISBLANK('ENGAGEMENTS 2026'!C620),"",'ENGAGEMENTS 2026'!M620)</f>
        <v/>
      </c>
      <c r="P620">
        <f>IF(ISBLANK('ENGAGEMENTS 2026'!C620),"",'ENGAGEMENTS 2026'!K620)</f>
        <v/>
      </c>
      <c r="Q620">
        <f>IF($A620="","",IF(OR($E620="INFRUCTUEUX",$E620="ANNULE"),$A620&amp;"|"&amp;(COUNTIFS($A$2:$A620,$A620,$E$2:$E620,"INFRUCTUEUX")+COUNTIFS($A$2:$A620,$A620,$E$2:$E620,"ANNULE")),""))</f>
        <v/>
      </c>
    </row>
    <row r="621">
      <c r="A621">
        <f>IF(ISBLANK('ENGAGEMENTS 2026'!C621),"",IF('ENGAGEMENTS 2026'!C621="DTSI","DCT",'ENGAGEMENTS 2026'!C621))</f>
        <v/>
      </c>
      <c r="B621">
        <f>IF(ISBLANK('ENGAGEMENTS 2026'!C621),"",'ENGAGEMENTS 2026'!D621)</f>
        <v/>
      </c>
      <c r="C621">
        <f>IF(ISBLANK('ENGAGEMENTS 2026'!C621),"",'ENGAGEMENTS 2026'!E621)</f>
        <v/>
      </c>
      <c r="D621">
        <f>IF(ISBLANK('ENGAGEMENTS 2026'!C621),"",'ENGAGEMENTS 2026'!G621)</f>
        <v/>
      </c>
      <c r="E621">
        <f>IF(ISBLANK('ENGAGEMENTS 2026'!C621),"",'ENGAGEMENTS 2026'!I621)</f>
        <v/>
      </c>
      <c r="F621">
        <f>IF(ISBLANK('ENGAGEMENTS 2026'!C621),"",'ENGAGEMENTS 2026'!J621)</f>
        <v/>
      </c>
      <c r="G621">
        <f>IF(ISBLANK('ENGAGEMENTS 2026'!C621),"",'ENGAGEMENTS 2026'!M621)</f>
        <v/>
      </c>
      <c r="H621">
        <f>IF(ISBLANK('ENGAGEMENTS 2026'!C621),"",'ENGAGEMENTS 2026'!AF621)</f>
        <v/>
      </c>
      <c r="I621">
        <f>IF(ISBLANK('ENGAGEMENTS 2026'!C621),"",'ENGAGEMENTS 2026'!H621)</f>
        <v/>
      </c>
      <c r="J621" s="275">
        <f>IF(ISBLANK('ENGAGEMENTS 2026'!C621),"",IF(AND(OR($E621="INFRUCTUEUX",$E621="ANNULE"),$C621="AOO-M"),'ENGAGEMENTS 2026'!P621,IF($H621="EN COURS DE PREENGAGEMENT",'ENGAGEMENTS 2026'!O621,IF($H621="PREENGAGE",IF($E621="ATTRIBUE",'ENGAGEMENTS 2026'!AE621,'ENGAGEMENTS 2026'!O621),'ENGAGEMENTS 2026'!AE621))))</f>
        <v/>
      </c>
      <c r="K621" s="604">
        <f>IF(ISBLANK('ENGAGEMENTS 2026'!W621),"",'ENGAGEMENTS 2026'!W621)</f>
        <v/>
      </c>
      <c r="L621" s="276">
        <f>IF($K621="","",TODAY()-$K621)</f>
        <v/>
      </c>
      <c r="M621">
        <f>IF($A621="","",IF($H621="ENGAGE","Engagé",IF(AND($H621="NON ENGAGE",OR($I621="INFRUCTUEUX",$I621="ANNULE")),"Clôturé sans suite","En cours")))</f>
        <v/>
      </c>
      <c r="N621">
        <f>IF(ISBLANK('ENGAGEMENTS 2026'!C621),"",'ENGAGEMENTS 2026'!L621)</f>
        <v/>
      </c>
      <c r="O621">
        <f>IF(ISBLANK('ENGAGEMENTS 2026'!C621),"",'ENGAGEMENTS 2026'!M621)</f>
        <v/>
      </c>
      <c r="P621">
        <f>IF(ISBLANK('ENGAGEMENTS 2026'!C621),"",'ENGAGEMENTS 2026'!K621)</f>
        <v/>
      </c>
      <c r="Q621">
        <f>IF($A621="","",IF(OR($E621="INFRUCTUEUX",$E621="ANNULE"),$A621&amp;"|"&amp;(COUNTIFS($A$2:$A621,$A621,$E$2:$E621,"INFRUCTUEUX")+COUNTIFS($A$2:$A621,$A621,$E$2:$E621,"ANNULE")),""))</f>
        <v/>
      </c>
    </row>
    <row r="622">
      <c r="A622">
        <f>IF(ISBLANK('ENGAGEMENTS 2026'!C622),"",IF('ENGAGEMENTS 2026'!C622="DTSI","DCT",'ENGAGEMENTS 2026'!C622))</f>
        <v/>
      </c>
      <c r="B622">
        <f>IF(ISBLANK('ENGAGEMENTS 2026'!C622),"",'ENGAGEMENTS 2026'!D622)</f>
        <v/>
      </c>
      <c r="C622">
        <f>IF(ISBLANK('ENGAGEMENTS 2026'!C622),"",'ENGAGEMENTS 2026'!E622)</f>
        <v/>
      </c>
      <c r="D622">
        <f>IF(ISBLANK('ENGAGEMENTS 2026'!C622),"",'ENGAGEMENTS 2026'!G622)</f>
        <v/>
      </c>
      <c r="E622">
        <f>IF(ISBLANK('ENGAGEMENTS 2026'!C622),"",'ENGAGEMENTS 2026'!I622)</f>
        <v/>
      </c>
      <c r="F622">
        <f>IF(ISBLANK('ENGAGEMENTS 2026'!C622),"",'ENGAGEMENTS 2026'!J622)</f>
        <v/>
      </c>
      <c r="G622">
        <f>IF(ISBLANK('ENGAGEMENTS 2026'!C622),"",'ENGAGEMENTS 2026'!M622)</f>
        <v/>
      </c>
      <c r="H622">
        <f>IF(ISBLANK('ENGAGEMENTS 2026'!C622),"",'ENGAGEMENTS 2026'!AF622)</f>
        <v/>
      </c>
      <c r="I622">
        <f>IF(ISBLANK('ENGAGEMENTS 2026'!C622),"",'ENGAGEMENTS 2026'!H622)</f>
        <v/>
      </c>
      <c r="J622" s="275">
        <f>IF(ISBLANK('ENGAGEMENTS 2026'!C622),"",IF(AND(OR($E622="INFRUCTUEUX",$E622="ANNULE"),$C622="AOO-M"),'ENGAGEMENTS 2026'!P622,IF($H622="EN COURS DE PREENGAGEMENT",'ENGAGEMENTS 2026'!O622,IF($H622="PREENGAGE",IF($E622="ATTRIBUE",'ENGAGEMENTS 2026'!AE622,'ENGAGEMENTS 2026'!O622),'ENGAGEMENTS 2026'!AE622))))</f>
        <v/>
      </c>
      <c r="K622" s="604">
        <f>IF(ISBLANK('ENGAGEMENTS 2026'!W622),"",'ENGAGEMENTS 2026'!W622)</f>
        <v/>
      </c>
      <c r="L622" s="276">
        <f>IF($K622="","",TODAY()-$K622)</f>
        <v/>
      </c>
      <c r="M622">
        <f>IF($A622="","",IF($H622="ENGAGE","Engagé",IF(AND($H622="NON ENGAGE",OR($I622="INFRUCTUEUX",$I622="ANNULE")),"Clôturé sans suite","En cours")))</f>
        <v/>
      </c>
      <c r="N622">
        <f>IF(ISBLANK('ENGAGEMENTS 2026'!C622),"",'ENGAGEMENTS 2026'!L622)</f>
        <v/>
      </c>
      <c r="O622">
        <f>IF(ISBLANK('ENGAGEMENTS 2026'!C622),"",'ENGAGEMENTS 2026'!M622)</f>
        <v/>
      </c>
      <c r="P622">
        <f>IF(ISBLANK('ENGAGEMENTS 2026'!C622),"",'ENGAGEMENTS 2026'!K622)</f>
        <v/>
      </c>
      <c r="Q622">
        <f>IF($A622="","",IF(OR($E622="INFRUCTUEUX",$E622="ANNULE"),$A622&amp;"|"&amp;(COUNTIFS($A$2:$A622,$A622,$E$2:$E622,"INFRUCTUEUX")+COUNTIFS($A$2:$A622,$A622,$E$2:$E622,"ANNULE")),""))</f>
        <v/>
      </c>
    </row>
    <row r="623">
      <c r="A623">
        <f>IF(ISBLANK('ENGAGEMENTS 2026'!C623),"",IF('ENGAGEMENTS 2026'!C623="DTSI","DCT",'ENGAGEMENTS 2026'!C623))</f>
        <v/>
      </c>
      <c r="B623">
        <f>IF(ISBLANK('ENGAGEMENTS 2026'!C623),"",'ENGAGEMENTS 2026'!D623)</f>
        <v/>
      </c>
      <c r="C623">
        <f>IF(ISBLANK('ENGAGEMENTS 2026'!C623),"",'ENGAGEMENTS 2026'!E623)</f>
        <v/>
      </c>
      <c r="D623">
        <f>IF(ISBLANK('ENGAGEMENTS 2026'!C623),"",'ENGAGEMENTS 2026'!G623)</f>
        <v/>
      </c>
      <c r="E623">
        <f>IF(ISBLANK('ENGAGEMENTS 2026'!C623),"",'ENGAGEMENTS 2026'!I623)</f>
        <v/>
      </c>
      <c r="F623">
        <f>IF(ISBLANK('ENGAGEMENTS 2026'!C623),"",'ENGAGEMENTS 2026'!J623)</f>
        <v/>
      </c>
      <c r="G623">
        <f>IF(ISBLANK('ENGAGEMENTS 2026'!C623),"",'ENGAGEMENTS 2026'!M623)</f>
        <v/>
      </c>
      <c r="H623">
        <f>IF(ISBLANK('ENGAGEMENTS 2026'!C623),"",'ENGAGEMENTS 2026'!AF623)</f>
        <v/>
      </c>
      <c r="I623">
        <f>IF(ISBLANK('ENGAGEMENTS 2026'!C623),"",'ENGAGEMENTS 2026'!H623)</f>
        <v/>
      </c>
      <c r="J623" s="275">
        <f>IF(ISBLANK('ENGAGEMENTS 2026'!C623),"",IF(AND(OR($E623="INFRUCTUEUX",$E623="ANNULE"),$C623="AOO-M"),'ENGAGEMENTS 2026'!P623,IF($H623="EN COURS DE PREENGAGEMENT",'ENGAGEMENTS 2026'!O623,IF($H623="PREENGAGE",IF($E623="ATTRIBUE",'ENGAGEMENTS 2026'!AE623,'ENGAGEMENTS 2026'!O623),'ENGAGEMENTS 2026'!AE623))))</f>
        <v/>
      </c>
      <c r="K623" s="604">
        <f>IF(ISBLANK('ENGAGEMENTS 2026'!W623),"",'ENGAGEMENTS 2026'!W623)</f>
        <v/>
      </c>
      <c r="L623" s="276">
        <f>IF($K623="","",TODAY()-$K623)</f>
        <v/>
      </c>
      <c r="M623">
        <f>IF($A623="","",IF($H623="ENGAGE","Engagé",IF(AND($H623="NON ENGAGE",OR($I623="INFRUCTUEUX",$I623="ANNULE")),"Clôturé sans suite","En cours")))</f>
        <v/>
      </c>
      <c r="N623">
        <f>IF(ISBLANK('ENGAGEMENTS 2026'!C623),"",'ENGAGEMENTS 2026'!L623)</f>
        <v/>
      </c>
      <c r="O623">
        <f>IF(ISBLANK('ENGAGEMENTS 2026'!C623),"",'ENGAGEMENTS 2026'!M623)</f>
        <v/>
      </c>
      <c r="P623">
        <f>IF(ISBLANK('ENGAGEMENTS 2026'!C623),"",'ENGAGEMENTS 2026'!K623)</f>
        <v/>
      </c>
      <c r="Q623">
        <f>IF($A623="","",IF(OR($E623="INFRUCTUEUX",$E623="ANNULE"),$A623&amp;"|"&amp;(COUNTIFS($A$2:$A623,$A623,$E$2:$E623,"INFRUCTUEUX")+COUNTIFS($A$2:$A623,$A623,$E$2:$E623,"ANNULE")),""))</f>
        <v/>
      </c>
    </row>
    <row r="624">
      <c r="A624">
        <f>IF(ISBLANK('ENGAGEMENTS 2026'!C624),"",IF('ENGAGEMENTS 2026'!C624="DTSI","DCT",'ENGAGEMENTS 2026'!C624))</f>
        <v/>
      </c>
      <c r="B624">
        <f>IF(ISBLANK('ENGAGEMENTS 2026'!C624),"",'ENGAGEMENTS 2026'!D624)</f>
        <v/>
      </c>
      <c r="C624">
        <f>IF(ISBLANK('ENGAGEMENTS 2026'!C624),"",'ENGAGEMENTS 2026'!E624)</f>
        <v/>
      </c>
      <c r="D624">
        <f>IF(ISBLANK('ENGAGEMENTS 2026'!C624),"",'ENGAGEMENTS 2026'!G624)</f>
        <v/>
      </c>
      <c r="E624">
        <f>IF(ISBLANK('ENGAGEMENTS 2026'!C624),"",'ENGAGEMENTS 2026'!I624)</f>
        <v/>
      </c>
      <c r="F624">
        <f>IF(ISBLANK('ENGAGEMENTS 2026'!C624),"",'ENGAGEMENTS 2026'!J624)</f>
        <v/>
      </c>
      <c r="G624">
        <f>IF(ISBLANK('ENGAGEMENTS 2026'!C624),"",'ENGAGEMENTS 2026'!M624)</f>
        <v/>
      </c>
      <c r="H624">
        <f>IF(ISBLANK('ENGAGEMENTS 2026'!C624),"",'ENGAGEMENTS 2026'!AF624)</f>
        <v/>
      </c>
      <c r="I624">
        <f>IF(ISBLANK('ENGAGEMENTS 2026'!C624),"",'ENGAGEMENTS 2026'!H624)</f>
        <v/>
      </c>
      <c r="J624" s="275">
        <f>IF(ISBLANK('ENGAGEMENTS 2026'!C624),"",IF(AND(OR($E624="INFRUCTUEUX",$E624="ANNULE"),$C624="AOO-M"),'ENGAGEMENTS 2026'!P624,IF($H624="EN COURS DE PREENGAGEMENT",'ENGAGEMENTS 2026'!O624,IF($H624="PREENGAGE",IF($E624="ATTRIBUE",'ENGAGEMENTS 2026'!AE624,'ENGAGEMENTS 2026'!O624),'ENGAGEMENTS 2026'!AE624))))</f>
        <v/>
      </c>
      <c r="K624" s="604">
        <f>IF(ISBLANK('ENGAGEMENTS 2026'!W624),"",'ENGAGEMENTS 2026'!W624)</f>
        <v/>
      </c>
      <c r="L624" s="276">
        <f>IF($K624="","",TODAY()-$K624)</f>
        <v/>
      </c>
      <c r="M624">
        <f>IF($A624="","",IF($H624="ENGAGE","Engagé",IF(AND($H624="NON ENGAGE",OR($I624="INFRUCTUEUX",$I624="ANNULE")),"Clôturé sans suite","En cours")))</f>
        <v/>
      </c>
      <c r="N624">
        <f>IF(ISBLANK('ENGAGEMENTS 2026'!C624),"",'ENGAGEMENTS 2026'!L624)</f>
        <v/>
      </c>
      <c r="O624">
        <f>IF(ISBLANK('ENGAGEMENTS 2026'!C624),"",'ENGAGEMENTS 2026'!M624)</f>
        <v/>
      </c>
      <c r="P624">
        <f>IF(ISBLANK('ENGAGEMENTS 2026'!C624),"",'ENGAGEMENTS 2026'!K624)</f>
        <v/>
      </c>
      <c r="Q624">
        <f>IF($A624="","",IF(OR($E624="INFRUCTUEUX",$E624="ANNULE"),$A624&amp;"|"&amp;(COUNTIFS($A$2:$A624,$A624,$E$2:$E624,"INFRUCTUEUX")+COUNTIFS($A$2:$A624,$A624,$E$2:$E624,"ANNULE")),""))</f>
        <v/>
      </c>
    </row>
    <row r="625">
      <c r="A625">
        <f>IF(ISBLANK('ENGAGEMENTS 2026'!C625),"",IF('ENGAGEMENTS 2026'!C625="DTSI","DCT",'ENGAGEMENTS 2026'!C625))</f>
        <v/>
      </c>
      <c r="B625">
        <f>IF(ISBLANK('ENGAGEMENTS 2026'!C625),"",'ENGAGEMENTS 2026'!D625)</f>
        <v/>
      </c>
      <c r="C625">
        <f>IF(ISBLANK('ENGAGEMENTS 2026'!C625),"",'ENGAGEMENTS 2026'!E625)</f>
        <v/>
      </c>
      <c r="D625">
        <f>IF(ISBLANK('ENGAGEMENTS 2026'!C625),"",'ENGAGEMENTS 2026'!G625)</f>
        <v/>
      </c>
      <c r="E625">
        <f>IF(ISBLANK('ENGAGEMENTS 2026'!C625),"",'ENGAGEMENTS 2026'!I625)</f>
        <v/>
      </c>
      <c r="F625">
        <f>IF(ISBLANK('ENGAGEMENTS 2026'!C625),"",'ENGAGEMENTS 2026'!J625)</f>
        <v/>
      </c>
      <c r="G625">
        <f>IF(ISBLANK('ENGAGEMENTS 2026'!C625),"",'ENGAGEMENTS 2026'!M625)</f>
        <v/>
      </c>
      <c r="H625">
        <f>IF(ISBLANK('ENGAGEMENTS 2026'!C625),"",'ENGAGEMENTS 2026'!AF625)</f>
        <v/>
      </c>
      <c r="I625">
        <f>IF(ISBLANK('ENGAGEMENTS 2026'!C625),"",'ENGAGEMENTS 2026'!H625)</f>
        <v/>
      </c>
      <c r="J625" s="275">
        <f>IF(ISBLANK('ENGAGEMENTS 2026'!C625),"",IF(AND(OR($E625="INFRUCTUEUX",$E625="ANNULE"),$C625="AOO-M"),'ENGAGEMENTS 2026'!P625,IF($H625="EN COURS DE PREENGAGEMENT",'ENGAGEMENTS 2026'!O625,IF($H625="PREENGAGE",IF($E625="ATTRIBUE",'ENGAGEMENTS 2026'!AE625,'ENGAGEMENTS 2026'!O625),'ENGAGEMENTS 2026'!AE625))))</f>
        <v/>
      </c>
      <c r="K625" s="604">
        <f>IF(ISBLANK('ENGAGEMENTS 2026'!W625),"",'ENGAGEMENTS 2026'!W625)</f>
        <v/>
      </c>
      <c r="L625" s="276">
        <f>IF($K625="","",TODAY()-$K625)</f>
        <v/>
      </c>
      <c r="M625">
        <f>IF($A625="","",IF($H625="ENGAGE","Engagé",IF(AND($H625="NON ENGAGE",OR($I625="INFRUCTUEUX",$I625="ANNULE")),"Clôturé sans suite","En cours")))</f>
        <v/>
      </c>
      <c r="N625">
        <f>IF(ISBLANK('ENGAGEMENTS 2026'!C625),"",'ENGAGEMENTS 2026'!L625)</f>
        <v/>
      </c>
      <c r="O625">
        <f>IF(ISBLANK('ENGAGEMENTS 2026'!C625),"",'ENGAGEMENTS 2026'!M625)</f>
        <v/>
      </c>
      <c r="P625">
        <f>IF(ISBLANK('ENGAGEMENTS 2026'!C625),"",'ENGAGEMENTS 2026'!K625)</f>
        <v/>
      </c>
      <c r="Q625">
        <f>IF($A625="","",IF(OR($E625="INFRUCTUEUX",$E625="ANNULE"),$A625&amp;"|"&amp;(COUNTIFS($A$2:$A625,$A625,$E$2:$E625,"INFRUCTUEUX")+COUNTIFS($A$2:$A625,$A625,$E$2:$E625,"ANNULE")),""))</f>
        <v/>
      </c>
    </row>
    <row r="626">
      <c r="A626">
        <f>IF(ISBLANK('ENGAGEMENTS 2026'!C626),"",IF('ENGAGEMENTS 2026'!C626="DTSI","DCT",'ENGAGEMENTS 2026'!C626))</f>
        <v/>
      </c>
      <c r="B626">
        <f>IF(ISBLANK('ENGAGEMENTS 2026'!C626),"",'ENGAGEMENTS 2026'!D626)</f>
        <v/>
      </c>
      <c r="C626">
        <f>IF(ISBLANK('ENGAGEMENTS 2026'!C626),"",'ENGAGEMENTS 2026'!E626)</f>
        <v/>
      </c>
      <c r="D626">
        <f>IF(ISBLANK('ENGAGEMENTS 2026'!C626),"",'ENGAGEMENTS 2026'!G626)</f>
        <v/>
      </c>
      <c r="E626">
        <f>IF(ISBLANK('ENGAGEMENTS 2026'!C626),"",'ENGAGEMENTS 2026'!I626)</f>
        <v/>
      </c>
      <c r="F626">
        <f>IF(ISBLANK('ENGAGEMENTS 2026'!C626),"",'ENGAGEMENTS 2026'!J626)</f>
        <v/>
      </c>
      <c r="G626">
        <f>IF(ISBLANK('ENGAGEMENTS 2026'!C626),"",'ENGAGEMENTS 2026'!M626)</f>
        <v/>
      </c>
      <c r="H626">
        <f>IF(ISBLANK('ENGAGEMENTS 2026'!C626),"",'ENGAGEMENTS 2026'!AF626)</f>
        <v/>
      </c>
      <c r="I626">
        <f>IF(ISBLANK('ENGAGEMENTS 2026'!C626),"",'ENGAGEMENTS 2026'!H626)</f>
        <v/>
      </c>
      <c r="J626" s="275">
        <f>IF(ISBLANK('ENGAGEMENTS 2026'!C626),"",IF(AND(OR($E626="INFRUCTUEUX",$E626="ANNULE"),$C626="AOO-M"),'ENGAGEMENTS 2026'!P626,IF($H626="EN COURS DE PREENGAGEMENT",'ENGAGEMENTS 2026'!O626,IF($H626="PREENGAGE",IF($E626="ATTRIBUE",'ENGAGEMENTS 2026'!AE626,'ENGAGEMENTS 2026'!O626),'ENGAGEMENTS 2026'!AE626))))</f>
        <v/>
      </c>
      <c r="K626" s="604">
        <f>IF(ISBLANK('ENGAGEMENTS 2026'!W626),"",'ENGAGEMENTS 2026'!W626)</f>
        <v/>
      </c>
      <c r="L626" s="276">
        <f>IF($K626="","",TODAY()-$K626)</f>
        <v/>
      </c>
      <c r="M626">
        <f>IF($A626="","",IF($H626="ENGAGE","Engagé",IF(AND($H626="NON ENGAGE",OR($I626="INFRUCTUEUX",$I626="ANNULE")),"Clôturé sans suite","En cours")))</f>
        <v/>
      </c>
      <c r="N626">
        <f>IF(ISBLANK('ENGAGEMENTS 2026'!C626),"",'ENGAGEMENTS 2026'!L626)</f>
        <v/>
      </c>
      <c r="O626">
        <f>IF(ISBLANK('ENGAGEMENTS 2026'!C626),"",'ENGAGEMENTS 2026'!M626)</f>
        <v/>
      </c>
      <c r="P626">
        <f>IF(ISBLANK('ENGAGEMENTS 2026'!C626),"",'ENGAGEMENTS 2026'!K626)</f>
        <v/>
      </c>
      <c r="Q626">
        <f>IF($A626="","",IF(OR($E626="INFRUCTUEUX",$E626="ANNULE"),$A626&amp;"|"&amp;(COUNTIFS($A$2:$A626,$A626,$E$2:$E626,"INFRUCTUEUX")+COUNTIFS($A$2:$A626,$A626,$E$2:$E626,"ANNULE")),""))</f>
        <v/>
      </c>
    </row>
    <row r="627">
      <c r="A627">
        <f>IF(ISBLANK('ENGAGEMENTS 2026'!C627),"",IF('ENGAGEMENTS 2026'!C627="DTSI","DCT",'ENGAGEMENTS 2026'!C627))</f>
        <v/>
      </c>
      <c r="B627">
        <f>IF(ISBLANK('ENGAGEMENTS 2026'!C627),"",'ENGAGEMENTS 2026'!D627)</f>
        <v/>
      </c>
      <c r="C627">
        <f>IF(ISBLANK('ENGAGEMENTS 2026'!C627),"",'ENGAGEMENTS 2026'!E627)</f>
        <v/>
      </c>
      <c r="D627">
        <f>IF(ISBLANK('ENGAGEMENTS 2026'!C627),"",'ENGAGEMENTS 2026'!G627)</f>
        <v/>
      </c>
      <c r="E627">
        <f>IF(ISBLANK('ENGAGEMENTS 2026'!C627),"",'ENGAGEMENTS 2026'!I627)</f>
        <v/>
      </c>
      <c r="F627">
        <f>IF(ISBLANK('ENGAGEMENTS 2026'!C627),"",'ENGAGEMENTS 2026'!J627)</f>
        <v/>
      </c>
      <c r="G627">
        <f>IF(ISBLANK('ENGAGEMENTS 2026'!C627),"",'ENGAGEMENTS 2026'!M627)</f>
        <v/>
      </c>
      <c r="H627">
        <f>IF(ISBLANK('ENGAGEMENTS 2026'!C627),"",'ENGAGEMENTS 2026'!AF627)</f>
        <v/>
      </c>
      <c r="I627">
        <f>IF(ISBLANK('ENGAGEMENTS 2026'!C627),"",'ENGAGEMENTS 2026'!H627)</f>
        <v/>
      </c>
      <c r="J627" s="275">
        <f>IF(ISBLANK('ENGAGEMENTS 2026'!C627),"",IF(AND(OR($E627="INFRUCTUEUX",$E627="ANNULE"),$C627="AOO-M"),'ENGAGEMENTS 2026'!P627,IF($H627="EN COURS DE PREENGAGEMENT",'ENGAGEMENTS 2026'!O627,IF($H627="PREENGAGE",IF($E627="ATTRIBUE",'ENGAGEMENTS 2026'!AE627,'ENGAGEMENTS 2026'!O627),'ENGAGEMENTS 2026'!AE627))))</f>
        <v/>
      </c>
      <c r="K627" s="604">
        <f>IF(ISBLANK('ENGAGEMENTS 2026'!W627),"",'ENGAGEMENTS 2026'!W627)</f>
        <v/>
      </c>
      <c r="L627" s="276">
        <f>IF($K627="","",TODAY()-$K627)</f>
        <v/>
      </c>
      <c r="M627">
        <f>IF($A627="","",IF($H627="ENGAGE","Engagé",IF(AND($H627="NON ENGAGE",OR($I627="INFRUCTUEUX",$I627="ANNULE")),"Clôturé sans suite","En cours")))</f>
        <v/>
      </c>
      <c r="N627">
        <f>IF(ISBLANK('ENGAGEMENTS 2026'!C627),"",'ENGAGEMENTS 2026'!L627)</f>
        <v/>
      </c>
      <c r="O627">
        <f>IF(ISBLANK('ENGAGEMENTS 2026'!C627),"",'ENGAGEMENTS 2026'!M627)</f>
        <v/>
      </c>
      <c r="P627">
        <f>IF(ISBLANK('ENGAGEMENTS 2026'!C627),"",'ENGAGEMENTS 2026'!K627)</f>
        <v/>
      </c>
      <c r="Q627">
        <f>IF($A627="","",IF(OR($E627="INFRUCTUEUX",$E627="ANNULE"),$A627&amp;"|"&amp;(COUNTIFS($A$2:$A627,$A627,$E$2:$E627,"INFRUCTUEUX")+COUNTIFS($A$2:$A627,$A627,$E$2:$E627,"ANNULE")),""))</f>
        <v/>
      </c>
    </row>
    <row r="628">
      <c r="A628">
        <f>IF(ISBLANK('ENGAGEMENTS 2026'!C628),"",IF('ENGAGEMENTS 2026'!C628="DTSI","DCT",'ENGAGEMENTS 2026'!C628))</f>
        <v/>
      </c>
      <c r="B628">
        <f>IF(ISBLANK('ENGAGEMENTS 2026'!C628),"",'ENGAGEMENTS 2026'!D628)</f>
        <v/>
      </c>
      <c r="C628">
        <f>IF(ISBLANK('ENGAGEMENTS 2026'!C628),"",'ENGAGEMENTS 2026'!E628)</f>
        <v/>
      </c>
      <c r="D628">
        <f>IF(ISBLANK('ENGAGEMENTS 2026'!C628),"",'ENGAGEMENTS 2026'!G628)</f>
        <v/>
      </c>
      <c r="E628">
        <f>IF(ISBLANK('ENGAGEMENTS 2026'!C628),"",'ENGAGEMENTS 2026'!I628)</f>
        <v/>
      </c>
      <c r="F628">
        <f>IF(ISBLANK('ENGAGEMENTS 2026'!C628),"",'ENGAGEMENTS 2026'!J628)</f>
        <v/>
      </c>
      <c r="G628">
        <f>IF(ISBLANK('ENGAGEMENTS 2026'!C628),"",'ENGAGEMENTS 2026'!M628)</f>
        <v/>
      </c>
      <c r="H628">
        <f>IF(ISBLANK('ENGAGEMENTS 2026'!C628),"",'ENGAGEMENTS 2026'!AF628)</f>
        <v/>
      </c>
      <c r="I628">
        <f>IF(ISBLANK('ENGAGEMENTS 2026'!C628),"",'ENGAGEMENTS 2026'!H628)</f>
        <v/>
      </c>
      <c r="J628" s="275">
        <f>IF(ISBLANK('ENGAGEMENTS 2026'!C628),"",IF(AND(OR($E628="INFRUCTUEUX",$E628="ANNULE"),$C628="AOO-M"),'ENGAGEMENTS 2026'!P628,IF($H628="EN COURS DE PREENGAGEMENT",'ENGAGEMENTS 2026'!O628,IF($H628="PREENGAGE",IF($E628="ATTRIBUE",'ENGAGEMENTS 2026'!AE628,'ENGAGEMENTS 2026'!O628),'ENGAGEMENTS 2026'!AE628))))</f>
        <v/>
      </c>
      <c r="K628" s="604">
        <f>IF(ISBLANK('ENGAGEMENTS 2026'!W628),"",'ENGAGEMENTS 2026'!W628)</f>
        <v/>
      </c>
      <c r="L628" s="276">
        <f>IF($K628="","",TODAY()-$K628)</f>
        <v/>
      </c>
      <c r="M628">
        <f>IF($A628="","",IF($H628="ENGAGE","Engagé",IF(AND($H628="NON ENGAGE",OR($I628="INFRUCTUEUX",$I628="ANNULE")),"Clôturé sans suite","En cours")))</f>
        <v/>
      </c>
      <c r="N628">
        <f>IF(ISBLANK('ENGAGEMENTS 2026'!C628),"",'ENGAGEMENTS 2026'!L628)</f>
        <v/>
      </c>
      <c r="O628">
        <f>IF(ISBLANK('ENGAGEMENTS 2026'!C628),"",'ENGAGEMENTS 2026'!M628)</f>
        <v/>
      </c>
      <c r="P628">
        <f>IF(ISBLANK('ENGAGEMENTS 2026'!C628),"",'ENGAGEMENTS 2026'!K628)</f>
        <v/>
      </c>
      <c r="Q628">
        <f>IF($A628="","",IF(OR($E628="INFRUCTUEUX",$E628="ANNULE"),$A628&amp;"|"&amp;(COUNTIFS($A$2:$A628,$A628,$E$2:$E628,"INFRUCTUEUX")+COUNTIFS($A$2:$A628,$A628,$E$2:$E628,"ANNULE")),""))</f>
        <v/>
      </c>
    </row>
    <row r="629">
      <c r="A629">
        <f>IF(ISBLANK('ENGAGEMENTS 2026'!C629),"",IF('ENGAGEMENTS 2026'!C629="DTSI","DCT",'ENGAGEMENTS 2026'!C629))</f>
        <v/>
      </c>
      <c r="B629">
        <f>IF(ISBLANK('ENGAGEMENTS 2026'!C629),"",'ENGAGEMENTS 2026'!D629)</f>
        <v/>
      </c>
      <c r="C629">
        <f>IF(ISBLANK('ENGAGEMENTS 2026'!C629),"",'ENGAGEMENTS 2026'!E629)</f>
        <v/>
      </c>
      <c r="D629">
        <f>IF(ISBLANK('ENGAGEMENTS 2026'!C629),"",'ENGAGEMENTS 2026'!G629)</f>
        <v/>
      </c>
      <c r="E629">
        <f>IF(ISBLANK('ENGAGEMENTS 2026'!C629),"",'ENGAGEMENTS 2026'!I629)</f>
        <v/>
      </c>
      <c r="F629">
        <f>IF(ISBLANK('ENGAGEMENTS 2026'!C629),"",'ENGAGEMENTS 2026'!J629)</f>
        <v/>
      </c>
      <c r="G629">
        <f>IF(ISBLANK('ENGAGEMENTS 2026'!C629),"",'ENGAGEMENTS 2026'!M629)</f>
        <v/>
      </c>
      <c r="H629">
        <f>IF(ISBLANK('ENGAGEMENTS 2026'!C629),"",'ENGAGEMENTS 2026'!AF629)</f>
        <v/>
      </c>
      <c r="I629">
        <f>IF(ISBLANK('ENGAGEMENTS 2026'!C629),"",'ENGAGEMENTS 2026'!H629)</f>
        <v/>
      </c>
      <c r="J629" s="275">
        <f>IF(ISBLANK('ENGAGEMENTS 2026'!C629),"",IF(AND(OR($E629="INFRUCTUEUX",$E629="ANNULE"),$C629="AOO-M"),'ENGAGEMENTS 2026'!P629,IF($H629="EN COURS DE PREENGAGEMENT",'ENGAGEMENTS 2026'!O629,IF($H629="PREENGAGE",IF($E629="ATTRIBUE",'ENGAGEMENTS 2026'!AE629,'ENGAGEMENTS 2026'!O629),'ENGAGEMENTS 2026'!AE629))))</f>
        <v/>
      </c>
      <c r="K629" s="604">
        <f>IF(ISBLANK('ENGAGEMENTS 2026'!W629),"",'ENGAGEMENTS 2026'!W629)</f>
        <v/>
      </c>
      <c r="L629" s="276">
        <f>IF($K629="","",TODAY()-$K629)</f>
        <v/>
      </c>
      <c r="M629">
        <f>IF($A629="","",IF($H629="ENGAGE","Engagé",IF(AND($H629="NON ENGAGE",OR($I629="INFRUCTUEUX",$I629="ANNULE")),"Clôturé sans suite","En cours")))</f>
        <v/>
      </c>
      <c r="N629">
        <f>IF(ISBLANK('ENGAGEMENTS 2026'!C629),"",'ENGAGEMENTS 2026'!L629)</f>
        <v/>
      </c>
      <c r="O629">
        <f>IF(ISBLANK('ENGAGEMENTS 2026'!C629),"",'ENGAGEMENTS 2026'!M629)</f>
        <v/>
      </c>
      <c r="P629">
        <f>IF(ISBLANK('ENGAGEMENTS 2026'!C629),"",'ENGAGEMENTS 2026'!K629)</f>
        <v/>
      </c>
      <c r="Q629">
        <f>IF($A629="","",IF(OR($E629="INFRUCTUEUX",$E629="ANNULE"),$A629&amp;"|"&amp;(COUNTIFS($A$2:$A629,$A629,$E$2:$E629,"INFRUCTUEUX")+COUNTIFS($A$2:$A629,$A629,$E$2:$E629,"ANNULE")),""))</f>
        <v/>
      </c>
    </row>
    <row r="630">
      <c r="A630">
        <f>IF(ISBLANK('ENGAGEMENTS 2026'!C630),"",IF('ENGAGEMENTS 2026'!C630="DTSI","DCT",'ENGAGEMENTS 2026'!C630))</f>
        <v/>
      </c>
      <c r="B630">
        <f>IF(ISBLANK('ENGAGEMENTS 2026'!C630),"",'ENGAGEMENTS 2026'!D630)</f>
        <v/>
      </c>
      <c r="C630">
        <f>IF(ISBLANK('ENGAGEMENTS 2026'!C630),"",'ENGAGEMENTS 2026'!E630)</f>
        <v/>
      </c>
      <c r="D630">
        <f>IF(ISBLANK('ENGAGEMENTS 2026'!C630),"",'ENGAGEMENTS 2026'!G630)</f>
        <v/>
      </c>
      <c r="E630">
        <f>IF(ISBLANK('ENGAGEMENTS 2026'!C630),"",'ENGAGEMENTS 2026'!I630)</f>
        <v/>
      </c>
      <c r="F630">
        <f>IF(ISBLANK('ENGAGEMENTS 2026'!C630),"",'ENGAGEMENTS 2026'!J630)</f>
        <v/>
      </c>
      <c r="G630">
        <f>IF(ISBLANK('ENGAGEMENTS 2026'!C630),"",'ENGAGEMENTS 2026'!M630)</f>
        <v/>
      </c>
      <c r="H630">
        <f>IF(ISBLANK('ENGAGEMENTS 2026'!C630),"",'ENGAGEMENTS 2026'!AF630)</f>
        <v/>
      </c>
      <c r="I630">
        <f>IF(ISBLANK('ENGAGEMENTS 2026'!C630),"",'ENGAGEMENTS 2026'!H630)</f>
        <v/>
      </c>
      <c r="J630" s="275">
        <f>IF(ISBLANK('ENGAGEMENTS 2026'!C630),"",IF(AND(OR($E630="INFRUCTUEUX",$E630="ANNULE"),$C630="AOO-M"),'ENGAGEMENTS 2026'!P630,IF($H630="EN COURS DE PREENGAGEMENT",'ENGAGEMENTS 2026'!O630,IF($H630="PREENGAGE",IF($E630="ATTRIBUE",'ENGAGEMENTS 2026'!AE630,'ENGAGEMENTS 2026'!O630),'ENGAGEMENTS 2026'!AE630))))</f>
        <v/>
      </c>
      <c r="K630" s="604">
        <f>IF(ISBLANK('ENGAGEMENTS 2026'!W630),"",'ENGAGEMENTS 2026'!W630)</f>
        <v/>
      </c>
      <c r="L630" s="276">
        <f>IF($K630="","",TODAY()-$K630)</f>
        <v/>
      </c>
      <c r="M630">
        <f>IF($A630="","",IF($H630="ENGAGE","Engagé",IF(AND($H630="NON ENGAGE",OR($I630="INFRUCTUEUX",$I630="ANNULE")),"Clôturé sans suite","En cours")))</f>
        <v/>
      </c>
      <c r="N630">
        <f>IF(ISBLANK('ENGAGEMENTS 2026'!C630),"",'ENGAGEMENTS 2026'!L630)</f>
        <v/>
      </c>
      <c r="O630">
        <f>IF(ISBLANK('ENGAGEMENTS 2026'!C630),"",'ENGAGEMENTS 2026'!M630)</f>
        <v/>
      </c>
      <c r="P630">
        <f>IF(ISBLANK('ENGAGEMENTS 2026'!C630),"",'ENGAGEMENTS 2026'!K630)</f>
        <v/>
      </c>
      <c r="Q630">
        <f>IF($A630="","",IF(OR($E630="INFRUCTUEUX",$E630="ANNULE"),$A630&amp;"|"&amp;(COUNTIFS($A$2:$A630,$A630,$E$2:$E630,"INFRUCTUEUX")+COUNTIFS($A$2:$A630,$A630,$E$2:$E630,"ANNULE")),""))</f>
        <v/>
      </c>
    </row>
    <row r="631">
      <c r="A631">
        <f>IF(ISBLANK('ENGAGEMENTS 2026'!C631),"",IF('ENGAGEMENTS 2026'!C631="DTSI","DCT",'ENGAGEMENTS 2026'!C631))</f>
        <v/>
      </c>
      <c r="B631">
        <f>IF(ISBLANK('ENGAGEMENTS 2026'!C631),"",'ENGAGEMENTS 2026'!D631)</f>
        <v/>
      </c>
      <c r="C631">
        <f>IF(ISBLANK('ENGAGEMENTS 2026'!C631),"",'ENGAGEMENTS 2026'!E631)</f>
        <v/>
      </c>
      <c r="D631">
        <f>IF(ISBLANK('ENGAGEMENTS 2026'!C631),"",'ENGAGEMENTS 2026'!G631)</f>
        <v/>
      </c>
      <c r="E631">
        <f>IF(ISBLANK('ENGAGEMENTS 2026'!C631),"",'ENGAGEMENTS 2026'!I631)</f>
        <v/>
      </c>
      <c r="F631">
        <f>IF(ISBLANK('ENGAGEMENTS 2026'!C631),"",'ENGAGEMENTS 2026'!J631)</f>
        <v/>
      </c>
      <c r="G631">
        <f>IF(ISBLANK('ENGAGEMENTS 2026'!C631),"",'ENGAGEMENTS 2026'!M631)</f>
        <v/>
      </c>
      <c r="H631">
        <f>IF(ISBLANK('ENGAGEMENTS 2026'!C631),"",'ENGAGEMENTS 2026'!AF631)</f>
        <v/>
      </c>
      <c r="I631">
        <f>IF(ISBLANK('ENGAGEMENTS 2026'!C631),"",'ENGAGEMENTS 2026'!H631)</f>
        <v/>
      </c>
      <c r="J631" s="275">
        <f>IF(ISBLANK('ENGAGEMENTS 2026'!C631),"",IF(AND(OR($E631="INFRUCTUEUX",$E631="ANNULE"),$C631="AOO-M"),'ENGAGEMENTS 2026'!P631,IF($H631="EN COURS DE PREENGAGEMENT",'ENGAGEMENTS 2026'!O631,IF($H631="PREENGAGE",IF($E631="ATTRIBUE",'ENGAGEMENTS 2026'!AE631,'ENGAGEMENTS 2026'!O631),'ENGAGEMENTS 2026'!AE631))))</f>
        <v/>
      </c>
      <c r="K631" s="604">
        <f>IF(ISBLANK('ENGAGEMENTS 2026'!W631),"",'ENGAGEMENTS 2026'!W631)</f>
        <v/>
      </c>
      <c r="L631" s="276">
        <f>IF($K631="","",TODAY()-$K631)</f>
        <v/>
      </c>
      <c r="M631">
        <f>IF($A631="","",IF($H631="ENGAGE","Engagé",IF(AND($H631="NON ENGAGE",OR($I631="INFRUCTUEUX",$I631="ANNULE")),"Clôturé sans suite","En cours")))</f>
        <v/>
      </c>
      <c r="N631">
        <f>IF(ISBLANK('ENGAGEMENTS 2026'!C631),"",'ENGAGEMENTS 2026'!L631)</f>
        <v/>
      </c>
      <c r="O631">
        <f>IF(ISBLANK('ENGAGEMENTS 2026'!C631),"",'ENGAGEMENTS 2026'!M631)</f>
        <v/>
      </c>
      <c r="P631">
        <f>IF(ISBLANK('ENGAGEMENTS 2026'!C631),"",'ENGAGEMENTS 2026'!K631)</f>
        <v/>
      </c>
      <c r="Q631">
        <f>IF($A631="","",IF(OR($E631="INFRUCTUEUX",$E631="ANNULE"),$A631&amp;"|"&amp;(COUNTIFS($A$2:$A631,$A631,$E$2:$E631,"INFRUCTUEUX")+COUNTIFS($A$2:$A631,$A631,$E$2:$E631,"ANNULE")),""))</f>
        <v/>
      </c>
    </row>
    <row r="632">
      <c r="A632">
        <f>IF(ISBLANK('ENGAGEMENTS 2026'!C632),"",IF('ENGAGEMENTS 2026'!C632="DTSI","DCT",'ENGAGEMENTS 2026'!C632))</f>
        <v/>
      </c>
      <c r="B632">
        <f>IF(ISBLANK('ENGAGEMENTS 2026'!C632),"",'ENGAGEMENTS 2026'!D632)</f>
        <v/>
      </c>
      <c r="C632">
        <f>IF(ISBLANK('ENGAGEMENTS 2026'!C632),"",'ENGAGEMENTS 2026'!E632)</f>
        <v/>
      </c>
      <c r="D632">
        <f>IF(ISBLANK('ENGAGEMENTS 2026'!C632),"",'ENGAGEMENTS 2026'!G632)</f>
        <v/>
      </c>
      <c r="E632">
        <f>IF(ISBLANK('ENGAGEMENTS 2026'!C632),"",'ENGAGEMENTS 2026'!I632)</f>
        <v/>
      </c>
      <c r="F632">
        <f>IF(ISBLANK('ENGAGEMENTS 2026'!C632),"",'ENGAGEMENTS 2026'!J632)</f>
        <v/>
      </c>
      <c r="G632">
        <f>IF(ISBLANK('ENGAGEMENTS 2026'!C632),"",'ENGAGEMENTS 2026'!M632)</f>
        <v/>
      </c>
      <c r="H632">
        <f>IF(ISBLANK('ENGAGEMENTS 2026'!C632),"",'ENGAGEMENTS 2026'!AF632)</f>
        <v/>
      </c>
      <c r="I632">
        <f>IF(ISBLANK('ENGAGEMENTS 2026'!C632),"",'ENGAGEMENTS 2026'!H632)</f>
        <v/>
      </c>
      <c r="J632" s="275">
        <f>IF(ISBLANK('ENGAGEMENTS 2026'!C632),"",IF(AND(OR($E632="INFRUCTUEUX",$E632="ANNULE"),$C632="AOO-M"),'ENGAGEMENTS 2026'!P632,IF($H632="EN COURS DE PREENGAGEMENT",'ENGAGEMENTS 2026'!O632,IF($H632="PREENGAGE",IF($E632="ATTRIBUE",'ENGAGEMENTS 2026'!AE632,'ENGAGEMENTS 2026'!O632),'ENGAGEMENTS 2026'!AE632))))</f>
        <v/>
      </c>
      <c r="K632" s="604">
        <f>IF(ISBLANK('ENGAGEMENTS 2026'!W632),"",'ENGAGEMENTS 2026'!W632)</f>
        <v/>
      </c>
      <c r="L632" s="276">
        <f>IF($K632="","",TODAY()-$K632)</f>
        <v/>
      </c>
      <c r="M632">
        <f>IF($A632="","",IF($H632="ENGAGE","Engagé",IF(AND($H632="NON ENGAGE",OR($I632="INFRUCTUEUX",$I632="ANNULE")),"Clôturé sans suite","En cours")))</f>
        <v/>
      </c>
      <c r="N632">
        <f>IF(ISBLANK('ENGAGEMENTS 2026'!C632),"",'ENGAGEMENTS 2026'!L632)</f>
        <v/>
      </c>
      <c r="O632">
        <f>IF(ISBLANK('ENGAGEMENTS 2026'!C632),"",'ENGAGEMENTS 2026'!M632)</f>
        <v/>
      </c>
      <c r="P632">
        <f>IF(ISBLANK('ENGAGEMENTS 2026'!C632),"",'ENGAGEMENTS 2026'!K632)</f>
        <v/>
      </c>
      <c r="Q632">
        <f>IF($A632="","",IF(OR($E632="INFRUCTUEUX",$E632="ANNULE"),$A632&amp;"|"&amp;(COUNTIFS($A$2:$A632,$A632,$E$2:$E632,"INFRUCTUEUX")+COUNTIFS($A$2:$A632,$A632,$E$2:$E632,"ANNULE")),""))</f>
        <v/>
      </c>
    </row>
    <row r="633">
      <c r="A633">
        <f>IF(ISBLANK('ENGAGEMENTS 2026'!C633),"",IF('ENGAGEMENTS 2026'!C633="DTSI","DCT",'ENGAGEMENTS 2026'!C633))</f>
        <v/>
      </c>
      <c r="B633">
        <f>IF(ISBLANK('ENGAGEMENTS 2026'!C633),"",'ENGAGEMENTS 2026'!D633)</f>
        <v/>
      </c>
      <c r="C633">
        <f>IF(ISBLANK('ENGAGEMENTS 2026'!C633),"",'ENGAGEMENTS 2026'!E633)</f>
        <v/>
      </c>
      <c r="D633">
        <f>IF(ISBLANK('ENGAGEMENTS 2026'!C633),"",'ENGAGEMENTS 2026'!G633)</f>
        <v/>
      </c>
      <c r="E633">
        <f>IF(ISBLANK('ENGAGEMENTS 2026'!C633),"",'ENGAGEMENTS 2026'!I633)</f>
        <v/>
      </c>
      <c r="F633">
        <f>IF(ISBLANK('ENGAGEMENTS 2026'!C633),"",'ENGAGEMENTS 2026'!J633)</f>
        <v/>
      </c>
      <c r="G633">
        <f>IF(ISBLANK('ENGAGEMENTS 2026'!C633),"",'ENGAGEMENTS 2026'!M633)</f>
        <v/>
      </c>
      <c r="H633">
        <f>IF(ISBLANK('ENGAGEMENTS 2026'!C633),"",'ENGAGEMENTS 2026'!AF633)</f>
        <v/>
      </c>
      <c r="I633">
        <f>IF(ISBLANK('ENGAGEMENTS 2026'!C633),"",'ENGAGEMENTS 2026'!H633)</f>
        <v/>
      </c>
      <c r="J633" s="275">
        <f>IF(ISBLANK('ENGAGEMENTS 2026'!C633),"",IF(AND(OR($E633="INFRUCTUEUX",$E633="ANNULE"),$C633="AOO-M"),'ENGAGEMENTS 2026'!P633,IF($H633="EN COURS DE PREENGAGEMENT",'ENGAGEMENTS 2026'!O633,IF($H633="PREENGAGE",IF($E633="ATTRIBUE",'ENGAGEMENTS 2026'!AE633,'ENGAGEMENTS 2026'!O633),'ENGAGEMENTS 2026'!AE633))))</f>
        <v/>
      </c>
      <c r="K633" s="604">
        <f>IF(ISBLANK('ENGAGEMENTS 2026'!W633),"",'ENGAGEMENTS 2026'!W633)</f>
        <v/>
      </c>
      <c r="L633" s="276">
        <f>IF($K633="","",TODAY()-$K633)</f>
        <v/>
      </c>
      <c r="M633">
        <f>IF($A633="","",IF($H633="ENGAGE","Engagé",IF(AND($H633="NON ENGAGE",OR($I633="INFRUCTUEUX",$I633="ANNULE")),"Clôturé sans suite","En cours")))</f>
        <v/>
      </c>
      <c r="N633">
        <f>IF(ISBLANK('ENGAGEMENTS 2026'!C633),"",'ENGAGEMENTS 2026'!L633)</f>
        <v/>
      </c>
      <c r="O633">
        <f>IF(ISBLANK('ENGAGEMENTS 2026'!C633),"",'ENGAGEMENTS 2026'!M633)</f>
        <v/>
      </c>
      <c r="P633">
        <f>IF(ISBLANK('ENGAGEMENTS 2026'!C633),"",'ENGAGEMENTS 2026'!K633)</f>
        <v/>
      </c>
      <c r="Q633">
        <f>IF($A633="","",IF(OR($E633="INFRUCTUEUX",$E633="ANNULE"),$A633&amp;"|"&amp;(COUNTIFS($A$2:$A633,$A633,$E$2:$E633,"INFRUCTUEUX")+COUNTIFS($A$2:$A633,$A633,$E$2:$E633,"ANNULE")),""))</f>
        <v/>
      </c>
    </row>
    <row r="634">
      <c r="A634">
        <f>IF(ISBLANK('ENGAGEMENTS 2026'!C634),"",IF('ENGAGEMENTS 2026'!C634="DTSI","DCT",'ENGAGEMENTS 2026'!C634))</f>
        <v/>
      </c>
      <c r="B634">
        <f>IF(ISBLANK('ENGAGEMENTS 2026'!C634),"",'ENGAGEMENTS 2026'!D634)</f>
        <v/>
      </c>
      <c r="C634">
        <f>IF(ISBLANK('ENGAGEMENTS 2026'!C634),"",'ENGAGEMENTS 2026'!E634)</f>
        <v/>
      </c>
      <c r="D634">
        <f>IF(ISBLANK('ENGAGEMENTS 2026'!C634),"",'ENGAGEMENTS 2026'!G634)</f>
        <v/>
      </c>
      <c r="E634">
        <f>IF(ISBLANK('ENGAGEMENTS 2026'!C634),"",'ENGAGEMENTS 2026'!I634)</f>
        <v/>
      </c>
      <c r="F634">
        <f>IF(ISBLANK('ENGAGEMENTS 2026'!C634),"",'ENGAGEMENTS 2026'!J634)</f>
        <v/>
      </c>
      <c r="G634">
        <f>IF(ISBLANK('ENGAGEMENTS 2026'!C634),"",'ENGAGEMENTS 2026'!M634)</f>
        <v/>
      </c>
      <c r="H634">
        <f>IF(ISBLANK('ENGAGEMENTS 2026'!C634),"",'ENGAGEMENTS 2026'!AF634)</f>
        <v/>
      </c>
      <c r="I634">
        <f>IF(ISBLANK('ENGAGEMENTS 2026'!C634),"",'ENGAGEMENTS 2026'!H634)</f>
        <v/>
      </c>
      <c r="J634" s="275">
        <f>IF(ISBLANK('ENGAGEMENTS 2026'!C634),"",IF(AND(OR($E634="INFRUCTUEUX",$E634="ANNULE"),$C634="AOO-M"),'ENGAGEMENTS 2026'!P634,IF($H634="EN COURS DE PREENGAGEMENT",'ENGAGEMENTS 2026'!O634,IF($H634="PREENGAGE",IF($E634="ATTRIBUE",'ENGAGEMENTS 2026'!AE634,'ENGAGEMENTS 2026'!O634),'ENGAGEMENTS 2026'!AE634))))</f>
        <v/>
      </c>
      <c r="K634" s="604">
        <f>IF(ISBLANK('ENGAGEMENTS 2026'!W634),"",'ENGAGEMENTS 2026'!W634)</f>
        <v/>
      </c>
      <c r="L634" s="276">
        <f>IF($K634="","",TODAY()-$K634)</f>
        <v/>
      </c>
      <c r="M634">
        <f>IF($A634="","",IF($H634="ENGAGE","Engagé",IF(AND($H634="NON ENGAGE",OR($I634="INFRUCTUEUX",$I634="ANNULE")),"Clôturé sans suite","En cours")))</f>
        <v/>
      </c>
      <c r="N634">
        <f>IF(ISBLANK('ENGAGEMENTS 2026'!C634),"",'ENGAGEMENTS 2026'!L634)</f>
        <v/>
      </c>
      <c r="O634">
        <f>IF(ISBLANK('ENGAGEMENTS 2026'!C634),"",'ENGAGEMENTS 2026'!M634)</f>
        <v/>
      </c>
      <c r="P634">
        <f>IF(ISBLANK('ENGAGEMENTS 2026'!C634),"",'ENGAGEMENTS 2026'!K634)</f>
        <v/>
      </c>
      <c r="Q634">
        <f>IF($A634="","",IF(OR($E634="INFRUCTUEUX",$E634="ANNULE"),$A634&amp;"|"&amp;(COUNTIFS($A$2:$A634,$A634,$E$2:$E634,"INFRUCTUEUX")+COUNTIFS($A$2:$A634,$A634,$E$2:$E634,"ANNULE")),""))</f>
        <v/>
      </c>
    </row>
    <row r="635">
      <c r="A635">
        <f>IF(ISBLANK('ENGAGEMENTS 2026'!C635),"",IF('ENGAGEMENTS 2026'!C635="DTSI","DCT",'ENGAGEMENTS 2026'!C635))</f>
        <v/>
      </c>
      <c r="B635">
        <f>IF(ISBLANK('ENGAGEMENTS 2026'!C635),"",'ENGAGEMENTS 2026'!D635)</f>
        <v/>
      </c>
      <c r="C635">
        <f>IF(ISBLANK('ENGAGEMENTS 2026'!C635),"",'ENGAGEMENTS 2026'!E635)</f>
        <v/>
      </c>
      <c r="D635">
        <f>IF(ISBLANK('ENGAGEMENTS 2026'!C635),"",'ENGAGEMENTS 2026'!G635)</f>
        <v/>
      </c>
      <c r="E635">
        <f>IF(ISBLANK('ENGAGEMENTS 2026'!C635),"",'ENGAGEMENTS 2026'!I635)</f>
        <v/>
      </c>
      <c r="F635">
        <f>IF(ISBLANK('ENGAGEMENTS 2026'!C635),"",'ENGAGEMENTS 2026'!J635)</f>
        <v/>
      </c>
      <c r="G635">
        <f>IF(ISBLANK('ENGAGEMENTS 2026'!C635),"",'ENGAGEMENTS 2026'!M635)</f>
        <v/>
      </c>
      <c r="H635">
        <f>IF(ISBLANK('ENGAGEMENTS 2026'!C635),"",'ENGAGEMENTS 2026'!AF635)</f>
        <v/>
      </c>
      <c r="I635">
        <f>IF(ISBLANK('ENGAGEMENTS 2026'!C635),"",'ENGAGEMENTS 2026'!H635)</f>
        <v/>
      </c>
      <c r="J635" s="275">
        <f>IF(ISBLANK('ENGAGEMENTS 2026'!C635),"",IF(AND(OR($E635="INFRUCTUEUX",$E635="ANNULE"),$C635="AOO-M"),'ENGAGEMENTS 2026'!P635,IF($H635="EN COURS DE PREENGAGEMENT",'ENGAGEMENTS 2026'!O635,IF($H635="PREENGAGE",IF($E635="ATTRIBUE",'ENGAGEMENTS 2026'!AE635,'ENGAGEMENTS 2026'!O635),'ENGAGEMENTS 2026'!AE635))))</f>
        <v/>
      </c>
      <c r="K635" s="604">
        <f>IF(ISBLANK('ENGAGEMENTS 2026'!W635),"",'ENGAGEMENTS 2026'!W635)</f>
        <v/>
      </c>
      <c r="L635" s="276">
        <f>IF($K635="","",TODAY()-$K635)</f>
        <v/>
      </c>
      <c r="M635">
        <f>IF($A635="","",IF($H635="ENGAGE","Engagé",IF(AND($H635="NON ENGAGE",OR($I635="INFRUCTUEUX",$I635="ANNULE")),"Clôturé sans suite","En cours")))</f>
        <v/>
      </c>
      <c r="N635">
        <f>IF(ISBLANK('ENGAGEMENTS 2026'!C635),"",'ENGAGEMENTS 2026'!L635)</f>
        <v/>
      </c>
      <c r="O635">
        <f>IF(ISBLANK('ENGAGEMENTS 2026'!C635),"",'ENGAGEMENTS 2026'!M635)</f>
        <v/>
      </c>
      <c r="P635">
        <f>IF(ISBLANK('ENGAGEMENTS 2026'!C635),"",'ENGAGEMENTS 2026'!K635)</f>
        <v/>
      </c>
      <c r="Q635">
        <f>IF($A635="","",IF(OR($E635="INFRUCTUEUX",$E635="ANNULE"),$A635&amp;"|"&amp;(COUNTIFS($A$2:$A635,$A635,$E$2:$E635,"INFRUCTUEUX")+COUNTIFS($A$2:$A635,$A635,$E$2:$E635,"ANNULE")),""))</f>
        <v/>
      </c>
    </row>
    <row r="636">
      <c r="A636">
        <f>IF(ISBLANK('ENGAGEMENTS 2026'!C636),"",IF('ENGAGEMENTS 2026'!C636="DTSI","DCT",'ENGAGEMENTS 2026'!C636))</f>
        <v/>
      </c>
      <c r="B636">
        <f>IF(ISBLANK('ENGAGEMENTS 2026'!C636),"",'ENGAGEMENTS 2026'!D636)</f>
        <v/>
      </c>
      <c r="C636">
        <f>IF(ISBLANK('ENGAGEMENTS 2026'!C636),"",'ENGAGEMENTS 2026'!E636)</f>
        <v/>
      </c>
      <c r="D636">
        <f>IF(ISBLANK('ENGAGEMENTS 2026'!C636),"",'ENGAGEMENTS 2026'!G636)</f>
        <v/>
      </c>
      <c r="E636">
        <f>IF(ISBLANK('ENGAGEMENTS 2026'!C636),"",'ENGAGEMENTS 2026'!I636)</f>
        <v/>
      </c>
      <c r="F636">
        <f>IF(ISBLANK('ENGAGEMENTS 2026'!C636),"",'ENGAGEMENTS 2026'!J636)</f>
        <v/>
      </c>
      <c r="G636">
        <f>IF(ISBLANK('ENGAGEMENTS 2026'!C636),"",'ENGAGEMENTS 2026'!M636)</f>
        <v/>
      </c>
      <c r="H636">
        <f>IF(ISBLANK('ENGAGEMENTS 2026'!C636),"",'ENGAGEMENTS 2026'!AF636)</f>
        <v/>
      </c>
      <c r="I636">
        <f>IF(ISBLANK('ENGAGEMENTS 2026'!C636),"",'ENGAGEMENTS 2026'!H636)</f>
        <v/>
      </c>
      <c r="J636" s="275">
        <f>IF(ISBLANK('ENGAGEMENTS 2026'!C636),"",IF(AND(OR($E636="INFRUCTUEUX",$E636="ANNULE"),$C636="AOO-M"),'ENGAGEMENTS 2026'!P636,IF($H636="EN COURS DE PREENGAGEMENT",'ENGAGEMENTS 2026'!O636,IF($H636="PREENGAGE",IF($E636="ATTRIBUE",'ENGAGEMENTS 2026'!AE636,'ENGAGEMENTS 2026'!O636),'ENGAGEMENTS 2026'!AE636))))</f>
        <v/>
      </c>
      <c r="K636" s="604">
        <f>IF(ISBLANK('ENGAGEMENTS 2026'!W636),"",'ENGAGEMENTS 2026'!W636)</f>
        <v/>
      </c>
      <c r="L636" s="276">
        <f>IF($K636="","",TODAY()-$K636)</f>
        <v/>
      </c>
      <c r="M636">
        <f>IF($A636="","",IF($H636="ENGAGE","Engagé",IF(AND($H636="NON ENGAGE",OR($I636="INFRUCTUEUX",$I636="ANNULE")),"Clôturé sans suite","En cours")))</f>
        <v/>
      </c>
      <c r="N636">
        <f>IF(ISBLANK('ENGAGEMENTS 2026'!C636),"",'ENGAGEMENTS 2026'!L636)</f>
        <v/>
      </c>
      <c r="O636">
        <f>IF(ISBLANK('ENGAGEMENTS 2026'!C636),"",'ENGAGEMENTS 2026'!M636)</f>
        <v/>
      </c>
      <c r="P636">
        <f>IF(ISBLANK('ENGAGEMENTS 2026'!C636),"",'ENGAGEMENTS 2026'!K636)</f>
        <v/>
      </c>
      <c r="Q636">
        <f>IF($A636="","",IF(OR($E636="INFRUCTUEUX",$E636="ANNULE"),$A636&amp;"|"&amp;(COUNTIFS($A$2:$A636,$A636,$E$2:$E636,"INFRUCTUEUX")+COUNTIFS($A$2:$A636,$A636,$E$2:$E636,"ANNULE")),""))</f>
        <v/>
      </c>
    </row>
    <row r="637">
      <c r="A637">
        <f>IF(ISBLANK('ENGAGEMENTS 2026'!C637),"",IF('ENGAGEMENTS 2026'!C637="DTSI","DCT",'ENGAGEMENTS 2026'!C637))</f>
        <v/>
      </c>
      <c r="B637">
        <f>IF(ISBLANK('ENGAGEMENTS 2026'!C637),"",'ENGAGEMENTS 2026'!D637)</f>
        <v/>
      </c>
      <c r="C637">
        <f>IF(ISBLANK('ENGAGEMENTS 2026'!C637),"",'ENGAGEMENTS 2026'!E637)</f>
        <v/>
      </c>
      <c r="D637">
        <f>IF(ISBLANK('ENGAGEMENTS 2026'!C637),"",'ENGAGEMENTS 2026'!G637)</f>
        <v/>
      </c>
      <c r="E637">
        <f>IF(ISBLANK('ENGAGEMENTS 2026'!C637),"",'ENGAGEMENTS 2026'!I637)</f>
        <v/>
      </c>
      <c r="F637">
        <f>IF(ISBLANK('ENGAGEMENTS 2026'!C637),"",'ENGAGEMENTS 2026'!J637)</f>
        <v/>
      </c>
      <c r="G637">
        <f>IF(ISBLANK('ENGAGEMENTS 2026'!C637),"",'ENGAGEMENTS 2026'!M637)</f>
        <v/>
      </c>
      <c r="H637">
        <f>IF(ISBLANK('ENGAGEMENTS 2026'!C637),"",'ENGAGEMENTS 2026'!AF637)</f>
        <v/>
      </c>
      <c r="I637">
        <f>IF(ISBLANK('ENGAGEMENTS 2026'!C637),"",'ENGAGEMENTS 2026'!H637)</f>
        <v/>
      </c>
      <c r="J637" s="275">
        <f>IF(ISBLANK('ENGAGEMENTS 2026'!C637),"",IF(AND(OR($E637="INFRUCTUEUX",$E637="ANNULE"),$C637="AOO-M"),'ENGAGEMENTS 2026'!P637,IF($H637="EN COURS DE PREENGAGEMENT",'ENGAGEMENTS 2026'!O637,IF($H637="PREENGAGE",IF($E637="ATTRIBUE",'ENGAGEMENTS 2026'!AE637,'ENGAGEMENTS 2026'!O637),'ENGAGEMENTS 2026'!AE637))))</f>
        <v/>
      </c>
      <c r="K637" s="604">
        <f>IF(ISBLANK('ENGAGEMENTS 2026'!W637),"",'ENGAGEMENTS 2026'!W637)</f>
        <v/>
      </c>
      <c r="L637" s="276">
        <f>IF($K637="","",TODAY()-$K637)</f>
        <v/>
      </c>
      <c r="M637">
        <f>IF($A637="","",IF($H637="ENGAGE","Engagé",IF(AND($H637="NON ENGAGE",OR($I637="INFRUCTUEUX",$I637="ANNULE")),"Clôturé sans suite","En cours")))</f>
        <v/>
      </c>
      <c r="N637">
        <f>IF(ISBLANK('ENGAGEMENTS 2026'!C637),"",'ENGAGEMENTS 2026'!L637)</f>
        <v/>
      </c>
      <c r="O637">
        <f>IF(ISBLANK('ENGAGEMENTS 2026'!C637),"",'ENGAGEMENTS 2026'!M637)</f>
        <v/>
      </c>
      <c r="P637">
        <f>IF(ISBLANK('ENGAGEMENTS 2026'!C637),"",'ENGAGEMENTS 2026'!K637)</f>
        <v/>
      </c>
      <c r="Q637">
        <f>IF($A637="","",IF(OR($E637="INFRUCTUEUX",$E637="ANNULE"),$A637&amp;"|"&amp;(COUNTIFS($A$2:$A637,$A637,$E$2:$E637,"INFRUCTUEUX")+COUNTIFS($A$2:$A637,$A637,$E$2:$E637,"ANNULE")),""))</f>
        <v/>
      </c>
    </row>
    <row r="638">
      <c r="A638">
        <f>IF(ISBLANK('ENGAGEMENTS 2026'!C638),"",IF('ENGAGEMENTS 2026'!C638="DTSI","DCT",'ENGAGEMENTS 2026'!C638))</f>
        <v/>
      </c>
      <c r="B638">
        <f>IF(ISBLANK('ENGAGEMENTS 2026'!C638),"",'ENGAGEMENTS 2026'!D638)</f>
        <v/>
      </c>
      <c r="C638">
        <f>IF(ISBLANK('ENGAGEMENTS 2026'!C638),"",'ENGAGEMENTS 2026'!E638)</f>
        <v/>
      </c>
      <c r="D638">
        <f>IF(ISBLANK('ENGAGEMENTS 2026'!C638),"",'ENGAGEMENTS 2026'!G638)</f>
        <v/>
      </c>
      <c r="E638">
        <f>IF(ISBLANK('ENGAGEMENTS 2026'!C638),"",'ENGAGEMENTS 2026'!I638)</f>
        <v/>
      </c>
      <c r="F638">
        <f>IF(ISBLANK('ENGAGEMENTS 2026'!C638),"",'ENGAGEMENTS 2026'!J638)</f>
        <v/>
      </c>
      <c r="G638">
        <f>IF(ISBLANK('ENGAGEMENTS 2026'!C638),"",'ENGAGEMENTS 2026'!M638)</f>
        <v/>
      </c>
      <c r="H638">
        <f>IF(ISBLANK('ENGAGEMENTS 2026'!C638),"",'ENGAGEMENTS 2026'!AF638)</f>
        <v/>
      </c>
      <c r="I638">
        <f>IF(ISBLANK('ENGAGEMENTS 2026'!C638),"",'ENGAGEMENTS 2026'!H638)</f>
        <v/>
      </c>
      <c r="J638" s="275">
        <f>IF(ISBLANK('ENGAGEMENTS 2026'!C638),"",IF(AND(OR($E638="INFRUCTUEUX",$E638="ANNULE"),$C638="AOO-M"),'ENGAGEMENTS 2026'!P638,IF($H638="EN COURS DE PREENGAGEMENT",'ENGAGEMENTS 2026'!O638,IF($H638="PREENGAGE",IF($E638="ATTRIBUE",'ENGAGEMENTS 2026'!AE638,'ENGAGEMENTS 2026'!O638),'ENGAGEMENTS 2026'!AE638))))</f>
        <v/>
      </c>
      <c r="K638" s="604">
        <f>IF(ISBLANK('ENGAGEMENTS 2026'!W638),"",'ENGAGEMENTS 2026'!W638)</f>
        <v/>
      </c>
      <c r="L638" s="276">
        <f>IF($K638="","",TODAY()-$K638)</f>
        <v/>
      </c>
      <c r="M638">
        <f>IF($A638="","",IF($H638="ENGAGE","Engagé",IF(AND($H638="NON ENGAGE",OR($I638="INFRUCTUEUX",$I638="ANNULE")),"Clôturé sans suite","En cours")))</f>
        <v/>
      </c>
      <c r="N638">
        <f>IF(ISBLANK('ENGAGEMENTS 2026'!C638),"",'ENGAGEMENTS 2026'!L638)</f>
        <v/>
      </c>
      <c r="O638">
        <f>IF(ISBLANK('ENGAGEMENTS 2026'!C638),"",'ENGAGEMENTS 2026'!M638)</f>
        <v/>
      </c>
      <c r="P638">
        <f>IF(ISBLANK('ENGAGEMENTS 2026'!C638),"",'ENGAGEMENTS 2026'!K638)</f>
        <v/>
      </c>
      <c r="Q638">
        <f>IF($A638="","",IF(OR($E638="INFRUCTUEUX",$E638="ANNULE"),$A638&amp;"|"&amp;(COUNTIFS($A$2:$A638,$A638,$E$2:$E638,"INFRUCTUEUX")+COUNTIFS($A$2:$A638,$A638,$E$2:$E638,"ANNULE")),""))</f>
        <v/>
      </c>
    </row>
    <row r="639">
      <c r="A639">
        <f>IF(ISBLANK('ENGAGEMENTS 2026'!C639),"",IF('ENGAGEMENTS 2026'!C639="DTSI","DCT",'ENGAGEMENTS 2026'!C639))</f>
        <v/>
      </c>
      <c r="B639">
        <f>IF(ISBLANK('ENGAGEMENTS 2026'!C639),"",'ENGAGEMENTS 2026'!D639)</f>
        <v/>
      </c>
      <c r="C639">
        <f>IF(ISBLANK('ENGAGEMENTS 2026'!C639),"",'ENGAGEMENTS 2026'!E639)</f>
        <v/>
      </c>
      <c r="D639">
        <f>IF(ISBLANK('ENGAGEMENTS 2026'!C639),"",'ENGAGEMENTS 2026'!G639)</f>
        <v/>
      </c>
      <c r="E639">
        <f>IF(ISBLANK('ENGAGEMENTS 2026'!C639),"",'ENGAGEMENTS 2026'!I639)</f>
        <v/>
      </c>
      <c r="F639">
        <f>IF(ISBLANK('ENGAGEMENTS 2026'!C639),"",'ENGAGEMENTS 2026'!J639)</f>
        <v/>
      </c>
      <c r="G639">
        <f>IF(ISBLANK('ENGAGEMENTS 2026'!C639),"",'ENGAGEMENTS 2026'!M639)</f>
        <v/>
      </c>
      <c r="H639">
        <f>IF(ISBLANK('ENGAGEMENTS 2026'!C639),"",'ENGAGEMENTS 2026'!AF639)</f>
        <v/>
      </c>
      <c r="I639">
        <f>IF(ISBLANK('ENGAGEMENTS 2026'!C639),"",'ENGAGEMENTS 2026'!H639)</f>
        <v/>
      </c>
      <c r="J639" s="275">
        <f>IF(ISBLANK('ENGAGEMENTS 2026'!C639),"",IF(AND(OR($E639="INFRUCTUEUX",$E639="ANNULE"),$C639="AOO-M"),'ENGAGEMENTS 2026'!P639,IF($H639="EN COURS DE PREENGAGEMENT",'ENGAGEMENTS 2026'!O639,IF($H639="PREENGAGE",IF($E639="ATTRIBUE",'ENGAGEMENTS 2026'!AE639,'ENGAGEMENTS 2026'!O639),'ENGAGEMENTS 2026'!AE639))))</f>
        <v/>
      </c>
      <c r="K639" s="604">
        <f>IF(ISBLANK('ENGAGEMENTS 2026'!W639),"",'ENGAGEMENTS 2026'!W639)</f>
        <v/>
      </c>
      <c r="L639" s="276">
        <f>IF($K639="","",TODAY()-$K639)</f>
        <v/>
      </c>
      <c r="M639">
        <f>IF($A639="","",IF($H639="ENGAGE","Engagé",IF(AND($H639="NON ENGAGE",OR($I639="INFRUCTUEUX",$I639="ANNULE")),"Clôturé sans suite","En cours")))</f>
        <v/>
      </c>
      <c r="N639">
        <f>IF(ISBLANK('ENGAGEMENTS 2026'!C639),"",'ENGAGEMENTS 2026'!L639)</f>
        <v/>
      </c>
      <c r="O639">
        <f>IF(ISBLANK('ENGAGEMENTS 2026'!C639),"",'ENGAGEMENTS 2026'!M639)</f>
        <v/>
      </c>
      <c r="P639">
        <f>IF(ISBLANK('ENGAGEMENTS 2026'!C639),"",'ENGAGEMENTS 2026'!K639)</f>
        <v/>
      </c>
      <c r="Q639">
        <f>IF($A639="","",IF(OR($E639="INFRUCTUEUX",$E639="ANNULE"),$A639&amp;"|"&amp;(COUNTIFS($A$2:$A639,$A639,$E$2:$E639,"INFRUCTUEUX")+COUNTIFS($A$2:$A639,$A639,$E$2:$E639,"ANNULE")),""))</f>
        <v/>
      </c>
    </row>
    <row r="640">
      <c r="A640">
        <f>IF(ISBLANK('ENGAGEMENTS 2026'!C640),"",IF('ENGAGEMENTS 2026'!C640="DTSI","DCT",'ENGAGEMENTS 2026'!C640))</f>
        <v/>
      </c>
      <c r="B640">
        <f>IF(ISBLANK('ENGAGEMENTS 2026'!C640),"",'ENGAGEMENTS 2026'!D640)</f>
        <v/>
      </c>
      <c r="C640">
        <f>IF(ISBLANK('ENGAGEMENTS 2026'!C640),"",'ENGAGEMENTS 2026'!E640)</f>
        <v/>
      </c>
      <c r="D640">
        <f>IF(ISBLANK('ENGAGEMENTS 2026'!C640),"",'ENGAGEMENTS 2026'!G640)</f>
        <v/>
      </c>
      <c r="E640">
        <f>IF(ISBLANK('ENGAGEMENTS 2026'!C640),"",'ENGAGEMENTS 2026'!I640)</f>
        <v/>
      </c>
      <c r="F640">
        <f>IF(ISBLANK('ENGAGEMENTS 2026'!C640),"",'ENGAGEMENTS 2026'!J640)</f>
        <v/>
      </c>
      <c r="G640">
        <f>IF(ISBLANK('ENGAGEMENTS 2026'!C640),"",'ENGAGEMENTS 2026'!M640)</f>
        <v/>
      </c>
      <c r="H640">
        <f>IF(ISBLANK('ENGAGEMENTS 2026'!C640),"",'ENGAGEMENTS 2026'!AF640)</f>
        <v/>
      </c>
      <c r="I640">
        <f>IF(ISBLANK('ENGAGEMENTS 2026'!C640),"",'ENGAGEMENTS 2026'!H640)</f>
        <v/>
      </c>
      <c r="J640" s="275">
        <f>IF(ISBLANK('ENGAGEMENTS 2026'!C640),"",IF(AND(OR($E640="INFRUCTUEUX",$E640="ANNULE"),$C640="AOO-M"),'ENGAGEMENTS 2026'!P640,IF($H640="EN COURS DE PREENGAGEMENT",'ENGAGEMENTS 2026'!O640,IF($H640="PREENGAGE",IF($E640="ATTRIBUE",'ENGAGEMENTS 2026'!AE640,'ENGAGEMENTS 2026'!O640),'ENGAGEMENTS 2026'!AE640))))</f>
        <v/>
      </c>
      <c r="K640" s="604">
        <f>IF(ISBLANK('ENGAGEMENTS 2026'!W640),"",'ENGAGEMENTS 2026'!W640)</f>
        <v/>
      </c>
      <c r="L640" s="276">
        <f>IF($K640="","",TODAY()-$K640)</f>
        <v/>
      </c>
      <c r="M640">
        <f>IF($A640="","",IF($H640="ENGAGE","Engagé",IF(AND($H640="NON ENGAGE",OR($I640="INFRUCTUEUX",$I640="ANNULE")),"Clôturé sans suite","En cours")))</f>
        <v/>
      </c>
      <c r="N640">
        <f>IF(ISBLANK('ENGAGEMENTS 2026'!C640),"",'ENGAGEMENTS 2026'!L640)</f>
        <v/>
      </c>
      <c r="O640">
        <f>IF(ISBLANK('ENGAGEMENTS 2026'!C640),"",'ENGAGEMENTS 2026'!M640)</f>
        <v/>
      </c>
      <c r="P640">
        <f>IF(ISBLANK('ENGAGEMENTS 2026'!C640),"",'ENGAGEMENTS 2026'!K640)</f>
        <v/>
      </c>
      <c r="Q640">
        <f>IF($A640="","",IF(OR($E640="INFRUCTUEUX",$E640="ANNULE"),$A640&amp;"|"&amp;(COUNTIFS($A$2:$A640,$A640,$E$2:$E640,"INFRUCTUEUX")+COUNTIFS($A$2:$A640,$A640,$E$2:$E640,"ANNULE")),""))</f>
        <v/>
      </c>
    </row>
    <row r="641">
      <c r="A641">
        <f>IF(ISBLANK('ENGAGEMENTS 2026'!C641),"",IF('ENGAGEMENTS 2026'!C641="DTSI","DCT",'ENGAGEMENTS 2026'!C641))</f>
        <v/>
      </c>
      <c r="B641">
        <f>IF(ISBLANK('ENGAGEMENTS 2026'!C641),"",'ENGAGEMENTS 2026'!D641)</f>
        <v/>
      </c>
      <c r="C641">
        <f>IF(ISBLANK('ENGAGEMENTS 2026'!C641),"",'ENGAGEMENTS 2026'!E641)</f>
        <v/>
      </c>
      <c r="D641">
        <f>IF(ISBLANK('ENGAGEMENTS 2026'!C641),"",'ENGAGEMENTS 2026'!G641)</f>
        <v/>
      </c>
      <c r="E641">
        <f>IF(ISBLANK('ENGAGEMENTS 2026'!C641),"",'ENGAGEMENTS 2026'!I641)</f>
        <v/>
      </c>
      <c r="F641">
        <f>IF(ISBLANK('ENGAGEMENTS 2026'!C641),"",'ENGAGEMENTS 2026'!J641)</f>
        <v/>
      </c>
      <c r="G641">
        <f>IF(ISBLANK('ENGAGEMENTS 2026'!C641),"",'ENGAGEMENTS 2026'!M641)</f>
        <v/>
      </c>
      <c r="H641">
        <f>IF(ISBLANK('ENGAGEMENTS 2026'!C641),"",'ENGAGEMENTS 2026'!AF641)</f>
        <v/>
      </c>
      <c r="I641">
        <f>IF(ISBLANK('ENGAGEMENTS 2026'!C641),"",'ENGAGEMENTS 2026'!H641)</f>
        <v/>
      </c>
      <c r="J641" s="275">
        <f>IF(ISBLANK('ENGAGEMENTS 2026'!C641),"",IF(AND(OR($E641="INFRUCTUEUX",$E641="ANNULE"),$C641="AOO-M"),'ENGAGEMENTS 2026'!P641,IF($H641="EN COURS DE PREENGAGEMENT",'ENGAGEMENTS 2026'!O641,IF($H641="PREENGAGE",IF($E641="ATTRIBUE",'ENGAGEMENTS 2026'!AE641,'ENGAGEMENTS 2026'!O641),'ENGAGEMENTS 2026'!AE641))))</f>
        <v/>
      </c>
      <c r="K641" s="604">
        <f>IF(ISBLANK('ENGAGEMENTS 2026'!W641),"",'ENGAGEMENTS 2026'!W641)</f>
        <v/>
      </c>
      <c r="L641" s="276">
        <f>IF($K641="","",TODAY()-$K641)</f>
        <v/>
      </c>
      <c r="M641">
        <f>IF($A641="","",IF($H641="ENGAGE","Engagé",IF(AND($H641="NON ENGAGE",OR($I641="INFRUCTUEUX",$I641="ANNULE")),"Clôturé sans suite","En cours")))</f>
        <v/>
      </c>
      <c r="N641">
        <f>IF(ISBLANK('ENGAGEMENTS 2026'!C641),"",'ENGAGEMENTS 2026'!L641)</f>
        <v/>
      </c>
      <c r="O641">
        <f>IF(ISBLANK('ENGAGEMENTS 2026'!C641),"",'ENGAGEMENTS 2026'!M641)</f>
        <v/>
      </c>
      <c r="P641">
        <f>IF(ISBLANK('ENGAGEMENTS 2026'!C641),"",'ENGAGEMENTS 2026'!K641)</f>
        <v/>
      </c>
      <c r="Q641">
        <f>IF($A641="","",IF(OR($E641="INFRUCTUEUX",$E641="ANNULE"),$A641&amp;"|"&amp;(COUNTIFS($A$2:$A641,$A641,$E$2:$E641,"INFRUCTUEUX")+COUNTIFS($A$2:$A641,$A641,$E$2:$E641,"ANNULE")),""))</f>
        <v/>
      </c>
    </row>
    <row r="642">
      <c r="A642">
        <f>IF(ISBLANK('ENGAGEMENTS 2026'!C642),"",IF('ENGAGEMENTS 2026'!C642="DTSI","DCT",'ENGAGEMENTS 2026'!C642))</f>
        <v/>
      </c>
      <c r="B642">
        <f>IF(ISBLANK('ENGAGEMENTS 2026'!C642),"",'ENGAGEMENTS 2026'!D642)</f>
        <v/>
      </c>
      <c r="C642">
        <f>IF(ISBLANK('ENGAGEMENTS 2026'!C642),"",'ENGAGEMENTS 2026'!E642)</f>
        <v/>
      </c>
      <c r="D642">
        <f>IF(ISBLANK('ENGAGEMENTS 2026'!C642),"",'ENGAGEMENTS 2026'!G642)</f>
        <v/>
      </c>
      <c r="E642">
        <f>IF(ISBLANK('ENGAGEMENTS 2026'!C642),"",'ENGAGEMENTS 2026'!I642)</f>
        <v/>
      </c>
      <c r="F642">
        <f>IF(ISBLANK('ENGAGEMENTS 2026'!C642),"",'ENGAGEMENTS 2026'!J642)</f>
        <v/>
      </c>
      <c r="G642">
        <f>IF(ISBLANK('ENGAGEMENTS 2026'!C642),"",'ENGAGEMENTS 2026'!M642)</f>
        <v/>
      </c>
      <c r="H642">
        <f>IF(ISBLANK('ENGAGEMENTS 2026'!C642),"",'ENGAGEMENTS 2026'!AF642)</f>
        <v/>
      </c>
      <c r="I642">
        <f>IF(ISBLANK('ENGAGEMENTS 2026'!C642),"",'ENGAGEMENTS 2026'!H642)</f>
        <v/>
      </c>
      <c r="J642" s="275">
        <f>IF(ISBLANK('ENGAGEMENTS 2026'!C642),"",IF(AND(OR($E642="INFRUCTUEUX",$E642="ANNULE"),$C642="AOO-M"),'ENGAGEMENTS 2026'!P642,IF($H642="EN COURS DE PREENGAGEMENT",'ENGAGEMENTS 2026'!O642,IF($H642="PREENGAGE",IF($E642="ATTRIBUE",'ENGAGEMENTS 2026'!AE642,'ENGAGEMENTS 2026'!O642),'ENGAGEMENTS 2026'!AE642))))</f>
        <v/>
      </c>
      <c r="K642" s="604">
        <f>IF(ISBLANK('ENGAGEMENTS 2026'!W642),"",'ENGAGEMENTS 2026'!W642)</f>
        <v/>
      </c>
      <c r="L642" s="276">
        <f>IF($K642="","",TODAY()-$K642)</f>
        <v/>
      </c>
      <c r="M642">
        <f>IF($A642="","",IF($H642="ENGAGE","Engagé",IF(AND($H642="NON ENGAGE",OR($I642="INFRUCTUEUX",$I642="ANNULE")),"Clôturé sans suite","En cours")))</f>
        <v/>
      </c>
      <c r="N642">
        <f>IF(ISBLANK('ENGAGEMENTS 2026'!C642),"",'ENGAGEMENTS 2026'!L642)</f>
        <v/>
      </c>
      <c r="O642">
        <f>IF(ISBLANK('ENGAGEMENTS 2026'!C642),"",'ENGAGEMENTS 2026'!M642)</f>
        <v/>
      </c>
      <c r="P642">
        <f>IF(ISBLANK('ENGAGEMENTS 2026'!C642),"",'ENGAGEMENTS 2026'!K642)</f>
        <v/>
      </c>
      <c r="Q642">
        <f>IF($A642="","",IF(OR($E642="INFRUCTUEUX",$E642="ANNULE"),$A642&amp;"|"&amp;(COUNTIFS($A$2:$A642,$A642,$E$2:$E642,"INFRUCTUEUX")+COUNTIFS($A$2:$A642,$A642,$E$2:$E642,"ANNULE")),""))</f>
        <v/>
      </c>
    </row>
    <row r="643">
      <c r="A643">
        <f>IF(ISBLANK('ENGAGEMENTS 2026'!C643),"",IF('ENGAGEMENTS 2026'!C643="DTSI","DCT",'ENGAGEMENTS 2026'!C643))</f>
        <v/>
      </c>
      <c r="B643">
        <f>IF(ISBLANK('ENGAGEMENTS 2026'!C643),"",'ENGAGEMENTS 2026'!D643)</f>
        <v/>
      </c>
      <c r="C643">
        <f>IF(ISBLANK('ENGAGEMENTS 2026'!C643),"",'ENGAGEMENTS 2026'!E643)</f>
        <v/>
      </c>
      <c r="D643">
        <f>IF(ISBLANK('ENGAGEMENTS 2026'!C643),"",'ENGAGEMENTS 2026'!G643)</f>
        <v/>
      </c>
      <c r="E643">
        <f>IF(ISBLANK('ENGAGEMENTS 2026'!C643),"",'ENGAGEMENTS 2026'!I643)</f>
        <v/>
      </c>
      <c r="F643">
        <f>IF(ISBLANK('ENGAGEMENTS 2026'!C643),"",'ENGAGEMENTS 2026'!J643)</f>
        <v/>
      </c>
      <c r="G643">
        <f>IF(ISBLANK('ENGAGEMENTS 2026'!C643),"",'ENGAGEMENTS 2026'!M643)</f>
        <v/>
      </c>
      <c r="H643">
        <f>IF(ISBLANK('ENGAGEMENTS 2026'!C643),"",'ENGAGEMENTS 2026'!AF643)</f>
        <v/>
      </c>
      <c r="I643">
        <f>IF(ISBLANK('ENGAGEMENTS 2026'!C643),"",'ENGAGEMENTS 2026'!H643)</f>
        <v/>
      </c>
      <c r="J643" s="275">
        <f>IF(ISBLANK('ENGAGEMENTS 2026'!C643),"",IF(AND(OR($E643="INFRUCTUEUX",$E643="ANNULE"),$C643="AOO-M"),'ENGAGEMENTS 2026'!P643,IF($H643="EN COURS DE PREENGAGEMENT",'ENGAGEMENTS 2026'!O643,IF($H643="PREENGAGE",IF($E643="ATTRIBUE",'ENGAGEMENTS 2026'!AE643,'ENGAGEMENTS 2026'!O643),'ENGAGEMENTS 2026'!AE643))))</f>
        <v/>
      </c>
      <c r="K643" s="604">
        <f>IF(ISBLANK('ENGAGEMENTS 2026'!W643),"",'ENGAGEMENTS 2026'!W643)</f>
        <v/>
      </c>
      <c r="L643" s="276">
        <f>IF($K643="","",TODAY()-$K643)</f>
        <v/>
      </c>
      <c r="M643">
        <f>IF($A643="","",IF($H643="ENGAGE","Engagé",IF(AND($H643="NON ENGAGE",OR($I643="INFRUCTUEUX",$I643="ANNULE")),"Clôturé sans suite","En cours")))</f>
        <v/>
      </c>
      <c r="N643">
        <f>IF(ISBLANK('ENGAGEMENTS 2026'!C643),"",'ENGAGEMENTS 2026'!L643)</f>
        <v/>
      </c>
      <c r="O643">
        <f>IF(ISBLANK('ENGAGEMENTS 2026'!C643),"",'ENGAGEMENTS 2026'!M643)</f>
        <v/>
      </c>
      <c r="P643">
        <f>IF(ISBLANK('ENGAGEMENTS 2026'!C643),"",'ENGAGEMENTS 2026'!K643)</f>
        <v/>
      </c>
      <c r="Q643">
        <f>IF($A643="","",IF(OR($E643="INFRUCTUEUX",$E643="ANNULE"),$A643&amp;"|"&amp;(COUNTIFS($A$2:$A643,$A643,$E$2:$E643,"INFRUCTUEUX")+COUNTIFS($A$2:$A643,$A643,$E$2:$E643,"ANNULE")),""))</f>
        <v/>
      </c>
    </row>
    <row r="644">
      <c r="A644">
        <f>IF(ISBLANK('ENGAGEMENTS 2026'!C644),"",IF('ENGAGEMENTS 2026'!C644="DTSI","DCT",'ENGAGEMENTS 2026'!C644))</f>
        <v/>
      </c>
      <c r="B644">
        <f>IF(ISBLANK('ENGAGEMENTS 2026'!C644),"",'ENGAGEMENTS 2026'!D644)</f>
        <v/>
      </c>
      <c r="C644">
        <f>IF(ISBLANK('ENGAGEMENTS 2026'!C644),"",'ENGAGEMENTS 2026'!E644)</f>
        <v/>
      </c>
      <c r="D644">
        <f>IF(ISBLANK('ENGAGEMENTS 2026'!C644),"",'ENGAGEMENTS 2026'!G644)</f>
        <v/>
      </c>
      <c r="E644">
        <f>IF(ISBLANK('ENGAGEMENTS 2026'!C644),"",'ENGAGEMENTS 2026'!I644)</f>
        <v/>
      </c>
      <c r="F644">
        <f>IF(ISBLANK('ENGAGEMENTS 2026'!C644),"",'ENGAGEMENTS 2026'!J644)</f>
        <v/>
      </c>
      <c r="G644">
        <f>IF(ISBLANK('ENGAGEMENTS 2026'!C644),"",'ENGAGEMENTS 2026'!M644)</f>
        <v/>
      </c>
      <c r="H644">
        <f>IF(ISBLANK('ENGAGEMENTS 2026'!C644),"",'ENGAGEMENTS 2026'!AF644)</f>
        <v/>
      </c>
      <c r="I644">
        <f>IF(ISBLANK('ENGAGEMENTS 2026'!C644),"",'ENGAGEMENTS 2026'!H644)</f>
        <v/>
      </c>
      <c r="J644" s="275">
        <f>IF(ISBLANK('ENGAGEMENTS 2026'!C644),"",IF(AND(OR($E644="INFRUCTUEUX",$E644="ANNULE"),$C644="AOO-M"),'ENGAGEMENTS 2026'!P644,IF($H644="EN COURS DE PREENGAGEMENT",'ENGAGEMENTS 2026'!O644,IF($H644="PREENGAGE",IF($E644="ATTRIBUE",'ENGAGEMENTS 2026'!AE644,'ENGAGEMENTS 2026'!O644),'ENGAGEMENTS 2026'!AE644))))</f>
        <v/>
      </c>
      <c r="K644" s="604">
        <f>IF(ISBLANK('ENGAGEMENTS 2026'!W644),"",'ENGAGEMENTS 2026'!W644)</f>
        <v/>
      </c>
      <c r="L644" s="276">
        <f>IF($K644="","",TODAY()-$K644)</f>
        <v/>
      </c>
      <c r="M644">
        <f>IF($A644="","",IF($H644="ENGAGE","Engagé",IF(AND($H644="NON ENGAGE",OR($I644="INFRUCTUEUX",$I644="ANNULE")),"Clôturé sans suite","En cours")))</f>
        <v/>
      </c>
      <c r="N644">
        <f>IF(ISBLANK('ENGAGEMENTS 2026'!C644),"",'ENGAGEMENTS 2026'!L644)</f>
        <v/>
      </c>
      <c r="O644">
        <f>IF(ISBLANK('ENGAGEMENTS 2026'!C644),"",'ENGAGEMENTS 2026'!M644)</f>
        <v/>
      </c>
      <c r="P644">
        <f>IF(ISBLANK('ENGAGEMENTS 2026'!C644),"",'ENGAGEMENTS 2026'!K644)</f>
        <v/>
      </c>
      <c r="Q644">
        <f>IF($A644="","",IF(OR($E644="INFRUCTUEUX",$E644="ANNULE"),$A644&amp;"|"&amp;(COUNTIFS($A$2:$A644,$A644,$E$2:$E644,"INFRUCTUEUX")+COUNTIFS($A$2:$A644,$A644,$E$2:$E644,"ANNULE")),""))</f>
        <v/>
      </c>
    </row>
    <row r="645">
      <c r="A645">
        <f>IF(ISBLANK('ENGAGEMENTS 2026'!C645),"",IF('ENGAGEMENTS 2026'!C645="DTSI","DCT",'ENGAGEMENTS 2026'!C645))</f>
        <v/>
      </c>
      <c r="B645">
        <f>IF(ISBLANK('ENGAGEMENTS 2026'!C645),"",'ENGAGEMENTS 2026'!D645)</f>
        <v/>
      </c>
      <c r="C645">
        <f>IF(ISBLANK('ENGAGEMENTS 2026'!C645),"",'ENGAGEMENTS 2026'!E645)</f>
        <v/>
      </c>
      <c r="D645">
        <f>IF(ISBLANK('ENGAGEMENTS 2026'!C645),"",'ENGAGEMENTS 2026'!G645)</f>
        <v/>
      </c>
      <c r="E645">
        <f>IF(ISBLANK('ENGAGEMENTS 2026'!C645),"",'ENGAGEMENTS 2026'!I645)</f>
        <v/>
      </c>
      <c r="F645">
        <f>IF(ISBLANK('ENGAGEMENTS 2026'!C645),"",'ENGAGEMENTS 2026'!J645)</f>
        <v/>
      </c>
      <c r="G645">
        <f>IF(ISBLANK('ENGAGEMENTS 2026'!C645),"",'ENGAGEMENTS 2026'!M645)</f>
        <v/>
      </c>
      <c r="H645">
        <f>IF(ISBLANK('ENGAGEMENTS 2026'!C645),"",'ENGAGEMENTS 2026'!AF645)</f>
        <v/>
      </c>
      <c r="I645">
        <f>IF(ISBLANK('ENGAGEMENTS 2026'!C645),"",'ENGAGEMENTS 2026'!H645)</f>
        <v/>
      </c>
      <c r="J645" s="275">
        <f>IF(ISBLANK('ENGAGEMENTS 2026'!C645),"",IF(AND(OR($E645="INFRUCTUEUX",$E645="ANNULE"),$C645="AOO-M"),'ENGAGEMENTS 2026'!P645,IF($H645="EN COURS DE PREENGAGEMENT",'ENGAGEMENTS 2026'!O645,IF($H645="PREENGAGE",IF($E645="ATTRIBUE",'ENGAGEMENTS 2026'!AE645,'ENGAGEMENTS 2026'!O645),'ENGAGEMENTS 2026'!AE645))))</f>
        <v/>
      </c>
      <c r="K645" s="604">
        <f>IF(ISBLANK('ENGAGEMENTS 2026'!W645),"",'ENGAGEMENTS 2026'!W645)</f>
        <v/>
      </c>
      <c r="L645" s="276">
        <f>IF($K645="","",TODAY()-$K645)</f>
        <v/>
      </c>
      <c r="M645">
        <f>IF($A645="","",IF($H645="ENGAGE","Engagé",IF(AND($H645="NON ENGAGE",OR($I645="INFRUCTUEUX",$I645="ANNULE")),"Clôturé sans suite","En cours")))</f>
        <v/>
      </c>
      <c r="N645">
        <f>IF(ISBLANK('ENGAGEMENTS 2026'!C645),"",'ENGAGEMENTS 2026'!L645)</f>
        <v/>
      </c>
      <c r="O645">
        <f>IF(ISBLANK('ENGAGEMENTS 2026'!C645),"",'ENGAGEMENTS 2026'!M645)</f>
        <v/>
      </c>
      <c r="P645">
        <f>IF(ISBLANK('ENGAGEMENTS 2026'!C645),"",'ENGAGEMENTS 2026'!K645)</f>
        <v/>
      </c>
      <c r="Q645">
        <f>IF($A645="","",IF(OR($E645="INFRUCTUEUX",$E645="ANNULE"),$A645&amp;"|"&amp;(COUNTIFS($A$2:$A645,$A645,$E$2:$E645,"INFRUCTUEUX")+COUNTIFS($A$2:$A645,$A645,$E$2:$E645,"ANNULE")),""))</f>
        <v/>
      </c>
    </row>
    <row r="646">
      <c r="A646">
        <f>IF(ISBLANK('ENGAGEMENTS 2026'!C646),"",IF('ENGAGEMENTS 2026'!C646="DTSI","DCT",'ENGAGEMENTS 2026'!C646))</f>
        <v/>
      </c>
      <c r="B646">
        <f>IF(ISBLANK('ENGAGEMENTS 2026'!C646),"",'ENGAGEMENTS 2026'!D646)</f>
        <v/>
      </c>
      <c r="C646">
        <f>IF(ISBLANK('ENGAGEMENTS 2026'!C646),"",'ENGAGEMENTS 2026'!E646)</f>
        <v/>
      </c>
      <c r="D646">
        <f>IF(ISBLANK('ENGAGEMENTS 2026'!C646),"",'ENGAGEMENTS 2026'!G646)</f>
        <v/>
      </c>
      <c r="E646">
        <f>IF(ISBLANK('ENGAGEMENTS 2026'!C646),"",'ENGAGEMENTS 2026'!I646)</f>
        <v/>
      </c>
      <c r="F646">
        <f>IF(ISBLANK('ENGAGEMENTS 2026'!C646),"",'ENGAGEMENTS 2026'!J646)</f>
        <v/>
      </c>
      <c r="G646">
        <f>IF(ISBLANK('ENGAGEMENTS 2026'!C646),"",'ENGAGEMENTS 2026'!M646)</f>
        <v/>
      </c>
      <c r="H646">
        <f>IF(ISBLANK('ENGAGEMENTS 2026'!C646),"",'ENGAGEMENTS 2026'!AF646)</f>
        <v/>
      </c>
      <c r="I646">
        <f>IF(ISBLANK('ENGAGEMENTS 2026'!C646),"",'ENGAGEMENTS 2026'!H646)</f>
        <v/>
      </c>
      <c r="J646" s="275">
        <f>IF(ISBLANK('ENGAGEMENTS 2026'!C646),"",IF(AND(OR($E646="INFRUCTUEUX",$E646="ANNULE"),$C646="AOO-M"),'ENGAGEMENTS 2026'!P646,IF($H646="EN COURS DE PREENGAGEMENT",'ENGAGEMENTS 2026'!O646,IF($H646="PREENGAGE",IF($E646="ATTRIBUE",'ENGAGEMENTS 2026'!AE646,'ENGAGEMENTS 2026'!O646),'ENGAGEMENTS 2026'!AE646))))</f>
        <v/>
      </c>
      <c r="K646" s="604">
        <f>IF(ISBLANK('ENGAGEMENTS 2026'!W646),"",'ENGAGEMENTS 2026'!W646)</f>
        <v/>
      </c>
      <c r="L646" s="276">
        <f>IF($K646="","",TODAY()-$K646)</f>
        <v/>
      </c>
      <c r="M646">
        <f>IF($A646="","",IF($H646="ENGAGE","Engagé",IF(AND($H646="NON ENGAGE",OR($I646="INFRUCTUEUX",$I646="ANNULE")),"Clôturé sans suite","En cours")))</f>
        <v/>
      </c>
      <c r="N646">
        <f>IF(ISBLANK('ENGAGEMENTS 2026'!C646),"",'ENGAGEMENTS 2026'!L646)</f>
        <v/>
      </c>
      <c r="O646">
        <f>IF(ISBLANK('ENGAGEMENTS 2026'!C646),"",'ENGAGEMENTS 2026'!M646)</f>
        <v/>
      </c>
      <c r="P646">
        <f>IF(ISBLANK('ENGAGEMENTS 2026'!C646),"",'ENGAGEMENTS 2026'!K646)</f>
        <v/>
      </c>
      <c r="Q646">
        <f>IF($A646="","",IF(OR($E646="INFRUCTUEUX",$E646="ANNULE"),$A646&amp;"|"&amp;(COUNTIFS($A$2:$A646,$A646,$E$2:$E646,"INFRUCTUEUX")+COUNTIFS($A$2:$A646,$A646,$E$2:$E646,"ANNULE")),""))</f>
        <v/>
      </c>
    </row>
    <row r="647">
      <c r="A647">
        <f>IF(ISBLANK('ENGAGEMENTS 2026'!C647),"",IF('ENGAGEMENTS 2026'!C647="DTSI","DCT",'ENGAGEMENTS 2026'!C647))</f>
        <v/>
      </c>
      <c r="B647">
        <f>IF(ISBLANK('ENGAGEMENTS 2026'!C647),"",'ENGAGEMENTS 2026'!D647)</f>
        <v/>
      </c>
      <c r="C647">
        <f>IF(ISBLANK('ENGAGEMENTS 2026'!C647),"",'ENGAGEMENTS 2026'!E647)</f>
        <v/>
      </c>
      <c r="D647">
        <f>IF(ISBLANK('ENGAGEMENTS 2026'!C647),"",'ENGAGEMENTS 2026'!G647)</f>
        <v/>
      </c>
      <c r="E647">
        <f>IF(ISBLANK('ENGAGEMENTS 2026'!C647),"",'ENGAGEMENTS 2026'!I647)</f>
        <v/>
      </c>
      <c r="F647">
        <f>IF(ISBLANK('ENGAGEMENTS 2026'!C647),"",'ENGAGEMENTS 2026'!J647)</f>
        <v/>
      </c>
      <c r="G647">
        <f>IF(ISBLANK('ENGAGEMENTS 2026'!C647),"",'ENGAGEMENTS 2026'!M647)</f>
        <v/>
      </c>
      <c r="H647">
        <f>IF(ISBLANK('ENGAGEMENTS 2026'!C647),"",'ENGAGEMENTS 2026'!AF647)</f>
        <v/>
      </c>
      <c r="I647">
        <f>IF(ISBLANK('ENGAGEMENTS 2026'!C647),"",'ENGAGEMENTS 2026'!H647)</f>
        <v/>
      </c>
      <c r="J647" s="275">
        <f>IF(ISBLANK('ENGAGEMENTS 2026'!C647),"",IF(AND(OR($E647="INFRUCTUEUX",$E647="ANNULE"),$C647="AOO-M"),'ENGAGEMENTS 2026'!P647,IF($H647="EN COURS DE PREENGAGEMENT",'ENGAGEMENTS 2026'!O647,IF($H647="PREENGAGE",IF($E647="ATTRIBUE",'ENGAGEMENTS 2026'!AE647,'ENGAGEMENTS 2026'!O647),'ENGAGEMENTS 2026'!AE647))))</f>
        <v/>
      </c>
      <c r="K647" s="604">
        <f>IF(ISBLANK('ENGAGEMENTS 2026'!W647),"",'ENGAGEMENTS 2026'!W647)</f>
        <v/>
      </c>
      <c r="L647" s="276">
        <f>IF($K647="","",TODAY()-$K647)</f>
        <v/>
      </c>
      <c r="M647">
        <f>IF($A647="","",IF($H647="ENGAGE","Engagé",IF(AND($H647="NON ENGAGE",OR($I647="INFRUCTUEUX",$I647="ANNULE")),"Clôturé sans suite","En cours")))</f>
        <v/>
      </c>
      <c r="N647">
        <f>IF(ISBLANK('ENGAGEMENTS 2026'!C647),"",'ENGAGEMENTS 2026'!L647)</f>
        <v/>
      </c>
      <c r="O647">
        <f>IF(ISBLANK('ENGAGEMENTS 2026'!C647),"",'ENGAGEMENTS 2026'!M647)</f>
        <v/>
      </c>
      <c r="P647">
        <f>IF(ISBLANK('ENGAGEMENTS 2026'!C647),"",'ENGAGEMENTS 2026'!K647)</f>
        <v/>
      </c>
      <c r="Q647">
        <f>IF($A647="","",IF(OR($E647="INFRUCTUEUX",$E647="ANNULE"),$A647&amp;"|"&amp;(COUNTIFS($A$2:$A647,$A647,$E$2:$E647,"INFRUCTUEUX")+COUNTIFS($A$2:$A647,$A647,$E$2:$E647,"ANNULE")),""))</f>
        <v/>
      </c>
    </row>
    <row r="648">
      <c r="A648">
        <f>IF(ISBLANK('ENGAGEMENTS 2026'!C648),"",IF('ENGAGEMENTS 2026'!C648="DTSI","DCT",'ENGAGEMENTS 2026'!C648))</f>
        <v/>
      </c>
      <c r="B648">
        <f>IF(ISBLANK('ENGAGEMENTS 2026'!C648),"",'ENGAGEMENTS 2026'!D648)</f>
        <v/>
      </c>
      <c r="C648">
        <f>IF(ISBLANK('ENGAGEMENTS 2026'!C648),"",'ENGAGEMENTS 2026'!E648)</f>
        <v/>
      </c>
      <c r="D648">
        <f>IF(ISBLANK('ENGAGEMENTS 2026'!C648),"",'ENGAGEMENTS 2026'!G648)</f>
        <v/>
      </c>
      <c r="E648">
        <f>IF(ISBLANK('ENGAGEMENTS 2026'!C648),"",'ENGAGEMENTS 2026'!I648)</f>
        <v/>
      </c>
      <c r="F648">
        <f>IF(ISBLANK('ENGAGEMENTS 2026'!C648),"",'ENGAGEMENTS 2026'!J648)</f>
        <v/>
      </c>
      <c r="G648">
        <f>IF(ISBLANK('ENGAGEMENTS 2026'!C648),"",'ENGAGEMENTS 2026'!M648)</f>
        <v/>
      </c>
      <c r="H648">
        <f>IF(ISBLANK('ENGAGEMENTS 2026'!C648),"",'ENGAGEMENTS 2026'!AF648)</f>
        <v/>
      </c>
      <c r="I648">
        <f>IF(ISBLANK('ENGAGEMENTS 2026'!C648),"",'ENGAGEMENTS 2026'!H648)</f>
        <v/>
      </c>
      <c r="J648" s="275">
        <f>IF(ISBLANK('ENGAGEMENTS 2026'!C648),"",IF(AND(OR($E648="INFRUCTUEUX",$E648="ANNULE"),$C648="AOO-M"),'ENGAGEMENTS 2026'!P648,IF($H648="EN COURS DE PREENGAGEMENT",'ENGAGEMENTS 2026'!O648,IF($H648="PREENGAGE",IF($E648="ATTRIBUE",'ENGAGEMENTS 2026'!AE648,'ENGAGEMENTS 2026'!O648),'ENGAGEMENTS 2026'!AE648))))</f>
        <v/>
      </c>
      <c r="K648" s="604">
        <f>IF(ISBLANK('ENGAGEMENTS 2026'!W648),"",'ENGAGEMENTS 2026'!W648)</f>
        <v/>
      </c>
      <c r="L648" s="276">
        <f>IF($K648="","",TODAY()-$K648)</f>
        <v/>
      </c>
      <c r="M648">
        <f>IF($A648="","",IF($H648="ENGAGE","Engagé",IF(AND($H648="NON ENGAGE",OR($I648="INFRUCTUEUX",$I648="ANNULE")),"Clôturé sans suite","En cours")))</f>
        <v/>
      </c>
      <c r="N648">
        <f>IF(ISBLANK('ENGAGEMENTS 2026'!C648),"",'ENGAGEMENTS 2026'!L648)</f>
        <v/>
      </c>
      <c r="O648">
        <f>IF(ISBLANK('ENGAGEMENTS 2026'!C648),"",'ENGAGEMENTS 2026'!M648)</f>
        <v/>
      </c>
      <c r="P648">
        <f>IF(ISBLANK('ENGAGEMENTS 2026'!C648),"",'ENGAGEMENTS 2026'!K648)</f>
        <v/>
      </c>
      <c r="Q648">
        <f>IF($A648="","",IF(OR($E648="INFRUCTUEUX",$E648="ANNULE"),$A648&amp;"|"&amp;(COUNTIFS($A$2:$A648,$A648,$E$2:$E648,"INFRUCTUEUX")+COUNTIFS($A$2:$A648,$A648,$E$2:$E648,"ANNULE")),""))</f>
        <v/>
      </c>
    </row>
    <row r="649">
      <c r="A649">
        <f>IF(ISBLANK('ENGAGEMENTS 2026'!C649),"",IF('ENGAGEMENTS 2026'!C649="DTSI","DCT",'ENGAGEMENTS 2026'!C649))</f>
        <v/>
      </c>
      <c r="B649">
        <f>IF(ISBLANK('ENGAGEMENTS 2026'!C649),"",'ENGAGEMENTS 2026'!D649)</f>
        <v/>
      </c>
      <c r="C649">
        <f>IF(ISBLANK('ENGAGEMENTS 2026'!C649),"",'ENGAGEMENTS 2026'!E649)</f>
        <v/>
      </c>
      <c r="D649">
        <f>IF(ISBLANK('ENGAGEMENTS 2026'!C649),"",'ENGAGEMENTS 2026'!G649)</f>
        <v/>
      </c>
      <c r="E649">
        <f>IF(ISBLANK('ENGAGEMENTS 2026'!C649),"",'ENGAGEMENTS 2026'!I649)</f>
        <v/>
      </c>
      <c r="F649">
        <f>IF(ISBLANK('ENGAGEMENTS 2026'!C649),"",'ENGAGEMENTS 2026'!J649)</f>
        <v/>
      </c>
      <c r="G649">
        <f>IF(ISBLANK('ENGAGEMENTS 2026'!C649),"",'ENGAGEMENTS 2026'!M649)</f>
        <v/>
      </c>
      <c r="H649">
        <f>IF(ISBLANK('ENGAGEMENTS 2026'!C649),"",'ENGAGEMENTS 2026'!AF649)</f>
        <v/>
      </c>
      <c r="I649">
        <f>IF(ISBLANK('ENGAGEMENTS 2026'!C649),"",'ENGAGEMENTS 2026'!H649)</f>
        <v/>
      </c>
      <c r="J649" s="275">
        <f>IF(ISBLANK('ENGAGEMENTS 2026'!C649),"",IF(AND(OR($E649="INFRUCTUEUX",$E649="ANNULE"),$C649="AOO-M"),'ENGAGEMENTS 2026'!P649,IF($H649="EN COURS DE PREENGAGEMENT",'ENGAGEMENTS 2026'!O649,IF($H649="PREENGAGE",IF($E649="ATTRIBUE",'ENGAGEMENTS 2026'!AE649,'ENGAGEMENTS 2026'!O649),'ENGAGEMENTS 2026'!AE649))))</f>
        <v/>
      </c>
      <c r="K649" s="604">
        <f>IF(ISBLANK('ENGAGEMENTS 2026'!W649),"",'ENGAGEMENTS 2026'!W649)</f>
        <v/>
      </c>
      <c r="L649" s="276">
        <f>IF($K649="","",TODAY()-$K649)</f>
        <v/>
      </c>
      <c r="M649">
        <f>IF($A649="","",IF($H649="ENGAGE","Engagé",IF(AND($H649="NON ENGAGE",OR($I649="INFRUCTUEUX",$I649="ANNULE")),"Clôturé sans suite","En cours")))</f>
        <v/>
      </c>
      <c r="N649">
        <f>IF(ISBLANK('ENGAGEMENTS 2026'!C649),"",'ENGAGEMENTS 2026'!L649)</f>
        <v/>
      </c>
      <c r="O649">
        <f>IF(ISBLANK('ENGAGEMENTS 2026'!C649),"",'ENGAGEMENTS 2026'!M649)</f>
        <v/>
      </c>
      <c r="P649">
        <f>IF(ISBLANK('ENGAGEMENTS 2026'!C649),"",'ENGAGEMENTS 2026'!K649)</f>
        <v/>
      </c>
      <c r="Q649">
        <f>IF($A649="","",IF(OR($E649="INFRUCTUEUX",$E649="ANNULE"),$A649&amp;"|"&amp;(COUNTIFS($A$2:$A649,$A649,$E$2:$E649,"INFRUCTUEUX")+COUNTIFS($A$2:$A649,$A649,$E$2:$E649,"ANNULE")),""))</f>
        <v/>
      </c>
    </row>
    <row r="650">
      <c r="A650">
        <f>IF(ISBLANK('ENGAGEMENTS 2026'!C650),"",IF('ENGAGEMENTS 2026'!C650="DTSI","DCT",'ENGAGEMENTS 2026'!C650))</f>
        <v/>
      </c>
      <c r="B650">
        <f>IF(ISBLANK('ENGAGEMENTS 2026'!C650),"",'ENGAGEMENTS 2026'!D650)</f>
        <v/>
      </c>
      <c r="C650">
        <f>IF(ISBLANK('ENGAGEMENTS 2026'!C650),"",'ENGAGEMENTS 2026'!E650)</f>
        <v/>
      </c>
      <c r="D650">
        <f>IF(ISBLANK('ENGAGEMENTS 2026'!C650),"",'ENGAGEMENTS 2026'!G650)</f>
        <v/>
      </c>
      <c r="E650">
        <f>IF(ISBLANK('ENGAGEMENTS 2026'!C650),"",'ENGAGEMENTS 2026'!I650)</f>
        <v/>
      </c>
      <c r="F650">
        <f>IF(ISBLANK('ENGAGEMENTS 2026'!C650),"",'ENGAGEMENTS 2026'!J650)</f>
        <v/>
      </c>
      <c r="G650">
        <f>IF(ISBLANK('ENGAGEMENTS 2026'!C650),"",'ENGAGEMENTS 2026'!M650)</f>
        <v/>
      </c>
      <c r="H650">
        <f>IF(ISBLANK('ENGAGEMENTS 2026'!C650),"",'ENGAGEMENTS 2026'!AF650)</f>
        <v/>
      </c>
      <c r="I650">
        <f>IF(ISBLANK('ENGAGEMENTS 2026'!C650),"",'ENGAGEMENTS 2026'!H650)</f>
        <v/>
      </c>
      <c r="J650" s="275">
        <f>IF(ISBLANK('ENGAGEMENTS 2026'!C650),"",IF(AND(OR($E650="INFRUCTUEUX",$E650="ANNULE"),$C650="AOO-M"),'ENGAGEMENTS 2026'!P650,IF($H650="EN COURS DE PREENGAGEMENT",'ENGAGEMENTS 2026'!O650,IF($H650="PREENGAGE",IF($E650="ATTRIBUE",'ENGAGEMENTS 2026'!AE650,'ENGAGEMENTS 2026'!O650),'ENGAGEMENTS 2026'!AE650))))</f>
        <v/>
      </c>
      <c r="K650" s="604">
        <f>IF(ISBLANK('ENGAGEMENTS 2026'!W650),"",'ENGAGEMENTS 2026'!W650)</f>
        <v/>
      </c>
      <c r="L650" s="276">
        <f>IF($K650="","",TODAY()-$K650)</f>
        <v/>
      </c>
      <c r="M650">
        <f>IF($A650="","",IF($H650="ENGAGE","Engagé",IF(AND($H650="NON ENGAGE",OR($I650="INFRUCTUEUX",$I650="ANNULE")),"Clôturé sans suite","En cours")))</f>
        <v/>
      </c>
      <c r="N650">
        <f>IF(ISBLANK('ENGAGEMENTS 2026'!C650),"",'ENGAGEMENTS 2026'!L650)</f>
        <v/>
      </c>
      <c r="O650">
        <f>IF(ISBLANK('ENGAGEMENTS 2026'!C650),"",'ENGAGEMENTS 2026'!M650)</f>
        <v/>
      </c>
      <c r="P650">
        <f>IF(ISBLANK('ENGAGEMENTS 2026'!C650),"",'ENGAGEMENTS 2026'!K650)</f>
        <v/>
      </c>
      <c r="Q650">
        <f>IF($A650="","",IF(OR($E650="INFRUCTUEUX",$E650="ANNULE"),$A650&amp;"|"&amp;(COUNTIFS($A$2:$A650,$A650,$E$2:$E650,"INFRUCTUEUX")+COUNTIFS($A$2:$A650,$A650,$E$2:$E650,"ANNULE")),""))</f>
        <v/>
      </c>
    </row>
    <row r="651">
      <c r="A651">
        <f>IF(ISBLANK('ENGAGEMENTS 2026'!C651),"",IF('ENGAGEMENTS 2026'!C651="DTSI","DCT",'ENGAGEMENTS 2026'!C651))</f>
        <v/>
      </c>
      <c r="B651">
        <f>IF(ISBLANK('ENGAGEMENTS 2026'!C651),"",'ENGAGEMENTS 2026'!D651)</f>
        <v/>
      </c>
      <c r="C651">
        <f>IF(ISBLANK('ENGAGEMENTS 2026'!C651),"",'ENGAGEMENTS 2026'!E651)</f>
        <v/>
      </c>
      <c r="D651">
        <f>IF(ISBLANK('ENGAGEMENTS 2026'!C651),"",'ENGAGEMENTS 2026'!G651)</f>
        <v/>
      </c>
      <c r="E651">
        <f>IF(ISBLANK('ENGAGEMENTS 2026'!C651),"",'ENGAGEMENTS 2026'!I651)</f>
        <v/>
      </c>
      <c r="F651">
        <f>IF(ISBLANK('ENGAGEMENTS 2026'!C651),"",'ENGAGEMENTS 2026'!J651)</f>
        <v/>
      </c>
      <c r="G651">
        <f>IF(ISBLANK('ENGAGEMENTS 2026'!C651),"",'ENGAGEMENTS 2026'!M651)</f>
        <v/>
      </c>
      <c r="H651">
        <f>IF(ISBLANK('ENGAGEMENTS 2026'!C651),"",'ENGAGEMENTS 2026'!AF651)</f>
        <v/>
      </c>
      <c r="I651">
        <f>IF(ISBLANK('ENGAGEMENTS 2026'!C651),"",'ENGAGEMENTS 2026'!H651)</f>
        <v/>
      </c>
      <c r="J651" s="275">
        <f>IF(ISBLANK('ENGAGEMENTS 2026'!C651),"",IF(AND(OR($E651="INFRUCTUEUX",$E651="ANNULE"),$C651="AOO-M"),'ENGAGEMENTS 2026'!P651,IF($H651="EN COURS DE PREENGAGEMENT",'ENGAGEMENTS 2026'!O651,IF($H651="PREENGAGE",IF($E651="ATTRIBUE",'ENGAGEMENTS 2026'!AE651,'ENGAGEMENTS 2026'!O651),'ENGAGEMENTS 2026'!AE651))))</f>
        <v/>
      </c>
      <c r="K651" s="604">
        <f>IF(ISBLANK('ENGAGEMENTS 2026'!W651),"",'ENGAGEMENTS 2026'!W651)</f>
        <v/>
      </c>
      <c r="L651" s="276">
        <f>IF($K651="","",TODAY()-$K651)</f>
        <v/>
      </c>
      <c r="M651">
        <f>IF($A651="","",IF($H651="ENGAGE","Engagé",IF(AND($H651="NON ENGAGE",OR($I651="INFRUCTUEUX",$I651="ANNULE")),"Clôturé sans suite","En cours")))</f>
        <v/>
      </c>
      <c r="N651">
        <f>IF(ISBLANK('ENGAGEMENTS 2026'!C651),"",'ENGAGEMENTS 2026'!L651)</f>
        <v/>
      </c>
      <c r="O651">
        <f>IF(ISBLANK('ENGAGEMENTS 2026'!C651),"",'ENGAGEMENTS 2026'!M651)</f>
        <v/>
      </c>
      <c r="P651">
        <f>IF(ISBLANK('ENGAGEMENTS 2026'!C651),"",'ENGAGEMENTS 2026'!K651)</f>
        <v/>
      </c>
      <c r="Q651">
        <f>IF($A651="","",IF(OR($E651="INFRUCTUEUX",$E651="ANNULE"),$A651&amp;"|"&amp;(COUNTIFS($A$2:$A651,$A651,$E$2:$E651,"INFRUCTUEUX")+COUNTIFS($A$2:$A651,$A651,$E$2:$E651,"ANNULE")),""))</f>
        <v/>
      </c>
    </row>
    <row r="652">
      <c r="A652">
        <f>IF(ISBLANK('ENGAGEMENTS 2026'!C652),"",IF('ENGAGEMENTS 2026'!C652="DTSI","DCT",'ENGAGEMENTS 2026'!C652))</f>
        <v/>
      </c>
      <c r="B652">
        <f>IF(ISBLANK('ENGAGEMENTS 2026'!C652),"",'ENGAGEMENTS 2026'!D652)</f>
        <v/>
      </c>
      <c r="C652">
        <f>IF(ISBLANK('ENGAGEMENTS 2026'!C652),"",'ENGAGEMENTS 2026'!E652)</f>
        <v/>
      </c>
      <c r="D652">
        <f>IF(ISBLANK('ENGAGEMENTS 2026'!C652),"",'ENGAGEMENTS 2026'!G652)</f>
        <v/>
      </c>
      <c r="E652">
        <f>IF(ISBLANK('ENGAGEMENTS 2026'!C652),"",'ENGAGEMENTS 2026'!I652)</f>
        <v/>
      </c>
      <c r="F652">
        <f>IF(ISBLANK('ENGAGEMENTS 2026'!C652),"",'ENGAGEMENTS 2026'!J652)</f>
        <v/>
      </c>
      <c r="G652">
        <f>IF(ISBLANK('ENGAGEMENTS 2026'!C652),"",'ENGAGEMENTS 2026'!M652)</f>
        <v/>
      </c>
      <c r="H652">
        <f>IF(ISBLANK('ENGAGEMENTS 2026'!C652),"",'ENGAGEMENTS 2026'!AF652)</f>
        <v/>
      </c>
      <c r="I652">
        <f>IF(ISBLANK('ENGAGEMENTS 2026'!C652),"",'ENGAGEMENTS 2026'!H652)</f>
        <v/>
      </c>
      <c r="J652" s="275">
        <f>IF(ISBLANK('ENGAGEMENTS 2026'!C652),"",IF(AND(OR($E652="INFRUCTUEUX",$E652="ANNULE"),$C652="AOO-M"),'ENGAGEMENTS 2026'!P652,IF($H652="EN COURS DE PREENGAGEMENT",'ENGAGEMENTS 2026'!O652,IF($H652="PREENGAGE",IF($E652="ATTRIBUE",'ENGAGEMENTS 2026'!AE652,'ENGAGEMENTS 2026'!O652),'ENGAGEMENTS 2026'!AE652))))</f>
        <v/>
      </c>
      <c r="K652" s="604">
        <f>IF(ISBLANK('ENGAGEMENTS 2026'!W652),"",'ENGAGEMENTS 2026'!W652)</f>
        <v/>
      </c>
      <c r="L652" s="276">
        <f>IF($K652="","",TODAY()-$K652)</f>
        <v/>
      </c>
      <c r="M652">
        <f>IF($A652="","",IF($H652="ENGAGE","Engagé",IF(AND($H652="NON ENGAGE",OR($I652="INFRUCTUEUX",$I652="ANNULE")),"Clôturé sans suite","En cours")))</f>
        <v/>
      </c>
      <c r="N652">
        <f>IF(ISBLANK('ENGAGEMENTS 2026'!C652),"",'ENGAGEMENTS 2026'!L652)</f>
        <v/>
      </c>
      <c r="O652">
        <f>IF(ISBLANK('ENGAGEMENTS 2026'!C652),"",'ENGAGEMENTS 2026'!M652)</f>
        <v/>
      </c>
      <c r="P652">
        <f>IF(ISBLANK('ENGAGEMENTS 2026'!C652),"",'ENGAGEMENTS 2026'!K652)</f>
        <v/>
      </c>
      <c r="Q652">
        <f>IF($A652="","",IF(OR($E652="INFRUCTUEUX",$E652="ANNULE"),$A652&amp;"|"&amp;(COUNTIFS($A$2:$A652,$A652,$E$2:$E652,"INFRUCTUEUX")+COUNTIFS($A$2:$A652,$A652,$E$2:$E652,"ANNULE")),""))</f>
        <v/>
      </c>
    </row>
    <row r="653">
      <c r="A653">
        <f>IF(ISBLANK('ENGAGEMENTS 2026'!C653),"",IF('ENGAGEMENTS 2026'!C653="DTSI","DCT",'ENGAGEMENTS 2026'!C653))</f>
        <v/>
      </c>
      <c r="B653">
        <f>IF(ISBLANK('ENGAGEMENTS 2026'!C653),"",'ENGAGEMENTS 2026'!D653)</f>
        <v/>
      </c>
      <c r="C653">
        <f>IF(ISBLANK('ENGAGEMENTS 2026'!C653),"",'ENGAGEMENTS 2026'!E653)</f>
        <v/>
      </c>
      <c r="D653">
        <f>IF(ISBLANK('ENGAGEMENTS 2026'!C653),"",'ENGAGEMENTS 2026'!G653)</f>
        <v/>
      </c>
      <c r="E653">
        <f>IF(ISBLANK('ENGAGEMENTS 2026'!C653),"",'ENGAGEMENTS 2026'!I653)</f>
        <v/>
      </c>
      <c r="F653">
        <f>IF(ISBLANK('ENGAGEMENTS 2026'!C653),"",'ENGAGEMENTS 2026'!J653)</f>
        <v/>
      </c>
      <c r="G653">
        <f>IF(ISBLANK('ENGAGEMENTS 2026'!C653),"",'ENGAGEMENTS 2026'!M653)</f>
        <v/>
      </c>
      <c r="H653">
        <f>IF(ISBLANK('ENGAGEMENTS 2026'!C653),"",'ENGAGEMENTS 2026'!AF653)</f>
        <v/>
      </c>
      <c r="I653">
        <f>IF(ISBLANK('ENGAGEMENTS 2026'!C653),"",'ENGAGEMENTS 2026'!H653)</f>
        <v/>
      </c>
      <c r="J653" s="275">
        <f>IF(ISBLANK('ENGAGEMENTS 2026'!C653),"",IF(AND(OR($E653="INFRUCTUEUX",$E653="ANNULE"),$C653="AOO-M"),'ENGAGEMENTS 2026'!P653,IF($H653="EN COURS DE PREENGAGEMENT",'ENGAGEMENTS 2026'!O653,IF($H653="PREENGAGE",IF($E653="ATTRIBUE",'ENGAGEMENTS 2026'!AE653,'ENGAGEMENTS 2026'!O653),'ENGAGEMENTS 2026'!AE653))))</f>
        <v/>
      </c>
      <c r="K653" s="604">
        <f>IF(ISBLANK('ENGAGEMENTS 2026'!W653),"",'ENGAGEMENTS 2026'!W653)</f>
        <v/>
      </c>
      <c r="L653" s="276">
        <f>IF($K653="","",TODAY()-$K653)</f>
        <v/>
      </c>
      <c r="M653">
        <f>IF($A653="","",IF($H653="ENGAGE","Engagé",IF(AND($H653="NON ENGAGE",OR($I653="INFRUCTUEUX",$I653="ANNULE")),"Clôturé sans suite","En cours")))</f>
        <v/>
      </c>
      <c r="N653">
        <f>IF(ISBLANK('ENGAGEMENTS 2026'!C653),"",'ENGAGEMENTS 2026'!L653)</f>
        <v/>
      </c>
      <c r="O653">
        <f>IF(ISBLANK('ENGAGEMENTS 2026'!C653),"",'ENGAGEMENTS 2026'!M653)</f>
        <v/>
      </c>
      <c r="P653">
        <f>IF(ISBLANK('ENGAGEMENTS 2026'!C653),"",'ENGAGEMENTS 2026'!K653)</f>
        <v/>
      </c>
      <c r="Q653">
        <f>IF($A653="","",IF(OR($E653="INFRUCTUEUX",$E653="ANNULE"),$A653&amp;"|"&amp;(COUNTIFS($A$2:$A653,$A653,$E$2:$E653,"INFRUCTUEUX")+COUNTIFS($A$2:$A653,$A653,$E$2:$E653,"ANNULE")),""))</f>
        <v/>
      </c>
    </row>
    <row r="654">
      <c r="A654">
        <f>IF(ISBLANK('ENGAGEMENTS 2026'!C654),"",IF('ENGAGEMENTS 2026'!C654="DTSI","DCT",'ENGAGEMENTS 2026'!C654))</f>
        <v/>
      </c>
      <c r="B654">
        <f>IF(ISBLANK('ENGAGEMENTS 2026'!C654),"",'ENGAGEMENTS 2026'!D654)</f>
        <v/>
      </c>
      <c r="C654">
        <f>IF(ISBLANK('ENGAGEMENTS 2026'!C654),"",'ENGAGEMENTS 2026'!E654)</f>
        <v/>
      </c>
      <c r="D654">
        <f>IF(ISBLANK('ENGAGEMENTS 2026'!C654),"",'ENGAGEMENTS 2026'!G654)</f>
        <v/>
      </c>
      <c r="E654">
        <f>IF(ISBLANK('ENGAGEMENTS 2026'!C654),"",'ENGAGEMENTS 2026'!I654)</f>
        <v/>
      </c>
      <c r="F654">
        <f>IF(ISBLANK('ENGAGEMENTS 2026'!C654),"",'ENGAGEMENTS 2026'!J654)</f>
        <v/>
      </c>
      <c r="G654">
        <f>IF(ISBLANK('ENGAGEMENTS 2026'!C654),"",'ENGAGEMENTS 2026'!M654)</f>
        <v/>
      </c>
      <c r="H654">
        <f>IF(ISBLANK('ENGAGEMENTS 2026'!C654),"",'ENGAGEMENTS 2026'!AF654)</f>
        <v/>
      </c>
      <c r="I654">
        <f>IF(ISBLANK('ENGAGEMENTS 2026'!C654),"",'ENGAGEMENTS 2026'!H654)</f>
        <v/>
      </c>
      <c r="J654" s="275">
        <f>IF(ISBLANK('ENGAGEMENTS 2026'!C654),"",IF(AND(OR($E654="INFRUCTUEUX",$E654="ANNULE"),$C654="AOO-M"),'ENGAGEMENTS 2026'!P654,IF($H654="EN COURS DE PREENGAGEMENT",'ENGAGEMENTS 2026'!O654,IF($H654="PREENGAGE",IF($E654="ATTRIBUE",'ENGAGEMENTS 2026'!AE654,'ENGAGEMENTS 2026'!O654),'ENGAGEMENTS 2026'!AE654))))</f>
        <v/>
      </c>
      <c r="K654" s="604">
        <f>IF(ISBLANK('ENGAGEMENTS 2026'!W654),"",'ENGAGEMENTS 2026'!W654)</f>
        <v/>
      </c>
      <c r="L654" s="276">
        <f>IF($K654="","",TODAY()-$K654)</f>
        <v/>
      </c>
      <c r="M654">
        <f>IF($A654="","",IF($H654="ENGAGE","Engagé",IF(AND($H654="NON ENGAGE",OR($I654="INFRUCTUEUX",$I654="ANNULE")),"Clôturé sans suite","En cours")))</f>
        <v/>
      </c>
      <c r="N654">
        <f>IF(ISBLANK('ENGAGEMENTS 2026'!C654),"",'ENGAGEMENTS 2026'!L654)</f>
        <v/>
      </c>
      <c r="O654">
        <f>IF(ISBLANK('ENGAGEMENTS 2026'!C654),"",'ENGAGEMENTS 2026'!M654)</f>
        <v/>
      </c>
      <c r="P654">
        <f>IF(ISBLANK('ENGAGEMENTS 2026'!C654),"",'ENGAGEMENTS 2026'!K654)</f>
        <v/>
      </c>
      <c r="Q654">
        <f>IF($A654="","",IF(OR($E654="INFRUCTUEUX",$E654="ANNULE"),$A654&amp;"|"&amp;(COUNTIFS($A$2:$A654,$A654,$E$2:$E654,"INFRUCTUEUX")+COUNTIFS($A$2:$A654,$A654,$E$2:$E654,"ANNULE")),""))</f>
        <v/>
      </c>
    </row>
    <row r="655">
      <c r="A655">
        <f>IF(ISBLANK('ENGAGEMENTS 2026'!C655),"",IF('ENGAGEMENTS 2026'!C655="DTSI","DCT",'ENGAGEMENTS 2026'!C655))</f>
        <v/>
      </c>
      <c r="B655">
        <f>IF(ISBLANK('ENGAGEMENTS 2026'!C655),"",'ENGAGEMENTS 2026'!D655)</f>
        <v/>
      </c>
      <c r="C655">
        <f>IF(ISBLANK('ENGAGEMENTS 2026'!C655),"",'ENGAGEMENTS 2026'!E655)</f>
        <v/>
      </c>
      <c r="D655">
        <f>IF(ISBLANK('ENGAGEMENTS 2026'!C655),"",'ENGAGEMENTS 2026'!G655)</f>
        <v/>
      </c>
      <c r="E655">
        <f>IF(ISBLANK('ENGAGEMENTS 2026'!C655),"",'ENGAGEMENTS 2026'!I655)</f>
        <v/>
      </c>
      <c r="F655">
        <f>IF(ISBLANK('ENGAGEMENTS 2026'!C655),"",'ENGAGEMENTS 2026'!J655)</f>
        <v/>
      </c>
      <c r="G655">
        <f>IF(ISBLANK('ENGAGEMENTS 2026'!C655),"",'ENGAGEMENTS 2026'!M655)</f>
        <v/>
      </c>
      <c r="H655">
        <f>IF(ISBLANK('ENGAGEMENTS 2026'!C655),"",'ENGAGEMENTS 2026'!AF655)</f>
        <v/>
      </c>
      <c r="I655">
        <f>IF(ISBLANK('ENGAGEMENTS 2026'!C655),"",'ENGAGEMENTS 2026'!H655)</f>
        <v/>
      </c>
      <c r="J655" s="275">
        <f>IF(ISBLANK('ENGAGEMENTS 2026'!C655),"",IF(AND(OR($E655="INFRUCTUEUX",$E655="ANNULE"),$C655="AOO-M"),'ENGAGEMENTS 2026'!P655,IF($H655="EN COURS DE PREENGAGEMENT",'ENGAGEMENTS 2026'!O655,IF($H655="PREENGAGE",IF($E655="ATTRIBUE",'ENGAGEMENTS 2026'!AE655,'ENGAGEMENTS 2026'!O655),'ENGAGEMENTS 2026'!AE655))))</f>
        <v/>
      </c>
      <c r="K655" s="604">
        <f>IF(ISBLANK('ENGAGEMENTS 2026'!W655),"",'ENGAGEMENTS 2026'!W655)</f>
        <v/>
      </c>
      <c r="L655" s="276">
        <f>IF($K655="","",TODAY()-$K655)</f>
        <v/>
      </c>
      <c r="M655">
        <f>IF($A655="","",IF($H655="ENGAGE","Engagé",IF(AND($H655="NON ENGAGE",OR($I655="INFRUCTUEUX",$I655="ANNULE")),"Clôturé sans suite","En cours")))</f>
        <v/>
      </c>
      <c r="N655">
        <f>IF(ISBLANK('ENGAGEMENTS 2026'!C655),"",'ENGAGEMENTS 2026'!L655)</f>
        <v/>
      </c>
      <c r="O655">
        <f>IF(ISBLANK('ENGAGEMENTS 2026'!C655),"",'ENGAGEMENTS 2026'!M655)</f>
        <v/>
      </c>
      <c r="P655">
        <f>IF(ISBLANK('ENGAGEMENTS 2026'!C655),"",'ENGAGEMENTS 2026'!K655)</f>
        <v/>
      </c>
      <c r="Q655">
        <f>IF($A655="","",IF(OR($E655="INFRUCTUEUX",$E655="ANNULE"),$A655&amp;"|"&amp;(COUNTIFS($A$2:$A655,$A655,$E$2:$E655,"INFRUCTUEUX")+COUNTIFS($A$2:$A655,$A655,$E$2:$E655,"ANNULE")),""))</f>
        <v/>
      </c>
    </row>
    <row r="656">
      <c r="A656">
        <f>IF(ISBLANK('ENGAGEMENTS 2026'!C656),"",IF('ENGAGEMENTS 2026'!C656="DTSI","DCT",'ENGAGEMENTS 2026'!C656))</f>
        <v/>
      </c>
      <c r="B656">
        <f>IF(ISBLANK('ENGAGEMENTS 2026'!C656),"",'ENGAGEMENTS 2026'!D656)</f>
        <v/>
      </c>
      <c r="C656">
        <f>IF(ISBLANK('ENGAGEMENTS 2026'!C656),"",'ENGAGEMENTS 2026'!E656)</f>
        <v/>
      </c>
      <c r="D656">
        <f>IF(ISBLANK('ENGAGEMENTS 2026'!C656),"",'ENGAGEMENTS 2026'!G656)</f>
        <v/>
      </c>
      <c r="E656">
        <f>IF(ISBLANK('ENGAGEMENTS 2026'!C656),"",'ENGAGEMENTS 2026'!I656)</f>
        <v/>
      </c>
      <c r="F656">
        <f>IF(ISBLANK('ENGAGEMENTS 2026'!C656),"",'ENGAGEMENTS 2026'!J656)</f>
        <v/>
      </c>
      <c r="G656">
        <f>IF(ISBLANK('ENGAGEMENTS 2026'!C656),"",'ENGAGEMENTS 2026'!M656)</f>
        <v/>
      </c>
      <c r="H656">
        <f>IF(ISBLANK('ENGAGEMENTS 2026'!C656),"",'ENGAGEMENTS 2026'!AF656)</f>
        <v/>
      </c>
      <c r="I656">
        <f>IF(ISBLANK('ENGAGEMENTS 2026'!C656),"",'ENGAGEMENTS 2026'!H656)</f>
        <v/>
      </c>
      <c r="J656" s="275">
        <f>IF(ISBLANK('ENGAGEMENTS 2026'!C656),"",IF(AND(OR($E656="INFRUCTUEUX",$E656="ANNULE"),$C656="AOO-M"),'ENGAGEMENTS 2026'!P656,IF($H656="EN COURS DE PREENGAGEMENT",'ENGAGEMENTS 2026'!O656,IF($H656="PREENGAGE",IF($E656="ATTRIBUE",'ENGAGEMENTS 2026'!AE656,'ENGAGEMENTS 2026'!O656),'ENGAGEMENTS 2026'!AE656))))</f>
        <v/>
      </c>
      <c r="K656" s="604">
        <f>IF(ISBLANK('ENGAGEMENTS 2026'!W656),"",'ENGAGEMENTS 2026'!W656)</f>
        <v/>
      </c>
      <c r="L656" s="276">
        <f>IF($K656="","",TODAY()-$K656)</f>
        <v/>
      </c>
      <c r="M656">
        <f>IF($A656="","",IF($H656="ENGAGE","Engagé",IF(AND($H656="NON ENGAGE",OR($I656="INFRUCTUEUX",$I656="ANNULE")),"Clôturé sans suite","En cours")))</f>
        <v/>
      </c>
      <c r="N656">
        <f>IF(ISBLANK('ENGAGEMENTS 2026'!C656),"",'ENGAGEMENTS 2026'!L656)</f>
        <v/>
      </c>
      <c r="O656">
        <f>IF(ISBLANK('ENGAGEMENTS 2026'!C656),"",'ENGAGEMENTS 2026'!M656)</f>
        <v/>
      </c>
      <c r="P656">
        <f>IF(ISBLANK('ENGAGEMENTS 2026'!C656),"",'ENGAGEMENTS 2026'!K656)</f>
        <v/>
      </c>
      <c r="Q656">
        <f>IF($A656="","",IF(OR($E656="INFRUCTUEUX",$E656="ANNULE"),$A656&amp;"|"&amp;(COUNTIFS($A$2:$A656,$A656,$E$2:$E656,"INFRUCTUEUX")+COUNTIFS($A$2:$A656,$A656,$E$2:$E656,"ANNULE")),""))</f>
        <v/>
      </c>
    </row>
    <row r="657">
      <c r="A657">
        <f>IF(ISBLANK('ENGAGEMENTS 2026'!C657),"",IF('ENGAGEMENTS 2026'!C657="DTSI","DCT",'ENGAGEMENTS 2026'!C657))</f>
        <v/>
      </c>
      <c r="B657">
        <f>IF(ISBLANK('ENGAGEMENTS 2026'!C657),"",'ENGAGEMENTS 2026'!D657)</f>
        <v/>
      </c>
      <c r="C657">
        <f>IF(ISBLANK('ENGAGEMENTS 2026'!C657),"",'ENGAGEMENTS 2026'!E657)</f>
        <v/>
      </c>
      <c r="D657">
        <f>IF(ISBLANK('ENGAGEMENTS 2026'!C657),"",'ENGAGEMENTS 2026'!G657)</f>
        <v/>
      </c>
      <c r="E657">
        <f>IF(ISBLANK('ENGAGEMENTS 2026'!C657),"",'ENGAGEMENTS 2026'!I657)</f>
        <v/>
      </c>
      <c r="F657">
        <f>IF(ISBLANK('ENGAGEMENTS 2026'!C657),"",'ENGAGEMENTS 2026'!J657)</f>
        <v/>
      </c>
      <c r="G657">
        <f>IF(ISBLANK('ENGAGEMENTS 2026'!C657),"",'ENGAGEMENTS 2026'!M657)</f>
        <v/>
      </c>
      <c r="H657">
        <f>IF(ISBLANK('ENGAGEMENTS 2026'!C657),"",'ENGAGEMENTS 2026'!AF657)</f>
        <v/>
      </c>
      <c r="I657">
        <f>IF(ISBLANK('ENGAGEMENTS 2026'!C657),"",'ENGAGEMENTS 2026'!H657)</f>
        <v/>
      </c>
      <c r="J657" s="275">
        <f>IF(ISBLANK('ENGAGEMENTS 2026'!C657),"",IF(AND(OR($E657="INFRUCTUEUX",$E657="ANNULE"),$C657="AOO-M"),'ENGAGEMENTS 2026'!P657,IF($H657="EN COURS DE PREENGAGEMENT",'ENGAGEMENTS 2026'!O657,IF($H657="PREENGAGE",IF($E657="ATTRIBUE",'ENGAGEMENTS 2026'!AE657,'ENGAGEMENTS 2026'!O657),'ENGAGEMENTS 2026'!AE657))))</f>
        <v/>
      </c>
      <c r="K657" s="604">
        <f>IF(ISBLANK('ENGAGEMENTS 2026'!W657),"",'ENGAGEMENTS 2026'!W657)</f>
        <v/>
      </c>
      <c r="L657" s="276">
        <f>IF($K657="","",TODAY()-$K657)</f>
        <v/>
      </c>
      <c r="M657">
        <f>IF($A657="","",IF($H657="ENGAGE","Engagé",IF(AND($H657="NON ENGAGE",OR($I657="INFRUCTUEUX",$I657="ANNULE")),"Clôturé sans suite","En cours")))</f>
        <v/>
      </c>
      <c r="N657">
        <f>IF(ISBLANK('ENGAGEMENTS 2026'!C657),"",'ENGAGEMENTS 2026'!L657)</f>
        <v/>
      </c>
      <c r="O657">
        <f>IF(ISBLANK('ENGAGEMENTS 2026'!C657),"",'ENGAGEMENTS 2026'!M657)</f>
        <v/>
      </c>
      <c r="P657">
        <f>IF(ISBLANK('ENGAGEMENTS 2026'!C657),"",'ENGAGEMENTS 2026'!K657)</f>
        <v/>
      </c>
      <c r="Q657">
        <f>IF($A657="","",IF(OR($E657="INFRUCTUEUX",$E657="ANNULE"),$A657&amp;"|"&amp;(COUNTIFS($A$2:$A657,$A657,$E$2:$E657,"INFRUCTUEUX")+COUNTIFS($A$2:$A657,$A657,$E$2:$E657,"ANNULE")),""))</f>
        <v/>
      </c>
    </row>
    <row r="658">
      <c r="A658">
        <f>IF(ISBLANK('ENGAGEMENTS 2026'!C658),"",IF('ENGAGEMENTS 2026'!C658="DTSI","DCT",'ENGAGEMENTS 2026'!C658))</f>
        <v/>
      </c>
      <c r="B658">
        <f>IF(ISBLANK('ENGAGEMENTS 2026'!C658),"",'ENGAGEMENTS 2026'!D658)</f>
        <v/>
      </c>
      <c r="C658">
        <f>IF(ISBLANK('ENGAGEMENTS 2026'!C658),"",'ENGAGEMENTS 2026'!E658)</f>
        <v/>
      </c>
      <c r="D658">
        <f>IF(ISBLANK('ENGAGEMENTS 2026'!C658),"",'ENGAGEMENTS 2026'!G658)</f>
        <v/>
      </c>
      <c r="E658">
        <f>IF(ISBLANK('ENGAGEMENTS 2026'!C658),"",'ENGAGEMENTS 2026'!I658)</f>
        <v/>
      </c>
      <c r="F658">
        <f>IF(ISBLANK('ENGAGEMENTS 2026'!C658),"",'ENGAGEMENTS 2026'!J658)</f>
        <v/>
      </c>
      <c r="G658">
        <f>IF(ISBLANK('ENGAGEMENTS 2026'!C658),"",'ENGAGEMENTS 2026'!M658)</f>
        <v/>
      </c>
      <c r="H658">
        <f>IF(ISBLANK('ENGAGEMENTS 2026'!C658),"",'ENGAGEMENTS 2026'!AF658)</f>
        <v/>
      </c>
      <c r="I658">
        <f>IF(ISBLANK('ENGAGEMENTS 2026'!C658),"",'ENGAGEMENTS 2026'!H658)</f>
        <v/>
      </c>
      <c r="J658" s="275">
        <f>IF(ISBLANK('ENGAGEMENTS 2026'!C658),"",IF(AND(OR($E658="INFRUCTUEUX",$E658="ANNULE"),$C658="AOO-M"),'ENGAGEMENTS 2026'!P658,IF($H658="EN COURS DE PREENGAGEMENT",'ENGAGEMENTS 2026'!O658,IF($H658="PREENGAGE",IF($E658="ATTRIBUE",'ENGAGEMENTS 2026'!AE658,'ENGAGEMENTS 2026'!O658),'ENGAGEMENTS 2026'!AE658))))</f>
        <v/>
      </c>
      <c r="K658" s="604">
        <f>IF(ISBLANK('ENGAGEMENTS 2026'!W658),"",'ENGAGEMENTS 2026'!W658)</f>
        <v/>
      </c>
      <c r="L658" s="276">
        <f>IF($K658="","",TODAY()-$K658)</f>
        <v/>
      </c>
      <c r="M658">
        <f>IF($A658="","",IF($H658="ENGAGE","Engagé",IF(AND($H658="NON ENGAGE",OR($I658="INFRUCTUEUX",$I658="ANNULE")),"Clôturé sans suite","En cours")))</f>
        <v/>
      </c>
      <c r="N658">
        <f>IF(ISBLANK('ENGAGEMENTS 2026'!C658),"",'ENGAGEMENTS 2026'!L658)</f>
        <v/>
      </c>
      <c r="O658">
        <f>IF(ISBLANK('ENGAGEMENTS 2026'!C658),"",'ENGAGEMENTS 2026'!M658)</f>
        <v/>
      </c>
      <c r="P658">
        <f>IF(ISBLANK('ENGAGEMENTS 2026'!C658),"",'ENGAGEMENTS 2026'!K658)</f>
        <v/>
      </c>
      <c r="Q658">
        <f>IF($A658="","",IF(OR($E658="INFRUCTUEUX",$E658="ANNULE"),$A658&amp;"|"&amp;(COUNTIFS($A$2:$A658,$A658,$E$2:$E658,"INFRUCTUEUX")+COUNTIFS($A$2:$A658,$A658,$E$2:$E658,"ANNULE")),""))</f>
        <v/>
      </c>
    </row>
    <row r="659">
      <c r="A659">
        <f>IF(ISBLANK('ENGAGEMENTS 2026'!C659),"",IF('ENGAGEMENTS 2026'!C659="DTSI","DCT",'ENGAGEMENTS 2026'!C659))</f>
        <v/>
      </c>
      <c r="B659">
        <f>IF(ISBLANK('ENGAGEMENTS 2026'!C659),"",'ENGAGEMENTS 2026'!D659)</f>
        <v/>
      </c>
      <c r="C659">
        <f>IF(ISBLANK('ENGAGEMENTS 2026'!C659),"",'ENGAGEMENTS 2026'!E659)</f>
        <v/>
      </c>
      <c r="D659">
        <f>IF(ISBLANK('ENGAGEMENTS 2026'!C659),"",'ENGAGEMENTS 2026'!G659)</f>
        <v/>
      </c>
      <c r="E659">
        <f>IF(ISBLANK('ENGAGEMENTS 2026'!C659),"",'ENGAGEMENTS 2026'!I659)</f>
        <v/>
      </c>
      <c r="F659">
        <f>IF(ISBLANK('ENGAGEMENTS 2026'!C659),"",'ENGAGEMENTS 2026'!J659)</f>
        <v/>
      </c>
      <c r="G659">
        <f>IF(ISBLANK('ENGAGEMENTS 2026'!C659),"",'ENGAGEMENTS 2026'!M659)</f>
        <v/>
      </c>
      <c r="H659">
        <f>IF(ISBLANK('ENGAGEMENTS 2026'!C659),"",'ENGAGEMENTS 2026'!AF659)</f>
        <v/>
      </c>
      <c r="I659">
        <f>IF(ISBLANK('ENGAGEMENTS 2026'!C659),"",'ENGAGEMENTS 2026'!H659)</f>
        <v/>
      </c>
      <c r="J659" s="275">
        <f>IF(ISBLANK('ENGAGEMENTS 2026'!C659),"",IF(AND(OR($E659="INFRUCTUEUX",$E659="ANNULE"),$C659="AOO-M"),'ENGAGEMENTS 2026'!P659,IF($H659="EN COURS DE PREENGAGEMENT",'ENGAGEMENTS 2026'!O659,IF($H659="PREENGAGE",IF($E659="ATTRIBUE",'ENGAGEMENTS 2026'!AE659,'ENGAGEMENTS 2026'!O659),'ENGAGEMENTS 2026'!AE659))))</f>
        <v/>
      </c>
      <c r="K659" s="604">
        <f>IF(ISBLANK('ENGAGEMENTS 2026'!W659),"",'ENGAGEMENTS 2026'!W659)</f>
        <v/>
      </c>
      <c r="L659" s="276">
        <f>IF($K659="","",TODAY()-$K659)</f>
        <v/>
      </c>
      <c r="M659">
        <f>IF($A659="","",IF($H659="ENGAGE","Engagé",IF(AND($H659="NON ENGAGE",OR($I659="INFRUCTUEUX",$I659="ANNULE")),"Clôturé sans suite","En cours")))</f>
        <v/>
      </c>
      <c r="N659">
        <f>IF(ISBLANK('ENGAGEMENTS 2026'!C659),"",'ENGAGEMENTS 2026'!L659)</f>
        <v/>
      </c>
      <c r="O659">
        <f>IF(ISBLANK('ENGAGEMENTS 2026'!C659),"",'ENGAGEMENTS 2026'!M659)</f>
        <v/>
      </c>
      <c r="P659">
        <f>IF(ISBLANK('ENGAGEMENTS 2026'!C659),"",'ENGAGEMENTS 2026'!K659)</f>
        <v/>
      </c>
      <c r="Q659">
        <f>IF($A659="","",IF(OR($E659="INFRUCTUEUX",$E659="ANNULE"),$A659&amp;"|"&amp;(COUNTIFS($A$2:$A659,$A659,$E$2:$E659,"INFRUCTUEUX")+COUNTIFS($A$2:$A659,$A659,$E$2:$E659,"ANNULE")),""))</f>
        <v/>
      </c>
    </row>
    <row r="660">
      <c r="A660">
        <f>IF(ISBLANK('ENGAGEMENTS 2026'!C660),"",IF('ENGAGEMENTS 2026'!C660="DTSI","DCT",'ENGAGEMENTS 2026'!C660))</f>
        <v/>
      </c>
      <c r="B660">
        <f>IF(ISBLANK('ENGAGEMENTS 2026'!C660),"",'ENGAGEMENTS 2026'!D660)</f>
        <v/>
      </c>
      <c r="C660">
        <f>IF(ISBLANK('ENGAGEMENTS 2026'!C660),"",'ENGAGEMENTS 2026'!E660)</f>
        <v/>
      </c>
      <c r="D660">
        <f>IF(ISBLANK('ENGAGEMENTS 2026'!C660),"",'ENGAGEMENTS 2026'!G660)</f>
        <v/>
      </c>
      <c r="E660">
        <f>IF(ISBLANK('ENGAGEMENTS 2026'!C660),"",'ENGAGEMENTS 2026'!I660)</f>
        <v/>
      </c>
      <c r="F660">
        <f>IF(ISBLANK('ENGAGEMENTS 2026'!C660),"",'ENGAGEMENTS 2026'!J660)</f>
        <v/>
      </c>
      <c r="G660">
        <f>IF(ISBLANK('ENGAGEMENTS 2026'!C660),"",'ENGAGEMENTS 2026'!M660)</f>
        <v/>
      </c>
      <c r="H660">
        <f>IF(ISBLANK('ENGAGEMENTS 2026'!C660),"",'ENGAGEMENTS 2026'!AF660)</f>
        <v/>
      </c>
      <c r="I660">
        <f>IF(ISBLANK('ENGAGEMENTS 2026'!C660),"",'ENGAGEMENTS 2026'!H660)</f>
        <v/>
      </c>
      <c r="J660" s="275">
        <f>IF(ISBLANK('ENGAGEMENTS 2026'!C660),"",IF(AND(OR($E660="INFRUCTUEUX",$E660="ANNULE"),$C660="AOO-M"),'ENGAGEMENTS 2026'!P660,IF($H660="EN COURS DE PREENGAGEMENT",'ENGAGEMENTS 2026'!O660,IF($H660="PREENGAGE",IF($E660="ATTRIBUE",'ENGAGEMENTS 2026'!AE660,'ENGAGEMENTS 2026'!O660),'ENGAGEMENTS 2026'!AE660))))</f>
        <v/>
      </c>
      <c r="K660" s="604">
        <f>IF(ISBLANK('ENGAGEMENTS 2026'!W660),"",'ENGAGEMENTS 2026'!W660)</f>
        <v/>
      </c>
      <c r="L660" s="276">
        <f>IF($K660="","",TODAY()-$K660)</f>
        <v/>
      </c>
      <c r="M660">
        <f>IF($A660="","",IF($H660="ENGAGE","Engagé",IF(AND($H660="NON ENGAGE",OR($I660="INFRUCTUEUX",$I660="ANNULE")),"Clôturé sans suite","En cours")))</f>
        <v/>
      </c>
      <c r="N660">
        <f>IF(ISBLANK('ENGAGEMENTS 2026'!C660),"",'ENGAGEMENTS 2026'!L660)</f>
        <v/>
      </c>
      <c r="O660">
        <f>IF(ISBLANK('ENGAGEMENTS 2026'!C660),"",'ENGAGEMENTS 2026'!M660)</f>
        <v/>
      </c>
      <c r="P660">
        <f>IF(ISBLANK('ENGAGEMENTS 2026'!C660),"",'ENGAGEMENTS 2026'!K660)</f>
        <v/>
      </c>
      <c r="Q660">
        <f>IF($A660="","",IF(OR($E660="INFRUCTUEUX",$E660="ANNULE"),$A660&amp;"|"&amp;(COUNTIFS($A$2:$A660,$A660,$E$2:$E660,"INFRUCTUEUX")+COUNTIFS($A$2:$A660,$A660,$E$2:$E660,"ANNULE")),""))</f>
        <v/>
      </c>
    </row>
    <row r="661">
      <c r="A661">
        <f>IF(ISBLANK('ENGAGEMENTS 2026'!C661),"",IF('ENGAGEMENTS 2026'!C661="DTSI","DCT",'ENGAGEMENTS 2026'!C661))</f>
        <v/>
      </c>
      <c r="B661">
        <f>IF(ISBLANK('ENGAGEMENTS 2026'!C661),"",'ENGAGEMENTS 2026'!D661)</f>
        <v/>
      </c>
      <c r="C661">
        <f>IF(ISBLANK('ENGAGEMENTS 2026'!C661),"",'ENGAGEMENTS 2026'!E661)</f>
        <v/>
      </c>
      <c r="D661">
        <f>IF(ISBLANK('ENGAGEMENTS 2026'!C661),"",'ENGAGEMENTS 2026'!G661)</f>
        <v/>
      </c>
      <c r="E661">
        <f>IF(ISBLANK('ENGAGEMENTS 2026'!C661),"",'ENGAGEMENTS 2026'!I661)</f>
        <v/>
      </c>
      <c r="F661">
        <f>IF(ISBLANK('ENGAGEMENTS 2026'!C661),"",'ENGAGEMENTS 2026'!J661)</f>
        <v/>
      </c>
      <c r="G661">
        <f>IF(ISBLANK('ENGAGEMENTS 2026'!C661),"",'ENGAGEMENTS 2026'!M661)</f>
        <v/>
      </c>
      <c r="H661">
        <f>IF(ISBLANK('ENGAGEMENTS 2026'!C661),"",'ENGAGEMENTS 2026'!AF661)</f>
        <v/>
      </c>
      <c r="I661">
        <f>IF(ISBLANK('ENGAGEMENTS 2026'!C661),"",'ENGAGEMENTS 2026'!H661)</f>
        <v/>
      </c>
      <c r="J661" s="275">
        <f>IF(ISBLANK('ENGAGEMENTS 2026'!C661),"",IF(AND(OR($E661="INFRUCTUEUX",$E661="ANNULE"),$C661="AOO-M"),'ENGAGEMENTS 2026'!P661,IF($H661="EN COURS DE PREENGAGEMENT",'ENGAGEMENTS 2026'!O661,IF($H661="PREENGAGE",IF($E661="ATTRIBUE",'ENGAGEMENTS 2026'!AE661,'ENGAGEMENTS 2026'!O661),'ENGAGEMENTS 2026'!AE661))))</f>
        <v/>
      </c>
      <c r="K661" s="604">
        <f>IF(ISBLANK('ENGAGEMENTS 2026'!W661),"",'ENGAGEMENTS 2026'!W661)</f>
        <v/>
      </c>
      <c r="L661" s="276">
        <f>IF($K661="","",TODAY()-$K661)</f>
        <v/>
      </c>
      <c r="M661">
        <f>IF($A661="","",IF($H661="ENGAGE","Engagé",IF(AND($H661="NON ENGAGE",OR($I661="INFRUCTUEUX",$I661="ANNULE")),"Clôturé sans suite","En cours")))</f>
        <v/>
      </c>
      <c r="N661">
        <f>IF(ISBLANK('ENGAGEMENTS 2026'!C661),"",'ENGAGEMENTS 2026'!L661)</f>
        <v/>
      </c>
      <c r="O661">
        <f>IF(ISBLANK('ENGAGEMENTS 2026'!C661),"",'ENGAGEMENTS 2026'!M661)</f>
        <v/>
      </c>
      <c r="P661">
        <f>IF(ISBLANK('ENGAGEMENTS 2026'!C661),"",'ENGAGEMENTS 2026'!K661)</f>
        <v/>
      </c>
      <c r="Q661">
        <f>IF($A661="","",IF(OR($E661="INFRUCTUEUX",$E661="ANNULE"),$A661&amp;"|"&amp;(COUNTIFS($A$2:$A661,$A661,$E$2:$E661,"INFRUCTUEUX")+COUNTIFS($A$2:$A661,$A661,$E$2:$E661,"ANNULE")),""))</f>
        <v/>
      </c>
    </row>
    <row r="662">
      <c r="A662">
        <f>IF(ISBLANK('ENGAGEMENTS 2026'!C662),"",IF('ENGAGEMENTS 2026'!C662="DTSI","DCT",'ENGAGEMENTS 2026'!C662))</f>
        <v/>
      </c>
      <c r="B662">
        <f>IF(ISBLANK('ENGAGEMENTS 2026'!C662),"",'ENGAGEMENTS 2026'!D662)</f>
        <v/>
      </c>
      <c r="C662">
        <f>IF(ISBLANK('ENGAGEMENTS 2026'!C662),"",'ENGAGEMENTS 2026'!E662)</f>
        <v/>
      </c>
      <c r="D662">
        <f>IF(ISBLANK('ENGAGEMENTS 2026'!C662),"",'ENGAGEMENTS 2026'!G662)</f>
        <v/>
      </c>
      <c r="E662">
        <f>IF(ISBLANK('ENGAGEMENTS 2026'!C662),"",'ENGAGEMENTS 2026'!I662)</f>
        <v/>
      </c>
      <c r="F662">
        <f>IF(ISBLANK('ENGAGEMENTS 2026'!C662),"",'ENGAGEMENTS 2026'!J662)</f>
        <v/>
      </c>
      <c r="G662">
        <f>IF(ISBLANK('ENGAGEMENTS 2026'!C662),"",'ENGAGEMENTS 2026'!M662)</f>
        <v/>
      </c>
      <c r="H662">
        <f>IF(ISBLANK('ENGAGEMENTS 2026'!C662),"",'ENGAGEMENTS 2026'!AF662)</f>
        <v/>
      </c>
      <c r="I662">
        <f>IF(ISBLANK('ENGAGEMENTS 2026'!C662),"",'ENGAGEMENTS 2026'!H662)</f>
        <v/>
      </c>
      <c r="J662" s="275">
        <f>IF(ISBLANK('ENGAGEMENTS 2026'!C662),"",IF(AND(OR($E662="INFRUCTUEUX",$E662="ANNULE"),$C662="AOO-M"),'ENGAGEMENTS 2026'!P662,IF($H662="EN COURS DE PREENGAGEMENT",'ENGAGEMENTS 2026'!O662,IF($H662="PREENGAGE",IF($E662="ATTRIBUE",'ENGAGEMENTS 2026'!AE662,'ENGAGEMENTS 2026'!O662),'ENGAGEMENTS 2026'!AE662))))</f>
        <v/>
      </c>
      <c r="K662" s="604">
        <f>IF(ISBLANK('ENGAGEMENTS 2026'!W662),"",'ENGAGEMENTS 2026'!W662)</f>
        <v/>
      </c>
      <c r="L662" s="276">
        <f>IF($K662="","",TODAY()-$K662)</f>
        <v/>
      </c>
      <c r="M662">
        <f>IF($A662="","",IF($H662="ENGAGE","Engagé",IF(AND($H662="NON ENGAGE",OR($I662="INFRUCTUEUX",$I662="ANNULE")),"Clôturé sans suite","En cours")))</f>
        <v/>
      </c>
      <c r="N662">
        <f>IF(ISBLANK('ENGAGEMENTS 2026'!C662),"",'ENGAGEMENTS 2026'!L662)</f>
        <v/>
      </c>
      <c r="O662">
        <f>IF(ISBLANK('ENGAGEMENTS 2026'!C662),"",'ENGAGEMENTS 2026'!M662)</f>
        <v/>
      </c>
      <c r="P662">
        <f>IF(ISBLANK('ENGAGEMENTS 2026'!C662),"",'ENGAGEMENTS 2026'!K662)</f>
        <v/>
      </c>
      <c r="Q662">
        <f>IF($A662="","",IF(OR($E662="INFRUCTUEUX",$E662="ANNULE"),$A662&amp;"|"&amp;(COUNTIFS($A$2:$A662,$A662,$E$2:$E662,"INFRUCTUEUX")+COUNTIFS($A$2:$A662,$A662,$E$2:$E662,"ANNULE")),""))</f>
        <v/>
      </c>
    </row>
    <row r="663">
      <c r="A663">
        <f>IF(ISBLANK('ENGAGEMENTS 2026'!C663),"",IF('ENGAGEMENTS 2026'!C663="DTSI","DCT",'ENGAGEMENTS 2026'!C663))</f>
        <v/>
      </c>
      <c r="B663">
        <f>IF(ISBLANK('ENGAGEMENTS 2026'!C663),"",'ENGAGEMENTS 2026'!D663)</f>
        <v/>
      </c>
      <c r="C663">
        <f>IF(ISBLANK('ENGAGEMENTS 2026'!C663),"",'ENGAGEMENTS 2026'!E663)</f>
        <v/>
      </c>
      <c r="D663">
        <f>IF(ISBLANK('ENGAGEMENTS 2026'!C663),"",'ENGAGEMENTS 2026'!G663)</f>
        <v/>
      </c>
      <c r="E663">
        <f>IF(ISBLANK('ENGAGEMENTS 2026'!C663),"",'ENGAGEMENTS 2026'!I663)</f>
        <v/>
      </c>
      <c r="F663">
        <f>IF(ISBLANK('ENGAGEMENTS 2026'!C663),"",'ENGAGEMENTS 2026'!J663)</f>
        <v/>
      </c>
      <c r="G663">
        <f>IF(ISBLANK('ENGAGEMENTS 2026'!C663),"",'ENGAGEMENTS 2026'!M663)</f>
        <v/>
      </c>
      <c r="H663">
        <f>IF(ISBLANK('ENGAGEMENTS 2026'!C663),"",'ENGAGEMENTS 2026'!AF663)</f>
        <v/>
      </c>
      <c r="I663">
        <f>IF(ISBLANK('ENGAGEMENTS 2026'!C663),"",'ENGAGEMENTS 2026'!H663)</f>
        <v/>
      </c>
      <c r="J663" s="275">
        <f>IF(ISBLANK('ENGAGEMENTS 2026'!C663),"",IF(AND(OR($E663="INFRUCTUEUX",$E663="ANNULE"),$C663="AOO-M"),'ENGAGEMENTS 2026'!P663,IF($H663="EN COURS DE PREENGAGEMENT",'ENGAGEMENTS 2026'!O663,IF($H663="PREENGAGE",IF($E663="ATTRIBUE",'ENGAGEMENTS 2026'!AE663,'ENGAGEMENTS 2026'!O663),'ENGAGEMENTS 2026'!AE663))))</f>
        <v/>
      </c>
      <c r="K663" s="604">
        <f>IF(ISBLANK('ENGAGEMENTS 2026'!W663),"",'ENGAGEMENTS 2026'!W663)</f>
        <v/>
      </c>
      <c r="L663" s="276">
        <f>IF($K663="","",TODAY()-$K663)</f>
        <v/>
      </c>
      <c r="M663">
        <f>IF($A663="","",IF($H663="ENGAGE","Engagé",IF(AND($H663="NON ENGAGE",OR($I663="INFRUCTUEUX",$I663="ANNULE")),"Clôturé sans suite","En cours")))</f>
        <v/>
      </c>
      <c r="N663">
        <f>IF(ISBLANK('ENGAGEMENTS 2026'!C663),"",'ENGAGEMENTS 2026'!L663)</f>
        <v/>
      </c>
      <c r="O663">
        <f>IF(ISBLANK('ENGAGEMENTS 2026'!C663),"",'ENGAGEMENTS 2026'!M663)</f>
        <v/>
      </c>
      <c r="P663">
        <f>IF(ISBLANK('ENGAGEMENTS 2026'!C663),"",'ENGAGEMENTS 2026'!K663)</f>
        <v/>
      </c>
      <c r="Q663">
        <f>IF($A663="","",IF(OR($E663="INFRUCTUEUX",$E663="ANNULE"),$A663&amp;"|"&amp;(COUNTIFS($A$2:$A663,$A663,$E$2:$E663,"INFRUCTUEUX")+COUNTIFS($A$2:$A663,$A663,$E$2:$E663,"ANNULE")),""))</f>
        <v/>
      </c>
    </row>
    <row r="664">
      <c r="A664">
        <f>IF(ISBLANK('ENGAGEMENTS 2026'!C664),"",IF('ENGAGEMENTS 2026'!C664="DTSI","DCT",'ENGAGEMENTS 2026'!C664))</f>
        <v/>
      </c>
      <c r="B664">
        <f>IF(ISBLANK('ENGAGEMENTS 2026'!C664),"",'ENGAGEMENTS 2026'!D664)</f>
        <v/>
      </c>
      <c r="C664">
        <f>IF(ISBLANK('ENGAGEMENTS 2026'!C664),"",'ENGAGEMENTS 2026'!E664)</f>
        <v/>
      </c>
      <c r="D664">
        <f>IF(ISBLANK('ENGAGEMENTS 2026'!C664),"",'ENGAGEMENTS 2026'!G664)</f>
        <v/>
      </c>
      <c r="E664">
        <f>IF(ISBLANK('ENGAGEMENTS 2026'!C664),"",'ENGAGEMENTS 2026'!I664)</f>
        <v/>
      </c>
      <c r="F664">
        <f>IF(ISBLANK('ENGAGEMENTS 2026'!C664),"",'ENGAGEMENTS 2026'!J664)</f>
        <v/>
      </c>
      <c r="G664">
        <f>IF(ISBLANK('ENGAGEMENTS 2026'!C664),"",'ENGAGEMENTS 2026'!M664)</f>
        <v/>
      </c>
      <c r="H664">
        <f>IF(ISBLANK('ENGAGEMENTS 2026'!C664),"",'ENGAGEMENTS 2026'!AF664)</f>
        <v/>
      </c>
      <c r="I664">
        <f>IF(ISBLANK('ENGAGEMENTS 2026'!C664),"",'ENGAGEMENTS 2026'!H664)</f>
        <v/>
      </c>
      <c r="J664" s="275">
        <f>IF(ISBLANK('ENGAGEMENTS 2026'!C664),"",IF(AND(OR($E664="INFRUCTUEUX",$E664="ANNULE"),$C664="AOO-M"),'ENGAGEMENTS 2026'!P664,IF($H664="EN COURS DE PREENGAGEMENT",'ENGAGEMENTS 2026'!O664,IF($H664="PREENGAGE",IF($E664="ATTRIBUE",'ENGAGEMENTS 2026'!AE664,'ENGAGEMENTS 2026'!O664),'ENGAGEMENTS 2026'!AE664))))</f>
        <v/>
      </c>
      <c r="K664" s="604">
        <f>IF(ISBLANK('ENGAGEMENTS 2026'!W664),"",'ENGAGEMENTS 2026'!W664)</f>
        <v/>
      </c>
      <c r="L664" s="276">
        <f>IF($K664="","",TODAY()-$K664)</f>
        <v/>
      </c>
      <c r="M664">
        <f>IF($A664="","",IF($H664="ENGAGE","Engagé",IF(AND($H664="NON ENGAGE",OR($I664="INFRUCTUEUX",$I664="ANNULE")),"Clôturé sans suite","En cours")))</f>
        <v/>
      </c>
      <c r="N664">
        <f>IF(ISBLANK('ENGAGEMENTS 2026'!C664),"",'ENGAGEMENTS 2026'!L664)</f>
        <v/>
      </c>
      <c r="O664">
        <f>IF(ISBLANK('ENGAGEMENTS 2026'!C664),"",'ENGAGEMENTS 2026'!M664)</f>
        <v/>
      </c>
      <c r="P664">
        <f>IF(ISBLANK('ENGAGEMENTS 2026'!C664),"",'ENGAGEMENTS 2026'!K664)</f>
        <v/>
      </c>
      <c r="Q664">
        <f>IF($A664="","",IF(OR($E664="INFRUCTUEUX",$E664="ANNULE"),$A664&amp;"|"&amp;(COUNTIFS($A$2:$A664,$A664,$E$2:$E664,"INFRUCTUEUX")+COUNTIFS($A$2:$A664,$A664,$E$2:$E664,"ANNULE")),""))</f>
        <v/>
      </c>
    </row>
    <row r="665">
      <c r="A665">
        <f>IF(ISBLANK('ENGAGEMENTS 2026'!C665),"",IF('ENGAGEMENTS 2026'!C665="DTSI","DCT",'ENGAGEMENTS 2026'!C665))</f>
        <v/>
      </c>
      <c r="B665">
        <f>IF(ISBLANK('ENGAGEMENTS 2026'!C665),"",'ENGAGEMENTS 2026'!D665)</f>
        <v/>
      </c>
      <c r="C665">
        <f>IF(ISBLANK('ENGAGEMENTS 2026'!C665),"",'ENGAGEMENTS 2026'!E665)</f>
        <v/>
      </c>
      <c r="D665">
        <f>IF(ISBLANK('ENGAGEMENTS 2026'!C665),"",'ENGAGEMENTS 2026'!G665)</f>
        <v/>
      </c>
      <c r="E665">
        <f>IF(ISBLANK('ENGAGEMENTS 2026'!C665),"",'ENGAGEMENTS 2026'!I665)</f>
        <v/>
      </c>
      <c r="F665">
        <f>IF(ISBLANK('ENGAGEMENTS 2026'!C665),"",'ENGAGEMENTS 2026'!J665)</f>
        <v/>
      </c>
      <c r="G665">
        <f>IF(ISBLANK('ENGAGEMENTS 2026'!C665),"",'ENGAGEMENTS 2026'!M665)</f>
        <v/>
      </c>
      <c r="H665">
        <f>IF(ISBLANK('ENGAGEMENTS 2026'!C665),"",'ENGAGEMENTS 2026'!AF665)</f>
        <v/>
      </c>
      <c r="I665">
        <f>IF(ISBLANK('ENGAGEMENTS 2026'!C665),"",'ENGAGEMENTS 2026'!H665)</f>
        <v/>
      </c>
      <c r="J665" s="275">
        <f>IF(ISBLANK('ENGAGEMENTS 2026'!C665),"",IF(AND(OR($E665="INFRUCTUEUX",$E665="ANNULE"),$C665="AOO-M"),'ENGAGEMENTS 2026'!P665,IF($H665="EN COURS DE PREENGAGEMENT",'ENGAGEMENTS 2026'!O665,IF($H665="PREENGAGE",IF($E665="ATTRIBUE",'ENGAGEMENTS 2026'!AE665,'ENGAGEMENTS 2026'!O665),'ENGAGEMENTS 2026'!AE665))))</f>
        <v/>
      </c>
      <c r="K665" s="604">
        <f>IF(ISBLANK('ENGAGEMENTS 2026'!W665),"",'ENGAGEMENTS 2026'!W665)</f>
        <v/>
      </c>
      <c r="L665" s="276">
        <f>IF($K665="","",TODAY()-$K665)</f>
        <v/>
      </c>
      <c r="M665">
        <f>IF($A665="","",IF($H665="ENGAGE","Engagé",IF(AND($H665="NON ENGAGE",OR($I665="INFRUCTUEUX",$I665="ANNULE")),"Clôturé sans suite","En cours")))</f>
        <v/>
      </c>
      <c r="N665">
        <f>IF(ISBLANK('ENGAGEMENTS 2026'!C665),"",'ENGAGEMENTS 2026'!L665)</f>
        <v/>
      </c>
      <c r="O665">
        <f>IF(ISBLANK('ENGAGEMENTS 2026'!C665),"",'ENGAGEMENTS 2026'!M665)</f>
        <v/>
      </c>
      <c r="P665">
        <f>IF(ISBLANK('ENGAGEMENTS 2026'!C665),"",'ENGAGEMENTS 2026'!K665)</f>
        <v/>
      </c>
      <c r="Q665">
        <f>IF($A665="","",IF(OR($E665="INFRUCTUEUX",$E665="ANNULE"),$A665&amp;"|"&amp;(COUNTIFS($A$2:$A665,$A665,$E$2:$E665,"INFRUCTUEUX")+COUNTIFS($A$2:$A665,$A665,$E$2:$E665,"ANNULE")),""))</f>
        <v/>
      </c>
    </row>
    <row r="666">
      <c r="A666">
        <f>IF(ISBLANK('ENGAGEMENTS 2026'!C666),"",IF('ENGAGEMENTS 2026'!C666="DTSI","DCT",'ENGAGEMENTS 2026'!C666))</f>
        <v/>
      </c>
      <c r="B666">
        <f>IF(ISBLANK('ENGAGEMENTS 2026'!C666),"",'ENGAGEMENTS 2026'!D666)</f>
        <v/>
      </c>
      <c r="C666">
        <f>IF(ISBLANK('ENGAGEMENTS 2026'!C666),"",'ENGAGEMENTS 2026'!E666)</f>
        <v/>
      </c>
      <c r="D666">
        <f>IF(ISBLANK('ENGAGEMENTS 2026'!C666),"",'ENGAGEMENTS 2026'!G666)</f>
        <v/>
      </c>
      <c r="E666">
        <f>IF(ISBLANK('ENGAGEMENTS 2026'!C666),"",'ENGAGEMENTS 2026'!I666)</f>
        <v/>
      </c>
      <c r="F666">
        <f>IF(ISBLANK('ENGAGEMENTS 2026'!C666),"",'ENGAGEMENTS 2026'!J666)</f>
        <v/>
      </c>
      <c r="G666">
        <f>IF(ISBLANK('ENGAGEMENTS 2026'!C666),"",'ENGAGEMENTS 2026'!M666)</f>
        <v/>
      </c>
      <c r="H666">
        <f>IF(ISBLANK('ENGAGEMENTS 2026'!C666),"",'ENGAGEMENTS 2026'!AF666)</f>
        <v/>
      </c>
      <c r="I666">
        <f>IF(ISBLANK('ENGAGEMENTS 2026'!C666),"",'ENGAGEMENTS 2026'!H666)</f>
        <v/>
      </c>
      <c r="J666" s="275">
        <f>IF(ISBLANK('ENGAGEMENTS 2026'!C666),"",IF(AND(OR($E666="INFRUCTUEUX",$E666="ANNULE"),$C666="AOO-M"),'ENGAGEMENTS 2026'!P666,IF($H666="EN COURS DE PREENGAGEMENT",'ENGAGEMENTS 2026'!O666,IF($H666="PREENGAGE",IF($E666="ATTRIBUE",'ENGAGEMENTS 2026'!AE666,'ENGAGEMENTS 2026'!O666),'ENGAGEMENTS 2026'!AE666))))</f>
        <v/>
      </c>
      <c r="K666" s="604">
        <f>IF(ISBLANK('ENGAGEMENTS 2026'!W666),"",'ENGAGEMENTS 2026'!W666)</f>
        <v/>
      </c>
      <c r="L666" s="276">
        <f>IF($K666="","",TODAY()-$K666)</f>
        <v/>
      </c>
      <c r="M666">
        <f>IF($A666="","",IF($H666="ENGAGE","Engagé",IF(AND($H666="NON ENGAGE",OR($I666="INFRUCTUEUX",$I666="ANNULE")),"Clôturé sans suite","En cours")))</f>
        <v/>
      </c>
      <c r="N666">
        <f>IF(ISBLANK('ENGAGEMENTS 2026'!C666),"",'ENGAGEMENTS 2026'!L666)</f>
        <v/>
      </c>
      <c r="O666">
        <f>IF(ISBLANK('ENGAGEMENTS 2026'!C666),"",'ENGAGEMENTS 2026'!M666)</f>
        <v/>
      </c>
      <c r="P666">
        <f>IF(ISBLANK('ENGAGEMENTS 2026'!C666),"",'ENGAGEMENTS 2026'!K666)</f>
        <v/>
      </c>
      <c r="Q666">
        <f>IF($A666="","",IF(OR($E666="INFRUCTUEUX",$E666="ANNULE"),$A666&amp;"|"&amp;(COUNTIFS($A$2:$A666,$A666,$E$2:$E666,"INFRUCTUEUX")+COUNTIFS($A$2:$A666,$A666,$E$2:$E666,"ANNULE")),""))</f>
        <v/>
      </c>
    </row>
    <row r="667">
      <c r="A667">
        <f>IF(ISBLANK('ENGAGEMENTS 2026'!C667),"",IF('ENGAGEMENTS 2026'!C667="DTSI","DCT",'ENGAGEMENTS 2026'!C667))</f>
        <v/>
      </c>
      <c r="B667">
        <f>IF(ISBLANK('ENGAGEMENTS 2026'!C667),"",'ENGAGEMENTS 2026'!D667)</f>
        <v/>
      </c>
      <c r="C667">
        <f>IF(ISBLANK('ENGAGEMENTS 2026'!C667),"",'ENGAGEMENTS 2026'!E667)</f>
        <v/>
      </c>
      <c r="D667">
        <f>IF(ISBLANK('ENGAGEMENTS 2026'!C667),"",'ENGAGEMENTS 2026'!G667)</f>
        <v/>
      </c>
      <c r="E667">
        <f>IF(ISBLANK('ENGAGEMENTS 2026'!C667),"",'ENGAGEMENTS 2026'!I667)</f>
        <v/>
      </c>
      <c r="F667">
        <f>IF(ISBLANK('ENGAGEMENTS 2026'!C667),"",'ENGAGEMENTS 2026'!J667)</f>
        <v/>
      </c>
      <c r="G667">
        <f>IF(ISBLANK('ENGAGEMENTS 2026'!C667),"",'ENGAGEMENTS 2026'!M667)</f>
        <v/>
      </c>
      <c r="H667">
        <f>IF(ISBLANK('ENGAGEMENTS 2026'!C667),"",'ENGAGEMENTS 2026'!AF667)</f>
        <v/>
      </c>
      <c r="I667">
        <f>IF(ISBLANK('ENGAGEMENTS 2026'!C667),"",'ENGAGEMENTS 2026'!H667)</f>
        <v/>
      </c>
      <c r="J667" s="275">
        <f>IF(ISBLANK('ENGAGEMENTS 2026'!C667),"",IF(AND(OR($E667="INFRUCTUEUX",$E667="ANNULE"),$C667="AOO-M"),'ENGAGEMENTS 2026'!P667,IF($H667="EN COURS DE PREENGAGEMENT",'ENGAGEMENTS 2026'!O667,IF($H667="PREENGAGE",IF($E667="ATTRIBUE",'ENGAGEMENTS 2026'!AE667,'ENGAGEMENTS 2026'!O667),'ENGAGEMENTS 2026'!AE667))))</f>
        <v/>
      </c>
      <c r="K667" s="604">
        <f>IF(ISBLANK('ENGAGEMENTS 2026'!W667),"",'ENGAGEMENTS 2026'!W667)</f>
        <v/>
      </c>
      <c r="L667" s="276">
        <f>IF($K667="","",TODAY()-$K667)</f>
        <v/>
      </c>
      <c r="M667">
        <f>IF($A667="","",IF($H667="ENGAGE","Engagé",IF(AND($H667="NON ENGAGE",OR($I667="INFRUCTUEUX",$I667="ANNULE")),"Clôturé sans suite","En cours")))</f>
        <v/>
      </c>
      <c r="N667">
        <f>IF(ISBLANK('ENGAGEMENTS 2026'!C667),"",'ENGAGEMENTS 2026'!L667)</f>
        <v/>
      </c>
      <c r="O667">
        <f>IF(ISBLANK('ENGAGEMENTS 2026'!C667),"",'ENGAGEMENTS 2026'!M667)</f>
        <v/>
      </c>
      <c r="P667">
        <f>IF(ISBLANK('ENGAGEMENTS 2026'!C667),"",'ENGAGEMENTS 2026'!K667)</f>
        <v/>
      </c>
      <c r="Q667">
        <f>IF($A667="","",IF(OR($E667="INFRUCTUEUX",$E667="ANNULE"),$A667&amp;"|"&amp;(COUNTIFS($A$2:$A667,$A667,$E$2:$E667,"INFRUCTUEUX")+COUNTIFS($A$2:$A667,$A667,$E$2:$E667,"ANNULE")),""))</f>
        <v/>
      </c>
    </row>
    <row r="668">
      <c r="A668">
        <f>IF(ISBLANK('ENGAGEMENTS 2026'!C668),"",IF('ENGAGEMENTS 2026'!C668="DTSI","DCT",'ENGAGEMENTS 2026'!C668))</f>
        <v/>
      </c>
      <c r="B668">
        <f>IF(ISBLANK('ENGAGEMENTS 2026'!C668),"",'ENGAGEMENTS 2026'!D668)</f>
        <v/>
      </c>
      <c r="C668">
        <f>IF(ISBLANK('ENGAGEMENTS 2026'!C668),"",'ENGAGEMENTS 2026'!E668)</f>
        <v/>
      </c>
      <c r="D668">
        <f>IF(ISBLANK('ENGAGEMENTS 2026'!C668),"",'ENGAGEMENTS 2026'!G668)</f>
        <v/>
      </c>
      <c r="E668">
        <f>IF(ISBLANK('ENGAGEMENTS 2026'!C668),"",'ENGAGEMENTS 2026'!I668)</f>
        <v/>
      </c>
      <c r="F668">
        <f>IF(ISBLANK('ENGAGEMENTS 2026'!C668),"",'ENGAGEMENTS 2026'!J668)</f>
        <v/>
      </c>
      <c r="G668">
        <f>IF(ISBLANK('ENGAGEMENTS 2026'!C668),"",'ENGAGEMENTS 2026'!M668)</f>
        <v/>
      </c>
      <c r="H668">
        <f>IF(ISBLANK('ENGAGEMENTS 2026'!C668),"",'ENGAGEMENTS 2026'!AF668)</f>
        <v/>
      </c>
      <c r="I668">
        <f>IF(ISBLANK('ENGAGEMENTS 2026'!C668),"",'ENGAGEMENTS 2026'!H668)</f>
        <v/>
      </c>
      <c r="J668" s="275">
        <f>IF(ISBLANK('ENGAGEMENTS 2026'!C668),"",IF(AND(OR($E668="INFRUCTUEUX",$E668="ANNULE"),$C668="AOO-M"),'ENGAGEMENTS 2026'!P668,IF($H668="EN COURS DE PREENGAGEMENT",'ENGAGEMENTS 2026'!O668,IF($H668="PREENGAGE",IF($E668="ATTRIBUE",'ENGAGEMENTS 2026'!AE668,'ENGAGEMENTS 2026'!O668),'ENGAGEMENTS 2026'!AE668))))</f>
        <v/>
      </c>
      <c r="K668" s="604">
        <f>IF(ISBLANK('ENGAGEMENTS 2026'!W668),"",'ENGAGEMENTS 2026'!W668)</f>
        <v/>
      </c>
      <c r="L668" s="276">
        <f>IF($K668="","",TODAY()-$K668)</f>
        <v/>
      </c>
      <c r="M668">
        <f>IF($A668="","",IF($H668="ENGAGE","Engagé",IF(AND($H668="NON ENGAGE",OR($I668="INFRUCTUEUX",$I668="ANNULE")),"Clôturé sans suite","En cours")))</f>
        <v/>
      </c>
      <c r="N668">
        <f>IF(ISBLANK('ENGAGEMENTS 2026'!C668),"",'ENGAGEMENTS 2026'!L668)</f>
        <v/>
      </c>
      <c r="O668">
        <f>IF(ISBLANK('ENGAGEMENTS 2026'!C668),"",'ENGAGEMENTS 2026'!M668)</f>
        <v/>
      </c>
      <c r="P668">
        <f>IF(ISBLANK('ENGAGEMENTS 2026'!C668),"",'ENGAGEMENTS 2026'!K668)</f>
        <v/>
      </c>
      <c r="Q668">
        <f>IF($A668="","",IF(OR($E668="INFRUCTUEUX",$E668="ANNULE"),$A668&amp;"|"&amp;(COUNTIFS($A$2:$A668,$A668,$E$2:$E668,"INFRUCTUEUX")+COUNTIFS($A$2:$A668,$A668,$E$2:$E668,"ANNULE")),""))</f>
        <v/>
      </c>
    </row>
    <row r="669">
      <c r="A669">
        <f>IF(ISBLANK('ENGAGEMENTS 2026'!C669),"",IF('ENGAGEMENTS 2026'!C669="DTSI","DCT",'ENGAGEMENTS 2026'!C669))</f>
        <v/>
      </c>
      <c r="B669">
        <f>IF(ISBLANK('ENGAGEMENTS 2026'!C669),"",'ENGAGEMENTS 2026'!D669)</f>
        <v/>
      </c>
      <c r="C669">
        <f>IF(ISBLANK('ENGAGEMENTS 2026'!C669),"",'ENGAGEMENTS 2026'!E669)</f>
        <v/>
      </c>
      <c r="D669">
        <f>IF(ISBLANK('ENGAGEMENTS 2026'!C669),"",'ENGAGEMENTS 2026'!G669)</f>
        <v/>
      </c>
      <c r="E669">
        <f>IF(ISBLANK('ENGAGEMENTS 2026'!C669),"",'ENGAGEMENTS 2026'!I669)</f>
        <v/>
      </c>
      <c r="F669">
        <f>IF(ISBLANK('ENGAGEMENTS 2026'!C669),"",'ENGAGEMENTS 2026'!J669)</f>
        <v/>
      </c>
      <c r="G669">
        <f>IF(ISBLANK('ENGAGEMENTS 2026'!C669),"",'ENGAGEMENTS 2026'!M669)</f>
        <v/>
      </c>
      <c r="H669">
        <f>IF(ISBLANK('ENGAGEMENTS 2026'!C669),"",'ENGAGEMENTS 2026'!AF669)</f>
        <v/>
      </c>
      <c r="I669">
        <f>IF(ISBLANK('ENGAGEMENTS 2026'!C669),"",'ENGAGEMENTS 2026'!H669)</f>
        <v/>
      </c>
      <c r="J669" s="275">
        <f>IF(ISBLANK('ENGAGEMENTS 2026'!C669),"",IF(AND(OR($E669="INFRUCTUEUX",$E669="ANNULE"),$C669="AOO-M"),'ENGAGEMENTS 2026'!P669,IF($H669="EN COURS DE PREENGAGEMENT",'ENGAGEMENTS 2026'!O669,IF($H669="PREENGAGE",IF($E669="ATTRIBUE",'ENGAGEMENTS 2026'!AE669,'ENGAGEMENTS 2026'!O669),'ENGAGEMENTS 2026'!AE669))))</f>
        <v/>
      </c>
      <c r="K669" s="604">
        <f>IF(ISBLANK('ENGAGEMENTS 2026'!W669),"",'ENGAGEMENTS 2026'!W669)</f>
        <v/>
      </c>
      <c r="L669" s="276">
        <f>IF($K669="","",TODAY()-$K669)</f>
        <v/>
      </c>
      <c r="M669">
        <f>IF($A669="","",IF($H669="ENGAGE","Engagé",IF(AND($H669="NON ENGAGE",OR($I669="INFRUCTUEUX",$I669="ANNULE")),"Clôturé sans suite","En cours")))</f>
        <v/>
      </c>
      <c r="N669">
        <f>IF(ISBLANK('ENGAGEMENTS 2026'!C669),"",'ENGAGEMENTS 2026'!L669)</f>
        <v/>
      </c>
      <c r="O669">
        <f>IF(ISBLANK('ENGAGEMENTS 2026'!C669),"",'ENGAGEMENTS 2026'!M669)</f>
        <v/>
      </c>
      <c r="P669">
        <f>IF(ISBLANK('ENGAGEMENTS 2026'!C669),"",'ENGAGEMENTS 2026'!K669)</f>
        <v/>
      </c>
      <c r="Q669">
        <f>IF($A669="","",IF(OR($E669="INFRUCTUEUX",$E669="ANNULE"),$A669&amp;"|"&amp;(COUNTIFS($A$2:$A669,$A669,$E$2:$E669,"INFRUCTUEUX")+COUNTIFS($A$2:$A669,$A669,$E$2:$E669,"ANNULE")),""))</f>
        <v/>
      </c>
    </row>
    <row r="670">
      <c r="A670">
        <f>IF(ISBLANK('ENGAGEMENTS 2026'!C670),"",IF('ENGAGEMENTS 2026'!C670="DTSI","DCT",'ENGAGEMENTS 2026'!C670))</f>
        <v/>
      </c>
      <c r="B670">
        <f>IF(ISBLANK('ENGAGEMENTS 2026'!C670),"",'ENGAGEMENTS 2026'!D670)</f>
        <v/>
      </c>
      <c r="C670">
        <f>IF(ISBLANK('ENGAGEMENTS 2026'!C670),"",'ENGAGEMENTS 2026'!E670)</f>
        <v/>
      </c>
      <c r="D670">
        <f>IF(ISBLANK('ENGAGEMENTS 2026'!C670),"",'ENGAGEMENTS 2026'!G670)</f>
        <v/>
      </c>
      <c r="E670">
        <f>IF(ISBLANK('ENGAGEMENTS 2026'!C670),"",'ENGAGEMENTS 2026'!I670)</f>
        <v/>
      </c>
      <c r="F670">
        <f>IF(ISBLANK('ENGAGEMENTS 2026'!C670),"",'ENGAGEMENTS 2026'!J670)</f>
        <v/>
      </c>
      <c r="G670">
        <f>IF(ISBLANK('ENGAGEMENTS 2026'!C670),"",'ENGAGEMENTS 2026'!M670)</f>
        <v/>
      </c>
      <c r="H670">
        <f>IF(ISBLANK('ENGAGEMENTS 2026'!C670),"",'ENGAGEMENTS 2026'!AF670)</f>
        <v/>
      </c>
      <c r="I670">
        <f>IF(ISBLANK('ENGAGEMENTS 2026'!C670),"",'ENGAGEMENTS 2026'!H670)</f>
        <v/>
      </c>
      <c r="J670" s="275">
        <f>IF(ISBLANK('ENGAGEMENTS 2026'!C670),"",IF(AND(OR($E670="INFRUCTUEUX",$E670="ANNULE"),$C670="AOO-M"),'ENGAGEMENTS 2026'!P670,IF($H670="EN COURS DE PREENGAGEMENT",'ENGAGEMENTS 2026'!O670,IF($H670="PREENGAGE",IF($E670="ATTRIBUE",'ENGAGEMENTS 2026'!AE670,'ENGAGEMENTS 2026'!O670),'ENGAGEMENTS 2026'!AE670))))</f>
        <v/>
      </c>
      <c r="K670" s="604">
        <f>IF(ISBLANK('ENGAGEMENTS 2026'!W670),"",'ENGAGEMENTS 2026'!W670)</f>
        <v/>
      </c>
      <c r="L670" s="276">
        <f>IF($K670="","",TODAY()-$K670)</f>
        <v/>
      </c>
      <c r="M670">
        <f>IF($A670="","",IF($H670="ENGAGE","Engagé",IF(AND($H670="NON ENGAGE",OR($I670="INFRUCTUEUX",$I670="ANNULE")),"Clôturé sans suite","En cours")))</f>
        <v/>
      </c>
      <c r="N670">
        <f>IF(ISBLANK('ENGAGEMENTS 2026'!C670),"",'ENGAGEMENTS 2026'!L670)</f>
        <v/>
      </c>
      <c r="O670">
        <f>IF(ISBLANK('ENGAGEMENTS 2026'!C670),"",'ENGAGEMENTS 2026'!M670)</f>
        <v/>
      </c>
      <c r="P670">
        <f>IF(ISBLANK('ENGAGEMENTS 2026'!C670),"",'ENGAGEMENTS 2026'!K670)</f>
        <v/>
      </c>
      <c r="Q670">
        <f>IF($A670="","",IF(OR($E670="INFRUCTUEUX",$E670="ANNULE"),$A670&amp;"|"&amp;(COUNTIFS($A$2:$A670,$A670,$E$2:$E670,"INFRUCTUEUX")+COUNTIFS($A$2:$A670,$A670,$E$2:$E670,"ANNULE")),""))</f>
        <v/>
      </c>
    </row>
    <row r="671">
      <c r="A671">
        <f>IF(ISBLANK('ENGAGEMENTS 2026'!C671),"",IF('ENGAGEMENTS 2026'!C671="DTSI","DCT",'ENGAGEMENTS 2026'!C671))</f>
        <v/>
      </c>
      <c r="B671">
        <f>IF(ISBLANK('ENGAGEMENTS 2026'!C671),"",'ENGAGEMENTS 2026'!D671)</f>
        <v/>
      </c>
      <c r="C671">
        <f>IF(ISBLANK('ENGAGEMENTS 2026'!C671),"",'ENGAGEMENTS 2026'!E671)</f>
        <v/>
      </c>
      <c r="D671">
        <f>IF(ISBLANK('ENGAGEMENTS 2026'!C671),"",'ENGAGEMENTS 2026'!G671)</f>
        <v/>
      </c>
      <c r="E671">
        <f>IF(ISBLANK('ENGAGEMENTS 2026'!C671),"",'ENGAGEMENTS 2026'!I671)</f>
        <v/>
      </c>
      <c r="F671">
        <f>IF(ISBLANK('ENGAGEMENTS 2026'!C671),"",'ENGAGEMENTS 2026'!J671)</f>
        <v/>
      </c>
      <c r="G671">
        <f>IF(ISBLANK('ENGAGEMENTS 2026'!C671),"",'ENGAGEMENTS 2026'!M671)</f>
        <v/>
      </c>
      <c r="H671">
        <f>IF(ISBLANK('ENGAGEMENTS 2026'!C671),"",'ENGAGEMENTS 2026'!AF671)</f>
        <v/>
      </c>
      <c r="I671">
        <f>IF(ISBLANK('ENGAGEMENTS 2026'!C671),"",'ENGAGEMENTS 2026'!H671)</f>
        <v/>
      </c>
      <c r="J671" s="275">
        <f>IF(ISBLANK('ENGAGEMENTS 2026'!C671),"",IF(AND(OR($E671="INFRUCTUEUX",$E671="ANNULE"),$C671="AOO-M"),'ENGAGEMENTS 2026'!P671,IF($H671="EN COURS DE PREENGAGEMENT",'ENGAGEMENTS 2026'!O671,IF($H671="PREENGAGE",IF($E671="ATTRIBUE",'ENGAGEMENTS 2026'!AE671,'ENGAGEMENTS 2026'!O671),'ENGAGEMENTS 2026'!AE671))))</f>
        <v/>
      </c>
      <c r="K671" s="604">
        <f>IF(ISBLANK('ENGAGEMENTS 2026'!W671),"",'ENGAGEMENTS 2026'!W671)</f>
        <v/>
      </c>
      <c r="L671" s="276">
        <f>IF($K671="","",TODAY()-$K671)</f>
        <v/>
      </c>
      <c r="M671">
        <f>IF($A671="","",IF($H671="ENGAGE","Engagé",IF(AND($H671="NON ENGAGE",OR($I671="INFRUCTUEUX",$I671="ANNULE")),"Clôturé sans suite","En cours")))</f>
        <v/>
      </c>
      <c r="N671">
        <f>IF(ISBLANK('ENGAGEMENTS 2026'!C671),"",'ENGAGEMENTS 2026'!L671)</f>
        <v/>
      </c>
      <c r="O671">
        <f>IF(ISBLANK('ENGAGEMENTS 2026'!C671),"",'ENGAGEMENTS 2026'!M671)</f>
        <v/>
      </c>
      <c r="P671">
        <f>IF(ISBLANK('ENGAGEMENTS 2026'!C671),"",'ENGAGEMENTS 2026'!K671)</f>
        <v/>
      </c>
      <c r="Q671">
        <f>IF($A671="","",IF(OR($E671="INFRUCTUEUX",$E671="ANNULE"),$A671&amp;"|"&amp;(COUNTIFS($A$2:$A671,$A671,$E$2:$E671,"INFRUCTUEUX")+COUNTIFS($A$2:$A671,$A671,$E$2:$E671,"ANNULE")),""))</f>
        <v/>
      </c>
    </row>
    <row r="672">
      <c r="A672">
        <f>IF(ISBLANK('ENGAGEMENTS 2026'!C672),"",IF('ENGAGEMENTS 2026'!C672="DTSI","DCT",'ENGAGEMENTS 2026'!C672))</f>
        <v/>
      </c>
      <c r="B672">
        <f>IF(ISBLANK('ENGAGEMENTS 2026'!C672),"",'ENGAGEMENTS 2026'!D672)</f>
        <v/>
      </c>
      <c r="C672">
        <f>IF(ISBLANK('ENGAGEMENTS 2026'!C672),"",'ENGAGEMENTS 2026'!E672)</f>
        <v/>
      </c>
      <c r="D672">
        <f>IF(ISBLANK('ENGAGEMENTS 2026'!C672),"",'ENGAGEMENTS 2026'!G672)</f>
        <v/>
      </c>
      <c r="E672">
        <f>IF(ISBLANK('ENGAGEMENTS 2026'!C672),"",'ENGAGEMENTS 2026'!I672)</f>
        <v/>
      </c>
      <c r="F672">
        <f>IF(ISBLANK('ENGAGEMENTS 2026'!C672),"",'ENGAGEMENTS 2026'!J672)</f>
        <v/>
      </c>
      <c r="G672">
        <f>IF(ISBLANK('ENGAGEMENTS 2026'!C672),"",'ENGAGEMENTS 2026'!M672)</f>
        <v/>
      </c>
      <c r="H672">
        <f>IF(ISBLANK('ENGAGEMENTS 2026'!C672),"",'ENGAGEMENTS 2026'!AF672)</f>
        <v/>
      </c>
      <c r="I672">
        <f>IF(ISBLANK('ENGAGEMENTS 2026'!C672),"",'ENGAGEMENTS 2026'!H672)</f>
        <v/>
      </c>
      <c r="J672" s="275">
        <f>IF(ISBLANK('ENGAGEMENTS 2026'!C672),"",IF(AND(OR($E672="INFRUCTUEUX",$E672="ANNULE"),$C672="AOO-M"),'ENGAGEMENTS 2026'!P672,IF($H672="EN COURS DE PREENGAGEMENT",'ENGAGEMENTS 2026'!O672,IF($H672="PREENGAGE",IF($E672="ATTRIBUE",'ENGAGEMENTS 2026'!AE672,'ENGAGEMENTS 2026'!O672),'ENGAGEMENTS 2026'!AE672))))</f>
        <v/>
      </c>
      <c r="K672" s="604">
        <f>IF(ISBLANK('ENGAGEMENTS 2026'!W672),"",'ENGAGEMENTS 2026'!W672)</f>
        <v/>
      </c>
      <c r="L672" s="276">
        <f>IF($K672="","",TODAY()-$K672)</f>
        <v/>
      </c>
      <c r="M672">
        <f>IF($A672="","",IF($H672="ENGAGE","Engagé",IF(AND($H672="NON ENGAGE",OR($I672="INFRUCTUEUX",$I672="ANNULE")),"Clôturé sans suite","En cours")))</f>
        <v/>
      </c>
      <c r="N672">
        <f>IF(ISBLANK('ENGAGEMENTS 2026'!C672),"",'ENGAGEMENTS 2026'!L672)</f>
        <v/>
      </c>
      <c r="O672">
        <f>IF(ISBLANK('ENGAGEMENTS 2026'!C672),"",'ENGAGEMENTS 2026'!M672)</f>
        <v/>
      </c>
      <c r="P672">
        <f>IF(ISBLANK('ENGAGEMENTS 2026'!C672),"",'ENGAGEMENTS 2026'!K672)</f>
        <v/>
      </c>
      <c r="Q672">
        <f>IF($A672="","",IF(OR($E672="INFRUCTUEUX",$E672="ANNULE"),$A672&amp;"|"&amp;(COUNTIFS($A$2:$A672,$A672,$E$2:$E672,"INFRUCTUEUX")+COUNTIFS($A$2:$A672,$A672,$E$2:$E672,"ANNULE")),""))</f>
        <v/>
      </c>
    </row>
    <row r="673">
      <c r="A673">
        <f>IF(ISBLANK('ENGAGEMENTS 2026'!C673),"",IF('ENGAGEMENTS 2026'!C673="DTSI","DCT",'ENGAGEMENTS 2026'!C673))</f>
        <v/>
      </c>
      <c r="B673">
        <f>IF(ISBLANK('ENGAGEMENTS 2026'!C673),"",'ENGAGEMENTS 2026'!D673)</f>
        <v/>
      </c>
      <c r="C673">
        <f>IF(ISBLANK('ENGAGEMENTS 2026'!C673),"",'ENGAGEMENTS 2026'!E673)</f>
        <v/>
      </c>
      <c r="D673">
        <f>IF(ISBLANK('ENGAGEMENTS 2026'!C673),"",'ENGAGEMENTS 2026'!G673)</f>
        <v/>
      </c>
      <c r="E673">
        <f>IF(ISBLANK('ENGAGEMENTS 2026'!C673),"",'ENGAGEMENTS 2026'!I673)</f>
        <v/>
      </c>
      <c r="F673">
        <f>IF(ISBLANK('ENGAGEMENTS 2026'!C673),"",'ENGAGEMENTS 2026'!J673)</f>
        <v/>
      </c>
      <c r="G673">
        <f>IF(ISBLANK('ENGAGEMENTS 2026'!C673),"",'ENGAGEMENTS 2026'!M673)</f>
        <v/>
      </c>
      <c r="H673">
        <f>IF(ISBLANK('ENGAGEMENTS 2026'!C673),"",'ENGAGEMENTS 2026'!AF673)</f>
        <v/>
      </c>
      <c r="I673">
        <f>IF(ISBLANK('ENGAGEMENTS 2026'!C673),"",'ENGAGEMENTS 2026'!H673)</f>
        <v/>
      </c>
      <c r="J673" s="275">
        <f>IF(ISBLANK('ENGAGEMENTS 2026'!C673),"",IF(AND(OR($E673="INFRUCTUEUX",$E673="ANNULE"),$C673="AOO-M"),'ENGAGEMENTS 2026'!P673,IF($H673="EN COURS DE PREENGAGEMENT",'ENGAGEMENTS 2026'!O673,IF($H673="PREENGAGE",IF($E673="ATTRIBUE",'ENGAGEMENTS 2026'!AE673,'ENGAGEMENTS 2026'!O673),'ENGAGEMENTS 2026'!AE673))))</f>
        <v/>
      </c>
      <c r="K673" s="604">
        <f>IF(ISBLANK('ENGAGEMENTS 2026'!W673),"",'ENGAGEMENTS 2026'!W673)</f>
        <v/>
      </c>
      <c r="L673" s="276">
        <f>IF($K673="","",TODAY()-$K673)</f>
        <v/>
      </c>
      <c r="M673">
        <f>IF($A673="","",IF($H673="ENGAGE","Engagé",IF(AND($H673="NON ENGAGE",OR($I673="INFRUCTUEUX",$I673="ANNULE")),"Clôturé sans suite","En cours")))</f>
        <v/>
      </c>
      <c r="N673">
        <f>IF(ISBLANK('ENGAGEMENTS 2026'!C673),"",'ENGAGEMENTS 2026'!L673)</f>
        <v/>
      </c>
      <c r="O673">
        <f>IF(ISBLANK('ENGAGEMENTS 2026'!C673),"",'ENGAGEMENTS 2026'!M673)</f>
        <v/>
      </c>
      <c r="P673">
        <f>IF(ISBLANK('ENGAGEMENTS 2026'!C673),"",'ENGAGEMENTS 2026'!K673)</f>
        <v/>
      </c>
      <c r="Q673">
        <f>IF($A673="","",IF(OR($E673="INFRUCTUEUX",$E673="ANNULE"),$A673&amp;"|"&amp;(COUNTIFS($A$2:$A673,$A673,$E$2:$E673,"INFRUCTUEUX")+COUNTIFS($A$2:$A673,$A673,$E$2:$E673,"ANNULE")),""))</f>
        <v/>
      </c>
    </row>
    <row r="674">
      <c r="A674">
        <f>IF(ISBLANK('ENGAGEMENTS 2026'!C674),"",IF('ENGAGEMENTS 2026'!C674="DTSI","DCT",'ENGAGEMENTS 2026'!C674))</f>
        <v/>
      </c>
      <c r="B674">
        <f>IF(ISBLANK('ENGAGEMENTS 2026'!C674),"",'ENGAGEMENTS 2026'!D674)</f>
        <v/>
      </c>
      <c r="C674">
        <f>IF(ISBLANK('ENGAGEMENTS 2026'!C674),"",'ENGAGEMENTS 2026'!E674)</f>
        <v/>
      </c>
      <c r="D674">
        <f>IF(ISBLANK('ENGAGEMENTS 2026'!C674),"",'ENGAGEMENTS 2026'!G674)</f>
        <v/>
      </c>
      <c r="E674">
        <f>IF(ISBLANK('ENGAGEMENTS 2026'!C674),"",'ENGAGEMENTS 2026'!I674)</f>
        <v/>
      </c>
      <c r="F674">
        <f>IF(ISBLANK('ENGAGEMENTS 2026'!C674),"",'ENGAGEMENTS 2026'!J674)</f>
        <v/>
      </c>
      <c r="G674">
        <f>IF(ISBLANK('ENGAGEMENTS 2026'!C674),"",'ENGAGEMENTS 2026'!M674)</f>
        <v/>
      </c>
      <c r="H674">
        <f>IF(ISBLANK('ENGAGEMENTS 2026'!C674),"",'ENGAGEMENTS 2026'!AF674)</f>
        <v/>
      </c>
      <c r="I674">
        <f>IF(ISBLANK('ENGAGEMENTS 2026'!C674),"",'ENGAGEMENTS 2026'!H674)</f>
        <v/>
      </c>
      <c r="J674" s="275">
        <f>IF(ISBLANK('ENGAGEMENTS 2026'!C674),"",IF(AND(OR($E674="INFRUCTUEUX",$E674="ANNULE"),$C674="AOO-M"),'ENGAGEMENTS 2026'!P674,IF($H674="EN COURS DE PREENGAGEMENT",'ENGAGEMENTS 2026'!O674,IF($H674="PREENGAGE",IF($E674="ATTRIBUE",'ENGAGEMENTS 2026'!AE674,'ENGAGEMENTS 2026'!O674),'ENGAGEMENTS 2026'!AE674))))</f>
        <v/>
      </c>
      <c r="K674" s="604">
        <f>IF(ISBLANK('ENGAGEMENTS 2026'!W674),"",'ENGAGEMENTS 2026'!W674)</f>
        <v/>
      </c>
      <c r="L674" s="276">
        <f>IF($K674="","",TODAY()-$K674)</f>
        <v/>
      </c>
      <c r="M674">
        <f>IF($A674="","",IF($H674="ENGAGE","Engagé",IF(AND($H674="NON ENGAGE",OR($I674="INFRUCTUEUX",$I674="ANNULE")),"Clôturé sans suite","En cours")))</f>
        <v/>
      </c>
      <c r="N674">
        <f>IF(ISBLANK('ENGAGEMENTS 2026'!C674),"",'ENGAGEMENTS 2026'!L674)</f>
        <v/>
      </c>
      <c r="O674">
        <f>IF(ISBLANK('ENGAGEMENTS 2026'!C674),"",'ENGAGEMENTS 2026'!M674)</f>
        <v/>
      </c>
      <c r="P674">
        <f>IF(ISBLANK('ENGAGEMENTS 2026'!C674),"",'ENGAGEMENTS 2026'!K674)</f>
        <v/>
      </c>
      <c r="Q674">
        <f>IF($A674="","",IF(OR($E674="INFRUCTUEUX",$E674="ANNULE"),$A674&amp;"|"&amp;(COUNTIFS($A$2:$A674,$A674,$E$2:$E674,"INFRUCTUEUX")+COUNTIFS($A$2:$A674,$A674,$E$2:$E674,"ANNULE")),""))</f>
        <v/>
      </c>
    </row>
    <row r="675">
      <c r="A675">
        <f>IF(ISBLANK('ENGAGEMENTS 2026'!C675),"",IF('ENGAGEMENTS 2026'!C675="DTSI","DCT",'ENGAGEMENTS 2026'!C675))</f>
        <v/>
      </c>
      <c r="B675">
        <f>IF(ISBLANK('ENGAGEMENTS 2026'!C675),"",'ENGAGEMENTS 2026'!D675)</f>
        <v/>
      </c>
      <c r="C675">
        <f>IF(ISBLANK('ENGAGEMENTS 2026'!C675),"",'ENGAGEMENTS 2026'!E675)</f>
        <v/>
      </c>
      <c r="D675">
        <f>IF(ISBLANK('ENGAGEMENTS 2026'!C675),"",'ENGAGEMENTS 2026'!G675)</f>
        <v/>
      </c>
      <c r="E675">
        <f>IF(ISBLANK('ENGAGEMENTS 2026'!C675),"",'ENGAGEMENTS 2026'!I675)</f>
        <v/>
      </c>
      <c r="F675">
        <f>IF(ISBLANK('ENGAGEMENTS 2026'!C675),"",'ENGAGEMENTS 2026'!J675)</f>
        <v/>
      </c>
      <c r="G675">
        <f>IF(ISBLANK('ENGAGEMENTS 2026'!C675),"",'ENGAGEMENTS 2026'!M675)</f>
        <v/>
      </c>
      <c r="H675">
        <f>IF(ISBLANK('ENGAGEMENTS 2026'!C675),"",'ENGAGEMENTS 2026'!AF675)</f>
        <v/>
      </c>
      <c r="I675">
        <f>IF(ISBLANK('ENGAGEMENTS 2026'!C675),"",'ENGAGEMENTS 2026'!H675)</f>
        <v/>
      </c>
      <c r="J675" s="275">
        <f>IF(ISBLANK('ENGAGEMENTS 2026'!C675),"",IF(AND(OR($E675="INFRUCTUEUX",$E675="ANNULE"),$C675="AOO-M"),'ENGAGEMENTS 2026'!P675,IF($H675="EN COURS DE PREENGAGEMENT",'ENGAGEMENTS 2026'!O675,IF($H675="PREENGAGE",IF($E675="ATTRIBUE",'ENGAGEMENTS 2026'!AE675,'ENGAGEMENTS 2026'!O675),'ENGAGEMENTS 2026'!AE675))))</f>
        <v/>
      </c>
      <c r="K675" s="604">
        <f>IF(ISBLANK('ENGAGEMENTS 2026'!W675),"",'ENGAGEMENTS 2026'!W675)</f>
        <v/>
      </c>
      <c r="L675" s="276">
        <f>IF($K675="","",TODAY()-$K675)</f>
        <v/>
      </c>
      <c r="M675">
        <f>IF($A675="","",IF($H675="ENGAGE","Engagé",IF(AND($H675="NON ENGAGE",OR($I675="INFRUCTUEUX",$I675="ANNULE")),"Clôturé sans suite","En cours")))</f>
        <v/>
      </c>
      <c r="N675">
        <f>IF(ISBLANK('ENGAGEMENTS 2026'!C675),"",'ENGAGEMENTS 2026'!L675)</f>
        <v/>
      </c>
      <c r="O675">
        <f>IF(ISBLANK('ENGAGEMENTS 2026'!C675),"",'ENGAGEMENTS 2026'!M675)</f>
        <v/>
      </c>
      <c r="P675">
        <f>IF(ISBLANK('ENGAGEMENTS 2026'!C675),"",'ENGAGEMENTS 2026'!K675)</f>
        <v/>
      </c>
      <c r="Q675">
        <f>IF($A675="","",IF(OR($E675="INFRUCTUEUX",$E675="ANNULE"),$A675&amp;"|"&amp;(COUNTIFS($A$2:$A675,$A675,$E$2:$E675,"INFRUCTUEUX")+COUNTIFS($A$2:$A675,$A675,$E$2:$E675,"ANNULE")),""))</f>
        <v/>
      </c>
    </row>
    <row r="676">
      <c r="A676">
        <f>IF(ISBLANK('ENGAGEMENTS 2026'!C676),"",IF('ENGAGEMENTS 2026'!C676="DTSI","DCT",'ENGAGEMENTS 2026'!C676))</f>
        <v/>
      </c>
      <c r="B676">
        <f>IF(ISBLANK('ENGAGEMENTS 2026'!C676),"",'ENGAGEMENTS 2026'!D676)</f>
        <v/>
      </c>
      <c r="C676">
        <f>IF(ISBLANK('ENGAGEMENTS 2026'!C676),"",'ENGAGEMENTS 2026'!E676)</f>
        <v/>
      </c>
      <c r="D676">
        <f>IF(ISBLANK('ENGAGEMENTS 2026'!C676),"",'ENGAGEMENTS 2026'!G676)</f>
        <v/>
      </c>
      <c r="E676">
        <f>IF(ISBLANK('ENGAGEMENTS 2026'!C676),"",'ENGAGEMENTS 2026'!I676)</f>
        <v/>
      </c>
      <c r="F676">
        <f>IF(ISBLANK('ENGAGEMENTS 2026'!C676),"",'ENGAGEMENTS 2026'!J676)</f>
        <v/>
      </c>
      <c r="G676">
        <f>IF(ISBLANK('ENGAGEMENTS 2026'!C676),"",'ENGAGEMENTS 2026'!M676)</f>
        <v/>
      </c>
      <c r="H676">
        <f>IF(ISBLANK('ENGAGEMENTS 2026'!C676),"",'ENGAGEMENTS 2026'!AF676)</f>
        <v/>
      </c>
      <c r="I676">
        <f>IF(ISBLANK('ENGAGEMENTS 2026'!C676),"",'ENGAGEMENTS 2026'!H676)</f>
        <v/>
      </c>
      <c r="J676" s="275">
        <f>IF(ISBLANK('ENGAGEMENTS 2026'!C676),"",IF(AND(OR($E676="INFRUCTUEUX",$E676="ANNULE"),$C676="AOO-M"),'ENGAGEMENTS 2026'!P676,IF($H676="EN COURS DE PREENGAGEMENT",'ENGAGEMENTS 2026'!O676,IF($H676="PREENGAGE",IF($E676="ATTRIBUE",'ENGAGEMENTS 2026'!AE676,'ENGAGEMENTS 2026'!O676),'ENGAGEMENTS 2026'!AE676))))</f>
        <v/>
      </c>
      <c r="K676" s="604">
        <f>IF(ISBLANK('ENGAGEMENTS 2026'!W676),"",'ENGAGEMENTS 2026'!W676)</f>
        <v/>
      </c>
      <c r="L676" s="276">
        <f>IF($K676="","",TODAY()-$K676)</f>
        <v/>
      </c>
      <c r="M676">
        <f>IF($A676="","",IF($H676="ENGAGE","Engagé",IF(AND($H676="NON ENGAGE",OR($I676="INFRUCTUEUX",$I676="ANNULE")),"Clôturé sans suite","En cours")))</f>
        <v/>
      </c>
      <c r="N676">
        <f>IF(ISBLANK('ENGAGEMENTS 2026'!C676),"",'ENGAGEMENTS 2026'!L676)</f>
        <v/>
      </c>
      <c r="O676">
        <f>IF(ISBLANK('ENGAGEMENTS 2026'!C676),"",'ENGAGEMENTS 2026'!M676)</f>
        <v/>
      </c>
      <c r="P676">
        <f>IF(ISBLANK('ENGAGEMENTS 2026'!C676),"",'ENGAGEMENTS 2026'!K676)</f>
        <v/>
      </c>
      <c r="Q676">
        <f>IF($A676="","",IF(OR($E676="INFRUCTUEUX",$E676="ANNULE"),$A676&amp;"|"&amp;(COUNTIFS($A$2:$A676,$A676,$E$2:$E676,"INFRUCTUEUX")+COUNTIFS($A$2:$A676,$A676,$E$2:$E676,"ANNULE")),""))</f>
        <v/>
      </c>
    </row>
    <row r="677">
      <c r="A677">
        <f>IF(ISBLANK('ENGAGEMENTS 2026'!C677),"",IF('ENGAGEMENTS 2026'!C677="DTSI","DCT",'ENGAGEMENTS 2026'!C677))</f>
        <v/>
      </c>
      <c r="B677">
        <f>IF(ISBLANK('ENGAGEMENTS 2026'!C677),"",'ENGAGEMENTS 2026'!D677)</f>
        <v/>
      </c>
      <c r="C677">
        <f>IF(ISBLANK('ENGAGEMENTS 2026'!C677),"",'ENGAGEMENTS 2026'!E677)</f>
        <v/>
      </c>
      <c r="D677">
        <f>IF(ISBLANK('ENGAGEMENTS 2026'!C677),"",'ENGAGEMENTS 2026'!G677)</f>
        <v/>
      </c>
      <c r="E677">
        <f>IF(ISBLANK('ENGAGEMENTS 2026'!C677),"",'ENGAGEMENTS 2026'!I677)</f>
        <v/>
      </c>
      <c r="F677">
        <f>IF(ISBLANK('ENGAGEMENTS 2026'!C677),"",'ENGAGEMENTS 2026'!J677)</f>
        <v/>
      </c>
      <c r="G677">
        <f>IF(ISBLANK('ENGAGEMENTS 2026'!C677),"",'ENGAGEMENTS 2026'!M677)</f>
        <v/>
      </c>
      <c r="H677">
        <f>IF(ISBLANK('ENGAGEMENTS 2026'!C677),"",'ENGAGEMENTS 2026'!AF677)</f>
        <v/>
      </c>
      <c r="I677">
        <f>IF(ISBLANK('ENGAGEMENTS 2026'!C677),"",'ENGAGEMENTS 2026'!H677)</f>
        <v/>
      </c>
      <c r="J677" s="275">
        <f>IF(ISBLANK('ENGAGEMENTS 2026'!C677),"",IF(AND(OR($E677="INFRUCTUEUX",$E677="ANNULE"),$C677="AOO-M"),'ENGAGEMENTS 2026'!P677,IF($H677="EN COURS DE PREENGAGEMENT",'ENGAGEMENTS 2026'!O677,IF($H677="PREENGAGE",IF($E677="ATTRIBUE",'ENGAGEMENTS 2026'!AE677,'ENGAGEMENTS 2026'!O677),'ENGAGEMENTS 2026'!AE677))))</f>
        <v/>
      </c>
      <c r="K677" s="604">
        <f>IF(ISBLANK('ENGAGEMENTS 2026'!W677),"",'ENGAGEMENTS 2026'!W677)</f>
        <v/>
      </c>
      <c r="L677" s="276">
        <f>IF($K677="","",TODAY()-$K677)</f>
        <v/>
      </c>
      <c r="M677">
        <f>IF($A677="","",IF($H677="ENGAGE","Engagé",IF(AND($H677="NON ENGAGE",OR($I677="INFRUCTUEUX",$I677="ANNULE")),"Clôturé sans suite","En cours")))</f>
        <v/>
      </c>
      <c r="N677">
        <f>IF(ISBLANK('ENGAGEMENTS 2026'!C677),"",'ENGAGEMENTS 2026'!L677)</f>
        <v/>
      </c>
      <c r="O677">
        <f>IF(ISBLANK('ENGAGEMENTS 2026'!C677),"",'ENGAGEMENTS 2026'!M677)</f>
        <v/>
      </c>
      <c r="P677">
        <f>IF(ISBLANK('ENGAGEMENTS 2026'!C677),"",'ENGAGEMENTS 2026'!K677)</f>
        <v/>
      </c>
      <c r="Q677">
        <f>IF($A677="","",IF(OR($E677="INFRUCTUEUX",$E677="ANNULE"),$A677&amp;"|"&amp;(COUNTIFS($A$2:$A677,$A677,$E$2:$E677,"INFRUCTUEUX")+COUNTIFS($A$2:$A677,$A677,$E$2:$E677,"ANNULE")),""))</f>
        <v/>
      </c>
    </row>
    <row r="678">
      <c r="A678">
        <f>IF(ISBLANK('ENGAGEMENTS 2026'!C678),"",IF('ENGAGEMENTS 2026'!C678="DTSI","DCT",'ENGAGEMENTS 2026'!C678))</f>
        <v/>
      </c>
      <c r="B678">
        <f>IF(ISBLANK('ENGAGEMENTS 2026'!C678),"",'ENGAGEMENTS 2026'!D678)</f>
        <v/>
      </c>
      <c r="C678">
        <f>IF(ISBLANK('ENGAGEMENTS 2026'!C678),"",'ENGAGEMENTS 2026'!E678)</f>
        <v/>
      </c>
      <c r="D678">
        <f>IF(ISBLANK('ENGAGEMENTS 2026'!C678),"",'ENGAGEMENTS 2026'!G678)</f>
        <v/>
      </c>
      <c r="E678">
        <f>IF(ISBLANK('ENGAGEMENTS 2026'!C678),"",'ENGAGEMENTS 2026'!I678)</f>
        <v/>
      </c>
      <c r="F678">
        <f>IF(ISBLANK('ENGAGEMENTS 2026'!C678),"",'ENGAGEMENTS 2026'!J678)</f>
        <v/>
      </c>
      <c r="G678">
        <f>IF(ISBLANK('ENGAGEMENTS 2026'!C678),"",'ENGAGEMENTS 2026'!M678)</f>
        <v/>
      </c>
      <c r="H678">
        <f>IF(ISBLANK('ENGAGEMENTS 2026'!C678),"",'ENGAGEMENTS 2026'!AF678)</f>
        <v/>
      </c>
      <c r="I678">
        <f>IF(ISBLANK('ENGAGEMENTS 2026'!C678),"",'ENGAGEMENTS 2026'!H678)</f>
        <v/>
      </c>
      <c r="J678" s="275">
        <f>IF(ISBLANK('ENGAGEMENTS 2026'!C678),"",IF(AND(OR($E678="INFRUCTUEUX",$E678="ANNULE"),$C678="AOO-M"),'ENGAGEMENTS 2026'!P678,IF($H678="EN COURS DE PREENGAGEMENT",'ENGAGEMENTS 2026'!O678,IF($H678="PREENGAGE",IF($E678="ATTRIBUE",'ENGAGEMENTS 2026'!AE678,'ENGAGEMENTS 2026'!O678),'ENGAGEMENTS 2026'!AE678))))</f>
        <v/>
      </c>
      <c r="K678" s="604">
        <f>IF(ISBLANK('ENGAGEMENTS 2026'!W678),"",'ENGAGEMENTS 2026'!W678)</f>
        <v/>
      </c>
      <c r="L678" s="276">
        <f>IF($K678="","",TODAY()-$K678)</f>
        <v/>
      </c>
      <c r="M678">
        <f>IF($A678="","",IF($H678="ENGAGE","Engagé",IF(AND($H678="NON ENGAGE",OR($I678="INFRUCTUEUX",$I678="ANNULE")),"Clôturé sans suite","En cours")))</f>
        <v/>
      </c>
      <c r="N678">
        <f>IF(ISBLANK('ENGAGEMENTS 2026'!C678),"",'ENGAGEMENTS 2026'!L678)</f>
        <v/>
      </c>
      <c r="O678">
        <f>IF(ISBLANK('ENGAGEMENTS 2026'!C678),"",'ENGAGEMENTS 2026'!M678)</f>
        <v/>
      </c>
      <c r="P678">
        <f>IF(ISBLANK('ENGAGEMENTS 2026'!C678),"",'ENGAGEMENTS 2026'!K678)</f>
        <v/>
      </c>
      <c r="Q678">
        <f>IF($A678="","",IF(OR($E678="INFRUCTUEUX",$E678="ANNULE"),$A678&amp;"|"&amp;(COUNTIFS($A$2:$A678,$A678,$E$2:$E678,"INFRUCTUEUX")+COUNTIFS($A$2:$A678,$A678,$E$2:$E678,"ANNULE")),""))</f>
        <v/>
      </c>
    </row>
    <row r="679">
      <c r="A679">
        <f>IF(ISBLANK('ENGAGEMENTS 2026'!C679),"",IF('ENGAGEMENTS 2026'!C679="DTSI","DCT",'ENGAGEMENTS 2026'!C679))</f>
        <v/>
      </c>
      <c r="B679">
        <f>IF(ISBLANK('ENGAGEMENTS 2026'!C679),"",'ENGAGEMENTS 2026'!D679)</f>
        <v/>
      </c>
      <c r="C679">
        <f>IF(ISBLANK('ENGAGEMENTS 2026'!C679),"",'ENGAGEMENTS 2026'!E679)</f>
        <v/>
      </c>
      <c r="D679">
        <f>IF(ISBLANK('ENGAGEMENTS 2026'!C679),"",'ENGAGEMENTS 2026'!G679)</f>
        <v/>
      </c>
      <c r="E679">
        <f>IF(ISBLANK('ENGAGEMENTS 2026'!C679),"",'ENGAGEMENTS 2026'!I679)</f>
        <v/>
      </c>
      <c r="F679">
        <f>IF(ISBLANK('ENGAGEMENTS 2026'!C679),"",'ENGAGEMENTS 2026'!J679)</f>
        <v/>
      </c>
      <c r="G679">
        <f>IF(ISBLANK('ENGAGEMENTS 2026'!C679),"",'ENGAGEMENTS 2026'!M679)</f>
        <v/>
      </c>
      <c r="H679">
        <f>IF(ISBLANK('ENGAGEMENTS 2026'!C679),"",'ENGAGEMENTS 2026'!AF679)</f>
        <v/>
      </c>
      <c r="I679">
        <f>IF(ISBLANK('ENGAGEMENTS 2026'!C679),"",'ENGAGEMENTS 2026'!H679)</f>
        <v/>
      </c>
      <c r="J679" s="275">
        <f>IF(ISBLANK('ENGAGEMENTS 2026'!C679),"",IF(AND(OR($E679="INFRUCTUEUX",$E679="ANNULE"),$C679="AOO-M"),'ENGAGEMENTS 2026'!P679,IF($H679="EN COURS DE PREENGAGEMENT",'ENGAGEMENTS 2026'!O679,IF($H679="PREENGAGE",IF($E679="ATTRIBUE",'ENGAGEMENTS 2026'!AE679,'ENGAGEMENTS 2026'!O679),'ENGAGEMENTS 2026'!AE679))))</f>
        <v/>
      </c>
      <c r="K679" s="604">
        <f>IF(ISBLANK('ENGAGEMENTS 2026'!W679),"",'ENGAGEMENTS 2026'!W679)</f>
        <v/>
      </c>
      <c r="L679" s="276">
        <f>IF($K679="","",TODAY()-$K679)</f>
        <v/>
      </c>
      <c r="M679">
        <f>IF($A679="","",IF($H679="ENGAGE","Engagé",IF(AND($H679="NON ENGAGE",OR($I679="INFRUCTUEUX",$I679="ANNULE")),"Clôturé sans suite","En cours")))</f>
        <v/>
      </c>
      <c r="N679">
        <f>IF(ISBLANK('ENGAGEMENTS 2026'!C679),"",'ENGAGEMENTS 2026'!L679)</f>
        <v/>
      </c>
      <c r="O679">
        <f>IF(ISBLANK('ENGAGEMENTS 2026'!C679),"",'ENGAGEMENTS 2026'!M679)</f>
        <v/>
      </c>
      <c r="P679">
        <f>IF(ISBLANK('ENGAGEMENTS 2026'!C679),"",'ENGAGEMENTS 2026'!K679)</f>
        <v/>
      </c>
      <c r="Q679">
        <f>IF($A679="","",IF(OR($E679="INFRUCTUEUX",$E679="ANNULE"),$A679&amp;"|"&amp;(COUNTIFS($A$2:$A679,$A679,$E$2:$E679,"INFRUCTUEUX")+COUNTIFS($A$2:$A679,$A679,$E$2:$E679,"ANNULE")),""))</f>
        <v/>
      </c>
    </row>
    <row r="680">
      <c r="A680">
        <f>IF(ISBLANK('ENGAGEMENTS 2026'!C680),"",IF('ENGAGEMENTS 2026'!C680="DTSI","DCT",'ENGAGEMENTS 2026'!C680))</f>
        <v/>
      </c>
      <c r="B680">
        <f>IF(ISBLANK('ENGAGEMENTS 2026'!C680),"",'ENGAGEMENTS 2026'!D680)</f>
        <v/>
      </c>
      <c r="C680">
        <f>IF(ISBLANK('ENGAGEMENTS 2026'!C680),"",'ENGAGEMENTS 2026'!E680)</f>
        <v/>
      </c>
      <c r="D680">
        <f>IF(ISBLANK('ENGAGEMENTS 2026'!C680),"",'ENGAGEMENTS 2026'!G680)</f>
        <v/>
      </c>
      <c r="E680">
        <f>IF(ISBLANK('ENGAGEMENTS 2026'!C680),"",'ENGAGEMENTS 2026'!I680)</f>
        <v/>
      </c>
      <c r="F680">
        <f>IF(ISBLANK('ENGAGEMENTS 2026'!C680),"",'ENGAGEMENTS 2026'!J680)</f>
        <v/>
      </c>
      <c r="G680">
        <f>IF(ISBLANK('ENGAGEMENTS 2026'!C680),"",'ENGAGEMENTS 2026'!M680)</f>
        <v/>
      </c>
      <c r="H680">
        <f>IF(ISBLANK('ENGAGEMENTS 2026'!C680),"",'ENGAGEMENTS 2026'!AF680)</f>
        <v/>
      </c>
      <c r="I680">
        <f>IF(ISBLANK('ENGAGEMENTS 2026'!C680),"",'ENGAGEMENTS 2026'!H680)</f>
        <v/>
      </c>
      <c r="J680" s="275">
        <f>IF(ISBLANK('ENGAGEMENTS 2026'!C680),"",IF(AND(OR($E680="INFRUCTUEUX",$E680="ANNULE"),$C680="AOO-M"),'ENGAGEMENTS 2026'!P680,IF($H680="EN COURS DE PREENGAGEMENT",'ENGAGEMENTS 2026'!O680,IF($H680="PREENGAGE",IF($E680="ATTRIBUE",'ENGAGEMENTS 2026'!AE680,'ENGAGEMENTS 2026'!O680),'ENGAGEMENTS 2026'!AE680))))</f>
        <v/>
      </c>
      <c r="K680" s="604">
        <f>IF(ISBLANK('ENGAGEMENTS 2026'!W680),"",'ENGAGEMENTS 2026'!W680)</f>
        <v/>
      </c>
      <c r="L680" s="276">
        <f>IF($K680="","",TODAY()-$K680)</f>
        <v/>
      </c>
      <c r="M680">
        <f>IF($A680="","",IF($H680="ENGAGE","Engagé",IF(AND($H680="NON ENGAGE",OR($I680="INFRUCTUEUX",$I680="ANNULE")),"Clôturé sans suite","En cours")))</f>
        <v/>
      </c>
      <c r="N680">
        <f>IF(ISBLANK('ENGAGEMENTS 2026'!C680),"",'ENGAGEMENTS 2026'!L680)</f>
        <v/>
      </c>
      <c r="O680">
        <f>IF(ISBLANK('ENGAGEMENTS 2026'!C680),"",'ENGAGEMENTS 2026'!M680)</f>
        <v/>
      </c>
      <c r="P680">
        <f>IF(ISBLANK('ENGAGEMENTS 2026'!C680),"",'ENGAGEMENTS 2026'!K680)</f>
        <v/>
      </c>
      <c r="Q680">
        <f>IF($A680="","",IF(OR($E680="INFRUCTUEUX",$E680="ANNULE"),$A680&amp;"|"&amp;(COUNTIFS($A$2:$A680,$A680,$E$2:$E680,"INFRUCTUEUX")+COUNTIFS($A$2:$A680,$A680,$E$2:$E680,"ANNULE")),""))</f>
        <v/>
      </c>
    </row>
    <row r="681">
      <c r="A681">
        <f>IF(ISBLANK('ENGAGEMENTS 2026'!C681),"",IF('ENGAGEMENTS 2026'!C681="DTSI","DCT",'ENGAGEMENTS 2026'!C681))</f>
        <v/>
      </c>
      <c r="B681">
        <f>IF(ISBLANK('ENGAGEMENTS 2026'!C681),"",'ENGAGEMENTS 2026'!D681)</f>
        <v/>
      </c>
      <c r="C681">
        <f>IF(ISBLANK('ENGAGEMENTS 2026'!C681),"",'ENGAGEMENTS 2026'!E681)</f>
        <v/>
      </c>
      <c r="D681">
        <f>IF(ISBLANK('ENGAGEMENTS 2026'!C681),"",'ENGAGEMENTS 2026'!G681)</f>
        <v/>
      </c>
      <c r="E681">
        <f>IF(ISBLANK('ENGAGEMENTS 2026'!C681),"",'ENGAGEMENTS 2026'!I681)</f>
        <v/>
      </c>
      <c r="F681">
        <f>IF(ISBLANK('ENGAGEMENTS 2026'!C681),"",'ENGAGEMENTS 2026'!J681)</f>
        <v/>
      </c>
      <c r="G681">
        <f>IF(ISBLANK('ENGAGEMENTS 2026'!C681),"",'ENGAGEMENTS 2026'!M681)</f>
        <v/>
      </c>
      <c r="H681">
        <f>IF(ISBLANK('ENGAGEMENTS 2026'!C681),"",'ENGAGEMENTS 2026'!AF681)</f>
        <v/>
      </c>
      <c r="I681">
        <f>IF(ISBLANK('ENGAGEMENTS 2026'!C681),"",'ENGAGEMENTS 2026'!H681)</f>
        <v/>
      </c>
      <c r="J681" s="275">
        <f>IF(ISBLANK('ENGAGEMENTS 2026'!C681),"",IF(AND(OR($E681="INFRUCTUEUX",$E681="ANNULE"),$C681="AOO-M"),'ENGAGEMENTS 2026'!P681,IF($H681="EN COURS DE PREENGAGEMENT",'ENGAGEMENTS 2026'!O681,IF($H681="PREENGAGE",IF($E681="ATTRIBUE",'ENGAGEMENTS 2026'!AE681,'ENGAGEMENTS 2026'!O681),'ENGAGEMENTS 2026'!AE681))))</f>
        <v/>
      </c>
      <c r="K681" s="604">
        <f>IF(ISBLANK('ENGAGEMENTS 2026'!W681),"",'ENGAGEMENTS 2026'!W681)</f>
        <v/>
      </c>
      <c r="L681" s="276">
        <f>IF($K681="","",TODAY()-$K681)</f>
        <v/>
      </c>
      <c r="M681">
        <f>IF($A681="","",IF($H681="ENGAGE","Engagé",IF(AND($H681="NON ENGAGE",OR($I681="INFRUCTUEUX",$I681="ANNULE")),"Clôturé sans suite","En cours")))</f>
        <v/>
      </c>
      <c r="N681">
        <f>IF(ISBLANK('ENGAGEMENTS 2026'!C681),"",'ENGAGEMENTS 2026'!L681)</f>
        <v/>
      </c>
      <c r="O681">
        <f>IF(ISBLANK('ENGAGEMENTS 2026'!C681),"",'ENGAGEMENTS 2026'!M681)</f>
        <v/>
      </c>
      <c r="P681">
        <f>IF(ISBLANK('ENGAGEMENTS 2026'!C681),"",'ENGAGEMENTS 2026'!K681)</f>
        <v/>
      </c>
      <c r="Q681">
        <f>IF($A681="","",IF(OR($E681="INFRUCTUEUX",$E681="ANNULE"),$A681&amp;"|"&amp;(COUNTIFS($A$2:$A681,$A681,$E$2:$E681,"INFRUCTUEUX")+COUNTIFS($A$2:$A681,$A681,$E$2:$E681,"ANNULE")),""))</f>
        <v/>
      </c>
    </row>
    <row r="682">
      <c r="A682">
        <f>IF(ISBLANK('ENGAGEMENTS 2026'!C682),"",IF('ENGAGEMENTS 2026'!C682="DTSI","DCT",'ENGAGEMENTS 2026'!C682))</f>
        <v/>
      </c>
      <c r="B682">
        <f>IF(ISBLANK('ENGAGEMENTS 2026'!C682),"",'ENGAGEMENTS 2026'!D682)</f>
        <v/>
      </c>
      <c r="C682">
        <f>IF(ISBLANK('ENGAGEMENTS 2026'!C682),"",'ENGAGEMENTS 2026'!E682)</f>
        <v/>
      </c>
      <c r="D682">
        <f>IF(ISBLANK('ENGAGEMENTS 2026'!C682),"",'ENGAGEMENTS 2026'!G682)</f>
        <v/>
      </c>
      <c r="E682">
        <f>IF(ISBLANK('ENGAGEMENTS 2026'!C682),"",'ENGAGEMENTS 2026'!I682)</f>
        <v/>
      </c>
      <c r="F682">
        <f>IF(ISBLANK('ENGAGEMENTS 2026'!C682),"",'ENGAGEMENTS 2026'!J682)</f>
        <v/>
      </c>
      <c r="G682">
        <f>IF(ISBLANK('ENGAGEMENTS 2026'!C682),"",'ENGAGEMENTS 2026'!M682)</f>
        <v/>
      </c>
      <c r="H682">
        <f>IF(ISBLANK('ENGAGEMENTS 2026'!C682),"",'ENGAGEMENTS 2026'!AF682)</f>
        <v/>
      </c>
      <c r="I682">
        <f>IF(ISBLANK('ENGAGEMENTS 2026'!C682),"",'ENGAGEMENTS 2026'!H682)</f>
        <v/>
      </c>
      <c r="J682" s="275">
        <f>IF(ISBLANK('ENGAGEMENTS 2026'!C682),"",IF(AND(OR($E682="INFRUCTUEUX",$E682="ANNULE"),$C682="AOO-M"),'ENGAGEMENTS 2026'!P682,IF($H682="EN COURS DE PREENGAGEMENT",'ENGAGEMENTS 2026'!O682,IF($H682="PREENGAGE",IF($E682="ATTRIBUE",'ENGAGEMENTS 2026'!AE682,'ENGAGEMENTS 2026'!O682),'ENGAGEMENTS 2026'!AE682))))</f>
        <v/>
      </c>
      <c r="K682" s="604">
        <f>IF(ISBLANK('ENGAGEMENTS 2026'!W682),"",'ENGAGEMENTS 2026'!W682)</f>
        <v/>
      </c>
      <c r="L682" s="276">
        <f>IF($K682="","",TODAY()-$K682)</f>
        <v/>
      </c>
      <c r="M682">
        <f>IF($A682="","",IF($H682="ENGAGE","Engagé",IF(AND($H682="NON ENGAGE",OR($I682="INFRUCTUEUX",$I682="ANNULE")),"Clôturé sans suite","En cours")))</f>
        <v/>
      </c>
      <c r="N682">
        <f>IF(ISBLANK('ENGAGEMENTS 2026'!C682),"",'ENGAGEMENTS 2026'!L682)</f>
        <v/>
      </c>
      <c r="O682">
        <f>IF(ISBLANK('ENGAGEMENTS 2026'!C682),"",'ENGAGEMENTS 2026'!M682)</f>
        <v/>
      </c>
      <c r="P682">
        <f>IF(ISBLANK('ENGAGEMENTS 2026'!C682),"",'ENGAGEMENTS 2026'!K682)</f>
        <v/>
      </c>
      <c r="Q682">
        <f>IF($A682="","",IF(OR($E682="INFRUCTUEUX",$E682="ANNULE"),$A682&amp;"|"&amp;(COUNTIFS($A$2:$A682,$A682,$E$2:$E682,"INFRUCTUEUX")+COUNTIFS($A$2:$A682,$A682,$E$2:$E682,"ANNULE")),""))</f>
        <v/>
      </c>
    </row>
    <row r="683">
      <c r="A683">
        <f>IF(ISBLANK('ENGAGEMENTS 2026'!C683),"",IF('ENGAGEMENTS 2026'!C683="DTSI","DCT",'ENGAGEMENTS 2026'!C683))</f>
        <v/>
      </c>
      <c r="B683">
        <f>IF(ISBLANK('ENGAGEMENTS 2026'!C683),"",'ENGAGEMENTS 2026'!D683)</f>
        <v/>
      </c>
      <c r="C683">
        <f>IF(ISBLANK('ENGAGEMENTS 2026'!C683),"",'ENGAGEMENTS 2026'!E683)</f>
        <v/>
      </c>
      <c r="D683">
        <f>IF(ISBLANK('ENGAGEMENTS 2026'!C683),"",'ENGAGEMENTS 2026'!G683)</f>
        <v/>
      </c>
      <c r="E683">
        <f>IF(ISBLANK('ENGAGEMENTS 2026'!C683),"",'ENGAGEMENTS 2026'!I683)</f>
        <v/>
      </c>
      <c r="F683">
        <f>IF(ISBLANK('ENGAGEMENTS 2026'!C683),"",'ENGAGEMENTS 2026'!J683)</f>
        <v/>
      </c>
      <c r="G683">
        <f>IF(ISBLANK('ENGAGEMENTS 2026'!C683),"",'ENGAGEMENTS 2026'!M683)</f>
        <v/>
      </c>
      <c r="H683">
        <f>IF(ISBLANK('ENGAGEMENTS 2026'!C683),"",'ENGAGEMENTS 2026'!AF683)</f>
        <v/>
      </c>
      <c r="I683">
        <f>IF(ISBLANK('ENGAGEMENTS 2026'!C683),"",'ENGAGEMENTS 2026'!H683)</f>
        <v/>
      </c>
      <c r="J683" s="275">
        <f>IF(ISBLANK('ENGAGEMENTS 2026'!C683),"",IF(AND(OR($E683="INFRUCTUEUX",$E683="ANNULE"),$C683="AOO-M"),'ENGAGEMENTS 2026'!P683,IF($H683="EN COURS DE PREENGAGEMENT",'ENGAGEMENTS 2026'!O683,IF($H683="PREENGAGE",IF($E683="ATTRIBUE",'ENGAGEMENTS 2026'!AE683,'ENGAGEMENTS 2026'!O683),'ENGAGEMENTS 2026'!AE683))))</f>
        <v/>
      </c>
      <c r="K683" s="604">
        <f>IF(ISBLANK('ENGAGEMENTS 2026'!W683),"",'ENGAGEMENTS 2026'!W683)</f>
        <v/>
      </c>
      <c r="L683" s="276">
        <f>IF($K683="","",TODAY()-$K683)</f>
        <v/>
      </c>
      <c r="M683">
        <f>IF($A683="","",IF($H683="ENGAGE","Engagé",IF(AND($H683="NON ENGAGE",OR($I683="INFRUCTUEUX",$I683="ANNULE")),"Clôturé sans suite","En cours")))</f>
        <v/>
      </c>
      <c r="N683">
        <f>IF(ISBLANK('ENGAGEMENTS 2026'!C683),"",'ENGAGEMENTS 2026'!L683)</f>
        <v/>
      </c>
      <c r="O683">
        <f>IF(ISBLANK('ENGAGEMENTS 2026'!C683),"",'ENGAGEMENTS 2026'!M683)</f>
        <v/>
      </c>
      <c r="P683">
        <f>IF(ISBLANK('ENGAGEMENTS 2026'!C683),"",'ENGAGEMENTS 2026'!K683)</f>
        <v/>
      </c>
      <c r="Q683">
        <f>IF($A683="","",IF(OR($E683="INFRUCTUEUX",$E683="ANNULE"),$A683&amp;"|"&amp;(COUNTIFS($A$2:$A683,$A683,$E$2:$E683,"INFRUCTUEUX")+COUNTIFS($A$2:$A683,$A683,$E$2:$E683,"ANNULE")),""))</f>
        <v/>
      </c>
    </row>
    <row r="684">
      <c r="A684">
        <f>IF(ISBLANK('ENGAGEMENTS 2026'!C684),"",IF('ENGAGEMENTS 2026'!C684="DTSI","DCT",'ENGAGEMENTS 2026'!C684))</f>
        <v/>
      </c>
      <c r="B684">
        <f>IF(ISBLANK('ENGAGEMENTS 2026'!C684),"",'ENGAGEMENTS 2026'!D684)</f>
        <v/>
      </c>
      <c r="C684">
        <f>IF(ISBLANK('ENGAGEMENTS 2026'!C684),"",'ENGAGEMENTS 2026'!E684)</f>
        <v/>
      </c>
      <c r="D684">
        <f>IF(ISBLANK('ENGAGEMENTS 2026'!C684),"",'ENGAGEMENTS 2026'!G684)</f>
        <v/>
      </c>
      <c r="E684">
        <f>IF(ISBLANK('ENGAGEMENTS 2026'!C684),"",'ENGAGEMENTS 2026'!I684)</f>
        <v/>
      </c>
      <c r="F684">
        <f>IF(ISBLANK('ENGAGEMENTS 2026'!C684),"",'ENGAGEMENTS 2026'!J684)</f>
        <v/>
      </c>
      <c r="G684">
        <f>IF(ISBLANK('ENGAGEMENTS 2026'!C684),"",'ENGAGEMENTS 2026'!M684)</f>
        <v/>
      </c>
      <c r="H684">
        <f>IF(ISBLANK('ENGAGEMENTS 2026'!C684),"",'ENGAGEMENTS 2026'!AF684)</f>
        <v/>
      </c>
      <c r="I684">
        <f>IF(ISBLANK('ENGAGEMENTS 2026'!C684),"",'ENGAGEMENTS 2026'!H684)</f>
        <v/>
      </c>
      <c r="J684" s="275">
        <f>IF(ISBLANK('ENGAGEMENTS 2026'!C684),"",IF(AND(OR($E684="INFRUCTUEUX",$E684="ANNULE"),$C684="AOO-M"),'ENGAGEMENTS 2026'!P684,IF($H684="EN COURS DE PREENGAGEMENT",'ENGAGEMENTS 2026'!O684,IF($H684="PREENGAGE",IF($E684="ATTRIBUE",'ENGAGEMENTS 2026'!AE684,'ENGAGEMENTS 2026'!O684),'ENGAGEMENTS 2026'!AE684))))</f>
        <v/>
      </c>
      <c r="K684" s="604">
        <f>IF(ISBLANK('ENGAGEMENTS 2026'!W684),"",'ENGAGEMENTS 2026'!W684)</f>
        <v/>
      </c>
      <c r="L684" s="276">
        <f>IF($K684="","",TODAY()-$K684)</f>
        <v/>
      </c>
      <c r="M684">
        <f>IF($A684="","",IF($H684="ENGAGE","Engagé",IF(AND($H684="NON ENGAGE",OR($I684="INFRUCTUEUX",$I684="ANNULE")),"Clôturé sans suite","En cours")))</f>
        <v/>
      </c>
      <c r="N684">
        <f>IF(ISBLANK('ENGAGEMENTS 2026'!C684),"",'ENGAGEMENTS 2026'!L684)</f>
        <v/>
      </c>
      <c r="O684">
        <f>IF(ISBLANK('ENGAGEMENTS 2026'!C684),"",'ENGAGEMENTS 2026'!M684)</f>
        <v/>
      </c>
      <c r="P684">
        <f>IF(ISBLANK('ENGAGEMENTS 2026'!C684),"",'ENGAGEMENTS 2026'!K684)</f>
        <v/>
      </c>
      <c r="Q684">
        <f>IF($A684="","",IF(OR($E684="INFRUCTUEUX",$E684="ANNULE"),$A684&amp;"|"&amp;(COUNTIFS($A$2:$A684,$A684,$E$2:$E684,"INFRUCTUEUX")+COUNTIFS($A$2:$A684,$A684,$E$2:$E684,"ANNULE")),""))</f>
        <v/>
      </c>
    </row>
    <row r="685">
      <c r="A685">
        <f>IF(ISBLANK('ENGAGEMENTS 2026'!C685),"",IF('ENGAGEMENTS 2026'!C685="DTSI","DCT",'ENGAGEMENTS 2026'!C685))</f>
        <v/>
      </c>
      <c r="B685">
        <f>IF(ISBLANK('ENGAGEMENTS 2026'!C685),"",'ENGAGEMENTS 2026'!D685)</f>
        <v/>
      </c>
      <c r="C685">
        <f>IF(ISBLANK('ENGAGEMENTS 2026'!C685),"",'ENGAGEMENTS 2026'!E685)</f>
        <v/>
      </c>
      <c r="D685">
        <f>IF(ISBLANK('ENGAGEMENTS 2026'!C685),"",'ENGAGEMENTS 2026'!G685)</f>
        <v/>
      </c>
      <c r="E685">
        <f>IF(ISBLANK('ENGAGEMENTS 2026'!C685),"",'ENGAGEMENTS 2026'!I685)</f>
        <v/>
      </c>
      <c r="F685">
        <f>IF(ISBLANK('ENGAGEMENTS 2026'!C685),"",'ENGAGEMENTS 2026'!J685)</f>
        <v/>
      </c>
      <c r="G685">
        <f>IF(ISBLANK('ENGAGEMENTS 2026'!C685),"",'ENGAGEMENTS 2026'!M685)</f>
        <v/>
      </c>
      <c r="H685">
        <f>IF(ISBLANK('ENGAGEMENTS 2026'!C685),"",'ENGAGEMENTS 2026'!AF685)</f>
        <v/>
      </c>
      <c r="I685">
        <f>IF(ISBLANK('ENGAGEMENTS 2026'!C685),"",'ENGAGEMENTS 2026'!H685)</f>
        <v/>
      </c>
      <c r="J685" s="275">
        <f>IF(ISBLANK('ENGAGEMENTS 2026'!C685),"",IF(AND(OR($E685="INFRUCTUEUX",$E685="ANNULE"),$C685="AOO-M"),'ENGAGEMENTS 2026'!P685,IF($H685="EN COURS DE PREENGAGEMENT",'ENGAGEMENTS 2026'!O685,IF($H685="PREENGAGE",IF($E685="ATTRIBUE",'ENGAGEMENTS 2026'!AE685,'ENGAGEMENTS 2026'!O685),'ENGAGEMENTS 2026'!AE685))))</f>
        <v/>
      </c>
      <c r="K685" s="604">
        <f>IF(ISBLANK('ENGAGEMENTS 2026'!W685),"",'ENGAGEMENTS 2026'!W685)</f>
        <v/>
      </c>
      <c r="L685" s="276">
        <f>IF($K685="","",TODAY()-$K685)</f>
        <v/>
      </c>
      <c r="M685">
        <f>IF($A685="","",IF($H685="ENGAGE","Engagé",IF(AND($H685="NON ENGAGE",OR($I685="INFRUCTUEUX",$I685="ANNULE")),"Clôturé sans suite","En cours")))</f>
        <v/>
      </c>
      <c r="N685">
        <f>IF(ISBLANK('ENGAGEMENTS 2026'!C685),"",'ENGAGEMENTS 2026'!L685)</f>
        <v/>
      </c>
      <c r="O685">
        <f>IF(ISBLANK('ENGAGEMENTS 2026'!C685),"",'ENGAGEMENTS 2026'!M685)</f>
        <v/>
      </c>
      <c r="P685">
        <f>IF(ISBLANK('ENGAGEMENTS 2026'!C685),"",'ENGAGEMENTS 2026'!K685)</f>
        <v/>
      </c>
      <c r="Q685">
        <f>IF($A685="","",IF(OR($E685="INFRUCTUEUX",$E685="ANNULE"),$A685&amp;"|"&amp;(COUNTIFS($A$2:$A685,$A685,$E$2:$E685,"INFRUCTUEUX")+COUNTIFS($A$2:$A685,$A685,$E$2:$E685,"ANNULE")),""))</f>
        <v/>
      </c>
    </row>
    <row r="686">
      <c r="A686">
        <f>IF(ISBLANK('ENGAGEMENTS 2026'!C686),"",IF('ENGAGEMENTS 2026'!C686="DTSI","DCT",'ENGAGEMENTS 2026'!C686))</f>
        <v/>
      </c>
      <c r="B686">
        <f>IF(ISBLANK('ENGAGEMENTS 2026'!C686),"",'ENGAGEMENTS 2026'!D686)</f>
        <v/>
      </c>
      <c r="C686">
        <f>IF(ISBLANK('ENGAGEMENTS 2026'!C686),"",'ENGAGEMENTS 2026'!E686)</f>
        <v/>
      </c>
      <c r="D686">
        <f>IF(ISBLANK('ENGAGEMENTS 2026'!C686),"",'ENGAGEMENTS 2026'!G686)</f>
        <v/>
      </c>
      <c r="E686">
        <f>IF(ISBLANK('ENGAGEMENTS 2026'!C686),"",'ENGAGEMENTS 2026'!I686)</f>
        <v/>
      </c>
      <c r="F686">
        <f>IF(ISBLANK('ENGAGEMENTS 2026'!C686),"",'ENGAGEMENTS 2026'!J686)</f>
        <v/>
      </c>
      <c r="G686">
        <f>IF(ISBLANK('ENGAGEMENTS 2026'!C686),"",'ENGAGEMENTS 2026'!M686)</f>
        <v/>
      </c>
      <c r="H686">
        <f>IF(ISBLANK('ENGAGEMENTS 2026'!C686),"",'ENGAGEMENTS 2026'!AF686)</f>
        <v/>
      </c>
      <c r="I686">
        <f>IF(ISBLANK('ENGAGEMENTS 2026'!C686),"",'ENGAGEMENTS 2026'!H686)</f>
        <v/>
      </c>
      <c r="J686" s="275">
        <f>IF(ISBLANK('ENGAGEMENTS 2026'!C686),"",IF(AND(OR($E686="INFRUCTUEUX",$E686="ANNULE"),$C686="AOO-M"),'ENGAGEMENTS 2026'!P686,IF($H686="EN COURS DE PREENGAGEMENT",'ENGAGEMENTS 2026'!O686,IF($H686="PREENGAGE",IF($E686="ATTRIBUE",'ENGAGEMENTS 2026'!AE686,'ENGAGEMENTS 2026'!O686),'ENGAGEMENTS 2026'!AE686))))</f>
        <v/>
      </c>
      <c r="K686" s="604">
        <f>IF(ISBLANK('ENGAGEMENTS 2026'!W686),"",'ENGAGEMENTS 2026'!W686)</f>
        <v/>
      </c>
      <c r="L686" s="276">
        <f>IF($K686="","",TODAY()-$K686)</f>
        <v/>
      </c>
      <c r="M686">
        <f>IF($A686="","",IF($H686="ENGAGE","Engagé",IF(AND($H686="NON ENGAGE",OR($I686="INFRUCTUEUX",$I686="ANNULE")),"Clôturé sans suite","En cours")))</f>
        <v/>
      </c>
      <c r="N686">
        <f>IF(ISBLANK('ENGAGEMENTS 2026'!C686),"",'ENGAGEMENTS 2026'!L686)</f>
        <v/>
      </c>
      <c r="O686">
        <f>IF(ISBLANK('ENGAGEMENTS 2026'!C686),"",'ENGAGEMENTS 2026'!M686)</f>
        <v/>
      </c>
      <c r="P686">
        <f>IF(ISBLANK('ENGAGEMENTS 2026'!C686),"",'ENGAGEMENTS 2026'!K686)</f>
        <v/>
      </c>
      <c r="Q686">
        <f>IF($A686="","",IF(OR($E686="INFRUCTUEUX",$E686="ANNULE"),$A686&amp;"|"&amp;(COUNTIFS($A$2:$A686,$A686,$E$2:$E686,"INFRUCTUEUX")+COUNTIFS($A$2:$A686,$A686,$E$2:$E686,"ANNULE")),""))</f>
        <v/>
      </c>
    </row>
    <row r="687">
      <c r="A687">
        <f>IF(ISBLANK('ENGAGEMENTS 2026'!C687),"",IF('ENGAGEMENTS 2026'!C687="DTSI","DCT",'ENGAGEMENTS 2026'!C687))</f>
        <v/>
      </c>
      <c r="B687">
        <f>IF(ISBLANK('ENGAGEMENTS 2026'!C687),"",'ENGAGEMENTS 2026'!D687)</f>
        <v/>
      </c>
      <c r="C687">
        <f>IF(ISBLANK('ENGAGEMENTS 2026'!C687),"",'ENGAGEMENTS 2026'!E687)</f>
        <v/>
      </c>
      <c r="D687">
        <f>IF(ISBLANK('ENGAGEMENTS 2026'!C687),"",'ENGAGEMENTS 2026'!G687)</f>
        <v/>
      </c>
      <c r="E687">
        <f>IF(ISBLANK('ENGAGEMENTS 2026'!C687),"",'ENGAGEMENTS 2026'!I687)</f>
        <v/>
      </c>
      <c r="F687">
        <f>IF(ISBLANK('ENGAGEMENTS 2026'!C687),"",'ENGAGEMENTS 2026'!J687)</f>
        <v/>
      </c>
      <c r="G687">
        <f>IF(ISBLANK('ENGAGEMENTS 2026'!C687),"",'ENGAGEMENTS 2026'!M687)</f>
        <v/>
      </c>
      <c r="H687">
        <f>IF(ISBLANK('ENGAGEMENTS 2026'!C687),"",'ENGAGEMENTS 2026'!AF687)</f>
        <v/>
      </c>
      <c r="I687">
        <f>IF(ISBLANK('ENGAGEMENTS 2026'!C687),"",'ENGAGEMENTS 2026'!H687)</f>
        <v/>
      </c>
      <c r="J687" s="275">
        <f>IF(ISBLANK('ENGAGEMENTS 2026'!C687),"",IF(AND(OR($E687="INFRUCTUEUX",$E687="ANNULE"),$C687="AOO-M"),'ENGAGEMENTS 2026'!P687,IF($H687="EN COURS DE PREENGAGEMENT",'ENGAGEMENTS 2026'!O687,IF($H687="PREENGAGE",IF($E687="ATTRIBUE",'ENGAGEMENTS 2026'!AE687,'ENGAGEMENTS 2026'!O687),'ENGAGEMENTS 2026'!AE687))))</f>
        <v/>
      </c>
      <c r="K687" s="604">
        <f>IF(ISBLANK('ENGAGEMENTS 2026'!W687),"",'ENGAGEMENTS 2026'!W687)</f>
        <v/>
      </c>
      <c r="L687" s="276">
        <f>IF($K687="","",TODAY()-$K687)</f>
        <v/>
      </c>
      <c r="M687">
        <f>IF($A687="","",IF($H687="ENGAGE","Engagé",IF(AND($H687="NON ENGAGE",OR($I687="INFRUCTUEUX",$I687="ANNULE")),"Clôturé sans suite","En cours")))</f>
        <v/>
      </c>
      <c r="N687">
        <f>IF(ISBLANK('ENGAGEMENTS 2026'!C687),"",'ENGAGEMENTS 2026'!L687)</f>
        <v/>
      </c>
      <c r="O687">
        <f>IF(ISBLANK('ENGAGEMENTS 2026'!C687),"",'ENGAGEMENTS 2026'!M687)</f>
        <v/>
      </c>
      <c r="P687">
        <f>IF(ISBLANK('ENGAGEMENTS 2026'!C687),"",'ENGAGEMENTS 2026'!K687)</f>
        <v/>
      </c>
      <c r="Q687">
        <f>IF($A687="","",IF(OR($E687="INFRUCTUEUX",$E687="ANNULE"),$A687&amp;"|"&amp;(COUNTIFS($A$2:$A687,$A687,$E$2:$E687,"INFRUCTUEUX")+COUNTIFS($A$2:$A687,$A687,$E$2:$E687,"ANNULE")),""))</f>
        <v/>
      </c>
    </row>
    <row r="688">
      <c r="A688">
        <f>IF(ISBLANK('ENGAGEMENTS 2026'!C688),"",IF('ENGAGEMENTS 2026'!C688="DTSI","DCT",'ENGAGEMENTS 2026'!C688))</f>
        <v/>
      </c>
      <c r="B688">
        <f>IF(ISBLANK('ENGAGEMENTS 2026'!C688),"",'ENGAGEMENTS 2026'!D688)</f>
        <v/>
      </c>
      <c r="C688">
        <f>IF(ISBLANK('ENGAGEMENTS 2026'!C688),"",'ENGAGEMENTS 2026'!E688)</f>
        <v/>
      </c>
      <c r="D688">
        <f>IF(ISBLANK('ENGAGEMENTS 2026'!C688),"",'ENGAGEMENTS 2026'!G688)</f>
        <v/>
      </c>
      <c r="E688">
        <f>IF(ISBLANK('ENGAGEMENTS 2026'!C688),"",'ENGAGEMENTS 2026'!I688)</f>
        <v/>
      </c>
      <c r="F688">
        <f>IF(ISBLANK('ENGAGEMENTS 2026'!C688),"",'ENGAGEMENTS 2026'!J688)</f>
        <v/>
      </c>
      <c r="G688">
        <f>IF(ISBLANK('ENGAGEMENTS 2026'!C688),"",'ENGAGEMENTS 2026'!M688)</f>
        <v/>
      </c>
      <c r="H688">
        <f>IF(ISBLANK('ENGAGEMENTS 2026'!C688),"",'ENGAGEMENTS 2026'!AF688)</f>
        <v/>
      </c>
      <c r="I688">
        <f>IF(ISBLANK('ENGAGEMENTS 2026'!C688),"",'ENGAGEMENTS 2026'!H688)</f>
        <v/>
      </c>
      <c r="J688" s="275">
        <f>IF(ISBLANK('ENGAGEMENTS 2026'!C688),"",IF(AND(OR($E688="INFRUCTUEUX",$E688="ANNULE"),$C688="AOO-M"),'ENGAGEMENTS 2026'!P688,IF($H688="EN COURS DE PREENGAGEMENT",'ENGAGEMENTS 2026'!O688,IF($H688="PREENGAGE",IF($E688="ATTRIBUE",'ENGAGEMENTS 2026'!AE688,'ENGAGEMENTS 2026'!O688),'ENGAGEMENTS 2026'!AE688))))</f>
        <v/>
      </c>
      <c r="K688" s="604">
        <f>IF(ISBLANK('ENGAGEMENTS 2026'!W688),"",'ENGAGEMENTS 2026'!W688)</f>
        <v/>
      </c>
      <c r="L688" s="276">
        <f>IF($K688="","",TODAY()-$K688)</f>
        <v/>
      </c>
      <c r="M688">
        <f>IF($A688="","",IF($H688="ENGAGE","Engagé",IF(AND($H688="NON ENGAGE",OR($I688="INFRUCTUEUX",$I688="ANNULE")),"Clôturé sans suite","En cours")))</f>
        <v/>
      </c>
      <c r="N688">
        <f>IF(ISBLANK('ENGAGEMENTS 2026'!C688),"",'ENGAGEMENTS 2026'!L688)</f>
        <v/>
      </c>
      <c r="O688">
        <f>IF(ISBLANK('ENGAGEMENTS 2026'!C688),"",'ENGAGEMENTS 2026'!M688)</f>
        <v/>
      </c>
      <c r="P688">
        <f>IF(ISBLANK('ENGAGEMENTS 2026'!C688),"",'ENGAGEMENTS 2026'!K688)</f>
        <v/>
      </c>
      <c r="Q688">
        <f>IF($A688="","",IF(OR($E688="INFRUCTUEUX",$E688="ANNULE"),$A688&amp;"|"&amp;(COUNTIFS($A$2:$A688,$A688,$E$2:$E688,"INFRUCTUEUX")+COUNTIFS($A$2:$A688,$A688,$E$2:$E688,"ANNULE")),""))</f>
        <v/>
      </c>
    </row>
    <row r="689">
      <c r="A689">
        <f>IF(ISBLANK('ENGAGEMENTS 2026'!C689),"",IF('ENGAGEMENTS 2026'!C689="DTSI","DCT",'ENGAGEMENTS 2026'!C689))</f>
        <v/>
      </c>
      <c r="B689">
        <f>IF(ISBLANK('ENGAGEMENTS 2026'!C689),"",'ENGAGEMENTS 2026'!D689)</f>
        <v/>
      </c>
      <c r="C689">
        <f>IF(ISBLANK('ENGAGEMENTS 2026'!C689),"",'ENGAGEMENTS 2026'!E689)</f>
        <v/>
      </c>
      <c r="D689">
        <f>IF(ISBLANK('ENGAGEMENTS 2026'!C689),"",'ENGAGEMENTS 2026'!G689)</f>
        <v/>
      </c>
      <c r="E689">
        <f>IF(ISBLANK('ENGAGEMENTS 2026'!C689),"",'ENGAGEMENTS 2026'!I689)</f>
        <v/>
      </c>
      <c r="F689">
        <f>IF(ISBLANK('ENGAGEMENTS 2026'!C689),"",'ENGAGEMENTS 2026'!J689)</f>
        <v/>
      </c>
      <c r="G689">
        <f>IF(ISBLANK('ENGAGEMENTS 2026'!C689),"",'ENGAGEMENTS 2026'!M689)</f>
        <v/>
      </c>
      <c r="H689">
        <f>IF(ISBLANK('ENGAGEMENTS 2026'!C689),"",'ENGAGEMENTS 2026'!AF689)</f>
        <v/>
      </c>
      <c r="I689">
        <f>IF(ISBLANK('ENGAGEMENTS 2026'!C689),"",'ENGAGEMENTS 2026'!H689)</f>
        <v/>
      </c>
      <c r="J689" s="275">
        <f>IF(ISBLANK('ENGAGEMENTS 2026'!C689),"",IF(AND(OR($E689="INFRUCTUEUX",$E689="ANNULE"),$C689="AOO-M"),'ENGAGEMENTS 2026'!P689,IF($H689="EN COURS DE PREENGAGEMENT",'ENGAGEMENTS 2026'!O689,IF($H689="PREENGAGE",IF($E689="ATTRIBUE",'ENGAGEMENTS 2026'!AE689,'ENGAGEMENTS 2026'!O689),'ENGAGEMENTS 2026'!AE689))))</f>
        <v/>
      </c>
      <c r="K689" s="604">
        <f>IF(ISBLANK('ENGAGEMENTS 2026'!W689),"",'ENGAGEMENTS 2026'!W689)</f>
        <v/>
      </c>
      <c r="L689" s="276">
        <f>IF($K689="","",TODAY()-$K689)</f>
        <v/>
      </c>
      <c r="M689">
        <f>IF($A689="","",IF($H689="ENGAGE","Engagé",IF(AND($H689="NON ENGAGE",OR($I689="INFRUCTUEUX",$I689="ANNULE")),"Clôturé sans suite","En cours")))</f>
        <v/>
      </c>
      <c r="N689">
        <f>IF(ISBLANK('ENGAGEMENTS 2026'!C689),"",'ENGAGEMENTS 2026'!L689)</f>
        <v/>
      </c>
      <c r="O689">
        <f>IF(ISBLANK('ENGAGEMENTS 2026'!C689),"",'ENGAGEMENTS 2026'!M689)</f>
        <v/>
      </c>
      <c r="P689">
        <f>IF(ISBLANK('ENGAGEMENTS 2026'!C689),"",'ENGAGEMENTS 2026'!K689)</f>
        <v/>
      </c>
      <c r="Q689">
        <f>IF($A689="","",IF(OR($E689="INFRUCTUEUX",$E689="ANNULE"),$A689&amp;"|"&amp;(COUNTIFS($A$2:$A689,$A689,$E$2:$E689,"INFRUCTUEUX")+COUNTIFS($A$2:$A689,$A689,$E$2:$E689,"ANNULE")),""))</f>
        <v/>
      </c>
    </row>
    <row r="690">
      <c r="A690">
        <f>IF(ISBLANK('ENGAGEMENTS 2026'!C690),"",IF('ENGAGEMENTS 2026'!C690="DTSI","DCT",'ENGAGEMENTS 2026'!C690))</f>
        <v/>
      </c>
      <c r="B690">
        <f>IF(ISBLANK('ENGAGEMENTS 2026'!C690),"",'ENGAGEMENTS 2026'!D690)</f>
        <v/>
      </c>
      <c r="C690">
        <f>IF(ISBLANK('ENGAGEMENTS 2026'!C690),"",'ENGAGEMENTS 2026'!E690)</f>
        <v/>
      </c>
      <c r="D690">
        <f>IF(ISBLANK('ENGAGEMENTS 2026'!C690),"",'ENGAGEMENTS 2026'!G690)</f>
        <v/>
      </c>
      <c r="E690">
        <f>IF(ISBLANK('ENGAGEMENTS 2026'!C690),"",'ENGAGEMENTS 2026'!I690)</f>
        <v/>
      </c>
      <c r="F690">
        <f>IF(ISBLANK('ENGAGEMENTS 2026'!C690),"",'ENGAGEMENTS 2026'!J690)</f>
        <v/>
      </c>
      <c r="G690">
        <f>IF(ISBLANK('ENGAGEMENTS 2026'!C690),"",'ENGAGEMENTS 2026'!M690)</f>
        <v/>
      </c>
      <c r="H690">
        <f>IF(ISBLANK('ENGAGEMENTS 2026'!C690),"",'ENGAGEMENTS 2026'!AF690)</f>
        <v/>
      </c>
      <c r="I690">
        <f>IF(ISBLANK('ENGAGEMENTS 2026'!C690),"",'ENGAGEMENTS 2026'!H690)</f>
        <v/>
      </c>
      <c r="J690" s="275">
        <f>IF(ISBLANK('ENGAGEMENTS 2026'!C690),"",IF(AND(OR($E690="INFRUCTUEUX",$E690="ANNULE"),$C690="AOO-M"),'ENGAGEMENTS 2026'!P690,IF($H690="EN COURS DE PREENGAGEMENT",'ENGAGEMENTS 2026'!O690,IF($H690="PREENGAGE",IF($E690="ATTRIBUE",'ENGAGEMENTS 2026'!AE690,'ENGAGEMENTS 2026'!O690),'ENGAGEMENTS 2026'!AE690))))</f>
        <v/>
      </c>
      <c r="K690" s="604">
        <f>IF(ISBLANK('ENGAGEMENTS 2026'!W690),"",'ENGAGEMENTS 2026'!W690)</f>
        <v/>
      </c>
      <c r="L690" s="276">
        <f>IF($K690="","",TODAY()-$K690)</f>
        <v/>
      </c>
      <c r="M690">
        <f>IF($A690="","",IF($H690="ENGAGE","Engagé",IF(AND($H690="NON ENGAGE",OR($I690="INFRUCTUEUX",$I690="ANNULE")),"Clôturé sans suite","En cours")))</f>
        <v/>
      </c>
      <c r="N690">
        <f>IF(ISBLANK('ENGAGEMENTS 2026'!C690),"",'ENGAGEMENTS 2026'!L690)</f>
        <v/>
      </c>
      <c r="O690">
        <f>IF(ISBLANK('ENGAGEMENTS 2026'!C690),"",'ENGAGEMENTS 2026'!M690)</f>
        <v/>
      </c>
      <c r="P690">
        <f>IF(ISBLANK('ENGAGEMENTS 2026'!C690),"",'ENGAGEMENTS 2026'!K690)</f>
        <v/>
      </c>
      <c r="Q690">
        <f>IF($A690="","",IF(OR($E690="INFRUCTUEUX",$E690="ANNULE"),$A690&amp;"|"&amp;(COUNTIFS($A$2:$A690,$A690,$E$2:$E690,"INFRUCTUEUX")+COUNTIFS($A$2:$A690,$A690,$E$2:$E690,"ANNULE")),""))</f>
        <v/>
      </c>
    </row>
    <row r="691">
      <c r="A691">
        <f>IF(ISBLANK('ENGAGEMENTS 2026'!C691),"",IF('ENGAGEMENTS 2026'!C691="DTSI","DCT",'ENGAGEMENTS 2026'!C691))</f>
        <v/>
      </c>
      <c r="B691">
        <f>IF(ISBLANK('ENGAGEMENTS 2026'!C691),"",'ENGAGEMENTS 2026'!D691)</f>
        <v/>
      </c>
      <c r="C691">
        <f>IF(ISBLANK('ENGAGEMENTS 2026'!C691),"",'ENGAGEMENTS 2026'!E691)</f>
        <v/>
      </c>
      <c r="D691">
        <f>IF(ISBLANK('ENGAGEMENTS 2026'!C691),"",'ENGAGEMENTS 2026'!G691)</f>
        <v/>
      </c>
      <c r="E691">
        <f>IF(ISBLANK('ENGAGEMENTS 2026'!C691),"",'ENGAGEMENTS 2026'!I691)</f>
        <v/>
      </c>
      <c r="F691">
        <f>IF(ISBLANK('ENGAGEMENTS 2026'!C691),"",'ENGAGEMENTS 2026'!J691)</f>
        <v/>
      </c>
      <c r="G691">
        <f>IF(ISBLANK('ENGAGEMENTS 2026'!C691),"",'ENGAGEMENTS 2026'!M691)</f>
        <v/>
      </c>
      <c r="H691">
        <f>IF(ISBLANK('ENGAGEMENTS 2026'!C691),"",'ENGAGEMENTS 2026'!AF691)</f>
        <v/>
      </c>
      <c r="I691">
        <f>IF(ISBLANK('ENGAGEMENTS 2026'!C691),"",'ENGAGEMENTS 2026'!H691)</f>
        <v/>
      </c>
      <c r="J691" s="275">
        <f>IF(ISBLANK('ENGAGEMENTS 2026'!C691),"",IF(AND(OR($E691="INFRUCTUEUX",$E691="ANNULE"),$C691="AOO-M"),'ENGAGEMENTS 2026'!P691,IF($H691="EN COURS DE PREENGAGEMENT",'ENGAGEMENTS 2026'!O691,IF($H691="PREENGAGE",IF($E691="ATTRIBUE",'ENGAGEMENTS 2026'!AE691,'ENGAGEMENTS 2026'!O691),'ENGAGEMENTS 2026'!AE691))))</f>
        <v/>
      </c>
      <c r="K691" s="604">
        <f>IF(ISBLANK('ENGAGEMENTS 2026'!W691),"",'ENGAGEMENTS 2026'!W691)</f>
        <v/>
      </c>
      <c r="L691" s="276">
        <f>IF($K691="","",TODAY()-$K691)</f>
        <v/>
      </c>
      <c r="M691">
        <f>IF($A691="","",IF($H691="ENGAGE","Engagé",IF(AND($H691="NON ENGAGE",OR($I691="INFRUCTUEUX",$I691="ANNULE")),"Clôturé sans suite","En cours")))</f>
        <v/>
      </c>
      <c r="N691">
        <f>IF(ISBLANK('ENGAGEMENTS 2026'!C691),"",'ENGAGEMENTS 2026'!L691)</f>
        <v/>
      </c>
      <c r="O691">
        <f>IF(ISBLANK('ENGAGEMENTS 2026'!C691),"",'ENGAGEMENTS 2026'!M691)</f>
        <v/>
      </c>
      <c r="P691">
        <f>IF(ISBLANK('ENGAGEMENTS 2026'!C691),"",'ENGAGEMENTS 2026'!K691)</f>
        <v/>
      </c>
      <c r="Q691">
        <f>IF($A691="","",IF(OR($E691="INFRUCTUEUX",$E691="ANNULE"),$A691&amp;"|"&amp;(COUNTIFS($A$2:$A691,$A691,$E$2:$E691,"INFRUCTUEUX")+COUNTIFS($A$2:$A691,$A691,$E$2:$E691,"ANNULE")),""))</f>
        <v/>
      </c>
    </row>
    <row r="692">
      <c r="A692">
        <f>IF(ISBLANK('ENGAGEMENTS 2026'!C692),"",IF('ENGAGEMENTS 2026'!C692="DTSI","DCT",'ENGAGEMENTS 2026'!C692))</f>
        <v/>
      </c>
      <c r="B692">
        <f>IF(ISBLANK('ENGAGEMENTS 2026'!C692),"",'ENGAGEMENTS 2026'!D692)</f>
        <v/>
      </c>
      <c r="C692">
        <f>IF(ISBLANK('ENGAGEMENTS 2026'!C692),"",'ENGAGEMENTS 2026'!E692)</f>
        <v/>
      </c>
      <c r="D692">
        <f>IF(ISBLANK('ENGAGEMENTS 2026'!C692),"",'ENGAGEMENTS 2026'!G692)</f>
        <v/>
      </c>
      <c r="E692">
        <f>IF(ISBLANK('ENGAGEMENTS 2026'!C692),"",'ENGAGEMENTS 2026'!I692)</f>
        <v/>
      </c>
      <c r="F692">
        <f>IF(ISBLANK('ENGAGEMENTS 2026'!C692),"",'ENGAGEMENTS 2026'!J692)</f>
        <v/>
      </c>
      <c r="G692">
        <f>IF(ISBLANK('ENGAGEMENTS 2026'!C692),"",'ENGAGEMENTS 2026'!M692)</f>
        <v/>
      </c>
      <c r="H692">
        <f>IF(ISBLANK('ENGAGEMENTS 2026'!C692),"",'ENGAGEMENTS 2026'!AF692)</f>
        <v/>
      </c>
      <c r="I692">
        <f>IF(ISBLANK('ENGAGEMENTS 2026'!C692),"",'ENGAGEMENTS 2026'!H692)</f>
        <v/>
      </c>
      <c r="J692" s="275">
        <f>IF(ISBLANK('ENGAGEMENTS 2026'!C692),"",IF(AND(OR($E692="INFRUCTUEUX",$E692="ANNULE"),$C692="AOO-M"),'ENGAGEMENTS 2026'!P692,IF($H692="EN COURS DE PREENGAGEMENT",'ENGAGEMENTS 2026'!O692,IF($H692="PREENGAGE",IF($E692="ATTRIBUE",'ENGAGEMENTS 2026'!AE692,'ENGAGEMENTS 2026'!O692),'ENGAGEMENTS 2026'!AE692))))</f>
        <v/>
      </c>
      <c r="K692" s="604">
        <f>IF(ISBLANK('ENGAGEMENTS 2026'!W692),"",'ENGAGEMENTS 2026'!W692)</f>
        <v/>
      </c>
      <c r="L692" s="276">
        <f>IF($K692="","",TODAY()-$K692)</f>
        <v/>
      </c>
      <c r="M692">
        <f>IF($A692="","",IF($H692="ENGAGE","Engagé",IF(AND($H692="NON ENGAGE",OR($I692="INFRUCTUEUX",$I692="ANNULE")),"Clôturé sans suite","En cours")))</f>
        <v/>
      </c>
      <c r="N692">
        <f>IF(ISBLANK('ENGAGEMENTS 2026'!C692),"",'ENGAGEMENTS 2026'!L692)</f>
        <v/>
      </c>
      <c r="O692">
        <f>IF(ISBLANK('ENGAGEMENTS 2026'!C692),"",'ENGAGEMENTS 2026'!M692)</f>
        <v/>
      </c>
      <c r="P692">
        <f>IF(ISBLANK('ENGAGEMENTS 2026'!C692),"",'ENGAGEMENTS 2026'!K692)</f>
        <v/>
      </c>
      <c r="Q692">
        <f>IF($A692="","",IF(OR($E692="INFRUCTUEUX",$E692="ANNULE"),$A692&amp;"|"&amp;(COUNTIFS($A$2:$A692,$A692,$E$2:$E692,"INFRUCTUEUX")+COUNTIFS($A$2:$A692,$A692,$E$2:$E692,"ANNULE")),""))</f>
        <v/>
      </c>
    </row>
    <row r="693">
      <c r="A693">
        <f>IF(ISBLANK('ENGAGEMENTS 2026'!C693),"",IF('ENGAGEMENTS 2026'!C693="DTSI","DCT",'ENGAGEMENTS 2026'!C693))</f>
        <v/>
      </c>
      <c r="B693">
        <f>IF(ISBLANK('ENGAGEMENTS 2026'!C693),"",'ENGAGEMENTS 2026'!D693)</f>
        <v/>
      </c>
      <c r="C693">
        <f>IF(ISBLANK('ENGAGEMENTS 2026'!C693),"",'ENGAGEMENTS 2026'!E693)</f>
        <v/>
      </c>
      <c r="D693">
        <f>IF(ISBLANK('ENGAGEMENTS 2026'!C693),"",'ENGAGEMENTS 2026'!G693)</f>
        <v/>
      </c>
      <c r="E693">
        <f>IF(ISBLANK('ENGAGEMENTS 2026'!C693),"",'ENGAGEMENTS 2026'!I693)</f>
        <v/>
      </c>
      <c r="F693">
        <f>IF(ISBLANK('ENGAGEMENTS 2026'!C693),"",'ENGAGEMENTS 2026'!J693)</f>
        <v/>
      </c>
      <c r="G693">
        <f>IF(ISBLANK('ENGAGEMENTS 2026'!C693),"",'ENGAGEMENTS 2026'!M693)</f>
        <v/>
      </c>
      <c r="H693">
        <f>IF(ISBLANK('ENGAGEMENTS 2026'!C693),"",'ENGAGEMENTS 2026'!AF693)</f>
        <v/>
      </c>
      <c r="I693">
        <f>IF(ISBLANK('ENGAGEMENTS 2026'!C693),"",'ENGAGEMENTS 2026'!H693)</f>
        <v/>
      </c>
      <c r="J693" s="275">
        <f>IF(ISBLANK('ENGAGEMENTS 2026'!C693),"",IF(AND(OR($E693="INFRUCTUEUX",$E693="ANNULE"),$C693="AOO-M"),'ENGAGEMENTS 2026'!P693,IF($H693="EN COURS DE PREENGAGEMENT",'ENGAGEMENTS 2026'!O693,IF($H693="PREENGAGE",IF($E693="ATTRIBUE",'ENGAGEMENTS 2026'!AE693,'ENGAGEMENTS 2026'!O693),'ENGAGEMENTS 2026'!AE693))))</f>
        <v/>
      </c>
      <c r="K693" s="604">
        <f>IF(ISBLANK('ENGAGEMENTS 2026'!W693),"",'ENGAGEMENTS 2026'!W693)</f>
        <v/>
      </c>
      <c r="L693" s="276">
        <f>IF($K693="","",TODAY()-$K693)</f>
        <v/>
      </c>
      <c r="M693">
        <f>IF($A693="","",IF($H693="ENGAGE","Engagé",IF(AND($H693="NON ENGAGE",OR($I693="INFRUCTUEUX",$I693="ANNULE")),"Clôturé sans suite","En cours")))</f>
        <v/>
      </c>
      <c r="N693">
        <f>IF(ISBLANK('ENGAGEMENTS 2026'!C693),"",'ENGAGEMENTS 2026'!L693)</f>
        <v/>
      </c>
      <c r="O693">
        <f>IF(ISBLANK('ENGAGEMENTS 2026'!C693),"",'ENGAGEMENTS 2026'!M693)</f>
        <v/>
      </c>
      <c r="P693">
        <f>IF(ISBLANK('ENGAGEMENTS 2026'!C693),"",'ENGAGEMENTS 2026'!K693)</f>
        <v/>
      </c>
      <c r="Q693">
        <f>IF($A693="","",IF(OR($E693="INFRUCTUEUX",$E693="ANNULE"),$A693&amp;"|"&amp;(COUNTIFS($A$2:$A693,$A693,$E$2:$E693,"INFRUCTUEUX")+COUNTIFS($A$2:$A693,$A693,$E$2:$E693,"ANNULE")),""))</f>
        <v/>
      </c>
    </row>
    <row r="694">
      <c r="A694">
        <f>IF(ISBLANK('ENGAGEMENTS 2026'!C694),"",IF('ENGAGEMENTS 2026'!C694="DTSI","DCT",'ENGAGEMENTS 2026'!C694))</f>
        <v/>
      </c>
      <c r="B694">
        <f>IF(ISBLANK('ENGAGEMENTS 2026'!C694),"",'ENGAGEMENTS 2026'!D694)</f>
        <v/>
      </c>
      <c r="C694">
        <f>IF(ISBLANK('ENGAGEMENTS 2026'!C694),"",'ENGAGEMENTS 2026'!E694)</f>
        <v/>
      </c>
      <c r="D694">
        <f>IF(ISBLANK('ENGAGEMENTS 2026'!C694),"",'ENGAGEMENTS 2026'!G694)</f>
        <v/>
      </c>
      <c r="E694">
        <f>IF(ISBLANK('ENGAGEMENTS 2026'!C694),"",'ENGAGEMENTS 2026'!I694)</f>
        <v/>
      </c>
      <c r="F694">
        <f>IF(ISBLANK('ENGAGEMENTS 2026'!C694),"",'ENGAGEMENTS 2026'!J694)</f>
        <v/>
      </c>
      <c r="G694">
        <f>IF(ISBLANK('ENGAGEMENTS 2026'!C694),"",'ENGAGEMENTS 2026'!M694)</f>
        <v/>
      </c>
      <c r="H694">
        <f>IF(ISBLANK('ENGAGEMENTS 2026'!C694),"",'ENGAGEMENTS 2026'!AF694)</f>
        <v/>
      </c>
      <c r="I694">
        <f>IF(ISBLANK('ENGAGEMENTS 2026'!C694),"",'ENGAGEMENTS 2026'!H694)</f>
        <v/>
      </c>
      <c r="J694" s="275">
        <f>IF(ISBLANK('ENGAGEMENTS 2026'!C694),"",IF(AND(OR($E694="INFRUCTUEUX",$E694="ANNULE"),$C694="AOO-M"),'ENGAGEMENTS 2026'!P694,IF($H694="EN COURS DE PREENGAGEMENT",'ENGAGEMENTS 2026'!O694,IF($H694="PREENGAGE",IF($E694="ATTRIBUE",'ENGAGEMENTS 2026'!AE694,'ENGAGEMENTS 2026'!O694),'ENGAGEMENTS 2026'!AE694))))</f>
        <v/>
      </c>
      <c r="K694" s="604">
        <f>IF(ISBLANK('ENGAGEMENTS 2026'!W694),"",'ENGAGEMENTS 2026'!W694)</f>
        <v/>
      </c>
      <c r="L694" s="276">
        <f>IF($K694="","",TODAY()-$K694)</f>
        <v/>
      </c>
      <c r="M694">
        <f>IF($A694="","",IF($H694="ENGAGE","Engagé",IF(AND($H694="NON ENGAGE",OR($I694="INFRUCTUEUX",$I694="ANNULE")),"Clôturé sans suite","En cours")))</f>
        <v/>
      </c>
      <c r="N694">
        <f>IF(ISBLANK('ENGAGEMENTS 2026'!C694),"",'ENGAGEMENTS 2026'!L694)</f>
        <v/>
      </c>
      <c r="O694">
        <f>IF(ISBLANK('ENGAGEMENTS 2026'!C694),"",'ENGAGEMENTS 2026'!M694)</f>
        <v/>
      </c>
      <c r="P694">
        <f>IF(ISBLANK('ENGAGEMENTS 2026'!C694),"",'ENGAGEMENTS 2026'!K694)</f>
        <v/>
      </c>
      <c r="Q694">
        <f>IF($A694="","",IF(OR($E694="INFRUCTUEUX",$E694="ANNULE"),$A694&amp;"|"&amp;(COUNTIFS($A$2:$A694,$A694,$E$2:$E694,"INFRUCTUEUX")+COUNTIFS($A$2:$A694,$A694,$E$2:$E694,"ANNULE")),""))</f>
        <v/>
      </c>
    </row>
    <row r="695">
      <c r="A695">
        <f>IF(ISBLANK('ENGAGEMENTS 2026'!C695),"",IF('ENGAGEMENTS 2026'!C695="DTSI","DCT",'ENGAGEMENTS 2026'!C695))</f>
        <v/>
      </c>
      <c r="B695">
        <f>IF(ISBLANK('ENGAGEMENTS 2026'!C695),"",'ENGAGEMENTS 2026'!D695)</f>
        <v/>
      </c>
      <c r="C695">
        <f>IF(ISBLANK('ENGAGEMENTS 2026'!C695),"",'ENGAGEMENTS 2026'!E695)</f>
        <v/>
      </c>
      <c r="D695">
        <f>IF(ISBLANK('ENGAGEMENTS 2026'!C695),"",'ENGAGEMENTS 2026'!G695)</f>
        <v/>
      </c>
      <c r="E695">
        <f>IF(ISBLANK('ENGAGEMENTS 2026'!C695),"",'ENGAGEMENTS 2026'!I695)</f>
        <v/>
      </c>
      <c r="F695">
        <f>IF(ISBLANK('ENGAGEMENTS 2026'!C695),"",'ENGAGEMENTS 2026'!J695)</f>
        <v/>
      </c>
      <c r="G695">
        <f>IF(ISBLANK('ENGAGEMENTS 2026'!C695),"",'ENGAGEMENTS 2026'!M695)</f>
        <v/>
      </c>
      <c r="H695">
        <f>IF(ISBLANK('ENGAGEMENTS 2026'!C695),"",'ENGAGEMENTS 2026'!AF695)</f>
        <v/>
      </c>
      <c r="I695">
        <f>IF(ISBLANK('ENGAGEMENTS 2026'!C695),"",'ENGAGEMENTS 2026'!H695)</f>
        <v/>
      </c>
      <c r="J695" s="275">
        <f>IF(ISBLANK('ENGAGEMENTS 2026'!C695),"",IF(AND(OR($E695="INFRUCTUEUX",$E695="ANNULE"),$C695="AOO-M"),'ENGAGEMENTS 2026'!P695,IF($H695="EN COURS DE PREENGAGEMENT",'ENGAGEMENTS 2026'!O695,IF($H695="PREENGAGE",IF($E695="ATTRIBUE",'ENGAGEMENTS 2026'!AE695,'ENGAGEMENTS 2026'!O695),'ENGAGEMENTS 2026'!AE695))))</f>
        <v/>
      </c>
      <c r="K695" s="604">
        <f>IF(ISBLANK('ENGAGEMENTS 2026'!W695),"",'ENGAGEMENTS 2026'!W695)</f>
        <v/>
      </c>
      <c r="L695" s="276">
        <f>IF($K695="","",TODAY()-$K695)</f>
        <v/>
      </c>
      <c r="M695">
        <f>IF($A695="","",IF($H695="ENGAGE","Engagé",IF(AND($H695="NON ENGAGE",OR($I695="INFRUCTUEUX",$I695="ANNULE")),"Clôturé sans suite","En cours")))</f>
        <v/>
      </c>
      <c r="N695">
        <f>IF(ISBLANK('ENGAGEMENTS 2026'!C695),"",'ENGAGEMENTS 2026'!L695)</f>
        <v/>
      </c>
      <c r="O695">
        <f>IF(ISBLANK('ENGAGEMENTS 2026'!C695),"",'ENGAGEMENTS 2026'!M695)</f>
        <v/>
      </c>
      <c r="P695">
        <f>IF(ISBLANK('ENGAGEMENTS 2026'!C695),"",'ENGAGEMENTS 2026'!K695)</f>
        <v/>
      </c>
      <c r="Q695">
        <f>IF($A695="","",IF(OR($E695="INFRUCTUEUX",$E695="ANNULE"),$A695&amp;"|"&amp;(COUNTIFS($A$2:$A695,$A695,$E$2:$E695,"INFRUCTUEUX")+COUNTIFS($A$2:$A695,$A695,$E$2:$E695,"ANNULE")),""))</f>
        <v/>
      </c>
    </row>
    <row r="696">
      <c r="A696">
        <f>IF(ISBLANK('ENGAGEMENTS 2026'!C696),"",IF('ENGAGEMENTS 2026'!C696="DTSI","DCT",'ENGAGEMENTS 2026'!C696))</f>
        <v/>
      </c>
      <c r="B696">
        <f>IF(ISBLANK('ENGAGEMENTS 2026'!C696),"",'ENGAGEMENTS 2026'!D696)</f>
        <v/>
      </c>
      <c r="C696">
        <f>IF(ISBLANK('ENGAGEMENTS 2026'!C696),"",'ENGAGEMENTS 2026'!E696)</f>
        <v/>
      </c>
      <c r="D696">
        <f>IF(ISBLANK('ENGAGEMENTS 2026'!C696),"",'ENGAGEMENTS 2026'!G696)</f>
        <v/>
      </c>
      <c r="E696">
        <f>IF(ISBLANK('ENGAGEMENTS 2026'!C696),"",'ENGAGEMENTS 2026'!I696)</f>
        <v/>
      </c>
      <c r="F696">
        <f>IF(ISBLANK('ENGAGEMENTS 2026'!C696),"",'ENGAGEMENTS 2026'!J696)</f>
        <v/>
      </c>
      <c r="G696">
        <f>IF(ISBLANK('ENGAGEMENTS 2026'!C696),"",'ENGAGEMENTS 2026'!M696)</f>
        <v/>
      </c>
      <c r="H696">
        <f>IF(ISBLANK('ENGAGEMENTS 2026'!C696),"",'ENGAGEMENTS 2026'!AF696)</f>
        <v/>
      </c>
      <c r="I696">
        <f>IF(ISBLANK('ENGAGEMENTS 2026'!C696),"",'ENGAGEMENTS 2026'!H696)</f>
        <v/>
      </c>
      <c r="J696" s="275">
        <f>IF(ISBLANK('ENGAGEMENTS 2026'!C696),"",IF(AND(OR($E696="INFRUCTUEUX",$E696="ANNULE"),$C696="AOO-M"),'ENGAGEMENTS 2026'!P696,IF($H696="EN COURS DE PREENGAGEMENT",'ENGAGEMENTS 2026'!O696,IF($H696="PREENGAGE",IF($E696="ATTRIBUE",'ENGAGEMENTS 2026'!AE696,'ENGAGEMENTS 2026'!O696),'ENGAGEMENTS 2026'!AE696))))</f>
        <v/>
      </c>
      <c r="K696" s="604">
        <f>IF(ISBLANK('ENGAGEMENTS 2026'!W696),"",'ENGAGEMENTS 2026'!W696)</f>
        <v/>
      </c>
      <c r="L696" s="276">
        <f>IF($K696="","",TODAY()-$K696)</f>
        <v/>
      </c>
      <c r="M696">
        <f>IF($A696="","",IF($H696="ENGAGE","Engagé",IF(AND($H696="NON ENGAGE",OR($I696="INFRUCTUEUX",$I696="ANNULE")),"Clôturé sans suite","En cours")))</f>
        <v/>
      </c>
      <c r="N696">
        <f>IF(ISBLANK('ENGAGEMENTS 2026'!C696),"",'ENGAGEMENTS 2026'!L696)</f>
        <v/>
      </c>
      <c r="O696">
        <f>IF(ISBLANK('ENGAGEMENTS 2026'!C696),"",'ENGAGEMENTS 2026'!M696)</f>
        <v/>
      </c>
      <c r="P696">
        <f>IF(ISBLANK('ENGAGEMENTS 2026'!C696),"",'ENGAGEMENTS 2026'!K696)</f>
        <v/>
      </c>
      <c r="Q696">
        <f>IF($A696="","",IF(OR($E696="INFRUCTUEUX",$E696="ANNULE"),$A696&amp;"|"&amp;(COUNTIFS($A$2:$A696,$A696,$E$2:$E696,"INFRUCTUEUX")+COUNTIFS($A$2:$A696,$A696,$E$2:$E696,"ANNULE")),""))</f>
        <v/>
      </c>
    </row>
    <row r="697">
      <c r="A697">
        <f>IF(ISBLANK('ENGAGEMENTS 2026'!C697),"",IF('ENGAGEMENTS 2026'!C697="DTSI","DCT",'ENGAGEMENTS 2026'!C697))</f>
        <v/>
      </c>
      <c r="B697">
        <f>IF(ISBLANK('ENGAGEMENTS 2026'!C697),"",'ENGAGEMENTS 2026'!D697)</f>
        <v/>
      </c>
      <c r="C697">
        <f>IF(ISBLANK('ENGAGEMENTS 2026'!C697),"",'ENGAGEMENTS 2026'!E697)</f>
        <v/>
      </c>
      <c r="D697">
        <f>IF(ISBLANK('ENGAGEMENTS 2026'!C697),"",'ENGAGEMENTS 2026'!G697)</f>
        <v/>
      </c>
      <c r="E697">
        <f>IF(ISBLANK('ENGAGEMENTS 2026'!C697),"",'ENGAGEMENTS 2026'!I697)</f>
        <v/>
      </c>
      <c r="F697">
        <f>IF(ISBLANK('ENGAGEMENTS 2026'!C697),"",'ENGAGEMENTS 2026'!J697)</f>
        <v/>
      </c>
      <c r="G697">
        <f>IF(ISBLANK('ENGAGEMENTS 2026'!C697),"",'ENGAGEMENTS 2026'!M697)</f>
        <v/>
      </c>
      <c r="H697">
        <f>IF(ISBLANK('ENGAGEMENTS 2026'!C697),"",'ENGAGEMENTS 2026'!AF697)</f>
        <v/>
      </c>
      <c r="I697">
        <f>IF(ISBLANK('ENGAGEMENTS 2026'!C697),"",'ENGAGEMENTS 2026'!H697)</f>
        <v/>
      </c>
      <c r="J697" s="275">
        <f>IF(ISBLANK('ENGAGEMENTS 2026'!C697),"",IF(AND(OR($E697="INFRUCTUEUX",$E697="ANNULE"),$C697="AOO-M"),'ENGAGEMENTS 2026'!P697,IF($H697="EN COURS DE PREENGAGEMENT",'ENGAGEMENTS 2026'!O697,IF($H697="PREENGAGE",IF($E697="ATTRIBUE",'ENGAGEMENTS 2026'!AE697,'ENGAGEMENTS 2026'!O697),'ENGAGEMENTS 2026'!AE697))))</f>
        <v/>
      </c>
      <c r="K697" s="604">
        <f>IF(ISBLANK('ENGAGEMENTS 2026'!W697),"",'ENGAGEMENTS 2026'!W697)</f>
        <v/>
      </c>
      <c r="L697" s="276">
        <f>IF($K697="","",TODAY()-$K697)</f>
        <v/>
      </c>
      <c r="M697">
        <f>IF($A697="","",IF($H697="ENGAGE","Engagé",IF(AND($H697="NON ENGAGE",OR($I697="INFRUCTUEUX",$I697="ANNULE")),"Clôturé sans suite","En cours")))</f>
        <v/>
      </c>
      <c r="N697">
        <f>IF(ISBLANK('ENGAGEMENTS 2026'!C697),"",'ENGAGEMENTS 2026'!L697)</f>
        <v/>
      </c>
      <c r="O697">
        <f>IF(ISBLANK('ENGAGEMENTS 2026'!C697),"",'ENGAGEMENTS 2026'!M697)</f>
        <v/>
      </c>
      <c r="P697">
        <f>IF(ISBLANK('ENGAGEMENTS 2026'!C697),"",'ENGAGEMENTS 2026'!K697)</f>
        <v/>
      </c>
      <c r="Q697">
        <f>IF($A697="","",IF(OR($E697="INFRUCTUEUX",$E697="ANNULE"),$A697&amp;"|"&amp;(COUNTIFS($A$2:$A697,$A697,$E$2:$E697,"INFRUCTUEUX")+COUNTIFS($A$2:$A697,$A697,$E$2:$E697,"ANNULE")),""))</f>
        <v/>
      </c>
    </row>
    <row r="698">
      <c r="A698">
        <f>IF(ISBLANK('ENGAGEMENTS 2026'!C698),"",IF('ENGAGEMENTS 2026'!C698="DTSI","DCT",'ENGAGEMENTS 2026'!C698))</f>
        <v/>
      </c>
      <c r="B698">
        <f>IF(ISBLANK('ENGAGEMENTS 2026'!C698),"",'ENGAGEMENTS 2026'!D698)</f>
        <v/>
      </c>
      <c r="C698">
        <f>IF(ISBLANK('ENGAGEMENTS 2026'!C698),"",'ENGAGEMENTS 2026'!E698)</f>
        <v/>
      </c>
      <c r="D698">
        <f>IF(ISBLANK('ENGAGEMENTS 2026'!C698),"",'ENGAGEMENTS 2026'!G698)</f>
        <v/>
      </c>
      <c r="E698">
        <f>IF(ISBLANK('ENGAGEMENTS 2026'!C698),"",'ENGAGEMENTS 2026'!I698)</f>
        <v/>
      </c>
      <c r="F698">
        <f>IF(ISBLANK('ENGAGEMENTS 2026'!C698),"",'ENGAGEMENTS 2026'!J698)</f>
        <v/>
      </c>
      <c r="G698">
        <f>IF(ISBLANK('ENGAGEMENTS 2026'!C698),"",'ENGAGEMENTS 2026'!M698)</f>
        <v/>
      </c>
      <c r="H698">
        <f>IF(ISBLANK('ENGAGEMENTS 2026'!C698),"",'ENGAGEMENTS 2026'!AF698)</f>
        <v/>
      </c>
      <c r="I698">
        <f>IF(ISBLANK('ENGAGEMENTS 2026'!C698),"",'ENGAGEMENTS 2026'!H698)</f>
        <v/>
      </c>
      <c r="J698" s="275">
        <f>IF(ISBLANK('ENGAGEMENTS 2026'!C698),"",IF(AND(OR($E698="INFRUCTUEUX",$E698="ANNULE"),$C698="AOO-M"),'ENGAGEMENTS 2026'!P698,IF($H698="EN COURS DE PREENGAGEMENT",'ENGAGEMENTS 2026'!O698,IF($H698="PREENGAGE",IF($E698="ATTRIBUE",'ENGAGEMENTS 2026'!AE698,'ENGAGEMENTS 2026'!O698),'ENGAGEMENTS 2026'!AE698))))</f>
        <v/>
      </c>
      <c r="K698" s="604">
        <f>IF(ISBLANK('ENGAGEMENTS 2026'!W698),"",'ENGAGEMENTS 2026'!W698)</f>
        <v/>
      </c>
      <c r="L698" s="276">
        <f>IF($K698="","",TODAY()-$K698)</f>
        <v/>
      </c>
      <c r="M698">
        <f>IF($A698="","",IF($H698="ENGAGE","Engagé",IF(AND($H698="NON ENGAGE",OR($I698="INFRUCTUEUX",$I698="ANNULE")),"Clôturé sans suite","En cours")))</f>
        <v/>
      </c>
      <c r="N698">
        <f>IF(ISBLANK('ENGAGEMENTS 2026'!C698),"",'ENGAGEMENTS 2026'!L698)</f>
        <v/>
      </c>
      <c r="O698">
        <f>IF(ISBLANK('ENGAGEMENTS 2026'!C698),"",'ENGAGEMENTS 2026'!M698)</f>
        <v/>
      </c>
      <c r="P698">
        <f>IF(ISBLANK('ENGAGEMENTS 2026'!C698),"",'ENGAGEMENTS 2026'!K698)</f>
        <v/>
      </c>
      <c r="Q698">
        <f>IF($A698="","",IF(OR($E698="INFRUCTUEUX",$E698="ANNULE"),$A698&amp;"|"&amp;(COUNTIFS($A$2:$A698,$A698,$E$2:$E698,"INFRUCTUEUX")+COUNTIFS($A$2:$A698,$A698,$E$2:$E698,"ANNULE")),""))</f>
        <v/>
      </c>
    </row>
    <row r="699">
      <c r="A699">
        <f>IF(ISBLANK('ENGAGEMENTS 2026'!C699),"",IF('ENGAGEMENTS 2026'!C699="DTSI","DCT",'ENGAGEMENTS 2026'!C699))</f>
        <v/>
      </c>
      <c r="B699">
        <f>IF(ISBLANK('ENGAGEMENTS 2026'!C699),"",'ENGAGEMENTS 2026'!D699)</f>
        <v/>
      </c>
      <c r="C699">
        <f>IF(ISBLANK('ENGAGEMENTS 2026'!C699),"",'ENGAGEMENTS 2026'!E699)</f>
        <v/>
      </c>
      <c r="D699">
        <f>IF(ISBLANK('ENGAGEMENTS 2026'!C699),"",'ENGAGEMENTS 2026'!G699)</f>
        <v/>
      </c>
      <c r="E699">
        <f>IF(ISBLANK('ENGAGEMENTS 2026'!C699),"",'ENGAGEMENTS 2026'!I699)</f>
        <v/>
      </c>
      <c r="F699">
        <f>IF(ISBLANK('ENGAGEMENTS 2026'!C699),"",'ENGAGEMENTS 2026'!J699)</f>
        <v/>
      </c>
      <c r="G699">
        <f>IF(ISBLANK('ENGAGEMENTS 2026'!C699),"",'ENGAGEMENTS 2026'!M699)</f>
        <v/>
      </c>
      <c r="H699">
        <f>IF(ISBLANK('ENGAGEMENTS 2026'!C699),"",'ENGAGEMENTS 2026'!AF699)</f>
        <v/>
      </c>
      <c r="I699">
        <f>IF(ISBLANK('ENGAGEMENTS 2026'!C699),"",'ENGAGEMENTS 2026'!H699)</f>
        <v/>
      </c>
      <c r="J699" s="275">
        <f>IF(ISBLANK('ENGAGEMENTS 2026'!C699),"",IF(AND(OR($E699="INFRUCTUEUX",$E699="ANNULE"),$C699="AOO-M"),'ENGAGEMENTS 2026'!P699,IF($H699="EN COURS DE PREENGAGEMENT",'ENGAGEMENTS 2026'!O699,IF($H699="PREENGAGE",IF($E699="ATTRIBUE",'ENGAGEMENTS 2026'!AE699,'ENGAGEMENTS 2026'!O699),'ENGAGEMENTS 2026'!AE699))))</f>
        <v/>
      </c>
      <c r="K699" s="604">
        <f>IF(ISBLANK('ENGAGEMENTS 2026'!W699),"",'ENGAGEMENTS 2026'!W699)</f>
        <v/>
      </c>
      <c r="L699" s="276">
        <f>IF($K699="","",TODAY()-$K699)</f>
        <v/>
      </c>
      <c r="M699">
        <f>IF($A699="","",IF($H699="ENGAGE","Engagé",IF(AND($H699="NON ENGAGE",OR($I699="INFRUCTUEUX",$I699="ANNULE")),"Clôturé sans suite","En cours")))</f>
        <v/>
      </c>
      <c r="N699">
        <f>IF(ISBLANK('ENGAGEMENTS 2026'!C699),"",'ENGAGEMENTS 2026'!L699)</f>
        <v/>
      </c>
      <c r="O699">
        <f>IF(ISBLANK('ENGAGEMENTS 2026'!C699),"",'ENGAGEMENTS 2026'!M699)</f>
        <v/>
      </c>
      <c r="P699">
        <f>IF(ISBLANK('ENGAGEMENTS 2026'!C699),"",'ENGAGEMENTS 2026'!K699)</f>
        <v/>
      </c>
      <c r="Q699">
        <f>IF($A699="","",IF(OR($E699="INFRUCTUEUX",$E699="ANNULE"),$A699&amp;"|"&amp;(COUNTIFS($A$2:$A699,$A699,$E$2:$E699,"INFRUCTUEUX")+COUNTIFS($A$2:$A699,$A699,$E$2:$E699,"ANNULE")),""))</f>
        <v/>
      </c>
    </row>
    <row r="700">
      <c r="A700">
        <f>IF(ISBLANK('ENGAGEMENTS 2026'!C700),"",IF('ENGAGEMENTS 2026'!C700="DTSI","DCT",'ENGAGEMENTS 2026'!C700))</f>
        <v/>
      </c>
      <c r="B700">
        <f>IF(ISBLANK('ENGAGEMENTS 2026'!C700),"",'ENGAGEMENTS 2026'!D700)</f>
        <v/>
      </c>
      <c r="C700">
        <f>IF(ISBLANK('ENGAGEMENTS 2026'!C700),"",'ENGAGEMENTS 2026'!E700)</f>
        <v/>
      </c>
      <c r="D700">
        <f>IF(ISBLANK('ENGAGEMENTS 2026'!C700),"",'ENGAGEMENTS 2026'!G700)</f>
        <v/>
      </c>
      <c r="E700">
        <f>IF(ISBLANK('ENGAGEMENTS 2026'!C700),"",'ENGAGEMENTS 2026'!I700)</f>
        <v/>
      </c>
      <c r="F700">
        <f>IF(ISBLANK('ENGAGEMENTS 2026'!C700),"",'ENGAGEMENTS 2026'!J700)</f>
        <v/>
      </c>
      <c r="G700">
        <f>IF(ISBLANK('ENGAGEMENTS 2026'!C700),"",'ENGAGEMENTS 2026'!M700)</f>
        <v/>
      </c>
      <c r="H700">
        <f>IF(ISBLANK('ENGAGEMENTS 2026'!C700),"",'ENGAGEMENTS 2026'!AF700)</f>
        <v/>
      </c>
      <c r="I700">
        <f>IF(ISBLANK('ENGAGEMENTS 2026'!C700),"",'ENGAGEMENTS 2026'!H700)</f>
        <v/>
      </c>
      <c r="J700" s="275">
        <f>IF(ISBLANK('ENGAGEMENTS 2026'!C700),"",IF(AND(OR($E700="INFRUCTUEUX",$E700="ANNULE"),$C700="AOO-M"),'ENGAGEMENTS 2026'!P700,IF($H700="EN COURS DE PREENGAGEMENT",'ENGAGEMENTS 2026'!O700,IF($H700="PREENGAGE",IF($E700="ATTRIBUE",'ENGAGEMENTS 2026'!AE700,'ENGAGEMENTS 2026'!O700),'ENGAGEMENTS 2026'!AE700))))</f>
        <v/>
      </c>
      <c r="K700" s="604">
        <f>IF(ISBLANK('ENGAGEMENTS 2026'!W700),"",'ENGAGEMENTS 2026'!W700)</f>
        <v/>
      </c>
      <c r="L700" s="276">
        <f>IF($K700="","",TODAY()-$K700)</f>
        <v/>
      </c>
      <c r="M700">
        <f>IF($A700="","",IF($H700="ENGAGE","Engagé",IF(AND($H700="NON ENGAGE",OR($I700="INFRUCTUEUX",$I700="ANNULE")),"Clôturé sans suite","En cours")))</f>
        <v/>
      </c>
      <c r="N700">
        <f>IF(ISBLANK('ENGAGEMENTS 2026'!C700),"",'ENGAGEMENTS 2026'!L700)</f>
        <v/>
      </c>
      <c r="O700">
        <f>IF(ISBLANK('ENGAGEMENTS 2026'!C700),"",'ENGAGEMENTS 2026'!M700)</f>
        <v/>
      </c>
      <c r="P700">
        <f>IF(ISBLANK('ENGAGEMENTS 2026'!C700),"",'ENGAGEMENTS 2026'!K700)</f>
        <v/>
      </c>
      <c r="Q700">
        <f>IF($A700="","",IF(OR($E700="INFRUCTUEUX",$E700="ANNULE"),$A700&amp;"|"&amp;(COUNTIFS($A$2:$A700,$A700,$E$2:$E700,"INFRUCTUEUX")+COUNTIFS($A$2:$A700,$A700,$E$2:$E700,"ANNULE")),""))</f>
        <v/>
      </c>
    </row>
    <row r="701">
      <c r="A701">
        <f>IF(ISBLANK('ENGAGEMENTS 2026'!C701),"",IF('ENGAGEMENTS 2026'!C701="DTSI","DCT",'ENGAGEMENTS 2026'!C701))</f>
        <v/>
      </c>
      <c r="B701">
        <f>IF(ISBLANK('ENGAGEMENTS 2026'!C701),"",'ENGAGEMENTS 2026'!D701)</f>
        <v/>
      </c>
      <c r="C701">
        <f>IF(ISBLANK('ENGAGEMENTS 2026'!C701),"",'ENGAGEMENTS 2026'!E701)</f>
        <v/>
      </c>
      <c r="D701">
        <f>IF(ISBLANK('ENGAGEMENTS 2026'!C701),"",'ENGAGEMENTS 2026'!G701)</f>
        <v/>
      </c>
      <c r="E701">
        <f>IF(ISBLANK('ENGAGEMENTS 2026'!C701),"",'ENGAGEMENTS 2026'!I701)</f>
        <v/>
      </c>
      <c r="F701">
        <f>IF(ISBLANK('ENGAGEMENTS 2026'!C701),"",'ENGAGEMENTS 2026'!J701)</f>
        <v/>
      </c>
      <c r="G701">
        <f>IF(ISBLANK('ENGAGEMENTS 2026'!C701),"",'ENGAGEMENTS 2026'!M701)</f>
        <v/>
      </c>
      <c r="H701">
        <f>IF(ISBLANK('ENGAGEMENTS 2026'!C701),"",'ENGAGEMENTS 2026'!AF701)</f>
        <v/>
      </c>
      <c r="I701">
        <f>IF(ISBLANK('ENGAGEMENTS 2026'!C701),"",'ENGAGEMENTS 2026'!H701)</f>
        <v/>
      </c>
      <c r="J701" s="275">
        <f>IF(ISBLANK('ENGAGEMENTS 2026'!C701),"",IF(AND(OR($E701="INFRUCTUEUX",$E701="ANNULE"),$C701="AOO-M"),'ENGAGEMENTS 2026'!P701,IF($H701="EN COURS DE PREENGAGEMENT",'ENGAGEMENTS 2026'!O701,IF($H701="PREENGAGE",IF($E701="ATTRIBUE",'ENGAGEMENTS 2026'!AE701,'ENGAGEMENTS 2026'!O701),'ENGAGEMENTS 2026'!AE701))))</f>
        <v/>
      </c>
      <c r="K701" s="604">
        <f>IF(ISBLANK('ENGAGEMENTS 2026'!W701),"",'ENGAGEMENTS 2026'!W701)</f>
        <v/>
      </c>
      <c r="L701" s="276">
        <f>IF($K701="","",TODAY()-$K701)</f>
        <v/>
      </c>
      <c r="M701">
        <f>IF($A701="","",IF($H701="ENGAGE","Engagé",IF(AND($H701="NON ENGAGE",OR($I701="INFRUCTUEUX",$I701="ANNULE")),"Clôturé sans suite","En cours")))</f>
        <v/>
      </c>
      <c r="N701">
        <f>IF(ISBLANK('ENGAGEMENTS 2026'!C701),"",'ENGAGEMENTS 2026'!L701)</f>
        <v/>
      </c>
      <c r="O701">
        <f>IF(ISBLANK('ENGAGEMENTS 2026'!C701),"",'ENGAGEMENTS 2026'!M701)</f>
        <v/>
      </c>
      <c r="P701">
        <f>IF(ISBLANK('ENGAGEMENTS 2026'!C701),"",'ENGAGEMENTS 2026'!K701)</f>
        <v/>
      </c>
      <c r="Q701">
        <f>IF($A701="","",IF(OR($E701="INFRUCTUEUX",$E701="ANNULE"),$A701&amp;"|"&amp;(COUNTIFS($A$2:$A701,$A701,$E$2:$E701,"INFRUCTUEUX")+COUNTIFS($A$2:$A701,$A701,$E$2:$E701,"ANNULE")),""))</f>
        <v/>
      </c>
    </row>
    <row r="702">
      <c r="A702">
        <f>IF(ISBLANK('ENGAGEMENTS 2026'!C702),"",IF('ENGAGEMENTS 2026'!C702="DTSI","DCT",'ENGAGEMENTS 2026'!C702))</f>
        <v/>
      </c>
      <c r="B702">
        <f>IF(ISBLANK('ENGAGEMENTS 2026'!C702),"",'ENGAGEMENTS 2026'!D702)</f>
        <v/>
      </c>
      <c r="C702">
        <f>IF(ISBLANK('ENGAGEMENTS 2026'!C702),"",'ENGAGEMENTS 2026'!E702)</f>
        <v/>
      </c>
      <c r="D702">
        <f>IF(ISBLANK('ENGAGEMENTS 2026'!C702),"",'ENGAGEMENTS 2026'!G702)</f>
        <v/>
      </c>
      <c r="E702">
        <f>IF(ISBLANK('ENGAGEMENTS 2026'!C702),"",'ENGAGEMENTS 2026'!I702)</f>
        <v/>
      </c>
      <c r="F702">
        <f>IF(ISBLANK('ENGAGEMENTS 2026'!C702),"",'ENGAGEMENTS 2026'!J702)</f>
        <v/>
      </c>
      <c r="G702">
        <f>IF(ISBLANK('ENGAGEMENTS 2026'!C702),"",'ENGAGEMENTS 2026'!M702)</f>
        <v/>
      </c>
      <c r="H702">
        <f>IF(ISBLANK('ENGAGEMENTS 2026'!C702),"",'ENGAGEMENTS 2026'!AF702)</f>
        <v/>
      </c>
      <c r="I702">
        <f>IF(ISBLANK('ENGAGEMENTS 2026'!C702),"",'ENGAGEMENTS 2026'!H702)</f>
        <v/>
      </c>
      <c r="J702" s="275">
        <f>IF(ISBLANK('ENGAGEMENTS 2026'!C702),"",IF(AND(OR($E702="INFRUCTUEUX",$E702="ANNULE"),$C702="AOO-M"),'ENGAGEMENTS 2026'!P702,IF($H702="EN COURS DE PREENGAGEMENT",'ENGAGEMENTS 2026'!O702,IF($H702="PREENGAGE",IF($E702="ATTRIBUE",'ENGAGEMENTS 2026'!AE702,'ENGAGEMENTS 2026'!O702),'ENGAGEMENTS 2026'!AE702))))</f>
        <v/>
      </c>
      <c r="K702" s="604">
        <f>IF(ISBLANK('ENGAGEMENTS 2026'!W702),"",'ENGAGEMENTS 2026'!W702)</f>
        <v/>
      </c>
      <c r="L702" s="276">
        <f>IF($K702="","",TODAY()-$K702)</f>
        <v/>
      </c>
      <c r="M702">
        <f>IF($A702="","",IF($H702="ENGAGE","Engagé",IF(AND($H702="NON ENGAGE",OR($I702="INFRUCTUEUX",$I702="ANNULE")),"Clôturé sans suite","En cours")))</f>
        <v/>
      </c>
      <c r="N702">
        <f>IF(ISBLANK('ENGAGEMENTS 2026'!C702),"",'ENGAGEMENTS 2026'!L702)</f>
        <v/>
      </c>
      <c r="O702">
        <f>IF(ISBLANK('ENGAGEMENTS 2026'!C702),"",'ENGAGEMENTS 2026'!M702)</f>
        <v/>
      </c>
      <c r="P702">
        <f>IF(ISBLANK('ENGAGEMENTS 2026'!C702),"",'ENGAGEMENTS 2026'!K702)</f>
        <v/>
      </c>
      <c r="Q702">
        <f>IF($A702="","",IF(OR($E702="INFRUCTUEUX",$E702="ANNULE"),$A702&amp;"|"&amp;(COUNTIFS($A$2:$A702,$A702,$E$2:$E702,"INFRUCTUEUX")+COUNTIFS($A$2:$A702,$A702,$E$2:$E702,"ANNULE")),""))</f>
        <v/>
      </c>
    </row>
    <row r="703">
      <c r="A703">
        <f>IF(ISBLANK('ENGAGEMENTS 2026'!C703),"",IF('ENGAGEMENTS 2026'!C703="DTSI","DCT",'ENGAGEMENTS 2026'!C703))</f>
        <v/>
      </c>
      <c r="B703">
        <f>IF(ISBLANK('ENGAGEMENTS 2026'!C703),"",'ENGAGEMENTS 2026'!D703)</f>
        <v/>
      </c>
      <c r="C703">
        <f>IF(ISBLANK('ENGAGEMENTS 2026'!C703),"",'ENGAGEMENTS 2026'!E703)</f>
        <v/>
      </c>
      <c r="D703">
        <f>IF(ISBLANK('ENGAGEMENTS 2026'!C703),"",'ENGAGEMENTS 2026'!G703)</f>
        <v/>
      </c>
      <c r="E703">
        <f>IF(ISBLANK('ENGAGEMENTS 2026'!C703),"",'ENGAGEMENTS 2026'!I703)</f>
        <v/>
      </c>
      <c r="F703">
        <f>IF(ISBLANK('ENGAGEMENTS 2026'!C703),"",'ENGAGEMENTS 2026'!J703)</f>
        <v/>
      </c>
      <c r="G703">
        <f>IF(ISBLANK('ENGAGEMENTS 2026'!C703),"",'ENGAGEMENTS 2026'!M703)</f>
        <v/>
      </c>
      <c r="H703">
        <f>IF(ISBLANK('ENGAGEMENTS 2026'!C703),"",'ENGAGEMENTS 2026'!AF703)</f>
        <v/>
      </c>
      <c r="I703">
        <f>IF(ISBLANK('ENGAGEMENTS 2026'!C703),"",'ENGAGEMENTS 2026'!H703)</f>
        <v/>
      </c>
      <c r="J703" s="275">
        <f>IF(ISBLANK('ENGAGEMENTS 2026'!C703),"",IF(AND(OR($E703="INFRUCTUEUX",$E703="ANNULE"),$C703="AOO-M"),'ENGAGEMENTS 2026'!P703,IF($H703="EN COURS DE PREENGAGEMENT",'ENGAGEMENTS 2026'!O703,IF($H703="PREENGAGE",IF($E703="ATTRIBUE",'ENGAGEMENTS 2026'!AE703,'ENGAGEMENTS 2026'!O703),'ENGAGEMENTS 2026'!AE703))))</f>
        <v/>
      </c>
      <c r="K703" s="604">
        <f>IF(ISBLANK('ENGAGEMENTS 2026'!W703),"",'ENGAGEMENTS 2026'!W703)</f>
        <v/>
      </c>
      <c r="L703" s="276">
        <f>IF($K703="","",TODAY()-$K703)</f>
        <v/>
      </c>
      <c r="M703">
        <f>IF($A703="","",IF($H703="ENGAGE","Engagé",IF(AND($H703="NON ENGAGE",OR($I703="INFRUCTUEUX",$I703="ANNULE")),"Clôturé sans suite","En cours")))</f>
        <v/>
      </c>
      <c r="N703">
        <f>IF(ISBLANK('ENGAGEMENTS 2026'!C703),"",'ENGAGEMENTS 2026'!L703)</f>
        <v/>
      </c>
      <c r="O703">
        <f>IF(ISBLANK('ENGAGEMENTS 2026'!C703),"",'ENGAGEMENTS 2026'!M703)</f>
        <v/>
      </c>
      <c r="P703">
        <f>IF(ISBLANK('ENGAGEMENTS 2026'!C703),"",'ENGAGEMENTS 2026'!K703)</f>
        <v/>
      </c>
      <c r="Q703">
        <f>IF($A703="","",IF(OR($E703="INFRUCTUEUX",$E703="ANNULE"),$A703&amp;"|"&amp;(COUNTIFS($A$2:$A703,$A703,$E$2:$E703,"INFRUCTUEUX")+COUNTIFS($A$2:$A703,$A703,$E$2:$E703,"ANNULE")),""))</f>
        <v/>
      </c>
    </row>
    <row r="704">
      <c r="A704">
        <f>IF(ISBLANK('ENGAGEMENTS 2026'!C704),"",IF('ENGAGEMENTS 2026'!C704="DTSI","DCT",'ENGAGEMENTS 2026'!C704))</f>
        <v/>
      </c>
      <c r="B704">
        <f>IF(ISBLANK('ENGAGEMENTS 2026'!C704),"",'ENGAGEMENTS 2026'!D704)</f>
        <v/>
      </c>
      <c r="C704">
        <f>IF(ISBLANK('ENGAGEMENTS 2026'!C704),"",'ENGAGEMENTS 2026'!E704)</f>
        <v/>
      </c>
      <c r="D704">
        <f>IF(ISBLANK('ENGAGEMENTS 2026'!C704),"",'ENGAGEMENTS 2026'!G704)</f>
        <v/>
      </c>
      <c r="E704">
        <f>IF(ISBLANK('ENGAGEMENTS 2026'!C704),"",'ENGAGEMENTS 2026'!I704)</f>
        <v/>
      </c>
      <c r="F704">
        <f>IF(ISBLANK('ENGAGEMENTS 2026'!C704),"",'ENGAGEMENTS 2026'!J704)</f>
        <v/>
      </c>
      <c r="G704">
        <f>IF(ISBLANK('ENGAGEMENTS 2026'!C704),"",'ENGAGEMENTS 2026'!M704)</f>
        <v/>
      </c>
      <c r="H704">
        <f>IF(ISBLANK('ENGAGEMENTS 2026'!C704),"",'ENGAGEMENTS 2026'!AF704)</f>
        <v/>
      </c>
      <c r="I704">
        <f>IF(ISBLANK('ENGAGEMENTS 2026'!C704),"",'ENGAGEMENTS 2026'!H704)</f>
        <v/>
      </c>
      <c r="J704" s="275">
        <f>IF(ISBLANK('ENGAGEMENTS 2026'!C704),"",IF(AND(OR($E704="INFRUCTUEUX",$E704="ANNULE"),$C704="AOO-M"),'ENGAGEMENTS 2026'!P704,IF($H704="EN COURS DE PREENGAGEMENT",'ENGAGEMENTS 2026'!O704,IF($H704="PREENGAGE",IF($E704="ATTRIBUE",'ENGAGEMENTS 2026'!AE704,'ENGAGEMENTS 2026'!O704),'ENGAGEMENTS 2026'!AE704))))</f>
        <v/>
      </c>
      <c r="K704" s="604">
        <f>IF(ISBLANK('ENGAGEMENTS 2026'!W704),"",'ENGAGEMENTS 2026'!W704)</f>
        <v/>
      </c>
      <c r="L704" s="276">
        <f>IF($K704="","",TODAY()-$K704)</f>
        <v/>
      </c>
      <c r="M704">
        <f>IF($A704="","",IF($H704="ENGAGE","Engagé",IF(AND($H704="NON ENGAGE",OR($I704="INFRUCTUEUX",$I704="ANNULE")),"Clôturé sans suite","En cours")))</f>
        <v/>
      </c>
      <c r="N704">
        <f>IF(ISBLANK('ENGAGEMENTS 2026'!C704),"",'ENGAGEMENTS 2026'!L704)</f>
        <v/>
      </c>
      <c r="O704">
        <f>IF(ISBLANK('ENGAGEMENTS 2026'!C704),"",'ENGAGEMENTS 2026'!M704)</f>
        <v/>
      </c>
      <c r="P704">
        <f>IF(ISBLANK('ENGAGEMENTS 2026'!C704),"",'ENGAGEMENTS 2026'!K704)</f>
        <v/>
      </c>
      <c r="Q704">
        <f>IF($A704="","",IF(OR($E704="INFRUCTUEUX",$E704="ANNULE"),$A704&amp;"|"&amp;(COUNTIFS($A$2:$A704,$A704,$E$2:$E704,"INFRUCTUEUX")+COUNTIFS($A$2:$A704,$A704,$E$2:$E704,"ANNULE")),""))</f>
        <v/>
      </c>
    </row>
    <row r="705">
      <c r="A705">
        <f>IF(ISBLANK('ENGAGEMENTS 2026'!C705),"",IF('ENGAGEMENTS 2026'!C705="DTSI","DCT",'ENGAGEMENTS 2026'!C705))</f>
        <v/>
      </c>
      <c r="B705">
        <f>IF(ISBLANK('ENGAGEMENTS 2026'!C705),"",'ENGAGEMENTS 2026'!D705)</f>
        <v/>
      </c>
      <c r="C705">
        <f>IF(ISBLANK('ENGAGEMENTS 2026'!C705),"",'ENGAGEMENTS 2026'!E705)</f>
        <v/>
      </c>
      <c r="D705">
        <f>IF(ISBLANK('ENGAGEMENTS 2026'!C705),"",'ENGAGEMENTS 2026'!G705)</f>
        <v/>
      </c>
      <c r="E705">
        <f>IF(ISBLANK('ENGAGEMENTS 2026'!C705),"",'ENGAGEMENTS 2026'!I705)</f>
        <v/>
      </c>
      <c r="F705">
        <f>IF(ISBLANK('ENGAGEMENTS 2026'!C705),"",'ENGAGEMENTS 2026'!J705)</f>
        <v/>
      </c>
      <c r="G705">
        <f>IF(ISBLANK('ENGAGEMENTS 2026'!C705),"",'ENGAGEMENTS 2026'!M705)</f>
        <v/>
      </c>
      <c r="H705">
        <f>IF(ISBLANK('ENGAGEMENTS 2026'!C705),"",'ENGAGEMENTS 2026'!AF705)</f>
        <v/>
      </c>
      <c r="I705">
        <f>IF(ISBLANK('ENGAGEMENTS 2026'!C705),"",'ENGAGEMENTS 2026'!H705)</f>
        <v/>
      </c>
      <c r="J705" s="275">
        <f>IF(ISBLANK('ENGAGEMENTS 2026'!C705),"",IF(AND(OR($E705="INFRUCTUEUX",$E705="ANNULE"),$C705="AOO-M"),'ENGAGEMENTS 2026'!P705,IF($H705="EN COURS DE PREENGAGEMENT",'ENGAGEMENTS 2026'!O705,IF($H705="PREENGAGE",IF($E705="ATTRIBUE",'ENGAGEMENTS 2026'!AE705,'ENGAGEMENTS 2026'!O705),'ENGAGEMENTS 2026'!AE705))))</f>
        <v/>
      </c>
      <c r="K705" s="604">
        <f>IF(ISBLANK('ENGAGEMENTS 2026'!W705),"",'ENGAGEMENTS 2026'!W705)</f>
        <v/>
      </c>
      <c r="L705" s="276">
        <f>IF($K705="","",TODAY()-$K705)</f>
        <v/>
      </c>
      <c r="M705">
        <f>IF($A705="","",IF($H705="ENGAGE","Engagé",IF(AND($H705="NON ENGAGE",OR($I705="INFRUCTUEUX",$I705="ANNULE")),"Clôturé sans suite","En cours")))</f>
        <v/>
      </c>
      <c r="N705">
        <f>IF(ISBLANK('ENGAGEMENTS 2026'!C705),"",'ENGAGEMENTS 2026'!L705)</f>
        <v/>
      </c>
      <c r="O705">
        <f>IF(ISBLANK('ENGAGEMENTS 2026'!C705),"",'ENGAGEMENTS 2026'!M705)</f>
        <v/>
      </c>
      <c r="P705">
        <f>IF(ISBLANK('ENGAGEMENTS 2026'!C705),"",'ENGAGEMENTS 2026'!K705)</f>
        <v/>
      </c>
      <c r="Q705">
        <f>IF($A705="","",IF(OR($E705="INFRUCTUEUX",$E705="ANNULE"),$A705&amp;"|"&amp;(COUNTIFS($A$2:$A705,$A705,$E$2:$E705,"INFRUCTUEUX")+COUNTIFS($A$2:$A705,$A705,$E$2:$E705,"ANNULE")),""))</f>
        <v/>
      </c>
    </row>
    <row r="706">
      <c r="A706">
        <f>IF(ISBLANK('ENGAGEMENTS 2026'!C706),"",IF('ENGAGEMENTS 2026'!C706="DTSI","DCT",'ENGAGEMENTS 2026'!C706))</f>
        <v/>
      </c>
      <c r="B706">
        <f>IF(ISBLANK('ENGAGEMENTS 2026'!C706),"",'ENGAGEMENTS 2026'!D706)</f>
        <v/>
      </c>
      <c r="C706">
        <f>IF(ISBLANK('ENGAGEMENTS 2026'!C706),"",'ENGAGEMENTS 2026'!E706)</f>
        <v/>
      </c>
      <c r="D706">
        <f>IF(ISBLANK('ENGAGEMENTS 2026'!C706),"",'ENGAGEMENTS 2026'!G706)</f>
        <v/>
      </c>
      <c r="E706">
        <f>IF(ISBLANK('ENGAGEMENTS 2026'!C706),"",'ENGAGEMENTS 2026'!I706)</f>
        <v/>
      </c>
      <c r="F706">
        <f>IF(ISBLANK('ENGAGEMENTS 2026'!C706),"",'ENGAGEMENTS 2026'!J706)</f>
        <v/>
      </c>
      <c r="G706">
        <f>IF(ISBLANK('ENGAGEMENTS 2026'!C706),"",'ENGAGEMENTS 2026'!M706)</f>
        <v/>
      </c>
      <c r="H706">
        <f>IF(ISBLANK('ENGAGEMENTS 2026'!C706),"",'ENGAGEMENTS 2026'!AF706)</f>
        <v/>
      </c>
      <c r="I706">
        <f>IF(ISBLANK('ENGAGEMENTS 2026'!C706),"",'ENGAGEMENTS 2026'!H706)</f>
        <v/>
      </c>
      <c r="J706" s="275">
        <f>IF(ISBLANK('ENGAGEMENTS 2026'!C706),"",IF(AND(OR($E706="INFRUCTUEUX",$E706="ANNULE"),$C706="AOO-M"),'ENGAGEMENTS 2026'!P706,IF($H706="EN COURS DE PREENGAGEMENT",'ENGAGEMENTS 2026'!O706,IF($H706="PREENGAGE",IF($E706="ATTRIBUE",'ENGAGEMENTS 2026'!AE706,'ENGAGEMENTS 2026'!O706),'ENGAGEMENTS 2026'!AE706))))</f>
        <v/>
      </c>
      <c r="K706" s="604">
        <f>IF(ISBLANK('ENGAGEMENTS 2026'!W706),"",'ENGAGEMENTS 2026'!W706)</f>
        <v/>
      </c>
      <c r="L706" s="276">
        <f>IF($K706="","",TODAY()-$K706)</f>
        <v/>
      </c>
      <c r="M706">
        <f>IF($A706="","",IF($H706="ENGAGE","Engagé",IF(AND($H706="NON ENGAGE",OR($I706="INFRUCTUEUX",$I706="ANNULE")),"Clôturé sans suite","En cours")))</f>
        <v/>
      </c>
      <c r="N706">
        <f>IF(ISBLANK('ENGAGEMENTS 2026'!C706),"",'ENGAGEMENTS 2026'!L706)</f>
        <v/>
      </c>
      <c r="O706">
        <f>IF(ISBLANK('ENGAGEMENTS 2026'!C706),"",'ENGAGEMENTS 2026'!M706)</f>
        <v/>
      </c>
      <c r="P706">
        <f>IF(ISBLANK('ENGAGEMENTS 2026'!C706),"",'ENGAGEMENTS 2026'!K706)</f>
        <v/>
      </c>
      <c r="Q706">
        <f>IF($A706="","",IF(OR($E706="INFRUCTUEUX",$E706="ANNULE"),$A706&amp;"|"&amp;(COUNTIFS($A$2:$A706,$A706,$E$2:$E706,"INFRUCTUEUX")+COUNTIFS($A$2:$A706,$A706,$E$2:$E706,"ANNULE")),""))</f>
        <v/>
      </c>
    </row>
    <row r="707">
      <c r="A707">
        <f>IF(ISBLANK('ENGAGEMENTS 2026'!C707),"",IF('ENGAGEMENTS 2026'!C707="DTSI","DCT",'ENGAGEMENTS 2026'!C707))</f>
        <v/>
      </c>
      <c r="B707">
        <f>IF(ISBLANK('ENGAGEMENTS 2026'!C707),"",'ENGAGEMENTS 2026'!D707)</f>
        <v/>
      </c>
      <c r="C707">
        <f>IF(ISBLANK('ENGAGEMENTS 2026'!C707),"",'ENGAGEMENTS 2026'!E707)</f>
        <v/>
      </c>
      <c r="D707">
        <f>IF(ISBLANK('ENGAGEMENTS 2026'!C707),"",'ENGAGEMENTS 2026'!G707)</f>
        <v/>
      </c>
      <c r="E707">
        <f>IF(ISBLANK('ENGAGEMENTS 2026'!C707),"",'ENGAGEMENTS 2026'!I707)</f>
        <v/>
      </c>
      <c r="F707">
        <f>IF(ISBLANK('ENGAGEMENTS 2026'!C707),"",'ENGAGEMENTS 2026'!J707)</f>
        <v/>
      </c>
      <c r="G707">
        <f>IF(ISBLANK('ENGAGEMENTS 2026'!C707),"",'ENGAGEMENTS 2026'!M707)</f>
        <v/>
      </c>
      <c r="H707">
        <f>IF(ISBLANK('ENGAGEMENTS 2026'!C707),"",'ENGAGEMENTS 2026'!AF707)</f>
        <v/>
      </c>
      <c r="I707">
        <f>IF(ISBLANK('ENGAGEMENTS 2026'!C707),"",'ENGAGEMENTS 2026'!H707)</f>
        <v/>
      </c>
      <c r="J707" s="275">
        <f>IF(ISBLANK('ENGAGEMENTS 2026'!C707),"",IF(AND(OR($E707="INFRUCTUEUX",$E707="ANNULE"),$C707="AOO-M"),'ENGAGEMENTS 2026'!P707,IF($H707="EN COURS DE PREENGAGEMENT",'ENGAGEMENTS 2026'!O707,IF($H707="PREENGAGE",IF($E707="ATTRIBUE",'ENGAGEMENTS 2026'!AE707,'ENGAGEMENTS 2026'!O707),'ENGAGEMENTS 2026'!AE707))))</f>
        <v/>
      </c>
      <c r="K707" s="604">
        <f>IF(ISBLANK('ENGAGEMENTS 2026'!W707),"",'ENGAGEMENTS 2026'!W707)</f>
        <v/>
      </c>
      <c r="L707" s="276">
        <f>IF($K707="","",TODAY()-$K707)</f>
        <v/>
      </c>
      <c r="M707">
        <f>IF($A707="","",IF($H707="ENGAGE","Engagé",IF(AND($H707="NON ENGAGE",OR($I707="INFRUCTUEUX",$I707="ANNULE")),"Clôturé sans suite","En cours")))</f>
        <v/>
      </c>
      <c r="N707">
        <f>IF(ISBLANK('ENGAGEMENTS 2026'!C707),"",'ENGAGEMENTS 2026'!L707)</f>
        <v/>
      </c>
      <c r="O707">
        <f>IF(ISBLANK('ENGAGEMENTS 2026'!C707),"",'ENGAGEMENTS 2026'!M707)</f>
        <v/>
      </c>
      <c r="P707">
        <f>IF(ISBLANK('ENGAGEMENTS 2026'!C707),"",'ENGAGEMENTS 2026'!K707)</f>
        <v/>
      </c>
      <c r="Q707">
        <f>IF($A707="","",IF(OR($E707="INFRUCTUEUX",$E707="ANNULE"),$A707&amp;"|"&amp;(COUNTIFS($A$2:$A707,$A707,$E$2:$E707,"INFRUCTUEUX")+COUNTIFS($A$2:$A707,$A707,$E$2:$E707,"ANNULE")),""))</f>
        <v/>
      </c>
    </row>
    <row r="708">
      <c r="A708">
        <f>IF(ISBLANK('ENGAGEMENTS 2026'!C708),"",IF('ENGAGEMENTS 2026'!C708="DTSI","DCT",'ENGAGEMENTS 2026'!C708))</f>
        <v/>
      </c>
      <c r="B708">
        <f>IF(ISBLANK('ENGAGEMENTS 2026'!C708),"",'ENGAGEMENTS 2026'!D708)</f>
        <v/>
      </c>
      <c r="C708">
        <f>IF(ISBLANK('ENGAGEMENTS 2026'!C708),"",'ENGAGEMENTS 2026'!E708)</f>
        <v/>
      </c>
      <c r="D708">
        <f>IF(ISBLANK('ENGAGEMENTS 2026'!C708),"",'ENGAGEMENTS 2026'!G708)</f>
        <v/>
      </c>
      <c r="E708">
        <f>IF(ISBLANK('ENGAGEMENTS 2026'!C708),"",'ENGAGEMENTS 2026'!I708)</f>
        <v/>
      </c>
      <c r="F708">
        <f>IF(ISBLANK('ENGAGEMENTS 2026'!C708),"",'ENGAGEMENTS 2026'!J708)</f>
        <v/>
      </c>
      <c r="G708">
        <f>IF(ISBLANK('ENGAGEMENTS 2026'!C708),"",'ENGAGEMENTS 2026'!M708)</f>
        <v/>
      </c>
      <c r="H708">
        <f>IF(ISBLANK('ENGAGEMENTS 2026'!C708),"",'ENGAGEMENTS 2026'!AF708)</f>
        <v/>
      </c>
      <c r="I708">
        <f>IF(ISBLANK('ENGAGEMENTS 2026'!C708),"",'ENGAGEMENTS 2026'!H708)</f>
        <v/>
      </c>
      <c r="J708" s="275">
        <f>IF(ISBLANK('ENGAGEMENTS 2026'!C708),"",IF(AND(OR($E708="INFRUCTUEUX",$E708="ANNULE"),$C708="AOO-M"),'ENGAGEMENTS 2026'!P708,IF($H708="EN COURS DE PREENGAGEMENT",'ENGAGEMENTS 2026'!O708,IF($H708="PREENGAGE",IF($E708="ATTRIBUE",'ENGAGEMENTS 2026'!AE708,'ENGAGEMENTS 2026'!O708),'ENGAGEMENTS 2026'!AE708))))</f>
        <v/>
      </c>
      <c r="K708" s="604">
        <f>IF(ISBLANK('ENGAGEMENTS 2026'!W708),"",'ENGAGEMENTS 2026'!W708)</f>
        <v/>
      </c>
      <c r="L708" s="276">
        <f>IF($K708="","",TODAY()-$K708)</f>
        <v/>
      </c>
      <c r="M708">
        <f>IF($A708="","",IF($H708="ENGAGE","Engagé",IF(AND($H708="NON ENGAGE",OR($I708="INFRUCTUEUX",$I708="ANNULE")),"Clôturé sans suite","En cours")))</f>
        <v/>
      </c>
      <c r="N708">
        <f>IF(ISBLANK('ENGAGEMENTS 2026'!C708),"",'ENGAGEMENTS 2026'!L708)</f>
        <v/>
      </c>
      <c r="O708">
        <f>IF(ISBLANK('ENGAGEMENTS 2026'!C708),"",'ENGAGEMENTS 2026'!M708)</f>
        <v/>
      </c>
      <c r="P708">
        <f>IF(ISBLANK('ENGAGEMENTS 2026'!C708),"",'ENGAGEMENTS 2026'!K708)</f>
        <v/>
      </c>
      <c r="Q708">
        <f>IF($A708="","",IF(OR($E708="INFRUCTUEUX",$E708="ANNULE"),$A708&amp;"|"&amp;(COUNTIFS($A$2:$A708,$A708,$E$2:$E708,"INFRUCTUEUX")+COUNTIFS($A$2:$A708,$A708,$E$2:$E708,"ANNULE")),""))</f>
        <v/>
      </c>
    </row>
    <row r="709">
      <c r="A709">
        <f>IF(ISBLANK('ENGAGEMENTS 2026'!C709),"",IF('ENGAGEMENTS 2026'!C709="DTSI","DCT",'ENGAGEMENTS 2026'!C709))</f>
        <v/>
      </c>
      <c r="B709">
        <f>IF(ISBLANK('ENGAGEMENTS 2026'!C709),"",'ENGAGEMENTS 2026'!D709)</f>
        <v/>
      </c>
      <c r="C709">
        <f>IF(ISBLANK('ENGAGEMENTS 2026'!C709),"",'ENGAGEMENTS 2026'!E709)</f>
        <v/>
      </c>
      <c r="D709">
        <f>IF(ISBLANK('ENGAGEMENTS 2026'!C709),"",'ENGAGEMENTS 2026'!G709)</f>
        <v/>
      </c>
      <c r="E709">
        <f>IF(ISBLANK('ENGAGEMENTS 2026'!C709),"",'ENGAGEMENTS 2026'!I709)</f>
        <v/>
      </c>
      <c r="F709">
        <f>IF(ISBLANK('ENGAGEMENTS 2026'!C709),"",'ENGAGEMENTS 2026'!J709)</f>
        <v/>
      </c>
      <c r="G709">
        <f>IF(ISBLANK('ENGAGEMENTS 2026'!C709),"",'ENGAGEMENTS 2026'!M709)</f>
        <v/>
      </c>
      <c r="H709">
        <f>IF(ISBLANK('ENGAGEMENTS 2026'!C709),"",'ENGAGEMENTS 2026'!AF709)</f>
        <v/>
      </c>
      <c r="I709">
        <f>IF(ISBLANK('ENGAGEMENTS 2026'!C709),"",'ENGAGEMENTS 2026'!H709)</f>
        <v/>
      </c>
      <c r="J709" s="275">
        <f>IF(ISBLANK('ENGAGEMENTS 2026'!C709),"",IF(AND(OR($E709="INFRUCTUEUX",$E709="ANNULE"),$C709="AOO-M"),'ENGAGEMENTS 2026'!P709,IF($H709="EN COURS DE PREENGAGEMENT",'ENGAGEMENTS 2026'!O709,IF($H709="PREENGAGE",IF($E709="ATTRIBUE",'ENGAGEMENTS 2026'!AE709,'ENGAGEMENTS 2026'!O709),'ENGAGEMENTS 2026'!AE709))))</f>
        <v/>
      </c>
      <c r="K709" s="604">
        <f>IF(ISBLANK('ENGAGEMENTS 2026'!W709),"",'ENGAGEMENTS 2026'!W709)</f>
        <v/>
      </c>
      <c r="L709" s="276">
        <f>IF($K709="","",TODAY()-$K709)</f>
        <v/>
      </c>
      <c r="M709">
        <f>IF($A709="","",IF($H709="ENGAGE","Engagé",IF(AND($H709="NON ENGAGE",OR($I709="INFRUCTUEUX",$I709="ANNULE")),"Clôturé sans suite","En cours")))</f>
        <v/>
      </c>
      <c r="N709">
        <f>IF(ISBLANK('ENGAGEMENTS 2026'!C709),"",'ENGAGEMENTS 2026'!L709)</f>
        <v/>
      </c>
      <c r="O709">
        <f>IF(ISBLANK('ENGAGEMENTS 2026'!C709),"",'ENGAGEMENTS 2026'!M709)</f>
        <v/>
      </c>
      <c r="P709">
        <f>IF(ISBLANK('ENGAGEMENTS 2026'!C709),"",'ENGAGEMENTS 2026'!K709)</f>
        <v/>
      </c>
      <c r="Q709">
        <f>IF($A709="","",IF(OR($E709="INFRUCTUEUX",$E709="ANNULE"),$A709&amp;"|"&amp;(COUNTIFS($A$2:$A709,$A709,$E$2:$E709,"INFRUCTUEUX")+COUNTIFS($A$2:$A709,$A709,$E$2:$E709,"ANNULE")),""))</f>
        <v/>
      </c>
    </row>
    <row r="710">
      <c r="A710">
        <f>IF(ISBLANK('ENGAGEMENTS 2026'!C710),"",IF('ENGAGEMENTS 2026'!C710="DTSI","DCT",'ENGAGEMENTS 2026'!C710))</f>
        <v/>
      </c>
      <c r="B710">
        <f>IF(ISBLANK('ENGAGEMENTS 2026'!C710),"",'ENGAGEMENTS 2026'!D710)</f>
        <v/>
      </c>
      <c r="C710">
        <f>IF(ISBLANK('ENGAGEMENTS 2026'!C710),"",'ENGAGEMENTS 2026'!E710)</f>
        <v/>
      </c>
      <c r="D710">
        <f>IF(ISBLANK('ENGAGEMENTS 2026'!C710),"",'ENGAGEMENTS 2026'!G710)</f>
        <v/>
      </c>
      <c r="E710">
        <f>IF(ISBLANK('ENGAGEMENTS 2026'!C710),"",'ENGAGEMENTS 2026'!I710)</f>
        <v/>
      </c>
      <c r="F710">
        <f>IF(ISBLANK('ENGAGEMENTS 2026'!C710),"",'ENGAGEMENTS 2026'!J710)</f>
        <v/>
      </c>
      <c r="G710">
        <f>IF(ISBLANK('ENGAGEMENTS 2026'!C710),"",'ENGAGEMENTS 2026'!M710)</f>
        <v/>
      </c>
      <c r="H710">
        <f>IF(ISBLANK('ENGAGEMENTS 2026'!C710),"",'ENGAGEMENTS 2026'!AF710)</f>
        <v/>
      </c>
      <c r="I710">
        <f>IF(ISBLANK('ENGAGEMENTS 2026'!C710),"",'ENGAGEMENTS 2026'!H710)</f>
        <v/>
      </c>
      <c r="J710" s="275">
        <f>IF(ISBLANK('ENGAGEMENTS 2026'!C710),"",IF(AND(OR($E710="INFRUCTUEUX",$E710="ANNULE"),$C710="AOO-M"),'ENGAGEMENTS 2026'!P710,IF($H710="EN COURS DE PREENGAGEMENT",'ENGAGEMENTS 2026'!O710,IF($H710="PREENGAGE",IF($E710="ATTRIBUE",'ENGAGEMENTS 2026'!AE710,'ENGAGEMENTS 2026'!O710),'ENGAGEMENTS 2026'!AE710))))</f>
        <v/>
      </c>
      <c r="K710" s="604">
        <f>IF(ISBLANK('ENGAGEMENTS 2026'!W710),"",'ENGAGEMENTS 2026'!W710)</f>
        <v/>
      </c>
      <c r="L710" s="276">
        <f>IF($K710="","",TODAY()-$K710)</f>
        <v/>
      </c>
      <c r="M710">
        <f>IF($A710="","",IF($H710="ENGAGE","Engagé",IF(AND($H710="NON ENGAGE",OR($I710="INFRUCTUEUX",$I710="ANNULE")),"Clôturé sans suite","En cours")))</f>
        <v/>
      </c>
      <c r="N710">
        <f>IF(ISBLANK('ENGAGEMENTS 2026'!C710),"",'ENGAGEMENTS 2026'!L710)</f>
        <v/>
      </c>
      <c r="O710">
        <f>IF(ISBLANK('ENGAGEMENTS 2026'!C710),"",'ENGAGEMENTS 2026'!M710)</f>
        <v/>
      </c>
      <c r="P710">
        <f>IF(ISBLANK('ENGAGEMENTS 2026'!C710),"",'ENGAGEMENTS 2026'!K710)</f>
        <v/>
      </c>
      <c r="Q710">
        <f>IF($A710="","",IF(OR($E710="INFRUCTUEUX",$E710="ANNULE"),$A710&amp;"|"&amp;(COUNTIFS($A$2:$A710,$A710,$E$2:$E710,"INFRUCTUEUX")+COUNTIFS($A$2:$A710,$A710,$E$2:$E710,"ANNULE")),""))</f>
        <v/>
      </c>
    </row>
    <row r="711">
      <c r="A711">
        <f>IF(ISBLANK('ENGAGEMENTS 2026'!C711),"",IF('ENGAGEMENTS 2026'!C711="DTSI","DCT",'ENGAGEMENTS 2026'!C711))</f>
        <v/>
      </c>
      <c r="B711">
        <f>IF(ISBLANK('ENGAGEMENTS 2026'!C711),"",'ENGAGEMENTS 2026'!D711)</f>
        <v/>
      </c>
      <c r="C711">
        <f>IF(ISBLANK('ENGAGEMENTS 2026'!C711),"",'ENGAGEMENTS 2026'!E711)</f>
        <v/>
      </c>
      <c r="D711">
        <f>IF(ISBLANK('ENGAGEMENTS 2026'!C711),"",'ENGAGEMENTS 2026'!G711)</f>
        <v/>
      </c>
      <c r="E711">
        <f>IF(ISBLANK('ENGAGEMENTS 2026'!C711),"",'ENGAGEMENTS 2026'!I711)</f>
        <v/>
      </c>
      <c r="F711">
        <f>IF(ISBLANK('ENGAGEMENTS 2026'!C711),"",'ENGAGEMENTS 2026'!J711)</f>
        <v/>
      </c>
      <c r="G711">
        <f>IF(ISBLANK('ENGAGEMENTS 2026'!C711),"",'ENGAGEMENTS 2026'!M711)</f>
        <v/>
      </c>
      <c r="H711">
        <f>IF(ISBLANK('ENGAGEMENTS 2026'!C711),"",'ENGAGEMENTS 2026'!AF711)</f>
        <v/>
      </c>
      <c r="I711">
        <f>IF(ISBLANK('ENGAGEMENTS 2026'!C711),"",'ENGAGEMENTS 2026'!H711)</f>
        <v/>
      </c>
      <c r="J711" s="275">
        <f>IF(ISBLANK('ENGAGEMENTS 2026'!C711),"",IF(AND(OR($E711="INFRUCTUEUX",$E711="ANNULE"),$C711="AOO-M"),'ENGAGEMENTS 2026'!P711,IF($H711="EN COURS DE PREENGAGEMENT",'ENGAGEMENTS 2026'!O711,IF($H711="PREENGAGE",IF($E711="ATTRIBUE",'ENGAGEMENTS 2026'!AE711,'ENGAGEMENTS 2026'!O711),'ENGAGEMENTS 2026'!AE711))))</f>
        <v/>
      </c>
      <c r="K711" s="604">
        <f>IF(ISBLANK('ENGAGEMENTS 2026'!W711),"",'ENGAGEMENTS 2026'!W711)</f>
        <v/>
      </c>
      <c r="L711" s="276">
        <f>IF($K711="","",TODAY()-$K711)</f>
        <v/>
      </c>
      <c r="M711">
        <f>IF($A711="","",IF($H711="ENGAGE","Engagé",IF(AND($H711="NON ENGAGE",OR($I711="INFRUCTUEUX",$I711="ANNULE")),"Clôturé sans suite","En cours")))</f>
        <v/>
      </c>
      <c r="N711">
        <f>IF(ISBLANK('ENGAGEMENTS 2026'!C711),"",'ENGAGEMENTS 2026'!L711)</f>
        <v/>
      </c>
      <c r="O711">
        <f>IF(ISBLANK('ENGAGEMENTS 2026'!C711),"",'ENGAGEMENTS 2026'!M711)</f>
        <v/>
      </c>
      <c r="P711">
        <f>IF(ISBLANK('ENGAGEMENTS 2026'!C711),"",'ENGAGEMENTS 2026'!K711)</f>
        <v/>
      </c>
      <c r="Q711">
        <f>IF($A711="","",IF(OR($E711="INFRUCTUEUX",$E711="ANNULE"),$A711&amp;"|"&amp;(COUNTIFS($A$2:$A711,$A711,$E$2:$E711,"INFRUCTUEUX")+COUNTIFS($A$2:$A711,$A711,$E$2:$E711,"ANNULE")),""))</f>
        <v/>
      </c>
    </row>
    <row r="712">
      <c r="A712">
        <f>IF(ISBLANK('ENGAGEMENTS 2026'!C712),"",IF('ENGAGEMENTS 2026'!C712="DTSI","DCT",'ENGAGEMENTS 2026'!C712))</f>
        <v/>
      </c>
      <c r="B712">
        <f>IF(ISBLANK('ENGAGEMENTS 2026'!C712),"",'ENGAGEMENTS 2026'!D712)</f>
        <v/>
      </c>
      <c r="C712">
        <f>IF(ISBLANK('ENGAGEMENTS 2026'!C712),"",'ENGAGEMENTS 2026'!E712)</f>
        <v/>
      </c>
      <c r="D712">
        <f>IF(ISBLANK('ENGAGEMENTS 2026'!C712),"",'ENGAGEMENTS 2026'!G712)</f>
        <v/>
      </c>
      <c r="E712">
        <f>IF(ISBLANK('ENGAGEMENTS 2026'!C712),"",'ENGAGEMENTS 2026'!I712)</f>
        <v/>
      </c>
      <c r="F712">
        <f>IF(ISBLANK('ENGAGEMENTS 2026'!C712),"",'ENGAGEMENTS 2026'!J712)</f>
        <v/>
      </c>
      <c r="G712">
        <f>IF(ISBLANK('ENGAGEMENTS 2026'!C712),"",'ENGAGEMENTS 2026'!M712)</f>
        <v/>
      </c>
      <c r="H712">
        <f>IF(ISBLANK('ENGAGEMENTS 2026'!C712),"",'ENGAGEMENTS 2026'!AF712)</f>
        <v/>
      </c>
      <c r="I712">
        <f>IF(ISBLANK('ENGAGEMENTS 2026'!C712),"",'ENGAGEMENTS 2026'!H712)</f>
        <v/>
      </c>
      <c r="J712" s="275">
        <f>IF(ISBLANK('ENGAGEMENTS 2026'!C712),"",IF(AND(OR($E712="INFRUCTUEUX",$E712="ANNULE"),$C712="AOO-M"),'ENGAGEMENTS 2026'!P712,IF($H712="EN COURS DE PREENGAGEMENT",'ENGAGEMENTS 2026'!O712,IF($H712="PREENGAGE",IF($E712="ATTRIBUE",'ENGAGEMENTS 2026'!AE712,'ENGAGEMENTS 2026'!O712),'ENGAGEMENTS 2026'!AE712))))</f>
        <v/>
      </c>
      <c r="K712" s="604">
        <f>IF(ISBLANK('ENGAGEMENTS 2026'!W712),"",'ENGAGEMENTS 2026'!W712)</f>
        <v/>
      </c>
      <c r="L712" s="276">
        <f>IF($K712="","",TODAY()-$K712)</f>
        <v/>
      </c>
      <c r="M712">
        <f>IF($A712="","",IF($H712="ENGAGE","Engagé",IF(AND($H712="NON ENGAGE",OR($I712="INFRUCTUEUX",$I712="ANNULE")),"Clôturé sans suite","En cours")))</f>
        <v/>
      </c>
      <c r="N712">
        <f>IF(ISBLANK('ENGAGEMENTS 2026'!C712),"",'ENGAGEMENTS 2026'!L712)</f>
        <v/>
      </c>
      <c r="O712">
        <f>IF(ISBLANK('ENGAGEMENTS 2026'!C712),"",'ENGAGEMENTS 2026'!M712)</f>
        <v/>
      </c>
      <c r="P712">
        <f>IF(ISBLANK('ENGAGEMENTS 2026'!C712),"",'ENGAGEMENTS 2026'!K712)</f>
        <v/>
      </c>
      <c r="Q712">
        <f>IF($A712="","",IF(OR($E712="INFRUCTUEUX",$E712="ANNULE"),$A712&amp;"|"&amp;(COUNTIFS($A$2:$A712,$A712,$E$2:$E712,"INFRUCTUEUX")+COUNTIFS($A$2:$A712,$A712,$E$2:$E712,"ANNULE")),""))</f>
        <v/>
      </c>
    </row>
    <row r="713">
      <c r="A713">
        <f>IF(ISBLANK('ENGAGEMENTS 2026'!C713),"",IF('ENGAGEMENTS 2026'!C713="DTSI","DCT",'ENGAGEMENTS 2026'!C713))</f>
        <v/>
      </c>
      <c r="B713">
        <f>IF(ISBLANK('ENGAGEMENTS 2026'!C713),"",'ENGAGEMENTS 2026'!D713)</f>
        <v/>
      </c>
      <c r="C713">
        <f>IF(ISBLANK('ENGAGEMENTS 2026'!C713),"",'ENGAGEMENTS 2026'!E713)</f>
        <v/>
      </c>
      <c r="D713">
        <f>IF(ISBLANK('ENGAGEMENTS 2026'!C713),"",'ENGAGEMENTS 2026'!G713)</f>
        <v/>
      </c>
      <c r="E713">
        <f>IF(ISBLANK('ENGAGEMENTS 2026'!C713),"",'ENGAGEMENTS 2026'!I713)</f>
        <v/>
      </c>
      <c r="F713">
        <f>IF(ISBLANK('ENGAGEMENTS 2026'!C713),"",'ENGAGEMENTS 2026'!J713)</f>
        <v/>
      </c>
      <c r="G713">
        <f>IF(ISBLANK('ENGAGEMENTS 2026'!C713),"",'ENGAGEMENTS 2026'!M713)</f>
        <v/>
      </c>
      <c r="H713">
        <f>IF(ISBLANK('ENGAGEMENTS 2026'!C713),"",'ENGAGEMENTS 2026'!AF713)</f>
        <v/>
      </c>
      <c r="I713">
        <f>IF(ISBLANK('ENGAGEMENTS 2026'!C713),"",'ENGAGEMENTS 2026'!H713)</f>
        <v/>
      </c>
      <c r="J713" s="275">
        <f>IF(ISBLANK('ENGAGEMENTS 2026'!C713),"",IF(AND(OR($E713="INFRUCTUEUX",$E713="ANNULE"),$C713="AOO-M"),'ENGAGEMENTS 2026'!P713,IF($H713="EN COURS DE PREENGAGEMENT",'ENGAGEMENTS 2026'!O713,IF($H713="PREENGAGE",IF($E713="ATTRIBUE",'ENGAGEMENTS 2026'!AE713,'ENGAGEMENTS 2026'!O713),'ENGAGEMENTS 2026'!AE713))))</f>
        <v/>
      </c>
      <c r="K713" s="604">
        <f>IF(ISBLANK('ENGAGEMENTS 2026'!W713),"",'ENGAGEMENTS 2026'!W713)</f>
        <v/>
      </c>
      <c r="L713" s="276">
        <f>IF($K713="","",TODAY()-$K713)</f>
        <v/>
      </c>
      <c r="M713">
        <f>IF($A713="","",IF($H713="ENGAGE","Engagé",IF(AND($H713="NON ENGAGE",OR($I713="INFRUCTUEUX",$I713="ANNULE")),"Clôturé sans suite","En cours")))</f>
        <v/>
      </c>
      <c r="N713">
        <f>IF(ISBLANK('ENGAGEMENTS 2026'!C713),"",'ENGAGEMENTS 2026'!L713)</f>
        <v/>
      </c>
      <c r="O713">
        <f>IF(ISBLANK('ENGAGEMENTS 2026'!C713),"",'ENGAGEMENTS 2026'!M713)</f>
        <v/>
      </c>
      <c r="P713">
        <f>IF(ISBLANK('ENGAGEMENTS 2026'!C713),"",'ENGAGEMENTS 2026'!K713)</f>
        <v/>
      </c>
      <c r="Q713">
        <f>IF($A713="","",IF(OR($E713="INFRUCTUEUX",$E713="ANNULE"),$A713&amp;"|"&amp;(COUNTIFS($A$2:$A713,$A713,$E$2:$E713,"INFRUCTUEUX")+COUNTIFS($A$2:$A713,$A713,$E$2:$E713,"ANNULE")),""))</f>
        <v/>
      </c>
    </row>
    <row r="714">
      <c r="A714">
        <f>IF(ISBLANK('ENGAGEMENTS 2026'!C714),"",IF('ENGAGEMENTS 2026'!C714="DTSI","DCT",'ENGAGEMENTS 2026'!C714))</f>
        <v/>
      </c>
      <c r="B714">
        <f>IF(ISBLANK('ENGAGEMENTS 2026'!C714),"",'ENGAGEMENTS 2026'!D714)</f>
        <v/>
      </c>
      <c r="C714">
        <f>IF(ISBLANK('ENGAGEMENTS 2026'!C714),"",'ENGAGEMENTS 2026'!E714)</f>
        <v/>
      </c>
      <c r="D714">
        <f>IF(ISBLANK('ENGAGEMENTS 2026'!C714),"",'ENGAGEMENTS 2026'!G714)</f>
        <v/>
      </c>
      <c r="E714">
        <f>IF(ISBLANK('ENGAGEMENTS 2026'!C714),"",'ENGAGEMENTS 2026'!I714)</f>
        <v/>
      </c>
      <c r="F714">
        <f>IF(ISBLANK('ENGAGEMENTS 2026'!C714),"",'ENGAGEMENTS 2026'!J714)</f>
        <v/>
      </c>
      <c r="G714">
        <f>IF(ISBLANK('ENGAGEMENTS 2026'!C714),"",'ENGAGEMENTS 2026'!M714)</f>
        <v/>
      </c>
      <c r="H714">
        <f>IF(ISBLANK('ENGAGEMENTS 2026'!C714),"",'ENGAGEMENTS 2026'!AF714)</f>
        <v/>
      </c>
      <c r="I714">
        <f>IF(ISBLANK('ENGAGEMENTS 2026'!C714),"",'ENGAGEMENTS 2026'!H714)</f>
        <v/>
      </c>
      <c r="J714" s="275">
        <f>IF(ISBLANK('ENGAGEMENTS 2026'!C714),"",IF(AND(OR($E714="INFRUCTUEUX",$E714="ANNULE"),$C714="AOO-M"),'ENGAGEMENTS 2026'!P714,IF($H714="EN COURS DE PREENGAGEMENT",'ENGAGEMENTS 2026'!O714,IF($H714="PREENGAGE",IF($E714="ATTRIBUE",'ENGAGEMENTS 2026'!AE714,'ENGAGEMENTS 2026'!O714),'ENGAGEMENTS 2026'!AE714))))</f>
        <v/>
      </c>
      <c r="K714" s="604">
        <f>IF(ISBLANK('ENGAGEMENTS 2026'!W714),"",'ENGAGEMENTS 2026'!W714)</f>
        <v/>
      </c>
      <c r="L714" s="276">
        <f>IF($K714="","",TODAY()-$K714)</f>
        <v/>
      </c>
      <c r="M714">
        <f>IF($A714="","",IF($H714="ENGAGE","Engagé",IF(AND($H714="NON ENGAGE",OR($I714="INFRUCTUEUX",$I714="ANNULE")),"Clôturé sans suite","En cours")))</f>
        <v/>
      </c>
      <c r="N714">
        <f>IF(ISBLANK('ENGAGEMENTS 2026'!C714),"",'ENGAGEMENTS 2026'!L714)</f>
        <v/>
      </c>
      <c r="O714">
        <f>IF(ISBLANK('ENGAGEMENTS 2026'!C714),"",'ENGAGEMENTS 2026'!M714)</f>
        <v/>
      </c>
      <c r="P714">
        <f>IF(ISBLANK('ENGAGEMENTS 2026'!C714),"",'ENGAGEMENTS 2026'!K714)</f>
        <v/>
      </c>
      <c r="Q714">
        <f>IF($A714="","",IF(OR($E714="INFRUCTUEUX",$E714="ANNULE"),$A714&amp;"|"&amp;(COUNTIFS($A$2:$A714,$A714,$E$2:$E714,"INFRUCTUEUX")+COUNTIFS($A$2:$A714,$A714,$E$2:$E714,"ANNULE")),""))</f>
        <v/>
      </c>
    </row>
    <row r="715">
      <c r="A715">
        <f>IF(ISBLANK('ENGAGEMENTS 2026'!C715),"",IF('ENGAGEMENTS 2026'!C715="DTSI","DCT",'ENGAGEMENTS 2026'!C715))</f>
        <v/>
      </c>
      <c r="B715">
        <f>IF(ISBLANK('ENGAGEMENTS 2026'!C715),"",'ENGAGEMENTS 2026'!D715)</f>
        <v/>
      </c>
      <c r="C715">
        <f>IF(ISBLANK('ENGAGEMENTS 2026'!C715),"",'ENGAGEMENTS 2026'!E715)</f>
        <v/>
      </c>
      <c r="D715">
        <f>IF(ISBLANK('ENGAGEMENTS 2026'!C715),"",'ENGAGEMENTS 2026'!G715)</f>
        <v/>
      </c>
      <c r="E715">
        <f>IF(ISBLANK('ENGAGEMENTS 2026'!C715),"",'ENGAGEMENTS 2026'!I715)</f>
        <v/>
      </c>
      <c r="F715">
        <f>IF(ISBLANK('ENGAGEMENTS 2026'!C715),"",'ENGAGEMENTS 2026'!J715)</f>
        <v/>
      </c>
      <c r="G715">
        <f>IF(ISBLANK('ENGAGEMENTS 2026'!C715),"",'ENGAGEMENTS 2026'!M715)</f>
        <v/>
      </c>
      <c r="H715">
        <f>IF(ISBLANK('ENGAGEMENTS 2026'!C715),"",'ENGAGEMENTS 2026'!AF715)</f>
        <v/>
      </c>
      <c r="I715">
        <f>IF(ISBLANK('ENGAGEMENTS 2026'!C715),"",'ENGAGEMENTS 2026'!H715)</f>
        <v/>
      </c>
      <c r="J715" s="275">
        <f>IF(ISBLANK('ENGAGEMENTS 2026'!C715),"",IF(AND(OR($E715="INFRUCTUEUX",$E715="ANNULE"),$C715="AOO-M"),'ENGAGEMENTS 2026'!P715,IF($H715="EN COURS DE PREENGAGEMENT",'ENGAGEMENTS 2026'!O715,IF($H715="PREENGAGE",IF($E715="ATTRIBUE",'ENGAGEMENTS 2026'!AE715,'ENGAGEMENTS 2026'!O715),'ENGAGEMENTS 2026'!AE715))))</f>
        <v/>
      </c>
      <c r="K715" s="604">
        <f>IF(ISBLANK('ENGAGEMENTS 2026'!W715),"",'ENGAGEMENTS 2026'!W715)</f>
        <v/>
      </c>
      <c r="L715" s="276">
        <f>IF($K715="","",TODAY()-$K715)</f>
        <v/>
      </c>
      <c r="M715">
        <f>IF($A715="","",IF($H715="ENGAGE","Engagé",IF(AND($H715="NON ENGAGE",OR($I715="INFRUCTUEUX",$I715="ANNULE")),"Clôturé sans suite","En cours")))</f>
        <v/>
      </c>
      <c r="N715">
        <f>IF(ISBLANK('ENGAGEMENTS 2026'!C715),"",'ENGAGEMENTS 2026'!L715)</f>
        <v/>
      </c>
      <c r="O715">
        <f>IF(ISBLANK('ENGAGEMENTS 2026'!C715),"",'ENGAGEMENTS 2026'!M715)</f>
        <v/>
      </c>
      <c r="P715">
        <f>IF(ISBLANK('ENGAGEMENTS 2026'!C715),"",'ENGAGEMENTS 2026'!K715)</f>
        <v/>
      </c>
      <c r="Q715">
        <f>IF($A715="","",IF(OR($E715="INFRUCTUEUX",$E715="ANNULE"),$A715&amp;"|"&amp;(COUNTIFS($A$2:$A715,$A715,$E$2:$E715,"INFRUCTUEUX")+COUNTIFS($A$2:$A715,$A715,$E$2:$E715,"ANNULE")),""))</f>
        <v/>
      </c>
    </row>
    <row r="716">
      <c r="A716">
        <f>IF(ISBLANK('ENGAGEMENTS 2026'!C716),"",IF('ENGAGEMENTS 2026'!C716="DTSI","DCT",'ENGAGEMENTS 2026'!C716))</f>
        <v/>
      </c>
      <c r="B716">
        <f>IF(ISBLANK('ENGAGEMENTS 2026'!C716),"",'ENGAGEMENTS 2026'!D716)</f>
        <v/>
      </c>
      <c r="C716">
        <f>IF(ISBLANK('ENGAGEMENTS 2026'!C716),"",'ENGAGEMENTS 2026'!E716)</f>
        <v/>
      </c>
      <c r="D716">
        <f>IF(ISBLANK('ENGAGEMENTS 2026'!C716),"",'ENGAGEMENTS 2026'!G716)</f>
        <v/>
      </c>
      <c r="E716">
        <f>IF(ISBLANK('ENGAGEMENTS 2026'!C716),"",'ENGAGEMENTS 2026'!I716)</f>
        <v/>
      </c>
      <c r="F716">
        <f>IF(ISBLANK('ENGAGEMENTS 2026'!C716),"",'ENGAGEMENTS 2026'!J716)</f>
        <v/>
      </c>
      <c r="G716">
        <f>IF(ISBLANK('ENGAGEMENTS 2026'!C716),"",'ENGAGEMENTS 2026'!M716)</f>
        <v/>
      </c>
      <c r="H716">
        <f>IF(ISBLANK('ENGAGEMENTS 2026'!C716),"",'ENGAGEMENTS 2026'!AF716)</f>
        <v/>
      </c>
      <c r="I716">
        <f>IF(ISBLANK('ENGAGEMENTS 2026'!C716),"",'ENGAGEMENTS 2026'!H716)</f>
        <v/>
      </c>
      <c r="J716" s="275">
        <f>IF(ISBLANK('ENGAGEMENTS 2026'!C716),"",IF(AND(OR($E716="INFRUCTUEUX",$E716="ANNULE"),$C716="AOO-M"),'ENGAGEMENTS 2026'!P716,IF($H716="EN COURS DE PREENGAGEMENT",'ENGAGEMENTS 2026'!O716,IF($H716="PREENGAGE",IF($E716="ATTRIBUE",'ENGAGEMENTS 2026'!AE716,'ENGAGEMENTS 2026'!O716),'ENGAGEMENTS 2026'!AE716))))</f>
        <v/>
      </c>
      <c r="K716" s="604">
        <f>IF(ISBLANK('ENGAGEMENTS 2026'!W716),"",'ENGAGEMENTS 2026'!W716)</f>
        <v/>
      </c>
      <c r="L716" s="276">
        <f>IF($K716="","",TODAY()-$K716)</f>
        <v/>
      </c>
      <c r="M716">
        <f>IF($A716="","",IF($H716="ENGAGE","Engagé",IF(AND($H716="NON ENGAGE",OR($I716="INFRUCTUEUX",$I716="ANNULE")),"Clôturé sans suite","En cours")))</f>
        <v/>
      </c>
      <c r="N716">
        <f>IF(ISBLANK('ENGAGEMENTS 2026'!C716),"",'ENGAGEMENTS 2026'!L716)</f>
        <v/>
      </c>
      <c r="O716">
        <f>IF(ISBLANK('ENGAGEMENTS 2026'!C716),"",'ENGAGEMENTS 2026'!M716)</f>
        <v/>
      </c>
      <c r="P716">
        <f>IF(ISBLANK('ENGAGEMENTS 2026'!C716),"",'ENGAGEMENTS 2026'!K716)</f>
        <v/>
      </c>
      <c r="Q716">
        <f>IF($A716="","",IF(OR($E716="INFRUCTUEUX",$E716="ANNULE"),$A716&amp;"|"&amp;(COUNTIFS($A$2:$A716,$A716,$E$2:$E716,"INFRUCTUEUX")+COUNTIFS($A$2:$A716,$A716,$E$2:$E716,"ANNULE")),""))</f>
        <v/>
      </c>
    </row>
    <row r="717">
      <c r="A717">
        <f>IF(ISBLANK('ENGAGEMENTS 2026'!C717),"",IF('ENGAGEMENTS 2026'!C717="DTSI","DCT",'ENGAGEMENTS 2026'!C717))</f>
        <v/>
      </c>
      <c r="B717">
        <f>IF(ISBLANK('ENGAGEMENTS 2026'!C717),"",'ENGAGEMENTS 2026'!D717)</f>
        <v/>
      </c>
      <c r="C717">
        <f>IF(ISBLANK('ENGAGEMENTS 2026'!C717),"",'ENGAGEMENTS 2026'!E717)</f>
        <v/>
      </c>
      <c r="D717">
        <f>IF(ISBLANK('ENGAGEMENTS 2026'!C717),"",'ENGAGEMENTS 2026'!G717)</f>
        <v/>
      </c>
      <c r="E717">
        <f>IF(ISBLANK('ENGAGEMENTS 2026'!C717),"",'ENGAGEMENTS 2026'!I717)</f>
        <v/>
      </c>
      <c r="F717">
        <f>IF(ISBLANK('ENGAGEMENTS 2026'!C717),"",'ENGAGEMENTS 2026'!J717)</f>
        <v/>
      </c>
      <c r="G717">
        <f>IF(ISBLANK('ENGAGEMENTS 2026'!C717),"",'ENGAGEMENTS 2026'!M717)</f>
        <v/>
      </c>
      <c r="H717">
        <f>IF(ISBLANK('ENGAGEMENTS 2026'!C717),"",'ENGAGEMENTS 2026'!AF717)</f>
        <v/>
      </c>
      <c r="I717">
        <f>IF(ISBLANK('ENGAGEMENTS 2026'!C717),"",'ENGAGEMENTS 2026'!H717)</f>
        <v/>
      </c>
      <c r="J717" s="275">
        <f>IF(ISBLANK('ENGAGEMENTS 2026'!C717),"",IF(AND(OR($E717="INFRUCTUEUX",$E717="ANNULE"),$C717="AOO-M"),'ENGAGEMENTS 2026'!P717,IF($H717="EN COURS DE PREENGAGEMENT",'ENGAGEMENTS 2026'!O717,IF($H717="PREENGAGE",IF($E717="ATTRIBUE",'ENGAGEMENTS 2026'!AE717,'ENGAGEMENTS 2026'!O717),'ENGAGEMENTS 2026'!AE717))))</f>
        <v/>
      </c>
      <c r="K717" s="604">
        <f>IF(ISBLANK('ENGAGEMENTS 2026'!W717),"",'ENGAGEMENTS 2026'!W717)</f>
        <v/>
      </c>
      <c r="L717" s="276">
        <f>IF($K717="","",TODAY()-$K717)</f>
        <v/>
      </c>
      <c r="M717">
        <f>IF($A717="","",IF($H717="ENGAGE","Engagé",IF(AND($H717="NON ENGAGE",OR($I717="INFRUCTUEUX",$I717="ANNULE")),"Clôturé sans suite","En cours")))</f>
        <v/>
      </c>
      <c r="N717">
        <f>IF(ISBLANK('ENGAGEMENTS 2026'!C717),"",'ENGAGEMENTS 2026'!L717)</f>
        <v/>
      </c>
      <c r="O717">
        <f>IF(ISBLANK('ENGAGEMENTS 2026'!C717),"",'ENGAGEMENTS 2026'!M717)</f>
        <v/>
      </c>
      <c r="P717">
        <f>IF(ISBLANK('ENGAGEMENTS 2026'!C717),"",'ENGAGEMENTS 2026'!K717)</f>
        <v/>
      </c>
      <c r="Q717">
        <f>IF($A717="","",IF(OR($E717="INFRUCTUEUX",$E717="ANNULE"),$A717&amp;"|"&amp;(COUNTIFS($A$2:$A717,$A717,$E$2:$E717,"INFRUCTUEUX")+COUNTIFS($A$2:$A717,$A717,$E$2:$E717,"ANNULE")),""))</f>
        <v/>
      </c>
    </row>
    <row r="718">
      <c r="A718">
        <f>IF(ISBLANK('ENGAGEMENTS 2026'!C718),"",IF('ENGAGEMENTS 2026'!C718="DTSI","DCT",'ENGAGEMENTS 2026'!C718))</f>
        <v/>
      </c>
      <c r="B718">
        <f>IF(ISBLANK('ENGAGEMENTS 2026'!C718),"",'ENGAGEMENTS 2026'!D718)</f>
        <v/>
      </c>
      <c r="C718">
        <f>IF(ISBLANK('ENGAGEMENTS 2026'!C718),"",'ENGAGEMENTS 2026'!E718)</f>
        <v/>
      </c>
      <c r="D718">
        <f>IF(ISBLANK('ENGAGEMENTS 2026'!C718),"",'ENGAGEMENTS 2026'!G718)</f>
        <v/>
      </c>
      <c r="E718">
        <f>IF(ISBLANK('ENGAGEMENTS 2026'!C718),"",'ENGAGEMENTS 2026'!I718)</f>
        <v/>
      </c>
      <c r="F718">
        <f>IF(ISBLANK('ENGAGEMENTS 2026'!C718),"",'ENGAGEMENTS 2026'!J718)</f>
        <v/>
      </c>
      <c r="G718">
        <f>IF(ISBLANK('ENGAGEMENTS 2026'!C718),"",'ENGAGEMENTS 2026'!M718)</f>
        <v/>
      </c>
      <c r="H718">
        <f>IF(ISBLANK('ENGAGEMENTS 2026'!C718),"",'ENGAGEMENTS 2026'!AF718)</f>
        <v/>
      </c>
      <c r="I718">
        <f>IF(ISBLANK('ENGAGEMENTS 2026'!C718),"",'ENGAGEMENTS 2026'!H718)</f>
        <v/>
      </c>
      <c r="J718" s="275">
        <f>IF(ISBLANK('ENGAGEMENTS 2026'!C718),"",IF(AND(OR($E718="INFRUCTUEUX",$E718="ANNULE"),$C718="AOO-M"),'ENGAGEMENTS 2026'!P718,IF($H718="EN COURS DE PREENGAGEMENT",'ENGAGEMENTS 2026'!O718,IF($H718="PREENGAGE",IF($E718="ATTRIBUE",'ENGAGEMENTS 2026'!AE718,'ENGAGEMENTS 2026'!O718),'ENGAGEMENTS 2026'!AE718))))</f>
        <v/>
      </c>
      <c r="K718" s="604">
        <f>IF(ISBLANK('ENGAGEMENTS 2026'!W718),"",'ENGAGEMENTS 2026'!W718)</f>
        <v/>
      </c>
      <c r="L718" s="276">
        <f>IF($K718="","",TODAY()-$K718)</f>
        <v/>
      </c>
      <c r="M718">
        <f>IF($A718="","",IF($H718="ENGAGE","Engagé",IF(AND($H718="NON ENGAGE",OR($I718="INFRUCTUEUX",$I718="ANNULE")),"Clôturé sans suite","En cours")))</f>
        <v/>
      </c>
      <c r="N718">
        <f>IF(ISBLANK('ENGAGEMENTS 2026'!C718),"",'ENGAGEMENTS 2026'!L718)</f>
        <v/>
      </c>
      <c r="O718">
        <f>IF(ISBLANK('ENGAGEMENTS 2026'!C718),"",'ENGAGEMENTS 2026'!M718)</f>
        <v/>
      </c>
      <c r="P718">
        <f>IF(ISBLANK('ENGAGEMENTS 2026'!C718),"",'ENGAGEMENTS 2026'!K718)</f>
        <v/>
      </c>
      <c r="Q718">
        <f>IF($A718="","",IF(OR($E718="INFRUCTUEUX",$E718="ANNULE"),$A718&amp;"|"&amp;(COUNTIFS($A$2:$A718,$A718,$E$2:$E718,"INFRUCTUEUX")+COUNTIFS($A$2:$A718,$A718,$E$2:$E718,"ANNULE")),""))</f>
        <v/>
      </c>
    </row>
    <row r="719">
      <c r="A719">
        <f>IF(ISBLANK('ENGAGEMENTS 2026'!C719),"",IF('ENGAGEMENTS 2026'!C719="DTSI","DCT",'ENGAGEMENTS 2026'!C719))</f>
        <v/>
      </c>
      <c r="B719">
        <f>IF(ISBLANK('ENGAGEMENTS 2026'!C719),"",'ENGAGEMENTS 2026'!D719)</f>
        <v/>
      </c>
      <c r="C719">
        <f>IF(ISBLANK('ENGAGEMENTS 2026'!C719),"",'ENGAGEMENTS 2026'!E719)</f>
        <v/>
      </c>
      <c r="D719">
        <f>IF(ISBLANK('ENGAGEMENTS 2026'!C719),"",'ENGAGEMENTS 2026'!G719)</f>
        <v/>
      </c>
      <c r="E719">
        <f>IF(ISBLANK('ENGAGEMENTS 2026'!C719),"",'ENGAGEMENTS 2026'!I719)</f>
        <v/>
      </c>
      <c r="F719">
        <f>IF(ISBLANK('ENGAGEMENTS 2026'!C719),"",'ENGAGEMENTS 2026'!J719)</f>
        <v/>
      </c>
      <c r="G719">
        <f>IF(ISBLANK('ENGAGEMENTS 2026'!C719),"",'ENGAGEMENTS 2026'!M719)</f>
        <v/>
      </c>
      <c r="H719">
        <f>IF(ISBLANK('ENGAGEMENTS 2026'!C719),"",'ENGAGEMENTS 2026'!AF719)</f>
        <v/>
      </c>
      <c r="I719">
        <f>IF(ISBLANK('ENGAGEMENTS 2026'!C719),"",'ENGAGEMENTS 2026'!H719)</f>
        <v/>
      </c>
      <c r="J719" s="275">
        <f>IF(ISBLANK('ENGAGEMENTS 2026'!C719),"",IF(AND(OR($E719="INFRUCTUEUX",$E719="ANNULE"),$C719="AOO-M"),'ENGAGEMENTS 2026'!P719,IF($H719="EN COURS DE PREENGAGEMENT",'ENGAGEMENTS 2026'!O719,IF($H719="PREENGAGE",IF($E719="ATTRIBUE",'ENGAGEMENTS 2026'!AE719,'ENGAGEMENTS 2026'!O719),'ENGAGEMENTS 2026'!AE719))))</f>
        <v/>
      </c>
      <c r="K719" s="604">
        <f>IF(ISBLANK('ENGAGEMENTS 2026'!W719),"",'ENGAGEMENTS 2026'!W719)</f>
        <v/>
      </c>
      <c r="L719" s="276">
        <f>IF($K719="","",TODAY()-$K719)</f>
        <v/>
      </c>
      <c r="M719">
        <f>IF($A719="","",IF($H719="ENGAGE","Engagé",IF(AND($H719="NON ENGAGE",OR($I719="INFRUCTUEUX",$I719="ANNULE")),"Clôturé sans suite","En cours")))</f>
        <v/>
      </c>
      <c r="N719">
        <f>IF(ISBLANK('ENGAGEMENTS 2026'!C719),"",'ENGAGEMENTS 2026'!L719)</f>
        <v/>
      </c>
      <c r="O719">
        <f>IF(ISBLANK('ENGAGEMENTS 2026'!C719),"",'ENGAGEMENTS 2026'!M719)</f>
        <v/>
      </c>
      <c r="P719">
        <f>IF(ISBLANK('ENGAGEMENTS 2026'!C719),"",'ENGAGEMENTS 2026'!K719)</f>
        <v/>
      </c>
      <c r="Q719">
        <f>IF($A719="","",IF(OR($E719="INFRUCTUEUX",$E719="ANNULE"),$A719&amp;"|"&amp;(COUNTIFS($A$2:$A719,$A719,$E$2:$E719,"INFRUCTUEUX")+COUNTIFS($A$2:$A719,$A719,$E$2:$E719,"ANNULE")),""))</f>
        <v/>
      </c>
    </row>
    <row r="720">
      <c r="A720">
        <f>IF(ISBLANK('ENGAGEMENTS 2026'!C720),"",IF('ENGAGEMENTS 2026'!C720="DTSI","DCT",'ENGAGEMENTS 2026'!C720))</f>
        <v/>
      </c>
      <c r="B720">
        <f>IF(ISBLANK('ENGAGEMENTS 2026'!C720),"",'ENGAGEMENTS 2026'!D720)</f>
        <v/>
      </c>
      <c r="C720">
        <f>IF(ISBLANK('ENGAGEMENTS 2026'!C720),"",'ENGAGEMENTS 2026'!E720)</f>
        <v/>
      </c>
      <c r="D720">
        <f>IF(ISBLANK('ENGAGEMENTS 2026'!C720),"",'ENGAGEMENTS 2026'!G720)</f>
        <v/>
      </c>
      <c r="E720">
        <f>IF(ISBLANK('ENGAGEMENTS 2026'!C720),"",'ENGAGEMENTS 2026'!I720)</f>
        <v/>
      </c>
      <c r="F720">
        <f>IF(ISBLANK('ENGAGEMENTS 2026'!C720),"",'ENGAGEMENTS 2026'!J720)</f>
        <v/>
      </c>
      <c r="G720">
        <f>IF(ISBLANK('ENGAGEMENTS 2026'!C720),"",'ENGAGEMENTS 2026'!M720)</f>
        <v/>
      </c>
      <c r="H720">
        <f>IF(ISBLANK('ENGAGEMENTS 2026'!C720),"",'ENGAGEMENTS 2026'!AF720)</f>
        <v/>
      </c>
      <c r="I720">
        <f>IF(ISBLANK('ENGAGEMENTS 2026'!C720),"",'ENGAGEMENTS 2026'!H720)</f>
        <v/>
      </c>
      <c r="J720" s="275">
        <f>IF(ISBLANK('ENGAGEMENTS 2026'!C720),"",IF(AND(OR($E720="INFRUCTUEUX",$E720="ANNULE"),$C720="AOO-M"),'ENGAGEMENTS 2026'!P720,IF($H720="EN COURS DE PREENGAGEMENT",'ENGAGEMENTS 2026'!O720,IF($H720="PREENGAGE",IF($E720="ATTRIBUE",'ENGAGEMENTS 2026'!AE720,'ENGAGEMENTS 2026'!O720),'ENGAGEMENTS 2026'!AE720))))</f>
        <v/>
      </c>
      <c r="K720" s="604">
        <f>IF(ISBLANK('ENGAGEMENTS 2026'!W720),"",'ENGAGEMENTS 2026'!W720)</f>
        <v/>
      </c>
      <c r="L720" s="276">
        <f>IF($K720="","",TODAY()-$K720)</f>
        <v/>
      </c>
      <c r="M720">
        <f>IF($A720="","",IF($H720="ENGAGE","Engagé",IF(AND($H720="NON ENGAGE",OR($I720="INFRUCTUEUX",$I720="ANNULE")),"Clôturé sans suite","En cours")))</f>
        <v/>
      </c>
      <c r="N720">
        <f>IF(ISBLANK('ENGAGEMENTS 2026'!C720),"",'ENGAGEMENTS 2026'!L720)</f>
        <v/>
      </c>
      <c r="O720">
        <f>IF(ISBLANK('ENGAGEMENTS 2026'!C720),"",'ENGAGEMENTS 2026'!M720)</f>
        <v/>
      </c>
      <c r="P720">
        <f>IF(ISBLANK('ENGAGEMENTS 2026'!C720),"",'ENGAGEMENTS 2026'!K720)</f>
        <v/>
      </c>
      <c r="Q720">
        <f>IF($A720="","",IF(OR($E720="INFRUCTUEUX",$E720="ANNULE"),$A720&amp;"|"&amp;(COUNTIFS($A$2:$A720,$A720,$E$2:$E720,"INFRUCTUEUX")+COUNTIFS($A$2:$A720,$A720,$E$2:$E720,"ANNULE")),""))</f>
        <v/>
      </c>
    </row>
    <row r="721">
      <c r="A721">
        <f>IF(ISBLANK('ENGAGEMENTS 2026'!C721),"",IF('ENGAGEMENTS 2026'!C721="DTSI","DCT",'ENGAGEMENTS 2026'!C721))</f>
        <v/>
      </c>
      <c r="B721">
        <f>IF(ISBLANK('ENGAGEMENTS 2026'!C721),"",'ENGAGEMENTS 2026'!D721)</f>
        <v/>
      </c>
      <c r="C721">
        <f>IF(ISBLANK('ENGAGEMENTS 2026'!C721),"",'ENGAGEMENTS 2026'!E721)</f>
        <v/>
      </c>
      <c r="D721">
        <f>IF(ISBLANK('ENGAGEMENTS 2026'!C721),"",'ENGAGEMENTS 2026'!G721)</f>
        <v/>
      </c>
      <c r="E721">
        <f>IF(ISBLANK('ENGAGEMENTS 2026'!C721),"",'ENGAGEMENTS 2026'!I721)</f>
        <v/>
      </c>
      <c r="F721">
        <f>IF(ISBLANK('ENGAGEMENTS 2026'!C721),"",'ENGAGEMENTS 2026'!J721)</f>
        <v/>
      </c>
      <c r="G721">
        <f>IF(ISBLANK('ENGAGEMENTS 2026'!C721),"",'ENGAGEMENTS 2026'!M721)</f>
        <v/>
      </c>
      <c r="H721">
        <f>IF(ISBLANK('ENGAGEMENTS 2026'!C721),"",'ENGAGEMENTS 2026'!AF721)</f>
        <v/>
      </c>
      <c r="I721">
        <f>IF(ISBLANK('ENGAGEMENTS 2026'!C721),"",'ENGAGEMENTS 2026'!H721)</f>
        <v/>
      </c>
      <c r="J721" s="275">
        <f>IF(ISBLANK('ENGAGEMENTS 2026'!C721),"",IF(AND(OR($E721="INFRUCTUEUX",$E721="ANNULE"),$C721="AOO-M"),'ENGAGEMENTS 2026'!P721,IF($H721="EN COURS DE PREENGAGEMENT",'ENGAGEMENTS 2026'!O721,IF($H721="PREENGAGE",IF($E721="ATTRIBUE",'ENGAGEMENTS 2026'!AE721,'ENGAGEMENTS 2026'!O721),'ENGAGEMENTS 2026'!AE721))))</f>
        <v/>
      </c>
      <c r="K721" s="604">
        <f>IF(ISBLANK('ENGAGEMENTS 2026'!W721),"",'ENGAGEMENTS 2026'!W721)</f>
        <v/>
      </c>
      <c r="L721" s="276">
        <f>IF($K721="","",TODAY()-$K721)</f>
        <v/>
      </c>
      <c r="M721">
        <f>IF($A721="","",IF($H721="ENGAGE","Engagé",IF(AND($H721="NON ENGAGE",OR($I721="INFRUCTUEUX",$I721="ANNULE")),"Clôturé sans suite","En cours")))</f>
        <v/>
      </c>
      <c r="N721">
        <f>IF(ISBLANK('ENGAGEMENTS 2026'!C721),"",'ENGAGEMENTS 2026'!L721)</f>
        <v/>
      </c>
      <c r="O721">
        <f>IF(ISBLANK('ENGAGEMENTS 2026'!C721),"",'ENGAGEMENTS 2026'!M721)</f>
        <v/>
      </c>
      <c r="P721">
        <f>IF(ISBLANK('ENGAGEMENTS 2026'!C721),"",'ENGAGEMENTS 2026'!K721)</f>
        <v/>
      </c>
      <c r="Q721">
        <f>IF($A721="","",IF(OR($E721="INFRUCTUEUX",$E721="ANNULE"),$A721&amp;"|"&amp;(COUNTIFS($A$2:$A721,$A721,$E$2:$E721,"INFRUCTUEUX")+COUNTIFS($A$2:$A721,$A721,$E$2:$E721,"ANNULE")),""))</f>
        <v/>
      </c>
    </row>
    <row r="722">
      <c r="A722">
        <f>IF(ISBLANK('ENGAGEMENTS 2026'!C722),"",IF('ENGAGEMENTS 2026'!C722="DTSI","DCT",'ENGAGEMENTS 2026'!C722))</f>
        <v/>
      </c>
      <c r="B722">
        <f>IF(ISBLANK('ENGAGEMENTS 2026'!C722),"",'ENGAGEMENTS 2026'!D722)</f>
        <v/>
      </c>
      <c r="C722">
        <f>IF(ISBLANK('ENGAGEMENTS 2026'!C722),"",'ENGAGEMENTS 2026'!E722)</f>
        <v/>
      </c>
      <c r="D722">
        <f>IF(ISBLANK('ENGAGEMENTS 2026'!C722),"",'ENGAGEMENTS 2026'!G722)</f>
        <v/>
      </c>
      <c r="E722">
        <f>IF(ISBLANK('ENGAGEMENTS 2026'!C722),"",'ENGAGEMENTS 2026'!I722)</f>
        <v/>
      </c>
      <c r="F722">
        <f>IF(ISBLANK('ENGAGEMENTS 2026'!C722),"",'ENGAGEMENTS 2026'!J722)</f>
        <v/>
      </c>
      <c r="G722">
        <f>IF(ISBLANK('ENGAGEMENTS 2026'!C722),"",'ENGAGEMENTS 2026'!M722)</f>
        <v/>
      </c>
      <c r="H722">
        <f>IF(ISBLANK('ENGAGEMENTS 2026'!C722),"",'ENGAGEMENTS 2026'!AF722)</f>
        <v/>
      </c>
      <c r="I722">
        <f>IF(ISBLANK('ENGAGEMENTS 2026'!C722),"",'ENGAGEMENTS 2026'!H722)</f>
        <v/>
      </c>
      <c r="J722" s="275">
        <f>IF(ISBLANK('ENGAGEMENTS 2026'!C722),"",IF(AND(OR($E722="INFRUCTUEUX",$E722="ANNULE"),$C722="AOO-M"),'ENGAGEMENTS 2026'!P722,IF($H722="EN COURS DE PREENGAGEMENT",'ENGAGEMENTS 2026'!O722,IF($H722="PREENGAGE",IF($E722="ATTRIBUE",'ENGAGEMENTS 2026'!AE722,'ENGAGEMENTS 2026'!O722),'ENGAGEMENTS 2026'!AE722))))</f>
        <v/>
      </c>
      <c r="K722" s="604">
        <f>IF(ISBLANK('ENGAGEMENTS 2026'!W722),"",'ENGAGEMENTS 2026'!W722)</f>
        <v/>
      </c>
      <c r="L722" s="276">
        <f>IF($K722="","",TODAY()-$K722)</f>
        <v/>
      </c>
      <c r="M722">
        <f>IF($A722="","",IF($H722="ENGAGE","Engagé",IF(AND($H722="NON ENGAGE",OR($I722="INFRUCTUEUX",$I722="ANNULE")),"Clôturé sans suite","En cours")))</f>
        <v/>
      </c>
      <c r="N722">
        <f>IF(ISBLANK('ENGAGEMENTS 2026'!C722),"",'ENGAGEMENTS 2026'!L722)</f>
        <v/>
      </c>
      <c r="O722">
        <f>IF(ISBLANK('ENGAGEMENTS 2026'!C722),"",'ENGAGEMENTS 2026'!M722)</f>
        <v/>
      </c>
      <c r="P722">
        <f>IF(ISBLANK('ENGAGEMENTS 2026'!C722),"",'ENGAGEMENTS 2026'!K722)</f>
        <v/>
      </c>
      <c r="Q722">
        <f>IF($A722="","",IF(OR($E722="INFRUCTUEUX",$E722="ANNULE"),$A722&amp;"|"&amp;(COUNTIFS($A$2:$A722,$A722,$E$2:$E722,"INFRUCTUEUX")+COUNTIFS($A$2:$A722,$A722,$E$2:$E722,"ANNULE")),""))</f>
        <v/>
      </c>
    </row>
    <row r="723">
      <c r="A723">
        <f>IF(ISBLANK('ENGAGEMENTS 2026'!C723),"",IF('ENGAGEMENTS 2026'!C723="DTSI","DCT",'ENGAGEMENTS 2026'!C723))</f>
        <v/>
      </c>
      <c r="B723">
        <f>IF(ISBLANK('ENGAGEMENTS 2026'!C723),"",'ENGAGEMENTS 2026'!D723)</f>
        <v/>
      </c>
      <c r="C723">
        <f>IF(ISBLANK('ENGAGEMENTS 2026'!C723),"",'ENGAGEMENTS 2026'!E723)</f>
        <v/>
      </c>
      <c r="D723">
        <f>IF(ISBLANK('ENGAGEMENTS 2026'!C723),"",'ENGAGEMENTS 2026'!G723)</f>
        <v/>
      </c>
      <c r="E723">
        <f>IF(ISBLANK('ENGAGEMENTS 2026'!C723),"",'ENGAGEMENTS 2026'!I723)</f>
        <v/>
      </c>
      <c r="F723">
        <f>IF(ISBLANK('ENGAGEMENTS 2026'!C723),"",'ENGAGEMENTS 2026'!J723)</f>
        <v/>
      </c>
      <c r="G723">
        <f>IF(ISBLANK('ENGAGEMENTS 2026'!C723),"",'ENGAGEMENTS 2026'!M723)</f>
        <v/>
      </c>
      <c r="H723">
        <f>IF(ISBLANK('ENGAGEMENTS 2026'!C723),"",'ENGAGEMENTS 2026'!AF723)</f>
        <v/>
      </c>
      <c r="I723">
        <f>IF(ISBLANK('ENGAGEMENTS 2026'!C723),"",'ENGAGEMENTS 2026'!H723)</f>
        <v/>
      </c>
      <c r="J723" s="275">
        <f>IF(ISBLANK('ENGAGEMENTS 2026'!C723),"",IF(AND(OR($E723="INFRUCTUEUX",$E723="ANNULE"),$C723="AOO-M"),'ENGAGEMENTS 2026'!P723,IF($H723="EN COURS DE PREENGAGEMENT",'ENGAGEMENTS 2026'!O723,IF($H723="PREENGAGE",IF($E723="ATTRIBUE",'ENGAGEMENTS 2026'!AE723,'ENGAGEMENTS 2026'!O723),'ENGAGEMENTS 2026'!AE723))))</f>
        <v/>
      </c>
      <c r="K723" s="604">
        <f>IF(ISBLANK('ENGAGEMENTS 2026'!W723),"",'ENGAGEMENTS 2026'!W723)</f>
        <v/>
      </c>
      <c r="L723" s="276">
        <f>IF($K723="","",TODAY()-$K723)</f>
        <v/>
      </c>
      <c r="M723">
        <f>IF($A723="","",IF($H723="ENGAGE","Engagé",IF(AND($H723="NON ENGAGE",OR($I723="INFRUCTUEUX",$I723="ANNULE")),"Clôturé sans suite","En cours")))</f>
        <v/>
      </c>
      <c r="N723">
        <f>IF(ISBLANK('ENGAGEMENTS 2026'!C723),"",'ENGAGEMENTS 2026'!L723)</f>
        <v/>
      </c>
      <c r="O723">
        <f>IF(ISBLANK('ENGAGEMENTS 2026'!C723),"",'ENGAGEMENTS 2026'!M723)</f>
        <v/>
      </c>
      <c r="P723">
        <f>IF(ISBLANK('ENGAGEMENTS 2026'!C723),"",'ENGAGEMENTS 2026'!K723)</f>
        <v/>
      </c>
      <c r="Q723">
        <f>IF($A723="","",IF(OR($E723="INFRUCTUEUX",$E723="ANNULE"),$A723&amp;"|"&amp;(COUNTIFS($A$2:$A723,$A723,$E$2:$E723,"INFRUCTUEUX")+COUNTIFS($A$2:$A723,$A723,$E$2:$E723,"ANNULE")),""))</f>
        <v/>
      </c>
    </row>
    <row r="724">
      <c r="A724">
        <f>IF(ISBLANK('ENGAGEMENTS 2026'!C724),"",IF('ENGAGEMENTS 2026'!C724="DTSI","DCT",'ENGAGEMENTS 2026'!C724))</f>
        <v/>
      </c>
      <c r="B724">
        <f>IF(ISBLANK('ENGAGEMENTS 2026'!C724),"",'ENGAGEMENTS 2026'!D724)</f>
        <v/>
      </c>
      <c r="C724">
        <f>IF(ISBLANK('ENGAGEMENTS 2026'!C724),"",'ENGAGEMENTS 2026'!E724)</f>
        <v/>
      </c>
      <c r="D724">
        <f>IF(ISBLANK('ENGAGEMENTS 2026'!C724),"",'ENGAGEMENTS 2026'!G724)</f>
        <v/>
      </c>
      <c r="E724">
        <f>IF(ISBLANK('ENGAGEMENTS 2026'!C724),"",'ENGAGEMENTS 2026'!I724)</f>
        <v/>
      </c>
      <c r="F724">
        <f>IF(ISBLANK('ENGAGEMENTS 2026'!C724),"",'ENGAGEMENTS 2026'!J724)</f>
        <v/>
      </c>
      <c r="G724">
        <f>IF(ISBLANK('ENGAGEMENTS 2026'!C724),"",'ENGAGEMENTS 2026'!M724)</f>
        <v/>
      </c>
      <c r="H724">
        <f>IF(ISBLANK('ENGAGEMENTS 2026'!C724),"",'ENGAGEMENTS 2026'!AF724)</f>
        <v/>
      </c>
      <c r="I724">
        <f>IF(ISBLANK('ENGAGEMENTS 2026'!C724),"",'ENGAGEMENTS 2026'!H724)</f>
        <v/>
      </c>
      <c r="J724" s="275">
        <f>IF(ISBLANK('ENGAGEMENTS 2026'!C724),"",IF(AND(OR($E724="INFRUCTUEUX",$E724="ANNULE"),$C724="AOO-M"),'ENGAGEMENTS 2026'!P724,IF($H724="EN COURS DE PREENGAGEMENT",'ENGAGEMENTS 2026'!O724,IF($H724="PREENGAGE",IF($E724="ATTRIBUE",'ENGAGEMENTS 2026'!AE724,'ENGAGEMENTS 2026'!O724),'ENGAGEMENTS 2026'!AE724))))</f>
        <v/>
      </c>
      <c r="K724" s="604">
        <f>IF(ISBLANK('ENGAGEMENTS 2026'!W724),"",'ENGAGEMENTS 2026'!W724)</f>
        <v/>
      </c>
      <c r="L724" s="276">
        <f>IF($K724="","",TODAY()-$K724)</f>
        <v/>
      </c>
      <c r="M724">
        <f>IF($A724="","",IF($H724="ENGAGE","Engagé",IF(AND($H724="NON ENGAGE",OR($I724="INFRUCTUEUX",$I724="ANNULE")),"Clôturé sans suite","En cours")))</f>
        <v/>
      </c>
      <c r="N724">
        <f>IF(ISBLANK('ENGAGEMENTS 2026'!C724),"",'ENGAGEMENTS 2026'!L724)</f>
        <v/>
      </c>
      <c r="O724">
        <f>IF(ISBLANK('ENGAGEMENTS 2026'!C724),"",'ENGAGEMENTS 2026'!M724)</f>
        <v/>
      </c>
      <c r="P724">
        <f>IF(ISBLANK('ENGAGEMENTS 2026'!C724),"",'ENGAGEMENTS 2026'!K724)</f>
        <v/>
      </c>
      <c r="Q724">
        <f>IF($A724="","",IF(OR($E724="INFRUCTUEUX",$E724="ANNULE"),$A724&amp;"|"&amp;(COUNTIFS($A$2:$A724,$A724,$E$2:$E724,"INFRUCTUEUX")+COUNTIFS($A$2:$A724,$A724,$E$2:$E724,"ANNULE")),""))</f>
        <v/>
      </c>
    </row>
    <row r="725">
      <c r="A725">
        <f>IF(ISBLANK('ENGAGEMENTS 2026'!C725),"",IF('ENGAGEMENTS 2026'!C725="DTSI","DCT",'ENGAGEMENTS 2026'!C725))</f>
        <v/>
      </c>
      <c r="B725">
        <f>IF(ISBLANK('ENGAGEMENTS 2026'!C725),"",'ENGAGEMENTS 2026'!D725)</f>
        <v/>
      </c>
      <c r="C725">
        <f>IF(ISBLANK('ENGAGEMENTS 2026'!C725),"",'ENGAGEMENTS 2026'!E725)</f>
        <v/>
      </c>
      <c r="D725">
        <f>IF(ISBLANK('ENGAGEMENTS 2026'!C725),"",'ENGAGEMENTS 2026'!G725)</f>
        <v/>
      </c>
      <c r="E725">
        <f>IF(ISBLANK('ENGAGEMENTS 2026'!C725),"",'ENGAGEMENTS 2026'!I725)</f>
        <v/>
      </c>
      <c r="F725">
        <f>IF(ISBLANK('ENGAGEMENTS 2026'!C725),"",'ENGAGEMENTS 2026'!J725)</f>
        <v/>
      </c>
      <c r="G725">
        <f>IF(ISBLANK('ENGAGEMENTS 2026'!C725),"",'ENGAGEMENTS 2026'!M725)</f>
        <v/>
      </c>
      <c r="H725">
        <f>IF(ISBLANK('ENGAGEMENTS 2026'!C725),"",'ENGAGEMENTS 2026'!AF725)</f>
        <v/>
      </c>
      <c r="I725">
        <f>IF(ISBLANK('ENGAGEMENTS 2026'!C725),"",'ENGAGEMENTS 2026'!H725)</f>
        <v/>
      </c>
      <c r="J725" s="275">
        <f>IF(ISBLANK('ENGAGEMENTS 2026'!C725),"",IF(AND(OR($E725="INFRUCTUEUX",$E725="ANNULE"),$C725="AOO-M"),'ENGAGEMENTS 2026'!P725,IF($H725="EN COURS DE PREENGAGEMENT",'ENGAGEMENTS 2026'!O725,IF($H725="PREENGAGE",IF($E725="ATTRIBUE",'ENGAGEMENTS 2026'!AE725,'ENGAGEMENTS 2026'!O725),'ENGAGEMENTS 2026'!AE725))))</f>
        <v/>
      </c>
      <c r="K725" s="604">
        <f>IF(ISBLANK('ENGAGEMENTS 2026'!W725),"",'ENGAGEMENTS 2026'!W725)</f>
        <v/>
      </c>
      <c r="L725" s="276">
        <f>IF($K725="","",TODAY()-$K725)</f>
        <v/>
      </c>
      <c r="M725">
        <f>IF($A725="","",IF($H725="ENGAGE","Engagé",IF(AND($H725="NON ENGAGE",OR($I725="INFRUCTUEUX",$I725="ANNULE")),"Clôturé sans suite","En cours")))</f>
        <v/>
      </c>
      <c r="N725">
        <f>IF(ISBLANK('ENGAGEMENTS 2026'!C725),"",'ENGAGEMENTS 2026'!L725)</f>
        <v/>
      </c>
      <c r="O725">
        <f>IF(ISBLANK('ENGAGEMENTS 2026'!C725),"",'ENGAGEMENTS 2026'!M725)</f>
        <v/>
      </c>
      <c r="P725">
        <f>IF(ISBLANK('ENGAGEMENTS 2026'!C725),"",'ENGAGEMENTS 2026'!K725)</f>
        <v/>
      </c>
      <c r="Q725">
        <f>IF($A725="","",IF(OR($E725="INFRUCTUEUX",$E725="ANNULE"),$A725&amp;"|"&amp;(COUNTIFS($A$2:$A725,$A725,$E$2:$E725,"INFRUCTUEUX")+COUNTIFS($A$2:$A725,$A725,$E$2:$E725,"ANNULE")),""))</f>
        <v/>
      </c>
    </row>
    <row r="726">
      <c r="A726">
        <f>IF(ISBLANK('ENGAGEMENTS 2026'!C726),"",IF('ENGAGEMENTS 2026'!C726="DTSI","DCT",'ENGAGEMENTS 2026'!C726))</f>
        <v/>
      </c>
      <c r="B726">
        <f>IF(ISBLANK('ENGAGEMENTS 2026'!C726),"",'ENGAGEMENTS 2026'!D726)</f>
        <v/>
      </c>
      <c r="C726">
        <f>IF(ISBLANK('ENGAGEMENTS 2026'!C726),"",'ENGAGEMENTS 2026'!E726)</f>
        <v/>
      </c>
      <c r="D726">
        <f>IF(ISBLANK('ENGAGEMENTS 2026'!C726),"",'ENGAGEMENTS 2026'!G726)</f>
        <v/>
      </c>
      <c r="E726">
        <f>IF(ISBLANK('ENGAGEMENTS 2026'!C726),"",'ENGAGEMENTS 2026'!I726)</f>
        <v/>
      </c>
      <c r="F726">
        <f>IF(ISBLANK('ENGAGEMENTS 2026'!C726),"",'ENGAGEMENTS 2026'!J726)</f>
        <v/>
      </c>
      <c r="G726">
        <f>IF(ISBLANK('ENGAGEMENTS 2026'!C726),"",'ENGAGEMENTS 2026'!M726)</f>
        <v/>
      </c>
      <c r="H726">
        <f>IF(ISBLANK('ENGAGEMENTS 2026'!C726),"",'ENGAGEMENTS 2026'!AF726)</f>
        <v/>
      </c>
      <c r="I726">
        <f>IF(ISBLANK('ENGAGEMENTS 2026'!C726),"",'ENGAGEMENTS 2026'!H726)</f>
        <v/>
      </c>
      <c r="J726" s="275">
        <f>IF(ISBLANK('ENGAGEMENTS 2026'!C726),"",IF(AND(OR($E726="INFRUCTUEUX",$E726="ANNULE"),$C726="AOO-M"),'ENGAGEMENTS 2026'!P726,IF($H726="EN COURS DE PREENGAGEMENT",'ENGAGEMENTS 2026'!O726,IF($H726="PREENGAGE",IF($E726="ATTRIBUE",'ENGAGEMENTS 2026'!AE726,'ENGAGEMENTS 2026'!O726),'ENGAGEMENTS 2026'!AE726))))</f>
        <v/>
      </c>
      <c r="K726" s="604">
        <f>IF(ISBLANK('ENGAGEMENTS 2026'!W726),"",'ENGAGEMENTS 2026'!W726)</f>
        <v/>
      </c>
      <c r="L726" s="276">
        <f>IF($K726="","",TODAY()-$K726)</f>
        <v/>
      </c>
      <c r="M726">
        <f>IF($A726="","",IF($H726="ENGAGE","Engagé",IF(AND($H726="NON ENGAGE",OR($I726="INFRUCTUEUX",$I726="ANNULE")),"Clôturé sans suite","En cours")))</f>
        <v/>
      </c>
      <c r="N726">
        <f>IF(ISBLANK('ENGAGEMENTS 2026'!C726),"",'ENGAGEMENTS 2026'!L726)</f>
        <v/>
      </c>
      <c r="O726">
        <f>IF(ISBLANK('ENGAGEMENTS 2026'!C726),"",'ENGAGEMENTS 2026'!M726)</f>
        <v/>
      </c>
      <c r="P726">
        <f>IF(ISBLANK('ENGAGEMENTS 2026'!C726),"",'ENGAGEMENTS 2026'!K726)</f>
        <v/>
      </c>
      <c r="Q726">
        <f>IF($A726="","",IF(OR($E726="INFRUCTUEUX",$E726="ANNULE"),$A726&amp;"|"&amp;(COUNTIFS($A$2:$A726,$A726,$E$2:$E726,"INFRUCTUEUX")+COUNTIFS($A$2:$A726,$A726,$E$2:$E726,"ANNULE")),""))</f>
        <v/>
      </c>
    </row>
    <row r="727">
      <c r="A727">
        <f>IF(ISBLANK('ENGAGEMENTS 2026'!C727),"",IF('ENGAGEMENTS 2026'!C727="DTSI","DCT",'ENGAGEMENTS 2026'!C727))</f>
        <v/>
      </c>
      <c r="B727">
        <f>IF(ISBLANK('ENGAGEMENTS 2026'!C727),"",'ENGAGEMENTS 2026'!D727)</f>
        <v/>
      </c>
      <c r="C727">
        <f>IF(ISBLANK('ENGAGEMENTS 2026'!C727),"",'ENGAGEMENTS 2026'!E727)</f>
        <v/>
      </c>
      <c r="D727">
        <f>IF(ISBLANK('ENGAGEMENTS 2026'!C727),"",'ENGAGEMENTS 2026'!G727)</f>
        <v/>
      </c>
      <c r="E727">
        <f>IF(ISBLANK('ENGAGEMENTS 2026'!C727),"",'ENGAGEMENTS 2026'!I727)</f>
        <v/>
      </c>
      <c r="F727">
        <f>IF(ISBLANK('ENGAGEMENTS 2026'!C727),"",'ENGAGEMENTS 2026'!J727)</f>
        <v/>
      </c>
      <c r="G727">
        <f>IF(ISBLANK('ENGAGEMENTS 2026'!C727),"",'ENGAGEMENTS 2026'!M727)</f>
        <v/>
      </c>
      <c r="H727">
        <f>IF(ISBLANK('ENGAGEMENTS 2026'!C727),"",'ENGAGEMENTS 2026'!AF727)</f>
        <v/>
      </c>
      <c r="I727">
        <f>IF(ISBLANK('ENGAGEMENTS 2026'!C727),"",'ENGAGEMENTS 2026'!H727)</f>
        <v/>
      </c>
      <c r="J727" s="275">
        <f>IF(ISBLANK('ENGAGEMENTS 2026'!C727),"",IF(AND(OR($E727="INFRUCTUEUX",$E727="ANNULE"),$C727="AOO-M"),'ENGAGEMENTS 2026'!P727,IF($H727="EN COURS DE PREENGAGEMENT",'ENGAGEMENTS 2026'!O727,IF($H727="PREENGAGE",IF($E727="ATTRIBUE",'ENGAGEMENTS 2026'!AE727,'ENGAGEMENTS 2026'!O727),'ENGAGEMENTS 2026'!AE727))))</f>
        <v/>
      </c>
      <c r="K727" s="604">
        <f>IF(ISBLANK('ENGAGEMENTS 2026'!W727),"",'ENGAGEMENTS 2026'!W727)</f>
        <v/>
      </c>
      <c r="L727" s="276">
        <f>IF($K727="","",TODAY()-$K727)</f>
        <v/>
      </c>
      <c r="M727">
        <f>IF($A727="","",IF($H727="ENGAGE","Engagé",IF(AND($H727="NON ENGAGE",OR($I727="INFRUCTUEUX",$I727="ANNULE")),"Clôturé sans suite","En cours")))</f>
        <v/>
      </c>
      <c r="N727">
        <f>IF(ISBLANK('ENGAGEMENTS 2026'!C727),"",'ENGAGEMENTS 2026'!L727)</f>
        <v/>
      </c>
      <c r="O727">
        <f>IF(ISBLANK('ENGAGEMENTS 2026'!C727),"",'ENGAGEMENTS 2026'!M727)</f>
        <v/>
      </c>
      <c r="P727">
        <f>IF(ISBLANK('ENGAGEMENTS 2026'!C727),"",'ENGAGEMENTS 2026'!K727)</f>
        <v/>
      </c>
      <c r="Q727">
        <f>IF($A727="","",IF(OR($E727="INFRUCTUEUX",$E727="ANNULE"),$A727&amp;"|"&amp;(COUNTIFS($A$2:$A727,$A727,$E$2:$E727,"INFRUCTUEUX")+COUNTIFS($A$2:$A727,$A727,$E$2:$E727,"ANNULE")),""))</f>
        <v/>
      </c>
    </row>
    <row r="728">
      <c r="A728">
        <f>IF(ISBLANK('ENGAGEMENTS 2026'!C728),"",IF('ENGAGEMENTS 2026'!C728="DTSI","DCT",'ENGAGEMENTS 2026'!C728))</f>
        <v/>
      </c>
      <c r="B728">
        <f>IF(ISBLANK('ENGAGEMENTS 2026'!C728),"",'ENGAGEMENTS 2026'!D728)</f>
        <v/>
      </c>
      <c r="C728">
        <f>IF(ISBLANK('ENGAGEMENTS 2026'!C728),"",'ENGAGEMENTS 2026'!E728)</f>
        <v/>
      </c>
      <c r="D728">
        <f>IF(ISBLANK('ENGAGEMENTS 2026'!C728),"",'ENGAGEMENTS 2026'!G728)</f>
        <v/>
      </c>
      <c r="E728">
        <f>IF(ISBLANK('ENGAGEMENTS 2026'!C728),"",'ENGAGEMENTS 2026'!I728)</f>
        <v/>
      </c>
      <c r="F728">
        <f>IF(ISBLANK('ENGAGEMENTS 2026'!C728),"",'ENGAGEMENTS 2026'!J728)</f>
        <v/>
      </c>
      <c r="G728">
        <f>IF(ISBLANK('ENGAGEMENTS 2026'!C728),"",'ENGAGEMENTS 2026'!M728)</f>
        <v/>
      </c>
      <c r="H728">
        <f>IF(ISBLANK('ENGAGEMENTS 2026'!C728),"",'ENGAGEMENTS 2026'!AF728)</f>
        <v/>
      </c>
      <c r="I728">
        <f>IF(ISBLANK('ENGAGEMENTS 2026'!C728),"",'ENGAGEMENTS 2026'!H728)</f>
        <v/>
      </c>
      <c r="J728" s="275">
        <f>IF(ISBLANK('ENGAGEMENTS 2026'!C728),"",IF(AND(OR($E728="INFRUCTUEUX",$E728="ANNULE"),$C728="AOO-M"),'ENGAGEMENTS 2026'!P728,IF($H728="EN COURS DE PREENGAGEMENT",'ENGAGEMENTS 2026'!O728,IF($H728="PREENGAGE",IF($E728="ATTRIBUE",'ENGAGEMENTS 2026'!AE728,'ENGAGEMENTS 2026'!O728),'ENGAGEMENTS 2026'!AE728))))</f>
        <v/>
      </c>
      <c r="K728" s="604">
        <f>IF(ISBLANK('ENGAGEMENTS 2026'!W728),"",'ENGAGEMENTS 2026'!W728)</f>
        <v/>
      </c>
      <c r="L728" s="276">
        <f>IF($K728="","",TODAY()-$K728)</f>
        <v/>
      </c>
      <c r="M728">
        <f>IF($A728="","",IF($H728="ENGAGE","Engagé",IF(AND($H728="NON ENGAGE",OR($I728="INFRUCTUEUX",$I728="ANNULE")),"Clôturé sans suite","En cours")))</f>
        <v/>
      </c>
      <c r="N728">
        <f>IF(ISBLANK('ENGAGEMENTS 2026'!C728),"",'ENGAGEMENTS 2026'!L728)</f>
        <v/>
      </c>
      <c r="O728">
        <f>IF(ISBLANK('ENGAGEMENTS 2026'!C728),"",'ENGAGEMENTS 2026'!M728)</f>
        <v/>
      </c>
      <c r="P728">
        <f>IF(ISBLANK('ENGAGEMENTS 2026'!C728),"",'ENGAGEMENTS 2026'!K728)</f>
        <v/>
      </c>
      <c r="Q728">
        <f>IF($A728="","",IF(OR($E728="INFRUCTUEUX",$E728="ANNULE"),$A728&amp;"|"&amp;(COUNTIFS($A$2:$A728,$A728,$E$2:$E728,"INFRUCTUEUX")+COUNTIFS($A$2:$A728,$A728,$E$2:$E728,"ANNULE")),""))</f>
        <v/>
      </c>
    </row>
    <row r="729">
      <c r="A729">
        <f>IF(ISBLANK('ENGAGEMENTS 2026'!C729),"",IF('ENGAGEMENTS 2026'!C729="DTSI","DCT",'ENGAGEMENTS 2026'!C729))</f>
        <v/>
      </c>
      <c r="B729">
        <f>IF(ISBLANK('ENGAGEMENTS 2026'!C729),"",'ENGAGEMENTS 2026'!D729)</f>
        <v/>
      </c>
      <c r="C729">
        <f>IF(ISBLANK('ENGAGEMENTS 2026'!C729),"",'ENGAGEMENTS 2026'!E729)</f>
        <v/>
      </c>
      <c r="D729">
        <f>IF(ISBLANK('ENGAGEMENTS 2026'!C729),"",'ENGAGEMENTS 2026'!G729)</f>
        <v/>
      </c>
      <c r="E729">
        <f>IF(ISBLANK('ENGAGEMENTS 2026'!C729),"",'ENGAGEMENTS 2026'!I729)</f>
        <v/>
      </c>
      <c r="F729">
        <f>IF(ISBLANK('ENGAGEMENTS 2026'!C729),"",'ENGAGEMENTS 2026'!J729)</f>
        <v/>
      </c>
      <c r="G729">
        <f>IF(ISBLANK('ENGAGEMENTS 2026'!C729),"",'ENGAGEMENTS 2026'!M729)</f>
        <v/>
      </c>
      <c r="H729">
        <f>IF(ISBLANK('ENGAGEMENTS 2026'!C729),"",'ENGAGEMENTS 2026'!AF729)</f>
        <v/>
      </c>
      <c r="I729">
        <f>IF(ISBLANK('ENGAGEMENTS 2026'!C729),"",'ENGAGEMENTS 2026'!H729)</f>
        <v/>
      </c>
      <c r="J729" s="275">
        <f>IF(ISBLANK('ENGAGEMENTS 2026'!C729),"",IF(AND(OR($E729="INFRUCTUEUX",$E729="ANNULE"),$C729="AOO-M"),'ENGAGEMENTS 2026'!P729,IF($H729="EN COURS DE PREENGAGEMENT",'ENGAGEMENTS 2026'!O729,IF($H729="PREENGAGE",IF($E729="ATTRIBUE",'ENGAGEMENTS 2026'!AE729,'ENGAGEMENTS 2026'!O729),'ENGAGEMENTS 2026'!AE729))))</f>
        <v/>
      </c>
      <c r="K729" s="604">
        <f>IF(ISBLANK('ENGAGEMENTS 2026'!W729),"",'ENGAGEMENTS 2026'!W729)</f>
        <v/>
      </c>
      <c r="L729" s="276">
        <f>IF($K729="","",TODAY()-$K729)</f>
        <v/>
      </c>
      <c r="M729">
        <f>IF($A729="","",IF($H729="ENGAGE","Engagé",IF(AND($H729="NON ENGAGE",OR($I729="INFRUCTUEUX",$I729="ANNULE")),"Clôturé sans suite","En cours")))</f>
        <v/>
      </c>
      <c r="N729">
        <f>IF(ISBLANK('ENGAGEMENTS 2026'!C729),"",'ENGAGEMENTS 2026'!L729)</f>
        <v/>
      </c>
      <c r="O729">
        <f>IF(ISBLANK('ENGAGEMENTS 2026'!C729),"",'ENGAGEMENTS 2026'!M729)</f>
        <v/>
      </c>
      <c r="P729">
        <f>IF(ISBLANK('ENGAGEMENTS 2026'!C729),"",'ENGAGEMENTS 2026'!K729)</f>
        <v/>
      </c>
      <c r="Q729">
        <f>IF($A729="","",IF(OR($E729="INFRUCTUEUX",$E729="ANNULE"),$A729&amp;"|"&amp;(COUNTIFS($A$2:$A729,$A729,$E$2:$E729,"INFRUCTUEUX")+COUNTIFS($A$2:$A729,$A729,$E$2:$E729,"ANNULE")),""))</f>
        <v/>
      </c>
    </row>
    <row r="730">
      <c r="A730">
        <f>IF(ISBLANK('ENGAGEMENTS 2026'!C730),"",IF('ENGAGEMENTS 2026'!C730="DTSI","DCT",'ENGAGEMENTS 2026'!C730))</f>
        <v/>
      </c>
      <c r="B730">
        <f>IF(ISBLANK('ENGAGEMENTS 2026'!C730),"",'ENGAGEMENTS 2026'!D730)</f>
        <v/>
      </c>
      <c r="C730">
        <f>IF(ISBLANK('ENGAGEMENTS 2026'!C730),"",'ENGAGEMENTS 2026'!E730)</f>
        <v/>
      </c>
      <c r="D730">
        <f>IF(ISBLANK('ENGAGEMENTS 2026'!C730),"",'ENGAGEMENTS 2026'!G730)</f>
        <v/>
      </c>
      <c r="E730">
        <f>IF(ISBLANK('ENGAGEMENTS 2026'!C730),"",'ENGAGEMENTS 2026'!I730)</f>
        <v/>
      </c>
      <c r="F730">
        <f>IF(ISBLANK('ENGAGEMENTS 2026'!C730),"",'ENGAGEMENTS 2026'!J730)</f>
        <v/>
      </c>
      <c r="G730">
        <f>IF(ISBLANK('ENGAGEMENTS 2026'!C730),"",'ENGAGEMENTS 2026'!M730)</f>
        <v/>
      </c>
      <c r="H730">
        <f>IF(ISBLANK('ENGAGEMENTS 2026'!C730),"",'ENGAGEMENTS 2026'!AF730)</f>
        <v/>
      </c>
      <c r="I730">
        <f>IF(ISBLANK('ENGAGEMENTS 2026'!C730),"",'ENGAGEMENTS 2026'!H730)</f>
        <v/>
      </c>
      <c r="J730" s="275">
        <f>IF(ISBLANK('ENGAGEMENTS 2026'!C730),"",IF(AND(OR($E730="INFRUCTUEUX",$E730="ANNULE"),$C730="AOO-M"),'ENGAGEMENTS 2026'!P730,IF($H730="EN COURS DE PREENGAGEMENT",'ENGAGEMENTS 2026'!O730,IF($H730="PREENGAGE",IF($E730="ATTRIBUE",'ENGAGEMENTS 2026'!AE730,'ENGAGEMENTS 2026'!O730),'ENGAGEMENTS 2026'!AE730))))</f>
        <v/>
      </c>
      <c r="K730" s="604">
        <f>IF(ISBLANK('ENGAGEMENTS 2026'!W730),"",'ENGAGEMENTS 2026'!W730)</f>
        <v/>
      </c>
      <c r="L730" s="276">
        <f>IF($K730="","",TODAY()-$K730)</f>
        <v/>
      </c>
      <c r="M730">
        <f>IF($A730="","",IF($H730="ENGAGE","Engagé",IF(AND($H730="NON ENGAGE",OR($I730="INFRUCTUEUX",$I730="ANNULE")),"Clôturé sans suite","En cours")))</f>
        <v/>
      </c>
      <c r="N730">
        <f>IF(ISBLANK('ENGAGEMENTS 2026'!C730),"",'ENGAGEMENTS 2026'!L730)</f>
        <v/>
      </c>
      <c r="O730">
        <f>IF(ISBLANK('ENGAGEMENTS 2026'!C730),"",'ENGAGEMENTS 2026'!M730)</f>
        <v/>
      </c>
      <c r="P730">
        <f>IF(ISBLANK('ENGAGEMENTS 2026'!C730),"",'ENGAGEMENTS 2026'!K730)</f>
        <v/>
      </c>
      <c r="Q730">
        <f>IF($A730="","",IF(OR($E730="INFRUCTUEUX",$E730="ANNULE"),$A730&amp;"|"&amp;(COUNTIFS($A$2:$A730,$A730,$E$2:$E730,"INFRUCTUEUX")+COUNTIFS($A$2:$A730,$A730,$E$2:$E730,"ANNULE")),""))</f>
        <v/>
      </c>
    </row>
    <row r="731">
      <c r="A731">
        <f>IF(ISBLANK('ENGAGEMENTS 2026'!C731),"",IF('ENGAGEMENTS 2026'!C731="DTSI","DCT",'ENGAGEMENTS 2026'!C731))</f>
        <v/>
      </c>
      <c r="B731">
        <f>IF(ISBLANK('ENGAGEMENTS 2026'!C731),"",'ENGAGEMENTS 2026'!D731)</f>
        <v/>
      </c>
      <c r="C731">
        <f>IF(ISBLANK('ENGAGEMENTS 2026'!C731),"",'ENGAGEMENTS 2026'!E731)</f>
        <v/>
      </c>
      <c r="D731">
        <f>IF(ISBLANK('ENGAGEMENTS 2026'!C731),"",'ENGAGEMENTS 2026'!G731)</f>
        <v/>
      </c>
      <c r="E731">
        <f>IF(ISBLANK('ENGAGEMENTS 2026'!C731),"",'ENGAGEMENTS 2026'!I731)</f>
        <v/>
      </c>
      <c r="F731">
        <f>IF(ISBLANK('ENGAGEMENTS 2026'!C731),"",'ENGAGEMENTS 2026'!J731)</f>
        <v/>
      </c>
      <c r="G731">
        <f>IF(ISBLANK('ENGAGEMENTS 2026'!C731),"",'ENGAGEMENTS 2026'!M731)</f>
        <v/>
      </c>
      <c r="H731">
        <f>IF(ISBLANK('ENGAGEMENTS 2026'!C731),"",'ENGAGEMENTS 2026'!AF731)</f>
        <v/>
      </c>
      <c r="I731">
        <f>IF(ISBLANK('ENGAGEMENTS 2026'!C731),"",'ENGAGEMENTS 2026'!H731)</f>
        <v/>
      </c>
      <c r="J731" s="275">
        <f>IF(ISBLANK('ENGAGEMENTS 2026'!C731),"",IF(AND(OR($E731="INFRUCTUEUX",$E731="ANNULE"),$C731="AOO-M"),'ENGAGEMENTS 2026'!P731,IF($H731="EN COURS DE PREENGAGEMENT",'ENGAGEMENTS 2026'!O731,IF($H731="PREENGAGE",IF($E731="ATTRIBUE",'ENGAGEMENTS 2026'!AE731,'ENGAGEMENTS 2026'!O731),'ENGAGEMENTS 2026'!AE731))))</f>
        <v/>
      </c>
      <c r="K731" s="604">
        <f>IF(ISBLANK('ENGAGEMENTS 2026'!W731),"",'ENGAGEMENTS 2026'!W731)</f>
        <v/>
      </c>
      <c r="L731" s="276">
        <f>IF($K731="","",TODAY()-$K731)</f>
        <v/>
      </c>
      <c r="M731">
        <f>IF($A731="","",IF($H731="ENGAGE","Engagé",IF(AND($H731="NON ENGAGE",OR($I731="INFRUCTUEUX",$I731="ANNULE")),"Clôturé sans suite","En cours")))</f>
        <v/>
      </c>
      <c r="N731">
        <f>IF(ISBLANK('ENGAGEMENTS 2026'!C731),"",'ENGAGEMENTS 2026'!L731)</f>
        <v/>
      </c>
      <c r="O731">
        <f>IF(ISBLANK('ENGAGEMENTS 2026'!C731),"",'ENGAGEMENTS 2026'!M731)</f>
        <v/>
      </c>
      <c r="P731">
        <f>IF(ISBLANK('ENGAGEMENTS 2026'!C731),"",'ENGAGEMENTS 2026'!K731)</f>
        <v/>
      </c>
      <c r="Q731">
        <f>IF($A731="","",IF(OR($E731="INFRUCTUEUX",$E731="ANNULE"),$A731&amp;"|"&amp;(COUNTIFS($A$2:$A731,$A731,$E$2:$E731,"INFRUCTUEUX")+COUNTIFS($A$2:$A731,$A731,$E$2:$E731,"ANNULE")),""))</f>
        <v/>
      </c>
    </row>
    <row r="732">
      <c r="A732">
        <f>IF(ISBLANK('ENGAGEMENTS 2026'!C732),"",IF('ENGAGEMENTS 2026'!C732="DTSI","DCT",'ENGAGEMENTS 2026'!C732))</f>
        <v/>
      </c>
      <c r="B732">
        <f>IF(ISBLANK('ENGAGEMENTS 2026'!C732),"",'ENGAGEMENTS 2026'!D732)</f>
        <v/>
      </c>
      <c r="C732">
        <f>IF(ISBLANK('ENGAGEMENTS 2026'!C732),"",'ENGAGEMENTS 2026'!E732)</f>
        <v/>
      </c>
      <c r="D732">
        <f>IF(ISBLANK('ENGAGEMENTS 2026'!C732),"",'ENGAGEMENTS 2026'!G732)</f>
        <v/>
      </c>
      <c r="E732">
        <f>IF(ISBLANK('ENGAGEMENTS 2026'!C732),"",'ENGAGEMENTS 2026'!I732)</f>
        <v/>
      </c>
      <c r="F732">
        <f>IF(ISBLANK('ENGAGEMENTS 2026'!C732),"",'ENGAGEMENTS 2026'!J732)</f>
        <v/>
      </c>
      <c r="G732">
        <f>IF(ISBLANK('ENGAGEMENTS 2026'!C732),"",'ENGAGEMENTS 2026'!M732)</f>
        <v/>
      </c>
      <c r="H732">
        <f>IF(ISBLANK('ENGAGEMENTS 2026'!C732),"",'ENGAGEMENTS 2026'!AF732)</f>
        <v/>
      </c>
      <c r="I732">
        <f>IF(ISBLANK('ENGAGEMENTS 2026'!C732),"",'ENGAGEMENTS 2026'!H732)</f>
        <v/>
      </c>
      <c r="J732" s="275">
        <f>IF(ISBLANK('ENGAGEMENTS 2026'!C732),"",IF(AND(OR($E732="INFRUCTUEUX",$E732="ANNULE"),$C732="AOO-M"),'ENGAGEMENTS 2026'!P732,IF($H732="EN COURS DE PREENGAGEMENT",'ENGAGEMENTS 2026'!O732,IF($H732="PREENGAGE",IF($E732="ATTRIBUE",'ENGAGEMENTS 2026'!AE732,'ENGAGEMENTS 2026'!O732),'ENGAGEMENTS 2026'!AE732))))</f>
        <v/>
      </c>
      <c r="K732" s="604">
        <f>IF(ISBLANK('ENGAGEMENTS 2026'!W732),"",'ENGAGEMENTS 2026'!W732)</f>
        <v/>
      </c>
      <c r="L732" s="276">
        <f>IF($K732="","",TODAY()-$K732)</f>
        <v/>
      </c>
      <c r="M732">
        <f>IF($A732="","",IF($H732="ENGAGE","Engagé",IF(AND($H732="NON ENGAGE",OR($I732="INFRUCTUEUX",$I732="ANNULE")),"Clôturé sans suite","En cours")))</f>
        <v/>
      </c>
      <c r="N732">
        <f>IF(ISBLANK('ENGAGEMENTS 2026'!C732),"",'ENGAGEMENTS 2026'!L732)</f>
        <v/>
      </c>
      <c r="O732">
        <f>IF(ISBLANK('ENGAGEMENTS 2026'!C732),"",'ENGAGEMENTS 2026'!M732)</f>
        <v/>
      </c>
      <c r="P732">
        <f>IF(ISBLANK('ENGAGEMENTS 2026'!C732),"",'ENGAGEMENTS 2026'!K732)</f>
        <v/>
      </c>
      <c r="Q732">
        <f>IF($A732="","",IF(OR($E732="INFRUCTUEUX",$E732="ANNULE"),$A732&amp;"|"&amp;(COUNTIFS($A$2:$A732,$A732,$E$2:$E732,"INFRUCTUEUX")+COUNTIFS($A$2:$A732,$A732,$E$2:$E732,"ANNULE")),""))</f>
        <v/>
      </c>
    </row>
    <row r="733">
      <c r="A733">
        <f>IF(ISBLANK('ENGAGEMENTS 2026'!C733),"",IF('ENGAGEMENTS 2026'!C733="DTSI","DCT",'ENGAGEMENTS 2026'!C733))</f>
        <v/>
      </c>
      <c r="B733">
        <f>IF(ISBLANK('ENGAGEMENTS 2026'!C733),"",'ENGAGEMENTS 2026'!D733)</f>
        <v/>
      </c>
      <c r="C733">
        <f>IF(ISBLANK('ENGAGEMENTS 2026'!C733),"",'ENGAGEMENTS 2026'!E733)</f>
        <v/>
      </c>
      <c r="D733">
        <f>IF(ISBLANK('ENGAGEMENTS 2026'!C733),"",'ENGAGEMENTS 2026'!G733)</f>
        <v/>
      </c>
      <c r="E733">
        <f>IF(ISBLANK('ENGAGEMENTS 2026'!C733),"",'ENGAGEMENTS 2026'!I733)</f>
        <v/>
      </c>
      <c r="F733">
        <f>IF(ISBLANK('ENGAGEMENTS 2026'!C733),"",'ENGAGEMENTS 2026'!J733)</f>
        <v/>
      </c>
      <c r="G733">
        <f>IF(ISBLANK('ENGAGEMENTS 2026'!C733),"",'ENGAGEMENTS 2026'!M733)</f>
        <v/>
      </c>
      <c r="H733">
        <f>IF(ISBLANK('ENGAGEMENTS 2026'!C733),"",'ENGAGEMENTS 2026'!AF733)</f>
        <v/>
      </c>
      <c r="I733">
        <f>IF(ISBLANK('ENGAGEMENTS 2026'!C733),"",'ENGAGEMENTS 2026'!H733)</f>
        <v/>
      </c>
      <c r="J733" s="275">
        <f>IF(ISBLANK('ENGAGEMENTS 2026'!C733),"",IF(AND(OR($E733="INFRUCTUEUX",$E733="ANNULE"),$C733="AOO-M"),'ENGAGEMENTS 2026'!P733,IF($H733="EN COURS DE PREENGAGEMENT",'ENGAGEMENTS 2026'!O733,IF($H733="PREENGAGE",IF($E733="ATTRIBUE",'ENGAGEMENTS 2026'!AE733,'ENGAGEMENTS 2026'!O733),'ENGAGEMENTS 2026'!AE733))))</f>
        <v/>
      </c>
      <c r="K733" s="604">
        <f>IF(ISBLANK('ENGAGEMENTS 2026'!W733),"",'ENGAGEMENTS 2026'!W733)</f>
        <v/>
      </c>
      <c r="L733" s="276">
        <f>IF($K733="","",TODAY()-$K733)</f>
        <v/>
      </c>
      <c r="M733">
        <f>IF($A733="","",IF($H733="ENGAGE","Engagé",IF(AND($H733="NON ENGAGE",OR($I733="INFRUCTUEUX",$I733="ANNULE")),"Clôturé sans suite","En cours")))</f>
        <v/>
      </c>
      <c r="N733">
        <f>IF(ISBLANK('ENGAGEMENTS 2026'!C733),"",'ENGAGEMENTS 2026'!L733)</f>
        <v/>
      </c>
      <c r="O733">
        <f>IF(ISBLANK('ENGAGEMENTS 2026'!C733),"",'ENGAGEMENTS 2026'!M733)</f>
        <v/>
      </c>
      <c r="P733">
        <f>IF(ISBLANK('ENGAGEMENTS 2026'!C733),"",'ENGAGEMENTS 2026'!K733)</f>
        <v/>
      </c>
      <c r="Q733">
        <f>IF($A733="","",IF(OR($E733="INFRUCTUEUX",$E733="ANNULE"),$A733&amp;"|"&amp;(COUNTIFS($A$2:$A733,$A733,$E$2:$E733,"INFRUCTUEUX")+COUNTIFS($A$2:$A733,$A733,$E$2:$E733,"ANNULE")),""))</f>
        <v/>
      </c>
    </row>
    <row r="734">
      <c r="A734">
        <f>IF(ISBLANK('ENGAGEMENTS 2026'!C734),"",IF('ENGAGEMENTS 2026'!C734="DTSI","DCT",'ENGAGEMENTS 2026'!C734))</f>
        <v/>
      </c>
      <c r="B734">
        <f>IF(ISBLANK('ENGAGEMENTS 2026'!C734),"",'ENGAGEMENTS 2026'!D734)</f>
        <v/>
      </c>
      <c r="C734">
        <f>IF(ISBLANK('ENGAGEMENTS 2026'!C734),"",'ENGAGEMENTS 2026'!E734)</f>
        <v/>
      </c>
      <c r="D734">
        <f>IF(ISBLANK('ENGAGEMENTS 2026'!C734),"",'ENGAGEMENTS 2026'!G734)</f>
        <v/>
      </c>
      <c r="E734">
        <f>IF(ISBLANK('ENGAGEMENTS 2026'!C734),"",'ENGAGEMENTS 2026'!I734)</f>
        <v/>
      </c>
      <c r="F734">
        <f>IF(ISBLANK('ENGAGEMENTS 2026'!C734),"",'ENGAGEMENTS 2026'!J734)</f>
        <v/>
      </c>
      <c r="G734">
        <f>IF(ISBLANK('ENGAGEMENTS 2026'!C734),"",'ENGAGEMENTS 2026'!M734)</f>
        <v/>
      </c>
      <c r="H734">
        <f>IF(ISBLANK('ENGAGEMENTS 2026'!C734),"",'ENGAGEMENTS 2026'!AF734)</f>
        <v/>
      </c>
      <c r="I734">
        <f>IF(ISBLANK('ENGAGEMENTS 2026'!C734),"",'ENGAGEMENTS 2026'!H734)</f>
        <v/>
      </c>
      <c r="J734" s="275">
        <f>IF(ISBLANK('ENGAGEMENTS 2026'!C734),"",IF(AND(OR($E734="INFRUCTUEUX",$E734="ANNULE"),$C734="AOO-M"),'ENGAGEMENTS 2026'!P734,IF($H734="EN COURS DE PREENGAGEMENT",'ENGAGEMENTS 2026'!O734,IF($H734="PREENGAGE",IF($E734="ATTRIBUE",'ENGAGEMENTS 2026'!AE734,'ENGAGEMENTS 2026'!O734),'ENGAGEMENTS 2026'!AE734))))</f>
        <v/>
      </c>
      <c r="K734" s="604">
        <f>IF(ISBLANK('ENGAGEMENTS 2026'!W734),"",'ENGAGEMENTS 2026'!W734)</f>
        <v/>
      </c>
      <c r="L734" s="276">
        <f>IF($K734="","",TODAY()-$K734)</f>
        <v/>
      </c>
      <c r="M734">
        <f>IF($A734="","",IF($H734="ENGAGE","Engagé",IF(AND($H734="NON ENGAGE",OR($I734="INFRUCTUEUX",$I734="ANNULE")),"Clôturé sans suite","En cours")))</f>
        <v/>
      </c>
      <c r="N734">
        <f>IF(ISBLANK('ENGAGEMENTS 2026'!C734),"",'ENGAGEMENTS 2026'!L734)</f>
        <v/>
      </c>
      <c r="O734">
        <f>IF(ISBLANK('ENGAGEMENTS 2026'!C734),"",'ENGAGEMENTS 2026'!M734)</f>
        <v/>
      </c>
      <c r="P734">
        <f>IF(ISBLANK('ENGAGEMENTS 2026'!C734),"",'ENGAGEMENTS 2026'!K734)</f>
        <v/>
      </c>
      <c r="Q734">
        <f>IF($A734="","",IF(OR($E734="INFRUCTUEUX",$E734="ANNULE"),$A734&amp;"|"&amp;(COUNTIFS($A$2:$A734,$A734,$E$2:$E734,"INFRUCTUEUX")+COUNTIFS($A$2:$A734,$A734,$E$2:$E734,"ANNULE")),""))</f>
        <v/>
      </c>
    </row>
    <row r="735">
      <c r="A735">
        <f>IF(ISBLANK('ENGAGEMENTS 2026'!C735),"",IF('ENGAGEMENTS 2026'!C735="DTSI","DCT",'ENGAGEMENTS 2026'!C735))</f>
        <v/>
      </c>
      <c r="B735">
        <f>IF(ISBLANK('ENGAGEMENTS 2026'!C735),"",'ENGAGEMENTS 2026'!D735)</f>
        <v/>
      </c>
      <c r="C735">
        <f>IF(ISBLANK('ENGAGEMENTS 2026'!C735),"",'ENGAGEMENTS 2026'!E735)</f>
        <v/>
      </c>
      <c r="D735">
        <f>IF(ISBLANK('ENGAGEMENTS 2026'!C735),"",'ENGAGEMENTS 2026'!G735)</f>
        <v/>
      </c>
      <c r="E735">
        <f>IF(ISBLANK('ENGAGEMENTS 2026'!C735),"",'ENGAGEMENTS 2026'!I735)</f>
        <v/>
      </c>
      <c r="F735">
        <f>IF(ISBLANK('ENGAGEMENTS 2026'!C735),"",'ENGAGEMENTS 2026'!J735)</f>
        <v/>
      </c>
      <c r="G735">
        <f>IF(ISBLANK('ENGAGEMENTS 2026'!C735),"",'ENGAGEMENTS 2026'!M735)</f>
        <v/>
      </c>
      <c r="H735">
        <f>IF(ISBLANK('ENGAGEMENTS 2026'!C735),"",'ENGAGEMENTS 2026'!AF735)</f>
        <v/>
      </c>
      <c r="I735">
        <f>IF(ISBLANK('ENGAGEMENTS 2026'!C735),"",'ENGAGEMENTS 2026'!H735)</f>
        <v/>
      </c>
      <c r="J735" s="275">
        <f>IF(ISBLANK('ENGAGEMENTS 2026'!C735),"",IF(AND(OR($E735="INFRUCTUEUX",$E735="ANNULE"),$C735="AOO-M"),'ENGAGEMENTS 2026'!P735,IF($H735="EN COURS DE PREENGAGEMENT",'ENGAGEMENTS 2026'!O735,IF($H735="PREENGAGE",IF($E735="ATTRIBUE",'ENGAGEMENTS 2026'!AE735,'ENGAGEMENTS 2026'!O735),'ENGAGEMENTS 2026'!AE735))))</f>
        <v/>
      </c>
      <c r="K735" s="604">
        <f>IF(ISBLANK('ENGAGEMENTS 2026'!W735),"",'ENGAGEMENTS 2026'!W735)</f>
        <v/>
      </c>
      <c r="L735" s="276">
        <f>IF($K735="","",TODAY()-$K735)</f>
        <v/>
      </c>
      <c r="M735">
        <f>IF($A735="","",IF($H735="ENGAGE","Engagé",IF(AND($H735="NON ENGAGE",OR($I735="INFRUCTUEUX",$I735="ANNULE")),"Clôturé sans suite","En cours")))</f>
        <v/>
      </c>
      <c r="N735">
        <f>IF(ISBLANK('ENGAGEMENTS 2026'!C735),"",'ENGAGEMENTS 2026'!L735)</f>
        <v/>
      </c>
      <c r="O735">
        <f>IF(ISBLANK('ENGAGEMENTS 2026'!C735),"",'ENGAGEMENTS 2026'!M735)</f>
        <v/>
      </c>
      <c r="P735">
        <f>IF(ISBLANK('ENGAGEMENTS 2026'!C735),"",'ENGAGEMENTS 2026'!K735)</f>
        <v/>
      </c>
      <c r="Q735">
        <f>IF($A735="","",IF(OR($E735="INFRUCTUEUX",$E735="ANNULE"),$A735&amp;"|"&amp;(COUNTIFS($A$2:$A735,$A735,$E$2:$E735,"INFRUCTUEUX")+COUNTIFS($A$2:$A735,$A735,$E$2:$E735,"ANNULE")),""))</f>
        <v/>
      </c>
    </row>
    <row r="736">
      <c r="A736">
        <f>IF(ISBLANK('ENGAGEMENTS 2026'!C736),"",IF('ENGAGEMENTS 2026'!C736="DTSI","DCT",'ENGAGEMENTS 2026'!C736))</f>
        <v/>
      </c>
      <c r="B736">
        <f>IF(ISBLANK('ENGAGEMENTS 2026'!C736),"",'ENGAGEMENTS 2026'!D736)</f>
        <v/>
      </c>
      <c r="C736">
        <f>IF(ISBLANK('ENGAGEMENTS 2026'!C736),"",'ENGAGEMENTS 2026'!E736)</f>
        <v/>
      </c>
      <c r="D736">
        <f>IF(ISBLANK('ENGAGEMENTS 2026'!C736),"",'ENGAGEMENTS 2026'!G736)</f>
        <v/>
      </c>
      <c r="E736">
        <f>IF(ISBLANK('ENGAGEMENTS 2026'!C736),"",'ENGAGEMENTS 2026'!I736)</f>
        <v/>
      </c>
      <c r="F736">
        <f>IF(ISBLANK('ENGAGEMENTS 2026'!C736),"",'ENGAGEMENTS 2026'!J736)</f>
        <v/>
      </c>
      <c r="G736">
        <f>IF(ISBLANK('ENGAGEMENTS 2026'!C736),"",'ENGAGEMENTS 2026'!M736)</f>
        <v/>
      </c>
      <c r="H736">
        <f>IF(ISBLANK('ENGAGEMENTS 2026'!C736),"",'ENGAGEMENTS 2026'!AF736)</f>
        <v/>
      </c>
      <c r="I736">
        <f>IF(ISBLANK('ENGAGEMENTS 2026'!C736),"",'ENGAGEMENTS 2026'!H736)</f>
        <v/>
      </c>
      <c r="J736" s="275">
        <f>IF(ISBLANK('ENGAGEMENTS 2026'!C736),"",IF(AND(OR($E736="INFRUCTUEUX",$E736="ANNULE"),$C736="AOO-M"),'ENGAGEMENTS 2026'!P736,IF($H736="EN COURS DE PREENGAGEMENT",'ENGAGEMENTS 2026'!O736,IF($H736="PREENGAGE",IF($E736="ATTRIBUE",'ENGAGEMENTS 2026'!AE736,'ENGAGEMENTS 2026'!O736),'ENGAGEMENTS 2026'!AE736))))</f>
        <v/>
      </c>
      <c r="K736" s="604">
        <f>IF(ISBLANK('ENGAGEMENTS 2026'!W736),"",'ENGAGEMENTS 2026'!W736)</f>
        <v/>
      </c>
      <c r="L736" s="276">
        <f>IF($K736="","",TODAY()-$K736)</f>
        <v/>
      </c>
      <c r="M736">
        <f>IF($A736="","",IF($H736="ENGAGE","Engagé",IF(AND($H736="NON ENGAGE",OR($I736="INFRUCTUEUX",$I736="ANNULE")),"Clôturé sans suite","En cours")))</f>
        <v/>
      </c>
      <c r="N736">
        <f>IF(ISBLANK('ENGAGEMENTS 2026'!C736),"",'ENGAGEMENTS 2026'!L736)</f>
        <v/>
      </c>
      <c r="O736">
        <f>IF(ISBLANK('ENGAGEMENTS 2026'!C736),"",'ENGAGEMENTS 2026'!M736)</f>
        <v/>
      </c>
      <c r="P736">
        <f>IF(ISBLANK('ENGAGEMENTS 2026'!C736),"",'ENGAGEMENTS 2026'!K736)</f>
        <v/>
      </c>
      <c r="Q736">
        <f>IF($A736="","",IF(OR($E736="INFRUCTUEUX",$E736="ANNULE"),$A736&amp;"|"&amp;(COUNTIFS($A$2:$A736,$A736,$E$2:$E736,"INFRUCTUEUX")+COUNTIFS($A$2:$A736,$A736,$E$2:$E736,"ANNULE")),""))</f>
        <v/>
      </c>
    </row>
    <row r="737">
      <c r="A737">
        <f>IF(ISBLANK('ENGAGEMENTS 2026'!C737),"",IF('ENGAGEMENTS 2026'!C737="DTSI","DCT",'ENGAGEMENTS 2026'!C737))</f>
        <v/>
      </c>
      <c r="B737">
        <f>IF(ISBLANK('ENGAGEMENTS 2026'!C737),"",'ENGAGEMENTS 2026'!D737)</f>
        <v/>
      </c>
      <c r="C737">
        <f>IF(ISBLANK('ENGAGEMENTS 2026'!C737),"",'ENGAGEMENTS 2026'!E737)</f>
        <v/>
      </c>
      <c r="D737">
        <f>IF(ISBLANK('ENGAGEMENTS 2026'!C737),"",'ENGAGEMENTS 2026'!G737)</f>
        <v/>
      </c>
      <c r="E737">
        <f>IF(ISBLANK('ENGAGEMENTS 2026'!C737),"",'ENGAGEMENTS 2026'!I737)</f>
        <v/>
      </c>
      <c r="F737">
        <f>IF(ISBLANK('ENGAGEMENTS 2026'!C737),"",'ENGAGEMENTS 2026'!J737)</f>
        <v/>
      </c>
      <c r="G737">
        <f>IF(ISBLANK('ENGAGEMENTS 2026'!C737),"",'ENGAGEMENTS 2026'!M737)</f>
        <v/>
      </c>
      <c r="H737">
        <f>IF(ISBLANK('ENGAGEMENTS 2026'!C737),"",'ENGAGEMENTS 2026'!AF737)</f>
        <v/>
      </c>
      <c r="I737">
        <f>IF(ISBLANK('ENGAGEMENTS 2026'!C737),"",'ENGAGEMENTS 2026'!H737)</f>
        <v/>
      </c>
      <c r="J737" s="275">
        <f>IF(ISBLANK('ENGAGEMENTS 2026'!C737),"",IF(AND(OR($E737="INFRUCTUEUX",$E737="ANNULE"),$C737="AOO-M"),'ENGAGEMENTS 2026'!P737,IF($H737="EN COURS DE PREENGAGEMENT",'ENGAGEMENTS 2026'!O737,IF($H737="PREENGAGE",IF($E737="ATTRIBUE",'ENGAGEMENTS 2026'!AE737,'ENGAGEMENTS 2026'!O737),'ENGAGEMENTS 2026'!AE737))))</f>
        <v/>
      </c>
      <c r="K737" s="604">
        <f>IF(ISBLANK('ENGAGEMENTS 2026'!W737),"",'ENGAGEMENTS 2026'!W737)</f>
        <v/>
      </c>
      <c r="L737" s="276">
        <f>IF($K737="","",TODAY()-$K737)</f>
        <v/>
      </c>
      <c r="M737">
        <f>IF($A737="","",IF($H737="ENGAGE","Engagé",IF(AND($H737="NON ENGAGE",OR($I737="INFRUCTUEUX",$I737="ANNULE")),"Clôturé sans suite","En cours")))</f>
        <v/>
      </c>
      <c r="N737">
        <f>IF(ISBLANK('ENGAGEMENTS 2026'!C737),"",'ENGAGEMENTS 2026'!L737)</f>
        <v/>
      </c>
      <c r="O737">
        <f>IF(ISBLANK('ENGAGEMENTS 2026'!C737),"",'ENGAGEMENTS 2026'!M737)</f>
        <v/>
      </c>
      <c r="P737">
        <f>IF(ISBLANK('ENGAGEMENTS 2026'!C737),"",'ENGAGEMENTS 2026'!K737)</f>
        <v/>
      </c>
      <c r="Q737">
        <f>IF($A737="","",IF(OR($E737="INFRUCTUEUX",$E737="ANNULE"),$A737&amp;"|"&amp;(COUNTIFS($A$2:$A737,$A737,$E$2:$E737,"INFRUCTUEUX")+COUNTIFS($A$2:$A737,$A737,$E$2:$E737,"ANNULE")),""))</f>
        <v/>
      </c>
    </row>
    <row r="738">
      <c r="A738">
        <f>IF(ISBLANK('ENGAGEMENTS 2026'!C738),"",IF('ENGAGEMENTS 2026'!C738="DTSI","DCT",'ENGAGEMENTS 2026'!C738))</f>
        <v/>
      </c>
      <c r="B738">
        <f>IF(ISBLANK('ENGAGEMENTS 2026'!C738),"",'ENGAGEMENTS 2026'!D738)</f>
        <v/>
      </c>
      <c r="C738">
        <f>IF(ISBLANK('ENGAGEMENTS 2026'!C738),"",'ENGAGEMENTS 2026'!E738)</f>
        <v/>
      </c>
      <c r="D738">
        <f>IF(ISBLANK('ENGAGEMENTS 2026'!C738),"",'ENGAGEMENTS 2026'!G738)</f>
        <v/>
      </c>
      <c r="E738">
        <f>IF(ISBLANK('ENGAGEMENTS 2026'!C738),"",'ENGAGEMENTS 2026'!I738)</f>
        <v/>
      </c>
      <c r="F738">
        <f>IF(ISBLANK('ENGAGEMENTS 2026'!C738),"",'ENGAGEMENTS 2026'!J738)</f>
        <v/>
      </c>
      <c r="G738">
        <f>IF(ISBLANK('ENGAGEMENTS 2026'!C738),"",'ENGAGEMENTS 2026'!M738)</f>
        <v/>
      </c>
      <c r="H738">
        <f>IF(ISBLANK('ENGAGEMENTS 2026'!C738),"",'ENGAGEMENTS 2026'!AF738)</f>
        <v/>
      </c>
      <c r="I738">
        <f>IF(ISBLANK('ENGAGEMENTS 2026'!C738),"",'ENGAGEMENTS 2026'!H738)</f>
        <v/>
      </c>
      <c r="J738" s="275">
        <f>IF(ISBLANK('ENGAGEMENTS 2026'!C738),"",IF(AND(OR($E738="INFRUCTUEUX",$E738="ANNULE"),$C738="AOO-M"),'ENGAGEMENTS 2026'!P738,IF($H738="EN COURS DE PREENGAGEMENT",'ENGAGEMENTS 2026'!O738,IF($H738="PREENGAGE",IF($E738="ATTRIBUE",'ENGAGEMENTS 2026'!AE738,'ENGAGEMENTS 2026'!O738),'ENGAGEMENTS 2026'!AE738))))</f>
        <v/>
      </c>
      <c r="K738" s="604">
        <f>IF(ISBLANK('ENGAGEMENTS 2026'!W738),"",'ENGAGEMENTS 2026'!W738)</f>
        <v/>
      </c>
      <c r="L738" s="276">
        <f>IF($K738="","",TODAY()-$K738)</f>
        <v/>
      </c>
      <c r="M738">
        <f>IF($A738="","",IF($H738="ENGAGE","Engagé",IF(AND($H738="NON ENGAGE",OR($I738="INFRUCTUEUX",$I738="ANNULE")),"Clôturé sans suite","En cours")))</f>
        <v/>
      </c>
      <c r="N738">
        <f>IF(ISBLANK('ENGAGEMENTS 2026'!C738),"",'ENGAGEMENTS 2026'!L738)</f>
        <v/>
      </c>
      <c r="O738">
        <f>IF(ISBLANK('ENGAGEMENTS 2026'!C738),"",'ENGAGEMENTS 2026'!M738)</f>
        <v/>
      </c>
      <c r="P738">
        <f>IF(ISBLANK('ENGAGEMENTS 2026'!C738),"",'ENGAGEMENTS 2026'!K738)</f>
        <v/>
      </c>
      <c r="Q738">
        <f>IF($A738="","",IF(OR($E738="INFRUCTUEUX",$E738="ANNULE"),$A738&amp;"|"&amp;(COUNTIFS($A$2:$A738,$A738,$E$2:$E738,"INFRUCTUEUX")+COUNTIFS($A$2:$A738,$A738,$E$2:$E738,"ANNULE")),""))</f>
        <v/>
      </c>
    </row>
    <row r="739">
      <c r="A739">
        <f>IF(ISBLANK('ENGAGEMENTS 2026'!C739),"",IF('ENGAGEMENTS 2026'!C739="DTSI","DCT",'ENGAGEMENTS 2026'!C739))</f>
        <v/>
      </c>
      <c r="B739">
        <f>IF(ISBLANK('ENGAGEMENTS 2026'!C739),"",'ENGAGEMENTS 2026'!D739)</f>
        <v/>
      </c>
      <c r="C739">
        <f>IF(ISBLANK('ENGAGEMENTS 2026'!C739),"",'ENGAGEMENTS 2026'!E739)</f>
        <v/>
      </c>
      <c r="D739">
        <f>IF(ISBLANK('ENGAGEMENTS 2026'!C739),"",'ENGAGEMENTS 2026'!G739)</f>
        <v/>
      </c>
      <c r="E739">
        <f>IF(ISBLANK('ENGAGEMENTS 2026'!C739),"",'ENGAGEMENTS 2026'!I739)</f>
        <v/>
      </c>
      <c r="F739">
        <f>IF(ISBLANK('ENGAGEMENTS 2026'!C739),"",'ENGAGEMENTS 2026'!J739)</f>
        <v/>
      </c>
      <c r="G739">
        <f>IF(ISBLANK('ENGAGEMENTS 2026'!C739),"",'ENGAGEMENTS 2026'!M739)</f>
        <v/>
      </c>
      <c r="H739">
        <f>IF(ISBLANK('ENGAGEMENTS 2026'!C739),"",'ENGAGEMENTS 2026'!AF739)</f>
        <v/>
      </c>
      <c r="I739">
        <f>IF(ISBLANK('ENGAGEMENTS 2026'!C739),"",'ENGAGEMENTS 2026'!H739)</f>
        <v/>
      </c>
      <c r="J739" s="275">
        <f>IF(ISBLANK('ENGAGEMENTS 2026'!C739),"",IF(AND(OR($E739="INFRUCTUEUX",$E739="ANNULE"),$C739="AOO-M"),'ENGAGEMENTS 2026'!P739,IF($H739="EN COURS DE PREENGAGEMENT",'ENGAGEMENTS 2026'!O739,IF($H739="PREENGAGE",IF($E739="ATTRIBUE",'ENGAGEMENTS 2026'!AE739,'ENGAGEMENTS 2026'!O739),'ENGAGEMENTS 2026'!AE739))))</f>
        <v/>
      </c>
      <c r="K739" s="604">
        <f>IF(ISBLANK('ENGAGEMENTS 2026'!W739),"",'ENGAGEMENTS 2026'!W739)</f>
        <v/>
      </c>
      <c r="L739" s="276">
        <f>IF($K739="","",TODAY()-$K739)</f>
        <v/>
      </c>
      <c r="M739">
        <f>IF($A739="","",IF($H739="ENGAGE","Engagé",IF(AND($H739="NON ENGAGE",OR($I739="INFRUCTUEUX",$I739="ANNULE")),"Clôturé sans suite","En cours")))</f>
        <v/>
      </c>
      <c r="N739">
        <f>IF(ISBLANK('ENGAGEMENTS 2026'!C739),"",'ENGAGEMENTS 2026'!L739)</f>
        <v/>
      </c>
      <c r="O739">
        <f>IF(ISBLANK('ENGAGEMENTS 2026'!C739),"",'ENGAGEMENTS 2026'!M739)</f>
        <v/>
      </c>
      <c r="P739">
        <f>IF(ISBLANK('ENGAGEMENTS 2026'!C739),"",'ENGAGEMENTS 2026'!K739)</f>
        <v/>
      </c>
      <c r="Q739">
        <f>IF($A739="","",IF(OR($E739="INFRUCTUEUX",$E739="ANNULE"),$A739&amp;"|"&amp;(COUNTIFS($A$2:$A739,$A739,$E$2:$E739,"INFRUCTUEUX")+COUNTIFS($A$2:$A739,$A739,$E$2:$E739,"ANNULE")),""))</f>
        <v/>
      </c>
    </row>
    <row r="740">
      <c r="A740">
        <f>IF(ISBLANK('ENGAGEMENTS 2026'!C740),"",IF('ENGAGEMENTS 2026'!C740="DTSI","DCT",'ENGAGEMENTS 2026'!C740))</f>
        <v/>
      </c>
      <c r="B740">
        <f>IF(ISBLANK('ENGAGEMENTS 2026'!C740),"",'ENGAGEMENTS 2026'!D740)</f>
        <v/>
      </c>
      <c r="C740">
        <f>IF(ISBLANK('ENGAGEMENTS 2026'!C740),"",'ENGAGEMENTS 2026'!E740)</f>
        <v/>
      </c>
      <c r="D740">
        <f>IF(ISBLANK('ENGAGEMENTS 2026'!C740),"",'ENGAGEMENTS 2026'!G740)</f>
        <v/>
      </c>
      <c r="E740">
        <f>IF(ISBLANK('ENGAGEMENTS 2026'!C740),"",'ENGAGEMENTS 2026'!I740)</f>
        <v/>
      </c>
      <c r="F740">
        <f>IF(ISBLANK('ENGAGEMENTS 2026'!C740),"",'ENGAGEMENTS 2026'!J740)</f>
        <v/>
      </c>
      <c r="G740">
        <f>IF(ISBLANK('ENGAGEMENTS 2026'!C740),"",'ENGAGEMENTS 2026'!M740)</f>
        <v/>
      </c>
      <c r="H740">
        <f>IF(ISBLANK('ENGAGEMENTS 2026'!C740),"",'ENGAGEMENTS 2026'!AF740)</f>
        <v/>
      </c>
      <c r="I740">
        <f>IF(ISBLANK('ENGAGEMENTS 2026'!C740),"",'ENGAGEMENTS 2026'!H740)</f>
        <v/>
      </c>
      <c r="J740" s="275">
        <f>IF(ISBLANK('ENGAGEMENTS 2026'!C740),"",IF(AND(OR($E740="INFRUCTUEUX",$E740="ANNULE"),$C740="AOO-M"),'ENGAGEMENTS 2026'!P740,IF($H740="EN COURS DE PREENGAGEMENT",'ENGAGEMENTS 2026'!O740,IF($H740="PREENGAGE",IF($E740="ATTRIBUE",'ENGAGEMENTS 2026'!AE740,'ENGAGEMENTS 2026'!O740),'ENGAGEMENTS 2026'!AE740))))</f>
        <v/>
      </c>
      <c r="K740" s="604">
        <f>IF(ISBLANK('ENGAGEMENTS 2026'!W740),"",'ENGAGEMENTS 2026'!W740)</f>
        <v/>
      </c>
      <c r="L740" s="276">
        <f>IF($K740="","",TODAY()-$K740)</f>
        <v/>
      </c>
      <c r="M740">
        <f>IF($A740="","",IF($H740="ENGAGE","Engagé",IF(AND($H740="NON ENGAGE",OR($I740="INFRUCTUEUX",$I740="ANNULE")),"Clôturé sans suite","En cours")))</f>
        <v/>
      </c>
      <c r="N740">
        <f>IF(ISBLANK('ENGAGEMENTS 2026'!C740),"",'ENGAGEMENTS 2026'!L740)</f>
        <v/>
      </c>
      <c r="O740">
        <f>IF(ISBLANK('ENGAGEMENTS 2026'!C740),"",'ENGAGEMENTS 2026'!M740)</f>
        <v/>
      </c>
      <c r="P740">
        <f>IF(ISBLANK('ENGAGEMENTS 2026'!C740),"",'ENGAGEMENTS 2026'!K740)</f>
        <v/>
      </c>
      <c r="Q740">
        <f>IF($A740="","",IF(OR($E740="INFRUCTUEUX",$E740="ANNULE"),$A740&amp;"|"&amp;(COUNTIFS($A$2:$A740,$A740,$E$2:$E740,"INFRUCTUEUX")+COUNTIFS($A$2:$A740,$A740,$E$2:$E740,"ANNULE")),""))</f>
        <v/>
      </c>
    </row>
    <row r="741">
      <c r="A741">
        <f>IF(ISBLANK('ENGAGEMENTS 2026'!C741),"",IF('ENGAGEMENTS 2026'!C741="DTSI","DCT",'ENGAGEMENTS 2026'!C741))</f>
        <v/>
      </c>
      <c r="B741">
        <f>IF(ISBLANK('ENGAGEMENTS 2026'!C741),"",'ENGAGEMENTS 2026'!D741)</f>
        <v/>
      </c>
      <c r="C741">
        <f>IF(ISBLANK('ENGAGEMENTS 2026'!C741),"",'ENGAGEMENTS 2026'!E741)</f>
        <v/>
      </c>
      <c r="D741">
        <f>IF(ISBLANK('ENGAGEMENTS 2026'!C741),"",'ENGAGEMENTS 2026'!G741)</f>
        <v/>
      </c>
      <c r="E741">
        <f>IF(ISBLANK('ENGAGEMENTS 2026'!C741),"",'ENGAGEMENTS 2026'!I741)</f>
        <v/>
      </c>
      <c r="F741">
        <f>IF(ISBLANK('ENGAGEMENTS 2026'!C741),"",'ENGAGEMENTS 2026'!J741)</f>
        <v/>
      </c>
      <c r="G741">
        <f>IF(ISBLANK('ENGAGEMENTS 2026'!C741),"",'ENGAGEMENTS 2026'!M741)</f>
        <v/>
      </c>
      <c r="H741">
        <f>IF(ISBLANK('ENGAGEMENTS 2026'!C741),"",'ENGAGEMENTS 2026'!AF741)</f>
        <v/>
      </c>
      <c r="I741">
        <f>IF(ISBLANK('ENGAGEMENTS 2026'!C741),"",'ENGAGEMENTS 2026'!H741)</f>
        <v/>
      </c>
      <c r="J741" s="275">
        <f>IF(ISBLANK('ENGAGEMENTS 2026'!C741),"",IF(AND(OR($E741="INFRUCTUEUX",$E741="ANNULE"),$C741="AOO-M"),'ENGAGEMENTS 2026'!P741,IF($H741="EN COURS DE PREENGAGEMENT",'ENGAGEMENTS 2026'!O741,IF($H741="PREENGAGE",IF($E741="ATTRIBUE",'ENGAGEMENTS 2026'!AE741,'ENGAGEMENTS 2026'!O741),'ENGAGEMENTS 2026'!AE741))))</f>
        <v/>
      </c>
      <c r="K741" s="604">
        <f>IF(ISBLANK('ENGAGEMENTS 2026'!W741),"",'ENGAGEMENTS 2026'!W741)</f>
        <v/>
      </c>
      <c r="L741" s="276">
        <f>IF($K741="","",TODAY()-$K741)</f>
        <v/>
      </c>
      <c r="M741">
        <f>IF($A741="","",IF($H741="ENGAGE","Engagé",IF(AND($H741="NON ENGAGE",OR($I741="INFRUCTUEUX",$I741="ANNULE")),"Clôturé sans suite","En cours")))</f>
        <v/>
      </c>
      <c r="N741">
        <f>IF(ISBLANK('ENGAGEMENTS 2026'!C741),"",'ENGAGEMENTS 2026'!L741)</f>
        <v/>
      </c>
      <c r="O741">
        <f>IF(ISBLANK('ENGAGEMENTS 2026'!C741),"",'ENGAGEMENTS 2026'!M741)</f>
        <v/>
      </c>
      <c r="P741">
        <f>IF(ISBLANK('ENGAGEMENTS 2026'!C741),"",'ENGAGEMENTS 2026'!K741)</f>
        <v/>
      </c>
      <c r="Q741">
        <f>IF($A741="","",IF(OR($E741="INFRUCTUEUX",$E741="ANNULE"),$A741&amp;"|"&amp;(COUNTIFS($A$2:$A741,$A741,$E$2:$E741,"INFRUCTUEUX")+COUNTIFS($A$2:$A741,$A741,$E$2:$E741,"ANNULE")),""))</f>
        <v/>
      </c>
    </row>
    <row r="742">
      <c r="A742">
        <f>IF(ISBLANK('ENGAGEMENTS 2026'!C742),"",IF('ENGAGEMENTS 2026'!C742="DTSI","DCT",'ENGAGEMENTS 2026'!C742))</f>
        <v/>
      </c>
      <c r="B742">
        <f>IF(ISBLANK('ENGAGEMENTS 2026'!C742),"",'ENGAGEMENTS 2026'!D742)</f>
        <v/>
      </c>
      <c r="C742">
        <f>IF(ISBLANK('ENGAGEMENTS 2026'!C742),"",'ENGAGEMENTS 2026'!E742)</f>
        <v/>
      </c>
      <c r="D742">
        <f>IF(ISBLANK('ENGAGEMENTS 2026'!C742),"",'ENGAGEMENTS 2026'!G742)</f>
        <v/>
      </c>
      <c r="E742">
        <f>IF(ISBLANK('ENGAGEMENTS 2026'!C742),"",'ENGAGEMENTS 2026'!I742)</f>
        <v/>
      </c>
      <c r="F742">
        <f>IF(ISBLANK('ENGAGEMENTS 2026'!C742),"",'ENGAGEMENTS 2026'!J742)</f>
        <v/>
      </c>
      <c r="G742">
        <f>IF(ISBLANK('ENGAGEMENTS 2026'!C742),"",'ENGAGEMENTS 2026'!M742)</f>
        <v/>
      </c>
      <c r="H742">
        <f>IF(ISBLANK('ENGAGEMENTS 2026'!C742),"",'ENGAGEMENTS 2026'!AF742)</f>
        <v/>
      </c>
      <c r="I742">
        <f>IF(ISBLANK('ENGAGEMENTS 2026'!C742),"",'ENGAGEMENTS 2026'!H742)</f>
        <v/>
      </c>
      <c r="J742" s="275">
        <f>IF(ISBLANK('ENGAGEMENTS 2026'!C742),"",IF(AND(OR($E742="INFRUCTUEUX",$E742="ANNULE"),$C742="AOO-M"),'ENGAGEMENTS 2026'!P742,IF($H742="EN COURS DE PREENGAGEMENT",'ENGAGEMENTS 2026'!O742,IF($H742="PREENGAGE",IF($E742="ATTRIBUE",'ENGAGEMENTS 2026'!AE742,'ENGAGEMENTS 2026'!O742),'ENGAGEMENTS 2026'!AE742))))</f>
        <v/>
      </c>
      <c r="K742" s="604">
        <f>IF(ISBLANK('ENGAGEMENTS 2026'!W742),"",'ENGAGEMENTS 2026'!W742)</f>
        <v/>
      </c>
      <c r="L742" s="276">
        <f>IF($K742="","",TODAY()-$K742)</f>
        <v/>
      </c>
      <c r="M742">
        <f>IF($A742="","",IF($H742="ENGAGE","Engagé",IF(AND($H742="NON ENGAGE",OR($I742="INFRUCTUEUX",$I742="ANNULE")),"Clôturé sans suite","En cours")))</f>
        <v/>
      </c>
      <c r="N742">
        <f>IF(ISBLANK('ENGAGEMENTS 2026'!C742),"",'ENGAGEMENTS 2026'!L742)</f>
        <v/>
      </c>
      <c r="O742">
        <f>IF(ISBLANK('ENGAGEMENTS 2026'!C742),"",'ENGAGEMENTS 2026'!M742)</f>
        <v/>
      </c>
      <c r="P742">
        <f>IF(ISBLANK('ENGAGEMENTS 2026'!C742),"",'ENGAGEMENTS 2026'!K742)</f>
        <v/>
      </c>
      <c r="Q742">
        <f>IF($A742="","",IF(OR($E742="INFRUCTUEUX",$E742="ANNULE"),$A742&amp;"|"&amp;(COUNTIFS($A$2:$A742,$A742,$E$2:$E742,"INFRUCTUEUX")+COUNTIFS($A$2:$A742,$A742,$E$2:$E742,"ANNULE")),""))</f>
        <v/>
      </c>
    </row>
    <row r="743">
      <c r="A743">
        <f>IF(ISBLANK('ENGAGEMENTS 2026'!C743),"",IF('ENGAGEMENTS 2026'!C743="DTSI","DCT",'ENGAGEMENTS 2026'!C743))</f>
        <v/>
      </c>
      <c r="B743">
        <f>IF(ISBLANK('ENGAGEMENTS 2026'!C743),"",'ENGAGEMENTS 2026'!D743)</f>
        <v/>
      </c>
      <c r="C743">
        <f>IF(ISBLANK('ENGAGEMENTS 2026'!C743),"",'ENGAGEMENTS 2026'!E743)</f>
        <v/>
      </c>
      <c r="D743">
        <f>IF(ISBLANK('ENGAGEMENTS 2026'!C743),"",'ENGAGEMENTS 2026'!G743)</f>
        <v/>
      </c>
      <c r="E743">
        <f>IF(ISBLANK('ENGAGEMENTS 2026'!C743),"",'ENGAGEMENTS 2026'!I743)</f>
        <v/>
      </c>
      <c r="F743">
        <f>IF(ISBLANK('ENGAGEMENTS 2026'!C743),"",'ENGAGEMENTS 2026'!J743)</f>
        <v/>
      </c>
      <c r="G743">
        <f>IF(ISBLANK('ENGAGEMENTS 2026'!C743),"",'ENGAGEMENTS 2026'!M743)</f>
        <v/>
      </c>
      <c r="H743">
        <f>IF(ISBLANK('ENGAGEMENTS 2026'!C743),"",'ENGAGEMENTS 2026'!AF743)</f>
        <v/>
      </c>
      <c r="I743">
        <f>IF(ISBLANK('ENGAGEMENTS 2026'!C743),"",'ENGAGEMENTS 2026'!H743)</f>
        <v/>
      </c>
      <c r="J743" s="275">
        <f>IF(ISBLANK('ENGAGEMENTS 2026'!C743),"",IF(AND(OR($E743="INFRUCTUEUX",$E743="ANNULE"),$C743="AOO-M"),'ENGAGEMENTS 2026'!P743,IF($H743="EN COURS DE PREENGAGEMENT",'ENGAGEMENTS 2026'!O743,IF($H743="PREENGAGE",IF($E743="ATTRIBUE",'ENGAGEMENTS 2026'!AE743,'ENGAGEMENTS 2026'!O743),'ENGAGEMENTS 2026'!AE743))))</f>
        <v/>
      </c>
      <c r="K743" s="604">
        <f>IF(ISBLANK('ENGAGEMENTS 2026'!W743),"",'ENGAGEMENTS 2026'!W743)</f>
        <v/>
      </c>
      <c r="L743" s="276">
        <f>IF($K743="","",TODAY()-$K743)</f>
        <v/>
      </c>
      <c r="M743">
        <f>IF($A743="","",IF($H743="ENGAGE","Engagé",IF(AND($H743="NON ENGAGE",OR($I743="INFRUCTUEUX",$I743="ANNULE")),"Clôturé sans suite","En cours")))</f>
        <v/>
      </c>
      <c r="N743">
        <f>IF(ISBLANK('ENGAGEMENTS 2026'!C743),"",'ENGAGEMENTS 2026'!L743)</f>
        <v/>
      </c>
      <c r="O743">
        <f>IF(ISBLANK('ENGAGEMENTS 2026'!C743),"",'ENGAGEMENTS 2026'!M743)</f>
        <v/>
      </c>
      <c r="P743">
        <f>IF(ISBLANK('ENGAGEMENTS 2026'!C743),"",'ENGAGEMENTS 2026'!K743)</f>
        <v/>
      </c>
      <c r="Q743">
        <f>IF($A743="","",IF(OR($E743="INFRUCTUEUX",$E743="ANNULE"),$A743&amp;"|"&amp;(COUNTIFS($A$2:$A743,$A743,$E$2:$E743,"INFRUCTUEUX")+COUNTIFS($A$2:$A743,$A743,$E$2:$E743,"ANNULE")),""))</f>
        <v/>
      </c>
    </row>
    <row r="744">
      <c r="A744">
        <f>IF(ISBLANK('ENGAGEMENTS 2026'!C744),"",IF('ENGAGEMENTS 2026'!C744="DTSI","DCT",'ENGAGEMENTS 2026'!C744))</f>
        <v/>
      </c>
      <c r="B744">
        <f>IF(ISBLANK('ENGAGEMENTS 2026'!C744),"",'ENGAGEMENTS 2026'!D744)</f>
        <v/>
      </c>
      <c r="C744">
        <f>IF(ISBLANK('ENGAGEMENTS 2026'!C744),"",'ENGAGEMENTS 2026'!E744)</f>
        <v/>
      </c>
      <c r="D744">
        <f>IF(ISBLANK('ENGAGEMENTS 2026'!C744),"",'ENGAGEMENTS 2026'!G744)</f>
        <v/>
      </c>
      <c r="E744">
        <f>IF(ISBLANK('ENGAGEMENTS 2026'!C744),"",'ENGAGEMENTS 2026'!I744)</f>
        <v/>
      </c>
      <c r="F744">
        <f>IF(ISBLANK('ENGAGEMENTS 2026'!C744),"",'ENGAGEMENTS 2026'!J744)</f>
        <v/>
      </c>
      <c r="G744">
        <f>IF(ISBLANK('ENGAGEMENTS 2026'!C744),"",'ENGAGEMENTS 2026'!M744)</f>
        <v/>
      </c>
      <c r="H744">
        <f>IF(ISBLANK('ENGAGEMENTS 2026'!C744),"",'ENGAGEMENTS 2026'!AF744)</f>
        <v/>
      </c>
      <c r="I744">
        <f>IF(ISBLANK('ENGAGEMENTS 2026'!C744),"",'ENGAGEMENTS 2026'!H744)</f>
        <v/>
      </c>
      <c r="J744" s="275">
        <f>IF(ISBLANK('ENGAGEMENTS 2026'!C744),"",IF(AND(OR($E744="INFRUCTUEUX",$E744="ANNULE"),$C744="AOO-M"),'ENGAGEMENTS 2026'!P744,IF($H744="EN COURS DE PREENGAGEMENT",'ENGAGEMENTS 2026'!O744,IF($H744="PREENGAGE",IF($E744="ATTRIBUE",'ENGAGEMENTS 2026'!AE744,'ENGAGEMENTS 2026'!O744),'ENGAGEMENTS 2026'!AE744))))</f>
        <v/>
      </c>
      <c r="K744" s="604">
        <f>IF(ISBLANK('ENGAGEMENTS 2026'!W744),"",'ENGAGEMENTS 2026'!W744)</f>
        <v/>
      </c>
      <c r="L744" s="276">
        <f>IF($K744="","",TODAY()-$K744)</f>
        <v/>
      </c>
      <c r="M744">
        <f>IF($A744="","",IF($H744="ENGAGE","Engagé",IF(AND($H744="NON ENGAGE",OR($I744="INFRUCTUEUX",$I744="ANNULE")),"Clôturé sans suite","En cours")))</f>
        <v/>
      </c>
      <c r="N744">
        <f>IF(ISBLANK('ENGAGEMENTS 2026'!C744),"",'ENGAGEMENTS 2026'!L744)</f>
        <v/>
      </c>
      <c r="O744">
        <f>IF(ISBLANK('ENGAGEMENTS 2026'!C744),"",'ENGAGEMENTS 2026'!M744)</f>
        <v/>
      </c>
      <c r="P744">
        <f>IF(ISBLANK('ENGAGEMENTS 2026'!C744),"",'ENGAGEMENTS 2026'!K744)</f>
        <v/>
      </c>
      <c r="Q744">
        <f>IF($A744="","",IF(OR($E744="INFRUCTUEUX",$E744="ANNULE"),$A744&amp;"|"&amp;(COUNTIFS($A$2:$A744,$A744,$E$2:$E744,"INFRUCTUEUX")+COUNTIFS($A$2:$A744,$A744,$E$2:$E744,"ANNULE")),""))</f>
        <v/>
      </c>
    </row>
    <row r="745">
      <c r="A745">
        <f>IF(ISBLANK('ENGAGEMENTS 2026'!C745),"",IF('ENGAGEMENTS 2026'!C745="DTSI","DCT",'ENGAGEMENTS 2026'!C745))</f>
        <v/>
      </c>
      <c r="B745">
        <f>IF(ISBLANK('ENGAGEMENTS 2026'!C745),"",'ENGAGEMENTS 2026'!D745)</f>
        <v/>
      </c>
      <c r="C745">
        <f>IF(ISBLANK('ENGAGEMENTS 2026'!C745),"",'ENGAGEMENTS 2026'!E745)</f>
        <v/>
      </c>
      <c r="D745">
        <f>IF(ISBLANK('ENGAGEMENTS 2026'!C745),"",'ENGAGEMENTS 2026'!G745)</f>
        <v/>
      </c>
      <c r="E745">
        <f>IF(ISBLANK('ENGAGEMENTS 2026'!C745),"",'ENGAGEMENTS 2026'!I745)</f>
        <v/>
      </c>
      <c r="F745">
        <f>IF(ISBLANK('ENGAGEMENTS 2026'!C745),"",'ENGAGEMENTS 2026'!J745)</f>
        <v/>
      </c>
      <c r="G745">
        <f>IF(ISBLANK('ENGAGEMENTS 2026'!C745),"",'ENGAGEMENTS 2026'!M745)</f>
        <v/>
      </c>
      <c r="H745">
        <f>IF(ISBLANK('ENGAGEMENTS 2026'!C745),"",'ENGAGEMENTS 2026'!AF745)</f>
        <v/>
      </c>
      <c r="I745">
        <f>IF(ISBLANK('ENGAGEMENTS 2026'!C745),"",'ENGAGEMENTS 2026'!H745)</f>
        <v/>
      </c>
      <c r="J745" s="275">
        <f>IF(ISBLANK('ENGAGEMENTS 2026'!C745),"",IF(AND(OR($E745="INFRUCTUEUX",$E745="ANNULE"),$C745="AOO-M"),'ENGAGEMENTS 2026'!P745,IF($H745="EN COURS DE PREENGAGEMENT",'ENGAGEMENTS 2026'!O745,IF($H745="PREENGAGE",IF($E745="ATTRIBUE",'ENGAGEMENTS 2026'!AE745,'ENGAGEMENTS 2026'!O745),'ENGAGEMENTS 2026'!AE745))))</f>
        <v/>
      </c>
      <c r="K745" s="604">
        <f>IF(ISBLANK('ENGAGEMENTS 2026'!W745),"",'ENGAGEMENTS 2026'!W745)</f>
        <v/>
      </c>
      <c r="L745" s="276">
        <f>IF($K745="","",TODAY()-$K745)</f>
        <v/>
      </c>
      <c r="M745">
        <f>IF($A745="","",IF($H745="ENGAGE","Engagé",IF(AND($H745="NON ENGAGE",OR($I745="INFRUCTUEUX",$I745="ANNULE")),"Clôturé sans suite","En cours")))</f>
        <v/>
      </c>
      <c r="N745">
        <f>IF(ISBLANK('ENGAGEMENTS 2026'!C745),"",'ENGAGEMENTS 2026'!L745)</f>
        <v/>
      </c>
      <c r="O745">
        <f>IF(ISBLANK('ENGAGEMENTS 2026'!C745),"",'ENGAGEMENTS 2026'!M745)</f>
        <v/>
      </c>
      <c r="P745">
        <f>IF(ISBLANK('ENGAGEMENTS 2026'!C745),"",'ENGAGEMENTS 2026'!K745)</f>
        <v/>
      </c>
      <c r="Q745">
        <f>IF($A745="","",IF(OR($E745="INFRUCTUEUX",$E745="ANNULE"),$A745&amp;"|"&amp;(COUNTIFS($A$2:$A745,$A745,$E$2:$E745,"INFRUCTUEUX")+COUNTIFS($A$2:$A745,$A745,$E$2:$E745,"ANNULE")),""))</f>
        <v/>
      </c>
    </row>
    <row r="746">
      <c r="A746">
        <f>IF(ISBLANK('ENGAGEMENTS 2026'!C746),"",IF('ENGAGEMENTS 2026'!C746="DTSI","DCT",'ENGAGEMENTS 2026'!C746))</f>
        <v/>
      </c>
      <c r="B746">
        <f>IF(ISBLANK('ENGAGEMENTS 2026'!C746),"",'ENGAGEMENTS 2026'!D746)</f>
        <v/>
      </c>
      <c r="C746">
        <f>IF(ISBLANK('ENGAGEMENTS 2026'!C746),"",'ENGAGEMENTS 2026'!E746)</f>
        <v/>
      </c>
      <c r="D746">
        <f>IF(ISBLANK('ENGAGEMENTS 2026'!C746),"",'ENGAGEMENTS 2026'!G746)</f>
        <v/>
      </c>
      <c r="E746">
        <f>IF(ISBLANK('ENGAGEMENTS 2026'!C746),"",'ENGAGEMENTS 2026'!I746)</f>
        <v/>
      </c>
      <c r="F746">
        <f>IF(ISBLANK('ENGAGEMENTS 2026'!C746),"",'ENGAGEMENTS 2026'!J746)</f>
        <v/>
      </c>
      <c r="G746">
        <f>IF(ISBLANK('ENGAGEMENTS 2026'!C746),"",'ENGAGEMENTS 2026'!M746)</f>
        <v/>
      </c>
      <c r="H746">
        <f>IF(ISBLANK('ENGAGEMENTS 2026'!C746),"",'ENGAGEMENTS 2026'!AF746)</f>
        <v/>
      </c>
      <c r="I746">
        <f>IF(ISBLANK('ENGAGEMENTS 2026'!C746),"",'ENGAGEMENTS 2026'!H746)</f>
        <v/>
      </c>
      <c r="J746" s="275">
        <f>IF(ISBLANK('ENGAGEMENTS 2026'!C746),"",IF(AND(OR($E746="INFRUCTUEUX",$E746="ANNULE"),$C746="AOO-M"),'ENGAGEMENTS 2026'!P746,IF($H746="EN COURS DE PREENGAGEMENT",'ENGAGEMENTS 2026'!O746,IF($H746="PREENGAGE",IF($E746="ATTRIBUE",'ENGAGEMENTS 2026'!AE746,'ENGAGEMENTS 2026'!O746),'ENGAGEMENTS 2026'!AE746))))</f>
        <v/>
      </c>
      <c r="K746" s="604">
        <f>IF(ISBLANK('ENGAGEMENTS 2026'!W746),"",'ENGAGEMENTS 2026'!W746)</f>
        <v/>
      </c>
      <c r="L746" s="276">
        <f>IF($K746="","",TODAY()-$K746)</f>
        <v/>
      </c>
      <c r="M746">
        <f>IF($A746="","",IF($H746="ENGAGE","Engagé",IF(AND($H746="NON ENGAGE",OR($I746="INFRUCTUEUX",$I746="ANNULE")),"Clôturé sans suite","En cours")))</f>
        <v/>
      </c>
      <c r="N746">
        <f>IF(ISBLANK('ENGAGEMENTS 2026'!C746),"",'ENGAGEMENTS 2026'!L746)</f>
        <v/>
      </c>
      <c r="O746">
        <f>IF(ISBLANK('ENGAGEMENTS 2026'!C746),"",'ENGAGEMENTS 2026'!M746)</f>
        <v/>
      </c>
      <c r="P746">
        <f>IF(ISBLANK('ENGAGEMENTS 2026'!C746),"",'ENGAGEMENTS 2026'!K746)</f>
        <v/>
      </c>
      <c r="Q746">
        <f>IF($A746="","",IF(OR($E746="INFRUCTUEUX",$E746="ANNULE"),$A746&amp;"|"&amp;(COUNTIFS($A$2:$A746,$A746,$E$2:$E746,"INFRUCTUEUX")+COUNTIFS($A$2:$A746,$A746,$E$2:$E746,"ANNULE")),""))</f>
        <v/>
      </c>
    </row>
    <row r="747">
      <c r="A747">
        <f>IF(ISBLANK('ENGAGEMENTS 2026'!C747),"",IF('ENGAGEMENTS 2026'!C747="DTSI","DCT",'ENGAGEMENTS 2026'!C747))</f>
        <v/>
      </c>
      <c r="B747">
        <f>IF(ISBLANK('ENGAGEMENTS 2026'!C747),"",'ENGAGEMENTS 2026'!D747)</f>
        <v/>
      </c>
      <c r="C747">
        <f>IF(ISBLANK('ENGAGEMENTS 2026'!C747),"",'ENGAGEMENTS 2026'!E747)</f>
        <v/>
      </c>
      <c r="D747">
        <f>IF(ISBLANK('ENGAGEMENTS 2026'!C747),"",'ENGAGEMENTS 2026'!G747)</f>
        <v/>
      </c>
      <c r="E747">
        <f>IF(ISBLANK('ENGAGEMENTS 2026'!C747),"",'ENGAGEMENTS 2026'!I747)</f>
        <v/>
      </c>
      <c r="F747">
        <f>IF(ISBLANK('ENGAGEMENTS 2026'!C747),"",'ENGAGEMENTS 2026'!J747)</f>
        <v/>
      </c>
      <c r="G747">
        <f>IF(ISBLANK('ENGAGEMENTS 2026'!C747),"",'ENGAGEMENTS 2026'!M747)</f>
        <v/>
      </c>
      <c r="H747">
        <f>IF(ISBLANK('ENGAGEMENTS 2026'!C747),"",'ENGAGEMENTS 2026'!AF747)</f>
        <v/>
      </c>
      <c r="I747">
        <f>IF(ISBLANK('ENGAGEMENTS 2026'!C747),"",'ENGAGEMENTS 2026'!H747)</f>
        <v/>
      </c>
      <c r="J747" s="275">
        <f>IF(ISBLANK('ENGAGEMENTS 2026'!C747),"",IF(AND(OR($E747="INFRUCTUEUX",$E747="ANNULE"),$C747="AOO-M"),'ENGAGEMENTS 2026'!P747,IF($H747="EN COURS DE PREENGAGEMENT",'ENGAGEMENTS 2026'!O747,IF($H747="PREENGAGE",IF($E747="ATTRIBUE",'ENGAGEMENTS 2026'!AE747,'ENGAGEMENTS 2026'!O747),'ENGAGEMENTS 2026'!AE747))))</f>
        <v/>
      </c>
      <c r="K747" s="604">
        <f>IF(ISBLANK('ENGAGEMENTS 2026'!W747),"",'ENGAGEMENTS 2026'!W747)</f>
        <v/>
      </c>
      <c r="L747" s="276">
        <f>IF($K747="","",TODAY()-$K747)</f>
        <v/>
      </c>
      <c r="M747">
        <f>IF($A747="","",IF($H747="ENGAGE","Engagé",IF(AND($H747="NON ENGAGE",OR($I747="INFRUCTUEUX",$I747="ANNULE")),"Clôturé sans suite","En cours")))</f>
        <v/>
      </c>
      <c r="N747">
        <f>IF(ISBLANK('ENGAGEMENTS 2026'!C747),"",'ENGAGEMENTS 2026'!L747)</f>
        <v/>
      </c>
      <c r="O747">
        <f>IF(ISBLANK('ENGAGEMENTS 2026'!C747),"",'ENGAGEMENTS 2026'!M747)</f>
        <v/>
      </c>
      <c r="P747">
        <f>IF(ISBLANK('ENGAGEMENTS 2026'!C747),"",'ENGAGEMENTS 2026'!K747)</f>
        <v/>
      </c>
      <c r="Q747">
        <f>IF($A747="","",IF(OR($E747="INFRUCTUEUX",$E747="ANNULE"),$A747&amp;"|"&amp;(COUNTIFS($A$2:$A747,$A747,$E$2:$E747,"INFRUCTUEUX")+COUNTIFS($A$2:$A747,$A747,$E$2:$E747,"ANNULE")),""))</f>
        <v/>
      </c>
    </row>
    <row r="748">
      <c r="A748">
        <f>IF(ISBLANK('ENGAGEMENTS 2026'!C748),"",IF('ENGAGEMENTS 2026'!C748="DTSI","DCT",'ENGAGEMENTS 2026'!C748))</f>
        <v/>
      </c>
      <c r="B748">
        <f>IF(ISBLANK('ENGAGEMENTS 2026'!C748),"",'ENGAGEMENTS 2026'!D748)</f>
        <v/>
      </c>
      <c r="C748">
        <f>IF(ISBLANK('ENGAGEMENTS 2026'!C748),"",'ENGAGEMENTS 2026'!E748)</f>
        <v/>
      </c>
      <c r="D748">
        <f>IF(ISBLANK('ENGAGEMENTS 2026'!C748),"",'ENGAGEMENTS 2026'!G748)</f>
        <v/>
      </c>
      <c r="E748">
        <f>IF(ISBLANK('ENGAGEMENTS 2026'!C748),"",'ENGAGEMENTS 2026'!I748)</f>
        <v/>
      </c>
      <c r="F748">
        <f>IF(ISBLANK('ENGAGEMENTS 2026'!C748),"",'ENGAGEMENTS 2026'!J748)</f>
        <v/>
      </c>
      <c r="G748">
        <f>IF(ISBLANK('ENGAGEMENTS 2026'!C748),"",'ENGAGEMENTS 2026'!M748)</f>
        <v/>
      </c>
      <c r="H748">
        <f>IF(ISBLANK('ENGAGEMENTS 2026'!C748),"",'ENGAGEMENTS 2026'!AF748)</f>
        <v/>
      </c>
      <c r="I748">
        <f>IF(ISBLANK('ENGAGEMENTS 2026'!C748),"",'ENGAGEMENTS 2026'!H748)</f>
        <v/>
      </c>
      <c r="J748" s="275">
        <f>IF(ISBLANK('ENGAGEMENTS 2026'!C748),"",IF(AND(OR($E748="INFRUCTUEUX",$E748="ANNULE"),$C748="AOO-M"),'ENGAGEMENTS 2026'!P748,IF($H748="EN COURS DE PREENGAGEMENT",'ENGAGEMENTS 2026'!O748,IF($H748="PREENGAGE",IF($E748="ATTRIBUE",'ENGAGEMENTS 2026'!AE748,'ENGAGEMENTS 2026'!O748),'ENGAGEMENTS 2026'!AE748))))</f>
        <v/>
      </c>
      <c r="K748" s="604">
        <f>IF(ISBLANK('ENGAGEMENTS 2026'!W748),"",'ENGAGEMENTS 2026'!W748)</f>
        <v/>
      </c>
      <c r="L748" s="276">
        <f>IF($K748="","",TODAY()-$K748)</f>
        <v/>
      </c>
      <c r="M748">
        <f>IF($A748="","",IF($H748="ENGAGE","Engagé",IF(AND($H748="NON ENGAGE",OR($I748="INFRUCTUEUX",$I748="ANNULE")),"Clôturé sans suite","En cours")))</f>
        <v/>
      </c>
      <c r="N748">
        <f>IF(ISBLANK('ENGAGEMENTS 2026'!C748),"",'ENGAGEMENTS 2026'!L748)</f>
        <v/>
      </c>
      <c r="O748">
        <f>IF(ISBLANK('ENGAGEMENTS 2026'!C748),"",'ENGAGEMENTS 2026'!M748)</f>
        <v/>
      </c>
      <c r="P748">
        <f>IF(ISBLANK('ENGAGEMENTS 2026'!C748),"",'ENGAGEMENTS 2026'!K748)</f>
        <v/>
      </c>
      <c r="Q748">
        <f>IF($A748="","",IF(OR($E748="INFRUCTUEUX",$E748="ANNULE"),$A748&amp;"|"&amp;(COUNTIFS($A$2:$A748,$A748,$E$2:$E748,"INFRUCTUEUX")+COUNTIFS($A$2:$A748,$A748,$E$2:$E748,"ANNULE")),""))</f>
        <v/>
      </c>
    </row>
    <row r="749">
      <c r="A749">
        <f>IF(ISBLANK('ENGAGEMENTS 2026'!C749),"",IF('ENGAGEMENTS 2026'!C749="DTSI","DCT",'ENGAGEMENTS 2026'!C749))</f>
        <v/>
      </c>
      <c r="B749">
        <f>IF(ISBLANK('ENGAGEMENTS 2026'!C749),"",'ENGAGEMENTS 2026'!D749)</f>
        <v/>
      </c>
      <c r="C749">
        <f>IF(ISBLANK('ENGAGEMENTS 2026'!C749),"",'ENGAGEMENTS 2026'!E749)</f>
        <v/>
      </c>
      <c r="D749">
        <f>IF(ISBLANK('ENGAGEMENTS 2026'!C749),"",'ENGAGEMENTS 2026'!G749)</f>
        <v/>
      </c>
      <c r="E749">
        <f>IF(ISBLANK('ENGAGEMENTS 2026'!C749),"",'ENGAGEMENTS 2026'!I749)</f>
        <v/>
      </c>
      <c r="F749">
        <f>IF(ISBLANK('ENGAGEMENTS 2026'!C749),"",'ENGAGEMENTS 2026'!J749)</f>
        <v/>
      </c>
      <c r="G749">
        <f>IF(ISBLANK('ENGAGEMENTS 2026'!C749),"",'ENGAGEMENTS 2026'!M749)</f>
        <v/>
      </c>
      <c r="H749">
        <f>IF(ISBLANK('ENGAGEMENTS 2026'!C749),"",'ENGAGEMENTS 2026'!AF749)</f>
        <v/>
      </c>
      <c r="I749">
        <f>IF(ISBLANK('ENGAGEMENTS 2026'!C749),"",'ENGAGEMENTS 2026'!H749)</f>
        <v/>
      </c>
      <c r="J749" s="275">
        <f>IF(ISBLANK('ENGAGEMENTS 2026'!C749),"",IF(AND(OR($E749="INFRUCTUEUX",$E749="ANNULE"),$C749="AOO-M"),'ENGAGEMENTS 2026'!P749,IF($H749="EN COURS DE PREENGAGEMENT",'ENGAGEMENTS 2026'!O749,IF($H749="PREENGAGE",IF($E749="ATTRIBUE",'ENGAGEMENTS 2026'!AE749,'ENGAGEMENTS 2026'!O749),'ENGAGEMENTS 2026'!AE749))))</f>
        <v/>
      </c>
      <c r="K749" s="604">
        <f>IF(ISBLANK('ENGAGEMENTS 2026'!W749),"",'ENGAGEMENTS 2026'!W749)</f>
        <v/>
      </c>
      <c r="L749" s="276">
        <f>IF($K749="","",TODAY()-$K749)</f>
        <v/>
      </c>
      <c r="M749">
        <f>IF($A749="","",IF($H749="ENGAGE","Engagé",IF(AND($H749="NON ENGAGE",OR($I749="INFRUCTUEUX",$I749="ANNULE")),"Clôturé sans suite","En cours")))</f>
        <v/>
      </c>
      <c r="N749">
        <f>IF(ISBLANK('ENGAGEMENTS 2026'!C749),"",'ENGAGEMENTS 2026'!L749)</f>
        <v/>
      </c>
      <c r="O749">
        <f>IF(ISBLANK('ENGAGEMENTS 2026'!C749),"",'ENGAGEMENTS 2026'!M749)</f>
        <v/>
      </c>
      <c r="P749">
        <f>IF(ISBLANK('ENGAGEMENTS 2026'!C749),"",'ENGAGEMENTS 2026'!K749)</f>
        <v/>
      </c>
      <c r="Q749">
        <f>IF($A749="","",IF(OR($E749="INFRUCTUEUX",$E749="ANNULE"),$A749&amp;"|"&amp;(COUNTIFS($A$2:$A749,$A749,$E$2:$E749,"INFRUCTUEUX")+COUNTIFS($A$2:$A749,$A749,$E$2:$E749,"ANNULE")),""))</f>
        <v/>
      </c>
    </row>
    <row r="750">
      <c r="A750">
        <f>IF(ISBLANK('ENGAGEMENTS 2026'!C750),"",IF('ENGAGEMENTS 2026'!C750="DTSI","DCT",'ENGAGEMENTS 2026'!C750))</f>
        <v/>
      </c>
      <c r="B750">
        <f>IF(ISBLANK('ENGAGEMENTS 2026'!C750),"",'ENGAGEMENTS 2026'!D750)</f>
        <v/>
      </c>
      <c r="C750">
        <f>IF(ISBLANK('ENGAGEMENTS 2026'!C750),"",'ENGAGEMENTS 2026'!E750)</f>
        <v/>
      </c>
      <c r="D750">
        <f>IF(ISBLANK('ENGAGEMENTS 2026'!C750),"",'ENGAGEMENTS 2026'!G750)</f>
        <v/>
      </c>
      <c r="E750">
        <f>IF(ISBLANK('ENGAGEMENTS 2026'!C750),"",'ENGAGEMENTS 2026'!I750)</f>
        <v/>
      </c>
      <c r="F750">
        <f>IF(ISBLANK('ENGAGEMENTS 2026'!C750),"",'ENGAGEMENTS 2026'!J750)</f>
        <v/>
      </c>
      <c r="G750">
        <f>IF(ISBLANK('ENGAGEMENTS 2026'!C750),"",'ENGAGEMENTS 2026'!M750)</f>
        <v/>
      </c>
      <c r="H750">
        <f>IF(ISBLANK('ENGAGEMENTS 2026'!C750),"",'ENGAGEMENTS 2026'!AF750)</f>
        <v/>
      </c>
      <c r="I750">
        <f>IF(ISBLANK('ENGAGEMENTS 2026'!C750),"",'ENGAGEMENTS 2026'!H750)</f>
        <v/>
      </c>
      <c r="J750" s="275">
        <f>IF(ISBLANK('ENGAGEMENTS 2026'!C750),"",IF(AND(OR($E750="INFRUCTUEUX",$E750="ANNULE"),$C750="AOO-M"),'ENGAGEMENTS 2026'!P750,IF($H750="EN COURS DE PREENGAGEMENT",'ENGAGEMENTS 2026'!O750,IF($H750="PREENGAGE",IF($E750="ATTRIBUE",'ENGAGEMENTS 2026'!AE750,'ENGAGEMENTS 2026'!O750),'ENGAGEMENTS 2026'!AE750))))</f>
        <v/>
      </c>
      <c r="K750" s="604">
        <f>IF(ISBLANK('ENGAGEMENTS 2026'!W750),"",'ENGAGEMENTS 2026'!W750)</f>
        <v/>
      </c>
      <c r="L750" s="276">
        <f>IF($K750="","",TODAY()-$K750)</f>
        <v/>
      </c>
      <c r="M750">
        <f>IF($A750="","",IF($H750="ENGAGE","Engagé",IF(AND($H750="NON ENGAGE",OR($I750="INFRUCTUEUX",$I750="ANNULE")),"Clôturé sans suite","En cours")))</f>
        <v/>
      </c>
      <c r="N750">
        <f>IF(ISBLANK('ENGAGEMENTS 2026'!C750),"",'ENGAGEMENTS 2026'!L750)</f>
        <v/>
      </c>
      <c r="O750">
        <f>IF(ISBLANK('ENGAGEMENTS 2026'!C750),"",'ENGAGEMENTS 2026'!M750)</f>
        <v/>
      </c>
      <c r="P750">
        <f>IF(ISBLANK('ENGAGEMENTS 2026'!C750),"",'ENGAGEMENTS 2026'!K750)</f>
        <v/>
      </c>
      <c r="Q750">
        <f>IF($A750="","",IF(OR($E750="INFRUCTUEUX",$E750="ANNULE"),$A750&amp;"|"&amp;(COUNTIFS($A$2:$A750,$A750,$E$2:$E750,"INFRUCTUEUX")+COUNTIFS($A$2:$A750,$A750,$E$2:$E750,"ANNULE")),""))</f>
        <v/>
      </c>
    </row>
    <row r="751">
      <c r="A751">
        <f>IF(ISBLANK('ENGAGEMENTS 2026'!C751),"",IF('ENGAGEMENTS 2026'!C751="DTSI","DCT",'ENGAGEMENTS 2026'!C751))</f>
        <v/>
      </c>
      <c r="B751">
        <f>IF(ISBLANK('ENGAGEMENTS 2026'!C751),"",'ENGAGEMENTS 2026'!D751)</f>
        <v/>
      </c>
      <c r="C751">
        <f>IF(ISBLANK('ENGAGEMENTS 2026'!C751),"",'ENGAGEMENTS 2026'!E751)</f>
        <v/>
      </c>
      <c r="D751">
        <f>IF(ISBLANK('ENGAGEMENTS 2026'!C751),"",'ENGAGEMENTS 2026'!G751)</f>
        <v/>
      </c>
      <c r="E751">
        <f>IF(ISBLANK('ENGAGEMENTS 2026'!C751),"",'ENGAGEMENTS 2026'!I751)</f>
        <v/>
      </c>
      <c r="F751">
        <f>IF(ISBLANK('ENGAGEMENTS 2026'!C751),"",'ENGAGEMENTS 2026'!J751)</f>
        <v/>
      </c>
      <c r="G751">
        <f>IF(ISBLANK('ENGAGEMENTS 2026'!C751),"",'ENGAGEMENTS 2026'!M751)</f>
        <v/>
      </c>
      <c r="H751">
        <f>IF(ISBLANK('ENGAGEMENTS 2026'!C751),"",'ENGAGEMENTS 2026'!AF751)</f>
        <v/>
      </c>
      <c r="I751">
        <f>IF(ISBLANK('ENGAGEMENTS 2026'!C751),"",'ENGAGEMENTS 2026'!H751)</f>
        <v/>
      </c>
      <c r="J751" s="275">
        <f>IF(ISBLANK('ENGAGEMENTS 2026'!C751),"",IF(AND(OR($E751="INFRUCTUEUX",$E751="ANNULE"),$C751="AOO-M"),'ENGAGEMENTS 2026'!P751,IF($H751="EN COURS DE PREENGAGEMENT",'ENGAGEMENTS 2026'!O751,IF($H751="PREENGAGE",IF($E751="ATTRIBUE",'ENGAGEMENTS 2026'!AE751,'ENGAGEMENTS 2026'!O751),'ENGAGEMENTS 2026'!AE751))))</f>
        <v/>
      </c>
      <c r="K751" s="604">
        <f>IF(ISBLANK('ENGAGEMENTS 2026'!W751),"",'ENGAGEMENTS 2026'!W751)</f>
        <v/>
      </c>
      <c r="L751" s="276">
        <f>IF($K751="","",TODAY()-$K751)</f>
        <v/>
      </c>
      <c r="M751">
        <f>IF($A751="","",IF($H751="ENGAGE","Engagé",IF(AND($H751="NON ENGAGE",OR($I751="INFRUCTUEUX",$I751="ANNULE")),"Clôturé sans suite","En cours")))</f>
        <v/>
      </c>
      <c r="N751">
        <f>IF(ISBLANK('ENGAGEMENTS 2026'!C751),"",'ENGAGEMENTS 2026'!L751)</f>
        <v/>
      </c>
      <c r="O751">
        <f>IF(ISBLANK('ENGAGEMENTS 2026'!C751),"",'ENGAGEMENTS 2026'!M751)</f>
        <v/>
      </c>
      <c r="P751">
        <f>IF(ISBLANK('ENGAGEMENTS 2026'!C751),"",'ENGAGEMENTS 2026'!K751)</f>
        <v/>
      </c>
      <c r="Q751">
        <f>IF($A751="","",IF(OR($E751="INFRUCTUEUX",$E751="ANNULE"),$A751&amp;"|"&amp;(COUNTIFS($A$2:$A751,$A751,$E$2:$E751,"INFRUCTUEUX")+COUNTIFS($A$2:$A751,$A751,$E$2:$E751,"ANNULE")),""))</f>
        <v/>
      </c>
    </row>
    <row r="752">
      <c r="A752">
        <f>IF(ISBLANK('ENGAGEMENTS 2026'!C752),"",IF('ENGAGEMENTS 2026'!C752="DTSI","DCT",'ENGAGEMENTS 2026'!C752))</f>
        <v/>
      </c>
      <c r="B752">
        <f>IF(ISBLANK('ENGAGEMENTS 2026'!C752),"",'ENGAGEMENTS 2026'!D752)</f>
        <v/>
      </c>
      <c r="C752">
        <f>IF(ISBLANK('ENGAGEMENTS 2026'!C752),"",'ENGAGEMENTS 2026'!E752)</f>
        <v/>
      </c>
      <c r="D752">
        <f>IF(ISBLANK('ENGAGEMENTS 2026'!C752),"",'ENGAGEMENTS 2026'!G752)</f>
        <v/>
      </c>
      <c r="E752">
        <f>IF(ISBLANK('ENGAGEMENTS 2026'!C752),"",'ENGAGEMENTS 2026'!I752)</f>
        <v/>
      </c>
      <c r="F752">
        <f>IF(ISBLANK('ENGAGEMENTS 2026'!C752),"",'ENGAGEMENTS 2026'!J752)</f>
        <v/>
      </c>
      <c r="G752">
        <f>IF(ISBLANK('ENGAGEMENTS 2026'!C752),"",'ENGAGEMENTS 2026'!M752)</f>
        <v/>
      </c>
      <c r="H752">
        <f>IF(ISBLANK('ENGAGEMENTS 2026'!C752),"",'ENGAGEMENTS 2026'!AF752)</f>
        <v/>
      </c>
      <c r="I752">
        <f>IF(ISBLANK('ENGAGEMENTS 2026'!C752),"",'ENGAGEMENTS 2026'!H752)</f>
        <v/>
      </c>
      <c r="J752" s="275">
        <f>IF(ISBLANK('ENGAGEMENTS 2026'!C752),"",IF(AND(OR($E752="INFRUCTUEUX",$E752="ANNULE"),$C752="AOO-M"),'ENGAGEMENTS 2026'!P752,IF($H752="EN COURS DE PREENGAGEMENT",'ENGAGEMENTS 2026'!O752,IF($H752="PREENGAGE",IF($E752="ATTRIBUE",'ENGAGEMENTS 2026'!AE752,'ENGAGEMENTS 2026'!O752),'ENGAGEMENTS 2026'!AE752))))</f>
        <v/>
      </c>
      <c r="K752" s="604">
        <f>IF(ISBLANK('ENGAGEMENTS 2026'!W752),"",'ENGAGEMENTS 2026'!W752)</f>
        <v/>
      </c>
      <c r="L752" s="276">
        <f>IF($K752="","",TODAY()-$K752)</f>
        <v/>
      </c>
      <c r="M752">
        <f>IF($A752="","",IF($H752="ENGAGE","Engagé",IF(AND($H752="NON ENGAGE",OR($I752="INFRUCTUEUX",$I752="ANNULE")),"Clôturé sans suite","En cours")))</f>
        <v/>
      </c>
      <c r="N752">
        <f>IF(ISBLANK('ENGAGEMENTS 2026'!C752),"",'ENGAGEMENTS 2026'!L752)</f>
        <v/>
      </c>
      <c r="O752">
        <f>IF(ISBLANK('ENGAGEMENTS 2026'!C752),"",'ENGAGEMENTS 2026'!M752)</f>
        <v/>
      </c>
      <c r="P752">
        <f>IF(ISBLANK('ENGAGEMENTS 2026'!C752),"",'ENGAGEMENTS 2026'!K752)</f>
        <v/>
      </c>
      <c r="Q752">
        <f>IF($A752="","",IF(OR($E752="INFRUCTUEUX",$E752="ANNULE"),$A752&amp;"|"&amp;(COUNTIFS($A$2:$A752,$A752,$E$2:$E752,"INFRUCTUEUX")+COUNTIFS($A$2:$A752,$A752,$E$2:$E752,"ANNULE")),""))</f>
        <v/>
      </c>
    </row>
    <row r="753">
      <c r="A753">
        <f>IF(ISBLANK('ENGAGEMENTS 2026'!C753),"",IF('ENGAGEMENTS 2026'!C753="DTSI","DCT",'ENGAGEMENTS 2026'!C753))</f>
        <v/>
      </c>
      <c r="B753">
        <f>IF(ISBLANK('ENGAGEMENTS 2026'!C753),"",'ENGAGEMENTS 2026'!D753)</f>
        <v/>
      </c>
      <c r="C753">
        <f>IF(ISBLANK('ENGAGEMENTS 2026'!C753),"",'ENGAGEMENTS 2026'!E753)</f>
        <v/>
      </c>
      <c r="D753">
        <f>IF(ISBLANK('ENGAGEMENTS 2026'!C753),"",'ENGAGEMENTS 2026'!G753)</f>
        <v/>
      </c>
      <c r="E753">
        <f>IF(ISBLANK('ENGAGEMENTS 2026'!C753),"",'ENGAGEMENTS 2026'!I753)</f>
        <v/>
      </c>
      <c r="F753">
        <f>IF(ISBLANK('ENGAGEMENTS 2026'!C753),"",'ENGAGEMENTS 2026'!J753)</f>
        <v/>
      </c>
      <c r="G753">
        <f>IF(ISBLANK('ENGAGEMENTS 2026'!C753),"",'ENGAGEMENTS 2026'!M753)</f>
        <v/>
      </c>
      <c r="H753">
        <f>IF(ISBLANK('ENGAGEMENTS 2026'!C753),"",'ENGAGEMENTS 2026'!AF753)</f>
        <v/>
      </c>
      <c r="I753">
        <f>IF(ISBLANK('ENGAGEMENTS 2026'!C753),"",'ENGAGEMENTS 2026'!H753)</f>
        <v/>
      </c>
      <c r="J753" s="275">
        <f>IF(ISBLANK('ENGAGEMENTS 2026'!C753),"",IF(AND(OR($E753="INFRUCTUEUX",$E753="ANNULE"),$C753="AOO-M"),'ENGAGEMENTS 2026'!P753,IF($H753="EN COURS DE PREENGAGEMENT",'ENGAGEMENTS 2026'!O753,IF($H753="PREENGAGE",IF($E753="ATTRIBUE",'ENGAGEMENTS 2026'!AE753,'ENGAGEMENTS 2026'!O753),'ENGAGEMENTS 2026'!AE753))))</f>
        <v/>
      </c>
      <c r="K753" s="604">
        <f>IF(ISBLANK('ENGAGEMENTS 2026'!W753),"",'ENGAGEMENTS 2026'!W753)</f>
        <v/>
      </c>
      <c r="L753" s="276">
        <f>IF($K753="","",TODAY()-$K753)</f>
        <v/>
      </c>
      <c r="M753">
        <f>IF($A753="","",IF($H753="ENGAGE","Engagé",IF(AND($H753="NON ENGAGE",OR($I753="INFRUCTUEUX",$I753="ANNULE")),"Clôturé sans suite","En cours")))</f>
        <v/>
      </c>
      <c r="N753">
        <f>IF(ISBLANK('ENGAGEMENTS 2026'!C753),"",'ENGAGEMENTS 2026'!L753)</f>
        <v/>
      </c>
      <c r="O753">
        <f>IF(ISBLANK('ENGAGEMENTS 2026'!C753),"",'ENGAGEMENTS 2026'!M753)</f>
        <v/>
      </c>
      <c r="P753">
        <f>IF(ISBLANK('ENGAGEMENTS 2026'!C753),"",'ENGAGEMENTS 2026'!K753)</f>
        <v/>
      </c>
      <c r="Q753">
        <f>IF($A753="","",IF(OR($E753="INFRUCTUEUX",$E753="ANNULE"),$A753&amp;"|"&amp;(COUNTIFS($A$2:$A753,$A753,$E$2:$E753,"INFRUCTUEUX")+COUNTIFS($A$2:$A753,$A753,$E$2:$E753,"ANNULE")),""))</f>
        <v/>
      </c>
    </row>
    <row r="754">
      <c r="A754">
        <f>IF(ISBLANK('ENGAGEMENTS 2026'!C754),"",IF('ENGAGEMENTS 2026'!C754="DTSI","DCT",'ENGAGEMENTS 2026'!C754))</f>
        <v/>
      </c>
      <c r="B754">
        <f>IF(ISBLANK('ENGAGEMENTS 2026'!C754),"",'ENGAGEMENTS 2026'!D754)</f>
        <v/>
      </c>
      <c r="C754">
        <f>IF(ISBLANK('ENGAGEMENTS 2026'!C754),"",'ENGAGEMENTS 2026'!E754)</f>
        <v/>
      </c>
      <c r="D754">
        <f>IF(ISBLANK('ENGAGEMENTS 2026'!C754),"",'ENGAGEMENTS 2026'!G754)</f>
        <v/>
      </c>
      <c r="E754">
        <f>IF(ISBLANK('ENGAGEMENTS 2026'!C754),"",'ENGAGEMENTS 2026'!I754)</f>
        <v/>
      </c>
      <c r="F754">
        <f>IF(ISBLANK('ENGAGEMENTS 2026'!C754),"",'ENGAGEMENTS 2026'!J754)</f>
        <v/>
      </c>
      <c r="G754">
        <f>IF(ISBLANK('ENGAGEMENTS 2026'!C754),"",'ENGAGEMENTS 2026'!M754)</f>
        <v/>
      </c>
      <c r="H754">
        <f>IF(ISBLANK('ENGAGEMENTS 2026'!C754),"",'ENGAGEMENTS 2026'!AF754)</f>
        <v/>
      </c>
      <c r="I754">
        <f>IF(ISBLANK('ENGAGEMENTS 2026'!C754),"",'ENGAGEMENTS 2026'!H754)</f>
        <v/>
      </c>
      <c r="J754" s="275">
        <f>IF(ISBLANK('ENGAGEMENTS 2026'!C754),"",IF(AND(OR($E754="INFRUCTUEUX",$E754="ANNULE"),$C754="AOO-M"),'ENGAGEMENTS 2026'!P754,IF($H754="EN COURS DE PREENGAGEMENT",'ENGAGEMENTS 2026'!O754,IF($H754="PREENGAGE",IF($E754="ATTRIBUE",'ENGAGEMENTS 2026'!AE754,'ENGAGEMENTS 2026'!O754),'ENGAGEMENTS 2026'!AE754))))</f>
        <v/>
      </c>
      <c r="K754" s="604">
        <f>IF(ISBLANK('ENGAGEMENTS 2026'!W754),"",'ENGAGEMENTS 2026'!W754)</f>
        <v/>
      </c>
      <c r="L754" s="276">
        <f>IF($K754="","",TODAY()-$K754)</f>
        <v/>
      </c>
      <c r="M754">
        <f>IF($A754="","",IF($H754="ENGAGE","Engagé",IF(AND($H754="NON ENGAGE",OR($I754="INFRUCTUEUX",$I754="ANNULE")),"Clôturé sans suite","En cours")))</f>
        <v/>
      </c>
      <c r="N754">
        <f>IF(ISBLANK('ENGAGEMENTS 2026'!C754),"",'ENGAGEMENTS 2026'!L754)</f>
        <v/>
      </c>
      <c r="O754">
        <f>IF(ISBLANK('ENGAGEMENTS 2026'!C754),"",'ENGAGEMENTS 2026'!M754)</f>
        <v/>
      </c>
      <c r="P754">
        <f>IF(ISBLANK('ENGAGEMENTS 2026'!C754),"",'ENGAGEMENTS 2026'!K754)</f>
        <v/>
      </c>
      <c r="Q754">
        <f>IF($A754="","",IF(OR($E754="INFRUCTUEUX",$E754="ANNULE"),$A754&amp;"|"&amp;(COUNTIFS($A$2:$A754,$A754,$E$2:$E754,"INFRUCTUEUX")+COUNTIFS($A$2:$A754,$A754,$E$2:$E754,"ANNULE")),""))</f>
        <v/>
      </c>
    </row>
    <row r="755">
      <c r="A755">
        <f>IF(ISBLANK('ENGAGEMENTS 2026'!C755),"",IF('ENGAGEMENTS 2026'!C755="DTSI","DCT",'ENGAGEMENTS 2026'!C755))</f>
        <v/>
      </c>
      <c r="B755">
        <f>IF(ISBLANK('ENGAGEMENTS 2026'!C755),"",'ENGAGEMENTS 2026'!D755)</f>
        <v/>
      </c>
      <c r="C755">
        <f>IF(ISBLANK('ENGAGEMENTS 2026'!C755),"",'ENGAGEMENTS 2026'!E755)</f>
        <v/>
      </c>
      <c r="D755">
        <f>IF(ISBLANK('ENGAGEMENTS 2026'!C755),"",'ENGAGEMENTS 2026'!G755)</f>
        <v/>
      </c>
      <c r="E755">
        <f>IF(ISBLANK('ENGAGEMENTS 2026'!C755),"",'ENGAGEMENTS 2026'!I755)</f>
        <v/>
      </c>
      <c r="F755">
        <f>IF(ISBLANK('ENGAGEMENTS 2026'!C755),"",'ENGAGEMENTS 2026'!J755)</f>
        <v/>
      </c>
      <c r="G755">
        <f>IF(ISBLANK('ENGAGEMENTS 2026'!C755),"",'ENGAGEMENTS 2026'!M755)</f>
        <v/>
      </c>
      <c r="H755">
        <f>IF(ISBLANK('ENGAGEMENTS 2026'!C755),"",'ENGAGEMENTS 2026'!AF755)</f>
        <v/>
      </c>
      <c r="I755">
        <f>IF(ISBLANK('ENGAGEMENTS 2026'!C755),"",'ENGAGEMENTS 2026'!H755)</f>
        <v/>
      </c>
      <c r="J755" s="275">
        <f>IF(ISBLANK('ENGAGEMENTS 2026'!C755),"",IF(AND(OR($E755="INFRUCTUEUX",$E755="ANNULE"),$C755="AOO-M"),'ENGAGEMENTS 2026'!P755,IF($H755="EN COURS DE PREENGAGEMENT",'ENGAGEMENTS 2026'!O755,IF($H755="PREENGAGE",IF($E755="ATTRIBUE",'ENGAGEMENTS 2026'!AE755,'ENGAGEMENTS 2026'!O755),'ENGAGEMENTS 2026'!AE755))))</f>
        <v/>
      </c>
      <c r="K755" s="604">
        <f>IF(ISBLANK('ENGAGEMENTS 2026'!W755),"",'ENGAGEMENTS 2026'!W755)</f>
        <v/>
      </c>
      <c r="L755" s="276">
        <f>IF($K755="","",TODAY()-$K755)</f>
        <v/>
      </c>
      <c r="M755">
        <f>IF($A755="","",IF($H755="ENGAGE","Engagé",IF(AND($H755="NON ENGAGE",OR($I755="INFRUCTUEUX",$I755="ANNULE")),"Clôturé sans suite","En cours")))</f>
        <v/>
      </c>
      <c r="N755">
        <f>IF(ISBLANK('ENGAGEMENTS 2026'!C755),"",'ENGAGEMENTS 2026'!L755)</f>
        <v/>
      </c>
      <c r="O755">
        <f>IF(ISBLANK('ENGAGEMENTS 2026'!C755),"",'ENGAGEMENTS 2026'!M755)</f>
        <v/>
      </c>
      <c r="P755">
        <f>IF(ISBLANK('ENGAGEMENTS 2026'!C755),"",'ENGAGEMENTS 2026'!K755)</f>
        <v/>
      </c>
      <c r="Q755">
        <f>IF($A755="","",IF(OR($E755="INFRUCTUEUX",$E755="ANNULE"),$A755&amp;"|"&amp;(COUNTIFS($A$2:$A755,$A755,$E$2:$E755,"INFRUCTUEUX")+COUNTIFS($A$2:$A755,$A755,$E$2:$E755,"ANNULE")),""))</f>
        <v/>
      </c>
    </row>
    <row r="756">
      <c r="A756">
        <f>IF(ISBLANK('ENGAGEMENTS 2026'!C756),"",IF('ENGAGEMENTS 2026'!C756="DTSI","DCT",'ENGAGEMENTS 2026'!C756))</f>
        <v/>
      </c>
      <c r="B756">
        <f>IF(ISBLANK('ENGAGEMENTS 2026'!C756),"",'ENGAGEMENTS 2026'!D756)</f>
        <v/>
      </c>
      <c r="C756">
        <f>IF(ISBLANK('ENGAGEMENTS 2026'!C756),"",'ENGAGEMENTS 2026'!E756)</f>
        <v/>
      </c>
      <c r="D756">
        <f>IF(ISBLANK('ENGAGEMENTS 2026'!C756),"",'ENGAGEMENTS 2026'!G756)</f>
        <v/>
      </c>
      <c r="E756">
        <f>IF(ISBLANK('ENGAGEMENTS 2026'!C756),"",'ENGAGEMENTS 2026'!I756)</f>
        <v/>
      </c>
      <c r="F756">
        <f>IF(ISBLANK('ENGAGEMENTS 2026'!C756),"",'ENGAGEMENTS 2026'!J756)</f>
        <v/>
      </c>
      <c r="G756">
        <f>IF(ISBLANK('ENGAGEMENTS 2026'!C756),"",'ENGAGEMENTS 2026'!M756)</f>
        <v/>
      </c>
      <c r="H756">
        <f>IF(ISBLANK('ENGAGEMENTS 2026'!C756),"",'ENGAGEMENTS 2026'!AF756)</f>
        <v/>
      </c>
      <c r="I756">
        <f>IF(ISBLANK('ENGAGEMENTS 2026'!C756),"",'ENGAGEMENTS 2026'!H756)</f>
        <v/>
      </c>
      <c r="J756" s="275">
        <f>IF(ISBLANK('ENGAGEMENTS 2026'!C756),"",IF(AND(OR($E756="INFRUCTUEUX",$E756="ANNULE"),$C756="AOO-M"),'ENGAGEMENTS 2026'!P756,IF($H756="EN COURS DE PREENGAGEMENT",'ENGAGEMENTS 2026'!O756,IF($H756="PREENGAGE",IF($E756="ATTRIBUE",'ENGAGEMENTS 2026'!AE756,'ENGAGEMENTS 2026'!O756),'ENGAGEMENTS 2026'!AE756))))</f>
        <v/>
      </c>
      <c r="K756" s="604">
        <f>IF(ISBLANK('ENGAGEMENTS 2026'!W756),"",'ENGAGEMENTS 2026'!W756)</f>
        <v/>
      </c>
      <c r="L756" s="276">
        <f>IF($K756="","",TODAY()-$K756)</f>
        <v/>
      </c>
      <c r="M756">
        <f>IF($A756="","",IF($H756="ENGAGE","Engagé",IF(AND($H756="NON ENGAGE",OR($I756="INFRUCTUEUX",$I756="ANNULE")),"Clôturé sans suite","En cours")))</f>
        <v/>
      </c>
      <c r="N756">
        <f>IF(ISBLANK('ENGAGEMENTS 2026'!C756),"",'ENGAGEMENTS 2026'!L756)</f>
        <v/>
      </c>
      <c r="O756">
        <f>IF(ISBLANK('ENGAGEMENTS 2026'!C756),"",'ENGAGEMENTS 2026'!M756)</f>
        <v/>
      </c>
      <c r="P756">
        <f>IF(ISBLANK('ENGAGEMENTS 2026'!C756),"",'ENGAGEMENTS 2026'!K756)</f>
        <v/>
      </c>
      <c r="Q756">
        <f>IF($A756="","",IF(OR($E756="INFRUCTUEUX",$E756="ANNULE"),$A756&amp;"|"&amp;(COUNTIFS($A$2:$A756,$A756,$E$2:$E756,"INFRUCTUEUX")+COUNTIFS($A$2:$A756,$A756,$E$2:$E756,"ANNULE")),""))</f>
        <v/>
      </c>
    </row>
    <row r="757">
      <c r="A757">
        <f>IF(ISBLANK('ENGAGEMENTS 2026'!C757),"",IF('ENGAGEMENTS 2026'!C757="DTSI","DCT",'ENGAGEMENTS 2026'!C757))</f>
        <v/>
      </c>
      <c r="B757">
        <f>IF(ISBLANK('ENGAGEMENTS 2026'!C757),"",'ENGAGEMENTS 2026'!D757)</f>
        <v/>
      </c>
      <c r="C757">
        <f>IF(ISBLANK('ENGAGEMENTS 2026'!C757),"",'ENGAGEMENTS 2026'!E757)</f>
        <v/>
      </c>
      <c r="D757">
        <f>IF(ISBLANK('ENGAGEMENTS 2026'!C757),"",'ENGAGEMENTS 2026'!G757)</f>
        <v/>
      </c>
      <c r="E757">
        <f>IF(ISBLANK('ENGAGEMENTS 2026'!C757),"",'ENGAGEMENTS 2026'!I757)</f>
        <v/>
      </c>
      <c r="F757">
        <f>IF(ISBLANK('ENGAGEMENTS 2026'!C757),"",'ENGAGEMENTS 2026'!J757)</f>
        <v/>
      </c>
      <c r="G757">
        <f>IF(ISBLANK('ENGAGEMENTS 2026'!C757),"",'ENGAGEMENTS 2026'!M757)</f>
        <v/>
      </c>
      <c r="H757">
        <f>IF(ISBLANK('ENGAGEMENTS 2026'!C757),"",'ENGAGEMENTS 2026'!AF757)</f>
        <v/>
      </c>
      <c r="I757">
        <f>IF(ISBLANK('ENGAGEMENTS 2026'!C757),"",'ENGAGEMENTS 2026'!H757)</f>
        <v/>
      </c>
      <c r="J757" s="275">
        <f>IF(ISBLANK('ENGAGEMENTS 2026'!C757),"",IF(AND(OR($E757="INFRUCTUEUX",$E757="ANNULE"),$C757="AOO-M"),'ENGAGEMENTS 2026'!P757,IF($H757="EN COURS DE PREENGAGEMENT",'ENGAGEMENTS 2026'!O757,IF($H757="PREENGAGE",IF($E757="ATTRIBUE",'ENGAGEMENTS 2026'!AE757,'ENGAGEMENTS 2026'!O757),'ENGAGEMENTS 2026'!AE757))))</f>
        <v/>
      </c>
      <c r="K757" s="604">
        <f>IF(ISBLANK('ENGAGEMENTS 2026'!W757),"",'ENGAGEMENTS 2026'!W757)</f>
        <v/>
      </c>
      <c r="L757" s="276">
        <f>IF($K757="","",TODAY()-$K757)</f>
        <v/>
      </c>
      <c r="M757">
        <f>IF($A757="","",IF($H757="ENGAGE","Engagé",IF(AND($H757="NON ENGAGE",OR($I757="INFRUCTUEUX",$I757="ANNULE")),"Clôturé sans suite","En cours")))</f>
        <v/>
      </c>
      <c r="N757">
        <f>IF(ISBLANK('ENGAGEMENTS 2026'!C757),"",'ENGAGEMENTS 2026'!L757)</f>
        <v/>
      </c>
      <c r="O757">
        <f>IF(ISBLANK('ENGAGEMENTS 2026'!C757),"",'ENGAGEMENTS 2026'!M757)</f>
        <v/>
      </c>
      <c r="P757">
        <f>IF(ISBLANK('ENGAGEMENTS 2026'!C757),"",'ENGAGEMENTS 2026'!K757)</f>
        <v/>
      </c>
      <c r="Q757">
        <f>IF($A757="","",IF(OR($E757="INFRUCTUEUX",$E757="ANNULE"),$A757&amp;"|"&amp;(COUNTIFS($A$2:$A757,$A757,$E$2:$E757,"INFRUCTUEUX")+COUNTIFS($A$2:$A757,$A757,$E$2:$E757,"ANNULE")),""))</f>
        <v/>
      </c>
    </row>
    <row r="758">
      <c r="A758">
        <f>IF(ISBLANK('ENGAGEMENTS 2026'!C758),"",IF('ENGAGEMENTS 2026'!C758="DTSI","DCT",'ENGAGEMENTS 2026'!C758))</f>
        <v/>
      </c>
      <c r="B758">
        <f>IF(ISBLANK('ENGAGEMENTS 2026'!C758),"",'ENGAGEMENTS 2026'!D758)</f>
        <v/>
      </c>
      <c r="C758">
        <f>IF(ISBLANK('ENGAGEMENTS 2026'!C758),"",'ENGAGEMENTS 2026'!E758)</f>
        <v/>
      </c>
      <c r="D758">
        <f>IF(ISBLANK('ENGAGEMENTS 2026'!C758),"",'ENGAGEMENTS 2026'!G758)</f>
        <v/>
      </c>
      <c r="E758">
        <f>IF(ISBLANK('ENGAGEMENTS 2026'!C758),"",'ENGAGEMENTS 2026'!I758)</f>
        <v/>
      </c>
      <c r="F758">
        <f>IF(ISBLANK('ENGAGEMENTS 2026'!C758),"",'ENGAGEMENTS 2026'!J758)</f>
        <v/>
      </c>
      <c r="G758">
        <f>IF(ISBLANK('ENGAGEMENTS 2026'!C758),"",'ENGAGEMENTS 2026'!M758)</f>
        <v/>
      </c>
      <c r="H758">
        <f>IF(ISBLANK('ENGAGEMENTS 2026'!C758),"",'ENGAGEMENTS 2026'!AF758)</f>
        <v/>
      </c>
      <c r="I758">
        <f>IF(ISBLANK('ENGAGEMENTS 2026'!C758),"",'ENGAGEMENTS 2026'!H758)</f>
        <v/>
      </c>
      <c r="J758" s="275">
        <f>IF(ISBLANK('ENGAGEMENTS 2026'!C758),"",IF(AND(OR($E758="INFRUCTUEUX",$E758="ANNULE"),$C758="AOO-M"),'ENGAGEMENTS 2026'!P758,IF($H758="EN COURS DE PREENGAGEMENT",'ENGAGEMENTS 2026'!O758,IF($H758="PREENGAGE",IF($E758="ATTRIBUE",'ENGAGEMENTS 2026'!AE758,'ENGAGEMENTS 2026'!O758),'ENGAGEMENTS 2026'!AE758))))</f>
        <v/>
      </c>
      <c r="K758" s="604">
        <f>IF(ISBLANK('ENGAGEMENTS 2026'!W758),"",'ENGAGEMENTS 2026'!W758)</f>
        <v/>
      </c>
      <c r="L758" s="276">
        <f>IF($K758="","",TODAY()-$K758)</f>
        <v/>
      </c>
      <c r="M758">
        <f>IF($A758="","",IF($H758="ENGAGE","Engagé",IF(AND($H758="NON ENGAGE",OR($I758="INFRUCTUEUX",$I758="ANNULE")),"Clôturé sans suite","En cours")))</f>
        <v/>
      </c>
      <c r="N758">
        <f>IF(ISBLANK('ENGAGEMENTS 2026'!C758),"",'ENGAGEMENTS 2026'!L758)</f>
        <v/>
      </c>
      <c r="O758">
        <f>IF(ISBLANK('ENGAGEMENTS 2026'!C758),"",'ENGAGEMENTS 2026'!M758)</f>
        <v/>
      </c>
      <c r="P758">
        <f>IF(ISBLANK('ENGAGEMENTS 2026'!C758),"",'ENGAGEMENTS 2026'!K758)</f>
        <v/>
      </c>
      <c r="Q758">
        <f>IF($A758="","",IF(OR($E758="INFRUCTUEUX",$E758="ANNULE"),$A758&amp;"|"&amp;(COUNTIFS($A$2:$A758,$A758,$E$2:$E758,"INFRUCTUEUX")+COUNTIFS($A$2:$A758,$A758,$E$2:$E758,"ANNULE")),""))</f>
        <v/>
      </c>
    </row>
    <row r="759">
      <c r="A759">
        <f>IF(ISBLANK('ENGAGEMENTS 2026'!C759),"",IF('ENGAGEMENTS 2026'!C759="DTSI","DCT",'ENGAGEMENTS 2026'!C759))</f>
        <v/>
      </c>
      <c r="B759">
        <f>IF(ISBLANK('ENGAGEMENTS 2026'!C759),"",'ENGAGEMENTS 2026'!D759)</f>
        <v/>
      </c>
      <c r="C759">
        <f>IF(ISBLANK('ENGAGEMENTS 2026'!C759),"",'ENGAGEMENTS 2026'!E759)</f>
        <v/>
      </c>
      <c r="D759">
        <f>IF(ISBLANK('ENGAGEMENTS 2026'!C759),"",'ENGAGEMENTS 2026'!G759)</f>
        <v/>
      </c>
      <c r="E759">
        <f>IF(ISBLANK('ENGAGEMENTS 2026'!C759),"",'ENGAGEMENTS 2026'!I759)</f>
        <v/>
      </c>
      <c r="F759">
        <f>IF(ISBLANK('ENGAGEMENTS 2026'!C759),"",'ENGAGEMENTS 2026'!J759)</f>
        <v/>
      </c>
      <c r="G759">
        <f>IF(ISBLANK('ENGAGEMENTS 2026'!C759),"",'ENGAGEMENTS 2026'!M759)</f>
        <v/>
      </c>
      <c r="H759">
        <f>IF(ISBLANK('ENGAGEMENTS 2026'!C759),"",'ENGAGEMENTS 2026'!AF759)</f>
        <v/>
      </c>
      <c r="I759">
        <f>IF(ISBLANK('ENGAGEMENTS 2026'!C759),"",'ENGAGEMENTS 2026'!H759)</f>
        <v/>
      </c>
      <c r="J759" s="275">
        <f>IF(ISBLANK('ENGAGEMENTS 2026'!C759),"",IF(AND(OR($E759="INFRUCTUEUX",$E759="ANNULE"),$C759="AOO-M"),'ENGAGEMENTS 2026'!P759,IF($H759="EN COURS DE PREENGAGEMENT",'ENGAGEMENTS 2026'!O759,IF($H759="PREENGAGE",IF($E759="ATTRIBUE",'ENGAGEMENTS 2026'!AE759,'ENGAGEMENTS 2026'!O759),'ENGAGEMENTS 2026'!AE759))))</f>
        <v/>
      </c>
      <c r="K759" s="604">
        <f>IF(ISBLANK('ENGAGEMENTS 2026'!W759),"",'ENGAGEMENTS 2026'!W759)</f>
        <v/>
      </c>
      <c r="L759" s="276">
        <f>IF($K759="","",TODAY()-$K759)</f>
        <v/>
      </c>
      <c r="M759">
        <f>IF($A759="","",IF($H759="ENGAGE","Engagé",IF(AND($H759="NON ENGAGE",OR($I759="INFRUCTUEUX",$I759="ANNULE")),"Clôturé sans suite","En cours")))</f>
        <v/>
      </c>
      <c r="N759">
        <f>IF(ISBLANK('ENGAGEMENTS 2026'!C759),"",'ENGAGEMENTS 2026'!L759)</f>
        <v/>
      </c>
      <c r="O759">
        <f>IF(ISBLANK('ENGAGEMENTS 2026'!C759),"",'ENGAGEMENTS 2026'!M759)</f>
        <v/>
      </c>
      <c r="P759">
        <f>IF(ISBLANK('ENGAGEMENTS 2026'!C759),"",'ENGAGEMENTS 2026'!K759)</f>
        <v/>
      </c>
      <c r="Q759">
        <f>IF($A759="","",IF(OR($E759="INFRUCTUEUX",$E759="ANNULE"),$A759&amp;"|"&amp;(COUNTIFS($A$2:$A759,$A759,$E$2:$E759,"INFRUCTUEUX")+COUNTIFS($A$2:$A759,$A759,$E$2:$E759,"ANNULE")),""))</f>
        <v/>
      </c>
    </row>
    <row r="760">
      <c r="A760">
        <f>IF(ISBLANK('ENGAGEMENTS 2026'!C760),"",IF('ENGAGEMENTS 2026'!C760="DTSI","DCT",'ENGAGEMENTS 2026'!C760))</f>
        <v/>
      </c>
      <c r="B760">
        <f>IF(ISBLANK('ENGAGEMENTS 2026'!C760),"",'ENGAGEMENTS 2026'!D760)</f>
        <v/>
      </c>
      <c r="C760">
        <f>IF(ISBLANK('ENGAGEMENTS 2026'!C760),"",'ENGAGEMENTS 2026'!E760)</f>
        <v/>
      </c>
      <c r="D760">
        <f>IF(ISBLANK('ENGAGEMENTS 2026'!C760),"",'ENGAGEMENTS 2026'!G760)</f>
        <v/>
      </c>
      <c r="E760">
        <f>IF(ISBLANK('ENGAGEMENTS 2026'!C760),"",'ENGAGEMENTS 2026'!I760)</f>
        <v/>
      </c>
      <c r="F760">
        <f>IF(ISBLANK('ENGAGEMENTS 2026'!C760),"",'ENGAGEMENTS 2026'!J760)</f>
        <v/>
      </c>
      <c r="G760">
        <f>IF(ISBLANK('ENGAGEMENTS 2026'!C760),"",'ENGAGEMENTS 2026'!M760)</f>
        <v/>
      </c>
      <c r="H760">
        <f>IF(ISBLANK('ENGAGEMENTS 2026'!C760),"",'ENGAGEMENTS 2026'!AF760)</f>
        <v/>
      </c>
      <c r="I760">
        <f>IF(ISBLANK('ENGAGEMENTS 2026'!C760),"",'ENGAGEMENTS 2026'!H760)</f>
        <v/>
      </c>
      <c r="J760" s="275">
        <f>IF(ISBLANK('ENGAGEMENTS 2026'!C760),"",IF(AND(OR($E760="INFRUCTUEUX",$E760="ANNULE"),$C760="AOO-M"),'ENGAGEMENTS 2026'!P760,IF($H760="EN COURS DE PREENGAGEMENT",'ENGAGEMENTS 2026'!O760,IF($H760="PREENGAGE",IF($E760="ATTRIBUE",'ENGAGEMENTS 2026'!AE760,'ENGAGEMENTS 2026'!O760),'ENGAGEMENTS 2026'!AE760))))</f>
        <v/>
      </c>
      <c r="K760" s="604">
        <f>IF(ISBLANK('ENGAGEMENTS 2026'!W760),"",'ENGAGEMENTS 2026'!W760)</f>
        <v/>
      </c>
      <c r="L760" s="276">
        <f>IF($K760="","",TODAY()-$K760)</f>
        <v/>
      </c>
      <c r="M760">
        <f>IF($A760="","",IF($H760="ENGAGE","Engagé",IF(AND($H760="NON ENGAGE",OR($I760="INFRUCTUEUX",$I760="ANNULE")),"Clôturé sans suite","En cours")))</f>
        <v/>
      </c>
      <c r="N760">
        <f>IF(ISBLANK('ENGAGEMENTS 2026'!C760),"",'ENGAGEMENTS 2026'!L760)</f>
        <v/>
      </c>
      <c r="O760">
        <f>IF(ISBLANK('ENGAGEMENTS 2026'!C760),"",'ENGAGEMENTS 2026'!M760)</f>
        <v/>
      </c>
      <c r="P760">
        <f>IF(ISBLANK('ENGAGEMENTS 2026'!C760),"",'ENGAGEMENTS 2026'!K760)</f>
        <v/>
      </c>
      <c r="Q760">
        <f>IF($A760="","",IF(OR($E760="INFRUCTUEUX",$E760="ANNULE"),$A760&amp;"|"&amp;(COUNTIFS($A$2:$A760,$A760,$E$2:$E760,"INFRUCTUEUX")+COUNTIFS($A$2:$A760,$A760,$E$2:$E760,"ANNULE")),""))</f>
        <v/>
      </c>
    </row>
    <row r="761">
      <c r="A761">
        <f>IF(ISBLANK('ENGAGEMENTS 2026'!C761),"",IF('ENGAGEMENTS 2026'!C761="DTSI","DCT",'ENGAGEMENTS 2026'!C761))</f>
        <v/>
      </c>
      <c r="B761">
        <f>IF(ISBLANK('ENGAGEMENTS 2026'!C761),"",'ENGAGEMENTS 2026'!D761)</f>
        <v/>
      </c>
      <c r="C761">
        <f>IF(ISBLANK('ENGAGEMENTS 2026'!C761),"",'ENGAGEMENTS 2026'!E761)</f>
        <v/>
      </c>
      <c r="D761">
        <f>IF(ISBLANK('ENGAGEMENTS 2026'!C761),"",'ENGAGEMENTS 2026'!G761)</f>
        <v/>
      </c>
      <c r="E761">
        <f>IF(ISBLANK('ENGAGEMENTS 2026'!C761),"",'ENGAGEMENTS 2026'!I761)</f>
        <v/>
      </c>
      <c r="F761">
        <f>IF(ISBLANK('ENGAGEMENTS 2026'!C761),"",'ENGAGEMENTS 2026'!J761)</f>
        <v/>
      </c>
      <c r="G761">
        <f>IF(ISBLANK('ENGAGEMENTS 2026'!C761),"",'ENGAGEMENTS 2026'!M761)</f>
        <v/>
      </c>
      <c r="H761">
        <f>IF(ISBLANK('ENGAGEMENTS 2026'!C761),"",'ENGAGEMENTS 2026'!AF761)</f>
        <v/>
      </c>
      <c r="I761">
        <f>IF(ISBLANK('ENGAGEMENTS 2026'!C761),"",'ENGAGEMENTS 2026'!H761)</f>
        <v/>
      </c>
      <c r="J761" s="275">
        <f>IF(ISBLANK('ENGAGEMENTS 2026'!C761),"",IF(AND(OR($E761="INFRUCTUEUX",$E761="ANNULE"),$C761="AOO-M"),'ENGAGEMENTS 2026'!P761,IF($H761="EN COURS DE PREENGAGEMENT",'ENGAGEMENTS 2026'!O761,IF($H761="PREENGAGE",IF($E761="ATTRIBUE",'ENGAGEMENTS 2026'!AE761,'ENGAGEMENTS 2026'!O761),'ENGAGEMENTS 2026'!AE761))))</f>
        <v/>
      </c>
      <c r="K761" s="604">
        <f>IF(ISBLANK('ENGAGEMENTS 2026'!W761),"",'ENGAGEMENTS 2026'!W761)</f>
        <v/>
      </c>
      <c r="L761" s="276">
        <f>IF($K761="","",TODAY()-$K761)</f>
        <v/>
      </c>
      <c r="M761">
        <f>IF($A761="","",IF($H761="ENGAGE","Engagé",IF(AND($H761="NON ENGAGE",OR($I761="INFRUCTUEUX",$I761="ANNULE")),"Clôturé sans suite","En cours")))</f>
        <v/>
      </c>
      <c r="N761">
        <f>IF(ISBLANK('ENGAGEMENTS 2026'!C761),"",'ENGAGEMENTS 2026'!L761)</f>
        <v/>
      </c>
      <c r="O761">
        <f>IF(ISBLANK('ENGAGEMENTS 2026'!C761),"",'ENGAGEMENTS 2026'!M761)</f>
        <v/>
      </c>
      <c r="P761">
        <f>IF(ISBLANK('ENGAGEMENTS 2026'!C761),"",'ENGAGEMENTS 2026'!K761)</f>
        <v/>
      </c>
      <c r="Q761">
        <f>IF($A761="","",IF(OR($E761="INFRUCTUEUX",$E761="ANNULE"),$A761&amp;"|"&amp;(COUNTIFS($A$2:$A761,$A761,$E$2:$E761,"INFRUCTUEUX")+COUNTIFS($A$2:$A761,$A761,$E$2:$E761,"ANNULE")),""))</f>
        <v/>
      </c>
    </row>
    <row r="762">
      <c r="A762">
        <f>IF(ISBLANK('ENGAGEMENTS 2026'!C762),"",IF('ENGAGEMENTS 2026'!C762="DTSI","DCT",'ENGAGEMENTS 2026'!C762))</f>
        <v/>
      </c>
      <c r="B762">
        <f>IF(ISBLANK('ENGAGEMENTS 2026'!C762),"",'ENGAGEMENTS 2026'!D762)</f>
        <v/>
      </c>
      <c r="C762">
        <f>IF(ISBLANK('ENGAGEMENTS 2026'!C762),"",'ENGAGEMENTS 2026'!E762)</f>
        <v/>
      </c>
      <c r="D762">
        <f>IF(ISBLANK('ENGAGEMENTS 2026'!C762),"",'ENGAGEMENTS 2026'!G762)</f>
        <v/>
      </c>
      <c r="E762">
        <f>IF(ISBLANK('ENGAGEMENTS 2026'!C762),"",'ENGAGEMENTS 2026'!I762)</f>
        <v/>
      </c>
      <c r="F762">
        <f>IF(ISBLANK('ENGAGEMENTS 2026'!C762),"",'ENGAGEMENTS 2026'!J762)</f>
        <v/>
      </c>
      <c r="G762">
        <f>IF(ISBLANK('ENGAGEMENTS 2026'!C762),"",'ENGAGEMENTS 2026'!M762)</f>
        <v/>
      </c>
      <c r="H762">
        <f>IF(ISBLANK('ENGAGEMENTS 2026'!C762),"",'ENGAGEMENTS 2026'!AF762)</f>
        <v/>
      </c>
      <c r="I762">
        <f>IF(ISBLANK('ENGAGEMENTS 2026'!C762),"",'ENGAGEMENTS 2026'!H762)</f>
        <v/>
      </c>
      <c r="J762" s="275">
        <f>IF(ISBLANK('ENGAGEMENTS 2026'!C762),"",IF(AND(OR($E762="INFRUCTUEUX",$E762="ANNULE"),$C762="AOO-M"),'ENGAGEMENTS 2026'!P762,IF($H762="EN COURS DE PREENGAGEMENT",'ENGAGEMENTS 2026'!O762,IF($H762="PREENGAGE",IF($E762="ATTRIBUE",'ENGAGEMENTS 2026'!AE762,'ENGAGEMENTS 2026'!O762),'ENGAGEMENTS 2026'!AE762))))</f>
        <v/>
      </c>
      <c r="K762" s="604">
        <f>IF(ISBLANK('ENGAGEMENTS 2026'!W762),"",'ENGAGEMENTS 2026'!W762)</f>
        <v/>
      </c>
      <c r="L762" s="276">
        <f>IF($K762="","",TODAY()-$K762)</f>
        <v/>
      </c>
      <c r="M762">
        <f>IF($A762="","",IF($H762="ENGAGE","Engagé",IF(AND($H762="NON ENGAGE",OR($I762="INFRUCTUEUX",$I762="ANNULE")),"Clôturé sans suite","En cours")))</f>
        <v/>
      </c>
      <c r="N762">
        <f>IF(ISBLANK('ENGAGEMENTS 2026'!C762),"",'ENGAGEMENTS 2026'!L762)</f>
        <v/>
      </c>
      <c r="O762">
        <f>IF(ISBLANK('ENGAGEMENTS 2026'!C762),"",'ENGAGEMENTS 2026'!M762)</f>
        <v/>
      </c>
      <c r="P762">
        <f>IF(ISBLANK('ENGAGEMENTS 2026'!C762),"",'ENGAGEMENTS 2026'!K762)</f>
        <v/>
      </c>
      <c r="Q762">
        <f>IF($A762="","",IF(OR($E762="INFRUCTUEUX",$E762="ANNULE"),$A762&amp;"|"&amp;(COUNTIFS($A$2:$A762,$A762,$E$2:$E762,"INFRUCTUEUX")+COUNTIFS($A$2:$A762,$A762,$E$2:$E762,"ANNULE")),""))</f>
        <v/>
      </c>
    </row>
    <row r="763">
      <c r="A763">
        <f>IF(ISBLANK('ENGAGEMENTS 2026'!C763),"",IF('ENGAGEMENTS 2026'!C763="DTSI","DCT",'ENGAGEMENTS 2026'!C763))</f>
        <v/>
      </c>
      <c r="B763">
        <f>IF(ISBLANK('ENGAGEMENTS 2026'!C763),"",'ENGAGEMENTS 2026'!D763)</f>
        <v/>
      </c>
      <c r="C763">
        <f>IF(ISBLANK('ENGAGEMENTS 2026'!C763),"",'ENGAGEMENTS 2026'!E763)</f>
        <v/>
      </c>
      <c r="D763">
        <f>IF(ISBLANK('ENGAGEMENTS 2026'!C763),"",'ENGAGEMENTS 2026'!G763)</f>
        <v/>
      </c>
      <c r="E763">
        <f>IF(ISBLANK('ENGAGEMENTS 2026'!C763),"",'ENGAGEMENTS 2026'!I763)</f>
        <v/>
      </c>
      <c r="F763">
        <f>IF(ISBLANK('ENGAGEMENTS 2026'!C763),"",'ENGAGEMENTS 2026'!J763)</f>
        <v/>
      </c>
      <c r="G763">
        <f>IF(ISBLANK('ENGAGEMENTS 2026'!C763),"",'ENGAGEMENTS 2026'!M763)</f>
        <v/>
      </c>
      <c r="H763">
        <f>IF(ISBLANK('ENGAGEMENTS 2026'!C763),"",'ENGAGEMENTS 2026'!AF763)</f>
        <v/>
      </c>
      <c r="I763">
        <f>IF(ISBLANK('ENGAGEMENTS 2026'!C763),"",'ENGAGEMENTS 2026'!H763)</f>
        <v/>
      </c>
      <c r="J763" s="275">
        <f>IF(ISBLANK('ENGAGEMENTS 2026'!C763),"",IF(AND(OR($E763="INFRUCTUEUX",$E763="ANNULE"),$C763="AOO-M"),'ENGAGEMENTS 2026'!P763,IF($H763="EN COURS DE PREENGAGEMENT",'ENGAGEMENTS 2026'!O763,IF($H763="PREENGAGE",IF($E763="ATTRIBUE",'ENGAGEMENTS 2026'!AE763,'ENGAGEMENTS 2026'!O763),'ENGAGEMENTS 2026'!AE763))))</f>
        <v/>
      </c>
      <c r="K763" s="604">
        <f>IF(ISBLANK('ENGAGEMENTS 2026'!W763),"",'ENGAGEMENTS 2026'!W763)</f>
        <v/>
      </c>
      <c r="L763" s="276">
        <f>IF($K763="","",TODAY()-$K763)</f>
        <v/>
      </c>
      <c r="M763">
        <f>IF($A763="","",IF($H763="ENGAGE","Engagé",IF(AND($H763="NON ENGAGE",OR($I763="INFRUCTUEUX",$I763="ANNULE")),"Clôturé sans suite","En cours")))</f>
        <v/>
      </c>
      <c r="N763">
        <f>IF(ISBLANK('ENGAGEMENTS 2026'!C763),"",'ENGAGEMENTS 2026'!L763)</f>
        <v/>
      </c>
      <c r="O763">
        <f>IF(ISBLANK('ENGAGEMENTS 2026'!C763),"",'ENGAGEMENTS 2026'!M763)</f>
        <v/>
      </c>
      <c r="P763">
        <f>IF(ISBLANK('ENGAGEMENTS 2026'!C763),"",'ENGAGEMENTS 2026'!K763)</f>
        <v/>
      </c>
      <c r="Q763">
        <f>IF($A763="","",IF(OR($E763="INFRUCTUEUX",$E763="ANNULE"),$A763&amp;"|"&amp;(COUNTIFS($A$2:$A763,$A763,$E$2:$E763,"INFRUCTUEUX")+COUNTIFS($A$2:$A763,$A763,$E$2:$E763,"ANNULE")),""))</f>
        <v/>
      </c>
    </row>
    <row r="764">
      <c r="A764">
        <f>IF(ISBLANK('ENGAGEMENTS 2026'!C764),"",IF('ENGAGEMENTS 2026'!C764="DTSI","DCT",'ENGAGEMENTS 2026'!C764))</f>
        <v/>
      </c>
      <c r="B764">
        <f>IF(ISBLANK('ENGAGEMENTS 2026'!C764),"",'ENGAGEMENTS 2026'!D764)</f>
        <v/>
      </c>
      <c r="C764">
        <f>IF(ISBLANK('ENGAGEMENTS 2026'!C764),"",'ENGAGEMENTS 2026'!E764)</f>
        <v/>
      </c>
      <c r="D764">
        <f>IF(ISBLANK('ENGAGEMENTS 2026'!C764),"",'ENGAGEMENTS 2026'!G764)</f>
        <v/>
      </c>
      <c r="E764">
        <f>IF(ISBLANK('ENGAGEMENTS 2026'!C764),"",'ENGAGEMENTS 2026'!I764)</f>
        <v/>
      </c>
      <c r="F764">
        <f>IF(ISBLANK('ENGAGEMENTS 2026'!C764),"",'ENGAGEMENTS 2026'!J764)</f>
        <v/>
      </c>
      <c r="G764">
        <f>IF(ISBLANK('ENGAGEMENTS 2026'!C764),"",'ENGAGEMENTS 2026'!M764)</f>
        <v/>
      </c>
      <c r="H764">
        <f>IF(ISBLANK('ENGAGEMENTS 2026'!C764),"",'ENGAGEMENTS 2026'!AF764)</f>
        <v/>
      </c>
      <c r="I764">
        <f>IF(ISBLANK('ENGAGEMENTS 2026'!C764),"",'ENGAGEMENTS 2026'!H764)</f>
        <v/>
      </c>
      <c r="J764" s="275">
        <f>IF(ISBLANK('ENGAGEMENTS 2026'!C764),"",IF(AND(OR($E764="INFRUCTUEUX",$E764="ANNULE"),$C764="AOO-M"),'ENGAGEMENTS 2026'!P764,IF($H764="EN COURS DE PREENGAGEMENT",'ENGAGEMENTS 2026'!O764,IF($H764="PREENGAGE",IF($E764="ATTRIBUE",'ENGAGEMENTS 2026'!AE764,'ENGAGEMENTS 2026'!O764),'ENGAGEMENTS 2026'!AE764))))</f>
        <v/>
      </c>
      <c r="K764" s="604">
        <f>IF(ISBLANK('ENGAGEMENTS 2026'!W764),"",'ENGAGEMENTS 2026'!W764)</f>
        <v/>
      </c>
      <c r="L764" s="276">
        <f>IF($K764="","",TODAY()-$K764)</f>
        <v/>
      </c>
      <c r="M764">
        <f>IF($A764="","",IF($H764="ENGAGE","Engagé",IF(AND($H764="NON ENGAGE",OR($I764="INFRUCTUEUX",$I764="ANNULE")),"Clôturé sans suite","En cours")))</f>
        <v/>
      </c>
      <c r="N764">
        <f>IF(ISBLANK('ENGAGEMENTS 2026'!C764),"",'ENGAGEMENTS 2026'!L764)</f>
        <v/>
      </c>
      <c r="O764">
        <f>IF(ISBLANK('ENGAGEMENTS 2026'!C764),"",'ENGAGEMENTS 2026'!M764)</f>
        <v/>
      </c>
      <c r="P764">
        <f>IF(ISBLANK('ENGAGEMENTS 2026'!C764),"",'ENGAGEMENTS 2026'!K764)</f>
        <v/>
      </c>
      <c r="Q764">
        <f>IF($A764="","",IF(OR($E764="INFRUCTUEUX",$E764="ANNULE"),$A764&amp;"|"&amp;(COUNTIFS($A$2:$A764,$A764,$E$2:$E764,"INFRUCTUEUX")+COUNTIFS($A$2:$A764,$A764,$E$2:$E764,"ANNULE")),""))</f>
        <v/>
      </c>
    </row>
    <row r="765">
      <c r="A765">
        <f>IF(ISBLANK('ENGAGEMENTS 2026'!C765),"",IF('ENGAGEMENTS 2026'!C765="DTSI","DCT",'ENGAGEMENTS 2026'!C765))</f>
        <v/>
      </c>
      <c r="B765">
        <f>IF(ISBLANK('ENGAGEMENTS 2026'!C765),"",'ENGAGEMENTS 2026'!D765)</f>
        <v/>
      </c>
      <c r="C765">
        <f>IF(ISBLANK('ENGAGEMENTS 2026'!C765),"",'ENGAGEMENTS 2026'!E765)</f>
        <v/>
      </c>
      <c r="D765">
        <f>IF(ISBLANK('ENGAGEMENTS 2026'!C765),"",'ENGAGEMENTS 2026'!G765)</f>
        <v/>
      </c>
      <c r="E765">
        <f>IF(ISBLANK('ENGAGEMENTS 2026'!C765),"",'ENGAGEMENTS 2026'!I765)</f>
        <v/>
      </c>
      <c r="F765">
        <f>IF(ISBLANK('ENGAGEMENTS 2026'!C765),"",'ENGAGEMENTS 2026'!J765)</f>
        <v/>
      </c>
      <c r="G765">
        <f>IF(ISBLANK('ENGAGEMENTS 2026'!C765),"",'ENGAGEMENTS 2026'!M765)</f>
        <v/>
      </c>
      <c r="H765">
        <f>IF(ISBLANK('ENGAGEMENTS 2026'!C765),"",'ENGAGEMENTS 2026'!AF765)</f>
        <v/>
      </c>
      <c r="I765">
        <f>IF(ISBLANK('ENGAGEMENTS 2026'!C765),"",'ENGAGEMENTS 2026'!H765)</f>
        <v/>
      </c>
      <c r="J765" s="275">
        <f>IF(ISBLANK('ENGAGEMENTS 2026'!C765),"",IF(AND(OR($E765="INFRUCTUEUX",$E765="ANNULE"),$C765="AOO-M"),'ENGAGEMENTS 2026'!P765,IF($H765="EN COURS DE PREENGAGEMENT",'ENGAGEMENTS 2026'!O765,IF($H765="PREENGAGE",IF($E765="ATTRIBUE",'ENGAGEMENTS 2026'!AE765,'ENGAGEMENTS 2026'!O765),'ENGAGEMENTS 2026'!AE765))))</f>
        <v/>
      </c>
      <c r="K765" s="604">
        <f>IF(ISBLANK('ENGAGEMENTS 2026'!W765),"",'ENGAGEMENTS 2026'!W765)</f>
        <v/>
      </c>
      <c r="L765" s="276">
        <f>IF($K765="","",TODAY()-$K765)</f>
        <v/>
      </c>
      <c r="M765">
        <f>IF($A765="","",IF($H765="ENGAGE","Engagé",IF(AND($H765="NON ENGAGE",OR($I765="INFRUCTUEUX",$I765="ANNULE")),"Clôturé sans suite","En cours")))</f>
        <v/>
      </c>
      <c r="N765">
        <f>IF(ISBLANK('ENGAGEMENTS 2026'!C765),"",'ENGAGEMENTS 2026'!L765)</f>
        <v/>
      </c>
      <c r="O765">
        <f>IF(ISBLANK('ENGAGEMENTS 2026'!C765),"",'ENGAGEMENTS 2026'!M765)</f>
        <v/>
      </c>
      <c r="P765">
        <f>IF(ISBLANK('ENGAGEMENTS 2026'!C765),"",'ENGAGEMENTS 2026'!K765)</f>
        <v/>
      </c>
      <c r="Q765">
        <f>IF($A765="","",IF(OR($E765="INFRUCTUEUX",$E765="ANNULE"),$A765&amp;"|"&amp;(COUNTIFS($A$2:$A765,$A765,$E$2:$E765,"INFRUCTUEUX")+COUNTIFS($A$2:$A765,$A765,$E$2:$E765,"ANNULE")),""))</f>
        <v/>
      </c>
    </row>
    <row r="766">
      <c r="A766">
        <f>IF(ISBLANK('ENGAGEMENTS 2026'!C766),"",IF('ENGAGEMENTS 2026'!C766="DTSI","DCT",'ENGAGEMENTS 2026'!C766))</f>
        <v/>
      </c>
      <c r="B766">
        <f>IF(ISBLANK('ENGAGEMENTS 2026'!C766),"",'ENGAGEMENTS 2026'!D766)</f>
        <v/>
      </c>
      <c r="C766">
        <f>IF(ISBLANK('ENGAGEMENTS 2026'!C766),"",'ENGAGEMENTS 2026'!E766)</f>
        <v/>
      </c>
      <c r="D766">
        <f>IF(ISBLANK('ENGAGEMENTS 2026'!C766),"",'ENGAGEMENTS 2026'!G766)</f>
        <v/>
      </c>
      <c r="E766">
        <f>IF(ISBLANK('ENGAGEMENTS 2026'!C766),"",'ENGAGEMENTS 2026'!I766)</f>
        <v/>
      </c>
      <c r="F766">
        <f>IF(ISBLANK('ENGAGEMENTS 2026'!C766),"",'ENGAGEMENTS 2026'!J766)</f>
        <v/>
      </c>
      <c r="G766">
        <f>IF(ISBLANK('ENGAGEMENTS 2026'!C766),"",'ENGAGEMENTS 2026'!M766)</f>
        <v/>
      </c>
      <c r="H766">
        <f>IF(ISBLANK('ENGAGEMENTS 2026'!C766),"",'ENGAGEMENTS 2026'!AF766)</f>
        <v/>
      </c>
      <c r="I766">
        <f>IF(ISBLANK('ENGAGEMENTS 2026'!C766),"",'ENGAGEMENTS 2026'!H766)</f>
        <v/>
      </c>
      <c r="J766" s="275">
        <f>IF(ISBLANK('ENGAGEMENTS 2026'!C766),"",IF(AND(OR($E766="INFRUCTUEUX",$E766="ANNULE"),$C766="AOO-M"),'ENGAGEMENTS 2026'!P766,IF($H766="EN COURS DE PREENGAGEMENT",'ENGAGEMENTS 2026'!O766,IF($H766="PREENGAGE",IF($E766="ATTRIBUE",'ENGAGEMENTS 2026'!AE766,'ENGAGEMENTS 2026'!O766),'ENGAGEMENTS 2026'!AE766))))</f>
        <v/>
      </c>
      <c r="K766" s="604">
        <f>IF(ISBLANK('ENGAGEMENTS 2026'!W766),"",'ENGAGEMENTS 2026'!W766)</f>
        <v/>
      </c>
      <c r="L766" s="276">
        <f>IF($K766="","",TODAY()-$K766)</f>
        <v/>
      </c>
      <c r="M766">
        <f>IF($A766="","",IF($H766="ENGAGE","Engagé",IF(AND($H766="NON ENGAGE",OR($I766="INFRUCTUEUX",$I766="ANNULE")),"Clôturé sans suite","En cours")))</f>
        <v/>
      </c>
      <c r="N766">
        <f>IF(ISBLANK('ENGAGEMENTS 2026'!C766),"",'ENGAGEMENTS 2026'!L766)</f>
        <v/>
      </c>
      <c r="O766">
        <f>IF(ISBLANK('ENGAGEMENTS 2026'!C766),"",'ENGAGEMENTS 2026'!M766)</f>
        <v/>
      </c>
      <c r="P766">
        <f>IF(ISBLANK('ENGAGEMENTS 2026'!C766),"",'ENGAGEMENTS 2026'!K766)</f>
        <v/>
      </c>
      <c r="Q766">
        <f>IF($A766="","",IF(OR($E766="INFRUCTUEUX",$E766="ANNULE"),$A766&amp;"|"&amp;(COUNTIFS($A$2:$A766,$A766,$E$2:$E766,"INFRUCTUEUX")+COUNTIFS($A$2:$A766,$A766,$E$2:$E766,"ANNULE")),""))</f>
        <v/>
      </c>
    </row>
    <row r="767">
      <c r="A767">
        <f>IF(ISBLANK('ENGAGEMENTS 2026'!C767),"",IF('ENGAGEMENTS 2026'!C767="DTSI","DCT",'ENGAGEMENTS 2026'!C767))</f>
        <v/>
      </c>
      <c r="B767">
        <f>IF(ISBLANK('ENGAGEMENTS 2026'!C767),"",'ENGAGEMENTS 2026'!D767)</f>
        <v/>
      </c>
      <c r="C767">
        <f>IF(ISBLANK('ENGAGEMENTS 2026'!C767),"",'ENGAGEMENTS 2026'!E767)</f>
        <v/>
      </c>
      <c r="D767">
        <f>IF(ISBLANK('ENGAGEMENTS 2026'!C767),"",'ENGAGEMENTS 2026'!G767)</f>
        <v/>
      </c>
      <c r="E767">
        <f>IF(ISBLANK('ENGAGEMENTS 2026'!C767),"",'ENGAGEMENTS 2026'!I767)</f>
        <v/>
      </c>
      <c r="F767">
        <f>IF(ISBLANK('ENGAGEMENTS 2026'!C767),"",'ENGAGEMENTS 2026'!J767)</f>
        <v/>
      </c>
      <c r="G767">
        <f>IF(ISBLANK('ENGAGEMENTS 2026'!C767),"",'ENGAGEMENTS 2026'!M767)</f>
        <v/>
      </c>
      <c r="H767">
        <f>IF(ISBLANK('ENGAGEMENTS 2026'!C767),"",'ENGAGEMENTS 2026'!AF767)</f>
        <v/>
      </c>
      <c r="I767">
        <f>IF(ISBLANK('ENGAGEMENTS 2026'!C767),"",'ENGAGEMENTS 2026'!H767)</f>
        <v/>
      </c>
      <c r="J767" s="275">
        <f>IF(ISBLANK('ENGAGEMENTS 2026'!C767),"",IF(AND(OR($E767="INFRUCTUEUX",$E767="ANNULE"),$C767="AOO-M"),'ENGAGEMENTS 2026'!P767,IF($H767="EN COURS DE PREENGAGEMENT",'ENGAGEMENTS 2026'!O767,IF($H767="PREENGAGE",IF($E767="ATTRIBUE",'ENGAGEMENTS 2026'!AE767,'ENGAGEMENTS 2026'!O767),'ENGAGEMENTS 2026'!AE767))))</f>
        <v/>
      </c>
      <c r="K767" s="604">
        <f>IF(ISBLANK('ENGAGEMENTS 2026'!W767),"",'ENGAGEMENTS 2026'!W767)</f>
        <v/>
      </c>
      <c r="L767" s="276">
        <f>IF($K767="","",TODAY()-$K767)</f>
        <v/>
      </c>
      <c r="M767">
        <f>IF($A767="","",IF($H767="ENGAGE","Engagé",IF(AND($H767="NON ENGAGE",OR($I767="INFRUCTUEUX",$I767="ANNULE")),"Clôturé sans suite","En cours")))</f>
        <v/>
      </c>
      <c r="N767">
        <f>IF(ISBLANK('ENGAGEMENTS 2026'!C767),"",'ENGAGEMENTS 2026'!L767)</f>
        <v/>
      </c>
      <c r="O767">
        <f>IF(ISBLANK('ENGAGEMENTS 2026'!C767),"",'ENGAGEMENTS 2026'!M767)</f>
        <v/>
      </c>
      <c r="P767">
        <f>IF(ISBLANK('ENGAGEMENTS 2026'!C767),"",'ENGAGEMENTS 2026'!K767)</f>
        <v/>
      </c>
      <c r="Q767">
        <f>IF($A767="","",IF(OR($E767="INFRUCTUEUX",$E767="ANNULE"),$A767&amp;"|"&amp;(COUNTIFS($A$2:$A767,$A767,$E$2:$E767,"INFRUCTUEUX")+COUNTIFS($A$2:$A767,$A767,$E$2:$E767,"ANNULE")),""))</f>
        <v/>
      </c>
    </row>
    <row r="768">
      <c r="A768">
        <f>IF(ISBLANK('ENGAGEMENTS 2026'!C768),"",IF('ENGAGEMENTS 2026'!C768="DTSI","DCT",'ENGAGEMENTS 2026'!C768))</f>
        <v/>
      </c>
      <c r="B768">
        <f>IF(ISBLANK('ENGAGEMENTS 2026'!C768),"",'ENGAGEMENTS 2026'!D768)</f>
        <v/>
      </c>
      <c r="C768">
        <f>IF(ISBLANK('ENGAGEMENTS 2026'!C768),"",'ENGAGEMENTS 2026'!E768)</f>
        <v/>
      </c>
      <c r="D768">
        <f>IF(ISBLANK('ENGAGEMENTS 2026'!C768),"",'ENGAGEMENTS 2026'!G768)</f>
        <v/>
      </c>
      <c r="E768">
        <f>IF(ISBLANK('ENGAGEMENTS 2026'!C768),"",'ENGAGEMENTS 2026'!I768)</f>
        <v/>
      </c>
      <c r="F768">
        <f>IF(ISBLANK('ENGAGEMENTS 2026'!C768),"",'ENGAGEMENTS 2026'!J768)</f>
        <v/>
      </c>
      <c r="G768">
        <f>IF(ISBLANK('ENGAGEMENTS 2026'!C768),"",'ENGAGEMENTS 2026'!M768)</f>
        <v/>
      </c>
      <c r="H768">
        <f>IF(ISBLANK('ENGAGEMENTS 2026'!C768),"",'ENGAGEMENTS 2026'!AF768)</f>
        <v/>
      </c>
      <c r="I768">
        <f>IF(ISBLANK('ENGAGEMENTS 2026'!C768),"",'ENGAGEMENTS 2026'!H768)</f>
        <v/>
      </c>
      <c r="J768" s="275">
        <f>IF(ISBLANK('ENGAGEMENTS 2026'!C768),"",IF(AND(OR($E768="INFRUCTUEUX",$E768="ANNULE"),$C768="AOO-M"),'ENGAGEMENTS 2026'!P768,IF($H768="EN COURS DE PREENGAGEMENT",'ENGAGEMENTS 2026'!O768,IF($H768="PREENGAGE",IF($E768="ATTRIBUE",'ENGAGEMENTS 2026'!AE768,'ENGAGEMENTS 2026'!O768),'ENGAGEMENTS 2026'!AE768))))</f>
        <v/>
      </c>
      <c r="K768" s="604">
        <f>IF(ISBLANK('ENGAGEMENTS 2026'!W768),"",'ENGAGEMENTS 2026'!W768)</f>
        <v/>
      </c>
      <c r="L768" s="276">
        <f>IF($K768="","",TODAY()-$K768)</f>
        <v/>
      </c>
      <c r="M768">
        <f>IF($A768="","",IF($H768="ENGAGE","Engagé",IF(AND($H768="NON ENGAGE",OR($I768="INFRUCTUEUX",$I768="ANNULE")),"Clôturé sans suite","En cours")))</f>
        <v/>
      </c>
      <c r="N768">
        <f>IF(ISBLANK('ENGAGEMENTS 2026'!C768),"",'ENGAGEMENTS 2026'!L768)</f>
        <v/>
      </c>
      <c r="O768">
        <f>IF(ISBLANK('ENGAGEMENTS 2026'!C768),"",'ENGAGEMENTS 2026'!M768)</f>
        <v/>
      </c>
      <c r="P768">
        <f>IF(ISBLANK('ENGAGEMENTS 2026'!C768),"",'ENGAGEMENTS 2026'!K768)</f>
        <v/>
      </c>
      <c r="Q768">
        <f>IF($A768="","",IF(OR($E768="INFRUCTUEUX",$E768="ANNULE"),$A768&amp;"|"&amp;(COUNTIFS($A$2:$A768,$A768,$E$2:$E768,"INFRUCTUEUX")+COUNTIFS($A$2:$A768,$A768,$E$2:$E768,"ANNULE")),""))</f>
        <v/>
      </c>
    </row>
    <row r="769">
      <c r="A769">
        <f>IF(ISBLANK('ENGAGEMENTS 2026'!C769),"",IF('ENGAGEMENTS 2026'!C769="DTSI","DCT",'ENGAGEMENTS 2026'!C769))</f>
        <v/>
      </c>
      <c r="B769">
        <f>IF(ISBLANK('ENGAGEMENTS 2026'!C769),"",'ENGAGEMENTS 2026'!D769)</f>
        <v/>
      </c>
      <c r="C769">
        <f>IF(ISBLANK('ENGAGEMENTS 2026'!C769),"",'ENGAGEMENTS 2026'!E769)</f>
        <v/>
      </c>
      <c r="D769">
        <f>IF(ISBLANK('ENGAGEMENTS 2026'!C769),"",'ENGAGEMENTS 2026'!G769)</f>
        <v/>
      </c>
      <c r="E769">
        <f>IF(ISBLANK('ENGAGEMENTS 2026'!C769),"",'ENGAGEMENTS 2026'!I769)</f>
        <v/>
      </c>
      <c r="F769">
        <f>IF(ISBLANK('ENGAGEMENTS 2026'!C769),"",'ENGAGEMENTS 2026'!J769)</f>
        <v/>
      </c>
      <c r="G769">
        <f>IF(ISBLANK('ENGAGEMENTS 2026'!C769),"",'ENGAGEMENTS 2026'!M769)</f>
        <v/>
      </c>
      <c r="H769">
        <f>IF(ISBLANK('ENGAGEMENTS 2026'!C769),"",'ENGAGEMENTS 2026'!AF769)</f>
        <v/>
      </c>
      <c r="I769">
        <f>IF(ISBLANK('ENGAGEMENTS 2026'!C769),"",'ENGAGEMENTS 2026'!H769)</f>
        <v/>
      </c>
      <c r="J769" s="275">
        <f>IF(ISBLANK('ENGAGEMENTS 2026'!C769),"",IF(AND(OR($E769="INFRUCTUEUX",$E769="ANNULE"),$C769="AOO-M"),'ENGAGEMENTS 2026'!P769,IF($H769="EN COURS DE PREENGAGEMENT",'ENGAGEMENTS 2026'!O769,IF($H769="PREENGAGE",IF($E769="ATTRIBUE",'ENGAGEMENTS 2026'!AE769,'ENGAGEMENTS 2026'!O769),'ENGAGEMENTS 2026'!AE769))))</f>
        <v/>
      </c>
      <c r="K769" s="604">
        <f>IF(ISBLANK('ENGAGEMENTS 2026'!W769),"",'ENGAGEMENTS 2026'!W769)</f>
        <v/>
      </c>
      <c r="L769" s="276">
        <f>IF($K769="","",TODAY()-$K769)</f>
        <v/>
      </c>
      <c r="M769">
        <f>IF($A769="","",IF($H769="ENGAGE","Engagé",IF(AND($H769="NON ENGAGE",OR($I769="INFRUCTUEUX",$I769="ANNULE")),"Clôturé sans suite","En cours")))</f>
        <v/>
      </c>
      <c r="N769">
        <f>IF(ISBLANK('ENGAGEMENTS 2026'!C769),"",'ENGAGEMENTS 2026'!L769)</f>
        <v/>
      </c>
      <c r="O769">
        <f>IF(ISBLANK('ENGAGEMENTS 2026'!C769),"",'ENGAGEMENTS 2026'!M769)</f>
        <v/>
      </c>
      <c r="P769">
        <f>IF(ISBLANK('ENGAGEMENTS 2026'!C769),"",'ENGAGEMENTS 2026'!K769)</f>
        <v/>
      </c>
      <c r="Q769">
        <f>IF($A769="","",IF(OR($E769="INFRUCTUEUX",$E769="ANNULE"),$A769&amp;"|"&amp;(COUNTIFS($A$2:$A769,$A769,$E$2:$E769,"INFRUCTUEUX")+COUNTIFS($A$2:$A769,$A769,$E$2:$E769,"ANNULE")),""))</f>
        <v/>
      </c>
    </row>
    <row r="770">
      <c r="A770">
        <f>IF(ISBLANK('ENGAGEMENTS 2026'!C770),"",IF('ENGAGEMENTS 2026'!C770="DTSI","DCT",'ENGAGEMENTS 2026'!C770))</f>
        <v/>
      </c>
      <c r="B770">
        <f>IF(ISBLANK('ENGAGEMENTS 2026'!C770),"",'ENGAGEMENTS 2026'!D770)</f>
        <v/>
      </c>
      <c r="C770">
        <f>IF(ISBLANK('ENGAGEMENTS 2026'!C770),"",'ENGAGEMENTS 2026'!E770)</f>
        <v/>
      </c>
      <c r="D770">
        <f>IF(ISBLANK('ENGAGEMENTS 2026'!C770),"",'ENGAGEMENTS 2026'!G770)</f>
        <v/>
      </c>
      <c r="E770">
        <f>IF(ISBLANK('ENGAGEMENTS 2026'!C770),"",'ENGAGEMENTS 2026'!I770)</f>
        <v/>
      </c>
      <c r="F770">
        <f>IF(ISBLANK('ENGAGEMENTS 2026'!C770),"",'ENGAGEMENTS 2026'!J770)</f>
        <v/>
      </c>
      <c r="G770">
        <f>IF(ISBLANK('ENGAGEMENTS 2026'!C770),"",'ENGAGEMENTS 2026'!M770)</f>
        <v/>
      </c>
      <c r="H770">
        <f>IF(ISBLANK('ENGAGEMENTS 2026'!C770),"",'ENGAGEMENTS 2026'!AF770)</f>
        <v/>
      </c>
      <c r="I770">
        <f>IF(ISBLANK('ENGAGEMENTS 2026'!C770),"",'ENGAGEMENTS 2026'!H770)</f>
        <v/>
      </c>
      <c r="J770" s="275">
        <f>IF(ISBLANK('ENGAGEMENTS 2026'!C770),"",IF(AND(OR($E770="INFRUCTUEUX",$E770="ANNULE"),$C770="AOO-M"),'ENGAGEMENTS 2026'!P770,IF($H770="EN COURS DE PREENGAGEMENT",'ENGAGEMENTS 2026'!O770,IF($H770="PREENGAGE",IF($E770="ATTRIBUE",'ENGAGEMENTS 2026'!AE770,'ENGAGEMENTS 2026'!O770),'ENGAGEMENTS 2026'!AE770))))</f>
        <v/>
      </c>
      <c r="K770" s="604">
        <f>IF(ISBLANK('ENGAGEMENTS 2026'!W770),"",'ENGAGEMENTS 2026'!W770)</f>
        <v/>
      </c>
      <c r="L770" s="276">
        <f>IF($K770="","",TODAY()-$K770)</f>
        <v/>
      </c>
      <c r="M770">
        <f>IF($A770="","",IF($H770="ENGAGE","Engagé",IF(AND($H770="NON ENGAGE",OR($I770="INFRUCTUEUX",$I770="ANNULE")),"Clôturé sans suite","En cours")))</f>
        <v/>
      </c>
      <c r="N770">
        <f>IF(ISBLANK('ENGAGEMENTS 2026'!C770),"",'ENGAGEMENTS 2026'!L770)</f>
        <v/>
      </c>
      <c r="O770">
        <f>IF(ISBLANK('ENGAGEMENTS 2026'!C770),"",'ENGAGEMENTS 2026'!M770)</f>
        <v/>
      </c>
      <c r="P770">
        <f>IF(ISBLANK('ENGAGEMENTS 2026'!C770),"",'ENGAGEMENTS 2026'!K770)</f>
        <v/>
      </c>
      <c r="Q770">
        <f>IF($A770="","",IF(OR($E770="INFRUCTUEUX",$E770="ANNULE"),$A770&amp;"|"&amp;(COUNTIFS($A$2:$A770,$A770,$E$2:$E770,"INFRUCTUEUX")+COUNTIFS($A$2:$A770,$A770,$E$2:$E770,"ANNULE")),""))</f>
        <v/>
      </c>
    </row>
    <row r="771">
      <c r="A771">
        <f>IF(ISBLANK('ENGAGEMENTS 2026'!C771),"",IF('ENGAGEMENTS 2026'!C771="DTSI","DCT",'ENGAGEMENTS 2026'!C771))</f>
        <v/>
      </c>
      <c r="B771">
        <f>IF(ISBLANK('ENGAGEMENTS 2026'!C771),"",'ENGAGEMENTS 2026'!D771)</f>
        <v/>
      </c>
      <c r="C771">
        <f>IF(ISBLANK('ENGAGEMENTS 2026'!C771),"",'ENGAGEMENTS 2026'!E771)</f>
        <v/>
      </c>
      <c r="D771">
        <f>IF(ISBLANK('ENGAGEMENTS 2026'!C771),"",'ENGAGEMENTS 2026'!G771)</f>
        <v/>
      </c>
      <c r="E771">
        <f>IF(ISBLANK('ENGAGEMENTS 2026'!C771),"",'ENGAGEMENTS 2026'!I771)</f>
        <v/>
      </c>
      <c r="F771">
        <f>IF(ISBLANK('ENGAGEMENTS 2026'!C771),"",'ENGAGEMENTS 2026'!J771)</f>
        <v/>
      </c>
      <c r="G771">
        <f>IF(ISBLANK('ENGAGEMENTS 2026'!C771),"",'ENGAGEMENTS 2026'!M771)</f>
        <v/>
      </c>
      <c r="H771">
        <f>IF(ISBLANK('ENGAGEMENTS 2026'!C771),"",'ENGAGEMENTS 2026'!AF771)</f>
        <v/>
      </c>
      <c r="I771">
        <f>IF(ISBLANK('ENGAGEMENTS 2026'!C771),"",'ENGAGEMENTS 2026'!H771)</f>
        <v/>
      </c>
      <c r="J771" s="275">
        <f>IF(ISBLANK('ENGAGEMENTS 2026'!C771),"",IF(AND(OR($E771="INFRUCTUEUX",$E771="ANNULE"),$C771="AOO-M"),'ENGAGEMENTS 2026'!P771,IF($H771="EN COURS DE PREENGAGEMENT",'ENGAGEMENTS 2026'!O771,IF($H771="PREENGAGE",IF($E771="ATTRIBUE",'ENGAGEMENTS 2026'!AE771,'ENGAGEMENTS 2026'!O771),'ENGAGEMENTS 2026'!AE771))))</f>
        <v/>
      </c>
      <c r="K771" s="604">
        <f>IF(ISBLANK('ENGAGEMENTS 2026'!W771),"",'ENGAGEMENTS 2026'!W771)</f>
        <v/>
      </c>
      <c r="L771" s="276">
        <f>IF($K771="","",TODAY()-$K771)</f>
        <v/>
      </c>
      <c r="M771">
        <f>IF($A771="","",IF($H771="ENGAGE","Engagé",IF(AND($H771="NON ENGAGE",OR($I771="INFRUCTUEUX",$I771="ANNULE")),"Clôturé sans suite","En cours")))</f>
        <v/>
      </c>
      <c r="N771">
        <f>IF(ISBLANK('ENGAGEMENTS 2026'!C771),"",'ENGAGEMENTS 2026'!L771)</f>
        <v/>
      </c>
      <c r="O771">
        <f>IF(ISBLANK('ENGAGEMENTS 2026'!C771),"",'ENGAGEMENTS 2026'!M771)</f>
        <v/>
      </c>
      <c r="P771">
        <f>IF(ISBLANK('ENGAGEMENTS 2026'!C771),"",'ENGAGEMENTS 2026'!K771)</f>
        <v/>
      </c>
      <c r="Q771">
        <f>IF($A771="","",IF(OR($E771="INFRUCTUEUX",$E771="ANNULE"),$A771&amp;"|"&amp;(COUNTIFS($A$2:$A771,$A771,$E$2:$E771,"INFRUCTUEUX")+COUNTIFS($A$2:$A771,$A771,$E$2:$E771,"ANNULE")),""))</f>
        <v/>
      </c>
    </row>
    <row r="772">
      <c r="A772">
        <f>IF(ISBLANK('ENGAGEMENTS 2026'!C772),"",IF('ENGAGEMENTS 2026'!C772="DTSI","DCT",'ENGAGEMENTS 2026'!C772))</f>
        <v/>
      </c>
      <c r="B772">
        <f>IF(ISBLANK('ENGAGEMENTS 2026'!C772),"",'ENGAGEMENTS 2026'!D772)</f>
        <v/>
      </c>
      <c r="C772">
        <f>IF(ISBLANK('ENGAGEMENTS 2026'!C772),"",'ENGAGEMENTS 2026'!E772)</f>
        <v/>
      </c>
      <c r="D772">
        <f>IF(ISBLANK('ENGAGEMENTS 2026'!C772),"",'ENGAGEMENTS 2026'!G772)</f>
        <v/>
      </c>
      <c r="E772">
        <f>IF(ISBLANK('ENGAGEMENTS 2026'!C772),"",'ENGAGEMENTS 2026'!I772)</f>
        <v/>
      </c>
      <c r="F772">
        <f>IF(ISBLANK('ENGAGEMENTS 2026'!C772),"",'ENGAGEMENTS 2026'!J772)</f>
        <v/>
      </c>
      <c r="G772">
        <f>IF(ISBLANK('ENGAGEMENTS 2026'!C772),"",'ENGAGEMENTS 2026'!M772)</f>
        <v/>
      </c>
      <c r="H772">
        <f>IF(ISBLANK('ENGAGEMENTS 2026'!C772),"",'ENGAGEMENTS 2026'!AF772)</f>
        <v/>
      </c>
      <c r="I772">
        <f>IF(ISBLANK('ENGAGEMENTS 2026'!C772),"",'ENGAGEMENTS 2026'!H772)</f>
        <v/>
      </c>
      <c r="J772" s="275">
        <f>IF(ISBLANK('ENGAGEMENTS 2026'!C772),"",IF(AND(OR($E772="INFRUCTUEUX",$E772="ANNULE"),$C772="AOO-M"),'ENGAGEMENTS 2026'!P772,IF($H772="EN COURS DE PREENGAGEMENT",'ENGAGEMENTS 2026'!O772,IF($H772="PREENGAGE",IF($E772="ATTRIBUE",'ENGAGEMENTS 2026'!AE772,'ENGAGEMENTS 2026'!O772),'ENGAGEMENTS 2026'!AE772))))</f>
        <v/>
      </c>
      <c r="K772" s="604">
        <f>IF(ISBLANK('ENGAGEMENTS 2026'!W772),"",'ENGAGEMENTS 2026'!W772)</f>
        <v/>
      </c>
      <c r="L772" s="276">
        <f>IF($K772="","",TODAY()-$K772)</f>
        <v/>
      </c>
      <c r="M772">
        <f>IF($A772="","",IF($H772="ENGAGE","Engagé",IF(AND($H772="NON ENGAGE",OR($I772="INFRUCTUEUX",$I772="ANNULE")),"Clôturé sans suite","En cours")))</f>
        <v/>
      </c>
      <c r="N772">
        <f>IF(ISBLANK('ENGAGEMENTS 2026'!C772),"",'ENGAGEMENTS 2026'!L772)</f>
        <v/>
      </c>
      <c r="O772">
        <f>IF(ISBLANK('ENGAGEMENTS 2026'!C772),"",'ENGAGEMENTS 2026'!M772)</f>
        <v/>
      </c>
      <c r="P772">
        <f>IF(ISBLANK('ENGAGEMENTS 2026'!C772),"",'ENGAGEMENTS 2026'!K772)</f>
        <v/>
      </c>
      <c r="Q772">
        <f>IF($A772="","",IF(OR($E772="INFRUCTUEUX",$E772="ANNULE"),$A772&amp;"|"&amp;(COUNTIFS($A$2:$A772,$A772,$E$2:$E772,"INFRUCTUEUX")+COUNTIFS($A$2:$A772,$A772,$E$2:$E772,"ANNULE")),""))</f>
        <v/>
      </c>
    </row>
    <row r="773">
      <c r="A773">
        <f>IF(ISBLANK('ENGAGEMENTS 2026'!C773),"",IF('ENGAGEMENTS 2026'!C773="DTSI","DCT",'ENGAGEMENTS 2026'!C773))</f>
        <v/>
      </c>
      <c r="B773">
        <f>IF(ISBLANK('ENGAGEMENTS 2026'!C773),"",'ENGAGEMENTS 2026'!D773)</f>
        <v/>
      </c>
      <c r="C773">
        <f>IF(ISBLANK('ENGAGEMENTS 2026'!C773),"",'ENGAGEMENTS 2026'!E773)</f>
        <v/>
      </c>
      <c r="D773">
        <f>IF(ISBLANK('ENGAGEMENTS 2026'!C773),"",'ENGAGEMENTS 2026'!G773)</f>
        <v/>
      </c>
      <c r="E773">
        <f>IF(ISBLANK('ENGAGEMENTS 2026'!C773),"",'ENGAGEMENTS 2026'!I773)</f>
        <v/>
      </c>
      <c r="F773">
        <f>IF(ISBLANK('ENGAGEMENTS 2026'!C773),"",'ENGAGEMENTS 2026'!J773)</f>
        <v/>
      </c>
      <c r="G773">
        <f>IF(ISBLANK('ENGAGEMENTS 2026'!C773),"",'ENGAGEMENTS 2026'!M773)</f>
        <v/>
      </c>
      <c r="H773">
        <f>IF(ISBLANK('ENGAGEMENTS 2026'!C773),"",'ENGAGEMENTS 2026'!AF773)</f>
        <v/>
      </c>
      <c r="I773">
        <f>IF(ISBLANK('ENGAGEMENTS 2026'!C773),"",'ENGAGEMENTS 2026'!H773)</f>
        <v/>
      </c>
      <c r="J773" s="275">
        <f>IF(ISBLANK('ENGAGEMENTS 2026'!C773),"",IF(AND(OR($E773="INFRUCTUEUX",$E773="ANNULE"),$C773="AOO-M"),'ENGAGEMENTS 2026'!P773,IF($H773="EN COURS DE PREENGAGEMENT",'ENGAGEMENTS 2026'!O773,IF($H773="PREENGAGE",IF($E773="ATTRIBUE",'ENGAGEMENTS 2026'!AE773,'ENGAGEMENTS 2026'!O773),'ENGAGEMENTS 2026'!AE773))))</f>
        <v/>
      </c>
      <c r="K773" s="604">
        <f>IF(ISBLANK('ENGAGEMENTS 2026'!W773),"",'ENGAGEMENTS 2026'!W773)</f>
        <v/>
      </c>
      <c r="L773" s="276">
        <f>IF($K773="","",TODAY()-$K773)</f>
        <v/>
      </c>
      <c r="M773">
        <f>IF($A773="","",IF($H773="ENGAGE","Engagé",IF(AND($H773="NON ENGAGE",OR($I773="INFRUCTUEUX",$I773="ANNULE")),"Clôturé sans suite","En cours")))</f>
        <v/>
      </c>
      <c r="N773">
        <f>IF(ISBLANK('ENGAGEMENTS 2026'!C773),"",'ENGAGEMENTS 2026'!L773)</f>
        <v/>
      </c>
      <c r="O773">
        <f>IF(ISBLANK('ENGAGEMENTS 2026'!C773),"",'ENGAGEMENTS 2026'!M773)</f>
        <v/>
      </c>
      <c r="P773">
        <f>IF(ISBLANK('ENGAGEMENTS 2026'!C773),"",'ENGAGEMENTS 2026'!K773)</f>
        <v/>
      </c>
      <c r="Q773">
        <f>IF($A773="","",IF(OR($E773="INFRUCTUEUX",$E773="ANNULE"),$A773&amp;"|"&amp;(COUNTIFS($A$2:$A773,$A773,$E$2:$E773,"INFRUCTUEUX")+COUNTIFS($A$2:$A773,$A773,$E$2:$E773,"ANNULE")),""))</f>
        <v/>
      </c>
    </row>
    <row r="774">
      <c r="A774">
        <f>IF(ISBLANK('ENGAGEMENTS 2026'!C774),"",IF('ENGAGEMENTS 2026'!C774="DTSI","DCT",'ENGAGEMENTS 2026'!C774))</f>
        <v/>
      </c>
      <c r="B774">
        <f>IF(ISBLANK('ENGAGEMENTS 2026'!C774),"",'ENGAGEMENTS 2026'!D774)</f>
        <v/>
      </c>
      <c r="C774">
        <f>IF(ISBLANK('ENGAGEMENTS 2026'!C774),"",'ENGAGEMENTS 2026'!E774)</f>
        <v/>
      </c>
      <c r="D774">
        <f>IF(ISBLANK('ENGAGEMENTS 2026'!C774),"",'ENGAGEMENTS 2026'!G774)</f>
        <v/>
      </c>
      <c r="E774">
        <f>IF(ISBLANK('ENGAGEMENTS 2026'!C774),"",'ENGAGEMENTS 2026'!I774)</f>
        <v/>
      </c>
      <c r="F774">
        <f>IF(ISBLANK('ENGAGEMENTS 2026'!C774),"",'ENGAGEMENTS 2026'!J774)</f>
        <v/>
      </c>
      <c r="G774">
        <f>IF(ISBLANK('ENGAGEMENTS 2026'!C774),"",'ENGAGEMENTS 2026'!M774)</f>
        <v/>
      </c>
      <c r="H774">
        <f>IF(ISBLANK('ENGAGEMENTS 2026'!C774),"",'ENGAGEMENTS 2026'!AF774)</f>
        <v/>
      </c>
      <c r="I774">
        <f>IF(ISBLANK('ENGAGEMENTS 2026'!C774),"",'ENGAGEMENTS 2026'!H774)</f>
        <v/>
      </c>
      <c r="J774" s="275">
        <f>IF(ISBLANK('ENGAGEMENTS 2026'!C774),"",IF(AND(OR($E774="INFRUCTUEUX",$E774="ANNULE"),$C774="AOO-M"),'ENGAGEMENTS 2026'!P774,IF($H774="EN COURS DE PREENGAGEMENT",'ENGAGEMENTS 2026'!O774,IF($H774="PREENGAGE",IF($E774="ATTRIBUE",'ENGAGEMENTS 2026'!AE774,'ENGAGEMENTS 2026'!O774),'ENGAGEMENTS 2026'!AE774))))</f>
        <v/>
      </c>
      <c r="K774" s="604">
        <f>IF(ISBLANK('ENGAGEMENTS 2026'!W774),"",'ENGAGEMENTS 2026'!W774)</f>
        <v/>
      </c>
      <c r="L774" s="276">
        <f>IF($K774="","",TODAY()-$K774)</f>
        <v/>
      </c>
      <c r="M774">
        <f>IF($A774="","",IF($H774="ENGAGE","Engagé",IF(AND($H774="NON ENGAGE",OR($I774="INFRUCTUEUX",$I774="ANNULE")),"Clôturé sans suite","En cours")))</f>
        <v/>
      </c>
      <c r="N774">
        <f>IF(ISBLANK('ENGAGEMENTS 2026'!C774),"",'ENGAGEMENTS 2026'!L774)</f>
        <v/>
      </c>
      <c r="O774">
        <f>IF(ISBLANK('ENGAGEMENTS 2026'!C774),"",'ENGAGEMENTS 2026'!M774)</f>
        <v/>
      </c>
      <c r="P774">
        <f>IF(ISBLANK('ENGAGEMENTS 2026'!C774),"",'ENGAGEMENTS 2026'!K774)</f>
        <v/>
      </c>
      <c r="Q774">
        <f>IF($A774="","",IF(OR($E774="INFRUCTUEUX",$E774="ANNULE"),$A774&amp;"|"&amp;(COUNTIFS($A$2:$A774,$A774,$E$2:$E774,"INFRUCTUEUX")+COUNTIFS($A$2:$A774,$A774,$E$2:$E774,"ANNULE")),""))</f>
        <v/>
      </c>
    </row>
    <row r="775">
      <c r="A775">
        <f>IF(ISBLANK('ENGAGEMENTS 2026'!C775),"",IF('ENGAGEMENTS 2026'!C775="DTSI","DCT",'ENGAGEMENTS 2026'!C775))</f>
        <v/>
      </c>
      <c r="B775">
        <f>IF(ISBLANK('ENGAGEMENTS 2026'!C775),"",'ENGAGEMENTS 2026'!D775)</f>
        <v/>
      </c>
      <c r="C775">
        <f>IF(ISBLANK('ENGAGEMENTS 2026'!C775),"",'ENGAGEMENTS 2026'!E775)</f>
        <v/>
      </c>
      <c r="D775">
        <f>IF(ISBLANK('ENGAGEMENTS 2026'!C775),"",'ENGAGEMENTS 2026'!G775)</f>
        <v/>
      </c>
      <c r="E775">
        <f>IF(ISBLANK('ENGAGEMENTS 2026'!C775),"",'ENGAGEMENTS 2026'!I775)</f>
        <v/>
      </c>
      <c r="F775">
        <f>IF(ISBLANK('ENGAGEMENTS 2026'!C775),"",'ENGAGEMENTS 2026'!J775)</f>
        <v/>
      </c>
      <c r="G775">
        <f>IF(ISBLANK('ENGAGEMENTS 2026'!C775),"",'ENGAGEMENTS 2026'!M775)</f>
        <v/>
      </c>
      <c r="H775">
        <f>IF(ISBLANK('ENGAGEMENTS 2026'!C775),"",'ENGAGEMENTS 2026'!AF775)</f>
        <v/>
      </c>
      <c r="I775">
        <f>IF(ISBLANK('ENGAGEMENTS 2026'!C775),"",'ENGAGEMENTS 2026'!H775)</f>
        <v/>
      </c>
      <c r="J775" s="275">
        <f>IF(ISBLANK('ENGAGEMENTS 2026'!C775),"",IF(AND(OR($E775="INFRUCTUEUX",$E775="ANNULE"),$C775="AOO-M"),'ENGAGEMENTS 2026'!P775,IF($H775="EN COURS DE PREENGAGEMENT",'ENGAGEMENTS 2026'!O775,IF($H775="PREENGAGE",IF($E775="ATTRIBUE",'ENGAGEMENTS 2026'!AE775,'ENGAGEMENTS 2026'!O775),'ENGAGEMENTS 2026'!AE775))))</f>
        <v/>
      </c>
      <c r="K775" s="604">
        <f>IF(ISBLANK('ENGAGEMENTS 2026'!W775),"",'ENGAGEMENTS 2026'!W775)</f>
        <v/>
      </c>
      <c r="L775" s="276">
        <f>IF($K775="","",TODAY()-$K775)</f>
        <v/>
      </c>
      <c r="M775">
        <f>IF($A775="","",IF($H775="ENGAGE","Engagé",IF(AND($H775="NON ENGAGE",OR($I775="INFRUCTUEUX",$I775="ANNULE")),"Clôturé sans suite","En cours")))</f>
        <v/>
      </c>
      <c r="N775">
        <f>IF(ISBLANK('ENGAGEMENTS 2026'!C775),"",'ENGAGEMENTS 2026'!L775)</f>
        <v/>
      </c>
      <c r="O775">
        <f>IF(ISBLANK('ENGAGEMENTS 2026'!C775),"",'ENGAGEMENTS 2026'!M775)</f>
        <v/>
      </c>
      <c r="P775">
        <f>IF(ISBLANK('ENGAGEMENTS 2026'!C775),"",'ENGAGEMENTS 2026'!K775)</f>
        <v/>
      </c>
      <c r="Q775">
        <f>IF($A775="","",IF(OR($E775="INFRUCTUEUX",$E775="ANNULE"),$A775&amp;"|"&amp;(COUNTIFS($A$2:$A775,$A775,$E$2:$E775,"INFRUCTUEUX")+COUNTIFS($A$2:$A775,$A775,$E$2:$E775,"ANNULE")),""))</f>
        <v/>
      </c>
    </row>
    <row r="776">
      <c r="A776">
        <f>IF(ISBLANK('ENGAGEMENTS 2026'!C776),"",IF('ENGAGEMENTS 2026'!C776="DTSI","DCT",'ENGAGEMENTS 2026'!C776))</f>
        <v/>
      </c>
      <c r="B776">
        <f>IF(ISBLANK('ENGAGEMENTS 2026'!C776),"",'ENGAGEMENTS 2026'!D776)</f>
        <v/>
      </c>
      <c r="C776">
        <f>IF(ISBLANK('ENGAGEMENTS 2026'!C776),"",'ENGAGEMENTS 2026'!E776)</f>
        <v/>
      </c>
      <c r="D776">
        <f>IF(ISBLANK('ENGAGEMENTS 2026'!C776),"",'ENGAGEMENTS 2026'!G776)</f>
        <v/>
      </c>
      <c r="E776">
        <f>IF(ISBLANK('ENGAGEMENTS 2026'!C776),"",'ENGAGEMENTS 2026'!I776)</f>
        <v/>
      </c>
      <c r="F776">
        <f>IF(ISBLANK('ENGAGEMENTS 2026'!C776),"",'ENGAGEMENTS 2026'!J776)</f>
        <v/>
      </c>
      <c r="G776">
        <f>IF(ISBLANK('ENGAGEMENTS 2026'!C776),"",'ENGAGEMENTS 2026'!M776)</f>
        <v/>
      </c>
      <c r="H776">
        <f>IF(ISBLANK('ENGAGEMENTS 2026'!C776),"",'ENGAGEMENTS 2026'!AF776)</f>
        <v/>
      </c>
      <c r="I776">
        <f>IF(ISBLANK('ENGAGEMENTS 2026'!C776),"",'ENGAGEMENTS 2026'!H776)</f>
        <v/>
      </c>
      <c r="J776" s="275">
        <f>IF(ISBLANK('ENGAGEMENTS 2026'!C776),"",IF(AND(OR($E776="INFRUCTUEUX",$E776="ANNULE"),$C776="AOO-M"),'ENGAGEMENTS 2026'!P776,IF($H776="EN COURS DE PREENGAGEMENT",'ENGAGEMENTS 2026'!O776,IF($H776="PREENGAGE",IF($E776="ATTRIBUE",'ENGAGEMENTS 2026'!AE776,'ENGAGEMENTS 2026'!O776),'ENGAGEMENTS 2026'!AE776))))</f>
        <v/>
      </c>
      <c r="K776" s="604">
        <f>IF(ISBLANK('ENGAGEMENTS 2026'!W776),"",'ENGAGEMENTS 2026'!W776)</f>
        <v/>
      </c>
      <c r="L776" s="276">
        <f>IF($K776="","",TODAY()-$K776)</f>
        <v/>
      </c>
      <c r="M776">
        <f>IF($A776="","",IF($H776="ENGAGE","Engagé",IF(AND($H776="NON ENGAGE",OR($I776="INFRUCTUEUX",$I776="ANNULE")),"Clôturé sans suite","En cours")))</f>
        <v/>
      </c>
      <c r="N776">
        <f>IF(ISBLANK('ENGAGEMENTS 2026'!C776),"",'ENGAGEMENTS 2026'!L776)</f>
        <v/>
      </c>
      <c r="O776">
        <f>IF(ISBLANK('ENGAGEMENTS 2026'!C776),"",'ENGAGEMENTS 2026'!M776)</f>
        <v/>
      </c>
      <c r="P776">
        <f>IF(ISBLANK('ENGAGEMENTS 2026'!C776),"",'ENGAGEMENTS 2026'!K776)</f>
        <v/>
      </c>
      <c r="Q776">
        <f>IF($A776="","",IF(OR($E776="INFRUCTUEUX",$E776="ANNULE"),$A776&amp;"|"&amp;(COUNTIFS($A$2:$A776,$A776,$E$2:$E776,"INFRUCTUEUX")+COUNTIFS($A$2:$A776,$A776,$E$2:$E776,"ANNULE")),""))</f>
        <v/>
      </c>
    </row>
    <row r="777">
      <c r="A777">
        <f>IF(ISBLANK('ENGAGEMENTS 2026'!C777),"",IF('ENGAGEMENTS 2026'!C777="DTSI","DCT",'ENGAGEMENTS 2026'!C777))</f>
        <v/>
      </c>
      <c r="B777">
        <f>IF(ISBLANK('ENGAGEMENTS 2026'!C777),"",'ENGAGEMENTS 2026'!D777)</f>
        <v/>
      </c>
      <c r="C777">
        <f>IF(ISBLANK('ENGAGEMENTS 2026'!C777),"",'ENGAGEMENTS 2026'!E777)</f>
        <v/>
      </c>
      <c r="D777">
        <f>IF(ISBLANK('ENGAGEMENTS 2026'!C777),"",'ENGAGEMENTS 2026'!G777)</f>
        <v/>
      </c>
      <c r="E777">
        <f>IF(ISBLANK('ENGAGEMENTS 2026'!C777),"",'ENGAGEMENTS 2026'!I777)</f>
        <v/>
      </c>
      <c r="F777">
        <f>IF(ISBLANK('ENGAGEMENTS 2026'!C777),"",'ENGAGEMENTS 2026'!J777)</f>
        <v/>
      </c>
      <c r="G777">
        <f>IF(ISBLANK('ENGAGEMENTS 2026'!C777),"",'ENGAGEMENTS 2026'!M777)</f>
        <v/>
      </c>
      <c r="H777">
        <f>IF(ISBLANK('ENGAGEMENTS 2026'!C777),"",'ENGAGEMENTS 2026'!AF777)</f>
        <v/>
      </c>
      <c r="I777">
        <f>IF(ISBLANK('ENGAGEMENTS 2026'!C777),"",'ENGAGEMENTS 2026'!H777)</f>
        <v/>
      </c>
      <c r="J777" s="275">
        <f>IF(ISBLANK('ENGAGEMENTS 2026'!C777),"",IF(AND(OR($E777="INFRUCTUEUX",$E777="ANNULE"),$C777="AOO-M"),'ENGAGEMENTS 2026'!P777,IF($H777="EN COURS DE PREENGAGEMENT",'ENGAGEMENTS 2026'!O777,IF($H777="PREENGAGE",IF($E777="ATTRIBUE",'ENGAGEMENTS 2026'!AE777,'ENGAGEMENTS 2026'!O777),'ENGAGEMENTS 2026'!AE777))))</f>
        <v/>
      </c>
      <c r="K777" s="604">
        <f>IF(ISBLANK('ENGAGEMENTS 2026'!W777),"",'ENGAGEMENTS 2026'!W777)</f>
        <v/>
      </c>
      <c r="L777" s="276">
        <f>IF($K777="","",TODAY()-$K777)</f>
        <v/>
      </c>
      <c r="M777">
        <f>IF($A777="","",IF($H777="ENGAGE","Engagé",IF(AND($H777="NON ENGAGE",OR($I777="INFRUCTUEUX",$I777="ANNULE")),"Clôturé sans suite","En cours")))</f>
        <v/>
      </c>
      <c r="N777">
        <f>IF(ISBLANK('ENGAGEMENTS 2026'!C777),"",'ENGAGEMENTS 2026'!L777)</f>
        <v/>
      </c>
      <c r="O777">
        <f>IF(ISBLANK('ENGAGEMENTS 2026'!C777),"",'ENGAGEMENTS 2026'!M777)</f>
        <v/>
      </c>
      <c r="P777">
        <f>IF(ISBLANK('ENGAGEMENTS 2026'!C777),"",'ENGAGEMENTS 2026'!K777)</f>
        <v/>
      </c>
      <c r="Q777">
        <f>IF($A777="","",IF(OR($E777="INFRUCTUEUX",$E777="ANNULE"),$A777&amp;"|"&amp;(COUNTIFS($A$2:$A777,$A777,$E$2:$E777,"INFRUCTUEUX")+COUNTIFS($A$2:$A777,$A777,$E$2:$E777,"ANNULE")),""))</f>
        <v/>
      </c>
    </row>
    <row r="778">
      <c r="A778">
        <f>IF(ISBLANK('ENGAGEMENTS 2026'!C778),"",IF('ENGAGEMENTS 2026'!C778="DTSI","DCT",'ENGAGEMENTS 2026'!C778))</f>
        <v/>
      </c>
      <c r="B778">
        <f>IF(ISBLANK('ENGAGEMENTS 2026'!C778),"",'ENGAGEMENTS 2026'!D778)</f>
        <v/>
      </c>
      <c r="C778">
        <f>IF(ISBLANK('ENGAGEMENTS 2026'!C778),"",'ENGAGEMENTS 2026'!E778)</f>
        <v/>
      </c>
      <c r="D778">
        <f>IF(ISBLANK('ENGAGEMENTS 2026'!C778),"",'ENGAGEMENTS 2026'!G778)</f>
        <v/>
      </c>
      <c r="E778">
        <f>IF(ISBLANK('ENGAGEMENTS 2026'!C778),"",'ENGAGEMENTS 2026'!I778)</f>
        <v/>
      </c>
      <c r="F778">
        <f>IF(ISBLANK('ENGAGEMENTS 2026'!C778),"",'ENGAGEMENTS 2026'!J778)</f>
        <v/>
      </c>
      <c r="G778">
        <f>IF(ISBLANK('ENGAGEMENTS 2026'!C778),"",'ENGAGEMENTS 2026'!M778)</f>
        <v/>
      </c>
      <c r="H778">
        <f>IF(ISBLANK('ENGAGEMENTS 2026'!C778),"",'ENGAGEMENTS 2026'!AF778)</f>
        <v/>
      </c>
      <c r="I778">
        <f>IF(ISBLANK('ENGAGEMENTS 2026'!C778),"",'ENGAGEMENTS 2026'!H778)</f>
        <v/>
      </c>
      <c r="J778" s="275">
        <f>IF(ISBLANK('ENGAGEMENTS 2026'!C778),"",IF(AND(OR($E778="INFRUCTUEUX",$E778="ANNULE"),$C778="AOO-M"),'ENGAGEMENTS 2026'!P778,IF($H778="EN COURS DE PREENGAGEMENT",'ENGAGEMENTS 2026'!O778,IF($H778="PREENGAGE",IF($E778="ATTRIBUE",'ENGAGEMENTS 2026'!AE778,'ENGAGEMENTS 2026'!O778),'ENGAGEMENTS 2026'!AE778))))</f>
        <v/>
      </c>
      <c r="K778" s="604">
        <f>IF(ISBLANK('ENGAGEMENTS 2026'!W778),"",'ENGAGEMENTS 2026'!W778)</f>
        <v/>
      </c>
      <c r="L778" s="276">
        <f>IF($K778="","",TODAY()-$K778)</f>
        <v/>
      </c>
      <c r="M778">
        <f>IF($A778="","",IF($H778="ENGAGE","Engagé",IF(AND($H778="NON ENGAGE",OR($I778="INFRUCTUEUX",$I778="ANNULE")),"Clôturé sans suite","En cours")))</f>
        <v/>
      </c>
      <c r="N778">
        <f>IF(ISBLANK('ENGAGEMENTS 2026'!C778),"",'ENGAGEMENTS 2026'!L778)</f>
        <v/>
      </c>
      <c r="O778">
        <f>IF(ISBLANK('ENGAGEMENTS 2026'!C778),"",'ENGAGEMENTS 2026'!M778)</f>
        <v/>
      </c>
      <c r="P778">
        <f>IF(ISBLANK('ENGAGEMENTS 2026'!C778),"",'ENGAGEMENTS 2026'!K778)</f>
        <v/>
      </c>
      <c r="Q778">
        <f>IF($A778="","",IF(OR($E778="INFRUCTUEUX",$E778="ANNULE"),$A778&amp;"|"&amp;(COUNTIFS($A$2:$A778,$A778,$E$2:$E778,"INFRUCTUEUX")+COUNTIFS($A$2:$A778,$A778,$E$2:$E778,"ANNULE")),""))</f>
        <v/>
      </c>
    </row>
    <row r="779">
      <c r="A779">
        <f>IF(ISBLANK('ENGAGEMENTS 2026'!C779),"",IF('ENGAGEMENTS 2026'!C779="DTSI","DCT",'ENGAGEMENTS 2026'!C779))</f>
        <v/>
      </c>
      <c r="B779">
        <f>IF(ISBLANK('ENGAGEMENTS 2026'!C779),"",'ENGAGEMENTS 2026'!D779)</f>
        <v/>
      </c>
      <c r="C779">
        <f>IF(ISBLANK('ENGAGEMENTS 2026'!C779),"",'ENGAGEMENTS 2026'!E779)</f>
        <v/>
      </c>
      <c r="D779">
        <f>IF(ISBLANK('ENGAGEMENTS 2026'!C779),"",'ENGAGEMENTS 2026'!G779)</f>
        <v/>
      </c>
      <c r="E779">
        <f>IF(ISBLANK('ENGAGEMENTS 2026'!C779),"",'ENGAGEMENTS 2026'!I779)</f>
        <v/>
      </c>
      <c r="F779">
        <f>IF(ISBLANK('ENGAGEMENTS 2026'!C779),"",'ENGAGEMENTS 2026'!J779)</f>
        <v/>
      </c>
      <c r="G779">
        <f>IF(ISBLANK('ENGAGEMENTS 2026'!C779),"",'ENGAGEMENTS 2026'!M779)</f>
        <v/>
      </c>
      <c r="H779">
        <f>IF(ISBLANK('ENGAGEMENTS 2026'!C779),"",'ENGAGEMENTS 2026'!AF779)</f>
        <v/>
      </c>
      <c r="I779">
        <f>IF(ISBLANK('ENGAGEMENTS 2026'!C779),"",'ENGAGEMENTS 2026'!H779)</f>
        <v/>
      </c>
      <c r="J779" s="275">
        <f>IF(ISBLANK('ENGAGEMENTS 2026'!C779),"",IF(AND(OR($E779="INFRUCTUEUX",$E779="ANNULE"),$C779="AOO-M"),'ENGAGEMENTS 2026'!P779,IF($H779="EN COURS DE PREENGAGEMENT",'ENGAGEMENTS 2026'!O779,IF($H779="PREENGAGE",IF($E779="ATTRIBUE",'ENGAGEMENTS 2026'!AE779,'ENGAGEMENTS 2026'!O779),'ENGAGEMENTS 2026'!AE779))))</f>
        <v/>
      </c>
      <c r="K779" s="604">
        <f>IF(ISBLANK('ENGAGEMENTS 2026'!W779),"",'ENGAGEMENTS 2026'!W779)</f>
        <v/>
      </c>
      <c r="L779" s="276">
        <f>IF($K779="","",TODAY()-$K779)</f>
        <v/>
      </c>
      <c r="M779">
        <f>IF($A779="","",IF($H779="ENGAGE","Engagé",IF(AND($H779="NON ENGAGE",OR($I779="INFRUCTUEUX",$I779="ANNULE")),"Clôturé sans suite","En cours")))</f>
        <v/>
      </c>
      <c r="N779">
        <f>IF(ISBLANK('ENGAGEMENTS 2026'!C779),"",'ENGAGEMENTS 2026'!L779)</f>
        <v/>
      </c>
      <c r="O779">
        <f>IF(ISBLANK('ENGAGEMENTS 2026'!C779),"",'ENGAGEMENTS 2026'!M779)</f>
        <v/>
      </c>
      <c r="P779">
        <f>IF(ISBLANK('ENGAGEMENTS 2026'!C779),"",'ENGAGEMENTS 2026'!K779)</f>
        <v/>
      </c>
      <c r="Q779">
        <f>IF($A779="","",IF(OR($E779="INFRUCTUEUX",$E779="ANNULE"),$A779&amp;"|"&amp;(COUNTIFS($A$2:$A779,$A779,$E$2:$E779,"INFRUCTUEUX")+COUNTIFS($A$2:$A779,$A779,$E$2:$E779,"ANNULE")),""))</f>
        <v/>
      </c>
    </row>
    <row r="780">
      <c r="A780">
        <f>IF(ISBLANK('ENGAGEMENTS 2026'!C780),"",IF('ENGAGEMENTS 2026'!C780="DTSI","DCT",'ENGAGEMENTS 2026'!C780))</f>
        <v/>
      </c>
      <c r="B780">
        <f>IF(ISBLANK('ENGAGEMENTS 2026'!C780),"",'ENGAGEMENTS 2026'!D780)</f>
        <v/>
      </c>
      <c r="C780">
        <f>IF(ISBLANK('ENGAGEMENTS 2026'!C780),"",'ENGAGEMENTS 2026'!E780)</f>
        <v/>
      </c>
      <c r="D780">
        <f>IF(ISBLANK('ENGAGEMENTS 2026'!C780),"",'ENGAGEMENTS 2026'!G780)</f>
        <v/>
      </c>
      <c r="E780">
        <f>IF(ISBLANK('ENGAGEMENTS 2026'!C780),"",'ENGAGEMENTS 2026'!I780)</f>
        <v/>
      </c>
      <c r="F780">
        <f>IF(ISBLANK('ENGAGEMENTS 2026'!C780),"",'ENGAGEMENTS 2026'!J780)</f>
        <v/>
      </c>
      <c r="G780">
        <f>IF(ISBLANK('ENGAGEMENTS 2026'!C780),"",'ENGAGEMENTS 2026'!M780)</f>
        <v/>
      </c>
      <c r="H780">
        <f>IF(ISBLANK('ENGAGEMENTS 2026'!C780),"",'ENGAGEMENTS 2026'!AF780)</f>
        <v/>
      </c>
      <c r="I780">
        <f>IF(ISBLANK('ENGAGEMENTS 2026'!C780),"",'ENGAGEMENTS 2026'!H780)</f>
        <v/>
      </c>
      <c r="J780" s="275">
        <f>IF(ISBLANK('ENGAGEMENTS 2026'!C780),"",IF(AND(OR($E780="INFRUCTUEUX",$E780="ANNULE"),$C780="AOO-M"),'ENGAGEMENTS 2026'!P780,IF($H780="EN COURS DE PREENGAGEMENT",'ENGAGEMENTS 2026'!O780,IF($H780="PREENGAGE",IF($E780="ATTRIBUE",'ENGAGEMENTS 2026'!AE780,'ENGAGEMENTS 2026'!O780),'ENGAGEMENTS 2026'!AE780))))</f>
        <v/>
      </c>
      <c r="K780" s="604">
        <f>IF(ISBLANK('ENGAGEMENTS 2026'!W780),"",'ENGAGEMENTS 2026'!W780)</f>
        <v/>
      </c>
      <c r="L780" s="276">
        <f>IF($K780="","",TODAY()-$K780)</f>
        <v/>
      </c>
      <c r="M780">
        <f>IF($A780="","",IF($H780="ENGAGE","Engagé",IF(AND($H780="NON ENGAGE",OR($I780="INFRUCTUEUX",$I780="ANNULE")),"Clôturé sans suite","En cours")))</f>
        <v/>
      </c>
      <c r="N780">
        <f>IF(ISBLANK('ENGAGEMENTS 2026'!C780),"",'ENGAGEMENTS 2026'!L780)</f>
        <v/>
      </c>
      <c r="O780">
        <f>IF(ISBLANK('ENGAGEMENTS 2026'!C780),"",'ENGAGEMENTS 2026'!M780)</f>
        <v/>
      </c>
      <c r="P780">
        <f>IF(ISBLANK('ENGAGEMENTS 2026'!C780),"",'ENGAGEMENTS 2026'!K780)</f>
        <v/>
      </c>
      <c r="Q780">
        <f>IF($A780="","",IF(OR($E780="INFRUCTUEUX",$E780="ANNULE"),$A780&amp;"|"&amp;(COUNTIFS($A$2:$A780,$A780,$E$2:$E780,"INFRUCTUEUX")+COUNTIFS($A$2:$A780,$A780,$E$2:$E780,"ANNULE")),""))</f>
        <v/>
      </c>
    </row>
    <row r="781">
      <c r="A781">
        <f>IF(ISBLANK('ENGAGEMENTS 2026'!C781),"",IF('ENGAGEMENTS 2026'!C781="DTSI","DCT",'ENGAGEMENTS 2026'!C781))</f>
        <v/>
      </c>
      <c r="B781">
        <f>IF(ISBLANK('ENGAGEMENTS 2026'!C781),"",'ENGAGEMENTS 2026'!D781)</f>
        <v/>
      </c>
      <c r="C781">
        <f>IF(ISBLANK('ENGAGEMENTS 2026'!C781),"",'ENGAGEMENTS 2026'!E781)</f>
        <v/>
      </c>
      <c r="D781">
        <f>IF(ISBLANK('ENGAGEMENTS 2026'!C781),"",'ENGAGEMENTS 2026'!G781)</f>
        <v/>
      </c>
      <c r="E781">
        <f>IF(ISBLANK('ENGAGEMENTS 2026'!C781),"",'ENGAGEMENTS 2026'!I781)</f>
        <v/>
      </c>
      <c r="F781">
        <f>IF(ISBLANK('ENGAGEMENTS 2026'!C781),"",'ENGAGEMENTS 2026'!J781)</f>
        <v/>
      </c>
      <c r="G781">
        <f>IF(ISBLANK('ENGAGEMENTS 2026'!C781),"",'ENGAGEMENTS 2026'!M781)</f>
        <v/>
      </c>
      <c r="H781">
        <f>IF(ISBLANK('ENGAGEMENTS 2026'!C781),"",'ENGAGEMENTS 2026'!AF781)</f>
        <v/>
      </c>
      <c r="I781">
        <f>IF(ISBLANK('ENGAGEMENTS 2026'!C781),"",'ENGAGEMENTS 2026'!H781)</f>
        <v/>
      </c>
      <c r="J781" s="275">
        <f>IF(ISBLANK('ENGAGEMENTS 2026'!C781),"",IF(AND(OR($E781="INFRUCTUEUX",$E781="ANNULE"),$C781="AOO-M"),'ENGAGEMENTS 2026'!P781,IF($H781="EN COURS DE PREENGAGEMENT",'ENGAGEMENTS 2026'!O781,IF($H781="PREENGAGE",IF($E781="ATTRIBUE",'ENGAGEMENTS 2026'!AE781,'ENGAGEMENTS 2026'!O781),'ENGAGEMENTS 2026'!AE781))))</f>
        <v/>
      </c>
      <c r="K781" s="604">
        <f>IF(ISBLANK('ENGAGEMENTS 2026'!W781),"",'ENGAGEMENTS 2026'!W781)</f>
        <v/>
      </c>
      <c r="L781" s="276">
        <f>IF($K781="","",TODAY()-$K781)</f>
        <v/>
      </c>
      <c r="M781">
        <f>IF($A781="","",IF($H781="ENGAGE","Engagé",IF(AND($H781="NON ENGAGE",OR($I781="INFRUCTUEUX",$I781="ANNULE")),"Clôturé sans suite","En cours")))</f>
        <v/>
      </c>
      <c r="N781">
        <f>IF(ISBLANK('ENGAGEMENTS 2026'!C781),"",'ENGAGEMENTS 2026'!L781)</f>
        <v/>
      </c>
      <c r="O781">
        <f>IF(ISBLANK('ENGAGEMENTS 2026'!C781),"",'ENGAGEMENTS 2026'!M781)</f>
        <v/>
      </c>
      <c r="P781">
        <f>IF(ISBLANK('ENGAGEMENTS 2026'!C781),"",'ENGAGEMENTS 2026'!K781)</f>
        <v/>
      </c>
      <c r="Q781">
        <f>IF($A781="","",IF(OR($E781="INFRUCTUEUX",$E781="ANNULE"),$A781&amp;"|"&amp;(COUNTIFS($A$2:$A781,$A781,$E$2:$E781,"INFRUCTUEUX")+COUNTIFS($A$2:$A781,$A781,$E$2:$E781,"ANNULE")),""))</f>
        <v/>
      </c>
    </row>
    <row r="782">
      <c r="A782">
        <f>IF(ISBLANK('ENGAGEMENTS 2026'!C782),"",IF('ENGAGEMENTS 2026'!C782="DTSI","DCT",'ENGAGEMENTS 2026'!C782))</f>
        <v/>
      </c>
      <c r="B782">
        <f>IF(ISBLANK('ENGAGEMENTS 2026'!C782),"",'ENGAGEMENTS 2026'!D782)</f>
        <v/>
      </c>
      <c r="C782">
        <f>IF(ISBLANK('ENGAGEMENTS 2026'!C782),"",'ENGAGEMENTS 2026'!E782)</f>
        <v/>
      </c>
      <c r="D782">
        <f>IF(ISBLANK('ENGAGEMENTS 2026'!C782),"",'ENGAGEMENTS 2026'!G782)</f>
        <v/>
      </c>
      <c r="E782">
        <f>IF(ISBLANK('ENGAGEMENTS 2026'!C782),"",'ENGAGEMENTS 2026'!I782)</f>
        <v/>
      </c>
      <c r="F782">
        <f>IF(ISBLANK('ENGAGEMENTS 2026'!C782),"",'ENGAGEMENTS 2026'!J782)</f>
        <v/>
      </c>
      <c r="G782">
        <f>IF(ISBLANK('ENGAGEMENTS 2026'!C782),"",'ENGAGEMENTS 2026'!M782)</f>
        <v/>
      </c>
      <c r="H782">
        <f>IF(ISBLANK('ENGAGEMENTS 2026'!C782),"",'ENGAGEMENTS 2026'!AF782)</f>
        <v/>
      </c>
      <c r="I782">
        <f>IF(ISBLANK('ENGAGEMENTS 2026'!C782),"",'ENGAGEMENTS 2026'!H782)</f>
        <v/>
      </c>
      <c r="J782" s="275">
        <f>IF(ISBLANK('ENGAGEMENTS 2026'!C782),"",IF(AND(OR($E782="INFRUCTUEUX",$E782="ANNULE"),$C782="AOO-M"),'ENGAGEMENTS 2026'!P782,IF($H782="EN COURS DE PREENGAGEMENT",'ENGAGEMENTS 2026'!O782,IF($H782="PREENGAGE",IF($E782="ATTRIBUE",'ENGAGEMENTS 2026'!AE782,'ENGAGEMENTS 2026'!O782),'ENGAGEMENTS 2026'!AE782))))</f>
        <v/>
      </c>
      <c r="K782" s="604">
        <f>IF(ISBLANK('ENGAGEMENTS 2026'!W782),"",'ENGAGEMENTS 2026'!W782)</f>
        <v/>
      </c>
      <c r="L782" s="276">
        <f>IF($K782="","",TODAY()-$K782)</f>
        <v/>
      </c>
      <c r="M782">
        <f>IF($A782="","",IF($H782="ENGAGE","Engagé",IF(AND($H782="NON ENGAGE",OR($I782="INFRUCTUEUX",$I782="ANNULE")),"Clôturé sans suite","En cours")))</f>
        <v/>
      </c>
      <c r="N782">
        <f>IF(ISBLANK('ENGAGEMENTS 2026'!C782),"",'ENGAGEMENTS 2026'!L782)</f>
        <v/>
      </c>
      <c r="O782">
        <f>IF(ISBLANK('ENGAGEMENTS 2026'!C782),"",'ENGAGEMENTS 2026'!M782)</f>
        <v/>
      </c>
      <c r="P782">
        <f>IF(ISBLANK('ENGAGEMENTS 2026'!C782),"",'ENGAGEMENTS 2026'!K782)</f>
        <v/>
      </c>
      <c r="Q782">
        <f>IF($A782="","",IF(OR($E782="INFRUCTUEUX",$E782="ANNULE"),$A782&amp;"|"&amp;(COUNTIFS($A$2:$A782,$A782,$E$2:$E782,"INFRUCTUEUX")+COUNTIFS($A$2:$A782,$A782,$E$2:$E782,"ANNULE")),""))</f>
        <v/>
      </c>
    </row>
    <row r="783">
      <c r="A783">
        <f>IF(ISBLANK('ENGAGEMENTS 2026'!C783),"",IF('ENGAGEMENTS 2026'!C783="DTSI","DCT",'ENGAGEMENTS 2026'!C783))</f>
        <v/>
      </c>
      <c r="B783">
        <f>IF(ISBLANK('ENGAGEMENTS 2026'!C783),"",'ENGAGEMENTS 2026'!D783)</f>
        <v/>
      </c>
      <c r="C783">
        <f>IF(ISBLANK('ENGAGEMENTS 2026'!C783),"",'ENGAGEMENTS 2026'!E783)</f>
        <v/>
      </c>
      <c r="D783">
        <f>IF(ISBLANK('ENGAGEMENTS 2026'!C783),"",'ENGAGEMENTS 2026'!G783)</f>
        <v/>
      </c>
      <c r="E783">
        <f>IF(ISBLANK('ENGAGEMENTS 2026'!C783),"",'ENGAGEMENTS 2026'!I783)</f>
        <v/>
      </c>
      <c r="F783">
        <f>IF(ISBLANK('ENGAGEMENTS 2026'!C783),"",'ENGAGEMENTS 2026'!J783)</f>
        <v/>
      </c>
      <c r="G783">
        <f>IF(ISBLANK('ENGAGEMENTS 2026'!C783),"",'ENGAGEMENTS 2026'!M783)</f>
        <v/>
      </c>
      <c r="H783">
        <f>IF(ISBLANK('ENGAGEMENTS 2026'!C783),"",'ENGAGEMENTS 2026'!AF783)</f>
        <v/>
      </c>
      <c r="I783">
        <f>IF(ISBLANK('ENGAGEMENTS 2026'!C783),"",'ENGAGEMENTS 2026'!H783)</f>
        <v/>
      </c>
      <c r="J783" s="275">
        <f>IF(ISBLANK('ENGAGEMENTS 2026'!C783),"",IF(AND(OR($E783="INFRUCTUEUX",$E783="ANNULE"),$C783="AOO-M"),'ENGAGEMENTS 2026'!P783,IF($H783="EN COURS DE PREENGAGEMENT",'ENGAGEMENTS 2026'!O783,IF($H783="PREENGAGE",IF($E783="ATTRIBUE",'ENGAGEMENTS 2026'!AE783,'ENGAGEMENTS 2026'!O783),'ENGAGEMENTS 2026'!AE783))))</f>
        <v/>
      </c>
      <c r="K783" s="604">
        <f>IF(ISBLANK('ENGAGEMENTS 2026'!W783),"",'ENGAGEMENTS 2026'!W783)</f>
        <v/>
      </c>
      <c r="L783" s="276">
        <f>IF($K783="","",TODAY()-$K783)</f>
        <v/>
      </c>
      <c r="M783">
        <f>IF($A783="","",IF($H783="ENGAGE","Engagé",IF(AND($H783="NON ENGAGE",OR($I783="INFRUCTUEUX",$I783="ANNULE")),"Clôturé sans suite","En cours")))</f>
        <v/>
      </c>
      <c r="N783">
        <f>IF(ISBLANK('ENGAGEMENTS 2026'!C783),"",'ENGAGEMENTS 2026'!L783)</f>
        <v/>
      </c>
      <c r="O783">
        <f>IF(ISBLANK('ENGAGEMENTS 2026'!C783),"",'ENGAGEMENTS 2026'!M783)</f>
        <v/>
      </c>
      <c r="P783">
        <f>IF(ISBLANK('ENGAGEMENTS 2026'!C783),"",'ENGAGEMENTS 2026'!K783)</f>
        <v/>
      </c>
      <c r="Q783">
        <f>IF($A783="","",IF(OR($E783="INFRUCTUEUX",$E783="ANNULE"),$A783&amp;"|"&amp;(COUNTIFS($A$2:$A783,$A783,$E$2:$E783,"INFRUCTUEUX")+COUNTIFS($A$2:$A783,$A783,$E$2:$E783,"ANNULE")),""))</f>
        <v/>
      </c>
    </row>
    <row r="784">
      <c r="A784">
        <f>IF(ISBLANK('ENGAGEMENTS 2026'!C784),"",IF('ENGAGEMENTS 2026'!C784="DTSI","DCT",'ENGAGEMENTS 2026'!C784))</f>
        <v/>
      </c>
      <c r="B784">
        <f>IF(ISBLANK('ENGAGEMENTS 2026'!C784),"",'ENGAGEMENTS 2026'!D784)</f>
        <v/>
      </c>
      <c r="C784">
        <f>IF(ISBLANK('ENGAGEMENTS 2026'!C784),"",'ENGAGEMENTS 2026'!E784)</f>
        <v/>
      </c>
      <c r="D784">
        <f>IF(ISBLANK('ENGAGEMENTS 2026'!C784),"",'ENGAGEMENTS 2026'!G784)</f>
        <v/>
      </c>
      <c r="E784">
        <f>IF(ISBLANK('ENGAGEMENTS 2026'!C784),"",'ENGAGEMENTS 2026'!I784)</f>
        <v/>
      </c>
      <c r="F784">
        <f>IF(ISBLANK('ENGAGEMENTS 2026'!C784),"",'ENGAGEMENTS 2026'!J784)</f>
        <v/>
      </c>
      <c r="G784">
        <f>IF(ISBLANK('ENGAGEMENTS 2026'!C784),"",'ENGAGEMENTS 2026'!M784)</f>
        <v/>
      </c>
      <c r="H784">
        <f>IF(ISBLANK('ENGAGEMENTS 2026'!C784),"",'ENGAGEMENTS 2026'!AF784)</f>
        <v/>
      </c>
      <c r="I784">
        <f>IF(ISBLANK('ENGAGEMENTS 2026'!C784),"",'ENGAGEMENTS 2026'!H784)</f>
        <v/>
      </c>
      <c r="J784" s="275">
        <f>IF(ISBLANK('ENGAGEMENTS 2026'!C784),"",IF(AND(OR($E784="INFRUCTUEUX",$E784="ANNULE"),$C784="AOO-M"),'ENGAGEMENTS 2026'!P784,IF($H784="EN COURS DE PREENGAGEMENT",'ENGAGEMENTS 2026'!O784,IF($H784="PREENGAGE",IF($E784="ATTRIBUE",'ENGAGEMENTS 2026'!AE784,'ENGAGEMENTS 2026'!O784),'ENGAGEMENTS 2026'!AE784))))</f>
        <v/>
      </c>
      <c r="K784" s="604">
        <f>IF(ISBLANK('ENGAGEMENTS 2026'!W784),"",'ENGAGEMENTS 2026'!W784)</f>
        <v/>
      </c>
      <c r="L784" s="276">
        <f>IF($K784="","",TODAY()-$K784)</f>
        <v/>
      </c>
      <c r="M784">
        <f>IF($A784="","",IF($H784="ENGAGE","Engagé",IF(AND($H784="NON ENGAGE",OR($I784="INFRUCTUEUX",$I784="ANNULE")),"Clôturé sans suite","En cours")))</f>
        <v/>
      </c>
      <c r="N784">
        <f>IF(ISBLANK('ENGAGEMENTS 2026'!C784),"",'ENGAGEMENTS 2026'!L784)</f>
        <v/>
      </c>
      <c r="O784">
        <f>IF(ISBLANK('ENGAGEMENTS 2026'!C784),"",'ENGAGEMENTS 2026'!M784)</f>
        <v/>
      </c>
      <c r="P784">
        <f>IF(ISBLANK('ENGAGEMENTS 2026'!C784),"",'ENGAGEMENTS 2026'!K784)</f>
        <v/>
      </c>
      <c r="Q784">
        <f>IF($A784="","",IF(OR($E784="INFRUCTUEUX",$E784="ANNULE"),$A784&amp;"|"&amp;(COUNTIFS($A$2:$A784,$A784,$E$2:$E784,"INFRUCTUEUX")+COUNTIFS($A$2:$A784,$A784,$E$2:$E784,"ANNULE")),""))</f>
        <v/>
      </c>
    </row>
    <row r="785">
      <c r="A785">
        <f>IF(ISBLANK('ENGAGEMENTS 2026'!C785),"",IF('ENGAGEMENTS 2026'!C785="DTSI","DCT",'ENGAGEMENTS 2026'!C785))</f>
        <v/>
      </c>
      <c r="B785">
        <f>IF(ISBLANK('ENGAGEMENTS 2026'!C785),"",'ENGAGEMENTS 2026'!D785)</f>
        <v/>
      </c>
      <c r="C785">
        <f>IF(ISBLANK('ENGAGEMENTS 2026'!C785),"",'ENGAGEMENTS 2026'!E785)</f>
        <v/>
      </c>
      <c r="D785">
        <f>IF(ISBLANK('ENGAGEMENTS 2026'!C785),"",'ENGAGEMENTS 2026'!G785)</f>
        <v/>
      </c>
      <c r="E785">
        <f>IF(ISBLANK('ENGAGEMENTS 2026'!C785),"",'ENGAGEMENTS 2026'!I785)</f>
        <v/>
      </c>
      <c r="F785">
        <f>IF(ISBLANK('ENGAGEMENTS 2026'!C785),"",'ENGAGEMENTS 2026'!J785)</f>
        <v/>
      </c>
      <c r="G785">
        <f>IF(ISBLANK('ENGAGEMENTS 2026'!C785),"",'ENGAGEMENTS 2026'!M785)</f>
        <v/>
      </c>
      <c r="H785">
        <f>IF(ISBLANK('ENGAGEMENTS 2026'!C785),"",'ENGAGEMENTS 2026'!AF785)</f>
        <v/>
      </c>
      <c r="I785">
        <f>IF(ISBLANK('ENGAGEMENTS 2026'!C785),"",'ENGAGEMENTS 2026'!H785)</f>
        <v/>
      </c>
      <c r="J785" s="275">
        <f>IF(ISBLANK('ENGAGEMENTS 2026'!C785),"",IF(AND(OR($E785="INFRUCTUEUX",$E785="ANNULE"),$C785="AOO-M"),'ENGAGEMENTS 2026'!P785,IF($H785="EN COURS DE PREENGAGEMENT",'ENGAGEMENTS 2026'!O785,IF($H785="PREENGAGE",IF($E785="ATTRIBUE",'ENGAGEMENTS 2026'!AE785,'ENGAGEMENTS 2026'!O785),'ENGAGEMENTS 2026'!AE785))))</f>
        <v/>
      </c>
      <c r="K785" s="604">
        <f>IF(ISBLANK('ENGAGEMENTS 2026'!W785),"",'ENGAGEMENTS 2026'!W785)</f>
        <v/>
      </c>
      <c r="L785" s="276">
        <f>IF($K785="","",TODAY()-$K785)</f>
        <v/>
      </c>
      <c r="M785">
        <f>IF($A785="","",IF($H785="ENGAGE","Engagé",IF(AND($H785="NON ENGAGE",OR($I785="INFRUCTUEUX",$I785="ANNULE")),"Clôturé sans suite","En cours")))</f>
        <v/>
      </c>
      <c r="N785">
        <f>IF(ISBLANK('ENGAGEMENTS 2026'!C785),"",'ENGAGEMENTS 2026'!L785)</f>
        <v/>
      </c>
      <c r="O785">
        <f>IF(ISBLANK('ENGAGEMENTS 2026'!C785),"",'ENGAGEMENTS 2026'!M785)</f>
        <v/>
      </c>
      <c r="P785">
        <f>IF(ISBLANK('ENGAGEMENTS 2026'!C785),"",'ENGAGEMENTS 2026'!K785)</f>
        <v/>
      </c>
      <c r="Q785">
        <f>IF($A785="","",IF(OR($E785="INFRUCTUEUX",$E785="ANNULE"),$A785&amp;"|"&amp;(COUNTIFS($A$2:$A785,$A785,$E$2:$E785,"INFRUCTUEUX")+COUNTIFS($A$2:$A785,$A785,$E$2:$E785,"ANNULE")),""))</f>
        <v/>
      </c>
    </row>
    <row r="786">
      <c r="A786">
        <f>IF(ISBLANK('ENGAGEMENTS 2026'!C786),"",IF('ENGAGEMENTS 2026'!C786="DTSI","DCT",'ENGAGEMENTS 2026'!C786))</f>
        <v/>
      </c>
      <c r="B786">
        <f>IF(ISBLANK('ENGAGEMENTS 2026'!C786),"",'ENGAGEMENTS 2026'!D786)</f>
        <v/>
      </c>
      <c r="C786">
        <f>IF(ISBLANK('ENGAGEMENTS 2026'!C786),"",'ENGAGEMENTS 2026'!E786)</f>
        <v/>
      </c>
      <c r="D786">
        <f>IF(ISBLANK('ENGAGEMENTS 2026'!C786),"",'ENGAGEMENTS 2026'!G786)</f>
        <v/>
      </c>
      <c r="E786">
        <f>IF(ISBLANK('ENGAGEMENTS 2026'!C786),"",'ENGAGEMENTS 2026'!I786)</f>
        <v/>
      </c>
      <c r="F786">
        <f>IF(ISBLANK('ENGAGEMENTS 2026'!C786),"",'ENGAGEMENTS 2026'!J786)</f>
        <v/>
      </c>
      <c r="G786">
        <f>IF(ISBLANK('ENGAGEMENTS 2026'!C786),"",'ENGAGEMENTS 2026'!M786)</f>
        <v/>
      </c>
      <c r="H786">
        <f>IF(ISBLANK('ENGAGEMENTS 2026'!C786),"",'ENGAGEMENTS 2026'!AF786)</f>
        <v/>
      </c>
      <c r="I786">
        <f>IF(ISBLANK('ENGAGEMENTS 2026'!C786),"",'ENGAGEMENTS 2026'!H786)</f>
        <v/>
      </c>
      <c r="J786" s="275">
        <f>IF(ISBLANK('ENGAGEMENTS 2026'!C786),"",IF(AND(OR($E786="INFRUCTUEUX",$E786="ANNULE"),$C786="AOO-M"),'ENGAGEMENTS 2026'!P786,IF($H786="EN COURS DE PREENGAGEMENT",'ENGAGEMENTS 2026'!O786,IF($H786="PREENGAGE",IF($E786="ATTRIBUE",'ENGAGEMENTS 2026'!AE786,'ENGAGEMENTS 2026'!O786),'ENGAGEMENTS 2026'!AE786))))</f>
        <v/>
      </c>
      <c r="K786" s="604">
        <f>IF(ISBLANK('ENGAGEMENTS 2026'!W786),"",'ENGAGEMENTS 2026'!W786)</f>
        <v/>
      </c>
      <c r="L786" s="276">
        <f>IF($K786="","",TODAY()-$K786)</f>
        <v/>
      </c>
      <c r="M786">
        <f>IF($A786="","",IF($H786="ENGAGE","Engagé",IF(AND($H786="NON ENGAGE",OR($I786="INFRUCTUEUX",$I786="ANNULE")),"Clôturé sans suite","En cours")))</f>
        <v/>
      </c>
      <c r="N786">
        <f>IF(ISBLANK('ENGAGEMENTS 2026'!C786),"",'ENGAGEMENTS 2026'!L786)</f>
        <v/>
      </c>
      <c r="O786">
        <f>IF(ISBLANK('ENGAGEMENTS 2026'!C786),"",'ENGAGEMENTS 2026'!M786)</f>
        <v/>
      </c>
      <c r="P786">
        <f>IF(ISBLANK('ENGAGEMENTS 2026'!C786),"",'ENGAGEMENTS 2026'!K786)</f>
        <v/>
      </c>
      <c r="Q786">
        <f>IF($A786="","",IF(OR($E786="INFRUCTUEUX",$E786="ANNULE"),$A786&amp;"|"&amp;(COUNTIFS($A$2:$A786,$A786,$E$2:$E786,"INFRUCTUEUX")+COUNTIFS($A$2:$A786,$A786,$E$2:$E786,"ANNULE")),""))</f>
        <v/>
      </c>
    </row>
    <row r="787">
      <c r="A787">
        <f>IF(ISBLANK('ENGAGEMENTS 2026'!C787),"",IF('ENGAGEMENTS 2026'!C787="DTSI","DCT",'ENGAGEMENTS 2026'!C787))</f>
        <v/>
      </c>
      <c r="B787">
        <f>IF(ISBLANK('ENGAGEMENTS 2026'!C787),"",'ENGAGEMENTS 2026'!D787)</f>
        <v/>
      </c>
      <c r="C787">
        <f>IF(ISBLANK('ENGAGEMENTS 2026'!C787),"",'ENGAGEMENTS 2026'!E787)</f>
        <v/>
      </c>
      <c r="D787">
        <f>IF(ISBLANK('ENGAGEMENTS 2026'!C787),"",'ENGAGEMENTS 2026'!G787)</f>
        <v/>
      </c>
      <c r="E787">
        <f>IF(ISBLANK('ENGAGEMENTS 2026'!C787),"",'ENGAGEMENTS 2026'!I787)</f>
        <v/>
      </c>
      <c r="F787">
        <f>IF(ISBLANK('ENGAGEMENTS 2026'!C787),"",'ENGAGEMENTS 2026'!J787)</f>
        <v/>
      </c>
      <c r="G787">
        <f>IF(ISBLANK('ENGAGEMENTS 2026'!C787),"",'ENGAGEMENTS 2026'!M787)</f>
        <v/>
      </c>
      <c r="H787">
        <f>IF(ISBLANK('ENGAGEMENTS 2026'!C787),"",'ENGAGEMENTS 2026'!AF787)</f>
        <v/>
      </c>
      <c r="I787">
        <f>IF(ISBLANK('ENGAGEMENTS 2026'!C787),"",'ENGAGEMENTS 2026'!H787)</f>
        <v/>
      </c>
      <c r="J787" s="275">
        <f>IF(ISBLANK('ENGAGEMENTS 2026'!C787),"",IF(AND(OR($E787="INFRUCTUEUX",$E787="ANNULE"),$C787="AOO-M"),'ENGAGEMENTS 2026'!P787,IF($H787="EN COURS DE PREENGAGEMENT",'ENGAGEMENTS 2026'!O787,IF($H787="PREENGAGE",IF($E787="ATTRIBUE",'ENGAGEMENTS 2026'!AE787,'ENGAGEMENTS 2026'!O787),'ENGAGEMENTS 2026'!AE787))))</f>
        <v/>
      </c>
      <c r="K787" s="604">
        <f>IF(ISBLANK('ENGAGEMENTS 2026'!W787),"",'ENGAGEMENTS 2026'!W787)</f>
        <v/>
      </c>
      <c r="L787" s="276">
        <f>IF($K787="","",TODAY()-$K787)</f>
        <v/>
      </c>
      <c r="M787">
        <f>IF($A787="","",IF($H787="ENGAGE","Engagé",IF(AND($H787="NON ENGAGE",OR($I787="INFRUCTUEUX",$I787="ANNULE")),"Clôturé sans suite","En cours")))</f>
        <v/>
      </c>
      <c r="N787">
        <f>IF(ISBLANK('ENGAGEMENTS 2026'!C787),"",'ENGAGEMENTS 2026'!L787)</f>
        <v/>
      </c>
      <c r="O787">
        <f>IF(ISBLANK('ENGAGEMENTS 2026'!C787),"",'ENGAGEMENTS 2026'!M787)</f>
        <v/>
      </c>
      <c r="P787">
        <f>IF(ISBLANK('ENGAGEMENTS 2026'!C787),"",'ENGAGEMENTS 2026'!K787)</f>
        <v/>
      </c>
      <c r="Q787">
        <f>IF($A787="","",IF(OR($E787="INFRUCTUEUX",$E787="ANNULE"),$A787&amp;"|"&amp;(COUNTIFS($A$2:$A787,$A787,$E$2:$E787,"INFRUCTUEUX")+COUNTIFS($A$2:$A787,$A787,$E$2:$E787,"ANNULE")),""))</f>
        <v/>
      </c>
    </row>
    <row r="788">
      <c r="A788">
        <f>IF(ISBLANK('ENGAGEMENTS 2026'!C788),"",IF('ENGAGEMENTS 2026'!C788="DTSI","DCT",'ENGAGEMENTS 2026'!C788))</f>
        <v/>
      </c>
      <c r="B788">
        <f>IF(ISBLANK('ENGAGEMENTS 2026'!C788),"",'ENGAGEMENTS 2026'!D788)</f>
        <v/>
      </c>
      <c r="C788">
        <f>IF(ISBLANK('ENGAGEMENTS 2026'!C788),"",'ENGAGEMENTS 2026'!E788)</f>
        <v/>
      </c>
      <c r="D788">
        <f>IF(ISBLANK('ENGAGEMENTS 2026'!C788),"",'ENGAGEMENTS 2026'!G788)</f>
        <v/>
      </c>
      <c r="E788">
        <f>IF(ISBLANK('ENGAGEMENTS 2026'!C788),"",'ENGAGEMENTS 2026'!I788)</f>
        <v/>
      </c>
      <c r="F788">
        <f>IF(ISBLANK('ENGAGEMENTS 2026'!C788),"",'ENGAGEMENTS 2026'!J788)</f>
        <v/>
      </c>
      <c r="G788">
        <f>IF(ISBLANK('ENGAGEMENTS 2026'!C788),"",'ENGAGEMENTS 2026'!M788)</f>
        <v/>
      </c>
      <c r="H788">
        <f>IF(ISBLANK('ENGAGEMENTS 2026'!C788),"",'ENGAGEMENTS 2026'!AF788)</f>
        <v/>
      </c>
      <c r="I788">
        <f>IF(ISBLANK('ENGAGEMENTS 2026'!C788),"",'ENGAGEMENTS 2026'!H788)</f>
        <v/>
      </c>
      <c r="J788" s="275">
        <f>IF(ISBLANK('ENGAGEMENTS 2026'!C788),"",IF(AND(OR($E788="INFRUCTUEUX",$E788="ANNULE"),$C788="AOO-M"),'ENGAGEMENTS 2026'!P788,IF($H788="EN COURS DE PREENGAGEMENT",'ENGAGEMENTS 2026'!O788,IF($H788="PREENGAGE",IF($E788="ATTRIBUE",'ENGAGEMENTS 2026'!AE788,'ENGAGEMENTS 2026'!O788),'ENGAGEMENTS 2026'!AE788))))</f>
        <v/>
      </c>
      <c r="K788" s="604">
        <f>IF(ISBLANK('ENGAGEMENTS 2026'!W788),"",'ENGAGEMENTS 2026'!W788)</f>
        <v/>
      </c>
      <c r="L788" s="276">
        <f>IF($K788="","",TODAY()-$K788)</f>
        <v/>
      </c>
      <c r="M788">
        <f>IF($A788="","",IF($H788="ENGAGE","Engagé",IF(AND($H788="NON ENGAGE",OR($I788="INFRUCTUEUX",$I788="ANNULE")),"Clôturé sans suite","En cours")))</f>
        <v/>
      </c>
      <c r="N788">
        <f>IF(ISBLANK('ENGAGEMENTS 2026'!C788),"",'ENGAGEMENTS 2026'!L788)</f>
        <v/>
      </c>
      <c r="O788">
        <f>IF(ISBLANK('ENGAGEMENTS 2026'!C788),"",'ENGAGEMENTS 2026'!M788)</f>
        <v/>
      </c>
      <c r="P788">
        <f>IF(ISBLANK('ENGAGEMENTS 2026'!C788),"",'ENGAGEMENTS 2026'!K788)</f>
        <v/>
      </c>
      <c r="Q788">
        <f>IF($A788="","",IF(OR($E788="INFRUCTUEUX",$E788="ANNULE"),$A788&amp;"|"&amp;(COUNTIFS($A$2:$A788,$A788,$E$2:$E788,"INFRUCTUEUX")+COUNTIFS($A$2:$A788,$A788,$E$2:$E788,"ANNULE")),""))</f>
        <v/>
      </c>
    </row>
    <row r="789">
      <c r="A789">
        <f>IF(ISBLANK('ENGAGEMENTS 2026'!C789),"",IF('ENGAGEMENTS 2026'!C789="DTSI","DCT",'ENGAGEMENTS 2026'!C789))</f>
        <v/>
      </c>
      <c r="B789">
        <f>IF(ISBLANK('ENGAGEMENTS 2026'!C789),"",'ENGAGEMENTS 2026'!D789)</f>
        <v/>
      </c>
      <c r="C789">
        <f>IF(ISBLANK('ENGAGEMENTS 2026'!C789),"",'ENGAGEMENTS 2026'!E789)</f>
        <v/>
      </c>
      <c r="D789">
        <f>IF(ISBLANK('ENGAGEMENTS 2026'!C789),"",'ENGAGEMENTS 2026'!G789)</f>
        <v/>
      </c>
      <c r="E789">
        <f>IF(ISBLANK('ENGAGEMENTS 2026'!C789),"",'ENGAGEMENTS 2026'!I789)</f>
        <v/>
      </c>
      <c r="F789">
        <f>IF(ISBLANK('ENGAGEMENTS 2026'!C789),"",'ENGAGEMENTS 2026'!J789)</f>
        <v/>
      </c>
      <c r="G789">
        <f>IF(ISBLANK('ENGAGEMENTS 2026'!C789),"",'ENGAGEMENTS 2026'!M789)</f>
        <v/>
      </c>
      <c r="H789">
        <f>IF(ISBLANK('ENGAGEMENTS 2026'!C789),"",'ENGAGEMENTS 2026'!AF789)</f>
        <v/>
      </c>
      <c r="I789">
        <f>IF(ISBLANK('ENGAGEMENTS 2026'!C789),"",'ENGAGEMENTS 2026'!H789)</f>
        <v/>
      </c>
      <c r="J789" s="275">
        <f>IF(ISBLANK('ENGAGEMENTS 2026'!C789),"",IF(AND(OR($E789="INFRUCTUEUX",$E789="ANNULE"),$C789="AOO-M"),'ENGAGEMENTS 2026'!P789,IF($H789="EN COURS DE PREENGAGEMENT",'ENGAGEMENTS 2026'!O789,IF($H789="PREENGAGE",IF($E789="ATTRIBUE",'ENGAGEMENTS 2026'!AE789,'ENGAGEMENTS 2026'!O789),'ENGAGEMENTS 2026'!AE789))))</f>
        <v/>
      </c>
      <c r="K789" s="604">
        <f>IF(ISBLANK('ENGAGEMENTS 2026'!W789),"",'ENGAGEMENTS 2026'!W789)</f>
        <v/>
      </c>
      <c r="L789" s="276">
        <f>IF($K789="","",TODAY()-$K789)</f>
        <v/>
      </c>
      <c r="M789">
        <f>IF($A789="","",IF($H789="ENGAGE","Engagé",IF(AND($H789="NON ENGAGE",OR($I789="INFRUCTUEUX",$I789="ANNULE")),"Clôturé sans suite","En cours")))</f>
        <v/>
      </c>
      <c r="N789">
        <f>IF(ISBLANK('ENGAGEMENTS 2026'!C789),"",'ENGAGEMENTS 2026'!L789)</f>
        <v/>
      </c>
      <c r="O789">
        <f>IF(ISBLANK('ENGAGEMENTS 2026'!C789),"",'ENGAGEMENTS 2026'!M789)</f>
        <v/>
      </c>
      <c r="P789">
        <f>IF(ISBLANK('ENGAGEMENTS 2026'!C789),"",'ENGAGEMENTS 2026'!K789)</f>
        <v/>
      </c>
      <c r="Q789">
        <f>IF($A789="","",IF(OR($E789="INFRUCTUEUX",$E789="ANNULE"),$A789&amp;"|"&amp;(COUNTIFS($A$2:$A789,$A789,$E$2:$E789,"INFRUCTUEUX")+COUNTIFS($A$2:$A789,$A789,$E$2:$E789,"ANNULE")),""))</f>
        <v/>
      </c>
    </row>
    <row r="790">
      <c r="A790">
        <f>IF(ISBLANK('ENGAGEMENTS 2026'!C790),"",IF('ENGAGEMENTS 2026'!C790="DTSI","DCT",'ENGAGEMENTS 2026'!C790))</f>
        <v/>
      </c>
      <c r="B790">
        <f>IF(ISBLANK('ENGAGEMENTS 2026'!C790),"",'ENGAGEMENTS 2026'!D790)</f>
        <v/>
      </c>
      <c r="C790">
        <f>IF(ISBLANK('ENGAGEMENTS 2026'!C790),"",'ENGAGEMENTS 2026'!E790)</f>
        <v/>
      </c>
      <c r="D790">
        <f>IF(ISBLANK('ENGAGEMENTS 2026'!C790),"",'ENGAGEMENTS 2026'!G790)</f>
        <v/>
      </c>
      <c r="E790">
        <f>IF(ISBLANK('ENGAGEMENTS 2026'!C790),"",'ENGAGEMENTS 2026'!I790)</f>
        <v/>
      </c>
      <c r="F790">
        <f>IF(ISBLANK('ENGAGEMENTS 2026'!C790),"",'ENGAGEMENTS 2026'!J790)</f>
        <v/>
      </c>
      <c r="G790">
        <f>IF(ISBLANK('ENGAGEMENTS 2026'!C790),"",'ENGAGEMENTS 2026'!M790)</f>
        <v/>
      </c>
      <c r="H790">
        <f>IF(ISBLANK('ENGAGEMENTS 2026'!C790),"",'ENGAGEMENTS 2026'!AF790)</f>
        <v/>
      </c>
      <c r="I790">
        <f>IF(ISBLANK('ENGAGEMENTS 2026'!C790),"",'ENGAGEMENTS 2026'!H790)</f>
        <v/>
      </c>
      <c r="J790" s="275">
        <f>IF(ISBLANK('ENGAGEMENTS 2026'!C790),"",IF(AND(OR($E790="INFRUCTUEUX",$E790="ANNULE"),$C790="AOO-M"),'ENGAGEMENTS 2026'!P790,IF($H790="EN COURS DE PREENGAGEMENT",'ENGAGEMENTS 2026'!O790,IF($H790="PREENGAGE",IF($E790="ATTRIBUE",'ENGAGEMENTS 2026'!AE790,'ENGAGEMENTS 2026'!O790),'ENGAGEMENTS 2026'!AE790))))</f>
        <v/>
      </c>
      <c r="K790" s="604">
        <f>IF(ISBLANK('ENGAGEMENTS 2026'!W790),"",'ENGAGEMENTS 2026'!W790)</f>
        <v/>
      </c>
      <c r="L790" s="276">
        <f>IF($K790="","",TODAY()-$K790)</f>
        <v/>
      </c>
      <c r="M790">
        <f>IF($A790="","",IF($H790="ENGAGE","Engagé",IF(AND($H790="NON ENGAGE",OR($I790="INFRUCTUEUX",$I790="ANNULE")),"Clôturé sans suite","En cours")))</f>
        <v/>
      </c>
      <c r="N790">
        <f>IF(ISBLANK('ENGAGEMENTS 2026'!C790),"",'ENGAGEMENTS 2026'!L790)</f>
        <v/>
      </c>
      <c r="O790">
        <f>IF(ISBLANK('ENGAGEMENTS 2026'!C790),"",'ENGAGEMENTS 2026'!M790)</f>
        <v/>
      </c>
      <c r="P790">
        <f>IF(ISBLANK('ENGAGEMENTS 2026'!C790),"",'ENGAGEMENTS 2026'!K790)</f>
        <v/>
      </c>
      <c r="Q790">
        <f>IF($A790="","",IF(OR($E790="INFRUCTUEUX",$E790="ANNULE"),$A790&amp;"|"&amp;(COUNTIFS($A$2:$A790,$A790,$E$2:$E790,"INFRUCTUEUX")+COUNTIFS($A$2:$A790,$A790,$E$2:$E790,"ANNULE")),""))</f>
        <v/>
      </c>
    </row>
    <row r="791">
      <c r="A791">
        <f>IF(ISBLANK('ENGAGEMENTS 2026'!C791),"",IF('ENGAGEMENTS 2026'!C791="DTSI","DCT",'ENGAGEMENTS 2026'!C791))</f>
        <v/>
      </c>
      <c r="B791">
        <f>IF(ISBLANK('ENGAGEMENTS 2026'!C791),"",'ENGAGEMENTS 2026'!D791)</f>
        <v/>
      </c>
      <c r="C791">
        <f>IF(ISBLANK('ENGAGEMENTS 2026'!C791),"",'ENGAGEMENTS 2026'!E791)</f>
        <v/>
      </c>
      <c r="D791">
        <f>IF(ISBLANK('ENGAGEMENTS 2026'!C791),"",'ENGAGEMENTS 2026'!G791)</f>
        <v/>
      </c>
      <c r="E791">
        <f>IF(ISBLANK('ENGAGEMENTS 2026'!C791),"",'ENGAGEMENTS 2026'!I791)</f>
        <v/>
      </c>
      <c r="F791">
        <f>IF(ISBLANK('ENGAGEMENTS 2026'!C791),"",'ENGAGEMENTS 2026'!J791)</f>
        <v/>
      </c>
      <c r="G791">
        <f>IF(ISBLANK('ENGAGEMENTS 2026'!C791),"",'ENGAGEMENTS 2026'!M791)</f>
        <v/>
      </c>
      <c r="H791">
        <f>IF(ISBLANK('ENGAGEMENTS 2026'!C791),"",'ENGAGEMENTS 2026'!AF791)</f>
        <v/>
      </c>
      <c r="I791">
        <f>IF(ISBLANK('ENGAGEMENTS 2026'!C791),"",'ENGAGEMENTS 2026'!H791)</f>
        <v/>
      </c>
      <c r="J791" s="275">
        <f>IF(ISBLANK('ENGAGEMENTS 2026'!C791),"",IF(AND(OR($E791="INFRUCTUEUX",$E791="ANNULE"),$C791="AOO-M"),'ENGAGEMENTS 2026'!P791,IF($H791="EN COURS DE PREENGAGEMENT",'ENGAGEMENTS 2026'!O791,IF($H791="PREENGAGE",IF($E791="ATTRIBUE",'ENGAGEMENTS 2026'!AE791,'ENGAGEMENTS 2026'!O791),'ENGAGEMENTS 2026'!AE791))))</f>
        <v/>
      </c>
      <c r="K791" s="604">
        <f>IF(ISBLANK('ENGAGEMENTS 2026'!W791),"",'ENGAGEMENTS 2026'!W791)</f>
        <v/>
      </c>
      <c r="L791" s="276">
        <f>IF($K791="","",TODAY()-$K791)</f>
        <v/>
      </c>
      <c r="M791">
        <f>IF($A791="","",IF($H791="ENGAGE","Engagé",IF(AND($H791="NON ENGAGE",OR($I791="INFRUCTUEUX",$I791="ANNULE")),"Clôturé sans suite","En cours")))</f>
        <v/>
      </c>
      <c r="N791">
        <f>IF(ISBLANK('ENGAGEMENTS 2026'!C791),"",'ENGAGEMENTS 2026'!L791)</f>
        <v/>
      </c>
      <c r="O791">
        <f>IF(ISBLANK('ENGAGEMENTS 2026'!C791),"",'ENGAGEMENTS 2026'!M791)</f>
        <v/>
      </c>
      <c r="P791">
        <f>IF(ISBLANK('ENGAGEMENTS 2026'!C791),"",'ENGAGEMENTS 2026'!K791)</f>
        <v/>
      </c>
      <c r="Q791">
        <f>IF($A791="","",IF(OR($E791="INFRUCTUEUX",$E791="ANNULE"),$A791&amp;"|"&amp;(COUNTIFS($A$2:$A791,$A791,$E$2:$E791,"INFRUCTUEUX")+COUNTIFS($A$2:$A791,$A791,$E$2:$E791,"ANNULE")),""))</f>
        <v/>
      </c>
    </row>
    <row r="792">
      <c r="A792">
        <f>IF(ISBLANK('ENGAGEMENTS 2026'!C792),"",IF('ENGAGEMENTS 2026'!C792="DTSI","DCT",'ENGAGEMENTS 2026'!C792))</f>
        <v/>
      </c>
      <c r="B792">
        <f>IF(ISBLANK('ENGAGEMENTS 2026'!C792),"",'ENGAGEMENTS 2026'!D792)</f>
        <v/>
      </c>
      <c r="C792">
        <f>IF(ISBLANK('ENGAGEMENTS 2026'!C792),"",'ENGAGEMENTS 2026'!E792)</f>
        <v/>
      </c>
      <c r="D792">
        <f>IF(ISBLANK('ENGAGEMENTS 2026'!C792),"",'ENGAGEMENTS 2026'!G792)</f>
        <v/>
      </c>
      <c r="E792">
        <f>IF(ISBLANK('ENGAGEMENTS 2026'!C792),"",'ENGAGEMENTS 2026'!I792)</f>
        <v/>
      </c>
      <c r="F792">
        <f>IF(ISBLANK('ENGAGEMENTS 2026'!C792),"",'ENGAGEMENTS 2026'!J792)</f>
        <v/>
      </c>
      <c r="G792">
        <f>IF(ISBLANK('ENGAGEMENTS 2026'!C792),"",'ENGAGEMENTS 2026'!M792)</f>
        <v/>
      </c>
      <c r="H792">
        <f>IF(ISBLANK('ENGAGEMENTS 2026'!C792),"",'ENGAGEMENTS 2026'!AF792)</f>
        <v/>
      </c>
      <c r="I792">
        <f>IF(ISBLANK('ENGAGEMENTS 2026'!C792),"",'ENGAGEMENTS 2026'!H792)</f>
        <v/>
      </c>
      <c r="J792" s="275">
        <f>IF(ISBLANK('ENGAGEMENTS 2026'!C792),"",IF(AND(OR($E792="INFRUCTUEUX",$E792="ANNULE"),$C792="AOO-M"),'ENGAGEMENTS 2026'!P792,IF($H792="EN COURS DE PREENGAGEMENT",'ENGAGEMENTS 2026'!O792,IF($H792="PREENGAGE",IF($E792="ATTRIBUE",'ENGAGEMENTS 2026'!AE792,'ENGAGEMENTS 2026'!O792),'ENGAGEMENTS 2026'!AE792))))</f>
        <v/>
      </c>
      <c r="K792" s="604">
        <f>IF(ISBLANK('ENGAGEMENTS 2026'!W792),"",'ENGAGEMENTS 2026'!W792)</f>
        <v/>
      </c>
      <c r="L792" s="276">
        <f>IF($K792="","",TODAY()-$K792)</f>
        <v/>
      </c>
      <c r="M792">
        <f>IF($A792="","",IF($H792="ENGAGE","Engagé",IF(AND($H792="NON ENGAGE",OR($I792="INFRUCTUEUX",$I792="ANNULE")),"Clôturé sans suite","En cours")))</f>
        <v/>
      </c>
      <c r="N792">
        <f>IF(ISBLANK('ENGAGEMENTS 2026'!C792),"",'ENGAGEMENTS 2026'!L792)</f>
        <v/>
      </c>
      <c r="O792">
        <f>IF(ISBLANK('ENGAGEMENTS 2026'!C792),"",'ENGAGEMENTS 2026'!M792)</f>
        <v/>
      </c>
      <c r="P792">
        <f>IF(ISBLANK('ENGAGEMENTS 2026'!C792),"",'ENGAGEMENTS 2026'!K792)</f>
        <v/>
      </c>
      <c r="Q792">
        <f>IF($A792="","",IF(OR($E792="INFRUCTUEUX",$E792="ANNULE"),$A792&amp;"|"&amp;(COUNTIFS($A$2:$A792,$A792,$E$2:$E792,"INFRUCTUEUX")+COUNTIFS($A$2:$A792,$A792,$E$2:$E792,"ANNULE")),""))</f>
        <v/>
      </c>
    </row>
    <row r="793">
      <c r="A793">
        <f>IF(ISBLANK('ENGAGEMENTS 2026'!C793),"",IF('ENGAGEMENTS 2026'!C793="DTSI","DCT",'ENGAGEMENTS 2026'!C793))</f>
        <v/>
      </c>
      <c r="B793">
        <f>IF(ISBLANK('ENGAGEMENTS 2026'!C793),"",'ENGAGEMENTS 2026'!D793)</f>
        <v/>
      </c>
      <c r="C793">
        <f>IF(ISBLANK('ENGAGEMENTS 2026'!C793),"",'ENGAGEMENTS 2026'!E793)</f>
        <v/>
      </c>
      <c r="D793">
        <f>IF(ISBLANK('ENGAGEMENTS 2026'!C793),"",'ENGAGEMENTS 2026'!G793)</f>
        <v/>
      </c>
      <c r="E793">
        <f>IF(ISBLANK('ENGAGEMENTS 2026'!C793),"",'ENGAGEMENTS 2026'!I793)</f>
        <v/>
      </c>
      <c r="F793">
        <f>IF(ISBLANK('ENGAGEMENTS 2026'!C793),"",'ENGAGEMENTS 2026'!J793)</f>
        <v/>
      </c>
      <c r="G793">
        <f>IF(ISBLANK('ENGAGEMENTS 2026'!C793),"",'ENGAGEMENTS 2026'!M793)</f>
        <v/>
      </c>
      <c r="H793">
        <f>IF(ISBLANK('ENGAGEMENTS 2026'!C793),"",'ENGAGEMENTS 2026'!AF793)</f>
        <v/>
      </c>
      <c r="I793">
        <f>IF(ISBLANK('ENGAGEMENTS 2026'!C793),"",'ENGAGEMENTS 2026'!H793)</f>
        <v/>
      </c>
      <c r="J793" s="275">
        <f>IF(ISBLANK('ENGAGEMENTS 2026'!C793),"",IF(AND(OR($E793="INFRUCTUEUX",$E793="ANNULE"),$C793="AOO-M"),'ENGAGEMENTS 2026'!P793,IF($H793="EN COURS DE PREENGAGEMENT",'ENGAGEMENTS 2026'!O793,IF($H793="PREENGAGE",IF($E793="ATTRIBUE",'ENGAGEMENTS 2026'!AE793,'ENGAGEMENTS 2026'!O793),'ENGAGEMENTS 2026'!AE793))))</f>
        <v/>
      </c>
      <c r="K793" s="604">
        <f>IF(ISBLANK('ENGAGEMENTS 2026'!W793),"",'ENGAGEMENTS 2026'!W793)</f>
        <v/>
      </c>
      <c r="L793" s="276">
        <f>IF($K793="","",TODAY()-$K793)</f>
        <v/>
      </c>
      <c r="M793">
        <f>IF($A793="","",IF($H793="ENGAGE","Engagé",IF(AND($H793="NON ENGAGE",OR($I793="INFRUCTUEUX",$I793="ANNULE")),"Clôturé sans suite","En cours")))</f>
        <v/>
      </c>
      <c r="N793">
        <f>IF(ISBLANK('ENGAGEMENTS 2026'!C793),"",'ENGAGEMENTS 2026'!L793)</f>
        <v/>
      </c>
      <c r="O793">
        <f>IF(ISBLANK('ENGAGEMENTS 2026'!C793),"",'ENGAGEMENTS 2026'!M793)</f>
        <v/>
      </c>
      <c r="P793">
        <f>IF(ISBLANK('ENGAGEMENTS 2026'!C793),"",'ENGAGEMENTS 2026'!K793)</f>
        <v/>
      </c>
      <c r="Q793">
        <f>IF($A793="","",IF(OR($E793="INFRUCTUEUX",$E793="ANNULE"),$A793&amp;"|"&amp;(COUNTIFS($A$2:$A793,$A793,$E$2:$E793,"INFRUCTUEUX")+COUNTIFS($A$2:$A793,$A793,$E$2:$E793,"ANNULE")),""))</f>
        <v/>
      </c>
    </row>
    <row r="794">
      <c r="A794">
        <f>IF(ISBLANK('ENGAGEMENTS 2026'!C794),"",IF('ENGAGEMENTS 2026'!C794="DTSI","DCT",'ENGAGEMENTS 2026'!C794))</f>
        <v/>
      </c>
      <c r="B794">
        <f>IF(ISBLANK('ENGAGEMENTS 2026'!C794),"",'ENGAGEMENTS 2026'!D794)</f>
        <v/>
      </c>
      <c r="C794">
        <f>IF(ISBLANK('ENGAGEMENTS 2026'!C794),"",'ENGAGEMENTS 2026'!E794)</f>
        <v/>
      </c>
      <c r="D794">
        <f>IF(ISBLANK('ENGAGEMENTS 2026'!C794),"",'ENGAGEMENTS 2026'!G794)</f>
        <v/>
      </c>
      <c r="E794">
        <f>IF(ISBLANK('ENGAGEMENTS 2026'!C794),"",'ENGAGEMENTS 2026'!I794)</f>
        <v/>
      </c>
      <c r="F794">
        <f>IF(ISBLANK('ENGAGEMENTS 2026'!C794),"",'ENGAGEMENTS 2026'!J794)</f>
        <v/>
      </c>
      <c r="G794">
        <f>IF(ISBLANK('ENGAGEMENTS 2026'!C794),"",'ENGAGEMENTS 2026'!M794)</f>
        <v/>
      </c>
      <c r="H794">
        <f>IF(ISBLANK('ENGAGEMENTS 2026'!C794),"",'ENGAGEMENTS 2026'!AF794)</f>
        <v/>
      </c>
      <c r="I794">
        <f>IF(ISBLANK('ENGAGEMENTS 2026'!C794),"",'ENGAGEMENTS 2026'!H794)</f>
        <v/>
      </c>
      <c r="J794" s="275">
        <f>IF(ISBLANK('ENGAGEMENTS 2026'!C794),"",IF(AND(OR($E794="INFRUCTUEUX",$E794="ANNULE"),$C794="AOO-M"),'ENGAGEMENTS 2026'!P794,IF($H794="EN COURS DE PREENGAGEMENT",'ENGAGEMENTS 2026'!O794,IF($H794="PREENGAGE",IF($E794="ATTRIBUE",'ENGAGEMENTS 2026'!AE794,'ENGAGEMENTS 2026'!O794),'ENGAGEMENTS 2026'!AE794))))</f>
        <v/>
      </c>
      <c r="K794" s="604">
        <f>IF(ISBLANK('ENGAGEMENTS 2026'!W794),"",'ENGAGEMENTS 2026'!W794)</f>
        <v/>
      </c>
      <c r="L794" s="276">
        <f>IF($K794="","",TODAY()-$K794)</f>
        <v/>
      </c>
      <c r="M794">
        <f>IF($A794="","",IF($H794="ENGAGE","Engagé",IF(AND($H794="NON ENGAGE",OR($I794="INFRUCTUEUX",$I794="ANNULE")),"Clôturé sans suite","En cours")))</f>
        <v/>
      </c>
      <c r="N794">
        <f>IF(ISBLANK('ENGAGEMENTS 2026'!C794),"",'ENGAGEMENTS 2026'!L794)</f>
        <v/>
      </c>
      <c r="O794">
        <f>IF(ISBLANK('ENGAGEMENTS 2026'!C794),"",'ENGAGEMENTS 2026'!M794)</f>
        <v/>
      </c>
      <c r="P794">
        <f>IF(ISBLANK('ENGAGEMENTS 2026'!C794),"",'ENGAGEMENTS 2026'!K794)</f>
        <v/>
      </c>
      <c r="Q794">
        <f>IF($A794="","",IF(OR($E794="INFRUCTUEUX",$E794="ANNULE"),$A794&amp;"|"&amp;(COUNTIFS($A$2:$A794,$A794,$E$2:$E794,"INFRUCTUEUX")+COUNTIFS($A$2:$A794,$A794,$E$2:$E794,"ANNULE")),""))</f>
        <v/>
      </c>
    </row>
    <row r="795">
      <c r="A795">
        <f>IF(ISBLANK('ENGAGEMENTS 2026'!C795),"",IF('ENGAGEMENTS 2026'!C795="DTSI","DCT",'ENGAGEMENTS 2026'!C795))</f>
        <v/>
      </c>
      <c r="B795">
        <f>IF(ISBLANK('ENGAGEMENTS 2026'!C795),"",'ENGAGEMENTS 2026'!D795)</f>
        <v/>
      </c>
      <c r="C795">
        <f>IF(ISBLANK('ENGAGEMENTS 2026'!C795),"",'ENGAGEMENTS 2026'!E795)</f>
        <v/>
      </c>
      <c r="D795">
        <f>IF(ISBLANK('ENGAGEMENTS 2026'!C795),"",'ENGAGEMENTS 2026'!G795)</f>
        <v/>
      </c>
      <c r="E795">
        <f>IF(ISBLANK('ENGAGEMENTS 2026'!C795),"",'ENGAGEMENTS 2026'!I795)</f>
        <v/>
      </c>
      <c r="F795">
        <f>IF(ISBLANK('ENGAGEMENTS 2026'!C795),"",'ENGAGEMENTS 2026'!J795)</f>
        <v/>
      </c>
      <c r="G795">
        <f>IF(ISBLANK('ENGAGEMENTS 2026'!C795),"",'ENGAGEMENTS 2026'!M795)</f>
        <v/>
      </c>
      <c r="H795">
        <f>IF(ISBLANK('ENGAGEMENTS 2026'!C795),"",'ENGAGEMENTS 2026'!AF795)</f>
        <v/>
      </c>
      <c r="I795">
        <f>IF(ISBLANK('ENGAGEMENTS 2026'!C795),"",'ENGAGEMENTS 2026'!H795)</f>
        <v/>
      </c>
      <c r="J795" s="275">
        <f>IF(ISBLANK('ENGAGEMENTS 2026'!C795),"",IF(AND(OR($E795="INFRUCTUEUX",$E795="ANNULE"),$C795="AOO-M"),'ENGAGEMENTS 2026'!P795,IF($H795="EN COURS DE PREENGAGEMENT",'ENGAGEMENTS 2026'!O795,IF($H795="PREENGAGE",IF($E795="ATTRIBUE",'ENGAGEMENTS 2026'!AE795,'ENGAGEMENTS 2026'!O795),'ENGAGEMENTS 2026'!AE795))))</f>
        <v/>
      </c>
      <c r="K795" s="604">
        <f>IF(ISBLANK('ENGAGEMENTS 2026'!W795),"",'ENGAGEMENTS 2026'!W795)</f>
        <v/>
      </c>
      <c r="L795" s="276">
        <f>IF($K795="","",TODAY()-$K795)</f>
        <v/>
      </c>
      <c r="M795">
        <f>IF($A795="","",IF($H795="ENGAGE","Engagé",IF(AND($H795="NON ENGAGE",OR($I795="INFRUCTUEUX",$I795="ANNULE")),"Clôturé sans suite","En cours")))</f>
        <v/>
      </c>
      <c r="N795">
        <f>IF(ISBLANK('ENGAGEMENTS 2026'!C795),"",'ENGAGEMENTS 2026'!L795)</f>
        <v/>
      </c>
      <c r="O795">
        <f>IF(ISBLANK('ENGAGEMENTS 2026'!C795),"",'ENGAGEMENTS 2026'!M795)</f>
        <v/>
      </c>
      <c r="P795">
        <f>IF(ISBLANK('ENGAGEMENTS 2026'!C795),"",'ENGAGEMENTS 2026'!K795)</f>
        <v/>
      </c>
      <c r="Q795">
        <f>IF($A795="","",IF(OR($E795="INFRUCTUEUX",$E795="ANNULE"),$A795&amp;"|"&amp;(COUNTIFS($A$2:$A795,$A795,$E$2:$E795,"INFRUCTUEUX")+COUNTIFS($A$2:$A795,$A795,$E$2:$E795,"ANNULE")),""))</f>
        <v/>
      </c>
    </row>
    <row r="796">
      <c r="A796">
        <f>IF(ISBLANK('ENGAGEMENTS 2026'!C796),"",IF('ENGAGEMENTS 2026'!C796="DTSI","DCT",'ENGAGEMENTS 2026'!C796))</f>
        <v/>
      </c>
      <c r="B796">
        <f>IF(ISBLANK('ENGAGEMENTS 2026'!C796),"",'ENGAGEMENTS 2026'!D796)</f>
        <v/>
      </c>
      <c r="C796">
        <f>IF(ISBLANK('ENGAGEMENTS 2026'!C796),"",'ENGAGEMENTS 2026'!E796)</f>
        <v/>
      </c>
      <c r="D796">
        <f>IF(ISBLANK('ENGAGEMENTS 2026'!C796),"",'ENGAGEMENTS 2026'!G796)</f>
        <v/>
      </c>
      <c r="E796">
        <f>IF(ISBLANK('ENGAGEMENTS 2026'!C796),"",'ENGAGEMENTS 2026'!I796)</f>
        <v/>
      </c>
      <c r="F796">
        <f>IF(ISBLANK('ENGAGEMENTS 2026'!C796),"",'ENGAGEMENTS 2026'!J796)</f>
        <v/>
      </c>
      <c r="G796">
        <f>IF(ISBLANK('ENGAGEMENTS 2026'!C796),"",'ENGAGEMENTS 2026'!M796)</f>
        <v/>
      </c>
      <c r="H796">
        <f>IF(ISBLANK('ENGAGEMENTS 2026'!C796),"",'ENGAGEMENTS 2026'!AF796)</f>
        <v/>
      </c>
      <c r="I796">
        <f>IF(ISBLANK('ENGAGEMENTS 2026'!C796),"",'ENGAGEMENTS 2026'!H796)</f>
        <v/>
      </c>
      <c r="J796" s="275">
        <f>IF(ISBLANK('ENGAGEMENTS 2026'!C796),"",IF(AND(OR($E796="INFRUCTUEUX",$E796="ANNULE"),$C796="AOO-M"),'ENGAGEMENTS 2026'!P796,IF($H796="EN COURS DE PREENGAGEMENT",'ENGAGEMENTS 2026'!O796,IF($H796="PREENGAGE",IF($E796="ATTRIBUE",'ENGAGEMENTS 2026'!AE796,'ENGAGEMENTS 2026'!O796),'ENGAGEMENTS 2026'!AE796))))</f>
        <v/>
      </c>
      <c r="K796" s="604">
        <f>IF(ISBLANK('ENGAGEMENTS 2026'!W796),"",'ENGAGEMENTS 2026'!W796)</f>
        <v/>
      </c>
      <c r="L796" s="276">
        <f>IF($K796="","",TODAY()-$K796)</f>
        <v/>
      </c>
      <c r="M796">
        <f>IF($A796="","",IF($H796="ENGAGE","Engagé",IF(AND($H796="NON ENGAGE",OR($I796="INFRUCTUEUX",$I796="ANNULE")),"Clôturé sans suite","En cours")))</f>
        <v/>
      </c>
      <c r="N796">
        <f>IF(ISBLANK('ENGAGEMENTS 2026'!C796),"",'ENGAGEMENTS 2026'!L796)</f>
        <v/>
      </c>
      <c r="O796">
        <f>IF(ISBLANK('ENGAGEMENTS 2026'!C796),"",'ENGAGEMENTS 2026'!M796)</f>
        <v/>
      </c>
      <c r="P796">
        <f>IF(ISBLANK('ENGAGEMENTS 2026'!C796),"",'ENGAGEMENTS 2026'!K796)</f>
        <v/>
      </c>
      <c r="Q796">
        <f>IF($A796="","",IF(OR($E796="INFRUCTUEUX",$E796="ANNULE"),$A796&amp;"|"&amp;(COUNTIFS($A$2:$A796,$A796,$E$2:$E796,"INFRUCTUEUX")+COUNTIFS($A$2:$A796,$A796,$E$2:$E796,"ANNULE")),""))</f>
        <v/>
      </c>
    </row>
    <row r="797">
      <c r="A797">
        <f>IF(ISBLANK('ENGAGEMENTS 2026'!C797),"",IF('ENGAGEMENTS 2026'!C797="DTSI","DCT",'ENGAGEMENTS 2026'!C797))</f>
        <v/>
      </c>
      <c r="B797">
        <f>IF(ISBLANK('ENGAGEMENTS 2026'!C797),"",'ENGAGEMENTS 2026'!D797)</f>
        <v/>
      </c>
      <c r="C797">
        <f>IF(ISBLANK('ENGAGEMENTS 2026'!C797),"",'ENGAGEMENTS 2026'!E797)</f>
        <v/>
      </c>
      <c r="D797">
        <f>IF(ISBLANK('ENGAGEMENTS 2026'!C797),"",'ENGAGEMENTS 2026'!G797)</f>
        <v/>
      </c>
      <c r="E797">
        <f>IF(ISBLANK('ENGAGEMENTS 2026'!C797),"",'ENGAGEMENTS 2026'!I797)</f>
        <v/>
      </c>
      <c r="F797">
        <f>IF(ISBLANK('ENGAGEMENTS 2026'!C797),"",'ENGAGEMENTS 2026'!J797)</f>
        <v/>
      </c>
      <c r="G797">
        <f>IF(ISBLANK('ENGAGEMENTS 2026'!C797),"",'ENGAGEMENTS 2026'!M797)</f>
        <v/>
      </c>
      <c r="H797">
        <f>IF(ISBLANK('ENGAGEMENTS 2026'!C797),"",'ENGAGEMENTS 2026'!AF797)</f>
        <v/>
      </c>
      <c r="I797">
        <f>IF(ISBLANK('ENGAGEMENTS 2026'!C797),"",'ENGAGEMENTS 2026'!H797)</f>
        <v/>
      </c>
      <c r="J797" s="275">
        <f>IF(ISBLANK('ENGAGEMENTS 2026'!C797),"",IF(AND(OR($E797="INFRUCTUEUX",$E797="ANNULE"),$C797="AOO-M"),'ENGAGEMENTS 2026'!P797,IF($H797="EN COURS DE PREENGAGEMENT",'ENGAGEMENTS 2026'!O797,IF($H797="PREENGAGE",IF($E797="ATTRIBUE",'ENGAGEMENTS 2026'!AE797,'ENGAGEMENTS 2026'!O797),'ENGAGEMENTS 2026'!AE797))))</f>
        <v/>
      </c>
      <c r="K797" s="604">
        <f>IF(ISBLANK('ENGAGEMENTS 2026'!W797),"",'ENGAGEMENTS 2026'!W797)</f>
        <v/>
      </c>
      <c r="L797" s="276">
        <f>IF($K797="","",TODAY()-$K797)</f>
        <v/>
      </c>
      <c r="M797">
        <f>IF($A797="","",IF($H797="ENGAGE","Engagé",IF(AND($H797="NON ENGAGE",OR($I797="INFRUCTUEUX",$I797="ANNULE")),"Clôturé sans suite","En cours")))</f>
        <v/>
      </c>
      <c r="N797">
        <f>IF(ISBLANK('ENGAGEMENTS 2026'!C797),"",'ENGAGEMENTS 2026'!L797)</f>
        <v/>
      </c>
      <c r="O797">
        <f>IF(ISBLANK('ENGAGEMENTS 2026'!C797),"",'ENGAGEMENTS 2026'!M797)</f>
        <v/>
      </c>
      <c r="P797">
        <f>IF(ISBLANK('ENGAGEMENTS 2026'!C797),"",'ENGAGEMENTS 2026'!K797)</f>
        <v/>
      </c>
      <c r="Q797">
        <f>IF($A797="","",IF(OR($E797="INFRUCTUEUX",$E797="ANNULE"),$A797&amp;"|"&amp;(COUNTIFS($A$2:$A797,$A797,$E$2:$E797,"INFRUCTUEUX")+COUNTIFS($A$2:$A797,$A797,$E$2:$E797,"ANNULE")),""))</f>
        <v/>
      </c>
    </row>
    <row r="798">
      <c r="A798">
        <f>IF(ISBLANK('ENGAGEMENTS 2026'!C798),"",IF('ENGAGEMENTS 2026'!C798="DTSI","DCT",'ENGAGEMENTS 2026'!C798))</f>
        <v/>
      </c>
      <c r="B798">
        <f>IF(ISBLANK('ENGAGEMENTS 2026'!C798),"",'ENGAGEMENTS 2026'!D798)</f>
        <v/>
      </c>
      <c r="C798">
        <f>IF(ISBLANK('ENGAGEMENTS 2026'!C798),"",'ENGAGEMENTS 2026'!E798)</f>
        <v/>
      </c>
      <c r="D798">
        <f>IF(ISBLANK('ENGAGEMENTS 2026'!C798),"",'ENGAGEMENTS 2026'!G798)</f>
        <v/>
      </c>
      <c r="E798">
        <f>IF(ISBLANK('ENGAGEMENTS 2026'!C798),"",'ENGAGEMENTS 2026'!I798)</f>
        <v/>
      </c>
      <c r="F798">
        <f>IF(ISBLANK('ENGAGEMENTS 2026'!C798),"",'ENGAGEMENTS 2026'!J798)</f>
        <v/>
      </c>
      <c r="G798">
        <f>IF(ISBLANK('ENGAGEMENTS 2026'!C798),"",'ENGAGEMENTS 2026'!M798)</f>
        <v/>
      </c>
      <c r="H798">
        <f>IF(ISBLANK('ENGAGEMENTS 2026'!C798),"",'ENGAGEMENTS 2026'!AF798)</f>
        <v/>
      </c>
      <c r="I798">
        <f>IF(ISBLANK('ENGAGEMENTS 2026'!C798),"",'ENGAGEMENTS 2026'!H798)</f>
        <v/>
      </c>
      <c r="J798" s="275">
        <f>IF(ISBLANK('ENGAGEMENTS 2026'!C798),"",IF(AND(OR($E798="INFRUCTUEUX",$E798="ANNULE"),$C798="AOO-M"),'ENGAGEMENTS 2026'!P798,IF($H798="EN COURS DE PREENGAGEMENT",'ENGAGEMENTS 2026'!O798,IF($H798="PREENGAGE",IF($E798="ATTRIBUE",'ENGAGEMENTS 2026'!AE798,'ENGAGEMENTS 2026'!O798),'ENGAGEMENTS 2026'!AE798))))</f>
        <v/>
      </c>
      <c r="K798" s="604">
        <f>IF(ISBLANK('ENGAGEMENTS 2026'!W798),"",'ENGAGEMENTS 2026'!W798)</f>
        <v/>
      </c>
      <c r="L798" s="276">
        <f>IF($K798="","",TODAY()-$K798)</f>
        <v/>
      </c>
      <c r="M798">
        <f>IF($A798="","",IF($H798="ENGAGE","Engagé",IF(AND($H798="NON ENGAGE",OR($I798="INFRUCTUEUX",$I798="ANNULE")),"Clôturé sans suite","En cours")))</f>
        <v/>
      </c>
      <c r="N798">
        <f>IF(ISBLANK('ENGAGEMENTS 2026'!C798),"",'ENGAGEMENTS 2026'!L798)</f>
        <v/>
      </c>
      <c r="O798">
        <f>IF(ISBLANK('ENGAGEMENTS 2026'!C798),"",'ENGAGEMENTS 2026'!M798)</f>
        <v/>
      </c>
      <c r="P798">
        <f>IF(ISBLANK('ENGAGEMENTS 2026'!C798),"",'ENGAGEMENTS 2026'!K798)</f>
        <v/>
      </c>
      <c r="Q798">
        <f>IF($A798="","",IF(OR($E798="INFRUCTUEUX",$E798="ANNULE"),$A798&amp;"|"&amp;(COUNTIFS($A$2:$A798,$A798,$E$2:$E798,"INFRUCTUEUX")+COUNTIFS($A$2:$A798,$A798,$E$2:$E798,"ANNULE")),""))</f>
        <v/>
      </c>
    </row>
    <row r="799">
      <c r="A799">
        <f>IF(ISBLANK('ENGAGEMENTS 2026'!C799),"",IF('ENGAGEMENTS 2026'!C799="DTSI","DCT",'ENGAGEMENTS 2026'!C799))</f>
        <v/>
      </c>
      <c r="B799">
        <f>IF(ISBLANK('ENGAGEMENTS 2026'!C799),"",'ENGAGEMENTS 2026'!D799)</f>
        <v/>
      </c>
      <c r="C799">
        <f>IF(ISBLANK('ENGAGEMENTS 2026'!C799),"",'ENGAGEMENTS 2026'!E799)</f>
        <v/>
      </c>
      <c r="D799">
        <f>IF(ISBLANK('ENGAGEMENTS 2026'!C799),"",'ENGAGEMENTS 2026'!G799)</f>
        <v/>
      </c>
      <c r="E799">
        <f>IF(ISBLANK('ENGAGEMENTS 2026'!C799),"",'ENGAGEMENTS 2026'!I799)</f>
        <v/>
      </c>
      <c r="F799">
        <f>IF(ISBLANK('ENGAGEMENTS 2026'!C799),"",'ENGAGEMENTS 2026'!J799)</f>
        <v/>
      </c>
      <c r="G799">
        <f>IF(ISBLANK('ENGAGEMENTS 2026'!C799),"",'ENGAGEMENTS 2026'!M799)</f>
        <v/>
      </c>
      <c r="H799">
        <f>IF(ISBLANK('ENGAGEMENTS 2026'!C799),"",'ENGAGEMENTS 2026'!AF799)</f>
        <v/>
      </c>
      <c r="I799">
        <f>IF(ISBLANK('ENGAGEMENTS 2026'!C799),"",'ENGAGEMENTS 2026'!H799)</f>
        <v/>
      </c>
      <c r="J799" s="275">
        <f>IF(ISBLANK('ENGAGEMENTS 2026'!C799),"",IF(AND(OR($E799="INFRUCTUEUX",$E799="ANNULE"),$C799="AOO-M"),'ENGAGEMENTS 2026'!P799,IF($H799="EN COURS DE PREENGAGEMENT",'ENGAGEMENTS 2026'!O799,IF($H799="PREENGAGE",IF($E799="ATTRIBUE",'ENGAGEMENTS 2026'!AE799,'ENGAGEMENTS 2026'!O799),'ENGAGEMENTS 2026'!AE799))))</f>
        <v/>
      </c>
      <c r="K799" s="604">
        <f>IF(ISBLANK('ENGAGEMENTS 2026'!W799),"",'ENGAGEMENTS 2026'!W799)</f>
        <v/>
      </c>
      <c r="L799" s="276">
        <f>IF($K799="","",TODAY()-$K799)</f>
        <v/>
      </c>
      <c r="M799">
        <f>IF($A799="","",IF($H799="ENGAGE","Engagé",IF(AND($H799="NON ENGAGE",OR($I799="INFRUCTUEUX",$I799="ANNULE")),"Clôturé sans suite","En cours")))</f>
        <v/>
      </c>
      <c r="N799">
        <f>IF(ISBLANK('ENGAGEMENTS 2026'!C799),"",'ENGAGEMENTS 2026'!L799)</f>
        <v/>
      </c>
      <c r="O799">
        <f>IF(ISBLANK('ENGAGEMENTS 2026'!C799),"",'ENGAGEMENTS 2026'!M799)</f>
        <v/>
      </c>
      <c r="P799">
        <f>IF(ISBLANK('ENGAGEMENTS 2026'!C799),"",'ENGAGEMENTS 2026'!K799)</f>
        <v/>
      </c>
      <c r="Q799">
        <f>IF($A799="","",IF(OR($E799="INFRUCTUEUX",$E799="ANNULE"),$A799&amp;"|"&amp;(COUNTIFS($A$2:$A799,$A799,$E$2:$E799,"INFRUCTUEUX")+COUNTIFS($A$2:$A799,$A799,$E$2:$E799,"ANNULE")),""))</f>
        <v/>
      </c>
    </row>
    <row r="800">
      <c r="A800">
        <f>IF(ISBLANK('ENGAGEMENTS 2026'!C800),"",IF('ENGAGEMENTS 2026'!C800="DTSI","DCT",'ENGAGEMENTS 2026'!C800))</f>
        <v/>
      </c>
      <c r="B800">
        <f>IF(ISBLANK('ENGAGEMENTS 2026'!C800),"",'ENGAGEMENTS 2026'!D800)</f>
        <v/>
      </c>
      <c r="C800">
        <f>IF(ISBLANK('ENGAGEMENTS 2026'!C800),"",'ENGAGEMENTS 2026'!E800)</f>
        <v/>
      </c>
      <c r="D800">
        <f>IF(ISBLANK('ENGAGEMENTS 2026'!C800),"",'ENGAGEMENTS 2026'!G800)</f>
        <v/>
      </c>
      <c r="E800">
        <f>IF(ISBLANK('ENGAGEMENTS 2026'!C800),"",'ENGAGEMENTS 2026'!I800)</f>
        <v/>
      </c>
      <c r="F800">
        <f>IF(ISBLANK('ENGAGEMENTS 2026'!C800),"",'ENGAGEMENTS 2026'!J800)</f>
        <v/>
      </c>
      <c r="G800">
        <f>IF(ISBLANK('ENGAGEMENTS 2026'!C800),"",'ENGAGEMENTS 2026'!M800)</f>
        <v/>
      </c>
      <c r="H800">
        <f>IF(ISBLANK('ENGAGEMENTS 2026'!C800),"",'ENGAGEMENTS 2026'!AF800)</f>
        <v/>
      </c>
      <c r="I800">
        <f>IF(ISBLANK('ENGAGEMENTS 2026'!C800),"",'ENGAGEMENTS 2026'!H800)</f>
        <v/>
      </c>
      <c r="J800" s="275">
        <f>IF(ISBLANK('ENGAGEMENTS 2026'!C800),"",IF(AND(OR($E800="INFRUCTUEUX",$E800="ANNULE"),$C800="AOO-M"),'ENGAGEMENTS 2026'!P800,IF($H800="EN COURS DE PREENGAGEMENT",'ENGAGEMENTS 2026'!O800,IF($H800="PREENGAGE",IF($E800="ATTRIBUE",'ENGAGEMENTS 2026'!AE800,'ENGAGEMENTS 2026'!O800),'ENGAGEMENTS 2026'!AE800))))</f>
        <v/>
      </c>
      <c r="K800" s="604">
        <f>IF(ISBLANK('ENGAGEMENTS 2026'!W800),"",'ENGAGEMENTS 2026'!W800)</f>
        <v/>
      </c>
      <c r="L800" s="276">
        <f>IF($K800="","",TODAY()-$K800)</f>
        <v/>
      </c>
      <c r="M800">
        <f>IF($A800="","",IF($H800="ENGAGE","Engagé",IF(AND($H800="NON ENGAGE",OR($I800="INFRUCTUEUX",$I800="ANNULE")),"Clôturé sans suite","En cours")))</f>
        <v/>
      </c>
      <c r="N800">
        <f>IF(ISBLANK('ENGAGEMENTS 2026'!C800),"",'ENGAGEMENTS 2026'!L800)</f>
        <v/>
      </c>
      <c r="O800">
        <f>IF(ISBLANK('ENGAGEMENTS 2026'!C800),"",'ENGAGEMENTS 2026'!M800)</f>
        <v/>
      </c>
      <c r="P800">
        <f>IF(ISBLANK('ENGAGEMENTS 2026'!C800),"",'ENGAGEMENTS 2026'!K800)</f>
        <v/>
      </c>
      <c r="Q800">
        <f>IF($A800="","",IF(OR($E800="INFRUCTUEUX",$E800="ANNULE"),$A800&amp;"|"&amp;(COUNTIFS($A$2:$A800,$A800,$E$2:$E800,"INFRUCTUEUX")+COUNTIFS($A$2:$A800,$A800,$E$2:$E800,"ANNULE")),""))</f>
        <v/>
      </c>
    </row>
    <row r="801">
      <c r="A801">
        <f>IF(ISBLANK('ENGAGEMENTS 2026'!C801),"",IF('ENGAGEMENTS 2026'!C801="DTSI","DCT",'ENGAGEMENTS 2026'!C801))</f>
        <v/>
      </c>
      <c r="B801">
        <f>IF(ISBLANK('ENGAGEMENTS 2026'!C801),"",'ENGAGEMENTS 2026'!D801)</f>
        <v/>
      </c>
      <c r="C801">
        <f>IF(ISBLANK('ENGAGEMENTS 2026'!C801),"",'ENGAGEMENTS 2026'!E801)</f>
        <v/>
      </c>
      <c r="D801">
        <f>IF(ISBLANK('ENGAGEMENTS 2026'!C801),"",'ENGAGEMENTS 2026'!G801)</f>
        <v/>
      </c>
      <c r="E801">
        <f>IF(ISBLANK('ENGAGEMENTS 2026'!C801),"",'ENGAGEMENTS 2026'!I801)</f>
        <v/>
      </c>
      <c r="F801">
        <f>IF(ISBLANK('ENGAGEMENTS 2026'!C801),"",'ENGAGEMENTS 2026'!J801)</f>
        <v/>
      </c>
      <c r="G801">
        <f>IF(ISBLANK('ENGAGEMENTS 2026'!C801),"",'ENGAGEMENTS 2026'!M801)</f>
        <v/>
      </c>
      <c r="H801">
        <f>IF(ISBLANK('ENGAGEMENTS 2026'!C801),"",'ENGAGEMENTS 2026'!AF801)</f>
        <v/>
      </c>
      <c r="I801">
        <f>IF(ISBLANK('ENGAGEMENTS 2026'!C801),"",'ENGAGEMENTS 2026'!H801)</f>
        <v/>
      </c>
      <c r="J801" s="275">
        <f>IF(ISBLANK('ENGAGEMENTS 2026'!C801),"",IF(AND(OR($E801="INFRUCTUEUX",$E801="ANNULE"),$C801="AOO-M"),'ENGAGEMENTS 2026'!P801,IF($H801="EN COURS DE PREENGAGEMENT",'ENGAGEMENTS 2026'!O801,IF($H801="PREENGAGE",IF($E801="ATTRIBUE",'ENGAGEMENTS 2026'!AE801,'ENGAGEMENTS 2026'!O801),'ENGAGEMENTS 2026'!AE801))))</f>
        <v/>
      </c>
      <c r="K801" s="604">
        <f>IF(ISBLANK('ENGAGEMENTS 2026'!W801),"",'ENGAGEMENTS 2026'!W801)</f>
        <v/>
      </c>
      <c r="L801" s="276">
        <f>IF($K801="","",TODAY()-$K801)</f>
        <v/>
      </c>
      <c r="M801">
        <f>IF($A801="","",IF($H801="ENGAGE","Engagé",IF(AND($H801="NON ENGAGE",OR($I801="INFRUCTUEUX",$I801="ANNULE")),"Clôturé sans suite","En cours")))</f>
        <v/>
      </c>
      <c r="N801">
        <f>IF(ISBLANK('ENGAGEMENTS 2026'!C801),"",'ENGAGEMENTS 2026'!L801)</f>
        <v/>
      </c>
      <c r="O801">
        <f>IF(ISBLANK('ENGAGEMENTS 2026'!C801),"",'ENGAGEMENTS 2026'!M801)</f>
        <v/>
      </c>
      <c r="P801">
        <f>IF(ISBLANK('ENGAGEMENTS 2026'!C801),"",'ENGAGEMENTS 2026'!K801)</f>
        <v/>
      </c>
      <c r="Q801">
        <f>IF($A801="","",IF(OR($E801="INFRUCTUEUX",$E801="ANNULE"),$A801&amp;"|"&amp;(COUNTIFS($A$2:$A801,$A801,$E$2:$E801,"INFRUCTUEUX")+COUNTIFS($A$2:$A801,$A801,$E$2:$E801,"ANNULE")),""))</f>
        <v/>
      </c>
    </row>
    <row r="802">
      <c r="A802">
        <f>IF(ISBLANK('ENGAGEMENTS 2026'!C802),"",IF('ENGAGEMENTS 2026'!C802="DTSI","DCT",'ENGAGEMENTS 2026'!C802))</f>
        <v/>
      </c>
      <c r="B802">
        <f>IF(ISBLANK('ENGAGEMENTS 2026'!C802),"",'ENGAGEMENTS 2026'!D802)</f>
        <v/>
      </c>
      <c r="C802">
        <f>IF(ISBLANK('ENGAGEMENTS 2026'!C802),"",'ENGAGEMENTS 2026'!E802)</f>
        <v/>
      </c>
      <c r="D802">
        <f>IF(ISBLANK('ENGAGEMENTS 2026'!C802),"",'ENGAGEMENTS 2026'!G802)</f>
        <v/>
      </c>
      <c r="E802">
        <f>IF(ISBLANK('ENGAGEMENTS 2026'!C802),"",'ENGAGEMENTS 2026'!I802)</f>
        <v/>
      </c>
      <c r="F802">
        <f>IF(ISBLANK('ENGAGEMENTS 2026'!C802),"",'ENGAGEMENTS 2026'!J802)</f>
        <v/>
      </c>
      <c r="G802">
        <f>IF(ISBLANK('ENGAGEMENTS 2026'!C802),"",'ENGAGEMENTS 2026'!M802)</f>
        <v/>
      </c>
      <c r="H802">
        <f>IF(ISBLANK('ENGAGEMENTS 2026'!C802),"",'ENGAGEMENTS 2026'!AF802)</f>
        <v/>
      </c>
      <c r="I802">
        <f>IF(ISBLANK('ENGAGEMENTS 2026'!C802),"",'ENGAGEMENTS 2026'!H802)</f>
        <v/>
      </c>
      <c r="J802" s="275">
        <f>IF(ISBLANK('ENGAGEMENTS 2026'!C802),"",IF(AND(OR($E802="INFRUCTUEUX",$E802="ANNULE"),$C802="AOO-M"),'ENGAGEMENTS 2026'!P802,IF($H802="EN COURS DE PREENGAGEMENT",'ENGAGEMENTS 2026'!O802,IF($H802="PREENGAGE",IF($E802="ATTRIBUE",'ENGAGEMENTS 2026'!AE802,'ENGAGEMENTS 2026'!O802),'ENGAGEMENTS 2026'!AE802))))</f>
        <v/>
      </c>
      <c r="K802" s="604">
        <f>IF(ISBLANK('ENGAGEMENTS 2026'!W802),"",'ENGAGEMENTS 2026'!W802)</f>
        <v/>
      </c>
      <c r="L802" s="276">
        <f>IF($K802="","",TODAY()-$K802)</f>
        <v/>
      </c>
      <c r="M802">
        <f>IF($A802="","",IF($H802="ENGAGE","Engagé",IF(AND($H802="NON ENGAGE",OR($I802="INFRUCTUEUX",$I802="ANNULE")),"Clôturé sans suite","En cours")))</f>
        <v/>
      </c>
      <c r="N802">
        <f>IF(ISBLANK('ENGAGEMENTS 2026'!C802),"",'ENGAGEMENTS 2026'!L802)</f>
        <v/>
      </c>
      <c r="O802">
        <f>IF(ISBLANK('ENGAGEMENTS 2026'!C802),"",'ENGAGEMENTS 2026'!M802)</f>
        <v/>
      </c>
      <c r="P802">
        <f>IF(ISBLANK('ENGAGEMENTS 2026'!C802),"",'ENGAGEMENTS 2026'!K802)</f>
        <v/>
      </c>
      <c r="Q802">
        <f>IF($A802="","",IF(OR($E802="INFRUCTUEUX",$E802="ANNULE"),$A802&amp;"|"&amp;(COUNTIFS($A$2:$A802,$A802,$E$2:$E802,"INFRUCTUEUX")+COUNTIFS($A$2:$A802,$A802,$E$2:$E802,"ANNULE")),""))</f>
        <v/>
      </c>
    </row>
    <row r="803">
      <c r="A803">
        <f>IF(ISBLANK('ENGAGEMENTS 2026'!C803),"",IF('ENGAGEMENTS 2026'!C803="DTSI","DCT",'ENGAGEMENTS 2026'!C803))</f>
        <v/>
      </c>
      <c r="B803">
        <f>IF(ISBLANK('ENGAGEMENTS 2026'!C803),"",'ENGAGEMENTS 2026'!D803)</f>
        <v/>
      </c>
      <c r="C803">
        <f>IF(ISBLANK('ENGAGEMENTS 2026'!C803),"",'ENGAGEMENTS 2026'!E803)</f>
        <v/>
      </c>
      <c r="D803">
        <f>IF(ISBLANK('ENGAGEMENTS 2026'!C803),"",'ENGAGEMENTS 2026'!G803)</f>
        <v/>
      </c>
      <c r="E803">
        <f>IF(ISBLANK('ENGAGEMENTS 2026'!C803),"",'ENGAGEMENTS 2026'!I803)</f>
        <v/>
      </c>
      <c r="F803">
        <f>IF(ISBLANK('ENGAGEMENTS 2026'!C803),"",'ENGAGEMENTS 2026'!J803)</f>
        <v/>
      </c>
      <c r="G803">
        <f>IF(ISBLANK('ENGAGEMENTS 2026'!C803),"",'ENGAGEMENTS 2026'!M803)</f>
        <v/>
      </c>
      <c r="H803">
        <f>IF(ISBLANK('ENGAGEMENTS 2026'!C803),"",'ENGAGEMENTS 2026'!AF803)</f>
        <v/>
      </c>
      <c r="I803">
        <f>IF(ISBLANK('ENGAGEMENTS 2026'!C803),"",'ENGAGEMENTS 2026'!H803)</f>
        <v/>
      </c>
      <c r="J803" s="275">
        <f>IF(ISBLANK('ENGAGEMENTS 2026'!C803),"",IF(AND(OR($E803="INFRUCTUEUX",$E803="ANNULE"),$C803="AOO-M"),'ENGAGEMENTS 2026'!P803,IF($H803="EN COURS DE PREENGAGEMENT",'ENGAGEMENTS 2026'!O803,IF($H803="PREENGAGE",IF($E803="ATTRIBUE",'ENGAGEMENTS 2026'!AE803,'ENGAGEMENTS 2026'!O803),'ENGAGEMENTS 2026'!AE803))))</f>
        <v/>
      </c>
      <c r="K803" s="604">
        <f>IF(ISBLANK('ENGAGEMENTS 2026'!W803),"",'ENGAGEMENTS 2026'!W803)</f>
        <v/>
      </c>
      <c r="L803" s="276">
        <f>IF($K803="","",TODAY()-$K803)</f>
        <v/>
      </c>
      <c r="M803">
        <f>IF($A803="","",IF($H803="ENGAGE","Engagé",IF(AND($H803="NON ENGAGE",OR($I803="INFRUCTUEUX",$I803="ANNULE")),"Clôturé sans suite","En cours")))</f>
        <v/>
      </c>
      <c r="N803">
        <f>IF(ISBLANK('ENGAGEMENTS 2026'!C803),"",'ENGAGEMENTS 2026'!L803)</f>
        <v/>
      </c>
      <c r="O803">
        <f>IF(ISBLANK('ENGAGEMENTS 2026'!C803),"",'ENGAGEMENTS 2026'!M803)</f>
        <v/>
      </c>
      <c r="P803">
        <f>IF(ISBLANK('ENGAGEMENTS 2026'!C803),"",'ENGAGEMENTS 2026'!K803)</f>
        <v/>
      </c>
      <c r="Q803">
        <f>IF($A803="","",IF(OR($E803="INFRUCTUEUX",$E803="ANNULE"),$A803&amp;"|"&amp;(COUNTIFS($A$2:$A803,$A803,$E$2:$E803,"INFRUCTUEUX")+COUNTIFS($A$2:$A803,$A803,$E$2:$E803,"ANNULE")),""))</f>
        <v/>
      </c>
    </row>
    <row r="804">
      <c r="A804">
        <f>IF(ISBLANK('ENGAGEMENTS 2026'!C804),"",IF('ENGAGEMENTS 2026'!C804="DTSI","DCT",'ENGAGEMENTS 2026'!C804))</f>
        <v/>
      </c>
      <c r="B804">
        <f>IF(ISBLANK('ENGAGEMENTS 2026'!C804),"",'ENGAGEMENTS 2026'!D804)</f>
        <v/>
      </c>
      <c r="C804">
        <f>IF(ISBLANK('ENGAGEMENTS 2026'!C804),"",'ENGAGEMENTS 2026'!E804)</f>
        <v/>
      </c>
      <c r="D804">
        <f>IF(ISBLANK('ENGAGEMENTS 2026'!C804),"",'ENGAGEMENTS 2026'!G804)</f>
        <v/>
      </c>
      <c r="E804">
        <f>IF(ISBLANK('ENGAGEMENTS 2026'!C804),"",'ENGAGEMENTS 2026'!I804)</f>
        <v/>
      </c>
      <c r="F804">
        <f>IF(ISBLANK('ENGAGEMENTS 2026'!C804),"",'ENGAGEMENTS 2026'!J804)</f>
        <v/>
      </c>
      <c r="G804">
        <f>IF(ISBLANK('ENGAGEMENTS 2026'!C804),"",'ENGAGEMENTS 2026'!M804)</f>
        <v/>
      </c>
      <c r="H804">
        <f>IF(ISBLANK('ENGAGEMENTS 2026'!C804),"",'ENGAGEMENTS 2026'!AF804)</f>
        <v/>
      </c>
      <c r="I804">
        <f>IF(ISBLANK('ENGAGEMENTS 2026'!C804),"",'ENGAGEMENTS 2026'!H804)</f>
        <v/>
      </c>
      <c r="J804" s="275">
        <f>IF(ISBLANK('ENGAGEMENTS 2026'!C804),"",IF(AND(OR($E804="INFRUCTUEUX",$E804="ANNULE"),$C804="AOO-M"),'ENGAGEMENTS 2026'!P804,IF($H804="EN COURS DE PREENGAGEMENT",'ENGAGEMENTS 2026'!O804,IF($H804="PREENGAGE",IF($E804="ATTRIBUE",'ENGAGEMENTS 2026'!AE804,'ENGAGEMENTS 2026'!O804),'ENGAGEMENTS 2026'!AE804))))</f>
        <v/>
      </c>
      <c r="K804" s="604">
        <f>IF(ISBLANK('ENGAGEMENTS 2026'!W804),"",'ENGAGEMENTS 2026'!W804)</f>
        <v/>
      </c>
      <c r="L804" s="276">
        <f>IF($K804="","",TODAY()-$K804)</f>
        <v/>
      </c>
      <c r="M804">
        <f>IF($A804="","",IF($H804="ENGAGE","Engagé",IF(AND($H804="NON ENGAGE",OR($I804="INFRUCTUEUX",$I804="ANNULE")),"Clôturé sans suite","En cours")))</f>
        <v/>
      </c>
      <c r="N804">
        <f>IF(ISBLANK('ENGAGEMENTS 2026'!C804),"",'ENGAGEMENTS 2026'!L804)</f>
        <v/>
      </c>
      <c r="O804">
        <f>IF(ISBLANK('ENGAGEMENTS 2026'!C804),"",'ENGAGEMENTS 2026'!M804)</f>
        <v/>
      </c>
      <c r="P804">
        <f>IF(ISBLANK('ENGAGEMENTS 2026'!C804),"",'ENGAGEMENTS 2026'!K804)</f>
        <v/>
      </c>
      <c r="Q804">
        <f>IF($A804="","",IF(OR($E804="INFRUCTUEUX",$E804="ANNULE"),$A804&amp;"|"&amp;(COUNTIFS($A$2:$A804,$A804,$E$2:$E804,"INFRUCTUEUX")+COUNTIFS($A$2:$A804,$A804,$E$2:$E804,"ANNULE")),""))</f>
        <v/>
      </c>
    </row>
    <row r="805">
      <c r="A805">
        <f>IF(ISBLANK('ENGAGEMENTS 2026'!C805),"",IF('ENGAGEMENTS 2026'!C805="DTSI","DCT",'ENGAGEMENTS 2026'!C805))</f>
        <v/>
      </c>
      <c r="B805">
        <f>IF(ISBLANK('ENGAGEMENTS 2026'!C805),"",'ENGAGEMENTS 2026'!D805)</f>
        <v/>
      </c>
      <c r="C805">
        <f>IF(ISBLANK('ENGAGEMENTS 2026'!C805),"",'ENGAGEMENTS 2026'!E805)</f>
        <v/>
      </c>
      <c r="D805">
        <f>IF(ISBLANK('ENGAGEMENTS 2026'!C805),"",'ENGAGEMENTS 2026'!G805)</f>
        <v/>
      </c>
      <c r="E805">
        <f>IF(ISBLANK('ENGAGEMENTS 2026'!C805),"",'ENGAGEMENTS 2026'!I805)</f>
        <v/>
      </c>
      <c r="F805">
        <f>IF(ISBLANK('ENGAGEMENTS 2026'!C805),"",'ENGAGEMENTS 2026'!J805)</f>
        <v/>
      </c>
      <c r="G805">
        <f>IF(ISBLANK('ENGAGEMENTS 2026'!C805),"",'ENGAGEMENTS 2026'!M805)</f>
        <v/>
      </c>
      <c r="H805">
        <f>IF(ISBLANK('ENGAGEMENTS 2026'!C805),"",'ENGAGEMENTS 2026'!AF805)</f>
        <v/>
      </c>
      <c r="I805">
        <f>IF(ISBLANK('ENGAGEMENTS 2026'!C805),"",'ENGAGEMENTS 2026'!H805)</f>
        <v/>
      </c>
      <c r="J805" s="275">
        <f>IF(ISBLANK('ENGAGEMENTS 2026'!C805),"",IF(AND(OR($E805="INFRUCTUEUX",$E805="ANNULE"),$C805="AOO-M"),'ENGAGEMENTS 2026'!P805,IF($H805="EN COURS DE PREENGAGEMENT",'ENGAGEMENTS 2026'!O805,IF($H805="PREENGAGE",IF($E805="ATTRIBUE",'ENGAGEMENTS 2026'!AE805,'ENGAGEMENTS 2026'!O805),'ENGAGEMENTS 2026'!AE805))))</f>
        <v/>
      </c>
      <c r="K805" s="604">
        <f>IF(ISBLANK('ENGAGEMENTS 2026'!W805),"",'ENGAGEMENTS 2026'!W805)</f>
        <v/>
      </c>
      <c r="L805" s="276">
        <f>IF($K805="","",TODAY()-$K805)</f>
        <v/>
      </c>
      <c r="M805">
        <f>IF($A805="","",IF($H805="ENGAGE","Engagé",IF(AND($H805="NON ENGAGE",OR($I805="INFRUCTUEUX",$I805="ANNULE")),"Clôturé sans suite","En cours")))</f>
        <v/>
      </c>
      <c r="N805">
        <f>IF(ISBLANK('ENGAGEMENTS 2026'!C805),"",'ENGAGEMENTS 2026'!L805)</f>
        <v/>
      </c>
      <c r="O805">
        <f>IF(ISBLANK('ENGAGEMENTS 2026'!C805),"",'ENGAGEMENTS 2026'!M805)</f>
        <v/>
      </c>
      <c r="P805">
        <f>IF(ISBLANK('ENGAGEMENTS 2026'!C805),"",'ENGAGEMENTS 2026'!K805)</f>
        <v/>
      </c>
      <c r="Q805">
        <f>IF($A805="","",IF(OR($E805="INFRUCTUEUX",$E805="ANNULE"),$A805&amp;"|"&amp;(COUNTIFS($A$2:$A805,$A805,$E$2:$E805,"INFRUCTUEUX")+COUNTIFS($A$2:$A805,$A805,$E$2:$E805,"ANNULE")),""))</f>
        <v/>
      </c>
    </row>
    <row r="806">
      <c r="A806">
        <f>IF(ISBLANK('ENGAGEMENTS 2026'!C806),"",IF('ENGAGEMENTS 2026'!C806="DTSI","DCT",'ENGAGEMENTS 2026'!C806))</f>
        <v/>
      </c>
      <c r="B806">
        <f>IF(ISBLANK('ENGAGEMENTS 2026'!C806),"",'ENGAGEMENTS 2026'!D806)</f>
        <v/>
      </c>
      <c r="C806">
        <f>IF(ISBLANK('ENGAGEMENTS 2026'!C806),"",'ENGAGEMENTS 2026'!E806)</f>
        <v/>
      </c>
      <c r="D806">
        <f>IF(ISBLANK('ENGAGEMENTS 2026'!C806),"",'ENGAGEMENTS 2026'!G806)</f>
        <v/>
      </c>
      <c r="E806">
        <f>IF(ISBLANK('ENGAGEMENTS 2026'!C806),"",'ENGAGEMENTS 2026'!I806)</f>
        <v/>
      </c>
      <c r="F806">
        <f>IF(ISBLANK('ENGAGEMENTS 2026'!C806),"",'ENGAGEMENTS 2026'!J806)</f>
        <v/>
      </c>
      <c r="G806">
        <f>IF(ISBLANK('ENGAGEMENTS 2026'!C806),"",'ENGAGEMENTS 2026'!M806)</f>
        <v/>
      </c>
      <c r="H806">
        <f>IF(ISBLANK('ENGAGEMENTS 2026'!C806),"",'ENGAGEMENTS 2026'!AF806)</f>
        <v/>
      </c>
      <c r="I806">
        <f>IF(ISBLANK('ENGAGEMENTS 2026'!C806),"",'ENGAGEMENTS 2026'!H806)</f>
        <v/>
      </c>
      <c r="J806" s="275">
        <f>IF(ISBLANK('ENGAGEMENTS 2026'!C806),"",IF(AND(OR($E806="INFRUCTUEUX",$E806="ANNULE"),$C806="AOO-M"),'ENGAGEMENTS 2026'!P806,IF($H806="EN COURS DE PREENGAGEMENT",'ENGAGEMENTS 2026'!O806,IF($H806="PREENGAGE",IF($E806="ATTRIBUE",'ENGAGEMENTS 2026'!AE806,'ENGAGEMENTS 2026'!O806),'ENGAGEMENTS 2026'!AE806))))</f>
        <v/>
      </c>
      <c r="K806" s="604">
        <f>IF(ISBLANK('ENGAGEMENTS 2026'!W806),"",'ENGAGEMENTS 2026'!W806)</f>
        <v/>
      </c>
      <c r="L806" s="276">
        <f>IF($K806="","",TODAY()-$K806)</f>
        <v/>
      </c>
      <c r="M806">
        <f>IF($A806="","",IF($H806="ENGAGE","Engagé",IF(AND($H806="NON ENGAGE",OR($I806="INFRUCTUEUX",$I806="ANNULE")),"Clôturé sans suite","En cours")))</f>
        <v/>
      </c>
      <c r="N806">
        <f>IF(ISBLANK('ENGAGEMENTS 2026'!C806),"",'ENGAGEMENTS 2026'!L806)</f>
        <v/>
      </c>
      <c r="O806">
        <f>IF(ISBLANK('ENGAGEMENTS 2026'!C806),"",'ENGAGEMENTS 2026'!M806)</f>
        <v/>
      </c>
      <c r="P806">
        <f>IF(ISBLANK('ENGAGEMENTS 2026'!C806),"",'ENGAGEMENTS 2026'!K806)</f>
        <v/>
      </c>
      <c r="Q806">
        <f>IF($A806="","",IF(OR($E806="INFRUCTUEUX",$E806="ANNULE"),$A806&amp;"|"&amp;(COUNTIFS($A$2:$A806,$A806,$E$2:$E806,"INFRUCTUEUX")+COUNTIFS($A$2:$A806,$A806,$E$2:$E806,"ANNULE")),""))</f>
        <v/>
      </c>
    </row>
    <row r="807">
      <c r="A807">
        <f>IF(ISBLANK('ENGAGEMENTS 2026'!C807),"",IF('ENGAGEMENTS 2026'!C807="DTSI","DCT",'ENGAGEMENTS 2026'!C807))</f>
        <v/>
      </c>
      <c r="B807">
        <f>IF(ISBLANK('ENGAGEMENTS 2026'!C807),"",'ENGAGEMENTS 2026'!D807)</f>
        <v/>
      </c>
      <c r="C807">
        <f>IF(ISBLANK('ENGAGEMENTS 2026'!C807),"",'ENGAGEMENTS 2026'!E807)</f>
        <v/>
      </c>
      <c r="D807">
        <f>IF(ISBLANK('ENGAGEMENTS 2026'!C807),"",'ENGAGEMENTS 2026'!G807)</f>
        <v/>
      </c>
      <c r="E807">
        <f>IF(ISBLANK('ENGAGEMENTS 2026'!C807),"",'ENGAGEMENTS 2026'!I807)</f>
        <v/>
      </c>
      <c r="F807">
        <f>IF(ISBLANK('ENGAGEMENTS 2026'!C807),"",'ENGAGEMENTS 2026'!J807)</f>
        <v/>
      </c>
      <c r="G807">
        <f>IF(ISBLANK('ENGAGEMENTS 2026'!C807),"",'ENGAGEMENTS 2026'!M807)</f>
        <v/>
      </c>
      <c r="H807">
        <f>IF(ISBLANK('ENGAGEMENTS 2026'!C807),"",'ENGAGEMENTS 2026'!AF807)</f>
        <v/>
      </c>
      <c r="I807">
        <f>IF(ISBLANK('ENGAGEMENTS 2026'!C807),"",'ENGAGEMENTS 2026'!H807)</f>
        <v/>
      </c>
      <c r="J807" s="275">
        <f>IF(ISBLANK('ENGAGEMENTS 2026'!C807),"",IF(AND(OR($E807="INFRUCTUEUX",$E807="ANNULE"),$C807="AOO-M"),'ENGAGEMENTS 2026'!P807,IF($H807="EN COURS DE PREENGAGEMENT",'ENGAGEMENTS 2026'!O807,IF($H807="PREENGAGE",IF($E807="ATTRIBUE",'ENGAGEMENTS 2026'!AE807,'ENGAGEMENTS 2026'!O807),'ENGAGEMENTS 2026'!AE807))))</f>
        <v/>
      </c>
      <c r="K807" s="604">
        <f>IF(ISBLANK('ENGAGEMENTS 2026'!W807),"",'ENGAGEMENTS 2026'!W807)</f>
        <v/>
      </c>
      <c r="L807" s="276">
        <f>IF($K807="","",TODAY()-$K807)</f>
        <v/>
      </c>
      <c r="M807">
        <f>IF($A807="","",IF($H807="ENGAGE","Engagé",IF(AND($H807="NON ENGAGE",OR($I807="INFRUCTUEUX",$I807="ANNULE")),"Clôturé sans suite","En cours")))</f>
        <v/>
      </c>
      <c r="N807">
        <f>IF(ISBLANK('ENGAGEMENTS 2026'!C807),"",'ENGAGEMENTS 2026'!L807)</f>
        <v/>
      </c>
      <c r="O807">
        <f>IF(ISBLANK('ENGAGEMENTS 2026'!C807),"",'ENGAGEMENTS 2026'!M807)</f>
        <v/>
      </c>
      <c r="P807">
        <f>IF(ISBLANK('ENGAGEMENTS 2026'!C807),"",'ENGAGEMENTS 2026'!K807)</f>
        <v/>
      </c>
      <c r="Q807">
        <f>IF($A807="","",IF(OR($E807="INFRUCTUEUX",$E807="ANNULE"),$A807&amp;"|"&amp;(COUNTIFS($A$2:$A807,$A807,$E$2:$E807,"INFRUCTUEUX")+COUNTIFS($A$2:$A807,$A807,$E$2:$E807,"ANNULE")),""))</f>
        <v/>
      </c>
    </row>
    <row r="808">
      <c r="A808">
        <f>IF(ISBLANK('ENGAGEMENTS 2026'!C808),"",IF('ENGAGEMENTS 2026'!C808="DTSI","DCT",'ENGAGEMENTS 2026'!C808))</f>
        <v/>
      </c>
      <c r="B808">
        <f>IF(ISBLANK('ENGAGEMENTS 2026'!C808),"",'ENGAGEMENTS 2026'!D808)</f>
        <v/>
      </c>
      <c r="C808">
        <f>IF(ISBLANK('ENGAGEMENTS 2026'!C808),"",'ENGAGEMENTS 2026'!E808)</f>
        <v/>
      </c>
      <c r="D808">
        <f>IF(ISBLANK('ENGAGEMENTS 2026'!C808),"",'ENGAGEMENTS 2026'!G808)</f>
        <v/>
      </c>
      <c r="E808">
        <f>IF(ISBLANK('ENGAGEMENTS 2026'!C808),"",'ENGAGEMENTS 2026'!I808)</f>
        <v/>
      </c>
      <c r="F808">
        <f>IF(ISBLANK('ENGAGEMENTS 2026'!C808),"",'ENGAGEMENTS 2026'!J808)</f>
        <v/>
      </c>
      <c r="G808">
        <f>IF(ISBLANK('ENGAGEMENTS 2026'!C808),"",'ENGAGEMENTS 2026'!M808)</f>
        <v/>
      </c>
      <c r="H808">
        <f>IF(ISBLANK('ENGAGEMENTS 2026'!C808),"",'ENGAGEMENTS 2026'!AF808)</f>
        <v/>
      </c>
      <c r="I808">
        <f>IF(ISBLANK('ENGAGEMENTS 2026'!C808),"",'ENGAGEMENTS 2026'!H808)</f>
        <v/>
      </c>
      <c r="J808" s="275">
        <f>IF(ISBLANK('ENGAGEMENTS 2026'!C808),"",IF(AND(OR($E808="INFRUCTUEUX",$E808="ANNULE"),$C808="AOO-M"),'ENGAGEMENTS 2026'!P808,IF($H808="EN COURS DE PREENGAGEMENT",'ENGAGEMENTS 2026'!O808,IF($H808="PREENGAGE",IF($E808="ATTRIBUE",'ENGAGEMENTS 2026'!AE808,'ENGAGEMENTS 2026'!O808),'ENGAGEMENTS 2026'!AE808))))</f>
        <v/>
      </c>
      <c r="K808" s="604">
        <f>IF(ISBLANK('ENGAGEMENTS 2026'!W808),"",'ENGAGEMENTS 2026'!W808)</f>
        <v/>
      </c>
      <c r="L808" s="276">
        <f>IF($K808="","",TODAY()-$K808)</f>
        <v/>
      </c>
      <c r="M808">
        <f>IF($A808="","",IF($H808="ENGAGE","Engagé",IF(AND($H808="NON ENGAGE",OR($I808="INFRUCTUEUX",$I808="ANNULE")),"Clôturé sans suite","En cours")))</f>
        <v/>
      </c>
      <c r="N808">
        <f>IF(ISBLANK('ENGAGEMENTS 2026'!C808),"",'ENGAGEMENTS 2026'!L808)</f>
        <v/>
      </c>
      <c r="O808">
        <f>IF(ISBLANK('ENGAGEMENTS 2026'!C808),"",'ENGAGEMENTS 2026'!M808)</f>
        <v/>
      </c>
      <c r="P808">
        <f>IF(ISBLANK('ENGAGEMENTS 2026'!C808),"",'ENGAGEMENTS 2026'!K808)</f>
        <v/>
      </c>
      <c r="Q808">
        <f>IF($A808="","",IF(OR($E808="INFRUCTUEUX",$E808="ANNULE"),$A808&amp;"|"&amp;(COUNTIFS($A$2:$A808,$A808,$E$2:$E808,"INFRUCTUEUX")+COUNTIFS($A$2:$A808,$A808,$E$2:$E808,"ANNULE")),""))</f>
        <v/>
      </c>
    </row>
    <row r="809">
      <c r="A809">
        <f>IF(ISBLANK('ENGAGEMENTS 2026'!C809),"",IF('ENGAGEMENTS 2026'!C809="DTSI","DCT",'ENGAGEMENTS 2026'!C809))</f>
        <v/>
      </c>
      <c r="B809">
        <f>IF(ISBLANK('ENGAGEMENTS 2026'!C809),"",'ENGAGEMENTS 2026'!D809)</f>
        <v/>
      </c>
      <c r="C809">
        <f>IF(ISBLANK('ENGAGEMENTS 2026'!C809),"",'ENGAGEMENTS 2026'!E809)</f>
        <v/>
      </c>
      <c r="D809">
        <f>IF(ISBLANK('ENGAGEMENTS 2026'!C809),"",'ENGAGEMENTS 2026'!G809)</f>
        <v/>
      </c>
      <c r="E809">
        <f>IF(ISBLANK('ENGAGEMENTS 2026'!C809),"",'ENGAGEMENTS 2026'!I809)</f>
        <v/>
      </c>
      <c r="F809">
        <f>IF(ISBLANK('ENGAGEMENTS 2026'!C809),"",'ENGAGEMENTS 2026'!J809)</f>
        <v/>
      </c>
      <c r="G809">
        <f>IF(ISBLANK('ENGAGEMENTS 2026'!C809),"",'ENGAGEMENTS 2026'!M809)</f>
        <v/>
      </c>
      <c r="H809">
        <f>IF(ISBLANK('ENGAGEMENTS 2026'!C809),"",'ENGAGEMENTS 2026'!AF809)</f>
        <v/>
      </c>
      <c r="I809">
        <f>IF(ISBLANK('ENGAGEMENTS 2026'!C809),"",'ENGAGEMENTS 2026'!H809)</f>
        <v/>
      </c>
      <c r="J809" s="275">
        <f>IF(ISBLANK('ENGAGEMENTS 2026'!C809),"",IF(AND(OR($E809="INFRUCTUEUX",$E809="ANNULE"),$C809="AOO-M"),'ENGAGEMENTS 2026'!P809,IF($H809="EN COURS DE PREENGAGEMENT",'ENGAGEMENTS 2026'!O809,IF($H809="PREENGAGE",IF($E809="ATTRIBUE",'ENGAGEMENTS 2026'!AE809,'ENGAGEMENTS 2026'!O809),'ENGAGEMENTS 2026'!AE809))))</f>
        <v/>
      </c>
      <c r="K809" s="604">
        <f>IF(ISBLANK('ENGAGEMENTS 2026'!W809),"",'ENGAGEMENTS 2026'!W809)</f>
        <v/>
      </c>
      <c r="L809" s="276">
        <f>IF($K809="","",TODAY()-$K809)</f>
        <v/>
      </c>
      <c r="M809">
        <f>IF($A809="","",IF($H809="ENGAGE","Engagé",IF(AND($H809="NON ENGAGE",OR($I809="INFRUCTUEUX",$I809="ANNULE")),"Clôturé sans suite","En cours")))</f>
        <v/>
      </c>
      <c r="N809">
        <f>IF(ISBLANK('ENGAGEMENTS 2026'!C809),"",'ENGAGEMENTS 2026'!L809)</f>
        <v/>
      </c>
      <c r="O809">
        <f>IF(ISBLANK('ENGAGEMENTS 2026'!C809),"",'ENGAGEMENTS 2026'!M809)</f>
        <v/>
      </c>
      <c r="P809">
        <f>IF(ISBLANK('ENGAGEMENTS 2026'!C809),"",'ENGAGEMENTS 2026'!K809)</f>
        <v/>
      </c>
      <c r="Q809">
        <f>IF($A809="","",IF(OR($E809="INFRUCTUEUX",$E809="ANNULE"),$A809&amp;"|"&amp;(COUNTIFS($A$2:$A809,$A809,$E$2:$E809,"INFRUCTUEUX")+COUNTIFS($A$2:$A809,$A809,$E$2:$E809,"ANNULE")),""))</f>
        <v/>
      </c>
    </row>
    <row r="810">
      <c r="A810">
        <f>IF(ISBLANK('ENGAGEMENTS 2026'!C810),"",IF('ENGAGEMENTS 2026'!C810="DTSI","DCT",'ENGAGEMENTS 2026'!C810))</f>
        <v/>
      </c>
      <c r="B810">
        <f>IF(ISBLANK('ENGAGEMENTS 2026'!C810),"",'ENGAGEMENTS 2026'!D810)</f>
        <v/>
      </c>
      <c r="C810">
        <f>IF(ISBLANK('ENGAGEMENTS 2026'!C810),"",'ENGAGEMENTS 2026'!E810)</f>
        <v/>
      </c>
      <c r="D810">
        <f>IF(ISBLANK('ENGAGEMENTS 2026'!C810),"",'ENGAGEMENTS 2026'!G810)</f>
        <v/>
      </c>
      <c r="E810">
        <f>IF(ISBLANK('ENGAGEMENTS 2026'!C810),"",'ENGAGEMENTS 2026'!I810)</f>
        <v/>
      </c>
      <c r="F810">
        <f>IF(ISBLANK('ENGAGEMENTS 2026'!C810),"",'ENGAGEMENTS 2026'!J810)</f>
        <v/>
      </c>
      <c r="G810">
        <f>IF(ISBLANK('ENGAGEMENTS 2026'!C810),"",'ENGAGEMENTS 2026'!M810)</f>
        <v/>
      </c>
      <c r="H810">
        <f>IF(ISBLANK('ENGAGEMENTS 2026'!C810),"",'ENGAGEMENTS 2026'!AF810)</f>
        <v/>
      </c>
      <c r="I810">
        <f>IF(ISBLANK('ENGAGEMENTS 2026'!C810),"",'ENGAGEMENTS 2026'!H810)</f>
        <v/>
      </c>
      <c r="J810" s="275">
        <f>IF(ISBLANK('ENGAGEMENTS 2026'!C810),"",IF(AND(OR($E810="INFRUCTUEUX",$E810="ANNULE"),$C810="AOO-M"),'ENGAGEMENTS 2026'!P810,IF($H810="EN COURS DE PREENGAGEMENT",'ENGAGEMENTS 2026'!O810,IF($H810="PREENGAGE",IF($E810="ATTRIBUE",'ENGAGEMENTS 2026'!AE810,'ENGAGEMENTS 2026'!O810),'ENGAGEMENTS 2026'!AE810))))</f>
        <v/>
      </c>
      <c r="K810" s="604">
        <f>IF(ISBLANK('ENGAGEMENTS 2026'!W810),"",'ENGAGEMENTS 2026'!W810)</f>
        <v/>
      </c>
      <c r="L810" s="276">
        <f>IF($K810="","",TODAY()-$K810)</f>
        <v/>
      </c>
      <c r="M810">
        <f>IF($A810="","",IF($H810="ENGAGE","Engagé",IF(AND($H810="NON ENGAGE",OR($I810="INFRUCTUEUX",$I810="ANNULE")),"Clôturé sans suite","En cours")))</f>
        <v/>
      </c>
      <c r="N810">
        <f>IF(ISBLANK('ENGAGEMENTS 2026'!C810),"",'ENGAGEMENTS 2026'!L810)</f>
        <v/>
      </c>
      <c r="O810">
        <f>IF(ISBLANK('ENGAGEMENTS 2026'!C810),"",'ENGAGEMENTS 2026'!M810)</f>
        <v/>
      </c>
      <c r="P810">
        <f>IF(ISBLANK('ENGAGEMENTS 2026'!C810),"",'ENGAGEMENTS 2026'!K810)</f>
        <v/>
      </c>
      <c r="Q810">
        <f>IF($A810="","",IF(OR($E810="INFRUCTUEUX",$E810="ANNULE"),$A810&amp;"|"&amp;(COUNTIFS($A$2:$A810,$A810,$E$2:$E810,"INFRUCTUEUX")+COUNTIFS($A$2:$A810,$A810,$E$2:$E810,"ANNULE")),""))</f>
        <v/>
      </c>
    </row>
    <row r="811">
      <c r="A811">
        <f>IF(ISBLANK('ENGAGEMENTS 2026'!C811),"",IF('ENGAGEMENTS 2026'!C811="DTSI","DCT",'ENGAGEMENTS 2026'!C811))</f>
        <v/>
      </c>
      <c r="B811">
        <f>IF(ISBLANK('ENGAGEMENTS 2026'!C811),"",'ENGAGEMENTS 2026'!D811)</f>
        <v/>
      </c>
      <c r="C811">
        <f>IF(ISBLANK('ENGAGEMENTS 2026'!C811),"",'ENGAGEMENTS 2026'!E811)</f>
        <v/>
      </c>
      <c r="D811">
        <f>IF(ISBLANK('ENGAGEMENTS 2026'!C811),"",'ENGAGEMENTS 2026'!G811)</f>
        <v/>
      </c>
      <c r="E811">
        <f>IF(ISBLANK('ENGAGEMENTS 2026'!C811),"",'ENGAGEMENTS 2026'!I811)</f>
        <v/>
      </c>
      <c r="F811">
        <f>IF(ISBLANK('ENGAGEMENTS 2026'!C811),"",'ENGAGEMENTS 2026'!J811)</f>
        <v/>
      </c>
      <c r="G811">
        <f>IF(ISBLANK('ENGAGEMENTS 2026'!C811),"",'ENGAGEMENTS 2026'!M811)</f>
        <v/>
      </c>
      <c r="H811">
        <f>IF(ISBLANK('ENGAGEMENTS 2026'!C811),"",'ENGAGEMENTS 2026'!AF811)</f>
        <v/>
      </c>
      <c r="I811">
        <f>IF(ISBLANK('ENGAGEMENTS 2026'!C811),"",'ENGAGEMENTS 2026'!H811)</f>
        <v/>
      </c>
      <c r="J811" s="275">
        <f>IF(ISBLANK('ENGAGEMENTS 2026'!C811),"",IF(AND(OR($E811="INFRUCTUEUX",$E811="ANNULE"),$C811="AOO-M"),'ENGAGEMENTS 2026'!P811,IF($H811="EN COURS DE PREENGAGEMENT",'ENGAGEMENTS 2026'!O811,IF($H811="PREENGAGE",IF($E811="ATTRIBUE",'ENGAGEMENTS 2026'!AE811,'ENGAGEMENTS 2026'!O811),'ENGAGEMENTS 2026'!AE811))))</f>
        <v/>
      </c>
      <c r="K811" s="604">
        <f>IF(ISBLANK('ENGAGEMENTS 2026'!W811),"",'ENGAGEMENTS 2026'!W811)</f>
        <v/>
      </c>
      <c r="L811" s="276">
        <f>IF($K811="","",TODAY()-$K811)</f>
        <v/>
      </c>
      <c r="M811">
        <f>IF($A811="","",IF($H811="ENGAGE","Engagé",IF(AND($H811="NON ENGAGE",OR($I811="INFRUCTUEUX",$I811="ANNULE")),"Clôturé sans suite","En cours")))</f>
        <v/>
      </c>
      <c r="N811">
        <f>IF(ISBLANK('ENGAGEMENTS 2026'!C811),"",'ENGAGEMENTS 2026'!L811)</f>
        <v/>
      </c>
      <c r="O811">
        <f>IF(ISBLANK('ENGAGEMENTS 2026'!C811),"",'ENGAGEMENTS 2026'!M811)</f>
        <v/>
      </c>
      <c r="P811">
        <f>IF(ISBLANK('ENGAGEMENTS 2026'!C811),"",'ENGAGEMENTS 2026'!K811)</f>
        <v/>
      </c>
      <c r="Q811">
        <f>IF($A811="","",IF(OR($E811="INFRUCTUEUX",$E811="ANNULE"),$A811&amp;"|"&amp;(COUNTIFS($A$2:$A811,$A811,$E$2:$E811,"INFRUCTUEUX")+COUNTIFS($A$2:$A811,$A811,$E$2:$E811,"ANNULE")),""))</f>
        <v/>
      </c>
    </row>
    <row r="812">
      <c r="A812">
        <f>IF(ISBLANK('ENGAGEMENTS 2026'!C812),"",IF('ENGAGEMENTS 2026'!C812="DTSI","DCT",'ENGAGEMENTS 2026'!C812))</f>
        <v/>
      </c>
      <c r="B812">
        <f>IF(ISBLANK('ENGAGEMENTS 2026'!C812),"",'ENGAGEMENTS 2026'!D812)</f>
        <v/>
      </c>
      <c r="C812">
        <f>IF(ISBLANK('ENGAGEMENTS 2026'!C812),"",'ENGAGEMENTS 2026'!E812)</f>
        <v/>
      </c>
      <c r="D812">
        <f>IF(ISBLANK('ENGAGEMENTS 2026'!C812),"",'ENGAGEMENTS 2026'!G812)</f>
        <v/>
      </c>
      <c r="E812">
        <f>IF(ISBLANK('ENGAGEMENTS 2026'!C812),"",'ENGAGEMENTS 2026'!I812)</f>
        <v/>
      </c>
      <c r="F812">
        <f>IF(ISBLANK('ENGAGEMENTS 2026'!C812),"",'ENGAGEMENTS 2026'!J812)</f>
        <v/>
      </c>
      <c r="G812">
        <f>IF(ISBLANK('ENGAGEMENTS 2026'!C812),"",'ENGAGEMENTS 2026'!M812)</f>
        <v/>
      </c>
      <c r="H812">
        <f>IF(ISBLANK('ENGAGEMENTS 2026'!C812),"",'ENGAGEMENTS 2026'!AF812)</f>
        <v/>
      </c>
      <c r="I812">
        <f>IF(ISBLANK('ENGAGEMENTS 2026'!C812),"",'ENGAGEMENTS 2026'!H812)</f>
        <v/>
      </c>
      <c r="J812" s="275">
        <f>IF(ISBLANK('ENGAGEMENTS 2026'!C812),"",IF(AND(OR($E812="INFRUCTUEUX",$E812="ANNULE"),$C812="AOO-M"),'ENGAGEMENTS 2026'!P812,IF($H812="EN COURS DE PREENGAGEMENT",'ENGAGEMENTS 2026'!O812,IF($H812="PREENGAGE",IF($E812="ATTRIBUE",'ENGAGEMENTS 2026'!AE812,'ENGAGEMENTS 2026'!O812),'ENGAGEMENTS 2026'!AE812))))</f>
        <v/>
      </c>
      <c r="K812" s="604">
        <f>IF(ISBLANK('ENGAGEMENTS 2026'!W812),"",'ENGAGEMENTS 2026'!W812)</f>
        <v/>
      </c>
      <c r="L812" s="276">
        <f>IF($K812="","",TODAY()-$K812)</f>
        <v/>
      </c>
      <c r="M812">
        <f>IF($A812="","",IF($H812="ENGAGE","Engagé",IF(AND($H812="NON ENGAGE",OR($I812="INFRUCTUEUX",$I812="ANNULE")),"Clôturé sans suite","En cours")))</f>
        <v/>
      </c>
      <c r="N812">
        <f>IF(ISBLANK('ENGAGEMENTS 2026'!C812),"",'ENGAGEMENTS 2026'!L812)</f>
        <v/>
      </c>
      <c r="O812">
        <f>IF(ISBLANK('ENGAGEMENTS 2026'!C812),"",'ENGAGEMENTS 2026'!M812)</f>
        <v/>
      </c>
      <c r="P812">
        <f>IF(ISBLANK('ENGAGEMENTS 2026'!C812),"",'ENGAGEMENTS 2026'!K812)</f>
        <v/>
      </c>
      <c r="Q812">
        <f>IF($A812="","",IF(OR($E812="INFRUCTUEUX",$E812="ANNULE"),$A812&amp;"|"&amp;(COUNTIFS($A$2:$A812,$A812,$E$2:$E812,"INFRUCTUEUX")+COUNTIFS($A$2:$A812,$A812,$E$2:$E812,"ANNULE")),""))</f>
        <v/>
      </c>
    </row>
    <row r="813">
      <c r="A813">
        <f>IF(ISBLANK('ENGAGEMENTS 2026'!C813),"",IF('ENGAGEMENTS 2026'!C813="DTSI","DCT",'ENGAGEMENTS 2026'!C813))</f>
        <v/>
      </c>
      <c r="B813">
        <f>IF(ISBLANK('ENGAGEMENTS 2026'!C813),"",'ENGAGEMENTS 2026'!D813)</f>
        <v/>
      </c>
      <c r="C813">
        <f>IF(ISBLANK('ENGAGEMENTS 2026'!C813),"",'ENGAGEMENTS 2026'!E813)</f>
        <v/>
      </c>
      <c r="D813">
        <f>IF(ISBLANK('ENGAGEMENTS 2026'!C813),"",'ENGAGEMENTS 2026'!G813)</f>
        <v/>
      </c>
      <c r="E813">
        <f>IF(ISBLANK('ENGAGEMENTS 2026'!C813),"",'ENGAGEMENTS 2026'!I813)</f>
        <v/>
      </c>
      <c r="F813">
        <f>IF(ISBLANK('ENGAGEMENTS 2026'!C813),"",'ENGAGEMENTS 2026'!J813)</f>
        <v/>
      </c>
      <c r="G813">
        <f>IF(ISBLANK('ENGAGEMENTS 2026'!C813),"",'ENGAGEMENTS 2026'!M813)</f>
        <v/>
      </c>
      <c r="H813">
        <f>IF(ISBLANK('ENGAGEMENTS 2026'!C813),"",'ENGAGEMENTS 2026'!AF813)</f>
        <v/>
      </c>
      <c r="I813">
        <f>IF(ISBLANK('ENGAGEMENTS 2026'!C813),"",'ENGAGEMENTS 2026'!H813)</f>
        <v/>
      </c>
      <c r="J813" s="275">
        <f>IF(ISBLANK('ENGAGEMENTS 2026'!C813),"",IF(AND(OR($E813="INFRUCTUEUX",$E813="ANNULE"),$C813="AOO-M"),'ENGAGEMENTS 2026'!P813,IF($H813="EN COURS DE PREENGAGEMENT",'ENGAGEMENTS 2026'!O813,IF($H813="PREENGAGE",IF($E813="ATTRIBUE",'ENGAGEMENTS 2026'!AE813,'ENGAGEMENTS 2026'!O813),'ENGAGEMENTS 2026'!AE813))))</f>
        <v/>
      </c>
      <c r="K813" s="604">
        <f>IF(ISBLANK('ENGAGEMENTS 2026'!W813),"",'ENGAGEMENTS 2026'!W813)</f>
        <v/>
      </c>
      <c r="L813" s="276">
        <f>IF($K813="","",TODAY()-$K813)</f>
        <v/>
      </c>
      <c r="M813">
        <f>IF($A813="","",IF($H813="ENGAGE","Engagé",IF(AND($H813="NON ENGAGE",OR($I813="INFRUCTUEUX",$I813="ANNULE")),"Clôturé sans suite","En cours")))</f>
        <v/>
      </c>
      <c r="N813">
        <f>IF(ISBLANK('ENGAGEMENTS 2026'!C813),"",'ENGAGEMENTS 2026'!L813)</f>
        <v/>
      </c>
      <c r="O813">
        <f>IF(ISBLANK('ENGAGEMENTS 2026'!C813),"",'ENGAGEMENTS 2026'!M813)</f>
        <v/>
      </c>
      <c r="P813">
        <f>IF(ISBLANK('ENGAGEMENTS 2026'!C813),"",'ENGAGEMENTS 2026'!K813)</f>
        <v/>
      </c>
      <c r="Q813">
        <f>IF($A813="","",IF(OR($E813="INFRUCTUEUX",$E813="ANNULE"),$A813&amp;"|"&amp;(COUNTIFS($A$2:$A813,$A813,$E$2:$E813,"INFRUCTUEUX")+COUNTIFS($A$2:$A813,$A813,$E$2:$E813,"ANNULE")),""))</f>
        <v/>
      </c>
    </row>
    <row r="814">
      <c r="A814">
        <f>IF(ISBLANK('ENGAGEMENTS 2026'!C814),"",IF('ENGAGEMENTS 2026'!C814="DTSI","DCT",'ENGAGEMENTS 2026'!C814))</f>
        <v/>
      </c>
      <c r="B814">
        <f>IF(ISBLANK('ENGAGEMENTS 2026'!C814),"",'ENGAGEMENTS 2026'!D814)</f>
        <v/>
      </c>
      <c r="C814">
        <f>IF(ISBLANK('ENGAGEMENTS 2026'!C814),"",'ENGAGEMENTS 2026'!E814)</f>
        <v/>
      </c>
      <c r="D814">
        <f>IF(ISBLANK('ENGAGEMENTS 2026'!C814),"",'ENGAGEMENTS 2026'!G814)</f>
        <v/>
      </c>
      <c r="E814">
        <f>IF(ISBLANK('ENGAGEMENTS 2026'!C814),"",'ENGAGEMENTS 2026'!I814)</f>
        <v/>
      </c>
      <c r="F814">
        <f>IF(ISBLANK('ENGAGEMENTS 2026'!C814),"",'ENGAGEMENTS 2026'!J814)</f>
        <v/>
      </c>
      <c r="G814">
        <f>IF(ISBLANK('ENGAGEMENTS 2026'!C814),"",'ENGAGEMENTS 2026'!M814)</f>
        <v/>
      </c>
      <c r="H814">
        <f>IF(ISBLANK('ENGAGEMENTS 2026'!C814),"",'ENGAGEMENTS 2026'!AF814)</f>
        <v/>
      </c>
      <c r="I814">
        <f>IF(ISBLANK('ENGAGEMENTS 2026'!C814),"",'ENGAGEMENTS 2026'!H814)</f>
        <v/>
      </c>
      <c r="J814" s="275">
        <f>IF(ISBLANK('ENGAGEMENTS 2026'!C814),"",IF(AND(OR($E814="INFRUCTUEUX",$E814="ANNULE"),$C814="AOO-M"),'ENGAGEMENTS 2026'!P814,IF($H814="EN COURS DE PREENGAGEMENT",'ENGAGEMENTS 2026'!O814,IF($H814="PREENGAGE",IF($E814="ATTRIBUE",'ENGAGEMENTS 2026'!AE814,'ENGAGEMENTS 2026'!O814),'ENGAGEMENTS 2026'!AE814))))</f>
        <v/>
      </c>
      <c r="K814" s="604">
        <f>IF(ISBLANK('ENGAGEMENTS 2026'!W814),"",'ENGAGEMENTS 2026'!W814)</f>
        <v/>
      </c>
      <c r="L814" s="276">
        <f>IF($K814="","",TODAY()-$K814)</f>
        <v/>
      </c>
      <c r="M814">
        <f>IF($A814="","",IF($H814="ENGAGE","Engagé",IF(AND($H814="NON ENGAGE",OR($I814="INFRUCTUEUX",$I814="ANNULE")),"Clôturé sans suite","En cours")))</f>
        <v/>
      </c>
      <c r="N814">
        <f>IF(ISBLANK('ENGAGEMENTS 2026'!C814),"",'ENGAGEMENTS 2026'!L814)</f>
        <v/>
      </c>
      <c r="O814">
        <f>IF(ISBLANK('ENGAGEMENTS 2026'!C814),"",'ENGAGEMENTS 2026'!M814)</f>
        <v/>
      </c>
      <c r="P814">
        <f>IF(ISBLANK('ENGAGEMENTS 2026'!C814),"",'ENGAGEMENTS 2026'!K814)</f>
        <v/>
      </c>
      <c r="Q814">
        <f>IF($A814="","",IF(OR($E814="INFRUCTUEUX",$E814="ANNULE"),$A814&amp;"|"&amp;(COUNTIFS($A$2:$A814,$A814,$E$2:$E814,"INFRUCTUEUX")+COUNTIFS($A$2:$A814,$A814,$E$2:$E814,"ANNULE")),""))</f>
        <v/>
      </c>
    </row>
    <row r="815">
      <c r="A815">
        <f>IF(ISBLANK('ENGAGEMENTS 2026'!C815),"",IF('ENGAGEMENTS 2026'!C815="DTSI","DCT",'ENGAGEMENTS 2026'!C815))</f>
        <v/>
      </c>
      <c r="B815">
        <f>IF(ISBLANK('ENGAGEMENTS 2026'!C815),"",'ENGAGEMENTS 2026'!D815)</f>
        <v/>
      </c>
      <c r="C815">
        <f>IF(ISBLANK('ENGAGEMENTS 2026'!C815),"",'ENGAGEMENTS 2026'!E815)</f>
        <v/>
      </c>
      <c r="D815">
        <f>IF(ISBLANK('ENGAGEMENTS 2026'!C815),"",'ENGAGEMENTS 2026'!G815)</f>
        <v/>
      </c>
      <c r="E815">
        <f>IF(ISBLANK('ENGAGEMENTS 2026'!C815),"",'ENGAGEMENTS 2026'!I815)</f>
        <v/>
      </c>
      <c r="F815">
        <f>IF(ISBLANK('ENGAGEMENTS 2026'!C815),"",'ENGAGEMENTS 2026'!J815)</f>
        <v/>
      </c>
      <c r="G815">
        <f>IF(ISBLANK('ENGAGEMENTS 2026'!C815),"",'ENGAGEMENTS 2026'!M815)</f>
        <v/>
      </c>
      <c r="H815">
        <f>IF(ISBLANK('ENGAGEMENTS 2026'!C815),"",'ENGAGEMENTS 2026'!AF815)</f>
        <v/>
      </c>
      <c r="I815">
        <f>IF(ISBLANK('ENGAGEMENTS 2026'!C815),"",'ENGAGEMENTS 2026'!H815)</f>
        <v/>
      </c>
      <c r="J815" s="275">
        <f>IF(ISBLANK('ENGAGEMENTS 2026'!C815),"",IF(AND(OR($E815="INFRUCTUEUX",$E815="ANNULE"),$C815="AOO-M"),'ENGAGEMENTS 2026'!P815,IF($H815="EN COURS DE PREENGAGEMENT",'ENGAGEMENTS 2026'!O815,IF($H815="PREENGAGE",IF($E815="ATTRIBUE",'ENGAGEMENTS 2026'!AE815,'ENGAGEMENTS 2026'!O815),'ENGAGEMENTS 2026'!AE815))))</f>
        <v/>
      </c>
      <c r="K815" s="604">
        <f>IF(ISBLANK('ENGAGEMENTS 2026'!W815),"",'ENGAGEMENTS 2026'!W815)</f>
        <v/>
      </c>
      <c r="L815" s="276">
        <f>IF($K815="","",TODAY()-$K815)</f>
        <v/>
      </c>
      <c r="M815">
        <f>IF($A815="","",IF($H815="ENGAGE","Engagé",IF(AND($H815="NON ENGAGE",OR($I815="INFRUCTUEUX",$I815="ANNULE")),"Clôturé sans suite","En cours")))</f>
        <v/>
      </c>
      <c r="N815">
        <f>IF(ISBLANK('ENGAGEMENTS 2026'!C815),"",'ENGAGEMENTS 2026'!L815)</f>
        <v/>
      </c>
      <c r="O815">
        <f>IF(ISBLANK('ENGAGEMENTS 2026'!C815),"",'ENGAGEMENTS 2026'!M815)</f>
        <v/>
      </c>
      <c r="P815">
        <f>IF(ISBLANK('ENGAGEMENTS 2026'!C815),"",'ENGAGEMENTS 2026'!K815)</f>
        <v/>
      </c>
      <c r="Q815">
        <f>IF($A815="","",IF(OR($E815="INFRUCTUEUX",$E815="ANNULE"),$A815&amp;"|"&amp;(COUNTIFS($A$2:$A815,$A815,$E$2:$E815,"INFRUCTUEUX")+COUNTIFS($A$2:$A815,$A815,$E$2:$E815,"ANNULE")),""))</f>
        <v/>
      </c>
    </row>
    <row r="816">
      <c r="A816">
        <f>IF(ISBLANK('ENGAGEMENTS 2026'!C816),"",IF('ENGAGEMENTS 2026'!C816="DTSI","DCT",'ENGAGEMENTS 2026'!C816))</f>
        <v/>
      </c>
      <c r="B816">
        <f>IF(ISBLANK('ENGAGEMENTS 2026'!C816),"",'ENGAGEMENTS 2026'!D816)</f>
        <v/>
      </c>
      <c r="C816">
        <f>IF(ISBLANK('ENGAGEMENTS 2026'!C816),"",'ENGAGEMENTS 2026'!E816)</f>
        <v/>
      </c>
      <c r="D816">
        <f>IF(ISBLANK('ENGAGEMENTS 2026'!C816),"",'ENGAGEMENTS 2026'!G816)</f>
        <v/>
      </c>
      <c r="E816">
        <f>IF(ISBLANK('ENGAGEMENTS 2026'!C816),"",'ENGAGEMENTS 2026'!I816)</f>
        <v/>
      </c>
      <c r="F816">
        <f>IF(ISBLANK('ENGAGEMENTS 2026'!C816),"",'ENGAGEMENTS 2026'!J816)</f>
        <v/>
      </c>
      <c r="G816">
        <f>IF(ISBLANK('ENGAGEMENTS 2026'!C816),"",'ENGAGEMENTS 2026'!M816)</f>
        <v/>
      </c>
      <c r="H816">
        <f>IF(ISBLANK('ENGAGEMENTS 2026'!C816),"",'ENGAGEMENTS 2026'!AF816)</f>
        <v/>
      </c>
      <c r="I816">
        <f>IF(ISBLANK('ENGAGEMENTS 2026'!C816),"",'ENGAGEMENTS 2026'!H816)</f>
        <v/>
      </c>
      <c r="J816" s="275">
        <f>IF(ISBLANK('ENGAGEMENTS 2026'!C816),"",IF(AND(OR($E816="INFRUCTUEUX",$E816="ANNULE"),$C816="AOO-M"),'ENGAGEMENTS 2026'!P816,IF($H816="EN COURS DE PREENGAGEMENT",'ENGAGEMENTS 2026'!O816,IF($H816="PREENGAGE",IF($E816="ATTRIBUE",'ENGAGEMENTS 2026'!AE816,'ENGAGEMENTS 2026'!O816),'ENGAGEMENTS 2026'!AE816))))</f>
        <v/>
      </c>
      <c r="K816" s="604">
        <f>IF(ISBLANK('ENGAGEMENTS 2026'!W816),"",'ENGAGEMENTS 2026'!W816)</f>
        <v/>
      </c>
      <c r="L816" s="276">
        <f>IF($K816="","",TODAY()-$K816)</f>
        <v/>
      </c>
      <c r="M816">
        <f>IF($A816="","",IF($H816="ENGAGE","Engagé",IF(AND($H816="NON ENGAGE",OR($I816="INFRUCTUEUX",$I816="ANNULE")),"Clôturé sans suite","En cours")))</f>
        <v/>
      </c>
      <c r="N816">
        <f>IF(ISBLANK('ENGAGEMENTS 2026'!C816),"",'ENGAGEMENTS 2026'!L816)</f>
        <v/>
      </c>
      <c r="O816">
        <f>IF(ISBLANK('ENGAGEMENTS 2026'!C816),"",'ENGAGEMENTS 2026'!M816)</f>
        <v/>
      </c>
      <c r="P816">
        <f>IF(ISBLANK('ENGAGEMENTS 2026'!C816),"",'ENGAGEMENTS 2026'!K816)</f>
        <v/>
      </c>
      <c r="Q816">
        <f>IF($A816="","",IF(OR($E816="INFRUCTUEUX",$E816="ANNULE"),$A816&amp;"|"&amp;(COUNTIFS($A$2:$A816,$A816,$E$2:$E816,"INFRUCTUEUX")+COUNTIFS($A$2:$A816,$A816,$E$2:$E816,"ANNULE")),""))</f>
        <v/>
      </c>
    </row>
    <row r="817">
      <c r="A817">
        <f>IF(ISBLANK('ENGAGEMENTS 2026'!C817),"",IF('ENGAGEMENTS 2026'!C817="DTSI","DCT",'ENGAGEMENTS 2026'!C817))</f>
        <v/>
      </c>
      <c r="B817">
        <f>IF(ISBLANK('ENGAGEMENTS 2026'!C817),"",'ENGAGEMENTS 2026'!D817)</f>
        <v/>
      </c>
      <c r="C817">
        <f>IF(ISBLANK('ENGAGEMENTS 2026'!C817),"",'ENGAGEMENTS 2026'!E817)</f>
        <v/>
      </c>
      <c r="D817">
        <f>IF(ISBLANK('ENGAGEMENTS 2026'!C817),"",'ENGAGEMENTS 2026'!G817)</f>
        <v/>
      </c>
      <c r="E817">
        <f>IF(ISBLANK('ENGAGEMENTS 2026'!C817),"",'ENGAGEMENTS 2026'!I817)</f>
        <v/>
      </c>
      <c r="F817">
        <f>IF(ISBLANK('ENGAGEMENTS 2026'!C817),"",'ENGAGEMENTS 2026'!J817)</f>
        <v/>
      </c>
      <c r="G817">
        <f>IF(ISBLANK('ENGAGEMENTS 2026'!C817),"",'ENGAGEMENTS 2026'!M817)</f>
        <v/>
      </c>
      <c r="H817">
        <f>IF(ISBLANK('ENGAGEMENTS 2026'!C817),"",'ENGAGEMENTS 2026'!AF817)</f>
        <v/>
      </c>
      <c r="I817">
        <f>IF(ISBLANK('ENGAGEMENTS 2026'!C817),"",'ENGAGEMENTS 2026'!H817)</f>
        <v/>
      </c>
      <c r="J817" s="275">
        <f>IF(ISBLANK('ENGAGEMENTS 2026'!C817),"",IF(AND(OR($E817="INFRUCTUEUX",$E817="ANNULE"),$C817="AOO-M"),'ENGAGEMENTS 2026'!P817,IF($H817="EN COURS DE PREENGAGEMENT",'ENGAGEMENTS 2026'!O817,IF($H817="PREENGAGE",IF($E817="ATTRIBUE",'ENGAGEMENTS 2026'!AE817,'ENGAGEMENTS 2026'!O817),'ENGAGEMENTS 2026'!AE817))))</f>
        <v/>
      </c>
      <c r="K817" s="604">
        <f>IF(ISBLANK('ENGAGEMENTS 2026'!W817),"",'ENGAGEMENTS 2026'!W817)</f>
        <v/>
      </c>
      <c r="L817" s="276">
        <f>IF($K817="","",TODAY()-$K817)</f>
        <v/>
      </c>
      <c r="M817">
        <f>IF($A817="","",IF($H817="ENGAGE","Engagé",IF(AND($H817="NON ENGAGE",OR($I817="INFRUCTUEUX",$I817="ANNULE")),"Clôturé sans suite","En cours")))</f>
        <v/>
      </c>
      <c r="N817">
        <f>IF(ISBLANK('ENGAGEMENTS 2026'!C817),"",'ENGAGEMENTS 2026'!L817)</f>
        <v/>
      </c>
      <c r="O817">
        <f>IF(ISBLANK('ENGAGEMENTS 2026'!C817),"",'ENGAGEMENTS 2026'!M817)</f>
        <v/>
      </c>
      <c r="P817">
        <f>IF(ISBLANK('ENGAGEMENTS 2026'!C817),"",'ENGAGEMENTS 2026'!K817)</f>
        <v/>
      </c>
      <c r="Q817">
        <f>IF($A817="","",IF(OR($E817="INFRUCTUEUX",$E817="ANNULE"),$A817&amp;"|"&amp;(COUNTIFS($A$2:$A817,$A817,$E$2:$E817,"INFRUCTUEUX")+COUNTIFS($A$2:$A817,$A817,$E$2:$E817,"ANNULE")),""))</f>
        <v/>
      </c>
    </row>
    <row r="818">
      <c r="A818">
        <f>IF(ISBLANK('ENGAGEMENTS 2026'!C818),"",IF('ENGAGEMENTS 2026'!C818="DTSI","DCT",'ENGAGEMENTS 2026'!C818))</f>
        <v/>
      </c>
      <c r="B818">
        <f>IF(ISBLANK('ENGAGEMENTS 2026'!C818),"",'ENGAGEMENTS 2026'!D818)</f>
        <v/>
      </c>
      <c r="C818">
        <f>IF(ISBLANK('ENGAGEMENTS 2026'!C818),"",'ENGAGEMENTS 2026'!E818)</f>
        <v/>
      </c>
      <c r="D818">
        <f>IF(ISBLANK('ENGAGEMENTS 2026'!C818),"",'ENGAGEMENTS 2026'!G818)</f>
        <v/>
      </c>
      <c r="E818">
        <f>IF(ISBLANK('ENGAGEMENTS 2026'!C818),"",'ENGAGEMENTS 2026'!I818)</f>
        <v/>
      </c>
      <c r="F818">
        <f>IF(ISBLANK('ENGAGEMENTS 2026'!C818),"",'ENGAGEMENTS 2026'!J818)</f>
        <v/>
      </c>
      <c r="G818">
        <f>IF(ISBLANK('ENGAGEMENTS 2026'!C818),"",'ENGAGEMENTS 2026'!M818)</f>
        <v/>
      </c>
      <c r="H818">
        <f>IF(ISBLANK('ENGAGEMENTS 2026'!C818),"",'ENGAGEMENTS 2026'!AF818)</f>
        <v/>
      </c>
      <c r="I818">
        <f>IF(ISBLANK('ENGAGEMENTS 2026'!C818),"",'ENGAGEMENTS 2026'!H818)</f>
        <v/>
      </c>
      <c r="J818" s="275">
        <f>IF(ISBLANK('ENGAGEMENTS 2026'!C818),"",IF(AND(OR($E818="INFRUCTUEUX",$E818="ANNULE"),$C818="AOO-M"),'ENGAGEMENTS 2026'!P818,IF($H818="EN COURS DE PREENGAGEMENT",'ENGAGEMENTS 2026'!O818,IF($H818="PREENGAGE",IF($E818="ATTRIBUE",'ENGAGEMENTS 2026'!AE818,'ENGAGEMENTS 2026'!O818),'ENGAGEMENTS 2026'!AE818))))</f>
        <v/>
      </c>
      <c r="K818" s="604">
        <f>IF(ISBLANK('ENGAGEMENTS 2026'!W818),"",'ENGAGEMENTS 2026'!W818)</f>
        <v/>
      </c>
      <c r="L818" s="276">
        <f>IF($K818="","",TODAY()-$K818)</f>
        <v/>
      </c>
      <c r="M818">
        <f>IF($A818="","",IF($H818="ENGAGE","Engagé",IF(AND($H818="NON ENGAGE",OR($I818="INFRUCTUEUX",$I818="ANNULE")),"Clôturé sans suite","En cours")))</f>
        <v/>
      </c>
      <c r="N818">
        <f>IF(ISBLANK('ENGAGEMENTS 2026'!C818),"",'ENGAGEMENTS 2026'!L818)</f>
        <v/>
      </c>
      <c r="O818">
        <f>IF(ISBLANK('ENGAGEMENTS 2026'!C818),"",'ENGAGEMENTS 2026'!M818)</f>
        <v/>
      </c>
      <c r="P818">
        <f>IF(ISBLANK('ENGAGEMENTS 2026'!C818),"",'ENGAGEMENTS 2026'!K818)</f>
        <v/>
      </c>
      <c r="Q818">
        <f>IF($A818="","",IF(OR($E818="INFRUCTUEUX",$E818="ANNULE"),$A818&amp;"|"&amp;(COUNTIFS($A$2:$A818,$A818,$E$2:$E818,"INFRUCTUEUX")+COUNTIFS($A$2:$A818,$A818,$E$2:$E818,"ANNULE")),""))</f>
        <v/>
      </c>
    </row>
    <row r="819">
      <c r="A819">
        <f>IF(ISBLANK('ENGAGEMENTS 2026'!C819),"",IF('ENGAGEMENTS 2026'!C819="DTSI","DCT",'ENGAGEMENTS 2026'!C819))</f>
        <v/>
      </c>
      <c r="B819">
        <f>IF(ISBLANK('ENGAGEMENTS 2026'!C819),"",'ENGAGEMENTS 2026'!D819)</f>
        <v/>
      </c>
      <c r="C819">
        <f>IF(ISBLANK('ENGAGEMENTS 2026'!C819),"",'ENGAGEMENTS 2026'!E819)</f>
        <v/>
      </c>
      <c r="D819">
        <f>IF(ISBLANK('ENGAGEMENTS 2026'!C819),"",'ENGAGEMENTS 2026'!G819)</f>
        <v/>
      </c>
      <c r="E819">
        <f>IF(ISBLANK('ENGAGEMENTS 2026'!C819),"",'ENGAGEMENTS 2026'!I819)</f>
        <v/>
      </c>
      <c r="F819">
        <f>IF(ISBLANK('ENGAGEMENTS 2026'!C819),"",'ENGAGEMENTS 2026'!J819)</f>
        <v/>
      </c>
      <c r="G819">
        <f>IF(ISBLANK('ENGAGEMENTS 2026'!C819),"",'ENGAGEMENTS 2026'!M819)</f>
        <v/>
      </c>
      <c r="H819">
        <f>IF(ISBLANK('ENGAGEMENTS 2026'!C819),"",'ENGAGEMENTS 2026'!AF819)</f>
        <v/>
      </c>
      <c r="I819">
        <f>IF(ISBLANK('ENGAGEMENTS 2026'!C819),"",'ENGAGEMENTS 2026'!H819)</f>
        <v/>
      </c>
      <c r="J819" s="275">
        <f>IF(ISBLANK('ENGAGEMENTS 2026'!C819),"",IF(AND(OR($E819="INFRUCTUEUX",$E819="ANNULE"),$C819="AOO-M"),'ENGAGEMENTS 2026'!P819,IF($H819="EN COURS DE PREENGAGEMENT",'ENGAGEMENTS 2026'!O819,IF($H819="PREENGAGE",IF($E819="ATTRIBUE",'ENGAGEMENTS 2026'!AE819,'ENGAGEMENTS 2026'!O819),'ENGAGEMENTS 2026'!AE819))))</f>
        <v/>
      </c>
      <c r="K819" s="604">
        <f>IF(ISBLANK('ENGAGEMENTS 2026'!W819),"",'ENGAGEMENTS 2026'!W819)</f>
        <v/>
      </c>
      <c r="L819" s="276">
        <f>IF($K819="","",TODAY()-$K819)</f>
        <v/>
      </c>
      <c r="M819">
        <f>IF($A819="","",IF($H819="ENGAGE","Engagé",IF(AND($H819="NON ENGAGE",OR($I819="INFRUCTUEUX",$I819="ANNULE")),"Clôturé sans suite","En cours")))</f>
        <v/>
      </c>
      <c r="N819">
        <f>IF(ISBLANK('ENGAGEMENTS 2026'!C819),"",'ENGAGEMENTS 2026'!L819)</f>
        <v/>
      </c>
      <c r="O819">
        <f>IF(ISBLANK('ENGAGEMENTS 2026'!C819),"",'ENGAGEMENTS 2026'!M819)</f>
        <v/>
      </c>
      <c r="P819">
        <f>IF(ISBLANK('ENGAGEMENTS 2026'!C819),"",'ENGAGEMENTS 2026'!K819)</f>
        <v/>
      </c>
      <c r="Q819">
        <f>IF($A819="","",IF(OR($E819="INFRUCTUEUX",$E819="ANNULE"),$A819&amp;"|"&amp;(COUNTIFS($A$2:$A819,$A819,$E$2:$E819,"INFRUCTUEUX")+COUNTIFS($A$2:$A819,$A819,$E$2:$E819,"ANNULE")),""))</f>
        <v/>
      </c>
    </row>
    <row r="820">
      <c r="A820">
        <f>IF(ISBLANK('ENGAGEMENTS 2026'!C820),"",IF('ENGAGEMENTS 2026'!C820="DTSI","DCT",'ENGAGEMENTS 2026'!C820))</f>
        <v/>
      </c>
      <c r="B820">
        <f>IF(ISBLANK('ENGAGEMENTS 2026'!C820),"",'ENGAGEMENTS 2026'!D820)</f>
        <v/>
      </c>
      <c r="C820">
        <f>IF(ISBLANK('ENGAGEMENTS 2026'!C820),"",'ENGAGEMENTS 2026'!E820)</f>
        <v/>
      </c>
      <c r="D820">
        <f>IF(ISBLANK('ENGAGEMENTS 2026'!C820),"",'ENGAGEMENTS 2026'!G820)</f>
        <v/>
      </c>
      <c r="E820">
        <f>IF(ISBLANK('ENGAGEMENTS 2026'!C820),"",'ENGAGEMENTS 2026'!I820)</f>
        <v/>
      </c>
      <c r="F820">
        <f>IF(ISBLANK('ENGAGEMENTS 2026'!C820),"",'ENGAGEMENTS 2026'!J820)</f>
        <v/>
      </c>
      <c r="G820">
        <f>IF(ISBLANK('ENGAGEMENTS 2026'!C820),"",'ENGAGEMENTS 2026'!M820)</f>
        <v/>
      </c>
      <c r="H820">
        <f>IF(ISBLANK('ENGAGEMENTS 2026'!C820),"",'ENGAGEMENTS 2026'!AF820)</f>
        <v/>
      </c>
      <c r="I820">
        <f>IF(ISBLANK('ENGAGEMENTS 2026'!C820),"",'ENGAGEMENTS 2026'!H820)</f>
        <v/>
      </c>
      <c r="J820" s="275">
        <f>IF(ISBLANK('ENGAGEMENTS 2026'!C820),"",IF(AND(OR($E820="INFRUCTUEUX",$E820="ANNULE"),$C820="AOO-M"),'ENGAGEMENTS 2026'!P820,IF($H820="EN COURS DE PREENGAGEMENT",'ENGAGEMENTS 2026'!O820,IF($H820="PREENGAGE",IF($E820="ATTRIBUE",'ENGAGEMENTS 2026'!AE820,'ENGAGEMENTS 2026'!O820),'ENGAGEMENTS 2026'!AE820))))</f>
        <v/>
      </c>
      <c r="K820" s="604">
        <f>IF(ISBLANK('ENGAGEMENTS 2026'!W820),"",'ENGAGEMENTS 2026'!W820)</f>
        <v/>
      </c>
      <c r="L820" s="276">
        <f>IF($K820="","",TODAY()-$K820)</f>
        <v/>
      </c>
      <c r="M820">
        <f>IF($A820="","",IF($H820="ENGAGE","Engagé",IF(AND($H820="NON ENGAGE",OR($I820="INFRUCTUEUX",$I820="ANNULE")),"Clôturé sans suite","En cours")))</f>
        <v/>
      </c>
      <c r="N820">
        <f>IF(ISBLANK('ENGAGEMENTS 2026'!C820),"",'ENGAGEMENTS 2026'!L820)</f>
        <v/>
      </c>
      <c r="O820">
        <f>IF(ISBLANK('ENGAGEMENTS 2026'!C820),"",'ENGAGEMENTS 2026'!M820)</f>
        <v/>
      </c>
      <c r="P820">
        <f>IF(ISBLANK('ENGAGEMENTS 2026'!C820),"",'ENGAGEMENTS 2026'!K820)</f>
        <v/>
      </c>
      <c r="Q820">
        <f>IF($A820="","",IF(OR($E820="INFRUCTUEUX",$E820="ANNULE"),$A820&amp;"|"&amp;(COUNTIFS($A$2:$A820,$A820,$E$2:$E820,"INFRUCTUEUX")+COUNTIFS($A$2:$A820,$A820,$E$2:$E820,"ANNULE")),""))</f>
        <v/>
      </c>
    </row>
    <row r="821">
      <c r="A821">
        <f>IF(ISBLANK('ENGAGEMENTS 2026'!C821),"",IF('ENGAGEMENTS 2026'!C821="DTSI","DCT",'ENGAGEMENTS 2026'!C821))</f>
        <v/>
      </c>
      <c r="B821">
        <f>IF(ISBLANK('ENGAGEMENTS 2026'!C821),"",'ENGAGEMENTS 2026'!D821)</f>
        <v/>
      </c>
      <c r="C821">
        <f>IF(ISBLANK('ENGAGEMENTS 2026'!C821),"",'ENGAGEMENTS 2026'!E821)</f>
        <v/>
      </c>
      <c r="D821">
        <f>IF(ISBLANK('ENGAGEMENTS 2026'!C821),"",'ENGAGEMENTS 2026'!G821)</f>
        <v/>
      </c>
      <c r="E821">
        <f>IF(ISBLANK('ENGAGEMENTS 2026'!C821),"",'ENGAGEMENTS 2026'!I821)</f>
        <v/>
      </c>
      <c r="F821">
        <f>IF(ISBLANK('ENGAGEMENTS 2026'!C821),"",'ENGAGEMENTS 2026'!J821)</f>
        <v/>
      </c>
      <c r="G821">
        <f>IF(ISBLANK('ENGAGEMENTS 2026'!C821),"",'ENGAGEMENTS 2026'!M821)</f>
        <v/>
      </c>
      <c r="H821">
        <f>IF(ISBLANK('ENGAGEMENTS 2026'!C821),"",'ENGAGEMENTS 2026'!AF821)</f>
        <v/>
      </c>
      <c r="I821">
        <f>IF(ISBLANK('ENGAGEMENTS 2026'!C821),"",'ENGAGEMENTS 2026'!H821)</f>
        <v/>
      </c>
      <c r="J821" s="275">
        <f>IF(ISBLANK('ENGAGEMENTS 2026'!C821),"",IF(AND(OR($E821="INFRUCTUEUX",$E821="ANNULE"),$C821="AOO-M"),'ENGAGEMENTS 2026'!P821,IF($H821="EN COURS DE PREENGAGEMENT",'ENGAGEMENTS 2026'!O821,IF($H821="PREENGAGE",IF($E821="ATTRIBUE",'ENGAGEMENTS 2026'!AE821,'ENGAGEMENTS 2026'!O821),'ENGAGEMENTS 2026'!AE821))))</f>
        <v/>
      </c>
      <c r="K821" s="604">
        <f>IF(ISBLANK('ENGAGEMENTS 2026'!W821),"",'ENGAGEMENTS 2026'!W821)</f>
        <v/>
      </c>
      <c r="L821" s="276">
        <f>IF($K821="","",TODAY()-$K821)</f>
        <v/>
      </c>
      <c r="M821">
        <f>IF($A821="","",IF($H821="ENGAGE","Engagé",IF(AND($H821="NON ENGAGE",OR($I821="INFRUCTUEUX",$I821="ANNULE")),"Clôturé sans suite","En cours")))</f>
        <v/>
      </c>
      <c r="N821">
        <f>IF(ISBLANK('ENGAGEMENTS 2026'!C821),"",'ENGAGEMENTS 2026'!L821)</f>
        <v/>
      </c>
      <c r="O821">
        <f>IF(ISBLANK('ENGAGEMENTS 2026'!C821),"",'ENGAGEMENTS 2026'!M821)</f>
        <v/>
      </c>
      <c r="P821">
        <f>IF(ISBLANK('ENGAGEMENTS 2026'!C821),"",'ENGAGEMENTS 2026'!K821)</f>
        <v/>
      </c>
      <c r="Q821">
        <f>IF($A821="","",IF(OR($E821="INFRUCTUEUX",$E821="ANNULE"),$A821&amp;"|"&amp;(COUNTIFS($A$2:$A821,$A821,$E$2:$E821,"INFRUCTUEUX")+COUNTIFS($A$2:$A821,$A821,$E$2:$E821,"ANNULE")),""))</f>
        <v/>
      </c>
    </row>
    <row r="822">
      <c r="A822">
        <f>IF(ISBLANK('ENGAGEMENTS 2026'!C822),"",IF('ENGAGEMENTS 2026'!C822="DTSI","DCT",'ENGAGEMENTS 2026'!C822))</f>
        <v/>
      </c>
      <c r="B822">
        <f>IF(ISBLANK('ENGAGEMENTS 2026'!C822),"",'ENGAGEMENTS 2026'!D822)</f>
        <v/>
      </c>
      <c r="C822">
        <f>IF(ISBLANK('ENGAGEMENTS 2026'!C822),"",'ENGAGEMENTS 2026'!E822)</f>
        <v/>
      </c>
      <c r="D822">
        <f>IF(ISBLANK('ENGAGEMENTS 2026'!C822),"",'ENGAGEMENTS 2026'!G822)</f>
        <v/>
      </c>
      <c r="E822">
        <f>IF(ISBLANK('ENGAGEMENTS 2026'!C822),"",'ENGAGEMENTS 2026'!I822)</f>
        <v/>
      </c>
      <c r="F822">
        <f>IF(ISBLANK('ENGAGEMENTS 2026'!C822),"",'ENGAGEMENTS 2026'!J822)</f>
        <v/>
      </c>
      <c r="G822">
        <f>IF(ISBLANK('ENGAGEMENTS 2026'!C822),"",'ENGAGEMENTS 2026'!M822)</f>
        <v/>
      </c>
      <c r="H822">
        <f>IF(ISBLANK('ENGAGEMENTS 2026'!C822),"",'ENGAGEMENTS 2026'!AF822)</f>
        <v/>
      </c>
      <c r="I822">
        <f>IF(ISBLANK('ENGAGEMENTS 2026'!C822),"",'ENGAGEMENTS 2026'!H822)</f>
        <v/>
      </c>
      <c r="J822" s="275">
        <f>IF(ISBLANK('ENGAGEMENTS 2026'!C822),"",IF(AND(OR($E822="INFRUCTUEUX",$E822="ANNULE"),$C822="AOO-M"),'ENGAGEMENTS 2026'!P822,IF($H822="EN COURS DE PREENGAGEMENT",'ENGAGEMENTS 2026'!O822,IF($H822="PREENGAGE",IF($E822="ATTRIBUE",'ENGAGEMENTS 2026'!AE822,'ENGAGEMENTS 2026'!O822),'ENGAGEMENTS 2026'!AE822))))</f>
        <v/>
      </c>
      <c r="K822" s="604">
        <f>IF(ISBLANK('ENGAGEMENTS 2026'!W822),"",'ENGAGEMENTS 2026'!W822)</f>
        <v/>
      </c>
      <c r="L822" s="276">
        <f>IF($K822="","",TODAY()-$K822)</f>
        <v/>
      </c>
      <c r="M822">
        <f>IF($A822="","",IF($H822="ENGAGE","Engagé",IF(AND($H822="NON ENGAGE",OR($I822="INFRUCTUEUX",$I822="ANNULE")),"Clôturé sans suite","En cours")))</f>
        <v/>
      </c>
      <c r="N822">
        <f>IF(ISBLANK('ENGAGEMENTS 2026'!C822),"",'ENGAGEMENTS 2026'!L822)</f>
        <v/>
      </c>
      <c r="O822">
        <f>IF(ISBLANK('ENGAGEMENTS 2026'!C822),"",'ENGAGEMENTS 2026'!M822)</f>
        <v/>
      </c>
      <c r="P822">
        <f>IF(ISBLANK('ENGAGEMENTS 2026'!C822),"",'ENGAGEMENTS 2026'!K822)</f>
        <v/>
      </c>
      <c r="Q822">
        <f>IF($A822="","",IF(OR($E822="INFRUCTUEUX",$E822="ANNULE"),$A822&amp;"|"&amp;(COUNTIFS($A$2:$A822,$A822,$E$2:$E822,"INFRUCTUEUX")+COUNTIFS($A$2:$A822,$A822,$E$2:$E822,"ANNULE")),""))</f>
        <v/>
      </c>
    </row>
    <row r="823">
      <c r="A823">
        <f>IF(ISBLANK('ENGAGEMENTS 2026'!C823),"",IF('ENGAGEMENTS 2026'!C823="DTSI","DCT",'ENGAGEMENTS 2026'!C823))</f>
        <v/>
      </c>
      <c r="B823">
        <f>IF(ISBLANK('ENGAGEMENTS 2026'!C823),"",'ENGAGEMENTS 2026'!D823)</f>
        <v/>
      </c>
      <c r="C823">
        <f>IF(ISBLANK('ENGAGEMENTS 2026'!C823),"",'ENGAGEMENTS 2026'!E823)</f>
        <v/>
      </c>
      <c r="D823">
        <f>IF(ISBLANK('ENGAGEMENTS 2026'!C823),"",'ENGAGEMENTS 2026'!G823)</f>
        <v/>
      </c>
      <c r="E823">
        <f>IF(ISBLANK('ENGAGEMENTS 2026'!C823),"",'ENGAGEMENTS 2026'!I823)</f>
        <v/>
      </c>
      <c r="F823">
        <f>IF(ISBLANK('ENGAGEMENTS 2026'!C823),"",'ENGAGEMENTS 2026'!J823)</f>
        <v/>
      </c>
      <c r="G823">
        <f>IF(ISBLANK('ENGAGEMENTS 2026'!C823),"",'ENGAGEMENTS 2026'!M823)</f>
        <v/>
      </c>
      <c r="H823">
        <f>IF(ISBLANK('ENGAGEMENTS 2026'!C823),"",'ENGAGEMENTS 2026'!AF823)</f>
        <v/>
      </c>
      <c r="I823">
        <f>IF(ISBLANK('ENGAGEMENTS 2026'!C823),"",'ENGAGEMENTS 2026'!H823)</f>
        <v/>
      </c>
      <c r="J823" s="275">
        <f>IF(ISBLANK('ENGAGEMENTS 2026'!C823),"",IF(AND(OR($E823="INFRUCTUEUX",$E823="ANNULE"),$C823="AOO-M"),'ENGAGEMENTS 2026'!P823,IF($H823="EN COURS DE PREENGAGEMENT",'ENGAGEMENTS 2026'!O823,IF($H823="PREENGAGE",IF($E823="ATTRIBUE",'ENGAGEMENTS 2026'!AE823,'ENGAGEMENTS 2026'!O823),'ENGAGEMENTS 2026'!AE823))))</f>
        <v/>
      </c>
      <c r="K823" s="604">
        <f>IF(ISBLANK('ENGAGEMENTS 2026'!W823),"",'ENGAGEMENTS 2026'!W823)</f>
        <v/>
      </c>
      <c r="L823" s="276">
        <f>IF($K823="","",TODAY()-$K823)</f>
        <v/>
      </c>
      <c r="M823">
        <f>IF($A823="","",IF($H823="ENGAGE","Engagé",IF(AND($H823="NON ENGAGE",OR($I823="INFRUCTUEUX",$I823="ANNULE")),"Clôturé sans suite","En cours")))</f>
        <v/>
      </c>
      <c r="N823">
        <f>IF(ISBLANK('ENGAGEMENTS 2026'!C823),"",'ENGAGEMENTS 2026'!L823)</f>
        <v/>
      </c>
      <c r="O823">
        <f>IF(ISBLANK('ENGAGEMENTS 2026'!C823),"",'ENGAGEMENTS 2026'!M823)</f>
        <v/>
      </c>
      <c r="P823">
        <f>IF(ISBLANK('ENGAGEMENTS 2026'!C823),"",'ENGAGEMENTS 2026'!K823)</f>
        <v/>
      </c>
      <c r="Q823">
        <f>IF($A823="","",IF(OR($E823="INFRUCTUEUX",$E823="ANNULE"),$A823&amp;"|"&amp;(COUNTIFS($A$2:$A823,$A823,$E$2:$E823,"INFRUCTUEUX")+COUNTIFS($A$2:$A823,$A823,$E$2:$E823,"ANNULE")),""))</f>
        <v/>
      </c>
    </row>
    <row r="824">
      <c r="A824">
        <f>IF(ISBLANK('ENGAGEMENTS 2026'!C824),"",IF('ENGAGEMENTS 2026'!C824="DTSI","DCT",'ENGAGEMENTS 2026'!C824))</f>
        <v/>
      </c>
      <c r="B824">
        <f>IF(ISBLANK('ENGAGEMENTS 2026'!C824),"",'ENGAGEMENTS 2026'!D824)</f>
        <v/>
      </c>
      <c r="C824">
        <f>IF(ISBLANK('ENGAGEMENTS 2026'!C824),"",'ENGAGEMENTS 2026'!E824)</f>
        <v/>
      </c>
      <c r="D824">
        <f>IF(ISBLANK('ENGAGEMENTS 2026'!C824),"",'ENGAGEMENTS 2026'!G824)</f>
        <v/>
      </c>
      <c r="E824">
        <f>IF(ISBLANK('ENGAGEMENTS 2026'!C824),"",'ENGAGEMENTS 2026'!I824)</f>
        <v/>
      </c>
      <c r="F824">
        <f>IF(ISBLANK('ENGAGEMENTS 2026'!C824),"",'ENGAGEMENTS 2026'!J824)</f>
        <v/>
      </c>
      <c r="G824">
        <f>IF(ISBLANK('ENGAGEMENTS 2026'!C824),"",'ENGAGEMENTS 2026'!M824)</f>
        <v/>
      </c>
      <c r="H824">
        <f>IF(ISBLANK('ENGAGEMENTS 2026'!C824),"",'ENGAGEMENTS 2026'!AF824)</f>
        <v/>
      </c>
      <c r="I824">
        <f>IF(ISBLANK('ENGAGEMENTS 2026'!C824),"",'ENGAGEMENTS 2026'!H824)</f>
        <v/>
      </c>
      <c r="J824" s="275">
        <f>IF(ISBLANK('ENGAGEMENTS 2026'!C824),"",IF(AND(OR($E824="INFRUCTUEUX",$E824="ANNULE"),$C824="AOO-M"),'ENGAGEMENTS 2026'!P824,IF($H824="EN COURS DE PREENGAGEMENT",'ENGAGEMENTS 2026'!O824,IF($H824="PREENGAGE",IF($E824="ATTRIBUE",'ENGAGEMENTS 2026'!AE824,'ENGAGEMENTS 2026'!O824),'ENGAGEMENTS 2026'!AE824))))</f>
        <v/>
      </c>
      <c r="K824" s="604">
        <f>IF(ISBLANK('ENGAGEMENTS 2026'!W824),"",'ENGAGEMENTS 2026'!W824)</f>
        <v/>
      </c>
      <c r="L824" s="276">
        <f>IF($K824="","",TODAY()-$K824)</f>
        <v/>
      </c>
      <c r="M824">
        <f>IF($A824="","",IF($H824="ENGAGE","Engagé",IF(AND($H824="NON ENGAGE",OR($I824="INFRUCTUEUX",$I824="ANNULE")),"Clôturé sans suite","En cours")))</f>
        <v/>
      </c>
      <c r="N824">
        <f>IF(ISBLANK('ENGAGEMENTS 2026'!C824),"",'ENGAGEMENTS 2026'!L824)</f>
        <v/>
      </c>
      <c r="O824">
        <f>IF(ISBLANK('ENGAGEMENTS 2026'!C824),"",'ENGAGEMENTS 2026'!M824)</f>
        <v/>
      </c>
      <c r="P824">
        <f>IF(ISBLANK('ENGAGEMENTS 2026'!C824),"",'ENGAGEMENTS 2026'!K824)</f>
        <v/>
      </c>
      <c r="Q824">
        <f>IF($A824="","",IF(OR($E824="INFRUCTUEUX",$E824="ANNULE"),$A824&amp;"|"&amp;(COUNTIFS($A$2:$A824,$A824,$E$2:$E824,"INFRUCTUEUX")+COUNTIFS($A$2:$A824,$A824,$E$2:$E824,"ANNULE")),""))</f>
        <v/>
      </c>
    </row>
    <row r="825">
      <c r="A825">
        <f>IF(ISBLANK('ENGAGEMENTS 2026'!C825),"",IF('ENGAGEMENTS 2026'!C825="DTSI","DCT",'ENGAGEMENTS 2026'!C825))</f>
        <v/>
      </c>
      <c r="B825">
        <f>IF(ISBLANK('ENGAGEMENTS 2026'!C825),"",'ENGAGEMENTS 2026'!D825)</f>
        <v/>
      </c>
      <c r="C825">
        <f>IF(ISBLANK('ENGAGEMENTS 2026'!C825),"",'ENGAGEMENTS 2026'!E825)</f>
        <v/>
      </c>
      <c r="D825">
        <f>IF(ISBLANK('ENGAGEMENTS 2026'!C825),"",'ENGAGEMENTS 2026'!G825)</f>
        <v/>
      </c>
      <c r="E825">
        <f>IF(ISBLANK('ENGAGEMENTS 2026'!C825),"",'ENGAGEMENTS 2026'!I825)</f>
        <v/>
      </c>
      <c r="F825">
        <f>IF(ISBLANK('ENGAGEMENTS 2026'!C825),"",'ENGAGEMENTS 2026'!J825)</f>
        <v/>
      </c>
      <c r="G825">
        <f>IF(ISBLANK('ENGAGEMENTS 2026'!C825),"",'ENGAGEMENTS 2026'!M825)</f>
        <v/>
      </c>
      <c r="H825">
        <f>IF(ISBLANK('ENGAGEMENTS 2026'!C825),"",'ENGAGEMENTS 2026'!AF825)</f>
        <v/>
      </c>
      <c r="I825">
        <f>IF(ISBLANK('ENGAGEMENTS 2026'!C825),"",'ENGAGEMENTS 2026'!H825)</f>
        <v/>
      </c>
      <c r="J825" s="275">
        <f>IF(ISBLANK('ENGAGEMENTS 2026'!C825),"",IF(AND(OR($E825="INFRUCTUEUX",$E825="ANNULE"),$C825="AOO-M"),'ENGAGEMENTS 2026'!P825,IF($H825="EN COURS DE PREENGAGEMENT",'ENGAGEMENTS 2026'!O825,IF($H825="PREENGAGE",IF($E825="ATTRIBUE",'ENGAGEMENTS 2026'!AE825,'ENGAGEMENTS 2026'!O825),'ENGAGEMENTS 2026'!AE825))))</f>
        <v/>
      </c>
      <c r="K825" s="604">
        <f>IF(ISBLANK('ENGAGEMENTS 2026'!W825),"",'ENGAGEMENTS 2026'!W825)</f>
        <v/>
      </c>
      <c r="L825" s="276">
        <f>IF($K825="","",TODAY()-$K825)</f>
        <v/>
      </c>
      <c r="M825">
        <f>IF($A825="","",IF($H825="ENGAGE","Engagé",IF(AND($H825="NON ENGAGE",OR($I825="INFRUCTUEUX",$I825="ANNULE")),"Clôturé sans suite","En cours")))</f>
        <v/>
      </c>
      <c r="N825">
        <f>IF(ISBLANK('ENGAGEMENTS 2026'!C825),"",'ENGAGEMENTS 2026'!L825)</f>
        <v/>
      </c>
      <c r="O825">
        <f>IF(ISBLANK('ENGAGEMENTS 2026'!C825),"",'ENGAGEMENTS 2026'!M825)</f>
        <v/>
      </c>
      <c r="P825">
        <f>IF(ISBLANK('ENGAGEMENTS 2026'!C825),"",'ENGAGEMENTS 2026'!K825)</f>
        <v/>
      </c>
      <c r="Q825">
        <f>IF($A825="","",IF(OR($E825="INFRUCTUEUX",$E825="ANNULE"),$A825&amp;"|"&amp;(COUNTIFS($A$2:$A825,$A825,$E$2:$E825,"INFRUCTUEUX")+COUNTIFS($A$2:$A825,$A825,$E$2:$E825,"ANNULE")),""))</f>
        <v/>
      </c>
    </row>
    <row r="826">
      <c r="A826">
        <f>IF(ISBLANK('ENGAGEMENTS 2026'!C826),"",IF('ENGAGEMENTS 2026'!C826="DTSI","DCT",'ENGAGEMENTS 2026'!C826))</f>
        <v/>
      </c>
      <c r="B826">
        <f>IF(ISBLANK('ENGAGEMENTS 2026'!C826),"",'ENGAGEMENTS 2026'!D826)</f>
        <v/>
      </c>
      <c r="C826">
        <f>IF(ISBLANK('ENGAGEMENTS 2026'!C826),"",'ENGAGEMENTS 2026'!E826)</f>
        <v/>
      </c>
      <c r="D826">
        <f>IF(ISBLANK('ENGAGEMENTS 2026'!C826),"",'ENGAGEMENTS 2026'!G826)</f>
        <v/>
      </c>
      <c r="E826">
        <f>IF(ISBLANK('ENGAGEMENTS 2026'!C826),"",'ENGAGEMENTS 2026'!I826)</f>
        <v/>
      </c>
      <c r="F826">
        <f>IF(ISBLANK('ENGAGEMENTS 2026'!C826),"",'ENGAGEMENTS 2026'!J826)</f>
        <v/>
      </c>
      <c r="G826">
        <f>IF(ISBLANK('ENGAGEMENTS 2026'!C826),"",'ENGAGEMENTS 2026'!M826)</f>
        <v/>
      </c>
      <c r="H826">
        <f>IF(ISBLANK('ENGAGEMENTS 2026'!C826),"",'ENGAGEMENTS 2026'!AF826)</f>
        <v/>
      </c>
      <c r="I826">
        <f>IF(ISBLANK('ENGAGEMENTS 2026'!C826),"",'ENGAGEMENTS 2026'!H826)</f>
        <v/>
      </c>
      <c r="J826" s="275">
        <f>IF(ISBLANK('ENGAGEMENTS 2026'!C826),"",IF(AND(OR($E826="INFRUCTUEUX",$E826="ANNULE"),$C826="AOO-M"),'ENGAGEMENTS 2026'!P826,IF($H826="EN COURS DE PREENGAGEMENT",'ENGAGEMENTS 2026'!O826,IF($H826="PREENGAGE",IF($E826="ATTRIBUE",'ENGAGEMENTS 2026'!AE826,'ENGAGEMENTS 2026'!O826),'ENGAGEMENTS 2026'!AE826))))</f>
        <v/>
      </c>
      <c r="K826" s="604">
        <f>IF(ISBLANK('ENGAGEMENTS 2026'!W826),"",'ENGAGEMENTS 2026'!W826)</f>
        <v/>
      </c>
      <c r="L826" s="276">
        <f>IF($K826="","",TODAY()-$K826)</f>
        <v/>
      </c>
      <c r="M826">
        <f>IF($A826="","",IF($H826="ENGAGE","Engagé",IF(AND($H826="NON ENGAGE",OR($I826="INFRUCTUEUX",$I826="ANNULE")),"Clôturé sans suite","En cours")))</f>
        <v/>
      </c>
      <c r="N826">
        <f>IF(ISBLANK('ENGAGEMENTS 2026'!C826),"",'ENGAGEMENTS 2026'!L826)</f>
        <v/>
      </c>
      <c r="O826">
        <f>IF(ISBLANK('ENGAGEMENTS 2026'!C826),"",'ENGAGEMENTS 2026'!M826)</f>
        <v/>
      </c>
      <c r="P826">
        <f>IF(ISBLANK('ENGAGEMENTS 2026'!C826),"",'ENGAGEMENTS 2026'!K826)</f>
        <v/>
      </c>
      <c r="Q826">
        <f>IF($A826="","",IF(OR($E826="INFRUCTUEUX",$E826="ANNULE"),$A826&amp;"|"&amp;(COUNTIFS($A$2:$A826,$A826,$E$2:$E826,"INFRUCTUEUX")+COUNTIFS($A$2:$A826,$A826,$E$2:$E826,"ANNULE")),""))</f>
        <v/>
      </c>
    </row>
    <row r="827">
      <c r="A827">
        <f>IF(ISBLANK('ENGAGEMENTS 2026'!C827),"",IF('ENGAGEMENTS 2026'!C827="DTSI","DCT",'ENGAGEMENTS 2026'!C827))</f>
        <v/>
      </c>
      <c r="B827">
        <f>IF(ISBLANK('ENGAGEMENTS 2026'!C827),"",'ENGAGEMENTS 2026'!D827)</f>
        <v/>
      </c>
      <c r="C827">
        <f>IF(ISBLANK('ENGAGEMENTS 2026'!C827),"",'ENGAGEMENTS 2026'!E827)</f>
        <v/>
      </c>
      <c r="D827">
        <f>IF(ISBLANK('ENGAGEMENTS 2026'!C827),"",'ENGAGEMENTS 2026'!G827)</f>
        <v/>
      </c>
      <c r="E827">
        <f>IF(ISBLANK('ENGAGEMENTS 2026'!C827),"",'ENGAGEMENTS 2026'!I827)</f>
        <v/>
      </c>
      <c r="F827">
        <f>IF(ISBLANK('ENGAGEMENTS 2026'!C827),"",'ENGAGEMENTS 2026'!J827)</f>
        <v/>
      </c>
      <c r="G827">
        <f>IF(ISBLANK('ENGAGEMENTS 2026'!C827),"",'ENGAGEMENTS 2026'!M827)</f>
        <v/>
      </c>
      <c r="H827">
        <f>IF(ISBLANK('ENGAGEMENTS 2026'!C827),"",'ENGAGEMENTS 2026'!AF827)</f>
        <v/>
      </c>
      <c r="I827">
        <f>IF(ISBLANK('ENGAGEMENTS 2026'!C827),"",'ENGAGEMENTS 2026'!H827)</f>
        <v/>
      </c>
      <c r="J827" s="275">
        <f>IF(ISBLANK('ENGAGEMENTS 2026'!C827),"",IF(AND(OR($E827="INFRUCTUEUX",$E827="ANNULE"),$C827="AOO-M"),'ENGAGEMENTS 2026'!P827,IF($H827="EN COURS DE PREENGAGEMENT",'ENGAGEMENTS 2026'!O827,IF($H827="PREENGAGE",IF($E827="ATTRIBUE",'ENGAGEMENTS 2026'!AE827,'ENGAGEMENTS 2026'!O827),'ENGAGEMENTS 2026'!AE827))))</f>
        <v/>
      </c>
      <c r="K827" s="604">
        <f>IF(ISBLANK('ENGAGEMENTS 2026'!W827),"",'ENGAGEMENTS 2026'!W827)</f>
        <v/>
      </c>
      <c r="L827" s="276">
        <f>IF($K827="","",TODAY()-$K827)</f>
        <v/>
      </c>
      <c r="M827">
        <f>IF($A827="","",IF($H827="ENGAGE","Engagé",IF(AND($H827="NON ENGAGE",OR($I827="INFRUCTUEUX",$I827="ANNULE")),"Clôturé sans suite","En cours")))</f>
        <v/>
      </c>
      <c r="N827">
        <f>IF(ISBLANK('ENGAGEMENTS 2026'!C827),"",'ENGAGEMENTS 2026'!L827)</f>
        <v/>
      </c>
      <c r="O827">
        <f>IF(ISBLANK('ENGAGEMENTS 2026'!C827),"",'ENGAGEMENTS 2026'!M827)</f>
        <v/>
      </c>
      <c r="P827">
        <f>IF(ISBLANK('ENGAGEMENTS 2026'!C827),"",'ENGAGEMENTS 2026'!K827)</f>
        <v/>
      </c>
      <c r="Q827">
        <f>IF($A827="","",IF(OR($E827="INFRUCTUEUX",$E827="ANNULE"),$A827&amp;"|"&amp;(COUNTIFS($A$2:$A827,$A827,$E$2:$E827,"INFRUCTUEUX")+COUNTIFS($A$2:$A827,$A827,$E$2:$E827,"ANNULE")),""))</f>
        <v/>
      </c>
    </row>
    <row r="828">
      <c r="A828">
        <f>IF(ISBLANK('ENGAGEMENTS 2026'!C828),"",IF('ENGAGEMENTS 2026'!C828="DTSI","DCT",'ENGAGEMENTS 2026'!C828))</f>
        <v/>
      </c>
      <c r="B828">
        <f>IF(ISBLANK('ENGAGEMENTS 2026'!C828),"",'ENGAGEMENTS 2026'!D828)</f>
        <v/>
      </c>
      <c r="C828">
        <f>IF(ISBLANK('ENGAGEMENTS 2026'!C828),"",'ENGAGEMENTS 2026'!E828)</f>
        <v/>
      </c>
      <c r="D828">
        <f>IF(ISBLANK('ENGAGEMENTS 2026'!C828),"",'ENGAGEMENTS 2026'!G828)</f>
        <v/>
      </c>
      <c r="E828">
        <f>IF(ISBLANK('ENGAGEMENTS 2026'!C828),"",'ENGAGEMENTS 2026'!I828)</f>
        <v/>
      </c>
      <c r="F828">
        <f>IF(ISBLANK('ENGAGEMENTS 2026'!C828),"",'ENGAGEMENTS 2026'!J828)</f>
        <v/>
      </c>
      <c r="G828">
        <f>IF(ISBLANK('ENGAGEMENTS 2026'!C828),"",'ENGAGEMENTS 2026'!M828)</f>
        <v/>
      </c>
      <c r="H828">
        <f>IF(ISBLANK('ENGAGEMENTS 2026'!C828),"",'ENGAGEMENTS 2026'!AF828)</f>
        <v/>
      </c>
      <c r="I828">
        <f>IF(ISBLANK('ENGAGEMENTS 2026'!C828),"",'ENGAGEMENTS 2026'!H828)</f>
        <v/>
      </c>
      <c r="J828" s="275">
        <f>IF(ISBLANK('ENGAGEMENTS 2026'!C828),"",IF(AND(OR($E828="INFRUCTUEUX",$E828="ANNULE"),$C828="AOO-M"),'ENGAGEMENTS 2026'!P828,IF($H828="EN COURS DE PREENGAGEMENT",'ENGAGEMENTS 2026'!O828,IF($H828="PREENGAGE",IF($E828="ATTRIBUE",'ENGAGEMENTS 2026'!AE828,'ENGAGEMENTS 2026'!O828),'ENGAGEMENTS 2026'!AE828))))</f>
        <v/>
      </c>
      <c r="K828" s="604">
        <f>IF(ISBLANK('ENGAGEMENTS 2026'!W828),"",'ENGAGEMENTS 2026'!W828)</f>
        <v/>
      </c>
      <c r="L828" s="276">
        <f>IF($K828="","",TODAY()-$K828)</f>
        <v/>
      </c>
      <c r="M828">
        <f>IF($A828="","",IF($H828="ENGAGE","Engagé",IF(AND($H828="NON ENGAGE",OR($I828="INFRUCTUEUX",$I828="ANNULE")),"Clôturé sans suite","En cours")))</f>
        <v/>
      </c>
      <c r="N828">
        <f>IF(ISBLANK('ENGAGEMENTS 2026'!C828),"",'ENGAGEMENTS 2026'!L828)</f>
        <v/>
      </c>
      <c r="O828">
        <f>IF(ISBLANK('ENGAGEMENTS 2026'!C828),"",'ENGAGEMENTS 2026'!M828)</f>
        <v/>
      </c>
      <c r="P828">
        <f>IF(ISBLANK('ENGAGEMENTS 2026'!C828),"",'ENGAGEMENTS 2026'!K828)</f>
        <v/>
      </c>
      <c r="Q828">
        <f>IF($A828="","",IF(OR($E828="INFRUCTUEUX",$E828="ANNULE"),$A828&amp;"|"&amp;(COUNTIFS($A$2:$A828,$A828,$E$2:$E828,"INFRUCTUEUX")+COUNTIFS($A$2:$A828,$A828,$E$2:$E828,"ANNULE")),""))</f>
        <v/>
      </c>
    </row>
    <row r="829">
      <c r="A829">
        <f>IF(ISBLANK('ENGAGEMENTS 2026'!C829),"",IF('ENGAGEMENTS 2026'!C829="DTSI","DCT",'ENGAGEMENTS 2026'!C829))</f>
        <v/>
      </c>
      <c r="B829">
        <f>IF(ISBLANK('ENGAGEMENTS 2026'!C829),"",'ENGAGEMENTS 2026'!D829)</f>
        <v/>
      </c>
      <c r="C829">
        <f>IF(ISBLANK('ENGAGEMENTS 2026'!C829),"",'ENGAGEMENTS 2026'!E829)</f>
        <v/>
      </c>
      <c r="D829">
        <f>IF(ISBLANK('ENGAGEMENTS 2026'!C829),"",'ENGAGEMENTS 2026'!G829)</f>
        <v/>
      </c>
      <c r="E829">
        <f>IF(ISBLANK('ENGAGEMENTS 2026'!C829),"",'ENGAGEMENTS 2026'!I829)</f>
        <v/>
      </c>
      <c r="F829">
        <f>IF(ISBLANK('ENGAGEMENTS 2026'!C829),"",'ENGAGEMENTS 2026'!J829)</f>
        <v/>
      </c>
      <c r="G829">
        <f>IF(ISBLANK('ENGAGEMENTS 2026'!C829),"",'ENGAGEMENTS 2026'!M829)</f>
        <v/>
      </c>
      <c r="H829">
        <f>IF(ISBLANK('ENGAGEMENTS 2026'!C829),"",'ENGAGEMENTS 2026'!AF829)</f>
        <v/>
      </c>
      <c r="I829">
        <f>IF(ISBLANK('ENGAGEMENTS 2026'!C829),"",'ENGAGEMENTS 2026'!H829)</f>
        <v/>
      </c>
      <c r="J829" s="275">
        <f>IF(ISBLANK('ENGAGEMENTS 2026'!C829),"",IF(AND(OR($E829="INFRUCTUEUX",$E829="ANNULE"),$C829="AOO-M"),'ENGAGEMENTS 2026'!P829,IF($H829="EN COURS DE PREENGAGEMENT",'ENGAGEMENTS 2026'!O829,IF($H829="PREENGAGE",IF($E829="ATTRIBUE",'ENGAGEMENTS 2026'!AE829,'ENGAGEMENTS 2026'!O829),'ENGAGEMENTS 2026'!AE829))))</f>
        <v/>
      </c>
      <c r="K829" s="604">
        <f>IF(ISBLANK('ENGAGEMENTS 2026'!W829),"",'ENGAGEMENTS 2026'!W829)</f>
        <v/>
      </c>
      <c r="L829" s="276">
        <f>IF($K829="","",TODAY()-$K829)</f>
        <v/>
      </c>
      <c r="M829">
        <f>IF($A829="","",IF($H829="ENGAGE","Engagé",IF(AND($H829="NON ENGAGE",OR($I829="INFRUCTUEUX",$I829="ANNULE")),"Clôturé sans suite","En cours")))</f>
        <v/>
      </c>
      <c r="N829">
        <f>IF(ISBLANK('ENGAGEMENTS 2026'!C829),"",'ENGAGEMENTS 2026'!L829)</f>
        <v/>
      </c>
      <c r="O829">
        <f>IF(ISBLANK('ENGAGEMENTS 2026'!C829),"",'ENGAGEMENTS 2026'!M829)</f>
        <v/>
      </c>
      <c r="P829">
        <f>IF(ISBLANK('ENGAGEMENTS 2026'!C829),"",'ENGAGEMENTS 2026'!K829)</f>
        <v/>
      </c>
      <c r="Q829">
        <f>IF($A829="","",IF(OR($E829="INFRUCTUEUX",$E829="ANNULE"),$A829&amp;"|"&amp;(COUNTIFS($A$2:$A829,$A829,$E$2:$E829,"INFRUCTUEUX")+COUNTIFS($A$2:$A829,$A829,$E$2:$E829,"ANNULE")),""))</f>
        <v/>
      </c>
    </row>
    <row r="830">
      <c r="A830">
        <f>IF(ISBLANK('ENGAGEMENTS 2026'!C830),"",IF('ENGAGEMENTS 2026'!C830="DTSI","DCT",'ENGAGEMENTS 2026'!C830))</f>
        <v/>
      </c>
      <c r="B830">
        <f>IF(ISBLANK('ENGAGEMENTS 2026'!C830),"",'ENGAGEMENTS 2026'!D830)</f>
        <v/>
      </c>
      <c r="C830">
        <f>IF(ISBLANK('ENGAGEMENTS 2026'!C830),"",'ENGAGEMENTS 2026'!E830)</f>
        <v/>
      </c>
      <c r="D830">
        <f>IF(ISBLANK('ENGAGEMENTS 2026'!C830),"",'ENGAGEMENTS 2026'!G830)</f>
        <v/>
      </c>
      <c r="E830">
        <f>IF(ISBLANK('ENGAGEMENTS 2026'!C830),"",'ENGAGEMENTS 2026'!I830)</f>
        <v/>
      </c>
      <c r="F830">
        <f>IF(ISBLANK('ENGAGEMENTS 2026'!C830),"",'ENGAGEMENTS 2026'!J830)</f>
        <v/>
      </c>
      <c r="G830">
        <f>IF(ISBLANK('ENGAGEMENTS 2026'!C830),"",'ENGAGEMENTS 2026'!M830)</f>
        <v/>
      </c>
      <c r="H830">
        <f>IF(ISBLANK('ENGAGEMENTS 2026'!C830),"",'ENGAGEMENTS 2026'!AF830)</f>
        <v/>
      </c>
      <c r="I830">
        <f>IF(ISBLANK('ENGAGEMENTS 2026'!C830),"",'ENGAGEMENTS 2026'!H830)</f>
        <v/>
      </c>
      <c r="J830" s="275">
        <f>IF(ISBLANK('ENGAGEMENTS 2026'!C830),"",IF(AND(OR($E830="INFRUCTUEUX",$E830="ANNULE"),$C830="AOO-M"),'ENGAGEMENTS 2026'!P830,IF($H830="EN COURS DE PREENGAGEMENT",'ENGAGEMENTS 2026'!O830,IF($H830="PREENGAGE",IF($E830="ATTRIBUE",'ENGAGEMENTS 2026'!AE830,'ENGAGEMENTS 2026'!O830),'ENGAGEMENTS 2026'!AE830))))</f>
        <v/>
      </c>
      <c r="K830" s="604">
        <f>IF(ISBLANK('ENGAGEMENTS 2026'!W830),"",'ENGAGEMENTS 2026'!W830)</f>
        <v/>
      </c>
      <c r="L830" s="276">
        <f>IF($K830="","",TODAY()-$K830)</f>
        <v/>
      </c>
      <c r="M830">
        <f>IF($A830="","",IF($H830="ENGAGE","Engagé",IF(AND($H830="NON ENGAGE",OR($I830="INFRUCTUEUX",$I830="ANNULE")),"Clôturé sans suite","En cours")))</f>
        <v/>
      </c>
      <c r="N830">
        <f>IF(ISBLANK('ENGAGEMENTS 2026'!C830),"",'ENGAGEMENTS 2026'!L830)</f>
        <v/>
      </c>
      <c r="O830">
        <f>IF(ISBLANK('ENGAGEMENTS 2026'!C830),"",'ENGAGEMENTS 2026'!M830)</f>
        <v/>
      </c>
      <c r="P830">
        <f>IF(ISBLANK('ENGAGEMENTS 2026'!C830),"",'ENGAGEMENTS 2026'!K830)</f>
        <v/>
      </c>
      <c r="Q830">
        <f>IF($A830="","",IF(OR($E830="INFRUCTUEUX",$E830="ANNULE"),$A830&amp;"|"&amp;(COUNTIFS($A$2:$A830,$A830,$E$2:$E830,"INFRUCTUEUX")+COUNTIFS($A$2:$A830,$A830,$E$2:$E830,"ANNULE")),""))</f>
        <v/>
      </c>
    </row>
    <row r="831">
      <c r="A831">
        <f>IF(ISBLANK('ENGAGEMENTS 2026'!C831),"",IF('ENGAGEMENTS 2026'!C831="DTSI","DCT",'ENGAGEMENTS 2026'!C831))</f>
        <v/>
      </c>
      <c r="B831">
        <f>IF(ISBLANK('ENGAGEMENTS 2026'!C831),"",'ENGAGEMENTS 2026'!D831)</f>
        <v/>
      </c>
      <c r="C831">
        <f>IF(ISBLANK('ENGAGEMENTS 2026'!C831),"",'ENGAGEMENTS 2026'!E831)</f>
        <v/>
      </c>
      <c r="D831">
        <f>IF(ISBLANK('ENGAGEMENTS 2026'!C831),"",'ENGAGEMENTS 2026'!G831)</f>
        <v/>
      </c>
      <c r="E831">
        <f>IF(ISBLANK('ENGAGEMENTS 2026'!C831),"",'ENGAGEMENTS 2026'!I831)</f>
        <v/>
      </c>
      <c r="F831">
        <f>IF(ISBLANK('ENGAGEMENTS 2026'!C831),"",'ENGAGEMENTS 2026'!J831)</f>
        <v/>
      </c>
      <c r="G831">
        <f>IF(ISBLANK('ENGAGEMENTS 2026'!C831),"",'ENGAGEMENTS 2026'!M831)</f>
        <v/>
      </c>
      <c r="H831">
        <f>IF(ISBLANK('ENGAGEMENTS 2026'!C831),"",'ENGAGEMENTS 2026'!AF831)</f>
        <v/>
      </c>
      <c r="I831">
        <f>IF(ISBLANK('ENGAGEMENTS 2026'!C831),"",'ENGAGEMENTS 2026'!H831)</f>
        <v/>
      </c>
      <c r="J831" s="275">
        <f>IF(ISBLANK('ENGAGEMENTS 2026'!C831),"",IF(AND(OR($E831="INFRUCTUEUX",$E831="ANNULE"),$C831="AOO-M"),'ENGAGEMENTS 2026'!P831,IF($H831="EN COURS DE PREENGAGEMENT",'ENGAGEMENTS 2026'!O831,IF($H831="PREENGAGE",IF($E831="ATTRIBUE",'ENGAGEMENTS 2026'!AE831,'ENGAGEMENTS 2026'!O831),'ENGAGEMENTS 2026'!AE831))))</f>
        <v/>
      </c>
      <c r="K831" s="604">
        <f>IF(ISBLANK('ENGAGEMENTS 2026'!W831),"",'ENGAGEMENTS 2026'!W831)</f>
        <v/>
      </c>
      <c r="L831" s="276">
        <f>IF($K831="","",TODAY()-$K831)</f>
        <v/>
      </c>
      <c r="M831">
        <f>IF($A831="","",IF($H831="ENGAGE","Engagé",IF(AND($H831="NON ENGAGE",OR($I831="INFRUCTUEUX",$I831="ANNULE")),"Clôturé sans suite","En cours")))</f>
        <v/>
      </c>
      <c r="N831">
        <f>IF(ISBLANK('ENGAGEMENTS 2026'!C831),"",'ENGAGEMENTS 2026'!L831)</f>
        <v/>
      </c>
      <c r="O831">
        <f>IF(ISBLANK('ENGAGEMENTS 2026'!C831),"",'ENGAGEMENTS 2026'!M831)</f>
        <v/>
      </c>
      <c r="P831">
        <f>IF(ISBLANK('ENGAGEMENTS 2026'!C831),"",'ENGAGEMENTS 2026'!K831)</f>
        <v/>
      </c>
      <c r="Q831">
        <f>IF($A831="","",IF(OR($E831="INFRUCTUEUX",$E831="ANNULE"),$A831&amp;"|"&amp;(COUNTIFS($A$2:$A831,$A831,$E$2:$E831,"INFRUCTUEUX")+COUNTIFS($A$2:$A831,$A831,$E$2:$E831,"ANNULE")),""))</f>
        <v/>
      </c>
    </row>
    <row r="832">
      <c r="A832">
        <f>IF(ISBLANK('ENGAGEMENTS 2026'!C832),"",IF('ENGAGEMENTS 2026'!C832="DTSI","DCT",'ENGAGEMENTS 2026'!C832))</f>
        <v/>
      </c>
      <c r="B832">
        <f>IF(ISBLANK('ENGAGEMENTS 2026'!C832),"",'ENGAGEMENTS 2026'!D832)</f>
        <v/>
      </c>
      <c r="C832">
        <f>IF(ISBLANK('ENGAGEMENTS 2026'!C832),"",'ENGAGEMENTS 2026'!E832)</f>
        <v/>
      </c>
      <c r="D832">
        <f>IF(ISBLANK('ENGAGEMENTS 2026'!C832),"",'ENGAGEMENTS 2026'!G832)</f>
        <v/>
      </c>
      <c r="E832">
        <f>IF(ISBLANK('ENGAGEMENTS 2026'!C832),"",'ENGAGEMENTS 2026'!I832)</f>
        <v/>
      </c>
      <c r="F832">
        <f>IF(ISBLANK('ENGAGEMENTS 2026'!C832),"",'ENGAGEMENTS 2026'!J832)</f>
        <v/>
      </c>
      <c r="G832">
        <f>IF(ISBLANK('ENGAGEMENTS 2026'!C832),"",'ENGAGEMENTS 2026'!M832)</f>
        <v/>
      </c>
      <c r="H832">
        <f>IF(ISBLANK('ENGAGEMENTS 2026'!C832),"",'ENGAGEMENTS 2026'!AF832)</f>
        <v/>
      </c>
      <c r="I832">
        <f>IF(ISBLANK('ENGAGEMENTS 2026'!C832),"",'ENGAGEMENTS 2026'!H832)</f>
        <v/>
      </c>
      <c r="J832" s="275">
        <f>IF(ISBLANK('ENGAGEMENTS 2026'!C832),"",IF(AND(OR($E832="INFRUCTUEUX",$E832="ANNULE"),$C832="AOO-M"),'ENGAGEMENTS 2026'!P832,IF($H832="EN COURS DE PREENGAGEMENT",'ENGAGEMENTS 2026'!O832,IF($H832="PREENGAGE",IF($E832="ATTRIBUE",'ENGAGEMENTS 2026'!AE832,'ENGAGEMENTS 2026'!O832),'ENGAGEMENTS 2026'!AE832))))</f>
        <v/>
      </c>
      <c r="K832" s="604">
        <f>IF(ISBLANK('ENGAGEMENTS 2026'!W832),"",'ENGAGEMENTS 2026'!W832)</f>
        <v/>
      </c>
      <c r="L832" s="276">
        <f>IF($K832="","",TODAY()-$K832)</f>
        <v/>
      </c>
      <c r="M832">
        <f>IF($A832="","",IF($H832="ENGAGE","Engagé",IF(AND($H832="NON ENGAGE",OR($I832="INFRUCTUEUX",$I832="ANNULE")),"Clôturé sans suite","En cours")))</f>
        <v/>
      </c>
      <c r="N832">
        <f>IF(ISBLANK('ENGAGEMENTS 2026'!C832),"",'ENGAGEMENTS 2026'!L832)</f>
        <v/>
      </c>
      <c r="O832">
        <f>IF(ISBLANK('ENGAGEMENTS 2026'!C832),"",'ENGAGEMENTS 2026'!M832)</f>
        <v/>
      </c>
      <c r="P832">
        <f>IF(ISBLANK('ENGAGEMENTS 2026'!C832),"",'ENGAGEMENTS 2026'!K832)</f>
        <v/>
      </c>
      <c r="Q832">
        <f>IF($A832="","",IF(OR($E832="INFRUCTUEUX",$E832="ANNULE"),$A832&amp;"|"&amp;(COUNTIFS($A$2:$A832,$A832,$E$2:$E832,"INFRUCTUEUX")+COUNTIFS($A$2:$A832,$A832,$E$2:$E832,"ANNULE")),""))</f>
        <v/>
      </c>
    </row>
    <row r="833">
      <c r="A833">
        <f>IF(ISBLANK('ENGAGEMENTS 2026'!C833),"",IF('ENGAGEMENTS 2026'!C833="DTSI","DCT",'ENGAGEMENTS 2026'!C833))</f>
        <v/>
      </c>
      <c r="B833">
        <f>IF(ISBLANK('ENGAGEMENTS 2026'!C833),"",'ENGAGEMENTS 2026'!D833)</f>
        <v/>
      </c>
      <c r="C833">
        <f>IF(ISBLANK('ENGAGEMENTS 2026'!C833),"",'ENGAGEMENTS 2026'!E833)</f>
        <v/>
      </c>
      <c r="D833">
        <f>IF(ISBLANK('ENGAGEMENTS 2026'!C833),"",'ENGAGEMENTS 2026'!G833)</f>
        <v/>
      </c>
      <c r="E833">
        <f>IF(ISBLANK('ENGAGEMENTS 2026'!C833),"",'ENGAGEMENTS 2026'!I833)</f>
        <v/>
      </c>
      <c r="F833">
        <f>IF(ISBLANK('ENGAGEMENTS 2026'!C833),"",'ENGAGEMENTS 2026'!J833)</f>
        <v/>
      </c>
      <c r="G833">
        <f>IF(ISBLANK('ENGAGEMENTS 2026'!C833),"",'ENGAGEMENTS 2026'!M833)</f>
        <v/>
      </c>
      <c r="H833">
        <f>IF(ISBLANK('ENGAGEMENTS 2026'!C833),"",'ENGAGEMENTS 2026'!AF833)</f>
        <v/>
      </c>
      <c r="I833">
        <f>IF(ISBLANK('ENGAGEMENTS 2026'!C833),"",'ENGAGEMENTS 2026'!H833)</f>
        <v/>
      </c>
      <c r="J833" s="275">
        <f>IF(ISBLANK('ENGAGEMENTS 2026'!C833),"",IF(AND(OR($E833="INFRUCTUEUX",$E833="ANNULE"),$C833="AOO-M"),'ENGAGEMENTS 2026'!P833,IF($H833="EN COURS DE PREENGAGEMENT",'ENGAGEMENTS 2026'!O833,IF($H833="PREENGAGE",IF($E833="ATTRIBUE",'ENGAGEMENTS 2026'!AE833,'ENGAGEMENTS 2026'!O833),'ENGAGEMENTS 2026'!AE833))))</f>
        <v/>
      </c>
      <c r="K833" s="604">
        <f>IF(ISBLANK('ENGAGEMENTS 2026'!W833),"",'ENGAGEMENTS 2026'!W833)</f>
        <v/>
      </c>
      <c r="L833" s="276">
        <f>IF($K833="","",TODAY()-$K833)</f>
        <v/>
      </c>
      <c r="M833">
        <f>IF($A833="","",IF($H833="ENGAGE","Engagé",IF(AND($H833="NON ENGAGE",OR($I833="INFRUCTUEUX",$I833="ANNULE")),"Clôturé sans suite","En cours")))</f>
        <v/>
      </c>
      <c r="N833">
        <f>IF(ISBLANK('ENGAGEMENTS 2026'!C833),"",'ENGAGEMENTS 2026'!L833)</f>
        <v/>
      </c>
      <c r="O833">
        <f>IF(ISBLANK('ENGAGEMENTS 2026'!C833),"",'ENGAGEMENTS 2026'!M833)</f>
        <v/>
      </c>
      <c r="P833">
        <f>IF(ISBLANK('ENGAGEMENTS 2026'!C833),"",'ENGAGEMENTS 2026'!K833)</f>
        <v/>
      </c>
      <c r="Q833">
        <f>IF($A833="","",IF(OR($E833="INFRUCTUEUX",$E833="ANNULE"),$A833&amp;"|"&amp;(COUNTIFS($A$2:$A833,$A833,$E$2:$E833,"INFRUCTUEUX")+COUNTIFS($A$2:$A833,$A833,$E$2:$E833,"ANNULE")),""))</f>
        <v/>
      </c>
    </row>
    <row r="834">
      <c r="A834">
        <f>IF(ISBLANK('ENGAGEMENTS 2026'!C834),"",IF('ENGAGEMENTS 2026'!C834="DTSI","DCT",'ENGAGEMENTS 2026'!C834))</f>
        <v/>
      </c>
      <c r="B834">
        <f>IF(ISBLANK('ENGAGEMENTS 2026'!C834),"",'ENGAGEMENTS 2026'!D834)</f>
        <v/>
      </c>
      <c r="C834">
        <f>IF(ISBLANK('ENGAGEMENTS 2026'!C834),"",'ENGAGEMENTS 2026'!E834)</f>
        <v/>
      </c>
      <c r="D834">
        <f>IF(ISBLANK('ENGAGEMENTS 2026'!C834),"",'ENGAGEMENTS 2026'!G834)</f>
        <v/>
      </c>
      <c r="E834">
        <f>IF(ISBLANK('ENGAGEMENTS 2026'!C834),"",'ENGAGEMENTS 2026'!I834)</f>
        <v/>
      </c>
      <c r="F834">
        <f>IF(ISBLANK('ENGAGEMENTS 2026'!C834),"",'ENGAGEMENTS 2026'!J834)</f>
        <v/>
      </c>
      <c r="G834">
        <f>IF(ISBLANK('ENGAGEMENTS 2026'!C834),"",'ENGAGEMENTS 2026'!M834)</f>
        <v/>
      </c>
      <c r="H834">
        <f>IF(ISBLANK('ENGAGEMENTS 2026'!C834),"",'ENGAGEMENTS 2026'!AF834)</f>
        <v/>
      </c>
      <c r="I834">
        <f>IF(ISBLANK('ENGAGEMENTS 2026'!C834),"",'ENGAGEMENTS 2026'!H834)</f>
        <v/>
      </c>
      <c r="J834" s="275">
        <f>IF(ISBLANK('ENGAGEMENTS 2026'!C834),"",IF(AND(OR($E834="INFRUCTUEUX",$E834="ANNULE"),$C834="AOO-M"),'ENGAGEMENTS 2026'!P834,IF($H834="EN COURS DE PREENGAGEMENT",'ENGAGEMENTS 2026'!O834,IF($H834="PREENGAGE",IF($E834="ATTRIBUE",'ENGAGEMENTS 2026'!AE834,'ENGAGEMENTS 2026'!O834),'ENGAGEMENTS 2026'!AE834))))</f>
        <v/>
      </c>
      <c r="K834" s="604">
        <f>IF(ISBLANK('ENGAGEMENTS 2026'!W834),"",'ENGAGEMENTS 2026'!W834)</f>
        <v/>
      </c>
      <c r="L834" s="276">
        <f>IF($K834="","",TODAY()-$K834)</f>
        <v/>
      </c>
      <c r="M834">
        <f>IF($A834="","",IF($H834="ENGAGE","Engagé",IF(AND($H834="NON ENGAGE",OR($I834="INFRUCTUEUX",$I834="ANNULE")),"Clôturé sans suite","En cours")))</f>
        <v/>
      </c>
      <c r="N834">
        <f>IF(ISBLANK('ENGAGEMENTS 2026'!C834),"",'ENGAGEMENTS 2026'!L834)</f>
        <v/>
      </c>
      <c r="O834">
        <f>IF(ISBLANK('ENGAGEMENTS 2026'!C834),"",'ENGAGEMENTS 2026'!M834)</f>
        <v/>
      </c>
      <c r="P834">
        <f>IF(ISBLANK('ENGAGEMENTS 2026'!C834),"",'ENGAGEMENTS 2026'!K834)</f>
        <v/>
      </c>
      <c r="Q834">
        <f>IF($A834="","",IF(OR($E834="INFRUCTUEUX",$E834="ANNULE"),$A834&amp;"|"&amp;(COUNTIFS($A$2:$A834,$A834,$E$2:$E834,"INFRUCTUEUX")+COUNTIFS($A$2:$A834,$A834,$E$2:$E834,"ANNULE")),""))</f>
        <v/>
      </c>
    </row>
    <row r="835">
      <c r="A835">
        <f>IF(ISBLANK('ENGAGEMENTS 2026'!C835),"",IF('ENGAGEMENTS 2026'!C835="DTSI","DCT",'ENGAGEMENTS 2026'!C835))</f>
        <v/>
      </c>
      <c r="B835">
        <f>IF(ISBLANK('ENGAGEMENTS 2026'!C835),"",'ENGAGEMENTS 2026'!D835)</f>
        <v/>
      </c>
      <c r="C835">
        <f>IF(ISBLANK('ENGAGEMENTS 2026'!C835),"",'ENGAGEMENTS 2026'!E835)</f>
        <v/>
      </c>
      <c r="D835">
        <f>IF(ISBLANK('ENGAGEMENTS 2026'!C835),"",'ENGAGEMENTS 2026'!G835)</f>
        <v/>
      </c>
      <c r="E835">
        <f>IF(ISBLANK('ENGAGEMENTS 2026'!C835),"",'ENGAGEMENTS 2026'!I835)</f>
        <v/>
      </c>
      <c r="F835">
        <f>IF(ISBLANK('ENGAGEMENTS 2026'!C835),"",'ENGAGEMENTS 2026'!J835)</f>
        <v/>
      </c>
      <c r="G835">
        <f>IF(ISBLANK('ENGAGEMENTS 2026'!C835),"",'ENGAGEMENTS 2026'!M835)</f>
        <v/>
      </c>
      <c r="H835">
        <f>IF(ISBLANK('ENGAGEMENTS 2026'!C835),"",'ENGAGEMENTS 2026'!AF835)</f>
        <v/>
      </c>
      <c r="I835">
        <f>IF(ISBLANK('ENGAGEMENTS 2026'!C835),"",'ENGAGEMENTS 2026'!H835)</f>
        <v/>
      </c>
      <c r="J835" s="275">
        <f>IF(ISBLANK('ENGAGEMENTS 2026'!C835),"",IF(AND(OR($E835="INFRUCTUEUX",$E835="ANNULE"),$C835="AOO-M"),'ENGAGEMENTS 2026'!P835,IF($H835="EN COURS DE PREENGAGEMENT",'ENGAGEMENTS 2026'!O835,IF($H835="PREENGAGE",IF($E835="ATTRIBUE",'ENGAGEMENTS 2026'!AE835,'ENGAGEMENTS 2026'!O835),'ENGAGEMENTS 2026'!AE835))))</f>
        <v/>
      </c>
      <c r="K835" s="604">
        <f>IF(ISBLANK('ENGAGEMENTS 2026'!W835),"",'ENGAGEMENTS 2026'!W835)</f>
        <v/>
      </c>
      <c r="L835" s="276">
        <f>IF($K835="","",TODAY()-$K835)</f>
        <v/>
      </c>
      <c r="M835">
        <f>IF($A835="","",IF($H835="ENGAGE","Engagé",IF(AND($H835="NON ENGAGE",OR($I835="INFRUCTUEUX",$I835="ANNULE")),"Clôturé sans suite","En cours")))</f>
        <v/>
      </c>
      <c r="N835">
        <f>IF(ISBLANK('ENGAGEMENTS 2026'!C835),"",'ENGAGEMENTS 2026'!L835)</f>
        <v/>
      </c>
      <c r="O835">
        <f>IF(ISBLANK('ENGAGEMENTS 2026'!C835),"",'ENGAGEMENTS 2026'!M835)</f>
        <v/>
      </c>
      <c r="P835">
        <f>IF(ISBLANK('ENGAGEMENTS 2026'!C835),"",'ENGAGEMENTS 2026'!K835)</f>
        <v/>
      </c>
      <c r="Q835">
        <f>IF($A835="","",IF(OR($E835="INFRUCTUEUX",$E835="ANNULE"),$A835&amp;"|"&amp;(COUNTIFS($A$2:$A835,$A835,$E$2:$E835,"INFRUCTUEUX")+COUNTIFS($A$2:$A835,$A835,$E$2:$E835,"ANNULE")),""))</f>
        <v/>
      </c>
    </row>
    <row r="836">
      <c r="A836">
        <f>IF(ISBLANK('ENGAGEMENTS 2026'!C836),"",IF('ENGAGEMENTS 2026'!C836="DTSI","DCT",'ENGAGEMENTS 2026'!C836))</f>
        <v/>
      </c>
      <c r="B836">
        <f>IF(ISBLANK('ENGAGEMENTS 2026'!C836),"",'ENGAGEMENTS 2026'!D836)</f>
        <v/>
      </c>
      <c r="C836">
        <f>IF(ISBLANK('ENGAGEMENTS 2026'!C836),"",'ENGAGEMENTS 2026'!E836)</f>
        <v/>
      </c>
      <c r="D836">
        <f>IF(ISBLANK('ENGAGEMENTS 2026'!C836),"",'ENGAGEMENTS 2026'!G836)</f>
        <v/>
      </c>
      <c r="E836">
        <f>IF(ISBLANK('ENGAGEMENTS 2026'!C836),"",'ENGAGEMENTS 2026'!I836)</f>
        <v/>
      </c>
      <c r="F836">
        <f>IF(ISBLANK('ENGAGEMENTS 2026'!C836),"",'ENGAGEMENTS 2026'!J836)</f>
        <v/>
      </c>
      <c r="G836">
        <f>IF(ISBLANK('ENGAGEMENTS 2026'!C836),"",'ENGAGEMENTS 2026'!M836)</f>
        <v/>
      </c>
      <c r="H836">
        <f>IF(ISBLANK('ENGAGEMENTS 2026'!C836),"",'ENGAGEMENTS 2026'!AF836)</f>
        <v/>
      </c>
      <c r="I836">
        <f>IF(ISBLANK('ENGAGEMENTS 2026'!C836),"",'ENGAGEMENTS 2026'!H836)</f>
        <v/>
      </c>
      <c r="J836" s="275">
        <f>IF(ISBLANK('ENGAGEMENTS 2026'!C836),"",IF(AND(OR($E836="INFRUCTUEUX",$E836="ANNULE"),$C836="AOO-M"),'ENGAGEMENTS 2026'!P836,IF($H836="EN COURS DE PREENGAGEMENT",'ENGAGEMENTS 2026'!O836,IF($H836="PREENGAGE",IF($E836="ATTRIBUE",'ENGAGEMENTS 2026'!AE836,'ENGAGEMENTS 2026'!O836),'ENGAGEMENTS 2026'!AE836))))</f>
        <v/>
      </c>
      <c r="K836" s="604">
        <f>IF(ISBLANK('ENGAGEMENTS 2026'!W836),"",'ENGAGEMENTS 2026'!W836)</f>
        <v/>
      </c>
      <c r="L836" s="276">
        <f>IF($K836="","",TODAY()-$K836)</f>
        <v/>
      </c>
      <c r="M836">
        <f>IF($A836="","",IF($H836="ENGAGE","Engagé",IF(AND($H836="NON ENGAGE",OR($I836="INFRUCTUEUX",$I836="ANNULE")),"Clôturé sans suite","En cours")))</f>
        <v/>
      </c>
      <c r="N836">
        <f>IF(ISBLANK('ENGAGEMENTS 2026'!C836),"",'ENGAGEMENTS 2026'!L836)</f>
        <v/>
      </c>
      <c r="O836">
        <f>IF(ISBLANK('ENGAGEMENTS 2026'!C836),"",'ENGAGEMENTS 2026'!M836)</f>
        <v/>
      </c>
      <c r="P836">
        <f>IF(ISBLANK('ENGAGEMENTS 2026'!C836),"",'ENGAGEMENTS 2026'!K836)</f>
        <v/>
      </c>
      <c r="Q836">
        <f>IF($A836="","",IF(OR($E836="INFRUCTUEUX",$E836="ANNULE"),$A836&amp;"|"&amp;(COUNTIFS($A$2:$A836,$A836,$E$2:$E836,"INFRUCTUEUX")+COUNTIFS($A$2:$A836,$A836,$E$2:$E836,"ANNULE")),""))</f>
        <v/>
      </c>
    </row>
    <row r="837">
      <c r="A837">
        <f>IF(ISBLANK('ENGAGEMENTS 2026'!C837),"",IF('ENGAGEMENTS 2026'!C837="DTSI","DCT",'ENGAGEMENTS 2026'!C837))</f>
        <v/>
      </c>
      <c r="B837">
        <f>IF(ISBLANK('ENGAGEMENTS 2026'!C837),"",'ENGAGEMENTS 2026'!D837)</f>
        <v/>
      </c>
      <c r="C837">
        <f>IF(ISBLANK('ENGAGEMENTS 2026'!C837),"",'ENGAGEMENTS 2026'!E837)</f>
        <v/>
      </c>
      <c r="D837">
        <f>IF(ISBLANK('ENGAGEMENTS 2026'!C837),"",'ENGAGEMENTS 2026'!G837)</f>
        <v/>
      </c>
      <c r="E837">
        <f>IF(ISBLANK('ENGAGEMENTS 2026'!C837),"",'ENGAGEMENTS 2026'!I837)</f>
        <v/>
      </c>
      <c r="F837">
        <f>IF(ISBLANK('ENGAGEMENTS 2026'!C837),"",'ENGAGEMENTS 2026'!J837)</f>
        <v/>
      </c>
      <c r="G837">
        <f>IF(ISBLANK('ENGAGEMENTS 2026'!C837),"",'ENGAGEMENTS 2026'!M837)</f>
        <v/>
      </c>
      <c r="H837">
        <f>IF(ISBLANK('ENGAGEMENTS 2026'!C837),"",'ENGAGEMENTS 2026'!AF837)</f>
        <v/>
      </c>
      <c r="I837">
        <f>IF(ISBLANK('ENGAGEMENTS 2026'!C837),"",'ENGAGEMENTS 2026'!H837)</f>
        <v/>
      </c>
      <c r="J837" s="275">
        <f>IF(ISBLANK('ENGAGEMENTS 2026'!C837),"",IF(AND(OR($E837="INFRUCTUEUX",$E837="ANNULE"),$C837="AOO-M"),'ENGAGEMENTS 2026'!P837,IF($H837="EN COURS DE PREENGAGEMENT",'ENGAGEMENTS 2026'!O837,IF($H837="PREENGAGE",IF($E837="ATTRIBUE",'ENGAGEMENTS 2026'!AE837,'ENGAGEMENTS 2026'!O837),'ENGAGEMENTS 2026'!AE837))))</f>
        <v/>
      </c>
      <c r="K837" s="604">
        <f>IF(ISBLANK('ENGAGEMENTS 2026'!W837),"",'ENGAGEMENTS 2026'!W837)</f>
        <v/>
      </c>
      <c r="L837" s="276">
        <f>IF($K837="","",TODAY()-$K837)</f>
        <v/>
      </c>
      <c r="M837">
        <f>IF($A837="","",IF($H837="ENGAGE","Engagé",IF(AND($H837="NON ENGAGE",OR($I837="INFRUCTUEUX",$I837="ANNULE")),"Clôturé sans suite","En cours")))</f>
        <v/>
      </c>
      <c r="N837">
        <f>IF(ISBLANK('ENGAGEMENTS 2026'!C837),"",'ENGAGEMENTS 2026'!L837)</f>
        <v/>
      </c>
      <c r="O837">
        <f>IF(ISBLANK('ENGAGEMENTS 2026'!C837),"",'ENGAGEMENTS 2026'!M837)</f>
        <v/>
      </c>
      <c r="P837">
        <f>IF(ISBLANK('ENGAGEMENTS 2026'!C837),"",'ENGAGEMENTS 2026'!K837)</f>
        <v/>
      </c>
      <c r="Q837">
        <f>IF($A837="","",IF(OR($E837="INFRUCTUEUX",$E837="ANNULE"),$A837&amp;"|"&amp;(COUNTIFS($A$2:$A837,$A837,$E$2:$E837,"INFRUCTUEUX")+COUNTIFS($A$2:$A837,$A837,$E$2:$E837,"ANNULE")),""))</f>
        <v/>
      </c>
    </row>
    <row r="838">
      <c r="A838">
        <f>IF(ISBLANK('ENGAGEMENTS 2026'!C838),"",IF('ENGAGEMENTS 2026'!C838="DTSI","DCT",'ENGAGEMENTS 2026'!C838))</f>
        <v/>
      </c>
      <c r="B838">
        <f>IF(ISBLANK('ENGAGEMENTS 2026'!C838),"",'ENGAGEMENTS 2026'!D838)</f>
        <v/>
      </c>
      <c r="C838">
        <f>IF(ISBLANK('ENGAGEMENTS 2026'!C838),"",'ENGAGEMENTS 2026'!E838)</f>
        <v/>
      </c>
      <c r="D838">
        <f>IF(ISBLANK('ENGAGEMENTS 2026'!C838),"",'ENGAGEMENTS 2026'!G838)</f>
        <v/>
      </c>
      <c r="E838">
        <f>IF(ISBLANK('ENGAGEMENTS 2026'!C838),"",'ENGAGEMENTS 2026'!I838)</f>
        <v/>
      </c>
      <c r="F838">
        <f>IF(ISBLANK('ENGAGEMENTS 2026'!C838),"",'ENGAGEMENTS 2026'!J838)</f>
        <v/>
      </c>
      <c r="G838">
        <f>IF(ISBLANK('ENGAGEMENTS 2026'!C838),"",'ENGAGEMENTS 2026'!M838)</f>
        <v/>
      </c>
      <c r="H838">
        <f>IF(ISBLANK('ENGAGEMENTS 2026'!C838),"",'ENGAGEMENTS 2026'!AF838)</f>
        <v/>
      </c>
      <c r="I838">
        <f>IF(ISBLANK('ENGAGEMENTS 2026'!C838),"",'ENGAGEMENTS 2026'!H838)</f>
        <v/>
      </c>
      <c r="J838" s="275">
        <f>IF(ISBLANK('ENGAGEMENTS 2026'!C838),"",IF(AND(OR($E838="INFRUCTUEUX",$E838="ANNULE"),$C838="AOO-M"),'ENGAGEMENTS 2026'!P838,IF($H838="EN COURS DE PREENGAGEMENT",'ENGAGEMENTS 2026'!O838,IF($H838="PREENGAGE",IF($E838="ATTRIBUE",'ENGAGEMENTS 2026'!AE838,'ENGAGEMENTS 2026'!O838),'ENGAGEMENTS 2026'!AE838))))</f>
        <v/>
      </c>
      <c r="K838" s="604">
        <f>IF(ISBLANK('ENGAGEMENTS 2026'!W838),"",'ENGAGEMENTS 2026'!W838)</f>
        <v/>
      </c>
      <c r="L838" s="276">
        <f>IF($K838="","",TODAY()-$K838)</f>
        <v/>
      </c>
      <c r="M838">
        <f>IF($A838="","",IF($H838="ENGAGE","Engagé",IF(AND($H838="NON ENGAGE",OR($I838="INFRUCTUEUX",$I838="ANNULE")),"Clôturé sans suite","En cours")))</f>
        <v/>
      </c>
      <c r="N838">
        <f>IF(ISBLANK('ENGAGEMENTS 2026'!C838),"",'ENGAGEMENTS 2026'!L838)</f>
        <v/>
      </c>
      <c r="O838">
        <f>IF(ISBLANK('ENGAGEMENTS 2026'!C838),"",'ENGAGEMENTS 2026'!M838)</f>
        <v/>
      </c>
      <c r="P838">
        <f>IF(ISBLANK('ENGAGEMENTS 2026'!C838),"",'ENGAGEMENTS 2026'!K838)</f>
        <v/>
      </c>
      <c r="Q838">
        <f>IF($A838="","",IF(OR($E838="INFRUCTUEUX",$E838="ANNULE"),$A838&amp;"|"&amp;(COUNTIFS($A$2:$A838,$A838,$E$2:$E838,"INFRUCTUEUX")+COUNTIFS($A$2:$A838,$A838,$E$2:$E838,"ANNULE")),""))</f>
        <v/>
      </c>
    </row>
    <row r="839">
      <c r="A839">
        <f>IF(ISBLANK('ENGAGEMENTS 2026'!C839),"",IF('ENGAGEMENTS 2026'!C839="DTSI","DCT",'ENGAGEMENTS 2026'!C839))</f>
        <v/>
      </c>
      <c r="B839">
        <f>IF(ISBLANK('ENGAGEMENTS 2026'!C839),"",'ENGAGEMENTS 2026'!D839)</f>
        <v/>
      </c>
      <c r="C839">
        <f>IF(ISBLANK('ENGAGEMENTS 2026'!C839),"",'ENGAGEMENTS 2026'!E839)</f>
        <v/>
      </c>
      <c r="D839">
        <f>IF(ISBLANK('ENGAGEMENTS 2026'!C839),"",'ENGAGEMENTS 2026'!G839)</f>
        <v/>
      </c>
      <c r="E839">
        <f>IF(ISBLANK('ENGAGEMENTS 2026'!C839),"",'ENGAGEMENTS 2026'!I839)</f>
        <v/>
      </c>
      <c r="F839">
        <f>IF(ISBLANK('ENGAGEMENTS 2026'!C839),"",'ENGAGEMENTS 2026'!J839)</f>
        <v/>
      </c>
      <c r="G839">
        <f>IF(ISBLANK('ENGAGEMENTS 2026'!C839),"",'ENGAGEMENTS 2026'!M839)</f>
        <v/>
      </c>
      <c r="H839">
        <f>IF(ISBLANK('ENGAGEMENTS 2026'!C839),"",'ENGAGEMENTS 2026'!AF839)</f>
        <v/>
      </c>
      <c r="I839">
        <f>IF(ISBLANK('ENGAGEMENTS 2026'!C839),"",'ENGAGEMENTS 2026'!H839)</f>
        <v/>
      </c>
      <c r="J839" s="275">
        <f>IF(ISBLANK('ENGAGEMENTS 2026'!C839),"",IF(AND(OR($E839="INFRUCTUEUX",$E839="ANNULE"),$C839="AOO-M"),'ENGAGEMENTS 2026'!P839,IF($H839="EN COURS DE PREENGAGEMENT",'ENGAGEMENTS 2026'!O839,IF($H839="PREENGAGE",IF($E839="ATTRIBUE",'ENGAGEMENTS 2026'!AE839,'ENGAGEMENTS 2026'!O839),'ENGAGEMENTS 2026'!AE839))))</f>
        <v/>
      </c>
      <c r="K839" s="604">
        <f>IF(ISBLANK('ENGAGEMENTS 2026'!W839),"",'ENGAGEMENTS 2026'!W839)</f>
        <v/>
      </c>
      <c r="L839" s="276">
        <f>IF($K839="","",TODAY()-$K839)</f>
        <v/>
      </c>
      <c r="M839">
        <f>IF($A839="","",IF($H839="ENGAGE","Engagé",IF(AND($H839="NON ENGAGE",OR($I839="INFRUCTUEUX",$I839="ANNULE")),"Clôturé sans suite","En cours")))</f>
        <v/>
      </c>
      <c r="N839">
        <f>IF(ISBLANK('ENGAGEMENTS 2026'!C839),"",'ENGAGEMENTS 2026'!L839)</f>
        <v/>
      </c>
      <c r="O839">
        <f>IF(ISBLANK('ENGAGEMENTS 2026'!C839),"",'ENGAGEMENTS 2026'!M839)</f>
        <v/>
      </c>
      <c r="P839">
        <f>IF(ISBLANK('ENGAGEMENTS 2026'!C839),"",'ENGAGEMENTS 2026'!K839)</f>
        <v/>
      </c>
      <c r="Q839">
        <f>IF($A839="","",IF(OR($E839="INFRUCTUEUX",$E839="ANNULE"),$A839&amp;"|"&amp;(COUNTIFS($A$2:$A839,$A839,$E$2:$E839,"INFRUCTUEUX")+COUNTIFS($A$2:$A839,$A839,$E$2:$E839,"ANNULE")),""))</f>
        <v/>
      </c>
    </row>
    <row r="840">
      <c r="A840">
        <f>IF(ISBLANK('ENGAGEMENTS 2026'!C840),"",IF('ENGAGEMENTS 2026'!C840="DTSI","DCT",'ENGAGEMENTS 2026'!C840))</f>
        <v/>
      </c>
      <c r="B840">
        <f>IF(ISBLANK('ENGAGEMENTS 2026'!C840),"",'ENGAGEMENTS 2026'!D840)</f>
        <v/>
      </c>
      <c r="C840">
        <f>IF(ISBLANK('ENGAGEMENTS 2026'!C840),"",'ENGAGEMENTS 2026'!E840)</f>
        <v/>
      </c>
      <c r="D840">
        <f>IF(ISBLANK('ENGAGEMENTS 2026'!C840),"",'ENGAGEMENTS 2026'!G840)</f>
        <v/>
      </c>
      <c r="E840">
        <f>IF(ISBLANK('ENGAGEMENTS 2026'!C840),"",'ENGAGEMENTS 2026'!I840)</f>
        <v/>
      </c>
      <c r="F840">
        <f>IF(ISBLANK('ENGAGEMENTS 2026'!C840),"",'ENGAGEMENTS 2026'!J840)</f>
        <v/>
      </c>
      <c r="G840">
        <f>IF(ISBLANK('ENGAGEMENTS 2026'!C840),"",'ENGAGEMENTS 2026'!M840)</f>
        <v/>
      </c>
      <c r="H840">
        <f>IF(ISBLANK('ENGAGEMENTS 2026'!C840),"",'ENGAGEMENTS 2026'!AF840)</f>
        <v/>
      </c>
      <c r="I840">
        <f>IF(ISBLANK('ENGAGEMENTS 2026'!C840),"",'ENGAGEMENTS 2026'!H840)</f>
        <v/>
      </c>
      <c r="J840" s="275">
        <f>IF(ISBLANK('ENGAGEMENTS 2026'!C840),"",IF(AND(OR($E840="INFRUCTUEUX",$E840="ANNULE"),$C840="AOO-M"),'ENGAGEMENTS 2026'!P840,IF($H840="EN COURS DE PREENGAGEMENT",'ENGAGEMENTS 2026'!O840,IF($H840="PREENGAGE",IF($E840="ATTRIBUE",'ENGAGEMENTS 2026'!AE840,'ENGAGEMENTS 2026'!O840),'ENGAGEMENTS 2026'!AE840))))</f>
        <v/>
      </c>
      <c r="K840" s="604">
        <f>IF(ISBLANK('ENGAGEMENTS 2026'!W840),"",'ENGAGEMENTS 2026'!W840)</f>
        <v/>
      </c>
      <c r="L840" s="276">
        <f>IF($K840="","",TODAY()-$K840)</f>
        <v/>
      </c>
      <c r="M840">
        <f>IF($A840="","",IF($H840="ENGAGE","Engagé",IF(AND($H840="NON ENGAGE",OR($I840="INFRUCTUEUX",$I840="ANNULE")),"Clôturé sans suite","En cours")))</f>
        <v/>
      </c>
      <c r="N840">
        <f>IF(ISBLANK('ENGAGEMENTS 2026'!C840),"",'ENGAGEMENTS 2026'!L840)</f>
        <v/>
      </c>
      <c r="O840">
        <f>IF(ISBLANK('ENGAGEMENTS 2026'!C840),"",'ENGAGEMENTS 2026'!M840)</f>
        <v/>
      </c>
      <c r="P840">
        <f>IF(ISBLANK('ENGAGEMENTS 2026'!C840),"",'ENGAGEMENTS 2026'!K840)</f>
        <v/>
      </c>
      <c r="Q840">
        <f>IF($A840="","",IF(OR($E840="INFRUCTUEUX",$E840="ANNULE"),$A840&amp;"|"&amp;(COUNTIFS($A$2:$A840,$A840,$E$2:$E840,"INFRUCTUEUX")+COUNTIFS($A$2:$A840,$A840,$E$2:$E840,"ANNULE")),""))</f>
        <v/>
      </c>
    </row>
    <row r="841">
      <c r="A841">
        <f>IF(ISBLANK('ENGAGEMENTS 2026'!C841),"",IF('ENGAGEMENTS 2026'!C841="DTSI","DCT",'ENGAGEMENTS 2026'!C841))</f>
        <v/>
      </c>
      <c r="B841">
        <f>IF(ISBLANK('ENGAGEMENTS 2026'!C841),"",'ENGAGEMENTS 2026'!D841)</f>
        <v/>
      </c>
      <c r="C841">
        <f>IF(ISBLANK('ENGAGEMENTS 2026'!C841),"",'ENGAGEMENTS 2026'!E841)</f>
        <v/>
      </c>
      <c r="D841">
        <f>IF(ISBLANK('ENGAGEMENTS 2026'!C841),"",'ENGAGEMENTS 2026'!G841)</f>
        <v/>
      </c>
      <c r="E841">
        <f>IF(ISBLANK('ENGAGEMENTS 2026'!C841),"",'ENGAGEMENTS 2026'!I841)</f>
        <v/>
      </c>
      <c r="F841">
        <f>IF(ISBLANK('ENGAGEMENTS 2026'!C841),"",'ENGAGEMENTS 2026'!J841)</f>
        <v/>
      </c>
      <c r="G841">
        <f>IF(ISBLANK('ENGAGEMENTS 2026'!C841),"",'ENGAGEMENTS 2026'!M841)</f>
        <v/>
      </c>
      <c r="H841">
        <f>IF(ISBLANK('ENGAGEMENTS 2026'!C841),"",'ENGAGEMENTS 2026'!AF841)</f>
        <v/>
      </c>
      <c r="I841">
        <f>IF(ISBLANK('ENGAGEMENTS 2026'!C841),"",'ENGAGEMENTS 2026'!H841)</f>
        <v/>
      </c>
      <c r="J841" s="275">
        <f>IF(ISBLANK('ENGAGEMENTS 2026'!C841),"",IF(AND(OR($E841="INFRUCTUEUX",$E841="ANNULE"),$C841="AOO-M"),'ENGAGEMENTS 2026'!P841,IF($H841="EN COURS DE PREENGAGEMENT",'ENGAGEMENTS 2026'!O841,IF($H841="PREENGAGE",IF($E841="ATTRIBUE",'ENGAGEMENTS 2026'!AE841,'ENGAGEMENTS 2026'!O841),'ENGAGEMENTS 2026'!AE841))))</f>
        <v/>
      </c>
      <c r="K841" s="604">
        <f>IF(ISBLANK('ENGAGEMENTS 2026'!W841),"",'ENGAGEMENTS 2026'!W841)</f>
        <v/>
      </c>
      <c r="L841" s="276">
        <f>IF($K841="","",TODAY()-$K841)</f>
        <v/>
      </c>
      <c r="M841">
        <f>IF($A841="","",IF($H841="ENGAGE","Engagé",IF(AND($H841="NON ENGAGE",OR($I841="INFRUCTUEUX",$I841="ANNULE")),"Clôturé sans suite","En cours")))</f>
        <v/>
      </c>
      <c r="N841">
        <f>IF(ISBLANK('ENGAGEMENTS 2026'!C841),"",'ENGAGEMENTS 2026'!L841)</f>
        <v/>
      </c>
      <c r="O841">
        <f>IF(ISBLANK('ENGAGEMENTS 2026'!C841),"",'ENGAGEMENTS 2026'!M841)</f>
        <v/>
      </c>
      <c r="P841">
        <f>IF(ISBLANK('ENGAGEMENTS 2026'!C841),"",'ENGAGEMENTS 2026'!K841)</f>
        <v/>
      </c>
      <c r="Q841">
        <f>IF($A841="","",IF(OR($E841="INFRUCTUEUX",$E841="ANNULE"),$A841&amp;"|"&amp;(COUNTIFS($A$2:$A841,$A841,$E$2:$E841,"INFRUCTUEUX")+COUNTIFS($A$2:$A841,$A841,$E$2:$E841,"ANNULE")),""))</f>
        <v/>
      </c>
    </row>
    <row r="842">
      <c r="A842">
        <f>IF(ISBLANK('ENGAGEMENTS 2026'!C842),"",IF('ENGAGEMENTS 2026'!C842="DTSI","DCT",'ENGAGEMENTS 2026'!C842))</f>
        <v/>
      </c>
      <c r="B842">
        <f>IF(ISBLANK('ENGAGEMENTS 2026'!C842),"",'ENGAGEMENTS 2026'!D842)</f>
        <v/>
      </c>
      <c r="C842">
        <f>IF(ISBLANK('ENGAGEMENTS 2026'!C842),"",'ENGAGEMENTS 2026'!E842)</f>
        <v/>
      </c>
      <c r="D842">
        <f>IF(ISBLANK('ENGAGEMENTS 2026'!C842),"",'ENGAGEMENTS 2026'!G842)</f>
        <v/>
      </c>
      <c r="E842">
        <f>IF(ISBLANK('ENGAGEMENTS 2026'!C842),"",'ENGAGEMENTS 2026'!I842)</f>
        <v/>
      </c>
      <c r="F842">
        <f>IF(ISBLANK('ENGAGEMENTS 2026'!C842),"",'ENGAGEMENTS 2026'!J842)</f>
        <v/>
      </c>
      <c r="G842">
        <f>IF(ISBLANK('ENGAGEMENTS 2026'!C842),"",'ENGAGEMENTS 2026'!M842)</f>
        <v/>
      </c>
      <c r="H842">
        <f>IF(ISBLANK('ENGAGEMENTS 2026'!C842),"",'ENGAGEMENTS 2026'!AF842)</f>
        <v/>
      </c>
      <c r="I842">
        <f>IF(ISBLANK('ENGAGEMENTS 2026'!C842),"",'ENGAGEMENTS 2026'!H842)</f>
        <v/>
      </c>
      <c r="J842" s="275">
        <f>IF(ISBLANK('ENGAGEMENTS 2026'!C842),"",IF(AND(OR($E842="INFRUCTUEUX",$E842="ANNULE"),$C842="AOO-M"),'ENGAGEMENTS 2026'!P842,IF($H842="EN COURS DE PREENGAGEMENT",'ENGAGEMENTS 2026'!O842,IF($H842="PREENGAGE",IF($E842="ATTRIBUE",'ENGAGEMENTS 2026'!AE842,'ENGAGEMENTS 2026'!O842),'ENGAGEMENTS 2026'!AE842))))</f>
        <v/>
      </c>
      <c r="K842" s="604">
        <f>IF(ISBLANK('ENGAGEMENTS 2026'!W842),"",'ENGAGEMENTS 2026'!W842)</f>
        <v/>
      </c>
      <c r="L842" s="276">
        <f>IF($K842="","",TODAY()-$K842)</f>
        <v/>
      </c>
      <c r="M842">
        <f>IF($A842="","",IF($H842="ENGAGE","Engagé",IF(AND($H842="NON ENGAGE",OR($I842="INFRUCTUEUX",$I842="ANNULE")),"Clôturé sans suite","En cours")))</f>
        <v/>
      </c>
      <c r="N842">
        <f>IF(ISBLANK('ENGAGEMENTS 2026'!C842),"",'ENGAGEMENTS 2026'!L842)</f>
        <v/>
      </c>
      <c r="O842">
        <f>IF(ISBLANK('ENGAGEMENTS 2026'!C842),"",'ENGAGEMENTS 2026'!M842)</f>
        <v/>
      </c>
      <c r="P842">
        <f>IF(ISBLANK('ENGAGEMENTS 2026'!C842),"",'ENGAGEMENTS 2026'!K842)</f>
        <v/>
      </c>
      <c r="Q842">
        <f>IF($A842="","",IF(OR($E842="INFRUCTUEUX",$E842="ANNULE"),$A842&amp;"|"&amp;(COUNTIFS($A$2:$A842,$A842,$E$2:$E842,"INFRUCTUEUX")+COUNTIFS($A$2:$A842,$A842,$E$2:$E842,"ANNULE")),""))</f>
        <v/>
      </c>
    </row>
    <row r="843">
      <c r="A843">
        <f>IF(ISBLANK('ENGAGEMENTS 2026'!C843),"",IF('ENGAGEMENTS 2026'!C843="DTSI","DCT",'ENGAGEMENTS 2026'!C843))</f>
        <v/>
      </c>
      <c r="B843">
        <f>IF(ISBLANK('ENGAGEMENTS 2026'!C843),"",'ENGAGEMENTS 2026'!D843)</f>
        <v/>
      </c>
      <c r="C843">
        <f>IF(ISBLANK('ENGAGEMENTS 2026'!C843),"",'ENGAGEMENTS 2026'!E843)</f>
        <v/>
      </c>
      <c r="D843">
        <f>IF(ISBLANK('ENGAGEMENTS 2026'!C843),"",'ENGAGEMENTS 2026'!G843)</f>
        <v/>
      </c>
      <c r="E843">
        <f>IF(ISBLANK('ENGAGEMENTS 2026'!C843),"",'ENGAGEMENTS 2026'!I843)</f>
        <v/>
      </c>
      <c r="F843">
        <f>IF(ISBLANK('ENGAGEMENTS 2026'!C843),"",'ENGAGEMENTS 2026'!J843)</f>
        <v/>
      </c>
      <c r="G843">
        <f>IF(ISBLANK('ENGAGEMENTS 2026'!C843),"",'ENGAGEMENTS 2026'!M843)</f>
        <v/>
      </c>
      <c r="H843">
        <f>IF(ISBLANK('ENGAGEMENTS 2026'!C843),"",'ENGAGEMENTS 2026'!AF843)</f>
        <v/>
      </c>
      <c r="I843">
        <f>IF(ISBLANK('ENGAGEMENTS 2026'!C843),"",'ENGAGEMENTS 2026'!H843)</f>
        <v/>
      </c>
      <c r="J843" s="275">
        <f>IF(ISBLANK('ENGAGEMENTS 2026'!C843),"",IF(AND(OR($E843="INFRUCTUEUX",$E843="ANNULE"),$C843="AOO-M"),'ENGAGEMENTS 2026'!P843,IF($H843="EN COURS DE PREENGAGEMENT",'ENGAGEMENTS 2026'!O843,IF($H843="PREENGAGE",IF($E843="ATTRIBUE",'ENGAGEMENTS 2026'!AE843,'ENGAGEMENTS 2026'!O843),'ENGAGEMENTS 2026'!AE843))))</f>
        <v/>
      </c>
      <c r="K843" s="604">
        <f>IF(ISBLANK('ENGAGEMENTS 2026'!W843),"",'ENGAGEMENTS 2026'!W843)</f>
        <v/>
      </c>
      <c r="L843" s="276">
        <f>IF($K843="","",TODAY()-$K843)</f>
        <v/>
      </c>
      <c r="M843">
        <f>IF($A843="","",IF($H843="ENGAGE","Engagé",IF(AND($H843="NON ENGAGE",OR($I843="INFRUCTUEUX",$I843="ANNULE")),"Clôturé sans suite","En cours")))</f>
        <v/>
      </c>
      <c r="N843">
        <f>IF(ISBLANK('ENGAGEMENTS 2026'!C843),"",'ENGAGEMENTS 2026'!L843)</f>
        <v/>
      </c>
      <c r="O843">
        <f>IF(ISBLANK('ENGAGEMENTS 2026'!C843),"",'ENGAGEMENTS 2026'!M843)</f>
        <v/>
      </c>
      <c r="P843">
        <f>IF(ISBLANK('ENGAGEMENTS 2026'!C843),"",'ENGAGEMENTS 2026'!K843)</f>
        <v/>
      </c>
      <c r="Q843">
        <f>IF($A843="","",IF(OR($E843="INFRUCTUEUX",$E843="ANNULE"),$A843&amp;"|"&amp;(COUNTIFS($A$2:$A843,$A843,$E$2:$E843,"INFRUCTUEUX")+COUNTIFS($A$2:$A843,$A843,$E$2:$E843,"ANNULE")),""))</f>
        <v/>
      </c>
    </row>
    <row r="844">
      <c r="A844">
        <f>IF(ISBLANK('ENGAGEMENTS 2026'!C844),"",IF('ENGAGEMENTS 2026'!C844="DTSI","DCT",'ENGAGEMENTS 2026'!C844))</f>
        <v/>
      </c>
      <c r="B844">
        <f>IF(ISBLANK('ENGAGEMENTS 2026'!C844),"",'ENGAGEMENTS 2026'!D844)</f>
        <v/>
      </c>
      <c r="C844">
        <f>IF(ISBLANK('ENGAGEMENTS 2026'!C844),"",'ENGAGEMENTS 2026'!E844)</f>
        <v/>
      </c>
      <c r="D844">
        <f>IF(ISBLANK('ENGAGEMENTS 2026'!C844),"",'ENGAGEMENTS 2026'!G844)</f>
        <v/>
      </c>
      <c r="E844">
        <f>IF(ISBLANK('ENGAGEMENTS 2026'!C844),"",'ENGAGEMENTS 2026'!I844)</f>
        <v/>
      </c>
      <c r="F844">
        <f>IF(ISBLANK('ENGAGEMENTS 2026'!C844),"",'ENGAGEMENTS 2026'!J844)</f>
        <v/>
      </c>
      <c r="G844">
        <f>IF(ISBLANK('ENGAGEMENTS 2026'!C844),"",'ENGAGEMENTS 2026'!M844)</f>
        <v/>
      </c>
      <c r="H844">
        <f>IF(ISBLANK('ENGAGEMENTS 2026'!C844),"",'ENGAGEMENTS 2026'!AF844)</f>
        <v/>
      </c>
      <c r="I844">
        <f>IF(ISBLANK('ENGAGEMENTS 2026'!C844),"",'ENGAGEMENTS 2026'!H844)</f>
        <v/>
      </c>
      <c r="J844" s="275">
        <f>IF(ISBLANK('ENGAGEMENTS 2026'!C844),"",IF(AND(OR($E844="INFRUCTUEUX",$E844="ANNULE"),$C844="AOO-M"),'ENGAGEMENTS 2026'!P844,IF($H844="EN COURS DE PREENGAGEMENT",'ENGAGEMENTS 2026'!O844,IF($H844="PREENGAGE",IF($E844="ATTRIBUE",'ENGAGEMENTS 2026'!AE844,'ENGAGEMENTS 2026'!O844),'ENGAGEMENTS 2026'!AE844))))</f>
        <v/>
      </c>
      <c r="K844" s="604">
        <f>IF(ISBLANK('ENGAGEMENTS 2026'!W844),"",'ENGAGEMENTS 2026'!W844)</f>
        <v/>
      </c>
      <c r="L844" s="276">
        <f>IF($K844="","",TODAY()-$K844)</f>
        <v/>
      </c>
      <c r="M844">
        <f>IF($A844="","",IF($H844="ENGAGE","Engagé",IF(AND($H844="NON ENGAGE",OR($I844="INFRUCTUEUX",$I844="ANNULE")),"Clôturé sans suite","En cours")))</f>
        <v/>
      </c>
      <c r="N844">
        <f>IF(ISBLANK('ENGAGEMENTS 2026'!C844),"",'ENGAGEMENTS 2026'!L844)</f>
        <v/>
      </c>
      <c r="O844">
        <f>IF(ISBLANK('ENGAGEMENTS 2026'!C844),"",'ENGAGEMENTS 2026'!M844)</f>
        <v/>
      </c>
      <c r="P844">
        <f>IF(ISBLANK('ENGAGEMENTS 2026'!C844),"",'ENGAGEMENTS 2026'!K844)</f>
        <v/>
      </c>
      <c r="Q844">
        <f>IF($A844="","",IF(OR($E844="INFRUCTUEUX",$E844="ANNULE"),$A844&amp;"|"&amp;(COUNTIFS($A$2:$A844,$A844,$E$2:$E844,"INFRUCTUEUX")+COUNTIFS($A$2:$A844,$A844,$E$2:$E844,"ANNULE")),""))</f>
        <v/>
      </c>
    </row>
    <row r="845">
      <c r="A845">
        <f>IF(ISBLANK('ENGAGEMENTS 2026'!C845),"",IF('ENGAGEMENTS 2026'!C845="DTSI","DCT",'ENGAGEMENTS 2026'!C845))</f>
        <v/>
      </c>
      <c r="B845">
        <f>IF(ISBLANK('ENGAGEMENTS 2026'!C845),"",'ENGAGEMENTS 2026'!D845)</f>
        <v/>
      </c>
      <c r="C845">
        <f>IF(ISBLANK('ENGAGEMENTS 2026'!C845),"",'ENGAGEMENTS 2026'!E845)</f>
        <v/>
      </c>
      <c r="D845">
        <f>IF(ISBLANK('ENGAGEMENTS 2026'!C845),"",'ENGAGEMENTS 2026'!G845)</f>
        <v/>
      </c>
      <c r="E845">
        <f>IF(ISBLANK('ENGAGEMENTS 2026'!C845),"",'ENGAGEMENTS 2026'!I845)</f>
        <v/>
      </c>
      <c r="F845">
        <f>IF(ISBLANK('ENGAGEMENTS 2026'!C845),"",'ENGAGEMENTS 2026'!J845)</f>
        <v/>
      </c>
      <c r="G845">
        <f>IF(ISBLANK('ENGAGEMENTS 2026'!C845),"",'ENGAGEMENTS 2026'!M845)</f>
        <v/>
      </c>
      <c r="H845">
        <f>IF(ISBLANK('ENGAGEMENTS 2026'!C845),"",'ENGAGEMENTS 2026'!AF845)</f>
        <v/>
      </c>
      <c r="I845">
        <f>IF(ISBLANK('ENGAGEMENTS 2026'!C845),"",'ENGAGEMENTS 2026'!H845)</f>
        <v/>
      </c>
      <c r="J845" s="275">
        <f>IF(ISBLANK('ENGAGEMENTS 2026'!C845),"",IF(AND(OR($E845="INFRUCTUEUX",$E845="ANNULE"),$C845="AOO-M"),'ENGAGEMENTS 2026'!P845,IF($H845="EN COURS DE PREENGAGEMENT",'ENGAGEMENTS 2026'!O845,IF($H845="PREENGAGE",IF($E845="ATTRIBUE",'ENGAGEMENTS 2026'!AE845,'ENGAGEMENTS 2026'!O845),'ENGAGEMENTS 2026'!AE845))))</f>
        <v/>
      </c>
      <c r="K845" s="604">
        <f>IF(ISBLANK('ENGAGEMENTS 2026'!W845),"",'ENGAGEMENTS 2026'!W845)</f>
        <v/>
      </c>
      <c r="L845" s="276">
        <f>IF($K845="","",TODAY()-$K845)</f>
        <v/>
      </c>
      <c r="M845">
        <f>IF($A845="","",IF($H845="ENGAGE","Engagé",IF(AND($H845="NON ENGAGE",OR($I845="INFRUCTUEUX",$I845="ANNULE")),"Clôturé sans suite","En cours")))</f>
        <v/>
      </c>
      <c r="N845">
        <f>IF(ISBLANK('ENGAGEMENTS 2026'!C845),"",'ENGAGEMENTS 2026'!L845)</f>
        <v/>
      </c>
      <c r="O845">
        <f>IF(ISBLANK('ENGAGEMENTS 2026'!C845),"",'ENGAGEMENTS 2026'!M845)</f>
        <v/>
      </c>
      <c r="P845">
        <f>IF(ISBLANK('ENGAGEMENTS 2026'!C845),"",'ENGAGEMENTS 2026'!K845)</f>
        <v/>
      </c>
      <c r="Q845">
        <f>IF($A845="","",IF(OR($E845="INFRUCTUEUX",$E845="ANNULE"),$A845&amp;"|"&amp;(COUNTIFS($A$2:$A845,$A845,$E$2:$E845,"INFRUCTUEUX")+COUNTIFS($A$2:$A845,$A845,$E$2:$E845,"ANNULE")),""))</f>
        <v/>
      </c>
    </row>
    <row r="846">
      <c r="A846">
        <f>IF(ISBLANK('ENGAGEMENTS 2026'!C846),"",IF('ENGAGEMENTS 2026'!C846="DTSI","DCT",'ENGAGEMENTS 2026'!C846))</f>
        <v/>
      </c>
      <c r="B846">
        <f>IF(ISBLANK('ENGAGEMENTS 2026'!C846),"",'ENGAGEMENTS 2026'!D846)</f>
        <v/>
      </c>
      <c r="C846">
        <f>IF(ISBLANK('ENGAGEMENTS 2026'!C846),"",'ENGAGEMENTS 2026'!E846)</f>
        <v/>
      </c>
      <c r="D846">
        <f>IF(ISBLANK('ENGAGEMENTS 2026'!C846),"",'ENGAGEMENTS 2026'!G846)</f>
        <v/>
      </c>
      <c r="E846">
        <f>IF(ISBLANK('ENGAGEMENTS 2026'!C846),"",'ENGAGEMENTS 2026'!I846)</f>
        <v/>
      </c>
      <c r="F846">
        <f>IF(ISBLANK('ENGAGEMENTS 2026'!C846),"",'ENGAGEMENTS 2026'!J846)</f>
        <v/>
      </c>
      <c r="G846">
        <f>IF(ISBLANK('ENGAGEMENTS 2026'!C846),"",'ENGAGEMENTS 2026'!M846)</f>
        <v/>
      </c>
      <c r="H846">
        <f>IF(ISBLANK('ENGAGEMENTS 2026'!C846),"",'ENGAGEMENTS 2026'!AF846)</f>
        <v/>
      </c>
      <c r="I846">
        <f>IF(ISBLANK('ENGAGEMENTS 2026'!C846),"",'ENGAGEMENTS 2026'!H846)</f>
        <v/>
      </c>
      <c r="J846" s="275">
        <f>IF(ISBLANK('ENGAGEMENTS 2026'!C846),"",IF(AND(OR($E846="INFRUCTUEUX",$E846="ANNULE"),$C846="AOO-M"),'ENGAGEMENTS 2026'!P846,IF($H846="EN COURS DE PREENGAGEMENT",'ENGAGEMENTS 2026'!O846,IF($H846="PREENGAGE",IF($E846="ATTRIBUE",'ENGAGEMENTS 2026'!AE846,'ENGAGEMENTS 2026'!O846),'ENGAGEMENTS 2026'!AE846))))</f>
        <v/>
      </c>
      <c r="K846" s="604">
        <f>IF(ISBLANK('ENGAGEMENTS 2026'!W846),"",'ENGAGEMENTS 2026'!W846)</f>
        <v/>
      </c>
      <c r="L846" s="276">
        <f>IF($K846="","",TODAY()-$K846)</f>
        <v/>
      </c>
      <c r="M846">
        <f>IF($A846="","",IF($H846="ENGAGE","Engagé",IF(AND($H846="NON ENGAGE",OR($I846="INFRUCTUEUX",$I846="ANNULE")),"Clôturé sans suite","En cours")))</f>
        <v/>
      </c>
      <c r="N846">
        <f>IF(ISBLANK('ENGAGEMENTS 2026'!C846),"",'ENGAGEMENTS 2026'!L846)</f>
        <v/>
      </c>
      <c r="O846">
        <f>IF(ISBLANK('ENGAGEMENTS 2026'!C846),"",'ENGAGEMENTS 2026'!M846)</f>
        <v/>
      </c>
      <c r="P846">
        <f>IF(ISBLANK('ENGAGEMENTS 2026'!C846),"",'ENGAGEMENTS 2026'!K846)</f>
        <v/>
      </c>
      <c r="Q846">
        <f>IF($A846="","",IF(OR($E846="INFRUCTUEUX",$E846="ANNULE"),$A846&amp;"|"&amp;(COUNTIFS($A$2:$A846,$A846,$E$2:$E846,"INFRUCTUEUX")+COUNTIFS($A$2:$A846,$A846,$E$2:$E846,"ANNULE")),""))</f>
        <v/>
      </c>
    </row>
    <row r="847">
      <c r="A847">
        <f>IF(ISBLANK('ENGAGEMENTS 2026'!C847),"",IF('ENGAGEMENTS 2026'!C847="DTSI","DCT",'ENGAGEMENTS 2026'!C847))</f>
        <v/>
      </c>
      <c r="B847">
        <f>IF(ISBLANK('ENGAGEMENTS 2026'!C847),"",'ENGAGEMENTS 2026'!D847)</f>
        <v/>
      </c>
      <c r="C847">
        <f>IF(ISBLANK('ENGAGEMENTS 2026'!C847),"",'ENGAGEMENTS 2026'!E847)</f>
        <v/>
      </c>
      <c r="D847">
        <f>IF(ISBLANK('ENGAGEMENTS 2026'!C847),"",'ENGAGEMENTS 2026'!G847)</f>
        <v/>
      </c>
      <c r="E847">
        <f>IF(ISBLANK('ENGAGEMENTS 2026'!C847),"",'ENGAGEMENTS 2026'!I847)</f>
        <v/>
      </c>
      <c r="F847">
        <f>IF(ISBLANK('ENGAGEMENTS 2026'!C847),"",'ENGAGEMENTS 2026'!J847)</f>
        <v/>
      </c>
      <c r="G847">
        <f>IF(ISBLANK('ENGAGEMENTS 2026'!C847),"",'ENGAGEMENTS 2026'!M847)</f>
        <v/>
      </c>
      <c r="H847">
        <f>IF(ISBLANK('ENGAGEMENTS 2026'!C847),"",'ENGAGEMENTS 2026'!AF847)</f>
        <v/>
      </c>
      <c r="I847">
        <f>IF(ISBLANK('ENGAGEMENTS 2026'!C847),"",'ENGAGEMENTS 2026'!H847)</f>
        <v/>
      </c>
      <c r="J847" s="275">
        <f>IF(ISBLANK('ENGAGEMENTS 2026'!C847),"",IF(AND(OR($E847="INFRUCTUEUX",$E847="ANNULE"),$C847="AOO-M"),'ENGAGEMENTS 2026'!P847,IF($H847="EN COURS DE PREENGAGEMENT",'ENGAGEMENTS 2026'!O847,IF($H847="PREENGAGE",IF($E847="ATTRIBUE",'ENGAGEMENTS 2026'!AE847,'ENGAGEMENTS 2026'!O847),'ENGAGEMENTS 2026'!AE847))))</f>
        <v/>
      </c>
      <c r="K847" s="604">
        <f>IF(ISBLANK('ENGAGEMENTS 2026'!W847),"",'ENGAGEMENTS 2026'!W847)</f>
        <v/>
      </c>
      <c r="L847" s="276">
        <f>IF($K847="","",TODAY()-$K847)</f>
        <v/>
      </c>
      <c r="M847">
        <f>IF($A847="","",IF($H847="ENGAGE","Engagé",IF(AND($H847="NON ENGAGE",OR($I847="INFRUCTUEUX",$I847="ANNULE")),"Clôturé sans suite","En cours")))</f>
        <v/>
      </c>
      <c r="N847">
        <f>IF(ISBLANK('ENGAGEMENTS 2026'!C847),"",'ENGAGEMENTS 2026'!L847)</f>
        <v/>
      </c>
      <c r="O847">
        <f>IF(ISBLANK('ENGAGEMENTS 2026'!C847),"",'ENGAGEMENTS 2026'!M847)</f>
        <v/>
      </c>
      <c r="P847">
        <f>IF(ISBLANK('ENGAGEMENTS 2026'!C847),"",'ENGAGEMENTS 2026'!K847)</f>
        <v/>
      </c>
      <c r="Q847">
        <f>IF($A847="","",IF(OR($E847="INFRUCTUEUX",$E847="ANNULE"),$A847&amp;"|"&amp;(COUNTIFS($A$2:$A847,$A847,$E$2:$E847,"INFRUCTUEUX")+COUNTIFS($A$2:$A847,$A847,$E$2:$E847,"ANNULE")),""))</f>
        <v/>
      </c>
    </row>
    <row r="848">
      <c r="A848">
        <f>IF(ISBLANK('ENGAGEMENTS 2026'!C848),"",IF('ENGAGEMENTS 2026'!C848="DTSI","DCT",'ENGAGEMENTS 2026'!C848))</f>
        <v/>
      </c>
      <c r="B848">
        <f>IF(ISBLANK('ENGAGEMENTS 2026'!C848),"",'ENGAGEMENTS 2026'!D848)</f>
        <v/>
      </c>
      <c r="C848">
        <f>IF(ISBLANK('ENGAGEMENTS 2026'!C848),"",'ENGAGEMENTS 2026'!E848)</f>
        <v/>
      </c>
      <c r="D848">
        <f>IF(ISBLANK('ENGAGEMENTS 2026'!C848),"",'ENGAGEMENTS 2026'!G848)</f>
        <v/>
      </c>
      <c r="E848">
        <f>IF(ISBLANK('ENGAGEMENTS 2026'!C848),"",'ENGAGEMENTS 2026'!I848)</f>
        <v/>
      </c>
      <c r="F848">
        <f>IF(ISBLANK('ENGAGEMENTS 2026'!C848),"",'ENGAGEMENTS 2026'!J848)</f>
        <v/>
      </c>
      <c r="G848">
        <f>IF(ISBLANK('ENGAGEMENTS 2026'!C848),"",'ENGAGEMENTS 2026'!M848)</f>
        <v/>
      </c>
      <c r="H848">
        <f>IF(ISBLANK('ENGAGEMENTS 2026'!C848),"",'ENGAGEMENTS 2026'!AF848)</f>
        <v/>
      </c>
      <c r="I848">
        <f>IF(ISBLANK('ENGAGEMENTS 2026'!C848),"",'ENGAGEMENTS 2026'!H848)</f>
        <v/>
      </c>
      <c r="J848" s="275">
        <f>IF(ISBLANK('ENGAGEMENTS 2026'!C848),"",IF(AND(OR($E848="INFRUCTUEUX",$E848="ANNULE"),$C848="AOO-M"),'ENGAGEMENTS 2026'!P848,IF($H848="EN COURS DE PREENGAGEMENT",'ENGAGEMENTS 2026'!O848,IF($H848="PREENGAGE",IF($E848="ATTRIBUE",'ENGAGEMENTS 2026'!AE848,'ENGAGEMENTS 2026'!O848),'ENGAGEMENTS 2026'!AE848))))</f>
        <v/>
      </c>
      <c r="K848" s="604">
        <f>IF(ISBLANK('ENGAGEMENTS 2026'!W848),"",'ENGAGEMENTS 2026'!W848)</f>
        <v/>
      </c>
      <c r="L848" s="276">
        <f>IF($K848="","",TODAY()-$K848)</f>
        <v/>
      </c>
      <c r="M848">
        <f>IF($A848="","",IF($H848="ENGAGE","Engagé",IF(AND($H848="NON ENGAGE",OR($I848="INFRUCTUEUX",$I848="ANNULE")),"Clôturé sans suite","En cours")))</f>
        <v/>
      </c>
      <c r="N848">
        <f>IF(ISBLANK('ENGAGEMENTS 2026'!C848),"",'ENGAGEMENTS 2026'!L848)</f>
        <v/>
      </c>
      <c r="O848">
        <f>IF(ISBLANK('ENGAGEMENTS 2026'!C848),"",'ENGAGEMENTS 2026'!M848)</f>
        <v/>
      </c>
      <c r="P848">
        <f>IF(ISBLANK('ENGAGEMENTS 2026'!C848),"",'ENGAGEMENTS 2026'!K848)</f>
        <v/>
      </c>
      <c r="Q848">
        <f>IF($A848="","",IF(OR($E848="INFRUCTUEUX",$E848="ANNULE"),$A848&amp;"|"&amp;(COUNTIFS($A$2:$A848,$A848,$E$2:$E848,"INFRUCTUEUX")+COUNTIFS($A$2:$A848,$A848,$E$2:$E848,"ANNULE")),""))</f>
        <v/>
      </c>
    </row>
    <row r="849">
      <c r="A849">
        <f>IF(ISBLANK('ENGAGEMENTS 2026'!C849),"",IF('ENGAGEMENTS 2026'!C849="DTSI","DCT",'ENGAGEMENTS 2026'!C849))</f>
        <v/>
      </c>
      <c r="B849">
        <f>IF(ISBLANK('ENGAGEMENTS 2026'!C849),"",'ENGAGEMENTS 2026'!D849)</f>
        <v/>
      </c>
      <c r="C849">
        <f>IF(ISBLANK('ENGAGEMENTS 2026'!C849),"",'ENGAGEMENTS 2026'!E849)</f>
        <v/>
      </c>
      <c r="D849">
        <f>IF(ISBLANK('ENGAGEMENTS 2026'!C849),"",'ENGAGEMENTS 2026'!G849)</f>
        <v/>
      </c>
      <c r="E849">
        <f>IF(ISBLANK('ENGAGEMENTS 2026'!C849),"",'ENGAGEMENTS 2026'!I849)</f>
        <v/>
      </c>
      <c r="F849">
        <f>IF(ISBLANK('ENGAGEMENTS 2026'!C849),"",'ENGAGEMENTS 2026'!J849)</f>
        <v/>
      </c>
      <c r="G849">
        <f>IF(ISBLANK('ENGAGEMENTS 2026'!C849),"",'ENGAGEMENTS 2026'!M849)</f>
        <v/>
      </c>
      <c r="H849">
        <f>IF(ISBLANK('ENGAGEMENTS 2026'!C849),"",'ENGAGEMENTS 2026'!AF849)</f>
        <v/>
      </c>
      <c r="I849">
        <f>IF(ISBLANK('ENGAGEMENTS 2026'!C849),"",'ENGAGEMENTS 2026'!H849)</f>
        <v/>
      </c>
      <c r="J849" s="275">
        <f>IF(ISBLANK('ENGAGEMENTS 2026'!C849),"",IF(AND(OR($E849="INFRUCTUEUX",$E849="ANNULE"),$C849="AOO-M"),'ENGAGEMENTS 2026'!P849,IF($H849="EN COURS DE PREENGAGEMENT",'ENGAGEMENTS 2026'!O849,IF($H849="PREENGAGE",IF($E849="ATTRIBUE",'ENGAGEMENTS 2026'!AE849,'ENGAGEMENTS 2026'!O849),'ENGAGEMENTS 2026'!AE849))))</f>
        <v/>
      </c>
      <c r="K849" s="604">
        <f>IF(ISBLANK('ENGAGEMENTS 2026'!W849),"",'ENGAGEMENTS 2026'!W849)</f>
        <v/>
      </c>
      <c r="L849" s="276">
        <f>IF($K849="","",TODAY()-$K849)</f>
        <v/>
      </c>
      <c r="M849">
        <f>IF($A849="","",IF($H849="ENGAGE","Engagé",IF(AND($H849="NON ENGAGE",OR($I849="INFRUCTUEUX",$I849="ANNULE")),"Clôturé sans suite","En cours")))</f>
        <v/>
      </c>
      <c r="N849">
        <f>IF(ISBLANK('ENGAGEMENTS 2026'!C849),"",'ENGAGEMENTS 2026'!L849)</f>
        <v/>
      </c>
      <c r="O849">
        <f>IF(ISBLANK('ENGAGEMENTS 2026'!C849),"",'ENGAGEMENTS 2026'!M849)</f>
        <v/>
      </c>
      <c r="P849">
        <f>IF(ISBLANK('ENGAGEMENTS 2026'!C849),"",'ENGAGEMENTS 2026'!K849)</f>
        <v/>
      </c>
      <c r="Q849">
        <f>IF($A849="","",IF(OR($E849="INFRUCTUEUX",$E849="ANNULE"),$A849&amp;"|"&amp;(COUNTIFS($A$2:$A849,$A849,$E$2:$E849,"INFRUCTUEUX")+COUNTIFS($A$2:$A849,$A849,$E$2:$E849,"ANNULE")),""))</f>
        <v/>
      </c>
    </row>
    <row r="850">
      <c r="A850">
        <f>IF(ISBLANK('ENGAGEMENTS 2026'!C850),"",IF('ENGAGEMENTS 2026'!C850="DTSI","DCT",'ENGAGEMENTS 2026'!C850))</f>
        <v/>
      </c>
      <c r="B850">
        <f>IF(ISBLANK('ENGAGEMENTS 2026'!C850),"",'ENGAGEMENTS 2026'!D850)</f>
        <v/>
      </c>
      <c r="C850">
        <f>IF(ISBLANK('ENGAGEMENTS 2026'!C850),"",'ENGAGEMENTS 2026'!E850)</f>
        <v/>
      </c>
      <c r="D850">
        <f>IF(ISBLANK('ENGAGEMENTS 2026'!C850),"",'ENGAGEMENTS 2026'!G850)</f>
        <v/>
      </c>
      <c r="E850">
        <f>IF(ISBLANK('ENGAGEMENTS 2026'!C850),"",'ENGAGEMENTS 2026'!I850)</f>
        <v/>
      </c>
      <c r="F850">
        <f>IF(ISBLANK('ENGAGEMENTS 2026'!C850),"",'ENGAGEMENTS 2026'!J850)</f>
        <v/>
      </c>
      <c r="G850">
        <f>IF(ISBLANK('ENGAGEMENTS 2026'!C850),"",'ENGAGEMENTS 2026'!M850)</f>
        <v/>
      </c>
      <c r="H850">
        <f>IF(ISBLANK('ENGAGEMENTS 2026'!C850),"",'ENGAGEMENTS 2026'!AF850)</f>
        <v/>
      </c>
      <c r="I850">
        <f>IF(ISBLANK('ENGAGEMENTS 2026'!C850),"",'ENGAGEMENTS 2026'!H850)</f>
        <v/>
      </c>
      <c r="J850" s="275">
        <f>IF(ISBLANK('ENGAGEMENTS 2026'!C850),"",IF(AND(OR($E850="INFRUCTUEUX",$E850="ANNULE"),$C850="AOO-M"),'ENGAGEMENTS 2026'!P850,IF($H850="EN COURS DE PREENGAGEMENT",'ENGAGEMENTS 2026'!O850,IF($H850="PREENGAGE",IF($E850="ATTRIBUE",'ENGAGEMENTS 2026'!AE850,'ENGAGEMENTS 2026'!O850),'ENGAGEMENTS 2026'!AE850))))</f>
        <v/>
      </c>
      <c r="K850" s="604">
        <f>IF(ISBLANK('ENGAGEMENTS 2026'!W850),"",'ENGAGEMENTS 2026'!W850)</f>
        <v/>
      </c>
      <c r="L850" s="276">
        <f>IF($K850="","",TODAY()-$K850)</f>
        <v/>
      </c>
      <c r="M850">
        <f>IF($A850="","",IF($H850="ENGAGE","Engagé",IF(AND($H850="NON ENGAGE",OR($I850="INFRUCTUEUX",$I850="ANNULE")),"Clôturé sans suite","En cours")))</f>
        <v/>
      </c>
      <c r="N850">
        <f>IF(ISBLANK('ENGAGEMENTS 2026'!C850),"",'ENGAGEMENTS 2026'!L850)</f>
        <v/>
      </c>
      <c r="O850">
        <f>IF(ISBLANK('ENGAGEMENTS 2026'!C850),"",'ENGAGEMENTS 2026'!M850)</f>
        <v/>
      </c>
      <c r="P850">
        <f>IF(ISBLANK('ENGAGEMENTS 2026'!C850),"",'ENGAGEMENTS 2026'!K850)</f>
        <v/>
      </c>
      <c r="Q850">
        <f>IF($A850="","",IF(OR($E850="INFRUCTUEUX",$E850="ANNULE"),$A850&amp;"|"&amp;(COUNTIFS($A$2:$A850,$A850,$E$2:$E850,"INFRUCTUEUX")+COUNTIFS($A$2:$A850,$A850,$E$2:$E850,"ANNULE")),""))</f>
        <v/>
      </c>
    </row>
    <row r="851">
      <c r="A851">
        <f>IF(ISBLANK('ENGAGEMENTS 2026'!C851),"",IF('ENGAGEMENTS 2026'!C851="DTSI","DCT",'ENGAGEMENTS 2026'!C851))</f>
        <v/>
      </c>
      <c r="B851">
        <f>IF(ISBLANK('ENGAGEMENTS 2026'!C851),"",'ENGAGEMENTS 2026'!D851)</f>
        <v/>
      </c>
      <c r="C851">
        <f>IF(ISBLANK('ENGAGEMENTS 2026'!C851),"",'ENGAGEMENTS 2026'!E851)</f>
        <v/>
      </c>
      <c r="D851">
        <f>IF(ISBLANK('ENGAGEMENTS 2026'!C851),"",'ENGAGEMENTS 2026'!G851)</f>
        <v/>
      </c>
      <c r="E851">
        <f>IF(ISBLANK('ENGAGEMENTS 2026'!C851),"",'ENGAGEMENTS 2026'!I851)</f>
        <v/>
      </c>
      <c r="F851">
        <f>IF(ISBLANK('ENGAGEMENTS 2026'!C851),"",'ENGAGEMENTS 2026'!J851)</f>
        <v/>
      </c>
      <c r="G851">
        <f>IF(ISBLANK('ENGAGEMENTS 2026'!C851),"",'ENGAGEMENTS 2026'!M851)</f>
        <v/>
      </c>
      <c r="H851">
        <f>IF(ISBLANK('ENGAGEMENTS 2026'!C851),"",'ENGAGEMENTS 2026'!AF851)</f>
        <v/>
      </c>
      <c r="I851">
        <f>IF(ISBLANK('ENGAGEMENTS 2026'!C851),"",'ENGAGEMENTS 2026'!H851)</f>
        <v/>
      </c>
      <c r="J851" s="275">
        <f>IF(ISBLANK('ENGAGEMENTS 2026'!C851),"",IF(AND(OR($E851="INFRUCTUEUX",$E851="ANNULE"),$C851="AOO-M"),'ENGAGEMENTS 2026'!P851,IF($H851="EN COURS DE PREENGAGEMENT",'ENGAGEMENTS 2026'!O851,IF($H851="PREENGAGE",IF($E851="ATTRIBUE",'ENGAGEMENTS 2026'!AE851,'ENGAGEMENTS 2026'!O851),'ENGAGEMENTS 2026'!AE851))))</f>
        <v/>
      </c>
      <c r="K851" s="604">
        <f>IF(ISBLANK('ENGAGEMENTS 2026'!W851),"",'ENGAGEMENTS 2026'!W851)</f>
        <v/>
      </c>
      <c r="L851" s="276">
        <f>IF($K851="","",TODAY()-$K851)</f>
        <v/>
      </c>
      <c r="M851">
        <f>IF($A851="","",IF($H851="ENGAGE","Engagé",IF(AND($H851="NON ENGAGE",OR($I851="INFRUCTUEUX",$I851="ANNULE")),"Clôturé sans suite","En cours")))</f>
        <v/>
      </c>
      <c r="N851">
        <f>IF(ISBLANK('ENGAGEMENTS 2026'!C851),"",'ENGAGEMENTS 2026'!L851)</f>
        <v/>
      </c>
      <c r="O851">
        <f>IF(ISBLANK('ENGAGEMENTS 2026'!C851),"",'ENGAGEMENTS 2026'!M851)</f>
        <v/>
      </c>
      <c r="P851">
        <f>IF(ISBLANK('ENGAGEMENTS 2026'!C851),"",'ENGAGEMENTS 2026'!K851)</f>
        <v/>
      </c>
      <c r="Q851">
        <f>IF($A851="","",IF(OR($E851="INFRUCTUEUX",$E851="ANNULE"),$A851&amp;"|"&amp;(COUNTIFS($A$2:$A851,$A851,$E$2:$E851,"INFRUCTUEUX")+COUNTIFS($A$2:$A851,$A851,$E$2:$E851,"ANNULE")),""))</f>
        <v/>
      </c>
    </row>
    <row r="852">
      <c r="A852">
        <f>IF(ISBLANK('ENGAGEMENTS 2026'!C852),"",IF('ENGAGEMENTS 2026'!C852="DTSI","DCT",'ENGAGEMENTS 2026'!C852))</f>
        <v/>
      </c>
      <c r="B852">
        <f>IF(ISBLANK('ENGAGEMENTS 2026'!C852),"",'ENGAGEMENTS 2026'!D852)</f>
        <v/>
      </c>
      <c r="C852">
        <f>IF(ISBLANK('ENGAGEMENTS 2026'!C852),"",'ENGAGEMENTS 2026'!E852)</f>
        <v/>
      </c>
      <c r="D852">
        <f>IF(ISBLANK('ENGAGEMENTS 2026'!C852),"",'ENGAGEMENTS 2026'!G852)</f>
        <v/>
      </c>
      <c r="E852">
        <f>IF(ISBLANK('ENGAGEMENTS 2026'!C852),"",'ENGAGEMENTS 2026'!I852)</f>
        <v/>
      </c>
      <c r="F852">
        <f>IF(ISBLANK('ENGAGEMENTS 2026'!C852),"",'ENGAGEMENTS 2026'!J852)</f>
        <v/>
      </c>
      <c r="G852">
        <f>IF(ISBLANK('ENGAGEMENTS 2026'!C852),"",'ENGAGEMENTS 2026'!M852)</f>
        <v/>
      </c>
      <c r="H852">
        <f>IF(ISBLANK('ENGAGEMENTS 2026'!C852),"",'ENGAGEMENTS 2026'!AF852)</f>
        <v/>
      </c>
      <c r="I852">
        <f>IF(ISBLANK('ENGAGEMENTS 2026'!C852),"",'ENGAGEMENTS 2026'!H852)</f>
        <v/>
      </c>
      <c r="J852" s="275">
        <f>IF(ISBLANK('ENGAGEMENTS 2026'!C852),"",IF(AND(OR($E852="INFRUCTUEUX",$E852="ANNULE"),$C852="AOO-M"),'ENGAGEMENTS 2026'!P852,IF($H852="EN COURS DE PREENGAGEMENT",'ENGAGEMENTS 2026'!O852,IF($H852="PREENGAGE",IF($E852="ATTRIBUE",'ENGAGEMENTS 2026'!AE852,'ENGAGEMENTS 2026'!O852),'ENGAGEMENTS 2026'!AE852))))</f>
        <v/>
      </c>
      <c r="K852" s="604">
        <f>IF(ISBLANK('ENGAGEMENTS 2026'!W852),"",'ENGAGEMENTS 2026'!W852)</f>
        <v/>
      </c>
      <c r="L852" s="276">
        <f>IF($K852="","",TODAY()-$K852)</f>
        <v/>
      </c>
      <c r="M852">
        <f>IF($A852="","",IF($H852="ENGAGE","Engagé",IF(AND($H852="NON ENGAGE",OR($I852="INFRUCTUEUX",$I852="ANNULE")),"Clôturé sans suite","En cours")))</f>
        <v/>
      </c>
      <c r="N852">
        <f>IF(ISBLANK('ENGAGEMENTS 2026'!C852),"",'ENGAGEMENTS 2026'!L852)</f>
        <v/>
      </c>
      <c r="O852">
        <f>IF(ISBLANK('ENGAGEMENTS 2026'!C852),"",'ENGAGEMENTS 2026'!M852)</f>
        <v/>
      </c>
      <c r="P852">
        <f>IF(ISBLANK('ENGAGEMENTS 2026'!C852),"",'ENGAGEMENTS 2026'!K852)</f>
        <v/>
      </c>
      <c r="Q852">
        <f>IF($A852="","",IF(OR($E852="INFRUCTUEUX",$E852="ANNULE"),$A852&amp;"|"&amp;(COUNTIFS($A$2:$A852,$A852,$E$2:$E852,"INFRUCTUEUX")+COUNTIFS($A$2:$A852,$A852,$E$2:$E852,"ANNULE")),""))</f>
        <v/>
      </c>
    </row>
    <row r="853">
      <c r="A853">
        <f>IF(ISBLANK('ENGAGEMENTS 2026'!C853),"",IF('ENGAGEMENTS 2026'!C853="DTSI","DCT",'ENGAGEMENTS 2026'!C853))</f>
        <v/>
      </c>
      <c r="B853">
        <f>IF(ISBLANK('ENGAGEMENTS 2026'!C853),"",'ENGAGEMENTS 2026'!D853)</f>
        <v/>
      </c>
      <c r="C853">
        <f>IF(ISBLANK('ENGAGEMENTS 2026'!C853),"",'ENGAGEMENTS 2026'!E853)</f>
        <v/>
      </c>
      <c r="D853">
        <f>IF(ISBLANK('ENGAGEMENTS 2026'!C853),"",'ENGAGEMENTS 2026'!G853)</f>
        <v/>
      </c>
      <c r="E853">
        <f>IF(ISBLANK('ENGAGEMENTS 2026'!C853),"",'ENGAGEMENTS 2026'!I853)</f>
        <v/>
      </c>
      <c r="F853">
        <f>IF(ISBLANK('ENGAGEMENTS 2026'!C853),"",'ENGAGEMENTS 2026'!J853)</f>
        <v/>
      </c>
      <c r="G853">
        <f>IF(ISBLANK('ENGAGEMENTS 2026'!C853),"",'ENGAGEMENTS 2026'!M853)</f>
        <v/>
      </c>
      <c r="H853">
        <f>IF(ISBLANK('ENGAGEMENTS 2026'!C853),"",'ENGAGEMENTS 2026'!AF853)</f>
        <v/>
      </c>
      <c r="I853">
        <f>IF(ISBLANK('ENGAGEMENTS 2026'!C853),"",'ENGAGEMENTS 2026'!H853)</f>
        <v/>
      </c>
      <c r="J853" s="275">
        <f>IF(ISBLANK('ENGAGEMENTS 2026'!C853),"",IF(AND(OR($E853="INFRUCTUEUX",$E853="ANNULE"),$C853="AOO-M"),'ENGAGEMENTS 2026'!P853,IF($H853="EN COURS DE PREENGAGEMENT",'ENGAGEMENTS 2026'!O853,IF($H853="PREENGAGE",IF($E853="ATTRIBUE",'ENGAGEMENTS 2026'!AE853,'ENGAGEMENTS 2026'!O853),'ENGAGEMENTS 2026'!AE853))))</f>
        <v/>
      </c>
      <c r="K853" s="604">
        <f>IF(ISBLANK('ENGAGEMENTS 2026'!W853),"",'ENGAGEMENTS 2026'!W853)</f>
        <v/>
      </c>
      <c r="L853" s="276">
        <f>IF($K853="","",TODAY()-$K853)</f>
        <v/>
      </c>
      <c r="M853">
        <f>IF($A853="","",IF($H853="ENGAGE","Engagé",IF(AND($H853="NON ENGAGE",OR($I853="INFRUCTUEUX",$I853="ANNULE")),"Clôturé sans suite","En cours")))</f>
        <v/>
      </c>
      <c r="N853">
        <f>IF(ISBLANK('ENGAGEMENTS 2026'!C853),"",'ENGAGEMENTS 2026'!L853)</f>
        <v/>
      </c>
      <c r="O853">
        <f>IF(ISBLANK('ENGAGEMENTS 2026'!C853),"",'ENGAGEMENTS 2026'!M853)</f>
        <v/>
      </c>
      <c r="P853">
        <f>IF(ISBLANK('ENGAGEMENTS 2026'!C853),"",'ENGAGEMENTS 2026'!K853)</f>
        <v/>
      </c>
      <c r="Q853">
        <f>IF($A853="","",IF(OR($E853="INFRUCTUEUX",$E853="ANNULE"),$A853&amp;"|"&amp;(COUNTIFS($A$2:$A853,$A853,$E$2:$E853,"INFRUCTUEUX")+COUNTIFS($A$2:$A853,$A853,$E$2:$E853,"ANNULE")),""))</f>
        <v/>
      </c>
    </row>
    <row r="854">
      <c r="A854">
        <f>IF(ISBLANK('ENGAGEMENTS 2026'!C854),"",IF('ENGAGEMENTS 2026'!C854="DTSI","DCT",'ENGAGEMENTS 2026'!C854))</f>
        <v/>
      </c>
      <c r="B854">
        <f>IF(ISBLANK('ENGAGEMENTS 2026'!C854),"",'ENGAGEMENTS 2026'!D854)</f>
        <v/>
      </c>
      <c r="C854">
        <f>IF(ISBLANK('ENGAGEMENTS 2026'!C854),"",'ENGAGEMENTS 2026'!E854)</f>
        <v/>
      </c>
      <c r="D854">
        <f>IF(ISBLANK('ENGAGEMENTS 2026'!C854),"",'ENGAGEMENTS 2026'!G854)</f>
        <v/>
      </c>
      <c r="E854">
        <f>IF(ISBLANK('ENGAGEMENTS 2026'!C854),"",'ENGAGEMENTS 2026'!I854)</f>
        <v/>
      </c>
      <c r="F854">
        <f>IF(ISBLANK('ENGAGEMENTS 2026'!C854),"",'ENGAGEMENTS 2026'!J854)</f>
        <v/>
      </c>
      <c r="G854">
        <f>IF(ISBLANK('ENGAGEMENTS 2026'!C854),"",'ENGAGEMENTS 2026'!M854)</f>
        <v/>
      </c>
      <c r="H854">
        <f>IF(ISBLANK('ENGAGEMENTS 2026'!C854),"",'ENGAGEMENTS 2026'!AF854)</f>
        <v/>
      </c>
      <c r="I854">
        <f>IF(ISBLANK('ENGAGEMENTS 2026'!C854),"",'ENGAGEMENTS 2026'!H854)</f>
        <v/>
      </c>
      <c r="J854" s="275">
        <f>IF(ISBLANK('ENGAGEMENTS 2026'!C854),"",IF(AND(OR($E854="INFRUCTUEUX",$E854="ANNULE"),$C854="AOO-M"),'ENGAGEMENTS 2026'!P854,IF($H854="EN COURS DE PREENGAGEMENT",'ENGAGEMENTS 2026'!O854,IF($H854="PREENGAGE",IF($E854="ATTRIBUE",'ENGAGEMENTS 2026'!AE854,'ENGAGEMENTS 2026'!O854),'ENGAGEMENTS 2026'!AE854))))</f>
        <v/>
      </c>
      <c r="K854" s="604">
        <f>IF(ISBLANK('ENGAGEMENTS 2026'!W854),"",'ENGAGEMENTS 2026'!W854)</f>
        <v/>
      </c>
      <c r="L854" s="276">
        <f>IF($K854="","",TODAY()-$K854)</f>
        <v/>
      </c>
      <c r="M854">
        <f>IF($A854="","",IF($H854="ENGAGE","Engagé",IF(AND($H854="NON ENGAGE",OR($I854="INFRUCTUEUX",$I854="ANNULE")),"Clôturé sans suite","En cours")))</f>
        <v/>
      </c>
      <c r="N854">
        <f>IF(ISBLANK('ENGAGEMENTS 2026'!C854),"",'ENGAGEMENTS 2026'!L854)</f>
        <v/>
      </c>
      <c r="O854">
        <f>IF(ISBLANK('ENGAGEMENTS 2026'!C854),"",'ENGAGEMENTS 2026'!M854)</f>
        <v/>
      </c>
      <c r="P854">
        <f>IF(ISBLANK('ENGAGEMENTS 2026'!C854),"",'ENGAGEMENTS 2026'!K854)</f>
        <v/>
      </c>
      <c r="Q854">
        <f>IF($A854="","",IF(OR($E854="INFRUCTUEUX",$E854="ANNULE"),$A854&amp;"|"&amp;(COUNTIFS($A$2:$A854,$A854,$E$2:$E854,"INFRUCTUEUX")+COUNTIFS($A$2:$A854,$A854,$E$2:$E854,"ANNULE")),""))</f>
        <v/>
      </c>
    </row>
    <row r="855">
      <c r="A855">
        <f>IF(ISBLANK('ENGAGEMENTS 2026'!C855),"",IF('ENGAGEMENTS 2026'!C855="DTSI","DCT",'ENGAGEMENTS 2026'!C855))</f>
        <v/>
      </c>
      <c r="B855">
        <f>IF(ISBLANK('ENGAGEMENTS 2026'!C855),"",'ENGAGEMENTS 2026'!D855)</f>
        <v/>
      </c>
      <c r="C855">
        <f>IF(ISBLANK('ENGAGEMENTS 2026'!C855),"",'ENGAGEMENTS 2026'!E855)</f>
        <v/>
      </c>
      <c r="D855">
        <f>IF(ISBLANK('ENGAGEMENTS 2026'!C855),"",'ENGAGEMENTS 2026'!G855)</f>
        <v/>
      </c>
      <c r="E855">
        <f>IF(ISBLANK('ENGAGEMENTS 2026'!C855),"",'ENGAGEMENTS 2026'!I855)</f>
        <v/>
      </c>
      <c r="F855">
        <f>IF(ISBLANK('ENGAGEMENTS 2026'!C855),"",'ENGAGEMENTS 2026'!J855)</f>
        <v/>
      </c>
      <c r="G855">
        <f>IF(ISBLANK('ENGAGEMENTS 2026'!C855),"",'ENGAGEMENTS 2026'!M855)</f>
        <v/>
      </c>
      <c r="H855">
        <f>IF(ISBLANK('ENGAGEMENTS 2026'!C855),"",'ENGAGEMENTS 2026'!AF855)</f>
        <v/>
      </c>
      <c r="I855">
        <f>IF(ISBLANK('ENGAGEMENTS 2026'!C855),"",'ENGAGEMENTS 2026'!H855)</f>
        <v/>
      </c>
      <c r="J855" s="275">
        <f>IF(ISBLANK('ENGAGEMENTS 2026'!C855),"",IF(AND(OR($E855="INFRUCTUEUX",$E855="ANNULE"),$C855="AOO-M"),'ENGAGEMENTS 2026'!P855,IF($H855="EN COURS DE PREENGAGEMENT",'ENGAGEMENTS 2026'!O855,IF($H855="PREENGAGE",IF($E855="ATTRIBUE",'ENGAGEMENTS 2026'!AE855,'ENGAGEMENTS 2026'!O855),'ENGAGEMENTS 2026'!AE855))))</f>
        <v/>
      </c>
      <c r="K855" s="604">
        <f>IF(ISBLANK('ENGAGEMENTS 2026'!W855),"",'ENGAGEMENTS 2026'!W855)</f>
        <v/>
      </c>
      <c r="L855" s="276">
        <f>IF($K855="","",TODAY()-$K855)</f>
        <v/>
      </c>
      <c r="M855">
        <f>IF($A855="","",IF($H855="ENGAGE","Engagé",IF(AND($H855="NON ENGAGE",OR($I855="INFRUCTUEUX",$I855="ANNULE")),"Clôturé sans suite","En cours")))</f>
        <v/>
      </c>
      <c r="N855">
        <f>IF(ISBLANK('ENGAGEMENTS 2026'!C855),"",'ENGAGEMENTS 2026'!L855)</f>
        <v/>
      </c>
      <c r="O855">
        <f>IF(ISBLANK('ENGAGEMENTS 2026'!C855),"",'ENGAGEMENTS 2026'!M855)</f>
        <v/>
      </c>
      <c r="P855">
        <f>IF(ISBLANK('ENGAGEMENTS 2026'!C855),"",'ENGAGEMENTS 2026'!K855)</f>
        <v/>
      </c>
      <c r="Q855">
        <f>IF($A855="","",IF(OR($E855="INFRUCTUEUX",$E855="ANNULE"),$A855&amp;"|"&amp;(COUNTIFS($A$2:$A855,$A855,$E$2:$E855,"INFRUCTUEUX")+COUNTIFS($A$2:$A855,$A855,$E$2:$E855,"ANNULE")),""))</f>
        <v/>
      </c>
    </row>
    <row r="856">
      <c r="A856">
        <f>IF(ISBLANK('ENGAGEMENTS 2026'!C856),"",IF('ENGAGEMENTS 2026'!C856="DTSI","DCT",'ENGAGEMENTS 2026'!C856))</f>
        <v/>
      </c>
      <c r="B856">
        <f>IF(ISBLANK('ENGAGEMENTS 2026'!C856),"",'ENGAGEMENTS 2026'!D856)</f>
        <v/>
      </c>
      <c r="C856">
        <f>IF(ISBLANK('ENGAGEMENTS 2026'!C856),"",'ENGAGEMENTS 2026'!E856)</f>
        <v/>
      </c>
      <c r="D856">
        <f>IF(ISBLANK('ENGAGEMENTS 2026'!C856),"",'ENGAGEMENTS 2026'!G856)</f>
        <v/>
      </c>
      <c r="E856">
        <f>IF(ISBLANK('ENGAGEMENTS 2026'!C856),"",'ENGAGEMENTS 2026'!I856)</f>
        <v/>
      </c>
      <c r="F856">
        <f>IF(ISBLANK('ENGAGEMENTS 2026'!C856),"",'ENGAGEMENTS 2026'!J856)</f>
        <v/>
      </c>
      <c r="G856">
        <f>IF(ISBLANK('ENGAGEMENTS 2026'!C856),"",'ENGAGEMENTS 2026'!M856)</f>
        <v/>
      </c>
      <c r="H856">
        <f>IF(ISBLANK('ENGAGEMENTS 2026'!C856),"",'ENGAGEMENTS 2026'!AF856)</f>
        <v/>
      </c>
      <c r="I856">
        <f>IF(ISBLANK('ENGAGEMENTS 2026'!C856),"",'ENGAGEMENTS 2026'!H856)</f>
        <v/>
      </c>
      <c r="J856" s="275">
        <f>IF(ISBLANK('ENGAGEMENTS 2026'!C856),"",IF(AND(OR($E856="INFRUCTUEUX",$E856="ANNULE"),$C856="AOO-M"),'ENGAGEMENTS 2026'!P856,IF($H856="EN COURS DE PREENGAGEMENT",'ENGAGEMENTS 2026'!O856,IF($H856="PREENGAGE",IF($E856="ATTRIBUE",'ENGAGEMENTS 2026'!AE856,'ENGAGEMENTS 2026'!O856),'ENGAGEMENTS 2026'!AE856))))</f>
        <v/>
      </c>
      <c r="K856" s="604">
        <f>IF(ISBLANK('ENGAGEMENTS 2026'!W856),"",'ENGAGEMENTS 2026'!W856)</f>
        <v/>
      </c>
      <c r="L856" s="276">
        <f>IF($K856="","",TODAY()-$K856)</f>
        <v/>
      </c>
      <c r="M856">
        <f>IF($A856="","",IF($H856="ENGAGE","Engagé",IF(AND($H856="NON ENGAGE",OR($I856="INFRUCTUEUX",$I856="ANNULE")),"Clôturé sans suite","En cours")))</f>
        <v/>
      </c>
      <c r="N856">
        <f>IF(ISBLANK('ENGAGEMENTS 2026'!C856),"",'ENGAGEMENTS 2026'!L856)</f>
        <v/>
      </c>
      <c r="O856">
        <f>IF(ISBLANK('ENGAGEMENTS 2026'!C856),"",'ENGAGEMENTS 2026'!M856)</f>
        <v/>
      </c>
      <c r="P856">
        <f>IF(ISBLANK('ENGAGEMENTS 2026'!C856),"",'ENGAGEMENTS 2026'!K856)</f>
        <v/>
      </c>
      <c r="Q856">
        <f>IF($A856="","",IF(OR($E856="INFRUCTUEUX",$E856="ANNULE"),$A856&amp;"|"&amp;(COUNTIFS($A$2:$A856,$A856,$E$2:$E856,"INFRUCTUEUX")+COUNTIFS($A$2:$A856,$A856,$E$2:$E856,"ANNULE")),""))</f>
        <v/>
      </c>
    </row>
    <row r="857">
      <c r="A857">
        <f>IF(ISBLANK('ENGAGEMENTS 2026'!C857),"",IF('ENGAGEMENTS 2026'!C857="DTSI","DCT",'ENGAGEMENTS 2026'!C857))</f>
        <v/>
      </c>
      <c r="B857">
        <f>IF(ISBLANK('ENGAGEMENTS 2026'!C857),"",'ENGAGEMENTS 2026'!D857)</f>
        <v/>
      </c>
      <c r="C857">
        <f>IF(ISBLANK('ENGAGEMENTS 2026'!C857),"",'ENGAGEMENTS 2026'!E857)</f>
        <v/>
      </c>
      <c r="D857">
        <f>IF(ISBLANK('ENGAGEMENTS 2026'!C857),"",'ENGAGEMENTS 2026'!G857)</f>
        <v/>
      </c>
      <c r="E857">
        <f>IF(ISBLANK('ENGAGEMENTS 2026'!C857),"",'ENGAGEMENTS 2026'!I857)</f>
        <v/>
      </c>
      <c r="F857">
        <f>IF(ISBLANK('ENGAGEMENTS 2026'!C857),"",'ENGAGEMENTS 2026'!J857)</f>
        <v/>
      </c>
      <c r="G857">
        <f>IF(ISBLANK('ENGAGEMENTS 2026'!C857),"",'ENGAGEMENTS 2026'!M857)</f>
        <v/>
      </c>
      <c r="H857">
        <f>IF(ISBLANK('ENGAGEMENTS 2026'!C857),"",'ENGAGEMENTS 2026'!AF857)</f>
        <v/>
      </c>
      <c r="I857">
        <f>IF(ISBLANK('ENGAGEMENTS 2026'!C857),"",'ENGAGEMENTS 2026'!H857)</f>
        <v/>
      </c>
      <c r="J857" s="275">
        <f>IF(ISBLANK('ENGAGEMENTS 2026'!C857),"",IF(AND(OR($E857="INFRUCTUEUX",$E857="ANNULE"),$C857="AOO-M"),'ENGAGEMENTS 2026'!P857,IF($H857="EN COURS DE PREENGAGEMENT",'ENGAGEMENTS 2026'!O857,IF($H857="PREENGAGE",IF($E857="ATTRIBUE",'ENGAGEMENTS 2026'!AE857,'ENGAGEMENTS 2026'!O857),'ENGAGEMENTS 2026'!AE857))))</f>
        <v/>
      </c>
      <c r="K857" s="604">
        <f>IF(ISBLANK('ENGAGEMENTS 2026'!W857),"",'ENGAGEMENTS 2026'!W857)</f>
        <v/>
      </c>
      <c r="L857" s="276">
        <f>IF($K857="","",TODAY()-$K857)</f>
        <v/>
      </c>
      <c r="M857">
        <f>IF($A857="","",IF($H857="ENGAGE","Engagé",IF(AND($H857="NON ENGAGE",OR($I857="INFRUCTUEUX",$I857="ANNULE")),"Clôturé sans suite","En cours")))</f>
        <v/>
      </c>
      <c r="N857">
        <f>IF(ISBLANK('ENGAGEMENTS 2026'!C857),"",'ENGAGEMENTS 2026'!L857)</f>
        <v/>
      </c>
      <c r="O857">
        <f>IF(ISBLANK('ENGAGEMENTS 2026'!C857),"",'ENGAGEMENTS 2026'!M857)</f>
        <v/>
      </c>
      <c r="P857">
        <f>IF(ISBLANK('ENGAGEMENTS 2026'!C857),"",'ENGAGEMENTS 2026'!K857)</f>
        <v/>
      </c>
      <c r="Q857">
        <f>IF($A857="","",IF(OR($E857="INFRUCTUEUX",$E857="ANNULE"),$A857&amp;"|"&amp;(COUNTIFS($A$2:$A857,$A857,$E$2:$E857,"INFRUCTUEUX")+COUNTIFS($A$2:$A857,$A857,$E$2:$E857,"ANNULE")),""))</f>
        <v/>
      </c>
    </row>
    <row r="858">
      <c r="A858">
        <f>IF(ISBLANK('ENGAGEMENTS 2026'!C858),"",IF('ENGAGEMENTS 2026'!C858="DTSI","DCT",'ENGAGEMENTS 2026'!C858))</f>
        <v/>
      </c>
      <c r="B858">
        <f>IF(ISBLANK('ENGAGEMENTS 2026'!C858),"",'ENGAGEMENTS 2026'!D858)</f>
        <v/>
      </c>
      <c r="C858">
        <f>IF(ISBLANK('ENGAGEMENTS 2026'!C858),"",'ENGAGEMENTS 2026'!E858)</f>
        <v/>
      </c>
      <c r="D858">
        <f>IF(ISBLANK('ENGAGEMENTS 2026'!C858),"",'ENGAGEMENTS 2026'!G858)</f>
        <v/>
      </c>
      <c r="E858">
        <f>IF(ISBLANK('ENGAGEMENTS 2026'!C858),"",'ENGAGEMENTS 2026'!I858)</f>
        <v/>
      </c>
      <c r="F858">
        <f>IF(ISBLANK('ENGAGEMENTS 2026'!C858),"",'ENGAGEMENTS 2026'!J858)</f>
        <v/>
      </c>
      <c r="G858">
        <f>IF(ISBLANK('ENGAGEMENTS 2026'!C858),"",'ENGAGEMENTS 2026'!M858)</f>
        <v/>
      </c>
      <c r="H858">
        <f>IF(ISBLANK('ENGAGEMENTS 2026'!C858),"",'ENGAGEMENTS 2026'!AF858)</f>
        <v/>
      </c>
      <c r="I858">
        <f>IF(ISBLANK('ENGAGEMENTS 2026'!C858),"",'ENGAGEMENTS 2026'!H858)</f>
        <v/>
      </c>
      <c r="J858" s="275">
        <f>IF(ISBLANK('ENGAGEMENTS 2026'!C858),"",IF(AND(OR($E858="INFRUCTUEUX",$E858="ANNULE"),$C858="AOO-M"),'ENGAGEMENTS 2026'!P858,IF($H858="EN COURS DE PREENGAGEMENT",'ENGAGEMENTS 2026'!O858,IF($H858="PREENGAGE",IF($E858="ATTRIBUE",'ENGAGEMENTS 2026'!AE858,'ENGAGEMENTS 2026'!O858),'ENGAGEMENTS 2026'!AE858))))</f>
        <v/>
      </c>
      <c r="K858" s="604">
        <f>IF(ISBLANK('ENGAGEMENTS 2026'!W858),"",'ENGAGEMENTS 2026'!W858)</f>
        <v/>
      </c>
      <c r="L858" s="276">
        <f>IF($K858="","",TODAY()-$K858)</f>
        <v/>
      </c>
      <c r="M858">
        <f>IF($A858="","",IF($H858="ENGAGE","Engagé",IF(AND($H858="NON ENGAGE",OR($I858="INFRUCTUEUX",$I858="ANNULE")),"Clôturé sans suite","En cours")))</f>
        <v/>
      </c>
      <c r="N858">
        <f>IF(ISBLANK('ENGAGEMENTS 2026'!C858),"",'ENGAGEMENTS 2026'!L858)</f>
        <v/>
      </c>
      <c r="O858">
        <f>IF(ISBLANK('ENGAGEMENTS 2026'!C858),"",'ENGAGEMENTS 2026'!M858)</f>
        <v/>
      </c>
      <c r="P858">
        <f>IF(ISBLANK('ENGAGEMENTS 2026'!C858),"",'ENGAGEMENTS 2026'!K858)</f>
        <v/>
      </c>
      <c r="Q858">
        <f>IF($A858="","",IF(OR($E858="INFRUCTUEUX",$E858="ANNULE"),$A858&amp;"|"&amp;(COUNTIFS($A$2:$A858,$A858,$E$2:$E858,"INFRUCTUEUX")+COUNTIFS($A$2:$A858,$A858,$E$2:$E858,"ANNULE")),""))</f>
        <v/>
      </c>
    </row>
    <row r="859">
      <c r="A859">
        <f>IF(ISBLANK('ENGAGEMENTS 2026'!C859),"",IF('ENGAGEMENTS 2026'!C859="DTSI","DCT",'ENGAGEMENTS 2026'!C859))</f>
        <v/>
      </c>
      <c r="B859">
        <f>IF(ISBLANK('ENGAGEMENTS 2026'!C859),"",'ENGAGEMENTS 2026'!D859)</f>
        <v/>
      </c>
      <c r="C859">
        <f>IF(ISBLANK('ENGAGEMENTS 2026'!C859),"",'ENGAGEMENTS 2026'!E859)</f>
        <v/>
      </c>
      <c r="D859">
        <f>IF(ISBLANK('ENGAGEMENTS 2026'!C859),"",'ENGAGEMENTS 2026'!G859)</f>
        <v/>
      </c>
      <c r="E859">
        <f>IF(ISBLANK('ENGAGEMENTS 2026'!C859),"",'ENGAGEMENTS 2026'!I859)</f>
        <v/>
      </c>
      <c r="F859">
        <f>IF(ISBLANK('ENGAGEMENTS 2026'!C859),"",'ENGAGEMENTS 2026'!J859)</f>
        <v/>
      </c>
      <c r="G859">
        <f>IF(ISBLANK('ENGAGEMENTS 2026'!C859),"",'ENGAGEMENTS 2026'!M859)</f>
        <v/>
      </c>
      <c r="H859">
        <f>IF(ISBLANK('ENGAGEMENTS 2026'!C859),"",'ENGAGEMENTS 2026'!AF859)</f>
        <v/>
      </c>
      <c r="I859">
        <f>IF(ISBLANK('ENGAGEMENTS 2026'!C859),"",'ENGAGEMENTS 2026'!H859)</f>
        <v/>
      </c>
      <c r="J859" s="275">
        <f>IF(ISBLANK('ENGAGEMENTS 2026'!C859),"",IF(AND(OR($E859="INFRUCTUEUX",$E859="ANNULE"),$C859="AOO-M"),'ENGAGEMENTS 2026'!P859,IF($H859="EN COURS DE PREENGAGEMENT",'ENGAGEMENTS 2026'!O859,IF($H859="PREENGAGE",IF($E859="ATTRIBUE",'ENGAGEMENTS 2026'!AE859,'ENGAGEMENTS 2026'!O859),'ENGAGEMENTS 2026'!AE859))))</f>
        <v/>
      </c>
      <c r="K859" s="604">
        <f>IF(ISBLANK('ENGAGEMENTS 2026'!W859),"",'ENGAGEMENTS 2026'!W859)</f>
        <v/>
      </c>
      <c r="L859" s="276">
        <f>IF($K859="","",TODAY()-$K859)</f>
        <v/>
      </c>
      <c r="M859">
        <f>IF($A859="","",IF($H859="ENGAGE","Engagé",IF(AND($H859="NON ENGAGE",OR($I859="INFRUCTUEUX",$I859="ANNULE")),"Clôturé sans suite","En cours")))</f>
        <v/>
      </c>
      <c r="N859">
        <f>IF(ISBLANK('ENGAGEMENTS 2026'!C859),"",'ENGAGEMENTS 2026'!L859)</f>
        <v/>
      </c>
      <c r="O859">
        <f>IF(ISBLANK('ENGAGEMENTS 2026'!C859),"",'ENGAGEMENTS 2026'!M859)</f>
        <v/>
      </c>
      <c r="P859">
        <f>IF(ISBLANK('ENGAGEMENTS 2026'!C859),"",'ENGAGEMENTS 2026'!K859)</f>
        <v/>
      </c>
      <c r="Q859">
        <f>IF($A859="","",IF(OR($E859="INFRUCTUEUX",$E859="ANNULE"),$A859&amp;"|"&amp;(COUNTIFS($A$2:$A859,$A859,$E$2:$E859,"INFRUCTUEUX")+COUNTIFS($A$2:$A859,$A859,$E$2:$E859,"ANNULE")),""))</f>
        <v/>
      </c>
    </row>
    <row r="860">
      <c r="A860">
        <f>IF(ISBLANK('ENGAGEMENTS 2026'!C860),"",IF('ENGAGEMENTS 2026'!C860="DTSI","DCT",'ENGAGEMENTS 2026'!C860))</f>
        <v/>
      </c>
      <c r="B860">
        <f>IF(ISBLANK('ENGAGEMENTS 2026'!C860),"",'ENGAGEMENTS 2026'!D860)</f>
        <v/>
      </c>
      <c r="C860">
        <f>IF(ISBLANK('ENGAGEMENTS 2026'!C860),"",'ENGAGEMENTS 2026'!E860)</f>
        <v/>
      </c>
      <c r="D860">
        <f>IF(ISBLANK('ENGAGEMENTS 2026'!C860),"",'ENGAGEMENTS 2026'!G860)</f>
        <v/>
      </c>
      <c r="E860">
        <f>IF(ISBLANK('ENGAGEMENTS 2026'!C860),"",'ENGAGEMENTS 2026'!I860)</f>
        <v/>
      </c>
      <c r="F860">
        <f>IF(ISBLANK('ENGAGEMENTS 2026'!C860),"",'ENGAGEMENTS 2026'!J860)</f>
        <v/>
      </c>
      <c r="G860">
        <f>IF(ISBLANK('ENGAGEMENTS 2026'!C860),"",'ENGAGEMENTS 2026'!M860)</f>
        <v/>
      </c>
      <c r="H860">
        <f>IF(ISBLANK('ENGAGEMENTS 2026'!C860),"",'ENGAGEMENTS 2026'!AF860)</f>
        <v/>
      </c>
      <c r="I860">
        <f>IF(ISBLANK('ENGAGEMENTS 2026'!C860),"",'ENGAGEMENTS 2026'!H860)</f>
        <v/>
      </c>
      <c r="J860" s="275">
        <f>IF(ISBLANK('ENGAGEMENTS 2026'!C860),"",IF(AND(OR($E860="INFRUCTUEUX",$E860="ANNULE"),$C860="AOO-M"),'ENGAGEMENTS 2026'!P860,IF($H860="EN COURS DE PREENGAGEMENT",'ENGAGEMENTS 2026'!O860,IF($H860="PREENGAGE",IF($E860="ATTRIBUE",'ENGAGEMENTS 2026'!AE860,'ENGAGEMENTS 2026'!O860),'ENGAGEMENTS 2026'!AE860))))</f>
        <v/>
      </c>
      <c r="K860" s="604">
        <f>IF(ISBLANK('ENGAGEMENTS 2026'!W860),"",'ENGAGEMENTS 2026'!W860)</f>
        <v/>
      </c>
      <c r="L860" s="276">
        <f>IF($K860="","",TODAY()-$K860)</f>
        <v/>
      </c>
      <c r="M860">
        <f>IF($A860="","",IF($H860="ENGAGE","Engagé",IF(AND($H860="NON ENGAGE",OR($I860="INFRUCTUEUX",$I860="ANNULE")),"Clôturé sans suite","En cours")))</f>
        <v/>
      </c>
      <c r="N860">
        <f>IF(ISBLANK('ENGAGEMENTS 2026'!C860),"",'ENGAGEMENTS 2026'!L860)</f>
        <v/>
      </c>
      <c r="O860">
        <f>IF(ISBLANK('ENGAGEMENTS 2026'!C860),"",'ENGAGEMENTS 2026'!M860)</f>
        <v/>
      </c>
      <c r="P860">
        <f>IF(ISBLANK('ENGAGEMENTS 2026'!C860),"",'ENGAGEMENTS 2026'!K860)</f>
        <v/>
      </c>
      <c r="Q860">
        <f>IF($A860="","",IF(OR($E860="INFRUCTUEUX",$E860="ANNULE"),$A860&amp;"|"&amp;(COUNTIFS($A$2:$A860,$A860,$E$2:$E860,"INFRUCTUEUX")+COUNTIFS($A$2:$A860,$A860,$E$2:$E860,"ANNULE")),""))</f>
        <v/>
      </c>
    </row>
    <row r="861">
      <c r="A861">
        <f>IF(ISBLANK('ENGAGEMENTS 2026'!C861),"",IF('ENGAGEMENTS 2026'!C861="DTSI","DCT",'ENGAGEMENTS 2026'!C861))</f>
        <v/>
      </c>
      <c r="B861">
        <f>IF(ISBLANK('ENGAGEMENTS 2026'!C861),"",'ENGAGEMENTS 2026'!D861)</f>
        <v/>
      </c>
      <c r="C861">
        <f>IF(ISBLANK('ENGAGEMENTS 2026'!C861),"",'ENGAGEMENTS 2026'!E861)</f>
        <v/>
      </c>
      <c r="D861">
        <f>IF(ISBLANK('ENGAGEMENTS 2026'!C861),"",'ENGAGEMENTS 2026'!G861)</f>
        <v/>
      </c>
      <c r="E861">
        <f>IF(ISBLANK('ENGAGEMENTS 2026'!C861),"",'ENGAGEMENTS 2026'!I861)</f>
        <v/>
      </c>
      <c r="F861">
        <f>IF(ISBLANK('ENGAGEMENTS 2026'!C861),"",'ENGAGEMENTS 2026'!J861)</f>
        <v/>
      </c>
      <c r="G861">
        <f>IF(ISBLANK('ENGAGEMENTS 2026'!C861),"",'ENGAGEMENTS 2026'!M861)</f>
        <v/>
      </c>
      <c r="H861">
        <f>IF(ISBLANK('ENGAGEMENTS 2026'!C861),"",'ENGAGEMENTS 2026'!AF861)</f>
        <v/>
      </c>
      <c r="I861">
        <f>IF(ISBLANK('ENGAGEMENTS 2026'!C861),"",'ENGAGEMENTS 2026'!H861)</f>
        <v/>
      </c>
      <c r="J861" s="275">
        <f>IF(ISBLANK('ENGAGEMENTS 2026'!C861),"",IF(AND(OR($E861="INFRUCTUEUX",$E861="ANNULE"),$C861="AOO-M"),'ENGAGEMENTS 2026'!P861,IF($H861="EN COURS DE PREENGAGEMENT",'ENGAGEMENTS 2026'!O861,IF($H861="PREENGAGE",IF($E861="ATTRIBUE",'ENGAGEMENTS 2026'!AE861,'ENGAGEMENTS 2026'!O861),'ENGAGEMENTS 2026'!AE861))))</f>
        <v/>
      </c>
      <c r="K861" s="604">
        <f>IF(ISBLANK('ENGAGEMENTS 2026'!W861),"",'ENGAGEMENTS 2026'!W861)</f>
        <v/>
      </c>
      <c r="L861" s="276">
        <f>IF($K861="","",TODAY()-$K861)</f>
        <v/>
      </c>
      <c r="M861">
        <f>IF($A861="","",IF($H861="ENGAGE","Engagé",IF(AND($H861="NON ENGAGE",OR($I861="INFRUCTUEUX",$I861="ANNULE")),"Clôturé sans suite","En cours")))</f>
        <v/>
      </c>
      <c r="N861">
        <f>IF(ISBLANK('ENGAGEMENTS 2026'!C861),"",'ENGAGEMENTS 2026'!L861)</f>
        <v/>
      </c>
      <c r="O861">
        <f>IF(ISBLANK('ENGAGEMENTS 2026'!C861),"",'ENGAGEMENTS 2026'!M861)</f>
        <v/>
      </c>
      <c r="P861">
        <f>IF(ISBLANK('ENGAGEMENTS 2026'!C861),"",'ENGAGEMENTS 2026'!K861)</f>
        <v/>
      </c>
      <c r="Q861">
        <f>IF($A861="","",IF(OR($E861="INFRUCTUEUX",$E861="ANNULE"),$A861&amp;"|"&amp;(COUNTIFS($A$2:$A861,$A861,$E$2:$E861,"INFRUCTUEUX")+COUNTIFS($A$2:$A861,$A861,$E$2:$E861,"ANNULE")),""))</f>
        <v/>
      </c>
    </row>
    <row r="862">
      <c r="A862">
        <f>IF(ISBLANK('ENGAGEMENTS 2026'!C862),"",IF('ENGAGEMENTS 2026'!C862="DTSI","DCT",'ENGAGEMENTS 2026'!C862))</f>
        <v/>
      </c>
      <c r="B862">
        <f>IF(ISBLANK('ENGAGEMENTS 2026'!C862),"",'ENGAGEMENTS 2026'!D862)</f>
        <v/>
      </c>
      <c r="C862">
        <f>IF(ISBLANK('ENGAGEMENTS 2026'!C862),"",'ENGAGEMENTS 2026'!E862)</f>
        <v/>
      </c>
      <c r="D862">
        <f>IF(ISBLANK('ENGAGEMENTS 2026'!C862),"",'ENGAGEMENTS 2026'!G862)</f>
        <v/>
      </c>
      <c r="E862">
        <f>IF(ISBLANK('ENGAGEMENTS 2026'!C862),"",'ENGAGEMENTS 2026'!I862)</f>
        <v/>
      </c>
      <c r="F862">
        <f>IF(ISBLANK('ENGAGEMENTS 2026'!C862),"",'ENGAGEMENTS 2026'!J862)</f>
        <v/>
      </c>
      <c r="G862">
        <f>IF(ISBLANK('ENGAGEMENTS 2026'!C862),"",'ENGAGEMENTS 2026'!M862)</f>
        <v/>
      </c>
      <c r="H862">
        <f>IF(ISBLANK('ENGAGEMENTS 2026'!C862),"",'ENGAGEMENTS 2026'!AF862)</f>
        <v/>
      </c>
      <c r="I862">
        <f>IF(ISBLANK('ENGAGEMENTS 2026'!C862),"",'ENGAGEMENTS 2026'!H862)</f>
        <v/>
      </c>
      <c r="J862" s="275">
        <f>IF(ISBLANK('ENGAGEMENTS 2026'!C862),"",IF(AND(OR($E862="INFRUCTUEUX",$E862="ANNULE"),$C862="AOO-M"),'ENGAGEMENTS 2026'!P862,IF($H862="EN COURS DE PREENGAGEMENT",'ENGAGEMENTS 2026'!O862,IF($H862="PREENGAGE",IF($E862="ATTRIBUE",'ENGAGEMENTS 2026'!AE862,'ENGAGEMENTS 2026'!O862),'ENGAGEMENTS 2026'!AE862))))</f>
        <v/>
      </c>
      <c r="K862" s="604">
        <f>IF(ISBLANK('ENGAGEMENTS 2026'!W862),"",'ENGAGEMENTS 2026'!W862)</f>
        <v/>
      </c>
      <c r="L862" s="276">
        <f>IF($K862="","",TODAY()-$K862)</f>
        <v/>
      </c>
      <c r="M862">
        <f>IF($A862="","",IF($H862="ENGAGE","Engagé",IF(AND($H862="NON ENGAGE",OR($I862="INFRUCTUEUX",$I862="ANNULE")),"Clôturé sans suite","En cours")))</f>
        <v/>
      </c>
      <c r="N862">
        <f>IF(ISBLANK('ENGAGEMENTS 2026'!C862),"",'ENGAGEMENTS 2026'!L862)</f>
        <v/>
      </c>
      <c r="O862">
        <f>IF(ISBLANK('ENGAGEMENTS 2026'!C862),"",'ENGAGEMENTS 2026'!M862)</f>
        <v/>
      </c>
      <c r="P862">
        <f>IF(ISBLANK('ENGAGEMENTS 2026'!C862),"",'ENGAGEMENTS 2026'!K862)</f>
        <v/>
      </c>
      <c r="Q862">
        <f>IF($A862="","",IF(OR($E862="INFRUCTUEUX",$E862="ANNULE"),$A862&amp;"|"&amp;(COUNTIFS($A$2:$A862,$A862,$E$2:$E862,"INFRUCTUEUX")+COUNTIFS($A$2:$A862,$A862,$E$2:$E862,"ANNULE")),""))</f>
        <v/>
      </c>
    </row>
    <row r="863">
      <c r="A863">
        <f>IF(ISBLANK('ENGAGEMENTS 2026'!C863),"",IF('ENGAGEMENTS 2026'!C863="DTSI","DCT",'ENGAGEMENTS 2026'!C863))</f>
        <v/>
      </c>
      <c r="B863">
        <f>IF(ISBLANK('ENGAGEMENTS 2026'!C863),"",'ENGAGEMENTS 2026'!D863)</f>
        <v/>
      </c>
      <c r="C863">
        <f>IF(ISBLANK('ENGAGEMENTS 2026'!C863),"",'ENGAGEMENTS 2026'!E863)</f>
        <v/>
      </c>
      <c r="D863">
        <f>IF(ISBLANK('ENGAGEMENTS 2026'!C863),"",'ENGAGEMENTS 2026'!G863)</f>
        <v/>
      </c>
      <c r="E863">
        <f>IF(ISBLANK('ENGAGEMENTS 2026'!C863),"",'ENGAGEMENTS 2026'!I863)</f>
        <v/>
      </c>
      <c r="F863">
        <f>IF(ISBLANK('ENGAGEMENTS 2026'!C863),"",'ENGAGEMENTS 2026'!J863)</f>
        <v/>
      </c>
      <c r="G863">
        <f>IF(ISBLANK('ENGAGEMENTS 2026'!C863),"",'ENGAGEMENTS 2026'!M863)</f>
        <v/>
      </c>
      <c r="H863">
        <f>IF(ISBLANK('ENGAGEMENTS 2026'!C863),"",'ENGAGEMENTS 2026'!AF863)</f>
        <v/>
      </c>
      <c r="I863">
        <f>IF(ISBLANK('ENGAGEMENTS 2026'!C863),"",'ENGAGEMENTS 2026'!H863)</f>
        <v/>
      </c>
      <c r="J863" s="275">
        <f>IF(ISBLANK('ENGAGEMENTS 2026'!C863),"",IF(AND(OR($E863="INFRUCTUEUX",$E863="ANNULE"),$C863="AOO-M"),'ENGAGEMENTS 2026'!P863,IF($H863="EN COURS DE PREENGAGEMENT",'ENGAGEMENTS 2026'!O863,IF($H863="PREENGAGE",IF($E863="ATTRIBUE",'ENGAGEMENTS 2026'!AE863,'ENGAGEMENTS 2026'!O863),'ENGAGEMENTS 2026'!AE863))))</f>
        <v/>
      </c>
      <c r="K863" s="604">
        <f>IF(ISBLANK('ENGAGEMENTS 2026'!W863),"",'ENGAGEMENTS 2026'!W863)</f>
        <v/>
      </c>
      <c r="L863" s="276">
        <f>IF($K863="","",TODAY()-$K863)</f>
        <v/>
      </c>
      <c r="M863">
        <f>IF($A863="","",IF($H863="ENGAGE","Engagé",IF(AND($H863="NON ENGAGE",OR($I863="INFRUCTUEUX",$I863="ANNULE")),"Clôturé sans suite","En cours")))</f>
        <v/>
      </c>
      <c r="N863">
        <f>IF(ISBLANK('ENGAGEMENTS 2026'!C863),"",'ENGAGEMENTS 2026'!L863)</f>
        <v/>
      </c>
      <c r="O863">
        <f>IF(ISBLANK('ENGAGEMENTS 2026'!C863),"",'ENGAGEMENTS 2026'!M863)</f>
        <v/>
      </c>
      <c r="P863">
        <f>IF(ISBLANK('ENGAGEMENTS 2026'!C863),"",'ENGAGEMENTS 2026'!K863)</f>
        <v/>
      </c>
      <c r="Q863">
        <f>IF($A863="","",IF(OR($E863="INFRUCTUEUX",$E863="ANNULE"),$A863&amp;"|"&amp;(COUNTIFS($A$2:$A863,$A863,$E$2:$E863,"INFRUCTUEUX")+COUNTIFS($A$2:$A863,$A863,$E$2:$E863,"ANNULE")),""))</f>
        <v/>
      </c>
    </row>
    <row r="864">
      <c r="A864">
        <f>IF(ISBLANK('ENGAGEMENTS 2026'!C864),"",IF('ENGAGEMENTS 2026'!C864="DTSI","DCT",'ENGAGEMENTS 2026'!C864))</f>
        <v/>
      </c>
      <c r="B864">
        <f>IF(ISBLANK('ENGAGEMENTS 2026'!C864),"",'ENGAGEMENTS 2026'!D864)</f>
        <v/>
      </c>
      <c r="C864">
        <f>IF(ISBLANK('ENGAGEMENTS 2026'!C864),"",'ENGAGEMENTS 2026'!E864)</f>
        <v/>
      </c>
      <c r="D864">
        <f>IF(ISBLANK('ENGAGEMENTS 2026'!C864),"",'ENGAGEMENTS 2026'!G864)</f>
        <v/>
      </c>
      <c r="E864">
        <f>IF(ISBLANK('ENGAGEMENTS 2026'!C864),"",'ENGAGEMENTS 2026'!I864)</f>
        <v/>
      </c>
      <c r="F864">
        <f>IF(ISBLANK('ENGAGEMENTS 2026'!C864),"",'ENGAGEMENTS 2026'!J864)</f>
        <v/>
      </c>
      <c r="G864">
        <f>IF(ISBLANK('ENGAGEMENTS 2026'!C864),"",'ENGAGEMENTS 2026'!M864)</f>
        <v/>
      </c>
      <c r="H864">
        <f>IF(ISBLANK('ENGAGEMENTS 2026'!C864),"",'ENGAGEMENTS 2026'!AF864)</f>
        <v/>
      </c>
      <c r="I864">
        <f>IF(ISBLANK('ENGAGEMENTS 2026'!C864),"",'ENGAGEMENTS 2026'!H864)</f>
        <v/>
      </c>
      <c r="J864" s="275">
        <f>IF(ISBLANK('ENGAGEMENTS 2026'!C864),"",IF(AND(OR($E864="INFRUCTUEUX",$E864="ANNULE"),$C864="AOO-M"),'ENGAGEMENTS 2026'!P864,IF($H864="EN COURS DE PREENGAGEMENT",'ENGAGEMENTS 2026'!O864,IF($H864="PREENGAGE",IF($E864="ATTRIBUE",'ENGAGEMENTS 2026'!AE864,'ENGAGEMENTS 2026'!O864),'ENGAGEMENTS 2026'!AE864))))</f>
        <v/>
      </c>
      <c r="K864" s="604">
        <f>IF(ISBLANK('ENGAGEMENTS 2026'!W864),"",'ENGAGEMENTS 2026'!W864)</f>
        <v/>
      </c>
      <c r="L864" s="276">
        <f>IF($K864="","",TODAY()-$K864)</f>
        <v/>
      </c>
      <c r="M864">
        <f>IF($A864="","",IF($H864="ENGAGE","Engagé",IF(AND($H864="NON ENGAGE",OR($I864="INFRUCTUEUX",$I864="ANNULE")),"Clôturé sans suite","En cours")))</f>
        <v/>
      </c>
      <c r="N864">
        <f>IF(ISBLANK('ENGAGEMENTS 2026'!C864),"",'ENGAGEMENTS 2026'!L864)</f>
        <v/>
      </c>
      <c r="O864">
        <f>IF(ISBLANK('ENGAGEMENTS 2026'!C864),"",'ENGAGEMENTS 2026'!M864)</f>
        <v/>
      </c>
      <c r="P864">
        <f>IF(ISBLANK('ENGAGEMENTS 2026'!C864),"",'ENGAGEMENTS 2026'!K864)</f>
        <v/>
      </c>
      <c r="Q864">
        <f>IF($A864="","",IF(OR($E864="INFRUCTUEUX",$E864="ANNULE"),$A864&amp;"|"&amp;(COUNTIFS($A$2:$A864,$A864,$E$2:$E864,"INFRUCTUEUX")+COUNTIFS($A$2:$A864,$A864,$E$2:$E864,"ANNULE")),""))</f>
        <v/>
      </c>
    </row>
    <row r="865">
      <c r="A865">
        <f>IF(ISBLANK('ENGAGEMENTS 2026'!C865),"",IF('ENGAGEMENTS 2026'!C865="DTSI","DCT",'ENGAGEMENTS 2026'!C865))</f>
        <v/>
      </c>
      <c r="B865">
        <f>IF(ISBLANK('ENGAGEMENTS 2026'!C865),"",'ENGAGEMENTS 2026'!D865)</f>
        <v/>
      </c>
      <c r="C865">
        <f>IF(ISBLANK('ENGAGEMENTS 2026'!C865),"",'ENGAGEMENTS 2026'!E865)</f>
        <v/>
      </c>
      <c r="D865">
        <f>IF(ISBLANK('ENGAGEMENTS 2026'!C865),"",'ENGAGEMENTS 2026'!G865)</f>
        <v/>
      </c>
      <c r="E865">
        <f>IF(ISBLANK('ENGAGEMENTS 2026'!C865),"",'ENGAGEMENTS 2026'!I865)</f>
        <v/>
      </c>
      <c r="F865">
        <f>IF(ISBLANK('ENGAGEMENTS 2026'!C865),"",'ENGAGEMENTS 2026'!J865)</f>
        <v/>
      </c>
      <c r="G865">
        <f>IF(ISBLANK('ENGAGEMENTS 2026'!C865),"",'ENGAGEMENTS 2026'!M865)</f>
        <v/>
      </c>
      <c r="H865">
        <f>IF(ISBLANK('ENGAGEMENTS 2026'!C865),"",'ENGAGEMENTS 2026'!AF865)</f>
        <v/>
      </c>
      <c r="I865">
        <f>IF(ISBLANK('ENGAGEMENTS 2026'!C865),"",'ENGAGEMENTS 2026'!H865)</f>
        <v/>
      </c>
      <c r="J865" s="275">
        <f>IF(ISBLANK('ENGAGEMENTS 2026'!C865),"",IF(AND(OR($E865="INFRUCTUEUX",$E865="ANNULE"),$C865="AOO-M"),'ENGAGEMENTS 2026'!P865,IF($H865="EN COURS DE PREENGAGEMENT",'ENGAGEMENTS 2026'!O865,IF($H865="PREENGAGE",IF($E865="ATTRIBUE",'ENGAGEMENTS 2026'!AE865,'ENGAGEMENTS 2026'!O865),'ENGAGEMENTS 2026'!AE865))))</f>
        <v/>
      </c>
      <c r="K865" s="604">
        <f>IF(ISBLANK('ENGAGEMENTS 2026'!W865),"",'ENGAGEMENTS 2026'!W865)</f>
        <v/>
      </c>
      <c r="L865" s="276">
        <f>IF($K865="","",TODAY()-$K865)</f>
        <v/>
      </c>
      <c r="M865">
        <f>IF($A865="","",IF($H865="ENGAGE","Engagé",IF(AND($H865="NON ENGAGE",OR($I865="INFRUCTUEUX",$I865="ANNULE")),"Clôturé sans suite","En cours")))</f>
        <v/>
      </c>
      <c r="N865">
        <f>IF(ISBLANK('ENGAGEMENTS 2026'!C865),"",'ENGAGEMENTS 2026'!L865)</f>
        <v/>
      </c>
      <c r="O865">
        <f>IF(ISBLANK('ENGAGEMENTS 2026'!C865),"",'ENGAGEMENTS 2026'!M865)</f>
        <v/>
      </c>
      <c r="P865">
        <f>IF(ISBLANK('ENGAGEMENTS 2026'!C865),"",'ENGAGEMENTS 2026'!K865)</f>
        <v/>
      </c>
      <c r="Q865">
        <f>IF($A865="","",IF(OR($E865="INFRUCTUEUX",$E865="ANNULE"),$A865&amp;"|"&amp;(COUNTIFS($A$2:$A865,$A865,$E$2:$E865,"INFRUCTUEUX")+COUNTIFS($A$2:$A865,$A865,$E$2:$E865,"ANNULE")),""))</f>
        <v/>
      </c>
    </row>
    <row r="866">
      <c r="A866">
        <f>IF(ISBLANK('ENGAGEMENTS 2026'!C866),"",IF('ENGAGEMENTS 2026'!C866="DTSI","DCT",'ENGAGEMENTS 2026'!C866))</f>
        <v/>
      </c>
      <c r="B866">
        <f>IF(ISBLANK('ENGAGEMENTS 2026'!C866),"",'ENGAGEMENTS 2026'!D866)</f>
        <v/>
      </c>
      <c r="C866">
        <f>IF(ISBLANK('ENGAGEMENTS 2026'!C866),"",'ENGAGEMENTS 2026'!E866)</f>
        <v/>
      </c>
      <c r="D866">
        <f>IF(ISBLANK('ENGAGEMENTS 2026'!C866),"",'ENGAGEMENTS 2026'!G866)</f>
        <v/>
      </c>
      <c r="E866">
        <f>IF(ISBLANK('ENGAGEMENTS 2026'!C866),"",'ENGAGEMENTS 2026'!I866)</f>
        <v/>
      </c>
      <c r="F866">
        <f>IF(ISBLANK('ENGAGEMENTS 2026'!C866),"",'ENGAGEMENTS 2026'!J866)</f>
        <v/>
      </c>
      <c r="G866">
        <f>IF(ISBLANK('ENGAGEMENTS 2026'!C866),"",'ENGAGEMENTS 2026'!M866)</f>
        <v/>
      </c>
      <c r="H866">
        <f>IF(ISBLANK('ENGAGEMENTS 2026'!C866),"",'ENGAGEMENTS 2026'!AF866)</f>
        <v/>
      </c>
      <c r="I866">
        <f>IF(ISBLANK('ENGAGEMENTS 2026'!C866),"",'ENGAGEMENTS 2026'!H866)</f>
        <v/>
      </c>
      <c r="J866" s="275">
        <f>IF(ISBLANK('ENGAGEMENTS 2026'!C866),"",IF(AND(OR($E866="INFRUCTUEUX",$E866="ANNULE"),$C866="AOO-M"),'ENGAGEMENTS 2026'!P866,IF($H866="EN COURS DE PREENGAGEMENT",'ENGAGEMENTS 2026'!O866,IF($H866="PREENGAGE",IF($E866="ATTRIBUE",'ENGAGEMENTS 2026'!AE866,'ENGAGEMENTS 2026'!O866),'ENGAGEMENTS 2026'!AE866))))</f>
        <v/>
      </c>
      <c r="K866" s="604">
        <f>IF(ISBLANK('ENGAGEMENTS 2026'!W866),"",'ENGAGEMENTS 2026'!W866)</f>
        <v/>
      </c>
      <c r="L866" s="276">
        <f>IF($K866="","",TODAY()-$K866)</f>
        <v/>
      </c>
      <c r="M866">
        <f>IF($A866="","",IF($H866="ENGAGE","Engagé",IF(AND($H866="NON ENGAGE",OR($I866="INFRUCTUEUX",$I866="ANNULE")),"Clôturé sans suite","En cours")))</f>
        <v/>
      </c>
      <c r="N866">
        <f>IF(ISBLANK('ENGAGEMENTS 2026'!C866),"",'ENGAGEMENTS 2026'!L866)</f>
        <v/>
      </c>
      <c r="O866">
        <f>IF(ISBLANK('ENGAGEMENTS 2026'!C866),"",'ENGAGEMENTS 2026'!M866)</f>
        <v/>
      </c>
      <c r="P866">
        <f>IF(ISBLANK('ENGAGEMENTS 2026'!C866),"",'ENGAGEMENTS 2026'!K866)</f>
        <v/>
      </c>
      <c r="Q866">
        <f>IF($A866="","",IF(OR($E866="INFRUCTUEUX",$E866="ANNULE"),$A866&amp;"|"&amp;(COUNTIFS($A$2:$A866,$A866,$E$2:$E866,"INFRUCTUEUX")+COUNTIFS($A$2:$A866,$A866,$E$2:$E866,"ANNULE")),""))</f>
        <v/>
      </c>
    </row>
    <row r="867">
      <c r="A867">
        <f>IF(ISBLANK('ENGAGEMENTS 2026'!C867),"",IF('ENGAGEMENTS 2026'!C867="DTSI","DCT",'ENGAGEMENTS 2026'!C867))</f>
        <v/>
      </c>
      <c r="B867">
        <f>IF(ISBLANK('ENGAGEMENTS 2026'!C867),"",'ENGAGEMENTS 2026'!D867)</f>
        <v/>
      </c>
      <c r="C867">
        <f>IF(ISBLANK('ENGAGEMENTS 2026'!C867),"",'ENGAGEMENTS 2026'!E867)</f>
        <v/>
      </c>
      <c r="D867">
        <f>IF(ISBLANK('ENGAGEMENTS 2026'!C867),"",'ENGAGEMENTS 2026'!G867)</f>
        <v/>
      </c>
      <c r="E867">
        <f>IF(ISBLANK('ENGAGEMENTS 2026'!C867),"",'ENGAGEMENTS 2026'!I867)</f>
        <v/>
      </c>
      <c r="F867">
        <f>IF(ISBLANK('ENGAGEMENTS 2026'!C867),"",'ENGAGEMENTS 2026'!J867)</f>
        <v/>
      </c>
      <c r="G867">
        <f>IF(ISBLANK('ENGAGEMENTS 2026'!C867),"",'ENGAGEMENTS 2026'!M867)</f>
        <v/>
      </c>
      <c r="H867">
        <f>IF(ISBLANK('ENGAGEMENTS 2026'!C867),"",'ENGAGEMENTS 2026'!AF867)</f>
        <v/>
      </c>
      <c r="I867">
        <f>IF(ISBLANK('ENGAGEMENTS 2026'!C867),"",'ENGAGEMENTS 2026'!H867)</f>
        <v/>
      </c>
      <c r="J867" s="275">
        <f>IF(ISBLANK('ENGAGEMENTS 2026'!C867),"",IF(AND(OR($E867="INFRUCTUEUX",$E867="ANNULE"),$C867="AOO-M"),'ENGAGEMENTS 2026'!P867,IF($H867="EN COURS DE PREENGAGEMENT",'ENGAGEMENTS 2026'!O867,IF($H867="PREENGAGE",IF($E867="ATTRIBUE",'ENGAGEMENTS 2026'!AE867,'ENGAGEMENTS 2026'!O867),'ENGAGEMENTS 2026'!AE867))))</f>
        <v/>
      </c>
      <c r="K867" s="604">
        <f>IF(ISBLANK('ENGAGEMENTS 2026'!W867),"",'ENGAGEMENTS 2026'!W867)</f>
        <v/>
      </c>
      <c r="L867" s="276">
        <f>IF($K867="","",TODAY()-$K867)</f>
        <v/>
      </c>
      <c r="M867">
        <f>IF($A867="","",IF($H867="ENGAGE","Engagé",IF(AND($H867="NON ENGAGE",OR($I867="INFRUCTUEUX",$I867="ANNULE")),"Clôturé sans suite","En cours")))</f>
        <v/>
      </c>
      <c r="N867">
        <f>IF(ISBLANK('ENGAGEMENTS 2026'!C867),"",'ENGAGEMENTS 2026'!L867)</f>
        <v/>
      </c>
      <c r="O867">
        <f>IF(ISBLANK('ENGAGEMENTS 2026'!C867),"",'ENGAGEMENTS 2026'!M867)</f>
        <v/>
      </c>
      <c r="P867">
        <f>IF(ISBLANK('ENGAGEMENTS 2026'!C867),"",'ENGAGEMENTS 2026'!K867)</f>
        <v/>
      </c>
      <c r="Q867">
        <f>IF($A867="","",IF(OR($E867="INFRUCTUEUX",$E867="ANNULE"),$A867&amp;"|"&amp;(COUNTIFS($A$2:$A867,$A867,$E$2:$E867,"INFRUCTUEUX")+COUNTIFS($A$2:$A867,$A867,$E$2:$E867,"ANNULE")),""))</f>
        <v/>
      </c>
    </row>
    <row r="868">
      <c r="A868">
        <f>IF(ISBLANK('ENGAGEMENTS 2026'!C868),"",IF('ENGAGEMENTS 2026'!C868="DTSI","DCT",'ENGAGEMENTS 2026'!C868))</f>
        <v/>
      </c>
      <c r="B868">
        <f>IF(ISBLANK('ENGAGEMENTS 2026'!C868),"",'ENGAGEMENTS 2026'!D868)</f>
        <v/>
      </c>
      <c r="C868">
        <f>IF(ISBLANK('ENGAGEMENTS 2026'!C868),"",'ENGAGEMENTS 2026'!E868)</f>
        <v/>
      </c>
      <c r="D868">
        <f>IF(ISBLANK('ENGAGEMENTS 2026'!C868),"",'ENGAGEMENTS 2026'!G868)</f>
        <v/>
      </c>
      <c r="E868">
        <f>IF(ISBLANK('ENGAGEMENTS 2026'!C868),"",'ENGAGEMENTS 2026'!I868)</f>
        <v/>
      </c>
      <c r="F868">
        <f>IF(ISBLANK('ENGAGEMENTS 2026'!C868),"",'ENGAGEMENTS 2026'!J868)</f>
        <v/>
      </c>
      <c r="G868">
        <f>IF(ISBLANK('ENGAGEMENTS 2026'!C868),"",'ENGAGEMENTS 2026'!M868)</f>
        <v/>
      </c>
      <c r="H868">
        <f>IF(ISBLANK('ENGAGEMENTS 2026'!C868),"",'ENGAGEMENTS 2026'!AF868)</f>
        <v/>
      </c>
      <c r="I868">
        <f>IF(ISBLANK('ENGAGEMENTS 2026'!C868),"",'ENGAGEMENTS 2026'!H868)</f>
        <v/>
      </c>
      <c r="J868" s="275">
        <f>IF(ISBLANK('ENGAGEMENTS 2026'!C868),"",IF(AND(OR($E868="INFRUCTUEUX",$E868="ANNULE"),$C868="AOO-M"),'ENGAGEMENTS 2026'!P868,IF($H868="EN COURS DE PREENGAGEMENT",'ENGAGEMENTS 2026'!O868,IF($H868="PREENGAGE",IF($E868="ATTRIBUE",'ENGAGEMENTS 2026'!AE868,'ENGAGEMENTS 2026'!O868),'ENGAGEMENTS 2026'!AE868))))</f>
        <v/>
      </c>
      <c r="K868" s="604">
        <f>IF(ISBLANK('ENGAGEMENTS 2026'!W868),"",'ENGAGEMENTS 2026'!W868)</f>
        <v/>
      </c>
      <c r="L868" s="276">
        <f>IF($K868="","",TODAY()-$K868)</f>
        <v/>
      </c>
      <c r="M868">
        <f>IF($A868="","",IF($H868="ENGAGE","Engagé",IF(AND($H868="NON ENGAGE",OR($I868="INFRUCTUEUX",$I868="ANNULE")),"Clôturé sans suite","En cours")))</f>
        <v/>
      </c>
      <c r="N868">
        <f>IF(ISBLANK('ENGAGEMENTS 2026'!C868),"",'ENGAGEMENTS 2026'!L868)</f>
        <v/>
      </c>
      <c r="O868">
        <f>IF(ISBLANK('ENGAGEMENTS 2026'!C868),"",'ENGAGEMENTS 2026'!M868)</f>
        <v/>
      </c>
      <c r="P868">
        <f>IF(ISBLANK('ENGAGEMENTS 2026'!C868),"",'ENGAGEMENTS 2026'!K868)</f>
        <v/>
      </c>
      <c r="Q868">
        <f>IF($A868="","",IF(OR($E868="INFRUCTUEUX",$E868="ANNULE"),$A868&amp;"|"&amp;(COUNTIFS($A$2:$A868,$A868,$E$2:$E868,"INFRUCTUEUX")+COUNTIFS($A$2:$A868,$A868,$E$2:$E868,"ANNULE")),""))</f>
        <v/>
      </c>
    </row>
    <row r="869">
      <c r="A869">
        <f>IF(ISBLANK('ENGAGEMENTS 2026'!C869),"",IF('ENGAGEMENTS 2026'!C869="DTSI","DCT",'ENGAGEMENTS 2026'!C869))</f>
        <v/>
      </c>
      <c r="B869">
        <f>IF(ISBLANK('ENGAGEMENTS 2026'!C869),"",'ENGAGEMENTS 2026'!D869)</f>
        <v/>
      </c>
      <c r="C869">
        <f>IF(ISBLANK('ENGAGEMENTS 2026'!C869),"",'ENGAGEMENTS 2026'!E869)</f>
        <v/>
      </c>
      <c r="D869">
        <f>IF(ISBLANK('ENGAGEMENTS 2026'!C869),"",'ENGAGEMENTS 2026'!G869)</f>
        <v/>
      </c>
      <c r="E869">
        <f>IF(ISBLANK('ENGAGEMENTS 2026'!C869),"",'ENGAGEMENTS 2026'!I869)</f>
        <v/>
      </c>
      <c r="F869">
        <f>IF(ISBLANK('ENGAGEMENTS 2026'!C869),"",'ENGAGEMENTS 2026'!J869)</f>
        <v/>
      </c>
      <c r="G869">
        <f>IF(ISBLANK('ENGAGEMENTS 2026'!C869),"",'ENGAGEMENTS 2026'!M869)</f>
        <v/>
      </c>
      <c r="H869">
        <f>IF(ISBLANK('ENGAGEMENTS 2026'!C869),"",'ENGAGEMENTS 2026'!AF869)</f>
        <v/>
      </c>
      <c r="I869">
        <f>IF(ISBLANK('ENGAGEMENTS 2026'!C869),"",'ENGAGEMENTS 2026'!H869)</f>
        <v/>
      </c>
      <c r="J869" s="275">
        <f>IF(ISBLANK('ENGAGEMENTS 2026'!C869),"",IF(AND(OR($E869="INFRUCTUEUX",$E869="ANNULE"),$C869="AOO-M"),'ENGAGEMENTS 2026'!P869,IF($H869="EN COURS DE PREENGAGEMENT",'ENGAGEMENTS 2026'!O869,IF($H869="PREENGAGE",IF($E869="ATTRIBUE",'ENGAGEMENTS 2026'!AE869,'ENGAGEMENTS 2026'!O869),'ENGAGEMENTS 2026'!AE869))))</f>
        <v/>
      </c>
      <c r="K869" s="604">
        <f>IF(ISBLANK('ENGAGEMENTS 2026'!W869),"",'ENGAGEMENTS 2026'!W869)</f>
        <v/>
      </c>
      <c r="L869" s="276">
        <f>IF($K869="","",TODAY()-$K869)</f>
        <v/>
      </c>
      <c r="M869">
        <f>IF($A869="","",IF($H869="ENGAGE","Engagé",IF(AND($H869="NON ENGAGE",OR($I869="INFRUCTUEUX",$I869="ANNULE")),"Clôturé sans suite","En cours")))</f>
        <v/>
      </c>
      <c r="N869">
        <f>IF(ISBLANK('ENGAGEMENTS 2026'!C869),"",'ENGAGEMENTS 2026'!L869)</f>
        <v/>
      </c>
      <c r="O869">
        <f>IF(ISBLANK('ENGAGEMENTS 2026'!C869),"",'ENGAGEMENTS 2026'!M869)</f>
        <v/>
      </c>
      <c r="P869">
        <f>IF(ISBLANK('ENGAGEMENTS 2026'!C869),"",'ENGAGEMENTS 2026'!K869)</f>
        <v/>
      </c>
      <c r="Q869">
        <f>IF($A869="","",IF(OR($E869="INFRUCTUEUX",$E869="ANNULE"),$A869&amp;"|"&amp;(COUNTIFS($A$2:$A869,$A869,$E$2:$E869,"INFRUCTUEUX")+COUNTIFS($A$2:$A869,$A869,$E$2:$E869,"ANNULE")),""))</f>
        <v/>
      </c>
    </row>
    <row r="870">
      <c r="A870">
        <f>IF(ISBLANK('ENGAGEMENTS 2026'!C870),"",IF('ENGAGEMENTS 2026'!C870="DTSI","DCT",'ENGAGEMENTS 2026'!C870))</f>
        <v/>
      </c>
      <c r="B870">
        <f>IF(ISBLANK('ENGAGEMENTS 2026'!C870),"",'ENGAGEMENTS 2026'!D870)</f>
        <v/>
      </c>
      <c r="C870">
        <f>IF(ISBLANK('ENGAGEMENTS 2026'!C870),"",'ENGAGEMENTS 2026'!E870)</f>
        <v/>
      </c>
      <c r="D870">
        <f>IF(ISBLANK('ENGAGEMENTS 2026'!C870),"",'ENGAGEMENTS 2026'!G870)</f>
        <v/>
      </c>
      <c r="E870">
        <f>IF(ISBLANK('ENGAGEMENTS 2026'!C870),"",'ENGAGEMENTS 2026'!I870)</f>
        <v/>
      </c>
      <c r="F870">
        <f>IF(ISBLANK('ENGAGEMENTS 2026'!C870),"",'ENGAGEMENTS 2026'!J870)</f>
        <v/>
      </c>
      <c r="G870">
        <f>IF(ISBLANK('ENGAGEMENTS 2026'!C870),"",'ENGAGEMENTS 2026'!M870)</f>
        <v/>
      </c>
      <c r="H870">
        <f>IF(ISBLANK('ENGAGEMENTS 2026'!C870),"",'ENGAGEMENTS 2026'!AF870)</f>
        <v/>
      </c>
      <c r="I870">
        <f>IF(ISBLANK('ENGAGEMENTS 2026'!C870),"",'ENGAGEMENTS 2026'!H870)</f>
        <v/>
      </c>
      <c r="J870" s="275">
        <f>IF(ISBLANK('ENGAGEMENTS 2026'!C870),"",IF(AND(OR($E870="INFRUCTUEUX",$E870="ANNULE"),$C870="AOO-M"),'ENGAGEMENTS 2026'!P870,IF($H870="EN COURS DE PREENGAGEMENT",'ENGAGEMENTS 2026'!O870,IF($H870="PREENGAGE",IF($E870="ATTRIBUE",'ENGAGEMENTS 2026'!AE870,'ENGAGEMENTS 2026'!O870),'ENGAGEMENTS 2026'!AE870))))</f>
        <v/>
      </c>
      <c r="K870" s="604">
        <f>IF(ISBLANK('ENGAGEMENTS 2026'!W870),"",'ENGAGEMENTS 2026'!W870)</f>
        <v/>
      </c>
      <c r="L870" s="276">
        <f>IF($K870="","",TODAY()-$K870)</f>
        <v/>
      </c>
      <c r="M870">
        <f>IF($A870="","",IF($H870="ENGAGE","Engagé",IF(AND($H870="NON ENGAGE",OR($I870="INFRUCTUEUX",$I870="ANNULE")),"Clôturé sans suite","En cours")))</f>
        <v/>
      </c>
      <c r="N870">
        <f>IF(ISBLANK('ENGAGEMENTS 2026'!C870),"",'ENGAGEMENTS 2026'!L870)</f>
        <v/>
      </c>
      <c r="O870">
        <f>IF(ISBLANK('ENGAGEMENTS 2026'!C870),"",'ENGAGEMENTS 2026'!M870)</f>
        <v/>
      </c>
      <c r="P870">
        <f>IF(ISBLANK('ENGAGEMENTS 2026'!C870),"",'ENGAGEMENTS 2026'!K870)</f>
        <v/>
      </c>
      <c r="Q870">
        <f>IF($A870="","",IF(OR($E870="INFRUCTUEUX",$E870="ANNULE"),$A870&amp;"|"&amp;(COUNTIFS($A$2:$A870,$A870,$E$2:$E870,"INFRUCTUEUX")+COUNTIFS($A$2:$A870,$A870,$E$2:$E870,"ANNULE")),""))</f>
        <v/>
      </c>
    </row>
    <row r="871">
      <c r="A871">
        <f>IF(ISBLANK('ENGAGEMENTS 2026'!C871),"",IF('ENGAGEMENTS 2026'!C871="DTSI","DCT",'ENGAGEMENTS 2026'!C871))</f>
        <v/>
      </c>
      <c r="B871">
        <f>IF(ISBLANK('ENGAGEMENTS 2026'!C871),"",'ENGAGEMENTS 2026'!D871)</f>
        <v/>
      </c>
      <c r="C871">
        <f>IF(ISBLANK('ENGAGEMENTS 2026'!C871),"",'ENGAGEMENTS 2026'!E871)</f>
        <v/>
      </c>
      <c r="D871">
        <f>IF(ISBLANK('ENGAGEMENTS 2026'!C871),"",'ENGAGEMENTS 2026'!G871)</f>
        <v/>
      </c>
      <c r="E871">
        <f>IF(ISBLANK('ENGAGEMENTS 2026'!C871),"",'ENGAGEMENTS 2026'!I871)</f>
        <v/>
      </c>
      <c r="F871">
        <f>IF(ISBLANK('ENGAGEMENTS 2026'!C871),"",'ENGAGEMENTS 2026'!J871)</f>
        <v/>
      </c>
      <c r="G871">
        <f>IF(ISBLANK('ENGAGEMENTS 2026'!C871),"",'ENGAGEMENTS 2026'!M871)</f>
        <v/>
      </c>
      <c r="H871">
        <f>IF(ISBLANK('ENGAGEMENTS 2026'!C871),"",'ENGAGEMENTS 2026'!AF871)</f>
        <v/>
      </c>
      <c r="I871">
        <f>IF(ISBLANK('ENGAGEMENTS 2026'!C871),"",'ENGAGEMENTS 2026'!H871)</f>
        <v/>
      </c>
      <c r="J871" s="275">
        <f>IF(ISBLANK('ENGAGEMENTS 2026'!C871),"",IF(AND(OR($E871="INFRUCTUEUX",$E871="ANNULE"),$C871="AOO-M"),'ENGAGEMENTS 2026'!P871,IF($H871="EN COURS DE PREENGAGEMENT",'ENGAGEMENTS 2026'!O871,IF($H871="PREENGAGE",IF($E871="ATTRIBUE",'ENGAGEMENTS 2026'!AE871,'ENGAGEMENTS 2026'!O871),'ENGAGEMENTS 2026'!AE871))))</f>
        <v/>
      </c>
      <c r="K871" s="604">
        <f>IF(ISBLANK('ENGAGEMENTS 2026'!W871),"",'ENGAGEMENTS 2026'!W871)</f>
        <v/>
      </c>
      <c r="L871" s="276">
        <f>IF($K871="","",TODAY()-$K871)</f>
        <v/>
      </c>
      <c r="M871">
        <f>IF($A871="","",IF($H871="ENGAGE","Engagé",IF(AND($H871="NON ENGAGE",OR($I871="INFRUCTUEUX",$I871="ANNULE")),"Clôturé sans suite","En cours")))</f>
        <v/>
      </c>
      <c r="N871">
        <f>IF(ISBLANK('ENGAGEMENTS 2026'!C871),"",'ENGAGEMENTS 2026'!L871)</f>
        <v/>
      </c>
      <c r="O871">
        <f>IF(ISBLANK('ENGAGEMENTS 2026'!C871),"",'ENGAGEMENTS 2026'!M871)</f>
        <v/>
      </c>
      <c r="P871">
        <f>IF(ISBLANK('ENGAGEMENTS 2026'!C871),"",'ENGAGEMENTS 2026'!K871)</f>
        <v/>
      </c>
      <c r="Q871">
        <f>IF($A871="","",IF(OR($E871="INFRUCTUEUX",$E871="ANNULE"),$A871&amp;"|"&amp;(COUNTIFS($A$2:$A871,$A871,$E$2:$E871,"INFRUCTUEUX")+COUNTIFS($A$2:$A871,$A871,$E$2:$E871,"ANNULE")),""))</f>
        <v/>
      </c>
    </row>
    <row r="872">
      <c r="A872">
        <f>IF(ISBLANK('ENGAGEMENTS 2026'!C872),"",IF('ENGAGEMENTS 2026'!C872="DTSI","DCT",'ENGAGEMENTS 2026'!C872))</f>
        <v/>
      </c>
      <c r="B872">
        <f>IF(ISBLANK('ENGAGEMENTS 2026'!C872),"",'ENGAGEMENTS 2026'!D872)</f>
        <v/>
      </c>
      <c r="C872">
        <f>IF(ISBLANK('ENGAGEMENTS 2026'!C872),"",'ENGAGEMENTS 2026'!E872)</f>
        <v/>
      </c>
      <c r="D872">
        <f>IF(ISBLANK('ENGAGEMENTS 2026'!C872),"",'ENGAGEMENTS 2026'!G872)</f>
        <v/>
      </c>
      <c r="E872">
        <f>IF(ISBLANK('ENGAGEMENTS 2026'!C872),"",'ENGAGEMENTS 2026'!I872)</f>
        <v/>
      </c>
      <c r="F872">
        <f>IF(ISBLANK('ENGAGEMENTS 2026'!C872),"",'ENGAGEMENTS 2026'!J872)</f>
        <v/>
      </c>
      <c r="G872">
        <f>IF(ISBLANK('ENGAGEMENTS 2026'!C872),"",'ENGAGEMENTS 2026'!M872)</f>
        <v/>
      </c>
      <c r="H872">
        <f>IF(ISBLANK('ENGAGEMENTS 2026'!C872),"",'ENGAGEMENTS 2026'!AF872)</f>
        <v/>
      </c>
      <c r="I872">
        <f>IF(ISBLANK('ENGAGEMENTS 2026'!C872),"",'ENGAGEMENTS 2026'!H872)</f>
        <v/>
      </c>
      <c r="J872" s="275">
        <f>IF(ISBLANK('ENGAGEMENTS 2026'!C872),"",IF(AND(OR($E872="INFRUCTUEUX",$E872="ANNULE"),$C872="AOO-M"),'ENGAGEMENTS 2026'!P872,IF($H872="EN COURS DE PREENGAGEMENT",'ENGAGEMENTS 2026'!O872,IF($H872="PREENGAGE",IF($E872="ATTRIBUE",'ENGAGEMENTS 2026'!AE872,'ENGAGEMENTS 2026'!O872),'ENGAGEMENTS 2026'!AE872))))</f>
        <v/>
      </c>
      <c r="K872" s="604">
        <f>IF(ISBLANK('ENGAGEMENTS 2026'!W872),"",'ENGAGEMENTS 2026'!W872)</f>
        <v/>
      </c>
      <c r="L872" s="276">
        <f>IF($K872="","",TODAY()-$K872)</f>
        <v/>
      </c>
      <c r="M872">
        <f>IF($A872="","",IF($H872="ENGAGE","Engagé",IF(AND($H872="NON ENGAGE",OR($I872="INFRUCTUEUX",$I872="ANNULE")),"Clôturé sans suite","En cours")))</f>
        <v/>
      </c>
      <c r="N872">
        <f>IF(ISBLANK('ENGAGEMENTS 2026'!C872),"",'ENGAGEMENTS 2026'!L872)</f>
        <v/>
      </c>
      <c r="O872">
        <f>IF(ISBLANK('ENGAGEMENTS 2026'!C872),"",'ENGAGEMENTS 2026'!M872)</f>
        <v/>
      </c>
      <c r="P872">
        <f>IF(ISBLANK('ENGAGEMENTS 2026'!C872),"",'ENGAGEMENTS 2026'!K872)</f>
        <v/>
      </c>
      <c r="Q872">
        <f>IF($A872="","",IF(OR($E872="INFRUCTUEUX",$E872="ANNULE"),$A872&amp;"|"&amp;(COUNTIFS($A$2:$A872,$A872,$E$2:$E872,"INFRUCTUEUX")+COUNTIFS($A$2:$A872,$A872,$E$2:$E872,"ANNULE")),""))</f>
        <v/>
      </c>
    </row>
    <row r="873">
      <c r="A873">
        <f>IF(ISBLANK('ENGAGEMENTS 2026'!C873),"",IF('ENGAGEMENTS 2026'!C873="DTSI","DCT",'ENGAGEMENTS 2026'!C873))</f>
        <v/>
      </c>
      <c r="B873">
        <f>IF(ISBLANK('ENGAGEMENTS 2026'!C873),"",'ENGAGEMENTS 2026'!D873)</f>
        <v/>
      </c>
      <c r="C873">
        <f>IF(ISBLANK('ENGAGEMENTS 2026'!C873),"",'ENGAGEMENTS 2026'!E873)</f>
        <v/>
      </c>
      <c r="D873">
        <f>IF(ISBLANK('ENGAGEMENTS 2026'!C873),"",'ENGAGEMENTS 2026'!G873)</f>
        <v/>
      </c>
      <c r="E873">
        <f>IF(ISBLANK('ENGAGEMENTS 2026'!C873),"",'ENGAGEMENTS 2026'!I873)</f>
        <v/>
      </c>
      <c r="F873">
        <f>IF(ISBLANK('ENGAGEMENTS 2026'!C873),"",'ENGAGEMENTS 2026'!J873)</f>
        <v/>
      </c>
      <c r="G873">
        <f>IF(ISBLANK('ENGAGEMENTS 2026'!C873),"",'ENGAGEMENTS 2026'!M873)</f>
        <v/>
      </c>
      <c r="H873">
        <f>IF(ISBLANK('ENGAGEMENTS 2026'!C873),"",'ENGAGEMENTS 2026'!AF873)</f>
        <v/>
      </c>
      <c r="I873">
        <f>IF(ISBLANK('ENGAGEMENTS 2026'!C873),"",'ENGAGEMENTS 2026'!H873)</f>
        <v/>
      </c>
      <c r="J873" s="275">
        <f>IF(ISBLANK('ENGAGEMENTS 2026'!C873),"",IF(AND(OR($E873="INFRUCTUEUX",$E873="ANNULE"),$C873="AOO-M"),'ENGAGEMENTS 2026'!P873,IF($H873="EN COURS DE PREENGAGEMENT",'ENGAGEMENTS 2026'!O873,IF($H873="PREENGAGE",IF($E873="ATTRIBUE",'ENGAGEMENTS 2026'!AE873,'ENGAGEMENTS 2026'!O873),'ENGAGEMENTS 2026'!AE873))))</f>
        <v/>
      </c>
      <c r="K873" s="604">
        <f>IF(ISBLANK('ENGAGEMENTS 2026'!W873),"",'ENGAGEMENTS 2026'!W873)</f>
        <v/>
      </c>
      <c r="L873" s="276">
        <f>IF($K873="","",TODAY()-$K873)</f>
        <v/>
      </c>
      <c r="M873">
        <f>IF($A873="","",IF($H873="ENGAGE","Engagé",IF(AND($H873="NON ENGAGE",OR($I873="INFRUCTUEUX",$I873="ANNULE")),"Clôturé sans suite","En cours")))</f>
        <v/>
      </c>
      <c r="N873">
        <f>IF(ISBLANK('ENGAGEMENTS 2026'!C873),"",'ENGAGEMENTS 2026'!L873)</f>
        <v/>
      </c>
      <c r="O873">
        <f>IF(ISBLANK('ENGAGEMENTS 2026'!C873),"",'ENGAGEMENTS 2026'!M873)</f>
        <v/>
      </c>
      <c r="P873">
        <f>IF(ISBLANK('ENGAGEMENTS 2026'!C873),"",'ENGAGEMENTS 2026'!K873)</f>
        <v/>
      </c>
      <c r="Q873">
        <f>IF($A873="","",IF(OR($E873="INFRUCTUEUX",$E873="ANNULE"),$A873&amp;"|"&amp;(COUNTIFS($A$2:$A873,$A873,$E$2:$E873,"INFRUCTUEUX")+COUNTIFS($A$2:$A873,$A873,$E$2:$E873,"ANNULE")),""))</f>
        <v/>
      </c>
    </row>
    <row r="874">
      <c r="A874">
        <f>IF(ISBLANK('ENGAGEMENTS 2026'!C874),"",IF('ENGAGEMENTS 2026'!C874="DTSI","DCT",'ENGAGEMENTS 2026'!C874))</f>
        <v/>
      </c>
      <c r="B874">
        <f>IF(ISBLANK('ENGAGEMENTS 2026'!C874),"",'ENGAGEMENTS 2026'!D874)</f>
        <v/>
      </c>
      <c r="C874">
        <f>IF(ISBLANK('ENGAGEMENTS 2026'!C874),"",'ENGAGEMENTS 2026'!E874)</f>
        <v/>
      </c>
      <c r="D874">
        <f>IF(ISBLANK('ENGAGEMENTS 2026'!C874),"",'ENGAGEMENTS 2026'!G874)</f>
        <v/>
      </c>
      <c r="E874">
        <f>IF(ISBLANK('ENGAGEMENTS 2026'!C874),"",'ENGAGEMENTS 2026'!I874)</f>
        <v/>
      </c>
      <c r="F874">
        <f>IF(ISBLANK('ENGAGEMENTS 2026'!C874),"",'ENGAGEMENTS 2026'!J874)</f>
        <v/>
      </c>
      <c r="G874">
        <f>IF(ISBLANK('ENGAGEMENTS 2026'!C874),"",'ENGAGEMENTS 2026'!M874)</f>
        <v/>
      </c>
      <c r="H874">
        <f>IF(ISBLANK('ENGAGEMENTS 2026'!C874),"",'ENGAGEMENTS 2026'!AF874)</f>
        <v/>
      </c>
      <c r="I874">
        <f>IF(ISBLANK('ENGAGEMENTS 2026'!C874),"",'ENGAGEMENTS 2026'!H874)</f>
        <v/>
      </c>
      <c r="J874" s="275">
        <f>IF(ISBLANK('ENGAGEMENTS 2026'!C874),"",IF(AND(OR($E874="INFRUCTUEUX",$E874="ANNULE"),$C874="AOO-M"),'ENGAGEMENTS 2026'!P874,IF($H874="EN COURS DE PREENGAGEMENT",'ENGAGEMENTS 2026'!O874,IF($H874="PREENGAGE",IF($E874="ATTRIBUE",'ENGAGEMENTS 2026'!AE874,'ENGAGEMENTS 2026'!O874),'ENGAGEMENTS 2026'!AE874))))</f>
        <v/>
      </c>
      <c r="K874" s="604">
        <f>IF(ISBLANK('ENGAGEMENTS 2026'!W874),"",'ENGAGEMENTS 2026'!W874)</f>
        <v/>
      </c>
      <c r="L874" s="276">
        <f>IF($K874="","",TODAY()-$K874)</f>
        <v/>
      </c>
      <c r="M874">
        <f>IF($A874="","",IF($H874="ENGAGE","Engagé",IF(AND($H874="NON ENGAGE",OR($I874="INFRUCTUEUX",$I874="ANNULE")),"Clôturé sans suite","En cours")))</f>
        <v/>
      </c>
      <c r="N874">
        <f>IF(ISBLANK('ENGAGEMENTS 2026'!C874),"",'ENGAGEMENTS 2026'!L874)</f>
        <v/>
      </c>
      <c r="O874">
        <f>IF(ISBLANK('ENGAGEMENTS 2026'!C874),"",'ENGAGEMENTS 2026'!M874)</f>
        <v/>
      </c>
      <c r="P874">
        <f>IF(ISBLANK('ENGAGEMENTS 2026'!C874),"",'ENGAGEMENTS 2026'!K874)</f>
        <v/>
      </c>
      <c r="Q874">
        <f>IF($A874="","",IF(OR($E874="INFRUCTUEUX",$E874="ANNULE"),$A874&amp;"|"&amp;(COUNTIFS($A$2:$A874,$A874,$E$2:$E874,"INFRUCTUEUX")+COUNTIFS($A$2:$A874,$A874,$E$2:$E874,"ANNULE")),""))</f>
        <v/>
      </c>
    </row>
    <row r="875">
      <c r="A875">
        <f>IF(ISBLANK('ENGAGEMENTS 2026'!C875),"",IF('ENGAGEMENTS 2026'!C875="DTSI","DCT",'ENGAGEMENTS 2026'!C875))</f>
        <v/>
      </c>
      <c r="B875">
        <f>IF(ISBLANK('ENGAGEMENTS 2026'!C875),"",'ENGAGEMENTS 2026'!D875)</f>
        <v/>
      </c>
      <c r="C875">
        <f>IF(ISBLANK('ENGAGEMENTS 2026'!C875),"",'ENGAGEMENTS 2026'!E875)</f>
        <v/>
      </c>
      <c r="D875">
        <f>IF(ISBLANK('ENGAGEMENTS 2026'!C875),"",'ENGAGEMENTS 2026'!G875)</f>
        <v/>
      </c>
      <c r="E875">
        <f>IF(ISBLANK('ENGAGEMENTS 2026'!C875),"",'ENGAGEMENTS 2026'!I875)</f>
        <v/>
      </c>
      <c r="F875">
        <f>IF(ISBLANK('ENGAGEMENTS 2026'!C875),"",'ENGAGEMENTS 2026'!J875)</f>
        <v/>
      </c>
      <c r="G875">
        <f>IF(ISBLANK('ENGAGEMENTS 2026'!C875),"",'ENGAGEMENTS 2026'!M875)</f>
        <v/>
      </c>
      <c r="H875">
        <f>IF(ISBLANK('ENGAGEMENTS 2026'!C875),"",'ENGAGEMENTS 2026'!AF875)</f>
        <v/>
      </c>
      <c r="I875">
        <f>IF(ISBLANK('ENGAGEMENTS 2026'!C875),"",'ENGAGEMENTS 2026'!H875)</f>
        <v/>
      </c>
      <c r="J875" s="275">
        <f>IF(ISBLANK('ENGAGEMENTS 2026'!C875),"",IF(AND(OR($E875="INFRUCTUEUX",$E875="ANNULE"),$C875="AOO-M"),'ENGAGEMENTS 2026'!P875,IF($H875="EN COURS DE PREENGAGEMENT",'ENGAGEMENTS 2026'!O875,IF($H875="PREENGAGE",IF($E875="ATTRIBUE",'ENGAGEMENTS 2026'!AE875,'ENGAGEMENTS 2026'!O875),'ENGAGEMENTS 2026'!AE875))))</f>
        <v/>
      </c>
      <c r="K875" s="604">
        <f>IF(ISBLANK('ENGAGEMENTS 2026'!W875),"",'ENGAGEMENTS 2026'!W875)</f>
        <v/>
      </c>
      <c r="L875" s="276">
        <f>IF($K875="","",TODAY()-$K875)</f>
        <v/>
      </c>
      <c r="M875">
        <f>IF($A875="","",IF($H875="ENGAGE","Engagé",IF(AND($H875="NON ENGAGE",OR($I875="INFRUCTUEUX",$I875="ANNULE")),"Clôturé sans suite","En cours")))</f>
        <v/>
      </c>
      <c r="N875">
        <f>IF(ISBLANK('ENGAGEMENTS 2026'!C875),"",'ENGAGEMENTS 2026'!L875)</f>
        <v/>
      </c>
      <c r="O875">
        <f>IF(ISBLANK('ENGAGEMENTS 2026'!C875),"",'ENGAGEMENTS 2026'!M875)</f>
        <v/>
      </c>
      <c r="P875">
        <f>IF(ISBLANK('ENGAGEMENTS 2026'!C875),"",'ENGAGEMENTS 2026'!K875)</f>
        <v/>
      </c>
      <c r="Q875">
        <f>IF($A875="","",IF(OR($E875="INFRUCTUEUX",$E875="ANNULE"),$A875&amp;"|"&amp;(COUNTIFS($A$2:$A875,$A875,$E$2:$E875,"INFRUCTUEUX")+COUNTIFS($A$2:$A875,$A875,$E$2:$E875,"ANNULE")),""))</f>
        <v/>
      </c>
    </row>
    <row r="876">
      <c r="A876">
        <f>IF(ISBLANK('ENGAGEMENTS 2026'!C876),"",IF('ENGAGEMENTS 2026'!C876="DTSI","DCT",'ENGAGEMENTS 2026'!C876))</f>
        <v/>
      </c>
      <c r="B876">
        <f>IF(ISBLANK('ENGAGEMENTS 2026'!C876),"",'ENGAGEMENTS 2026'!D876)</f>
        <v/>
      </c>
      <c r="C876">
        <f>IF(ISBLANK('ENGAGEMENTS 2026'!C876),"",'ENGAGEMENTS 2026'!E876)</f>
        <v/>
      </c>
      <c r="D876">
        <f>IF(ISBLANK('ENGAGEMENTS 2026'!C876),"",'ENGAGEMENTS 2026'!G876)</f>
        <v/>
      </c>
      <c r="E876">
        <f>IF(ISBLANK('ENGAGEMENTS 2026'!C876),"",'ENGAGEMENTS 2026'!I876)</f>
        <v/>
      </c>
      <c r="F876">
        <f>IF(ISBLANK('ENGAGEMENTS 2026'!C876),"",'ENGAGEMENTS 2026'!J876)</f>
        <v/>
      </c>
      <c r="G876">
        <f>IF(ISBLANK('ENGAGEMENTS 2026'!C876),"",'ENGAGEMENTS 2026'!M876)</f>
        <v/>
      </c>
      <c r="H876">
        <f>IF(ISBLANK('ENGAGEMENTS 2026'!C876),"",'ENGAGEMENTS 2026'!AF876)</f>
        <v/>
      </c>
      <c r="I876">
        <f>IF(ISBLANK('ENGAGEMENTS 2026'!C876),"",'ENGAGEMENTS 2026'!H876)</f>
        <v/>
      </c>
      <c r="J876" s="275">
        <f>IF(ISBLANK('ENGAGEMENTS 2026'!C876),"",IF(AND(OR($E876="INFRUCTUEUX",$E876="ANNULE"),$C876="AOO-M"),'ENGAGEMENTS 2026'!P876,IF($H876="EN COURS DE PREENGAGEMENT",'ENGAGEMENTS 2026'!O876,IF($H876="PREENGAGE",IF($E876="ATTRIBUE",'ENGAGEMENTS 2026'!AE876,'ENGAGEMENTS 2026'!O876),'ENGAGEMENTS 2026'!AE876))))</f>
        <v/>
      </c>
      <c r="K876" s="604">
        <f>IF(ISBLANK('ENGAGEMENTS 2026'!W876),"",'ENGAGEMENTS 2026'!W876)</f>
        <v/>
      </c>
      <c r="L876" s="276">
        <f>IF($K876="","",TODAY()-$K876)</f>
        <v/>
      </c>
      <c r="M876">
        <f>IF($A876="","",IF($H876="ENGAGE","Engagé",IF(AND($H876="NON ENGAGE",OR($I876="INFRUCTUEUX",$I876="ANNULE")),"Clôturé sans suite","En cours")))</f>
        <v/>
      </c>
      <c r="N876">
        <f>IF(ISBLANK('ENGAGEMENTS 2026'!C876),"",'ENGAGEMENTS 2026'!L876)</f>
        <v/>
      </c>
      <c r="O876">
        <f>IF(ISBLANK('ENGAGEMENTS 2026'!C876),"",'ENGAGEMENTS 2026'!M876)</f>
        <v/>
      </c>
      <c r="P876">
        <f>IF(ISBLANK('ENGAGEMENTS 2026'!C876),"",'ENGAGEMENTS 2026'!K876)</f>
        <v/>
      </c>
      <c r="Q876">
        <f>IF($A876="","",IF(OR($E876="INFRUCTUEUX",$E876="ANNULE"),$A876&amp;"|"&amp;(COUNTIFS($A$2:$A876,$A876,$E$2:$E876,"INFRUCTUEUX")+COUNTIFS($A$2:$A876,$A876,$E$2:$E876,"ANNULE")),""))</f>
        <v/>
      </c>
    </row>
    <row r="877">
      <c r="A877">
        <f>IF(ISBLANK('ENGAGEMENTS 2026'!C877),"",IF('ENGAGEMENTS 2026'!C877="DTSI","DCT",'ENGAGEMENTS 2026'!C877))</f>
        <v/>
      </c>
      <c r="B877">
        <f>IF(ISBLANK('ENGAGEMENTS 2026'!C877),"",'ENGAGEMENTS 2026'!D877)</f>
        <v/>
      </c>
      <c r="C877">
        <f>IF(ISBLANK('ENGAGEMENTS 2026'!C877),"",'ENGAGEMENTS 2026'!E877)</f>
        <v/>
      </c>
      <c r="D877">
        <f>IF(ISBLANK('ENGAGEMENTS 2026'!C877),"",'ENGAGEMENTS 2026'!G877)</f>
        <v/>
      </c>
      <c r="E877">
        <f>IF(ISBLANK('ENGAGEMENTS 2026'!C877),"",'ENGAGEMENTS 2026'!I877)</f>
        <v/>
      </c>
      <c r="F877">
        <f>IF(ISBLANK('ENGAGEMENTS 2026'!C877),"",'ENGAGEMENTS 2026'!J877)</f>
        <v/>
      </c>
      <c r="G877">
        <f>IF(ISBLANK('ENGAGEMENTS 2026'!C877),"",'ENGAGEMENTS 2026'!M877)</f>
        <v/>
      </c>
      <c r="H877">
        <f>IF(ISBLANK('ENGAGEMENTS 2026'!C877),"",'ENGAGEMENTS 2026'!AF877)</f>
        <v/>
      </c>
      <c r="I877">
        <f>IF(ISBLANK('ENGAGEMENTS 2026'!C877),"",'ENGAGEMENTS 2026'!H877)</f>
        <v/>
      </c>
      <c r="J877" s="275">
        <f>IF(ISBLANK('ENGAGEMENTS 2026'!C877),"",IF(AND(OR($E877="INFRUCTUEUX",$E877="ANNULE"),$C877="AOO-M"),'ENGAGEMENTS 2026'!P877,IF($H877="EN COURS DE PREENGAGEMENT",'ENGAGEMENTS 2026'!O877,IF($H877="PREENGAGE",IF($E877="ATTRIBUE",'ENGAGEMENTS 2026'!AE877,'ENGAGEMENTS 2026'!O877),'ENGAGEMENTS 2026'!AE877))))</f>
        <v/>
      </c>
      <c r="K877" s="604">
        <f>IF(ISBLANK('ENGAGEMENTS 2026'!W877),"",'ENGAGEMENTS 2026'!W877)</f>
        <v/>
      </c>
      <c r="L877" s="276">
        <f>IF($K877="","",TODAY()-$K877)</f>
        <v/>
      </c>
      <c r="M877">
        <f>IF($A877="","",IF($H877="ENGAGE","Engagé",IF(AND($H877="NON ENGAGE",OR($I877="INFRUCTUEUX",$I877="ANNULE")),"Clôturé sans suite","En cours")))</f>
        <v/>
      </c>
      <c r="N877">
        <f>IF(ISBLANK('ENGAGEMENTS 2026'!C877),"",'ENGAGEMENTS 2026'!L877)</f>
        <v/>
      </c>
      <c r="O877">
        <f>IF(ISBLANK('ENGAGEMENTS 2026'!C877),"",'ENGAGEMENTS 2026'!M877)</f>
        <v/>
      </c>
      <c r="P877">
        <f>IF(ISBLANK('ENGAGEMENTS 2026'!C877),"",'ENGAGEMENTS 2026'!K877)</f>
        <v/>
      </c>
      <c r="Q877">
        <f>IF($A877="","",IF(OR($E877="INFRUCTUEUX",$E877="ANNULE"),$A877&amp;"|"&amp;(COUNTIFS($A$2:$A877,$A877,$E$2:$E877,"INFRUCTUEUX")+COUNTIFS($A$2:$A877,$A877,$E$2:$E877,"ANNULE")),""))</f>
        <v/>
      </c>
    </row>
    <row r="878">
      <c r="A878">
        <f>IF(ISBLANK('ENGAGEMENTS 2026'!C878),"",IF('ENGAGEMENTS 2026'!C878="DTSI","DCT",'ENGAGEMENTS 2026'!C878))</f>
        <v/>
      </c>
      <c r="B878">
        <f>IF(ISBLANK('ENGAGEMENTS 2026'!C878),"",'ENGAGEMENTS 2026'!D878)</f>
        <v/>
      </c>
      <c r="C878">
        <f>IF(ISBLANK('ENGAGEMENTS 2026'!C878),"",'ENGAGEMENTS 2026'!E878)</f>
        <v/>
      </c>
      <c r="D878">
        <f>IF(ISBLANK('ENGAGEMENTS 2026'!C878),"",'ENGAGEMENTS 2026'!G878)</f>
        <v/>
      </c>
      <c r="E878">
        <f>IF(ISBLANK('ENGAGEMENTS 2026'!C878),"",'ENGAGEMENTS 2026'!I878)</f>
        <v/>
      </c>
      <c r="F878">
        <f>IF(ISBLANK('ENGAGEMENTS 2026'!C878),"",'ENGAGEMENTS 2026'!J878)</f>
        <v/>
      </c>
      <c r="G878">
        <f>IF(ISBLANK('ENGAGEMENTS 2026'!C878),"",'ENGAGEMENTS 2026'!M878)</f>
        <v/>
      </c>
      <c r="H878">
        <f>IF(ISBLANK('ENGAGEMENTS 2026'!C878),"",'ENGAGEMENTS 2026'!AF878)</f>
        <v/>
      </c>
      <c r="I878">
        <f>IF(ISBLANK('ENGAGEMENTS 2026'!C878),"",'ENGAGEMENTS 2026'!H878)</f>
        <v/>
      </c>
      <c r="J878" s="275">
        <f>IF(ISBLANK('ENGAGEMENTS 2026'!C878),"",IF(AND(OR($E878="INFRUCTUEUX",$E878="ANNULE"),$C878="AOO-M"),'ENGAGEMENTS 2026'!P878,IF($H878="EN COURS DE PREENGAGEMENT",'ENGAGEMENTS 2026'!O878,IF($H878="PREENGAGE",IF($E878="ATTRIBUE",'ENGAGEMENTS 2026'!AE878,'ENGAGEMENTS 2026'!O878),'ENGAGEMENTS 2026'!AE878))))</f>
        <v/>
      </c>
      <c r="K878" s="604">
        <f>IF(ISBLANK('ENGAGEMENTS 2026'!W878),"",'ENGAGEMENTS 2026'!W878)</f>
        <v/>
      </c>
      <c r="L878" s="276">
        <f>IF($K878="","",TODAY()-$K878)</f>
        <v/>
      </c>
      <c r="M878">
        <f>IF($A878="","",IF($H878="ENGAGE","Engagé",IF(AND($H878="NON ENGAGE",OR($I878="INFRUCTUEUX",$I878="ANNULE")),"Clôturé sans suite","En cours")))</f>
        <v/>
      </c>
      <c r="N878">
        <f>IF(ISBLANK('ENGAGEMENTS 2026'!C878),"",'ENGAGEMENTS 2026'!L878)</f>
        <v/>
      </c>
      <c r="O878">
        <f>IF(ISBLANK('ENGAGEMENTS 2026'!C878),"",'ENGAGEMENTS 2026'!M878)</f>
        <v/>
      </c>
      <c r="P878">
        <f>IF(ISBLANK('ENGAGEMENTS 2026'!C878),"",'ENGAGEMENTS 2026'!K878)</f>
        <v/>
      </c>
      <c r="Q878">
        <f>IF($A878="","",IF(OR($E878="INFRUCTUEUX",$E878="ANNULE"),$A878&amp;"|"&amp;(COUNTIFS($A$2:$A878,$A878,$E$2:$E878,"INFRUCTUEUX")+COUNTIFS($A$2:$A878,$A878,$E$2:$E878,"ANNULE")),""))</f>
        <v/>
      </c>
    </row>
    <row r="879">
      <c r="A879">
        <f>IF(ISBLANK('ENGAGEMENTS 2026'!C879),"",IF('ENGAGEMENTS 2026'!C879="DTSI","DCT",'ENGAGEMENTS 2026'!C879))</f>
        <v/>
      </c>
      <c r="B879">
        <f>IF(ISBLANK('ENGAGEMENTS 2026'!C879),"",'ENGAGEMENTS 2026'!D879)</f>
        <v/>
      </c>
      <c r="C879">
        <f>IF(ISBLANK('ENGAGEMENTS 2026'!C879),"",'ENGAGEMENTS 2026'!E879)</f>
        <v/>
      </c>
      <c r="D879">
        <f>IF(ISBLANK('ENGAGEMENTS 2026'!C879),"",'ENGAGEMENTS 2026'!G879)</f>
        <v/>
      </c>
      <c r="E879">
        <f>IF(ISBLANK('ENGAGEMENTS 2026'!C879),"",'ENGAGEMENTS 2026'!I879)</f>
        <v/>
      </c>
      <c r="F879">
        <f>IF(ISBLANK('ENGAGEMENTS 2026'!C879),"",'ENGAGEMENTS 2026'!J879)</f>
        <v/>
      </c>
      <c r="G879">
        <f>IF(ISBLANK('ENGAGEMENTS 2026'!C879),"",'ENGAGEMENTS 2026'!M879)</f>
        <v/>
      </c>
      <c r="H879">
        <f>IF(ISBLANK('ENGAGEMENTS 2026'!C879),"",'ENGAGEMENTS 2026'!AF879)</f>
        <v/>
      </c>
      <c r="I879">
        <f>IF(ISBLANK('ENGAGEMENTS 2026'!C879),"",'ENGAGEMENTS 2026'!H879)</f>
        <v/>
      </c>
      <c r="J879" s="275">
        <f>IF(ISBLANK('ENGAGEMENTS 2026'!C879),"",IF(AND(OR($E879="INFRUCTUEUX",$E879="ANNULE"),$C879="AOO-M"),'ENGAGEMENTS 2026'!P879,IF($H879="EN COURS DE PREENGAGEMENT",'ENGAGEMENTS 2026'!O879,IF($H879="PREENGAGE",IF($E879="ATTRIBUE",'ENGAGEMENTS 2026'!AE879,'ENGAGEMENTS 2026'!O879),'ENGAGEMENTS 2026'!AE879))))</f>
        <v/>
      </c>
      <c r="K879" s="604">
        <f>IF(ISBLANK('ENGAGEMENTS 2026'!W879),"",'ENGAGEMENTS 2026'!W879)</f>
        <v/>
      </c>
      <c r="L879" s="276">
        <f>IF($K879="","",TODAY()-$K879)</f>
        <v/>
      </c>
      <c r="M879">
        <f>IF($A879="","",IF($H879="ENGAGE","Engagé",IF(AND($H879="NON ENGAGE",OR($I879="INFRUCTUEUX",$I879="ANNULE")),"Clôturé sans suite","En cours")))</f>
        <v/>
      </c>
      <c r="N879">
        <f>IF(ISBLANK('ENGAGEMENTS 2026'!C879),"",'ENGAGEMENTS 2026'!L879)</f>
        <v/>
      </c>
      <c r="O879">
        <f>IF(ISBLANK('ENGAGEMENTS 2026'!C879),"",'ENGAGEMENTS 2026'!M879)</f>
        <v/>
      </c>
      <c r="P879">
        <f>IF(ISBLANK('ENGAGEMENTS 2026'!C879),"",'ENGAGEMENTS 2026'!K879)</f>
        <v/>
      </c>
      <c r="Q879">
        <f>IF($A879="","",IF(OR($E879="INFRUCTUEUX",$E879="ANNULE"),$A879&amp;"|"&amp;(COUNTIFS($A$2:$A879,$A879,$E$2:$E879,"INFRUCTUEUX")+COUNTIFS($A$2:$A879,$A879,$E$2:$E879,"ANNULE")),""))</f>
        <v/>
      </c>
    </row>
    <row r="880">
      <c r="A880">
        <f>IF(ISBLANK('ENGAGEMENTS 2026'!C880),"",IF('ENGAGEMENTS 2026'!C880="DTSI","DCT",'ENGAGEMENTS 2026'!C880))</f>
        <v/>
      </c>
      <c r="B880">
        <f>IF(ISBLANK('ENGAGEMENTS 2026'!C880),"",'ENGAGEMENTS 2026'!D880)</f>
        <v/>
      </c>
      <c r="C880">
        <f>IF(ISBLANK('ENGAGEMENTS 2026'!C880),"",'ENGAGEMENTS 2026'!E880)</f>
        <v/>
      </c>
      <c r="D880">
        <f>IF(ISBLANK('ENGAGEMENTS 2026'!C880),"",'ENGAGEMENTS 2026'!G880)</f>
        <v/>
      </c>
      <c r="E880">
        <f>IF(ISBLANK('ENGAGEMENTS 2026'!C880),"",'ENGAGEMENTS 2026'!I880)</f>
        <v/>
      </c>
      <c r="F880">
        <f>IF(ISBLANK('ENGAGEMENTS 2026'!C880),"",'ENGAGEMENTS 2026'!J880)</f>
        <v/>
      </c>
      <c r="G880">
        <f>IF(ISBLANK('ENGAGEMENTS 2026'!C880),"",'ENGAGEMENTS 2026'!M880)</f>
        <v/>
      </c>
      <c r="H880">
        <f>IF(ISBLANK('ENGAGEMENTS 2026'!C880),"",'ENGAGEMENTS 2026'!AF880)</f>
        <v/>
      </c>
      <c r="I880">
        <f>IF(ISBLANK('ENGAGEMENTS 2026'!C880),"",'ENGAGEMENTS 2026'!H880)</f>
        <v/>
      </c>
      <c r="J880" s="275">
        <f>IF(ISBLANK('ENGAGEMENTS 2026'!C880),"",IF(AND(OR($E880="INFRUCTUEUX",$E880="ANNULE"),$C880="AOO-M"),'ENGAGEMENTS 2026'!P880,IF($H880="EN COURS DE PREENGAGEMENT",'ENGAGEMENTS 2026'!O880,IF($H880="PREENGAGE",IF($E880="ATTRIBUE",'ENGAGEMENTS 2026'!AE880,'ENGAGEMENTS 2026'!O880),'ENGAGEMENTS 2026'!AE880))))</f>
        <v/>
      </c>
      <c r="K880" s="604">
        <f>IF(ISBLANK('ENGAGEMENTS 2026'!W880),"",'ENGAGEMENTS 2026'!W880)</f>
        <v/>
      </c>
      <c r="L880" s="276">
        <f>IF($K880="","",TODAY()-$K880)</f>
        <v/>
      </c>
      <c r="M880">
        <f>IF($A880="","",IF($H880="ENGAGE","Engagé",IF(AND($H880="NON ENGAGE",OR($I880="INFRUCTUEUX",$I880="ANNULE")),"Clôturé sans suite","En cours")))</f>
        <v/>
      </c>
      <c r="N880">
        <f>IF(ISBLANK('ENGAGEMENTS 2026'!C880),"",'ENGAGEMENTS 2026'!L880)</f>
        <v/>
      </c>
      <c r="O880">
        <f>IF(ISBLANK('ENGAGEMENTS 2026'!C880),"",'ENGAGEMENTS 2026'!M880)</f>
        <v/>
      </c>
      <c r="P880">
        <f>IF(ISBLANK('ENGAGEMENTS 2026'!C880),"",'ENGAGEMENTS 2026'!K880)</f>
        <v/>
      </c>
      <c r="Q880">
        <f>IF($A880="","",IF(OR($E880="INFRUCTUEUX",$E880="ANNULE"),$A880&amp;"|"&amp;(COUNTIFS($A$2:$A880,$A880,$E$2:$E880,"INFRUCTUEUX")+COUNTIFS($A$2:$A880,$A880,$E$2:$E880,"ANNULE")),""))</f>
        <v/>
      </c>
    </row>
    <row r="881">
      <c r="A881">
        <f>IF(ISBLANK('ENGAGEMENTS 2026'!C881),"",IF('ENGAGEMENTS 2026'!C881="DTSI","DCT",'ENGAGEMENTS 2026'!C881))</f>
        <v/>
      </c>
      <c r="B881">
        <f>IF(ISBLANK('ENGAGEMENTS 2026'!C881),"",'ENGAGEMENTS 2026'!D881)</f>
        <v/>
      </c>
      <c r="C881">
        <f>IF(ISBLANK('ENGAGEMENTS 2026'!C881),"",'ENGAGEMENTS 2026'!E881)</f>
        <v/>
      </c>
      <c r="D881">
        <f>IF(ISBLANK('ENGAGEMENTS 2026'!C881),"",'ENGAGEMENTS 2026'!G881)</f>
        <v/>
      </c>
      <c r="E881">
        <f>IF(ISBLANK('ENGAGEMENTS 2026'!C881),"",'ENGAGEMENTS 2026'!I881)</f>
        <v/>
      </c>
      <c r="F881">
        <f>IF(ISBLANK('ENGAGEMENTS 2026'!C881),"",'ENGAGEMENTS 2026'!J881)</f>
        <v/>
      </c>
      <c r="G881">
        <f>IF(ISBLANK('ENGAGEMENTS 2026'!C881),"",'ENGAGEMENTS 2026'!M881)</f>
        <v/>
      </c>
      <c r="H881">
        <f>IF(ISBLANK('ENGAGEMENTS 2026'!C881),"",'ENGAGEMENTS 2026'!AF881)</f>
        <v/>
      </c>
      <c r="I881">
        <f>IF(ISBLANK('ENGAGEMENTS 2026'!C881),"",'ENGAGEMENTS 2026'!H881)</f>
        <v/>
      </c>
      <c r="J881" s="275">
        <f>IF(ISBLANK('ENGAGEMENTS 2026'!C881),"",IF(AND(OR($E881="INFRUCTUEUX",$E881="ANNULE"),$C881="AOO-M"),'ENGAGEMENTS 2026'!P881,IF($H881="EN COURS DE PREENGAGEMENT",'ENGAGEMENTS 2026'!O881,IF($H881="PREENGAGE",IF($E881="ATTRIBUE",'ENGAGEMENTS 2026'!AE881,'ENGAGEMENTS 2026'!O881),'ENGAGEMENTS 2026'!AE881))))</f>
        <v/>
      </c>
      <c r="K881" s="604">
        <f>IF(ISBLANK('ENGAGEMENTS 2026'!W881),"",'ENGAGEMENTS 2026'!W881)</f>
        <v/>
      </c>
      <c r="L881" s="276">
        <f>IF($K881="","",TODAY()-$K881)</f>
        <v/>
      </c>
      <c r="M881">
        <f>IF($A881="","",IF($H881="ENGAGE","Engagé",IF(AND($H881="NON ENGAGE",OR($I881="INFRUCTUEUX",$I881="ANNULE")),"Clôturé sans suite","En cours")))</f>
        <v/>
      </c>
      <c r="N881">
        <f>IF(ISBLANK('ENGAGEMENTS 2026'!C881),"",'ENGAGEMENTS 2026'!L881)</f>
        <v/>
      </c>
      <c r="O881">
        <f>IF(ISBLANK('ENGAGEMENTS 2026'!C881),"",'ENGAGEMENTS 2026'!M881)</f>
        <v/>
      </c>
      <c r="P881">
        <f>IF(ISBLANK('ENGAGEMENTS 2026'!C881),"",'ENGAGEMENTS 2026'!K881)</f>
        <v/>
      </c>
      <c r="Q881">
        <f>IF($A881="","",IF(OR($E881="INFRUCTUEUX",$E881="ANNULE"),$A881&amp;"|"&amp;(COUNTIFS($A$2:$A881,$A881,$E$2:$E881,"INFRUCTUEUX")+COUNTIFS($A$2:$A881,$A881,$E$2:$E881,"ANNULE")),""))</f>
        <v/>
      </c>
    </row>
    <row r="882">
      <c r="A882">
        <f>IF(ISBLANK('ENGAGEMENTS 2026'!C882),"",IF('ENGAGEMENTS 2026'!C882="DTSI","DCT",'ENGAGEMENTS 2026'!C882))</f>
        <v/>
      </c>
      <c r="B882">
        <f>IF(ISBLANK('ENGAGEMENTS 2026'!C882),"",'ENGAGEMENTS 2026'!D882)</f>
        <v/>
      </c>
      <c r="C882">
        <f>IF(ISBLANK('ENGAGEMENTS 2026'!C882),"",'ENGAGEMENTS 2026'!E882)</f>
        <v/>
      </c>
      <c r="D882">
        <f>IF(ISBLANK('ENGAGEMENTS 2026'!C882),"",'ENGAGEMENTS 2026'!G882)</f>
        <v/>
      </c>
      <c r="E882">
        <f>IF(ISBLANK('ENGAGEMENTS 2026'!C882),"",'ENGAGEMENTS 2026'!I882)</f>
        <v/>
      </c>
      <c r="F882">
        <f>IF(ISBLANK('ENGAGEMENTS 2026'!C882),"",'ENGAGEMENTS 2026'!J882)</f>
        <v/>
      </c>
      <c r="G882">
        <f>IF(ISBLANK('ENGAGEMENTS 2026'!C882),"",'ENGAGEMENTS 2026'!M882)</f>
        <v/>
      </c>
      <c r="H882">
        <f>IF(ISBLANK('ENGAGEMENTS 2026'!C882),"",'ENGAGEMENTS 2026'!AF882)</f>
        <v/>
      </c>
      <c r="I882">
        <f>IF(ISBLANK('ENGAGEMENTS 2026'!C882),"",'ENGAGEMENTS 2026'!H882)</f>
        <v/>
      </c>
      <c r="J882" s="275">
        <f>IF(ISBLANK('ENGAGEMENTS 2026'!C882),"",IF(AND(OR($E882="INFRUCTUEUX",$E882="ANNULE"),$C882="AOO-M"),'ENGAGEMENTS 2026'!P882,IF($H882="EN COURS DE PREENGAGEMENT",'ENGAGEMENTS 2026'!O882,IF($H882="PREENGAGE",IF($E882="ATTRIBUE",'ENGAGEMENTS 2026'!AE882,'ENGAGEMENTS 2026'!O882),'ENGAGEMENTS 2026'!AE882))))</f>
        <v/>
      </c>
      <c r="K882" s="604">
        <f>IF(ISBLANK('ENGAGEMENTS 2026'!W882),"",'ENGAGEMENTS 2026'!W882)</f>
        <v/>
      </c>
      <c r="L882" s="276">
        <f>IF($K882="","",TODAY()-$K882)</f>
        <v/>
      </c>
      <c r="M882">
        <f>IF($A882="","",IF($H882="ENGAGE","Engagé",IF(AND($H882="NON ENGAGE",OR($I882="INFRUCTUEUX",$I882="ANNULE")),"Clôturé sans suite","En cours")))</f>
        <v/>
      </c>
      <c r="N882">
        <f>IF(ISBLANK('ENGAGEMENTS 2026'!C882),"",'ENGAGEMENTS 2026'!L882)</f>
        <v/>
      </c>
      <c r="O882">
        <f>IF(ISBLANK('ENGAGEMENTS 2026'!C882),"",'ENGAGEMENTS 2026'!M882)</f>
        <v/>
      </c>
      <c r="P882">
        <f>IF(ISBLANK('ENGAGEMENTS 2026'!C882),"",'ENGAGEMENTS 2026'!K882)</f>
        <v/>
      </c>
      <c r="Q882">
        <f>IF($A882="","",IF(OR($E882="INFRUCTUEUX",$E882="ANNULE"),$A882&amp;"|"&amp;(COUNTIFS($A$2:$A882,$A882,$E$2:$E882,"INFRUCTUEUX")+COUNTIFS($A$2:$A882,$A882,$E$2:$E882,"ANNULE")),""))</f>
        <v/>
      </c>
    </row>
    <row r="883">
      <c r="A883">
        <f>IF(ISBLANK('ENGAGEMENTS 2026'!C883),"",IF('ENGAGEMENTS 2026'!C883="DTSI","DCT",'ENGAGEMENTS 2026'!C883))</f>
        <v/>
      </c>
      <c r="B883">
        <f>IF(ISBLANK('ENGAGEMENTS 2026'!C883),"",'ENGAGEMENTS 2026'!D883)</f>
        <v/>
      </c>
      <c r="C883">
        <f>IF(ISBLANK('ENGAGEMENTS 2026'!C883),"",'ENGAGEMENTS 2026'!E883)</f>
        <v/>
      </c>
      <c r="D883">
        <f>IF(ISBLANK('ENGAGEMENTS 2026'!C883),"",'ENGAGEMENTS 2026'!G883)</f>
        <v/>
      </c>
      <c r="E883">
        <f>IF(ISBLANK('ENGAGEMENTS 2026'!C883),"",'ENGAGEMENTS 2026'!I883)</f>
        <v/>
      </c>
      <c r="F883">
        <f>IF(ISBLANK('ENGAGEMENTS 2026'!C883),"",'ENGAGEMENTS 2026'!J883)</f>
        <v/>
      </c>
      <c r="G883">
        <f>IF(ISBLANK('ENGAGEMENTS 2026'!C883),"",'ENGAGEMENTS 2026'!M883)</f>
        <v/>
      </c>
      <c r="H883">
        <f>IF(ISBLANK('ENGAGEMENTS 2026'!C883),"",'ENGAGEMENTS 2026'!AF883)</f>
        <v/>
      </c>
      <c r="I883">
        <f>IF(ISBLANK('ENGAGEMENTS 2026'!C883),"",'ENGAGEMENTS 2026'!H883)</f>
        <v/>
      </c>
      <c r="J883" s="275">
        <f>IF(ISBLANK('ENGAGEMENTS 2026'!C883),"",IF(AND(OR($E883="INFRUCTUEUX",$E883="ANNULE"),$C883="AOO-M"),'ENGAGEMENTS 2026'!P883,IF($H883="EN COURS DE PREENGAGEMENT",'ENGAGEMENTS 2026'!O883,IF($H883="PREENGAGE",IF($E883="ATTRIBUE",'ENGAGEMENTS 2026'!AE883,'ENGAGEMENTS 2026'!O883),'ENGAGEMENTS 2026'!AE883))))</f>
        <v/>
      </c>
      <c r="K883" s="604">
        <f>IF(ISBLANK('ENGAGEMENTS 2026'!W883),"",'ENGAGEMENTS 2026'!W883)</f>
        <v/>
      </c>
      <c r="L883" s="276">
        <f>IF($K883="","",TODAY()-$K883)</f>
        <v/>
      </c>
      <c r="M883">
        <f>IF($A883="","",IF($H883="ENGAGE","Engagé",IF(AND($H883="NON ENGAGE",OR($I883="INFRUCTUEUX",$I883="ANNULE")),"Clôturé sans suite","En cours")))</f>
        <v/>
      </c>
      <c r="N883">
        <f>IF(ISBLANK('ENGAGEMENTS 2026'!C883),"",'ENGAGEMENTS 2026'!L883)</f>
        <v/>
      </c>
      <c r="O883">
        <f>IF(ISBLANK('ENGAGEMENTS 2026'!C883),"",'ENGAGEMENTS 2026'!M883)</f>
        <v/>
      </c>
      <c r="P883">
        <f>IF(ISBLANK('ENGAGEMENTS 2026'!C883),"",'ENGAGEMENTS 2026'!K883)</f>
        <v/>
      </c>
      <c r="Q883">
        <f>IF($A883="","",IF(OR($E883="INFRUCTUEUX",$E883="ANNULE"),$A883&amp;"|"&amp;(COUNTIFS($A$2:$A883,$A883,$E$2:$E883,"INFRUCTUEUX")+COUNTIFS($A$2:$A883,$A883,$E$2:$E883,"ANNULE")),""))</f>
        <v/>
      </c>
    </row>
    <row r="884">
      <c r="A884">
        <f>IF(ISBLANK('ENGAGEMENTS 2026'!C884),"",IF('ENGAGEMENTS 2026'!C884="DTSI","DCT",'ENGAGEMENTS 2026'!C884))</f>
        <v/>
      </c>
      <c r="B884">
        <f>IF(ISBLANK('ENGAGEMENTS 2026'!C884),"",'ENGAGEMENTS 2026'!D884)</f>
        <v/>
      </c>
      <c r="C884">
        <f>IF(ISBLANK('ENGAGEMENTS 2026'!C884),"",'ENGAGEMENTS 2026'!E884)</f>
        <v/>
      </c>
      <c r="D884">
        <f>IF(ISBLANK('ENGAGEMENTS 2026'!C884),"",'ENGAGEMENTS 2026'!G884)</f>
        <v/>
      </c>
      <c r="E884">
        <f>IF(ISBLANK('ENGAGEMENTS 2026'!C884),"",'ENGAGEMENTS 2026'!I884)</f>
        <v/>
      </c>
      <c r="F884">
        <f>IF(ISBLANK('ENGAGEMENTS 2026'!C884),"",'ENGAGEMENTS 2026'!J884)</f>
        <v/>
      </c>
      <c r="G884">
        <f>IF(ISBLANK('ENGAGEMENTS 2026'!C884),"",'ENGAGEMENTS 2026'!M884)</f>
        <v/>
      </c>
      <c r="H884">
        <f>IF(ISBLANK('ENGAGEMENTS 2026'!C884),"",'ENGAGEMENTS 2026'!AF884)</f>
        <v/>
      </c>
      <c r="I884">
        <f>IF(ISBLANK('ENGAGEMENTS 2026'!C884),"",'ENGAGEMENTS 2026'!H884)</f>
        <v/>
      </c>
      <c r="J884" s="275">
        <f>IF(ISBLANK('ENGAGEMENTS 2026'!C884),"",IF(AND(OR($E884="INFRUCTUEUX",$E884="ANNULE"),$C884="AOO-M"),'ENGAGEMENTS 2026'!P884,IF($H884="EN COURS DE PREENGAGEMENT",'ENGAGEMENTS 2026'!O884,IF($H884="PREENGAGE",IF($E884="ATTRIBUE",'ENGAGEMENTS 2026'!AE884,'ENGAGEMENTS 2026'!O884),'ENGAGEMENTS 2026'!AE884))))</f>
        <v/>
      </c>
      <c r="K884" s="604">
        <f>IF(ISBLANK('ENGAGEMENTS 2026'!W884),"",'ENGAGEMENTS 2026'!W884)</f>
        <v/>
      </c>
      <c r="L884" s="276">
        <f>IF($K884="","",TODAY()-$K884)</f>
        <v/>
      </c>
      <c r="M884">
        <f>IF($A884="","",IF($H884="ENGAGE","Engagé",IF(AND($H884="NON ENGAGE",OR($I884="INFRUCTUEUX",$I884="ANNULE")),"Clôturé sans suite","En cours")))</f>
        <v/>
      </c>
      <c r="N884">
        <f>IF(ISBLANK('ENGAGEMENTS 2026'!C884),"",'ENGAGEMENTS 2026'!L884)</f>
        <v/>
      </c>
      <c r="O884">
        <f>IF(ISBLANK('ENGAGEMENTS 2026'!C884),"",'ENGAGEMENTS 2026'!M884)</f>
        <v/>
      </c>
      <c r="P884">
        <f>IF(ISBLANK('ENGAGEMENTS 2026'!C884),"",'ENGAGEMENTS 2026'!K884)</f>
        <v/>
      </c>
      <c r="Q884">
        <f>IF($A884="","",IF(OR($E884="INFRUCTUEUX",$E884="ANNULE"),$A884&amp;"|"&amp;(COUNTIFS($A$2:$A884,$A884,$E$2:$E884,"INFRUCTUEUX")+COUNTIFS($A$2:$A884,$A884,$E$2:$E884,"ANNULE")),""))</f>
        <v/>
      </c>
    </row>
    <row r="885">
      <c r="A885">
        <f>IF(ISBLANK('ENGAGEMENTS 2026'!C885),"",IF('ENGAGEMENTS 2026'!C885="DTSI","DCT",'ENGAGEMENTS 2026'!C885))</f>
        <v/>
      </c>
      <c r="B885">
        <f>IF(ISBLANK('ENGAGEMENTS 2026'!C885),"",'ENGAGEMENTS 2026'!D885)</f>
        <v/>
      </c>
      <c r="C885">
        <f>IF(ISBLANK('ENGAGEMENTS 2026'!C885),"",'ENGAGEMENTS 2026'!E885)</f>
        <v/>
      </c>
      <c r="D885">
        <f>IF(ISBLANK('ENGAGEMENTS 2026'!C885),"",'ENGAGEMENTS 2026'!G885)</f>
        <v/>
      </c>
      <c r="E885">
        <f>IF(ISBLANK('ENGAGEMENTS 2026'!C885),"",'ENGAGEMENTS 2026'!I885)</f>
        <v/>
      </c>
      <c r="F885">
        <f>IF(ISBLANK('ENGAGEMENTS 2026'!C885),"",'ENGAGEMENTS 2026'!J885)</f>
        <v/>
      </c>
      <c r="G885">
        <f>IF(ISBLANK('ENGAGEMENTS 2026'!C885),"",'ENGAGEMENTS 2026'!M885)</f>
        <v/>
      </c>
      <c r="H885">
        <f>IF(ISBLANK('ENGAGEMENTS 2026'!C885),"",'ENGAGEMENTS 2026'!AF885)</f>
        <v/>
      </c>
      <c r="I885">
        <f>IF(ISBLANK('ENGAGEMENTS 2026'!C885),"",'ENGAGEMENTS 2026'!H885)</f>
        <v/>
      </c>
      <c r="J885" s="275">
        <f>IF(ISBLANK('ENGAGEMENTS 2026'!C885),"",IF(AND(OR($E885="INFRUCTUEUX",$E885="ANNULE"),$C885="AOO-M"),'ENGAGEMENTS 2026'!P885,IF($H885="EN COURS DE PREENGAGEMENT",'ENGAGEMENTS 2026'!O885,IF($H885="PREENGAGE",IF($E885="ATTRIBUE",'ENGAGEMENTS 2026'!AE885,'ENGAGEMENTS 2026'!O885),'ENGAGEMENTS 2026'!AE885))))</f>
        <v/>
      </c>
      <c r="K885" s="604">
        <f>IF(ISBLANK('ENGAGEMENTS 2026'!W885),"",'ENGAGEMENTS 2026'!W885)</f>
        <v/>
      </c>
      <c r="L885" s="276">
        <f>IF($K885="","",TODAY()-$K885)</f>
        <v/>
      </c>
      <c r="M885">
        <f>IF($A885="","",IF($H885="ENGAGE","Engagé",IF(AND($H885="NON ENGAGE",OR($I885="INFRUCTUEUX",$I885="ANNULE")),"Clôturé sans suite","En cours")))</f>
        <v/>
      </c>
      <c r="N885">
        <f>IF(ISBLANK('ENGAGEMENTS 2026'!C885),"",'ENGAGEMENTS 2026'!L885)</f>
        <v/>
      </c>
      <c r="O885">
        <f>IF(ISBLANK('ENGAGEMENTS 2026'!C885),"",'ENGAGEMENTS 2026'!M885)</f>
        <v/>
      </c>
      <c r="P885">
        <f>IF(ISBLANK('ENGAGEMENTS 2026'!C885),"",'ENGAGEMENTS 2026'!K885)</f>
        <v/>
      </c>
      <c r="Q885">
        <f>IF($A885="","",IF(OR($E885="INFRUCTUEUX",$E885="ANNULE"),$A885&amp;"|"&amp;(COUNTIFS($A$2:$A885,$A885,$E$2:$E885,"INFRUCTUEUX")+COUNTIFS($A$2:$A885,$A885,$E$2:$E885,"ANNULE")),""))</f>
        <v/>
      </c>
    </row>
    <row r="886">
      <c r="A886">
        <f>IF(ISBLANK('ENGAGEMENTS 2026'!C886),"",IF('ENGAGEMENTS 2026'!C886="DTSI","DCT",'ENGAGEMENTS 2026'!C886))</f>
        <v/>
      </c>
      <c r="B886">
        <f>IF(ISBLANK('ENGAGEMENTS 2026'!C886),"",'ENGAGEMENTS 2026'!D886)</f>
        <v/>
      </c>
      <c r="C886">
        <f>IF(ISBLANK('ENGAGEMENTS 2026'!C886),"",'ENGAGEMENTS 2026'!E886)</f>
        <v/>
      </c>
      <c r="D886">
        <f>IF(ISBLANK('ENGAGEMENTS 2026'!C886),"",'ENGAGEMENTS 2026'!G886)</f>
        <v/>
      </c>
      <c r="E886">
        <f>IF(ISBLANK('ENGAGEMENTS 2026'!C886),"",'ENGAGEMENTS 2026'!I886)</f>
        <v/>
      </c>
      <c r="F886">
        <f>IF(ISBLANK('ENGAGEMENTS 2026'!C886),"",'ENGAGEMENTS 2026'!J886)</f>
        <v/>
      </c>
      <c r="G886">
        <f>IF(ISBLANK('ENGAGEMENTS 2026'!C886),"",'ENGAGEMENTS 2026'!M886)</f>
        <v/>
      </c>
      <c r="H886">
        <f>IF(ISBLANK('ENGAGEMENTS 2026'!C886),"",'ENGAGEMENTS 2026'!AF886)</f>
        <v/>
      </c>
      <c r="I886">
        <f>IF(ISBLANK('ENGAGEMENTS 2026'!C886),"",'ENGAGEMENTS 2026'!H886)</f>
        <v/>
      </c>
      <c r="J886" s="275">
        <f>IF(ISBLANK('ENGAGEMENTS 2026'!C886),"",IF(AND(OR($E886="INFRUCTUEUX",$E886="ANNULE"),$C886="AOO-M"),'ENGAGEMENTS 2026'!P886,IF($H886="EN COURS DE PREENGAGEMENT",'ENGAGEMENTS 2026'!O886,IF($H886="PREENGAGE",IF($E886="ATTRIBUE",'ENGAGEMENTS 2026'!AE886,'ENGAGEMENTS 2026'!O886),'ENGAGEMENTS 2026'!AE886))))</f>
        <v/>
      </c>
      <c r="K886" s="604">
        <f>IF(ISBLANK('ENGAGEMENTS 2026'!W886),"",'ENGAGEMENTS 2026'!W886)</f>
        <v/>
      </c>
      <c r="L886" s="276">
        <f>IF($K886="","",TODAY()-$K886)</f>
        <v/>
      </c>
      <c r="M886">
        <f>IF($A886="","",IF($H886="ENGAGE","Engagé",IF(AND($H886="NON ENGAGE",OR($I886="INFRUCTUEUX",$I886="ANNULE")),"Clôturé sans suite","En cours")))</f>
        <v/>
      </c>
      <c r="N886">
        <f>IF(ISBLANK('ENGAGEMENTS 2026'!C886),"",'ENGAGEMENTS 2026'!L886)</f>
        <v/>
      </c>
      <c r="O886">
        <f>IF(ISBLANK('ENGAGEMENTS 2026'!C886),"",'ENGAGEMENTS 2026'!M886)</f>
        <v/>
      </c>
      <c r="P886">
        <f>IF(ISBLANK('ENGAGEMENTS 2026'!C886),"",'ENGAGEMENTS 2026'!K886)</f>
        <v/>
      </c>
      <c r="Q886">
        <f>IF($A886="","",IF(OR($E886="INFRUCTUEUX",$E886="ANNULE"),$A886&amp;"|"&amp;(COUNTIFS($A$2:$A886,$A886,$E$2:$E886,"INFRUCTUEUX")+COUNTIFS($A$2:$A886,$A886,$E$2:$E886,"ANNULE")),""))</f>
        <v/>
      </c>
    </row>
    <row r="887">
      <c r="A887">
        <f>IF(ISBLANK('ENGAGEMENTS 2026'!C887),"",IF('ENGAGEMENTS 2026'!C887="DTSI","DCT",'ENGAGEMENTS 2026'!C887))</f>
        <v/>
      </c>
      <c r="B887">
        <f>IF(ISBLANK('ENGAGEMENTS 2026'!C887),"",'ENGAGEMENTS 2026'!D887)</f>
        <v/>
      </c>
      <c r="C887">
        <f>IF(ISBLANK('ENGAGEMENTS 2026'!C887),"",'ENGAGEMENTS 2026'!E887)</f>
        <v/>
      </c>
      <c r="D887">
        <f>IF(ISBLANK('ENGAGEMENTS 2026'!C887),"",'ENGAGEMENTS 2026'!G887)</f>
        <v/>
      </c>
      <c r="E887">
        <f>IF(ISBLANK('ENGAGEMENTS 2026'!C887),"",'ENGAGEMENTS 2026'!I887)</f>
        <v/>
      </c>
      <c r="F887">
        <f>IF(ISBLANK('ENGAGEMENTS 2026'!C887),"",'ENGAGEMENTS 2026'!J887)</f>
        <v/>
      </c>
      <c r="G887">
        <f>IF(ISBLANK('ENGAGEMENTS 2026'!C887),"",'ENGAGEMENTS 2026'!M887)</f>
        <v/>
      </c>
      <c r="H887">
        <f>IF(ISBLANK('ENGAGEMENTS 2026'!C887),"",'ENGAGEMENTS 2026'!AF887)</f>
        <v/>
      </c>
      <c r="I887">
        <f>IF(ISBLANK('ENGAGEMENTS 2026'!C887),"",'ENGAGEMENTS 2026'!H887)</f>
        <v/>
      </c>
      <c r="J887" s="275">
        <f>IF(ISBLANK('ENGAGEMENTS 2026'!C887),"",IF(AND(OR($E887="INFRUCTUEUX",$E887="ANNULE"),$C887="AOO-M"),'ENGAGEMENTS 2026'!P887,IF($H887="EN COURS DE PREENGAGEMENT",'ENGAGEMENTS 2026'!O887,IF($H887="PREENGAGE",IF($E887="ATTRIBUE",'ENGAGEMENTS 2026'!AE887,'ENGAGEMENTS 2026'!O887),'ENGAGEMENTS 2026'!AE887))))</f>
        <v/>
      </c>
      <c r="K887" s="604">
        <f>IF(ISBLANK('ENGAGEMENTS 2026'!W887),"",'ENGAGEMENTS 2026'!W887)</f>
        <v/>
      </c>
      <c r="L887" s="276">
        <f>IF($K887="","",TODAY()-$K887)</f>
        <v/>
      </c>
      <c r="M887">
        <f>IF($A887="","",IF($H887="ENGAGE","Engagé",IF(AND($H887="NON ENGAGE",OR($I887="INFRUCTUEUX",$I887="ANNULE")),"Clôturé sans suite","En cours")))</f>
        <v/>
      </c>
      <c r="N887">
        <f>IF(ISBLANK('ENGAGEMENTS 2026'!C887),"",'ENGAGEMENTS 2026'!L887)</f>
        <v/>
      </c>
      <c r="O887">
        <f>IF(ISBLANK('ENGAGEMENTS 2026'!C887),"",'ENGAGEMENTS 2026'!M887)</f>
        <v/>
      </c>
      <c r="P887">
        <f>IF(ISBLANK('ENGAGEMENTS 2026'!C887),"",'ENGAGEMENTS 2026'!K887)</f>
        <v/>
      </c>
      <c r="Q887">
        <f>IF($A887="","",IF(OR($E887="INFRUCTUEUX",$E887="ANNULE"),$A887&amp;"|"&amp;(COUNTIFS($A$2:$A887,$A887,$E$2:$E887,"INFRUCTUEUX")+COUNTIFS($A$2:$A887,$A887,$E$2:$E887,"ANNULE")),""))</f>
        <v/>
      </c>
    </row>
    <row r="888">
      <c r="A888">
        <f>IF(ISBLANK('ENGAGEMENTS 2026'!C888),"",IF('ENGAGEMENTS 2026'!C888="DTSI","DCT",'ENGAGEMENTS 2026'!C888))</f>
        <v/>
      </c>
      <c r="B888">
        <f>IF(ISBLANK('ENGAGEMENTS 2026'!C888),"",'ENGAGEMENTS 2026'!D888)</f>
        <v/>
      </c>
      <c r="C888">
        <f>IF(ISBLANK('ENGAGEMENTS 2026'!C888),"",'ENGAGEMENTS 2026'!E888)</f>
        <v/>
      </c>
      <c r="D888">
        <f>IF(ISBLANK('ENGAGEMENTS 2026'!C888),"",'ENGAGEMENTS 2026'!G888)</f>
        <v/>
      </c>
      <c r="E888">
        <f>IF(ISBLANK('ENGAGEMENTS 2026'!C888),"",'ENGAGEMENTS 2026'!I888)</f>
        <v/>
      </c>
      <c r="F888">
        <f>IF(ISBLANK('ENGAGEMENTS 2026'!C888),"",'ENGAGEMENTS 2026'!J888)</f>
        <v/>
      </c>
      <c r="G888">
        <f>IF(ISBLANK('ENGAGEMENTS 2026'!C888),"",'ENGAGEMENTS 2026'!M888)</f>
        <v/>
      </c>
      <c r="H888">
        <f>IF(ISBLANK('ENGAGEMENTS 2026'!C888),"",'ENGAGEMENTS 2026'!AF888)</f>
        <v/>
      </c>
      <c r="I888">
        <f>IF(ISBLANK('ENGAGEMENTS 2026'!C888),"",'ENGAGEMENTS 2026'!H888)</f>
        <v/>
      </c>
      <c r="J888" s="275">
        <f>IF(ISBLANK('ENGAGEMENTS 2026'!C888),"",IF(AND(OR($E888="INFRUCTUEUX",$E888="ANNULE"),$C888="AOO-M"),'ENGAGEMENTS 2026'!P888,IF($H888="EN COURS DE PREENGAGEMENT",'ENGAGEMENTS 2026'!O888,IF($H888="PREENGAGE",IF($E888="ATTRIBUE",'ENGAGEMENTS 2026'!AE888,'ENGAGEMENTS 2026'!O888),'ENGAGEMENTS 2026'!AE888))))</f>
        <v/>
      </c>
      <c r="K888" s="604">
        <f>IF(ISBLANK('ENGAGEMENTS 2026'!W888),"",'ENGAGEMENTS 2026'!W888)</f>
        <v/>
      </c>
      <c r="L888" s="276">
        <f>IF($K888="","",TODAY()-$K888)</f>
        <v/>
      </c>
      <c r="M888">
        <f>IF($A888="","",IF($H888="ENGAGE","Engagé",IF(AND($H888="NON ENGAGE",OR($I888="INFRUCTUEUX",$I888="ANNULE")),"Clôturé sans suite","En cours")))</f>
        <v/>
      </c>
      <c r="N888">
        <f>IF(ISBLANK('ENGAGEMENTS 2026'!C888),"",'ENGAGEMENTS 2026'!L888)</f>
        <v/>
      </c>
      <c r="O888">
        <f>IF(ISBLANK('ENGAGEMENTS 2026'!C888),"",'ENGAGEMENTS 2026'!M888)</f>
        <v/>
      </c>
      <c r="P888">
        <f>IF(ISBLANK('ENGAGEMENTS 2026'!C888),"",'ENGAGEMENTS 2026'!K888)</f>
        <v/>
      </c>
      <c r="Q888">
        <f>IF($A888="","",IF(OR($E888="INFRUCTUEUX",$E888="ANNULE"),$A888&amp;"|"&amp;(COUNTIFS($A$2:$A888,$A888,$E$2:$E888,"INFRUCTUEUX")+COUNTIFS($A$2:$A888,$A888,$E$2:$E888,"ANNULE")),""))</f>
        <v/>
      </c>
    </row>
    <row r="889">
      <c r="A889">
        <f>IF(ISBLANK('ENGAGEMENTS 2026'!C889),"",IF('ENGAGEMENTS 2026'!C889="DTSI","DCT",'ENGAGEMENTS 2026'!C889))</f>
        <v/>
      </c>
      <c r="B889">
        <f>IF(ISBLANK('ENGAGEMENTS 2026'!C889),"",'ENGAGEMENTS 2026'!D889)</f>
        <v/>
      </c>
      <c r="C889">
        <f>IF(ISBLANK('ENGAGEMENTS 2026'!C889),"",'ENGAGEMENTS 2026'!E889)</f>
        <v/>
      </c>
      <c r="D889">
        <f>IF(ISBLANK('ENGAGEMENTS 2026'!C889),"",'ENGAGEMENTS 2026'!G889)</f>
        <v/>
      </c>
      <c r="E889">
        <f>IF(ISBLANK('ENGAGEMENTS 2026'!C889),"",'ENGAGEMENTS 2026'!I889)</f>
        <v/>
      </c>
      <c r="F889">
        <f>IF(ISBLANK('ENGAGEMENTS 2026'!C889),"",'ENGAGEMENTS 2026'!J889)</f>
        <v/>
      </c>
      <c r="G889">
        <f>IF(ISBLANK('ENGAGEMENTS 2026'!C889),"",'ENGAGEMENTS 2026'!M889)</f>
        <v/>
      </c>
      <c r="H889">
        <f>IF(ISBLANK('ENGAGEMENTS 2026'!C889),"",'ENGAGEMENTS 2026'!AF889)</f>
        <v/>
      </c>
      <c r="I889">
        <f>IF(ISBLANK('ENGAGEMENTS 2026'!C889),"",'ENGAGEMENTS 2026'!H889)</f>
        <v/>
      </c>
      <c r="J889" s="275">
        <f>IF(ISBLANK('ENGAGEMENTS 2026'!C889),"",IF(AND(OR($E889="INFRUCTUEUX",$E889="ANNULE"),$C889="AOO-M"),'ENGAGEMENTS 2026'!P889,IF($H889="EN COURS DE PREENGAGEMENT",'ENGAGEMENTS 2026'!O889,IF($H889="PREENGAGE",IF($E889="ATTRIBUE",'ENGAGEMENTS 2026'!AE889,'ENGAGEMENTS 2026'!O889),'ENGAGEMENTS 2026'!AE889))))</f>
        <v/>
      </c>
      <c r="K889" s="604">
        <f>IF(ISBLANK('ENGAGEMENTS 2026'!W889),"",'ENGAGEMENTS 2026'!W889)</f>
        <v/>
      </c>
      <c r="L889" s="276">
        <f>IF($K889="","",TODAY()-$K889)</f>
        <v/>
      </c>
      <c r="M889">
        <f>IF($A889="","",IF($H889="ENGAGE","Engagé",IF(AND($H889="NON ENGAGE",OR($I889="INFRUCTUEUX",$I889="ANNULE")),"Clôturé sans suite","En cours")))</f>
        <v/>
      </c>
      <c r="N889">
        <f>IF(ISBLANK('ENGAGEMENTS 2026'!C889),"",'ENGAGEMENTS 2026'!L889)</f>
        <v/>
      </c>
      <c r="O889">
        <f>IF(ISBLANK('ENGAGEMENTS 2026'!C889),"",'ENGAGEMENTS 2026'!M889)</f>
        <v/>
      </c>
      <c r="P889">
        <f>IF(ISBLANK('ENGAGEMENTS 2026'!C889),"",'ENGAGEMENTS 2026'!K889)</f>
        <v/>
      </c>
      <c r="Q889">
        <f>IF($A889="","",IF(OR($E889="INFRUCTUEUX",$E889="ANNULE"),$A889&amp;"|"&amp;(COUNTIFS($A$2:$A889,$A889,$E$2:$E889,"INFRUCTUEUX")+COUNTIFS($A$2:$A889,$A889,$E$2:$E889,"ANNULE")),""))</f>
        <v/>
      </c>
    </row>
    <row r="890">
      <c r="A890">
        <f>IF(ISBLANK('ENGAGEMENTS 2026'!C890),"",IF('ENGAGEMENTS 2026'!C890="DTSI","DCT",'ENGAGEMENTS 2026'!C890))</f>
        <v/>
      </c>
      <c r="B890">
        <f>IF(ISBLANK('ENGAGEMENTS 2026'!C890),"",'ENGAGEMENTS 2026'!D890)</f>
        <v/>
      </c>
      <c r="C890">
        <f>IF(ISBLANK('ENGAGEMENTS 2026'!C890),"",'ENGAGEMENTS 2026'!E890)</f>
        <v/>
      </c>
      <c r="D890">
        <f>IF(ISBLANK('ENGAGEMENTS 2026'!C890),"",'ENGAGEMENTS 2026'!G890)</f>
        <v/>
      </c>
      <c r="E890">
        <f>IF(ISBLANK('ENGAGEMENTS 2026'!C890),"",'ENGAGEMENTS 2026'!I890)</f>
        <v/>
      </c>
      <c r="F890">
        <f>IF(ISBLANK('ENGAGEMENTS 2026'!C890),"",'ENGAGEMENTS 2026'!J890)</f>
        <v/>
      </c>
      <c r="G890">
        <f>IF(ISBLANK('ENGAGEMENTS 2026'!C890),"",'ENGAGEMENTS 2026'!M890)</f>
        <v/>
      </c>
      <c r="H890">
        <f>IF(ISBLANK('ENGAGEMENTS 2026'!C890),"",'ENGAGEMENTS 2026'!AF890)</f>
        <v/>
      </c>
      <c r="I890">
        <f>IF(ISBLANK('ENGAGEMENTS 2026'!C890),"",'ENGAGEMENTS 2026'!H890)</f>
        <v/>
      </c>
      <c r="J890" s="275">
        <f>IF(ISBLANK('ENGAGEMENTS 2026'!C890),"",IF(AND(OR($E890="INFRUCTUEUX",$E890="ANNULE"),$C890="AOO-M"),'ENGAGEMENTS 2026'!P890,IF($H890="EN COURS DE PREENGAGEMENT",'ENGAGEMENTS 2026'!O890,IF($H890="PREENGAGE",IF($E890="ATTRIBUE",'ENGAGEMENTS 2026'!AE890,'ENGAGEMENTS 2026'!O890),'ENGAGEMENTS 2026'!AE890))))</f>
        <v/>
      </c>
      <c r="K890" s="604">
        <f>IF(ISBLANK('ENGAGEMENTS 2026'!W890),"",'ENGAGEMENTS 2026'!W890)</f>
        <v/>
      </c>
      <c r="L890" s="276">
        <f>IF($K890="","",TODAY()-$K890)</f>
        <v/>
      </c>
      <c r="M890">
        <f>IF($A890="","",IF($H890="ENGAGE","Engagé",IF(AND($H890="NON ENGAGE",OR($I890="INFRUCTUEUX",$I890="ANNULE")),"Clôturé sans suite","En cours")))</f>
        <v/>
      </c>
      <c r="N890">
        <f>IF(ISBLANK('ENGAGEMENTS 2026'!C890),"",'ENGAGEMENTS 2026'!L890)</f>
        <v/>
      </c>
      <c r="O890">
        <f>IF(ISBLANK('ENGAGEMENTS 2026'!C890),"",'ENGAGEMENTS 2026'!M890)</f>
        <v/>
      </c>
      <c r="P890">
        <f>IF(ISBLANK('ENGAGEMENTS 2026'!C890),"",'ENGAGEMENTS 2026'!K890)</f>
        <v/>
      </c>
      <c r="Q890">
        <f>IF($A890="","",IF(OR($E890="INFRUCTUEUX",$E890="ANNULE"),$A890&amp;"|"&amp;(COUNTIFS($A$2:$A890,$A890,$E$2:$E890,"INFRUCTUEUX")+COUNTIFS($A$2:$A890,$A890,$E$2:$E890,"ANNULE")),""))</f>
        <v/>
      </c>
    </row>
    <row r="891">
      <c r="A891">
        <f>IF(ISBLANK('ENGAGEMENTS 2026'!C891),"",IF('ENGAGEMENTS 2026'!C891="DTSI","DCT",'ENGAGEMENTS 2026'!C891))</f>
        <v/>
      </c>
      <c r="B891">
        <f>IF(ISBLANK('ENGAGEMENTS 2026'!C891),"",'ENGAGEMENTS 2026'!D891)</f>
        <v/>
      </c>
      <c r="C891">
        <f>IF(ISBLANK('ENGAGEMENTS 2026'!C891),"",'ENGAGEMENTS 2026'!E891)</f>
        <v/>
      </c>
      <c r="D891">
        <f>IF(ISBLANK('ENGAGEMENTS 2026'!C891),"",'ENGAGEMENTS 2026'!G891)</f>
        <v/>
      </c>
      <c r="E891">
        <f>IF(ISBLANK('ENGAGEMENTS 2026'!C891),"",'ENGAGEMENTS 2026'!I891)</f>
        <v/>
      </c>
      <c r="F891">
        <f>IF(ISBLANK('ENGAGEMENTS 2026'!C891),"",'ENGAGEMENTS 2026'!J891)</f>
        <v/>
      </c>
      <c r="G891">
        <f>IF(ISBLANK('ENGAGEMENTS 2026'!C891),"",'ENGAGEMENTS 2026'!M891)</f>
        <v/>
      </c>
      <c r="H891">
        <f>IF(ISBLANK('ENGAGEMENTS 2026'!C891),"",'ENGAGEMENTS 2026'!AF891)</f>
        <v/>
      </c>
      <c r="I891">
        <f>IF(ISBLANK('ENGAGEMENTS 2026'!C891),"",'ENGAGEMENTS 2026'!H891)</f>
        <v/>
      </c>
      <c r="J891" s="275">
        <f>IF(ISBLANK('ENGAGEMENTS 2026'!C891),"",IF(AND(OR($E891="INFRUCTUEUX",$E891="ANNULE"),$C891="AOO-M"),'ENGAGEMENTS 2026'!P891,IF($H891="EN COURS DE PREENGAGEMENT",'ENGAGEMENTS 2026'!O891,IF($H891="PREENGAGE",IF($E891="ATTRIBUE",'ENGAGEMENTS 2026'!AE891,'ENGAGEMENTS 2026'!O891),'ENGAGEMENTS 2026'!AE891))))</f>
        <v/>
      </c>
      <c r="K891" s="604">
        <f>IF(ISBLANK('ENGAGEMENTS 2026'!W891),"",'ENGAGEMENTS 2026'!W891)</f>
        <v/>
      </c>
      <c r="L891" s="276">
        <f>IF($K891="","",TODAY()-$K891)</f>
        <v/>
      </c>
      <c r="M891">
        <f>IF($A891="","",IF($H891="ENGAGE","Engagé",IF(AND($H891="NON ENGAGE",OR($I891="INFRUCTUEUX",$I891="ANNULE")),"Clôturé sans suite","En cours")))</f>
        <v/>
      </c>
      <c r="N891">
        <f>IF(ISBLANK('ENGAGEMENTS 2026'!C891),"",'ENGAGEMENTS 2026'!L891)</f>
        <v/>
      </c>
      <c r="O891">
        <f>IF(ISBLANK('ENGAGEMENTS 2026'!C891),"",'ENGAGEMENTS 2026'!M891)</f>
        <v/>
      </c>
      <c r="P891">
        <f>IF(ISBLANK('ENGAGEMENTS 2026'!C891),"",'ENGAGEMENTS 2026'!K891)</f>
        <v/>
      </c>
      <c r="Q891">
        <f>IF($A891="","",IF(OR($E891="INFRUCTUEUX",$E891="ANNULE"),$A891&amp;"|"&amp;(COUNTIFS($A$2:$A891,$A891,$E$2:$E891,"INFRUCTUEUX")+COUNTIFS($A$2:$A891,$A891,$E$2:$E891,"ANNULE")),""))</f>
        <v/>
      </c>
    </row>
    <row r="892">
      <c r="A892">
        <f>IF(ISBLANK('ENGAGEMENTS 2026'!C892),"",IF('ENGAGEMENTS 2026'!C892="DTSI","DCT",'ENGAGEMENTS 2026'!C892))</f>
        <v/>
      </c>
      <c r="B892">
        <f>IF(ISBLANK('ENGAGEMENTS 2026'!C892),"",'ENGAGEMENTS 2026'!D892)</f>
        <v/>
      </c>
      <c r="C892">
        <f>IF(ISBLANK('ENGAGEMENTS 2026'!C892),"",'ENGAGEMENTS 2026'!E892)</f>
        <v/>
      </c>
      <c r="D892">
        <f>IF(ISBLANK('ENGAGEMENTS 2026'!C892),"",'ENGAGEMENTS 2026'!G892)</f>
        <v/>
      </c>
      <c r="E892">
        <f>IF(ISBLANK('ENGAGEMENTS 2026'!C892),"",'ENGAGEMENTS 2026'!I892)</f>
        <v/>
      </c>
      <c r="F892">
        <f>IF(ISBLANK('ENGAGEMENTS 2026'!C892),"",'ENGAGEMENTS 2026'!J892)</f>
        <v/>
      </c>
      <c r="G892">
        <f>IF(ISBLANK('ENGAGEMENTS 2026'!C892),"",'ENGAGEMENTS 2026'!M892)</f>
        <v/>
      </c>
      <c r="H892">
        <f>IF(ISBLANK('ENGAGEMENTS 2026'!C892),"",'ENGAGEMENTS 2026'!AF892)</f>
        <v/>
      </c>
      <c r="I892">
        <f>IF(ISBLANK('ENGAGEMENTS 2026'!C892),"",'ENGAGEMENTS 2026'!H892)</f>
        <v/>
      </c>
      <c r="J892" s="275">
        <f>IF(ISBLANK('ENGAGEMENTS 2026'!C892),"",IF(AND(OR($E892="INFRUCTUEUX",$E892="ANNULE"),$C892="AOO-M"),'ENGAGEMENTS 2026'!P892,IF($H892="EN COURS DE PREENGAGEMENT",'ENGAGEMENTS 2026'!O892,IF($H892="PREENGAGE",IF($E892="ATTRIBUE",'ENGAGEMENTS 2026'!AE892,'ENGAGEMENTS 2026'!O892),'ENGAGEMENTS 2026'!AE892))))</f>
        <v/>
      </c>
      <c r="K892" s="604">
        <f>IF(ISBLANK('ENGAGEMENTS 2026'!W892),"",'ENGAGEMENTS 2026'!W892)</f>
        <v/>
      </c>
      <c r="L892" s="276">
        <f>IF($K892="","",TODAY()-$K892)</f>
        <v/>
      </c>
      <c r="M892">
        <f>IF($A892="","",IF($H892="ENGAGE","Engagé",IF(AND($H892="NON ENGAGE",OR($I892="INFRUCTUEUX",$I892="ANNULE")),"Clôturé sans suite","En cours")))</f>
        <v/>
      </c>
      <c r="N892">
        <f>IF(ISBLANK('ENGAGEMENTS 2026'!C892),"",'ENGAGEMENTS 2026'!L892)</f>
        <v/>
      </c>
      <c r="O892">
        <f>IF(ISBLANK('ENGAGEMENTS 2026'!C892),"",'ENGAGEMENTS 2026'!M892)</f>
        <v/>
      </c>
      <c r="P892">
        <f>IF(ISBLANK('ENGAGEMENTS 2026'!C892),"",'ENGAGEMENTS 2026'!K892)</f>
        <v/>
      </c>
      <c r="Q892">
        <f>IF($A892="","",IF(OR($E892="INFRUCTUEUX",$E892="ANNULE"),$A892&amp;"|"&amp;(COUNTIFS($A$2:$A892,$A892,$E$2:$E892,"INFRUCTUEUX")+COUNTIFS($A$2:$A892,$A892,$E$2:$E892,"ANNULE")),""))</f>
        <v/>
      </c>
    </row>
    <row r="893">
      <c r="A893">
        <f>IF(ISBLANK('ENGAGEMENTS 2026'!C893),"",IF('ENGAGEMENTS 2026'!C893="DTSI","DCT",'ENGAGEMENTS 2026'!C893))</f>
        <v/>
      </c>
      <c r="B893">
        <f>IF(ISBLANK('ENGAGEMENTS 2026'!C893),"",'ENGAGEMENTS 2026'!D893)</f>
        <v/>
      </c>
      <c r="C893">
        <f>IF(ISBLANK('ENGAGEMENTS 2026'!C893),"",'ENGAGEMENTS 2026'!E893)</f>
        <v/>
      </c>
      <c r="D893">
        <f>IF(ISBLANK('ENGAGEMENTS 2026'!C893),"",'ENGAGEMENTS 2026'!G893)</f>
        <v/>
      </c>
      <c r="E893">
        <f>IF(ISBLANK('ENGAGEMENTS 2026'!C893),"",'ENGAGEMENTS 2026'!I893)</f>
        <v/>
      </c>
      <c r="F893">
        <f>IF(ISBLANK('ENGAGEMENTS 2026'!C893),"",'ENGAGEMENTS 2026'!J893)</f>
        <v/>
      </c>
      <c r="G893">
        <f>IF(ISBLANK('ENGAGEMENTS 2026'!C893),"",'ENGAGEMENTS 2026'!M893)</f>
        <v/>
      </c>
      <c r="H893">
        <f>IF(ISBLANK('ENGAGEMENTS 2026'!C893),"",'ENGAGEMENTS 2026'!AF893)</f>
        <v/>
      </c>
      <c r="I893">
        <f>IF(ISBLANK('ENGAGEMENTS 2026'!C893),"",'ENGAGEMENTS 2026'!H893)</f>
        <v/>
      </c>
      <c r="J893" s="275">
        <f>IF(ISBLANK('ENGAGEMENTS 2026'!C893),"",IF(AND(OR($E893="INFRUCTUEUX",$E893="ANNULE"),$C893="AOO-M"),'ENGAGEMENTS 2026'!P893,IF($H893="EN COURS DE PREENGAGEMENT",'ENGAGEMENTS 2026'!O893,IF($H893="PREENGAGE",IF($E893="ATTRIBUE",'ENGAGEMENTS 2026'!AE893,'ENGAGEMENTS 2026'!O893),'ENGAGEMENTS 2026'!AE893))))</f>
        <v/>
      </c>
      <c r="K893" s="604">
        <f>IF(ISBLANK('ENGAGEMENTS 2026'!W893),"",'ENGAGEMENTS 2026'!W893)</f>
        <v/>
      </c>
      <c r="L893" s="276">
        <f>IF($K893="","",TODAY()-$K893)</f>
        <v/>
      </c>
      <c r="M893">
        <f>IF($A893="","",IF($H893="ENGAGE","Engagé",IF(AND($H893="NON ENGAGE",OR($I893="INFRUCTUEUX",$I893="ANNULE")),"Clôturé sans suite","En cours")))</f>
        <v/>
      </c>
      <c r="N893">
        <f>IF(ISBLANK('ENGAGEMENTS 2026'!C893),"",'ENGAGEMENTS 2026'!L893)</f>
        <v/>
      </c>
      <c r="O893">
        <f>IF(ISBLANK('ENGAGEMENTS 2026'!C893),"",'ENGAGEMENTS 2026'!M893)</f>
        <v/>
      </c>
      <c r="P893">
        <f>IF(ISBLANK('ENGAGEMENTS 2026'!C893),"",'ENGAGEMENTS 2026'!K893)</f>
        <v/>
      </c>
      <c r="Q893">
        <f>IF($A893="","",IF(OR($E893="INFRUCTUEUX",$E893="ANNULE"),$A893&amp;"|"&amp;(COUNTIFS($A$2:$A893,$A893,$E$2:$E893,"INFRUCTUEUX")+COUNTIFS($A$2:$A893,$A893,$E$2:$E893,"ANNULE")),""))</f>
        <v/>
      </c>
    </row>
    <row r="894">
      <c r="A894">
        <f>IF(ISBLANK('ENGAGEMENTS 2026'!C894),"",IF('ENGAGEMENTS 2026'!C894="DTSI","DCT",'ENGAGEMENTS 2026'!C894))</f>
        <v/>
      </c>
      <c r="B894">
        <f>IF(ISBLANK('ENGAGEMENTS 2026'!C894),"",'ENGAGEMENTS 2026'!D894)</f>
        <v/>
      </c>
      <c r="C894">
        <f>IF(ISBLANK('ENGAGEMENTS 2026'!C894),"",'ENGAGEMENTS 2026'!E894)</f>
        <v/>
      </c>
      <c r="D894">
        <f>IF(ISBLANK('ENGAGEMENTS 2026'!C894),"",'ENGAGEMENTS 2026'!G894)</f>
        <v/>
      </c>
      <c r="E894">
        <f>IF(ISBLANK('ENGAGEMENTS 2026'!C894),"",'ENGAGEMENTS 2026'!I894)</f>
        <v/>
      </c>
      <c r="F894">
        <f>IF(ISBLANK('ENGAGEMENTS 2026'!C894),"",'ENGAGEMENTS 2026'!J894)</f>
        <v/>
      </c>
      <c r="G894">
        <f>IF(ISBLANK('ENGAGEMENTS 2026'!C894),"",'ENGAGEMENTS 2026'!M894)</f>
        <v/>
      </c>
      <c r="H894">
        <f>IF(ISBLANK('ENGAGEMENTS 2026'!C894),"",'ENGAGEMENTS 2026'!AF894)</f>
        <v/>
      </c>
      <c r="I894">
        <f>IF(ISBLANK('ENGAGEMENTS 2026'!C894),"",'ENGAGEMENTS 2026'!H894)</f>
        <v/>
      </c>
      <c r="J894" s="275">
        <f>IF(ISBLANK('ENGAGEMENTS 2026'!C894),"",IF(AND(OR($E894="INFRUCTUEUX",$E894="ANNULE"),$C894="AOO-M"),'ENGAGEMENTS 2026'!P894,IF($H894="EN COURS DE PREENGAGEMENT",'ENGAGEMENTS 2026'!O894,IF($H894="PREENGAGE",IF($E894="ATTRIBUE",'ENGAGEMENTS 2026'!AE894,'ENGAGEMENTS 2026'!O894),'ENGAGEMENTS 2026'!AE894))))</f>
        <v/>
      </c>
      <c r="K894" s="604">
        <f>IF(ISBLANK('ENGAGEMENTS 2026'!W894),"",'ENGAGEMENTS 2026'!W894)</f>
        <v/>
      </c>
      <c r="L894" s="276">
        <f>IF($K894="","",TODAY()-$K894)</f>
        <v/>
      </c>
      <c r="M894">
        <f>IF($A894="","",IF($H894="ENGAGE","Engagé",IF(AND($H894="NON ENGAGE",OR($I894="INFRUCTUEUX",$I894="ANNULE")),"Clôturé sans suite","En cours")))</f>
        <v/>
      </c>
      <c r="N894">
        <f>IF(ISBLANK('ENGAGEMENTS 2026'!C894),"",'ENGAGEMENTS 2026'!L894)</f>
        <v/>
      </c>
      <c r="O894">
        <f>IF(ISBLANK('ENGAGEMENTS 2026'!C894),"",'ENGAGEMENTS 2026'!M894)</f>
        <v/>
      </c>
      <c r="P894">
        <f>IF(ISBLANK('ENGAGEMENTS 2026'!C894),"",'ENGAGEMENTS 2026'!K894)</f>
        <v/>
      </c>
      <c r="Q894">
        <f>IF($A894="","",IF(OR($E894="INFRUCTUEUX",$E894="ANNULE"),$A894&amp;"|"&amp;(COUNTIFS($A$2:$A894,$A894,$E$2:$E894,"INFRUCTUEUX")+COUNTIFS($A$2:$A894,$A894,$E$2:$E894,"ANNULE")),""))</f>
        <v/>
      </c>
    </row>
    <row r="895">
      <c r="A895">
        <f>IF(ISBLANK('ENGAGEMENTS 2026'!C895),"",IF('ENGAGEMENTS 2026'!C895="DTSI","DCT",'ENGAGEMENTS 2026'!C895))</f>
        <v/>
      </c>
      <c r="B895">
        <f>IF(ISBLANK('ENGAGEMENTS 2026'!C895),"",'ENGAGEMENTS 2026'!D895)</f>
        <v/>
      </c>
      <c r="C895">
        <f>IF(ISBLANK('ENGAGEMENTS 2026'!C895),"",'ENGAGEMENTS 2026'!E895)</f>
        <v/>
      </c>
      <c r="D895">
        <f>IF(ISBLANK('ENGAGEMENTS 2026'!C895),"",'ENGAGEMENTS 2026'!G895)</f>
        <v/>
      </c>
      <c r="E895">
        <f>IF(ISBLANK('ENGAGEMENTS 2026'!C895),"",'ENGAGEMENTS 2026'!I895)</f>
        <v/>
      </c>
      <c r="F895">
        <f>IF(ISBLANK('ENGAGEMENTS 2026'!C895),"",'ENGAGEMENTS 2026'!J895)</f>
        <v/>
      </c>
      <c r="G895">
        <f>IF(ISBLANK('ENGAGEMENTS 2026'!C895),"",'ENGAGEMENTS 2026'!M895)</f>
        <v/>
      </c>
      <c r="H895">
        <f>IF(ISBLANK('ENGAGEMENTS 2026'!C895),"",'ENGAGEMENTS 2026'!AF895)</f>
        <v/>
      </c>
      <c r="I895">
        <f>IF(ISBLANK('ENGAGEMENTS 2026'!C895),"",'ENGAGEMENTS 2026'!H895)</f>
        <v/>
      </c>
      <c r="J895" s="275">
        <f>IF(ISBLANK('ENGAGEMENTS 2026'!C895),"",IF(AND(OR($E895="INFRUCTUEUX",$E895="ANNULE"),$C895="AOO-M"),'ENGAGEMENTS 2026'!P895,IF($H895="EN COURS DE PREENGAGEMENT",'ENGAGEMENTS 2026'!O895,IF($H895="PREENGAGE",IF($E895="ATTRIBUE",'ENGAGEMENTS 2026'!AE895,'ENGAGEMENTS 2026'!O895),'ENGAGEMENTS 2026'!AE895))))</f>
        <v/>
      </c>
      <c r="K895" s="604">
        <f>IF(ISBLANK('ENGAGEMENTS 2026'!W895),"",'ENGAGEMENTS 2026'!W895)</f>
        <v/>
      </c>
      <c r="L895" s="276">
        <f>IF($K895="","",TODAY()-$K895)</f>
        <v/>
      </c>
      <c r="M895">
        <f>IF($A895="","",IF($H895="ENGAGE","Engagé",IF(AND($H895="NON ENGAGE",OR($I895="INFRUCTUEUX",$I895="ANNULE")),"Clôturé sans suite","En cours")))</f>
        <v/>
      </c>
      <c r="N895">
        <f>IF(ISBLANK('ENGAGEMENTS 2026'!C895),"",'ENGAGEMENTS 2026'!L895)</f>
        <v/>
      </c>
      <c r="O895">
        <f>IF(ISBLANK('ENGAGEMENTS 2026'!C895),"",'ENGAGEMENTS 2026'!M895)</f>
        <v/>
      </c>
      <c r="P895">
        <f>IF(ISBLANK('ENGAGEMENTS 2026'!C895),"",'ENGAGEMENTS 2026'!K895)</f>
        <v/>
      </c>
      <c r="Q895">
        <f>IF($A895="","",IF(OR($E895="INFRUCTUEUX",$E895="ANNULE"),$A895&amp;"|"&amp;(COUNTIFS($A$2:$A895,$A895,$E$2:$E895,"INFRUCTUEUX")+COUNTIFS($A$2:$A895,$A895,$E$2:$E895,"ANNULE")),""))</f>
        <v/>
      </c>
    </row>
    <row r="896">
      <c r="A896">
        <f>IF(ISBLANK('ENGAGEMENTS 2026'!C896),"",IF('ENGAGEMENTS 2026'!C896="DTSI","DCT",'ENGAGEMENTS 2026'!C896))</f>
        <v/>
      </c>
      <c r="B896">
        <f>IF(ISBLANK('ENGAGEMENTS 2026'!C896),"",'ENGAGEMENTS 2026'!D896)</f>
        <v/>
      </c>
      <c r="C896">
        <f>IF(ISBLANK('ENGAGEMENTS 2026'!C896),"",'ENGAGEMENTS 2026'!E896)</f>
        <v/>
      </c>
      <c r="D896">
        <f>IF(ISBLANK('ENGAGEMENTS 2026'!C896),"",'ENGAGEMENTS 2026'!G896)</f>
        <v/>
      </c>
      <c r="E896">
        <f>IF(ISBLANK('ENGAGEMENTS 2026'!C896),"",'ENGAGEMENTS 2026'!I896)</f>
        <v/>
      </c>
      <c r="F896">
        <f>IF(ISBLANK('ENGAGEMENTS 2026'!C896),"",'ENGAGEMENTS 2026'!J896)</f>
        <v/>
      </c>
      <c r="G896">
        <f>IF(ISBLANK('ENGAGEMENTS 2026'!C896),"",'ENGAGEMENTS 2026'!M896)</f>
        <v/>
      </c>
      <c r="H896">
        <f>IF(ISBLANK('ENGAGEMENTS 2026'!C896),"",'ENGAGEMENTS 2026'!AF896)</f>
        <v/>
      </c>
      <c r="I896">
        <f>IF(ISBLANK('ENGAGEMENTS 2026'!C896),"",'ENGAGEMENTS 2026'!H896)</f>
        <v/>
      </c>
      <c r="J896" s="275">
        <f>IF(ISBLANK('ENGAGEMENTS 2026'!C896),"",IF(AND(OR($E896="INFRUCTUEUX",$E896="ANNULE"),$C896="AOO-M"),'ENGAGEMENTS 2026'!P896,IF($H896="EN COURS DE PREENGAGEMENT",'ENGAGEMENTS 2026'!O896,IF($H896="PREENGAGE",IF($E896="ATTRIBUE",'ENGAGEMENTS 2026'!AE896,'ENGAGEMENTS 2026'!O896),'ENGAGEMENTS 2026'!AE896))))</f>
        <v/>
      </c>
      <c r="K896" s="604">
        <f>IF(ISBLANK('ENGAGEMENTS 2026'!W896),"",'ENGAGEMENTS 2026'!W896)</f>
        <v/>
      </c>
      <c r="L896" s="276">
        <f>IF($K896="","",TODAY()-$K896)</f>
        <v/>
      </c>
      <c r="M896">
        <f>IF($A896="","",IF($H896="ENGAGE","Engagé",IF(AND($H896="NON ENGAGE",OR($I896="INFRUCTUEUX",$I896="ANNULE")),"Clôturé sans suite","En cours")))</f>
        <v/>
      </c>
      <c r="N896">
        <f>IF(ISBLANK('ENGAGEMENTS 2026'!C896),"",'ENGAGEMENTS 2026'!L896)</f>
        <v/>
      </c>
      <c r="O896">
        <f>IF(ISBLANK('ENGAGEMENTS 2026'!C896),"",'ENGAGEMENTS 2026'!M896)</f>
        <v/>
      </c>
      <c r="P896">
        <f>IF(ISBLANK('ENGAGEMENTS 2026'!C896),"",'ENGAGEMENTS 2026'!K896)</f>
        <v/>
      </c>
      <c r="Q896">
        <f>IF($A896="","",IF(OR($E896="INFRUCTUEUX",$E896="ANNULE"),$A896&amp;"|"&amp;(COUNTIFS($A$2:$A896,$A896,$E$2:$E896,"INFRUCTUEUX")+COUNTIFS($A$2:$A896,$A896,$E$2:$E896,"ANNULE")),""))</f>
        <v/>
      </c>
    </row>
    <row r="897">
      <c r="A897">
        <f>IF(ISBLANK('ENGAGEMENTS 2026'!C897),"",IF('ENGAGEMENTS 2026'!C897="DTSI","DCT",'ENGAGEMENTS 2026'!C897))</f>
        <v/>
      </c>
      <c r="B897">
        <f>IF(ISBLANK('ENGAGEMENTS 2026'!C897),"",'ENGAGEMENTS 2026'!D897)</f>
        <v/>
      </c>
      <c r="C897">
        <f>IF(ISBLANK('ENGAGEMENTS 2026'!C897),"",'ENGAGEMENTS 2026'!E897)</f>
        <v/>
      </c>
      <c r="D897">
        <f>IF(ISBLANK('ENGAGEMENTS 2026'!C897),"",'ENGAGEMENTS 2026'!G897)</f>
        <v/>
      </c>
      <c r="E897">
        <f>IF(ISBLANK('ENGAGEMENTS 2026'!C897),"",'ENGAGEMENTS 2026'!I897)</f>
        <v/>
      </c>
      <c r="F897">
        <f>IF(ISBLANK('ENGAGEMENTS 2026'!C897),"",'ENGAGEMENTS 2026'!J897)</f>
        <v/>
      </c>
      <c r="G897">
        <f>IF(ISBLANK('ENGAGEMENTS 2026'!C897),"",'ENGAGEMENTS 2026'!M897)</f>
        <v/>
      </c>
      <c r="H897">
        <f>IF(ISBLANK('ENGAGEMENTS 2026'!C897),"",'ENGAGEMENTS 2026'!AF897)</f>
        <v/>
      </c>
      <c r="I897">
        <f>IF(ISBLANK('ENGAGEMENTS 2026'!C897),"",'ENGAGEMENTS 2026'!H897)</f>
        <v/>
      </c>
      <c r="J897" s="275">
        <f>IF(ISBLANK('ENGAGEMENTS 2026'!C897),"",IF(AND(OR($E897="INFRUCTUEUX",$E897="ANNULE"),$C897="AOO-M"),'ENGAGEMENTS 2026'!P897,IF($H897="EN COURS DE PREENGAGEMENT",'ENGAGEMENTS 2026'!O897,IF($H897="PREENGAGE",IF($E897="ATTRIBUE",'ENGAGEMENTS 2026'!AE897,'ENGAGEMENTS 2026'!O897),'ENGAGEMENTS 2026'!AE897))))</f>
        <v/>
      </c>
      <c r="K897" s="604">
        <f>IF(ISBLANK('ENGAGEMENTS 2026'!W897),"",'ENGAGEMENTS 2026'!W897)</f>
        <v/>
      </c>
      <c r="L897" s="276">
        <f>IF($K897="","",TODAY()-$K897)</f>
        <v/>
      </c>
      <c r="M897">
        <f>IF($A897="","",IF($H897="ENGAGE","Engagé",IF(AND($H897="NON ENGAGE",OR($I897="INFRUCTUEUX",$I897="ANNULE")),"Clôturé sans suite","En cours")))</f>
        <v/>
      </c>
      <c r="N897">
        <f>IF(ISBLANK('ENGAGEMENTS 2026'!C897),"",'ENGAGEMENTS 2026'!L897)</f>
        <v/>
      </c>
      <c r="O897">
        <f>IF(ISBLANK('ENGAGEMENTS 2026'!C897),"",'ENGAGEMENTS 2026'!M897)</f>
        <v/>
      </c>
      <c r="P897">
        <f>IF(ISBLANK('ENGAGEMENTS 2026'!C897),"",'ENGAGEMENTS 2026'!K897)</f>
        <v/>
      </c>
      <c r="Q897">
        <f>IF($A897="","",IF(OR($E897="INFRUCTUEUX",$E897="ANNULE"),$A897&amp;"|"&amp;(COUNTIFS($A$2:$A897,$A897,$E$2:$E897,"INFRUCTUEUX")+COUNTIFS($A$2:$A897,$A897,$E$2:$E897,"ANNULE")),""))</f>
        <v/>
      </c>
    </row>
    <row r="898">
      <c r="A898">
        <f>IF(ISBLANK('ENGAGEMENTS 2026'!C898),"",IF('ENGAGEMENTS 2026'!C898="DTSI","DCT",'ENGAGEMENTS 2026'!C898))</f>
        <v/>
      </c>
      <c r="B898">
        <f>IF(ISBLANK('ENGAGEMENTS 2026'!C898),"",'ENGAGEMENTS 2026'!D898)</f>
        <v/>
      </c>
      <c r="C898">
        <f>IF(ISBLANK('ENGAGEMENTS 2026'!C898),"",'ENGAGEMENTS 2026'!E898)</f>
        <v/>
      </c>
      <c r="D898">
        <f>IF(ISBLANK('ENGAGEMENTS 2026'!C898),"",'ENGAGEMENTS 2026'!G898)</f>
        <v/>
      </c>
      <c r="E898">
        <f>IF(ISBLANK('ENGAGEMENTS 2026'!C898),"",'ENGAGEMENTS 2026'!I898)</f>
        <v/>
      </c>
      <c r="F898">
        <f>IF(ISBLANK('ENGAGEMENTS 2026'!C898),"",'ENGAGEMENTS 2026'!J898)</f>
        <v/>
      </c>
      <c r="G898">
        <f>IF(ISBLANK('ENGAGEMENTS 2026'!C898),"",'ENGAGEMENTS 2026'!M898)</f>
        <v/>
      </c>
      <c r="H898">
        <f>IF(ISBLANK('ENGAGEMENTS 2026'!C898),"",'ENGAGEMENTS 2026'!AF898)</f>
        <v/>
      </c>
      <c r="I898">
        <f>IF(ISBLANK('ENGAGEMENTS 2026'!C898),"",'ENGAGEMENTS 2026'!H898)</f>
        <v/>
      </c>
      <c r="J898" s="275">
        <f>IF(ISBLANK('ENGAGEMENTS 2026'!C898),"",IF(AND(OR($E898="INFRUCTUEUX",$E898="ANNULE"),$C898="AOO-M"),'ENGAGEMENTS 2026'!P898,IF($H898="EN COURS DE PREENGAGEMENT",'ENGAGEMENTS 2026'!O898,IF($H898="PREENGAGE",IF($E898="ATTRIBUE",'ENGAGEMENTS 2026'!AE898,'ENGAGEMENTS 2026'!O898),'ENGAGEMENTS 2026'!AE898))))</f>
        <v/>
      </c>
      <c r="K898" s="604">
        <f>IF(ISBLANK('ENGAGEMENTS 2026'!W898),"",'ENGAGEMENTS 2026'!W898)</f>
        <v/>
      </c>
      <c r="L898" s="276">
        <f>IF($K898="","",TODAY()-$K898)</f>
        <v/>
      </c>
      <c r="M898">
        <f>IF($A898="","",IF($H898="ENGAGE","Engagé",IF(AND($H898="NON ENGAGE",OR($I898="INFRUCTUEUX",$I898="ANNULE")),"Clôturé sans suite","En cours")))</f>
        <v/>
      </c>
      <c r="N898">
        <f>IF(ISBLANK('ENGAGEMENTS 2026'!C898),"",'ENGAGEMENTS 2026'!L898)</f>
        <v/>
      </c>
      <c r="O898">
        <f>IF(ISBLANK('ENGAGEMENTS 2026'!C898),"",'ENGAGEMENTS 2026'!M898)</f>
        <v/>
      </c>
      <c r="P898">
        <f>IF(ISBLANK('ENGAGEMENTS 2026'!C898),"",'ENGAGEMENTS 2026'!K898)</f>
        <v/>
      </c>
      <c r="Q898">
        <f>IF($A898="","",IF(OR($E898="INFRUCTUEUX",$E898="ANNULE"),$A898&amp;"|"&amp;(COUNTIFS($A$2:$A898,$A898,$E$2:$E898,"INFRUCTUEUX")+COUNTIFS($A$2:$A898,$A898,$E$2:$E898,"ANNULE")),""))</f>
        <v/>
      </c>
    </row>
    <row r="899">
      <c r="A899">
        <f>IF(ISBLANK('ENGAGEMENTS 2026'!C899),"",IF('ENGAGEMENTS 2026'!C899="DTSI","DCT",'ENGAGEMENTS 2026'!C899))</f>
        <v/>
      </c>
      <c r="B899">
        <f>IF(ISBLANK('ENGAGEMENTS 2026'!C899),"",'ENGAGEMENTS 2026'!D899)</f>
        <v/>
      </c>
      <c r="C899">
        <f>IF(ISBLANK('ENGAGEMENTS 2026'!C899),"",'ENGAGEMENTS 2026'!E899)</f>
        <v/>
      </c>
      <c r="D899">
        <f>IF(ISBLANK('ENGAGEMENTS 2026'!C899),"",'ENGAGEMENTS 2026'!G899)</f>
        <v/>
      </c>
      <c r="E899">
        <f>IF(ISBLANK('ENGAGEMENTS 2026'!C899),"",'ENGAGEMENTS 2026'!I899)</f>
        <v/>
      </c>
      <c r="F899">
        <f>IF(ISBLANK('ENGAGEMENTS 2026'!C899),"",'ENGAGEMENTS 2026'!J899)</f>
        <v/>
      </c>
      <c r="G899">
        <f>IF(ISBLANK('ENGAGEMENTS 2026'!C899),"",'ENGAGEMENTS 2026'!M899)</f>
        <v/>
      </c>
      <c r="H899">
        <f>IF(ISBLANK('ENGAGEMENTS 2026'!C899),"",'ENGAGEMENTS 2026'!AF899)</f>
        <v/>
      </c>
      <c r="I899">
        <f>IF(ISBLANK('ENGAGEMENTS 2026'!C899),"",'ENGAGEMENTS 2026'!H899)</f>
        <v/>
      </c>
      <c r="J899" s="275">
        <f>IF(ISBLANK('ENGAGEMENTS 2026'!C899),"",IF(AND(OR($E899="INFRUCTUEUX",$E899="ANNULE"),$C899="AOO-M"),'ENGAGEMENTS 2026'!P899,IF($H899="EN COURS DE PREENGAGEMENT",'ENGAGEMENTS 2026'!O899,IF($H899="PREENGAGE",IF($E899="ATTRIBUE",'ENGAGEMENTS 2026'!AE899,'ENGAGEMENTS 2026'!O899),'ENGAGEMENTS 2026'!AE899))))</f>
        <v/>
      </c>
      <c r="K899" s="604">
        <f>IF(ISBLANK('ENGAGEMENTS 2026'!W899),"",'ENGAGEMENTS 2026'!W899)</f>
        <v/>
      </c>
      <c r="L899" s="276">
        <f>IF($K899="","",TODAY()-$K899)</f>
        <v/>
      </c>
      <c r="M899">
        <f>IF($A899="","",IF($H899="ENGAGE","Engagé",IF(AND($H899="NON ENGAGE",OR($I899="INFRUCTUEUX",$I899="ANNULE")),"Clôturé sans suite","En cours")))</f>
        <v/>
      </c>
      <c r="N899">
        <f>IF(ISBLANK('ENGAGEMENTS 2026'!C899),"",'ENGAGEMENTS 2026'!L899)</f>
        <v/>
      </c>
      <c r="O899">
        <f>IF(ISBLANK('ENGAGEMENTS 2026'!C899),"",'ENGAGEMENTS 2026'!M899)</f>
        <v/>
      </c>
      <c r="P899">
        <f>IF(ISBLANK('ENGAGEMENTS 2026'!C899),"",'ENGAGEMENTS 2026'!K899)</f>
        <v/>
      </c>
      <c r="Q899">
        <f>IF($A899="","",IF(OR($E899="INFRUCTUEUX",$E899="ANNULE"),$A899&amp;"|"&amp;(COUNTIFS($A$2:$A899,$A899,$E$2:$E899,"INFRUCTUEUX")+COUNTIFS($A$2:$A899,$A899,$E$2:$E899,"ANNULE")),""))</f>
        <v/>
      </c>
    </row>
    <row r="900">
      <c r="A900">
        <f>IF(ISBLANK('ENGAGEMENTS 2026'!C900),"",IF('ENGAGEMENTS 2026'!C900="DTSI","DCT",'ENGAGEMENTS 2026'!C900))</f>
        <v/>
      </c>
      <c r="B900">
        <f>IF(ISBLANK('ENGAGEMENTS 2026'!C900),"",'ENGAGEMENTS 2026'!D900)</f>
        <v/>
      </c>
      <c r="C900">
        <f>IF(ISBLANK('ENGAGEMENTS 2026'!C900),"",'ENGAGEMENTS 2026'!E900)</f>
        <v/>
      </c>
      <c r="D900">
        <f>IF(ISBLANK('ENGAGEMENTS 2026'!C900),"",'ENGAGEMENTS 2026'!G900)</f>
        <v/>
      </c>
      <c r="E900">
        <f>IF(ISBLANK('ENGAGEMENTS 2026'!C900),"",'ENGAGEMENTS 2026'!I900)</f>
        <v/>
      </c>
      <c r="F900">
        <f>IF(ISBLANK('ENGAGEMENTS 2026'!C900),"",'ENGAGEMENTS 2026'!J900)</f>
        <v/>
      </c>
      <c r="G900">
        <f>IF(ISBLANK('ENGAGEMENTS 2026'!C900),"",'ENGAGEMENTS 2026'!M900)</f>
        <v/>
      </c>
      <c r="H900">
        <f>IF(ISBLANK('ENGAGEMENTS 2026'!C900),"",'ENGAGEMENTS 2026'!AF900)</f>
        <v/>
      </c>
      <c r="I900">
        <f>IF(ISBLANK('ENGAGEMENTS 2026'!C900),"",'ENGAGEMENTS 2026'!H900)</f>
        <v/>
      </c>
      <c r="J900" s="275">
        <f>IF(ISBLANK('ENGAGEMENTS 2026'!C900),"",IF(AND(OR($E900="INFRUCTUEUX",$E900="ANNULE"),$C900="AOO-M"),'ENGAGEMENTS 2026'!P900,IF($H900="EN COURS DE PREENGAGEMENT",'ENGAGEMENTS 2026'!O900,IF($H900="PREENGAGE",IF($E900="ATTRIBUE",'ENGAGEMENTS 2026'!AE900,'ENGAGEMENTS 2026'!O900),'ENGAGEMENTS 2026'!AE900))))</f>
        <v/>
      </c>
      <c r="K900" s="604">
        <f>IF(ISBLANK('ENGAGEMENTS 2026'!W900),"",'ENGAGEMENTS 2026'!W900)</f>
        <v/>
      </c>
      <c r="L900" s="276">
        <f>IF($K900="","",TODAY()-$K900)</f>
        <v/>
      </c>
      <c r="M900">
        <f>IF($A900="","",IF($H900="ENGAGE","Engagé",IF(AND($H900="NON ENGAGE",OR($I900="INFRUCTUEUX",$I900="ANNULE")),"Clôturé sans suite","En cours")))</f>
        <v/>
      </c>
      <c r="N900">
        <f>IF(ISBLANK('ENGAGEMENTS 2026'!C900),"",'ENGAGEMENTS 2026'!L900)</f>
        <v/>
      </c>
      <c r="O900">
        <f>IF(ISBLANK('ENGAGEMENTS 2026'!C900),"",'ENGAGEMENTS 2026'!M900)</f>
        <v/>
      </c>
      <c r="P900">
        <f>IF(ISBLANK('ENGAGEMENTS 2026'!C900),"",'ENGAGEMENTS 2026'!K900)</f>
        <v/>
      </c>
      <c r="Q900">
        <f>IF($A900="","",IF(OR($E900="INFRUCTUEUX",$E900="ANNULE"),$A900&amp;"|"&amp;(COUNTIFS($A$2:$A900,$A900,$E$2:$E900,"INFRUCTUEUX")+COUNTIFS($A$2:$A900,$A900,$E$2:$E900,"ANNULE")),""))</f>
        <v/>
      </c>
    </row>
    <row r="901">
      <c r="A901">
        <f>IF(ISBLANK('ENGAGEMENTS 2026'!C901),"",IF('ENGAGEMENTS 2026'!C901="DTSI","DCT",'ENGAGEMENTS 2026'!C901))</f>
        <v/>
      </c>
      <c r="B901">
        <f>IF(ISBLANK('ENGAGEMENTS 2026'!C901),"",'ENGAGEMENTS 2026'!D901)</f>
        <v/>
      </c>
      <c r="C901">
        <f>IF(ISBLANK('ENGAGEMENTS 2026'!C901),"",'ENGAGEMENTS 2026'!E901)</f>
        <v/>
      </c>
      <c r="D901">
        <f>IF(ISBLANK('ENGAGEMENTS 2026'!C901),"",'ENGAGEMENTS 2026'!G901)</f>
        <v/>
      </c>
      <c r="E901">
        <f>IF(ISBLANK('ENGAGEMENTS 2026'!C901),"",'ENGAGEMENTS 2026'!I901)</f>
        <v/>
      </c>
      <c r="F901">
        <f>IF(ISBLANK('ENGAGEMENTS 2026'!C901),"",'ENGAGEMENTS 2026'!J901)</f>
        <v/>
      </c>
      <c r="G901">
        <f>IF(ISBLANK('ENGAGEMENTS 2026'!C901),"",'ENGAGEMENTS 2026'!M901)</f>
        <v/>
      </c>
      <c r="H901">
        <f>IF(ISBLANK('ENGAGEMENTS 2026'!C901),"",'ENGAGEMENTS 2026'!AF901)</f>
        <v/>
      </c>
      <c r="I901">
        <f>IF(ISBLANK('ENGAGEMENTS 2026'!C901),"",'ENGAGEMENTS 2026'!H901)</f>
        <v/>
      </c>
      <c r="J901" s="275">
        <f>IF(ISBLANK('ENGAGEMENTS 2026'!C901),"",IF(AND(OR($E901="INFRUCTUEUX",$E901="ANNULE"),$C901="AOO-M"),'ENGAGEMENTS 2026'!P901,IF($H901="EN COURS DE PREENGAGEMENT",'ENGAGEMENTS 2026'!O901,IF($H901="PREENGAGE",IF($E901="ATTRIBUE",'ENGAGEMENTS 2026'!AE901,'ENGAGEMENTS 2026'!O901),'ENGAGEMENTS 2026'!AE901))))</f>
        <v/>
      </c>
      <c r="K901" s="604">
        <f>IF(ISBLANK('ENGAGEMENTS 2026'!W901),"",'ENGAGEMENTS 2026'!W901)</f>
        <v/>
      </c>
      <c r="L901" s="276">
        <f>IF($K901="","",TODAY()-$K901)</f>
        <v/>
      </c>
      <c r="M901">
        <f>IF($A901="","",IF($H901="ENGAGE","Engagé",IF(AND($H901="NON ENGAGE",OR($I901="INFRUCTUEUX",$I901="ANNULE")),"Clôturé sans suite","En cours")))</f>
        <v/>
      </c>
      <c r="N901">
        <f>IF(ISBLANK('ENGAGEMENTS 2026'!C901),"",'ENGAGEMENTS 2026'!L901)</f>
        <v/>
      </c>
      <c r="O901">
        <f>IF(ISBLANK('ENGAGEMENTS 2026'!C901),"",'ENGAGEMENTS 2026'!M901)</f>
        <v/>
      </c>
      <c r="P901">
        <f>IF(ISBLANK('ENGAGEMENTS 2026'!C901),"",'ENGAGEMENTS 2026'!K901)</f>
        <v/>
      </c>
      <c r="Q901">
        <f>IF($A901="","",IF(OR($E901="INFRUCTUEUX",$E901="ANNULE"),$A901&amp;"|"&amp;(COUNTIFS($A$2:$A901,$A901,$E$2:$E901,"INFRUCTUEUX")+COUNTIFS($A$2:$A901,$A901,$E$2:$E901,"ANNULE")),""))</f>
        <v/>
      </c>
    </row>
    <row r="902">
      <c r="A902">
        <f>IF(ISBLANK('ENGAGEMENTS 2026'!C902),"",IF('ENGAGEMENTS 2026'!C902="DTSI","DCT",'ENGAGEMENTS 2026'!C902))</f>
        <v/>
      </c>
      <c r="B902">
        <f>IF(ISBLANK('ENGAGEMENTS 2026'!C902),"",'ENGAGEMENTS 2026'!D902)</f>
        <v/>
      </c>
      <c r="C902">
        <f>IF(ISBLANK('ENGAGEMENTS 2026'!C902),"",'ENGAGEMENTS 2026'!E902)</f>
        <v/>
      </c>
      <c r="D902">
        <f>IF(ISBLANK('ENGAGEMENTS 2026'!C902),"",'ENGAGEMENTS 2026'!G902)</f>
        <v/>
      </c>
      <c r="E902">
        <f>IF(ISBLANK('ENGAGEMENTS 2026'!C902),"",'ENGAGEMENTS 2026'!I902)</f>
        <v/>
      </c>
      <c r="F902">
        <f>IF(ISBLANK('ENGAGEMENTS 2026'!C902),"",'ENGAGEMENTS 2026'!J902)</f>
        <v/>
      </c>
      <c r="G902">
        <f>IF(ISBLANK('ENGAGEMENTS 2026'!C902),"",'ENGAGEMENTS 2026'!M902)</f>
        <v/>
      </c>
      <c r="H902">
        <f>IF(ISBLANK('ENGAGEMENTS 2026'!C902),"",'ENGAGEMENTS 2026'!AF902)</f>
        <v/>
      </c>
      <c r="I902">
        <f>IF(ISBLANK('ENGAGEMENTS 2026'!C902),"",'ENGAGEMENTS 2026'!H902)</f>
        <v/>
      </c>
      <c r="J902" s="275">
        <f>IF(ISBLANK('ENGAGEMENTS 2026'!C902),"",IF(AND(OR($E902="INFRUCTUEUX",$E902="ANNULE"),$C902="AOO-M"),'ENGAGEMENTS 2026'!P902,IF($H902="EN COURS DE PREENGAGEMENT",'ENGAGEMENTS 2026'!O902,IF($H902="PREENGAGE",IF($E902="ATTRIBUE",'ENGAGEMENTS 2026'!AE902,'ENGAGEMENTS 2026'!O902),'ENGAGEMENTS 2026'!AE902))))</f>
        <v/>
      </c>
      <c r="K902" s="604">
        <f>IF(ISBLANK('ENGAGEMENTS 2026'!W902),"",'ENGAGEMENTS 2026'!W902)</f>
        <v/>
      </c>
      <c r="L902" s="276">
        <f>IF($K902="","",TODAY()-$K902)</f>
        <v/>
      </c>
      <c r="M902">
        <f>IF($A902="","",IF($H902="ENGAGE","Engagé",IF(AND($H902="NON ENGAGE",OR($I902="INFRUCTUEUX",$I902="ANNULE")),"Clôturé sans suite","En cours")))</f>
        <v/>
      </c>
      <c r="N902">
        <f>IF(ISBLANK('ENGAGEMENTS 2026'!C902),"",'ENGAGEMENTS 2026'!L902)</f>
        <v/>
      </c>
      <c r="O902">
        <f>IF(ISBLANK('ENGAGEMENTS 2026'!C902),"",'ENGAGEMENTS 2026'!M902)</f>
        <v/>
      </c>
      <c r="P902">
        <f>IF(ISBLANK('ENGAGEMENTS 2026'!C902),"",'ENGAGEMENTS 2026'!K902)</f>
        <v/>
      </c>
      <c r="Q902">
        <f>IF($A902="","",IF(OR($E902="INFRUCTUEUX",$E902="ANNULE"),$A902&amp;"|"&amp;(COUNTIFS($A$2:$A902,$A902,$E$2:$E902,"INFRUCTUEUX")+COUNTIFS($A$2:$A902,$A902,$E$2:$E902,"ANNULE")),""))</f>
        <v/>
      </c>
    </row>
    <row r="903">
      <c r="A903">
        <f>IF(ISBLANK('ENGAGEMENTS 2026'!C903),"",IF('ENGAGEMENTS 2026'!C903="DTSI","DCT",'ENGAGEMENTS 2026'!C903))</f>
        <v/>
      </c>
      <c r="B903">
        <f>IF(ISBLANK('ENGAGEMENTS 2026'!C903),"",'ENGAGEMENTS 2026'!D903)</f>
        <v/>
      </c>
      <c r="C903">
        <f>IF(ISBLANK('ENGAGEMENTS 2026'!C903),"",'ENGAGEMENTS 2026'!E903)</f>
        <v/>
      </c>
      <c r="D903">
        <f>IF(ISBLANK('ENGAGEMENTS 2026'!C903),"",'ENGAGEMENTS 2026'!G903)</f>
        <v/>
      </c>
      <c r="E903">
        <f>IF(ISBLANK('ENGAGEMENTS 2026'!C903),"",'ENGAGEMENTS 2026'!I903)</f>
        <v/>
      </c>
      <c r="F903">
        <f>IF(ISBLANK('ENGAGEMENTS 2026'!C903),"",'ENGAGEMENTS 2026'!J903)</f>
        <v/>
      </c>
      <c r="G903">
        <f>IF(ISBLANK('ENGAGEMENTS 2026'!C903),"",'ENGAGEMENTS 2026'!M903)</f>
        <v/>
      </c>
      <c r="H903">
        <f>IF(ISBLANK('ENGAGEMENTS 2026'!C903),"",'ENGAGEMENTS 2026'!AF903)</f>
        <v/>
      </c>
      <c r="I903">
        <f>IF(ISBLANK('ENGAGEMENTS 2026'!C903),"",'ENGAGEMENTS 2026'!H903)</f>
        <v/>
      </c>
      <c r="J903" s="275">
        <f>IF(ISBLANK('ENGAGEMENTS 2026'!C903),"",IF(AND(OR($E903="INFRUCTUEUX",$E903="ANNULE"),$C903="AOO-M"),'ENGAGEMENTS 2026'!P903,IF($H903="EN COURS DE PREENGAGEMENT",'ENGAGEMENTS 2026'!O903,IF($H903="PREENGAGE",IF($E903="ATTRIBUE",'ENGAGEMENTS 2026'!AE903,'ENGAGEMENTS 2026'!O903),'ENGAGEMENTS 2026'!AE903))))</f>
        <v/>
      </c>
      <c r="K903" s="604">
        <f>IF(ISBLANK('ENGAGEMENTS 2026'!W903),"",'ENGAGEMENTS 2026'!W903)</f>
        <v/>
      </c>
      <c r="L903" s="276">
        <f>IF($K903="","",TODAY()-$K903)</f>
        <v/>
      </c>
      <c r="M903">
        <f>IF($A903="","",IF($H903="ENGAGE","Engagé",IF(AND($H903="NON ENGAGE",OR($I903="INFRUCTUEUX",$I903="ANNULE")),"Clôturé sans suite","En cours")))</f>
        <v/>
      </c>
      <c r="N903">
        <f>IF(ISBLANK('ENGAGEMENTS 2026'!C903),"",'ENGAGEMENTS 2026'!L903)</f>
        <v/>
      </c>
      <c r="O903">
        <f>IF(ISBLANK('ENGAGEMENTS 2026'!C903),"",'ENGAGEMENTS 2026'!M903)</f>
        <v/>
      </c>
      <c r="P903">
        <f>IF(ISBLANK('ENGAGEMENTS 2026'!C903),"",'ENGAGEMENTS 2026'!K903)</f>
        <v/>
      </c>
      <c r="Q903">
        <f>IF($A903="","",IF(OR($E903="INFRUCTUEUX",$E903="ANNULE"),$A903&amp;"|"&amp;(COUNTIFS($A$2:$A903,$A903,$E$2:$E903,"INFRUCTUEUX")+COUNTIFS($A$2:$A903,$A903,$E$2:$E903,"ANNULE")),""))</f>
        <v/>
      </c>
    </row>
    <row r="904">
      <c r="A904">
        <f>IF(ISBLANK('ENGAGEMENTS 2026'!C904),"",IF('ENGAGEMENTS 2026'!C904="DTSI","DCT",'ENGAGEMENTS 2026'!C904))</f>
        <v/>
      </c>
      <c r="B904">
        <f>IF(ISBLANK('ENGAGEMENTS 2026'!C904),"",'ENGAGEMENTS 2026'!D904)</f>
        <v/>
      </c>
      <c r="C904">
        <f>IF(ISBLANK('ENGAGEMENTS 2026'!C904),"",'ENGAGEMENTS 2026'!E904)</f>
        <v/>
      </c>
      <c r="D904">
        <f>IF(ISBLANK('ENGAGEMENTS 2026'!C904),"",'ENGAGEMENTS 2026'!G904)</f>
        <v/>
      </c>
      <c r="E904">
        <f>IF(ISBLANK('ENGAGEMENTS 2026'!C904),"",'ENGAGEMENTS 2026'!I904)</f>
        <v/>
      </c>
      <c r="F904">
        <f>IF(ISBLANK('ENGAGEMENTS 2026'!C904),"",'ENGAGEMENTS 2026'!J904)</f>
        <v/>
      </c>
      <c r="G904">
        <f>IF(ISBLANK('ENGAGEMENTS 2026'!C904),"",'ENGAGEMENTS 2026'!M904)</f>
        <v/>
      </c>
      <c r="H904">
        <f>IF(ISBLANK('ENGAGEMENTS 2026'!C904),"",'ENGAGEMENTS 2026'!AF904)</f>
        <v/>
      </c>
      <c r="I904">
        <f>IF(ISBLANK('ENGAGEMENTS 2026'!C904),"",'ENGAGEMENTS 2026'!H904)</f>
        <v/>
      </c>
      <c r="J904" s="275">
        <f>IF(ISBLANK('ENGAGEMENTS 2026'!C904),"",IF(AND(OR($E904="INFRUCTUEUX",$E904="ANNULE"),$C904="AOO-M"),'ENGAGEMENTS 2026'!P904,IF($H904="EN COURS DE PREENGAGEMENT",'ENGAGEMENTS 2026'!O904,IF($H904="PREENGAGE",IF($E904="ATTRIBUE",'ENGAGEMENTS 2026'!AE904,'ENGAGEMENTS 2026'!O904),'ENGAGEMENTS 2026'!AE904))))</f>
        <v/>
      </c>
      <c r="K904" s="604">
        <f>IF(ISBLANK('ENGAGEMENTS 2026'!W904),"",'ENGAGEMENTS 2026'!W904)</f>
        <v/>
      </c>
      <c r="L904" s="276">
        <f>IF($K904="","",TODAY()-$K904)</f>
        <v/>
      </c>
      <c r="M904">
        <f>IF($A904="","",IF($H904="ENGAGE","Engagé",IF(AND($H904="NON ENGAGE",OR($I904="INFRUCTUEUX",$I904="ANNULE")),"Clôturé sans suite","En cours")))</f>
        <v/>
      </c>
      <c r="N904">
        <f>IF(ISBLANK('ENGAGEMENTS 2026'!C904),"",'ENGAGEMENTS 2026'!L904)</f>
        <v/>
      </c>
      <c r="O904">
        <f>IF(ISBLANK('ENGAGEMENTS 2026'!C904),"",'ENGAGEMENTS 2026'!M904)</f>
        <v/>
      </c>
      <c r="P904">
        <f>IF(ISBLANK('ENGAGEMENTS 2026'!C904),"",'ENGAGEMENTS 2026'!K904)</f>
        <v/>
      </c>
      <c r="Q904">
        <f>IF($A904="","",IF(OR($E904="INFRUCTUEUX",$E904="ANNULE"),$A904&amp;"|"&amp;(COUNTIFS($A$2:$A904,$A904,$E$2:$E904,"INFRUCTUEUX")+COUNTIFS($A$2:$A904,$A904,$E$2:$E904,"ANNULE")),""))</f>
        <v/>
      </c>
    </row>
    <row r="905">
      <c r="A905">
        <f>IF(ISBLANK('ENGAGEMENTS 2026'!C905),"",IF('ENGAGEMENTS 2026'!C905="DTSI","DCT",'ENGAGEMENTS 2026'!C905))</f>
        <v/>
      </c>
      <c r="B905">
        <f>IF(ISBLANK('ENGAGEMENTS 2026'!C905),"",'ENGAGEMENTS 2026'!D905)</f>
        <v/>
      </c>
      <c r="C905">
        <f>IF(ISBLANK('ENGAGEMENTS 2026'!C905),"",'ENGAGEMENTS 2026'!E905)</f>
        <v/>
      </c>
      <c r="D905">
        <f>IF(ISBLANK('ENGAGEMENTS 2026'!C905),"",'ENGAGEMENTS 2026'!G905)</f>
        <v/>
      </c>
      <c r="E905">
        <f>IF(ISBLANK('ENGAGEMENTS 2026'!C905),"",'ENGAGEMENTS 2026'!I905)</f>
        <v/>
      </c>
      <c r="F905">
        <f>IF(ISBLANK('ENGAGEMENTS 2026'!C905),"",'ENGAGEMENTS 2026'!J905)</f>
        <v/>
      </c>
      <c r="G905">
        <f>IF(ISBLANK('ENGAGEMENTS 2026'!C905),"",'ENGAGEMENTS 2026'!M905)</f>
        <v/>
      </c>
      <c r="H905">
        <f>IF(ISBLANK('ENGAGEMENTS 2026'!C905),"",'ENGAGEMENTS 2026'!AF905)</f>
        <v/>
      </c>
      <c r="I905">
        <f>IF(ISBLANK('ENGAGEMENTS 2026'!C905),"",'ENGAGEMENTS 2026'!H905)</f>
        <v/>
      </c>
      <c r="J905" s="275">
        <f>IF(ISBLANK('ENGAGEMENTS 2026'!C905),"",IF(AND(OR($E905="INFRUCTUEUX",$E905="ANNULE"),$C905="AOO-M"),'ENGAGEMENTS 2026'!P905,IF($H905="EN COURS DE PREENGAGEMENT",'ENGAGEMENTS 2026'!O905,IF($H905="PREENGAGE",IF($E905="ATTRIBUE",'ENGAGEMENTS 2026'!AE905,'ENGAGEMENTS 2026'!O905),'ENGAGEMENTS 2026'!AE905))))</f>
        <v/>
      </c>
      <c r="K905" s="604">
        <f>IF(ISBLANK('ENGAGEMENTS 2026'!W905),"",'ENGAGEMENTS 2026'!W905)</f>
        <v/>
      </c>
      <c r="L905" s="276">
        <f>IF($K905="","",TODAY()-$K905)</f>
        <v/>
      </c>
      <c r="M905">
        <f>IF($A905="","",IF($H905="ENGAGE","Engagé",IF(AND($H905="NON ENGAGE",OR($I905="INFRUCTUEUX",$I905="ANNULE")),"Clôturé sans suite","En cours")))</f>
        <v/>
      </c>
      <c r="N905">
        <f>IF(ISBLANK('ENGAGEMENTS 2026'!C905),"",'ENGAGEMENTS 2026'!L905)</f>
        <v/>
      </c>
      <c r="O905">
        <f>IF(ISBLANK('ENGAGEMENTS 2026'!C905),"",'ENGAGEMENTS 2026'!M905)</f>
        <v/>
      </c>
      <c r="P905">
        <f>IF(ISBLANK('ENGAGEMENTS 2026'!C905),"",'ENGAGEMENTS 2026'!K905)</f>
        <v/>
      </c>
      <c r="Q905">
        <f>IF($A905="","",IF(OR($E905="INFRUCTUEUX",$E905="ANNULE"),$A905&amp;"|"&amp;(COUNTIFS($A$2:$A905,$A905,$E$2:$E905,"INFRUCTUEUX")+COUNTIFS($A$2:$A905,$A905,$E$2:$E905,"ANNULE")),""))</f>
        <v/>
      </c>
    </row>
    <row r="906">
      <c r="A906">
        <f>IF(ISBLANK('ENGAGEMENTS 2026'!C906),"",IF('ENGAGEMENTS 2026'!C906="DTSI","DCT",'ENGAGEMENTS 2026'!C906))</f>
        <v/>
      </c>
      <c r="B906">
        <f>IF(ISBLANK('ENGAGEMENTS 2026'!C906),"",'ENGAGEMENTS 2026'!D906)</f>
        <v/>
      </c>
      <c r="C906">
        <f>IF(ISBLANK('ENGAGEMENTS 2026'!C906),"",'ENGAGEMENTS 2026'!E906)</f>
        <v/>
      </c>
      <c r="D906">
        <f>IF(ISBLANK('ENGAGEMENTS 2026'!C906),"",'ENGAGEMENTS 2026'!G906)</f>
        <v/>
      </c>
      <c r="E906">
        <f>IF(ISBLANK('ENGAGEMENTS 2026'!C906),"",'ENGAGEMENTS 2026'!I906)</f>
        <v/>
      </c>
      <c r="F906">
        <f>IF(ISBLANK('ENGAGEMENTS 2026'!C906),"",'ENGAGEMENTS 2026'!J906)</f>
        <v/>
      </c>
      <c r="G906">
        <f>IF(ISBLANK('ENGAGEMENTS 2026'!C906),"",'ENGAGEMENTS 2026'!M906)</f>
        <v/>
      </c>
      <c r="H906">
        <f>IF(ISBLANK('ENGAGEMENTS 2026'!C906),"",'ENGAGEMENTS 2026'!AF906)</f>
        <v/>
      </c>
      <c r="I906">
        <f>IF(ISBLANK('ENGAGEMENTS 2026'!C906),"",'ENGAGEMENTS 2026'!H906)</f>
        <v/>
      </c>
      <c r="J906" s="275">
        <f>IF(ISBLANK('ENGAGEMENTS 2026'!C906),"",IF(AND(OR($E906="INFRUCTUEUX",$E906="ANNULE"),$C906="AOO-M"),'ENGAGEMENTS 2026'!P906,IF($H906="EN COURS DE PREENGAGEMENT",'ENGAGEMENTS 2026'!O906,IF($H906="PREENGAGE",IF($E906="ATTRIBUE",'ENGAGEMENTS 2026'!AE906,'ENGAGEMENTS 2026'!O906),'ENGAGEMENTS 2026'!AE906))))</f>
        <v/>
      </c>
      <c r="K906" s="604">
        <f>IF(ISBLANK('ENGAGEMENTS 2026'!W906),"",'ENGAGEMENTS 2026'!W906)</f>
        <v/>
      </c>
      <c r="L906" s="276">
        <f>IF($K906="","",TODAY()-$K906)</f>
        <v/>
      </c>
      <c r="M906">
        <f>IF($A906="","",IF($H906="ENGAGE","Engagé",IF(AND($H906="NON ENGAGE",OR($I906="INFRUCTUEUX",$I906="ANNULE")),"Clôturé sans suite","En cours")))</f>
        <v/>
      </c>
      <c r="N906">
        <f>IF(ISBLANK('ENGAGEMENTS 2026'!C906),"",'ENGAGEMENTS 2026'!L906)</f>
        <v/>
      </c>
      <c r="O906">
        <f>IF(ISBLANK('ENGAGEMENTS 2026'!C906),"",'ENGAGEMENTS 2026'!M906)</f>
        <v/>
      </c>
      <c r="P906">
        <f>IF(ISBLANK('ENGAGEMENTS 2026'!C906),"",'ENGAGEMENTS 2026'!K906)</f>
        <v/>
      </c>
      <c r="Q906">
        <f>IF($A906="","",IF(OR($E906="INFRUCTUEUX",$E906="ANNULE"),$A906&amp;"|"&amp;(COUNTIFS($A$2:$A906,$A906,$E$2:$E906,"INFRUCTUEUX")+COUNTIFS($A$2:$A906,$A906,$E$2:$E906,"ANNULE")),""))</f>
        <v/>
      </c>
    </row>
    <row r="907">
      <c r="A907">
        <f>IF(ISBLANK('ENGAGEMENTS 2026'!C907),"",IF('ENGAGEMENTS 2026'!C907="DTSI","DCT",'ENGAGEMENTS 2026'!C907))</f>
        <v/>
      </c>
      <c r="B907">
        <f>IF(ISBLANK('ENGAGEMENTS 2026'!C907),"",'ENGAGEMENTS 2026'!D907)</f>
        <v/>
      </c>
      <c r="C907">
        <f>IF(ISBLANK('ENGAGEMENTS 2026'!C907),"",'ENGAGEMENTS 2026'!E907)</f>
        <v/>
      </c>
      <c r="D907">
        <f>IF(ISBLANK('ENGAGEMENTS 2026'!C907),"",'ENGAGEMENTS 2026'!G907)</f>
        <v/>
      </c>
      <c r="E907">
        <f>IF(ISBLANK('ENGAGEMENTS 2026'!C907),"",'ENGAGEMENTS 2026'!I907)</f>
        <v/>
      </c>
      <c r="F907">
        <f>IF(ISBLANK('ENGAGEMENTS 2026'!C907),"",'ENGAGEMENTS 2026'!J907)</f>
        <v/>
      </c>
      <c r="G907">
        <f>IF(ISBLANK('ENGAGEMENTS 2026'!C907),"",'ENGAGEMENTS 2026'!M907)</f>
        <v/>
      </c>
      <c r="H907">
        <f>IF(ISBLANK('ENGAGEMENTS 2026'!C907),"",'ENGAGEMENTS 2026'!AF907)</f>
        <v/>
      </c>
      <c r="I907">
        <f>IF(ISBLANK('ENGAGEMENTS 2026'!C907),"",'ENGAGEMENTS 2026'!H907)</f>
        <v/>
      </c>
      <c r="J907" s="275">
        <f>IF(ISBLANK('ENGAGEMENTS 2026'!C907),"",IF(AND(OR($E907="INFRUCTUEUX",$E907="ANNULE"),$C907="AOO-M"),'ENGAGEMENTS 2026'!P907,IF($H907="EN COURS DE PREENGAGEMENT",'ENGAGEMENTS 2026'!O907,IF($H907="PREENGAGE",IF($E907="ATTRIBUE",'ENGAGEMENTS 2026'!AE907,'ENGAGEMENTS 2026'!O907),'ENGAGEMENTS 2026'!AE907))))</f>
        <v/>
      </c>
      <c r="K907" s="604">
        <f>IF(ISBLANK('ENGAGEMENTS 2026'!W907),"",'ENGAGEMENTS 2026'!W907)</f>
        <v/>
      </c>
      <c r="L907" s="276">
        <f>IF($K907="","",TODAY()-$K907)</f>
        <v/>
      </c>
      <c r="M907">
        <f>IF($A907="","",IF($H907="ENGAGE","Engagé",IF(AND($H907="NON ENGAGE",OR($I907="INFRUCTUEUX",$I907="ANNULE")),"Clôturé sans suite","En cours")))</f>
        <v/>
      </c>
      <c r="N907">
        <f>IF(ISBLANK('ENGAGEMENTS 2026'!C907),"",'ENGAGEMENTS 2026'!L907)</f>
        <v/>
      </c>
      <c r="O907">
        <f>IF(ISBLANK('ENGAGEMENTS 2026'!C907),"",'ENGAGEMENTS 2026'!M907)</f>
        <v/>
      </c>
      <c r="P907">
        <f>IF(ISBLANK('ENGAGEMENTS 2026'!C907),"",'ENGAGEMENTS 2026'!K907)</f>
        <v/>
      </c>
      <c r="Q907">
        <f>IF($A907="","",IF(OR($E907="INFRUCTUEUX",$E907="ANNULE"),$A907&amp;"|"&amp;(COUNTIFS($A$2:$A907,$A907,$E$2:$E907,"INFRUCTUEUX")+COUNTIFS($A$2:$A907,$A907,$E$2:$E907,"ANNULE")),""))</f>
        <v/>
      </c>
    </row>
    <row r="908">
      <c r="A908">
        <f>IF(ISBLANK('ENGAGEMENTS 2026'!C908),"",IF('ENGAGEMENTS 2026'!C908="DTSI","DCT",'ENGAGEMENTS 2026'!C908))</f>
        <v/>
      </c>
      <c r="B908">
        <f>IF(ISBLANK('ENGAGEMENTS 2026'!C908),"",'ENGAGEMENTS 2026'!D908)</f>
        <v/>
      </c>
      <c r="C908">
        <f>IF(ISBLANK('ENGAGEMENTS 2026'!C908),"",'ENGAGEMENTS 2026'!E908)</f>
        <v/>
      </c>
      <c r="D908">
        <f>IF(ISBLANK('ENGAGEMENTS 2026'!C908),"",'ENGAGEMENTS 2026'!G908)</f>
        <v/>
      </c>
      <c r="E908">
        <f>IF(ISBLANK('ENGAGEMENTS 2026'!C908),"",'ENGAGEMENTS 2026'!I908)</f>
        <v/>
      </c>
      <c r="F908">
        <f>IF(ISBLANK('ENGAGEMENTS 2026'!C908),"",'ENGAGEMENTS 2026'!J908)</f>
        <v/>
      </c>
      <c r="G908">
        <f>IF(ISBLANK('ENGAGEMENTS 2026'!C908),"",'ENGAGEMENTS 2026'!M908)</f>
        <v/>
      </c>
      <c r="H908">
        <f>IF(ISBLANK('ENGAGEMENTS 2026'!C908),"",'ENGAGEMENTS 2026'!AF908)</f>
        <v/>
      </c>
      <c r="I908">
        <f>IF(ISBLANK('ENGAGEMENTS 2026'!C908),"",'ENGAGEMENTS 2026'!H908)</f>
        <v/>
      </c>
      <c r="J908" s="275">
        <f>IF(ISBLANK('ENGAGEMENTS 2026'!C908),"",IF(AND(OR($E908="INFRUCTUEUX",$E908="ANNULE"),$C908="AOO-M"),'ENGAGEMENTS 2026'!P908,IF($H908="EN COURS DE PREENGAGEMENT",'ENGAGEMENTS 2026'!O908,IF($H908="PREENGAGE",IF($E908="ATTRIBUE",'ENGAGEMENTS 2026'!AE908,'ENGAGEMENTS 2026'!O908),'ENGAGEMENTS 2026'!AE908))))</f>
        <v/>
      </c>
      <c r="K908" s="604">
        <f>IF(ISBLANK('ENGAGEMENTS 2026'!W908),"",'ENGAGEMENTS 2026'!W908)</f>
        <v/>
      </c>
      <c r="L908" s="276">
        <f>IF($K908="","",TODAY()-$K908)</f>
        <v/>
      </c>
      <c r="M908">
        <f>IF($A908="","",IF($H908="ENGAGE","Engagé",IF(AND($H908="NON ENGAGE",OR($I908="INFRUCTUEUX",$I908="ANNULE")),"Clôturé sans suite","En cours")))</f>
        <v/>
      </c>
      <c r="N908">
        <f>IF(ISBLANK('ENGAGEMENTS 2026'!C908),"",'ENGAGEMENTS 2026'!L908)</f>
        <v/>
      </c>
      <c r="O908">
        <f>IF(ISBLANK('ENGAGEMENTS 2026'!C908),"",'ENGAGEMENTS 2026'!M908)</f>
        <v/>
      </c>
      <c r="P908">
        <f>IF(ISBLANK('ENGAGEMENTS 2026'!C908),"",'ENGAGEMENTS 2026'!K908)</f>
        <v/>
      </c>
      <c r="Q908">
        <f>IF($A908="","",IF(OR($E908="INFRUCTUEUX",$E908="ANNULE"),$A908&amp;"|"&amp;(COUNTIFS($A$2:$A908,$A908,$E$2:$E908,"INFRUCTUEUX")+COUNTIFS($A$2:$A908,$A908,$E$2:$E908,"ANNULE")),""))</f>
        <v/>
      </c>
    </row>
    <row r="909">
      <c r="A909">
        <f>IF(ISBLANK('ENGAGEMENTS 2026'!C909),"",IF('ENGAGEMENTS 2026'!C909="DTSI","DCT",'ENGAGEMENTS 2026'!C909))</f>
        <v/>
      </c>
      <c r="B909">
        <f>IF(ISBLANK('ENGAGEMENTS 2026'!C909),"",'ENGAGEMENTS 2026'!D909)</f>
        <v/>
      </c>
      <c r="C909">
        <f>IF(ISBLANK('ENGAGEMENTS 2026'!C909),"",'ENGAGEMENTS 2026'!E909)</f>
        <v/>
      </c>
      <c r="D909">
        <f>IF(ISBLANK('ENGAGEMENTS 2026'!C909),"",'ENGAGEMENTS 2026'!G909)</f>
        <v/>
      </c>
      <c r="E909">
        <f>IF(ISBLANK('ENGAGEMENTS 2026'!C909),"",'ENGAGEMENTS 2026'!I909)</f>
        <v/>
      </c>
      <c r="F909">
        <f>IF(ISBLANK('ENGAGEMENTS 2026'!C909),"",'ENGAGEMENTS 2026'!J909)</f>
        <v/>
      </c>
      <c r="G909">
        <f>IF(ISBLANK('ENGAGEMENTS 2026'!C909),"",'ENGAGEMENTS 2026'!M909)</f>
        <v/>
      </c>
      <c r="H909">
        <f>IF(ISBLANK('ENGAGEMENTS 2026'!C909),"",'ENGAGEMENTS 2026'!AF909)</f>
        <v/>
      </c>
      <c r="I909">
        <f>IF(ISBLANK('ENGAGEMENTS 2026'!C909),"",'ENGAGEMENTS 2026'!H909)</f>
        <v/>
      </c>
      <c r="J909" s="275">
        <f>IF(ISBLANK('ENGAGEMENTS 2026'!C909),"",IF(AND(OR($E909="INFRUCTUEUX",$E909="ANNULE"),$C909="AOO-M"),'ENGAGEMENTS 2026'!P909,IF($H909="EN COURS DE PREENGAGEMENT",'ENGAGEMENTS 2026'!O909,IF($H909="PREENGAGE",IF($E909="ATTRIBUE",'ENGAGEMENTS 2026'!AE909,'ENGAGEMENTS 2026'!O909),'ENGAGEMENTS 2026'!AE909))))</f>
        <v/>
      </c>
      <c r="K909" s="604">
        <f>IF(ISBLANK('ENGAGEMENTS 2026'!W909),"",'ENGAGEMENTS 2026'!W909)</f>
        <v/>
      </c>
      <c r="L909" s="276">
        <f>IF($K909="","",TODAY()-$K909)</f>
        <v/>
      </c>
      <c r="M909">
        <f>IF($A909="","",IF($H909="ENGAGE","Engagé",IF(AND($H909="NON ENGAGE",OR($I909="INFRUCTUEUX",$I909="ANNULE")),"Clôturé sans suite","En cours")))</f>
        <v/>
      </c>
      <c r="N909">
        <f>IF(ISBLANK('ENGAGEMENTS 2026'!C909),"",'ENGAGEMENTS 2026'!L909)</f>
        <v/>
      </c>
      <c r="O909">
        <f>IF(ISBLANK('ENGAGEMENTS 2026'!C909),"",'ENGAGEMENTS 2026'!M909)</f>
        <v/>
      </c>
      <c r="P909">
        <f>IF(ISBLANK('ENGAGEMENTS 2026'!C909),"",'ENGAGEMENTS 2026'!K909)</f>
        <v/>
      </c>
      <c r="Q909">
        <f>IF($A909="","",IF(OR($E909="INFRUCTUEUX",$E909="ANNULE"),$A909&amp;"|"&amp;(COUNTIFS($A$2:$A909,$A909,$E$2:$E909,"INFRUCTUEUX")+COUNTIFS($A$2:$A909,$A909,$E$2:$E909,"ANNULE")),""))</f>
        <v/>
      </c>
    </row>
    <row r="910">
      <c r="A910">
        <f>IF(ISBLANK('ENGAGEMENTS 2026'!C910),"",IF('ENGAGEMENTS 2026'!C910="DTSI","DCT",'ENGAGEMENTS 2026'!C910))</f>
        <v/>
      </c>
      <c r="B910">
        <f>IF(ISBLANK('ENGAGEMENTS 2026'!C910),"",'ENGAGEMENTS 2026'!D910)</f>
        <v/>
      </c>
      <c r="C910">
        <f>IF(ISBLANK('ENGAGEMENTS 2026'!C910),"",'ENGAGEMENTS 2026'!E910)</f>
        <v/>
      </c>
      <c r="D910">
        <f>IF(ISBLANK('ENGAGEMENTS 2026'!C910),"",'ENGAGEMENTS 2026'!G910)</f>
        <v/>
      </c>
      <c r="E910">
        <f>IF(ISBLANK('ENGAGEMENTS 2026'!C910),"",'ENGAGEMENTS 2026'!I910)</f>
        <v/>
      </c>
      <c r="F910">
        <f>IF(ISBLANK('ENGAGEMENTS 2026'!C910),"",'ENGAGEMENTS 2026'!J910)</f>
        <v/>
      </c>
      <c r="G910">
        <f>IF(ISBLANK('ENGAGEMENTS 2026'!C910),"",'ENGAGEMENTS 2026'!M910)</f>
        <v/>
      </c>
      <c r="H910">
        <f>IF(ISBLANK('ENGAGEMENTS 2026'!C910),"",'ENGAGEMENTS 2026'!AF910)</f>
        <v/>
      </c>
      <c r="I910">
        <f>IF(ISBLANK('ENGAGEMENTS 2026'!C910),"",'ENGAGEMENTS 2026'!H910)</f>
        <v/>
      </c>
      <c r="J910" s="275">
        <f>IF(ISBLANK('ENGAGEMENTS 2026'!C910),"",IF(AND(OR($E910="INFRUCTUEUX",$E910="ANNULE"),$C910="AOO-M"),'ENGAGEMENTS 2026'!P910,IF($H910="EN COURS DE PREENGAGEMENT",'ENGAGEMENTS 2026'!O910,IF($H910="PREENGAGE",IF($E910="ATTRIBUE",'ENGAGEMENTS 2026'!AE910,'ENGAGEMENTS 2026'!O910),'ENGAGEMENTS 2026'!AE910))))</f>
        <v/>
      </c>
      <c r="K910" s="604">
        <f>IF(ISBLANK('ENGAGEMENTS 2026'!W910),"",'ENGAGEMENTS 2026'!W910)</f>
        <v/>
      </c>
      <c r="L910" s="276">
        <f>IF($K910="","",TODAY()-$K910)</f>
        <v/>
      </c>
      <c r="M910">
        <f>IF($A910="","",IF($H910="ENGAGE","Engagé",IF(AND($H910="NON ENGAGE",OR($I910="INFRUCTUEUX",$I910="ANNULE")),"Clôturé sans suite","En cours")))</f>
        <v/>
      </c>
      <c r="N910">
        <f>IF(ISBLANK('ENGAGEMENTS 2026'!C910),"",'ENGAGEMENTS 2026'!L910)</f>
        <v/>
      </c>
      <c r="O910">
        <f>IF(ISBLANK('ENGAGEMENTS 2026'!C910),"",'ENGAGEMENTS 2026'!M910)</f>
        <v/>
      </c>
      <c r="P910">
        <f>IF(ISBLANK('ENGAGEMENTS 2026'!C910),"",'ENGAGEMENTS 2026'!K910)</f>
        <v/>
      </c>
      <c r="Q910">
        <f>IF($A910="","",IF(OR($E910="INFRUCTUEUX",$E910="ANNULE"),$A910&amp;"|"&amp;(COUNTIFS($A$2:$A910,$A910,$E$2:$E910,"INFRUCTUEUX")+COUNTIFS($A$2:$A910,$A910,$E$2:$E910,"ANNULE")),""))</f>
        <v/>
      </c>
    </row>
    <row r="911">
      <c r="A911">
        <f>IF(ISBLANK('ENGAGEMENTS 2026'!C911),"",IF('ENGAGEMENTS 2026'!C911="DTSI","DCT",'ENGAGEMENTS 2026'!C911))</f>
        <v/>
      </c>
      <c r="B911">
        <f>IF(ISBLANK('ENGAGEMENTS 2026'!C911),"",'ENGAGEMENTS 2026'!D911)</f>
        <v/>
      </c>
      <c r="C911">
        <f>IF(ISBLANK('ENGAGEMENTS 2026'!C911),"",'ENGAGEMENTS 2026'!E911)</f>
        <v/>
      </c>
      <c r="D911">
        <f>IF(ISBLANK('ENGAGEMENTS 2026'!C911),"",'ENGAGEMENTS 2026'!G911)</f>
        <v/>
      </c>
      <c r="E911">
        <f>IF(ISBLANK('ENGAGEMENTS 2026'!C911),"",'ENGAGEMENTS 2026'!I911)</f>
        <v/>
      </c>
      <c r="F911">
        <f>IF(ISBLANK('ENGAGEMENTS 2026'!C911),"",'ENGAGEMENTS 2026'!J911)</f>
        <v/>
      </c>
      <c r="G911">
        <f>IF(ISBLANK('ENGAGEMENTS 2026'!C911),"",'ENGAGEMENTS 2026'!M911)</f>
        <v/>
      </c>
      <c r="H911">
        <f>IF(ISBLANK('ENGAGEMENTS 2026'!C911),"",'ENGAGEMENTS 2026'!AF911)</f>
        <v/>
      </c>
      <c r="I911">
        <f>IF(ISBLANK('ENGAGEMENTS 2026'!C911),"",'ENGAGEMENTS 2026'!H911)</f>
        <v/>
      </c>
      <c r="J911" s="275">
        <f>IF(ISBLANK('ENGAGEMENTS 2026'!C911),"",IF(AND(OR($E911="INFRUCTUEUX",$E911="ANNULE"),$C911="AOO-M"),'ENGAGEMENTS 2026'!P911,IF($H911="EN COURS DE PREENGAGEMENT",'ENGAGEMENTS 2026'!O911,IF($H911="PREENGAGE",IF($E911="ATTRIBUE",'ENGAGEMENTS 2026'!AE911,'ENGAGEMENTS 2026'!O911),'ENGAGEMENTS 2026'!AE911))))</f>
        <v/>
      </c>
      <c r="K911" s="604">
        <f>IF(ISBLANK('ENGAGEMENTS 2026'!W911),"",'ENGAGEMENTS 2026'!W911)</f>
        <v/>
      </c>
      <c r="L911" s="276">
        <f>IF($K911="","",TODAY()-$K911)</f>
        <v/>
      </c>
      <c r="M911">
        <f>IF($A911="","",IF($H911="ENGAGE","Engagé",IF(AND($H911="NON ENGAGE",OR($I911="INFRUCTUEUX",$I911="ANNULE")),"Clôturé sans suite","En cours")))</f>
        <v/>
      </c>
      <c r="N911">
        <f>IF(ISBLANK('ENGAGEMENTS 2026'!C911),"",'ENGAGEMENTS 2026'!L911)</f>
        <v/>
      </c>
      <c r="O911">
        <f>IF(ISBLANK('ENGAGEMENTS 2026'!C911),"",'ENGAGEMENTS 2026'!M911)</f>
        <v/>
      </c>
      <c r="P911">
        <f>IF(ISBLANK('ENGAGEMENTS 2026'!C911),"",'ENGAGEMENTS 2026'!K911)</f>
        <v/>
      </c>
      <c r="Q911">
        <f>IF($A911="","",IF(OR($E911="INFRUCTUEUX",$E911="ANNULE"),$A911&amp;"|"&amp;(COUNTIFS($A$2:$A911,$A911,$E$2:$E911,"INFRUCTUEUX")+COUNTIFS($A$2:$A911,$A911,$E$2:$E911,"ANNULE")),""))</f>
        <v/>
      </c>
    </row>
    <row r="912">
      <c r="A912">
        <f>IF(ISBLANK('ENGAGEMENTS 2026'!C912),"",IF('ENGAGEMENTS 2026'!C912="DTSI","DCT",'ENGAGEMENTS 2026'!C912))</f>
        <v/>
      </c>
      <c r="B912">
        <f>IF(ISBLANK('ENGAGEMENTS 2026'!C912),"",'ENGAGEMENTS 2026'!D912)</f>
        <v/>
      </c>
      <c r="C912">
        <f>IF(ISBLANK('ENGAGEMENTS 2026'!C912),"",'ENGAGEMENTS 2026'!E912)</f>
        <v/>
      </c>
      <c r="D912">
        <f>IF(ISBLANK('ENGAGEMENTS 2026'!C912),"",'ENGAGEMENTS 2026'!G912)</f>
        <v/>
      </c>
      <c r="E912">
        <f>IF(ISBLANK('ENGAGEMENTS 2026'!C912),"",'ENGAGEMENTS 2026'!I912)</f>
        <v/>
      </c>
      <c r="F912">
        <f>IF(ISBLANK('ENGAGEMENTS 2026'!C912),"",'ENGAGEMENTS 2026'!J912)</f>
        <v/>
      </c>
      <c r="G912">
        <f>IF(ISBLANK('ENGAGEMENTS 2026'!C912),"",'ENGAGEMENTS 2026'!M912)</f>
        <v/>
      </c>
      <c r="H912">
        <f>IF(ISBLANK('ENGAGEMENTS 2026'!C912),"",'ENGAGEMENTS 2026'!AF912)</f>
        <v/>
      </c>
      <c r="I912">
        <f>IF(ISBLANK('ENGAGEMENTS 2026'!C912),"",'ENGAGEMENTS 2026'!H912)</f>
        <v/>
      </c>
      <c r="J912" s="275">
        <f>IF(ISBLANK('ENGAGEMENTS 2026'!C912),"",IF(AND(OR($E912="INFRUCTUEUX",$E912="ANNULE"),$C912="AOO-M"),'ENGAGEMENTS 2026'!P912,IF($H912="EN COURS DE PREENGAGEMENT",'ENGAGEMENTS 2026'!O912,IF($H912="PREENGAGE",IF($E912="ATTRIBUE",'ENGAGEMENTS 2026'!AE912,'ENGAGEMENTS 2026'!O912),'ENGAGEMENTS 2026'!AE912))))</f>
        <v/>
      </c>
      <c r="K912" s="604">
        <f>IF(ISBLANK('ENGAGEMENTS 2026'!W912),"",'ENGAGEMENTS 2026'!W912)</f>
        <v/>
      </c>
      <c r="L912" s="276">
        <f>IF($K912="","",TODAY()-$K912)</f>
        <v/>
      </c>
      <c r="M912">
        <f>IF($A912="","",IF($H912="ENGAGE","Engagé",IF(AND($H912="NON ENGAGE",OR($I912="INFRUCTUEUX",$I912="ANNULE")),"Clôturé sans suite","En cours")))</f>
        <v/>
      </c>
      <c r="N912">
        <f>IF(ISBLANK('ENGAGEMENTS 2026'!C912),"",'ENGAGEMENTS 2026'!L912)</f>
        <v/>
      </c>
      <c r="O912">
        <f>IF(ISBLANK('ENGAGEMENTS 2026'!C912),"",'ENGAGEMENTS 2026'!M912)</f>
        <v/>
      </c>
      <c r="P912">
        <f>IF(ISBLANK('ENGAGEMENTS 2026'!C912),"",'ENGAGEMENTS 2026'!K912)</f>
        <v/>
      </c>
      <c r="Q912">
        <f>IF($A912="","",IF(OR($E912="INFRUCTUEUX",$E912="ANNULE"),$A912&amp;"|"&amp;(COUNTIFS($A$2:$A912,$A912,$E$2:$E912,"INFRUCTUEUX")+COUNTIFS($A$2:$A912,$A912,$E$2:$E912,"ANNULE")),""))</f>
        <v/>
      </c>
    </row>
    <row r="913">
      <c r="A913">
        <f>IF(ISBLANK('ENGAGEMENTS 2026'!C913),"",IF('ENGAGEMENTS 2026'!C913="DTSI","DCT",'ENGAGEMENTS 2026'!C913))</f>
        <v/>
      </c>
      <c r="B913">
        <f>IF(ISBLANK('ENGAGEMENTS 2026'!C913),"",'ENGAGEMENTS 2026'!D913)</f>
        <v/>
      </c>
      <c r="C913">
        <f>IF(ISBLANK('ENGAGEMENTS 2026'!C913),"",'ENGAGEMENTS 2026'!E913)</f>
        <v/>
      </c>
      <c r="D913">
        <f>IF(ISBLANK('ENGAGEMENTS 2026'!C913),"",'ENGAGEMENTS 2026'!G913)</f>
        <v/>
      </c>
      <c r="E913">
        <f>IF(ISBLANK('ENGAGEMENTS 2026'!C913),"",'ENGAGEMENTS 2026'!I913)</f>
        <v/>
      </c>
      <c r="F913">
        <f>IF(ISBLANK('ENGAGEMENTS 2026'!C913),"",'ENGAGEMENTS 2026'!J913)</f>
        <v/>
      </c>
      <c r="G913">
        <f>IF(ISBLANK('ENGAGEMENTS 2026'!C913),"",'ENGAGEMENTS 2026'!M913)</f>
        <v/>
      </c>
      <c r="H913">
        <f>IF(ISBLANK('ENGAGEMENTS 2026'!C913),"",'ENGAGEMENTS 2026'!AF913)</f>
        <v/>
      </c>
      <c r="I913">
        <f>IF(ISBLANK('ENGAGEMENTS 2026'!C913),"",'ENGAGEMENTS 2026'!H913)</f>
        <v/>
      </c>
      <c r="J913" s="275">
        <f>IF(ISBLANK('ENGAGEMENTS 2026'!C913),"",IF(AND(OR($E913="INFRUCTUEUX",$E913="ANNULE"),$C913="AOO-M"),'ENGAGEMENTS 2026'!P913,IF($H913="EN COURS DE PREENGAGEMENT",'ENGAGEMENTS 2026'!O913,IF($H913="PREENGAGE",IF($E913="ATTRIBUE",'ENGAGEMENTS 2026'!AE913,'ENGAGEMENTS 2026'!O913),'ENGAGEMENTS 2026'!AE913))))</f>
        <v/>
      </c>
      <c r="K913" s="604">
        <f>IF(ISBLANK('ENGAGEMENTS 2026'!W913),"",'ENGAGEMENTS 2026'!W913)</f>
        <v/>
      </c>
      <c r="L913" s="276">
        <f>IF($K913="","",TODAY()-$K913)</f>
        <v/>
      </c>
      <c r="M913">
        <f>IF($A913="","",IF($H913="ENGAGE","Engagé",IF(AND($H913="NON ENGAGE",OR($I913="INFRUCTUEUX",$I913="ANNULE")),"Clôturé sans suite","En cours")))</f>
        <v/>
      </c>
      <c r="N913">
        <f>IF(ISBLANK('ENGAGEMENTS 2026'!C913),"",'ENGAGEMENTS 2026'!L913)</f>
        <v/>
      </c>
      <c r="O913">
        <f>IF(ISBLANK('ENGAGEMENTS 2026'!C913),"",'ENGAGEMENTS 2026'!M913)</f>
        <v/>
      </c>
      <c r="P913">
        <f>IF(ISBLANK('ENGAGEMENTS 2026'!C913),"",'ENGAGEMENTS 2026'!K913)</f>
        <v/>
      </c>
      <c r="Q913">
        <f>IF($A913="","",IF(OR($E913="INFRUCTUEUX",$E913="ANNULE"),$A913&amp;"|"&amp;(COUNTIFS($A$2:$A913,$A913,$E$2:$E913,"INFRUCTUEUX")+COUNTIFS($A$2:$A913,$A913,$E$2:$E913,"ANNULE")),""))</f>
        <v/>
      </c>
    </row>
    <row r="914">
      <c r="A914">
        <f>IF(ISBLANK('ENGAGEMENTS 2026'!C914),"",IF('ENGAGEMENTS 2026'!C914="DTSI","DCT",'ENGAGEMENTS 2026'!C914))</f>
        <v/>
      </c>
      <c r="B914">
        <f>IF(ISBLANK('ENGAGEMENTS 2026'!C914),"",'ENGAGEMENTS 2026'!D914)</f>
        <v/>
      </c>
      <c r="C914">
        <f>IF(ISBLANK('ENGAGEMENTS 2026'!C914),"",'ENGAGEMENTS 2026'!E914)</f>
        <v/>
      </c>
      <c r="D914">
        <f>IF(ISBLANK('ENGAGEMENTS 2026'!C914),"",'ENGAGEMENTS 2026'!G914)</f>
        <v/>
      </c>
      <c r="E914">
        <f>IF(ISBLANK('ENGAGEMENTS 2026'!C914),"",'ENGAGEMENTS 2026'!I914)</f>
        <v/>
      </c>
      <c r="F914">
        <f>IF(ISBLANK('ENGAGEMENTS 2026'!C914),"",'ENGAGEMENTS 2026'!J914)</f>
        <v/>
      </c>
      <c r="G914">
        <f>IF(ISBLANK('ENGAGEMENTS 2026'!C914),"",'ENGAGEMENTS 2026'!M914)</f>
        <v/>
      </c>
      <c r="H914">
        <f>IF(ISBLANK('ENGAGEMENTS 2026'!C914),"",'ENGAGEMENTS 2026'!AF914)</f>
        <v/>
      </c>
      <c r="I914">
        <f>IF(ISBLANK('ENGAGEMENTS 2026'!C914),"",'ENGAGEMENTS 2026'!H914)</f>
        <v/>
      </c>
      <c r="J914" s="275">
        <f>IF(ISBLANK('ENGAGEMENTS 2026'!C914),"",IF(AND(OR($E914="INFRUCTUEUX",$E914="ANNULE"),$C914="AOO-M"),'ENGAGEMENTS 2026'!P914,IF($H914="EN COURS DE PREENGAGEMENT",'ENGAGEMENTS 2026'!O914,IF($H914="PREENGAGE",IF($E914="ATTRIBUE",'ENGAGEMENTS 2026'!AE914,'ENGAGEMENTS 2026'!O914),'ENGAGEMENTS 2026'!AE914))))</f>
        <v/>
      </c>
      <c r="K914" s="604">
        <f>IF(ISBLANK('ENGAGEMENTS 2026'!W914),"",'ENGAGEMENTS 2026'!W914)</f>
        <v/>
      </c>
      <c r="L914" s="276">
        <f>IF($K914="","",TODAY()-$K914)</f>
        <v/>
      </c>
      <c r="M914">
        <f>IF($A914="","",IF($H914="ENGAGE","Engagé",IF(AND($H914="NON ENGAGE",OR($I914="INFRUCTUEUX",$I914="ANNULE")),"Clôturé sans suite","En cours")))</f>
        <v/>
      </c>
      <c r="N914">
        <f>IF(ISBLANK('ENGAGEMENTS 2026'!C914),"",'ENGAGEMENTS 2026'!L914)</f>
        <v/>
      </c>
      <c r="O914">
        <f>IF(ISBLANK('ENGAGEMENTS 2026'!C914),"",'ENGAGEMENTS 2026'!M914)</f>
        <v/>
      </c>
      <c r="P914">
        <f>IF(ISBLANK('ENGAGEMENTS 2026'!C914),"",'ENGAGEMENTS 2026'!K914)</f>
        <v/>
      </c>
      <c r="Q914">
        <f>IF($A914="","",IF(OR($E914="INFRUCTUEUX",$E914="ANNULE"),$A914&amp;"|"&amp;(COUNTIFS($A$2:$A914,$A914,$E$2:$E914,"INFRUCTUEUX")+COUNTIFS($A$2:$A914,$A914,$E$2:$E914,"ANNULE")),""))</f>
        <v/>
      </c>
    </row>
    <row r="915">
      <c r="A915">
        <f>IF(ISBLANK('ENGAGEMENTS 2026'!C915),"",IF('ENGAGEMENTS 2026'!C915="DTSI","DCT",'ENGAGEMENTS 2026'!C915))</f>
        <v/>
      </c>
      <c r="B915">
        <f>IF(ISBLANK('ENGAGEMENTS 2026'!C915),"",'ENGAGEMENTS 2026'!D915)</f>
        <v/>
      </c>
      <c r="C915">
        <f>IF(ISBLANK('ENGAGEMENTS 2026'!C915),"",'ENGAGEMENTS 2026'!E915)</f>
        <v/>
      </c>
      <c r="D915">
        <f>IF(ISBLANK('ENGAGEMENTS 2026'!C915),"",'ENGAGEMENTS 2026'!G915)</f>
        <v/>
      </c>
      <c r="E915">
        <f>IF(ISBLANK('ENGAGEMENTS 2026'!C915),"",'ENGAGEMENTS 2026'!I915)</f>
        <v/>
      </c>
      <c r="F915">
        <f>IF(ISBLANK('ENGAGEMENTS 2026'!C915),"",'ENGAGEMENTS 2026'!J915)</f>
        <v/>
      </c>
      <c r="G915">
        <f>IF(ISBLANK('ENGAGEMENTS 2026'!C915),"",'ENGAGEMENTS 2026'!M915)</f>
        <v/>
      </c>
      <c r="H915">
        <f>IF(ISBLANK('ENGAGEMENTS 2026'!C915),"",'ENGAGEMENTS 2026'!AF915)</f>
        <v/>
      </c>
      <c r="I915">
        <f>IF(ISBLANK('ENGAGEMENTS 2026'!C915),"",'ENGAGEMENTS 2026'!H915)</f>
        <v/>
      </c>
      <c r="J915" s="275">
        <f>IF(ISBLANK('ENGAGEMENTS 2026'!C915),"",IF(AND(OR($E915="INFRUCTUEUX",$E915="ANNULE"),$C915="AOO-M"),'ENGAGEMENTS 2026'!P915,IF($H915="EN COURS DE PREENGAGEMENT",'ENGAGEMENTS 2026'!O915,IF($H915="PREENGAGE",IF($E915="ATTRIBUE",'ENGAGEMENTS 2026'!AE915,'ENGAGEMENTS 2026'!O915),'ENGAGEMENTS 2026'!AE915))))</f>
        <v/>
      </c>
      <c r="K915" s="604">
        <f>IF(ISBLANK('ENGAGEMENTS 2026'!W915),"",'ENGAGEMENTS 2026'!W915)</f>
        <v/>
      </c>
      <c r="L915" s="276">
        <f>IF($K915="","",TODAY()-$K915)</f>
        <v/>
      </c>
      <c r="M915">
        <f>IF($A915="","",IF($H915="ENGAGE","Engagé",IF(AND($H915="NON ENGAGE",OR($I915="INFRUCTUEUX",$I915="ANNULE")),"Clôturé sans suite","En cours")))</f>
        <v/>
      </c>
      <c r="N915">
        <f>IF(ISBLANK('ENGAGEMENTS 2026'!C915),"",'ENGAGEMENTS 2026'!L915)</f>
        <v/>
      </c>
      <c r="O915">
        <f>IF(ISBLANK('ENGAGEMENTS 2026'!C915),"",'ENGAGEMENTS 2026'!M915)</f>
        <v/>
      </c>
      <c r="P915">
        <f>IF(ISBLANK('ENGAGEMENTS 2026'!C915),"",'ENGAGEMENTS 2026'!K915)</f>
        <v/>
      </c>
      <c r="Q915">
        <f>IF($A915="","",IF(OR($E915="INFRUCTUEUX",$E915="ANNULE"),$A915&amp;"|"&amp;(COUNTIFS($A$2:$A915,$A915,$E$2:$E915,"INFRUCTUEUX")+COUNTIFS($A$2:$A915,$A915,$E$2:$E915,"ANNULE")),""))</f>
        <v/>
      </c>
    </row>
    <row r="916">
      <c r="A916">
        <f>IF(ISBLANK('ENGAGEMENTS 2026'!C916),"",IF('ENGAGEMENTS 2026'!C916="DTSI","DCT",'ENGAGEMENTS 2026'!C916))</f>
        <v/>
      </c>
      <c r="B916">
        <f>IF(ISBLANK('ENGAGEMENTS 2026'!C916),"",'ENGAGEMENTS 2026'!D916)</f>
        <v/>
      </c>
      <c r="C916">
        <f>IF(ISBLANK('ENGAGEMENTS 2026'!C916),"",'ENGAGEMENTS 2026'!E916)</f>
        <v/>
      </c>
      <c r="D916">
        <f>IF(ISBLANK('ENGAGEMENTS 2026'!C916),"",'ENGAGEMENTS 2026'!G916)</f>
        <v/>
      </c>
      <c r="E916">
        <f>IF(ISBLANK('ENGAGEMENTS 2026'!C916),"",'ENGAGEMENTS 2026'!I916)</f>
        <v/>
      </c>
      <c r="F916">
        <f>IF(ISBLANK('ENGAGEMENTS 2026'!C916),"",'ENGAGEMENTS 2026'!J916)</f>
        <v/>
      </c>
      <c r="G916">
        <f>IF(ISBLANK('ENGAGEMENTS 2026'!C916),"",'ENGAGEMENTS 2026'!M916)</f>
        <v/>
      </c>
      <c r="H916">
        <f>IF(ISBLANK('ENGAGEMENTS 2026'!C916),"",'ENGAGEMENTS 2026'!AF916)</f>
        <v/>
      </c>
      <c r="I916">
        <f>IF(ISBLANK('ENGAGEMENTS 2026'!C916),"",'ENGAGEMENTS 2026'!H916)</f>
        <v/>
      </c>
      <c r="J916" s="275">
        <f>IF(ISBLANK('ENGAGEMENTS 2026'!C916),"",IF(AND(OR($E916="INFRUCTUEUX",$E916="ANNULE"),$C916="AOO-M"),'ENGAGEMENTS 2026'!P916,IF($H916="EN COURS DE PREENGAGEMENT",'ENGAGEMENTS 2026'!O916,IF($H916="PREENGAGE",IF($E916="ATTRIBUE",'ENGAGEMENTS 2026'!AE916,'ENGAGEMENTS 2026'!O916),'ENGAGEMENTS 2026'!AE916))))</f>
        <v/>
      </c>
      <c r="K916" s="604">
        <f>IF(ISBLANK('ENGAGEMENTS 2026'!W916),"",'ENGAGEMENTS 2026'!W916)</f>
        <v/>
      </c>
      <c r="L916" s="276">
        <f>IF($K916="","",TODAY()-$K916)</f>
        <v/>
      </c>
      <c r="M916">
        <f>IF($A916="","",IF($H916="ENGAGE","Engagé",IF(AND($H916="NON ENGAGE",OR($I916="INFRUCTUEUX",$I916="ANNULE")),"Clôturé sans suite","En cours")))</f>
        <v/>
      </c>
      <c r="N916">
        <f>IF(ISBLANK('ENGAGEMENTS 2026'!C916),"",'ENGAGEMENTS 2026'!L916)</f>
        <v/>
      </c>
      <c r="O916">
        <f>IF(ISBLANK('ENGAGEMENTS 2026'!C916),"",'ENGAGEMENTS 2026'!M916)</f>
        <v/>
      </c>
      <c r="P916">
        <f>IF(ISBLANK('ENGAGEMENTS 2026'!C916),"",'ENGAGEMENTS 2026'!K916)</f>
        <v/>
      </c>
      <c r="Q916">
        <f>IF($A916="","",IF(OR($E916="INFRUCTUEUX",$E916="ANNULE"),$A916&amp;"|"&amp;(COUNTIFS($A$2:$A916,$A916,$E$2:$E916,"INFRUCTUEUX")+COUNTIFS($A$2:$A916,$A916,$E$2:$E916,"ANNULE")),""))</f>
        <v/>
      </c>
    </row>
    <row r="917">
      <c r="A917">
        <f>IF(ISBLANK('ENGAGEMENTS 2026'!C917),"",IF('ENGAGEMENTS 2026'!C917="DTSI","DCT",'ENGAGEMENTS 2026'!C917))</f>
        <v/>
      </c>
      <c r="B917">
        <f>IF(ISBLANK('ENGAGEMENTS 2026'!C917),"",'ENGAGEMENTS 2026'!D917)</f>
        <v/>
      </c>
      <c r="C917">
        <f>IF(ISBLANK('ENGAGEMENTS 2026'!C917),"",'ENGAGEMENTS 2026'!E917)</f>
        <v/>
      </c>
      <c r="D917">
        <f>IF(ISBLANK('ENGAGEMENTS 2026'!C917),"",'ENGAGEMENTS 2026'!G917)</f>
        <v/>
      </c>
      <c r="E917">
        <f>IF(ISBLANK('ENGAGEMENTS 2026'!C917),"",'ENGAGEMENTS 2026'!I917)</f>
        <v/>
      </c>
      <c r="F917">
        <f>IF(ISBLANK('ENGAGEMENTS 2026'!C917),"",'ENGAGEMENTS 2026'!J917)</f>
        <v/>
      </c>
      <c r="G917">
        <f>IF(ISBLANK('ENGAGEMENTS 2026'!C917),"",'ENGAGEMENTS 2026'!M917)</f>
        <v/>
      </c>
      <c r="H917">
        <f>IF(ISBLANK('ENGAGEMENTS 2026'!C917),"",'ENGAGEMENTS 2026'!AF917)</f>
        <v/>
      </c>
      <c r="I917">
        <f>IF(ISBLANK('ENGAGEMENTS 2026'!C917),"",'ENGAGEMENTS 2026'!H917)</f>
        <v/>
      </c>
      <c r="J917" s="275">
        <f>IF(ISBLANK('ENGAGEMENTS 2026'!C917),"",IF(AND(OR($E917="INFRUCTUEUX",$E917="ANNULE"),$C917="AOO-M"),'ENGAGEMENTS 2026'!P917,IF($H917="EN COURS DE PREENGAGEMENT",'ENGAGEMENTS 2026'!O917,IF($H917="PREENGAGE",IF($E917="ATTRIBUE",'ENGAGEMENTS 2026'!AE917,'ENGAGEMENTS 2026'!O917),'ENGAGEMENTS 2026'!AE917))))</f>
        <v/>
      </c>
      <c r="K917" s="604">
        <f>IF(ISBLANK('ENGAGEMENTS 2026'!W917),"",'ENGAGEMENTS 2026'!W917)</f>
        <v/>
      </c>
      <c r="L917" s="276">
        <f>IF($K917="","",TODAY()-$K917)</f>
        <v/>
      </c>
      <c r="M917">
        <f>IF($A917="","",IF($H917="ENGAGE","Engagé",IF(AND($H917="NON ENGAGE",OR($I917="INFRUCTUEUX",$I917="ANNULE")),"Clôturé sans suite","En cours")))</f>
        <v/>
      </c>
      <c r="N917">
        <f>IF(ISBLANK('ENGAGEMENTS 2026'!C917),"",'ENGAGEMENTS 2026'!L917)</f>
        <v/>
      </c>
      <c r="O917">
        <f>IF(ISBLANK('ENGAGEMENTS 2026'!C917),"",'ENGAGEMENTS 2026'!M917)</f>
        <v/>
      </c>
      <c r="P917">
        <f>IF(ISBLANK('ENGAGEMENTS 2026'!C917),"",'ENGAGEMENTS 2026'!K917)</f>
        <v/>
      </c>
      <c r="Q917">
        <f>IF($A917="","",IF(OR($E917="INFRUCTUEUX",$E917="ANNULE"),$A917&amp;"|"&amp;(COUNTIFS($A$2:$A917,$A917,$E$2:$E917,"INFRUCTUEUX")+COUNTIFS($A$2:$A917,$A917,$E$2:$E917,"ANNULE")),""))</f>
        <v/>
      </c>
    </row>
    <row r="918">
      <c r="A918">
        <f>IF(ISBLANK('ENGAGEMENTS 2026'!C918),"",IF('ENGAGEMENTS 2026'!C918="DTSI","DCT",'ENGAGEMENTS 2026'!C918))</f>
        <v/>
      </c>
      <c r="B918">
        <f>IF(ISBLANK('ENGAGEMENTS 2026'!C918),"",'ENGAGEMENTS 2026'!D918)</f>
        <v/>
      </c>
      <c r="C918">
        <f>IF(ISBLANK('ENGAGEMENTS 2026'!C918),"",'ENGAGEMENTS 2026'!E918)</f>
        <v/>
      </c>
      <c r="D918">
        <f>IF(ISBLANK('ENGAGEMENTS 2026'!C918),"",'ENGAGEMENTS 2026'!G918)</f>
        <v/>
      </c>
      <c r="E918">
        <f>IF(ISBLANK('ENGAGEMENTS 2026'!C918),"",'ENGAGEMENTS 2026'!I918)</f>
        <v/>
      </c>
      <c r="F918">
        <f>IF(ISBLANK('ENGAGEMENTS 2026'!C918),"",'ENGAGEMENTS 2026'!J918)</f>
        <v/>
      </c>
      <c r="G918">
        <f>IF(ISBLANK('ENGAGEMENTS 2026'!C918),"",'ENGAGEMENTS 2026'!M918)</f>
        <v/>
      </c>
      <c r="H918">
        <f>IF(ISBLANK('ENGAGEMENTS 2026'!C918),"",'ENGAGEMENTS 2026'!AF918)</f>
        <v/>
      </c>
      <c r="I918">
        <f>IF(ISBLANK('ENGAGEMENTS 2026'!C918),"",'ENGAGEMENTS 2026'!H918)</f>
        <v/>
      </c>
      <c r="J918" s="275">
        <f>IF(ISBLANK('ENGAGEMENTS 2026'!C918),"",IF(AND(OR($E918="INFRUCTUEUX",$E918="ANNULE"),$C918="AOO-M"),'ENGAGEMENTS 2026'!P918,IF($H918="EN COURS DE PREENGAGEMENT",'ENGAGEMENTS 2026'!O918,IF($H918="PREENGAGE",IF($E918="ATTRIBUE",'ENGAGEMENTS 2026'!AE918,'ENGAGEMENTS 2026'!O918),'ENGAGEMENTS 2026'!AE918))))</f>
        <v/>
      </c>
      <c r="K918" s="604">
        <f>IF(ISBLANK('ENGAGEMENTS 2026'!W918),"",'ENGAGEMENTS 2026'!W918)</f>
        <v/>
      </c>
      <c r="L918" s="276">
        <f>IF($K918="","",TODAY()-$K918)</f>
        <v/>
      </c>
      <c r="M918">
        <f>IF($A918="","",IF($H918="ENGAGE","Engagé",IF(AND($H918="NON ENGAGE",OR($I918="INFRUCTUEUX",$I918="ANNULE")),"Clôturé sans suite","En cours")))</f>
        <v/>
      </c>
      <c r="N918">
        <f>IF(ISBLANK('ENGAGEMENTS 2026'!C918),"",'ENGAGEMENTS 2026'!L918)</f>
        <v/>
      </c>
      <c r="O918">
        <f>IF(ISBLANK('ENGAGEMENTS 2026'!C918),"",'ENGAGEMENTS 2026'!M918)</f>
        <v/>
      </c>
      <c r="P918">
        <f>IF(ISBLANK('ENGAGEMENTS 2026'!C918),"",'ENGAGEMENTS 2026'!K918)</f>
        <v/>
      </c>
      <c r="Q918">
        <f>IF($A918="","",IF(OR($E918="INFRUCTUEUX",$E918="ANNULE"),$A918&amp;"|"&amp;(COUNTIFS($A$2:$A918,$A918,$E$2:$E918,"INFRUCTUEUX")+COUNTIFS($A$2:$A918,$A918,$E$2:$E918,"ANNULE")),""))</f>
        <v/>
      </c>
    </row>
    <row r="919">
      <c r="A919">
        <f>IF(ISBLANK('ENGAGEMENTS 2026'!C919),"",IF('ENGAGEMENTS 2026'!C919="DTSI","DCT",'ENGAGEMENTS 2026'!C919))</f>
        <v/>
      </c>
      <c r="B919">
        <f>IF(ISBLANK('ENGAGEMENTS 2026'!C919),"",'ENGAGEMENTS 2026'!D919)</f>
        <v/>
      </c>
      <c r="C919">
        <f>IF(ISBLANK('ENGAGEMENTS 2026'!C919),"",'ENGAGEMENTS 2026'!E919)</f>
        <v/>
      </c>
      <c r="D919">
        <f>IF(ISBLANK('ENGAGEMENTS 2026'!C919),"",'ENGAGEMENTS 2026'!G919)</f>
        <v/>
      </c>
      <c r="E919">
        <f>IF(ISBLANK('ENGAGEMENTS 2026'!C919),"",'ENGAGEMENTS 2026'!I919)</f>
        <v/>
      </c>
      <c r="F919">
        <f>IF(ISBLANK('ENGAGEMENTS 2026'!C919),"",'ENGAGEMENTS 2026'!J919)</f>
        <v/>
      </c>
      <c r="G919">
        <f>IF(ISBLANK('ENGAGEMENTS 2026'!C919),"",'ENGAGEMENTS 2026'!M919)</f>
        <v/>
      </c>
      <c r="H919">
        <f>IF(ISBLANK('ENGAGEMENTS 2026'!C919),"",'ENGAGEMENTS 2026'!AF919)</f>
        <v/>
      </c>
      <c r="I919">
        <f>IF(ISBLANK('ENGAGEMENTS 2026'!C919),"",'ENGAGEMENTS 2026'!H919)</f>
        <v/>
      </c>
      <c r="J919" s="275">
        <f>IF(ISBLANK('ENGAGEMENTS 2026'!C919),"",IF(AND(OR($E919="INFRUCTUEUX",$E919="ANNULE"),$C919="AOO-M"),'ENGAGEMENTS 2026'!P919,IF($H919="EN COURS DE PREENGAGEMENT",'ENGAGEMENTS 2026'!O919,IF($H919="PREENGAGE",IF($E919="ATTRIBUE",'ENGAGEMENTS 2026'!AE919,'ENGAGEMENTS 2026'!O919),'ENGAGEMENTS 2026'!AE919))))</f>
        <v/>
      </c>
      <c r="K919" s="604">
        <f>IF(ISBLANK('ENGAGEMENTS 2026'!W919),"",'ENGAGEMENTS 2026'!W919)</f>
        <v/>
      </c>
      <c r="L919" s="276">
        <f>IF($K919="","",TODAY()-$K919)</f>
        <v/>
      </c>
      <c r="M919">
        <f>IF($A919="","",IF($H919="ENGAGE","Engagé",IF(AND($H919="NON ENGAGE",OR($I919="INFRUCTUEUX",$I919="ANNULE")),"Clôturé sans suite","En cours")))</f>
        <v/>
      </c>
      <c r="N919">
        <f>IF(ISBLANK('ENGAGEMENTS 2026'!C919),"",'ENGAGEMENTS 2026'!L919)</f>
        <v/>
      </c>
      <c r="O919">
        <f>IF(ISBLANK('ENGAGEMENTS 2026'!C919),"",'ENGAGEMENTS 2026'!M919)</f>
        <v/>
      </c>
      <c r="P919">
        <f>IF(ISBLANK('ENGAGEMENTS 2026'!C919),"",'ENGAGEMENTS 2026'!K919)</f>
        <v/>
      </c>
      <c r="Q919">
        <f>IF($A919="","",IF(OR($E919="INFRUCTUEUX",$E919="ANNULE"),$A919&amp;"|"&amp;(COUNTIFS($A$2:$A919,$A919,$E$2:$E919,"INFRUCTUEUX")+COUNTIFS($A$2:$A919,$A919,$E$2:$E919,"ANNULE")),""))</f>
        <v/>
      </c>
    </row>
    <row r="920">
      <c r="A920">
        <f>IF(ISBLANK('ENGAGEMENTS 2026'!C920),"",IF('ENGAGEMENTS 2026'!C920="DTSI","DCT",'ENGAGEMENTS 2026'!C920))</f>
        <v/>
      </c>
      <c r="B920">
        <f>IF(ISBLANK('ENGAGEMENTS 2026'!C920),"",'ENGAGEMENTS 2026'!D920)</f>
        <v/>
      </c>
      <c r="C920">
        <f>IF(ISBLANK('ENGAGEMENTS 2026'!C920),"",'ENGAGEMENTS 2026'!E920)</f>
        <v/>
      </c>
      <c r="D920">
        <f>IF(ISBLANK('ENGAGEMENTS 2026'!C920),"",'ENGAGEMENTS 2026'!G920)</f>
        <v/>
      </c>
      <c r="E920">
        <f>IF(ISBLANK('ENGAGEMENTS 2026'!C920),"",'ENGAGEMENTS 2026'!I920)</f>
        <v/>
      </c>
      <c r="F920">
        <f>IF(ISBLANK('ENGAGEMENTS 2026'!C920),"",'ENGAGEMENTS 2026'!J920)</f>
        <v/>
      </c>
      <c r="G920">
        <f>IF(ISBLANK('ENGAGEMENTS 2026'!C920),"",'ENGAGEMENTS 2026'!M920)</f>
        <v/>
      </c>
      <c r="H920">
        <f>IF(ISBLANK('ENGAGEMENTS 2026'!C920),"",'ENGAGEMENTS 2026'!AF920)</f>
        <v/>
      </c>
      <c r="I920">
        <f>IF(ISBLANK('ENGAGEMENTS 2026'!C920),"",'ENGAGEMENTS 2026'!H920)</f>
        <v/>
      </c>
      <c r="J920" s="275">
        <f>IF(ISBLANK('ENGAGEMENTS 2026'!C920),"",IF(AND(OR($E920="INFRUCTUEUX",$E920="ANNULE"),$C920="AOO-M"),'ENGAGEMENTS 2026'!P920,IF($H920="EN COURS DE PREENGAGEMENT",'ENGAGEMENTS 2026'!O920,IF($H920="PREENGAGE",IF($E920="ATTRIBUE",'ENGAGEMENTS 2026'!AE920,'ENGAGEMENTS 2026'!O920),'ENGAGEMENTS 2026'!AE920))))</f>
        <v/>
      </c>
      <c r="K920" s="604">
        <f>IF(ISBLANK('ENGAGEMENTS 2026'!W920),"",'ENGAGEMENTS 2026'!W920)</f>
        <v/>
      </c>
      <c r="L920" s="276">
        <f>IF($K920="","",TODAY()-$K920)</f>
        <v/>
      </c>
      <c r="M920">
        <f>IF($A920="","",IF($H920="ENGAGE","Engagé",IF(AND($H920="NON ENGAGE",OR($I920="INFRUCTUEUX",$I920="ANNULE")),"Clôturé sans suite","En cours")))</f>
        <v/>
      </c>
      <c r="N920">
        <f>IF(ISBLANK('ENGAGEMENTS 2026'!C920),"",'ENGAGEMENTS 2026'!L920)</f>
        <v/>
      </c>
      <c r="O920">
        <f>IF(ISBLANK('ENGAGEMENTS 2026'!C920),"",'ENGAGEMENTS 2026'!M920)</f>
        <v/>
      </c>
      <c r="P920">
        <f>IF(ISBLANK('ENGAGEMENTS 2026'!C920),"",'ENGAGEMENTS 2026'!K920)</f>
        <v/>
      </c>
      <c r="Q920">
        <f>IF($A920="","",IF(OR($E920="INFRUCTUEUX",$E920="ANNULE"),$A920&amp;"|"&amp;(COUNTIFS($A$2:$A920,$A920,$E$2:$E920,"INFRUCTUEUX")+COUNTIFS($A$2:$A920,$A920,$E$2:$E920,"ANNULE")),""))</f>
        <v/>
      </c>
    </row>
    <row r="921">
      <c r="A921">
        <f>IF(ISBLANK('ENGAGEMENTS 2026'!C921),"",IF('ENGAGEMENTS 2026'!C921="DTSI","DCT",'ENGAGEMENTS 2026'!C921))</f>
        <v/>
      </c>
      <c r="B921">
        <f>IF(ISBLANK('ENGAGEMENTS 2026'!C921),"",'ENGAGEMENTS 2026'!D921)</f>
        <v/>
      </c>
      <c r="C921">
        <f>IF(ISBLANK('ENGAGEMENTS 2026'!C921),"",'ENGAGEMENTS 2026'!E921)</f>
        <v/>
      </c>
      <c r="D921">
        <f>IF(ISBLANK('ENGAGEMENTS 2026'!C921),"",'ENGAGEMENTS 2026'!G921)</f>
        <v/>
      </c>
      <c r="E921">
        <f>IF(ISBLANK('ENGAGEMENTS 2026'!C921),"",'ENGAGEMENTS 2026'!I921)</f>
        <v/>
      </c>
      <c r="F921">
        <f>IF(ISBLANK('ENGAGEMENTS 2026'!C921),"",'ENGAGEMENTS 2026'!J921)</f>
        <v/>
      </c>
      <c r="G921">
        <f>IF(ISBLANK('ENGAGEMENTS 2026'!C921),"",'ENGAGEMENTS 2026'!M921)</f>
        <v/>
      </c>
      <c r="H921">
        <f>IF(ISBLANK('ENGAGEMENTS 2026'!C921),"",'ENGAGEMENTS 2026'!AF921)</f>
        <v/>
      </c>
      <c r="I921">
        <f>IF(ISBLANK('ENGAGEMENTS 2026'!C921),"",'ENGAGEMENTS 2026'!H921)</f>
        <v/>
      </c>
      <c r="J921" s="275">
        <f>IF(ISBLANK('ENGAGEMENTS 2026'!C921),"",IF(AND(OR($E921="INFRUCTUEUX",$E921="ANNULE"),$C921="AOO-M"),'ENGAGEMENTS 2026'!P921,IF($H921="EN COURS DE PREENGAGEMENT",'ENGAGEMENTS 2026'!O921,IF($H921="PREENGAGE",IF($E921="ATTRIBUE",'ENGAGEMENTS 2026'!AE921,'ENGAGEMENTS 2026'!O921),'ENGAGEMENTS 2026'!AE921))))</f>
        <v/>
      </c>
      <c r="K921" s="604">
        <f>IF(ISBLANK('ENGAGEMENTS 2026'!W921),"",'ENGAGEMENTS 2026'!W921)</f>
        <v/>
      </c>
      <c r="L921" s="276">
        <f>IF($K921="","",TODAY()-$K921)</f>
        <v/>
      </c>
      <c r="M921">
        <f>IF($A921="","",IF($H921="ENGAGE","Engagé",IF(AND($H921="NON ENGAGE",OR($I921="INFRUCTUEUX",$I921="ANNULE")),"Clôturé sans suite","En cours")))</f>
        <v/>
      </c>
      <c r="N921">
        <f>IF(ISBLANK('ENGAGEMENTS 2026'!C921),"",'ENGAGEMENTS 2026'!L921)</f>
        <v/>
      </c>
      <c r="O921">
        <f>IF(ISBLANK('ENGAGEMENTS 2026'!C921),"",'ENGAGEMENTS 2026'!M921)</f>
        <v/>
      </c>
      <c r="P921">
        <f>IF(ISBLANK('ENGAGEMENTS 2026'!C921),"",'ENGAGEMENTS 2026'!K921)</f>
        <v/>
      </c>
      <c r="Q921">
        <f>IF($A921="","",IF(OR($E921="INFRUCTUEUX",$E921="ANNULE"),$A921&amp;"|"&amp;(COUNTIFS($A$2:$A921,$A921,$E$2:$E921,"INFRUCTUEUX")+COUNTIFS($A$2:$A921,$A921,$E$2:$E921,"ANNULE")),""))</f>
        <v/>
      </c>
    </row>
    <row r="922">
      <c r="A922">
        <f>IF(ISBLANK('ENGAGEMENTS 2026'!C922),"",IF('ENGAGEMENTS 2026'!C922="DTSI","DCT",'ENGAGEMENTS 2026'!C922))</f>
        <v/>
      </c>
      <c r="B922">
        <f>IF(ISBLANK('ENGAGEMENTS 2026'!C922),"",'ENGAGEMENTS 2026'!D922)</f>
        <v/>
      </c>
      <c r="C922">
        <f>IF(ISBLANK('ENGAGEMENTS 2026'!C922),"",'ENGAGEMENTS 2026'!E922)</f>
        <v/>
      </c>
      <c r="D922">
        <f>IF(ISBLANK('ENGAGEMENTS 2026'!C922),"",'ENGAGEMENTS 2026'!G922)</f>
        <v/>
      </c>
      <c r="E922">
        <f>IF(ISBLANK('ENGAGEMENTS 2026'!C922),"",'ENGAGEMENTS 2026'!I922)</f>
        <v/>
      </c>
      <c r="F922">
        <f>IF(ISBLANK('ENGAGEMENTS 2026'!C922),"",'ENGAGEMENTS 2026'!J922)</f>
        <v/>
      </c>
      <c r="G922">
        <f>IF(ISBLANK('ENGAGEMENTS 2026'!C922),"",'ENGAGEMENTS 2026'!M922)</f>
        <v/>
      </c>
      <c r="H922">
        <f>IF(ISBLANK('ENGAGEMENTS 2026'!C922),"",'ENGAGEMENTS 2026'!AF922)</f>
        <v/>
      </c>
      <c r="I922">
        <f>IF(ISBLANK('ENGAGEMENTS 2026'!C922),"",'ENGAGEMENTS 2026'!H922)</f>
        <v/>
      </c>
      <c r="J922" s="275">
        <f>IF(ISBLANK('ENGAGEMENTS 2026'!C922),"",IF(AND(OR($E922="INFRUCTUEUX",$E922="ANNULE"),$C922="AOO-M"),'ENGAGEMENTS 2026'!P922,IF($H922="EN COURS DE PREENGAGEMENT",'ENGAGEMENTS 2026'!O922,IF($H922="PREENGAGE",IF($E922="ATTRIBUE",'ENGAGEMENTS 2026'!AE922,'ENGAGEMENTS 2026'!O922),'ENGAGEMENTS 2026'!AE922))))</f>
        <v/>
      </c>
      <c r="K922" s="604">
        <f>IF(ISBLANK('ENGAGEMENTS 2026'!W922),"",'ENGAGEMENTS 2026'!W922)</f>
        <v/>
      </c>
      <c r="L922" s="276">
        <f>IF($K922="","",TODAY()-$K922)</f>
        <v/>
      </c>
      <c r="M922">
        <f>IF($A922="","",IF($H922="ENGAGE","Engagé",IF(AND($H922="NON ENGAGE",OR($I922="INFRUCTUEUX",$I922="ANNULE")),"Clôturé sans suite","En cours")))</f>
        <v/>
      </c>
      <c r="N922">
        <f>IF(ISBLANK('ENGAGEMENTS 2026'!C922),"",'ENGAGEMENTS 2026'!L922)</f>
        <v/>
      </c>
      <c r="O922">
        <f>IF(ISBLANK('ENGAGEMENTS 2026'!C922),"",'ENGAGEMENTS 2026'!M922)</f>
        <v/>
      </c>
      <c r="P922">
        <f>IF(ISBLANK('ENGAGEMENTS 2026'!C922),"",'ENGAGEMENTS 2026'!K922)</f>
        <v/>
      </c>
      <c r="Q922">
        <f>IF($A922="","",IF(OR($E922="INFRUCTUEUX",$E922="ANNULE"),$A922&amp;"|"&amp;(COUNTIFS($A$2:$A922,$A922,$E$2:$E922,"INFRUCTUEUX")+COUNTIFS($A$2:$A922,$A922,$E$2:$E922,"ANNULE")),""))</f>
        <v/>
      </c>
    </row>
    <row r="923">
      <c r="A923">
        <f>IF(ISBLANK('ENGAGEMENTS 2026'!C923),"",IF('ENGAGEMENTS 2026'!C923="DTSI","DCT",'ENGAGEMENTS 2026'!C923))</f>
        <v/>
      </c>
      <c r="B923">
        <f>IF(ISBLANK('ENGAGEMENTS 2026'!C923),"",'ENGAGEMENTS 2026'!D923)</f>
        <v/>
      </c>
      <c r="C923">
        <f>IF(ISBLANK('ENGAGEMENTS 2026'!C923),"",'ENGAGEMENTS 2026'!E923)</f>
        <v/>
      </c>
      <c r="D923">
        <f>IF(ISBLANK('ENGAGEMENTS 2026'!C923),"",'ENGAGEMENTS 2026'!G923)</f>
        <v/>
      </c>
      <c r="E923">
        <f>IF(ISBLANK('ENGAGEMENTS 2026'!C923),"",'ENGAGEMENTS 2026'!I923)</f>
        <v/>
      </c>
      <c r="F923">
        <f>IF(ISBLANK('ENGAGEMENTS 2026'!C923),"",'ENGAGEMENTS 2026'!J923)</f>
        <v/>
      </c>
      <c r="G923">
        <f>IF(ISBLANK('ENGAGEMENTS 2026'!C923),"",'ENGAGEMENTS 2026'!M923)</f>
        <v/>
      </c>
      <c r="H923">
        <f>IF(ISBLANK('ENGAGEMENTS 2026'!C923),"",'ENGAGEMENTS 2026'!AF923)</f>
        <v/>
      </c>
      <c r="I923">
        <f>IF(ISBLANK('ENGAGEMENTS 2026'!C923),"",'ENGAGEMENTS 2026'!H923)</f>
        <v/>
      </c>
      <c r="J923" s="275">
        <f>IF(ISBLANK('ENGAGEMENTS 2026'!C923),"",IF(AND(OR($E923="INFRUCTUEUX",$E923="ANNULE"),$C923="AOO-M"),'ENGAGEMENTS 2026'!P923,IF($H923="EN COURS DE PREENGAGEMENT",'ENGAGEMENTS 2026'!O923,IF($H923="PREENGAGE",IF($E923="ATTRIBUE",'ENGAGEMENTS 2026'!AE923,'ENGAGEMENTS 2026'!O923),'ENGAGEMENTS 2026'!AE923))))</f>
        <v/>
      </c>
      <c r="K923" s="604">
        <f>IF(ISBLANK('ENGAGEMENTS 2026'!W923),"",'ENGAGEMENTS 2026'!W923)</f>
        <v/>
      </c>
      <c r="L923" s="276">
        <f>IF($K923="","",TODAY()-$K923)</f>
        <v/>
      </c>
      <c r="M923">
        <f>IF($A923="","",IF($H923="ENGAGE","Engagé",IF(AND($H923="NON ENGAGE",OR($I923="INFRUCTUEUX",$I923="ANNULE")),"Clôturé sans suite","En cours")))</f>
        <v/>
      </c>
      <c r="N923">
        <f>IF(ISBLANK('ENGAGEMENTS 2026'!C923),"",'ENGAGEMENTS 2026'!L923)</f>
        <v/>
      </c>
      <c r="O923">
        <f>IF(ISBLANK('ENGAGEMENTS 2026'!C923),"",'ENGAGEMENTS 2026'!M923)</f>
        <v/>
      </c>
      <c r="P923">
        <f>IF(ISBLANK('ENGAGEMENTS 2026'!C923),"",'ENGAGEMENTS 2026'!K923)</f>
        <v/>
      </c>
      <c r="Q923">
        <f>IF($A923="","",IF(OR($E923="INFRUCTUEUX",$E923="ANNULE"),$A923&amp;"|"&amp;(COUNTIFS($A$2:$A923,$A923,$E$2:$E923,"INFRUCTUEUX")+COUNTIFS($A$2:$A923,$A923,$E$2:$E923,"ANNULE")),""))</f>
        <v/>
      </c>
    </row>
    <row r="924">
      <c r="A924">
        <f>IF(ISBLANK('ENGAGEMENTS 2026'!C924),"",IF('ENGAGEMENTS 2026'!C924="DTSI","DCT",'ENGAGEMENTS 2026'!C924))</f>
        <v/>
      </c>
      <c r="B924">
        <f>IF(ISBLANK('ENGAGEMENTS 2026'!C924),"",'ENGAGEMENTS 2026'!D924)</f>
        <v/>
      </c>
      <c r="C924">
        <f>IF(ISBLANK('ENGAGEMENTS 2026'!C924),"",'ENGAGEMENTS 2026'!E924)</f>
        <v/>
      </c>
      <c r="D924">
        <f>IF(ISBLANK('ENGAGEMENTS 2026'!C924),"",'ENGAGEMENTS 2026'!G924)</f>
        <v/>
      </c>
      <c r="E924">
        <f>IF(ISBLANK('ENGAGEMENTS 2026'!C924),"",'ENGAGEMENTS 2026'!I924)</f>
        <v/>
      </c>
      <c r="F924">
        <f>IF(ISBLANK('ENGAGEMENTS 2026'!C924),"",'ENGAGEMENTS 2026'!J924)</f>
        <v/>
      </c>
      <c r="G924">
        <f>IF(ISBLANK('ENGAGEMENTS 2026'!C924),"",'ENGAGEMENTS 2026'!M924)</f>
        <v/>
      </c>
      <c r="H924">
        <f>IF(ISBLANK('ENGAGEMENTS 2026'!C924),"",'ENGAGEMENTS 2026'!AF924)</f>
        <v/>
      </c>
      <c r="I924">
        <f>IF(ISBLANK('ENGAGEMENTS 2026'!C924),"",'ENGAGEMENTS 2026'!H924)</f>
        <v/>
      </c>
      <c r="J924" s="275">
        <f>IF(ISBLANK('ENGAGEMENTS 2026'!C924),"",IF(AND(OR($E924="INFRUCTUEUX",$E924="ANNULE"),$C924="AOO-M"),'ENGAGEMENTS 2026'!P924,IF($H924="EN COURS DE PREENGAGEMENT",'ENGAGEMENTS 2026'!O924,IF($H924="PREENGAGE",IF($E924="ATTRIBUE",'ENGAGEMENTS 2026'!AE924,'ENGAGEMENTS 2026'!O924),'ENGAGEMENTS 2026'!AE924))))</f>
        <v/>
      </c>
      <c r="K924" s="604">
        <f>IF(ISBLANK('ENGAGEMENTS 2026'!W924),"",'ENGAGEMENTS 2026'!W924)</f>
        <v/>
      </c>
      <c r="L924" s="276">
        <f>IF($K924="","",TODAY()-$K924)</f>
        <v/>
      </c>
      <c r="M924">
        <f>IF($A924="","",IF($H924="ENGAGE","Engagé",IF(AND($H924="NON ENGAGE",OR($I924="INFRUCTUEUX",$I924="ANNULE")),"Clôturé sans suite","En cours")))</f>
        <v/>
      </c>
      <c r="N924">
        <f>IF(ISBLANK('ENGAGEMENTS 2026'!C924),"",'ENGAGEMENTS 2026'!L924)</f>
        <v/>
      </c>
      <c r="O924">
        <f>IF(ISBLANK('ENGAGEMENTS 2026'!C924),"",'ENGAGEMENTS 2026'!M924)</f>
        <v/>
      </c>
      <c r="P924">
        <f>IF(ISBLANK('ENGAGEMENTS 2026'!C924),"",'ENGAGEMENTS 2026'!K924)</f>
        <v/>
      </c>
      <c r="Q924">
        <f>IF($A924="","",IF(OR($E924="INFRUCTUEUX",$E924="ANNULE"),$A924&amp;"|"&amp;(COUNTIFS($A$2:$A924,$A924,$E$2:$E924,"INFRUCTUEUX")+COUNTIFS($A$2:$A924,$A924,$E$2:$E924,"ANNULE")),""))</f>
        <v/>
      </c>
    </row>
    <row r="925">
      <c r="A925">
        <f>IF(ISBLANK('ENGAGEMENTS 2026'!C925),"",IF('ENGAGEMENTS 2026'!C925="DTSI","DCT",'ENGAGEMENTS 2026'!C925))</f>
        <v/>
      </c>
      <c r="B925">
        <f>IF(ISBLANK('ENGAGEMENTS 2026'!C925),"",'ENGAGEMENTS 2026'!D925)</f>
        <v/>
      </c>
      <c r="C925">
        <f>IF(ISBLANK('ENGAGEMENTS 2026'!C925),"",'ENGAGEMENTS 2026'!E925)</f>
        <v/>
      </c>
      <c r="D925">
        <f>IF(ISBLANK('ENGAGEMENTS 2026'!C925),"",'ENGAGEMENTS 2026'!G925)</f>
        <v/>
      </c>
      <c r="E925">
        <f>IF(ISBLANK('ENGAGEMENTS 2026'!C925),"",'ENGAGEMENTS 2026'!I925)</f>
        <v/>
      </c>
      <c r="F925">
        <f>IF(ISBLANK('ENGAGEMENTS 2026'!C925),"",'ENGAGEMENTS 2026'!J925)</f>
        <v/>
      </c>
      <c r="G925">
        <f>IF(ISBLANK('ENGAGEMENTS 2026'!C925),"",'ENGAGEMENTS 2026'!M925)</f>
        <v/>
      </c>
      <c r="H925">
        <f>IF(ISBLANK('ENGAGEMENTS 2026'!C925),"",'ENGAGEMENTS 2026'!AF925)</f>
        <v/>
      </c>
      <c r="I925">
        <f>IF(ISBLANK('ENGAGEMENTS 2026'!C925),"",'ENGAGEMENTS 2026'!H925)</f>
        <v/>
      </c>
      <c r="J925" s="275">
        <f>IF(ISBLANK('ENGAGEMENTS 2026'!C925),"",IF(AND(OR($E925="INFRUCTUEUX",$E925="ANNULE"),$C925="AOO-M"),'ENGAGEMENTS 2026'!P925,IF($H925="EN COURS DE PREENGAGEMENT",'ENGAGEMENTS 2026'!O925,IF($H925="PREENGAGE",IF($E925="ATTRIBUE",'ENGAGEMENTS 2026'!AE925,'ENGAGEMENTS 2026'!O925),'ENGAGEMENTS 2026'!AE925))))</f>
        <v/>
      </c>
      <c r="K925" s="604">
        <f>IF(ISBLANK('ENGAGEMENTS 2026'!W925),"",'ENGAGEMENTS 2026'!W925)</f>
        <v/>
      </c>
      <c r="L925" s="276">
        <f>IF($K925="","",TODAY()-$K925)</f>
        <v/>
      </c>
      <c r="M925">
        <f>IF($A925="","",IF($H925="ENGAGE","Engagé",IF(AND($H925="NON ENGAGE",OR($I925="INFRUCTUEUX",$I925="ANNULE")),"Clôturé sans suite","En cours")))</f>
        <v/>
      </c>
      <c r="N925">
        <f>IF(ISBLANK('ENGAGEMENTS 2026'!C925),"",'ENGAGEMENTS 2026'!L925)</f>
        <v/>
      </c>
      <c r="O925">
        <f>IF(ISBLANK('ENGAGEMENTS 2026'!C925),"",'ENGAGEMENTS 2026'!M925)</f>
        <v/>
      </c>
      <c r="P925">
        <f>IF(ISBLANK('ENGAGEMENTS 2026'!C925),"",'ENGAGEMENTS 2026'!K925)</f>
        <v/>
      </c>
      <c r="Q925">
        <f>IF($A925="","",IF(OR($E925="INFRUCTUEUX",$E925="ANNULE"),$A925&amp;"|"&amp;(COUNTIFS($A$2:$A925,$A925,$E$2:$E925,"INFRUCTUEUX")+COUNTIFS($A$2:$A925,$A925,$E$2:$E925,"ANNULE")),""))</f>
        <v/>
      </c>
    </row>
    <row r="926">
      <c r="A926">
        <f>IF(ISBLANK('ENGAGEMENTS 2026'!C926),"",IF('ENGAGEMENTS 2026'!C926="DTSI","DCT",'ENGAGEMENTS 2026'!C926))</f>
        <v/>
      </c>
      <c r="B926">
        <f>IF(ISBLANK('ENGAGEMENTS 2026'!C926),"",'ENGAGEMENTS 2026'!D926)</f>
        <v/>
      </c>
      <c r="C926">
        <f>IF(ISBLANK('ENGAGEMENTS 2026'!C926),"",'ENGAGEMENTS 2026'!E926)</f>
        <v/>
      </c>
      <c r="D926">
        <f>IF(ISBLANK('ENGAGEMENTS 2026'!C926),"",'ENGAGEMENTS 2026'!G926)</f>
        <v/>
      </c>
      <c r="E926">
        <f>IF(ISBLANK('ENGAGEMENTS 2026'!C926),"",'ENGAGEMENTS 2026'!I926)</f>
        <v/>
      </c>
      <c r="F926">
        <f>IF(ISBLANK('ENGAGEMENTS 2026'!C926),"",'ENGAGEMENTS 2026'!J926)</f>
        <v/>
      </c>
      <c r="G926">
        <f>IF(ISBLANK('ENGAGEMENTS 2026'!C926),"",'ENGAGEMENTS 2026'!M926)</f>
        <v/>
      </c>
      <c r="H926">
        <f>IF(ISBLANK('ENGAGEMENTS 2026'!C926),"",'ENGAGEMENTS 2026'!AF926)</f>
        <v/>
      </c>
      <c r="I926">
        <f>IF(ISBLANK('ENGAGEMENTS 2026'!C926),"",'ENGAGEMENTS 2026'!H926)</f>
        <v/>
      </c>
      <c r="J926" s="275">
        <f>IF(ISBLANK('ENGAGEMENTS 2026'!C926),"",IF(AND(OR($E926="INFRUCTUEUX",$E926="ANNULE"),$C926="AOO-M"),'ENGAGEMENTS 2026'!P926,IF($H926="EN COURS DE PREENGAGEMENT",'ENGAGEMENTS 2026'!O926,IF($H926="PREENGAGE",IF($E926="ATTRIBUE",'ENGAGEMENTS 2026'!AE926,'ENGAGEMENTS 2026'!O926),'ENGAGEMENTS 2026'!AE926))))</f>
        <v/>
      </c>
      <c r="K926" s="604">
        <f>IF(ISBLANK('ENGAGEMENTS 2026'!W926),"",'ENGAGEMENTS 2026'!W926)</f>
        <v/>
      </c>
      <c r="L926" s="276">
        <f>IF($K926="","",TODAY()-$K926)</f>
        <v/>
      </c>
      <c r="M926">
        <f>IF($A926="","",IF($H926="ENGAGE","Engagé",IF(AND($H926="NON ENGAGE",OR($I926="INFRUCTUEUX",$I926="ANNULE")),"Clôturé sans suite","En cours")))</f>
        <v/>
      </c>
      <c r="N926">
        <f>IF(ISBLANK('ENGAGEMENTS 2026'!C926),"",'ENGAGEMENTS 2026'!L926)</f>
        <v/>
      </c>
      <c r="O926">
        <f>IF(ISBLANK('ENGAGEMENTS 2026'!C926),"",'ENGAGEMENTS 2026'!M926)</f>
        <v/>
      </c>
      <c r="P926">
        <f>IF(ISBLANK('ENGAGEMENTS 2026'!C926),"",'ENGAGEMENTS 2026'!K926)</f>
        <v/>
      </c>
      <c r="Q926">
        <f>IF($A926="","",IF(OR($E926="INFRUCTUEUX",$E926="ANNULE"),$A926&amp;"|"&amp;(COUNTIFS($A$2:$A926,$A926,$E$2:$E926,"INFRUCTUEUX")+COUNTIFS($A$2:$A926,$A926,$E$2:$E926,"ANNULE")),""))</f>
        <v/>
      </c>
    </row>
    <row r="927">
      <c r="A927">
        <f>IF(ISBLANK('ENGAGEMENTS 2026'!C927),"",IF('ENGAGEMENTS 2026'!C927="DTSI","DCT",'ENGAGEMENTS 2026'!C927))</f>
        <v/>
      </c>
      <c r="B927">
        <f>IF(ISBLANK('ENGAGEMENTS 2026'!C927),"",'ENGAGEMENTS 2026'!D927)</f>
        <v/>
      </c>
      <c r="C927">
        <f>IF(ISBLANK('ENGAGEMENTS 2026'!C927),"",'ENGAGEMENTS 2026'!E927)</f>
        <v/>
      </c>
      <c r="D927">
        <f>IF(ISBLANK('ENGAGEMENTS 2026'!C927),"",'ENGAGEMENTS 2026'!G927)</f>
        <v/>
      </c>
      <c r="E927">
        <f>IF(ISBLANK('ENGAGEMENTS 2026'!C927),"",'ENGAGEMENTS 2026'!I927)</f>
        <v/>
      </c>
      <c r="F927">
        <f>IF(ISBLANK('ENGAGEMENTS 2026'!C927),"",'ENGAGEMENTS 2026'!J927)</f>
        <v/>
      </c>
      <c r="G927">
        <f>IF(ISBLANK('ENGAGEMENTS 2026'!C927),"",'ENGAGEMENTS 2026'!M927)</f>
        <v/>
      </c>
      <c r="H927">
        <f>IF(ISBLANK('ENGAGEMENTS 2026'!C927),"",'ENGAGEMENTS 2026'!AF927)</f>
        <v/>
      </c>
      <c r="I927">
        <f>IF(ISBLANK('ENGAGEMENTS 2026'!C927),"",'ENGAGEMENTS 2026'!H927)</f>
        <v/>
      </c>
      <c r="J927" s="275">
        <f>IF(ISBLANK('ENGAGEMENTS 2026'!C927),"",IF(AND(OR($E927="INFRUCTUEUX",$E927="ANNULE"),$C927="AOO-M"),'ENGAGEMENTS 2026'!P927,IF($H927="EN COURS DE PREENGAGEMENT",'ENGAGEMENTS 2026'!O927,IF($H927="PREENGAGE",IF($E927="ATTRIBUE",'ENGAGEMENTS 2026'!AE927,'ENGAGEMENTS 2026'!O927),'ENGAGEMENTS 2026'!AE927))))</f>
        <v/>
      </c>
      <c r="K927" s="604">
        <f>IF(ISBLANK('ENGAGEMENTS 2026'!W927),"",'ENGAGEMENTS 2026'!W927)</f>
        <v/>
      </c>
      <c r="L927" s="276">
        <f>IF($K927="","",TODAY()-$K927)</f>
        <v/>
      </c>
      <c r="M927">
        <f>IF($A927="","",IF($H927="ENGAGE","Engagé",IF(AND($H927="NON ENGAGE",OR($I927="INFRUCTUEUX",$I927="ANNULE")),"Clôturé sans suite","En cours")))</f>
        <v/>
      </c>
      <c r="N927">
        <f>IF(ISBLANK('ENGAGEMENTS 2026'!C927),"",'ENGAGEMENTS 2026'!L927)</f>
        <v/>
      </c>
      <c r="O927">
        <f>IF(ISBLANK('ENGAGEMENTS 2026'!C927),"",'ENGAGEMENTS 2026'!M927)</f>
        <v/>
      </c>
      <c r="P927">
        <f>IF(ISBLANK('ENGAGEMENTS 2026'!C927),"",'ENGAGEMENTS 2026'!K927)</f>
        <v/>
      </c>
      <c r="Q927">
        <f>IF($A927="","",IF(OR($E927="INFRUCTUEUX",$E927="ANNULE"),$A927&amp;"|"&amp;(COUNTIFS($A$2:$A927,$A927,$E$2:$E927,"INFRUCTUEUX")+COUNTIFS($A$2:$A927,$A927,$E$2:$E927,"ANNULE")),""))</f>
        <v/>
      </c>
    </row>
    <row r="928">
      <c r="A928">
        <f>IF(ISBLANK('ENGAGEMENTS 2026'!C928),"",IF('ENGAGEMENTS 2026'!C928="DTSI","DCT",'ENGAGEMENTS 2026'!C928))</f>
        <v/>
      </c>
      <c r="B928">
        <f>IF(ISBLANK('ENGAGEMENTS 2026'!C928),"",'ENGAGEMENTS 2026'!D928)</f>
        <v/>
      </c>
      <c r="C928">
        <f>IF(ISBLANK('ENGAGEMENTS 2026'!C928),"",'ENGAGEMENTS 2026'!E928)</f>
        <v/>
      </c>
      <c r="D928">
        <f>IF(ISBLANK('ENGAGEMENTS 2026'!C928),"",'ENGAGEMENTS 2026'!G928)</f>
        <v/>
      </c>
      <c r="E928">
        <f>IF(ISBLANK('ENGAGEMENTS 2026'!C928),"",'ENGAGEMENTS 2026'!I928)</f>
        <v/>
      </c>
      <c r="F928">
        <f>IF(ISBLANK('ENGAGEMENTS 2026'!C928),"",'ENGAGEMENTS 2026'!J928)</f>
        <v/>
      </c>
      <c r="G928">
        <f>IF(ISBLANK('ENGAGEMENTS 2026'!C928),"",'ENGAGEMENTS 2026'!M928)</f>
        <v/>
      </c>
      <c r="H928">
        <f>IF(ISBLANK('ENGAGEMENTS 2026'!C928),"",'ENGAGEMENTS 2026'!AF928)</f>
        <v/>
      </c>
      <c r="I928">
        <f>IF(ISBLANK('ENGAGEMENTS 2026'!C928),"",'ENGAGEMENTS 2026'!H928)</f>
        <v/>
      </c>
      <c r="J928" s="275">
        <f>IF(ISBLANK('ENGAGEMENTS 2026'!C928),"",IF(AND(OR($E928="INFRUCTUEUX",$E928="ANNULE"),$C928="AOO-M"),'ENGAGEMENTS 2026'!P928,IF($H928="EN COURS DE PREENGAGEMENT",'ENGAGEMENTS 2026'!O928,IF($H928="PREENGAGE",IF($E928="ATTRIBUE",'ENGAGEMENTS 2026'!AE928,'ENGAGEMENTS 2026'!O928),'ENGAGEMENTS 2026'!AE928))))</f>
        <v/>
      </c>
      <c r="K928" s="604">
        <f>IF(ISBLANK('ENGAGEMENTS 2026'!W928),"",'ENGAGEMENTS 2026'!W928)</f>
        <v/>
      </c>
      <c r="L928" s="276">
        <f>IF($K928="","",TODAY()-$K928)</f>
        <v/>
      </c>
      <c r="M928">
        <f>IF($A928="","",IF($H928="ENGAGE","Engagé",IF(AND($H928="NON ENGAGE",OR($I928="INFRUCTUEUX",$I928="ANNULE")),"Clôturé sans suite","En cours")))</f>
        <v/>
      </c>
      <c r="N928">
        <f>IF(ISBLANK('ENGAGEMENTS 2026'!C928),"",'ENGAGEMENTS 2026'!L928)</f>
        <v/>
      </c>
      <c r="O928">
        <f>IF(ISBLANK('ENGAGEMENTS 2026'!C928),"",'ENGAGEMENTS 2026'!M928)</f>
        <v/>
      </c>
      <c r="P928">
        <f>IF(ISBLANK('ENGAGEMENTS 2026'!C928),"",'ENGAGEMENTS 2026'!K928)</f>
        <v/>
      </c>
      <c r="Q928">
        <f>IF($A928="","",IF(OR($E928="INFRUCTUEUX",$E928="ANNULE"),$A928&amp;"|"&amp;(COUNTIFS($A$2:$A928,$A928,$E$2:$E928,"INFRUCTUEUX")+COUNTIFS($A$2:$A928,$A928,$E$2:$E928,"ANNULE")),""))</f>
        <v/>
      </c>
    </row>
    <row r="929">
      <c r="A929">
        <f>IF(ISBLANK('ENGAGEMENTS 2026'!C929),"",IF('ENGAGEMENTS 2026'!C929="DTSI","DCT",'ENGAGEMENTS 2026'!C929))</f>
        <v/>
      </c>
      <c r="B929">
        <f>IF(ISBLANK('ENGAGEMENTS 2026'!C929),"",'ENGAGEMENTS 2026'!D929)</f>
        <v/>
      </c>
      <c r="C929">
        <f>IF(ISBLANK('ENGAGEMENTS 2026'!C929),"",'ENGAGEMENTS 2026'!E929)</f>
        <v/>
      </c>
      <c r="D929">
        <f>IF(ISBLANK('ENGAGEMENTS 2026'!C929),"",'ENGAGEMENTS 2026'!G929)</f>
        <v/>
      </c>
      <c r="E929">
        <f>IF(ISBLANK('ENGAGEMENTS 2026'!C929),"",'ENGAGEMENTS 2026'!I929)</f>
        <v/>
      </c>
      <c r="F929">
        <f>IF(ISBLANK('ENGAGEMENTS 2026'!C929),"",'ENGAGEMENTS 2026'!J929)</f>
        <v/>
      </c>
      <c r="G929">
        <f>IF(ISBLANK('ENGAGEMENTS 2026'!C929),"",'ENGAGEMENTS 2026'!M929)</f>
        <v/>
      </c>
      <c r="H929">
        <f>IF(ISBLANK('ENGAGEMENTS 2026'!C929),"",'ENGAGEMENTS 2026'!AF929)</f>
        <v/>
      </c>
      <c r="I929">
        <f>IF(ISBLANK('ENGAGEMENTS 2026'!C929),"",'ENGAGEMENTS 2026'!H929)</f>
        <v/>
      </c>
      <c r="J929" s="275">
        <f>IF(ISBLANK('ENGAGEMENTS 2026'!C929),"",IF(AND(OR($E929="INFRUCTUEUX",$E929="ANNULE"),$C929="AOO-M"),'ENGAGEMENTS 2026'!P929,IF($H929="EN COURS DE PREENGAGEMENT",'ENGAGEMENTS 2026'!O929,IF($H929="PREENGAGE",IF($E929="ATTRIBUE",'ENGAGEMENTS 2026'!AE929,'ENGAGEMENTS 2026'!O929),'ENGAGEMENTS 2026'!AE929))))</f>
        <v/>
      </c>
      <c r="K929" s="604">
        <f>IF(ISBLANK('ENGAGEMENTS 2026'!W929),"",'ENGAGEMENTS 2026'!W929)</f>
        <v/>
      </c>
      <c r="L929" s="276">
        <f>IF($K929="","",TODAY()-$K929)</f>
        <v/>
      </c>
      <c r="M929">
        <f>IF($A929="","",IF($H929="ENGAGE","Engagé",IF(AND($H929="NON ENGAGE",OR($I929="INFRUCTUEUX",$I929="ANNULE")),"Clôturé sans suite","En cours")))</f>
        <v/>
      </c>
      <c r="N929">
        <f>IF(ISBLANK('ENGAGEMENTS 2026'!C929),"",'ENGAGEMENTS 2026'!L929)</f>
        <v/>
      </c>
      <c r="O929">
        <f>IF(ISBLANK('ENGAGEMENTS 2026'!C929),"",'ENGAGEMENTS 2026'!M929)</f>
        <v/>
      </c>
      <c r="P929">
        <f>IF(ISBLANK('ENGAGEMENTS 2026'!C929),"",'ENGAGEMENTS 2026'!K929)</f>
        <v/>
      </c>
      <c r="Q929">
        <f>IF($A929="","",IF(OR($E929="INFRUCTUEUX",$E929="ANNULE"),$A929&amp;"|"&amp;(COUNTIFS($A$2:$A929,$A929,$E$2:$E929,"INFRUCTUEUX")+COUNTIFS($A$2:$A929,$A929,$E$2:$E929,"ANNULE")),""))</f>
        <v/>
      </c>
    </row>
    <row r="930">
      <c r="A930">
        <f>IF(ISBLANK('ENGAGEMENTS 2026'!C930),"",IF('ENGAGEMENTS 2026'!C930="DTSI","DCT",'ENGAGEMENTS 2026'!C930))</f>
        <v/>
      </c>
      <c r="B930">
        <f>IF(ISBLANK('ENGAGEMENTS 2026'!C930),"",'ENGAGEMENTS 2026'!D930)</f>
        <v/>
      </c>
      <c r="C930">
        <f>IF(ISBLANK('ENGAGEMENTS 2026'!C930),"",'ENGAGEMENTS 2026'!E930)</f>
        <v/>
      </c>
      <c r="D930">
        <f>IF(ISBLANK('ENGAGEMENTS 2026'!C930),"",'ENGAGEMENTS 2026'!G930)</f>
        <v/>
      </c>
      <c r="E930">
        <f>IF(ISBLANK('ENGAGEMENTS 2026'!C930),"",'ENGAGEMENTS 2026'!I930)</f>
        <v/>
      </c>
      <c r="F930">
        <f>IF(ISBLANK('ENGAGEMENTS 2026'!C930),"",'ENGAGEMENTS 2026'!J930)</f>
        <v/>
      </c>
      <c r="G930">
        <f>IF(ISBLANK('ENGAGEMENTS 2026'!C930),"",'ENGAGEMENTS 2026'!M930)</f>
        <v/>
      </c>
      <c r="H930">
        <f>IF(ISBLANK('ENGAGEMENTS 2026'!C930),"",'ENGAGEMENTS 2026'!AF930)</f>
        <v/>
      </c>
      <c r="I930">
        <f>IF(ISBLANK('ENGAGEMENTS 2026'!C930),"",'ENGAGEMENTS 2026'!H930)</f>
        <v/>
      </c>
      <c r="J930" s="275">
        <f>IF(ISBLANK('ENGAGEMENTS 2026'!C930),"",IF(AND(OR($E930="INFRUCTUEUX",$E930="ANNULE"),$C930="AOO-M"),'ENGAGEMENTS 2026'!P930,IF($H930="EN COURS DE PREENGAGEMENT",'ENGAGEMENTS 2026'!O930,IF($H930="PREENGAGE",IF($E930="ATTRIBUE",'ENGAGEMENTS 2026'!AE930,'ENGAGEMENTS 2026'!O930),'ENGAGEMENTS 2026'!AE930))))</f>
        <v/>
      </c>
      <c r="K930" s="604">
        <f>IF(ISBLANK('ENGAGEMENTS 2026'!W930),"",'ENGAGEMENTS 2026'!W930)</f>
        <v/>
      </c>
      <c r="L930" s="276">
        <f>IF($K930="","",TODAY()-$K930)</f>
        <v/>
      </c>
      <c r="M930">
        <f>IF($A930="","",IF($H930="ENGAGE","Engagé",IF(AND($H930="NON ENGAGE",OR($I930="INFRUCTUEUX",$I930="ANNULE")),"Clôturé sans suite","En cours")))</f>
        <v/>
      </c>
      <c r="N930">
        <f>IF(ISBLANK('ENGAGEMENTS 2026'!C930),"",'ENGAGEMENTS 2026'!L930)</f>
        <v/>
      </c>
      <c r="O930">
        <f>IF(ISBLANK('ENGAGEMENTS 2026'!C930),"",'ENGAGEMENTS 2026'!M930)</f>
        <v/>
      </c>
      <c r="P930">
        <f>IF(ISBLANK('ENGAGEMENTS 2026'!C930),"",'ENGAGEMENTS 2026'!K930)</f>
        <v/>
      </c>
      <c r="Q930">
        <f>IF($A930="","",IF(OR($E930="INFRUCTUEUX",$E930="ANNULE"),$A930&amp;"|"&amp;(COUNTIFS($A$2:$A930,$A930,$E$2:$E930,"INFRUCTUEUX")+COUNTIFS($A$2:$A930,$A930,$E$2:$E930,"ANNULE")),""))</f>
        <v/>
      </c>
    </row>
    <row r="931">
      <c r="A931">
        <f>IF(ISBLANK('ENGAGEMENTS 2026'!C931),"",IF('ENGAGEMENTS 2026'!C931="DTSI","DCT",'ENGAGEMENTS 2026'!C931))</f>
        <v/>
      </c>
      <c r="B931">
        <f>IF(ISBLANK('ENGAGEMENTS 2026'!C931),"",'ENGAGEMENTS 2026'!D931)</f>
        <v/>
      </c>
      <c r="C931">
        <f>IF(ISBLANK('ENGAGEMENTS 2026'!C931),"",'ENGAGEMENTS 2026'!E931)</f>
        <v/>
      </c>
      <c r="D931">
        <f>IF(ISBLANK('ENGAGEMENTS 2026'!C931),"",'ENGAGEMENTS 2026'!G931)</f>
        <v/>
      </c>
      <c r="E931">
        <f>IF(ISBLANK('ENGAGEMENTS 2026'!C931),"",'ENGAGEMENTS 2026'!I931)</f>
        <v/>
      </c>
      <c r="F931">
        <f>IF(ISBLANK('ENGAGEMENTS 2026'!C931),"",'ENGAGEMENTS 2026'!J931)</f>
        <v/>
      </c>
      <c r="G931">
        <f>IF(ISBLANK('ENGAGEMENTS 2026'!C931),"",'ENGAGEMENTS 2026'!M931)</f>
        <v/>
      </c>
      <c r="H931">
        <f>IF(ISBLANK('ENGAGEMENTS 2026'!C931),"",'ENGAGEMENTS 2026'!AF931)</f>
        <v/>
      </c>
      <c r="I931">
        <f>IF(ISBLANK('ENGAGEMENTS 2026'!C931),"",'ENGAGEMENTS 2026'!H931)</f>
        <v/>
      </c>
      <c r="J931" s="275">
        <f>IF(ISBLANK('ENGAGEMENTS 2026'!C931),"",IF(AND(OR($E931="INFRUCTUEUX",$E931="ANNULE"),$C931="AOO-M"),'ENGAGEMENTS 2026'!P931,IF($H931="EN COURS DE PREENGAGEMENT",'ENGAGEMENTS 2026'!O931,IF($H931="PREENGAGE",IF($E931="ATTRIBUE",'ENGAGEMENTS 2026'!AE931,'ENGAGEMENTS 2026'!O931),'ENGAGEMENTS 2026'!AE931))))</f>
        <v/>
      </c>
      <c r="K931" s="604">
        <f>IF(ISBLANK('ENGAGEMENTS 2026'!W931),"",'ENGAGEMENTS 2026'!W931)</f>
        <v/>
      </c>
      <c r="L931" s="276">
        <f>IF($K931="","",TODAY()-$K931)</f>
        <v/>
      </c>
      <c r="M931">
        <f>IF($A931="","",IF($H931="ENGAGE","Engagé",IF(AND($H931="NON ENGAGE",OR($I931="INFRUCTUEUX",$I931="ANNULE")),"Clôturé sans suite","En cours")))</f>
        <v/>
      </c>
      <c r="N931">
        <f>IF(ISBLANK('ENGAGEMENTS 2026'!C931),"",'ENGAGEMENTS 2026'!L931)</f>
        <v/>
      </c>
      <c r="O931">
        <f>IF(ISBLANK('ENGAGEMENTS 2026'!C931),"",'ENGAGEMENTS 2026'!M931)</f>
        <v/>
      </c>
      <c r="P931">
        <f>IF(ISBLANK('ENGAGEMENTS 2026'!C931),"",'ENGAGEMENTS 2026'!K931)</f>
        <v/>
      </c>
      <c r="Q931">
        <f>IF($A931="","",IF(OR($E931="INFRUCTUEUX",$E931="ANNULE"),$A931&amp;"|"&amp;(COUNTIFS($A$2:$A931,$A931,$E$2:$E931,"INFRUCTUEUX")+COUNTIFS($A$2:$A931,$A931,$E$2:$E931,"ANNULE")),""))</f>
        <v/>
      </c>
    </row>
    <row r="932">
      <c r="A932">
        <f>IF(ISBLANK('ENGAGEMENTS 2026'!C932),"",IF('ENGAGEMENTS 2026'!C932="DTSI","DCT",'ENGAGEMENTS 2026'!C932))</f>
        <v/>
      </c>
      <c r="B932">
        <f>IF(ISBLANK('ENGAGEMENTS 2026'!C932),"",'ENGAGEMENTS 2026'!D932)</f>
        <v/>
      </c>
      <c r="C932">
        <f>IF(ISBLANK('ENGAGEMENTS 2026'!C932),"",'ENGAGEMENTS 2026'!E932)</f>
        <v/>
      </c>
      <c r="D932">
        <f>IF(ISBLANK('ENGAGEMENTS 2026'!C932),"",'ENGAGEMENTS 2026'!G932)</f>
        <v/>
      </c>
      <c r="E932">
        <f>IF(ISBLANK('ENGAGEMENTS 2026'!C932),"",'ENGAGEMENTS 2026'!I932)</f>
        <v/>
      </c>
      <c r="F932">
        <f>IF(ISBLANK('ENGAGEMENTS 2026'!C932),"",'ENGAGEMENTS 2026'!J932)</f>
        <v/>
      </c>
      <c r="G932">
        <f>IF(ISBLANK('ENGAGEMENTS 2026'!C932),"",'ENGAGEMENTS 2026'!M932)</f>
        <v/>
      </c>
      <c r="H932">
        <f>IF(ISBLANK('ENGAGEMENTS 2026'!C932),"",'ENGAGEMENTS 2026'!AF932)</f>
        <v/>
      </c>
      <c r="I932">
        <f>IF(ISBLANK('ENGAGEMENTS 2026'!C932),"",'ENGAGEMENTS 2026'!H932)</f>
        <v/>
      </c>
      <c r="J932" s="275">
        <f>IF(ISBLANK('ENGAGEMENTS 2026'!C932),"",IF(AND(OR($E932="INFRUCTUEUX",$E932="ANNULE"),$C932="AOO-M"),'ENGAGEMENTS 2026'!P932,IF($H932="EN COURS DE PREENGAGEMENT",'ENGAGEMENTS 2026'!O932,IF($H932="PREENGAGE",IF($E932="ATTRIBUE",'ENGAGEMENTS 2026'!AE932,'ENGAGEMENTS 2026'!O932),'ENGAGEMENTS 2026'!AE932))))</f>
        <v/>
      </c>
      <c r="K932" s="604">
        <f>IF(ISBLANK('ENGAGEMENTS 2026'!W932),"",'ENGAGEMENTS 2026'!W932)</f>
        <v/>
      </c>
      <c r="L932" s="276">
        <f>IF($K932="","",TODAY()-$K932)</f>
        <v/>
      </c>
      <c r="M932">
        <f>IF($A932="","",IF($H932="ENGAGE","Engagé",IF(AND($H932="NON ENGAGE",OR($I932="INFRUCTUEUX",$I932="ANNULE")),"Clôturé sans suite","En cours")))</f>
        <v/>
      </c>
      <c r="N932">
        <f>IF(ISBLANK('ENGAGEMENTS 2026'!C932),"",'ENGAGEMENTS 2026'!L932)</f>
        <v/>
      </c>
      <c r="O932">
        <f>IF(ISBLANK('ENGAGEMENTS 2026'!C932),"",'ENGAGEMENTS 2026'!M932)</f>
        <v/>
      </c>
      <c r="P932">
        <f>IF(ISBLANK('ENGAGEMENTS 2026'!C932),"",'ENGAGEMENTS 2026'!K932)</f>
        <v/>
      </c>
      <c r="Q932">
        <f>IF($A932="","",IF(OR($E932="INFRUCTUEUX",$E932="ANNULE"),$A932&amp;"|"&amp;(COUNTIFS($A$2:$A932,$A932,$E$2:$E932,"INFRUCTUEUX")+COUNTIFS($A$2:$A932,$A932,$E$2:$E932,"ANNULE")),""))</f>
        <v/>
      </c>
    </row>
    <row r="933">
      <c r="A933">
        <f>IF(ISBLANK('ENGAGEMENTS 2026'!C933),"",IF('ENGAGEMENTS 2026'!C933="DTSI","DCT",'ENGAGEMENTS 2026'!C933))</f>
        <v/>
      </c>
      <c r="B933">
        <f>IF(ISBLANK('ENGAGEMENTS 2026'!C933),"",'ENGAGEMENTS 2026'!D933)</f>
        <v/>
      </c>
      <c r="C933">
        <f>IF(ISBLANK('ENGAGEMENTS 2026'!C933),"",'ENGAGEMENTS 2026'!E933)</f>
        <v/>
      </c>
      <c r="D933">
        <f>IF(ISBLANK('ENGAGEMENTS 2026'!C933),"",'ENGAGEMENTS 2026'!G933)</f>
        <v/>
      </c>
      <c r="E933">
        <f>IF(ISBLANK('ENGAGEMENTS 2026'!C933),"",'ENGAGEMENTS 2026'!I933)</f>
        <v/>
      </c>
      <c r="F933">
        <f>IF(ISBLANK('ENGAGEMENTS 2026'!C933),"",'ENGAGEMENTS 2026'!J933)</f>
        <v/>
      </c>
      <c r="G933">
        <f>IF(ISBLANK('ENGAGEMENTS 2026'!C933),"",'ENGAGEMENTS 2026'!M933)</f>
        <v/>
      </c>
      <c r="H933">
        <f>IF(ISBLANK('ENGAGEMENTS 2026'!C933),"",'ENGAGEMENTS 2026'!AF933)</f>
        <v/>
      </c>
      <c r="I933">
        <f>IF(ISBLANK('ENGAGEMENTS 2026'!C933),"",'ENGAGEMENTS 2026'!H933)</f>
        <v/>
      </c>
      <c r="J933" s="275">
        <f>IF(ISBLANK('ENGAGEMENTS 2026'!C933),"",IF(AND(OR($E933="INFRUCTUEUX",$E933="ANNULE"),$C933="AOO-M"),'ENGAGEMENTS 2026'!P933,IF($H933="EN COURS DE PREENGAGEMENT",'ENGAGEMENTS 2026'!O933,IF($H933="PREENGAGE",IF($E933="ATTRIBUE",'ENGAGEMENTS 2026'!AE933,'ENGAGEMENTS 2026'!O933),'ENGAGEMENTS 2026'!AE933))))</f>
        <v/>
      </c>
      <c r="K933" s="604">
        <f>IF(ISBLANK('ENGAGEMENTS 2026'!W933),"",'ENGAGEMENTS 2026'!W933)</f>
        <v/>
      </c>
      <c r="L933" s="276">
        <f>IF($K933="","",TODAY()-$K933)</f>
        <v/>
      </c>
      <c r="M933">
        <f>IF($A933="","",IF($H933="ENGAGE","Engagé",IF(AND($H933="NON ENGAGE",OR($I933="INFRUCTUEUX",$I933="ANNULE")),"Clôturé sans suite","En cours")))</f>
        <v/>
      </c>
      <c r="N933">
        <f>IF(ISBLANK('ENGAGEMENTS 2026'!C933),"",'ENGAGEMENTS 2026'!L933)</f>
        <v/>
      </c>
      <c r="O933">
        <f>IF(ISBLANK('ENGAGEMENTS 2026'!C933),"",'ENGAGEMENTS 2026'!M933)</f>
        <v/>
      </c>
      <c r="P933">
        <f>IF(ISBLANK('ENGAGEMENTS 2026'!C933),"",'ENGAGEMENTS 2026'!K933)</f>
        <v/>
      </c>
      <c r="Q933">
        <f>IF($A933="","",IF(OR($E933="INFRUCTUEUX",$E933="ANNULE"),$A933&amp;"|"&amp;(COUNTIFS($A$2:$A933,$A933,$E$2:$E933,"INFRUCTUEUX")+COUNTIFS($A$2:$A933,$A933,$E$2:$E933,"ANNULE")),""))</f>
        <v/>
      </c>
    </row>
    <row r="934">
      <c r="A934">
        <f>IF(ISBLANK('ENGAGEMENTS 2026'!C934),"",IF('ENGAGEMENTS 2026'!C934="DTSI","DCT",'ENGAGEMENTS 2026'!C934))</f>
        <v/>
      </c>
      <c r="B934">
        <f>IF(ISBLANK('ENGAGEMENTS 2026'!C934),"",'ENGAGEMENTS 2026'!D934)</f>
        <v/>
      </c>
      <c r="C934">
        <f>IF(ISBLANK('ENGAGEMENTS 2026'!C934),"",'ENGAGEMENTS 2026'!E934)</f>
        <v/>
      </c>
      <c r="D934">
        <f>IF(ISBLANK('ENGAGEMENTS 2026'!C934),"",'ENGAGEMENTS 2026'!G934)</f>
        <v/>
      </c>
      <c r="E934">
        <f>IF(ISBLANK('ENGAGEMENTS 2026'!C934),"",'ENGAGEMENTS 2026'!I934)</f>
        <v/>
      </c>
      <c r="F934">
        <f>IF(ISBLANK('ENGAGEMENTS 2026'!C934),"",'ENGAGEMENTS 2026'!J934)</f>
        <v/>
      </c>
      <c r="G934">
        <f>IF(ISBLANK('ENGAGEMENTS 2026'!C934),"",'ENGAGEMENTS 2026'!M934)</f>
        <v/>
      </c>
      <c r="H934">
        <f>IF(ISBLANK('ENGAGEMENTS 2026'!C934),"",'ENGAGEMENTS 2026'!AF934)</f>
        <v/>
      </c>
      <c r="I934">
        <f>IF(ISBLANK('ENGAGEMENTS 2026'!C934),"",'ENGAGEMENTS 2026'!H934)</f>
        <v/>
      </c>
      <c r="J934" s="275">
        <f>IF(ISBLANK('ENGAGEMENTS 2026'!C934),"",IF(AND(OR($E934="INFRUCTUEUX",$E934="ANNULE"),$C934="AOO-M"),'ENGAGEMENTS 2026'!P934,IF($H934="EN COURS DE PREENGAGEMENT",'ENGAGEMENTS 2026'!O934,IF($H934="PREENGAGE",IF($E934="ATTRIBUE",'ENGAGEMENTS 2026'!AE934,'ENGAGEMENTS 2026'!O934),'ENGAGEMENTS 2026'!AE934))))</f>
        <v/>
      </c>
      <c r="K934" s="604">
        <f>IF(ISBLANK('ENGAGEMENTS 2026'!W934),"",'ENGAGEMENTS 2026'!W934)</f>
        <v/>
      </c>
      <c r="L934" s="276">
        <f>IF($K934="","",TODAY()-$K934)</f>
        <v/>
      </c>
      <c r="M934">
        <f>IF($A934="","",IF($H934="ENGAGE","Engagé",IF(AND($H934="NON ENGAGE",OR($I934="INFRUCTUEUX",$I934="ANNULE")),"Clôturé sans suite","En cours")))</f>
        <v/>
      </c>
      <c r="N934">
        <f>IF(ISBLANK('ENGAGEMENTS 2026'!C934),"",'ENGAGEMENTS 2026'!L934)</f>
        <v/>
      </c>
      <c r="O934">
        <f>IF(ISBLANK('ENGAGEMENTS 2026'!C934),"",'ENGAGEMENTS 2026'!M934)</f>
        <v/>
      </c>
      <c r="P934">
        <f>IF(ISBLANK('ENGAGEMENTS 2026'!C934),"",'ENGAGEMENTS 2026'!K934)</f>
        <v/>
      </c>
      <c r="Q934">
        <f>IF($A934="","",IF(OR($E934="INFRUCTUEUX",$E934="ANNULE"),$A934&amp;"|"&amp;(COUNTIFS($A$2:$A934,$A934,$E$2:$E934,"INFRUCTUEUX")+COUNTIFS($A$2:$A934,$A934,$E$2:$E934,"ANNULE")),""))</f>
        <v/>
      </c>
    </row>
    <row r="935">
      <c r="A935">
        <f>IF(ISBLANK('ENGAGEMENTS 2026'!C935),"",IF('ENGAGEMENTS 2026'!C935="DTSI","DCT",'ENGAGEMENTS 2026'!C935))</f>
        <v/>
      </c>
      <c r="B935">
        <f>IF(ISBLANK('ENGAGEMENTS 2026'!C935),"",'ENGAGEMENTS 2026'!D935)</f>
        <v/>
      </c>
      <c r="C935">
        <f>IF(ISBLANK('ENGAGEMENTS 2026'!C935),"",'ENGAGEMENTS 2026'!E935)</f>
        <v/>
      </c>
      <c r="D935">
        <f>IF(ISBLANK('ENGAGEMENTS 2026'!C935),"",'ENGAGEMENTS 2026'!G935)</f>
        <v/>
      </c>
      <c r="E935">
        <f>IF(ISBLANK('ENGAGEMENTS 2026'!C935),"",'ENGAGEMENTS 2026'!I935)</f>
        <v/>
      </c>
      <c r="F935">
        <f>IF(ISBLANK('ENGAGEMENTS 2026'!C935),"",'ENGAGEMENTS 2026'!J935)</f>
        <v/>
      </c>
      <c r="G935">
        <f>IF(ISBLANK('ENGAGEMENTS 2026'!C935),"",'ENGAGEMENTS 2026'!M935)</f>
        <v/>
      </c>
      <c r="H935">
        <f>IF(ISBLANK('ENGAGEMENTS 2026'!C935),"",'ENGAGEMENTS 2026'!AF935)</f>
        <v/>
      </c>
      <c r="I935">
        <f>IF(ISBLANK('ENGAGEMENTS 2026'!C935),"",'ENGAGEMENTS 2026'!H935)</f>
        <v/>
      </c>
      <c r="J935" s="275">
        <f>IF(ISBLANK('ENGAGEMENTS 2026'!C935),"",IF(AND(OR($E935="INFRUCTUEUX",$E935="ANNULE"),$C935="AOO-M"),'ENGAGEMENTS 2026'!P935,IF($H935="EN COURS DE PREENGAGEMENT",'ENGAGEMENTS 2026'!O935,IF($H935="PREENGAGE",IF($E935="ATTRIBUE",'ENGAGEMENTS 2026'!AE935,'ENGAGEMENTS 2026'!O935),'ENGAGEMENTS 2026'!AE935))))</f>
        <v/>
      </c>
      <c r="K935" s="604">
        <f>IF(ISBLANK('ENGAGEMENTS 2026'!W935),"",'ENGAGEMENTS 2026'!W935)</f>
        <v/>
      </c>
      <c r="L935" s="276">
        <f>IF($K935="","",TODAY()-$K935)</f>
        <v/>
      </c>
      <c r="M935">
        <f>IF($A935="","",IF($H935="ENGAGE","Engagé",IF(AND($H935="NON ENGAGE",OR($I935="INFRUCTUEUX",$I935="ANNULE")),"Clôturé sans suite","En cours")))</f>
        <v/>
      </c>
      <c r="N935">
        <f>IF(ISBLANK('ENGAGEMENTS 2026'!C935),"",'ENGAGEMENTS 2026'!L935)</f>
        <v/>
      </c>
      <c r="O935">
        <f>IF(ISBLANK('ENGAGEMENTS 2026'!C935),"",'ENGAGEMENTS 2026'!M935)</f>
        <v/>
      </c>
      <c r="P935">
        <f>IF(ISBLANK('ENGAGEMENTS 2026'!C935),"",'ENGAGEMENTS 2026'!K935)</f>
        <v/>
      </c>
      <c r="Q935">
        <f>IF($A935="","",IF(OR($E935="INFRUCTUEUX",$E935="ANNULE"),$A935&amp;"|"&amp;(COUNTIFS($A$2:$A935,$A935,$E$2:$E935,"INFRUCTUEUX")+COUNTIFS($A$2:$A935,$A935,$E$2:$E935,"ANNULE")),""))</f>
        <v/>
      </c>
    </row>
    <row r="936">
      <c r="A936">
        <f>IF(ISBLANK('ENGAGEMENTS 2026'!C936),"",IF('ENGAGEMENTS 2026'!C936="DTSI","DCT",'ENGAGEMENTS 2026'!C936))</f>
        <v/>
      </c>
      <c r="B936">
        <f>IF(ISBLANK('ENGAGEMENTS 2026'!C936),"",'ENGAGEMENTS 2026'!D936)</f>
        <v/>
      </c>
      <c r="C936">
        <f>IF(ISBLANK('ENGAGEMENTS 2026'!C936),"",'ENGAGEMENTS 2026'!E936)</f>
        <v/>
      </c>
      <c r="D936">
        <f>IF(ISBLANK('ENGAGEMENTS 2026'!C936),"",'ENGAGEMENTS 2026'!G936)</f>
        <v/>
      </c>
      <c r="E936">
        <f>IF(ISBLANK('ENGAGEMENTS 2026'!C936),"",'ENGAGEMENTS 2026'!I936)</f>
        <v/>
      </c>
      <c r="F936">
        <f>IF(ISBLANK('ENGAGEMENTS 2026'!C936),"",'ENGAGEMENTS 2026'!J936)</f>
        <v/>
      </c>
      <c r="G936">
        <f>IF(ISBLANK('ENGAGEMENTS 2026'!C936),"",'ENGAGEMENTS 2026'!M936)</f>
        <v/>
      </c>
      <c r="H936">
        <f>IF(ISBLANK('ENGAGEMENTS 2026'!C936),"",'ENGAGEMENTS 2026'!AF936)</f>
        <v/>
      </c>
      <c r="I936">
        <f>IF(ISBLANK('ENGAGEMENTS 2026'!C936),"",'ENGAGEMENTS 2026'!H936)</f>
        <v/>
      </c>
      <c r="J936" s="275">
        <f>IF(ISBLANK('ENGAGEMENTS 2026'!C936),"",IF(AND(OR($E936="INFRUCTUEUX",$E936="ANNULE"),$C936="AOO-M"),'ENGAGEMENTS 2026'!P936,IF($H936="EN COURS DE PREENGAGEMENT",'ENGAGEMENTS 2026'!O936,IF($H936="PREENGAGE",IF($E936="ATTRIBUE",'ENGAGEMENTS 2026'!AE936,'ENGAGEMENTS 2026'!O936),'ENGAGEMENTS 2026'!AE936))))</f>
        <v/>
      </c>
      <c r="K936" s="604">
        <f>IF(ISBLANK('ENGAGEMENTS 2026'!W936),"",'ENGAGEMENTS 2026'!W936)</f>
        <v/>
      </c>
      <c r="L936" s="276">
        <f>IF($K936="","",TODAY()-$K936)</f>
        <v/>
      </c>
      <c r="M936">
        <f>IF($A936="","",IF($H936="ENGAGE","Engagé",IF(AND($H936="NON ENGAGE",OR($I936="INFRUCTUEUX",$I936="ANNULE")),"Clôturé sans suite","En cours")))</f>
        <v/>
      </c>
      <c r="N936">
        <f>IF(ISBLANK('ENGAGEMENTS 2026'!C936),"",'ENGAGEMENTS 2026'!L936)</f>
        <v/>
      </c>
      <c r="O936">
        <f>IF(ISBLANK('ENGAGEMENTS 2026'!C936),"",'ENGAGEMENTS 2026'!M936)</f>
        <v/>
      </c>
      <c r="P936">
        <f>IF(ISBLANK('ENGAGEMENTS 2026'!C936),"",'ENGAGEMENTS 2026'!K936)</f>
        <v/>
      </c>
      <c r="Q936">
        <f>IF($A936="","",IF(OR($E936="INFRUCTUEUX",$E936="ANNULE"),$A936&amp;"|"&amp;(COUNTIFS($A$2:$A936,$A936,$E$2:$E936,"INFRUCTUEUX")+COUNTIFS($A$2:$A936,$A936,$E$2:$E936,"ANNULE")),""))</f>
        <v/>
      </c>
    </row>
    <row r="937">
      <c r="A937">
        <f>IF(ISBLANK('ENGAGEMENTS 2026'!C937),"",IF('ENGAGEMENTS 2026'!C937="DTSI","DCT",'ENGAGEMENTS 2026'!C937))</f>
        <v/>
      </c>
      <c r="B937">
        <f>IF(ISBLANK('ENGAGEMENTS 2026'!C937),"",'ENGAGEMENTS 2026'!D937)</f>
        <v/>
      </c>
      <c r="C937">
        <f>IF(ISBLANK('ENGAGEMENTS 2026'!C937),"",'ENGAGEMENTS 2026'!E937)</f>
        <v/>
      </c>
      <c r="D937">
        <f>IF(ISBLANK('ENGAGEMENTS 2026'!C937),"",'ENGAGEMENTS 2026'!G937)</f>
        <v/>
      </c>
      <c r="E937">
        <f>IF(ISBLANK('ENGAGEMENTS 2026'!C937),"",'ENGAGEMENTS 2026'!I937)</f>
        <v/>
      </c>
      <c r="F937">
        <f>IF(ISBLANK('ENGAGEMENTS 2026'!C937),"",'ENGAGEMENTS 2026'!J937)</f>
        <v/>
      </c>
      <c r="G937">
        <f>IF(ISBLANK('ENGAGEMENTS 2026'!C937),"",'ENGAGEMENTS 2026'!M937)</f>
        <v/>
      </c>
      <c r="H937">
        <f>IF(ISBLANK('ENGAGEMENTS 2026'!C937),"",'ENGAGEMENTS 2026'!AF937)</f>
        <v/>
      </c>
      <c r="I937">
        <f>IF(ISBLANK('ENGAGEMENTS 2026'!C937),"",'ENGAGEMENTS 2026'!H937)</f>
        <v/>
      </c>
      <c r="J937" s="275">
        <f>IF(ISBLANK('ENGAGEMENTS 2026'!C937),"",IF(AND(OR($E937="INFRUCTUEUX",$E937="ANNULE"),$C937="AOO-M"),'ENGAGEMENTS 2026'!P937,IF($H937="EN COURS DE PREENGAGEMENT",'ENGAGEMENTS 2026'!O937,IF($H937="PREENGAGE",IF($E937="ATTRIBUE",'ENGAGEMENTS 2026'!AE937,'ENGAGEMENTS 2026'!O937),'ENGAGEMENTS 2026'!AE937))))</f>
        <v/>
      </c>
      <c r="K937" s="604">
        <f>IF(ISBLANK('ENGAGEMENTS 2026'!W937),"",'ENGAGEMENTS 2026'!W937)</f>
        <v/>
      </c>
      <c r="L937" s="276">
        <f>IF($K937="","",TODAY()-$K937)</f>
        <v/>
      </c>
      <c r="M937">
        <f>IF($A937="","",IF($H937="ENGAGE","Engagé",IF(AND($H937="NON ENGAGE",OR($I937="INFRUCTUEUX",$I937="ANNULE")),"Clôturé sans suite","En cours")))</f>
        <v/>
      </c>
      <c r="N937">
        <f>IF(ISBLANK('ENGAGEMENTS 2026'!C937),"",'ENGAGEMENTS 2026'!L937)</f>
        <v/>
      </c>
      <c r="O937">
        <f>IF(ISBLANK('ENGAGEMENTS 2026'!C937),"",'ENGAGEMENTS 2026'!M937)</f>
        <v/>
      </c>
      <c r="P937">
        <f>IF(ISBLANK('ENGAGEMENTS 2026'!C937),"",'ENGAGEMENTS 2026'!K937)</f>
        <v/>
      </c>
      <c r="Q937">
        <f>IF($A937="","",IF(OR($E937="INFRUCTUEUX",$E937="ANNULE"),$A937&amp;"|"&amp;(COUNTIFS($A$2:$A937,$A937,$E$2:$E937,"INFRUCTUEUX")+COUNTIFS($A$2:$A937,$A937,$E$2:$E937,"ANNULE")),""))</f>
        <v/>
      </c>
    </row>
    <row r="938">
      <c r="A938">
        <f>IF(ISBLANK('ENGAGEMENTS 2026'!C938),"",IF('ENGAGEMENTS 2026'!C938="DTSI","DCT",'ENGAGEMENTS 2026'!C938))</f>
        <v/>
      </c>
      <c r="B938">
        <f>IF(ISBLANK('ENGAGEMENTS 2026'!C938),"",'ENGAGEMENTS 2026'!D938)</f>
        <v/>
      </c>
      <c r="C938">
        <f>IF(ISBLANK('ENGAGEMENTS 2026'!C938),"",'ENGAGEMENTS 2026'!E938)</f>
        <v/>
      </c>
      <c r="D938">
        <f>IF(ISBLANK('ENGAGEMENTS 2026'!C938),"",'ENGAGEMENTS 2026'!G938)</f>
        <v/>
      </c>
      <c r="E938">
        <f>IF(ISBLANK('ENGAGEMENTS 2026'!C938),"",'ENGAGEMENTS 2026'!I938)</f>
        <v/>
      </c>
      <c r="F938">
        <f>IF(ISBLANK('ENGAGEMENTS 2026'!C938),"",'ENGAGEMENTS 2026'!J938)</f>
        <v/>
      </c>
      <c r="G938">
        <f>IF(ISBLANK('ENGAGEMENTS 2026'!C938),"",'ENGAGEMENTS 2026'!M938)</f>
        <v/>
      </c>
      <c r="H938">
        <f>IF(ISBLANK('ENGAGEMENTS 2026'!C938),"",'ENGAGEMENTS 2026'!AF938)</f>
        <v/>
      </c>
      <c r="I938">
        <f>IF(ISBLANK('ENGAGEMENTS 2026'!C938),"",'ENGAGEMENTS 2026'!H938)</f>
        <v/>
      </c>
      <c r="J938" s="275">
        <f>IF(ISBLANK('ENGAGEMENTS 2026'!C938),"",IF(AND(OR($E938="INFRUCTUEUX",$E938="ANNULE"),$C938="AOO-M"),'ENGAGEMENTS 2026'!P938,IF($H938="EN COURS DE PREENGAGEMENT",'ENGAGEMENTS 2026'!O938,IF($H938="PREENGAGE",IF($E938="ATTRIBUE",'ENGAGEMENTS 2026'!AE938,'ENGAGEMENTS 2026'!O938),'ENGAGEMENTS 2026'!AE938))))</f>
        <v/>
      </c>
      <c r="K938" s="604">
        <f>IF(ISBLANK('ENGAGEMENTS 2026'!W938),"",'ENGAGEMENTS 2026'!W938)</f>
        <v/>
      </c>
      <c r="L938" s="276">
        <f>IF($K938="","",TODAY()-$K938)</f>
        <v/>
      </c>
      <c r="M938">
        <f>IF($A938="","",IF($H938="ENGAGE","Engagé",IF(AND($H938="NON ENGAGE",OR($I938="INFRUCTUEUX",$I938="ANNULE")),"Clôturé sans suite","En cours")))</f>
        <v/>
      </c>
      <c r="N938">
        <f>IF(ISBLANK('ENGAGEMENTS 2026'!C938),"",'ENGAGEMENTS 2026'!L938)</f>
        <v/>
      </c>
      <c r="O938">
        <f>IF(ISBLANK('ENGAGEMENTS 2026'!C938),"",'ENGAGEMENTS 2026'!M938)</f>
        <v/>
      </c>
      <c r="P938">
        <f>IF(ISBLANK('ENGAGEMENTS 2026'!C938),"",'ENGAGEMENTS 2026'!K938)</f>
        <v/>
      </c>
      <c r="Q938">
        <f>IF($A938="","",IF(OR($E938="INFRUCTUEUX",$E938="ANNULE"),$A938&amp;"|"&amp;(COUNTIFS($A$2:$A938,$A938,$E$2:$E938,"INFRUCTUEUX")+COUNTIFS($A$2:$A938,$A938,$E$2:$E938,"ANNULE")),""))</f>
        <v/>
      </c>
    </row>
    <row r="939">
      <c r="A939">
        <f>IF(ISBLANK('ENGAGEMENTS 2026'!C939),"",IF('ENGAGEMENTS 2026'!C939="DTSI","DCT",'ENGAGEMENTS 2026'!C939))</f>
        <v/>
      </c>
      <c r="B939">
        <f>IF(ISBLANK('ENGAGEMENTS 2026'!C939),"",'ENGAGEMENTS 2026'!D939)</f>
        <v/>
      </c>
      <c r="C939">
        <f>IF(ISBLANK('ENGAGEMENTS 2026'!C939),"",'ENGAGEMENTS 2026'!E939)</f>
        <v/>
      </c>
      <c r="D939">
        <f>IF(ISBLANK('ENGAGEMENTS 2026'!C939),"",'ENGAGEMENTS 2026'!G939)</f>
        <v/>
      </c>
      <c r="E939">
        <f>IF(ISBLANK('ENGAGEMENTS 2026'!C939),"",'ENGAGEMENTS 2026'!I939)</f>
        <v/>
      </c>
      <c r="F939">
        <f>IF(ISBLANK('ENGAGEMENTS 2026'!C939),"",'ENGAGEMENTS 2026'!J939)</f>
        <v/>
      </c>
      <c r="G939">
        <f>IF(ISBLANK('ENGAGEMENTS 2026'!C939),"",'ENGAGEMENTS 2026'!M939)</f>
        <v/>
      </c>
      <c r="H939">
        <f>IF(ISBLANK('ENGAGEMENTS 2026'!C939),"",'ENGAGEMENTS 2026'!AF939)</f>
        <v/>
      </c>
      <c r="I939">
        <f>IF(ISBLANK('ENGAGEMENTS 2026'!C939),"",'ENGAGEMENTS 2026'!H939)</f>
        <v/>
      </c>
      <c r="J939" s="275">
        <f>IF(ISBLANK('ENGAGEMENTS 2026'!C939),"",IF(AND(OR($E939="INFRUCTUEUX",$E939="ANNULE"),$C939="AOO-M"),'ENGAGEMENTS 2026'!P939,IF($H939="EN COURS DE PREENGAGEMENT",'ENGAGEMENTS 2026'!O939,IF($H939="PREENGAGE",IF($E939="ATTRIBUE",'ENGAGEMENTS 2026'!AE939,'ENGAGEMENTS 2026'!O939),'ENGAGEMENTS 2026'!AE939))))</f>
        <v/>
      </c>
      <c r="K939" s="604">
        <f>IF(ISBLANK('ENGAGEMENTS 2026'!W939),"",'ENGAGEMENTS 2026'!W939)</f>
        <v/>
      </c>
      <c r="L939" s="276">
        <f>IF($K939="","",TODAY()-$K939)</f>
        <v/>
      </c>
      <c r="M939">
        <f>IF($A939="","",IF($H939="ENGAGE","Engagé",IF(AND($H939="NON ENGAGE",OR($I939="INFRUCTUEUX",$I939="ANNULE")),"Clôturé sans suite","En cours")))</f>
        <v/>
      </c>
      <c r="N939">
        <f>IF(ISBLANK('ENGAGEMENTS 2026'!C939),"",'ENGAGEMENTS 2026'!L939)</f>
        <v/>
      </c>
      <c r="O939">
        <f>IF(ISBLANK('ENGAGEMENTS 2026'!C939),"",'ENGAGEMENTS 2026'!M939)</f>
        <v/>
      </c>
      <c r="P939">
        <f>IF(ISBLANK('ENGAGEMENTS 2026'!C939),"",'ENGAGEMENTS 2026'!K939)</f>
        <v/>
      </c>
      <c r="Q939">
        <f>IF($A939="","",IF(OR($E939="INFRUCTUEUX",$E939="ANNULE"),$A939&amp;"|"&amp;(COUNTIFS($A$2:$A939,$A939,$E$2:$E939,"INFRUCTUEUX")+COUNTIFS($A$2:$A939,$A939,$E$2:$E939,"ANNULE")),""))</f>
        <v/>
      </c>
    </row>
    <row r="940">
      <c r="A940">
        <f>IF(ISBLANK('ENGAGEMENTS 2026'!C940),"",IF('ENGAGEMENTS 2026'!C940="DTSI","DCT",'ENGAGEMENTS 2026'!C940))</f>
        <v/>
      </c>
      <c r="B940">
        <f>IF(ISBLANK('ENGAGEMENTS 2026'!C940),"",'ENGAGEMENTS 2026'!D940)</f>
        <v/>
      </c>
      <c r="C940">
        <f>IF(ISBLANK('ENGAGEMENTS 2026'!C940),"",'ENGAGEMENTS 2026'!E940)</f>
        <v/>
      </c>
      <c r="D940">
        <f>IF(ISBLANK('ENGAGEMENTS 2026'!C940),"",'ENGAGEMENTS 2026'!G940)</f>
        <v/>
      </c>
      <c r="E940">
        <f>IF(ISBLANK('ENGAGEMENTS 2026'!C940),"",'ENGAGEMENTS 2026'!I940)</f>
        <v/>
      </c>
      <c r="F940">
        <f>IF(ISBLANK('ENGAGEMENTS 2026'!C940),"",'ENGAGEMENTS 2026'!J940)</f>
        <v/>
      </c>
      <c r="G940">
        <f>IF(ISBLANK('ENGAGEMENTS 2026'!C940),"",'ENGAGEMENTS 2026'!M940)</f>
        <v/>
      </c>
      <c r="H940">
        <f>IF(ISBLANK('ENGAGEMENTS 2026'!C940),"",'ENGAGEMENTS 2026'!AF940)</f>
        <v/>
      </c>
      <c r="I940">
        <f>IF(ISBLANK('ENGAGEMENTS 2026'!C940),"",'ENGAGEMENTS 2026'!H940)</f>
        <v/>
      </c>
      <c r="J940" s="275">
        <f>IF(ISBLANK('ENGAGEMENTS 2026'!C940),"",IF(AND(OR($E940="INFRUCTUEUX",$E940="ANNULE"),$C940="AOO-M"),'ENGAGEMENTS 2026'!P940,IF($H940="EN COURS DE PREENGAGEMENT",'ENGAGEMENTS 2026'!O940,IF($H940="PREENGAGE",IF($E940="ATTRIBUE",'ENGAGEMENTS 2026'!AE940,'ENGAGEMENTS 2026'!O940),'ENGAGEMENTS 2026'!AE940))))</f>
        <v/>
      </c>
      <c r="K940" s="604">
        <f>IF(ISBLANK('ENGAGEMENTS 2026'!W940),"",'ENGAGEMENTS 2026'!W940)</f>
        <v/>
      </c>
      <c r="L940" s="276">
        <f>IF($K940="","",TODAY()-$K940)</f>
        <v/>
      </c>
      <c r="M940">
        <f>IF($A940="","",IF($H940="ENGAGE","Engagé",IF(AND($H940="NON ENGAGE",OR($I940="INFRUCTUEUX",$I940="ANNULE")),"Clôturé sans suite","En cours")))</f>
        <v/>
      </c>
      <c r="N940">
        <f>IF(ISBLANK('ENGAGEMENTS 2026'!C940),"",'ENGAGEMENTS 2026'!L940)</f>
        <v/>
      </c>
      <c r="O940">
        <f>IF(ISBLANK('ENGAGEMENTS 2026'!C940),"",'ENGAGEMENTS 2026'!M940)</f>
        <v/>
      </c>
      <c r="P940">
        <f>IF(ISBLANK('ENGAGEMENTS 2026'!C940),"",'ENGAGEMENTS 2026'!K940)</f>
        <v/>
      </c>
      <c r="Q940">
        <f>IF($A940="","",IF(OR($E940="INFRUCTUEUX",$E940="ANNULE"),$A940&amp;"|"&amp;(COUNTIFS($A$2:$A940,$A940,$E$2:$E940,"INFRUCTUEUX")+COUNTIFS($A$2:$A940,$A940,$E$2:$E940,"ANNULE")),""))</f>
        <v/>
      </c>
    </row>
    <row r="941">
      <c r="A941">
        <f>IF(ISBLANK('ENGAGEMENTS 2026'!C941),"",IF('ENGAGEMENTS 2026'!C941="DTSI","DCT",'ENGAGEMENTS 2026'!C941))</f>
        <v/>
      </c>
      <c r="B941">
        <f>IF(ISBLANK('ENGAGEMENTS 2026'!C941),"",'ENGAGEMENTS 2026'!D941)</f>
        <v/>
      </c>
      <c r="C941">
        <f>IF(ISBLANK('ENGAGEMENTS 2026'!C941),"",'ENGAGEMENTS 2026'!E941)</f>
        <v/>
      </c>
      <c r="D941">
        <f>IF(ISBLANK('ENGAGEMENTS 2026'!C941),"",'ENGAGEMENTS 2026'!G941)</f>
        <v/>
      </c>
      <c r="E941">
        <f>IF(ISBLANK('ENGAGEMENTS 2026'!C941),"",'ENGAGEMENTS 2026'!I941)</f>
        <v/>
      </c>
      <c r="F941">
        <f>IF(ISBLANK('ENGAGEMENTS 2026'!C941),"",'ENGAGEMENTS 2026'!J941)</f>
        <v/>
      </c>
      <c r="G941">
        <f>IF(ISBLANK('ENGAGEMENTS 2026'!C941),"",'ENGAGEMENTS 2026'!M941)</f>
        <v/>
      </c>
      <c r="H941">
        <f>IF(ISBLANK('ENGAGEMENTS 2026'!C941),"",'ENGAGEMENTS 2026'!AF941)</f>
        <v/>
      </c>
      <c r="I941">
        <f>IF(ISBLANK('ENGAGEMENTS 2026'!C941),"",'ENGAGEMENTS 2026'!H941)</f>
        <v/>
      </c>
      <c r="J941" s="275">
        <f>IF(ISBLANK('ENGAGEMENTS 2026'!C941),"",IF(AND(OR($E941="INFRUCTUEUX",$E941="ANNULE"),$C941="AOO-M"),'ENGAGEMENTS 2026'!P941,IF($H941="EN COURS DE PREENGAGEMENT",'ENGAGEMENTS 2026'!O941,IF($H941="PREENGAGE",IF($E941="ATTRIBUE",'ENGAGEMENTS 2026'!AE941,'ENGAGEMENTS 2026'!O941),'ENGAGEMENTS 2026'!AE941))))</f>
        <v/>
      </c>
      <c r="K941" s="604">
        <f>IF(ISBLANK('ENGAGEMENTS 2026'!W941),"",'ENGAGEMENTS 2026'!W941)</f>
        <v/>
      </c>
      <c r="L941" s="276">
        <f>IF($K941="","",TODAY()-$K941)</f>
        <v/>
      </c>
      <c r="M941">
        <f>IF($A941="","",IF($H941="ENGAGE","Engagé",IF(AND($H941="NON ENGAGE",OR($I941="INFRUCTUEUX",$I941="ANNULE")),"Clôturé sans suite","En cours")))</f>
        <v/>
      </c>
      <c r="N941">
        <f>IF(ISBLANK('ENGAGEMENTS 2026'!C941),"",'ENGAGEMENTS 2026'!L941)</f>
        <v/>
      </c>
      <c r="O941">
        <f>IF(ISBLANK('ENGAGEMENTS 2026'!C941),"",'ENGAGEMENTS 2026'!M941)</f>
        <v/>
      </c>
      <c r="P941">
        <f>IF(ISBLANK('ENGAGEMENTS 2026'!C941),"",'ENGAGEMENTS 2026'!K941)</f>
        <v/>
      </c>
      <c r="Q941">
        <f>IF($A941="","",IF(OR($E941="INFRUCTUEUX",$E941="ANNULE"),$A941&amp;"|"&amp;(COUNTIFS($A$2:$A941,$A941,$E$2:$E941,"INFRUCTUEUX")+COUNTIFS($A$2:$A941,$A941,$E$2:$E941,"ANNULE")),""))</f>
        <v/>
      </c>
    </row>
    <row r="942">
      <c r="A942">
        <f>IF(ISBLANK('ENGAGEMENTS 2026'!C942),"",IF('ENGAGEMENTS 2026'!C942="DTSI","DCT",'ENGAGEMENTS 2026'!C942))</f>
        <v/>
      </c>
      <c r="B942">
        <f>IF(ISBLANK('ENGAGEMENTS 2026'!C942),"",'ENGAGEMENTS 2026'!D942)</f>
        <v/>
      </c>
      <c r="C942">
        <f>IF(ISBLANK('ENGAGEMENTS 2026'!C942),"",'ENGAGEMENTS 2026'!E942)</f>
        <v/>
      </c>
      <c r="D942">
        <f>IF(ISBLANK('ENGAGEMENTS 2026'!C942),"",'ENGAGEMENTS 2026'!G942)</f>
        <v/>
      </c>
      <c r="E942">
        <f>IF(ISBLANK('ENGAGEMENTS 2026'!C942),"",'ENGAGEMENTS 2026'!I942)</f>
        <v/>
      </c>
      <c r="F942">
        <f>IF(ISBLANK('ENGAGEMENTS 2026'!C942),"",'ENGAGEMENTS 2026'!J942)</f>
        <v/>
      </c>
      <c r="G942">
        <f>IF(ISBLANK('ENGAGEMENTS 2026'!C942),"",'ENGAGEMENTS 2026'!M942)</f>
        <v/>
      </c>
      <c r="H942">
        <f>IF(ISBLANK('ENGAGEMENTS 2026'!C942),"",'ENGAGEMENTS 2026'!AF942)</f>
        <v/>
      </c>
      <c r="I942">
        <f>IF(ISBLANK('ENGAGEMENTS 2026'!C942),"",'ENGAGEMENTS 2026'!H942)</f>
        <v/>
      </c>
      <c r="J942" s="275">
        <f>IF(ISBLANK('ENGAGEMENTS 2026'!C942),"",IF(AND(OR($E942="INFRUCTUEUX",$E942="ANNULE"),$C942="AOO-M"),'ENGAGEMENTS 2026'!P942,IF($H942="EN COURS DE PREENGAGEMENT",'ENGAGEMENTS 2026'!O942,IF($H942="PREENGAGE",IF($E942="ATTRIBUE",'ENGAGEMENTS 2026'!AE942,'ENGAGEMENTS 2026'!O942),'ENGAGEMENTS 2026'!AE942))))</f>
        <v/>
      </c>
      <c r="K942" s="604">
        <f>IF(ISBLANK('ENGAGEMENTS 2026'!W942),"",'ENGAGEMENTS 2026'!W942)</f>
        <v/>
      </c>
      <c r="L942" s="276">
        <f>IF($K942="","",TODAY()-$K942)</f>
        <v/>
      </c>
      <c r="M942">
        <f>IF($A942="","",IF($H942="ENGAGE","Engagé",IF(AND($H942="NON ENGAGE",OR($I942="INFRUCTUEUX",$I942="ANNULE")),"Clôturé sans suite","En cours")))</f>
        <v/>
      </c>
      <c r="N942">
        <f>IF(ISBLANK('ENGAGEMENTS 2026'!C942),"",'ENGAGEMENTS 2026'!L942)</f>
        <v/>
      </c>
      <c r="O942">
        <f>IF(ISBLANK('ENGAGEMENTS 2026'!C942),"",'ENGAGEMENTS 2026'!M942)</f>
        <v/>
      </c>
      <c r="P942">
        <f>IF(ISBLANK('ENGAGEMENTS 2026'!C942),"",'ENGAGEMENTS 2026'!K942)</f>
        <v/>
      </c>
      <c r="Q942">
        <f>IF($A942="","",IF(OR($E942="INFRUCTUEUX",$E942="ANNULE"),$A942&amp;"|"&amp;(COUNTIFS($A$2:$A942,$A942,$E$2:$E942,"INFRUCTUEUX")+COUNTIFS($A$2:$A942,$A942,$E$2:$E942,"ANNULE")),""))</f>
        <v/>
      </c>
    </row>
    <row r="943">
      <c r="A943">
        <f>IF(ISBLANK('ENGAGEMENTS 2026'!C943),"",IF('ENGAGEMENTS 2026'!C943="DTSI","DCT",'ENGAGEMENTS 2026'!C943))</f>
        <v/>
      </c>
      <c r="B943">
        <f>IF(ISBLANK('ENGAGEMENTS 2026'!C943),"",'ENGAGEMENTS 2026'!D943)</f>
        <v/>
      </c>
      <c r="C943">
        <f>IF(ISBLANK('ENGAGEMENTS 2026'!C943),"",'ENGAGEMENTS 2026'!E943)</f>
        <v/>
      </c>
      <c r="D943">
        <f>IF(ISBLANK('ENGAGEMENTS 2026'!C943),"",'ENGAGEMENTS 2026'!G943)</f>
        <v/>
      </c>
      <c r="E943">
        <f>IF(ISBLANK('ENGAGEMENTS 2026'!C943),"",'ENGAGEMENTS 2026'!I943)</f>
        <v/>
      </c>
      <c r="F943">
        <f>IF(ISBLANK('ENGAGEMENTS 2026'!C943),"",'ENGAGEMENTS 2026'!J943)</f>
        <v/>
      </c>
      <c r="G943">
        <f>IF(ISBLANK('ENGAGEMENTS 2026'!C943),"",'ENGAGEMENTS 2026'!M943)</f>
        <v/>
      </c>
      <c r="H943">
        <f>IF(ISBLANK('ENGAGEMENTS 2026'!C943),"",'ENGAGEMENTS 2026'!AF943)</f>
        <v/>
      </c>
      <c r="I943">
        <f>IF(ISBLANK('ENGAGEMENTS 2026'!C943),"",'ENGAGEMENTS 2026'!H943)</f>
        <v/>
      </c>
      <c r="J943" s="275">
        <f>IF(ISBLANK('ENGAGEMENTS 2026'!C943),"",IF(AND(OR($E943="INFRUCTUEUX",$E943="ANNULE"),$C943="AOO-M"),'ENGAGEMENTS 2026'!P943,IF($H943="EN COURS DE PREENGAGEMENT",'ENGAGEMENTS 2026'!O943,IF($H943="PREENGAGE",IF($E943="ATTRIBUE",'ENGAGEMENTS 2026'!AE943,'ENGAGEMENTS 2026'!O943),'ENGAGEMENTS 2026'!AE943))))</f>
        <v/>
      </c>
      <c r="K943" s="604">
        <f>IF(ISBLANK('ENGAGEMENTS 2026'!W943),"",'ENGAGEMENTS 2026'!W943)</f>
        <v/>
      </c>
      <c r="L943" s="276">
        <f>IF($K943="","",TODAY()-$K943)</f>
        <v/>
      </c>
      <c r="M943">
        <f>IF($A943="","",IF($H943="ENGAGE","Engagé",IF(AND($H943="NON ENGAGE",OR($I943="INFRUCTUEUX",$I943="ANNULE")),"Clôturé sans suite","En cours")))</f>
        <v/>
      </c>
      <c r="N943">
        <f>IF(ISBLANK('ENGAGEMENTS 2026'!C943),"",'ENGAGEMENTS 2026'!L943)</f>
        <v/>
      </c>
      <c r="O943">
        <f>IF(ISBLANK('ENGAGEMENTS 2026'!C943),"",'ENGAGEMENTS 2026'!M943)</f>
        <v/>
      </c>
      <c r="P943">
        <f>IF(ISBLANK('ENGAGEMENTS 2026'!C943),"",'ENGAGEMENTS 2026'!K943)</f>
        <v/>
      </c>
      <c r="Q943">
        <f>IF($A943="","",IF(OR($E943="INFRUCTUEUX",$E943="ANNULE"),$A943&amp;"|"&amp;(COUNTIFS($A$2:$A943,$A943,$E$2:$E943,"INFRUCTUEUX")+COUNTIFS($A$2:$A943,$A943,$E$2:$E943,"ANNULE")),""))</f>
        <v/>
      </c>
    </row>
    <row r="944">
      <c r="A944">
        <f>IF(ISBLANK('ENGAGEMENTS 2026'!C944),"",IF('ENGAGEMENTS 2026'!C944="DTSI","DCT",'ENGAGEMENTS 2026'!C944))</f>
        <v/>
      </c>
      <c r="B944">
        <f>IF(ISBLANK('ENGAGEMENTS 2026'!C944),"",'ENGAGEMENTS 2026'!D944)</f>
        <v/>
      </c>
      <c r="C944">
        <f>IF(ISBLANK('ENGAGEMENTS 2026'!C944),"",'ENGAGEMENTS 2026'!E944)</f>
        <v/>
      </c>
      <c r="D944">
        <f>IF(ISBLANK('ENGAGEMENTS 2026'!C944),"",'ENGAGEMENTS 2026'!G944)</f>
        <v/>
      </c>
      <c r="E944">
        <f>IF(ISBLANK('ENGAGEMENTS 2026'!C944),"",'ENGAGEMENTS 2026'!I944)</f>
        <v/>
      </c>
      <c r="F944">
        <f>IF(ISBLANK('ENGAGEMENTS 2026'!C944),"",'ENGAGEMENTS 2026'!J944)</f>
        <v/>
      </c>
      <c r="G944">
        <f>IF(ISBLANK('ENGAGEMENTS 2026'!C944),"",'ENGAGEMENTS 2026'!M944)</f>
        <v/>
      </c>
      <c r="H944">
        <f>IF(ISBLANK('ENGAGEMENTS 2026'!C944),"",'ENGAGEMENTS 2026'!AF944)</f>
        <v/>
      </c>
      <c r="I944">
        <f>IF(ISBLANK('ENGAGEMENTS 2026'!C944),"",'ENGAGEMENTS 2026'!H944)</f>
        <v/>
      </c>
      <c r="J944" s="275">
        <f>IF(ISBLANK('ENGAGEMENTS 2026'!C944),"",IF(AND(OR($E944="INFRUCTUEUX",$E944="ANNULE"),$C944="AOO-M"),'ENGAGEMENTS 2026'!P944,IF($H944="EN COURS DE PREENGAGEMENT",'ENGAGEMENTS 2026'!O944,IF($H944="PREENGAGE",IF($E944="ATTRIBUE",'ENGAGEMENTS 2026'!AE944,'ENGAGEMENTS 2026'!O944),'ENGAGEMENTS 2026'!AE944))))</f>
        <v/>
      </c>
      <c r="K944" s="604">
        <f>IF(ISBLANK('ENGAGEMENTS 2026'!W944),"",'ENGAGEMENTS 2026'!W944)</f>
        <v/>
      </c>
      <c r="L944" s="276">
        <f>IF($K944="","",TODAY()-$K944)</f>
        <v/>
      </c>
      <c r="M944">
        <f>IF($A944="","",IF($H944="ENGAGE","Engagé",IF(AND($H944="NON ENGAGE",OR($I944="INFRUCTUEUX",$I944="ANNULE")),"Clôturé sans suite","En cours")))</f>
        <v/>
      </c>
      <c r="N944">
        <f>IF(ISBLANK('ENGAGEMENTS 2026'!C944),"",'ENGAGEMENTS 2026'!L944)</f>
        <v/>
      </c>
      <c r="O944">
        <f>IF(ISBLANK('ENGAGEMENTS 2026'!C944),"",'ENGAGEMENTS 2026'!M944)</f>
        <v/>
      </c>
      <c r="P944">
        <f>IF(ISBLANK('ENGAGEMENTS 2026'!C944),"",'ENGAGEMENTS 2026'!K944)</f>
        <v/>
      </c>
      <c r="Q944">
        <f>IF($A944="","",IF(OR($E944="INFRUCTUEUX",$E944="ANNULE"),$A944&amp;"|"&amp;(COUNTIFS($A$2:$A944,$A944,$E$2:$E944,"INFRUCTUEUX")+COUNTIFS($A$2:$A944,$A944,$E$2:$E944,"ANNULE")),""))</f>
        <v/>
      </c>
    </row>
    <row r="945">
      <c r="A945">
        <f>IF(ISBLANK('ENGAGEMENTS 2026'!C945),"",IF('ENGAGEMENTS 2026'!C945="DTSI","DCT",'ENGAGEMENTS 2026'!C945))</f>
        <v/>
      </c>
      <c r="B945">
        <f>IF(ISBLANK('ENGAGEMENTS 2026'!C945),"",'ENGAGEMENTS 2026'!D945)</f>
        <v/>
      </c>
      <c r="C945">
        <f>IF(ISBLANK('ENGAGEMENTS 2026'!C945),"",'ENGAGEMENTS 2026'!E945)</f>
        <v/>
      </c>
      <c r="D945">
        <f>IF(ISBLANK('ENGAGEMENTS 2026'!C945),"",'ENGAGEMENTS 2026'!G945)</f>
        <v/>
      </c>
      <c r="E945">
        <f>IF(ISBLANK('ENGAGEMENTS 2026'!C945),"",'ENGAGEMENTS 2026'!I945)</f>
        <v/>
      </c>
      <c r="F945">
        <f>IF(ISBLANK('ENGAGEMENTS 2026'!C945),"",'ENGAGEMENTS 2026'!J945)</f>
        <v/>
      </c>
      <c r="G945">
        <f>IF(ISBLANK('ENGAGEMENTS 2026'!C945),"",'ENGAGEMENTS 2026'!M945)</f>
        <v/>
      </c>
      <c r="H945">
        <f>IF(ISBLANK('ENGAGEMENTS 2026'!C945),"",'ENGAGEMENTS 2026'!AF945)</f>
        <v/>
      </c>
      <c r="I945">
        <f>IF(ISBLANK('ENGAGEMENTS 2026'!C945),"",'ENGAGEMENTS 2026'!H945)</f>
        <v/>
      </c>
      <c r="J945" s="275">
        <f>IF(ISBLANK('ENGAGEMENTS 2026'!C945),"",IF(AND(OR($E945="INFRUCTUEUX",$E945="ANNULE"),$C945="AOO-M"),'ENGAGEMENTS 2026'!P945,IF($H945="EN COURS DE PREENGAGEMENT",'ENGAGEMENTS 2026'!O945,IF($H945="PREENGAGE",IF($E945="ATTRIBUE",'ENGAGEMENTS 2026'!AE945,'ENGAGEMENTS 2026'!O945),'ENGAGEMENTS 2026'!AE945))))</f>
        <v/>
      </c>
      <c r="K945" s="604">
        <f>IF(ISBLANK('ENGAGEMENTS 2026'!W945),"",'ENGAGEMENTS 2026'!W945)</f>
        <v/>
      </c>
      <c r="L945" s="276">
        <f>IF($K945="","",TODAY()-$K945)</f>
        <v/>
      </c>
      <c r="M945">
        <f>IF($A945="","",IF($H945="ENGAGE","Engagé",IF(AND($H945="NON ENGAGE",OR($I945="INFRUCTUEUX",$I945="ANNULE")),"Clôturé sans suite","En cours")))</f>
        <v/>
      </c>
      <c r="N945">
        <f>IF(ISBLANK('ENGAGEMENTS 2026'!C945),"",'ENGAGEMENTS 2026'!L945)</f>
        <v/>
      </c>
      <c r="O945">
        <f>IF(ISBLANK('ENGAGEMENTS 2026'!C945),"",'ENGAGEMENTS 2026'!M945)</f>
        <v/>
      </c>
      <c r="P945">
        <f>IF(ISBLANK('ENGAGEMENTS 2026'!C945),"",'ENGAGEMENTS 2026'!K945)</f>
        <v/>
      </c>
      <c r="Q945">
        <f>IF($A945="","",IF(OR($E945="INFRUCTUEUX",$E945="ANNULE"),$A945&amp;"|"&amp;(COUNTIFS($A$2:$A945,$A945,$E$2:$E945,"INFRUCTUEUX")+COUNTIFS($A$2:$A945,$A945,$E$2:$E945,"ANNULE")),""))</f>
        <v/>
      </c>
    </row>
    <row r="946">
      <c r="A946">
        <f>IF(ISBLANK('ENGAGEMENTS 2026'!C946),"",IF('ENGAGEMENTS 2026'!C946="DTSI","DCT",'ENGAGEMENTS 2026'!C946))</f>
        <v/>
      </c>
      <c r="B946">
        <f>IF(ISBLANK('ENGAGEMENTS 2026'!C946),"",'ENGAGEMENTS 2026'!D946)</f>
        <v/>
      </c>
      <c r="C946">
        <f>IF(ISBLANK('ENGAGEMENTS 2026'!C946),"",'ENGAGEMENTS 2026'!E946)</f>
        <v/>
      </c>
      <c r="D946">
        <f>IF(ISBLANK('ENGAGEMENTS 2026'!C946),"",'ENGAGEMENTS 2026'!G946)</f>
        <v/>
      </c>
      <c r="E946">
        <f>IF(ISBLANK('ENGAGEMENTS 2026'!C946),"",'ENGAGEMENTS 2026'!I946)</f>
        <v/>
      </c>
      <c r="F946">
        <f>IF(ISBLANK('ENGAGEMENTS 2026'!C946),"",'ENGAGEMENTS 2026'!J946)</f>
        <v/>
      </c>
      <c r="G946">
        <f>IF(ISBLANK('ENGAGEMENTS 2026'!C946),"",'ENGAGEMENTS 2026'!M946)</f>
        <v/>
      </c>
      <c r="H946">
        <f>IF(ISBLANK('ENGAGEMENTS 2026'!C946),"",'ENGAGEMENTS 2026'!AF946)</f>
        <v/>
      </c>
      <c r="I946">
        <f>IF(ISBLANK('ENGAGEMENTS 2026'!C946),"",'ENGAGEMENTS 2026'!H946)</f>
        <v/>
      </c>
      <c r="J946" s="275">
        <f>IF(ISBLANK('ENGAGEMENTS 2026'!C946),"",IF(AND(OR($E946="INFRUCTUEUX",$E946="ANNULE"),$C946="AOO-M"),'ENGAGEMENTS 2026'!P946,IF($H946="EN COURS DE PREENGAGEMENT",'ENGAGEMENTS 2026'!O946,IF($H946="PREENGAGE",IF($E946="ATTRIBUE",'ENGAGEMENTS 2026'!AE946,'ENGAGEMENTS 2026'!O946),'ENGAGEMENTS 2026'!AE946))))</f>
        <v/>
      </c>
      <c r="K946" s="604">
        <f>IF(ISBLANK('ENGAGEMENTS 2026'!W946),"",'ENGAGEMENTS 2026'!W946)</f>
        <v/>
      </c>
      <c r="L946" s="276">
        <f>IF($K946="","",TODAY()-$K946)</f>
        <v/>
      </c>
      <c r="M946">
        <f>IF($A946="","",IF($H946="ENGAGE","Engagé",IF(AND($H946="NON ENGAGE",OR($I946="INFRUCTUEUX",$I946="ANNULE")),"Clôturé sans suite","En cours")))</f>
        <v/>
      </c>
      <c r="N946">
        <f>IF(ISBLANK('ENGAGEMENTS 2026'!C946),"",'ENGAGEMENTS 2026'!L946)</f>
        <v/>
      </c>
      <c r="O946">
        <f>IF(ISBLANK('ENGAGEMENTS 2026'!C946),"",'ENGAGEMENTS 2026'!M946)</f>
        <v/>
      </c>
      <c r="P946">
        <f>IF(ISBLANK('ENGAGEMENTS 2026'!C946),"",'ENGAGEMENTS 2026'!K946)</f>
        <v/>
      </c>
      <c r="Q946">
        <f>IF($A946="","",IF(OR($E946="INFRUCTUEUX",$E946="ANNULE"),$A946&amp;"|"&amp;(COUNTIFS($A$2:$A946,$A946,$E$2:$E946,"INFRUCTUEUX")+COUNTIFS($A$2:$A946,$A946,$E$2:$E946,"ANNULE")),""))</f>
        <v/>
      </c>
    </row>
    <row r="947">
      <c r="A947">
        <f>IF(ISBLANK('ENGAGEMENTS 2026'!C947),"",IF('ENGAGEMENTS 2026'!C947="DTSI","DCT",'ENGAGEMENTS 2026'!C947))</f>
        <v/>
      </c>
      <c r="B947">
        <f>IF(ISBLANK('ENGAGEMENTS 2026'!C947),"",'ENGAGEMENTS 2026'!D947)</f>
        <v/>
      </c>
      <c r="C947">
        <f>IF(ISBLANK('ENGAGEMENTS 2026'!C947),"",'ENGAGEMENTS 2026'!E947)</f>
        <v/>
      </c>
      <c r="D947">
        <f>IF(ISBLANK('ENGAGEMENTS 2026'!C947),"",'ENGAGEMENTS 2026'!G947)</f>
        <v/>
      </c>
      <c r="E947">
        <f>IF(ISBLANK('ENGAGEMENTS 2026'!C947),"",'ENGAGEMENTS 2026'!I947)</f>
        <v/>
      </c>
      <c r="F947">
        <f>IF(ISBLANK('ENGAGEMENTS 2026'!C947),"",'ENGAGEMENTS 2026'!J947)</f>
        <v/>
      </c>
      <c r="G947">
        <f>IF(ISBLANK('ENGAGEMENTS 2026'!C947),"",'ENGAGEMENTS 2026'!M947)</f>
        <v/>
      </c>
      <c r="H947">
        <f>IF(ISBLANK('ENGAGEMENTS 2026'!C947),"",'ENGAGEMENTS 2026'!AF947)</f>
        <v/>
      </c>
      <c r="I947">
        <f>IF(ISBLANK('ENGAGEMENTS 2026'!C947),"",'ENGAGEMENTS 2026'!H947)</f>
        <v/>
      </c>
      <c r="J947" s="275">
        <f>IF(ISBLANK('ENGAGEMENTS 2026'!C947),"",IF(AND(OR($E947="INFRUCTUEUX",$E947="ANNULE"),$C947="AOO-M"),'ENGAGEMENTS 2026'!P947,IF($H947="EN COURS DE PREENGAGEMENT",'ENGAGEMENTS 2026'!O947,IF($H947="PREENGAGE",IF($E947="ATTRIBUE",'ENGAGEMENTS 2026'!AE947,'ENGAGEMENTS 2026'!O947),'ENGAGEMENTS 2026'!AE947))))</f>
        <v/>
      </c>
      <c r="K947" s="604">
        <f>IF(ISBLANK('ENGAGEMENTS 2026'!W947),"",'ENGAGEMENTS 2026'!W947)</f>
        <v/>
      </c>
      <c r="L947" s="276">
        <f>IF($K947="","",TODAY()-$K947)</f>
        <v/>
      </c>
      <c r="M947">
        <f>IF($A947="","",IF($H947="ENGAGE","Engagé",IF(AND($H947="NON ENGAGE",OR($I947="INFRUCTUEUX",$I947="ANNULE")),"Clôturé sans suite","En cours")))</f>
        <v/>
      </c>
      <c r="N947">
        <f>IF(ISBLANK('ENGAGEMENTS 2026'!C947),"",'ENGAGEMENTS 2026'!L947)</f>
        <v/>
      </c>
      <c r="O947">
        <f>IF(ISBLANK('ENGAGEMENTS 2026'!C947),"",'ENGAGEMENTS 2026'!M947)</f>
        <v/>
      </c>
      <c r="P947">
        <f>IF(ISBLANK('ENGAGEMENTS 2026'!C947),"",'ENGAGEMENTS 2026'!K947)</f>
        <v/>
      </c>
      <c r="Q947">
        <f>IF($A947="","",IF(OR($E947="INFRUCTUEUX",$E947="ANNULE"),$A947&amp;"|"&amp;(COUNTIFS($A$2:$A947,$A947,$E$2:$E947,"INFRUCTUEUX")+COUNTIFS($A$2:$A947,$A947,$E$2:$E947,"ANNULE")),""))</f>
        <v/>
      </c>
    </row>
    <row r="948">
      <c r="A948">
        <f>IF(ISBLANK('ENGAGEMENTS 2026'!C948),"",IF('ENGAGEMENTS 2026'!C948="DTSI","DCT",'ENGAGEMENTS 2026'!C948))</f>
        <v/>
      </c>
      <c r="B948">
        <f>IF(ISBLANK('ENGAGEMENTS 2026'!C948),"",'ENGAGEMENTS 2026'!D948)</f>
        <v/>
      </c>
      <c r="C948">
        <f>IF(ISBLANK('ENGAGEMENTS 2026'!C948),"",'ENGAGEMENTS 2026'!E948)</f>
        <v/>
      </c>
      <c r="D948">
        <f>IF(ISBLANK('ENGAGEMENTS 2026'!C948),"",'ENGAGEMENTS 2026'!G948)</f>
        <v/>
      </c>
      <c r="E948">
        <f>IF(ISBLANK('ENGAGEMENTS 2026'!C948),"",'ENGAGEMENTS 2026'!I948)</f>
        <v/>
      </c>
      <c r="F948">
        <f>IF(ISBLANK('ENGAGEMENTS 2026'!C948),"",'ENGAGEMENTS 2026'!J948)</f>
        <v/>
      </c>
      <c r="G948">
        <f>IF(ISBLANK('ENGAGEMENTS 2026'!C948),"",'ENGAGEMENTS 2026'!M948)</f>
        <v/>
      </c>
      <c r="H948">
        <f>IF(ISBLANK('ENGAGEMENTS 2026'!C948),"",'ENGAGEMENTS 2026'!AF948)</f>
        <v/>
      </c>
      <c r="I948">
        <f>IF(ISBLANK('ENGAGEMENTS 2026'!C948),"",'ENGAGEMENTS 2026'!H948)</f>
        <v/>
      </c>
      <c r="J948" s="275">
        <f>IF(ISBLANK('ENGAGEMENTS 2026'!C948),"",IF(AND(OR($E948="INFRUCTUEUX",$E948="ANNULE"),$C948="AOO-M"),'ENGAGEMENTS 2026'!P948,IF($H948="EN COURS DE PREENGAGEMENT",'ENGAGEMENTS 2026'!O948,IF($H948="PREENGAGE",IF($E948="ATTRIBUE",'ENGAGEMENTS 2026'!AE948,'ENGAGEMENTS 2026'!O948),'ENGAGEMENTS 2026'!AE948))))</f>
        <v/>
      </c>
      <c r="K948" s="604">
        <f>IF(ISBLANK('ENGAGEMENTS 2026'!W948),"",'ENGAGEMENTS 2026'!W948)</f>
        <v/>
      </c>
      <c r="L948" s="276">
        <f>IF($K948="","",TODAY()-$K948)</f>
        <v/>
      </c>
      <c r="M948">
        <f>IF($A948="","",IF($H948="ENGAGE","Engagé",IF(AND($H948="NON ENGAGE",OR($I948="INFRUCTUEUX",$I948="ANNULE")),"Clôturé sans suite","En cours")))</f>
        <v/>
      </c>
      <c r="N948">
        <f>IF(ISBLANK('ENGAGEMENTS 2026'!C948),"",'ENGAGEMENTS 2026'!L948)</f>
        <v/>
      </c>
      <c r="O948">
        <f>IF(ISBLANK('ENGAGEMENTS 2026'!C948),"",'ENGAGEMENTS 2026'!M948)</f>
        <v/>
      </c>
      <c r="P948">
        <f>IF(ISBLANK('ENGAGEMENTS 2026'!C948),"",'ENGAGEMENTS 2026'!K948)</f>
        <v/>
      </c>
      <c r="Q948">
        <f>IF($A948="","",IF(OR($E948="INFRUCTUEUX",$E948="ANNULE"),$A948&amp;"|"&amp;(COUNTIFS($A$2:$A948,$A948,$E$2:$E948,"INFRUCTUEUX")+COUNTIFS($A$2:$A948,$A948,$E$2:$E948,"ANNULE")),""))</f>
        <v/>
      </c>
    </row>
    <row r="949">
      <c r="A949">
        <f>IF(ISBLANK('ENGAGEMENTS 2026'!C949),"",IF('ENGAGEMENTS 2026'!C949="DTSI","DCT",'ENGAGEMENTS 2026'!C949))</f>
        <v/>
      </c>
      <c r="B949">
        <f>IF(ISBLANK('ENGAGEMENTS 2026'!C949),"",'ENGAGEMENTS 2026'!D949)</f>
        <v/>
      </c>
      <c r="C949">
        <f>IF(ISBLANK('ENGAGEMENTS 2026'!C949),"",'ENGAGEMENTS 2026'!E949)</f>
        <v/>
      </c>
      <c r="D949">
        <f>IF(ISBLANK('ENGAGEMENTS 2026'!C949),"",'ENGAGEMENTS 2026'!G949)</f>
        <v/>
      </c>
      <c r="E949">
        <f>IF(ISBLANK('ENGAGEMENTS 2026'!C949),"",'ENGAGEMENTS 2026'!I949)</f>
        <v/>
      </c>
      <c r="F949">
        <f>IF(ISBLANK('ENGAGEMENTS 2026'!C949),"",'ENGAGEMENTS 2026'!J949)</f>
        <v/>
      </c>
      <c r="G949">
        <f>IF(ISBLANK('ENGAGEMENTS 2026'!C949),"",'ENGAGEMENTS 2026'!M949)</f>
        <v/>
      </c>
      <c r="H949">
        <f>IF(ISBLANK('ENGAGEMENTS 2026'!C949),"",'ENGAGEMENTS 2026'!AF949)</f>
        <v/>
      </c>
      <c r="I949">
        <f>IF(ISBLANK('ENGAGEMENTS 2026'!C949),"",'ENGAGEMENTS 2026'!H949)</f>
        <v/>
      </c>
      <c r="J949" s="275">
        <f>IF(ISBLANK('ENGAGEMENTS 2026'!C949),"",IF(AND(OR($E949="INFRUCTUEUX",$E949="ANNULE"),$C949="AOO-M"),'ENGAGEMENTS 2026'!P949,IF($H949="EN COURS DE PREENGAGEMENT",'ENGAGEMENTS 2026'!O949,IF($H949="PREENGAGE",IF($E949="ATTRIBUE",'ENGAGEMENTS 2026'!AE949,'ENGAGEMENTS 2026'!O949),'ENGAGEMENTS 2026'!AE949))))</f>
        <v/>
      </c>
      <c r="K949" s="604">
        <f>IF(ISBLANK('ENGAGEMENTS 2026'!W949),"",'ENGAGEMENTS 2026'!W949)</f>
        <v/>
      </c>
      <c r="L949" s="276">
        <f>IF($K949="","",TODAY()-$K949)</f>
        <v/>
      </c>
      <c r="M949">
        <f>IF($A949="","",IF($H949="ENGAGE","Engagé",IF(AND($H949="NON ENGAGE",OR($I949="INFRUCTUEUX",$I949="ANNULE")),"Clôturé sans suite","En cours")))</f>
        <v/>
      </c>
      <c r="N949">
        <f>IF(ISBLANK('ENGAGEMENTS 2026'!C949),"",'ENGAGEMENTS 2026'!L949)</f>
        <v/>
      </c>
      <c r="O949">
        <f>IF(ISBLANK('ENGAGEMENTS 2026'!C949),"",'ENGAGEMENTS 2026'!M949)</f>
        <v/>
      </c>
      <c r="P949">
        <f>IF(ISBLANK('ENGAGEMENTS 2026'!C949),"",'ENGAGEMENTS 2026'!K949)</f>
        <v/>
      </c>
      <c r="Q949">
        <f>IF($A949="","",IF(OR($E949="INFRUCTUEUX",$E949="ANNULE"),$A949&amp;"|"&amp;(COUNTIFS($A$2:$A949,$A949,$E$2:$E949,"INFRUCTUEUX")+COUNTIFS($A$2:$A949,$A949,$E$2:$E949,"ANNULE")),""))</f>
        <v/>
      </c>
    </row>
    <row r="950">
      <c r="A950">
        <f>IF(ISBLANK('ENGAGEMENTS 2026'!C950),"",IF('ENGAGEMENTS 2026'!C950="DTSI","DCT",'ENGAGEMENTS 2026'!C950))</f>
        <v/>
      </c>
      <c r="B950">
        <f>IF(ISBLANK('ENGAGEMENTS 2026'!C950),"",'ENGAGEMENTS 2026'!D950)</f>
        <v/>
      </c>
      <c r="C950">
        <f>IF(ISBLANK('ENGAGEMENTS 2026'!C950),"",'ENGAGEMENTS 2026'!E950)</f>
        <v/>
      </c>
      <c r="D950">
        <f>IF(ISBLANK('ENGAGEMENTS 2026'!C950),"",'ENGAGEMENTS 2026'!G950)</f>
        <v/>
      </c>
      <c r="E950">
        <f>IF(ISBLANK('ENGAGEMENTS 2026'!C950),"",'ENGAGEMENTS 2026'!I950)</f>
        <v/>
      </c>
      <c r="F950">
        <f>IF(ISBLANK('ENGAGEMENTS 2026'!C950),"",'ENGAGEMENTS 2026'!J950)</f>
        <v/>
      </c>
      <c r="G950">
        <f>IF(ISBLANK('ENGAGEMENTS 2026'!C950),"",'ENGAGEMENTS 2026'!M950)</f>
        <v/>
      </c>
      <c r="H950">
        <f>IF(ISBLANK('ENGAGEMENTS 2026'!C950),"",'ENGAGEMENTS 2026'!AF950)</f>
        <v/>
      </c>
      <c r="I950">
        <f>IF(ISBLANK('ENGAGEMENTS 2026'!C950),"",'ENGAGEMENTS 2026'!H950)</f>
        <v/>
      </c>
      <c r="J950" s="275">
        <f>IF(ISBLANK('ENGAGEMENTS 2026'!C950),"",IF(AND(OR($E950="INFRUCTUEUX",$E950="ANNULE"),$C950="AOO-M"),'ENGAGEMENTS 2026'!P950,IF($H950="EN COURS DE PREENGAGEMENT",'ENGAGEMENTS 2026'!O950,IF($H950="PREENGAGE",IF($E950="ATTRIBUE",'ENGAGEMENTS 2026'!AE950,'ENGAGEMENTS 2026'!O950),'ENGAGEMENTS 2026'!AE950))))</f>
        <v/>
      </c>
      <c r="K950" s="604">
        <f>IF(ISBLANK('ENGAGEMENTS 2026'!W950),"",'ENGAGEMENTS 2026'!W950)</f>
        <v/>
      </c>
      <c r="L950" s="276">
        <f>IF($K950="","",TODAY()-$K950)</f>
        <v/>
      </c>
      <c r="M950">
        <f>IF($A950="","",IF($H950="ENGAGE","Engagé",IF(AND($H950="NON ENGAGE",OR($I950="INFRUCTUEUX",$I950="ANNULE")),"Clôturé sans suite","En cours")))</f>
        <v/>
      </c>
      <c r="N950">
        <f>IF(ISBLANK('ENGAGEMENTS 2026'!C950),"",'ENGAGEMENTS 2026'!L950)</f>
        <v/>
      </c>
      <c r="O950">
        <f>IF(ISBLANK('ENGAGEMENTS 2026'!C950),"",'ENGAGEMENTS 2026'!M950)</f>
        <v/>
      </c>
      <c r="P950">
        <f>IF(ISBLANK('ENGAGEMENTS 2026'!C950),"",'ENGAGEMENTS 2026'!K950)</f>
        <v/>
      </c>
      <c r="Q950">
        <f>IF($A950="","",IF(OR($E950="INFRUCTUEUX",$E950="ANNULE"),$A950&amp;"|"&amp;(COUNTIFS($A$2:$A950,$A950,$E$2:$E950,"INFRUCTUEUX")+COUNTIFS($A$2:$A950,$A950,$E$2:$E950,"ANNULE")),""))</f>
        <v/>
      </c>
    </row>
    <row r="951">
      <c r="A951">
        <f>IF(ISBLANK('ENGAGEMENTS 2026'!C951),"",IF('ENGAGEMENTS 2026'!C951="DTSI","DCT",'ENGAGEMENTS 2026'!C951))</f>
        <v/>
      </c>
      <c r="B951">
        <f>IF(ISBLANK('ENGAGEMENTS 2026'!C951),"",'ENGAGEMENTS 2026'!D951)</f>
        <v/>
      </c>
      <c r="C951">
        <f>IF(ISBLANK('ENGAGEMENTS 2026'!C951),"",'ENGAGEMENTS 2026'!E951)</f>
        <v/>
      </c>
      <c r="D951">
        <f>IF(ISBLANK('ENGAGEMENTS 2026'!C951),"",'ENGAGEMENTS 2026'!G951)</f>
        <v/>
      </c>
      <c r="E951">
        <f>IF(ISBLANK('ENGAGEMENTS 2026'!C951),"",'ENGAGEMENTS 2026'!I951)</f>
        <v/>
      </c>
      <c r="F951">
        <f>IF(ISBLANK('ENGAGEMENTS 2026'!C951),"",'ENGAGEMENTS 2026'!J951)</f>
        <v/>
      </c>
      <c r="G951">
        <f>IF(ISBLANK('ENGAGEMENTS 2026'!C951),"",'ENGAGEMENTS 2026'!M951)</f>
        <v/>
      </c>
      <c r="H951">
        <f>IF(ISBLANK('ENGAGEMENTS 2026'!C951),"",'ENGAGEMENTS 2026'!AF951)</f>
        <v/>
      </c>
      <c r="I951">
        <f>IF(ISBLANK('ENGAGEMENTS 2026'!C951),"",'ENGAGEMENTS 2026'!H951)</f>
        <v/>
      </c>
      <c r="J951" s="275">
        <f>IF(ISBLANK('ENGAGEMENTS 2026'!C951),"",IF(AND(OR($E951="INFRUCTUEUX",$E951="ANNULE"),$C951="AOO-M"),'ENGAGEMENTS 2026'!P951,IF($H951="EN COURS DE PREENGAGEMENT",'ENGAGEMENTS 2026'!O951,IF($H951="PREENGAGE",IF($E951="ATTRIBUE",'ENGAGEMENTS 2026'!AE951,'ENGAGEMENTS 2026'!O951),'ENGAGEMENTS 2026'!AE951))))</f>
        <v/>
      </c>
      <c r="K951" s="604">
        <f>IF(ISBLANK('ENGAGEMENTS 2026'!W951),"",'ENGAGEMENTS 2026'!W951)</f>
        <v/>
      </c>
      <c r="L951" s="276">
        <f>IF($K951="","",TODAY()-$K951)</f>
        <v/>
      </c>
      <c r="M951">
        <f>IF($A951="","",IF($H951="ENGAGE","Engagé",IF(AND($H951="NON ENGAGE",OR($I951="INFRUCTUEUX",$I951="ANNULE")),"Clôturé sans suite","En cours")))</f>
        <v/>
      </c>
      <c r="N951">
        <f>IF(ISBLANK('ENGAGEMENTS 2026'!C951),"",'ENGAGEMENTS 2026'!L951)</f>
        <v/>
      </c>
      <c r="O951">
        <f>IF(ISBLANK('ENGAGEMENTS 2026'!C951),"",'ENGAGEMENTS 2026'!M951)</f>
        <v/>
      </c>
      <c r="P951">
        <f>IF(ISBLANK('ENGAGEMENTS 2026'!C951),"",'ENGAGEMENTS 2026'!K951)</f>
        <v/>
      </c>
      <c r="Q951">
        <f>IF($A951="","",IF(OR($E951="INFRUCTUEUX",$E951="ANNULE"),$A951&amp;"|"&amp;(COUNTIFS($A$2:$A951,$A951,$E$2:$E951,"INFRUCTUEUX")+COUNTIFS($A$2:$A951,$A951,$E$2:$E951,"ANNULE")),""))</f>
        <v/>
      </c>
    </row>
    <row r="952">
      <c r="A952">
        <f>IF(ISBLANK('ENGAGEMENTS 2026'!C952),"",IF('ENGAGEMENTS 2026'!C952="DTSI","DCT",'ENGAGEMENTS 2026'!C952))</f>
        <v/>
      </c>
      <c r="B952">
        <f>IF(ISBLANK('ENGAGEMENTS 2026'!C952),"",'ENGAGEMENTS 2026'!D952)</f>
        <v/>
      </c>
      <c r="C952">
        <f>IF(ISBLANK('ENGAGEMENTS 2026'!C952),"",'ENGAGEMENTS 2026'!E952)</f>
        <v/>
      </c>
      <c r="D952">
        <f>IF(ISBLANK('ENGAGEMENTS 2026'!C952),"",'ENGAGEMENTS 2026'!G952)</f>
        <v/>
      </c>
      <c r="E952">
        <f>IF(ISBLANK('ENGAGEMENTS 2026'!C952),"",'ENGAGEMENTS 2026'!I952)</f>
        <v/>
      </c>
      <c r="F952">
        <f>IF(ISBLANK('ENGAGEMENTS 2026'!C952),"",'ENGAGEMENTS 2026'!J952)</f>
        <v/>
      </c>
      <c r="G952">
        <f>IF(ISBLANK('ENGAGEMENTS 2026'!C952),"",'ENGAGEMENTS 2026'!M952)</f>
        <v/>
      </c>
      <c r="H952">
        <f>IF(ISBLANK('ENGAGEMENTS 2026'!C952),"",'ENGAGEMENTS 2026'!AF952)</f>
        <v/>
      </c>
      <c r="I952">
        <f>IF(ISBLANK('ENGAGEMENTS 2026'!C952),"",'ENGAGEMENTS 2026'!H952)</f>
        <v/>
      </c>
      <c r="J952" s="275">
        <f>IF(ISBLANK('ENGAGEMENTS 2026'!C952),"",IF(AND(OR($E952="INFRUCTUEUX",$E952="ANNULE"),$C952="AOO-M"),'ENGAGEMENTS 2026'!P952,IF($H952="EN COURS DE PREENGAGEMENT",'ENGAGEMENTS 2026'!O952,IF($H952="PREENGAGE",IF($E952="ATTRIBUE",'ENGAGEMENTS 2026'!AE952,'ENGAGEMENTS 2026'!O952),'ENGAGEMENTS 2026'!AE952))))</f>
        <v/>
      </c>
      <c r="K952" s="604">
        <f>IF(ISBLANK('ENGAGEMENTS 2026'!W952),"",'ENGAGEMENTS 2026'!W952)</f>
        <v/>
      </c>
      <c r="L952" s="276">
        <f>IF($K952="","",TODAY()-$K952)</f>
        <v/>
      </c>
      <c r="M952">
        <f>IF($A952="","",IF($H952="ENGAGE","Engagé",IF(AND($H952="NON ENGAGE",OR($I952="INFRUCTUEUX",$I952="ANNULE")),"Clôturé sans suite","En cours")))</f>
        <v/>
      </c>
      <c r="N952">
        <f>IF(ISBLANK('ENGAGEMENTS 2026'!C952),"",'ENGAGEMENTS 2026'!L952)</f>
        <v/>
      </c>
      <c r="O952">
        <f>IF(ISBLANK('ENGAGEMENTS 2026'!C952),"",'ENGAGEMENTS 2026'!M952)</f>
        <v/>
      </c>
      <c r="P952">
        <f>IF(ISBLANK('ENGAGEMENTS 2026'!C952),"",'ENGAGEMENTS 2026'!K952)</f>
        <v/>
      </c>
      <c r="Q952">
        <f>IF($A952="","",IF(OR($E952="INFRUCTUEUX",$E952="ANNULE"),$A952&amp;"|"&amp;(COUNTIFS($A$2:$A952,$A952,$E$2:$E952,"INFRUCTUEUX")+COUNTIFS($A$2:$A952,$A952,$E$2:$E952,"ANNULE")),""))</f>
        <v/>
      </c>
    </row>
    <row r="953">
      <c r="A953">
        <f>IF(ISBLANK('ENGAGEMENTS 2026'!C953),"",IF('ENGAGEMENTS 2026'!C953="DTSI","DCT",'ENGAGEMENTS 2026'!C953))</f>
        <v/>
      </c>
      <c r="B953">
        <f>IF(ISBLANK('ENGAGEMENTS 2026'!C953),"",'ENGAGEMENTS 2026'!D953)</f>
        <v/>
      </c>
      <c r="C953">
        <f>IF(ISBLANK('ENGAGEMENTS 2026'!C953),"",'ENGAGEMENTS 2026'!E953)</f>
        <v/>
      </c>
      <c r="D953">
        <f>IF(ISBLANK('ENGAGEMENTS 2026'!C953),"",'ENGAGEMENTS 2026'!G953)</f>
        <v/>
      </c>
      <c r="E953">
        <f>IF(ISBLANK('ENGAGEMENTS 2026'!C953),"",'ENGAGEMENTS 2026'!I953)</f>
        <v/>
      </c>
      <c r="F953">
        <f>IF(ISBLANK('ENGAGEMENTS 2026'!C953),"",'ENGAGEMENTS 2026'!J953)</f>
        <v/>
      </c>
      <c r="G953">
        <f>IF(ISBLANK('ENGAGEMENTS 2026'!C953),"",'ENGAGEMENTS 2026'!M953)</f>
        <v/>
      </c>
      <c r="H953">
        <f>IF(ISBLANK('ENGAGEMENTS 2026'!C953),"",'ENGAGEMENTS 2026'!AF953)</f>
        <v/>
      </c>
      <c r="I953">
        <f>IF(ISBLANK('ENGAGEMENTS 2026'!C953),"",'ENGAGEMENTS 2026'!H953)</f>
        <v/>
      </c>
      <c r="J953" s="275">
        <f>IF(ISBLANK('ENGAGEMENTS 2026'!C953),"",IF(AND(OR($E953="INFRUCTUEUX",$E953="ANNULE"),$C953="AOO-M"),'ENGAGEMENTS 2026'!P953,IF($H953="EN COURS DE PREENGAGEMENT",'ENGAGEMENTS 2026'!O953,IF($H953="PREENGAGE",IF($E953="ATTRIBUE",'ENGAGEMENTS 2026'!AE953,'ENGAGEMENTS 2026'!O953),'ENGAGEMENTS 2026'!AE953))))</f>
        <v/>
      </c>
      <c r="K953" s="604">
        <f>IF(ISBLANK('ENGAGEMENTS 2026'!W953),"",'ENGAGEMENTS 2026'!W953)</f>
        <v/>
      </c>
      <c r="L953" s="276">
        <f>IF($K953="","",TODAY()-$K953)</f>
        <v/>
      </c>
      <c r="M953">
        <f>IF($A953="","",IF($H953="ENGAGE","Engagé",IF(AND($H953="NON ENGAGE",OR($I953="INFRUCTUEUX",$I953="ANNULE")),"Clôturé sans suite","En cours")))</f>
        <v/>
      </c>
      <c r="N953">
        <f>IF(ISBLANK('ENGAGEMENTS 2026'!C953),"",'ENGAGEMENTS 2026'!L953)</f>
        <v/>
      </c>
      <c r="O953">
        <f>IF(ISBLANK('ENGAGEMENTS 2026'!C953),"",'ENGAGEMENTS 2026'!M953)</f>
        <v/>
      </c>
      <c r="P953">
        <f>IF(ISBLANK('ENGAGEMENTS 2026'!C953),"",'ENGAGEMENTS 2026'!K953)</f>
        <v/>
      </c>
      <c r="Q953">
        <f>IF($A953="","",IF(OR($E953="INFRUCTUEUX",$E953="ANNULE"),$A953&amp;"|"&amp;(COUNTIFS($A$2:$A953,$A953,$E$2:$E953,"INFRUCTUEUX")+COUNTIFS($A$2:$A953,$A953,$E$2:$E953,"ANNULE")),""))</f>
        <v/>
      </c>
    </row>
    <row r="954">
      <c r="A954">
        <f>IF(ISBLANK('ENGAGEMENTS 2026'!C954),"",IF('ENGAGEMENTS 2026'!C954="DTSI","DCT",'ENGAGEMENTS 2026'!C954))</f>
        <v/>
      </c>
      <c r="B954">
        <f>IF(ISBLANK('ENGAGEMENTS 2026'!C954),"",'ENGAGEMENTS 2026'!D954)</f>
        <v/>
      </c>
      <c r="C954">
        <f>IF(ISBLANK('ENGAGEMENTS 2026'!C954),"",'ENGAGEMENTS 2026'!E954)</f>
        <v/>
      </c>
      <c r="D954">
        <f>IF(ISBLANK('ENGAGEMENTS 2026'!C954),"",'ENGAGEMENTS 2026'!G954)</f>
        <v/>
      </c>
      <c r="E954">
        <f>IF(ISBLANK('ENGAGEMENTS 2026'!C954),"",'ENGAGEMENTS 2026'!I954)</f>
        <v/>
      </c>
      <c r="F954">
        <f>IF(ISBLANK('ENGAGEMENTS 2026'!C954),"",'ENGAGEMENTS 2026'!J954)</f>
        <v/>
      </c>
      <c r="G954">
        <f>IF(ISBLANK('ENGAGEMENTS 2026'!C954),"",'ENGAGEMENTS 2026'!M954)</f>
        <v/>
      </c>
      <c r="H954">
        <f>IF(ISBLANK('ENGAGEMENTS 2026'!C954),"",'ENGAGEMENTS 2026'!AF954)</f>
        <v/>
      </c>
      <c r="I954">
        <f>IF(ISBLANK('ENGAGEMENTS 2026'!C954),"",'ENGAGEMENTS 2026'!H954)</f>
        <v/>
      </c>
      <c r="J954" s="275">
        <f>IF(ISBLANK('ENGAGEMENTS 2026'!C954),"",IF(AND(OR($E954="INFRUCTUEUX",$E954="ANNULE"),$C954="AOO-M"),'ENGAGEMENTS 2026'!P954,IF($H954="EN COURS DE PREENGAGEMENT",'ENGAGEMENTS 2026'!O954,IF($H954="PREENGAGE",IF($E954="ATTRIBUE",'ENGAGEMENTS 2026'!AE954,'ENGAGEMENTS 2026'!O954),'ENGAGEMENTS 2026'!AE954))))</f>
        <v/>
      </c>
      <c r="K954" s="604">
        <f>IF(ISBLANK('ENGAGEMENTS 2026'!W954),"",'ENGAGEMENTS 2026'!W954)</f>
        <v/>
      </c>
      <c r="L954" s="276">
        <f>IF($K954="","",TODAY()-$K954)</f>
        <v/>
      </c>
      <c r="M954">
        <f>IF($A954="","",IF($H954="ENGAGE","Engagé",IF(AND($H954="NON ENGAGE",OR($I954="INFRUCTUEUX",$I954="ANNULE")),"Clôturé sans suite","En cours")))</f>
        <v/>
      </c>
      <c r="N954">
        <f>IF(ISBLANK('ENGAGEMENTS 2026'!C954),"",'ENGAGEMENTS 2026'!L954)</f>
        <v/>
      </c>
      <c r="O954">
        <f>IF(ISBLANK('ENGAGEMENTS 2026'!C954),"",'ENGAGEMENTS 2026'!M954)</f>
        <v/>
      </c>
      <c r="P954">
        <f>IF(ISBLANK('ENGAGEMENTS 2026'!C954),"",'ENGAGEMENTS 2026'!K954)</f>
        <v/>
      </c>
      <c r="Q954">
        <f>IF($A954="","",IF(OR($E954="INFRUCTUEUX",$E954="ANNULE"),$A954&amp;"|"&amp;(COUNTIFS($A$2:$A954,$A954,$E$2:$E954,"INFRUCTUEUX")+COUNTIFS($A$2:$A954,$A954,$E$2:$E954,"ANNULE")),""))</f>
        <v/>
      </c>
    </row>
    <row r="955">
      <c r="A955">
        <f>IF(ISBLANK('ENGAGEMENTS 2026'!C955),"",IF('ENGAGEMENTS 2026'!C955="DTSI","DCT",'ENGAGEMENTS 2026'!C955))</f>
        <v/>
      </c>
      <c r="B955">
        <f>IF(ISBLANK('ENGAGEMENTS 2026'!C955),"",'ENGAGEMENTS 2026'!D955)</f>
        <v/>
      </c>
      <c r="C955">
        <f>IF(ISBLANK('ENGAGEMENTS 2026'!C955),"",'ENGAGEMENTS 2026'!E955)</f>
        <v/>
      </c>
      <c r="D955">
        <f>IF(ISBLANK('ENGAGEMENTS 2026'!C955),"",'ENGAGEMENTS 2026'!G955)</f>
        <v/>
      </c>
      <c r="E955">
        <f>IF(ISBLANK('ENGAGEMENTS 2026'!C955),"",'ENGAGEMENTS 2026'!I955)</f>
        <v/>
      </c>
      <c r="F955">
        <f>IF(ISBLANK('ENGAGEMENTS 2026'!C955),"",'ENGAGEMENTS 2026'!J955)</f>
        <v/>
      </c>
      <c r="G955">
        <f>IF(ISBLANK('ENGAGEMENTS 2026'!C955),"",'ENGAGEMENTS 2026'!M955)</f>
        <v/>
      </c>
      <c r="H955">
        <f>IF(ISBLANK('ENGAGEMENTS 2026'!C955),"",'ENGAGEMENTS 2026'!AF955)</f>
        <v/>
      </c>
      <c r="I955">
        <f>IF(ISBLANK('ENGAGEMENTS 2026'!C955),"",'ENGAGEMENTS 2026'!H955)</f>
        <v/>
      </c>
      <c r="J955" s="275">
        <f>IF(ISBLANK('ENGAGEMENTS 2026'!C955),"",IF(AND(OR($E955="INFRUCTUEUX",$E955="ANNULE"),$C955="AOO-M"),'ENGAGEMENTS 2026'!P955,IF($H955="EN COURS DE PREENGAGEMENT",'ENGAGEMENTS 2026'!O955,IF($H955="PREENGAGE",IF($E955="ATTRIBUE",'ENGAGEMENTS 2026'!AE955,'ENGAGEMENTS 2026'!O955),'ENGAGEMENTS 2026'!AE955))))</f>
        <v/>
      </c>
      <c r="K955" s="604">
        <f>IF(ISBLANK('ENGAGEMENTS 2026'!W955),"",'ENGAGEMENTS 2026'!W955)</f>
        <v/>
      </c>
      <c r="L955" s="276">
        <f>IF($K955="","",TODAY()-$K955)</f>
        <v/>
      </c>
      <c r="M955">
        <f>IF($A955="","",IF($H955="ENGAGE","Engagé",IF(AND($H955="NON ENGAGE",OR($I955="INFRUCTUEUX",$I955="ANNULE")),"Clôturé sans suite","En cours")))</f>
        <v/>
      </c>
      <c r="N955">
        <f>IF(ISBLANK('ENGAGEMENTS 2026'!C955),"",'ENGAGEMENTS 2026'!L955)</f>
        <v/>
      </c>
      <c r="O955">
        <f>IF(ISBLANK('ENGAGEMENTS 2026'!C955),"",'ENGAGEMENTS 2026'!M955)</f>
        <v/>
      </c>
      <c r="P955">
        <f>IF(ISBLANK('ENGAGEMENTS 2026'!C955),"",'ENGAGEMENTS 2026'!K955)</f>
        <v/>
      </c>
      <c r="Q955">
        <f>IF($A955="","",IF(OR($E955="INFRUCTUEUX",$E955="ANNULE"),$A955&amp;"|"&amp;(COUNTIFS($A$2:$A955,$A955,$E$2:$E955,"INFRUCTUEUX")+COUNTIFS($A$2:$A955,$A955,$E$2:$E955,"ANNULE")),""))</f>
        <v/>
      </c>
    </row>
    <row r="956">
      <c r="A956">
        <f>IF(ISBLANK('ENGAGEMENTS 2026'!C956),"",IF('ENGAGEMENTS 2026'!C956="DTSI","DCT",'ENGAGEMENTS 2026'!C956))</f>
        <v/>
      </c>
      <c r="B956">
        <f>IF(ISBLANK('ENGAGEMENTS 2026'!C956),"",'ENGAGEMENTS 2026'!D956)</f>
        <v/>
      </c>
      <c r="C956">
        <f>IF(ISBLANK('ENGAGEMENTS 2026'!C956),"",'ENGAGEMENTS 2026'!E956)</f>
        <v/>
      </c>
      <c r="D956">
        <f>IF(ISBLANK('ENGAGEMENTS 2026'!C956),"",'ENGAGEMENTS 2026'!G956)</f>
        <v/>
      </c>
      <c r="E956">
        <f>IF(ISBLANK('ENGAGEMENTS 2026'!C956),"",'ENGAGEMENTS 2026'!I956)</f>
        <v/>
      </c>
      <c r="F956">
        <f>IF(ISBLANK('ENGAGEMENTS 2026'!C956),"",'ENGAGEMENTS 2026'!J956)</f>
        <v/>
      </c>
      <c r="G956">
        <f>IF(ISBLANK('ENGAGEMENTS 2026'!C956),"",'ENGAGEMENTS 2026'!M956)</f>
        <v/>
      </c>
      <c r="H956">
        <f>IF(ISBLANK('ENGAGEMENTS 2026'!C956),"",'ENGAGEMENTS 2026'!AF956)</f>
        <v/>
      </c>
      <c r="I956">
        <f>IF(ISBLANK('ENGAGEMENTS 2026'!C956),"",'ENGAGEMENTS 2026'!H956)</f>
        <v/>
      </c>
      <c r="J956" s="275">
        <f>IF(ISBLANK('ENGAGEMENTS 2026'!C956),"",IF(AND(OR($E956="INFRUCTUEUX",$E956="ANNULE"),$C956="AOO-M"),'ENGAGEMENTS 2026'!P956,IF($H956="EN COURS DE PREENGAGEMENT",'ENGAGEMENTS 2026'!O956,IF($H956="PREENGAGE",IF($E956="ATTRIBUE",'ENGAGEMENTS 2026'!AE956,'ENGAGEMENTS 2026'!O956),'ENGAGEMENTS 2026'!AE956))))</f>
        <v/>
      </c>
      <c r="K956" s="604">
        <f>IF(ISBLANK('ENGAGEMENTS 2026'!W956),"",'ENGAGEMENTS 2026'!W956)</f>
        <v/>
      </c>
      <c r="L956" s="276">
        <f>IF($K956="","",TODAY()-$K956)</f>
        <v/>
      </c>
      <c r="M956">
        <f>IF($A956="","",IF($H956="ENGAGE","Engagé",IF(AND($H956="NON ENGAGE",OR($I956="INFRUCTUEUX",$I956="ANNULE")),"Clôturé sans suite","En cours")))</f>
        <v/>
      </c>
      <c r="N956">
        <f>IF(ISBLANK('ENGAGEMENTS 2026'!C956),"",'ENGAGEMENTS 2026'!L956)</f>
        <v/>
      </c>
      <c r="O956">
        <f>IF(ISBLANK('ENGAGEMENTS 2026'!C956),"",'ENGAGEMENTS 2026'!M956)</f>
        <v/>
      </c>
      <c r="P956">
        <f>IF(ISBLANK('ENGAGEMENTS 2026'!C956),"",'ENGAGEMENTS 2026'!K956)</f>
        <v/>
      </c>
      <c r="Q956">
        <f>IF($A956="","",IF(OR($E956="INFRUCTUEUX",$E956="ANNULE"),$A956&amp;"|"&amp;(COUNTIFS($A$2:$A956,$A956,$E$2:$E956,"INFRUCTUEUX")+COUNTIFS($A$2:$A956,$A956,$E$2:$E956,"ANNULE")),""))</f>
        <v/>
      </c>
    </row>
    <row r="957">
      <c r="A957">
        <f>IF(ISBLANK('ENGAGEMENTS 2026'!C957),"",IF('ENGAGEMENTS 2026'!C957="DTSI","DCT",'ENGAGEMENTS 2026'!C957))</f>
        <v/>
      </c>
      <c r="B957">
        <f>IF(ISBLANK('ENGAGEMENTS 2026'!C957),"",'ENGAGEMENTS 2026'!D957)</f>
        <v/>
      </c>
      <c r="C957">
        <f>IF(ISBLANK('ENGAGEMENTS 2026'!C957),"",'ENGAGEMENTS 2026'!E957)</f>
        <v/>
      </c>
      <c r="D957">
        <f>IF(ISBLANK('ENGAGEMENTS 2026'!C957),"",'ENGAGEMENTS 2026'!G957)</f>
        <v/>
      </c>
      <c r="E957">
        <f>IF(ISBLANK('ENGAGEMENTS 2026'!C957),"",'ENGAGEMENTS 2026'!I957)</f>
        <v/>
      </c>
      <c r="F957">
        <f>IF(ISBLANK('ENGAGEMENTS 2026'!C957),"",'ENGAGEMENTS 2026'!J957)</f>
        <v/>
      </c>
      <c r="G957">
        <f>IF(ISBLANK('ENGAGEMENTS 2026'!C957),"",'ENGAGEMENTS 2026'!M957)</f>
        <v/>
      </c>
      <c r="H957">
        <f>IF(ISBLANK('ENGAGEMENTS 2026'!C957),"",'ENGAGEMENTS 2026'!AF957)</f>
        <v/>
      </c>
      <c r="I957">
        <f>IF(ISBLANK('ENGAGEMENTS 2026'!C957),"",'ENGAGEMENTS 2026'!H957)</f>
        <v/>
      </c>
      <c r="J957" s="275">
        <f>IF(ISBLANK('ENGAGEMENTS 2026'!C957),"",IF(AND(OR($E957="INFRUCTUEUX",$E957="ANNULE"),$C957="AOO-M"),'ENGAGEMENTS 2026'!P957,IF($H957="EN COURS DE PREENGAGEMENT",'ENGAGEMENTS 2026'!O957,IF($H957="PREENGAGE",IF($E957="ATTRIBUE",'ENGAGEMENTS 2026'!AE957,'ENGAGEMENTS 2026'!O957),'ENGAGEMENTS 2026'!AE957))))</f>
        <v/>
      </c>
      <c r="K957" s="604">
        <f>IF(ISBLANK('ENGAGEMENTS 2026'!W957),"",'ENGAGEMENTS 2026'!W957)</f>
        <v/>
      </c>
      <c r="L957" s="276">
        <f>IF($K957="","",TODAY()-$K957)</f>
        <v/>
      </c>
      <c r="M957">
        <f>IF($A957="","",IF($H957="ENGAGE","Engagé",IF(AND($H957="NON ENGAGE",OR($I957="INFRUCTUEUX",$I957="ANNULE")),"Clôturé sans suite","En cours")))</f>
        <v/>
      </c>
      <c r="N957">
        <f>IF(ISBLANK('ENGAGEMENTS 2026'!C957),"",'ENGAGEMENTS 2026'!L957)</f>
        <v/>
      </c>
      <c r="O957">
        <f>IF(ISBLANK('ENGAGEMENTS 2026'!C957),"",'ENGAGEMENTS 2026'!M957)</f>
        <v/>
      </c>
      <c r="P957">
        <f>IF(ISBLANK('ENGAGEMENTS 2026'!C957),"",'ENGAGEMENTS 2026'!K957)</f>
        <v/>
      </c>
      <c r="Q957">
        <f>IF($A957="","",IF(OR($E957="INFRUCTUEUX",$E957="ANNULE"),$A957&amp;"|"&amp;(COUNTIFS($A$2:$A957,$A957,$E$2:$E957,"INFRUCTUEUX")+COUNTIFS($A$2:$A957,$A957,$E$2:$E957,"ANNULE")),""))</f>
        <v/>
      </c>
    </row>
    <row r="958">
      <c r="A958">
        <f>IF(ISBLANK('ENGAGEMENTS 2026'!C958),"",IF('ENGAGEMENTS 2026'!C958="DTSI","DCT",'ENGAGEMENTS 2026'!C958))</f>
        <v/>
      </c>
      <c r="B958">
        <f>IF(ISBLANK('ENGAGEMENTS 2026'!C958),"",'ENGAGEMENTS 2026'!D958)</f>
        <v/>
      </c>
      <c r="C958">
        <f>IF(ISBLANK('ENGAGEMENTS 2026'!C958),"",'ENGAGEMENTS 2026'!E958)</f>
        <v/>
      </c>
      <c r="D958">
        <f>IF(ISBLANK('ENGAGEMENTS 2026'!C958),"",'ENGAGEMENTS 2026'!G958)</f>
        <v/>
      </c>
      <c r="E958">
        <f>IF(ISBLANK('ENGAGEMENTS 2026'!C958),"",'ENGAGEMENTS 2026'!I958)</f>
        <v/>
      </c>
      <c r="F958">
        <f>IF(ISBLANK('ENGAGEMENTS 2026'!C958),"",'ENGAGEMENTS 2026'!J958)</f>
        <v/>
      </c>
      <c r="G958">
        <f>IF(ISBLANK('ENGAGEMENTS 2026'!C958),"",'ENGAGEMENTS 2026'!M958)</f>
        <v/>
      </c>
      <c r="H958">
        <f>IF(ISBLANK('ENGAGEMENTS 2026'!C958),"",'ENGAGEMENTS 2026'!AF958)</f>
        <v/>
      </c>
      <c r="I958">
        <f>IF(ISBLANK('ENGAGEMENTS 2026'!C958),"",'ENGAGEMENTS 2026'!H958)</f>
        <v/>
      </c>
      <c r="J958" s="275">
        <f>IF(ISBLANK('ENGAGEMENTS 2026'!C958),"",IF(AND(OR($E958="INFRUCTUEUX",$E958="ANNULE"),$C958="AOO-M"),'ENGAGEMENTS 2026'!P958,IF($H958="EN COURS DE PREENGAGEMENT",'ENGAGEMENTS 2026'!O958,IF($H958="PREENGAGE",IF($E958="ATTRIBUE",'ENGAGEMENTS 2026'!AE958,'ENGAGEMENTS 2026'!O958),'ENGAGEMENTS 2026'!AE958))))</f>
        <v/>
      </c>
      <c r="K958" s="604">
        <f>IF(ISBLANK('ENGAGEMENTS 2026'!W958),"",'ENGAGEMENTS 2026'!W958)</f>
        <v/>
      </c>
      <c r="L958" s="276">
        <f>IF($K958="","",TODAY()-$K958)</f>
        <v/>
      </c>
      <c r="M958">
        <f>IF($A958="","",IF($H958="ENGAGE","Engagé",IF(AND($H958="NON ENGAGE",OR($I958="INFRUCTUEUX",$I958="ANNULE")),"Clôturé sans suite","En cours")))</f>
        <v/>
      </c>
      <c r="N958">
        <f>IF(ISBLANK('ENGAGEMENTS 2026'!C958),"",'ENGAGEMENTS 2026'!L958)</f>
        <v/>
      </c>
      <c r="O958">
        <f>IF(ISBLANK('ENGAGEMENTS 2026'!C958),"",'ENGAGEMENTS 2026'!M958)</f>
        <v/>
      </c>
      <c r="P958">
        <f>IF(ISBLANK('ENGAGEMENTS 2026'!C958),"",'ENGAGEMENTS 2026'!K958)</f>
        <v/>
      </c>
      <c r="Q958">
        <f>IF($A958="","",IF(OR($E958="INFRUCTUEUX",$E958="ANNULE"),$A958&amp;"|"&amp;(COUNTIFS($A$2:$A958,$A958,$E$2:$E958,"INFRUCTUEUX")+COUNTIFS($A$2:$A958,$A958,$E$2:$E958,"ANNULE")),""))</f>
        <v/>
      </c>
    </row>
    <row r="959">
      <c r="A959">
        <f>IF(ISBLANK('ENGAGEMENTS 2026'!C959),"",IF('ENGAGEMENTS 2026'!C959="DTSI","DCT",'ENGAGEMENTS 2026'!C959))</f>
        <v/>
      </c>
      <c r="B959">
        <f>IF(ISBLANK('ENGAGEMENTS 2026'!C959),"",'ENGAGEMENTS 2026'!D959)</f>
        <v/>
      </c>
      <c r="C959">
        <f>IF(ISBLANK('ENGAGEMENTS 2026'!C959),"",'ENGAGEMENTS 2026'!E959)</f>
        <v/>
      </c>
      <c r="D959">
        <f>IF(ISBLANK('ENGAGEMENTS 2026'!C959),"",'ENGAGEMENTS 2026'!G959)</f>
        <v/>
      </c>
      <c r="E959">
        <f>IF(ISBLANK('ENGAGEMENTS 2026'!C959),"",'ENGAGEMENTS 2026'!I959)</f>
        <v/>
      </c>
      <c r="F959">
        <f>IF(ISBLANK('ENGAGEMENTS 2026'!C959),"",'ENGAGEMENTS 2026'!J959)</f>
        <v/>
      </c>
      <c r="G959">
        <f>IF(ISBLANK('ENGAGEMENTS 2026'!C959),"",'ENGAGEMENTS 2026'!M959)</f>
        <v/>
      </c>
      <c r="H959">
        <f>IF(ISBLANK('ENGAGEMENTS 2026'!C959),"",'ENGAGEMENTS 2026'!AF959)</f>
        <v/>
      </c>
      <c r="I959">
        <f>IF(ISBLANK('ENGAGEMENTS 2026'!C959),"",'ENGAGEMENTS 2026'!H959)</f>
        <v/>
      </c>
      <c r="J959" s="275">
        <f>IF(ISBLANK('ENGAGEMENTS 2026'!C959),"",IF(AND(OR($E959="INFRUCTUEUX",$E959="ANNULE"),$C959="AOO-M"),'ENGAGEMENTS 2026'!P959,IF($H959="EN COURS DE PREENGAGEMENT",'ENGAGEMENTS 2026'!O959,IF($H959="PREENGAGE",IF($E959="ATTRIBUE",'ENGAGEMENTS 2026'!AE959,'ENGAGEMENTS 2026'!O959),'ENGAGEMENTS 2026'!AE959))))</f>
        <v/>
      </c>
      <c r="K959" s="604">
        <f>IF(ISBLANK('ENGAGEMENTS 2026'!W959),"",'ENGAGEMENTS 2026'!W959)</f>
        <v/>
      </c>
      <c r="L959" s="276">
        <f>IF($K959="","",TODAY()-$K959)</f>
        <v/>
      </c>
      <c r="M959">
        <f>IF($A959="","",IF($H959="ENGAGE","Engagé",IF(AND($H959="NON ENGAGE",OR($I959="INFRUCTUEUX",$I959="ANNULE")),"Clôturé sans suite","En cours")))</f>
        <v/>
      </c>
      <c r="N959">
        <f>IF(ISBLANK('ENGAGEMENTS 2026'!C959),"",'ENGAGEMENTS 2026'!L959)</f>
        <v/>
      </c>
      <c r="O959">
        <f>IF(ISBLANK('ENGAGEMENTS 2026'!C959),"",'ENGAGEMENTS 2026'!M959)</f>
        <v/>
      </c>
      <c r="P959">
        <f>IF(ISBLANK('ENGAGEMENTS 2026'!C959),"",'ENGAGEMENTS 2026'!K959)</f>
        <v/>
      </c>
      <c r="Q959">
        <f>IF($A959="","",IF(OR($E959="INFRUCTUEUX",$E959="ANNULE"),$A959&amp;"|"&amp;(COUNTIFS($A$2:$A959,$A959,$E$2:$E959,"INFRUCTUEUX")+COUNTIFS($A$2:$A959,$A959,$E$2:$E959,"ANNULE")),""))</f>
        <v/>
      </c>
    </row>
    <row r="960">
      <c r="A960">
        <f>IF(ISBLANK('ENGAGEMENTS 2026'!C960),"",IF('ENGAGEMENTS 2026'!C960="DTSI","DCT",'ENGAGEMENTS 2026'!C960))</f>
        <v/>
      </c>
      <c r="B960">
        <f>IF(ISBLANK('ENGAGEMENTS 2026'!C960),"",'ENGAGEMENTS 2026'!D960)</f>
        <v/>
      </c>
      <c r="C960">
        <f>IF(ISBLANK('ENGAGEMENTS 2026'!C960),"",'ENGAGEMENTS 2026'!E960)</f>
        <v/>
      </c>
      <c r="D960">
        <f>IF(ISBLANK('ENGAGEMENTS 2026'!C960),"",'ENGAGEMENTS 2026'!G960)</f>
        <v/>
      </c>
      <c r="E960">
        <f>IF(ISBLANK('ENGAGEMENTS 2026'!C960),"",'ENGAGEMENTS 2026'!I960)</f>
        <v/>
      </c>
      <c r="F960">
        <f>IF(ISBLANK('ENGAGEMENTS 2026'!C960),"",'ENGAGEMENTS 2026'!J960)</f>
        <v/>
      </c>
      <c r="G960">
        <f>IF(ISBLANK('ENGAGEMENTS 2026'!C960),"",'ENGAGEMENTS 2026'!M960)</f>
        <v/>
      </c>
      <c r="H960">
        <f>IF(ISBLANK('ENGAGEMENTS 2026'!C960),"",'ENGAGEMENTS 2026'!AF960)</f>
        <v/>
      </c>
      <c r="I960">
        <f>IF(ISBLANK('ENGAGEMENTS 2026'!C960),"",'ENGAGEMENTS 2026'!H960)</f>
        <v/>
      </c>
      <c r="J960" s="275">
        <f>IF(ISBLANK('ENGAGEMENTS 2026'!C960),"",IF(AND(OR($E960="INFRUCTUEUX",$E960="ANNULE"),$C960="AOO-M"),'ENGAGEMENTS 2026'!P960,IF($H960="EN COURS DE PREENGAGEMENT",'ENGAGEMENTS 2026'!O960,IF($H960="PREENGAGE",IF($E960="ATTRIBUE",'ENGAGEMENTS 2026'!AE960,'ENGAGEMENTS 2026'!O960),'ENGAGEMENTS 2026'!AE960))))</f>
        <v/>
      </c>
      <c r="K960" s="604">
        <f>IF(ISBLANK('ENGAGEMENTS 2026'!W960),"",'ENGAGEMENTS 2026'!W960)</f>
        <v/>
      </c>
      <c r="L960" s="276">
        <f>IF($K960="","",TODAY()-$K960)</f>
        <v/>
      </c>
      <c r="M960">
        <f>IF($A960="","",IF($H960="ENGAGE","Engagé",IF(AND($H960="NON ENGAGE",OR($I960="INFRUCTUEUX",$I960="ANNULE")),"Clôturé sans suite","En cours")))</f>
        <v/>
      </c>
      <c r="N960">
        <f>IF(ISBLANK('ENGAGEMENTS 2026'!C960),"",'ENGAGEMENTS 2026'!L960)</f>
        <v/>
      </c>
      <c r="O960">
        <f>IF(ISBLANK('ENGAGEMENTS 2026'!C960),"",'ENGAGEMENTS 2026'!M960)</f>
        <v/>
      </c>
      <c r="P960">
        <f>IF(ISBLANK('ENGAGEMENTS 2026'!C960),"",'ENGAGEMENTS 2026'!K960)</f>
        <v/>
      </c>
      <c r="Q960">
        <f>IF($A960="","",IF(OR($E960="INFRUCTUEUX",$E960="ANNULE"),$A960&amp;"|"&amp;(COUNTIFS($A$2:$A960,$A960,$E$2:$E960,"INFRUCTUEUX")+COUNTIFS($A$2:$A960,$A960,$E$2:$E960,"ANNULE")),""))</f>
        <v/>
      </c>
    </row>
    <row r="961">
      <c r="A961">
        <f>IF(ISBLANK('ENGAGEMENTS 2026'!C961),"",IF('ENGAGEMENTS 2026'!C961="DTSI","DCT",'ENGAGEMENTS 2026'!C961))</f>
        <v/>
      </c>
      <c r="B961">
        <f>IF(ISBLANK('ENGAGEMENTS 2026'!C961),"",'ENGAGEMENTS 2026'!D961)</f>
        <v/>
      </c>
      <c r="C961">
        <f>IF(ISBLANK('ENGAGEMENTS 2026'!C961),"",'ENGAGEMENTS 2026'!E961)</f>
        <v/>
      </c>
      <c r="D961">
        <f>IF(ISBLANK('ENGAGEMENTS 2026'!C961),"",'ENGAGEMENTS 2026'!G961)</f>
        <v/>
      </c>
      <c r="E961">
        <f>IF(ISBLANK('ENGAGEMENTS 2026'!C961),"",'ENGAGEMENTS 2026'!I961)</f>
        <v/>
      </c>
      <c r="F961">
        <f>IF(ISBLANK('ENGAGEMENTS 2026'!C961),"",'ENGAGEMENTS 2026'!J961)</f>
        <v/>
      </c>
      <c r="G961">
        <f>IF(ISBLANK('ENGAGEMENTS 2026'!C961),"",'ENGAGEMENTS 2026'!M961)</f>
        <v/>
      </c>
      <c r="H961">
        <f>IF(ISBLANK('ENGAGEMENTS 2026'!C961),"",'ENGAGEMENTS 2026'!AF961)</f>
        <v/>
      </c>
      <c r="I961">
        <f>IF(ISBLANK('ENGAGEMENTS 2026'!C961),"",'ENGAGEMENTS 2026'!H961)</f>
        <v/>
      </c>
      <c r="J961" s="275">
        <f>IF(ISBLANK('ENGAGEMENTS 2026'!C961),"",IF(AND(OR($E961="INFRUCTUEUX",$E961="ANNULE"),$C961="AOO-M"),'ENGAGEMENTS 2026'!P961,IF($H961="EN COURS DE PREENGAGEMENT",'ENGAGEMENTS 2026'!O961,IF($H961="PREENGAGE",IF($E961="ATTRIBUE",'ENGAGEMENTS 2026'!AE961,'ENGAGEMENTS 2026'!O961),'ENGAGEMENTS 2026'!AE961))))</f>
        <v/>
      </c>
      <c r="K961" s="604">
        <f>IF(ISBLANK('ENGAGEMENTS 2026'!W961),"",'ENGAGEMENTS 2026'!W961)</f>
        <v/>
      </c>
      <c r="L961" s="276">
        <f>IF($K961="","",TODAY()-$K961)</f>
        <v/>
      </c>
      <c r="M961">
        <f>IF($A961="","",IF($H961="ENGAGE","Engagé",IF(AND($H961="NON ENGAGE",OR($I961="INFRUCTUEUX",$I961="ANNULE")),"Clôturé sans suite","En cours")))</f>
        <v/>
      </c>
      <c r="N961">
        <f>IF(ISBLANK('ENGAGEMENTS 2026'!C961),"",'ENGAGEMENTS 2026'!L961)</f>
        <v/>
      </c>
      <c r="O961">
        <f>IF(ISBLANK('ENGAGEMENTS 2026'!C961),"",'ENGAGEMENTS 2026'!M961)</f>
        <v/>
      </c>
      <c r="P961">
        <f>IF(ISBLANK('ENGAGEMENTS 2026'!C961),"",'ENGAGEMENTS 2026'!K961)</f>
        <v/>
      </c>
      <c r="Q961">
        <f>IF($A961="","",IF(OR($E961="INFRUCTUEUX",$E961="ANNULE"),$A961&amp;"|"&amp;(COUNTIFS($A$2:$A961,$A961,$E$2:$E961,"INFRUCTUEUX")+COUNTIFS($A$2:$A961,$A961,$E$2:$E961,"ANNULE")),""))</f>
        <v/>
      </c>
    </row>
    <row r="962">
      <c r="A962">
        <f>IF(ISBLANK('ENGAGEMENTS 2026'!C962),"",IF('ENGAGEMENTS 2026'!C962="DTSI","DCT",'ENGAGEMENTS 2026'!C962))</f>
        <v/>
      </c>
      <c r="B962">
        <f>IF(ISBLANK('ENGAGEMENTS 2026'!C962),"",'ENGAGEMENTS 2026'!D962)</f>
        <v/>
      </c>
      <c r="C962">
        <f>IF(ISBLANK('ENGAGEMENTS 2026'!C962),"",'ENGAGEMENTS 2026'!E962)</f>
        <v/>
      </c>
      <c r="D962">
        <f>IF(ISBLANK('ENGAGEMENTS 2026'!C962),"",'ENGAGEMENTS 2026'!G962)</f>
        <v/>
      </c>
      <c r="E962">
        <f>IF(ISBLANK('ENGAGEMENTS 2026'!C962),"",'ENGAGEMENTS 2026'!I962)</f>
        <v/>
      </c>
      <c r="F962">
        <f>IF(ISBLANK('ENGAGEMENTS 2026'!C962),"",'ENGAGEMENTS 2026'!J962)</f>
        <v/>
      </c>
      <c r="G962">
        <f>IF(ISBLANK('ENGAGEMENTS 2026'!C962),"",'ENGAGEMENTS 2026'!M962)</f>
        <v/>
      </c>
      <c r="H962">
        <f>IF(ISBLANK('ENGAGEMENTS 2026'!C962),"",'ENGAGEMENTS 2026'!AF962)</f>
        <v/>
      </c>
      <c r="I962">
        <f>IF(ISBLANK('ENGAGEMENTS 2026'!C962),"",'ENGAGEMENTS 2026'!H962)</f>
        <v/>
      </c>
      <c r="J962" s="275">
        <f>IF(ISBLANK('ENGAGEMENTS 2026'!C962),"",IF(AND(OR($E962="INFRUCTUEUX",$E962="ANNULE"),$C962="AOO-M"),'ENGAGEMENTS 2026'!P962,IF($H962="EN COURS DE PREENGAGEMENT",'ENGAGEMENTS 2026'!O962,IF($H962="PREENGAGE",IF($E962="ATTRIBUE",'ENGAGEMENTS 2026'!AE962,'ENGAGEMENTS 2026'!O962),'ENGAGEMENTS 2026'!AE962))))</f>
        <v/>
      </c>
      <c r="K962" s="604">
        <f>IF(ISBLANK('ENGAGEMENTS 2026'!W962),"",'ENGAGEMENTS 2026'!W962)</f>
        <v/>
      </c>
      <c r="L962" s="276">
        <f>IF($K962="","",TODAY()-$K962)</f>
        <v/>
      </c>
      <c r="M962">
        <f>IF($A962="","",IF($H962="ENGAGE","Engagé",IF(AND($H962="NON ENGAGE",OR($I962="INFRUCTUEUX",$I962="ANNULE")),"Clôturé sans suite","En cours")))</f>
        <v/>
      </c>
      <c r="N962">
        <f>IF(ISBLANK('ENGAGEMENTS 2026'!C962),"",'ENGAGEMENTS 2026'!L962)</f>
        <v/>
      </c>
      <c r="O962">
        <f>IF(ISBLANK('ENGAGEMENTS 2026'!C962),"",'ENGAGEMENTS 2026'!M962)</f>
        <v/>
      </c>
      <c r="P962">
        <f>IF(ISBLANK('ENGAGEMENTS 2026'!C962),"",'ENGAGEMENTS 2026'!K962)</f>
        <v/>
      </c>
      <c r="Q962">
        <f>IF($A962="","",IF(OR($E962="INFRUCTUEUX",$E962="ANNULE"),$A962&amp;"|"&amp;(COUNTIFS($A$2:$A962,$A962,$E$2:$E962,"INFRUCTUEUX")+COUNTIFS($A$2:$A962,$A962,$E$2:$E962,"ANNULE")),""))</f>
        <v/>
      </c>
    </row>
    <row r="963">
      <c r="A963">
        <f>IF(ISBLANK('ENGAGEMENTS 2026'!C963),"",IF('ENGAGEMENTS 2026'!C963="DTSI","DCT",'ENGAGEMENTS 2026'!C963))</f>
        <v/>
      </c>
      <c r="B963">
        <f>IF(ISBLANK('ENGAGEMENTS 2026'!C963),"",'ENGAGEMENTS 2026'!D963)</f>
        <v/>
      </c>
      <c r="C963">
        <f>IF(ISBLANK('ENGAGEMENTS 2026'!C963),"",'ENGAGEMENTS 2026'!E963)</f>
        <v/>
      </c>
      <c r="D963">
        <f>IF(ISBLANK('ENGAGEMENTS 2026'!C963),"",'ENGAGEMENTS 2026'!G963)</f>
        <v/>
      </c>
      <c r="E963">
        <f>IF(ISBLANK('ENGAGEMENTS 2026'!C963),"",'ENGAGEMENTS 2026'!I963)</f>
        <v/>
      </c>
      <c r="F963">
        <f>IF(ISBLANK('ENGAGEMENTS 2026'!C963),"",'ENGAGEMENTS 2026'!J963)</f>
        <v/>
      </c>
      <c r="G963">
        <f>IF(ISBLANK('ENGAGEMENTS 2026'!C963),"",'ENGAGEMENTS 2026'!M963)</f>
        <v/>
      </c>
      <c r="H963">
        <f>IF(ISBLANK('ENGAGEMENTS 2026'!C963),"",'ENGAGEMENTS 2026'!AF963)</f>
        <v/>
      </c>
      <c r="I963">
        <f>IF(ISBLANK('ENGAGEMENTS 2026'!C963),"",'ENGAGEMENTS 2026'!H963)</f>
        <v/>
      </c>
      <c r="J963" s="275">
        <f>IF(ISBLANK('ENGAGEMENTS 2026'!C963),"",IF(AND(OR($E963="INFRUCTUEUX",$E963="ANNULE"),$C963="AOO-M"),'ENGAGEMENTS 2026'!P963,IF($H963="EN COURS DE PREENGAGEMENT",'ENGAGEMENTS 2026'!O963,IF($H963="PREENGAGE",IF($E963="ATTRIBUE",'ENGAGEMENTS 2026'!AE963,'ENGAGEMENTS 2026'!O963),'ENGAGEMENTS 2026'!AE963))))</f>
        <v/>
      </c>
      <c r="K963" s="604">
        <f>IF(ISBLANK('ENGAGEMENTS 2026'!W963),"",'ENGAGEMENTS 2026'!W963)</f>
        <v/>
      </c>
      <c r="L963" s="276">
        <f>IF($K963="","",TODAY()-$K963)</f>
        <v/>
      </c>
      <c r="M963">
        <f>IF($A963="","",IF($H963="ENGAGE","Engagé",IF(AND($H963="NON ENGAGE",OR($I963="INFRUCTUEUX",$I963="ANNULE")),"Clôturé sans suite","En cours")))</f>
        <v/>
      </c>
      <c r="N963">
        <f>IF(ISBLANK('ENGAGEMENTS 2026'!C963),"",'ENGAGEMENTS 2026'!L963)</f>
        <v/>
      </c>
      <c r="O963">
        <f>IF(ISBLANK('ENGAGEMENTS 2026'!C963),"",'ENGAGEMENTS 2026'!M963)</f>
        <v/>
      </c>
      <c r="P963">
        <f>IF(ISBLANK('ENGAGEMENTS 2026'!C963),"",'ENGAGEMENTS 2026'!K963)</f>
        <v/>
      </c>
      <c r="Q963">
        <f>IF($A963="","",IF(OR($E963="INFRUCTUEUX",$E963="ANNULE"),$A963&amp;"|"&amp;(COUNTIFS($A$2:$A963,$A963,$E$2:$E963,"INFRUCTUEUX")+COUNTIFS($A$2:$A963,$A963,$E$2:$E963,"ANNULE")),""))</f>
        <v/>
      </c>
    </row>
    <row r="964">
      <c r="A964">
        <f>IF(ISBLANK('ENGAGEMENTS 2026'!C964),"",IF('ENGAGEMENTS 2026'!C964="DTSI","DCT",'ENGAGEMENTS 2026'!C964))</f>
        <v/>
      </c>
      <c r="B964">
        <f>IF(ISBLANK('ENGAGEMENTS 2026'!C964),"",'ENGAGEMENTS 2026'!D964)</f>
        <v/>
      </c>
      <c r="C964">
        <f>IF(ISBLANK('ENGAGEMENTS 2026'!C964),"",'ENGAGEMENTS 2026'!E964)</f>
        <v/>
      </c>
      <c r="D964">
        <f>IF(ISBLANK('ENGAGEMENTS 2026'!C964),"",'ENGAGEMENTS 2026'!G964)</f>
        <v/>
      </c>
      <c r="E964">
        <f>IF(ISBLANK('ENGAGEMENTS 2026'!C964),"",'ENGAGEMENTS 2026'!I964)</f>
        <v/>
      </c>
      <c r="F964">
        <f>IF(ISBLANK('ENGAGEMENTS 2026'!C964),"",'ENGAGEMENTS 2026'!J964)</f>
        <v/>
      </c>
      <c r="G964">
        <f>IF(ISBLANK('ENGAGEMENTS 2026'!C964),"",'ENGAGEMENTS 2026'!M964)</f>
        <v/>
      </c>
      <c r="H964">
        <f>IF(ISBLANK('ENGAGEMENTS 2026'!C964),"",'ENGAGEMENTS 2026'!AF964)</f>
        <v/>
      </c>
      <c r="I964">
        <f>IF(ISBLANK('ENGAGEMENTS 2026'!C964),"",'ENGAGEMENTS 2026'!H964)</f>
        <v/>
      </c>
      <c r="J964" s="275">
        <f>IF(ISBLANK('ENGAGEMENTS 2026'!C964),"",IF(AND(OR($E964="INFRUCTUEUX",$E964="ANNULE"),$C964="AOO-M"),'ENGAGEMENTS 2026'!P964,IF($H964="EN COURS DE PREENGAGEMENT",'ENGAGEMENTS 2026'!O964,IF($H964="PREENGAGE",IF($E964="ATTRIBUE",'ENGAGEMENTS 2026'!AE964,'ENGAGEMENTS 2026'!O964),'ENGAGEMENTS 2026'!AE964))))</f>
        <v/>
      </c>
      <c r="K964" s="604">
        <f>IF(ISBLANK('ENGAGEMENTS 2026'!W964),"",'ENGAGEMENTS 2026'!W964)</f>
        <v/>
      </c>
      <c r="L964" s="276">
        <f>IF($K964="","",TODAY()-$K964)</f>
        <v/>
      </c>
      <c r="M964">
        <f>IF($A964="","",IF($H964="ENGAGE","Engagé",IF(AND($H964="NON ENGAGE",OR($I964="INFRUCTUEUX",$I964="ANNULE")),"Clôturé sans suite","En cours")))</f>
        <v/>
      </c>
      <c r="N964">
        <f>IF(ISBLANK('ENGAGEMENTS 2026'!C964),"",'ENGAGEMENTS 2026'!L964)</f>
        <v/>
      </c>
      <c r="O964">
        <f>IF(ISBLANK('ENGAGEMENTS 2026'!C964),"",'ENGAGEMENTS 2026'!M964)</f>
        <v/>
      </c>
      <c r="P964">
        <f>IF(ISBLANK('ENGAGEMENTS 2026'!C964),"",'ENGAGEMENTS 2026'!K964)</f>
        <v/>
      </c>
      <c r="Q964">
        <f>IF($A964="","",IF(OR($E964="INFRUCTUEUX",$E964="ANNULE"),$A964&amp;"|"&amp;(COUNTIFS($A$2:$A964,$A964,$E$2:$E964,"INFRUCTUEUX")+COUNTIFS($A$2:$A964,$A964,$E$2:$E964,"ANNULE")),""))</f>
        <v/>
      </c>
    </row>
    <row r="965">
      <c r="A965">
        <f>IF(ISBLANK('ENGAGEMENTS 2026'!C965),"",IF('ENGAGEMENTS 2026'!C965="DTSI","DCT",'ENGAGEMENTS 2026'!C965))</f>
        <v/>
      </c>
      <c r="B965">
        <f>IF(ISBLANK('ENGAGEMENTS 2026'!C965),"",'ENGAGEMENTS 2026'!D965)</f>
        <v/>
      </c>
      <c r="C965">
        <f>IF(ISBLANK('ENGAGEMENTS 2026'!C965),"",'ENGAGEMENTS 2026'!E965)</f>
        <v/>
      </c>
      <c r="D965">
        <f>IF(ISBLANK('ENGAGEMENTS 2026'!C965),"",'ENGAGEMENTS 2026'!G965)</f>
        <v/>
      </c>
      <c r="E965">
        <f>IF(ISBLANK('ENGAGEMENTS 2026'!C965),"",'ENGAGEMENTS 2026'!I965)</f>
        <v/>
      </c>
      <c r="F965">
        <f>IF(ISBLANK('ENGAGEMENTS 2026'!C965),"",'ENGAGEMENTS 2026'!J965)</f>
        <v/>
      </c>
      <c r="G965">
        <f>IF(ISBLANK('ENGAGEMENTS 2026'!C965),"",'ENGAGEMENTS 2026'!M965)</f>
        <v/>
      </c>
      <c r="H965">
        <f>IF(ISBLANK('ENGAGEMENTS 2026'!C965),"",'ENGAGEMENTS 2026'!AF965)</f>
        <v/>
      </c>
      <c r="I965">
        <f>IF(ISBLANK('ENGAGEMENTS 2026'!C965),"",'ENGAGEMENTS 2026'!H965)</f>
        <v/>
      </c>
      <c r="J965" s="275">
        <f>IF(ISBLANK('ENGAGEMENTS 2026'!C965),"",IF(AND(OR($E965="INFRUCTUEUX",$E965="ANNULE"),$C965="AOO-M"),'ENGAGEMENTS 2026'!P965,IF($H965="EN COURS DE PREENGAGEMENT",'ENGAGEMENTS 2026'!O965,IF($H965="PREENGAGE",IF($E965="ATTRIBUE",'ENGAGEMENTS 2026'!AE965,'ENGAGEMENTS 2026'!O965),'ENGAGEMENTS 2026'!AE965))))</f>
        <v/>
      </c>
      <c r="K965" s="604">
        <f>IF(ISBLANK('ENGAGEMENTS 2026'!W965),"",'ENGAGEMENTS 2026'!W965)</f>
        <v/>
      </c>
      <c r="L965" s="276">
        <f>IF($K965="","",TODAY()-$K965)</f>
        <v/>
      </c>
      <c r="M965">
        <f>IF($A965="","",IF($H965="ENGAGE","Engagé",IF(AND($H965="NON ENGAGE",OR($I965="INFRUCTUEUX",$I965="ANNULE")),"Clôturé sans suite","En cours")))</f>
        <v/>
      </c>
      <c r="N965">
        <f>IF(ISBLANK('ENGAGEMENTS 2026'!C965),"",'ENGAGEMENTS 2026'!L965)</f>
        <v/>
      </c>
      <c r="O965">
        <f>IF(ISBLANK('ENGAGEMENTS 2026'!C965),"",'ENGAGEMENTS 2026'!M965)</f>
        <v/>
      </c>
      <c r="P965">
        <f>IF(ISBLANK('ENGAGEMENTS 2026'!C965),"",'ENGAGEMENTS 2026'!K965)</f>
        <v/>
      </c>
      <c r="Q965">
        <f>IF($A965="","",IF(OR($E965="INFRUCTUEUX",$E965="ANNULE"),$A965&amp;"|"&amp;(COUNTIFS($A$2:$A965,$A965,$E$2:$E965,"INFRUCTUEUX")+COUNTIFS($A$2:$A965,$A965,$E$2:$E965,"ANNULE")),""))</f>
        <v/>
      </c>
    </row>
    <row r="966">
      <c r="A966">
        <f>IF(ISBLANK('ENGAGEMENTS 2026'!C966),"",IF('ENGAGEMENTS 2026'!C966="DTSI","DCT",'ENGAGEMENTS 2026'!C966))</f>
        <v/>
      </c>
      <c r="B966">
        <f>IF(ISBLANK('ENGAGEMENTS 2026'!C966),"",'ENGAGEMENTS 2026'!D966)</f>
        <v/>
      </c>
      <c r="C966">
        <f>IF(ISBLANK('ENGAGEMENTS 2026'!C966),"",'ENGAGEMENTS 2026'!E966)</f>
        <v/>
      </c>
      <c r="D966">
        <f>IF(ISBLANK('ENGAGEMENTS 2026'!C966),"",'ENGAGEMENTS 2026'!G966)</f>
        <v/>
      </c>
      <c r="E966">
        <f>IF(ISBLANK('ENGAGEMENTS 2026'!C966),"",'ENGAGEMENTS 2026'!I966)</f>
        <v/>
      </c>
      <c r="F966">
        <f>IF(ISBLANK('ENGAGEMENTS 2026'!C966),"",'ENGAGEMENTS 2026'!J966)</f>
        <v/>
      </c>
      <c r="G966">
        <f>IF(ISBLANK('ENGAGEMENTS 2026'!C966),"",'ENGAGEMENTS 2026'!M966)</f>
        <v/>
      </c>
      <c r="H966">
        <f>IF(ISBLANK('ENGAGEMENTS 2026'!C966),"",'ENGAGEMENTS 2026'!AF966)</f>
        <v/>
      </c>
      <c r="I966">
        <f>IF(ISBLANK('ENGAGEMENTS 2026'!C966),"",'ENGAGEMENTS 2026'!H966)</f>
        <v/>
      </c>
      <c r="J966" s="275">
        <f>IF(ISBLANK('ENGAGEMENTS 2026'!C966),"",IF(AND(OR($E966="INFRUCTUEUX",$E966="ANNULE"),$C966="AOO-M"),'ENGAGEMENTS 2026'!P966,IF($H966="EN COURS DE PREENGAGEMENT",'ENGAGEMENTS 2026'!O966,IF($H966="PREENGAGE",IF($E966="ATTRIBUE",'ENGAGEMENTS 2026'!AE966,'ENGAGEMENTS 2026'!O966),'ENGAGEMENTS 2026'!AE966))))</f>
        <v/>
      </c>
      <c r="K966" s="604">
        <f>IF(ISBLANK('ENGAGEMENTS 2026'!W966),"",'ENGAGEMENTS 2026'!W966)</f>
        <v/>
      </c>
      <c r="L966" s="276">
        <f>IF($K966="","",TODAY()-$K966)</f>
        <v/>
      </c>
      <c r="M966">
        <f>IF($A966="","",IF($H966="ENGAGE","Engagé",IF(AND($H966="NON ENGAGE",OR($I966="INFRUCTUEUX",$I966="ANNULE")),"Clôturé sans suite","En cours")))</f>
        <v/>
      </c>
      <c r="N966">
        <f>IF(ISBLANK('ENGAGEMENTS 2026'!C966),"",'ENGAGEMENTS 2026'!L966)</f>
        <v/>
      </c>
      <c r="O966">
        <f>IF(ISBLANK('ENGAGEMENTS 2026'!C966),"",'ENGAGEMENTS 2026'!M966)</f>
        <v/>
      </c>
      <c r="P966">
        <f>IF(ISBLANK('ENGAGEMENTS 2026'!C966),"",'ENGAGEMENTS 2026'!K966)</f>
        <v/>
      </c>
      <c r="Q966">
        <f>IF($A966="","",IF(OR($E966="INFRUCTUEUX",$E966="ANNULE"),$A966&amp;"|"&amp;(COUNTIFS($A$2:$A966,$A966,$E$2:$E966,"INFRUCTUEUX")+COUNTIFS($A$2:$A966,$A966,$E$2:$E966,"ANNULE")),""))</f>
        <v/>
      </c>
    </row>
    <row r="967">
      <c r="A967">
        <f>IF(ISBLANK('ENGAGEMENTS 2026'!C967),"",IF('ENGAGEMENTS 2026'!C967="DTSI","DCT",'ENGAGEMENTS 2026'!C967))</f>
        <v/>
      </c>
      <c r="B967">
        <f>IF(ISBLANK('ENGAGEMENTS 2026'!C967),"",'ENGAGEMENTS 2026'!D967)</f>
        <v/>
      </c>
      <c r="C967">
        <f>IF(ISBLANK('ENGAGEMENTS 2026'!C967),"",'ENGAGEMENTS 2026'!E967)</f>
        <v/>
      </c>
      <c r="D967">
        <f>IF(ISBLANK('ENGAGEMENTS 2026'!C967),"",'ENGAGEMENTS 2026'!G967)</f>
        <v/>
      </c>
      <c r="E967">
        <f>IF(ISBLANK('ENGAGEMENTS 2026'!C967),"",'ENGAGEMENTS 2026'!I967)</f>
        <v/>
      </c>
      <c r="F967">
        <f>IF(ISBLANK('ENGAGEMENTS 2026'!C967),"",'ENGAGEMENTS 2026'!J967)</f>
        <v/>
      </c>
      <c r="G967">
        <f>IF(ISBLANK('ENGAGEMENTS 2026'!C967),"",'ENGAGEMENTS 2026'!M967)</f>
        <v/>
      </c>
      <c r="H967">
        <f>IF(ISBLANK('ENGAGEMENTS 2026'!C967),"",'ENGAGEMENTS 2026'!AF967)</f>
        <v/>
      </c>
      <c r="I967">
        <f>IF(ISBLANK('ENGAGEMENTS 2026'!C967),"",'ENGAGEMENTS 2026'!H967)</f>
        <v/>
      </c>
      <c r="J967" s="275">
        <f>IF(ISBLANK('ENGAGEMENTS 2026'!C967),"",IF(AND(OR($E967="INFRUCTUEUX",$E967="ANNULE"),$C967="AOO-M"),'ENGAGEMENTS 2026'!P967,IF($H967="EN COURS DE PREENGAGEMENT",'ENGAGEMENTS 2026'!O967,IF($H967="PREENGAGE",IF($E967="ATTRIBUE",'ENGAGEMENTS 2026'!AE967,'ENGAGEMENTS 2026'!O967),'ENGAGEMENTS 2026'!AE967))))</f>
        <v/>
      </c>
      <c r="K967" s="604">
        <f>IF(ISBLANK('ENGAGEMENTS 2026'!W967),"",'ENGAGEMENTS 2026'!W967)</f>
        <v/>
      </c>
      <c r="L967" s="276">
        <f>IF($K967="","",TODAY()-$K967)</f>
        <v/>
      </c>
      <c r="M967">
        <f>IF($A967="","",IF($H967="ENGAGE","Engagé",IF(AND($H967="NON ENGAGE",OR($I967="INFRUCTUEUX",$I967="ANNULE")),"Clôturé sans suite","En cours")))</f>
        <v/>
      </c>
      <c r="N967">
        <f>IF(ISBLANK('ENGAGEMENTS 2026'!C967),"",'ENGAGEMENTS 2026'!L967)</f>
        <v/>
      </c>
      <c r="O967">
        <f>IF(ISBLANK('ENGAGEMENTS 2026'!C967),"",'ENGAGEMENTS 2026'!M967)</f>
        <v/>
      </c>
      <c r="P967">
        <f>IF(ISBLANK('ENGAGEMENTS 2026'!C967),"",'ENGAGEMENTS 2026'!K967)</f>
        <v/>
      </c>
      <c r="Q967">
        <f>IF($A967="","",IF(OR($E967="INFRUCTUEUX",$E967="ANNULE"),$A967&amp;"|"&amp;(COUNTIFS($A$2:$A967,$A967,$E$2:$E967,"INFRUCTUEUX")+COUNTIFS($A$2:$A967,$A967,$E$2:$E967,"ANNULE")),""))</f>
        <v/>
      </c>
    </row>
    <row r="968">
      <c r="A968">
        <f>IF(ISBLANK('ENGAGEMENTS 2026'!C968),"",IF('ENGAGEMENTS 2026'!C968="DTSI","DCT",'ENGAGEMENTS 2026'!C968))</f>
        <v/>
      </c>
      <c r="B968">
        <f>IF(ISBLANK('ENGAGEMENTS 2026'!C968),"",'ENGAGEMENTS 2026'!D968)</f>
        <v/>
      </c>
      <c r="C968">
        <f>IF(ISBLANK('ENGAGEMENTS 2026'!C968),"",'ENGAGEMENTS 2026'!E968)</f>
        <v/>
      </c>
      <c r="D968">
        <f>IF(ISBLANK('ENGAGEMENTS 2026'!C968),"",'ENGAGEMENTS 2026'!G968)</f>
        <v/>
      </c>
      <c r="E968">
        <f>IF(ISBLANK('ENGAGEMENTS 2026'!C968),"",'ENGAGEMENTS 2026'!I968)</f>
        <v/>
      </c>
      <c r="F968">
        <f>IF(ISBLANK('ENGAGEMENTS 2026'!C968),"",'ENGAGEMENTS 2026'!J968)</f>
        <v/>
      </c>
      <c r="G968">
        <f>IF(ISBLANK('ENGAGEMENTS 2026'!C968),"",'ENGAGEMENTS 2026'!M968)</f>
        <v/>
      </c>
      <c r="H968">
        <f>IF(ISBLANK('ENGAGEMENTS 2026'!C968),"",'ENGAGEMENTS 2026'!AF968)</f>
        <v/>
      </c>
      <c r="I968">
        <f>IF(ISBLANK('ENGAGEMENTS 2026'!C968),"",'ENGAGEMENTS 2026'!H968)</f>
        <v/>
      </c>
      <c r="J968" s="275">
        <f>IF(ISBLANK('ENGAGEMENTS 2026'!C968),"",IF(AND(OR($E968="INFRUCTUEUX",$E968="ANNULE"),$C968="AOO-M"),'ENGAGEMENTS 2026'!P968,IF($H968="EN COURS DE PREENGAGEMENT",'ENGAGEMENTS 2026'!O968,IF($H968="PREENGAGE",IF($E968="ATTRIBUE",'ENGAGEMENTS 2026'!AE968,'ENGAGEMENTS 2026'!O968),'ENGAGEMENTS 2026'!AE968))))</f>
        <v/>
      </c>
      <c r="K968" s="604">
        <f>IF(ISBLANK('ENGAGEMENTS 2026'!W968),"",'ENGAGEMENTS 2026'!W968)</f>
        <v/>
      </c>
      <c r="L968" s="276">
        <f>IF($K968="","",TODAY()-$K968)</f>
        <v/>
      </c>
      <c r="M968">
        <f>IF($A968="","",IF($H968="ENGAGE","Engagé",IF(AND($H968="NON ENGAGE",OR($I968="INFRUCTUEUX",$I968="ANNULE")),"Clôturé sans suite","En cours")))</f>
        <v/>
      </c>
      <c r="N968">
        <f>IF(ISBLANK('ENGAGEMENTS 2026'!C968),"",'ENGAGEMENTS 2026'!L968)</f>
        <v/>
      </c>
      <c r="O968">
        <f>IF(ISBLANK('ENGAGEMENTS 2026'!C968),"",'ENGAGEMENTS 2026'!M968)</f>
        <v/>
      </c>
      <c r="P968">
        <f>IF(ISBLANK('ENGAGEMENTS 2026'!C968),"",'ENGAGEMENTS 2026'!K968)</f>
        <v/>
      </c>
      <c r="Q968">
        <f>IF($A968="","",IF(OR($E968="INFRUCTUEUX",$E968="ANNULE"),$A968&amp;"|"&amp;(COUNTIFS($A$2:$A968,$A968,$E$2:$E968,"INFRUCTUEUX")+COUNTIFS($A$2:$A968,$A968,$E$2:$E968,"ANNULE")),""))</f>
        <v/>
      </c>
    </row>
    <row r="969">
      <c r="A969">
        <f>IF(ISBLANK('ENGAGEMENTS 2026'!C969),"",IF('ENGAGEMENTS 2026'!C969="DTSI","DCT",'ENGAGEMENTS 2026'!C969))</f>
        <v/>
      </c>
      <c r="B969">
        <f>IF(ISBLANK('ENGAGEMENTS 2026'!C969),"",'ENGAGEMENTS 2026'!D969)</f>
        <v/>
      </c>
      <c r="C969">
        <f>IF(ISBLANK('ENGAGEMENTS 2026'!C969),"",'ENGAGEMENTS 2026'!E969)</f>
        <v/>
      </c>
      <c r="D969">
        <f>IF(ISBLANK('ENGAGEMENTS 2026'!C969),"",'ENGAGEMENTS 2026'!G969)</f>
        <v/>
      </c>
      <c r="E969">
        <f>IF(ISBLANK('ENGAGEMENTS 2026'!C969),"",'ENGAGEMENTS 2026'!I969)</f>
        <v/>
      </c>
      <c r="F969">
        <f>IF(ISBLANK('ENGAGEMENTS 2026'!C969),"",'ENGAGEMENTS 2026'!J969)</f>
        <v/>
      </c>
      <c r="G969">
        <f>IF(ISBLANK('ENGAGEMENTS 2026'!C969),"",'ENGAGEMENTS 2026'!M969)</f>
        <v/>
      </c>
      <c r="H969">
        <f>IF(ISBLANK('ENGAGEMENTS 2026'!C969),"",'ENGAGEMENTS 2026'!AF969)</f>
        <v/>
      </c>
      <c r="I969">
        <f>IF(ISBLANK('ENGAGEMENTS 2026'!C969),"",'ENGAGEMENTS 2026'!H969)</f>
        <v/>
      </c>
      <c r="J969" s="275">
        <f>IF(ISBLANK('ENGAGEMENTS 2026'!C969),"",IF(AND(OR($E969="INFRUCTUEUX",$E969="ANNULE"),$C969="AOO-M"),'ENGAGEMENTS 2026'!P969,IF($H969="EN COURS DE PREENGAGEMENT",'ENGAGEMENTS 2026'!O969,IF($H969="PREENGAGE",IF($E969="ATTRIBUE",'ENGAGEMENTS 2026'!AE969,'ENGAGEMENTS 2026'!O969),'ENGAGEMENTS 2026'!AE969))))</f>
        <v/>
      </c>
      <c r="K969" s="604">
        <f>IF(ISBLANK('ENGAGEMENTS 2026'!W969),"",'ENGAGEMENTS 2026'!W969)</f>
        <v/>
      </c>
      <c r="L969" s="276">
        <f>IF($K969="","",TODAY()-$K969)</f>
        <v/>
      </c>
      <c r="M969">
        <f>IF($A969="","",IF($H969="ENGAGE","Engagé",IF(AND($H969="NON ENGAGE",OR($I969="INFRUCTUEUX",$I969="ANNULE")),"Clôturé sans suite","En cours")))</f>
        <v/>
      </c>
      <c r="N969">
        <f>IF(ISBLANK('ENGAGEMENTS 2026'!C969),"",'ENGAGEMENTS 2026'!L969)</f>
        <v/>
      </c>
      <c r="O969">
        <f>IF(ISBLANK('ENGAGEMENTS 2026'!C969),"",'ENGAGEMENTS 2026'!M969)</f>
        <v/>
      </c>
      <c r="P969">
        <f>IF(ISBLANK('ENGAGEMENTS 2026'!C969),"",'ENGAGEMENTS 2026'!K969)</f>
        <v/>
      </c>
      <c r="Q969">
        <f>IF($A969="","",IF(OR($E969="INFRUCTUEUX",$E969="ANNULE"),$A969&amp;"|"&amp;(COUNTIFS($A$2:$A969,$A969,$E$2:$E969,"INFRUCTUEUX")+COUNTIFS($A$2:$A969,$A969,$E$2:$E969,"ANNULE")),""))</f>
        <v/>
      </c>
    </row>
    <row r="970">
      <c r="A970">
        <f>IF(ISBLANK('ENGAGEMENTS 2026'!C970),"",IF('ENGAGEMENTS 2026'!C970="DTSI","DCT",'ENGAGEMENTS 2026'!C970))</f>
        <v/>
      </c>
      <c r="B970">
        <f>IF(ISBLANK('ENGAGEMENTS 2026'!C970),"",'ENGAGEMENTS 2026'!D970)</f>
        <v/>
      </c>
      <c r="C970">
        <f>IF(ISBLANK('ENGAGEMENTS 2026'!C970),"",'ENGAGEMENTS 2026'!E970)</f>
        <v/>
      </c>
      <c r="D970">
        <f>IF(ISBLANK('ENGAGEMENTS 2026'!C970),"",'ENGAGEMENTS 2026'!G970)</f>
        <v/>
      </c>
      <c r="E970">
        <f>IF(ISBLANK('ENGAGEMENTS 2026'!C970),"",'ENGAGEMENTS 2026'!I970)</f>
        <v/>
      </c>
      <c r="F970">
        <f>IF(ISBLANK('ENGAGEMENTS 2026'!C970),"",'ENGAGEMENTS 2026'!J970)</f>
        <v/>
      </c>
      <c r="G970">
        <f>IF(ISBLANK('ENGAGEMENTS 2026'!C970),"",'ENGAGEMENTS 2026'!M970)</f>
        <v/>
      </c>
      <c r="H970">
        <f>IF(ISBLANK('ENGAGEMENTS 2026'!C970),"",'ENGAGEMENTS 2026'!AF970)</f>
        <v/>
      </c>
      <c r="I970">
        <f>IF(ISBLANK('ENGAGEMENTS 2026'!C970),"",'ENGAGEMENTS 2026'!H970)</f>
        <v/>
      </c>
      <c r="J970" s="275">
        <f>IF(ISBLANK('ENGAGEMENTS 2026'!C970),"",IF(AND(OR($E970="INFRUCTUEUX",$E970="ANNULE"),$C970="AOO-M"),'ENGAGEMENTS 2026'!P970,IF($H970="EN COURS DE PREENGAGEMENT",'ENGAGEMENTS 2026'!O970,IF($H970="PREENGAGE",IF($E970="ATTRIBUE",'ENGAGEMENTS 2026'!AE970,'ENGAGEMENTS 2026'!O970),'ENGAGEMENTS 2026'!AE970))))</f>
        <v/>
      </c>
      <c r="K970" s="604">
        <f>IF(ISBLANK('ENGAGEMENTS 2026'!W970),"",'ENGAGEMENTS 2026'!W970)</f>
        <v/>
      </c>
      <c r="L970" s="276">
        <f>IF($K970="","",TODAY()-$K970)</f>
        <v/>
      </c>
      <c r="M970">
        <f>IF($A970="","",IF($H970="ENGAGE","Engagé",IF(AND($H970="NON ENGAGE",OR($I970="INFRUCTUEUX",$I970="ANNULE")),"Clôturé sans suite","En cours")))</f>
        <v/>
      </c>
      <c r="N970">
        <f>IF(ISBLANK('ENGAGEMENTS 2026'!C970),"",'ENGAGEMENTS 2026'!L970)</f>
        <v/>
      </c>
      <c r="O970">
        <f>IF(ISBLANK('ENGAGEMENTS 2026'!C970),"",'ENGAGEMENTS 2026'!M970)</f>
        <v/>
      </c>
      <c r="P970">
        <f>IF(ISBLANK('ENGAGEMENTS 2026'!C970),"",'ENGAGEMENTS 2026'!K970)</f>
        <v/>
      </c>
      <c r="Q970">
        <f>IF($A970="","",IF(OR($E970="INFRUCTUEUX",$E970="ANNULE"),$A970&amp;"|"&amp;(COUNTIFS($A$2:$A970,$A970,$E$2:$E970,"INFRUCTUEUX")+COUNTIFS($A$2:$A970,$A970,$E$2:$E970,"ANNULE")),""))</f>
        <v/>
      </c>
    </row>
    <row r="971">
      <c r="A971">
        <f>IF(ISBLANK('ENGAGEMENTS 2026'!C971),"",IF('ENGAGEMENTS 2026'!C971="DTSI","DCT",'ENGAGEMENTS 2026'!C971))</f>
        <v/>
      </c>
      <c r="B971">
        <f>IF(ISBLANK('ENGAGEMENTS 2026'!C971),"",'ENGAGEMENTS 2026'!D971)</f>
        <v/>
      </c>
      <c r="C971">
        <f>IF(ISBLANK('ENGAGEMENTS 2026'!C971),"",'ENGAGEMENTS 2026'!E971)</f>
        <v/>
      </c>
      <c r="D971">
        <f>IF(ISBLANK('ENGAGEMENTS 2026'!C971),"",'ENGAGEMENTS 2026'!G971)</f>
        <v/>
      </c>
      <c r="E971">
        <f>IF(ISBLANK('ENGAGEMENTS 2026'!C971),"",'ENGAGEMENTS 2026'!I971)</f>
        <v/>
      </c>
      <c r="F971">
        <f>IF(ISBLANK('ENGAGEMENTS 2026'!C971),"",'ENGAGEMENTS 2026'!J971)</f>
        <v/>
      </c>
      <c r="G971">
        <f>IF(ISBLANK('ENGAGEMENTS 2026'!C971),"",'ENGAGEMENTS 2026'!M971)</f>
        <v/>
      </c>
      <c r="H971">
        <f>IF(ISBLANK('ENGAGEMENTS 2026'!C971),"",'ENGAGEMENTS 2026'!AF971)</f>
        <v/>
      </c>
      <c r="I971">
        <f>IF(ISBLANK('ENGAGEMENTS 2026'!C971),"",'ENGAGEMENTS 2026'!H971)</f>
        <v/>
      </c>
      <c r="J971" s="275">
        <f>IF(ISBLANK('ENGAGEMENTS 2026'!C971),"",IF(AND(OR($E971="INFRUCTUEUX",$E971="ANNULE"),$C971="AOO-M"),'ENGAGEMENTS 2026'!P971,IF($H971="EN COURS DE PREENGAGEMENT",'ENGAGEMENTS 2026'!O971,IF($H971="PREENGAGE",IF($E971="ATTRIBUE",'ENGAGEMENTS 2026'!AE971,'ENGAGEMENTS 2026'!O971),'ENGAGEMENTS 2026'!AE971))))</f>
        <v/>
      </c>
      <c r="K971" s="604">
        <f>IF(ISBLANK('ENGAGEMENTS 2026'!W971),"",'ENGAGEMENTS 2026'!W971)</f>
        <v/>
      </c>
      <c r="L971" s="276">
        <f>IF($K971="","",TODAY()-$K971)</f>
        <v/>
      </c>
      <c r="M971">
        <f>IF($A971="","",IF($H971="ENGAGE","Engagé",IF(AND($H971="NON ENGAGE",OR($I971="INFRUCTUEUX",$I971="ANNULE")),"Clôturé sans suite","En cours")))</f>
        <v/>
      </c>
      <c r="N971">
        <f>IF(ISBLANK('ENGAGEMENTS 2026'!C971),"",'ENGAGEMENTS 2026'!L971)</f>
        <v/>
      </c>
      <c r="O971">
        <f>IF(ISBLANK('ENGAGEMENTS 2026'!C971),"",'ENGAGEMENTS 2026'!M971)</f>
        <v/>
      </c>
      <c r="P971">
        <f>IF(ISBLANK('ENGAGEMENTS 2026'!C971),"",'ENGAGEMENTS 2026'!K971)</f>
        <v/>
      </c>
      <c r="Q971">
        <f>IF($A971="","",IF(OR($E971="INFRUCTUEUX",$E971="ANNULE"),$A971&amp;"|"&amp;(COUNTIFS($A$2:$A971,$A971,$E$2:$E971,"INFRUCTUEUX")+COUNTIFS($A$2:$A971,$A971,$E$2:$E971,"ANNULE")),""))</f>
        <v/>
      </c>
    </row>
    <row r="972">
      <c r="A972">
        <f>IF(ISBLANK('ENGAGEMENTS 2026'!C972),"",IF('ENGAGEMENTS 2026'!C972="DTSI","DCT",'ENGAGEMENTS 2026'!C972))</f>
        <v/>
      </c>
      <c r="B972">
        <f>IF(ISBLANK('ENGAGEMENTS 2026'!C972),"",'ENGAGEMENTS 2026'!D972)</f>
        <v/>
      </c>
      <c r="C972">
        <f>IF(ISBLANK('ENGAGEMENTS 2026'!C972),"",'ENGAGEMENTS 2026'!E972)</f>
        <v/>
      </c>
      <c r="D972">
        <f>IF(ISBLANK('ENGAGEMENTS 2026'!C972),"",'ENGAGEMENTS 2026'!G972)</f>
        <v/>
      </c>
      <c r="E972">
        <f>IF(ISBLANK('ENGAGEMENTS 2026'!C972),"",'ENGAGEMENTS 2026'!I972)</f>
        <v/>
      </c>
      <c r="F972">
        <f>IF(ISBLANK('ENGAGEMENTS 2026'!C972),"",'ENGAGEMENTS 2026'!J972)</f>
        <v/>
      </c>
      <c r="G972">
        <f>IF(ISBLANK('ENGAGEMENTS 2026'!C972),"",'ENGAGEMENTS 2026'!M972)</f>
        <v/>
      </c>
      <c r="H972">
        <f>IF(ISBLANK('ENGAGEMENTS 2026'!C972),"",'ENGAGEMENTS 2026'!AF972)</f>
        <v/>
      </c>
      <c r="I972">
        <f>IF(ISBLANK('ENGAGEMENTS 2026'!C972),"",'ENGAGEMENTS 2026'!H972)</f>
        <v/>
      </c>
      <c r="J972" s="275">
        <f>IF(ISBLANK('ENGAGEMENTS 2026'!C972),"",IF(AND(OR($E972="INFRUCTUEUX",$E972="ANNULE"),$C972="AOO-M"),'ENGAGEMENTS 2026'!P972,IF($H972="EN COURS DE PREENGAGEMENT",'ENGAGEMENTS 2026'!O972,IF($H972="PREENGAGE",IF($E972="ATTRIBUE",'ENGAGEMENTS 2026'!AE972,'ENGAGEMENTS 2026'!O972),'ENGAGEMENTS 2026'!AE972))))</f>
        <v/>
      </c>
      <c r="K972" s="604">
        <f>IF(ISBLANK('ENGAGEMENTS 2026'!W972),"",'ENGAGEMENTS 2026'!W972)</f>
        <v/>
      </c>
      <c r="L972" s="276">
        <f>IF($K972="","",TODAY()-$K972)</f>
        <v/>
      </c>
      <c r="M972">
        <f>IF($A972="","",IF($H972="ENGAGE","Engagé",IF(AND($H972="NON ENGAGE",OR($I972="INFRUCTUEUX",$I972="ANNULE")),"Clôturé sans suite","En cours")))</f>
        <v/>
      </c>
      <c r="N972">
        <f>IF(ISBLANK('ENGAGEMENTS 2026'!C972),"",'ENGAGEMENTS 2026'!L972)</f>
        <v/>
      </c>
      <c r="O972">
        <f>IF(ISBLANK('ENGAGEMENTS 2026'!C972),"",'ENGAGEMENTS 2026'!M972)</f>
        <v/>
      </c>
      <c r="P972">
        <f>IF(ISBLANK('ENGAGEMENTS 2026'!C972),"",'ENGAGEMENTS 2026'!K972)</f>
        <v/>
      </c>
      <c r="Q972">
        <f>IF($A972="","",IF(OR($E972="INFRUCTUEUX",$E972="ANNULE"),$A972&amp;"|"&amp;(COUNTIFS($A$2:$A972,$A972,$E$2:$E972,"INFRUCTUEUX")+COUNTIFS($A$2:$A972,$A972,$E$2:$E972,"ANNULE")),""))</f>
        <v/>
      </c>
    </row>
    <row r="973">
      <c r="A973">
        <f>IF(ISBLANK('ENGAGEMENTS 2026'!C973),"",IF('ENGAGEMENTS 2026'!C973="DTSI","DCT",'ENGAGEMENTS 2026'!C973))</f>
        <v/>
      </c>
      <c r="B973">
        <f>IF(ISBLANK('ENGAGEMENTS 2026'!C973),"",'ENGAGEMENTS 2026'!D973)</f>
        <v/>
      </c>
      <c r="C973">
        <f>IF(ISBLANK('ENGAGEMENTS 2026'!C973),"",'ENGAGEMENTS 2026'!E973)</f>
        <v/>
      </c>
      <c r="D973">
        <f>IF(ISBLANK('ENGAGEMENTS 2026'!C973),"",'ENGAGEMENTS 2026'!G973)</f>
        <v/>
      </c>
      <c r="E973">
        <f>IF(ISBLANK('ENGAGEMENTS 2026'!C973),"",'ENGAGEMENTS 2026'!I973)</f>
        <v/>
      </c>
      <c r="F973">
        <f>IF(ISBLANK('ENGAGEMENTS 2026'!C973),"",'ENGAGEMENTS 2026'!J973)</f>
        <v/>
      </c>
      <c r="G973">
        <f>IF(ISBLANK('ENGAGEMENTS 2026'!C973),"",'ENGAGEMENTS 2026'!M973)</f>
        <v/>
      </c>
      <c r="H973">
        <f>IF(ISBLANK('ENGAGEMENTS 2026'!C973),"",'ENGAGEMENTS 2026'!AF973)</f>
        <v/>
      </c>
      <c r="I973">
        <f>IF(ISBLANK('ENGAGEMENTS 2026'!C973),"",'ENGAGEMENTS 2026'!H973)</f>
        <v/>
      </c>
      <c r="J973" s="275">
        <f>IF(ISBLANK('ENGAGEMENTS 2026'!C973),"",IF(AND(OR($E973="INFRUCTUEUX",$E973="ANNULE"),$C973="AOO-M"),'ENGAGEMENTS 2026'!P973,IF($H973="EN COURS DE PREENGAGEMENT",'ENGAGEMENTS 2026'!O973,IF($H973="PREENGAGE",IF($E973="ATTRIBUE",'ENGAGEMENTS 2026'!AE973,'ENGAGEMENTS 2026'!O973),'ENGAGEMENTS 2026'!AE973))))</f>
        <v/>
      </c>
      <c r="K973" s="604">
        <f>IF(ISBLANK('ENGAGEMENTS 2026'!W973),"",'ENGAGEMENTS 2026'!W973)</f>
        <v/>
      </c>
      <c r="L973" s="276">
        <f>IF($K973="","",TODAY()-$K973)</f>
        <v/>
      </c>
      <c r="M973">
        <f>IF($A973="","",IF($H973="ENGAGE","Engagé",IF(AND($H973="NON ENGAGE",OR($I973="INFRUCTUEUX",$I973="ANNULE")),"Clôturé sans suite","En cours")))</f>
        <v/>
      </c>
      <c r="N973">
        <f>IF(ISBLANK('ENGAGEMENTS 2026'!C973),"",'ENGAGEMENTS 2026'!L973)</f>
        <v/>
      </c>
      <c r="O973">
        <f>IF(ISBLANK('ENGAGEMENTS 2026'!C973),"",'ENGAGEMENTS 2026'!M973)</f>
        <v/>
      </c>
      <c r="P973">
        <f>IF(ISBLANK('ENGAGEMENTS 2026'!C973),"",'ENGAGEMENTS 2026'!K973)</f>
        <v/>
      </c>
      <c r="Q973">
        <f>IF($A973="","",IF(OR($E973="INFRUCTUEUX",$E973="ANNULE"),$A973&amp;"|"&amp;(COUNTIFS($A$2:$A973,$A973,$E$2:$E973,"INFRUCTUEUX")+COUNTIFS($A$2:$A973,$A973,$E$2:$E973,"ANNULE")),""))</f>
        <v/>
      </c>
    </row>
    <row r="974">
      <c r="A974">
        <f>IF(ISBLANK('ENGAGEMENTS 2026'!C974),"",IF('ENGAGEMENTS 2026'!C974="DTSI","DCT",'ENGAGEMENTS 2026'!C974))</f>
        <v/>
      </c>
      <c r="B974">
        <f>IF(ISBLANK('ENGAGEMENTS 2026'!C974),"",'ENGAGEMENTS 2026'!D974)</f>
        <v/>
      </c>
      <c r="C974">
        <f>IF(ISBLANK('ENGAGEMENTS 2026'!C974),"",'ENGAGEMENTS 2026'!E974)</f>
        <v/>
      </c>
      <c r="D974">
        <f>IF(ISBLANK('ENGAGEMENTS 2026'!C974),"",'ENGAGEMENTS 2026'!G974)</f>
        <v/>
      </c>
      <c r="E974">
        <f>IF(ISBLANK('ENGAGEMENTS 2026'!C974),"",'ENGAGEMENTS 2026'!I974)</f>
        <v/>
      </c>
      <c r="F974">
        <f>IF(ISBLANK('ENGAGEMENTS 2026'!C974),"",'ENGAGEMENTS 2026'!J974)</f>
        <v/>
      </c>
      <c r="G974">
        <f>IF(ISBLANK('ENGAGEMENTS 2026'!C974),"",'ENGAGEMENTS 2026'!M974)</f>
        <v/>
      </c>
      <c r="H974">
        <f>IF(ISBLANK('ENGAGEMENTS 2026'!C974),"",'ENGAGEMENTS 2026'!AF974)</f>
        <v/>
      </c>
      <c r="I974">
        <f>IF(ISBLANK('ENGAGEMENTS 2026'!C974),"",'ENGAGEMENTS 2026'!H974)</f>
        <v/>
      </c>
      <c r="J974" s="275">
        <f>IF(ISBLANK('ENGAGEMENTS 2026'!C974),"",IF(AND(OR($E974="INFRUCTUEUX",$E974="ANNULE"),$C974="AOO-M"),'ENGAGEMENTS 2026'!P974,IF($H974="EN COURS DE PREENGAGEMENT",'ENGAGEMENTS 2026'!O974,IF($H974="PREENGAGE",IF($E974="ATTRIBUE",'ENGAGEMENTS 2026'!AE974,'ENGAGEMENTS 2026'!O974),'ENGAGEMENTS 2026'!AE974))))</f>
        <v/>
      </c>
      <c r="K974" s="604">
        <f>IF(ISBLANK('ENGAGEMENTS 2026'!W974),"",'ENGAGEMENTS 2026'!W974)</f>
        <v/>
      </c>
      <c r="L974" s="276">
        <f>IF($K974="","",TODAY()-$K974)</f>
        <v/>
      </c>
      <c r="M974">
        <f>IF($A974="","",IF($H974="ENGAGE","Engagé",IF(AND($H974="NON ENGAGE",OR($I974="INFRUCTUEUX",$I974="ANNULE")),"Clôturé sans suite","En cours")))</f>
        <v/>
      </c>
      <c r="N974">
        <f>IF(ISBLANK('ENGAGEMENTS 2026'!C974),"",'ENGAGEMENTS 2026'!L974)</f>
        <v/>
      </c>
      <c r="O974">
        <f>IF(ISBLANK('ENGAGEMENTS 2026'!C974),"",'ENGAGEMENTS 2026'!M974)</f>
        <v/>
      </c>
      <c r="P974">
        <f>IF(ISBLANK('ENGAGEMENTS 2026'!C974),"",'ENGAGEMENTS 2026'!K974)</f>
        <v/>
      </c>
      <c r="Q974">
        <f>IF($A974="","",IF(OR($E974="INFRUCTUEUX",$E974="ANNULE"),$A974&amp;"|"&amp;(COUNTIFS($A$2:$A974,$A974,$E$2:$E974,"INFRUCTUEUX")+COUNTIFS($A$2:$A974,$A974,$E$2:$E974,"ANNULE")),""))</f>
        <v/>
      </c>
    </row>
    <row r="975">
      <c r="A975">
        <f>IF(ISBLANK('ENGAGEMENTS 2026'!C975),"",IF('ENGAGEMENTS 2026'!C975="DTSI","DCT",'ENGAGEMENTS 2026'!C975))</f>
        <v/>
      </c>
      <c r="B975">
        <f>IF(ISBLANK('ENGAGEMENTS 2026'!C975),"",'ENGAGEMENTS 2026'!D975)</f>
        <v/>
      </c>
      <c r="C975">
        <f>IF(ISBLANK('ENGAGEMENTS 2026'!C975),"",'ENGAGEMENTS 2026'!E975)</f>
        <v/>
      </c>
      <c r="D975">
        <f>IF(ISBLANK('ENGAGEMENTS 2026'!C975),"",'ENGAGEMENTS 2026'!G975)</f>
        <v/>
      </c>
      <c r="E975">
        <f>IF(ISBLANK('ENGAGEMENTS 2026'!C975),"",'ENGAGEMENTS 2026'!I975)</f>
        <v/>
      </c>
      <c r="F975">
        <f>IF(ISBLANK('ENGAGEMENTS 2026'!C975),"",'ENGAGEMENTS 2026'!J975)</f>
        <v/>
      </c>
      <c r="G975">
        <f>IF(ISBLANK('ENGAGEMENTS 2026'!C975),"",'ENGAGEMENTS 2026'!M975)</f>
        <v/>
      </c>
      <c r="H975">
        <f>IF(ISBLANK('ENGAGEMENTS 2026'!C975),"",'ENGAGEMENTS 2026'!AF975)</f>
        <v/>
      </c>
      <c r="I975">
        <f>IF(ISBLANK('ENGAGEMENTS 2026'!C975),"",'ENGAGEMENTS 2026'!H975)</f>
        <v/>
      </c>
      <c r="J975" s="275">
        <f>IF(ISBLANK('ENGAGEMENTS 2026'!C975),"",IF(AND(OR($E975="INFRUCTUEUX",$E975="ANNULE"),$C975="AOO-M"),'ENGAGEMENTS 2026'!P975,IF($H975="EN COURS DE PREENGAGEMENT",'ENGAGEMENTS 2026'!O975,IF($H975="PREENGAGE",IF($E975="ATTRIBUE",'ENGAGEMENTS 2026'!AE975,'ENGAGEMENTS 2026'!O975),'ENGAGEMENTS 2026'!AE975))))</f>
        <v/>
      </c>
      <c r="K975" s="604">
        <f>IF(ISBLANK('ENGAGEMENTS 2026'!W975),"",'ENGAGEMENTS 2026'!W975)</f>
        <v/>
      </c>
      <c r="L975" s="276">
        <f>IF($K975="","",TODAY()-$K975)</f>
        <v/>
      </c>
      <c r="M975">
        <f>IF($A975="","",IF($H975="ENGAGE","Engagé",IF(AND($H975="NON ENGAGE",OR($I975="INFRUCTUEUX",$I975="ANNULE")),"Clôturé sans suite","En cours")))</f>
        <v/>
      </c>
      <c r="N975">
        <f>IF(ISBLANK('ENGAGEMENTS 2026'!C975),"",'ENGAGEMENTS 2026'!L975)</f>
        <v/>
      </c>
      <c r="O975">
        <f>IF(ISBLANK('ENGAGEMENTS 2026'!C975),"",'ENGAGEMENTS 2026'!M975)</f>
        <v/>
      </c>
      <c r="P975">
        <f>IF(ISBLANK('ENGAGEMENTS 2026'!C975),"",'ENGAGEMENTS 2026'!K975)</f>
        <v/>
      </c>
      <c r="Q975">
        <f>IF($A975="","",IF(OR($E975="INFRUCTUEUX",$E975="ANNULE"),$A975&amp;"|"&amp;(COUNTIFS($A$2:$A975,$A975,$E$2:$E975,"INFRUCTUEUX")+COUNTIFS($A$2:$A975,$A975,$E$2:$E975,"ANNULE")),""))</f>
        <v/>
      </c>
    </row>
    <row r="976">
      <c r="A976">
        <f>IF(ISBLANK('ENGAGEMENTS 2026'!C976),"",IF('ENGAGEMENTS 2026'!C976="DTSI","DCT",'ENGAGEMENTS 2026'!C976))</f>
        <v/>
      </c>
      <c r="B976">
        <f>IF(ISBLANK('ENGAGEMENTS 2026'!C976),"",'ENGAGEMENTS 2026'!D976)</f>
        <v/>
      </c>
      <c r="C976">
        <f>IF(ISBLANK('ENGAGEMENTS 2026'!C976),"",'ENGAGEMENTS 2026'!E976)</f>
        <v/>
      </c>
      <c r="D976">
        <f>IF(ISBLANK('ENGAGEMENTS 2026'!C976),"",'ENGAGEMENTS 2026'!G976)</f>
        <v/>
      </c>
      <c r="E976">
        <f>IF(ISBLANK('ENGAGEMENTS 2026'!C976),"",'ENGAGEMENTS 2026'!I976)</f>
        <v/>
      </c>
      <c r="F976">
        <f>IF(ISBLANK('ENGAGEMENTS 2026'!C976),"",'ENGAGEMENTS 2026'!J976)</f>
        <v/>
      </c>
      <c r="G976">
        <f>IF(ISBLANK('ENGAGEMENTS 2026'!C976),"",'ENGAGEMENTS 2026'!M976)</f>
        <v/>
      </c>
      <c r="H976">
        <f>IF(ISBLANK('ENGAGEMENTS 2026'!C976),"",'ENGAGEMENTS 2026'!AF976)</f>
        <v/>
      </c>
      <c r="I976">
        <f>IF(ISBLANK('ENGAGEMENTS 2026'!C976),"",'ENGAGEMENTS 2026'!H976)</f>
        <v/>
      </c>
      <c r="J976" s="275">
        <f>IF(ISBLANK('ENGAGEMENTS 2026'!C976),"",IF(AND(OR($E976="INFRUCTUEUX",$E976="ANNULE"),$C976="AOO-M"),'ENGAGEMENTS 2026'!P976,IF($H976="EN COURS DE PREENGAGEMENT",'ENGAGEMENTS 2026'!O976,IF($H976="PREENGAGE",IF($E976="ATTRIBUE",'ENGAGEMENTS 2026'!AE976,'ENGAGEMENTS 2026'!O976),'ENGAGEMENTS 2026'!AE976))))</f>
        <v/>
      </c>
      <c r="K976" s="604">
        <f>IF(ISBLANK('ENGAGEMENTS 2026'!W976),"",'ENGAGEMENTS 2026'!W976)</f>
        <v/>
      </c>
      <c r="L976" s="276">
        <f>IF($K976="","",TODAY()-$K976)</f>
        <v/>
      </c>
      <c r="M976">
        <f>IF($A976="","",IF($H976="ENGAGE","Engagé",IF(AND($H976="NON ENGAGE",OR($I976="INFRUCTUEUX",$I976="ANNULE")),"Clôturé sans suite","En cours")))</f>
        <v/>
      </c>
      <c r="N976">
        <f>IF(ISBLANK('ENGAGEMENTS 2026'!C976),"",'ENGAGEMENTS 2026'!L976)</f>
        <v/>
      </c>
      <c r="O976">
        <f>IF(ISBLANK('ENGAGEMENTS 2026'!C976),"",'ENGAGEMENTS 2026'!M976)</f>
        <v/>
      </c>
      <c r="P976">
        <f>IF(ISBLANK('ENGAGEMENTS 2026'!C976),"",'ENGAGEMENTS 2026'!K976)</f>
        <v/>
      </c>
      <c r="Q976">
        <f>IF($A976="","",IF(OR($E976="INFRUCTUEUX",$E976="ANNULE"),$A976&amp;"|"&amp;(COUNTIFS($A$2:$A976,$A976,$E$2:$E976,"INFRUCTUEUX")+COUNTIFS($A$2:$A976,$A976,$E$2:$E976,"ANNULE")),""))</f>
        <v/>
      </c>
    </row>
    <row r="977">
      <c r="A977">
        <f>IF(ISBLANK('ENGAGEMENTS 2026'!C977),"",IF('ENGAGEMENTS 2026'!C977="DTSI","DCT",'ENGAGEMENTS 2026'!C977))</f>
        <v/>
      </c>
      <c r="B977">
        <f>IF(ISBLANK('ENGAGEMENTS 2026'!C977),"",'ENGAGEMENTS 2026'!D977)</f>
        <v/>
      </c>
      <c r="C977">
        <f>IF(ISBLANK('ENGAGEMENTS 2026'!C977),"",'ENGAGEMENTS 2026'!E977)</f>
        <v/>
      </c>
      <c r="D977">
        <f>IF(ISBLANK('ENGAGEMENTS 2026'!C977),"",'ENGAGEMENTS 2026'!G977)</f>
        <v/>
      </c>
      <c r="E977">
        <f>IF(ISBLANK('ENGAGEMENTS 2026'!C977),"",'ENGAGEMENTS 2026'!I977)</f>
        <v/>
      </c>
      <c r="F977">
        <f>IF(ISBLANK('ENGAGEMENTS 2026'!C977),"",'ENGAGEMENTS 2026'!J977)</f>
        <v/>
      </c>
      <c r="G977">
        <f>IF(ISBLANK('ENGAGEMENTS 2026'!C977),"",'ENGAGEMENTS 2026'!M977)</f>
        <v/>
      </c>
      <c r="H977">
        <f>IF(ISBLANK('ENGAGEMENTS 2026'!C977),"",'ENGAGEMENTS 2026'!AF977)</f>
        <v/>
      </c>
      <c r="I977">
        <f>IF(ISBLANK('ENGAGEMENTS 2026'!C977),"",'ENGAGEMENTS 2026'!H977)</f>
        <v/>
      </c>
      <c r="J977" s="275">
        <f>IF(ISBLANK('ENGAGEMENTS 2026'!C977),"",IF(AND(OR($E977="INFRUCTUEUX",$E977="ANNULE"),$C977="AOO-M"),'ENGAGEMENTS 2026'!P977,IF($H977="EN COURS DE PREENGAGEMENT",'ENGAGEMENTS 2026'!O977,IF($H977="PREENGAGE",IF($E977="ATTRIBUE",'ENGAGEMENTS 2026'!AE977,'ENGAGEMENTS 2026'!O977),'ENGAGEMENTS 2026'!AE977))))</f>
        <v/>
      </c>
      <c r="K977" s="604">
        <f>IF(ISBLANK('ENGAGEMENTS 2026'!W977),"",'ENGAGEMENTS 2026'!W977)</f>
        <v/>
      </c>
      <c r="L977" s="276">
        <f>IF($K977="","",TODAY()-$K977)</f>
        <v/>
      </c>
      <c r="M977">
        <f>IF($A977="","",IF($H977="ENGAGE","Engagé",IF(AND($H977="NON ENGAGE",OR($I977="INFRUCTUEUX",$I977="ANNULE")),"Clôturé sans suite","En cours")))</f>
        <v/>
      </c>
      <c r="N977">
        <f>IF(ISBLANK('ENGAGEMENTS 2026'!C977),"",'ENGAGEMENTS 2026'!L977)</f>
        <v/>
      </c>
      <c r="O977">
        <f>IF(ISBLANK('ENGAGEMENTS 2026'!C977),"",'ENGAGEMENTS 2026'!M977)</f>
        <v/>
      </c>
      <c r="P977">
        <f>IF(ISBLANK('ENGAGEMENTS 2026'!C977),"",'ENGAGEMENTS 2026'!K977)</f>
        <v/>
      </c>
      <c r="Q977">
        <f>IF($A977="","",IF(OR($E977="INFRUCTUEUX",$E977="ANNULE"),$A977&amp;"|"&amp;(COUNTIFS($A$2:$A977,$A977,$E$2:$E977,"INFRUCTUEUX")+COUNTIFS($A$2:$A977,$A977,$E$2:$E977,"ANNULE")),""))</f>
        <v/>
      </c>
    </row>
    <row r="978">
      <c r="A978">
        <f>IF(ISBLANK('ENGAGEMENTS 2026'!C978),"",IF('ENGAGEMENTS 2026'!C978="DTSI","DCT",'ENGAGEMENTS 2026'!C978))</f>
        <v/>
      </c>
      <c r="B978">
        <f>IF(ISBLANK('ENGAGEMENTS 2026'!C978),"",'ENGAGEMENTS 2026'!D978)</f>
        <v/>
      </c>
      <c r="C978">
        <f>IF(ISBLANK('ENGAGEMENTS 2026'!C978),"",'ENGAGEMENTS 2026'!E978)</f>
        <v/>
      </c>
      <c r="D978">
        <f>IF(ISBLANK('ENGAGEMENTS 2026'!C978),"",'ENGAGEMENTS 2026'!G978)</f>
        <v/>
      </c>
      <c r="E978">
        <f>IF(ISBLANK('ENGAGEMENTS 2026'!C978),"",'ENGAGEMENTS 2026'!I978)</f>
        <v/>
      </c>
      <c r="F978">
        <f>IF(ISBLANK('ENGAGEMENTS 2026'!C978),"",'ENGAGEMENTS 2026'!J978)</f>
        <v/>
      </c>
      <c r="G978">
        <f>IF(ISBLANK('ENGAGEMENTS 2026'!C978),"",'ENGAGEMENTS 2026'!M978)</f>
        <v/>
      </c>
      <c r="H978">
        <f>IF(ISBLANK('ENGAGEMENTS 2026'!C978),"",'ENGAGEMENTS 2026'!AF978)</f>
        <v/>
      </c>
      <c r="I978">
        <f>IF(ISBLANK('ENGAGEMENTS 2026'!C978),"",'ENGAGEMENTS 2026'!H978)</f>
        <v/>
      </c>
      <c r="J978" s="275">
        <f>IF(ISBLANK('ENGAGEMENTS 2026'!C978),"",IF(AND(OR($E978="INFRUCTUEUX",$E978="ANNULE"),$C978="AOO-M"),'ENGAGEMENTS 2026'!P978,IF($H978="EN COURS DE PREENGAGEMENT",'ENGAGEMENTS 2026'!O978,IF($H978="PREENGAGE",IF($E978="ATTRIBUE",'ENGAGEMENTS 2026'!AE978,'ENGAGEMENTS 2026'!O978),'ENGAGEMENTS 2026'!AE978))))</f>
        <v/>
      </c>
      <c r="K978" s="604">
        <f>IF(ISBLANK('ENGAGEMENTS 2026'!W978),"",'ENGAGEMENTS 2026'!W978)</f>
        <v/>
      </c>
      <c r="L978" s="276">
        <f>IF($K978="","",TODAY()-$K978)</f>
        <v/>
      </c>
      <c r="M978">
        <f>IF($A978="","",IF($H978="ENGAGE","Engagé",IF(AND($H978="NON ENGAGE",OR($I978="INFRUCTUEUX",$I978="ANNULE")),"Clôturé sans suite","En cours")))</f>
        <v/>
      </c>
      <c r="N978">
        <f>IF(ISBLANK('ENGAGEMENTS 2026'!C978),"",'ENGAGEMENTS 2026'!L978)</f>
        <v/>
      </c>
      <c r="O978">
        <f>IF(ISBLANK('ENGAGEMENTS 2026'!C978),"",'ENGAGEMENTS 2026'!M978)</f>
        <v/>
      </c>
      <c r="P978">
        <f>IF(ISBLANK('ENGAGEMENTS 2026'!C978),"",'ENGAGEMENTS 2026'!K978)</f>
        <v/>
      </c>
      <c r="Q978">
        <f>IF($A978="","",IF(OR($E978="INFRUCTUEUX",$E978="ANNULE"),$A978&amp;"|"&amp;(COUNTIFS($A$2:$A978,$A978,$E$2:$E978,"INFRUCTUEUX")+COUNTIFS($A$2:$A978,$A978,$E$2:$E978,"ANNULE")),""))</f>
        <v/>
      </c>
    </row>
    <row r="979">
      <c r="A979">
        <f>IF(ISBLANK('ENGAGEMENTS 2026'!C979),"",IF('ENGAGEMENTS 2026'!C979="DTSI","DCT",'ENGAGEMENTS 2026'!C979))</f>
        <v/>
      </c>
      <c r="B979">
        <f>IF(ISBLANK('ENGAGEMENTS 2026'!C979),"",'ENGAGEMENTS 2026'!D979)</f>
        <v/>
      </c>
      <c r="C979">
        <f>IF(ISBLANK('ENGAGEMENTS 2026'!C979),"",'ENGAGEMENTS 2026'!E979)</f>
        <v/>
      </c>
      <c r="D979">
        <f>IF(ISBLANK('ENGAGEMENTS 2026'!C979),"",'ENGAGEMENTS 2026'!G979)</f>
        <v/>
      </c>
      <c r="E979">
        <f>IF(ISBLANK('ENGAGEMENTS 2026'!C979),"",'ENGAGEMENTS 2026'!I979)</f>
        <v/>
      </c>
      <c r="F979">
        <f>IF(ISBLANK('ENGAGEMENTS 2026'!C979),"",'ENGAGEMENTS 2026'!J979)</f>
        <v/>
      </c>
      <c r="G979">
        <f>IF(ISBLANK('ENGAGEMENTS 2026'!C979),"",'ENGAGEMENTS 2026'!M979)</f>
        <v/>
      </c>
      <c r="H979">
        <f>IF(ISBLANK('ENGAGEMENTS 2026'!C979),"",'ENGAGEMENTS 2026'!AF979)</f>
        <v/>
      </c>
      <c r="I979">
        <f>IF(ISBLANK('ENGAGEMENTS 2026'!C979),"",'ENGAGEMENTS 2026'!H979)</f>
        <v/>
      </c>
      <c r="J979" s="275">
        <f>IF(ISBLANK('ENGAGEMENTS 2026'!C979),"",IF(AND(OR($E979="INFRUCTUEUX",$E979="ANNULE"),$C979="AOO-M"),'ENGAGEMENTS 2026'!P979,IF($H979="EN COURS DE PREENGAGEMENT",'ENGAGEMENTS 2026'!O979,IF($H979="PREENGAGE",IF($E979="ATTRIBUE",'ENGAGEMENTS 2026'!AE979,'ENGAGEMENTS 2026'!O979),'ENGAGEMENTS 2026'!AE979))))</f>
        <v/>
      </c>
      <c r="K979" s="604">
        <f>IF(ISBLANK('ENGAGEMENTS 2026'!W979),"",'ENGAGEMENTS 2026'!W979)</f>
        <v/>
      </c>
      <c r="L979" s="276">
        <f>IF($K979="","",TODAY()-$K979)</f>
        <v/>
      </c>
      <c r="M979">
        <f>IF($A979="","",IF($H979="ENGAGE","Engagé",IF(AND($H979="NON ENGAGE",OR($I979="INFRUCTUEUX",$I979="ANNULE")),"Clôturé sans suite","En cours")))</f>
        <v/>
      </c>
      <c r="N979">
        <f>IF(ISBLANK('ENGAGEMENTS 2026'!C979),"",'ENGAGEMENTS 2026'!L979)</f>
        <v/>
      </c>
      <c r="O979">
        <f>IF(ISBLANK('ENGAGEMENTS 2026'!C979),"",'ENGAGEMENTS 2026'!M979)</f>
        <v/>
      </c>
      <c r="P979">
        <f>IF(ISBLANK('ENGAGEMENTS 2026'!C979),"",'ENGAGEMENTS 2026'!K979)</f>
        <v/>
      </c>
      <c r="Q979">
        <f>IF($A979="","",IF(OR($E979="INFRUCTUEUX",$E979="ANNULE"),$A979&amp;"|"&amp;(COUNTIFS($A$2:$A979,$A979,$E$2:$E979,"INFRUCTUEUX")+COUNTIFS($A$2:$A979,$A979,$E$2:$E979,"ANNULE")),""))</f>
        <v/>
      </c>
    </row>
    <row r="980">
      <c r="A980">
        <f>IF(ISBLANK('ENGAGEMENTS 2026'!C980),"",IF('ENGAGEMENTS 2026'!C980="DTSI","DCT",'ENGAGEMENTS 2026'!C980))</f>
        <v/>
      </c>
      <c r="B980">
        <f>IF(ISBLANK('ENGAGEMENTS 2026'!C980),"",'ENGAGEMENTS 2026'!D980)</f>
        <v/>
      </c>
      <c r="C980">
        <f>IF(ISBLANK('ENGAGEMENTS 2026'!C980),"",'ENGAGEMENTS 2026'!E980)</f>
        <v/>
      </c>
      <c r="D980">
        <f>IF(ISBLANK('ENGAGEMENTS 2026'!C980),"",'ENGAGEMENTS 2026'!G980)</f>
        <v/>
      </c>
      <c r="E980">
        <f>IF(ISBLANK('ENGAGEMENTS 2026'!C980),"",'ENGAGEMENTS 2026'!I980)</f>
        <v/>
      </c>
      <c r="F980">
        <f>IF(ISBLANK('ENGAGEMENTS 2026'!C980),"",'ENGAGEMENTS 2026'!J980)</f>
        <v/>
      </c>
      <c r="G980">
        <f>IF(ISBLANK('ENGAGEMENTS 2026'!C980),"",'ENGAGEMENTS 2026'!M980)</f>
        <v/>
      </c>
      <c r="H980">
        <f>IF(ISBLANK('ENGAGEMENTS 2026'!C980),"",'ENGAGEMENTS 2026'!AF980)</f>
        <v/>
      </c>
      <c r="I980">
        <f>IF(ISBLANK('ENGAGEMENTS 2026'!C980),"",'ENGAGEMENTS 2026'!H980)</f>
        <v/>
      </c>
      <c r="J980" s="275">
        <f>IF(ISBLANK('ENGAGEMENTS 2026'!C980),"",IF(AND(OR($E980="INFRUCTUEUX",$E980="ANNULE"),$C980="AOO-M"),'ENGAGEMENTS 2026'!P980,IF($H980="EN COURS DE PREENGAGEMENT",'ENGAGEMENTS 2026'!O980,IF($H980="PREENGAGE",IF($E980="ATTRIBUE",'ENGAGEMENTS 2026'!AE980,'ENGAGEMENTS 2026'!O980),'ENGAGEMENTS 2026'!AE980))))</f>
        <v/>
      </c>
      <c r="K980" s="604">
        <f>IF(ISBLANK('ENGAGEMENTS 2026'!W980),"",'ENGAGEMENTS 2026'!W980)</f>
        <v/>
      </c>
      <c r="L980" s="276">
        <f>IF($K980="","",TODAY()-$K980)</f>
        <v/>
      </c>
      <c r="M980">
        <f>IF($A980="","",IF($H980="ENGAGE","Engagé",IF(AND($H980="NON ENGAGE",OR($I980="INFRUCTUEUX",$I980="ANNULE")),"Clôturé sans suite","En cours")))</f>
        <v/>
      </c>
      <c r="N980">
        <f>IF(ISBLANK('ENGAGEMENTS 2026'!C980),"",'ENGAGEMENTS 2026'!L980)</f>
        <v/>
      </c>
      <c r="O980">
        <f>IF(ISBLANK('ENGAGEMENTS 2026'!C980),"",'ENGAGEMENTS 2026'!M980)</f>
        <v/>
      </c>
      <c r="P980">
        <f>IF(ISBLANK('ENGAGEMENTS 2026'!C980),"",'ENGAGEMENTS 2026'!K980)</f>
        <v/>
      </c>
      <c r="Q980">
        <f>IF($A980="","",IF(OR($E980="INFRUCTUEUX",$E980="ANNULE"),$A980&amp;"|"&amp;(COUNTIFS($A$2:$A980,$A980,$E$2:$E980,"INFRUCTUEUX")+COUNTIFS($A$2:$A980,$A980,$E$2:$E980,"ANNULE")),""))</f>
        <v/>
      </c>
    </row>
    <row r="981">
      <c r="A981">
        <f>IF(ISBLANK('ENGAGEMENTS 2026'!C981),"",IF('ENGAGEMENTS 2026'!C981="DTSI","DCT",'ENGAGEMENTS 2026'!C981))</f>
        <v/>
      </c>
      <c r="B981">
        <f>IF(ISBLANK('ENGAGEMENTS 2026'!C981),"",'ENGAGEMENTS 2026'!D981)</f>
        <v/>
      </c>
      <c r="C981">
        <f>IF(ISBLANK('ENGAGEMENTS 2026'!C981),"",'ENGAGEMENTS 2026'!E981)</f>
        <v/>
      </c>
      <c r="D981">
        <f>IF(ISBLANK('ENGAGEMENTS 2026'!C981),"",'ENGAGEMENTS 2026'!G981)</f>
        <v/>
      </c>
      <c r="E981">
        <f>IF(ISBLANK('ENGAGEMENTS 2026'!C981),"",'ENGAGEMENTS 2026'!I981)</f>
        <v/>
      </c>
      <c r="F981">
        <f>IF(ISBLANK('ENGAGEMENTS 2026'!C981),"",'ENGAGEMENTS 2026'!J981)</f>
        <v/>
      </c>
      <c r="G981">
        <f>IF(ISBLANK('ENGAGEMENTS 2026'!C981),"",'ENGAGEMENTS 2026'!M981)</f>
        <v/>
      </c>
      <c r="H981">
        <f>IF(ISBLANK('ENGAGEMENTS 2026'!C981),"",'ENGAGEMENTS 2026'!AF981)</f>
        <v/>
      </c>
      <c r="I981">
        <f>IF(ISBLANK('ENGAGEMENTS 2026'!C981),"",'ENGAGEMENTS 2026'!H981)</f>
        <v/>
      </c>
      <c r="J981" s="275">
        <f>IF(ISBLANK('ENGAGEMENTS 2026'!C981),"",IF(AND(OR($E981="INFRUCTUEUX",$E981="ANNULE"),$C981="AOO-M"),'ENGAGEMENTS 2026'!P981,IF($H981="EN COURS DE PREENGAGEMENT",'ENGAGEMENTS 2026'!O981,IF($H981="PREENGAGE",IF($E981="ATTRIBUE",'ENGAGEMENTS 2026'!AE981,'ENGAGEMENTS 2026'!O981),'ENGAGEMENTS 2026'!AE981))))</f>
        <v/>
      </c>
      <c r="K981" s="604">
        <f>IF(ISBLANK('ENGAGEMENTS 2026'!W981),"",'ENGAGEMENTS 2026'!W981)</f>
        <v/>
      </c>
      <c r="L981" s="276">
        <f>IF($K981="","",TODAY()-$K981)</f>
        <v/>
      </c>
      <c r="M981">
        <f>IF($A981="","",IF($H981="ENGAGE","Engagé",IF(AND($H981="NON ENGAGE",OR($I981="INFRUCTUEUX",$I981="ANNULE")),"Clôturé sans suite","En cours")))</f>
        <v/>
      </c>
      <c r="N981">
        <f>IF(ISBLANK('ENGAGEMENTS 2026'!C981),"",'ENGAGEMENTS 2026'!L981)</f>
        <v/>
      </c>
      <c r="O981">
        <f>IF(ISBLANK('ENGAGEMENTS 2026'!C981),"",'ENGAGEMENTS 2026'!M981)</f>
        <v/>
      </c>
      <c r="P981">
        <f>IF(ISBLANK('ENGAGEMENTS 2026'!C981),"",'ENGAGEMENTS 2026'!K981)</f>
        <v/>
      </c>
      <c r="Q981">
        <f>IF($A981="","",IF(OR($E981="INFRUCTUEUX",$E981="ANNULE"),$A981&amp;"|"&amp;(COUNTIFS($A$2:$A981,$A981,$E$2:$E981,"INFRUCTUEUX")+COUNTIFS($A$2:$A981,$A981,$E$2:$E981,"ANNULE")),""))</f>
        <v/>
      </c>
    </row>
    <row r="982">
      <c r="A982">
        <f>IF(ISBLANK('ENGAGEMENTS 2026'!C982),"",IF('ENGAGEMENTS 2026'!C982="DTSI","DCT",'ENGAGEMENTS 2026'!C982))</f>
        <v/>
      </c>
      <c r="B982">
        <f>IF(ISBLANK('ENGAGEMENTS 2026'!C982),"",'ENGAGEMENTS 2026'!D982)</f>
        <v/>
      </c>
      <c r="C982">
        <f>IF(ISBLANK('ENGAGEMENTS 2026'!C982),"",'ENGAGEMENTS 2026'!E982)</f>
        <v/>
      </c>
      <c r="D982">
        <f>IF(ISBLANK('ENGAGEMENTS 2026'!C982),"",'ENGAGEMENTS 2026'!G982)</f>
        <v/>
      </c>
      <c r="E982">
        <f>IF(ISBLANK('ENGAGEMENTS 2026'!C982),"",'ENGAGEMENTS 2026'!I982)</f>
        <v/>
      </c>
      <c r="F982">
        <f>IF(ISBLANK('ENGAGEMENTS 2026'!C982),"",'ENGAGEMENTS 2026'!J982)</f>
        <v/>
      </c>
      <c r="G982">
        <f>IF(ISBLANK('ENGAGEMENTS 2026'!C982),"",'ENGAGEMENTS 2026'!M982)</f>
        <v/>
      </c>
      <c r="H982">
        <f>IF(ISBLANK('ENGAGEMENTS 2026'!C982),"",'ENGAGEMENTS 2026'!AF982)</f>
        <v/>
      </c>
      <c r="I982">
        <f>IF(ISBLANK('ENGAGEMENTS 2026'!C982),"",'ENGAGEMENTS 2026'!H982)</f>
        <v/>
      </c>
      <c r="J982" s="275">
        <f>IF(ISBLANK('ENGAGEMENTS 2026'!C982),"",IF(AND(OR($E982="INFRUCTUEUX",$E982="ANNULE"),$C982="AOO-M"),'ENGAGEMENTS 2026'!P982,IF($H982="EN COURS DE PREENGAGEMENT",'ENGAGEMENTS 2026'!O982,IF($H982="PREENGAGE",IF($E982="ATTRIBUE",'ENGAGEMENTS 2026'!AE982,'ENGAGEMENTS 2026'!O982),'ENGAGEMENTS 2026'!AE982))))</f>
        <v/>
      </c>
      <c r="K982" s="604">
        <f>IF(ISBLANK('ENGAGEMENTS 2026'!W982),"",'ENGAGEMENTS 2026'!W982)</f>
        <v/>
      </c>
      <c r="L982" s="276">
        <f>IF($K982="","",TODAY()-$K982)</f>
        <v/>
      </c>
      <c r="M982">
        <f>IF($A982="","",IF($H982="ENGAGE","Engagé",IF(AND($H982="NON ENGAGE",OR($I982="INFRUCTUEUX",$I982="ANNULE")),"Clôturé sans suite","En cours")))</f>
        <v/>
      </c>
      <c r="N982">
        <f>IF(ISBLANK('ENGAGEMENTS 2026'!C982),"",'ENGAGEMENTS 2026'!L982)</f>
        <v/>
      </c>
      <c r="O982">
        <f>IF(ISBLANK('ENGAGEMENTS 2026'!C982),"",'ENGAGEMENTS 2026'!M982)</f>
        <v/>
      </c>
      <c r="P982">
        <f>IF(ISBLANK('ENGAGEMENTS 2026'!C982),"",'ENGAGEMENTS 2026'!K982)</f>
        <v/>
      </c>
      <c r="Q982">
        <f>IF($A982="","",IF(OR($E982="INFRUCTUEUX",$E982="ANNULE"),$A982&amp;"|"&amp;(COUNTIFS($A$2:$A982,$A982,$E$2:$E982,"INFRUCTUEUX")+COUNTIFS($A$2:$A982,$A982,$E$2:$E982,"ANNULE")),""))</f>
        <v/>
      </c>
    </row>
    <row r="983">
      <c r="A983">
        <f>IF(ISBLANK('ENGAGEMENTS 2026'!C983),"",IF('ENGAGEMENTS 2026'!C983="DTSI","DCT",'ENGAGEMENTS 2026'!C983))</f>
        <v/>
      </c>
      <c r="B983">
        <f>IF(ISBLANK('ENGAGEMENTS 2026'!C983),"",'ENGAGEMENTS 2026'!D983)</f>
        <v/>
      </c>
      <c r="C983">
        <f>IF(ISBLANK('ENGAGEMENTS 2026'!C983),"",'ENGAGEMENTS 2026'!E983)</f>
        <v/>
      </c>
      <c r="D983">
        <f>IF(ISBLANK('ENGAGEMENTS 2026'!C983),"",'ENGAGEMENTS 2026'!G983)</f>
        <v/>
      </c>
      <c r="E983">
        <f>IF(ISBLANK('ENGAGEMENTS 2026'!C983),"",'ENGAGEMENTS 2026'!I983)</f>
        <v/>
      </c>
      <c r="F983">
        <f>IF(ISBLANK('ENGAGEMENTS 2026'!C983),"",'ENGAGEMENTS 2026'!J983)</f>
        <v/>
      </c>
      <c r="G983">
        <f>IF(ISBLANK('ENGAGEMENTS 2026'!C983),"",'ENGAGEMENTS 2026'!M983)</f>
        <v/>
      </c>
      <c r="H983">
        <f>IF(ISBLANK('ENGAGEMENTS 2026'!C983),"",'ENGAGEMENTS 2026'!AF983)</f>
        <v/>
      </c>
      <c r="I983">
        <f>IF(ISBLANK('ENGAGEMENTS 2026'!C983),"",'ENGAGEMENTS 2026'!H983)</f>
        <v/>
      </c>
      <c r="J983" s="275">
        <f>IF(ISBLANK('ENGAGEMENTS 2026'!C983),"",IF(AND(OR($E983="INFRUCTUEUX",$E983="ANNULE"),$C983="AOO-M"),'ENGAGEMENTS 2026'!P983,IF($H983="EN COURS DE PREENGAGEMENT",'ENGAGEMENTS 2026'!O983,IF($H983="PREENGAGE",IF($E983="ATTRIBUE",'ENGAGEMENTS 2026'!AE983,'ENGAGEMENTS 2026'!O983),'ENGAGEMENTS 2026'!AE983))))</f>
        <v/>
      </c>
      <c r="K983" s="604">
        <f>IF(ISBLANK('ENGAGEMENTS 2026'!W983),"",'ENGAGEMENTS 2026'!W983)</f>
        <v/>
      </c>
      <c r="L983" s="276">
        <f>IF($K983="","",TODAY()-$K983)</f>
        <v/>
      </c>
      <c r="M983">
        <f>IF($A983="","",IF($H983="ENGAGE","Engagé",IF(AND($H983="NON ENGAGE",OR($I983="INFRUCTUEUX",$I983="ANNULE")),"Clôturé sans suite","En cours")))</f>
        <v/>
      </c>
      <c r="N983">
        <f>IF(ISBLANK('ENGAGEMENTS 2026'!C983),"",'ENGAGEMENTS 2026'!L983)</f>
        <v/>
      </c>
      <c r="O983">
        <f>IF(ISBLANK('ENGAGEMENTS 2026'!C983),"",'ENGAGEMENTS 2026'!M983)</f>
        <v/>
      </c>
      <c r="P983">
        <f>IF(ISBLANK('ENGAGEMENTS 2026'!C983),"",'ENGAGEMENTS 2026'!K983)</f>
        <v/>
      </c>
      <c r="Q983">
        <f>IF($A983="","",IF(OR($E983="INFRUCTUEUX",$E983="ANNULE"),$A983&amp;"|"&amp;(COUNTIFS($A$2:$A983,$A983,$E$2:$E983,"INFRUCTUEUX")+COUNTIFS($A$2:$A983,$A983,$E$2:$E983,"ANNULE")),""))</f>
        <v/>
      </c>
    </row>
    <row r="984">
      <c r="A984">
        <f>IF(ISBLANK('ENGAGEMENTS 2026'!C984),"",IF('ENGAGEMENTS 2026'!C984="DTSI","DCT",'ENGAGEMENTS 2026'!C984))</f>
        <v/>
      </c>
      <c r="B984">
        <f>IF(ISBLANK('ENGAGEMENTS 2026'!C984),"",'ENGAGEMENTS 2026'!D984)</f>
        <v/>
      </c>
      <c r="C984">
        <f>IF(ISBLANK('ENGAGEMENTS 2026'!C984),"",'ENGAGEMENTS 2026'!E984)</f>
        <v/>
      </c>
      <c r="D984">
        <f>IF(ISBLANK('ENGAGEMENTS 2026'!C984),"",'ENGAGEMENTS 2026'!G984)</f>
        <v/>
      </c>
      <c r="E984">
        <f>IF(ISBLANK('ENGAGEMENTS 2026'!C984),"",'ENGAGEMENTS 2026'!I984)</f>
        <v/>
      </c>
      <c r="F984">
        <f>IF(ISBLANK('ENGAGEMENTS 2026'!C984),"",'ENGAGEMENTS 2026'!J984)</f>
        <v/>
      </c>
      <c r="G984">
        <f>IF(ISBLANK('ENGAGEMENTS 2026'!C984),"",'ENGAGEMENTS 2026'!M984)</f>
        <v/>
      </c>
      <c r="H984">
        <f>IF(ISBLANK('ENGAGEMENTS 2026'!C984),"",'ENGAGEMENTS 2026'!AF984)</f>
        <v/>
      </c>
      <c r="I984">
        <f>IF(ISBLANK('ENGAGEMENTS 2026'!C984),"",'ENGAGEMENTS 2026'!H984)</f>
        <v/>
      </c>
      <c r="J984" s="275">
        <f>IF(ISBLANK('ENGAGEMENTS 2026'!C984),"",IF(AND(OR($E984="INFRUCTUEUX",$E984="ANNULE"),$C984="AOO-M"),'ENGAGEMENTS 2026'!P984,IF($H984="EN COURS DE PREENGAGEMENT",'ENGAGEMENTS 2026'!O984,IF($H984="PREENGAGE",IF($E984="ATTRIBUE",'ENGAGEMENTS 2026'!AE984,'ENGAGEMENTS 2026'!O984),'ENGAGEMENTS 2026'!AE984))))</f>
        <v/>
      </c>
      <c r="K984" s="604">
        <f>IF(ISBLANK('ENGAGEMENTS 2026'!W984),"",'ENGAGEMENTS 2026'!W984)</f>
        <v/>
      </c>
      <c r="L984" s="276">
        <f>IF($K984="","",TODAY()-$K984)</f>
        <v/>
      </c>
      <c r="M984">
        <f>IF($A984="","",IF($H984="ENGAGE","Engagé",IF(AND($H984="NON ENGAGE",OR($I984="INFRUCTUEUX",$I984="ANNULE")),"Clôturé sans suite","En cours")))</f>
        <v/>
      </c>
      <c r="N984">
        <f>IF(ISBLANK('ENGAGEMENTS 2026'!C984),"",'ENGAGEMENTS 2026'!L984)</f>
        <v/>
      </c>
      <c r="O984">
        <f>IF(ISBLANK('ENGAGEMENTS 2026'!C984),"",'ENGAGEMENTS 2026'!M984)</f>
        <v/>
      </c>
      <c r="P984">
        <f>IF(ISBLANK('ENGAGEMENTS 2026'!C984),"",'ENGAGEMENTS 2026'!K984)</f>
        <v/>
      </c>
      <c r="Q984">
        <f>IF($A984="","",IF(OR($E984="INFRUCTUEUX",$E984="ANNULE"),$A984&amp;"|"&amp;(COUNTIFS($A$2:$A984,$A984,$E$2:$E984,"INFRUCTUEUX")+COUNTIFS($A$2:$A984,$A984,$E$2:$E984,"ANNULE")),""))</f>
        <v/>
      </c>
    </row>
    <row r="985">
      <c r="A985">
        <f>IF(ISBLANK('ENGAGEMENTS 2026'!C985),"",IF('ENGAGEMENTS 2026'!C985="DTSI","DCT",'ENGAGEMENTS 2026'!C985))</f>
        <v/>
      </c>
      <c r="B985">
        <f>IF(ISBLANK('ENGAGEMENTS 2026'!C985),"",'ENGAGEMENTS 2026'!D985)</f>
        <v/>
      </c>
      <c r="C985">
        <f>IF(ISBLANK('ENGAGEMENTS 2026'!C985),"",'ENGAGEMENTS 2026'!E985)</f>
        <v/>
      </c>
      <c r="D985">
        <f>IF(ISBLANK('ENGAGEMENTS 2026'!C985),"",'ENGAGEMENTS 2026'!G985)</f>
        <v/>
      </c>
      <c r="E985">
        <f>IF(ISBLANK('ENGAGEMENTS 2026'!C985),"",'ENGAGEMENTS 2026'!I985)</f>
        <v/>
      </c>
      <c r="F985">
        <f>IF(ISBLANK('ENGAGEMENTS 2026'!C985),"",'ENGAGEMENTS 2026'!J985)</f>
        <v/>
      </c>
      <c r="G985">
        <f>IF(ISBLANK('ENGAGEMENTS 2026'!C985),"",'ENGAGEMENTS 2026'!M985)</f>
        <v/>
      </c>
      <c r="H985">
        <f>IF(ISBLANK('ENGAGEMENTS 2026'!C985),"",'ENGAGEMENTS 2026'!AF985)</f>
        <v/>
      </c>
      <c r="I985">
        <f>IF(ISBLANK('ENGAGEMENTS 2026'!C985),"",'ENGAGEMENTS 2026'!H985)</f>
        <v/>
      </c>
      <c r="J985" s="275">
        <f>IF(ISBLANK('ENGAGEMENTS 2026'!C985),"",IF(AND(OR($E985="INFRUCTUEUX",$E985="ANNULE"),$C985="AOO-M"),'ENGAGEMENTS 2026'!P985,IF($H985="EN COURS DE PREENGAGEMENT",'ENGAGEMENTS 2026'!O985,IF($H985="PREENGAGE",IF($E985="ATTRIBUE",'ENGAGEMENTS 2026'!AE985,'ENGAGEMENTS 2026'!O985),'ENGAGEMENTS 2026'!AE985))))</f>
        <v/>
      </c>
      <c r="K985" s="604">
        <f>IF(ISBLANK('ENGAGEMENTS 2026'!W985),"",'ENGAGEMENTS 2026'!W985)</f>
        <v/>
      </c>
      <c r="L985" s="276">
        <f>IF($K985="","",TODAY()-$K985)</f>
        <v/>
      </c>
      <c r="M985">
        <f>IF($A985="","",IF($H985="ENGAGE","Engagé",IF(AND($H985="NON ENGAGE",OR($I985="INFRUCTUEUX",$I985="ANNULE")),"Clôturé sans suite","En cours")))</f>
        <v/>
      </c>
      <c r="N985">
        <f>IF(ISBLANK('ENGAGEMENTS 2026'!C985),"",'ENGAGEMENTS 2026'!L985)</f>
        <v/>
      </c>
      <c r="O985">
        <f>IF(ISBLANK('ENGAGEMENTS 2026'!C985),"",'ENGAGEMENTS 2026'!M985)</f>
        <v/>
      </c>
      <c r="P985">
        <f>IF(ISBLANK('ENGAGEMENTS 2026'!C985),"",'ENGAGEMENTS 2026'!K985)</f>
        <v/>
      </c>
      <c r="Q985">
        <f>IF($A985="","",IF(OR($E985="INFRUCTUEUX",$E985="ANNULE"),$A985&amp;"|"&amp;(COUNTIFS($A$2:$A985,$A985,$E$2:$E985,"INFRUCTUEUX")+COUNTIFS($A$2:$A985,$A985,$E$2:$E985,"ANNULE")),""))</f>
        <v/>
      </c>
    </row>
    <row r="986">
      <c r="A986">
        <f>IF(ISBLANK('ENGAGEMENTS 2026'!C986),"",IF('ENGAGEMENTS 2026'!C986="DTSI","DCT",'ENGAGEMENTS 2026'!C986))</f>
        <v/>
      </c>
      <c r="B986">
        <f>IF(ISBLANK('ENGAGEMENTS 2026'!C986),"",'ENGAGEMENTS 2026'!D986)</f>
        <v/>
      </c>
      <c r="C986">
        <f>IF(ISBLANK('ENGAGEMENTS 2026'!C986),"",'ENGAGEMENTS 2026'!E986)</f>
        <v/>
      </c>
      <c r="D986">
        <f>IF(ISBLANK('ENGAGEMENTS 2026'!C986),"",'ENGAGEMENTS 2026'!G986)</f>
        <v/>
      </c>
      <c r="E986">
        <f>IF(ISBLANK('ENGAGEMENTS 2026'!C986),"",'ENGAGEMENTS 2026'!I986)</f>
        <v/>
      </c>
      <c r="F986">
        <f>IF(ISBLANK('ENGAGEMENTS 2026'!C986),"",'ENGAGEMENTS 2026'!J986)</f>
        <v/>
      </c>
      <c r="G986">
        <f>IF(ISBLANK('ENGAGEMENTS 2026'!C986),"",'ENGAGEMENTS 2026'!M986)</f>
        <v/>
      </c>
      <c r="H986">
        <f>IF(ISBLANK('ENGAGEMENTS 2026'!C986),"",'ENGAGEMENTS 2026'!AF986)</f>
        <v/>
      </c>
      <c r="I986">
        <f>IF(ISBLANK('ENGAGEMENTS 2026'!C986),"",'ENGAGEMENTS 2026'!H986)</f>
        <v/>
      </c>
      <c r="J986" s="275">
        <f>IF(ISBLANK('ENGAGEMENTS 2026'!C986),"",IF(AND(OR($E986="INFRUCTUEUX",$E986="ANNULE"),$C986="AOO-M"),'ENGAGEMENTS 2026'!P986,IF($H986="EN COURS DE PREENGAGEMENT",'ENGAGEMENTS 2026'!O986,IF($H986="PREENGAGE",IF($E986="ATTRIBUE",'ENGAGEMENTS 2026'!AE986,'ENGAGEMENTS 2026'!O986),'ENGAGEMENTS 2026'!AE986))))</f>
        <v/>
      </c>
      <c r="K986" s="604">
        <f>IF(ISBLANK('ENGAGEMENTS 2026'!W986),"",'ENGAGEMENTS 2026'!W986)</f>
        <v/>
      </c>
      <c r="L986" s="276">
        <f>IF($K986="","",TODAY()-$K986)</f>
        <v/>
      </c>
      <c r="M986">
        <f>IF($A986="","",IF($H986="ENGAGE","Engagé",IF(AND($H986="NON ENGAGE",OR($I986="INFRUCTUEUX",$I986="ANNULE")),"Clôturé sans suite","En cours")))</f>
        <v/>
      </c>
      <c r="N986">
        <f>IF(ISBLANK('ENGAGEMENTS 2026'!C986),"",'ENGAGEMENTS 2026'!L986)</f>
        <v/>
      </c>
      <c r="O986">
        <f>IF(ISBLANK('ENGAGEMENTS 2026'!C986),"",'ENGAGEMENTS 2026'!M986)</f>
        <v/>
      </c>
      <c r="P986">
        <f>IF(ISBLANK('ENGAGEMENTS 2026'!C986),"",'ENGAGEMENTS 2026'!K986)</f>
        <v/>
      </c>
      <c r="Q986">
        <f>IF($A986="","",IF(OR($E986="INFRUCTUEUX",$E986="ANNULE"),$A986&amp;"|"&amp;(COUNTIFS($A$2:$A986,$A986,$E$2:$E986,"INFRUCTUEUX")+COUNTIFS($A$2:$A986,$A986,$E$2:$E986,"ANNULE")),""))</f>
        <v/>
      </c>
    </row>
    <row r="987">
      <c r="A987">
        <f>IF(ISBLANK('ENGAGEMENTS 2026'!C987),"",IF('ENGAGEMENTS 2026'!C987="DTSI","DCT",'ENGAGEMENTS 2026'!C987))</f>
        <v/>
      </c>
      <c r="B987">
        <f>IF(ISBLANK('ENGAGEMENTS 2026'!C987),"",'ENGAGEMENTS 2026'!D987)</f>
        <v/>
      </c>
      <c r="C987">
        <f>IF(ISBLANK('ENGAGEMENTS 2026'!C987),"",'ENGAGEMENTS 2026'!E987)</f>
        <v/>
      </c>
      <c r="D987">
        <f>IF(ISBLANK('ENGAGEMENTS 2026'!C987),"",'ENGAGEMENTS 2026'!G987)</f>
        <v/>
      </c>
      <c r="E987">
        <f>IF(ISBLANK('ENGAGEMENTS 2026'!C987),"",'ENGAGEMENTS 2026'!I987)</f>
        <v/>
      </c>
      <c r="F987">
        <f>IF(ISBLANK('ENGAGEMENTS 2026'!C987),"",'ENGAGEMENTS 2026'!J987)</f>
        <v/>
      </c>
      <c r="G987">
        <f>IF(ISBLANK('ENGAGEMENTS 2026'!C987),"",'ENGAGEMENTS 2026'!M987)</f>
        <v/>
      </c>
      <c r="H987">
        <f>IF(ISBLANK('ENGAGEMENTS 2026'!C987),"",'ENGAGEMENTS 2026'!AF987)</f>
        <v/>
      </c>
      <c r="I987">
        <f>IF(ISBLANK('ENGAGEMENTS 2026'!C987),"",'ENGAGEMENTS 2026'!H987)</f>
        <v/>
      </c>
      <c r="J987" s="275">
        <f>IF(ISBLANK('ENGAGEMENTS 2026'!C987),"",IF(AND(OR($E987="INFRUCTUEUX",$E987="ANNULE"),$C987="AOO-M"),'ENGAGEMENTS 2026'!P987,IF($H987="EN COURS DE PREENGAGEMENT",'ENGAGEMENTS 2026'!O987,IF($H987="PREENGAGE",IF($E987="ATTRIBUE",'ENGAGEMENTS 2026'!AE987,'ENGAGEMENTS 2026'!O987),'ENGAGEMENTS 2026'!AE987))))</f>
        <v/>
      </c>
      <c r="K987" s="604">
        <f>IF(ISBLANK('ENGAGEMENTS 2026'!W987),"",'ENGAGEMENTS 2026'!W987)</f>
        <v/>
      </c>
      <c r="L987" s="276">
        <f>IF($K987="","",TODAY()-$K987)</f>
        <v/>
      </c>
      <c r="M987">
        <f>IF($A987="","",IF($H987="ENGAGE","Engagé",IF(AND($H987="NON ENGAGE",OR($I987="INFRUCTUEUX",$I987="ANNULE")),"Clôturé sans suite","En cours")))</f>
        <v/>
      </c>
      <c r="N987">
        <f>IF(ISBLANK('ENGAGEMENTS 2026'!C987),"",'ENGAGEMENTS 2026'!L987)</f>
        <v/>
      </c>
      <c r="O987">
        <f>IF(ISBLANK('ENGAGEMENTS 2026'!C987),"",'ENGAGEMENTS 2026'!M987)</f>
        <v/>
      </c>
      <c r="P987">
        <f>IF(ISBLANK('ENGAGEMENTS 2026'!C987),"",'ENGAGEMENTS 2026'!K987)</f>
        <v/>
      </c>
      <c r="Q987">
        <f>IF($A987="","",IF(OR($E987="INFRUCTUEUX",$E987="ANNULE"),$A987&amp;"|"&amp;(COUNTIFS($A$2:$A987,$A987,$E$2:$E987,"INFRUCTUEUX")+COUNTIFS($A$2:$A987,$A987,$E$2:$E987,"ANNULE")),""))</f>
        <v/>
      </c>
    </row>
    <row r="988">
      <c r="A988">
        <f>IF(ISBLANK('ENGAGEMENTS 2026'!C988),"",IF('ENGAGEMENTS 2026'!C988="DTSI","DCT",'ENGAGEMENTS 2026'!C988))</f>
        <v/>
      </c>
      <c r="B988">
        <f>IF(ISBLANK('ENGAGEMENTS 2026'!C988),"",'ENGAGEMENTS 2026'!D988)</f>
        <v/>
      </c>
      <c r="C988">
        <f>IF(ISBLANK('ENGAGEMENTS 2026'!C988),"",'ENGAGEMENTS 2026'!E988)</f>
        <v/>
      </c>
      <c r="D988">
        <f>IF(ISBLANK('ENGAGEMENTS 2026'!C988),"",'ENGAGEMENTS 2026'!G988)</f>
        <v/>
      </c>
      <c r="E988">
        <f>IF(ISBLANK('ENGAGEMENTS 2026'!C988),"",'ENGAGEMENTS 2026'!I988)</f>
        <v/>
      </c>
      <c r="F988">
        <f>IF(ISBLANK('ENGAGEMENTS 2026'!C988),"",'ENGAGEMENTS 2026'!J988)</f>
        <v/>
      </c>
      <c r="G988">
        <f>IF(ISBLANK('ENGAGEMENTS 2026'!C988),"",'ENGAGEMENTS 2026'!M988)</f>
        <v/>
      </c>
      <c r="H988">
        <f>IF(ISBLANK('ENGAGEMENTS 2026'!C988),"",'ENGAGEMENTS 2026'!AF988)</f>
        <v/>
      </c>
      <c r="I988">
        <f>IF(ISBLANK('ENGAGEMENTS 2026'!C988),"",'ENGAGEMENTS 2026'!H988)</f>
        <v/>
      </c>
      <c r="J988" s="275">
        <f>IF(ISBLANK('ENGAGEMENTS 2026'!C988),"",IF(AND(OR($E988="INFRUCTUEUX",$E988="ANNULE"),$C988="AOO-M"),'ENGAGEMENTS 2026'!P988,IF($H988="EN COURS DE PREENGAGEMENT",'ENGAGEMENTS 2026'!O988,IF($H988="PREENGAGE",IF($E988="ATTRIBUE",'ENGAGEMENTS 2026'!AE988,'ENGAGEMENTS 2026'!O988),'ENGAGEMENTS 2026'!AE988))))</f>
        <v/>
      </c>
      <c r="K988" s="604">
        <f>IF(ISBLANK('ENGAGEMENTS 2026'!W988),"",'ENGAGEMENTS 2026'!W988)</f>
        <v/>
      </c>
      <c r="L988" s="276">
        <f>IF($K988="","",TODAY()-$K988)</f>
        <v/>
      </c>
      <c r="M988">
        <f>IF($A988="","",IF($H988="ENGAGE","Engagé",IF(AND($H988="NON ENGAGE",OR($I988="INFRUCTUEUX",$I988="ANNULE")),"Clôturé sans suite","En cours")))</f>
        <v/>
      </c>
      <c r="N988">
        <f>IF(ISBLANK('ENGAGEMENTS 2026'!C988),"",'ENGAGEMENTS 2026'!L988)</f>
        <v/>
      </c>
      <c r="O988">
        <f>IF(ISBLANK('ENGAGEMENTS 2026'!C988),"",'ENGAGEMENTS 2026'!M988)</f>
        <v/>
      </c>
      <c r="P988">
        <f>IF(ISBLANK('ENGAGEMENTS 2026'!C988),"",'ENGAGEMENTS 2026'!K988)</f>
        <v/>
      </c>
      <c r="Q988">
        <f>IF($A988="","",IF(OR($E988="INFRUCTUEUX",$E988="ANNULE"),$A988&amp;"|"&amp;(COUNTIFS($A$2:$A988,$A988,$E$2:$E988,"INFRUCTUEUX")+COUNTIFS($A$2:$A988,$A988,$E$2:$E988,"ANNULE")),""))</f>
        <v/>
      </c>
    </row>
    <row r="989">
      <c r="A989">
        <f>IF(ISBLANK('ENGAGEMENTS 2026'!C989),"",IF('ENGAGEMENTS 2026'!C989="DTSI","DCT",'ENGAGEMENTS 2026'!C989))</f>
        <v/>
      </c>
      <c r="B989">
        <f>IF(ISBLANK('ENGAGEMENTS 2026'!C989),"",'ENGAGEMENTS 2026'!D989)</f>
        <v/>
      </c>
      <c r="C989">
        <f>IF(ISBLANK('ENGAGEMENTS 2026'!C989),"",'ENGAGEMENTS 2026'!E989)</f>
        <v/>
      </c>
      <c r="D989">
        <f>IF(ISBLANK('ENGAGEMENTS 2026'!C989),"",'ENGAGEMENTS 2026'!G989)</f>
        <v/>
      </c>
      <c r="E989">
        <f>IF(ISBLANK('ENGAGEMENTS 2026'!C989),"",'ENGAGEMENTS 2026'!I989)</f>
        <v/>
      </c>
      <c r="F989">
        <f>IF(ISBLANK('ENGAGEMENTS 2026'!C989),"",'ENGAGEMENTS 2026'!J989)</f>
        <v/>
      </c>
      <c r="G989">
        <f>IF(ISBLANK('ENGAGEMENTS 2026'!C989),"",'ENGAGEMENTS 2026'!M989)</f>
        <v/>
      </c>
      <c r="H989">
        <f>IF(ISBLANK('ENGAGEMENTS 2026'!C989),"",'ENGAGEMENTS 2026'!AF989)</f>
        <v/>
      </c>
      <c r="I989">
        <f>IF(ISBLANK('ENGAGEMENTS 2026'!C989),"",'ENGAGEMENTS 2026'!H989)</f>
        <v/>
      </c>
      <c r="J989" s="275">
        <f>IF(ISBLANK('ENGAGEMENTS 2026'!C989),"",IF(AND(OR($E989="INFRUCTUEUX",$E989="ANNULE"),$C989="AOO-M"),'ENGAGEMENTS 2026'!P989,IF($H989="EN COURS DE PREENGAGEMENT",'ENGAGEMENTS 2026'!O989,IF($H989="PREENGAGE",IF($E989="ATTRIBUE",'ENGAGEMENTS 2026'!AE989,'ENGAGEMENTS 2026'!O989),'ENGAGEMENTS 2026'!AE989))))</f>
        <v/>
      </c>
      <c r="K989" s="604">
        <f>IF(ISBLANK('ENGAGEMENTS 2026'!W989),"",'ENGAGEMENTS 2026'!W989)</f>
        <v/>
      </c>
      <c r="L989" s="276">
        <f>IF($K989="","",TODAY()-$K989)</f>
        <v/>
      </c>
      <c r="M989">
        <f>IF($A989="","",IF($H989="ENGAGE","Engagé",IF(AND($H989="NON ENGAGE",OR($I989="INFRUCTUEUX",$I989="ANNULE")),"Clôturé sans suite","En cours")))</f>
        <v/>
      </c>
      <c r="N989">
        <f>IF(ISBLANK('ENGAGEMENTS 2026'!C989),"",'ENGAGEMENTS 2026'!L989)</f>
        <v/>
      </c>
      <c r="O989">
        <f>IF(ISBLANK('ENGAGEMENTS 2026'!C989),"",'ENGAGEMENTS 2026'!M989)</f>
        <v/>
      </c>
      <c r="P989">
        <f>IF(ISBLANK('ENGAGEMENTS 2026'!C989),"",'ENGAGEMENTS 2026'!K989)</f>
        <v/>
      </c>
      <c r="Q989">
        <f>IF($A989="","",IF(OR($E989="INFRUCTUEUX",$E989="ANNULE"),$A989&amp;"|"&amp;(COUNTIFS($A$2:$A989,$A989,$E$2:$E989,"INFRUCTUEUX")+COUNTIFS($A$2:$A989,$A989,$E$2:$E989,"ANNULE")),""))</f>
        <v/>
      </c>
    </row>
    <row r="990">
      <c r="A990">
        <f>IF(ISBLANK('ENGAGEMENTS 2026'!C990),"",IF('ENGAGEMENTS 2026'!C990="DTSI","DCT",'ENGAGEMENTS 2026'!C990))</f>
        <v/>
      </c>
      <c r="B990">
        <f>IF(ISBLANK('ENGAGEMENTS 2026'!C990),"",'ENGAGEMENTS 2026'!D990)</f>
        <v/>
      </c>
      <c r="C990">
        <f>IF(ISBLANK('ENGAGEMENTS 2026'!C990),"",'ENGAGEMENTS 2026'!E990)</f>
        <v/>
      </c>
      <c r="D990">
        <f>IF(ISBLANK('ENGAGEMENTS 2026'!C990),"",'ENGAGEMENTS 2026'!G990)</f>
        <v/>
      </c>
      <c r="E990">
        <f>IF(ISBLANK('ENGAGEMENTS 2026'!C990),"",'ENGAGEMENTS 2026'!I990)</f>
        <v/>
      </c>
      <c r="F990">
        <f>IF(ISBLANK('ENGAGEMENTS 2026'!C990),"",'ENGAGEMENTS 2026'!J990)</f>
        <v/>
      </c>
      <c r="G990">
        <f>IF(ISBLANK('ENGAGEMENTS 2026'!C990),"",'ENGAGEMENTS 2026'!M990)</f>
        <v/>
      </c>
      <c r="H990">
        <f>IF(ISBLANK('ENGAGEMENTS 2026'!C990),"",'ENGAGEMENTS 2026'!AF990)</f>
        <v/>
      </c>
      <c r="I990">
        <f>IF(ISBLANK('ENGAGEMENTS 2026'!C990),"",'ENGAGEMENTS 2026'!H990)</f>
        <v/>
      </c>
      <c r="J990" s="275">
        <f>IF(ISBLANK('ENGAGEMENTS 2026'!C990),"",IF(AND(OR($E990="INFRUCTUEUX",$E990="ANNULE"),$C990="AOO-M"),'ENGAGEMENTS 2026'!P990,IF($H990="EN COURS DE PREENGAGEMENT",'ENGAGEMENTS 2026'!O990,IF($H990="PREENGAGE",IF($E990="ATTRIBUE",'ENGAGEMENTS 2026'!AE990,'ENGAGEMENTS 2026'!O990),'ENGAGEMENTS 2026'!AE990))))</f>
        <v/>
      </c>
      <c r="K990" s="604">
        <f>IF(ISBLANK('ENGAGEMENTS 2026'!W990),"",'ENGAGEMENTS 2026'!W990)</f>
        <v/>
      </c>
      <c r="L990" s="276">
        <f>IF($K990="","",TODAY()-$K990)</f>
        <v/>
      </c>
      <c r="M990">
        <f>IF($A990="","",IF($H990="ENGAGE","Engagé",IF(AND($H990="NON ENGAGE",OR($I990="INFRUCTUEUX",$I990="ANNULE")),"Clôturé sans suite","En cours")))</f>
        <v/>
      </c>
      <c r="N990">
        <f>IF(ISBLANK('ENGAGEMENTS 2026'!C990),"",'ENGAGEMENTS 2026'!L990)</f>
        <v/>
      </c>
      <c r="O990">
        <f>IF(ISBLANK('ENGAGEMENTS 2026'!C990),"",'ENGAGEMENTS 2026'!M990)</f>
        <v/>
      </c>
      <c r="P990">
        <f>IF(ISBLANK('ENGAGEMENTS 2026'!C990),"",'ENGAGEMENTS 2026'!K990)</f>
        <v/>
      </c>
      <c r="Q990">
        <f>IF($A990="","",IF(OR($E990="INFRUCTUEUX",$E990="ANNULE"),$A990&amp;"|"&amp;(COUNTIFS($A$2:$A990,$A990,$E$2:$E990,"INFRUCTUEUX")+COUNTIFS($A$2:$A990,$A990,$E$2:$E990,"ANNULE")),""))</f>
        <v/>
      </c>
    </row>
    <row r="991">
      <c r="A991">
        <f>IF(ISBLANK('ENGAGEMENTS 2026'!C991),"",IF('ENGAGEMENTS 2026'!C991="DTSI","DCT",'ENGAGEMENTS 2026'!C991))</f>
        <v/>
      </c>
      <c r="B991">
        <f>IF(ISBLANK('ENGAGEMENTS 2026'!C991),"",'ENGAGEMENTS 2026'!D991)</f>
        <v/>
      </c>
      <c r="C991">
        <f>IF(ISBLANK('ENGAGEMENTS 2026'!C991),"",'ENGAGEMENTS 2026'!E991)</f>
        <v/>
      </c>
      <c r="D991">
        <f>IF(ISBLANK('ENGAGEMENTS 2026'!C991),"",'ENGAGEMENTS 2026'!G991)</f>
        <v/>
      </c>
      <c r="E991">
        <f>IF(ISBLANK('ENGAGEMENTS 2026'!C991),"",'ENGAGEMENTS 2026'!I991)</f>
        <v/>
      </c>
      <c r="F991">
        <f>IF(ISBLANK('ENGAGEMENTS 2026'!C991),"",'ENGAGEMENTS 2026'!J991)</f>
        <v/>
      </c>
      <c r="G991">
        <f>IF(ISBLANK('ENGAGEMENTS 2026'!C991),"",'ENGAGEMENTS 2026'!M991)</f>
        <v/>
      </c>
      <c r="H991">
        <f>IF(ISBLANK('ENGAGEMENTS 2026'!C991),"",'ENGAGEMENTS 2026'!AF991)</f>
        <v/>
      </c>
      <c r="I991">
        <f>IF(ISBLANK('ENGAGEMENTS 2026'!C991),"",'ENGAGEMENTS 2026'!H991)</f>
        <v/>
      </c>
      <c r="J991" s="275">
        <f>IF(ISBLANK('ENGAGEMENTS 2026'!C991),"",IF(AND(OR($E991="INFRUCTUEUX",$E991="ANNULE"),$C991="AOO-M"),'ENGAGEMENTS 2026'!P991,IF($H991="EN COURS DE PREENGAGEMENT",'ENGAGEMENTS 2026'!O991,IF($H991="PREENGAGE",IF($E991="ATTRIBUE",'ENGAGEMENTS 2026'!AE991,'ENGAGEMENTS 2026'!O991),'ENGAGEMENTS 2026'!AE991))))</f>
        <v/>
      </c>
      <c r="K991" s="604">
        <f>IF(ISBLANK('ENGAGEMENTS 2026'!W991),"",'ENGAGEMENTS 2026'!W991)</f>
        <v/>
      </c>
      <c r="L991" s="276">
        <f>IF($K991="","",TODAY()-$K991)</f>
        <v/>
      </c>
      <c r="M991">
        <f>IF($A991="","",IF($H991="ENGAGE","Engagé",IF(AND($H991="NON ENGAGE",OR($I991="INFRUCTUEUX",$I991="ANNULE")),"Clôturé sans suite","En cours")))</f>
        <v/>
      </c>
      <c r="N991">
        <f>IF(ISBLANK('ENGAGEMENTS 2026'!C991),"",'ENGAGEMENTS 2026'!L991)</f>
        <v/>
      </c>
      <c r="O991">
        <f>IF(ISBLANK('ENGAGEMENTS 2026'!C991),"",'ENGAGEMENTS 2026'!M991)</f>
        <v/>
      </c>
      <c r="P991">
        <f>IF(ISBLANK('ENGAGEMENTS 2026'!C991),"",'ENGAGEMENTS 2026'!K991)</f>
        <v/>
      </c>
      <c r="Q991">
        <f>IF($A991="","",IF(OR($E991="INFRUCTUEUX",$E991="ANNULE"),$A991&amp;"|"&amp;(COUNTIFS($A$2:$A991,$A991,$E$2:$E991,"INFRUCTUEUX")+COUNTIFS($A$2:$A991,$A991,$E$2:$E991,"ANNULE")),""))</f>
        <v/>
      </c>
    </row>
    <row r="992">
      <c r="A992">
        <f>IF(ISBLANK('ENGAGEMENTS 2026'!C992),"",IF('ENGAGEMENTS 2026'!C992="DTSI","DCT",'ENGAGEMENTS 2026'!C992))</f>
        <v/>
      </c>
      <c r="B992">
        <f>IF(ISBLANK('ENGAGEMENTS 2026'!C992),"",'ENGAGEMENTS 2026'!D992)</f>
        <v/>
      </c>
      <c r="C992">
        <f>IF(ISBLANK('ENGAGEMENTS 2026'!C992),"",'ENGAGEMENTS 2026'!E992)</f>
        <v/>
      </c>
      <c r="D992">
        <f>IF(ISBLANK('ENGAGEMENTS 2026'!C992),"",'ENGAGEMENTS 2026'!G992)</f>
        <v/>
      </c>
      <c r="E992">
        <f>IF(ISBLANK('ENGAGEMENTS 2026'!C992),"",'ENGAGEMENTS 2026'!I992)</f>
        <v/>
      </c>
      <c r="F992">
        <f>IF(ISBLANK('ENGAGEMENTS 2026'!C992),"",'ENGAGEMENTS 2026'!J992)</f>
        <v/>
      </c>
      <c r="G992">
        <f>IF(ISBLANK('ENGAGEMENTS 2026'!C992),"",'ENGAGEMENTS 2026'!M992)</f>
        <v/>
      </c>
      <c r="H992">
        <f>IF(ISBLANK('ENGAGEMENTS 2026'!C992),"",'ENGAGEMENTS 2026'!AF992)</f>
        <v/>
      </c>
      <c r="I992">
        <f>IF(ISBLANK('ENGAGEMENTS 2026'!C992),"",'ENGAGEMENTS 2026'!H992)</f>
        <v/>
      </c>
      <c r="J992" s="275">
        <f>IF(ISBLANK('ENGAGEMENTS 2026'!C992),"",IF(AND(OR($E992="INFRUCTUEUX",$E992="ANNULE"),$C992="AOO-M"),'ENGAGEMENTS 2026'!P992,IF($H992="EN COURS DE PREENGAGEMENT",'ENGAGEMENTS 2026'!O992,IF($H992="PREENGAGE",IF($E992="ATTRIBUE",'ENGAGEMENTS 2026'!AE992,'ENGAGEMENTS 2026'!O992),'ENGAGEMENTS 2026'!AE992))))</f>
        <v/>
      </c>
      <c r="K992" s="604">
        <f>IF(ISBLANK('ENGAGEMENTS 2026'!W992),"",'ENGAGEMENTS 2026'!W992)</f>
        <v/>
      </c>
      <c r="L992" s="276">
        <f>IF($K992="","",TODAY()-$K992)</f>
        <v/>
      </c>
      <c r="M992">
        <f>IF($A992="","",IF($H992="ENGAGE","Engagé",IF(AND($H992="NON ENGAGE",OR($I992="INFRUCTUEUX",$I992="ANNULE")),"Clôturé sans suite","En cours")))</f>
        <v/>
      </c>
      <c r="N992">
        <f>IF(ISBLANK('ENGAGEMENTS 2026'!C992),"",'ENGAGEMENTS 2026'!L992)</f>
        <v/>
      </c>
      <c r="O992">
        <f>IF(ISBLANK('ENGAGEMENTS 2026'!C992),"",'ENGAGEMENTS 2026'!M992)</f>
        <v/>
      </c>
      <c r="P992">
        <f>IF(ISBLANK('ENGAGEMENTS 2026'!C992),"",'ENGAGEMENTS 2026'!K992)</f>
        <v/>
      </c>
      <c r="Q992">
        <f>IF($A992="","",IF(OR($E992="INFRUCTUEUX",$E992="ANNULE"),$A992&amp;"|"&amp;(COUNTIFS($A$2:$A992,$A992,$E$2:$E992,"INFRUCTUEUX")+COUNTIFS($A$2:$A992,$A992,$E$2:$E992,"ANNULE")),""))</f>
        <v/>
      </c>
    </row>
    <row r="993">
      <c r="A993">
        <f>IF(ISBLANK('ENGAGEMENTS 2026'!C993),"",IF('ENGAGEMENTS 2026'!C993="DTSI","DCT",'ENGAGEMENTS 2026'!C993))</f>
        <v/>
      </c>
      <c r="B993">
        <f>IF(ISBLANK('ENGAGEMENTS 2026'!C993),"",'ENGAGEMENTS 2026'!D993)</f>
        <v/>
      </c>
      <c r="C993">
        <f>IF(ISBLANK('ENGAGEMENTS 2026'!C993),"",'ENGAGEMENTS 2026'!E993)</f>
        <v/>
      </c>
      <c r="D993">
        <f>IF(ISBLANK('ENGAGEMENTS 2026'!C993),"",'ENGAGEMENTS 2026'!G993)</f>
        <v/>
      </c>
      <c r="E993">
        <f>IF(ISBLANK('ENGAGEMENTS 2026'!C993),"",'ENGAGEMENTS 2026'!I993)</f>
        <v/>
      </c>
      <c r="F993">
        <f>IF(ISBLANK('ENGAGEMENTS 2026'!C993),"",'ENGAGEMENTS 2026'!J993)</f>
        <v/>
      </c>
      <c r="G993">
        <f>IF(ISBLANK('ENGAGEMENTS 2026'!C993),"",'ENGAGEMENTS 2026'!M993)</f>
        <v/>
      </c>
      <c r="H993">
        <f>IF(ISBLANK('ENGAGEMENTS 2026'!C993),"",'ENGAGEMENTS 2026'!AF993)</f>
        <v/>
      </c>
      <c r="I993">
        <f>IF(ISBLANK('ENGAGEMENTS 2026'!C993),"",'ENGAGEMENTS 2026'!H993)</f>
        <v/>
      </c>
      <c r="J993" s="275">
        <f>IF(ISBLANK('ENGAGEMENTS 2026'!C993),"",IF(AND(OR($E993="INFRUCTUEUX",$E993="ANNULE"),$C993="AOO-M"),'ENGAGEMENTS 2026'!P993,IF($H993="EN COURS DE PREENGAGEMENT",'ENGAGEMENTS 2026'!O993,IF($H993="PREENGAGE",IF($E993="ATTRIBUE",'ENGAGEMENTS 2026'!AE993,'ENGAGEMENTS 2026'!O993),'ENGAGEMENTS 2026'!AE993))))</f>
        <v/>
      </c>
      <c r="K993" s="604">
        <f>IF(ISBLANK('ENGAGEMENTS 2026'!W993),"",'ENGAGEMENTS 2026'!W993)</f>
        <v/>
      </c>
      <c r="L993" s="276">
        <f>IF($K993="","",TODAY()-$K993)</f>
        <v/>
      </c>
      <c r="M993">
        <f>IF($A993="","",IF($H993="ENGAGE","Engagé",IF(AND($H993="NON ENGAGE",OR($I993="INFRUCTUEUX",$I993="ANNULE")),"Clôturé sans suite","En cours")))</f>
        <v/>
      </c>
      <c r="N993">
        <f>IF(ISBLANK('ENGAGEMENTS 2026'!C993),"",'ENGAGEMENTS 2026'!L993)</f>
        <v/>
      </c>
      <c r="O993">
        <f>IF(ISBLANK('ENGAGEMENTS 2026'!C993),"",'ENGAGEMENTS 2026'!M993)</f>
        <v/>
      </c>
      <c r="P993">
        <f>IF(ISBLANK('ENGAGEMENTS 2026'!C993),"",'ENGAGEMENTS 2026'!K993)</f>
        <v/>
      </c>
      <c r="Q993">
        <f>IF($A993="","",IF(OR($E993="INFRUCTUEUX",$E993="ANNULE"),$A993&amp;"|"&amp;(COUNTIFS($A$2:$A993,$A993,$E$2:$E993,"INFRUCTUEUX")+COUNTIFS($A$2:$A993,$A993,$E$2:$E993,"ANNULE")),""))</f>
        <v/>
      </c>
    </row>
    <row r="994">
      <c r="A994">
        <f>IF(ISBLANK('ENGAGEMENTS 2026'!C994),"",IF('ENGAGEMENTS 2026'!C994="DTSI","DCT",'ENGAGEMENTS 2026'!C994))</f>
        <v/>
      </c>
      <c r="B994">
        <f>IF(ISBLANK('ENGAGEMENTS 2026'!C994),"",'ENGAGEMENTS 2026'!D994)</f>
        <v/>
      </c>
      <c r="C994">
        <f>IF(ISBLANK('ENGAGEMENTS 2026'!C994),"",'ENGAGEMENTS 2026'!E994)</f>
        <v/>
      </c>
      <c r="D994">
        <f>IF(ISBLANK('ENGAGEMENTS 2026'!C994),"",'ENGAGEMENTS 2026'!G994)</f>
        <v/>
      </c>
      <c r="E994">
        <f>IF(ISBLANK('ENGAGEMENTS 2026'!C994),"",'ENGAGEMENTS 2026'!I994)</f>
        <v/>
      </c>
      <c r="F994">
        <f>IF(ISBLANK('ENGAGEMENTS 2026'!C994),"",'ENGAGEMENTS 2026'!J994)</f>
        <v/>
      </c>
      <c r="G994">
        <f>IF(ISBLANK('ENGAGEMENTS 2026'!C994),"",'ENGAGEMENTS 2026'!M994)</f>
        <v/>
      </c>
      <c r="H994">
        <f>IF(ISBLANK('ENGAGEMENTS 2026'!C994),"",'ENGAGEMENTS 2026'!AF994)</f>
        <v/>
      </c>
      <c r="I994">
        <f>IF(ISBLANK('ENGAGEMENTS 2026'!C994),"",'ENGAGEMENTS 2026'!H994)</f>
        <v/>
      </c>
      <c r="J994" s="275">
        <f>IF(ISBLANK('ENGAGEMENTS 2026'!C994),"",IF(AND(OR($E994="INFRUCTUEUX",$E994="ANNULE"),$C994="AOO-M"),'ENGAGEMENTS 2026'!P994,IF($H994="EN COURS DE PREENGAGEMENT",'ENGAGEMENTS 2026'!O994,IF($H994="PREENGAGE",IF($E994="ATTRIBUE",'ENGAGEMENTS 2026'!AE994,'ENGAGEMENTS 2026'!O994),'ENGAGEMENTS 2026'!AE994))))</f>
        <v/>
      </c>
      <c r="K994" s="604">
        <f>IF(ISBLANK('ENGAGEMENTS 2026'!W994),"",'ENGAGEMENTS 2026'!W994)</f>
        <v/>
      </c>
      <c r="L994" s="276">
        <f>IF($K994="","",TODAY()-$K994)</f>
        <v/>
      </c>
      <c r="M994">
        <f>IF($A994="","",IF($H994="ENGAGE","Engagé",IF(AND($H994="NON ENGAGE",OR($I994="INFRUCTUEUX",$I994="ANNULE")),"Clôturé sans suite","En cours")))</f>
        <v/>
      </c>
      <c r="N994">
        <f>IF(ISBLANK('ENGAGEMENTS 2026'!C994),"",'ENGAGEMENTS 2026'!L994)</f>
        <v/>
      </c>
      <c r="O994">
        <f>IF(ISBLANK('ENGAGEMENTS 2026'!C994),"",'ENGAGEMENTS 2026'!M994)</f>
        <v/>
      </c>
      <c r="P994">
        <f>IF(ISBLANK('ENGAGEMENTS 2026'!C994),"",'ENGAGEMENTS 2026'!K994)</f>
        <v/>
      </c>
      <c r="Q994">
        <f>IF($A994="","",IF(OR($E994="INFRUCTUEUX",$E994="ANNULE"),$A994&amp;"|"&amp;(COUNTIFS($A$2:$A994,$A994,$E$2:$E994,"INFRUCTUEUX")+COUNTIFS($A$2:$A994,$A994,$E$2:$E994,"ANNULE")),""))</f>
        <v/>
      </c>
    </row>
    <row r="995">
      <c r="A995">
        <f>IF(ISBLANK('ENGAGEMENTS 2026'!C995),"",IF('ENGAGEMENTS 2026'!C995="DTSI","DCT",'ENGAGEMENTS 2026'!C995))</f>
        <v/>
      </c>
      <c r="B995">
        <f>IF(ISBLANK('ENGAGEMENTS 2026'!C995),"",'ENGAGEMENTS 2026'!D995)</f>
        <v/>
      </c>
      <c r="C995">
        <f>IF(ISBLANK('ENGAGEMENTS 2026'!C995),"",'ENGAGEMENTS 2026'!E995)</f>
        <v/>
      </c>
      <c r="D995">
        <f>IF(ISBLANK('ENGAGEMENTS 2026'!C995),"",'ENGAGEMENTS 2026'!G995)</f>
        <v/>
      </c>
      <c r="E995">
        <f>IF(ISBLANK('ENGAGEMENTS 2026'!C995),"",'ENGAGEMENTS 2026'!I995)</f>
        <v/>
      </c>
      <c r="F995">
        <f>IF(ISBLANK('ENGAGEMENTS 2026'!C995),"",'ENGAGEMENTS 2026'!J995)</f>
        <v/>
      </c>
      <c r="G995">
        <f>IF(ISBLANK('ENGAGEMENTS 2026'!C995),"",'ENGAGEMENTS 2026'!M995)</f>
        <v/>
      </c>
      <c r="H995">
        <f>IF(ISBLANK('ENGAGEMENTS 2026'!C995),"",'ENGAGEMENTS 2026'!AF995)</f>
        <v/>
      </c>
      <c r="I995">
        <f>IF(ISBLANK('ENGAGEMENTS 2026'!C995),"",'ENGAGEMENTS 2026'!H995)</f>
        <v/>
      </c>
      <c r="J995" s="275">
        <f>IF(ISBLANK('ENGAGEMENTS 2026'!C995),"",IF(AND(OR($E995="INFRUCTUEUX",$E995="ANNULE"),$C995="AOO-M"),'ENGAGEMENTS 2026'!P995,IF($H995="EN COURS DE PREENGAGEMENT",'ENGAGEMENTS 2026'!O995,IF($H995="PREENGAGE",IF($E995="ATTRIBUE",'ENGAGEMENTS 2026'!AE995,'ENGAGEMENTS 2026'!O995),'ENGAGEMENTS 2026'!AE995))))</f>
        <v/>
      </c>
      <c r="K995" s="604">
        <f>IF(ISBLANK('ENGAGEMENTS 2026'!W995),"",'ENGAGEMENTS 2026'!W995)</f>
        <v/>
      </c>
      <c r="L995" s="276">
        <f>IF($K995="","",TODAY()-$K995)</f>
        <v/>
      </c>
      <c r="M995">
        <f>IF($A995="","",IF($H995="ENGAGE","Engagé",IF(AND($H995="NON ENGAGE",OR($I995="INFRUCTUEUX",$I995="ANNULE")),"Clôturé sans suite","En cours")))</f>
        <v/>
      </c>
      <c r="N995">
        <f>IF(ISBLANK('ENGAGEMENTS 2026'!C995),"",'ENGAGEMENTS 2026'!L995)</f>
        <v/>
      </c>
      <c r="O995">
        <f>IF(ISBLANK('ENGAGEMENTS 2026'!C995),"",'ENGAGEMENTS 2026'!M995)</f>
        <v/>
      </c>
      <c r="P995">
        <f>IF(ISBLANK('ENGAGEMENTS 2026'!C995),"",'ENGAGEMENTS 2026'!K995)</f>
        <v/>
      </c>
      <c r="Q995">
        <f>IF($A995="","",IF(OR($E995="INFRUCTUEUX",$E995="ANNULE"),$A995&amp;"|"&amp;(COUNTIFS($A$2:$A995,$A995,$E$2:$E995,"INFRUCTUEUX")+COUNTIFS($A$2:$A995,$A995,$E$2:$E995,"ANNULE")),""))</f>
        <v/>
      </c>
    </row>
    <row r="996">
      <c r="A996">
        <f>IF(ISBLANK('ENGAGEMENTS 2026'!C996),"",IF('ENGAGEMENTS 2026'!C996="DTSI","DCT",'ENGAGEMENTS 2026'!C996))</f>
        <v/>
      </c>
      <c r="B996">
        <f>IF(ISBLANK('ENGAGEMENTS 2026'!C996),"",'ENGAGEMENTS 2026'!D996)</f>
        <v/>
      </c>
      <c r="C996">
        <f>IF(ISBLANK('ENGAGEMENTS 2026'!C996),"",'ENGAGEMENTS 2026'!E996)</f>
        <v/>
      </c>
      <c r="D996">
        <f>IF(ISBLANK('ENGAGEMENTS 2026'!C996),"",'ENGAGEMENTS 2026'!G996)</f>
        <v/>
      </c>
      <c r="E996">
        <f>IF(ISBLANK('ENGAGEMENTS 2026'!C996),"",'ENGAGEMENTS 2026'!I996)</f>
        <v/>
      </c>
      <c r="F996">
        <f>IF(ISBLANK('ENGAGEMENTS 2026'!C996),"",'ENGAGEMENTS 2026'!J996)</f>
        <v/>
      </c>
      <c r="G996">
        <f>IF(ISBLANK('ENGAGEMENTS 2026'!C996),"",'ENGAGEMENTS 2026'!M996)</f>
        <v/>
      </c>
      <c r="H996">
        <f>IF(ISBLANK('ENGAGEMENTS 2026'!C996),"",'ENGAGEMENTS 2026'!AF996)</f>
        <v/>
      </c>
      <c r="I996">
        <f>IF(ISBLANK('ENGAGEMENTS 2026'!C996),"",'ENGAGEMENTS 2026'!H996)</f>
        <v/>
      </c>
      <c r="J996" s="275">
        <f>IF(ISBLANK('ENGAGEMENTS 2026'!C996),"",IF(AND(OR($E996="INFRUCTUEUX",$E996="ANNULE"),$C996="AOO-M"),'ENGAGEMENTS 2026'!P996,IF($H996="EN COURS DE PREENGAGEMENT",'ENGAGEMENTS 2026'!O996,IF($H996="PREENGAGE",IF($E996="ATTRIBUE",'ENGAGEMENTS 2026'!AE996,'ENGAGEMENTS 2026'!O996),'ENGAGEMENTS 2026'!AE996))))</f>
        <v/>
      </c>
      <c r="K996" s="604">
        <f>IF(ISBLANK('ENGAGEMENTS 2026'!W996),"",'ENGAGEMENTS 2026'!W996)</f>
        <v/>
      </c>
      <c r="L996" s="276">
        <f>IF($K996="","",TODAY()-$K996)</f>
        <v/>
      </c>
      <c r="M996">
        <f>IF($A996="","",IF($H996="ENGAGE","Engagé",IF(AND($H996="NON ENGAGE",OR($I996="INFRUCTUEUX",$I996="ANNULE")),"Clôturé sans suite","En cours")))</f>
        <v/>
      </c>
      <c r="N996">
        <f>IF(ISBLANK('ENGAGEMENTS 2026'!C996),"",'ENGAGEMENTS 2026'!L996)</f>
        <v/>
      </c>
      <c r="O996">
        <f>IF(ISBLANK('ENGAGEMENTS 2026'!C996),"",'ENGAGEMENTS 2026'!M996)</f>
        <v/>
      </c>
      <c r="P996">
        <f>IF(ISBLANK('ENGAGEMENTS 2026'!C996),"",'ENGAGEMENTS 2026'!K996)</f>
        <v/>
      </c>
      <c r="Q996">
        <f>IF($A996="","",IF(OR($E996="INFRUCTUEUX",$E996="ANNULE"),$A996&amp;"|"&amp;(COUNTIFS($A$2:$A996,$A996,$E$2:$E996,"INFRUCTUEUX")+COUNTIFS($A$2:$A996,$A996,$E$2:$E996,"ANNULE")),""))</f>
        <v/>
      </c>
    </row>
    <row r="997">
      <c r="A997">
        <f>IF(ISBLANK('ENGAGEMENTS 2026'!C997),"",IF('ENGAGEMENTS 2026'!C997="DTSI","DCT",'ENGAGEMENTS 2026'!C997))</f>
        <v/>
      </c>
      <c r="B997">
        <f>IF(ISBLANK('ENGAGEMENTS 2026'!C997),"",'ENGAGEMENTS 2026'!D997)</f>
        <v/>
      </c>
      <c r="C997">
        <f>IF(ISBLANK('ENGAGEMENTS 2026'!C997),"",'ENGAGEMENTS 2026'!E997)</f>
        <v/>
      </c>
      <c r="D997">
        <f>IF(ISBLANK('ENGAGEMENTS 2026'!C997),"",'ENGAGEMENTS 2026'!G997)</f>
        <v/>
      </c>
      <c r="E997">
        <f>IF(ISBLANK('ENGAGEMENTS 2026'!C997),"",'ENGAGEMENTS 2026'!I997)</f>
        <v/>
      </c>
      <c r="F997">
        <f>IF(ISBLANK('ENGAGEMENTS 2026'!C997),"",'ENGAGEMENTS 2026'!J997)</f>
        <v/>
      </c>
      <c r="G997">
        <f>IF(ISBLANK('ENGAGEMENTS 2026'!C997),"",'ENGAGEMENTS 2026'!M997)</f>
        <v/>
      </c>
      <c r="H997">
        <f>IF(ISBLANK('ENGAGEMENTS 2026'!C997),"",'ENGAGEMENTS 2026'!AF997)</f>
        <v/>
      </c>
      <c r="I997">
        <f>IF(ISBLANK('ENGAGEMENTS 2026'!C997),"",'ENGAGEMENTS 2026'!H997)</f>
        <v/>
      </c>
      <c r="J997" s="275">
        <f>IF(ISBLANK('ENGAGEMENTS 2026'!C997),"",IF(AND(OR($E997="INFRUCTUEUX",$E997="ANNULE"),$C997="AOO-M"),'ENGAGEMENTS 2026'!P997,IF($H997="EN COURS DE PREENGAGEMENT",'ENGAGEMENTS 2026'!O997,IF($H997="PREENGAGE",IF($E997="ATTRIBUE",'ENGAGEMENTS 2026'!AE997,'ENGAGEMENTS 2026'!O997),'ENGAGEMENTS 2026'!AE997))))</f>
        <v/>
      </c>
      <c r="K997" s="604">
        <f>IF(ISBLANK('ENGAGEMENTS 2026'!W997),"",'ENGAGEMENTS 2026'!W997)</f>
        <v/>
      </c>
      <c r="L997" s="276">
        <f>IF($K997="","",TODAY()-$K997)</f>
        <v/>
      </c>
      <c r="M997">
        <f>IF($A997="","",IF($H997="ENGAGE","Engagé",IF(AND($H997="NON ENGAGE",OR($I997="INFRUCTUEUX",$I997="ANNULE")),"Clôturé sans suite","En cours")))</f>
        <v/>
      </c>
      <c r="N997">
        <f>IF(ISBLANK('ENGAGEMENTS 2026'!C997),"",'ENGAGEMENTS 2026'!L997)</f>
        <v/>
      </c>
      <c r="O997">
        <f>IF(ISBLANK('ENGAGEMENTS 2026'!C997),"",'ENGAGEMENTS 2026'!M997)</f>
        <v/>
      </c>
      <c r="P997">
        <f>IF(ISBLANK('ENGAGEMENTS 2026'!C997),"",'ENGAGEMENTS 2026'!K997)</f>
        <v/>
      </c>
      <c r="Q997">
        <f>IF($A997="","",IF(OR($E997="INFRUCTUEUX",$E997="ANNULE"),$A997&amp;"|"&amp;(COUNTIFS($A$2:$A997,$A997,$E$2:$E997,"INFRUCTUEUX")+COUNTIFS($A$2:$A997,$A997,$E$2:$E997,"ANNULE")),""))</f>
        <v/>
      </c>
    </row>
    <row r="998">
      <c r="A998">
        <f>IF(ISBLANK('ENGAGEMENTS 2026'!C998),"",IF('ENGAGEMENTS 2026'!C998="DTSI","DCT",'ENGAGEMENTS 2026'!C998))</f>
        <v/>
      </c>
      <c r="B998">
        <f>IF(ISBLANK('ENGAGEMENTS 2026'!C998),"",'ENGAGEMENTS 2026'!D998)</f>
        <v/>
      </c>
      <c r="C998">
        <f>IF(ISBLANK('ENGAGEMENTS 2026'!C998),"",'ENGAGEMENTS 2026'!E998)</f>
        <v/>
      </c>
      <c r="D998">
        <f>IF(ISBLANK('ENGAGEMENTS 2026'!C998),"",'ENGAGEMENTS 2026'!G998)</f>
        <v/>
      </c>
      <c r="E998">
        <f>IF(ISBLANK('ENGAGEMENTS 2026'!C998),"",'ENGAGEMENTS 2026'!I998)</f>
        <v/>
      </c>
      <c r="F998">
        <f>IF(ISBLANK('ENGAGEMENTS 2026'!C998),"",'ENGAGEMENTS 2026'!J998)</f>
        <v/>
      </c>
      <c r="G998">
        <f>IF(ISBLANK('ENGAGEMENTS 2026'!C998),"",'ENGAGEMENTS 2026'!M998)</f>
        <v/>
      </c>
      <c r="H998">
        <f>IF(ISBLANK('ENGAGEMENTS 2026'!C998),"",'ENGAGEMENTS 2026'!AF998)</f>
        <v/>
      </c>
      <c r="I998">
        <f>IF(ISBLANK('ENGAGEMENTS 2026'!C998),"",'ENGAGEMENTS 2026'!H998)</f>
        <v/>
      </c>
      <c r="J998" s="275">
        <f>IF(ISBLANK('ENGAGEMENTS 2026'!C998),"",IF(AND(OR($E998="INFRUCTUEUX",$E998="ANNULE"),$C998="AOO-M"),'ENGAGEMENTS 2026'!P998,IF($H998="EN COURS DE PREENGAGEMENT",'ENGAGEMENTS 2026'!O998,IF($H998="PREENGAGE",IF($E998="ATTRIBUE",'ENGAGEMENTS 2026'!AE998,'ENGAGEMENTS 2026'!O998),'ENGAGEMENTS 2026'!AE998))))</f>
        <v/>
      </c>
      <c r="K998" s="604">
        <f>IF(ISBLANK('ENGAGEMENTS 2026'!W998),"",'ENGAGEMENTS 2026'!W998)</f>
        <v/>
      </c>
      <c r="L998" s="276">
        <f>IF($K998="","",TODAY()-$K998)</f>
        <v/>
      </c>
      <c r="M998">
        <f>IF($A998="","",IF($H998="ENGAGE","Engagé",IF(AND($H998="NON ENGAGE",OR($I998="INFRUCTUEUX",$I998="ANNULE")),"Clôturé sans suite","En cours")))</f>
        <v/>
      </c>
      <c r="N998">
        <f>IF(ISBLANK('ENGAGEMENTS 2026'!C998),"",'ENGAGEMENTS 2026'!L998)</f>
        <v/>
      </c>
      <c r="O998">
        <f>IF(ISBLANK('ENGAGEMENTS 2026'!C998),"",'ENGAGEMENTS 2026'!M998)</f>
        <v/>
      </c>
      <c r="P998">
        <f>IF(ISBLANK('ENGAGEMENTS 2026'!C998),"",'ENGAGEMENTS 2026'!K998)</f>
        <v/>
      </c>
      <c r="Q998">
        <f>IF($A998="","",IF(OR($E998="INFRUCTUEUX",$E998="ANNULE"),$A998&amp;"|"&amp;(COUNTIFS($A$2:$A998,$A998,$E$2:$E998,"INFRUCTUEUX")+COUNTIFS($A$2:$A998,$A998,$E$2:$E998,"ANNULE")),""))</f>
        <v/>
      </c>
    </row>
    <row r="999">
      <c r="A999">
        <f>IF(ISBLANK('ENGAGEMENTS 2026'!C999),"",IF('ENGAGEMENTS 2026'!C999="DTSI","DCT",'ENGAGEMENTS 2026'!C999))</f>
        <v/>
      </c>
      <c r="B999">
        <f>IF(ISBLANK('ENGAGEMENTS 2026'!C999),"",'ENGAGEMENTS 2026'!D999)</f>
        <v/>
      </c>
      <c r="C999">
        <f>IF(ISBLANK('ENGAGEMENTS 2026'!C999),"",'ENGAGEMENTS 2026'!E999)</f>
        <v/>
      </c>
      <c r="D999">
        <f>IF(ISBLANK('ENGAGEMENTS 2026'!C999),"",'ENGAGEMENTS 2026'!G999)</f>
        <v/>
      </c>
      <c r="E999">
        <f>IF(ISBLANK('ENGAGEMENTS 2026'!C999),"",'ENGAGEMENTS 2026'!I999)</f>
        <v/>
      </c>
      <c r="F999">
        <f>IF(ISBLANK('ENGAGEMENTS 2026'!C999),"",'ENGAGEMENTS 2026'!J999)</f>
        <v/>
      </c>
      <c r="G999">
        <f>IF(ISBLANK('ENGAGEMENTS 2026'!C999),"",'ENGAGEMENTS 2026'!M999)</f>
        <v/>
      </c>
      <c r="H999">
        <f>IF(ISBLANK('ENGAGEMENTS 2026'!C999),"",'ENGAGEMENTS 2026'!AF999)</f>
        <v/>
      </c>
      <c r="I999">
        <f>IF(ISBLANK('ENGAGEMENTS 2026'!C999),"",'ENGAGEMENTS 2026'!H999)</f>
        <v/>
      </c>
      <c r="J999" s="275">
        <f>IF(ISBLANK('ENGAGEMENTS 2026'!C999),"",IF(AND(OR($E999="INFRUCTUEUX",$E999="ANNULE"),$C999="AOO-M"),'ENGAGEMENTS 2026'!P999,IF($H999="EN COURS DE PREENGAGEMENT",'ENGAGEMENTS 2026'!O999,IF($H999="PREENGAGE",IF($E999="ATTRIBUE",'ENGAGEMENTS 2026'!AE999,'ENGAGEMENTS 2026'!O999),'ENGAGEMENTS 2026'!AE999))))</f>
        <v/>
      </c>
      <c r="K999" s="604">
        <f>IF(ISBLANK('ENGAGEMENTS 2026'!W999),"",'ENGAGEMENTS 2026'!W999)</f>
        <v/>
      </c>
      <c r="L999" s="276">
        <f>IF($K999="","",TODAY()-$K999)</f>
        <v/>
      </c>
      <c r="M999">
        <f>IF($A999="","",IF($H999="ENGAGE","Engagé",IF(AND($H999="NON ENGAGE",OR($I999="INFRUCTUEUX",$I999="ANNULE")),"Clôturé sans suite","En cours")))</f>
        <v/>
      </c>
      <c r="N999">
        <f>IF(ISBLANK('ENGAGEMENTS 2026'!C999),"",'ENGAGEMENTS 2026'!L999)</f>
        <v/>
      </c>
      <c r="O999">
        <f>IF(ISBLANK('ENGAGEMENTS 2026'!C999),"",'ENGAGEMENTS 2026'!M999)</f>
        <v/>
      </c>
      <c r="P999">
        <f>IF(ISBLANK('ENGAGEMENTS 2026'!C999),"",'ENGAGEMENTS 2026'!K999)</f>
        <v/>
      </c>
      <c r="Q999">
        <f>IF($A999="","",IF(OR($E999="INFRUCTUEUX",$E999="ANNULE"),$A999&amp;"|"&amp;(COUNTIFS($A$2:$A999,$A999,$E$2:$E999,"INFRUCTUEUX")+COUNTIFS($A$2:$A999,$A999,$E$2:$E999,"ANNULE")),""))</f>
        <v/>
      </c>
    </row>
    <row r="1000">
      <c r="A1000">
        <f>IF(ISBLANK('ENGAGEMENTS 2026'!C1000),"",IF('ENGAGEMENTS 2026'!C1000="DTSI","DCT",'ENGAGEMENTS 2026'!C1000))</f>
        <v/>
      </c>
      <c r="B1000">
        <f>IF(ISBLANK('ENGAGEMENTS 2026'!C1000),"",'ENGAGEMENTS 2026'!D1000)</f>
        <v/>
      </c>
      <c r="C1000">
        <f>IF(ISBLANK('ENGAGEMENTS 2026'!C1000),"",'ENGAGEMENTS 2026'!E1000)</f>
        <v/>
      </c>
      <c r="D1000">
        <f>IF(ISBLANK('ENGAGEMENTS 2026'!C1000),"",'ENGAGEMENTS 2026'!G1000)</f>
        <v/>
      </c>
      <c r="E1000">
        <f>IF(ISBLANK('ENGAGEMENTS 2026'!C1000),"",'ENGAGEMENTS 2026'!I1000)</f>
        <v/>
      </c>
      <c r="F1000">
        <f>IF(ISBLANK('ENGAGEMENTS 2026'!C1000),"",'ENGAGEMENTS 2026'!J1000)</f>
        <v/>
      </c>
      <c r="G1000">
        <f>IF(ISBLANK('ENGAGEMENTS 2026'!C1000),"",'ENGAGEMENTS 2026'!M1000)</f>
        <v/>
      </c>
      <c r="H1000">
        <f>IF(ISBLANK('ENGAGEMENTS 2026'!C1000),"",'ENGAGEMENTS 2026'!AF1000)</f>
        <v/>
      </c>
      <c r="I1000">
        <f>IF(ISBLANK('ENGAGEMENTS 2026'!C1000),"",'ENGAGEMENTS 2026'!H1000)</f>
        <v/>
      </c>
      <c r="J1000" s="275">
        <f>IF(ISBLANK('ENGAGEMENTS 2026'!C1000),"",IF(AND(OR($E1000="INFRUCTUEUX",$E1000="ANNULE"),$C1000="AOO-M"),'ENGAGEMENTS 2026'!P1000,IF($H1000="EN COURS DE PREENGAGEMENT",'ENGAGEMENTS 2026'!O1000,IF($H1000="PREENGAGE",IF($E1000="ATTRIBUE",'ENGAGEMENTS 2026'!AE1000,'ENGAGEMENTS 2026'!O1000),'ENGAGEMENTS 2026'!AE1000))))</f>
        <v/>
      </c>
      <c r="K1000" s="604">
        <f>IF(ISBLANK('ENGAGEMENTS 2026'!W1000),"",'ENGAGEMENTS 2026'!W1000)</f>
        <v/>
      </c>
      <c r="L1000" s="276">
        <f>IF($K1000="","",TODAY()-$K1000)</f>
        <v/>
      </c>
      <c r="M1000">
        <f>IF($A1000="","",IF($H1000="ENGAGE","Engagé",IF(AND($H1000="NON ENGAGE",OR($I1000="INFRUCTUEUX",$I1000="ANNULE")),"Clôturé sans suite","En cours")))</f>
        <v/>
      </c>
      <c r="N1000">
        <f>IF(ISBLANK('ENGAGEMENTS 2026'!C1000),"",'ENGAGEMENTS 2026'!L1000)</f>
        <v/>
      </c>
      <c r="O1000">
        <f>IF(ISBLANK('ENGAGEMENTS 2026'!C1000),"",'ENGAGEMENTS 2026'!M1000)</f>
        <v/>
      </c>
      <c r="P1000">
        <f>IF(ISBLANK('ENGAGEMENTS 2026'!C1000),"",'ENGAGEMENTS 2026'!K1000)</f>
        <v/>
      </c>
      <c r="Q1000">
        <f>IF($A1000="","",IF(OR($E1000="INFRUCTUEUX",$E1000="ANNULE"),$A1000&amp;"|"&amp;(COUNTIFS($A$2:$A1000,$A1000,$E$2:$E1000,"INFRUCTUEUX")+COUNTIFS($A$2:$A1000,$A1000,$E$2:$E1000,"ANNULE")),""))</f>
        <v/>
      </c>
    </row>
    <row r="1001">
      <c r="A1001">
        <f>IF(ISBLANK('ENGAGEMENTS 2026'!C1001),"",IF('ENGAGEMENTS 2026'!C1001="DTSI","DCT",'ENGAGEMENTS 2026'!C1001))</f>
        <v/>
      </c>
      <c r="B1001">
        <f>IF(ISBLANK('ENGAGEMENTS 2026'!C1001),"",'ENGAGEMENTS 2026'!D1001)</f>
        <v/>
      </c>
      <c r="C1001">
        <f>IF(ISBLANK('ENGAGEMENTS 2026'!C1001),"",'ENGAGEMENTS 2026'!E1001)</f>
        <v/>
      </c>
      <c r="D1001">
        <f>IF(ISBLANK('ENGAGEMENTS 2026'!C1001),"",'ENGAGEMENTS 2026'!G1001)</f>
        <v/>
      </c>
      <c r="E1001">
        <f>IF(ISBLANK('ENGAGEMENTS 2026'!C1001),"",'ENGAGEMENTS 2026'!I1001)</f>
        <v/>
      </c>
      <c r="F1001">
        <f>IF(ISBLANK('ENGAGEMENTS 2026'!C1001),"",'ENGAGEMENTS 2026'!J1001)</f>
        <v/>
      </c>
      <c r="G1001">
        <f>IF(ISBLANK('ENGAGEMENTS 2026'!C1001),"",'ENGAGEMENTS 2026'!M1001)</f>
        <v/>
      </c>
      <c r="H1001">
        <f>IF(ISBLANK('ENGAGEMENTS 2026'!C1001),"",'ENGAGEMENTS 2026'!AF1001)</f>
        <v/>
      </c>
      <c r="I1001">
        <f>IF(ISBLANK('ENGAGEMENTS 2026'!C1001),"",'ENGAGEMENTS 2026'!H1001)</f>
        <v/>
      </c>
      <c r="J1001" s="275">
        <f>IF(ISBLANK('ENGAGEMENTS 2026'!C1001),"",IF(AND(OR($E1001="INFRUCTUEUX",$E1001="ANNULE"),$C1001="AOO-M"),'ENGAGEMENTS 2026'!P1001,IF($H1001="EN COURS DE PREENGAGEMENT",'ENGAGEMENTS 2026'!O1001,IF($H1001="PREENGAGE",IF($E1001="ATTRIBUE",'ENGAGEMENTS 2026'!AE1001,'ENGAGEMENTS 2026'!O1001),'ENGAGEMENTS 2026'!AE1001))))</f>
        <v/>
      </c>
      <c r="K1001" s="604">
        <f>IF(ISBLANK('ENGAGEMENTS 2026'!W1001),"",'ENGAGEMENTS 2026'!W1001)</f>
        <v/>
      </c>
      <c r="L1001" s="276">
        <f>IF($K1001="","",TODAY()-$K1001)</f>
        <v/>
      </c>
      <c r="M1001">
        <f>IF($A1001="","",IF($H1001="ENGAGE","Engagé",IF(AND($H1001="NON ENGAGE",OR($I1001="INFRUCTUEUX",$I1001="ANNULE")),"Clôturé sans suite","En cours")))</f>
        <v/>
      </c>
      <c r="N1001">
        <f>IF(ISBLANK('ENGAGEMENTS 2026'!C1001),"",'ENGAGEMENTS 2026'!L1001)</f>
        <v/>
      </c>
      <c r="O1001">
        <f>IF(ISBLANK('ENGAGEMENTS 2026'!C1001),"",'ENGAGEMENTS 2026'!M1001)</f>
        <v/>
      </c>
      <c r="P1001">
        <f>IF(ISBLANK('ENGAGEMENTS 2026'!C1001),"",'ENGAGEMENTS 2026'!K1001)</f>
        <v/>
      </c>
      <c r="Q1001">
        <f>IF($A1001="","",IF(OR($E1001="INFRUCTUEUX",$E1001="ANNULE"),$A1001&amp;"|"&amp;(COUNTIFS($A$2:$A1001,$A1001,$E$2:$E1001,"INFRUCTUEUX")+COUNTIFS($A$2:$A1001,$A1001,$E$2:$E1001,"ANNULE")),""))</f>
        <v/>
      </c>
    </row>
    <row r="1002">
      <c r="A1002">
        <f>IF(ISBLANK('ENGAGEMENTS 2026'!C1002),"",IF('ENGAGEMENTS 2026'!C1002="DTSI","DCT",'ENGAGEMENTS 2026'!C1002))</f>
        <v/>
      </c>
      <c r="B1002">
        <f>IF(ISBLANK('ENGAGEMENTS 2026'!C1002),"",'ENGAGEMENTS 2026'!D1002)</f>
        <v/>
      </c>
      <c r="C1002">
        <f>IF(ISBLANK('ENGAGEMENTS 2026'!C1002),"",'ENGAGEMENTS 2026'!E1002)</f>
        <v/>
      </c>
      <c r="D1002">
        <f>IF(ISBLANK('ENGAGEMENTS 2026'!C1002),"",'ENGAGEMENTS 2026'!G1002)</f>
        <v/>
      </c>
      <c r="E1002">
        <f>IF(ISBLANK('ENGAGEMENTS 2026'!C1002),"",'ENGAGEMENTS 2026'!I1002)</f>
        <v/>
      </c>
      <c r="F1002">
        <f>IF(ISBLANK('ENGAGEMENTS 2026'!C1002),"",'ENGAGEMENTS 2026'!J1002)</f>
        <v/>
      </c>
      <c r="G1002">
        <f>IF(ISBLANK('ENGAGEMENTS 2026'!C1002),"",'ENGAGEMENTS 2026'!M1002)</f>
        <v/>
      </c>
      <c r="H1002">
        <f>IF(ISBLANK('ENGAGEMENTS 2026'!C1002),"",'ENGAGEMENTS 2026'!AF1002)</f>
        <v/>
      </c>
      <c r="I1002">
        <f>IF(ISBLANK('ENGAGEMENTS 2026'!C1002),"",'ENGAGEMENTS 2026'!H1002)</f>
        <v/>
      </c>
      <c r="J1002" s="275">
        <f>IF(ISBLANK('ENGAGEMENTS 2026'!C1002),"",IF(AND(OR($E1002="INFRUCTUEUX",$E1002="ANNULE"),$C1002="AOO-M"),'ENGAGEMENTS 2026'!P1002,IF($H1002="EN COURS DE PREENGAGEMENT",'ENGAGEMENTS 2026'!O1002,IF($H1002="PREENGAGE",IF($E1002="ATTRIBUE",'ENGAGEMENTS 2026'!AE1002,'ENGAGEMENTS 2026'!O1002),'ENGAGEMENTS 2026'!AE1002))))</f>
        <v/>
      </c>
      <c r="K1002" s="604">
        <f>IF(ISBLANK('ENGAGEMENTS 2026'!W1002),"",'ENGAGEMENTS 2026'!W1002)</f>
        <v/>
      </c>
      <c r="L1002" s="276">
        <f>IF($K1002="","",TODAY()-$K1002)</f>
        <v/>
      </c>
      <c r="M1002">
        <f>IF($A1002="","",IF($H1002="ENGAGE","Engagé",IF(AND($H1002="NON ENGAGE",OR($I1002="INFRUCTUEUX",$I1002="ANNULE")),"Clôturé sans suite","En cours")))</f>
        <v/>
      </c>
      <c r="N1002">
        <f>IF(ISBLANK('ENGAGEMENTS 2026'!C1002),"",'ENGAGEMENTS 2026'!L1002)</f>
        <v/>
      </c>
      <c r="O1002">
        <f>IF(ISBLANK('ENGAGEMENTS 2026'!C1002),"",'ENGAGEMENTS 2026'!M1002)</f>
        <v/>
      </c>
      <c r="P1002">
        <f>IF(ISBLANK('ENGAGEMENTS 2026'!C1002),"",'ENGAGEMENTS 2026'!K1002)</f>
        <v/>
      </c>
      <c r="Q1002">
        <f>IF($A1002="","",IF(OR($E1002="INFRUCTUEUX",$E1002="ANNULE"),$A1002&amp;"|"&amp;(COUNTIFS($A$2:$A1002,$A1002,$E$2:$E1002,"INFRUCTUEUX")+COUNTIFS($A$2:$A1002,$A1002,$E$2:$E1002,"ANNULE")),""))</f>
        <v/>
      </c>
    </row>
    <row r="1003">
      <c r="A1003">
        <f>IF(ISBLANK('ENGAGEMENTS 2026'!C1003),"",IF('ENGAGEMENTS 2026'!C1003="DTSI","DCT",'ENGAGEMENTS 2026'!C1003))</f>
        <v/>
      </c>
      <c r="B1003">
        <f>IF(ISBLANK('ENGAGEMENTS 2026'!C1003),"",'ENGAGEMENTS 2026'!D1003)</f>
        <v/>
      </c>
      <c r="C1003">
        <f>IF(ISBLANK('ENGAGEMENTS 2026'!C1003),"",'ENGAGEMENTS 2026'!E1003)</f>
        <v/>
      </c>
      <c r="D1003">
        <f>IF(ISBLANK('ENGAGEMENTS 2026'!C1003),"",'ENGAGEMENTS 2026'!G1003)</f>
        <v/>
      </c>
      <c r="E1003">
        <f>IF(ISBLANK('ENGAGEMENTS 2026'!C1003),"",'ENGAGEMENTS 2026'!I1003)</f>
        <v/>
      </c>
      <c r="F1003">
        <f>IF(ISBLANK('ENGAGEMENTS 2026'!C1003),"",'ENGAGEMENTS 2026'!J1003)</f>
        <v/>
      </c>
      <c r="G1003">
        <f>IF(ISBLANK('ENGAGEMENTS 2026'!C1003),"",'ENGAGEMENTS 2026'!M1003)</f>
        <v/>
      </c>
      <c r="H1003">
        <f>IF(ISBLANK('ENGAGEMENTS 2026'!C1003),"",'ENGAGEMENTS 2026'!AF1003)</f>
        <v/>
      </c>
      <c r="I1003">
        <f>IF(ISBLANK('ENGAGEMENTS 2026'!C1003),"",'ENGAGEMENTS 2026'!H1003)</f>
        <v/>
      </c>
      <c r="J1003" s="275">
        <f>IF(ISBLANK('ENGAGEMENTS 2026'!C1003),"",IF(AND(OR($E1003="INFRUCTUEUX",$E1003="ANNULE"),$C1003="AOO-M"),'ENGAGEMENTS 2026'!P1003,IF($H1003="EN COURS DE PREENGAGEMENT",'ENGAGEMENTS 2026'!O1003,IF($H1003="PREENGAGE",IF($E1003="ATTRIBUE",'ENGAGEMENTS 2026'!AE1003,'ENGAGEMENTS 2026'!O1003),'ENGAGEMENTS 2026'!AE1003))))</f>
        <v/>
      </c>
      <c r="K1003" s="604">
        <f>IF(ISBLANK('ENGAGEMENTS 2026'!W1003),"",'ENGAGEMENTS 2026'!W1003)</f>
        <v/>
      </c>
      <c r="L1003" s="276">
        <f>IF($K1003="","",TODAY()-$K1003)</f>
        <v/>
      </c>
      <c r="M1003">
        <f>IF($A1003="","",IF($H1003="ENGAGE","Engagé",IF(AND($H1003="NON ENGAGE",OR($I1003="INFRUCTUEUX",$I1003="ANNULE")),"Clôturé sans suite","En cours")))</f>
        <v/>
      </c>
      <c r="N1003">
        <f>IF(ISBLANK('ENGAGEMENTS 2026'!C1003),"",'ENGAGEMENTS 2026'!L1003)</f>
        <v/>
      </c>
      <c r="O1003">
        <f>IF(ISBLANK('ENGAGEMENTS 2026'!C1003),"",'ENGAGEMENTS 2026'!M1003)</f>
        <v/>
      </c>
      <c r="P1003">
        <f>IF(ISBLANK('ENGAGEMENTS 2026'!C1003),"",'ENGAGEMENTS 2026'!K1003)</f>
        <v/>
      </c>
      <c r="Q1003">
        <f>IF($A1003="","",IF(OR($E1003="INFRUCTUEUX",$E1003="ANNULE"),$A1003&amp;"|"&amp;(COUNTIFS($A$2:$A1003,$A1003,$E$2:$E1003,"INFRUCTUEUX")+COUNTIFS($A$2:$A1003,$A1003,$E$2:$E1003,"ANNULE")),""))</f>
        <v/>
      </c>
    </row>
    <row r="1004">
      <c r="A1004">
        <f>IF(ISBLANK('ENGAGEMENTS 2026'!C1004),"",IF('ENGAGEMENTS 2026'!C1004="DTSI","DCT",'ENGAGEMENTS 2026'!C1004))</f>
        <v/>
      </c>
      <c r="B1004">
        <f>IF(ISBLANK('ENGAGEMENTS 2026'!C1004),"",'ENGAGEMENTS 2026'!D1004)</f>
        <v/>
      </c>
      <c r="C1004">
        <f>IF(ISBLANK('ENGAGEMENTS 2026'!C1004),"",'ENGAGEMENTS 2026'!E1004)</f>
        <v/>
      </c>
      <c r="D1004">
        <f>IF(ISBLANK('ENGAGEMENTS 2026'!C1004),"",'ENGAGEMENTS 2026'!G1004)</f>
        <v/>
      </c>
      <c r="E1004">
        <f>IF(ISBLANK('ENGAGEMENTS 2026'!C1004),"",'ENGAGEMENTS 2026'!I1004)</f>
        <v/>
      </c>
      <c r="F1004">
        <f>IF(ISBLANK('ENGAGEMENTS 2026'!C1004),"",'ENGAGEMENTS 2026'!J1004)</f>
        <v/>
      </c>
      <c r="G1004">
        <f>IF(ISBLANK('ENGAGEMENTS 2026'!C1004),"",'ENGAGEMENTS 2026'!M1004)</f>
        <v/>
      </c>
      <c r="H1004">
        <f>IF(ISBLANK('ENGAGEMENTS 2026'!C1004),"",'ENGAGEMENTS 2026'!AF1004)</f>
        <v/>
      </c>
      <c r="I1004">
        <f>IF(ISBLANK('ENGAGEMENTS 2026'!C1004),"",'ENGAGEMENTS 2026'!H1004)</f>
        <v/>
      </c>
      <c r="J1004" s="275">
        <f>IF(ISBLANK('ENGAGEMENTS 2026'!C1004),"",IF(AND(OR($E1004="INFRUCTUEUX",$E1004="ANNULE"),$C1004="AOO-M"),'ENGAGEMENTS 2026'!P1004,IF($H1004="EN COURS DE PREENGAGEMENT",'ENGAGEMENTS 2026'!O1004,IF($H1004="PREENGAGE",IF($E1004="ATTRIBUE",'ENGAGEMENTS 2026'!AE1004,'ENGAGEMENTS 2026'!O1004),'ENGAGEMENTS 2026'!AE1004))))</f>
        <v/>
      </c>
      <c r="K1004" s="604">
        <f>IF(ISBLANK('ENGAGEMENTS 2026'!W1004),"",'ENGAGEMENTS 2026'!W1004)</f>
        <v/>
      </c>
      <c r="L1004" s="276">
        <f>IF($K1004="","",TODAY()-$K1004)</f>
        <v/>
      </c>
      <c r="M1004">
        <f>IF($A1004="","",IF($H1004="ENGAGE","Engagé",IF(AND($H1004="NON ENGAGE",OR($I1004="INFRUCTUEUX",$I1004="ANNULE")),"Clôturé sans suite","En cours")))</f>
        <v/>
      </c>
      <c r="N1004">
        <f>IF(ISBLANK('ENGAGEMENTS 2026'!C1004),"",'ENGAGEMENTS 2026'!L1004)</f>
        <v/>
      </c>
      <c r="O1004">
        <f>IF(ISBLANK('ENGAGEMENTS 2026'!C1004),"",'ENGAGEMENTS 2026'!M1004)</f>
        <v/>
      </c>
      <c r="P1004">
        <f>IF(ISBLANK('ENGAGEMENTS 2026'!C1004),"",'ENGAGEMENTS 2026'!K1004)</f>
        <v/>
      </c>
      <c r="Q1004">
        <f>IF($A1004="","",IF(OR($E1004="INFRUCTUEUX",$E1004="ANNULE"),$A1004&amp;"|"&amp;(COUNTIFS($A$2:$A1004,$A1004,$E$2:$E1004,"INFRUCTUEUX")+COUNTIFS($A$2:$A1004,$A1004,$E$2:$E1004,"ANNULE")),""))</f>
        <v/>
      </c>
    </row>
    <row r="1005">
      <c r="A1005">
        <f>IF(ISBLANK('ENGAGEMENTS 2026'!C1005),"",IF('ENGAGEMENTS 2026'!C1005="DTSI","DCT",'ENGAGEMENTS 2026'!C1005))</f>
        <v/>
      </c>
      <c r="B1005">
        <f>IF(ISBLANK('ENGAGEMENTS 2026'!C1005),"",'ENGAGEMENTS 2026'!D1005)</f>
        <v/>
      </c>
      <c r="C1005">
        <f>IF(ISBLANK('ENGAGEMENTS 2026'!C1005),"",'ENGAGEMENTS 2026'!E1005)</f>
        <v/>
      </c>
      <c r="D1005">
        <f>IF(ISBLANK('ENGAGEMENTS 2026'!C1005),"",'ENGAGEMENTS 2026'!G1005)</f>
        <v/>
      </c>
      <c r="E1005">
        <f>IF(ISBLANK('ENGAGEMENTS 2026'!C1005),"",'ENGAGEMENTS 2026'!I1005)</f>
        <v/>
      </c>
      <c r="F1005">
        <f>IF(ISBLANK('ENGAGEMENTS 2026'!C1005),"",'ENGAGEMENTS 2026'!J1005)</f>
        <v/>
      </c>
      <c r="G1005">
        <f>IF(ISBLANK('ENGAGEMENTS 2026'!C1005),"",'ENGAGEMENTS 2026'!M1005)</f>
        <v/>
      </c>
      <c r="H1005">
        <f>IF(ISBLANK('ENGAGEMENTS 2026'!C1005),"",'ENGAGEMENTS 2026'!AF1005)</f>
        <v/>
      </c>
      <c r="I1005">
        <f>IF(ISBLANK('ENGAGEMENTS 2026'!C1005),"",'ENGAGEMENTS 2026'!H1005)</f>
        <v/>
      </c>
      <c r="J1005" s="275">
        <f>IF(ISBLANK('ENGAGEMENTS 2026'!C1005),"",IF(AND(OR($E1005="INFRUCTUEUX",$E1005="ANNULE"),$C1005="AOO-M"),'ENGAGEMENTS 2026'!P1005,IF($H1005="EN COURS DE PREENGAGEMENT",'ENGAGEMENTS 2026'!O1005,IF($H1005="PREENGAGE",IF($E1005="ATTRIBUE",'ENGAGEMENTS 2026'!AE1005,'ENGAGEMENTS 2026'!O1005),'ENGAGEMENTS 2026'!AE1005))))</f>
        <v/>
      </c>
      <c r="K1005" s="604">
        <f>IF(ISBLANK('ENGAGEMENTS 2026'!W1005),"",'ENGAGEMENTS 2026'!W1005)</f>
        <v/>
      </c>
      <c r="L1005" s="276">
        <f>IF($K1005="","",TODAY()-$K1005)</f>
        <v/>
      </c>
      <c r="M1005">
        <f>IF($A1005="","",IF($H1005="ENGAGE","Engagé",IF(AND($H1005="NON ENGAGE",OR($I1005="INFRUCTUEUX",$I1005="ANNULE")),"Clôturé sans suite","En cours")))</f>
        <v/>
      </c>
      <c r="N1005">
        <f>IF(ISBLANK('ENGAGEMENTS 2026'!C1005),"",'ENGAGEMENTS 2026'!L1005)</f>
        <v/>
      </c>
      <c r="O1005">
        <f>IF(ISBLANK('ENGAGEMENTS 2026'!C1005),"",'ENGAGEMENTS 2026'!M1005)</f>
        <v/>
      </c>
      <c r="P1005">
        <f>IF(ISBLANK('ENGAGEMENTS 2026'!C1005),"",'ENGAGEMENTS 2026'!K1005)</f>
        <v/>
      </c>
      <c r="Q1005">
        <f>IF($A1005="","",IF(OR($E1005="INFRUCTUEUX",$E1005="ANNULE"),$A1005&amp;"|"&amp;(COUNTIFS($A$2:$A1005,$A1005,$E$2:$E1005,"INFRUCTUEUX")+COUNTIFS($A$2:$A1005,$A1005,$E$2:$E1005,"ANNULE")),""))</f>
        <v/>
      </c>
    </row>
    <row r="1006">
      <c r="A1006">
        <f>IF(ISBLANK('ENGAGEMENTS 2026'!C1006),"",IF('ENGAGEMENTS 2026'!C1006="DTSI","DCT",'ENGAGEMENTS 2026'!C1006))</f>
        <v/>
      </c>
      <c r="B1006">
        <f>IF(ISBLANK('ENGAGEMENTS 2026'!C1006),"",'ENGAGEMENTS 2026'!D1006)</f>
        <v/>
      </c>
      <c r="C1006">
        <f>IF(ISBLANK('ENGAGEMENTS 2026'!C1006),"",'ENGAGEMENTS 2026'!E1006)</f>
        <v/>
      </c>
      <c r="D1006">
        <f>IF(ISBLANK('ENGAGEMENTS 2026'!C1006),"",'ENGAGEMENTS 2026'!G1006)</f>
        <v/>
      </c>
      <c r="E1006">
        <f>IF(ISBLANK('ENGAGEMENTS 2026'!C1006),"",'ENGAGEMENTS 2026'!I1006)</f>
        <v/>
      </c>
      <c r="F1006">
        <f>IF(ISBLANK('ENGAGEMENTS 2026'!C1006),"",'ENGAGEMENTS 2026'!J1006)</f>
        <v/>
      </c>
      <c r="G1006">
        <f>IF(ISBLANK('ENGAGEMENTS 2026'!C1006),"",'ENGAGEMENTS 2026'!M1006)</f>
        <v/>
      </c>
      <c r="H1006">
        <f>IF(ISBLANK('ENGAGEMENTS 2026'!C1006),"",'ENGAGEMENTS 2026'!AF1006)</f>
        <v/>
      </c>
      <c r="I1006">
        <f>IF(ISBLANK('ENGAGEMENTS 2026'!C1006),"",'ENGAGEMENTS 2026'!H1006)</f>
        <v/>
      </c>
      <c r="J1006" s="275">
        <f>IF(ISBLANK('ENGAGEMENTS 2026'!C1006),"",IF(AND(OR($E1006="INFRUCTUEUX",$E1006="ANNULE"),$C1006="AOO-M"),'ENGAGEMENTS 2026'!P1006,IF($H1006="EN COURS DE PREENGAGEMENT",'ENGAGEMENTS 2026'!O1006,IF($H1006="PREENGAGE",IF($E1006="ATTRIBUE",'ENGAGEMENTS 2026'!AE1006,'ENGAGEMENTS 2026'!O1006),'ENGAGEMENTS 2026'!AE1006))))</f>
        <v/>
      </c>
      <c r="K1006" s="604">
        <f>IF(ISBLANK('ENGAGEMENTS 2026'!W1006),"",'ENGAGEMENTS 2026'!W1006)</f>
        <v/>
      </c>
      <c r="L1006" s="276">
        <f>IF($K1006="","",TODAY()-$K1006)</f>
        <v/>
      </c>
      <c r="M1006">
        <f>IF($A1006="","",IF($H1006="ENGAGE","Engagé",IF(AND($H1006="NON ENGAGE",OR($I1006="INFRUCTUEUX",$I1006="ANNULE")),"Clôturé sans suite","En cours")))</f>
        <v/>
      </c>
      <c r="N1006">
        <f>IF(ISBLANK('ENGAGEMENTS 2026'!C1006),"",'ENGAGEMENTS 2026'!L1006)</f>
        <v/>
      </c>
      <c r="O1006">
        <f>IF(ISBLANK('ENGAGEMENTS 2026'!C1006),"",'ENGAGEMENTS 2026'!M1006)</f>
        <v/>
      </c>
      <c r="P1006">
        <f>IF(ISBLANK('ENGAGEMENTS 2026'!C1006),"",'ENGAGEMENTS 2026'!K1006)</f>
        <v/>
      </c>
      <c r="Q1006">
        <f>IF($A1006="","",IF(OR($E1006="INFRUCTUEUX",$E1006="ANNULE"),$A1006&amp;"|"&amp;(COUNTIFS($A$2:$A1006,$A1006,$E$2:$E1006,"INFRUCTUEUX")+COUNTIFS($A$2:$A1006,$A1006,$E$2:$E1006,"ANNULE")),""))</f>
        <v/>
      </c>
    </row>
    <row r="1007">
      <c r="A1007">
        <f>IF(ISBLANK('ENGAGEMENTS 2026'!C1007),"",IF('ENGAGEMENTS 2026'!C1007="DTSI","DCT",'ENGAGEMENTS 2026'!C1007))</f>
        <v/>
      </c>
      <c r="B1007">
        <f>IF(ISBLANK('ENGAGEMENTS 2026'!C1007),"",'ENGAGEMENTS 2026'!D1007)</f>
        <v/>
      </c>
      <c r="C1007">
        <f>IF(ISBLANK('ENGAGEMENTS 2026'!C1007),"",'ENGAGEMENTS 2026'!E1007)</f>
        <v/>
      </c>
      <c r="D1007">
        <f>IF(ISBLANK('ENGAGEMENTS 2026'!C1007),"",'ENGAGEMENTS 2026'!G1007)</f>
        <v/>
      </c>
      <c r="E1007">
        <f>IF(ISBLANK('ENGAGEMENTS 2026'!C1007),"",'ENGAGEMENTS 2026'!I1007)</f>
        <v/>
      </c>
      <c r="F1007">
        <f>IF(ISBLANK('ENGAGEMENTS 2026'!C1007),"",'ENGAGEMENTS 2026'!J1007)</f>
        <v/>
      </c>
      <c r="G1007">
        <f>IF(ISBLANK('ENGAGEMENTS 2026'!C1007),"",'ENGAGEMENTS 2026'!M1007)</f>
        <v/>
      </c>
      <c r="H1007">
        <f>IF(ISBLANK('ENGAGEMENTS 2026'!C1007),"",'ENGAGEMENTS 2026'!AF1007)</f>
        <v/>
      </c>
      <c r="I1007">
        <f>IF(ISBLANK('ENGAGEMENTS 2026'!C1007),"",'ENGAGEMENTS 2026'!H1007)</f>
        <v/>
      </c>
      <c r="J1007" s="275">
        <f>IF(ISBLANK('ENGAGEMENTS 2026'!C1007),"",IF(AND(OR($E1007="INFRUCTUEUX",$E1007="ANNULE"),$C1007="AOO-M"),'ENGAGEMENTS 2026'!P1007,IF($H1007="EN COURS DE PREENGAGEMENT",'ENGAGEMENTS 2026'!O1007,IF($H1007="PREENGAGE",IF($E1007="ATTRIBUE",'ENGAGEMENTS 2026'!AE1007,'ENGAGEMENTS 2026'!O1007),'ENGAGEMENTS 2026'!AE1007))))</f>
        <v/>
      </c>
      <c r="K1007" s="604">
        <f>IF(ISBLANK('ENGAGEMENTS 2026'!W1007),"",'ENGAGEMENTS 2026'!W1007)</f>
        <v/>
      </c>
      <c r="L1007" s="276">
        <f>IF($K1007="","",TODAY()-$K1007)</f>
        <v/>
      </c>
      <c r="M1007">
        <f>IF($A1007="","",IF($H1007="ENGAGE","Engagé",IF(AND($H1007="NON ENGAGE",OR($I1007="INFRUCTUEUX",$I1007="ANNULE")),"Clôturé sans suite","En cours")))</f>
        <v/>
      </c>
      <c r="N1007">
        <f>IF(ISBLANK('ENGAGEMENTS 2026'!C1007),"",'ENGAGEMENTS 2026'!L1007)</f>
        <v/>
      </c>
      <c r="O1007">
        <f>IF(ISBLANK('ENGAGEMENTS 2026'!C1007),"",'ENGAGEMENTS 2026'!M1007)</f>
        <v/>
      </c>
      <c r="P1007">
        <f>IF(ISBLANK('ENGAGEMENTS 2026'!C1007),"",'ENGAGEMENTS 2026'!K1007)</f>
        <v/>
      </c>
      <c r="Q1007">
        <f>IF($A1007="","",IF(OR($E1007="INFRUCTUEUX",$E1007="ANNULE"),$A1007&amp;"|"&amp;(COUNTIFS($A$2:$A1007,$A1007,$E$2:$E1007,"INFRUCTUEUX")+COUNTIFS($A$2:$A1007,$A1007,$E$2:$E1007,"ANNULE")),""))</f>
        <v/>
      </c>
    </row>
    <row r="1008">
      <c r="A1008">
        <f>IF(ISBLANK('ENGAGEMENTS 2026'!C1008),"",IF('ENGAGEMENTS 2026'!C1008="DTSI","DCT",'ENGAGEMENTS 2026'!C1008))</f>
        <v/>
      </c>
      <c r="B1008">
        <f>IF(ISBLANK('ENGAGEMENTS 2026'!C1008),"",'ENGAGEMENTS 2026'!D1008)</f>
        <v/>
      </c>
      <c r="C1008">
        <f>IF(ISBLANK('ENGAGEMENTS 2026'!C1008),"",'ENGAGEMENTS 2026'!E1008)</f>
        <v/>
      </c>
      <c r="D1008">
        <f>IF(ISBLANK('ENGAGEMENTS 2026'!C1008),"",'ENGAGEMENTS 2026'!G1008)</f>
        <v/>
      </c>
      <c r="E1008">
        <f>IF(ISBLANK('ENGAGEMENTS 2026'!C1008),"",'ENGAGEMENTS 2026'!I1008)</f>
        <v/>
      </c>
      <c r="F1008">
        <f>IF(ISBLANK('ENGAGEMENTS 2026'!C1008),"",'ENGAGEMENTS 2026'!J1008)</f>
        <v/>
      </c>
      <c r="G1008">
        <f>IF(ISBLANK('ENGAGEMENTS 2026'!C1008),"",'ENGAGEMENTS 2026'!M1008)</f>
        <v/>
      </c>
      <c r="H1008">
        <f>IF(ISBLANK('ENGAGEMENTS 2026'!C1008),"",'ENGAGEMENTS 2026'!AF1008)</f>
        <v/>
      </c>
      <c r="I1008">
        <f>IF(ISBLANK('ENGAGEMENTS 2026'!C1008),"",'ENGAGEMENTS 2026'!H1008)</f>
        <v/>
      </c>
      <c r="J1008" s="275">
        <f>IF(ISBLANK('ENGAGEMENTS 2026'!C1008),"",IF(AND(OR($E1008="INFRUCTUEUX",$E1008="ANNULE"),$C1008="AOO-M"),'ENGAGEMENTS 2026'!P1008,IF($H1008="EN COURS DE PREENGAGEMENT",'ENGAGEMENTS 2026'!O1008,IF($H1008="PREENGAGE",IF($E1008="ATTRIBUE",'ENGAGEMENTS 2026'!AE1008,'ENGAGEMENTS 2026'!O1008),'ENGAGEMENTS 2026'!AE1008))))</f>
        <v/>
      </c>
      <c r="K1008" s="604">
        <f>IF(ISBLANK('ENGAGEMENTS 2026'!W1008),"",'ENGAGEMENTS 2026'!W1008)</f>
        <v/>
      </c>
      <c r="L1008" s="276">
        <f>IF($K1008="","",TODAY()-$K1008)</f>
        <v/>
      </c>
      <c r="M1008">
        <f>IF($A1008="","",IF($H1008="ENGAGE","Engagé",IF(AND($H1008="NON ENGAGE",OR($I1008="INFRUCTUEUX",$I1008="ANNULE")),"Clôturé sans suite","En cours")))</f>
        <v/>
      </c>
      <c r="N1008">
        <f>IF(ISBLANK('ENGAGEMENTS 2026'!C1008),"",'ENGAGEMENTS 2026'!L1008)</f>
        <v/>
      </c>
      <c r="O1008">
        <f>IF(ISBLANK('ENGAGEMENTS 2026'!C1008),"",'ENGAGEMENTS 2026'!M1008)</f>
        <v/>
      </c>
      <c r="P1008">
        <f>IF(ISBLANK('ENGAGEMENTS 2026'!C1008),"",'ENGAGEMENTS 2026'!K1008)</f>
        <v/>
      </c>
      <c r="Q1008">
        <f>IF($A1008="","",IF(OR($E1008="INFRUCTUEUX",$E1008="ANNULE"),$A1008&amp;"|"&amp;(COUNTIFS($A$2:$A1008,$A1008,$E$2:$E1008,"INFRUCTUEUX")+COUNTIFS($A$2:$A1008,$A1008,$E$2:$E1008,"ANNULE")),""))</f>
        <v/>
      </c>
    </row>
    <row r="1009">
      <c r="A1009">
        <f>IF(ISBLANK('ENGAGEMENTS 2026'!C1009),"",IF('ENGAGEMENTS 2026'!C1009="DTSI","DCT",'ENGAGEMENTS 2026'!C1009))</f>
        <v/>
      </c>
      <c r="B1009">
        <f>IF(ISBLANK('ENGAGEMENTS 2026'!C1009),"",'ENGAGEMENTS 2026'!D1009)</f>
        <v/>
      </c>
      <c r="C1009">
        <f>IF(ISBLANK('ENGAGEMENTS 2026'!C1009),"",'ENGAGEMENTS 2026'!E1009)</f>
        <v/>
      </c>
      <c r="D1009">
        <f>IF(ISBLANK('ENGAGEMENTS 2026'!C1009),"",'ENGAGEMENTS 2026'!G1009)</f>
        <v/>
      </c>
      <c r="E1009">
        <f>IF(ISBLANK('ENGAGEMENTS 2026'!C1009),"",'ENGAGEMENTS 2026'!I1009)</f>
        <v/>
      </c>
      <c r="F1009">
        <f>IF(ISBLANK('ENGAGEMENTS 2026'!C1009),"",'ENGAGEMENTS 2026'!J1009)</f>
        <v/>
      </c>
      <c r="G1009">
        <f>IF(ISBLANK('ENGAGEMENTS 2026'!C1009),"",'ENGAGEMENTS 2026'!M1009)</f>
        <v/>
      </c>
      <c r="H1009">
        <f>IF(ISBLANK('ENGAGEMENTS 2026'!C1009),"",'ENGAGEMENTS 2026'!AF1009)</f>
        <v/>
      </c>
      <c r="I1009">
        <f>IF(ISBLANK('ENGAGEMENTS 2026'!C1009),"",'ENGAGEMENTS 2026'!H1009)</f>
        <v/>
      </c>
      <c r="J1009" s="275">
        <f>IF(ISBLANK('ENGAGEMENTS 2026'!C1009),"",IF(AND(OR($E1009="INFRUCTUEUX",$E1009="ANNULE"),$C1009="AOO-M"),'ENGAGEMENTS 2026'!P1009,IF($H1009="EN COURS DE PREENGAGEMENT",'ENGAGEMENTS 2026'!O1009,IF($H1009="PREENGAGE",IF($E1009="ATTRIBUE",'ENGAGEMENTS 2026'!AE1009,'ENGAGEMENTS 2026'!O1009),'ENGAGEMENTS 2026'!AE1009))))</f>
        <v/>
      </c>
      <c r="K1009" s="604">
        <f>IF(ISBLANK('ENGAGEMENTS 2026'!W1009),"",'ENGAGEMENTS 2026'!W1009)</f>
        <v/>
      </c>
      <c r="L1009" s="276">
        <f>IF($K1009="","",TODAY()-$K1009)</f>
        <v/>
      </c>
      <c r="M1009">
        <f>IF($A1009="","",IF($H1009="ENGAGE","Engagé",IF(AND($H1009="NON ENGAGE",OR($I1009="INFRUCTUEUX",$I1009="ANNULE")),"Clôturé sans suite","En cours")))</f>
        <v/>
      </c>
      <c r="N1009">
        <f>IF(ISBLANK('ENGAGEMENTS 2026'!C1009),"",'ENGAGEMENTS 2026'!L1009)</f>
        <v/>
      </c>
      <c r="O1009">
        <f>IF(ISBLANK('ENGAGEMENTS 2026'!C1009),"",'ENGAGEMENTS 2026'!M1009)</f>
        <v/>
      </c>
      <c r="P1009">
        <f>IF(ISBLANK('ENGAGEMENTS 2026'!C1009),"",'ENGAGEMENTS 2026'!K1009)</f>
        <v/>
      </c>
      <c r="Q1009">
        <f>IF($A1009="","",IF(OR($E1009="INFRUCTUEUX",$E1009="ANNULE"),$A1009&amp;"|"&amp;(COUNTIFS($A$2:$A1009,$A1009,$E$2:$E1009,"INFRUCTUEUX")+COUNTIFS($A$2:$A1009,$A1009,$E$2:$E1009,"ANNULE")),""))</f>
        <v/>
      </c>
    </row>
    <row r="1010">
      <c r="A1010">
        <f>IF(ISBLANK('ENGAGEMENTS 2026'!C1010),"",IF('ENGAGEMENTS 2026'!C1010="DTSI","DCT",'ENGAGEMENTS 2026'!C1010))</f>
        <v/>
      </c>
      <c r="B1010">
        <f>IF(ISBLANK('ENGAGEMENTS 2026'!C1010),"",'ENGAGEMENTS 2026'!D1010)</f>
        <v/>
      </c>
      <c r="C1010">
        <f>IF(ISBLANK('ENGAGEMENTS 2026'!C1010),"",'ENGAGEMENTS 2026'!E1010)</f>
        <v/>
      </c>
      <c r="D1010">
        <f>IF(ISBLANK('ENGAGEMENTS 2026'!C1010),"",'ENGAGEMENTS 2026'!G1010)</f>
        <v/>
      </c>
      <c r="E1010">
        <f>IF(ISBLANK('ENGAGEMENTS 2026'!C1010),"",'ENGAGEMENTS 2026'!I1010)</f>
        <v/>
      </c>
      <c r="F1010">
        <f>IF(ISBLANK('ENGAGEMENTS 2026'!C1010),"",'ENGAGEMENTS 2026'!J1010)</f>
        <v/>
      </c>
      <c r="G1010">
        <f>IF(ISBLANK('ENGAGEMENTS 2026'!C1010),"",'ENGAGEMENTS 2026'!M1010)</f>
        <v/>
      </c>
      <c r="H1010">
        <f>IF(ISBLANK('ENGAGEMENTS 2026'!C1010),"",'ENGAGEMENTS 2026'!AF1010)</f>
        <v/>
      </c>
      <c r="I1010">
        <f>IF(ISBLANK('ENGAGEMENTS 2026'!C1010),"",'ENGAGEMENTS 2026'!H1010)</f>
        <v/>
      </c>
      <c r="J1010" s="275">
        <f>IF(ISBLANK('ENGAGEMENTS 2026'!C1010),"",IF(AND(OR($E1010="INFRUCTUEUX",$E1010="ANNULE"),$C1010="AOO-M"),'ENGAGEMENTS 2026'!P1010,IF($H1010="EN COURS DE PREENGAGEMENT",'ENGAGEMENTS 2026'!O1010,IF($H1010="PREENGAGE",IF($E1010="ATTRIBUE",'ENGAGEMENTS 2026'!AE1010,'ENGAGEMENTS 2026'!O1010),'ENGAGEMENTS 2026'!AE1010))))</f>
        <v/>
      </c>
      <c r="K1010" s="604">
        <f>IF(ISBLANK('ENGAGEMENTS 2026'!W1010),"",'ENGAGEMENTS 2026'!W1010)</f>
        <v/>
      </c>
      <c r="L1010" s="276">
        <f>IF($K1010="","",TODAY()-$K1010)</f>
        <v/>
      </c>
      <c r="M1010">
        <f>IF($A1010="","",IF($H1010="ENGAGE","Engagé",IF(AND($H1010="NON ENGAGE",OR($I1010="INFRUCTUEUX",$I1010="ANNULE")),"Clôturé sans suite","En cours")))</f>
        <v/>
      </c>
      <c r="N1010">
        <f>IF(ISBLANK('ENGAGEMENTS 2026'!C1010),"",'ENGAGEMENTS 2026'!L1010)</f>
        <v/>
      </c>
      <c r="O1010">
        <f>IF(ISBLANK('ENGAGEMENTS 2026'!C1010),"",'ENGAGEMENTS 2026'!M1010)</f>
        <v/>
      </c>
      <c r="P1010">
        <f>IF(ISBLANK('ENGAGEMENTS 2026'!C1010),"",'ENGAGEMENTS 2026'!K1010)</f>
        <v/>
      </c>
      <c r="Q1010">
        <f>IF($A1010="","",IF(OR($E1010="INFRUCTUEUX",$E1010="ANNULE"),$A1010&amp;"|"&amp;(COUNTIFS($A$2:$A1010,$A1010,$E$2:$E1010,"INFRUCTUEUX")+COUNTIFS($A$2:$A1010,$A1010,$E$2:$E1010,"ANNULE")),""))</f>
        <v/>
      </c>
    </row>
    <row r="1011">
      <c r="A1011">
        <f>IF(ISBLANK('ENGAGEMENTS 2026'!C1011),"",IF('ENGAGEMENTS 2026'!C1011="DTSI","DCT",'ENGAGEMENTS 2026'!C1011))</f>
        <v/>
      </c>
      <c r="B1011">
        <f>IF(ISBLANK('ENGAGEMENTS 2026'!C1011),"",'ENGAGEMENTS 2026'!D1011)</f>
        <v/>
      </c>
      <c r="C1011">
        <f>IF(ISBLANK('ENGAGEMENTS 2026'!C1011),"",'ENGAGEMENTS 2026'!E1011)</f>
        <v/>
      </c>
      <c r="D1011">
        <f>IF(ISBLANK('ENGAGEMENTS 2026'!C1011),"",'ENGAGEMENTS 2026'!G1011)</f>
        <v/>
      </c>
      <c r="E1011">
        <f>IF(ISBLANK('ENGAGEMENTS 2026'!C1011),"",'ENGAGEMENTS 2026'!I1011)</f>
        <v/>
      </c>
      <c r="F1011">
        <f>IF(ISBLANK('ENGAGEMENTS 2026'!C1011),"",'ENGAGEMENTS 2026'!J1011)</f>
        <v/>
      </c>
      <c r="G1011">
        <f>IF(ISBLANK('ENGAGEMENTS 2026'!C1011),"",'ENGAGEMENTS 2026'!M1011)</f>
        <v/>
      </c>
      <c r="H1011">
        <f>IF(ISBLANK('ENGAGEMENTS 2026'!C1011),"",'ENGAGEMENTS 2026'!AF1011)</f>
        <v/>
      </c>
      <c r="I1011">
        <f>IF(ISBLANK('ENGAGEMENTS 2026'!C1011),"",'ENGAGEMENTS 2026'!H1011)</f>
        <v/>
      </c>
      <c r="J1011" s="275">
        <f>IF(ISBLANK('ENGAGEMENTS 2026'!C1011),"",IF(AND(OR($E1011="INFRUCTUEUX",$E1011="ANNULE"),$C1011="AOO-M"),'ENGAGEMENTS 2026'!P1011,IF($H1011="EN COURS DE PREENGAGEMENT",'ENGAGEMENTS 2026'!O1011,IF($H1011="PREENGAGE",IF($E1011="ATTRIBUE",'ENGAGEMENTS 2026'!AE1011,'ENGAGEMENTS 2026'!O1011),'ENGAGEMENTS 2026'!AE1011))))</f>
        <v/>
      </c>
      <c r="K1011" s="604">
        <f>IF(ISBLANK('ENGAGEMENTS 2026'!W1011),"",'ENGAGEMENTS 2026'!W1011)</f>
        <v/>
      </c>
      <c r="L1011" s="276">
        <f>IF($K1011="","",TODAY()-$K1011)</f>
        <v/>
      </c>
      <c r="M1011">
        <f>IF($A1011="","",IF($H1011="ENGAGE","Engagé",IF(AND($H1011="NON ENGAGE",OR($I1011="INFRUCTUEUX",$I1011="ANNULE")),"Clôturé sans suite","En cours")))</f>
        <v/>
      </c>
      <c r="N1011">
        <f>IF(ISBLANK('ENGAGEMENTS 2026'!C1011),"",'ENGAGEMENTS 2026'!L1011)</f>
        <v/>
      </c>
      <c r="O1011">
        <f>IF(ISBLANK('ENGAGEMENTS 2026'!C1011),"",'ENGAGEMENTS 2026'!M1011)</f>
        <v/>
      </c>
      <c r="P1011">
        <f>IF(ISBLANK('ENGAGEMENTS 2026'!C1011),"",'ENGAGEMENTS 2026'!K1011)</f>
        <v/>
      </c>
      <c r="Q1011">
        <f>IF($A1011="","",IF(OR($E1011="INFRUCTUEUX",$E1011="ANNULE"),$A1011&amp;"|"&amp;(COUNTIFS($A$2:$A1011,$A1011,$E$2:$E1011,"INFRUCTUEUX")+COUNTIFS($A$2:$A1011,$A1011,$E$2:$E1011,"ANNULE")),""))</f>
        <v/>
      </c>
    </row>
    <row r="1012">
      <c r="A1012">
        <f>IF(ISBLANK('ENGAGEMENTS 2026'!C1012),"",IF('ENGAGEMENTS 2026'!C1012="DTSI","DCT",'ENGAGEMENTS 2026'!C1012))</f>
        <v/>
      </c>
      <c r="B1012">
        <f>IF(ISBLANK('ENGAGEMENTS 2026'!C1012),"",'ENGAGEMENTS 2026'!D1012)</f>
        <v/>
      </c>
      <c r="C1012">
        <f>IF(ISBLANK('ENGAGEMENTS 2026'!C1012),"",'ENGAGEMENTS 2026'!E1012)</f>
        <v/>
      </c>
      <c r="D1012">
        <f>IF(ISBLANK('ENGAGEMENTS 2026'!C1012),"",'ENGAGEMENTS 2026'!G1012)</f>
        <v/>
      </c>
      <c r="E1012">
        <f>IF(ISBLANK('ENGAGEMENTS 2026'!C1012),"",'ENGAGEMENTS 2026'!I1012)</f>
        <v/>
      </c>
      <c r="F1012">
        <f>IF(ISBLANK('ENGAGEMENTS 2026'!C1012),"",'ENGAGEMENTS 2026'!J1012)</f>
        <v/>
      </c>
      <c r="G1012">
        <f>IF(ISBLANK('ENGAGEMENTS 2026'!C1012),"",'ENGAGEMENTS 2026'!M1012)</f>
        <v/>
      </c>
      <c r="H1012">
        <f>IF(ISBLANK('ENGAGEMENTS 2026'!C1012),"",'ENGAGEMENTS 2026'!AF1012)</f>
        <v/>
      </c>
      <c r="I1012">
        <f>IF(ISBLANK('ENGAGEMENTS 2026'!C1012),"",'ENGAGEMENTS 2026'!H1012)</f>
        <v/>
      </c>
      <c r="J1012" s="275">
        <f>IF(ISBLANK('ENGAGEMENTS 2026'!C1012),"",IF(AND(OR($E1012="INFRUCTUEUX",$E1012="ANNULE"),$C1012="AOO-M"),'ENGAGEMENTS 2026'!P1012,IF($H1012="EN COURS DE PREENGAGEMENT",'ENGAGEMENTS 2026'!O1012,IF($H1012="PREENGAGE",IF($E1012="ATTRIBUE",'ENGAGEMENTS 2026'!AE1012,'ENGAGEMENTS 2026'!O1012),'ENGAGEMENTS 2026'!AE1012))))</f>
        <v/>
      </c>
      <c r="K1012" s="604">
        <f>IF(ISBLANK('ENGAGEMENTS 2026'!W1012),"",'ENGAGEMENTS 2026'!W1012)</f>
        <v/>
      </c>
      <c r="L1012" s="276">
        <f>IF($K1012="","",TODAY()-$K1012)</f>
        <v/>
      </c>
      <c r="M1012">
        <f>IF($A1012="","",IF($H1012="ENGAGE","Engagé",IF(AND($H1012="NON ENGAGE",OR($I1012="INFRUCTUEUX",$I1012="ANNULE")),"Clôturé sans suite","En cours")))</f>
        <v/>
      </c>
      <c r="N1012">
        <f>IF(ISBLANK('ENGAGEMENTS 2026'!C1012),"",'ENGAGEMENTS 2026'!L1012)</f>
        <v/>
      </c>
      <c r="O1012">
        <f>IF(ISBLANK('ENGAGEMENTS 2026'!C1012),"",'ENGAGEMENTS 2026'!M1012)</f>
        <v/>
      </c>
      <c r="P1012">
        <f>IF(ISBLANK('ENGAGEMENTS 2026'!C1012),"",'ENGAGEMENTS 2026'!K1012)</f>
        <v/>
      </c>
      <c r="Q1012">
        <f>IF($A1012="","",IF(OR($E1012="INFRUCTUEUX",$E1012="ANNULE"),$A1012&amp;"|"&amp;(COUNTIFS($A$2:$A1012,$A1012,$E$2:$E1012,"INFRUCTUEUX")+COUNTIFS($A$2:$A1012,$A1012,$E$2:$E1012,"ANNULE")),""))</f>
        <v/>
      </c>
    </row>
    <row r="1013">
      <c r="A1013">
        <f>IF(ISBLANK('ENGAGEMENTS 2026'!C1013),"",IF('ENGAGEMENTS 2026'!C1013="DTSI","DCT",'ENGAGEMENTS 2026'!C1013))</f>
        <v/>
      </c>
      <c r="B1013">
        <f>IF(ISBLANK('ENGAGEMENTS 2026'!C1013),"",'ENGAGEMENTS 2026'!D1013)</f>
        <v/>
      </c>
      <c r="C1013">
        <f>IF(ISBLANK('ENGAGEMENTS 2026'!C1013),"",'ENGAGEMENTS 2026'!E1013)</f>
        <v/>
      </c>
      <c r="D1013">
        <f>IF(ISBLANK('ENGAGEMENTS 2026'!C1013),"",'ENGAGEMENTS 2026'!G1013)</f>
        <v/>
      </c>
      <c r="E1013">
        <f>IF(ISBLANK('ENGAGEMENTS 2026'!C1013),"",'ENGAGEMENTS 2026'!I1013)</f>
        <v/>
      </c>
      <c r="F1013">
        <f>IF(ISBLANK('ENGAGEMENTS 2026'!C1013),"",'ENGAGEMENTS 2026'!J1013)</f>
        <v/>
      </c>
      <c r="G1013">
        <f>IF(ISBLANK('ENGAGEMENTS 2026'!C1013),"",'ENGAGEMENTS 2026'!M1013)</f>
        <v/>
      </c>
      <c r="H1013">
        <f>IF(ISBLANK('ENGAGEMENTS 2026'!C1013),"",'ENGAGEMENTS 2026'!AF1013)</f>
        <v/>
      </c>
      <c r="I1013">
        <f>IF(ISBLANK('ENGAGEMENTS 2026'!C1013),"",'ENGAGEMENTS 2026'!H1013)</f>
        <v/>
      </c>
      <c r="J1013" s="275">
        <f>IF(ISBLANK('ENGAGEMENTS 2026'!C1013),"",IF(AND(OR($E1013="INFRUCTUEUX",$E1013="ANNULE"),$C1013="AOO-M"),'ENGAGEMENTS 2026'!P1013,IF($H1013="EN COURS DE PREENGAGEMENT",'ENGAGEMENTS 2026'!O1013,IF($H1013="PREENGAGE",IF($E1013="ATTRIBUE",'ENGAGEMENTS 2026'!AE1013,'ENGAGEMENTS 2026'!O1013),'ENGAGEMENTS 2026'!AE1013))))</f>
        <v/>
      </c>
      <c r="K1013" s="604">
        <f>IF(ISBLANK('ENGAGEMENTS 2026'!W1013),"",'ENGAGEMENTS 2026'!W1013)</f>
        <v/>
      </c>
      <c r="L1013" s="276">
        <f>IF($K1013="","",TODAY()-$K1013)</f>
        <v/>
      </c>
      <c r="M1013">
        <f>IF($A1013="","",IF($H1013="ENGAGE","Engagé",IF(AND($H1013="NON ENGAGE",OR($I1013="INFRUCTUEUX",$I1013="ANNULE")),"Clôturé sans suite","En cours")))</f>
        <v/>
      </c>
      <c r="N1013">
        <f>IF(ISBLANK('ENGAGEMENTS 2026'!C1013),"",'ENGAGEMENTS 2026'!L1013)</f>
        <v/>
      </c>
      <c r="O1013">
        <f>IF(ISBLANK('ENGAGEMENTS 2026'!C1013),"",'ENGAGEMENTS 2026'!M1013)</f>
        <v/>
      </c>
      <c r="P1013">
        <f>IF(ISBLANK('ENGAGEMENTS 2026'!C1013),"",'ENGAGEMENTS 2026'!K1013)</f>
        <v/>
      </c>
      <c r="Q1013">
        <f>IF($A1013="","",IF(OR($E1013="INFRUCTUEUX",$E1013="ANNULE"),$A1013&amp;"|"&amp;(COUNTIFS($A$2:$A1013,$A1013,$E$2:$E1013,"INFRUCTUEUX")+COUNTIFS($A$2:$A1013,$A1013,$E$2:$E1013,"ANNULE")),""))</f>
        <v/>
      </c>
    </row>
    <row r="1014">
      <c r="A1014">
        <f>IF(ISBLANK('ENGAGEMENTS 2026'!C1014),"",IF('ENGAGEMENTS 2026'!C1014="DTSI","DCT",'ENGAGEMENTS 2026'!C1014))</f>
        <v/>
      </c>
      <c r="B1014">
        <f>IF(ISBLANK('ENGAGEMENTS 2026'!C1014),"",'ENGAGEMENTS 2026'!D1014)</f>
        <v/>
      </c>
      <c r="C1014">
        <f>IF(ISBLANK('ENGAGEMENTS 2026'!C1014),"",'ENGAGEMENTS 2026'!E1014)</f>
        <v/>
      </c>
      <c r="D1014">
        <f>IF(ISBLANK('ENGAGEMENTS 2026'!C1014),"",'ENGAGEMENTS 2026'!G1014)</f>
        <v/>
      </c>
      <c r="E1014">
        <f>IF(ISBLANK('ENGAGEMENTS 2026'!C1014),"",'ENGAGEMENTS 2026'!I1014)</f>
        <v/>
      </c>
      <c r="F1014">
        <f>IF(ISBLANK('ENGAGEMENTS 2026'!C1014),"",'ENGAGEMENTS 2026'!J1014)</f>
        <v/>
      </c>
      <c r="G1014">
        <f>IF(ISBLANK('ENGAGEMENTS 2026'!C1014),"",'ENGAGEMENTS 2026'!M1014)</f>
        <v/>
      </c>
      <c r="H1014">
        <f>IF(ISBLANK('ENGAGEMENTS 2026'!C1014),"",'ENGAGEMENTS 2026'!AF1014)</f>
        <v/>
      </c>
      <c r="I1014">
        <f>IF(ISBLANK('ENGAGEMENTS 2026'!C1014),"",'ENGAGEMENTS 2026'!H1014)</f>
        <v/>
      </c>
      <c r="J1014" s="275">
        <f>IF(ISBLANK('ENGAGEMENTS 2026'!C1014),"",IF(AND(OR($E1014="INFRUCTUEUX",$E1014="ANNULE"),$C1014="AOO-M"),'ENGAGEMENTS 2026'!P1014,IF($H1014="EN COURS DE PREENGAGEMENT",'ENGAGEMENTS 2026'!O1014,IF($H1014="PREENGAGE",IF($E1014="ATTRIBUE",'ENGAGEMENTS 2026'!AE1014,'ENGAGEMENTS 2026'!O1014),'ENGAGEMENTS 2026'!AE1014))))</f>
        <v/>
      </c>
      <c r="K1014" s="604">
        <f>IF(ISBLANK('ENGAGEMENTS 2026'!W1014),"",'ENGAGEMENTS 2026'!W1014)</f>
        <v/>
      </c>
      <c r="L1014" s="276">
        <f>IF($K1014="","",TODAY()-$K1014)</f>
        <v/>
      </c>
      <c r="M1014">
        <f>IF($A1014="","",IF($H1014="ENGAGE","Engagé",IF(AND($H1014="NON ENGAGE",OR($I1014="INFRUCTUEUX",$I1014="ANNULE")),"Clôturé sans suite","En cours")))</f>
        <v/>
      </c>
      <c r="N1014">
        <f>IF(ISBLANK('ENGAGEMENTS 2026'!C1014),"",'ENGAGEMENTS 2026'!L1014)</f>
        <v/>
      </c>
      <c r="O1014">
        <f>IF(ISBLANK('ENGAGEMENTS 2026'!C1014),"",'ENGAGEMENTS 2026'!M1014)</f>
        <v/>
      </c>
      <c r="P1014">
        <f>IF(ISBLANK('ENGAGEMENTS 2026'!C1014),"",'ENGAGEMENTS 2026'!K1014)</f>
        <v/>
      </c>
      <c r="Q1014">
        <f>IF($A1014="","",IF(OR($E1014="INFRUCTUEUX",$E1014="ANNULE"),$A1014&amp;"|"&amp;(COUNTIFS($A$2:$A1014,$A1014,$E$2:$E1014,"INFRUCTUEUX")+COUNTIFS($A$2:$A1014,$A1014,$E$2:$E1014,"ANNULE")),""))</f>
        <v/>
      </c>
    </row>
    <row r="1015">
      <c r="A1015">
        <f>IF(ISBLANK('ENGAGEMENTS 2026'!C1015),"",IF('ENGAGEMENTS 2026'!C1015="DTSI","DCT",'ENGAGEMENTS 2026'!C1015))</f>
        <v/>
      </c>
      <c r="B1015">
        <f>IF(ISBLANK('ENGAGEMENTS 2026'!C1015),"",'ENGAGEMENTS 2026'!D1015)</f>
        <v/>
      </c>
      <c r="C1015">
        <f>IF(ISBLANK('ENGAGEMENTS 2026'!C1015),"",'ENGAGEMENTS 2026'!E1015)</f>
        <v/>
      </c>
      <c r="D1015">
        <f>IF(ISBLANK('ENGAGEMENTS 2026'!C1015),"",'ENGAGEMENTS 2026'!G1015)</f>
        <v/>
      </c>
      <c r="E1015">
        <f>IF(ISBLANK('ENGAGEMENTS 2026'!C1015),"",'ENGAGEMENTS 2026'!I1015)</f>
        <v/>
      </c>
      <c r="F1015">
        <f>IF(ISBLANK('ENGAGEMENTS 2026'!C1015),"",'ENGAGEMENTS 2026'!J1015)</f>
        <v/>
      </c>
      <c r="G1015">
        <f>IF(ISBLANK('ENGAGEMENTS 2026'!C1015),"",'ENGAGEMENTS 2026'!M1015)</f>
        <v/>
      </c>
      <c r="H1015">
        <f>IF(ISBLANK('ENGAGEMENTS 2026'!C1015),"",'ENGAGEMENTS 2026'!AF1015)</f>
        <v/>
      </c>
      <c r="I1015">
        <f>IF(ISBLANK('ENGAGEMENTS 2026'!C1015),"",'ENGAGEMENTS 2026'!H1015)</f>
        <v/>
      </c>
      <c r="J1015" s="275">
        <f>IF(ISBLANK('ENGAGEMENTS 2026'!C1015),"",IF(AND(OR($E1015="INFRUCTUEUX",$E1015="ANNULE"),$C1015="AOO-M"),'ENGAGEMENTS 2026'!P1015,IF($H1015="EN COURS DE PREENGAGEMENT",'ENGAGEMENTS 2026'!O1015,IF($H1015="PREENGAGE",IF($E1015="ATTRIBUE",'ENGAGEMENTS 2026'!AE1015,'ENGAGEMENTS 2026'!O1015),'ENGAGEMENTS 2026'!AE1015))))</f>
        <v/>
      </c>
      <c r="K1015" s="604">
        <f>IF(ISBLANK('ENGAGEMENTS 2026'!W1015),"",'ENGAGEMENTS 2026'!W1015)</f>
        <v/>
      </c>
      <c r="L1015" s="276">
        <f>IF($K1015="","",TODAY()-$K1015)</f>
        <v/>
      </c>
      <c r="M1015">
        <f>IF($A1015="","",IF($H1015="ENGAGE","Engagé",IF(AND($H1015="NON ENGAGE",OR($I1015="INFRUCTUEUX",$I1015="ANNULE")),"Clôturé sans suite","En cours")))</f>
        <v/>
      </c>
      <c r="N1015">
        <f>IF(ISBLANK('ENGAGEMENTS 2026'!C1015),"",'ENGAGEMENTS 2026'!L1015)</f>
        <v/>
      </c>
      <c r="O1015">
        <f>IF(ISBLANK('ENGAGEMENTS 2026'!C1015),"",'ENGAGEMENTS 2026'!M1015)</f>
        <v/>
      </c>
      <c r="P1015">
        <f>IF(ISBLANK('ENGAGEMENTS 2026'!C1015),"",'ENGAGEMENTS 2026'!K1015)</f>
        <v/>
      </c>
      <c r="Q1015">
        <f>IF($A1015="","",IF(OR($E1015="INFRUCTUEUX",$E1015="ANNULE"),$A1015&amp;"|"&amp;(COUNTIFS($A$2:$A1015,$A1015,$E$2:$E1015,"INFRUCTUEUX")+COUNTIFS($A$2:$A1015,$A1015,$E$2:$E1015,"ANNULE")),""))</f>
        <v/>
      </c>
    </row>
    <row r="1016">
      <c r="A1016">
        <f>IF(ISBLANK('ENGAGEMENTS 2026'!C1016),"",IF('ENGAGEMENTS 2026'!C1016="DTSI","DCT",'ENGAGEMENTS 2026'!C1016))</f>
        <v/>
      </c>
      <c r="B1016">
        <f>IF(ISBLANK('ENGAGEMENTS 2026'!C1016),"",'ENGAGEMENTS 2026'!D1016)</f>
        <v/>
      </c>
      <c r="C1016">
        <f>IF(ISBLANK('ENGAGEMENTS 2026'!C1016),"",'ENGAGEMENTS 2026'!E1016)</f>
        <v/>
      </c>
      <c r="D1016">
        <f>IF(ISBLANK('ENGAGEMENTS 2026'!C1016),"",'ENGAGEMENTS 2026'!G1016)</f>
        <v/>
      </c>
      <c r="E1016">
        <f>IF(ISBLANK('ENGAGEMENTS 2026'!C1016),"",'ENGAGEMENTS 2026'!I1016)</f>
        <v/>
      </c>
      <c r="F1016">
        <f>IF(ISBLANK('ENGAGEMENTS 2026'!C1016),"",'ENGAGEMENTS 2026'!J1016)</f>
        <v/>
      </c>
      <c r="G1016">
        <f>IF(ISBLANK('ENGAGEMENTS 2026'!C1016),"",'ENGAGEMENTS 2026'!M1016)</f>
        <v/>
      </c>
      <c r="H1016">
        <f>IF(ISBLANK('ENGAGEMENTS 2026'!C1016),"",'ENGAGEMENTS 2026'!AF1016)</f>
        <v/>
      </c>
      <c r="I1016">
        <f>IF(ISBLANK('ENGAGEMENTS 2026'!C1016),"",'ENGAGEMENTS 2026'!H1016)</f>
        <v/>
      </c>
      <c r="J1016" s="275">
        <f>IF(ISBLANK('ENGAGEMENTS 2026'!C1016),"",IF(AND(OR($E1016="INFRUCTUEUX",$E1016="ANNULE"),$C1016="AOO-M"),'ENGAGEMENTS 2026'!P1016,IF($H1016="EN COURS DE PREENGAGEMENT",'ENGAGEMENTS 2026'!O1016,IF($H1016="PREENGAGE",IF($E1016="ATTRIBUE",'ENGAGEMENTS 2026'!AE1016,'ENGAGEMENTS 2026'!O1016),'ENGAGEMENTS 2026'!AE1016))))</f>
        <v/>
      </c>
      <c r="K1016" s="604">
        <f>IF(ISBLANK('ENGAGEMENTS 2026'!W1016),"",'ENGAGEMENTS 2026'!W1016)</f>
        <v/>
      </c>
      <c r="L1016" s="276">
        <f>IF($K1016="","",TODAY()-$K1016)</f>
        <v/>
      </c>
      <c r="M1016">
        <f>IF($A1016="","",IF($H1016="ENGAGE","Engagé",IF(AND($H1016="NON ENGAGE",OR($I1016="INFRUCTUEUX",$I1016="ANNULE")),"Clôturé sans suite","En cours")))</f>
        <v/>
      </c>
      <c r="N1016">
        <f>IF(ISBLANK('ENGAGEMENTS 2026'!C1016),"",'ENGAGEMENTS 2026'!L1016)</f>
        <v/>
      </c>
      <c r="O1016">
        <f>IF(ISBLANK('ENGAGEMENTS 2026'!C1016),"",'ENGAGEMENTS 2026'!M1016)</f>
        <v/>
      </c>
      <c r="P1016">
        <f>IF(ISBLANK('ENGAGEMENTS 2026'!C1016),"",'ENGAGEMENTS 2026'!K1016)</f>
        <v/>
      </c>
      <c r="Q1016">
        <f>IF($A1016="","",IF(OR($E1016="INFRUCTUEUX",$E1016="ANNULE"),$A1016&amp;"|"&amp;(COUNTIFS($A$2:$A1016,$A1016,$E$2:$E1016,"INFRUCTUEUX")+COUNTIFS($A$2:$A1016,$A1016,$E$2:$E1016,"ANNULE")),""))</f>
        <v/>
      </c>
    </row>
    <row r="1017">
      <c r="A1017">
        <f>IF(ISBLANK('ENGAGEMENTS 2026'!C1017),"",IF('ENGAGEMENTS 2026'!C1017="DTSI","DCT",'ENGAGEMENTS 2026'!C1017))</f>
        <v/>
      </c>
      <c r="B1017">
        <f>IF(ISBLANK('ENGAGEMENTS 2026'!C1017),"",'ENGAGEMENTS 2026'!D1017)</f>
        <v/>
      </c>
      <c r="C1017">
        <f>IF(ISBLANK('ENGAGEMENTS 2026'!C1017),"",'ENGAGEMENTS 2026'!E1017)</f>
        <v/>
      </c>
      <c r="D1017">
        <f>IF(ISBLANK('ENGAGEMENTS 2026'!C1017),"",'ENGAGEMENTS 2026'!G1017)</f>
        <v/>
      </c>
      <c r="E1017">
        <f>IF(ISBLANK('ENGAGEMENTS 2026'!C1017),"",'ENGAGEMENTS 2026'!I1017)</f>
        <v/>
      </c>
      <c r="F1017">
        <f>IF(ISBLANK('ENGAGEMENTS 2026'!C1017),"",'ENGAGEMENTS 2026'!J1017)</f>
        <v/>
      </c>
      <c r="G1017">
        <f>IF(ISBLANK('ENGAGEMENTS 2026'!C1017),"",'ENGAGEMENTS 2026'!M1017)</f>
        <v/>
      </c>
      <c r="H1017">
        <f>IF(ISBLANK('ENGAGEMENTS 2026'!C1017),"",'ENGAGEMENTS 2026'!AF1017)</f>
        <v/>
      </c>
      <c r="I1017">
        <f>IF(ISBLANK('ENGAGEMENTS 2026'!C1017),"",'ENGAGEMENTS 2026'!H1017)</f>
        <v/>
      </c>
      <c r="J1017" s="275">
        <f>IF(ISBLANK('ENGAGEMENTS 2026'!C1017),"",IF(AND(OR($E1017="INFRUCTUEUX",$E1017="ANNULE"),$C1017="AOO-M"),'ENGAGEMENTS 2026'!P1017,IF($H1017="EN COURS DE PREENGAGEMENT",'ENGAGEMENTS 2026'!O1017,IF($H1017="PREENGAGE",IF($E1017="ATTRIBUE",'ENGAGEMENTS 2026'!AE1017,'ENGAGEMENTS 2026'!O1017),'ENGAGEMENTS 2026'!AE1017))))</f>
        <v/>
      </c>
      <c r="K1017" s="604">
        <f>IF(ISBLANK('ENGAGEMENTS 2026'!W1017),"",'ENGAGEMENTS 2026'!W1017)</f>
        <v/>
      </c>
      <c r="L1017" s="276">
        <f>IF($K1017="","",TODAY()-$K1017)</f>
        <v/>
      </c>
      <c r="M1017">
        <f>IF($A1017="","",IF($H1017="ENGAGE","Engagé",IF(AND($H1017="NON ENGAGE",OR($I1017="INFRUCTUEUX",$I1017="ANNULE")),"Clôturé sans suite","En cours")))</f>
        <v/>
      </c>
      <c r="N1017">
        <f>IF(ISBLANK('ENGAGEMENTS 2026'!C1017),"",'ENGAGEMENTS 2026'!L1017)</f>
        <v/>
      </c>
      <c r="O1017">
        <f>IF(ISBLANK('ENGAGEMENTS 2026'!C1017),"",'ENGAGEMENTS 2026'!M1017)</f>
        <v/>
      </c>
      <c r="P1017">
        <f>IF(ISBLANK('ENGAGEMENTS 2026'!C1017),"",'ENGAGEMENTS 2026'!K1017)</f>
        <v/>
      </c>
      <c r="Q1017">
        <f>IF($A1017="","",IF(OR($E1017="INFRUCTUEUX",$E1017="ANNULE"),$A1017&amp;"|"&amp;(COUNTIFS($A$2:$A1017,$A1017,$E$2:$E1017,"INFRUCTUEUX")+COUNTIFS($A$2:$A1017,$A1017,$E$2:$E1017,"ANNULE")),""))</f>
        <v/>
      </c>
    </row>
    <row r="1018">
      <c r="A1018">
        <f>IF(ISBLANK('ENGAGEMENTS 2026'!C1018),"",IF('ENGAGEMENTS 2026'!C1018="DTSI","DCT",'ENGAGEMENTS 2026'!C1018))</f>
        <v/>
      </c>
      <c r="B1018">
        <f>IF(ISBLANK('ENGAGEMENTS 2026'!C1018),"",'ENGAGEMENTS 2026'!D1018)</f>
        <v/>
      </c>
      <c r="C1018">
        <f>IF(ISBLANK('ENGAGEMENTS 2026'!C1018),"",'ENGAGEMENTS 2026'!E1018)</f>
        <v/>
      </c>
      <c r="D1018">
        <f>IF(ISBLANK('ENGAGEMENTS 2026'!C1018),"",'ENGAGEMENTS 2026'!G1018)</f>
        <v/>
      </c>
      <c r="E1018">
        <f>IF(ISBLANK('ENGAGEMENTS 2026'!C1018),"",'ENGAGEMENTS 2026'!I1018)</f>
        <v/>
      </c>
      <c r="F1018">
        <f>IF(ISBLANK('ENGAGEMENTS 2026'!C1018),"",'ENGAGEMENTS 2026'!J1018)</f>
        <v/>
      </c>
      <c r="G1018">
        <f>IF(ISBLANK('ENGAGEMENTS 2026'!C1018),"",'ENGAGEMENTS 2026'!M1018)</f>
        <v/>
      </c>
      <c r="H1018">
        <f>IF(ISBLANK('ENGAGEMENTS 2026'!C1018),"",'ENGAGEMENTS 2026'!AF1018)</f>
        <v/>
      </c>
      <c r="I1018">
        <f>IF(ISBLANK('ENGAGEMENTS 2026'!C1018),"",'ENGAGEMENTS 2026'!H1018)</f>
        <v/>
      </c>
      <c r="J1018" s="275">
        <f>IF(ISBLANK('ENGAGEMENTS 2026'!C1018),"",IF(AND(OR($E1018="INFRUCTUEUX",$E1018="ANNULE"),$C1018="AOO-M"),'ENGAGEMENTS 2026'!P1018,IF($H1018="EN COURS DE PREENGAGEMENT",'ENGAGEMENTS 2026'!O1018,IF($H1018="PREENGAGE",IF($E1018="ATTRIBUE",'ENGAGEMENTS 2026'!AE1018,'ENGAGEMENTS 2026'!O1018),'ENGAGEMENTS 2026'!AE1018))))</f>
        <v/>
      </c>
      <c r="K1018" s="604">
        <f>IF(ISBLANK('ENGAGEMENTS 2026'!W1018),"",'ENGAGEMENTS 2026'!W1018)</f>
        <v/>
      </c>
      <c r="L1018" s="276">
        <f>IF($K1018="","",TODAY()-$K1018)</f>
        <v/>
      </c>
      <c r="M1018">
        <f>IF($A1018="","",IF($H1018="ENGAGE","Engagé",IF(AND($H1018="NON ENGAGE",OR($I1018="INFRUCTUEUX",$I1018="ANNULE")),"Clôturé sans suite","En cours")))</f>
        <v/>
      </c>
      <c r="N1018">
        <f>IF(ISBLANK('ENGAGEMENTS 2026'!C1018),"",'ENGAGEMENTS 2026'!L1018)</f>
        <v/>
      </c>
      <c r="O1018">
        <f>IF(ISBLANK('ENGAGEMENTS 2026'!C1018),"",'ENGAGEMENTS 2026'!M1018)</f>
        <v/>
      </c>
      <c r="P1018">
        <f>IF(ISBLANK('ENGAGEMENTS 2026'!C1018),"",'ENGAGEMENTS 2026'!K1018)</f>
        <v/>
      </c>
      <c r="Q1018">
        <f>IF($A1018="","",IF(OR($E1018="INFRUCTUEUX",$E1018="ANNULE"),$A1018&amp;"|"&amp;(COUNTIFS($A$2:$A1018,$A1018,$E$2:$E1018,"INFRUCTUEUX")+COUNTIFS($A$2:$A1018,$A1018,$E$2:$E1018,"ANNULE")),""))</f>
        <v/>
      </c>
    </row>
    <row r="1019">
      <c r="A1019">
        <f>IF(ISBLANK('ENGAGEMENTS 2026'!C1019),"",IF('ENGAGEMENTS 2026'!C1019="DTSI","DCT",'ENGAGEMENTS 2026'!C1019))</f>
        <v/>
      </c>
      <c r="B1019">
        <f>IF(ISBLANK('ENGAGEMENTS 2026'!C1019),"",'ENGAGEMENTS 2026'!D1019)</f>
        <v/>
      </c>
      <c r="C1019">
        <f>IF(ISBLANK('ENGAGEMENTS 2026'!C1019),"",'ENGAGEMENTS 2026'!E1019)</f>
        <v/>
      </c>
      <c r="D1019">
        <f>IF(ISBLANK('ENGAGEMENTS 2026'!C1019),"",'ENGAGEMENTS 2026'!G1019)</f>
        <v/>
      </c>
      <c r="E1019">
        <f>IF(ISBLANK('ENGAGEMENTS 2026'!C1019),"",'ENGAGEMENTS 2026'!I1019)</f>
        <v/>
      </c>
      <c r="F1019">
        <f>IF(ISBLANK('ENGAGEMENTS 2026'!C1019),"",'ENGAGEMENTS 2026'!J1019)</f>
        <v/>
      </c>
      <c r="G1019">
        <f>IF(ISBLANK('ENGAGEMENTS 2026'!C1019),"",'ENGAGEMENTS 2026'!M1019)</f>
        <v/>
      </c>
      <c r="H1019">
        <f>IF(ISBLANK('ENGAGEMENTS 2026'!C1019),"",'ENGAGEMENTS 2026'!AF1019)</f>
        <v/>
      </c>
      <c r="I1019">
        <f>IF(ISBLANK('ENGAGEMENTS 2026'!C1019),"",'ENGAGEMENTS 2026'!H1019)</f>
        <v/>
      </c>
      <c r="J1019" s="275">
        <f>IF(ISBLANK('ENGAGEMENTS 2026'!C1019),"",IF(AND(OR($E1019="INFRUCTUEUX",$E1019="ANNULE"),$C1019="AOO-M"),'ENGAGEMENTS 2026'!P1019,IF($H1019="EN COURS DE PREENGAGEMENT",'ENGAGEMENTS 2026'!O1019,IF($H1019="PREENGAGE",IF($E1019="ATTRIBUE",'ENGAGEMENTS 2026'!AE1019,'ENGAGEMENTS 2026'!O1019),'ENGAGEMENTS 2026'!AE1019))))</f>
        <v/>
      </c>
      <c r="K1019" s="604">
        <f>IF(ISBLANK('ENGAGEMENTS 2026'!W1019),"",'ENGAGEMENTS 2026'!W1019)</f>
        <v/>
      </c>
      <c r="L1019" s="276">
        <f>IF($K1019="","",TODAY()-$K1019)</f>
        <v/>
      </c>
      <c r="M1019">
        <f>IF($A1019="","",IF($H1019="ENGAGE","Engagé",IF(AND($H1019="NON ENGAGE",OR($I1019="INFRUCTUEUX",$I1019="ANNULE")),"Clôturé sans suite","En cours")))</f>
        <v/>
      </c>
      <c r="N1019">
        <f>IF(ISBLANK('ENGAGEMENTS 2026'!C1019),"",'ENGAGEMENTS 2026'!L1019)</f>
        <v/>
      </c>
      <c r="O1019">
        <f>IF(ISBLANK('ENGAGEMENTS 2026'!C1019),"",'ENGAGEMENTS 2026'!M1019)</f>
        <v/>
      </c>
      <c r="P1019">
        <f>IF(ISBLANK('ENGAGEMENTS 2026'!C1019),"",'ENGAGEMENTS 2026'!K1019)</f>
        <v/>
      </c>
      <c r="Q1019">
        <f>IF($A1019="","",IF(OR($E1019="INFRUCTUEUX",$E1019="ANNULE"),$A1019&amp;"|"&amp;(COUNTIFS($A$2:$A1019,$A1019,$E$2:$E1019,"INFRUCTUEUX")+COUNTIFS($A$2:$A1019,$A1019,$E$2:$E1019,"ANNULE")),""))</f>
        <v/>
      </c>
    </row>
    <row r="1020">
      <c r="A1020">
        <f>IF(ISBLANK('ENGAGEMENTS 2026'!C1020),"",IF('ENGAGEMENTS 2026'!C1020="DTSI","DCT",'ENGAGEMENTS 2026'!C1020))</f>
        <v/>
      </c>
      <c r="B1020">
        <f>IF(ISBLANK('ENGAGEMENTS 2026'!C1020),"",'ENGAGEMENTS 2026'!D1020)</f>
        <v/>
      </c>
      <c r="C1020">
        <f>IF(ISBLANK('ENGAGEMENTS 2026'!C1020),"",'ENGAGEMENTS 2026'!E1020)</f>
        <v/>
      </c>
      <c r="D1020">
        <f>IF(ISBLANK('ENGAGEMENTS 2026'!C1020),"",'ENGAGEMENTS 2026'!G1020)</f>
        <v/>
      </c>
      <c r="E1020">
        <f>IF(ISBLANK('ENGAGEMENTS 2026'!C1020),"",'ENGAGEMENTS 2026'!I1020)</f>
        <v/>
      </c>
      <c r="F1020">
        <f>IF(ISBLANK('ENGAGEMENTS 2026'!C1020),"",'ENGAGEMENTS 2026'!J1020)</f>
        <v/>
      </c>
      <c r="G1020">
        <f>IF(ISBLANK('ENGAGEMENTS 2026'!C1020),"",'ENGAGEMENTS 2026'!M1020)</f>
        <v/>
      </c>
      <c r="H1020">
        <f>IF(ISBLANK('ENGAGEMENTS 2026'!C1020),"",'ENGAGEMENTS 2026'!AF1020)</f>
        <v/>
      </c>
      <c r="I1020">
        <f>IF(ISBLANK('ENGAGEMENTS 2026'!C1020),"",'ENGAGEMENTS 2026'!H1020)</f>
        <v/>
      </c>
      <c r="J1020" s="275">
        <f>IF(ISBLANK('ENGAGEMENTS 2026'!C1020),"",IF(AND(OR($E1020="INFRUCTUEUX",$E1020="ANNULE"),$C1020="AOO-M"),'ENGAGEMENTS 2026'!P1020,IF($H1020="EN COURS DE PREENGAGEMENT",'ENGAGEMENTS 2026'!O1020,IF($H1020="PREENGAGE",IF($E1020="ATTRIBUE",'ENGAGEMENTS 2026'!AE1020,'ENGAGEMENTS 2026'!O1020),'ENGAGEMENTS 2026'!AE1020))))</f>
        <v/>
      </c>
      <c r="K1020" s="604">
        <f>IF(ISBLANK('ENGAGEMENTS 2026'!W1020),"",'ENGAGEMENTS 2026'!W1020)</f>
        <v/>
      </c>
      <c r="L1020" s="276">
        <f>IF($K1020="","",TODAY()-$K1020)</f>
        <v/>
      </c>
      <c r="M1020">
        <f>IF($A1020="","",IF($H1020="ENGAGE","Engagé",IF(AND($H1020="NON ENGAGE",OR($I1020="INFRUCTUEUX",$I1020="ANNULE")),"Clôturé sans suite","En cours")))</f>
        <v/>
      </c>
      <c r="N1020">
        <f>IF(ISBLANK('ENGAGEMENTS 2026'!C1020),"",'ENGAGEMENTS 2026'!L1020)</f>
        <v/>
      </c>
      <c r="O1020">
        <f>IF(ISBLANK('ENGAGEMENTS 2026'!C1020),"",'ENGAGEMENTS 2026'!M1020)</f>
        <v/>
      </c>
      <c r="P1020">
        <f>IF(ISBLANK('ENGAGEMENTS 2026'!C1020),"",'ENGAGEMENTS 2026'!K1020)</f>
        <v/>
      </c>
      <c r="Q1020">
        <f>IF($A1020="","",IF(OR($E1020="INFRUCTUEUX",$E1020="ANNULE"),$A1020&amp;"|"&amp;(COUNTIFS($A$2:$A1020,$A1020,$E$2:$E1020,"INFRUCTUEUX")+COUNTIFS($A$2:$A1020,$A1020,$E$2:$E1020,"ANNULE")),""))</f>
        <v/>
      </c>
    </row>
    <row r="1021">
      <c r="A1021">
        <f>IF(ISBLANK('ENGAGEMENTS 2026'!C1021),"",IF('ENGAGEMENTS 2026'!C1021="DTSI","DCT",'ENGAGEMENTS 2026'!C1021))</f>
        <v/>
      </c>
      <c r="B1021">
        <f>IF(ISBLANK('ENGAGEMENTS 2026'!C1021),"",'ENGAGEMENTS 2026'!D1021)</f>
        <v/>
      </c>
      <c r="C1021">
        <f>IF(ISBLANK('ENGAGEMENTS 2026'!C1021),"",'ENGAGEMENTS 2026'!E1021)</f>
        <v/>
      </c>
      <c r="D1021">
        <f>IF(ISBLANK('ENGAGEMENTS 2026'!C1021),"",'ENGAGEMENTS 2026'!G1021)</f>
        <v/>
      </c>
      <c r="E1021">
        <f>IF(ISBLANK('ENGAGEMENTS 2026'!C1021),"",'ENGAGEMENTS 2026'!I1021)</f>
        <v/>
      </c>
      <c r="F1021">
        <f>IF(ISBLANK('ENGAGEMENTS 2026'!C1021),"",'ENGAGEMENTS 2026'!J1021)</f>
        <v/>
      </c>
      <c r="G1021">
        <f>IF(ISBLANK('ENGAGEMENTS 2026'!C1021),"",'ENGAGEMENTS 2026'!M1021)</f>
        <v/>
      </c>
      <c r="H1021">
        <f>IF(ISBLANK('ENGAGEMENTS 2026'!C1021),"",'ENGAGEMENTS 2026'!AF1021)</f>
        <v/>
      </c>
      <c r="I1021">
        <f>IF(ISBLANK('ENGAGEMENTS 2026'!C1021),"",'ENGAGEMENTS 2026'!H1021)</f>
        <v/>
      </c>
      <c r="J1021" s="275">
        <f>IF(ISBLANK('ENGAGEMENTS 2026'!C1021),"",IF(AND(OR($E1021="INFRUCTUEUX",$E1021="ANNULE"),$C1021="AOO-M"),'ENGAGEMENTS 2026'!P1021,IF($H1021="EN COURS DE PREENGAGEMENT",'ENGAGEMENTS 2026'!O1021,IF($H1021="PREENGAGE",IF($E1021="ATTRIBUE",'ENGAGEMENTS 2026'!AE1021,'ENGAGEMENTS 2026'!O1021),'ENGAGEMENTS 2026'!AE1021))))</f>
        <v/>
      </c>
      <c r="K1021" s="604">
        <f>IF(ISBLANK('ENGAGEMENTS 2026'!W1021),"",'ENGAGEMENTS 2026'!W1021)</f>
        <v/>
      </c>
      <c r="L1021" s="276">
        <f>IF($K1021="","",TODAY()-$K1021)</f>
        <v/>
      </c>
      <c r="M1021">
        <f>IF($A1021="","",IF($H1021="ENGAGE","Engagé",IF(AND($H1021="NON ENGAGE",OR($I1021="INFRUCTUEUX",$I1021="ANNULE")),"Clôturé sans suite","En cours")))</f>
        <v/>
      </c>
      <c r="N1021">
        <f>IF(ISBLANK('ENGAGEMENTS 2026'!C1021),"",'ENGAGEMENTS 2026'!L1021)</f>
        <v/>
      </c>
      <c r="O1021">
        <f>IF(ISBLANK('ENGAGEMENTS 2026'!C1021),"",'ENGAGEMENTS 2026'!M1021)</f>
        <v/>
      </c>
      <c r="P1021">
        <f>IF(ISBLANK('ENGAGEMENTS 2026'!C1021),"",'ENGAGEMENTS 2026'!K1021)</f>
        <v/>
      </c>
      <c r="Q1021">
        <f>IF($A1021="","",IF(OR($E1021="INFRUCTUEUX",$E1021="ANNULE"),$A1021&amp;"|"&amp;(COUNTIFS($A$2:$A1021,$A1021,$E$2:$E1021,"INFRUCTUEUX")+COUNTIFS($A$2:$A1021,$A1021,$E$2:$E1021,"ANNULE")),""))</f>
        <v/>
      </c>
    </row>
    <row r="1022">
      <c r="A1022">
        <f>IF(ISBLANK('ENGAGEMENTS 2026'!C1022),"",IF('ENGAGEMENTS 2026'!C1022="DTSI","DCT",'ENGAGEMENTS 2026'!C1022))</f>
        <v/>
      </c>
      <c r="B1022">
        <f>IF(ISBLANK('ENGAGEMENTS 2026'!C1022),"",'ENGAGEMENTS 2026'!D1022)</f>
        <v/>
      </c>
      <c r="C1022">
        <f>IF(ISBLANK('ENGAGEMENTS 2026'!C1022),"",'ENGAGEMENTS 2026'!E1022)</f>
        <v/>
      </c>
      <c r="D1022">
        <f>IF(ISBLANK('ENGAGEMENTS 2026'!C1022),"",'ENGAGEMENTS 2026'!G1022)</f>
        <v/>
      </c>
      <c r="E1022">
        <f>IF(ISBLANK('ENGAGEMENTS 2026'!C1022),"",'ENGAGEMENTS 2026'!I1022)</f>
        <v/>
      </c>
      <c r="F1022">
        <f>IF(ISBLANK('ENGAGEMENTS 2026'!C1022),"",'ENGAGEMENTS 2026'!J1022)</f>
        <v/>
      </c>
      <c r="G1022">
        <f>IF(ISBLANK('ENGAGEMENTS 2026'!C1022),"",'ENGAGEMENTS 2026'!M1022)</f>
        <v/>
      </c>
      <c r="H1022">
        <f>IF(ISBLANK('ENGAGEMENTS 2026'!C1022),"",'ENGAGEMENTS 2026'!AF1022)</f>
        <v/>
      </c>
      <c r="I1022">
        <f>IF(ISBLANK('ENGAGEMENTS 2026'!C1022),"",'ENGAGEMENTS 2026'!H1022)</f>
        <v/>
      </c>
      <c r="J1022" s="275">
        <f>IF(ISBLANK('ENGAGEMENTS 2026'!C1022),"",IF(AND(OR($E1022="INFRUCTUEUX",$E1022="ANNULE"),$C1022="AOO-M"),'ENGAGEMENTS 2026'!P1022,IF($H1022="EN COURS DE PREENGAGEMENT",'ENGAGEMENTS 2026'!O1022,IF($H1022="PREENGAGE",IF($E1022="ATTRIBUE",'ENGAGEMENTS 2026'!AE1022,'ENGAGEMENTS 2026'!O1022),'ENGAGEMENTS 2026'!AE1022))))</f>
        <v/>
      </c>
      <c r="K1022" s="604">
        <f>IF(ISBLANK('ENGAGEMENTS 2026'!W1022),"",'ENGAGEMENTS 2026'!W1022)</f>
        <v/>
      </c>
      <c r="L1022" s="276">
        <f>IF($K1022="","",TODAY()-$K1022)</f>
        <v/>
      </c>
      <c r="M1022">
        <f>IF($A1022="","",IF($H1022="ENGAGE","Engagé",IF(AND($H1022="NON ENGAGE",OR($I1022="INFRUCTUEUX",$I1022="ANNULE")),"Clôturé sans suite","En cours")))</f>
        <v/>
      </c>
      <c r="N1022">
        <f>IF(ISBLANK('ENGAGEMENTS 2026'!C1022),"",'ENGAGEMENTS 2026'!L1022)</f>
        <v/>
      </c>
      <c r="O1022">
        <f>IF(ISBLANK('ENGAGEMENTS 2026'!C1022),"",'ENGAGEMENTS 2026'!M1022)</f>
        <v/>
      </c>
      <c r="P1022">
        <f>IF(ISBLANK('ENGAGEMENTS 2026'!C1022),"",'ENGAGEMENTS 2026'!K1022)</f>
        <v/>
      </c>
      <c r="Q1022">
        <f>IF($A1022="","",IF(OR($E1022="INFRUCTUEUX",$E1022="ANNULE"),$A1022&amp;"|"&amp;(COUNTIFS($A$2:$A1022,$A1022,$E$2:$E1022,"INFRUCTUEUX")+COUNTIFS($A$2:$A1022,$A1022,$E$2:$E1022,"ANNULE")),""))</f>
        <v/>
      </c>
    </row>
    <row r="1023">
      <c r="A1023">
        <f>IF(ISBLANK('ENGAGEMENTS 2026'!C1023),"",IF('ENGAGEMENTS 2026'!C1023="DTSI","DCT",'ENGAGEMENTS 2026'!C1023))</f>
        <v/>
      </c>
      <c r="B1023">
        <f>IF(ISBLANK('ENGAGEMENTS 2026'!C1023),"",'ENGAGEMENTS 2026'!D1023)</f>
        <v/>
      </c>
      <c r="C1023">
        <f>IF(ISBLANK('ENGAGEMENTS 2026'!C1023),"",'ENGAGEMENTS 2026'!E1023)</f>
        <v/>
      </c>
      <c r="D1023">
        <f>IF(ISBLANK('ENGAGEMENTS 2026'!C1023),"",'ENGAGEMENTS 2026'!G1023)</f>
        <v/>
      </c>
      <c r="E1023">
        <f>IF(ISBLANK('ENGAGEMENTS 2026'!C1023),"",'ENGAGEMENTS 2026'!I1023)</f>
        <v/>
      </c>
      <c r="F1023">
        <f>IF(ISBLANK('ENGAGEMENTS 2026'!C1023),"",'ENGAGEMENTS 2026'!J1023)</f>
        <v/>
      </c>
      <c r="G1023">
        <f>IF(ISBLANK('ENGAGEMENTS 2026'!C1023),"",'ENGAGEMENTS 2026'!M1023)</f>
        <v/>
      </c>
      <c r="H1023">
        <f>IF(ISBLANK('ENGAGEMENTS 2026'!C1023),"",'ENGAGEMENTS 2026'!AF1023)</f>
        <v/>
      </c>
      <c r="I1023">
        <f>IF(ISBLANK('ENGAGEMENTS 2026'!C1023),"",'ENGAGEMENTS 2026'!H1023)</f>
        <v/>
      </c>
      <c r="J1023" s="275">
        <f>IF(ISBLANK('ENGAGEMENTS 2026'!C1023),"",IF(AND(OR($E1023="INFRUCTUEUX",$E1023="ANNULE"),$C1023="AOO-M"),'ENGAGEMENTS 2026'!P1023,IF($H1023="EN COURS DE PREENGAGEMENT",'ENGAGEMENTS 2026'!O1023,IF($H1023="PREENGAGE",IF($E1023="ATTRIBUE",'ENGAGEMENTS 2026'!AE1023,'ENGAGEMENTS 2026'!O1023),'ENGAGEMENTS 2026'!AE1023))))</f>
        <v/>
      </c>
      <c r="K1023" s="604">
        <f>IF(ISBLANK('ENGAGEMENTS 2026'!W1023),"",'ENGAGEMENTS 2026'!W1023)</f>
        <v/>
      </c>
      <c r="L1023" s="276">
        <f>IF($K1023="","",TODAY()-$K1023)</f>
        <v/>
      </c>
      <c r="M1023">
        <f>IF($A1023="","",IF($H1023="ENGAGE","Engagé",IF(AND($H1023="NON ENGAGE",OR($I1023="INFRUCTUEUX",$I1023="ANNULE")),"Clôturé sans suite","En cours")))</f>
        <v/>
      </c>
      <c r="N1023">
        <f>IF(ISBLANK('ENGAGEMENTS 2026'!C1023),"",'ENGAGEMENTS 2026'!L1023)</f>
        <v/>
      </c>
      <c r="O1023">
        <f>IF(ISBLANK('ENGAGEMENTS 2026'!C1023),"",'ENGAGEMENTS 2026'!M1023)</f>
        <v/>
      </c>
      <c r="P1023">
        <f>IF(ISBLANK('ENGAGEMENTS 2026'!C1023),"",'ENGAGEMENTS 2026'!K1023)</f>
        <v/>
      </c>
      <c r="Q1023">
        <f>IF($A1023="","",IF(OR($E1023="INFRUCTUEUX",$E1023="ANNULE"),$A1023&amp;"|"&amp;(COUNTIFS($A$2:$A1023,$A1023,$E$2:$E1023,"INFRUCTUEUX")+COUNTIFS($A$2:$A1023,$A1023,$E$2:$E1023,"ANNULE")),""))</f>
        <v/>
      </c>
    </row>
    <row r="1024">
      <c r="A1024">
        <f>IF(ISBLANK('ENGAGEMENTS 2026'!C1024),"",IF('ENGAGEMENTS 2026'!C1024="DTSI","DCT",'ENGAGEMENTS 2026'!C1024))</f>
        <v/>
      </c>
      <c r="B1024">
        <f>IF(ISBLANK('ENGAGEMENTS 2026'!C1024),"",'ENGAGEMENTS 2026'!D1024)</f>
        <v/>
      </c>
      <c r="C1024">
        <f>IF(ISBLANK('ENGAGEMENTS 2026'!C1024),"",'ENGAGEMENTS 2026'!E1024)</f>
        <v/>
      </c>
      <c r="D1024">
        <f>IF(ISBLANK('ENGAGEMENTS 2026'!C1024),"",'ENGAGEMENTS 2026'!G1024)</f>
        <v/>
      </c>
      <c r="E1024">
        <f>IF(ISBLANK('ENGAGEMENTS 2026'!C1024),"",'ENGAGEMENTS 2026'!I1024)</f>
        <v/>
      </c>
      <c r="F1024">
        <f>IF(ISBLANK('ENGAGEMENTS 2026'!C1024),"",'ENGAGEMENTS 2026'!J1024)</f>
        <v/>
      </c>
      <c r="G1024">
        <f>IF(ISBLANK('ENGAGEMENTS 2026'!C1024),"",'ENGAGEMENTS 2026'!M1024)</f>
        <v/>
      </c>
      <c r="H1024">
        <f>IF(ISBLANK('ENGAGEMENTS 2026'!C1024),"",'ENGAGEMENTS 2026'!AF1024)</f>
        <v/>
      </c>
      <c r="I1024">
        <f>IF(ISBLANK('ENGAGEMENTS 2026'!C1024),"",'ENGAGEMENTS 2026'!H1024)</f>
        <v/>
      </c>
      <c r="J1024" s="275">
        <f>IF(ISBLANK('ENGAGEMENTS 2026'!C1024),"",IF(AND(OR($E1024="INFRUCTUEUX",$E1024="ANNULE"),$C1024="AOO-M"),'ENGAGEMENTS 2026'!P1024,IF($H1024="EN COURS DE PREENGAGEMENT",'ENGAGEMENTS 2026'!O1024,IF($H1024="PREENGAGE",IF($E1024="ATTRIBUE",'ENGAGEMENTS 2026'!AE1024,'ENGAGEMENTS 2026'!O1024),'ENGAGEMENTS 2026'!AE1024))))</f>
        <v/>
      </c>
      <c r="K1024" s="604">
        <f>IF(ISBLANK('ENGAGEMENTS 2026'!W1024),"",'ENGAGEMENTS 2026'!W1024)</f>
        <v/>
      </c>
      <c r="L1024" s="276">
        <f>IF($K1024="","",TODAY()-$K1024)</f>
        <v/>
      </c>
      <c r="M1024">
        <f>IF($A1024="","",IF($H1024="ENGAGE","Engagé",IF(AND($H1024="NON ENGAGE",OR($I1024="INFRUCTUEUX",$I1024="ANNULE")),"Clôturé sans suite","En cours")))</f>
        <v/>
      </c>
      <c r="N1024">
        <f>IF(ISBLANK('ENGAGEMENTS 2026'!C1024),"",'ENGAGEMENTS 2026'!L1024)</f>
        <v/>
      </c>
      <c r="O1024">
        <f>IF(ISBLANK('ENGAGEMENTS 2026'!C1024),"",'ENGAGEMENTS 2026'!M1024)</f>
        <v/>
      </c>
      <c r="P1024">
        <f>IF(ISBLANK('ENGAGEMENTS 2026'!C1024),"",'ENGAGEMENTS 2026'!K1024)</f>
        <v/>
      </c>
      <c r="Q1024">
        <f>IF($A1024="","",IF(OR($E1024="INFRUCTUEUX",$E1024="ANNULE"),$A1024&amp;"|"&amp;(COUNTIFS($A$2:$A1024,$A1024,$E$2:$E1024,"INFRUCTUEUX")+COUNTIFS($A$2:$A1024,$A1024,$E$2:$E1024,"ANNULE")),""))</f>
        <v/>
      </c>
    </row>
    <row r="1025">
      <c r="A1025">
        <f>IF(ISBLANK('ENGAGEMENTS 2026'!C1025),"",IF('ENGAGEMENTS 2026'!C1025="DTSI","DCT",'ENGAGEMENTS 2026'!C1025))</f>
        <v/>
      </c>
      <c r="B1025">
        <f>IF(ISBLANK('ENGAGEMENTS 2026'!C1025),"",'ENGAGEMENTS 2026'!D1025)</f>
        <v/>
      </c>
      <c r="C1025">
        <f>IF(ISBLANK('ENGAGEMENTS 2026'!C1025),"",'ENGAGEMENTS 2026'!E1025)</f>
        <v/>
      </c>
      <c r="D1025">
        <f>IF(ISBLANK('ENGAGEMENTS 2026'!C1025),"",'ENGAGEMENTS 2026'!G1025)</f>
        <v/>
      </c>
      <c r="E1025">
        <f>IF(ISBLANK('ENGAGEMENTS 2026'!C1025),"",'ENGAGEMENTS 2026'!I1025)</f>
        <v/>
      </c>
      <c r="F1025">
        <f>IF(ISBLANK('ENGAGEMENTS 2026'!C1025),"",'ENGAGEMENTS 2026'!J1025)</f>
        <v/>
      </c>
      <c r="G1025">
        <f>IF(ISBLANK('ENGAGEMENTS 2026'!C1025),"",'ENGAGEMENTS 2026'!M1025)</f>
        <v/>
      </c>
      <c r="H1025">
        <f>IF(ISBLANK('ENGAGEMENTS 2026'!C1025),"",'ENGAGEMENTS 2026'!AF1025)</f>
        <v/>
      </c>
      <c r="I1025">
        <f>IF(ISBLANK('ENGAGEMENTS 2026'!C1025),"",'ENGAGEMENTS 2026'!H1025)</f>
        <v/>
      </c>
      <c r="J1025" s="275">
        <f>IF(ISBLANK('ENGAGEMENTS 2026'!C1025),"",IF(AND(OR($E1025="INFRUCTUEUX",$E1025="ANNULE"),$C1025="AOO-M"),'ENGAGEMENTS 2026'!P1025,IF($H1025="EN COURS DE PREENGAGEMENT",'ENGAGEMENTS 2026'!O1025,IF($H1025="PREENGAGE",IF($E1025="ATTRIBUE",'ENGAGEMENTS 2026'!AE1025,'ENGAGEMENTS 2026'!O1025),'ENGAGEMENTS 2026'!AE1025))))</f>
        <v/>
      </c>
      <c r="K1025" s="604">
        <f>IF(ISBLANK('ENGAGEMENTS 2026'!W1025),"",'ENGAGEMENTS 2026'!W1025)</f>
        <v/>
      </c>
      <c r="L1025" s="276">
        <f>IF($K1025="","",TODAY()-$K1025)</f>
        <v/>
      </c>
      <c r="M1025">
        <f>IF($A1025="","",IF($H1025="ENGAGE","Engagé",IF(AND($H1025="NON ENGAGE",OR($I1025="INFRUCTUEUX",$I1025="ANNULE")),"Clôturé sans suite","En cours")))</f>
        <v/>
      </c>
      <c r="N1025">
        <f>IF(ISBLANK('ENGAGEMENTS 2026'!C1025),"",'ENGAGEMENTS 2026'!L1025)</f>
        <v/>
      </c>
      <c r="O1025">
        <f>IF(ISBLANK('ENGAGEMENTS 2026'!C1025),"",'ENGAGEMENTS 2026'!M1025)</f>
        <v/>
      </c>
      <c r="P1025">
        <f>IF(ISBLANK('ENGAGEMENTS 2026'!C1025),"",'ENGAGEMENTS 2026'!K1025)</f>
        <v/>
      </c>
      <c r="Q1025">
        <f>IF($A1025="","",IF(OR($E1025="INFRUCTUEUX",$E1025="ANNULE"),$A1025&amp;"|"&amp;(COUNTIFS($A$2:$A1025,$A1025,$E$2:$E1025,"INFRUCTUEUX")+COUNTIFS($A$2:$A1025,$A1025,$E$2:$E1025,"ANNULE")),""))</f>
        <v/>
      </c>
    </row>
    <row r="1026">
      <c r="A1026">
        <f>IF(ISBLANK('ENGAGEMENTS 2026'!C1026),"",IF('ENGAGEMENTS 2026'!C1026="DTSI","DCT",'ENGAGEMENTS 2026'!C1026))</f>
        <v/>
      </c>
      <c r="B1026">
        <f>IF(ISBLANK('ENGAGEMENTS 2026'!C1026),"",'ENGAGEMENTS 2026'!D1026)</f>
        <v/>
      </c>
      <c r="C1026">
        <f>IF(ISBLANK('ENGAGEMENTS 2026'!C1026),"",'ENGAGEMENTS 2026'!E1026)</f>
        <v/>
      </c>
      <c r="D1026">
        <f>IF(ISBLANK('ENGAGEMENTS 2026'!C1026),"",'ENGAGEMENTS 2026'!G1026)</f>
        <v/>
      </c>
      <c r="E1026">
        <f>IF(ISBLANK('ENGAGEMENTS 2026'!C1026),"",'ENGAGEMENTS 2026'!I1026)</f>
        <v/>
      </c>
      <c r="F1026">
        <f>IF(ISBLANK('ENGAGEMENTS 2026'!C1026),"",'ENGAGEMENTS 2026'!J1026)</f>
        <v/>
      </c>
      <c r="G1026">
        <f>IF(ISBLANK('ENGAGEMENTS 2026'!C1026),"",'ENGAGEMENTS 2026'!M1026)</f>
        <v/>
      </c>
      <c r="H1026">
        <f>IF(ISBLANK('ENGAGEMENTS 2026'!C1026),"",'ENGAGEMENTS 2026'!AF1026)</f>
        <v/>
      </c>
      <c r="I1026">
        <f>IF(ISBLANK('ENGAGEMENTS 2026'!C1026),"",'ENGAGEMENTS 2026'!H1026)</f>
        <v/>
      </c>
      <c r="J1026" s="275">
        <f>IF(ISBLANK('ENGAGEMENTS 2026'!C1026),"",IF(AND(OR($E1026="INFRUCTUEUX",$E1026="ANNULE"),$C1026="AOO-M"),'ENGAGEMENTS 2026'!P1026,IF($H1026="EN COURS DE PREENGAGEMENT",'ENGAGEMENTS 2026'!O1026,IF($H1026="PREENGAGE",IF($E1026="ATTRIBUE",'ENGAGEMENTS 2026'!AE1026,'ENGAGEMENTS 2026'!O1026),'ENGAGEMENTS 2026'!AE1026))))</f>
        <v/>
      </c>
      <c r="K1026" s="604">
        <f>IF(ISBLANK('ENGAGEMENTS 2026'!W1026),"",'ENGAGEMENTS 2026'!W1026)</f>
        <v/>
      </c>
      <c r="L1026" s="276">
        <f>IF($K1026="","",TODAY()-$K1026)</f>
        <v/>
      </c>
      <c r="M1026">
        <f>IF($A1026="","",IF($H1026="ENGAGE","Engagé",IF(AND($H1026="NON ENGAGE",OR($I1026="INFRUCTUEUX",$I1026="ANNULE")),"Clôturé sans suite","En cours")))</f>
        <v/>
      </c>
      <c r="N1026">
        <f>IF(ISBLANK('ENGAGEMENTS 2026'!C1026),"",'ENGAGEMENTS 2026'!L1026)</f>
        <v/>
      </c>
      <c r="O1026">
        <f>IF(ISBLANK('ENGAGEMENTS 2026'!C1026),"",'ENGAGEMENTS 2026'!M1026)</f>
        <v/>
      </c>
      <c r="P1026">
        <f>IF(ISBLANK('ENGAGEMENTS 2026'!C1026),"",'ENGAGEMENTS 2026'!K1026)</f>
        <v/>
      </c>
      <c r="Q1026">
        <f>IF($A1026="","",IF(OR($E1026="INFRUCTUEUX",$E1026="ANNULE"),$A1026&amp;"|"&amp;(COUNTIFS($A$2:$A1026,$A1026,$E$2:$E1026,"INFRUCTUEUX")+COUNTIFS($A$2:$A1026,$A1026,$E$2:$E1026,"ANNULE")),""))</f>
        <v/>
      </c>
    </row>
    <row r="1027">
      <c r="A1027">
        <f>IF(ISBLANK('ENGAGEMENTS 2026'!C1027),"",IF('ENGAGEMENTS 2026'!C1027="DTSI","DCT",'ENGAGEMENTS 2026'!C1027))</f>
        <v/>
      </c>
      <c r="B1027">
        <f>IF(ISBLANK('ENGAGEMENTS 2026'!C1027),"",'ENGAGEMENTS 2026'!D1027)</f>
        <v/>
      </c>
      <c r="C1027">
        <f>IF(ISBLANK('ENGAGEMENTS 2026'!C1027),"",'ENGAGEMENTS 2026'!E1027)</f>
        <v/>
      </c>
      <c r="D1027">
        <f>IF(ISBLANK('ENGAGEMENTS 2026'!C1027),"",'ENGAGEMENTS 2026'!G1027)</f>
        <v/>
      </c>
      <c r="E1027">
        <f>IF(ISBLANK('ENGAGEMENTS 2026'!C1027),"",'ENGAGEMENTS 2026'!I1027)</f>
        <v/>
      </c>
      <c r="F1027">
        <f>IF(ISBLANK('ENGAGEMENTS 2026'!C1027),"",'ENGAGEMENTS 2026'!J1027)</f>
        <v/>
      </c>
      <c r="G1027">
        <f>IF(ISBLANK('ENGAGEMENTS 2026'!C1027),"",'ENGAGEMENTS 2026'!M1027)</f>
        <v/>
      </c>
      <c r="H1027">
        <f>IF(ISBLANK('ENGAGEMENTS 2026'!C1027),"",'ENGAGEMENTS 2026'!AF1027)</f>
        <v/>
      </c>
      <c r="I1027">
        <f>IF(ISBLANK('ENGAGEMENTS 2026'!C1027),"",'ENGAGEMENTS 2026'!H1027)</f>
        <v/>
      </c>
      <c r="J1027" s="275">
        <f>IF(ISBLANK('ENGAGEMENTS 2026'!C1027),"",IF(AND(OR($E1027="INFRUCTUEUX",$E1027="ANNULE"),$C1027="AOO-M"),'ENGAGEMENTS 2026'!P1027,IF($H1027="EN COURS DE PREENGAGEMENT",'ENGAGEMENTS 2026'!O1027,IF($H1027="PREENGAGE",IF($E1027="ATTRIBUE",'ENGAGEMENTS 2026'!AE1027,'ENGAGEMENTS 2026'!O1027),'ENGAGEMENTS 2026'!AE1027))))</f>
        <v/>
      </c>
      <c r="K1027" s="604">
        <f>IF(ISBLANK('ENGAGEMENTS 2026'!W1027),"",'ENGAGEMENTS 2026'!W1027)</f>
        <v/>
      </c>
      <c r="L1027" s="276">
        <f>IF($K1027="","",TODAY()-$K1027)</f>
        <v/>
      </c>
      <c r="M1027">
        <f>IF($A1027="","",IF($H1027="ENGAGE","Engagé",IF(AND($H1027="NON ENGAGE",OR($I1027="INFRUCTUEUX",$I1027="ANNULE")),"Clôturé sans suite","En cours")))</f>
        <v/>
      </c>
      <c r="N1027">
        <f>IF(ISBLANK('ENGAGEMENTS 2026'!C1027),"",'ENGAGEMENTS 2026'!L1027)</f>
        <v/>
      </c>
      <c r="O1027">
        <f>IF(ISBLANK('ENGAGEMENTS 2026'!C1027),"",'ENGAGEMENTS 2026'!M1027)</f>
        <v/>
      </c>
      <c r="P1027">
        <f>IF(ISBLANK('ENGAGEMENTS 2026'!C1027),"",'ENGAGEMENTS 2026'!K1027)</f>
        <v/>
      </c>
      <c r="Q1027">
        <f>IF($A1027="","",IF(OR($E1027="INFRUCTUEUX",$E1027="ANNULE"),$A1027&amp;"|"&amp;(COUNTIFS($A$2:$A1027,$A1027,$E$2:$E1027,"INFRUCTUEUX")+COUNTIFS($A$2:$A1027,$A1027,$E$2:$E1027,"ANNULE")),""))</f>
        <v/>
      </c>
    </row>
    <row r="1028">
      <c r="A1028">
        <f>IF(ISBLANK('ENGAGEMENTS 2026'!C1028),"",IF('ENGAGEMENTS 2026'!C1028="DTSI","DCT",'ENGAGEMENTS 2026'!C1028))</f>
        <v/>
      </c>
      <c r="B1028">
        <f>IF(ISBLANK('ENGAGEMENTS 2026'!C1028),"",'ENGAGEMENTS 2026'!D1028)</f>
        <v/>
      </c>
      <c r="C1028">
        <f>IF(ISBLANK('ENGAGEMENTS 2026'!C1028),"",'ENGAGEMENTS 2026'!E1028)</f>
        <v/>
      </c>
      <c r="D1028">
        <f>IF(ISBLANK('ENGAGEMENTS 2026'!C1028),"",'ENGAGEMENTS 2026'!G1028)</f>
        <v/>
      </c>
      <c r="E1028">
        <f>IF(ISBLANK('ENGAGEMENTS 2026'!C1028),"",'ENGAGEMENTS 2026'!I1028)</f>
        <v/>
      </c>
      <c r="F1028">
        <f>IF(ISBLANK('ENGAGEMENTS 2026'!C1028),"",'ENGAGEMENTS 2026'!J1028)</f>
        <v/>
      </c>
      <c r="G1028">
        <f>IF(ISBLANK('ENGAGEMENTS 2026'!C1028),"",'ENGAGEMENTS 2026'!M1028)</f>
        <v/>
      </c>
      <c r="H1028">
        <f>IF(ISBLANK('ENGAGEMENTS 2026'!C1028),"",'ENGAGEMENTS 2026'!AF1028)</f>
        <v/>
      </c>
      <c r="I1028">
        <f>IF(ISBLANK('ENGAGEMENTS 2026'!C1028),"",'ENGAGEMENTS 2026'!H1028)</f>
        <v/>
      </c>
      <c r="J1028" s="275">
        <f>IF(ISBLANK('ENGAGEMENTS 2026'!C1028),"",IF(AND(OR($E1028="INFRUCTUEUX",$E1028="ANNULE"),$C1028="AOO-M"),'ENGAGEMENTS 2026'!P1028,IF($H1028="EN COURS DE PREENGAGEMENT",'ENGAGEMENTS 2026'!O1028,IF($H1028="PREENGAGE",IF($E1028="ATTRIBUE",'ENGAGEMENTS 2026'!AE1028,'ENGAGEMENTS 2026'!O1028),'ENGAGEMENTS 2026'!AE1028))))</f>
        <v/>
      </c>
      <c r="K1028" s="604">
        <f>IF(ISBLANK('ENGAGEMENTS 2026'!W1028),"",'ENGAGEMENTS 2026'!W1028)</f>
        <v/>
      </c>
      <c r="L1028" s="276">
        <f>IF($K1028="","",TODAY()-$K1028)</f>
        <v/>
      </c>
      <c r="M1028">
        <f>IF($A1028="","",IF($H1028="ENGAGE","Engagé",IF(AND($H1028="NON ENGAGE",OR($I1028="INFRUCTUEUX",$I1028="ANNULE")),"Clôturé sans suite","En cours")))</f>
        <v/>
      </c>
      <c r="N1028">
        <f>IF(ISBLANK('ENGAGEMENTS 2026'!C1028),"",'ENGAGEMENTS 2026'!L1028)</f>
        <v/>
      </c>
      <c r="O1028">
        <f>IF(ISBLANK('ENGAGEMENTS 2026'!C1028),"",'ENGAGEMENTS 2026'!M1028)</f>
        <v/>
      </c>
      <c r="P1028">
        <f>IF(ISBLANK('ENGAGEMENTS 2026'!C1028),"",'ENGAGEMENTS 2026'!K1028)</f>
        <v/>
      </c>
      <c r="Q1028">
        <f>IF($A1028="","",IF(OR($E1028="INFRUCTUEUX",$E1028="ANNULE"),$A1028&amp;"|"&amp;(COUNTIFS($A$2:$A1028,$A1028,$E$2:$E1028,"INFRUCTUEUX")+COUNTIFS($A$2:$A1028,$A1028,$E$2:$E1028,"ANNULE")),""))</f>
        <v/>
      </c>
    </row>
    <row r="1029">
      <c r="A1029">
        <f>IF(ISBLANK('ENGAGEMENTS 2026'!C1029),"",IF('ENGAGEMENTS 2026'!C1029="DTSI","DCT",'ENGAGEMENTS 2026'!C1029))</f>
        <v/>
      </c>
      <c r="B1029">
        <f>IF(ISBLANK('ENGAGEMENTS 2026'!C1029),"",'ENGAGEMENTS 2026'!D1029)</f>
        <v/>
      </c>
      <c r="C1029">
        <f>IF(ISBLANK('ENGAGEMENTS 2026'!C1029),"",'ENGAGEMENTS 2026'!E1029)</f>
        <v/>
      </c>
      <c r="D1029">
        <f>IF(ISBLANK('ENGAGEMENTS 2026'!C1029),"",'ENGAGEMENTS 2026'!G1029)</f>
        <v/>
      </c>
      <c r="E1029">
        <f>IF(ISBLANK('ENGAGEMENTS 2026'!C1029),"",'ENGAGEMENTS 2026'!I1029)</f>
        <v/>
      </c>
      <c r="F1029">
        <f>IF(ISBLANK('ENGAGEMENTS 2026'!C1029),"",'ENGAGEMENTS 2026'!J1029)</f>
        <v/>
      </c>
      <c r="G1029">
        <f>IF(ISBLANK('ENGAGEMENTS 2026'!C1029),"",'ENGAGEMENTS 2026'!M1029)</f>
        <v/>
      </c>
      <c r="H1029">
        <f>IF(ISBLANK('ENGAGEMENTS 2026'!C1029),"",'ENGAGEMENTS 2026'!AF1029)</f>
        <v/>
      </c>
      <c r="I1029">
        <f>IF(ISBLANK('ENGAGEMENTS 2026'!C1029),"",'ENGAGEMENTS 2026'!H1029)</f>
        <v/>
      </c>
      <c r="J1029" s="275">
        <f>IF(ISBLANK('ENGAGEMENTS 2026'!C1029),"",IF(AND(OR($E1029="INFRUCTUEUX",$E1029="ANNULE"),$C1029="AOO-M"),'ENGAGEMENTS 2026'!P1029,IF($H1029="EN COURS DE PREENGAGEMENT",'ENGAGEMENTS 2026'!O1029,IF($H1029="PREENGAGE",IF($E1029="ATTRIBUE",'ENGAGEMENTS 2026'!AE1029,'ENGAGEMENTS 2026'!O1029),'ENGAGEMENTS 2026'!AE1029))))</f>
        <v/>
      </c>
      <c r="K1029" s="604">
        <f>IF(ISBLANK('ENGAGEMENTS 2026'!W1029),"",'ENGAGEMENTS 2026'!W1029)</f>
        <v/>
      </c>
      <c r="L1029" s="276">
        <f>IF($K1029="","",TODAY()-$K1029)</f>
        <v/>
      </c>
      <c r="M1029">
        <f>IF($A1029="","",IF($H1029="ENGAGE","Engagé",IF(AND($H1029="NON ENGAGE",OR($I1029="INFRUCTUEUX",$I1029="ANNULE")),"Clôturé sans suite","En cours")))</f>
        <v/>
      </c>
      <c r="N1029">
        <f>IF(ISBLANK('ENGAGEMENTS 2026'!C1029),"",'ENGAGEMENTS 2026'!L1029)</f>
        <v/>
      </c>
      <c r="O1029">
        <f>IF(ISBLANK('ENGAGEMENTS 2026'!C1029),"",'ENGAGEMENTS 2026'!M1029)</f>
        <v/>
      </c>
      <c r="P1029">
        <f>IF(ISBLANK('ENGAGEMENTS 2026'!C1029),"",'ENGAGEMENTS 2026'!K1029)</f>
        <v/>
      </c>
      <c r="Q1029">
        <f>IF($A1029="","",IF(OR($E1029="INFRUCTUEUX",$E1029="ANNULE"),$A1029&amp;"|"&amp;(COUNTIFS($A$2:$A1029,$A1029,$E$2:$E1029,"INFRUCTUEUX")+COUNTIFS($A$2:$A1029,$A1029,$E$2:$E1029,"ANNULE")),""))</f>
        <v/>
      </c>
    </row>
    <row r="1030">
      <c r="A1030">
        <f>IF(ISBLANK('ENGAGEMENTS 2026'!C1030),"",IF('ENGAGEMENTS 2026'!C1030="DTSI","DCT",'ENGAGEMENTS 2026'!C1030))</f>
        <v/>
      </c>
      <c r="B1030">
        <f>IF(ISBLANK('ENGAGEMENTS 2026'!C1030),"",'ENGAGEMENTS 2026'!D1030)</f>
        <v/>
      </c>
      <c r="C1030">
        <f>IF(ISBLANK('ENGAGEMENTS 2026'!C1030),"",'ENGAGEMENTS 2026'!E1030)</f>
        <v/>
      </c>
      <c r="D1030">
        <f>IF(ISBLANK('ENGAGEMENTS 2026'!C1030),"",'ENGAGEMENTS 2026'!G1030)</f>
        <v/>
      </c>
      <c r="E1030">
        <f>IF(ISBLANK('ENGAGEMENTS 2026'!C1030),"",'ENGAGEMENTS 2026'!I1030)</f>
        <v/>
      </c>
      <c r="F1030">
        <f>IF(ISBLANK('ENGAGEMENTS 2026'!C1030),"",'ENGAGEMENTS 2026'!J1030)</f>
        <v/>
      </c>
      <c r="G1030">
        <f>IF(ISBLANK('ENGAGEMENTS 2026'!C1030),"",'ENGAGEMENTS 2026'!M1030)</f>
        <v/>
      </c>
      <c r="H1030">
        <f>IF(ISBLANK('ENGAGEMENTS 2026'!C1030),"",'ENGAGEMENTS 2026'!AF1030)</f>
        <v/>
      </c>
      <c r="I1030">
        <f>IF(ISBLANK('ENGAGEMENTS 2026'!C1030),"",'ENGAGEMENTS 2026'!H1030)</f>
        <v/>
      </c>
      <c r="J1030" s="275">
        <f>IF(ISBLANK('ENGAGEMENTS 2026'!C1030),"",IF(AND(OR($E1030="INFRUCTUEUX",$E1030="ANNULE"),$C1030="AOO-M"),'ENGAGEMENTS 2026'!P1030,IF($H1030="EN COURS DE PREENGAGEMENT",'ENGAGEMENTS 2026'!O1030,IF($H1030="PREENGAGE",IF($E1030="ATTRIBUE",'ENGAGEMENTS 2026'!AE1030,'ENGAGEMENTS 2026'!O1030),'ENGAGEMENTS 2026'!AE1030))))</f>
        <v/>
      </c>
      <c r="K1030" s="604">
        <f>IF(ISBLANK('ENGAGEMENTS 2026'!W1030),"",'ENGAGEMENTS 2026'!W1030)</f>
        <v/>
      </c>
      <c r="L1030" s="276">
        <f>IF($K1030="","",TODAY()-$K1030)</f>
        <v/>
      </c>
      <c r="M1030">
        <f>IF($A1030="","",IF($H1030="ENGAGE","Engagé",IF(AND($H1030="NON ENGAGE",OR($I1030="INFRUCTUEUX",$I1030="ANNULE")),"Clôturé sans suite","En cours")))</f>
        <v/>
      </c>
      <c r="N1030">
        <f>IF(ISBLANK('ENGAGEMENTS 2026'!C1030),"",'ENGAGEMENTS 2026'!L1030)</f>
        <v/>
      </c>
      <c r="O1030">
        <f>IF(ISBLANK('ENGAGEMENTS 2026'!C1030),"",'ENGAGEMENTS 2026'!M1030)</f>
        <v/>
      </c>
      <c r="P1030">
        <f>IF(ISBLANK('ENGAGEMENTS 2026'!C1030),"",'ENGAGEMENTS 2026'!K1030)</f>
        <v/>
      </c>
      <c r="Q1030">
        <f>IF($A1030="","",IF(OR($E1030="INFRUCTUEUX",$E1030="ANNULE"),$A1030&amp;"|"&amp;(COUNTIFS($A$2:$A1030,$A1030,$E$2:$E1030,"INFRUCTUEUX")+COUNTIFS($A$2:$A1030,$A1030,$E$2:$E1030,"ANNULE")),""))</f>
        <v/>
      </c>
    </row>
    <row r="1031">
      <c r="A1031">
        <f>IF(ISBLANK('ENGAGEMENTS 2026'!C1031),"",IF('ENGAGEMENTS 2026'!C1031="DTSI","DCT",'ENGAGEMENTS 2026'!C1031))</f>
        <v/>
      </c>
      <c r="B1031">
        <f>IF(ISBLANK('ENGAGEMENTS 2026'!C1031),"",'ENGAGEMENTS 2026'!D1031)</f>
        <v/>
      </c>
      <c r="C1031">
        <f>IF(ISBLANK('ENGAGEMENTS 2026'!C1031),"",'ENGAGEMENTS 2026'!E1031)</f>
        <v/>
      </c>
      <c r="D1031">
        <f>IF(ISBLANK('ENGAGEMENTS 2026'!C1031),"",'ENGAGEMENTS 2026'!G1031)</f>
        <v/>
      </c>
      <c r="E1031">
        <f>IF(ISBLANK('ENGAGEMENTS 2026'!C1031),"",'ENGAGEMENTS 2026'!I1031)</f>
        <v/>
      </c>
      <c r="F1031">
        <f>IF(ISBLANK('ENGAGEMENTS 2026'!C1031),"",'ENGAGEMENTS 2026'!J1031)</f>
        <v/>
      </c>
      <c r="G1031">
        <f>IF(ISBLANK('ENGAGEMENTS 2026'!C1031),"",'ENGAGEMENTS 2026'!M1031)</f>
        <v/>
      </c>
      <c r="H1031">
        <f>IF(ISBLANK('ENGAGEMENTS 2026'!C1031),"",'ENGAGEMENTS 2026'!AF1031)</f>
        <v/>
      </c>
      <c r="I1031">
        <f>IF(ISBLANK('ENGAGEMENTS 2026'!C1031),"",'ENGAGEMENTS 2026'!H1031)</f>
        <v/>
      </c>
      <c r="J1031" s="275">
        <f>IF(ISBLANK('ENGAGEMENTS 2026'!C1031),"",IF(AND(OR($E1031="INFRUCTUEUX",$E1031="ANNULE"),$C1031="AOO-M"),'ENGAGEMENTS 2026'!P1031,IF($H1031="EN COURS DE PREENGAGEMENT",'ENGAGEMENTS 2026'!O1031,IF($H1031="PREENGAGE",IF($E1031="ATTRIBUE",'ENGAGEMENTS 2026'!AE1031,'ENGAGEMENTS 2026'!O1031),'ENGAGEMENTS 2026'!AE1031))))</f>
        <v/>
      </c>
      <c r="K1031" s="604">
        <f>IF(ISBLANK('ENGAGEMENTS 2026'!W1031),"",'ENGAGEMENTS 2026'!W1031)</f>
        <v/>
      </c>
      <c r="L1031" s="276">
        <f>IF($K1031="","",TODAY()-$K1031)</f>
        <v/>
      </c>
      <c r="M1031">
        <f>IF($A1031="","",IF($H1031="ENGAGE","Engagé",IF(AND($H1031="NON ENGAGE",OR($I1031="INFRUCTUEUX",$I1031="ANNULE")),"Clôturé sans suite","En cours")))</f>
        <v/>
      </c>
      <c r="N1031">
        <f>IF(ISBLANK('ENGAGEMENTS 2026'!C1031),"",'ENGAGEMENTS 2026'!L1031)</f>
        <v/>
      </c>
      <c r="O1031">
        <f>IF(ISBLANK('ENGAGEMENTS 2026'!C1031),"",'ENGAGEMENTS 2026'!M1031)</f>
        <v/>
      </c>
      <c r="P1031">
        <f>IF(ISBLANK('ENGAGEMENTS 2026'!C1031),"",'ENGAGEMENTS 2026'!K1031)</f>
        <v/>
      </c>
      <c r="Q1031">
        <f>IF($A1031="","",IF(OR($E1031="INFRUCTUEUX",$E1031="ANNULE"),$A1031&amp;"|"&amp;(COUNTIFS($A$2:$A1031,$A1031,$E$2:$E1031,"INFRUCTUEUX")+COUNTIFS($A$2:$A1031,$A1031,$E$2:$E1031,"ANNULE")),""))</f>
        <v/>
      </c>
    </row>
    <row r="1032">
      <c r="A1032">
        <f>IF(ISBLANK('ENGAGEMENTS 2026'!C1032),"",IF('ENGAGEMENTS 2026'!C1032="DTSI","DCT",'ENGAGEMENTS 2026'!C1032))</f>
        <v/>
      </c>
      <c r="B1032">
        <f>IF(ISBLANK('ENGAGEMENTS 2026'!C1032),"",'ENGAGEMENTS 2026'!D1032)</f>
        <v/>
      </c>
      <c r="C1032">
        <f>IF(ISBLANK('ENGAGEMENTS 2026'!C1032),"",'ENGAGEMENTS 2026'!E1032)</f>
        <v/>
      </c>
      <c r="D1032">
        <f>IF(ISBLANK('ENGAGEMENTS 2026'!C1032),"",'ENGAGEMENTS 2026'!G1032)</f>
        <v/>
      </c>
      <c r="E1032">
        <f>IF(ISBLANK('ENGAGEMENTS 2026'!C1032),"",'ENGAGEMENTS 2026'!I1032)</f>
        <v/>
      </c>
      <c r="F1032">
        <f>IF(ISBLANK('ENGAGEMENTS 2026'!C1032),"",'ENGAGEMENTS 2026'!J1032)</f>
        <v/>
      </c>
      <c r="G1032">
        <f>IF(ISBLANK('ENGAGEMENTS 2026'!C1032),"",'ENGAGEMENTS 2026'!M1032)</f>
        <v/>
      </c>
      <c r="H1032">
        <f>IF(ISBLANK('ENGAGEMENTS 2026'!C1032),"",'ENGAGEMENTS 2026'!AF1032)</f>
        <v/>
      </c>
      <c r="I1032">
        <f>IF(ISBLANK('ENGAGEMENTS 2026'!C1032),"",'ENGAGEMENTS 2026'!H1032)</f>
        <v/>
      </c>
      <c r="J1032" s="275">
        <f>IF(ISBLANK('ENGAGEMENTS 2026'!C1032),"",IF(AND(OR($E1032="INFRUCTUEUX",$E1032="ANNULE"),$C1032="AOO-M"),'ENGAGEMENTS 2026'!P1032,IF($H1032="EN COURS DE PREENGAGEMENT",'ENGAGEMENTS 2026'!O1032,IF($H1032="PREENGAGE",IF($E1032="ATTRIBUE",'ENGAGEMENTS 2026'!AE1032,'ENGAGEMENTS 2026'!O1032),'ENGAGEMENTS 2026'!AE1032))))</f>
        <v/>
      </c>
      <c r="K1032" s="604">
        <f>IF(ISBLANK('ENGAGEMENTS 2026'!W1032),"",'ENGAGEMENTS 2026'!W1032)</f>
        <v/>
      </c>
      <c r="L1032" s="276">
        <f>IF($K1032="","",TODAY()-$K1032)</f>
        <v/>
      </c>
      <c r="M1032">
        <f>IF($A1032="","",IF($H1032="ENGAGE","Engagé",IF(AND($H1032="NON ENGAGE",OR($I1032="INFRUCTUEUX",$I1032="ANNULE")),"Clôturé sans suite","En cours")))</f>
        <v/>
      </c>
      <c r="N1032">
        <f>IF(ISBLANK('ENGAGEMENTS 2026'!C1032),"",'ENGAGEMENTS 2026'!L1032)</f>
        <v/>
      </c>
      <c r="O1032">
        <f>IF(ISBLANK('ENGAGEMENTS 2026'!C1032),"",'ENGAGEMENTS 2026'!M1032)</f>
        <v/>
      </c>
      <c r="P1032">
        <f>IF(ISBLANK('ENGAGEMENTS 2026'!C1032),"",'ENGAGEMENTS 2026'!K1032)</f>
        <v/>
      </c>
      <c r="Q1032">
        <f>IF($A1032="","",IF(OR($E1032="INFRUCTUEUX",$E1032="ANNULE"),$A1032&amp;"|"&amp;(COUNTIFS($A$2:$A1032,$A1032,$E$2:$E1032,"INFRUCTUEUX")+COUNTIFS($A$2:$A1032,$A1032,$E$2:$E1032,"ANNULE")),""))</f>
        <v/>
      </c>
    </row>
    <row r="1033">
      <c r="A1033">
        <f>IF(ISBLANK('ENGAGEMENTS 2026'!C1033),"",IF('ENGAGEMENTS 2026'!C1033="DTSI","DCT",'ENGAGEMENTS 2026'!C1033))</f>
        <v/>
      </c>
      <c r="B1033">
        <f>IF(ISBLANK('ENGAGEMENTS 2026'!C1033),"",'ENGAGEMENTS 2026'!D1033)</f>
        <v/>
      </c>
      <c r="C1033">
        <f>IF(ISBLANK('ENGAGEMENTS 2026'!C1033),"",'ENGAGEMENTS 2026'!E1033)</f>
        <v/>
      </c>
      <c r="D1033">
        <f>IF(ISBLANK('ENGAGEMENTS 2026'!C1033),"",'ENGAGEMENTS 2026'!G1033)</f>
        <v/>
      </c>
      <c r="E1033">
        <f>IF(ISBLANK('ENGAGEMENTS 2026'!C1033),"",'ENGAGEMENTS 2026'!I1033)</f>
        <v/>
      </c>
      <c r="F1033">
        <f>IF(ISBLANK('ENGAGEMENTS 2026'!C1033),"",'ENGAGEMENTS 2026'!J1033)</f>
        <v/>
      </c>
      <c r="G1033">
        <f>IF(ISBLANK('ENGAGEMENTS 2026'!C1033),"",'ENGAGEMENTS 2026'!M1033)</f>
        <v/>
      </c>
      <c r="H1033">
        <f>IF(ISBLANK('ENGAGEMENTS 2026'!C1033),"",'ENGAGEMENTS 2026'!AF1033)</f>
        <v/>
      </c>
      <c r="I1033">
        <f>IF(ISBLANK('ENGAGEMENTS 2026'!C1033),"",'ENGAGEMENTS 2026'!H1033)</f>
        <v/>
      </c>
      <c r="J1033" s="275">
        <f>IF(ISBLANK('ENGAGEMENTS 2026'!C1033),"",IF(AND(OR($E1033="INFRUCTUEUX",$E1033="ANNULE"),$C1033="AOO-M"),'ENGAGEMENTS 2026'!P1033,IF($H1033="EN COURS DE PREENGAGEMENT",'ENGAGEMENTS 2026'!O1033,IF($H1033="PREENGAGE",IF($E1033="ATTRIBUE",'ENGAGEMENTS 2026'!AE1033,'ENGAGEMENTS 2026'!O1033),'ENGAGEMENTS 2026'!AE1033))))</f>
        <v/>
      </c>
      <c r="K1033" s="604">
        <f>IF(ISBLANK('ENGAGEMENTS 2026'!W1033),"",'ENGAGEMENTS 2026'!W1033)</f>
        <v/>
      </c>
      <c r="L1033" s="276">
        <f>IF($K1033="","",TODAY()-$K1033)</f>
        <v/>
      </c>
      <c r="M1033">
        <f>IF($A1033="","",IF($H1033="ENGAGE","Engagé",IF(AND($H1033="NON ENGAGE",OR($I1033="INFRUCTUEUX",$I1033="ANNULE")),"Clôturé sans suite","En cours")))</f>
        <v/>
      </c>
      <c r="N1033">
        <f>IF(ISBLANK('ENGAGEMENTS 2026'!C1033),"",'ENGAGEMENTS 2026'!L1033)</f>
        <v/>
      </c>
      <c r="O1033">
        <f>IF(ISBLANK('ENGAGEMENTS 2026'!C1033),"",'ENGAGEMENTS 2026'!M1033)</f>
        <v/>
      </c>
      <c r="P1033">
        <f>IF(ISBLANK('ENGAGEMENTS 2026'!C1033),"",'ENGAGEMENTS 2026'!K1033)</f>
        <v/>
      </c>
      <c r="Q1033">
        <f>IF($A1033="","",IF(OR($E1033="INFRUCTUEUX",$E1033="ANNULE"),$A1033&amp;"|"&amp;(COUNTIFS($A$2:$A1033,$A1033,$E$2:$E1033,"INFRUCTUEUX")+COUNTIFS($A$2:$A1033,$A1033,$E$2:$E1033,"ANNULE")),""))</f>
        <v/>
      </c>
    </row>
    <row r="1034">
      <c r="A1034">
        <f>IF(ISBLANK('ENGAGEMENTS 2026'!C1034),"",IF('ENGAGEMENTS 2026'!C1034="DTSI","DCT",'ENGAGEMENTS 2026'!C1034))</f>
        <v/>
      </c>
      <c r="B1034">
        <f>IF(ISBLANK('ENGAGEMENTS 2026'!C1034),"",'ENGAGEMENTS 2026'!D1034)</f>
        <v/>
      </c>
      <c r="C1034">
        <f>IF(ISBLANK('ENGAGEMENTS 2026'!C1034),"",'ENGAGEMENTS 2026'!E1034)</f>
        <v/>
      </c>
      <c r="D1034">
        <f>IF(ISBLANK('ENGAGEMENTS 2026'!C1034),"",'ENGAGEMENTS 2026'!G1034)</f>
        <v/>
      </c>
      <c r="E1034">
        <f>IF(ISBLANK('ENGAGEMENTS 2026'!C1034),"",'ENGAGEMENTS 2026'!I1034)</f>
        <v/>
      </c>
      <c r="F1034">
        <f>IF(ISBLANK('ENGAGEMENTS 2026'!C1034),"",'ENGAGEMENTS 2026'!J1034)</f>
        <v/>
      </c>
      <c r="G1034">
        <f>IF(ISBLANK('ENGAGEMENTS 2026'!C1034),"",'ENGAGEMENTS 2026'!M1034)</f>
        <v/>
      </c>
      <c r="H1034">
        <f>IF(ISBLANK('ENGAGEMENTS 2026'!C1034),"",'ENGAGEMENTS 2026'!AF1034)</f>
        <v/>
      </c>
      <c r="I1034">
        <f>IF(ISBLANK('ENGAGEMENTS 2026'!C1034),"",'ENGAGEMENTS 2026'!H1034)</f>
        <v/>
      </c>
      <c r="J1034" s="275">
        <f>IF(ISBLANK('ENGAGEMENTS 2026'!C1034),"",IF(AND(OR($E1034="INFRUCTUEUX",$E1034="ANNULE"),$C1034="AOO-M"),'ENGAGEMENTS 2026'!P1034,IF($H1034="EN COURS DE PREENGAGEMENT",'ENGAGEMENTS 2026'!O1034,IF($H1034="PREENGAGE",IF($E1034="ATTRIBUE",'ENGAGEMENTS 2026'!AE1034,'ENGAGEMENTS 2026'!O1034),'ENGAGEMENTS 2026'!AE1034))))</f>
        <v/>
      </c>
      <c r="K1034" s="604">
        <f>IF(ISBLANK('ENGAGEMENTS 2026'!W1034),"",'ENGAGEMENTS 2026'!W1034)</f>
        <v/>
      </c>
      <c r="L1034" s="276">
        <f>IF($K1034="","",TODAY()-$K1034)</f>
        <v/>
      </c>
      <c r="M1034">
        <f>IF($A1034="","",IF($H1034="ENGAGE","Engagé",IF(AND($H1034="NON ENGAGE",OR($I1034="INFRUCTUEUX",$I1034="ANNULE")),"Clôturé sans suite","En cours")))</f>
        <v/>
      </c>
      <c r="N1034">
        <f>IF(ISBLANK('ENGAGEMENTS 2026'!C1034),"",'ENGAGEMENTS 2026'!L1034)</f>
        <v/>
      </c>
      <c r="O1034">
        <f>IF(ISBLANK('ENGAGEMENTS 2026'!C1034),"",'ENGAGEMENTS 2026'!M1034)</f>
        <v/>
      </c>
      <c r="P1034">
        <f>IF(ISBLANK('ENGAGEMENTS 2026'!C1034),"",'ENGAGEMENTS 2026'!K1034)</f>
        <v/>
      </c>
      <c r="Q1034">
        <f>IF($A1034="","",IF(OR($E1034="INFRUCTUEUX",$E1034="ANNULE"),$A1034&amp;"|"&amp;(COUNTIFS($A$2:$A1034,$A1034,$E$2:$E1034,"INFRUCTUEUX")+COUNTIFS($A$2:$A1034,$A1034,$E$2:$E1034,"ANNULE")),""))</f>
        <v/>
      </c>
    </row>
    <row r="1035">
      <c r="A1035">
        <f>IF(ISBLANK('ENGAGEMENTS 2026'!C1035),"",IF('ENGAGEMENTS 2026'!C1035="DTSI","DCT",'ENGAGEMENTS 2026'!C1035))</f>
        <v/>
      </c>
      <c r="B1035">
        <f>IF(ISBLANK('ENGAGEMENTS 2026'!C1035),"",'ENGAGEMENTS 2026'!D1035)</f>
        <v/>
      </c>
      <c r="C1035">
        <f>IF(ISBLANK('ENGAGEMENTS 2026'!C1035),"",'ENGAGEMENTS 2026'!E1035)</f>
        <v/>
      </c>
      <c r="D1035">
        <f>IF(ISBLANK('ENGAGEMENTS 2026'!C1035),"",'ENGAGEMENTS 2026'!G1035)</f>
        <v/>
      </c>
      <c r="E1035">
        <f>IF(ISBLANK('ENGAGEMENTS 2026'!C1035),"",'ENGAGEMENTS 2026'!I1035)</f>
        <v/>
      </c>
      <c r="F1035">
        <f>IF(ISBLANK('ENGAGEMENTS 2026'!C1035),"",'ENGAGEMENTS 2026'!J1035)</f>
        <v/>
      </c>
      <c r="G1035">
        <f>IF(ISBLANK('ENGAGEMENTS 2026'!C1035),"",'ENGAGEMENTS 2026'!M1035)</f>
        <v/>
      </c>
      <c r="H1035">
        <f>IF(ISBLANK('ENGAGEMENTS 2026'!C1035),"",'ENGAGEMENTS 2026'!AF1035)</f>
        <v/>
      </c>
      <c r="I1035">
        <f>IF(ISBLANK('ENGAGEMENTS 2026'!C1035),"",'ENGAGEMENTS 2026'!H1035)</f>
        <v/>
      </c>
      <c r="J1035" s="275">
        <f>IF(ISBLANK('ENGAGEMENTS 2026'!C1035),"",IF(AND(OR($E1035="INFRUCTUEUX",$E1035="ANNULE"),$C1035="AOO-M"),'ENGAGEMENTS 2026'!P1035,IF($H1035="EN COURS DE PREENGAGEMENT",'ENGAGEMENTS 2026'!O1035,IF($H1035="PREENGAGE",IF($E1035="ATTRIBUE",'ENGAGEMENTS 2026'!AE1035,'ENGAGEMENTS 2026'!O1035),'ENGAGEMENTS 2026'!AE1035))))</f>
        <v/>
      </c>
      <c r="K1035" s="604">
        <f>IF(ISBLANK('ENGAGEMENTS 2026'!W1035),"",'ENGAGEMENTS 2026'!W1035)</f>
        <v/>
      </c>
      <c r="L1035" s="276">
        <f>IF($K1035="","",TODAY()-$K1035)</f>
        <v/>
      </c>
      <c r="M1035">
        <f>IF($A1035="","",IF($H1035="ENGAGE","Engagé",IF(AND($H1035="NON ENGAGE",OR($I1035="INFRUCTUEUX",$I1035="ANNULE")),"Clôturé sans suite","En cours")))</f>
        <v/>
      </c>
      <c r="N1035">
        <f>IF(ISBLANK('ENGAGEMENTS 2026'!C1035),"",'ENGAGEMENTS 2026'!L1035)</f>
        <v/>
      </c>
      <c r="O1035">
        <f>IF(ISBLANK('ENGAGEMENTS 2026'!C1035),"",'ENGAGEMENTS 2026'!M1035)</f>
        <v/>
      </c>
      <c r="P1035">
        <f>IF(ISBLANK('ENGAGEMENTS 2026'!C1035),"",'ENGAGEMENTS 2026'!K1035)</f>
        <v/>
      </c>
      <c r="Q1035">
        <f>IF($A1035="","",IF(OR($E1035="INFRUCTUEUX",$E1035="ANNULE"),$A1035&amp;"|"&amp;(COUNTIFS($A$2:$A1035,$A1035,$E$2:$E1035,"INFRUCTUEUX")+COUNTIFS($A$2:$A1035,$A1035,$E$2:$E1035,"ANNULE")),""))</f>
        <v/>
      </c>
    </row>
    <row r="1036">
      <c r="A1036">
        <f>IF(ISBLANK('ENGAGEMENTS 2026'!C1036),"",IF('ENGAGEMENTS 2026'!C1036="DTSI","DCT",'ENGAGEMENTS 2026'!C1036))</f>
        <v/>
      </c>
      <c r="B1036">
        <f>IF(ISBLANK('ENGAGEMENTS 2026'!C1036),"",'ENGAGEMENTS 2026'!D1036)</f>
        <v/>
      </c>
      <c r="C1036">
        <f>IF(ISBLANK('ENGAGEMENTS 2026'!C1036),"",'ENGAGEMENTS 2026'!E1036)</f>
        <v/>
      </c>
      <c r="D1036">
        <f>IF(ISBLANK('ENGAGEMENTS 2026'!C1036),"",'ENGAGEMENTS 2026'!G1036)</f>
        <v/>
      </c>
      <c r="E1036">
        <f>IF(ISBLANK('ENGAGEMENTS 2026'!C1036),"",'ENGAGEMENTS 2026'!I1036)</f>
        <v/>
      </c>
      <c r="F1036">
        <f>IF(ISBLANK('ENGAGEMENTS 2026'!C1036),"",'ENGAGEMENTS 2026'!J1036)</f>
        <v/>
      </c>
      <c r="G1036">
        <f>IF(ISBLANK('ENGAGEMENTS 2026'!C1036),"",'ENGAGEMENTS 2026'!M1036)</f>
        <v/>
      </c>
      <c r="H1036">
        <f>IF(ISBLANK('ENGAGEMENTS 2026'!C1036),"",'ENGAGEMENTS 2026'!AF1036)</f>
        <v/>
      </c>
      <c r="I1036">
        <f>IF(ISBLANK('ENGAGEMENTS 2026'!C1036),"",'ENGAGEMENTS 2026'!H1036)</f>
        <v/>
      </c>
      <c r="J1036" s="275">
        <f>IF(ISBLANK('ENGAGEMENTS 2026'!C1036),"",IF(AND(OR($E1036="INFRUCTUEUX",$E1036="ANNULE"),$C1036="AOO-M"),'ENGAGEMENTS 2026'!P1036,IF($H1036="EN COURS DE PREENGAGEMENT",'ENGAGEMENTS 2026'!O1036,IF($H1036="PREENGAGE",IF($E1036="ATTRIBUE",'ENGAGEMENTS 2026'!AE1036,'ENGAGEMENTS 2026'!O1036),'ENGAGEMENTS 2026'!AE1036))))</f>
        <v/>
      </c>
      <c r="K1036" s="604">
        <f>IF(ISBLANK('ENGAGEMENTS 2026'!W1036),"",'ENGAGEMENTS 2026'!W1036)</f>
        <v/>
      </c>
      <c r="L1036" s="276">
        <f>IF($K1036="","",TODAY()-$K1036)</f>
        <v/>
      </c>
      <c r="M1036">
        <f>IF($A1036="","",IF($H1036="ENGAGE","Engagé",IF(AND($H1036="NON ENGAGE",OR($I1036="INFRUCTUEUX",$I1036="ANNULE")),"Clôturé sans suite","En cours")))</f>
        <v/>
      </c>
      <c r="N1036">
        <f>IF(ISBLANK('ENGAGEMENTS 2026'!C1036),"",'ENGAGEMENTS 2026'!L1036)</f>
        <v/>
      </c>
      <c r="O1036">
        <f>IF(ISBLANK('ENGAGEMENTS 2026'!C1036),"",'ENGAGEMENTS 2026'!M1036)</f>
        <v/>
      </c>
      <c r="P1036">
        <f>IF(ISBLANK('ENGAGEMENTS 2026'!C1036),"",'ENGAGEMENTS 2026'!K1036)</f>
        <v/>
      </c>
      <c r="Q1036">
        <f>IF($A1036="","",IF(OR($E1036="INFRUCTUEUX",$E1036="ANNULE"),$A1036&amp;"|"&amp;(COUNTIFS($A$2:$A1036,$A1036,$E$2:$E1036,"INFRUCTUEUX")+COUNTIFS($A$2:$A1036,$A1036,$E$2:$E1036,"ANNULE")),""))</f>
        <v/>
      </c>
    </row>
    <row r="1037">
      <c r="A1037">
        <f>IF(ISBLANK('ENGAGEMENTS 2026'!C1037),"",IF('ENGAGEMENTS 2026'!C1037="DTSI","DCT",'ENGAGEMENTS 2026'!C1037))</f>
        <v/>
      </c>
      <c r="B1037">
        <f>IF(ISBLANK('ENGAGEMENTS 2026'!C1037),"",'ENGAGEMENTS 2026'!D1037)</f>
        <v/>
      </c>
      <c r="C1037">
        <f>IF(ISBLANK('ENGAGEMENTS 2026'!C1037),"",'ENGAGEMENTS 2026'!E1037)</f>
        <v/>
      </c>
      <c r="D1037">
        <f>IF(ISBLANK('ENGAGEMENTS 2026'!C1037),"",'ENGAGEMENTS 2026'!G1037)</f>
        <v/>
      </c>
      <c r="E1037">
        <f>IF(ISBLANK('ENGAGEMENTS 2026'!C1037),"",'ENGAGEMENTS 2026'!I1037)</f>
        <v/>
      </c>
      <c r="F1037">
        <f>IF(ISBLANK('ENGAGEMENTS 2026'!C1037),"",'ENGAGEMENTS 2026'!J1037)</f>
        <v/>
      </c>
      <c r="G1037">
        <f>IF(ISBLANK('ENGAGEMENTS 2026'!C1037),"",'ENGAGEMENTS 2026'!M1037)</f>
        <v/>
      </c>
      <c r="H1037">
        <f>IF(ISBLANK('ENGAGEMENTS 2026'!C1037),"",'ENGAGEMENTS 2026'!AF1037)</f>
        <v/>
      </c>
      <c r="I1037">
        <f>IF(ISBLANK('ENGAGEMENTS 2026'!C1037),"",'ENGAGEMENTS 2026'!H1037)</f>
        <v/>
      </c>
      <c r="J1037" s="275">
        <f>IF(ISBLANK('ENGAGEMENTS 2026'!C1037),"",IF(AND(OR($E1037="INFRUCTUEUX",$E1037="ANNULE"),$C1037="AOO-M"),'ENGAGEMENTS 2026'!P1037,IF($H1037="EN COURS DE PREENGAGEMENT",'ENGAGEMENTS 2026'!O1037,IF($H1037="PREENGAGE",IF($E1037="ATTRIBUE",'ENGAGEMENTS 2026'!AE1037,'ENGAGEMENTS 2026'!O1037),'ENGAGEMENTS 2026'!AE1037))))</f>
        <v/>
      </c>
      <c r="K1037" s="604">
        <f>IF(ISBLANK('ENGAGEMENTS 2026'!W1037),"",'ENGAGEMENTS 2026'!W1037)</f>
        <v/>
      </c>
      <c r="L1037" s="276">
        <f>IF($K1037="","",TODAY()-$K1037)</f>
        <v/>
      </c>
      <c r="M1037">
        <f>IF($A1037="","",IF($H1037="ENGAGE","Engagé",IF(AND($H1037="NON ENGAGE",OR($I1037="INFRUCTUEUX",$I1037="ANNULE")),"Clôturé sans suite","En cours")))</f>
        <v/>
      </c>
      <c r="N1037">
        <f>IF(ISBLANK('ENGAGEMENTS 2026'!C1037),"",'ENGAGEMENTS 2026'!L1037)</f>
        <v/>
      </c>
      <c r="O1037">
        <f>IF(ISBLANK('ENGAGEMENTS 2026'!C1037),"",'ENGAGEMENTS 2026'!M1037)</f>
        <v/>
      </c>
      <c r="P1037">
        <f>IF(ISBLANK('ENGAGEMENTS 2026'!C1037),"",'ENGAGEMENTS 2026'!K1037)</f>
        <v/>
      </c>
      <c r="Q1037">
        <f>IF($A1037="","",IF(OR($E1037="INFRUCTUEUX",$E1037="ANNULE"),$A1037&amp;"|"&amp;(COUNTIFS($A$2:$A1037,$A1037,$E$2:$E1037,"INFRUCTUEUX")+COUNTIFS($A$2:$A1037,$A1037,$E$2:$E1037,"ANNULE")),""))</f>
        <v/>
      </c>
    </row>
    <row r="1038">
      <c r="A1038">
        <f>IF(ISBLANK('ENGAGEMENTS 2026'!C1038),"",IF('ENGAGEMENTS 2026'!C1038="DTSI","DCT",'ENGAGEMENTS 2026'!C1038))</f>
        <v/>
      </c>
      <c r="B1038">
        <f>IF(ISBLANK('ENGAGEMENTS 2026'!C1038),"",'ENGAGEMENTS 2026'!D1038)</f>
        <v/>
      </c>
      <c r="C1038">
        <f>IF(ISBLANK('ENGAGEMENTS 2026'!C1038),"",'ENGAGEMENTS 2026'!E1038)</f>
        <v/>
      </c>
      <c r="D1038">
        <f>IF(ISBLANK('ENGAGEMENTS 2026'!C1038),"",'ENGAGEMENTS 2026'!G1038)</f>
        <v/>
      </c>
      <c r="E1038">
        <f>IF(ISBLANK('ENGAGEMENTS 2026'!C1038),"",'ENGAGEMENTS 2026'!I1038)</f>
        <v/>
      </c>
      <c r="F1038">
        <f>IF(ISBLANK('ENGAGEMENTS 2026'!C1038),"",'ENGAGEMENTS 2026'!J1038)</f>
        <v/>
      </c>
      <c r="G1038">
        <f>IF(ISBLANK('ENGAGEMENTS 2026'!C1038),"",'ENGAGEMENTS 2026'!M1038)</f>
        <v/>
      </c>
      <c r="H1038">
        <f>IF(ISBLANK('ENGAGEMENTS 2026'!C1038),"",'ENGAGEMENTS 2026'!AF1038)</f>
        <v/>
      </c>
      <c r="I1038">
        <f>IF(ISBLANK('ENGAGEMENTS 2026'!C1038),"",'ENGAGEMENTS 2026'!H1038)</f>
        <v/>
      </c>
      <c r="J1038" s="275">
        <f>IF(ISBLANK('ENGAGEMENTS 2026'!C1038),"",IF(AND(OR($E1038="INFRUCTUEUX",$E1038="ANNULE"),$C1038="AOO-M"),'ENGAGEMENTS 2026'!P1038,IF($H1038="EN COURS DE PREENGAGEMENT",'ENGAGEMENTS 2026'!O1038,IF($H1038="PREENGAGE",IF($E1038="ATTRIBUE",'ENGAGEMENTS 2026'!AE1038,'ENGAGEMENTS 2026'!O1038),'ENGAGEMENTS 2026'!AE1038))))</f>
        <v/>
      </c>
      <c r="K1038" s="604">
        <f>IF(ISBLANK('ENGAGEMENTS 2026'!W1038),"",'ENGAGEMENTS 2026'!W1038)</f>
        <v/>
      </c>
      <c r="L1038" s="276">
        <f>IF($K1038="","",TODAY()-$K1038)</f>
        <v/>
      </c>
      <c r="M1038">
        <f>IF($A1038="","",IF($H1038="ENGAGE","Engagé",IF(AND($H1038="NON ENGAGE",OR($I1038="INFRUCTUEUX",$I1038="ANNULE")),"Clôturé sans suite","En cours")))</f>
        <v/>
      </c>
      <c r="N1038">
        <f>IF(ISBLANK('ENGAGEMENTS 2026'!C1038),"",'ENGAGEMENTS 2026'!L1038)</f>
        <v/>
      </c>
      <c r="O1038">
        <f>IF(ISBLANK('ENGAGEMENTS 2026'!C1038),"",'ENGAGEMENTS 2026'!M1038)</f>
        <v/>
      </c>
      <c r="P1038">
        <f>IF(ISBLANK('ENGAGEMENTS 2026'!C1038),"",'ENGAGEMENTS 2026'!K1038)</f>
        <v/>
      </c>
      <c r="Q1038">
        <f>IF($A1038="","",IF(OR($E1038="INFRUCTUEUX",$E1038="ANNULE"),$A1038&amp;"|"&amp;(COUNTIFS($A$2:$A1038,$A1038,$E$2:$E1038,"INFRUCTUEUX")+COUNTIFS($A$2:$A1038,$A1038,$E$2:$E1038,"ANNULE")),""))</f>
        <v/>
      </c>
    </row>
    <row r="1039">
      <c r="A1039">
        <f>IF(ISBLANK('ENGAGEMENTS 2026'!C1039),"",IF('ENGAGEMENTS 2026'!C1039="DTSI","DCT",'ENGAGEMENTS 2026'!C1039))</f>
        <v/>
      </c>
      <c r="B1039">
        <f>IF(ISBLANK('ENGAGEMENTS 2026'!C1039),"",'ENGAGEMENTS 2026'!D1039)</f>
        <v/>
      </c>
      <c r="C1039">
        <f>IF(ISBLANK('ENGAGEMENTS 2026'!C1039),"",'ENGAGEMENTS 2026'!E1039)</f>
        <v/>
      </c>
      <c r="D1039">
        <f>IF(ISBLANK('ENGAGEMENTS 2026'!C1039),"",'ENGAGEMENTS 2026'!G1039)</f>
        <v/>
      </c>
      <c r="E1039">
        <f>IF(ISBLANK('ENGAGEMENTS 2026'!C1039),"",'ENGAGEMENTS 2026'!I1039)</f>
        <v/>
      </c>
      <c r="F1039">
        <f>IF(ISBLANK('ENGAGEMENTS 2026'!C1039),"",'ENGAGEMENTS 2026'!J1039)</f>
        <v/>
      </c>
      <c r="G1039">
        <f>IF(ISBLANK('ENGAGEMENTS 2026'!C1039),"",'ENGAGEMENTS 2026'!M1039)</f>
        <v/>
      </c>
      <c r="H1039">
        <f>IF(ISBLANK('ENGAGEMENTS 2026'!C1039),"",'ENGAGEMENTS 2026'!AF1039)</f>
        <v/>
      </c>
      <c r="I1039">
        <f>IF(ISBLANK('ENGAGEMENTS 2026'!C1039),"",'ENGAGEMENTS 2026'!H1039)</f>
        <v/>
      </c>
      <c r="J1039" s="275">
        <f>IF(ISBLANK('ENGAGEMENTS 2026'!C1039),"",IF(AND(OR($E1039="INFRUCTUEUX",$E1039="ANNULE"),$C1039="AOO-M"),'ENGAGEMENTS 2026'!P1039,IF($H1039="EN COURS DE PREENGAGEMENT",'ENGAGEMENTS 2026'!O1039,IF($H1039="PREENGAGE",IF($E1039="ATTRIBUE",'ENGAGEMENTS 2026'!AE1039,'ENGAGEMENTS 2026'!O1039),'ENGAGEMENTS 2026'!AE1039))))</f>
        <v/>
      </c>
      <c r="K1039" s="604">
        <f>IF(ISBLANK('ENGAGEMENTS 2026'!W1039),"",'ENGAGEMENTS 2026'!W1039)</f>
        <v/>
      </c>
      <c r="L1039" s="276">
        <f>IF($K1039="","",TODAY()-$K1039)</f>
        <v/>
      </c>
      <c r="M1039">
        <f>IF($A1039="","",IF($H1039="ENGAGE","Engagé",IF(AND($H1039="NON ENGAGE",OR($I1039="INFRUCTUEUX",$I1039="ANNULE")),"Clôturé sans suite","En cours")))</f>
        <v/>
      </c>
      <c r="N1039">
        <f>IF(ISBLANK('ENGAGEMENTS 2026'!C1039),"",'ENGAGEMENTS 2026'!L1039)</f>
        <v/>
      </c>
      <c r="O1039">
        <f>IF(ISBLANK('ENGAGEMENTS 2026'!C1039),"",'ENGAGEMENTS 2026'!M1039)</f>
        <v/>
      </c>
      <c r="P1039">
        <f>IF(ISBLANK('ENGAGEMENTS 2026'!C1039),"",'ENGAGEMENTS 2026'!K1039)</f>
        <v/>
      </c>
      <c r="Q1039">
        <f>IF($A1039="","",IF(OR($E1039="INFRUCTUEUX",$E1039="ANNULE"),$A1039&amp;"|"&amp;(COUNTIFS($A$2:$A1039,$A1039,$E$2:$E1039,"INFRUCTUEUX")+COUNTIFS($A$2:$A1039,$A1039,$E$2:$E1039,"ANNULE")),""))</f>
        <v/>
      </c>
    </row>
    <row r="1040">
      <c r="A1040">
        <f>IF(ISBLANK('ENGAGEMENTS 2026'!C1040),"",IF('ENGAGEMENTS 2026'!C1040="DTSI","DCT",'ENGAGEMENTS 2026'!C1040))</f>
        <v/>
      </c>
      <c r="B1040">
        <f>IF(ISBLANK('ENGAGEMENTS 2026'!C1040),"",'ENGAGEMENTS 2026'!D1040)</f>
        <v/>
      </c>
      <c r="C1040">
        <f>IF(ISBLANK('ENGAGEMENTS 2026'!C1040),"",'ENGAGEMENTS 2026'!E1040)</f>
        <v/>
      </c>
      <c r="D1040">
        <f>IF(ISBLANK('ENGAGEMENTS 2026'!C1040),"",'ENGAGEMENTS 2026'!G1040)</f>
        <v/>
      </c>
      <c r="E1040">
        <f>IF(ISBLANK('ENGAGEMENTS 2026'!C1040),"",'ENGAGEMENTS 2026'!I1040)</f>
        <v/>
      </c>
      <c r="F1040">
        <f>IF(ISBLANK('ENGAGEMENTS 2026'!C1040),"",'ENGAGEMENTS 2026'!J1040)</f>
        <v/>
      </c>
      <c r="G1040">
        <f>IF(ISBLANK('ENGAGEMENTS 2026'!C1040),"",'ENGAGEMENTS 2026'!M1040)</f>
        <v/>
      </c>
      <c r="H1040">
        <f>IF(ISBLANK('ENGAGEMENTS 2026'!C1040),"",'ENGAGEMENTS 2026'!AF1040)</f>
        <v/>
      </c>
      <c r="I1040">
        <f>IF(ISBLANK('ENGAGEMENTS 2026'!C1040),"",'ENGAGEMENTS 2026'!H1040)</f>
        <v/>
      </c>
      <c r="J1040" s="275">
        <f>IF(ISBLANK('ENGAGEMENTS 2026'!C1040),"",IF(AND(OR($E1040="INFRUCTUEUX",$E1040="ANNULE"),$C1040="AOO-M"),'ENGAGEMENTS 2026'!P1040,IF($H1040="EN COURS DE PREENGAGEMENT",'ENGAGEMENTS 2026'!O1040,IF($H1040="PREENGAGE",IF($E1040="ATTRIBUE",'ENGAGEMENTS 2026'!AE1040,'ENGAGEMENTS 2026'!O1040),'ENGAGEMENTS 2026'!AE1040))))</f>
        <v/>
      </c>
      <c r="K1040" s="604">
        <f>IF(ISBLANK('ENGAGEMENTS 2026'!W1040),"",'ENGAGEMENTS 2026'!W1040)</f>
        <v/>
      </c>
      <c r="L1040" s="276">
        <f>IF($K1040="","",TODAY()-$K1040)</f>
        <v/>
      </c>
      <c r="M1040">
        <f>IF($A1040="","",IF($H1040="ENGAGE","Engagé",IF(AND($H1040="NON ENGAGE",OR($I1040="INFRUCTUEUX",$I1040="ANNULE")),"Clôturé sans suite","En cours")))</f>
        <v/>
      </c>
      <c r="N1040">
        <f>IF(ISBLANK('ENGAGEMENTS 2026'!C1040),"",'ENGAGEMENTS 2026'!L1040)</f>
        <v/>
      </c>
      <c r="O1040">
        <f>IF(ISBLANK('ENGAGEMENTS 2026'!C1040),"",'ENGAGEMENTS 2026'!M1040)</f>
        <v/>
      </c>
      <c r="P1040">
        <f>IF(ISBLANK('ENGAGEMENTS 2026'!C1040),"",'ENGAGEMENTS 2026'!K1040)</f>
        <v/>
      </c>
      <c r="Q1040">
        <f>IF($A1040="","",IF(OR($E1040="INFRUCTUEUX",$E1040="ANNULE"),$A1040&amp;"|"&amp;(COUNTIFS($A$2:$A1040,$A1040,$E$2:$E1040,"INFRUCTUEUX")+COUNTIFS($A$2:$A1040,$A1040,$E$2:$E1040,"ANNULE")),""))</f>
        <v/>
      </c>
    </row>
    <row r="1041">
      <c r="A1041">
        <f>IF(ISBLANK('ENGAGEMENTS 2026'!C1041),"",IF('ENGAGEMENTS 2026'!C1041="DTSI","DCT",'ENGAGEMENTS 2026'!C1041))</f>
        <v/>
      </c>
      <c r="B1041">
        <f>IF(ISBLANK('ENGAGEMENTS 2026'!C1041),"",'ENGAGEMENTS 2026'!D1041)</f>
        <v/>
      </c>
      <c r="C1041">
        <f>IF(ISBLANK('ENGAGEMENTS 2026'!C1041),"",'ENGAGEMENTS 2026'!E1041)</f>
        <v/>
      </c>
      <c r="D1041">
        <f>IF(ISBLANK('ENGAGEMENTS 2026'!C1041),"",'ENGAGEMENTS 2026'!G1041)</f>
        <v/>
      </c>
      <c r="E1041">
        <f>IF(ISBLANK('ENGAGEMENTS 2026'!C1041),"",'ENGAGEMENTS 2026'!I1041)</f>
        <v/>
      </c>
      <c r="F1041">
        <f>IF(ISBLANK('ENGAGEMENTS 2026'!C1041),"",'ENGAGEMENTS 2026'!J1041)</f>
        <v/>
      </c>
      <c r="G1041">
        <f>IF(ISBLANK('ENGAGEMENTS 2026'!C1041),"",'ENGAGEMENTS 2026'!M1041)</f>
        <v/>
      </c>
      <c r="H1041">
        <f>IF(ISBLANK('ENGAGEMENTS 2026'!C1041),"",'ENGAGEMENTS 2026'!AF1041)</f>
        <v/>
      </c>
      <c r="I1041">
        <f>IF(ISBLANK('ENGAGEMENTS 2026'!C1041),"",'ENGAGEMENTS 2026'!H1041)</f>
        <v/>
      </c>
      <c r="J1041" s="275">
        <f>IF(ISBLANK('ENGAGEMENTS 2026'!C1041),"",IF(AND(OR($E1041="INFRUCTUEUX",$E1041="ANNULE"),$C1041="AOO-M"),'ENGAGEMENTS 2026'!P1041,IF($H1041="EN COURS DE PREENGAGEMENT",'ENGAGEMENTS 2026'!O1041,IF($H1041="PREENGAGE",IF($E1041="ATTRIBUE",'ENGAGEMENTS 2026'!AE1041,'ENGAGEMENTS 2026'!O1041),'ENGAGEMENTS 2026'!AE1041))))</f>
        <v/>
      </c>
      <c r="K1041" s="604">
        <f>IF(ISBLANK('ENGAGEMENTS 2026'!W1041),"",'ENGAGEMENTS 2026'!W1041)</f>
        <v/>
      </c>
      <c r="L1041" s="276">
        <f>IF($K1041="","",TODAY()-$K1041)</f>
        <v/>
      </c>
      <c r="M1041">
        <f>IF($A1041="","",IF($H1041="ENGAGE","Engagé",IF(AND($H1041="NON ENGAGE",OR($I1041="INFRUCTUEUX",$I1041="ANNULE")),"Clôturé sans suite","En cours")))</f>
        <v/>
      </c>
      <c r="N1041">
        <f>IF(ISBLANK('ENGAGEMENTS 2026'!C1041),"",'ENGAGEMENTS 2026'!L1041)</f>
        <v/>
      </c>
      <c r="O1041">
        <f>IF(ISBLANK('ENGAGEMENTS 2026'!C1041),"",'ENGAGEMENTS 2026'!M1041)</f>
        <v/>
      </c>
      <c r="P1041">
        <f>IF(ISBLANK('ENGAGEMENTS 2026'!C1041),"",'ENGAGEMENTS 2026'!K1041)</f>
        <v/>
      </c>
      <c r="Q1041">
        <f>IF($A1041="","",IF(OR($E1041="INFRUCTUEUX",$E1041="ANNULE"),$A1041&amp;"|"&amp;(COUNTIFS($A$2:$A1041,$A1041,$E$2:$E1041,"INFRUCTUEUX")+COUNTIFS($A$2:$A1041,$A1041,$E$2:$E1041,"ANNULE")),""))</f>
        <v/>
      </c>
    </row>
    <row r="1042">
      <c r="A1042">
        <f>IF(ISBLANK('ENGAGEMENTS 2026'!C1042),"",IF('ENGAGEMENTS 2026'!C1042="DTSI","DCT",'ENGAGEMENTS 2026'!C1042))</f>
        <v/>
      </c>
      <c r="B1042">
        <f>IF(ISBLANK('ENGAGEMENTS 2026'!C1042),"",'ENGAGEMENTS 2026'!D1042)</f>
        <v/>
      </c>
      <c r="C1042">
        <f>IF(ISBLANK('ENGAGEMENTS 2026'!C1042),"",'ENGAGEMENTS 2026'!E1042)</f>
        <v/>
      </c>
      <c r="D1042">
        <f>IF(ISBLANK('ENGAGEMENTS 2026'!C1042),"",'ENGAGEMENTS 2026'!G1042)</f>
        <v/>
      </c>
      <c r="E1042">
        <f>IF(ISBLANK('ENGAGEMENTS 2026'!C1042),"",'ENGAGEMENTS 2026'!I1042)</f>
        <v/>
      </c>
      <c r="F1042">
        <f>IF(ISBLANK('ENGAGEMENTS 2026'!C1042),"",'ENGAGEMENTS 2026'!J1042)</f>
        <v/>
      </c>
      <c r="G1042">
        <f>IF(ISBLANK('ENGAGEMENTS 2026'!C1042),"",'ENGAGEMENTS 2026'!M1042)</f>
        <v/>
      </c>
      <c r="H1042">
        <f>IF(ISBLANK('ENGAGEMENTS 2026'!C1042),"",'ENGAGEMENTS 2026'!AF1042)</f>
        <v/>
      </c>
      <c r="I1042">
        <f>IF(ISBLANK('ENGAGEMENTS 2026'!C1042),"",'ENGAGEMENTS 2026'!H1042)</f>
        <v/>
      </c>
      <c r="J1042" s="275">
        <f>IF(ISBLANK('ENGAGEMENTS 2026'!C1042),"",IF(AND(OR($E1042="INFRUCTUEUX",$E1042="ANNULE"),$C1042="AOO-M"),'ENGAGEMENTS 2026'!P1042,IF($H1042="EN COURS DE PREENGAGEMENT",'ENGAGEMENTS 2026'!O1042,IF($H1042="PREENGAGE",IF($E1042="ATTRIBUE",'ENGAGEMENTS 2026'!AE1042,'ENGAGEMENTS 2026'!O1042),'ENGAGEMENTS 2026'!AE1042))))</f>
        <v/>
      </c>
      <c r="K1042" s="604">
        <f>IF(ISBLANK('ENGAGEMENTS 2026'!W1042),"",'ENGAGEMENTS 2026'!W1042)</f>
        <v/>
      </c>
      <c r="L1042" s="276">
        <f>IF($K1042="","",TODAY()-$K1042)</f>
        <v/>
      </c>
      <c r="M1042">
        <f>IF($A1042="","",IF($H1042="ENGAGE","Engagé",IF(AND($H1042="NON ENGAGE",OR($I1042="INFRUCTUEUX",$I1042="ANNULE")),"Clôturé sans suite","En cours")))</f>
        <v/>
      </c>
      <c r="N1042">
        <f>IF(ISBLANK('ENGAGEMENTS 2026'!C1042),"",'ENGAGEMENTS 2026'!L1042)</f>
        <v/>
      </c>
      <c r="O1042">
        <f>IF(ISBLANK('ENGAGEMENTS 2026'!C1042),"",'ENGAGEMENTS 2026'!M1042)</f>
        <v/>
      </c>
      <c r="P1042">
        <f>IF(ISBLANK('ENGAGEMENTS 2026'!C1042),"",'ENGAGEMENTS 2026'!K1042)</f>
        <v/>
      </c>
      <c r="Q1042">
        <f>IF($A1042="","",IF(OR($E1042="INFRUCTUEUX",$E1042="ANNULE"),$A1042&amp;"|"&amp;(COUNTIFS($A$2:$A1042,$A1042,$E$2:$E1042,"INFRUCTUEUX")+COUNTIFS($A$2:$A1042,$A1042,$E$2:$E1042,"ANNULE")),""))</f>
        <v/>
      </c>
    </row>
    <row r="1043">
      <c r="A1043">
        <f>IF(ISBLANK('ENGAGEMENTS 2026'!C1043),"",IF('ENGAGEMENTS 2026'!C1043="DTSI","DCT",'ENGAGEMENTS 2026'!C1043))</f>
        <v/>
      </c>
      <c r="B1043">
        <f>IF(ISBLANK('ENGAGEMENTS 2026'!C1043),"",'ENGAGEMENTS 2026'!D1043)</f>
        <v/>
      </c>
      <c r="C1043">
        <f>IF(ISBLANK('ENGAGEMENTS 2026'!C1043),"",'ENGAGEMENTS 2026'!E1043)</f>
        <v/>
      </c>
      <c r="D1043">
        <f>IF(ISBLANK('ENGAGEMENTS 2026'!C1043),"",'ENGAGEMENTS 2026'!G1043)</f>
        <v/>
      </c>
      <c r="E1043">
        <f>IF(ISBLANK('ENGAGEMENTS 2026'!C1043),"",'ENGAGEMENTS 2026'!I1043)</f>
        <v/>
      </c>
      <c r="F1043">
        <f>IF(ISBLANK('ENGAGEMENTS 2026'!C1043),"",'ENGAGEMENTS 2026'!J1043)</f>
        <v/>
      </c>
      <c r="G1043">
        <f>IF(ISBLANK('ENGAGEMENTS 2026'!C1043),"",'ENGAGEMENTS 2026'!M1043)</f>
        <v/>
      </c>
      <c r="H1043">
        <f>IF(ISBLANK('ENGAGEMENTS 2026'!C1043),"",'ENGAGEMENTS 2026'!AF1043)</f>
        <v/>
      </c>
      <c r="I1043">
        <f>IF(ISBLANK('ENGAGEMENTS 2026'!C1043),"",'ENGAGEMENTS 2026'!H1043)</f>
        <v/>
      </c>
      <c r="J1043" s="275">
        <f>IF(ISBLANK('ENGAGEMENTS 2026'!C1043),"",IF(AND(OR($E1043="INFRUCTUEUX",$E1043="ANNULE"),$C1043="AOO-M"),'ENGAGEMENTS 2026'!P1043,IF($H1043="EN COURS DE PREENGAGEMENT",'ENGAGEMENTS 2026'!O1043,IF($H1043="PREENGAGE",IF($E1043="ATTRIBUE",'ENGAGEMENTS 2026'!AE1043,'ENGAGEMENTS 2026'!O1043),'ENGAGEMENTS 2026'!AE1043))))</f>
        <v/>
      </c>
      <c r="K1043" s="604">
        <f>IF(ISBLANK('ENGAGEMENTS 2026'!W1043),"",'ENGAGEMENTS 2026'!W1043)</f>
        <v/>
      </c>
      <c r="L1043" s="276">
        <f>IF($K1043="","",TODAY()-$K1043)</f>
        <v/>
      </c>
      <c r="M1043">
        <f>IF($A1043="","",IF($H1043="ENGAGE","Engagé",IF(AND($H1043="NON ENGAGE",OR($I1043="INFRUCTUEUX",$I1043="ANNULE")),"Clôturé sans suite","En cours")))</f>
        <v/>
      </c>
      <c r="N1043">
        <f>IF(ISBLANK('ENGAGEMENTS 2026'!C1043),"",'ENGAGEMENTS 2026'!L1043)</f>
        <v/>
      </c>
      <c r="O1043">
        <f>IF(ISBLANK('ENGAGEMENTS 2026'!C1043),"",'ENGAGEMENTS 2026'!M1043)</f>
        <v/>
      </c>
      <c r="P1043">
        <f>IF(ISBLANK('ENGAGEMENTS 2026'!C1043),"",'ENGAGEMENTS 2026'!K1043)</f>
        <v/>
      </c>
      <c r="Q1043">
        <f>IF($A1043="","",IF(OR($E1043="INFRUCTUEUX",$E1043="ANNULE"),$A1043&amp;"|"&amp;(COUNTIFS($A$2:$A1043,$A1043,$E$2:$E1043,"INFRUCTUEUX")+COUNTIFS($A$2:$A1043,$A1043,$E$2:$E1043,"ANNULE")),""))</f>
        <v/>
      </c>
    </row>
    <row r="1044">
      <c r="A1044">
        <f>IF(ISBLANK('ENGAGEMENTS 2026'!C1044),"",IF('ENGAGEMENTS 2026'!C1044="DTSI","DCT",'ENGAGEMENTS 2026'!C1044))</f>
        <v/>
      </c>
      <c r="B1044">
        <f>IF(ISBLANK('ENGAGEMENTS 2026'!C1044),"",'ENGAGEMENTS 2026'!D1044)</f>
        <v/>
      </c>
      <c r="C1044">
        <f>IF(ISBLANK('ENGAGEMENTS 2026'!C1044),"",'ENGAGEMENTS 2026'!E1044)</f>
        <v/>
      </c>
      <c r="D1044">
        <f>IF(ISBLANK('ENGAGEMENTS 2026'!C1044),"",'ENGAGEMENTS 2026'!G1044)</f>
        <v/>
      </c>
      <c r="E1044">
        <f>IF(ISBLANK('ENGAGEMENTS 2026'!C1044),"",'ENGAGEMENTS 2026'!I1044)</f>
        <v/>
      </c>
      <c r="F1044">
        <f>IF(ISBLANK('ENGAGEMENTS 2026'!C1044),"",'ENGAGEMENTS 2026'!J1044)</f>
        <v/>
      </c>
      <c r="G1044">
        <f>IF(ISBLANK('ENGAGEMENTS 2026'!C1044),"",'ENGAGEMENTS 2026'!M1044)</f>
        <v/>
      </c>
      <c r="H1044">
        <f>IF(ISBLANK('ENGAGEMENTS 2026'!C1044),"",'ENGAGEMENTS 2026'!AF1044)</f>
        <v/>
      </c>
      <c r="I1044">
        <f>IF(ISBLANK('ENGAGEMENTS 2026'!C1044),"",'ENGAGEMENTS 2026'!H1044)</f>
        <v/>
      </c>
      <c r="J1044" s="275">
        <f>IF(ISBLANK('ENGAGEMENTS 2026'!C1044),"",IF(AND(OR($E1044="INFRUCTUEUX",$E1044="ANNULE"),$C1044="AOO-M"),'ENGAGEMENTS 2026'!P1044,IF($H1044="EN COURS DE PREENGAGEMENT",'ENGAGEMENTS 2026'!O1044,IF($H1044="PREENGAGE",IF($E1044="ATTRIBUE",'ENGAGEMENTS 2026'!AE1044,'ENGAGEMENTS 2026'!O1044),'ENGAGEMENTS 2026'!AE1044))))</f>
        <v/>
      </c>
      <c r="K1044" s="604">
        <f>IF(ISBLANK('ENGAGEMENTS 2026'!W1044),"",'ENGAGEMENTS 2026'!W1044)</f>
        <v/>
      </c>
      <c r="L1044" s="276">
        <f>IF($K1044="","",TODAY()-$K1044)</f>
        <v/>
      </c>
      <c r="M1044">
        <f>IF($A1044="","",IF($H1044="ENGAGE","Engagé",IF(AND($H1044="NON ENGAGE",OR($I1044="INFRUCTUEUX",$I1044="ANNULE")),"Clôturé sans suite","En cours")))</f>
        <v/>
      </c>
      <c r="N1044">
        <f>IF(ISBLANK('ENGAGEMENTS 2026'!C1044),"",'ENGAGEMENTS 2026'!L1044)</f>
        <v/>
      </c>
      <c r="O1044">
        <f>IF(ISBLANK('ENGAGEMENTS 2026'!C1044),"",'ENGAGEMENTS 2026'!M1044)</f>
        <v/>
      </c>
      <c r="P1044">
        <f>IF(ISBLANK('ENGAGEMENTS 2026'!C1044),"",'ENGAGEMENTS 2026'!K1044)</f>
        <v/>
      </c>
      <c r="Q1044">
        <f>IF($A1044="","",IF(OR($E1044="INFRUCTUEUX",$E1044="ANNULE"),$A1044&amp;"|"&amp;(COUNTIFS($A$2:$A1044,$A1044,$E$2:$E1044,"INFRUCTUEUX")+COUNTIFS($A$2:$A1044,$A1044,$E$2:$E1044,"ANNULE")),""))</f>
        <v/>
      </c>
    </row>
    <row r="1045">
      <c r="A1045">
        <f>IF(ISBLANK('ENGAGEMENTS 2026'!C1045),"",IF('ENGAGEMENTS 2026'!C1045="DTSI","DCT",'ENGAGEMENTS 2026'!C1045))</f>
        <v/>
      </c>
      <c r="B1045">
        <f>IF(ISBLANK('ENGAGEMENTS 2026'!C1045),"",'ENGAGEMENTS 2026'!D1045)</f>
        <v/>
      </c>
      <c r="C1045">
        <f>IF(ISBLANK('ENGAGEMENTS 2026'!C1045),"",'ENGAGEMENTS 2026'!E1045)</f>
        <v/>
      </c>
      <c r="D1045">
        <f>IF(ISBLANK('ENGAGEMENTS 2026'!C1045),"",'ENGAGEMENTS 2026'!G1045)</f>
        <v/>
      </c>
      <c r="E1045">
        <f>IF(ISBLANK('ENGAGEMENTS 2026'!C1045),"",'ENGAGEMENTS 2026'!I1045)</f>
        <v/>
      </c>
      <c r="F1045">
        <f>IF(ISBLANK('ENGAGEMENTS 2026'!C1045),"",'ENGAGEMENTS 2026'!J1045)</f>
        <v/>
      </c>
      <c r="G1045">
        <f>IF(ISBLANK('ENGAGEMENTS 2026'!C1045),"",'ENGAGEMENTS 2026'!M1045)</f>
        <v/>
      </c>
      <c r="H1045">
        <f>IF(ISBLANK('ENGAGEMENTS 2026'!C1045),"",'ENGAGEMENTS 2026'!AF1045)</f>
        <v/>
      </c>
      <c r="I1045">
        <f>IF(ISBLANK('ENGAGEMENTS 2026'!C1045),"",'ENGAGEMENTS 2026'!H1045)</f>
        <v/>
      </c>
      <c r="J1045" s="275">
        <f>IF(ISBLANK('ENGAGEMENTS 2026'!C1045),"",IF(AND(OR($E1045="INFRUCTUEUX",$E1045="ANNULE"),$C1045="AOO-M"),'ENGAGEMENTS 2026'!P1045,IF($H1045="EN COURS DE PREENGAGEMENT",'ENGAGEMENTS 2026'!O1045,IF($H1045="PREENGAGE",IF($E1045="ATTRIBUE",'ENGAGEMENTS 2026'!AE1045,'ENGAGEMENTS 2026'!O1045),'ENGAGEMENTS 2026'!AE1045))))</f>
        <v/>
      </c>
      <c r="K1045" s="604">
        <f>IF(ISBLANK('ENGAGEMENTS 2026'!W1045),"",'ENGAGEMENTS 2026'!W1045)</f>
        <v/>
      </c>
      <c r="L1045" s="276">
        <f>IF($K1045="","",TODAY()-$K1045)</f>
        <v/>
      </c>
      <c r="M1045">
        <f>IF($A1045="","",IF($H1045="ENGAGE","Engagé",IF(AND($H1045="NON ENGAGE",OR($I1045="INFRUCTUEUX",$I1045="ANNULE")),"Clôturé sans suite","En cours")))</f>
        <v/>
      </c>
      <c r="N1045">
        <f>IF(ISBLANK('ENGAGEMENTS 2026'!C1045),"",'ENGAGEMENTS 2026'!L1045)</f>
        <v/>
      </c>
      <c r="O1045">
        <f>IF(ISBLANK('ENGAGEMENTS 2026'!C1045),"",'ENGAGEMENTS 2026'!M1045)</f>
        <v/>
      </c>
      <c r="P1045">
        <f>IF(ISBLANK('ENGAGEMENTS 2026'!C1045),"",'ENGAGEMENTS 2026'!K1045)</f>
        <v/>
      </c>
      <c r="Q1045">
        <f>IF($A1045="","",IF(OR($E1045="INFRUCTUEUX",$E1045="ANNULE"),$A1045&amp;"|"&amp;(COUNTIFS($A$2:$A1045,$A1045,$E$2:$E1045,"INFRUCTUEUX")+COUNTIFS($A$2:$A1045,$A1045,$E$2:$E1045,"ANNULE")),""))</f>
        <v/>
      </c>
    </row>
    <row r="1046">
      <c r="A1046">
        <f>IF(ISBLANK('ENGAGEMENTS 2026'!C1046),"",IF('ENGAGEMENTS 2026'!C1046="DTSI","DCT",'ENGAGEMENTS 2026'!C1046))</f>
        <v/>
      </c>
      <c r="B1046">
        <f>IF(ISBLANK('ENGAGEMENTS 2026'!C1046),"",'ENGAGEMENTS 2026'!D1046)</f>
        <v/>
      </c>
      <c r="C1046">
        <f>IF(ISBLANK('ENGAGEMENTS 2026'!C1046),"",'ENGAGEMENTS 2026'!E1046)</f>
        <v/>
      </c>
      <c r="D1046">
        <f>IF(ISBLANK('ENGAGEMENTS 2026'!C1046),"",'ENGAGEMENTS 2026'!G1046)</f>
        <v/>
      </c>
      <c r="E1046">
        <f>IF(ISBLANK('ENGAGEMENTS 2026'!C1046),"",'ENGAGEMENTS 2026'!I1046)</f>
        <v/>
      </c>
      <c r="F1046">
        <f>IF(ISBLANK('ENGAGEMENTS 2026'!C1046),"",'ENGAGEMENTS 2026'!J1046)</f>
        <v/>
      </c>
      <c r="G1046">
        <f>IF(ISBLANK('ENGAGEMENTS 2026'!C1046),"",'ENGAGEMENTS 2026'!M1046)</f>
        <v/>
      </c>
      <c r="H1046">
        <f>IF(ISBLANK('ENGAGEMENTS 2026'!C1046),"",'ENGAGEMENTS 2026'!AF1046)</f>
        <v/>
      </c>
      <c r="I1046">
        <f>IF(ISBLANK('ENGAGEMENTS 2026'!C1046),"",'ENGAGEMENTS 2026'!H1046)</f>
        <v/>
      </c>
      <c r="J1046" s="275">
        <f>IF(ISBLANK('ENGAGEMENTS 2026'!C1046),"",IF(AND(OR($E1046="INFRUCTUEUX",$E1046="ANNULE"),$C1046="AOO-M"),'ENGAGEMENTS 2026'!P1046,IF($H1046="EN COURS DE PREENGAGEMENT",'ENGAGEMENTS 2026'!O1046,IF($H1046="PREENGAGE",IF($E1046="ATTRIBUE",'ENGAGEMENTS 2026'!AE1046,'ENGAGEMENTS 2026'!O1046),'ENGAGEMENTS 2026'!AE1046))))</f>
        <v/>
      </c>
      <c r="K1046" s="604">
        <f>IF(ISBLANK('ENGAGEMENTS 2026'!W1046),"",'ENGAGEMENTS 2026'!W1046)</f>
        <v/>
      </c>
      <c r="L1046" s="276">
        <f>IF($K1046="","",TODAY()-$K1046)</f>
        <v/>
      </c>
      <c r="M1046">
        <f>IF($A1046="","",IF($H1046="ENGAGE","Engagé",IF(AND($H1046="NON ENGAGE",OR($I1046="INFRUCTUEUX",$I1046="ANNULE")),"Clôturé sans suite","En cours")))</f>
        <v/>
      </c>
      <c r="N1046">
        <f>IF(ISBLANK('ENGAGEMENTS 2026'!C1046),"",'ENGAGEMENTS 2026'!L1046)</f>
        <v/>
      </c>
      <c r="O1046">
        <f>IF(ISBLANK('ENGAGEMENTS 2026'!C1046),"",'ENGAGEMENTS 2026'!M1046)</f>
        <v/>
      </c>
      <c r="P1046">
        <f>IF(ISBLANK('ENGAGEMENTS 2026'!C1046),"",'ENGAGEMENTS 2026'!K1046)</f>
        <v/>
      </c>
      <c r="Q1046">
        <f>IF($A1046="","",IF(OR($E1046="INFRUCTUEUX",$E1046="ANNULE"),$A1046&amp;"|"&amp;(COUNTIFS($A$2:$A1046,$A1046,$E$2:$E1046,"INFRUCTUEUX")+COUNTIFS($A$2:$A1046,$A1046,$E$2:$E1046,"ANNULE")),""))</f>
        <v/>
      </c>
    </row>
    <row r="1047">
      <c r="A1047">
        <f>IF(ISBLANK('ENGAGEMENTS 2026'!C1047),"",IF('ENGAGEMENTS 2026'!C1047="DTSI","DCT",'ENGAGEMENTS 2026'!C1047))</f>
        <v/>
      </c>
      <c r="B1047">
        <f>IF(ISBLANK('ENGAGEMENTS 2026'!C1047),"",'ENGAGEMENTS 2026'!D1047)</f>
        <v/>
      </c>
      <c r="C1047">
        <f>IF(ISBLANK('ENGAGEMENTS 2026'!C1047),"",'ENGAGEMENTS 2026'!E1047)</f>
        <v/>
      </c>
      <c r="D1047">
        <f>IF(ISBLANK('ENGAGEMENTS 2026'!C1047),"",'ENGAGEMENTS 2026'!G1047)</f>
        <v/>
      </c>
      <c r="E1047">
        <f>IF(ISBLANK('ENGAGEMENTS 2026'!C1047),"",'ENGAGEMENTS 2026'!I1047)</f>
        <v/>
      </c>
      <c r="F1047">
        <f>IF(ISBLANK('ENGAGEMENTS 2026'!C1047),"",'ENGAGEMENTS 2026'!J1047)</f>
        <v/>
      </c>
      <c r="G1047">
        <f>IF(ISBLANK('ENGAGEMENTS 2026'!C1047),"",'ENGAGEMENTS 2026'!M1047)</f>
        <v/>
      </c>
      <c r="H1047">
        <f>IF(ISBLANK('ENGAGEMENTS 2026'!C1047),"",'ENGAGEMENTS 2026'!AF1047)</f>
        <v/>
      </c>
      <c r="I1047">
        <f>IF(ISBLANK('ENGAGEMENTS 2026'!C1047),"",'ENGAGEMENTS 2026'!H1047)</f>
        <v/>
      </c>
      <c r="J1047" s="275">
        <f>IF(ISBLANK('ENGAGEMENTS 2026'!C1047),"",IF(AND(OR($E1047="INFRUCTUEUX",$E1047="ANNULE"),$C1047="AOO-M"),'ENGAGEMENTS 2026'!P1047,IF($H1047="EN COURS DE PREENGAGEMENT",'ENGAGEMENTS 2026'!O1047,IF($H1047="PREENGAGE",IF($E1047="ATTRIBUE",'ENGAGEMENTS 2026'!AE1047,'ENGAGEMENTS 2026'!O1047),'ENGAGEMENTS 2026'!AE1047))))</f>
        <v/>
      </c>
      <c r="K1047" s="604">
        <f>IF(ISBLANK('ENGAGEMENTS 2026'!W1047),"",'ENGAGEMENTS 2026'!W1047)</f>
        <v/>
      </c>
      <c r="L1047" s="276">
        <f>IF($K1047="","",TODAY()-$K1047)</f>
        <v/>
      </c>
      <c r="M1047">
        <f>IF($A1047="","",IF($H1047="ENGAGE","Engagé",IF(AND($H1047="NON ENGAGE",OR($I1047="INFRUCTUEUX",$I1047="ANNULE")),"Clôturé sans suite","En cours")))</f>
        <v/>
      </c>
      <c r="N1047">
        <f>IF(ISBLANK('ENGAGEMENTS 2026'!C1047),"",'ENGAGEMENTS 2026'!L1047)</f>
        <v/>
      </c>
      <c r="O1047">
        <f>IF(ISBLANK('ENGAGEMENTS 2026'!C1047),"",'ENGAGEMENTS 2026'!M1047)</f>
        <v/>
      </c>
      <c r="P1047">
        <f>IF(ISBLANK('ENGAGEMENTS 2026'!C1047),"",'ENGAGEMENTS 2026'!K1047)</f>
        <v/>
      </c>
      <c r="Q1047">
        <f>IF($A1047="","",IF(OR($E1047="INFRUCTUEUX",$E1047="ANNULE"),$A1047&amp;"|"&amp;(COUNTIFS($A$2:$A1047,$A1047,$E$2:$E1047,"INFRUCTUEUX")+COUNTIFS($A$2:$A1047,$A1047,$E$2:$E1047,"ANNULE")),""))</f>
        <v/>
      </c>
    </row>
    <row r="1048">
      <c r="A1048">
        <f>IF(ISBLANK('ENGAGEMENTS 2026'!C1048),"",IF('ENGAGEMENTS 2026'!C1048="DTSI","DCT",'ENGAGEMENTS 2026'!C1048))</f>
        <v/>
      </c>
      <c r="B1048">
        <f>IF(ISBLANK('ENGAGEMENTS 2026'!C1048),"",'ENGAGEMENTS 2026'!D1048)</f>
        <v/>
      </c>
      <c r="C1048">
        <f>IF(ISBLANK('ENGAGEMENTS 2026'!C1048),"",'ENGAGEMENTS 2026'!E1048)</f>
        <v/>
      </c>
      <c r="D1048">
        <f>IF(ISBLANK('ENGAGEMENTS 2026'!C1048),"",'ENGAGEMENTS 2026'!G1048)</f>
        <v/>
      </c>
      <c r="E1048">
        <f>IF(ISBLANK('ENGAGEMENTS 2026'!C1048),"",'ENGAGEMENTS 2026'!I1048)</f>
        <v/>
      </c>
      <c r="F1048">
        <f>IF(ISBLANK('ENGAGEMENTS 2026'!C1048),"",'ENGAGEMENTS 2026'!J1048)</f>
        <v/>
      </c>
      <c r="G1048">
        <f>IF(ISBLANK('ENGAGEMENTS 2026'!C1048),"",'ENGAGEMENTS 2026'!M1048)</f>
        <v/>
      </c>
      <c r="H1048">
        <f>IF(ISBLANK('ENGAGEMENTS 2026'!C1048),"",'ENGAGEMENTS 2026'!AF1048)</f>
        <v/>
      </c>
      <c r="I1048">
        <f>IF(ISBLANK('ENGAGEMENTS 2026'!C1048),"",'ENGAGEMENTS 2026'!H1048)</f>
        <v/>
      </c>
      <c r="J1048" s="275">
        <f>IF(ISBLANK('ENGAGEMENTS 2026'!C1048),"",IF(AND(OR($E1048="INFRUCTUEUX",$E1048="ANNULE"),$C1048="AOO-M"),'ENGAGEMENTS 2026'!P1048,IF($H1048="EN COURS DE PREENGAGEMENT",'ENGAGEMENTS 2026'!O1048,IF($H1048="PREENGAGE",IF($E1048="ATTRIBUE",'ENGAGEMENTS 2026'!AE1048,'ENGAGEMENTS 2026'!O1048),'ENGAGEMENTS 2026'!AE1048))))</f>
        <v/>
      </c>
      <c r="K1048" s="604">
        <f>IF(ISBLANK('ENGAGEMENTS 2026'!W1048),"",'ENGAGEMENTS 2026'!W1048)</f>
        <v/>
      </c>
      <c r="L1048" s="276">
        <f>IF($K1048="","",TODAY()-$K1048)</f>
        <v/>
      </c>
      <c r="M1048">
        <f>IF($A1048="","",IF($H1048="ENGAGE","Engagé",IF(AND($H1048="NON ENGAGE",OR($I1048="INFRUCTUEUX",$I1048="ANNULE")),"Clôturé sans suite","En cours")))</f>
        <v/>
      </c>
      <c r="N1048">
        <f>IF(ISBLANK('ENGAGEMENTS 2026'!C1048),"",'ENGAGEMENTS 2026'!L1048)</f>
        <v/>
      </c>
      <c r="O1048">
        <f>IF(ISBLANK('ENGAGEMENTS 2026'!C1048),"",'ENGAGEMENTS 2026'!M1048)</f>
        <v/>
      </c>
      <c r="P1048">
        <f>IF(ISBLANK('ENGAGEMENTS 2026'!C1048),"",'ENGAGEMENTS 2026'!K1048)</f>
        <v/>
      </c>
      <c r="Q1048">
        <f>IF($A1048="","",IF(OR($E1048="INFRUCTUEUX",$E1048="ANNULE"),$A1048&amp;"|"&amp;(COUNTIFS($A$2:$A1048,$A1048,$E$2:$E1048,"INFRUCTUEUX")+COUNTIFS($A$2:$A1048,$A1048,$E$2:$E1048,"ANNULE")),""))</f>
        <v/>
      </c>
    </row>
    <row r="1049">
      <c r="A1049">
        <f>IF(ISBLANK('ENGAGEMENTS 2026'!C1049),"",IF('ENGAGEMENTS 2026'!C1049="DTSI","DCT",'ENGAGEMENTS 2026'!C1049))</f>
        <v/>
      </c>
      <c r="B1049">
        <f>IF(ISBLANK('ENGAGEMENTS 2026'!C1049),"",'ENGAGEMENTS 2026'!D1049)</f>
        <v/>
      </c>
      <c r="C1049">
        <f>IF(ISBLANK('ENGAGEMENTS 2026'!C1049),"",'ENGAGEMENTS 2026'!E1049)</f>
        <v/>
      </c>
      <c r="D1049">
        <f>IF(ISBLANK('ENGAGEMENTS 2026'!C1049),"",'ENGAGEMENTS 2026'!G1049)</f>
        <v/>
      </c>
      <c r="E1049">
        <f>IF(ISBLANK('ENGAGEMENTS 2026'!C1049),"",'ENGAGEMENTS 2026'!I1049)</f>
        <v/>
      </c>
      <c r="F1049">
        <f>IF(ISBLANK('ENGAGEMENTS 2026'!C1049),"",'ENGAGEMENTS 2026'!J1049)</f>
        <v/>
      </c>
      <c r="G1049">
        <f>IF(ISBLANK('ENGAGEMENTS 2026'!C1049),"",'ENGAGEMENTS 2026'!M1049)</f>
        <v/>
      </c>
      <c r="H1049">
        <f>IF(ISBLANK('ENGAGEMENTS 2026'!C1049),"",'ENGAGEMENTS 2026'!AF1049)</f>
        <v/>
      </c>
      <c r="I1049">
        <f>IF(ISBLANK('ENGAGEMENTS 2026'!C1049),"",'ENGAGEMENTS 2026'!H1049)</f>
        <v/>
      </c>
      <c r="J1049" s="275">
        <f>IF(ISBLANK('ENGAGEMENTS 2026'!C1049),"",IF(AND(OR($E1049="INFRUCTUEUX",$E1049="ANNULE"),$C1049="AOO-M"),'ENGAGEMENTS 2026'!P1049,IF($H1049="EN COURS DE PREENGAGEMENT",'ENGAGEMENTS 2026'!O1049,IF($H1049="PREENGAGE",IF($E1049="ATTRIBUE",'ENGAGEMENTS 2026'!AE1049,'ENGAGEMENTS 2026'!O1049),'ENGAGEMENTS 2026'!AE1049))))</f>
        <v/>
      </c>
      <c r="K1049" s="604">
        <f>IF(ISBLANK('ENGAGEMENTS 2026'!W1049),"",'ENGAGEMENTS 2026'!W1049)</f>
        <v/>
      </c>
      <c r="L1049" s="276">
        <f>IF($K1049="","",TODAY()-$K1049)</f>
        <v/>
      </c>
      <c r="M1049">
        <f>IF($A1049="","",IF($H1049="ENGAGE","Engagé",IF(AND($H1049="NON ENGAGE",OR($I1049="INFRUCTUEUX",$I1049="ANNULE")),"Clôturé sans suite","En cours")))</f>
        <v/>
      </c>
      <c r="N1049">
        <f>IF(ISBLANK('ENGAGEMENTS 2026'!C1049),"",'ENGAGEMENTS 2026'!L1049)</f>
        <v/>
      </c>
      <c r="O1049">
        <f>IF(ISBLANK('ENGAGEMENTS 2026'!C1049),"",'ENGAGEMENTS 2026'!M1049)</f>
        <v/>
      </c>
      <c r="P1049">
        <f>IF(ISBLANK('ENGAGEMENTS 2026'!C1049),"",'ENGAGEMENTS 2026'!K1049)</f>
        <v/>
      </c>
      <c r="Q1049">
        <f>IF($A1049="","",IF(OR($E1049="INFRUCTUEUX",$E1049="ANNULE"),$A1049&amp;"|"&amp;(COUNTIFS($A$2:$A1049,$A1049,$E$2:$E1049,"INFRUCTUEUX")+COUNTIFS($A$2:$A1049,$A1049,$E$2:$E1049,"ANNULE")),""))</f>
        <v/>
      </c>
    </row>
    <row r="1050">
      <c r="A1050">
        <f>IF(ISBLANK('ENGAGEMENTS 2026'!C1050),"",IF('ENGAGEMENTS 2026'!C1050="DTSI","DCT",'ENGAGEMENTS 2026'!C1050))</f>
        <v/>
      </c>
      <c r="B1050">
        <f>IF(ISBLANK('ENGAGEMENTS 2026'!C1050),"",'ENGAGEMENTS 2026'!D1050)</f>
        <v/>
      </c>
      <c r="C1050">
        <f>IF(ISBLANK('ENGAGEMENTS 2026'!C1050),"",'ENGAGEMENTS 2026'!E1050)</f>
        <v/>
      </c>
      <c r="D1050">
        <f>IF(ISBLANK('ENGAGEMENTS 2026'!C1050),"",'ENGAGEMENTS 2026'!G1050)</f>
        <v/>
      </c>
      <c r="E1050">
        <f>IF(ISBLANK('ENGAGEMENTS 2026'!C1050),"",'ENGAGEMENTS 2026'!I1050)</f>
        <v/>
      </c>
      <c r="F1050">
        <f>IF(ISBLANK('ENGAGEMENTS 2026'!C1050),"",'ENGAGEMENTS 2026'!J1050)</f>
        <v/>
      </c>
      <c r="G1050">
        <f>IF(ISBLANK('ENGAGEMENTS 2026'!C1050),"",'ENGAGEMENTS 2026'!M1050)</f>
        <v/>
      </c>
      <c r="H1050">
        <f>IF(ISBLANK('ENGAGEMENTS 2026'!C1050),"",'ENGAGEMENTS 2026'!AF1050)</f>
        <v/>
      </c>
      <c r="I1050">
        <f>IF(ISBLANK('ENGAGEMENTS 2026'!C1050),"",'ENGAGEMENTS 2026'!H1050)</f>
        <v/>
      </c>
      <c r="J1050" s="275">
        <f>IF(ISBLANK('ENGAGEMENTS 2026'!C1050),"",IF(AND(OR($E1050="INFRUCTUEUX",$E1050="ANNULE"),$C1050="AOO-M"),'ENGAGEMENTS 2026'!P1050,IF($H1050="EN COURS DE PREENGAGEMENT",'ENGAGEMENTS 2026'!O1050,IF($H1050="PREENGAGE",IF($E1050="ATTRIBUE",'ENGAGEMENTS 2026'!AE1050,'ENGAGEMENTS 2026'!O1050),'ENGAGEMENTS 2026'!AE1050))))</f>
        <v/>
      </c>
      <c r="K1050" s="604">
        <f>IF(ISBLANK('ENGAGEMENTS 2026'!W1050),"",'ENGAGEMENTS 2026'!W1050)</f>
        <v/>
      </c>
      <c r="L1050" s="276">
        <f>IF($K1050="","",TODAY()-$K1050)</f>
        <v/>
      </c>
      <c r="M1050">
        <f>IF($A1050="","",IF($H1050="ENGAGE","Engagé",IF(AND($H1050="NON ENGAGE",OR($I1050="INFRUCTUEUX",$I1050="ANNULE")),"Clôturé sans suite","En cours")))</f>
        <v/>
      </c>
      <c r="N1050">
        <f>IF(ISBLANK('ENGAGEMENTS 2026'!C1050),"",'ENGAGEMENTS 2026'!L1050)</f>
        <v/>
      </c>
      <c r="O1050">
        <f>IF(ISBLANK('ENGAGEMENTS 2026'!C1050),"",'ENGAGEMENTS 2026'!M1050)</f>
        <v/>
      </c>
      <c r="P1050">
        <f>IF(ISBLANK('ENGAGEMENTS 2026'!C1050),"",'ENGAGEMENTS 2026'!K1050)</f>
        <v/>
      </c>
      <c r="Q1050">
        <f>IF($A1050="","",IF(OR($E1050="INFRUCTUEUX",$E1050="ANNULE"),$A1050&amp;"|"&amp;(COUNTIFS($A$2:$A1050,$A1050,$E$2:$E1050,"INFRUCTUEUX")+COUNTIFS($A$2:$A1050,$A1050,$E$2:$E1050,"ANNULE")),""))</f>
        <v/>
      </c>
    </row>
    <row r="1051">
      <c r="A1051">
        <f>IF(ISBLANK('ENGAGEMENTS 2026'!C1051),"",IF('ENGAGEMENTS 2026'!C1051="DTSI","DCT",'ENGAGEMENTS 2026'!C1051))</f>
        <v/>
      </c>
      <c r="B1051">
        <f>IF(ISBLANK('ENGAGEMENTS 2026'!C1051),"",'ENGAGEMENTS 2026'!D1051)</f>
        <v/>
      </c>
      <c r="C1051">
        <f>IF(ISBLANK('ENGAGEMENTS 2026'!C1051),"",'ENGAGEMENTS 2026'!E1051)</f>
        <v/>
      </c>
      <c r="D1051">
        <f>IF(ISBLANK('ENGAGEMENTS 2026'!C1051),"",'ENGAGEMENTS 2026'!G1051)</f>
        <v/>
      </c>
      <c r="E1051">
        <f>IF(ISBLANK('ENGAGEMENTS 2026'!C1051),"",'ENGAGEMENTS 2026'!I1051)</f>
        <v/>
      </c>
      <c r="F1051">
        <f>IF(ISBLANK('ENGAGEMENTS 2026'!C1051),"",'ENGAGEMENTS 2026'!J1051)</f>
        <v/>
      </c>
      <c r="G1051">
        <f>IF(ISBLANK('ENGAGEMENTS 2026'!C1051),"",'ENGAGEMENTS 2026'!M1051)</f>
        <v/>
      </c>
      <c r="H1051">
        <f>IF(ISBLANK('ENGAGEMENTS 2026'!C1051),"",'ENGAGEMENTS 2026'!AF1051)</f>
        <v/>
      </c>
      <c r="I1051">
        <f>IF(ISBLANK('ENGAGEMENTS 2026'!C1051),"",'ENGAGEMENTS 2026'!H1051)</f>
        <v/>
      </c>
      <c r="J1051" s="275">
        <f>IF(ISBLANK('ENGAGEMENTS 2026'!C1051),"",IF(AND(OR($E1051="INFRUCTUEUX",$E1051="ANNULE"),$C1051="AOO-M"),'ENGAGEMENTS 2026'!P1051,IF($H1051="EN COURS DE PREENGAGEMENT",'ENGAGEMENTS 2026'!O1051,IF($H1051="PREENGAGE",IF($E1051="ATTRIBUE",'ENGAGEMENTS 2026'!AE1051,'ENGAGEMENTS 2026'!O1051),'ENGAGEMENTS 2026'!AE1051))))</f>
        <v/>
      </c>
      <c r="K1051" s="604">
        <f>IF(ISBLANK('ENGAGEMENTS 2026'!W1051),"",'ENGAGEMENTS 2026'!W1051)</f>
        <v/>
      </c>
      <c r="L1051" s="276">
        <f>IF($K1051="","",TODAY()-$K1051)</f>
        <v/>
      </c>
      <c r="M1051">
        <f>IF($A1051="","",IF($H1051="ENGAGE","Engagé",IF(AND($H1051="NON ENGAGE",OR($I1051="INFRUCTUEUX",$I1051="ANNULE")),"Clôturé sans suite","En cours")))</f>
        <v/>
      </c>
      <c r="N1051">
        <f>IF(ISBLANK('ENGAGEMENTS 2026'!C1051),"",'ENGAGEMENTS 2026'!L1051)</f>
        <v/>
      </c>
      <c r="O1051">
        <f>IF(ISBLANK('ENGAGEMENTS 2026'!C1051),"",'ENGAGEMENTS 2026'!M1051)</f>
        <v/>
      </c>
      <c r="P1051">
        <f>IF(ISBLANK('ENGAGEMENTS 2026'!C1051),"",'ENGAGEMENTS 2026'!K1051)</f>
        <v/>
      </c>
      <c r="Q1051">
        <f>IF($A1051="","",IF(OR($E1051="INFRUCTUEUX",$E1051="ANNULE"),$A1051&amp;"|"&amp;(COUNTIFS($A$2:$A1051,$A1051,$E$2:$E1051,"INFRUCTUEUX")+COUNTIFS($A$2:$A1051,$A1051,$E$2:$E1051,"ANNULE")),""))</f>
        <v/>
      </c>
    </row>
    <row r="1052">
      <c r="A1052">
        <f>IF(ISBLANK('ENGAGEMENTS 2026'!C1052),"",IF('ENGAGEMENTS 2026'!C1052="DTSI","DCT",'ENGAGEMENTS 2026'!C1052))</f>
        <v/>
      </c>
      <c r="B1052">
        <f>IF(ISBLANK('ENGAGEMENTS 2026'!C1052),"",'ENGAGEMENTS 2026'!D1052)</f>
        <v/>
      </c>
      <c r="C1052">
        <f>IF(ISBLANK('ENGAGEMENTS 2026'!C1052),"",'ENGAGEMENTS 2026'!E1052)</f>
        <v/>
      </c>
      <c r="D1052">
        <f>IF(ISBLANK('ENGAGEMENTS 2026'!C1052),"",'ENGAGEMENTS 2026'!G1052)</f>
        <v/>
      </c>
      <c r="E1052">
        <f>IF(ISBLANK('ENGAGEMENTS 2026'!C1052),"",'ENGAGEMENTS 2026'!I1052)</f>
        <v/>
      </c>
      <c r="F1052">
        <f>IF(ISBLANK('ENGAGEMENTS 2026'!C1052),"",'ENGAGEMENTS 2026'!J1052)</f>
        <v/>
      </c>
      <c r="G1052">
        <f>IF(ISBLANK('ENGAGEMENTS 2026'!C1052),"",'ENGAGEMENTS 2026'!M1052)</f>
        <v/>
      </c>
      <c r="H1052">
        <f>IF(ISBLANK('ENGAGEMENTS 2026'!C1052),"",'ENGAGEMENTS 2026'!AF1052)</f>
        <v/>
      </c>
      <c r="I1052">
        <f>IF(ISBLANK('ENGAGEMENTS 2026'!C1052),"",'ENGAGEMENTS 2026'!H1052)</f>
        <v/>
      </c>
      <c r="J1052" s="275">
        <f>IF(ISBLANK('ENGAGEMENTS 2026'!C1052),"",IF(AND(OR($E1052="INFRUCTUEUX",$E1052="ANNULE"),$C1052="AOO-M"),'ENGAGEMENTS 2026'!P1052,IF($H1052="EN COURS DE PREENGAGEMENT",'ENGAGEMENTS 2026'!O1052,IF($H1052="PREENGAGE",IF($E1052="ATTRIBUE",'ENGAGEMENTS 2026'!AE1052,'ENGAGEMENTS 2026'!O1052),'ENGAGEMENTS 2026'!AE1052))))</f>
        <v/>
      </c>
      <c r="K1052" s="604">
        <f>IF(ISBLANK('ENGAGEMENTS 2026'!W1052),"",'ENGAGEMENTS 2026'!W1052)</f>
        <v/>
      </c>
      <c r="L1052" s="276">
        <f>IF($K1052="","",TODAY()-$K1052)</f>
        <v/>
      </c>
      <c r="M1052">
        <f>IF($A1052="","",IF($H1052="ENGAGE","Engagé",IF(AND($H1052="NON ENGAGE",OR($I1052="INFRUCTUEUX",$I1052="ANNULE")),"Clôturé sans suite","En cours")))</f>
        <v/>
      </c>
      <c r="N1052">
        <f>IF(ISBLANK('ENGAGEMENTS 2026'!C1052),"",'ENGAGEMENTS 2026'!L1052)</f>
        <v/>
      </c>
      <c r="O1052">
        <f>IF(ISBLANK('ENGAGEMENTS 2026'!C1052),"",'ENGAGEMENTS 2026'!M1052)</f>
        <v/>
      </c>
      <c r="P1052">
        <f>IF(ISBLANK('ENGAGEMENTS 2026'!C1052),"",'ENGAGEMENTS 2026'!K1052)</f>
        <v/>
      </c>
      <c r="Q1052">
        <f>IF($A1052="","",IF(OR($E1052="INFRUCTUEUX",$E1052="ANNULE"),$A1052&amp;"|"&amp;(COUNTIFS($A$2:$A1052,$A1052,$E$2:$E1052,"INFRUCTUEUX")+COUNTIFS($A$2:$A1052,$A1052,$E$2:$E1052,"ANNULE")),""))</f>
        <v/>
      </c>
    </row>
    <row r="1053">
      <c r="A1053">
        <f>IF(ISBLANK('ENGAGEMENTS 2026'!C1053),"",IF('ENGAGEMENTS 2026'!C1053="DTSI","DCT",'ENGAGEMENTS 2026'!C1053))</f>
        <v/>
      </c>
      <c r="B1053">
        <f>IF(ISBLANK('ENGAGEMENTS 2026'!C1053),"",'ENGAGEMENTS 2026'!D1053)</f>
        <v/>
      </c>
      <c r="C1053">
        <f>IF(ISBLANK('ENGAGEMENTS 2026'!C1053),"",'ENGAGEMENTS 2026'!E1053)</f>
        <v/>
      </c>
      <c r="D1053">
        <f>IF(ISBLANK('ENGAGEMENTS 2026'!C1053),"",'ENGAGEMENTS 2026'!G1053)</f>
        <v/>
      </c>
      <c r="E1053">
        <f>IF(ISBLANK('ENGAGEMENTS 2026'!C1053),"",'ENGAGEMENTS 2026'!I1053)</f>
        <v/>
      </c>
      <c r="F1053">
        <f>IF(ISBLANK('ENGAGEMENTS 2026'!C1053),"",'ENGAGEMENTS 2026'!J1053)</f>
        <v/>
      </c>
      <c r="G1053">
        <f>IF(ISBLANK('ENGAGEMENTS 2026'!C1053),"",'ENGAGEMENTS 2026'!M1053)</f>
        <v/>
      </c>
      <c r="H1053">
        <f>IF(ISBLANK('ENGAGEMENTS 2026'!C1053),"",'ENGAGEMENTS 2026'!AF1053)</f>
        <v/>
      </c>
      <c r="I1053">
        <f>IF(ISBLANK('ENGAGEMENTS 2026'!C1053),"",'ENGAGEMENTS 2026'!H1053)</f>
        <v/>
      </c>
      <c r="J1053" s="275">
        <f>IF(ISBLANK('ENGAGEMENTS 2026'!C1053),"",IF(AND(OR($E1053="INFRUCTUEUX",$E1053="ANNULE"),$C1053="AOO-M"),'ENGAGEMENTS 2026'!P1053,IF($H1053="EN COURS DE PREENGAGEMENT",'ENGAGEMENTS 2026'!O1053,IF($H1053="PREENGAGE",IF($E1053="ATTRIBUE",'ENGAGEMENTS 2026'!AE1053,'ENGAGEMENTS 2026'!O1053),'ENGAGEMENTS 2026'!AE1053))))</f>
        <v/>
      </c>
      <c r="K1053" s="604">
        <f>IF(ISBLANK('ENGAGEMENTS 2026'!W1053),"",'ENGAGEMENTS 2026'!W1053)</f>
        <v/>
      </c>
      <c r="L1053" s="276">
        <f>IF($K1053="","",TODAY()-$K1053)</f>
        <v/>
      </c>
      <c r="M1053">
        <f>IF($A1053="","",IF($H1053="ENGAGE","Engagé",IF(AND($H1053="NON ENGAGE",OR($I1053="INFRUCTUEUX",$I1053="ANNULE")),"Clôturé sans suite","En cours")))</f>
        <v/>
      </c>
      <c r="N1053">
        <f>IF(ISBLANK('ENGAGEMENTS 2026'!C1053),"",'ENGAGEMENTS 2026'!L1053)</f>
        <v/>
      </c>
      <c r="O1053">
        <f>IF(ISBLANK('ENGAGEMENTS 2026'!C1053),"",'ENGAGEMENTS 2026'!M1053)</f>
        <v/>
      </c>
      <c r="P1053">
        <f>IF(ISBLANK('ENGAGEMENTS 2026'!C1053),"",'ENGAGEMENTS 2026'!K1053)</f>
        <v/>
      </c>
      <c r="Q1053">
        <f>IF($A1053="","",IF(OR($E1053="INFRUCTUEUX",$E1053="ANNULE"),$A1053&amp;"|"&amp;(COUNTIFS($A$2:$A1053,$A1053,$E$2:$E1053,"INFRUCTUEUX")+COUNTIFS($A$2:$A1053,$A1053,$E$2:$E1053,"ANNULE")),""))</f>
        <v/>
      </c>
    </row>
    <row r="1054">
      <c r="A1054">
        <f>IF(ISBLANK('ENGAGEMENTS 2026'!C1054),"",IF('ENGAGEMENTS 2026'!C1054="DTSI","DCT",'ENGAGEMENTS 2026'!C1054))</f>
        <v/>
      </c>
      <c r="B1054">
        <f>IF(ISBLANK('ENGAGEMENTS 2026'!C1054),"",'ENGAGEMENTS 2026'!D1054)</f>
        <v/>
      </c>
      <c r="C1054">
        <f>IF(ISBLANK('ENGAGEMENTS 2026'!C1054),"",'ENGAGEMENTS 2026'!E1054)</f>
        <v/>
      </c>
      <c r="D1054">
        <f>IF(ISBLANK('ENGAGEMENTS 2026'!C1054),"",'ENGAGEMENTS 2026'!G1054)</f>
        <v/>
      </c>
      <c r="E1054">
        <f>IF(ISBLANK('ENGAGEMENTS 2026'!C1054),"",'ENGAGEMENTS 2026'!I1054)</f>
        <v/>
      </c>
      <c r="F1054">
        <f>IF(ISBLANK('ENGAGEMENTS 2026'!C1054),"",'ENGAGEMENTS 2026'!J1054)</f>
        <v/>
      </c>
      <c r="G1054">
        <f>IF(ISBLANK('ENGAGEMENTS 2026'!C1054),"",'ENGAGEMENTS 2026'!M1054)</f>
        <v/>
      </c>
      <c r="H1054">
        <f>IF(ISBLANK('ENGAGEMENTS 2026'!C1054),"",'ENGAGEMENTS 2026'!AF1054)</f>
        <v/>
      </c>
      <c r="I1054">
        <f>IF(ISBLANK('ENGAGEMENTS 2026'!C1054),"",'ENGAGEMENTS 2026'!H1054)</f>
        <v/>
      </c>
      <c r="J1054" s="275">
        <f>IF(ISBLANK('ENGAGEMENTS 2026'!C1054),"",IF(AND(OR($E1054="INFRUCTUEUX",$E1054="ANNULE"),$C1054="AOO-M"),'ENGAGEMENTS 2026'!P1054,IF($H1054="EN COURS DE PREENGAGEMENT",'ENGAGEMENTS 2026'!O1054,IF($H1054="PREENGAGE",IF($E1054="ATTRIBUE",'ENGAGEMENTS 2026'!AE1054,'ENGAGEMENTS 2026'!O1054),'ENGAGEMENTS 2026'!AE1054))))</f>
        <v/>
      </c>
      <c r="K1054" s="604">
        <f>IF(ISBLANK('ENGAGEMENTS 2026'!W1054),"",'ENGAGEMENTS 2026'!W1054)</f>
        <v/>
      </c>
      <c r="L1054" s="276">
        <f>IF($K1054="","",TODAY()-$K1054)</f>
        <v/>
      </c>
      <c r="M1054">
        <f>IF($A1054="","",IF($H1054="ENGAGE","Engagé",IF(AND($H1054="NON ENGAGE",OR($I1054="INFRUCTUEUX",$I1054="ANNULE")),"Clôturé sans suite","En cours")))</f>
        <v/>
      </c>
      <c r="N1054">
        <f>IF(ISBLANK('ENGAGEMENTS 2026'!C1054),"",'ENGAGEMENTS 2026'!L1054)</f>
        <v/>
      </c>
      <c r="O1054">
        <f>IF(ISBLANK('ENGAGEMENTS 2026'!C1054),"",'ENGAGEMENTS 2026'!M1054)</f>
        <v/>
      </c>
      <c r="P1054">
        <f>IF(ISBLANK('ENGAGEMENTS 2026'!C1054),"",'ENGAGEMENTS 2026'!K1054)</f>
        <v/>
      </c>
      <c r="Q1054">
        <f>IF($A1054="","",IF(OR($E1054="INFRUCTUEUX",$E1054="ANNULE"),$A1054&amp;"|"&amp;(COUNTIFS($A$2:$A1054,$A1054,$E$2:$E1054,"INFRUCTUEUX")+COUNTIFS($A$2:$A1054,$A1054,$E$2:$E1054,"ANNULE")),""))</f>
        <v/>
      </c>
    </row>
    <row r="1055">
      <c r="A1055">
        <f>IF(ISBLANK('ENGAGEMENTS 2026'!C1055),"",IF('ENGAGEMENTS 2026'!C1055="DTSI","DCT",'ENGAGEMENTS 2026'!C1055))</f>
        <v/>
      </c>
      <c r="B1055">
        <f>IF(ISBLANK('ENGAGEMENTS 2026'!C1055),"",'ENGAGEMENTS 2026'!D1055)</f>
        <v/>
      </c>
      <c r="C1055">
        <f>IF(ISBLANK('ENGAGEMENTS 2026'!C1055),"",'ENGAGEMENTS 2026'!E1055)</f>
        <v/>
      </c>
      <c r="D1055">
        <f>IF(ISBLANK('ENGAGEMENTS 2026'!C1055),"",'ENGAGEMENTS 2026'!G1055)</f>
        <v/>
      </c>
      <c r="E1055">
        <f>IF(ISBLANK('ENGAGEMENTS 2026'!C1055),"",'ENGAGEMENTS 2026'!I1055)</f>
        <v/>
      </c>
      <c r="F1055">
        <f>IF(ISBLANK('ENGAGEMENTS 2026'!C1055),"",'ENGAGEMENTS 2026'!J1055)</f>
        <v/>
      </c>
      <c r="G1055">
        <f>IF(ISBLANK('ENGAGEMENTS 2026'!C1055),"",'ENGAGEMENTS 2026'!M1055)</f>
        <v/>
      </c>
      <c r="H1055">
        <f>IF(ISBLANK('ENGAGEMENTS 2026'!C1055),"",'ENGAGEMENTS 2026'!AF1055)</f>
        <v/>
      </c>
      <c r="I1055">
        <f>IF(ISBLANK('ENGAGEMENTS 2026'!C1055),"",'ENGAGEMENTS 2026'!H1055)</f>
        <v/>
      </c>
      <c r="J1055" s="275">
        <f>IF(ISBLANK('ENGAGEMENTS 2026'!C1055),"",IF(AND(OR($E1055="INFRUCTUEUX",$E1055="ANNULE"),$C1055="AOO-M"),'ENGAGEMENTS 2026'!P1055,IF($H1055="EN COURS DE PREENGAGEMENT",'ENGAGEMENTS 2026'!O1055,IF($H1055="PREENGAGE",IF($E1055="ATTRIBUE",'ENGAGEMENTS 2026'!AE1055,'ENGAGEMENTS 2026'!O1055),'ENGAGEMENTS 2026'!AE1055))))</f>
        <v/>
      </c>
      <c r="K1055" s="604">
        <f>IF(ISBLANK('ENGAGEMENTS 2026'!W1055),"",'ENGAGEMENTS 2026'!W1055)</f>
        <v/>
      </c>
      <c r="L1055" s="276">
        <f>IF($K1055="","",TODAY()-$K1055)</f>
        <v/>
      </c>
      <c r="M1055">
        <f>IF($A1055="","",IF($H1055="ENGAGE","Engagé",IF(AND($H1055="NON ENGAGE",OR($I1055="INFRUCTUEUX",$I1055="ANNULE")),"Clôturé sans suite","En cours")))</f>
        <v/>
      </c>
      <c r="N1055">
        <f>IF(ISBLANK('ENGAGEMENTS 2026'!C1055),"",'ENGAGEMENTS 2026'!L1055)</f>
        <v/>
      </c>
      <c r="O1055">
        <f>IF(ISBLANK('ENGAGEMENTS 2026'!C1055),"",'ENGAGEMENTS 2026'!M1055)</f>
        <v/>
      </c>
      <c r="P1055">
        <f>IF(ISBLANK('ENGAGEMENTS 2026'!C1055),"",'ENGAGEMENTS 2026'!K1055)</f>
        <v/>
      </c>
      <c r="Q1055">
        <f>IF($A1055="","",IF(OR($E1055="INFRUCTUEUX",$E1055="ANNULE"),$A1055&amp;"|"&amp;(COUNTIFS($A$2:$A1055,$A1055,$E$2:$E1055,"INFRUCTUEUX")+COUNTIFS($A$2:$A1055,$A1055,$E$2:$E1055,"ANNULE")),""))</f>
        <v/>
      </c>
    </row>
    <row r="1056">
      <c r="A1056">
        <f>IF(ISBLANK('ENGAGEMENTS 2026'!C1056),"",IF('ENGAGEMENTS 2026'!C1056="DTSI","DCT",'ENGAGEMENTS 2026'!C1056))</f>
        <v/>
      </c>
      <c r="B1056">
        <f>IF(ISBLANK('ENGAGEMENTS 2026'!C1056),"",'ENGAGEMENTS 2026'!D1056)</f>
        <v/>
      </c>
      <c r="C1056">
        <f>IF(ISBLANK('ENGAGEMENTS 2026'!C1056),"",'ENGAGEMENTS 2026'!E1056)</f>
        <v/>
      </c>
      <c r="D1056">
        <f>IF(ISBLANK('ENGAGEMENTS 2026'!C1056),"",'ENGAGEMENTS 2026'!G1056)</f>
        <v/>
      </c>
      <c r="E1056">
        <f>IF(ISBLANK('ENGAGEMENTS 2026'!C1056),"",'ENGAGEMENTS 2026'!I1056)</f>
        <v/>
      </c>
      <c r="F1056">
        <f>IF(ISBLANK('ENGAGEMENTS 2026'!C1056),"",'ENGAGEMENTS 2026'!J1056)</f>
        <v/>
      </c>
      <c r="G1056">
        <f>IF(ISBLANK('ENGAGEMENTS 2026'!C1056),"",'ENGAGEMENTS 2026'!M1056)</f>
        <v/>
      </c>
      <c r="H1056">
        <f>IF(ISBLANK('ENGAGEMENTS 2026'!C1056),"",'ENGAGEMENTS 2026'!AF1056)</f>
        <v/>
      </c>
      <c r="I1056">
        <f>IF(ISBLANK('ENGAGEMENTS 2026'!C1056),"",'ENGAGEMENTS 2026'!H1056)</f>
        <v/>
      </c>
      <c r="J1056" s="275">
        <f>IF(ISBLANK('ENGAGEMENTS 2026'!C1056),"",IF(AND(OR($E1056="INFRUCTUEUX",$E1056="ANNULE"),$C1056="AOO-M"),'ENGAGEMENTS 2026'!P1056,IF($H1056="EN COURS DE PREENGAGEMENT",'ENGAGEMENTS 2026'!O1056,IF($H1056="PREENGAGE",IF($E1056="ATTRIBUE",'ENGAGEMENTS 2026'!AE1056,'ENGAGEMENTS 2026'!O1056),'ENGAGEMENTS 2026'!AE1056))))</f>
        <v/>
      </c>
      <c r="K1056" s="604">
        <f>IF(ISBLANK('ENGAGEMENTS 2026'!W1056),"",'ENGAGEMENTS 2026'!W1056)</f>
        <v/>
      </c>
      <c r="L1056" s="276">
        <f>IF($K1056="","",TODAY()-$K1056)</f>
        <v/>
      </c>
      <c r="M1056">
        <f>IF($A1056="","",IF($H1056="ENGAGE","Engagé",IF(AND($H1056="NON ENGAGE",OR($I1056="INFRUCTUEUX",$I1056="ANNULE")),"Clôturé sans suite","En cours")))</f>
        <v/>
      </c>
      <c r="N1056">
        <f>IF(ISBLANK('ENGAGEMENTS 2026'!C1056),"",'ENGAGEMENTS 2026'!L1056)</f>
        <v/>
      </c>
      <c r="O1056">
        <f>IF(ISBLANK('ENGAGEMENTS 2026'!C1056),"",'ENGAGEMENTS 2026'!M1056)</f>
        <v/>
      </c>
      <c r="P1056">
        <f>IF(ISBLANK('ENGAGEMENTS 2026'!C1056),"",'ENGAGEMENTS 2026'!K1056)</f>
        <v/>
      </c>
      <c r="Q1056">
        <f>IF($A1056="","",IF(OR($E1056="INFRUCTUEUX",$E1056="ANNULE"),$A1056&amp;"|"&amp;(COUNTIFS($A$2:$A1056,$A1056,$E$2:$E1056,"INFRUCTUEUX")+COUNTIFS($A$2:$A1056,$A1056,$E$2:$E1056,"ANNULE")),""))</f>
        <v/>
      </c>
    </row>
    <row r="1057">
      <c r="A1057">
        <f>IF(ISBLANK('ENGAGEMENTS 2026'!C1057),"",IF('ENGAGEMENTS 2026'!C1057="DTSI","DCT",'ENGAGEMENTS 2026'!C1057))</f>
        <v/>
      </c>
      <c r="B1057">
        <f>IF(ISBLANK('ENGAGEMENTS 2026'!C1057),"",'ENGAGEMENTS 2026'!D1057)</f>
        <v/>
      </c>
      <c r="C1057">
        <f>IF(ISBLANK('ENGAGEMENTS 2026'!C1057),"",'ENGAGEMENTS 2026'!E1057)</f>
        <v/>
      </c>
      <c r="D1057">
        <f>IF(ISBLANK('ENGAGEMENTS 2026'!C1057),"",'ENGAGEMENTS 2026'!G1057)</f>
        <v/>
      </c>
      <c r="E1057">
        <f>IF(ISBLANK('ENGAGEMENTS 2026'!C1057),"",'ENGAGEMENTS 2026'!I1057)</f>
        <v/>
      </c>
      <c r="F1057">
        <f>IF(ISBLANK('ENGAGEMENTS 2026'!C1057),"",'ENGAGEMENTS 2026'!J1057)</f>
        <v/>
      </c>
      <c r="G1057">
        <f>IF(ISBLANK('ENGAGEMENTS 2026'!C1057),"",'ENGAGEMENTS 2026'!M1057)</f>
        <v/>
      </c>
      <c r="H1057">
        <f>IF(ISBLANK('ENGAGEMENTS 2026'!C1057),"",'ENGAGEMENTS 2026'!AF1057)</f>
        <v/>
      </c>
      <c r="I1057">
        <f>IF(ISBLANK('ENGAGEMENTS 2026'!C1057),"",'ENGAGEMENTS 2026'!H1057)</f>
        <v/>
      </c>
      <c r="J1057" s="275">
        <f>IF(ISBLANK('ENGAGEMENTS 2026'!C1057),"",IF(AND(OR($E1057="INFRUCTUEUX",$E1057="ANNULE"),$C1057="AOO-M"),'ENGAGEMENTS 2026'!P1057,IF($H1057="EN COURS DE PREENGAGEMENT",'ENGAGEMENTS 2026'!O1057,IF($H1057="PREENGAGE",IF($E1057="ATTRIBUE",'ENGAGEMENTS 2026'!AE1057,'ENGAGEMENTS 2026'!O1057),'ENGAGEMENTS 2026'!AE1057))))</f>
        <v/>
      </c>
      <c r="K1057" s="604">
        <f>IF(ISBLANK('ENGAGEMENTS 2026'!W1057),"",'ENGAGEMENTS 2026'!W1057)</f>
        <v/>
      </c>
      <c r="L1057" s="276">
        <f>IF($K1057="","",TODAY()-$K1057)</f>
        <v/>
      </c>
      <c r="M1057">
        <f>IF($A1057="","",IF($H1057="ENGAGE","Engagé",IF(AND($H1057="NON ENGAGE",OR($I1057="INFRUCTUEUX",$I1057="ANNULE")),"Clôturé sans suite","En cours")))</f>
        <v/>
      </c>
      <c r="N1057">
        <f>IF(ISBLANK('ENGAGEMENTS 2026'!C1057),"",'ENGAGEMENTS 2026'!L1057)</f>
        <v/>
      </c>
      <c r="O1057">
        <f>IF(ISBLANK('ENGAGEMENTS 2026'!C1057),"",'ENGAGEMENTS 2026'!M1057)</f>
        <v/>
      </c>
      <c r="P1057">
        <f>IF(ISBLANK('ENGAGEMENTS 2026'!C1057),"",'ENGAGEMENTS 2026'!K1057)</f>
        <v/>
      </c>
      <c r="Q1057">
        <f>IF($A1057="","",IF(OR($E1057="INFRUCTUEUX",$E1057="ANNULE"),$A1057&amp;"|"&amp;(COUNTIFS($A$2:$A1057,$A1057,$E$2:$E1057,"INFRUCTUEUX")+COUNTIFS($A$2:$A1057,$A1057,$E$2:$E1057,"ANNULE")),""))</f>
        <v/>
      </c>
    </row>
    <row r="1058">
      <c r="A1058">
        <f>IF(ISBLANK('ENGAGEMENTS 2026'!C1058),"",IF('ENGAGEMENTS 2026'!C1058="DTSI","DCT",'ENGAGEMENTS 2026'!C1058))</f>
        <v/>
      </c>
      <c r="B1058">
        <f>IF(ISBLANK('ENGAGEMENTS 2026'!C1058),"",'ENGAGEMENTS 2026'!D1058)</f>
        <v/>
      </c>
      <c r="C1058">
        <f>IF(ISBLANK('ENGAGEMENTS 2026'!C1058),"",'ENGAGEMENTS 2026'!E1058)</f>
        <v/>
      </c>
      <c r="D1058">
        <f>IF(ISBLANK('ENGAGEMENTS 2026'!C1058),"",'ENGAGEMENTS 2026'!G1058)</f>
        <v/>
      </c>
      <c r="E1058">
        <f>IF(ISBLANK('ENGAGEMENTS 2026'!C1058),"",'ENGAGEMENTS 2026'!I1058)</f>
        <v/>
      </c>
      <c r="F1058">
        <f>IF(ISBLANK('ENGAGEMENTS 2026'!C1058),"",'ENGAGEMENTS 2026'!J1058)</f>
        <v/>
      </c>
      <c r="G1058">
        <f>IF(ISBLANK('ENGAGEMENTS 2026'!C1058),"",'ENGAGEMENTS 2026'!M1058)</f>
        <v/>
      </c>
      <c r="H1058">
        <f>IF(ISBLANK('ENGAGEMENTS 2026'!C1058),"",'ENGAGEMENTS 2026'!AF1058)</f>
        <v/>
      </c>
      <c r="I1058">
        <f>IF(ISBLANK('ENGAGEMENTS 2026'!C1058),"",'ENGAGEMENTS 2026'!H1058)</f>
        <v/>
      </c>
      <c r="J1058" s="275">
        <f>IF(ISBLANK('ENGAGEMENTS 2026'!C1058),"",IF(AND(OR($E1058="INFRUCTUEUX",$E1058="ANNULE"),$C1058="AOO-M"),'ENGAGEMENTS 2026'!P1058,IF($H1058="EN COURS DE PREENGAGEMENT",'ENGAGEMENTS 2026'!O1058,IF($H1058="PREENGAGE",IF($E1058="ATTRIBUE",'ENGAGEMENTS 2026'!AE1058,'ENGAGEMENTS 2026'!O1058),'ENGAGEMENTS 2026'!AE1058))))</f>
        <v/>
      </c>
      <c r="K1058" s="604">
        <f>IF(ISBLANK('ENGAGEMENTS 2026'!W1058),"",'ENGAGEMENTS 2026'!W1058)</f>
        <v/>
      </c>
      <c r="L1058" s="276">
        <f>IF($K1058="","",TODAY()-$K1058)</f>
        <v/>
      </c>
      <c r="M1058">
        <f>IF($A1058="","",IF($H1058="ENGAGE","Engagé",IF(AND($H1058="NON ENGAGE",OR($I1058="INFRUCTUEUX",$I1058="ANNULE")),"Clôturé sans suite","En cours")))</f>
        <v/>
      </c>
      <c r="N1058">
        <f>IF(ISBLANK('ENGAGEMENTS 2026'!C1058),"",'ENGAGEMENTS 2026'!L1058)</f>
        <v/>
      </c>
      <c r="O1058">
        <f>IF(ISBLANK('ENGAGEMENTS 2026'!C1058),"",'ENGAGEMENTS 2026'!M1058)</f>
        <v/>
      </c>
      <c r="P1058">
        <f>IF(ISBLANK('ENGAGEMENTS 2026'!C1058),"",'ENGAGEMENTS 2026'!K1058)</f>
        <v/>
      </c>
      <c r="Q1058">
        <f>IF($A1058="","",IF(OR($E1058="INFRUCTUEUX",$E1058="ANNULE"),$A1058&amp;"|"&amp;(COUNTIFS($A$2:$A1058,$A1058,$E$2:$E1058,"INFRUCTUEUX")+COUNTIFS($A$2:$A1058,$A1058,$E$2:$E1058,"ANNULE")),""))</f>
        <v/>
      </c>
    </row>
    <row r="1059">
      <c r="A1059">
        <f>IF(ISBLANK('ENGAGEMENTS 2026'!C1059),"",IF('ENGAGEMENTS 2026'!C1059="DTSI","DCT",'ENGAGEMENTS 2026'!C1059))</f>
        <v/>
      </c>
      <c r="B1059">
        <f>IF(ISBLANK('ENGAGEMENTS 2026'!C1059),"",'ENGAGEMENTS 2026'!D1059)</f>
        <v/>
      </c>
      <c r="C1059">
        <f>IF(ISBLANK('ENGAGEMENTS 2026'!C1059),"",'ENGAGEMENTS 2026'!E1059)</f>
        <v/>
      </c>
      <c r="D1059">
        <f>IF(ISBLANK('ENGAGEMENTS 2026'!C1059),"",'ENGAGEMENTS 2026'!G1059)</f>
        <v/>
      </c>
      <c r="E1059">
        <f>IF(ISBLANK('ENGAGEMENTS 2026'!C1059),"",'ENGAGEMENTS 2026'!I1059)</f>
        <v/>
      </c>
      <c r="F1059">
        <f>IF(ISBLANK('ENGAGEMENTS 2026'!C1059),"",'ENGAGEMENTS 2026'!J1059)</f>
        <v/>
      </c>
      <c r="G1059">
        <f>IF(ISBLANK('ENGAGEMENTS 2026'!C1059),"",'ENGAGEMENTS 2026'!M1059)</f>
        <v/>
      </c>
      <c r="H1059">
        <f>IF(ISBLANK('ENGAGEMENTS 2026'!C1059),"",'ENGAGEMENTS 2026'!AF1059)</f>
        <v/>
      </c>
      <c r="I1059">
        <f>IF(ISBLANK('ENGAGEMENTS 2026'!C1059),"",'ENGAGEMENTS 2026'!H1059)</f>
        <v/>
      </c>
      <c r="J1059" s="275">
        <f>IF(ISBLANK('ENGAGEMENTS 2026'!C1059),"",IF(AND(OR($E1059="INFRUCTUEUX",$E1059="ANNULE"),$C1059="AOO-M"),'ENGAGEMENTS 2026'!P1059,IF($H1059="EN COURS DE PREENGAGEMENT",'ENGAGEMENTS 2026'!O1059,IF($H1059="PREENGAGE",IF($E1059="ATTRIBUE",'ENGAGEMENTS 2026'!AE1059,'ENGAGEMENTS 2026'!O1059),'ENGAGEMENTS 2026'!AE1059))))</f>
        <v/>
      </c>
      <c r="K1059" s="604">
        <f>IF(ISBLANK('ENGAGEMENTS 2026'!W1059),"",'ENGAGEMENTS 2026'!W1059)</f>
        <v/>
      </c>
      <c r="L1059" s="276">
        <f>IF($K1059="","",TODAY()-$K1059)</f>
        <v/>
      </c>
      <c r="M1059">
        <f>IF($A1059="","",IF($H1059="ENGAGE","Engagé",IF(AND($H1059="NON ENGAGE",OR($I1059="INFRUCTUEUX",$I1059="ANNULE")),"Clôturé sans suite","En cours")))</f>
        <v/>
      </c>
      <c r="N1059">
        <f>IF(ISBLANK('ENGAGEMENTS 2026'!C1059),"",'ENGAGEMENTS 2026'!L1059)</f>
        <v/>
      </c>
      <c r="O1059">
        <f>IF(ISBLANK('ENGAGEMENTS 2026'!C1059),"",'ENGAGEMENTS 2026'!M1059)</f>
        <v/>
      </c>
      <c r="P1059">
        <f>IF(ISBLANK('ENGAGEMENTS 2026'!C1059),"",'ENGAGEMENTS 2026'!K1059)</f>
        <v/>
      </c>
      <c r="Q1059">
        <f>IF($A1059="","",IF(OR($E1059="INFRUCTUEUX",$E1059="ANNULE"),$A1059&amp;"|"&amp;(COUNTIFS($A$2:$A1059,$A1059,$E$2:$E1059,"INFRUCTUEUX")+COUNTIFS($A$2:$A1059,$A1059,$E$2:$E1059,"ANNULE")),""))</f>
        <v/>
      </c>
    </row>
    <row r="1060">
      <c r="A1060">
        <f>IF(ISBLANK('ENGAGEMENTS 2026'!C1060),"",IF('ENGAGEMENTS 2026'!C1060="DTSI","DCT",'ENGAGEMENTS 2026'!C1060))</f>
        <v/>
      </c>
      <c r="B1060">
        <f>IF(ISBLANK('ENGAGEMENTS 2026'!C1060),"",'ENGAGEMENTS 2026'!D1060)</f>
        <v/>
      </c>
      <c r="C1060">
        <f>IF(ISBLANK('ENGAGEMENTS 2026'!C1060),"",'ENGAGEMENTS 2026'!E1060)</f>
        <v/>
      </c>
      <c r="D1060">
        <f>IF(ISBLANK('ENGAGEMENTS 2026'!C1060),"",'ENGAGEMENTS 2026'!G1060)</f>
        <v/>
      </c>
      <c r="E1060">
        <f>IF(ISBLANK('ENGAGEMENTS 2026'!C1060),"",'ENGAGEMENTS 2026'!I1060)</f>
        <v/>
      </c>
      <c r="F1060">
        <f>IF(ISBLANK('ENGAGEMENTS 2026'!C1060),"",'ENGAGEMENTS 2026'!J1060)</f>
        <v/>
      </c>
      <c r="G1060">
        <f>IF(ISBLANK('ENGAGEMENTS 2026'!C1060),"",'ENGAGEMENTS 2026'!M1060)</f>
        <v/>
      </c>
      <c r="H1060">
        <f>IF(ISBLANK('ENGAGEMENTS 2026'!C1060),"",'ENGAGEMENTS 2026'!AF1060)</f>
        <v/>
      </c>
      <c r="I1060">
        <f>IF(ISBLANK('ENGAGEMENTS 2026'!C1060),"",'ENGAGEMENTS 2026'!H1060)</f>
        <v/>
      </c>
      <c r="J1060" s="275">
        <f>IF(ISBLANK('ENGAGEMENTS 2026'!C1060),"",IF(AND(OR($E1060="INFRUCTUEUX",$E1060="ANNULE"),$C1060="AOO-M"),'ENGAGEMENTS 2026'!P1060,IF($H1060="EN COURS DE PREENGAGEMENT",'ENGAGEMENTS 2026'!O1060,IF($H1060="PREENGAGE",IF($E1060="ATTRIBUE",'ENGAGEMENTS 2026'!AE1060,'ENGAGEMENTS 2026'!O1060),'ENGAGEMENTS 2026'!AE1060))))</f>
        <v/>
      </c>
      <c r="K1060" s="604">
        <f>IF(ISBLANK('ENGAGEMENTS 2026'!W1060),"",'ENGAGEMENTS 2026'!W1060)</f>
        <v/>
      </c>
      <c r="L1060" s="276">
        <f>IF($K1060="","",TODAY()-$K1060)</f>
        <v/>
      </c>
      <c r="M1060">
        <f>IF($A1060="","",IF($H1060="ENGAGE","Engagé",IF(AND($H1060="NON ENGAGE",OR($I1060="INFRUCTUEUX",$I1060="ANNULE")),"Clôturé sans suite","En cours")))</f>
        <v/>
      </c>
      <c r="N1060">
        <f>IF(ISBLANK('ENGAGEMENTS 2026'!C1060),"",'ENGAGEMENTS 2026'!L1060)</f>
        <v/>
      </c>
      <c r="O1060">
        <f>IF(ISBLANK('ENGAGEMENTS 2026'!C1060),"",'ENGAGEMENTS 2026'!M1060)</f>
        <v/>
      </c>
      <c r="P1060">
        <f>IF(ISBLANK('ENGAGEMENTS 2026'!C1060),"",'ENGAGEMENTS 2026'!K1060)</f>
        <v/>
      </c>
      <c r="Q1060">
        <f>IF($A1060="","",IF(OR($E1060="INFRUCTUEUX",$E1060="ANNULE"),$A1060&amp;"|"&amp;(COUNTIFS($A$2:$A1060,$A1060,$E$2:$E1060,"INFRUCTUEUX")+COUNTIFS($A$2:$A1060,$A1060,$E$2:$E1060,"ANNULE")),""))</f>
        <v/>
      </c>
    </row>
    <row r="1061">
      <c r="A1061">
        <f>IF(ISBLANK('ENGAGEMENTS 2026'!C1061),"",IF('ENGAGEMENTS 2026'!C1061="DTSI","DCT",'ENGAGEMENTS 2026'!C1061))</f>
        <v/>
      </c>
      <c r="B1061">
        <f>IF(ISBLANK('ENGAGEMENTS 2026'!C1061),"",'ENGAGEMENTS 2026'!D1061)</f>
        <v/>
      </c>
      <c r="C1061">
        <f>IF(ISBLANK('ENGAGEMENTS 2026'!C1061),"",'ENGAGEMENTS 2026'!E1061)</f>
        <v/>
      </c>
      <c r="D1061">
        <f>IF(ISBLANK('ENGAGEMENTS 2026'!C1061),"",'ENGAGEMENTS 2026'!G1061)</f>
        <v/>
      </c>
      <c r="E1061">
        <f>IF(ISBLANK('ENGAGEMENTS 2026'!C1061),"",'ENGAGEMENTS 2026'!I1061)</f>
        <v/>
      </c>
      <c r="F1061">
        <f>IF(ISBLANK('ENGAGEMENTS 2026'!C1061),"",'ENGAGEMENTS 2026'!J1061)</f>
        <v/>
      </c>
      <c r="G1061">
        <f>IF(ISBLANK('ENGAGEMENTS 2026'!C1061),"",'ENGAGEMENTS 2026'!M1061)</f>
        <v/>
      </c>
      <c r="H1061">
        <f>IF(ISBLANK('ENGAGEMENTS 2026'!C1061),"",'ENGAGEMENTS 2026'!AF1061)</f>
        <v/>
      </c>
      <c r="I1061">
        <f>IF(ISBLANK('ENGAGEMENTS 2026'!C1061),"",'ENGAGEMENTS 2026'!H1061)</f>
        <v/>
      </c>
      <c r="J1061" s="275">
        <f>IF(ISBLANK('ENGAGEMENTS 2026'!C1061),"",IF(AND(OR($E1061="INFRUCTUEUX",$E1061="ANNULE"),$C1061="AOO-M"),'ENGAGEMENTS 2026'!P1061,IF($H1061="EN COURS DE PREENGAGEMENT",'ENGAGEMENTS 2026'!O1061,IF($H1061="PREENGAGE",IF($E1061="ATTRIBUE",'ENGAGEMENTS 2026'!AE1061,'ENGAGEMENTS 2026'!O1061),'ENGAGEMENTS 2026'!AE1061))))</f>
        <v/>
      </c>
      <c r="K1061" s="604">
        <f>IF(ISBLANK('ENGAGEMENTS 2026'!W1061),"",'ENGAGEMENTS 2026'!W1061)</f>
        <v/>
      </c>
      <c r="L1061" s="276">
        <f>IF($K1061="","",TODAY()-$K1061)</f>
        <v/>
      </c>
      <c r="M1061">
        <f>IF($A1061="","",IF($H1061="ENGAGE","Engagé",IF(AND($H1061="NON ENGAGE",OR($I1061="INFRUCTUEUX",$I1061="ANNULE")),"Clôturé sans suite","En cours")))</f>
        <v/>
      </c>
      <c r="N1061">
        <f>IF(ISBLANK('ENGAGEMENTS 2026'!C1061),"",'ENGAGEMENTS 2026'!L1061)</f>
        <v/>
      </c>
      <c r="O1061">
        <f>IF(ISBLANK('ENGAGEMENTS 2026'!C1061),"",'ENGAGEMENTS 2026'!M1061)</f>
        <v/>
      </c>
      <c r="P1061">
        <f>IF(ISBLANK('ENGAGEMENTS 2026'!C1061),"",'ENGAGEMENTS 2026'!K1061)</f>
        <v/>
      </c>
      <c r="Q1061">
        <f>IF($A1061="","",IF(OR($E1061="INFRUCTUEUX",$E1061="ANNULE"),$A1061&amp;"|"&amp;(COUNTIFS($A$2:$A1061,$A1061,$E$2:$E1061,"INFRUCTUEUX")+COUNTIFS($A$2:$A1061,$A1061,$E$2:$E1061,"ANNULE")),""))</f>
        <v/>
      </c>
    </row>
    <row r="1062">
      <c r="A1062">
        <f>IF(ISBLANK('ENGAGEMENTS 2026'!C1062),"",IF('ENGAGEMENTS 2026'!C1062="DTSI","DCT",'ENGAGEMENTS 2026'!C1062))</f>
        <v/>
      </c>
      <c r="B1062">
        <f>IF(ISBLANK('ENGAGEMENTS 2026'!C1062),"",'ENGAGEMENTS 2026'!D1062)</f>
        <v/>
      </c>
      <c r="C1062">
        <f>IF(ISBLANK('ENGAGEMENTS 2026'!C1062),"",'ENGAGEMENTS 2026'!E1062)</f>
        <v/>
      </c>
      <c r="D1062">
        <f>IF(ISBLANK('ENGAGEMENTS 2026'!C1062),"",'ENGAGEMENTS 2026'!G1062)</f>
        <v/>
      </c>
      <c r="E1062">
        <f>IF(ISBLANK('ENGAGEMENTS 2026'!C1062),"",'ENGAGEMENTS 2026'!I1062)</f>
        <v/>
      </c>
      <c r="F1062">
        <f>IF(ISBLANK('ENGAGEMENTS 2026'!C1062),"",'ENGAGEMENTS 2026'!J1062)</f>
        <v/>
      </c>
      <c r="G1062">
        <f>IF(ISBLANK('ENGAGEMENTS 2026'!C1062),"",'ENGAGEMENTS 2026'!M1062)</f>
        <v/>
      </c>
      <c r="H1062">
        <f>IF(ISBLANK('ENGAGEMENTS 2026'!C1062),"",'ENGAGEMENTS 2026'!AF1062)</f>
        <v/>
      </c>
      <c r="I1062">
        <f>IF(ISBLANK('ENGAGEMENTS 2026'!C1062),"",'ENGAGEMENTS 2026'!H1062)</f>
        <v/>
      </c>
      <c r="J1062" s="275">
        <f>IF(ISBLANK('ENGAGEMENTS 2026'!C1062),"",IF(AND(OR($E1062="INFRUCTUEUX",$E1062="ANNULE"),$C1062="AOO-M"),'ENGAGEMENTS 2026'!P1062,IF($H1062="EN COURS DE PREENGAGEMENT",'ENGAGEMENTS 2026'!O1062,IF($H1062="PREENGAGE",IF($E1062="ATTRIBUE",'ENGAGEMENTS 2026'!AE1062,'ENGAGEMENTS 2026'!O1062),'ENGAGEMENTS 2026'!AE1062))))</f>
        <v/>
      </c>
      <c r="K1062" s="604">
        <f>IF(ISBLANK('ENGAGEMENTS 2026'!W1062),"",'ENGAGEMENTS 2026'!W1062)</f>
        <v/>
      </c>
      <c r="L1062" s="276">
        <f>IF($K1062="","",TODAY()-$K1062)</f>
        <v/>
      </c>
      <c r="M1062">
        <f>IF($A1062="","",IF($H1062="ENGAGE","Engagé",IF(AND($H1062="NON ENGAGE",OR($I1062="INFRUCTUEUX",$I1062="ANNULE")),"Clôturé sans suite","En cours")))</f>
        <v/>
      </c>
      <c r="N1062">
        <f>IF(ISBLANK('ENGAGEMENTS 2026'!C1062),"",'ENGAGEMENTS 2026'!L1062)</f>
        <v/>
      </c>
      <c r="O1062">
        <f>IF(ISBLANK('ENGAGEMENTS 2026'!C1062),"",'ENGAGEMENTS 2026'!M1062)</f>
        <v/>
      </c>
      <c r="P1062">
        <f>IF(ISBLANK('ENGAGEMENTS 2026'!C1062),"",'ENGAGEMENTS 2026'!K1062)</f>
        <v/>
      </c>
      <c r="Q1062">
        <f>IF($A1062="","",IF(OR($E1062="INFRUCTUEUX",$E1062="ANNULE"),$A1062&amp;"|"&amp;(COUNTIFS($A$2:$A1062,$A1062,$E$2:$E1062,"INFRUCTUEUX")+COUNTIFS($A$2:$A1062,$A1062,$E$2:$E1062,"ANNULE")),""))</f>
        <v/>
      </c>
    </row>
    <row r="1063">
      <c r="A1063">
        <f>IF(ISBLANK('ENGAGEMENTS 2026'!C1063),"",IF('ENGAGEMENTS 2026'!C1063="DTSI","DCT",'ENGAGEMENTS 2026'!C1063))</f>
        <v/>
      </c>
      <c r="B1063">
        <f>IF(ISBLANK('ENGAGEMENTS 2026'!C1063),"",'ENGAGEMENTS 2026'!D1063)</f>
        <v/>
      </c>
      <c r="C1063">
        <f>IF(ISBLANK('ENGAGEMENTS 2026'!C1063),"",'ENGAGEMENTS 2026'!E1063)</f>
        <v/>
      </c>
      <c r="D1063">
        <f>IF(ISBLANK('ENGAGEMENTS 2026'!C1063),"",'ENGAGEMENTS 2026'!G1063)</f>
        <v/>
      </c>
      <c r="E1063">
        <f>IF(ISBLANK('ENGAGEMENTS 2026'!C1063),"",'ENGAGEMENTS 2026'!I1063)</f>
        <v/>
      </c>
      <c r="F1063">
        <f>IF(ISBLANK('ENGAGEMENTS 2026'!C1063),"",'ENGAGEMENTS 2026'!J1063)</f>
        <v/>
      </c>
      <c r="G1063">
        <f>IF(ISBLANK('ENGAGEMENTS 2026'!C1063),"",'ENGAGEMENTS 2026'!M1063)</f>
        <v/>
      </c>
      <c r="H1063">
        <f>IF(ISBLANK('ENGAGEMENTS 2026'!C1063),"",'ENGAGEMENTS 2026'!AF1063)</f>
        <v/>
      </c>
      <c r="I1063">
        <f>IF(ISBLANK('ENGAGEMENTS 2026'!C1063),"",'ENGAGEMENTS 2026'!H1063)</f>
        <v/>
      </c>
      <c r="J1063" s="275">
        <f>IF(ISBLANK('ENGAGEMENTS 2026'!C1063),"",IF(AND(OR($E1063="INFRUCTUEUX",$E1063="ANNULE"),$C1063="AOO-M"),'ENGAGEMENTS 2026'!P1063,IF($H1063="EN COURS DE PREENGAGEMENT",'ENGAGEMENTS 2026'!O1063,IF($H1063="PREENGAGE",IF($E1063="ATTRIBUE",'ENGAGEMENTS 2026'!AE1063,'ENGAGEMENTS 2026'!O1063),'ENGAGEMENTS 2026'!AE1063))))</f>
        <v/>
      </c>
      <c r="K1063" s="604">
        <f>IF(ISBLANK('ENGAGEMENTS 2026'!W1063),"",'ENGAGEMENTS 2026'!W1063)</f>
        <v/>
      </c>
      <c r="L1063" s="276">
        <f>IF($K1063="","",TODAY()-$K1063)</f>
        <v/>
      </c>
      <c r="M1063">
        <f>IF($A1063="","",IF($H1063="ENGAGE","Engagé",IF(AND($H1063="NON ENGAGE",OR($I1063="INFRUCTUEUX",$I1063="ANNULE")),"Clôturé sans suite","En cours")))</f>
        <v/>
      </c>
      <c r="N1063">
        <f>IF(ISBLANK('ENGAGEMENTS 2026'!C1063),"",'ENGAGEMENTS 2026'!L1063)</f>
        <v/>
      </c>
      <c r="O1063">
        <f>IF(ISBLANK('ENGAGEMENTS 2026'!C1063),"",'ENGAGEMENTS 2026'!M1063)</f>
        <v/>
      </c>
      <c r="P1063">
        <f>IF(ISBLANK('ENGAGEMENTS 2026'!C1063),"",'ENGAGEMENTS 2026'!K1063)</f>
        <v/>
      </c>
      <c r="Q1063">
        <f>IF($A1063="","",IF(OR($E1063="INFRUCTUEUX",$E1063="ANNULE"),$A1063&amp;"|"&amp;(COUNTIFS($A$2:$A1063,$A1063,$E$2:$E1063,"INFRUCTUEUX")+COUNTIFS($A$2:$A1063,$A1063,$E$2:$E1063,"ANNULE")),""))</f>
        <v/>
      </c>
    </row>
    <row r="1064">
      <c r="A1064">
        <f>IF(ISBLANK('ENGAGEMENTS 2026'!C1064),"",IF('ENGAGEMENTS 2026'!C1064="DTSI","DCT",'ENGAGEMENTS 2026'!C1064))</f>
        <v/>
      </c>
      <c r="B1064">
        <f>IF(ISBLANK('ENGAGEMENTS 2026'!C1064),"",'ENGAGEMENTS 2026'!D1064)</f>
        <v/>
      </c>
      <c r="C1064">
        <f>IF(ISBLANK('ENGAGEMENTS 2026'!C1064),"",'ENGAGEMENTS 2026'!E1064)</f>
        <v/>
      </c>
      <c r="D1064">
        <f>IF(ISBLANK('ENGAGEMENTS 2026'!C1064),"",'ENGAGEMENTS 2026'!G1064)</f>
        <v/>
      </c>
      <c r="E1064">
        <f>IF(ISBLANK('ENGAGEMENTS 2026'!C1064),"",'ENGAGEMENTS 2026'!I1064)</f>
        <v/>
      </c>
      <c r="F1064">
        <f>IF(ISBLANK('ENGAGEMENTS 2026'!C1064),"",'ENGAGEMENTS 2026'!J1064)</f>
        <v/>
      </c>
      <c r="G1064">
        <f>IF(ISBLANK('ENGAGEMENTS 2026'!C1064),"",'ENGAGEMENTS 2026'!M1064)</f>
        <v/>
      </c>
      <c r="H1064">
        <f>IF(ISBLANK('ENGAGEMENTS 2026'!C1064),"",'ENGAGEMENTS 2026'!AF1064)</f>
        <v/>
      </c>
      <c r="I1064">
        <f>IF(ISBLANK('ENGAGEMENTS 2026'!C1064),"",'ENGAGEMENTS 2026'!H1064)</f>
        <v/>
      </c>
      <c r="J1064" s="275">
        <f>IF(ISBLANK('ENGAGEMENTS 2026'!C1064),"",IF(AND(OR($E1064="INFRUCTUEUX",$E1064="ANNULE"),$C1064="AOO-M"),'ENGAGEMENTS 2026'!P1064,IF($H1064="EN COURS DE PREENGAGEMENT",'ENGAGEMENTS 2026'!O1064,IF($H1064="PREENGAGE",IF($E1064="ATTRIBUE",'ENGAGEMENTS 2026'!AE1064,'ENGAGEMENTS 2026'!O1064),'ENGAGEMENTS 2026'!AE1064))))</f>
        <v/>
      </c>
      <c r="K1064" s="604">
        <f>IF(ISBLANK('ENGAGEMENTS 2026'!W1064),"",'ENGAGEMENTS 2026'!W1064)</f>
        <v/>
      </c>
      <c r="L1064" s="276">
        <f>IF($K1064="","",TODAY()-$K1064)</f>
        <v/>
      </c>
      <c r="M1064">
        <f>IF($A1064="","",IF($H1064="ENGAGE","Engagé",IF(AND($H1064="NON ENGAGE",OR($I1064="INFRUCTUEUX",$I1064="ANNULE")),"Clôturé sans suite","En cours")))</f>
        <v/>
      </c>
      <c r="N1064">
        <f>IF(ISBLANK('ENGAGEMENTS 2026'!C1064),"",'ENGAGEMENTS 2026'!L1064)</f>
        <v/>
      </c>
      <c r="O1064">
        <f>IF(ISBLANK('ENGAGEMENTS 2026'!C1064),"",'ENGAGEMENTS 2026'!M1064)</f>
        <v/>
      </c>
      <c r="P1064">
        <f>IF(ISBLANK('ENGAGEMENTS 2026'!C1064),"",'ENGAGEMENTS 2026'!K1064)</f>
        <v/>
      </c>
      <c r="Q1064">
        <f>IF($A1064="","",IF(OR($E1064="INFRUCTUEUX",$E1064="ANNULE"),$A1064&amp;"|"&amp;(COUNTIFS($A$2:$A1064,$A1064,$E$2:$E1064,"INFRUCTUEUX")+COUNTIFS($A$2:$A1064,$A1064,$E$2:$E1064,"ANNULE")),""))</f>
        <v/>
      </c>
    </row>
    <row r="1065">
      <c r="A1065">
        <f>IF(ISBLANK('ENGAGEMENTS 2026'!C1065),"",IF('ENGAGEMENTS 2026'!C1065="DTSI","DCT",'ENGAGEMENTS 2026'!C1065))</f>
        <v/>
      </c>
      <c r="B1065">
        <f>IF(ISBLANK('ENGAGEMENTS 2026'!C1065),"",'ENGAGEMENTS 2026'!D1065)</f>
        <v/>
      </c>
      <c r="C1065">
        <f>IF(ISBLANK('ENGAGEMENTS 2026'!C1065),"",'ENGAGEMENTS 2026'!E1065)</f>
        <v/>
      </c>
      <c r="D1065">
        <f>IF(ISBLANK('ENGAGEMENTS 2026'!C1065),"",'ENGAGEMENTS 2026'!G1065)</f>
        <v/>
      </c>
      <c r="E1065">
        <f>IF(ISBLANK('ENGAGEMENTS 2026'!C1065),"",'ENGAGEMENTS 2026'!I1065)</f>
        <v/>
      </c>
      <c r="F1065">
        <f>IF(ISBLANK('ENGAGEMENTS 2026'!C1065),"",'ENGAGEMENTS 2026'!J1065)</f>
        <v/>
      </c>
      <c r="G1065">
        <f>IF(ISBLANK('ENGAGEMENTS 2026'!C1065),"",'ENGAGEMENTS 2026'!M1065)</f>
        <v/>
      </c>
      <c r="H1065">
        <f>IF(ISBLANK('ENGAGEMENTS 2026'!C1065),"",'ENGAGEMENTS 2026'!AF1065)</f>
        <v/>
      </c>
      <c r="I1065">
        <f>IF(ISBLANK('ENGAGEMENTS 2026'!C1065),"",'ENGAGEMENTS 2026'!H1065)</f>
        <v/>
      </c>
      <c r="J1065" s="275">
        <f>IF(ISBLANK('ENGAGEMENTS 2026'!C1065),"",IF(AND(OR($E1065="INFRUCTUEUX",$E1065="ANNULE"),$C1065="AOO-M"),'ENGAGEMENTS 2026'!P1065,IF($H1065="EN COURS DE PREENGAGEMENT",'ENGAGEMENTS 2026'!O1065,IF($H1065="PREENGAGE",IF($E1065="ATTRIBUE",'ENGAGEMENTS 2026'!AE1065,'ENGAGEMENTS 2026'!O1065),'ENGAGEMENTS 2026'!AE1065))))</f>
        <v/>
      </c>
      <c r="K1065" s="604">
        <f>IF(ISBLANK('ENGAGEMENTS 2026'!W1065),"",'ENGAGEMENTS 2026'!W1065)</f>
        <v/>
      </c>
      <c r="L1065" s="276">
        <f>IF($K1065="","",TODAY()-$K1065)</f>
        <v/>
      </c>
      <c r="M1065">
        <f>IF($A1065="","",IF($H1065="ENGAGE","Engagé",IF(AND($H1065="NON ENGAGE",OR($I1065="INFRUCTUEUX",$I1065="ANNULE")),"Clôturé sans suite","En cours")))</f>
        <v/>
      </c>
      <c r="N1065">
        <f>IF(ISBLANK('ENGAGEMENTS 2026'!C1065),"",'ENGAGEMENTS 2026'!L1065)</f>
        <v/>
      </c>
      <c r="O1065">
        <f>IF(ISBLANK('ENGAGEMENTS 2026'!C1065),"",'ENGAGEMENTS 2026'!M1065)</f>
        <v/>
      </c>
      <c r="P1065">
        <f>IF(ISBLANK('ENGAGEMENTS 2026'!C1065),"",'ENGAGEMENTS 2026'!K1065)</f>
        <v/>
      </c>
      <c r="Q1065">
        <f>IF($A1065="","",IF(OR($E1065="INFRUCTUEUX",$E1065="ANNULE"),$A1065&amp;"|"&amp;(COUNTIFS($A$2:$A1065,$A1065,$E$2:$E1065,"INFRUCTUEUX")+COUNTIFS($A$2:$A1065,$A1065,$E$2:$E1065,"ANNULE")),""))</f>
        <v/>
      </c>
    </row>
    <row r="1066">
      <c r="A1066">
        <f>IF(ISBLANK('ENGAGEMENTS 2026'!C1066),"",IF('ENGAGEMENTS 2026'!C1066="DTSI","DCT",'ENGAGEMENTS 2026'!C1066))</f>
        <v/>
      </c>
      <c r="B1066">
        <f>IF(ISBLANK('ENGAGEMENTS 2026'!C1066),"",'ENGAGEMENTS 2026'!D1066)</f>
        <v/>
      </c>
      <c r="C1066">
        <f>IF(ISBLANK('ENGAGEMENTS 2026'!C1066),"",'ENGAGEMENTS 2026'!E1066)</f>
        <v/>
      </c>
      <c r="D1066">
        <f>IF(ISBLANK('ENGAGEMENTS 2026'!C1066),"",'ENGAGEMENTS 2026'!G1066)</f>
        <v/>
      </c>
      <c r="E1066">
        <f>IF(ISBLANK('ENGAGEMENTS 2026'!C1066),"",'ENGAGEMENTS 2026'!I1066)</f>
        <v/>
      </c>
      <c r="F1066">
        <f>IF(ISBLANK('ENGAGEMENTS 2026'!C1066),"",'ENGAGEMENTS 2026'!J1066)</f>
        <v/>
      </c>
      <c r="G1066">
        <f>IF(ISBLANK('ENGAGEMENTS 2026'!C1066),"",'ENGAGEMENTS 2026'!M1066)</f>
        <v/>
      </c>
      <c r="H1066">
        <f>IF(ISBLANK('ENGAGEMENTS 2026'!C1066),"",'ENGAGEMENTS 2026'!AF1066)</f>
        <v/>
      </c>
      <c r="I1066">
        <f>IF(ISBLANK('ENGAGEMENTS 2026'!C1066),"",'ENGAGEMENTS 2026'!H1066)</f>
        <v/>
      </c>
      <c r="J1066" s="275">
        <f>IF(ISBLANK('ENGAGEMENTS 2026'!C1066),"",IF(AND(OR($E1066="INFRUCTUEUX",$E1066="ANNULE"),$C1066="AOO-M"),'ENGAGEMENTS 2026'!P1066,IF($H1066="EN COURS DE PREENGAGEMENT",'ENGAGEMENTS 2026'!O1066,IF($H1066="PREENGAGE",IF($E1066="ATTRIBUE",'ENGAGEMENTS 2026'!AE1066,'ENGAGEMENTS 2026'!O1066),'ENGAGEMENTS 2026'!AE1066))))</f>
        <v/>
      </c>
      <c r="K1066" s="604">
        <f>IF(ISBLANK('ENGAGEMENTS 2026'!W1066),"",'ENGAGEMENTS 2026'!W1066)</f>
        <v/>
      </c>
      <c r="L1066" s="276">
        <f>IF($K1066="","",TODAY()-$K1066)</f>
        <v/>
      </c>
      <c r="M1066">
        <f>IF($A1066="","",IF($H1066="ENGAGE","Engagé",IF(AND($H1066="NON ENGAGE",OR($I1066="INFRUCTUEUX",$I1066="ANNULE")),"Clôturé sans suite","En cours")))</f>
        <v/>
      </c>
      <c r="N1066">
        <f>IF(ISBLANK('ENGAGEMENTS 2026'!C1066),"",'ENGAGEMENTS 2026'!L1066)</f>
        <v/>
      </c>
      <c r="O1066">
        <f>IF(ISBLANK('ENGAGEMENTS 2026'!C1066),"",'ENGAGEMENTS 2026'!M1066)</f>
        <v/>
      </c>
      <c r="P1066">
        <f>IF(ISBLANK('ENGAGEMENTS 2026'!C1066),"",'ENGAGEMENTS 2026'!K1066)</f>
        <v/>
      </c>
      <c r="Q1066">
        <f>IF($A1066="","",IF(OR($E1066="INFRUCTUEUX",$E1066="ANNULE"),$A1066&amp;"|"&amp;(COUNTIFS($A$2:$A1066,$A1066,$E$2:$E1066,"INFRUCTUEUX")+COUNTIFS($A$2:$A1066,$A1066,$E$2:$E1066,"ANNULE")),""))</f>
        <v/>
      </c>
    </row>
    <row r="1067">
      <c r="A1067">
        <f>IF(ISBLANK('ENGAGEMENTS 2026'!C1067),"",IF('ENGAGEMENTS 2026'!C1067="DTSI","DCT",'ENGAGEMENTS 2026'!C1067))</f>
        <v/>
      </c>
      <c r="B1067">
        <f>IF(ISBLANK('ENGAGEMENTS 2026'!C1067),"",'ENGAGEMENTS 2026'!D1067)</f>
        <v/>
      </c>
      <c r="C1067">
        <f>IF(ISBLANK('ENGAGEMENTS 2026'!C1067),"",'ENGAGEMENTS 2026'!E1067)</f>
        <v/>
      </c>
      <c r="D1067">
        <f>IF(ISBLANK('ENGAGEMENTS 2026'!C1067),"",'ENGAGEMENTS 2026'!G1067)</f>
        <v/>
      </c>
      <c r="E1067">
        <f>IF(ISBLANK('ENGAGEMENTS 2026'!C1067),"",'ENGAGEMENTS 2026'!I1067)</f>
        <v/>
      </c>
      <c r="F1067">
        <f>IF(ISBLANK('ENGAGEMENTS 2026'!C1067),"",'ENGAGEMENTS 2026'!J1067)</f>
        <v/>
      </c>
      <c r="G1067">
        <f>IF(ISBLANK('ENGAGEMENTS 2026'!C1067),"",'ENGAGEMENTS 2026'!M1067)</f>
        <v/>
      </c>
      <c r="H1067">
        <f>IF(ISBLANK('ENGAGEMENTS 2026'!C1067),"",'ENGAGEMENTS 2026'!AF1067)</f>
        <v/>
      </c>
      <c r="I1067">
        <f>IF(ISBLANK('ENGAGEMENTS 2026'!C1067),"",'ENGAGEMENTS 2026'!H1067)</f>
        <v/>
      </c>
      <c r="J1067" s="275">
        <f>IF(ISBLANK('ENGAGEMENTS 2026'!C1067),"",IF(AND(OR($E1067="INFRUCTUEUX",$E1067="ANNULE"),$C1067="AOO-M"),'ENGAGEMENTS 2026'!P1067,IF($H1067="EN COURS DE PREENGAGEMENT",'ENGAGEMENTS 2026'!O1067,IF($H1067="PREENGAGE",IF($E1067="ATTRIBUE",'ENGAGEMENTS 2026'!AE1067,'ENGAGEMENTS 2026'!O1067),'ENGAGEMENTS 2026'!AE1067))))</f>
        <v/>
      </c>
      <c r="K1067" s="604">
        <f>IF(ISBLANK('ENGAGEMENTS 2026'!W1067),"",'ENGAGEMENTS 2026'!W1067)</f>
        <v/>
      </c>
      <c r="L1067" s="276">
        <f>IF($K1067="","",TODAY()-$K1067)</f>
        <v/>
      </c>
      <c r="M1067">
        <f>IF($A1067="","",IF($H1067="ENGAGE","Engagé",IF(AND($H1067="NON ENGAGE",OR($I1067="INFRUCTUEUX",$I1067="ANNULE")),"Clôturé sans suite","En cours")))</f>
        <v/>
      </c>
      <c r="N1067">
        <f>IF(ISBLANK('ENGAGEMENTS 2026'!C1067),"",'ENGAGEMENTS 2026'!L1067)</f>
        <v/>
      </c>
      <c r="O1067">
        <f>IF(ISBLANK('ENGAGEMENTS 2026'!C1067),"",'ENGAGEMENTS 2026'!M1067)</f>
        <v/>
      </c>
      <c r="P1067">
        <f>IF(ISBLANK('ENGAGEMENTS 2026'!C1067),"",'ENGAGEMENTS 2026'!K1067)</f>
        <v/>
      </c>
      <c r="Q1067">
        <f>IF($A1067="","",IF(OR($E1067="INFRUCTUEUX",$E1067="ANNULE"),$A1067&amp;"|"&amp;(COUNTIFS($A$2:$A1067,$A1067,$E$2:$E1067,"INFRUCTUEUX")+COUNTIFS($A$2:$A1067,$A1067,$E$2:$E1067,"ANNULE")),""))</f>
        <v/>
      </c>
    </row>
    <row r="1068">
      <c r="A1068">
        <f>IF(ISBLANK('ENGAGEMENTS 2026'!C1068),"",IF('ENGAGEMENTS 2026'!C1068="DTSI","DCT",'ENGAGEMENTS 2026'!C1068))</f>
        <v/>
      </c>
      <c r="B1068">
        <f>IF(ISBLANK('ENGAGEMENTS 2026'!C1068),"",'ENGAGEMENTS 2026'!D1068)</f>
        <v/>
      </c>
      <c r="C1068">
        <f>IF(ISBLANK('ENGAGEMENTS 2026'!C1068),"",'ENGAGEMENTS 2026'!E1068)</f>
        <v/>
      </c>
      <c r="D1068">
        <f>IF(ISBLANK('ENGAGEMENTS 2026'!C1068),"",'ENGAGEMENTS 2026'!G1068)</f>
        <v/>
      </c>
      <c r="E1068">
        <f>IF(ISBLANK('ENGAGEMENTS 2026'!C1068),"",'ENGAGEMENTS 2026'!I1068)</f>
        <v/>
      </c>
      <c r="F1068">
        <f>IF(ISBLANK('ENGAGEMENTS 2026'!C1068),"",'ENGAGEMENTS 2026'!J1068)</f>
        <v/>
      </c>
      <c r="G1068">
        <f>IF(ISBLANK('ENGAGEMENTS 2026'!C1068),"",'ENGAGEMENTS 2026'!M1068)</f>
        <v/>
      </c>
      <c r="H1068">
        <f>IF(ISBLANK('ENGAGEMENTS 2026'!C1068),"",'ENGAGEMENTS 2026'!AF1068)</f>
        <v/>
      </c>
      <c r="I1068">
        <f>IF(ISBLANK('ENGAGEMENTS 2026'!C1068),"",'ENGAGEMENTS 2026'!H1068)</f>
        <v/>
      </c>
      <c r="J1068" s="275">
        <f>IF(ISBLANK('ENGAGEMENTS 2026'!C1068),"",IF(AND(OR($E1068="INFRUCTUEUX",$E1068="ANNULE"),$C1068="AOO-M"),'ENGAGEMENTS 2026'!P1068,IF($H1068="EN COURS DE PREENGAGEMENT",'ENGAGEMENTS 2026'!O1068,IF($H1068="PREENGAGE",IF($E1068="ATTRIBUE",'ENGAGEMENTS 2026'!AE1068,'ENGAGEMENTS 2026'!O1068),'ENGAGEMENTS 2026'!AE1068))))</f>
        <v/>
      </c>
      <c r="K1068" s="604">
        <f>IF(ISBLANK('ENGAGEMENTS 2026'!W1068),"",'ENGAGEMENTS 2026'!W1068)</f>
        <v/>
      </c>
      <c r="L1068" s="276">
        <f>IF($K1068="","",TODAY()-$K1068)</f>
        <v/>
      </c>
      <c r="M1068">
        <f>IF($A1068="","",IF($H1068="ENGAGE","Engagé",IF(AND($H1068="NON ENGAGE",OR($I1068="INFRUCTUEUX",$I1068="ANNULE")),"Clôturé sans suite","En cours")))</f>
        <v/>
      </c>
      <c r="N1068">
        <f>IF(ISBLANK('ENGAGEMENTS 2026'!C1068),"",'ENGAGEMENTS 2026'!L1068)</f>
        <v/>
      </c>
      <c r="O1068">
        <f>IF(ISBLANK('ENGAGEMENTS 2026'!C1068),"",'ENGAGEMENTS 2026'!M1068)</f>
        <v/>
      </c>
      <c r="P1068">
        <f>IF(ISBLANK('ENGAGEMENTS 2026'!C1068),"",'ENGAGEMENTS 2026'!K1068)</f>
        <v/>
      </c>
      <c r="Q1068">
        <f>IF($A1068="","",IF(OR($E1068="INFRUCTUEUX",$E1068="ANNULE"),$A1068&amp;"|"&amp;(COUNTIFS($A$2:$A1068,$A1068,$E$2:$E1068,"INFRUCTUEUX")+COUNTIFS($A$2:$A1068,$A1068,$E$2:$E1068,"ANNULE")),""))</f>
        <v/>
      </c>
    </row>
    <row r="1069">
      <c r="A1069">
        <f>IF(ISBLANK('ENGAGEMENTS 2026'!C1069),"",IF('ENGAGEMENTS 2026'!C1069="DTSI","DCT",'ENGAGEMENTS 2026'!C1069))</f>
        <v/>
      </c>
      <c r="B1069">
        <f>IF(ISBLANK('ENGAGEMENTS 2026'!C1069),"",'ENGAGEMENTS 2026'!D1069)</f>
        <v/>
      </c>
      <c r="C1069">
        <f>IF(ISBLANK('ENGAGEMENTS 2026'!C1069),"",'ENGAGEMENTS 2026'!E1069)</f>
        <v/>
      </c>
      <c r="D1069">
        <f>IF(ISBLANK('ENGAGEMENTS 2026'!C1069),"",'ENGAGEMENTS 2026'!G1069)</f>
        <v/>
      </c>
      <c r="E1069">
        <f>IF(ISBLANK('ENGAGEMENTS 2026'!C1069),"",'ENGAGEMENTS 2026'!I1069)</f>
        <v/>
      </c>
      <c r="F1069">
        <f>IF(ISBLANK('ENGAGEMENTS 2026'!C1069),"",'ENGAGEMENTS 2026'!J1069)</f>
        <v/>
      </c>
      <c r="G1069">
        <f>IF(ISBLANK('ENGAGEMENTS 2026'!C1069),"",'ENGAGEMENTS 2026'!M1069)</f>
        <v/>
      </c>
      <c r="H1069">
        <f>IF(ISBLANK('ENGAGEMENTS 2026'!C1069),"",'ENGAGEMENTS 2026'!AF1069)</f>
        <v/>
      </c>
      <c r="I1069">
        <f>IF(ISBLANK('ENGAGEMENTS 2026'!C1069),"",'ENGAGEMENTS 2026'!H1069)</f>
        <v/>
      </c>
      <c r="J1069" s="275">
        <f>IF(ISBLANK('ENGAGEMENTS 2026'!C1069),"",IF(AND(OR($E1069="INFRUCTUEUX",$E1069="ANNULE"),$C1069="AOO-M"),'ENGAGEMENTS 2026'!P1069,IF($H1069="EN COURS DE PREENGAGEMENT",'ENGAGEMENTS 2026'!O1069,IF($H1069="PREENGAGE",IF($E1069="ATTRIBUE",'ENGAGEMENTS 2026'!AE1069,'ENGAGEMENTS 2026'!O1069),'ENGAGEMENTS 2026'!AE1069))))</f>
        <v/>
      </c>
      <c r="K1069" s="604">
        <f>IF(ISBLANK('ENGAGEMENTS 2026'!W1069),"",'ENGAGEMENTS 2026'!W1069)</f>
        <v/>
      </c>
      <c r="L1069" s="276">
        <f>IF($K1069="","",TODAY()-$K1069)</f>
        <v/>
      </c>
      <c r="M1069">
        <f>IF($A1069="","",IF($H1069="ENGAGE","Engagé",IF(AND($H1069="NON ENGAGE",OR($I1069="INFRUCTUEUX",$I1069="ANNULE")),"Clôturé sans suite","En cours")))</f>
        <v/>
      </c>
      <c r="N1069">
        <f>IF(ISBLANK('ENGAGEMENTS 2026'!C1069),"",'ENGAGEMENTS 2026'!L1069)</f>
        <v/>
      </c>
      <c r="O1069">
        <f>IF(ISBLANK('ENGAGEMENTS 2026'!C1069),"",'ENGAGEMENTS 2026'!M1069)</f>
        <v/>
      </c>
      <c r="P1069">
        <f>IF(ISBLANK('ENGAGEMENTS 2026'!C1069),"",'ENGAGEMENTS 2026'!K1069)</f>
        <v/>
      </c>
      <c r="Q1069">
        <f>IF($A1069="","",IF(OR($E1069="INFRUCTUEUX",$E1069="ANNULE"),$A1069&amp;"|"&amp;(COUNTIFS($A$2:$A1069,$A1069,$E$2:$E1069,"INFRUCTUEUX")+COUNTIFS($A$2:$A1069,$A1069,$E$2:$E1069,"ANNULE")),""))</f>
        <v/>
      </c>
    </row>
    <row r="1070">
      <c r="A1070">
        <f>IF(ISBLANK('ENGAGEMENTS 2026'!C1070),"",IF('ENGAGEMENTS 2026'!C1070="DTSI","DCT",'ENGAGEMENTS 2026'!C1070))</f>
        <v/>
      </c>
      <c r="B1070">
        <f>IF(ISBLANK('ENGAGEMENTS 2026'!C1070),"",'ENGAGEMENTS 2026'!D1070)</f>
        <v/>
      </c>
      <c r="C1070">
        <f>IF(ISBLANK('ENGAGEMENTS 2026'!C1070),"",'ENGAGEMENTS 2026'!E1070)</f>
        <v/>
      </c>
      <c r="D1070">
        <f>IF(ISBLANK('ENGAGEMENTS 2026'!C1070),"",'ENGAGEMENTS 2026'!G1070)</f>
        <v/>
      </c>
      <c r="E1070">
        <f>IF(ISBLANK('ENGAGEMENTS 2026'!C1070),"",'ENGAGEMENTS 2026'!I1070)</f>
        <v/>
      </c>
      <c r="F1070">
        <f>IF(ISBLANK('ENGAGEMENTS 2026'!C1070),"",'ENGAGEMENTS 2026'!J1070)</f>
        <v/>
      </c>
      <c r="G1070">
        <f>IF(ISBLANK('ENGAGEMENTS 2026'!C1070),"",'ENGAGEMENTS 2026'!M1070)</f>
        <v/>
      </c>
      <c r="H1070">
        <f>IF(ISBLANK('ENGAGEMENTS 2026'!C1070),"",'ENGAGEMENTS 2026'!AF1070)</f>
        <v/>
      </c>
      <c r="I1070">
        <f>IF(ISBLANK('ENGAGEMENTS 2026'!C1070),"",'ENGAGEMENTS 2026'!H1070)</f>
        <v/>
      </c>
      <c r="J1070" s="275">
        <f>IF(ISBLANK('ENGAGEMENTS 2026'!C1070),"",IF(AND(OR($E1070="INFRUCTUEUX",$E1070="ANNULE"),$C1070="AOO-M"),'ENGAGEMENTS 2026'!P1070,IF($H1070="EN COURS DE PREENGAGEMENT",'ENGAGEMENTS 2026'!O1070,IF($H1070="PREENGAGE",IF($E1070="ATTRIBUE",'ENGAGEMENTS 2026'!AE1070,'ENGAGEMENTS 2026'!O1070),'ENGAGEMENTS 2026'!AE1070))))</f>
        <v/>
      </c>
      <c r="K1070" s="604">
        <f>IF(ISBLANK('ENGAGEMENTS 2026'!W1070),"",'ENGAGEMENTS 2026'!W1070)</f>
        <v/>
      </c>
      <c r="L1070" s="276">
        <f>IF($K1070="","",TODAY()-$K1070)</f>
        <v/>
      </c>
      <c r="M1070">
        <f>IF($A1070="","",IF($H1070="ENGAGE","Engagé",IF(AND($H1070="NON ENGAGE",OR($I1070="INFRUCTUEUX",$I1070="ANNULE")),"Clôturé sans suite","En cours")))</f>
        <v/>
      </c>
      <c r="N1070">
        <f>IF(ISBLANK('ENGAGEMENTS 2026'!C1070),"",'ENGAGEMENTS 2026'!L1070)</f>
        <v/>
      </c>
      <c r="O1070">
        <f>IF(ISBLANK('ENGAGEMENTS 2026'!C1070),"",'ENGAGEMENTS 2026'!M1070)</f>
        <v/>
      </c>
      <c r="P1070">
        <f>IF(ISBLANK('ENGAGEMENTS 2026'!C1070),"",'ENGAGEMENTS 2026'!K1070)</f>
        <v/>
      </c>
      <c r="Q1070">
        <f>IF($A1070="","",IF(OR($E1070="INFRUCTUEUX",$E1070="ANNULE"),$A1070&amp;"|"&amp;(COUNTIFS($A$2:$A1070,$A1070,$E$2:$E1070,"INFRUCTUEUX")+COUNTIFS($A$2:$A1070,$A1070,$E$2:$E1070,"ANNULE")),""))</f>
        <v/>
      </c>
    </row>
    <row r="1071">
      <c r="A1071">
        <f>IF(ISBLANK('ENGAGEMENTS 2026'!C1071),"",IF('ENGAGEMENTS 2026'!C1071="DTSI","DCT",'ENGAGEMENTS 2026'!C1071))</f>
        <v/>
      </c>
      <c r="B1071">
        <f>IF(ISBLANK('ENGAGEMENTS 2026'!C1071),"",'ENGAGEMENTS 2026'!D1071)</f>
        <v/>
      </c>
      <c r="C1071">
        <f>IF(ISBLANK('ENGAGEMENTS 2026'!C1071),"",'ENGAGEMENTS 2026'!E1071)</f>
        <v/>
      </c>
      <c r="D1071">
        <f>IF(ISBLANK('ENGAGEMENTS 2026'!C1071),"",'ENGAGEMENTS 2026'!G1071)</f>
        <v/>
      </c>
      <c r="E1071">
        <f>IF(ISBLANK('ENGAGEMENTS 2026'!C1071),"",'ENGAGEMENTS 2026'!I1071)</f>
        <v/>
      </c>
      <c r="F1071">
        <f>IF(ISBLANK('ENGAGEMENTS 2026'!C1071),"",'ENGAGEMENTS 2026'!J1071)</f>
        <v/>
      </c>
      <c r="G1071">
        <f>IF(ISBLANK('ENGAGEMENTS 2026'!C1071),"",'ENGAGEMENTS 2026'!M1071)</f>
        <v/>
      </c>
      <c r="H1071">
        <f>IF(ISBLANK('ENGAGEMENTS 2026'!C1071),"",'ENGAGEMENTS 2026'!AF1071)</f>
        <v/>
      </c>
      <c r="I1071">
        <f>IF(ISBLANK('ENGAGEMENTS 2026'!C1071),"",'ENGAGEMENTS 2026'!H1071)</f>
        <v/>
      </c>
      <c r="J1071" s="275">
        <f>IF(ISBLANK('ENGAGEMENTS 2026'!C1071),"",IF(AND(OR($E1071="INFRUCTUEUX",$E1071="ANNULE"),$C1071="AOO-M"),'ENGAGEMENTS 2026'!P1071,IF($H1071="EN COURS DE PREENGAGEMENT",'ENGAGEMENTS 2026'!O1071,IF($H1071="PREENGAGE",IF($E1071="ATTRIBUE",'ENGAGEMENTS 2026'!AE1071,'ENGAGEMENTS 2026'!O1071),'ENGAGEMENTS 2026'!AE1071))))</f>
        <v/>
      </c>
      <c r="K1071" s="604">
        <f>IF(ISBLANK('ENGAGEMENTS 2026'!W1071),"",'ENGAGEMENTS 2026'!W1071)</f>
        <v/>
      </c>
      <c r="L1071" s="276">
        <f>IF($K1071="","",TODAY()-$K1071)</f>
        <v/>
      </c>
      <c r="M1071">
        <f>IF($A1071="","",IF($H1071="ENGAGE","Engagé",IF(AND($H1071="NON ENGAGE",OR($I1071="INFRUCTUEUX",$I1071="ANNULE")),"Clôturé sans suite","En cours")))</f>
        <v/>
      </c>
      <c r="N1071">
        <f>IF(ISBLANK('ENGAGEMENTS 2026'!C1071),"",'ENGAGEMENTS 2026'!L1071)</f>
        <v/>
      </c>
      <c r="O1071">
        <f>IF(ISBLANK('ENGAGEMENTS 2026'!C1071),"",'ENGAGEMENTS 2026'!M1071)</f>
        <v/>
      </c>
      <c r="P1071">
        <f>IF(ISBLANK('ENGAGEMENTS 2026'!C1071),"",'ENGAGEMENTS 2026'!K1071)</f>
        <v/>
      </c>
      <c r="Q1071">
        <f>IF($A1071="","",IF(OR($E1071="INFRUCTUEUX",$E1071="ANNULE"),$A1071&amp;"|"&amp;(COUNTIFS($A$2:$A1071,$A1071,$E$2:$E1071,"INFRUCTUEUX")+COUNTIFS($A$2:$A1071,$A1071,$E$2:$E1071,"ANNULE")),""))</f>
        <v/>
      </c>
    </row>
    <row r="1072">
      <c r="A1072">
        <f>IF(ISBLANK('ENGAGEMENTS 2026'!C1072),"",IF('ENGAGEMENTS 2026'!C1072="DTSI","DCT",'ENGAGEMENTS 2026'!C1072))</f>
        <v/>
      </c>
      <c r="B1072">
        <f>IF(ISBLANK('ENGAGEMENTS 2026'!C1072),"",'ENGAGEMENTS 2026'!D1072)</f>
        <v/>
      </c>
      <c r="C1072">
        <f>IF(ISBLANK('ENGAGEMENTS 2026'!C1072),"",'ENGAGEMENTS 2026'!E1072)</f>
        <v/>
      </c>
      <c r="D1072">
        <f>IF(ISBLANK('ENGAGEMENTS 2026'!C1072),"",'ENGAGEMENTS 2026'!G1072)</f>
        <v/>
      </c>
      <c r="E1072">
        <f>IF(ISBLANK('ENGAGEMENTS 2026'!C1072),"",'ENGAGEMENTS 2026'!I1072)</f>
        <v/>
      </c>
      <c r="F1072">
        <f>IF(ISBLANK('ENGAGEMENTS 2026'!C1072),"",'ENGAGEMENTS 2026'!J1072)</f>
        <v/>
      </c>
      <c r="G1072">
        <f>IF(ISBLANK('ENGAGEMENTS 2026'!C1072),"",'ENGAGEMENTS 2026'!M1072)</f>
        <v/>
      </c>
      <c r="H1072">
        <f>IF(ISBLANK('ENGAGEMENTS 2026'!C1072),"",'ENGAGEMENTS 2026'!AF1072)</f>
        <v/>
      </c>
      <c r="I1072">
        <f>IF(ISBLANK('ENGAGEMENTS 2026'!C1072),"",'ENGAGEMENTS 2026'!H1072)</f>
        <v/>
      </c>
      <c r="J1072" s="275">
        <f>IF(ISBLANK('ENGAGEMENTS 2026'!C1072),"",IF(AND(OR($E1072="INFRUCTUEUX",$E1072="ANNULE"),$C1072="AOO-M"),'ENGAGEMENTS 2026'!P1072,IF($H1072="EN COURS DE PREENGAGEMENT",'ENGAGEMENTS 2026'!O1072,IF($H1072="PREENGAGE",IF($E1072="ATTRIBUE",'ENGAGEMENTS 2026'!AE1072,'ENGAGEMENTS 2026'!O1072),'ENGAGEMENTS 2026'!AE1072))))</f>
        <v/>
      </c>
      <c r="K1072" s="604">
        <f>IF(ISBLANK('ENGAGEMENTS 2026'!W1072),"",'ENGAGEMENTS 2026'!W1072)</f>
        <v/>
      </c>
      <c r="L1072" s="276">
        <f>IF($K1072="","",TODAY()-$K1072)</f>
        <v/>
      </c>
      <c r="M1072">
        <f>IF($A1072="","",IF($H1072="ENGAGE","Engagé",IF(AND($H1072="NON ENGAGE",OR($I1072="INFRUCTUEUX",$I1072="ANNULE")),"Clôturé sans suite","En cours")))</f>
        <v/>
      </c>
      <c r="N1072">
        <f>IF(ISBLANK('ENGAGEMENTS 2026'!C1072),"",'ENGAGEMENTS 2026'!L1072)</f>
        <v/>
      </c>
      <c r="O1072">
        <f>IF(ISBLANK('ENGAGEMENTS 2026'!C1072),"",'ENGAGEMENTS 2026'!M1072)</f>
        <v/>
      </c>
      <c r="P1072">
        <f>IF(ISBLANK('ENGAGEMENTS 2026'!C1072),"",'ENGAGEMENTS 2026'!K1072)</f>
        <v/>
      </c>
      <c r="Q1072">
        <f>IF($A1072="","",IF(OR($E1072="INFRUCTUEUX",$E1072="ANNULE"),$A1072&amp;"|"&amp;(COUNTIFS($A$2:$A1072,$A1072,$E$2:$E1072,"INFRUCTUEUX")+COUNTIFS($A$2:$A1072,$A1072,$E$2:$E1072,"ANNULE")),""))</f>
        <v/>
      </c>
    </row>
    <row r="1073">
      <c r="A1073">
        <f>IF(ISBLANK('ENGAGEMENTS 2026'!C1073),"",IF('ENGAGEMENTS 2026'!C1073="DTSI","DCT",'ENGAGEMENTS 2026'!C1073))</f>
        <v/>
      </c>
      <c r="B1073">
        <f>IF(ISBLANK('ENGAGEMENTS 2026'!C1073),"",'ENGAGEMENTS 2026'!D1073)</f>
        <v/>
      </c>
      <c r="C1073">
        <f>IF(ISBLANK('ENGAGEMENTS 2026'!C1073),"",'ENGAGEMENTS 2026'!E1073)</f>
        <v/>
      </c>
      <c r="D1073">
        <f>IF(ISBLANK('ENGAGEMENTS 2026'!C1073),"",'ENGAGEMENTS 2026'!G1073)</f>
        <v/>
      </c>
      <c r="E1073">
        <f>IF(ISBLANK('ENGAGEMENTS 2026'!C1073),"",'ENGAGEMENTS 2026'!I1073)</f>
        <v/>
      </c>
      <c r="F1073">
        <f>IF(ISBLANK('ENGAGEMENTS 2026'!C1073),"",'ENGAGEMENTS 2026'!J1073)</f>
        <v/>
      </c>
      <c r="G1073">
        <f>IF(ISBLANK('ENGAGEMENTS 2026'!C1073),"",'ENGAGEMENTS 2026'!M1073)</f>
        <v/>
      </c>
      <c r="H1073">
        <f>IF(ISBLANK('ENGAGEMENTS 2026'!C1073),"",'ENGAGEMENTS 2026'!AF1073)</f>
        <v/>
      </c>
      <c r="I1073">
        <f>IF(ISBLANK('ENGAGEMENTS 2026'!C1073),"",'ENGAGEMENTS 2026'!H1073)</f>
        <v/>
      </c>
      <c r="J1073" s="275">
        <f>IF(ISBLANK('ENGAGEMENTS 2026'!C1073),"",IF(AND(OR($E1073="INFRUCTUEUX",$E1073="ANNULE"),$C1073="AOO-M"),'ENGAGEMENTS 2026'!P1073,IF($H1073="EN COURS DE PREENGAGEMENT",'ENGAGEMENTS 2026'!O1073,IF($H1073="PREENGAGE",IF($E1073="ATTRIBUE",'ENGAGEMENTS 2026'!AE1073,'ENGAGEMENTS 2026'!O1073),'ENGAGEMENTS 2026'!AE1073))))</f>
        <v/>
      </c>
      <c r="K1073" s="604">
        <f>IF(ISBLANK('ENGAGEMENTS 2026'!W1073),"",'ENGAGEMENTS 2026'!W1073)</f>
        <v/>
      </c>
      <c r="L1073" s="276">
        <f>IF($K1073="","",TODAY()-$K1073)</f>
        <v/>
      </c>
      <c r="M1073">
        <f>IF($A1073="","",IF($H1073="ENGAGE","Engagé",IF(AND($H1073="NON ENGAGE",OR($I1073="INFRUCTUEUX",$I1073="ANNULE")),"Clôturé sans suite","En cours")))</f>
        <v/>
      </c>
      <c r="N1073">
        <f>IF(ISBLANK('ENGAGEMENTS 2026'!C1073),"",'ENGAGEMENTS 2026'!L1073)</f>
        <v/>
      </c>
      <c r="O1073">
        <f>IF(ISBLANK('ENGAGEMENTS 2026'!C1073),"",'ENGAGEMENTS 2026'!M1073)</f>
        <v/>
      </c>
      <c r="P1073">
        <f>IF(ISBLANK('ENGAGEMENTS 2026'!C1073),"",'ENGAGEMENTS 2026'!K1073)</f>
        <v/>
      </c>
      <c r="Q1073">
        <f>IF($A1073="","",IF(OR($E1073="INFRUCTUEUX",$E1073="ANNULE"),$A1073&amp;"|"&amp;(COUNTIFS($A$2:$A1073,$A1073,$E$2:$E1073,"INFRUCTUEUX")+COUNTIFS($A$2:$A1073,$A1073,$E$2:$E1073,"ANNULE")),""))</f>
        <v/>
      </c>
    </row>
    <row r="1074">
      <c r="A1074">
        <f>IF(ISBLANK('ENGAGEMENTS 2026'!C1074),"",IF('ENGAGEMENTS 2026'!C1074="DTSI","DCT",'ENGAGEMENTS 2026'!C1074))</f>
        <v/>
      </c>
      <c r="B1074">
        <f>IF(ISBLANK('ENGAGEMENTS 2026'!C1074),"",'ENGAGEMENTS 2026'!D1074)</f>
        <v/>
      </c>
      <c r="C1074">
        <f>IF(ISBLANK('ENGAGEMENTS 2026'!C1074),"",'ENGAGEMENTS 2026'!E1074)</f>
        <v/>
      </c>
      <c r="D1074">
        <f>IF(ISBLANK('ENGAGEMENTS 2026'!C1074),"",'ENGAGEMENTS 2026'!G1074)</f>
        <v/>
      </c>
      <c r="E1074">
        <f>IF(ISBLANK('ENGAGEMENTS 2026'!C1074),"",'ENGAGEMENTS 2026'!I1074)</f>
        <v/>
      </c>
      <c r="F1074">
        <f>IF(ISBLANK('ENGAGEMENTS 2026'!C1074),"",'ENGAGEMENTS 2026'!J1074)</f>
        <v/>
      </c>
      <c r="G1074">
        <f>IF(ISBLANK('ENGAGEMENTS 2026'!C1074),"",'ENGAGEMENTS 2026'!M1074)</f>
        <v/>
      </c>
      <c r="H1074">
        <f>IF(ISBLANK('ENGAGEMENTS 2026'!C1074),"",'ENGAGEMENTS 2026'!AF1074)</f>
        <v/>
      </c>
      <c r="I1074">
        <f>IF(ISBLANK('ENGAGEMENTS 2026'!C1074),"",'ENGAGEMENTS 2026'!H1074)</f>
        <v/>
      </c>
      <c r="J1074" s="275">
        <f>IF(ISBLANK('ENGAGEMENTS 2026'!C1074),"",IF(AND(OR($E1074="INFRUCTUEUX",$E1074="ANNULE"),$C1074="AOO-M"),'ENGAGEMENTS 2026'!P1074,IF($H1074="EN COURS DE PREENGAGEMENT",'ENGAGEMENTS 2026'!O1074,IF($H1074="PREENGAGE",IF($E1074="ATTRIBUE",'ENGAGEMENTS 2026'!AE1074,'ENGAGEMENTS 2026'!O1074),'ENGAGEMENTS 2026'!AE1074))))</f>
        <v/>
      </c>
      <c r="K1074" s="604">
        <f>IF(ISBLANK('ENGAGEMENTS 2026'!W1074),"",'ENGAGEMENTS 2026'!W1074)</f>
        <v/>
      </c>
      <c r="L1074" s="276">
        <f>IF($K1074="","",TODAY()-$K1074)</f>
        <v/>
      </c>
      <c r="M1074">
        <f>IF($A1074="","",IF($H1074="ENGAGE","Engagé",IF(AND($H1074="NON ENGAGE",OR($I1074="INFRUCTUEUX",$I1074="ANNULE")),"Clôturé sans suite","En cours")))</f>
        <v/>
      </c>
      <c r="N1074">
        <f>IF(ISBLANK('ENGAGEMENTS 2026'!C1074),"",'ENGAGEMENTS 2026'!L1074)</f>
        <v/>
      </c>
      <c r="O1074">
        <f>IF(ISBLANK('ENGAGEMENTS 2026'!C1074),"",'ENGAGEMENTS 2026'!M1074)</f>
        <v/>
      </c>
      <c r="P1074">
        <f>IF(ISBLANK('ENGAGEMENTS 2026'!C1074),"",'ENGAGEMENTS 2026'!K1074)</f>
        <v/>
      </c>
      <c r="Q1074">
        <f>IF($A1074="","",IF(OR($E1074="INFRUCTUEUX",$E1074="ANNULE"),$A1074&amp;"|"&amp;(COUNTIFS($A$2:$A1074,$A1074,$E$2:$E1074,"INFRUCTUEUX")+COUNTIFS($A$2:$A1074,$A1074,$E$2:$E1074,"ANNULE")),""))</f>
        <v/>
      </c>
    </row>
    <row r="1075">
      <c r="A1075">
        <f>IF(ISBLANK('ENGAGEMENTS 2026'!C1075),"",IF('ENGAGEMENTS 2026'!C1075="DTSI","DCT",'ENGAGEMENTS 2026'!C1075))</f>
        <v/>
      </c>
      <c r="B1075">
        <f>IF(ISBLANK('ENGAGEMENTS 2026'!C1075),"",'ENGAGEMENTS 2026'!D1075)</f>
        <v/>
      </c>
      <c r="C1075">
        <f>IF(ISBLANK('ENGAGEMENTS 2026'!C1075),"",'ENGAGEMENTS 2026'!E1075)</f>
        <v/>
      </c>
      <c r="D1075">
        <f>IF(ISBLANK('ENGAGEMENTS 2026'!C1075),"",'ENGAGEMENTS 2026'!G1075)</f>
        <v/>
      </c>
      <c r="E1075">
        <f>IF(ISBLANK('ENGAGEMENTS 2026'!C1075),"",'ENGAGEMENTS 2026'!I1075)</f>
        <v/>
      </c>
      <c r="F1075">
        <f>IF(ISBLANK('ENGAGEMENTS 2026'!C1075),"",'ENGAGEMENTS 2026'!J1075)</f>
        <v/>
      </c>
      <c r="G1075">
        <f>IF(ISBLANK('ENGAGEMENTS 2026'!C1075),"",'ENGAGEMENTS 2026'!M1075)</f>
        <v/>
      </c>
      <c r="H1075">
        <f>IF(ISBLANK('ENGAGEMENTS 2026'!C1075),"",'ENGAGEMENTS 2026'!AF1075)</f>
        <v/>
      </c>
      <c r="I1075">
        <f>IF(ISBLANK('ENGAGEMENTS 2026'!C1075),"",'ENGAGEMENTS 2026'!H1075)</f>
        <v/>
      </c>
      <c r="J1075" s="275">
        <f>IF(ISBLANK('ENGAGEMENTS 2026'!C1075),"",IF(AND(OR($E1075="INFRUCTUEUX",$E1075="ANNULE"),$C1075="AOO-M"),'ENGAGEMENTS 2026'!P1075,IF($H1075="EN COURS DE PREENGAGEMENT",'ENGAGEMENTS 2026'!O1075,IF($H1075="PREENGAGE",IF($E1075="ATTRIBUE",'ENGAGEMENTS 2026'!AE1075,'ENGAGEMENTS 2026'!O1075),'ENGAGEMENTS 2026'!AE1075))))</f>
        <v/>
      </c>
      <c r="K1075" s="604">
        <f>IF(ISBLANK('ENGAGEMENTS 2026'!W1075),"",'ENGAGEMENTS 2026'!W1075)</f>
        <v/>
      </c>
      <c r="L1075" s="276">
        <f>IF($K1075="","",TODAY()-$K1075)</f>
        <v/>
      </c>
      <c r="M1075">
        <f>IF($A1075="","",IF($H1075="ENGAGE","Engagé",IF(AND($H1075="NON ENGAGE",OR($I1075="INFRUCTUEUX",$I1075="ANNULE")),"Clôturé sans suite","En cours")))</f>
        <v/>
      </c>
      <c r="N1075">
        <f>IF(ISBLANK('ENGAGEMENTS 2026'!C1075),"",'ENGAGEMENTS 2026'!L1075)</f>
        <v/>
      </c>
      <c r="O1075">
        <f>IF(ISBLANK('ENGAGEMENTS 2026'!C1075),"",'ENGAGEMENTS 2026'!M1075)</f>
        <v/>
      </c>
      <c r="P1075">
        <f>IF(ISBLANK('ENGAGEMENTS 2026'!C1075),"",'ENGAGEMENTS 2026'!K1075)</f>
        <v/>
      </c>
      <c r="Q1075">
        <f>IF($A1075="","",IF(OR($E1075="INFRUCTUEUX",$E1075="ANNULE"),$A1075&amp;"|"&amp;(COUNTIFS($A$2:$A1075,$A1075,$E$2:$E1075,"INFRUCTUEUX")+COUNTIFS($A$2:$A1075,$A1075,$E$2:$E1075,"ANNULE")),""))</f>
        <v/>
      </c>
    </row>
    <row r="1076">
      <c r="A1076">
        <f>IF(ISBLANK('ENGAGEMENTS 2026'!C1076),"",IF('ENGAGEMENTS 2026'!C1076="DTSI","DCT",'ENGAGEMENTS 2026'!C1076))</f>
        <v/>
      </c>
      <c r="B1076">
        <f>IF(ISBLANK('ENGAGEMENTS 2026'!C1076),"",'ENGAGEMENTS 2026'!D1076)</f>
        <v/>
      </c>
      <c r="C1076">
        <f>IF(ISBLANK('ENGAGEMENTS 2026'!C1076),"",'ENGAGEMENTS 2026'!E1076)</f>
        <v/>
      </c>
      <c r="D1076">
        <f>IF(ISBLANK('ENGAGEMENTS 2026'!C1076),"",'ENGAGEMENTS 2026'!G1076)</f>
        <v/>
      </c>
      <c r="E1076">
        <f>IF(ISBLANK('ENGAGEMENTS 2026'!C1076),"",'ENGAGEMENTS 2026'!I1076)</f>
        <v/>
      </c>
      <c r="F1076">
        <f>IF(ISBLANK('ENGAGEMENTS 2026'!C1076),"",'ENGAGEMENTS 2026'!J1076)</f>
        <v/>
      </c>
      <c r="G1076">
        <f>IF(ISBLANK('ENGAGEMENTS 2026'!C1076),"",'ENGAGEMENTS 2026'!M1076)</f>
        <v/>
      </c>
      <c r="H1076">
        <f>IF(ISBLANK('ENGAGEMENTS 2026'!C1076),"",'ENGAGEMENTS 2026'!AF1076)</f>
        <v/>
      </c>
      <c r="I1076">
        <f>IF(ISBLANK('ENGAGEMENTS 2026'!C1076),"",'ENGAGEMENTS 2026'!H1076)</f>
        <v/>
      </c>
      <c r="J1076" s="275">
        <f>IF(ISBLANK('ENGAGEMENTS 2026'!C1076),"",IF(AND(OR($E1076="INFRUCTUEUX",$E1076="ANNULE"),$C1076="AOO-M"),'ENGAGEMENTS 2026'!P1076,IF($H1076="EN COURS DE PREENGAGEMENT",'ENGAGEMENTS 2026'!O1076,IF($H1076="PREENGAGE",IF($E1076="ATTRIBUE",'ENGAGEMENTS 2026'!AE1076,'ENGAGEMENTS 2026'!O1076),'ENGAGEMENTS 2026'!AE1076))))</f>
        <v/>
      </c>
      <c r="K1076" s="604">
        <f>IF(ISBLANK('ENGAGEMENTS 2026'!W1076),"",'ENGAGEMENTS 2026'!W1076)</f>
        <v/>
      </c>
      <c r="L1076" s="276">
        <f>IF($K1076="","",TODAY()-$K1076)</f>
        <v/>
      </c>
      <c r="M1076">
        <f>IF($A1076="","",IF($H1076="ENGAGE","Engagé",IF(AND($H1076="NON ENGAGE",OR($I1076="INFRUCTUEUX",$I1076="ANNULE")),"Clôturé sans suite","En cours")))</f>
        <v/>
      </c>
      <c r="N1076">
        <f>IF(ISBLANK('ENGAGEMENTS 2026'!C1076),"",'ENGAGEMENTS 2026'!L1076)</f>
        <v/>
      </c>
      <c r="O1076">
        <f>IF(ISBLANK('ENGAGEMENTS 2026'!C1076),"",'ENGAGEMENTS 2026'!M1076)</f>
        <v/>
      </c>
      <c r="P1076">
        <f>IF(ISBLANK('ENGAGEMENTS 2026'!C1076),"",'ENGAGEMENTS 2026'!K1076)</f>
        <v/>
      </c>
      <c r="Q1076">
        <f>IF($A1076="","",IF(OR($E1076="INFRUCTUEUX",$E1076="ANNULE"),$A1076&amp;"|"&amp;(COUNTIFS($A$2:$A1076,$A1076,$E$2:$E1076,"INFRUCTUEUX")+COUNTIFS($A$2:$A1076,$A1076,$E$2:$E1076,"ANNULE")),""))</f>
        <v/>
      </c>
    </row>
    <row r="1077">
      <c r="A1077">
        <f>IF(ISBLANK('ENGAGEMENTS 2026'!C1077),"",IF('ENGAGEMENTS 2026'!C1077="DTSI","DCT",'ENGAGEMENTS 2026'!C1077))</f>
        <v/>
      </c>
      <c r="B1077">
        <f>IF(ISBLANK('ENGAGEMENTS 2026'!C1077),"",'ENGAGEMENTS 2026'!D1077)</f>
        <v/>
      </c>
      <c r="C1077">
        <f>IF(ISBLANK('ENGAGEMENTS 2026'!C1077),"",'ENGAGEMENTS 2026'!E1077)</f>
        <v/>
      </c>
      <c r="D1077">
        <f>IF(ISBLANK('ENGAGEMENTS 2026'!C1077),"",'ENGAGEMENTS 2026'!G1077)</f>
        <v/>
      </c>
      <c r="E1077">
        <f>IF(ISBLANK('ENGAGEMENTS 2026'!C1077),"",'ENGAGEMENTS 2026'!I1077)</f>
        <v/>
      </c>
      <c r="F1077">
        <f>IF(ISBLANK('ENGAGEMENTS 2026'!C1077),"",'ENGAGEMENTS 2026'!J1077)</f>
        <v/>
      </c>
      <c r="G1077">
        <f>IF(ISBLANK('ENGAGEMENTS 2026'!C1077),"",'ENGAGEMENTS 2026'!M1077)</f>
        <v/>
      </c>
      <c r="H1077">
        <f>IF(ISBLANK('ENGAGEMENTS 2026'!C1077),"",'ENGAGEMENTS 2026'!AF1077)</f>
        <v/>
      </c>
      <c r="I1077">
        <f>IF(ISBLANK('ENGAGEMENTS 2026'!C1077),"",'ENGAGEMENTS 2026'!H1077)</f>
        <v/>
      </c>
      <c r="J1077" s="275">
        <f>IF(ISBLANK('ENGAGEMENTS 2026'!C1077),"",IF(AND(OR($E1077="INFRUCTUEUX",$E1077="ANNULE"),$C1077="AOO-M"),'ENGAGEMENTS 2026'!P1077,IF($H1077="EN COURS DE PREENGAGEMENT",'ENGAGEMENTS 2026'!O1077,IF($H1077="PREENGAGE",IF($E1077="ATTRIBUE",'ENGAGEMENTS 2026'!AE1077,'ENGAGEMENTS 2026'!O1077),'ENGAGEMENTS 2026'!AE1077))))</f>
        <v/>
      </c>
      <c r="K1077" s="604">
        <f>IF(ISBLANK('ENGAGEMENTS 2026'!W1077),"",'ENGAGEMENTS 2026'!W1077)</f>
        <v/>
      </c>
      <c r="L1077" s="276">
        <f>IF($K1077="","",TODAY()-$K1077)</f>
        <v/>
      </c>
      <c r="M1077">
        <f>IF($A1077="","",IF($H1077="ENGAGE","Engagé",IF(AND($H1077="NON ENGAGE",OR($I1077="INFRUCTUEUX",$I1077="ANNULE")),"Clôturé sans suite","En cours")))</f>
        <v/>
      </c>
      <c r="N1077">
        <f>IF(ISBLANK('ENGAGEMENTS 2026'!C1077),"",'ENGAGEMENTS 2026'!L1077)</f>
        <v/>
      </c>
      <c r="O1077">
        <f>IF(ISBLANK('ENGAGEMENTS 2026'!C1077),"",'ENGAGEMENTS 2026'!M1077)</f>
        <v/>
      </c>
      <c r="P1077">
        <f>IF(ISBLANK('ENGAGEMENTS 2026'!C1077),"",'ENGAGEMENTS 2026'!K1077)</f>
        <v/>
      </c>
      <c r="Q1077">
        <f>IF($A1077="","",IF(OR($E1077="INFRUCTUEUX",$E1077="ANNULE"),$A1077&amp;"|"&amp;(COUNTIFS($A$2:$A1077,$A1077,$E$2:$E1077,"INFRUCTUEUX")+COUNTIFS($A$2:$A1077,$A1077,$E$2:$E1077,"ANNULE")),""))</f>
        <v/>
      </c>
    </row>
    <row r="1078">
      <c r="A1078">
        <f>IF(ISBLANK('ENGAGEMENTS 2026'!C1078),"",IF('ENGAGEMENTS 2026'!C1078="DTSI","DCT",'ENGAGEMENTS 2026'!C1078))</f>
        <v/>
      </c>
      <c r="B1078">
        <f>IF(ISBLANK('ENGAGEMENTS 2026'!C1078),"",'ENGAGEMENTS 2026'!D1078)</f>
        <v/>
      </c>
      <c r="C1078">
        <f>IF(ISBLANK('ENGAGEMENTS 2026'!C1078),"",'ENGAGEMENTS 2026'!E1078)</f>
        <v/>
      </c>
      <c r="D1078">
        <f>IF(ISBLANK('ENGAGEMENTS 2026'!C1078),"",'ENGAGEMENTS 2026'!G1078)</f>
        <v/>
      </c>
      <c r="E1078">
        <f>IF(ISBLANK('ENGAGEMENTS 2026'!C1078),"",'ENGAGEMENTS 2026'!I1078)</f>
        <v/>
      </c>
      <c r="F1078">
        <f>IF(ISBLANK('ENGAGEMENTS 2026'!C1078),"",'ENGAGEMENTS 2026'!J1078)</f>
        <v/>
      </c>
      <c r="G1078">
        <f>IF(ISBLANK('ENGAGEMENTS 2026'!C1078),"",'ENGAGEMENTS 2026'!M1078)</f>
        <v/>
      </c>
      <c r="H1078">
        <f>IF(ISBLANK('ENGAGEMENTS 2026'!C1078),"",'ENGAGEMENTS 2026'!AF1078)</f>
        <v/>
      </c>
      <c r="I1078">
        <f>IF(ISBLANK('ENGAGEMENTS 2026'!C1078),"",'ENGAGEMENTS 2026'!H1078)</f>
        <v/>
      </c>
      <c r="J1078" s="275">
        <f>IF(ISBLANK('ENGAGEMENTS 2026'!C1078),"",IF(AND(OR($E1078="INFRUCTUEUX",$E1078="ANNULE"),$C1078="AOO-M"),'ENGAGEMENTS 2026'!P1078,IF($H1078="EN COURS DE PREENGAGEMENT",'ENGAGEMENTS 2026'!O1078,IF($H1078="PREENGAGE",IF($E1078="ATTRIBUE",'ENGAGEMENTS 2026'!AE1078,'ENGAGEMENTS 2026'!O1078),'ENGAGEMENTS 2026'!AE1078))))</f>
        <v/>
      </c>
      <c r="K1078" s="604">
        <f>IF(ISBLANK('ENGAGEMENTS 2026'!W1078),"",'ENGAGEMENTS 2026'!W1078)</f>
        <v/>
      </c>
      <c r="L1078" s="276">
        <f>IF($K1078="","",TODAY()-$K1078)</f>
        <v/>
      </c>
      <c r="M1078">
        <f>IF($A1078="","",IF($H1078="ENGAGE","Engagé",IF(AND($H1078="NON ENGAGE",OR($I1078="INFRUCTUEUX",$I1078="ANNULE")),"Clôturé sans suite","En cours")))</f>
        <v/>
      </c>
      <c r="N1078">
        <f>IF(ISBLANK('ENGAGEMENTS 2026'!C1078),"",'ENGAGEMENTS 2026'!L1078)</f>
        <v/>
      </c>
      <c r="O1078">
        <f>IF(ISBLANK('ENGAGEMENTS 2026'!C1078),"",'ENGAGEMENTS 2026'!M1078)</f>
        <v/>
      </c>
      <c r="P1078">
        <f>IF(ISBLANK('ENGAGEMENTS 2026'!C1078),"",'ENGAGEMENTS 2026'!K1078)</f>
        <v/>
      </c>
      <c r="Q1078">
        <f>IF($A1078="","",IF(OR($E1078="INFRUCTUEUX",$E1078="ANNULE"),$A1078&amp;"|"&amp;(COUNTIFS($A$2:$A1078,$A1078,$E$2:$E1078,"INFRUCTUEUX")+COUNTIFS($A$2:$A1078,$A1078,$E$2:$E1078,"ANNULE")),""))</f>
        <v/>
      </c>
    </row>
    <row r="1079">
      <c r="A1079">
        <f>IF(ISBLANK('ENGAGEMENTS 2026'!C1079),"",IF('ENGAGEMENTS 2026'!C1079="DTSI","DCT",'ENGAGEMENTS 2026'!C1079))</f>
        <v/>
      </c>
      <c r="B1079">
        <f>IF(ISBLANK('ENGAGEMENTS 2026'!C1079),"",'ENGAGEMENTS 2026'!D1079)</f>
        <v/>
      </c>
      <c r="C1079">
        <f>IF(ISBLANK('ENGAGEMENTS 2026'!C1079),"",'ENGAGEMENTS 2026'!E1079)</f>
        <v/>
      </c>
      <c r="D1079">
        <f>IF(ISBLANK('ENGAGEMENTS 2026'!C1079),"",'ENGAGEMENTS 2026'!G1079)</f>
        <v/>
      </c>
      <c r="E1079">
        <f>IF(ISBLANK('ENGAGEMENTS 2026'!C1079),"",'ENGAGEMENTS 2026'!I1079)</f>
        <v/>
      </c>
      <c r="F1079">
        <f>IF(ISBLANK('ENGAGEMENTS 2026'!C1079),"",'ENGAGEMENTS 2026'!J1079)</f>
        <v/>
      </c>
      <c r="G1079">
        <f>IF(ISBLANK('ENGAGEMENTS 2026'!C1079),"",'ENGAGEMENTS 2026'!M1079)</f>
        <v/>
      </c>
      <c r="H1079">
        <f>IF(ISBLANK('ENGAGEMENTS 2026'!C1079),"",'ENGAGEMENTS 2026'!AF1079)</f>
        <v/>
      </c>
      <c r="I1079">
        <f>IF(ISBLANK('ENGAGEMENTS 2026'!C1079),"",'ENGAGEMENTS 2026'!H1079)</f>
        <v/>
      </c>
      <c r="J1079" s="275">
        <f>IF(ISBLANK('ENGAGEMENTS 2026'!C1079),"",IF(AND(OR($E1079="INFRUCTUEUX",$E1079="ANNULE"),$C1079="AOO-M"),'ENGAGEMENTS 2026'!P1079,IF($H1079="EN COURS DE PREENGAGEMENT",'ENGAGEMENTS 2026'!O1079,IF($H1079="PREENGAGE",IF($E1079="ATTRIBUE",'ENGAGEMENTS 2026'!AE1079,'ENGAGEMENTS 2026'!O1079),'ENGAGEMENTS 2026'!AE1079))))</f>
        <v/>
      </c>
      <c r="K1079" s="604">
        <f>IF(ISBLANK('ENGAGEMENTS 2026'!W1079),"",'ENGAGEMENTS 2026'!W1079)</f>
        <v/>
      </c>
      <c r="L1079" s="276">
        <f>IF($K1079="","",TODAY()-$K1079)</f>
        <v/>
      </c>
      <c r="M1079">
        <f>IF($A1079="","",IF($H1079="ENGAGE","Engagé",IF(AND($H1079="NON ENGAGE",OR($I1079="INFRUCTUEUX",$I1079="ANNULE")),"Clôturé sans suite","En cours")))</f>
        <v/>
      </c>
      <c r="N1079">
        <f>IF(ISBLANK('ENGAGEMENTS 2026'!C1079),"",'ENGAGEMENTS 2026'!L1079)</f>
        <v/>
      </c>
      <c r="O1079">
        <f>IF(ISBLANK('ENGAGEMENTS 2026'!C1079),"",'ENGAGEMENTS 2026'!M1079)</f>
        <v/>
      </c>
      <c r="P1079">
        <f>IF(ISBLANK('ENGAGEMENTS 2026'!C1079),"",'ENGAGEMENTS 2026'!K1079)</f>
        <v/>
      </c>
      <c r="Q1079">
        <f>IF($A1079="","",IF(OR($E1079="INFRUCTUEUX",$E1079="ANNULE"),$A1079&amp;"|"&amp;(COUNTIFS($A$2:$A1079,$A1079,$E$2:$E1079,"INFRUCTUEUX")+COUNTIFS($A$2:$A1079,$A1079,$E$2:$E1079,"ANNULE")),""))</f>
        <v/>
      </c>
    </row>
    <row r="1080">
      <c r="A1080">
        <f>IF(ISBLANK('ENGAGEMENTS 2026'!C1080),"",IF('ENGAGEMENTS 2026'!C1080="DTSI","DCT",'ENGAGEMENTS 2026'!C1080))</f>
        <v/>
      </c>
      <c r="B1080">
        <f>IF(ISBLANK('ENGAGEMENTS 2026'!C1080),"",'ENGAGEMENTS 2026'!D1080)</f>
        <v/>
      </c>
      <c r="C1080">
        <f>IF(ISBLANK('ENGAGEMENTS 2026'!C1080),"",'ENGAGEMENTS 2026'!E1080)</f>
        <v/>
      </c>
      <c r="D1080">
        <f>IF(ISBLANK('ENGAGEMENTS 2026'!C1080),"",'ENGAGEMENTS 2026'!G1080)</f>
        <v/>
      </c>
      <c r="E1080">
        <f>IF(ISBLANK('ENGAGEMENTS 2026'!C1080),"",'ENGAGEMENTS 2026'!I1080)</f>
        <v/>
      </c>
      <c r="F1080">
        <f>IF(ISBLANK('ENGAGEMENTS 2026'!C1080),"",'ENGAGEMENTS 2026'!J1080)</f>
        <v/>
      </c>
      <c r="G1080">
        <f>IF(ISBLANK('ENGAGEMENTS 2026'!C1080),"",'ENGAGEMENTS 2026'!M1080)</f>
        <v/>
      </c>
      <c r="H1080">
        <f>IF(ISBLANK('ENGAGEMENTS 2026'!C1080),"",'ENGAGEMENTS 2026'!AF1080)</f>
        <v/>
      </c>
      <c r="I1080">
        <f>IF(ISBLANK('ENGAGEMENTS 2026'!C1080),"",'ENGAGEMENTS 2026'!H1080)</f>
        <v/>
      </c>
      <c r="J1080" s="275">
        <f>IF(ISBLANK('ENGAGEMENTS 2026'!C1080),"",IF(AND(OR($E1080="INFRUCTUEUX",$E1080="ANNULE"),$C1080="AOO-M"),'ENGAGEMENTS 2026'!P1080,IF($H1080="EN COURS DE PREENGAGEMENT",'ENGAGEMENTS 2026'!O1080,IF($H1080="PREENGAGE",IF($E1080="ATTRIBUE",'ENGAGEMENTS 2026'!AE1080,'ENGAGEMENTS 2026'!O1080),'ENGAGEMENTS 2026'!AE1080))))</f>
        <v/>
      </c>
      <c r="K1080" s="604">
        <f>IF(ISBLANK('ENGAGEMENTS 2026'!W1080),"",'ENGAGEMENTS 2026'!W1080)</f>
        <v/>
      </c>
      <c r="L1080" s="276">
        <f>IF($K1080="","",TODAY()-$K1080)</f>
        <v/>
      </c>
      <c r="M1080">
        <f>IF($A1080="","",IF($H1080="ENGAGE","Engagé",IF(AND($H1080="NON ENGAGE",OR($I1080="INFRUCTUEUX",$I1080="ANNULE")),"Clôturé sans suite","En cours")))</f>
        <v/>
      </c>
      <c r="N1080">
        <f>IF(ISBLANK('ENGAGEMENTS 2026'!C1080),"",'ENGAGEMENTS 2026'!L1080)</f>
        <v/>
      </c>
      <c r="O1080">
        <f>IF(ISBLANK('ENGAGEMENTS 2026'!C1080),"",'ENGAGEMENTS 2026'!M1080)</f>
        <v/>
      </c>
      <c r="P1080">
        <f>IF(ISBLANK('ENGAGEMENTS 2026'!C1080),"",'ENGAGEMENTS 2026'!K1080)</f>
        <v/>
      </c>
      <c r="Q1080">
        <f>IF($A1080="","",IF(OR($E1080="INFRUCTUEUX",$E1080="ANNULE"),$A1080&amp;"|"&amp;(COUNTIFS($A$2:$A1080,$A1080,$E$2:$E1080,"INFRUCTUEUX")+COUNTIFS($A$2:$A1080,$A1080,$E$2:$E1080,"ANNULE")),""))</f>
        <v/>
      </c>
    </row>
    <row r="1081">
      <c r="A1081">
        <f>IF(ISBLANK('ENGAGEMENTS 2026'!C1081),"",IF('ENGAGEMENTS 2026'!C1081="DTSI","DCT",'ENGAGEMENTS 2026'!C1081))</f>
        <v/>
      </c>
      <c r="B1081">
        <f>IF(ISBLANK('ENGAGEMENTS 2026'!C1081),"",'ENGAGEMENTS 2026'!D1081)</f>
        <v/>
      </c>
      <c r="C1081">
        <f>IF(ISBLANK('ENGAGEMENTS 2026'!C1081),"",'ENGAGEMENTS 2026'!E1081)</f>
        <v/>
      </c>
      <c r="D1081">
        <f>IF(ISBLANK('ENGAGEMENTS 2026'!C1081),"",'ENGAGEMENTS 2026'!G1081)</f>
        <v/>
      </c>
      <c r="E1081">
        <f>IF(ISBLANK('ENGAGEMENTS 2026'!C1081),"",'ENGAGEMENTS 2026'!I1081)</f>
        <v/>
      </c>
      <c r="F1081">
        <f>IF(ISBLANK('ENGAGEMENTS 2026'!C1081),"",'ENGAGEMENTS 2026'!J1081)</f>
        <v/>
      </c>
      <c r="G1081">
        <f>IF(ISBLANK('ENGAGEMENTS 2026'!C1081),"",'ENGAGEMENTS 2026'!M1081)</f>
        <v/>
      </c>
      <c r="H1081">
        <f>IF(ISBLANK('ENGAGEMENTS 2026'!C1081),"",'ENGAGEMENTS 2026'!AF1081)</f>
        <v/>
      </c>
      <c r="I1081">
        <f>IF(ISBLANK('ENGAGEMENTS 2026'!C1081),"",'ENGAGEMENTS 2026'!H1081)</f>
        <v/>
      </c>
      <c r="J1081" s="275">
        <f>IF(ISBLANK('ENGAGEMENTS 2026'!C1081),"",IF(AND(OR($E1081="INFRUCTUEUX",$E1081="ANNULE"),$C1081="AOO-M"),'ENGAGEMENTS 2026'!P1081,IF($H1081="EN COURS DE PREENGAGEMENT",'ENGAGEMENTS 2026'!O1081,IF($H1081="PREENGAGE",IF($E1081="ATTRIBUE",'ENGAGEMENTS 2026'!AE1081,'ENGAGEMENTS 2026'!O1081),'ENGAGEMENTS 2026'!AE1081))))</f>
        <v/>
      </c>
      <c r="K1081" s="604">
        <f>IF(ISBLANK('ENGAGEMENTS 2026'!W1081),"",'ENGAGEMENTS 2026'!W1081)</f>
        <v/>
      </c>
      <c r="L1081" s="276">
        <f>IF($K1081="","",TODAY()-$K1081)</f>
        <v/>
      </c>
      <c r="M1081">
        <f>IF($A1081="","",IF($H1081="ENGAGE","Engagé",IF(AND($H1081="NON ENGAGE",OR($I1081="INFRUCTUEUX",$I1081="ANNULE")),"Clôturé sans suite","En cours")))</f>
        <v/>
      </c>
      <c r="N1081">
        <f>IF(ISBLANK('ENGAGEMENTS 2026'!C1081),"",'ENGAGEMENTS 2026'!L1081)</f>
        <v/>
      </c>
      <c r="O1081">
        <f>IF(ISBLANK('ENGAGEMENTS 2026'!C1081),"",'ENGAGEMENTS 2026'!M1081)</f>
        <v/>
      </c>
      <c r="P1081">
        <f>IF(ISBLANK('ENGAGEMENTS 2026'!C1081),"",'ENGAGEMENTS 2026'!K1081)</f>
        <v/>
      </c>
      <c r="Q1081">
        <f>IF($A1081="","",IF(OR($E1081="INFRUCTUEUX",$E1081="ANNULE"),$A1081&amp;"|"&amp;(COUNTIFS($A$2:$A1081,$A1081,$E$2:$E1081,"INFRUCTUEUX")+COUNTIFS($A$2:$A1081,$A1081,$E$2:$E1081,"ANNULE")),""))</f>
        <v/>
      </c>
    </row>
    <row r="1082">
      <c r="A1082">
        <f>IF(ISBLANK('ENGAGEMENTS 2026'!C1082),"",IF('ENGAGEMENTS 2026'!C1082="DTSI","DCT",'ENGAGEMENTS 2026'!C1082))</f>
        <v/>
      </c>
      <c r="B1082">
        <f>IF(ISBLANK('ENGAGEMENTS 2026'!C1082),"",'ENGAGEMENTS 2026'!D1082)</f>
        <v/>
      </c>
      <c r="C1082">
        <f>IF(ISBLANK('ENGAGEMENTS 2026'!C1082),"",'ENGAGEMENTS 2026'!E1082)</f>
        <v/>
      </c>
      <c r="D1082">
        <f>IF(ISBLANK('ENGAGEMENTS 2026'!C1082),"",'ENGAGEMENTS 2026'!G1082)</f>
        <v/>
      </c>
      <c r="E1082">
        <f>IF(ISBLANK('ENGAGEMENTS 2026'!C1082),"",'ENGAGEMENTS 2026'!I1082)</f>
        <v/>
      </c>
      <c r="F1082">
        <f>IF(ISBLANK('ENGAGEMENTS 2026'!C1082),"",'ENGAGEMENTS 2026'!J1082)</f>
        <v/>
      </c>
      <c r="G1082">
        <f>IF(ISBLANK('ENGAGEMENTS 2026'!C1082),"",'ENGAGEMENTS 2026'!M1082)</f>
        <v/>
      </c>
      <c r="H1082">
        <f>IF(ISBLANK('ENGAGEMENTS 2026'!C1082),"",'ENGAGEMENTS 2026'!AF1082)</f>
        <v/>
      </c>
      <c r="I1082">
        <f>IF(ISBLANK('ENGAGEMENTS 2026'!C1082),"",'ENGAGEMENTS 2026'!H1082)</f>
        <v/>
      </c>
      <c r="J1082" s="275">
        <f>IF(ISBLANK('ENGAGEMENTS 2026'!C1082),"",IF(AND(OR($E1082="INFRUCTUEUX",$E1082="ANNULE"),$C1082="AOO-M"),'ENGAGEMENTS 2026'!P1082,IF($H1082="EN COURS DE PREENGAGEMENT",'ENGAGEMENTS 2026'!O1082,IF($H1082="PREENGAGE",IF($E1082="ATTRIBUE",'ENGAGEMENTS 2026'!AE1082,'ENGAGEMENTS 2026'!O1082),'ENGAGEMENTS 2026'!AE1082))))</f>
        <v/>
      </c>
      <c r="K1082" s="604">
        <f>IF(ISBLANK('ENGAGEMENTS 2026'!W1082),"",'ENGAGEMENTS 2026'!W1082)</f>
        <v/>
      </c>
      <c r="L1082" s="276">
        <f>IF($K1082="","",TODAY()-$K1082)</f>
        <v/>
      </c>
      <c r="M1082">
        <f>IF($A1082="","",IF($H1082="ENGAGE","Engagé",IF(AND($H1082="NON ENGAGE",OR($I1082="INFRUCTUEUX",$I1082="ANNULE")),"Clôturé sans suite","En cours")))</f>
        <v/>
      </c>
      <c r="N1082">
        <f>IF(ISBLANK('ENGAGEMENTS 2026'!C1082),"",'ENGAGEMENTS 2026'!L1082)</f>
        <v/>
      </c>
      <c r="O1082">
        <f>IF(ISBLANK('ENGAGEMENTS 2026'!C1082),"",'ENGAGEMENTS 2026'!M1082)</f>
        <v/>
      </c>
      <c r="P1082">
        <f>IF(ISBLANK('ENGAGEMENTS 2026'!C1082),"",'ENGAGEMENTS 2026'!K1082)</f>
        <v/>
      </c>
      <c r="Q1082">
        <f>IF($A1082="","",IF(OR($E1082="INFRUCTUEUX",$E1082="ANNULE"),$A1082&amp;"|"&amp;(COUNTIFS($A$2:$A1082,$A1082,$E$2:$E1082,"INFRUCTUEUX")+COUNTIFS($A$2:$A1082,$A1082,$E$2:$E1082,"ANNULE")),""))</f>
        <v/>
      </c>
    </row>
    <row r="1083">
      <c r="A1083">
        <f>IF(ISBLANK('ENGAGEMENTS 2026'!C1083),"",IF('ENGAGEMENTS 2026'!C1083="DTSI","DCT",'ENGAGEMENTS 2026'!C1083))</f>
        <v/>
      </c>
      <c r="B1083">
        <f>IF(ISBLANK('ENGAGEMENTS 2026'!C1083),"",'ENGAGEMENTS 2026'!D1083)</f>
        <v/>
      </c>
      <c r="C1083">
        <f>IF(ISBLANK('ENGAGEMENTS 2026'!C1083),"",'ENGAGEMENTS 2026'!E1083)</f>
        <v/>
      </c>
      <c r="D1083">
        <f>IF(ISBLANK('ENGAGEMENTS 2026'!C1083),"",'ENGAGEMENTS 2026'!G1083)</f>
        <v/>
      </c>
      <c r="E1083">
        <f>IF(ISBLANK('ENGAGEMENTS 2026'!C1083),"",'ENGAGEMENTS 2026'!I1083)</f>
        <v/>
      </c>
      <c r="F1083">
        <f>IF(ISBLANK('ENGAGEMENTS 2026'!C1083),"",'ENGAGEMENTS 2026'!J1083)</f>
        <v/>
      </c>
      <c r="G1083">
        <f>IF(ISBLANK('ENGAGEMENTS 2026'!C1083),"",'ENGAGEMENTS 2026'!M1083)</f>
        <v/>
      </c>
      <c r="H1083">
        <f>IF(ISBLANK('ENGAGEMENTS 2026'!C1083),"",'ENGAGEMENTS 2026'!AF1083)</f>
        <v/>
      </c>
      <c r="I1083">
        <f>IF(ISBLANK('ENGAGEMENTS 2026'!C1083),"",'ENGAGEMENTS 2026'!H1083)</f>
        <v/>
      </c>
      <c r="J1083" s="275">
        <f>IF(ISBLANK('ENGAGEMENTS 2026'!C1083),"",IF(AND(OR($E1083="INFRUCTUEUX",$E1083="ANNULE"),$C1083="AOO-M"),'ENGAGEMENTS 2026'!P1083,IF($H1083="EN COURS DE PREENGAGEMENT",'ENGAGEMENTS 2026'!O1083,IF($H1083="PREENGAGE",IF($E1083="ATTRIBUE",'ENGAGEMENTS 2026'!AE1083,'ENGAGEMENTS 2026'!O1083),'ENGAGEMENTS 2026'!AE1083))))</f>
        <v/>
      </c>
      <c r="K1083" s="604">
        <f>IF(ISBLANK('ENGAGEMENTS 2026'!W1083),"",'ENGAGEMENTS 2026'!W1083)</f>
        <v/>
      </c>
      <c r="L1083" s="276">
        <f>IF($K1083="","",TODAY()-$K1083)</f>
        <v/>
      </c>
      <c r="M1083">
        <f>IF($A1083="","",IF($H1083="ENGAGE","Engagé",IF(AND($H1083="NON ENGAGE",OR($I1083="INFRUCTUEUX",$I1083="ANNULE")),"Clôturé sans suite","En cours")))</f>
        <v/>
      </c>
      <c r="N1083">
        <f>IF(ISBLANK('ENGAGEMENTS 2026'!C1083),"",'ENGAGEMENTS 2026'!L1083)</f>
        <v/>
      </c>
      <c r="O1083">
        <f>IF(ISBLANK('ENGAGEMENTS 2026'!C1083),"",'ENGAGEMENTS 2026'!M1083)</f>
        <v/>
      </c>
      <c r="P1083">
        <f>IF(ISBLANK('ENGAGEMENTS 2026'!C1083),"",'ENGAGEMENTS 2026'!K1083)</f>
        <v/>
      </c>
      <c r="Q1083">
        <f>IF($A1083="","",IF(OR($E1083="INFRUCTUEUX",$E1083="ANNULE"),$A1083&amp;"|"&amp;(COUNTIFS($A$2:$A1083,$A1083,$E$2:$E1083,"INFRUCTUEUX")+COUNTIFS($A$2:$A1083,$A1083,$E$2:$E1083,"ANNULE")),""))</f>
        <v/>
      </c>
    </row>
    <row r="1084">
      <c r="A1084">
        <f>IF(ISBLANK('ENGAGEMENTS 2026'!C1084),"",IF('ENGAGEMENTS 2026'!C1084="DTSI","DCT",'ENGAGEMENTS 2026'!C1084))</f>
        <v/>
      </c>
      <c r="B1084">
        <f>IF(ISBLANK('ENGAGEMENTS 2026'!C1084),"",'ENGAGEMENTS 2026'!D1084)</f>
        <v/>
      </c>
      <c r="C1084">
        <f>IF(ISBLANK('ENGAGEMENTS 2026'!C1084),"",'ENGAGEMENTS 2026'!E1084)</f>
        <v/>
      </c>
      <c r="D1084">
        <f>IF(ISBLANK('ENGAGEMENTS 2026'!C1084),"",'ENGAGEMENTS 2026'!G1084)</f>
        <v/>
      </c>
      <c r="E1084">
        <f>IF(ISBLANK('ENGAGEMENTS 2026'!C1084),"",'ENGAGEMENTS 2026'!I1084)</f>
        <v/>
      </c>
      <c r="F1084">
        <f>IF(ISBLANK('ENGAGEMENTS 2026'!C1084),"",'ENGAGEMENTS 2026'!J1084)</f>
        <v/>
      </c>
      <c r="G1084">
        <f>IF(ISBLANK('ENGAGEMENTS 2026'!C1084),"",'ENGAGEMENTS 2026'!M1084)</f>
        <v/>
      </c>
      <c r="H1084">
        <f>IF(ISBLANK('ENGAGEMENTS 2026'!C1084),"",'ENGAGEMENTS 2026'!AF1084)</f>
        <v/>
      </c>
      <c r="I1084">
        <f>IF(ISBLANK('ENGAGEMENTS 2026'!C1084),"",'ENGAGEMENTS 2026'!H1084)</f>
        <v/>
      </c>
      <c r="J1084" s="275">
        <f>IF(ISBLANK('ENGAGEMENTS 2026'!C1084),"",IF(AND(OR($E1084="INFRUCTUEUX",$E1084="ANNULE"),$C1084="AOO-M"),'ENGAGEMENTS 2026'!P1084,IF($H1084="EN COURS DE PREENGAGEMENT",'ENGAGEMENTS 2026'!O1084,IF($H1084="PREENGAGE",IF($E1084="ATTRIBUE",'ENGAGEMENTS 2026'!AE1084,'ENGAGEMENTS 2026'!O1084),'ENGAGEMENTS 2026'!AE1084))))</f>
        <v/>
      </c>
      <c r="K1084" s="604">
        <f>IF(ISBLANK('ENGAGEMENTS 2026'!W1084),"",'ENGAGEMENTS 2026'!W1084)</f>
        <v/>
      </c>
      <c r="L1084" s="276">
        <f>IF($K1084="","",TODAY()-$K1084)</f>
        <v/>
      </c>
      <c r="M1084">
        <f>IF($A1084="","",IF($H1084="ENGAGE","Engagé",IF(AND($H1084="NON ENGAGE",OR($I1084="INFRUCTUEUX",$I1084="ANNULE")),"Clôturé sans suite","En cours")))</f>
        <v/>
      </c>
      <c r="N1084">
        <f>IF(ISBLANK('ENGAGEMENTS 2026'!C1084),"",'ENGAGEMENTS 2026'!L1084)</f>
        <v/>
      </c>
      <c r="O1084">
        <f>IF(ISBLANK('ENGAGEMENTS 2026'!C1084),"",'ENGAGEMENTS 2026'!M1084)</f>
        <v/>
      </c>
      <c r="P1084">
        <f>IF(ISBLANK('ENGAGEMENTS 2026'!C1084),"",'ENGAGEMENTS 2026'!K1084)</f>
        <v/>
      </c>
      <c r="Q1084">
        <f>IF($A1084="","",IF(OR($E1084="INFRUCTUEUX",$E1084="ANNULE"),$A1084&amp;"|"&amp;(COUNTIFS($A$2:$A1084,$A1084,$E$2:$E1084,"INFRUCTUEUX")+COUNTIFS($A$2:$A1084,$A1084,$E$2:$E1084,"ANNULE")),""))</f>
        <v/>
      </c>
    </row>
    <row r="1085">
      <c r="A1085">
        <f>IF(ISBLANK('ENGAGEMENTS 2026'!C1085),"",IF('ENGAGEMENTS 2026'!C1085="DTSI","DCT",'ENGAGEMENTS 2026'!C1085))</f>
        <v/>
      </c>
      <c r="B1085">
        <f>IF(ISBLANK('ENGAGEMENTS 2026'!C1085),"",'ENGAGEMENTS 2026'!D1085)</f>
        <v/>
      </c>
      <c r="C1085">
        <f>IF(ISBLANK('ENGAGEMENTS 2026'!C1085),"",'ENGAGEMENTS 2026'!E1085)</f>
        <v/>
      </c>
      <c r="D1085">
        <f>IF(ISBLANK('ENGAGEMENTS 2026'!C1085),"",'ENGAGEMENTS 2026'!G1085)</f>
        <v/>
      </c>
      <c r="E1085">
        <f>IF(ISBLANK('ENGAGEMENTS 2026'!C1085),"",'ENGAGEMENTS 2026'!I1085)</f>
        <v/>
      </c>
      <c r="F1085">
        <f>IF(ISBLANK('ENGAGEMENTS 2026'!C1085),"",'ENGAGEMENTS 2026'!J1085)</f>
        <v/>
      </c>
      <c r="G1085">
        <f>IF(ISBLANK('ENGAGEMENTS 2026'!C1085),"",'ENGAGEMENTS 2026'!M1085)</f>
        <v/>
      </c>
      <c r="H1085">
        <f>IF(ISBLANK('ENGAGEMENTS 2026'!C1085),"",'ENGAGEMENTS 2026'!AF1085)</f>
        <v/>
      </c>
      <c r="I1085">
        <f>IF(ISBLANK('ENGAGEMENTS 2026'!C1085),"",'ENGAGEMENTS 2026'!H1085)</f>
        <v/>
      </c>
      <c r="J1085" s="275">
        <f>IF(ISBLANK('ENGAGEMENTS 2026'!C1085),"",IF(AND(OR($E1085="INFRUCTUEUX",$E1085="ANNULE"),$C1085="AOO-M"),'ENGAGEMENTS 2026'!P1085,IF($H1085="EN COURS DE PREENGAGEMENT",'ENGAGEMENTS 2026'!O1085,IF($H1085="PREENGAGE",IF($E1085="ATTRIBUE",'ENGAGEMENTS 2026'!AE1085,'ENGAGEMENTS 2026'!O1085),'ENGAGEMENTS 2026'!AE1085))))</f>
        <v/>
      </c>
      <c r="K1085" s="604">
        <f>IF(ISBLANK('ENGAGEMENTS 2026'!W1085),"",'ENGAGEMENTS 2026'!W1085)</f>
        <v/>
      </c>
      <c r="L1085" s="276">
        <f>IF($K1085="","",TODAY()-$K1085)</f>
        <v/>
      </c>
      <c r="M1085">
        <f>IF($A1085="","",IF($H1085="ENGAGE","Engagé",IF(AND($H1085="NON ENGAGE",OR($I1085="INFRUCTUEUX",$I1085="ANNULE")),"Clôturé sans suite","En cours")))</f>
        <v/>
      </c>
      <c r="N1085">
        <f>IF(ISBLANK('ENGAGEMENTS 2026'!C1085),"",'ENGAGEMENTS 2026'!L1085)</f>
        <v/>
      </c>
      <c r="O1085">
        <f>IF(ISBLANK('ENGAGEMENTS 2026'!C1085),"",'ENGAGEMENTS 2026'!M1085)</f>
        <v/>
      </c>
      <c r="P1085">
        <f>IF(ISBLANK('ENGAGEMENTS 2026'!C1085),"",'ENGAGEMENTS 2026'!K1085)</f>
        <v/>
      </c>
      <c r="Q1085">
        <f>IF($A1085="","",IF(OR($E1085="INFRUCTUEUX",$E1085="ANNULE"),$A1085&amp;"|"&amp;(COUNTIFS($A$2:$A1085,$A1085,$E$2:$E1085,"INFRUCTUEUX")+COUNTIFS($A$2:$A1085,$A1085,$E$2:$E1085,"ANNULE")),""))</f>
        <v/>
      </c>
    </row>
    <row r="1086">
      <c r="A1086">
        <f>IF(ISBLANK('ENGAGEMENTS 2026'!C1086),"",IF('ENGAGEMENTS 2026'!C1086="DTSI","DCT",'ENGAGEMENTS 2026'!C1086))</f>
        <v/>
      </c>
      <c r="B1086">
        <f>IF(ISBLANK('ENGAGEMENTS 2026'!C1086),"",'ENGAGEMENTS 2026'!D1086)</f>
        <v/>
      </c>
      <c r="C1086">
        <f>IF(ISBLANK('ENGAGEMENTS 2026'!C1086),"",'ENGAGEMENTS 2026'!E1086)</f>
        <v/>
      </c>
      <c r="D1086">
        <f>IF(ISBLANK('ENGAGEMENTS 2026'!C1086),"",'ENGAGEMENTS 2026'!G1086)</f>
        <v/>
      </c>
      <c r="E1086">
        <f>IF(ISBLANK('ENGAGEMENTS 2026'!C1086),"",'ENGAGEMENTS 2026'!I1086)</f>
        <v/>
      </c>
      <c r="F1086">
        <f>IF(ISBLANK('ENGAGEMENTS 2026'!C1086),"",'ENGAGEMENTS 2026'!J1086)</f>
        <v/>
      </c>
      <c r="G1086">
        <f>IF(ISBLANK('ENGAGEMENTS 2026'!C1086),"",'ENGAGEMENTS 2026'!M1086)</f>
        <v/>
      </c>
      <c r="H1086">
        <f>IF(ISBLANK('ENGAGEMENTS 2026'!C1086),"",'ENGAGEMENTS 2026'!AF1086)</f>
        <v/>
      </c>
      <c r="I1086">
        <f>IF(ISBLANK('ENGAGEMENTS 2026'!C1086),"",'ENGAGEMENTS 2026'!H1086)</f>
        <v/>
      </c>
      <c r="J1086" s="275">
        <f>IF(ISBLANK('ENGAGEMENTS 2026'!C1086),"",IF(AND(OR($E1086="INFRUCTUEUX",$E1086="ANNULE"),$C1086="AOO-M"),'ENGAGEMENTS 2026'!P1086,IF($H1086="EN COURS DE PREENGAGEMENT",'ENGAGEMENTS 2026'!O1086,IF($H1086="PREENGAGE",IF($E1086="ATTRIBUE",'ENGAGEMENTS 2026'!AE1086,'ENGAGEMENTS 2026'!O1086),'ENGAGEMENTS 2026'!AE1086))))</f>
        <v/>
      </c>
      <c r="K1086" s="604">
        <f>IF(ISBLANK('ENGAGEMENTS 2026'!W1086),"",'ENGAGEMENTS 2026'!W1086)</f>
        <v/>
      </c>
      <c r="L1086" s="276">
        <f>IF($K1086="","",TODAY()-$K1086)</f>
        <v/>
      </c>
      <c r="M1086">
        <f>IF($A1086="","",IF($H1086="ENGAGE","Engagé",IF(AND($H1086="NON ENGAGE",OR($I1086="INFRUCTUEUX",$I1086="ANNULE")),"Clôturé sans suite","En cours")))</f>
        <v/>
      </c>
      <c r="N1086">
        <f>IF(ISBLANK('ENGAGEMENTS 2026'!C1086),"",'ENGAGEMENTS 2026'!L1086)</f>
        <v/>
      </c>
      <c r="O1086">
        <f>IF(ISBLANK('ENGAGEMENTS 2026'!C1086),"",'ENGAGEMENTS 2026'!M1086)</f>
        <v/>
      </c>
      <c r="P1086">
        <f>IF(ISBLANK('ENGAGEMENTS 2026'!C1086),"",'ENGAGEMENTS 2026'!K1086)</f>
        <v/>
      </c>
      <c r="Q1086">
        <f>IF($A1086="","",IF(OR($E1086="INFRUCTUEUX",$E1086="ANNULE"),$A1086&amp;"|"&amp;(COUNTIFS($A$2:$A1086,$A1086,$E$2:$E1086,"INFRUCTUEUX")+COUNTIFS($A$2:$A1086,$A1086,$E$2:$E1086,"ANNULE")),""))</f>
        <v/>
      </c>
    </row>
    <row r="1087">
      <c r="A1087">
        <f>IF(ISBLANK('ENGAGEMENTS 2026'!C1087),"",IF('ENGAGEMENTS 2026'!C1087="DTSI","DCT",'ENGAGEMENTS 2026'!C1087))</f>
        <v/>
      </c>
      <c r="B1087">
        <f>IF(ISBLANK('ENGAGEMENTS 2026'!C1087),"",'ENGAGEMENTS 2026'!D1087)</f>
        <v/>
      </c>
      <c r="C1087">
        <f>IF(ISBLANK('ENGAGEMENTS 2026'!C1087),"",'ENGAGEMENTS 2026'!E1087)</f>
        <v/>
      </c>
      <c r="D1087">
        <f>IF(ISBLANK('ENGAGEMENTS 2026'!C1087),"",'ENGAGEMENTS 2026'!G1087)</f>
        <v/>
      </c>
      <c r="E1087">
        <f>IF(ISBLANK('ENGAGEMENTS 2026'!C1087),"",'ENGAGEMENTS 2026'!I1087)</f>
        <v/>
      </c>
      <c r="F1087">
        <f>IF(ISBLANK('ENGAGEMENTS 2026'!C1087),"",'ENGAGEMENTS 2026'!J1087)</f>
        <v/>
      </c>
      <c r="G1087">
        <f>IF(ISBLANK('ENGAGEMENTS 2026'!C1087),"",'ENGAGEMENTS 2026'!M1087)</f>
        <v/>
      </c>
      <c r="H1087">
        <f>IF(ISBLANK('ENGAGEMENTS 2026'!C1087),"",'ENGAGEMENTS 2026'!AF1087)</f>
        <v/>
      </c>
      <c r="I1087">
        <f>IF(ISBLANK('ENGAGEMENTS 2026'!C1087),"",'ENGAGEMENTS 2026'!H1087)</f>
        <v/>
      </c>
      <c r="J1087" s="275">
        <f>IF(ISBLANK('ENGAGEMENTS 2026'!C1087),"",IF(AND(OR($E1087="INFRUCTUEUX",$E1087="ANNULE"),$C1087="AOO-M"),'ENGAGEMENTS 2026'!P1087,IF($H1087="EN COURS DE PREENGAGEMENT",'ENGAGEMENTS 2026'!O1087,IF($H1087="PREENGAGE",IF($E1087="ATTRIBUE",'ENGAGEMENTS 2026'!AE1087,'ENGAGEMENTS 2026'!O1087),'ENGAGEMENTS 2026'!AE1087))))</f>
        <v/>
      </c>
      <c r="K1087" s="604">
        <f>IF(ISBLANK('ENGAGEMENTS 2026'!W1087),"",'ENGAGEMENTS 2026'!W1087)</f>
        <v/>
      </c>
      <c r="L1087" s="276">
        <f>IF($K1087="","",TODAY()-$K1087)</f>
        <v/>
      </c>
      <c r="M1087">
        <f>IF($A1087="","",IF($H1087="ENGAGE","Engagé",IF(AND($H1087="NON ENGAGE",OR($I1087="INFRUCTUEUX",$I1087="ANNULE")),"Clôturé sans suite","En cours")))</f>
        <v/>
      </c>
      <c r="N1087">
        <f>IF(ISBLANK('ENGAGEMENTS 2026'!C1087),"",'ENGAGEMENTS 2026'!L1087)</f>
        <v/>
      </c>
      <c r="O1087">
        <f>IF(ISBLANK('ENGAGEMENTS 2026'!C1087),"",'ENGAGEMENTS 2026'!M1087)</f>
        <v/>
      </c>
      <c r="P1087">
        <f>IF(ISBLANK('ENGAGEMENTS 2026'!C1087),"",'ENGAGEMENTS 2026'!K1087)</f>
        <v/>
      </c>
      <c r="Q1087">
        <f>IF($A1087="","",IF(OR($E1087="INFRUCTUEUX",$E1087="ANNULE"),$A1087&amp;"|"&amp;(COUNTIFS($A$2:$A1087,$A1087,$E$2:$E1087,"INFRUCTUEUX")+COUNTIFS($A$2:$A1087,$A1087,$E$2:$E1087,"ANNULE")),""))</f>
        <v/>
      </c>
    </row>
    <row r="1088">
      <c r="A1088">
        <f>IF(ISBLANK('ENGAGEMENTS 2026'!C1088),"",IF('ENGAGEMENTS 2026'!C1088="DTSI","DCT",'ENGAGEMENTS 2026'!C1088))</f>
        <v/>
      </c>
      <c r="B1088">
        <f>IF(ISBLANK('ENGAGEMENTS 2026'!C1088),"",'ENGAGEMENTS 2026'!D1088)</f>
        <v/>
      </c>
      <c r="C1088">
        <f>IF(ISBLANK('ENGAGEMENTS 2026'!C1088),"",'ENGAGEMENTS 2026'!E1088)</f>
        <v/>
      </c>
      <c r="D1088">
        <f>IF(ISBLANK('ENGAGEMENTS 2026'!C1088),"",'ENGAGEMENTS 2026'!G1088)</f>
        <v/>
      </c>
      <c r="E1088">
        <f>IF(ISBLANK('ENGAGEMENTS 2026'!C1088),"",'ENGAGEMENTS 2026'!I1088)</f>
        <v/>
      </c>
      <c r="F1088">
        <f>IF(ISBLANK('ENGAGEMENTS 2026'!C1088),"",'ENGAGEMENTS 2026'!J1088)</f>
        <v/>
      </c>
      <c r="G1088">
        <f>IF(ISBLANK('ENGAGEMENTS 2026'!C1088),"",'ENGAGEMENTS 2026'!M1088)</f>
        <v/>
      </c>
      <c r="H1088">
        <f>IF(ISBLANK('ENGAGEMENTS 2026'!C1088),"",'ENGAGEMENTS 2026'!AF1088)</f>
        <v/>
      </c>
      <c r="I1088">
        <f>IF(ISBLANK('ENGAGEMENTS 2026'!C1088),"",'ENGAGEMENTS 2026'!H1088)</f>
        <v/>
      </c>
      <c r="J1088" s="275">
        <f>IF(ISBLANK('ENGAGEMENTS 2026'!C1088),"",IF(AND(OR($E1088="INFRUCTUEUX",$E1088="ANNULE"),$C1088="AOO-M"),'ENGAGEMENTS 2026'!P1088,IF($H1088="EN COURS DE PREENGAGEMENT",'ENGAGEMENTS 2026'!O1088,IF($H1088="PREENGAGE",IF($E1088="ATTRIBUE",'ENGAGEMENTS 2026'!AE1088,'ENGAGEMENTS 2026'!O1088),'ENGAGEMENTS 2026'!AE1088))))</f>
        <v/>
      </c>
      <c r="K1088" s="604">
        <f>IF(ISBLANK('ENGAGEMENTS 2026'!W1088),"",'ENGAGEMENTS 2026'!W1088)</f>
        <v/>
      </c>
      <c r="L1088" s="276">
        <f>IF($K1088="","",TODAY()-$K1088)</f>
        <v/>
      </c>
      <c r="M1088">
        <f>IF($A1088="","",IF($H1088="ENGAGE","Engagé",IF(AND($H1088="NON ENGAGE",OR($I1088="INFRUCTUEUX",$I1088="ANNULE")),"Clôturé sans suite","En cours")))</f>
        <v/>
      </c>
      <c r="N1088">
        <f>IF(ISBLANK('ENGAGEMENTS 2026'!C1088),"",'ENGAGEMENTS 2026'!L1088)</f>
        <v/>
      </c>
      <c r="O1088">
        <f>IF(ISBLANK('ENGAGEMENTS 2026'!C1088),"",'ENGAGEMENTS 2026'!M1088)</f>
        <v/>
      </c>
      <c r="P1088">
        <f>IF(ISBLANK('ENGAGEMENTS 2026'!C1088),"",'ENGAGEMENTS 2026'!K1088)</f>
        <v/>
      </c>
      <c r="Q1088">
        <f>IF($A1088="","",IF(OR($E1088="INFRUCTUEUX",$E1088="ANNULE"),$A1088&amp;"|"&amp;(COUNTIFS($A$2:$A1088,$A1088,$E$2:$E1088,"INFRUCTUEUX")+COUNTIFS($A$2:$A1088,$A1088,$E$2:$E1088,"ANNULE")),""))</f>
        <v/>
      </c>
    </row>
    <row r="1089">
      <c r="A1089">
        <f>IF(ISBLANK('ENGAGEMENTS 2026'!C1089),"",IF('ENGAGEMENTS 2026'!C1089="DTSI","DCT",'ENGAGEMENTS 2026'!C1089))</f>
        <v/>
      </c>
      <c r="B1089">
        <f>IF(ISBLANK('ENGAGEMENTS 2026'!C1089),"",'ENGAGEMENTS 2026'!D1089)</f>
        <v/>
      </c>
      <c r="C1089">
        <f>IF(ISBLANK('ENGAGEMENTS 2026'!C1089),"",'ENGAGEMENTS 2026'!E1089)</f>
        <v/>
      </c>
      <c r="D1089">
        <f>IF(ISBLANK('ENGAGEMENTS 2026'!C1089),"",'ENGAGEMENTS 2026'!G1089)</f>
        <v/>
      </c>
      <c r="E1089">
        <f>IF(ISBLANK('ENGAGEMENTS 2026'!C1089),"",'ENGAGEMENTS 2026'!I1089)</f>
        <v/>
      </c>
      <c r="F1089">
        <f>IF(ISBLANK('ENGAGEMENTS 2026'!C1089),"",'ENGAGEMENTS 2026'!J1089)</f>
        <v/>
      </c>
      <c r="G1089">
        <f>IF(ISBLANK('ENGAGEMENTS 2026'!C1089),"",'ENGAGEMENTS 2026'!M1089)</f>
        <v/>
      </c>
      <c r="H1089">
        <f>IF(ISBLANK('ENGAGEMENTS 2026'!C1089),"",'ENGAGEMENTS 2026'!AF1089)</f>
        <v/>
      </c>
      <c r="I1089">
        <f>IF(ISBLANK('ENGAGEMENTS 2026'!C1089),"",'ENGAGEMENTS 2026'!H1089)</f>
        <v/>
      </c>
      <c r="J1089" s="275">
        <f>IF(ISBLANK('ENGAGEMENTS 2026'!C1089),"",IF(AND(OR($E1089="INFRUCTUEUX",$E1089="ANNULE"),$C1089="AOO-M"),'ENGAGEMENTS 2026'!P1089,IF($H1089="EN COURS DE PREENGAGEMENT",'ENGAGEMENTS 2026'!O1089,IF($H1089="PREENGAGE",IF($E1089="ATTRIBUE",'ENGAGEMENTS 2026'!AE1089,'ENGAGEMENTS 2026'!O1089),'ENGAGEMENTS 2026'!AE1089))))</f>
        <v/>
      </c>
      <c r="K1089" s="604">
        <f>IF(ISBLANK('ENGAGEMENTS 2026'!W1089),"",'ENGAGEMENTS 2026'!W1089)</f>
        <v/>
      </c>
      <c r="L1089" s="276">
        <f>IF($K1089="","",TODAY()-$K1089)</f>
        <v/>
      </c>
      <c r="M1089">
        <f>IF($A1089="","",IF($H1089="ENGAGE","Engagé",IF(AND($H1089="NON ENGAGE",OR($I1089="INFRUCTUEUX",$I1089="ANNULE")),"Clôturé sans suite","En cours")))</f>
        <v/>
      </c>
      <c r="N1089">
        <f>IF(ISBLANK('ENGAGEMENTS 2026'!C1089),"",'ENGAGEMENTS 2026'!L1089)</f>
        <v/>
      </c>
      <c r="O1089">
        <f>IF(ISBLANK('ENGAGEMENTS 2026'!C1089),"",'ENGAGEMENTS 2026'!M1089)</f>
        <v/>
      </c>
      <c r="P1089">
        <f>IF(ISBLANK('ENGAGEMENTS 2026'!C1089),"",'ENGAGEMENTS 2026'!K1089)</f>
        <v/>
      </c>
      <c r="Q1089">
        <f>IF($A1089="","",IF(OR($E1089="INFRUCTUEUX",$E1089="ANNULE"),$A1089&amp;"|"&amp;(COUNTIFS($A$2:$A1089,$A1089,$E$2:$E1089,"INFRUCTUEUX")+COUNTIFS($A$2:$A1089,$A1089,$E$2:$E1089,"ANNULE")),""))</f>
        <v/>
      </c>
    </row>
    <row r="1090">
      <c r="A1090">
        <f>IF(ISBLANK('ENGAGEMENTS 2026'!C1090),"",IF('ENGAGEMENTS 2026'!C1090="DTSI","DCT",'ENGAGEMENTS 2026'!C1090))</f>
        <v/>
      </c>
      <c r="B1090">
        <f>IF(ISBLANK('ENGAGEMENTS 2026'!C1090),"",'ENGAGEMENTS 2026'!D1090)</f>
        <v/>
      </c>
      <c r="C1090">
        <f>IF(ISBLANK('ENGAGEMENTS 2026'!C1090),"",'ENGAGEMENTS 2026'!E1090)</f>
        <v/>
      </c>
      <c r="D1090">
        <f>IF(ISBLANK('ENGAGEMENTS 2026'!C1090),"",'ENGAGEMENTS 2026'!G1090)</f>
        <v/>
      </c>
      <c r="E1090">
        <f>IF(ISBLANK('ENGAGEMENTS 2026'!C1090),"",'ENGAGEMENTS 2026'!I1090)</f>
        <v/>
      </c>
      <c r="F1090">
        <f>IF(ISBLANK('ENGAGEMENTS 2026'!C1090),"",'ENGAGEMENTS 2026'!J1090)</f>
        <v/>
      </c>
      <c r="G1090">
        <f>IF(ISBLANK('ENGAGEMENTS 2026'!C1090),"",'ENGAGEMENTS 2026'!M1090)</f>
        <v/>
      </c>
      <c r="H1090">
        <f>IF(ISBLANK('ENGAGEMENTS 2026'!C1090),"",'ENGAGEMENTS 2026'!AF1090)</f>
        <v/>
      </c>
      <c r="I1090">
        <f>IF(ISBLANK('ENGAGEMENTS 2026'!C1090),"",'ENGAGEMENTS 2026'!H1090)</f>
        <v/>
      </c>
      <c r="J1090" s="275">
        <f>IF(ISBLANK('ENGAGEMENTS 2026'!C1090),"",IF(AND(OR($E1090="INFRUCTUEUX",$E1090="ANNULE"),$C1090="AOO-M"),'ENGAGEMENTS 2026'!P1090,IF($H1090="EN COURS DE PREENGAGEMENT",'ENGAGEMENTS 2026'!O1090,IF($H1090="PREENGAGE",IF($E1090="ATTRIBUE",'ENGAGEMENTS 2026'!AE1090,'ENGAGEMENTS 2026'!O1090),'ENGAGEMENTS 2026'!AE1090))))</f>
        <v/>
      </c>
      <c r="K1090" s="604">
        <f>IF(ISBLANK('ENGAGEMENTS 2026'!W1090),"",'ENGAGEMENTS 2026'!W1090)</f>
        <v/>
      </c>
      <c r="L1090" s="276">
        <f>IF($K1090="","",TODAY()-$K1090)</f>
        <v/>
      </c>
      <c r="M1090">
        <f>IF($A1090="","",IF($H1090="ENGAGE","Engagé",IF(AND($H1090="NON ENGAGE",OR($I1090="INFRUCTUEUX",$I1090="ANNULE")),"Clôturé sans suite","En cours")))</f>
        <v/>
      </c>
      <c r="N1090">
        <f>IF(ISBLANK('ENGAGEMENTS 2026'!C1090),"",'ENGAGEMENTS 2026'!L1090)</f>
        <v/>
      </c>
      <c r="O1090">
        <f>IF(ISBLANK('ENGAGEMENTS 2026'!C1090),"",'ENGAGEMENTS 2026'!M1090)</f>
        <v/>
      </c>
      <c r="P1090">
        <f>IF(ISBLANK('ENGAGEMENTS 2026'!C1090),"",'ENGAGEMENTS 2026'!K1090)</f>
        <v/>
      </c>
      <c r="Q1090">
        <f>IF($A1090="","",IF(OR($E1090="INFRUCTUEUX",$E1090="ANNULE"),$A1090&amp;"|"&amp;(COUNTIFS($A$2:$A1090,$A1090,$E$2:$E1090,"INFRUCTUEUX")+COUNTIFS($A$2:$A1090,$A1090,$E$2:$E1090,"ANNULE")),""))</f>
        <v/>
      </c>
    </row>
    <row r="1091">
      <c r="A1091">
        <f>IF(ISBLANK('ENGAGEMENTS 2026'!C1091),"",IF('ENGAGEMENTS 2026'!C1091="DTSI","DCT",'ENGAGEMENTS 2026'!C1091))</f>
        <v/>
      </c>
      <c r="B1091">
        <f>IF(ISBLANK('ENGAGEMENTS 2026'!C1091),"",'ENGAGEMENTS 2026'!D1091)</f>
        <v/>
      </c>
      <c r="C1091">
        <f>IF(ISBLANK('ENGAGEMENTS 2026'!C1091),"",'ENGAGEMENTS 2026'!E1091)</f>
        <v/>
      </c>
      <c r="D1091">
        <f>IF(ISBLANK('ENGAGEMENTS 2026'!C1091),"",'ENGAGEMENTS 2026'!G1091)</f>
        <v/>
      </c>
      <c r="E1091">
        <f>IF(ISBLANK('ENGAGEMENTS 2026'!C1091),"",'ENGAGEMENTS 2026'!I1091)</f>
        <v/>
      </c>
      <c r="F1091">
        <f>IF(ISBLANK('ENGAGEMENTS 2026'!C1091),"",'ENGAGEMENTS 2026'!J1091)</f>
        <v/>
      </c>
      <c r="G1091">
        <f>IF(ISBLANK('ENGAGEMENTS 2026'!C1091),"",'ENGAGEMENTS 2026'!M1091)</f>
        <v/>
      </c>
      <c r="H1091">
        <f>IF(ISBLANK('ENGAGEMENTS 2026'!C1091),"",'ENGAGEMENTS 2026'!AF1091)</f>
        <v/>
      </c>
      <c r="I1091">
        <f>IF(ISBLANK('ENGAGEMENTS 2026'!C1091),"",'ENGAGEMENTS 2026'!H1091)</f>
        <v/>
      </c>
      <c r="J1091" s="275">
        <f>IF(ISBLANK('ENGAGEMENTS 2026'!C1091),"",IF(AND(OR($E1091="INFRUCTUEUX",$E1091="ANNULE"),$C1091="AOO-M"),'ENGAGEMENTS 2026'!P1091,IF($H1091="EN COURS DE PREENGAGEMENT",'ENGAGEMENTS 2026'!O1091,IF($H1091="PREENGAGE",IF($E1091="ATTRIBUE",'ENGAGEMENTS 2026'!AE1091,'ENGAGEMENTS 2026'!O1091),'ENGAGEMENTS 2026'!AE1091))))</f>
        <v/>
      </c>
      <c r="K1091" s="604">
        <f>IF(ISBLANK('ENGAGEMENTS 2026'!W1091),"",'ENGAGEMENTS 2026'!W1091)</f>
        <v/>
      </c>
      <c r="L1091" s="276">
        <f>IF($K1091="","",TODAY()-$K1091)</f>
        <v/>
      </c>
      <c r="M1091">
        <f>IF($A1091="","",IF($H1091="ENGAGE","Engagé",IF(AND($H1091="NON ENGAGE",OR($I1091="INFRUCTUEUX",$I1091="ANNULE")),"Clôturé sans suite","En cours")))</f>
        <v/>
      </c>
      <c r="N1091">
        <f>IF(ISBLANK('ENGAGEMENTS 2026'!C1091),"",'ENGAGEMENTS 2026'!L1091)</f>
        <v/>
      </c>
      <c r="O1091">
        <f>IF(ISBLANK('ENGAGEMENTS 2026'!C1091),"",'ENGAGEMENTS 2026'!M1091)</f>
        <v/>
      </c>
      <c r="P1091">
        <f>IF(ISBLANK('ENGAGEMENTS 2026'!C1091),"",'ENGAGEMENTS 2026'!K1091)</f>
        <v/>
      </c>
      <c r="Q1091">
        <f>IF($A1091="","",IF(OR($E1091="INFRUCTUEUX",$E1091="ANNULE"),$A1091&amp;"|"&amp;(COUNTIFS($A$2:$A1091,$A1091,$E$2:$E1091,"INFRUCTUEUX")+COUNTIFS($A$2:$A1091,$A1091,$E$2:$E1091,"ANNULE")),""))</f>
        <v/>
      </c>
    </row>
    <row r="1092">
      <c r="A1092">
        <f>IF(ISBLANK('ENGAGEMENTS 2026'!C1092),"",IF('ENGAGEMENTS 2026'!C1092="DTSI","DCT",'ENGAGEMENTS 2026'!C1092))</f>
        <v/>
      </c>
      <c r="B1092">
        <f>IF(ISBLANK('ENGAGEMENTS 2026'!C1092),"",'ENGAGEMENTS 2026'!D1092)</f>
        <v/>
      </c>
      <c r="C1092">
        <f>IF(ISBLANK('ENGAGEMENTS 2026'!C1092),"",'ENGAGEMENTS 2026'!E1092)</f>
        <v/>
      </c>
      <c r="D1092">
        <f>IF(ISBLANK('ENGAGEMENTS 2026'!C1092),"",'ENGAGEMENTS 2026'!G1092)</f>
        <v/>
      </c>
      <c r="E1092">
        <f>IF(ISBLANK('ENGAGEMENTS 2026'!C1092),"",'ENGAGEMENTS 2026'!I1092)</f>
        <v/>
      </c>
      <c r="F1092">
        <f>IF(ISBLANK('ENGAGEMENTS 2026'!C1092),"",'ENGAGEMENTS 2026'!J1092)</f>
        <v/>
      </c>
      <c r="G1092">
        <f>IF(ISBLANK('ENGAGEMENTS 2026'!C1092),"",'ENGAGEMENTS 2026'!M1092)</f>
        <v/>
      </c>
      <c r="H1092">
        <f>IF(ISBLANK('ENGAGEMENTS 2026'!C1092),"",'ENGAGEMENTS 2026'!AF1092)</f>
        <v/>
      </c>
      <c r="I1092">
        <f>IF(ISBLANK('ENGAGEMENTS 2026'!C1092),"",'ENGAGEMENTS 2026'!H1092)</f>
        <v/>
      </c>
      <c r="J1092" s="275">
        <f>IF(ISBLANK('ENGAGEMENTS 2026'!C1092),"",IF(AND(OR($E1092="INFRUCTUEUX",$E1092="ANNULE"),$C1092="AOO-M"),'ENGAGEMENTS 2026'!P1092,IF($H1092="EN COURS DE PREENGAGEMENT",'ENGAGEMENTS 2026'!O1092,IF($H1092="PREENGAGE",IF($E1092="ATTRIBUE",'ENGAGEMENTS 2026'!AE1092,'ENGAGEMENTS 2026'!O1092),'ENGAGEMENTS 2026'!AE1092))))</f>
        <v/>
      </c>
      <c r="K1092" s="604">
        <f>IF(ISBLANK('ENGAGEMENTS 2026'!W1092),"",'ENGAGEMENTS 2026'!W1092)</f>
        <v/>
      </c>
      <c r="L1092" s="276">
        <f>IF($K1092="","",TODAY()-$K1092)</f>
        <v/>
      </c>
      <c r="M1092">
        <f>IF($A1092="","",IF($H1092="ENGAGE","Engagé",IF(AND($H1092="NON ENGAGE",OR($I1092="INFRUCTUEUX",$I1092="ANNULE")),"Clôturé sans suite","En cours")))</f>
        <v/>
      </c>
      <c r="N1092">
        <f>IF(ISBLANK('ENGAGEMENTS 2026'!C1092),"",'ENGAGEMENTS 2026'!L1092)</f>
        <v/>
      </c>
      <c r="O1092">
        <f>IF(ISBLANK('ENGAGEMENTS 2026'!C1092),"",'ENGAGEMENTS 2026'!M1092)</f>
        <v/>
      </c>
      <c r="P1092">
        <f>IF(ISBLANK('ENGAGEMENTS 2026'!C1092),"",'ENGAGEMENTS 2026'!K1092)</f>
        <v/>
      </c>
      <c r="Q1092">
        <f>IF($A1092="","",IF(OR($E1092="INFRUCTUEUX",$E1092="ANNULE"),$A1092&amp;"|"&amp;(COUNTIFS($A$2:$A1092,$A1092,$E$2:$E1092,"INFRUCTUEUX")+COUNTIFS($A$2:$A1092,$A1092,$E$2:$E1092,"ANNULE")),""))</f>
        <v/>
      </c>
    </row>
    <row r="1093">
      <c r="A1093">
        <f>IF(ISBLANK('ENGAGEMENTS 2026'!C1093),"",IF('ENGAGEMENTS 2026'!C1093="DTSI","DCT",'ENGAGEMENTS 2026'!C1093))</f>
        <v/>
      </c>
      <c r="B1093">
        <f>IF(ISBLANK('ENGAGEMENTS 2026'!C1093),"",'ENGAGEMENTS 2026'!D1093)</f>
        <v/>
      </c>
      <c r="C1093">
        <f>IF(ISBLANK('ENGAGEMENTS 2026'!C1093),"",'ENGAGEMENTS 2026'!E1093)</f>
        <v/>
      </c>
      <c r="D1093">
        <f>IF(ISBLANK('ENGAGEMENTS 2026'!C1093),"",'ENGAGEMENTS 2026'!G1093)</f>
        <v/>
      </c>
      <c r="E1093">
        <f>IF(ISBLANK('ENGAGEMENTS 2026'!C1093),"",'ENGAGEMENTS 2026'!I1093)</f>
        <v/>
      </c>
      <c r="F1093">
        <f>IF(ISBLANK('ENGAGEMENTS 2026'!C1093),"",'ENGAGEMENTS 2026'!J1093)</f>
        <v/>
      </c>
      <c r="G1093">
        <f>IF(ISBLANK('ENGAGEMENTS 2026'!C1093),"",'ENGAGEMENTS 2026'!M1093)</f>
        <v/>
      </c>
      <c r="H1093">
        <f>IF(ISBLANK('ENGAGEMENTS 2026'!C1093),"",'ENGAGEMENTS 2026'!AF1093)</f>
        <v/>
      </c>
      <c r="I1093">
        <f>IF(ISBLANK('ENGAGEMENTS 2026'!C1093),"",'ENGAGEMENTS 2026'!H1093)</f>
        <v/>
      </c>
      <c r="J1093" s="275">
        <f>IF(ISBLANK('ENGAGEMENTS 2026'!C1093),"",IF(AND(OR($E1093="INFRUCTUEUX",$E1093="ANNULE"),$C1093="AOO-M"),'ENGAGEMENTS 2026'!P1093,IF($H1093="EN COURS DE PREENGAGEMENT",'ENGAGEMENTS 2026'!O1093,IF($H1093="PREENGAGE",IF($E1093="ATTRIBUE",'ENGAGEMENTS 2026'!AE1093,'ENGAGEMENTS 2026'!O1093),'ENGAGEMENTS 2026'!AE1093))))</f>
        <v/>
      </c>
      <c r="K1093" s="604">
        <f>IF(ISBLANK('ENGAGEMENTS 2026'!W1093),"",'ENGAGEMENTS 2026'!W1093)</f>
        <v/>
      </c>
      <c r="L1093" s="276">
        <f>IF($K1093="","",TODAY()-$K1093)</f>
        <v/>
      </c>
      <c r="M1093">
        <f>IF($A1093="","",IF($H1093="ENGAGE","Engagé",IF(AND($H1093="NON ENGAGE",OR($I1093="INFRUCTUEUX",$I1093="ANNULE")),"Clôturé sans suite","En cours")))</f>
        <v/>
      </c>
      <c r="N1093">
        <f>IF(ISBLANK('ENGAGEMENTS 2026'!C1093),"",'ENGAGEMENTS 2026'!L1093)</f>
        <v/>
      </c>
      <c r="O1093">
        <f>IF(ISBLANK('ENGAGEMENTS 2026'!C1093),"",'ENGAGEMENTS 2026'!M1093)</f>
        <v/>
      </c>
      <c r="P1093">
        <f>IF(ISBLANK('ENGAGEMENTS 2026'!C1093),"",'ENGAGEMENTS 2026'!K1093)</f>
        <v/>
      </c>
      <c r="Q1093">
        <f>IF($A1093="","",IF(OR($E1093="INFRUCTUEUX",$E1093="ANNULE"),$A1093&amp;"|"&amp;(COUNTIFS($A$2:$A1093,$A1093,$E$2:$E1093,"INFRUCTUEUX")+COUNTIFS($A$2:$A1093,$A1093,$E$2:$E1093,"ANNULE")),""))</f>
        <v/>
      </c>
    </row>
    <row r="1094">
      <c r="A1094">
        <f>IF(ISBLANK('ENGAGEMENTS 2026'!C1094),"",IF('ENGAGEMENTS 2026'!C1094="DTSI","DCT",'ENGAGEMENTS 2026'!C1094))</f>
        <v/>
      </c>
      <c r="B1094">
        <f>IF(ISBLANK('ENGAGEMENTS 2026'!C1094),"",'ENGAGEMENTS 2026'!D1094)</f>
        <v/>
      </c>
      <c r="C1094">
        <f>IF(ISBLANK('ENGAGEMENTS 2026'!C1094),"",'ENGAGEMENTS 2026'!E1094)</f>
        <v/>
      </c>
      <c r="D1094">
        <f>IF(ISBLANK('ENGAGEMENTS 2026'!C1094),"",'ENGAGEMENTS 2026'!G1094)</f>
        <v/>
      </c>
      <c r="E1094">
        <f>IF(ISBLANK('ENGAGEMENTS 2026'!C1094),"",'ENGAGEMENTS 2026'!I1094)</f>
        <v/>
      </c>
      <c r="F1094">
        <f>IF(ISBLANK('ENGAGEMENTS 2026'!C1094),"",'ENGAGEMENTS 2026'!J1094)</f>
        <v/>
      </c>
      <c r="G1094">
        <f>IF(ISBLANK('ENGAGEMENTS 2026'!C1094),"",'ENGAGEMENTS 2026'!M1094)</f>
        <v/>
      </c>
      <c r="H1094">
        <f>IF(ISBLANK('ENGAGEMENTS 2026'!C1094),"",'ENGAGEMENTS 2026'!AF1094)</f>
        <v/>
      </c>
      <c r="I1094">
        <f>IF(ISBLANK('ENGAGEMENTS 2026'!C1094),"",'ENGAGEMENTS 2026'!H1094)</f>
        <v/>
      </c>
      <c r="J1094" s="275">
        <f>IF(ISBLANK('ENGAGEMENTS 2026'!C1094),"",IF(AND(OR($E1094="INFRUCTUEUX",$E1094="ANNULE"),$C1094="AOO-M"),'ENGAGEMENTS 2026'!P1094,IF($H1094="EN COURS DE PREENGAGEMENT",'ENGAGEMENTS 2026'!O1094,IF($H1094="PREENGAGE",IF($E1094="ATTRIBUE",'ENGAGEMENTS 2026'!AE1094,'ENGAGEMENTS 2026'!O1094),'ENGAGEMENTS 2026'!AE1094))))</f>
        <v/>
      </c>
      <c r="K1094" s="604">
        <f>IF(ISBLANK('ENGAGEMENTS 2026'!W1094),"",'ENGAGEMENTS 2026'!W1094)</f>
        <v/>
      </c>
      <c r="L1094" s="276">
        <f>IF($K1094="","",TODAY()-$K1094)</f>
        <v/>
      </c>
      <c r="M1094">
        <f>IF($A1094="","",IF($H1094="ENGAGE","Engagé",IF(AND($H1094="NON ENGAGE",OR($I1094="INFRUCTUEUX",$I1094="ANNULE")),"Clôturé sans suite","En cours")))</f>
        <v/>
      </c>
      <c r="N1094">
        <f>IF(ISBLANK('ENGAGEMENTS 2026'!C1094),"",'ENGAGEMENTS 2026'!L1094)</f>
        <v/>
      </c>
      <c r="O1094">
        <f>IF(ISBLANK('ENGAGEMENTS 2026'!C1094),"",'ENGAGEMENTS 2026'!M1094)</f>
        <v/>
      </c>
      <c r="P1094">
        <f>IF(ISBLANK('ENGAGEMENTS 2026'!C1094),"",'ENGAGEMENTS 2026'!K1094)</f>
        <v/>
      </c>
      <c r="Q1094">
        <f>IF($A1094="","",IF(OR($E1094="INFRUCTUEUX",$E1094="ANNULE"),$A1094&amp;"|"&amp;(COUNTIFS($A$2:$A1094,$A1094,$E$2:$E1094,"INFRUCTUEUX")+COUNTIFS($A$2:$A1094,$A1094,$E$2:$E1094,"ANNULE")),""))</f>
        <v/>
      </c>
    </row>
    <row r="1095">
      <c r="A1095">
        <f>IF(ISBLANK('ENGAGEMENTS 2026'!C1095),"",IF('ENGAGEMENTS 2026'!C1095="DTSI","DCT",'ENGAGEMENTS 2026'!C1095))</f>
        <v/>
      </c>
      <c r="B1095">
        <f>IF(ISBLANK('ENGAGEMENTS 2026'!C1095),"",'ENGAGEMENTS 2026'!D1095)</f>
        <v/>
      </c>
      <c r="C1095">
        <f>IF(ISBLANK('ENGAGEMENTS 2026'!C1095),"",'ENGAGEMENTS 2026'!E1095)</f>
        <v/>
      </c>
      <c r="D1095">
        <f>IF(ISBLANK('ENGAGEMENTS 2026'!C1095),"",'ENGAGEMENTS 2026'!G1095)</f>
        <v/>
      </c>
      <c r="E1095">
        <f>IF(ISBLANK('ENGAGEMENTS 2026'!C1095),"",'ENGAGEMENTS 2026'!I1095)</f>
        <v/>
      </c>
      <c r="F1095">
        <f>IF(ISBLANK('ENGAGEMENTS 2026'!C1095),"",'ENGAGEMENTS 2026'!J1095)</f>
        <v/>
      </c>
      <c r="G1095">
        <f>IF(ISBLANK('ENGAGEMENTS 2026'!C1095),"",'ENGAGEMENTS 2026'!M1095)</f>
        <v/>
      </c>
      <c r="H1095">
        <f>IF(ISBLANK('ENGAGEMENTS 2026'!C1095),"",'ENGAGEMENTS 2026'!AF1095)</f>
        <v/>
      </c>
      <c r="I1095">
        <f>IF(ISBLANK('ENGAGEMENTS 2026'!C1095),"",'ENGAGEMENTS 2026'!H1095)</f>
        <v/>
      </c>
      <c r="J1095" s="275">
        <f>IF(ISBLANK('ENGAGEMENTS 2026'!C1095),"",IF(AND(OR($E1095="INFRUCTUEUX",$E1095="ANNULE"),$C1095="AOO-M"),'ENGAGEMENTS 2026'!P1095,IF($H1095="EN COURS DE PREENGAGEMENT",'ENGAGEMENTS 2026'!O1095,IF($H1095="PREENGAGE",IF($E1095="ATTRIBUE",'ENGAGEMENTS 2026'!AE1095,'ENGAGEMENTS 2026'!O1095),'ENGAGEMENTS 2026'!AE1095))))</f>
        <v/>
      </c>
      <c r="K1095" s="604">
        <f>IF(ISBLANK('ENGAGEMENTS 2026'!W1095),"",'ENGAGEMENTS 2026'!W1095)</f>
        <v/>
      </c>
      <c r="L1095" s="276">
        <f>IF($K1095="","",TODAY()-$K1095)</f>
        <v/>
      </c>
      <c r="M1095">
        <f>IF($A1095="","",IF($H1095="ENGAGE","Engagé",IF(AND($H1095="NON ENGAGE",OR($I1095="INFRUCTUEUX",$I1095="ANNULE")),"Clôturé sans suite","En cours")))</f>
        <v/>
      </c>
      <c r="N1095">
        <f>IF(ISBLANK('ENGAGEMENTS 2026'!C1095),"",'ENGAGEMENTS 2026'!L1095)</f>
        <v/>
      </c>
      <c r="O1095">
        <f>IF(ISBLANK('ENGAGEMENTS 2026'!C1095),"",'ENGAGEMENTS 2026'!M1095)</f>
        <v/>
      </c>
      <c r="P1095">
        <f>IF(ISBLANK('ENGAGEMENTS 2026'!C1095),"",'ENGAGEMENTS 2026'!K1095)</f>
        <v/>
      </c>
      <c r="Q1095">
        <f>IF($A1095="","",IF(OR($E1095="INFRUCTUEUX",$E1095="ANNULE"),$A1095&amp;"|"&amp;(COUNTIFS($A$2:$A1095,$A1095,$E$2:$E1095,"INFRUCTUEUX")+COUNTIFS($A$2:$A1095,$A1095,$E$2:$E1095,"ANNULE")),""))</f>
        <v/>
      </c>
    </row>
    <row r="1096">
      <c r="A1096">
        <f>IF(ISBLANK('ENGAGEMENTS 2026'!C1096),"",IF('ENGAGEMENTS 2026'!C1096="DTSI","DCT",'ENGAGEMENTS 2026'!C1096))</f>
        <v/>
      </c>
      <c r="B1096">
        <f>IF(ISBLANK('ENGAGEMENTS 2026'!C1096),"",'ENGAGEMENTS 2026'!D1096)</f>
        <v/>
      </c>
      <c r="C1096">
        <f>IF(ISBLANK('ENGAGEMENTS 2026'!C1096),"",'ENGAGEMENTS 2026'!E1096)</f>
        <v/>
      </c>
      <c r="D1096">
        <f>IF(ISBLANK('ENGAGEMENTS 2026'!C1096),"",'ENGAGEMENTS 2026'!G1096)</f>
        <v/>
      </c>
      <c r="E1096">
        <f>IF(ISBLANK('ENGAGEMENTS 2026'!C1096),"",'ENGAGEMENTS 2026'!I1096)</f>
        <v/>
      </c>
      <c r="F1096">
        <f>IF(ISBLANK('ENGAGEMENTS 2026'!C1096),"",'ENGAGEMENTS 2026'!J1096)</f>
        <v/>
      </c>
      <c r="G1096">
        <f>IF(ISBLANK('ENGAGEMENTS 2026'!C1096),"",'ENGAGEMENTS 2026'!M1096)</f>
        <v/>
      </c>
      <c r="H1096">
        <f>IF(ISBLANK('ENGAGEMENTS 2026'!C1096),"",'ENGAGEMENTS 2026'!AF1096)</f>
        <v/>
      </c>
      <c r="I1096">
        <f>IF(ISBLANK('ENGAGEMENTS 2026'!C1096),"",'ENGAGEMENTS 2026'!H1096)</f>
        <v/>
      </c>
      <c r="J1096" s="275">
        <f>IF(ISBLANK('ENGAGEMENTS 2026'!C1096),"",IF(AND(OR($E1096="INFRUCTUEUX",$E1096="ANNULE"),$C1096="AOO-M"),'ENGAGEMENTS 2026'!P1096,IF($H1096="EN COURS DE PREENGAGEMENT",'ENGAGEMENTS 2026'!O1096,IF($H1096="PREENGAGE",IF($E1096="ATTRIBUE",'ENGAGEMENTS 2026'!AE1096,'ENGAGEMENTS 2026'!O1096),'ENGAGEMENTS 2026'!AE1096))))</f>
        <v/>
      </c>
      <c r="K1096" s="604">
        <f>IF(ISBLANK('ENGAGEMENTS 2026'!W1096),"",'ENGAGEMENTS 2026'!W1096)</f>
        <v/>
      </c>
      <c r="L1096" s="276">
        <f>IF($K1096="","",TODAY()-$K1096)</f>
        <v/>
      </c>
      <c r="M1096">
        <f>IF($A1096="","",IF($H1096="ENGAGE","Engagé",IF(AND($H1096="NON ENGAGE",OR($I1096="INFRUCTUEUX",$I1096="ANNULE")),"Clôturé sans suite","En cours")))</f>
        <v/>
      </c>
      <c r="N1096">
        <f>IF(ISBLANK('ENGAGEMENTS 2026'!C1096),"",'ENGAGEMENTS 2026'!L1096)</f>
        <v/>
      </c>
      <c r="O1096">
        <f>IF(ISBLANK('ENGAGEMENTS 2026'!C1096),"",'ENGAGEMENTS 2026'!M1096)</f>
        <v/>
      </c>
      <c r="P1096">
        <f>IF(ISBLANK('ENGAGEMENTS 2026'!C1096),"",'ENGAGEMENTS 2026'!K1096)</f>
        <v/>
      </c>
      <c r="Q1096">
        <f>IF($A1096="","",IF(OR($E1096="INFRUCTUEUX",$E1096="ANNULE"),$A1096&amp;"|"&amp;(COUNTIFS($A$2:$A1096,$A1096,$E$2:$E1096,"INFRUCTUEUX")+COUNTIFS($A$2:$A1096,$A1096,$E$2:$E1096,"ANNULE")),""))</f>
        <v/>
      </c>
    </row>
    <row r="1097">
      <c r="A1097">
        <f>IF(ISBLANK('ENGAGEMENTS 2026'!C1097),"",IF('ENGAGEMENTS 2026'!C1097="DTSI","DCT",'ENGAGEMENTS 2026'!C1097))</f>
        <v/>
      </c>
      <c r="B1097">
        <f>IF(ISBLANK('ENGAGEMENTS 2026'!C1097),"",'ENGAGEMENTS 2026'!D1097)</f>
        <v/>
      </c>
      <c r="C1097">
        <f>IF(ISBLANK('ENGAGEMENTS 2026'!C1097),"",'ENGAGEMENTS 2026'!E1097)</f>
        <v/>
      </c>
      <c r="D1097">
        <f>IF(ISBLANK('ENGAGEMENTS 2026'!C1097),"",'ENGAGEMENTS 2026'!G1097)</f>
        <v/>
      </c>
      <c r="E1097">
        <f>IF(ISBLANK('ENGAGEMENTS 2026'!C1097),"",'ENGAGEMENTS 2026'!I1097)</f>
        <v/>
      </c>
      <c r="F1097">
        <f>IF(ISBLANK('ENGAGEMENTS 2026'!C1097),"",'ENGAGEMENTS 2026'!J1097)</f>
        <v/>
      </c>
      <c r="G1097">
        <f>IF(ISBLANK('ENGAGEMENTS 2026'!C1097),"",'ENGAGEMENTS 2026'!M1097)</f>
        <v/>
      </c>
      <c r="H1097">
        <f>IF(ISBLANK('ENGAGEMENTS 2026'!C1097),"",'ENGAGEMENTS 2026'!AF1097)</f>
        <v/>
      </c>
      <c r="I1097">
        <f>IF(ISBLANK('ENGAGEMENTS 2026'!C1097),"",'ENGAGEMENTS 2026'!H1097)</f>
        <v/>
      </c>
      <c r="J1097" s="275">
        <f>IF(ISBLANK('ENGAGEMENTS 2026'!C1097),"",IF(AND(OR($E1097="INFRUCTUEUX",$E1097="ANNULE"),$C1097="AOO-M"),'ENGAGEMENTS 2026'!P1097,IF($H1097="EN COURS DE PREENGAGEMENT",'ENGAGEMENTS 2026'!O1097,IF($H1097="PREENGAGE",IF($E1097="ATTRIBUE",'ENGAGEMENTS 2026'!AE1097,'ENGAGEMENTS 2026'!O1097),'ENGAGEMENTS 2026'!AE1097))))</f>
        <v/>
      </c>
      <c r="K1097" s="604">
        <f>IF(ISBLANK('ENGAGEMENTS 2026'!W1097),"",'ENGAGEMENTS 2026'!W1097)</f>
        <v/>
      </c>
      <c r="L1097" s="276">
        <f>IF($K1097="","",TODAY()-$K1097)</f>
        <v/>
      </c>
      <c r="M1097">
        <f>IF($A1097="","",IF($H1097="ENGAGE","Engagé",IF(AND($H1097="NON ENGAGE",OR($I1097="INFRUCTUEUX",$I1097="ANNULE")),"Clôturé sans suite","En cours")))</f>
        <v/>
      </c>
      <c r="N1097">
        <f>IF(ISBLANK('ENGAGEMENTS 2026'!C1097),"",'ENGAGEMENTS 2026'!L1097)</f>
        <v/>
      </c>
      <c r="O1097">
        <f>IF(ISBLANK('ENGAGEMENTS 2026'!C1097),"",'ENGAGEMENTS 2026'!M1097)</f>
        <v/>
      </c>
      <c r="P1097">
        <f>IF(ISBLANK('ENGAGEMENTS 2026'!C1097),"",'ENGAGEMENTS 2026'!K1097)</f>
        <v/>
      </c>
      <c r="Q1097">
        <f>IF($A1097="","",IF(OR($E1097="INFRUCTUEUX",$E1097="ANNULE"),$A1097&amp;"|"&amp;(COUNTIFS($A$2:$A1097,$A1097,$E$2:$E1097,"INFRUCTUEUX")+COUNTIFS($A$2:$A1097,$A1097,$E$2:$E1097,"ANNULE")),""))</f>
        <v/>
      </c>
    </row>
    <row r="1098">
      <c r="A1098">
        <f>IF(ISBLANK('ENGAGEMENTS 2026'!C1098),"",IF('ENGAGEMENTS 2026'!C1098="DTSI","DCT",'ENGAGEMENTS 2026'!C1098))</f>
        <v/>
      </c>
      <c r="B1098">
        <f>IF(ISBLANK('ENGAGEMENTS 2026'!C1098),"",'ENGAGEMENTS 2026'!D1098)</f>
        <v/>
      </c>
      <c r="C1098">
        <f>IF(ISBLANK('ENGAGEMENTS 2026'!C1098),"",'ENGAGEMENTS 2026'!E1098)</f>
        <v/>
      </c>
      <c r="D1098">
        <f>IF(ISBLANK('ENGAGEMENTS 2026'!C1098),"",'ENGAGEMENTS 2026'!G1098)</f>
        <v/>
      </c>
      <c r="E1098">
        <f>IF(ISBLANK('ENGAGEMENTS 2026'!C1098),"",'ENGAGEMENTS 2026'!I1098)</f>
        <v/>
      </c>
      <c r="F1098">
        <f>IF(ISBLANK('ENGAGEMENTS 2026'!C1098),"",'ENGAGEMENTS 2026'!J1098)</f>
        <v/>
      </c>
      <c r="G1098">
        <f>IF(ISBLANK('ENGAGEMENTS 2026'!C1098),"",'ENGAGEMENTS 2026'!M1098)</f>
        <v/>
      </c>
      <c r="H1098">
        <f>IF(ISBLANK('ENGAGEMENTS 2026'!C1098),"",'ENGAGEMENTS 2026'!AF1098)</f>
        <v/>
      </c>
      <c r="I1098">
        <f>IF(ISBLANK('ENGAGEMENTS 2026'!C1098),"",'ENGAGEMENTS 2026'!H1098)</f>
        <v/>
      </c>
      <c r="J1098" s="275">
        <f>IF(ISBLANK('ENGAGEMENTS 2026'!C1098),"",IF(AND(OR($E1098="INFRUCTUEUX",$E1098="ANNULE"),$C1098="AOO-M"),'ENGAGEMENTS 2026'!P1098,IF($H1098="EN COURS DE PREENGAGEMENT",'ENGAGEMENTS 2026'!O1098,IF($H1098="PREENGAGE",IF($E1098="ATTRIBUE",'ENGAGEMENTS 2026'!AE1098,'ENGAGEMENTS 2026'!O1098),'ENGAGEMENTS 2026'!AE1098))))</f>
        <v/>
      </c>
      <c r="K1098" s="604">
        <f>IF(ISBLANK('ENGAGEMENTS 2026'!W1098),"",'ENGAGEMENTS 2026'!W1098)</f>
        <v/>
      </c>
      <c r="L1098" s="276">
        <f>IF($K1098="","",TODAY()-$K1098)</f>
        <v/>
      </c>
      <c r="M1098">
        <f>IF($A1098="","",IF($H1098="ENGAGE","Engagé",IF(AND($H1098="NON ENGAGE",OR($I1098="INFRUCTUEUX",$I1098="ANNULE")),"Clôturé sans suite","En cours")))</f>
        <v/>
      </c>
      <c r="N1098">
        <f>IF(ISBLANK('ENGAGEMENTS 2026'!C1098),"",'ENGAGEMENTS 2026'!L1098)</f>
        <v/>
      </c>
      <c r="O1098">
        <f>IF(ISBLANK('ENGAGEMENTS 2026'!C1098),"",'ENGAGEMENTS 2026'!M1098)</f>
        <v/>
      </c>
      <c r="P1098">
        <f>IF(ISBLANK('ENGAGEMENTS 2026'!C1098),"",'ENGAGEMENTS 2026'!K1098)</f>
        <v/>
      </c>
      <c r="Q1098">
        <f>IF($A1098="","",IF(OR($E1098="INFRUCTUEUX",$E1098="ANNULE"),$A1098&amp;"|"&amp;(COUNTIFS($A$2:$A1098,$A1098,$E$2:$E1098,"INFRUCTUEUX")+COUNTIFS($A$2:$A1098,$A1098,$E$2:$E1098,"ANNULE")),""))</f>
        <v/>
      </c>
    </row>
    <row r="1099">
      <c r="A1099">
        <f>IF(ISBLANK('ENGAGEMENTS 2026'!C1099),"",IF('ENGAGEMENTS 2026'!C1099="DTSI","DCT",'ENGAGEMENTS 2026'!C1099))</f>
        <v/>
      </c>
      <c r="B1099">
        <f>IF(ISBLANK('ENGAGEMENTS 2026'!C1099),"",'ENGAGEMENTS 2026'!D1099)</f>
        <v/>
      </c>
      <c r="C1099">
        <f>IF(ISBLANK('ENGAGEMENTS 2026'!C1099),"",'ENGAGEMENTS 2026'!E1099)</f>
        <v/>
      </c>
      <c r="D1099">
        <f>IF(ISBLANK('ENGAGEMENTS 2026'!C1099),"",'ENGAGEMENTS 2026'!G1099)</f>
        <v/>
      </c>
      <c r="E1099">
        <f>IF(ISBLANK('ENGAGEMENTS 2026'!C1099),"",'ENGAGEMENTS 2026'!I1099)</f>
        <v/>
      </c>
      <c r="F1099">
        <f>IF(ISBLANK('ENGAGEMENTS 2026'!C1099),"",'ENGAGEMENTS 2026'!J1099)</f>
        <v/>
      </c>
      <c r="G1099">
        <f>IF(ISBLANK('ENGAGEMENTS 2026'!C1099),"",'ENGAGEMENTS 2026'!M1099)</f>
        <v/>
      </c>
      <c r="H1099">
        <f>IF(ISBLANK('ENGAGEMENTS 2026'!C1099),"",'ENGAGEMENTS 2026'!AF1099)</f>
        <v/>
      </c>
      <c r="I1099">
        <f>IF(ISBLANK('ENGAGEMENTS 2026'!C1099),"",'ENGAGEMENTS 2026'!H1099)</f>
        <v/>
      </c>
      <c r="J1099" s="275">
        <f>IF(ISBLANK('ENGAGEMENTS 2026'!C1099),"",IF(AND(OR($E1099="INFRUCTUEUX",$E1099="ANNULE"),$C1099="AOO-M"),'ENGAGEMENTS 2026'!P1099,IF($H1099="EN COURS DE PREENGAGEMENT",'ENGAGEMENTS 2026'!O1099,IF($H1099="PREENGAGE",IF($E1099="ATTRIBUE",'ENGAGEMENTS 2026'!AE1099,'ENGAGEMENTS 2026'!O1099),'ENGAGEMENTS 2026'!AE1099))))</f>
        <v/>
      </c>
      <c r="K1099" s="604">
        <f>IF(ISBLANK('ENGAGEMENTS 2026'!W1099),"",'ENGAGEMENTS 2026'!W1099)</f>
        <v/>
      </c>
      <c r="L1099" s="276">
        <f>IF($K1099="","",TODAY()-$K1099)</f>
        <v/>
      </c>
      <c r="M1099">
        <f>IF($A1099="","",IF($H1099="ENGAGE","Engagé",IF(AND($H1099="NON ENGAGE",OR($I1099="INFRUCTUEUX",$I1099="ANNULE")),"Clôturé sans suite","En cours")))</f>
        <v/>
      </c>
      <c r="N1099">
        <f>IF(ISBLANK('ENGAGEMENTS 2026'!C1099),"",'ENGAGEMENTS 2026'!L1099)</f>
        <v/>
      </c>
      <c r="O1099">
        <f>IF(ISBLANK('ENGAGEMENTS 2026'!C1099),"",'ENGAGEMENTS 2026'!M1099)</f>
        <v/>
      </c>
      <c r="P1099">
        <f>IF(ISBLANK('ENGAGEMENTS 2026'!C1099),"",'ENGAGEMENTS 2026'!K1099)</f>
        <v/>
      </c>
      <c r="Q1099">
        <f>IF($A1099="","",IF(OR($E1099="INFRUCTUEUX",$E1099="ANNULE"),$A1099&amp;"|"&amp;(COUNTIFS($A$2:$A1099,$A1099,$E$2:$E1099,"INFRUCTUEUX")+COUNTIFS($A$2:$A1099,$A1099,$E$2:$E1099,"ANNULE")),""))</f>
        <v/>
      </c>
    </row>
    <row r="1100">
      <c r="A1100">
        <f>IF(ISBLANK('ENGAGEMENTS 2026'!C1100),"",IF('ENGAGEMENTS 2026'!C1100="DTSI","DCT",'ENGAGEMENTS 2026'!C1100))</f>
        <v/>
      </c>
      <c r="B1100">
        <f>IF(ISBLANK('ENGAGEMENTS 2026'!C1100),"",'ENGAGEMENTS 2026'!D1100)</f>
        <v/>
      </c>
      <c r="C1100">
        <f>IF(ISBLANK('ENGAGEMENTS 2026'!C1100),"",'ENGAGEMENTS 2026'!E1100)</f>
        <v/>
      </c>
      <c r="D1100">
        <f>IF(ISBLANK('ENGAGEMENTS 2026'!C1100),"",'ENGAGEMENTS 2026'!G1100)</f>
        <v/>
      </c>
      <c r="E1100">
        <f>IF(ISBLANK('ENGAGEMENTS 2026'!C1100),"",'ENGAGEMENTS 2026'!I1100)</f>
        <v/>
      </c>
      <c r="F1100">
        <f>IF(ISBLANK('ENGAGEMENTS 2026'!C1100),"",'ENGAGEMENTS 2026'!J1100)</f>
        <v/>
      </c>
      <c r="G1100">
        <f>IF(ISBLANK('ENGAGEMENTS 2026'!C1100),"",'ENGAGEMENTS 2026'!M1100)</f>
        <v/>
      </c>
      <c r="H1100">
        <f>IF(ISBLANK('ENGAGEMENTS 2026'!C1100),"",'ENGAGEMENTS 2026'!AF1100)</f>
        <v/>
      </c>
      <c r="I1100">
        <f>IF(ISBLANK('ENGAGEMENTS 2026'!C1100),"",'ENGAGEMENTS 2026'!H1100)</f>
        <v/>
      </c>
      <c r="J1100" s="275">
        <f>IF(ISBLANK('ENGAGEMENTS 2026'!C1100),"",IF(AND(OR($E1100="INFRUCTUEUX",$E1100="ANNULE"),$C1100="AOO-M"),'ENGAGEMENTS 2026'!P1100,IF($H1100="EN COURS DE PREENGAGEMENT",'ENGAGEMENTS 2026'!O1100,IF($H1100="PREENGAGE",IF($E1100="ATTRIBUE",'ENGAGEMENTS 2026'!AE1100,'ENGAGEMENTS 2026'!O1100),'ENGAGEMENTS 2026'!AE1100))))</f>
        <v/>
      </c>
      <c r="K1100" s="604">
        <f>IF(ISBLANK('ENGAGEMENTS 2026'!W1100),"",'ENGAGEMENTS 2026'!W1100)</f>
        <v/>
      </c>
      <c r="L1100" s="276">
        <f>IF($K1100="","",TODAY()-$K1100)</f>
        <v/>
      </c>
      <c r="M1100">
        <f>IF($A1100="","",IF($H1100="ENGAGE","Engagé",IF(AND($H1100="NON ENGAGE",OR($I1100="INFRUCTUEUX",$I1100="ANNULE")),"Clôturé sans suite","En cours")))</f>
        <v/>
      </c>
      <c r="N1100">
        <f>IF(ISBLANK('ENGAGEMENTS 2026'!C1100),"",'ENGAGEMENTS 2026'!L1100)</f>
        <v/>
      </c>
      <c r="O1100">
        <f>IF(ISBLANK('ENGAGEMENTS 2026'!C1100),"",'ENGAGEMENTS 2026'!M1100)</f>
        <v/>
      </c>
      <c r="P1100">
        <f>IF(ISBLANK('ENGAGEMENTS 2026'!C1100),"",'ENGAGEMENTS 2026'!K1100)</f>
        <v/>
      </c>
      <c r="Q1100">
        <f>IF($A1100="","",IF(OR($E1100="INFRUCTUEUX",$E1100="ANNULE"),$A1100&amp;"|"&amp;(COUNTIFS($A$2:$A1100,$A1100,$E$2:$E1100,"INFRUCTUEUX")+COUNTIFS($A$2:$A1100,$A1100,$E$2:$E1100,"ANNULE")),""))</f>
        <v/>
      </c>
    </row>
    <row r="1101">
      <c r="A1101">
        <f>IF(ISBLANK('ENGAGEMENTS 2026'!C1101),"",IF('ENGAGEMENTS 2026'!C1101="DTSI","DCT",'ENGAGEMENTS 2026'!C1101))</f>
        <v/>
      </c>
      <c r="B1101">
        <f>IF(ISBLANK('ENGAGEMENTS 2026'!C1101),"",'ENGAGEMENTS 2026'!D1101)</f>
        <v/>
      </c>
      <c r="C1101">
        <f>IF(ISBLANK('ENGAGEMENTS 2026'!C1101),"",'ENGAGEMENTS 2026'!E1101)</f>
        <v/>
      </c>
      <c r="D1101">
        <f>IF(ISBLANK('ENGAGEMENTS 2026'!C1101),"",'ENGAGEMENTS 2026'!G1101)</f>
        <v/>
      </c>
      <c r="E1101">
        <f>IF(ISBLANK('ENGAGEMENTS 2026'!C1101),"",'ENGAGEMENTS 2026'!I1101)</f>
        <v/>
      </c>
      <c r="F1101">
        <f>IF(ISBLANK('ENGAGEMENTS 2026'!C1101),"",'ENGAGEMENTS 2026'!J1101)</f>
        <v/>
      </c>
      <c r="G1101">
        <f>IF(ISBLANK('ENGAGEMENTS 2026'!C1101),"",'ENGAGEMENTS 2026'!M1101)</f>
        <v/>
      </c>
      <c r="H1101">
        <f>IF(ISBLANK('ENGAGEMENTS 2026'!C1101),"",'ENGAGEMENTS 2026'!AF1101)</f>
        <v/>
      </c>
      <c r="I1101">
        <f>IF(ISBLANK('ENGAGEMENTS 2026'!C1101),"",'ENGAGEMENTS 2026'!H1101)</f>
        <v/>
      </c>
      <c r="J1101" s="275">
        <f>IF(ISBLANK('ENGAGEMENTS 2026'!C1101),"",IF(AND(OR($E1101="INFRUCTUEUX",$E1101="ANNULE"),$C1101="AOO-M"),'ENGAGEMENTS 2026'!P1101,IF($H1101="EN COURS DE PREENGAGEMENT",'ENGAGEMENTS 2026'!O1101,IF($H1101="PREENGAGE",IF($E1101="ATTRIBUE",'ENGAGEMENTS 2026'!AE1101,'ENGAGEMENTS 2026'!O1101),'ENGAGEMENTS 2026'!AE1101))))</f>
        <v/>
      </c>
      <c r="K1101" s="604">
        <f>IF(ISBLANK('ENGAGEMENTS 2026'!W1101),"",'ENGAGEMENTS 2026'!W1101)</f>
        <v/>
      </c>
      <c r="L1101" s="276">
        <f>IF($K1101="","",TODAY()-$K1101)</f>
        <v/>
      </c>
      <c r="M1101">
        <f>IF($A1101="","",IF($H1101="ENGAGE","Engagé",IF(AND($H1101="NON ENGAGE",OR($I1101="INFRUCTUEUX",$I1101="ANNULE")),"Clôturé sans suite","En cours")))</f>
        <v/>
      </c>
      <c r="N1101">
        <f>IF(ISBLANK('ENGAGEMENTS 2026'!C1101),"",'ENGAGEMENTS 2026'!L1101)</f>
        <v/>
      </c>
      <c r="O1101">
        <f>IF(ISBLANK('ENGAGEMENTS 2026'!C1101),"",'ENGAGEMENTS 2026'!M1101)</f>
        <v/>
      </c>
      <c r="P1101">
        <f>IF(ISBLANK('ENGAGEMENTS 2026'!C1101),"",'ENGAGEMENTS 2026'!K1101)</f>
        <v/>
      </c>
      <c r="Q1101">
        <f>IF($A1101="","",IF(OR($E1101="INFRUCTUEUX",$E1101="ANNULE"),$A1101&amp;"|"&amp;(COUNTIFS($A$2:$A1101,$A1101,$E$2:$E1101,"INFRUCTUEUX")+COUNTIFS($A$2:$A1101,$A1101,$E$2:$E1101,"ANNULE")),""))</f>
        <v/>
      </c>
    </row>
    <row r="1102">
      <c r="A1102">
        <f>IF(ISBLANK('ENGAGEMENTS 2026'!C1102),"",IF('ENGAGEMENTS 2026'!C1102="DTSI","DCT",'ENGAGEMENTS 2026'!C1102))</f>
        <v/>
      </c>
      <c r="B1102">
        <f>IF(ISBLANK('ENGAGEMENTS 2026'!C1102),"",'ENGAGEMENTS 2026'!D1102)</f>
        <v/>
      </c>
      <c r="C1102">
        <f>IF(ISBLANK('ENGAGEMENTS 2026'!C1102),"",'ENGAGEMENTS 2026'!E1102)</f>
        <v/>
      </c>
      <c r="D1102">
        <f>IF(ISBLANK('ENGAGEMENTS 2026'!C1102),"",'ENGAGEMENTS 2026'!G1102)</f>
        <v/>
      </c>
      <c r="E1102">
        <f>IF(ISBLANK('ENGAGEMENTS 2026'!C1102),"",'ENGAGEMENTS 2026'!I1102)</f>
        <v/>
      </c>
      <c r="F1102">
        <f>IF(ISBLANK('ENGAGEMENTS 2026'!C1102),"",'ENGAGEMENTS 2026'!J1102)</f>
        <v/>
      </c>
      <c r="G1102">
        <f>IF(ISBLANK('ENGAGEMENTS 2026'!C1102),"",'ENGAGEMENTS 2026'!M1102)</f>
        <v/>
      </c>
      <c r="H1102">
        <f>IF(ISBLANK('ENGAGEMENTS 2026'!C1102),"",'ENGAGEMENTS 2026'!AF1102)</f>
        <v/>
      </c>
      <c r="I1102">
        <f>IF(ISBLANK('ENGAGEMENTS 2026'!C1102),"",'ENGAGEMENTS 2026'!H1102)</f>
        <v/>
      </c>
      <c r="J1102" s="275">
        <f>IF(ISBLANK('ENGAGEMENTS 2026'!C1102),"",IF(AND(OR($E1102="INFRUCTUEUX",$E1102="ANNULE"),$C1102="AOO-M"),'ENGAGEMENTS 2026'!P1102,IF($H1102="EN COURS DE PREENGAGEMENT",'ENGAGEMENTS 2026'!O1102,IF($H1102="PREENGAGE",IF($E1102="ATTRIBUE",'ENGAGEMENTS 2026'!AE1102,'ENGAGEMENTS 2026'!O1102),'ENGAGEMENTS 2026'!AE1102))))</f>
        <v/>
      </c>
      <c r="K1102" s="604">
        <f>IF(ISBLANK('ENGAGEMENTS 2026'!W1102),"",'ENGAGEMENTS 2026'!W1102)</f>
        <v/>
      </c>
      <c r="L1102" s="276">
        <f>IF($K1102="","",TODAY()-$K1102)</f>
        <v/>
      </c>
      <c r="M1102">
        <f>IF($A1102="","",IF($H1102="ENGAGE","Engagé",IF(AND($H1102="NON ENGAGE",OR($I1102="INFRUCTUEUX",$I1102="ANNULE")),"Clôturé sans suite","En cours")))</f>
        <v/>
      </c>
      <c r="N1102">
        <f>IF(ISBLANK('ENGAGEMENTS 2026'!C1102),"",'ENGAGEMENTS 2026'!L1102)</f>
        <v/>
      </c>
      <c r="O1102">
        <f>IF(ISBLANK('ENGAGEMENTS 2026'!C1102),"",'ENGAGEMENTS 2026'!M1102)</f>
        <v/>
      </c>
      <c r="P1102">
        <f>IF(ISBLANK('ENGAGEMENTS 2026'!C1102),"",'ENGAGEMENTS 2026'!K1102)</f>
        <v/>
      </c>
      <c r="Q1102">
        <f>IF($A1102="","",IF(OR($E1102="INFRUCTUEUX",$E1102="ANNULE"),$A1102&amp;"|"&amp;(COUNTIFS($A$2:$A1102,$A1102,$E$2:$E1102,"INFRUCTUEUX")+COUNTIFS($A$2:$A1102,$A1102,$E$2:$E1102,"ANNULE")),""))</f>
        <v/>
      </c>
    </row>
    <row r="1103">
      <c r="A1103">
        <f>IF(ISBLANK('ENGAGEMENTS 2026'!C1103),"",IF('ENGAGEMENTS 2026'!C1103="DTSI","DCT",'ENGAGEMENTS 2026'!C1103))</f>
        <v/>
      </c>
      <c r="B1103">
        <f>IF(ISBLANK('ENGAGEMENTS 2026'!C1103),"",'ENGAGEMENTS 2026'!D1103)</f>
        <v/>
      </c>
      <c r="C1103">
        <f>IF(ISBLANK('ENGAGEMENTS 2026'!C1103),"",'ENGAGEMENTS 2026'!E1103)</f>
        <v/>
      </c>
      <c r="D1103">
        <f>IF(ISBLANK('ENGAGEMENTS 2026'!C1103),"",'ENGAGEMENTS 2026'!G1103)</f>
        <v/>
      </c>
      <c r="E1103">
        <f>IF(ISBLANK('ENGAGEMENTS 2026'!C1103),"",'ENGAGEMENTS 2026'!I1103)</f>
        <v/>
      </c>
      <c r="F1103">
        <f>IF(ISBLANK('ENGAGEMENTS 2026'!C1103),"",'ENGAGEMENTS 2026'!J1103)</f>
        <v/>
      </c>
      <c r="G1103">
        <f>IF(ISBLANK('ENGAGEMENTS 2026'!C1103),"",'ENGAGEMENTS 2026'!M1103)</f>
        <v/>
      </c>
      <c r="H1103">
        <f>IF(ISBLANK('ENGAGEMENTS 2026'!C1103),"",'ENGAGEMENTS 2026'!AF1103)</f>
        <v/>
      </c>
      <c r="I1103">
        <f>IF(ISBLANK('ENGAGEMENTS 2026'!C1103),"",'ENGAGEMENTS 2026'!H1103)</f>
        <v/>
      </c>
      <c r="J1103" s="275">
        <f>IF(ISBLANK('ENGAGEMENTS 2026'!C1103),"",IF(AND(OR($E1103="INFRUCTUEUX",$E1103="ANNULE"),$C1103="AOO-M"),'ENGAGEMENTS 2026'!P1103,IF($H1103="EN COURS DE PREENGAGEMENT",'ENGAGEMENTS 2026'!O1103,IF($H1103="PREENGAGE",IF($E1103="ATTRIBUE",'ENGAGEMENTS 2026'!AE1103,'ENGAGEMENTS 2026'!O1103),'ENGAGEMENTS 2026'!AE1103))))</f>
        <v/>
      </c>
      <c r="K1103" s="604">
        <f>IF(ISBLANK('ENGAGEMENTS 2026'!W1103),"",'ENGAGEMENTS 2026'!W1103)</f>
        <v/>
      </c>
      <c r="L1103" s="276">
        <f>IF($K1103="","",TODAY()-$K1103)</f>
        <v/>
      </c>
      <c r="M1103">
        <f>IF($A1103="","",IF($H1103="ENGAGE","Engagé",IF(AND($H1103="NON ENGAGE",OR($I1103="INFRUCTUEUX",$I1103="ANNULE")),"Clôturé sans suite","En cours")))</f>
        <v/>
      </c>
      <c r="N1103">
        <f>IF(ISBLANK('ENGAGEMENTS 2026'!C1103),"",'ENGAGEMENTS 2026'!L1103)</f>
        <v/>
      </c>
      <c r="O1103">
        <f>IF(ISBLANK('ENGAGEMENTS 2026'!C1103),"",'ENGAGEMENTS 2026'!M1103)</f>
        <v/>
      </c>
      <c r="P1103">
        <f>IF(ISBLANK('ENGAGEMENTS 2026'!C1103),"",'ENGAGEMENTS 2026'!K1103)</f>
        <v/>
      </c>
      <c r="Q1103">
        <f>IF($A1103="","",IF(OR($E1103="INFRUCTUEUX",$E1103="ANNULE"),$A1103&amp;"|"&amp;(COUNTIFS($A$2:$A1103,$A1103,$E$2:$E1103,"INFRUCTUEUX")+COUNTIFS($A$2:$A1103,$A1103,$E$2:$E1103,"ANNULE")),""))</f>
        <v/>
      </c>
    </row>
    <row r="1104">
      <c r="A1104">
        <f>IF(ISBLANK('ENGAGEMENTS 2026'!C1104),"",IF('ENGAGEMENTS 2026'!C1104="DTSI","DCT",'ENGAGEMENTS 2026'!C1104))</f>
        <v/>
      </c>
      <c r="B1104">
        <f>IF(ISBLANK('ENGAGEMENTS 2026'!C1104),"",'ENGAGEMENTS 2026'!D1104)</f>
        <v/>
      </c>
      <c r="C1104">
        <f>IF(ISBLANK('ENGAGEMENTS 2026'!C1104),"",'ENGAGEMENTS 2026'!E1104)</f>
        <v/>
      </c>
      <c r="D1104">
        <f>IF(ISBLANK('ENGAGEMENTS 2026'!C1104),"",'ENGAGEMENTS 2026'!G1104)</f>
        <v/>
      </c>
      <c r="E1104">
        <f>IF(ISBLANK('ENGAGEMENTS 2026'!C1104),"",'ENGAGEMENTS 2026'!I1104)</f>
        <v/>
      </c>
      <c r="F1104">
        <f>IF(ISBLANK('ENGAGEMENTS 2026'!C1104),"",'ENGAGEMENTS 2026'!J1104)</f>
        <v/>
      </c>
      <c r="G1104">
        <f>IF(ISBLANK('ENGAGEMENTS 2026'!C1104),"",'ENGAGEMENTS 2026'!M1104)</f>
        <v/>
      </c>
      <c r="H1104">
        <f>IF(ISBLANK('ENGAGEMENTS 2026'!C1104),"",'ENGAGEMENTS 2026'!AF1104)</f>
        <v/>
      </c>
      <c r="I1104">
        <f>IF(ISBLANK('ENGAGEMENTS 2026'!C1104),"",'ENGAGEMENTS 2026'!H1104)</f>
        <v/>
      </c>
      <c r="J1104" s="275">
        <f>IF(ISBLANK('ENGAGEMENTS 2026'!C1104),"",IF(AND(OR($E1104="INFRUCTUEUX",$E1104="ANNULE"),$C1104="AOO-M"),'ENGAGEMENTS 2026'!P1104,IF($H1104="EN COURS DE PREENGAGEMENT",'ENGAGEMENTS 2026'!O1104,IF($H1104="PREENGAGE",IF($E1104="ATTRIBUE",'ENGAGEMENTS 2026'!AE1104,'ENGAGEMENTS 2026'!O1104),'ENGAGEMENTS 2026'!AE1104))))</f>
        <v/>
      </c>
      <c r="K1104" s="604">
        <f>IF(ISBLANK('ENGAGEMENTS 2026'!W1104),"",'ENGAGEMENTS 2026'!W1104)</f>
        <v/>
      </c>
      <c r="L1104" s="276">
        <f>IF($K1104="","",TODAY()-$K1104)</f>
        <v/>
      </c>
      <c r="M1104">
        <f>IF($A1104="","",IF($H1104="ENGAGE","Engagé",IF(AND($H1104="NON ENGAGE",OR($I1104="INFRUCTUEUX",$I1104="ANNULE")),"Clôturé sans suite","En cours")))</f>
        <v/>
      </c>
      <c r="N1104">
        <f>IF(ISBLANK('ENGAGEMENTS 2026'!C1104),"",'ENGAGEMENTS 2026'!L1104)</f>
        <v/>
      </c>
      <c r="O1104">
        <f>IF(ISBLANK('ENGAGEMENTS 2026'!C1104),"",'ENGAGEMENTS 2026'!M1104)</f>
        <v/>
      </c>
      <c r="P1104">
        <f>IF(ISBLANK('ENGAGEMENTS 2026'!C1104),"",'ENGAGEMENTS 2026'!K1104)</f>
        <v/>
      </c>
      <c r="Q1104">
        <f>IF($A1104="","",IF(OR($E1104="INFRUCTUEUX",$E1104="ANNULE"),$A1104&amp;"|"&amp;(COUNTIFS($A$2:$A1104,$A1104,$E$2:$E1104,"INFRUCTUEUX")+COUNTIFS($A$2:$A1104,$A1104,$E$2:$E1104,"ANNULE")),""))</f>
        <v/>
      </c>
    </row>
    <row r="1105">
      <c r="A1105">
        <f>IF(ISBLANK('ENGAGEMENTS 2026'!C1105),"",IF('ENGAGEMENTS 2026'!C1105="DTSI","DCT",'ENGAGEMENTS 2026'!C1105))</f>
        <v/>
      </c>
      <c r="B1105">
        <f>IF(ISBLANK('ENGAGEMENTS 2026'!C1105),"",'ENGAGEMENTS 2026'!D1105)</f>
        <v/>
      </c>
      <c r="C1105">
        <f>IF(ISBLANK('ENGAGEMENTS 2026'!C1105),"",'ENGAGEMENTS 2026'!E1105)</f>
        <v/>
      </c>
      <c r="D1105">
        <f>IF(ISBLANK('ENGAGEMENTS 2026'!C1105),"",'ENGAGEMENTS 2026'!G1105)</f>
        <v/>
      </c>
      <c r="E1105">
        <f>IF(ISBLANK('ENGAGEMENTS 2026'!C1105),"",'ENGAGEMENTS 2026'!I1105)</f>
        <v/>
      </c>
      <c r="F1105">
        <f>IF(ISBLANK('ENGAGEMENTS 2026'!C1105),"",'ENGAGEMENTS 2026'!J1105)</f>
        <v/>
      </c>
      <c r="G1105">
        <f>IF(ISBLANK('ENGAGEMENTS 2026'!C1105),"",'ENGAGEMENTS 2026'!M1105)</f>
        <v/>
      </c>
      <c r="H1105">
        <f>IF(ISBLANK('ENGAGEMENTS 2026'!C1105),"",'ENGAGEMENTS 2026'!AF1105)</f>
        <v/>
      </c>
      <c r="I1105">
        <f>IF(ISBLANK('ENGAGEMENTS 2026'!C1105),"",'ENGAGEMENTS 2026'!H1105)</f>
        <v/>
      </c>
      <c r="J1105" s="275">
        <f>IF(ISBLANK('ENGAGEMENTS 2026'!C1105),"",IF(AND(OR($E1105="INFRUCTUEUX",$E1105="ANNULE"),$C1105="AOO-M"),'ENGAGEMENTS 2026'!P1105,IF($H1105="EN COURS DE PREENGAGEMENT",'ENGAGEMENTS 2026'!O1105,IF($H1105="PREENGAGE",IF($E1105="ATTRIBUE",'ENGAGEMENTS 2026'!AE1105,'ENGAGEMENTS 2026'!O1105),'ENGAGEMENTS 2026'!AE1105))))</f>
        <v/>
      </c>
      <c r="K1105" s="604">
        <f>IF(ISBLANK('ENGAGEMENTS 2026'!W1105),"",'ENGAGEMENTS 2026'!W1105)</f>
        <v/>
      </c>
      <c r="L1105" s="276">
        <f>IF($K1105="","",TODAY()-$K1105)</f>
        <v/>
      </c>
      <c r="M1105">
        <f>IF($A1105="","",IF($H1105="ENGAGE","Engagé",IF(AND($H1105="NON ENGAGE",OR($I1105="INFRUCTUEUX",$I1105="ANNULE")),"Clôturé sans suite","En cours")))</f>
        <v/>
      </c>
      <c r="N1105">
        <f>IF(ISBLANK('ENGAGEMENTS 2026'!C1105),"",'ENGAGEMENTS 2026'!L1105)</f>
        <v/>
      </c>
      <c r="O1105">
        <f>IF(ISBLANK('ENGAGEMENTS 2026'!C1105),"",'ENGAGEMENTS 2026'!M1105)</f>
        <v/>
      </c>
      <c r="P1105">
        <f>IF(ISBLANK('ENGAGEMENTS 2026'!C1105),"",'ENGAGEMENTS 2026'!K1105)</f>
        <v/>
      </c>
      <c r="Q1105">
        <f>IF($A1105="","",IF(OR($E1105="INFRUCTUEUX",$E1105="ANNULE"),$A1105&amp;"|"&amp;(COUNTIFS($A$2:$A1105,$A1105,$E$2:$E1105,"INFRUCTUEUX")+COUNTIFS($A$2:$A1105,$A1105,$E$2:$E1105,"ANNULE")),""))</f>
        <v/>
      </c>
    </row>
    <row r="1106">
      <c r="A1106">
        <f>IF(ISBLANK('ENGAGEMENTS 2026'!C1106),"",IF('ENGAGEMENTS 2026'!C1106="DTSI","DCT",'ENGAGEMENTS 2026'!C1106))</f>
        <v/>
      </c>
      <c r="B1106">
        <f>IF(ISBLANK('ENGAGEMENTS 2026'!C1106),"",'ENGAGEMENTS 2026'!D1106)</f>
        <v/>
      </c>
      <c r="C1106">
        <f>IF(ISBLANK('ENGAGEMENTS 2026'!C1106),"",'ENGAGEMENTS 2026'!E1106)</f>
        <v/>
      </c>
      <c r="D1106">
        <f>IF(ISBLANK('ENGAGEMENTS 2026'!C1106),"",'ENGAGEMENTS 2026'!G1106)</f>
        <v/>
      </c>
      <c r="E1106">
        <f>IF(ISBLANK('ENGAGEMENTS 2026'!C1106),"",'ENGAGEMENTS 2026'!I1106)</f>
        <v/>
      </c>
      <c r="F1106">
        <f>IF(ISBLANK('ENGAGEMENTS 2026'!C1106),"",'ENGAGEMENTS 2026'!J1106)</f>
        <v/>
      </c>
      <c r="G1106">
        <f>IF(ISBLANK('ENGAGEMENTS 2026'!C1106),"",'ENGAGEMENTS 2026'!M1106)</f>
        <v/>
      </c>
      <c r="H1106">
        <f>IF(ISBLANK('ENGAGEMENTS 2026'!C1106),"",'ENGAGEMENTS 2026'!AF1106)</f>
        <v/>
      </c>
      <c r="I1106">
        <f>IF(ISBLANK('ENGAGEMENTS 2026'!C1106),"",'ENGAGEMENTS 2026'!H1106)</f>
        <v/>
      </c>
      <c r="J1106" s="275">
        <f>IF(ISBLANK('ENGAGEMENTS 2026'!C1106),"",IF(AND(OR($E1106="INFRUCTUEUX",$E1106="ANNULE"),$C1106="AOO-M"),'ENGAGEMENTS 2026'!P1106,IF($H1106="EN COURS DE PREENGAGEMENT",'ENGAGEMENTS 2026'!O1106,IF($H1106="PREENGAGE",IF($E1106="ATTRIBUE",'ENGAGEMENTS 2026'!AE1106,'ENGAGEMENTS 2026'!O1106),'ENGAGEMENTS 2026'!AE1106))))</f>
        <v/>
      </c>
      <c r="K1106" s="604">
        <f>IF(ISBLANK('ENGAGEMENTS 2026'!W1106),"",'ENGAGEMENTS 2026'!W1106)</f>
        <v/>
      </c>
      <c r="L1106" s="276">
        <f>IF($K1106="","",TODAY()-$K1106)</f>
        <v/>
      </c>
      <c r="M1106">
        <f>IF($A1106="","",IF($H1106="ENGAGE","Engagé",IF(AND($H1106="NON ENGAGE",OR($I1106="INFRUCTUEUX",$I1106="ANNULE")),"Clôturé sans suite","En cours")))</f>
        <v/>
      </c>
      <c r="N1106">
        <f>IF(ISBLANK('ENGAGEMENTS 2026'!C1106),"",'ENGAGEMENTS 2026'!L1106)</f>
        <v/>
      </c>
      <c r="O1106">
        <f>IF(ISBLANK('ENGAGEMENTS 2026'!C1106),"",'ENGAGEMENTS 2026'!M1106)</f>
        <v/>
      </c>
      <c r="P1106">
        <f>IF(ISBLANK('ENGAGEMENTS 2026'!C1106),"",'ENGAGEMENTS 2026'!K1106)</f>
        <v/>
      </c>
      <c r="Q1106">
        <f>IF($A1106="","",IF(OR($E1106="INFRUCTUEUX",$E1106="ANNULE"),$A1106&amp;"|"&amp;(COUNTIFS($A$2:$A1106,$A1106,$E$2:$E1106,"INFRUCTUEUX")+COUNTIFS($A$2:$A1106,$A1106,$E$2:$E1106,"ANNULE")),""))</f>
        <v/>
      </c>
    </row>
    <row r="1107">
      <c r="A1107">
        <f>IF(ISBLANK('ENGAGEMENTS 2026'!C1107),"",IF('ENGAGEMENTS 2026'!C1107="DTSI","DCT",'ENGAGEMENTS 2026'!C1107))</f>
        <v/>
      </c>
      <c r="B1107">
        <f>IF(ISBLANK('ENGAGEMENTS 2026'!C1107),"",'ENGAGEMENTS 2026'!D1107)</f>
        <v/>
      </c>
      <c r="C1107">
        <f>IF(ISBLANK('ENGAGEMENTS 2026'!C1107),"",'ENGAGEMENTS 2026'!E1107)</f>
        <v/>
      </c>
      <c r="D1107">
        <f>IF(ISBLANK('ENGAGEMENTS 2026'!C1107),"",'ENGAGEMENTS 2026'!G1107)</f>
        <v/>
      </c>
      <c r="E1107">
        <f>IF(ISBLANK('ENGAGEMENTS 2026'!C1107),"",'ENGAGEMENTS 2026'!I1107)</f>
        <v/>
      </c>
      <c r="F1107">
        <f>IF(ISBLANK('ENGAGEMENTS 2026'!C1107),"",'ENGAGEMENTS 2026'!J1107)</f>
        <v/>
      </c>
      <c r="G1107">
        <f>IF(ISBLANK('ENGAGEMENTS 2026'!C1107),"",'ENGAGEMENTS 2026'!M1107)</f>
        <v/>
      </c>
      <c r="H1107">
        <f>IF(ISBLANK('ENGAGEMENTS 2026'!C1107),"",'ENGAGEMENTS 2026'!AF1107)</f>
        <v/>
      </c>
      <c r="I1107">
        <f>IF(ISBLANK('ENGAGEMENTS 2026'!C1107),"",'ENGAGEMENTS 2026'!H1107)</f>
        <v/>
      </c>
      <c r="J1107" s="275">
        <f>IF(ISBLANK('ENGAGEMENTS 2026'!C1107),"",IF(AND(OR($E1107="INFRUCTUEUX",$E1107="ANNULE"),$C1107="AOO-M"),'ENGAGEMENTS 2026'!P1107,IF($H1107="EN COURS DE PREENGAGEMENT",'ENGAGEMENTS 2026'!O1107,IF($H1107="PREENGAGE",IF($E1107="ATTRIBUE",'ENGAGEMENTS 2026'!AE1107,'ENGAGEMENTS 2026'!O1107),'ENGAGEMENTS 2026'!AE1107))))</f>
        <v/>
      </c>
      <c r="K1107" s="604">
        <f>IF(ISBLANK('ENGAGEMENTS 2026'!W1107),"",'ENGAGEMENTS 2026'!W1107)</f>
        <v/>
      </c>
      <c r="L1107" s="276">
        <f>IF($K1107="","",TODAY()-$K1107)</f>
        <v/>
      </c>
      <c r="M1107">
        <f>IF($A1107="","",IF($H1107="ENGAGE","Engagé",IF(AND($H1107="NON ENGAGE",OR($I1107="INFRUCTUEUX",$I1107="ANNULE")),"Clôturé sans suite","En cours")))</f>
        <v/>
      </c>
      <c r="N1107">
        <f>IF(ISBLANK('ENGAGEMENTS 2026'!C1107),"",'ENGAGEMENTS 2026'!L1107)</f>
        <v/>
      </c>
      <c r="O1107">
        <f>IF(ISBLANK('ENGAGEMENTS 2026'!C1107),"",'ENGAGEMENTS 2026'!M1107)</f>
        <v/>
      </c>
      <c r="P1107">
        <f>IF(ISBLANK('ENGAGEMENTS 2026'!C1107),"",'ENGAGEMENTS 2026'!K1107)</f>
        <v/>
      </c>
      <c r="Q1107">
        <f>IF($A1107="","",IF(OR($E1107="INFRUCTUEUX",$E1107="ANNULE"),$A1107&amp;"|"&amp;(COUNTIFS($A$2:$A1107,$A1107,$E$2:$E1107,"INFRUCTUEUX")+COUNTIFS($A$2:$A1107,$A1107,$E$2:$E1107,"ANNULE")),""))</f>
        <v/>
      </c>
    </row>
    <row r="1108">
      <c r="A1108">
        <f>IF(ISBLANK('ENGAGEMENTS 2026'!C1108),"",IF('ENGAGEMENTS 2026'!C1108="DTSI","DCT",'ENGAGEMENTS 2026'!C1108))</f>
        <v/>
      </c>
      <c r="B1108">
        <f>IF(ISBLANK('ENGAGEMENTS 2026'!C1108),"",'ENGAGEMENTS 2026'!D1108)</f>
        <v/>
      </c>
      <c r="C1108">
        <f>IF(ISBLANK('ENGAGEMENTS 2026'!C1108),"",'ENGAGEMENTS 2026'!E1108)</f>
        <v/>
      </c>
      <c r="D1108">
        <f>IF(ISBLANK('ENGAGEMENTS 2026'!C1108),"",'ENGAGEMENTS 2026'!G1108)</f>
        <v/>
      </c>
      <c r="E1108">
        <f>IF(ISBLANK('ENGAGEMENTS 2026'!C1108),"",'ENGAGEMENTS 2026'!I1108)</f>
        <v/>
      </c>
      <c r="F1108">
        <f>IF(ISBLANK('ENGAGEMENTS 2026'!C1108),"",'ENGAGEMENTS 2026'!J1108)</f>
        <v/>
      </c>
      <c r="G1108">
        <f>IF(ISBLANK('ENGAGEMENTS 2026'!C1108),"",'ENGAGEMENTS 2026'!M1108)</f>
        <v/>
      </c>
      <c r="H1108">
        <f>IF(ISBLANK('ENGAGEMENTS 2026'!C1108),"",'ENGAGEMENTS 2026'!AF1108)</f>
        <v/>
      </c>
      <c r="I1108">
        <f>IF(ISBLANK('ENGAGEMENTS 2026'!C1108),"",'ENGAGEMENTS 2026'!H1108)</f>
        <v/>
      </c>
      <c r="J1108" s="275">
        <f>IF(ISBLANK('ENGAGEMENTS 2026'!C1108),"",IF(AND(OR($E1108="INFRUCTUEUX",$E1108="ANNULE"),$C1108="AOO-M"),'ENGAGEMENTS 2026'!P1108,IF($H1108="EN COURS DE PREENGAGEMENT",'ENGAGEMENTS 2026'!O1108,IF($H1108="PREENGAGE",IF($E1108="ATTRIBUE",'ENGAGEMENTS 2026'!AE1108,'ENGAGEMENTS 2026'!O1108),'ENGAGEMENTS 2026'!AE1108))))</f>
        <v/>
      </c>
      <c r="K1108" s="604">
        <f>IF(ISBLANK('ENGAGEMENTS 2026'!W1108),"",'ENGAGEMENTS 2026'!W1108)</f>
        <v/>
      </c>
      <c r="L1108" s="276">
        <f>IF($K1108="","",TODAY()-$K1108)</f>
        <v/>
      </c>
      <c r="M1108">
        <f>IF($A1108="","",IF($H1108="ENGAGE","Engagé",IF(AND($H1108="NON ENGAGE",OR($I1108="INFRUCTUEUX",$I1108="ANNULE")),"Clôturé sans suite","En cours")))</f>
        <v/>
      </c>
      <c r="N1108">
        <f>IF(ISBLANK('ENGAGEMENTS 2026'!C1108),"",'ENGAGEMENTS 2026'!L1108)</f>
        <v/>
      </c>
      <c r="O1108">
        <f>IF(ISBLANK('ENGAGEMENTS 2026'!C1108),"",'ENGAGEMENTS 2026'!M1108)</f>
        <v/>
      </c>
      <c r="P1108">
        <f>IF(ISBLANK('ENGAGEMENTS 2026'!C1108),"",'ENGAGEMENTS 2026'!K1108)</f>
        <v/>
      </c>
      <c r="Q1108">
        <f>IF($A1108="","",IF(OR($E1108="INFRUCTUEUX",$E1108="ANNULE"),$A1108&amp;"|"&amp;(COUNTIFS($A$2:$A1108,$A1108,$E$2:$E1108,"INFRUCTUEUX")+COUNTIFS($A$2:$A1108,$A1108,$E$2:$E1108,"ANNULE")),""))</f>
        <v/>
      </c>
    </row>
    <row r="1109">
      <c r="A1109">
        <f>IF(ISBLANK('ENGAGEMENTS 2026'!C1109),"",IF('ENGAGEMENTS 2026'!C1109="DTSI","DCT",'ENGAGEMENTS 2026'!C1109))</f>
        <v/>
      </c>
      <c r="B1109">
        <f>IF(ISBLANK('ENGAGEMENTS 2026'!C1109),"",'ENGAGEMENTS 2026'!D1109)</f>
        <v/>
      </c>
      <c r="C1109">
        <f>IF(ISBLANK('ENGAGEMENTS 2026'!C1109),"",'ENGAGEMENTS 2026'!E1109)</f>
        <v/>
      </c>
      <c r="D1109">
        <f>IF(ISBLANK('ENGAGEMENTS 2026'!C1109),"",'ENGAGEMENTS 2026'!G1109)</f>
        <v/>
      </c>
      <c r="E1109">
        <f>IF(ISBLANK('ENGAGEMENTS 2026'!C1109),"",'ENGAGEMENTS 2026'!I1109)</f>
        <v/>
      </c>
      <c r="F1109">
        <f>IF(ISBLANK('ENGAGEMENTS 2026'!C1109),"",'ENGAGEMENTS 2026'!J1109)</f>
        <v/>
      </c>
      <c r="G1109">
        <f>IF(ISBLANK('ENGAGEMENTS 2026'!C1109),"",'ENGAGEMENTS 2026'!M1109)</f>
        <v/>
      </c>
      <c r="H1109">
        <f>IF(ISBLANK('ENGAGEMENTS 2026'!C1109),"",'ENGAGEMENTS 2026'!AF1109)</f>
        <v/>
      </c>
      <c r="I1109">
        <f>IF(ISBLANK('ENGAGEMENTS 2026'!C1109),"",'ENGAGEMENTS 2026'!H1109)</f>
        <v/>
      </c>
      <c r="J1109" s="275">
        <f>IF(ISBLANK('ENGAGEMENTS 2026'!C1109),"",IF(AND(OR($E1109="INFRUCTUEUX",$E1109="ANNULE"),$C1109="AOO-M"),'ENGAGEMENTS 2026'!P1109,IF($H1109="EN COURS DE PREENGAGEMENT",'ENGAGEMENTS 2026'!O1109,IF($H1109="PREENGAGE",IF($E1109="ATTRIBUE",'ENGAGEMENTS 2026'!AE1109,'ENGAGEMENTS 2026'!O1109),'ENGAGEMENTS 2026'!AE1109))))</f>
        <v/>
      </c>
      <c r="K1109" s="604">
        <f>IF(ISBLANK('ENGAGEMENTS 2026'!W1109),"",'ENGAGEMENTS 2026'!W1109)</f>
        <v/>
      </c>
      <c r="L1109" s="276">
        <f>IF($K1109="","",TODAY()-$K1109)</f>
        <v/>
      </c>
      <c r="M1109">
        <f>IF($A1109="","",IF($H1109="ENGAGE","Engagé",IF(AND($H1109="NON ENGAGE",OR($I1109="INFRUCTUEUX",$I1109="ANNULE")),"Clôturé sans suite","En cours")))</f>
        <v/>
      </c>
      <c r="N1109">
        <f>IF(ISBLANK('ENGAGEMENTS 2026'!C1109),"",'ENGAGEMENTS 2026'!L1109)</f>
        <v/>
      </c>
      <c r="O1109">
        <f>IF(ISBLANK('ENGAGEMENTS 2026'!C1109),"",'ENGAGEMENTS 2026'!M1109)</f>
        <v/>
      </c>
      <c r="P1109">
        <f>IF(ISBLANK('ENGAGEMENTS 2026'!C1109),"",'ENGAGEMENTS 2026'!K1109)</f>
        <v/>
      </c>
      <c r="Q1109">
        <f>IF($A1109="","",IF(OR($E1109="INFRUCTUEUX",$E1109="ANNULE"),$A1109&amp;"|"&amp;(COUNTIFS($A$2:$A1109,$A1109,$E$2:$E1109,"INFRUCTUEUX")+COUNTIFS($A$2:$A1109,$A1109,$E$2:$E1109,"ANNULE")),""))</f>
        <v/>
      </c>
    </row>
    <row r="1110">
      <c r="A1110">
        <f>IF(ISBLANK('ENGAGEMENTS 2026'!C1110),"",IF('ENGAGEMENTS 2026'!C1110="DTSI","DCT",'ENGAGEMENTS 2026'!C1110))</f>
        <v/>
      </c>
      <c r="B1110">
        <f>IF(ISBLANK('ENGAGEMENTS 2026'!C1110),"",'ENGAGEMENTS 2026'!D1110)</f>
        <v/>
      </c>
      <c r="C1110">
        <f>IF(ISBLANK('ENGAGEMENTS 2026'!C1110),"",'ENGAGEMENTS 2026'!E1110)</f>
        <v/>
      </c>
      <c r="D1110">
        <f>IF(ISBLANK('ENGAGEMENTS 2026'!C1110),"",'ENGAGEMENTS 2026'!G1110)</f>
        <v/>
      </c>
      <c r="E1110">
        <f>IF(ISBLANK('ENGAGEMENTS 2026'!C1110),"",'ENGAGEMENTS 2026'!I1110)</f>
        <v/>
      </c>
      <c r="F1110">
        <f>IF(ISBLANK('ENGAGEMENTS 2026'!C1110),"",'ENGAGEMENTS 2026'!J1110)</f>
        <v/>
      </c>
      <c r="G1110">
        <f>IF(ISBLANK('ENGAGEMENTS 2026'!C1110),"",'ENGAGEMENTS 2026'!M1110)</f>
        <v/>
      </c>
      <c r="H1110">
        <f>IF(ISBLANK('ENGAGEMENTS 2026'!C1110),"",'ENGAGEMENTS 2026'!AF1110)</f>
        <v/>
      </c>
      <c r="I1110">
        <f>IF(ISBLANK('ENGAGEMENTS 2026'!C1110),"",'ENGAGEMENTS 2026'!H1110)</f>
        <v/>
      </c>
      <c r="J1110" s="275">
        <f>IF(ISBLANK('ENGAGEMENTS 2026'!C1110),"",IF(AND(OR($E1110="INFRUCTUEUX",$E1110="ANNULE"),$C1110="AOO-M"),'ENGAGEMENTS 2026'!P1110,IF($H1110="EN COURS DE PREENGAGEMENT",'ENGAGEMENTS 2026'!O1110,IF($H1110="PREENGAGE",IF($E1110="ATTRIBUE",'ENGAGEMENTS 2026'!AE1110,'ENGAGEMENTS 2026'!O1110),'ENGAGEMENTS 2026'!AE1110))))</f>
        <v/>
      </c>
      <c r="K1110" s="604">
        <f>IF(ISBLANK('ENGAGEMENTS 2026'!W1110),"",'ENGAGEMENTS 2026'!W1110)</f>
        <v/>
      </c>
      <c r="L1110" s="276">
        <f>IF($K1110="","",TODAY()-$K1110)</f>
        <v/>
      </c>
      <c r="M1110">
        <f>IF($A1110="","",IF($H1110="ENGAGE","Engagé",IF(AND($H1110="NON ENGAGE",OR($I1110="INFRUCTUEUX",$I1110="ANNULE")),"Clôturé sans suite","En cours")))</f>
        <v/>
      </c>
      <c r="N1110">
        <f>IF(ISBLANK('ENGAGEMENTS 2026'!C1110),"",'ENGAGEMENTS 2026'!L1110)</f>
        <v/>
      </c>
      <c r="O1110">
        <f>IF(ISBLANK('ENGAGEMENTS 2026'!C1110),"",'ENGAGEMENTS 2026'!M1110)</f>
        <v/>
      </c>
      <c r="P1110">
        <f>IF(ISBLANK('ENGAGEMENTS 2026'!C1110),"",'ENGAGEMENTS 2026'!K1110)</f>
        <v/>
      </c>
      <c r="Q1110">
        <f>IF($A1110="","",IF(OR($E1110="INFRUCTUEUX",$E1110="ANNULE"),$A1110&amp;"|"&amp;(COUNTIFS($A$2:$A1110,$A1110,$E$2:$E1110,"INFRUCTUEUX")+COUNTIFS($A$2:$A1110,$A1110,$E$2:$E1110,"ANNULE")),""))</f>
        <v/>
      </c>
    </row>
    <row r="1111">
      <c r="A1111">
        <f>IF(ISBLANK('ENGAGEMENTS 2026'!C1111),"",IF('ENGAGEMENTS 2026'!C1111="DTSI","DCT",'ENGAGEMENTS 2026'!C1111))</f>
        <v/>
      </c>
      <c r="B1111">
        <f>IF(ISBLANK('ENGAGEMENTS 2026'!C1111),"",'ENGAGEMENTS 2026'!D1111)</f>
        <v/>
      </c>
      <c r="C1111">
        <f>IF(ISBLANK('ENGAGEMENTS 2026'!C1111),"",'ENGAGEMENTS 2026'!E1111)</f>
        <v/>
      </c>
      <c r="D1111">
        <f>IF(ISBLANK('ENGAGEMENTS 2026'!C1111),"",'ENGAGEMENTS 2026'!G1111)</f>
        <v/>
      </c>
      <c r="E1111">
        <f>IF(ISBLANK('ENGAGEMENTS 2026'!C1111),"",'ENGAGEMENTS 2026'!I1111)</f>
        <v/>
      </c>
      <c r="F1111">
        <f>IF(ISBLANK('ENGAGEMENTS 2026'!C1111),"",'ENGAGEMENTS 2026'!J1111)</f>
        <v/>
      </c>
      <c r="G1111">
        <f>IF(ISBLANK('ENGAGEMENTS 2026'!C1111),"",'ENGAGEMENTS 2026'!M1111)</f>
        <v/>
      </c>
      <c r="H1111">
        <f>IF(ISBLANK('ENGAGEMENTS 2026'!C1111),"",'ENGAGEMENTS 2026'!AF1111)</f>
        <v/>
      </c>
      <c r="I1111">
        <f>IF(ISBLANK('ENGAGEMENTS 2026'!C1111),"",'ENGAGEMENTS 2026'!H1111)</f>
        <v/>
      </c>
      <c r="J1111" s="275">
        <f>IF(ISBLANK('ENGAGEMENTS 2026'!C1111),"",IF(AND(OR($E1111="INFRUCTUEUX",$E1111="ANNULE"),$C1111="AOO-M"),'ENGAGEMENTS 2026'!P1111,IF($H1111="EN COURS DE PREENGAGEMENT",'ENGAGEMENTS 2026'!O1111,IF($H1111="PREENGAGE",IF($E1111="ATTRIBUE",'ENGAGEMENTS 2026'!AE1111,'ENGAGEMENTS 2026'!O1111),'ENGAGEMENTS 2026'!AE1111))))</f>
        <v/>
      </c>
      <c r="K1111" s="604">
        <f>IF(ISBLANK('ENGAGEMENTS 2026'!W1111),"",'ENGAGEMENTS 2026'!W1111)</f>
        <v/>
      </c>
      <c r="L1111" s="276">
        <f>IF($K1111="","",TODAY()-$K1111)</f>
        <v/>
      </c>
      <c r="M1111">
        <f>IF($A1111="","",IF($H1111="ENGAGE","Engagé",IF(AND($H1111="NON ENGAGE",OR($I1111="INFRUCTUEUX",$I1111="ANNULE")),"Clôturé sans suite","En cours")))</f>
        <v/>
      </c>
      <c r="N1111">
        <f>IF(ISBLANK('ENGAGEMENTS 2026'!C1111),"",'ENGAGEMENTS 2026'!L1111)</f>
        <v/>
      </c>
      <c r="O1111">
        <f>IF(ISBLANK('ENGAGEMENTS 2026'!C1111),"",'ENGAGEMENTS 2026'!M1111)</f>
        <v/>
      </c>
      <c r="P1111">
        <f>IF(ISBLANK('ENGAGEMENTS 2026'!C1111),"",'ENGAGEMENTS 2026'!K1111)</f>
        <v/>
      </c>
      <c r="Q1111">
        <f>IF($A1111="","",IF(OR($E1111="INFRUCTUEUX",$E1111="ANNULE"),$A1111&amp;"|"&amp;(COUNTIFS($A$2:$A1111,$A1111,$E$2:$E1111,"INFRUCTUEUX")+COUNTIFS($A$2:$A1111,$A1111,$E$2:$E1111,"ANNULE")),""))</f>
        <v/>
      </c>
    </row>
    <row r="1112">
      <c r="A1112">
        <f>IF(ISBLANK('ENGAGEMENTS 2026'!C1112),"",IF('ENGAGEMENTS 2026'!C1112="DTSI","DCT",'ENGAGEMENTS 2026'!C1112))</f>
        <v/>
      </c>
      <c r="B1112">
        <f>IF(ISBLANK('ENGAGEMENTS 2026'!C1112),"",'ENGAGEMENTS 2026'!D1112)</f>
        <v/>
      </c>
      <c r="C1112">
        <f>IF(ISBLANK('ENGAGEMENTS 2026'!C1112),"",'ENGAGEMENTS 2026'!E1112)</f>
        <v/>
      </c>
      <c r="D1112">
        <f>IF(ISBLANK('ENGAGEMENTS 2026'!C1112),"",'ENGAGEMENTS 2026'!G1112)</f>
        <v/>
      </c>
      <c r="E1112">
        <f>IF(ISBLANK('ENGAGEMENTS 2026'!C1112),"",'ENGAGEMENTS 2026'!I1112)</f>
        <v/>
      </c>
      <c r="F1112">
        <f>IF(ISBLANK('ENGAGEMENTS 2026'!C1112),"",'ENGAGEMENTS 2026'!J1112)</f>
        <v/>
      </c>
      <c r="G1112">
        <f>IF(ISBLANK('ENGAGEMENTS 2026'!C1112),"",'ENGAGEMENTS 2026'!M1112)</f>
        <v/>
      </c>
      <c r="H1112">
        <f>IF(ISBLANK('ENGAGEMENTS 2026'!C1112),"",'ENGAGEMENTS 2026'!AF1112)</f>
        <v/>
      </c>
      <c r="I1112">
        <f>IF(ISBLANK('ENGAGEMENTS 2026'!C1112),"",'ENGAGEMENTS 2026'!H1112)</f>
        <v/>
      </c>
      <c r="J1112" s="275">
        <f>IF(ISBLANK('ENGAGEMENTS 2026'!C1112),"",IF(AND(OR($E1112="INFRUCTUEUX",$E1112="ANNULE"),$C1112="AOO-M"),'ENGAGEMENTS 2026'!P1112,IF($H1112="EN COURS DE PREENGAGEMENT",'ENGAGEMENTS 2026'!O1112,IF($H1112="PREENGAGE",IF($E1112="ATTRIBUE",'ENGAGEMENTS 2026'!AE1112,'ENGAGEMENTS 2026'!O1112),'ENGAGEMENTS 2026'!AE1112))))</f>
        <v/>
      </c>
      <c r="K1112" s="604">
        <f>IF(ISBLANK('ENGAGEMENTS 2026'!W1112),"",'ENGAGEMENTS 2026'!W1112)</f>
        <v/>
      </c>
      <c r="L1112" s="276">
        <f>IF($K1112="","",TODAY()-$K1112)</f>
        <v/>
      </c>
      <c r="M1112">
        <f>IF($A1112="","",IF($H1112="ENGAGE","Engagé",IF(AND($H1112="NON ENGAGE",OR($I1112="INFRUCTUEUX",$I1112="ANNULE")),"Clôturé sans suite","En cours")))</f>
        <v/>
      </c>
      <c r="N1112">
        <f>IF(ISBLANK('ENGAGEMENTS 2026'!C1112),"",'ENGAGEMENTS 2026'!L1112)</f>
        <v/>
      </c>
      <c r="O1112">
        <f>IF(ISBLANK('ENGAGEMENTS 2026'!C1112),"",'ENGAGEMENTS 2026'!M1112)</f>
        <v/>
      </c>
      <c r="P1112">
        <f>IF(ISBLANK('ENGAGEMENTS 2026'!C1112),"",'ENGAGEMENTS 2026'!K1112)</f>
        <v/>
      </c>
      <c r="Q1112">
        <f>IF($A1112="","",IF(OR($E1112="INFRUCTUEUX",$E1112="ANNULE"),$A1112&amp;"|"&amp;(COUNTIFS($A$2:$A1112,$A1112,$E$2:$E1112,"INFRUCTUEUX")+COUNTIFS($A$2:$A1112,$A1112,$E$2:$E1112,"ANNULE")),""))</f>
        <v/>
      </c>
    </row>
    <row r="1113">
      <c r="A1113">
        <f>IF(ISBLANK('ENGAGEMENTS 2026'!C1113),"",IF('ENGAGEMENTS 2026'!C1113="DTSI","DCT",'ENGAGEMENTS 2026'!C1113))</f>
        <v/>
      </c>
      <c r="B1113">
        <f>IF(ISBLANK('ENGAGEMENTS 2026'!C1113),"",'ENGAGEMENTS 2026'!D1113)</f>
        <v/>
      </c>
      <c r="C1113">
        <f>IF(ISBLANK('ENGAGEMENTS 2026'!C1113),"",'ENGAGEMENTS 2026'!E1113)</f>
        <v/>
      </c>
      <c r="D1113">
        <f>IF(ISBLANK('ENGAGEMENTS 2026'!C1113),"",'ENGAGEMENTS 2026'!G1113)</f>
        <v/>
      </c>
      <c r="E1113">
        <f>IF(ISBLANK('ENGAGEMENTS 2026'!C1113),"",'ENGAGEMENTS 2026'!I1113)</f>
        <v/>
      </c>
      <c r="F1113">
        <f>IF(ISBLANK('ENGAGEMENTS 2026'!C1113),"",'ENGAGEMENTS 2026'!J1113)</f>
        <v/>
      </c>
      <c r="G1113">
        <f>IF(ISBLANK('ENGAGEMENTS 2026'!C1113),"",'ENGAGEMENTS 2026'!M1113)</f>
        <v/>
      </c>
      <c r="H1113">
        <f>IF(ISBLANK('ENGAGEMENTS 2026'!C1113),"",'ENGAGEMENTS 2026'!AF1113)</f>
        <v/>
      </c>
      <c r="I1113">
        <f>IF(ISBLANK('ENGAGEMENTS 2026'!C1113),"",'ENGAGEMENTS 2026'!H1113)</f>
        <v/>
      </c>
      <c r="J1113" s="275">
        <f>IF(ISBLANK('ENGAGEMENTS 2026'!C1113),"",IF(AND(OR($E1113="INFRUCTUEUX",$E1113="ANNULE"),$C1113="AOO-M"),'ENGAGEMENTS 2026'!P1113,IF($H1113="EN COURS DE PREENGAGEMENT",'ENGAGEMENTS 2026'!O1113,IF($H1113="PREENGAGE",IF($E1113="ATTRIBUE",'ENGAGEMENTS 2026'!AE1113,'ENGAGEMENTS 2026'!O1113),'ENGAGEMENTS 2026'!AE1113))))</f>
        <v/>
      </c>
      <c r="K1113" s="604">
        <f>IF(ISBLANK('ENGAGEMENTS 2026'!W1113),"",'ENGAGEMENTS 2026'!W1113)</f>
        <v/>
      </c>
      <c r="L1113" s="276">
        <f>IF($K1113="","",TODAY()-$K1113)</f>
        <v/>
      </c>
      <c r="M1113">
        <f>IF($A1113="","",IF($H1113="ENGAGE","Engagé",IF(AND($H1113="NON ENGAGE",OR($I1113="INFRUCTUEUX",$I1113="ANNULE")),"Clôturé sans suite","En cours")))</f>
        <v/>
      </c>
      <c r="N1113">
        <f>IF(ISBLANK('ENGAGEMENTS 2026'!C1113),"",'ENGAGEMENTS 2026'!L1113)</f>
        <v/>
      </c>
      <c r="O1113">
        <f>IF(ISBLANK('ENGAGEMENTS 2026'!C1113),"",'ENGAGEMENTS 2026'!M1113)</f>
        <v/>
      </c>
      <c r="P1113">
        <f>IF(ISBLANK('ENGAGEMENTS 2026'!C1113),"",'ENGAGEMENTS 2026'!K1113)</f>
        <v/>
      </c>
      <c r="Q1113">
        <f>IF($A1113="","",IF(OR($E1113="INFRUCTUEUX",$E1113="ANNULE"),$A1113&amp;"|"&amp;(COUNTIFS($A$2:$A1113,$A1113,$E$2:$E1113,"INFRUCTUEUX")+COUNTIFS($A$2:$A1113,$A1113,$E$2:$E1113,"ANNULE")),""))</f>
        <v/>
      </c>
    </row>
    <row r="1114">
      <c r="A1114">
        <f>IF(ISBLANK('ENGAGEMENTS 2026'!C1114),"",IF('ENGAGEMENTS 2026'!C1114="DTSI","DCT",'ENGAGEMENTS 2026'!C1114))</f>
        <v/>
      </c>
      <c r="B1114">
        <f>IF(ISBLANK('ENGAGEMENTS 2026'!C1114),"",'ENGAGEMENTS 2026'!D1114)</f>
        <v/>
      </c>
      <c r="C1114">
        <f>IF(ISBLANK('ENGAGEMENTS 2026'!C1114),"",'ENGAGEMENTS 2026'!E1114)</f>
        <v/>
      </c>
      <c r="D1114">
        <f>IF(ISBLANK('ENGAGEMENTS 2026'!C1114),"",'ENGAGEMENTS 2026'!G1114)</f>
        <v/>
      </c>
      <c r="E1114">
        <f>IF(ISBLANK('ENGAGEMENTS 2026'!C1114),"",'ENGAGEMENTS 2026'!I1114)</f>
        <v/>
      </c>
      <c r="F1114">
        <f>IF(ISBLANK('ENGAGEMENTS 2026'!C1114),"",'ENGAGEMENTS 2026'!J1114)</f>
        <v/>
      </c>
      <c r="G1114">
        <f>IF(ISBLANK('ENGAGEMENTS 2026'!C1114),"",'ENGAGEMENTS 2026'!M1114)</f>
        <v/>
      </c>
      <c r="H1114">
        <f>IF(ISBLANK('ENGAGEMENTS 2026'!C1114),"",'ENGAGEMENTS 2026'!AF1114)</f>
        <v/>
      </c>
      <c r="I1114">
        <f>IF(ISBLANK('ENGAGEMENTS 2026'!C1114),"",'ENGAGEMENTS 2026'!H1114)</f>
        <v/>
      </c>
      <c r="J1114" s="275">
        <f>IF(ISBLANK('ENGAGEMENTS 2026'!C1114),"",IF(AND(OR($E1114="INFRUCTUEUX",$E1114="ANNULE"),$C1114="AOO-M"),'ENGAGEMENTS 2026'!P1114,IF($H1114="EN COURS DE PREENGAGEMENT",'ENGAGEMENTS 2026'!O1114,IF($H1114="PREENGAGE",IF($E1114="ATTRIBUE",'ENGAGEMENTS 2026'!AE1114,'ENGAGEMENTS 2026'!O1114),'ENGAGEMENTS 2026'!AE1114))))</f>
        <v/>
      </c>
      <c r="K1114" s="604">
        <f>IF(ISBLANK('ENGAGEMENTS 2026'!W1114),"",'ENGAGEMENTS 2026'!W1114)</f>
        <v/>
      </c>
      <c r="L1114" s="276">
        <f>IF($K1114="","",TODAY()-$K1114)</f>
        <v/>
      </c>
      <c r="M1114">
        <f>IF($A1114="","",IF($H1114="ENGAGE","Engagé",IF(AND($H1114="NON ENGAGE",OR($I1114="INFRUCTUEUX",$I1114="ANNULE")),"Clôturé sans suite","En cours")))</f>
        <v/>
      </c>
      <c r="N1114">
        <f>IF(ISBLANK('ENGAGEMENTS 2026'!C1114),"",'ENGAGEMENTS 2026'!L1114)</f>
        <v/>
      </c>
      <c r="O1114">
        <f>IF(ISBLANK('ENGAGEMENTS 2026'!C1114),"",'ENGAGEMENTS 2026'!M1114)</f>
        <v/>
      </c>
      <c r="P1114">
        <f>IF(ISBLANK('ENGAGEMENTS 2026'!C1114),"",'ENGAGEMENTS 2026'!K1114)</f>
        <v/>
      </c>
      <c r="Q1114">
        <f>IF($A1114="","",IF(OR($E1114="INFRUCTUEUX",$E1114="ANNULE"),$A1114&amp;"|"&amp;(COUNTIFS($A$2:$A1114,$A1114,$E$2:$E1114,"INFRUCTUEUX")+COUNTIFS($A$2:$A1114,$A1114,$E$2:$E1114,"ANNULE")),""))</f>
        <v/>
      </c>
    </row>
    <row r="1115">
      <c r="A1115">
        <f>IF(ISBLANK('ENGAGEMENTS 2026'!C1115),"",IF('ENGAGEMENTS 2026'!C1115="DTSI","DCT",'ENGAGEMENTS 2026'!C1115))</f>
        <v/>
      </c>
      <c r="B1115">
        <f>IF(ISBLANK('ENGAGEMENTS 2026'!C1115),"",'ENGAGEMENTS 2026'!D1115)</f>
        <v/>
      </c>
      <c r="C1115">
        <f>IF(ISBLANK('ENGAGEMENTS 2026'!C1115),"",'ENGAGEMENTS 2026'!E1115)</f>
        <v/>
      </c>
      <c r="D1115">
        <f>IF(ISBLANK('ENGAGEMENTS 2026'!C1115),"",'ENGAGEMENTS 2026'!G1115)</f>
        <v/>
      </c>
      <c r="E1115">
        <f>IF(ISBLANK('ENGAGEMENTS 2026'!C1115),"",'ENGAGEMENTS 2026'!I1115)</f>
        <v/>
      </c>
      <c r="F1115">
        <f>IF(ISBLANK('ENGAGEMENTS 2026'!C1115),"",'ENGAGEMENTS 2026'!J1115)</f>
        <v/>
      </c>
      <c r="G1115">
        <f>IF(ISBLANK('ENGAGEMENTS 2026'!C1115),"",'ENGAGEMENTS 2026'!M1115)</f>
        <v/>
      </c>
      <c r="H1115">
        <f>IF(ISBLANK('ENGAGEMENTS 2026'!C1115),"",'ENGAGEMENTS 2026'!AF1115)</f>
        <v/>
      </c>
      <c r="I1115">
        <f>IF(ISBLANK('ENGAGEMENTS 2026'!C1115),"",'ENGAGEMENTS 2026'!H1115)</f>
        <v/>
      </c>
      <c r="J1115" s="275">
        <f>IF(ISBLANK('ENGAGEMENTS 2026'!C1115),"",IF(AND(OR($E1115="INFRUCTUEUX",$E1115="ANNULE"),$C1115="AOO-M"),'ENGAGEMENTS 2026'!P1115,IF($H1115="EN COURS DE PREENGAGEMENT",'ENGAGEMENTS 2026'!O1115,IF($H1115="PREENGAGE",IF($E1115="ATTRIBUE",'ENGAGEMENTS 2026'!AE1115,'ENGAGEMENTS 2026'!O1115),'ENGAGEMENTS 2026'!AE1115))))</f>
        <v/>
      </c>
      <c r="K1115" s="604">
        <f>IF(ISBLANK('ENGAGEMENTS 2026'!W1115),"",'ENGAGEMENTS 2026'!W1115)</f>
        <v/>
      </c>
      <c r="L1115" s="276">
        <f>IF($K1115="","",TODAY()-$K1115)</f>
        <v/>
      </c>
      <c r="M1115">
        <f>IF($A1115="","",IF($H1115="ENGAGE","Engagé",IF(AND($H1115="NON ENGAGE",OR($I1115="INFRUCTUEUX",$I1115="ANNULE")),"Clôturé sans suite","En cours")))</f>
        <v/>
      </c>
      <c r="N1115">
        <f>IF(ISBLANK('ENGAGEMENTS 2026'!C1115),"",'ENGAGEMENTS 2026'!L1115)</f>
        <v/>
      </c>
      <c r="O1115">
        <f>IF(ISBLANK('ENGAGEMENTS 2026'!C1115),"",'ENGAGEMENTS 2026'!M1115)</f>
        <v/>
      </c>
      <c r="P1115">
        <f>IF(ISBLANK('ENGAGEMENTS 2026'!C1115),"",'ENGAGEMENTS 2026'!K1115)</f>
        <v/>
      </c>
      <c r="Q1115">
        <f>IF($A1115="","",IF(OR($E1115="INFRUCTUEUX",$E1115="ANNULE"),$A1115&amp;"|"&amp;(COUNTIFS($A$2:$A1115,$A1115,$E$2:$E1115,"INFRUCTUEUX")+COUNTIFS($A$2:$A1115,$A1115,$E$2:$E1115,"ANNULE")),""))</f>
        <v/>
      </c>
    </row>
    <row r="1116">
      <c r="A1116">
        <f>IF(ISBLANK('ENGAGEMENTS 2026'!C1116),"",IF('ENGAGEMENTS 2026'!C1116="DTSI","DCT",'ENGAGEMENTS 2026'!C1116))</f>
        <v/>
      </c>
      <c r="B1116">
        <f>IF(ISBLANK('ENGAGEMENTS 2026'!C1116),"",'ENGAGEMENTS 2026'!D1116)</f>
        <v/>
      </c>
      <c r="C1116">
        <f>IF(ISBLANK('ENGAGEMENTS 2026'!C1116),"",'ENGAGEMENTS 2026'!E1116)</f>
        <v/>
      </c>
      <c r="D1116">
        <f>IF(ISBLANK('ENGAGEMENTS 2026'!C1116),"",'ENGAGEMENTS 2026'!G1116)</f>
        <v/>
      </c>
      <c r="E1116">
        <f>IF(ISBLANK('ENGAGEMENTS 2026'!C1116),"",'ENGAGEMENTS 2026'!I1116)</f>
        <v/>
      </c>
      <c r="F1116">
        <f>IF(ISBLANK('ENGAGEMENTS 2026'!C1116),"",'ENGAGEMENTS 2026'!J1116)</f>
        <v/>
      </c>
      <c r="G1116">
        <f>IF(ISBLANK('ENGAGEMENTS 2026'!C1116),"",'ENGAGEMENTS 2026'!M1116)</f>
        <v/>
      </c>
      <c r="H1116">
        <f>IF(ISBLANK('ENGAGEMENTS 2026'!C1116),"",'ENGAGEMENTS 2026'!AF1116)</f>
        <v/>
      </c>
      <c r="I1116">
        <f>IF(ISBLANK('ENGAGEMENTS 2026'!C1116),"",'ENGAGEMENTS 2026'!H1116)</f>
        <v/>
      </c>
      <c r="J1116" s="275">
        <f>IF(ISBLANK('ENGAGEMENTS 2026'!C1116),"",IF(AND(OR($E1116="INFRUCTUEUX",$E1116="ANNULE"),$C1116="AOO-M"),'ENGAGEMENTS 2026'!P1116,IF($H1116="EN COURS DE PREENGAGEMENT",'ENGAGEMENTS 2026'!O1116,IF($H1116="PREENGAGE",IF($E1116="ATTRIBUE",'ENGAGEMENTS 2026'!AE1116,'ENGAGEMENTS 2026'!O1116),'ENGAGEMENTS 2026'!AE1116))))</f>
        <v/>
      </c>
      <c r="K1116" s="604">
        <f>IF(ISBLANK('ENGAGEMENTS 2026'!W1116),"",'ENGAGEMENTS 2026'!W1116)</f>
        <v/>
      </c>
      <c r="L1116" s="276">
        <f>IF($K1116="","",TODAY()-$K1116)</f>
        <v/>
      </c>
      <c r="M1116">
        <f>IF($A1116="","",IF($H1116="ENGAGE","Engagé",IF(AND($H1116="NON ENGAGE",OR($I1116="INFRUCTUEUX",$I1116="ANNULE")),"Clôturé sans suite","En cours")))</f>
        <v/>
      </c>
      <c r="N1116">
        <f>IF(ISBLANK('ENGAGEMENTS 2026'!C1116),"",'ENGAGEMENTS 2026'!L1116)</f>
        <v/>
      </c>
      <c r="O1116">
        <f>IF(ISBLANK('ENGAGEMENTS 2026'!C1116),"",'ENGAGEMENTS 2026'!M1116)</f>
        <v/>
      </c>
      <c r="P1116">
        <f>IF(ISBLANK('ENGAGEMENTS 2026'!C1116),"",'ENGAGEMENTS 2026'!K1116)</f>
        <v/>
      </c>
      <c r="Q1116">
        <f>IF($A1116="","",IF(OR($E1116="INFRUCTUEUX",$E1116="ANNULE"),$A1116&amp;"|"&amp;(COUNTIFS($A$2:$A1116,$A1116,$E$2:$E1116,"INFRUCTUEUX")+COUNTIFS($A$2:$A1116,$A1116,$E$2:$E1116,"ANNULE")),""))</f>
        <v/>
      </c>
    </row>
    <row r="1117">
      <c r="A1117">
        <f>IF(ISBLANK('ENGAGEMENTS 2026'!C1117),"",IF('ENGAGEMENTS 2026'!C1117="DTSI","DCT",'ENGAGEMENTS 2026'!C1117))</f>
        <v/>
      </c>
      <c r="B1117">
        <f>IF(ISBLANK('ENGAGEMENTS 2026'!C1117),"",'ENGAGEMENTS 2026'!D1117)</f>
        <v/>
      </c>
      <c r="C1117">
        <f>IF(ISBLANK('ENGAGEMENTS 2026'!C1117),"",'ENGAGEMENTS 2026'!E1117)</f>
        <v/>
      </c>
      <c r="D1117">
        <f>IF(ISBLANK('ENGAGEMENTS 2026'!C1117),"",'ENGAGEMENTS 2026'!G1117)</f>
        <v/>
      </c>
      <c r="E1117">
        <f>IF(ISBLANK('ENGAGEMENTS 2026'!C1117),"",'ENGAGEMENTS 2026'!I1117)</f>
        <v/>
      </c>
      <c r="F1117">
        <f>IF(ISBLANK('ENGAGEMENTS 2026'!C1117),"",'ENGAGEMENTS 2026'!J1117)</f>
        <v/>
      </c>
      <c r="G1117">
        <f>IF(ISBLANK('ENGAGEMENTS 2026'!C1117),"",'ENGAGEMENTS 2026'!M1117)</f>
        <v/>
      </c>
      <c r="H1117">
        <f>IF(ISBLANK('ENGAGEMENTS 2026'!C1117),"",'ENGAGEMENTS 2026'!AF1117)</f>
        <v/>
      </c>
      <c r="I1117">
        <f>IF(ISBLANK('ENGAGEMENTS 2026'!C1117),"",'ENGAGEMENTS 2026'!H1117)</f>
        <v/>
      </c>
      <c r="J1117" s="275">
        <f>IF(ISBLANK('ENGAGEMENTS 2026'!C1117),"",IF(AND(OR($E1117="INFRUCTUEUX",$E1117="ANNULE"),$C1117="AOO-M"),'ENGAGEMENTS 2026'!P1117,IF($H1117="EN COURS DE PREENGAGEMENT",'ENGAGEMENTS 2026'!O1117,IF($H1117="PREENGAGE",IF($E1117="ATTRIBUE",'ENGAGEMENTS 2026'!AE1117,'ENGAGEMENTS 2026'!O1117),'ENGAGEMENTS 2026'!AE1117))))</f>
        <v/>
      </c>
      <c r="K1117" s="604">
        <f>IF(ISBLANK('ENGAGEMENTS 2026'!W1117),"",'ENGAGEMENTS 2026'!W1117)</f>
        <v/>
      </c>
      <c r="L1117" s="276">
        <f>IF($K1117="","",TODAY()-$K1117)</f>
        <v/>
      </c>
      <c r="M1117">
        <f>IF($A1117="","",IF($H1117="ENGAGE","Engagé",IF(AND($H1117="NON ENGAGE",OR($I1117="INFRUCTUEUX",$I1117="ANNULE")),"Clôturé sans suite","En cours")))</f>
        <v/>
      </c>
      <c r="N1117">
        <f>IF(ISBLANK('ENGAGEMENTS 2026'!C1117),"",'ENGAGEMENTS 2026'!L1117)</f>
        <v/>
      </c>
      <c r="O1117">
        <f>IF(ISBLANK('ENGAGEMENTS 2026'!C1117),"",'ENGAGEMENTS 2026'!M1117)</f>
        <v/>
      </c>
      <c r="P1117">
        <f>IF(ISBLANK('ENGAGEMENTS 2026'!C1117),"",'ENGAGEMENTS 2026'!K1117)</f>
        <v/>
      </c>
      <c r="Q1117">
        <f>IF($A1117="","",IF(OR($E1117="INFRUCTUEUX",$E1117="ANNULE"),$A1117&amp;"|"&amp;(COUNTIFS($A$2:$A1117,$A1117,$E$2:$E1117,"INFRUCTUEUX")+COUNTIFS($A$2:$A1117,$A1117,$E$2:$E1117,"ANNULE")),""))</f>
        <v/>
      </c>
    </row>
    <row r="1118">
      <c r="A1118">
        <f>IF(ISBLANK('ENGAGEMENTS 2026'!C1118),"",IF('ENGAGEMENTS 2026'!C1118="DTSI","DCT",'ENGAGEMENTS 2026'!C1118))</f>
        <v/>
      </c>
      <c r="B1118">
        <f>IF(ISBLANK('ENGAGEMENTS 2026'!C1118),"",'ENGAGEMENTS 2026'!D1118)</f>
        <v/>
      </c>
      <c r="C1118">
        <f>IF(ISBLANK('ENGAGEMENTS 2026'!C1118),"",'ENGAGEMENTS 2026'!E1118)</f>
        <v/>
      </c>
      <c r="D1118">
        <f>IF(ISBLANK('ENGAGEMENTS 2026'!C1118),"",'ENGAGEMENTS 2026'!G1118)</f>
        <v/>
      </c>
      <c r="E1118">
        <f>IF(ISBLANK('ENGAGEMENTS 2026'!C1118),"",'ENGAGEMENTS 2026'!I1118)</f>
        <v/>
      </c>
      <c r="F1118">
        <f>IF(ISBLANK('ENGAGEMENTS 2026'!C1118),"",'ENGAGEMENTS 2026'!J1118)</f>
        <v/>
      </c>
      <c r="G1118">
        <f>IF(ISBLANK('ENGAGEMENTS 2026'!C1118),"",'ENGAGEMENTS 2026'!M1118)</f>
        <v/>
      </c>
      <c r="H1118">
        <f>IF(ISBLANK('ENGAGEMENTS 2026'!C1118),"",'ENGAGEMENTS 2026'!AF1118)</f>
        <v/>
      </c>
      <c r="I1118">
        <f>IF(ISBLANK('ENGAGEMENTS 2026'!C1118),"",'ENGAGEMENTS 2026'!H1118)</f>
        <v/>
      </c>
      <c r="J1118" s="275">
        <f>IF(ISBLANK('ENGAGEMENTS 2026'!C1118),"",IF(AND(OR($E1118="INFRUCTUEUX",$E1118="ANNULE"),$C1118="AOO-M"),'ENGAGEMENTS 2026'!P1118,IF($H1118="EN COURS DE PREENGAGEMENT",'ENGAGEMENTS 2026'!O1118,IF($H1118="PREENGAGE",IF($E1118="ATTRIBUE",'ENGAGEMENTS 2026'!AE1118,'ENGAGEMENTS 2026'!O1118),'ENGAGEMENTS 2026'!AE1118))))</f>
        <v/>
      </c>
      <c r="K1118" s="604">
        <f>IF(ISBLANK('ENGAGEMENTS 2026'!W1118),"",'ENGAGEMENTS 2026'!W1118)</f>
        <v/>
      </c>
      <c r="L1118" s="276">
        <f>IF($K1118="","",TODAY()-$K1118)</f>
        <v/>
      </c>
      <c r="M1118">
        <f>IF($A1118="","",IF($H1118="ENGAGE","Engagé",IF(AND($H1118="NON ENGAGE",OR($I1118="INFRUCTUEUX",$I1118="ANNULE")),"Clôturé sans suite","En cours")))</f>
        <v/>
      </c>
      <c r="N1118">
        <f>IF(ISBLANK('ENGAGEMENTS 2026'!C1118),"",'ENGAGEMENTS 2026'!L1118)</f>
        <v/>
      </c>
      <c r="O1118">
        <f>IF(ISBLANK('ENGAGEMENTS 2026'!C1118),"",'ENGAGEMENTS 2026'!M1118)</f>
        <v/>
      </c>
      <c r="P1118">
        <f>IF(ISBLANK('ENGAGEMENTS 2026'!C1118),"",'ENGAGEMENTS 2026'!K1118)</f>
        <v/>
      </c>
      <c r="Q1118">
        <f>IF($A1118="","",IF(OR($E1118="INFRUCTUEUX",$E1118="ANNULE"),$A1118&amp;"|"&amp;(COUNTIFS($A$2:$A1118,$A1118,$E$2:$E1118,"INFRUCTUEUX")+COUNTIFS($A$2:$A1118,$A1118,$E$2:$E1118,"ANNULE")),""))</f>
        <v/>
      </c>
    </row>
    <row r="1119">
      <c r="A1119">
        <f>IF(ISBLANK('ENGAGEMENTS 2026'!C1119),"",IF('ENGAGEMENTS 2026'!C1119="DTSI","DCT",'ENGAGEMENTS 2026'!C1119))</f>
        <v/>
      </c>
      <c r="B1119">
        <f>IF(ISBLANK('ENGAGEMENTS 2026'!C1119),"",'ENGAGEMENTS 2026'!D1119)</f>
        <v/>
      </c>
      <c r="C1119">
        <f>IF(ISBLANK('ENGAGEMENTS 2026'!C1119),"",'ENGAGEMENTS 2026'!E1119)</f>
        <v/>
      </c>
      <c r="D1119">
        <f>IF(ISBLANK('ENGAGEMENTS 2026'!C1119),"",'ENGAGEMENTS 2026'!G1119)</f>
        <v/>
      </c>
      <c r="E1119">
        <f>IF(ISBLANK('ENGAGEMENTS 2026'!C1119),"",'ENGAGEMENTS 2026'!I1119)</f>
        <v/>
      </c>
      <c r="F1119">
        <f>IF(ISBLANK('ENGAGEMENTS 2026'!C1119),"",'ENGAGEMENTS 2026'!J1119)</f>
        <v/>
      </c>
      <c r="G1119">
        <f>IF(ISBLANK('ENGAGEMENTS 2026'!C1119),"",'ENGAGEMENTS 2026'!M1119)</f>
        <v/>
      </c>
      <c r="H1119">
        <f>IF(ISBLANK('ENGAGEMENTS 2026'!C1119),"",'ENGAGEMENTS 2026'!AF1119)</f>
        <v/>
      </c>
      <c r="I1119">
        <f>IF(ISBLANK('ENGAGEMENTS 2026'!C1119),"",'ENGAGEMENTS 2026'!H1119)</f>
        <v/>
      </c>
      <c r="J1119" s="275">
        <f>IF(ISBLANK('ENGAGEMENTS 2026'!C1119),"",IF(AND(OR($E1119="INFRUCTUEUX",$E1119="ANNULE"),$C1119="AOO-M"),'ENGAGEMENTS 2026'!P1119,IF($H1119="EN COURS DE PREENGAGEMENT",'ENGAGEMENTS 2026'!O1119,IF($H1119="PREENGAGE",IF($E1119="ATTRIBUE",'ENGAGEMENTS 2026'!AE1119,'ENGAGEMENTS 2026'!O1119),'ENGAGEMENTS 2026'!AE1119))))</f>
        <v/>
      </c>
      <c r="K1119" s="604">
        <f>IF(ISBLANK('ENGAGEMENTS 2026'!W1119),"",'ENGAGEMENTS 2026'!W1119)</f>
        <v/>
      </c>
      <c r="L1119" s="276">
        <f>IF($K1119="","",TODAY()-$K1119)</f>
        <v/>
      </c>
      <c r="M1119">
        <f>IF($A1119="","",IF($H1119="ENGAGE","Engagé",IF(AND($H1119="NON ENGAGE",OR($I1119="INFRUCTUEUX",$I1119="ANNULE")),"Clôturé sans suite","En cours")))</f>
        <v/>
      </c>
      <c r="N1119">
        <f>IF(ISBLANK('ENGAGEMENTS 2026'!C1119),"",'ENGAGEMENTS 2026'!L1119)</f>
        <v/>
      </c>
      <c r="O1119">
        <f>IF(ISBLANK('ENGAGEMENTS 2026'!C1119),"",'ENGAGEMENTS 2026'!M1119)</f>
        <v/>
      </c>
      <c r="P1119">
        <f>IF(ISBLANK('ENGAGEMENTS 2026'!C1119),"",'ENGAGEMENTS 2026'!K1119)</f>
        <v/>
      </c>
      <c r="Q1119">
        <f>IF($A1119="","",IF(OR($E1119="INFRUCTUEUX",$E1119="ANNULE"),$A1119&amp;"|"&amp;(COUNTIFS($A$2:$A1119,$A1119,$E$2:$E1119,"INFRUCTUEUX")+COUNTIFS($A$2:$A1119,$A1119,$E$2:$E1119,"ANNULE")),""))</f>
        <v/>
      </c>
    </row>
    <row r="1120">
      <c r="A1120">
        <f>IF(ISBLANK('ENGAGEMENTS 2026'!C1120),"",IF('ENGAGEMENTS 2026'!C1120="DTSI","DCT",'ENGAGEMENTS 2026'!C1120))</f>
        <v/>
      </c>
      <c r="B1120">
        <f>IF(ISBLANK('ENGAGEMENTS 2026'!C1120),"",'ENGAGEMENTS 2026'!D1120)</f>
        <v/>
      </c>
      <c r="C1120">
        <f>IF(ISBLANK('ENGAGEMENTS 2026'!C1120),"",'ENGAGEMENTS 2026'!E1120)</f>
        <v/>
      </c>
      <c r="D1120">
        <f>IF(ISBLANK('ENGAGEMENTS 2026'!C1120),"",'ENGAGEMENTS 2026'!G1120)</f>
        <v/>
      </c>
      <c r="E1120">
        <f>IF(ISBLANK('ENGAGEMENTS 2026'!C1120),"",'ENGAGEMENTS 2026'!I1120)</f>
        <v/>
      </c>
      <c r="F1120">
        <f>IF(ISBLANK('ENGAGEMENTS 2026'!C1120),"",'ENGAGEMENTS 2026'!J1120)</f>
        <v/>
      </c>
      <c r="G1120">
        <f>IF(ISBLANK('ENGAGEMENTS 2026'!C1120),"",'ENGAGEMENTS 2026'!M1120)</f>
        <v/>
      </c>
      <c r="H1120">
        <f>IF(ISBLANK('ENGAGEMENTS 2026'!C1120),"",'ENGAGEMENTS 2026'!AF1120)</f>
        <v/>
      </c>
      <c r="I1120">
        <f>IF(ISBLANK('ENGAGEMENTS 2026'!C1120),"",'ENGAGEMENTS 2026'!H1120)</f>
        <v/>
      </c>
      <c r="J1120" s="275">
        <f>IF(ISBLANK('ENGAGEMENTS 2026'!C1120),"",IF(AND(OR($E1120="INFRUCTUEUX",$E1120="ANNULE"),$C1120="AOO-M"),'ENGAGEMENTS 2026'!P1120,IF($H1120="EN COURS DE PREENGAGEMENT",'ENGAGEMENTS 2026'!O1120,IF($H1120="PREENGAGE",IF($E1120="ATTRIBUE",'ENGAGEMENTS 2026'!AE1120,'ENGAGEMENTS 2026'!O1120),'ENGAGEMENTS 2026'!AE1120))))</f>
        <v/>
      </c>
      <c r="K1120" s="604">
        <f>IF(ISBLANK('ENGAGEMENTS 2026'!W1120),"",'ENGAGEMENTS 2026'!W1120)</f>
        <v/>
      </c>
      <c r="L1120" s="276">
        <f>IF($K1120="","",TODAY()-$K1120)</f>
        <v/>
      </c>
      <c r="M1120">
        <f>IF($A1120="","",IF($H1120="ENGAGE","Engagé",IF(AND($H1120="NON ENGAGE",OR($I1120="INFRUCTUEUX",$I1120="ANNULE")),"Clôturé sans suite","En cours")))</f>
        <v/>
      </c>
      <c r="N1120">
        <f>IF(ISBLANK('ENGAGEMENTS 2026'!C1120),"",'ENGAGEMENTS 2026'!L1120)</f>
        <v/>
      </c>
      <c r="O1120">
        <f>IF(ISBLANK('ENGAGEMENTS 2026'!C1120),"",'ENGAGEMENTS 2026'!M1120)</f>
        <v/>
      </c>
      <c r="P1120">
        <f>IF(ISBLANK('ENGAGEMENTS 2026'!C1120),"",'ENGAGEMENTS 2026'!K1120)</f>
        <v/>
      </c>
      <c r="Q1120">
        <f>IF($A1120="","",IF(OR($E1120="INFRUCTUEUX",$E1120="ANNULE"),$A1120&amp;"|"&amp;(COUNTIFS($A$2:$A1120,$A1120,$E$2:$E1120,"INFRUCTUEUX")+COUNTIFS($A$2:$A1120,$A1120,$E$2:$E1120,"ANNULE")),""))</f>
        <v/>
      </c>
    </row>
    <row r="1121">
      <c r="A1121">
        <f>IF(ISBLANK('ENGAGEMENTS 2026'!C1121),"",IF('ENGAGEMENTS 2026'!C1121="DTSI","DCT",'ENGAGEMENTS 2026'!C1121))</f>
        <v/>
      </c>
      <c r="B1121">
        <f>IF(ISBLANK('ENGAGEMENTS 2026'!C1121),"",'ENGAGEMENTS 2026'!D1121)</f>
        <v/>
      </c>
      <c r="C1121">
        <f>IF(ISBLANK('ENGAGEMENTS 2026'!C1121),"",'ENGAGEMENTS 2026'!E1121)</f>
        <v/>
      </c>
      <c r="D1121">
        <f>IF(ISBLANK('ENGAGEMENTS 2026'!C1121),"",'ENGAGEMENTS 2026'!G1121)</f>
        <v/>
      </c>
      <c r="E1121">
        <f>IF(ISBLANK('ENGAGEMENTS 2026'!C1121),"",'ENGAGEMENTS 2026'!I1121)</f>
        <v/>
      </c>
      <c r="F1121">
        <f>IF(ISBLANK('ENGAGEMENTS 2026'!C1121),"",'ENGAGEMENTS 2026'!J1121)</f>
        <v/>
      </c>
      <c r="G1121">
        <f>IF(ISBLANK('ENGAGEMENTS 2026'!C1121),"",'ENGAGEMENTS 2026'!M1121)</f>
        <v/>
      </c>
      <c r="H1121">
        <f>IF(ISBLANK('ENGAGEMENTS 2026'!C1121),"",'ENGAGEMENTS 2026'!AF1121)</f>
        <v/>
      </c>
      <c r="I1121">
        <f>IF(ISBLANK('ENGAGEMENTS 2026'!C1121),"",'ENGAGEMENTS 2026'!H1121)</f>
        <v/>
      </c>
      <c r="J1121" s="275">
        <f>IF(ISBLANK('ENGAGEMENTS 2026'!C1121),"",IF(AND(OR($E1121="INFRUCTUEUX",$E1121="ANNULE"),$C1121="AOO-M"),'ENGAGEMENTS 2026'!P1121,IF($H1121="EN COURS DE PREENGAGEMENT",'ENGAGEMENTS 2026'!O1121,IF($H1121="PREENGAGE",IF($E1121="ATTRIBUE",'ENGAGEMENTS 2026'!AE1121,'ENGAGEMENTS 2026'!O1121),'ENGAGEMENTS 2026'!AE1121))))</f>
        <v/>
      </c>
      <c r="K1121" s="604">
        <f>IF(ISBLANK('ENGAGEMENTS 2026'!W1121),"",'ENGAGEMENTS 2026'!W1121)</f>
        <v/>
      </c>
      <c r="L1121" s="276">
        <f>IF($K1121="","",TODAY()-$K1121)</f>
        <v/>
      </c>
      <c r="M1121">
        <f>IF($A1121="","",IF($H1121="ENGAGE","Engagé",IF(AND($H1121="NON ENGAGE",OR($I1121="INFRUCTUEUX",$I1121="ANNULE")),"Clôturé sans suite","En cours")))</f>
        <v/>
      </c>
      <c r="N1121">
        <f>IF(ISBLANK('ENGAGEMENTS 2026'!C1121),"",'ENGAGEMENTS 2026'!L1121)</f>
        <v/>
      </c>
      <c r="O1121">
        <f>IF(ISBLANK('ENGAGEMENTS 2026'!C1121),"",'ENGAGEMENTS 2026'!M1121)</f>
        <v/>
      </c>
      <c r="P1121">
        <f>IF(ISBLANK('ENGAGEMENTS 2026'!C1121),"",'ENGAGEMENTS 2026'!K1121)</f>
        <v/>
      </c>
      <c r="Q1121">
        <f>IF($A1121="","",IF(OR($E1121="INFRUCTUEUX",$E1121="ANNULE"),$A1121&amp;"|"&amp;(COUNTIFS($A$2:$A1121,$A1121,$E$2:$E1121,"INFRUCTUEUX")+COUNTIFS($A$2:$A1121,$A1121,$E$2:$E1121,"ANNULE")),""))</f>
        <v/>
      </c>
    </row>
    <row r="1122">
      <c r="A1122">
        <f>IF(ISBLANK('ENGAGEMENTS 2026'!C1122),"",IF('ENGAGEMENTS 2026'!C1122="DTSI","DCT",'ENGAGEMENTS 2026'!C1122))</f>
        <v/>
      </c>
      <c r="B1122">
        <f>IF(ISBLANK('ENGAGEMENTS 2026'!C1122),"",'ENGAGEMENTS 2026'!D1122)</f>
        <v/>
      </c>
      <c r="C1122">
        <f>IF(ISBLANK('ENGAGEMENTS 2026'!C1122),"",'ENGAGEMENTS 2026'!E1122)</f>
        <v/>
      </c>
      <c r="D1122">
        <f>IF(ISBLANK('ENGAGEMENTS 2026'!C1122),"",'ENGAGEMENTS 2026'!G1122)</f>
        <v/>
      </c>
      <c r="E1122">
        <f>IF(ISBLANK('ENGAGEMENTS 2026'!C1122),"",'ENGAGEMENTS 2026'!I1122)</f>
        <v/>
      </c>
      <c r="F1122">
        <f>IF(ISBLANK('ENGAGEMENTS 2026'!C1122),"",'ENGAGEMENTS 2026'!J1122)</f>
        <v/>
      </c>
      <c r="G1122">
        <f>IF(ISBLANK('ENGAGEMENTS 2026'!C1122),"",'ENGAGEMENTS 2026'!M1122)</f>
        <v/>
      </c>
      <c r="H1122">
        <f>IF(ISBLANK('ENGAGEMENTS 2026'!C1122),"",'ENGAGEMENTS 2026'!AF1122)</f>
        <v/>
      </c>
      <c r="I1122">
        <f>IF(ISBLANK('ENGAGEMENTS 2026'!C1122),"",'ENGAGEMENTS 2026'!H1122)</f>
        <v/>
      </c>
      <c r="J1122" s="275">
        <f>IF(ISBLANK('ENGAGEMENTS 2026'!C1122),"",IF(AND(OR($E1122="INFRUCTUEUX",$E1122="ANNULE"),$C1122="AOO-M"),'ENGAGEMENTS 2026'!P1122,IF($H1122="EN COURS DE PREENGAGEMENT",'ENGAGEMENTS 2026'!O1122,IF($H1122="PREENGAGE",IF($E1122="ATTRIBUE",'ENGAGEMENTS 2026'!AE1122,'ENGAGEMENTS 2026'!O1122),'ENGAGEMENTS 2026'!AE1122))))</f>
        <v/>
      </c>
      <c r="K1122" s="604">
        <f>IF(ISBLANK('ENGAGEMENTS 2026'!W1122),"",'ENGAGEMENTS 2026'!W1122)</f>
        <v/>
      </c>
      <c r="L1122" s="276">
        <f>IF($K1122="","",TODAY()-$K1122)</f>
        <v/>
      </c>
      <c r="M1122">
        <f>IF($A1122="","",IF($H1122="ENGAGE","Engagé",IF(AND($H1122="NON ENGAGE",OR($I1122="INFRUCTUEUX",$I1122="ANNULE")),"Clôturé sans suite","En cours")))</f>
        <v/>
      </c>
      <c r="N1122">
        <f>IF(ISBLANK('ENGAGEMENTS 2026'!C1122),"",'ENGAGEMENTS 2026'!L1122)</f>
        <v/>
      </c>
      <c r="O1122">
        <f>IF(ISBLANK('ENGAGEMENTS 2026'!C1122),"",'ENGAGEMENTS 2026'!M1122)</f>
        <v/>
      </c>
      <c r="P1122">
        <f>IF(ISBLANK('ENGAGEMENTS 2026'!C1122),"",'ENGAGEMENTS 2026'!K1122)</f>
        <v/>
      </c>
      <c r="Q1122">
        <f>IF($A1122="","",IF(OR($E1122="INFRUCTUEUX",$E1122="ANNULE"),$A1122&amp;"|"&amp;(COUNTIFS($A$2:$A1122,$A1122,$E$2:$E1122,"INFRUCTUEUX")+COUNTIFS($A$2:$A1122,$A1122,$E$2:$E1122,"ANNULE")),""))</f>
        <v/>
      </c>
    </row>
    <row r="1123">
      <c r="A1123">
        <f>IF(ISBLANK('ENGAGEMENTS 2026'!C1123),"",IF('ENGAGEMENTS 2026'!C1123="DTSI","DCT",'ENGAGEMENTS 2026'!C1123))</f>
        <v/>
      </c>
      <c r="B1123">
        <f>IF(ISBLANK('ENGAGEMENTS 2026'!C1123),"",'ENGAGEMENTS 2026'!D1123)</f>
        <v/>
      </c>
      <c r="C1123">
        <f>IF(ISBLANK('ENGAGEMENTS 2026'!C1123),"",'ENGAGEMENTS 2026'!E1123)</f>
        <v/>
      </c>
      <c r="D1123">
        <f>IF(ISBLANK('ENGAGEMENTS 2026'!C1123),"",'ENGAGEMENTS 2026'!G1123)</f>
        <v/>
      </c>
      <c r="E1123">
        <f>IF(ISBLANK('ENGAGEMENTS 2026'!C1123),"",'ENGAGEMENTS 2026'!I1123)</f>
        <v/>
      </c>
      <c r="F1123">
        <f>IF(ISBLANK('ENGAGEMENTS 2026'!C1123),"",'ENGAGEMENTS 2026'!J1123)</f>
        <v/>
      </c>
      <c r="G1123">
        <f>IF(ISBLANK('ENGAGEMENTS 2026'!C1123),"",'ENGAGEMENTS 2026'!M1123)</f>
        <v/>
      </c>
      <c r="H1123">
        <f>IF(ISBLANK('ENGAGEMENTS 2026'!C1123),"",'ENGAGEMENTS 2026'!AF1123)</f>
        <v/>
      </c>
      <c r="I1123">
        <f>IF(ISBLANK('ENGAGEMENTS 2026'!C1123),"",'ENGAGEMENTS 2026'!H1123)</f>
        <v/>
      </c>
      <c r="J1123" s="275">
        <f>IF(ISBLANK('ENGAGEMENTS 2026'!C1123),"",IF(AND(OR($E1123="INFRUCTUEUX",$E1123="ANNULE"),$C1123="AOO-M"),'ENGAGEMENTS 2026'!P1123,IF($H1123="EN COURS DE PREENGAGEMENT",'ENGAGEMENTS 2026'!O1123,IF($H1123="PREENGAGE",IF($E1123="ATTRIBUE",'ENGAGEMENTS 2026'!AE1123,'ENGAGEMENTS 2026'!O1123),'ENGAGEMENTS 2026'!AE1123))))</f>
        <v/>
      </c>
      <c r="K1123" s="604">
        <f>IF(ISBLANK('ENGAGEMENTS 2026'!W1123),"",'ENGAGEMENTS 2026'!W1123)</f>
        <v/>
      </c>
      <c r="L1123" s="276">
        <f>IF($K1123="","",TODAY()-$K1123)</f>
        <v/>
      </c>
      <c r="M1123">
        <f>IF($A1123="","",IF($H1123="ENGAGE","Engagé",IF(AND($H1123="NON ENGAGE",OR($I1123="INFRUCTUEUX",$I1123="ANNULE")),"Clôturé sans suite","En cours")))</f>
        <v/>
      </c>
      <c r="N1123">
        <f>IF(ISBLANK('ENGAGEMENTS 2026'!C1123),"",'ENGAGEMENTS 2026'!L1123)</f>
        <v/>
      </c>
      <c r="O1123">
        <f>IF(ISBLANK('ENGAGEMENTS 2026'!C1123),"",'ENGAGEMENTS 2026'!M1123)</f>
        <v/>
      </c>
      <c r="P1123">
        <f>IF(ISBLANK('ENGAGEMENTS 2026'!C1123),"",'ENGAGEMENTS 2026'!K1123)</f>
        <v/>
      </c>
      <c r="Q1123">
        <f>IF($A1123="","",IF(OR($E1123="INFRUCTUEUX",$E1123="ANNULE"),$A1123&amp;"|"&amp;(COUNTIFS($A$2:$A1123,$A1123,$E$2:$E1123,"INFRUCTUEUX")+COUNTIFS($A$2:$A1123,$A1123,$E$2:$E1123,"ANNULE")),""))</f>
        <v/>
      </c>
    </row>
    <row r="1124">
      <c r="A1124">
        <f>IF(ISBLANK('ENGAGEMENTS 2026'!C1124),"",IF('ENGAGEMENTS 2026'!C1124="DTSI","DCT",'ENGAGEMENTS 2026'!C1124))</f>
        <v/>
      </c>
      <c r="B1124">
        <f>IF(ISBLANK('ENGAGEMENTS 2026'!C1124),"",'ENGAGEMENTS 2026'!D1124)</f>
        <v/>
      </c>
      <c r="C1124">
        <f>IF(ISBLANK('ENGAGEMENTS 2026'!C1124),"",'ENGAGEMENTS 2026'!E1124)</f>
        <v/>
      </c>
      <c r="D1124">
        <f>IF(ISBLANK('ENGAGEMENTS 2026'!C1124),"",'ENGAGEMENTS 2026'!G1124)</f>
        <v/>
      </c>
      <c r="E1124">
        <f>IF(ISBLANK('ENGAGEMENTS 2026'!C1124),"",'ENGAGEMENTS 2026'!I1124)</f>
        <v/>
      </c>
      <c r="F1124">
        <f>IF(ISBLANK('ENGAGEMENTS 2026'!C1124),"",'ENGAGEMENTS 2026'!J1124)</f>
        <v/>
      </c>
      <c r="G1124">
        <f>IF(ISBLANK('ENGAGEMENTS 2026'!C1124),"",'ENGAGEMENTS 2026'!M1124)</f>
        <v/>
      </c>
      <c r="H1124">
        <f>IF(ISBLANK('ENGAGEMENTS 2026'!C1124),"",'ENGAGEMENTS 2026'!AF1124)</f>
        <v/>
      </c>
      <c r="I1124">
        <f>IF(ISBLANK('ENGAGEMENTS 2026'!C1124),"",'ENGAGEMENTS 2026'!H1124)</f>
        <v/>
      </c>
      <c r="J1124" s="275">
        <f>IF(ISBLANK('ENGAGEMENTS 2026'!C1124),"",IF(AND(OR($E1124="INFRUCTUEUX",$E1124="ANNULE"),$C1124="AOO-M"),'ENGAGEMENTS 2026'!P1124,IF($H1124="EN COURS DE PREENGAGEMENT",'ENGAGEMENTS 2026'!O1124,IF($H1124="PREENGAGE",IF($E1124="ATTRIBUE",'ENGAGEMENTS 2026'!AE1124,'ENGAGEMENTS 2026'!O1124),'ENGAGEMENTS 2026'!AE1124))))</f>
        <v/>
      </c>
      <c r="K1124" s="604">
        <f>IF(ISBLANK('ENGAGEMENTS 2026'!W1124),"",'ENGAGEMENTS 2026'!W1124)</f>
        <v/>
      </c>
      <c r="L1124" s="276">
        <f>IF($K1124="","",TODAY()-$K1124)</f>
        <v/>
      </c>
      <c r="M1124">
        <f>IF($A1124="","",IF($H1124="ENGAGE","Engagé",IF(AND($H1124="NON ENGAGE",OR($I1124="INFRUCTUEUX",$I1124="ANNULE")),"Clôturé sans suite","En cours")))</f>
        <v/>
      </c>
      <c r="N1124">
        <f>IF(ISBLANK('ENGAGEMENTS 2026'!C1124),"",'ENGAGEMENTS 2026'!L1124)</f>
        <v/>
      </c>
      <c r="O1124">
        <f>IF(ISBLANK('ENGAGEMENTS 2026'!C1124),"",'ENGAGEMENTS 2026'!M1124)</f>
        <v/>
      </c>
      <c r="P1124">
        <f>IF(ISBLANK('ENGAGEMENTS 2026'!C1124),"",'ENGAGEMENTS 2026'!K1124)</f>
        <v/>
      </c>
      <c r="Q1124">
        <f>IF($A1124="","",IF(OR($E1124="INFRUCTUEUX",$E1124="ANNULE"),$A1124&amp;"|"&amp;(COUNTIFS($A$2:$A1124,$A1124,$E$2:$E1124,"INFRUCTUEUX")+COUNTIFS($A$2:$A1124,$A1124,$E$2:$E1124,"ANNULE")),""))</f>
        <v/>
      </c>
    </row>
    <row r="1125">
      <c r="A1125">
        <f>IF(ISBLANK('ENGAGEMENTS 2026'!C1125),"",IF('ENGAGEMENTS 2026'!C1125="DTSI","DCT",'ENGAGEMENTS 2026'!C1125))</f>
        <v/>
      </c>
      <c r="B1125">
        <f>IF(ISBLANK('ENGAGEMENTS 2026'!C1125),"",'ENGAGEMENTS 2026'!D1125)</f>
        <v/>
      </c>
      <c r="C1125">
        <f>IF(ISBLANK('ENGAGEMENTS 2026'!C1125),"",'ENGAGEMENTS 2026'!E1125)</f>
        <v/>
      </c>
      <c r="D1125">
        <f>IF(ISBLANK('ENGAGEMENTS 2026'!C1125),"",'ENGAGEMENTS 2026'!G1125)</f>
        <v/>
      </c>
      <c r="E1125">
        <f>IF(ISBLANK('ENGAGEMENTS 2026'!C1125),"",'ENGAGEMENTS 2026'!I1125)</f>
        <v/>
      </c>
      <c r="F1125">
        <f>IF(ISBLANK('ENGAGEMENTS 2026'!C1125),"",'ENGAGEMENTS 2026'!J1125)</f>
        <v/>
      </c>
      <c r="G1125">
        <f>IF(ISBLANK('ENGAGEMENTS 2026'!C1125),"",'ENGAGEMENTS 2026'!M1125)</f>
        <v/>
      </c>
      <c r="H1125">
        <f>IF(ISBLANK('ENGAGEMENTS 2026'!C1125),"",'ENGAGEMENTS 2026'!AF1125)</f>
        <v/>
      </c>
      <c r="I1125">
        <f>IF(ISBLANK('ENGAGEMENTS 2026'!C1125),"",'ENGAGEMENTS 2026'!H1125)</f>
        <v/>
      </c>
      <c r="J1125" s="275">
        <f>IF(ISBLANK('ENGAGEMENTS 2026'!C1125),"",IF(AND(OR($E1125="INFRUCTUEUX",$E1125="ANNULE"),$C1125="AOO-M"),'ENGAGEMENTS 2026'!P1125,IF($H1125="EN COURS DE PREENGAGEMENT",'ENGAGEMENTS 2026'!O1125,IF($H1125="PREENGAGE",IF($E1125="ATTRIBUE",'ENGAGEMENTS 2026'!AE1125,'ENGAGEMENTS 2026'!O1125),'ENGAGEMENTS 2026'!AE1125))))</f>
        <v/>
      </c>
      <c r="K1125" s="604">
        <f>IF(ISBLANK('ENGAGEMENTS 2026'!W1125),"",'ENGAGEMENTS 2026'!W1125)</f>
        <v/>
      </c>
      <c r="L1125" s="276">
        <f>IF($K1125="","",TODAY()-$K1125)</f>
        <v/>
      </c>
      <c r="M1125">
        <f>IF($A1125="","",IF($H1125="ENGAGE","Engagé",IF(AND($H1125="NON ENGAGE",OR($I1125="INFRUCTUEUX",$I1125="ANNULE")),"Clôturé sans suite","En cours")))</f>
        <v/>
      </c>
      <c r="N1125">
        <f>IF(ISBLANK('ENGAGEMENTS 2026'!C1125),"",'ENGAGEMENTS 2026'!L1125)</f>
        <v/>
      </c>
      <c r="O1125">
        <f>IF(ISBLANK('ENGAGEMENTS 2026'!C1125),"",'ENGAGEMENTS 2026'!M1125)</f>
        <v/>
      </c>
      <c r="P1125">
        <f>IF(ISBLANK('ENGAGEMENTS 2026'!C1125),"",'ENGAGEMENTS 2026'!K1125)</f>
        <v/>
      </c>
      <c r="Q1125">
        <f>IF($A1125="","",IF(OR($E1125="INFRUCTUEUX",$E1125="ANNULE"),$A1125&amp;"|"&amp;(COUNTIFS($A$2:$A1125,$A1125,$E$2:$E1125,"INFRUCTUEUX")+COUNTIFS($A$2:$A1125,$A1125,$E$2:$E1125,"ANNULE")),""))</f>
        <v/>
      </c>
    </row>
    <row r="1126">
      <c r="A1126">
        <f>IF(ISBLANK('ENGAGEMENTS 2026'!C1126),"",IF('ENGAGEMENTS 2026'!C1126="DTSI","DCT",'ENGAGEMENTS 2026'!C1126))</f>
        <v/>
      </c>
      <c r="B1126">
        <f>IF(ISBLANK('ENGAGEMENTS 2026'!C1126),"",'ENGAGEMENTS 2026'!D1126)</f>
        <v/>
      </c>
      <c r="C1126">
        <f>IF(ISBLANK('ENGAGEMENTS 2026'!C1126),"",'ENGAGEMENTS 2026'!E1126)</f>
        <v/>
      </c>
      <c r="D1126">
        <f>IF(ISBLANK('ENGAGEMENTS 2026'!C1126),"",'ENGAGEMENTS 2026'!G1126)</f>
        <v/>
      </c>
      <c r="E1126">
        <f>IF(ISBLANK('ENGAGEMENTS 2026'!C1126),"",'ENGAGEMENTS 2026'!I1126)</f>
        <v/>
      </c>
      <c r="F1126">
        <f>IF(ISBLANK('ENGAGEMENTS 2026'!C1126),"",'ENGAGEMENTS 2026'!J1126)</f>
        <v/>
      </c>
      <c r="G1126">
        <f>IF(ISBLANK('ENGAGEMENTS 2026'!C1126),"",'ENGAGEMENTS 2026'!M1126)</f>
        <v/>
      </c>
      <c r="H1126">
        <f>IF(ISBLANK('ENGAGEMENTS 2026'!C1126),"",'ENGAGEMENTS 2026'!AF1126)</f>
        <v/>
      </c>
      <c r="I1126">
        <f>IF(ISBLANK('ENGAGEMENTS 2026'!C1126),"",'ENGAGEMENTS 2026'!H1126)</f>
        <v/>
      </c>
      <c r="J1126" s="275">
        <f>IF(ISBLANK('ENGAGEMENTS 2026'!C1126),"",IF(AND(OR($E1126="INFRUCTUEUX",$E1126="ANNULE"),$C1126="AOO-M"),'ENGAGEMENTS 2026'!P1126,IF($H1126="EN COURS DE PREENGAGEMENT",'ENGAGEMENTS 2026'!O1126,IF($H1126="PREENGAGE",IF($E1126="ATTRIBUE",'ENGAGEMENTS 2026'!AE1126,'ENGAGEMENTS 2026'!O1126),'ENGAGEMENTS 2026'!AE1126))))</f>
        <v/>
      </c>
      <c r="K1126" s="604">
        <f>IF(ISBLANK('ENGAGEMENTS 2026'!W1126),"",'ENGAGEMENTS 2026'!W1126)</f>
        <v/>
      </c>
      <c r="L1126" s="276">
        <f>IF($K1126="","",TODAY()-$K1126)</f>
        <v/>
      </c>
      <c r="M1126">
        <f>IF($A1126="","",IF($H1126="ENGAGE","Engagé",IF(AND($H1126="NON ENGAGE",OR($I1126="INFRUCTUEUX",$I1126="ANNULE")),"Clôturé sans suite","En cours")))</f>
        <v/>
      </c>
      <c r="N1126">
        <f>IF(ISBLANK('ENGAGEMENTS 2026'!C1126),"",'ENGAGEMENTS 2026'!L1126)</f>
        <v/>
      </c>
      <c r="O1126">
        <f>IF(ISBLANK('ENGAGEMENTS 2026'!C1126),"",'ENGAGEMENTS 2026'!M1126)</f>
        <v/>
      </c>
      <c r="P1126">
        <f>IF(ISBLANK('ENGAGEMENTS 2026'!C1126),"",'ENGAGEMENTS 2026'!K1126)</f>
        <v/>
      </c>
      <c r="Q1126">
        <f>IF($A1126="","",IF(OR($E1126="INFRUCTUEUX",$E1126="ANNULE"),$A1126&amp;"|"&amp;(COUNTIFS($A$2:$A1126,$A1126,$E$2:$E1126,"INFRUCTUEUX")+COUNTIFS($A$2:$A1126,$A1126,$E$2:$E1126,"ANNULE")),""))</f>
        <v/>
      </c>
    </row>
    <row r="1127">
      <c r="A1127">
        <f>IF(ISBLANK('ENGAGEMENTS 2026'!C1127),"",IF('ENGAGEMENTS 2026'!C1127="DTSI","DCT",'ENGAGEMENTS 2026'!C1127))</f>
        <v/>
      </c>
      <c r="B1127">
        <f>IF(ISBLANK('ENGAGEMENTS 2026'!C1127),"",'ENGAGEMENTS 2026'!D1127)</f>
        <v/>
      </c>
      <c r="C1127">
        <f>IF(ISBLANK('ENGAGEMENTS 2026'!C1127),"",'ENGAGEMENTS 2026'!E1127)</f>
        <v/>
      </c>
      <c r="D1127">
        <f>IF(ISBLANK('ENGAGEMENTS 2026'!C1127),"",'ENGAGEMENTS 2026'!G1127)</f>
        <v/>
      </c>
      <c r="E1127">
        <f>IF(ISBLANK('ENGAGEMENTS 2026'!C1127),"",'ENGAGEMENTS 2026'!I1127)</f>
        <v/>
      </c>
      <c r="F1127">
        <f>IF(ISBLANK('ENGAGEMENTS 2026'!C1127),"",'ENGAGEMENTS 2026'!J1127)</f>
        <v/>
      </c>
      <c r="G1127">
        <f>IF(ISBLANK('ENGAGEMENTS 2026'!C1127),"",'ENGAGEMENTS 2026'!M1127)</f>
        <v/>
      </c>
      <c r="H1127">
        <f>IF(ISBLANK('ENGAGEMENTS 2026'!C1127),"",'ENGAGEMENTS 2026'!AF1127)</f>
        <v/>
      </c>
      <c r="I1127">
        <f>IF(ISBLANK('ENGAGEMENTS 2026'!C1127),"",'ENGAGEMENTS 2026'!H1127)</f>
        <v/>
      </c>
      <c r="J1127" s="275">
        <f>IF(ISBLANK('ENGAGEMENTS 2026'!C1127),"",IF(AND(OR($E1127="INFRUCTUEUX",$E1127="ANNULE"),$C1127="AOO-M"),'ENGAGEMENTS 2026'!P1127,IF($H1127="EN COURS DE PREENGAGEMENT",'ENGAGEMENTS 2026'!O1127,IF($H1127="PREENGAGE",IF($E1127="ATTRIBUE",'ENGAGEMENTS 2026'!AE1127,'ENGAGEMENTS 2026'!O1127),'ENGAGEMENTS 2026'!AE1127))))</f>
        <v/>
      </c>
      <c r="K1127" s="604">
        <f>IF(ISBLANK('ENGAGEMENTS 2026'!W1127),"",'ENGAGEMENTS 2026'!W1127)</f>
        <v/>
      </c>
      <c r="L1127" s="276">
        <f>IF($K1127="","",TODAY()-$K1127)</f>
        <v/>
      </c>
      <c r="M1127">
        <f>IF($A1127="","",IF($H1127="ENGAGE","Engagé",IF(AND($H1127="NON ENGAGE",OR($I1127="INFRUCTUEUX",$I1127="ANNULE")),"Clôturé sans suite","En cours")))</f>
        <v/>
      </c>
      <c r="N1127">
        <f>IF(ISBLANK('ENGAGEMENTS 2026'!C1127),"",'ENGAGEMENTS 2026'!L1127)</f>
        <v/>
      </c>
      <c r="O1127">
        <f>IF(ISBLANK('ENGAGEMENTS 2026'!C1127),"",'ENGAGEMENTS 2026'!M1127)</f>
        <v/>
      </c>
      <c r="P1127">
        <f>IF(ISBLANK('ENGAGEMENTS 2026'!C1127),"",'ENGAGEMENTS 2026'!K1127)</f>
        <v/>
      </c>
      <c r="Q1127">
        <f>IF($A1127="","",IF(OR($E1127="INFRUCTUEUX",$E1127="ANNULE"),$A1127&amp;"|"&amp;(COUNTIFS($A$2:$A1127,$A1127,$E$2:$E1127,"INFRUCTUEUX")+COUNTIFS($A$2:$A1127,$A1127,$E$2:$E1127,"ANNULE")),""))</f>
        <v/>
      </c>
    </row>
    <row r="1128">
      <c r="A1128">
        <f>IF(ISBLANK('ENGAGEMENTS 2026'!C1128),"",IF('ENGAGEMENTS 2026'!C1128="DTSI","DCT",'ENGAGEMENTS 2026'!C1128))</f>
        <v/>
      </c>
      <c r="B1128">
        <f>IF(ISBLANK('ENGAGEMENTS 2026'!C1128),"",'ENGAGEMENTS 2026'!D1128)</f>
        <v/>
      </c>
      <c r="C1128">
        <f>IF(ISBLANK('ENGAGEMENTS 2026'!C1128),"",'ENGAGEMENTS 2026'!E1128)</f>
        <v/>
      </c>
      <c r="D1128">
        <f>IF(ISBLANK('ENGAGEMENTS 2026'!C1128),"",'ENGAGEMENTS 2026'!G1128)</f>
        <v/>
      </c>
      <c r="E1128">
        <f>IF(ISBLANK('ENGAGEMENTS 2026'!C1128),"",'ENGAGEMENTS 2026'!I1128)</f>
        <v/>
      </c>
      <c r="F1128">
        <f>IF(ISBLANK('ENGAGEMENTS 2026'!C1128),"",'ENGAGEMENTS 2026'!J1128)</f>
        <v/>
      </c>
      <c r="G1128">
        <f>IF(ISBLANK('ENGAGEMENTS 2026'!C1128),"",'ENGAGEMENTS 2026'!M1128)</f>
        <v/>
      </c>
      <c r="H1128">
        <f>IF(ISBLANK('ENGAGEMENTS 2026'!C1128),"",'ENGAGEMENTS 2026'!AF1128)</f>
        <v/>
      </c>
      <c r="I1128">
        <f>IF(ISBLANK('ENGAGEMENTS 2026'!C1128),"",'ENGAGEMENTS 2026'!H1128)</f>
        <v/>
      </c>
      <c r="J1128" s="275">
        <f>IF(ISBLANK('ENGAGEMENTS 2026'!C1128),"",IF(AND(OR($E1128="INFRUCTUEUX",$E1128="ANNULE"),$C1128="AOO-M"),'ENGAGEMENTS 2026'!P1128,IF($H1128="EN COURS DE PREENGAGEMENT",'ENGAGEMENTS 2026'!O1128,IF($H1128="PREENGAGE",IF($E1128="ATTRIBUE",'ENGAGEMENTS 2026'!AE1128,'ENGAGEMENTS 2026'!O1128),'ENGAGEMENTS 2026'!AE1128))))</f>
        <v/>
      </c>
      <c r="K1128" s="604">
        <f>IF(ISBLANK('ENGAGEMENTS 2026'!W1128),"",'ENGAGEMENTS 2026'!W1128)</f>
        <v/>
      </c>
      <c r="L1128" s="276">
        <f>IF($K1128="","",TODAY()-$K1128)</f>
        <v/>
      </c>
      <c r="M1128">
        <f>IF($A1128="","",IF($H1128="ENGAGE","Engagé",IF(AND($H1128="NON ENGAGE",OR($I1128="INFRUCTUEUX",$I1128="ANNULE")),"Clôturé sans suite","En cours")))</f>
        <v/>
      </c>
      <c r="N1128">
        <f>IF(ISBLANK('ENGAGEMENTS 2026'!C1128),"",'ENGAGEMENTS 2026'!L1128)</f>
        <v/>
      </c>
      <c r="O1128">
        <f>IF(ISBLANK('ENGAGEMENTS 2026'!C1128),"",'ENGAGEMENTS 2026'!M1128)</f>
        <v/>
      </c>
      <c r="P1128">
        <f>IF(ISBLANK('ENGAGEMENTS 2026'!C1128),"",'ENGAGEMENTS 2026'!K1128)</f>
        <v/>
      </c>
      <c r="Q1128">
        <f>IF($A1128="","",IF(OR($E1128="INFRUCTUEUX",$E1128="ANNULE"),$A1128&amp;"|"&amp;(COUNTIFS($A$2:$A1128,$A1128,$E$2:$E1128,"INFRUCTUEUX")+COUNTIFS($A$2:$A1128,$A1128,$E$2:$E1128,"ANNULE")),""))</f>
        <v/>
      </c>
    </row>
    <row r="1129">
      <c r="A1129">
        <f>IF(ISBLANK('ENGAGEMENTS 2026'!C1129),"",IF('ENGAGEMENTS 2026'!C1129="DTSI","DCT",'ENGAGEMENTS 2026'!C1129))</f>
        <v/>
      </c>
      <c r="B1129">
        <f>IF(ISBLANK('ENGAGEMENTS 2026'!C1129),"",'ENGAGEMENTS 2026'!D1129)</f>
        <v/>
      </c>
      <c r="C1129">
        <f>IF(ISBLANK('ENGAGEMENTS 2026'!C1129),"",'ENGAGEMENTS 2026'!E1129)</f>
        <v/>
      </c>
      <c r="D1129">
        <f>IF(ISBLANK('ENGAGEMENTS 2026'!C1129),"",'ENGAGEMENTS 2026'!G1129)</f>
        <v/>
      </c>
      <c r="E1129">
        <f>IF(ISBLANK('ENGAGEMENTS 2026'!C1129),"",'ENGAGEMENTS 2026'!I1129)</f>
        <v/>
      </c>
      <c r="F1129">
        <f>IF(ISBLANK('ENGAGEMENTS 2026'!C1129),"",'ENGAGEMENTS 2026'!J1129)</f>
        <v/>
      </c>
      <c r="G1129">
        <f>IF(ISBLANK('ENGAGEMENTS 2026'!C1129),"",'ENGAGEMENTS 2026'!M1129)</f>
        <v/>
      </c>
      <c r="H1129">
        <f>IF(ISBLANK('ENGAGEMENTS 2026'!C1129),"",'ENGAGEMENTS 2026'!AF1129)</f>
        <v/>
      </c>
      <c r="I1129">
        <f>IF(ISBLANK('ENGAGEMENTS 2026'!C1129),"",'ENGAGEMENTS 2026'!H1129)</f>
        <v/>
      </c>
      <c r="J1129" s="275">
        <f>IF(ISBLANK('ENGAGEMENTS 2026'!C1129),"",IF(AND(OR($E1129="INFRUCTUEUX",$E1129="ANNULE"),$C1129="AOO-M"),'ENGAGEMENTS 2026'!P1129,IF($H1129="EN COURS DE PREENGAGEMENT",'ENGAGEMENTS 2026'!O1129,IF($H1129="PREENGAGE",IF($E1129="ATTRIBUE",'ENGAGEMENTS 2026'!AE1129,'ENGAGEMENTS 2026'!O1129),'ENGAGEMENTS 2026'!AE1129))))</f>
        <v/>
      </c>
      <c r="K1129" s="604">
        <f>IF(ISBLANK('ENGAGEMENTS 2026'!W1129),"",'ENGAGEMENTS 2026'!W1129)</f>
        <v/>
      </c>
      <c r="L1129" s="276">
        <f>IF($K1129="","",TODAY()-$K1129)</f>
        <v/>
      </c>
      <c r="M1129">
        <f>IF($A1129="","",IF($H1129="ENGAGE","Engagé",IF(AND($H1129="NON ENGAGE",OR($I1129="INFRUCTUEUX",$I1129="ANNULE")),"Clôturé sans suite","En cours")))</f>
        <v/>
      </c>
      <c r="N1129">
        <f>IF(ISBLANK('ENGAGEMENTS 2026'!C1129),"",'ENGAGEMENTS 2026'!L1129)</f>
        <v/>
      </c>
      <c r="O1129">
        <f>IF(ISBLANK('ENGAGEMENTS 2026'!C1129),"",'ENGAGEMENTS 2026'!M1129)</f>
        <v/>
      </c>
      <c r="P1129">
        <f>IF(ISBLANK('ENGAGEMENTS 2026'!C1129),"",'ENGAGEMENTS 2026'!K1129)</f>
        <v/>
      </c>
      <c r="Q1129">
        <f>IF($A1129="","",IF(OR($E1129="INFRUCTUEUX",$E1129="ANNULE"),$A1129&amp;"|"&amp;(COUNTIFS($A$2:$A1129,$A1129,$E$2:$E1129,"INFRUCTUEUX")+COUNTIFS($A$2:$A1129,$A1129,$E$2:$E1129,"ANNULE")),""))</f>
        <v/>
      </c>
    </row>
    <row r="1130">
      <c r="A1130">
        <f>IF(ISBLANK('ENGAGEMENTS 2026'!C1130),"",IF('ENGAGEMENTS 2026'!C1130="DTSI","DCT",'ENGAGEMENTS 2026'!C1130))</f>
        <v/>
      </c>
      <c r="B1130">
        <f>IF(ISBLANK('ENGAGEMENTS 2026'!C1130),"",'ENGAGEMENTS 2026'!D1130)</f>
        <v/>
      </c>
      <c r="C1130">
        <f>IF(ISBLANK('ENGAGEMENTS 2026'!C1130),"",'ENGAGEMENTS 2026'!E1130)</f>
        <v/>
      </c>
      <c r="D1130">
        <f>IF(ISBLANK('ENGAGEMENTS 2026'!C1130),"",'ENGAGEMENTS 2026'!G1130)</f>
        <v/>
      </c>
      <c r="E1130">
        <f>IF(ISBLANK('ENGAGEMENTS 2026'!C1130),"",'ENGAGEMENTS 2026'!I1130)</f>
        <v/>
      </c>
      <c r="F1130">
        <f>IF(ISBLANK('ENGAGEMENTS 2026'!C1130),"",'ENGAGEMENTS 2026'!J1130)</f>
        <v/>
      </c>
      <c r="G1130">
        <f>IF(ISBLANK('ENGAGEMENTS 2026'!C1130),"",'ENGAGEMENTS 2026'!M1130)</f>
        <v/>
      </c>
      <c r="H1130">
        <f>IF(ISBLANK('ENGAGEMENTS 2026'!C1130),"",'ENGAGEMENTS 2026'!AF1130)</f>
        <v/>
      </c>
      <c r="I1130">
        <f>IF(ISBLANK('ENGAGEMENTS 2026'!C1130),"",'ENGAGEMENTS 2026'!H1130)</f>
        <v/>
      </c>
      <c r="J1130" s="275">
        <f>IF(ISBLANK('ENGAGEMENTS 2026'!C1130),"",IF(AND(OR($E1130="INFRUCTUEUX",$E1130="ANNULE"),$C1130="AOO-M"),'ENGAGEMENTS 2026'!P1130,IF($H1130="EN COURS DE PREENGAGEMENT",'ENGAGEMENTS 2026'!O1130,IF($H1130="PREENGAGE",IF($E1130="ATTRIBUE",'ENGAGEMENTS 2026'!AE1130,'ENGAGEMENTS 2026'!O1130),'ENGAGEMENTS 2026'!AE1130))))</f>
        <v/>
      </c>
      <c r="K1130" s="604">
        <f>IF(ISBLANK('ENGAGEMENTS 2026'!W1130),"",'ENGAGEMENTS 2026'!W1130)</f>
        <v/>
      </c>
      <c r="L1130" s="276">
        <f>IF($K1130="","",TODAY()-$K1130)</f>
        <v/>
      </c>
      <c r="M1130">
        <f>IF($A1130="","",IF($H1130="ENGAGE","Engagé",IF(AND($H1130="NON ENGAGE",OR($I1130="INFRUCTUEUX",$I1130="ANNULE")),"Clôturé sans suite","En cours")))</f>
        <v/>
      </c>
      <c r="N1130">
        <f>IF(ISBLANK('ENGAGEMENTS 2026'!C1130),"",'ENGAGEMENTS 2026'!L1130)</f>
        <v/>
      </c>
      <c r="O1130">
        <f>IF(ISBLANK('ENGAGEMENTS 2026'!C1130),"",'ENGAGEMENTS 2026'!M1130)</f>
        <v/>
      </c>
      <c r="P1130">
        <f>IF(ISBLANK('ENGAGEMENTS 2026'!C1130),"",'ENGAGEMENTS 2026'!K1130)</f>
        <v/>
      </c>
      <c r="Q1130">
        <f>IF($A1130="","",IF(OR($E1130="INFRUCTUEUX",$E1130="ANNULE"),$A1130&amp;"|"&amp;(COUNTIFS($A$2:$A1130,$A1130,$E$2:$E1130,"INFRUCTUEUX")+COUNTIFS($A$2:$A1130,$A1130,$E$2:$E1130,"ANNULE")),""))</f>
        <v/>
      </c>
    </row>
    <row r="1131">
      <c r="A1131">
        <f>IF(ISBLANK('ENGAGEMENTS 2026'!C1131),"",IF('ENGAGEMENTS 2026'!C1131="DTSI","DCT",'ENGAGEMENTS 2026'!C1131))</f>
        <v/>
      </c>
      <c r="B1131">
        <f>IF(ISBLANK('ENGAGEMENTS 2026'!C1131),"",'ENGAGEMENTS 2026'!D1131)</f>
        <v/>
      </c>
      <c r="C1131">
        <f>IF(ISBLANK('ENGAGEMENTS 2026'!C1131),"",'ENGAGEMENTS 2026'!E1131)</f>
        <v/>
      </c>
      <c r="D1131">
        <f>IF(ISBLANK('ENGAGEMENTS 2026'!C1131),"",'ENGAGEMENTS 2026'!G1131)</f>
        <v/>
      </c>
      <c r="E1131">
        <f>IF(ISBLANK('ENGAGEMENTS 2026'!C1131),"",'ENGAGEMENTS 2026'!I1131)</f>
        <v/>
      </c>
      <c r="F1131">
        <f>IF(ISBLANK('ENGAGEMENTS 2026'!C1131),"",'ENGAGEMENTS 2026'!J1131)</f>
        <v/>
      </c>
      <c r="G1131">
        <f>IF(ISBLANK('ENGAGEMENTS 2026'!C1131),"",'ENGAGEMENTS 2026'!M1131)</f>
        <v/>
      </c>
      <c r="H1131">
        <f>IF(ISBLANK('ENGAGEMENTS 2026'!C1131),"",'ENGAGEMENTS 2026'!AF1131)</f>
        <v/>
      </c>
      <c r="I1131">
        <f>IF(ISBLANK('ENGAGEMENTS 2026'!C1131),"",'ENGAGEMENTS 2026'!H1131)</f>
        <v/>
      </c>
      <c r="J1131" s="275">
        <f>IF(ISBLANK('ENGAGEMENTS 2026'!C1131),"",IF(AND(OR($E1131="INFRUCTUEUX",$E1131="ANNULE"),$C1131="AOO-M"),'ENGAGEMENTS 2026'!P1131,IF($H1131="EN COURS DE PREENGAGEMENT",'ENGAGEMENTS 2026'!O1131,IF($H1131="PREENGAGE",IF($E1131="ATTRIBUE",'ENGAGEMENTS 2026'!AE1131,'ENGAGEMENTS 2026'!O1131),'ENGAGEMENTS 2026'!AE1131))))</f>
        <v/>
      </c>
      <c r="K1131" s="604">
        <f>IF(ISBLANK('ENGAGEMENTS 2026'!W1131),"",'ENGAGEMENTS 2026'!W1131)</f>
        <v/>
      </c>
      <c r="L1131" s="276">
        <f>IF($K1131="","",TODAY()-$K1131)</f>
        <v/>
      </c>
      <c r="M1131">
        <f>IF($A1131="","",IF($H1131="ENGAGE","Engagé",IF(AND($H1131="NON ENGAGE",OR($I1131="INFRUCTUEUX",$I1131="ANNULE")),"Clôturé sans suite","En cours")))</f>
        <v/>
      </c>
      <c r="N1131">
        <f>IF(ISBLANK('ENGAGEMENTS 2026'!C1131),"",'ENGAGEMENTS 2026'!L1131)</f>
        <v/>
      </c>
      <c r="O1131">
        <f>IF(ISBLANK('ENGAGEMENTS 2026'!C1131),"",'ENGAGEMENTS 2026'!M1131)</f>
        <v/>
      </c>
      <c r="P1131">
        <f>IF(ISBLANK('ENGAGEMENTS 2026'!C1131),"",'ENGAGEMENTS 2026'!K1131)</f>
        <v/>
      </c>
      <c r="Q1131">
        <f>IF($A1131="","",IF(OR($E1131="INFRUCTUEUX",$E1131="ANNULE"),$A1131&amp;"|"&amp;(COUNTIFS($A$2:$A1131,$A1131,$E$2:$E1131,"INFRUCTUEUX")+COUNTIFS($A$2:$A1131,$A1131,$E$2:$E1131,"ANNULE")),""))</f>
        <v/>
      </c>
    </row>
    <row r="1132">
      <c r="A1132">
        <f>IF(ISBLANK('ENGAGEMENTS 2026'!C1132),"",IF('ENGAGEMENTS 2026'!C1132="DTSI","DCT",'ENGAGEMENTS 2026'!C1132))</f>
        <v/>
      </c>
      <c r="B1132">
        <f>IF(ISBLANK('ENGAGEMENTS 2026'!C1132),"",'ENGAGEMENTS 2026'!D1132)</f>
        <v/>
      </c>
      <c r="C1132">
        <f>IF(ISBLANK('ENGAGEMENTS 2026'!C1132),"",'ENGAGEMENTS 2026'!E1132)</f>
        <v/>
      </c>
      <c r="D1132">
        <f>IF(ISBLANK('ENGAGEMENTS 2026'!C1132),"",'ENGAGEMENTS 2026'!G1132)</f>
        <v/>
      </c>
      <c r="E1132">
        <f>IF(ISBLANK('ENGAGEMENTS 2026'!C1132),"",'ENGAGEMENTS 2026'!I1132)</f>
        <v/>
      </c>
      <c r="F1132">
        <f>IF(ISBLANK('ENGAGEMENTS 2026'!C1132),"",'ENGAGEMENTS 2026'!J1132)</f>
        <v/>
      </c>
      <c r="G1132">
        <f>IF(ISBLANK('ENGAGEMENTS 2026'!C1132),"",'ENGAGEMENTS 2026'!M1132)</f>
        <v/>
      </c>
      <c r="H1132">
        <f>IF(ISBLANK('ENGAGEMENTS 2026'!C1132),"",'ENGAGEMENTS 2026'!AF1132)</f>
        <v/>
      </c>
      <c r="I1132">
        <f>IF(ISBLANK('ENGAGEMENTS 2026'!C1132),"",'ENGAGEMENTS 2026'!H1132)</f>
        <v/>
      </c>
      <c r="J1132" s="275">
        <f>IF(ISBLANK('ENGAGEMENTS 2026'!C1132),"",IF(AND(OR($E1132="INFRUCTUEUX",$E1132="ANNULE"),$C1132="AOO-M"),'ENGAGEMENTS 2026'!P1132,IF($H1132="EN COURS DE PREENGAGEMENT",'ENGAGEMENTS 2026'!O1132,IF($H1132="PREENGAGE",IF($E1132="ATTRIBUE",'ENGAGEMENTS 2026'!AE1132,'ENGAGEMENTS 2026'!O1132),'ENGAGEMENTS 2026'!AE1132))))</f>
        <v/>
      </c>
      <c r="K1132" s="604">
        <f>IF(ISBLANK('ENGAGEMENTS 2026'!W1132),"",'ENGAGEMENTS 2026'!W1132)</f>
        <v/>
      </c>
      <c r="L1132" s="276">
        <f>IF($K1132="","",TODAY()-$K1132)</f>
        <v/>
      </c>
      <c r="M1132">
        <f>IF($A1132="","",IF($H1132="ENGAGE","Engagé",IF(AND($H1132="NON ENGAGE",OR($I1132="INFRUCTUEUX",$I1132="ANNULE")),"Clôturé sans suite","En cours")))</f>
        <v/>
      </c>
      <c r="N1132">
        <f>IF(ISBLANK('ENGAGEMENTS 2026'!C1132),"",'ENGAGEMENTS 2026'!L1132)</f>
        <v/>
      </c>
      <c r="O1132">
        <f>IF(ISBLANK('ENGAGEMENTS 2026'!C1132),"",'ENGAGEMENTS 2026'!M1132)</f>
        <v/>
      </c>
      <c r="P1132">
        <f>IF(ISBLANK('ENGAGEMENTS 2026'!C1132),"",'ENGAGEMENTS 2026'!K1132)</f>
        <v/>
      </c>
      <c r="Q1132">
        <f>IF($A1132="","",IF(OR($E1132="INFRUCTUEUX",$E1132="ANNULE"),$A1132&amp;"|"&amp;(COUNTIFS($A$2:$A1132,$A1132,$E$2:$E1132,"INFRUCTUEUX")+COUNTIFS($A$2:$A1132,$A1132,$E$2:$E1132,"ANNULE")),""))</f>
        <v/>
      </c>
    </row>
    <row r="1133">
      <c r="A1133">
        <f>IF(ISBLANK('ENGAGEMENTS 2026'!C1133),"",IF('ENGAGEMENTS 2026'!C1133="DTSI","DCT",'ENGAGEMENTS 2026'!C1133))</f>
        <v/>
      </c>
      <c r="B1133">
        <f>IF(ISBLANK('ENGAGEMENTS 2026'!C1133),"",'ENGAGEMENTS 2026'!D1133)</f>
        <v/>
      </c>
      <c r="C1133">
        <f>IF(ISBLANK('ENGAGEMENTS 2026'!C1133),"",'ENGAGEMENTS 2026'!E1133)</f>
        <v/>
      </c>
      <c r="D1133">
        <f>IF(ISBLANK('ENGAGEMENTS 2026'!C1133),"",'ENGAGEMENTS 2026'!G1133)</f>
        <v/>
      </c>
      <c r="E1133">
        <f>IF(ISBLANK('ENGAGEMENTS 2026'!C1133),"",'ENGAGEMENTS 2026'!I1133)</f>
        <v/>
      </c>
      <c r="F1133">
        <f>IF(ISBLANK('ENGAGEMENTS 2026'!C1133),"",'ENGAGEMENTS 2026'!J1133)</f>
        <v/>
      </c>
      <c r="G1133">
        <f>IF(ISBLANK('ENGAGEMENTS 2026'!C1133),"",'ENGAGEMENTS 2026'!M1133)</f>
        <v/>
      </c>
      <c r="H1133">
        <f>IF(ISBLANK('ENGAGEMENTS 2026'!C1133),"",'ENGAGEMENTS 2026'!AF1133)</f>
        <v/>
      </c>
      <c r="I1133">
        <f>IF(ISBLANK('ENGAGEMENTS 2026'!C1133),"",'ENGAGEMENTS 2026'!H1133)</f>
        <v/>
      </c>
      <c r="J1133" s="275">
        <f>IF(ISBLANK('ENGAGEMENTS 2026'!C1133),"",IF(AND(OR($E1133="INFRUCTUEUX",$E1133="ANNULE"),$C1133="AOO-M"),'ENGAGEMENTS 2026'!P1133,IF($H1133="EN COURS DE PREENGAGEMENT",'ENGAGEMENTS 2026'!O1133,IF($H1133="PREENGAGE",IF($E1133="ATTRIBUE",'ENGAGEMENTS 2026'!AE1133,'ENGAGEMENTS 2026'!O1133),'ENGAGEMENTS 2026'!AE1133))))</f>
        <v/>
      </c>
      <c r="K1133" s="604">
        <f>IF(ISBLANK('ENGAGEMENTS 2026'!W1133),"",'ENGAGEMENTS 2026'!W1133)</f>
        <v/>
      </c>
      <c r="L1133" s="276">
        <f>IF($K1133="","",TODAY()-$K1133)</f>
        <v/>
      </c>
      <c r="M1133">
        <f>IF($A1133="","",IF($H1133="ENGAGE","Engagé",IF(AND($H1133="NON ENGAGE",OR($I1133="INFRUCTUEUX",$I1133="ANNULE")),"Clôturé sans suite","En cours")))</f>
        <v/>
      </c>
      <c r="N1133">
        <f>IF(ISBLANK('ENGAGEMENTS 2026'!C1133),"",'ENGAGEMENTS 2026'!L1133)</f>
        <v/>
      </c>
      <c r="O1133">
        <f>IF(ISBLANK('ENGAGEMENTS 2026'!C1133),"",'ENGAGEMENTS 2026'!M1133)</f>
        <v/>
      </c>
      <c r="P1133">
        <f>IF(ISBLANK('ENGAGEMENTS 2026'!C1133),"",'ENGAGEMENTS 2026'!K1133)</f>
        <v/>
      </c>
      <c r="Q1133">
        <f>IF($A1133="","",IF(OR($E1133="INFRUCTUEUX",$E1133="ANNULE"),$A1133&amp;"|"&amp;(COUNTIFS($A$2:$A1133,$A1133,$E$2:$E1133,"INFRUCTUEUX")+COUNTIFS($A$2:$A1133,$A1133,$E$2:$E1133,"ANNULE")),""))</f>
        <v/>
      </c>
    </row>
    <row r="1134">
      <c r="A1134">
        <f>IF(ISBLANK('ENGAGEMENTS 2026'!C1134),"",IF('ENGAGEMENTS 2026'!C1134="DTSI","DCT",'ENGAGEMENTS 2026'!C1134))</f>
        <v/>
      </c>
      <c r="B1134">
        <f>IF(ISBLANK('ENGAGEMENTS 2026'!C1134),"",'ENGAGEMENTS 2026'!D1134)</f>
        <v/>
      </c>
      <c r="C1134">
        <f>IF(ISBLANK('ENGAGEMENTS 2026'!C1134),"",'ENGAGEMENTS 2026'!E1134)</f>
        <v/>
      </c>
      <c r="D1134">
        <f>IF(ISBLANK('ENGAGEMENTS 2026'!C1134),"",'ENGAGEMENTS 2026'!G1134)</f>
        <v/>
      </c>
      <c r="E1134">
        <f>IF(ISBLANK('ENGAGEMENTS 2026'!C1134),"",'ENGAGEMENTS 2026'!I1134)</f>
        <v/>
      </c>
      <c r="F1134">
        <f>IF(ISBLANK('ENGAGEMENTS 2026'!C1134),"",'ENGAGEMENTS 2026'!J1134)</f>
        <v/>
      </c>
      <c r="G1134">
        <f>IF(ISBLANK('ENGAGEMENTS 2026'!C1134),"",'ENGAGEMENTS 2026'!M1134)</f>
        <v/>
      </c>
      <c r="H1134">
        <f>IF(ISBLANK('ENGAGEMENTS 2026'!C1134),"",'ENGAGEMENTS 2026'!AF1134)</f>
        <v/>
      </c>
      <c r="I1134">
        <f>IF(ISBLANK('ENGAGEMENTS 2026'!C1134),"",'ENGAGEMENTS 2026'!H1134)</f>
        <v/>
      </c>
      <c r="J1134" s="275">
        <f>IF(ISBLANK('ENGAGEMENTS 2026'!C1134),"",IF(AND(OR($E1134="INFRUCTUEUX",$E1134="ANNULE"),$C1134="AOO-M"),'ENGAGEMENTS 2026'!P1134,IF($H1134="EN COURS DE PREENGAGEMENT",'ENGAGEMENTS 2026'!O1134,IF($H1134="PREENGAGE",IF($E1134="ATTRIBUE",'ENGAGEMENTS 2026'!AE1134,'ENGAGEMENTS 2026'!O1134),'ENGAGEMENTS 2026'!AE1134))))</f>
        <v/>
      </c>
      <c r="K1134" s="604">
        <f>IF(ISBLANK('ENGAGEMENTS 2026'!W1134),"",'ENGAGEMENTS 2026'!W1134)</f>
        <v/>
      </c>
      <c r="L1134" s="276">
        <f>IF($K1134="","",TODAY()-$K1134)</f>
        <v/>
      </c>
      <c r="M1134">
        <f>IF($A1134="","",IF($H1134="ENGAGE","Engagé",IF(AND($H1134="NON ENGAGE",OR($I1134="INFRUCTUEUX",$I1134="ANNULE")),"Clôturé sans suite","En cours")))</f>
        <v/>
      </c>
      <c r="N1134">
        <f>IF(ISBLANK('ENGAGEMENTS 2026'!C1134),"",'ENGAGEMENTS 2026'!L1134)</f>
        <v/>
      </c>
      <c r="O1134">
        <f>IF(ISBLANK('ENGAGEMENTS 2026'!C1134),"",'ENGAGEMENTS 2026'!M1134)</f>
        <v/>
      </c>
      <c r="P1134">
        <f>IF(ISBLANK('ENGAGEMENTS 2026'!C1134),"",'ENGAGEMENTS 2026'!K1134)</f>
        <v/>
      </c>
      <c r="Q1134">
        <f>IF($A1134="","",IF(OR($E1134="INFRUCTUEUX",$E1134="ANNULE"),$A1134&amp;"|"&amp;(COUNTIFS($A$2:$A1134,$A1134,$E$2:$E1134,"INFRUCTUEUX")+COUNTIFS($A$2:$A1134,$A1134,$E$2:$E1134,"ANNULE")),""))</f>
        <v/>
      </c>
    </row>
    <row r="1135">
      <c r="A1135">
        <f>IF(ISBLANK('ENGAGEMENTS 2026'!C1135),"",IF('ENGAGEMENTS 2026'!C1135="DTSI","DCT",'ENGAGEMENTS 2026'!C1135))</f>
        <v/>
      </c>
      <c r="B1135">
        <f>IF(ISBLANK('ENGAGEMENTS 2026'!C1135),"",'ENGAGEMENTS 2026'!D1135)</f>
        <v/>
      </c>
      <c r="C1135">
        <f>IF(ISBLANK('ENGAGEMENTS 2026'!C1135),"",'ENGAGEMENTS 2026'!E1135)</f>
        <v/>
      </c>
      <c r="D1135">
        <f>IF(ISBLANK('ENGAGEMENTS 2026'!C1135),"",'ENGAGEMENTS 2026'!G1135)</f>
        <v/>
      </c>
      <c r="E1135">
        <f>IF(ISBLANK('ENGAGEMENTS 2026'!C1135),"",'ENGAGEMENTS 2026'!I1135)</f>
        <v/>
      </c>
      <c r="F1135">
        <f>IF(ISBLANK('ENGAGEMENTS 2026'!C1135),"",'ENGAGEMENTS 2026'!J1135)</f>
        <v/>
      </c>
      <c r="G1135">
        <f>IF(ISBLANK('ENGAGEMENTS 2026'!C1135),"",'ENGAGEMENTS 2026'!M1135)</f>
        <v/>
      </c>
      <c r="H1135">
        <f>IF(ISBLANK('ENGAGEMENTS 2026'!C1135),"",'ENGAGEMENTS 2026'!AF1135)</f>
        <v/>
      </c>
      <c r="I1135">
        <f>IF(ISBLANK('ENGAGEMENTS 2026'!C1135),"",'ENGAGEMENTS 2026'!H1135)</f>
        <v/>
      </c>
      <c r="J1135" s="275">
        <f>IF(ISBLANK('ENGAGEMENTS 2026'!C1135),"",IF(AND(OR($E1135="INFRUCTUEUX",$E1135="ANNULE"),$C1135="AOO-M"),'ENGAGEMENTS 2026'!P1135,IF($H1135="EN COURS DE PREENGAGEMENT",'ENGAGEMENTS 2026'!O1135,IF($H1135="PREENGAGE",IF($E1135="ATTRIBUE",'ENGAGEMENTS 2026'!AE1135,'ENGAGEMENTS 2026'!O1135),'ENGAGEMENTS 2026'!AE1135))))</f>
        <v/>
      </c>
      <c r="K1135" s="604">
        <f>IF(ISBLANK('ENGAGEMENTS 2026'!W1135),"",'ENGAGEMENTS 2026'!W1135)</f>
        <v/>
      </c>
      <c r="L1135" s="276">
        <f>IF($K1135="","",TODAY()-$K1135)</f>
        <v/>
      </c>
      <c r="M1135">
        <f>IF($A1135="","",IF($H1135="ENGAGE","Engagé",IF(AND($H1135="NON ENGAGE",OR($I1135="INFRUCTUEUX",$I1135="ANNULE")),"Clôturé sans suite","En cours")))</f>
        <v/>
      </c>
      <c r="N1135">
        <f>IF(ISBLANK('ENGAGEMENTS 2026'!C1135),"",'ENGAGEMENTS 2026'!L1135)</f>
        <v/>
      </c>
      <c r="O1135">
        <f>IF(ISBLANK('ENGAGEMENTS 2026'!C1135),"",'ENGAGEMENTS 2026'!M1135)</f>
        <v/>
      </c>
      <c r="P1135">
        <f>IF(ISBLANK('ENGAGEMENTS 2026'!C1135),"",'ENGAGEMENTS 2026'!K1135)</f>
        <v/>
      </c>
      <c r="Q1135">
        <f>IF($A1135="","",IF(OR($E1135="INFRUCTUEUX",$E1135="ANNULE"),$A1135&amp;"|"&amp;(COUNTIFS($A$2:$A1135,$A1135,$E$2:$E1135,"INFRUCTUEUX")+COUNTIFS($A$2:$A1135,$A1135,$E$2:$E1135,"ANNULE")),""))</f>
        <v/>
      </c>
    </row>
    <row r="1136">
      <c r="A1136">
        <f>IF(ISBLANK('ENGAGEMENTS 2026'!C1136),"",IF('ENGAGEMENTS 2026'!C1136="DTSI","DCT",'ENGAGEMENTS 2026'!C1136))</f>
        <v/>
      </c>
      <c r="B1136">
        <f>IF(ISBLANK('ENGAGEMENTS 2026'!C1136),"",'ENGAGEMENTS 2026'!D1136)</f>
        <v/>
      </c>
      <c r="C1136">
        <f>IF(ISBLANK('ENGAGEMENTS 2026'!C1136),"",'ENGAGEMENTS 2026'!E1136)</f>
        <v/>
      </c>
      <c r="D1136">
        <f>IF(ISBLANK('ENGAGEMENTS 2026'!C1136),"",'ENGAGEMENTS 2026'!G1136)</f>
        <v/>
      </c>
      <c r="E1136">
        <f>IF(ISBLANK('ENGAGEMENTS 2026'!C1136),"",'ENGAGEMENTS 2026'!I1136)</f>
        <v/>
      </c>
      <c r="F1136">
        <f>IF(ISBLANK('ENGAGEMENTS 2026'!C1136),"",'ENGAGEMENTS 2026'!J1136)</f>
        <v/>
      </c>
      <c r="G1136">
        <f>IF(ISBLANK('ENGAGEMENTS 2026'!C1136),"",'ENGAGEMENTS 2026'!M1136)</f>
        <v/>
      </c>
      <c r="H1136">
        <f>IF(ISBLANK('ENGAGEMENTS 2026'!C1136),"",'ENGAGEMENTS 2026'!AF1136)</f>
        <v/>
      </c>
      <c r="I1136">
        <f>IF(ISBLANK('ENGAGEMENTS 2026'!C1136),"",'ENGAGEMENTS 2026'!H1136)</f>
        <v/>
      </c>
      <c r="J1136" s="275">
        <f>IF(ISBLANK('ENGAGEMENTS 2026'!C1136),"",IF(AND(OR($E1136="INFRUCTUEUX",$E1136="ANNULE"),$C1136="AOO-M"),'ENGAGEMENTS 2026'!P1136,IF($H1136="EN COURS DE PREENGAGEMENT",'ENGAGEMENTS 2026'!O1136,IF($H1136="PREENGAGE",IF($E1136="ATTRIBUE",'ENGAGEMENTS 2026'!AE1136,'ENGAGEMENTS 2026'!O1136),'ENGAGEMENTS 2026'!AE1136))))</f>
        <v/>
      </c>
      <c r="K1136" s="604">
        <f>IF(ISBLANK('ENGAGEMENTS 2026'!W1136),"",'ENGAGEMENTS 2026'!W1136)</f>
        <v/>
      </c>
      <c r="L1136" s="276">
        <f>IF($K1136="","",TODAY()-$K1136)</f>
        <v/>
      </c>
      <c r="M1136">
        <f>IF($A1136="","",IF($H1136="ENGAGE","Engagé",IF(AND($H1136="NON ENGAGE",OR($I1136="INFRUCTUEUX",$I1136="ANNULE")),"Clôturé sans suite","En cours")))</f>
        <v/>
      </c>
      <c r="N1136">
        <f>IF(ISBLANK('ENGAGEMENTS 2026'!C1136),"",'ENGAGEMENTS 2026'!L1136)</f>
        <v/>
      </c>
      <c r="O1136">
        <f>IF(ISBLANK('ENGAGEMENTS 2026'!C1136),"",'ENGAGEMENTS 2026'!M1136)</f>
        <v/>
      </c>
      <c r="P1136">
        <f>IF(ISBLANK('ENGAGEMENTS 2026'!C1136),"",'ENGAGEMENTS 2026'!K1136)</f>
        <v/>
      </c>
      <c r="Q1136">
        <f>IF($A1136="","",IF(OR($E1136="INFRUCTUEUX",$E1136="ANNULE"),$A1136&amp;"|"&amp;(COUNTIFS($A$2:$A1136,$A1136,$E$2:$E1136,"INFRUCTUEUX")+COUNTIFS($A$2:$A1136,$A1136,$E$2:$E1136,"ANNULE")),""))</f>
        <v/>
      </c>
    </row>
    <row r="1137">
      <c r="A1137">
        <f>IF(ISBLANK('ENGAGEMENTS 2026'!C1137),"",IF('ENGAGEMENTS 2026'!C1137="DTSI","DCT",'ENGAGEMENTS 2026'!C1137))</f>
        <v/>
      </c>
      <c r="B1137">
        <f>IF(ISBLANK('ENGAGEMENTS 2026'!C1137),"",'ENGAGEMENTS 2026'!D1137)</f>
        <v/>
      </c>
      <c r="C1137">
        <f>IF(ISBLANK('ENGAGEMENTS 2026'!C1137),"",'ENGAGEMENTS 2026'!E1137)</f>
        <v/>
      </c>
      <c r="D1137">
        <f>IF(ISBLANK('ENGAGEMENTS 2026'!C1137),"",'ENGAGEMENTS 2026'!G1137)</f>
        <v/>
      </c>
      <c r="E1137">
        <f>IF(ISBLANK('ENGAGEMENTS 2026'!C1137),"",'ENGAGEMENTS 2026'!I1137)</f>
        <v/>
      </c>
      <c r="F1137">
        <f>IF(ISBLANK('ENGAGEMENTS 2026'!C1137),"",'ENGAGEMENTS 2026'!J1137)</f>
        <v/>
      </c>
      <c r="G1137">
        <f>IF(ISBLANK('ENGAGEMENTS 2026'!C1137),"",'ENGAGEMENTS 2026'!M1137)</f>
        <v/>
      </c>
      <c r="H1137">
        <f>IF(ISBLANK('ENGAGEMENTS 2026'!C1137),"",'ENGAGEMENTS 2026'!AF1137)</f>
        <v/>
      </c>
      <c r="I1137">
        <f>IF(ISBLANK('ENGAGEMENTS 2026'!C1137),"",'ENGAGEMENTS 2026'!H1137)</f>
        <v/>
      </c>
      <c r="J1137" s="275">
        <f>IF(ISBLANK('ENGAGEMENTS 2026'!C1137),"",IF(AND(OR($E1137="INFRUCTUEUX",$E1137="ANNULE"),$C1137="AOO-M"),'ENGAGEMENTS 2026'!P1137,IF($H1137="EN COURS DE PREENGAGEMENT",'ENGAGEMENTS 2026'!O1137,IF($H1137="PREENGAGE",IF($E1137="ATTRIBUE",'ENGAGEMENTS 2026'!AE1137,'ENGAGEMENTS 2026'!O1137),'ENGAGEMENTS 2026'!AE1137))))</f>
        <v/>
      </c>
      <c r="K1137" s="604">
        <f>IF(ISBLANK('ENGAGEMENTS 2026'!W1137),"",'ENGAGEMENTS 2026'!W1137)</f>
        <v/>
      </c>
      <c r="L1137" s="276">
        <f>IF($K1137="","",TODAY()-$K1137)</f>
        <v/>
      </c>
      <c r="M1137">
        <f>IF($A1137="","",IF($H1137="ENGAGE","Engagé",IF(AND($H1137="NON ENGAGE",OR($I1137="INFRUCTUEUX",$I1137="ANNULE")),"Clôturé sans suite","En cours")))</f>
        <v/>
      </c>
      <c r="N1137">
        <f>IF(ISBLANK('ENGAGEMENTS 2026'!C1137),"",'ENGAGEMENTS 2026'!L1137)</f>
        <v/>
      </c>
      <c r="O1137">
        <f>IF(ISBLANK('ENGAGEMENTS 2026'!C1137),"",'ENGAGEMENTS 2026'!M1137)</f>
        <v/>
      </c>
      <c r="P1137">
        <f>IF(ISBLANK('ENGAGEMENTS 2026'!C1137),"",'ENGAGEMENTS 2026'!K1137)</f>
        <v/>
      </c>
      <c r="Q1137">
        <f>IF($A1137="","",IF(OR($E1137="INFRUCTUEUX",$E1137="ANNULE"),$A1137&amp;"|"&amp;(COUNTIFS($A$2:$A1137,$A1137,$E$2:$E1137,"INFRUCTUEUX")+COUNTIFS($A$2:$A1137,$A1137,$E$2:$E1137,"ANNULE")),""))</f>
        <v/>
      </c>
    </row>
    <row r="1138">
      <c r="A1138">
        <f>IF(ISBLANK('ENGAGEMENTS 2026'!C1138),"",IF('ENGAGEMENTS 2026'!C1138="DTSI","DCT",'ENGAGEMENTS 2026'!C1138))</f>
        <v/>
      </c>
      <c r="B1138">
        <f>IF(ISBLANK('ENGAGEMENTS 2026'!C1138),"",'ENGAGEMENTS 2026'!D1138)</f>
        <v/>
      </c>
      <c r="C1138">
        <f>IF(ISBLANK('ENGAGEMENTS 2026'!C1138),"",'ENGAGEMENTS 2026'!E1138)</f>
        <v/>
      </c>
      <c r="D1138">
        <f>IF(ISBLANK('ENGAGEMENTS 2026'!C1138),"",'ENGAGEMENTS 2026'!G1138)</f>
        <v/>
      </c>
      <c r="E1138">
        <f>IF(ISBLANK('ENGAGEMENTS 2026'!C1138),"",'ENGAGEMENTS 2026'!I1138)</f>
        <v/>
      </c>
      <c r="F1138">
        <f>IF(ISBLANK('ENGAGEMENTS 2026'!C1138),"",'ENGAGEMENTS 2026'!J1138)</f>
        <v/>
      </c>
      <c r="G1138">
        <f>IF(ISBLANK('ENGAGEMENTS 2026'!C1138),"",'ENGAGEMENTS 2026'!M1138)</f>
        <v/>
      </c>
      <c r="H1138">
        <f>IF(ISBLANK('ENGAGEMENTS 2026'!C1138),"",'ENGAGEMENTS 2026'!AF1138)</f>
        <v/>
      </c>
      <c r="I1138">
        <f>IF(ISBLANK('ENGAGEMENTS 2026'!C1138),"",'ENGAGEMENTS 2026'!H1138)</f>
        <v/>
      </c>
      <c r="J1138" s="275">
        <f>IF(ISBLANK('ENGAGEMENTS 2026'!C1138),"",IF(AND(OR($E1138="INFRUCTUEUX",$E1138="ANNULE"),$C1138="AOO-M"),'ENGAGEMENTS 2026'!P1138,IF($H1138="EN COURS DE PREENGAGEMENT",'ENGAGEMENTS 2026'!O1138,IF($H1138="PREENGAGE",IF($E1138="ATTRIBUE",'ENGAGEMENTS 2026'!AE1138,'ENGAGEMENTS 2026'!O1138),'ENGAGEMENTS 2026'!AE1138))))</f>
        <v/>
      </c>
      <c r="K1138" s="604">
        <f>IF(ISBLANK('ENGAGEMENTS 2026'!W1138),"",'ENGAGEMENTS 2026'!W1138)</f>
        <v/>
      </c>
      <c r="L1138" s="276">
        <f>IF($K1138="","",TODAY()-$K1138)</f>
        <v/>
      </c>
      <c r="M1138">
        <f>IF($A1138="","",IF($H1138="ENGAGE","Engagé",IF(AND($H1138="NON ENGAGE",OR($I1138="INFRUCTUEUX",$I1138="ANNULE")),"Clôturé sans suite","En cours")))</f>
        <v/>
      </c>
      <c r="N1138">
        <f>IF(ISBLANK('ENGAGEMENTS 2026'!C1138),"",'ENGAGEMENTS 2026'!L1138)</f>
        <v/>
      </c>
      <c r="O1138">
        <f>IF(ISBLANK('ENGAGEMENTS 2026'!C1138),"",'ENGAGEMENTS 2026'!M1138)</f>
        <v/>
      </c>
      <c r="P1138">
        <f>IF(ISBLANK('ENGAGEMENTS 2026'!C1138),"",'ENGAGEMENTS 2026'!K1138)</f>
        <v/>
      </c>
      <c r="Q1138">
        <f>IF($A1138="","",IF(OR($E1138="INFRUCTUEUX",$E1138="ANNULE"),$A1138&amp;"|"&amp;(COUNTIFS($A$2:$A1138,$A1138,$E$2:$E1138,"INFRUCTUEUX")+COUNTIFS($A$2:$A1138,$A1138,$E$2:$E1138,"ANNULE")),""))</f>
        <v/>
      </c>
    </row>
    <row r="1139">
      <c r="A1139">
        <f>IF(ISBLANK('ENGAGEMENTS 2026'!C1139),"",IF('ENGAGEMENTS 2026'!C1139="DTSI","DCT",'ENGAGEMENTS 2026'!C1139))</f>
        <v/>
      </c>
      <c r="B1139">
        <f>IF(ISBLANK('ENGAGEMENTS 2026'!C1139),"",'ENGAGEMENTS 2026'!D1139)</f>
        <v/>
      </c>
      <c r="C1139">
        <f>IF(ISBLANK('ENGAGEMENTS 2026'!C1139),"",'ENGAGEMENTS 2026'!E1139)</f>
        <v/>
      </c>
      <c r="D1139">
        <f>IF(ISBLANK('ENGAGEMENTS 2026'!C1139),"",'ENGAGEMENTS 2026'!G1139)</f>
        <v/>
      </c>
      <c r="E1139">
        <f>IF(ISBLANK('ENGAGEMENTS 2026'!C1139),"",'ENGAGEMENTS 2026'!I1139)</f>
        <v/>
      </c>
      <c r="F1139">
        <f>IF(ISBLANK('ENGAGEMENTS 2026'!C1139),"",'ENGAGEMENTS 2026'!J1139)</f>
        <v/>
      </c>
      <c r="G1139">
        <f>IF(ISBLANK('ENGAGEMENTS 2026'!C1139),"",'ENGAGEMENTS 2026'!M1139)</f>
        <v/>
      </c>
      <c r="H1139">
        <f>IF(ISBLANK('ENGAGEMENTS 2026'!C1139),"",'ENGAGEMENTS 2026'!AF1139)</f>
        <v/>
      </c>
      <c r="I1139">
        <f>IF(ISBLANK('ENGAGEMENTS 2026'!C1139),"",'ENGAGEMENTS 2026'!H1139)</f>
        <v/>
      </c>
      <c r="J1139" s="275">
        <f>IF(ISBLANK('ENGAGEMENTS 2026'!C1139),"",IF(AND(OR($E1139="INFRUCTUEUX",$E1139="ANNULE"),$C1139="AOO-M"),'ENGAGEMENTS 2026'!P1139,IF($H1139="EN COURS DE PREENGAGEMENT",'ENGAGEMENTS 2026'!O1139,IF($H1139="PREENGAGE",IF($E1139="ATTRIBUE",'ENGAGEMENTS 2026'!AE1139,'ENGAGEMENTS 2026'!O1139),'ENGAGEMENTS 2026'!AE1139))))</f>
        <v/>
      </c>
      <c r="K1139" s="604">
        <f>IF(ISBLANK('ENGAGEMENTS 2026'!W1139),"",'ENGAGEMENTS 2026'!W1139)</f>
        <v/>
      </c>
      <c r="L1139" s="276">
        <f>IF($K1139="","",TODAY()-$K1139)</f>
        <v/>
      </c>
      <c r="M1139">
        <f>IF($A1139="","",IF($H1139="ENGAGE","Engagé",IF(AND($H1139="NON ENGAGE",OR($I1139="INFRUCTUEUX",$I1139="ANNULE")),"Clôturé sans suite","En cours")))</f>
        <v/>
      </c>
      <c r="N1139">
        <f>IF(ISBLANK('ENGAGEMENTS 2026'!C1139),"",'ENGAGEMENTS 2026'!L1139)</f>
        <v/>
      </c>
      <c r="O1139">
        <f>IF(ISBLANK('ENGAGEMENTS 2026'!C1139),"",'ENGAGEMENTS 2026'!M1139)</f>
        <v/>
      </c>
      <c r="P1139">
        <f>IF(ISBLANK('ENGAGEMENTS 2026'!C1139),"",'ENGAGEMENTS 2026'!K1139)</f>
        <v/>
      </c>
      <c r="Q1139">
        <f>IF($A1139="","",IF(OR($E1139="INFRUCTUEUX",$E1139="ANNULE"),$A1139&amp;"|"&amp;(COUNTIFS($A$2:$A1139,$A1139,$E$2:$E1139,"INFRUCTUEUX")+COUNTIFS($A$2:$A1139,$A1139,$E$2:$E1139,"ANNULE")),""))</f>
        <v/>
      </c>
    </row>
    <row r="1140">
      <c r="A1140">
        <f>IF(ISBLANK('ENGAGEMENTS 2026'!C1140),"",IF('ENGAGEMENTS 2026'!C1140="DTSI","DCT",'ENGAGEMENTS 2026'!C1140))</f>
        <v/>
      </c>
      <c r="B1140">
        <f>IF(ISBLANK('ENGAGEMENTS 2026'!C1140),"",'ENGAGEMENTS 2026'!D1140)</f>
        <v/>
      </c>
      <c r="C1140">
        <f>IF(ISBLANK('ENGAGEMENTS 2026'!C1140),"",'ENGAGEMENTS 2026'!E1140)</f>
        <v/>
      </c>
      <c r="D1140">
        <f>IF(ISBLANK('ENGAGEMENTS 2026'!C1140),"",'ENGAGEMENTS 2026'!G1140)</f>
        <v/>
      </c>
      <c r="E1140">
        <f>IF(ISBLANK('ENGAGEMENTS 2026'!C1140),"",'ENGAGEMENTS 2026'!I1140)</f>
        <v/>
      </c>
      <c r="F1140">
        <f>IF(ISBLANK('ENGAGEMENTS 2026'!C1140),"",'ENGAGEMENTS 2026'!J1140)</f>
        <v/>
      </c>
      <c r="G1140">
        <f>IF(ISBLANK('ENGAGEMENTS 2026'!C1140),"",'ENGAGEMENTS 2026'!M1140)</f>
        <v/>
      </c>
      <c r="H1140">
        <f>IF(ISBLANK('ENGAGEMENTS 2026'!C1140),"",'ENGAGEMENTS 2026'!AF1140)</f>
        <v/>
      </c>
      <c r="I1140">
        <f>IF(ISBLANK('ENGAGEMENTS 2026'!C1140),"",'ENGAGEMENTS 2026'!H1140)</f>
        <v/>
      </c>
      <c r="J1140" s="275">
        <f>IF(ISBLANK('ENGAGEMENTS 2026'!C1140),"",IF(AND(OR($E1140="INFRUCTUEUX",$E1140="ANNULE"),$C1140="AOO-M"),'ENGAGEMENTS 2026'!P1140,IF($H1140="EN COURS DE PREENGAGEMENT",'ENGAGEMENTS 2026'!O1140,IF($H1140="PREENGAGE",IF($E1140="ATTRIBUE",'ENGAGEMENTS 2026'!AE1140,'ENGAGEMENTS 2026'!O1140),'ENGAGEMENTS 2026'!AE1140))))</f>
        <v/>
      </c>
      <c r="K1140" s="604">
        <f>IF(ISBLANK('ENGAGEMENTS 2026'!W1140),"",'ENGAGEMENTS 2026'!W1140)</f>
        <v/>
      </c>
      <c r="L1140" s="276">
        <f>IF($K1140="","",TODAY()-$K1140)</f>
        <v/>
      </c>
      <c r="M1140">
        <f>IF($A1140="","",IF($H1140="ENGAGE","Engagé",IF(AND($H1140="NON ENGAGE",OR($I1140="INFRUCTUEUX",$I1140="ANNULE")),"Clôturé sans suite","En cours")))</f>
        <v/>
      </c>
      <c r="N1140">
        <f>IF(ISBLANK('ENGAGEMENTS 2026'!C1140),"",'ENGAGEMENTS 2026'!L1140)</f>
        <v/>
      </c>
      <c r="O1140">
        <f>IF(ISBLANK('ENGAGEMENTS 2026'!C1140),"",'ENGAGEMENTS 2026'!M1140)</f>
        <v/>
      </c>
      <c r="P1140">
        <f>IF(ISBLANK('ENGAGEMENTS 2026'!C1140),"",'ENGAGEMENTS 2026'!K1140)</f>
        <v/>
      </c>
      <c r="Q1140">
        <f>IF($A1140="","",IF(OR($E1140="INFRUCTUEUX",$E1140="ANNULE"),$A1140&amp;"|"&amp;(COUNTIFS($A$2:$A1140,$A1140,$E$2:$E1140,"INFRUCTUEUX")+COUNTIFS($A$2:$A1140,$A1140,$E$2:$E1140,"ANNULE")),""))</f>
        <v/>
      </c>
    </row>
    <row r="1141">
      <c r="A1141">
        <f>IF(ISBLANK('ENGAGEMENTS 2026'!C1141),"",IF('ENGAGEMENTS 2026'!C1141="DTSI","DCT",'ENGAGEMENTS 2026'!C1141))</f>
        <v/>
      </c>
      <c r="B1141">
        <f>IF(ISBLANK('ENGAGEMENTS 2026'!C1141),"",'ENGAGEMENTS 2026'!D1141)</f>
        <v/>
      </c>
      <c r="C1141">
        <f>IF(ISBLANK('ENGAGEMENTS 2026'!C1141),"",'ENGAGEMENTS 2026'!E1141)</f>
        <v/>
      </c>
      <c r="D1141">
        <f>IF(ISBLANK('ENGAGEMENTS 2026'!C1141),"",'ENGAGEMENTS 2026'!G1141)</f>
        <v/>
      </c>
      <c r="E1141">
        <f>IF(ISBLANK('ENGAGEMENTS 2026'!C1141),"",'ENGAGEMENTS 2026'!I1141)</f>
        <v/>
      </c>
      <c r="F1141">
        <f>IF(ISBLANK('ENGAGEMENTS 2026'!C1141),"",'ENGAGEMENTS 2026'!J1141)</f>
        <v/>
      </c>
      <c r="G1141">
        <f>IF(ISBLANK('ENGAGEMENTS 2026'!C1141),"",'ENGAGEMENTS 2026'!M1141)</f>
        <v/>
      </c>
      <c r="H1141">
        <f>IF(ISBLANK('ENGAGEMENTS 2026'!C1141),"",'ENGAGEMENTS 2026'!AF1141)</f>
        <v/>
      </c>
      <c r="I1141">
        <f>IF(ISBLANK('ENGAGEMENTS 2026'!C1141),"",'ENGAGEMENTS 2026'!H1141)</f>
        <v/>
      </c>
      <c r="J1141" s="275">
        <f>IF(ISBLANK('ENGAGEMENTS 2026'!C1141),"",IF(AND(OR($E1141="INFRUCTUEUX",$E1141="ANNULE"),$C1141="AOO-M"),'ENGAGEMENTS 2026'!P1141,IF($H1141="EN COURS DE PREENGAGEMENT",'ENGAGEMENTS 2026'!O1141,IF($H1141="PREENGAGE",IF($E1141="ATTRIBUE",'ENGAGEMENTS 2026'!AE1141,'ENGAGEMENTS 2026'!O1141),'ENGAGEMENTS 2026'!AE1141))))</f>
        <v/>
      </c>
      <c r="K1141" s="604">
        <f>IF(ISBLANK('ENGAGEMENTS 2026'!W1141),"",'ENGAGEMENTS 2026'!W1141)</f>
        <v/>
      </c>
      <c r="L1141" s="276">
        <f>IF($K1141="","",TODAY()-$K1141)</f>
        <v/>
      </c>
      <c r="M1141">
        <f>IF($A1141="","",IF($H1141="ENGAGE","Engagé",IF(AND($H1141="NON ENGAGE",OR($I1141="INFRUCTUEUX",$I1141="ANNULE")),"Clôturé sans suite","En cours")))</f>
        <v/>
      </c>
      <c r="N1141">
        <f>IF(ISBLANK('ENGAGEMENTS 2026'!C1141),"",'ENGAGEMENTS 2026'!L1141)</f>
        <v/>
      </c>
      <c r="O1141">
        <f>IF(ISBLANK('ENGAGEMENTS 2026'!C1141),"",'ENGAGEMENTS 2026'!M1141)</f>
        <v/>
      </c>
      <c r="P1141">
        <f>IF(ISBLANK('ENGAGEMENTS 2026'!C1141),"",'ENGAGEMENTS 2026'!K1141)</f>
        <v/>
      </c>
      <c r="Q1141">
        <f>IF($A1141="","",IF(OR($E1141="INFRUCTUEUX",$E1141="ANNULE"),$A1141&amp;"|"&amp;(COUNTIFS($A$2:$A1141,$A1141,$E$2:$E1141,"INFRUCTUEUX")+COUNTIFS($A$2:$A1141,$A1141,$E$2:$E1141,"ANNULE")),""))</f>
        <v/>
      </c>
    </row>
    <row r="1142">
      <c r="A1142">
        <f>IF(ISBLANK('ENGAGEMENTS 2026'!C1142),"",IF('ENGAGEMENTS 2026'!C1142="DTSI","DCT",'ENGAGEMENTS 2026'!C1142))</f>
        <v/>
      </c>
      <c r="B1142">
        <f>IF(ISBLANK('ENGAGEMENTS 2026'!C1142),"",'ENGAGEMENTS 2026'!D1142)</f>
        <v/>
      </c>
      <c r="C1142">
        <f>IF(ISBLANK('ENGAGEMENTS 2026'!C1142),"",'ENGAGEMENTS 2026'!E1142)</f>
        <v/>
      </c>
      <c r="D1142">
        <f>IF(ISBLANK('ENGAGEMENTS 2026'!C1142),"",'ENGAGEMENTS 2026'!G1142)</f>
        <v/>
      </c>
      <c r="E1142">
        <f>IF(ISBLANK('ENGAGEMENTS 2026'!C1142),"",'ENGAGEMENTS 2026'!I1142)</f>
        <v/>
      </c>
      <c r="F1142">
        <f>IF(ISBLANK('ENGAGEMENTS 2026'!C1142),"",'ENGAGEMENTS 2026'!J1142)</f>
        <v/>
      </c>
      <c r="G1142">
        <f>IF(ISBLANK('ENGAGEMENTS 2026'!C1142),"",'ENGAGEMENTS 2026'!M1142)</f>
        <v/>
      </c>
      <c r="H1142">
        <f>IF(ISBLANK('ENGAGEMENTS 2026'!C1142),"",'ENGAGEMENTS 2026'!AF1142)</f>
        <v/>
      </c>
      <c r="I1142">
        <f>IF(ISBLANK('ENGAGEMENTS 2026'!C1142),"",'ENGAGEMENTS 2026'!H1142)</f>
        <v/>
      </c>
      <c r="J1142" s="275">
        <f>IF(ISBLANK('ENGAGEMENTS 2026'!C1142),"",IF(AND(OR($E1142="INFRUCTUEUX",$E1142="ANNULE"),$C1142="AOO-M"),'ENGAGEMENTS 2026'!P1142,IF($H1142="EN COURS DE PREENGAGEMENT",'ENGAGEMENTS 2026'!O1142,IF($H1142="PREENGAGE",IF($E1142="ATTRIBUE",'ENGAGEMENTS 2026'!AE1142,'ENGAGEMENTS 2026'!O1142),'ENGAGEMENTS 2026'!AE1142))))</f>
        <v/>
      </c>
      <c r="K1142" s="604">
        <f>IF(ISBLANK('ENGAGEMENTS 2026'!W1142),"",'ENGAGEMENTS 2026'!W1142)</f>
        <v/>
      </c>
      <c r="L1142" s="276">
        <f>IF($K1142="","",TODAY()-$K1142)</f>
        <v/>
      </c>
      <c r="M1142">
        <f>IF($A1142="","",IF($H1142="ENGAGE","Engagé",IF(AND($H1142="NON ENGAGE",OR($I1142="INFRUCTUEUX",$I1142="ANNULE")),"Clôturé sans suite","En cours")))</f>
        <v/>
      </c>
      <c r="N1142">
        <f>IF(ISBLANK('ENGAGEMENTS 2026'!C1142),"",'ENGAGEMENTS 2026'!L1142)</f>
        <v/>
      </c>
      <c r="O1142">
        <f>IF(ISBLANK('ENGAGEMENTS 2026'!C1142),"",'ENGAGEMENTS 2026'!M1142)</f>
        <v/>
      </c>
      <c r="P1142">
        <f>IF(ISBLANK('ENGAGEMENTS 2026'!C1142),"",'ENGAGEMENTS 2026'!K1142)</f>
        <v/>
      </c>
      <c r="Q1142">
        <f>IF($A1142="","",IF(OR($E1142="INFRUCTUEUX",$E1142="ANNULE"),$A1142&amp;"|"&amp;(COUNTIFS($A$2:$A1142,$A1142,$E$2:$E1142,"INFRUCTUEUX")+COUNTIFS($A$2:$A1142,$A1142,$E$2:$E1142,"ANNULE")),""))</f>
        <v/>
      </c>
    </row>
    <row r="1143">
      <c r="A1143">
        <f>IF(ISBLANK('ENGAGEMENTS 2026'!C1143),"",IF('ENGAGEMENTS 2026'!C1143="DTSI","DCT",'ENGAGEMENTS 2026'!C1143))</f>
        <v/>
      </c>
      <c r="B1143">
        <f>IF(ISBLANK('ENGAGEMENTS 2026'!C1143),"",'ENGAGEMENTS 2026'!D1143)</f>
        <v/>
      </c>
      <c r="C1143">
        <f>IF(ISBLANK('ENGAGEMENTS 2026'!C1143),"",'ENGAGEMENTS 2026'!E1143)</f>
        <v/>
      </c>
      <c r="D1143">
        <f>IF(ISBLANK('ENGAGEMENTS 2026'!C1143),"",'ENGAGEMENTS 2026'!G1143)</f>
        <v/>
      </c>
      <c r="E1143">
        <f>IF(ISBLANK('ENGAGEMENTS 2026'!C1143),"",'ENGAGEMENTS 2026'!I1143)</f>
        <v/>
      </c>
      <c r="F1143">
        <f>IF(ISBLANK('ENGAGEMENTS 2026'!C1143),"",'ENGAGEMENTS 2026'!J1143)</f>
        <v/>
      </c>
      <c r="G1143">
        <f>IF(ISBLANK('ENGAGEMENTS 2026'!C1143),"",'ENGAGEMENTS 2026'!M1143)</f>
        <v/>
      </c>
      <c r="H1143">
        <f>IF(ISBLANK('ENGAGEMENTS 2026'!C1143),"",'ENGAGEMENTS 2026'!AF1143)</f>
        <v/>
      </c>
      <c r="I1143">
        <f>IF(ISBLANK('ENGAGEMENTS 2026'!C1143),"",'ENGAGEMENTS 2026'!H1143)</f>
        <v/>
      </c>
      <c r="J1143" s="275">
        <f>IF(ISBLANK('ENGAGEMENTS 2026'!C1143),"",IF(AND(OR($E1143="INFRUCTUEUX",$E1143="ANNULE"),$C1143="AOO-M"),'ENGAGEMENTS 2026'!P1143,IF($H1143="EN COURS DE PREENGAGEMENT",'ENGAGEMENTS 2026'!O1143,IF($H1143="PREENGAGE",IF($E1143="ATTRIBUE",'ENGAGEMENTS 2026'!AE1143,'ENGAGEMENTS 2026'!O1143),'ENGAGEMENTS 2026'!AE1143))))</f>
        <v/>
      </c>
      <c r="K1143" s="604">
        <f>IF(ISBLANK('ENGAGEMENTS 2026'!W1143),"",'ENGAGEMENTS 2026'!W1143)</f>
        <v/>
      </c>
      <c r="L1143" s="276">
        <f>IF($K1143="","",TODAY()-$K1143)</f>
        <v/>
      </c>
      <c r="M1143">
        <f>IF($A1143="","",IF($H1143="ENGAGE","Engagé",IF(AND($H1143="NON ENGAGE",OR($I1143="INFRUCTUEUX",$I1143="ANNULE")),"Clôturé sans suite","En cours")))</f>
        <v/>
      </c>
      <c r="N1143">
        <f>IF(ISBLANK('ENGAGEMENTS 2026'!C1143),"",'ENGAGEMENTS 2026'!L1143)</f>
        <v/>
      </c>
      <c r="O1143">
        <f>IF(ISBLANK('ENGAGEMENTS 2026'!C1143),"",'ENGAGEMENTS 2026'!M1143)</f>
        <v/>
      </c>
      <c r="P1143">
        <f>IF(ISBLANK('ENGAGEMENTS 2026'!C1143),"",'ENGAGEMENTS 2026'!K1143)</f>
        <v/>
      </c>
      <c r="Q1143">
        <f>IF($A1143="","",IF(OR($E1143="INFRUCTUEUX",$E1143="ANNULE"),$A1143&amp;"|"&amp;(COUNTIFS($A$2:$A1143,$A1143,$E$2:$E1143,"INFRUCTUEUX")+COUNTIFS($A$2:$A1143,$A1143,$E$2:$E1143,"ANNULE")),""))</f>
        <v/>
      </c>
    </row>
    <row r="1144">
      <c r="A1144">
        <f>IF(ISBLANK('ENGAGEMENTS 2026'!C1144),"",IF('ENGAGEMENTS 2026'!C1144="DTSI","DCT",'ENGAGEMENTS 2026'!C1144))</f>
        <v/>
      </c>
      <c r="B1144">
        <f>IF(ISBLANK('ENGAGEMENTS 2026'!C1144),"",'ENGAGEMENTS 2026'!D1144)</f>
        <v/>
      </c>
      <c r="C1144">
        <f>IF(ISBLANK('ENGAGEMENTS 2026'!C1144),"",'ENGAGEMENTS 2026'!E1144)</f>
        <v/>
      </c>
      <c r="D1144">
        <f>IF(ISBLANK('ENGAGEMENTS 2026'!C1144),"",'ENGAGEMENTS 2026'!G1144)</f>
        <v/>
      </c>
      <c r="E1144">
        <f>IF(ISBLANK('ENGAGEMENTS 2026'!C1144),"",'ENGAGEMENTS 2026'!I1144)</f>
        <v/>
      </c>
      <c r="F1144">
        <f>IF(ISBLANK('ENGAGEMENTS 2026'!C1144),"",'ENGAGEMENTS 2026'!J1144)</f>
        <v/>
      </c>
      <c r="G1144">
        <f>IF(ISBLANK('ENGAGEMENTS 2026'!C1144),"",'ENGAGEMENTS 2026'!M1144)</f>
        <v/>
      </c>
      <c r="H1144">
        <f>IF(ISBLANK('ENGAGEMENTS 2026'!C1144),"",'ENGAGEMENTS 2026'!AF1144)</f>
        <v/>
      </c>
      <c r="I1144">
        <f>IF(ISBLANK('ENGAGEMENTS 2026'!C1144),"",'ENGAGEMENTS 2026'!H1144)</f>
        <v/>
      </c>
      <c r="J1144" s="275">
        <f>IF(ISBLANK('ENGAGEMENTS 2026'!C1144),"",IF(AND(OR($E1144="INFRUCTUEUX",$E1144="ANNULE"),$C1144="AOO-M"),'ENGAGEMENTS 2026'!P1144,IF($H1144="EN COURS DE PREENGAGEMENT",'ENGAGEMENTS 2026'!O1144,IF($H1144="PREENGAGE",IF($E1144="ATTRIBUE",'ENGAGEMENTS 2026'!AE1144,'ENGAGEMENTS 2026'!O1144),'ENGAGEMENTS 2026'!AE1144))))</f>
        <v/>
      </c>
      <c r="K1144" s="604">
        <f>IF(ISBLANK('ENGAGEMENTS 2026'!W1144),"",'ENGAGEMENTS 2026'!W1144)</f>
        <v/>
      </c>
      <c r="L1144" s="276">
        <f>IF($K1144="","",TODAY()-$K1144)</f>
        <v/>
      </c>
      <c r="M1144">
        <f>IF($A1144="","",IF($H1144="ENGAGE","Engagé",IF(AND($H1144="NON ENGAGE",OR($I1144="INFRUCTUEUX",$I1144="ANNULE")),"Clôturé sans suite","En cours")))</f>
        <v/>
      </c>
      <c r="N1144">
        <f>IF(ISBLANK('ENGAGEMENTS 2026'!C1144),"",'ENGAGEMENTS 2026'!L1144)</f>
        <v/>
      </c>
      <c r="O1144">
        <f>IF(ISBLANK('ENGAGEMENTS 2026'!C1144),"",'ENGAGEMENTS 2026'!M1144)</f>
        <v/>
      </c>
      <c r="P1144">
        <f>IF(ISBLANK('ENGAGEMENTS 2026'!C1144),"",'ENGAGEMENTS 2026'!K1144)</f>
        <v/>
      </c>
      <c r="Q1144">
        <f>IF($A1144="","",IF(OR($E1144="INFRUCTUEUX",$E1144="ANNULE"),$A1144&amp;"|"&amp;(COUNTIFS($A$2:$A1144,$A1144,$E$2:$E1144,"INFRUCTUEUX")+COUNTIFS($A$2:$A1144,$A1144,$E$2:$E1144,"ANNULE")),""))</f>
        <v/>
      </c>
    </row>
    <row r="1145">
      <c r="A1145">
        <f>IF(ISBLANK('ENGAGEMENTS 2026'!C1145),"",IF('ENGAGEMENTS 2026'!C1145="DTSI","DCT",'ENGAGEMENTS 2026'!C1145))</f>
        <v/>
      </c>
      <c r="B1145">
        <f>IF(ISBLANK('ENGAGEMENTS 2026'!C1145),"",'ENGAGEMENTS 2026'!D1145)</f>
        <v/>
      </c>
      <c r="C1145">
        <f>IF(ISBLANK('ENGAGEMENTS 2026'!C1145),"",'ENGAGEMENTS 2026'!E1145)</f>
        <v/>
      </c>
      <c r="D1145">
        <f>IF(ISBLANK('ENGAGEMENTS 2026'!C1145),"",'ENGAGEMENTS 2026'!G1145)</f>
        <v/>
      </c>
      <c r="E1145">
        <f>IF(ISBLANK('ENGAGEMENTS 2026'!C1145),"",'ENGAGEMENTS 2026'!I1145)</f>
        <v/>
      </c>
      <c r="F1145">
        <f>IF(ISBLANK('ENGAGEMENTS 2026'!C1145),"",'ENGAGEMENTS 2026'!J1145)</f>
        <v/>
      </c>
      <c r="G1145">
        <f>IF(ISBLANK('ENGAGEMENTS 2026'!C1145),"",'ENGAGEMENTS 2026'!M1145)</f>
        <v/>
      </c>
      <c r="H1145">
        <f>IF(ISBLANK('ENGAGEMENTS 2026'!C1145),"",'ENGAGEMENTS 2026'!AF1145)</f>
        <v/>
      </c>
      <c r="I1145">
        <f>IF(ISBLANK('ENGAGEMENTS 2026'!C1145),"",'ENGAGEMENTS 2026'!H1145)</f>
        <v/>
      </c>
      <c r="J1145" s="275">
        <f>IF(ISBLANK('ENGAGEMENTS 2026'!C1145),"",IF(AND(OR($E1145="INFRUCTUEUX",$E1145="ANNULE"),$C1145="AOO-M"),'ENGAGEMENTS 2026'!P1145,IF($H1145="EN COURS DE PREENGAGEMENT",'ENGAGEMENTS 2026'!O1145,IF($H1145="PREENGAGE",IF($E1145="ATTRIBUE",'ENGAGEMENTS 2026'!AE1145,'ENGAGEMENTS 2026'!O1145),'ENGAGEMENTS 2026'!AE1145))))</f>
        <v/>
      </c>
      <c r="K1145" s="604">
        <f>IF(ISBLANK('ENGAGEMENTS 2026'!W1145),"",'ENGAGEMENTS 2026'!W1145)</f>
        <v/>
      </c>
      <c r="L1145" s="276">
        <f>IF($K1145="","",TODAY()-$K1145)</f>
        <v/>
      </c>
      <c r="M1145">
        <f>IF($A1145="","",IF($H1145="ENGAGE","Engagé",IF(AND($H1145="NON ENGAGE",OR($I1145="INFRUCTUEUX",$I1145="ANNULE")),"Clôturé sans suite","En cours")))</f>
        <v/>
      </c>
      <c r="N1145">
        <f>IF(ISBLANK('ENGAGEMENTS 2026'!C1145),"",'ENGAGEMENTS 2026'!L1145)</f>
        <v/>
      </c>
      <c r="O1145">
        <f>IF(ISBLANK('ENGAGEMENTS 2026'!C1145),"",'ENGAGEMENTS 2026'!M1145)</f>
        <v/>
      </c>
      <c r="P1145">
        <f>IF(ISBLANK('ENGAGEMENTS 2026'!C1145),"",'ENGAGEMENTS 2026'!K1145)</f>
        <v/>
      </c>
      <c r="Q1145">
        <f>IF($A1145="","",IF(OR($E1145="INFRUCTUEUX",$E1145="ANNULE"),$A1145&amp;"|"&amp;(COUNTIFS($A$2:$A1145,$A1145,$E$2:$E1145,"INFRUCTUEUX")+COUNTIFS($A$2:$A1145,$A1145,$E$2:$E1145,"ANNULE")),""))</f>
        <v/>
      </c>
    </row>
    <row r="1146">
      <c r="A1146">
        <f>IF(ISBLANK('ENGAGEMENTS 2026'!C1146),"",IF('ENGAGEMENTS 2026'!C1146="DTSI","DCT",'ENGAGEMENTS 2026'!C1146))</f>
        <v/>
      </c>
      <c r="B1146">
        <f>IF(ISBLANK('ENGAGEMENTS 2026'!C1146),"",'ENGAGEMENTS 2026'!D1146)</f>
        <v/>
      </c>
      <c r="C1146">
        <f>IF(ISBLANK('ENGAGEMENTS 2026'!C1146),"",'ENGAGEMENTS 2026'!E1146)</f>
        <v/>
      </c>
      <c r="D1146">
        <f>IF(ISBLANK('ENGAGEMENTS 2026'!C1146),"",'ENGAGEMENTS 2026'!G1146)</f>
        <v/>
      </c>
      <c r="E1146">
        <f>IF(ISBLANK('ENGAGEMENTS 2026'!C1146),"",'ENGAGEMENTS 2026'!I1146)</f>
        <v/>
      </c>
      <c r="F1146">
        <f>IF(ISBLANK('ENGAGEMENTS 2026'!C1146),"",'ENGAGEMENTS 2026'!J1146)</f>
        <v/>
      </c>
      <c r="G1146">
        <f>IF(ISBLANK('ENGAGEMENTS 2026'!C1146),"",'ENGAGEMENTS 2026'!M1146)</f>
        <v/>
      </c>
      <c r="H1146">
        <f>IF(ISBLANK('ENGAGEMENTS 2026'!C1146),"",'ENGAGEMENTS 2026'!AF1146)</f>
        <v/>
      </c>
      <c r="I1146">
        <f>IF(ISBLANK('ENGAGEMENTS 2026'!C1146),"",'ENGAGEMENTS 2026'!H1146)</f>
        <v/>
      </c>
      <c r="J1146" s="275">
        <f>IF(ISBLANK('ENGAGEMENTS 2026'!C1146),"",IF(AND(OR($E1146="INFRUCTUEUX",$E1146="ANNULE"),$C1146="AOO-M"),'ENGAGEMENTS 2026'!P1146,IF($H1146="EN COURS DE PREENGAGEMENT",'ENGAGEMENTS 2026'!O1146,IF($H1146="PREENGAGE",IF($E1146="ATTRIBUE",'ENGAGEMENTS 2026'!AE1146,'ENGAGEMENTS 2026'!O1146),'ENGAGEMENTS 2026'!AE1146))))</f>
        <v/>
      </c>
      <c r="K1146" s="604">
        <f>IF(ISBLANK('ENGAGEMENTS 2026'!W1146),"",'ENGAGEMENTS 2026'!W1146)</f>
        <v/>
      </c>
      <c r="L1146" s="276">
        <f>IF($K1146="","",TODAY()-$K1146)</f>
        <v/>
      </c>
      <c r="M1146">
        <f>IF($A1146="","",IF($H1146="ENGAGE","Engagé",IF(AND($H1146="NON ENGAGE",OR($I1146="INFRUCTUEUX",$I1146="ANNULE")),"Clôturé sans suite","En cours")))</f>
        <v/>
      </c>
      <c r="N1146">
        <f>IF(ISBLANK('ENGAGEMENTS 2026'!C1146),"",'ENGAGEMENTS 2026'!L1146)</f>
        <v/>
      </c>
      <c r="O1146">
        <f>IF(ISBLANK('ENGAGEMENTS 2026'!C1146),"",'ENGAGEMENTS 2026'!M1146)</f>
        <v/>
      </c>
      <c r="P1146">
        <f>IF(ISBLANK('ENGAGEMENTS 2026'!C1146),"",'ENGAGEMENTS 2026'!K1146)</f>
        <v/>
      </c>
      <c r="Q1146">
        <f>IF($A1146="","",IF(OR($E1146="INFRUCTUEUX",$E1146="ANNULE"),$A1146&amp;"|"&amp;(COUNTIFS($A$2:$A1146,$A1146,$E$2:$E1146,"INFRUCTUEUX")+COUNTIFS($A$2:$A1146,$A1146,$E$2:$E1146,"ANNULE")),""))</f>
        <v/>
      </c>
    </row>
    <row r="1147">
      <c r="A1147">
        <f>IF(ISBLANK('ENGAGEMENTS 2026'!C1147),"",IF('ENGAGEMENTS 2026'!C1147="DTSI","DCT",'ENGAGEMENTS 2026'!C1147))</f>
        <v/>
      </c>
      <c r="B1147">
        <f>IF(ISBLANK('ENGAGEMENTS 2026'!C1147),"",'ENGAGEMENTS 2026'!D1147)</f>
        <v/>
      </c>
      <c r="C1147">
        <f>IF(ISBLANK('ENGAGEMENTS 2026'!C1147),"",'ENGAGEMENTS 2026'!E1147)</f>
        <v/>
      </c>
      <c r="D1147">
        <f>IF(ISBLANK('ENGAGEMENTS 2026'!C1147),"",'ENGAGEMENTS 2026'!G1147)</f>
        <v/>
      </c>
      <c r="E1147">
        <f>IF(ISBLANK('ENGAGEMENTS 2026'!C1147),"",'ENGAGEMENTS 2026'!I1147)</f>
        <v/>
      </c>
      <c r="F1147">
        <f>IF(ISBLANK('ENGAGEMENTS 2026'!C1147),"",'ENGAGEMENTS 2026'!J1147)</f>
        <v/>
      </c>
      <c r="G1147">
        <f>IF(ISBLANK('ENGAGEMENTS 2026'!C1147),"",'ENGAGEMENTS 2026'!M1147)</f>
        <v/>
      </c>
      <c r="H1147">
        <f>IF(ISBLANK('ENGAGEMENTS 2026'!C1147),"",'ENGAGEMENTS 2026'!AF1147)</f>
        <v/>
      </c>
      <c r="I1147">
        <f>IF(ISBLANK('ENGAGEMENTS 2026'!C1147),"",'ENGAGEMENTS 2026'!H1147)</f>
        <v/>
      </c>
      <c r="J1147" s="275">
        <f>IF(ISBLANK('ENGAGEMENTS 2026'!C1147),"",IF(AND(OR($E1147="INFRUCTUEUX",$E1147="ANNULE"),$C1147="AOO-M"),'ENGAGEMENTS 2026'!P1147,IF($H1147="EN COURS DE PREENGAGEMENT",'ENGAGEMENTS 2026'!O1147,IF($H1147="PREENGAGE",IF($E1147="ATTRIBUE",'ENGAGEMENTS 2026'!AE1147,'ENGAGEMENTS 2026'!O1147),'ENGAGEMENTS 2026'!AE1147))))</f>
        <v/>
      </c>
      <c r="K1147" s="604">
        <f>IF(ISBLANK('ENGAGEMENTS 2026'!W1147),"",'ENGAGEMENTS 2026'!W1147)</f>
        <v/>
      </c>
      <c r="L1147" s="276">
        <f>IF($K1147="","",TODAY()-$K1147)</f>
        <v/>
      </c>
      <c r="M1147">
        <f>IF($A1147="","",IF($H1147="ENGAGE","Engagé",IF(AND($H1147="NON ENGAGE",OR($I1147="INFRUCTUEUX",$I1147="ANNULE")),"Clôturé sans suite","En cours")))</f>
        <v/>
      </c>
      <c r="N1147">
        <f>IF(ISBLANK('ENGAGEMENTS 2026'!C1147),"",'ENGAGEMENTS 2026'!L1147)</f>
        <v/>
      </c>
      <c r="O1147">
        <f>IF(ISBLANK('ENGAGEMENTS 2026'!C1147),"",'ENGAGEMENTS 2026'!M1147)</f>
        <v/>
      </c>
      <c r="P1147">
        <f>IF(ISBLANK('ENGAGEMENTS 2026'!C1147),"",'ENGAGEMENTS 2026'!K1147)</f>
        <v/>
      </c>
      <c r="Q1147">
        <f>IF($A1147="","",IF(OR($E1147="INFRUCTUEUX",$E1147="ANNULE"),$A1147&amp;"|"&amp;(COUNTIFS($A$2:$A1147,$A1147,$E$2:$E1147,"INFRUCTUEUX")+COUNTIFS($A$2:$A1147,$A1147,$E$2:$E1147,"ANNULE")),""))</f>
        <v/>
      </c>
    </row>
    <row r="1148">
      <c r="A1148">
        <f>IF(ISBLANK('ENGAGEMENTS 2026'!C1148),"",IF('ENGAGEMENTS 2026'!C1148="DTSI","DCT",'ENGAGEMENTS 2026'!C1148))</f>
        <v/>
      </c>
      <c r="B1148">
        <f>IF(ISBLANK('ENGAGEMENTS 2026'!C1148),"",'ENGAGEMENTS 2026'!D1148)</f>
        <v/>
      </c>
      <c r="C1148">
        <f>IF(ISBLANK('ENGAGEMENTS 2026'!C1148),"",'ENGAGEMENTS 2026'!E1148)</f>
        <v/>
      </c>
      <c r="D1148">
        <f>IF(ISBLANK('ENGAGEMENTS 2026'!C1148),"",'ENGAGEMENTS 2026'!G1148)</f>
        <v/>
      </c>
      <c r="E1148">
        <f>IF(ISBLANK('ENGAGEMENTS 2026'!C1148),"",'ENGAGEMENTS 2026'!I1148)</f>
        <v/>
      </c>
      <c r="F1148">
        <f>IF(ISBLANK('ENGAGEMENTS 2026'!C1148),"",'ENGAGEMENTS 2026'!J1148)</f>
        <v/>
      </c>
      <c r="G1148">
        <f>IF(ISBLANK('ENGAGEMENTS 2026'!C1148),"",'ENGAGEMENTS 2026'!M1148)</f>
        <v/>
      </c>
      <c r="H1148">
        <f>IF(ISBLANK('ENGAGEMENTS 2026'!C1148),"",'ENGAGEMENTS 2026'!AF1148)</f>
        <v/>
      </c>
      <c r="I1148">
        <f>IF(ISBLANK('ENGAGEMENTS 2026'!C1148),"",'ENGAGEMENTS 2026'!H1148)</f>
        <v/>
      </c>
      <c r="J1148" s="275">
        <f>IF(ISBLANK('ENGAGEMENTS 2026'!C1148),"",IF(AND(OR($E1148="INFRUCTUEUX",$E1148="ANNULE"),$C1148="AOO-M"),'ENGAGEMENTS 2026'!P1148,IF($H1148="EN COURS DE PREENGAGEMENT",'ENGAGEMENTS 2026'!O1148,IF($H1148="PREENGAGE",IF($E1148="ATTRIBUE",'ENGAGEMENTS 2026'!AE1148,'ENGAGEMENTS 2026'!O1148),'ENGAGEMENTS 2026'!AE1148))))</f>
        <v/>
      </c>
      <c r="K1148" s="604">
        <f>IF(ISBLANK('ENGAGEMENTS 2026'!W1148),"",'ENGAGEMENTS 2026'!W1148)</f>
        <v/>
      </c>
      <c r="L1148" s="276">
        <f>IF($K1148="","",TODAY()-$K1148)</f>
        <v/>
      </c>
      <c r="M1148">
        <f>IF($A1148="","",IF($H1148="ENGAGE","Engagé",IF(AND($H1148="NON ENGAGE",OR($I1148="INFRUCTUEUX",$I1148="ANNULE")),"Clôturé sans suite","En cours")))</f>
        <v/>
      </c>
      <c r="N1148">
        <f>IF(ISBLANK('ENGAGEMENTS 2026'!C1148),"",'ENGAGEMENTS 2026'!L1148)</f>
        <v/>
      </c>
      <c r="O1148">
        <f>IF(ISBLANK('ENGAGEMENTS 2026'!C1148),"",'ENGAGEMENTS 2026'!M1148)</f>
        <v/>
      </c>
      <c r="P1148">
        <f>IF(ISBLANK('ENGAGEMENTS 2026'!C1148),"",'ENGAGEMENTS 2026'!K1148)</f>
        <v/>
      </c>
      <c r="Q1148">
        <f>IF($A1148="","",IF(OR($E1148="INFRUCTUEUX",$E1148="ANNULE"),$A1148&amp;"|"&amp;(COUNTIFS($A$2:$A1148,$A1148,$E$2:$E1148,"INFRUCTUEUX")+COUNTIFS($A$2:$A1148,$A1148,$E$2:$E1148,"ANNULE")),""))</f>
        <v/>
      </c>
    </row>
    <row r="1149">
      <c r="A1149">
        <f>IF(ISBLANK('ENGAGEMENTS 2026'!C1149),"",IF('ENGAGEMENTS 2026'!C1149="DTSI","DCT",'ENGAGEMENTS 2026'!C1149))</f>
        <v/>
      </c>
      <c r="B1149">
        <f>IF(ISBLANK('ENGAGEMENTS 2026'!C1149),"",'ENGAGEMENTS 2026'!D1149)</f>
        <v/>
      </c>
      <c r="C1149">
        <f>IF(ISBLANK('ENGAGEMENTS 2026'!C1149),"",'ENGAGEMENTS 2026'!E1149)</f>
        <v/>
      </c>
      <c r="D1149">
        <f>IF(ISBLANK('ENGAGEMENTS 2026'!C1149),"",'ENGAGEMENTS 2026'!G1149)</f>
        <v/>
      </c>
      <c r="E1149">
        <f>IF(ISBLANK('ENGAGEMENTS 2026'!C1149),"",'ENGAGEMENTS 2026'!I1149)</f>
        <v/>
      </c>
      <c r="F1149">
        <f>IF(ISBLANK('ENGAGEMENTS 2026'!C1149),"",'ENGAGEMENTS 2026'!J1149)</f>
        <v/>
      </c>
      <c r="G1149">
        <f>IF(ISBLANK('ENGAGEMENTS 2026'!C1149),"",'ENGAGEMENTS 2026'!M1149)</f>
        <v/>
      </c>
      <c r="H1149">
        <f>IF(ISBLANK('ENGAGEMENTS 2026'!C1149),"",'ENGAGEMENTS 2026'!AF1149)</f>
        <v/>
      </c>
      <c r="I1149">
        <f>IF(ISBLANK('ENGAGEMENTS 2026'!C1149),"",'ENGAGEMENTS 2026'!H1149)</f>
        <v/>
      </c>
      <c r="J1149" s="275">
        <f>IF(ISBLANK('ENGAGEMENTS 2026'!C1149),"",IF(AND(OR($E1149="INFRUCTUEUX",$E1149="ANNULE"),$C1149="AOO-M"),'ENGAGEMENTS 2026'!P1149,IF($H1149="EN COURS DE PREENGAGEMENT",'ENGAGEMENTS 2026'!O1149,IF($H1149="PREENGAGE",IF($E1149="ATTRIBUE",'ENGAGEMENTS 2026'!AE1149,'ENGAGEMENTS 2026'!O1149),'ENGAGEMENTS 2026'!AE1149))))</f>
        <v/>
      </c>
      <c r="K1149" s="604">
        <f>IF(ISBLANK('ENGAGEMENTS 2026'!W1149),"",'ENGAGEMENTS 2026'!W1149)</f>
        <v/>
      </c>
      <c r="L1149" s="276">
        <f>IF($K1149="","",TODAY()-$K1149)</f>
        <v/>
      </c>
      <c r="M1149">
        <f>IF($A1149="","",IF($H1149="ENGAGE","Engagé",IF(AND($H1149="NON ENGAGE",OR($I1149="INFRUCTUEUX",$I1149="ANNULE")),"Clôturé sans suite","En cours")))</f>
        <v/>
      </c>
      <c r="N1149">
        <f>IF(ISBLANK('ENGAGEMENTS 2026'!C1149),"",'ENGAGEMENTS 2026'!L1149)</f>
        <v/>
      </c>
      <c r="O1149">
        <f>IF(ISBLANK('ENGAGEMENTS 2026'!C1149),"",'ENGAGEMENTS 2026'!M1149)</f>
        <v/>
      </c>
      <c r="P1149">
        <f>IF(ISBLANK('ENGAGEMENTS 2026'!C1149),"",'ENGAGEMENTS 2026'!K1149)</f>
        <v/>
      </c>
      <c r="Q1149">
        <f>IF($A1149="","",IF(OR($E1149="INFRUCTUEUX",$E1149="ANNULE"),$A1149&amp;"|"&amp;(COUNTIFS($A$2:$A1149,$A1149,$E$2:$E1149,"INFRUCTUEUX")+COUNTIFS($A$2:$A1149,$A1149,$E$2:$E1149,"ANNULE")),""))</f>
        <v/>
      </c>
    </row>
    <row r="1150">
      <c r="A1150">
        <f>IF(ISBLANK('ENGAGEMENTS 2026'!C1150),"",IF('ENGAGEMENTS 2026'!C1150="DTSI","DCT",'ENGAGEMENTS 2026'!C1150))</f>
        <v/>
      </c>
      <c r="B1150">
        <f>IF(ISBLANK('ENGAGEMENTS 2026'!C1150),"",'ENGAGEMENTS 2026'!D1150)</f>
        <v/>
      </c>
      <c r="C1150">
        <f>IF(ISBLANK('ENGAGEMENTS 2026'!C1150),"",'ENGAGEMENTS 2026'!E1150)</f>
        <v/>
      </c>
      <c r="D1150">
        <f>IF(ISBLANK('ENGAGEMENTS 2026'!C1150),"",'ENGAGEMENTS 2026'!G1150)</f>
        <v/>
      </c>
      <c r="E1150">
        <f>IF(ISBLANK('ENGAGEMENTS 2026'!C1150),"",'ENGAGEMENTS 2026'!I1150)</f>
        <v/>
      </c>
      <c r="F1150">
        <f>IF(ISBLANK('ENGAGEMENTS 2026'!C1150),"",'ENGAGEMENTS 2026'!J1150)</f>
        <v/>
      </c>
      <c r="G1150">
        <f>IF(ISBLANK('ENGAGEMENTS 2026'!C1150),"",'ENGAGEMENTS 2026'!M1150)</f>
        <v/>
      </c>
      <c r="H1150">
        <f>IF(ISBLANK('ENGAGEMENTS 2026'!C1150),"",'ENGAGEMENTS 2026'!AF1150)</f>
        <v/>
      </c>
      <c r="I1150">
        <f>IF(ISBLANK('ENGAGEMENTS 2026'!C1150),"",'ENGAGEMENTS 2026'!H1150)</f>
        <v/>
      </c>
      <c r="J1150" s="275">
        <f>IF(ISBLANK('ENGAGEMENTS 2026'!C1150),"",IF(AND(OR($E1150="INFRUCTUEUX",$E1150="ANNULE"),$C1150="AOO-M"),'ENGAGEMENTS 2026'!P1150,IF($H1150="EN COURS DE PREENGAGEMENT",'ENGAGEMENTS 2026'!O1150,IF($H1150="PREENGAGE",IF($E1150="ATTRIBUE",'ENGAGEMENTS 2026'!AE1150,'ENGAGEMENTS 2026'!O1150),'ENGAGEMENTS 2026'!AE1150))))</f>
        <v/>
      </c>
      <c r="K1150" s="604">
        <f>IF(ISBLANK('ENGAGEMENTS 2026'!W1150),"",'ENGAGEMENTS 2026'!W1150)</f>
        <v/>
      </c>
      <c r="L1150" s="276">
        <f>IF($K1150="","",TODAY()-$K1150)</f>
        <v/>
      </c>
      <c r="M1150">
        <f>IF($A1150="","",IF($H1150="ENGAGE","Engagé",IF(AND($H1150="NON ENGAGE",OR($I1150="INFRUCTUEUX",$I1150="ANNULE")),"Clôturé sans suite","En cours")))</f>
        <v/>
      </c>
      <c r="N1150">
        <f>IF(ISBLANK('ENGAGEMENTS 2026'!C1150),"",'ENGAGEMENTS 2026'!L1150)</f>
        <v/>
      </c>
      <c r="O1150">
        <f>IF(ISBLANK('ENGAGEMENTS 2026'!C1150),"",'ENGAGEMENTS 2026'!M1150)</f>
        <v/>
      </c>
      <c r="P1150">
        <f>IF(ISBLANK('ENGAGEMENTS 2026'!C1150),"",'ENGAGEMENTS 2026'!K1150)</f>
        <v/>
      </c>
      <c r="Q1150">
        <f>IF($A1150="","",IF(OR($E1150="INFRUCTUEUX",$E1150="ANNULE"),$A1150&amp;"|"&amp;(COUNTIFS($A$2:$A1150,$A1150,$E$2:$E1150,"INFRUCTUEUX")+COUNTIFS($A$2:$A1150,$A1150,$E$2:$E1150,"ANNULE")),""))</f>
        <v/>
      </c>
    </row>
    <row r="1151">
      <c r="A1151">
        <f>IF(ISBLANK('ENGAGEMENTS 2026'!C1151),"",IF('ENGAGEMENTS 2026'!C1151="DTSI","DCT",'ENGAGEMENTS 2026'!C1151))</f>
        <v/>
      </c>
      <c r="B1151">
        <f>IF(ISBLANK('ENGAGEMENTS 2026'!C1151),"",'ENGAGEMENTS 2026'!D1151)</f>
        <v/>
      </c>
      <c r="C1151">
        <f>IF(ISBLANK('ENGAGEMENTS 2026'!C1151),"",'ENGAGEMENTS 2026'!E1151)</f>
        <v/>
      </c>
      <c r="D1151">
        <f>IF(ISBLANK('ENGAGEMENTS 2026'!C1151),"",'ENGAGEMENTS 2026'!G1151)</f>
        <v/>
      </c>
      <c r="E1151">
        <f>IF(ISBLANK('ENGAGEMENTS 2026'!C1151),"",'ENGAGEMENTS 2026'!I1151)</f>
        <v/>
      </c>
      <c r="F1151">
        <f>IF(ISBLANK('ENGAGEMENTS 2026'!C1151),"",'ENGAGEMENTS 2026'!J1151)</f>
        <v/>
      </c>
      <c r="G1151">
        <f>IF(ISBLANK('ENGAGEMENTS 2026'!C1151),"",'ENGAGEMENTS 2026'!M1151)</f>
        <v/>
      </c>
      <c r="H1151">
        <f>IF(ISBLANK('ENGAGEMENTS 2026'!C1151),"",'ENGAGEMENTS 2026'!AF1151)</f>
        <v/>
      </c>
      <c r="I1151">
        <f>IF(ISBLANK('ENGAGEMENTS 2026'!C1151),"",'ENGAGEMENTS 2026'!H1151)</f>
        <v/>
      </c>
      <c r="J1151" s="275">
        <f>IF(ISBLANK('ENGAGEMENTS 2026'!C1151),"",IF(AND(OR($E1151="INFRUCTUEUX",$E1151="ANNULE"),$C1151="AOO-M"),'ENGAGEMENTS 2026'!P1151,IF($H1151="EN COURS DE PREENGAGEMENT",'ENGAGEMENTS 2026'!O1151,IF($H1151="PREENGAGE",IF($E1151="ATTRIBUE",'ENGAGEMENTS 2026'!AE1151,'ENGAGEMENTS 2026'!O1151),'ENGAGEMENTS 2026'!AE1151))))</f>
        <v/>
      </c>
      <c r="K1151" s="604">
        <f>IF(ISBLANK('ENGAGEMENTS 2026'!W1151),"",'ENGAGEMENTS 2026'!W1151)</f>
        <v/>
      </c>
      <c r="L1151" s="276">
        <f>IF($K1151="","",TODAY()-$K1151)</f>
        <v/>
      </c>
      <c r="M1151">
        <f>IF($A1151="","",IF($H1151="ENGAGE","Engagé",IF(AND($H1151="NON ENGAGE",OR($I1151="INFRUCTUEUX",$I1151="ANNULE")),"Clôturé sans suite","En cours")))</f>
        <v/>
      </c>
      <c r="N1151">
        <f>IF(ISBLANK('ENGAGEMENTS 2026'!C1151),"",'ENGAGEMENTS 2026'!L1151)</f>
        <v/>
      </c>
      <c r="O1151">
        <f>IF(ISBLANK('ENGAGEMENTS 2026'!C1151),"",'ENGAGEMENTS 2026'!M1151)</f>
        <v/>
      </c>
      <c r="P1151">
        <f>IF(ISBLANK('ENGAGEMENTS 2026'!C1151),"",'ENGAGEMENTS 2026'!K1151)</f>
        <v/>
      </c>
      <c r="Q1151">
        <f>IF($A1151="","",IF(OR($E1151="INFRUCTUEUX",$E1151="ANNULE"),$A1151&amp;"|"&amp;(COUNTIFS($A$2:$A1151,$A1151,$E$2:$E1151,"INFRUCTUEUX")+COUNTIFS($A$2:$A1151,$A1151,$E$2:$E1151,"ANNULE")),""))</f>
        <v/>
      </c>
    </row>
    <row r="1152">
      <c r="A1152">
        <f>IF(ISBLANK('ENGAGEMENTS 2026'!C1152),"",IF('ENGAGEMENTS 2026'!C1152="DTSI","DCT",'ENGAGEMENTS 2026'!C1152))</f>
        <v/>
      </c>
      <c r="B1152">
        <f>IF(ISBLANK('ENGAGEMENTS 2026'!C1152),"",'ENGAGEMENTS 2026'!D1152)</f>
        <v/>
      </c>
      <c r="C1152">
        <f>IF(ISBLANK('ENGAGEMENTS 2026'!C1152),"",'ENGAGEMENTS 2026'!E1152)</f>
        <v/>
      </c>
      <c r="D1152">
        <f>IF(ISBLANK('ENGAGEMENTS 2026'!C1152),"",'ENGAGEMENTS 2026'!G1152)</f>
        <v/>
      </c>
      <c r="E1152">
        <f>IF(ISBLANK('ENGAGEMENTS 2026'!C1152),"",'ENGAGEMENTS 2026'!I1152)</f>
        <v/>
      </c>
      <c r="F1152">
        <f>IF(ISBLANK('ENGAGEMENTS 2026'!C1152),"",'ENGAGEMENTS 2026'!J1152)</f>
        <v/>
      </c>
      <c r="G1152">
        <f>IF(ISBLANK('ENGAGEMENTS 2026'!C1152),"",'ENGAGEMENTS 2026'!M1152)</f>
        <v/>
      </c>
      <c r="H1152">
        <f>IF(ISBLANK('ENGAGEMENTS 2026'!C1152),"",'ENGAGEMENTS 2026'!AF1152)</f>
        <v/>
      </c>
      <c r="I1152">
        <f>IF(ISBLANK('ENGAGEMENTS 2026'!C1152),"",'ENGAGEMENTS 2026'!H1152)</f>
        <v/>
      </c>
      <c r="J1152" s="275">
        <f>IF(ISBLANK('ENGAGEMENTS 2026'!C1152),"",IF(AND(OR($E1152="INFRUCTUEUX",$E1152="ANNULE"),$C1152="AOO-M"),'ENGAGEMENTS 2026'!P1152,IF($H1152="EN COURS DE PREENGAGEMENT",'ENGAGEMENTS 2026'!O1152,IF($H1152="PREENGAGE",IF($E1152="ATTRIBUE",'ENGAGEMENTS 2026'!AE1152,'ENGAGEMENTS 2026'!O1152),'ENGAGEMENTS 2026'!AE1152))))</f>
        <v/>
      </c>
      <c r="K1152" s="604">
        <f>IF(ISBLANK('ENGAGEMENTS 2026'!W1152),"",'ENGAGEMENTS 2026'!W1152)</f>
        <v/>
      </c>
      <c r="L1152" s="276">
        <f>IF($K1152="","",TODAY()-$K1152)</f>
        <v/>
      </c>
      <c r="M1152">
        <f>IF($A1152="","",IF($H1152="ENGAGE","Engagé",IF(AND($H1152="NON ENGAGE",OR($I1152="INFRUCTUEUX",$I1152="ANNULE")),"Clôturé sans suite","En cours")))</f>
        <v/>
      </c>
      <c r="N1152">
        <f>IF(ISBLANK('ENGAGEMENTS 2026'!C1152),"",'ENGAGEMENTS 2026'!L1152)</f>
        <v/>
      </c>
      <c r="O1152">
        <f>IF(ISBLANK('ENGAGEMENTS 2026'!C1152),"",'ENGAGEMENTS 2026'!M1152)</f>
        <v/>
      </c>
      <c r="P1152">
        <f>IF(ISBLANK('ENGAGEMENTS 2026'!C1152),"",'ENGAGEMENTS 2026'!K1152)</f>
        <v/>
      </c>
      <c r="Q1152">
        <f>IF($A1152="","",IF(OR($E1152="INFRUCTUEUX",$E1152="ANNULE"),$A1152&amp;"|"&amp;(COUNTIFS($A$2:$A1152,$A1152,$E$2:$E1152,"INFRUCTUEUX")+COUNTIFS($A$2:$A1152,$A1152,$E$2:$E1152,"ANNULE")),""))</f>
        <v/>
      </c>
    </row>
    <row r="1153">
      <c r="A1153">
        <f>IF(ISBLANK('ENGAGEMENTS 2026'!C1153),"",IF('ENGAGEMENTS 2026'!C1153="DTSI","DCT",'ENGAGEMENTS 2026'!C1153))</f>
        <v/>
      </c>
      <c r="B1153">
        <f>IF(ISBLANK('ENGAGEMENTS 2026'!C1153),"",'ENGAGEMENTS 2026'!D1153)</f>
        <v/>
      </c>
      <c r="C1153">
        <f>IF(ISBLANK('ENGAGEMENTS 2026'!C1153),"",'ENGAGEMENTS 2026'!E1153)</f>
        <v/>
      </c>
      <c r="D1153">
        <f>IF(ISBLANK('ENGAGEMENTS 2026'!C1153),"",'ENGAGEMENTS 2026'!G1153)</f>
        <v/>
      </c>
      <c r="E1153">
        <f>IF(ISBLANK('ENGAGEMENTS 2026'!C1153),"",'ENGAGEMENTS 2026'!I1153)</f>
        <v/>
      </c>
      <c r="F1153">
        <f>IF(ISBLANK('ENGAGEMENTS 2026'!C1153),"",'ENGAGEMENTS 2026'!J1153)</f>
        <v/>
      </c>
      <c r="G1153">
        <f>IF(ISBLANK('ENGAGEMENTS 2026'!C1153),"",'ENGAGEMENTS 2026'!M1153)</f>
        <v/>
      </c>
      <c r="H1153">
        <f>IF(ISBLANK('ENGAGEMENTS 2026'!C1153),"",'ENGAGEMENTS 2026'!AF1153)</f>
        <v/>
      </c>
      <c r="I1153">
        <f>IF(ISBLANK('ENGAGEMENTS 2026'!C1153),"",'ENGAGEMENTS 2026'!H1153)</f>
        <v/>
      </c>
      <c r="J1153" s="275">
        <f>IF(ISBLANK('ENGAGEMENTS 2026'!C1153),"",IF(AND(OR($E1153="INFRUCTUEUX",$E1153="ANNULE"),$C1153="AOO-M"),'ENGAGEMENTS 2026'!P1153,IF($H1153="EN COURS DE PREENGAGEMENT",'ENGAGEMENTS 2026'!O1153,IF($H1153="PREENGAGE",IF($E1153="ATTRIBUE",'ENGAGEMENTS 2026'!AE1153,'ENGAGEMENTS 2026'!O1153),'ENGAGEMENTS 2026'!AE1153))))</f>
        <v/>
      </c>
      <c r="K1153" s="604">
        <f>IF(ISBLANK('ENGAGEMENTS 2026'!W1153),"",'ENGAGEMENTS 2026'!W1153)</f>
        <v/>
      </c>
      <c r="L1153" s="276">
        <f>IF($K1153="","",TODAY()-$K1153)</f>
        <v/>
      </c>
      <c r="M1153">
        <f>IF($A1153="","",IF($H1153="ENGAGE","Engagé",IF(AND($H1153="NON ENGAGE",OR($I1153="INFRUCTUEUX",$I1153="ANNULE")),"Clôturé sans suite","En cours")))</f>
        <v/>
      </c>
      <c r="N1153">
        <f>IF(ISBLANK('ENGAGEMENTS 2026'!C1153),"",'ENGAGEMENTS 2026'!L1153)</f>
        <v/>
      </c>
      <c r="O1153">
        <f>IF(ISBLANK('ENGAGEMENTS 2026'!C1153),"",'ENGAGEMENTS 2026'!M1153)</f>
        <v/>
      </c>
      <c r="P1153">
        <f>IF(ISBLANK('ENGAGEMENTS 2026'!C1153),"",'ENGAGEMENTS 2026'!K1153)</f>
        <v/>
      </c>
      <c r="Q1153">
        <f>IF($A1153="","",IF(OR($E1153="INFRUCTUEUX",$E1153="ANNULE"),$A1153&amp;"|"&amp;(COUNTIFS($A$2:$A1153,$A1153,$E$2:$E1153,"INFRUCTUEUX")+COUNTIFS($A$2:$A1153,$A1153,$E$2:$E1153,"ANNULE")),""))</f>
        <v/>
      </c>
    </row>
    <row r="1154">
      <c r="A1154">
        <f>IF(ISBLANK('ENGAGEMENTS 2026'!C1154),"",IF('ENGAGEMENTS 2026'!C1154="DTSI","DCT",'ENGAGEMENTS 2026'!C1154))</f>
        <v/>
      </c>
      <c r="B1154">
        <f>IF(ISBLANK('ENGAGEMENTS 2026'!C1154),"",'ENGAGEMENTS 2026'!D1154)</f>
        <v/>
      </c>
      <c r="C1154">
        <f>IF(ISBLANK('ENGAGEMENTS 2026'!C1154),"",'ENGAGEMENTS 2026'!E1154)</f>
        <v/>
      </c>
      <c r="D1154">
        <f>IF(ISBLANK('ENGAGEMENTS 2026'!C1154),"",'ENGAGEMENTS 2026'!G1154)</f>
        <v/>
      </c>
      <c r="E1154">
        <f>IF(ISBLANK('ENGAGEMENTS 2026'!C1154),"",'ENGAGEMENTS 2026'!I1154)</f>
        <v/>
      </c>
      <c r="F1154">
        <f>IF(ISBLANK('ENGAGEMENTS 2026'!C1154),"",'ENGAGEMENTS 2026'!J1154)</f>
        <v/>
      </c>
      <c r="G1154">
        <f>IF(ISBLANK('ENGAGEMENTS 2026'!C1154),"",'ENGAGEMENTS 2026'!M1154)</f>
        <v/>
      </c>
      <c r="H1154">
        <f>IF(ISBLANK('ENGAGEMENTS 2026'!C1154),"",'ENGAGEMENTS 2026'!AF1154)</f>
        <v/>
      </c>
      <c r="I1154">
        <f>IF(ISBLANK('ENGAGEMENTS 2026'!C1154),"",'ENGAGEMENTS 2026'!H1154)</f>
        <v/>
      </c>
      <c r="J1154" s="275">
        <f>IF(ISBLANK('ENGAGEMENTS 2026'!C1154),"",IF(AND(OR($E1154="INFRUCTUEUX",$E1154="ANNULE"),$C1154="AOO-M"),'ENGAGEMENTS 2026'!P1154,IF($H1154="EN COURS DE PREENGAGEMENT",'ENGAGEMENTS 2026'!O1154,IF($H1154="PREENGAGE",IF($E1154="ATTRIBUE",'ENGAGEMENTS 2026'!AE1154,'ENGAGEMENTS 2026'!O1154),'ENGAGEMENTS 2026'!AE1154))))</f>
        <v/>
      </c>
      <c r="K1154" s="604">
        <f>IF(ISBLANK('ENGAGEMENTS 2026'!W1154),"",'ENGAGEMENTS 2026'!W1154)</f>
        <v/>
      </c>
      <c r="L1154" s="276">
        <f>IF($K1154="","",TODAY()-$K1154)</f>
        <v/>
      </c>
      <c r="M1154">
        <f>IF($A1154="","",IF($H1154="ENGAGE","Engagé",IF(AND($H1154="NON ENGAGE",OR($I1154="INFRUCTUEUX",$I1154="ANNULE")),"Clôturé sans suite","En cours")))</f>
        <v/>
      </c>
      <c r="N1154">
        <f>IF(ISBLANK('ENGAGEMENTS 2026'!C1154),"",'ENGAGEMENTS 2026'!L1154)</f>
        <v/>
      </c>
      <c r="O1154">
        <f>IF(ISBLANK('ENGAGEMENTS 2026'!C1154),"",'ENGAGEMENTS 2026'!M1154)</f>
        <v/>
      </c>
      <c r="P1154">
        <f>IF(ISBLANK('ENGAGEMENTS 2026'!C1154),"",'ENGAGEMENTS 2026'!K1154)</f>
        <v/>
      </c>
      <c r="Q1154">
        <f>IF($A1154="","",IF(OR($E1154="INFRUCTUEUX",$E1154="ANNULE"),$A1154&amp;"|"&amp;(COUNTIFS($A$2:$A1154,$A1154,$E$2:$E1154,"INFRUCTUEUX")+COUNTIFS($A$2:$A1154,$A1154,$E$2:$E1154,"ANNULE")),""))</f>
        <v/>
      </c>
    </row>
    <row r="1155">
      <c r="A1155">
        <f>IF(ISBLANK('ENGAGEMENTS 2026'!C1155),"",IF('ENGAGEMENTS 2026'!C1155="DTSI","DCT",'ENGAGEMENTS 2026'!C1155))</f>
        <v/>
      </c>
      <c r="B1155">
        <f>IF(ISBLANK('ENGAGEMENTS 2026'!C1155),"",'ENGAGEMENTS 2026'!D1155)</f>
        <v/>
      </c>
      <c r="C1155">
        <f>IF(ISBLANK('ENGAGEMENTS 2026'!C1155),"",'ENGAGEMENTS 2026'!E1155)</f>
        <v/>
      </c>
      <c r="D1155">
        <f>IF(ISBLANK('ENGAGEMENTS 2026'!C1155),"",'ENGAGEMENTS 2026'!G1155)</f>
        <v/>
      </c>
      <c r="E1155">
        <f>IF(ISBLANK('ENGAGEMENTS 2026'!C1155),"",'ENGAGEMENTS 2026'!I1155)</f>
        <v/>
      </c>
      <c r="F1155">
        <f>IF(ISBLANK('ENGAGEMENTS 2026'!C1155),"",'ENGAGEMENTS 2026'!J1155)</f>
        <v/>
      </c>
      <c r="G1155">
        <f>IF(ISBLANK('ENGAGEMENTS 2026'!C1155),"",'ENGAGEMENTS 2026'!M1155)</f>
        <v/>
      </c>
      <c r="H1155">
        <f>IF(ISBLANK('ENGAGEMENTS 2026'!C1155),"",'ENGAGEMENTS 2026'!AF1155)</f>
        <v/>
      </c>
      <c r="I1155">
        <f>IF(ISBLANK('ENGAGEMENTS 2026'!C1155),"",'ENGAGEMENTS 2026'!H1155)</f>
        <v/>
      </c>
      <c r="J1155" s="275">
        <f>IF(ISBLANK('ENGAGEMENTS 2026'!C1155),"",IF(AND(OR($E1155="INFRUCTUEUX",$E1155="ANNULE"),$C1155="AOO-M"),'ENGAGEMENTS 2026'!P1155,IF($H1155="EN COURS DE PREENGAGEMENT",'ENGAGEMENTS 2026'!O1155,IF($H1155="PREENGAGE",IF($E1155="ATTRIBUE",'ENGAGEMENTS 2026'!AE1155,'ENGAGEMENTS 2026'!O1155),'ENGAGEMENTS 2026'!AE1155))))</f>
        <v/>
      </c>
      <c r="K1155" s="604">
        <f>IF(ISBLANK('ENGAGEMENTS 2026'!W1155),"",'ENGAGEMENTS 2026'!W1155)</f>
        <v/>
      </c>
      <c r="L1155" s="276">
        <f>IF($K1155="","",TODAY()-$K1155)</f>
        <v/>
      </c>
      <c r="M1155">
        <f>IF($A1155="","",IF($H1155="ENGAGE","Engagé",IF(AND($H1155="NON ENGAGE",OR($I1155="INFRUCTUEUX",$I1155="ANNULE")),"Clôturé sans suite","En cours")))</f>
        <v/>
      </c>
      <c r="N1155">
        <f>IF(ISBLANK('ENGAGEMENTS 2026'!C1155),"",'ENGAGEMENTS 2026'!L1155)</f>
        <v/>
      </c>
      <c r="O1155">
        <f>IF(ISBLANK('ENGAGEMENTS 2026'!C1155),"",'ENGAGEMENTS 2026'!M1155)</f>
        <v/>
      </c>
      <c r="P1155">
        <f>IF(ISBLANK('ENGAGEMENTS 2026'!C1155),"",'ENGAGEMENTS 2026'!K1155)</f>
        <v/>
      </c>
      <c r="Q1155">
        <f>IF($A1155="","",IF(OR($E1155="INFRUCTUEUX",$E1155="ANNULE"),$A1155&amp;"|"&amp;(COUNTIFS($A$2:$A1155,$A1155,$E$2:$E1155,"INFRUCTUEUX")+COUNTIFS($A$2:$A1155,$A1155,$E$2:$E1155,"ANNULE")),""))</f>
        <v/>
      </c>
    </row>
    <row r="1156">
      <c r="A1156">
        <f>IF(ISBLANK('ENGAGEMENTS 2026'!C1156),"",IF('ENGAGEMENTS 2026'!C1156="DTSI","DCT",'ENGAGEMENTS 2026'!C1156))</f>
        <v/>
      </c>
      <c r="B1156">
        <f>IF(ISBLANK('ENGAGEMENTS 2026'!C1156),"",'ENGAGEMENTS 2026'!D1156)</f>
        <v/>
      </c>
      <c r="C1156">
        <f>IF(ISBLANK('ENGAGEMENTS 2026'!C1156),"",'ENGAGEMENTS 2026'!E1156)</f>
        <v/>
      </c>
      <c r="D1156">
        <f>IF(ISBLANK('ENGAGEMENTS 2026'!C1156),"",'ENGAGEMENTS 2026'!G1156)</f>
        <v/>
      </c>
      <c r="E1156">
        <f>IF(ISBLANK('ENGAGEMENTS 2026'!C1156),"",'ENGAGEMENTS 2026'!I1156)</f>
        <v/>
      </c>
      <c r="F1156">
        <f>IF(ISBLANK('ENGAGEMENTS 2026'!C1156),"",'ENGAGEMENTS 2026'!J1156)</f>
        <v/>
      </c>
      <c r="G1156">
        <f>IF(ISBLANK('ENGAGEMENTS 2026'!C1156),"",'ENGAGEMENTS 2026'!M1156)</f>
        <v/>
      </c>
      <c r="H1156">
        <f>IF(ISBLANK('ENGAGEMENTS 2026'!C1156),"",'ENGAGEMENTS 2026'!AF1156)</f>
        <v/>
      </c>
      <c r="I1156">
        <f>IF(ISBLANK('ENGAGEMENTS 2026'!C1156),"",'ENGAGEMENTS 2026'!H1156)</f>
        <v/>
      </c>
      <c r="J1156" s="275">
        <f>IF(ISBLANK('ENGAGEMENTS 2026'!C1156),"",IF(AND(OR($E1156="INFRUCTUEUX",$E1156="ANNULE"),$C1156="AOO-M"),'ENGAGEMENTS 2026'!P1156,IF($H1156="EN COURS DE PREENGAGEMENT",'ENGAGEMENTS 2026'!O1156,IF($H1156="PREENGAGE",IF($E1156="ATTRIBUE",'ENGAGEMENTS 2026'!AE1156,'ENGAGEMENTS 2026'!O1156),'ENGAGEMENTS 2026'!AE1156))))</f>
        <v/>
      </c>
      <c r="K1156" s="604">
        <f>IF(ISBLANK('ENGAGEMENTS 2026'!W1156),"",'ENGAGEMENTS 2026'!W1156)</f>
        <v/>
      </c>
      <c r="L1156" s="276">
        <f>IF($K1156="","",TODAY()-$K1156)</f>
        <v/>
      </c>
      <c r="M1156">
        <f>IF($A1156="","",IF($H1156="ENGAGE","Engagé",IF(AND($H1156="NON ENGAGE",OR($I1156="INFRUCTUEUX",$I1156="ANNULE")),"Clôturé sans suite","En cours")))</f>
        <v/>
      </c>
      <c r="N1156">
        <f>IF(ISBLANK('ENGAGEMENTS 2026'!C1156),"",'ENGAGEMENTS 2026'!L1156)</f>
        <v/>
      </c>
      <c r="O1156">
        <f>IF(ISBLANK('ENGAGEMENTS 2026'!C1156),"",'ENGAGEMENTS 2026'!M1156)</f>
        <v/>
      </c>
      <c r="P1156">
        <f>IF(ISBLANK('ENGAGEMENTS 2026'!C1156),"",'ENGAGEMENTS 2026'!K1156)</f>
        <v/>
      </c>
      <c r="Q1156">
        <f>IF($A1156="","",IF(OR($E1156="INFRUCTUEUX",$E1156="ANNULE"),$A1156&amp;"|"&amp;(COUNTIFS($A$2:$A1156,$A1156,$E$2:$E1156,"INFRUCTUEUX")+COUNTIFS($A$2:$A1156,$A1156,$E$2:$E1156,"ANNULE")),""))</f>
        <v/>
      </c>
    </row>
    <row r="1157">
      <c r="A1157">
        <f>IF(ISBLANK('ENGAGEMENTS 2026'!C1157),"",IF('ENGAGEMENTS 2026'!C1157="DTSI","DCT",'ENGAGEMENTS 2026'!C1157))</f>
        <v/>
      </c>
      <c r="B1157">
        <f>IF(ISBLANK('ENGAGEMENTS 2026'!C1157),"",'ENGAGEMENTS 2026'!D1157)</f>
        <v/>
      </c>
      <c r="C1157">
        <f>IF(ISBLANK('ENGAGEMENTS 2026'!C1157),"",'ENGAGEMENTS 2026'!E1157)</f>
        <v/>
      </c>
      <c r="D1157">
        <f>IF(ISBLANK('ENGAGEMENTS 2026'!C1157),"",'ENGAGEMENTS 2026'!G1157)</f>
        <v/>
      </c>
      <c r="E1157">
        <f>IF(ISBLANK('ENGAGEMENTS 2026'!C1157),"",'ENGAGEMENTS 2026'!I1157)</f>
        <v/>
      </c>
      <c r="F1157">
        <f>IF(ISBLANK('ENGAGEMENTS 2026'!C1157),"",'ENGAGEMENTS 2026'!J1157)</f>
        <v/>
      </c>
      <c r="G1157">
        <f>IF(ISBLANK('ENGAGEMENTS 2026'!C1157),"",'ENGAGEMENTS 2026'!M1157)</f>
        <v/>
      </c>
      <c r="H1157">
        <f>IF(ISBLANK('ENGAGEMENTS 2026'!C1157),"",'ENGAGEMENTS 2026'!AF1157)</f>
        <v/>
      </c>
      <c r="I1157">
        <f>IF(ISBLANK('ENGAGEMENTS 2026'!C1157),"",'ENGAGEMENTS 2026'!H1157)</f>
        <v/>
      </c>
      <c r="J1157" s="275">
        <f>IF(ISBLANK('ENGAGEMENTS 2026'!C1157),"",IF(AND(OR($E1157="INFRUCTUEUX",$E1157="ANNULE"),$C1157="AOO-M"),'ENGAGEMENTS 2026'!P1157,IF($H1157="EN COURS DE PREENGAGEMENT",'ENGAGEMENTS 2026'!O1157,IF($H1157="PREENGAGE",IF($E1157="ATTRIBUE",'ENGAGEMENTS 2026'!AE1157,'ENGAGEMENTS 2026'!O1157),'ENGAGEMENTS 2026'!AE1157))))</f>
        <v/>
      </c>
      <c r="K1157" s="604">
        <f>IF(ISBLANK('ENGAGEMENTS 2026'!W1157),"",'ENGAGEMENTS 2026'!W1157)</f>
        <v/>
      </c>
      <c r="L1157" s="276">
        <f>IF($K1157="","",TODAY()-$K1157)</f>
        <v/>
      </c>
      <c r="M1157">
        <f>IF($A1157="","",IF($H1157="ENGAGE","Engagé",IF(AND($H1157="NON ENGAGE",OR($I1157="INFRUCTUEUX",$I1157="ANNULE")),"Clôturé sans suite","En cours")))</f>
        <v/>
      </c>
      <c r="N1157">
        <f>IF(ISBLANK('ENGAGEMENTS 2026'!C1157),"",'ENGAGEMENTS 2026'!L1157)</f>
        <v/>
      </c>
      <c r="O1157">
        <f>IF(ISBLANK('ENGAGEMENTS 2026'!C1157),"",'ENGAGEMENTS 2026'!M1157)</f>
        <v/>
      </c>
      <c r="P1157">
        <f>IF(ISBLANK('ENGAGEMENTS 2026'!C1157),"",'ENGAGEMENTS 2026'!K1157)</f>
        <v/>
      </c>
      <c r="Q1157">
        <f>IF($A1157="","",IF(OR($E1157="INFRUCTUEUX",$E1157="ANNULE"),$A1157&amp;"|"&amp;(COUNTIFS($A$2:$A1157,$A1157,$E$2:$E1157,"INFRUCTUEUX")+COUNTIFS($A$2:$A1157,$A1157,$E$2:$E1157,"ANNULE")),""))</f>
        <v/>
      </c>
    </row>
    <row r="1158">
      <c r="A1158">
        <f>IF(ISBLANK('ENGAGEMENTS 2026'!C1158),"",IF('ENGAGEMENTS 2026'!C1158="DTSI","DCT",'ENGAGEMENTS 2026'!C1158))</f>
        <v/>
      </c>
      <c r="B1158">
        <f>IF(ISBLANK('ENGAGEMENTS 2026'!C1158),"",'ENGAGEMENTS 2026'!D1158)</f>
        <v/>
      </c>
      <c r="C1158">
        <f>IF(ISBLANK('ENGAGEMENTS 2026'!C1158),"",'ENGAGEMENTS 2026'!E1158)</f>
        <v/>
      </c>
      <c r="D1158">
        <f>IF(ISBLANK('ENGAGEMENTS 2026'!C1158),"",'ENGAGEMENTS 2026'!G1158)</f>
        <v/>
      </c>
      <c r="E1158">
        <f>IF(ISBLANK('ENGAGEMENTS 2026'!C1158),"",'ENGAGEMENTS 2026'!I1158)</f>
        <v/>
      </c>
      <c r="F1158">
        <f>IF(ISBLANK('ENGAGEMENTS 2026'!C1158),"",'ENGAGEMENTS 2026'!J1158)</f>
        <v/>
      </c>
      <c r="G1158">
        <f>IF(ISBLANK('ENGAGEMENTS 2026'!C1158),"",'ENGAGEMENTS 2026'!M1158)</f>
        <v/>
      </c>
      <c r="H1158">
        <f>IF(ISBLANK('ENGAGEMENTS 2026'!C1158),"",'ENGAGEMENTS 2026'!AF1158)</f>
        <v/>
      </c>
      <c r="I1158">
        <f>IF(ISBLANK('ENGAGEMENTS 2026'!C1158),"",'ENGAGEMENTS 2026'!H1158)</f>
        <v/>
      </c>
      <c r="J1158" s="275">
        <f>IF(ISBLANK('ENGAGEMENTS 2026'!C1158),"",IF(AND(OR($E1158="INFRUCTUEUX",$E1158="ANNULE"),$C1158="AOO-M"),'ENGAGEMENTS 2026'!P1158,IF($H1158="EN COURS DE PREENGAGEMENT",'ENGAGEMENTS 2026'!O1158,IF($H1158="PREENGAGE",IF($E1158="ATTRIBUE",'ENGAGEMENTS 2026'!AE1158,'ENGAGEMENTS 2026'!O1158),'ENGAGEMENTS 2026'!AE1158))))</f>
        <v/>
      </c>
      <c r="K1158" s="604">
        <f>IF(ISBLANK('ENGAGEMENTS 2026'!W1158),"",'ENGAGEMENTS 2026'!W1158)</f>
        <v/>
      </c>
      <c r="L1158" s="276">
        <f>IF($K1158="","",TODAY()-$K1158)</f>
        <v/>
      </c>
      <c r="M1158">
        <f>IF($A1158="","",IF($H1158="ENGAGE","Engagé",IF(AND($H1158="NON ENGAGE",OR($I1158="INFRUCTUEUX",$I1158="ANNULE")),"Clôturé sans suite","En cours")))</f>
        <v/>
      </c>
      <c r="N1158">
        <f>IF(ISBLANK('ENGAGEMENTS 2026'!C1158),"",'ENGAGEMENTS 2026'!L1158)</f>
        <v/>
      </c>
      <c r="O1158">
        <f>IF(ISBLANK('ENGAGEMENTS 2026'!C1158),"",'ENGAGEMENTS 2026'!M1158)</f>
        <v/>
      </c>
      <c r="P1158">
        <f>IF(ISBLANK('ENGAGEMENTS 2026'!C1158),"",'ENGAGEMENTS 2026'!K1158)</f>
        <v/>
      </c>
      <c r="Q1158">
        <f>IF($A1158="","",IF(OR($E1158="INFRUCTUEUX",$E1158="ANNULE"),$A1158&amp;"|"&amp;(COUNTIFS($A$2:$A1158,$A1158,$E$2:$E1158,"INFRUCTUEUX")+COUNTIFS($A$2:$A1158,$A1158,$E$2:$E1158,"ANNULE")),""))</f>
        <v/>
      </c>
    </row>
    <row r="1159">
      <c r="A1159">
        <f>IF(ISBLANK('ENGAGEMENTS 2026'!C1159),"",IF('ENGAGEMENTS 2026'!C1159="DTSI","DCT",'ENGAGEMENTS 2026'!C1159))</f>
        <v/>
      </c>
      <c r="B1159">
        <f>IF(ISBLANK('ENGAGEMENTS 2026'!C1159),"",'ENGAGEMENTS 2026'!D1159)</f>
        <v/>
      </c>
      <c r="C1159">
        <f>IF(ISBLANK('ENGAGEMENTS 2026'!C1159),"",'ENGAGEMENTS 2026'!E1159)</f>
        <v/>
      </c>
      <c r="D1159">
        <f>IF(ISBLANK('ENGAGEMENTS 2026'!C1159),"",'ENGAGEMENTS 2026'!G1159)</f>
        <v/>
      </c>
      <c r="E1159">
        <f>IF(ISBLANK('ENGAGEMENTS 2026'!C1159),"",'ENGAGEMENTS 2026'!I1159)</f>
        <v/>
      </c>
      <c r="F1159">
        <f>IF(ISBLANK('ENGAGEMENTS 2026'!C1159),"",'ENGAGEMENTS 2026'!J1159)</f>
        <v/>
      </c>
      <c r="G1159">
        <f>IF(ISBLANK('ENGAGEMENTS 2026'!C1159),"",'ENGAGEMENTS 2026'!M1159)</f>
        <v/>
      </c>
      <c r="H1159">
        <f>IF(ISBLANK('ENGAGEMENTS 2026'!C1159),"",'ENGAGEMENTS 2026'!AF1159)</f>
        <v/>
      </c>
      <c r="I1159">
        <f>IF(ISBLANK('ENGAGEMENTS 2026'!C1159),"",'ENGAGEMENTS 2026'!H1159)</f>
        <v/>
      </c>
      <c r="J1159" s="275">
        <f>IF(ISBLANK('ENGAGEMENTS 2026'!C1159),"",IF(AND(OR($E1159="INFRUCTUEUX",$E1159="ANNULE"),$C1159="AOO-M"),'ENGAGEMENTS 2026'!P1159,IF($H1159="EN COURS DE PREENGAGEMENT",'ENGAGEMENTS 2026'!O1159,IF($H1159="PREENGAGE",IF($E1159="ATTRIBUE",'ENGAGEMENTS 2026'!AE1159,'ENGAGEMENTS 2026'!O1159),'ENGAGEMENTS 2026'!AE1159))))</f>
        <v/>
      </c>
      <c r="K1159" s="604">
        <f>IF(ISBLANK('ENGAGEMENTS 2026'!W1159),"",'ENGAGEMENTS 2026'!W1159)</f>
        <v/>
      </c>
      <c r="L1159" s="276">
        <f>IF($K1159="","",TODAY()-$K1159)</f>
        <v/>
      </c>
      <c r="M1159">
        <f>IF($A1159="","",IF($H1159="ENGAGE","Engagé",IF(AND($H1159="NON ENGAGE",OR($I1159="INFRUCTUEUX",$I1159="ANNULE")),"Clôturé sans suite","En cours")))</f>
        <v/>
      </c>
      <c r="N1159">
        <f>IF(ISBLANK('ENGAGEMENTS 2026'!C1159),"",'ENGAGEMENTS 2026'!L1159)</f>
        <v/>
      </c>
      <c r="O1159">
        <f>IF(ISBLANK('ENGAGEMENTS 2026'!C1159),"",'ENGAGEMENTS 2026'!M1159)</f>
        <v/>
      </c>
      <c r="P1159">
        <f>IF(ISBLANK('ENGAGEMENTS 2026'!C1159),"",'ENGAGEMENTS 2026'!K1159)</f>
        <v/>
      </c>
      <c r="Q1159">
        <f>IF($A1159="","",IF(OR($E1159="INFRUCTUEUX",$E1159="ANNULE"),$A1159&amp;"|"&amp;(COUNTIFS($A$2:$A1159,$A1159,$E$2:$E1159,"INFRUCTUEUX")+COUNTIFS($A$2:$A1159,$A1159,$E$2:$E1159,"ANNULE")),""))</f>
        <v/>
      </c>
    </row>
    <row r="1160">
      <c r="A1160">
        <f>IF(ISBLANK('ENGAGEMENTS 2026'!C1160),"",IF('ENGAGEMENTS 2026'!C1160="DTSI","DCT",'ENGAGEMENTS 2026'!C1160))</f>
        <v/>
      </c>
      <c r="B1160">
        <f>IF(ISBLANK('ENGAGEMENTS 2026'!C1160),"",'ENGAGEMENTS 2026'!D1160)</f>
        <v/>
      </c>
      <c r="C1160">
        <f>IF(ISBLANK('ENGAGEMENTS 2026'!C1160),"",'ENGAGEMENTS 2026'!E1160)</f>
        <v/>
      </c>
      <c r="D1160">
        <f>IF(ISBLANK('ENGAGEMENTS 2026'!C1160),"",'ENGAGEMENTS 2026'!G1160)</f>
        <v/>
      </c>
      <c r="E1160">
        <f>IF(ISBLANK('ENGAGEMENTS 2026'!C1160),"",'ENGAGEMENTS 2026'!I1160)</f>
        <v/>
      </c>
      <c r="F1160">
        <f>IF(ISBLANK('ENGAGEMENTS 2026'!C1160),"",'ENGAGEMENTS 2026'!J1160)</f>
        <v/>
      </c>
      <c r="G1160">
        <f>IF(ISBLANK('ENGAGEMENTS 2026'!C1160),"",'ENGAGEMENTS 2026'!M1160)</f>
        <v/>
      </c>
      <c r="H1160">
        <f>IF(ISBLANK('ENGAGEMENTS 2026'!C1160),"",'ENGAGEMENTS 2026'!AF1160)</f>
        <v/>
      </c>
      <c r="I1160">
        <f>IF(ISBLANK('ENGAGEMENTS 2026'!C1160),"",'ENGAGEMENTS 2026'!H1160)</f>
        <v/>
      </c>
      <c r="J1160" s="275">
        <f>IF(ISBLANK('ENGAGEMENTS 2026'!C1160),"",IF(AND(OR($E1160="INFRUCTUEUX",$E1160="ANNULE"),$C1160="AOO-M"),'ENGAGEMENTS 2026'!P1160,IF($H1160="EN COURS DE PREENGAGEMENT",'ENGAGEMENTS 2026'!O1160,IF($H1160="PREENGAGE",IF($E1160="ATTRIBUE",'ENGAGEMENTS 2026'!AE1160,'ENGAGEMENTS 2026'!O1160),'ENGAGEMENTS 2026'!AE1160))))</f>
        <v/>
      </c>
      <c r="K1160" s="604">
        <f>IF(ISBLANK('ENGAGEMENTS 2026'!W1160),"",'ENGAGEMENTS 2026'!W1160)</f>
        <v/>
      </c>
      <c r="L1160" s="276">
        <f>IF($K1160="","",TODAY()-$K1160)</f>
        <v/>
      </c>
      <c r="M1160">
        <f>IF($A1160="","",IF($H1160="ENGAGE","Engagé",IF(AND($H1160="NON ENGAGE",OR($I1160="INFRUCTUEUX",$I1160="ANNULE")),"Clôturé sans suite","En cours")))</f>
        <v/>
      </c>
      <c r="N1160">
        <f>IF(ISBLANK('ENGAGEMENTS 2026'!C1160),"",'ENGAGEMENTS 2026'!L1160)</f>
        <v/>
      </c>
      <c r="O1160">
        <f>IF(ISBLANK('ENGAGEMENTS 2026'!C1160),"",'ENGAGEMENTS 2026'!M1160)</f>
        <v/>
      </c>
      <c r="P1160">
        <f>IF(ISBLANK('ENGAGEMENTS 2026'!C1160),"",'ENGAGEMENTS 2026'!K1160)</f>
        <v/>
      </c>
      <c r="Q1160">
        <f>IF($A1160="","",IF(OR($E1160="INFRUCTUEUX",$E1160="ANNULE"),$A1160&amp;"|"&amp;(COUNTIFS($A$2:$A1160,$A1160,$E$2:$E1160,"INFRUCTUEUX")+COUNTIFS($A$2:$A1160,$A1160,$E$2:$E1160,"ANNULE")),""))</f>
        <v/>
      </c>
    </row>
    <row r="1161">
      <c r="A1161">
        <f>IF(ISBLANK('ENGAGEMENTS 2026'!C1161),"",IF('ENGAGEMENTS 2026'!C1161="DTSI","DCT",'ENGAGEMENTS 2026'!C1161))</f>
        <v/>
      </c>
      <c r="B1161">
        <f>IF(ISBLANK('ENGAGEMENTS 2026'!C1161),"",'ENGAGEMENTS 2026'!D1161)</f>
        <v/>
      </c>
      <c r="C1161">
        <f>IF(ISBLANK('ENGAGEMENTS 2026'!C1161),"",'ENGAGEMENTS 2026'!E1161)</f>
        <v/>
      </c>
      <c r="D1161">
        <f>IF(ISBLANK('ENGAGEMENTS 2026'!C1161),"",'ENGAGEMENTS 2026'!G1161)</f>
        <v/>
      </c>
      <c r="E1161">
        <f>IF(ISBLANK('ENGAGEMENTS 2026'!C1161),"",'ENGAGEMENTS 2026'!I1161)</f>
        <v/>
      </c>
      <c r="F1161">
        <f>IF(ISBLANK('ENGAGEMENTS 2026'!C1161),"",'ENGAGEMENTS 2026'!J1161)</f>
        <v/>
      </c>
      <c r="G1161">
        <f>IF(ISBLANK('ENGAGEMENTS 2026'!C1161),"",'ENGAGEMENTS 2026'!M1161)</f>
        <v/>
      </c>
      <c r="H1161">
        <f>IF(ISBLANK('ENGAGEMENTS 2026'!C1161),"",'ENGAGEMENTS 2026'!AF1161)</f>
        <v/>
      </c>
      <c r="I1161">
        <f>IF(ISBLANK('ENGAGEMENTS 2026'!C1161),"",'ENGAGEMENTS 2026'!H1161)</f>
        <v/>
      </c>
      <c r="J1161" s="275">
        <f>IF(ISBLANK('ENGAGEMENTS 2026'!C1161),"",IF(AND(OR($E1161="INFRUCTUEUX",$E1161="ANNULE"),$C1161="AOO-M"),'ENGAGEMENTS 2026'!P1161,IF($H1161="EN COURS DE PREENGAGEMENT",'ENGAGEMENTS 2026'!O1161,IF($H1161="PREENGAGE",IF($E1161="ATTRIBUE",'ENGAGEMENTS 2026'!AE1161,'ENGAGEMENTS 2026'!O1161),'ENGAGEMENTS 2026'!AE1161))))</f>
        <v/>
      </c>
      <c r="K1161" s="604">
        <f>IF(ISBLANK('ENGAGEMENTS 2026'!W1161),"",'ENGAGEMENTS 2026'!W1161)</f>
        <v/>
      </c>
      <c r="L1161" s="276">
        <f>IF($K1161="","",TODAY()-$K1161)</f>
        <v/>
      </c>
      <c r="M1161">
        <f>IF($A1161="","",IF($H1161="ENGAGE","Engagé",IF(AND($H1161="NON ENGAGE",OR($I1161="INFRUCTUEUX",$I1161="ANNULE")),"Clôturé sans suite","En cours")))</f>
        <v/>
      </c>
      <c r="N1161">
        <f>IF(ISBLANK('ENGAGEMENTS 2026'!C1161),"",'ENGAGEMENTS 2026'!L1161)</f>
        <v/>
      </c>
      <c r="O1161">
        <f>IF(ISBLANK('ENGAGEMENTS 2026'!C1161),"",'ENGAGEMENTS 2026'!M1161)</f>
        <v/>
      </c>
      <c r="P1161">
        <f>IF(ISBLANK('ENGAGEMENTS 2026'!C1161),"",'ENGAGEMENTS 2026'!K1161)</f>
        <v/>
      </c>
      <c r="Q1161">
        <f>IF($A1161="","",IF(OR($E1161="INFRUCTUEUX",$E1161="ANNULE"),$A1161&amp;"|"&amp;(COUNTIFS($A$2:$A1161,$A1161,$E$2:$E1161,"INFRUCTUEUX")+COUNTIFS($A$2:$A1161,$A1161,$E$2:$E1161,"ANNULE")),""))</f>
        <v/>
      </c>
    </row>
    <row r="1162">
      <c r="A1162">
        <f>IF(ISBLANK('ENGAGEMENTS 2026'!C1162),"",IF('ENGAGEMENTS 2026'!C1162="DTSI","DCT",'ENGAGEMENTS 2026'!C1162))</f>
        <v/>
      </c>
      <c r="B1162">
        <f>IF(ISBLANK('ENGAGEMENTS 2026'!C1162),"",'ENGAGEMENTS 2026'!D1162)</f>
        <v/>
      </c>
      <c r="C1162">
        <f>IF(ISBLANK('ENGAGEMENTS 2026'!C1162),"",'ENGAGEMENTS 2026'!E1162)</f>
        <v/>
      </c>
      <c r="D1162">
        <f>IF(ISBLANK('ENGAGEMENTS 2026'!C1162),"",'ENGAGEMENTS 2026'!G1162)</f>
        <v/>
      </c>
      <c r="E1162">
        <f>IF(ISBLANK('ENGAGEMENTS 2026'!C1162),"",'ENGAGEMENTS 2026'!I1162)</f>
        <v/>
      </c>
      <c r="F1162">
        <f>IF(ISBLANK('ENGAGEMENTS 2026'!C1162),"",'ENGAGEMENTS 2026'!J1162)</f>
        <v/>
      </c>
      <c r="G1162">
        <f>IF(ISBLANK('ENGAGEMENTS 2026'!C1162),"",'ENGAGEMENTS 2026'!M1162)</f>
        <v/>
      </c>
      <c r="H1162">
        <f>IF(ISBLANK('ENGAGEMENTS 2026'!C1162),"",'ENGAGEMENTS 2026'!AF1162)</f>
        <v/>
      </c>
      <c r="I1162">
        <f>IF(ISBLANK('ENGAGEMENTS 2026'!C1162),"",'ENGAGEMENTS 2026'!H1162)</f>
        <v/>
      </c>
      <c r="J1162" s="275">
        <f>IF(ISBLANK('ENGAGEMENTS 2026'!C1162),"",IF(AND(OR($E1162="INFRUCTUEUX",$E1162="ANNULE"),$C1162="AOO-M"),'ENGAGEMENTS 2026'!P1162,IF($H1162="EN COURS DE PREENGAGEMENT",'ENGAGEMENTS 2026'!O1162,IF($H1162="PREENGAGE",IF($E1162="ATTRIBUE",'ENGAGEMENTS 2026'!AE1162,'ENGAGEMENTS 2026'!O1162),'ENGAGEMENTS 2026'!AE1162))))</f>
        <v/>
      </c>
      <c r="K1162" s="604">
        <f>IF(ISBLANK('ENGAGEMENTS 2026'!W1162),"",'ENGAGEMENTS 2026'!W1162)</f>
        <v/>
      </c>
      <c r="L1162" s="276">
        <f>IF($K1162="","",TODAY()-$K1162)</f>
        <v/>
      </c>
      <c r="M1162">
        <f>IF($A1162="","",IF($H1162="ENGAGE","Engagé",IF(AND($H1162="NON ENGAGE",OR($I1162="INFRUCTUEUX",$I1162="ANNULE")),"Clôturé sans suite","En cours")))</f>
        <v/>
      </c>
      <c r="N1162">
        <f>IF(ISBLANK('ENGAGEMENTS 2026'!C1162),"",'ENGAGEMENTS 2026'!L1162)</f>
        <v/>
      </c>
      <c r="O1162">
        <f>IF(ISBLANK('ENGAGEMENTS 2026'!C1162),"",'ENGAGEMENTS 2026'!M1162)</f>
        <v/>
      </c>
      <c r="P1162">
        <f>IF(ISBLANK('ENGAGEMENTS 2026'!C1162),"",'ENGAGEMENTS 2026'!K1162)</f>
        <v/>
      </c>
      <c r="Q1162">
        <f>IF($A1162="","",IF(OR($E1162="INFRUCTUEUX",$E1162="ANNULE"),$A1162&amp;"|"&amp;(COUNTIFS($A$2:$A1162,$A1162,$E$2:$E1162,"INFRUCTUEUX")+COUNTIFS($A$2:$A1162,$A1162,$E$2:$E1162,"ANNULE")),""))</f>
        <v/>
      </c>
    </row>
    <row r="1163">
      <c r="A1163">
        <f>IF(ISBLANK('ENGAGEMENTS 2026'!C1163),"",IF('ENGAGEMENTS 2026'!C1163="DTSI","DCT",'ENGAGEMENTS 2026'!C1163))</f>
        <v/>
      </c>
      <c r="B1163">
        <f>IF(ISBLANK('ENGAGEMENTS 2026'!C1163),"",'ENGAGEMENTS 2026'!D1163)</f>
        <v/>
      </c>
      <c r="C1163">
        <f>IF(ISBLANK('ENGAGEMENTS 2026'!C1163),"",'ENGAGEMENTS 2026'!E1163)</f>
        <v/>
      </c>
      <c r="D1163">
        <f>IF(ISBLANK('ENGAGEMENTS 2026'!C1163),"",'ENGAGEMENTS 2026'!G1163)</f>
        <v/>
      </c>
      <c r="E1163">
        <f>IF(ISBLANK('ENGAGEMENTS 2026'!C1163),"",'ENGAGEMENTS 2026'!I1163)</f>
        <v/>
      </c>
      <c r="F1163">
        <f>IF(ISBLANK('ENGAGEMENTS 2026'!C1163),"",'ENGAGEMENTS 2026'!J1163)</f>
        <v/>
      </c>
      <c r="G1163">
        <f>IF(ISBLANK('ENGAGEMENTS 2026'!C1163),"",'ENGAGEMENTS 2026'!M1163)</f>
        <v/>
      </c>
      <c r="H1163">
        <f>IF(ISBLANK('ENGAGEMENTS 2026'!C1163),"",'ENGAGEMENTS 2026'!AF1163)</f>
        <v/>
      </c>
      <c r="I1163">
        <f>IF(ISBLANK('ENGAGEMENTS 2026'!C1163),"",'ENGAGEMENTS 2026'!H1163)</f>
        <v/>
      </c>
      <c r="J1163" s="275">
        <f>IF(ISBLANK('ENGAGEMENTS 2026'!C1163),"",IF(AND(OR($E1163="INFRUCTUEUX",$E1163="ANNULE"),$C1163="AOO-M"),'ENGAGEMENTS 2026'!P1163,IF($H1163="EN COURS DE PREENGAGEMENT",'ENGAGEMENTS 2026'!O1163,IF($H1163="PREENGAGE",IF($E1163="ATTRIBUE",'ENGAGEMENTS 2026'!AE1163,'ENGAGEMENTS 2026'!O1163),'ENGAGEMENTS 2026'!AE1163))))</f>
        <v/>
      </c>
      <c r="K1163" s="604">
        <f>IF(ISBLANK('ENGAGEMENTS 2026'!W1163),"",'ENGAGEMENTS 2026'!W1163)</f>
        <v/>
      </c>
      <c r="L1163" s="276">
        <f>IF($K1163="","",TODAY()-$K1163)</f>
        <v/>
      </c>
      <c r="M1163">
        <f>IF($A1163="","",IF($H1163="ENGAGE","Engagé",IF(AND($H1163="NON ENGAGE",OR($I1163="INFRUCTUEUX",$I1163="ANNULE")),"Clôturé sans suite","En cours")))</f>
        <v/>
      </c>
      <c r="N1163">
        <f>IF(ISBLANK('ENGAGEMENTS 2026'!C1163),"",'ENGAGEMENTS 2026'!L1163)</f>
        <v/>
      </c>
      <c r="O1163">
        <f>IF(ISBLANK('ENGAGEMENTS 2026'!C1163),"",'ENGAGEMENTS 2026'!M1163)</f>
        <v/>
      </c>
      <c r="P1163">
        <f>IF(ISBLANK('ENGAGEMENTS 2026'!C1163),"",'ENGAGEMENTS 2026'!K1163)</f>
        <v/>
      </c>
      <c r="Q1163">
        <f>IF($A1163="","",IF(OR($E1163="INFRUCTUEUX",$E1163="ANNULE"),$A1163&amp;"|"&amp;(COUNTIFS($A$2:$A1163,$A1163,$E$2:$E1163,"INFRUCTUEUX")+COUNTIFS($A$2:$A1163,$A1163,$E$2:$E1163,"ANNULE")),""))</f>
        <v/>
      </c>
    </row>
    <row r="1164">
      <c r="A1164">
        <f>IF(ISBLANK('ENGAGEMENTS 2026'!C1164),"",IF('ENGAGEMENTS 2026'!C1164="DTSI","DCT",'ENGAGEMENTS 2026'!C1164))</f>
        <v/>
      </c>
      <c r="B1164">
        <f>IF(ISBLANK('ENGAGEMENTS 2026'!C1164),"",'ENGAGEMENTS 2026'!D1164)</f>
        <v/>
      </c>
      <c r="C1164">
        <f>IF(ISBLANK('ENGAGEMENTS 2026'!C1164),"",'ENGAGEMENTS 2026'!E1164)</f>
        <v/>
      </c>
      <c r="D1164">
        <f>IF(ISBLANK('ENGAGEMENTS 2026'!C1164),"",'ENGAGEMENTS 2026'!G1164)</f>
        <v/>
      </c>
      <c r="E1164">
        <f>IF(ISBLANK('ENGAGEMENTS 2026'!C1164),"",'ENGAGEMENTS 2026'!I1164)</f>
        <v/>
      </c>
      <c r="F1164">
        <f>IF(ISBLANK('ENGAGEMENTS 2026'!C1164),"",'ENGAGEMENTS 2026'!J1164)</f>
        <v/>
      </c>
      <c r="G1164">
        <f>IF(ISBLANK('ENGAGEMENTS 2026'!C1164),"",'ENGAGEMENTS 2026'!M1164)</f>
        <v/>
      </c>
      <c r="H1164">
        <f>IF(ISBLANK('ENGAGEMENTS 2026'!C1164),"",'ENGAGEMENTS 2026'!AF1164)</f>
        <v/>
      </c>
      <c r="I1164">
        <f>IF(ISBLANK('ENGAGEMENTS 2026'!C1164),"",'ENGAGEMENTS 2026'!H1164)</f>
        <v/>
      </c>
      <c r="J1164" s="275">
        <f>IF(ISBLANK('ENGAGEMENTS 2026'!C1164),"",IF(AND(OR($E1164="INFRUCTUEUX",$E1164="ANNULE"),$C1164="AOO-M"),'ENGAGEMENTS 2026'!P1164,IF($H1164="EN COURS DE PREENGAGEMENT",'ENGAGEMENTS 2026'!O1164,IF($H1164="PREENGAGE",IF($E1164="ATTRIBUE",'ENGAGEMENTS 2026'!AE1164,'ENGAGEMENTS 2026'!O1164),'ENGAGEMENTS 2026'!AE1164))))</f>
        <v/>
      </c>
      <c r="K1164" s="604">
        <f>IF(ISBLANK('ENGAGEMENTS 2026'!W1164),"",'ENGAGEMENTS 2026'!W1164)</f>
        <v/>
      </c>
      <c r="L1164" s="276">
        <f>IF($K1164="","",TODAY()-$K1164)</f>
        <v/>
      </c>
      <c r="M1164">
        <f>IF($A1164="","",IF($H1164="ENGAGE","Engagé",IF(AND($H1164="NON ENGAGE",OR($I1164="INFRUCTUEUX",$I1164="ANNULE")),"Clôturé sans suite","En cours")))</f>
        <v/>
      </c>
      <c r="N1164">
        <f>IF(ISBLANK('ENGAGEMENTS 2026'!C1164),"",'ENGAGEMENTS 2026'!L1164)</f>
        <v/>
      </c>
      <c r="O1164">
        <f>IF(ISBLANK('ENGAGEMENTS 2026'!C1164),"",'ENGAGEMENTS 2026'!M1164)</f>
        <v/>
      </c>
      <c r="P1164">
        <f>IF(ISBLANK('ENGAGEMENTS 2026'!C1164),"",'ENGAGEMENTS 2026'!K1164)</f>
        <v/>
      </c>
      <c r="Q1164">
        <f>IF($A1164="","",IF(OR($E1164="INFRUCTUEUX",$E1164="ANNULE"),$A1164&amp;"|"&amp;(COUNTIFS($A$2:$A1164,$A1164,$E$2:$E1164,"INFRUCTUEUX")+COUNTIFS($A$2:$A1164,$A1164,$E$2:$E1164,"ANNULE")),""))</f>
        <v/>
      </c>
    </row>
    <row r="1165">
      <c r="A1165">
        <f>IF(ISBLANK('ENGAGEMENTS 2026'!C1165),"",IF('ENGAGEMENTS 2026'!C1165="DTSI","DCT",'ENGAGEMENTS 2026'!C1165))</f>
        <v/>
      </c>
      <c r="B1165">
        <f>IF(ISBLANK('ENGAGEMENTS 2026'!C1165),"",'ENGAGEMENTS 2026'!D1165)</f>
        <v/>
      </c>
      <c r="C1165">
        <f>IF(ISBLANK('ENGAGEMENTS 2026'!C1165),"",'ENGAGEMENTS 2026'!E1165)</f>
        <v/>
      </c>
      <c r="D1165">
        <f>IF(ISBLANK('ENGAGEMENTS 2026'!C1165),"",'ENGAGEMENTS 2026'!G1165)</f>
        <v/>
      </c>
      <c r="E1165">
        <f>IF(ISBLANK('ENGAGEMENTS 2026'!C1165),"",'ENGAGEMENTS 2026'!I1165)</f>
        <v/>
      </c>
      <c r="F1165">
        <f>IF(ISBLANK('ENGAGEMENTS 2026'!C1165),"",'ENGAGEMENTS 2026'!J1165)</f>
        <v/>
      </c>
      <c r="G1165">
        <f>IF(ISBLANK('ENGAGEMENTS 2026'!C1165),"",'ENGAGEMENTS 2026'!M1165)</f>
        <v/>
      </c>
      <c r="H1165">
        <f>IF(ISBLANK('ENGAGEMENTS 2026'!C1165),"",'ENGAGEMENTS 2026'!AF1165)</f>
        <v/>
      </c>
      <c r="I1165">
        <f>IF(ISBLANK('ENGAGEMENTS 2026'!C1165),"",'ENGAGEMENTS 2026'!H1165)</f>
        <v/>
      </c>
      <c r="J1165" s="275">
        <f>IF(ISBLANK('ENGAGEMENTS 2026'!C1165),"",IF(AND(OR($E1165="INFRUCTUEUX",$E1165="ANNULE"),$C1165="AOO-M"),'ENGAGEMENTS 2026'!P1165,IF($H1165="EN COURS DE PREENGAGEMENT",'ENGAGEMENTS 2026'!O1165,IF($H1165="PREENGAGE",IF($E1165="ATTRIBUE",'ENGAGEMENTS 2026'!AE1165,'ENGAGEMENTS 2026'!O1165),'ENGAGEMENTS 2026'!AE1165))))</f>
        <v/>
      </c>
      <c r="K1165" s="604">
        <f>IF(ISBLANK('ENGAGEMENTS 2026'!W1165),"",'ENGAGEMENTS 2026'!W1165)</f>
        <v/>
      </c>
      <c r="L1165" s="276">
        <f>IF($K1165="","",TODAY()-$K1165)</f>
        <v/>
      </c>
      <c r="M1165">
        <f>IF($A1165="","",IF($H1165="ENGAGE","Engagé",IF(AND($H1165="NON ENGAGE",OR($I1165="INFRUCTUEUX",$I1165="ANNULE")),"Clôturé sans suite","En cours")))</f>
        <v/>
      </c>
      <c r="N1165">
        <f>IF(ISBLANK('ENGAGEMENTS 2026'!C1165),"",'ENGAGEMENTS 2026'!L1165)</f>
        <v/>
      </c>
      <c r="O1165">
        <f>IF(ISBLANK('ENGAGEMENTS 2026'!C1165),"",'ENGAGEMENTS 2026'!M1165)</f>
        <v/>
      </c>
      <c r="P1165">
        <f>IF(ISBLANK('ENGAGEMENTS 2026'!C1165),"",'ENGAGEMENTS 2026'!K1165)</f>
        <v/>
      </c>
      <c r="Q1165">
        <f>IF($A1165="","",IF(OR($E1165="INFRUCTUEUX",$E1165="ANNULE"),$A1165&amp;"|"&amp;(COUNTIFS($A$2:$A1165,$A1165,$E$2:$E1165,"INFRUCTUEUX")+COUNTIFS($A$2:$A1165,$A1165,$E$2:$E1165,"ANNULE")),""))</f>
        <v/>
      </c>
    </row>
    <row r="1166">
      <c r="A1166">
        <f>IF(ISBLANK('ENGAGEMENTS 2026'!C1166),"",IF('ENGAGEMENTS 2026'!C1166="DTSI","DCT",'ENGAGEMENTS 2026'!C1166))</f>
        <v/>
      </c>
      <c r="B1166">
        <f>IF(ISBLANK('ENGAGEMENTS 2026'!C1166),"",'ENGAGEMENTS 2026'!D1166)</f>
        <v/>
      </c>
      <c r="C1166">
        <f>IF(ISBLANK('ENGAGEMENTS 2026'!C1166),"",'ENGAGEMENTS 2026'!E1166)</f>
        <v/>
      </c>
      <c r="D1166">
        <f>IF(ISBLANK('ENGAGEMENTS 2026'!C1166),"",'ENGAGEMENTS 2026'!G1166)</f>
        <v/>
      </c>
      <c r="E1166">
        <f>IF(ISBLANK('ENGAGEMENTS 2026'!C1166),"",'ENGAGEMENTS 2026'!I1166)</f>
        <v/>
      </c>
      <c r="F1166">
        <f>IF(ISBLANK('ENGAGEMENTS 2026'!C1166),"",'ENGAGEMENTS 2026'!J1166)</f>
        <v/>
      </c>
      <c r="G1166">
        <f>IF(ISBLANK('ENGAGEMENTS 2026'!C1166),"",'ENGAGEMENTS 2026'!M1166)</f>
        <v/>
      </c>
      <c r="H1166">
        <f>IF(ISBLANK('ENGAGEMENTS 2026'!C1166),"",'ENGAGEMENTS 2026'!AF1166)</f>
        <v/>
      </c>
      <c r="I1166">
        <f>IF(ISBLANK('ENGAGEMENTS 2026'!C1166),"",'ENGAGEMENTS 2026'!H1166)</f>
        <v/>
      </c>
      <c r="J1166" s="275">
        <f>IF(ISBLANK('ENGAGEMENTS 2026'!C1166),"",IF(AND(OR($E1166="INFRUCTUEUX",$E1166="ANNULE"),$C1166="AOO-M"),'ENGAGEMENTS 2026'!P1166,IF($H1166="EN COURS DE PREENGAGEMENT",'ENGAGEMENTS 2026'!O1166,IF($H1166="PREENGAGE",IF($E1166="ATTRIBUE",'ENGAGEMENTS 2026'!AE1166,'ENGAGEMENTS 2026'!O1166),'ENGAGEMENTS 2026'!AE1166))))</f>
        <v/>
      </c>
      <c r="K1166" s="604">
        <f>IF(ISBLANK('ENGAGEMENTS 2026'!W1166),"",'ENGAGEMENTS 2026'!W1166)</f>
        <v/>
      </c>
      <c r="L1166" s="276">
        <f>IF($K1166="","",TODAY()-$K1166)</f>
        <v/>
      </c>
      <c r="M1166">
        <f>IF($A1166="","",IF($H1166="ENGAGE","Engagé",IF(AND($H1166="NON ENGAGE",OR($I1166="INFRUCTUEUX",$I1166="ANNULE")),"Clôturé sans suite","En cours")))</f>
        <v/>
      </c>
      <c r="N1166">
        <f>IF(ISBLANK('ENGAGEMENTS 2026'!C1166),"",'ENGAGEMENTS 2026'!L1166)</f>
        <v/>
      </c>
      <c r="O1166">
        <f>IF(ISBLANK('ENGAGEMENTS 2026'!C1166),"",'ENGAGEMENTS 2026'!M1166)</f>
        <v/>
      </c>
      <c r="P1166">
        <f>IF(ISBLANK('ENGAGEMENTS 2026'!C1166),"",'ENGAGEMENTS 2026'!K1166)</f>
        <v/>
      </c>
      <c r="Q1166">
        <f>IF($A1166="","",IF(OR($E1166="INFRUCTUEUX",$E1166="ANNULE"),$A1166&amp;"|"&amp;(COUNTIFS($A$2:$A1166,$A1166,$E$2:$E1166,"INFRUCTUEUX")+COUNTIFS($A$2:$A1166,$A1166,$E$2:$E1166,"ANNULE")),""))</f>
        <v/>
      </c>
    </row>
    <row r="1167">
      <c r="A1167">
        <f>IF(ISBLANK('ENGAGEMENTS 2026'!C1167),"",IF('ENGAGEMENTS 2026'!C1167="DTSI","DCT",'ENGAGEMENTS 2026'!C1167))</f>
        <v/>
      </c>
      <c r="B1167">
        <f>IF(ISBLANK('ENGAGEMENTS 2026'!C1167),"",'ENGAGEMENTS 2026'!D1167)</f>
        <v/>
      </c>
      <c r="C1167">
        <f>IF(ISBLANK('ENGAGEMENTS 2026'!C1167),"",'ENGAGEMENTS 2026'!E1167)</f>
        <v/>
      </c>
      <c r="D1167">
        <f>IF(ISBLANK('ENGAGEMENTS 2026'!C1167),"",'ENGAGEMENTS 2026'!G1167)</f>
        <v/>
      </c>
      <c r="E1167">
        <f>IF(ISBLANK('ENGAGEMENTS 2026'!C1167),"",'ENGAGEMENTS 2026'!I1167)</f>
        <v/>
      </c>
      <c r="F1167">
        <f>IF(ISBLANK('ENGAGEMENTS 2026'!C1167),"",'ENGAGEMENTS 2026'!J1167)</f>
        <v/>
      </c>
      <c r="G1167">
        <f>IF(ISBLANK('ENGAGEMENTS 2026'!C1167),"",'ENGAGEMENTS 2026'!M1167)</f>
        <v/>
      </c>
      <c r="H1167">
        <f>IF(ISBLANK('ENGAGEMENTS 2026'!C1167),"",'ENGAGEMENTS 2026'!AF1167)</f>
        <v/>
      </c>
      <c r="I1167">
        <f>IF(ISBLANK('ENGAGEMENTS 2026'!C1167),"",'ENGAGEMENTS 2026'!H1167)</f>
        <v/>
      </c>
      <c r="J1167" s="275">
        <f>IF(ISBLANK('ENGAGEMENTS 2026'!C1167),"",IF(AND(OR($E1167="INFRUCTUEUX",$E1167="ANNULE"),$C1167="AOO-M"),'ENGAGEMENTS 2026'!P1167,IF($H1167="EN COURS DE PREENGAGEMENT",'ENGAGEMENTS 2026'!O1167,IF($H1167="PREENGAGE",IF($E1167="ATTRIBUE",'ENGAGEMENTS 2026'!AE1167,'ENGAGEMENTS 2026'!O1167),'ENGAGEMENTS 2026'!AE1167))))</f>
        <v/>
      </c>
      <c r="K1167" s="604">
        <f>IF(ISBLANK('ENGAGEMENTS 2026'!W1167),"",'ENGAGEMENTS 2026'!W1167)</f>
        <v/>
      </c>
      <c r="L1167" s="276">
        <f>IF($K1167="","",TODAY()-$K1167)</f>
        <v/>
      </c>
      <c r="M1167">
        <f>IF($A1167="","",IF($H1167="ENGAGE","Engagé",IF(AND($H1167="NON ENGAGE",OR($I1167="INFRUCTUEUX",$I1167="ANNULE")),"Clôturé sans suite","En cours")))</f>
        <v/>
      </c>
      <c r="N1167">
        <f>IF(ISBLANK('ENGAGEMENTS 2026'!C1167),"",'ENGAGEMENTS 2026'!L1167)</f>
        <v/>
      </c>
      <c r="O1167">
        <f>IF(ISBLANK('ENGAGEMENTS 2026'!C1167),"",'ENGAGEMENTS 2026'!M1167)</f>
        <v/>
      </c>
      <c r="P1167">
        <f>IF(ISBLANK('ENGAGEMENTS 2026'!C1167),"",'ENGAGEMENTS 2026'!K1167)</f>
        <v/>
      </c>
      <c r="Q1167">
        <f>IF($A1167="","",IF(OR($E1167="INFRUCTUEUX",$E1167="ANNULE"),$A1167&amp;"|"&amp;(COUNTIFS($A$2:$A1167,$A1167,$E$2:$E1167,"INFRUCTUEUX")+COUNTIFS($A$2:$A1167,$A1167,$E$2:$E1167,"ANNULE")),""))</f>
        <v/>
      </c>
    </row>
    <row r="1168">
      <c r="A1168">
        <f>IF(ISBLANK('ENGAGEMENTS 2026'!C1168),"",IF('ENGAGEMENTS 2026'!C1168="DTSI","DCT",'ENGAGEMENTS 2026'!C1168))</f>
        <v/>
      </c>
      <c r="B1168">
        <f>IF(ISBLANK('ENGAGEMENTS 2026'!C1168),"",'ENGAGEMENTS 2026'!D1168)</f>
        <v/>
      </c>
      <c r="C1168">
        <f>IF(ISBLANK('ENGAGEMENTS 2026'!C1168),"",'ENGAGEMENTS 2026'!E1168)</f>
        <v/>
      </c>
      <c r="D1168">
        <f>IF(ISBLANK('ENGAGEMENTS 2026'!C1168),"",'ENGAGEMENTS 2026'!G1168)</f>
        <v/>
      </c>
      <c r="E1168">
        <f>IF(ISBLANK('ENGAGEMENTS 2026'!C1168),"",'ENGAGEMENTS 2026'!I1168)</f>
        <v/>
      </c>
      <c r="F1168">
        <f>IF(ISBLANK('ENGAGEMENTS 2026'!C1168),"",'ENGAGEMENTS 2026'!J1168)</f>
        <v/>
      </c>
      <c r="G1168">
        <f>IF(ISBLANK('ENGAGEMENTS 2026'!C1168),"",'ENGAGEMENTS 2026'!M1168)</f>
        <v/>
      </c>
      <c r="H1168">
        <f>IF(ISBLANK('ENGAGEMENTS 2026'!C1168),"",'ENGAGEMENTS 2026'!AF1168)</f>
        <v/>
      </c>
      <c r="I1168">
        <f>IF(ISBLANK('ENGAGEMENTS 2026'!C1168),"",'ENGAGEMENTS 2026'!H1168)</f>
        <v/>
      </c>
      <c r="J1168" s="275">
        <f>IF(ISBLANK('ENGAGEMENTS 2026'!C1168),"",IF(AND(OR($E1168="INFRUCTUEUX",$E1168="ANNULE"),$C1168="AOO-M"),'ENGAGEMENTS 2026'!P1168,IF($H1168="EN COURS DE PREENGAGEMENT",'ENGAGEMENTS 2026'!O1168,IF($H1168="PREENGAGE",IF($E1168="ATTRIBUE",'ENGAGEMENTS 2026'!AE1168,'ENGAGEMENTS 2026'!O1168),'ENGAGEMENTS 2026'!AE1168))))</f>
        <v/>
      </c>
      <c r="K1168" s="604">
        <f>IF(ISBLANK('ENGAGEMENTS 2026'!W1168),"",'ENGAGEMENTS 2026'!W1168)</f>
        <v/>
      </c>
      <c r="L1168" s="276">
        <f>IF($K1168="","",TODAY()-$K1168)</f>
        <v/>
      </c>
      <c r="M1168">
        <f>IF($A1168="","",IF($H1168="ENGAGE","Engagé",IF(AND($H1168="NON ENGAGE",OR($I1168="INFRUCTUEUX",$I1168="ANNULE")),"Clôturé sans suite","En cours")))</f>
        <v/>
      </c>
      <c r="N1168">
        <f>IF(ISBLANK('ENGAGEMENTS 2026'!C1168),"",'ENGAGEMENTS 2026'!L1168)</f>
        <v/>
      </c>
      <c r="O1168">
        <f>IF(ISBLANK('ENGAGEMENTS 2026'!C1168),"",'ENGAGEMENTS 2026'!M1168)</f>
        <v/>
      </c>
      <c r="P1168">
        <f>IF(ISBLANK('ENGAGEMENTS 2026'!C1168),"",'ENGAGEMENTS 2026'!K1168)</f>
        <v/>
      </c>
      <c r="Q1168">
        <f>IF($A1168="","",IF(OR($E1168="INFRUCTUEUX",$E1168="ANNULE"),$A1168&amp;"|"&amp;(COUNTIFS($A$2:$A1168,$A1168,$E$2:$E1168,"INFRUCTUEUX")+COUNTIFS($A$2:$A1168,$A1168,$E$2:$E1168,"ANNULE")),""))</f>
        <v/>
      </c>
    </row>
    <row r="1169">
      <c r="A1169">
        <f>IF(ISBLANK('ENGAGEMENTS 2026'!C1169),"",IF('ENGAGEMENTS 2026'!C1169="DTSI","DCT",'ENGAGEMENTS 2026'!C1169))</f>
        <v/>
      </c>
      <c r="B1169">
        <f>IF(ISBLANK('ENGAGEMENTS 2026'!C1169),"",'ENGAGEMENTS 2026'!D1169)</f>
        <v/>
      </c>
      <c r="C1169">
        <f>IF(ISBLANK('ENGAGEMENTS 2026'!C1169),"",'ENGAGEMENTS 2026'!E1169)</f>
        <v/>
      </c>
      <c r="D1169">
        <f>IF(ISBLANK('ENGAGEMENTS 2026'!C1169),"",'ENGAGEMENTS 2026'!G1169)</f>
        <v/>
      </c>
      <c r="E1169">
        <f>IF(ISBLANK('ENGAGEMENTS 2026'!C1169),"",'ENGAGEMENTS 2026'!I1169)</f>
        <v/>
      </c>
      <c r="F1169">
        <f>IF(ISBLANK('ENGAGEMENTS 2026'!C1169),"",'ENGAGEMENTS 2026'!J1169)</f>
        <v/>
      </c>
      <c r="G1169">
        <f>IF(ISBLANK('ENGAGEMENTS 2026'!C1169),"",'ENGAGEMENTS 2026'!M1169)</f>
        <v/>
      </c>
      <c r="H1169">
        <f>IF(ISBLANK('ENGAGEMENTS 2026'!C1169),"",'ENGAGEMENTS 2026'!AF1169)</f>
        <v/>
      </c>
      <c r="I1169">
        <f>IF(ISBLANK('ENGAGEMENTS 2026'!C1169),"",'ENGAGEMENTS 2026'!H1169)</f>
        <v/>
      </c>
      <c r="J1169" s="275">
        <f>IF(ISBLANK('ENGAGEMENTS 2026'!C1169),"",IF(AND(OR($E1169="INFRUCTUEUX",$E1169="ANNULE"),$C1169="AOO-M"),'ENGAGEMENTS 2026'!P1169,IF($H1169="EN COURS DE PREENGAGEMENT",'ENGAGEMENTS 2026'!O1169,IF($H1169="PREENGAGE",IF($E1169="ATTRIBUE",'ENGAGEMENTS 2026'!AE1169,'ENGAGEMENTS 2026'!O1169),'ENGAGEMENTS 2026'!AE1169))))</f>
        <v/>
      </c>
      <c r="K1169" s="604">
        <f>IF(ISBLANK('ENGAGEMENTS 2026'!W1169),"",'ENGAGEMENTS 2026'!W1169)</f>
        <v/>
      </c>
      <c r="L1169" s="276">
        <f>IF($K1169="","",TODAY()-$K1169)</f>
        <v/>
      </c>
      <c r="M1169">
        <f>IF($A1169="","",IF($H1169="ENGAGE","Engagé",IF(AND($H1169="NON ENGAGE",OR($I1169="INFRUCTUEUX",$I1169="ANNULE")),"Clôturé sans suite","En cours")))</f>
        <v/>
      </c>
      <c r="N1169">
        <f>IF(ISBLANK('ENGAGEMENTS 2026'!C1169),"",'ENGAGEMENTS 2026'!L1169)</f>
        <v/>
      </c>
      <c r="O1169">
        <f>IF(ISBLANK('ENGAGEMENTS 2026'!C1169),"",'ENGAGEMENTS 2026'!M1169)</f>
        <v/>
      </c>
      <c r="P1169">
        <f>IF(ISBLANK('ENGAGEMENTS 2026'!C1169),"",'ENGAGEMENTS 2026'!K1169)</f>
        <v/>
      </c>
      <c r="Q1169">
        <f>IF($A1169="","",IF(OR($E1169="INFRUCTUEUX",$E1169="ANNULE"),$A1169&amp;"|"&amp;(COUNTIFS($A$2:$A1169,$A1169,$E$2:$E1169,"INFRUCTUEUX")+COUNTIFS($A$2:$A1169,$A1169,$E$2:$E1169,"ANNULE")),""))</f>
        <v/>
      </c>
    </row>
    <row r="1170">
      <c r="A1170">
        <f>IF(ISBLANK('ENGAGEMENTS 2026'!C1170),"",IF('ENGAGEMENTS 2026'!C1170="DTSI","DCT",'ENGAGEMENTS 2026'!C1170))</f>
        <v/>
      </c>
      <c r="B1170">
        <f>IF(ISBLANK('ENGAGEMENTS 2026'!C1170),"",'ENGAGEMENTS 2026'!D1170)</f>
        <v/>
      </c>
      <c r="C1170">
        <f>IF(ISBLANK('ENGAGEMENTS 2026'!C1170),"",'ENGAGEMENTS 2026'!E1170)</f>
        <v/>
      </c>
      <c r="D1170">
        <f>IF(ISBLANK('ENGAGEMENTS 2026'!C1170),"",'ENGAGEMENTS 2026'!G1170)</f>
        <v/>
      </c>
      <c r="E1170">
        <f>IF(ISBLANK('ENGAGEMENTS 2026'!C1170),"",'ENGAGEMENTS 2026'!I1170)</f>
        <v/>
      </c>
      <c r="F1170">
        <f>IF(ISBLANK('ENGAGEMENTS 2026'!C1170),"",'ENGAGEMENTS 2026'!J1170)</f>
        <v/>
      </c>
      <c r="G1170">
        <f>IF(ISBLANK('ENGAGEMENTS 2026'!C1170),"",'ENGAGEMENTS 2026'!M1170)</f>
        <v/>
      </c>
      <c r="H1170">
        <f>IF(ISBLANK('ENGAGEMENTS 2026'!C1170),"",'ENGAGEMENTS 2026'!AF1170)</f>
        <v/>
      </c>
      <c r="I1170">
        <f>IF(ISBLANK('ENGAGEMENTS 2026'!C1170),"",'ENGAGEMENTS 2026'!H1170)</f>
        <v/>
      </c>
      <c r="J1170" s="275">
        <f>IF(ISBLANK('ENGAGEMENTS 2026'!C1170),"",IF(AND(OR($E1170="INFRUCTUEUX",$E1170="ANNULE"),$C1170="AOO-M"),'ENGAGEMENTS 2026'!P1170,IF($H1170="EN COURS DE PREENGAGEMENT",'ENGAGEMENTS 2026'!O1170,IF($H1170="PREENGAGE",IF($E1170="ATTRIBUE",'ENGAGEMENTS 2026'!AE1170,'ENGAGEMENTS 2026'!O1170),'ENGAGEMENTS 2026'!AE1170))))</f>
        <v/>
      </c>
      <c r="K1170" s="604">
        <f>IF(ISBLANK('ENGAGEMENTS 2026'!W1170),"",'ENGAGEMENTS 2026'!W1170)</f>
        <v/>
      </c>
      <c r="L1170" s="276">
        <f>IF($K1170="","",TODAY()-$K1170)</f>
        <v/>
      </c>
      <c r="M1170">
        <f>IF($A1170="","",IF($H1170="ENGAGE","Engagé",IF(AND($H1170="NON ENGAGE",OR($I1170="INFRUCTUEUX",$I1170="ANNULE")),"Clôturé sans suite","En cours")))</f>
        <v/>
      </c>
      <c r="N1170">
        <f>IF(ISBLANK('ENGAGEMENTS 2026'!C1170),"",'ENGAGEMENTS 2026'!L1170)</f>
        <v/>
      </c>
      <c r="O1170">
        <f>IF(ISBLANK('ENGAGEMENTS 2026'!C1170),"",'ENGAGEMENTS 2026'!M1170)</f>
        <v/>
      </c>
      <c r="P1170">
        <f>IF(ISBLANK('ENGAGEMENTS 2026'!C1170),"",'ENGAGEMENTS 2026'!K1170)</f>
        <v/>
      </c>
      <c r="Q1170">
        <f>IF($A1170="","",IF(OR($E1170="INFRUCTUEUX",$E1170="ANNULE"),$A1170&amp;"|"&amp;(COUNTIFS($A$2:$A1170,$A1170,$E$2:$E1170,"INFRUCTUEUX")+COUNTIFS($A$2:$A1170,$A1170,$E$2:$E1170,"ANNULE")),""))</f>
        <v/>
      </c>
    </row>
    <row r="1171">
      <c r="A1171">
        <f>IF(ISBLANK('ENGAGEMENTS 2026'!C1171),"",IF('ENGAGEMENTS 2026'!C1171="DTSI","DCT",'ENGAGEMENTS 2026'!C1171))</f>
        <v/>
      </c>
      <c r="B1171">
        <f>IF(ISBLANK('ENGAGEMENTS 2026'!C1171),"",'ENGAGEMENTS 2026'!D1171)</f>
        <v/>
      </c>
      <c r="C1171">
        <f>IF(ISBLANK('ENGAGEMENTS 2026'!C1171),"",'ENGAGEMENTS 2026'!E1171)</f>
        <v/>
      </c>
      <c r="D1171">
        <f>IF(ISBLANK('ENGAGEMENTS 2026'!C1171),"",'ENGAGEMENTS 2026'!G1171)</f>
        <v/>
      </c>
      <c r="E1171">
        <f>IF(ISBLANK('ENGAGEMENTS 2026'!C1171),"",'ENGAGEMENTS 2026'!I1171)</f>
        <v/>
      </c>
      <c r="F1171">
        <f>IF(ISBLANK('ENGAGEMENTS 2026'!C1171),"",'ENGAGEMENTS 2026'!J1171)</f>
        <v/>
      </c>
      <c r="G1171">
        <f>IF(ISBLANK('ENGAGEMENTS 2026'!C1171),"",'ENGAGEMENTS 2026'!M1171)</f>
        <v/>
      </c>
      <c r="H1171">
        <f>IF(ISBLANK('ENGAGEMENTS 2026'!C1171),"",'ENGAGEMENTS 2026'!AF1171)</f>
        <v/>
      </c>
      <c r="I1171">
        <f>IF(ISBLANK('ENGAGEMENTS 2026'!C1171),"",'ENGAGEMENTS 2026'!H1171)</f>
        <v/>
      </c>
      <c r="J1171" s="275">
        <f>IF(ISBLANK('ENGAGEMENTS 2026'!C1171),"",IF(AND(OR($E1171="INFRUCTUEUX",$E1171="ANNULE"),$C1171="AOO-M"),'ENGAGEMENTS 2026'!P1171,IF($H1171="EN COURS DE PREENGAGEMENT",'ENGAGEMENTS 2026'!O1171,IF($H1171="PREENGAGE",IF($E1171="ATTRIBUE",'ENGAGEMENTS 2026'!AE1171,'ENGAGEMENTS 2026'!O1171),'ENGAGEMENTS 2026'!AE1171))))</f>
        <v/>
      </c>
      <c r="K1171" s="604">
        <f>IF(ISBLANK('ENGAGEMENTS 2026'!W1171),"",'ENGAGEMENTS 2026'!W1171)</f>
        <v/>
      </c>
      <c r="L1171" s="276">
        <f>IF($K1171="","",TODAY()-$K1171)</f>
        <v/>
      </c>
      <c r="M1171">
        <f>IF($A1171="","",IF($H1171="ENGAGE","Engagé",IF(AND($H1171="NON ENGAGE",OR($I1171="INFRUCTUEUX",$I1171="ANNULE")),"Clôturé sans suite","En cours")))</f>
        <v/>
      </c>
      <c r="N1171">
        <f>IF(ISBLANK('ENGAGEMENTS 2026'!C1171),"",'ENGAGEMENTS 2026'!L1171)</f>
        <v/>
      </c>
      <c r="O1171">
        <f>IF(ISBLANK('ENGAGEMENTS 2026'!C1171),"",'ENGAGEMENTS 2026'!M1171)</f>
        <v/>
      </c>
      <c r="P1171">
        <f>IF(ISBLANK('ENGAGEMENTS 2026'!C1171),"",'ENGAGEMENTS 2026'!K1171)</f>
        <v/>
      </c>
      <c r="Q1171">
        <f>IF($A1171="","",IF(OR($E1171="INFRUCTUEUX",$E1171="ANNULE"),$A1171&amp;"|"&amp;(COUNTIFS($A$2:$A1171,$A1171,$E$2:$E1171,"INFRUCTUEUX")+COUNTIFS($A$2:$A1171,$A1171,$E$2:$E1171,"ANNULE")),""))</f>
        <v/>
      </c>
    </row>
    <row r="1172">
      <c r="A1172">
        <f>IF(ISBLANK('ENGAGEMENTS 2026'!C1172),"",IF('ENGAGEMENTS 2026'!C1172="DTSI","DCT",'ENGAGEMENTS 2026'!C1172))</f>
        <v/>
      </c>
      <c r="B1172">
        <f>IF(ISBLANK('ENGAGEMENTS 2026'!C1172),"",'ENGAGEMENTS 2026'!D1172)</f>
        <v/>
      </c>
      <c r="C1172">
        <f>IF(ISBLANK('ENGAGEMENTS 2026'!C1172),"",'ENGAGEMENTS 2026'!E1172)</f>
        <v/>
      </c>
      <c r="D1172">
        <f>IF(ISBLANK('ENGAGEMENTS 2026'!C1172),"",'ENGAGEMENTS 2026'!G1172)</f>
        <v/>
      </c>
      <c r="E1172">
        <f>IF(ISBLANK('ENGAGEMENTS 2026'!C1172),"",'ENGAGEMENTS 2026'!I1172)</f>
        <v/>
      </c>
      <c r="F1172">
        <f>IF(ISBLANK('ENGAGEMENTS 2026'!C1172),"",'ENGAGEMENTS 2026'!J1172)</f>
        <v/>
      </c>
      <c r="G1172">
        <f>IF(ISBLANK('ENGAGEMENTS 2026'!C1172),"",'ENGAGEMENTS 2026'!M1172)</f>
        <v/>
      </c>
      <c r="H1172">
        <f>IF(ISBLANK('ENGAGEMENTS 2026'!C1172),"",'ENGAGEMENTS 2026'!AF1172)</f>
        <v/>
      </c>
      <c r="I1172">
        <f>IF(ISBLANK('ENGAGEMENTS 2026'!C1172),"",'ENGAGEMENTS 2026'!H1172)</f>
        <v/>
      </c>
      <c r="J1172" s="275">
        <f>IF(ISBLANK('ENGAGEMENTS 2026'!C1172),"",IF(AND(OR($E1172="INFRUCTUEUX",$E1172="ANNULE"),$C1172="AOO-M"),'ENGAGEMENTS 2026'!P1172,IF($H1172="EN COURS DE PREENGAGEMENT",'ENGAGEMENTS 2026'!O1172,IF($H1172="PREENGAGE",IF($E1172="ATTRIBUE",'ENGAGEMENTS 2026'!AE1172,'ENGAGEMENTS 2026'!O1172),'ENGAGEMENTS 2026'!AE1172))))</f>
        <v/>
      </c>
      <c r="K1172" s="604">
        <f>IF(ISBLANK('ENGAGEMENTS 2026'!W1172),"",'ENGAGEMENTS 2026'!W1172)</f>
        <v/>
      </c>
      <c r="L1172" s="276">
        <f>IF($K1172="","",TODAY()-$K1172)</f>
        <v/>
      </c>
      <c r="M1172">
        <f>IF($A1172="","",IF($H1172="ENGAGE","Engagé",IF(AND($H1172="NON ENGAGE",OR($I1172="INFRUCTUEUX",$I1172="ANNULE")),"Clôturé sans suite","En cours")))</f>
        <v/>
      </c>
      <c r="N1172">
        <f>IF(ISBLANK('ENGAGEMENTS 2026'!C1172),"",'ENGAGEMENTS 2026'!L1172)</f>
        <v/>
      </c>
      <c r="O1172">
        <f>IF(ISBLANK('ENGAGEMENTS 2026'!C1172),"",'ENGAGEMENTS 2026'!M1172)</f>
        <v/>
      </c>
      <c r="P1172">
        <f>IF(ISBLANK('ENGAGEMENTS 2026'!C1172),"",'ENGAGEMENTS 2026'!K1172)</f>
        <v/>
      </c>
      <c r="Q1172">
        <f>IF($A1172="","",IF(OR($E1172="INFRUCTUEUX",$E1172="ANNULE"),$A1172&amp;"|"&amp;(COUNTIFS($A$2:$A1172,$A1172,$E$2:$E1172,"INFRUCTUEUX")+COUNTIFS($A$2:$A1172,$A1172,$E$2:$E1172,"ANNULE")),""))</f>
        <v/>
      </c>
    </row>
    <row r="1173">
      <c r="A1173">
        <f>IF(ISBLANK('ENGAGEMENTS 2026'!C1173),"",IF('ENGAGEMENTS 2026'!C1173="DTSI","DCT",'ENGAGEMENTS 2026'!C1173))</f>
        <v/>
      </c>
      <c r="B1173">
        <f>IF(ISBLANK('ENGAGEMENTS 2026'!C1173),"",'ENGAGEMENTS 2026'!D1173)</f>
        <v/>
      </c>
      <c r="C1173">
        <f>IF(ISBLANK('ENGAGEMENTS 2026'!C1173),"",'ENGAGEMENTS 2026'!E1173)</f>
        <v/>
      </c>
      <c r="D1173">
        <f>IF(ISBLANK('ENGAGEMENTS 2026'!C1173),"",'ENGAGEMENTS 2026'!G1173)</f>
        <v/>
      </c>
      <c r="E1173">
        <f>IF(ISBLANK('ENGAGEMENTS 2026'!C1173),"",'ENGAGEMENTS 2026'!I1173)</f>
        <v/>
      </c>
      <c r="F1173">
        <f>IF(ISBLANK('ENGAGEMENTS 2026'!C1173),"",'ENGAGEMENTS 2026'!J1173)</f>
        <v/>
      </c>
      <c r="G1173">
        <f>IF(ISBLANK('ENGAGEMENTS 2026'!C1173),"",'ENGAGEMENTS 2026'!M1173)</f>
        <v/>
      </c>
      <c r="H1173">
        <f>IF(ISBLANK('ENGAGEMENTS 2026'!C1173),"",'ENGAGEMENTS 2026'!AF1173)</f>
        <v/>
      </c>
      <c r="I1173">
        <f>IF(ISBLANK('ENGAGEMENTS 2026'!C1173),"",'ENGAGEMENTS 2026'!H1173)</f>
        <v/>
      </c>
      <c r="J1173" s="275">
        <f>IF(ISBLANK('ENGAGEMENTS 2026'!C1173),"",IF(AND(OR($E1173="INFRUCTUEUX",$E1173="ANNULE"),$C1173="AOO-M"),'ENGAGEMENTS 2026'!P1173,IF($H1173="EN COURS DE PREENGAGEMENT",'ENGAGEMENTS 2026'!O1173,IF($H1173="PREENGAGE",IF($E1173="ATTRIBUE",'ENGAGEMENTS 2026'!AE1173,'ENGAGEMENTS 2026'!O1173),'ENGAGEMENTS 2026'!AE1173))))</f>
        <v/>
      </c>
      <c r="K1173" s="604">
        <f>IF(ISBLANK('ENGAGEMENTS 2026'!W1173),"",'ENGAGEMENTS 2026'!W1173)</f>
        <v/>
      </c>
      <c r="L1173" s="276">
        <f>IF($K1173="","",TODAY()-$K1173)</f>
        <v/>
      </c>
      <c r="M1173">
        <f>IF($A1173="","",IF($H1173="ENGAGE","Engagé",IF(AND($H1173="NON ENGAGE",OR($I1173="INFRUCTUEUX",$I1173="ANNULE")),"Clôturé sans suite","En cours")))</f>
        <v/>
      </c>
      <c r="N1173">
        <f>IF(ISBLANK('ENGAGEMENTS 2026'!C1173),"",'ENGAGEMENTS 2026'!L1173)</f>
        <v/>
      </c>
      <c r="O1173">
        <f>IF(ISBLANK('ENGAGEMENTS 2026'!C1173),"",'ENGAGEMENTS 2026'!M1173)</f>
        <v/>
      </c>
      <c r="P1173">
        <f>IF(ISBLANK('ENGAGEMENTS 2026'!C1173),"",'ENGAGEMENTS 2026'!K1173)</f>
        <v/>
      </c>
      <c r="Q1173">
        <f>IF($A1173="","",IF(OR($E1173="INFRUCTUEUX",$E1173="ANNULE"),$A1173&amp;"|"&amp;(COUNTIFS($A$2:$A1173,$A1173,$E$2:$E1173,"INFRUCTUEUX")+COUNTIFS($A$2:$A1173,$A1173,$E$2:$E1173,"ANNULE")),""))</f>
        <v/>
      </c>
    </row>
    <row r="1174">
      <c r="A1174">
        <f>IF(ISBLANK('ENGAGEMENTS 2026'!C1174),"",IF('ENGAGEMENTS 2026'!C1174="DTSI","DCT",'ENGAGEMENTS 2026'!C1174))</f>
        <v/>
      </c>
      <c r="B1174">
        <f>IF(ISBLANK('ENGAGEMENTS 2026'!C1174),"",'ENGAGEMENTS 2026'!D1174)</f>
        <v/>
      </c>
      <c r="C1174">
        <f>IF(ISBLANK('ENGAGEMENTS 2026'!C1174),"",'ENGAGEMENTS 2026'!E1174)</f>
        <v/>
      </c>
      <c r="D1174">
        <f>IF(ISBLANK('ENGAGEMENTS 2026'!C1174),"",'ENGAGEMENTS 2026'!G1174)</f>
        <v/>
      </c>
      <c r="E1174">
        <f>IF(ISBLANK('ENGAGEMENTS 2026'!C1174),"",'ENGAGEMENTS 2026'!I1174)</f>
        <v/>
      </c>
      <c r="F1174">
        <f>IF(ISBLANK('ENGAGEMENTS 2026'!C1174),"",'ENGAGEMENTS 2026'!J1174)</f>
        <v/>
      </c>
      <c r="G1174">
        <f>IF(ISBLANK('ENGAGEMENTS 2026'!C1174),"",'ENGAGEMENTS 2026'!M1174)</f>
        <v/>
      </c>
      <c r="H1174">
        <f>IF(ISBLANK('ENGAGEMENTS 2026'!C1174),"",'ENGAGEMENTS 2026'!AF1174)</f>
        <v/>
      </c>
      <c r="I1174">
        <f>IF(ISBLANK('ENGAGEMENTS 2026'!C1174),"",'ENGAGEMENTS 2026'!H1174)</f>
        <v/>
      </c>
      <c r="J1174" s="275">
        <f>IF(ISBLANK('ENGAGEMENTS 2026'!C1174),"",IF(AND(OR($E1174="INFRUCTUEUX",$E1174="ANNULE"),$C1174="AOO-M"),'ENGAGEMENTS 2026'!P1174,IF($H1174="EN COURS DE PREENGAGEMENT",'ENGAGEMENTS 2026'!O1174,IF($H1174="PREENGAGE",IF($E1174="ATTRIBUE",'ENGAGEMENTS 2026'!AE1174,'ENGAGEMENTS 2026'!O1174),'ENGAGEMENTS 2026'!AE1174))))</f>
        <v/>
      </c>
      <c r="K1174" s="604">
        <f>IF(ISBLANK('ENGAGEMENTS 2026'!W1174),"",'ENGAGEMENTS 2026'!W1174)</f>
        <v/>
      </c>
      <c r="L1174" s="276">
        <f>IF($K1174="","",TODAY()-$K1174)</f>
        <v/>
      </c>
      <c r="M1174">
        <f>IF($A1174="","",IF($H1174="ENGAGE","Engagé",IF(AND($H1174="NON ENGAGE",OR($I1174="INFRUCTUEUX",$I1174="ANNULE")),"Clôturé sans suite","En cours")))</f>
        <v/>
      </c>
      <c r="N1174">
        <f>IF(ISBLANK('ENGAGEMENTS 2026'!C1174),"",'ENGAGEMENTS 2026'!L1174)</f>
        <v/>
      </c>
      <c r="O1174">
        <f>IF(ISBLANK('ENGAGEMENTS 2026'!C1174),"",'ENGAGEMENTS 2026'!M1174)</f>
        <v/>
      </c>
      <c r="P1174">
        <f>IF(ISBLANK('ENGAGEMENTS 2026'!C1174),"",'ENGAGEMENTS 2026'!K1174)</f>
        <v/>
      </c>
      <c r="Q1174">
        <f>IF($A1174="","",IF(OR($E1174="INFRUCTUEUX",$E1174="ANNULE"),$A1174&amp;"|"&amp;(COUNTIFS($A$2:$A1174,$A1174,$E$2:$E1174,"INFRUCTUEUX")+COUNTIFS($A$2:$A1174,$A1174,$E$2:$E1174,"ANNULE")),""))</f>
        <v/>
      </c>
    </row>
    <row r="1175">
      <c r="A1175">
        <f>IF(ISBLANK('ENGAGEMENTS 2026'!C1175),"",IF('ENGAGEMENTS 2026'!C1175="DTSI","DCT",'ENGAGEMENTS 2026'!C1175))</f>
        <v/>
      </c>
      <c r="B1175">
        <f>IF(ISBLANK('ENGAGEMENTS 2026'!C1175),"",'ENGAGEMENTS 2026'!D1175)</f>
        <v/>
      </c>
      <c r="C1175">
        <f>IF(ISBLANK('ENGAGEMENTS 2026'!C1175),"",'ENGAGEMENTS 2026'!E1175)</f>
        <v/>
      </c>
      <c r="D1175">
        <f>IF(ISBLANK('ENGAGEMENTS 2026'!C1175),"",'ENGAGEMENTS 2026'!G1175)</f>
        <v/>
      </c>
      <c r="E1175">
        <f>IF(ISBLANK('ENGAGEMENTS 2026'!C1175),"",'ENGAGEMENTS 2026'!I1175)</f>
        <v/>
      </c>
      <c r="F1175">
        <f>IF(ISBLANK('ENGAGEMENTS 2026'!C1175),"",'ENGAGEMENTS 2026'!J1175)</f>
        <v/>
      </c>
      <c r="G1175">
        <f>IF(ISBLANK('ENGAGEMENTS 2026'!C1175),"",'ENGAGEMENTS 2026'!M1175)</f>
        <v/>
      </c>
      <c r="H1175">
        <f>IF(ISBLANK('ENGAGEMENTS 2026'!C1175),"",'ENGAGEMENTS 2026'!AF1175)</f>
        <v/>
      </c>
      <c r="I1175">
        <f>IF(ISBLANK('ENGAGEMENTS 2026'!C1175),"",'ENGAGEMENTS 2026'!H1175)</f>
        <v/>
      </c>
      <c r="J1175" s="275">
        <f>IF(ISBLANK('ENGAGEMENTS 2026'!C1175),"",IF(AND(OR($E1175="INFRUCTUEUX",$E1175="ANNULE"),$C1175="AOO-M"),'ENGAGEMENTS 2026'!P1175,IF($H1175="EN COURS DE PREENGAGEMENT",'ENGAGEMENTS 2026'!O1175,IF($H1175="PREENGAGE",IF($E1175="ATTRIBUE",'ENGAGEMENTS 2026'!AE1175,'ENGAGEMENTS 2026'!O1175),'ENGAGEMENTS 2026'!AE1175))))</f>
        <v/>
      </c>
      <c r="K1175" s="604">
        <f>IF(ISBLANK('ENGAGEMENTS 2026'!W1175),"",'ENGAGEMENTS 2026'!W1175)</f>
        <v/>
      </c>
      <c r="L1175" s="276">
        <f>IF($K1175="","",TODAY()-$K1175)</f>
        <v/>
      </c>
      <c r="M1175">
        <f>IF($A1175="","",IF($H1175="ENGAGE","Engagé",IF(AND($H1175="NON ENGAGE",OR($I1175="INFRUCTUEUX",$I1175="ANNULE")),"Clôturé sans suite","En cours")))</f>
        <v/>
      </c>
      <c r="N1175">
        <f>IF(ISBLANK('ENGAGEMENTS 2026'!C1175),"",'ENGAGEMENTS 2026'!L1175)</f>
        <v/>
      </c>
      <c r="O1175">
        <f>IF(ISBLANK('ENGAGEMENTS 2026'!C1175),"",'ENGAGEMENTS 2026'!M1175)</f>
        <v/>
      </c>
      <c r="P1175">
        <f>IF(ISBLANK('ENGAGEMENTS 2026'!C1175),"",'ENGAGEMENTS 2026'!K1175)</f>
        <v/>
      </c>
      <c r="Q1175">
        <f>IF($A1175="","",IF(OR($E1175="INFRUCTUEUX",$E1175="ANNULE"),$A1175&amp;"|"&amp;(COUNTIFS($A$2:$A1175,$A1175,$E$2:$E1175,"INFRUCTUEUX")+COUNTIFS($A$2:$A1175,$A1175,$E$2:$E1175,"ANNULE")),""))</f>
        <v/>
      </c>
    </row>
    <row r="1176">
      <c r="A1176">
        <f>IF(ISBLANK('ENGAGEMENTS 2026'!C1176),"",IF('ENGAGEMENTS 2026'!C1176="DTSI","DCT",'ENGAGEMENTS 2026'!C1176))</f>
        <v/>
      </c>
      <c r="B1176">
        <f>IF(ISBLANK('ENGAGEMENTS 2026'!C1176),"",'ENGAGEMENTS 2026'!D1176)</f>
        <v/>
      </c>
      <c r="C1176">
        <f>IF(ISBLANK('ENGAGEMENTS 2026'!C1176),"",'ENGAGEMENTS 2026'!E1176)</f>
        <v/>
      </c>
      <c r="D1176">
        <f>IF(ISBLANK('ENGAGEMENTS 2026'!C1176),"",'ENGAGEMENTS 2026'!G1176)</f>
        <v/>
      </c>
      <c r="E1176">
        <f>IF(ISBLANK('ENGAGEMENTS 2026'!C1176),"",'ENGAGEMENTS 2026'!I1176)</f>
        <v/>
      </c>
      <c r="F1176">
        <f>IF(ISBLANK('ENGAGEMENTS 2026'!C1176),"",'ENGAGEMENTS 2026'!J1176)</f>
        <v/>
      </c>
      <c r="G1176">
        <f>IF(ISBLANK('ENGAGEMENTS 2026'!C1176),"",'ENGAGEMENTS 2026'!M1176)</f>
        <v/>
      </c>
      <c r="H1176">
        <f>IF(ISBLANK('ENGAGEMENTS 2026'!C1176),"",'ENGAGEMENTS 2026'!AF1176)</f>
        <v/>
      </c>
      <c r="I1176">
        <f>IF(ISBLANK('ENGAGEMENTS 2026'!C1176),"",'ENGAGEMENTS 2026'!H1176)</f>
        <v/>
      </c>
      <c r="J1176" s="275">
        <f>IF(ISBLANK('ENGAGEMENTS 2026'!C1176),"",IF(AND(OR($E1176="INFRUCTUEUX",$E1176="ANNULE"),$C1176="AOO-M"),'ENGAGEMENTS 2026'!P1176,IF($H1176="EN COURS DE PREENGAGEMENT",'ENGAGEMENTS 2026'!O1176,IF($H1176="PREENGAGE",IF($E1176="ATTRIBUE",'ENGAGEMENTS 2026'!AE1176,'ENGAGEMENTS 2026'!O1176),'ENGAGEMENTS 2026'!AE1176))))</f>
        <v/>
      </c>
      <c r="K1176" s="604">
        <f>IF(ISBLANK('ENGAGEMENTS 2026'!W1176),"",'ENGAGEMENTS 2026'!W1176)</f>
        <v/>
      </c>
      <c r="L1176" s="276">
        <f>IF($K1176="","",TODAY()-$K1176)</f>
        <v/>
      </c>
      <c r="M1176">
        <f>IF($A1176="","",IF($H1176="ENGAGE","Engagé",IF(AND($H1176="NON ENGAGE",OR($I1176="INFRUCTUEUX",$I1176="ANNULE")),"Clôturé sans suite","En cours")))</f>
        <v/>
      </c>
      <c r="N1176">
        <f>IF(ISBLANK('ENGAGEMENTS 2026'!C1176),"",'ENGAGEMENTS 2026'!L1176)</f>
        <v/>
      </c>
      <c r="O1176">
        <f>IF(ISBLANK('ENGAGEMENTS 2026'!C1176),"",'ENGAGEMENTS 2026'!M1176)</f>
        <v/>
      </c>
      <c r="P1176">
        <f>IF(ISBLANK('ENGAGEMENTS 2026'!C1176),"",'ENGAGEMENTS 2026'!K1176)</f>
        <v/>
      </c>
      <c r="Q1176">
        <f>IF($A1176="","",IF(OR($E1176="INFRUCTUEUX",$E1176="ANNULE"),$A1176&amp;"|"&amp;(COUNTIFS($A$2:$A1176,$A1176,$E$2:$E1176,"INFRUCTUEUX")+COUNTIFS($A$2:$A1176,$A1176,$E$2:$E1176,"ANNULE")),""))</f>
        <v/>
      </c>
    </row>
    <row r="1177">
      <c r="A1177">
        <f>IF(ISBLANK('ENGAGEMENTS 2026'!C1177),"",IF('ENGAGEMENTS 2026'!C1177="DTSI","DCT",'ENGAGEMENTS 2026'!C1177))</f>
        <v/>
      </c>
      <c r="B1177">
        <f>IF(ISBLANK('ENGAGEMENTS 2026'!C1177),"",'ENGAGEMENTS 2026'!D1177)</f>
        <v/>
      </c>
      <c r="C1177">
        <f>IF(ISBLANK('ENGAGEMENTS 2026'!C1177),"",'ENGAGEMENTS 2026'!E1177)</f>
        <v/>
      </c>
      <c r="D1177">
        <f>IF(ISBLANK('ENGAGEMENTS 2026'!C1177),"",'ENGAGEMENTS 2026'!G1177)</f>
        <v/>
      </c>
      <c r="E1177">
        <f>IF(ISBLANK('ENGAGEMENTS 2026'!C1177),"",'ENGAGEMENTS 2026'!I1177)</f>
        <v/>
      </c>
      <c r="F1177">
        <f>IF(ISBLANK('ENGAGEMENTS 2026'!C1177),"",'ENGAGEMENTS 2026'!J1177)</f>
        <v/>
      </c>
      <c r="G1177">
        <f>IF(ISBLANK('ENGAGEMENTS 2026'!C1177),"",'ENGAGEMENTS 2026'!M1177)</f>
        <v/>
      </c>
      <c r="H1177">
        <f>IF(ISBLANK('ENGAGEMENTS 2026'!C1177),"",'ENGAGEMENTS 2026'!AF1177)</f>
        <v/>
      </c>
      <c r="I1177">
        <f>IF(ISBLANK('ENGAGEMENTS 2026'!C1177),"",'ENGAGEMENTS 2026'!H1177)</f>
        <v/>
      </c>
      <c r="J1177" s="275">
        <f>IF(ISBLANK('ENGAGEMENTS 2026'!C1177),"",IF(AND(OR($E1177="INFRUCTUEUX",$E1177="ANNULE"),$C1177="AOO-M"),'ENGAGEMENTS 2026'!P1177,IF($H1177="EN COURS DE PREENGAGEMENT",'ENGAGEMENTS 2026'!O1177,IF($H1177="PREENGAGE",IF($E1177="ATTRIBUE",'ENGAGEMENTS 2026'!AE1177,'ENGAGEMENTS 2026'!O1177),'ENGAGEMENTS 2026'!AE1177))))</f>
        <v/>
      </c>
      <c r="K1177" s="604">
        <f>IF(ISBLANK('ENGAGEMENTS 2026'!W1177),"",'ENGAGEMENTS 2026'!W1177)</f>
        <v/>
      </c>
      <c r="L1177" s="276">
        <f>IF($K1177="","",TODAY()-$K1177)</f>
        <v/>
      </c>
      <c r="M1177">
        <f>IF($A1177="","",IF($H1177="ENGAGE","Engagé",IF(AND($H1177="NON ENGAGE",OR($I1177="INFRUCTUEUX",$I1177="ANNULE")),"Clôturé sans suite","En cours")))</f>
        <v/>
      </c>
      <c r="N1177">
        <f>IF(ISBLANK('ENGAGEMENTS 2026'!C1177),"",'ENGAGEMENTS 2026'!L1177)</f>
        <v/>
      </c>
      <c r="O1177">
        <f>IF(ISBLANK('ENGAGEMENTS 2026'!C1177),"",'ENGAGEMENTS 2026'!M1177)</f>
        <v/>
      </c>
      <c r="P1177">
        <f>IF(ISBLANK('ENGAGEMENTS 2026'!C1177),"",'ENGAGEMENTS 2026'!K1177)</f>
        <v/>
      </c>
      <c r="Q1177">
        <f>IF($A1177="","",IF(OR($E1177="INFRUCTUEUX",$E1177="ANNULE"),$A1177&amp;"|"&amp;(COUNTIFS($A$2:$A1177,$A1177,$E$2:$E1177,"INFRUCTUEUX")+COUNTIFS($A$2:$A1177,$A1177,$E$2:$E1177,"ANNULE")),""))</f>
        <v/>
      </c>
    </row>
    <row r="1178">
      <c r="A1178">
        <f>IF(ISBLANK('ENGAGEMENTS 2026'!C1178),"",IF('ENGAGEMENTS 2026'!C1178="DTSI","DCT",'ENGAGEMENTS 2026'!C1178))</f>
        <v/>
      </c>
      <c r="B1178">
        <f>IF(ISBLANK('ENGAGEMENTS 2026'!C1178),"",'ENGAGEMENTS 2026'!D1178)</f>
        <v/>
      </c>
      <c r="C1178">
        <f>IF(ISBLANK('ENGAGEMENTS 2026'!C1178),"",'ENGAGEMENTS 2026'!E1178)</f>
        <v/>
      </c>
      <c r="D1178">
        <f>IF(ISBLANK('ENGAGEMENTS 2026'!C1178),"",'ENGAGEMENTS 2026'!G1178)</f>
        <v/>
      </c>
      <c r="E1178">
        <f>IF(ISBLANK('ENGAGEMENTS 2026'!C1178),"",'ENGAGEMENTS 2026'!I1178)</f>
        <v/>
      </c>
      <c r="F1178">
        <f>IF(ISBLANK('ENGAGEMENTS 2026'!C1178),"",'ENGAGEMENTS 2026'!J1178)</f>
        <v/>
      </c>
      <c r="G1178">
        <f>IF(ISBLANK('ENGAGEMENTS 2026'!C1178),"",'ENGAGEMENTS 2026'!M1178)</f>
        <v/>
      </c>
      <c r="H1178">
        <f>IF(ISBLANK('ENGAGEMENTS 2026'!C1178),"",'ENGAGEMENTS 2026'!AF1178)</f>
        <v/>
      </c>
      <c r="I1178">
        <f>IF(ISBLANK('ENGAGEMENTS 2026'!C1178),"",'ENGAGEMENTS 2026'!H1178)</f>
        <v/>
      </c>
      <c r="J1178" s="275">
        <f>IF(ISBLANK('ENGAGEMENTS 2026'!C1178),"",IF(AND(OR($E1178="INFRUCTUEUX",$E1178="ANNULE"),$C1178="AOO-M"),'ENGAGEMENTS 2026'!P1178,IF($H1178="EN COURS DE PREENGAGEMENT",'ENGAGEMENTS 2026'!O1178,IF($H1178="PREENGAGE",IF($E1178="ATTRIBUE",'ENGAGEMENTS 2026'!AE1178,'ENGAGEMENTS 2026'!O1178),'ENGAGEMENTS 2026'!AE1178))))</f>
        <v/>
      </c>
      <c r="K1178" s="604">
        <f>IF(ISBLANK('ENGAGEMENTS 2026'!W1178),"",'ENGAGEMENTS 2026'!W1178)</f>
        <v/>
      </c>
      <c r="L1178" s="276">
        <f>IF($K1178="","",TODAY()-$K1178)</f>
        <v/>
      </c>
      <c r="M1178">
        <f>IF($A1178="","",IF($H1178="ENGAGE","Engagé",IF(AND($H1178="NON ENGAGE",OR($I1178="INFRUCTUEUX",$I1178="ANNULE")),"Clôturé sans suite","En cours")))</f>
        <v/>
      </c>
      <c r="N1178">
        <f>IF(ISBLANK('ENGAGEMENTS 2026'!C1178),"",'ENGAGEMENTS 2026'!L1178)</f>
        <v/>
      </c>
      <c r="O1178">
        <f>IF(ISBLANK('ENGAGEMENTS 2026'!C1178),"",'ENGAGEMENTS 2026'!M1178)</f>
        <v/>
      </c>
      <c r="P1178">
        <f>IF(ISBLANK('ENGAGEMENTS 2026'!C1178),"",'ENGAGEMENTS 2026'!K1178)</f>
        <v/>
      </c>
      <c r="Q1178">
        <f>IF($A1178="","",IF(OR($E1178="INFRUCTUEUX",$E1178="ANNULE"),$A1178&amp;"|"&amp;(COUNTIFS($A$2:$A1178,$A1178,$E$2:$E1178,"INFRUCTUEUX")+COUNTIFS($A$2:$A1178,$A1178,$E$2:$E1178,"ANNULE")),""))</f>
        <v/>
      </c>
    </row>
    <row r="1179">
      <c r="A1179">
        <f>IF(ISBLANK('ENGAGEMENTS 2026'!C1179),"",IF('ENGAGEMENTS 2026'!C1179="DTSI","DCT",'ENGAGEMENTS 2026'!C1179))</f>
        <v/>
      </c>
      <c r="B1179">
        <f>IF(ISBLANK('ENGAGEMENTS 2026'!C1179),"",'ENGAGEMENTS 2026'!D1179)</f>
        <v/>
      </c>
      <c r="C1179">
        <f>IF(ISBLANK('ENGAGEMENTS 2026'!C1179),"",'ENGAGEMENTS 2026'!E1179)</f>
        <v/>
      </c>
      <c r="D1179">
        <f>IF(ISBLANK('ENGAGEMENTS 2026'!C1179),"",'ENGAGEMENTS 2026'!G1179)</f>
        <v/>
      </c>
      <c r="E1179">
        <f>IF(ISBLANK('ENGAGEMENTS 2026'!C1179),"",'ENGAGEMENTS 2026'!I1179)</f>
        <v/>
      </c>
      <c r="F1179">
        <f>IF(ISBLANK('ENGAGEMENTS 2026'!C1179),"",'ENGAGEMENTS 2026'!J1179)</f>
        <v/>
      </c>
      <c r="G1179">
        <f>IF(ISBLANK('ENGAGEMENTS 2026'!C1179),"",'ENGAGEMENTS 2026'!M1179)</f>
        <v/>
      </c>
      <c r="H1179">
        <f>IF(ISBLANK('ENGAGEMENTS 2026'!C1179),"",'ENGAGEMENTS 2026'!AF1179)</f>
        <v/>
      </c>
      <c r="I1179">
        <f>IF(ISBLANK('ENGAGEMENTS 2026'!C1179),"",'ENGAGEMENTS 2026'!H1179)</f>
        <v/>
      </c>
      <c r="J1179" s="275">
        <f>IF(ISBLANK('ENGAGEMENTS 2026'!C1179),"",IF(AND(OR($E1179="INFRUCTUEUX",$E1179="ANNULE"),$C1179="AOO-M"),'ENGAGEMENTS 2026'!P1179,IF($H1179="EN COURS DE PREENGAGEMENT",'ENGAGEMENTS 2026'!O1179,IF($H1179="PREENGAGE",IF($E1179="ATTRIBUE",'ENGAGEMENTS 2026'!AE1179,'ENGAGEMENTS 2026'!O1179),'ENGAGEMENTS 2026'!AE1179))))</f>
        <v/>
      </c>
      <c r="K1179" s="604">
        <f>IF(ISBLANK('ENGAGEMENTS 2026'!W1179),"",'ENGAGEMENTS 2026'!W1179)</f>
        <v/>
      </c>
      <c r="L1179" s="276">
        <f>IF($K1179="","",TODAY()-$K1179)</f>
        <v/>
      </c>
      <c r="M1179">
        <f>IF($A1179="","",IF($H1179="ENGAGE","Engagé",IF(AND($H1179="NON ENGAGE",OR($I1179="INFRUCTUEUX",$I1179="ANNULE")),"Clôturé sans suite","En cours")))</f>
        <v/>
      </c>
      <c r="N1179">
        <f>IF(ISBLANK('ENGAGEMENTS 2026'!C1179),"",'ENGAGEMENTS 2026'!L1179)</f>
        <v/>
      </c>
      <c r="O1179">
        <f>IF(ISBLANK('ENGAGEMENTS 2026'!C1179),"",'ENGAGEMENTS 2026'!M1179)</f>
        <v/>
      </c>
      <c r="P1179">
        <f>IF(ISBLANK('ENGAGEMENTS 2026'!C1179),"",'ENGAGEMENTS 2026'!K1179)</f>
        <v/>
      </c>
      <c r="Q1179">
        <f>IF($A1179="","",IF(OR($E1179="INFRUCTUEUX",$E1179="ANNULE"),$A1179&amp;"|"&amp;(COUNTIFS($A$2:$A1179,$A1179,$E$2:$E1179,"INFRUCTUEUX")+COUNTIFS($A$2:$A1179,$A1179,$E$2:$E1179,"ANNULE")),""))</f>
        <v/>
      </c>
    </row>
    <row r="1180">
      <c r="A1180">
        <f>IF(ISBLANK('ENGAGEMENTS 2026'!C1180),"",IF('ENGAGEMENTS 2026'!C1180="DTSI","DCT",'ENGAGEMENTS 2026'!C1180))</f>
        <v/>
      </c>
      <c r="B1180">
        <f>IF(ISBLANK('ENGAGEMENTS 2026'!C1180),"",'ENGAGEMENTS 2026'!D1180)</f>
        <v/>
      </c>
      <c r="C1180">
        <f>IF(ISBLANK('ENGAGEMENTS 2026'!C1180),"",'ENGAGEMENTS 2026'!E1180)</f>
        <v/>
      </c>
      <c r="D1180">
        <f>IF(ISBLANK('ENGAGEMENTS 2026'!C1180),"",'ENGAGEMENTS 2026'!G1180)</f>
        <v/>
      </c>
      <c r="E1180">
        <f>IF(ISBLANK('ENGAGEMENTS 2026'!C1180),"",'ENGAGEMENTS 2026'!I1180)</f>
        <v/>
      </c>
      <c r="F1180">
        <f>IF(ISBLANK('ENGAGEMENTS 2026'!C1180),"",'ENGAGEMENTS 2026'!J1180)</f>
        <v/>
      </c>
      <c r="G1180">
        <f>IF(ISBLANK('ENGAGEMENTS 2026'!C1180),"",'ENGAGEMENTS 2026'!M1180)</f>
        <v/>
      </c>
      <c r="H1180">
        <f>IF(ISBLANK('ENGAGEMENTS 2026'!C1180),"",'ENGAGEMENTS 2026'!AF1180)</f>
        <v/>
      </c>
      <c r="I1180">
        <f>IF(ISBLANK('ENGAGEMENTS 2026'!C1180),"",'ENGAGEMENTS 2026'!H1180)</f>
        <v/>
      </c>
      <c r="J1180" s="275">
        <f>IF(ISBLANK('ENGAGEMENTS 2026'!C1180),"",IF(AND(OR($E1180="INFRUCTUEUX",$E1180="ANNULE"),$C1180="AOO-M"),'ENGAGEMENTS 2026'!P1180,IF($H1180="EN COURS DE PREENGAGEMENT",'ENGAGEMENTS 2026'!O1180,IF($H1180="PREENGAGE",IF($E1180="ATTRIBUE",'ENGAGEMENTS 2026'!AE1180,'ENGAGEMENTS 2026'!O1180),'ENGAGEMENTS 2026'!AE1180))))</f>
        <v/>
      </c>
      <c r="K1180" s="604">
        <f>IF(ISBLANK('ENGAGEMENTS 2026'!W1180),"",'ENGAGEMENTS 2026'!W1180)</f>
        <v/>
      </c>
      <c r="L1180" s="276">
        <f>IF($K1180="","",TODAY()-$K1180)</f>
        <v/>
      </c>
      <c r="M1180">
        <f>IF($A1180="","",IF($H1180="ENGAGE","Engagé",IF(AND($H1180="NON ENGAGE",OR($I1180="INFRUCTUEUX",$I1180="ANNULE")),"Clôturé sans suite","En cours")))</f>
        <v/>
      </c>
      <c r="N1180">
        <f>IF(ISBLANK('ENGAGEMENTS 2026'!C1180),"",'ENGAGEMENTS 2026'!L1180)</f>
        <v/>
      </c>
      <c r="O1180">
        <f>IF(ISBLANK('ENGAGEMENTS 2026'!C1180),"",'ENGAGEMENTS 2026'!M1180)</f>
        <v/>
      </c>
      <c r="P1180">
        <f>IF(ISBLANK('ENGAGEMENTS 2026'!C1180),"",'ENGAGEMENTS 2026'!K1180)</f>
        <v/>
      </c>
      <c r="Q1180">
        <f>IF($A1180="","",IF(OR($E1180="INFRUCTUEUX",$E1180="ANNULE"),$A1180&amp;"|"&amp;(COUNTIFS($A$2:$A1180,$A1180,$E$2:$E1180,"INFRUCTUEUX")+COUNTIFS($A$2:$A1180,$A1180,$E$2:$E1180,"ANNULE")),""))</f>
        <v/>
      </c>
    </row>
    <row r="1181">
      <c r="A1181">
        <f>IF(ISBLANK('ENGAGEMENTS 2026'!C1181),"",IF('ENGAGEMENTS 2026'!C1181="DTSI","DCT",'ENGAGEMENTS 2026'!C1181))</f>
        <v/>
      </c>
      <c r="B1181">
        <f>IF(ISBLANK('ENGAGEMENTS 2026'!C1181),"",'ENGAGEMENTS 2026'!D1181)</f>
        <v/>
      </c>
      <c r="C1181">
        <f>IF(ISBLANK('ENGAGEMENTS 2026'!C1181),"",'ENGAGEMENTS 2026'!E1181)</f>
        <v/>
      </c>
      <c r="D1181">
        <f>IF(ISBLANK('ENGAGEMENTS 2026'!C1181),"",'ENGAGEMENTS 2026'!G1181)</f>
        <v/>
      </c>
      <c r="E1181">
        <f>IF(ISBLANK('ENGAGEMENTS 2026'!C1181),"",'ENGAGEMENTS 2026'!I1181)</f>
        <v/>
      </c>
      <c r="F1181">
        <f>IF(ISBLANK('ENGAGEMENTS 2026'!C1181),"",'ENGAGEMENTS 2026'!J1181)</f>
        <v/>
      </c>
      <c r="G1181">
        <f>IF(ISBLANK('ENGAGEMENTS 2026'!C1181),"",'ENGAGEMENTS 2026'!M1181)</f>
        <v/>
      </c>
      <c r="H1181">
        <f>IF(ISBLANK('ENGAGEMENTS 2026'!C1181),"",'ENGAGEMENTS 2026'!AF1181)</f>
        <v/>
      </c>
      <c r="I1181">
        <f>IF(ISBLANK('ENGAGEMENTS 2026'!C1181),"",'ENGAGEMENTS 2026'!H1181)</f>
        <v/>
      </c>
      <c r="J1181" s="275">
        <f>IF(ISBLANK('ENGAGEMENTS 2026'!C1181),"",IF(AND(OR($E1181="INFRUCTUEUX",$E1181="ANNULE"),$C1181="AOO-M"),'ENGAGEMENTS 2026'!P1181,IF($H1181="EN COURS DE PREENGAGEMENT",'ENGAGEMENTS 2026'!O1181,IF($H1181="PREENGAGE",IF($E1181="ATTRIBUE",'ENGAGEMENTS 2026'!AE1181,'ENGAGEMENTS 2026'!O1181),'ENGAGEMENTS 2026'!AE1181))))</f>
        <v/>
      </c>
      <c r="K1181" s="604">
        <f>IF(ISBLANK('ENGAGEMENTS 2026'!W1181),"",'ENGAGEMENTS 2026'!W1181)</f>
        <v/>
      </c>
      <c r="L1181" s="276">
        <f>IF($K1181="","",TODAY()-$K1181)</f>
        <v/>
      </c>
      <c r="M1181">
        <f>IF($A1181="","",IF($H1181="ENGAGE","Engagé",IF(AND($H1181="NON ENGAGE",OR($I1181="INFRUCTUEUX",$I1181="ANNULE")),"Clôturé sans suite","En cours")))</f>
        <v/>
      </c>
      <c r="N1181">
        <f>IF(ISBLANK('ENGAGEMENTS 2026'!C1181),"",'ENGAGEMENTS 2026'!L1181)</f>
        <v/>
      </c>
      <c r="O1181">
        <f>IF(ISBLANK('ENGAGEMENTS 2026'!C1181),"",'ENGAGEMENTS 2026'!M1181)</f>
        <v/>
      </c>
      <c r="P1181">
        <f>IF(ISBLANK('ENGAGEMENTS 2026'!C1181),"",'ENGAGEMENTS 2026'!K1181)</f>
        <v/>
      </c>
      <c r="Q1181">
        <f>IF($A1181="","",IF(OR($E1181="INFRUCTUEUX",$E1181="ANNULE"),$A1181&amp;"|"&amp;(COUNTIFS($A$2:$A1181,$A1181,$E$2:$E1181,"INFRUCTUEUX")+COUNTIFS($A$2:$A1181,$A1181,$E$2:$E1181,"ANNULE")),""))</f>
        <v/>
      </c>
    </row>
    <row r="1182">
      <c r="A1182">
        <f>IF(ISBLANK('ENGAGEMENTS 2026'!C1182),"",IF('ENGAGEMENTS 2026'!C1182="DTSI","DCT",'ENGAGEMENTS 2026'!C1182))</f>
        <v/>
      </c>
      <c r="B1182">
        <f>IF(ISBLANK('ENGAGEMENTS 2026'!C1182),"",'ENGAGEMENTS 2026'!D1182)</f>
        <v/>
      </c>
      <c r="C1182">
        <f>IF(ISBLANK('ENGAGEMENTS 2026'!C1182),"",'ENGAGEMENTS 2026'!E1182)</f>
        <v/>
      </c>
      <c r="D1182">
        <f>IF(ISBLANK('ENGAGEMENTS 2026'!C1182),"",'ENGAGEMENTS 2026'!G1182)</f>
        <v/>
      </c>
      <c r="E1182">
        <f>IF(ISBLANK('ENGAGEMENTS 2026'!C1182),"",'ENGAGEMENTS 2026'!I1182)</f>
        <v/>
      </c>
      <c r="F1182">
        <f>IF(ISBLANK('ENGAGEMENTS 2026'!C1182),"",'ENGAGEMENTS 2026'!J1182)</f>
        <v/>
      </c>
      <c r="G1182">
        <f>IF(ISBLANK('ENGAGEMENTS 2026'!C1182),"",'ENGAGEMENTS 2026'!M1182)</f>
        <v/>
      </c>
      <c r="H1182">
        <f>IF(ISBLANK('ENGAGEMENTS 2026'!C1182),"",'ENGAGEMENTS 2026'!AF1182)</f>
        <v/>
      </c>
      <c r="I1182">
        <f>IF(ISBLANK('ENGAGEMENTS 2026'!C1182),"",'ENGAGEMENTS 2026'!H1182)</f>
        <v/>
      </c>
      <c r="J1182" s="275">
        <f>IF(ISBLANK('ENGAGEMENTS 2026'!C1182),"",IF(AND(OR($E1182="INFRUCTUEUX",$E1182="ANNULE"),$C1182="AOO-M"),'ENGAGEMENTS 2026'!P1182,IF($H1182="EN COURS DE PREENGAGEMENT",'ENGAGEMENTS 2026'!O1182,IF($H1182="PREENGAGE",IF($E1182="ATTRIBUE",'ENGAGEMENTS 2026'!AE1182,'ENGAGEMENTS 2026'!O1182),'ENGAGEMENTS 2026'!AE1182))))</f>
        <v/>
      </c>
      <c r="K1182" s="604">
        <f>IF(ISBLANK('ENGAGEMENTS 2026'!W1182),"",'ENGAGEMENTS 2026'!W1182)</f>
        <v/>
      </c>
      <c r="L1182" s="276">
        <f>IF($K1182="","",TODAY()-$K1182)</f>
        <v/>
      </c>
      <c r="M1182">
        <f>IF($A1182="","",IF($H1182="ENGAGE","Engagé",IF(AND($H1182="NON ENGAGE",OR($I1182="INFRUCTUEUX",$I1182="ANNULE")),"Clôturé sans suite","En cours")))</f>
        <v/>
      </c>
      <c r="N1182">
        <f>IF(ISBLANK('ENGAGEMENTS 2026'!C1182),"",'ENGAGEMENTS 2026'!L1182)</f>
        <v/>
      </c>
      <c r="O1182">
        <f>IF(ISBLANK('ENGAGEMENTS 2026'!C1182),"",'ENGAGEMENTS 2026'!M1182)</f>
        <v/>
      </c>
      <c r="P1182">
        <f>IF(ISBLANK('ENGAGEMENTS 2026'!C1182),"",'ENGAGEMENTS 2026'!K1182)</f>
        <v/>
      </c>
      <c r="Q1182">
        <f>IF($A1182="","",IF(OR($E1182="INFRUCTUEUX",$E1182="ANNULE"),$A1182&amp;"|"&amp;(COUNTIFS($A$2:$A1182,$A1182,$E$2:$E1182,"INFRUCTUEUX")+COUNTIFS($A$2:$A1182,$A1182,$E$2:$E1182,"ANNULE")),""))</f>
        <v/>
      </c>
    </row>
    <row r="1183">
      <c r="A1183">
        <f>IF(ISBLANK('ENGAGEMENTS 2026'!C1183),"",IF('ENGAGEMENTS 2026'!C1183="DTSI","DCT",'ENGAGEMENTS 2026'!C1183))</f>
        <v/>
      </c>
      <c r="B1183">
        <f>IF(ISBLANK('ENGAGEMENTS 2026'!C1183),"",'ENGAGEMENTS 2026'!D1183)</f>
        <v/>
      </c>
      <c r="C1183">
        <f>IF(ISBLANK('ENGAGEMENTS 2026'!C1183),"",'ENGAGEMENTS 2026'!E1183)</f>
        <v/>
      </c>
      <c r="D1183">
        <f>IF(ISBLANK('ENGAGEMENTS 2026'!C1183),"",'ENGAGEMENTS 2026'!G1183)</f>
        <v/>
      </c>
      <c r="E1183">
        <f>IF(ISBLANK('ENGAGEMENTS 2026'!C1183),"",'ENGAGEMENTS 2026'!I1183)</f>
        <v/>
      </c>
      <c r="F1183">
        <f>IF(ISBLANK('ENGAGEMENTS 2026'!C1183),"",'ENGAGEMENTS 2026'!J1183)</f>
        <v/>
      </c>
      <c r="G1183">
        <f>IF(ISBLANK('ENGAGEMENTS 2026'!C1183),"",'ENGAGEMENTS 2026'!M1183)</f>
        <v/>
      </c>
      <c r="H1183">
        <f>IF(ISBLANK('ENGAGEMENTS 2026'!C1183),"",'ENGAGEMENTS 2026'!AF1183)</f>
        <v/>
      </c>
      <c r="I1183">
        <f>IF(ISBLANK('ENGAGEMENTS 2026'!C1183),"",'ENGAGEMENTS 2026'!H1183)</f>
        <v/>
      </c>
      <c r="J1183" s="275">
        <f>IF(ISBLANK('ENGAGEMENTS 2026'!C1183),"",IF(AND(OR($E1183="INFRUCTUEUX",$E1183="ANNULE"),$C1183="AOO-M"),'ENGAGEMENTS 2026'!P1183,IF($H1183="EN COURS DE PREENGAGEMENT",'ENGAGEMENTS 2026'!O1183,IF($H1183="PREENGAGE",IF($E1183="ATTRIBUE",'ENGAGEMENTS 2026'!AE1183,'ENGAGEMENTS 2026'!O1183),'ENGAGEMENTS 2026'!AE1183))))</f>
        <v/>
      </c>
      <c r="K1183" s="604">
        <f>IF(ISBLANK('ENGAGEMENTS 2026'!W1183),"",'ENGAGEMENTS 2026'!W1183)</f>
        <v/>
      </c>
      <c r="L1183" s="276">
        <f>IF($K1183="","",TODAY()-$K1183)</f>
        <v/>
      </c>
      <c r="M1183">
        <f>IF($A1183="","",IF($H1183="ENGAGE","Engagé",IF(AND($H1183="NON ENGAGE",OR($I1183="INFRUCTUEUX",$I1183="ANNULE")),"Clôturé sans suite","En cours")))</f>
        <v/>
      </c>
      <c r="N1183">
        <f>IF(ISBLANK('ENGAGEMENTS 2026'!C1183),"",'ENGAGEMENTS 2026'!L1183)</f>
        <v/>
      </c>
      <c r="O1183">
        <f>IF(ISBLANK('ENGAGEMENTS 2026'!C1183),"",'ENGAGEMENTS 2026'!M1183)</f>
        <v/>
      </c>
      <c r="P1183">
        <f>IF(ISBLANK('ENGAGEMENTS 2026'!C1183),"",'ENGAGEMENTS 2026'!K1183)</f>
        <v/>
      </c>
      <c r="Q1183">
        <f>IF($A1183="","",IF(OR($E1183="INFRUCTUEUX",$E1183="ANNULE"),$A1183&amp;"|"&amp;(COUNTIFS($A$2:$A1183,$A1183,$E$2:$E1183,"INFRUCTUEUX")+COUNTIFS($A$2:$A1183,$A1183,$E$2:$E1183,"ANNULE")),""))</f>
        <v/>
      </c>
    </row>
    <row r="1184">
      <c r="A1184">
        <f>IF(ISBLANK('ENGAGEMENTS 2026'!C1184),"",IF('ENGAGEMENTS 2026'!C1184="DTSI","DCT",'ENGAGEMENTS 2026'!C1184))</f>
        <v/>
      </c>
      <c r="B1184">
        <f>IF(ISBLANK('ENGAGEMENTS 2026'!C1184),"",'ENGAGEMENTS 2026'!D1184)</f>
        <v/>
      </c>
      <c r="C1184">
        <f>IF(ISBLANK('ENGAGEMENTS 2026'!C1184),"",'ENGAGEMENTS 2026'!E1184)</f>
        <v/>
      </c>
      <c r="D1184">
        <f>IF(ISBLANK('ENGAGEMENTS 2026'!C1184),"",'ENGAGEMENTS 2026'!G1184)</f>
        <v/>
      </c>
      <c r="E1184">
        <f>IF(ISBLANK('ENGAGEMENTS 2026'!C1184),"",'ENGAGEMENTS 2026'!I1184)</f>
        <v/>
      </c>
      <c r="F1184">
        <f>IF(ISBLANK('ENGAGEMENTS 2026'!C1184),"",'ENGAGEMENTS 2026'!J1184)</f>
        <v/>
      </c>
      <c r="G1184">
        <f>IF(ISBLANK('ENGAGEMENTS 2026'!C1184),"",'ENGAGEMENTS 2026'!M1184)</f>
        <v/>
      </c>
      <c r="H1184">
        <f>IF(ISBLANK('ENGAGEMENTS 2026'!C1184),"",'ENGAGEMENTS 2026'!AF1184)</f>
        <v/>
      </c>
      <c r="I1184">
        <f>IF(ISBLANK('ENGAGEMENTS 2026'!C1184),"",'ENGAGEMENTS 2026'!H1184)</f>
        <v/>
      </c>
      <c r="J1184" s="275">
        <f>IF(ISBLANK('ENGAGEMENTS 2026'!C1184),"",IF(AND(OR($E1184="INFRUCTUEUX",$E1184="ANNULE"),$C1184="AOO-M"),'ENGAGEMENTS 2026'!P1184,IF($H1184="EN COURS DE PREENGAGEMENT",'ENGAGEMENTS 2026'!O1184,IF($H1184="PREENGAGE",IF($E1184="ATTRIBUE",'ENGAGEMENTS 2026'!AE1184,'ENGAGEMENTS 2026'!O1184),'ENGAGEMENTS 2026'!AE1184))))</f>
        <v/>
      </c>
      <c r="K1184" s="604">
        <f>IF(ISBLANK('ENGAGEMENTS 2026'!W1184),"",'ENGAGEMENTS 2026'!W1184)</f>
        <v/>
      </c>
      <c r="L1184" s="276">
        <f>IF($K1184="","",TODAY()-$K1184)</f>
        <v/>
      </c>
      <c r="M1184">
        <f>IF($A1184="","",IF($H1184="ENGAGE","Engagé",IF(AND($H1184="NON ENGAGE",OR($I1184="INFRUCTUEUX",$I1184="ANNULE")),"Clôturé sans suite","En cours")))</f>
        <v/>
      </c>
      <c r="N1184">
        <f>IF(ISBLANK('ENGAGEMENTS 2026'!C1184),"",'ENGAGEMENTS 2026'!L1184)</f>
        <v/>
      </c>
      <c r="O1184">
        <f>IF(ISBLANK('ENGAGEMENTS 2026'!C1184),"",'ENGAGEMENTS 2026'!M1184)</f>
        <v/>
      </c>
      <c r="P1184">
        <f>IF(ISBLANK('ENGAGEMENTS 2026'!C1184),"",'ENGAGEMENTS 2026'!K1184)</f>
        <v/>
      </c>
      <c r="Q1184">
        <f>IF($A1184="","",IF(OR($E1184="INFRUCTUEUX",$E1184="ANNULE"),$A1184&amp;"|"&amp;(COUNTIFS($A$2:$A1184,$A1184,$E$2:$E1184,"INFRUCTUEUX")+COUNTIFS($A$2:$A1184,$A1184,$E$2:$E1184,"ANNULE")),""))</f>
        <v/>
      </c>
    </row>
    <row r="1185">
      <c r="A1185">
        <f>IF(ISBLANK('ENGAGEMENTS 2026'!C1185),"",IF('ENGAGEMENTS 2026'!C1185="DTSI","DCT",'ENGAGEMENTS 2026'!C1185))</f>
        <v/>
      </c>
      <c r="B1185">
        <f>IF(ISBLANK('ENGAGEMENTS 2026'!C1185),"",'ENGAGEMENTS 2026'!D1185)</f>
        <v/>
      </c>
      <c r="C1185">
        <f>IF(ISBLANK('ENGAGEMENTS 2026'!C1185),"",'ENGAGEMENTS 2026'!E1185)</f>
        <v/>
      </c>
      <c r="D1185">
        <f>IF(ISBLANK('ENGAGEMENTS 2026'!C1185),"",'ENGAGEMENTS 2026'!G1185)</f>
        <v/>
      </c>
      <c r="E1185">
        <f>IF(ISBLANK('ENGAGEMENTS 2026'!C1185),"",'ENGAGEMENTS 2026'!I1185)</f>
        <v/>
      </c>
      <c r="F1185">
        <f>IF(ISBLANK('ENGAGEMENTS 2026'!C1185),"",'ENGAGEMENTS 2026'!J1185)</f>
        <v/>
      </c>
      <c r="G1185">
        <f>IF(ISBLANK('ENGAGEMENTS 2026'!C1185),"",'ENGAGEMENTS 2026'!M1185)</f>
        <v/>
      </c>
      <c r="H1185">
        <f>IF(ISBLANK('ENGAGEMENTS 2026'!C1185),"",'ENGAGEMENTS 2026'!AF1185)</f>
        <v/>
      </c>
      <c r="I1185">
        <f>IF(ISBLANK('ENGAGEMENTS 2026'!C1185),"",'ENGAGEMENTS 2026'!H1185)</f>
        <v/>
      </c>
      <c r="J1185" s="275">
        <f>IF(ISBLANK('ENGAGEMENTS 2026'!C1185),"",IF(AND(OR($E1185="INFRUCTUEUX",$E1185="ANNULE"),$C1185="AOO-M"),'ENGAGEMENTS 2026'!P1185,IF($H1185="EN COURS DE PREENGAGEMENT",'ENGAGEMENTS 2026'!O1185,IF($H1185="PREENGAGE",IF($E1185="ATTRIBUE",'ENGAGEMENTS 2026'!AE1185,'ENGAGEMENTS 2026'!O1185),'ENGAGEMENTS 2026'!AE1185))))</f>
        <v/>
      </c>
      <c r="K1185" s="604">
        <f>IF(ISBLANK('ENGAGEMENTS 2026'!W1185),"",'ENGAGEMENTS 2026'!W1185)</f>
        <v/>
      </c>
      <c r="L1185" s="276">
        <f>IF($K1185="","",TODAY()-$K1185)</f>
        <v/>
      </c>
      <c r="M1185">
        <f>IF($A1185="","",IF($H1185="ENGAGE","Engagé",IF(AND($H1185="NON ENGAGE",OR($I1185="INFRUCTUEUX",$I1185="ANNULE")),"Clôturé sans suite","En cours")))</f>
        <v/>
      </c>
      <c r="N1185">
        <f>IF(ISBLANK('ENGAGEMENTS 2026'!C1185),"",'ENGAGEMENTS 2026'!L1185)</f>
        <v/>
      </c>
      <c r="O1185">
        <f>IF(ISBLANK('ENGAGEMENTS 2026'!C1185),"",'ENGAGEMENTS 2026'!M1185)</f>
        <v/>
      </c>
      <c r="P1185">
        <f>IF(ISBLANK('ENGAGEMENTS 2026'!C1185),"",'ENGAGEMENTS 2026'!K1185)</f>
        <v/>
      </c>
      <c r="Q1185">
        <f>IF($A1185="","",IF(OR($E1185="INFRUCTUEUX",$E1185="ANNULE"),$A1185&amp;"|"&amp;(COUNTIFS($A$2:$A1185,$A1185,$E$2:$E1185,"INFRUCTUEUX")+COUNTIFS($A$2:$A1185,$A1185,$E$2:$E1185,"ANNULE")),""))</f>
        <v/>
      </c>
    </row>
    <row r="1186">
      <c r="A1186">
        <f>IF(ISBLANK('ENGAGEMENTS 2026'!C1186),"",IF('ENGAGEMENTS 2026'!C1186="DTSI","DCT",'ENGAGEMENTS 2026'!C1186))</f>
        <v/>
      </c>
      <c r="B1186">
        <f>IF(ISBLANK('ENGAGEMENTS 2026'!C1186),"",'ENGAGEMENTS 2026'!D1186)</f>
        <v/>
      </c>
      <c r="C1186">
        <f>IF(ISBLANK('ENGAGEMENTS 2026'!C1186),"",'ENGAGEMENTS 2026'!E1186)</f>
        <v/>
      </c>
      <c r="D1186">
        <f>IF(ISBLANK('ENGAGEMENTS 2026'!C1186),"",'ENGAGEMENTS 2026'!G1186)</f>
        <v/>
      </c>
      <c r="E1186">
        <f>IF(ISBLANK('ENGAGEMENTS 2026'!C1186),"",'ENGAGEMENTS 2026'!I1186)</f>
        <v/>
      </c>
      <c r="F1186">
        <f>IF(ISBLANK('ENGAGEMENTS 2026'!C1186),"",'ENGAGEMENTS 2026'!J1186)</f>
        <v/>
      </c>
      <c r="G1186">
        <f>IF(ISBLANK('ENGAGEMENTS 2026'!C1186),"",'ENGAGEMENTS 2026'!M1186)</f>
        <v/>
      </c>
      <c r="H1186">
        <f>IF(ISBLANK('ENGAGEMENTS 2026'!C1186),"",'ENGAGEMENTS 2026'!AF1186)</f>
        <v/>
      </c>
      <c r="I1186">
        <f>IF(ISBLANK('ENGAGEMENTS 2026'!C1186),"",'ENGAGEMENTS 2026'!H1186)</f>
        <v/>
      </c>
      <c r="J1186" s="275">
        <f>IF(ISBLANK('ENGAGEMENTS 2026'!C1186),"",IF(AND(OR($E1186="INFRUCTUEUX",$E1186="ANNULE"),$C1186="AOO-M"),'ENGAGEMENTS 2026'!P1186,IF($H1186="EN COURS DE PREENGAGEMENT",'ENGAGEMENTS 2026'!O1186,IF($H1186="PREENGAGE",IF($E1186="ATTRIBUE",'ENGAGEMENTS 2026'!AE1186,'ENGAGEMENTS 2026'!O1186),'ENGAGEMENTS 2026'!AE1186))))</f>
        <v/>
      </c>
      <c r="K1186" s="604">
        <f>IF(ISBLANK('ENGAGEMENTS 2026'!W1186),"",'ENGAGEMENTS 2026'!W1186)</f>
        <v/>
      </c>
      <c r="L1186" s="276">
        <f>IF($K1186="","",TODAY()-$K1186)</f>
        <v/>
      </c>
      <c r="M1186">
        <f>IF($A1186="","",IF($H1186="ENGAGE","Engagé",IF(AND($H1186="NON ENGAGE",OR($I1186="INFRUCTUEUX",$I1186="ANNULE")),"Clôturé sans suite","En cours")))</f>
        <v/>
      </c>
      <c r="N1186">
        <f>IF(ISBLANK('ENGAGEMENTS 2026'!C1186),"",'ENGAGEMENTS 2026'!L1186)</f>
        <v/>
      </c>
      <c r="O1186">
        <f>IF(ISBLANK('ENGAGEMENTS 2026'!C1186),"",'ENGAGEMENTS 2026'!M1186)</f>
        <v/>
      </c>
      <c r="P1186">
        <f>IF(ISBLANK('ENGAGEMENTS 2026'!C1186),"",'ENGAGEMENTS 2026'!K1186)</f>
        <v/>
      </c>
      <c r="Q1186">
        <f>IF($A1186="","",IF(OR($E1186="INFRUCTUEUX",$E1186="ANNULE"),$A1186&amp;"|"&amp;(COUNTIFS($A$2:$A1186,$A1186,$E$2:$E1186,"INFRUCTUEUX")+COUNTIFS($A$2:$A1186,$A1186,$E$2:$E1186,"ANNULE")),""))</f>
        <v/>
      </c>
    </row>
    <row r="1187">
      <c r="A1187">
        <f>IF(ISBLANK('ENGAGEMENTS 2026'!C1187),"",IF('ENGAGEMENTS 2026'!C1187="DTSI","DCT",'ENGAGEMENTS 2026'!C1187))</f>
        <v/>
      </c>
      <c r="B1187">
        <f>IF(ISBLANK('ENGAGEMENTS 2026'!C1187),"",'ENGAGEMENTS 2026'!D1187)</f>
        <v/>
      </c>
      <c r="C1187">
        <f>IF(ISBLANK('ENGAGEMENTS 2026'!C1187),"",'ENGAGEMENTS 2026'!E1187)</f>
        <v/>
      </c>
      <c r="D1187">
        <f>IF(ISBLANK('ENGAGEMENTS 2026'!C1187),"",'ENGAGEMENTS 2026'!G1187)</f>
        <v/>
      </c>
      <c r="E1187">
        <f>IF(ISBLANK('ENGAGEMENTS 2026'!C1187),"",'ENGAGEMENTS 2026'!I1187)</f>
        <v/>
      </c>
      <c r="F1187">
        <f>IF(ISBLANK('ENGAGEMENTS 2026'!C1187),"",'ENGAGEMENTS 2026'!J1187)</f>
        <v/>
      </c>
      <c r="G1187">
        <f>IF(ISBLANK('ENGAGEMENTS 2026'!C1187),"",'ENGAGEMENTS 2026'!M1187)</f>
        <v/>
      </c>
      <c r="H1187">
        <f>IF(ISBLANK('ENGAGEMENTS 2026'!C1187),"",'ENGAGEMENTS 2026'!AF1187)</f>
        <v/>
      </c>
      <c r="I1187">
        <f>IF(ISBLANK('ENGAGEMENTS 2026'!C1187),"",'ENGAGEMENTS 2026'!H1187)</f>
        <v/>
      </c>
      <c r="J1187" s="275">
        <f>IF(ISBLANK('ENGAGEMENTS 2026'!C1187),"",IF(AND(OR($E1187="INFRUCTUEUX",$E1187="ANNULE"),$C1187="AOO-M"),'ENGAGEMENTS 2026'!P1187,IF($H1187="EN COURS DE PREENGAGEMENT",'ENGAGEMENTS 2026'!O1187,IF($H1187="PREENGAGE",IF($E1187="ATTRIBUE",'ENGAGEMENTS 2026'!AE1187,'ENGAGEMENTS 2026'!O1187),'ENGAGEMENTS 2026'!AE1187))))</f>
        <v/>
      </c>
      <c r="K1187" s="604">
        <f>IF(ISBLANK('ENGAGEMENTS 2026'!W1187),"",'ENGAGEMENTS 2026'!W1187)</f>
        <v/>
      </c>
      <c r="L1187" s="276">
        <f>IF($K1187="","",TODAY()-$K1187)</f>
        <v/>
      </c>
      <c r="M1187">
        <f>IF($A1187="","",IF($H1187="ENGAGE","Engagé",IF(AND($H1187="NON ENGAGE",OR($I1187="INFRUCTUEUX",$I1187="ANNULE")),"Clôturé sans suite","En cours")))</f>
        <v/>
      </c>
      <c r="N1187">
        <f>IF(ISBLANK('ENGAGEMENTS 2026'!C1187),"",'ENGAGEMENTS 2026'!L1187)</f>
        <v/>
      </c>
      <c r="O1187">
        <f>IF(ISBLANK('ENGAGEMENTS 2026'!C1187),"",'ENGAGEMENTS 2026'!M1187)</f>
        <v/>
      </c>
      <c r="P1187">
        <f>IF(ISBLANK('ENGAGEMENTS 2026'!C1187),"",'ENGAGEMENTS 2026'!K1187)</f>
        <v/>
      </c>
      <c r="Q1187">
        <f>IF($A1187="","",IF(OR($E1187="INFRUCTUEUX",$E1187="ANNULE"),$A1187&amp;"|"&amp;(COUNTIFS($A$2:$A1187,$A1187,$E$2:$E1187,"INFRUCTUEUX")+COUNTIFS($A$2:$A1187,$A1187,$E$2:$E1187,"ANNULE")),""))</f>
        <v/>
      </c>
    </row>
    <row r="1188">
      <c r="A1188">
        <f>IF(ISBLANK('ENGAGEMENTS 2026'!C1188),"",IF('ENGAGEMENTS 2026'!C1188="DTSI","DCT",'ENGAGEMENTS 2026'!C1188))</f>
        <v/>
      </c>
      <c r="B1188">
        <f>IF(ISBLANK('ENGAGEMENTS 2026'!C1188),"",'ENGAGEMENTS 2026'!D1188)</f>
        <v/>
      </c>
      <c r="C1188">
        <f>IF(ISBLANK('ENGAGEMENTS 2026'!C1188),"",'ENGAGEMENTS 2026'!E1188)</f>
        <v/>
      </c>
      <c r="D1188">
        <f>IF(ISBLANK('ENGAGEMENTS 2026'!C1188),"",'ENGAGEMENTS 2026'!G1188)</f>
        <v/>
      </c>
      <c r="E1188">
        <f>IF(ISBLANK('ENGAGEMENTS 2026'!C1188),"",'ENGAGEMENTS 2026'!I1188)</f>
        <v/>
      </c>
      <c r="F1188">
        <f>IF(ISBLANK('ENGAGEMENTS 2026'!C1188),"",'ENGAGEMENTS 2026'!J1188)</f>
        <v/>
      </c>
      <c r="G1188">
        <f>IF(ISBLANK('ENGAGEMENTS 2026'!C1188),"",'ENGAGEMENTS 2026'!M1188)</f>
        <v/>
      </c>
      <c r="H1188">
        <f>IF(ISBLANK('ENGAGEMENTS 2026'!C1188),"",'ENGAGEMENTS 2026'!AF1188)</f>
        <v/>
      </c>
      <c r="I1188">
        <f>IF(ISBLANK('ENGAGEMENTS 2026'!C1188),"",'ENGAGEMENTS 2026'!H1188)</f>
        <v/>
      </c>
      <c r="J1188" s="275">
        <f>IF(ISBLANK('ENGAGEMENTS 2026'!C1188),"",IF(AND(OR($E1188="INFRUCTUEUX",$E1188="ANNULE"),$C1188="AOO-M"),'ENGAGEMENTS 2026'!P1188,IF($H1188="EN COURS DE PREENGAGEMENT",'ENGAGEMENTS 2026'!O1188,IF($H1188="PREENGAGE",IF($E1188="ATTRIBUE",'ENGAGEMENTS 2026'!AE1188,'ENGAGEMENTS 2026'!O1188),'ENGAGEMENTS 2026'!AE1188))))</f>
        <v/>
      </c>
      <c r="K1188" s="604">
        <f>IF(ISBLANK('ENGAGEMENTS 2026'!W1188),"",'ENGAGEMENTS 2026'!W1188)</f>
        <v/>
      </c>
      <c r="L1188" s="276">
        <f>IF($K1188="","",TODAY()-$K1188)</f>
        <v/>
      </c>
      <c r="M1188">
        <f>IF($A1188="","",IF($H1188="ENGAGE","Engagé",IF(AND($H1188="NON ENGAGE",OR($I1188="INFRUCTUEUX",$I1188="ANNULE")),"Clôturé sans suite","En cours")))</f>
        <v/>
      </c>
      <c r="N1188">
        <f>IF(ISBLANK('ENGAGEMENTS 2026'!C1188),"",'ENGAGEMENTS 2026'!L1188)</f>
        <v/>
      </c>
      <c r="O1188">
        <f>IF(ISBLANK('ENGAGEMENTS 2026'!C1188),"",'ENGAGEMENTS 2026'!M1188)</f>
        <v/>
      </c>
      <c r="P1188">
        <f>IF(ISBLANK('ENGAGEMENTS 2026'!C1188),"",'ENGAGEMENTS 2026'!K1188)</f>
        <v/>
      </c>
      <c r="Q1188">
        <f>IF($A1188="","",IF(OR($E1188="INFRUCTUEUX",$E1188="ANNULE"),$A1188&amp;"|"&amp;(COUNTIFS($A$2:$A1188,$A1188,$E$2:$E1188,"INFRUCTUEUX")+COUNTIFS($A$2:$A1188,$A1188,$E$2:$E1188,"ANNULE")),""))</f>
        <v/>
      </c>
    </row>
    <row r="1189">
      <c r="A1189">
        <f>IF(ISBLANK('ENGAGEMENTS 2026'!C1189),"",IF('ENGAGEMENTS 2026'!C1189="DTSI","DCT",'ENGAGEMENTS 2026'!C1189))</f>
        <v/>
      </c>
      <c r="B1189">
        <f>IF(ISBLANK('ENGAGEMENTS 2026'!C1189),"",'ENGAGEMENTS 2026'!D1189)</f>
        <v/>
      </c>
      <c r="C1189">
        <f>IF(ISBLANK('ENGAGEMENTS 2026'!C1189),"",'ENGAGEMENTS 2026'!E1189)</f>
        <v/>
      </c>
      <c r="D1189">
        <f>IF(ISBLANK('ENGAGEMENTS 2026'!C1189),"",'ENGAGEMENTS 2026'!G1189)</f>
        <v/>
      </c>
      <c r="E1189">
        <f>IF(ISBLANK('ENGAGEMENTS 2026'!C1189),"",'ENGAGEMENTS 2026'!I1189)</f>
        <v/>
      </c>
      <c r="F1189">
        <f>IF(ISBLANK('ENGAGEMENTS 2026'!C1189),"",'ENGAGEMENTS 2026'!J1189)</f>
        <v/>
      </c>
      <c r="G1189">
        <f>IF(ISBLANK('ENGAGEMENTS 2026'!C1189),"",'ENGAGEMENTS 2026'!M1189)</f>
        <v/>
      </c>
      <c r="H1189">
        <f>IF(ISBLANK('ENGAGEMENTS 2026'!C1189),"",'ENGAGEMENTS 2026'!AF1189)</f>
        <v/>
      </c>
      <c r="I1189">
        <f>IF(ISBLANK('ENGAGEMENTS 2026'!C1189),"",'ENGAGEMENTS 2026'!H1189)</f>
        <v/>
      </c>
      <c r="J1189" s="275">
        <f>IF(ISBLANK('ENGAGEMENTS 2026'!C1189),"",IF(AND(OR($E1189="INFRUCTUEUX",$E1189="ANNULE"),$C1189="AOO-M"),'ENGAGEMENTS 2026'!P1189,IF($H1189="EN COURS DE PREENGAGEMENT",'ENGAGEMENTS 2026'!O1189,IF($H1189="PREENGAGE",IF($E1189="ATTRIBUE",'ENGAGEMENTS 2026'!AE1189,'ENGAGEMENTS 2026'!O1189),'ENGAGEMENTS 2026'!AE1189))))</f>
        <v/>
      </c>
      <c r="K1189" s="604">
        <f>IF(ISBLANK('ENGAGEMENTS 2026'!W1189),"",'ENGAGEMENTS 2026'!W1189)</f>
        <v/>
      </c>
      <c r="L1189" s="276">
        <f>IF($K1189="","",TODAY()-$K1189)</f>
        <v/>
      </c>
      <c r="M1189">
        <f>IF($A1189="","",IF($H1189="ENGAGE","Engagé",IF(AND($H1189="NON ENGAGE",OR($I1189="INFRUCTUEUX",$I1189="ANNULE")),"Clôturé sans suite","En cours")))</f>
        <v/>
      </c>
      <c r="N1189">
        <f>IF(ISBLANK('ENGAGEMENTS 2026'!C1189),"",'ENGAGEMENTS 2026'!L1189)</f>
        <v/>
      </c>
      <c r="O1189">
        <f>IF(ISBLANK('ENGAGEMENTS 2026'!C1189),"",'ENGAGEMENTS 2026'!M1189)</f>
        <v/>
      </c>
      <c r="P1189">
        <f>IF(ISBLANK('ENGAGEMENTS 2026'!C1189),"",'ENGAGEMENTS 2026'!K1189)</f>
        <v/>
      </c>
      <c r="Q1189">
        <f>IF($A1189="","",IF(OR($E1189="INFRUCTUEUX",$E1189="ANNULE"),$A1189&amp;"|"&amp;(COUNTIFS($A$2:$A1189,$A1189,$E$2:$E1189,"INFRUCTUEUX")+COUNTIFS($A$2:$A1189,$A1189,$E$2:$E1189,"ANNULE")),""))</f>
        <v/>
      </c>
    </row>
    <row r="1190">
      <c r="A1190">
        <f>IF(ISBLANK('ENGAGEMENTS 2026'!C1190),"",IF('ENGAGEMENTS 2026'!C1190="DTSI","DCT",'ENGAGEMENTS 2026'!C1190))</f>
        <v/>
      </c>
      <c r="B1190">
        <f>IF(ISBLANK('ENGAGEMENTS 2026'!C1190),"",'ENGAGEMENTS 2026'!D1190)</f>
        <v/>
      </c>
      <c r="C1190">
        <f>IF(ISBLANK('ENGAGEMENTS 2026'!C1190),"",'ENGAGEMENTS 2026'!E1190)</f>
        <v/>
      </c>
      <c r="D1190">
        <f>IF(ISBLANK('ENGAGEMENTS 2026'!C1190),"",'ENGAGEMENTS 2026'!G1190)</f>
        <v/>
      </c>
      <c r="E1190">
        <f>IF(ISBLANK('ENGAGEMENTS 2026'!C1190),"",'ENGAGEMENTS 2026'!I1190)</f>
        <v/>
      </c>
      <c r="F1190">
        <f>IF(ISBLANK('ENGAGEMENTS 2026'!C1190),"",'ENGAGEMENTS 2026'!J1190)</f>
        <v/>
      </c>
      <c r="G1190">
        <f>IF(ISBLANK('ENGAGEMENTS 2026'!C1190),"",'ENGAGEMENTS 2026'!M1190)</f>
        <v/>
      </c>
      <c r="H1190">
        <f>IF(ISBLANK('ENGAGEMENTS 2026'!C1190),"",'ENGAGEMENTS 2026'!AF1190)</f>
        <v/>
      </c>
      <c r="I1190">
        <f>IF(ISBLANK('ENGAGEMENTS 2026'!C1190),"",'ENGAGEMENTS 2026'!H1190)</f>
        <v/>
      </c>
      <c r="J1190" s="275">
        <f>IF(ISBLANK('ENGAGEMENTS 2026'!C1190),"",IF(AND(OR($E1190="INFRUCTUEUX",$E1190="ANNULE"),$C1190="AOO-M"),'ENGAGEMENTS 2026'!P1190,IF($H1190="EN COURS DE PREENGAGEMENT",'ENGAGEMENTS 2026'!O1190,IF($H1190="PREENGAGE",IF($E1190="ATTRIBUE",'ENGAGEMENTS 2026'!AE1190,'ENGAGEMENTS 2026'!O1190),'ENGAGEMENTS 2026'!AE1190))))</f>
        <v/>
      </c>
      <c r="K1190" s="604">
        <f>IF(ISBLANK('ENGAGEMENTS 2026'!W1190),"",'ENGAGEMENTS 2026'!W1190)</f>
        <v/>
      </c>
      <c r="L1190" s="276">
        <f>IF($K1190="","",TODAY()-$K1190)</f>
        <v/>
      </c>
      <c r="M1190">
        <f>IF($A1190="","",IF($H1190="ENGAGE","Engagé",IF(AND($H1190="NON ENGAGE",OR($I1190="INFRUCTUEUX",$I1190="ANNULE")),"Clôturé sans suite","En cours")))</f>
        <v/>
      </c>
      <c r="N1190">
        <f>IF(ISBLANK('ENGAGEMENTS 2026'!C1190),"",'ENGAGEMENTS 2026'!L1190)</f>
        <v/>
      </c>
      <c r="O1190">
        <f>IF(ISBLANK('ENGAGEMENTS 2026'!C1190),"",'ENGAGEMENTS 2026'!M1190)</f>
        <v/>
      </c>
      <c r="P1190">
        <f>IF(ISBLANK('ENGAGEMENTS 2026'!C1190),"",'ENGAGEMENTS 2026'!K1190)</f>
        <v/>
      </c>
      <c r="Q1190">
        <f>IF($A1190="","",IF(OR($E1190="INFRUCTUEUX",$E1190="ANNULE"),$A1190&amp;"|"&amp;(COUNTIFS($A$2:$A1190,$A1190,$E$2:$E1190,"INFRUCTUEUX")+COUNTIFS($A$2:$A1190,$A1190,$E$2:$E1190,"ANNULE")),""))</f>
        <v/>
      </c>
    </row>
    <row r="1191">
      <c r="A1191">
        <f>IF(ISBLANK('ENGAGEMENTS 2026'!C1191),"",IF('ENGAGEMENTS 2026'!C1191="DTSI","DCT",'ENGAGEMENTS 2026'!C1191))</f>
        <v/>
      </c>
      <c r="B1191">
        <f>IF(ISBLANK('ENGAGEMENTS 2026'!C1191),"",'ENGAGEMENTS 2026'!D1191)</f>
        <v/>
      </c>
      <c r="C1191">
        <f>IF(ISBLANK('ENGAGEMENTS 2026'!C1191),"",'ENGAGEMENTS 2026'!E1191)</f>
        <v/>
      </c>
      <c r="D1191">
        <f>IF(ISBLANK('ENGAGEMENTS 2026'!C1191),"",'ENGAGEMENTS 2026'!G1191)</f>
        <v/>
      </c>
      <c r="E1191">
        <f>IF(ISBLANK('ENGAGEMENTS 2026'!C1191),"",'ENGAGEMENTS 2026'!I1191)</f>
        <v/>
      </c>
      <c r="F1191">
        <f>IF(ISBLANK('ENGAGEMENTS 2026'!C1191),"",'ENGAGEMENTS 2026'!J1191)</f>
        <v/>
      </c>
      <c r="G1191">
        <f>IF(ISBLANK('ENGAGEMENTS 2026'!C1191),"",'ENGAGEMENTS 2026'!M1191)</f>
        <v/>
      </c>
      <c r="H1191">
        <f>IF(ISBLANK('ENGAGEMENTS 2026'!C1191),"",'ENGAGEMENTS 2026'!AF1191)</f>
        <v/>
      </c>
      <c r="I1191">
        <f>IF(ISBLANK('ENGAGEMENTS 2026'!C1191),"",'ENGAGEMENTS 2026'!H1191)</f>
        <v/>
      </c>
      <c r="J1191" s="275">
        <f>IF(ISBLANK('ENGAGEMENTS 2026'!C1191),"",IF(AND(OR($E1191="INFRUCTUEUX",$E1191="ANNULE"),$C1191="AOO-M"),'ENGAGEMENTS 2026'!P1191,IF($H1191="EN COURS DE PREENGAGEMENT",'ENGAGEMENTS 2026'!O1191,IF($H1191="PREENGAGE",IF($E1191="ATTRIBUE",'ENGAGEMENTS 2026'!AE1191,'ENGAGEMENTS 2026'!O1191),'ENGAGEMENTS 2026'!AE1191))))</f>
        <v/>
      </c>
      <c r="K1191" s="604">
        <f>IF(ISBLANK('ENGAGEMENTS 2026'!W1191),"",'ENGAGEMENTS 2026'!W1191)</f>
        <v/>
      </c>
      <c r="L1191" s="276">
        <f>IF($K1191="","",TODAY()-$K1191)</f>
        <v/>
      </c>
      <c r="M1191">
        <f>IF($A1191="","",IF($H1191="ENGAGE","Engagé",IF(AND($H1191="NON ENGAGE",OR($I1191="INFRUCTUEUX",$I1191="ANNULE")),"Clôturé sans suite","En cours")))</f>
        <v/>
      </c>
      <c r="N1191">
        <f>IF(ISBLANK('ENGAGEMENTS 2026'!C1191),"",'ENGAGEMENTS 2026'!L1191)</f>
        <v/>
      </c>
      <c r="O1191">
        <f>IF(ISBLANK('ENGAGEMENTS 2026'!C1191),"",'ENGAGEMENTS 2026'!M1191)</f>
        <v/>
      </c>
      <c r="P1191">
        <f>IF(ISBLANK('ENGAGEMENTS 2026'!C1191),"",'ENGAGEMENTS 2026'!K1191)</f>
        <v/>
      </c>
      <c r="Q1191">
        <f>IF($A1191="","",IF(OR($E1191="INFRUCTUEUX",$E1191="ANNULE"),$A1191&amp;"|"&amp;(COUNTIFS($A$2:$A1191,$A1191,$E$2:$E1191,"INFRUCTUEUX")+COUNTIFS($A$2:$A1191,$A1191,$E$2:$E1191,"ANNULE")),""))</f>
        <v/>
      </c>
    </row>
    <row r="1192">
      <c r="A1192">
        <f>IF(ISBLANK('ENGAGEMENTS 2026'!C1192),"",IF('ENGAGEMENTS 2026'!C1192="DTSI","DCT",'ENGAGEMENTS 2026'!C1192))</f>
        <v/>
      </c>
      <c r="B1192">
        <f>IF(ISBLANK('ENGAGEMENTS 2026'!C1192),"",'ENGAGEMENTS 2026'!D1192)</f>
        <v/>
      </c>
      <c r="C1192">
        <f>IF(ISBLANK('ENGAGEMENTS 2026'!C1192),"",'ENGAGEMENTS 2026'!E1192)</f>
        <v/>
      </c>
      <c r="D1192">
        <f>IF(ISBLANK('ENGAGEMENTS 2026'!C1192),"",'ENGAGEMENTS 2026'!G1192)</f>
        <v/>
      </c>
      <c r="E1192">
        <f>IF(ISBLANK('ENGAGEMENTS 2026'!C1192),"",'ENGAGEMENTS 2026'!I1192)</f>
        <v/>
      </c>
      <c r="F1192">
        <f>IF(ISBLANK('ENGAGEMENTS 2026'!C1192),"",'ENGAGEMENTS 2026'!J1192)</f>
        <v/>
      </c>
      <c r="G1192">
        <f>IF(ISBLANK('ENGAGEMENTS 2026'!C1192),"",'ENGAGEMENTS 2026'!M1192)</f>
        <v/>
      </c>
      <c r="H1192">
        <f>IF(ISBLANK('ENGAGEMENTS 2026'!C1192),"",'ENGAGEMENTS 2026'!AF1192)</f>
        <v/>
      </c>
      <c r="I1192">
        <f>IF(ISBLANK('ENGAGEMENTS 2026'!C1192),"",'ENGAGEMENTS 2026'!H1192)</f>
        <v/>
      </c>
      <c r="J1192" s="275">
        <f>IF(ISBLANK('ENGAGEMENTS 2026'!C1192),"",IF(AND(OR($E1192="INFRUCTUEUX",$E1192="ANNULE"),$C1192="AOO-M"),'ENGAGEMENTS 2026'!P1192,IF($H1192="EN COURS DE PREENGAGEMENT",'ENGAGEMENTS 2026'!O1192,IF($H1192="PREENGAGE",IF($E1192="ATTRIBUE",'ENGAGEMENTS 2026'!AE1192,'ENGAGEMENTS 2026'!O1192),'ENGAGEMENTS 2026'!AE1192))))</f>
        <v/>
      </c>
      <c r="K1192" s="604">
        <f>IF(ISBLANK('ENGAGEMENTS 2026'!W1192),"",'ENGAGEMENTS 2026'!W1192)</f>
        <v/>
      </c>
      <c r="L1192" s="276">
        <f>IF($K1192="","",TODAY()-$K1192)</f>
        <v/>
      </c>
      <c r="M1192">
        <f>IF($A1192="","",IF($H1192="ENGAGE","Engagé",IF(AND($H1192="NON ENGAGE",OR($I1192="INFRUCTUEUX",$I1192="ANNULE")),"Clôturé sans suite","En cours")))</f>
        <v/>
      </c>
      <c r="N1192">
        <f>IF(ISBLANK('ENGAGEMENTS 2026'!C1192),"",'ENGAGEMENTS 2026'!L1192)</f>
        <v/>
      </c>
      <c r="O1192">
        <f>IF(ISBLANK('ENGAGEMENTS 2026'!C1192),"",'ENGAGEMENTS 2026'!M1192)</f>
        <v/>
      </c>
      <c r="P1192">
        <f>IF(ISBLANK('ENGAGEMENTS 2026'!C1192),"",'ENGAGEMENTS 2026'!K1192)</f>
        <v/>
      </c>
      <c r="Q1192">
        <f>IF($A1192="","",IF(OR($E1192="INFRUCTUEUX",$E1192="ANNULE"),$A1192&amp;"|"&amp;(COUNTIFS($A$2:$A1192,$A1192,$E$2:$E1192,"INFRUCTUEUX")+COUNTIFS($A$2:$A1192,$A1192,$E$2:$E1192,"ANNULE")),""))</f>
        <v/>
      </c>
    </row>
    <row r="1193">
      <c r="A1193">
        <f>IF(ISBLANK('ENGAGEMENTS 2026'!C1193),"",IF('ENGAGEMENTS 2026'!C1193="DTSI","DCT",'ENGAGEMENTS 2026'!C1193))</f>
        <v/>
      </c>
      <c r="B1193">
        <f>IF(ISBLANK('ENGAGEMENTS 2026'!C1193),"",'ENGAGEMENTS 2026'!D1193)</f>
        <v/>
      </c>
      <c r="C1193">
        <f>IF(ISBLANK('ENGAGEMENTS 2026'!C1193),"",'ENGAGEMENTS 2026'!E1193)</f>
        <v/>
      </c>
      <c r="D1193">
        <f>IF(ISBLANK('ENGAGEMENTS 2026'!C1193),"",'ENGAGEMENTS 2026'!G1193)</f>
        <v/>
      </c>
      <c r="E1193">
        <f>IF(ISBLANK('ENGAGEMENTS 2026'!C1193),"",'ENGAGEMENTS 2026'!I1193)</f>
        <v/>
      </c>
      <c r="F1193">
        <f>IF(ISBLANK('ENGAGEMENTS 2026'!C1193),"",'ENGAGEMENTS 2026'!J1193)</f>
        <v/>
      </c>
      <c r="G1193">
        <f>IF(ISBLANK('ENGAGEMENTS 2026'!C1193),"",'ENGAGEMENTS 2026'!M1193)</f>
        <v/>
      </c>
      <c r="H1193">
        <f>IF(ISBLANK('ENGAGEMENTS 2026'!C1193),"",'ENGAGEMENTS 2026'!AF1193)</f>
        <v/>
      </c>
      <c r="I1193">
        <f>IF(ISBLANK('ENGAGEMENTS 2026'!C1193),"",'ENGAGEMENTS 2026'!H1193)</f>
        <v/>
      </c>
      <c r="J1193" s="275">
        <f>IF(ISBLANK('ENGAGEMENTS 2026'!C1193),"",IF(AND(OR($E1193="INFRUCTUEUX",$E1193="ANNULE"),$C1193="AOO-M"),'ENGAGEMENTS 2026'!P1193,IF($H1193="EN COURS DE PREENGAGEMENT",'ENGAGEMENTS 2026'!O1193,IF($H1193="PREENGAGE",IF($E1193="ATTRIBUE",'ENGAGEMENTS 2026'!AE1193,'ENGAGEMENTS 2026'!O1193),'ENGAGEMENTS 2026'!AE1193))))</f>
        <v/>
      </c>
      <c r="K1193" s="604">
        <f>IF(ISBLANK('ENGAGEMENTS 2026'!W1193),"",'ENGAGEMENTS 2026'!W1193)</f>
        <v/>
      </c>
      <c r="L1193" s="276">
        <f>IF($K1193="","",TODAY()-$K1193)</f>
        <v/>
      </c>
      <c r="M1193">
        <f>IF($A1193="","",IF($H1193="ENGAGE","Engagé",IF(AND($H1193="NON ENGAGE",OR($I1193="INFRUCTUEUX",$I1193="ANNULE")),"Clôturé sans suite","En cours")))</f>
        <v/>
      </c>
      <c r="N1193">
        <f>IF(ISBLANK('ENGAGEMENTS 2026'!C1193),"",'ENGAGEMENTS 2026'!L1193)</f>
        <v/>
      </c>
      <c r="O1193">
        <f>IF(ISBLANK('ENGAGEMENTS 2026'!C1193),"",'ENGAGEMENTS 2026'!M1193)</f>
        <v/>
      </c>
      <c r="P1193">
        <f>IF(ISBLANK('ENGAGEMENTS 2026'!C1193),"",'ENGAGEMENTS 2026'!K1193)</f>
        <v/>
      </c>
      <c r="Q1193">
        <f>IF($A1193="","",IF(OR($E1193="INFRUCTUEUX",$E1193="ANNULE"),$A1193&amp;"|"&amp;(COUNTIFS($A$2:$A1193,$A1193,$E$2:$E1193,"INFRUCTUEUX")+COUNTIFS($A$2:$A1193,$A1193,$E$2:$E1193,"ANNULE")),""))</f>
        <v/>
      </c>
    </row>
    <row r="1194">
      <c r="A1194">
        <f>IF(ISBLANK('ENGAGEMENTS 2026'!C1194),"",IF('ENGAGEMENTS 2026'!C1194="DTSI","DCT",'ENGAGEMENTS 2026'!C1194))</f>
        <v/>
      </c>
      <c r="B1194">
        <f>IF(ISBLANK('ENGAGEMENTS 2026'!C1194),"",'ENGAGEMENTS 2026'!D1194)</f>
        <v/>
      </c>
      <c r="C1194">
        <f>IF(ISBLANK('ENGAGEMENTS 2026'!C1194),"",'ENGAGEMENTS 2026'!E1194)</f>
        <v/>
      </c>
      <c r="D1194">
        <f>IF(ISBLANK('ENGAGEMENTS 2026'!C1194),"",'ENGAGEMENTS 2026'!G1194)</f>
        <v/>
      </c>
      <c r="E1194">
        <f>IF(ISBLANK('ENGAGEMENTS 2026'!C1194),"",'ENGAGEMENTS 2026'!I1194)</f>
        <v/>
      </c>
      <c r="F1194">
        <f>IF(ISBLANK('ENGAGEMENTS 2026'!C1194),"",'ENGAGEMENTS 2026'!J1194)</f>
        <v/>
      </c>
      <c r="G1194">
        <f>IF(ISBLANK('ENGAGEMENTS 2026'!C1194),"",'ENGAGEMENTS 2026'!M1194)</f>
        <v/>
      </c>
      <c r="H1194">
        <f>IF(ISBLANK('ENGAGEMENTS 2026'!C1194),"",'ENGAGEMENTS 2026'!AF1194)</f>
        <v/>
      </c>
      <c r="I1194">
        <f>IF(ISBLANK('ENGAGEMENTS 2026'!C1194),"",'ENGAGEMENTS 2026'!H1194)</f>
        <v/>
      </c>
      <c r="J1194" s="275">
        <f>IF(ISBLANK('ENGAGEMENTS 2026'!C1194),"",IF(AND(OR($E1194="INFRUCTUEUX",$E1194="ANNULE"),$C1194="AOO-M"),'ENGAGEMENTS 2026'!P1194,IF($H1194="EN COURS DE PREENGAGEMENT",'ENGAGEMENTS 2026'!O1194,IF($H1194="PREENGAGE",IF($E1194="ATTRIBUE",'ENGAGEMENTS 2026'!AE1194,'ENGAGEMENTS 2026'!O1194),'ENGAGEMENTS 2026'!AE1194))))</f>
        <v/>
      </c>
      <c r="K1194" s="604">
        <f>IF(ISBLANK('ENGAGEMENTS 2026'!W1194),"",'ENGAGEMENTS 2026'!W1194)</f>
        <v/>
      </c>
      <c r="L1194" s="276">
        <f>IF($K1194="","",TODAY()-$K1194)</f>
        <v/>
      </c>
      <c r="M1194">
        <f>IF($A1194="","",IF($H1194="ENGAGE","Engagé",IF(AND($H1194="NON ENGAGE",OR($I1194="INFRUCTUEUX",$I1194="ANNULE")),"Clôturé sans suite","En cours")))</f>
        <v/>
      </c>
      <c r="N1194">
        <f>IF(ISBLANK('ENGAGEMENTS 2026'!C1194),"",'ENGAGEMENTS 2026'!L1194)</f>
        <v/>
      </c>
      <c r="O1194">
        <f>IF(ISBLANK('ENGAGEMENTS 2026'!C1194),"",'ENGAGEMENTS 2026'!M1194)</f>
        <v/>
      </c>
      <c r="P1194">
        <f>IF(ISBLANK('ENGAGEMENTS 2026'!C1194),"",'ENGAGEMENTS 2026'!K1194)</f>
        <v/>
      </c>
      <c r="Q1194">
        <f>IF($A1194="","",IF(OR($E1194="INFRUCTUEUX",$E1194="ANNULE"),$A1194&amp;"|"&amp;(COUNTIFS($A$2:$A1194,$A1194,$E$2:$E1194,"INFRUCTUEUX")+COUNTIFS($A$2:$A1194,$A1194,$E$2:$E1194,"ANNULE")),""))</f>
        <v/>
      </c>
    </row>
    <row r="1195">
      <c r="A1195">
        <f>IF(ISBLANK('ENGAGEMENTS 2026'!C1195),"",IF('ENGAGEMENTS 2026'!C1195="DTSI","DCT",'ENGAGEMENTS 2026'!C1195))</f>
        <v/>
      </c>
      <c r="B1195">
        <f>IF(ISBLANK('ENGAGEMENTS 2026'!C1195),"",'ENGAGEMENTS 2026'!D1195)</f>
        <v/>
      </c>
      <c r="C1195">
        <f>IF(ISBLANK('ENGAGEMENTS 2026'!C1195),"",'ENGAGEMENTS 2026'!E1195)</f>
        <v/>
      </c>
      <c r="D1195">
        <f>IF(ISBLANK('ENGAGEMENTS 2026'!C1195),"",'ENGAGEMENTS 2026'!G1195)</f>
        <v/>
      </c>
      <c r="E1195">
        <f>IF(ISBLANK('ENGAGEMENTS 2026'!C1195),"",'ENGAGEMENTS 2026'!I1195)</f>
        <v/>
      </c>
      <c r="F1195">
        <f>IF(ISBLANK('ENGAGEMENTS 2026'!C1195),"",'ENGAGEMENTS 2026'!J1195)</f>
        <v/>
      </c>
      <c r="G1195">
        <f>IF(ISBLANK('ENGAGEMENTS 2026'!C1195),"",'ENGAGEMENTS 2026'!M1195)</f>
        <v/>
      </c>
      <c r="H1195">
        <f>IF(ISBLANK('ENGAGEMENTS 2026'!C1195),"",'ENGAGEMENTS 2026'!AF1195)</f>
        <v/>
      </c>
      <c r="I1195">
        <f>IF(ISBLANK('ENGAGEMENTS 2026'!C1195),"",'ENGAGEMENTS 2026'!H1195)</f>
        <v/>
      </c>
      <c r="J1195" s="275">
        <f>IF(ISBLANK('ENGAGEMENTS 2026'!C1195),"",IF(AND(OR($E1195="INFRUCTUEUX",$E1195="ANNULE"),$C1195="AOO-M"),'ENGAGEMENTS 2026'!P1195,IF($H1195="EN COURS DE PREENGAGEMENT",'ENGAGEMENTS 2026'!O1195,IF($H1195="PREENGAGE",IF($E1195="ATTRIBUE",'ENGAGEMENTS 2026'!AE1195,'ENGAGEMENTS 2026'!O1195),'ENGAGEMENTS 2026'!AE1195))))</f>
        <v/>
      </c>
      <c r="K1195" s="604">
        <f>IF(ISBLANK('ENGAGEMENTS 2026'!W1195),"",'ENGAGEMENTS 2026'!W1195)</f>
        <v/>
      </c>
      <c r="L1195" s="276">
        <f>IF($K1195="","",TODAY()-$K1195)</f>
        <v/>
      </c>
      <c r="M1195">
        <f>IF($A1195="","",IF($H1195="ENGAGE","Engagé",IF(AND($H1195="NON ENGAGE",OR($I1195="INFRUCTUEUX",$I1195="ANNULE")),"Clôturé sans suite","En cours")))</f>
        <v/>
      </c>
      <c r="N1195">
        <f>IF(ISBLANK('ENGAGEMENTS 2026'!C1195),"",'ENGAGEMENTS 2026'!L1195)</f>
        <v/>
      </c>
      <c r="O1195">
        <f>IF(ISBLANK('ENGAGEMENTS 2026'!C1195),"",'ENGAGEMENTS 2026'!M1195)</f>
        <v/>
      </c>
      <c r="P1195">
        <f>IF(ISBLANK('ENGAGEMENTS 2026'!C1195),"",'ENGAGEMENTS 2026'!K1195)</f>
        <v/>
      </c>
      <c r="Q1195">
        <f>IF($A1195="","",IF(OR($E1195="INFRUCTUEUX",$E1195="ANNULE"),$A1195&amp;"|"&amp;(COUNTIFS($A$2:$A1195,$A1195,$E$2:$E1195,"INFRUCTUEUX")+COUNTIFS($A$2:$A1195,$A1195,$E$2:$E1195,"ANNULE")),""))</f>
        <v/>
      </c>
    </row>
    <row r="1196">
      <c r="A1196">
        <f>IF(ISBLANK('ENGAGEMENTS 2026'!C1196),"",IF('ENGAGEMENTS 2026'!C1196="DTSI","DCT",'ENGAGEMENTS 2026'!C1196))</f>
        <v/>
      </c>
      <c r="B1196">
        <f>IF(ISBLANK('ENGAGEMENTS 2026'!C1196),"",'ENGAGEMENTS 2026'!D1196)</f>
        <v/>
      </c>
      <c r="C1196">
        <f>IF(ISBLANK('ENGAGEMENTS 2026'!C1196),"",'ENGAGEMENTS 2026'!E1196)</f>
        <v/>
      </c>
      <c r="D1196">
        <f>IF(ISBLANK('ENGAGEMENTS 2026'!C1196),"",'ENGAGEMENTS 2026'!G1196)</f>
        <v/>
      </c>
      <c r="E1196">
        <f>IF(ISBLANK('ENGAGEMENTS 2026'!C1196),"",'ENGAGEMENTS 2026'!I1196)</f>
        <v/>
      </c>
      <c r="F1196">
        <f>IF(ISBLANK('ENGAGEMENTS 2026'!C1196),"",'ENGAGEMENTS 2026'!J1196)</f>
        <v/>
      </c>
      <c r="G1196">
        <f>IF(ISBLANK('ENGAGEMENTS 2026'!C1196),"",'ENGAGEMENTS 2026'!M1196)</f>
        <v/>
      </c>
      <c r="H1196">
        <f>IF(ISBLANK('ENGAGEMENTS 2026'!C1196),"",'ENGAGEMENTS 2026'!AF1196)</f>
        <v/>
      </c>
      <c r="I1196">
        <f>IF(ISBLANK('ENGAGEMENTS 2026'!C1196),"",'ENGAGEMENTS 2026'!H1196)</f>
        <v/>
      </c>
      <c r="J1196" s="275">
        <f>IF(ISBLANK('ENGAGEMENTS 2026'!C1196),"",IF(AND(OR($E1196="INFRUCTUEUX",$E1196="ANNULE"),$C1196="AOO-M"),'ENGAGEMENTS 2026'!P1196,IF($H1196="EN COURS DE PREENGAGEMENT",'ENGAGEMENTS 2026'!O1196,IF($H1196="PREENGAGE",IF($E1196="ATTRIBUE",'ENGAGEMENTS 2026'!AE1196,'ENGAGEMENTS 2026'!O1196),'ENGAGEMENTS 2026'!AE1196))))</f>
        <v/>
      </c>
      <c r="K1196" s="604">
        <f>IF(ISBLANK('ENGAGEMENTS 2026'!W1196),"",'ENGAGEMENTS 2026'!W1196)</f>
        <v/>
      </c>
      <c r="L1196" s="276">
        <f>IF($K1196="","",TODAY()-$K1196)</f>
        <v/>
      </c>
      <c r="M1196">
        <f>IF($A1196="","",IF($H1196="ENGAGE","Engagé",IF(AND($H1196="NON ENGAGE",OR($I1196="INFRUCTUEUX",$I1196="ANNULE")),"Clôturé sans suite","En cours")))</f>
        <v/>
      </c>
      <c r="N1196">
        <f>IF(ISBLANK('ENGAGEMENTS 2026'!C1196),"",'ENGAGEMENTS 2026'!L1196)</f>
        <v/>
      </c>
      <c r="O1196">
        <f>IF(ISBLANK('ENGAGEMENTS 2026'!C1196),"",'ENGAGEMENTS 2026'!M1196)</f>
        <v/>
      </c>
      <c r="P1196">
        <f>IF(ISBLANK('ENGAGEMENTS 2026'!C1196),"",'ENGAGEMENTS 2026'!K1196)</f>
        <v/>
      </c>
      <c r="Q1196">
        <f>IF($A1196="","",IF(OR($E1196="INFRUCTUEUX",$E1196="ANNULE"),$A1196&amp;"|"&amp;(COUNTIFS($A$2:$A1196,$A1196,$E$2:$E1196,"INFRUCTUEUX")+COUNTIFS($A$2:$A1196,$A1196,$E$2:$E1196,"ANNULE")),""))</f>
        <v/>
      </c>
    </row>
    <row r="1197">
      <c r="A1197">
        <f>IF(ISBLANK('ENGAGEMENTS 2026'!C1197),"",IF('ENGAGEMENTS 2026'!C1197="DTSI","DCT",'ENGAGEMENTS 2026'!C1197))</f>
        <v/>
      </c>
      <c r="B1197">
        <f>IF(ISBLANK('ENGAGEMENTS 2026'!C1197),"",'ENGAGEMENTS 2026'!D1197)</f>
        <v/>
      </c>
      <c r="C1197">
        <f>IF(ISBLANK('ENGAGEMENTS 2026'!C1197),"",'ENGAGEMENTS 2026'!E1197)</f>
        <v/>
      </c>
      <c r="D1197">
        <f>IF(ISBLANK('ENGAGEMENTS 2026'!C1197),"",'ENGAGEMENTS 2026'!G1197)</f>
        <v/>
      </c>
      <c r="E1197">
        <f>IF(ISBLANK('ENGAGEMENTS 2026'!C1197),"",'ENGAGEMENTS 2026'!I1197)</f>
        <v/>
      </c>
      <c r="F1197">
        <f>IF(ISBLANK('ENGAGEMENTS 2026'!C1197),"",'ENGAGEMENTS 2026'!J1197)</f>
        <v/>
      </c>
      <c r="G1197">
        <f>IF(ISBLANK('ENGAGEMENTS 2026'!C1197),"",'ENGAGEMENTS 2026'!M1197)</f>
        <v/>
      </c>
      <c r="H1197">
        <f>IF(ISBLANK('ENGAGEMENTS 2026'!C1197),"",'ENGAGEMENTS 2026'!AF1197)</f>
        <v/>
      </c>
      <c r="I1197">
        <f>IF(ISBLANK('ENGAGEMENTS 2026'!C1197),"",'ENGAGEMENTS 2026'!H1197)</f>
        <v/>
      </c>
      <c r="J1197" s="275">
        <f>IF(ISBLANK('ENGAGEMENTS 2026'!C1197),"",IF(AND(OR($E1197="INFRUCTUEUX",$E1197="ANNULE"),$C1197="AOO-M"),'ENGAGEMENTS 2026'!P1197,IF($H1197="EN COURS DE PREENGAGEMENT",'ENGAGEMENTS 2026'!O1197,IF($H1197="PREENGAGE",IF($E1197="ATTRIBUE",'ENGAGEMENTS 2026'!AE1197,'ENGAGEMENTS 2026'!O1197),'ENGAGEMENTS 2026'!AE1197))))</f>
        <v/>
      </c>
      <c r="K1197" s="604">
        <f>IF(ISBLANK('ENGAGEMENTS 2026'!W1197),"",'ENGAGEMENTS 2026'!W1197)</f>
        <v/>
      </c>
      <c r="L1197" s="276">
        <f>IF($K1197="","",TODAY()-$K1197)</f>
        <v/>
      </c>
      <c r="M1197">
        <f>IF($A1197="","",IF($H1197="ENGAGE","Engagé",IF(AND($H1197="NON ENGAGE",OR($I1197="INFRUCTUEUX",$I1197="ANNULE")),"Clôturé sans suite","En cours")))</f>
        <v/>
      </c>
      <c r="N1197">
        <f>IF(ISBLANK('ENGAGEMENTS 2026'!C1197),"",'ENGAGEMENTS 2026'!L1197)</f>
        <v/>
      </c>
      <c r="O1197">
        <f>IF(ISBLANK('ENGAGEMENTS 2026'!C1197),"",'ENGAGEMENTS 2026'!M1197)</f>
        <v/>
      </c>
      <c r="P1197">
        <f>IF(ISBLANK('ENGAGEMENTS 2026'!C1197),"",'ENGAGEMENTS 2026'!K1197)</f>
        <v/>
      </c>
      <c r="Q1197">
        <f>IF($A1197="","",IF(OR($E1197="INFRUCTUEUX",$E1197="ANNULE"),$A1197&amp;"|"&amp;(COUNTIFS($A$2:$A1197,$A1197,$E$2:$E1197,"INFRUCTUEUX")+COUNTIFS($A$2:$A1197,$A1197,$E$2:$E1197,"ANNULE")),""))</f>
        <v/>
      </c>
    </row>
    <row r="1198">
      <c r="A1198">
        <f>IF(ISBLANK('ENGAGEMENTS 2026'!C1198),"",IF('ENGAGEMENTS 2026'!C1198="DTSI","DCT",'ENGAGEMENTS 2026'!C1198))</f>
        <v/>
      </c>
      <c r="B1198">
        <f>IF(ISBLANK('ENGAGEMENTS 2026'!C1198),"",'ENGAGEMENTS 2026'!D1198)</f>
        <v/>
      </c>
      <c r="C1198">
        <f>IF(ISBLANK('ENGAGEMENTS 2026'!C1198),"",'ENGAGEMENTS 2026'!E1198)</f>
        <v/>
      </c>
      <c r="D1198">
        <f>IF(ISBLANK('ENGAGEMENTS 2026'!C1198),"",'ENGAGEMENTS 2026'!G1198)</f>
        <v/>
      </c>
      <c r="E1198">
        <f>IF(ISBLANK('ENGAGEMENTS 2026'!C1198),"",'ENGAGEMENTS 2026'!I1198)</f>
        <v/>
      </c>
      <c r="F1198">
        <f>IF(ISBLANK('ENGAGEMENTS 2026'!C1198),"",'ENGAGEMENTS 2026'!J1198)</f>
        <v/>
      </c>
      <c r="G1198">
        <f>IF(ISBLANK('ENGAGEMENTS 2026'!C1198),"",'ENGAGEMENTS 2026'!M1198)</f>
        <v/>
      </c>
      <c r="H1198">
        <f>IF(ISBLANK('ENGAGEMENTS 2026'!C1198),"",'ENGAGEMENTS 2026'!AF1198)</f>
        <v/>
      </c>
      <c r="I1198">
        <f>IF(ISBLANK('ENGAGEMENTS 2026'!C1198),"",'ENGAGEMENTS 2026'!H1198)</f>
        <v/>
      </c>
      <c r="J1198" s="275">
        <f>IF(ISBLANK('ENGAGEMENTS 2026'!C1198),"",IF(AND(OR($E1198="INFRUCTUEUX",$E1198="ANNULE"),$C1198="AOO-M"),'ENGAGEMENTS 2026'!P1198,IF($H1198="EN COURS DE PREENGAGEMENT",'ENGAGEMENTS 2026'!O1198,IF($H1198="PREENGAGE",IF($E1198="ATTRIBUE",'ENGAGEMENTS 2026'!AE1198,'ENGAGEMENTS 2026'!O1198),'ENGAGEMENTS 2026'!AE1198))))</f>
        <v/>
      </c>
      <c r="K1198" s="604">
        <f>IF(ISBLANK('ENGAGEMENTS 2026'!W1198),"",'ENGAGEMENTS 2026'!W1198)</f>
        <v/>
      </c>
      <c r="L1198" s="276">
        <f>IF($K1198="","",TODAY()-$K1198)</f>
        <v/>
      </c>
      <c r="M1198">
        <f>IF($A1198="","",IF($H1198="ENGAGE","Engagé",IF(AND($H1198="NON ENGAGE",OR($I1198="INFRUCTUEUX",$I1198="ANNULE")),"Clôturé sans suite","En cours")))</f>
        <v/>
      </c>
      <c r="N1198">
        <f>IF(ISBLANK('ENGAGEMENTS 2026'!C1198),"",'ENGAGEMENTS 2026'!L1198)</f>
        <v/>
      </c>
      <c r="O1198">
        <f>IF(ISBLANK('ENGAGEMENTS 2026'!C1198),"",'ENGAGEMENTS 2026'!M1198)</f>
        <v/>
      </c>
      <c r="P1198">
        <f>IF(ISBLANK('ENGAGEMENTS 2026'!C1198),"",'ENGAGEMENTS 2026'!K1198)</f>
        <v/>
      </c>
      <c r="Q1198">
        <f>IF($A1198="","",IF(OR($E1198="INFRUCTUEUX",$E1198="ANNULE"),$A1198&amp;"|"&amp;(COUNTIFS($A$2:$A1198,$A1198,$E$2:$E1198,"INFRUCTUEUX")+COUNTIFS($A$2:$A1198,$A1198,$E$2:$E1198,"ANNULE")),""))</f>
        <v/>
      </c>
    </row>
    <row r="1199">
      <c r="A1199">
        <f>IF(ISBLANK('ENGAGEMENTS 2026'!C1199),"",IF('ENGAGEMENTS 2026'!C1199="DTSI","DCT",'ENGAGEMENTS 2026'!C1199))</f>
        <v/>
      </c>
      <c r="B1199">
        <f>IF(ISBLANK('ENGAGEMENTS 2026'!C1199),"",'ENGAGEMENTS 2026'!D1199)</f>
        <v/>
      </c>
      <c r="C1199">
        <f>IF(ISBLANK('ENGAGEMENTS 2026'!C1199),"",'ENGAGEMENTS 2026'!E1199)</f>
        <v/>
      </c>
      <c r="D1199">
        <f>IF(ISBLANK('ENGAGEMENTS 2026'!C1199),"",'ENGAGEMENTS 2026'!G1199)</f>
        <v/>
      </c>
      <c r="E1199">
        <f>IF(ISBLANK('ENGAGEMENTS 2026'!C1199),"",'ENGAGEMENTS 2026'!I1199)</f>
        <v/>
      </c>
      <c r="F1199">
        <f>IF(ISBLANK('ENGAGEMENTS 2026'!C1199),"",'ENGAGEMENTS 2026'!J1199)</f>
        <v/>
      </c>
      <c r="G1199">
        <f>IF(ISBLANK('ENGAGEMENTS 2026'!C1199),"",'ENGAGEMENTS 2026'!M1199)</f>
        <v/>
      </c>
      <c r="H1199">
        <f>IF(ISBLANK('ENGAGEMENTS 2026'!C1199),"",'ENGAGEMENTS 2026'!AF1199)</f>
        <v/>
      </c>
      <c r="I1199">
        <f>IF(ISBLANK('ENGAGEMENTS 2026'!C1199),"",'ENGAGEMENTS 2026'!H1199)</f>
        <v/>
      </c>
      <c r="J1199" s="275">
        <f>IF(ISBLANK('ENGAGEMENTS 2026'!C1199),"",IF(AND(OR($E1199="INFRUCTUEUX",$E1199="ANNULE"),$C1199="AOO-M"),'ENGAGEMENTS 2026'!P1199,IF($H1199="EN COURS DE PREENGAGEMENT",'ENGAGEMENTS 2026'!O1199,IF($H1199="PREENGAGE",IF($E1199="ATTRIBUE",'ENGAGEMENTS 2026'!AE1199,'ENGAGEMENTS 2026'!O1199),'ENGAGEMENTS 2026'!AE1199))))</f>
        <v/>
      </c>
      <c r="K1199" s="604">
        <f>IF(ISBLANK('ENGAGEMENTS 2026'!W1199),"",'ENGAGEMENTS 2026'!W1199)</f>
        <v/>
      </c>
      <c r="L1199" s="276">
        <f>IF($K1199="","",TODAY()-$K1199)</f>
        <v/>
      </c>
      <c r="M1199">
        <f>IF($A1199="","",IF($H1199="ENGAGE","Engagé",IF(AND($H1199="NON ENGAGE",OR($I1199="INFRUCTUEUX",$I1199="ANNULE")),"Clôturé sans suite","En cours")))</f>
        <v/>
      </c>
      <c r="N1199">
        <f>IF(ISBLANK('ENGAGEMENTS 2026'!C1199),"",'ENGAGEMENTS 2026'!L1199)</f>
        <v/>
      </c>
      <c r="O1199">
        <f>IF(ISBLANK('ENGAGEMENTS 2026'!C1199),"",'ENGAGEMENTS 2026'!M1199)</f>
        <v/>
      </c>
      <c r="P1199">
        <f>IF(ISBLANK('ENGAGEMENTS 2026'!C1199),"",'ENGAGEMENTS 2026'!K1199)</f>
        <v/>
      </c>
      <c r="Q1199">
        <f>IF($A1199="","",IF(OR($E1199="INFRUCTUEUX",$E1199="ANNULE"),$A1199&amp;"|"&amp;(COUNTIFS($A$2:$A1199,$A1199,$E$2:$E1199,"INFRUCTUEUX")+COUNTIFS($A$2:$A1199,$A1199,$E$2:$E1199,"ANNULE")),""))</f>
        <v/>
      </c>
    </row>
    <row r="1200">
      <c r="A1200">
        <f>IF(ISBLANK('ENGAGEMENTS 2026'!C1200),"",IF('ENGAGEMENTS 2026'!C1200="DTSI","DCT",'ENGAGEMENTS 2026'!C1200))</f>
        <v/>
      </c>
      <c r="B1200">
        <f>IF(ISBLANK('ENGAGEMENTS 2026'!C1200),"",'ENGAGEMENTS 2026'!D1200)</f>
        <v/>
      </c>
      <c r="C1200">
        <f>IF(ISBLANK('ENGAGEMENTS 2026'!C1200),"",'ENGAGEMENTS 2026'!E1200)</f>
        <v/>
      </c>
      <c r="D1200">
        <f>IF(ISBLANK('ENGAGEMENTS 2026'!C1200),"",'ENGAGEMENTS 2026'!G1200)</f>
        <v/>
      </c>
      <c r="E1200">
        <f>IF(ISBLANK('ENGAGEMENTS 2026'!C1200),"",'ENGAGEMENTS 2026'!I1200)</f>
        <v/>
      </c>
      <c r="F1200">
        <f>IF(ISBLANK('ENGAGEMENTS 2026'!C1200),"",'ENGAGEMENTS 2026'!J1200)</f>
        <v/>
      </c>
      <c r="G1200">
        <f>IF(ISBLANK('ENGAGEMENTS 2026'!C1200),"",'ENGAGEMENTS 2026'!M1200)</f>
        <v/>
      </c>
      <c r="H1200">
        <f>IF(ISBLANK('ENGAGEMENTS 2026'!C1200),"",'ENGAGEMENTS 2026'!AF1200)</f>
        <v/>
      </c>
      <c r="I1200">
        <f>IF(ISBLANK('ENGAGEMENTS 2026'!C1200),"",'ENGAGEMENTS 2026'!H1200)</f>
        <v/>
      </c>
      <c r="J1200" s="275">
        <f>IF(ISBLANK('ENGAGEMENTS 2026'!C1200),"",IF(AND(OR($E1200="INFRUCTUEUX",$E1200="ANNULE"),$C1200="AOO-M"),'ENGAGEMENTS 2026'!P1200,IF($H1200="EN COURS DE PREENGAGEMENT",'ENGAGEMENTS 2026'!O1200,IF($H1200="PREENGAGE",IF($E1200="ATTRIBUE",'ENGAGEMENTS 2026'!AE1200,'ENGAGEMENTS 2026'!O1200),'ENGAGEMENTS 2026'!AE1200))))</f>
        <v/>
      </c>
      <c r="K1200" s="604">
        <f>IF(ISBLANK('ENGAGEMENTS 2026'!W1200),"",'ENGAGEMENTS 2026'!W1200)</f>
        <v/>
      </c>
      <c r="L1200" s="276">
        <f>IF($K1200="","",TODAY()-$K1200)</f>
        <v/>
      </c>
      <c r="M1200">
        <f>IF($A1200="","",IF($H1200="ENGAGE","Engagé",IF(AND($H1200="NON ENGAGE",OR($I1200="INFRUCTUEUX",$I1200="ANNULE")),"Clôturé sans suite","En cours")))</f>
        <v/>
      </c>
      <c r="N1200">
        <f>IF(ISBLANK('ENGAGEMENTS 2026'!C1200),"",'ENGAGEMENTS 2026'!L1200)</f>
        <v/>
      </c>
      <c r="O1200">
        <f>IF(ISBLANK('ENGAGEMENTS 2026'!C1200),"",'ENGAGEMENTS 2026'!M1200)</f>
        <v/>
      </c>
      <c r="P1200">
        <f>IF(ISBLANK('ENGAGEMENTS 2026'!C1200),"",'ENGAGEMENTS 2026'!K1200)</f>
        <v/>
      </c>
      <c r="Q1200">
        <f>IF($A1200="","",IF(OR($E1200="INFRUCTUEUX",$E1200="ANNULE"),$A1200&amp;"|"&amp;(COUNTIFS($A$2:$A1200,$A1200,$E$2:$E1200,"INFRUCTUEUX")+COUNTIFS($A$2:$A1200,$A1200,$E$2:$E1200,"ANNULE")),""))</f>
        <v/>
      </c>
    </row>
    <row r="1201">
      <c r="A1201">
        <f>IF(ISBLANK('ENGAGEMENTS 2026'!C1201),"",IF('ENGAGEMENTS 2026'!C1201="DTSI","DCT",'ENGAGEMENTS 2026'!C1201))</f>
        <v/>
      </c>
      <c r="B1201">
        <f>IF(ISBLANK('ENGAGEMENTS 2026'!C1201),"",'ENGAGEMENTS 2026'!D1201)</f>
        <v/>
      </c>
      <c r="C1201">
        <f>IF(ISBLANK('ENGAGEMENTS 2026'!C1201),"",'ENGAGEMENTS 2026'!E1201)</f>
        <v/>
      </c>
      <c r="D1201">
        <f>IF(ISBLANK('ENGAGEMENTS 2026'!C1201),"",'ENGAGEMENTS 2026'!G1201)</f>
        <v/>
      </c>
      <c r="E1201">
        <f>IF(ISBLANK('ENGAGEMENTS 2026'!C1201),"",'ENGAGEMENTS 2026'!I1201)</f>
        <v/>
      </c>
      <c r="F1201">
        <f>IF(ISBLANK('ENGAGEMENTS 2026'!C1201),"",'ENGAGEMENTS 2026'!J1201)</f>
        <v/>
      </c>
      <c r="G1201">
        <f>IF(ISBLANK('ENGAGEMENTS 2026'!C1201),"",'ENGAGEMENTS 2026'!M1201)</f>
        <v/>
      </c>
      <c r="H1201">
        <f>IF(ISBLANK('ENGAGEMENTS 2026'!C1201),"",'ENGAGEMENTS 2026'!AF1201)</f>
        <v/>
      </c>
      <c r="I1201">
        <f>IF(ISBLANK('ENGAGEMENTS 2026'!C1201),"",'ENGAGEMENTS 2026'!H1201)</f>
        <v/>
      </c>
      <c r="J1201" s="275">
        <f>IF(ISBLANK('ENGAGEMENTS 2026'!C1201),"",IF(AND(OR($E1201="INFRUCTUEUX",$E1201="ANNULE"),$C1201="AOO-M"),'ENGAGEMENTS 2026'!P1201,IF($H1201="EN COURS DE PREENGAGEMENT",'ENGAGEMENTS 2026'!O1201,IF($H1201="PREENGAGE",IF($E1201="ATTRIBUE",'ENGAGEMENTS 2026'!AE1201,'ENGAGEMENTS 2026'!O1201),'ENGAGEMENTS 2026'!AE1201))))</f>
        <v/>
      </c>
      <c r="K1201" s="604">
        <f>IF(ISBLANK('ENGAGEMENTS 2026'!W1201),"",'ENGAGEMENTS 2026'!W1201)</f>
        <v/>
      </c>
      <c r="L1201" s="276">
        <f>IF($K1201="","",TODAY()-$K1201)</f>
        <v/>
      </c>
      <c r="M1201">
        <f>IF($A1201="","",IF($H1201="ENGAGE","Engagé",IF(AND($H1201="NON ENGAGE",OR($I1201="INFRUCTUEUX",$I1201="ANNULE")),"Clôturé sans suite","En cours")))</f>
        <v/>
      </c>
      <c r="N1201">
        <f>IF(ISBLANK('ENGAGEMENTS 2026'!C1201),"",'ENGAGEMENTS 2026'!L1201)</f>
        <v/>
      </c>
      <c r="O1201">
        <f>IF(ISBLANK('ENGAGEMENTS 2026'!C1201),"",'ENGAGEMENTS 2026'!M1201)</f>
        <v/>
      </c>
      <c r="P1201">
        <f>IF(ISBLANK('ENGAGEMENTS 2026'!C1201),"",'ENGAGEMENTS 2026'!K1201)</f>
        <v/>
      </c>
      <c r="Q1201">
        <f>IF($A1201="","",IF(OR($E1201="INFRUCTUEUX",$E1201="ANNULE"),$A1201&amp;"|"&amp;(COUNTIFS($A$2:$A1201,$A1201,$E$2:$E1201,"INFRUCTUEUX")+COUNTIFS($A$2:$A1201,$A1201,$E$2:$E1201,"ANNULE")),""))</f>
        <v/>
      </c>
    </row>
    <row r="1202">
      <c r="A1202">
        <f>IF(ISBLANK('ENGAGEMENTS 2026'!C1202),"",IF('ENGAGEMENTS 2026'!C1202="DTSI","DCT",'ENGAGEMENTS 2026'!C1202))</f>
        <v/>
      </c>
      <c r="B1202">
        <f>IF(ISBLANK('ENGAGEMENTS 2026'!C1202),"",'ENGAGEMENTS 2026'!D1202)</f>
        <v/>
      </c>
      <c r="C1202">
        <f>IF(ISBLANK('ENGAGEMENTS 2026'!C1202),"",'ENGAGEMENTS 2026'!E1202)</f>
        <v/>
      </c>
      <c r="D1202">
        <f>IF(ISBLANK('ENGAGEMENTS 2026'!C1202),"",'ENGAGEMENTS 2026'!G1202)</f>
        <v/>
      </c>
      <c r="E1202">
        <f>IF(ISBLANK('ENGAGEMENTS 2026'!C1202),"",'ENGAGEMENTS 2026'!I1202)</f>
        <v/>
      </c>
      <c r="F1202">
        <f>IF(ISBLANK('ENGAGEMENTS 2026'!C1202),"",'ENGAGEMENTS 2026'!J1202)</f>
        <v/>
      </c>
      <c r="G1202">
        <f>IF(ISBLANK('ENGAGEMENTS 2026'!C1202),"",'ENGAGEMENTS 2026'!M1202)</f>
        <v/>
      </c>
      <c r="H1202">
        <f>IF(ISBLANK('ENGAGEMENTS 2026'!C1202),"",'ENGAGEMENTS 2026'!AF1202)</f>
        <v/>
      </c>
      <c r="I1202">
        <f>IF(ISBLANK('ENGAGEMENTS 2026'!C1202),"",'ENGAGEMENTS 2026'!H1202)</f>
        <v/>
      </c>
      <c r="J1202" s="275">
        <f>IF(ISBLANK('ENGAGEMENTS 2026'!C1202),"",IF(AND(OR($E1202="INFRUCTUEUX",$E1202="ANNULE"),$C1202="AOO-M"),'ENGAGEMENTS 2026'!P1202,IF($H1202="EN COURS DE PREENGAGEMENT",'ENGAGEMENTS 2026'!O1202,IF($H1202="PREENGAGE",IF($E1202="ATTRIBUE",'ENGAGEMENTS 2026'!AE1202,'ENGAGEMENTS 2026'!O1202),'ENGAGEMENTS 2026'!AE1202))))</f>
        <v/>
      </c>
      <c r="K1202" s="604">
        <f>IF(ISBLANK('ENGAGEMENTS 2026'!W1202),"",'ENGAGEMENTS 2026'!W1202)</f>
        <v/>
      </c>
      <c r="L1202" s="276">
        <f>IF($K1202="","",TODAY()-$K1202)</f>
        <v/>
      </c>
      <c r="M1202">
        <f>IF($A1202="","",IF($H1202="ENGAGE","Engagé",IF(AND($H1202="NON ENGAGE",OR($I1202="INFRUCTUEUX",$I1202="ANNULE")),"Clôturé sans suite","En cours")))</f>
        <v/>
      </c>
      <c r="N1202">
        <f>IF(ISBLANK('ENGAGEMENTS 2026'!C1202),"",'ENGAGEMENTS 2026'!L1202)</f>
        <v/>
      </c>
      <c r="O1202">
        <f>IF(ISBLANK('ENGAGEMENTS 2026'!C1202),"",'ENGAGEMENTS 2026'!M1202)</f>
        <v/>
      </c>
      <c r="P1202">
        <f>IF(ISBLANK('ENGAGEMENTS 2026'!C1202),"",'ENGAGEMENTS 2026'!K1202)</f>
        <v/>
      </c>
      <c r="Q1202">
        <f>IF($A1202="","",IF(OR($E1202="INFRUCTUEUX",$E1202="ANNULE"),$A1202&amp;"|"&amp;(COUNTIFS($A$2:$A1202,$A1202,$E$2:$E1202,"INFRUCTUEUX")+COUNTIFS($A$2:$A1202,$A1202,$E$2:$E1202,"ANNULE")),""))</f>
        <v/>
      </c>
    </row>
    <row r="1203">
      <c r="A1203">
        <f>IF(ISBLANK('ENGAGEMENTS 2026'!C1203),"",IF('ENGAGEMENTS 2026'!C1203="DTSI","DCT",'ENGAGEMENTS 2026'!C1203))</f>
        <v/>
      </c>
      <c r="B1203">
        <f>IF(ISBLANK('ENGAGEMENTS 2026'!C1203),"",'ENGAGEMENTS 2026'!D1203)</f>
        <v/>
      </c>
      <c r="C1203">
        <f>IF(ISBLANK('ENGAGEMENTS 2026'!C1203),"",'ENGAGEMENTS 2026'!E1203)</f>
        <v/>
      </c>
      <c r="D1203">
        <f>IF(ISBLANK('ENGAGEMENTS 2026'!C1203),"",'ENGAGEMENTS 2026'!G1203)</f>
        <v/>
      </c>
      <c r="E1203">
        <f>IF(ISBLANK('ENGAGEMENTS 2026'!C1203),"",'ENGAGEMENTS 2026'!I1203)</f>
        <v/>
      </c>
      <c r="F1203">
        <f>IF(ISBLANK('ENGAGEMENTS 2026'!C1203),"",'ENGAGEMENTS 2026'!J1203)</f>
        <v/>
      </c>
      <c r="G1203">
        <f>IF(ISBLANK('ENGAGEMENTS 2026'!C1203),"",'ENGAGEMENTS 2026'!M1203)</f>
        <v/>
      </c>
      <c r="H1203">
        <f>IF(ISBLANK('ENGAGEMENTS 2026'!C1203),"",'ENGAGEMENTS 2026'!AF1203)</f>
        <v/>
      </c>
      <c r="I1203">
        <f>IF(ISBLANK('ENGAGEMENTS 2026'!C1203),"",'ENGAGEMENTS 2026'!H1203)</f>
        <v/>
      </c>
      <c r="J1203" s="275">
        <f>IF(ISBLANK('ENGAGEMENTS 2026'!C1203),"",IF(AND(OR($E1203="INFRUCTUEUX",$E1203="ANNULE"),$C1203="AOO-M"),'ENGAGEMENTS 2026'!P1203,IF($H1203="EN COURS DE PREENGAGEMENT",'ENGAGEMENTS 2026'!O1203,IF($H1203="PREENGAGE",IF($E1203="ATTRIBUE",'ENGAGEMENTS 2026'!AE1203,'ENGAGEMENTS 2026'!O1203),'ENGAGEMENTS 2026'!AE1203))))</f>
        <v/>
      </c>
      <c r="K1203" s="604">
        <f>IF(ISBLANK('ENGAGEMENTS 2026'!W1203),"",'ENGAGEMENTS 2026'!W1203)</f>
        <v/>
      </c>
      <c r="L1203" s="276">
        <f>IF($K1203="","",TODAY()-$K1203)</f>
        <v/>
      </c>
      <c r="M1203">
        <f>IF($A1203="","",IF($H1203="ENGAGE","Engagé",IF(AND($H1203="NON ENGAGE",OR($I1203="INFRUCTUEUX",$I1203="ANNULE")),"Clôturé sans suite","En cours")))</f>
        <v/>
      </c>
      <c r="N1203">
        <f>IF(ISBLANK('ENGAGEMENTS 2026'!C1203),"",'ENGAGEMENTS 2026'!L1203)</f>
        <v/>
      </c>
      <c r="O1203">
        <f>IF(ISBLANK('ENGAGEMENTS 2026'!C1203),"",'ENGAGEMENTS 2026'!M1203)</f>
        <v/>
      </c>
      <c r="P1203">
        <f>IF(ISBLANK('ENGAGEMENTS 2026'!C1203),"",'ENGAGEMENTS 2026'!K1203)</f>
        <v/>
      </c>
      <c r="Q1203">
        <f>IF($A1203="","",IF(OR($E1203="INFRUCTUEUX",$E1203="ANNULE"),$A1203&amp;"|"&amp;(COUNTIFS($A$2:$A1203,$A1203,$E$2:$E1203,"INFRUCTUEUX")+COUNTIFS($A$2:$A1203,$A1203,$E$2:$E1203,"ANNULE")),""))</f>
        <v/>
      </c>
    </row>
    <row r="1204">
      <c r="A1204">
        <f>IF(ISBLANK('ENGAGEMENTS 2026'!C1204),"",IF('ENGAGEMENTS 2026'!C1204="DTSI","DCT",'ENGAGEMENTS 2026'!C1204))</f>
        <v/>
      </c>
      <c r="B1204">
        <f>IF(ISBLANK('ENGAGEMENTS 2026'!C1204),"",'ENGAGEMENTS 2026'!D1204)</f>
        <v/>
      </c>
      <c r="C1204">
        <f>IF(ISBLANK('ENGAGEMENTS 2026'!C1204),"",'ENGAGEMENTS 2026'!E1204)</f>
        <v/>
      </c>
      <c r="D1204">
        <f>IF(ISBLANK('ENGAGEMENTS 2026'!C1204),"",'ENGAGEMENTS 2026'!G1204)</f>
        <v/>
      </c>
      <c r="E1204">
        <f>IF(ISBLANK('ENGAGEMENTS 2026'!C1204),"",'ENGAGEMENTS 2026'!I1204)</f>
        <v/>
      </c>
      <c r="F1204">
        <f>IF(ISBLANK('ENGAGEMENTS 2026'!C1204),"",'ENGAGEMENTS 2026'!J1204)</f>
        <v/>
      </c>
      <c r="G1204">
        <f>IF(ISBLANK('ENGAGEMENTS 2026'!C1204),"",'ENGAGEMENTS 2026'!M1204)</f>
        <v/>
      </c>
      <c r="H1204">
        <f>IF(ISBLANK('ENGAGEMENTS 2026'!C1204),"",'ENGAGEMENTS 2026'!AF1204)</f>
        <v/>
      </c>
      <c r="I1204">
        <f>IF(ISBLANK('ENGAGEMENTS 2026'!C1204),"",'ENGAGEMENTS 2026'!H1204)</f>
        <v/>
      </c>
      <c r="J1204" s="275">
        <f>IF(ISBLANK('ENGAGEMENTS 2026'!C1204),"",IF(AND(OR($E1204="INFRUCTUEUX",$E1204="ANNULE"),$C1204="AOO-M"),'ENGAGEMENTS 2026'!P1204,IF($H1204="EN COURS DE PREENGAGEMENT",'ENGAGEMENTS 2026'!O1204,IF($H1204="PREENGAGE",IF($E1204="ATTRIBUE",'ENGAGEMENTS 2026'!AE1204,'ENGAGEMENTS 2026'!O1204),'ENGAGEMENTS 2026'!AE1204))))</f>
        <v/>
      </c>
      <c r="K1204" s="604">
        <f>IF(ISBLANK('ENGAGEMENTS 2026'!W1204),"",'ENGAGEMENTS 2026'!W1204)</f>
        <v/>
      </c>
      <c r="L1204" s="276">
        <f>IF($K1204="","",TODAY()-$K1204)</f>
        <v/>
      </c>
      <c r="M1204">
        <f>IF($A1204="","",IF($H1204="ENGAGE","Engagé",IF(AND($H1204="NON ENGAGE",OR($I1204="INFRUCTUEUX",$I1204="ANNULE")),"Clôturé sans suite","En cours")))</f>
        <v/>
      </c>
      <c r="N1204">
        <f>IF(ISBLANK('ENGAGEMENTS 2026'!C1204),"",'ENGAGEMENTS 2026'!L1204)</f>
        <v/>
      </c>
      <c r="O1204">
        <f>IF(ISBLANK('ENGAGEMENTS 2026'!C1204),"",'ENGAGEMENTS 2026'!M1204)</f>
        <v/>
      </c>
      <c r="P1204">
        <f>IF(ISBLANK('ENGAGEMENTS 2026'!C1204),"",'ENGAGEMENTS 2026'!K1204)</f>
        <v/>
      </c>
      <c r="Q1204">
        <f>IF($A1204="","",IF(OR($E1204="INFRUCTUEUX",$E1204="ANNULE"),$A1204&amp;"|"&amp;(COUNTIFS($A$2:$A1204,$A1204,$E$2:$E1204,"INFRUCTUEUX")+COUNTIFS($A$2:$A1204,$A1204,$E$2:$E1204,"ANNULE")),""))</f>
        <v/>
      </c>
    </row>
    <row r="1205">
      <c r="A1205">
        <f>IF(ISBLANK('ENGAGEMENTS 2026'!C1205),"",IF('ENGAGEMENTS 2026'!C1205="DTSI","DCT",'ENGAGEMENTS 2026'!C1205))</f>
        <v/>
      </c>
      <c r="B1205">
        <f>IF(ISBLANK('ENGAGEMENTS 2026'!C1205),"",'ENGAGEMENTS 2026'!D1205)</f>
        <v/>
      </c>
      <c r="C1205">
        <f>IF(ISBLANK('ENGAGEMENTS 2026'!C1205),"",'ENGAGEMENTS 2026'!E1205)</f>
        <v/>
      </c>
      <c r="D1205">
        <f>IF(ISBLANK('ENGAGEMENTS 2026'!C1205),"",'ENGAGEMENTS 2026'!G1205)</f>
        <v/>
      </c>
      <c r="E1205">
        <f>IF(ISBLANK('ENGAGEMENTS 2026'!C1205),"",'ENGAGEMENTS 2026'!I1205)</f>
        <v/>
      </c>
      <c r="F1205">
        <f>IF(ISBLANK('ENGAGEMENTS 2026'!C1205),"",'ENGAGEMENTS 2026'!J1205)</f>
        <v/>
      </c>
      <c r="G1205">
        <f>IF(ISBLANK('ENGAGEMENTS 2026'!C1205),"",'ENGAGEMENTS 2026'!M1205)</f>
        <v/>
      </c>
      <c r="H1205">
        <f>IF(ISBLANK('ENGAGEMENTS 2026'!C1205),"",'ENGAGEMENTS 2026'!AF1205)</f>
        <v/>
      </c>
      <c r="I1205">
        <f>IF(ISBLANK('ENGAGEMENTS 2026'!C1205),"",'ENGAGEMENTS 2026'!H1205)</f>
        <v/>
      </c>
      <c r="J1205" s="275">
        <f>IF(ISBLANK('ENGAGEMENTS 2026'!C1205),"",IF(AND(OR($E1205="INFRUCTUEUX",$E1205="ANNULE"),$C1205="AOO-M"),'ENGAGEMENTS 2026'!P1205,IF($H1205="EN COURS DE PREENGAGEMENT",'ENGAGEMENTS 2026'!O1205,IF($H1205="PREENGAGE",IF($E1205="ATTRIBUE",'ENGAGEMENTS 2026'!AE1205,'ENGAGEMENTS 2026'!O1205),'ENGAGEMENTS 2026'!AE1205))))</f>
        <v/>
      </c>
      <c r="K1205" s="604">
        <f>IF(ISBLANK('ENGAGEMENTS 2026'!W1205),"",'ENGAGEMENTS 2026'!W1205)</f>
        <v/>
      </c>
      <c r="L1205" s="276">
        <f>IF($K1205="","",TODAY()-$K1205)</f>
        <v/>
      </c>
      <c r="M1205">
        <f>IF($A1205="","",IF($H1205="ENGAGE","Engagé",IF(AND($H1205="NON ENGAGE",OR($I1205="INFRUCTUEUX",$I1205="ANNULE")),"Clôturé sans suite","En cours")))</f>
        <v/>
      </c>
      <c r="N1205">
        <f>IF(ISBLANK('ENGAGEMENTS 2026'!C1205),"",'ENGAGEMENTS 2026'!L1205)</f>
        <v/>
      </c>
      <c r="O1205">
        <f>IF(ISBLANK('ENGAGEMENTS 2026'!C1205),"",'ENGAGEMENTS 2026'!M1205)</f>
        <v/>
      </c>
      <c r="P1205">
        <f>IF(ISBLANK('ENGAGEMENTS 2026'!C1205),"",'ENGAGEMENTS 2026'!K1205)</f>
        <v/>
      </c>
      <c r="Q1205">
        <f>IF($A1205="","",IF(OR($E1205="INFRUCTUEUX",$E1205="ANNULE"),$A1205&amp;"|"&amp;(COUNTIFS($A$2:$A1205,$A1205,$E$2:$E1205,"INFRUCTUEUX")+COUNTIFS($A$2:$A1205,$A1205,$E$2:$E1205,"ANNULE")),""))</f>
        <v/>
      </c>
    </row>
    <row r="1206">
      <c r="A1206">
        <f>IF(ISBLANK('ENGAGEMENTS 2026'!C1206),"",IF('ENGAGEMENTS 2026'!C1206="DTSI","DCT",'ENGAGEMENTS 2026'!C1206))</f>
        <v/>
      </c>
      <c r="B1206">
        <f>IF(ISBLANK('ENGAGEMENTS 2026'!C1206),"",'ENGAGEMENTS 2026'!D1206)</f>
        <v/>
      </c>
      <c r="C1206">
        <f>IF(ISBLANK('ENGAGEMENTS 2026'!C1206),"",'ENGAGEMENTS 2026'!E1206)</f>
        <v/>
      </c>
      <c r="D1206">
        <f>IF(ISBLANK('ENGAGEMENTS 2026'!C1206),"",'ENGAGEMENTS 2026'!G1206)</f>
        <v/>
      </c>
      <c r="E1206">
        <f>IF(ISBLANK('ENGAGEMENTS 2026'!C1206),"",'ENGAGEMENTS 2026'!I1206)</f>
        <v/>
      </c>
      <c r="F1206">
        <f>IF(ISBLANK('ENGAGEMENTS 2026'!C1206),"",'ENGAGEMENTS 2026'!J1206)</f>
        <v/>
      </c>
      <c r="G1206">
        <f>IF(ISBLANK('ENGAGEMENTS 2026'!C1206),"",'ENGAGEMENTS 2026'!M1206)</f>
        <v/>
      </c>
      <c r="H1206">
        <f>IF(ISBLANK('ENGAGEMENTS 2026'!C1206),"",'ENGAGEMENTS 2026'!AF1206)</f>
        <v/>
      </c>
      <c r="I1206">
        <f>IF(ISBLANK('ENGAGEMENTS 2026'!C1206),"",'ENGAGEMENTS 2026'!H1206)</f>
        <v/>
      </c>
      <c r="J1206" s="275">
        <f>IF(ISBLANK('ENGAGEMENTS 2026'!C1206),"",IF(AND(OR($E1206="INFRUCTUEUX",$E1206="ANNULE"),$C1206="AOO-M"),'ENGAGEMENTS 2026'!P1206,IF($H1206="EN COURS DE PREENGAGEMENT",'ENGAGEMENTS 2026'!O1206,IF($H1206="PREENGAGE",IF($E1206="ATTRIBUE",'ENGAGEMENTS 2026'!AE1206,'ENGAGEMENTS 2026'!O1206),'ENGAGEMENTS 2026'!AE1206))))</f>
        <v/>
      </c>
      <c r="K1206" s="604">
        <f>IF(ISBLANK('ENGAGEMENTS 2026'!W1206),"",'ENGAGEMENTS 2026'!W1206)</f>
        <v/>
      </c>
      <c r="L1206" s="276">
        <f>IF($K1206="","",TODAY()-$K1206)</f>
        <v/>
      </c>
      <c r="M1206">
        <f>IF($A1206="","",IF($H1206="ENGAGE","Engagé",IF(AND($H1206="NON ENGAGE",OR($I1206="INFRUCTUEUX",$I1206="ANNULE")),"Clôturé sans suite","En cours")))</f>
        <v/>
      </c>
      <c r="N1206">
        <f>IF(ISBLANK('ENGAGEMENTS 2026'!C1206),"",'ENGAGEMENTS 2026'!L1206)</f>
        <v/>
      </c>
      <c r="O1206">
        <f>IF(ISBLANK('ENGAGEMENTS 2026'!C1206),"",'ENGAGEMENTS 2026'!M1206)</f>
        <v/>
      </c>
      <c r="P1206">
        <f>IF(ISBLANK('ENGAGEMENTS 2026'!C1206),"",'ENGAGEMENTS 2026'!K1206)</f>
        <v/>
      </c>
      <c r="Q1206">
        <f>IF($A1206="","",IF(OR($E1206="INFRUCTUEUX",$E1206="ANNULE"),$A1206&amp;"|"&amp;(COUNTIFS($A$2:$A1206,$A1206,$E$2:$E1206,"INFRUCTUEUX")+COUNTIFS($A$2:$A1206,$A1206,$E$2:$E1206,"ANNULE")),""))</f>
        <v/>
      </c>
    </row>
    <row r="1207">
      <c r="A1207">
        <f>IF(ISBLANK('ENGAGEMENTS 2026'!C1207),"",IF('ENGAGEMENTS 2026'!C1207="DTSI","DCT",'ENGAGEMENTS 2026'!C1207))</f>
        <v/>
      </c>
      <c r="B1207">
        <f>IF(ISBLANK('ENGAGEMENTS 2026'!C1207),"",'ENGAGEMENTS 2026'!D1207)</f>
        <v/>
      </c>
      <c r="C1207">
        <f>IF(ISBLANK('ENGAGEMENTS 2026'!C1207),"",'ENGAGEMENTS 2026'!E1207)</f>
        <v/>
      </c>
      <c r="D1207">
        <f>IF(ISBLANK('ENGAGEMENTS 2026'!C1207),"",'ENGAGEMENTS 2026'!G1207)</f>
        <v/>
      </c>
      <c r="E1207">
        <f>IF(ISBLANK('ENGAGEMENTS 2026'!C1207),"",'ENGAGEMENTS 2026'!I1207)</f>
        <v/>
      </c>
      <c r="F1207">
        <f>IF(ISBLANK('ENGAGEMENTS 2026'!C1207),"",'ENGAGEMENTS 2026'!J1207)</f>
        <v/>
      </c>
      <c r="G1207">
        <f>IF(ISBLANK('ENGAGEMENTS 2026'!C1207),"",'ENGAGEMENTS 2026'!M1207)</f>
        <v/>
      </c>
      <c r="H1207">
        <f>IF(ISBLANK('ENGAGEMENTS 2026'!C1207),"",'ENGAGEMENTS 2026'!AF1207)</f>
        <v/>
      </c>
      <c r="I1207">
        <f>IF(ISBLANK('ENGAGEMENTS 2026'!C1207),"",'ENGAGEMENTS 2026'!H1207)</f>
        <v/>
      </c>
      <c r="J1207" s="275">
        <f>IF(ISBLANK('ENGAGEMENTS 2026'!C1207),"",IF(AND(OR($E1207="INFRUCTUEUX",$E1207="ANNULE"),$C1207="AOO-M"),'ENGAGEMENTS 2026'!P1207,IF($H1207="EN COURS DE PREENGAGEMENT",'ENGAGEMENTS 2026'!O1207,IF($H1207="PREENGAGE",IF($E1207="ATTRIBUE",'ENGAGEMENTS 2026'!AE1207,'ENGAGEMENTS 2026'!O1207),'ENGAGEMENTS 2026'!AE1207))))</f>
        <v/>
      </c>
      <c r="K1207" s="604">
        <f>IF(ISBLANK('ENGAGEMENTS 2026'!W1207),"",'ENGAGEMENTS 2026'!W1207)</f>
        <v/>
      </c>
      <c r="L1207" s="276">
        <f>IF($K1207="","",TODAY()-$K1207)</f>
        <v/>
      </c>
      <c r="M1207">
        <f>IF($A1207="","",IF($H1207="ENGAGE","Engagé",IF(AND($H1207="NON ENGAGE",OR($I1207="INFRUCTUEUX",$I1207="ANNULE")),"Clôturé sans suite","En cours")))</f>
        <v/>
      </c>
      <c r="N1207">
        <f>IF(ISBLANK('ENGAGEMENTS 2026'!C1207),"",'ENGAGEMENTS 2026'!L1207)</f>
        <v/>
      </c>
      <c r="O1207">
        <f>IF(ISBLANK('ENGAGEMENTS 2026'!C1207),"",'ENGAGEMENTS 2026'!M1207)</f>
        <v/>
      </c>
      <c r="P1207">
        <f>IF(ISBLANK('ENGAGEMENTS 2026'!C1207),"",'ENGAGEMENTS 2026'!K1207)</f>
        <v/>
      </c>
      <c r="Q1207">
        <f>IF($A1207="","",IF(OR($E1207="INFRUCTUEUX",$E1207="ANNULE"),$A1207&amp;"|"&amp;(COUNTIFS($A$2:$A1207,$A1207,$E$2:$E1207,"INFRUCTUEUX")+COUNTIFS($A$2:$A1207,$A1207,$E$2:$E1207,"ANNULE")),""))</f>
        <v/>
      </c>
    </row>
    <row r="1208">
      <c r="A1208">
        <f>IF(ISBLANK('ENGAGEMENTS 2026'!C1208),"",IF('ENGAGEMENTS 2026'!C1208="DTSI","DCT",'ENGAGEMENTS 2026'!C1208))</f>
        <v/>
      </c>
      <c r="B1208">
        <f>IF(ISBLANK('ENGAGEMENTS 2026'!C1208),"",'ENGAGEMENTS 2026'!D1208)</f>
        <v/>
      </c>
      <c r="C1208">
        <f>IF(ISBLANK('ENGAGEMENTS 2026'!C1208),"",'ENGAGEMENTS 2026'!E1208)</f>
        <v/>
      </c>
      <c r="D1208">
        <f>IF(ISBLANK('ENGAGEMENTS 2026'!C1208),"",'ENGAGEMENTS 2026'!G1208)</f>
        <v/>
      </c>
      <c r="E1208">
        <f>IF(ISBLANK('ENGAGEMENTS 2026'!C1208),"",'ENGAGEMENTS 2026'!I1208)</f>
        <v/>
      </c>
      <c r="F1208">
        <f>IF(ISBLANK('ENGAGEMENTS 2026'!C1208),"",'ENGAGEMENTS 2026'!J1208)</f>
        <v/>
      </c>
      <c r="G1208">
        <f>IF(ISBLANK('ENGAGEMENTS 2026'!C1208),"",'ENGAGEMENTS 2026'!M1208)</f>
        <v/>
      </c>
      <c r="H1208">
        <f>IF(ISBLANK('ENGAGEMENTS 2026'!C1208),"",'ENGAGEMENTS 2026'!AF1208)</f>
        <v/>
      </c>
      <c r="I1208">
        <f>IF(ISBLANK('ENGAGEMENTS 2026'!C1208),"",'ENGAGEMENTS 2026'!H1208)</f>
        <v/>
      </c>
      <c r="J1208" s="275">
        <f>IF(ISBLANK('ENGAGEMENTS 2026'!C1208),"",IF(AND(OR($E1208="INFRUCTUEUX",$E1208="ANNULE"),$C1208="AOO-M"),'ENGAGEMENTS 2026'!P1208,IF($H1208="EN COURS DE PREENGAGEMENT",'ENGAGEMENTS 2026'!O1208,IF($H1208="PREENGAGE",IF($E1208="ATTRIBUE",'ENGAGEMENTS 2026'!AE1208,'ENGAGEMENTS 2026'!O1208),'ENGAGEMENTS 2026'!AE1208))))</f>
        <v/>
      </c>
      <c r="K1208" s="604">
        <f>IF(ISBLANK('ENGAGEMENTS 2026'!W1208),"",'ENGAGEMENTS 2026'!W1208)</f>
        <v/>
      </c>
      <c r="L1208" s="276">
        <f>IF($K1208="","",TODAY()-$K1208)</f>
        <v/>
      </c>
      <c r="M1208">
        <f>IF($A1208="","",IF($H1208="ENGAGE","Engagé",IF(AND($H1208="NON ENGAGE",OR($I1208="INFRUCTUEUX",$I1208="ANNULE")),"Clôturé sans suite","En cours")))</f>
        <v/>
      </c>
      <c r="N1208">
        <f>IF(ISBLANK('ENGAGEMENTS 2026'!C1208),"",'ENGAGEMENTS 2026'!L1208)</f>
        <v/>
      </c>
      <c r="O1208">
        <f>IF(ISBLANK('ENGAGEMENTS 2026'!C1208),"",'ENGAGEMENTS 2026'!M1208)</f>
        <v/>
      </c>
      <c r="P1208">
        <f>IF(ISBLANK('ENGAGEMENTS 2026'!C1208),"",'ENGAGEMENTS 2026'!K1208)</f>
        <v/>
      </c>
      <c r="Q1208">
        <f>IF($A1208="","",IF(OR($E1208="INFRUCTUEUX",$E1208="ANNULE"),$A1208&amp;"|"&amp;(COUNTIFS($A$2:$A1208,$A1208,$E$2:$E1208,"INFRUCTUEUX")+COUNTIFS($A$2:$A1208,$A1208,$E$2:$E1208,"ANNULE")),""))</f>
        <v/>
      </c>
    </row>
    <row r="1209">
      <c r="A1209">
        <f>IF(ISBLANK('ENGAGEMENTS 2026'!C1209),"",IF('ENGAGEMENTS 2026'!C1209="DTSI","DCT",'ENGAGEMENTS 2026'!C1209))</f>
        <v/>
      </c>
      <c r="B1209">
        <f>IF(ISBLANK('ENGAGEMENTS 2026'!C1209),"",'ENGAGEMENTS 2026'!D1209)</f>
        <v/>
      </c>
      <c r="C1209">
        <f>IF(ISBLANK('ENGAGEMENTS 2026'!C1209),"",'ENGAGEMENTS 2026'!E1209)</f>
        <v/>
      </c>
      <c r="D1209">
        <f>IF(ISBLANK('ENGAGEMENTS 2026'!C1209),"",'ENGAGEMENTS 2026'!G1209)</f>
        <v/>
      </c>
      <c r="E1209">
        <f>IF(ISBLANK('ENGAGEMENTS 2026'!C1209),"",'ENGAGEMENTS 2026'!I1209)</f>
        <v/>
      </c>
      <c r="F1209">
        <f>IF(ISBLANK('ENGAGEMENTS 2026'!C1209),"",'ENGAGEMENTS 2026'!J1209)</f>
        <v/>
      </c>
      <c r="G1209">
        <f>IF(ISBLANK('ENGAGEMENTS 2026'!C1209),"",'ENGAGEMENTS 2026'!M1209)</f>
        <v/>
      </c>
      <c r="H1209">
        <f>IF(ISBLANK('ENGAGEMENTS 2026'!C1209),"",'ENGAGEMENTS 2026'!AF1209)</f>
        <v/>
      </c>
      <c r="I1209">
        <f>IF(ISBLANK('ENGAGEMENTS 2026'!C1209),"",'ENGAGEMENTS 2026'!H1209)</f>
        <v/>
      </c>
      <c r="J1209" s="275">
        <f>IF(ISBLANK('ENGAGEMENTS 2026'!C1209),"",IF(AND(OR($E1209="INFRUCTUEUX",$E1209="ANNULE"),$C1209="AOO-M"),'ENGAGEMENTS 2026'!P1209,IF($H1209="EN COURS DE PREENGAGEMENT",'ENGAGEMENTS 2026'!O1209,IF($H1209="PREENGAGE",IF($E1209="ATTRIBUE",'ENGAGEMENTS 2026'!AE1209,'ENGAGEMENTS 2026'!O1209),'ENGAGEMENTS 2026'!AE1209))))</f>
        <v/>
      </c>
      <c r="K1209" s="604">
        <f>IF(ISBLANK('ENGAGEMENTS 2026'!W1209),"",'ENGAGEMENTS 2026'!W1209)</f>
        <v/>
      </c>
      <c r="L1209" s="276">
        <f>IF($K1209="","",TODAY()-$K1209)</f>
        <v/>
      </c>
      <c r="M1209">
        <f>IF($A1209="","",IF($H1209="ENGAGE","Engagé",IF(AND($H1209="NON ENGAGE",OR($I1209="INFRUCTUEUX",$I1209="ANNULE")),"Clôturé sans suite","En cours")))</f>
        <v/>
      </c>
      <c r="N1209">
        <f>IF(ISBLANK('ENGAGEMENTS 2026'!C1209),"",'ENGAGEMENTS 2026'!L1209)</f>
        <v/>
      </c>
      <c r="O1209">
        <f>IF(ISBLANK('ENGAGEMENTS 2026'!C1209),"",'ENGAGEMENTS 2026'!M1209)</f>
        <v/>
      </c>
      <c r="P1209">
        <f>IF(ISBLANK('ENGAGEMENTS 2026'!C1209),"",'ENGAGEMENTS 2026'!K1209)</f>
        <v/>
      </c>
      <c r="Q1209">
        <f>IF($A1209="","",IF(OR($E1209="INFRUCTUEUX",$E1209="ANNULE"),$A1209&amp;"|"&amp;(COUNTIFS($A$2:$A1209,$A1209,$E$2:$E1209,"INFRUCTUEUX")+COUNTIFS($A$2:$A1209,$A1209,$E$2:$E1209,"ANNULE")),""))</f>
        <v/>
      </c>
    </row>
    <row r="1210">
      <c r="A1210">
        <f>IF(ISBLANK('ENGAGEMENTS 2026'!C1210),"",IF('ENGAGEMENTS 2026'!C1210="DTSI","DCT",'ENGAGEMENTS 2026'!C1210))</f>
        <v/>
      </c>
      <c r="B1210">
        <f>IF(ISBLANK('ENGAGEMENTS 2026'!C1210),"",'ENGAGEMENTS 2026'!D1210)</f>
        <v/>
      </c>
      <c r="C1210">
        <f>IF(ISBLANK('ENGAGEMENTS 2026'!C1210),"",'ENGAGEMENTS 2026'!E1210)</f>
        <v/>
      </c>
      <c r="D1210">
        <f>IF(ISBLANK('ENGAGEMENTS 2026'!C1210),"",'ENGAGEMENTS 2026'!G1210)</f>
        <v/>
      </c>
      <c r="E1210">
        <f>IF(ISBLANK('ENGAGEMENTS 2026'!C1210),"",'ENGAGEMENTS 2026'!I1210)</f>
        <v/>
      </c>
      <c r="F1210">
        <f>IF(ISBLANK('ENGAGEMENTS 2026'!C1210),"",'ENGAGEMENTS 2026'!J1210)</f>
        <v/>
      </c>
      <c r="G1210">
        <f>IF(ISBLANK('ENGAGEMENTS 2026'!C1210),"",'ENGAGEMENTS 2026'!M1210)</f>
        <v/>
      </c>
      <c r="H1210">
        <f>IF(ISBLANK('ENGAGEMENTS 2026'!C1210),"",'ENGAGEMENTS 2026'!AF1210)</f>
        <v/>
      </c>
      <c r="I1210">
        <f>IF(ISBLANK('ENGAGEMENTS 2026'!C1210),"",'ENGAGEMENTS 2026'!H1210)</f>
        <v/>
      </c>
      <c r="J1210" s="275">
        <f>IF(ISBLANK('ENGAGEMENTS 2026'!C1210),"",IF(AND(OR($E1210="INFRUCTUEUX",$E1210="ANNULE"),$C1210="AOO-M"),'ENGAGEMENTS 2026'!P1210,IF($H1210="EN COURS DE PREENGAGEMENT",'ENGAGEMENTS 2026'!O1210,IF($H1210="PREENGAGE",IF($E1210="ATTRIBUE",'ENGAGEMENTS 2026'!AE1210,'ENGAGEMENTS 2026'!O1210),'ENGAGEMENTS 2026'!AE1210))))</f>
        <v/>
      </c>
      <c r="K1210" s="604">
        <f>IF(ISBLANK('ENGAGEMENTS 2026'!W1210),"",'ENGAGEMENTS 2026'!W1210)</f>
        <v/>
      </c>
      <c r="L1210" s="276">
        <f>IF($K1210="","",TODAY()-$K1210)</f>
        <v/>
      </c>
      <c r="M1210">
        <f>IF($A1210="","",IF($H1210="ENGAGE","Engagé",IF(AND($H1210="NON ENGAGE",OR($I1210="INFRUCTUEUX",$I1210="ANNULE")),"Clôturé sans suite","En cours")))</f>
        <v/>
      </c>
      <c r="N1210">
        <f>IF(ISBLANK('ENGAGEMENTS 2026'!C1210),"",'ENGAGEMENTS 2026'!L1210)</f>
        <v/>
      </c>
      <c r="O1210">
        <f>IF(ISBLANK('ENGAGEMENTS 2026'!C1210),"",'ENGAGEMENTS 2026'!M1210)</f>
        <v/>
      </c>
      <c r="P1210">
        <f>IF(ISBLANK('ENGAGEMENTS 2026'!C1210),"",'ENGAGEMENTS 2026'!K1210)</f>
        <v/>
      </c>
      <c r="Q1210">
        <f>IF($A1210="","",IF(OR($E1210="INFRUCTUEUX",$E1210="ANNULE"),$A1210&amp;"|"&amp;(COUNTIFS($A$2:$A1210,$A1210,$E$2:$E1210,"INFRUCTUEUX")+COUNTIFS($A$2:$A1210,$A1210,$E$2:$E1210,"ANNULE")),""))</f>
        <v/>
      </c>
    </row>
    <row r="1211">
      <c r="A1211">
        <f>IF(ISBLANK('ENGAGEMENTS 2026'!C1211),"",IF('ENGAGEMENTS 2026'!C1211="DTSI","DCT",'ENGAGEMENTS 2026'!C1211))</f>
        <v/>
      </c>
      <c r="B1211">
        <f>IF(ISBLANK('ENGAGEMENTS 2026'!C1211),"",'ENGAGEMENTS 2026'!D1211)</f>
        <v/>
      </c>
      <c r="C1211">
        <f>IF(ISBLANK('ENGAGEMENTS 2026'!C1211),"",'ENGAGEMENTS 2026'!E1211)</f>
        <v/>
      </c>
      <c r="D1211">
        <f>IF(ISBLANK('ENGAGEMENTS 2026'!C1211),"",'ENGAGEMENTS 2026'!G1211)</f>
        <v/>
      </c>
      <c r="E1211">
        <f>IF(ISBLANK('ENGAGEMENTS 2026'!C1211),"",'ENGAGEMENTS 2026'!I1211)</f>
        <v/>
      </c>
      <c r="F1211">
        <f>IF(ISBLANK('ENGAGEMENTS 2026'!C1211),"",'ENGAGEMENTS 2026'!J1211)</f>
        <v/>
      </c>
      <c r="G1211">
        <f>IF(ISBLANK('ENGAGEMENTS 2026'!C1211),"",'ENGAGEMENTS 2026'!M1211)</f>
        <v/>
      </c>
      <c r="H1211">
        <f>IF(ISBLANK('ENGAGEMENTS 2026'!C1211),"",'ENGAGEMENTS 2026'!AF1211)</f>
        <v/>
      </c>
      <c r="I1211">
        <f>IF(ISBLANK('ENGAGEMENTS 2026'!C1211),"",'ENGAGEMENTS 2026'!H1211)</f>
        <v/>
      </c>
      <c r="J1211" s="275">
        <f>IF(ISBLANK('ENGAGEMENTS 2026'!C1211),"",IF(AND(OR($E1211="INFRUCTUEUX",$E1211="ANNULE"),$C1211="AOO-M"),'ENGAGEMENTS 2026'!P1211,IF($H1211="EN COURS DE PREENGAGEMENT",'ENGAGEMENTS 2026'!O1211,IF($H1211="PREENGAGE",IF($E1211="ATTRIBUE",'ENGAGEMENTS 2026'!AE1211,'ENGAGEMENTS 2026'!O1211),'ENGAGEMENTS 2026'!AE1211))))</f>
        <v/>
      </c>
      <c r="K1211" s="604">
        <f>IF(ISBLANK('ENGAGEMENTS 2026'!W1211),"",'ENGAGEMENTS 2026'!W1211)</f>
        <v/>
      </c>
      <c r="L1211" s="276">
        <f>IF($K1211="","",TODAY()-$K1211)</f>
        <v/>
      </c>
      <c r="M1211">
        <f>IF($A1211="","",IF($H1211="ENGAGE","Engagé",IF(AND($H1211="NON ENGAGE",OR($I1211="INFRUCTUEUX",$I1211="ANNULE")),"Clôturé sans suite","En cours")))</f>
        <v/>
      </c>
      <c r="N1211">
        <f>IF(ISBLANK('ENGAGEMENTS 2026'!C1211),"",'ENGAGEMENTS 2026'!L1211)</f>
        <v/>
      </c>
      <c r="O1211">
        <f>IF(ISBLANK('ENGAGEMENTS 2026'!C1211),"",'ENGAGEMENTS 2026'!M1211)</f>
        <v/>
      </c>
      <c r="P1211">
        <f>IF(ISBLANK('ENGAGEMENTS 2026'!C1211),"",'ENGAGEMENTS 2026'!K1211)</f>
        <v/>
      </c>
      <c r="Q1211">
        <f>IF($A1211="","",IF(OR($E1211="INFRUCTUEUX",$E1211="ANNULE"),$A1211&amp;"|"&amp;(COUNTIFS($A$2:$A1211,$A1211,$E$2:$E1211,"INFRUCTUEUX")+COUNTIFS($A$2:$A1211,$A1211,$E$2:$E1211,"ANNULE")),""))</f>
        <v/>
      </c>
    </row>
    <row r="1212">
      <c r="A1212">
        <f>IF(ISBLANK('ENGAGEMENTS 2026'!C1212),"",IF('ENGAGEMENTS 2026'!C1212="DTSI","DCT",'ENGAGEMENTS 2026'!C1212))</f>
        <v/>
      </c>
      <c r="B1212">
        <f>IF(ISBLANK('ENGAGEMENTS 2026'!C1212),"",'ENGAGEMENTS 2026'!D1212)</f>
        <v/>
      </c>
      <c r="C1212">
        <f>IF(ISBLANK('ENGAGEMENTS 2026'!C1212),"",'ENGAGEMENTS 2026'!E1212)</f>
        <v/>
      </c>
      <c r="D1212">
        <f>IF(ISBLANK('ENGAGEMENTS 2026'!C1212),"",'ENGAGEMENTS 2026'!G1212)</f>
        <v/>
      </c>
      <c r="E1212">
        <f>IF(ISBLANK('ENGAGEMENTS 2026'!C1212),"",'ENGAGEMENTS 2026'!I1212)</f>
        <v/>
      </c>
      <c r="F1212">
        <f>IF(ISBLANK('ENGAGEMENTS 2026'!C1212),"",'ENGAGEMENTS 2026'!J1212)</f>
        <v/>
      </c>
      <c r="G1212">
        <f>IF(ISBLANK('ENGAGEMENTS 2026'!C1212),"",'ENGAGEMENTS 2026'!M1212)</f>
        <v/>
      </c>
      <c r="H1212">
        <f>IF(ISBLANK('ENGAGEMENTS 2026'!C1212),"",'ENGAGEMENTS 2026'!AF1212)</f>
        <v/>
      </c>
      <c r="I1212">
        <f>IF(ISBLANK('ENGAGEMENTS 2026'!C1212),"",'ENGAGEMENTS 2026'!H1212)</f>
        <v/>
      </c>
      <c r="J1212" s="275">
        <f>IF(ISBLANK('ENGAGEMENTS 2026'!C1212),"",IF(AND(OR($E1212="INFRUCTUEUX",$E1212="ANNULE"),$C1212="AOO-M"),'ENGAGEMENTS 2026'!P1212,IF($H1212="EN COURS DE PREENGAGEMENT",'ENGAGEMENTS 2026'!O1212,IF($H1212="PREENGAGE",IF($E1212="ATTRIBUE",'ENGAGEMENTS 2026'!AE1212,'ENGAGEMENTS 2026'!O1212),'ENGAGEMENTS 2026'!AE1212))))</f>
        <v/>
      </c>
      <c r="K1212" s="604">
        <f>IF(ISBLANK('ENGAGEMENTS 2026'!W1212),"",'ENGAGEMENTS 2026'!W1212)</f>
        <v/>
      </c>
      <c r="L1212" s="276">
        <f>IF($K1212="","",TODAY()-$K1212)</f>
        <v/>
      </c>
      <c r="M1212">
        <f>IF($A1212="","",IF($H1212="ENGAGE","Engagé",IF(AND($H1212="NON ENGAGE",OR($I1212="INFRUCTUEUX",$I1212="ANNULE")),"Clôturé sans suite","En cours")))</f>
        <v/>
      </c>
      <c r="N1212">
        <f>IF(ISBLANK('ENGAGEMENTS 2026'!C1212),"",'ENGAGEMENTS 2026'!L1212)</f>
        <v/>
      </c>
      <c r="O1212">
        <f>IF(ISBLANK('ENGAGEMENTS 2026'!C1212),"",'ENGAGEMENTS 2026'!M1212)</f>
        <v/>
      </c>
      <c r="P1212">
        <f>IF(ISBLANK('ENGAGEMENTS 2026'!C1212),"",'ENGAGEMENTS 2026'!K1212)</f>
        <v/>
      </c>
      <c r="Q1212">
        <f>IF($A1212="","",IF(OR($E1212="INFRUCTUEUX",$E1212="ANNULE"),$A1212&amp;"|"&amp;(COUNTIFS($A$2:$A1212,$A1212,$E$2:$E1212,"INFRUCTUEUX")+COUNTIFS($A$2:$A1212,$A1212,$E$2:$E1212,"ANNULE")),""))</f>
        <v/>
      </c>
    </row>
    <row r="1213">
      <c r="A1213">
        <f>IF(ISBLANK('ENGAGEMENTS 2026'!C1213),"",IF('ENGAGEMENTS 2026'!C1213="DTSI","DCT",'ENGAGEMENTS 2026'!C1213))</f>
        <v/>
      </c>
      <c r="B1213">
        <f>IF(ISBLANK('ENGAGEMENTS 2026'!C1213),"",'ENGAGEMENTS 2026'!D1213)</f>
        <v/>
      </c>
      <c r="C1213">
        <f>IF(ISBLANK('ENGAGEMENTS 2026'!C1213),"",'ENGAGEMENTS 2026'!E1213)</f>
        <v/>
      </c>
      <c r="D1213">
        <f>IF(ISBLANK('ENGAGEMENTS 2026'!C1213),"",'ENGAGEMENTS 2026'!G1213)</f>
        <v/>
      </c>
      <c r="E1213">
        <f>IF(ISBLANK('ENGAGEMENTS 2026'!C1213),"",'ENGAGEMENTS 2026'!I1213)</f>
        <v/>
      </c>
      <c r="F1213">
        <f>IF(ISBLANK('ENGAGEMENTS 2026'!C1213),"",'ENGAGEMENTS 2026'!J1213)</f>
        <v/>
      </c>
      <c r="G1213">
        <f>IF(ISBLANK('ENGAGEMENTS 2026'!C1213),"",'ENGAGEMENTS 2026'!M1213)</f>
        <v/>
      </c>
      <c r="H1213">
        <f>IF(ISBLANK('ENGAGEMENTS 2026'!C1213),"",'ENGAGEMENTS 2026'!AF1213)</f>
        <v/>
      </c>
      <c r="I1213">
        <f>IF(ISBLANK('ENGAGEMENTS 2026'!C1213),"",'ENGAGEMENTS 2026'!H1213)</f>
        <v/>
      </c>
      <c r="J1213" s="275">
        <f>IF(ISBLANK('ENGAGEMENTS 2026'!C1213),"",IF(AND(OR($E1213="INFRUCTUEUX",$E1213="ANNULE"),$C1213="AOO-M"),'ENGAGEMENTS 2026'!P1213,IF($H1213="EN COURS DE PREENGAGEMENT",'ENGAGEMENTS 2026'!O1213,IF($H1213="PREENGAGE",IF($E1213="ATTRIBUE",'ENGAGEMENTS 2026'!AE1213,'ENGAGEMENTS 2026'!O1213),'ENGAGEMENTS 2026'!AE1213))))</f>
        <v/>
      </c>
      <c r="K1213" s="604">
        <f>IF(ISBLANK('ENGAGEMENTS 2026'!W1213),"",'ENGAGEMENTS 2026'!W1213)</f>
        <v/>
      </c>
      <c r="L1213" s="276">
        <f>IF($K1213="","",TODAY()-$K1213)</f>
        <v/>
      </c>
      <c r="M1213">
        <f>IF($A1213="","",IF($H1213="ENGAGE","Engagé",IF(AND($H1213="NON ENGAGE",OR($I1213="INFRUCTUEUX",$I1213="ANNULE")),"Clôturé sans suite","En cours")))</f>
        <v/>
      </c>
      <c r="N1213">
        <f>IF(ISBLANK('ENGAGEMENTS 2026'!C1213),"",'ENGAGEMENTS 2026'!L1213)</f>
        <v/>
      </c>
      <c r="O1213">
        <f>IF(ISBLANK('ENGAGEMENTS 2026'!C1213),"",'ENGAGEMENTS 2026'!M1213)</f>
        <v/>
      </c>
      <c r="P1213">
        <f>IF(ISBLANK('ENGAGEMENTS 2026'!C1213),"",'ENGAGEMENTS 2026'!K1213)</f>
        <v/>
      </c>
      <c r="Q1213">
        <f>IF($A1213="","",IF(OR($E1213="INFRUCTUEUX",$E1213="ANNULE"),$A1213&amp;"|"&amp;(COUNTIFS($A$2:$A1213,$A1213,$E$2:$E1213,"INFRUCTUEUX")+COUNTIFS($A$2:$A1213,$A1213,$E$2:$E1213,"ANNULE")),""))</f>
        <v/>
      </c>
    </row>
    <row r="1214">
      <c r="A1214">
        <f>IF(ISBLANK('ENGAGEMENTS 2026'!C1214),"",IF('ENGAGEMENTS 2026'!C1214="DTSI","DCT",'ENGAGEMENTS 2026'!C1214))</f>
        <v/>
      </c>
      <c r="B1214">
        <f>IF(ISBLANK('ENGAGEMENTS 2026'!C1214),"",'ENGAGEMENTS 2026'!D1214)</f>
        <v/>
      </c>
      <c r="C1214">
        <f>IF(ISBLANK('ENGAGEMENTS 2026'!C1214),"",'ENGAGEMENTS 2026'!E1214)</f>
        <v/>
      </c>
      <c r="D1214">
        <f>IF(ISBLANK('ENGAGEMENTS 2026'!C1214),"",'ENGAGEMENTS 2026'!G1214)</f>
        <v/>
      </c>
      <c r="E1214">
        <f>IF(ISBLANK('ENGAGEMENTS 2026'!C1214),"",'ENGAGEMENTS 2026'!I1214)</f>
        <v/>
      </c>
      <c r="F1214">
        <f>IF(ISBLANK('ENGAGEMENTS 2026'!C1214),"",'ENGAGEMENTS 2026'!J1214)</f>
        <v/>
      </c>
      <c r="G1214">
        <f>IF(ISBLANK('ENGAGEMENTS 2026'!C1214),"",'ENGAGEMENTS 2026'!M1214)</f>
        <v/>
      </c>
      <c r="H1214">
        <f>IF(ISBLANK('ENGAGEMENTS 2026'!C1214),"",'ENGAGEMENTS 2026'!AF1214)</f>
        <v/>
      </c>
      <c r="I1214">
        <f>IF(ISBLANK('ENGAGEMENTS 2026'!C1214),"",'ENGAGEMENTS 2026'!H1214)</f>
        <v/>
      </c>
      <c r="J1214" s="275">
        <f>IF(ISBLANK('ENGAGEMENTS 2026'!C1214),"",IF(AND(OR($E1214="INFRUCTUEUX",$E1214="ANNULE"),$C1214="AOO-M"),'ENGAGEMENTS 2026'!P1214,IF($H1214="EN COURS DE PREENGAGEMENT",'ENGAGEMENTS 2026'!O1214,IF($H1214="PREENGAGE",IF($E1214="ATTRIBUE",'ENGAGEMENTS 2026'!AE1214,'ENGAGEMENTS 2026'!O1214),'ENGAGEMENTS 2026'!AE1214))))</f>
        <v/>
      </c>
      <c r="K1214" s="604">
        <f>IF(ISBLANK('ENGAGEMENTS 2026'!W1214),"",'ENGAGEMENTS 2026'!W1214)</f>
        <v/>
      </c>
      <c r="L1214" s="276">
        <f>IF($K1214="","",TODAY()-$K1214)</f>
        <v/>
      </c>
      <c r="M1214">
        <f>IF($A1214="","",IF($H1214="ENGAGE","Engagé",IF(AND($H1214="NON ENGAGE",OR($I1214="INFRUCTUEUX",$I1214="ANNULE")),"Clôturé sans suite","En cours")))</f>
        <v/>
      </c>
      <c r="N1214">
        <f>IF(ISBLANK('ENGAGEMENTS 2026'!C1214),"",'ENGAGEMENTS 2026'!L1214)</f>
        <v/>
      </c>
      <c r="O1214">
        <f>IF(ISBLANK('ENGAGEMENTS 2026'!C1214),"",'ENGAGEMENTS 2026'!M1214)</f>
        <v/>
      </c>
      <c r="P1214">
        <f>IF(ISBLANK('ENGAGEMENTS 2026'!C1214),"",'ENGAGEMENTS 2026'!K1214)</f>
        <v/>
      </c>
      <c r="Q1214">
        <f>IF($A1214="","",IF(OR($E1214="INFRUCTUEUX",$E1214="ANNULE"),$A1214&amp;"|"&amp;(COUNTIFS($A$2:$A1214,$A1214,$E$2:$E1214,"INFRUCTUEUX")+COUNTIFS($A$2:$A1214,$A1214,$E$2:$E1214,"ANNULE")),""))</f>
        <v/>
      </c>
    </row>
    <row r="1215">
      <c r="A1215">
        <f>IF(ISBLANK('ENGAGEMENTS 2026'!C1215),"",IF('ENGAGEMENTS 2026'!C1215="DTSI","DCT",'ENGAGEMENTS 2026'!C1215))</f>
        <v/>
      </c>
      <c r="B1215">
        <f>IF(ISBLANK('ENGAGEMENTS 2026'!C1215),"",'ENGAGEMENTS 2026'!D1215)</f>
        <v/>
      </c>
      <c r="C1215">
        <f>IF(ISBLANK('ENGAGEMENTS 2026'!C1215),"",'ENGAGEMENTS 2026'!E1215)</f>
        <v/>
      </c>
      <c r="D1215">
        <f>IF(ISBLANK('ENGAGEMENTS 2026'!C1215),"",'ENGAGEMENTS 2026'!G1215)</f>
        <v/>
      </c>
      <c r="E1215">
        <f>IF(ISBLANK('ENGAGEMENTS 2026'!C1215),"",'ENGAGEMENTS 2026'!I1215)</f>
        <v/>
      </c>
      <c r="F1215">
        <f>IF(ISBLANK('ENGAGEMENTS 2026'!C1215),"",'ENGAGEMENTS 2026'!J1215)</f>
        <v/>
      </c>
      <c r="G1215">
        <f>IF(ISBLANK('ENGAGEMENTS 2026'!C1215),"",'ENGAGEMENTS 2026'!M1215)</f>
        <v/>
      </c>
      <c r="H1215">
        <f>IF(ISBLANK('ENGAGEMENTS 2026'!C1215),"",'ENGAGEMENTS 2026'!AF1215)</f>
        <v/>
      </c>
      <c r="I1215">
        <f>IF(ISBLANK('ENGAGEMENTS 2026'!C1215),"",'ENGAGEMENTS 2026'!H1215)</f>
        <v/>
      </c>
      <c r="J1215" s="275">
        <f>IF(ISBLANK('ENGAGEMENTS 2026'!C1215),"",IF(AND(OR($E1215="INFRUCTUEUX",$E1215="ANNULE"),$C1215="AOO-M"),'ENGAGEMENTS 2026'!P1215,IF($H1215="EN COURS DE PREENGAGEMENT",'ENGAGEMENTS 2026'!O1215,IF($H1215="PREENGAGE",IF($E1215="ATTRIBUE",'ENGAGEMENTS 2026'!AE1215,'ENGAGEMENTS 2026'!O1215),'ENGAGEMENTS 2026'!AE1215))))</f>
        <v/>
      </c>
      <c r="K1215" s="604">
        <f>IF(ISBLANK('ENGAGEMENTS 2026'!W1215),"",'ENGAGEMENTS 2026'!W1215)</f>
        <v/>
      </c>
      <c r="L1215" s="276">
        <f>IF($K1215="","",TODAY()-$K1215)</f>
        <v/>
      </c>
      <c r="M1215">
        <f>IF($A1215="","",IF($H1215="ENGAGE","Engagé",IF(AND($H1215="NON ENGAGE",OR($I1215="INFRUCTUEUX",$I1215="ANNULE")),"Clôturé sans suite","En cours")))</f>
        <v/>
      </c>
      <c r="N1215">
        <f>IF(ISBLANK('ENGAGEMENTS 2026'!C1215),"",'ENGAGEMENTS 2026'!L1215)</f>
        <v/>
      </c>
      <c r="O1215">
        <f>IF(ISBLANK('ENGAGEMENTS 2026'!C1215),"",'ENGAGEMENTS 2026'!M1215)</f>
        <v/>
      </c>
      <c r="P1215">
        <f>IF(ISBLANK('ENGAGEMENTS 2026'!C1215),"",'ENGAGEMENTS 2026'!K1215)</f>
        <v/>
      </c>
      <c r="Q1215">
        <f>IF($A1215="","",IF(OR($E1215="INFRUCTUEUX",$E1215="ANNULE"),$A1215&amp;"|"&amp;(COUNTIFS($A$2:$A1215,$A1215,$E$2:$E1215,"INFRUCTUEUX")+COUNTIFS($A$2:$A1215,$A1215,$E$2:$E1215,"ANNULE")),""))</f>
        <v/>
      </c>
    </row>
    <row r="1216">
      <c r="A1216">
        <f>IF(ISBLANK('ENGAGEMENTS 2026'!C1216),"",IF('ENGAGEMENTS 2026'!C1216="DTSI","DCT",'ENGAGEMENTS 2026'!C1216))</f>
        <v/>
      </c>
      <c r="B1216">
        <f>IF(ISBLANK('ENGAGEMENTS 2026'!C1216),"",'ENGAGEMENTS 2026'!D1216)</f>
        <v/>
      </c>
      <c r="C1216">
        <f>IF(ISBLANK('ENGAGEMENTS 2026'!C1216),"",'ENGAGEMENTS 2026'!E1216)</f>
        <v/>
      </c>
      <c r="D1216">
        <f>IF(ISBLANK('ENGAGEMENTS 2026'!C1216),"",'ENGAGEMENTS 2026'!G1216)</f>
        <v/>
      </c>
      <c r="E1216">
        <f>IF(ISBLANK('ENGAGEMENTS 2026'!C1216),"",'ENGAGEMENTS 2026'!I1216)</f>
        <v/>
      </c>
      <c r="F1216">
        <f>IF(ISBLANK('ENGAGEMENTS 2026'!C1216),"",'ENGAGEMENTS 2026'!J1216)</f>
        <v/>
      </c>
      <c r="G1216">
        <f>IF(ISBLANK('ENGAGEMENTS 2026'!C1216),"",'ENGAGEMENTS 2026'!M1216)</f>
        <v/>
      </c>
      <c r="H1216">
        <f>IF(ISBLANK('ENGAGEMENTS 2026'!C1216),"",'ENGAGEMENTS 2026'!AF1216)</f>
        <v/>
      </c>
      <c r="I1216">
        <f>IF(ISBLANK('ENGAGEMENTS 2026'!C1216),"",'ENGAGEMENTS 2026'!H1216)</f>
        <v/>
      </c>
      <c r="J1216" s="275">
        <f>IF(ISBLANK('ENGAGEMENTS 2026'!C1216),"",IF(AND(OR($E1216="INFRUCTUEUX",$E1216="ANNULE"),$C1216="AOO-M"),'ENGAGEMENTS 2026'!P1216,IF($H1216="EN COURS DE PREENGAGEMENT",'ENGAGEMENTS 2026'!O1216,IF($H1216="PREENGAGE",IF($E1216="ATTRIBUE",'ENGAGEMENTS 2026'!AE1216,'ENGAGEMENTS 2026'!O1216),'ENGAGEMENTS 2026'!AE1216))))</f>
        <v/>
      </c>
      <c r="K1216" s="604">
        <f>IF(ISBLANK('ENGAGEMENTS 2026'!W1216),"",'ENGAGEMENTS 2026'!W1216)</f>
        <v/>
      </c>
      <c r="L1216" s="276">
        <f>IF($K1216="","",TODAY()-$K1216)</f>
        <v/>
      </c>
      <c r="M1216">
        <f>IF($A1216="","",IF($H1216="ENGAGE","Engagé",IF(AND($H1216="NON ENGAGE",OR($I1216="INFRUCTUEUX",$I1216="ANNULE")),"Clôturé sans suite","En cours")))</f>
        <v/>
      </c>
      <c r="N1216">
        <f>IF(ISBLANK('ENGAGEMENTS 2026'!C1216),"",'ENGAGEMENTS 2026'!L1216)</f>
        <v/>
      </c>
      <c r="O1216">
        <f>IF(ISBLANK('ENGAGEMENTS 2026'!C1216),"",'ENGAGEMENTS 2026'!M1216)</f>
        <v/>
      </c>
      <c r="P1216">
        <f>IF(ISBLANK('ENGAGEMENTS 2026'!C1216),"",'ENGAGEMENTS 2026'!K1216)</f>
        <v/>
      </c>
      <c r="Q1216">
        <f>IF($A1216="","",IF(OR($E1216="INFRUCTUEUX",$E1216="ANNULE"),$A1216&amp;"|"&amp;(COUNTIFS($A$2:$A1216,$A1216,$E$2:$E1216,"INFRUCTUEUX")+COUNTIFS($A$2:$A1216,$A1216,$E$2:$E1216,"ANNULE")),""))</f>
        <v/>
      </c>
    </row>
    <row r="1217">
      <c r="A1217">
        <f>IF(ISBLANK('ENGAGEMENTS 2026'!C1217),"",IF('ENGAGEMENTS 2026'!C1217="DTSI","DCT",'ENGAGEMENTS 2026'!C1217))</f>
        <v/>
      </c>
      <c r="B1217">
        <f>IF(ISBLANK('ENGAGEMENTS 2026'!C1217),"",'ENGAGEMENTS 2026'!D1217)</f>
        <v/>
      </c>
      <c r="C1217">
        <f>IF(ISBLANK('ENGAGEMENTS 2026'!C1217),"",'ENGAGEMENTS 2026'!E1217)</f>
        <v/>
      </c>
      <c r="D1217">
        <f>IF(ISBLANK('ENGAGEMENTS 2026'!C1217),"",'ENGAGEMENTS 2026'!G1217)</f>
        <v/>
      </c>
      <c r="E1217">
        <f>IF(ISBLANK('ENGAGEMENTS 2026'!C1217),"",'ENGAGEMENTS 2026'!I1217)</f>
        <v/>
      </c>
      <c r="F1217">
        <f>IF(ISBLANK('ENGAGEMENTS 2026'!C1217),"",'ENGAGEMENTS 2026'!J1217)</f>
        <v/>
      </c>
      <c r="G1217">
        <f>IF(ISBLANK('ENGAGEMENTS 2026'!C1217),"",'ENGAGEMENTS 2026'!M1217)</f>
        <v/>
      </c>
      <c r="H1217">
        <f>IF(ISBLANK('ENGAGEMENTS 2026'!C1217),"",'ENGAGEMENTS 2026'!AF1217)</f>
        <v/>
      </c>
      <c r="I1217">
        <f>IF(ISBLANK('ENGAGEMENTS 2026'!C1217),"",'ENGAGEMENTS 2026'!H1217)</f>
        <v/>
      </c>
      <c r="J1217" s="275">
        <f>IF(ISBLANK('ENGAGEMENTS 2026'!C1217),"",IF(AND(OR($E1217="INFRUCTUEUX",$E1217="ANNULE"),$C1217="AOO-M"),'ENGAGEMENTS 2026'!P1217,IF($H1217="EN COURS DE PREENGAGEMENT",'ENGAGEMENTS 2026'!O1217,IF($H1217="PREENGAGE",IF($E1217="ATTRIBUE",'ENGAGEMENTS 2026'!AE1217,'ENGAGEMENTS 2026'!O1217),'ENGAGEMENTS 2026'!AE1217))))</f>
        <v/>
      </c>
      <c r="K1217" s="604">
        <f>IF(ISBLANK('ENGAGEMENTS 2026'!W1217),"",'ENGAGEMENTS 2026'!W1217)</f>
        <v/>
      </c>
      <c r="L1217" s="276">
        <f>IF($K1217="","",TODAY()-$K1217)</f>
        <v/>
      </c>
      <c r="M1217">
        <f>IF($A1217="","",IF($H1217="ENGAGE","Engagé",IF(AND($H1217="NON ENGAGE",OR($I1217="INFRUCTUEUX",$I1217="ANNULE")),"Clôturé sans suite","En cours")))</f>
        <v/>
      </c>
      <c r="N1217">
        <f>IF(ISBLANK('ENGAGEMENTS 2026'!C1217),"",'ENGAGEMENTS 2026'!L1217)</f>
        <v/>
      </c>
      <c r="O1217">
        <f>IF(ISBLANK('ENGAGEMENTS 2026'!C1217),"",'ENGAGEMENTS 2026'!M1217)</f>
        <v/>
      </c>
      <c r="P1217">
        <f>IF(ISBLANK('ENGAGEMENTS 2026'!C1217),"",'ENGAGEMENTS 2026'!K1217)</f>
        <v/>
      </c>
      <c r="Q1217">
        <f>IF($A1217="","",IF(OR($E1217="INFRUCTUEUX",$E1217="ANNULE"),$A1217&amp;"|"&amp;(COUNTIFS($A$2:$A1217,$A1217,$E$2:$E1217,"INFRUCTUEUX")+COUNTIFS($A$2:$A1217,$A1217,$E$2:$E1217,"ANNULE")),""))</f>
        <v/>
      </c>
    </row>
    <row r="1218">
      <c r="A1218">
        <f>IF(ISBLANK('ENGAGEMENTS 2026'!C1218),"",IF('ENGAGEMENTS 2026'!C1218="DTSI","DCT",'ENGAGEMENTS 2026'!C1218))</f>
        <v/>
      </c>
      <c r="B1218">
        <f>IF(ISBLANK('ENGAGEMENTS 2026'!C1218),"",'ENGAGEMENTS 2026'!D1218)</f>
        <v/>
      </c>
      <c r="C1218">
        <f>IF(ISBLANK('ENGAGEMENTS 2026'!C1218),"",'ENGAGEMENTS 2026'!E1218)</f>
        <v/>
      </c>
      <c r="D1218">
        <f>IF(ISBLANK('ENGAGEMENTS 2026'!C1218),"",'ENGAGEMENTS 2026'!G1218)</f>
        <v/>
      </c>
      <c r="E1218">
        <f>IF(ISBLANK('ENGAGEMENTS 2026'!C1218),"",'ENGAGEMENTS 2026'!I1218)</f>
        <v/>
      </c>
      <c r="F1218">
        <f>IF(ISBLANK('ENGAGEMENTS 2026'!C1218),"",'ENGAGEMENTS 2026'!J1218)</f>
        <v/>
      </c>
      <c r="G1218">
        <f>IF(ISBLANK('ENGAGEMENTS 2026'!C1218),"",'ENGAGEMENTS 2026'!M1218)</f>
        <v/>
      </c>
      <c r="H1218">
        <f>IF(ISBLANK('ENGAGEMENTS 2026'!C1218),"",'ENGAGEMENTS 2026'!AF1218)</f>
        <v/>
      </c>
      <c r="I1218">
        <f>IF(ISBLANK('ENGAGEMENTS 2026'!C1218),"",'ENGAGEMENTS 2026'!H1218)</f>
        <v/>
      </c>
      <c r="J1218" s="275">
        <f>IF(ISBLANK('ENGAGEMENTS 2026'!C1218),"",IF(AND(OR($E1218="INFRUCTUEUX",$E1218="ANNULE"),$C1218="AOO-M"),'ENGAGEMENTS 2026'!P1218,IF($H1218="EN COURS DE PREENGAGEMENT",'ENGAGEMENTS 2026'!O1218,IF($H1218="PREENGAGE",IF($E1218="ATTRIBUE",'ENGAGEMENTS 2026'!AE1218,'ENGAGEMENTS 2026'!O1218),'ENGAGEMENTS 2026'!AE1218))))</f>
        <v/>
      </c>
      <c r="K1218" s="604">
        <f>IF(ISBLANK('ENGAGEMENTS 2026'!W1218),"",'ENGAGEMENTS 2026'!W1218)</f>
        <v/>
      </c>
      <c r="L1218" s="276">
        <f>IF($K1218="","",TODAY()-$K1218)</f>
        <v/>
      </c>
      <c r="M1218">
        <f>IF($A1218="","",IF($H1218="ENGAGE","Engagé",IF(AND($H1218="NON ENGAGE",OR($I1218="INFRUCTUEUX",$I1218="ANNULE")),"Clôturé sans suite","En cours")))</f>
        <v/>
      </c>
      <c r="N1218">
        <f>IF(ISBLANK('ENGAGEMENTS 2026'!C1218),"",'ENGAGEMENTS 2026'!L1218)</f>
        <v/>
      </c>
      <c r="O1218">
        <f>IF(ISBLANK('ENGAGEMENTS 2026'!C1218),"",'ENGAGEMENTS 2026'!M1218)</f>
        <v/>
      </c>
      <c r="P1218">
        <f>IF(ISBLANK('ENGAGEMENTS 2026'!C1218),"",'ENGAGEMENTS 2026'!K1218)</f>
        <v/>
      </c>
      <c r="Q1218">
        <f>IF($A1218="","",IF(OR($E1218="INFRUCTUEUX",$E1218="ANNULE"),$A1218&amp;"|"&amp;(COUNTIFS($A$2:$A1218,$A1218,$E$2:$E1218,"INFRUCTUEUX")+COUNTIFS($A$2:$A1218,$A1218,$E$2:$E1218,"ANNULE")),""))</f>
        <v/>
      </c>
    </row>
    <row r="1219">
      <c r="A1219">
        <f>IF(ISBLANK('ENGAGEMENTS 2026'!C1219),"",IF('ENGAGEMENTS 2026'!C1219="DTSI","DCT",'ENGAGEMENTS 2026'!C1219))</f>
        <v/>
      </c>
      <c r="B1219">
        <f>IF(ISBLANK('ENGAGEMENTS 2026'!C1219),"",'ENGAGEMENTS 2026'!D1219)</f>
        <v/>
      </c>
      <c r="C1219">
        <f>IF(ISBLANK('ENGAGEMENTS 2026'!C1219),"",'ENGAGEMENTS 2026'!E1219)</f>
        <v/>
      </c>
      <c r="D1219">
        <f>IF(ISBLANK('ENGAGEMENTS 2026'!C1219),"",'ENGAGEMENTS 2026'!G1219)</f>
        <v/>
      </c>
      <c r="E1219">
        <f>IF(ISBLANK('ENGAGEMENTS 2026'!C1219),"",'ENGAGEMENTS 2026'!I1219)</f>
        <v/>
      </c>
      <c r="F1219">
        <f>IF(ISBLANK('ENGAGEMENTS 2026'!C1219),"",'ENGAGEMENTS 2026'!J1219)</f>
        <v/>
      </c>
      <c r="G1219">
        <f>IF(ISBLANK('ENGAGEMENTS 2026'!C1219),"",'ENGAGEMENTS 2026'!M1219)</f>
        <v/>
      </c>
      <c r="H1219">
        <f>IF(ISBLANK('ENGAGEMENTS 2026'!C1219),"",'ENGAGEMENTS 2026'!AF1219)</f>
        <v/>
      </c>
      <c r="I1219">
        <f>IF(ISBLANK('ENGAGEMENTS 2026'!C1219),"",'ENGAGEMENTS 2026'!H1219)</f>
        <v/>
      </c>
      <c r="J1219" s="275">
        <f>IF(ISBLANK('ENGAGEMENTS 2026'!C1219),"",IF(AND(OR($E1219="INFRUCTUEUX",$E1219="ANNULE"),$C1219="AOO-M"),'ENGAGEMENTS 2026'!P1219,IF($H1219="EN COURS DE PREENGAGEMENT",'ENGAGEMENTS 2026'!O1219,IF($H1219="PREENGAGE",IF($E1219="ATTRIBUE",'ENGAGEMENTS 2026'!AE1219,'ENGAGEMENTS 2026'!O1219),'ENGAGEMENTS 2026'!AE1219))))</f>
        <v/>
      </c>
      <c r="K1219" s="604">
        <f>IF(ISBLANK('ENGAGEMENTS 2026'!W1219),"",'ENGAGEMENTS 2026'!W1219)</f>
        <v/>
      </c>
      <c r="L1219" s="276">
        <f>IF($K1219="","",TODAY()-$K1219)</f>
        <v/>
      </c>
      <c r="M1219">
        <f>IF($A1219="","",IF($H1219="ENGAGE","Engagé",IF(AND($H1219="NON ENGAGE",OR($I1219="INFRUCTUEUX",$I1219="ANNULE")),"Clôturé sans suite","En cours")))</f>
        <v/>
      </c>
      <c r="N1219">
        <f>IF(ISBLANK('ENGAGEMENTS 2026'!C1219),"",'ENGAGEMENTS 2026'!L1219)</f>
        <v/>
      </c>
      <c r="O1219">
        <f>IF(ISBLANK('ENGAGEMENTS 2026'!C1219),"",'ENGAGEMENTS 2026'!M1219)</f>
        <v/>
      </c>
      <c r="P1219">
        <f>IF(ISBLANK('ENGAGEMENTS 2026'!C1219),"",'ENGAGEMENTS 2026'!K1219)</f>
        <v/>
      </c>
      <c r="Q1219">
        <f>IF($A1219="","",IF(OR($E1219="INFRUCTUEUX",$E1219="ANNULE"),$A1219&amp;"|"&amp;(COUNTIFS($A$2:$A1219,$A1219,$E$2:$E1219,"INFRUCTUEUX")+COUNTIFS($A$2:$A1219,$A1219,$E$2:$E1219,"ANNULE")),""))</f>
        <v/>
      </c>
    </row>
    <row r="1220">
      <c r="A1220">
        <f>IF(ISBLANK('ENGAGEMENTS 2026'!C1220),"",IF('ENGAGEMENTS 2026'!C1220="DTSI","DCT",'ENGAGEMENTS 2026'!C1220))</f>
        <v/>
      </c>
      <c r="B1220">
        <f>IF(ISBLANK('ENGAGEMENTS 2026'!C1220),"",'ENGAGEMENTS 2026'!D1220)</f>
        <v/>
      </c>
      <c r="C1220">
        <f>IF(ISBLANK('ENGAGEMENTS 2026'!C1220),"",'ENGAGEMENTS 2026'!E1220)</f>
        <v/>
      </c>
      <c r="D1220">
        <f>IF(ISBLANK('ENGAGEMENTS 2026'!C1220),"",'ENGAGEMENTS 2026'!G1220)</f>
        <v/>
      </c>
      <c r="E1220">
        <f>IF(ISBLANK('ENGAGEMENTS 2026'!C1220),"",'ENGAGEMENTS 2026'!I1220)</f>
        <v/>
      </c>
      <c r="F1220">
        <f>IF(ISBLANK('ENGAGEMENTS 2026'!C1220),"",'ENGAGEMENTS 2026'!J1220)</f>
        <v/>
      </c>
      <c r="G1220">
        <f>IF(ISBLANK('ENGAGEMENTS 2026'!C1220),"",'ENGAGEMENTS 2026'!M1220)</f>
        <v/>
      </c>
      <c r="H1220">
        <f>IF(ISBLANK('ENGAGEMENTS 2026'!C1220),"",'ENGAGEMENTS 2026'!AF1220)</f>
        <v/>
      </c>
      <c r="I1220">
        <f>IF(ISBLANK('ENGAGEMENTS 2026'!C1220),"",'ENGAGEMENTS 2026'!H1220)</f>
        <v/>
      </c>
      <c r="J1220" s="275">
        <f>IF(ISBLANK('ENGAGEMENTS 2026'!C1220),"",IF(AND(OR($E1220="INFRUCTUEUX",$E1220="ANNULE"),$C1220="AOO-M"),'ENGAGEMENTS 2026'!P1220,IF($H1220="EN COURS DE PREENGAGEMENT",'ENGAGEMENTS 2026'!O1220,IF($H1220="PREENGAGE",IF($E1220="ATTRIBUE",'ENGAGEMENTS 2026'!AE1220,'ENGAGEMENTS 2026'!O1220),'ENGAGEMENTS 2026'!AE1220))))</f>
        <v/>
      </c>
      <c r="K1220" s="604">
        <f>IF(ISBLANK('ENGAGEMENTS 2026'!W1220),"",'ENGAGEMENTS 2026'!W1220)</f>
        <v/>
      </c>
      <c r="L1220" s="276">
        <f>IF($K1220="","",TODAY()-$K1220)</f>
        <v/>
      </c>
      <c r="M1220">
        <f>IF($A1220="","",IF($H1220="ENGAGE","Engagé",IF(AND($H1220="NON ENGAGE",OR($I1220="INFRUCTUEUX",$I1220="ANNULE")),"Clôturé sans suite","En cours")))</f>
        <v/>
      </c>
      <c r="N1220">
        <f>IF(ISBLANK('ENGAGEMENTS 2026'!C1220),"",'ENGAGEMENTS 2026'!L1220)</f>
        <v/>
      </c>
      <c r="O1220">
        <f>IF(ISBLANK('ENGAGEMENTS 2026'!C1220),"",'ENGAGEMENTS 2026'!M1220)</f>
        <v/>
      </c>
      <c r="P1220">
        <f>IF(ISBLANK('ENGAGEMENTS 2026'!C1220),"",'ENGAGEMENTS 2026'!K1220)</f>
        <v/>
      </c>
      <c r="Q1220">
        <f>IF($A1220="","",IF(OR($E1220="INFRUCTUEUX",$E1220="ANNULE"),$A1220&amp;"|"&amp;(COUNTIFS($A$2:$A1220,$A1220,$E$2:$E1220,"INFRUCTUEUX")+COUNTIFS($A$2:$A1220,$A1220,$E$2:$E1220,"ANNULE")),""))</f>
        <v/>
      </c>
    </row>
    <row r="1221">
      <c r="A1221">
        <f>IF(ISBLANK('ENGAGEMENTS 2026'!C1221),"",IF('ENGAGEMENTS 2026'!C1221="DTSI","DCT",'ENGAGEMENTS 2026'!C1221))</f>
        <v/>
      </c>
      <c r="B1221">
        <f>IF(ISBLANK('ENGAGEMENTS 2026'!C1221),"",'ENGAGEMENTS 2026'!D1221)</f>
        <v/>
      </c>
      <c r="C1221">
        <f>IF(ISBLANK('ENGAGEMENTS 2026'!C1221),"",'ENGAGEMENTS 2026'!E1221)</f>
        <v/>
      </c>
      <c r="D1221">
        <f>IF(ISBLANK('ENGAGEMENTS 2026'!C1221),"",'ENGAGEMENTS 2026'!G1221)</f>
        <v/>
      </c>
      <c r="E1221">
        <f>IF(ISBLANK('ENGAGEMENTS 2026'!C1221),"",'ENGAGEMENTS 2026'!I1221)</f>
        <v/>
      </c>
      <c r="F1221">
        <f>IF(ISBLANK('ENGAGEMENTS 2026'!C1221),"",'ENGAGEMENTS 2026'!J1221)</f>
        <v/>
      </c>
      <c r="G1221">
        <f>IF(ISBLANK('ENGAGEMENTS 2026'!C1221),"",'ENGAGEMENTS 2026'!M1221)</f>
        <v/>
      </c>
      <c r="H1221">
        <f>IF(ISBLANK('ENGAGEMENTS 2026'!C1221),"",'ENGAGEMENTS 2026'!AF1221)</f>
        <v/>
      </c>
      <c r="I1221">
        <f>IF(ISBLANK('ENGAGEMENTS 2026'!C1221),"",'ENGAGEMENTS 2026'!H1221)</f>
        <v/>
      </c>
      <c r="J1221" s="275">
        <f>IF(ISBLANK('ENGAGEMENTS 2026'!C1221),"",IF(AND(OR($E1221="INFRUCTUEUX",$E1221="ANNULE"),$C1221="AOO-M"),'ENGAGEMENTS 2026'!P1221,IF($H1221="EN COURS DE PREENGAGEMENT",'ENGAGEMENTS 2026'!O1221,IF($H1221="PREENGAGE",IF($E1221="ATTRIBUE",'ENGAGEMENTS 2026'!AE1221,'ENGAGEMENTS 2026'!O1221),'ENGAGEMENTS 2026'!AE1221))))</f>
        <v/>
      </c>
      <c r="K1221" s="604">
        <f>IF(ISBLANK('ENGAGEMENTS 2026'!W1221),"",'ENGAGEMENTS 2026'!W1221)</f>
        <v/>
      </c>
      <c r="L1221" s="276">
        <f>IF($K1221="","",TODAY()-$K1221)</f>
        <v/>
      </c>
      <c r="M1221">
        <f>IF($A1221="","",IF($H1221="ENGAGE","Engagé",IF(AND($H1221="NON ENGAGE",OR($I1221="INFRUCTUEUX",$I1221="ANNULE")),"Clôturé sans suite","En cours")))</f>
        <v/>
      </c>
      <c r="N1221">
        <f>IF(ISBLANK('ENGAGEMENTS 2026'!C1221),"",'ENGAGEMENTS 2026'!L1221)</f>
        <v/>
      </c>
      <c r="O1221">
        <f>IF(ISBLANK('ENGAGEMENTS 2026'!C1221),"",'ENGAGEMENTS 2026'!M1221)</f>
        <v/>
      </c>
      <c r="P1221">
        <f>IF(ISBLANK('ENGAGEMENTS 2026'!C1221),"",'ENGAGEMENTS 2026'!K1221)</f>
        <v/>
      </c>
      <c r="Q1221">
        <f>IF($A1221="","",IF(OR($E1221="INFRUCTUEUX",$E1221="ANNULE"),$A1221&amp;"|"&amp;(COUNTIFS($A$2:$A1221,$A1221,$E$2:$E1221,"INFRUCTUEUX")+COUNTIFS($A$2:$A1221,$A1221,$E$2:$E1221,"ANNULE")),""))</f>
        <v/>
      </c>
    </row>
    <row r="1222">
      <c r="A1222">
        <f>IF(ISBLANK('ENGAGEMENTS 2026'!C1222),"",IF('ENGAGEMENTS 2026'!C1222="DTSI","DCT",'ENGAGEMENTS 2026'!C1222))</f>
        <v/>
      </c>
      <c r="B1222">
        <f>IF(ISBLANK('ENGAGEMENTS 2026'!C1222),"",'ENGAGEMENTS 2026'!D1222)</f>
        <v/>
      </c>
      <c r="C1222">
        <f>IF(ISBLANK('ENGAGEMENTS 2026'!C1222),"",'ENGAGEMENTS 2026'!E1222)</f>
        <v/>
      </c>
      <c r="D1222">
        <f>IF(ISBLANK('ENGAGEMENTS 2026'!C1222),"",'ENGAGEMENTS 2026'!G1222)</f>
        <v/>
      </c>
      <c r="E1222">
        <f>IF(ISBLANK('ENGAGEMENTS 2026'!C1222),"",'ENGAGEMENTS 2026'!I1222)</f>
        <v/>
      </c>
      <c r="F1222">
        <f>IF(ISBLANK('ENGAGEMENTS 2026'!C1222),"",'ENGAGEMENTS 2026'!J1222)</f>
        <v/>
      </c>
      <c r="G1222">
        <f>IF(ISBLANK('ENGAGEMENTS 2026'!C1222),"",'ENGAGEMENTS 2026'!M1222)</f>
        <v/>
      </c>
      <c r="H1222">
        <f>IF(ISBLANK('ENGAGEMENTS 2026'!C1222),"",'ENGAGEMENTS 2026'!AF1222)</f>
        <v/>
      </c>
      <c r="I1222">
        <f>IF(ISBLANK('ENGAGEMENTS 2026'!C1222),"",'ENGAGEMENTS 2026'!H1222)</f>
        <v/>
      </c>
      <c r="J1222" s="275">
        <f>IF(ISBLANK('ENGAGEMENTS 2026'!C1222),"",IF(AND(OR($E1222="INFRUCTUEUX",$E1222="ANNULE"),$C1222="AOO-M"),'ENGAGEMENTS 2026'!P1222,IF($H1222="EN COURS DE PREENGAGEMENT",'ENGAGEMENTS 2026'!O1222,IF($H1222="PREENGAGE",IF($E1222="ATTRIBUE",'ENGAGEMENTS 2026'!AE1222,'ENGAGEMENTS 2026'!O1222),'ENGAGEMENTS 2026'!AE1222))))</f>
        <v/>
      </c>
      <c r="K1222" s="604">
        <f>IF(ISBLANK('ENGAGEMENTS 2026'!W1222),"",'ENGAGEMENTS 2026'!W1222)</f>
        <v/>
      </c>
      <c r="L1222" s="276">
        <f>IF($K1222="","",TODAY()-$K1222)</f>
        <v/>
      </c>
      <c r="M1222">
        <f>IF($A1222="","",IF($H1222="ENGAGE","Engagé",IF(AND($H1222="NON ENGAGE",OR($I1222="INFRUCTUEUX",$I1222="ANNULE")),"Clôturé sans suite","En cours")))</f>
        <v/>
      </c>
      <c r="N1222">
        <f>IF(ISBLANK('ENGAGEMENTS 2026'!C1222),"",'ENGAGEMENTS 2026'!L1222)</f>
        <v/>
      </c>
      <c r="O1222">
        <f>IF(ISBLANK('ENGAGEMENTS 2026'!C1222),"",'ENGAGEMENTS 2026'!M1222)</f>
        <v/>
      </c>
      <c r="P1222">
        <f>IF(ISBLANK('ENGAGEMENTS 2026'!C1222),"",'ENGAGEMENTS 2026'!K1222)</f>
        <v/>
      </c>
      <c r="Q1222">
        <f>IF($A1222="","",IF(OR($E1222="INFRUCTUEUX",$E1222="ANNULE"),$A1222&amp;"|"&amp;(COUNTIFS($A$2:$A1222,$A1222,$E$2:$E1222,"INFRUCTUEUX")+COUNTIFS($A$2:$A1222,$A1222,$E$2:$E1222,"ANNULE")),""))</f>
        <v/>
      </c>
    </row>
    <row r="1223">
      <c r="A1223">
        <f>IF(ISBLANK('ENGAGEMENTS 2026'!C1223),"",IF('ENGAGEMENTS 2026'!C1223="DTSI","DCT",'ENGAGEMENTS 2026'!C1223))</f>
        <v/>
      </c>
      <c r="B1223">
        <f>IF(ISBLANK('ENGAGEMENTS 2026'!C1223),"",'ENGAGEMENTS 2026'!D1223)</f>
        <v/>
      </c>
      <c r="C1223">
        <f>IF(ISBLANK('ENGAGEMENTS 2026'!C1223),"",'ENGAGEMENTS 2026'!E1223)</f>
        <v/>
      </c>
      <c r="D1223">
        <f>IF(ISBLANK('ENGAGEMENTS 2026'!C1223),"",'ENGAGEMENTS 2026'!G1223)</f>
        <v/>
      </c>
      <c r="E1223">
        <f>IF(ISBLANK('ENGAGEMENTS 2026'!C1223),"",'ENGAGEMENTS 2026'!I1223)</f>
        <v/>
      </c>
      <c r="F1223">
        <f>IF(ISBLANK('ENGAGEMENTS 2026'!C1223),"",'ENGAGEMENTS 2026'!J1223)</f>
        <v/>
      </c>
      <c r="G1223">
        <f>IF(ISBLANK('ENGAGEMENTS 2026'!C1223),"",'ENGAGEMENTS 2026'!M1223)</f>
        <v/>
      </c>
      <c r="H1223">
        <f>IF(ISBLANK('ENGAGEMENTS 2026'!C1223),"",'ENGAGEMENTS 2026'!AF1223)</f>
        <v/>
      </c>
      <c r="I1223">
        <f>IF(ISBLANK('ENGAGEMENTS 2026'!C1223),"",'ENGAGEMENTS 2026'!H1223)</f>
        <v/>
      </c>
      <c r="J1223" s="275">
        <f>IF(ISBLANK('ENGAGEMENTS 2026'!C1223),"",IF(AND(OR($E1223="INFRUCTUEUX",$E1223="ANNULE"),$C1223="AOO-M"),'ENGAGEMENTS 2026'!P1223,IF($H1223="EN COURS DE PREENGAGEMENT",'ENGAGEMENTS 2026'!O1223,IF($H1223="PREENGAGE",IF($E1223="ATTRIBUE",'ENGAGEMENTS 2026'!AE1223,'ENGAGEMENTS 2026'!O1223),'ENGAGEMENTS 2026'!AE1223))))</f>
        <v/>
      </c>
      <c r="K1223" s="604">
        <f>IF(ISBLANK('ENGAGEMENTS 2026'!W1223),"",'ENGAGEMENTS 2026'!W1223)</f>
        <v/>
      </c>
      <c r="L1223" s="276">
        <f>IF($K1223="","",TODAY()-$K1223)</f>
        <v/>
      </c>
      <c r="M1223">
        <f>IF($A1223="","",IF($H1223="ENGAGE","Engagé",IF(AND($H1223="NON ENGAGE",OR($I1223="INFRUCTUEUX",$I1223="ANNULE")),"Clôturé sans suite","En cours")))</f>
        <v/>
      </c>
      <c r="N1223">
        <f>IF(ISBLANK('ENGAGEMENTS 2026'!C1223),"",'ENGAGEMENTS 2026'!L1223)</f>
        <v/>
      </c>
      <c r="O1223">
        <f>IF(ISBLANK('ENGAGEMENTS 2026'!C1223),"",'ENGAGEMENTS 2026'!M1223)</f>
        <v/>
      </c>
      <c r="P1223">
        <f>IF(ISBLANK('ENGAGEMENTS 2026'!C1223),"",'ENGAGEMENTS 2026'!K1223)</f>
        <v/>
      </c>
      <c r="Q1223">
        <f>IF($A1223="","",IF(OR($E1223="INFRUCTUEUX",$E1223="ANNULE"),$A1223&amp;"|"&amp;(COUNTIFS($A$2:$A1223,$A1223,$E$2:$E1223,"INFRUCTUEUX")+COUNTIFS($A$2:$A1223,$A1223,$E$2:$E1223,"ANNULE")),""))</f>
        <v/>
      </c>
    </row>
    <row r="1224">
      <c r="A1224">
        <f>IF(ISBLANK('ENGAGEMENTS 2026'!C1224),"",IF('ENGAGEMENTS 2026'!C1224="DTSI","DCT",'ENGAGEMENTS 2026'!C1224))</f>
        <v/>
      </c>
      <c r="B1224">
        <f>IF(ISBLANK('ENGAGEMENTS 2026'!C1224),"",'ENGAGEMENTS 2026'!D1224)</f>
        <v/>
      </c>
      <c r="C1224">
        <f>IF(ISBLANK('ENGAGEMENTS 2026'!C1224),"",'ENGAGEMENTS 2026'!E1224)</f>
        <v/>
      </c>
      <c r="D1224">
        <f>IF(ISBLANK('ENGAGEMENTS 2026'!C1224),"",'ENGAGEMENTS 2026'!G1224)</f>
        <v/>
      </c>
      <c r="E1224">
        <f>IF(ISBLANK('ENGAGEMENTS 2026'!C1224),"",'ENGAGEMENTS 2026'!I1224)</f>
        <v/>
      </c>
      <c r="F1224">
        <f>IF(ISBLANK('ENGAGEMENTS 2026'!C1224),"",'ENGAGEMENTS 2026'!J1224)</f>
        <v/>
      </c>
      <c r="G1224">
        <f>IF(ISBLANK('ENGAGEMENTS 2026'!C1224),"",'ENGAGEMENTS 2026'!M1224)</f>
        <v/>
      </c>
      <c r="H1224">
        <f>IF(ISBLANK('ENGAGEMENTS 2026'!C1224),"",'ENGAGEMENTS 2026'!AF1224)</f>
        <v/>
      </c>
      <c r="I1224">
        <f>IF(ISBLANK('ENGAGEMENTS 2026'!C1224),"",'ENGAGEMENTS 2026'!H1224)</f>
        <v/>
      </c>
      <c r="J1224" s="275">
        <f>IF(ISBLANK('ENGAGEMENTS 2026'!C1224),"",IF(AND(OR($E1224="INFRUCTUEUX",$E1224="ANNULE"),$C1224="AOO-M"),'ENGAGEMENTS 2026'!P1224,IF($H1224="EN COURS DE PREENGAGEMENT",'ENGAGEMENTS 2026'!O1224,IF($H1224="PREENGAGE",IF($E1224="ATTRIBUE",'ENGAGEMENTS 2026'!AE1224,'ENGAGEMENTS 2026'!O1224),'ENGAGEMENTS 2026'!AE1224))))</f>
        <v/>
      </c>
      <c r="K1224" s="604">
        <f>IF(ISBLANK('ENGAGEMENTS 2026'!W1224),"",'ENGAGEMENTS 2026'!W1224)</f>
        <v/>
      </c>
      <c r="L1224" s="276">
        <f>IF($K1224="","",TODAY()-$K1224)</f>
        <v/>
      </c>
      <c r="M1224">
        <f>IF($A1224="","",IF($H1224="ENGAGE","Engagé",IF(AND($H1224="NON ENGAGE",OR($I1224="INFRUCTUEUX",$I1224="ANNULE")),"Clôturé sans suite","En cours")))</f>
        <v/>
      </c>
      <c r="N1224">
        <f>IF(ISBLANK('ENGAGEMENTS 2026'!C1224),"",'ENGAGEMENTS 2026'!L1224)</f>
        <v/>
      </c>
      <c r="O1224">
        <f>IF(ISBLANK('ENGAGEMENTS 2026'!C1224),"",'ENGAGEMENTS 2026'!M1224)</f>
        <v/>
      </c>
      <c r="P1224">
        <f>IF(ISBLANK('ENGAGEMENTS 2026'!C1224),"",'ENGAGEMENTS 2026'!K1224)</f>
        <v/>
      </c>
      <c r="Q1224">
        <f>IF($A1224="","",IF(OR($E1224="INFRUCTUEUX",$E1224="ANNULE"),$A1224&amp;"|"&amp;(COUNTIFS($A$2:$A1224,$A1224,$E$2:$E1224,"INFRUCTUEUX")+COUNTIFS($A$2:$A1224,$A1224,$E$2:$E1224,"ANNULE")),""))</f>
        <v/>
      </c>
    </row>
    <row r="1225">
      <c r="A1225">
        <f>IF(ISBLANK('ENGAGEMENTS 2026'!C1225),"",IF('ENGAGEMENTS 2026'!C1225="DTSI","DCT",'ENGAGEMENTS 2026'!C1225))</f>
        <v/>
      </c>
      <c r="B1225">
        <f>IF(ISBLANK('ENGAGEMENTS 2026'!C1225),"",'ENGAGEMENTS 2026'!D1225)</f>
        <v/>
      </c>
      <c r="C1225">
        <f>IF(ISBLANK('ENGAGEMENTS 2026'!C1225),"",'ENGAGEMENTS 2026'!E1225)</f>
        <v/>
      </c>
      <c r="D1225">
        <f>IF(ISBLANK('ENGAGEMENTS 2026'!C1225),"",'ENGAGEMENTS 2026'!G1225)</f>
        <v/>
      </c>
      <c r="E1225">
        <f>IF(ISBLANK('ENGAGEMENTS 2026'!C1225),"",'ENGAGEMENTS 2026'!I1225)</f>
        <v/>
      </c>
      <c r="F1225">
        <f>IF(ISBLANK('ENGAGEMENTS 2026'!C1225),"",'ENGAGEMENTS 2026'!J1225)</f>
        <v/>
      </c>
      <c r="G1225">
        <f>IF(ISBLANK('ENGAGEMENTS 2026'!C1225),"",'ENGAGEMENTS 2026'!M1225)</f>
        <v/>
      </c>
      <c r="H1225">
        <f>IF(ISBLANK('ENGAGEMENTS 2026'!C1225),"",'ENGAGEMENTS 2026'!AF1225)</f>
        <v/>
      </c>
      <c r="I1225">
        <f>IF(ISBLANK('ENGAGEMENTS 2026'!C1225),"",'ENGAGEMENTS 2026'!H1225)</f>
        <v/>
      </c>
      <c r="J1225" s="275">
        <f>IF(ISBLANK('ENGAGEMENTS 2026'!C1225),"",IF(AND(OR($E1225="INFRUCTUEUX",$E1225="ANNULE"),$C1225="AOO-M"),'ENGAGEMENTS 2026'!P1225,IF($H1225="EN COURS DE PREENGAGEMENT",'ENGAGEMENTS 2026'!O1225,IF($H1225="PREENGAGE",IF($E1225="ATTRIBUE",'ENGAGEMENTS 2026'!AE1225,'ENGAGEMENTS 2026'!O1225),'ENGAGEMENTS 2026'!AE1225))))</f>
        <v/>
      </c>
      <c r="K1225" s="604">
        <f>IF(ISBLANK('ENGAGEMENTS 2026'!W1225),"",'ENGAGEMENTS 2026'!W1225)</f>
        <v/>
      </c>
      <c r="L1225" s="276">
        <f>IF($K1225="","",TODAY()-$K1225)</f>
        <v/>
      </c>
      <c r="M1225">
        <f>IF($A1225="","",IF($H1225="ENGAGE","Engagé",IF(AND($H1225="NON ENGAGE",OR($I1225="INFRUCTUEUX",$I1225="ANNULE")),"Clôturé sans suite","En cours")))</f>
        <v/>
      </c>
      <c r="N1225">
        <f>IF(ISBLANK('ENGAGEMENTS 2026'!C1225),"",'ENGAGEMENTS 2026'!L1225)</f>
        <v/>
      </c>
      <c r="O1225">
        <f>IF(ISBLANK('ENGAGEMENTS 2026'!C1225),"",'ENGAGEMENTS 2026'!M1225)</f>
        <v/>
      </c>
      <c r="P1225">
        <f>IF(ISBLANK('ENGAGEMENTS 2026'!C1225),"",'ENGAGEMENTS 2026'!K1225)</f>
        <v/>
      </c>
      <c r="Q1225">
        <f>IF($A1225="","",IF(OR($E1225="INFRUCTUEUX",$E1225="ANNULE"),$A1225&amp;"|"&amp;(COUNTIFS($A$2:$A1225,$A1225,$E$2:$E1225,"INFRUCTUEUX")+COUNTIFS($A$2:$A1225,$A1225,$E$2:$E1225,"ANNULE")),""))</f>
        <v/>
      </c>
    </row>
    <row r="1226">
      <c r="A1226">
        <f>IF(ISBLANK('ENGAGEMENTS 2026'!C1226),"",IF('ENGAGEMENTS 2026'!C1226="DTSI","DCT",'ENGAGEMENTS 2026'!C1226))</f>
        <v/>
      </c>
      <c r="B1226">
        <f>IF(ISBLANK('ENGAGEMENTS 2026'!C1226),"",'ENGAGEMENTS 2026'!D1226)</f>
        <v/>
      </c>
      <c r="C1226">
        <f>IF(ISBLANK('ENGAGEMENTS 2026'!C1226),"",'ENGAGEMENTS 2026'!E1226)</f>
        <v/>
      </c>
      <c r="D1226">
        <f>IF(ISBLANK('ENGAGEMENTS 2026'!C1226),"",'ENGAGEMENTS 2026'!G1226)</f>
        <v/>
      </c>
      <c r="E1226">
        <f>IF(ISBLANK('ENGAGEMENTS 2026'!C1226),"",'ENGAGEMENTS 2026'!I1226)</f>
        <v/>
      </c>
      <c r="F1226">
        <f>IF(ISBLANK('ENGAGEMENTS 2026'!C1226),"",'ENGAGEMENTS 2026'!J1226)</f>
        <v/>
      </c>
      <c r="G1226">
        <f>IF(ISBLANK('ENGAGEMENTS 2026'!C1226),"",'ENGAGEMENTS 2026'!M1226)</f>
        <v/>
      </c>
      <c r="H1226">
        <f>IF(ISBLANK('ENGAGEMENTS 2026'!C1226),"",'ENGAGEMENTS 2026'!AF1226)</f>
        <v/>
      </c>
      <c r="I1226">
        <f>IF(ISBLANK('ENGAGEMENTS 2026'!C1226),"",'ENGAGEMENTS 2026'!H1226)</f>
        <v/>
      </c>
      <c r="J1226" s="275">
        <f>IF(ISBLANK('ENGAGEMENTS 2026'!C1226),"",IF(AND(OR($E1226="INFRUCTUEUX",$E1226="ANNULE"),$C1226="AOO-M"),'ENGAGEMENTS 2026'!P1226,IF($H1226="EN COURS DE PREENGAGEMENT",'ENGAGEMENTS 2026'!O1226,IF($H1226="PREENGAGE",IF($E1226="ATTRIBUE",'ENGAGEMENTS 2026'!AE1226,'ENGAGEMENTS 2026'!O1226),'ENGAGEMENTS 2026'!AE1226))))</f>
        <v/>
      </c>
      <c r="K1226" s="604">
        <f>IF(ISBLANK('ENGAGEMENTS 2026'!W1226),"",'ENGAGEMENTS 2026'!W1226)</f>
        <v/>
      </c>
      <c r="L1226" s="276">
        <f>IF($K1226="","",TODAY()-$K1226)</f>
        <v/>
      </c>
      <c r="M1226">
        <f>IF($A1226="","",IF($H1226="ENGAGE","Engagé",IF(AND($H1226="NON ENGAGE",OR($I1226="INFRUCTUEUX",$I1226="ANNULE")),"Clôturé sans suite","En cours")))</f>
        <v/>
      </c>
      <c r="N1226">
        <f>IF(ISBLANK('ENGAGEMENTS 2026'!C1226),"",'ENGAGEMENTS 2026'!L1226)</f>
        <v/>
      </c>
      <c r="O1226">
        <f>IF(ISBLANK('ENGAGEMENTS 2026'!C1226),"",'ENGAGEMENTS 2026'!M1226)</f>
        <v/>
      </c>
      <c r="P1226">
        <f>IF(ISBLANK('ENGAGEMENTS 2026'!C1226),"",'ENGAGEMENTS 2026'!K1226)</f>
        <v/>
      </c>
      <c r="Q1226">
        <f>IF($A1226="","",IF(OR($E1226="INFRUCTUEUX",$E1226="ANNULE"),$A1226&amp;"|"&amp;(COUNTIFS($A$2:$A1226,$A1226,$E$2:$E1226,"INFRUCTUEUX")+COUNTIFS($A$2:$A1226,$A1226,$E$2:$E1226,"ANNULE")),""))</f>
        <v/>
      </c>
    </row>
    <row r="1227">
      <c r="A1227">
        <f>IF(ISBLANK('ENGAGEMENTS 2026'!C1227),"",IF('ENGAGEMENTS 2026'!C1227="DTSI","DCT",'ENGAGEMENTS 2026'!C1227))</f>
        <v/>
      </c>
      <c r="B1227">
        <f>IF(ISBLANK('ENGAGEMENTS 2026'!C1227),"",'ENGAGEMENTS 2026'!D1227)</f>
        <v/>
      </c>
      <c r="C1227">
        <f>IF(ISBLANK('ENGAGEMENTS 2026'!C1227),"",'ENGAGEMENTS 2026'!E1227)</f>
        <v/>
      </c>
      <c r="D1227">
        <f>IF(ISBLANK('ENGAGEMENTS 2026'!C1227),"",'ENGAGEMENTS 2026'!G1227)</f>
        <v/>
      </c>
      <c r="E1227">
        <f>IF(ISBLANK('ENGAGEMENTS 2026'!C1227),"",'ENGAGEMENTS 2026'!I1227)</f>
        <v/>
      </c>
      <c r="F1227">
        <f>IF(ISBLANK('ENGAGEMENTS 2026'!C1227),"",'ENGAGEMENTS 2026'!J1227)</f>
        <v/>
      </c>
      <c r="G1227">
        <f>IF(ISBLANK('ENGAGEMENTS 2026'!C1227),"",'ENGAGEMENTS 2026'!M1227)</f>
        <v/>
      </c>
      <c r="H1227">
        <f>IF(ISBLANK('ENGAGEMENTS 2026'!C1227),"",'ENGAGEMENTS 2026'!AF1227)</f>
        <v/>
      </c>
      <c r="I1227">
        <f>IF(ISBLANK('ENGAGEMENTS 2026'!C1227),"",'ENGAGEMENTS 2026'!H1227)</f>
        <v/>
      </c>
      <c r="J1227" s="275">
        <f>IF(ISBLANK('ENGAGEMENTS 2026'!C1227),"",IF(AND(OR($E1227="INFRUCTUEUX",$E1227="ANNULE"),$C1227="AOO-M"),'ENGAGEMENTS 2026'!P1227,IF($H1227="EN COURS DE PREENGAGEMENT",'ENGAGEMENTS 2026'!O1227,IF($H1227="PREENGAGE",IF($E1227="ATTRIBUE",'ENGAGEMENTS 2026'!AE1227,'ENGAGEMENTS 2026'!O1227),'ENGAGEMENTS 2026'!AE1227))))</f>
        <v/>
      </c>
      <c r="K1227" s="604">
        <f>IF(ISBLANK('ENGAGEMENTS 2026'!W1227),"",'ENGAGEMENTS 2026'!W1227)</f>
        <v/>
      </c>
      <c r="L1227" s="276">
        <f>IF($K1227="","",TODAY()-$K1227)</f>
        <v/>
      </c>
      <c r="M1227">
        <f>IF($A1227="","",IF($H1227="ENGAGE","Engagé",IF(AND($H1227="NON ENGAGE",OR($I1227="INFRUCTUEUX",$I1227="ANNULE")),"Clôturé sans suite","En cours")))</f>
        <v/>
      </c>
      <c r="N1227">
        <f>IF(ISBLANK('ENGAGEMENTS 2026'!C1227),"",'ENGAGEMENTS 2026'!L1227)</f>
        <v/>
      </c>
      <c r="O1227">
        <f>IF(ISBLANK('ENGAGEMENTS 2026'!C1227),"",'ENGAGEMENTS 2026'!M1227)</f>
        <v/>
      </c>
      <c r="P1227">
        <f>IF(ISBLANK('ENGAGEMENTS 2026'!C1227),"",'ENGAGEMENTS 2026'!K1227)</f>
        <v/>
      </c>
      <c r="Q1227">
        <f>IF($A1227="","",IF(OR($E1227="INFRUCTUEUX",$E1227="ANNULE"),$A1227&amp;"|"&amp;(COUNTIFS($A$2:$A1227,$A1227,$E$2:$E1227,"INFRUCTUEUX")+COUNTIFS($A$2:$A1227,$A1227,$E$2:$E1227,"ANNULE")),""))</f>
        <v/>
      </c>
    </row>
    <row r="1228">
      <c r="A1228">
        <f>IF(ISBLANK('ENGAGEMENTS 2026'!C1228),"",IF('ENGAGEMENTS 2026'!C1228="DTSI","DCT",'ENGAGEMENTS 2026'!C1228))</f>
        <v/>
      </c>
      <c r="B1228">
        <f>IF(ISBLANK('ENGAGEMENTS 2026'!C1228),"",'ENGAGEMENTS 2026'!D1228)</f>
        <v/>
      </c>
      <c r="C1228">
        <f>IF(ISBLANK('ENGAGEMENTS 2026'!C1228),"",'ENGAGEMENTS 2026'!E1228)</f>
        <v/>
      </c>
      <c r="D1228">
        <f>IF(ISBLANK('ENGAGEMENTS 2026'!C1228),"",'ENGAGEMENTS 2026'!G1228)</f>
        <v/>
      </c>
      <c r="E1228">
        <f>IF(ISBLANK('ENGAGEMENTS 2026'!C1228),"",'ENGAGEMENTS 2026'!I1228)</f>
        <v/>
      </c>
      <c r="F1228">
        <f>IF(ISBLANK('ENGAGEMENTS 2026'!C1228),"",'ENGAGEMENTS 2026'!J1228)</f>
        <v/>
      </c>
      <c r="G1228">
        <f>IF(ISBLANK('ENGAGEMENTS 2026'!C1228),"",'ENGAGEMENTS 2026'!M1228)</f>
        <v/>
      </c>
      <c r="H1228">
        <f>IF(ISBLANK('ENGAGEMENTS 2026'!C1228),"",'ENGAGEMENTS 2026'!AF1228)</f>
        <v/>
      </c>
      <c r="I1228">
        <f>IF(ISBLANK('ENGAGEMENTS 2026'!C1228),"",'ENGAGEMENTS 2026'!H1228)</f>
        <v/>
      </c>
      <c r="J1228" s="275">
        <f>IF(ISBLANK('ENGAGEMENTS 2026'!C1228),"",IF(AND(OR($E1228="INFRUCTUEUX",$E1228="ANNULE"),$C1228="AOO-M"),'ENGAGEMENTS 2026'!P1228,IF($H1228="EN COURS DE PREENGAGEMENT",'ENGAGEMENTS 2026'!O1228,IF($H1228="PREENGAGE",IF($E1228="ATTRIBUE",'ENGAGEMENTS 2026'!AE1228,'ENGAGEMENTS 2026'!O1228),'ENGAGEMENTS 2026'!AE1228))))</f>
        <v/>
      </c>
      <c r="K1228" s="604">
        <f>IF(ISBLANK('ENGAGEMENTS 2026'!W1228),"",'ENGAGEMENTS 2026'!W1228)</f>
        <v/>
      </c>
      <c r="L1228" s="276">
        <f>IF($K1228="","",TODAY()-$K1228)</f>
        <v/>
      </c>
      <c r="M1228">
        <f>IF($A1228="","",IF($H1228="ENGAGE","Engagé",IF(AND($H1228="NON ENGAGE",OR($I1228="INFRUCTUEUX",$I1228="ANNULE")),"Clôturé sans suite","En cours")))</f>
        <v/>
      </c>
      <c r="N1228">
        <f>IF(ISBLANK('ENGAGEMENTS 2026'!C1228),"",'ENGAGEMENTS 2026'!L1228)</f>
        <v/>
      </c>
      <c r="O1228">
        <f>IF(ISBLANK('ENGAGEMENTS 2026'!C1228),"",'ENGAGEMENTS 2026'!M1228)</f>
        <v/>
      </c>
      <c r="P1228">
        <f>IF(ISBLANK('ENGAGEMENTS 2026'!C1228),"",'ENGAGEMENTS 2026'!K1228)</f>
        <v/>
      </c>
      <c r="Q1228">
        <f>IF($A1228="","",IF(OR($E1228="INFRUCTUEUX",$E1228="ANNULE"),$A1228&amp;"|"&amp;(COUNTIFS($A$2:$A1228,$A1228,$E$2:$E1228,"INFRUCTUEUX")+COUNTIFS($A$2:$A1228,$A1228,$E$2:$E1228,"ANNULE")),""))</f>
        <v/>
      </c>
    </row>
    <row r="1229">
      <c r="A1229">
        <f>IF(ISBLANK('ENGAGEMENTS 2026'!C1229),"",IF('ENGAGEMENTS 2026'!C1229="DTSI","DCT",'ENGAGEMENTS 2026'!C1229))</f>
        <v/>
      </c>
      <c r="B1229">
        <f>IF(ISBLANK('ENGAGEMENTS 2026'!C1229),"",'ENGAGEMENTS 2026'!D1229)</f>
        <v/>
      </c>
      <c r="C1229">
        <f>IF(ISBLANK('ENGAGEMENTS 2026'!C1229),"",'ENGAGEMENTS 2026'!E1229)</f>
        <v/>
      </c>
      <c r="D1229">
        <f>IF(ISBLANK('ENGAGEMENTS 2026'!C1229),"",'ENGAGEMENTS 2026'!G1229)</f>
        <v/>
      </c>
      <c r="E1229">
        <f>IF(ISBLANK('ENGAGEMENTS 2026'!C1229),"",'ENGAGEMENTS 2026'!I1229)</f>
        <v/>
      </c>
      <c r="F1229">
        <f>IF(ISBLANK('ENGAGEMENTS 2026'!C1229),"",'ENGAGEMENTS 2026'!J1229)</f>
        <v/>
      </c>
      <c r="G1229">
        <f>IF(ISBLANK('ENGAGEMENTS 2026'!C1229),"",'ENGAGEMENTS 2026'!M1229)</f>
        <v/>
      </c>
      <c r="H1229">
        <f>IF(ISBLANK('ENGAGEMENTS 2026'!C1229),"",'ENGAGEMENTS 2026'!AF1229)</f>
        <v/>
      </c>
      <c r="I1229">
        <f>IF(ISBLANK('ENGAGEMENTS 2026'!C1229),"",'ENGAGEMENTS 2026'!H1229)</f>
        <v/>
      </c>
      <c r="J1229" s="275">
        <f>IF(ISBLANK('ENGAGEMENTS 2026'!C1229),"",IF(AND(OR($E1229="INFRUCTUEUX",$E1229="ANNULE"),$C1229="AOO-M"),'ENGAGEMENTS 2026'!P1229,IF($H1229="EN COURS DE PREENGAGEMENT",'ENGAGEMENTS 2026'!O1229,IF($H1229="PREENGAGE",IF($E1229="ATTRIBUE",'ENGAGEMENTS 2026'!AE1229,'ENGAGEMENTS 2026'!O1229),'ENGAGEMENTS 2026'!AE1229))))</f>
        <v/>
      </c>
      <c r="K1229" s="604">
        <f>IF(ISBLANK('ENGAGEMENTS 2026'!W1229),"",'ENGAGEMENTS 2026'!W1229)</f>
        <v/>
      </c>
      <c r="L1229" s="276">
        <f>IF($K1229="","",TODAY()-$K1229)</f>
        <v/>
      </c>
      <c r="M1229">
        <f>IF($A1229="","",IF($H1229="ENGAGE","Engagé",IF(AND($H1229="NON ENGAGE",OR($I1229="INFRUCTUEUX",$I1229="ANNULE")),"Clôturé sans suite","En cours")))</f>
        <v/>
      </c>
      <c r="N1229">
        <f>IF(ISBLANK('ENGAGEMENTS 2026'!C1229),"",'ENGAGEMENTS 2026'!L1229)</f>
        <v/>
      </c>
      <c r="O1229">
        <f>IF(ISBLANK('ENGAGEMENTS 2026'!C1229),"",'ENGAGEMENTS 2026'!M1229)</f>
        <v/>
      </c>
      <c r="P1229">
        <f>IF(ISBLANK('ENGAGEMENTS 2026'!C1229),"",'ENGAGEMENTS 2026'!K1229)</f>
        <v/>
      </c>
      <c r="Q1229">
        <f>IF($A1229="","",IF(OR($E1229="INFRUCTUEUX",$E1229="ANNULE"),$A1229&amp;"|"&amp;(COUNTIFS($A$2:$A1229,$A1229,$E$2:$E1229,"INFRUCTUEUX")+COUNTIFS($A$2:$A1229,$A1229,$E$2:$E1229,"ANNULE")),""))</f>
        <v/>
      </c>
    </row>
    <row r="1230">
      <c r="A1230">
        <f>IF(ISBLANK('ENGAGEMENTS 2026'!C1230),"",IF('ENGAGEMENTS 2026'!C1230="DTSI","DCT",'ENGAGEMENTS 2026'!C1230))</f>
        <v/>
      </c>
      <c r="B1230">
        <f>IF(ISBLANK('ENGAGEMENTS 2026'!C1230),"",'ENGAGEMENTS 2026'!D1230)</f>
        <v/>
      </c>
      <c r="C1230">
        <f>IF(ISBLANK('ENGAGEMENTS 2026'!C1230),"",'ENGAGEMENTS 2026'!E1230)</f>
        <v/>
      </c>
      <c r="D1230">
        <f>IF(ISBLANK('ENGAGEMENTS 2026'!C1230),"",'ENGAGEMENTS 2026'!G1230)</f>
        <v/>
      </c>
      <c r="E1230">
        <f>IF(ISBLANK('ENGAGEMENTS 2026'!C1230),"",'ENGAGEMENTS 2026'!I1230)</f>
        <v/>
      </c>
      <c r="F1230">
        <f>IF(ISBLANK('ENGAGEMENTS 2026'!C1230),"",'ENGAGEMENTS 2026'!J1230)</f>
        <v/>
      </c>
      <c r="G1230">
        <f>IF(ISBLANK('ENGAGEMENTS 2026'!C1230),"",'ENGAGEMENTS 2026'!M1230)</f>
        <v/>
      </c>
      <c r="H1230">
        <f>IF(ISBLANK('ENGAGEMENTS 2026'!C1230),"",'ENGAGEMENTS 2026'!AF1230)</f>
        <v/>
      </c>
      <c r="I1230">
        <f>IF(ISBLANK('ENGAGEMENTS 2026'!C1230),"",'ENGAGEMENTS 2026'!H1230)</f>
        <v/>
      </c>
      <c r="J1230" s="275">
        <f>IF(ISBLANK('ENGAGEMENTS 2026'!C1230),"",IF(AND(OR($E1230="INFRUCTUEUX",$E1230="ANNULE"),$C1230="AOO-M"),'ENGAGEMENTS 2026'!P1230,IF($H1230="EN COURS DE PREENGAGEMENT",'ENGAGEMENTS 2026'!O1230,IF($H1230="PREENGAGE",IF($E1230="ATTRIBUE",'ENGAGEMENTS 2026'!AE1230,'ENGAGEMENTS 2026'!O1230),'ENGAGEMENTS 2026'!AE1230))))</f>
        <v/>
      </c>
      <c r="K1230" s="604">
        <f>IF(ISBLANK('ENGAGEMENTS 2026'!W1230),"",'ENGAGEMENTS 2026'!W1230)</f>
        <v/>
      </c>
      <c r="L1230" s="276">
        <f>IF($K1230="","",TODAY()-$K1230)</f>
        <v/>
      </c>
      <c r="M1230">
        <f>IF($A1230="","",IF($H1230="ENGAGE","Engagé",IF(AND($H1230="NON ENGAGE",OR($I1230="INFRUCTUEUX",$I1230="ANNULE")),"Clôturé sans suite","En cours")))</f>
        <v/>
      </c>
      <c r="N1230">
        <f>IF(ISBLANK('ENGAGEMENTS 2026'!C1230),"",'ENGAGEMENTS 2026'!L1230)</f>
        <v/>
      </c>
      <c r="O1230">
        <f>IF(ISBLANK('ENGAGEMENTS 2026'!C1230),"",'ENGAGEMENTS 2026'!M1230)</f>
        <v/>
      </c>
      <c r="P1230">
        <f>IF(ISBLANK('ENGAGEMENTS 2026'!C1230),"",'ENGAGEMENTS 2026'!K1230)</f>
        <v/>
      </c>
      <c r="Q1230">
        <f>IF($A1230="","",IF(OR($E1230="INFRUCTUEUX",$E1230="ANNULE"),$A1230&amp;"|"&amp;(COUNTIFS($A$2:$A1230,$A1230,$E$2:$E1230,"INFRUCTUEUX")+COUNTIFS($A$2:$A1230,$A1230,$E$2:$E1230,"ANNULE")),""))</f>
        <v/>
      </c>
    </row>
    <row r="1231">
      <c r="A1231">
        <f>IF(ISBLANK('ENGAGEMENTS 2026'!C1231),"",IF('ENGAGEMENTS 2026'!C1231="DTSI","DCT",'ENGAGEMENTS 2026'!C1231))</f>
        <v/>
      </c>
      <c r="B1231">
        <f>IF(ISBLANK('ENGAGEMENTS 2026'!C1231),"",'ENGAGEMENTS 2026'!D1231)</f>
        <v/>
      </c>
      <c r="C1231">
        <f>IF(ISBLANK('ENGAGEMENTS 2026'!C1231),"",'ENGAGEMENTS 2026'!E1231)</f>
        <v/>
      </c>
      <c r="D1231">
        <f>IF(ISBLANK('ENGAGEMENTS 2026'!C1231),"",'ENGAGEMENTS 2026'!G1231)</f>
        <v/>
      </c>
      <c r="E1231">
        <f>IF(ISBLANK('ENGAGEMENTS 2026'!C1231),"",'ENGAGEMENTS 2026'!I1231)</f>
        <v/>
      </c>
      <c r="F1231">
        <f>IF(ISBLANK('ENGAGEMENTS 2026'!C1231),"",'ENGAGEMENTS 2026'!J1231)</f>
        <v/>
      </c>
      <c r="G1231">
        <f>IF(ISBLANK('ENGAGEMENTS 2026'!C1231),"",'ENGAGEMENTS 2026'!M1231)</f>
        <v/>
      </c>
      <c r="H1231">
        <f>IF(ISBLANK('ENGAGEMENTS 2026'!C1231),"",'ENGAGEMENTS 2026'!AF1231)</f>
        <v/>
      </c>
      <c r="I1231">
        <f>IF(ISBLANK('ENGAGEMENTS 2026'!C1231),"",'ENGAGEMENTS 2026'!H1231)</f>
        <v/>
      </c>
      <c r="J1231" s="275">
        <f>IF(ISBLANK('ENGAGEMENTS 2026'!C1231),"",IF(AND(OR($E1231="INFRUCTUEUX",$E1231="ANNULE"),$C1231="AOO-M"),'ENGAGEMENTS 2026'!P1231,IF($H1231="EN COURS DE PREENGAGEMENT",'ENGAGEMENTS 2026'!O1231,IF($H1231="PREENGAGE",IF($E1231="ATTRIBUE",'ENGAGEMENTS 2026'!AE1231,'ENGAGEMENTS 2026'!O1231),'ENGAGEMENTS 2026'!AE1231))))</f>
        <v/>
      </c>
      <c r="K1231" s="604">
        <f>IF(ISBLANK('ENGAGEMENTS 2026'!W1231),"",'ENGAGEMENTS 2026'!W1231)</f>
        <v/>
      </c>
      <c r="L1231" s="276">
        <f>IF($K1231="","",TODAY()-$K1231)</f>
        <v/>
      </c>
      <c r="M1231">
        <f>IF($A1231="","",IF($H1231="ENGAGE","Engagé",IF(AND($H1231="NON ENGAGE",OR($I1231="INFRUCTUEUX",$I1231="ANNULE")),"Clôturé sans suite","En cours")))</f>
        <v/>
      </c>
      <c r="N1231">
        <f>IF(ISBLANK('ENGAGEMENTS 2026'!C1231),"",'ENGAGEMENTS 2026'!L1231)</f>
        <v/>
      </c>
      <c r="O1231">
        <f>IF(ISBLANK('ENGAGEMENTS 2026'!C1231),"",'ENGAGEMENTS 2026'!M1231)</f>
        <v/>
      </c>
      <c r="P1231">
        <f>IF(ISBLANK('ENGAGEMENTS 2026'!C1231),"",'ENGAGEMENTS 2026'!K1231)</f>
        <v/>
      </c>
      <c r="Q1231">
        <f>IF($A1231="","",IF(OR($E1231="INFRUCTUEUX",$E1231="ANNULE"),$A1231&amp;"|"&amp;(COUNTIFS($A$2:$A1231,$A1231,$E$2:$E1231,"INFRUCTUEUX")+COUNTIFS($A$2:$A1231,$A1231,$E$2:$E1231,"ANNULE")),""))</f>
        <v/>
      </c>
    </row>
    <row r="1232">
      <c r="A1232">
        <f>IF(ISBLANK('ENGAGEMENTS 2026'!C1232),"",IF('ENGAGEMENTS 2026'!C1232="DTSI","DCT",'ENGAGEMENTS 2026'!C1232))</f>
        <v/>
      </c>
      <c r="B1232">
        <f>IF(ISBLANK('ENGAGEMENTS 2026'!C1232),"",'ENGAGEMENTS 2026'!D1232)</f>
        <v/>
      </c>
      <c r="C1232">
        <f>IF(ISBLANK('ENGAGEMENTS 2026'!C1232),"",'ENGAGEMENTS 2026'!E1232)</f>
        <v/>
      </c>
      <c r="D1232">
        <f>IF(ISBLANK('ENGAGEMENTS 2026'!C1232),"",'ENGAGEMENTS 2026'!G1232)</f>
        <v/>
      </c>
      <c r="E1232">
        <f>IF(ISBLANK('ENGAGEMENTS 2026'!C1232),"",'ENGAGEMENTS 2026'!I1232)</f>
        <v/>
      </c>
      <c r="F1232">
        <f>IF(ISBLANK('ENGAGEMENTS 2026'!C1232),"",'ENGAGEMENTS 2026'!J1232)</f>
        <v/>
      </c>
      <c r="G1232">
        <f>IF(ISBLANK('ENGAGEMENTS 2026'!C1232),"",'ENGAGEMENTS 2026'!M1232)</f>
        <v/>
      </c>
      <c r="H1232">
        <f>IF(ISBLANK('ENGAGEMENTS 2026'!C1232),"",'ENGAGEMENTS 2026'!AF1232)</f>
        <v/>
      </c>
      <c r="I1232">
        <f>IF(ISBLANK('ENGAGEMENTS 2026'!C1232),"",'ENGAGEMENTS 2026'!H1232)</f>
        <v/>
      </c>
      <c r="J1232" s="275">
        <f>IF(ISBLANK('ENGAGEMENTS 2026'!C1232),"",IF(AND(OR($E1232="INFRUCTUEUX",$E1232="ANNULE"),$C1232="AOO-M"),'ENGAGEMENTS 2026'!P1232,IF($H1232="EN COURS DE PREENGAGEMENT",'ENGAGEMENTS 2026'!O1232,IF($H1232="PREENGAGE",IF($E1232="ATTRIBUE",'ENGAGEMENTS 2026'!AE1232,'ENGAGEMENTS 2026'!O1232),'ENGAGEMENTS 2026'!AE1232))))</f>
        <v/>
      </c>
      <c r="K1232" s="604">
        <f>IF(ISBLANK('ENGAGEMENTS 2026'!W1232),"",'ENGAGEMENTS 2026'!W1232)</f>
        <v/>
      </c>
      <c r="L1232" s="276">
        <f>IF($K1232="","",TODAY()-$K1232)</f>
        <v/>
      </c>
      <c r="M1232">
        <f>IF($A1232="","",IF($H1232="ENGAGE","Engagé",IF(AND($H1232="NON ENGAGE",OR($I1232="INFRUCTUEUX",$I1232="ANNULE")),"Clôturé sans suite","En cours")))</f>
        <v/>
      </c>
      <c r="N1232">
        <f>IF(ISBLANK('ENGAGEMENTS 2026'!C1232),"",'ENGAGEMENTS 2026'!L1232)</f>
        <v/>
      </c>
      <c r="O1232">
        <f>IF(ISBLANK('ENGAGEMENTS 2026'!C1232),"",'ENGAGEMENTS 2026'!M1232)</f>
        <v/>
      </c>
      <c r="P1232">
        <f>IF(ISBLANK('ENGAGEMENTS 2026'!C1232),"",'ENGAGEMENTS 2026'!K1232)</f>
        <v/>
      </c>
      <c r="Q1232">
        <f>IF($A1232="","",IF(OR($E1232="INFRUCTUEUX",$E1232="ANNULE"),$A1232&amp;"|"&amp;(COUNTIFS($A$2:$A1232,$A1232,$E$2:$E1232,"INFRUCTUEUX")+COUNTIFS($A$2:$A1232,$A1232,$E$2:$E1232,"ANNULE")),""))</f>
        <v/>
      </c>
    </row>
    <row r="1233">
      <c r="A1233">
        <f>IF(ISBLANK('ENGAGEMENTS 2026'!C1233),"",IF('ENGAGEMENTS 2026'!C1233="DTSI","DCT",'ENGAGEMENTS 2026'!C1233))</f>
        <v/>
      </c>
      <c r="B1233">
        <f>IF(ISBLANK('ENGAGEMENTS 2026'!C1233),"",'ENGAGEMENTS 2026'!D1233)</f>
        <v/>
      </c>
      <c r="C1233">
        <f>IF(ISBLANK('ENGAGEMENTS 2026'!C1233),"",'ENGAGEMENTS 2026'!E1233)</f>
        <v/>
      </c>
      <c r="D1233">
        <f>IF(ISBLANK('ENGAGEMENTS 2026'!C1233),"",'ENGAGEMENTS 2026'!G1233)</f>
        <v/>
      </c>
      <c r="E1233">
        <f>IF(ISBLANK('ENGAGEMENTS 2026'!C1233),"",'ENGAGEMENTS 2026'!I1233)</f>
        <v/>
      </c>
      <c r="F1233">
        <f>IF(ISBLANK('ENGAGEMENTS 2026'!C1233),"",'ENGAGEMENTS 2026'!J1233)</f>
        <v/>
      </c>
      <c r="G1233">
        <f>IF(ISBLANK('ENGAGEMENTS 2026'!C1233),"",'ENGAGEMENTS 2026'!M1233)</f>
        <v/>
      </c>
      <c r="H1233">
        <f>IF(ISBLANK('ENGAGEMENTS 2026'!C1233),"",'ENGAGEMENTS 2026'!AF1233)</f>
        <v/>
      </c>
      <c r="I1233">
        <f>IF(ISBLANK('ENGAGEMENTS 2026'!C1233),"",'ENGAGEMENTS 2026'!H1233)</f>
        <v/>
      </c>
      <c r="J1233" s="275">
        <f>IF(ISBLANK('ENGAGEMENTS 2026'!C1233),"",IF(AND(OR($E1233="INFRUCTUEUX",$E1233="ANNULE"),$C1233="AOO-M"),'ENGAGEMENTS 2026'!P1233,IF($H1233="EN COURS DE PREENGAGEMENT",'ENGAGEMENTS 2026'!O1233,IF($H1233="PREENGAGE",IF($E1233="ATTRIBUE",'ENGAGEMENTS 2026'!AE1233,'ENGAGEMENTS 2026'!O1233),'ENGAGEMENTS 2026'!AE1233))))</f>
        <v/>
      </c>
      <c r="K1233" s="604">
        <f>IF(ISBLANK('ENGAGEMENTS 2026'!W1233),"",'ENGAGEMENTS 2026'!W1233)</f>
        <v/>
      </c>
      <c r="L1233" s="276">
        <f>IF($K1233="","",TODAY()-$K1233)</f>
        <v/>
      </c>
      <c r="M1233">
        <f>IF($A1233="","",IF($H1233="ENGAGE","Engagé",IF(AND($H1233="NON ENGAGE",OR($I1233="INFRUCTUEUX",$I1233="ANNULE")),"Clôturé sans suite","En cours")))</f>
        <v/>
      </c>
      <c r="N1233">
        <f>IF(ISBLANK('ENGAGEMENTS 2026'!C1233),"",'ENGAGEMENTS 2026'!L1233)</f>
        <v/>
      </c>
      <c r="O1233">
        <f>IF(ISBLANK('ENGAGEMENTS 2026'!C1233),"",'ENGAGEMENTS 2026'!M1233)</f>
        <v/>
      </c>
      <c r="P1233">
        <f>IF(ISBLANK('ENGAGEMENTS 2026'!C1233),"",'ENGAGEMENTS 2026'!K1233)</f>
        <v/>
      </c>
      <c r="Q1233">
        <f>IF($A1233="","",IF(OR($E1233="INFRUCTUEUX",$E1233="ANNULE"),$A1233&amp;"|"&amp;(COUNTIFS($A$2:$A1233,$A1233,$E$2:$E1233,"INFRUCTUEUX")+COUNTIFS($A$2:$A1233,$A1233,$E$2:$E1233,"ANNULE")),""))</f>
        <v/>
      </c>
    </row>
    <row r="1234">
      <c r="A1234">
        <f>IF(ISBLANK('ENGAGEMENTS 2026'!C1234),"",IF('ENGAGEMENTS 2026'!C1234="DTSI","DCT",'ENGAGEMENTS 2026'!C1234))</f>
        <v/>
      </c>
      <c r="B1234">
        <f>IF(ISBLANK('ENGAGEMENTS 2026'!C1234),"",'ENGAGEMENTS 2026'!D1234)</f>
        <v/>
      </c>
      <c r="C1234">
        <f>IF(ISBLANK('ENGAGEMENTS 2026'!C1234),"",'ENGAGEMENTS 2026'!E1234)</f>
        <v/>
      </c>
      <c r="D1234">
        <f>IF(ISBLANK('ENGAGEMENTS 2026'!C1234),"",'ENGAGEMENTS 2026'!G1234)</f>
        <v/>
      </c>
      <c r="E1234">
        <f>IF(ISBLANK('ENGAGEMENTS 2026'!C1234),"",'ENGAGEMENTS 2026'!I1234)</f>
        <v/>
      </c>
      <c r="F1234">
        <f>IF(ISBLANK('ENGAGEMENTS 2026'!C1234),"",'ENGAGEMENTS 2026'!J1234)</f>
        <v/>
      </c>
      <c r="G1234">
        <f>IF(ISBLANK('ENGAGEMENTS 2026'!C1234),"",'ENGAGEMENTS 2026'!M1234)</f>
        <v/>
      </c>
      <c r="H1234">
        <f>IF(ISBLANK('ENGAGEMENTS 2026'!C1234),"",'ENGAGEMENTS 2026'!AF1234)</f>
        <v/>
      </c>
      <c r="I1234">
        <f>IF(ISBLANK('ENGAGEMENTS 2026'!C1234),"",'ENGAGEMENTS 2026'!H1234)</f>
        <v/>
      </c>
      <c r="J1234" s="275">
        <f>IF(ISBLANK('ENGAGEMENTS 2026'!C1234),"",IF(AND(OR($E1234="INFRUCTUEUX",$E1234="ANNULE"),$C1234="AOO-M"),'ENGAGEMENTS 2026'!P1234,IF($H1234="EN COURS DE PREENGAGEMENT",'ENGAGEMENTS 2026'!O1234,IF($H1234="PREENGAGE",IF($E1234="ATTRIBUE",'ENGAGEMENTS 2026'!AE1234,'ENGAGEMENTS 2026'!O1234),'ENGAGEMENTS 2026'!AE1234))))</f>
        <v/>
      </c>
      <c r="K1234" s="604">
        <f>IF(ISBLANK('ENGAGEMENTS 2026'!W1234),"",'ENGAGEMENTS 2026'!W1234)</f>
        <v/>
      </c>
      <c r="L1234" s="276">
        <f>IF($K1234="","",TODAY()-$K1234)</f>
        <v/>
      </c>
      <c r="M1234">
        <f>IF($A1234="","",IF($H1234="ENGAGE","Engagé",IF(AND($H1234="NON ENGAGE",OR($I1234="INFRUCTUEUX",$I1234="ANNULE")),"Clôturé sans suite","En cours")))</f>
        <v/>
      </c>
      <c r="N1234">
        <f>IF(ISBLANK('ENGAGEMENTS 2026'!C1234),"",'ENGAGEMENTS 2026'!L1234)</f>
        <v/>
      </c>
      <c r="O1234">
        <f>IF(ISBLANK('ENGAGEMENTS 2026'!C1234),"",'ENGAGEMENTS 2026'!M1234)</f>
        <v/>
      </c>
      <c r="P1234">
        <f>IF(ISBLANK('ENGAGEMENTS 2026'!C1234),"",'ENGAGEMENTS 2026'!K1234)</f>
        <v/>
      </c>
      <c r="Q1234">
        <f>IF($A1234="","",IF(OR($E1234="INFRUCTUEUX",$E1234="ANNULE"),$A1234&amp;"|"&amp;(COUNTIFS($A$2:$A1234,$A1234,$E$2:$E1234,"INFRUCTUEUX")+COUNTIFS($A$2:$A1234,$A1234,$E$2:$E1234,"ANNULE")),""))</f>
        <v/>
      </c>
    </row>
    <row r="1235">
      <c r="A1235">
        <f>IF(ISBLANK('ENGAGEMENTS 2026'!C1235),"",IF('ENGAGEMENTS 2026'!C1235="DTSI","DCT",'ENGAGEMENTS 2026'!C1235))</f>
        <v/>
      </c>
      <c r="B1235">
        <f>IF(ISBLANK('ENGAGEMENTS 2026'!C1235),"",'ENGAGEMENTS 2026'!D1235)</f>
        <v/>
      </c>
      <c r="C1235">
        <f>IF(ISBLANK('ENGAGEMENTS 2026'!C1235),"",'ENGAGEMENTS 2026'!E1235)</f>
        <v/>
      </c>
      <c r="D1235">
        <f>IF(ISBLANK('ENGAGEMENTS 2026'!C1235),"",'ENGAGEMENTS 2026'!G1235)</f>
        <v/>
      </c>
      <c r="E1235">
        <f>IF(ISBLANK('ENGAGEMENTS 2026'!C1235),"",'ENGAGEMENTS 2026'!I1235)</f>
        <v/>
      </c>
      <c r="F1235">
        <f>IF(ISBLANK('ENGAGEMENTS 2026'!C1235),"",'ENGAGEMENTS 2026'!J1235)</f>
        <v/>
      </c>
      <c r="G1235">
        <f>IF(ISBLANK('ENGAGEMENTS 2026'!C1235),"",'ENGAGEMENTS 2026'!M1235)</f>
        <v/>
      </c>
      <c r="H1235">
        <f>IF(ISBLANK('ENGAGEMENTS 2026'!C1235),"",'ENGAGEMENTS 2026'!AF1235)</f>
        <v/>
      </c>
      <c r="I1235">
        <f>IF(ISBLANK('ENGAGEMENTS 2026'!C1235),"",'ENGAGEMENTS 2026'!H1235)</f>
        <v/>
      </c>
      <c r="J1235" s="275">
        <f>IF(ISBLANK('ENGAGEMENTS 2026'!C1235),"",IF(AND(OR($E1235="INFRUCTUEUX",$E1235="ANNULE"),$C1235="AOO-M"),'ENGAGEMENTS 2026'!P1235,IF($H1235="EN COURS DE PREENGAGEMENT",'ENGAGEMENTS 2026'!O1235,IF($H1235="PREENGAGE",IF($E1235="ATTRIBUE",'ENGAGEMENTS 2026'!AE1235,'ENGAGEMENTS 2026'!O1235),'ENGAGEMENTS 2026'!AE1235))))</f>
        <v/>
      </c>
      <c r="K1235" s="604">
        <f>IF(ISBLANK('ENGAGEMENTS 2026'!W1235),"",'ENGAGEMENTS 2026'!W1235)</f>
        <v/>
      </c>
      <c r="L1235" s="276">
        <f>IF($K1235="","",TODAY()-$K1235)</f>
        <v/>
      </c>
      <c r="M1235">
        <f>IF($A1235="","",IF($H1235="ENGAGE","Engagé",IF(AND($H1235="NON ENGAGE",OR($I1235="INFRUCTUEUX",$I1235="ANNULE")),"Clôturé sans suite","En cours")))</f>
        <v/>
      </c>
      <c r="N1235">
        <f>IF(ISBLANK('ENGAGEMENTS 2026'!C1235),"",'ENGAGEMENTS 2026'!L1235)</f>
        <v/>
      </c>
      <c r="O1235">
        <f>IF(ISBLANK('ENGAGEMENTS 2026'!C1235),"",'ENGAGEMENTS 2026'!M1235)</f>
        <v/>
      </c>
      <c r="P1235">
        <f>IF(ISBLANK('ENGAGEMENTS 2026'!C1235),"",'ENGAGEMENTS 2026'!K1235)</f>
        <v/>
      </c>
      <c r="Q1235">
        <f>IF($A1235="","",IF(OR($E1235="INFRUCTUEUX",$E1235="ANNULE"),$A1235&amp;"|"&amp;(COUNTIFS($A$2:$A1235,$A1235,$E$2:$E1235,"INFRUCTUEUX")+COUNTIFS($A$2:$A1235,$A1235,$E$2:$E1235,"ANNULE")),""))</f>
        <v/>
      </c>
    </row>
    <row r="1236">
      <c r="A1236">
        <f>IF(ISBLANK('ENGAGEMENTS 2026'!C1236),"",IF('ENGAGEMENTS 2026'!C1236="DTSI","DCT",'ENGAGEMENTS 2026'!C1236))</f>
        <v/>
      </c>
      <c r="B1236">
        <f>IF(ISBLANK('ENGAGEMENTS 2026'!C1236),"",'ENGAGEMENTS 2026'!D1236)</f>
        <v/>
      </c>
      <c r="C1236">
        <f>IF(ISBLANK('ENGAGEMENTS 2026'!C1236),"",'ENGAGEMENTS 2026'!E1236)</f>
        <v/>
      </c>
      <c r="D1236">
        <f>IF(ISBLANK('ENGAGEMENTS 2026'!C1236),"",'ENGAGEMENTS 2026'!G1236)</f>
        <v/>
      </c>
      <c r="E1236">
        <f>IF(ISBLANK('ENGAGEMENTS 2026'!C1236),"",'ENGAGEMENTS 2026'!I1236)</f>
        <v/>
      </c>
      <c r="F1236">
        <f>IF(ISBLANK('ENGAGEMENTS 2026'!C1236),"",'ENGAGEMENTS 2026'!J1236)</f>
        <v/>
      </c>
      <c r="G1236">
        <f>IF(ISBLANK('ENGAGEMENTS 2026'!C1236),"",'ENGAGEMENTS 2026'!M1236)</f>
        <v/>
      </c>
      <c r="H1236">
        <f>IF(ISBLANK('ENGAGEMENTS 2026'!C1236),"",'ENGAGEMENTS 2026'!AF1236)</f>
        <v/>
      </c>
      <c r="I1236">
        <f>IF(ISBLANK('ENGAGEMENTS 2026'!C1236),"",'ENGAGEMENTS 2026'!H1236)</f>
        <v/>
      </c>
      <c r="J1236" s="275">
        <f>IF(ISBLANK('ENGAGEMENTS 2026'!C1236),"",IF(AND(OR($E1236="INFRUCTUEUX",$E1236="ANNULE"),$C1236="AOO-M"),'ENGAGEMENTS 2026'!P1236,IF($H1236="EN COURS DE PREENGAGEMENT",'ENGAGEMENTS 2026'!O1236,IF($H1236="PREENGAGE",IF($E1236="ATTRIBUE",'ENGAGEMENTS 2026'!AE1236,'ENGAGEMENTS 2026'!O1236),'ENGAGEMENTS 2026'!AE1236))))</f>
        <v/>
      </c>
      <c r="K1236" s="604">
        <f>IF(ISBLANK('ENGAGEMENTS 2026'!W1236),"",'ENGAGEMENTS 2026'!W1236)</f>
        <v/>
      </c>
      <c r="L1236" s="276">
        <f>IF($K1236="","",TODAY()-$K1236)</f>
        <v/>
      </c>
      <c r="M1236">
        <f>IF($A1236="","",IF($H1236="ENGAGE","Engagé",IF(AND($H1236="NON ENGAGE",OR($I1236="INFRUCTUEUX",$I1236="ANNULE")),"Clôturé sans suite","En cours")))</f>
        <v/>
      </c>
      <c r="N1236">
        <f>IF(ISBLANK('ENGAGEMENTS 2026'!C1236),"",'ENGAGEMENTS 2026'!L1236)</f>
        <v/>
      </c>
      <c r="O1236">
        <f>IF(ISBLANK('ENGAGEMENTS 2026'!C1236),"",'ENGAGEMENTS 2026'!M1236)</f>
        <v/>
      </c>
      <c r="P1236">
        <f>IF(ISBLANK('ENGAGEMENTS 2026'!C1236),"",'ENGAGEMENTS 2026'!K1236)</f>
        <v/>
      </c>
      <c r="Q1236">
        <f>IF($A1236="","",IF(OR($E1236="INFRUCTUEUX",$E1236="ANNULE"),$A1236&amp;"|"&amp;(COUNTIFS($A$2:$A1236,$A1236,$E$2:$E1236,"INFRUCTUEUX")+COUNTIFS($A$2:$A1236,$A1236,$E$2:$E1236,"ANNULE")),""))</f>
        <v/>
      </c>
    </row>
    <row r="1237">
      <c r="A1237">
        <f>IF(ISBLANK('ENGAGEMENTS 2026'!C1237),"",IF('ENGAGEMENTS 2026'!C1237="DTSI","DCT",'ENGAGEMENTS 2026'!C1237))</f>
        <v/>
      </c>
      <c r="B1237">
        <f>IF(ISBLANK('ENGAGEMENTS 2026'!C1237),"",'ENGAGEMENTS 2026'!D1237)</f>
        <v/>
      </c>
      <c r="C1237">
        <f>IF(ISBLANK('ENGAGEMENTS 2026'!C1237),"",'ENGAGEMENTS 2026'!E1237)</f>
        <v/>
      </c>
      <c r="D1237">
        <f>IF(ISBLANK('ENGAGEMENTS 2026'!C1237),"",'ENGAGEMENTS 2026'!G1237)</f>
        <v/>
      </c>
      <c r="E1237">
        <f>IF(ISBLANK('ENGAGEMENTS 2026'!C1237),"",'ENGAGEMENTS 2026'!I1237)</f>
        <v/>
      </c>
      <c r="F1237">
        <f>IF(ISBLANK('ENGAGEMENTS 2026'!C1237),"",'ENGAGEMENTS 2026'!J1237)</f>
        <v/>
      </c>
      <c r="G1237">
        <f>IF(ISBLANK('ENGAGEMENTS 2026'!C1237),"",'ENGAGEMENTS 2026'!M1237)</f>
        <v/>
      </c>
      <c r="H1237">
        <f>IF(ISBLANK('ENGAGEMENTS 2026'!C1237),"",'ENGAGEMENTS 2026'!AF1237)</f>
        <v/>
      </c>
      <c r="I1237">
        <f>IF(ISBLANK('ENGAGEMENTS 2026'!C1237),"",'ENGAGEMENTS 2026'!H1237)</f>
        <v/>
      </c>
      <c r="J1237" s="275">
        <f>IF(ISBLANK('ENGAGEMENTS 2026'!C1237),"",IF(AND(OR($E1237="INFRUCTUEUX",$E1237="ANNULE"),$C1237="AOO-M"),'ENGAGEMENTS 2026'!P1237,IF($H1237="EN COURS DE PREENGAGEMENT",'ENGAGEMENTS 2026'!O1237,IF($H1237="PREENGAGE",IF($E1237="ATTRIBUE",'ENGAGEMENTS 2026'!AE1237,'ENGAGEMENTS 2026'!O1237),'ENGAGEMENTS 2026'!AE1237))))</f>
        <v/>
      </c>
      <c r="K1237" s="604">
        <f>IF(ISBLANK('ENGAGEMENTS 2026'!W1237),"",'ENGAGEMENTS 2026'!W1237)</f>
        <v/>
      </c>
      <c r="L1237" s="276">
        <f>IF($K1237="","",TODAY()-$K1237)</f>
        <v/>
      </c>
      <c r="M1237">
        <f>IF($A1237="","",IF($H1237="ENGAGE","Engagé",IF(AND($H1237="NON ENGAGE",OR($I1237="INFRUCTUEUX",$I1237="ANNULE")),"Clôturé sans suite","En cours")))</f>
        <v/>
      </c>
      <c r="N1237">
        <f>IF(ISBLANK('ENGAGEMENTS 2026'!C1237),"",'ENGAGEMENTS 2026'!L1237)</f>
        <v/>
      </c>
      <c r="O1237">
        <f>IF(ISBLANK('ENGAGEMENTS 2026'!C1237),"",'ENGAGEMENTS 2026'!M1237)</f>
        <v/>
      </c>
      <c r="P1237">
        <f>IF(ISBLANK('ENGAGEMENTS 2026'!C1237),"",'ENGAGEMENTS 2026'!K1237)</f>
        <v/>
      </c>
      <c r="Q1237">
        <f>IF($A1237="","",IF(OR($E1237="INFRUCTUEUX",$E1237="ANNULE"),$A1237&amp;"|"&amp;(COUNTIFS($A$2:$A1237,$A1237,$E$2:$E1237,"INFRUCTUEUX")+COUNTIFS($A$2:$A1237,$A1237,$E$2:$E1237,"ANNULE")),""))</f>
        <v/>
      </c>
    </row>
    <row r="1238">
      <c r="A1238">
        <f>IF(ISBLANK('ENGAGEMENTS 2026'!C1238),"",IF('ENGAGEMENTS 2026'!C1238="DTSI","DCT",'ENGAGEMENTS 2026'!C1238))</f>
        <v/>
      </c>
      <c r="B1238">
        <f>IF(ISBLANK('ENGAGEMENTS 2026'!C1238),"",'ENGAGEMENTS 2026'!D1238)</f>
        <v/>
      </c>
      <c r="C1238">
        <f>IF(ISBLANK('ENGAGEMENTS 2026'!C1238),"",'ENGAGEMENTS 2026'!E1238)</f>
        <v/>
      </c>
      <c r="D1238">
        <f>IF(ISBLANK('ENGAGEMENTS 2026'!C1238),"",'ENGAGEMENTS 2026'!G1238)</f>
        <v/>
      </c>
      <c r="E1238">
        <f>IF(ISBLANK('ENGAGEMENTS 2026'!C1238),"",'ENGAGEMENTS 2026'!I1238)</f>
        <v/>
      </c>
      <c r="F1238">
        <f>IF(ISBLANK('ENGAGEMENTS 2026'!C1238),"",'ENGAGEMENTS 2026'!J1238)</f>
        <v/>
      </c>
      <c r="G1238">
        <f>IF(ISBLANK('ENGAGEMENTS 2026'!C1238),"",'ENGAGEMENTS 2026'!M1238)</f>
        <v/>
      </c>
      <c r="H1238">
        <f>IF(ISBLANK('ENGAGEMENTS 2026'!C1238),"",'ENGAGEMENTS 2026'!AF1238)</f>
        <v/>
      </c>
      <c r="I1238">
        <f>IF(ISBLANK('ENGAGEMENTS 2026'!C1238),"",'ENGAGEMENTS 2026'!H1238)</f>
        <v/>
      </c>
      <c r="J1238" s="275">
        <f>IF(ISBLANK('ENGAGEMENTS 2026'!C1238),"",IF(AND(OR($E1238="INFRUCTUEUX",$E1238="ANNULE"),$C1238="AOO-M"),'ENGAGEMENTS 2026'!P1238,IF($H1238="EN COURS DE PREENGAGEMENT",'ENGAGEMENTS 2026'!O1238,IF($H1238="PREENGAGE",IF($E1238="ATTRIBUE",'ENGAGEMENTS 2026'!AE1238,'ENGAGEMENTS 2026'!O1238),'ENGAGEMENTS 2026'!AE1238))))</f>
        <v/>
      </c>
      <c r="K1238" s="604">
        <f>IF(ISBLANK('ENGAGEMENTS 2026'!W1238),"",'ENGAGEMENTS 2026'!W1238)</f>
        <v/>
      </c>
      <c r="L1238" s="276">
        <f>IF($K1238="","",TODAY()-$K1238)</f>
        <v/>
      </c>
      <c r="M1238">
        <f>IF($A1238="","",IF($H1238="ENGAGE","Engagé",IF(AND($H1238="NON ENGAGE",OR($I1238="INFRUCTUEUX",$I1238="ANNULE")),"Clôturé sans suite","En cours")))</f>
        <v/>
      </c>
      <c r="N1238">
        <f>IF(ISBLANK('ENGAGEMENTS 2026'!C1238),"",'ENGAGEMENTS 2026'!L1238)</f>
        <v/>
      </c>
      <c r="O1238">
        <f>IF(ISBLANK('ENGAGEMENTS 2026'!C1238),"",'ENGAGEMENTS 2026'!M1238)</f>
        <v/>
      </c>
      <c r="P1238">
        <f>IF(ISBLANK('ENGAGEMENTS 2026'!C1238),"",'ENGAGEMENTS 2026'!K1238)</f>
        <v/>
      </c>
      <c r="Q1238">
        <f>IF($A1238="","",IF(OR($E1238="INFRUCTUEUX",$E1238="ANNULE"),$A1238&amp;"|"&amp;(COUNTIFS($A$2:$A1238,$A1238,$E$2:$E1238,"INFRUCTUEUX")+COUNTIFS($A$2:$A1238,$A1238,$E$2:$E1238,"ANNULE")),""))</f>
        <v/>
      </c>
    </row>
    <row r="1239">
      <c r="A1239">
        <f>IF(ISBLANK('ENGAGEMENTS 2026'!C1239),"",IF('ENGAGEMENTS 2026'!C1239="DTSI","DCT",'ENGAGEMENTS 2026'!C1239))</f>
        <v/>
      </c>
      <c r="B1239">
        <f>IF(ISBLANK('ENGAGEMENTS 2026'!C1239),"",'ENGAGEMENTS 2026'!D1239)</f>
        <v/>
      </c>
      <c r="C1239">
        <f>IF(ISBLANK('ENGAGEMENTS 2026'!C1239),"",'ENGAGEMENTS 2026'!E1239)</f>
        <v/>
      </c>
      <c r="D1239">
        <f>IF(ISBLANK('ENGAGEMENTS 2026'!C1239),"",'ENGAGEMENTS 2026'!G1239)</f>
        <v/>
      </c>
      <c r="E1239">
        <f>IF(ISBLANK('ENGAGEMENTS 2026'!C1239),"",'ENGAGEMENTS 2026'!I1239)</f>
        <v/>
      </c>
      <c r="F1239">
        <f>IF(ISBLANK('ENGAGEMENTS 2026'!C1239),"",'ENGAGEMENTS 2026'!J1239)</f>
        <v/>
      </c>
      <c r="G1239">
        <f>IF(ISBLANK('ENGAGEMENTS 2026'!C1239),"",'ENGAGEMENTS 2026'!M1239)</f>
        <v/>
      </c>
      <c r="H1239">
        <f>IF(ISBLANK('ENGAGEMENTS 2026'!C1239),"",'ENGAGEMENTS 2026'!AF1239)</f>
        <v/>
      </c>
      <c r="I1239">
        <f>IF(ISBLANK('ENGAGEMENTS 2026'!C1239),"",'ENGAGEMENTS 2026'!H1239)</f>
        <v/>
      </c>
      <c r="J1239" s="275">
        <f>IF(ISBLANK('ENGAGEMENTS 2026'!C1239),"",IF(AND(OR($E1239="INFRUCTUEUX",$E1239="ANNULE"),$C1239="AOO-M"),'ENGAGEMENTS 2026'!P1239,IF($H1239="EN COURS DE PREENGAGEMENT",'ENGAGEMENTS 2026'!O1239,IF($H1239="PREENGAGE",IF($E1239="ATTRIBUE",'ENGAGEMENTS 2026'!AE1239,'ENGAGEMENTS 2026'!O1239),'ENGAGEMENTS 2026'!AE1239))))</f>
        <v/>
      </c>
      <c r="K1239" s="604">
        <f>IF(ISBLANK('ENGAGEMENTS 2026'!W1239),"",'ENGAGEMENTS 2026'!W1239)</f>
        <v/>
      </c>
      <c r="L1239" s="276">
        <f>IF($K1239="","",TODAY()-$K1239)</f>
        <v/>
      </c>
      <c r="M1239">
        <f>IF($A1239="","",IF($H1239="ENGAGE","Engagé",IF(AND($H1239="NON ENGAGE",OR($I1239="INFRUCTUEUX",$I1239="ANNULE")),"Clôturé sans suite","En cours")))</f>
        <v/>
      </c>
      <c r="N1239">
        <f>IF(ISBLANK('ENGAGEMENTS 2026'!C1239),"",'ENGAGEMENTS 2026'!L1239)</f>
        <v/>
      </c>
      <c r="O1239">
        <f>IF(ISBLANK('ENGAGEMENTS 2026'!C1239),"",'ENGAGEMENTS 2026'!M1239)</f>
        <v/>
      </c>
      <c r="P1239">
        <f>IF(ISBLANK('ENGAGEMENTS 2026'!C1239),"",'ENGAGEMENTS 2026'!K1239)</f>
        <v/>
      </c>
      <c r="Q1239">
        <f>IF($A1239="","",IF(OR($E1239="INFRUCTUEUX",$E1239="ANNULE"),$A1239&amp;"|"&amp;(COUNTIFS($A$2:$A1239,$A1239,$E$2:$E1239,"INFRUCTUEUX")+COUNTIFS($A$2:$A1239,$A1239,$E$2:$E1239,"ANNULE")),""))</f>
        <v/>
      </c>
    </row>
    <row r="1240">
      <c r="A1240">
        <f>IF(ISBLANK('ENGAGEMENTS 2026'!C1240),"",IF('ENGAGEMENTS 2026'!C1240="DTSI","DCT",'ENGAGEMENTS 2026'!C1240))</f>
        <v/>
      </c>
      <c r="B1240">
        <f>IF(ISBLANK('ENGAGEMENTS 2026'!C1240),"",'ENGAGEMENTS 2026'!D1240)</f>
        <v/>
      </c>
      <c r="C1240">
        <f>IF(ISBLANK('ENGAGEMENTS 2026'!C1240),"",'ENGAGEMENTS 2026'!E1240)</f>
        <v/>
      </c>
      <c r="D1240">
        <f>IF(ISBLANK('ENGAGEMENTS 2026'!C1240),"",'ENGAGEMENTS 2026'!G1240)</f>
        <v/>
      </c>
      <c r="E1240">
        <f>IF(ISBLANK('ENGAGEMENTS 2026'!C1240),"",'ENGAGEMENTS 2026'!I1240)</f>
        <v/>
      </c>
      <c r="F1240">
        <f>IF(ISBLANK('ENGAGEMENTS 2026'!C1240),"",'ENGAGEMENTS 2026'!J1240)</f>
        <v/>
      </c>
      <c r="G1240">
        <f>IF(ISBLANK('ENGAGEMENTS 2026'!C1240),"",'ENGAGEMENTS 2026'!M1240)</f>
        <v/>
      </c>
      <c r="H1240">
        <f>IF(ISBLANK('ENGAGEMENTS 2026'!C1240),"",'ENGAGEMENTS 2026'!AF1240)</f>
        <v/>
      </c>
      <c r="I1240">
        <f>IF(ISBLANK('ENGAGEMENTS 2026'!C1240),"",'ENGAGEMENTS 2026'!H1240)</f>
        <v/>
      </c>
      <c r="J1240" s="275">
        <f>IF(ISBLANK('ENGAGEMENTS 2026'!C1240),"",IF(AND(OR($E1240="INFRUCTUEUX",$E1240="ANNULE"),$C1240="AOO-M"),'ENGAGEMENTS 2026'!P1240,IF($H1240="EN COURS DE PREENGAGEMENT",'ENGAGEMENTS 2026'!O1240,IF($H1240="PREENGAGE",IF($E1240="ATTRIBUE",'ENGAGEMENTS 2026'!AE1240,'ENGAGEMENTS 2026'!O1240),'ENGAGEMENTS 2026'!AE1240))))</f>
        <v/>
      </c>
      <c r="K1240" s="604">
        <f>IF(ISBLANK('ENGAGEMENTS 2026'!W1240),"",'ENGAGEMENTS 2026'!W1240)</f>
        <v/>
      </c>
      <c r="L1240" s="276">
        <f>IF($K1240="","",TODAY()-$K1240)</f>
        <v/>
      </c>
      <c r="M1240">
        <f>IF($A1240="","",IF($H1240="ENGAGE","Engagé",IF(AND($H1240="NON ENGAGE",OR($I1240="INFRUCTUEUX",$I1240="ANNULE")),"Clôturé sans suite","En cours")))</f>
        <v/>
      </c>
      <c r="N1240">
        <f>IF(ISBLANK('ENGAGEMENTS 2026'!C1240),"",'ENGAGEMENTS 2026'!L1240)</f>
        <v/>
      </c>
      <c r="O1240">
        <f>IF(ISBLANK('ENGAGEMENTS 2026'!C1240),"",'ENGAGEMENTS 2026'!M1240)</f>
        <v/>
      </c>
      <c r="P1240">
        <f>IF(ISBLANK('ENGAGEMENTS 2026'!C1240),"",'ENGAGEMENTS 2026'!K1240)</f>
        <v/>
      </c>
      <c r="Q1240">
        <f>IF($A1240="","",IF(OR($E1240="INFRUCTUEUX",$E1240="ANNULE"),$A1240&amp;"|"&amp;(COUNTIFS($A$2:$A1240,$A1240,$E$2:$E1240,"INFRUCTUEUX")+COUNTIFS($A$2:$A1240,$A1240,$E$2:$E1240,"ANNULE")),""))</f>
        <v/>
      </c>
    </row>
    <row r="1241">
      <c r="A1241">
        <f>IF(ISBLANK('ENGAGEMENTS 2026'!C1241),"",IF('ENGAGEMENTS 2026'!C1241="DTSI","DCT",'ENGAGEMENTS 2026'!C1241))</f>
        <v/>
      </c>
      <c r="B1241">
        <f>IF(ISBLANK('ENGAGEMENTS 2026'!C1241),"",'ENGAGEMENTS 2026'!D1241)</f>
        <v/>
      </c>
      <c r="C1241">
        <f>IF(ISBLANK('ENGAGEMENTS 2026'!C1241),"",'ENGAGEMENTS 2026'!E1241)</f>
        <v/>
      </c>
      <c r="D1241">
        <f>IF(ISBLANK('ENGAGEMENTS 2026'!C1241),"",'ENGAGEMENTS 2026'!G1241)</f>
        <v/>
      </c>
      <c r="E1241">
        <f>IF(ISBLANK('ENGAGEMENTS 2026'!C1241),"",'ENGAGEMENTS 2026'!I1241)</f>
        <v/>
      </c>
      <c r="F1241">
        <f>IF(ISBLANK('ENGAGEMENTS 2026'!C1241),"",'ENGAGEMENTS 2026'!J1241)</f>
        <v/>
      </c>
      <c r="G1241">
        <f>IF(ISBLANK('ENGAGEMENTS 2026'!C1241),"",'ENGAGEMENTS 2026'!M1241)</f>
        <v/>
      </c>
      <c r="H1241">
        <f>IF(ISBLANK('ENGAGEMENTS 2026'!C1241),"",'ENGAGEMENTS 2026'!AF1241)</f>
        <v/>
      </c>
      <c r="I1241">
        <f>IF(ISBLANK('ENGAGEMENTS 2026'!C1241),"",'ENGAGEMENTS 2026'!H1241)</f>
        <v/>
      </c>
      <c r="J1241" s="275">
        <f>IF(ISBLANK('ENGAGEMENTS 2026'!C1241),"",IF(AND(OR($E1241="INFRUCTUEUX",$E1241="ANNULE"),$C1241="AOO-M"),'ENGAGEMENTS 2026'!P1241,IF($H1241="EN COURS DE PREENGAGEMENT",'ENGAGEMENTS 2026'!O1241,IF($H1241="PREENGAGE",IF($E1241="ATTRIBUE",'ENGAGEMENTS 2026'!AE1241,'ENGAGEMENTS 2026'!O1241),'ENGAGEMENTS 2026'!AE1241))))</f>
        <v/>
      </c>
      <c r="K1241" s="604">
        <f>IF(ISBLANK('ENGAGEMENTS 2026'!W1241),"",'ENGAGEMENTS 2026'!W1241)</f>
        <v/>
      </c>
      <c r="L1241" s="276">
        <f>IF($K1241="","",TODAY()-$K1241)</f>
        <v/>
      </c>
      <c r="M1241">
        <f>IF($A1241="","",IF($H1241="ENGAGE","Engagé",IF(AND($H1241="NON ENGAGE",OR($I1241="INFRUCTUEUX",$I1241="ANNULE")),"Clôturé sans suite","En cours")))</f>
        <v/>
      </c>
      <c r="N1241">
        <f>IF(ISBLANK('ENGAGEMENTS 2026'!C1241),"",'ENGAGEMENTS 2026'!L1241)</f>
        <v/>
      </c>
      <c r="O1241">
        <f>IF(ISBLANK('ENGAGEMENTS 2026'!C1241),"",'ENGAGEMENTS 2026'!M1241)</f>
        <v/>
      </c>
      <c r="P1241">
        <f>IF(ISBLANK('ENGAGEMENTS 2026'!C1241),"",'ENGAGEMENTS 2026'!K1241)</f>
        <v/>
      </c>
      <c r="Q1241">
        <f>IF($A1241="","",IF(OR($E1241="INFRUCTUEUX",$E1241="ANNULE"),$A1241&amp;"|"&amp;(COUNTIFS($A$2:$A1241,$A1241,$E$2:$E1241,"INFRUCTUEUX")+COUNTIFS($A$2:$A1241,$A1241,$E$2:$E1241,"ANNULE")),""))</f>
        <v/>
      </c>
    </row>
    <row r="1242">
      <c r="A1242">
        <f>IF(ISBLANK('ENGAGEMENTS 2026'!C1242),"",IF('ENGAGEMENTS 2026'!C1242="DTSI","DCT",'ENGAGEMENTS 2026'!C1242))</f>
        <v/>
      </c>
      <c r="B1242">
        <f>IF(ISBLANK('ENGAGEMENTS 2026'!C1242),"",'ENGAGEMENTS 2026'!D1242)</f>
        <v/>
      </c>
      <c r="C1242">
        <f>IF(ISBLANK('ENGAGEMENTS 2026'!C1242),"",'ENGAGEMENTS 2026'!E1242)</f>
        <v/>
      </c>
      <c r="D1242">
        <f>IF(ISBLANK('ENGAGEMENTS 2026'!C1242),"",'ENGAGEMENTS 2026'!G1242)</f>
        <v/>
      </c>
      <c r="E1242">
        <f>IF(ISBLANK('ENGAGEMENTS 2026'!C1242),"",'ENGAGEMENTS 2026'!I1242)</f>
        <v/>
      </c>
      <c r="F1242">
        <f>IF(ISBLANK('ENGAGEMENTS 2026'!C1242),"",'ENGAGEMENTS 2026'!J1242)</f>
        <v/>
      </c>
      <c r="G1242">
        <f>IF(ISBLANK('ENGAGEMENTS 2026'!C1242),"",'ENGAGEMENTS 2026'!M1242)</f>
        <v/>
      </c>
      <c r="H1242">
        <f>IF(ISBLANK('ENGAGEMENTS 2026'!C1242),"",'ENGAGEMENTS 2026'!AF1242)</f>
        <v/>
      </c>
      <c r="I1242">
        <f>IF(ISBLANK('ENGAGEMENTS 2026'!C1242),"",'ENGAGEMENTS 2026'!H1242)</f>
        <v/>
      </c>
      <c r="J1242" s="275">
        <f>IF(ISBLANK('ENGAGEMENTS 2026'!C1242),"",IF(AND(OR($E1242="INFRUCTUEUX",$E1242="ANNULE"),$C1242="AOO-M"),'ENGAGEMENTS 2026'!P1242,IF($H1242="EN COURS DE PREENGAGEMENT",'ENGAGEMENTS 2026'!O1242,IF($H1242="PREENGAGE",IF($E1242="ATTRIBUE",'ENGAGEMENTS 2026'!AE1242,'ENGAGEMENTS 2026'!O1242),'ENGAGEMENTS 2026'!AE1242))))</f>
        <v/>
      </c>
      <c r="K1242" s="604">
        <f>IF(ISBLANK('ENGAGEMENTS 2026'!W1242),"",'ENGAGEMENTS 2026'!W1242)</f>
        <v/>
      </c>
      <c r="L1242" s="276">
        <f>IF($K1242="","",TODAY()-$K1242)</f>
        <v/>
      </c>
      <c r="M1242">
        <f>IF($A1242="","",IF($H1242="ENGAGE","Engagé",IF(AND($H1242="NON ENGAGE",OR($I1242="INFRUCTUEUX",$I1242="ANNULE")),"Clôturé sans suite","En cours")))</f>
        <v/>
      </c>
      <c r="N1242">
        <f>IF(ISBLANK('ENGAGEMENTS 2026'!C1242),"",'ENGAGEMENTS 2026'!L1242)</f>
        <v/>
      </c>
      <c r="O1242">
        <f>IF(ISBLANK('ENGAGEMENTS 2026'!C1242),"",'ENGAGEMENTS 2026'!M1242)</f>
        <v/>
      </c>
      <c r="P1242">
        <f>IF(ISBLANK('ENGAGEMENTS 2026'!C1242),"",'ENGAGEMENTS 2026'!K1242)</f>
        <v/>
      </c>
      <c r="Q1242">
        <f>IF($A1242="","",IF(OR($E1242="INFRUCTUEUX",$E1242="ANNULE"),$A1242&amp;"|"&amp;(COUNTIFS($A$2:$A1242,$A1242,$E$2:$E1242,"INFRUCTUEUX")+COUNTIFS($A$2:$A1242,$A1242,$E$2:$E1242,"ANNULE")),""))</f>
        <v/>
      </c>
    </row>
    <row r="1243">
      <c r="A1243">
        <f>IF(ISBLANK('ENGAGEMENTS 2026'!C1243),"",IF('ENGAGEMENTS 2026'!C1243="DTSI","DCT",'ENGAGEMENTS 2026'!C1243))</f>
        <v/>
      </c>
      <c r="B1243">
        <f>IF(ISBLANK('ENGAGEMENTS 2026'!C1243),"",'ENGAGEMENTS 2026'!D1243)</f>
        <v/>
      </c>
      <c r="C1243">
        <f>IF(ISBLANK('ENGAGEMENTS 2026'!C1243),"",'ENGAGEMENTS 2026'!E1243)</f>
        <v/>
      </c>
      <c r="D1243">
        <f>IF(ISBLANK('ENGAGEMENTS 2026'!C1243),"",'ENGAGEMENTS 2026'!G1243)</f>
        <v/>
      </c>
      <c r="E1243">
        <f>IF(ISBLANK('ENGAGEMENTS 2026'!C1243),"",'ENGAGEMENTS 2026'!I1243)</f>
        <v/>
      </c>
      <c r="F1243">
        <f>IF(ISBLANK('ENGAGEMENTS 2026'!C1243),"",'ENGAGEMENTS 2026'!J1243)</f>
        <v/>
      </c>
      <c r="G1243">
        <f>IF(ISBLANK('ENGAGEMENTS 2026'!C1243),"",'ENGAGEMENTS 2026'!M1243)</f>
        <v/>
      </c>
      <c r="H1243">
        <f>IF(ISBLANK('ENGAGEMENTS 2026'!C1243),"",'ENGAGEMENTS 2026'!AF1243)</f>
        <v/>
      </c>
      <c r="I1243">
        <f>IF(ISBLANK('ENGAGEMENTS 2026'!C1243),"",'ENGAGEMENTS 2026'!H1243)</f>
        <v/>
      </c>
      <c r="J1243" s="275">
        <f>IF(ISBLANK('ENGAGEMENTS 2026'!C1243),"",IF(AND(OR($E1243="INFRUCTUEUX",$E1243="ANNULE"),$C1243="AOO-M"),'ENGAGEMENTS 2026'!P1243,IF($H1243="EN COURS DE PREENGAGEMENT",'ENGAGEMENTS 2026'!O1243,IF($H1243="PREENGAGE",IF($E1243="ATTRIBUE",'ENGAGEMENTS 2026'!AE1243,'ENGAGEMENTS 2026'!O1243),'ENGAGEMENTS 2026'!AE1243))))</f>
        <v/>
      </c>
      <c r="K1243" s="604">
        <f>IF(ISBLANK('ENGAGEMENTS 2026'!W1243),"",'ENGAGEMENTS 2026'!W1243)</f>
        <v/>
      </c>
      <c r="L1243" s="276">
        <f>IF($K1243="","",TODAY()-$K1243)</f>
        <v/>
      </c>
      <c r="M1243">
        <f>IF($A1243="","",IF($H1243="ENGAGE","Engagé",IF(AND($H1243="NON ENGAGE",OR($I1243="INFRUCTUEUX",$I1243="ANNULE")),"Clôturé sans suite","En cours")))</f>
        <v/>
      </c>
      <c r="N1243">
        <f>IF(ISBLANK('ENGAGEMENTS 2026'!C1243),"",'ENGAGEMENTS 2026'!L1243)</f>
        <v/>
      </c>
      <c r="O1243">
        <f>IF(ISBLANK('ENGAGEMENTS 2026'!C1243),"",'ENGAGEMENTS 2026'!M1243)</f>
        <v/>
      </c>
      <c r="P1243">
        <f>IF(ISBLANK('ENGAGEMENTS 2026'!C1243),"",'ENGAGEMENTS 2026'!K1243)</f>
        <v/>
      </c>
      <c r="Q1243">
        <f>IF($A1243="","",IF(OR($E1243="INFRUCTUEUX",$E1243="ANNULE"),$A1243&amp;"|"&amp;(COUNTIFS($A$2:$A1243,$A1243,$E$2:$E1243,"INFRUCTUEUX")+COUNTIFS($A$2:$A1243,$A1243,$E$2:$E1243,"ANNULE")),""))</f>
        <v/>
      </c>
    </row>
    <row r="1244">
      <c r="A1244">
        <f>IF(ISBLANK('ENGAGEMENTS 2026'!C1244),"",IF('ENGAGEMENTS 2026'!C1244="DTSI","DCT",'ENGAGEMENTS 2026'!C1244))</f>
        <v/>
      </c>
      <c r="B1244">
        <f>IF(ISBLANK('ENGAGEMENTS 2026'!C1244),"",'ENGAGEMENTS 2026'!D1244)</f>
        <v/>
      </c>
      <c r="C1244">
        <f>IF(ISBLANK('ENGAGEMENTS 2026'!C1244),"",'ENGAGEMENTS 2026'!E1244)</f>
        <v/>
      </c>
      <c r="D1244">
        <f>IF(ISBLANK('ENGAGEMENTS 2026'!C1244),"",'ENGAGEMENTS 2026'!G1244)</f>
        <v/>
      </c>
      <c r="E1244">
        <f>IF(ISBLANK('ENGAGEMENTS 2026'!C1244),"",'ENGAGEMENTS 2026'!I1244)</f>
        <v/>
      </c>
      <c r="F1244">
        <f>IF(ISBLANK('ENGAGEMENTS 2026'!C1244),"",'ENGAGEMENTS 2026'!J1244)</f>
        <v/>
      </c>
      <c r="G1244">
        <f>IF(ISBLANK('ENGAGEMENTS 2026'!C1244),"",'ENGAGEMENTS 2026'!M1244)</f>
        <v/>
      </c>
      <c r="H1244">
        <f>IF(ISBLANK('ENGAGEMENTS 2026'!C1244),"",'ENGAGEMENTS 2026'!AF1244)</f>
        <v/>
      </c>
      <c r="I1244">
        <f>IF(ISBLANK('ENGAGEMENTS 2026'!C1244),"",'ENGAGEMENTS 2026'!H1244)</f>
        <v/>
      </c>
      <c r="J1244" s="275">
        <f>IF(ISBLANK('ENGAGEMENTS 2026'!C1244),"",IF(AND(OR($E1244="INFRUCTUEUX",$E1244="ANNULE"),$C1244="AOO-M"),'ENGAGEMENTS 2026'!P1244,IF($H1244="EN COURS DE PREENGAGEMENT",'ENGAGEMENTS 2026'!O1244,IF($H1244="PREENGAGE",IF($E1244="ATTRIBUE",'ENGAGEMENTS 2026'!AE1244,'ENGAGEMENTS 2026'!O1244),'ENGAGEMENTS 2026'!AE1244))))</f>
        <v/>
      </c>
      <c r="K1244" s="604">
        <f>IF(ISBLANK('ENGAGEMENTS 2026'!W1244),"",'ENGAGEMENTS 2026'!W1244)</f>
        <v/>
      </c>
      <c r="L1244" s="276">
        <f>IF($K1244="","",TODAY()-$K1244)</f>
        <v/>
      </c>
      <c r="M1244">
        <f>IF($A1244="","",IF($H1244="ENGAGE","Engagé",IF(AND($H1244="NON ENGAGE",OR($I1244="INFRUCTUEUX",$I1244="ANNULE")),"Clôturé sans suite","En cours")))</f>
        <v/>
      </c>
      <c r="N1244">
        <f>IF(ISBLANK('ENGAGEMENTS 2026'!C1244),"",'ENGAGEMENTS 2026'!L1244)</f>
        <v/>
      </c>
      <c r="O1244">
        <f>IF(ISBLANK('ENGAGEMENTS 2026'!C1244),"",'ENGAGEMENTS 2026'!M1244)</f>
        <v/>
      </c>
      <c r="P1244">
        <f>IF(ISBLANK('ENGAGEMENTS 2026'!C1244),"",'ENGAGEMENTS 2026'!K1244)</f>
        <v/>
      </c>
      <c r="Q1244">
        <f>IF($A1244="","",IF(OR($E1244="INFRUCTUEUX",$E1244="ANNULE"),$A1244&amp;"|"&amp;(COUNTIFS($A$2:$A1244,$A1244,$E$2:$E1244,"INFRUCTUEUX")+COUNTIFS($A$2:$A1244,$A1244,$E$2:$E1244,"ANNULE")),""))</f>
        <v/>
      </c>
    </row>
    <row r="1245">
      <c r="A1245">
        <f>IF(ISBLANK('ENGAGEMENTS 2026'!C1245),"",IF('ENGAGEMENTS 2026'!C1245="DTSI","DCT",'ENGAGEMENTS 2026'!C1245))</f>
        <v/>
      </c>
      <c r="B1245">
        <f>IF(ISBLANK('ENGAGEMENTS 2026'!C1245),"",'ENGAGEMENTS 2026'!D1245)</f>
        <v/>
      </c>
      <c r="C1245">
        <f>IF(ISBLANK('ENGAGEMENTS 2026'!C1245),"",'ENGAGEMENTS 2026'!E1245)</f>
        <v/>
      </c>
      <c r="D1245">
        <f>IF(ISBLANK('ENGAGEMENTS 2026'!C1245),"",'ENGAGEMENTS 2026'!G1245)</f>
        <v/>
      </c>
      <c r="E1245">
        <f>IF(ISBLANK('ENGAGEMENTS 2026'!C1245),"",'ENGAGEMENTS 2026'!I1245)</f>
        <v/>
      </c>
      <c r="F1245">
        <f>IF(ISBLANK('ENGAGEMENTS 2026'!C1245),"",'ENGAGEMENTS 2026'!J1245)</f>
        <v/>
      </c>
      <c r="G1245">
        <f>IF(ISBLANK('ENGAGEMENTS 2026'!C1245),"",'ENGAGEMENTS 2026'!M1245)</f>
        <v/>
      </c>
      <c r="H1245">
        <f>IF(ISBLANK('ENGAGEMENTS 2026'!C1245),"",'ENGAGEMENTS 2026'!AF1245)</f>
        <v/>
      </c>
      <c r="I1245">
        <f>IF(ISBLANK('ENGAGEMENTS 2026'!C1245),"",'ENGAGEMENTS 2026'!H1245)</f>
        <v/>
      </c>
      <c r="J1245" s="275">
        <f>IF(ISBLANK('ENGAGEMENTS 2026'!C1245),"",IF(AND(OR($E1245="INFRUCTUEUX",$E1245="ANNULE"),$C1245="AOO-M"),'ENGAGEMENTS 2026'!P1245,IF($H1245="EN COURS DE PREENGAGEMENT",'ENGAGEMENTS 2026'!O1245,IF($H1245="PREENGAGE",IF($E1245="ATTRIBUE",'ENGAGEMENTS 2026'!AE1245,'ENGAGEMENTS 2026'!O1245),'ENGAGEMENTS 2026'!AE1245))))</f>
        <v/>
      </c>
      <c r="K1245" s="604">
        <f>IF(ISBLANK('ENGAGEMENTS 2026'!W1245),"",'ENGAGEMENTS 2026'!W1245)</f>
        <v/>
      </c>
      <c r="L1245" s="276">
        <f>IF($K1245="","",TODAY()-$K1245)</f>
        <v/>
      </c>
      <c r="M1245">
        <f>IF($A1245="","",IF($H1245="ENGAGE","Engagé",IF(AND($H1245="NON ENGAGE",OR($I1245="INFRUCTUEUX",$I1245="ANNULE")),"Clôturé sans suite","En cours")))</f>
        <v/>
      </c>
      <c r="N1245">
        <f>IF(ISBLANK('ENGAGEMENTS 2026'!C1245),"",'ENGAGEMENTS 2026'!L1245)</f>
        <v/>
      </c>
      <c r="O1245">
        <f>IF(ISBLANK('ENGAGEMENTS 2026'!C1245),"",'ENGAGEMENTS 2026'!M1245)</f>
        <v/>
      </c>
      <c r="P1245">
        <f>IF(ISBLANK('ENGAGEMENTS 2026'!C1245),"",'ENGAGEMENTS 2026'!K1245)</f>
        <v/>
      </c>
      <c r="Q1245">
        <f>IF($A1245="","",IF(OR($E1245="INFRUCTUEUX",$E1245="ANNULE"),$A1245&amp;"|"&amp;(COUNTIFS($A$2:$A1245,$A1245,$E$2:$E1245,"INFRUCTUEUX")+COUNTIFS($A$2:$A1245,$A1245,$E$2:$E1245,"ANNULE")),""))</f>
        <v/>
      </c>
    </row>
    <row r="1246">
      <c r="A1246">
        <f>IF(ISBLANK('ENGAGEMENTS 2026'!C1246),"",IF('ENGAGEMENTS 2026'!C1246="DTSI","DCT",'ENGAGEMENTS 2026'!C1246))</f>
        <v/>
      </c>
      <c r="B1246">
        <f>IF(ISBLANK('ENGAGEMENTS 2026'!C1246),"",'ENGAGEMENTS 2026'!D1246)</f>
        <v/>
      </c>
      <c r="C1246">
        <f>IF(ISBLANK('ENGAGEMENTS 2026'!C1246),"",'ENGAGEMENTS 2026'!E1246)</f>
        <v/>
      </c>
      <c r="D1246">
        <f>IF(ISBLANK('ENGAGEMENTS 2026'!C1246),"",'ENGAGEMENTS 2026'!G1246)</f>
        <v/>
      </c>
      <c r="E1246">
        <f>IF(ISBLANK('ENGAGEMENTS 2026'!C1246),"",'ENGAGEMENTS 2026'!I1246)</f>
        <v/>
      </c>
      <c r="F1246">
        <f>IF(ISBLANK('ENGAGEMENTS 2026'!C1246),"",'ENGAGEMENTS 2026'!J1246)</f>
        <v/>
      </c>
      <c r="G1246">
        <f>IF(ISBLANK('ENGAGEMENTS 2026'!C1246),"",'ENGAGEMENTS 2026'!M1246)</f>
        <v/>
      </c>
      <c r="H1246">
        <f>IF(ISBLANK('ENGAGEMENTS 2026'!C1246),"",'ENGAGEMENTS 2026'!AF1246)</f>
        <v/>
      </c>
      <c r="I1246">
        <f>IF(ISBLANK('ENGAGEMENTS 2026'!C1246),"",'ENGAGEMENTS 2026'!H1246)</f>
        <v/>
      </c>
      <c r="J1246" s="275">
        <f>IF(ISBLANK('ENGAGEMENTS 2026'!C1246),"",IF(AND(OR($E1246="INFRUCTUEUX",$E1246="ANNULE"),$C1246="AOO-M"),'ENGAGEMENTS 2026'!P1246,IF($H1246="EN COURS DE PREENGAGEMENT",'ENGAGEMENTS 2026'!O1246,IF($H1246="PREENGAGE",IF($E1246="ATTRIBUE",'ENGAGEMENTS 2026'!AE1246,'ENGAGEMENTS 2026'!O1246),'ENGAGEMENTS 2026'!AE1246))))</f>
        <v/>
      </c>
      <c r="K1246" s="604">
        <f>IF(ISBLANK('ENGAGEMENTS 2026'!W1246),"",'ENGAGEMENTS 2026'!W1246)</f>
        <v/>
      </c>
      <c r="L1246" s="276">
        <f>IF($K1246="","",TODAY()-$K1246)</f>
        <v/>
      </c>
      <c r="M1246">
        <f>IF($A1246="","",IF($H1246="ENGAGE","Engagé",IF(AND($H1246="NON ENGAGE",OR($I1246="INFRUCTUEUX",$I1246="ANNULE")),"Clôturé sans suite","En cours")))</f>
        <v/>
      </c>
      <c r="N1246">
        <f>IF(ISBLANK('ENGAGEMENTS 2026'!C1246),"",'ENGAGEMENTS 2026'!L1246)</f>
        <v/>
      </c>
      <c r="O1246">
        <f>IF(ISBLANK('ENGAGEMENTS 2026'!C1246),"",'ENGAGEMENTS 2026'!M1246)</f>
        <v/>
      </c>
      <c r="P1246">
        <f>IF(ISBLANK('ENGAGEMENTS 2026'!C1246),"",'ENGAGEMENTS 2026'!K1246)</f>
        <v/>
      </c>
      <c r="Q1246">
        <f>IF($A1246="","",IF(OR($E1246="INFRUCTUEUX",$E1246="ANNULE"),$A1246&amp;"|"&amp;(COUNTIFS($A$2:$A1246,$A1246,$E$2:$E1246,"INFRUCTUEUX")+COUNTIFS($A$2:$A1246,$A1246,$E$2:$E1246,"ANNULE")),""))</f>
        <v/>
      </c>
    </row>
    <row r="1247">
      <c r="A1247">
        <f>IF(ISBLANK('ENGAGEMENTS 2026'!C1247),"",IF('ENGAGEMENTS 2026'!C1247="DTSI","DCT",'ENGAGEMENTS 2026'!C1247))</f>
        <v/>
      </c>
      <c r="B1247">
        <f>IF(ISBLANK('ENGAGEMENTS 2026'!C1247),"",'ENGAGEMENTS 2026'!D1247)</f>
        <v/>
      </c>
      <c r="C1247">
        <f>IF(ISBLANK('ENGAGEMENTS 2026'!C1247),"",'ENGAGEMENTS 2026'!E1247)</f>
        <v/>
      </c>
      <c r="D1247">
        <f>IF(ISBLANK('ENGAGEMENTS 2026'!C1247),"",'ENGAGEMENTS 2026'!G1247)</f>
        <v/>
      </c>
      <c r="E1247">
        <f>IF(ISBLANK('ENGAGEMENTS 2026'!C1247),"",'ENGAGEMENTS 2026'!I1247)</f>
        <v/>
      </c>
      <c r="F1247">
        <f>IF(ISBLANK('ENGAGEMENTS 2026'!C1247),"",'ENGAGEMENTS 2026'!J1247)</f>
        <v/>
      </c>
      <c r="G1247">
        <f>IF(ISBLANK('ENGAGEMENTS 2026'!C1247),"",'ENGAGEMENTS 2026'!M1247)</f>
        <v/>
      </c>
      <c r="H1247">
        <f>IF(ISBLANK('ENGAGEMENTS 2026'!C1247),"",'ENGAGEMENTS 2026'!AF1247)</f>
        <v/>
      </c>
      <c r="I1247">
        <f>IF(ISBLANK('ENGAGEMENTS 2026'!C1247),"",'ENGAGEMENTS 2026'!H1247)</f>
        <v/>
      </c>
      <c r="J1247" s="275">
        <f>IF(ISBLANK('ENGAGEMENTS 2026'!C1247),"",IF(AND(OR($E1247="INFRUCTUEUX",$E1247="ANNULE"),$C1247="AOO-M"),'ENGAGEMENTS 2026'!P1247,IF($H1247="EN COURS DE PREENGAGEMENT",'ENGAGEMENTS 2026'!O1247,IF($H1247="PREENGAGE",IF($E1247="ATTRIBUE",'ENGAGEMENTS 2026'!AE1247,'ENGAGEMENTS 2026'!O1247),'ENGAGEMENTS 2026'!AE1247))))</f>
        <v/>
      </c>
      <c r="K1247" s="604">
        <f>IF(ISBLANK('ENGAGEMENTS 2026'!W1247),"",'ENGAGEMENTS 2026'!W1247)</f>
        <v/>
      </c>
      <c r="L1247" s="276">
        <f>IF($K1247="","",TODAY()-$K1247)</f>
        <v/>
      </c>
      <c r="M1247">
        <f>IF($A1247="","",IF($H1247="ENGAGE","Engagé",IF(AND($H1247="NON ENGAGE",OR($I1247="INFRUCTUEUX",$I1247="ANNULE")),"Clôturé sans suite","En cours")))</f>
        <v/>
      </c>
      <c r="N1247">
        <f>IF(ISBLANK('ENGAGEMENTS 2026'!C1247),"",'ENGAGEMENTS 2026'!L1247)</f>
        <v/>
      </c>
      <c r="O1247">
        <f>IF(ISBLANK('ENGAGEMENTS 2026'!C1247),"",'ENGAGEMENTS 2026'!M1247)</f>
        <v/>
      </c>
      <c r="P1247">
        <f>IF(ISBLANK('ENGAGEMENTS 2026'!C1247),"",'ENGAGEMENTS 2026'!K1247)</f>
        <v/>
      </c>
      <c r="Q1247">
        <f>IF($A1247="","",IF(OR($E1247="INFRUCTUEUX",$E1247="ANNULE"),$A1247&amp;"|"&amp;(COUNTIFS($A$2:$A1247,$A1247,$E$2:$E1247,"INFRUCTUEUX")+COUNTIFS($A$2:$A1247,$A1247,$E$2:$E1247,"ANNULE")),""))</f>
        <v/>
      </c>
    </row>
    <row r="1248">
      <c r="A1248">
        <f>IF(ISBLANK('ENGAGEMENTS 2026'!C1248),"",IF('ENGAGEMENTS 2026'!C1248="DTSI","DCT",'ENGAGEMENTS 2026'!C1248))</f>
        <v/>
      </c>
      <c r="B1248">
        <f>IF(ISBLANK('ENGAGEMENTS 2026'!C1248),"",'ENGAGEMENTS 2026'!D1248)</f>
        <v/>
      </c>
      <c r="C1248">
        <f>IF(ISBLANK('ENGAGEMENTS 2026'!C1248),"",'ENGAGEMENTS 2026'!E1248)</f>
        <v/>
      </c>
      <c r="D1248">
        <f>IF(ISBLANK('ENGAGEMENTS 2026'!C1248),"",'ENGAGEMENTS 2026'!G1248)</f>
        <v/>
      </c>
      <c r="E1248">
        <f>IF(ISBLANK('ENGAGEMENTS 2026'!C1248),"",'ENGAGEMENTS 2026'!I1248)</f>
        <v/>
      </c>
      <c r="F1248">
        <f>IF(ISBLANK('ENGAGEMENTS 2026'!C1248),"",'ENGAGEMENTS 2026'!J1248)</f>
        <v/>
      </c>
      <c r="G1248">
        <f>IF(ISBLANK('ENGAGEMENTS 2026'!C1248),"",'ENGAGEMENTS 2026'!M1248)</f>
        <v/>
      </c>
      <c r="H1248">
        <f>IF(ISBLANK('ENGAGEMENTS 2026'!C1248),"",'ENGAGEMENTS 2026'!AF1248)</f>
        <v/>
      </c>
      <c r="I1248">
        <f>IF(ISBLANK('ENGAGEMENTS 2026'!C1248),"",'ENGAGEMENTS 2026'!H1248)</f>
        <v/>
      </c>
      <c r="J1248" s="275">
        <f>IF(ISBLANK('ENGAGEMENTS 2026'!C1248),"",IF(AND(OR($E1248="INFRUCTUEUX",$E1248="ANNULE"),$C1248="AOO-M"),'ENGAGEMENTS 2026'!P1248,IF($H1248="EN COURS DE PREENGAGEMENT",'ENGAGEMENTS 2026'!O1248,IF($H1248="PREENGAGE",IF($E1248="ATTRIBUE",'ENGAGEMENTS 2026'!AE1248,'ENGAGEMENTS 2026'!O1248),'ENGAGEMENTS 2026'!AE1248))))</f>
        <v/>
      </c>
      <c r="K1248" s="604">
        <f>IF(ISBLANK('ENGAGEMENTS 2026'!W1248),"",'ENGAGEMENTS 2026'!W1248)</f>
        <v/>
      </c>
      <c r="L1248" s="276">
        <f>IF($K1248="","",TODAY()-$K1248)</f>
        <v/>
      </c>
      <c r="M1248">
        <f>IF($A1248="","",IF($H1248="ENGAGE","Engagé",IF(AND($H1248="NON ENGAGE",OR($I1248="INFRUCTUEUX",$I1248="ANNULE")),"Clôturé sans suite","En cours")))</f>
        <v/>
      </c>
      <c r="N1248">
        <f>IF(ISBLANK('ENGAGEMENTS 2026'!C1248),"",'ENGAGEMENTS 2026'!L1248)</f>
        <v/>
      </c>
      <c r="O1248">
        <f>IF(ISBLANK('ENGAGEMENTS 2026'!C1248),"",'ENGAGEMENTS 2026'!M1248)</f>
        <v/>
      </c>
      <c r="P1248">
        <f>IF(ISBLANK('ENGAGEMENTS 2026'!C1248),"",'ENGAGEMENTS 2026'!K1248)</f>
        <v/>
      </c>
      <c r="Q1248">
        <f>IF($A1248="","",IF(OR($E1248="INFRUCTUEUX",$E1248="ANNULE"),$A1248&amp;"|"&amp;(COUNTIFS($A$2:$A1248,$A1248,$E$2:$E1248,"INFRUCTUEUX")+COUNTIFS($A$2:$A1248,$A1248,$E$2:$E1248,"ANNULE")),""))</f>
        <v/>
      </c>
    </row>
    <row r="1249">
      <c r="A1249">
        <f>IF(ISBLANK('ENGAGEMENTS 2026'!C1249),"",IF('ENGAGEMENTS 2026'!C1249="DTSI","DCT",'ENGAGEMENTS 2026'!C1249))</f>
        <v/>
      </c>
      <c r="B1249">
        <f>IF(ISBLANK('ENGAGEMENTS 2026'!C1249),"",'ENGAGEMENTS 2026'!D1249)</f>
        <v/>
      </c>
      <c r="C1249">
        <f>IF(ISBLANK('ENGAGEMENTS 2026'!C1249),"",'ENGAGEMENTS 2026'!E1249)</f>
        <v/>
      </c>
      <c r="D1249">
        <f>IF(ISBLANK('ENGAGEMENTS 2026'!C1249),"",'ENGAGEMENTS 2026'!G1249)</f>
        <v/>
      </c>
      <c r="E1249">
        <f>IF(ISBLANK('ENGAGEMENTS 2026'!C1249),"",'ENGAGEMENTS 2026'!I1249)</f>
        <v/>
      </c>
      <c r="F1249">
        <f>IF(ISBLANK('ENGAGEMENTS 2026'!C1249),"",'ENGAGEMENTS 2026'!J1249)</f>
        <v/>
      </c>
      <c r="G1249">
        <f>IF(ISBLANK('ENGAGEMENTS 2026'!C1249),"",'ENGAGEMENTS 2026'!M1249)</f>
        <v/>
      </c>
      <c r="H1249">
        <f>IF(ISBLANK('ENGAGEMENTS 2026'!C1249),"",'ENGAGEMENTS 2026'!AF1249)</f>
        <v/>
      </c>
      <c r="I1249">
        <f>IF(ISBLANK('ENGAGEMENTS 2026'!C1249),"",'ENGAGEMENTS 2026'!H1249)</f>
        <v/>
      </c>
      <c r="J1249" s="275">
        <f>IF(ISBLANK('ENGAGEMENTS 2026'!C1249),"",IF(AND(OR($E1249="INFRUCTUEUX",$E1249="ANNULE"),$C1249="AOO-M"),'ENGAGEMENTS 2026'!P1249,IF($H1249="EN COURS DE PREENGAGEMENT",'ENGAGEMENTS 2026'!O1249,IF($H1249="PREENGAGE",IF($E1249="ATTRIBUE",'ENGAGEMENTS 2026'!AE1249,'ENGAGEMENTS 2026'!O1249),'ENGAGEMENTS 2026'!AE1249))))</f>
        <v/>
      </c>
      <c r="K1249" s="604">
        <f>IF(ISBLANK('ENGAGEMENTS 2026'!W1249),"",'ENGAGEMENTS 2026'!W1249)</f>
        <v/>
      </c>
      <c r="L1249" s="276">
        <f>IF($K1249="","",TODAY()-$K1249)</f>
        <v/>
      </c>
      <c r="M1249">
        <f>IF($A1249="","",IF($H1249="ENGAGE","Engagé",IF(AND($H1249="NON ENGAGE",OR($I1249="INFRUCTUEUX",$I1249="ANNULE")),"Clôturé sans suite","En cours")))</f>
        <v/>
      </c>
      <c r="N1249">
        <f>IF(ISBLANK('ENGAGEMENTS 2026'!C1249),"",'ENGAGEMENTS 2026'!L1249)</f>
        <v/>
      </c>
      <c r="O1249">
        <f>IF(ISBLANK('ENGAGEMENTS 2026'!C1249),"",'ENGAGEMENTS 2026'!M1249)</f>
        <v/>
      </c>
      <c r="P1249">
        <f>IF(ISBLANK('ENGAGEMENTS 2026'!C1249),"",'ENGAGEMENTS 2026'!K1249)</f>
        <v/>
      </c>
      <c r="Q1249">
        <f>IF($A1249="","",IF(OR($E1249="INFRUCTUEUX",$E1249="ANNULE"),$A1249&amp;"|"&amp;(COUNTIFS($A$2:$A1249,$A1249,$E$2:$E1249,"INFRUCTUEUX")+COUNTIFS($A$2:$A1249,$A1249,$E$2:$E1249,"ANNULE")),""))</f>
        <v/>
      </c>
    </row>
    <row r="1250">
      <c r="A1250">
        <f>IF(ISBLANK('ENGAGEMENTS 2026'!C1250),"",IF('ENGAGEMENTS 2026'!C1250="DTSI","DCT",'ENGAGEMENTS 2026'!C1250))</f>
        <v/>
      </c>
      <c r="B1250">
        <f>IF(ISBLANK('ENGAGEMENTS 2026'!C1250),"",'ENGAGEMENTS 2026'!D1250)</f>
        <v/>
      </c>
      <c r="C1250">
        <f>IF(ISBLANK('ENGAGEMENTS 2026'!C1250),"",'ENGAGEMENTS 2026'!E1250)</f>
        <v/>
      </c>
      <c r="D1250">
        <f>IF(ISBLANK('ENGAGEMENTS 2026'!C1250),"",'ENGAGEMENTS 2026'!G1250)</f>
        <v/>
      </c>
      <c r="E1250">
        <f>IF(ISBLANK('ENGAGEMENTS 2026'!C1250),"",'ENGAGEMENTS 2026'!I1250)</f>
        <v/>
      </c>
      <c r="F1250">
        <f>IF(ISBLANK('ENGAGEMENTS 2026'!C1250),"",'ENGAGEMENTS 2026'!J1250)</f>
        <v/>
      </c>
      <c r="G1250">
        <f>IF(ISBLANK('ENGAGEMENTS 2026'!C1250),"",'ENGAGEMENTS 2026'!M1250)</f>
        <v/>
      </c>
      <c r="H1250">
        <f>IF(ISBLANK('ENGAGEMENTS 2026'!C1250),"",'ENGAGEMENTS 2026'!AF1250)</f>
        <v/>
      </c>
      <c r="I1250">
        <f>IF(ISBLANK('ENGAGEMENTS 2026'!C1250),"",'ENGAGEMENTS 2026'!H1250)</f>
        <v/>
      </c>
      <c r="J1250" s="275">
        <f>IF(ISBLANK('ENGAGEMENTS 2026'!C1250),"",IF(AND(OR($E1250="INFRUCTUEUX",$E1250="ANNULE"),$C1250="AOO-M"),'ENGAGEMENTS 2026'!P1250,IF($H1250="EN COURS DE PREENGAGEMENT",'ENGAGEMENTS 2026'!O1250,IF($H1250="PREENGAGE",IF($E1250="ATTRIBUE",'ENGAGEMENTS 2026'!AE1250,'ENGAGEMENTS 2026'!O1250),'ENGAGEMENTS 2026'!AE1250))))</f>
        <v/>
      </c>
      <c r="K1250" s="604">
        <f>IF(ISBLANK('ENGAGEMENTS 2026'!W1250),"",'ENGAGEMENTS 2026'!W1250)</f>
        <v/>
      </c>
      <c r="L1250" s="276">
        <f>IF($K1250="","",TODAY()-$K1250)</f>
        <v/>
      </c>
      <c r="M1250">
        <f>IF($A1250="","",IF($H1250="ENGAGE","Engagé",IF(AND($H1250="NON ENGAGE",OR($I1250="INFRUCTUEUX",$I1250="ANNULE")),"Clôturé sans suite","En cours")))</f>
        <v/>
      </c>
      <c r="N1250">
        <f>IF(ISBLANK('ENGAGEMENTS 2026'!C1250),"",'ENGAGEMENTS 2026'!L1250)</f>
        <v/>
      </c>
      <c r="O1250">
        <f>IF(ISBLANK('ENGAGEMENTS 2026'!C1250),"",'ENGAGEMENTS 2026'!M1250)</f>
        <v/>
      </c>
      <c r="P1250">
        <f>IF(ISBLANK('ENGAGEMENTS 2026'!C1250),"",'ENGAGEMENTS 2026'!K1250)</f>
        <v/>
      </c>
      <c r="Q1250">
        <f>IF($A1250="","",IF(OR($E1250="INFRUCTUEUX",$E1250="ANNULE"),$A1250&amp;"|"&amp;(COUNTIFS($A$2:$A1250,$A1250,$E$2:$E1250,"INFRUCTUEUX")+COUNTIFS($A$2:$A1250,$A1250,$E$2:$E1250,"ANNULE")),""))</f>
        <v/>
      </c>
    </row>
    <row r="1251">
      <c r="A1251">
        <f>IF(ISBLANK('ENGAGEMENTS 2026'!C1251),"",IF('ENGAGEMENTS 2026'!C1251="DTSI","DCT",'ENGAGEMENTS 2026'!C1251))</f>
        <v/>
      </c>
      <c r="B1251">
        <f>IF(ISBLANK('ENGAGEMENTS 2026'!C1251),"",'ENGAGEMENTS 2026'!D1251)</f>
        <v/>
      </c>
      <c r="C1251">
        <f>IF(ISBLANK('ENGAGEMENTS 2026'!C1251),"",'ENGAGEMENTS 2026'!E1251)</f>
        <v/>
      </c>
      <c r="D1251">
        <f>IF(ISBLANK('ENGAGEMENTS 2026'!C1251),"",'ENGAGEMENTS 2026'!G1251)</f>
        <v/>
      </c>
      <c r="E1251">
        <f>IF(ISBLANK('ENGAGEMENTS 2026'!C1251),"",'ENGAGEMENTS 2026'!I1251)</f>
        <v/>
      </c>
      <c r="F1251">
        <f>IF(ISBLANK('ENGAGEMENTS 2026'!C1251),"",'ENGAGEMENTS 2026'!J1251)</f>
        <v/>
      </c>
      <c r="G1251">
        <f>IF(ISBLANK('ENGAGEMENTS 2026'!C1251),"",'ENGAGEMENTS 2026'!M1251)</f>
        <v/>
      </c>
      <c r="H1251">
        <f>IF(ISBLANK('ENGAGEMENTS 2026'!C1251),"",'ENGAGEMENTS 2026'!AF1251)</f>
        <v/>
      </c>
      <c r="I1251">
        <f>IF(ISBLANK('ENGAGEMENTS 2026'!C1251),"",'ENGAGEMENTS 2026'!H1251)</f>
        <v/>
      </c>
      <c r="J1251" s="275">
        <f>IF(ISBLANK('ENGAGEMENTS 2026'!C1251),"",IF(AND(OR($E1251="INFRUCTUEUX",$E1251="ANNULE"),$C1251="AOO-M"),'ENGAGEMENTS 2026'!P1251,IF($H1251="EN COURS DE PREENGAGEMENT",'ENGAGEMENTS 2026'!O1251,IF($H1251="PREENGAGE",IF($E1251="ATTRIBUE",'ENGAGEMENTS 2026'!AE1251,'ENGAGEMENTS 2026'!O1251),'ENGAGEMENTS 2026'!AE1251))))</f>
        <v/>
      </c>
      <c r="K1251" s="604">
        <f>IF(ISBLANK('ENGAGEMENTS 2026'!W1251),"",'ENGAGEMENTS 2026'!W1251)</f>
        <v/>
      </c>
      <c r="L1251" s="276">
        <f>IF($K1251="","",TODAY()-$K1251)</f>
        <v/>
      </c>
      <c r="M1251">
        <f>IF($A1251="","",IF($H1251="ENGAGE","Engagé",IF(AND($H1251="NON ENGAGE",OR($I1251="INFRUCTUEUX",$I1251="ANNULE")),"Clôturé sans suite","En cours")))</f>
        <v/>
      </c>
      <c r="N1251">
        <f>IF(ISBLANK('ENGAGEMENTS 2026'!C1251),"",'ENGAGEMENTS 2026'!L1251)</f>
        <v/>
      </c>
      <c r="O1251">
        <f>IF(ISBLANK('ENGAGEMENTS 2026'!C1251),"",'ENGAGEMENTS 2026'!M1251)</f>
        <v/>
      </c>
      <c r="P1251">
        <f>IF(ISBLANK('ENGAGEMENTS 2026'!C1251),"",'ENGAGEMENTS 2026'!K1251)</f>
        <v/>
      </c>
      <c r="Q1251">
        <f>IF($A1251="","",IF(OR($E1251="INFRUCTUEUX",$E1251="ANNULE"),$A1251&amp;"|"&amp;(COUNTIFS($A$2:$A1251,$A1251,$E$2:$E1251,"INFRUCTUEUX")+COUNTIFS($A$2:$A1251,$A1251,$E$2:$E1251,"ANNULE")),""))</f>
        <v/>
      </c>
    </row>
    <row r="1252">
      <c r="A1252">
        <f>IF(ISBLANK('ENGAGEMENTS 2026'!C1252),"",IF('ENGAGEMENTS 2026'!C1252="DTSI","DCT",'ENGAGEMENTS 2026'!C1252))</f>
        <v/>
      </c>
      <c r="B1252">
        <f>IF(ISBLANK('ENGAGEMENTS 2026'!C1252),"",'ENGAGEMENTS 2026'!D1252)</f>
        <v/>
      </c>
      <c r="C1252">
        <f>IF(ISBLANK('ENGAGEMENTS 2026'!C1252),"",'ENGAGEMENTS 2026'!E1252)</f>
        <v/>
      </c>
      <c r="D1252">
        <f>IF(ISBLANK('ENGAGEMENTS 2026'!C1252),"",'ENGAGEMENTS 2026'!G1252)</f>
        <v/>
      </c>
      <c r="E1252">
        <f>IF(ISBLANK('ENGAGEMENTS 2026'!C1252),"",'ENGAGEMENTS 2026'!I1252)</f>
        <v/>
      </c>
      <c r="F1252">
        <f>IF(ISBLANK('ENGAGEMENTS 2026'!C1252),"",'ENGAGEMENTS 2026'!J1252)</f>
        <v/>
      </c>
      <c r="G1252">
        <f>IF(ISBLANK('ENGAGEMENTS 2026'!C1252),"",'ENGAGEMENTS 2026'!M1252)</f>
        <v/>
      </c>
      <c r="H1252">
        <f>IF(ISBLANK('ENGAGEMENTS 2026'!C1252),"",'ENGAGEMENTS 2026'!AF1252)</f>
        <v/>
      </c>
      <c r="I1252">
        <f>IF(ISBLANK('ENGAGEMENTS 2026'!C1252),"",'ENGAGEMENTS 2026'!H1252)</f>
        <v/>
      </c>
      <c r="J1252" s="275">
        <f>IF(ISBLANK('ENGAGEMENTS 2026'!C1252),"",IF(AND(OR($E1252="INFRUCTUEUX",$E1252="ANNULE"),$C1252="AOO-M"),'ENGAGEMENTS 2026'!P1252,IF($H1252="EN COURS DE PREENGAGEMENT",'ENGAGEMENTS 2026'!O1252,IF($H1252="PREENGAGE",IF($E1252="ATTRIBUE",'ENGAGEMENTS 2026'!AE1252,'ENGAGEMENTS 2026'!O1252),'ENGAGEMENTS 2026'!AE1252))))</f>
        <v/>
      </c>
      <c r="K1252" s="604">
        <f>IF(ISBLANK('ENGAGEMENTS 2026'!W1252),"",'ENGAGEMENTS 2026'!W1252)</f>
        <v/>
      </c>
      <c r="L1252" s="276">
        <f>IF($K1252="","",TODAY()-$K1252)</f>
        <v/>
      </c>
      <c r="M1252">
        <f>IF($A1252="","",IF($H1252="ENGAGE","Engagé",IF(AND($H1252="NON ENGAGE",OR($I1252="INFRUCTUEUX",$I1252="ANNULE")),"Clôturé sans suite","En cours")))</f>
        <v/>
      </c>
      <c r="N1252">
        <f>IF(ISBLANK('ENGAGEMENTS 2026'!C1252),"",'ENGAGEMENTS 2026'!L1252)</f>
        <v/>
      </c>
      <c r="O1252">
        <f>IF(ISBLANK('ENGAGEMENTS 2026'!C1252),"",'ENGAGEMENTS 2026'!M1252)</f>
        <v/>
      </c>
      <c r="P1252">
        <f>IF(ISBLANK('ENGAGEMENTS 2026'!C1252),"",'ENGAGEMENTS 2026'!K1252)</f>
        <v/>
      </c>
      <c r="Q1252">
        <f>IF($A1252="","",IF(OR($E1252="INFRUCTUEUX",$E1252="ANNULE"),$A1252&amp;"|"&amp;(COUNTIFS($A$2:$A1252,$A1252,$E$2:$E1252,"INFRUCTUEUX")+COUNTIFS($A$2:$A1252,$A1252,$E$2:$E1252,"ANNULE")),""))</f>
        <v/>
      </c>
    </row>
    <row r="1253">
      <c r="A1253">
        <f>IF(ISBLANK('ENGAGEMENTS 2026'!C1253),"",IF('ENGAGEMENTS 2026'!C1253="DTSI","DCT",'ENGAGEMENTS 2026'!C1253))</f>
        <v/>
      </c>
      <c r="B1253">
        <f>IF(ISBLANK('ENGAGEMENTS 2026'!C1253),"",'ENGAGEMENTS 2026'!D1253)</f>
        <v/>
      </c>
      <c r="C1253">
        <f>IF(ISBLANK('ENGAGEMENTS 2026'!C1253),"",'ENGAGEMENTS 2026'!E1253)</f>
        <v/>
      </c>
      <c r="D1253">
        <f>IF(ISBLANK('ENGAGEMENTS 2026'!C1253),"",'ENGAGEMENTS 2026'!G1253)</f>
        <v/>
      </c>
      <c r="E1253">
        <f>IF(ISBLANK('ENGAGEMENTS 2026'!C1253),"",'ENGAGEMENTS 2026'!I1253)</f>
        <v/>
      </c>
      <c r="F1253">
        <f>IF(ISBLANK('ENGAGEMENTS 2026'!C1253),"",'ENGAGEMENTS 2026'!J1253)</f>
        <v/>
      </c>
      <c r="G1253">
        <f>IF(ISBLANK('ENGAGEMENTS 2026'!C1253),"",'ENGAGEMENTS 2026'!M1253)</f>
        <v/>
      </c>
      <c r="H1253">
        <f>IF(ISBLANK('ENGAGEMENTS 2026'!C1253),"",'ENGAGEMENTS 2026'!AF1253)</f>
        <v/>
      </c>
      <c r="I1253">
        <f>IF(ISBLANK('ENGAGEMENTS 2026'!C1253),"",'ENGAGEMENTS 2026'!H1253)</f>
        <v/>
      </c>
      <c r="J1253" s="275">
        <f>IF(ISBLANK('ENGAGEMENTS 2026'!C1253),"",IF(AND(OR($E1253="INFRUCTUEUX",$E1253="ANNULE"),$C1253="AOO-M"),'ENGAGEMENTS 2026'!P1253,IF($H1253="EN COURS DE PREENGAGEMENT",'ENGAGEMENTS 2026'!O1253,IF($H1253="PREENGAGE",IF($E1253="ATTRIBUE",'ENGAGEMENTS 2026'!AE1253,'ENGAGEMENTS 2026'!O1253),'ENGAGEMENTS 2026'!AE1253))))</f>
        <v/>
      </c>
      <c r="K1253" s="604">
        <f>IF(ISBLANK('ENGAGEMENTS 2026'!W1253),"",'ENGAGEMENTS 2026'!W1253)</f>
        <v/>
      </c>
      <c r="L1253" s="276">
        <f>IF($K1253="","",TODAY()-$K1253)</f>
        <v/>
      </c>
      <c r="M1253">
        <f>IF($A1253="","",IF($H1253="ENGAGE","Engagé",IF(AND($H1253="NON ENGAGE",OR($I1253="INFRUCTUEUX",$I1253="ANNULE")),"Clôturé sans suite","En cours")))</f>
        <v/>
      </c>
      <c r="N1253">
        <f>IF(ISBLANK('ENGAGEMENTS 2026'!C1253),"",'ENGAGEMENTS 2026'!L1253)</f>
        <v/>
      </c>
      <c r="O1253">
        <f>IF(ISBLANK('ENGAGEMENTS 2026'!C1253),"",'ENGAGEMENTS 2026'!M1253)</f>
        <v/>
      </c>
      <c r="P1253">
        <f>IF(ISBLANK('ENGAGEMENTS 2026'!C1253),"",'ENGAGEMENTS 2026'!K1253)</f>
        <v/>
      </c>
      <c r="Q1253">
        <f>IF($A1253="","",IF(OR($E1253="INFRUCTUEUX",$E1253="ANNULE"),$A1253&amp;"|"&amp;(COUNTIFS($A$2:$A1253,$A1253,$E$2:$E1253,"INFRUCTUEUX")+COUNTIFS($A$2:$A1253,$A1253,$E$2:$E1253,"ANNULE")),""))</f>
        <v/>
      </c>
    </row>
    <row r="1254">
      <c r="A1254">
        <f>IF(ISBLANK('ENGAGEMENTS 2026'!C1254),"",IF('ENGAGEMENTS 2026'!C1254="DTSI","DCT",'ENGAGEMENTS 2026'!C1254))</f>
        <v/>
      </c>
      <c r="B1254">
        <f>IF(ISBLANK('ENGAGEMENTS 2026'!C1254),"",'ENGAGEMENTS 2026'!D1254)</f>
        <v/>
      </c>
      <c r="C1254">
        <f>IF(ISBLANK('ENGAGEMENTS 2026'!C1254),"",'ENGAGEMENTS 2026'!E1254)</f>
        <v/>
      </c>
      <c r="D1254">
        <f>IF(ISBLANK('ENGAGEMENTS 2026'!C1254),"",'ENGAGEMENTS 2026'!G1254)</f>
        <v/>
      </c>
      <c r="E1254">
        <f>IF(ISBLANK('ENGAGEMENTS 2026'!C1254),"",'ENGAGEMENTS 2026'!I1254)</f>
        <v/>
      </c>
      <c r="F1254">
        <f>IF(ISBLANK('ENGAGEMENTS 2026'!C1254),"",'ENGAGEMENTS 2026'!J1254)</f>
        <v/>
      </c>
      <c r="G1254">
        <f>IF(ISBLANK('ENGAGEMENTS 2026'!C1254),"",'ENGAGEMENTS 2026'!M1254)</f>
        <v/>
      </c>
      <c r="H1254">
        <f>IF(ISBLANK('ENGAGEMENTS 2026'!C1254),"",'ENGAGEMENTS 2026'!AF1254)</f>
        <v/>
      </c>
      <c r="I1254">
        <f>IF(ISBLANK('ENGAGEMENTS 2026'!C1254),"",'ENGAGEMENTS 2026'!H1254)</f>
        <v/>
      </c>
      <c r="J1254" s="275">
        <f>IF(ISBLANK('ENGAGEMENTS 2026'!C1254),"",IF(AND(OR($E1254="INFRUCTUEUX",$E1254="ANNULE"),$C1254="AOO-M"),'ENGAGEMENTS 2026'!P1254,IF($H1254="EN COURS DE PREENGAGEMENT",'ENGAGEMENTS 2026'!O1254,IF($H1254="PREENGAGE",IF($E1254="ATTRIBUE",'ENGAGEMENTS 2026'!AE1254,'ENGAGEMENTS 2026'!O1254),'ENGAGEMENTS 2026'!AE1254))))</f>
        <v/>
      </c>
      <c r="K1254" s="604">
        <f>IF(ISBLANK('ENGAGEMENTS 2026'!W1254),"",'ENGAGEMENTS 2026'!W1254)</f>
        <v/>
      </c>
      <c r="L1254" s="276">
        <f>IF($K1254="","",TODAY()-$K1254)</f>
        <v/>
      </c>
      <c r="M1254">
        <f>IF($A1254="","",IF($H1254="ENGAGE","Engagé",IF(AND($H1254="NON ENGAGE",OR($I1254="INFRUCTUEUX",$I1254="ANNULE")),"Clôturé sans suite","En cours")))</f>
        <v/>
      </c>
      <c r="N1254">
        <f>IF(ISBLANK('ENGAGEMENTS 2026'!C1254),"",'ENGAGEMENTS 2026'!L1254)</f>
        <v/>
      </c>
      <c r="O1254">
        <f>IF(ISBLANK('ENGAGEMENTS 2026'!C1254),"",'ENGAGEMENTS 2026'!M1254)</f>
        <v/>
      </c>
      <c r="P1254">
        <f>IF(ISBLANK('ENGAGEMENTS 2026'!C1254),"",'ENGAGEMENTS 2026'!K1254)</f>
        <v/>
      </c>
      <c r="Q1254">
        <f>IF($A1254="","",IF(OR($E1254="INFRUCTUEUX",$E1254="ANNULE"),$A1254&amp;"|"&amp;(COUNTIFS($A$2:$A1254,$A1254,$E$2:$E1254,"INFRUCTUEUX")+COUNTIFS($A$2:$A1254,$A1254,$E$2:$E1254,"ANNULE")),""))</f>
        <v/>
      </c>
    </row>
    <row r="1255">
      <c r="A1255">
        <f>IF(ISBLANK('ENGAGEMENTS 2026'!C1255),"",IF('ENGAGEMENTS 2026'!C1255="DTSI","DCT",'ENGAGEMENTS 2026'!C1255))</f>
        <v/>
      </c>
      <c r="B1255">
        <f>IF(ISBLANK('ENGAGEMENTS 2026'!C1255),"",'ENGAGEMENTS 2026'!D1255)</f>
        <v/>
      </c>
      <c r="C1255">
        <f>IF(ISBLANK('ENGAGEMENTS 2026'!C1255),"",'ENGAGEMENTS 2026'!E1255)</f>
        <v/>
      </c>
      <c r="D1255">
        <f>IF(ISBLANK('ENGAGEMENTS 2026'!C1255),"",'ENGAGEMENTS 2026'!G1255)</f>
        <v/>
      </c>
      <c r="E1255">
        <f>IF(ISBLANK('ENGAGEMENTS 2026'!C1255),"",'ENGAGEMENTS 2026'!I1255)</f>
        <v/>
      </c>
      <c r="F1255">
        <f>IF(ISBLANK('ENGAGEMENTS 2026'!C1255),"",'ENGAGEMENTS 2026'!J1255)</f>
        <v/>
      </c>
      <c r="G1255">
        <f>IF(ISBLANK('ENGAGEMENTS 2026'!C1255),"",'ENGAGEMENTS 2026'!M1255)</f>
        <v/>
      </c>
      <c r="H1255">
        <f>IF(ISBLANK('ENGAGEMENTS 2026'!C1255),"",'ENGAGEMENTS 2026'!AF1255)</f>
        <v/>
      </c>
      <c r="I1255">
        <f>IF(ISBLANK('ENGAGEMENTS 2026'!C1255),"",'ENGAGEMENTS 2026'!H1255)</f>
        <v/>
      </c>
      <c r="J1255" s="275">
        <f>IF(ISBLANK('ENGAGEMENTS 2026'!C1255),"",IF(AND(OR($E1255="INFRUCTUEUX",$E1255="ANNULE"),$C1255="AOO-M"),'ENGAGEMENTS 2026'!P1255,IF($H1255="EN COURS DE PREENGAGEMENT",'ENGAGEMENTS 2026'!O1255,IF($H1255="PREENGAGE",IF($E1255="ATTRIBUE",'ENGAGEMENTS 2026'!AE1255,'ENGAGEMENTS 2026'!O1255),'ENGAGEMENTS 2026'!AE1255))))</f>
        <v/>
      </c>
      <c r="K1255" s="604">
        <f>IF(ISBLANK('ENGAGEMENTS 2026'!W1255),"",'ENGAGEMENTS 2026'!W1255)</f>
        <v/>
      </c>
      <c r="L1255" s="276">
        <f>IF($K1255="","",TODAY()-$K1255)</f>
        <v/>
      </c>
      <c r="M1255">
        <f>IF($A1255="","",IF($H1255="ENGAGE","Engagé",IF(AND($H1255="NON ENGAGE",OR($I1255="INFRUCTUEUX",$I1255="ANNULE")),"Clôturé sans suite","En cours")))</f>
        <v/>
      </c>
      <c r="N1255">
        <f>IF(ISBLANK('ENGAGEMENTS 2026'!C1255),"",'ENGAGEMENTS 2026'!L1255)</f>
        <v/>
      </c>
      <c r="O1255">
        <f>IF(ISBLANK('ENGAGEMENTS 2026'!C1255),"",'ENGAGEMENTS 2026'!M1255)</f>
        <v/>
      </c>
      <c r="P1255">
        <f>IF(ISBLANK('ENGAGEMENTS 2026'!C1255),"",'ENGAGEMENTS 2026'!K1255)</f>
        <v/>
      </c>
      <c r="Q1255">
        <f>IF($A1255="","",IF(OR($E1255="INFRUCTUEUX",$E1255="ANNULE"),$A1255&amp;"|"&amp;(COUNTIFS($A$2:$A1255,$A1255,$E$2:$E1255,"INFRUCTUEUX")+COUNTIFS($A$2:$A1255,$A1255,$E$2:$E1255,"ANNULE")),""))</f>
        <v/>
      </c>
    </row>
    <row r="1256">
      <c r="A1256">
        <f>IF(ISBLANK('ENGAGEMENTS 2026'!C1256),"",IF('ENGAGEMENTS 2026'!C1256="DTSI","DCT",'ENGAGEMENTS 2026'!C1256))</f>
        <v/>
      </c>
      <c r="B1256">
        <f>IF(ISBLANK('ENGAGEMENTS 2026'!C1256),"",'ENGAGEMENTS 2026'!D1256)</f>
        <v/>
      </c>
      <c r="C1256">
        <f>IF(ISBLANK('ENGAGEMENTS 2026'!C1256),"",'ENGAGEMENTS 2026'!E1256)</f>
        <v/>
      </c>
      <c r="D1256">
        <f>IF(ISBLANK('ENGAGEMENTS 2026'!C1256),"",'ENGAGEMENTS 2026'!G1256)</f>
        <v/>
      </c>
      <c r="E1256">
        <f>IF(ISBLANK('ENGAGEMENTS 2026'!C1256),"",'ENGAGEMENTS 2026'!I1256)</f>
        <v/>
      </c>
      <c r="F1256">
        <f>IF(ISBLANK('ENGAGEMENTS 2026'!C1256),"",'ENGAGEMENTS 2026'!J1256)</f>
        <v/>
      </c>
      <c r="G1256">
        <f>IF(ISBLANK('ENGAGEMENTS 2026'!C1256),"",'ENGAGEMENTS 2026'!M1256)</f>
        <v/>
      </c>
      <c r="H1256">
        <f>IF(ISBLANK('ENGAGEMENTS 2026'!C1256),"",'ENGAGEMENTS 2026'!AF1256)</f>
        <v/>
      </c>
      <c r="I1256">
        <f>IF(ISBLANK('ENGAGEMENTS 2026'!C1256),"",'ENGAGEMENTS 2026'!H1256)</f>
        <v/>
      </c>
      <c r="J1256" s="275">
        <f>IF(ISBLANK('ENGAGEMENTS 2026'!C1256),"",IF(AND(OR($E1256="INFRUCTUEUX",$E1256="ANNULE"),$C1256="AOO-M"),'ENGAGEMENTS 2026'!P1256,IF($H1256="EN COURS DE PREENGAGEMENT",'ENGAGEMENTS 2026'!O1256,IF($H1256="PREENGAGE",IF($E1256="ATTRIBUE",'ENGAGEMENTS 2026'!AE1256,'ENGAGEMENTS 2026'!O1256),'ENGAGEMENTS 2026'!AE1256))))</f>
        <v/>
      </c>
      <c r="K1256" s="604">
        <f>IF(ISBLANK('ENGAGEMENTS 2026'!W1256),"",'ENGAGEMENTS 2026'!W1256)</f>
        <v/>
      </c>
      <c r="L1256" s="276">
        <f>IF($K1256="","",TODAY()-$K1256)</f>
        <v/>
      </c>
      <c r="M1256">
        <f>IF($A1256="","",IF($H1256="ENGAGE","Engagé",IF(AND($H1256="NON ENGAGE",OR($I1256="INFRUCTUEUX",$I1256="ANNULE")),"Clôturé sans suite","En cours")))</f>
        <v/>
      </c>
      <c r="N1256">
        <f>IF(ISBLANK('ENGAGEMENTS 2026'!C1256),"",'ENGAGEMENTS 2026'!L1256)</f>
        <v/>
      </c>
      <c r="O1256">
        <f>IF(ISBLANK('ENGAGEMENTS 2026'!C1256),"",'ENGAGEMENTS 2026'!M1256)</f>
        <v/>
      </c>
      <c r="P1256">
        <f>IF(ISBLANK('ENGAGEMENTS 2026'!C1256),"",'ENGAGEMENTS 2026'!K1256)</f>
        <v/>
      </c>
      <c r="Q1256">
        <f>IF($A1256="","",IF(OR($E1256="INFRUCTUEUX",$E1256="ANNULE"),$A1256&amp;"|"&amp;(COUNTIFS($A$2:$A1256,$A1256,$E$2:$E1256,"INFRUCTUEUX")+COUNTIFS($A$2:$A1256,$A1256,$E$2:$E1256,"ANNULE")),""))</f>
        <v/>
      </c>
    </row>
    <row r="1257">
      <c r="A1257">
        <f>IF(ISBLANK('ENGAGEMENTS 2026'!C1257),"",IF('ENGAGEMENTS 2026'!C1257="DTSI","DCT",'ENGAGEMENTS 2026'!C1257))</f>
        <v/>
      </c>
      <c r="B1257">
        <f>IF(ISBLANK('ENGAGEMENTS 2026'!C1257),"",'ENGAGEMENTS 2026'!D1257)</f>
        <v/>
      </c>
      <c r="C1257">
        <f>IF(ISBLANK('ENGAGEMENTS 2026'!C1257),"",'ENGAGEMENTS 2026'!E1257)</f>
        <v/>
      </c>
      <c r="D1257">
        <f>IF(ISBLANK('ENGAGEMENTS 2026'!C1257),"",'ENGAGEMENTS 2026'!G1257)</f>
        <v/>
      </c>
      <c r="E1257">
        <f>IF(ISBLANK('ENGAGEMENTS 2026'!C1257),"",'ENGAGEMENTS 2026'!I1257)</f>
        <v/>
      </c>
      <c r="F1257">
        <f>IF(ISBLANK('ENGAGEMENTS 2026'!C1257),"",'ENGAGEMENTS 2026'!J1257)</f>
        <v/>
      </c>
      <c r="G1257">
        <f>IF(ISBLANK('ENGAGEMENTS 2026'!C1257),"",'ENGAGEMENTS 2026'!M1257)</f>
        <v/>
      </c>
      <c r="H1257">
        <f>IF(ISBLANK('ENGAGEMENTS 2026'!C1257),"",'ENGAGEMENTS 2026'!AF1257)</f>
        <v/>
      </c>
      <c r="I1257">
        <f>IF(ISBLANK('ENGAGEMENTS 2026'!C1257),"",'ENGAGEMENTS 2026'!H1257)</f>
        <v/>
      </c>
      <c r="J1257" s="275">
        <f>IF(ISBLANK('ENGAGEMENTS 2026'!C1257),"",IF(AND(OR($E1257="INFRUCTUEUX",$E1257="ANNULE"),$C1257="AOO-M"),'ENGAGEMENTS 2026'!P1257,IF($H1257="EN COURS DE PREENGAGEMENT",'ENGAGEMENTS 2026'!O1257,IF($H1257="PREENGAGE",IF($E1257="ATTRIBUE",'ENGAGEMENTS 2026'!AE1257,'ENGAGEMENTS 2026'!O1257),'ENGAGEMENTS 2026'!AE1257))))</f>
        <v/>
      </c>
      <c r="K1257" s="604">
        <f>IF(ISBLANK('ENGAGEMENTS 2026'!W1257),"",'ENGAGEMENTS 2026'!W1257)</f>
        <v/>
      </c>
      <c r="L1257" s="276">
        <f>IF($K1257="","",TODAY()-$K1257)</f>
        <v/>
      </c>
      <c r="M1257">
        <f>IF($A1257="","",IF($H1257="ENGAGE","Engagé",IF(AND($H1257="NON ENGAGE",OR($I1257="INFRUCTUEUX",$I1257="ANNULE")),"Clôturé sans suite","En cours")))</f>
        <v/>
      </c>
      <c r="N1257">
        <f>IF(ISBLANK('ENGAGEMENTS 2026'!C1257),"",'ENGAGEMENTS 2026'!L1257)</f>
        <v/>
      </c>
      <c r="O1257">
        <f>IF(ISBLANK('ENGAGEMENTS 2026'!C1257),"",'ENGAGEMENTS 2026'!M1257)</f>
        <v/>
      </c>
      <c r="P1257">
        <f>IF(ISBLANK('ENGAGEMENTS 2026'!C1257),"",'ENGAGEMENTS 2026'!K1257)</f>
        <v/>
      </c>
      <c r="Q1257">
        <f>IF($A1257="","",IF(OR($E1257="INFRUCTUEUX",$E1257="ANNULE"),$A1257&amp;"|"&amp;(COUNTIFS($A$2:$A1257,$A1257,$E$2:$E1257,"INFRUCTUEUX")+COUNTIFS($A$2:$A1257,$A1257,$E$2:$E1257,"ANNULE")),""))</f>
        <v/>
      </c>
    </row>
    <row r="1258">
      <c r="A1258">
        <f>IF(ISBLANK('ENGAGEMENTS 2026'!C1258),"",IF('ENGAGEMENTS 2026'!C1258="DTSI","DCT",'ENGAGEMENTS 2026'!C1258))</f>
        <v/>
      </c>
      <c r="B1258">
        <f>IF(ISBLANK('ENGAGEMENTS 2026'!C1258),"",'ENGAGEMENTS 2026'!D1258)</f>
        <v/>
      </c>
      <c r="C1258">
        <f>IF(ISBLANK('ENGAGEMENTS 2026'!C1258),"",'ENGAGEMENTS 2026'!E1258)</f>
        <v/>
      </c>
      <c r="D1258">
        <f>IF(ISBLANK('ENGAGEMENTS 2026'!C1258),"",'ENGAGEMENTS 2026'!G1258)</f>
        <v/>
      </c>
      <c r="E1258">
        <f>IF(ISBLANK('ENGAGEMENTS 2026'!C1258),"",'ENGAGEMENTS 2026'!I1258)</f>
        <v/>
      </c>
      <c r="F1258">
        <f>IF(ISBLANK('ENGAGEMENTS 2026'!C1258),"",'ENGAGEMENTS 2026'!J1258)</f>
        <v/>
      </c>
      <c r="G1258">
        <f>IF(ISBLANK('ENGAGEMENTS 2026'!C1258),"",'ENGAGEMENTS 2026'!M1258)</f>
        <v/>
      </c>
      <c r="H1258">
        <f>IF(ISBLANK('ENGAGEMENTS 2026'!C1258),"",'ENGAGEMENTS 2026'!AF1258)</f>
        <v/>
      </c>
      <c r="I1258">
        <f>IF(ISBLANK('ENGAGEMENTS 2026'!C1258),"",'ENGAGEMENTS 2026'!H1258)</f>
        <v/>
      </c>
      <c r="J1258" s="275">
        <f>IF(ISBLANK('ENGAGEMENTS 2026'!C1258),"",IF(AND(OR($E1258="INFRUCTUEUX",$E1258="ANNULE"),$C1258="AOO-M"),'ENGAGEMENTS 2026'!P1258,IF($H1258="EN COURS DE PREENGAGEMENT",'ENGAGEMENTS 2026'!O1258,IF($H1258="PREENGAGE",IF($E1258="ATTRIBUE",'ENGAGEMENTS 2026'!AE1258,'ENGAGEMENTS 2026'!O1258),'ENGAGEMENTS 2026'!AE1258))))</f>
        <v/>
      </c>
      <c r="K1258" s="604">
        <f>IF(ISBLANK('ENGAGEMENTS 2026'!W1258),"",'ENGAGEMENTS 2026'!W1258)</f>
        <v/>
      </c>
      <c r="L1258" s="276">
        <f>IF($K1258="","",TODAY()-$K1258)</f>
        <v/>
      </c>
      <c r="M1258">
        <f>IF($A1258="","",IF($H1258="ENGAGE","Engagé",IF(AND($H1258="NON ENGAGE",OR($I1258="INFRUCTUEUX",$I1258="ANNULE")),"Clôturé sans suite","En cours")))</f>
        <v/>
      </c>
      <c r="N1258">
        <f>IF(ISBLANK('ENGAGEMENTS 2026'!C1258),"",'ENGAGEMENTS 2026'!L1258)</f>
        <v/>
      </c>
      <c r="O1258">
        <f>IF(ISBLANK('ENGAGEMENTS 2026'!C1258),"",'ENGAGEMENTS 2026'!M1258)</f>
        <v/>
      </c>
      <c r="P1258">
        <f>IF(ISBLANK('ENGAGEMENTS 2026'!C1258),"",'ENGAGEMENTS 2026'!K1258)</f>
        <v/>
      </c>
      <c r="Q1258">
        <f>IF($A1258="","",IF(OR($E1258="INFRUCTUEUX",$E1258="ANNULE"),$A1258&amp;"|"&amp;(COUNTIFS($A$2:$A1258,$A1258,$E$2:$E1258,"INFRUCTUEUX")+COUNTIFS($A$2:$A1258,$A1258,$E$2:$E1258,"ANNULE")),""))</f>
        <v/>
      </c>
    </row>
    <row r="1259">
      <c r="A1259">
        <f>IF(ISBLANK('ENGAGEMENTS 2026'!C1259),"",IF('ENGAGEMENTS 2026'!C1259="DTSI","DCT",'ENGAGEMENTS 2026'!C1259))</f>
        <v/>
      </c>
      <c r="B1259">
        <f>IF(ISBLANK('ENGAGEMENTS 2026'!C1259),"",'ENGAGEMENTS 2026'!D1259)</f>
        <v/>
      </c>
      <c r="C1259">
        <f>IF(ISBLANK('ENGAGEMENTS 2026'!C1259),"",'ENGAGEMENTS 2026'!E1259)</f>
        <v/>
      </c>
      <c r="D1259">
        <f>IF(ISBLANK('ENGAGEMENTS 2026'!C1259),"",'ENGAGEMENTS 2026'!G1259)</f>
        <v/>
      </c>
      <c r="E1259">
        <f>IF(ISBLANK('ENGAGEMENTS 2026'!C1259),"",'ENGAGEMENTS 2026'!I1259)</f>
        <v/>
      </c>
      <c r="F1259">
        <f>IF(ISBLANK('ENGAGEMENTS 2026'!C1259),"",'ENGAGEMENTS 2026'!J1259)</f>
        <v/>
      </c>
      <c r="G1259">
        <f>IF(ISBLANK('ENGAGEMENTS 2026'!C1259),"",'ENGAGEMENTS 2026'!M1259)</f>
        <v/>
      </c>
      <c r="H1259">
        <f>IF(ISBLANK('ENGAGEMENTS 2026'!C1259),"",'ENGAGEMENTS 2026'!AF1259)</f>
        <v/>
      </c>
      <c r="I1259">
        <f>IF(ISBLANK('ENGAGEMENTS 2026'!C1259),"",'ENGAGEMENTS 2026'!H1259)</f>
        <v/>
      </c>
      <c r="J1259" s="275">
        <f>IF(ISBLANK('ENGAGEMENTS 2026'!C1259),"",IF(AND(OR($E1259="INFRUCTUEUX",$E1259="ANNULE"),$C1259="AOO-M"),'ENGAGEMENTS 2026'!P1259,IF($H1259="EN COURS DE PREENGAGEMENT",'ENGAGEMENTS 2026'!O1259,IF($H1259="PREENGAGE",IF($E1259="ATTRIBUE",'ENGAGEMENTS 2026'!AE1259,'ENGAGEMENTS 2026'!O1259),'ENGAGEMENTS 2026'!AE1259))))</f>
        <v/>
      </c>
      <c r="K1259" s="604">
        <f>IF(ISBLANK('ENGAGEMENTS 2026'!W1259),"",'ENGAGEMENTS 2026'!W1259)</f>
        <v/>
      </c>
      <c r="L1259" s="276">
        <f>IF($K1259="","",TODAY()-$K1259)</f>
        <v/>
      </c>
      <c r="M1259">
        <f>IF($A1259="","",IF($H1259="ENGAGE","Engagé",IF(AND($H1259="NON ENGAGE",OR($I1259="INFRUCTUEUX",$I1259="ANNULE")),"Clôturé sans suite","En cours")))</f>
        <v/>
      </c>
      <c r="N1259">
        <f>IF(ISBLANK('ENGAGEMENTS 2026'!C1259),"",'ENGAGEMENTS 2026'!L1259)</f>
        <v/>
      </c>
      <c r="O1259">
        <f>IF(ISBLANK('ENGAGEMENTS 2026'!C1259),"",'ENGAGEMENTS 2026'!M1259)</f>
        <v/>
      </c>
      <c r="P1259">
        <f>IF(ISBLANK('ENGAGEMENTS 2026'!C1259),"",'ENGAGEMENTS 2026'!K1259)</f>
        <v/>
      </c>
      <c r="Q1259">
        <f>IF($A1259="","",IF(OR($E1259="INFRUCTUEUX",$E1259="ANNULE"),$A1259&amp;"|"&amp;(COUNTIFS($A$2:$A1259,$A1259,$E$2:$E1259,"INFRUCTUEUX")+COUNTIFS($A$2:$A1259,$A1259,$E$2:$E1259,"ANNULE")),""))</f>
        <v/>
      </c>
    </row>
    <row r="1260">
      <c r="A1260">
        <f>IF(ISBLANK('ENGAGEMENTS 2026'!C1260),"",IF('ENGAGEMENTS 2026'!C1260="DTSI","DCT",'ENGAGEMENTS 2026'!C1260))</f>
        <v/>
      </c>
      <c r="B1260">
        <f>IF(ISBLANK('ENGAGEMENTS 2026'!C1260),"",'ENGAGEMENTS 2026'!D1260)</f>
        <v/>
      </c>
      <c r="C1260">
        <f>IF(ISBLANK('ENGAGEMENTS 2026'!C1260),"",'ENGAGEMENTS 2026'!E1260)</f>
        <v/>
      </c>
      <c r="D1260">
        <f>IF(ISBLANK('ENGAGEMENTS 2026'!C1260),"",'ENGAGEMENTS 2026'!G1260)</f>
        <v/>
      </c>
      <c r="E1260">
        <f>IF(ISBLANK('ENGAGEMENTS 2026'!C1260),"",'ENGAGEMENTS 2026'!I1260)</f>
        <v/>
      </c>
      <c r="F1260">
        <f>IF(ISBLANK('ENGAGEMENTS 2026'!C1260),"",'ENGAGEMENTS 2026'!J1260)</f>
        <v/>
      </c>
      <c r="G1260">
        <f>IF(ISBLANK('ENGAGEMENTS 2026'!C1260),"",'ENGAGEMENTS 2026'!M1260)</f>
        <v/>
      </c>
      <c r="H1260">
        <f>IF(ISBLANK('ENGAGEMENTS 2026'!C1260),"",'ENGAGEMENTS 2026'!AF1260)</f>
        <v/>
      </c>
      <c r="I1260">
        <f>IF(ISBLANK('ENGAGEMENTS 2026'!C1260),"",'ENGAGEMENTS 2026'!H1260)</f>
        <v/>
      </c>
      <c r="J1260" s="275">
        <f>IF(ISBLANK('ENGAGEMENTS 2026'!C1260),"",IF(AND(OR($E1260="INFRUCTUEUX",$E1260="ANNULE"),$C1260="AOO-M"),'ENGAGEMENTS 2026'!P1260,IF($H1260="EN COURS DE PREENGAGEMENT",'ENGAGEMENTS 2026'!O1260,IF($H1260="PREENGAGE",IF($E1260="ATTRIBUE",'ENGAGEMENTS 2026'!AE1260,'ENGAGEMENTS 2026'!O1260),'ENGAGEMENTS 2026'!AE1260))))</f>
        <v/>
      </c>
      <c r="K1260" s="604">
        <f>IF(ISBLANK('ENGAGEMENTS 2026'!W1260),"",'ENGAGEMENTS 2026'!W1260)</f>
        <v/>
      </c>
      <c r="L1260" s="276">
        <f>IF($K1260="","",TODAY()-$K1260)</f>
        <v/>
      </c>
      <c r="M1260">
        <f>IF($A1260="","",IF($H1260="ENGAGE","Engagé",IF(AND($H1260="NON ENGAGE",OR($I1260="INFRUCTUEUX",$I1260="ANNULE")),"Clôturé sans suite","En cours")))</f>
        <v/>
      </c>
      <c r="N1260">
        <f>IF(ISBLANK('ENGAGEMENTS 2026'!C1260),"",'ENGAGEMENTS 2026'!L1260)</f>
        <v/>
      </c>
      <c r="O1260">
        <f>IF(ISBLANK('ENGAGEMENTS 2026'!C1260),"",'ENGAGEMENTS 2026'!M1260)</f>
        <v/>
      </c>
      <c r="P1260">
        <f>IF(ISBLANK('ENGAGEMENTS 2026'!C1260),"",'ENGAGEMENTS 2026'!K1260)</f>
        <v/>
      </c>
      <c r="Q1260">
        <f>IF($A1260="","",IF(OR($E1260="INFRUCTUEUX",$E1260="ANNULE"),$A1260&amp;"|"&amp;(COUNTIFS($A$2:$A1260,$A1260,$E$2:$E1260,"INFRUCTUEUX")+COUNTIFS($A$2:$A1260,$A1260,$E$2:$E1260,"ANNULE")),""))</f>
        <v/>
      </c>
    </row>
    <row r="1261">
      <c r="A1261">
        <f>IF(ISBLANK('ENGAGEMENTS 2026'!C1261),"",IF('ENGAGEMENTS 2026'!C1261="DTSI","DCT",'ENGAGEMENTS 2026'!C1261))</f>
        <v/>
      </c>
      <c r="B1261">
        <f>IF(ISBLANK('ENGAGEMENTS 2026'!C1261),"",'ENGAGEMENTS 2026'!D1261)</f>
        <v/>
      </c>
      <c r="C1261">
        <f>IF(ISBLANK('ENGAGEMENTS 2026'!C1261),"",'ENGAGEMENTS 2026'!E1261)</f>
        <v/>
      </c>
      <c r="D1261">
        <f>IF(ISBLANK('ENGAGEMENTS 2026'!C1261),"",'ENGAGEMENTS 2026'!G1261)</f>
        <v/>
      </c>
      <c r="E1261">
        <f>IF(ISBLANK('ENGAGEMENTS 2026'!C1261),"",'ENGAGEMENTS 2026'!I1261)</f>
        <v/>
      </c>
      <c r="F1261">
        <f>IF(ISBLANK('ENGAGEMENTS 2026'!C1261),"",'ENGAGEMENTS 2026'!J1261)</f>
        <v/>
      </c>
      <c r="G1261">
        <f>IF(ISBLANK('ENGAGEMENTS 2026'!C1261),"",'ENGAGEMENTS 2026'!M1261)</f>
        <v/>
      </c>
      <c r="H1261">
        <f>IF(ISBLANK('ENGAGEMENTS 2026'!C1261),"",'ENGAGEMENTS 2026'!AF1261)</f>
        <v/>
      </c>
      <c r="I1261">
        <f>IF(ISBLANK('ENGAGEMENTS 2026'!C1261),"",'ENGAGEMENTS 2026'!H1261)</f>
        <v/>
      </c>
      <c r="J1261" s="275">
        <f>IF(ISBLANK('ENGAGEMENTS 2026'!C1261),"",IF(AND(OR($E1261="INFRUCTUEUX",$E1261="ANNULE"),$C1261="AOO-M"),'ENGAGEMENTS 2026'!P1261,IF($H1261="EN COURS DE PREENGAGEMENT",'ENGAGEMENTS 2026'!O1261,IF($H1261="PREENGAGE",IF($E1261="ATTRIBUE",'ENGAGEMENTS 2026'!AE1261,'ENGAGEMENTS 2026'!O1261),'ENGAGEMENTS 2026'!AE1261))))</f>
        <v/>
      </c>
      <c r="K1261" s="604">
        <f>IF(ISBLANK('ENGAGEMENTS 2026'!W1261),"",'ENGAGEMENTS 2026'!W1261)</f>
        <v/>
      </c>
      <c r="L1261" s="276">
        <f>IF($K1261="","",TODAY()-$K1261)</f>
        <v/>
      </c>
      <c r="M1261">
        <f>IF($A1261="","",IF($H1261="ENGAGE","Engagé",IF(AND($H1261="NON ENGAGE",OR($I1261="INFRUCTUEUX",$I1261="ANNULE")),"Clôturé sans suite","En cours")))</f>
        <v/>
      </c>
      <c r="N1261">
        <f>IF(ISBLANK('ENGAGEMENTS 2026'!C1261),"",'ENGAGEMENTS 2026'!L1261)</f>
        <v/>
      </c>
      <c r="O1261">
        <f>IF(ISBLANK('ENGAGEMENTS 2026'!C1261),"",'ENGAGEMENTS 2026'!M1261)</f>
        <v/>
      </c>
      <c r="P1261">
        <f>IF(ISBLANK('ENGAGEMENTS 2026'!C1261),"",'ENGAGEMENTS 2026'!K1261)</f>
        <v/>
      </c>
      <c r="Q1261">
        <f>IF($A1261="","",IF(OR($E1261="INFRUCTUEUX",$E1261="ANNULE"),$A1261&amp;"|"&amp;(COUNTIFS($A$2:$A1261,$A1261,$E$2:$E1261,"INFRUCTUEUX")+COUNTIFS($A$2:$A1261,$A1261,$E$2:$E1261,"ANNULE")),""))</f>
        <v/>
      </c>
    </row>
    <row r="1262">
      <c r="A1262">
        <f>IF(ISBLANK('ENGAGEMENTS 2026'!C1262),"",IF('ENGAGEMENTS 2026'!C1262="DTSI","DCT",'ENGAGEMENTS 2026'!C1262))</f>
        <v/>
      </c>
      <c r="B1262">
        <f>IF(ISBLANK('ENGAGEMENTS 2026'!C1262),"",'ENGAGEMENTS 2026'!D1262)</f>
        <v/>
      </c>
      <c r="C1262">
        <f>IF(ISBLANK('ENGAGEMENTS 2026'!C1262),"",'ENGAGEMENTS 2026'!E1262)</f>
        <v/>
      </c>
      <c r="D1262">
        <f>IF(ISBLANK('ENGAGEMENTS 2026'!C1262),"",'ENGAGEMENTS 2026'!G1262)</f>
        <v/>
      </c>
      <c r="E1262">
        <f>IF(ISBLANK('ENGAGEMENTS 2026'!C1262),"",'ENGAGEMENTS 2026'!I1262)</f>
        <v/>
      </c>
      <c r="F1262">
        <f>IF(ISBLANK('ENGAGEMENTS 2026'!C1262),"",'ENGAGEMENTS 2026'!J1262)</f>
        <v/>
      </c>
      <c r="G1262">
        <f>IF(ISBLANK('ENGAGEMENTS 2026'!C1262),"",'ENGAGEMENTS 2026'!M1262)</f>
        <v/>
      </c>
      <c r="H1262">
        <f>IF(ISBLANK('ENGAGEMENTS 2026'!C1262),"",'ENGAGEMENTS 2026'!AF1262)</f>
        <v/>
      </c>
      <c r="I1262">
        <f>IF(ISBLANK('ENGAGEMENTS 2026'!C1262),"",'ENGAGEMENTS 2026'!H1262)</f>
        <v/>
      </c>
      <c r="J1262" s="275">
        <f>IF(ISBLANK('ENGAGEMENTS 2026'!C1262),"",IF(AND(OR($E1262="INFRUCTUEUX",$E1262="ANNULE"),$C1262="AOO-M"),'ENGAGEMENTS 2026'!P1262,IF($H1262="EN COURS DE PREENGAGEMENT",'ENGAGEMENTS 2026'!O1262,IF($H1262="PREENGAGE",IF($E1262="ATTRIBUE",'ENGAGEMENTS 2026'!AE1262,'ENGAGEMENTS 2026'!O1262),'ENGAGEMENTS 2026'!AE1262))))</f>
        <v/>
      </c>
      <c r="K1262" s="604">
        <f>IF(ISBLANK('ENGAGEMENTS 2026'!W1262),"",'ENGAGEMENTS 2026'!W1262)</f>
        <v/>
      </c>
      <c r="L1262" s="276">
        <f>IF($K1262="","",TODAY()-$K1262)</f>
        <v/>
      </c>
      <c r="M1262">
        <f>IF($A1262="","",IF($H1262="ENGAGE","Engagé",IF(AND($H1262="NON ENGAGE",OR($I1262="INFRUCTUEUX",$I1262="ANNULE")),"Clôturé sans suite","En cours")))</f>
        <v/>
      </c>
      <c r="N1262">
        <f>IF(ISBLANK('ENGAGEMENTS 2026'!C1262),"",'ENGAGEMENTS 2026'!L1262)</f>
        <v/>
      </c>
      <c r="O1262">
        <f>IF(ISBLANK('ENGAGEMENTS 2026'!C1262),"",'ENGAGEMENTS 2026'!M1262)</f>
        <v/>
      </c>
      <c r="P1262">
        <f>IF(ISBLANK('ENGAGEMENTS 2026'!C1262),"",'ENGAGEMENTS 2026'!K1262)</f>
        <v/>
      </c>
      <c r="Q1262">
        <f>IF($A1262="","",IF(OR($E1262="INFRUCTUEUX",$E1262="ANNULE"),$A1262&amp;"|"&amp;(COUNTIFS($A$2:$A1262,$A1262,$E$2:$E1262,"INFRUCTUEUX")+COUNTIFS($A$2:$A1262,$A1262,$E$2:$E1262,"ANNULE")),""))</f>
        <v/>
      </c>
    </row>
    <row r="1263">
      <c r="A1263">
        <f>IF(ISBLANK('ENGAGEMENTS 2026'!C1263),"",IF('ENGAGEMENTS 2026'!C1263="DTSI","DCT",'ENGAGEMENTS 2026'!C1263))</f>
        <v/>
      </c>
      <c r="B1263">
        <f>IF(ISBLANK('ENGAGEMENTS 2026'!C1263),"",'ENGAGEMENTS 2026'!D1263)</f>
        <v/>
      </c>
      <c r="C1263">
        <f>IF(ISBLANK('ENGAGEMENTS 2026'!C1263),"",'ENGAGEMENTS 2026'!E1263)</f>
        <v/>
      </c>
      <c r="D1263">
        <f>IF(ISBLANK('ENGAGEMENTS 2026'!C1263),"",'ENGAGEMENTS 2026'!G1263)</f>
        <v/>
      </c>
      <c r="E1263">
        <f>IF(ISBLANK('ENGAGEMENTS 2026'!C1263),"",'ENGAGEMENTS 2026'!I1263)</f>
        <v/>
      </c>
      <c r="F1263">
        <f>IF(ISBLANK('ENGAGEMENTS 2026'!C1263),"",'ENGAGEMENTS 2026'!J1263)</f>
        <v/>
      </c>
      <c r="G1263">
        <f>IF(ISBLANK('ENGAGEMENTS 2026'!C1263),"",'ENGAGEMENTS 2026'!M1263)</f>
        <v/>
      </c>
      <c r="H1263">
        <f>IF(ISBLANK('ENGAGEMENTS 2026'!C1263),"",'ENGAGEMENTS 2026'!AF1263)</f>
        <v/>
      </c>
      <c r="I1263">
        <f>IF(ISBLANK('ENGAGEMENTS 2026'!C1263),"",'ENGAGEMENTS 2026'!H1263)</f>
        <v/>
      </c>
      <c r="J1263" s="275">
        <f>IF(ISBLANK('ENGAGEMENTS 2026'!C1263),"",IF(AND(OR($E1263="INFRUCTUEUX",$E1263="ANNULE"),$C1263="AOO-M"),'ENGAGEMENTS 2026'!P1263,IF($H1263="EN COURS DE PREENGAGEMENT",'ENGAGEMENTS 2026'!O1263,IF($H1263="PREENGAGE",IF($E1263="ATTRIBUE",'ENGAGEMENTS 2026'!AE1263,'ENGAGEMENTS 2026'!O1263),'ENGAGEMENTS 2026'!AE1263))))</f>
        <v/>
      </c>
      <c r="K1263" s="604">
        <f>IF(ISBLANK('ENGAGEMENTS 2026'!W1263),"",'ENGAGEMENTS 2026'!W1263)</f>
        <v/>
      </c>
      <c r="L1263" s="276">
        <f>IF($K1263="","",TODAY()-$K1263)</f>
        <v/>
      </c>
      <c r="M1263">
        <f>IF($A1263="","",IF($H1263="ENGAGE","Engagé",IF(AND($H1263="NON ENGAGE",OR($I1263="INFRUCTUEUX",$I1263="ANNULE")),"Clôturé sans suite","En cours")))</f>
        <v/>
      </c>
      <c r="N1263">
        <f>IF(ISBLANK('ENGAGEMENTS 2026'!C1263),"",'ENGAGEMENTS 2026'!L1263)</f>
        <v/>
      </c>
      <c r="O1263">
        <f>IF(ISBLANK('ENGAGEMENTS 2026'!C1263),"",'ENGAGEMENTS 2026'!M1263)</f>
        <v/>
      </c>
      <c r="P1263">
        <f>IF(ISBLANK('ENGAGEMENTS 2026'!C1263),"",'ENGAGEMENTS 2026'!K1263)</f>
        <v/>
      </c>
      <c r="Q1263">
        <f>IF($A1263="","",IF(OR($E1263="INFRUCTUEUX",$E1263="ANNULE"),$A1263&amp;"|"&amp;(COUNTIFS($A$2:$A1263,$A1263,$E$2:$E1263,"INFRUCTUEUX")+COUNTIFS($A$2:$A1263,$A1263,$E$2:$E1263,"ANNULE")),""))</f>
        <v/>
      </c>
    </row>
    <row r="1264">
      <c r="A1264">
        <f>IF(ISBLANK('ENGAGEMENTS 2026'!C1264),"",IF('ENGAGEMENTS 2026'!C1264="DTSI","DCT",'ENGAGEMENTS 2026'!C1264))</f>
        <v/>
      </c>
      <c r="B1264">
        <f>IF(ISBLANK('ENGAGEMENTS 2026'!C1264),"",'ENGAGEMENTS 2026'!D1264)</f>
        <v/>
      </c>
      <c r="C1264">
        <f>IF(ISBLANK('ENGAGEMENTS 2026'!C1264),"",'ENGAGEMENTS 2026'!E1264)</f>
        <v/>
      </c>
      <c r="D1264">
        <f>IF(ISBLANK('ENGAGEMENTS 2026'!C1264),"",'ENGAGEMENTS 2026'!G1264)</f>
        <v/>
      </c>
      <c r="E1264">
        <f>IF(ISBLANK('ENGAGEMENTS 2026'!C1264),"",'ENGAGEMENTS 2026'!I1264)</f>
        <v/>
      </c>
      <c r="F1264">
        <f>IF(ISBLANK('ENGAGEMENTS 2026'!C1264),"",'ENGAGEMENTS 2026'!J1264)</f>
        <v/>
      </c>
      <c r="G1264">
        <f>IF(ISBLANK('ENGAGEMENTS 2026'!C1264),"",'ENGAGEMENTS 2026'!M1264)</f>
        <v/>
      </c>
      <c r="H1264">
        <f>IF(ISBLANK('ENGAGEMENTS 2026'!C1264),"",'ENGAGEMENTS 2026'!AF1264)</f>
        <v/>
      </c>
      <c r="I1264">
        <f>IF(ISBLANK('ENGAGEMENTS 2026'!C1264),"",'ENGAGEMENTS 2026'!H1264)</f>
        <v/>
      </c>
      <c r="J1264" s="275">
        <f>IF(ISBLANK('ENGAGEMENTS 2026'!C1264),"",IF(AND(OR($E1264="INFRUCTUEUX",$E1264="ANNULE"),$C1264="AOO-M"),'ENGAGEMENTS 2026'!P1264,IF($H1264="EN COURS DE PREENGAGEMENT",'ENGAGEMENTS 2026'!O1264,IF($H1264="PREENGAGE",IF($E1264="ATTRIBUE",'ENGAGEMENTS 2026'!AE1264,'ENGAGEMENTS 2026'!O1264),'ENGAGEMENTS 2026'!AE1264))))</f>
        <v/>
      </c>
      <c r="K1264" s="604">
        <f>IF(ISBLANK('ENGAGEMENTS 2026'!W1264),"",'ENGAGEMENTS 2026'!W1264)</f>
        <v/>
      </c>
      <c r="L1264" s="276">
        <f>IF($K1264="","",TODAY()-$K1264)</f>
        <v/>
      </c>
      <c r="M1264">
        <f>IF($A1264="","",IF($H1264="ENGAGE","Engagé",IF(AND($H1264="NON ENGAGE",OR($I1264="INFRUCTUEUX",$I1264="ANNULE")),"Clôturé sans suite","En cours")))</f>
        <v/>
      </c>
      <c r="N1264">
        <f>IF(ISBLANK('ENGAGEMENTS 2026'!C1264),"",'ENGAGEMENTS 2026'!L1264)</f>
        <v/>
      </c>
      <c r="O1264">
        <f>IF(ISBLANK('ENGAGEMENTS 2026'!C1264),"",'ENGAGEMENTS 2026'!M1264)</f>
        <v/>
      </c>
      <c r="P1264">
        <f>IF(ISBLANK('ENGAGEMENTS 2026'!C1264),"",'ENGAGEMENTS 2026'!K1264)</f>
        <v/>
      </c>
      <c r="Q1264">
        <f>IF($A1264="","",IF(OR($E1264="INFRUCTUEUX",$E1264="ANNULE"),$A1264&amp;"|"&amp;(COUNTIFS($A$2:$A1264,$A1264,$E$2:$E1264,"INFRUCTUEUX")+COUNTIFS($A$2:$A1264,$A1264,$E$2:$E1264,"ANNULE")),""))</f>
        <v/>
      </c>
    </row>
    <row r="1265">
      <c r="A1265">
        <f>IF(ISBLANK('ENGAGEMENTS 2026'!C1265),"",IF('ENGAGEMENTS 2026'!C1265="DTSI","DCT",'ENGAGEMENTS 2026'!C1265))</f>
        <v/>
      </c>
      <c r="B1265">
        <f>IF(ISBLANK('ENGAGEMENTS 2026'!C1265),"",'ENGAGEMENTS 2026'!D1265)</f>
        <v/>
      </c>
      <c r="C1265">
        <f>IF(ISBLANK('ENGAGEMENTS 2026'!C1265),"",'ENGAGEMENTS 2026'!E1265)</f>
        <v/>
      </c>
      <c r="D1265">
        <f>IF(ISBLANK('ENGAGEMENTS 2026'!C1265),"",'ENGAGEMENTS 2026'!G1265)</f>
        <v/>
      </c>
      <c r="E1265">
        <f>IF(ISBLANK('ENGAGEMENTS 2026'!C1265),"",'ENGAGEMENTS 2026'!I1265)</f>
        <v/>
      </c>
      <c r="F1265">
        <f>IF(ISBLANK('ENGAGEMENTS 2026'!C1265),"",'ENGAGEMENTS 2026'!J1265)</f>
        <v/>
      </c>
      <c r="G1265">
        <f>IF(ISBLANK('ENGAGEMENTS 2026'!C1265),"",'ENGAGEMENTS 2026'!M1265)</f>
        <v/>
      </c>
      <c r="H1265">
        <f>IF(ISBLANK('ENGAGEMENTS 2026'!C1265),"",'ENGAGEMENTS 2026'!AF1265)</f>
        <v/>
      </c>
      <c r="I1265">
        <f>IF(ISBLANK('ENGAGEMENTS 2026'!C1265),"",'ENGAGEMENTS 2026'!H1265)</f>
        <v/>
      </c>
      <c r="J1265" s="275">
        <f>IF(ISBLANK('ENGAGEMENTS 2026'!C1265),"",IF(AND(OR($E1265="INFRUCTUEUX",$E1265="ANNULE"),$C1265="AOO-M"),'ENGAGEMENTS 2026'!P1265,IF($H1265="EN COURS DE PREENGAGEMENT",'ENGAGEMENTS 2026'!O1265,IF($H1265="PREENGAGE",IF($E1265="ATTRIBUE",'ENGAGEMENTS 2026'!AE1265,'ENGAGEMENTS 2026'!O1265),'ENGAGEMENTS 2026'!AE1265))))</f>
        <v/>
      </c>
      <c r="K1265" s="604">
        <f>IF(ISBLANK('ENGAGEMENTS 2026'!W1265),"",'ENGAGEMENTS 2026'!W1265)</f>
        <v/>
      </c>
      <c r="L1265" s="276">
        <f>IF($K1265="","",TODAY()-$K1265)</f>
        <v/>
      </c>
      <c r="M1265">
        <f>IF($A1265="","",IF($H1265="ENGAGE","Engagé",IF(AND($H1265="NON ENGAGE",OR($I1265="INFRUCTUEUX",$I1265="ANNULE")),"Clôturé sans suite","En cours")))</f>
        <v/>
      </c>
      <c r="N1265">
        <f>IF(ISBLANK('ENGAGEMENTS 2026'!C1265),"",'ENGAGEMENTS 2026'!L1265)</f>
        <v/>
      </c>
      <c r="O1265">
        <f>IF(ISBLANK('ENGAGEMENTS 2026'!C1265),"",'ENGAGEMENTS 2026'!M1265)</f>
        <v/>
      </c>
      <c r="P1265">
        <f>IF(ISBLANK('ENGAGEMENTS 2026'!C1265),"",'ENGAGEMENTS 2026'!K1265)</f>
        <v/>
      </c>
      <c r="Q1265">
        <f>IF($A1265="","",IF(OR($E1265="INFRUCTUEUX",$E1265="ANNULE"),$A1265&amp;"|"&amp;(COUNTIFS($A$2:$A1265,$A1265,$E$2:$E1265,"INFRUCTUEUX")+COUNTIFS($A$2:$A1265,$A1265,$E$2:$E1265,"ANNULE")),""))</f>
        <v/>
      </c>
    </row>
    <row r="1266">
      <c r="A1266">
        <f>IF(ISBLANK('ENGAGEMENTS 2026'!C1266),"",IF('ENGAGEMENTS 2026'!C1266="DTSI","DCT",'ENGAGEMENTS 2026'!C1266))</f>
        <v/>
      </c>
      <c r="B1266">
        <f>IF(ISBLANK('ENGAGEMENTS 2026'!C1266),"",'ENGAGEMENTS 2026'!D1266)</f>
        <v/>
      </c>
      <c r="C1266">
        <f>IF(ISBLANK('ENGAGEMENTS 2026'!C1266),"",'ENGAGEMENTS 2026'!E1266)</f>
        <v/>
      </c>
      <c r="D1266">
        <f>IF(ISBLANK('ENGAGEMENTS 2026'!C1266),"",'ENGAGEMENTS 2026'!G1266)</f>
        <v/>
      </c>
      <c r="E1266">
        <f>IF(ISBLANK('ENGAGEMENTS 2026'!C1266),"",'ENGAGEMENTS 2026'!I1266)</f>
        <v/>
      </c>
      <c r="F1266">
        <f>IF(ISBLANK('ENGAGEMENTS 2026'!C1266),"",'ENGAGEMENTS 2026'!J1266)</f>
        <v/>
      </c>
      <c r="G1266">
        <f>IF(ISBLANK('ENGAGEMENTS 2026'!C1266),"",'ENGAGEMENTS 2026'!M1266)</f>
        <v/>
      </c>
      <c r="H1266">
        <f>IF(ISBLANK('ENGAGEMENTS 2026'!C1266),"",'ENGAGEMENTS 2026'!AF1266)</f>
        <v/>
      </c>
      <c r="I1266">
        <f>IF(ISBLANK('ENGAGEMENTS 2026'!C1266),"",'ENGAGEMENTS 2026'!H1266)</f>
        <v/>
      </c>
      <c r="J1266" s="275">
        <f>IF(ISBLANK('ENGAGEMENTS 2026'!C1266),"",IF(AND(OR($E1266="INFRUCTUEUX",$E1266="ANNULE"),$C1266="AOO-M"),'ENGAGEMENTS 2026'!P1266,IF($H1266="EN COURS DE PREENGAGEMENT",'ENGAGEMENTS 2026'!O1266,IF($H1266="PREENGAGE",IF($E1266="ATTRIBUE",'ENGAGEMENTS 2026'!AE1266,'ENGAGEMENTS 2026'!O1266),'ENGAGEMENTS 2026'!AE1266))))</f>
        <v/>
      </c>
      <c r="K1266" s="604">
        <f>IF(ISBLANK('ENGAGEMENTS 2026'!W1266),"",'ENGAGEMENTS 2026'!W1266)</f>
        <v/>
      </c>
      <c r="L1266" s="276">
        <f>IF($K1266="","",TODAY()-$K1266)</f>
        <v/>
      </c>
      <c r="M1266">
        <f>IF($A1266="","",IF($H1266="ENGAGE","Engagé",IF(AND($H1266="NON ENGAGE",OR($I1266="INFRUCTUEUX",$I1266="ANNULE")),"Clôturé sans suite","En cours")))</f>
        <v/>
      </c>
      <c r="N1266">
        <f>IF(ISBLANK('ENGAGEMENTS 2026'!C1266),"",'ENGAGEMENTS 2026'!L1266)</f>
        <v/>
      </c>
      <c r="O1266">
        <f>IF(ISBLANK('ENGAGEMENTS 2026'!C1266),"",'ENGAGEMENTS 2026'!M1266)</f>
        <v/>
      </c>
      <c r="P1266">
        <f>IF(ISBLANK('ENGAGEMENTS 2026'!C1266),"",'ENGAGEMENTS 2026'!K1266)</f>
        <v/>
      </c>
      <c r="Q1266">
        <f>IF($A1266="","",IF(OR($E1266="INFRUCTUEUX",$E1266="ANNULE"),$A1266&amp;"|"&amp;(COUNTIFS($A$2:$A1266,$A1266,$E$2:$E1266,"INFRUCTUEUX")+COUNTIFS($A$2:$A1266,$A1266,$E$2:$E1266,"ANNULE")),""))</f>
        <v/>
      </c>
    </row>
    <row r="1267">
      <c r="A1267">
        <f>IF(ISBLANK('ENGAGEMENTS 2026'!C1267),"",IF('ENGAGEMENTS 2026'!C1267="DTSI","DCT",'ENGAGEMENTS 2026'!C1267))</f>
        <v/>
      </c>
      <c r="B1267">
        <f>IF(ISBLANK('ENGAGEMENTS 2026'!C1267),"",'ENGAGEMENTS 2026'!D1267)</f>
        <v/>
      </c>
      <c r="C1267">
        <f>IF(ISBLANK('ENGAGEMENTS 2026'!C1267),"",'ENGAGEMENTS 2026'!E1267)</f>
        <v/>
      </c>
      <c r="D1267">
        <f>IF(ISBLANK('ENGAGEMENTS 2026'!C1267),"",'ENGAGEMENTS 2026'!G1267)</f>
        <v/>
      </c>
      <c r="E1267">
        <f>IF(ISBLANK('ENGAGEMENTS 2026'!C1267),"",'ENGAGEMENTS 2026'!I1267)</f>
        <v/>
      </c>
      <c r="F1267">
        <f>IF(ISBLANK('ENGAGEMENTS 2026'!C1267),"",'ENGAGEMENTS 2026'!J1267)</f>
        <v/>
      </c>
      <c r="G1267">
        <f>IF(ISBLANK('ENGAGEMENTS 2026'!C1267),"",'ENGAGEMENTS 2026'!M1267)</f>
        <v/>
      </c>
      <c r="H1267">
        <f>IF(ISBLANK('ENGAGEMENTS 2026'!C1267),"",'ENGAGEMENTS 2026'!AF1267)</f>
        <v/>
      </c>
      <c r="I1267">
        <f>IF(ISBLANK('ENGAGEMENTS 2026'!C1267),"",'ENGAGEMENTS 2026'!H1267)</f>
        <v/>
      </c>
      <c r="J1267" s="275">
        <f>IF(ISBLANK('ENGAGEMENTS 2026'!C1267),"",IF(AND(OR($E1267="INFRUCTUEUX",$E1267="ANNULE"),$C1267="AOO-M"),'ENGAGEMENTS 2026'!P1267,IF($H1267="EN COURS DE PREENGAGEMENT",'ENGAGEMENTS 2026'!O1267,IF($H1267="PREENGAGE",IF($E1267="ATTRIBUE",'ENGAGEMENTS 2026'!AE1267,'ENGAGEMENTS 2026'!O1267),'ENGAGEMENTS 2026'!AE1267))))</f>
        <v/>
      </c>
      <c r="K1267" s="604">
        <f>IF(ISBLANK('ENGAGEMENTS 2026'!W1267),"",'ENGAGEMENTS 2026'!W1267)</f>
        <v/>
      </c>
      <c r="L1267" s="276">
        <f>IF($K1267="","",TODAY()-$K1267)</f>
        <v/>
      </c>
      <c r="M1267">
        <f>IF($A1267="","",IF($H1267="ENGAGE","Engagé",IF(AND($H1267="NON ENGAGE",OR($I1267="INFRUCTUEUX",$I1267="ANNULE")),"Clôturé sans suite","En cours")))</f>
        <v/>
      </c>
      <c r="N1267">
        <f>IF(ISBLANK('ENGAGEMENTS 2026'!C1267),"",'ENGAGEMENTS 2026'!L1267)</f>
        <v/>
      </c>
      <c r="O1267">
        <f>IF(ISBLANK('ENGAGEMENTS 2026'!C1267),"",'ENGAGEMENTS 2026'!M1267)</f>
        <v/>
      </c>
      <c r="P1267">
        <f>IF(ISBLANK('ENGAGEMENTS 2026'!C1267),"",'ENGAGEMENTS 2026'!K1267)</f>
        <v/>
      </c>
      <c r="Q1267">
        <f>IF($A1267="","",IF(OR($E1267="INFRUCTUEUX",$E1267="ANNULE"),$A1267&amp;"|"&amp;(COUNTIFS($A$2:$A1267,$A1267,$E$2:$E1267,"INFRUCTUEUX")+COUNTIFS($A$2:$A1267,$A1267,$E$2:$E1267,"ANNULE")),""))</f>
        <v/>
      </c>
    </row>
    <row r="1268">
      <c r="A1268">
        <f>IF(ISBLANK('ENGAGEMENTS 2026'!C1268),"",IF('ENGAGEMENTS 2026'!C1268="DTSI","DCT",'ENGAGEMENTS 2026'!C1268))</f>
        <v/>
      </c>
      <c r="B1268">
        <f>IF(ISBLANK('ENGAGEMENTS 2026'!C1268),"",'ENGAGEMENTS 2026'!D1268)</f>
        <v/>
      </c>
      <c r="C1268">
        <f>IF(ISBLANK('ENGAGEMENTS 2026'!C1268),"",'ENGAGEMENTS 2026'!E1268)</f>
        <v/>
      </c>
      <c r="D1268">
        <f>IF(ISBLANK('ENGAGEMENTS 2026'!C1268),"",'ENGAGEMENTS 2026'!G1268)</f>
        <v/>
      </c>
      <c r="E1268">
        <f>IF(ISBLANK('ENGAGEMENTS 2026'!C1268),"",'ENGAGEMENTS 2026'!I1268)</f>
        <v/>
      </c>
      <c r="F1268">
        <f>IF(ISBLANK('ENGAGEMENTS 2026'!C1268),"",'ENGAGEMENTS 2026'!J1268)</f>
        <v/>
      </c>
      <c r="G1268">
        <f>IF(ISBLANK('ENGAGEMENTS 2026'!C1268),"",'ENGAGEMENTS 2026'!M1268)</f>
        <v/>
      </c>
      <c r="H1268">
        <f>IF(ISBLANK('ENGAGEMENTS 2026'!C1268),"",'ENGAGEMENTS 2026'!AF1268)</f>
        <v/>
      </c>
      <c r="I1268">
        <f>IF(ISBLANK('ENGAGEMENTS 2026'!C1268),"",'ENGAGEMENTS 2026'!H1268)</f>
        <v/>
      </c>
      <c r="J1268" s="275">
        <f>IF(ISBLANK('ENGAGEMENTS 2026'!C1268),"",IF(AND(OR($E1268="INFRUCTUEUX",$E1268="ANNULE"),$C1268="AOO-M"),'ENGAGEMENTS 2026'!P1268,IF($H1268="EN COURS DE PREENGAGEMENT",'ENGAGEMENTS 2026'!O1268,IF($H1268="PREENGAGE",IF($E1268="ATTRIBUE",'ENGAGEMENTS 2026'!AE1268,'ENGAGEMENTS 2026'!O1268),'ENGAGEMENTS 2026'!AE1268))))</f>
        <v/>
      </c>
      <c r="K1268" s="604">
        <f>IF(ISBLANK('ENGAGEMENTS 2026'!W1268),"",'ENGAGEMENTS 2026'!W1268)</f>
        <v/>
      </c>
      <c r="L1268" s="276">
        <f>IF($K1268="","",TODAY()-$K1268)</f>
        <v/>
      </c>
      <c r="M1268">
        <f>IF($A1268="","",IF($H1268="ENGAGE","Engagé",IF(AND($H1268="NON ENGAGE",OR($I1268="INFRUCTUEUX",$I1268="ANNULE")),"Clôturé sans suite","En cours")))</f>
        <v/>
      </c>
      <c r="N1268">
        <f>IF(ISBLANK('ENGAGEMENTS 2026'!C1268),"",'ENGAGEMENTS 2026'!L1268)</f>
        <v/>
      </c>
      <c r="O1268">
        <f>IF(ISBLANK('ENGAGEMENTS 2026'!C1268),"",'ENGAGEMENTS 2026'!M1268)</f>
        <v/>
      </c>
      <c r="P1268">
        <f>IF(ISBLANK('ENGAGEMENTS 2026'!C1268),"",'ENGAGEMENTS 2026'!K1268)</f>
        <v/>
      </c>
      <c r="Q1268">
        <f>IF($A1268="","",IF(OR($E1268="INFRUCTUEUX",$E1268="ANNULE"),$A1268&amp;"|"&amp;(COUNTIFS($A$2:$A1268,$A1268,$E$2:$E1268,"INFRUCTUEUX")+COUNTIFS($A$2:$A1268,$A1268,$E$2:$E1268,"ANNULE")),""))</f>
        <v/>
      </c>
    </row>
    <row r="1269">
      <c r="A1269">
        <f>IF(ISBLANK('ENGAGEMENTS 2026'!C1269),"",IF('ENGAGEMENTS 2026'!C1269="DTSI","DCT",'ENGAGEMENTS 2026'!C1269))</f>
        <v/>
      </c>
      <c r="B1269">
        <f>IF(ISBLANK('ENGAGEMENTS 2026'!C1269),"",'ENGAGEMENTS 2026'!D1269)</f>
        <v/>
      </c>
      <c r="C1269">
        <f>IF(ISBLANK('ENGAGEMENTS 2026'!C1269),"",'ENGAGEMENTS 2026'!E1269)</f>
        <v/>
      </c>
      <c r="D1269">
        <f>IF(ISBLANK('ENGAGEMENTS 2026'!C1269),"",'ENGAGEMENTS 2026'!G1269)</f>
        <v/>
      </c>
      <c r="E1269">
        <f>IF(ISBLANK('ENGAGEMENTS 2026'!C1269),"",'ENGAGEMENTS 2026'!I1269)</f>
        <v/>
      </c>
      <c r="F1269">
        <f>IF(ISBLANK('ENGAGEMENTS 2026'!C1269),"",'ENGAGEMENTS 2026'!J1269)</f>
        <v/>
      </c>
      <c r="G1269">
        <f>IF(ISBLANK('ENGAGEMENTS 2026'!C1269),"",'ENGAGEMENTS 2026'!M1269)</f>
        <v/>
      </c>
      <c r="H1269">
        <f>IF(ISBLANK('ENGAGEMENTS 2026'!C1269),"",'ENGAGEMENTS 2026'!AF1269)</f>
        <v/>
      </c>
      <c r="I1269">
        <f>IF(ISBLANK('ENGAGEMENTS 2026'!C1269),"",'ENGAGEMENTS 2026'!H1269)</f>
        <v/>
      </c>
      <c r="J1269" s="275">
        <f>IF(ISBLANK('ENGAGEMENTS 2026'!C1269),"",IF(AND(OR($E1269="INFRUCTUEUX",$E1269="ANNULE"),$C1269="AOO-M"),'ENGAGEMENTS 2026'!P1269,IF($H1269="EN COURS DE PREENGAGEMENT",'ENGAGEMENTS 2026'!O1269,IF($H1269="PREENGAGE",IF($E1269="ATTRIBUE",'ENGAGEMENTS 2026'!AE1269,'ENGAGEMENTS 2026'!O1269),'ENGAGEMENTS 2026'!AE1269))))</f>
        <v/>
      </c>
      <c r="K1269" s="604">
        <f>IF(ISBLANK('ENGAGEMENTS 2026'!W1269),"",'ENGAGEMENTS 2026'!W1269)</f>
        <v/>
      </c>
      <c r="L1269" s="276">
        <f>IF($K1269="","",TODAY()-$K1269)</f>
        <v/>
      </c>
      <c r="M1269">
        <f>IF($A1269="","",IF($H1269="ENGAGE","Engagé",IF(AND($H1269="NON ENGAGE",OR($I1269="INFRUCTUEUX",$I1269="ANNULE")),"Clôturé sans suite","En cours")))</f>
        <v/>
      </c>
      <c r="N1269">
        <f>IF(ISBLANK('ENGAGEMENTS 2026'!C1269),"",'ENGAGEMENTS 2026'!L1269)</f>
        <v/>
      </c>
      <c r="O1269">
        <f>IF(ISBLANK('ENGAGEMENTS 2026'!C1269),"",'ENGAGEMENTS 2026'!M1269)</f>
        <v/>
      </c>
      <c r="P1269">
        <f>IF(ISBLANK('ENGAGEMENTS 2026'!C1269),"",'ENGAGEMENTS 2026'!K1269)</f>
        <v/>
      </c>
      <c r="Q1269">
        <f>IF($A1269="","",IF(OR($E1269="INFRUCTUEUX",$E1269="ANNULE"),$A1269&amp;"|"&amp;(COUNTIFS($A$2:$A1269,$A1269,$E$2:$E1269,"INFRUCTUEUX")+COUNTIFS($A$2:$A1269,$A1269,$E$2:$E1269,"ANNULE")),""))</f>
        <v/>
      </c>
    </row>
    <row r="1270">
      <c r="A1270">
        <f>IF(ISBLANK('ENGAGEMENTS 2026'!C1270),"",IF('ENGAGEMENTS 2026'!C1270="DTSI","DCT",'ENGAGEMENTS 2026'!C1270))</f>
        <v/>
      </c>
      <c r="B1270">
        <f>IF(ISBLANK('ENGAGEMENTS 2026'!C1270),"",'ENGAGEMENTS 2026'!D1270)</f>
        <v/>
      </c>
      <c r="C1270">
        <f>IF(ISBLANK('ENGAGEMENTS 2026'!C1270),"",'ENGAGEMENTS 2026'!E1270)</f>
        <v/>
      </c>
      <c r="D1270">
        <f>IF(ISBLANK('ENGAGEMENTS 2026'!C1270),"",'ENGAGEMENTS 2026'!G1270)</f>
        <v/>
      </c>
      <c r="E1270">
        <f>IF(ISBLANK('ENGAGEMENTS 2026'!C1270),"",'ENGAGEMENTS 2026'!I1270)</f>
        <v/>
      </c>
      <c r="F1270">
        <f>IF(ISBLANK('ENGAGEMENTS 2026'!C1270),"",'ENGAGEMENTS 2026'!J1270)</f>
        <v/>
      </c>
      <c r="G1270">
        <f>IF(ISBLANK('ENGAGEMENTS 2026'!C1270),"",'ENGAGEMENTS 2026'!M1270)</f>
        <v/>
      </c>
      <c r="H1270">
        <f>IF(ISBLANK('ENGAGEMENTS 2026'!C1270),"",'ENGAGEMENTS 2026'!AF1270)</f>
        <v/>
      </c>
      <c r="I1270">
        <f>IF(ISBLANK('ENGAGEMENTS 2026'!C1270),"",'ENGAGEMENTS 2026'!H1270)</f>
        <v/>
      </c>
      <c r="J1270" s="275">
        <f>IF(ISBLANK('ENGAGEMENTS 2026'!C1270),"",IF(AND(OR($E1270="INFRUCTUEUX",$E1270="ANNULE"),$C1270="AOO-M"),'ENGAGEMENTS 2026'!P1270,IF($H1270="EN COURS DE PREENGAGEMENT",'ENGAGEMENTS 2026'!O1270,IF($H1270="PREENGAGE",IF($E1270="ATTRIBUE",'ENGAGEMENTS 2026'!AE1270,'ENGAGEMENTS 2026'!O1270),'ENGAGEMENTS 2026'!AE1270))))</f>
        <v/>
      </c>
      <c r="K1270" s="604">
        <f>IF(ISBLANK('ENGAGEMENTS 2026'!W1270),"",'ENGAGEMENTS 2026'!W1270)</f>
        <v/>
      </c>
      <c r="L1270" s="276">
        <f>IF($K1270="","",TODAY()-$K1270)</f>
        <v/>
      </c>
      <c r="M1270">
        <f>IF($A1270="","",IF($H1270="ENGAGE","Engagé",IF(AND($H1270="NON ENGAGE",OR($I1270="INFRUCTUEUX",$I1270="ANNULE")),"Clôturé sans suite","En cours")))</f>
        <v/>
      </c>
      <c r="N1270">
        <f>IF(ISBLANK('ENGAGEMENTS 2026'!C1270),"",'ENGAGEMENTS 2026'!L1270)</f>
        <v/>
      </c>
      <c r="O1270">
        <f>IF(ISBLANK('ENGAGEMENTS 2026'!C1270),"",'ENGAGEMENTS 2026'!M1270)</f>
        <v/>
      </c>
      <c r="P1270">
        <f>IF(ISBLANK('ENGAGEMENTS 2026'!C1270),"",'ENGAGEMENTS 2026'!K1270)</f>
        <v/>
      </c>
      <c r="Q1270">
        <f>IF($A1270="","",IF(OR($E1270="INFRUCTUEUX",$E1270="ANNULE"),$A1270&amp;"|"&amp;(COUNTIFS($A$2:$A1270,$A1270,$E$2:$E1270,"INFRUCTUEUX")+COUNTIFS($A$2:$A1270,$A1270,$E$2:$E1270,"ANNULE")),""))</f>
        <v/>
      </c>
    </row>
    <row r="1271">
      <c r="A1271">
        <f>IF(ISBLANK('ENGAGEMENTS 2026'!C1271),"",IF('ENGAGEMENTS 2026'!C1271="DTSI","DCT",'ENGAGEMENTS 2026'!C1271))</f>
        <v/>
      </c>
      <c r="B1271">
        <f>IF(ISBLANK('ENGAGEMENTS 2026'!C1271),"",'ENGAGEMENTS 2026'!D1271)</f>
        <v/>
      </c>
      <c r="C1271">
        <f>IF(ISBLANK('ENGAGEMENTS 2026'!C1271),"",'ENGAGEMENTS 2026'!E1271)</f>
        <v/>
      </c>
      <c r="D1271">
        <f>IF(ISBLANK('ENGAGEMENTS 2026'!C1271),"",'ENGAGEMENTS 2026'!G1271)</f>
        <v/>
      </c>
      <c r="E1271">
        <f>IF(ISBLANK('ENGAGEMENTS 2026'!C1271),"",'ENGAGEMENTS 2026'!I1271)</f>
        <v/>
      </c>
      <c r="F1271">
        <f>IF(ISBLANK('ENGAGEMENTS 2026'!C1271),"",'ENGAGEMENTS 2026'!J1271)</f>
        <v/>
      </c>
      <c r="G1271">
        <f>IF(ISBLANK('ENGAGEMENTS 2026'!C1271),"",'ENGAGEMENTS 2026'!M1271)</f>
        <v/>
      </c>
      <c r="H1271">
        <f>IF(ISBLANK('ENGAGEMENTS 2026'!C1271),"",'ENGAGEMENTS 2026'!AF1271)</f>
        <v/>
      </c>
      <c r="I1271">
        <f>IF(ISBLANK('ENGAGEMENTS 2026'!C1271),"",'ENGAGEMENTS 2026'!H1271)</f>
        <v/>
      </c>
      <c r="J1271" s="275">
        <f>IF(ISBLANK('ENGAGEMENTS 2026'!C1271),"",IF(AND(OR($E1271="INFRUCTUEUX",$E1271="ANNULE"),$C1271="AOO-M"),'ENGAGEMENTS 2026'!P1271,IF($H1271="EN COURS DE PREENGAGEMENT",'ENGAGEMENTS 2026'!O1271,IF($H1271="PREENGAGE",IF($E1271="ATTRIBUE",'ENGAGEMENTS 2026'!AE1271,'ENGAGEMENTS 2026'!O1271),'ENGAGEMENTS 2026'!AE1271))))</f>
        <v/>
      </c>
      <c r="K1271" s="604">
        <f>IF(ISBLANK('ENGAGEMENTS 2026'!W1271),"",'ENGAGEMENTS 2026'!W1271)</f>
        <v/>
      </c>
      <c r="L1271" s="276">
        <f>IF($K1271="","",TODAY()-$K1271)</f>
        <v/>
      </c>
      <c r="M1271">
        <f>IF($A1271="","",IF($H1271="ENGAGE","Engagé",IF(AND($H1271="NON ENGAGE",OR($I1271="INFRUCTUEUX",$I1271="ANNULE")),"Clôturé sans suite","En cours")))</f>
        <v/>
      </c>
      <c r="N1271">
        <f>IF(ISBLANK('ENGAGEMENTS 2026'!C1271),"",'ENGAGEMENTS 2026'!L1271)</f>
        <v/>
      </c>
      <c r="O1271">
        <f>IF(ISBLANK('ENGAGEMENTS 2026'!C1271),"",'ENGAGEMENTS 2026'!M1271)</f>
        <v/>
      </c>
      <c r="P1271">
        <f>IF(ISBLANK('ENGAGEMENTS 2026'!C1271),"",'ENGAGEMENTS 2026'!K1271)</f>
        <v/>
      </c>
      <c r="Q1271">
        <f>IF($A1271="","",IF(OR($E1271="INFRUCTUEUX",$E1271="ANNULE"),$A1271&amp;"|"&amp;(COUNTIFS($A$2:$A1271,$A1271,$E$2:$E1271,"INFRUCTUEUX")+COUNTIFS($A$2:$A1271,$A1271,$E$2:$E1271,"ANNULE")),""))</f>
        <v/>
      </c>
    </row>
    <row r="1272">
      <c r="A1272">
        <f>IF(ISBLANK('ENGAGEMENTS 2026'!C1272),"",IF('ENGAGEMENTS 2026'!C1272="DTSI","DCT",'ENGAGEMENTS 2026'!C1272))</f>
        <v/>
      </c>
      <c r="B1272">
        <f>IF(ISBLANK('ENGAGEMENTS 2026'!C1272),"",'ENGAGEMENTS 2026'!D1272)</f>
        <v/>
      </c>
      <c r="C1272">
        <f>IF(ISBLANK('ENGAGEMENTS 2026'!C1272),"",'ENGAGEMENTS 2026'!E1272)</f>
        <v/>
      </c>
      <c r="D1272">
        <f>IF(ISBLANK('ENGAGEMENTS 2026'!C1272),"",'ENGAGEMENTS 2026'!G1272)</f>
        <v/>
      </c>
      <c r="E1272">
        <f>IF(ISBLANK('ENGAGEMENTS 2026'!C1272),"",'ENGAGEMENTS 2026'!I1272)</f>
        <v/>
      </c>
      <c r="F1272">
        <f>IF(ISBLANK('ENGAGEMENTS 2026'!C1272),"",'ENGAGEMENTS 2026'!J1272)</f>
        <v/>
      </c>
      <c r="G1272">
        <f>IF(ISBLANK('ENGAGEMENTS 2026'!C1272),"",'ENGAGEMENTS 2026'!M1272)</f>
        <v/>
      </c>
      <c r="H1272">
        <f>IF(ISBLANK('ENGAGEMENTS 2026'!C1272),"",'ENGAGEMENTS 2026'!AF1272)</f>
        <v/>
      </c>
      <c r="I1272">
        <f>IF(ISBLANK('ENGAGEMENTS 2026'!C1272),"",'ENGAGEMENTS 2026'!H1272)</f>
        <v/>
      </c>
      <c r="J1272" s="275">
        <f>IF(ISBLANK('ENGAGEMENTS 2026'!C1272),"",IF(AND(OR($E1272="INFRUCTUEUX",$E1272="ANNULE"),$C1272="AOO-M"),'ENGAGEMENTS 2026'!P1272,IF($H1272="EN COURS DE PREENGAGEMENT",'ENGAGEMENTS 2026'!O1272,IF($H1272="PREENGAGE",IF($E1272="ATTRIBUE",'ENGAGEMENTS 2026'!AE1272,'ENGAGEMENTS 2026'!O1272),'ENGAGEMENTS 2026'!AE1272))))</f>
        <v/>
      </c>
      <c r="K1272" s="604">
        <f>IF(ISBLANK('ENGAGEMENTS 2026'!W1272),"",'ENGAGEMENTS 2026'!W1272)</f>
        <v/>
      </c>
      <c r="L1272" s="276">
        <f>IF($K1272="","",TODAY()-$K1272)</f>
        <v/>
      </c>
      <c r="M1272">
        <f>IF($A1272="","",IF($H1272="ENGAGE","Engagé",IF(AND($H1272="NON ENGAGE",OR($I1272="INFRUCTUEUX",$I1272="ANNULE")),"Clôturé sans suite","En cours")))</f>
        <v/>
      </c>
      <c r="N1272">
        <f>IF(ISBLANK('ENGAGEMENTS 2026'!C1272),"",'ENGAGEMENTS 2026'!L1272)</f>
        <v/>
      </c>
      <c r="O1272">
        <f>IF(ISBLANK('ENGAGEMENTS 2026'!C1272),"",'ENGAGEMENTS 2026'!M1272)</f>
        <v/>
      </c>
      <c r="P1272">
        <f>IF(ISBLANK('ENGAGEMENTS 2026'!C1272),"",'ENGAGEMENTS 2026'!K1272)</f>
        <v/>
      </c>
      <c r="Q1272">
        <f>IF($A1272="","",IF(OR($E1272="INFRUCTUEUX",$E1272="ANNULE"),$A1272&amp;"|"&amp;(COUNTIFS($A$2:$A1272,$A1272,$E$2:$E1272,"INFRUCTUEUX")+COUNTIFS($A$2:$A1272,$A1272,$E$2:$E1272,"ANNULE")),""))</f>
        <v/>
      </c>
    </row>
    <row r="1273">
      <c r="A1273">
        <f>IF(ISBLANK('ENGAGEMENTS 2026'!C1273),"",IF('ENGAGEMENTS 2026'!C1273="DTSI","DCT",'ENGAGEMENTS 2026'!C1273))</f>
        <v/>
      </c>
      <c r="B1273">
        <f>IF(ISBLANK('ENGAGEMENTS 2026'!C1273),"",'ENGAGEMENTS 2026'!D1273)</f>
        <v/>
      </c>
      <c r="C1273">
        <f>IF(ISBLANK('ENGAGEMENTS 2026'!C1273),"",'ENGAGEMENTS 2026'!E1273)</f>
        <v/>
      </c>
      <c r="D1273">
        <f>IF(ISBLANK('ENGAGEMENTS 2026'!C1273),"",'ENGAGEMENTS 2026'!G1273)</f>
        <v/>
      </c>
      <c r="E1273">
        <f>IF(ISBLANK('ENGAGEMENTS 2026'!C1273),"",'ENGAGEMENTS 2026'!I1273)</f>
        <v/>
      </c>
      <c r="F1273">
        <f>IF(ISBLANK('ENGAGEMENTS 2026'!C1273),"",'ENGAGEMENTS 2026'!J1273)</f>
        <v/>
      </c>
      <c r="G1273">
        <f>IF(ISBLANK('ENGAGEMENTS 2026'!C1273),"",'ENGAGEMENTS 2026'!M1273)</f>
        <v/>
      </c>
      <c r="H1273">
        <f>IF(ISBLANK('ENGAGEMENTS 2026'!C1273),"",'ENGAGEMENTS 2026'!AF1273)</f>
        <v/>
      </c>
      <c r="I1273">
        <f>IF(ISBLANK('ENGAGEMENTS 2026'!C1273),"",'ENGAGEMENTS 2026'!H1273)</f>
        <v/>
      </c>
      <c r="J1273" s="275">
        <f>IF(ISBLANK('ENGAGEMENTS 2026'!C1273),"",IF(AND(OR($E1273="INFRUCTUEUX",$E1273="ANNULE"),$C1273="AOO-M"),'ENGAGEMENTS 2026'!P1273,IF($H1273="EN COURS DE PREENGAGEMENT",'ENGAGEMENTS 2026'!O1273,IF($H1273="PREENGAGE",IF($E1273="ATTRIBUE",'ENGAGEMENTS 2026'!AE1273,'ENGAGEMENTS 2026'!O1273),'ENGAGEMENTS 2026'!AE1273))))</f>
        <v/>
      </c>
      <c r="K1273" s="604">
        <f>IF(ISBLANK('ENGAGEMENTS 2026'!W1273),"",'ENGAGEMENTS 2026'!W1273)</f>
        <v/>
      </c>
      <c r="L1273" s="276">
        <f>IF($K1273="","",TODAY()-$K1273)</f>
        <v/>
      </c>
      <c r="M1273">
        <f>IF($A1273="","",IF($H1273="ENGAGE","Engagé",IF(AND($H1273="NON ENGAGE",OR($I1273="INFRUCTUEUX",$I1273="ANNULE")),"Clôturé sans suite","En cours")))</f>
        <v/>
      </c>
      <c r="N1273">
        <f>IF(ISBLANK('ENGAGEMENTS 2026'!C1273),"",'ENGAGEMENTS 2026'!L1273)</f>
        <v/>
      </c>
      <c r="O1273">
        <f>IF(ISBLANK('ENGAGEMENTS 2026'!C1273),"",'ENGAGEMENTS 2026'!M1273)</f>
        <v/>
      </c>
      <c r="P1273">
        <f>IF(ISBLANK('ENGAGEMENTS 2026'!C1273),"",'ENGAGEMENTS 2026'!K1273)</f>
        <v/>
      </c>
      <c r="Q1273">
        <f>IF($A1273="","",IF(OR($E1273="INFRUCTUEUX",$E1273="ANNULE"),$A1273&amp;"|"&amp;(COUNTIFS($A$2:$A1273,$A1273,$E$2:$E1273,"INFRUCTUEUX")+COUNTIFS($A$2:$A1273,$A1273,$E$2:$E1273,"ANNULE")),""))</f>
        <v/>
      </c>
    </row>
    <row r="1274">
      <c r="A1274">
        <f>IF(ISBLANK('ENGAGEMENTS 2026'!C1274),"",IF('ENGAGEMENTS 2026'!C1274="DTSI","DCT",'ENGAGEMENTS 2026'!C1274))</f>
        <v/>
      </c>
      <c r="B1274">
        <f>IF(ISBLANK('ENGAGEMENTS 2026'!C1274),"",'ENGAGEMENTS 2026'!D1274)</f>
        <v/>
      </c>
      <c r="C1274">
        <f>IF(ISBLANK('ENGAGEMENTS 2026'!C1274),"",'ENGAGEMENTS 2026'!E1274)</f>
        <v/>
      </c>
      <c r="D1274">
        <f>IF(ISBLANK('ENGAGEMENTS 2026'!C1274),"",'ENGAGEMENTS 2026'!G1274)</f>
        <v/>
      </c>
      <c r="E1274">
        <f>IF(ISBLANK('ENGAGEMENTS 2026'!C1274),"",'ENGAGEMENTS 2026'!I1274)</f>
        <v/>
      </c>
      <c r="F1274">
        <f>IF(ISBLANK('ENGAGEMENTS 2026'!C1274),"",'ENGAGEMENTS 2026'!J1274)</f>
        <v/>
      </c>
      <c r="G1274">
        <f>IF(ISBLANK('ENGAGEMENTS 2026'!C1274),"",'ENGAGEMENTS 2026'!M1274)</f>
        <v/>
      </c>
      <c r="H1274">
        <f>IF(ISBLANK('ENGAGEMENTS 2026'!C1274),"",'ENGAGEMENTS 2026'!AF1274)</f>
        <v/>
      </c>
      <c r="I1274">
        <f>IF(ISBLANK('ENGAGEMENTS 2026'!C1274),"",'ENGAGEMENTS 2026'!H1274)</f>
        <v/>
      </c>
      <c r="J1274" s="275">
        <f>IF(ISBLANK('ENGAGEMENTS 2026'!C1274),"",IF(AND(OR($E1274="INFRUCTUEUX",$E1274="ANNULE"),$C1274="AOO-M"),'ENGAGEMENTS 2026'!P1274,IF($H1274="EN COURS DE PREENGAGEMENT",'ENGAGEMENTS 2026'!O1274,IF($H1274="PREENGAGE",IF($E1274="ATTRIBUE",'ENGAGEMENTS 2026'!AE1274,'ENGAGEMENTS 2026'!O1274),'ENGAGEMENTS 2026'!AE1274))))</f>
        <v/>
      </c>
      <c r="K1274" s="604">
        <f>IF(ISBLANK('ENGAGEMENTS 2026'!W1274),"",'ENGAGEMENTS 2026'!W1274)</f>
        <v/>
      </c>
      <c r="L1274" s="276">
        <f>IF($K1274="","",TODAY()-$K1274)</f>
        <v/>
      </c>
      <c r="M1274">
        <f>IF($A1274="","",IF($H1274="ENGAGE","Engagé",IF(AND($H1274="NON ENGAGE",OR($I1274="INFRUCTUEUX",$I1274="ANNULE")),"Clôturé sans suite","En cours")))</f>
        <v/>
      </c>
      <c r="N1274">
        <f>IF(ISBLANK('ENGAGEMENTS 2026'!C1274),"",'ENGAGEMENTS 2026'!L1274)</f>
        <v/>
      </c>
      <c r="O1274">
        <f>IF(ISBLANK('ENGAGEMENTS 2026'!C1274),"",'ENGAGEMENTS 2026'!M1274)</f>
        <v/>
      </c>
      <c r="P1274">
        <f>IF(ISBLANK('ENGAGEMENTS 2026'!C1274),"",'ENGAGEMENTS 2026'!K1274)</f>
        <v/>
      </c>
      <c r="Q1274">
        <f>IF($A1274="","",IF(OR($E1274="INFRUCTUEUX",$E1274="ANNULE"),$A1274&amp;"|"&amp;(COUNTIFS($A$2:$A1274,$A1274,$E$2:$E1274,"INFRUCTUEUX")+COUNTIFS($A$2:$A1274,$A1274,$E$2:$E1274,"ANNULE")),""))</f>
        <v/>
      </c>
    </row>
    <row r="1275">
      <c r="A1275">
        <f>IF(ISBLANK('ENGAGEMENTS 2026'!C1275),"",IF('ENGAGEMENTS 2026'!C1275="DTSI","DCT",'ENGAGEMENTS 2026'!C1275))</f>
        <v/>
      </c>
      <c r="B1275">
        <f>IF(ISBLANK('ENGAGEMENTS 2026'!C1275),"",'ENGAGEMENTS 2026'!D1275)</f>
        <v/>
      </c>
      <c r="C1275">
        <f>IF(ISBLANK('ENGAGEMENTS 2026'!C1275),"",'ENGAGEMENTS 2026'!E1275)</f>
        <v/>
      </c>
      <c r="D1275">
        <f>IF(ISBLANK('ENGAGEMENTS 2026'!C1275),"",'ENGAGEMENTS 2026'!G1275)</f>
        <v/>
      </c>
      <c r="E1275">
        <f>IF(ISBLANK('ENGAGEMENTS 2026'!C1275),"",'ENGAGEMENTS 2026'!I1275)</f>
        <v/>
      </c>
      <c r="F1275">
        <f>IF(ISBLANK('ENGAGEMENTS 2026'!C1275),"",'ENGAGEMENTS 2026'!J1275)</f>
        <v/>
      </c>
      <c r="G1275">
        <f>IF(ISBLANK('ENGAGEMENTS 2026'!C1275),"",'ENGAGEMENTS 2026'!M1275)</f>
        <v/>
      </c>
      <c r="H1275">
        <f>IF(ISBLANK('ENGAGEMENTS 2026'!C1275),"",'ENGAGEMENTS 2026'!AF1275)</f>
        <v/>
      </c>
      <c r="I1275">
        <f>IF(ISBLANK('ENGAGEMENTS 2026'!C1275),"",'ENGAGEMENTS 2026'!H1275)</f>
        <v/>
      </c>
      <c r="J1275" s="275">
        <f>IF(ISBLANK('ENGAGEMENTS 2026'!C1275),"",IF(AND(OR($E1275="INFRUCTUEUX",$E1275="ANNULE"),$C1275="AOO-M"),'ENGAGEMENTS 2026'!P1275,IF($H1275="EN COURS DE PREENGAGEMENT",'ENGAGEMENTS 2026'!O1275,IF($H1275="PREENGAGE",IF($E1275="ATTRIBUE",'ENGAGEMENTS 2026'!AE1275,'ENGAGEMENTS 2026'!O1275),'ENGAGEMENTS 2026'!AE1275))))</f>
        <v/>
      </c>
      <c r="K1275" s="604">
        <f>IF(ISBLANK('ENGAGEMENTS 2026'!W1275),"",'ENGAGEMENTS 2026'!W1275)</f>
        <v/>
      </c>
      <c r="L1275" s="276">
        <f>IF($K1275="","",TODAY()-$K1275)</f>
        <v/>
      </c>
      <c r="M1275">
        <f>IF($A1275="","",IF($H1275="ENGAGE","Engagé",IF(AND($H1275="NON ENGAGE",OR($I1275="INFRUCTUEUX",$I1275="ANNULE")),"Clôturé sans suite","En cours")))</f>
        <v/>
      </c>
      <c r="N1275">
        <f>IF(ISBLANK('ENGAGEMENTS 2026'!C1275),"",'ENGAGEMENTS 2026'!L1275)</f>
        <v/>
      </c>
      <c r="O1275">
        <f>IF(ISBLANK('ENGAGEMENTS 2026'!C1275),"",'ENGAGEMENTS 2026'!M1275)</f>
        <v/>
      </c>
      <c r="P1275">
        <f>IF(ISBLANK('ENGAGEMENTS 2026'!C1275),"",'ENGAGEMENTS 2026'!K1275)</f>
        <v/>
      </c>
      <c r="Q1275">
        <f>IF($A1275="","",IF(OR($E1275="INFRUCTUEUX",$E1275="ANNULE"),$A1275&amp;"|"&amp;(COUNTIFS($A$2:$A1275,$A1275,$E$2:$E1275,"INFRUCTUEUX")+COUNTIFS($A$2:$A1275,$A1275,$E$2:$E1275,"ANNULE")),""))</f>
        <v/>
      </c>
    </row>
    <row r="1276">
      <c r="A1276">
        <f>IF(ISBLANK('ENGAGEMENTS 2026'!C1276),"",IF('ENGAGEMENTS 2026'!C1276="DTSI","DCT",'ENGAGEMENTS 2026'!C1276))</f>
        <v/>
      </c>
      <c r="B1276">
        <f>IF(ISBLANK('ENGAGEMENTS 2026'!C1276),"",'ENGAGEMENTS 2026'!D1276)</f>
        <v/>
      </c>
      <c r="C1276">
        <f>IF(ISBLANK('ENGAGEMENTS 2026'!C1276),"",'ENGAGEMENTS 2026'!E1276)</f>
        <v/>
      </c>
      <c r="D1276">
        <f>IF(ISBLANK('ENGAGEMENTS 2026'!C1276),"",'ENGAGEMENTS 2026'!G1276)</f>
        <v/>
      </c>
      <c r="E1276">
        <f>IF(ISBLANK('ENGAGEMENTS 2026'!C1276),"",'ENGAGEMENTS 2026'!I1276)</f>
        <v/>
      </c>
      <c r="F1276">
        <f>IF(ISBLANK('ENGAGEMENTS 2026'!C1276),"",'ENGAGEMENTS 2026'!J1276)</f>
        <v/>
      </c>
      <c r="G1276">
        <f>IF(ISBLANK('ENGAGEMENTS 2026'!C1276),"",'ENGAGEMENTS 2026'!M1276)</f>
        <v/>
      </c>
      <c r="H1276">
        <f>IF(ISBLANK('ENGAGEMENTS 2026'!C1276),"",'ENGAGEMENTS 2026'!AF1276)</f>
        <v/>
      </c>
      <c r="I1276">
        <f>IF(ISBLANK('ENGAGEMENTS 2026'!C1276),"",'ENGAGEMENTS 2026'!H1276)</f>
        <v/>
      </c>
      <c r="J1276" s="275">
        <f>IF(ISBLANK('ENGAGEMENTS 2026'!C1276),"",IF(AND(OR($E1276="INFRUCTUEUX",$E1276="ANNULE"),$C1276="AOO-M"),'ENGAGEMENTS 2026'!P1276,IF($H1276="EN COURS DE PREENGAGEMENT",'ENGAGEMENTS 2026'!O1276,IF($H1276="PREENGAGE",IF($E1276="ATTRIBUE",'ENGAGEMENTS 2026'!AE1276,'ENGAGEMENTS 2026'!O1276),'ENGAGEMENTS 2026'!AE1276))))</f>
        <v/>
      </c>
      <c r="K1276" s="604">
        <f>IF(ISBLANK('ENGAGEMENTS 2026'!W1276),"",'ENGAGEMENTS 2026'!W1276)</f>
        <v/>
      </c>
      <c r="L1276" s="276">
        <f>IF($K1276="","",TODAY()-$K1276)</f>
        <v/>
      </c>
      <c r="M1276">
        <f>IF($A1276="","",IF($H1276="ENGAGE","Engagé",IF(AND($H1276="NON ENGAGE",OR($I1276="INFRUCTUEUX",$I1276="ANNULE")),"Clôturé sans suite","En cours")))</f>
        <v/>
      </c>
      <c r="N1276">
        <f>IF(ISBLANK('ENGAGEMENTS 2026'!C1276),"",'ENGAGEMENTS 2026'!L1276)</f>
        <v/>
      </c>
      <c r="O1276">
        <f>IF(ISBLANK('ENGAGEMENTS 2026'!C1276),"",'ENGAGEMENTS 2026'!M1276)</f>
        <v/>
      </c>
      <c r="P1276">
        <f>IF(ISBLANK('ENGAGEMENTS 2026'!C1276),"",'ENGAGEMENTS 2026'!K1276)</f>
        <v/>
      </c>
      <c r="Q1276">
        <f>IF($A1276="","",IF(OR($E1276="INFRUCTUEUX",$E1276="ANNULE"),$A1276&amp;"|"&amp;(COUNTIFS($A$2:$A1276,$A1276,$E$2:$E1276,"INFRUCTUEUX")+COUNTIFS($A$2:$A1276,$A1276,$E$2:$E1276,"ANNULE")),""))</f>
        <v/>
      </c>
    </row>
    <row r="1277">
      <c r="A1277">
        <f>IF(ISBLANK('ENGAGEMENTS 2026'!C1277),"",IF('ENGAGEMENTS 2026'!C1277="DTSI","DCT",'ENGAGEMENTS 2026'!C1277))</f>
        <v/>
      </c>
      <c r="B1277">
        <f>IF(ISBLANK('ENGAGEMENTS 2026'!C1277),"",'ENGAGEMENTS 2026'!D1277)</f>
        <v/>
      </c>
      <c r="C1277">
        <f>IF(ISBLANK('ENGAGEMENTS 2026'!C1277),"",'ENGAGEMENTS 2026'!E1277)</f>
        <v/>
      </c>
      <c r="D1277">
        <f>IF(ISBLANK('ENGAGEMENTS 2026'!C1277),"",'ENGAGEMENTS 2026'!G1277)</f>
        <v/>
      </c>
      <c r="E1277">
        <f>IF(ISBLANK('ENGAGEMENTS 2026'!C1277),"",'ENGAGEMENTS 2026'!I1277)</f>
        <v/>
      </c>
      <c r="F1277">
        <f>IF(ISBLANK('ENGAGEMENTS 2026'!C1277),"",'ENGAGEMENTS 2026'!J1277)</f>
        <v/>
      </c>
      <c r="G1277">
        <f>IF(ISBLANK('ENGAGEMENTS 2026'!C1277),"",'ENGAGEMENTS 2026'!M1277)</f>
        <v/>
      </c>
      <c r="H1277">
        <f>IF(ISBLANK('ENGAGEMENTS 2026'!C1277),"",'ENGAGEMENTS 2026'!AF1277)</f>
        <v/>
      </c>
      <c r="I1277">
        <f>IF(ISBLANK('ENGAGEMENTS 2026'!C1277),"",'ENGAGEMENTS 2026'!H1277)</f>
        <v/>
      </c>
      <c r="J1277" s="275">
        <f>IF(ISBLANK('ENGAGEMENTS 2026'!C1277),"",IF(AND(OR($E1277="INFRUCTUEUX",$E1277="ANNULE"),$C1277="AOO-M"),'ENGAGEMENTS 2026'!P1277,IF($H1277="EN COURS DE PREENGAGEMENT",'ENGAGEMENTS 2026'!O1277,IF($H1277="PREENGAGE",IF($E1277="ATTRIBUE",'ENGAGEMENTS 2026'!AE1277,'ENGAGEMENTS 2026'!O1277),'ENGAGEMENTS 2026'!AE1277))))</f>
        <v/>
      </c>
      <c r="K1277" s="604">
        <f>IF(ISBLANK('ENGAGEMENTS 2026'!W1277),"",'ENGAGEMENTS 2026'!W1277)</f>
        <v/>
      </c>
      <c r="L1277" s="276">
        <f>IF($K1277="","",TODAY()-$K1277)</f>
        <v/>
      </c>
      <c r="M1277">
        <f>IF($A1277="","",IF($H1277="ENGAGE","Engagé",IF(AND($H1277="NON ENGAGE",OR($I1277="INFRUCTUEUX",$I1277="ANNULE")),"Clôturé sans suite","En cours")))</f>
        <v/>
      </c>
      <c r="N1277">
        <f>IF(ISBLANK('ENGAGEMENTS 2026'!C1277),"",'ENGAGEMENTS 2026'!L1277)</f>
        <v/>
      </c>
      <c r="O1277">
        <f>IF(ISBLANK('ENGAGEMENTS 2026'!C1277),"",'ENGAGEMENTS 2026'!M1277)</f>
        <v/>
      </c>
      <c r="P1277">
        <f>IF(ISBLANK('ENGAGEMENTS 2026'!C1277),"",'ENGAGEMENTS 2026'!K1277)</f>
        <v/>
      </c>
      <c r="Q1277">
        <f>IF($A1277="","",IF(OR($E1277="INFRUCTUEUX",$E1277="ANNULE"),$A1277&amp;"|"&amp;(COUNTIFS($A$2:$A1277,$A1277,$E$2:$E1277,"INFRUCTUEUX")+COUNTIFS($A$2:$A1277,$A1277,$E$2:$E1277,"ANNULE")),""))</f>
        <v/>
      </c>
    </row>
    <row r="1278">
      <c r="A1278">
        <f>IF(ISBLANK('ENGAGEMENTS 2026'!C1278),"",IF('ENGAGEMENTS 2026'!C1278="DTSI","DCT",'ENGAGEMENTS 2026'!C1278))</f>
        <v/>
      </c>
      <c r="B1278">
        <f>IF(ISBLANK('ENGAGEMENTS 2026'!C1278),"",'ENGAGEMENTS 2026'!D1278)</f>
        <v/>
      </c>
      <c r="C1278">
        <f>IF(ISBLANK('ENGAGEMENTS 2026'!C1278),"",'ENGAGEMENTS 2026'!E1278)</f>
        <v/>
      </c>
      <c r="D1278">
        <f>IF(ISBLANK('ENGAGEMENTS 2026'!C1278),"",'ENGAGEMENTS 2026'!G1278)</f>
        <v/>
      </c>
      <c r="E1278">
        <f>IF(ISBLANK('ENGAGEMENTS 2026'!C1278),"",'ENGAGEMENTS 2026'!I1278)</f>
        <v/>
      </c>
      <c r="F1278">
        <f>IF(ISBLANK('ENGAGEMENTS 2026'!C1278),"",'ENGAGEMENTS 2026'!J1278)</f>
        <v/>
      </c>
      <c r="G1278">
        <f>IF(ISBLANK('ENGAGEMENTS 2026'!C1278),"",'ENGAGEMENTS 2026'!M1278)</f>
        <v/>
      </c>
      <c r="H1278">
        <f>IF(ISBLANK('ENGAGEMENTS 2026'!C1278),"",'ENGAGEMENTS 2026'!AF1278)</f>
        <v/>
      </c>
      <c r="I1278">
        <f>IF(ISBLANK('ENGAGEMENTS 2026'!C1278),"",'ENGAGEMENTS 2026'!H1278)</f>
        <v/>
      </c>
      <c r="J1278" s="275">
        <f>IF(ISBLANK('ENGAGEMENTS 2026'!C1278),"",IF(AND(OR($E1278="INFRUCTUEUX",$E1278="ANNULE"),$C1278="AOO-M"),'ENGAGEMENTS 2026'!P1278,IF($H1278="EN COURS DE PREENGAGEMENT",'ENGAGEMENTS 2026'!O1278,IF($H1278="PREENGAGE",IF($E1278="ATTRIBUE",'ENGAGEMENTS 2026'!AE1278,'ENGAGEMENTS 2026'!O1278),'ENGAGEMENTS 2026'!AE1278))))</f>
        <v/>
      </c>
      <c r="K1278" s="604">
        <f>IF(ISBLANK('ENGAGEMENTS 2026'!W1278),"",'ENGAGEMENTS 2026'!W1278)</f>
        <v/>
      </c>
      <c r="L1278" s="276">
        <f>IF($K1278="","",TODAY()-$K1278)</f>
        <v/>
      </c>
      <c r="M1278">
        <f>IF($A1278="","",IF($H1278="ENGAGE","Engagé",IF(AND($H1278="NON ENGAGE",OR($I1278="INFRUCTUEUX",$I1278="ANNULE")),"Clôturé sans suite","En cours")))</f>
        <v/>
      </c>
      <c r="N1278">
        <f>IF(ISBLANK('ENGAGEMENTS 2026'!C1278),"",'ENGAGEMENTS 2026'!L1278)</f>
        <v/>
      </c>
      <c r="O1278">
        <f>IF(ISBLANK('ENGAGEMENTS 2026'!C1278),"",'ENGAGEMENTS 2026'!M1278)</f>
        <v/>
      </c>
      <c r="P1278">
        <f>IF(ISBLANK('ENGAGEMENTS 2026'!C1278),"",'ENGAGEMENTS 2026'!K1278)</f>
        <v/>
      </c>
      <c r="Q1278">
        <f>IF($A1278="","",IF(OR($E1278="INFRUCTUEUX",$E1278="ANNULE"),$A1278&amp;"|"&amp;(COUNTIFS($A$2:$A1278,$A1278,$E$2:$E1278,"INFRUCTUEUX")+COUNTIFS($A$2:$A1278,$A1278,$E$2:$E1278,"ANNULE")),""))</f>
        <v/>
      </c>
    </row>
    <row r="1279">
      <c r="A1279">
        <f>IF(ISBLANK('ENGAGEMENTS 2026'!C1279),"",IF('ENGAGEMENTS 2026'!C1279="DTSI","DCT",'ENGAGEMENTS 2026'!C1279))</f>
        <v/>
      </c>
      <c r="B1279">
        <f>IF(ISBLANK('ENGAGEMENTS 2026'!C1279),"",'ENGAGEMENTS 2026'!D1279)</f>
        <v/>
      </c>
      <c r="C1279">
        <f>IF(ISBLANK('ENGAGEMENTS 2026'!C1279),"",'ENGAGEMENTS 2026'!E1279)</f>
        <v/>
      </c>
      <c r="D1279">
        <f>IF(ISBLANK('ENGAGEMENTS 2026'!C1279),"",'ENGAGEMENTS 2026'!G1279)</f>
        <v/>
      </c>
      <c r="E1279">
        <f>IF(ISBLANK('ENGAGEMENTS 2026'!C1279),"",'ENGAGEMENTS 2026'!I1279)</f>
        <v/>
      </c>
      <c r="F1279">
        <f>IF(ISBLANK('ENGAGEMENTS 2026'!C1279),"",'ENGAGEMENTS 2026'!J1279)</f>
        <v/>
      </c>
      <c r="G1279">
        <f>IF(ISBLANK('ENGAGEMENTS 2026'!C1279),"",'ENGAGEMENTS 2026'!M1279)</f>
        <v/>
      </c>
      <c r="H1279">
        <f>IF(ISBLANK('ENGAGEMENTS 2026'!C1279),"",'ENGAGEMENTS 2026'!AF1279)</f>
        <v/>
      </c>
      <c r="I1279">
        <f>IF(ISBLANK('ENGAGEMENTS 2026'!C1279),"",'ENGAGEMENTS 2026'!H1279)</f>
        <v/>
      </c>
      <c r="J1279" s="275">
        <f>IF(ISBLANK('ENGAGEMENTS 2026'!C1279),"",IF(AND(OR($E1279="INFRUCTUEUX",$E1279="ANNULE"),$C1279="AOO-M"),'ENGAGEMENTS 2026'!P1279,IF($H1279="EN COURS DE PREENGAGEMENT",'ENGAGEMENTS 2026'!O1279,IF($H1279="PREENGAGE",IF($E1279="ATTRIBUE",'ENGAGEMENTS 2026'!AE1279,'ENGAGEMENTS 2026'!O1279),'ENGAGEMENTS 2026'!AE1279))))</f>
        <v/>
      </c>
      <c r="K1279" s="604">
        <f>IF(ISBLANK('ENGAGEMENTS 2026'!W1279),"",'ENGAGEMENTS 2026'!W1279)</f>
        <v/>
      </c>
      <c r="L1279" s="276">
        <f>IF($K1279="","",TODAY()-$K1279)</f>
        <v/>
      </c>
      <c r="M1279">
        <f>IF($A1279="","",IF($H1279="ENGAGE","Engagé",IF(AND($H1279="NON ENGAGE",OR($I1279="INFRUCTUEUX",$I1279="ANNULE")),"Clôturé sans suite","En cours")))</f>
        <v/>
      </c>
      <c r="N1279">
        <f>IF(ISBLANK('ENGAGEMENTS 2026'!C1279),"",'ENGAGEMENTS 2026'!L1279)</f>
        <v/>
      </c>
      <c r="O1279">
        <f>IF(ISBLANK('ENGAGEMENTS 2026'!C1279),"",'ENGAGEMENTS 2026'!M1279)</f>
        <v/>
      </c>
      <c r="P1279">
        <f>IF(ISBLANK('ENGAGEMENTS 2026'!C1279),"",'ENGAGEMENTS 2026'!K1279)</f>
        <v/>
      </c>
      <c r="Q1279">
        <f>IF($A1279="","",IF(OR($E1279="INFRUCTUEUX",$E1279="ANNULE"),$A1279&amp;"|"&amp;(COUNTIFS($A$2:$A1279,$A1279,$E$2:$E1279,"INFRUCTUEUX")+COUNTIFS($A$2:$A1279,$A1279,$E$2:$E1279,"ANNULE")),""))</f>
        <v/>
      </c>
    </row>
    <row r="1280">
      <c r="A1280">
        <f>IF(ISBLANK('ENGAGEMENTS 2026'!C1280),"",IF('ENGAGEMENTS 2026'!C1280="DTSI","DCT",'ENGAGEMENTS 2026'!C1280))</f>
        <v/>
      </c>
      <c r="B1280">
        <f>IF(ISBLANK('ENGAGEMENTS 2026'!C1280),"",'ENGAGEMENTS 2026'!D1280)</f>
        <v/>
      </c>
      <c r="C1280">
        <f>IF(ISBLANK('ENGAGEMENTS 2026'!C1280),"",'ENGAGEMENTS 2026'!E1280)</f>
        <v/>
      </c>
      <c r="D1280">
        <f>IF(ISBLANK('ENGAGEMENTS 2026'!C1280),"",'ENGAGEMENTS 2026'!G1280)</f>
        <v/>
      </c>
      <c r="E1280">
        <f>IF(ISBLANK('ENGAGEMENTS 2026'!C1280),"",'ENGAGEMENTS 2026'!I1280)</f>
        <v/>
      </c>
      <c r="F1280">
        <f>IF(ISBLANK('ENGAGEMENTS 2026'!C1280),"",'ENGAGEMENTS 2026'!J1280)</f>
        <v/>
      </c>
      <c r="G1280">
        <f>IF(ISBLANK('ENGAGEMENTS 2026'!C1280),"",'ENGAGEMENTS 2026'!M1280)</f>
        <v/>
      </c>
      <c r="H1280">
        <f>IF(ISBLANK('ENGAGEMENTS 2026'!C1280),"",'ENGAGEMENTS 2026'!AF1280)</f>
        <v/>
      </c>
      <c r="I1280">
        <f>IF(ISBLANK('ENGAGEMENTS 2026'!C1280),"",'ENGAGEMENTS 2026'!H1280)</f>
        <v/>
      </c>
      <c r="J1280" s="275">
        <f>IF(ISBLANK('ENGAGEMENTS 2026'!C1280),"",IF(AND(OR($E1280="INFRUCTUEUX",$E1280="ANNULE"),$C1280="AOO-M"),'ENGAGEMENTS 2026'!P1280,IF($H1280="EN COURS DE PREENGAGEMENT",'ENGAGEMENTS 2026'!O1280,IF($H1280="PREENGAGE",IF($E1280="ATTRIBUE",'ENGAGEMENTS 2026'!AE1280,'ENGAGEMENTS 2026'!O1280),'ENGAGEMENTS 2026'!AE1280))))</f>
        <v/>
      </c>
      <c r="K1280" s="604">
        <f>IF(ISBLANK('ENGAGEMENTS 2026'!W1280),"",'ENGAGEMENTS 2026'!W1280)</f>
        <v/>
      </c>
      <c r="L1280" s="276">
        <f>IF($K1280="","",TODAY()-$K1280)</f>
        <v/>
      </c>
      <c r="M1280">
        <f>IF($A1280="","",IF($H1280="ENGAGE","Engagé",IF(AND($H1280="NON ENGAGE",OR($I1280="INFRUCTUEUX",$I1280="ANNULE")),"Clôturé sans suite","En cours")))</f>
        <v/>
      </c>
      <c r="N1280">
        <f>IF(ISBLANK('ENGAGEMENTS 2026'!C1280),"",'ENGAGEMENTS 2026'!L1280)</f>
        <v/>
      </c>
      <c r="O1280">
        <f>IF(ISBLANK('ENGAGEMENTS 2026'!C1280),"",'ENGAGEMENTS 2026'!M1280)</f>
        <v/>
      </c>
      <c r="P1280">
        <f>IF(ISBLANK('ENGAGEMENTS 2026'!C1280),"",'ENGAGEMENTS 2026'!K1280)</f>
        <v/>
      </c>
      <c r="Q1280">
        <f>IF($A1280="","",IF(OR($E1280="INFRUCTUEUX",$E1280="ANNULE"),$A1280&amp;"|"&amp;(COUNTIFS($A$2:$A1280,$A1280,$E$2:$E1280,"INFRUCTUEUX")+COUNTIFS($A$2:$A1280,$A1280,$E$2:$E1280,"ANNULE")),""))</f>
        <v/>
      </c>
    </row>
    <row r="1281">
      <c r="A1281">
        <f>IF(ISBLANK('ENGAGEMENTS 2026'!C1281),"",IF('ENGAGEMENTS 2026'!C1281="DTSI","DCT",'ENGAGEMENTS 2026'!C1281))</f>
        <v/>
      </c>
      <c r="B1281">
        <f>IF(ISBLANK('ENGAGEMENTS 2026'!C1281),"",'ENGAGEMENTS 2026'!D1281)</f>
        <v/>
      </c>
      <c r="C1281">
        <f>IF(ISBLANK('ENGAGEMENTS 2026'!C1281),"",'ENGAGEMENTS 2026'!E1281)</f>
        <v/>
      </c>
      <c r="D1281">
        <f>IF(ISBLANK('ENGAGEMENTS 2026'!C1281),"",'ENGAGEMENTS 2026'!G1281)</f>
        <v/>
      </c>
      <c r="E1281">
        <f>IF(ISBLANK('ENGAGEMENTS 2026'!C1281),"",'ENGAGEMENTS 2026'!I1281)</f>
        <v/>
      </c>
      <c r="F1281">
        <f>IF(ISBLANK('ENGAGEMENTS 2026'!C1281),"",'ENGAGEMENTS 2026'!J1281)</f>
        <v/>
      </c>
      <c r="G1281">
        <f>IF(ISBLANK('ENGAGEMENTS 2026'!C1281),"",'ENGAGEMENTS 2026'!M1281)</f>
        <v/>
      </c>
      <c r="H1281">
        <f>IF(ISBLANK('ENGAGEMENTS 2026'!C1281),"",'ENGAGEMENTS 2026'!AF1281)</f>
        <v/>
      </c>
      <c r="I1281">
        <f>IF(ISBLANK('ENGAGEMENTS 2026'!C1281),"",'ENGAGEMENTS 2026'!H1281)</f>
        <v/>
      </c>
      <c r="J1281" s="275">
        <f>IF(ISBLANK('ENGAGEMENTS 2026'!C1281),"",IF(AND(OR($E1281="INFRUCTUEUX",$E1281="ANNULE"),$C1281="AOO-M"),'ENGAGEMENTS 2026'!P1281,IF($H1281="EN COURS DE PREENGAGEMENT",'ENGAGEMENTS 2026'!O1281,IF($H1281="PREENGAGE",IF($E1281="ATTRIBUE",'ENGAGEMENTS 2026'!AE1281,'ENGAGEMENTS 2026'!O1281),'ENGAGEMENTS 2026'!AE1281))))</f>
        <v/>
      </c>
      <c r="K1281" s="604">
        <f>IF(ISBLANK('ENGAGEMENTS 2026'!W1281),"",'ENGAGEMENTS 2026'!W1281)</f>
        <v/>
      </c>
      <c r="L1281" s="276">
        <f>IF($K1281="","",TODAY()-$K1281)</f>
        <v/>
      </c>
      <c r="M1281">
        <f>IF($A1281="","",IF($H1281="ENGAGE","Engagé",IF(AND($H1281="NON ENGAGE",OR($I1281="INFRUCTUEUX",$I1281="ANNULE")),"Clôturé sans suite","En cours")))</f>
        <v/>
      </c>
      <c r="N1281">
        <f>IF(ISBLANK('ENGAGEMENTS 2026'!C1281),"",'ENGAGEMENTS 2026'!L1281)</f>
        <v/>
      </c>
      <c r="O1281">
        <f>IF(ISBLANK('ENGAGEMENTS 2026'!C1281),"",'ENGAGEMENTS 2026'!M1281)</f>
        <v/>
      </c>
      <c r="P1281">
        <f>IF(ISBLANK('ENGAGEMENTS 2026'!C1281),"",'ENGAGEMENTS 2026'!K1281)</f>
        <v/>
      </c>
      <c r="Q1281">
        <f>IF($A1281="","",IF(OR($E1281="INFRUCTUEUX",$E1281="ANNULE"),$A1281&amp;"|"&amp;(COUNTIFS($A$2:$A1281,$A1281,$E$2:$E1281,"INFRUCTUEUX")+COUNTIFS($A$2:$A1281,$A1281,$E$2:$E1281,"ANNULE")),""))</f>
        <v/>
      </c>
    </row>
    <row r="1282">
      <c r="A1282">
        <f>IF(ISBLANK('ENGAGEMENTS 2026'!C1282),"",IF('ENGAGEMENTS 2026'!C1282="DTSI","DCT",'ENGAGEMENTS 2026'!C1282))</f>
        <v/>
      </c>
      <c r="B1282">
        <f>IF(ISBLANK('ENGAGEMENTS 2026'!C1282),"",'ENGAGEMENTS 2026'!D1282)</f>
        <v/>
      </c>
      <c r="C1282">
        <f>IF(ISBLANK('ENGAGEMENTS 2026'!C1282),"",'ENGAGEMENTS 2026'!E1282)</f>
        <v/>
      </c>
      <c r="D1282">
        <f>IF(ISBLANK('ENGAGEMENTS 2026'!C1282),"",'ENGAGEMENTS 2026'!G1282)</f>
        <v/>
      </c>
      <c r="E1282">
        <f>IF(ISBLANK('ENGAGEMENTS 2026'!C1282),"",'ENGAGEMENTS 2026'!I1282)</f>
        <v/>
      </c>
      <c r="F1282">
        <f>IF(ISBLANK('ENGAGEMENTS 2026'!C1282),"",'ENGAGEMENTS 2026'!J1282)</f>
        <v/>
      </c>
      <c r="G1282">
        <f>IF(ISBLANK('ENGAGEMENTS 2026'!C1282),"",'ENGAGEMENTS 2026'!M1282)</f>
        <v/>
      </c>
      <c r="H1282">
        <f>IF(ISBLANK('ENGAGEMENTS 2026'!C1282),"",'ENGAGEMENTS 2026'!AF1282)</f>
        <v/>
      </c>
      <c r="I1282">
        <f>IF(ISBLANK('ENGAGEMENTS 2026'!C1282),"",'ENGAGEMENTS 2026'!H1282)</f>
        <v/>
      </c>
      <c r="J1282" s="275">
        <f>IF(ISBLANK('ENGAGEMENTS 2026'!C1282),"",IF(AND(OR($E1282="INFRUCTUEUX",$E1282="ANNULE"),$C1282="AOO-M"),'ENGAGEMENTS 2026'!P1282,IF($H1282="EN COURS DE PREENGAGEMENT",'ENGAGEMENTS 2026'!O1282,IF($H1282="PREENGAGE",IF($E1282="ATTRIBUE",'ENGAGEMENTS 2026'!AE1282,'ENGAGEMENTS 2026'!O1282),'ENGAGEMENTS 2026'!AE1282))))</f>
        <v/>
      </c>
      <c r="K1282" s="604">
        <f>IF(ISBLANK('ENGAGEMENTS 2026'!W1282),"",'ENGAGEMENTS 2026'!W1282)</f>
        <v/>
      </c>
      <c r="L1282" s="276">
        <f>IF($K1282="","",TODAY()-$K1282)</f>
        <v/>
      </c>
      <c r="M1282">
        <f>IF($A1282="","",IF($H1282="ENGAGE","Engagé",IF(AND($H1282="NON ENGAGE",OR($I1282="INFRUCTUEUX",$I1282="ANNULE")),"Clôturé sans suite","En cours")))</f>
        <v/>
      </c>
      <c r="N1282">
        <f>IF(ISBLANK('ENGAGEMENTS 2026'!C1282),"",'ENGAGEMENTS 2026'!L1282)</f>
        <v/>
      </c>
      <c r="O1282">
        <f>IF(ISBLANK('ENGAGEMENTS 2026'!C1282),"",'ENGAGEMENTS 2026'!M1282)</f>
        <v/>
      </c>
      <c r="P1282">
        <f>IF(ISBLANK('ENGAGEMENTS 2026'!C1282),"",'ENGAGEMENTS 2026'!K1282)</f>
        <v/>
      </c>
      <c r="Q1282">
        <f>IF($A1282="","",IF(OR($E1282="INFRUCTUEUX",$E1282="ANNULE"),$A1282&amp;"|"&amp;(COUNTIFS($A$2:$A1282,$A1282,$E$2:$E1282,"INFRUCTUEUX")+COUNTIFS($A$2:$A1282,$A1282,$E$2:$E1282,"ANNULE")),""))</f>
        <v/>
      </c>
    </row>
    <row r="1283">
      <c r="A1283">
        <f>IF(ISBLANK('ENGAGEMENTS 2026'!C1283),"",IF('ENGAGEMENTS 2026'!C1283="DTSI","DCT",'ENGAGEMENTS 2026'!C1283))</f>
        <v/>
      </c>
      <c r="B1283">
        <f>IF(ISBLANK('ENGAGEMENTS 2026'!C1283),"",'ENGAGEMENTS 2026'!D1283)</f>
        <v/>
      </c>
      <c r="C1283">
        <f>IF(ISBLANK('ENGAGEMENTS 2026'!C1283),"",'ENGAGEMENTS 2026'!E1283)</f>
        <v/>
      </c>
      <c r="D1283">
        <f>IF(ISBLANK('ENGAGEMENTS 2026'!C1283),"",'ENGAGEMENTS 2026'!G1283)</f>
        <v/>
      </c>
      <c r="E1283">
        <f>IF(ISBLANK('ENGAGEMENTS 2026'!C1283),"",'ENGAGEMENTS 2026'!I1283)</f>
        <v/>
      </c>
      <c r="F1283">
        <f>IF(ISBLANK('ENGAGEMENTS 2026'!C1283),"",'ENGAGEMENTS 2026'!J1283)</f>
        <v/>
      </c>
      <c r="G1283">
        <f>IF(ISBLANK('ENGAGEMENTS 2026'!C1283),"",'ENGAGEMENTS 2026'!M1283)</f>
        <v/>
      </c>
      <c r="H1283">
        <f>IF(ISBLANK('ENGAGEMENTS 2026'!C1283),"",'ENGAGEMENTS 2026'!AF1283)</f>
        <v/>
      </c>
      <c r="I1283">
        <f>IF(ISBLANK('ENGAGEMENTS 2026'!C1283),"",'ENGAGEMENTS 2026'!H1283)</f>
        <v/>
      </c>
      <c r="J1283" s="275">
        <f>IF(ISBLANK('ENGAGEMENTS 2026'!C1283),"",IF(AND(OR($E1283="INFRUCTUEUX",$E1283="ANNULE"),$C1283="AOO-M"),'ENGAGEMENTS 2026'!P1283,IF($H1283="EN COURS DE PREENGAGEMENT",'ENGAGEMENTS 2026'!O1283,IF($H1283="PREENGAGE",IF($E1283="ATTRIBUE",'ENGAGEMENTS 2026'!AE1283,'ENGAGEMENTS 2026'!O1283),'ENGAGEMENTS 2026'!AE1283))))</f>
        <v/>
      </c>
      <c r="K1283" s="604">
        <f>IF(ISBLANK('ENGAGEMENTS 2026'!W1283),"",'ENGAGEMENTS 2026'!W1283)</f>
        <v/>
      </c>
      <c r="L1283" s="276">
        <f>IF($K1283="","",TODAY()-$K1283)</f>
        <v/>
      </c>
      <c r="M1283">
        <f>IF($A1283="","",IF($H1283="ENGAGE","Engagé",IF(AND($H1283="NON ENGAGE",OR($I1283="INFRUCTUEUX",$I1283="ANNULE")),"Clôturé sans suite","En cours")))</f>
        <v/>
      </c>
      <c r="N1283">
        <f>IF(ISBLANK('ENGAGEMENTS 2026'!C1283),"",'ENGAGEMENTS 2026'!L1283)</f>
        <v/>
      </c>
      <c r="O1283">
        <f>IF(ISBLANK('ENGAGEMENTS 2026'!C1283),"",'ENGAGEMENTS 2026'!M1283)</f>
        <v/>
      </c>
      <c r="P1283">
        <f>IF(ISBLANK('ENGAGEMENTS 2026'!C1283),"",'ENGAGEMENTS 2026'!K1283)</f>
        <v/>
      </c>
      <c r="Q1283">
        <f>IF($A1283="","",IF(OR($E1283="INFRUCTUEUX",$E1283="ANNULE"),$A1283&amp;"|"&amp;(COUNTIFS($A$2:$A1283,$A1283,$E$2:$E1283,"INFRUCTUEUX")+COUNTIFS($A$2:$A1283,$A1283,$E$2:$E1283,"ANNULE")),""))</f>
        <v/>
      </c>
    </row>
    <row r="1284">
      <c r="A1284">
        <f>IF(ISBLANK('ENGAGEMENTS 2026'!C1284),"",IF('ENGAGEMENTS 2026'!C1284="DTSI","DCT",'ENGAGEMENTS 2026'!C1284))</f>
        <v/>
      </c>
      <c r="B1284">
        <f>IF(ISBLANK('ENGAGEMENTS 2026'!C1284),"",'ENGAGEMENTS 2026'!D1284)</f>
        <v/>
      </c>
      <c r="C1284">
        <f>IF(ISBLANK('ENGAGEMENTS 2026'!C1284),"",'ENGAGEMENTS 2026'!E1284)</f>
        <v/>
      </c>
      <c r="D1284">
        <f>IF(ISBLANK('ENGAGEMENTS 2026'!C1284),"",'ENGAGEMENTS 2026'!G1284)</f>
        <v/>
      </c>
      <c r="E1284">
        <f>IF(ISBLANK('ENGAGEMENTS 2026'!C1284),"",'ENGAGEMENTS 2026'!I1284)</f>
        <v/>
      </c>
      <c r="F1284">
        <f>IF(ISBLANK('ENGAGEMENTS 2026'!C1284),"",'ENGAGEMENTS 2026'!J1284)</f>
        <v/>
      </c>
      <c r="G1284">
        <f>IF(ISBLANK('ENGAGEMENTS 2026'!C1284),"",'ENGAGEMENTS 2026'!M1284)</f>
        <v/>
      </c>
      <c r="H1284">
        <f>IF(ISBLANK('ENGAGEMENTS 2026'!C1284),"",'ENGAGEMENTS 2026'!AF1284)</f>
        <v/>
      </c>
      <c r="I1284">
        <f>IF(ISBLANK('ENGAGEMENTS 2026'!C1284),"",'ENGAGEMENTS 2026'!H1284)</f>
        <v/>
      </c>
      <c r="J1284" s="275">
        <f>IF(ISBLANK('ENGAGEMENTS 2026'!C1284),"",IF(AND(OR($E1284="INFRUCTUEUX",$E1284="ANNULE"),$C1284="AOO-M"),'ENGAGEMENTS 2026'!P1284,IF($H1284="EN COURS DE PREENGAGEMENT",'ENGAGEMENTS 2026'!O1284,IF($H1284="PREENGAGE",IF($E1284="ATTRIBUE",'ENGAGEMENTS 2026'!AE1284,'ENGAGEMENTS 2026'!O1284),'ENGAGEMENTS 2026'!AE1284))))</f>
        <v/>
      </c>
      <c r="K1284" s="604">
        <f>IF(ISBLANK('ENGAGEMENTS 2026'!W1284),"",'ENGAGEMENTS 2026'!W1284)</f>
        <v/>
      </c>
      <c r="L1284" s="276">
        <f>IF($K1284="","",TODAY()-$K1284)</f>
        <v/>
      </c>
      <c r="M1284">
        <f>IF($A1284="","",IF($H1284="ENGAGE","Engagé",IF(AND($H1284="NON ENGAGE",OR($I1284="INFRUCTUEUX",$I1284="ANNULE")),"Clôturé sans suite","En cours")))</f>
        <v/>
      </c>
      <c r="N1284">
        <f>IF(ISBLANK('ENGAGEMENTS 2026'!C1284),"",'ENGAGEMENTS 2026'!L1284)</f>
        <v/>
      </c>
      <c r="O1284">
        <f>IF(ISBLANK('ENGAGEMENTS 2026'!C1284),"",'ENGAGEMENTS 2026'!M1284)</f>
        <v/>
      </c>
      <c r="P1284">
        <f>IF(ISBLANK('ENGAGEMENTS 2026'!C1284),"",'ENGAGEMENTS 2026'!K1284)</f>
        <v/>
      </c>
      <c r="Q1284">
        <f>IF($A1284="","",IF(OR($E1284="INFRUCTUEUX",$E1284="ANNULE"),$A1284&amp;"|"&amp;(COUNTIFS($A$2:$A1284,$A1284,$E$2:$E1284,"INFRUCTUEUX")+COUNTIFS($A$2:$A1284,$A1284,$E$2:$E1284,"ANNULE")),""))</f>
        <v/>
      </c>
    </row>
    <row r="1285">
      <c r="A1285">
        <f>IF(ISBLANK('ENGAGEMENTS 2026'!C1285),"",IF('ENGAGEMENTS 2026'!C1285="DTSI","DCT",'ENGAGEMENTS 2026'!C1285))</f>
        <v/>
      </c>
      <c r="B1285">
        <f>IF(ISBLANK('ENGAGEMENTS 2026'!C1285),"",'ENGAGEMENTS 2026'!D1285)</f>
        <v/>
      </c>
      <c r="C1285">
        <f>IF(ISBLANK('ENGAGEMENTS 2026'!C1285),"",'ENGAGEMENTS 2026'!E1285)</f>
        <v/>
      </c>
      <c r="D1285">
        <f>IF(ISBLANK('ENGAGEMENTS 2026'!C1285),"",'ENGAGEMENTS 2026'!G1285)</f>
        <v/>
      </c>
      <c r="E1285">
        <f>IF(ISBLANK('ENGAGEMENTS 2026'!C1285),"",'ENGAGEMENTS 2026'!I1285)</f>
        <v/>
      </c>
      <c r="F1285">
        <f>IF(ISBLANK('ENGAGEMENTS 2026'!C1285),"",'ENGAGEMENTS 2026'!J1285)</f>
        <v/>
      </c>
      <c r="G1285">
        <f>IF(ISBLANK('ENGAGEMENTS 2026'!C1285),"",'ENGAGEMENTS 2026'!M1285)</f>
        <v/>
      </c>
      <c r="H1285">
        <f>IF(ISBLANK('ENGAGEMENTS 2026'!C1285),"",'ENGAGEMENTS 2026'!AF1285)</f>
        <v/>
      </c>
      <c r="I1285">
        <f>IF(ISBLANK('ENGAGEMENTS 2026'!C1285),"",'ENGAGEMENTS 2026'!H1285)</f>
        <v/>
      </c>
      <c r="J1285" s="275">
        <f>IF(ISBLANK('ENGAGEMENTS 2026'!C1285),"",IF(AND(OR($E1285="INFRUCTUEUX",$E1285="ANNULE"),$C1285="AOO-M"),'ENGAGEMENTS 2026'!P1285,IF($H1285="EN COURS DE PREENGAGEMENT",'ENGAGEMENTS 2026'!O1285,IF($H1285="PREENGAGE",IF($E1285="ATTRIBUE",'ENGAGEMENTS 2026'!AE1285,'ENGAGEMENTS 2026'!O1285),'ENGAGEMENTS 2026'!AE1285))))</f>
        <v/>
      </c>
      <c r="K1285" s="604">
        <f>IF(ISBLANK('ENGAGEMENTS 2026'!W1285),"",'ENGAGEMENTS 2026'!W1285)</f>
        <v/>
      </c>
      <c r="L1285" s="276">
        <f>IF($K1285="","",TODAY()-$K1285)</f>
        <v/>
      </c>
      <c r="M1285">
        <f>IF($A1285="","",IF($H1285="ENGAGE","Engagé",IF(AND($H1285="NON ENGAGE",OR($I1285="INFRUCTUEUX",$I1285="ANNULE")),"Clôturé sans suite","En cours")))</f>
        <v/>
      </c>
      <c r="N1285">
        <f>IF(ISBLANK('ENGAGEMENTS 2026'!C1285),"",'ENGAGEMENTS 2026'!L1285)</f>
        <v/>
      </c>
      <c r="O1285">
        <f>IF(ISBLANK('ENGAGEMENTS 2026'!C1285),"",'ENGAGEMENTS 2026'!M1285)</f>
        <v/>
      </c>
      <c r="P1285">
        <f>IF(ISBLANK('ENGAGEMENTS 2026'!C1285),"",'ENGAGEMENTS 2026'!K1285)</f>
        <v/>
      </c>
      <c r="Q1285">
        <f>IF($A1285="","",IF(OR($E1285="INFRUCTUEUX",$E1285="ANNULE"),$A1285&amp;"|"&amp;(COUNTIFS($A$2:$A1285,$A1285,$E$2:$E1285,"INFRUCTUEUX")+COUNTIFS($A$2:$A1285,$A1285,$E$2:$E1285,"ANNULE")),""))</f>
        <v/>
      </c>
    </row>
    <row r="1286">
      <c r="A1286">
        <f>IF(ISBLANK('ENGAGEMENTS 2026'!C1286),"",IF('ENGAGEMENTS 2026'!C1286="DTSI","DCT",'ENGAGEMENTS 2026'!C1286))</f>
        <v/>
      </c>
      <c r="B1286">
        <f>IF(ISBLANK('ENGAGEMENTS 2026'!C1286),"",'ENGAGEMENTS 2026'!D1286)</f>
        <v/>
      </c>
      <c r="C1286">
        <f>IF(ISBLANK('ENGAGEMENTS 2026'!C1286),"",'ENGAGEMENTS 2026'!E1286)</f>
        <v/>
      </c>
      <c r="D1286">
        <f>IF(ISBLANK('ENGAGEMENTS 2026'!C1286),"",'ENGAGEMENTS 2026'!G1286)</f>
        <v/>
      </c>
      <c r="E1286">
        <f>IF(ISBLANK('ENGAGEMENTS 2026'!C1286),"",'ENGAGEMENTS 2026'!I1286)</f>
        <v/>
      </c>
      <c r="F1286">
        <f>IF(ISBLANK('ENGAGEMENTS 2026'!C1286),"",'ENGAGEMENTS 2026'!J1286)</f>
        <v/>
      </c>
      <c r="G1286">
        <f>IF(ISBLANK('ENGAGEMENTS 2026'!C1286),"",'ENGAGEMENTS 2026'!M1286)</f>
        <v/>
      </c>
      <c r="H1286">
        <f>IF(ISBLANK('ENGAGEMENTS 2026'!C1286),"",'ENGAGEMENTS 2026'!AF1286)</f>
        <v/>
      </c>
      <c r="I1286">
        <f>IF(ISBLANK('ENGAGEMENTS 2026'!C1286),"",'ENGAGEMENTS 2026'!H1286)</f>
        <v/>
      </c>
      <c r="J1286" s="275">
        <f>IF(ISBLANK('ENGAGEMENTS 2026'!C1286),"",IF(AND(OR($E1286="INFRUCTUEUX",$E1286="ANNULE"),$C1286="AOO-M"),'ENGAGEMENTS 2026'!P1286,IF($H1286="EN COURS DE PREENGAGEMENT",'ENGAGEMENTS 2026'!O1286,IF($H1286="PREENGAGE",IF($E1286="ATTRIBUE",'ENGAGEMENTS 2026'!AE1286,'ENGAGEMENTS 2026'!O1286),'ENGAGEMENTS 2026'!AE1286))))</f>
        <v/>
      </c>
      <c r="K1286" s="604">
        <f>IF(ISBLANK('ENGAGEMENTS 2026'!W1286),"",'ENGAGEMENTS 2026'!W1286)</f>
        <v/>
      </c>
      <c r="L1286" s="276">
        <f>IF($K1286="","",TODAY()-$K1286)</f>
        <v/>
      </c>
      <c r="M1286">
        <f>IF($A1286="","",IF($H1286="ENGAGE","Engagé",IF(AND($H1286="NON ENGAGE",OR($I1286="INFRUCTUEUX",$I1286="ANNULE")),"Clôturé sans suite","En cours")))</f>
        <v/>
      </c>
      <c r="N1286">
        <f>IF(ISBLANK('ENGAGEMENTS 2026'!C1286),"",'ENGAGEMENTS 2026'!L1286)</f>
        <v/>
      </c>
      <c r="O1286">
        <f>IF(ISBLANK('ENGAGEMENTS 2026'!C1286),"",'ENGAGEMENTS 2026'!M1286)</f>
        <v/>
      </c>
      <c r="P1286">
        <f>IF(ISBLANK('ENGAGEMENTS 2026'!C1286),"",'ENGAGEMENTS 2026'!K1286)</f>
        <v/>
      </c>
      <c r="Q1286">
        <f>IF($A1286="","",IF(OR($E1286="INFRUCTUEUX",$E1286="ANNULE"),$A1286&amp;"|"&amp;(COUNTIFS($A$2:$A1286,$A1286,$E$2:$E1286,"INFRUCTUEUX")+COUNTIFS($A$2:$A1286,$A1286,$E$2:$E1286,"ANNULE")),""))</f>
        <v/>
      </c>
    </row>
    <row r="1287">
      <c r="A1287">
        <f>IF(ISBLANK('ENGAGEMENTS 2026'!C1287),"",IF('ENGAGEMENTS 2026'!C1287="DTSI","DCT",'ENGAGEMENTS 2026'!C1287))</f>
        <v/>
      </c>
      <c r="B1287">
        <f>IF(ISBLANK('ENGAGEMENTS 2026'!C1287),"",'ENGAGEMENTS 2026'!D1287)</f>
        <v/>
      </c>
      <c r="C1287">
        <f>IF(ISBLANK('ENGAGEMENTS 2026'!C1287),"",'ENGAGEMENTS 2026'!E1287)</f>
        <v/>
      </c>
      <c r="D1287">
        <f>IF(ISBLANK('ENGAGEMENTS 2026'!C1287),"",'ENGAGEMENTS 2026'!G1287)</f>
        <v/>
      </c>
      <c r="E1287">
        <f>IF(ISBLANK('ENGAGEMENTS 2026'!C1287),"",'ENGAGEMENTS 2026'!I1287)</f>
        <v/>
      </c>
      <c r="F1287">
        <f>IF(ISBLANK('ENGAGEMENTS 2026'!C1287),"",'ENGAGEMENTS 2026'!J1287)</f>
        <v/>
      </c>
      <c r="G1287">
        <f>IF(ISBLANK('ENGAGEMENTS 2026'!C1287),"",'ENGAGEMENTS 2026'!M1287)</f>
        <v/>
      </c>
      <c r="H1287">
        <f>IF(ISBLANK('ENGAGEMENTS 2026'!C1287),"",'ENGAGEMENTS 2026'!AF1287)</f>
        <v/>
      </c>
      <c r="I1287">
        <f>IF(ISBLANK('ENGAGEMENTS 2026'!C1287),"",'ENGAGEMENTS 2026'!H1287)</f>
        <v/>
      </c>
      <c r="J1287" s="275">
        <f>IF(ISBLANK('ENGAGEMENTS 2026'!C1287),"",IF(AND(OR($E1287="INFRUCTUEUX",$E1287="ANNULE"),$C1287="AOO-M"),'ENGAGEMENTS 2026'!P1287,IF($H1287="EN COURS DE PREENGAGEMENT",'ENGAGEMENTS 2026'!O1287,IF($H1287="PREENGAGE",IF($E1287="ATTRIBUE",'ENGAGEMENTS 2026'!AE1287,'ENGAGEMENTS 2026'!O1287),'ENGAGEMENTS 2026'!AE1287))))</f>
        <v/>
      </c>
      <c r="K1287" s="604">
        <f>IF(ISBLANK('ENGAGEMENTS 2026'!W1287),"",'ENGAGEMENTS 2026'!W1287)</f>
        <v/>
      </c>
      <c r="L1287" s="276">
        <f>IF($K1287="","",TODAY()-$K1287)</f>
        <v/>
      </c>
      <c r="M1287">
        <f>IF($A1287="","",IF($H1287="ENGAGE","Engagé",IF(AND($H1287="NON ENGAGE",OR($I1287="INFRUCTUEUX",$I1287="ANNULE")),"Clôturé sans suite","En cours")))</f>
        <v/>
      </c>
      <c r="N1287">
        <f>IF(ISBLANK('ENGAGEMENTS 2026'!C1287),"",'ENGAGEMENTS 2026'!L1287)</f>
        <v/>
      </c>
      <c r="O1287">
        <f>IF(ISBLANK('ENGAGEMENTS 2026'!C1287),"",'ENGAGEMENTS 2026'!M1287)</f>
        <v/>
      </c>
      <c r="P1287">
        <f>IF(ISBLANK('ENGAGEMENTS 2026'!C1287),"",'ENGAGEMENTS 2026'!K1287)</f>
        <v/>
      </c>
      <c r="Q1287">
        <f>IF($A1287="","",IF(OR($E1287="INFRUCTUEUX",$E1287="ANNULE"),$A1287&amp;"|"&amp;(COUNTIFS($A$2:$A1287,$A1287,$E$2:$E1287,"INFRUCTUEUX")+COUNTIFS($A$2:$A1287,$A1287,$E$2:$E1287,"ANNULE")),""))</f>
        <v/>
      </c>
    </row>
    <row r="1288">
      <c r="A1288">
        <f>IF(ISBLANK('ENGAGEMENTS 2026'!C1288),"",IF('ENGAGEMENTS 2026'!C1288="DTSI","DCT",'ENGAGEMENTS 2026'!C1288))</f>
        <v/>
      </c>
      <c r="B1288">
        <f>IF(ISBLANK('ENGAGEMENTS 2026'!C1288),"",'ENGAGEMENTS 2026'!D1288)</f>
        <v/>
      </c>
      <c r="C1288">
        <f>IF(ISBLANK('ENGAGEMENTS 2026'!C1288),"",'ENGAGEMENTS 2026'!E1288)</f>
        <v/>
      </c>
      <c r="D1288">
        <f>IF(ISBLANK('ENGAGEMENTS 2026'!C1288),"",'ENGAGEMENTS 2026'!G1288)</f>
        <v/>
      </c>
      <c r="E1288">
        <f>IF(ISBLANK('ENGAGEMENTS 2026'!C1288),"",'ENGAGEMENTS 2026'!I1288)</f>
        <v/>
      </c>
      <c r="F1288">
        <f>IF(ISBLANK('ENGAGEMENTS 2026'!C1288),"",'ENGAGEMENTS 2026'!J1288)</f>
        <v/>
      </c>
      <c r="G1288">
        <f>IF(ISBLANK('ENGAGEMENTS 2026'!C1288),"",'ENGAGEMENTS 2026'!M1288)</f>
        <v/>
      </c>
      <c r="H1288">
        <f>IF(ISBLANK('ENGAGEMENTS 2026'!C1288),"",'ENGAGEMENTS 2026'!AF1288)</f>
        <v/>
      </c>
      <c r="I1288">
        <f>IF(ISBLANK('ENGAGEMENTS 2026'!C1288),"",'ENGAGEMENTS 2026'!H1288)</f>
        <v/>
      </c>
      <c r="J1288" s="275">
        <f>IF(ISBLANK('ENGAGEMENTS 2026'!C1288),"",IF(AND(OR($E1288="INFRUCTUEUX",$E1288="ANNULE"),$C1288="AOO-M"),'ENGAGEMENTS 2026'!P1288,IF($H1288="EN COURS DE PREENGAGEMENT",'ENGAGEMENTS 2026'!O1288,IF($H1288="PREENGAGE",IF($E1288="ATTRIBUE",'ENGAGEMENTS 2026'!AE1288,'ENGAGEMENTS 2026'!O1288),'ENGAGEMENTS 2026'!AE1288))))</f>
        <v/>
      </c>
      <c r="K1288" s="604">
        <f>IF(ISBLANK('ENGAGEMENTS 2026'!W1288),"",'ENGAGEMENTS 2026'!W1288)</f>
        <v/>
      </c>
      <c r="L1288" s="276">
        <f>IF($K1288="","",TODAY()-$K1288)</f>
        <v/>
      </c>
      <c r="M1288">
        <f>IF($A1288="","",IF($H1288="ENGAGE","Engagé",IF(AND($H1288="NON ENGAGE",OR($I1288="INFRUCTUEUX",$I1288="ANNULE")),"Clôturé sans suite","En cours")))</f>
        <v/>
      </c>
      <c r="N1288">
        <f>IF(ISBLANK('ENGAGEMENTS 2026'!C1288),"",'ENGAGEMENTS 2026'!L1288)</f>
        <v/>
      </c>
      <c r="O1288">
        <f>IF(ISBLANK('ENGAGEMENTS 2026'!C1288),"",'ENGAGEMENTS 2026'!M1288)</f>
        <v/>
      </c>
      <c r="P1288">
        <f>IF(ISBLANK('ENGAGEMENTS 2026'!C1288),"",'ENGAGEMENTS 2026'!K1288)</f>
        <v/>
      </c>
      <c r="Q1288">
        <f>IF($A1288="","",IF(OR($E1288="INFRUCTUEUX",$E1288="ANNULE"),$A1288&amp;"|"&amp;(COUNTIFS($A$2:$A1288,$A1288,$E$2:$E1288,"INFRUCTUEUX")+COUNTIFS($A$2:$A1288,$A1288,$E$2:$E1288,"ANNULE")),""))</f>
        <v/>
      </c>
    </row>
    <row r="1289">
      <c r="A1289">
        <f>IF(ISBLANK('ENGAGEMENTS 2026'!C1289),"",IF('ENGAGEMENTS 2026'!C1289="DTSI","DCT",'ENGAGEMENTS 2026'!C1289))</f>
        <v/>
      </c>
      <c r="B1289">
        <f>IF(ISBLANK('ENGAGEMENTS 2026'!C1289),"",'ENGAGEMENTS 2026'!D1289)</f>
        <v/>
      </c>
      <c r="C1289">
        <f>IF(ISBLANK('ENGAGEMENTS 2026'!C1289),"",'ENGAGEMENTS 2026'!E1289)</f>
        <v/>
      </c>
      <c r="D1289">
        <f>IF(ISBLANK('ENGAGEMENTS 2026'!C1289),"",'ENGAGEMENTS 2026'!G1289)</f>
        <v/>
      </c>
      <c r="E1289">
        <f>IF(ISBLANK('ENGAGEMENTS 2026'!C1289),"",'ENGAGEMENTS 2026'!I1289)</f>
        <v/>
      </c>
      <c r="F1289">
        <f>IF(ISBLANK('ENGAGEMENTS 2026'!C1289),"",'ENGAGEMENTS 2026'!J1289)</f>
        <v/>
      </c>
      <c r="G1289">
        <f>IF(ISBLANK('ENGAGEMENTS 2026'!C1289),"",'ENGAGEMENTS 2026'!M1289)</f>
        <v/>
      </c>
      <c r="H1289">
        <f>IF(ISBLANK('ENGAGEMENTS 2026'!C1289),"",'ENGAGEMENTS 2026'!AF1289)</f>
        <v/>
      </c>
      <c r="I1289">
        <f>IF(ISBLANK('ENGAGEMENTS 2026'!C1289),"",'ENGAGEMENTS 2026'!H1289)</f>
        <v/>
      </c>
      <c r="J1289" s="275">
        <f>IF(ISBLANK('ENGAGEMENTS 2026'!C1289),"",IF(AND(OR($E1289="INFRUCTUEUX",$E1289="ANNULE"),$C1289="AOO-M"),'ENGAGEMENTS 2026'!P1289,IF($H1289="EN COURS DE PREENGAGEMENT",'ENGAGEMENTS 2026'!O1289,IF($H1289="PREENGAGE",IF($E1289="ATTRIBUE",'ENGAGEMENTS 2026'!AE1289,'ENGAGEMENTS 2026'!O1289),'ENGAGEMENTS 2026'!AE1289))))</f>
        <v/>
      </c>
      <c r="K1289" s="604">
        <f>IF(ISBLANK('ENGAGEMENTS 2026'!W1289),"",'ENGAGEMENTS 2026'!W1289)</f>
        <v/>
      </c>
      <c r="L1289" s="276">
        <f>IF($K1289="","",TODAY()-$K1289)</f>
        <v/>
      </c>
      <c r="M1289">
        <f>IF($A1289="","",IF($H1289="ENGAGE","Engagé",IF(AND($H1289="NON ENGAGE",OR($I1289="INFRUCTUEUX",$I1289="ANNULE")),"Clôturé sans suite","En cours")))</f>
        <v/>
      </c>
      <c r="N1289">
        <f>IF(ISBLANK('ENGAGEMENTS 2026'!C1289),"",'ENGAGEMENTS 2026'!L1289)</f>
        <v/>
      </c>
      <c r="O1289">
        <f>IF(ISBLANK('ENGAGEMENTS 2026'!C1289),"",'ENGAGEMENTS 2026'!M1289)</f>
        <v/>
      </c>
      <c r="P1289">
        <f>IF(ISBLANK('ENGAGEMENTS 2026'!C1289),"",'ENGAGEMENTS 2026'!K1289)</f>
        <v/>
      </c>
      <c r="Q1289">
        <f>IF($A1289="","",IF(OR($E1289="INFRUCTUEUX",$E1289="ANNULE"),$A1289&amp;"|"&amp;(COUNTIFS($A$2:$A1289,$A1289,$E$2:$E1289,"INFRUCTUEUX")+COUNTIFS($A$2:$A1289,$A1289,$E$2:$E1289,"ANNULE")),""))</f>
        <v/>
      </c>
    </row>
    <row r="1290">
      <c r="A1290">
        <f>IF(ISBLANK('ENGAGEMENTS 2026'!C1290),"",IF('ENGAGEMENTS 2026'!C1290="DTSI","DCT",'ENGAGEMENTS 2026'!C1290))</f>
        <v/>
      </c>
      <c r="B1290">
        <f>IF(ISBLANK('ENGAGEMENTS 2026'!C1290),"",'ENGAGEMENTS 2026'!D1290)</f>
        <v/>
      </c>
      <c r="C1290">
        <f>IF(ISBLANK('ENGAGEMENTS 2026'!C1290),"",'ENGAGEMENTS 2026'!E1290)</f>
        <v/>
      </c>
      <c r="D1290">
        <f>IF(ISBLANK('ENGAGEMENTS 2026'!C1290),"",'ENGAGEMENTS 2026'!G1290)</f>
        <v/>
      </c>
      <c r="E1290">
        <f>IF(ISBLANK('ENGAGEMENTS 2026'!C1290),"",'ENGAGEMENTS 2026'!I1290)</f>
        <v/>
      </c>
      <c r="F1290">
        <f>IF(ISBLANK('ENGAGEMENTS 2026'!C1290),"",'ENGAGEMENTS 2026'!J1290)</f>
        <v/>
      </c>
      <c r="G1290">
        <f>IF(ISBLANK('ENGAGEMENTS 2026'!C1290),"",'ENGAGEMENTS 2026'!M1290)</f>
        <v/>
      </c>
      <c r="H1290">
        <f>IF(ISBLANK('ENGAGEMENTS 2026'!C1290),"",'ENGAGEMENTS 2026'!AF1290)</f>
        <v/>
      </c>
      <c r="I1290">
        <f>IF(ISBLANK('ENGAGEMENTS 2026'!C1290),"",'ENGAGEMENTS 2026'!H1290)</f>
        <v/>
      </c>
      <c r="J1290" s="275">
        <f>IF(ISBLANK('ENGAGEMENTS 2026'!C1290),"",IF(AND(OR($E1290="INFRUCTUEUX",$E1290="ANNULE"),$C1290="AOO-M"),'ENGAGEMENTS 2026'!P1290,IF($H1290="EN COURS DE PREENGAGEMENT",'ENGAGEMENTS 2026'!O1290,IF($H1290="PREENGAGE",IF($E1290="ATTRIBUE",'ENGAGEMENTS 2026'!AE1290,'ENGAGEMENTS 2026'!O1290),'ENGAGEMENTS 2026'!AE1290))))</f>
        <v/>
      </c>
      <c r="K1290" s="604">
        <f>IF(ISBLANK('ENGAGEMENTS 2026'!W1290),"",'ENGAGEMENTS 2026'!W1290)</f>
        <v/>
      </c>
      <c r="L1290" s="276">
        <f>IF($K1290="","",TODAY()-$K1290)</f>
        <v/>
      </c>
      <c r="M1290">
        <f>IF($A1290="","",IF($H1290="ENGAGE","Engagé",IF(AND($H1290="NON ENGAGE",OR($I1290="INFRUCTUEUX",$I1290="ANNULE")),"Clôturé sans suite","En cours")))</f>
        <v/>
      </c>
      <c r="N1290">
        <f>IF(ISBLANK('ENGAGEMENTS 2026'!C1290),"",'ENGAGEMENTS 2026'!L1290)</f>
        <v/>
      </c>
      <c r="O1290">
        <f>IF(ISBLANK('ENGAGEMENTS 2026'!C1290),"",'ENGAGEMENTS 2026'!M1290)</f>
        <v/>
      </c>
      <c r="P1290">
        <f>IF(ISBLANK('ENGAGEMENTS 2026'!C1290),"",'ENGAGEMENTS 2026'!K1290)</f>
        <v/>
      </c>
      <c r="Q1290">
        <f>IF($A1290="","",IF(OR($E1290="INFRUCTUEUX",$E1290="ANNULE"),$A1290&amp;"|"&amp;(COUNTIFS($A$2:$A1290,$A1290,$E$2:$E1290,"INFRUCTUEUX")+COUNTIFS($A$2:$A1290,$A1290,$E$2:$E1290,"ANNULE")),""))</f>
        <v/>
      </c>
    </row>
    <row r="1291">
      <c r="A1291">
        <f>IF(ISBLANK('ENGAGEMENTS 2026'!C1291),"",IF('ENGAGEMENTS 2026'!C1291="DTSI","DCT",'ENGAGEMENTS 2026'!C1291))</f>
        <v/>
      </c>
      <c r="B1291">
        <f>IF(ISBLANK('ENGAGEMENTS 2026'!C1291),"",'ENGAGEMENTS 2026'!D1291)</f>
        <v/>
      </c>
      <c r="C1291">
        <f>IF(ISBLANK('ENGAGEMENTS 2026'!C1291),"",'ENGAGEMENTS 2026'!E1291)</f>
        <v/>
      </c>
      <c r="D1291">
        <f>IF(ISBLANK('ENGAGEMENTS 2026'!C1291),"",'ENGAGEMENTS 2026'!G1291)</f>
        <v/>
      </c>
      <c r="E1291">
        <f>IF(ISBLANK('ENGAGEMENTS 2026'!C1291),"",'ENGAGEMENTS 2026'!I1291)</f>
        <v/>
      </c>
      <c r="F1291">
        <f>IF(ISBLANK('ENGAGEMENTS 2026'!C1291),"",'ENGAGEMENTS 2026'!J1291)</f>
        <v/>
      </c>
      <c r="G1291">
        <f>IF(ISBLANK('ENGAGEMENTS 2026'!C1291),"",'ENGAGEMENTS 2026'!M1291)</f>
        <v/>
      </c>
      <c r="H1291">
        <f>IF(ISBLANK('ENGAGEMENTS 2026'!C1291),"",'ENGAGEMENTS 2026'!AF1291)</f>
        <v/>
      </c>
      <c r="I1291">
        <f>IF(ISBLANK('ENGAGEMENTS 2026'!C1291),"",'ENGAGEMENTS 2026'!H1291)</f>
        <v/>
      </c>
      <c r="J1291" s="275">
        <f>IF(ISBLANK('ENGAGEMENTS 2026'!C1291),"",IF(AND(OR($E1291="INFRUCTUEUX",$E1291="ANNULE"),$C1291="AOO-M"),'ENGAGEMENTS 2026'!P1291,IF($H1291="EN COURS DE PREENGAGEMENT",'ENGAGEMENTS 2026'!O1291,IF($H1291="PREENGAGE",IF($E1291="ATTRIBUE",'ENGAGEMENTS 2026'!AE1291,'ENGAGEMENTS 2026'!O1291),'ENGAGEMENTS 2026'!AE1291))))</f>
        <v/>
      </c>
      <c r="K1291" s="604">
        <f>IF(ISBLANK('ENGAGEMENTS 2026'!W1291),"",'ENGAGEMENTS 2026'!W1291)</f>
        <v/>
      </c>
      <c r="L1291" s="276">
        <f>IF($K1291="","",TODAY()-$K1291)</f>
        <v/>
      </c>
      <c r="M1291">
        <f>IF($A1291="","",IF($H1291="ENGAGE","Engagé",IF(AND($H1291="NON ENGAGE",OR($I1291="INFRUCTUEUX",$I1291="ANNULE")),"Clôturé sans suite","En cours")))</f>
        <v/>
      </c>
      <c r="N1291">
        <f>IF(ISBLANK('ENGAGEMENTS 2026'!C1291),"",'ENGAGEMENTS 2026'!L1291)</f>
        <v/>
      </c>
      <c r="O1291">
        <f>IF(ISBLANK('ENGAGEMENTS 2026'!C1291),"",'ENGAGEMENTS 2026'!M1291)</f>
        <v/>
      </c>
      <c r="P1291">
        <f>IF(ISBLANK('ENGAGEMENTS 2026'!C1291),"",'ENGAGEMENTS 2026'!K1291)</f>
        <v/>
      </c>
      <c r="Q1291">
        <f>IF($A1291="","",IF(OR($E1291="INFRUCTUEUX",$E1291="ANNULE"),$A1291&amp;"|"&amp;(COUNTIFS($A$2:$A1291,$A1291,$E$2:$E1291,"INFRUCTUEUX")+COUNTIFS($A$2:$A1291,$A1291,$E$2:$E1291,"ANNULE")),""))</f>
        <v/>
      </c>
    </row>
    <row r="1292">
      <c r="A1292">
        <f>IF(ISBLANK('ENGAGEMENTS 2026'!C1292),"",IF('ENGAGEMENTS 2026'!C1292="DTSI","DCT",'ENGAGEMENTS 2026'!C1292))</f>
        <v/>
      </c>
      <c r="B1292">
        <f>IF(ISBLANK('ENGAGEMENTS 2026'!C1292),"",'ENGAGEMENTS 2026'!D1292)</f>
        <v/>
      </c>
      <c r="C1292">
        <f>IF(ISBLANK('ENGAGEMENTS 2026'!C1292),"",'ENGAGEMENTS 2026'!E1292)</f>
        <v/>
      </c>
      <c r="D1292">
        <f>IF(ISBLANK('ENGAGEMENTS 2026'!C1292),"",'ENGAGEMENTS 2026'!G1292)</f>
        <v/>
      </c>
      <c r="E1292">
        <f>IF(ISBLANK('ENGAGEMENTS 2026'!C1292),"",'ENGAGEMENTS 2026'!I1292)</f>
        <v/>
      </c>
      <c r="F1292">
        <f>IF(ISBLANK('ENGAGEMENTS 2026'!C1292),"",'ENGAGEMENTS 2026'!J1292)</f>
        <v/>
      </c>
      <c r="G1292">
        <f>IF(ISBLANK('ENGAGEMENTS 2026'!C1292),"",'ENGAGEMENTS 2026'!M1292)</f>
        <v/>
      </c>
      <c r="H1292">
        <f>IF(ISBLANK('ENGAGEMENTS 2026'!C1292),"",'ENGAGEMENTS 2026'!AF1292)</f>
        <v/>
      </c>
      <c r="I1292">
        <f>IF(ISBLANK('ENGAGEMENTS 2026'!C1292),"",'ENGAGEMENTS 2026'!H1292)</f>
        <v/>
      </c>
      <c r="J1292" s="275">
        <f>IF(ISBLANK('ENGAGEMENTS 2026'!C1292),"",IF(AND(OR($E1292="INFRUCTUEUX",$E1292="ANNULE"),$C1292="AOO-M"),'ENGAGEMENTS 2026'!P1292,IF($H1292="EN COURS DE PREENGAGEMENT",'ENGAGEMENTS 2026'!O1292,IF($H1292="PREENGAGE",IF($E1292="ATTRIBUE",'ENGAGEMENTS 2026'!AE1292,'ENGAGEMENTS 2026'!O1292),'ENGAGEMENTS 2026'!AE1292))))</f>
        <v/>
      </c>
      <c r="K1292" s="604">
        <f>IF(ISBLANK('ENGAGEMENTS 2026'!W1292),"",'ENGAGEMENTS 2026'!W1292)</f>
        <v/>
      </c>
      <c r="L1292" s="276">
        <f>IF($K1292="","",TODAY()-$K1292)</f>
        <v/>
      </c>
      <c r="M1292">
        <f>IF($A1292="","",IF($H1292="ENGAGE","Engagé",IF(AND($H1292="NON ENGAGE",OR($I1292="INFRUCTUEUX",$I1292="ANNULE")),"Clôturé sans suite","En cours")))</f>
        <v/>
      </c>
      <c r="N1292">
        <f>IF(ISBLANK('ENGAGEMENTS 2026'!C1292),"",'ENGAGEMENTS 2026'!L1292)</f>
        <v/>
      </c>
      <c r="O1292">
        <f>IF(ISBLANK('ENGAGEMENTS 2026'!C1292),"",'ENGAGEMENTS 2026'!M1292)</f>
        <v/>
      </c>
      <c r="P1292">
        <f>IF(ISBLANK('ENGAGEMENTS 2026'!C1292),"",'ENGAGEMENTS 2026'!K1292)</f>
        <v/>
      </c>
      <c r="Q1292">
        <f>IF($A1292="","",IF(OR($E1292="INFRUCTUEUX",$E1292="ANNULE"),$A1292&amp;"|"&amp;(COUNTIFS($A$2:$A1292,$A1292,$E$2:$E1292,"INFRUCTUEUX")+COUNTIFS($A$2:$A1292,$A1292,$E$2:$E1292,"ANNULE")),""))</f>
        <v/>
      </c>
    </row>
    <row r="1293">
      <c r="A1293">
        <f>IF(ISBLANK('ENGAGEMENTS 2026'!C1293),"",IF('ENGAGEMENTS 2026'!C1293="DTSI","DCT",'ENGAGEMENTS 2026'!C1293))</f>
        <v/>
      </c>
      <c r="B1293">
        <f>IF(ISBLANK('ENGAGEMENTS 2026'!C1293),"",'ENGAGEMENTS 2026'!D1293)</f>
        <v/>
      </c>
      <c r="C1293">
        <f>IF(ISBLANK('ENGAGEMENTS 2026'!C1293),"",'ENGAGEMENTS 2026'!E1293)</f>
        <v/>
      </c>
      <c r="D1293">
        <f>IF(ISBLANK('ENGAGEMENTS 2026'!C1293),"",'ENGAGEMENTS 2026'!G1293)</f>
        <v/>
      </c>
      <c r="E1293">
        <f>IF(ISBLANK('ENGAGEMENTS 2026'!C1293),"",'ENGAGEMENTS 2026'!I1293)</f>
        <v/>
      </c>
      <c r="F1293">
        <f>IF(ISBLANK('ENGAGEMENTS 2026'!C1293),"",'ENGAGEMENTS 2026'!J1293)</f>
        <v/>
      </c>
      <c r="G1293">
        <f>IF(ISBLANK('ENGAGEMENTS 2026'!C1293),"",'ENGAGEMENTS 2026'!M1293)</f>
        <v/>
      </c>
      <c r="H1293">
        <f>IF(ISBLANK('ENGAGEMENTS 2026'!C1293),"",'ENGAGEMENTS 2026'!AF1293)</f>
        <v/>
      </c>
      <c r="I1293">
        <f>IF(ISBLANK('ENGAGEMENTS 2026'!C1293),"",'ENGAGEMENTS 2026'!H1293)</f>
        <v/>
      </c>
      <c r="J1293" s="275">
        <f>IF(ISBLANK('ENGAGEMENTS 2026'!C1293),"",IF(AND(OR($E1293="INFRUCTUEUX",$E1293="ANNULE"),$C1293="AOO-M"),'ENGAGEMENTS 2026'!P1293,IF($H1293="EN COURS DE PREENGAGEMENT",'ENGAGEMENTS 2026'!O1293,IF($H1293="PREENGAGE",IF($E1293="ATTRIBUE",'ENGAGEMENTS 2026'!AE1293,'ENGAGEMENTS 2026'!O1293),'ENGAGEMENTS 2026'!AE1293))))</f>
        <v/>
      </c>
      <c r="K1293" s="604">
        <f>IF(ISBLANK('ENGAGEMENTS 2026'!W1293),"",'ENGAGEMENTS 2026'!W1293)</f>
        <v/>
      </c>
      <c r="L1293" s="276">
        <f>IF($K1293="","",TODAY()-$K1293)</f>
        <v/>
      </c>
      <c r="M1293">
        <f>IF($A1293="","",IF($H1293="ENGAGE","Engagé",IF(AND($H1293="NON ENGAGE",OR($I1293="INFRUCTUEUX",$I1293="ANNULE")),"Clôturé sans suite","En cours")))</f>
        <v/>
      </c>
      <c r="N1293">
        <f>IF(ISBLANK('ENGAGEMENTS 2026'!C1293),"",'ENGAGEMENTS 2026'!L1293)</f>
        <v/>
      </c>
      <c r="O1293">
        <f>IF(ISBLANK('ENGAGEMENTS 2026'!C1293),"",'ENGAGEMENTS 2026'!M1293)</f>
        <v/>
      </c>
      <c r="P1293">
        <f>IF(ISBLANK('ENGAGEMENTS 2026'!C1293),"",'ENGAGEMENTS 2026'!K1293)</f>
        <v/>
      </c>
      <c r="Q1293">
        <f>IF($A1293="","",IF(OR($E1293="INFRUCTUEUX",$E1293="ANNULE"),$A1293&amp;"|"&amp;(COUNTIFS($A$2:$A1293,$A1293,$E$2:$E1293,"INFRUCTUEUX")+COUNTIFS($A$2:$A1293,$A1293,$E$2:$E1293,"ANNULE")),""))</f>
        <v/>
      </c>
    </row>
    <row r="1294">
      <c r="A1294">
        <f>IF(ISBLANK('ENGAGEMENTS 2026'!C1294),"",IF('ENGAGEMENTS 2026'!C1294="DTSI","DCT",'ENGAGEMENTS 2026'!C1294))</f>
        <v/>
      </c>
      <c r="B1294">
        <f>IF(ISBLANK('ENGAGEMENTS 2026'!C1294),"",'ENGAGEMENTS 2026'!D1294)</f>
        <v/>
      </c>
      <c r="C1294">
        <f>IF(ISBLANK('ENGAGEMENTS 2026'!C1294),"",'ENGAGEMENTS 2026'!E1294)</f>
        <v/>
      </c>
      <c r="D1294">
        <f>IF(ISBLANK('ENGAGEMENTS 2026'!C1294),"",'ENGAGEMENTS 2026'!G1294)</f>
        <v/>
      </c>
      <c r="E1294">
        <f>IF(ISBLANK('ENGAGEMENTS 2026'!C1294),"",'ENGAGEMENTS 2026'!I1294)</f>
        <v/>
      </c>
      <c r="F1294">
        <f>IF(ISBLANK('ENGAGEMENTS 2026'!C1294),"",'ENGAGEMENTS 2026'!J1294)</f>
        <v/>
      </c>
      <c r="G1294">
        <f>IF(ISBLANK('ENGAGEMENTS 2026'!C1294),"",'ENGAGEMENTS 2026'!M1294)</f>
        <v/>
      </c>
      <c r="H1294">
        <f>IF(ISBLANK('ENGAGEMENTS 2026'!C1294),"",'ENGAGEMENTS 2026'!AF1294)</f>
        <v/>
      </c>
      <c r="I1294">
        <f>IF(ISBLANK('ENGAGEMENTS 2026'!C1294),"",'ENGAGEMENTS 2026'!H1294)</f>
        <v/>
      </c>
      <c r="J1294" s="275">
        <f>IF(ISBLANK('ENGAGEMENTS 2026'!C1294),"",IF(AND(OR($E1294="INFRUCTUEUX",$E1294="ANNULE"),$C1294="AOO-M"),'ENGAGEMENTS 2026'!P1294,IF($H1294="EN COURS DE PREENGAGEMENT",'ENGAGEMENTS 2026'!O1294,IF($H1294="PREENGAGE",IF($E1294="ATTRIBUE",'ENGAGEMENTS 2026'!AE1294,'ENGAGEMENTS 2026'!O1294),'ENGAGEMENTS 2026'!AE1294))))</f>
        <v/>
      </c>
      <c r="K1294" s="604">
        <f>IF(ISBLANK('ENGAGEMENTS 2026'!W1294),"",'ENGAGEMENTS 2026'!W1294)</f>
        <v/>
      </c>
      <c r="L1294" s="276">
        <f>IF($K1294="","",TODAY()-$K1294)</f>
        <v/>
      </c>
      <c r="M1294">
        <f>IF($A1294="","",IF($H1294="ENGAGE","Engagé",IF(AND($H1294="NON ENGAGE",OR($I1294="INFRUCTUEUX",$I1294="ANNULE")),"Clôturé sans suite","En cours")))</f>
        <v/>
      </c>
      <c r="N1294">
        <f>IF(ISBLANK('ENGAGEMENTS 2026'!C1294),"",'ENGAGEMENTS 2026'!L1294)</f>
        <v/>
      </c>
      <c r="O1294">
        <f>IF(ISBLANK('ENGAGEMENTS 2026'!C1294),"",'ENGAGEMENTS 2026'!M1294)</f>
        <v/>
      </c>
      <c r="P1294">
        <f>IF(ISBLANK('ENGAGEMENTS 2026'!C1294),"",'ENGAGEMENTS 2026'!K1294)</f>
        <v/>
      </c>
      <c r="Q1294">
        <f>IF($A1294="","",IF(OR($E1294="INFRUCTUEUX",$E1294="ANNULE"),$A1294&amp;"|"&amp;(COUNTIFS($A$2:$A1294,$A1294,$E$2:$E1294,"INFRUCTUEUX")+COUNTIFS($A$2:$A1294,$A1294,$E$2:$E1294,"ANNULE")),""))</f>
        <v/>
      </c>
    </row>
    <row r="1295">
      <c r="A1295">
        <f>IF(ISBLANK('ENGAGEMENTS 2026'!C1295),"",IF('ENGAGEMENTS 2026'!C1295="DTSI","DCT",'ENGAGEMENTS 2026'!C1295))</f>
        <v/>
      </c>
      <c r="B1295">
        <f>IF(ISBLANK('ENGAGEMENTS 2026'!C1295),"",'ENGAGEMENTS 2026'!D1295)</f>
        <v/>
      </c>
      <c r="C1295">
        <f>IF(ISBLANK('ENGAGEMENTS 2026'!C1295),"",'ENGAGEMENTS 2026'!E1295)</f>
        <v/>
      </c>
      <c r="D1295">
        <f>IF(ISBLANK('ENGAGEMENTS 2026'!C1295),"",'ENGAGEMENTS 2026'!G1295)</f>
        <v/>
      </c>
      <c r="E1295">
        <f>IF(ISBLANK('ENGAGEMENTS 2026'!C1295),"",'ENGAGEMENTS 2026'!I1295)</f>
        <v/>
      </c>
      <c r="F1295">
        <f>IF(ISBLANK('ENGAGEMENTS 2026'!C1295),"",'ENGAGEMENTS 2026'!J1295)</f>
        <v/>
      </c>
      <c r="G1295">
        <f>IF(ISBLANK('ENGAGEMENTS 2026'!C1295),"",'ENGAGEMENTS 2026'!M1295)</f>
        <v/>
      </c>
      <c r="H1295">
        <f>IF(ISBLANK('ENGAGEMENTS 2026'!C1295),"",'ENGAGEMENTS 2026'!AF1295)</f>
        <v/>
      </c>
      <c r="I1295">
        <f>IF(ISBLANK('ENGAGEMENTS 2026'!C1295),"",'ENGAGEMENTS 2026'!H1295)</f>
        <v/>
      </c>
      <c r="J1295" s="275">
        <f>IF(ISBLANK('ENGAGEMENTS 2026'!C1295),"",IF(AND(OR($E1295="INFRUCTUEUX",$E1295="ANNULE"),$C1295="AOO-M"),'ENGAGEMENTS 2026'!P1295,IF($H1295="EN COURS DE PREENGAGEMENT",'ENGAGEMENTS 2026'!O1295,IF($H1295="PREENGAGE",IF($E1295="ATTRIBUE",'ENGAGEMENTS 2026'!AE1295,'ENGAGEMENTS 2026'!O1295),'ENGAGEMENTS 2026'!AE1295))))</f>
        <v/>
      </c>
      <c r="K1295" s="604">
        <f>IF(ISBLANK('ENGAGEMENTS 2026'!W1295),"",'ENGAGEMENTS 2026'!W1295)</f>
        <v/>
      </c>
      <c r="L1295" s="276">
        <f>IF($K1295="","",TODAY()-$K1295)</f>
        <v/>
      </c>
      <c r="M1295">
        <f>IF($A1295="","",IF($H1295="ENGAGE","Engagé",IF(AND($H1295="NON ENGAGE",OR($I1295="INFRUCTUEUX",$I1295="ANNULE")),"Clôturé sans suite","En cours")))</f>
        <v/>
      </c>
      <c r="N1295">
        <f>IF(ISBLANK('ENGAGEMENTS 2026'!C1295),"",'ENGAGEMENTS 2026'!L1295)</f>
        <v/>
      </c>
      <c r="O1295">
        <f>IF(ISBLANK('ENGAGEMENTS 2026'!C1295),"",'ENGAGEMENTS 2026'!M1295)</f>
        <v/>
      </c>
      <c r="P1295">
        <f>IF(ISBLANK('ENGAGEMENTS 2026'!C1295),"",'ENGAGEMENTS 2026'!K1295)</f>
        <v/>
      </c>
      <c r="Q1295">
        <f>IF($A1295="","",IF(OR($E1295="INFRUCTUEUX",$E1295="ANNULE"),$A1295&amp;"|"&amp;(COUNTIFS($A$2:$A1295,$A1295,$E$2:$E1295,"INFRUCTUEUX")+COUNTIFS($A$2:$A1295,$A1295,$E$2:$E1295,"ANNULE")),""))</f>
        <v/>
      </c>
    </row>
    <row r="1296">
      <c r="A1296">
        <f>IF(ISBLANK('ENGAGEMENTS 2026'!C1296),"",IF('ENGAGEMENTS 2026'!C1296="DTSI","DCT",'ENGAGEMENTS 2026'!C1296))</f>
        <v/>
      </c>
      <c r="B1296">
        <f>IF(ISBLANK('ENGAGEMENTS 2026'!C1296),"",'ENGAGEMENTS 2026'!D1296)</f>
        <v/>
      </c>
      <c r="C1296">
        <f>IF(ISBLANK('ENGAGEMENTS 2026'!C1296),"",'ENGAGEMENTS 2026'!E1296)</f>
        <v/>
      </c>
      <c r="D1296">
        <f>IF(ISBLANK('ENGAGEMENTS 2026'!C1296),"",'ENGAGEMENTS 2026'!G1296)</f>
        <v/>
      </c>
      <c r="E1296">
        <f>IF(ISBLANK('ENGAGEMENTS 2026'!C1296),"",'ENGAGEMENTS 2026'!I1296)</f>
        <v/>
      </c>
      <c r="F1296">
        <f>IF(ISBLANK('ENGAGEMENTS 2026'!C1296),"",'ENGAGEMENTS 2026'!J1296)</f>
        <v/>
      </c>
      <c r="G1296">
        <f>IF(ISBLANK('ENGAGEMENTS 2026'!C1296),"",'ENGAGEMENTS 2026'!M1296)</f>
        <v/>
      </c>
      <c r="H1296">
        <f>IF(ISBLANK('ENGAGEMENTS 2026'!C1296),"",'ENGAGEMENTS 2026'!AF1296)</f>
        <v/>
      </c>
      <c r="I1296">
        <f>IF(ISBLANK('ENGAGEMENTS 2026'!C1296),"",'ENGAGEMENTS 2026'!H1296)</f>
        <v/>
      </c>
      <c r="J1296" s="275">
        <f>IF(ISBLANK('ENGAGEMENTS 2026'!C1296),"",IF(AND(OR($E1296="INFRUCTUEUX",$E1296="ANNULE"),$C1296="AOO-M"),'ENGAGEMENTS 2026'!P1296,IF($H1296="EN COURS DE PREENGAGEMENT",'ENGAGEMENTS 2026'!O1296,IF($H1296="PREENGAGE",IF($E1296="ATTRIBUE",'ENGAGEMENTS 2026'!AE1296,'ENGAGEMENTS 2026'!O1296),'ENGAGEMENTS 2026'!AE1296))))</f>
        <v/>
      </c>
      <c r="K1296" s="604">
        <f>IF(ISBLANK('ENGAGEMENTS 2026'!W1296),"",'ENGAGEMENTS 2026'!W1296)</f>
        <v/>
      </c>
      <c r="L1296" s="276">
        <f>IF($K1296="","",TODAY()-$K1296)</f>
        <v/>
      </c>
      <c r="M1296">
        <f>IF($A1296="","",IF($H1296="ENGAGE","Engagé",IF(AND($H1296="NON ENGAGE",OR($I1296="INFRUCTUEUX",$I1296="ANNULE")),"Clôturé sans suite","En cours")))</f>
        <v/>
      </c>
      <c r="N1296">
        <f>IF(ISBLANK('ENGAGEMENTS 2026'!C1296),"",'ENGAGEMENTS 2026'!L1296)</f>
        <v/>
      </c>
      <c r="O1296">
        <f>IF(ISBLANK('ENGAGEMENTS 2026'!C1296),"",'ENGAGEMENTS 2026'!M1296)</f>
        <v/>
      </c>
      <c r="P1296">
        <f>IF(ISBLANK('ENGAGEMENTS 2026'!C1296),"",'ENGAGEMENTS 2026'!K1296)</f>
        <v/>
      </c>
      <c r="Q1296">
        <f>IF($A1296="","",IF(OR($E1296="INFRUCTUEUX",$E1296="ANNULE"),$A1296&amp;"|"&amp;(COUNTIFS($A$2:$A1296,$A1296,$E$2:$E1296,"INFRUCTUEUX")+COUNTIFS($A$2:$A1296,$A1296,$E$2:$E1296,"ANNULE")),""))</f>
        <v/>
      </c>
    </row>
    <row r="1297">
      <c r="A1297">
        <f>IF(ISBLANK('ENGAGEMENTS 2026'!C1297),"",IF('ENGAGEMENTS 2026'!C1297="DTSI","DCT",'ENGAGEMENTS 2026'!C1297))</f>
        <v/>
      </c>
      <c r="B1297">
        <f>IF(ISBLANK('ENGAGEMENTS 2026'!C1297),"",'ENGAGEMENTS 2026'!D1297)</f>
        <v/>
      </c>
      <c r="C1297">
        <f>IF(ISBLANK('ENGAGEMENTS 2026'!C1297),"",'ENGAGEMENTS 2026'!E1297)</f>
        <v/>
      </c>
      <c r="D1297">
        <f>IF(ISBLANK('ENGAGEMENTS 2026'!C1297),"",'ENGAGEMENTS 2026'!G1297)</f>
        <v/>
      </c>
      <c r="E1297">
        <f>IF(ISBLANK('ENGAGEMENTS 2026'!C1297),"",'ENGAGEMENTS 2026'!I1297)</f>
        <v/>
      </c>
      <c r="F1297">
        <f>IF(ISBLANK('ENGAGEMENTS 2026'!C1297),"",'ENGAGEMENTS 2026'!J1297)</f>
        <v/>
      </c>
      <c r="G1297">
        <f>IF(ISBLANK('ENGAGEMENTS 2026'!C1297),"",'ENGAGEMENTS 2026'!M1297)</f>
        <v/>
      </c>
      <c r="H1297">
        <f>IF(ISBLANK('ENGAGEMENTS 2026'!C1297),"",'ENGAGEMENTS 2026'!AF1297)</f>
        <v/>
      </c>
      <c r="I1297">
        <f>IF(ISBLANK('ENGAGEMENTS 2026'!C1297),"",'ENGAGEMENTS 2026'!H1297)</f>
        <v/>
      </c>
      <c r="J1297" s="275">
        <f>IF(ISBLANK('ENGAGEMENTS 2026'!C1297),"",IF(AND(OR($E1297="INFRUCTUEUX",$E1297="ANNULE"),$C1297="AOO-M"),'ENGAGEMENTS 2026'!P1297,IF($H1297="EN COURS DE PREENGAGEMENT",'ENGAGEMENTS 2026'!O1297,IF($H1297="PREENGAGE",IF($E1297="ATTRIBUE",'ENGAGEMENTS 2026'!AE1297,'ENGAGEMENTS 2026'!O1297),'ENGAGEMENTS 2026'!AE1297))))</f>
        <v/>
      </c>
      <c r="K1297" s="604">
        <f>IF(ISBLANK('ENGAGEMENTS 2026'!W1297),"",'ENGAGEMENTS 2026'!W1297)</f>
        <v/>
      </c>
      <c r="L1297" s="276">
        <f>IF($K1297="","",TODAY()-$K1297)</f>
        <v/>
      </c>
      <c r="M1297">
        <f>IF($A1297="","",IF($H1297="ENGAGE","Engagé",IF(AND($H1297="NON ENGAGE",OR($I1297="INFRUCTUEUX",$I1297="ANNULE")),"Clôturé sans suite","En cours")))</f>
        <v/>
      </c>
      <c r="N1297">
        <f>IF(ISBLANK('ENGAGEMENTS 2026'!C1297),"",'ENGAGEMENTS 2026'!L1297)</f>
        <v/>
      </c>
      <c r="O1297">
        <f>IF(ISBLANK('ENGAGEMENTS 2026'!C1297),"",'ENGAGEMENTS 2026'!M1297)</f>
        <v/>
      </c>
      <c r="P1297">
        <f>IF(ISBLANK('ENGAGEMENTS 2026'!C1297),"",'ENGAGEMENTS 2026'!K1297)</f>
        <v/>
      </c>
      <c r="Q1297">
        <f>IF($A1297="","",IF(OR($E1297="INFRUCTUEUX",$E1297="ANNULE"),$A1297&amp;"|"&amp;(COUNTIFS($A$2:$A1297,$A1297,$E$2:$E1297,"INFRUCTUEUX")+COUNTIFS($A$2:$A1297,$A1297,$E$2:$E1297,"ANNULE")),""))</f>
        <v/>
      </c>
    </row>
    <row r="1298">
      <c r="A1298">
        <f>IF(ISBLANK('ENGAGEMENTS 2026'!C1298),"",IF('ENGAGEMENTS 2026'!C1298="DTSI","DCT",'ENGAGEMENTS 2026'!C1298))</f>
        <v/>
      </c>
      <c r="B1298">
        <f>IF(ISBLANK('ENGAGEMENTS 2026'!C1298),"",'ENGAGEMENTS 2026'!D1298)</f>
        <v/>
      </c>
      <c r="C1298">
        <f>IF(ISBLANK('ENGAGEMENTS 2026'!C1298),"",'ENGAGEMENTS 2026'!E1298)</f>
        <v/>
      </c>
      <c r="D1298">
        <f>IF(ISBLANK('ENGAGEMENTS 2026'!C1298),"",'ENGAGEMENTS 2026'!G1298)</f>
        <v/>
      </c>
      <c r="E1298">
        <f>IF(ISBLANK('ENGAGEMENTS 2026'!C1298),"",'ENGAGEMENTS 2026'!I1298)</f>
        <v/>
      </c>
      <c r="F1298">
        <f>IF(ISBLANK('ENGAGEMENTS 2026'!C1298),"",'ENGAGEMENTS 2026'!J1298)</f>
        <v/>
      </c>
      <c r="G1298">
        <f>IF(ISBLANK('ENGAGEMENTS 2026'!C1298),"",'ENGAGEMENTS 2026'!M1298)</f>
        <v/>
      </c>
      <c r="H1298">
        <f>IF(ISBLANK('ENGAGEMENTS 2026'!C1298),"",'ENGAGEMENTS 2026'!AF1298)</f>
        <v/>
      </c>
      <c r="I1298">
        <f>IF(ISBLANK('ENGAGEMENTS 2026'!C1298),"",'ENGAGEMENTS 2026'!H1298)</f>
        <v/>
      </c>
      <c r="J1298" s="275">
        <f>IF(ISBLANK('ENGAGEMENTS 2026'!C1298),"",IF(AND(OR($E1298="INFRUCTUEUX",$E1298="ANNULE"),$C1298="AOO-M"),'ENGAGEMENTS 2026'!P1298,IF($H1298="EN COURS DE PREENGAGEMENT",'ENGAGEMENTS 2026'!O1298,IF($H1298="PREENGAGE",IF($E1298="ATTRIBUE",'ENGAGEMENTS 2026'!AE1298,'ENGAGEMENTS 2026'!O1298),'ENGAGEMENTS 2026'!AE1298))))</f>
        <v/>
      </c>
      <c r="K1298" s="604">
        <f>IF(ISBLANK('ENGAGEMENTS 2026'!W1298),"",'ENGAGEMENTS 2026'!W1298)</f>
        <v/>
      </c>
      <c r="L1298" s="276">
        <f>IF($K1298="","",TODAY()-$K1298)</f>
        <v/>
      </c>
      <c r="M1298">
        <f>IF($A1298="","",IF($H1298="ENGAGE","Engagé",IF(AND($H1298="NON ENGAGE",OR($I1298="INFRUCTUEUX",$I1298="ANNULE")),"Clôturé sans suite","En cours")))</f>
        <v/>
      </c>
      <c r="N1298">
        <f>IF(ISBLANK('ENGAGEMENTS 2026'!C1298),"",'ENGAGEMENTS 2026'!L1298)</f>
        <v/>
      </c>
      <c r="O1298">
        <f>IF(ISBLANK('ENGAGEMENTS 2026'!C1298),"",'ENGAGEMENTS 2026'!M1298)</f>
        <v/>
      </c>
      <c r="P1298">
        <f>IF(ISBLANK('ENGAGEMENTS 2026'!C1298),"",'ENGAGEMENTS 2026'!K1298)</f>
        <v/>
      </c>
      <c r="Q1298">
        <f>IF($A1298="","",IF(OR($E1298="INFRUCTUEUX",$E1298="ANNULE"),$A1298&amp;"|"&amp;(COUNTIFS($A$2:$A1298,$A1298,$E$2:$E1298,"INFRUCTUEUX")+COUNTIFS($A$2:$A1298,$A1298,$E$2:$E1298,"ANNULE")),""))</f>
        <v/>
      </c>
    </row>
    <row r="1299">
      <c r="A1299">
        <f>IF(ISBLANK('ENGAGEMENTS 2026'!C1299),"",IF('ENGAGEMENTS 2026'!C1299="DTSI","DCT",'ENGAGEMENTS 2026'!C1299))</f>
        <v/>
      </c>
      <c r="B1299">
        <f>IF(ISBLANK('ENGAGEMENTS 2026'!C1299),"",'ENGAGEMENTS 2026'!D1299)</f>
        <v/>
      </c>
      <c r="C1299">
        <f>IF(ISBLANK('ENGAGEMENTS 2026'!C1299),"",'ENGAGEMENTS 2026'!E1299)</f>
        <v/>
      </c>
      <c r="D1299">
        <f>IF(ISBLANK('ENGAGEMENTS 2026'!C1299),"",'ENGAGEMENTS 2026'!G1299)</f>
        <v/>
      </c>
      <c r="E1299">
        <f>IF(ISBLANK('ENGAGEMENTS 2026'!C1299),"",'ENGAGEMENTS 2026'!I1299)</f>
        <v/>
      </c>
      <c r="F1299">
        <f>IF(ISBLANK('ENGAGEMENTS 2026'!C1299),"",'ENGAGEMENTS 2026'!J1299)</f>
        <v/>
      </c>
      <c r="G1299">
        <f>IF(ISBLANK('ENGAGEMENTS 2026'!C1299),"",'ENGAGEMENTS 2026'!M1299)</f>
        <v/>
      </c>
      <c r="H1299">
        <f>IF(ISBLANK('ENGAGEMENTS 2026'!C1299),"",'ENGAGEMENTS 2026'!AF1299)</f>
        <v/>
      </c>
      <c r="I1299">
        <f>IF(ISBLANK('ENGAGEMENTS 2026'!C1299),"",'ENGAGEMENTS 2026'!H1299)</f>
        <v/>
      </c>
      <c r="J1299" s="275">
        <f>IF(ISBLANK('ENGAGEMENTS 2026'!C1299),"",IF(AND(OR($E1299="INFRUCTUEUX",$E1299="ANNULE"),$C1299="AOO-M"),'ENGAGEMENTS 2026'!P1299,IF($H1299="EN COURS DE PREENGAGEMENT",'ENGAGEMENTS 2026'!O1299,IF($H1299="PREENGAGE",IF($E1299="ATTRIBUE",'ENGAGEMENTS 2026'!AE1299,'ENGAGEMENTS 2026'!O1299),'ENGAGEMENTS 2026'!AE1299))))</f>
        <v/>
      </c>
      <c r="K1299" s="604">
        <f>IF(ISBLANK('ENGAGEMENTS 2026'!W1299),"",'ENGAGEMENTS 2026'!W1299)</f>
        <v/>
      </c>
      <c r="L1299" s="276">
        <f>IF($K1299="","",TODAY()-$K1299)</f>
        <v/>
      </c>
      <c r="M1299">
        <f>IF($A1299="","",IF($H1299="ENGAGE","Engagé",IF(AND($H1299="NON ENGAGE",OR($I1299="INFRUCTUEUX",$I1299="ANNULE")),"Clôturé sans suite","En cours")))</f>
        <v/>
      </c>
      <c r="N1299">
        <f>IF(ISBLANK('ENGAGEMENTS 2026'!C1299),"",'ENGAGEMENTS 2026'!L1299)</f>
        <v/>
      </c>
      <c r="O1299">
        <f>IF(ISBLANK('ENGAGEMENTS 2026'!C1299),"",'ENGAGEMENTS 2026'!M1299)</f>
        <v/>
      </c>
      <c r="P1299">
        <f>IF(ISBLANK('ENGAGEMENTS 2026'!C1299),"",'ENGAGEMENTS 2026'!K1299)</f>
        <v/>
      </c>
      <c r="Q1299">
        <f>IF($A1299="","",IF(OR($E1299="INFRUCTUEUX",$E1299="ANNULE"),$A1299&amp;"|"&amp;(COUNTIFS($A$2:$A1299,$A1299,$E$2:$E1299,"INFRUCTUEUX")+COUNTIFS($A$2:$A1299,$A1299,$E$2:$E1299,"ANNULE")),""))</f>
        <v/>
      </c>
    </row>
    <row r="1300">
      <c r="A1300">
        <f>IF(ISBLANK('ENGAGEMENTS 2026'!C1300),"",IF('ENGAGEMENTS 2026'!C1300="DTSI","DCT",'ENGAGEMENTS 2026'!C1300))</f>
        <v/>
      </c>
      <c r="B1300">
        <f>IF(ISBLANK('ENGAGEMENTS 2026'!C1300),"",'ENGAGEMENTS 2026'!D1300)</f>
        <v/>
      </c>
      <c r="C1300">
        <f>IF(ISBLANK('ENGAGEMENTS 2026'!C1300),"",'ENGAGEMENTS 2026'!E1300)</f>
        <v/>
      </c>
      <c r="D1300">
        <f>IF(ISBLANK('ENGAGEMENTS 2026'!C1300),"",'ENGAGEMENTS 2026'!G1300)</f>
        <v/>
      </c>
      <c r="E1300">
        <f>IF(ISBLANK('ENGAGEMENTS 2026'!C1300),"",'ENGAGEMENTS 2026'!I1300)</f>
        <v/>
      </c>
      <c r="F1300">
        <f>IF(ISBLANK('ENGAGEMENTS 2026'!C1300),"",'ENGAGEMENTS 2026'!J1300)</f>
        <v/>
      </c>
      <c r="G1300">
        <f>IF(ISBLANK('ENGAGEMENTS 2026'!C1300),"",'ENGAGEMENTS 2026'!M1300)</f>
        <v/>
      </c>
      <c r="H1300">
        <f>IF(ISBLANK('ENGAGEMENTS 2026'!C1300),"",'ENGAGEMENTS 2026'!AF1300)</f>
        <v/>
      </c>
      <c r="I1300">
        <f>IF(ISBLANK('ENGAGEMENTS 2026'!C1300),"",'ENGAGEMENTS 2026'!H1300)</f>
        <v/>
      </c>
      <c r="J1300" s="275">
        <f>IF(ISBLANK('ENGAGEMENTS 2026'!C1300),"",IF(AND(OR($E1300="INFRUCTUEUX",$E1300="ANNULE"),$C1300="AOO-M"),'ENGAGEMENTS 2026'!P1300,IF($H1300="EN COURS DE PREENGAGEMENT",'ENGAGEMENTS 2026'!O1300,IF($H1300="PREENGAGE",IF($E1300="ATTRIBUE",'ENGAGEMENTS 2026'!AE1300,'ENGAGEMENTS 2026'!O1300),'ENGAGEMENTS 2026'!AE1300))))</f>
        <v/>
      </c>
      <c r="K1300" s="604">
        <f>IF(ISBLANK('ENGAGEMENTS 2026'!W1300),"",'ENGAGEMENTS 2026'!W1300)</f>
        <v/>
      </c>
      <c r="L1300" s="276">
        <f>IF($K1300="","",TODAY()-$K1300)</f>
        <v/>
      </c>
      <c r="M1300">
        <f>IF($A1300="","",IF($H1300="ENGAGE","Engagé",IF(AND($H1300="NON ENGAGE",OR($I1300="INFRUCTUEUX",$I1300="ANNULE")),"Clôturé sans suite","En cours")))</f>
        <v/>
      </c>
      <c r="N1300">
        <f>IF(ISBLANK('ENGAGEMENTS 2026'!C1300),"",'ENGAGEMENTS 2026'!L1300)</f>
        <v/>
      </c>
      <c r="O1300">
        <f>IF(ISBLANK('ENGAGEMENTS 2026'!C1300),"",'ENGAGEMENTS 2026'!M1300)</f>
        <v/>
      </c>
      <c r="P1300">
        <f>IF(ISBLANK('ENGAGEMENTS 2026'!C1300),"",'ENGAGEMENTS 2026'!K1300)</f>
        <v/>
      </c>
      <c r="Q1300">
        <f>IF($A1300="","",IF(OR($E1300="INFRUCTUEUX",$E1300="ANNULE"),$A1300&amp;"|"&amp;(COUNTIFS($A$2:$A1300,$A1300,$E$2:$E1300,"INFRUCTUEUX")+COUNTIFS($A$2:$A1300,$A1300,$E$2:$E1300,"ANNULE")),""))</f>
        <v/>
      </c>
    </row>
    <row r="1301">
      <c r="A1301">
        <f>IF(ISBLANK('ENGAGEMENTS 2026'!C1301),"",IF('ENGAGEMENTS 2026'!C1301="DTSI","DCT",'ENGAGEMENTS 2026'!C1301))</f>
        <v/>
      </c>
      <c r="B1301">
        <f>IF(ISBLANK('ENGAGEMENTS 2026'!C1301),"",'ENGAGEMENTS 2026'!D1301)</f>
        <v/>
      </c>
      <c r="C1301">
        <f>IF(ISBLANK('ENGAGEMENTS 2026'!C1301),"",'ENGAGEMENTS 2026'!E1301)</f>
        <v/>
      </c>
      <c r="D1301">
        <f>IF(ISBLANK('ENGAGEMENTS 2026'!C1301),"",'ENGAGEMENTS 2026'!G1301)</f>
        <v/>
      </c>
      <c r="E1301">
        <f>IF(ISBLANK('ENGAGEMENTS 2026'!C1301),"",'ENGAGEMENTS 2026'!I1301)</f>
        <v/>
      </c>
      <c r="F1301">
        <f>IF(ISBLANK('ENGAGEMENTS 2026'!C1301),"",'ENGAGEMENTS 2026'!J1301)</f>
        <v/>
      </c>
      <c r="G1301">
        <f>IF(ISBLANK('ENGAGEMENTS 2026'!C1301),"",'ENGAGEMENTS 2026'!M1301)</f>
        <v/>
      </c>
      <c r="H1301">
        <f>IF(ISBLANK('ENGAGEMENTS 2026'!C1301),"",'ENGAGEMENTS 2026'!AF1301)</f>
        <v/>
      </c>
      <c r="I1301">
        <f>IF(ISBLANK('ENGAGEMENTS 2026'!C1301),"",'ENGAGEMENTS 2026'!H1301)</f>
        <v/>
      </c>
      <c r="J1301" s="275">
        <f>IF(ISBLANK('ENGAGEMENTS 2026'!C1301),"",IF(AND(OR($E1301="INFRUCTUEUX",$E1301="ANNULE"),$C1301="AOO-M"),'ENGAGEMENTS 2026'!P1301,IF($H1301="EN COURS DE PREENGAGEMENT",'ENGAGEMENTS 2026'!O1301,IF($H1301="PREENGAGE",IF($E1301="ATTRIBUE",'ENGAGEMENTS 2026'!AE1301,'ENGAGEMENTS 2026'!O1301),'ENGAGEMENTS 2026'!AE1301))))</f>
        <v/>
      </c>
      <c r="K1301" s="604">
        <f>IF(ISBLANK('ENGAGEMENTS 2026'!W1301),"",'ENGAGEMENTS 2026'!W1301)</f>
        <v/>
      </c>
      <c r="L1301" s="276">
        <f>IF($K1301="","",TODAY()-$K1301)</f>
        <v/>
      </c>
      <c r="M1301">
        <f>IF($A1301="","",IF($H1301="ENGAGE","Engagé",IF(AND($H1301="NON ENGAGE",OR($I1301="INFRUCTUEUX",$I1301="ANNULE")),"Clôturé sans suite","En cours")))</f>
        <v/>
      </c>
      <c r="N1301">
        <f>IF(ISBLANK('ENGAGEMENTS 2026'!C1301),"",'ENGAGEMENTS 2026'!L1301)</f>
        <v/>
      </c>
      <c r="O1301">
        <f>IF(ISBLANK('ENGAGEMENTS 2026'!C1301),"",'ENGAGEMENTS 2026'!M1301)</f>
        <v/>
      </c>
      <c r="P1301">
        <f>IF(ISBLANK('ENGAGEMENTS 2026'!C1301),"",'ENGAGEMENTS 2026'!K1301)</f>
        <v/>
      </c>
      <c r="Q1301">
        <f>IF($A1301="","",IF(OR($E1301="INFRUCTUEUX",$E1301="ANNULE"),$A1301&amp;"|"&amp;(COUNTIFS($A$2:$A1301,$A1301,$E$2:$E1301,"INFRUCTUEUX")+COUNTIFS($A$2:$A1301,$A1301,$E$2:$E1301,"ANNULE")),""))</f>
        <v/>
      </c>
    </row>
    <row r="1302">
      <c r="A1302">
        <f>IF(ISBLANK('ENGAGEMENTS 2026'!C1302),"",IF('ENGAGEMENTS 2026'!C1302="DTSI","DCT",'ENGAGEMENTS 2026'!C1302))</f>
        <v/>
      </c>
      <c r="B1302">
        <f>IF(ISBLANK('ENGAGEMENTS 2026'!C1302),"",'ENGAGEMENTS 2026'!D1302)</f>
        <v/>
      </c>
      <c r="C1302">
        <f>IF(ISBLANK('ENGAGEMENTS 2026'!C1302),"",'ENGAGEMENTS 2026'!E1302)</f>
        <v/>
      </c>
      <c r="D1302">
        <f>IF(ISBLANK('ENGAGEMENTS 2026'!C1302),"",'ENGAGEMENTS 2026'!G1302)</f>
        <v/>
      </c>
      <c r="E1302">
        <f>IF(ISBLANK('ENGAGEMENTS 2026'!C1302),"",'ENGAGEMENTS 2026'!I1302)</f>
        <v/>
      </c>
      <c r="F1302">
        <f>IF(ISBLANK('ENGAGEMENTS 2026'!C1302),"",'ENGAGEMENTS 2026'!J1302)</f>
        <v/>
      </c>
      <c r="G1302">
        <f>IF(ISBLANK('ENGAGEMENTS 2026'!C1302),"",'ENGAGEMENTS 2026'!M1302)</f>
        <v/>
      </c>
      <c r="H1302">
        <f>IF(ISBLANK('ENGAGEMENTS 2026'!C1302),"",'ENGAGEMENTS 2026'!AF1302)</f>
        <v/>
      </c>
      <c r="I1302">
        <f>IF(ISBLANK('ENGAGEMENTS 2026'!C1302),"",'ENGAGEMENTS 2026'!H1302)</f>
        <v/>
      </c>
      <c r="J1302" s="275">
        <f>IF(ISBLANK('ENGAGEMENTS 2026'!C1302),"",IF(AND(OR($E1302="INFRUCTUEUX",$E1302="ANNULE"),$C1302="AOO-M"),'ENGAGEMENTS 2026'!P1302,IF($H1302="EN COURS DE PREENGAGEMENT",'ENGAGEMENTS 2026'!O1302,IF($H1302="PREENGAGE",IF($E1302="ATTRIBUE",'ENGAGEMENTS 2026'!AE1302,'ENGAGEMENTS 2026'!O1302),'ENGAGEMENTS 2026'!AE1302))))</f>
        <v/>
      </c>
      <c r="K1302" s="604">
        <f>IF(ISBLANK('ENGAGEMENTS 2026'!W1302),"",'ENGAGEMENTS 2026'!W1302)</f>
        <v/>
      </c>
      <c r="L1302" s="276">
        <f>IF($K1302="","",TODAY()-$K1302)</f>
        <v/>
      </c>
      <c r="M1302">
        <f>IF($A1302="","",IF($H1302="ENGAGE","Engagé",IF(AND($H1302="NON ENGAGE",OR($I1302="INFRUCTUEUX",$I1302="ANNULE")),"Clôturé sans suite","En cours")))</f>
        <v/>
      </c>
      <c r="N1302">
        <f>IF(ISBLANK('ENGAGEMENTS 2026'!C1302),"",'ENGAGEMENTS 2026'!L1302)</f>
        <v/>
      </c>
      <c r="O1302">
        <f>IF(ISBLANK('ENGAGEMENTS 2026'!C1302),"",'ENGAGEMENTS 2026'!M1302)</f>
        <v/>
      </c>
      <c r="P1302">
        <f>IF(ISBLANK('ENGAGEMENTS 2026'!C1302),"",'ENGAGEMENTS 2026'!K1302)</f>
        <v/>
      </c>
      <c r="Q1302">
        <f>IF($A1302="","",IF(OR($E1302="INFRUCTUEUX",$E1302="ANNULE"),$A1302&amp;"|"&amp;(COUNTIFS($A$2:$A1302,$A1302,$E$2:$E1302,"INFRUCTUEUX")+COUNTIFS($A$2:$A1302,$A1302,$E$2:$E1302,"ANNULE")),""))</f>
        <v/>
      </c>
    </row>
    <row r="1303">
      <c r="A1303">
        <f>IF(ISBLANK('ENGAGEMENTS 2026'!C1303),"",IF('ENGAGEMENTS 2026'!C1303="DTSI","DCT",'ENGAGEMENTS 2026'!C1303))</f>
        <v/>
      </c>
      <c r="B1303">
        <f>IF(ISBLANK('ENGAGEMENTS 2026'!C1303),"",'ENGAGEMENTS 2026'!D1303)</f>
        <v/>
      </c>
      <c r="C1303">
        <f>IF(ISBLANK('ENGAGEMENTS 2026'!C1303),"",'ENGAGEMENTS 2026'!E1303)</f>
        <v/>
      </c>
      <c r="D1303">
        <f>IF(ISBLANK('ENGAGEMENTS 2026'!C1303),"",'ENGAGEMENTS 2026'!G1303)</f>
        <v/>
      </c>
      <c r="E1303">
        <f>IF(ISBLANK('ENGAGEMENTS 2026'!C1303),"",'ENGAGEMENTS 2026'!I1303)</f>
        <v/>
      </c>
      <c r="F1303">
        <f>IF(ISBLANK('ENGAGEMENTS 2026'!C1303),"",'ENGAGEMENTS 2026'!J1303)</f>
        <v/>
      </c>
      <c r="G1303">
        <f>IF(ISBLANK('ENGAGEMENTS 2026'!C1303),"",'ENGAGEMENTS 2026'!M1303)</f>
        <v/>
      </c>
      <c r="H1303">
        <f>IF(ISBLANK('ENGAGEMENTS 2026'!C1303),"",'ENGAGEMENTS 2026'!AF1303)</f>
        <v/>
      </c>
      <c r="I1303">
        <f>IF(ISBLANK('ENGAGEMENTS 2026'!C1303),"",'ENGAGEMENTS 2026'!H1303)</f>
        <v/>
      </c>
      <c r="J1303" s="275">
        <f>IF(ISBLANK('ENGAGEMENTS 2026'!C1303),"",IF(AND(OR($E1303="INFRUCTUEUX",$E1303="ANNULE"),$C1303="AOO-M"),'ENGAGEMENTS 2026'!P1303,IF($H1303="EN COURS DE PREENGAGEMENT",'ENGAGEMENTS 2026'!O1303,IF($H1303="PREENGAGE",IF($E1303="ATTRIBUE",'ENGAGEMENTS 2026'!AE1303,'ENGAGEMENTS 2026'!O1303),'ENGAGEMENTS 2026'!AE1303))))</f>
        <v/>
      </c>
      <c r="K1303" s="604">
        <f>IF(ISBLANK('ENGAGEMENTS 2026'!W1303),"",'ENGAGEMENTS 2026'!W1303)</f>
        <v/>
      </c>
      <c r="L1303" s="276">
        <f>IF($K1303="","",TODAY()-$K1303)</f>
        <v/>
      </c>
      <c r="M1303">
        <f>IF($A1303="","",IF($H1303="ENGAGE","Engagé",IF(AND($H1303="NON ENGAGE",OR($I1303="INFRUCTUEUX",$I1303="ANNULE")),"Clôturé sans suite","En cours")))</f>
        <v/>
      </c>
      <c r="N1303">
        <f>IF(ISBLANK('ENGAGEMENTS 2026'!C1303),"",'ENGAGEMENTS 2026'!L1303)</f>
        <v/>
      </c>
      <c r="O1303">
        <f>IF(ISBLANK('ENGAGEMENTS 2026'!C1303),"",'ENGAGEMENTS 2026'!M1303)</f>
        <v/>
      </c>
      <c r="P1303">
        <f>IF(ISBLANK('ENGAGEMENTS 2026'!C1303),"",'ENGAGEMENTS 2026'!K1303)</f>
        <v/>
      </c>
      <c r="Q1303">
        <f>IF($A1303="","",IF(OR($E1303="INFRUCTUEUX",$E1303="ANNULE"),$A1303&amp;"|"&amp;(COUNTIFS($A$2:$A1303,$A1303,$E$2:$E1303,"INFRUCTUEUX")+COUNTIFS($A$2:$A1303,$A1303,$E$2:$E1303,"ANNULE")),""))</f>
        <v/>
      </c>
    </row>
    <row r="1304">
      <c r="A1304">
        <f>IF(ISBLANK('ENGAGEMENTS 2026'!C1304),"",IF('ENGAGEMENTS 2026'!C1304="DTSI","DCT",'ENGAGEMENTS 2026'!C1304))</f>
        <v/>
      </c>
      <c r="B1304">
        <f>IF(ISBLANK('ENGAGEMENTS 2026'!C1304),"",'ENGAGEMENTS 2026'!D1304)</f>
        <v/>
      </c>
      <c r="C1304">
        <f>IF(ISBLANK('ENGAGEMENTS 2026'!C1304),"",'ENGAGEMENTS 2026'!E1304)</f>
        <v/>
      </c>
      <c r="D1304">
        <f>IF(ISBLANK('ENGAGEMENTS 2026'!C1304),"",'ENGAGEMENTS 2026'!G1304)</f>
        <v/>
      </c>
      <c r="E1304">
        <f>IF(ISBLANK('ENGAGEMENTS 2026'!C1304),"",'ENGAGEMENTS 2026'!I1304)</f>
        <v/>
      </c>
      <c r="F1304">
        <f>IF(ISBLANK('ENGAGEMENTS 2026'!C1304),"",'ENGAGEMENTS 2026'!J1304)</f>
        <v/>
      </c>
      <c r="G1304">
        <f>IF(ISBLANK('ENGAGEMENTS 2026'!C1304),"",'ENGAGEMENTS 2026'!M1304)</f>
        <v/>
      </c>
      <c r="H1304">
        <f>IF(ISBLANK('ENGAGEMENTS 2026'!C1304),"",'ENGAGEMENTS 2026'!AF1304)</f>
        <v/>
      </c>
      <c r="I1304">
        <f>IF(ISBLANK('ENGAGEMENTS 2026'!C1304),"",'ENGAGEMENTS 2026'!H1304)</f>
        <v/>
      </c>
      <c r="J1304" s="275">
        <f>IF(ISBLANK('ENGAGEMENTS 2026'!C1304),"",IF(AND(OR($E1304="INFRUCTUEUX",$E1304="ANNULE"),$C1304="AOO-M"),'ENGAGEMENTS 2026'!P1304,IF($H1304="EN COURS DE PREENGAGEMENT",'ENGAGEMENTS 2026'!O1304,IF($H1304="PREENGAGE",IF($E1304="ATTRIBUE",'ENGAGEMENTS 2026'!AE1304,'ENGAGEMENTS 2026'!O1304),'ENGAGEMENTS 2026'!AE1304))))</f>
        <v/>
      </c>
      <c r="K1304" s="604">
        <f>IF(ISBLANK('ENGAGEMENTS 2026'!W1304),"",'ENGAGEMENTS 2026'!W1304)</f>
        <v/>
      </c>
      <c r="L1304" s="276">
        <f>IF($K1304="","",TODAY()-$K1304)</f>
        <v/>
      </c>
      <c r="M1304">
        <f>IF($A1304="","",IF($H1304="ENGAGE","Engagé",IF(AND($H1304="NON ENGAGE",OR($I1304="INFRUCTUEUX",$I1304="ANNULE")),"Clôturé sans suite","En cours")))</f>
        <v/>
      </c>
      <c r="N1304">
        <f>IF(ISBLANK('ENGAGEMENTS 2026'!C1304),"",'ENGAGEMENTS 2026'!L1304)</f>
        <v/>
      </c>
      <c r="O1304">
        <f>IF(ISBLANK('ENGAGEMENTS 2026'!C1304),"",'ENGAGEMENTS 2026'!M1304)</f>
        <v/>
      </c>
      <c r="P1304">
        <f>IF(ISBLANK('ENGAGEMENTS 2026'!C1304),"",'ENGAGEMENTS 2026'!K1304)</f>
        <v/>
      </c>
      <c r="Q1304">
        <f>IF($A1304="","",IF(OR($E1304="INFRUCTUEUX",$E1304="ANNULE"),$A1304&amp;"|"&amp;(COUNTIFS($A$2:$A1304,$A1304,$E$2:$E1304,"INFRUCTUEUX")+COUNTIFS($A$2:$A1304,$A1304,$E$2:$E1304,"ANNULE")),""))</f>
        <v/>
      </c>
    </row>
    <row r="1305">
      <c r="A1305">
        <f>IF(ISBLANK('ENGAGEMENTS 2026'!C1305),"",IF('ENGAGEMENTS 2026'!C1305="DTSI","DCT",'ENGAGEMENTS 2026'!C1305))</f>
        <v/>
      </c>
      <c r="B1305">
        <f>IF(ISBLANK('ENGAGEMENTS 2026'!C1305),"",'ENGAGEMENTS 2026'!D1305)</f>
        <v/>
      </c>
      <c r="C1305">
        <f>IF(ISBLANK('ENGAGEMENTS 2026'!C1305),"",'ENGAGEMENTS 2026'!E1305)</f>
        <v/>
      </c>
      <c r="D1305">
        <f>IF(ISBLANK('ENGAGEMENTS 2026'!C1305),"",'ENGAGEMENTS 2026'!G1305)</f>
        <v/>
      </c>
      <c r="E1305">
        <f>IF(ISBLANK('ENGAGEMENTS 2026'!C1305),"",'ENGAGEMENTS 2026'!I1305)</f>
        <v/>
      </c>
      <c r="F1305">
        <f>IF(ISBLANK('ENGAGEMENTS 2026'!C1305),"",'ENGAGEMENTS 2026'!J1305)</f>
        <v/>
      </c>
      <c r="G1305">
        <f>IF(ISBLANK('ENGAGEMENTS 2026'!C1305),"",'ENGAGEMENTS 2026'!M1305)</f>
        <v/>
      </c>
      <c r="H1305">
        <f>IF(ISBLANK('ENGAGEMENTS 2026'!C1305),"",'ENGAGEMENTS 2026'!AF1305)</f>
        <v/>
      </c>
      <c r="I1305">
        <f>IF(ISBLANK('ENGAGEMENTS 2026'!C1305),"",'ENGAGEMENTS 2026'!H1305)</f>
        <v/>
      </c>
      <c r="J1305" s="275">
        <f>IF(ISBLANK('ENGAGEMENTS 2026'!C1305),"",IF(AND(OR($E1305="INFRUCTUEUX",$E1305="ANNULE"),$C1305="AOO-M"),'ENGAGEMENTS 2026'!P1305,IF($H1305="EN COURS DE PREENGAGEMENT",'ENGAGEMENTS 2026'!O1305,IF($H1305="PREENGAGE",IF($E1305="ATTRIBUE",'ENGAGEMENTS 2026'!AE1305,'ENGAGEMENTS 2026'!O1305),'ENGAGEMENTS 2026'!AE1305))))</f>
        <v/>
      </c>
      <c r="K1305" s="604">
        <f>IF(ISBLANK('ENGAGEMENTS 2026'!W1305),"",'ENGAGEMENTS 2026'!W1305)</f>
        <v/>
      </c>
      <c r="L1305" s="276">
        <f>IF($K1305="","",TODAY()-$K1305)</f>
        <v/>
      </c>
      <c r="M1305">
        <f>IF($A1305="","",IF($H1305="ENGAGE","Engagé",IF(AND($H1305="NON ENGAGE",OR($I1305="INFRUCTUEUX",$I1305="ANNULE")),"Clôturé sans suite","En cours")))</f>
        <v/>
      </c>
      <c r="N1305">
        <f>IF(ISBLANK('ENGAGEMENTS 2026'!C1305),"",'ENGAGEMENTS 2026'!L1305)</f>
        <v/>
      </c>
      <c r="O1305">
        <f>IF(ISBLANK('ENGAGEMENTS 2026'!C1305),"",'ENGAGEMENTS 2026'!M1305)</f>
        <v/>
      </c>
      <c r="P1305">
        <f>IF(ISBLANK('ENGAGEMENTS 2026'!C1305),"",'ENGAGEMENTS 2026'!K1305)</f>
        <v/>
      </c>
      <c r="Q1305">
        <f>IF($A1305="","",IF(OR($E1305="INFRUCTUEUX",$E1305="ANNULE"),$A1305&amp;"|"&amp;(COUNTIFS($A$2:$A1305,$A1305,$E$2:$E1305,"INFRUCTUEUX")+COUNTIFS($A$2:$A1305,$A1305,$E$2:$E1305,"ANNULE")),""))</f>
        <v/>
      </c>
    </row>
    <row r="1306">
      <c r="A1306">
        <f>IF(ISBLANK('ENGAGEMENTS 2026'!C1306),"",IF('ENGAGEMENTS 2026'!C1306="DTSI","DCT",'ENGAGEMENTS 2026'!C1306))</f>
        <v/>
      </c>
      <c r="B1306">
        <f>IF(ISBLANK('ENGAGEMENTS 2026'!C1306),"",'ENGAGEMENTS 2026'!D1306)</f>
        <v/>
      </c>
      <c r="C1306">
        <f>IF(ISBLANK('ENGAGEMENTS 2026'!C1306),"",'ENGAGEMENTS 2026'!E1306)</f>
        <v/>
      </c>
      <c r="D1306">
        <f>IF(ISBLANK('ENGAGEMENTS 2026'!C1306),"",'ENGAGEMENTS 2026'!G1306)</f>
        <v/>
      </c>
      <c r="E1306">
        <f>IF(ISBLANK('ENGAGEMENTS 2026'!C1306),"",'ENGAGEMENTS 2026'!I1306)</f>
        <v/>
      </c>
      <c r="F1306">
        <f>IF(ISBLANK('ENGAGEMENTS 2026'!C1306),"",'ENGAGEMENTS 2026'!J1306)</f>
        <v/>
      </c>
      <c r="G1306">
        <f>IF(ISBLANK('ENGAGEMENTS 2026'!C1306),"",'ENGAGEMENTS 2026'!M1306)</f>
        <v/>
      </c>
      <c r="H1306">
        <f>IF(ISBLANK('ENGAGEMENTS 2026'!C1306),"",'ENGAGEMENTS 2026'!AF1306)</f>
        <v/>
      </c>
      <c r="I1306">
        <f>IF(ISBLANK('ENGAGEMENTS 2026'!C1306),"",'ENGAGEMENTS 2026'!H1306)</f>
        <v/>
      </c>
      <c r="J1306" s="275">
        <f>IF(ISBLANK('ENGAGEMENTS 2026'!C1306),"",IF(AND(OR($E1306="INFRUCTUEUX",$E1306="ANNULE"),$C1306="AOO-M"),'ENGAGEMENTS 2026'!P1306,IF($H1306="EN COURS DE PREENGAGEMENT",'ENGAGEMENTS 2026'!O1306,IF($H1306="PREENGAGE",IF($E1306="ATTRIBUE",'ENGAGEMENTS 2026'!AE1306,'ENGAGEMENTS 2026'!O1306),'ENGAGEMENTS 2026'!AE1306))))</f>
        <v/>
      </c>
      <c r="K1306" s="604">
        <f>IF(ISBLANK('ENGAGEMENTS 2026'!W1306),"",'ENGAGEMENTS 2026'!W1306)</f>
        <v/>
      </c>
      <c r="L1306" s="276">
        <f>IF($K1306="","",TODAY()-$K1306)</f>
        <v/>
      </c>
      <c r="M1306">
        <f>IF($A1306="","",IF($H1306="ENGAGE","Engagé",IF(AND($H1306="NON ENGAGE",OR($I1306="INFRUCTUEUX",$I1306="ANNULE")),"Clôturé sans suite","En cours")))</f>
        <v/>
      </c>
      <c r="N1306">
        <f>IF(ISBLANK('ENGAGEMENTS 2026'!C1306),"",'ENGAGEMENTS 2026'!L1306)</f>
        <v/>
      </c>
      <c r="O1306">
        <f>IF(ISBLANK('ENGAGEMENTS 2026'!C1306),"",'ENGAGEMENTS 2026'!M1306)</f>
        <v/>
      </c>
      <c r="P1306">
        <f>IF(ISBLANK('ENGAGEMENTS 2026'!C1306),"",'ENGAGEMENTS 2026'!K1306)</f>
        <v/>
      </c>
      <c r="Q1306">
        <f>IF($A1306="","",IF(OR($E1306="INFRUCTUEUX",$E1306="ANNULE"),$A1306&amp;"|"&amp;(COUNTIFS($A$2:$A1306,$A1306,$E$2:$E1306,"INFRUCTUEUX")+COUNTIFS($A$2:$A1306,$A1306,$E$2:$E1306,"ANNULE")),""))</f>
        <v/>
      </c>
    </row>
    <row r="1307">
      <c r="A1307">
        <f>IF(ISBLANK('ENGAGEMENTS 2026'!C1307),"",IF('ENGAGEMENTS 2026'!C1307="DTSI","DCT",'ENGAGEMENTS 2026'!C1307))</f>
        <v/>
      </c>
      <c r="B1307">
        <f>IF(ISBLANK('ENGAGEMENTS 2026'!C1307),"",'ENGAGEMENTS 2026'!D1307)</f>
        <v/>
      </c>
      <c r="C1307">
        <f>IF(ISBLANK('ENGAGEMENTS 2026'!C1307),"",'ENGAGEMENTS 2026'!E1307)</f>
        <v/>
      </c>
      <c r="D1307">
        <f>IF(ISBLANK('ENGAGEMENTS 2026'!C1307),"",'ENGAGEMENTS 2026'!G1307)</f>
        <v/>
      </c>
      <c r="E1307">
        <f>IF(ISBLANK('ENGAGEMENTS 2026'!C1307),"",'ENGAGEMENTS 2026'!I1307)</f>
        <v/>
      </c>
      <c r="F1307">
        <f>IF(ISBLANK('ENGAGEMENTS 2026'!C1307),"",'ENGAGEMENTS 2026'!J1307)</f>
        <v/>
      </c>
      <c r="G1307">
        <f>IF(ISBLANK('ENGAGEMENTS 2026'!C1307),"",'ENGAGEMENTS 2026'!M1307)</f>
        <v/>
      </c>
      <c r="H1307">
        <f>IF(ISBLANK('ENGAGEMENTS 2026'!C1307),"",'ENGAGEMENTS 2026'!AF1307)</f>
        <v/>
      </c>
      <c r="I1307">
        <f>IF(ISBLANK('ENGAGEMENTS 2026'!C1307),"",'ENGAGEMENTS 2026'!H1307)</f>
        <v/>
      </c>
      <c r="J1307" s="275">
        <f>IF(ISBLANK('ENGAGEMENTS 2026'!C1307),"",IF(AND(OR($E1307="INFRUCTUEUX",$E1307="ANNULE"),$C1307="AOO-M"),'ENGAGEMENTS 2026'!P1307,IF($H1307="EN COURS DE PREENGAGEMENT",'ENGAGEMENTS 2026'!O1307,IF($H1307="PREENGAGE",IF($E1307="ATTRIBUE",'ENGAGEMENTS 2026'!AE1307,'ENGAGEMENTS 2026'!O1307),'ENGAGEMENTS 2026'!AE1307))))</f>
        <v/>
      </c>
      <c r="K1307" s="604">
        <f>IF(ISBLANK('ENGAGEMENTS 2026'!W1307),"",'ENGAGEMENTS 2026'!W1307)</f>
        <v/>
      </c>
      <c r="L1307" s="276">
        <f>IF($K1307="","",TODAY()-$K1307)</f>
        <v/>
      </c>
      <c r="M1307">
        <f>IF($A1307="","",IF($H1307="ENGAGE","Engagé",IF(AND($H1307="NON ENGAGE",OR($I1307="INFRUCTUEUX",$I1307="ANNULE")),"Clôturé sans suite","En cours")))</f>
        <v/>
      </c>
      <c r="N1307">
        <f>IF(ISBLANK('ENGAGEMENTS 2026'!C1307),"",'ENGAGEMENTS 2026'!L1307)</f>
        <v/>
      </c>
      <c r="O1307">
        <f>IF(ISBLANK('ENGAGEMENTS 2026'!C1307),"",'ENGAGEMENTS 2026'!M1307)</f>
        <v/>
      </c>
      <c r="P1307">
        <f>IF(ISBLANK('ENGAGEMENTS 2026'!C1307),"",'ENGAGEMENTS 2026'!K1307)</f>
        <v/>
      </c>
      <c r="Q1307">
        <f>IF($A1307="","",IF(OR($E1307="INFRUCTUEUX",$E1307="ANNULE"),$A1307&amp;"|"&amp;(COUNTIFS($A$2:$A1307,$A1307,$E$2:$E1307,"INFRUCTUEUX")+COUNTIFS($A$2:$A1307,$A1307,$E$2:$E1307,"ANNULE")),""))</f>
        <v/>
      </c>
    </row>
    <row r="1308">
      <c r="A1308">
        <f>IF(ISBLANK('ENGAGEMENTS 2026'!C1308),"",IF('ENGAGEMENTS 2026'!C1308="DTSI","DCT",'ENGAGEMENTS 2026'!C1308))</f>
        <v/>
      </c>
      <c r="B1308">
        <f>IF(ISBLANK('ENGAGEMENTS 2026'!C1308),"",'ENGAGEMENTS 2026'!D1308)</f>
        <v/>
      </c>
      <c r="C1308">
        <f>IF(ISBLANK('ENGAGEMENTS 2026'!C1308),"",'ENGAGEMENTS 2026'!E1308)</f>
        <v/>
      </c>
      <c r="D1308">
        <f>IF(ISBLANK('ENGAGEMENTS 2026'!C1308),"",'ENGAGEMENTS 2026'!G1308)</f>
        <v/>
      </c>
      <c r="E1308">
        <f>IF(ISBLANK('ENGAGEMENTS 2026'!C1308),"",'ENGAGEMENTS 2026'!I1308)</f>
        <v/>
      </c>
      <c r="F1308">
        <f>IF(ISBLANK('ENGAGEMENTS 2026'!C1308),"",'ENGAGEMENTS 2026'!J1308)</f>
        <v/>
      </c>
      <c r="G1308">
        <f>IF(ISBLANK('ENGAGEMENTS 2026'!C1308),"",'ENGAGEMENTS 2026'!M1308)</f>
        <v/>
      </c>
      <c r="H1308">
        <f>IF(ISBLANK('ENGAGEMENTS 2026'!C1308),"",'ENGAGEMENTS 2026'!AF1308)</f>
        <v/>
      </c>
      <c r="I1308">
        <f>IF(ISBLANK('ENGAGEMENTS 2026'!C1308),"",'ENGAGEMENTS 2026'!H1308)</f>
        <v/>
      </c>
      <c r="J1308" s="275">
        <f>IF(ISBLANK('ENGAGEMENTS 2026'!C1308),"",IF(AND(OR($E1308="INFRUCTUEUX",$E1308="ANNULE"),$C1308="AOO-M"),'ENGAGEMENTS 2026'!P1308,IF($H1308="EN COURS DE PREENGAGEMENT",'ENGAGEMENTS 2026'!O1308,IF($H1308="PREENGAGE",IF($E1308="ATTRIBUE",'ENGAGEMENTS 2026'!AE1308,'ENGAGEMENTS 2026'!O1308),'ENGAGEMENTS 2026'!AE1308))))</f>
        <v/>
      </c>
      <c r="K1308" s="604">
        <f>IF(ISBLANK('ENGAGEMENTS 2026'!W1308),"",'ENGAGEMENTS 2026'!W1308)</f>
        <v/>
      </c>
      <c r="L1308" s="276">
        <f>IF($K1308="","",TODAY()-$K1308)</f>
        <v/>
      </c>
      <c r="M1308">
        <f>IF($A1308="","",IF($H1308="ENGAGE","Engagé",IF(AND($H1308="NON ENGAGE",OR($I1308="INFRUCTUEUX",$I1308="ANNULE")),"Clôturé sans suite","En cours")))</f>
        <v/>
      </c>
      <c r="N1308">
        <f>IF(ISBLANK('ENGAGEMENTS 2026'!C1308),"",'ENGAGEMENTS 2026'!L1308)</f>
        <v/>
      </c>
      <c r="O1308">
        <f>IF(ISBLANK('ENGAGEMENTS 2026'!C1308),"",'ENGAGEMENTS 2026'!M1308)</f>
        <v/>
      </c>
      <c r="P1308">
        <f>IF(ISBLANK('ENGAGEMENTS 2026'!C1308),"",'ENGAGEMENTS 2026'!K1308)</f>
        <v/>
      </c>
      <c r="Q1308">
        <f>IF($A1308="","",IF(OR($E1308="INFRUCTUEUX",$E1308="ANNULE"),$A1308&amp;"|"&amp;(COUNTIFS($A$2:$A1308,$A1308,$E$2:$E1308,"INFRUCTUEUX")+COUNTIFS($A$2:$A1308,$A1308,$E$2:$E1308,"ANNULE")),""))</f>
        <v/>
      </c>
    </row>
    <row r="1309">
      <c r="A1309">
        <f>IF(ISBLANK('ENGAGEMENTS 2026'!C1309),"",IF('ENGAGEMENTS 2026'!C1309="DTSI","DCT",'ENGAGEMENTS 2026'!C1309))</f>
        <v/>
      </c>
      <c r="B1309">
        <f>IF(ISBLANK('ENGAGEMENTS 2026'!C1309),"",'ENGAGEMENTS 2026'!D1309)</f>
        <v/>
      </c>
      <c r="C1309">
        <f>IF(ISBLANK('ENGAGEMENTS 2026'!C1309),"",'ENGAGEMENTS 2026'!E1309)</f>
        <v/>
      </c>
      <c r="D1309">
        <f>IF(ISBLANK('ENGAGEMENTS 2026'!C1309),"",'ENGAGEMENTS 2026'!G1309)</f>
        <v/>
      </c>
      <c r="E1309">
        <f>IF(ISBLANK('ENGAGEMENTS 2026'!C1309),"",'ENGAGEMENTS 2026'!I1309)</f>
        <v/>
      </c>
      <c r="F1309">
        <f>IF(ISBLANK('ENGAGEMENTS 2026'!C1309),"",'ENGAGEMENTS 2026'!J1309)</f>
        <v/>
      </c>
      <c r="G1309">
        <f>IF(ISBLANK('ENGAGEMENTS 2026'!C1309),"",'ENGAGEMENTS 2026'!M1309)</f>
        <v/>
      </c>
      <c r="H1309">
        <f>IF(ISBLANK('ENGAGEMENTS 2026'!C1309),"",'ENGAGEMENTS 2026'!AF1309)</f>
        <v/>
      </c>
      <c r="I1309">
        <f>IF(ISBLANK('ENGAGEMENTS 2026'!C1309),"",'ENGAGEMENTS 2026'!H1309)</f>
        <v/>
      </c>
      <c r="J1309" s="275">
        <f>IF(ISBLANK('ENGAGEMENTS 2026'!C1309),"",IF(AND(OR($E1309="INFRUCTUEUX",$E1309="ANNULE"),$C1309="AOO-M"),'ENGAGEMENTS 2026'!P1309,IF($H1309="EN COURS DE PREENGAGEMENT",'ENGAGEMENTS 2026'!O1309,IF($H1309="PREENGAGE",IF($E1309="ATTRIBUE",'ENGAGEMENTS 2026'!AE1309,'ENGAGEMENTS 2026'!O1309),'ENGAGEMENTS 2026'!AE1309))))</f>
        <v/>
      </c>
      <c r="K1309" s="604">
        <f>IF(ISBLANK('ENGAGEMENTS 2026'!W1309),"",'ENGAGEMENTS 2026'!W1309)</f>
        <v/>
      </c>
      <c r="L1309" s="276">
        <f>IF($K1309="","",TODAY()-$K1309)</f>
        <v/>
      </c>
      <c r="M1309">
        <f>IF($A1309="","",IF($H1309="ENGAGE","Engagé",IF(AND($H1309="NON ENGAGE",OR($I1309="INFRUCTUEUX",$I1309="ANNULE")),"Clôturé sans suite","En cours")))</f>
        <v/>
      </c>
      <c r="N1309">
        <f>IF(ISBLANK('ENGAGEMENTS 2026'!C1309),"",'ENGAGEMENTS 2026'!L1309)</f>
        <v/>
      </c>
      <c r="O1309">
        <f>IF(ISBLANK('ENGAGEMENTS 2026'!C1309),"",'ENGAGEMENTS 2026'!M1309)</f>
        <v/>
      </c>
      <c r="P1309">
        <f>IF(ISBLANK('ENGAGEMENTS 2026'!C1309),"",'ENGAGEMENTS 2026'!K1309)</f>
        <v/>
      </c>
      <c r="Q1309">
        <f>IF($A1309="","",IF(OR($E1309="INFRUCTUEUX",$E1309="ANNULE"),$A1309&amp;"|"&amp;(COUNTIFS($A$2:$A1309,$A1309,$E$2:$E1309,"INFRUCTUEUX")+COUNTIFS($A$2:$A1309,$A1309,$E$2:$E1309,"ANNULE")),""))</f>
        <v/>
      </c>
    </row>
    <row r="1310">
      <c r="A1310">
        <f>IF(ISBLANK('ENGAGEMENTS 2026'!C1310),"",IF('ENGAGEMENTS 2026'!C1310="DTSI","DCT",'ENGAGEMENTS 2026'!C1310))</f>
        <v/>
      </c>
      <c r="B1310">
        <f>IF(ISBLANK('ENGAGEMENTS 2026'!C1310),"",'ENGAGEMENTS 2026'!D1310)</f>
        <v/>
      </c>
      <c r="C1310">
        <f>IF(ISBLANK('ENGAGEMENTS 2026'!C1310),"",'ENGAGEMENTS 2026'!E1310)</f>
        <v/>
      </c>
      <c r="D1310">
        <f>IF(ISBLANK('ENGAGEMENTS 2026'!C1310),"",'ENGAGEMENTS 2026'!G1310)</f>
        <v/>
      </c>
      <c r="E1310">
        <f>IF(ISBLANK('ENGAGEMENTS 2026'!C1310),"",'ENGAGEMENTS 2026'!I1310)</f>
        <v/>
      </c>
      <c r="F1310">
        <f>IF(ISBLANK('ENGAGEMENTS 2026'!C1310),"",'ENGAGEMENTS 2026'!J1310)</f>
        <v/>
      </c>
      <c r="G1310">
        <f>IF(ISBLANK('ENGAGEMENTS 2026'!C1310),"",'ENGAGEMENTS 2026'!M1310)</f>
        <v/>
      </c>
      <c r="H1310">
        <f>IF(ISBLANK('ENGAGEMENTS 2026'!C1310),"",'ENGAGEMENTS 2026'!AF1310)</f>
        <v/>
      </c>
      <c r="I1310">
        <f>IF(ISBLANK('ENGAGEMENTS 2026'!C1310),"",'ENGAGEMENTS 2026'!H1310)</f>
        <v/>
      </c>
      <c r="J1310" s="275">
        <f>IF(ISBLANK('ENGAGEMENTS 2026'!C1310),"",IF(AND(OR($E1310="INFRUCTUEUX",$E1310="ANNULE"),$C1310="AOO-M"),'ENGAGEMENTS 2026'!P1310,IF($H1310="EN COURS DE PREENGAGEMENT",'ENGAGEMENTS 2026'!O1310,IF($H1310="PREENGAGE",IF($E1310="ATTRIBUE",'ENGAGEMENTS 2026'!AE1310,'ENGAGEMENTS 2026'!O1310),'ENGAGEMENTS 2026'!AE1310))))</f>
        <v/>
      </c>
      <c r="K1310" s="604">
        <f>IF(ISBLANK('ENGAGEMENTS 2026'!W1310),"",'ENGAGEMENTS 2026'!W1310)</f>
        <v/>
      </c>
      <c r="L1310" s="276">
        <f>IF($K1310="","",TODAY()-$K1310)</f>
        <v/>
      </c>
      <c r="M1310">
        <f>IF($A1310="","",IF($H1310="ENGAGE","Engagé",IF(AND($H1310="NON ENGAGE",OR($I1310="INFRUCTUEUX",$I1310="ANNULE")),"Clôturé sans suite","En cours")))</f>
        <v/>
      </c>
      <c r="N1310">
        <f>IF(ISBLANK('ENGAGEMENTS 2026'!C1310),"",'ENGAGEMENTS 2026'!L1310)</f>
        <v/>
      </c>
      <c r="O1310">
        <f>IF(ISBLANK('ENGAGEMENTS 2026'!C1310),"",'ENGAGEMENTS 2026'!M1310)</f>
        <v/>
      </c>
      <c r="P1310">
        <f>IF(ISBLANK('ENGAGEMENTS 2026'!C1310),"",'ENGAGEMENTS 2026'!K1310)</f>
        <v/>
      </c>
      <c r="Q1310">
        <f>IF($A1310="","",IF(OR($E1310="INFRUCTUEUX",$E1310="ANNULE"),$A1310&amp;"|"&amp;(COUNTIFS($A$2:$A1310,$A1310,$E$2:$E1310,"INFRUCTUEUX")+COUNTIFS($A$2:$A1310,$A1310,$E$2:$E1310,"ANNULE")),""))</f>
        <v/>
      </c>
    </row>
    <row r="1311">
      <c r="A1311">
        <f>IF(ISBLANK('ENGAGEMENTS 2026'!C1311),"",IF('ENGAGEMENTS 2026'!C1311="DTSI","DCT",'ENGAGEMENTS 2026'!C1311))</f>
        <v/>
      </c>
      <c r="B1311">
        <f>IF(ISBLANK('ENGAGEMENTS 2026'!C1311),"",'ENGAGEMENTS 2026'!D1311)</f>
        <v/>
      </c>
      <c r="C1311">
        <f>IF(ISBLANK('ENGAGEMENTS 2026'!C1311),"",'ENGAGEMENTS 2026'!E1311)</f>
        <v/>
      </c>
      <c r="D1311">
        <f>IF(ISBLANK('ENGAGEMENTS 2026'!C1311),"",'ENGAGEMENTS 2026'!G1311)</f>
        <v/>
      </c>
      <c r="E1311">
        <f>IF(ISBLANK('ENGAGEMENTS 2026'!C1311),"",'ENGAGEMENTS 2026'!I1311)</f>
        <v/>
      </c>
      <c r="F1311">
        <f>IF(ISBLANK('ENGAGEMENTS 2026'!C1311),"",'ENGAGEMENTS 2026'!J1311)</f>
        <v/>
      </c>
      <c r="G1311">
        <f>IF(ISBLANK('ENGAGEMENTS 2026'!C1311),"",'ENGAGEMENTS 2026'!M1311)</f>
        <v/>
      </c>
      <c r="H1311">
        <f>IF(ISBLANK('ENGAGEMENTS 2026'!C1311),"",'ENGAGEMENTS 2026'!AF1311)</f>
        <v/>
      </c>
      <c r="I1311">
        <f>IF(ISBLANK('ENGAGEMENTS 2026'!C1311),"",'ENGAGEMENTS 2026'!H1311)</f>
        <v/>
      </c>
      <c r="J1311" s="275">
        <f>IF(ISBLANK('ENGAGEMENTS 2026'!C1311),"",IF(AND(OR($E1311="INFRUCTUEUX",$E1311="ANNULE"),$C1311="AOO-M"),'ENGAGEMENTS 2026'!P1311,IF($H1311="EN COURS DE PREENGAGEMENT",'ENGAGEMENTS 2026'!O1311,IF($H1311="PREENGAGE",IF($E1311="ATTRIBUE",'ENGAGEMENTS 2026'!AE1311,'ENGAGEMENTS 2026'!O1311),'ENGAGEMENTS 2026'!AE1311))))</f>
        <v/>
      </c>
      <c r="K1311" s="604">
        <f>IF(ISBLANK('ENGAGEMENTS 2026'!W1311),"",'ENGAGEMENTS 2026'!W1311)</f>
        <v/>
      </c>
      <c r="L1311" s="276">
        <f>IF($K1311="","",TODAY()-$K1311)</f>
        <v/>
      </c>
      <c r="M1311">
        <f>IF($A1311="","",IF($H1311="ENGAGE","Engagé",IF(AND($H1311="NON ENGAGE",OR($I1311="INFRUCTUEUX",$I1311="ANNULE")),"Clôturé sans suite","En cours")))</f>
        <v/>
      </c>
      <c r="N1311">
        <f>IF(ISBLANK('ENGAGEMENTS 2026'!C1311),"",'ENGAGEMENTS 2026'!L1311)</f>
        <v/>
      </c>
      <c r="O1311">
        <f>IF(ISBLANK('ENGAGEMENTS 2026'!C1311),"",'ENGAGEMENTS 2026'!M1311)</f>
        <v/>
      </c>
      <c r="P1311">
        <f>IF(ISBLANK('ENGAGEMENTS 2026'!C1311),"",'ENGAGEMENTS 2026'!K1311)</f>
        <v/>
      </c>
      <c r="Q1311">
        <f>IF($A1311="","",IF(OR($E1311="INFRUCTUEUX",$E1311="ANNULE"),$A1311&amp;"|"&amp;(COUNTIFS($A$2:$A1311,$A1311,$E$2:$E1311,"INFRUCTUEUX")+COUNTIFS($A$2:$A1311,$A1311,$E$2:$E1311,"ANNULE")),""))</f>
        <v/>
      </c>
    </row>
    <row r="1312">
      <c r="A1312">
        <f>IF(ISBLANK('ENGAGEMENTS 2026'!C1312),"",IF('ENGAGEMENTS 2026'!C1312="DTSI","DCT",'ENGAGEMENTS 2026'!C1312))</f>
        <v/>
      </c>
      <c r="B1312">
        <f>IF(ISBLANK('ENGAGEMENTS 2026'!C1312),"",'ENGAGEMENTS 2026'!D1312)</f>
        <v/>
      </c>
      <c r="C1312">
        <f>IF(ISBLANK('ENGAGEMENTS 2026'!C1312),"",'ENGAGEMENTS 2026'!E1312)</f>
        <v/>
      </c>
      <c r="D1312">
        <f>IF(ISBLANK('ENGAGEMENTS 2026'!C1312),"",'ENGAGEMENTS 2026'!G1312)</f>
        <v/>
      </c>
      <c r="E1312">
        <f>IF(ISBLANK('ENGAGEMENTS 2026'!C1312),"",'ENGAGEMENTS 2026'!I1312)</f>
        <v/>
      </c>
      <c r="F1312">
        <f>IF(ISBLANK('ENGAGEMENTS 2026'!C1312),"",'ENGAGEMENTS 2026'!J1312)</f>
        <v/>
      </c>
      <c r="G1312">
        <f>IF(ISBLANK('ENGAGEMENTS 2026'!C1312),"",'ENGAGEMENTS 2026'!M1312)</f>
        <v/>
      </c>
      <c r="H1312">
        <f>IF(ISBLANK('ENGAGEMENTS 2026'!C1312),"",'ENGAGEMENTS 2026'!AF1312)</f>
        <v/>
      </c>
      <c r="I1312">
        <f>IF(ISBLANK('ENGAGEMENTS 2026'!C1312),"",'ENGAGEMENTS 2026'!H1312)</f>
        <v/>
      </c>
      <c r="J1312" s="275">
        <f>IF(ISBLANK('ENGAGEMENTS 2026'!C1312),"",IF(AND(OR($E1312="INFRUCTUEUX",$E1312="ANNULE"),$C1312="AOO-M"),'ENGAGEMENTS 2026'!P1312,IF($H1312="EN COURS DE PREENGAGEMENT",'ENGAGEMENTS 2026'!O1312,IF($H1312="PREENGAGE",IF($E1312="ATTRIBUE",'ENGAGEMENTS 2026'!AE1312,'ENGAGEMENTS 2026'!O1312),'ENGAGEMENTS 2026'!AE1312))))</f>
        <v/>
      </c>
      <c r="K1312" s="604">
        <f>IF(ISBLANK('ENGAGEMENTS 2026'!W1312),"",'ENGAGEMENTS 2026'!W1312)</f>
        <v/>
      </c>
      <c r="L1312" s="276">
        <f>IF($K1312="","",TODAY()-$K1312)</f>
        <v/>
      </c>
      <c r="M1312">
        <f>IF($A1312="","",IF($H1312="ENGAGE","Engagé",IF(AND($H1312="NON ENGAGE",OR($I1312="INFRUCTUEUX",$I1312="ANNULE")),"Clôturé sans suite","En cours")))</f>
        <v/>
      </c>
      <c r="N1312">
        <f>IF(ISBLANK('ENGAGEMENTS 2026'!C1312),"",'ENGAGEMENTS 2026'!L1312)</f>
        <v/>
      </c>
      <c r="O1312">
        <f>IF(ISBLANK('ENGAGEMENTS 2026'!C1312),"",'ENGAGEMENTS 2026'!M1312)</f>
        <v/>
      </c>
      <c r="P1312">
        <f>IF(ISBLANK('ENGAGEMENTS 2026'!C1312),"",'ENGAGEMENTS 2026'!K1312)</f>
        <v/>
      </c>
      <c r="Q1312">
        <f>IF($A1312="","",IF(OR($E1312="INFRUCTUEUX",$E1312="ANNULE"),$A1312&amp;"|"&amp;(COUNTIFS($A$2:$A1312,$A1312,$E$2:$E1312,"INFRUCTUEUX")+COUNTIFS($A$2:$A1312,$A1312,$E$2:$E1312,"ANNULE")),""))</f>
        <v/>
      </c>
    </row>
    <row r="1313">
      <c r="A1313">
        <f>IF(ISBLANK('ENGAGEMENTS 2026'!C1313),"",IF('ENGAGEMENTS 2026'!C1313="DTSI","DCT",'ENGAGEMENTS 2026'!C1313))</f>
        <v/>
      </c>
      <c r="B1313">
        <f>IF(ISBLANK('ENGAGEMENTS 2026'!C1313),"",'ENGAGEMENTS 2026'!D1313)</f>
        <v/>
      </c>
      <c r="C1313">
        <f>IF(ISBLANK('ENGAGEMENTS 2026'!C1313),"",'ENGAGEMENTS 2026'!E1313)</f>
        <v/>
      </c>
      <c r="D1313">
        <f>IF(ISBLANK('ENGAGEMENTS 2026'!C1313),"",'ENGAGEMENTS 2026'!G1313)</f>
        <v/>
      </c>
      <c r="E1313">
        <f>IF(ISBLANK('ENGAGEMENTS 2026'!C1313),"",'ENGAGEMENTS 2026'!I1313)</f>
        <v/>
      </c>
      <c r="F1313">
        <f>IF(ISBLANK('ENGAGEMENTS 2026'!C1313),"",'ENGAGEMENTS 2026'!J1313)</f>
        <v/>
      </c>
      <c r="G1313">
        <f>IF(ISBLANK('ENGAGEMENTS 2026'!C1313),"",'ENGAGEMENTS 2026'!M1313)</f>
        <v/>
      </c>
      <c r="H1313">
        <f>IF(ISBLANK('ENGAGEMENTS 2026'!C1313),"",'ENGAGEMENTS 2026'!AF1313)</f>
        <v/>
      </c>
      <c r="I1313">
        <f>IF(ISBLANK('ENGAGEMENTS 2026'!C1313),"",'ENGAGEMENTS 2026'!H1313)</f>
        <v/>
      </c>
      <c r="J1313" s="275">
        <f>IF(ISBLANK('ENGAGEMENTS 2026'!C1313),"",IF(AND(OR($E1313="INFRUCTUEUX",$E1313="ANNULE"),$C1313="AOO-M"),'ENGAGEMENTS 2026'!P1313,IF($H1313="EN COURS DE PREENGAGEMENT",'ENGAGEMENTS 2026'!O1313,IF($H1313="PREENGAGE",IF($E1313="ATTRIBUE",'ENGAGEMENTS 2026'!AE1313,'ENGAGEMENTS 2026'!O1313),'ENGAGEMENTS 2026'!AE1313))))</f>
        <v/>
      </c>
      <c r="K1313" s="604">
        <f>IF(ISBLANK('ENGAGEMENTS 2026'!W1313),"",'ENGAGEMENTS 2026'!W1313)</f>
        <v/>
      </c>
      <c r="L1313" s="276">
        <f>IF($K1313="","",TODAY()-$K1313)</f>
        <v/>
      </c>
      <c r="M1313">
        <f>IF($A1313="","",IF($H1313="ENGAGE","Engagé",IF(AND($H1313="NON ENGAGE",OR($I1313="INFRUCTUEUX",$I1313="ANNULE")),"Clôturé sans suite","En cours")))</f>
        <v/>
      </c>
      <c r="N1313">
        <f>IF(ISBLANK('ENGAGEMENTS 2026'!C1313),"",'ENGAGEMENTS 2026'!L1313)</f>
        <v/>
      </c>
      <c r="O1313">
        <f>IF(ISBLANK('ENGAGEMENTS 2026'!C1313),"",'ENGAGEMENTS 2026'!M1313)</f>
        <v/>
      </c>
      <c r="P1313">
        <f>IF(ISBLANK('ENGAGEMENTS 2026'!C1313),"",'ENGAGEMENTS 2026'!K1313)</f>
        <v/>
      </c>
      <c r="Q1313">
        <f>IF($A1313="","",IF(OR($E1313="INFRUCTUEUX",$E1313="ANNULE"),$A1313&amp;"|"&amp;(COUNTIFS($A$2:$A1313,$A1313,$E$2:$E1313,"INFRUCTUEUX")+COUNTIFS($A$2:$A1313,$A1313,$E$2:$E1313,"ANNULE")),""))</f>
        <v/>
      </c>
    </row>
    <row r="1314">
      <c r="A1314">
        <f>IF(ISBLANK('ENGAGEMENTS 2026'!C1314),"",IF('ENGAGEMENTS 2026'!C1314="DTSI","DCT",'ENGAGEMENTS 2026'!C1314))</f>
        <v/>
      </c>
      <c r="B1314">
        <f>IF(ISBLANK('ENGAGEMENTS 2026'!C1314),"",'ENGAGEMENTS 2026'!D1314)</f>
        <v/>
      </c>
      <c r="C1314">
        <f>IF(ISBLANK('ENGAGEMENTS 2026'!C1314),"",'ENGAGEMENTS 2026'!E1314)</f>
        <v/>
      </c>
      <c r="D1314">
        <f>IF(ISBLANK('ENGAGEMENTS 2026'!C1314),"",'ENGAGEMENTS 2026'!G1314)</f>
        <v/>
      </c>
      <c r="E1314">
        <f>IF(ISBLANK('ENGAGEMENTS 2026'!C1314),"",'ENGAGEMENTS 2026'!I1314)</f>
        <v/>
      </c>
      <c r="F1314">
        <f>IF(ISBLANK('ENGAGEMENTS 2026'!C1314),"",'ENGAGEMENTS 2026'!J1314)</f>
        <v/>
      </c>
      <c r="G1314">
        <f>IF(ISBLANK('ENGAGEMENTS 2026'!C1314),"",'ENGAGEMENTS 2026'!M1314)</f>
        <v/>
      </c>
      <c r="H1314">
        <f>IF(ISBLANK('ENGAGEMENTS 2026'!C1314),"",'ENGAGEMENTS 2026'!AF1314)</f>
        <v/>
      </c>
      <c r="I1314">
        <f>IF(ISBLANK('ENGAGEMENTS 2026'!C1314),"",'ENGAGEMENTS 2026'!H1314)</f>
        <v/>
      </c>
      <c r="J1314" s="275">
        <f>IF(ISBLANK('ENGAGEMENTS 2026'!C1314),"",IF(AND(OR($E1314="INFRUCTUEUX",$E1314="ANNULE"),$C1314="AOO-M"),'ENGAGEMENTS 2026'!P1314,IF($H1314="EN COURS DE PREENGAGEMENT",'ENGAGEMENTS 2026'!O1314,IF($H1314="PREENGAGE",IF($E1314="ATTRIBUE",'ENGAGEMENTS 2026'!AE1314,'ENGAGEMENTS 2026'!O1314),'ENGAGEMENTS 2026'!AE1314))))</f>
        <v/>
      </c>
      <c r="K1314" s="604">
        <f>IF(ISBLANK('ENGAGEMENTS 2026'!W1314),"",'ENGAGEMENTS 2026'!W1314)</f>
        <v/>
      </c>
      <c r="L1314" s="276">
        <f>IF($K1314="","",TODAY()-$K1314)</f>
        <v/>
      </c>
      <c r="M1314">
        <f>IF($A1314="","",IF($H1314="ENGAGE","Engagé",IF(AND($H1314="NON ENGAGE",OR($I1314="INFRUCTUEUX",$I1314="ANNULE")),"Clôturé sans suite","En cours")))</f>
        <v/>
      </c>
      <c r="N1314">
        <f>IF(ISBLANK('ENGAGEMENTS 2026'!C1314),"",'ENGAGEMENTS 2026'!L1314)</f>
        <v/>
      </c>
      <c r="O1314">
        <f>IF(ISBLANK('ENGAGEMENTS 2026'!C1314),"",'ENGAGEMENTS 2026'!M1314)</f>
        <v/>
      </c>
      <c r="P1314">
        <f>IF(ISBLANK('ENGAGEMENTS 2026'!C1314),"",'ENGAGEMENTS 2026'!K1314)</f>
        <v/>
      </c>
      <c r="Q1314">
        <f>IF($A1314="","",IF(OR($E1314="INFRUCTUEUX",$E1314="ANNULE"),$A1314&amp;"|"&amp;(COUNTIFS($A$2:$A1314,$A1314,$E$2:$E1314,"INFRUCTUEUX")+COUNTIFS($A$2:$A1314,$A1314,$E$2:$E1314,"ANNULE")),""))</f>
        <v/>
      </c>
    </row>
    <row r="1315">
      <c r="A1315">
        <f>IF(ISBLANK('ENGAGEMENTS 2026'!C1315),"",IF('ENGAGEMENTS 2026'!C1315="DTSI","DCT",'ENGAGEMENTS 2026'!C1315))</f>
        <v/>
      </c>
      <c r="B1315">
        <f>IF(ISBLANK('ENGAGEMENTS 2026'!C1315),"",'ENGAGEMENTS 2026'!D1315)</f>
        <v/>
      </c>
      <c r="C1315">
        <f>IF(ISBLANK('ENGAGEMENTS 2026'!C1315),"",'ENGAGEMENTS 2026'!E1315)</f>
        <v/>
      </c>
      <c r="D1315">
        <f>IF(ISBLANK('ENGAGEMENTS 2026'!C1315),"",'ENGAGEMENTS 2026'!G1315)</f>
        <v/>
      </c>
      <c r="E1315">
        <f>IF(ISBLANK('ENGAGEMENTS 2026'!C1315),"",'ENGAGEMENTS 2026'!I1315)</f>
        <v/>
      </c>
      <c r="F1315">
        <f>IF(ISBLANK('ENGAGEMENTS 2026'!C1315),"",'ENGAGEMENTS 2026'!J1315)</f>
        <v/>
      </c>
      <c r="G1315">
        <f>IF(ISBLANK('ENGAGEMENTS 2026'!C1315),"",'ENGAGEMENTS 2026'!M1315)</f>
        <v/>
      </c>
      <c r="H1315">
        <f>IF(ISBLANK('ENGAGEMENTS 2026'!C1315),"",'ENGAGEMENTS 2026'!AF1315)</f>
        <v/>
      </c>
      <c r="I1315">
        <f>IF(ISBLANK('ENGAGEMENTS 2026'!C1315),"",'ENGAGEMENTS 2026'!H1315)</f>
        <v/>
      </c>
      <c r="J1315" s="275">
        <f>IF(ISBLANK('ENGAGEMENTS 2026'!C1315),"",IF(AND(OR($E1315="INFRUCTUEUX",$E1315="ANNULE"),$C1315="AOO-M"),'ENGAGEMENTS 2026'!P1315,IF($H1315="EN COURS DE PREENGAGEMENT",'ENGAGEMENTS 2026'!O1315,IF($H1315="PREENGAGE",IF($E1315="ATTRIBUE",'ENGAGEMENTS 2026'!AE1315,'ENGAGEMENTS 2026'!O1315),'ENGAGEMENTS 2026'!AE1315))))</f>
        <v/>
      </c>
      <c r="K1315" s="604">
        <f>IF(ISBLANK('ENGAGEMENTS 2026'!W1315),"",'ENGAGEMENTS 2026'!W1315)</f>
        <v/>
      </c>
      <c r="L1315" s="276">
        <f>IF($K1315="","",TODAY()-$K1315)</f>
        <v/>
      </c>
      <c r="M1315">
        <f>IF($A1315="","",IF($H1315="ENGAGE","Engagé",IF(AND($H1315="NON ENGAGE",OR($I1315="INFRUCTUEUX",$I1315="ANNULE")),"Clôturé sans suite","En cours")))</f>
        <v/>
      </c>
      <c r="N1315">
        <f>IF(ISBLANK('ENGAGEMENTS 2026'!C1315),"",'ENGAGEMENTS 2026'!L1315)</f>
        <v/>
      </c>
      <c r="O1315">
        <f>IF(ISBLANK('ENGAGEMENTS 2026'!C1315),"",'ENGAGEMENTS 2026'!M1315)</f>
        <v/>
      </c>
      <c r="P1315">
        <f>IF(ISBLANK('ENGAGEMENTS 2026'!C1315),"",'ENGAGEMENTS 2026'!K1315)</f>
        <v/>
      </c>
      <c r="Q1315">
        <f>IF($A1315="","",IF(OR($E1315="INFRUCTUEUX",$E1315="ANNULE"),$A1315&amp;"|"&amp;(COUNTIFS($A$2:$A1315,$A1315,$E$2:$E1315,"INFRUCTUEUX")+COUNTIFS($A$2:$A1315,$A1315,$E$2:$E1315,"ANNULE")),""))</f>
        <v/>
      </c>
    </row>
    <row r="1316">
      <c r="A1316">
        <f>IF(ISBLANK('ENGAGEMENTS 2026'!C1316),"",IF('ENGAGEMENTS 2026'!C1316="DTSI","DCT",'ENGAGEMENTS 2026'!C1316))</f>
        <v/>
      </c>
      <c r="B1316">
        <f>IF(ISBLANK('ENGAGEMENTS 2026'!C1316),"",'ENGAGEMENTS 2026'!D1316)</f>
        <v/>
      </c>
      <c r="C1316">
        <f>IF(ISBLANK('ENGAGEMENTS 2026'!C1316),"",'ENGAGEMENTS 2026'!E1316)</f>
        <v/>
      </c>
      <c r="D1316">
        <f>IF(ISBLANK('ENGAGEMENTS 2026'!C1316),"",'ENGAGEMENTS 2026'!G1316)</f>
        <v/>
      </c>
      <c r="E1316">
        <f>IF(ISBLANK('ENGAGEMENTS 2026'!C1316),"",'ENGAGEMENTS 2026'!I1316)</f>
        <v/>
      </c>
      <c r="F1316">
        <f>IF(ISBLANK('ENGAGEMENTS 2026'!C1316),"",'ENGAGEMENTS 2026'!J1316)</f>
        <v/>
      </c>
      <c r="G1316">
        <f>IF(ISBLANK('ENGAGEMENTS 2026'!C1316),"",'ENGAGEMENTS 2026'!M1316)</f>
        <v/>
      </c>
      <c r="H1316">
        <f>IF(ISBLANK('ENGAGEMENTS 2026'!C1316),"",'ENGAGEMENTS 2026'!AF1316)</f>
        <v/>
      </c>
      <c r="I1316">
        <f>IF(ISBLANK('ENGAGEMENTS 2026'!C1316),"",'ENGAGEMENTS 2026'!H1316)</f>
        <v/>
      </c>
      <c r="J1316" s="275">
        <f>IF(ISBLANK('ENGAGEMENTS 2026'!C1316),"",IF(AND(OR($E1316="INFRUCTUEUX",$E1316="ANNULE"),$C1316="AOO-M"),'ENGAGEMENTS 2026'!P1316,IF($H1316="EN COURS DE PREENGAGEMENT",'ENGAGEMENTS 2026'!O1316,IF($H1316="PREENGAGE",IF($E1316="ATTRIBUE",'ENGAGEMENTS 2026'!AE1316,'ENGAGEMENTS 2026'!O1316),'ENGAGEMENTS 2026'!AE1316))))</f>
        <v/>
      </c>
      <c r="K1316" s="604">
        <f>IF(ISBLANK('ENGAGEMENTS 2026'!W1316),"",'ENGAGEMENTS 2026'!W1316)</f>
        <v/>
      </c>
      <c r="L1316" s="276">
        <f>IF($K1316="","",TODAY()-$K1316)</f>
        <v/>
      </c>
      <c r="M1316">
        <f>IF($A1316="","",IF($H1316="ENGAGE","Engagé",IF(AND($H1316="NON ENGAGE",OR($I1316="INFRUCTUEUX",$I1316="ANNULE")),"Clôturé sans suite","En cours")))</f>
        <v/>
      </c>
      <c r="N1316">
        <f>IF(ISBLANK('ENGAGEMENTS 2026'!C1316),"",'ENGAGEMENTS 2026'!L1316)</f>
        <v/>
      </c>
      <c r="O1316">
        <f>IF(ISBLANK('ENGAGEMENTS 2026'!C1316),"",'ENGAGEMENTS 2026'!M1316)</f>
        <v/>
      </c>
      <c r="P1316">
        <f>IF(ISBLANK('ENGAGEMENTS 2026'!C1316),"",'ENGAGEMENTS 2026'!K1316)</f>
        <v/>
      </c>
      <c r="Q1316">
        <f>IF($A1316="","",IF(OR($E1316="INFRUCTUEUX",$E1316="ANNULE"),$A1316&amp;"|"&amp;(COUNTIFS($A$2:$A1316,$A1316,$E$2:$E1316,"INFRUCTUEUX")+COUNTIFS($A$2:$A1316,$A1316,$E$2:$E1316,"ANNULE")),""))</f>
        <v/>
      </c>
    </row>
    <row r="1317">
      <c r="A1317">
        <f>IF(ISBLANK('ENGAGEMENTS 2026'!C1317),"",IF('ENGAGEMENTS 2026'!C1317="DTSI","DCT",'ENGAGEMENTS 2026'!C1317))</f>
        <v/>
      </c>
      <c r="B1317">
        <f>IF(ISBLANK('ENGAGEMENTS 2026'!C1317),"",'ENGAGEMENTS 2026'!D1317)</f>
        <v/>
      </c>
      <c r="C1317">
        <f>IF(ISBLANK('ENGAGEMENTS 2026'!C1317),"",'ENGAGEMENTS 2026'!E1317)</f>
        <v/>
      </c>
      <c r="D1317">
        <f>IF(ISBLANK('ENGAGEMENTS 2026'!C1317),"",'ENGAGEMENTS 2026'!G1317)</f>
        <v/>
      </c>
      <c r="E1317">
        <f>IF(ISBLANK('ENGAGEMENTS 2026'!C1317),"",'ENGAGEMENTS 2026'!I1317)</f>
        <v/>
      </c>
      <c r="F1317">
        <f>IF(ISBLANK('ENGAGEMENTS 2026'!C1317),"",'ENGAGEMENTS 2026'!J1317)</f>
        <v/>
      </c>
      <c r="G1317">
        <f>IF(ISBLANK('ENGAGEMENTS 2026'!C1317),"",'ENGAGEMENTS 2026'!M1317)</f>
        <v/>
      </c>
      <c r="H1317">
        <f>IF(ISBLANK('ENGAGEMENTS 2026'!C1317),"",'ENGAGEMENTS 2026'!AF1317)</f>
        <v/>
      </c>
      <c r="I1317">
        <f>IF(ISBLANK('ENGAGEMENTS 2026'!C1317),"",'ENGAGEMENTS 2026'!H1317)</f>
        <v/>
      </c>
      <c r="J1317" s="275">
        <f>IF(ISBLANK('ENGAGEMENTS 2026'!C1317),"",IF(AND(OR($E1317="INFRUCTUEUX",$E1317="ANNULE"),$C1317="AOO-M"),'ENGAGEMENTS 2026'!P1317,IF($H1317="EN COURS DE PREENGAGEMENT",'ENGAGEMENTS 2026'!O1317,IF($H1317="PREENGAGE",IF($E1317="ATTRIBUE",'ENGAGEMENTS 2026'!AE1317,'ENGAGEMENTS 2026'!O1317),'ENGAGEMENTS 2026'!AE1317))))</f>
        <v/>
      </c>
      <c r="K1317" s="604">
        <f>IF(ISBLANK('ENGAGEMENTS 2026'!W1317),"",'ENGAGEMENTS 2026'!W1317)</f>
        <v/>
      </c>
      <c r="L1317" s="276">
        <f>IF($K1317="","",TODAY()-$K1317)</f>
        <v/>
      </c>
      <c r="M1317">
        <f>IF($A1317="","",IF($H1317="ENGAGE","Engagé",IF(AND($H1317="NON ENGAGE",OR($I1317="INFRUCTUEUX",$I1317="ANNULE")),"Clôturé sans suite","En cours")))</f>
        <v/>
      </c>
      <c r="N1317">
        <f>IF(ISBLANK('ENGAGEMENTS 2026'!C1317),"",'ENGAGEMENTS 2026'!L1317)</f>
        <v/>
      </c>
      <c r="O1317">
        <f>IF(ISBLANK('ENGAGEMENTS 2026'!C1317),"",'ENGAGEMENTS 2026'!M1317)</f>
        <v/>
      </c>
      <c r="P1317">
        <f>IF(ISBLANK('ENGAGEMENTS 2026'!C1317),"",'ENGAGEMENTS 2026'!K1317)</f>
        <v/>
      </c>
      <c r="Q1317">
        <f>IF($A1317="","",IF(OR($E1317="INFRUCTUEUX",$E1317="ANNULE"),$A1317&amp;"|"&amp;(COUNTIFS($A$2:$A1317,$A1317,$E$2:$E1317,"INFRUCTUEUX")+COUNTIFS($A$2:$A1317,$A1317,$E$2:$E1317,"ANNULE")),""))</f>
        <v/>
      </c>
    </row>
    <row r="1318">
      <c r="A1318">
        <f>IF(ISBLANK('ENGAGEMENTS 2026'!C1318),"",IF('ENGAGEMENTS 2026'!C1318="DTSI","DCT",'ENGAGEMENTS 2026'!C1318))</f>
        <v/>
      </c>
      <c r="B1318">
        <f>IF(ISBLANK('ENGAGEMENTS 2026'!C1318),"",'ENGAGEMENTS 2026'!D1318)</f>
        <v/>
      </c>
      <c r="C1318">
        <f>IF(ISBLANK('ENGAGEMENTS 2026'!C1318),"",'ENGAGEMENTS 2026'!E1318)</f>
        <v/>
      </c>
      <c r="D1318">
        <f>IF(ISBLANK('ENGAGEMENTS 2026'!C1318),"",'ENGAGEMENTS 2026'!G1318)</f>
        <v/>
      </c>
      <c r="E1318">
        <f>IF(ISBLANK('ENGAGEMENTS 2026'!C1318),"",'ENGAGEMENTS 2026'!I1318)</f>
        <v/>
      </c>
      <c r="F1318">
        <f>IF(ISBLANK('ENGAGEMENTS 2026'!C1318),"",'ENGAGEMENTS 2026'!J1318)</f>
        <v/>
      </c>
      <c r="G1318">
        <f>IF(ISBLANK('ENGAGEMENTS 2026'!C1318),"",'ENGAGEMENTS 2026'!M1318)</f>
        <v/>
      </c>
      <c r="H1318">
        <f>IF(ISBLANK('ENGAGEMENTS 2026'!C1318),"",'ENGAGEMENTS 2026'!AF1318)</f>
        <v/>
      </c>
      <c r="I1318">
        <f>IF(ISBLANK('ENGAGEMENTS 2026'!C1318),"",'ENGAGEMENTS 2026'!H1318)</f>
        <v/>
      </c>
      <c r="J1318" s="275">
        <f>IF(ISBLANK('ENGAGEMENTS 2026'!C1318),"",IF(AND(OR($E1318="INFRUCTUEUX",$E1318="ANNULE"),$C1318="AOO-M"),'ENGAGEMENTS 2026'!P1318,IF($H1318="EN COURS DE PREENGAGEMENT",'ENGAGEMENTS 2026'!O1318,IF($H1318="PREENGAGE",IF($E1318="ATTRIBUE",'ENGAGEMENTS 2026'!AE1318,'ENGAGEMENTS 2026'!O1318),'ENGAGEMENTS 2026'!AE1318))))</f>
        <v/>
      </c>
      <c r="K1318" s="604">
        <f>IF(ISBLANK('ENGAGEMENTS 2026'!W1318),"",'ENGAGEMENTS 2026'!W1318)</f>
        <v/>
      </c>
      <c r="L1318" s="276">
        <f>IF($K1318="","",TODAY()-$K1318)</f>
        <v/>
      </c>
      <c r="M1318">
        <f>IF($A1318="","",IF($H1318="ENGAGE","Engagé",IF(AND($H1318="NON ENGAGE",OR($I1318="INFRUCTUEUX",$I1318="ANNULE")),"Clôturé sans suite","En cours")))</f>
        <v/>
      </c>
      <c r="N1318">
        <f>IF(ISBLANK('ENGAGEMENTS 2026'!C1318),"",'ENGAGEMENTS 2026'!L1318)</f>
        <v/>
      </c>
      <c r="O1318">
        <f>IF(ISBLANK('ENGAGEMENTS 2026'!C1318),"",'ENGAGEMENTS 2026'!M1318)</f>
        <v/>
      </c>
      <c r="P1318">
        <f>IF(ISBLANK('ENGAGEMENTS 2026'!C1318),"",'ENGAGEMENTS 2026'!K1318)</f>
        <v/>
      </c>
      <c r="Q1318">
        <f>IF($A1318="","",IF(OR($E1318="INFRUCTUEUX",$E1318="ANNULE"),$A1318&amp;"|"&amp;(COUNTIFS($A$2:$A1318,$A1318,$E$2:$E1318,"INFRUCTUEUX")+COUNTIFS($A$2:$A1318,$A1318,$E$2:$E1318,"ANNULE")),""))</f>
        <v/>
      </c>
    </row>
    <row r="1319">
      <c r="A1319">
        <f>IF(ISBLANK('ENGAGEMENTS 2026'!C1319),"",IF('ENGAGEMENTS 2026'!C1319="DTSI","DCT",'ENGAGEMENTS 2026'!C1319))</f>
        <v/>
      </c>
      <c r="B1319">
        <f>IF(ISBLANK('ENGAGEMENTS 2026'!C1319),"",'ENGAGEMENTS 2026'!D1319)</f>
        <v/>
      </c>
      <c r="C1319">
        <f>IF(ISBLANK('ENGAGEMENTS 2026'!C1319),"",'ENGAGEMENTS 2026'!E1319)</f>
        <v/>
      </c>
      <c r="D1319">
        <f>IF(ISBLANK('ENGAGEMENTS 2026'!C1319),"",'ENGAGEMENTS 2026'!G1319)</f>
        <v/>
      </c>
      <c r="E1319">
        <f>IF(ISBLANK('ENGAGEMENTS 2026'!C1319),"",'ENGAGEMENTS 2026'!I1319)</f>
        <v/>
      </c>
      <c r="F1319">
        <f>IF(ISBLANK('ENGAGEMENTS 2026'!C1319),"",'ENGAGEMENTS 2026'!J1319)</f>
        <v/>
      </c>
      <c r="G1319">
        <f>IF(ISBLANK('ENGAGEMENTS 2026'!C1319),"",'ENGAGEMENTS 2026'!M1319)</f>
        <v/>
      </c>
      <c r="H1319">
        <f>IF(ISBLANK('ENGAGEMENTS 2026'!C1319),"",'ENGAGEMENTS 2026'!AF1319)</f>
        <v/>
      </c>
      <c r="I1319">
        <f>IF(ISBLANK('ENGAGEMENTS 2026'!C1319),"",'ENGAGEMENTS 2026'!H1319)</f>
        <v/>
      </c>
      <c r="J1319" s="275">
        <f>IF(ISBLANK('ENGAGEMENTS 2026'!C1319),"",IF(AND(OR($E1319="INFRUCTUEUX",$E1319="ANNULE"),$C1319="AOO-M"),'ENGAGEMENTS 2026'!P1319,IF($H1319="EN COURS DE PREENGAGEMENT",'ENGAGEMENTS 2026'!O1319,IF($H1319="PREENGAGE",IF($E1319="ATTRIBUE",'ENGAGEMENTS 2026'!AE1319,'ENGAGEMENTS 2026'!O1319),'ENGAGEMENTS 2026'!AE1319))))</f>
        <v/>
      </c>
      <c r="K1319" s="604">
        <f>IF(ISBLANK('ENGAGEMENTS 2026'!W1319),"",'ENGAGEMENTS 2026'!W1319)</f>
        <v/>
      </c>
      <c r="L1319" s="276">
        <f>IF($K1319="","",TODAY()-$K1319)</f>
        <v/>
      </c>
      <c r="M1319">
        <f>IF($A1319="","",IF($H1319="ENGAGE","Engagé",IF(AND($H1319="NON ENGAGE",OR($I1319="INFRUCTUEUX",$I1319="ANNULE")),"Clôturé sans suite","En cours")))</f>
        <v/>
      </c>
      <c r="N1319">
        <f>IF(ISBLANK('ENGAGEMENTS 2026'!C1319),"",'ENGAGEMENTS 2026'!L1319)</f>
        <v/>
      </c>
      <c r="O1319">
        <f>IF(ISBLANK('ENGAGEMENTS 2026'!C1319),"",'ENGAGEMENTS 2026'!M1319)</f>
        <v/>
      </c>
      <c r="P1319">
        <f>IF(ISBLANK('ENGAGEMENTS 2026'!C1319),"",'ENGAGEMENTS 2026'!K1319)</f>
        <v/>
      </c>
      <c r="Q1319">
        <f>IF($A1319="","",IF(OR($E1319="INFRUCTUEUX",$E1319="ANNULE"),$A1319&amp;"|"&amp;(COUNTIFS($A$2:$A1319,$A1319,$E$2:$E1319,"INFRUCTUEUX")+COUNTIFS($A$2:$A1319,$A1319,$E$2:$E1319,"ANNULE")),""))</f>
        <v/>
      </c>
    </row>
    <row r="1320">
      <c r="A1320">
        <f>IF(ISBLANK('ENGAGEMENTS 2026'!C1320),"",IF('ENGAGEMENTS 2026'!C1320="DTSI","DCT",'ENGAGEMENTS 2026'!C1320))</f>
        <v/>
      </c>
      <c r="B1320">
        <f>IF(ISBLANK('ENGAGEMENTS 2026'!C1320),"",'ENGAGEMENTS 2026'!D1320)</f>
        <v/>
      </c>
      <c r="C1320">
        <f>IF(ISBLANK('ENGAGEMENTS 2026'!C1320),"",'ENGAGEMENTS 2026'!E1320)</f>
        <v/>
      </c>
      <c r="D1320">
        <f>IF(ISBLANK('ENGAGEMENTS 2026'!C1320),"",'ENGAGEMENTS 2026'!G1320)</f>
        <v/>
      </c>
      <c r="E1320">
        <f>IF(ISBLANK('ENGAGEMENTS 2026'!C1320),"",'ENGAGEMENTS 2026'!I1320)</f>
        <v/>
      </c>
      <c r="F1320">
        <f>IF(ISBLANK('ENGAGEMENTS 2026'!C1320),"",'ENGAGEMENTS 2026'!J1320)</f>
        <v/>
      </c>
      <c r="G1320">
        <f>IF(ISBLANK('ENGAGEMENTS 2026'!C1320),"",'ENGAGEMENTS 2026'!M1320)</f>
        <v/>
      </c>
      <c r="H1320">
        <f>IF(ISBLANK('ENGAGEMENTS 2026'!C1320),"",'ENGAGEMENTS 2026'!AF1320)</f>
        <v/>
      </c>
      <c r="I1320">
        <f>IF(ISBLANK('ENGAGEMENTS 2026'!C1320),"",'ENGAGEMENTS 2026'!H1320)</f>
        <v/>
      </c>
      <c r="J1320" s="275">
        <f>IF(ISBLANK('ENGAGEMENTS 2026'!C1320),"",IF(AND(OR($E1320="INFRUCTUEUX",$E1320="ANNULE"),$C1320="AOO-M"),'ENGAGEMENTS 2026'!P1320,IF($H1320="EN COURS DE PREENGAGEMENT",'ENGAGEMENTS 2026'!O1320,IF($H1320="PREENGAGE",IF($E1320="ATTRIBUE",'ENGAGEMENTS 2026'!AE1320,'ENGAGEMENTS 2026'!O1320),'ENGAGEMENTS 2026'!AE1320))))</f>
        <v/>
      </c>
      <c r="K1320" s="604">
        <f>IF(ISBLANK('ENGAGEMENTS 2026'!W1320),"",'ENGAGEMENTS 2026'!W1320)</f>
        <v/>
      </c>
      <c r="L1320" s="276">
        <f>IF($K1320="","",TODAY()-$K1320)</f>
        <v/>
      </c>
      <c r="M1320">
        <f>IF($A1320="","",IF($H1320="ENGAGE","Engagé",IF(AND($H1320="NON ENGAGE",OR($I1320="INFRUCTUEUX",$I1320="ANNULE")),"Clôturé sans suite","En cours")))</f>
        <v/>
      </c>
      <c r="N1320">
        <f>IF(ISBLANK('ENGAGEMENTS 2026'!C1320),"",'ENGAGEMENTS 2026'!L1320)</f>
        <v/>
      </c>
      <c r="O1320">
        <f>IF(ISBLANK('ENGAGEMENTS 2026'!C1320),"",'ENGAGEMENTS 2026'!M1320)</f>
        <v/>
      </c>
      <c r="P1320">
        <f>IF(ISBLANK('ENGAGEMENTS 2026'!C1320),"",'ENGAGEMENTS 2026'!K1320)</f>
        <v/>
      </c>
      <c r="Q1320">
        <f>IF($A1320="","",IF(OR($E1320="INFRUCTUEUX",$E1320="ANNULE"),$A1320&amp;"|"&amp;(COUNTIFS($A$2:$A1320,$A1320,$E$2:$E1320,"INFRUCTUEUX")+COUNTIFS($A$2:$A1320,$A1320,$E$2:$E1320,"ANNULE")),""))</f>
        <v/>
      </c>
    </row>
    <row r="1321">
      <c r="A1321">
        <f>IF(ISBLANK('ENGAGEMENTS 2026'!C1321),"",IF('ENGAGEMENTS 2026'!C1321="DTSI","DCT",'ENGAGEMENTS 2026'!C1321))</f>
        <v/>
      </c>
      <c r="B1321">
        <f>IF(ISBLANK('ENGAGEMENTS 2026'!C1321),"",'ENGAGEMENTS 2026'!D1321)</f>
        <v/>
      </c>
      <c r="C1321">
        <f>IF(ISBLANK('ENGAGEMENTS 2026'!C1321),"",'ENGAGEMENTS 2026'!E1321)</f>
        <v/>
      </c>
      <c r="D1321">
        <f>IF(ISBLANK('ENGAGEMENTS 2026'!C1321),"",'ENGAGEMENTS 2026'!G1321)</f>
        <v/>
      </c>
      <c r="E1321">
        <f>IF(ISBLANK('ENGAGEMENTS 2026'!C1321),"",'ENGAGEMENTS 2026'!I1321)</f>
        <v/>
      </c>
      <c r="F1321">
        <f>IF(ISBLANK('ENGAGEMENTS 2026'!C1321),"",'ENGAGEMENTS 2026'!J1321)</f>
        <v/>
      </c>
      <c r="G1321">
        <f>IF(ISBLANK('ENGAGEMENTS 2026'!C1321),"",'ENGAGEMENTS 2026'!M1321)</f>
        <v/>
      </c>
      <c r="H1321">
        <f>IF(ISBLANK('ENGAGEMENTS 2026'!C1321),"",'ENGAGEMENTS 2026'!AF1321)</f>
        <v/>
      </c>
      <c r="I1321">
        <f>IF(ISBLANK('ENGAGEMENTS 2026'!C1321),"",'ENGAGEMENTS 2026'!H1321)</f>
        <v/>
      </c>
      <c r="J1321" s="275">
        <f>IF(ISBLANK('ENGAGEMENTS 2026'!C1321),"",IF(AND(OR($E1321="INFRUCTUEUX",$E1321="ANNULE"),$C1321="AOO-M"),'ENGAGEMENTS 2026'!P1321,IF($H1321="EN COURS DE PREENGAGEMENT",'ENGAGEMENTS 2026'!O1321,IF($H1321="PREENGAGE",IF($E1321="ATTRIBUE",'ENGAGEMENTS 2026'!AE1321,'ENGAGEMENTS 2026'!O1321),'ENGAGEMENTS 2026'!AE1321))))</f>
        <v/>
      </c>
      <c r="K1321" s="604">
        <f>IF(ISBLANK('ENGAGEMENTS 2026'!W1321),"",'ENGAGEMENTS 2026'!W1321)</f>
        <v/>
      </c>
      <c r="L1321" s="276">
        <f>IF($K1321="","",TODAY()-$K1321)</f>
        <v/>
      </c>
      <c r="M1321">
        <f>IF($A1321="","",IF($H1321="ENGAGE","Engagé",IF(AND($H1321="NON ENGAGE",OR($I1321="INFRUCTUEUX",$I1321="ANNULE")),"Clôturé sans suite","En cours")))</f>
        <v/>
      </c>
      <c r="N1321">
        <f>IF(ISBLANK('ENGAGEMENTS 2026'!C1321),"",'ENGAGEMENTS 2026'!L1321)</f>
        <v/>
      </c>
      <c r="O1321">
        <f>IF(ISBLANK('ENGAGEMENTS 2026'!C1321),"",'ENGAGEMENTS 2026'!M1321)</f>
        <v/>
      </c>
      <c r="P1321">
        <f>IF(ISBLANK('ENGAGEMENTS 2026'!C1321),"",'ENGAGEMENTS 2026'!K1321)</f>
        <v/>
      </c>
      <c r="Q1321">
        <f>IF($A1321="","",IF(OR($E1321="INFRUCTUEUX",$E1321="ANNULE"),$A1321&amp;"|"&amp;(COUNTIFS($A$2:$A1321,$A1321,$E$2:$E1321,"INFRUCTUEUX")+COUNTIFS($A$2:$A1321,$A1321,$E$2:$E1321,"ANNULE")),""))</f>
        <v/>
      </c>
    </row>
    <row r="1322">
      <c r="A1322">
        <f>IF(ISBLANK('ENGAGEMENTS 2026'!C1322),"",IF('ENGAGEMENTS 2026'!C1322="DTSI","DCT",'ENGAGEMENTS 2026'!C1322))</f>
        <v/>
      </c>
      <c r="B1322">
        <f>IF(ISBLANK('ENGAGEMENTS 2026'!C1322),"",'ENGAGEMENTS 2026'!D1322)</f>
        <v/>
      </c>
      <c r="C1322">
        <f>IF(ISBLANK('ENGAGEMENTS 2026'!C1322),"",'ENGAGEMENTS 2026'!E1322)</f>
        <v/>
      </c>
      <c r="D1322">
        <f>IF(ISBLANK('ENGAGEMENTS 2026'!C1322),"",'ENGAGEMENTS 2026'!G1322)</f>
        <v/>
      </c>
      <c r="E1322">
        <f>IF(ISBLANK('ENGAGEMENTS 2026'!C1322),"",'ENGAGEMENTS 2026'!I1322)</f>
        <v/>
      </c>
      <c r="F1322">
        <f>IF(ISBLANK('ENGAGEMENTS 2026'!C1322),"",'ENGAGEMENTS 2026'!J1322)</f>
        <v/>
      </c>
      <c r="G1322">
        <f>IF(ISBLANK('ENGAGEMENTS 2026'!C1322),"",'ENGAGEMENTS 2026'!M1322)</f>
        <v/>
      </c>
      <c r="H1322">
        <f>IF(ISBLANK('ENGAGEMENTS 2026'!C1322),"",'ENGAGEMENTS 2026'!AF1322)</f>
        <v/>
      </c>
      <c r="I1322">
        <f>IF(ISBLANK('ENGAGEMENTS 2026'!C1322),"",'ENGAGEMENTS 2026'!H1322)</f>
        <v/>
      </c>
      <c r="J1322" s="275">
        <f>IF(ISBLANK('ENGAGEMENTS 2026'!C1322),"",IF(AND(OR($E1322="INFRUCTUEUX",$E1322="ANNULE"),$C1322="AOO-M"),'ENGAGEMENTS 2026'!P1322,IF($H1322="EN COURS DE PREENGAGEMENT",'ENGAGEMENTS 2026'!O1322,IF($H1322="PREENGAGE",IF($E1322="ATTRIBUE",'ENGAGEMENTS 2026'!AE1322,'ENGAGEMENTS 2026'!O1322),'ENGAGEMENTS 2026'!AE1322))))</f>
        <v/>
      </c>
      <c r="K1322" s="604">
        <f>IF(ISBLANK('ENGAGEMENTS 2026'!W1322),"",'ENGAGEMENTS 2026'!W1322)</f>
        <v/>
      </c>
      <c r="L1322" s="276">
        <f>IF($K1322="","",TODAY()-$K1322)</f>
        <v/>
      </c>
      <c r="M1322">
        <f>IF($A1322="","",IF($H1322="ENGAGE","Engagé",IF(AND($H1322="NON ENGAGE",OR($I1322="INFRUCTUEUX",$I1322="ANNULE")),"Clôturé sans suite","En cours")))</f>
        <v/>
      </c>
      <c r="N1322">
        <f>IF(ISBLANK('ENGAGEMENTS 2026'!C1322),"",'ENGAGEMENTS 2026'!L1322)</f>
        <v/>
      </c>
      <c r="O1322">
        <f>IF(ISBLANK('ENGAGEMENTS 2026'!C1322),"",'ENGAGEMENTS 2026'!M1322)</f>
        <v/>
      </c>
      <c r="P1322">
        <f>IF(ISBLANK('ENGAGEMENTS 2026'!C1322),"",'ENGAGEMENTS 2026'!K1322)</f>
        <v/>
      </c>
      <c r="Q1322">
        <f>IF($A1322="","",IF(OR($E1322="INFRUCTUEUX",$E1322="ANNULE"),$A1322&amp;"|"&amp;(COUNTIFS($A$2:$A1322,$A1322,$E$2:$E1322,"INFRUCTUEUX")+COUNTIFS($A$2:$A1322,$A1322,$E$2:$E1322,"ANNULE")),""))</f>
        <v/>
      </c>
    </row>
    <row r="1323">
      <c r="A1323">
        <f>IF(ISBLANK('ENGAGEMENTS 2026'!C1323),"",IF('ENGAGEMENTS 2026'!C1323="DTSI","DCT",'ENGAGEMENTS 2026'!C1323))</f>
        <v/>
      </c>
      <c r="B1323">
        <f>IF(ISBLANK('ENGAGEMENTS 2026'!C1323),"",'ENGAGEMENTS 2026'!D1323)</f>
        <v/>
      </c>
      <c r="C1323">
        <f>IF(ISBLANK('ENGAGEMENTS 2026'!C1323),"",'ENGAGEMENTS 2026'!E1323)</f>
        <v/>
      </c>
      <c r="D1323">
        <f>IF(ISBLANK('ENGAGEMENTS 2026'!C1323),"",'ENGAGEMENTS 2026'!G1323)</f>
        <v/>
      </c>
      <c r="E1323">
        <f>IF(ISBLANK('ENGAGEMENTS 2026'!C1323),"",'ENGAGEMENTS 2026'!I1323)</f>
        <v/>
      </c>
      <c r="F1323">
        <f>IF(ISBLANK('ENGAGEMENTS 2026'!C1323),"",'ENGAGEMENTS 2026'!J1323)</f>
        <v/>
      </c>
      <c r="G1323">
        <f>IF(ISBLANK('ENGAGEMENTS 2026'!C1323),"",'ENGAGEMENTS 2026'!M1323)</f>
        <v/>
      </c>
      <c r="H1323">
        <f>IF(ISBLANK('ENGAGEMENTS 2026'!C1323),"",'ENGAGEMENTS 2026'!AF1323)</f>
        <v/>
      </c>
      <c r="I1323">
        <f>IF(ISBLANK('ENGAGEMENTS 2026'!C1323),"",'ENGAGEMENTS 2026'!H1323)</f>
        <v/>
      </c>
      <c r="J1323" s="275">
        <f>IF(ISBLANK('ENGAGEMENTS 2026'!C1323),"",IF(AND(OR($E1323="INFRUCTUEUX",$E1323="ANNULE"),$C1323="AOO-M"),'ENGAGEMENTS 2026'!P1323,IF($H1323="EN COURS DE PREENGAGEMENT",'ENGAGEMENTS 2026'!O1323,IF($H1323="PREENGAGE",IF($E1323="ATTRIBUE",'ENGAGEMENTS 2026'!AE1323,'ENGAGEMENTS 2026'!O1323),'ENGAGEMENTS 2026'!AE1323))))</f>
        <v/>
      </c>
      <c r="K1323" s="604">
        <f>IF(ISBLANK('ENGAGEMENTS 2026'!W1323),"",'ENGAGEMENTS 2026'!W1323)</f>
        <v/>
      </c>
      <c r="L1323" s="276">
        <f>IF($K1323="","",TODAY()-$K1323)</f>
        <v/>
      </c>
      <c r="M1323">
        <f>IF($A1323="","",IF($H1323="ENGAGE","Engagé",IF(AND($H1323="NON ENGAGE",OR($I1323="INFRUCTUEUX",$I1323="ANNULE")),"Clôturé sans suite","En cours")))</f>
        <v/>
      </c>
      <c r="N1323">
        <f>IF(ISBLANK('ENGAGEMENTS 2026'!C1323),"",'ENGAGEMENTS 2026'!L1323)</f>
        <v/>
      </c>
      <c r="O1323">
        <f>IF(ISBLANK('ENGAGEMENTS 2026'!C1323),"",'ENGAGEMENTS 2026'!M1323)</f>
        <v/>
      </c>
      <c r="P1323">
        <f>IF(ISBLANK('ENGAGEMENTS 2026'!C1323),"",'ENGAGEMENTS 2026'!K1323)</f>
        <v/>
      </c>
      <c r="Q1323">
        <f>IF($A1323="","",IF(OR($E1323="INFRUCTUEUX",$E1323="ANNULE"),$A1323&amp;"|"&amp;(COUNTIFS($A$2:$A1323,$A1323,$E$2:$E1323,"INFRUCTUEUX")+COUNTIFS($A$2:$A1323,$A1323,$E$2:$E1323,"ANNULE")),""))</f>
        <v/>
      </c>
    </row>
    <row r="1324">
      <c r="A1324">
        <f>IF(ISBLANK('ENGAGEMENTS 2026'!C1324),"",IF('ENGAGEMENTS 2026'!C1324="DTSI","DCT",'ENGAGEMENTS 2026'!C1324))</f>
        <v/>
      </c>
      <c r="B1324">
        <f>IF(ISBLANK('ENGAGEMENTS 2026'!C1324),"",'ENGAGEMENTS 2026'!D1324)</f>
        <v/>
      </c>
      <c r="C1324">
        <f>IF(ISBLANK('ENGAGEMENTS 2026'!C1324),"",'ENGAGEMENTS 2026'!E1324)</f>
        <v/>
      </c>
      <c r="D1324">
        <f>IF(ISBLANK('ENGAGEMENTS 2026'!C1324),"",'ENGAGEMENTS 2026'!G1324)</f>
        <v/>
      </c>
      <c r="E1324">
        <f>IF(ISBLANK('ENGAGEMENTS 2026'!C1324),"",'ENGAGEMENTS 2026'!I1324)</f>
        <v/>
      </c>
      <c r="F1324">
        <f>IF(ISBLANK('ENGAGEMENTS 2026'!C1324),"",'ENGAGEMENTS 2026'!J1324)</f>
        <v/>
      </c>
      <c r="G1324">
        <f>IF(ISBLANK('ENGAGEMENTS 2026'!C1324),"",'ENGAGEMENTS 2026'!M1324)</f>
        <v/>
      </c>
      <c r="H1324">
        <f>IF(ISBLANK('ENGAGEMENTS 2026'!C1324),"",'ENGAGEMENTS 2026'!AF1324)</f>
        <v/>
      </c>
      <c r="I1324">
        <f>IF(ISBLANK('ENGAGEMENTS 2026'!C1324),"",'ENGAGEMENTS 2026'!H1324)</f>
        <v/>
      </c>
      <c r="J1324" s="275">
        <f>IF(ISBLANK('ENGAGEMENTS 2026'!C1324),"",IF(AND(OR($E1324="INFRUCTUEUX",$E1324="ANNULE"),$C1324="AOO-M"),'ENGAGEMENTS 2026'!P1324,IF($H1324="EN COURS DE PREENGAGEMENT",'ENGAGEMENTS 2026'!O1324,IF($H1324="PREENGAGE",IF($E1324="ATTRIBUE",'ENGAGEMENTS 2026'!AE1324,'ENGAGEMENTS 2026'!O1324),'ENGAGEMENTS 2026'!AE1324))))</f>
        <v/>
      </c>
      <c r="K1324" s="604">
        <f>IF(ISBLANK('ENGAGEMENTS 2026'!W1324),"",'ENGAGEMENTS 2026'!W1324)</f>
        <v/>
      </c>
      <c r="L1324" s="276">
        <f>IF($K1324="","",TODAY()-$K1324)</f>
        <v/>
      </c>
      <c r="M1324">
        <f>IF($A1324="","",IF($H1324="ENGAGE","Engagé",IF(AND($H1324="NON ENGAGE",OR($I1324="INFRUCTUEUX",$I1324="ANNULE")),"Clôturé sans suite","En cours")))</f>
        <v/>
      </c>
      <c r="N1324">
        <f>IF(ISBLANK('ENGAGEMENTS 2026'!C1324),"",'ENGAGEMENTS 2026'!L1324)</f>
        <v/>
      </c>
      <c r="O1324">
        <f>IF(ISBLANK('ENGAGEMENTS 2026'!C1324),"",'ENGAGEMENTS 2026'!M1324)</f>
        <v/>
      </c>
      <c r="P1324">
        <f>IF(ISBLANK('ENGAGEMENTS 2026'!C1324),"",'ENGAGEMENTS 2026'!K1324)</f>
        <v/>
      </c>
      <c r="Q1324">
        <f>IF($A1324="","",IF(OR($E1324="INFRUCTUEUX",$E1324="ANNULE"),$A1324&amp;"|"&amp;(COUNTIFS($A$2:$A1324,$A1324,$E$2:$E1324,"INFRUCTUEUX")+COUNTIFS($A$2:$A1324,$A1324,$E$2:$E1324,"ANNULE")),""))</f>
        <v/>
      </c>
    </row>
    <row r="1325">
      <c r="A1325">
        <f>IF(ISBLANK('ENGAGEMENTS 2026'!C1325),"",IF('ENGAGEMENTS 2026'!C1325="DTSI","DCT",'ENGAGEMENTS 2026'!C1325))</f>
        <v/>
      </c>
      <c r="B1325">
        <f>IF(ISBLANK('ENGAGEMENTS 2026'!C1325),"",'ENGAGEMENTS 2026'!D1325)</f>
        <v/>
      </c>
      <c r="C1325">
        <f>IF(ISBLANK('ENGAGEMENTS 2026'!C1325),"",'ENGAGEMENTS 2026'!E1325)</f>
        <v/>
      </c>
      <c r="D1325">
        <f>IF(ISBLANK('ENGAGEMENTS 2026'!C1325),"",'ENGAGEMENTS 2026'!G1325)</f>
        <v/>
      </c>
      <c r="E1325">
        <f>IF(ISBLANK('ENGAGEMENTS 2026'!C1325),"",'ENGAGEMENTS 2026'!I1325)</f>
        <v/>
      </c>
      <c r="F1325">
        <f>IF(ISBLANK('ENGAGEMENTS 2026'!C1325),"",'ENGAGEMENTS 2026'!J1325)</f>
        <v/>
      </c>
      <c r="G1325">
        <f>IF(ISBLANK('ENGAGEMENTS 2026'!C1325),"",'ENGAGEMENTS 2026'!M1325)</f>
        <v/>
      </c>
      <c r="H1325">
        <f>IF(ISBLANK('ENGAGEMENTS 2026'!C1325),"",'ENGAGEMENTS 2026'!AF1325)</f>
        <v/>
      </c>
      <c r="I1325">
        <f>IF(ISBLANK('ENGAGEMENTS 2026'!C1325),"",'ENGAGEMENTS 2026'!H1325)</f>
        <v/>
      </c>
      <c r="J1325" s="275">
        <f>IF(ISBLANK('ENGAGEMENTS 2026'!C1325),"",IF(AND(OR($E1325="INFRUCTUEUX",$E1325="ANNULE"),$C1325="AOO-M"),'ENGAGEMENTS 2026'!P1325,IF($H1325="EN COURS DE PREENGAGEMENT",'ENGAGEMENTS 2026'!O1325,IF($H1325="PREENGAGE",IF($E1325="ATTRIBUE",'ENGAGEMENTS 2026'!AE1325,'ENGAGEMENTS 2026'!O1325),'ENGAGEMENTS 2026'!AE1325))))</f>
        <v/>
      </c>
      <c r="K1325" s="604">
        <f>IF(ISBLANK('ENGAGEMENTS 2026'!W1325),"",'ENGAGEMENTS 2026'!W1325)</f>
        <v/>
      </c>
      <c r="L1325" s="276">
        <f>IF($K1325="","",TODAY()-$K1325)</f>
        <v/>
      </c>
      <c r="M1325">
        <f>IF($A1325="","",IF($H1325="ENGAGE","Engagé",IF(AND($H1325="NON ENGAGE",OR($I1325="INFRUCTUEUX",$I1325="ANNULE")),"Clôturé sans suite","En cours")))</f>
        <v/>
      </c>
      <c r="N1325">
        <f>IF(ISBLANK('ENGAGEMENTS 2026'!C1325),"",'ENGAGEMENTS 2026'!L1325)</f>
        <v/>
      </c>
      <c r="O1325">
        <f>IF(ISBLANK('ENGAGEMENTS 2026'!C1325),"",'ENGAGEMENTS 2026'!M1325)</f>
        <v/>
      </c>
      <c r="P1325">
        <f>IF(ISBLANK('ENGAGEMENTS 2026'!C1325),"",'ENGAGEMENTS 2026'!K1325)</f>
        <v/>
      </c>
      <c r="Q1325">
        <f>IF($A1325="","",IF(OR($E1325="INFRUCTUEUX",$E1325="ANNULE"),$A1325&amp;"|"&amp;(COUNTIFS($A$2:$A1325,$A1325,$E$2:$E1325,"INFRUCTUEUX")+COUNTIFS($A$2:$A1325,$A1325,$E$2:$E1325,"ANNULE")),""))</f>
        <v/>
      </c>
    </row>
    <row r="1326">
      <c r="A1326">
        <f>IF(ISBLANK('ENGAGEMENTS 2026'!C1326),"",IF('ENGAGEMENTS 2026'!C1326="DTSI","DCT",'ENGAGEMENTS 2026'!C1326))</f>
        <v/>
      </c>
      <c r="B1326">
        <f>IF(ISBLANK('ENGAGEMENTS 2026'!C1326),"",'ENGAGEMENTS 2026'!D1326)</f>
        <v/>
      </c>
      <c r="C1326">
        <f>IF(ISBLANK('ENGAGEMENTS 2026'!C1326),"",'ENGAGEMENTS 2026'!E1326)</f>
        <v/>
      </c>
      <c r="D1326">
        <f>IF(ISBLANK('ENGAGEMENTS 2026'!C1326),"",'ENGAGEMENTS 2026'!G1326)</f>
        <v/>
      </c>
      <c r="E1326">
        <f>IF(ISBLANK('ENGAGEMENTS 2026'!C1326),"",'ENGAGEMENTS 2026'!I1326)</f>
        <v/>
      </c>
      <c r="F1326">
        <f>IF(ISBLANK('ENGAGEMENTS 2026'!C1326),"",'ENGAGEMENTS 2026'!J1326)</f>
        <v/>
      </c>
      <c r="G1326">
        <f>IF(ISBLANK('ENGAGEMENTS 2026'!C1326),"",'ENGAGEMENTS 2026'!M1326)</f>
        <v/>
      </c>
      <c r="H1326">
        <f>IF(ISBLANK('ENGAGEMENTS 2026'!C1326),"",'ENGAGEMENTS 2026'!AF1326)</f>
        <v/>
      </c>
      <c r="I1326">
        <f>IF(ISBLANK('ENGAGEMENTS 2026'!C1326),"",'ENGAGEMENTS 2026'!H1326)</f>
        <v/>
      </c>
      <c r="J1326" s="275">
        <f>IF(ISBLANK('ENGAGEMENTS 2026'!C1326),"",IF(AND(OR($E1326="INFRUCTUEUX",$E1326="ANNULE"),$C1326="AOO-M"),'ENGAGEMENTS 2026'!P1326,IF($H1326="EN COURS DE PREENGAGEMENT",'ENGAGEMENTS 2026'!O1326,IF($H1326="PREENGAGE",IF($E1326="ATTRIBUE",'ENGAGEMENTS 2026'!AE1326,'ENGAGEMENTS 2026'!O1326),'ENGAGEMENTS 2026'!AE1326))))</f>
        <v/>
      </c>
      <c r="K1326" s="604">
        <f>IF(ISBLANK('ENGAGEMENTS 2026'!W1326),"",'ENGAGEMENTS 2026'!W1326)</f>
        <v/>
      </c>
      <c r="L1326" s="276">
        <f>IF($K1326="","",TODAY()-$K1326)</f>
        <v/>
      </c>
      <c r="M1326">
        <f>IF($A1326="","",IF($H1326="ENGAGE","Engagé",IF(AND($H1326="NON ENGAGE",OR($I1326="INFRUCTUEUX",$I1326="ANNULE")),"Clôturé sans suite","En cours")))</f>
        <v/>
      </c>
      <c r="N1326">
        <f>IF(ISBLANK('ENGAGEMENTS 2026'!C1326),"",'ENGAGEMENTS 2026'!L1326)</f>
        <v/>
      </c>
      <c r="O1326">
        <f>IF(ISBLANK('ENGAGEMENTS 2026'!C1326),"",'ENGAGEMENTS 2026'!M1326)</f>
        <v/>
      </c>
      <c r="P1326">
        <f>IF(ISBLANK('ENGAGEMENTS 2026'!C1326),"",'ENGAGEMENTS 2026'!K1326)</f>
        <v/>
      </c>
      <c r="Q1326">
        <f>IF($A1326="","",IF(OR($E1326="INFRUCTUEUX",$E1326="ANNULE"),$A1326&amp;"|"&amp;(COUNTIFS($A$2:$A1326,$A1326,$E$2:$E1326,"INFRUCTUEUX")+COUNTIFS($A$2:$A1326,$A1326,$E$2:$E1326,"ANNULE")),""))</f>
        <v/>
      </c>
    </row>
    <row r="1327">
      <c r="A1327">
        <f>IF(ISBLANK('ENGAGEMENTS 2026'!C1327),"",IF('ENGAGEMENTS 2026'!C1327="DTSI","DCT",'ENGAGEMENTS 2026'!C1327))</f>
        <v/>
      </c>
      <c r="B1327">
        <f>IF(ISBLANK('ENGAGEMENTS 2026'!C1327),"",'ENGAGEMENTS 2026'!D1327)</f>
        <v/>
      </c>
      <c r="C1327">
        <f>IF(ISBLANK('ENGAGEMENTS 2026'!C1327),"",'ENGAGEMENTS 2026'!E1327)</f>
        <v/>
      </c>
      <c r="D1327">
        <f>IF(ISBLANK('ENGAGEMENTS 2026'!C1327),"",'ENGAGEMENTS 2026'!G1327)</f>
        <v/>
      </c>
      <c r="E1327">
        <f>IF(ISBLANK('ENGAGEMENTS 2026'!C1327),"",'ENGAGEMENTS 2026'!I1327)</f>
        <v/>
      </c>
      <c r="F1327">
        <f>IF(ISBLANK('ENGAGEMENTS 2026'!C1327),"",'ENGAGEMENTS 2026'!J1327)</f>
        <v/>
      </c>
      <c r="G1327">
        <f>IF(ISBLANK('ENGAGEMENTS 2026'!C1327),"",'ENGAGEMENTS 2026'!M1327)</f>
        <v/>
      </c>
      <c r="H1327">
        <f>IF(ISBLANK('ENGAGEMENTS 2026'!C1327),"",'ENGAGEMENTS 2026'!AF1327)</f>
        <v/>
      </c>
      <c r="I1327">
        <f>IF(ISBLANK('ENGAGEMENTS 2026'!C1327),"",'ENGAGEMENTS 2026'!H1327)</f>
        <v/>
      </c>
      <c r="J1327" s="275">
        <f>IF(ISBLANK('ENGAGEMENTS 2026'!C1327),"",IF(AND(OR($E1327="INFRUCTUEUX",$E1327="ANNULE"),$C1327="AOO-M"),'ENGAGEMENTS 2026'!P1327,IF($H1327="EN COURS DE PREENGAGEMENT",'ENGAGEMENTS 2026'!O1327,IF($H1327="PREENGAGE",IF($E1327="ATTRIBUE",'ENGAGEMENTS 2026'!AE1327,'ENGAGEMENTS 2026'!O1327),'ENGAGEMENTS 2026'!AE1327))))</f>
        <v/>
      </c>
      <c r="K1327" s="604">
        <f>IF(ISBLANK('ENGAGEMENTS 2026'!W1327),"",'ENGAGEMENTS 2026'!W1327)</f>
        <v/>
      </c>
      <c r="L1327" s="276">
        <f>IF($K1327="","",TODAY()-$K1327)</f>
        <v/>
      </c>
      <c r="M1327">
        <f>IF($A1327="","",IF($H1327="ENGAGE","Engagé",IF(AND($H1327="NON ENGAGE",OR($I1327="INFRUCTUEUX",$I1327="ANNULE")),"Clôturé sans suite","En cours")))</f>
        <v/>
      </c>
      <c r="N1327">
        <f>IF(ISBLANK('ENGAGEMENTS 2026'!C1327),"",'ENGAGEMENTS 2026'!L1327)</f>
        <v/>
      </c>
      <c r="O1327">
        <f>IF(ISBLANK('ENGAGEMENTS 2026'!C1327),"",'ENGAGEMENTS 2026'!M1327)</f>
        <v/>
      </c>
      <c r="P1327">
        <f>IF(ISBLANK('ENGAGEMENTS 2026'!C1327),"",'ENGAGEMENTS 2026'!K1327)</f>
        <v/>
      </c>
      <c r="Q1327">
        <f>IF($A1327="","",IF(OR($E1327="INFRUCTUEUX",$E1327="ANNULE"),$A1327&amp;"|"&amp;(COUNTIFS($A$2:$A1327,$A1327,$E$2:$E1327,"INFRUCTUEUX")+COUNTIFS($A$2:$A1327,$A1327,$E$2:$E1327,"ANNULE")),""))</f>
        <v/>
      </c>
    </row>
    <row r="1328">
      <c r="A1328">
        <f>IF(ISBLANK('ENGAGEMENTS 2026'!C1328),"",IF('ENGAGEMENTS 2026'!C1328="DTSI","DCT",'ENGAGEMENTS 2026'!C1328))</f>
        <v/>
      </c>
      <c r="B1328">
        <f>IF(ISBLANK('ENGAGEMENTS 2026'!C1328),"",'ENGAGEMENTS 2026'!D1328)</f>
        <v/>
      </c>
      <c r="C1328">
        <f>IF(ISBLANK('ENGAGEMENTS 2026'!C1328),"",'ENGAGEMENTS 2026'!E1328)</f>
        <v/>
      </c>
      <c r="D1328">
        <f>IF(ISBLANK('ENGAGEMENTS 2026'!C1328),"",'ENGAGEMENTS 2026'!G1328)</f>
        <v/>
      </c>
      <c r="E1328">
        <f>IF(ISBLANK('ENGAGEMENTS 2026'!C1328),"",'ENGAGEMENTS 2026'!I1328)</f>
        <v/>
      </c>
      <c r="F1328">
        <f>IF(ISBLANK('ENGAGEMENTS 2026'!C1328),"",'ENGAGEMENTS 2026'!J1328)</f>
        <v/>
      </c>
      <c r="G1328">
        <f>IF(ISBLANK('ENGAGEMENTS 2026'!C1328),"",'ENGAGEMENTS 2026'!M1328)</f>
        <v/>
      </c>
      <c r="H1328">
        <f>IF(ISBLANK('ENGAGEMENTS 2026'!C1328),"",'ENGAGEMENTS 2026'!AF1328)</f>
        <v/>
      </c>
      <c r="I1328">
        <f>IF(ISBLANK('ENGAGEMENTS 2026'!C1328),"",'ENGAGEMENTS 2026'!H1328)</f>
        <v/>
      </c>
      <c r="J1328" s="275">
        <f>IF(ISBLANK('ENGAGEMENTS 2026'!C1328),"",IF(AND(OR($E1328="INFRUCTUEUX",$E1328="ANNULE"),$C1328="AOO-M"),'ENGAGEMENTS 2026'!P1328,IF($H1328="EN COURS DE PREENGAGEMENT",'ENGAGEMENTS 2026'!O1328,IF($H1328="PREENGAGE",IF($E1328="ATTRIBUE",'ENGAGEMENTS 2026'!AE1328,'ENGAGEMENTS 2026'!O1328),'ENGAGEMENTS 2026'!AE1328))))</f>
        <v/>
      </c>
      <c r="K1328" s="604">
        <f>IF(ISBLANK('ENGAGEMENTS 2026'!W1328),"",'ENGAGEMENTS 2026'!W1328)</f>
        <v/>
      </c>
      <c r="L1328" s="276">
        <f>IF($K1328="","",TODAY()-$K1328)</f>
        <v/>
      </c>
      <c r="M1328">
        <f>IF($A1328="","",IF($H1328="ENGAGE","Engagé",IF(AND($H1328="NON ENGAGE",OR($I1328="INFRUCTUEUX",$I1328="ANNULE")),"Clôturé sans suite","En cours")))</f>
        <v/>
      </c>
      <c r="N1328">
        <f>IF(ISBLANK('ENGAGEMENTS 2026'!C1328),"",'ENGAGEMENTS 2026'!L1328)</f>
        <v/>
      </c>
      <c r="O1328">
        <f>IF(ISBLANK('ENGAGEMENTS 2026'!C1328),"",'ENGAGEMENTS 2026'!M1328)</f>
        <v/>
      </c>
      <c r="P1328">
        <f>IF(ISBLANK('ENGAGEMENTS 2026'!C1328),"",'ENGAGEMENTS 2026'!K1328)</f>
        <v/>
      </c>
      <c r="Q1328">
        <f>IF($A1328="","",IF(OR($E1328="INFRUCTUEUX",$E1328="ANNULE"),$A1328&amp;"|"&amp;(COUNTIFS($A$2:$A1328,$A1328,$E$2:$E1328,"INFRUCTUEUX")+COUNTIFS($A$2:$A1328,$A1328,$E$2:$E1328,"ANNULE")),""))</f>
        <v/>
      </c>
    </row>
    <row r="1329">
      <c r="A1329">
        <f>IF(ISBLANK('ENGAGEMENTS 2026'!C1329),"",IF('ENGAGEMENTS 2026'!C1329="DTSI","DCT",'ENGAGEMENTS 2026'!C1329))</f>
        <v/>
      </c>
      <c r="B1329">
        <f>IF(ISBLANK('ENGAGEMENTS 2026'!C1329),"",'ENGAGEMENTS 2026'!D1329)</f>
        <v/>
      </c>
      <c r="C1329">
        <f>IF(ISBLANK('ENGAGEMENTS 2026'!C1329),"",'ENGAGEMENTS 2026'!E1329)</f>
        <v/>
      </c>
      <c r="D1329">
        <f>IF(ISBLANK('ENGAGEMENTS 2026'!C1329),"",'ENGAGEMENTS 2026'!G1329)</f>
        <v/>
      </c>
      <c r="E1329">
        <f>IF(ISBLANK('ENGAGEMENTS 2026'!C1329),"",'ENGAGEMENTS 2026'!I1329)</f>
        <v/>
      </c>
      <c r="F1329">
        <f>IF(ISBLANK('ENGAGEMENTS 2026'!C1329),"",'ENGAGEMENTS 2026'!J1329)</f>
        <v/>
      </c>
      <c r="G1329">
        <f>IF(ISBLANK('ENGAGEMENTS 2026'!C1329),"",'ENGAGEMENTS 2026'!M1329)</f>
        <v/>
      </c>
      <c r="H1329">
        <f>IF(ISBLANK('ENGAGEMENTS 2026'!C1329),"",'ENGAGEMENTS 2026'!AF1329)</f>
        <v/>
      </c>
      <c r="I1329">
        <f>IF(ISBLANK('ENGAGEMENTS 2026'!C1329),"",'ENGAGEMENTS 2026'!H1329)</f>
        <v/>
      </c>
      <c r="J1329" s="275">
        <f>IF(ISBLANK('ENGAGEMENTS 2026'!C1329),"",IF(AND(OR($E1329="INFRUCTUEUX",$E1329="ANNULE"),$C1329="AOO-M"),'ENGAGEMENTS 2026'!P1329,IF($H1329="EN COURS DE PREENGAGEMENT",'ENGAGEMENTS 2026'!O1329,IF($H1329="PREENGAGE",IF($E1329="ATTRIBUE",'ENGAGEMENTS 2026'!AE1329,'ENGAGEMENTS 2026'!O1329),'ENGAGEMENTS 2026'!AE1329))))</f>
        <v/>
      </c>
      <c r="K1329" s="604">
        <f>IF(ISBLANK('ENGAGEMENTS 2026'!W1329),"",'ENGAGEMENTS 2026'!W1329)</f>
        <v/>
      </c>
      <c r="L1329" s="276">
        <f>IF($K1329="","",TODAY()-$K1329)</f>
        <v/>
      </c>
      <c r="M1329">
        <f>IF($A1329="","",IF($H1329="ENGAGE","Engagé",IF(AND($H1329="NON ENGAGE",OR($I1329="INFRUCTUEUX",$I1329="ANNULE")),"Clôturé sans suite","En cours")))</f>
        <v/>
      </c>
      <c r="N1329">
        <f>IF(ISBLANK('ENGAGEMENTS 2026'!C1329),"",'ENGAGEMENTS 2026'!L1329)</f>
        <v/>
      </c>
      <c r="O1329">
        <f>IF(ISBLANK('ENGAGEMENTS 2026'!C1329),"",'ENGAGEMENTS 2026'!M1329)</f>
        <v/>
      </c>
      <c r="P1329">
        <f>IF(ISBLANK('ENGAGEMENTS 2026'!C1329),"",'ENGAGEMENTS 2026'!K1329)</f>
        <v/>
      </c>
      <c r="Q1329">
        <f>IF($A1329="","",IF(OR($E1329="INFRUCTUEUX",$E1329="ANNULE"),$A1329&amp;"|"&amp;(COUNTIFS($A$2:$A1329,$A1329,$E$2:$E1329,"INFRUCTUEUX")+COUNTIFS($A$2:$A1329,$A1329,$E$2:$E1329,"ANNULE")),""))</f>
        <v/>
      </c>
    </row>
    <row r="1330">
      <c r="A1330">
        <f>IF(ISBLANK('ENGAGEMENTS 2026'!C1330),"",IF('ENGAGEMENTS 2026'!C1330="DTSI","DCT",'ENGAGEMENTS 2026'!C1330))</f>
        <v/>
      </c>
      <c r="B1330">
        <f>IF(ISBLANK('ENGAGEMENTS 2026'!C1330),"",'ENGAGEMENTS 2026'!D1330)</f>
        <v/>
      </c>
      <c r="C1330">
        <f>IF(ISBLANK('ENGAGEMENTS 2026'!C1330),"",'ENGAGEMENTS 2026'!E1330)</f>
        <v/>
      </c>
      <c r="D1330">
        <f>IF(ISBLANK('ENGAGEMENTS 2026'!C1330),"",'ENGAGEMENTS 2026'!G1330)</f>
        <v/>
      </c>
      <c r="E1330">
        <f>IF(ISBLANK('ENGAGEMENTS 2026'!C1330),"",'ENGAGEMENTS 2026'!I1330)</f>
        <v/>
      </c>
      <c r="F1330">
        <f>IF(ISBLANK('ENGAGEMENTS 2026'!C1330),"",'ENGAGEMENTS 2026'!J1330)</f>
        <v/>
      </c>
      <c r="G1330">
        <f>IF(ISBLANK('ENGAGEMENTS 2026'!C1330),"",'ENGAGEMENTS 2026'!M1330)</f>
        <v/>
      </c>
      <c r="H1330">
        <f>IF(ISBLANK('ENGAGEMENTS 2026'!C1330),"",'ENGAGEMENTS 2026'!AF1330)</f>
        <v/>
      </c>
      <c r="I1330">
        <f>IF(ISBLANK('ENGAGEMENTS 2026'!C1330),"",'ENGAGEMENTS 2026'!H1330)</f>
        <v/>
      </c>
      <c r="J1330" s="275">
        <f>IF(ISBLANK('ENGAGEMENTS 2026'!C1330),"",IF(AND(OR($E1330="INFRUCTUEUX",$E1330="ANNULE"),$C1330="AOO-M"),'ENGAGEMENTS 2026'!P1330,IF($H1330="EN COURS DE PREENGAGEMENT",'ENGAGEMENTS 2026'!O1330,IF($H1330="PREENGAGE",IF($E1330="ATTRIBUE",'ENGAGEMENTS 2026'!AE1330,'ENGAGEMENTS 2026'!O1330),'ENGAGEMENTS 2026'!AE1330))))</f>
        <v/>
      </c>
      <c r="K1330" s="604">
        <f>IF(ISBLANK('ENGAGEMENTS 2026'!W1330),"",'ENGAGEMENTS 2026'!W1330)</f>
        <v/>
      </c>
      <c r="L1330" s="276">
        <f>IF($K1330="","",TODAY()-$K1330)</f>
        <v/>
      </c>
      <c r="M1330">
        <f>IF($A1330="","",IF($H1330="ENGAGE","Engagé",IF(AND($H1330="NON ENGAGE",OR($I1330="INFRUCTUEUX",$I1330="ANNULE")),"Clôturé sans suite","En cours")))</f>
        <v/>
      </c>
      <c r="N1330">
        <f>IF(ISBLANK('ENGAGEMENTS 2026'!C1330),"",'ENGAGEMENTS 2026'!L1330)</f>
        <v/>
      </c>
      <c r="O1330">
        <f>IF(ISBLANK('ENGAGEMENTS 2026'!C1330),"",'ENGAGEMENTS 2026'!M1330)</f>
        <v/>
      </c>
      <c r="P1330">
        <f>IF(ISBLANK('ENGAGEMENTS 2026'!C1330),"",'ENGAGEMENTS 2026'!K1330)</f>
        <v/>
      </c>
      <c r="Q1330">
        <f>IF($A1330="","",IF(OR($E1330="INFRUCTUEUX",$E1330="ANNULE"),$A1330&amp;"|"&amp;(COUNTIFS($A$2:$A1330,$A1330,$E$2:$E1330,"INFRUCTUEUX")+COUNTIFS($A$2:$A1330,$A1330,$E$2:$E1330,"ANNULE")),""))</f>
        <v/>
      </c>
    </row>
    <row r="1331">
      <c r="A1331">
        <f>IF(ISBLANK('ENGAGEMENTS 2026'!C1331),"",IF('ENGAGEMENTS 2026'!C1331="DTSI","DCT",'ENGAGEMENTS 2026'!C1331))</f>
        <v/>
      </c>
      <c r="B1331">
        <f>IF(ISBLANK('ENGAGEMENTS 2026'!C1331),"",'ENGAGEMENTS 2026'!D1331)</f>
        <v/>
      </c>
      <c r="C1331">
        <f>IF(ISBLANK('ENGAGEMENTS 2026'!C1331),"",'ENGAGEMENTS 2026'!E1331)</f>
        <v/>
      </c>
      <c r="D1331">
        <f>IF(ISBLANK('ENGAGEMENTS 2026'!C1331),"",'ENGAGEMENTS 2026'!G1331)</f>
        <v/>
      </c>
      <c r="E1331">
        <f>IF(ISBLANK('ENGAGEMENTS 2026'!C1331),"",'ENGAGEMENTS 2026'!I1331)</f>
        <v/>
      </c>
      <c r="F1331">
        <f>IF(ISBLANK('ENGAGEMENTS 2026'!C1331),"",'ENGAGEMENTS 2026'!J1331)</f>
        <v/>
      </c>
      <c r="G1331">
        <f>IF(ISBLANK('ENGAGEMENTS 2026'!C1331),"",'ENGAGEMENTS 2026'!M1331)</f>
        <v/>
      </c>
      <c r="H1331">
        <f>IF(ISBLANK('ENGAGEMENTS 2026'!C1331),"",'ENGAGEMENTS 2026'!AF1331)</f>
        <v/>
      </c>
      <c r="I1331">
        <f>IF(ISBLANK('ENGAGEMENTS 2026'!C1331),"",'ENGAGEMENTS 2026'!H1331)</f>
        <v/>
      </c>
      <c r="J1331" s="275">
        <f>IF(ISBLANK('ENGAGEMENTS 2026'!C1331),"",IF(AND(OR($E1331="INFRUCTUEUX",$E1331="ANNULE"),$C1331="AOO-M"),'ENGAGEMENTS 2026'!P1331,IF($H1331="EN COURS DE PREENGAGEMENT",'ENGAGEMENTS 2026'!O1331,IF($H1331="PREENGAGE",IF($E1331="ATTRIBUE",'ENGAGEMENTS 2026'!AE1331,'ENGAGEMENTS 2026'!O1331),'ENGAGEMENTS 2026'!AE1331))))</f>
        <v/>
      </c>
      <c r="K1331" s="604">
        <f>IF(ISBLANK('ENGAGEMENTS 2026'!W1331),"",'ENGAGEMENTS 2026'!W1331)</f>
        <v/>
      </c>
      <c r="L1331" s="276">
        <f>IF($K1331="","",TODAY()-$K1331)</f>
        <v/>
      </c>
      <c r="M1331">
        <f>IF($A1331="","",IF($H1331="ENGAGE","Engagé",IF(AND($H1331="NON ENGAGE",OR($I1331="INFRUCTUEUX",$I1331="ANNULE")),"Clôturé sans suite","En cours")))</f>
        <v/>
      </c>
      <c r="N1331">
        <f>IF(ISBLANK('ENGAGEMENTS 2026'!C1331),"",'ENGAGEMENTS 2026'!L1331)</f>
        <v/>
      </c>
      <c r="O1331">
        <f>IF(ISBLANK('ENGAGEMENTS 2026'!C1331),"",'ENGAGEMENTS 2026'!M1331)</f>
        <v/>
      </c>
      <c r="P1331">
        <f>IF(ISBLANK('ENGAGEMENTS 2026'!C1331),"",'ENGAGEMENTS 2026'!K1331)</f>
        <v/>
      </c>
      <c r="Q1331">
        <f>IF($A1331="","",IF(OR($E1331="INFRUCTUEUX",$E1331="ANNULE"),$A1331&amp;"|"&amp;(COUNTIFS($A$2:$A1331,$A1331,$E$2:$E1331,"INFRUCTUEUX")+COUNTIFS($A$2:$A1331,$A1331,$E$2:$E1331,"ANNULE")),""))</f>
        <v/>
      </c>
    </row>
    <row r="1332">
      <c r="A1332">
        <f>IF(ISBLANK('ENGAGEMENTS 2026'!C1332),"",IF('ENGAGEMENTS 2026'!C1332="DTSI","DCT",'ENGAGEMENTS 2026'!C1332))</f>
        <v/>
      </c>
      <c r="B1332">
        <f>IF(ISBLANK('ENGAGEMENTS 2026'!C1332),"",'ENGAGEMENTS 2026'!D1332)</f>
        <v/>
      </c>
      <c r="C1332">
        <f>IF(ISBLANK('ENGAGEMENTS 2026'!C1332),"",'ENGAGEMENTS 2026'!E1332)</f>
        <v/>
      </c>
      <c r="D1332">
        <f>IF(ISBLANK('ENGAGEMENTS 2026'!C1332),"",'ENGAGEMENTS 2026'!G1332)</f>
        <v/>
      </c>
      <c r="E1332">
        <f>IF(ISBLANK('ENGAGEMENTS 2026'!C1332),"",'ENGAGEMENTS 2026'!I1332)</f>
        <v/>
      </c>
      <c r="F1332">
        <f>IF(ISBLANK('ENGAGEMENTS 2026'!C1332),"",'ENGAGEMENTS 2026'!J1332)</f>
        <v/>
      </c>
      <c r="G1332">
        <f>IF(ISBLANK('ENGAGEMENTS 2026'!C1332),"",'ENGAGEMENTS 2026'!M1332)</f>
        <v/>
      </c>
      <c r="H1332">
        <f>IF(ISBLANK('ENGAGEMENTS 2026'!C1332),"",'ENGAGEMENTS 2026'!AF1332)</f>
        <v/>
      </c>
      <c r="I1332">
        <f>IF(ISBLANK('ENGAGEMENTS 2026'!C1332),"",'ENGAGEMENTS 2026'!H1332)</f>
        <v/>
      </c>
      <c r="J1332" s="275">
        <f>IF(ISBLANK('ENGAGEMENTS 2026'!C1332),"",IF(AND(OR($E1332="INFRUCTUEUX",$E1332="ANNULE"),$C1332="AOO-M"),'ENGAGEMENTS 2026'!P1332,IF($H1332="EN COURS DE PREENGAGEMENT",'ENGAGEMENTS 2026'!O1332,IF($H1332="PREENGAGE",IF($E1332="ATTRIBUE",'ENGAGEMENTS 2026'!AE1332,'ENGAGEMENTS 2026'!O1332),'ENGAGEMENTS 2026'!AE1332))))</f>
        <v/>
      </c>
      <c r="K1332" s="604">
        <f>IF(ISBLANK('ENGAGEMENTS 2026'!W1332),"",'ENGAGEMENTS 2026'!W1332)</f>
        <v/>
      </c>
      <c r="L1332" s="276">
        <f>IF($K1332="","",TODAY()-$K1332)</f>
        <v/>
      </c>
      <c r="M1332">
        <f>IF($A1332="","",IF($H1332="ENGAGE","Engagé",IF(AND($H1332="NON ENGAGE",OR($I1332="INFRUCTUEUX",$I1332="ANNULE")),"Clôturé sans suite","En cours")))</f>
        <v/>
      </c>
      <c r="N1332">
        <f>IF(ISBLANK('ENGAGEMENTS 2026'!C1332),"",'ENGAGEMENTS 2026'!L1332)</f>
        <v/>
      </c>
      <c r="O1332">
        <f>IF(ISBLANK('ENGAGEMENTS 2026'!C1332),"",'ENGAGEMENTS 2026'!M1332)</f>
        <v/>
      </c>
      <c r="P1332">
        <f>IF(ISBLANK('ENGAGEMENTS 2026'!C1332),"",'ENGAGEMENTS 2026'!K1332)</f>
        <v/>
      </c>
      <c r="Q1332">
        <f>IF($A1332="","",IF(OR($E1332="INFRUCTUEUX",$E1332="ANNULE"),$A1332&amp;"|"&amp;(COUNTIFS($A$2:$A1332,$A1332,$E$2:$E1332,"INFRUCTUEUX")+COUNTIFS($A$2:$A1332,$A1332,$E$2:$E1332,"ANNULE")),""))</f>
        <v/>
      </c>
    </row>
    <row r="1333">
      <c r="A1333">
        <f>IF(ISBLANK('ENGAGEMENTS 2026'!C1333),"",IF('ENGAGEMENTS 2026'!C1333="DTSI","DCT",'ENGAGEMENTS 2026'!C1333))</f>
        <v/>
      </c>
      <c r="B1333">
        <f>IF(ISBLANK('ENGAGEMENTS 2026'!C1333),"",'ENGAGEMENTS 2026'!D1333)</f>
        <v/>
      </c>
      <c r="C1333">
        <f>IF(ISBLANK('ENGAGEMENTS 2026'!C1333),"",'ENGAGEMENTS 2026'!E1333)</f>
        <v/>
      </c>
      <c r="D1333">
        <f>IF(ISBLANK('ENGAGEMENTS 2026'!C1333),"",'ENGAGEMENTS 2026'!G1333)</f>
        <v/>
      </c>
      <c r="E1333">
        <f>IF(ISBLANK('ENGAGEMENTS 2026'!C1333),"",'ENGAGEMENTS 2026'!I1333)</f>
        <v/>
      </c>
      <c r="F1333">
        <f>IF(ISBLANK('ENGAGEMENTS 2026'!C1333),"",'ENGAGEMENTS 2026'!J1333)</f>
        <v/>
      </c>
      <c r="G1333">
        <f>IF(ISBLANK('ENGAGEMENTS 2026'!C1333),"",'ENGAGEMENTS 2026'!M1333)</f>
        <v/>
      </c>
      <c r="H1333">
        <f>IF(ISBLANK('ENGAGEMENTS 2026'!C1333),"",'ENGAGEMENTS 2026'!AF1333)</f>
        <v/>
      </c>
      <c r="I1333">
        <f>IF(ISBLANK('ENGAGEMENTS 2026'!C1333),"",'ENGAGEMENTS 2026'!H1333)</f>
        <v/>
      </c>
      <c r="J1333" s="275">
        <f>IF(ISBLANK('ENGAGEMENTS 2026'!C1333),"",IF(AND(OR($E1333="INFRUCTUEUX",$E1333="ANNULE"),$C1333="AOO-M"),'ENGAGEMENTS 2026'!P1333,IF($H1333="EN COURS DE PREENGAGEMENT",'ENGAGEMENTS 2026'!O1333,IF($H1333="PREENGAGE",IF($E1333="ATTRIBUE",'ENGAGEMENTS 2026'!AE1333,'ENGAGEMENTS 2026'!O1333),'ENGAGEMENTS 2026'!AE1333))))</f>
        <v/>
      </c>
      <c r="K1333" s="604">
        <f>IF(ISBLANK('ENGAGEMENTS 2026'!W1333),"",'ENGAGEMENTS 2026'!W1333)</f>
        <v/>
      </c>
      <c r="L1333" s="276">
        <f>IF($K1333="","",TODAY()-$K1333)</f>
        <v/>
      </c>
      <c r="M1333">
        <f>IF($A1333="","",IF($H1333="ENGAGE","Engagé",IF(AND($H1333="NON ENGAGE",OR($I1333="INFRUCTUEUX",$I1333="ANNULE")),"Clôturé sans suite","En cours")))</f>
        <v/>
      </c>
      <c r="N1333">
        <f>IF(ISBLANK('ENGAGEMENTS 2026'!C1333),"",'ENGAGEMENTS 2026'!L1333)</f>
        <v/>
      </c>
      <c r="O1333">
        <f>IF(ISBLANK('ENGAGEMENTS 2026'!C1333),"",'ENGAGEMENTS 2026'!M1333)</f>
        <v/>
      </c>
      <c r="P1333">
        <f>IF(ISBLANK('ENGAGEMENTS 2026'!C1333),"",'ENGAGEMENTS 2026'!K1333)</f>
        <v/>
      </c>
      <c r="Q1333">
        <f>IF($A1333="","",IF(OR($E1333="INFRUCTUEUX",$E1333="ANNULE"),$A1333&amp;"|"&amp;(COUNTIFS($A$2:$A1333,$A1333,$E$2:$E1333,"INFRUCTUEUX")+COUNTIFS($A$2:$A1333,$A1333,$E$2:$E1333,"ANNULE")),""))</f>
        <v/>
      </c>
    </row>
    <row r="1334">
      <c r="A1334">
        <f>IF(ISBLANK('ENGAGEMENTS 2026'!C1334),"",IF('ENGAGEMENTS 2026'!C1334="DTSI","DCT",'ENGAGEMENTS 2026'!C1334))</f>
        <v/>
      </c>
      <c r="B1334">
        <f>IF(ISBLANK('ENGAGEMENTS 2026'!C1334),"",'ENGAGEMENTS 2026'!D1334)</f>
        <v/>
      </c>
      <c r="C1334">
        <f>IF(ISBLANK('ENGAGEMENTS 2026'!C1334),"",'ENGAGEMENTS 2026'!E1334)</f>
        <v/>
      </c>
      <c r="D1334">
        <f>IF(ISBLANK('ENGAGEMENTS 2026'!C1334),"",'ENGAGEMENTS 2026'!G1334)</f>
        <v/>
      </c>
      <c r="E1334">
        <f>IF(ISBLANK('ENGAGEMENTS 2026'!C1334),"",'ENGAGEMENTS 2026'!I1334)</f>
        <v/>
      </c>
      <c r="F1334">
        <f>IF(ISBLANK('ENGAGEMENTS 2026'!C1334),"",'ENGAGEMENTS 2026'!J1334)</f>
        <v/>
      </c>
      <c r="G1334">
        <f>IF(ISBLANK('ENGAGEMENTS 2026'!C1334),"",'ENGAGEMENTS 2026'!M1334)</f>
        <v/>
      </c>
      <c r="H1334">
        <f>IF(ISBLANK('ENGAGEMENTS 2026'!C1334),"",'ENGAGEMENTS 2026'!AF1334)</f>
        <v/>
      </c>
      <c r="I1334">
        <f>IF(ISBLANK('ENGAGEMENTS 2026'!C1334),"",'ENGAGEMENTS 2026'!H1334)</f>
        <v/>
      </c>
      <c r="J1334" s="275">
        <f>IF(ISBLANK('ENGAGEMENTS 2026'!C1334),"",IF(AND(OR($E1334="INFRUCTUEUX",$E1334="ANNULE"),$C1334="AOO-M"),'ENGAGEMENTS 2026'!P1334,IF($H1334="EN COURS DE PREENGAGEMENT",'ENGAGEMENTS 2026'!O1334,IF($H1334="PREENGAGE",IF($E1334="ATTRIBUE",'ENGAGEMENTS 2026'!AE1334,'ENGAGEMENTS 2026'!O1334),'ENGAGEMENTS 2026'!AE1334))))</f>
        <v/>
      </c>
      <c r="K1334" s="604">
        <f>IF(ISBLANK('ENGAGEMENTS 2026'!W1334),"",'ENGAGEMENTS 2026'!W1334)</f>
        <v/>
      </c>
      <c r="L1334" s="276">
        <f>IF($K1334="","",TODAY()-$K1334)</f>
        <v/>
      </c>
      <c r="M1334">
        <f>IF($A1334="","",IF($H1334="ENGAGE","Engagé",IF(AND($H1334="NON ENGAGE",OR($I1334="INFRUCTUEUX",$I1334="ANNULE")),"Clôturé sans suite","En cours")))</f>
        <v/>
      </c>
      <c r="N1334">
        <f>IF(ISBLANK('ENGAGEMENTS 2026'!C1334),"",'ENGAGEMENTS 2026'!L1334)</f>
        <v/>
      </c>
      <c r="O1334">
        <f>IF(ISBLANK('ENGAGEMENTS 2026'!C1334),"",'ENGAGEMENTS 2026'!M1334)</f>
        <v/>
      </c>
      <c r="P1334">
        <f>IF(ISBLANK('ENGAGEMENTS 2026'!C1334),"",'ENGAGEMENTS 2026'!K1334)</f>
        <v/>
      </c>
      <c r="Q1334">
        <f>IF($A1334="","",IF(OR($E1334="INFRUCTUEUX",$E1334="ANNULE"),$A1334&amp;"|"&amp;(COUNTIFS($A$2:$A1334,$A1334,$E$2:$E1334,"INFRUCTUEUX")+COUNTIFS($A$2:$A1334,$A1334,$E$2:$E1334,"ANNULE")),""))</f>
        <v/>
      </c>
    </row>
    <row r="1335">
      <c r="A1335">
        <f>IF(ISBLANK('ENGAGEMENTS 2026'!C1335),"",IF('ENGAGEMENTS 2026'!C1335="DTSI","DCT",'ENGAGEMENTS 2026'!C1335))</f>
        <v/>
      </c>
      <c r="B1335">
        <f>IF(ISBLANK('ENGAGEMENTS 2026'!C1335),"",'ENGAGEMENTS 2026'!D1335)</f>
        <v/>
      </c>
      <c r="C1335">
        <f>IF(ISBLANK('ENGAGEMENTS 2026'!C1335),"",'ENGAGEMENTS 2026'!E1335)</f>
        <v/>
      </c>
      <c r="D1335">
        <f>IF(ISBLANK('ENGAGEMENTS 2026'!C1335),"",'ENGAGEMENTS 2026'!G1335)</f>
        <v/>
      </c>
      <c r="E1335">
        <f>IF(ISBLANK('ENGAGEMENTS 2026'!C1335),"",'ENGAGEMENTS 2026'!I1335)</f>
        <v/>
      </c>
      <c r="F1335">
        <f>IF(ISBLANK('ENGAGEMENTS 2026'!C1335),"",'ENGAGEMENTS 2026'!J1335)</f>
        <v/>
      </c>
      <c r="G1335">
        <f>IF(ISBLANK('ENGAGEMENTS 2026'!C1335),"",'ENGAGEMENTS 2026'!M1335)</f>
        <v/>
      </c>
      <c r="H1335">
        <f>IF(ISBLANK('ENGAGEMENTS 2026'!C1335),"",'ENGAGEMENTS 2026'!AF1335)</f>
        <v/>
      </c>
      <c r="I1335">
        <f>IF(ISBLANK('ENGAGEMENTS 2026'!C1335),"",'ENGAGEMENTS 2026'!H1335)</f>
        <v/>
      </c>
      <c r="J1335" s="275">
        <f>IF(ISBLANK('ENGAGEMENTS 2026'!C1335),"",IF(AND(OR($E1335="INFRUCTUEUX",$E1335="ANNULE"),$C1335="AOO-M"),'ENGAGEMENTS 2026'!P1335,IF($H1335="EN COURS DE PREENGAGEMENT",'ENGAGEMENTS 2026'!O1335,IF($H1335="PREENGAGE",IF($E1335="ATTRIBUE",'ENGAGEMENTS 2026'!AE1335,'ENGAGEMENTS 2026'!O1335),'ENGAGEMENTS 2026'!AE1335))))</f>
        <v/>
      </c>
      <c r="K1335" s="604">
        <f>IF(ISBLANK('ENGAGEMENTS 2026'!W1335),"",'ENGAGEMENTS 2026'!W1335)</f>
        <v/>
      </c>
      <c r="L1335" s="276">
        <f>IF($K1335="","",TODAY()-$K1335)</f>
        <v/>
      </c>
      <c r="M1335">
        <f>IF($A1335="","",IF($H1335="ENGAGE","Engagé",IF(AND($H1335="NON ENGAGE",OR($I1335="INFRUCTUEUX",$I1335="ANNULE")),"Clôturé sans suite","En cours")))</f>
        <v/>
      </c>
      <c r="N1335">
        <f>IF(ISBLANK('ENGAGEMENTS 2026'!C1335),"",'ENGAGEMENTS 2026'!L1335)</f>
        <v/>
      </c>
      <c r="O1335">
        <f>IF(ISBLANK('ENGAGEMENTS 2026'!C1335),"",'ENGAGEMENTS 2026'!M1335)</f>
        <v/>
      </c>
      <c r="P1335">
        <f>IF(ISBLANK('ENGAGEMENTS 2026'!C1335),"",'ENGAGEMENTS 2026'!K1335)</f>
        <v/>
      </c>
      <c r="Q1335">
        <f>IF($A1335="","",IF(OR($E1335="INFRUCTUEUX",$E1335="ANNULE"),$A1335&amp;"|"&amp;(COUNTIFS($A$2:$A1335,$A1335,$E$2:$E1335,"INFRUCTUEUX")+COUNTIFS($A$2:$A1335,$A1335,$E$2:$E1335,"ANNULE")),""))</f>
        <v/>
      </c>
    </row>
    <row r="1336">
      <c r="A1336">
        <f>IF(ISBLANK('ENGAGEMENTS 2026'!C1336),"",IF('ENGAGEMENTS 2026'!C1336="DTSI","DCT",'ENGAGEMENTS 2026'!C1336))</f>
        <v/>
      </c>
      <c r="B1336">
        <f>IF(ISBLANK('ENGAGEMENTS 2026'!C1336),"",'ENGAGEMENTS 2026'!D1336)</f>
        <v/>
      </c>
      <c r="C1336">
        <f>IF(ISBLANK('ENGAGEMENTS 2026'!C1336),"",'ENGAGEMENTS 2026'!E1336)</f>
        <v/>
      </c>
      <c r="D1336">
        <f>IF(ISBLANK('ENGAGEMENTS 2026'!C1336),"",'ENGAGEMENTS 2026'!G1336)</f>
        <v/>
      </c>
      <c r="E1336">
        <f>IF(ISBLANK('ENGAGEMENTS 2026'!C1336),"",'ENGAGEMENTS 2026'!I1336)</f>
        <v/>
      </c>
      <c r="F1336">
        <f>IF(ISBLANK('ENGAGEMENTS 2026'!C1336),"",'ENGAGEMENTS 2026'!J1336)</f>
        <v/>
      </c>
      <c r="G1336">
        <f>IF(ISBLANK('ENGAGEMENTS 2026'!C1336),"",'ENGAGEMENTS 2026'!M1336)</f>
        <v/>
      </c>
      <c r="H1336">
        <f>IF(ISBLANK('ENGAGEMENTS 2026'!C1336),"",'ENGAGEMENTS 2026'!AF1336)</f>
        <v/>
      </c>
      <c r="I1336">
        <f>IF(ISBLANK('ENGAGEMENTS 2026'!C1336),"",'ENGAGEMENTS 2026'!H1336)</f>
        <v/>
      </c>
      <c r="J1336" s="275">
        <f>IF(ISBLANK('ENGAGEMENTS 2026'!C1336),"",IF(AND(OR($E1336="INFRUCTUEUX",$E1336="ANNULE"),$C1336="AOO-M"),'ENGAGEMENTS 2026'!P1336,IF($H1336="EN COURS DE PREENGAGEMENT",'ENGAGEMENTS 2026'!O1336,IF($H1336="PREENGAGE",IF($E1336="ATTRIBUE",'ENGAGEMENTS 2026'!AE1336,'ENGAGEMENTS 2026'!O1336),'ENGAGEMENTS 2026'!AE1336))))</f>
        <v/>
      </c>
      <c r="K1336" s="604">
        <f>IF(ISBLANK('ENGAGEMENTS 2026'!W1336),"",'ENGAGEMENTS 2026'!W1336)</f>
        <v/>
      </c>
      <c r="L1336" s="276">
        <f>IF($K1336="","",TODAY()-$K1336)</f>
        <v/>
      </c>
      <c r="M1336">
        <f>IF($A1336="","",IF($H1336="ENGAGE","Engagé",IF(AND($H1336="NON ENGAGE",OR($I1336="INFRUCTUEUX",$I1336="ANNULE")),"Clôturé sans suite","En cours")))</f>
        <v/>
      </c>
      <c r="N1336">
        <f>IF(ISBLANK('ENGAGEMENTS 2026'!C1336),"",'ENGAGEMENTS 2026'!L1336)</f>
        <v/>
      </c>
      <c r="O1336">
        <f>IF(ISBLANK('ENGAGEMENTS 2026'!C1336),"",'ENGAGEMENTS 2026'!M1336)</f>
        <v/>
      </c>
      <c r="P1336">
        <f>IF(ISBLANK('ENGAGEMENTS 2026'!C1336),"",'ENGAGEMENTS 2026'!K1336)</f>
        <v/>
      </c>
      <c r="Q1336">
        <f>IF($A1336="","",IF(OR($E1336="INFRUCTUEUX",$E1336="ANNULE"),$A1336&amp;"|"&amp;(COUNTIFS($A$2:$A1336,$A1336,$E$2:$E1336,"INFRUCTUEUX")+COUNTIFS($A$2:$A1336,$A1336,$E$2:$E1336,"ANNULE")),""))</f>
        <v/>
      </c>
    </row>
    <row r="1337">
      <c r="A1337">
        <f>IF(ISBLANK('ENGAGEMENTS 2026'!C1337),"",IF('ENGAGEMENTS 2026'!C1337="DTSI","DCT",'ENGAGEMENTS 2026'!C1337))</f>
        <v/>
      </c>
      <c r="B1337">
        <f>IF(ISBLANK('ENGAGEMENTS 2026'!C1337),"",'ENGAGEMENTS 2026'!D1337)</f>
        <v/>
      </c>
      <c r="C1337">
        <f>IF(ISBLANK('ENGAGEMENTS 2026'!C1337),"",'ENGAGEMENTS 2026'!E1337)</f>
        <v/>
      </c>
      <c r="D1337">
        <f>IF(ISBLANK('ENGAGEMENTS 2026'!C1337),"",'ENGAGEMENTS 2026'!G1337)</f>
        <v/>
      </c>
      <c r="E1337">
        <f>IF(ISBLANK('ENGAGEMENTS 2026'!C1337),"",'ENGAGEMENTS 2026'!I1337)</f>
        <v/>
      </c>
      <c r="F1337">
        <f>IF(ISBLANK('ENGAGEMENTS 2026'!C1337),"",'ENGAGEMENTS 2026'!J1337)</f>
        <v/>
      </c>
      <c r="G1337">
        <f>IF(ISBLANK('ENGAGEMENTS 2026'!C1337),"",'ENGAGEMENTS 2026'!M1337)</f>
        <v/>
      </c>
      <c r="H1337">
        <f>IF(ISBLANK('ENGAGEMENTS 2026'!C1337),"",'ENGAGEMENTS 2026'!AF1337)</f>
        <v/>
      </c>
      <c r="I1337">
        <f>IF(ISBLANK('ENGAGEMENTS 2026'!C1337),"",'ENGAGEMENTS 2026'!H1337)</f>
        <v/>
      </c>
      <c r="J1337" s="275">
        <f>IF(ISBLANK('ENGAGEMENTS 2026'!C1337),"",IF(AND(OR($E1337="INFRUCTUEUX",$E1337="ANNULE"),$C1337="AOO-M"),'ENGAGEMENTS 2026'!P1337,IF($H1337="EN COURS DE PREENGAGEMENT",'ENGAGEMENTS 2026'!O1337,IF($H1337="PREENGAGE",IF($E1337="ATTRIBUE",'ENGAGEMENTS 2026'!AE1337,'ENGAGEMENTS 2026'!O1337),'ENGAGEMENTS 2026'!AE1337))))</f>
        <v/>
      </c>
      <c r="K1337" s="604">
        <f>IF(ISBLANK('ENGAGEMENTS 2026'!W1337),"",'ENGAGEMENTS 2026'!W1337)</f>
        <v/>
      </c>
      <c r="L1337" s="276">
        <f>IF($K1337="","",TODAY()-$K1337)</f>
        <v/>
      </c>
      <c r="M1337">
        <f>IF($A1337="","",IF($H1337="ENGAGE","Engagé",IF(AND($H1337="NON ENGAGE",OR($I1337="INFRUCTUEUX",$I1337="ANNULE")),"Clôturé sans suite","En cours")))</f>
        <v/>
      </c>
      <c r="N1337">
        <f>IF(ISBLANK('ENGAGEMENTS 2026'!C1337),"",'ENGAGEMENTS 2026'!L1337)</f>
        <v/>
      </c>
      <c r="O1337">
        <f>IF(ISBLANK('ENGAGEMENTS 2026'!C1337),"",'ENGAGEMENTS 2026'!M1337)</f>
        <v/>
      </c>
      <c r="P1337">
        <f>IF(ISBLANK('ENGAGEMENTS 2026'!C1337),"",'ENGAGEMENTS 2026'!K1337)</f>
        <v/>
      </c>
      <c r="Q1337">
        <f>IF($A1337="","",IF(OR($E1337="INFRUCTUEUX",$E1337="ANNULE"),$A1337&amp;"|"&amp;(COUNTIFS($A$2:$A1337,$A1337,$E$2:$E1337,"INFRUCTUEUX")+COUNTIFS($A$2:$A1337,$A1337,$E$2:$E1337,"ANNULE")),""))</f>
        <v/>
      </c>
    </row>
    <row r="1338">
      <c r="A1338">
        <f>IF(ISBLANK('ENGAGEMENTS 2026'!C1338),"",IF('ENGAGEMENTS 2026'!C1338="DTSI","DCT",'ENGAGEMENTS 2026'!C1338))</f>
        <v/>
      </c>
      <c r="B1338">
        <f>IF(ISBLANK('ENGAGEMENTS 2026'!C1338),"",'ENGAGEMENTS 2026'!D1338)</f>
        <v/>
      </c>
      <c r="C1338">
        <f>IF(ISBLANK('ENGAGEMENTS 2026'!C1338),"",'ENGAGEMENTS 2026'!E1338)</f>
        <v/>
      </c>
      <c r="D1338">
        <f>IF(ISBLANK('ENGAGEMENTS 2026'!C1338),"",'ENGAGEMENTS 2026'!G1338)</f>
        <v/>
      </c>
      <c r="E1338">
        <f>IF(ISBLANK('ENGAGEMENTS 2026'!C1338),"",'ENGAGEMENTS 2026'!I1338)</f>
        <v/>
      </c>
      <c r="F1338">
        <f>IF(ISBLANK('ENGAGEMENTS 2026'!C1338),"",'ENGAGEMENTS 2026'!J1338)</f>
        <v/>
      </c>
      <c r="G1338">
        <f>IF(ISBLANK('ENGAGEMENTS 2026'!C1338),"",'ENGAGEMENTS 2026'!M1338)</f>
        <v/>
      </c>
      <c r="H1338">
        <f>IF(ISBLANK('ENGAGEMENTS 2026'!C1338),"",'ENGAGEMENTS 2026'!AF1338)</f>
        <v/>
      </c>
      <c r="I1338">
        <f>IF(ISBLANK('ENGAGEMENTS 2026'!C1338),"",'ENGAGEMENTS 2026'!H1338)</f>
        <v/>
      </c>
      <c r="J1338" s="275">
        <f>IF(ISBLANK('ENGAGEMENTS 2026'!C1338),"",IF(AND(OR($E1338="INFRUCTUEUX",$E1338="ANNULE"),$C1338="AOO-M"),'ENGAGEMENTS 2026'!P1338,IF($H1338="EN COURS DE PREENGAGEMENT",'ENGAGEMENTS 2026'!O1338,IF($H1338="PREENGAGE",IF($E1338="ATTRIBUE",'ENGAGEMENTS 2026'!AE1338,'ENGAGEMENTS 2026'!O1338),'ENGAGEMENTS 2026'!AE1338))))</f>
        <v/>
      </c>
      <c r="K1338" s="604">
        <f>IF(ISBLANK('ENGAGEMENTS 2026'!W1338),"",'ENGAGEMENTS 2026'!W1338)</f>
        <v/>
      </c>
      <c r="L1338" s="276">
        <f>IF($K1338="","",TODAY()-$K1338)</f>
        <v/>
      </c>
      <c r="M1338">
        <f>IF($A1338="","",IF($H1338="ENGAGE","Engagé",IF(AND($H1338="NON ENGAGE",OR($I1338="INFRUCTUEUX",$I1338="ANNULE")),"Clôturé sans suite","En cours")))</f>
        <v/>
      </c>
      <c r="N1338">
        <f>IF(ISBLANK('ENGAGEMENTS 2026'!C1338),"",'ENGAGEMENTS 2026'!L1338)</f>
        <v/>
      </c>
      <c r="O1338">
        <f>IF(ISBLANK('ENGAGEMENTS 2026'!C1338),"",'ENGAGEMENTS 2026'!M1338)</f>
        <v/>
      </c>
      <c r="P1338">
        <f>IF(ISBLANK('ENGAGEMENTS 2026'!C1338),"",'ENGAGEMENTS 2026'!K1338)</f>
        <v/>
      </c>
      <c r="Q1338">
        <f>IF($A1338="","",IF(OR($E1338="INFRUCTUEUX",$E1338="ANNULE"),$A1338&amp;"|"&amp;(COUNTIFS($A$2:$A1338,$A1338,$E$2:$E1338,"INFRUCTUEUX")+COUNTIFS($A$2:$A1338,$A1338,$E$2:$E1338,"ANNULE")),""))</f>
        <v/>
      </c>
    </row>
    <row r="1339">
      <c r="A1339">
        <f>IF(ISBLANK('ENGAGEMENTS 2026'!C1339),"",IF('ENGAGEMENTS 2026'!C1339="DTSI","DCT",'ENGAGEMENTS 2026'!C1339))</f>
        <v/>
      </c>
      <c r="B1339">
        <f>IF(ISBLANK('ENGAGEMENTS 2026'!C1339),"",'ENGAGEMENTS 2026'!D1339)</f>
        <v/>
      </c>
      <c r="C1339">
        <f>IF(ISBLANK('ENGAGEMENTS 2026'!C1339),"",'ENGAGEMENTS 2026'!E1339)</f>
        <v/>
      </c>
      <c r="D1339">
        <f>IF(ISBLANK('ENGAGEMENTS 2026'!C1339),"",'ENGAGEMENTS 2026'!G1339)</f>
        <v/>
      </c>
      <c r="E1339">
        <f>IF(ISBLANK('ENGAGEMENTS 2026'!C1339),"",'ENGAGEMENTS 2026'!I1339)</f>
        <v/>
      </c>
      <c r="F1339">
        <f>IF(ISBLANK('ENGAGEMENTS 2026'!C1339),"",'ENGAGEMENTS 2026'!J1339)</f>
        <v/>
      </c>
      <c r="G1339">
        <f>IF(ISBLANK('ENGAGEMENTS 2026'!C1339),"",'ENGAGEMENTS 2026'!M1339)</f>
        <v/>
      </c>
      <c r="H1339">
        <f>IF(ISBLANK('ENGAGEMENTS 2026'!C1339),"",'ENGAGEMENTS 2026'!AF1339)</f>
        <v/>
      </c>
      <c r="I1339">
        <f>IF(ISBLANK('ENGAGEMENTS 2026'!C1339),"",'ENGAGEMENTS 2026'!H1339)</f>
        <v/>
      </c>
      <c r="J1339" s="275">
        <f>IF(ISBLANK('ENGAGEMENTS 2026'!C1339),"",IF(AND(OR($E1339="INFRUCTUEUX",$E1339="ANNULE"),$C1339="AOO-M"),'ENGAGEMENTS 2026'!P1339,IF($H1339="EN COURS DE PREENGAGEMENT",'ENGAGEMENTS 2026'!O1339,IF($H1339="PREENGAGE",IF($E1339="ATTRIBUE",'ENGAGEMENTS 2026'!AE1339,'ENGAGEMENTS 2026'!O1339),'ENGAGEMENTS 2026'!AE1339))))</f>
        <v/>
      </c>
      <c r="K1339" s="604">
        <f>IF(ISBLANK('ENGAGEMENTS 2026'!W1339),"",'ENGAGEMENTS 2026'!W1339)</f>
        <v/>
      </c>
      <c r="L1339" s="276">
        <f>IF($K1339="","",TODAY()-$K1339)</f>
        <v/>
      </c>
      <c r="M1339">
        <f>IF($A1339="","",IF($H1339="ENGAGE","Engagé",IF(AND($H1339="NON ENGAGE",OR($I1339="INFRUCTUEUX",$I1339="ANNULE")),"Clôturé sans suite","En cours")))</f>
        <v/>
      </c>
      <c r="N1339">
        <f>IF(ISBLANK('ENGAGEMENTS 2026'!C1339),"",'ENGAGEMENTS 2026'!L1339)</f>
        <v/>
      </c>
      <c r="O1339">
        <f>IF(ISBLANK('ENGAGEMENTS 2026'!C1339),"",'ENGAGEMENTS 2026'!M1339)</f>
        <v/>
      </c>
      <c r="P1339">
        <f>IF(ISBLANK('ENGAGEMENTS 2026'!C1339),"",'ENGAGEMENTS 2026'!K1339)</f>
        <v/>
      </c>
      <c r="Q1339">
        <f>IF($A1339="","",IF(OR($E1339="INFRUCTUEUX",$E1339="ANNULE"),$A1339&amp;"|"&amp;(COUNTIFS($A$2:$A1339,$A1339,$E$2:$E1339,"INFRUCTUEUX")+COUNTIFS($A$2:$A1339,$A1339,$E$2:$E1339,"ANNULE")),""))</f>
        <v/>
      </c>
    </row>
    <row r="1340">
      <c r="A1340">
        <f>IF(ISBLANK('ENGAGEMENTS 2026'!C1340),"",IF('ENGAGEMENTS 2026'!C1340="DTSI","DCT",'ENGAGEMENTS 2026'!C1340))</f>
        <v/>
      </c>
      <c r="B1340">
        <f>IF(ISBLANK('ENGAGEMENTS 2026'!C1340),"",'ENGAGEMENTS 2026'!D1340)</f>
        <v/>
      </c>
      <c r="C1340">
        <f>IF(ISBLANK('ENGAGEMENTS 2026'!C1340),"",'ENGAGEMENTS 2026'!E1340)</f>
        <v/>
      </c>
      <c r="D1340">
        <f>IF(ISBLANK('ENGAGEMENTS 2026'!C1340),"",'ENGAGEMENTS 2026'!G1340)</f>
        <v/>
      </c>
      <c r="E1340">
        <f>IF(ISBLANK('ENGAGEMENTS 2026'!C1340),"",'ENGAGEMENTS 2026'!I1340)</f>
        <v/>
      </c>
      <c r="F1340">
        <f>IF(ISBLANK('ENGAGEMENTS 2026'!C1340),"",'ENGAGEMENTS 2026'!J1340)</f>
        <v/>
      </c>
      <c r="G1340">
        <f>IF(ISBLANK('ENGAGEMENTS 2026'!C1340),"",'ENGAGEMENTS 2026'!M1340)</f>
        <v/>
      </c>
      <c r="H1340">
        <f>IF(ISBLANK('ENGAGEMENTS 2026'!C1340),"",'ENGAGEMENTS 2026'!AF1340)</f>
        <v/>
      </c>
      <c r="I1340">
        <f>IF(ISBLANK('ENGAGEMENTS 2026'!C1340),"",'ENGAGEMENTS 2026'!H1340)</f>
        <v/>
      </c>
      <c r="J1340" s="275">
        <f>IF(ISBLANK('ENGAGEMENTS 2026'!C1340),"",IF(AND(OR($E1340="INFRUCTUEUX",$E1340="ANNULE"),$C1340="AOO-M"),'ENGAGEMENTS 2026'!P1340,IF($H1340="EN COURS DE PREENGAGEMENT",'ENGAGEMENTS 2026'!O1340,IF($H1340="PREENGAGE",IF($E1340="ATTRIBUE",'ENGAGEMENTS 2026'!AE1340,'ENGAGEMENTS 2026'!O1340),'ENGAGEMENTS 2026'!AE1340))))</f>
        <v/>
      </c>
      <c r="K1340" s="604">
        <f>IF(ISBLANK('ENGAGEMENTS 2026'!W1340),"",'ENGAGEMENTS 2026'!W1340)</f>
        <v/>
      </c>
      <c r="L1340" s="276">
        <f>IF($K1340="","",TODAY()-$K1340)</f>
        <v/>
      </c>
      <c r="M1340">
        <f>IF($A1340="","",IF($H1340="ENGAGE","Engagé",IF(AND($H1340="NON ENGAGE",OR($I1340="INFRUCTUEUX",$I1340="ANNULE")),"Clôturé sans suite","En cours")))</f>
        <v/>
      </c>
      <c r="N1340">
        <f>IF(ISBLANK('ENGAGEMENTS 2026'!C1340),"",'ENGAGEMENTS 2026'!L1340)</f>
        <v/>
      </c>
      <c r="O1340">
        <f>IF(ISBLANK('ENGAGEMENTS 2026'!C1340),"",'ENGAGEMENTS 2026'!M1340)</f>
        <v/>
      </c>
      <c r="P1340">
        <f>IF(ISBLANK('ENGAGEMENTS 2026'!C1340),"",'ENGAGEMENTS 2026'!K1340)</f>
        <v/>
      </c>
      <c r="Q1340">
        <f>IF($A1340="","",IF(OR($E1340="INFRUCTUEUX",$E1340="ANNULE"),$A1340&amp;"|"&amp;(COUNTIFS($A$2:$A1340,$A1340,$E$2:$E1340,"INFRUCTUEUX")+COUNTIFS($A$2:$A1340,$A1340,$E$2:$E1340,"ANNULE")),""))</f>
        <v/>
      </c>
    </row>
    <row r="1341">
      <c r="A1341">
        <f>IF(ISBLANK('ENGAGEMENTS 2026'!C1341),"",IF('ENGAGEMENTS 2026'!C1341="DTSI","DCT",'ENGAGEMENTS 2026'!C1341))</f>
        <v/>
      </c>
      <c r="B1341">
        <f>IF(ISBLANK('ENGAGEMENTS 2026'!C1341),"",'ENGAGEMENTS 2026'!D1341)</f>
        <v/>
      </c>
      <c r="C1341">
        <f>IF(ISBLANK('ENGAGEMENTS 2026'!C1341),"",'ENGAGEMENTS 2026'!E1341)</f>
        <v/>
      </c>
      <c r="D1341">
        <f>IF(ISBLANK('ENGAGEMENTS 2026'!C1341),"",'ENGAGEMENTS 2026'!G1341)</f>
        <v/>
      </c>
      <c r="E1341">
        <f>IF(ISBLANK('ENGAGEMENTS 2026'!C1341),"",'ENGAGEMENTS 2026'!I1341)</f>
        <v/>
      </c>
      <c r="F1341">
        <f>IF(ISBLANK('ENGAGEMENTS 2026'!C1341),"",'ENGAGEMENTS 2026'!J1341)</f>
        <v/>
      </c>
      <c r="G1341">
        <f>IF(ISBLANK('ENGAGEMENTS 2026'!C1341),"",'ENGAGEMENTS 2026'!M1341)</f>
        <v/>
      </c>
      <c r="H1341">
        <f>IF(ISBLANK('ENGAGEMENTS 2026'!C1341),"",'ENGAGEMENTS 2026'!AF1341)</f>
        <v/>
      </c>
      <c r="I1341">
        <f>IF(ISBLANK('ENGAGEMENTS 2026'!C1341),"",'ENGAGEMENTS 2026'!H1341)</f>
        <v/>
      </c>
      <c r="J1341" s="275">
        <f>IF(ISBLANK('ENGAGEMENTS 2026'!C1341),"",IF(AND(OR($E1341="INFRUCTUEUX",$E1341="ANNULE"),$C1341="AOO-M"),'ENGAGEMENTS 2026'!P1341,IF($H1341="EN COURS DE PREENGAGEMENT",'ENGAGEMENTS 2026'!O1341,IF($H1341="PREENGAGE",IF($E1341="ATTRIBUE",'ENGAGEMENTS 2026'!AE1341,'ENGAGEMENTS 2026'!O1341),'ENGAGEMENTS 2026'!AE1341))))</f>
        <v/>
      </c>
      <c r="K1341" s="604">
        <f>IF(ISBLANK('ENGAGEMENTS 2026'!W1341),"",'ENGAGEMENTS 2026'!W1341)</f>
        <v/>
      </c>
      <c r="L1341" s="276">
        <f>IF($K1341="","",TODAY()-$K1341)</f>
        <v/>
      </c>
      <c r="M1341">
        <f>IF($A1341="","",IF($H1341="ENGAGE","Engagé",IF(AND($H1341="NON ENGAGE",OR($I1341="INFRUCTUEUX",$I1341="ANNULE")),"Clôturé sans suite","En cours")))</f>
        <v/>
      </c>
      <c r="N1341">
        <f>IF(ISBLANK('ENGAGEMENTS 2026'!C1341),"",'ENGAGEMENTS 2026'!L1341)</f>
        <v/>
      </c>
      <c r="O1341">
        <f>IF(ISBLANK('ENGAGEMENTS 2026'!C1341),"",'ENGAGEMENTS 2026'!M1341)</f>
        <v/>
      </c>
      <c r="P1341">
        <f>IF(ISBLANK('ENGAGEMENTS 2026'!C1341),"",'ENGAGEMENTS 2026'!K1341)</f>
        <v/>
      </c>
      <c r="Q1341">
        <f>IF($A1341="","",IF(OR($E1341="INFRUCTUEUX",$E1341="ANNULE"),$A1341&amp;"|"&amp;(COUNTIFS($A$2:$A1341,$A1341,$E$2:$E1341,"INFRUCTUEUX")+COUNTIFS($A$2:$A1341,$A1341,$E$2:$E1341,"ANNULE")),""))</f>
        <v/>
      </c>
    </row>
    <row r="1342">
      <c r="A1342">
        <f>IF(ISBLANK('ENGAGEMENTS 2026'!C1342),"",IF('ENGAGEMENTS 2026'!C1342="DTSI","DCT",'ENGAGEMENTS 2026'!C1342))</f>
        <v/>
      </c>
      <c r="B1342">
        <f>IF(ISBLANK('ENGAGEMENTS 2026'!C1342),"",'ENGAGEMENTS 2026'!D1342)</f>
        <v/>
      </c>
      <c r="C1342">
        <f>IF(ISBLANK('ENGAGEMENTS 2026'!C1342),"",'ENGAGEMENTS 2026'!E1342)</f>
        <v/>
      </c>
      <c r="D1342">
        <f>IF(ISBLANK('ENGAGEMENTS 2026'!C1342),"",'ENGAGEMENTS 2026'!G1342)</f>
        <v/>
      </c>
      <c r="E1342">
        <f>IF(ISBLANK('ENGAGEMENTS 2026'!C1342),"",'ENGAGEMENTS 2026'!I1342)</f>
        <v/>
      </c>
      <c r="F1342">
        <f>IF(ISBLANK('ENGAGEMENTS 2026'!C1342),"",'ENGAGEMENTS 2026'!J1342)</f>
        <v/>
      </c>
      <c r="G1342">
        <f>IF(ISBLANK('ENGAGEMENTS 2026'!C1342),"",'ENGAGEMENTS 2026'!M1342)</f>
        <v/>
      </c>
      <c r="H1342">
        <f>IF(ISBLANK('ENGAGEMENTS 2026'!C1342),"",'ENGAGEMENTS 2026'!AF1342)</f>
        <v/>
      </c>
      <c r="I1342">
        <f>IF(ISBLANK('ENGAGEMENTS 2026'!C1342),"",'ENGAGEMENTS 2026'!H1342)</f>
        <v/>
      </c>
      <c r="J1342" s="275">
        <f>IF(ISBLANK('ENGAGEMENTS 2026'!C1342),"",IF(AND(OR($E1342="INFRUCTUEUX",$E1342="ANNULE"),$C1342="AOO-M"),'ENGAGEMENTS 2026'!P1342,IF($H1342="EN COURS DE PREENGAGEMENT",'ENGAGEMENTS 2026'!O1342,IF($H1342="PREENGAGE",IF($E1342="ATTRIBUE",'ENGAGEMENTS 2026'!AE1342,'ENGAGEMENTS 2026'!O1342),'ENGAGEMENTS 2026'!AE1342))))</f>
        <v/>
      </c>
      <c r="K1342" s="604">
        <f>IF(ISBLANK('ENGAGEMENTS 2026'!W1342),"",'ENGAGEMENTS 2026'!W1342)</f>
        <v/>
      </c>
      <c r="L1342" s="276">
        <f>IF($K1342="","",TODAY()-$K1342)</f>
        <v/>
      </c>
      <c r="M1342">
        <f>IF($A1342="","",IF($H1342="ENGAGE","Engagé",IF(AND($H1342="NON ENGAGE",OR($I1342="INFRUCTUEUX",$I1342="ANNULE")),"Clôturé sans suite","En cours")))</f>
        <v/>
      </c>
      <c r="N1342">
        <f>IF(ISBLANK('ENGAGEMENTS 2026'!C1342),"",'ENGAGEMENTS 2026'!L1342)</f>
        <v/>
      </c>
      <c r="O1342">
        <f>IF(ISBLANK('ENGAGEMENTS 2026'!C1342),"",'ENGAGEMENTS 2026'!M1342)</f>
        <v/>
      </c>
      <c r="P1342">
        <f>IF(ISBLANK('ENGAGEMENTS 2026'!C1342),"",'ENGAGEMENTS 2026'!K1342)</f>
        <v/>
      </c>
      <c r="Q1342">
        <f>IF($A1342="","",IF(OR($E1342="INFRUCTUEUX",$E1342="ANNULE"),$A1342&amp;"|"&amp;(COUNTIFS($A$2:$A1342,$A1342,$E$2:$E1342,"INFRUCTUEUX")+COUNTIFS($A$2:$A1342,$A1342,$E$2:$E1342,"ANNULE")),""))</f>
        <v/>
      </c>
    </row>
    <row r="1343">
      <c r="A1343">
        <f>IF(ISBLANK('ENGAGEMENTS 2026'!C1343),"",IF('ENGAGEMENTS 2026'!C1343="DTSI","DCT",'ENGAGEMENTS 2026'!C1343))</f>
        <v/>
      </c>
      <c r="B1343">
        <f>IF(ISBLANK('ENGAGEMENTS 2026'!C1343),"",'ENGAGEMENTS 2026'!D1343)</f>
        <v/>
      </c>
      <c r="C1343">
        <f>IF(ISBLANK('ENGAGEMENTS 2026'!C1343),"",'ENGAGEMENTS 2026'!E1343)</f>
        <v/>
      </c>
      <c r="D1343">
        <f>IF(ISBLANK('ENGAGEMENTS 2026'!C1343),"",'ENGAGEMENTS 2026'!G1343)</f>
        <v/>
      </c>
      <c r="E1343">
        <f>IF(ISBLANK('ENGAGEMENTS 2026'!C1343),"",'ENGAGEMENTS 2026'!I1343)</f>
        <v/>
      </c>
      <c r="F1343">
        <f>IF(ISBLANK('ENGAGEMENTS 2026'!C1343),"",'ENGAGEMENTS 2026'!J1343)</f>
        <v/>
      </c>
      <c r="G1343">
        <f>IF(ISBLANK('ENGAGEMENTS 2026'!C1343),"",'ENGAGEMENTS 2026'!M1343)</f>
        <v/>
      </c>
      <c r="H1343">
        <f>IF(ISBLANK('ENGAGEMENTS 2026'!C1343),"",'ENGAGEMENTS 2026'!AF1343)</f>
        <v/>
      </c>
      <c r="I1343">
        <f>IF(ISBLANK('ENGAGEMENTS 2026'!C1343),"",'ENGAGEMENTS 2026'!H1343)</f>
        <v/>
      </c>
      <c r="J1343" s="275">
        <f>IF(ISBLANK('ENGAGEMENTS 2026'!C1343),"",IF(AND(OR($E1343="INFRUCTUEUX",$E1343="ANNULE"),$C1343="AOO-M"),'ENGAGEMENTS 2026'!P1343,IF($H1343="EN COURS DE PREENGAGEMENT",'ENGAGEMENTS 2026'!O1343,IF($H1343="PREENGAGE",IF($E1343="ATTRIBUE",'ENGAGEMENTS 2026'!AE1343,'ENGAGEMENTS 2026'!O1343),'ENGAGEMENTS 2026'!AE1343))))</f>
        <v/>
      </c>
      <c r="K1343" s="604">
        <f>IF(ISBLANK('ENGAGEMENTS 2026'!W1343),"",'ENGAGEMENTS 2026'!W1343)</f>
        <v/>
      </c>
      <c r="L1343" s="276">
        <f>IF($K1343="","",TODAY()-$K1343)</f>
        <v/>
      </c>
      <c r="M1343">
        <f>IF($A1343="","",IF($H1343="ENGAGE","Engagé",IF(AND($H1343="NON ENGAGE",OR($I1343="INFRUCTUEUX",$I1343="ANNULE")),"Clôturé sans suite","En cours")))</f>
        <v/>
      </c>
      <c r="N1343">
        <f>IF(ISBLANK('ENGAGEMENTS 2026'!C1343),"",'ENGAGEMENTS 2026'!L1343)</f>
        <v/>
      </c>
      <c r="O1343">
        <f>IF(ISBLANK('ENGAGEMENTS 2026'!C1343),"",'ENGAGEMENTS 2026'!M1343)</f>
        <v/>
      </c>
      <c r="P1343">
        <f>IF(ISBLANK('ENGAGEMENTS 2026'!C1343),"",'ENGAGEMENTS 2026'!K1343)</f>
        <v/>
      </c>
      <c r="Q1343">
        <f>IF($A1343="","",IF(OR($E1343="INFRUCTUEUX",$E1343="ANNULE"),$A1343&amp;"|"&amp;(COUNTIFS($A$2:$A1343,$A1343,$E$2:$E1343,"INFRUCTUEUX")+COUNTIFS($A$2:$A1343,$A1343,$E$2:$E1343,"ANNULE")),""))</f>
        <v/>
      </c>
    </row>
    <row r="1344">
      <c r="A1344">
        <f>IF(ISBLANK('ENGAGEMENTS 2026'!C1344),"",IF('ENGAGEMENTS 2026'!C1344="DTSI","DCT",'ENGAGEMENTS 2026'!C1344))</f>
        <v/>
      </c>
      <c r="B1344">
        <f>IF(ISBLANK('ENGAGEMENTS 2026'!C1344),"",'ENGAGEMENTS 2026'!D1344)</f>
        <v/>
      </c>
      <c r="C1344">
        <f>IF(ISBLANK('ENGAGEMENTS 2026'!C1344),"",'ENGAGEMENTS 2026'!E1344)</f>
        <v/>
      </c>
      <c r="D1344">
        <f>IF(ISBLANK('ENGAGEMENTS 2026'!C1344),"",'ENGAGEMENTS 2026'!G1344)</f>
        <v/>
      </c>
      <c r="E1344">
        <f>IF(ISBLANK('ENGAGEMENTS 2026'!C1344),"",'ENGAGEMENTS 2026'!I1344)</f>
        <v/>
      </c>
      <c r="F1344">
        <f>IF(ISBLANK('ENGAGEMENTS 2026'!C1344),"",'ENGAGEMENTS 2026'!J1344)</f>
        <v/>
      </c>
      <c r="G1344">
        <f>IF(ISBLANK('ENGAGEMENTS 2026'!C1344),"",'ENGAGEMENTS 2026'!M1344)</f>
        <v/>
      </c>
      <c r="H1344">
        <f>IF(ISBLANK('ENGAGEMENTS 2026'!C1344),"",'ENGAGEMENTS 2026'!AF1344)</f>
        <v/>
      </c>
      <c r="I1344">
        <f>IF(ISBLANK('ENGAGEMENTS 2026'!C1344),"",'ENGAGEMENTS 2026'!H1344)</f>
        <v/>
      </c>
      <c r="J1344" s="275">
        <f>IF(ISBLANK('ENGAGEMENTS 2026'!C1344),"",IF(AND(OR($E1344="INFRUCTUEUX",$E1344="ANNULE"),$C1344="AOO-M"),'ENGAGEMENTS 2026'!P1344,IF($H1344="EN COURS DE PREENGAGEMENT",'ENGAGEMENTS 2026'!O1344,IF($H1344="PREENGAGE",IF($E1344="ATTRIBUE",'ENGAGEMENTS 2026'!AE1344,'ENGAGEMENTS 2026'!O1344),'ENGAGEMENTS 2026'!AE1344))))</f>
        <v/>
      </c>
      <c r="K1344" s="604">
        <f>IF(ISBLANK('ENGAGEMENTS 2026'!W1344),"",'ENGAGEMENTS 2026'!W1344)</f>
        <v/>
      </c>
      <c r="L1344" s="276">
        <f>IF($K1344="","",TODAY()-$K1344)</f>
        <v/>
      </c>
      <c r="M1344">
        <f>IF($A1344="","",IF($H1344="ENGAGE","Engagé",IF(AND($H1344="NON ENGAGE",OR($I1344="INFRUCTUEUX",$I1344="ANNULE")),"Clôturé sans suite","En cours")))</f>
        <v/>
      </c>
      <c r="N1344">
        <f>IF(ISBLANK('ENGAGEMENTS 2026'!C1344),"",'ENGAGEMENTS 2026'!L1344)</f>
        <v/>
      </c>
      <c r="O1344">
        <f>IF(ISBLANK('ENGAGEMENTS 2026'!C1344),"",'ENGAGEMENTS 2026'!M1344)</f>
        <v/>
      </c>
      <c r="P1344">
        <f>IF(ISBLANK('ENGAGEMENTS 2026'!C1344),"",'ENGAGEMENTS 2026'!K1344)</f>
        <v/>
      </c>
      <c r="Q1344">
        <f>IF($A1344="","",IF(OR($E1344="INFRUCTUEUX",$E1344="ANNULE"),$A1344&amp;"|"&amp;(COUNTIFS($A$2:$A1344,$A1344,$E$2:$E1344,"INFRUCTUEUX")+COUNTIFS($A$2:$A1344,$A1344,$E$2:$E1344,"ANNULE")),""))</f>
        <v/>
      </c>
    </row>
    <row r="1345">
      <c r="A1345">
        <f>IF(ISBLANK('ENGAGEMENTS 2026'!C1345),"",IF('ENGAGEMENTS 2026'!C1345="DTSI","DCT",'ENGAGEMENTS 2026'!C1345))</f>
        <v/>
      </c>
      <c r="B1345">
        <f>IF(ISBLANK('ENGAGEMENTS 2026'!C1345),"",'ENGAGEMENTS 2026'!D1345)</f>
        <v/>
      </c>
      <c r="C1345">
        <f>IF(ISBLANK('ENGAGEMENTS 2026'!C1345),"",'ENGAGEMENTS 2026'!E1345)</f>
        <v/>
      </c>
      <c r="D1345">
        <f>IF(ISBLANK('ENGAGEMENTS 2026'!C1345),"",'ENGAGEMENTS 2026'!G1345)</f>
        <v/>
      </c>
      <c r="E1345">
        <f>IF(ISBLANK('ENGAGEMENTS 2026'!C1345),"",'ENGAGEMENTS 2026'!I1345)</f>
        <v/>
      </c>
      <c r="F1345">
        <f>IF(ISBLANK('ENGAGEMENTS 2026'!C1345),"",'ENGAGEMENTS 2026'!J1345)</f>
        <v/>
      </c>
      <c r="G1345">
        <f>IF(ISBLANK('ENGAGEMENTS 2026'!C1345),"",'ENGAGEMENTS 2026'!M1345)</f>
        <v/>
      </c>
      <c r="H1345">
        <f>IF(ISBLANK('ENGAGEMENTS 2026'!C1345),"",'ENGAGEMENTS 2026'!AF1345)</f>
        <v/>
      </c>
      <c r="I1345">
        <f>IF(ISBLANK('ENGAGEMENTS 2026'!C1345),"",'ENGAGEMENTS 2026'!H1345)</f>
        <v/>
      </c>
      <c r="J1345" s="275">
        <f>IF(ISBLANK('ENGAGEMENTS 2026'!C1345),"",IF(AND(OR($E1345="INFRUCTUEUX",$E1345="ANNULE"),$C1345="AOO-M"),'ENGAGEMENTS 2026'!P1345,IF($H1345="EN COURS DE PREENGAGEMENT",'ENGAGEMENTS 2026'!O1345,IF($H1345="PREENGAGE",IF($E1345="ATTRIBUE",'ENGAGEMENTS 2026'!AE1345,'ENGAGEMENTS 2026'!O1345),'ENGAGEMENTS 2026'!AE1345))))</f>
        <v/>
      </c>
      <c r="K1345" s="604">
        <f>IF(ISBLANK('ENGAGEMENTS 2026'!W1345),"",'ENGAGEMENTS 2026'!W1345)</f>
        <v/>
      </c>
      <c r="L1345" s="276">
        <f>IF($K1345="","",TODAY()-$K1345)</f>
        <v/>
      </c>
      <c r="M1345">
        <f>IF($A1345="","",IF($H1345="ENGAGE","Engagé",IF(AND($H1345="NON ENGAGE",OR($I1345="INFRUCTUEUX",$I1345="ANNULE")),"Clôturé sans suite","En cours")))</f>
        <v/>
      </c>
      <c r="N1345">
        <f>IF(ISBLANK('ENGAGEMENTS 2026'!C1345),"",'ENGAGEMENTS 2026'!L1345)</f>
        <v/>
      </c>
      <c r="O1345">
        <f>IF(ISBLANK('ENGAGEMENTS 2026'!C1345),"",'ENGAGEMENTS 2026'!M1345)</f>
        <v/>
      </c>
      <c r="P1345">
        <f>IF(ISBLANK('ENGAGEMENTS 2026'!C1345),"",'ENGAGEMENTS 2026'!K1345)</f>
        <v/>
      </c>
      <c r="Q1345">
        <f>IF($A1345="","",IF(OR($E1345="INFRUCTUEUX",$E1345="ANNULE"),$A1345&amp;"|"&amp;(COUNTIFS($A$2:$A1345,$A1345,$E$2:$E1345,"INFRUCTUEUX")+COUNTIFS($A$2:$A1345,$A1345,$E$2:$E1345,"ANNULE")),""))</f>
        <v/>
      </c>
    </row>
    <row r="1346">
      <c r="A1346">
        <f>IF(ISBLANK('ENGAGEMENTS 2026'!C1346),"",IF('ENGAGEMENTS 2026'!C1346="DTSI","DCT",'ENGAGEMENTS 2026'!C1346))</f>
        <v/>
      </c>
      <c r="B1346">
        <f>IF(ISBLANK('ENGAGEMENTS 2026'!C1346),"",'ENGAGEMENTS 2026'!D1346)</f>
        <v/>
      </c>
      <c r="C1346">
        <f>IF(ISBLANK('ENGAGEMENTS 2026'!C1346),"",'ENGAGEMENTS 2026'!E1346)</f>
        <v/>
      </c>
      <c r="D1346">
        <f>IF(ISBLANK('ENGAGEMENTS 2026'!C1346),"",'ENGAGEMENTS 2026'!G1346)</f>
        <v/>
      </c>
      <c r="E1346">
        <f>IF(ISBLANK('ENGAGEMENTS 2026'!C1346),"",'ENGAGEMENTS 2026'!I1346)</f>
        <v/>
      </c>
      <c r="F1346">
        <f>IF(ISBLANK('ENGAGEMENTS 2026'!C1346),"",'ENGAGEMENTS 2026'!J1346)</f>
        <v/>
      </c>
      <c r="G1346">
        <f>IF(ISBLANK('ENGAGEMENTS 2026'!C1346),"",'ENGAGEMENTS 2026'!M1346)</f>
        <v/>
      </c>
      <c r="H1346">
        <f>IF(ISBLANK('ENGAGEMENTS 2026'!C1346),"",'ENGAGEMENTS 2026'!AF1346)</f>
        <v/>
      </c>
      <c r="I1346">
        <f>IF(ISBLANK('ENGAGEMENTS 2026'!C1346),"",'ENGAGEMENTS 2026'!H1346)</f>
        <v/>
      </c>
      <c r="J1346" s="275">
        <f>IF(ISBLANK('ENGAGEMENTS 2026'!C1346),"",IF(AND(OR($E1346="INFRUCTUEUX",$E1346="ANNULE"),$C1346="AOO-M"),'ENGAGEMENTS 2026'!P1346,IF($H1346="EN COURS DE PREENGAGEMENT",'ENGAGEMENTS 2026'!O1346,IF($H1346="PREENGAGE",IF($E1346="ATTRIBUE",'ENGAGEMENTS 2026'!AE1346,'ENGAGEMENTS 2026'!O1346),'ENGAGEMENTS 2026'!AE1346))))</f>
        <v/>
      </c>
      <c r="K1346" s="604">
        <f>IF(ISBLANK('ENGAGEMENTS 2026'!W1346),"",'ENGAGEMENTS 2026'!W1346)</f>
        <v/>
      </c>
      <c r="L1346" s="276">
        <f>IF($K1346="","",TODAY()-$K1346)</f>
        <v/>
      </c>
      <c r="M1346">
        <f>IF($A1346="","",IF($H1346="ENGAGE","Engagé",IF(AND($H1346="NON ENGAGE",OR($I1346="INFRUCTUEUX",$I1346="ANNULE")),"Clôturé sans suite","En cours")))</f>
        <v/>
      </c>
      <c r="N1346">
        <f>IF(ISBLANK('ENGAGEMENTS 2026'!C1346),"",'ENGAGEMENTS 2026'!L1346)</f>
        <v/>
      </c>
      <c r="O1346">
        <f>IF(ISBLANK('ENGAGEMENTS 2026'!C1346),"",'ENGAGEMENTS 2026'!M1346)</f>
        <v/>
      </c>
      <c r="P1346">
        <f>IF(ISBLANK('ENGAGEMENTS 2026'!C1346),"",'ENGAGEMENTS 2026'!K1346)</f>
        <v/>
      </c>
      <c r="Q1346">
        <f>IF($A1346="","",IF(OR($E1346="INFRUCTUEUX",$E1346="ANNULE"),$A1346&amp;"|"&amp;(COUNTIFS($A$2:$A1346,$A1346,$E$2:$E1346,"INFRUCTUEUX")+COUNTIFS($A$2:$A1346,$A1346,$E$2:$E1346,"ANNULE")),""))</f>
        <v/>
      </c>
    </row>
    <row r="1347">
      <c r="A1347">
        <f>IF(ISBLANK('ENGAGEMENTS 2026'!C1347),"",IF('ENGAGEMENTS 2026'!C1347="DTSI","DCT",'ENGAGEMENTS 2026'!C1347))</f>
        <v/>
      </c>
      <c r="B1347">
        <f>IF(ISBLANK('ENGAGEMENTS 2026'!C1347),"",'ENGAGEMENTS 2026'!D1347)</f>
        <v/>
      </c>
      <c r="C1347">
        <f>IF(ISBLANK('ENGAGEMENTS 2026'!C1347),"",'ENGAGEMENTS 2026'!E1347)</f>
        <v/>
      </c>
      <c r="D1347">
        <f>IF(ISBLANK('ENGAGEMENTS 2026'!C1347),"",'ENGAGEMENTS 2026'!G1347)</f>
        <v/>
      </c>
      <c r="E1347">
        <f>IF(ISBLANK('ENGAGEMENTS 2026'!C1347),"",'ENGAGEMENTS 2026'!I1347)</f>
        <v/>
      </c>
      <c r="F1347">
        <f>IF(ISBLANK('ENGAGEMENTS 2026'!C1347),"",'ENGAGEMENTS 2026'!J1347)</f>
        <v/>
      </c>
      <c r="G1347">
        <f>IF(ISBLANK('ENGAGEMENTS 2026'!C1347),"",'ENGAGEMENTS 2026'!M1347)</f>
        <v/>
      </c>
      <c r="H1347">
        <f>IF(ISBLANK('ENGAGEMENTS 2026'!C1347),"",'ENGAGEMENTS 2026'!AF1347)</f>
        <v/>
      </c>
      <c r="I1347">
        <f>IF(ISBLANK('ENGAGEMENTS 2026'!C1347),"",'ENGAGEMENTS 2026'!H1347)</f>
        <v/>
      </c>
      <c r="J1347" s="275">
        <f>IF(ISBLANK('ENGAGEMENTS 2026'!C1347),"",IF(AND(OR($E1347="INFRUCTUEUX",$E1347="ANNULE"),$C1347="AOO-M"),'ENGAGEMENTS 2026'!P1347,IF($H1347="EN COURS DE PREENGAGEMENT",'ENGAGEMENTS 2026'!O1347,IF($H1347="PREENGAGE",IF($E1347="ATTRIBUE",'ENGAGEMENTS 2026'!AE1347,'ENGAGEMENTS 2026'!O1347),'ENGAGEMENTS 2026'!AE1347))))</f>
        <v/>
      </c>
      <c r="K1347" s="604">
        <f>IF(ISBLANK('ENGAGEMENTS 2026'!W1347),"",'ENGAGEMENTS 2026'!W1347)</f>
        <v/>
      </c>
      <c r="L1347" s="276">
        <f>IF($K1347="","",TODAY()-$K1347)</f>
        <v/>
      </c>
      <c r="M1347">
        <f>IF($A1347="","",IF($H1347="ENGAGE","Engagé",IF(AND($H1347="NON ENGAGE",OR($I1347="INFRUCTUEUX",$I1347="ANNULE")),"Clôturé sans suite","En cours")))</f>
        <v/>
      </c>
      <c r="N1347">
        <f>IF(ISBLANK('ENGAGEMENTS 2026'!C1347),"",'ENGAGEMENTS 2026'!L1347)</f>
        <v/>
      </c>
      <c r="O1347">
        <f>IF(ISBLANK('ENGAGEMENTS 2026'!C1347),"",'ENGAGEMENTS 2026'!M1347)</f>
        <v/>
      </c>
      <c r="P1347">
        <f>IF(ISBLANK('ENGAGEMENTS 2026'!C1347),"",'ENGAGEMENTS 2026'!K1347)</f>
        <v/>
      </c>
      <c r="Q1347">
        <f>IF($A1347="","",IF(OR($E1347="INFRUCTUEUX",$E1347="ANNULE"),$A1347&amp;"|"&amp;(COUNTIFS($A$2:$A1347,$A1347,$E$2:$E1347,"INFRUCTUEUX")+COUNTIFS($A$2:$A1347,$A1347,$E$2:$E1347,"ANNULE")),""))</f>
        <v/>
      </c>
    </row>
    <row r="1348">
      <c r="A1348">
        <f>IF(ISBLANK('ENGAGEMENTS 2026'!C1348),"",IF('ENGAGEMENTS 2026'!C1348="DTSI","DCT",'ENGAGEMENTS 2026'!C1348))</f>
        <v/>
      </c>
      <c r="B1348">
        <f>IF(ISBLANK('ENGAGEMENTS 2026'!C1348),"",'ENGAGEMENTS 2026'!D1348)</f>
        <v/>
      </c>
      <c r="C1348">
        <f>IF(ISBLANK('ENGAGEMENTS 2026'!C1348),"",'ENGAGEMENTS 2026'!E1348)</f>
        <v/>
      </c>
      <c r="D1348">
        <f>IF(ISBLANK('ENGAGEMENTS 2026'!C1348),"",'ENGAGEMENTS 2026'!G1348)</f>
        <v/>
      </c>
      <c r="E1348">
        <f>IF(ISBLANK('ENGAGEMENTS 2026'!C1348),"",'ENGAGEMENTS 2026'!I1348)</f>
        <v/>
      </c>
      <c r="F1348">
        <f>IF(ISBLANK('ENGAGEMENTS 2026'!C1348),"",'ENGAGEMENTS 2026'!J1348)</f>
        <v/>
      </c>
      <c r="G1348">
        <f>IF(ISBLANK('ENGAGEMENTS 2026'!C1348),"",'ENGAGEMENTS 2026'!M1348)</f>
        <v/>
      </c>
      <c r="H1348">
        <f>IF(ISBLANK('ENGAGEMENTS 2026'!C1348),"",'ENGAGEMENTS 2026'!AF1348)</f>
        <v/>
      </c>
      <c r="I1348">
        <f>IF(ISBLANK('ENGAGEMENTS 2026'!C1348),"",'ENGAGEMENTS 2026'!H1348)</f>
        <v/>
      </c>
      <c r="J1348" s="275">
        <f>IF(ISBLANK('ENGAGEMENTS 2026'!C1348),"",IF(AND(OR($E1348="INFRUCTUEUX",$E1348="ANNULE"),$C1348="AOO-M"),'ENGAGEMENTS 2026'!P1348,IF($H1348="EN COURS DE PREENGAGEMENT",'ENGAGEMENTS 2026'!O1348,IF($H1348="PREENGAGE",IF($E1348="ATTRIBUE",'ENGAGEMENTS 2026'!AE1348,'ENGAGEMENTS 2026'!O1348),'ENGAGEMENTS 2026'!AE1348))))</f>
        <v/>
      </c>
      <c r="K1348" s="604">
        <f>IF(ISBLANK('ENGAGEMENTS 2026'!W1348),"",'ENGAGEMENTS 2026'!W1348)</f>
        <v/>
      </c>
      <c r="L1348" s="276">
        <f>IF($K1348="","",TODAY()-$K1348)</f>
        <v/>
      </c>
      <c r="M1348">
        <f>IF($A1348="","",IF($H1348="ENGAGE","Engagé",IF(AND($H1348="NON ENGAGE",OR($I1348="INFRUCTUEUX",$I1348="ANNULE")),"Clôturé sans suite","En cours")))</f>
        <v/>
      </c>
      <c r="N1348">
        <f>IF(ISBLANK('ENGAGEMENTS 2026'!C1348),"",'ENGAGEMENTS 2026'!L1348)</f>
        <v/>
      </c>
      <c r="O1348">
        <f>IF(ISBLANK('ENGAGEMENTS 2026'!C1348),"",'ENGAGEMENTS 2026'!M1348)</f>
        <v/>
      </c>
      <c r="P1348">
        <f>IF(ISBLANK('ENGAGEMENTS 2026'!C1348),"",'ENGAGEMENTS 2026'!K1348)</f>
        <v/>
      </c>
      <c r="Q1348">
        <f>IF($A1348="","",IF(OR($E1348="INFRUCTUEUX",$E1348="ANNULE"),$A1348&amp;"|"&amp;(COUNTIFS($A$2:$A1348,$A1348,$E$2:$E1348,"INFRUCTUEUX")+COUNTIFS($A$2:$A1348,$A1348,$E$2:$E1348,"ANNULE")),""))</f>
        <v/>
      </c>
    </row>
    <row r="1349">
      <c r="A1349">
        <f>IF(ISBLANK('ENGAGEMENTS 2026'!C1349),"",IF('ENGAGEMENTS 2026'!C1349="DTSI","DCT",'ENGAGEMENTS 2026'!C1349))</f>
        <v/>
      </c>
      <c r="B1349">
        <f>IF(ISBLANK('ENGAGEMENTS 2026'!C1349),"",'ENGAGEMENTS 2026'!D1349)</f>
        <v/>
      </c>
      <c r="C1349">
        <f>IF(ISBLANK('ENGAGEMENTS 2026'!C1349),"",'ENGAGEMENTS 2026'!E1349)</f>
        <v/>
      </c>
      <c r="D1349">
        <f>IF(ISBLANK('ENGAGEMENTS 2026'!C1349),"",'ENGAGEMENTS 2026'!G1349)</f>
        <v/>
      </c>
      <c r="E1349">
        <f>IF(ISBLANK('ENGAGEMENTS 2026'!C1349),"",'ENGAGEMENTS 2026'!I1349)</f>
        <v/>
      </c>
      <c r="F1349">
        <f>IF(ISBLANK('ENGAGEMENTS 2026'!C1349),"",'ENGAGEMENTS 2026'!J1349)</f>
        <v/>
      </c>
      <c r="G1349">
        <f>IF(ISBLANK('ENGAGEMENTS 2026'!C1349),"",'ENGAGEMENTS 2026'!M1349)</f>
        <v/>
      </c>
      <c r="H1349">
        <f>IF(ISBLANK('ENGAGEMENTS 2026'!C1349),"",'ENGAGEMENTS 2026'!AF1349)</f>
        <v/>
      </c>
      <c r="I1349">
        <f>IF(ISBLANK('ENGAGEMENTS 2026'!C1349),"",'ENGAGEMENTS 2026'!H1349)</f>
        <v/>
      </c>
      <c r="J1349" s="275">
        <f>IF(ISBLANK('ENGAGEMENTS 2026'!C1349),"",IF(AND(OR($E1349="INFRUCTUEUX",$E1349="ANNULE"),$C1349="AOO-M"),'ENGAGEMENTS 2026'!P1349,IF($H1349="EN COURS DE PREENGAGEMENT",'ENGAGEMENTS 2026'!O1349,IF($H1349="PREENGAGE",IF($E1349="ATTRIBUE",'ENGAGEMENTS 2026'!AE1349,'ENGAGEMENTS 2026'!O1349),'ENGAGEMENTS 2026'!AE1349))))</f>
        <v/>
      </c>
      <c r="K1349" s="604">
        <f>IF(ISBLANK('ENGAGEMENTS 2026'!W1349),"",'ENGAGEMENTS 2026'!W1349)</f>
        <v/>
      </c>
      <c r="L1349" s="276">
        <f>IF($K1349="","",TODAY()-$K1349)</f>
        <v/>
      </c>
      <c r="M1349">
        <f>IF($A1349="","",IF($H1349="ENGAGE","Engagé",IF(AND($H1349="NON ENGAGE",OR($I1349="INFRUCTUEUX",$I1349="ANNULE")),"Clôturé sans suite","En cours")))</f>
        <v/>
      </c>
      <c r="N1349">
        <f>IF(ISBLANK('ENGAGEMENTS 2026'!C1349),"",'ENGAGEMENTS 2026'!L1349)</f>
        <v/>
      </c>
      <c r="O1349">
        <f>IF(ISBLANK('ENGAGEMENTS 2026'!C1349),"",'ENGAGEMENTS 2026'!M1349)</f>
        <v/>
      </c>
      <c r="P1349">
        <f>IF(ISBLANK('ENGAGEMENTS 2026'!C1349),"",'ENGAGEMENTS 2026'!K1349)</f>
        <v/>
      </c>
      <c r="Q1349">
        <f>IF($A1349="","",IF(OR($E1349="INFRUCTUEUX",$E1349="ANNULE"),$A1349&amp;"|"&amp;(COUNTIFS($A$2:$A1349,$A1349,$E$2:$E1349,"INFRUCTUEUX")+COUNTIFS($A$2:$A1349,$A1349,$E$2:$E1349,"ANNULE")),""))</f>
        <v/>
      </c>
    </row>
    <row r="1350">
      <c r="A1350">
        <f>IF(ISBLANK('ENGAGEMENTS 2026'!C1350),"",IF('ENGAGEMENTS 2026'!C1350="DTSI","DCT",'ENGAGEMENTS 2026'!C1350))</f>
        <v/>
      </c>
      <c r="B1350">
        <f>IF(ISBLANK('ENGAGEMENTS 2026'!C1350),"",'ENGAGEMENTS 2026'!D1350)</f>
        <v/>
      </c>
      <c r="C1350">
        <f>IF(ISBLANK('ENGAGEMENTS 2026'!C1350),"",'ENGAGEMENTS 2026'!E1350)</f>
        <v/>
      </c>
      <c r="D1350">
        <f>IF(ISBLANK('ENGAGEMENTS 2026'!C1350),"",'ENGAGEMENTS 2026'!G1350)</f>
        <v/>
      </c>
      <c r="E1350">
        <f>IF(ISBLANK('ENGAGEMENTS 2026'!C1350),"",'ENGAGEMENTS 2026'!I1350)</f>
        <v/>
      </c>
      <c r="F1350">
        <f>IF(ISBLANK('ENGAGEMENTS 2026'!C1350),"",'ENGAGEMENTS 2026'!J1350)</f>
        <v/>
      </c>
      <c r="G1350">
        <f>IF(ISBLANK('ENGAGEMENTS 2026'!C1350),"",'ENGAGEMENTS 2026'!M1350)</f>
        <v/>
      </c>
      <c r="H1350">
        <f>IF(ISBLANK('ENGAGEMENTS 2026'!C1350),"",'ENGAGEMENTS 2026'!AF1350)</f>
        <v/>
      </c>
      <c r="I1350">
        <f>IF(ISBLANK('ENGAGEMENTS 2026'!C1350),"",'ENGAGEMENTS 2026'!H1350)</f>
        <v/>
      </c>
      <c r="J1350" s="275">
        <f>IF(ISBLANK('ENGAGEMENTS 2026'!C1350),"",IF(AND(OR($E1350="INFRUCTUEUX",$E1350="ANNULE"),$C1350="AOO-M"),'ENGAGEMENTS 2026'!P1350,IF($H1350="EN COURS DE PREENGAGEMENT",'ENGAGEMENTS 2026'!O1350,IF($H1350="PREENGAGE",IF($E1350="ATTRIBUE",'ENGAGEMENTS 2026'!AE1350,'ENGAGEMENTS 2026'!O1350),'ENGAGEMENTS 2026'!AE1350))))</f>
        <v/>
      </c>
      <c r="K1350" s="604">
        <f>IF(ISBLANK('ENGAGEMENTS 2026'!W1350),"",'ENGAGEMENTS 2026'!W1350)</f>
        <v/>
      </c>
      <c r="L1350" s="276">
        <f>IF($K1350="","",TODAY()-$K1350)</f>
        <v/>
      </c>
      <c r="M1350">
        <f>IF($A1350="","",IF($H1350="ENGAGE","Engagé",IF(AND($H1350="NON ENGAGE",OR($I1350="INFRUCTUEUX",$I1350="ANNULE")),"Clôturé sans suite","En cours")))</f>
        <v/>
      </c>
      <c r="N1350">
        <f>IF(ISBLANK('ENGAGEMENTS 2026'!C1350),"",'ENGAGEMENTS 2026'!L1350)</f>
        <v/>
      </c>
      <c r="O1350">
        <f>IF(ISBLANK('ENGAGEMENTS 2026'!C1350),"",'ENGAGEMENTS 2026'!M1350)</f>
        <v/>
      </c>
      <c r="P1350">
        <f>IF(ISBLANK('ENGAGEMENTS 2026'!C1350),"",'ENGAGEMENTS 2026'!K1350)</f>
        <v/>
      </c>
      <c r="Q1350">
        <f>IF($A1350="","",IF(OR($E1350="INFRUCTUEUX",$E1350="ANNULE"),$A1350&amp;"|"&amp;(COUNTIFS($A$2:$A1350,$A1350,$E$2:$E1350,"INFRUCTUEUX")+COUNTIFS($A$2:$A1350,$A1350,$E$2:$E1350,"ANNULE")),""))</f>
        <v/>
      </c>
    </row>
    <row r="1351">
      <c r="A1351">
        <f>IF(ISBLANK('ENGAGEMENTS 2026'!C1351),"",IF('ENGAGEMENTS 2026'!C1351="DTSI","DCT",'ENGAGEMENTS 2026'!C1351))</f>
        <v/>
      </c>
      <c r="B1351">
        <f>IF(ISBLANK('ENGAGEMENTS 2026'!C1351),"",'ENGAGEMENTS 2026'!D1351)</f>
        <v/>
      </c>
      <c r="C1351">
        <f>IF(ISBLANK('ENGAGEMENTS 2026'!C1351),"",'ENGAGEMENTS 2026'!E1351)</f>
        <v/>
      </c>
      <c r="D1351">
        <f>IF(ISBLANK('ENGAGEMENTS 2026'!C1351),"",'ENGAGEMENTS 2026'!G1351)</f>
        <v/>
      </c>
      <c r="E1351">
        <f>IF(ISBLANK('ENGAGEMENTS 2026'!C1351),"",'ENGAGEMENTS 2026'!I1351)</f>
        <v/>
      </c>
      <c r="F1351">
        <f>IF(ISBLANK('ENGAGEMENTS 2026'!C1351),"",'ENGAGEMENTS 2026'!J1351)</f>
        <v/>
      </c>
      <c r="G1351">
        <f>IF(ISBLANK('ENGAGEMENTS 2026'!C1351),"",'ENGAGEMENTS 2026'!M1351)</f>
        <v/>
      </c>
      <c r="H1351">
        <f>IF(ISBLANK('ENGAGEMENTS 2026'!C1351),"",'ENGAGEMENTS 2026'!AF1351)</f>
        <v/>
      </c>
      <c r="I1351">
        <f>IF(ISBLANK('ENGAGEMENTS 2026'!C1351),"",'ENGAGEMENTS 2026'!H1351)</f>
        <v/>
      </c>
      <c r="J1351" s="275">
        <f>IF(ISBLANK('ENGAGEMENTS 2026'!C1351),"",IF(AND(OR($E1351="INFRUCTUEUX",$E1351="ANNULE"),$C1351="AOO-M"),'ENGAGEMENTS 2026'!P1351,IF($H1351="EN COURS DE PREENGAGEMENT",'ENGAGEMENTS 2026'!O1351,IF($H1351="PREENGAGE",IF($E1351="ATTRIBUE",'ENGAGEMENTS 2026'!AE1351,'ENGAGEMENTS 2026'!O1351),'ENGAGEMENTS 2026'!AE1351))))</f>
        <v/>
      </c>
      <c r="K1351" s="604">
        <f>IF(ISBLANK('ENGAGEMENTS 2026'!W1351),"",'ENGAGEMENTS 2026'!W1351)</f>
        <v/>
      </c>
      <c r="L1351" s="276">
        <f>IF($K1351="","",TODAY()-$K1351)</f>
        <v/>
      </c>
      <c r="M1351">
        <f>IF($A1351="","",IF($H1351="ENGAGE","Engagé",IF(AND($H1351="NON ENGAGE",OR($I1351="INFRUCTUEUX",$I1351="ANNULE")),"Clôturé sans suite","En cours")))</f>
        <v/>
      </c>
      <c r="N1351">
        <f>IF(ISBLANK('ENGAGEMENTS 2026'!C1351),"",'ENGAGEMENTS 2026'!L1351)</f>
        <v/>
      </c>
      <c r="O1351">
        <f>IF(ISBLANK('ENGAGEMENTS 2026'!C1351),"",'ENGAGEMENTS 2026'!M1351)</f>
        <v/>
      </c>
      <c r="P1351">
        <f>IF(ISBLANK('ENGAGEMENTS 2026'!C1351),"",'ENGAGEMENTS 2026'!K1351)</f>
        <v/>
      </c>
      <c r="Q1351">
        <f>IF($A1351="","",IF(OR($E1351="INFRUCTUEUX",$E1351="ANNULE"),$A1351&amp;"|"&amp;(COUNTIFS($A$2:$A1351,$A1351,$E$2:$E1351,"INFRUCTUEUX")+COUNTIFS($A$2:$A1351,$A1351,$E$2:$E1351,"ANNULE")),""))</f>
        <v/>
      </c>
    </row>
    <row r="1352">
      <c r="A1352">
        <f>IF(ISBLANK('ENGAGEMENTS 2026'!C1352),"",IF('ENGAGEMENTS 2026'!C1352="DTSI","DCT",'ENGAGEMENTS 2026'!C1352))</f>
        <v/>
      </c>
      <c r="B1352">
        <f>IF(ISBLANK('ENGAGEMENTS 2026'!C1352),"",'ENGAGEMENTS 2026'!D1352)</f>
        <v/>
      </c>
      <c r="C1352">
        <f>IF(ISBLANK('ENGAGEMENTS 2026'!C1352),"",'ENGAGEMENTS 2026'!E1352)</f>
        <v/>
      </c>
      <c r="D1352">
        <f>IF(ISBLANK('ENGAGEMENTS 2026'!C1352),"",'ENGAGEMENTS 2026'!G1352)</f>
        <v/>
      </c>
      <c r="E1352">
        <f>IF(ISBLANK('ENGAGEMENTS 2026'!C1352),"",'ENGAGEMENTS 2026'!I1352)</f>
        <v/>
      </c>
      <c r="F1352">
        <f>IF(ISBLANK('ENGAGEMENTS 2026'!C1352),"",'ENGAGEMENTS 2026'!J1352)</f>
        <v/>
      </c>
      <c r="G1352">
        <f>IF(ISBLANK('ENGAGEMENTS 2026'!C1352),"",'ENGAGEMENTS 2026'!M1352)</f>
        <v/>
      </c>
      <c r="H1352">
        <f>IF(ISBLANK('ENGAGEMENTS 2026'!C1352),"",'ENGAGEMENTS 2026'!AF1352)</f>
        <v/>
      </c>
      <c r="I1352">
        <f>IF(ISBLANK('ENGAGEMENTS 2026'!C1352),"",'ENGAGEMENTS 2026'!H1352)</f>
        <v/>
      </c>
      <c r="J1352" s="275">
        <f>IF(ISBLANK('ENGAGEMENTS 2026'!C1352),"",IF(AND(OR($E1352="INFRUCTUEUX",$E1352="ANNULE"),$C1352="AOO-M"),'ENGAGEMENTS 2026'!P1352,IF($H1352="EN COURS DE PREENGAGEMENT",'ENGAGEMENTS 2026'!O1352,IF($H1352="PREENGAGE",IF($E1352="ATTRIBUE",'ENGAGEMENTS 2026'!AE1352,'ENGAGEMENTS 2026'!O1352),'ENGAGEMENTS 2026'!AE1352))))</f>
        <v/>
      </c>
      <c r="K1352" s="604">
        <f>IF(ISBLANK('ENGAGEMENTS 2026'!W1352),"",'ENGAGEMENTS 2026'!W1352)</f>
        <v/>
      </c>
      <c r="L1352" s="276">
        <f>IF($K1352="","",TODAY()-$K1352)</f>
        <v/>
      </c>
      <c r="M1352">
        <f>IF($A1352="","",IF($H1352="ENGAGE","Engagé",IF(AND($H1352="NON ENGAGE",OR($I1352="INFRUCTUEUX",$I1352="ANNULE")),"Clôturé sans suite","En cours")))</f>
        <v/>
      </c>
      <c r="N1352">
        <f>IF(ISBLANK('ENGAGEMENTS 2026'!C1352),"",'ENGAGEMENTS 2026'!L1352)</f>
        <v/>
      </c>
      <c r="O1352">
        <f>IF(ISBLANK('ENGAGEMENTS 2026'!C1352),"",'ENGAGEMENTS 2026'!M1352)</f>
        <v/>
      </c>
      <c r="P1352">
        <f>IF(ISBLANK('ENGAGEMENTS 2026'!C1352),"",'ENGAGEMENTS 2026'!K1352)</f>
        <v/>
      </c>
      <c r="Q1352">
        <f>IF($A1352="","",IF(OR($E1352="INFRUCTUEUX",$E1352="ANNULE"),$A1352&amp;"|"&amp;(COUNTIFS($A$2:$A1352,$A1352,$E$2:$E1352,"INFRUCTUEUX")+COUNTIFS($A$2:$A1352,$A1352,$E$2:$E1352,"ANNULE")),""))</f>
        <v/>
      </c>
    </row>
    <row r="1353">
      <c r="A1353">
        <f>IF(ISBLANK('ENGAGEMENTS 2026'!C1353),"",IF('ENGAGEMENTS 2026'!C1353="DTSI","DCT",'ENGAGEMENTS 2026'!C1353))</f>
        <v/>
      </c>
      <c r="B1353">
        <f>IF(ISBLANK('ENGAGEMENTS 2026'!C1353),"",'ENGAGEMENTS 2026'!D1353)</f>
        <v/>
      </c>
      <c r="C1353">
        <f>IF(ISBLANK('ENGAGEMENTS 2026'!C1353),"",'ENGAGEMENTS 2026'!E1353)</f>
        <v/>
      </c>
      <c r="D1353">
        <f>IF(ISBLANK('ENGAGEMENTS 2026'!C1353),"",'ENGAGEMENTS 2026'!G1353)</f>
        <v/>
      </c>
      <c r="E1353">
        <f>IF(ISBLANK('ENGAGEMENTS 2026'!C1353),"",'ENGAGEMENTS 2026'!I1353)</f>
        <v/>
      </c>
      <c r="F1353">
        <f>IF(ISBLANK('ENGAGEMENTS 2026'!C1353),"",'ENGAGEMENTS 2026'!J1353)</f>
        <v/>
      </c>
      <c r="G1353">
        <f>IF(ISBLANK('ENGAGEMENTS 2026'!C1353),"",'ENGAGEMENTS 2026'!M1353)</f>
        <v/>
      </c>
      <c r="H1353">
        <f>IF(ISBLANK('ENGAGEMENTS 2026'!C1353),"",'ENGAGEMENTS 2026'!AF1353)</f>
        <v/>
      </c>
      <c r="I1353">
        <f>IF(ISBLANK('ENGAGEMENTS 2026'!C1353),"",'ENGAGEMENTS 2026'!H1353)</f>
        <v/>
      </c>
      <c r="J1353" s="275">
        <f>IF(ISBLANK('ENGAGEMENTS 2026'!C1353),"",IF(AND(OR($E1353="INFRUCTUEUX",$E1353="ANNULE"),$C1353="AOO-M"),'ENGAGEMENTS 2026'!P1353,IF($H1353="EN COURS DE PREENGAGEMENT",'ENGAGEMENTS 2026'!O1353,IF($H1353="PREENGAGE",IF($E1353="ATTRIBUE",'ENGAGEMENTS 2026'!AE1353,'ENGAGEMENTS 2026'!O1353),'ENGAGEMENTS 2026'!AE1353))))</f>
        <v/>
      </c>
      <c r="K1353" s="604">
        <f>IF(ISBLANK('ENGAGEMENTS 2026'!W1353),"",'ENGAGEMENTS 2026'!W1353)</f>
        <v/>
      </c>
      <c r="L1353" s="276">
        <f>IF($K1353="","",TODAY()-$K1353)</f>
        <v/>
      </c>
      <c r="M1353">
        <f>IF($A1353="","",IF($H1353="ENGAGE","Engagé",IF(AND($H1353="NON ENGAGE",OR($I1353="INFRUCTUEUX",$I1353="ANNULE")),"Clôturé sans suite","En cours")))</f>
        <v/>
      </c>
      <c r="N1353">
        <f>IF(ISBLANK('ENGAGEMENTS 2026'!C1353),"",'ENGAGEMENTS 2026'!L1353)</f>
        <v/>
      </c>
      <c r="O1353">
        <f>IF(ISBLANK('ENGAGEMENTS 2026'!C1353),"",'ENGAGEMENTS 2026'!M1353)</f>
        <v/>
      </c>
      <c r="P1353">
        <f>IF(ISBLANK('ENGAGEMENTS 2026'!C1353),"",'ENGAGEMENTS 2026'!K1353)</f>
        <v/>
      </c>
      <c r="Q1353">
        <f>IF($A1353="","",IF(OR($E1353="INFRUCTUEUX",$E1353="ANNULE"),$A1353&amp;"|"&amp;(COUNTIFS($A$2:$A1353,$A1353,$E$2:$E1353,"INFRUCTUEUX")+COUNTIFS($A$2:$A1353,$A1353,$E$2:$E1353,"ANNULE")),""))</f>
        <v/>
      </c>
    </row>
    <row r="1354">
      <c r="A1354">
        <f>IF(ISBLANK('ENGAGEMENTS 2026'!C1354),"",IF('ENGAGEMENTS 2026'!C1354="DTSI","DCT",'ENGAGEMENTS 2026'!C1354))</f>
        <v/>
      </c>
      <c r="B1354">
        <f>IF(ISBLANK('ENGAGEMENTS 2026'!C1354),"",'ENGAGEMENTS 2026'!D1354)</f>
        <v/>
      </c>
      <c r="C1354">
        <f>IF(ISBLANK('ENGAGEMENTS 2026'!C1354),"",'ENGAGEMENTS 2026'!E1354)</f>
        <v/>
      </c>
      <c r="D1354">
        <f>IF(ISBLANK('ENGAGEMENTS 2026'!C1354),"",'ENGAGEMENTS 2026'!G1354)</f>
        <v/>
      </c>
      <c r="E1354">
        <f>IF(ISBLANK('ENGAGEMENTS 2026'!C1354),"",'ENGAGEMENTS 2026'!I1354)</f>
        <v/>
      </c>
      <c r="F1354">
        <f>IF(ISBLANK('ENGAGEMENTS 2026'!C1354),"",'ENGAGEMENTS 2026'!J1354)</f>
        <v/>
      </c>
      <c r="G1354">
        <f>IF(ISBLANK('ENGAGEMENTS 2026'!C1354),"",'ENGAGEMENTS 2026'!M1354)</f>
        <v/>
      </c>
      <c r="H1354">
        <f>IF(ISBLANK('ENGAGEMENTS 2026'!C1354),"",'ENGAGEMENTS 2026'!AF1354)</f>
        <v/>
      </c>
      <c r="I1354">
        <f>IF(ISBLANK('ENGAGEMENTS 2026'!C1354),"",'ENGAGEMENTS 2026'!H1354)</f>
        <v/>
      </c>
      <c r="J1354" s="275">
        <f>IF(ISBLANK('ENGAGEMENTS 2026'!C1354),"",IF(AND(OR($E1354="INFRUCTUEUX",$E1354="ANNULE"),$C1354="AOO-M"),'ENGAGEMENTS 2026'!P1354,IF($H1354="EN COURS DE PREENGAGEMENT",'ENGAGEMENTS 2026'!O1354,IF($H1354="PREENGAGE",IF($E1354="ATTRIBUE",'ENGAGEMENTS 2026'!AE1354,'ENGAGEMENTS 2026'!O1354),'ENGAGEMENTS 2026'!AE1354))))</f>
        <v/>
      </c>
      <c r="K1354" s="604">
        <f>IF(ISBLANK('ENGAGEMENTS 2026'!W1354),"",'ENGAGEMENTS 2026'!W1354)</f>
        <v/>
      </c>
      <c r="L1354" s="276">
        <f>IF($K1354="","",TODAY()-$K1354)</f>
        <v/>
      </c>
      <c r="M1354">
        <f>IF($A1354="","",IF($H1354="ENGAGE","Engagé",IF(AND($H1354="NON ENGAGE",OR($I1354="INFRUCTUEUX",$I1354="ANNULE")),"Clôturé sans suite","En cours")))</f>
        <v/>
      </c>
      <c r="N1354">
        <f>IF(ISBLANK('ENGAGEMENTS 2026'!C1354),"",'ENGAGEMENTS 2026'!L1354)</f>
        <v/>
      </c>
      <c r="O1354">
        <f>IF(ISBLANK('ENGAGEMENTS 2026'!C1354),"",'ENGAGEMENTS 2026'!M1354)</f>
        <v/>
      </c>
      <c r="P1354">
        <f>IF(ISBLANK('ENGAGEMENTS 2026'!C1354),"",'ENGAGEMENTS 2026'!K1354)</f>
        <v/>
      </c>
      <c r="Q1354">
        <f>IF($A1354="","",IF(OR($E1354="INFRUCTUEUX",$E1354="ANNULE"),$A1354&amp;"|"&amp;(COUNTIFS($A$2:$A1354,$A1354,$E$2:$E1354,"INFRUCTUEUX")+COUNTIFS($A$2:$A1354,$A1354,$E$2:$E1354,"ANNULE")),""))</f>
        <v/>
      </c>
    </row>
    <row r="1355">
      <c r="A1355">
        <f>IF(ISBLANK('ENGAGEMENTS 2026'!C1355),"",IF('ENGAGEMENTS 2026'!C1355="DTSI","DCT",'ENGAGEMENTS 2026'!C1355))</f>
        <v/>
      </c>
      <c r="B1355">
        <f>IF(ISBLANK('ENGAGEMENTS 2026'!C1355),"",'ENGAGEMENTS 2026'!D1355)</f>
        <v/>
      </c>
      <c r="C1355">
        <f>IF(ISBLANK('ENGAGEMENTS 2026'!C1355),"",'ENGAGEMENTS 2026'!E1355)</f>
        <v/>
      </c>
      <c r="D1355">
        <f>IF(ISBLANK('ENGAGEMENTS 2026'!C1355),"",'ENGAGEMENTS 2026'!G1355)</f>
        <v/>
      </c>
      <c r="E1355">
        <f>IF(ISBLANK('ENGAGEMENTS 2026'!C1355),"",'ENGAGEMENTS 2026'!I1355)</f>
        <v/>
      </c>
      <c r="F1355">
        <f>IF(ISBLANK('ENGAGEMENTS 2026'!C1355),"",'ENGAGEMENTS 2026'!J1355)</f>
        <v/>
      </c>
      <c r="G1355">
        <f>IF(ISBLANK('ENGAGEMENTS 2026'!C1355),"",'ENGAGEMENTS 2026'!M1355)</f>
        <v/>
      </c>
      <c r="H1355">
        <f>IF(ISBLANK('ENGAGEMENTS 2026'!C1355),"",'ENGAGEMENTS 2026'!AF1355)</f>
        <v/>
      </c>
      <c r="I1355">
        <f>IF(ISBLANK('ENGAGEMENTS 2026'!C1355),"",'ENGAGEMENTS 2026'!H1355)</f>
        <v/>
      </c>
      <c r="J1355" s="275">
        <f>IF(ISBLANK('ENGAGEMENTS 2026'!C1355),"",IF(AND(OR($E1355="INFRUCTUEUX",$E1355="ANNULE"),$C1355="AOO-M"),'ENGAGEMENTS 2026'!P1355,IF($H1355="EN COURS DE PREENGAGEMENT",'ENGAGEMENTS 2026'!O1355,IF($H1355="PREENGAGE",IF($E1355="ATTRIBUE",'ENGAGEMENTS 2026'!AE1355,'ENGAGEMENTS 2026'!O1355),'ENGAGEMENTS 2026'!AE1355))))</f>
        <v/>
      </c>
      <c r="K1355" s="604">
        <f>IF(ISBLANK('ENGAGEMENTS 2026'!W1355),"",'ENGAGEMENTS 2026'!W1355)</f>
        <v/>
      </c>
      <c r="L1355" s="276">
        <f>IF($K1355="","",TODAY()-$K1355)</f>
        <v/>
      </c>
      <c r="M1355">
        <f>IF($A1355="","",IF($H1355="ENGAGE","Engagé",IF(AND($H1355="NON ENGAGE",OR($I1355="INFRUCTUEUX",$I1355="ANNULE")),"Clôturé sans suite","En cours")))</f>
        <v/>
      </c>
      <c r="N1355">
        <f>IF(ISBLANK('ENGAGEMENTS 2026'!C1355),"",'ENGAGEMENTS 2026'!L1355)</f>
        <v/>
      </c>
      <c r="O1355">
        <f>IF(ISBLANK('ENGAGEMENTS 2026'!C1355),"",'ENGAGEMENTS 2026'!M1355)</f>
        <v/>
      </c>
      <c r="P1355">
        <f>IF(ISBLANK('ENGAGEMENTS 2026'!C1355),"",'ENGAGEMENTS 2026'!K1355)</f>
        <v/>
      </c>
      <c r="Q1355">
        <f>IF($A1355="","",IF(OR($E1355="INFRUCTUEUX",$E1355="ANNULE"),$A1355&amp;"|"&amp;(COUNTIFS($A$2:$A1355,$A1355,$E$2:$E1355,"INFRUCTUEUX")+COUNTIFS($A$2:$A1355,$A1355,$E$2:$E1355,"ANNULE")),""))</f>
        <v/>
      </c>
    </row>
    <row r="1356">
      <c r="A1356">
        <f>IF(ISBLANK('ENGAGEMENTS 2026'!C1356),"",IF('ENGAGEMENTS 2026'!C1356="DTSI","DCT",'ENGAGEMENTS 2026'!C1356))</f>
        <v/>
      </c>
      <c r="B1356">
        <f>IF(ISBLANK('ENGAGEMENTS 2026'!C1356),"",'ENGAGEMENTS 2026'!D1356)</f>
        <v/>
      </c>
      <c r="C1356">
        <f>IF(ISBLANK('ENGAGEMENTS 2026'!C1356),"",'ENGAGEMENTS 2026'!E1356)</f>
        <v/>
      </c>
      <c r="D1356">
        <f>IF(ISBLANK('ENGAGEMENTS 2026'!C1356),"",'ENGAGEMENTS 2026'!G1356)</f>
        <v/>
      </c>
      <c r="E1356">
        <f>IF(ISBLANK('ENGAGEMENTS 2026'!C1356),"",'ENGAGEMENTS 2026'!I1356)</f>
        <v/>
      </c>
      <c r="F1356">
        <f>IF(ISBLANK('ENGAGEMENTS 2026'!C1356),"",'ENGAGEMENTS 2026'!J1356)</f>
        <v/>
      </c>
      <c r="G1356">
        <f>IF(ISBLANK('ENGAGEMENTS 2026'!C1356),"",'ENGAGEMENTS 2026'!M1356)</f>
        <v/>
      </c>
      <c r="H1356">
        <f>IF(ISBLANK('ENGAGEMENTS 2026'!C1356),"",'ENGAGEMENTS 2026'!AF1356)</f>
        <v/>
      </c>
      <c r="I1356">
        <f>IF(ISBLANK('ENGAGEMENTS 2026'!C1356),"",'ENGAGEMENTS 2026'!H1356)</f>
        <v/>
      </c>
      <c r="J1356" s="275">
        <f>IF(ISBLANK('ENGAGEMENTS 2026'!C1356),"",IF(AND(OR($E1356="INFRUCTUEUX",$E1356="ANNULE"),$C1356="AOO-M"),'ENGAGEMENTS 2026'!P1356,IF($H1356="EN COURS DE PREENGAGEMENT",'ENGAGEMENTS 2026'!O1356,IF($H1356="PREENGAGE",IF($E1356="ATTRIBUE",'ENGAGEMENTS 2026'!AE1356,'ENGAGEMENTS 2026'!O1356),'ENGAGEMENTS 2026'!AE1356))))</f>
        <v/>
      </c>
      <c r="K1356" s="604">
        <f>IF(ISBLANK('ENGAGEMENTS 2026'!W1356),"",'ENGAGEMENTS 2026'!W1356)</f>
        <v/>
      </c>
      <c r="L1356" s="276">
        <f>IF($K1356="","",TODAY()-$K1356)</f>
        <v/>
      </c>
      <c r="M1356">
        <f>IF($A1356="","",IF($H1356="ENGAGE","Engagé",IF(AND($H1356="NON ENGAGE",OR($I1356="INFRUCTUEUX",$I1356="ANNULE")),"Clôturé sans suite","En cours")))</f>
        <v/>
      </c>
      <c r="N1356">
        <f>IF(ISBLANK('ENGAGEMENTS 2026'!C1356),"",'ENGAGEMENTS 2026'!L1356)</f>
        <v/>
      </c>
      <c r="O1356">
        <f>IF(ISBLANK('ENGAGEMENTS 2026'!C1356),"",'ENGAGEMENTS 2026'!M1356)</f>
        <v/>
      </c>
      <c r="P1356">
        <f>IF(ISBLANK('ENGAGEMENTS 2026'!C1356),"",'ENGAGEMENTS 2026'!K1356)</f>
        <v/>
      </c>
      <c r="Q1356">
        <f>IF($A1356="","",IF(OR($E1356="INFRUCTUEUX",$E1356="ANNULE"),$A1356&amp;"|"&amp;(COUNTIFS($A$2:$A1356,$A1356,$E$2:$E1356,"INFRUCTUEUX")+COUNTIFS($A$2:$A1356,$A1356,$E$2:$E1356,"ANNULE")),""))</f>
        <v/>
      </c>
    </row>
    <row r="1357">
      <c r="A1357">
        <f>IF(ISBLANK('ENGAGEMENTS 2026'!C1357),"",IF('ENGAGEMENTS 2026'!C1357="DTSI","DCT",'ENGAGEMENTS 2026'!C1357))</f>
        <v/>
      </c>
      <c r="B1357">
        <f>IF(ISBLANK('ENGAGEMENTS 2026'!C1357),"",'ENGAGEMENTS 2026'!D1357)</f>
        <v/>
      </c>
      <c r="C1357">
        <f>IF(ISBLANK('ENGAGEMENTS 2026'!C1357),"",'ENGAGEMENTS 2026'!E1357)</f>
        <v/>
      </c>
      <c r="D1357">
        <f>IF(ISBLANK('ENGAGEMENTS 2026'!C1357),"",'ENGAGEMENTS 2026'!G1357)</f>
        <v/>
      </c>
      <c r="E1357">
        <f>IF(ISBLANK('ENGAGEMENTS 2026'!C1357),"",'ENGAGEMENTS 2026'!I1357)</f>
        <v/>
      </c>
      <c r="F1357">
        <f>IF(ISBLANK('ENGAGEMENTS 2026'!C1357),"",'ENGAGEMENTS 2026'!J1357)</f>
        <v/>
      </c>
      <c r="G1357">
        <f>IF(ISBLANK('ENGAGEMENTS 2026'!C1357),"",'ENGAGEMENTS 2026'!M1357)</f>
        <v/>
      </c>
      <c r="H1357">
        <f>IF(ISBLANK('ENGAGEMENTS 2026'!C1357),"",'ENGAGEMENTS 2026'!AF1357)</f>
        <v/>
      </c>
      <c r="I1357">
        <f>IF(ISBLANK('ENGAGEMENTS 2026'!C1357),"",'ENGAGEMENTS 2026'!H1357)</f>
        <v/>
      </c>
      <c r="J1357" s="275">
        <f>IF(ISBLANK('ENGAGEMENTS 2026'!C1357),"",IF(AND(OR($E1357="INFRUCTUEUX",$E1357="ANNULE"),$C1357="AOO-M"),'ENGAGEMENTS 2026'!P1357,IF($H1357="EN COURS DE PREENGAGEMENT",'ENGAGEMENTS 2026'!O1357,IF($H1357="PREENGAGE",IF($E1357="ATTRIBUE",'ENGAGEMENTS 2026'!AE1357,'ENGAGEMENTS 2026'!O1357),'ENGAGEMENTS 2026'!AE1357))))</f>
        <v/>
      </c>
      <c r="K1357" s="604">
        <f>IF(ISBLANK('ENGAGEMENTS 2026'!W1357),"",'ENGAGEMENTS 2026'!W1357)</f>
        <v/>
      </c>
      <c r="L1357" s="276">
        <f>IF($K1357="","",TODAY()-$K1357)</f>
        <v/>
      </c>
      <c r="M1357">
        <f>IF($A1357="","",IF($H1357="ENGAGE","Engagé",IF(AND($H1357="NON ENGAGE",OR($I1357="INFRUCTUEUX",$I1357="ANNULE")),"Clôturé sans suite","En cours")))</f>
        <v/>
      </c>
      <c r="N1357">
        <f>IF(ISBLANK('ENGAGEMENTS 2026'!C1357),"",'ENGAGEMENTS 2026'!L1357)</f>
        <v/>
      </c>
      <c r="O1357">
        <f>IF(ISBLANK('ENGAGEMENTS 2026'!C1357),"",'ENGAGEMENTS 2026'!M1357)</f>
        <v/>
      </c>
      <c r="P1357">
        <f>IF(ISBLANK('ENGAGEMENTS 2026'!C1357),"",'ENGAGEMENTS 2026'!K1357)</f>
        <v/>
      </c>
      <c r="Q1357">
        <f>IF($A1357="","",IF(OR($E1357="INFRUCTUEUX",$E1357="ANNULE"),$A1357&amp;"|"&amp;(COUNTIFS($A$2:$A1357,$A1357,$E$2:$E1357,"INFRUCTUEUX")+COUNTIFS($A$2:$A1357,$A1357,$E$2:$E1357,"ANNULE")),""))</f>
        <v/>
      </c>
    </row>
    <row r="1358">
      <c r="A1358">
        <f>IF(ISBLANK('ENGAGEMENTS 2026'!C1358),"",IF('ENGAGEMENTS 2026'!C1358="DTSI","DCT",'ENGAGEMENTS 2026'!C1358))</f>
        <v/>
      </c>
      <c r="B1358">
        <f>IF(ISBLANK('ENGAGEMENTS 2026'!C1358),"",'ENGAGEMENTS 2026'!D1358)</f>
        <v/>
      </c>
      <c r="C1358">
        <f>IF(ISBLANK('ENGAGEMENTS 2026'!C1358),"",'ENGAGEMENTS 2026'!E1358)</f>
        <v/>
      </c>
      <c r="D1358">
        <f>IF(ISBLANK('ENGAGEMENTS 2026'!C1358),"",'ENGAGEMENTS 2026'!G1358)</f>
        <v/>
      </c>
      <c r="E1358">
        <f>IF(ISBLANK('ENGAGEMENTS 2026'!C1358),"",'ENGAGEMENTS 2026'!I1358)</f>
        <v/>
      </c>
      <c r="F1358">
        <f>IF(ISBLANK('ENGAGEMENTS 2026'!C1358),"",'ENGAGEMENTS 2026'!J1358)</f>
        <v/>
      </c>
      <c r="G1358">
        <f>IF(ISBLANK('ENGAGEMENTS 2026'!C1358),"",'ENGAGEMENTS 2026'!M1358)</f>
        <v/>
      </c>
      <c r="H1358">
        <f>IF(ISBLANK('ENGAGEMENTS 2026'!C1358),"",'ENGAGEMENTS 2026'!AF1358)</f>
        <v/>
      </c>
      <c r="I1358">
        <f>IF(ISBLANK('ENGAGEMENTS 2026'!C1358),"",'ENGAGEMENTS 2026'!H1358)</f>
        <v/>
      </c>
      <c r="J1358" s="275">
        <f>IF(ISBLANK('ENGAGEMENTS 2026'!C1358),"",IF(AND(OR($E1358="INFRUCTUEUX",$E1358="ANNULE"),$C1358="AOO-M"),'ENGAGEMENTS 2026'!P1358,IF($H1358="EN COURS DE PREENGAGEMENT",'ENGAGEMENTS 2026'!O1358,IF($H1358="PREENGAGE",IF($E1358="ATTRIBUE",'ENGAGEMENTS 2026'!AE1358,'ENGAGEMENTS 2026'!O1358),'ENGAGEMENTS 2026'!AE1358))))</f>
        <v/>
      </c>
      <c r="K1358" s="604">
        <f>IF(ISBLANK('ENGAGEMENTS 2026'!W1358),"",'ENGAGEMENTS 2026'!W1358)</f>
        <v/>
      </c>
      <c r="L1358" s="276">
        <f>IF($K1358="","",TODAY()-$K1358)</f>
        <v/>
      </c>
      <c r="M1358">
        <f>IF($A1358="","",IF($H1358="ENGAGE","Engagé",IF(AND($H1358="NON ENGAGE",OR($I1358="INFRUCTUEUX",$I1358="ANNULE")),"Clôturé sans suite","En cours")))</f>
        <v/>
      </c>
      <c r="N1358">
        <f>IF(ISBLANK('ENGAGEMENTS 2026'!C1358),"",'ENGAGEMENTS 2026'!L1358)</f>
        <v/>
      </c>
      <c r="O1358">
        <f>IF(ISBLANK('ENGAGEMENTS 2026'!C1358),"",'ENGAGEMENTS 2026'!M1358)</f>
        <v/>
      </c>
      <c r="P1358">
        <f>IF(ISBLANK('ENGAGEMENTS 2026'!C1358),"",'ENGAGEMENTS 2026'!K1358)</f>
        <v/>
      </c>
      <c r="Q1358">
        <f>IF($A1358="","",IF(OR($E1358="INFRUCTUEUX",$E1358="ANNULE"),$A1358&amp;"|"&amp;(COUNTIFS($A$2:$A1358,$A1358,$E$2:$E1358,"INFRUCTUEUX")+COUNTIFS($A$2:$A1358,$A1358,$E$2:$E1358,"ANNULE")),""))</f>
        <v/>
      </c>
    </row>
    <row r="1359">
      <c r="A1359">
        <f>IF(ISBLANK('ENGAGEMENTS 2026'!C1359),"",IF('ENGAGEMENTS 2026'!C1359="DTSI","DCT",'ENGAGEMENTS 2026'!C1359))</f>
        <v/>
      </c>
      <c r="B1359">
        <f>IF(ISBLANK('ENGAGEMENTS 2026'!C1359),"",'ENGAGEMENTS 2026'!D1359)</f>
        <v/>
      </c>
      <c r="C1359">
        <f>IF(ISBLANK('ENGAGEMENTS 2026'!C1359),"",'ENGAGEMENTS 2026'!E1359)</f>
        <v/>
      </c>
      <c r="D1359">
        <f>IF(ISBLANK('ENGAGEMENTS 2026'!C1359),"",'ENGAGEMENTS 2026'!G1359)</f>
        <v/>
      </c>
      <c r="E1359">
        <f>IF(ISBLANK('ENGAGEMENTS 2026'!C1359),"",'ENGAGEMENTS 2026'!I1359)</f>
        <v/>
      </c>
      <c r="F1359">
        <f>IF(ISBLANK('ENGAGEMENTS 2026'!C1359),"",'ENGAGEMENTS 2026'!J1359)</f>
        <v/>
      </c>
      <c r="G1359">
        <f>IF(ISBLANK('ENGAGEMENTS 2026'!C1359),"",'ENGAGEMENTS 2026'!M1359)</f>
        <v/>
      </c>
      <c r="H1359">
        <f>IF(ISBLANK('ENGAGEMENTS 2026'!C1359),"",'ENGAGEMENTS 2026'!AF1359)</f>
        <v/>
      </c>
      <c r="I1359">
        <f>IF(ISBLANK('ENGAGEMENTS 2026'!C1359),"",'ENGAGEMENTS 2026'!H1359)</f>
        <v/>
      </c>
      <c r="J1359" s="275">
        <f>IF(ISBLANK('ENGAGEMENTS 2026'!C1359),"",IF(AND(OR($E1359="INFRUCTUEUX",$E1359="ANNULE"),$C1359="AOO-M"),'ENGAGEMENTS 2026'!P1359,IF($H1359="EN COURS DE PREENGAGEMENT",'ENGAGEMENTS 2026'!O1359,IF($H1359="PREENGAGE",IF($E1359="ATTRIBUE",'ENGAGEMENTS 2026'!AE1359,'ENGAGEMENTS 2026'!O1359),'ENGAGEMENTS 2026'!AE1359))))</f>
        <v/>
      </c>
      <c r="K1359" s="604">
        <f>IF(ISBLANK('ENGAGEMENTS 2026'!W1359),"",'ENGAGEMENTS 2026'!W1359)</f>
        <v/>
      </c>
      <c r="L1359" s="276">
        <f>IF($K1359="","",TODAY()-$K1359)</f>
        <v/>
      </c>
      <c r="M1359">
        <f>IF($A1359="","",IF($H1359="ENGAGE","Engagé",IF(AND($H1359="NON ENGAGE",OR($I1359="INFRUCTUEUX",$I1359="ANNULE")),"Clôturé sans suite","En cours")))</f>
        <v/>
      </c>
      <c r="N1359">
        <f>IF(ISBLANK('ENGAGEMENTS 2026'!C1359),"",'ENGAGEMENTS 2026'!L1359)</f>
        <v/>
      </c>
      <c r="O1359">
        <f>IF(ISBLANK('ENGAGEMENTS 2026'!C1359),"",'ENGAGEMENTS 2026'!M1359)</f>
        <v/>
      </c>
      <c r="P1359">
        <f>IF(ISBLANK('ENGAGEMENTS 2026'!C1359),"",'ENGAGEMENTS 2026'!K1359)</f>
        <v/>
      </c>
      <c r="Q1359">
        <f>IF($A1359="","",IF(OR($E1359="INFRUCTUEUX",$E1359="ANNULE"),$A1359&amp;"|"&amp;(COUNTIFS($A$2:$A1359,$A1359,$E$2:$E1359,"INFRUCTUEUX")+COUNTIFS($A$2:$A1359,$A1359,$E$2:$E1359,"ANNULE")),""))</f>
        <v/>
      </c>
    </row>
    <row r="1360">
      <c r="A1360">
        <f>IF(ISBLANK('ENGAGEMENTS 2026'!C1360),"",IF('ENGAGEMENTS 2026'!C1360="DTSI","DCT",'ENGAGEMENTS 2026'!C1360))</f>
        <v/>
      </c>
      <c r="B1360">
        <f>IF(ISBLANK('ENGAGEMENTS 2026'!C1360),"",'ENGAGEMENTS 2026'!D1360)</f>
        <v/>
      </c>
      <c r="C1360">
        <f>IF(ISBLANK('ENGAGEMENTS 2026'!C1360),"",'ENGAGEMENTS 2026'!E1360)</f>
        <v/>
      </c>
      <c r="D1360">
        <f>IF(ISBLANK('ENGAGEMENTS 2026'!C1360),"",'ENGAGEMENTS 2026'!G1360)</f>
        <v/>
      </c>
      <c r="E1360">
        <f>IF(ISBLANK('ENGAGEMENTS 2026'!C1360),"",'ENGAGEMENTS 2026'!I1360)</f>
        <v/>
      </c>
      <c r="F1360">
        <f>IF(ISBLANK('ENGAGEMENTS 2026'!C1360),"",'ENGAGEMENTS 2026'!J1360)</f>
        <v/>
      </c>
      <c r="G1360">
        <f>IF(ISBLANK('ENGAGEMENTS 2026'!C1360),"",'ENGAGEMENTS 2026'!M1360)</f>
        <v/>
      </c>
      <c r="H1360">
        <f>IF(ISBLANK('ENGAGEMENTS 2026'!C1360),"",'ENGAGEMENTS 2026'!AF1360)</f>
        <v/>
      </c>
      <c r="I1360">
        <f>IF(ISBLANK('ENGAGEMENTS 2026'!C1360),"",'ENGAGEMENTS 2026'!H1360)</f>
        <v/>
      </c>
      <c r="J1360" s="275">
        <f>IF(ISBLANK('ENGAGEMENTS 2026'!C1360),"",IF(AND(OR($E1360="INFRUCTUEUX",$E1360="ANNULE"),$C1360="AOO-M"),'ENGAGEMENTS 2026'!P1360,IF($H1360="EN COURS DE PREENGAGEMENT",'ENGAGEMENTS 2026'!O1360,IF($H1360="PREENGAGE",IF($E1360="ATTRIBUE",'ENGAGEMENTS 2026'!AE1360,'ENGAGEMENTS 2026'!O1360),'ENGAGEMENTS 2026'!AE1360))))</f>
        <v/>
      </c>
      <c r="K1360" s="604">
        <f>IF(ISBLANK('ENGAGEMENTS 2026'!W1360),"",'ENGAGEMENTS 2026'!W1360)</f>
        <v/>
      </c>
      <c r="L1360" s="276">
        <f>IF($K1360="","",TODAY()-$K1360)</f>
        <v/>
      </c>
      <c r="M1360">
        <f>IF($A1360="","",IF($H1360="ENGAGE","Engagé",IF(AND($H1360="NON ENGAGE",OR($I1360="INFRUCTUEUX",$I1360="ANNULE")),"Clôturé sans suite","En cours")))</f>
        <v/>
      </c>
      <c r="N1360">
        <f>IF(ISBLANK('ENGAGEMENTS 2026'!C1360),"",'ENGAGEMENTS 2026'!L1360)</f>
        <v/>
      </c>
      <c r="O1360">
        <f>IF(ISBLANK('ENGAGEMENTS 2026'!C1360),"",'ENGAGEMENTS 2026'!M1360)</f>
        <v/>
      </c>
      <c r="P1360">
        <f>IF(ISBLANK('ENGAGEMENTS 2026'!C1360),"",'ENGAGEMENTS 2026'!K1360)</f>
        <v/>
      </c>
      <c r="Q1360">
        <f>IF($A1360="","",IF(OR($E1360="INFRUCTUEUX",$E1360="ANNULE"),$A1360&amp;"|"&amp;(COUNTIFS($A$2:$A1360,$A1360,$E$2:$E1360,"INFRUCTUEUX")+COUNTIFS($A$2:$A1360,$A1360,$E$2:$E1360,"ANNULE")),""))</f>
        <v/>
      </c>
    </row>
    <row r="1361">
      <c r="A1361">
        <f>IF(ISBLANK('ENGAGEMENTS 2026'!C1361),"",IF('ENGAGEMENTS 2026'!C1361="DTSI","DCT",'ENGAGEMENTS 2026'!C1361))</f>
        <v/>
      </c>
      <c r="B1361">
        <f>IF(ISBLANK('ENGAGEMENTS 2026'!C1361),"",'ENGAGEMENTS 2026'!D1361)</f>
        <v/>
      </c>
      <c r="C1361">
        <f>IF(ISBLANK('ENGAGEMENTS 2026'!C1361),"",'ENGAGEMENTS 2026'!E1361)</f>
        <v/>
      </c>
      <c r="D1361">
        <f>IF(ISBLANK('ENGAGEMENTS 2026'!C1361),"",'ENGAGEMENTS 2026'!G1361)</f>
        <v/>
      </c>
      <c r="E1361">
        <f>IF(ISBLANK('ENGAGEMENTS 2026'!C1361),"",'ENGAGEMENTS 2026'!I1361)</f>
        <v/>
      </c>
      <c r="F1361">
        <f>IF(ISBLANK('ENGAGEMENTS 2026'!C1361),"",'ENGAGEMENTS 2026'!J1361)</f>
        <v/>
      </c>
      <c r="G1361">
        <f>IF(ISBLANK('ENGAGEMENTS 2026'!C1361),"",'ENGAGEMENTS 2026'!M1361)</f>
        <v/>
      </c>
      <c r="H1361">
        <f>IF(ISBLANK('ENGAGEMENTS 2026'!C1361),"",'ENGAGEMENTS 2026'!AF1361)</f>
        <v/>
      </c>
      <c r="I1361">
        <f>IF(ISBLANK('ENGAGEMENTS 2026'!C1361),"",'ENGAGEMENTS 2026'!H1361)</f>
        <v/>
      </c>
      <c r="J1361" s="275">
        <f>IF(ISBLANK('ENGAGEMENTS 2026'!C1361),"",IF(AND(OR($E1361="INFRUCTUEUX",$E1361="ANNULE"),$C1361="AOO-M"),'ENGAGEMENTS 2026'!P1361,IF($H1361="EN COURS DE PREENGAGEMENT",'ENGAGEMENTS 2026'!O1361,IF($H1361="PREENGAGE",IF($E1361="ATTRIBUE",'ENGAGEMENTS 2026'!AE1361,'ENGAGEMENTS 2026'!O1361),'ENGAGEMENTS 2026'!AE1361))))</f>
        <v/>
      </c>
      <c r="K1361" s="604">
        <f>IF(ISBLANK('ENGAGEMENTS 2026'!W1361),"",'ENGAGEMENTS 2026'!W1361)</f>
        <v/>
      </c>
      <c r="L1361" s="276">
        <f>IF($K1361="","",TODAY()-$K1361)</f>
        <v/>
      </c>
      <c r="M1361">
        <f>IF($A1361="","",IF($H1361="ENGAGE","Engagé",IF(AND($H1361="NON ENGAGE",OR($I1361="INFRUCTUEUX",$I1361="ANNULE")),"Clôturé sans suite","En cours")))</f>
        <v/>
      </c>
      <c r="N1361">
        <f>IF(ISBLANK('ENGAGEMENTS 2026'!C1361),"",'ENGAGEMENTS 2026'!L1361)</f>
        <v/>
      </c>
      <c r="O1361">
        <f>IF(ISBLANK('ENGAGEMENTS 2026'!C1361),"",'ENGAGEMENTS 2026'!M1361)</f>
        <v/>
      </c>
      <c r="P1361">
        <f>IF(ISBLANK('ENGAGEMENTS 2026'!C1361),"",'ENGAGEMENTS 2026'!K1361)</f>
        <v/>
      </c>
      <c r="Q1361">
        <f>IF($A1361="","",IF(OR($E1361="INFRUCTUEUX",$E1361="ANNULE"),$A1361&amp;"|"&amp;(COUNTIFS($A$2:$A1361,$A1361,$E$2:$E1361,"INFRUCTUEUX")+COUNTIFS($A$2:$A1361,$A1361,$E$2:$E1361,"ANNULE")),""))</f>
        <v/>
      </c>
    </row>
    <row r="1362">
      <c r="A1362">
        <f>IF(ISBLANK('ENGAGEMENTS 2026'!C1362),"",IF('ENGAGEMENTS 2026'!C1362="DTSI","DCT",'ENGAGEMENTS 2026'!C1362))</f>
        <v/>
      </c>
      <c r="B1362">
        <f>IF(ISBLANK('ENGAGEMENTS 2026'!C1362),"",'ENGAGEMENTS 2026'!D1362)</f>
        <v/>
      </c>
      <c r="C1362">
        <f>IF(ISBLANK('ENGAGEMENTS 2026'!C1362),"",'ENGAGEMENTS 2026'!E1362)</f>
        <v/>
      </c>
      <c r="D1362">
        <f>IF(ISBLANK('ENGAGEMENTS 2026'!C1362),"",'ENGAGEMENTS 2026'!G1362)</f>
        <v/>
      </c>
      <c r="E1362">
        <f>IF(ISBLANK('ENGAGEMENTS 2026'!C1362),"",'ENGAGEMENTS 2026'!I1362)</f>
        <v/>
      </c>
      <c r="F1362">
        <f>IF(ISBLANK('ENGAGEMENTS 2026'!C1362),"",'ENGAGEMENTS 2026'!J1362)</f>
        <v/>
      </c>
      <c r="G1362">
        <f>IF(ISBLANK('ENGAGEMENTS 2026'!C1362),"",'ENGAGEMENTS 2026'!M1362)</f>
        <v/>
      </c>
      <c r="H1362">
        <f>IF(ISBLANK('ENGAGEMENTS 2026'!C1362),"",'ENGAGEMENTS 2026'!AF1362)</f>
        <v/>
      </c>
      <c r="I1362">
        <f>IF(ISBLANK('ENGAGEMENTS 2026'!C1362),"",'ENGAGEMENTS 2026'!H1362)</f>
        <v/>
      </c>
      <c r="J1362" s="275">
        <f>IF(ISBLANK('ENGAGEMENTS 2026'!C1362),"",IF(AND(OR($E1362="INFRUCTUEUX",$E1362="ANNULE"),$C1362="AOO-M"),'ENGAGEMENTS 2026'!P1362,IF($H1362="EN COURS DE PREENGAGEMENT",'ENGAGEMENTS 2026'!O1362,IF($H1362="PREENGAGE",IF($E1362="ATTRIBUE",'ENGAGEMENTS 2026'!AE1362,'ENGAGEMENTS 2026'!O1362),'ENGAGEMENTS 2026'!AE1362))))</f>
        <v/>
      </c>
      <c r="K1362" s="604">
        <f>IF(ISBLANK('ENGAGEMENTS 2026'!W1362),"",'ENGAGEMENTS 2026'!W1362)</f>
        <v/>
      </c>
      <c r="L1362" s="276">
        <f>IF($K1362="","",TODAY()-$K1362)</f>
        <v/>
      </c>
      <c r="M1362">
        <f>IF($A1362="","",IF($H1362="ENGAGE","Engagé",IF(AND($H1362="NON ENGAGE",OR($I1362="INFRUCTUEUX",$I1362="ANNULE")),"Clôturé sans suite","En cours")))</f>
        <v/>
      </c>
      <c r="N1362">
        <f>IF(ISBLANK('ENGAGEMENTS 2026'!C1362),"",'ENGAGEMENTS 2026'!L1362)</f>
        <v/>
      </c>
      <c r="O1362">
        <f>IF(ISBLANK('ENGAGEMENTS 2026'!C1362),"",'ENGAGEMENTS 2026'!M1362)</f>
        <v/>
      </c>
      <c r="P1362">
        <f>IF(ISBLANK('ENGAGEMENTS 2026'!C1362),"",'ENGAGEMENTS 2026'!K1362)</f>
        <v/>
      </c>
      <c r="Q1362">
        <f>IF($A1362="","",IF(OR($E1362="INFRUCTUEUX",$E1362="ANNULE"),$A1362&amp;"|"&amp;(COUNTIFS($A$2:$A1362,$A1362,$E$2:$E1362,"INFRUCTUEUX")+COUNTIFS($A$2:$A1362,$A1362,$E$2:$E1362,"ANNULE")),""))</f>
        <v/>
      </c>
    </row>
    <row r="1363">
      <c r="A1363">
        <f>IF(ISBLANK('ENGAGEMENTS 2026'!C1363),"",IF('ENGAGEMENTS 2026'!C1363="DTSI","DCT",'ENGAGEMENTS 2026'!C1363))</f>
        <v/>
      </c>
      <c r="B1363">
        <f>IF(ISBLANK('ENGAGEMENTS 2026'!C1363),"",'ENGAGEMENTS 2026'!D1363)</f>
        <v/>
      </c>
      <c r="C1363">
        <f>IF(ISBLANK('ENGAGEMENTS 2026'!C1363),"",'ENGAGEMENTS 2026'!E1363)</f>
        <v/>
      </c>
      <c r="D1363">
        <f>IF(ISBLANK('ENGAGEMENTS 2026'!C1363),"",'ENGAGEMENTS 2026'!G1363)</f>
        <v/>
      </c>
      <c r="E1363">
        <f>IF(ISBLANK('ENGAGEMENTS 2026'!C1363),"",'ENGAGEMENTS 2026'!I1363)</f>
        <v/>
      </c>
      <c r="F1363">
        <f>IF(ISBLANK('ENGAGEMENTS 2026'!C1363),"",'ENGAGEMENTS 2026'!J1363)</f>
        <v/>
      </c>
      <c r="G1363">
        <f>IF(ISBLANK('ENGAGEMENTS 2026'!C1363),"",'ENGAGEMENTS 2026'!M1363)</f>
        <v/>
      </c>
      <c r="H1363">
        <f>IF(ISBLANK('ENGAGEMENTS 2026'!C1363),"",'ENGAGEMENTS 2026'!AF1363)</f>
        <v/>
      </c>
      <c r="I1363">
        <f>IF(ISBLANK('ENGAGEMENTS 2026'!C1363),"",'ENGAGEMENTS 2026'!H1363)</f>
        <v/>
      </c>
      <c r="J1363" s="275">
        <f>IF(ISBLANK('ENGAGEMENTS 2026'!C1363),"",IF(AND(OR($E1363="INFRUCTUEUX",$E1363="ANNULE"),$C1363="AOO-M"),'ENGAGEMENTS 2026'!P1363,IF($H1363="EN COURS DE PREENGAGEMENT",'ENGAGEMENTS 2026'!O1363,IF($H1363="PREENGAGE",IF($E1363="ATTRIBUE",'ENGAGEMENTS 2026'!AE1363,'ENGAGEMENTS 2026'!O1363),'ENGAGEMENTS 2026'!AE1363))))</f>
        <v/>
      </c>
      <c r="K1363" s="604">
        <f>IF(ISBLANK('ENGAGEMENTS 2026'!W1363),"",'ENGAGEMENTS 2026'!W1363)</f>
        <v/>
      </c>
      <c r="L1363" s="276">
        <f>IF($K1363="","",TODAY()-$K1363)</f>
        <v/>
      </c>
      <c r="M1363">
        <f>IF($A1363="","",IF($H1363="ENGAGE","Engagé",IF(AND($H1363="NON ENGAGE",OR($I1363="INFRUCTUEUX",$I1363="ANNULE")),"Clôturé sans suite","En cours")))</f>
        <v/>
      </c>
      <c r="N1363">
        <f>IF(ISBLANK('ENGAGEMENTS 2026'!C1363),"",'ENGAGEMENTS 2026'!L1363)</f>
        <v/>
      </c>
      <c r="O1363">
        <f>IF(ISBLANK('ENGAGEMENTS 2026'!C1363),"",'ENGAGEMENTS 2026'!M1363)</f>
        <v/>
      </c>
      <c r="P1363">
        <f>IF(ISBLANK('ENGAGEMENTS 2026'!C1363),"",'ENGAGEMENTS 2026'!K1363)</f>
        <v/>
      </c>
      <c r="Q1363">
        <f>IF($A1363="","",IF(OR($E1363="INFRUCTUEUX",$E1363="ANNULE"),$A1363&amp;"|"&amp;(COUNTIFS($A$2:$A1363,$A1363,$E$2:$E1363,"INFRUCTUEUX")+COUNTIFS($A$2:$A1363,$A1363,$E$2:$E1363,"ANNULE")),""))</f>
        <v/>
      </c>
    </row>
    <row r="1364">
      <c r="A1364">
        <f>IF(ISBLANK('ENGAGEMENTS 2026'!C1364),"",IF('ENGAGEMENTS 2026'!C1364="DTSI","DCT",'ENGAGEMENTS 2026'!C1364))</f>
        <v/>
      </c>
      <c r="B1364">
        <f>IF(ISBLANK('ENGAGEMENTS 2026'!C1364),"",'ENGAGEMENTS 2026'!D1364)</f>
        <v/>
      </c>
      <c r="C1364">
        <f>IF(ISBLANK('ENGAGEMENTS 2026'!C1364),"",'ENGAGEMENTS 2026'!E1364)</f>
        <v/>
      </c>
      <c r="D1364">
        <f>IF(ISBLANK('ENGAGEMENTS 2026'!C1364),"",'ENGAGEMENTS 2026'!G1364)</f>
        <v/>
      </c>
      <c r="E1364">
        <f>IF(ISBLANK('ENGAGEMENTS 2026'!C1364),"",'ENGAGEMENTS 2026'!I1364)</f>
        <v/>
      </c>
      <c r="F1364">
        <f>IF(ISBLANK('ENGAGEMENTS 2026'!C1364),"",'ENGAGEMENTS 2026'!J1364)</f>
        <v/>
      </c>
      <c r="G1364">
        <f>IF(ISBLANK('ENGAGEMENTS 2026'!C1364),"",'ENGAGEMENTS 2026'!M1364)</f>
        <v/>
      </c>
      <c r="H1364">
        <f>IF(ISBLANK('ENGAGEMENTS 2026'!C1364),"",'ENGAGEMENTS 2026'!AF1364)</f>
        <v/>
      </c>
      <c r="I1364">
        <f>IF(ISBLANK('ENGAGEMENTS 2026'!C1364),"",'ENGAGEMENTS 2026'!H1364)</f>
        <v/>
      </c>
      <c r="J1364" s="275">
        <f>IF(ISBLANK('ENGAGEMENTS 2026'!C1364),"",IF(AND(OR($E1364="INFRUCTUEUX",$E1364="ANNULE"),$C1364="AOO-M"),'ENGAGEMENTS 2026'!P1364,IF($H1364="EN COURS DE PREENGAGEMENT",'ENGAGEMENTS 2026'!O1364,IF($H1364="PREENGAGE",IF($E1364="ATTRIBUE",'ENGAGEMENTS 2026'!AE1364,'ENGAGEMENTS 2026'!O1364),'ENGAGEMENTS 2026'!AE1364))))</f>
        <v/>
      </c>
      <c r="K1364" s="604">
        <f>IF(ISBLANK('ENGAGEMENTS 2026'!W1364),"",'ENGAGEMENTS 2026'!W1364)</f>
        <v/>
      </c>
      <c r="L1364" s="276">
        <f>IF($K1364="","",TODAY()-$K1364)</f>
        <v/>
      </c>
      <c r="M1364">
        <f>IF($A1364="","",IF($H1364="ENGAGE","Engagé",IF(AND($H1364="NON ENGAGE",OR($I1364="INFRUCTUEUX",$I1364="ANNULE")),"Clôturé sans suite","En cours")))</f>
        <v/>
      </c>
      <c r="N1364">
        <f>IF(ISBLANK('ENGAGEMENTS 2026'!C1364),"",'ENGAGEMENTS 2026'!L1364)</f>
        <v/>
      </c>
      <c r="O1364">
        <f>IF(ISBLANK('ENGAGEMENTS 2026'!C1364),"",'ENGAGEMENTS 2026'!M1364)</f>
        <v/>
      </c>
      <c r="P1364">
        <f>IF(ISBLANK('ENGAGEMENTS 2026'!C1364),"",'ENGAGEMENTS 2026'!K1364)</f>
        <v/>
      </c>
      <c r="Q1364">
        <f>IF($A1364="","",IF(OR($E1364="INFRUCTUEUX",$E1364="ANNULE"),$A1364&amp;"|"&amp;(COUNTIFS($A$2:$A1364,$A1364,$E$2:$E1364,"INFRUCTUEUX")+COUNTIFS($A$2:$A1364,$A1364,$E$2:$E1364,"ANNULE")),""))</f>
        <v/>
      </c>
    </row>
    <row r="1365">
      <c r="A1365">
        <f>IF(ISBLANK('ENGAGEMENTS 2026'!C1365),"",IF('ENGAGEMENTS 2026'!C1365="DTSI","DCT",'ENGAGEMENTS 2026'!C1365))</f>
        <v/>
      </c>
      <c r="B1365">
        <f>IF(ISBLANK('ENGAGEMENTS 2026'!C1365),"",'ENGAGEMENTS 2026'!D1365)</f>
        <v/>
      </c>
      <c r="C1365">
        <f>IF(ISBLANK('ENGAGEMENTS 2026'!C1365),"",'ENGAGEMENTS 2026'!E1365)</f>
        <v/>
      </c>
      <c r="D1365">
        <f>IF(ISBLANK('ENGAGEMENTS 2026'!C1365),"",'ENGAGEMENTS 2026'!G1365)</f>
        <v/>
      </c>
      <c r="E1365">
        <f>IF(ISBLANK('ENGAGEMENTS 2026'!C1365),"",'ENGAGEMENTS 2026'!I1365)</f>
        <v/>
      </c>
      <c r="F1365">
        <f>IF(ISBLANK('ENGAGEMENTS 2026'!C1365),"",'ENGAGEMENTS 2026'!J1365)</f>
        <v/>
      </c>
      <c r="G1365">
        <f>IF(ISBLANK('ENGAGEMENTS 2026'!C1365),"",'ENGAGEMENTS 2026'!M1365)</f>
        <v/>
      </c>
      <c r="H1365">
        <f>IF(ISBLANK('ENGAGEMENTS 2026'!C1365),"",'ENGAGEMENTS 2026'!AF1365)</f>
        <v/>
      </c>
      <c r="I1365">
        <f>IF(ISBLANK('ENGAGEMENTS 2026'!C1365),"",'ENGAGEMENTS 2026'!H1365)</f>
        <v/>
      </c>
      <c r="J1365" s="275">
        <f>IF(ISBLANK('ENGAGEMENTS 2026'!C1365),"",IF(AND(OR($E1365="INFRUCTUEUX",$E1365="ANNULE"),$C1365="AOO-M"),'ENGAGEMENTS 2026'!P1365,IF($H1365="EN COURS DE PREENGAGEMENT",'ENGAGEMENTS 2026'!O1365,IF($H1365="PREENGAGE",IF($E1365="ATTRIBUE",'ENGAGEMENTS 2026'!AE1365,'ENGAGEMENTS 2026'!O1365),'ENGAGEMENTS 2026'!AE1365))))</f>
        <v/>
      </c>
      <c r="K1365" s="604">
        <f>IF(ISBLANK('ENGAGEMENTS 2026'!W1365),"",'ENGAGEMENTS 2026'!W1365)</f>
        <v/>
      </c>
      <c r="L1365" s="276">
        <f>IF($K1365="","",TODAY()-$K1365)</f>
        <v/>
      </c>
      <c r="M1365">
        <f>IF($A1365="","",IF($H1365="ENGAGE","Engagé",IF(AND($H1365="NON ENGAGE",OR($I1365="INFRUCTUEUX",$I1365="ANNULE")),"Clôturé sans suite","En cours")))</f>
        <v/>
      </c>
      <c r="N1365">
        <f>IF(ISBLANK('ENGAGEMENTS 2026'!C1365),"",'ENGAGEMENTS 2026'!L1365)</f>
        <v/>
      </c>
      <c r="O1365">
        <f>IF(ISBLANK('ENGAGEMENTS 2026'!C1365),"",'ENGAGEMENTS 2026'!M1365)</f>
        <v/>
      </c>
      <c r="P1365">
        <f>IF(ISBLANK('ENGAGEMENTS 2026'!C1365),"",'ENGAGEMENTS 2026'!K1365)</f>
        <v/>
      </c>
      <c r="Q1365">
        <f>IF($A1365="","",IF(OR($E1365="INFRUCTUEUX",$E1365="ANNULE"),$A1365&amp;"|"&amp;(COUNTIFS($A$2:$A1365,$A1365,$E$2:$E1365,"INFRUCTUEUX")+COUNTIFS($A$2:$A1365,$A1365,$E$2:$E1365,"ANNULE")),""))</f>
        <v/>
      </c>
    </row>
    <row r="1366">
      <c r="A1366">
        <f>IF(ISBLANK('ENGAGEMENTS 2026'!C1366),"",IF('ENGAGEMENTS 2026'!C1366="DTSI","DCT",'ENGAGEMENTS 2026'!C1366))</f>
        <v/>
      </c>
      <c r="B1366">
        <f>IF(ISBLANK('ENGAGEMENTS 2026'!C1366),"",'ENGAGEMENTS 2026'!D1366)</f>
        <v/>
      </c>
      <c r="C1366">
        <f>IF(ISBLANK('ENGAGEMENTS 2026'!C1366),"",'ENGAGEMENTS 2026'!E1366)</f>
        <v/>
      </c>
      <c r="D1366">
        <f>IF(ISBLANK('ENGAGEMENTS 2026'!C1366),"",'ENGAGEMENTS 2026'!G1366)</f>
        <v/>
      </c>
      <c r="E1366">
        <f>IF(ISBLANK('ENGAGEMENTS 2026'!C1366),"",'ENGAGEMENTS 2026'!I1366)</f>
        <v/>
      </c>
      <c r="F1366">
        <f>IF(ISBLANK('ENGAGEMENTS 2026'!C1366),"",'ENGAGEMENTS 2026'!J1366)</f>
        <v/>
      </c>
      <c r="G1366">
        <f>IF(ISBLANK('ENGAGEMENTS 2026'!C1366),"",'ENGAGEMENTS 2026'!M1366)</f>
        <v/>
      </c>
      <c r="H1366">
        <f>IF(ISBLANK('ENGAGEMENTS 2026'!C1366),"",'ENGAGEMENTS 2026'!AF1366)</f>
        <v/>
      </c>
      <c r="I1366">
        <f>IF(ISBLANK('ENGAGEMENTS 2026'!C1366),"",'ENGAGEMENTS 2026'!H1366)</f>
        <v/>
      </c>
      <c r="J1366" s="275">
        <f>IF(ISBLANK('ENGAGEMENTS 2026'!C1366),"",IF(AND(OR($E1366="INFRUCTUEUX",$E1366="ANNULE"),$C1366="AOO-M"),'ENGAGEMENTS 2026'!P1366,IF($H1366="EN COURS DE PREENGAGEMENT",'ENGAGEMENTS 2026'!O1366,IF($H1366="PREENGAGE",IF($E1366="ATTRIBUE",'ENGAGEMENTS 2026'!AE1366,'ENGAGEMENTS 2026'!O1366),'ENGAGEMENTS 2026'!AE1366))))</f>
        <v/>
      </c>
      <c r="K1366" s="604">
        <f>IF(ISBLANK('ENGAGEMENTS 2026'!W1366),"",'ENGAGEMENTS 2026'!W1366)</f>
        <v/>
      </c>
      <c r="L1366" s="276">
        <f>IF($K1366="","",TODAY()-$K1366)</f>
        <v/>
      </c>
      <c r="M1366">
        <f>IF($A1366="","",IF($H1366="ENGAGE","Engagé",IF(AND($H1366="NON ENGAGE",OR($I1366="INFRUCTUEUX",$I1366="ANNULE")),"Clôturé sans suite","En cours")))</f>
        <v/>
      </c>
      <c r="N1366">
        <f>IF(ISBLANK('ENGAGEMENTS 2026'!C1366),"",'ENGAGEMENTS 2026'!L1366)</f>
        <v/>
      </c>
      <c r="O1366">
        <f>IF(ISBLANK('ENGAGEMENTS 2026'!C1366),"",'ENGAGEMENTS 2026'!M1366)</f>
        <v/>
      </c>
      <c r="P1366">
        <f>IF(ISBLANK('ENGAGEMENTS 2026'!C1366),"",'ENGAGEMENTS 2026'!K1366)</f>
        <v/>
      </c>
      <c r="Q1366">
        <f>IF($A1366="","",IF(OR($E1366="INFRUCTUEUX",$E1366="ANNULE"),$A1366&amp;"|"&amp;(COUNTIFS($A$2:$A1366,$A1366,$E$2:$E1366,"INFRUCTUEUX")+COUNTIFS($A$2:$A1366,$A1366,$E$2:$E1366,"ANNULE")),""))</f>
        <v/>
      </c>
    </row>
    <row r="1367">
      <c r="A1367">
        <f>IF(ISBLANK('ENGAGEMENTS 2026'!C1367),"",IF('ENGAGEMENTS 2026'!C1367="DTSI","DCT",'ENGAGEMENTS 2026'!C1367))</f>
        <v/>
      </c>
      <c r="B1367">
        <f>IF(ISBLANK('ENGAGEMENTS 2026'!C1367),"",'ENGAGEMENTS 2026'!D1367)</f>
        <v/>
      </c>
      <c r="C1367">
        <f>IF(ISBLANK('ENGAGEMENTS 2026'!C1367),"",'ENGAGEMENTS 2026'!E1367)</f>
        <v/>
      </c>
      <c r="D1367">
        <f>IF(ISBLANK('ENGAGEMENTS 2026'!C1367),"",'ENGAGEMENTS 2026'!G1367)</f>
        <v/>
      </c>
      <c r="E1367">
        <f>IF(ISBLANK('ENGAGEMENTS 2026'!C1367),"",'ENGAGEMENTS 2026'!I1367)</f>
        <v/>
      </c>
      <c r="F1367">
        <f>IF(ISBLANK('ENGAGEMENTS 2026'!C1367),"",'ENGAGEMENTS 2026'!J1367)</f>
        <v/>
      </c>
      <c r="G1367">
        <f>IF(ISBLANK('ENGAGEMENTS 2026'!C1367),"",'ENGAGEMENTS 2026'!M1367)</f>
        <v/>
      </c>
      <c r="H1367">
        <f>IF(ISBLANK('ENGAGEMENTS 2026'!C1367),"",'ENGAGEMENTS 2026'!AF1367)</f>
        <v/>
      </c>
      <c r="I1367">
        <f>IF(ISBLANK('ENGAGEMENTS 2026'!C1367),"",'ENGAGEMENTS 2026'!H1367)</f>
        <v/>
      </c>
      <c r="J1367" s="275">
        <f>IF(ISBLANK('ENGAGEMENTS 2026'!C1367),"",IF(AND(OR($E1367="INFRUCTUEUX",$E1367="ANNULE"),$C1367="AOO-M"),'ENGAGEMENTS 2026'!P1367,IF($H1367="EN COURS DE PREENGAGEMENT",'ENGAGEMENTS 2026'!O1367,IF($H1367="PREENGAGE",IF($E1367="ATTRIBUE",'ENGAGEMENTS 2026'!AE1367,'ENGAGEMENTS 2026'!O1367),'ENGAGEMENTS 2026'!AE1367))))</f>
        <v/>
      </c>
      <c r="K1367" s="604">
        <f>IF(ISBLANK('ENGAGEMENTS 2026'!W1367),"",'ENGAGEMENTS 2026'!W1367)</f>
        <v/>
      </c>
      <c r="L1367" s="276">
        <f>IF($K1367="","",TODAY()-$K1367)</f>
        <v/>
      </c>
      <c r="M1367">
        <f>IF($A1367="","",IF($H1367="ENGAGE","Engagé",IF(AND($H1367="NON ENGAGE",OR($I1367="INFRUCTUEUX",$I1367="ANNULE")),"Clôturé sans suite","En cours")))</f>
        <v/>
      </c>
      <c r="N1367">
        <f>IF(ISBLANK('ENGAGEMENTS 2026'!C1367),"",'ENGAGEMENTS 2026'!L1367)</f>
        <v/>
      </c>
      <c r="O1367">
        <f>IF(ISBLANK('ENGAGEMENTS 2026'!C1367),"",'ENGAGEMENTS 2026'!M1367)</f>
        <v/>
      </c>
      <c r="P1367">
        <f>IF(ISBLANK('ENGAGEMENTS 2026'!C1367),"",'ENGAGEMENTS 2026'!K1367)</f>
        <v/>
      </c>
      <c r="Q1367">
        <f>IF($A1367="","",IF(OR($E1367="INFRUCTUEUX",$E1367="ANNULE"),$A1367&amp;"|"&amp;(COUNTIFS($A$2:$A1367,$A1367,$E$2:$E1367,"INFRUCTUEUX")+COUNTIFS($A$2:$A1367,$A1367,$E$2:$E1367,"ANNULE")),""))</f>
        <v/>
      </c>
    </row>
    <row r="1368">
      <c r="A1368">
        <f>IF(ISBLANK('ENGAGEMENTS 2026'!C1368),"",IF('ENGAGEMENTS 2026'!C1368="DTSI","DCT",'ENGAGEMENTS 2026'!C1368))</f>
        <v/>
      </c>
      <c r="B1368">
        <f>IF(ISBLANK('ENGAGEMENTS 2026'!C1368),"",'ENGAGEMENTS 2026'!D1368)</f>
        <v/>
      </c>
      <c r="C1368">
        <f>IF(ISBLANK('ENGAGEMENTS 2026'!C1368),"",'ENGAGEMENTS 2026'!E1368)</f>
        <v/>
      </c>
      <c r="D1368">
        <f>IF(ISBLANK('ENGAGEMENTS 2026'!C1368),"",'ENGAGEMENTS 2026'!G1368)</f>
        <v/>
      </c>
      <c r="E1368">
        <f>IF(ISBLANK('ENGAGEMENTS 2026'!C1368),"",'ENGAGEMENTS 2026'!I1368)</f>
        <v/>
      </c>
      <c r="F1368">
        <f>IF(ISBLANK('ENGAGEMENTS 2026'!C1368),"",'ENGAGEMENTS 2026'!J1368)</f>
        <v/>
      </c>
      <c r="G1368">
        <f>IF(ISBLANK('ENGAGEMENTS 2026'!C1368),"",'ENGAGEMENTS 2026'!M1368)</f>
        <v/>
      </c>
      <c r="H1368">
        <f>IF(ISBLANK('ENGAGEMENTS 2026'!C1368),"",'ENGAGEMENTS 2026'!AF1368)</f>
        <v/>
      </c>
      <c r="I1368">
        <f>IF(ISBLANK('ENGAGEMENTS 2026'!C1368),"",'ENGAGEMENTS 2026'!H1368)</f>
        <v/>
      </c>
      <c r="J1368" s="275">
        <f>IF(ISBLANK('ENGAGEMENTS 2026'!C1368),"",IF(AND(OR($E1368="INFRUCTUEUX",$E1368="ANNULE"),$C1368="AOO-M"),'ENGAGEMENTS 2026'!P1368,IF($H1368="EN COURS DE PREENGAGEMENT",'ENGAGEMENTS 2026'!O1368,IF($H1368="PREENGAGE",IF($E1368="ATTRIBUE",'ENGAGEMENTS 2026'!AE1368,'ENGAGEMENTS 2026'!O1368),'ENGAGEMENTS 2026'!AE1368))))</f>
        <v/>
      </c>
      <c r="K1368" s="604">
        <f>IF(ISBLANK('ENGAGEMENTS 2026'!W1368),"",'ENGAGEMENTS 2026'!W1368)</f>
        <v/>
      </c>
      <c r="L1368" s="276">
        <f>IF($K1368="","",TODAY()-$K1368)</f>
        <v/>
      </c>
      <c r="M1368">
        <f>IF($A1368="","",IF($H1368="ENGAGE","Engagé",IF(AND($H1368="NON ENGAGE",OR($I1368="INFRUCTUEUX",$I1368="ANNULE")),"Clôturé sans suite","En cours")))</f>
        <v/>
      </c>
      <c r="N1368">
        <f>IF(ISBLANK('ENGAGEMENTS 2026'!C1368),"",'ENGAGEMENTS 2026'!L1368)</f>
        <v/>
      </c>
      <c r="O1368">
        <f>IF(ISBLANK('ENGAGEMENTS 2026'!C1368),"",'ENGAGEMENTS 2026'!M1368)</f>
        <v/>
      </c>
      <c r="P1368">
        <f>IF(ISBLANK('ENGAGEMENTS 2026'!C1368),"",'ENGAGEMENTS 2026'!K1368)</f>
        <v/>
      </c>
      <c r="Q1368">
        <f>IF($A1368="","",IF(OR($E1368="INFRUCTUEUX",$E1368="ANNULE"),$A1368&amp;"|"&amp;(COUNTIFS($A$2:$A1368,$A1368,$E$2:$E1368,"INFRUCTUEUX")+COUNTIFS($A$2:$A1368,$A1368,$E$2:$E1368,"ANNULE")),""))</f>
        <v/>
      </c>
    </row>
    <row r="1369">
      <c r="A1369">
        <f>IF(ISBLANK('ENGAGEMENTS 2026'!C1369),"",IF('ENGAGEMENTS 2026'!C1369="DTSI","DCT",'ENGAGEMENTS 2026'!C1369))</f>
        <v/>
      </c>
      <c r="B1369">
        <f>IF(ISBLANK('ENGAGEMENTS 2026'!C1369),"",'ENGAGEMENTS 2026'!D1369)</f>
        <v/>
      </c>
      <c r="C1369">
        <f>IF(ISBLANK('ENGAGEMENTS 2026'!C1369),"",'ENGAGEMENTS 2026'!E1369)</f>
        <v/>
      </c>
      <c r="D1369">
        <f>IF(ISBLANK('ENGAGEMENTS 2026'!C1369),"",'ENGAGEMENTS 2026'!G1369)</f>
        <v/>
      </c>
      <c r="E1369">
        <f>IF(ISBLANK('ENGAGEMENTS 2026'!C1369),"",'ENGAGEMENTS 2026'!I1369)</f>
        <v/>
      </c>
      <c r="F1369">
        <f>IF(ISBLANK('ENGAGEMENTS 2026'!C1369),"",'ENGAGEMENTS 2026'!J1369)</f>
        <v/>
      </c>
      <c r="G1369">
        <f>IF(ISBLANK('ENGAGEMENTS 2026'!C1369),"",'ENGAGEMENTS 2026'!M1369)</f>
        <v/>
      </c>
      <c r="H1369">
        <f>IF(ISBLANK('ENGAGEMENTS 2026'!C1369),"",'ENGAGEMENTS 2026'!AF1369)</f>
        <v/>
      </c>
      <c r="I1369">
        <f>IF(ISBLANK('ENGAGEMENTS 2026'!C1369),"",'ENGAGEMENTS 2026'!H1369)</f>
        <v/>
      </c>
      <c r="J1369" s="275">
        <f>IF(ISBLANK('ENGAGEMENTS 2026'!C1369),"",IF(AND(OR($E1369="INFRUCTUEUX",$E1369="ANNULE"),$C1369="AOO-M"),'ENGAGEMENTS 2026'!P1369,IF($H1369="EN COURS DE PREENGAGEMENT",'ENGAGEMENTS 2026'!O1369,IF($H1369="PREENGAGE",IF($E1369="ATTRIBUE",'ENGAGEMENTS 2026'!AE1369,'ENGAGEMENTS 2026'!O1369),'ENGAGEMENTS 2026'!AE1369))))</f>
        <v/>
      </c>
      <c r="K1369" s="604">
        <f>IF(ISBLANK('ENGAGEMENTS 2026'!W1369),"",'ENGAGEMENTS 2026'!W1369)</f>
        <v/>
      </c>
      <c r="L1369" s="276">
        <f>IF($K1369="","",TODAY()-$K1369)</f>
        <v/>
      </c>
      <c r="M1369">
        <f>IF($A1369="","",IF($H1369="ENGAGE","Engagé",IF(AND($H1369="NON ENGAGE",OR($I1369="INFRUCTUEUX",$I1369="ANNULE")),"Clôturé sans suite","En cours")))</f>
        <v/>
      </c>
      <c r="N1369">
        <f>IF(ISBLANK('ENGAGEMENTS 2026'!C1369),"",'ENGAGEMENTS 2026'!L1369)</f>
        <v/>
      </c>
      <c r="O1369">
        <f>IF(ISBLANK('ENGAGEMENTS 2026'!C1369),"",'ENGAGEMENTS 2026'!M1369)</f>
        <v/>
      </c>
      <c r="P1369">
        <f>IF(ISBLANK('ENGAGEMENTS 2026'!C1369),"",'ENGAGEMENTS 2026'!K1369)</f>
        <v/>
      </c>
      <c r="Q1369">
        <f>IF($A1369="","",IF(OR($E1369="INFRUCTUEUX",$E1369="ANNULE"),$A1369&amp;"|"&amp;(COUNTIFS($A$2:$A1369,$A1369,$E$2:$E1369,"INFRUCTUEUX")+COUNTIFS($A$2:$A1369,$A1369,$E$2:$E1369,"ANNULE")),""))</f>
        <v/>
      </c>
    </row>
    <row r="1370">
      <c r="A1370">
        <f>IF(ISBLANK('ENGAGEMENTS 2026'!C1370),"",IF('ENGAGEMENTS 2026'!C1370="DTSI","DCT",'ENGAGEMENTS 2026'!C1370))</f>
        <v/>
      </c>
      <c r="B1370">
        <f>IF(ISBLANK('ENGAGEMENTS 2026'!C1370),"",'ENGAGEMENTS 2026'!D1370)</f>
        <v/>
      </c>
      <c r="C1370">
        <f>IF(ISBLANK('ENGAGEMENTS 2026'!C1370),"",'ENGAGEMENTS 2026'!E1370)</f>
        <v/>
      </c>
      <c r="D1370">
        <f>IF(ISBLANK('ENGAGEMENTS 2026'!C1370),"",'ENGAGEMENTS 2026'!G1370)</f>
        <v/>
      </c>
      <c r="E1370">
        <f>IF(ISBLANK('ENGAGEMENTS 2026'!C1370),"",'ENGAGEMENTS 2026'!I1370)</f>
        <v/>
      </c>
      <c r="F1370">
        <f>IF(ISBLANK('ENGAGEMENTS 2026'!C1370),"",'ENGAGEMENTS 2026'!J1370)</f>
        <v/>
      </c>
      <c r="G1370">
        <f>IF(ISBLANK('ENGAGEMENTS 2026'!C1370),"",'ENGAGEMENTS 2026'!M1370)</f>
        <v/>
      </c>
      <c r="H1370">
        <f>IF(ISBLANK('ENGAGEMENTS 2026'!C1370),"",'ENGAGEMENTS 2026'!AF1370)</f>
        <v/>
      </c>
      <c r="I1370">
        <f>IF(ISBLANK('ENGAGEMENTS 2026'!C1370),"",'ENGAGEMENTS 2026'!H1370)</f>
        <v/>
      </c>
      <c r="J1370" s="275">
        <f>IF(ISBLANK('ENGAGEMENTS 2026'!C1370),"",IF(AND(OR($E1370="INFRUCTUEUX",$E1370="ANNULE"),$C1370="AOO-M"),'ENGAGEMENTS 2026'!P1370,IF($H1370="EN COURS DE PREENGAGEMENT",'ENGAGEMENTS 2026'!O1370,IF($H1370="PREENGAGE",IF($E1370="ATTRIBUE",'ENGAGEMENTS 2026'!AE1370,'ENGAGEMENTS 2026'!O1370),'ENGAGEMENTS 2026'!AE1370))))</f>
        <v/>
      </c>
      <c r="K1370" s="604">
        <f>IF(ISBLANK('ENGAGEMENTS 2026'!W1370),"",'ENGAGEMENTS 2026'!W1370)</f>
        <v/>
      </c>
      <c r="L1370" s="276">
        <f>IF($K1370="","",TODAY()-$K1370)</f>
        <v/>
      </c>
      <c r="M1370">
        <f>IF($A1370="","",IF($H1370="ENGAGE","Engagé",IF(AND($H1370="NON ENGAGE",OR($I1370="INFRUCTUEUX",$I1370="ANNULE")),"Clôturé sans suite","En cours")))</f>
        <v/>
      </c>
      <c r="N1370">
        <f>IF(ISBLANK('ENGAGEMENTS 2026'!C1370),"",'ENGAGEMENTS 2026'!L1370)</f>
        <v/>
      </c>
      <c r="O1370">
        <f>IF(ISBLANK('ENGAGEMENTS 2026'!C1370),"",'ENGAGEMENTS 2026'!M1370)</f>
        <v/>
      </c>
      <c r="P1370">
        <f>IF(ISBLANK('ENGAGEMENTS 2026'!C1370),"",'ENGAGEMENTS 2026'!K1370)</f>
        <v/>
      </c>
      <c r="Q1370">
        <f>IF($A1370="","",IF(OR($E1370="INFRUCTUEUX",$E1370="ANNULE"),$A1370&amp;"|"&amp;(COUNTIFS($A$2:$A1370,$A1370,$E$2:$E1370,"INFRUCTUEUX")+COUNTIFS($A$2:$A1370,$A1370,$E$2:$E1370,"ANNULE")),""))</f>
        <v/>
      </c>
    </row>
    <row r="1371">
      <c r="A1371">
        <f>IF(ISBLANK('ENGAGEMENTS 2026'!C1371),"",IF('ENGAGEMENTS 2026'!C1371="DTSI","DCT",'ENGAGEMENTS 2026'!C1371))</f>
        <v/>
      </c>
      <c r="B1371">
        <f>IF(ISBLANK('ENGAGEMENTS 2026'!C1371),"",'ENGAGEMENTS 2026'!D1371)</f>
        <v/>
      </c>
      <c r="C1371">
        <f>IF(ISBLANK('ENGAGEMENTS 2026'!C1371),"",'ENGAGEMENTS 2026'!E1371)</f>
        <v/>
      </c>
      <c r="D1371">
        <f>IF(ISBLANK('ENGAGEMENTS 2026'!C1371),"",'ENGAGEMENTS 2026'!G1371)</f>
        <v/>
      </c>
      <c r="E1371">
        <f>IF(ISBLANK('ENGAGEMENTS 2026'!C1371),"",'ENGAGEMENTS 2026'!I1371)</f>
        <v/>
      </c>
      <c r="F1371">
        <f>IF(ISBLANK('ENGAGEMENTS 2026'!C1371),"",'ENGAGEMENTS 2026'!J1371)</f>
        <v/>
      </c>
      <c r="G1371">
        <f>IF(ISBLANK('ENGAGEMENTS 2026'!C1371),"",'ENGAGEMENTS 2026'!M1371)</f>
        <v/>
      </c>
      <c r="H1371">
        <f>IF(ISBLANK('ENGAGEMENTS 2026'!C1371),"",'ENGAGEMENTS 2026'!AF1371)</f>
        <v/>
      </c>
      <c r="I1371">
        <f>IF(ISBLANK('ENGAGEMENTS 2026'!C1371),"",'ENGAGEMENTS 2026'!H1371)</f>
        <v/>
      </c>
      <c r="J1371" s="275">
        <f>IF(ISBLANK('ENGAGEMENTS 2026'!C1371),"",IF(AND(OR($E1371="INFRUCTUEUX",$E1371="ANNULE"),$C1371="AOO-M"),'ENGAGEMENTS 2026'!P1371,IF($H1371="EN COURS DE PREENGAGEMENT",'ENGAGEMENTS 2026'!O1371,IF($H1371="PREENGAGE",IF($E1371="ATTRIBUE",'ENGAGEMENTS 2026'!AE1371,'ENGAGEMENTS 2026'!O1371),'ENGAGEMENTS 2026'!AE1371))))</f>
        <v/>
      </c>
      <c r="K1371" s="604">
        <f>IF(ISBLANK('ENGAGEMENTS 2026'!W1371),"",'ENGAGEMENTS 2026'!W1371)</f>
        <v/>
      </c>
      <c r="L1371" s="276">
        <f>IF($K1371="","",TODAY()-$K1371)</f>
        <v/>
      </c>
      <c r="M1371">
        <f>IF($A1371="","",IF($H1371="ENGAGE","Engagé",IF(AND($H1371="NON ENGAGE",OR($I1371="INFRUCTUEUX",$I1371="ANNULE")),"Clôturé sans suite","En cours")))</f>
        <v/>
      </c>
      <c r="N1371">
        <f>IF(ISBLANK('ENGAGEMENTS 2026'!C1371),"",'ENGAGEMENTS 2026'!L1371)</f>
        <v/>
      </c>
      <c r="O1371">
        <f>IF(ISBLANK('ENGAGEMENTS 2026'!C1371),"",'ENGAGEMENTS 2026'!M1371)</f>
        <v/>
      </c>
      <c r="P1371">
        <f>IF(ISBLANK('ENGAGEMENTS 2026'!C1371),"",'ENGAGEMENTS 2026'!K1371)</f>
        <v/>
      </c>
      <c r="Q1371">
        <f>IF($A1371="","",IF(OR($E1371="INFRUCTUEUX",$E1371="ANNULE"),$A1371&amp;"|"&amp;(COUNTIFS($A$2:$A1371,$A1371,$E$2:$E1371,"INFRUCTUEUX")+COUNTIFS($A$2:$A1371,$A1371,$E$2:$E1371,"ANNULE")),""))</f>
        <v/>
      </c>
    </row>
    <row r="1372">
      <c r="A1372">
        <f>IF(ISBLANK('ENGAGEMENTS 2026'!C1372),"",IF('ENGAGEMENTS 2026'!C1372="DTSI","DCT",'ENGAGEMENTS 2026'!C1372))</f>
        <v/>
      </c>
      <c r="B1372">
        <f>IF(ISBLANK('ENGAGEMENTS 2026'!C1372),"",'ENGAGEMENTS 2026'!D1372)</f>
        <v/>
      </c>
      <c r="C1372">
        <f>IF(ISBLANK('ENGAGEMENTS 2026'!C1372),"",'ENGAGEMENTS 2026'!E1372)</f>
        <v/>
      </c>
      <c r="D1372">
        <f>IF(ISBLANK('ENGAGEMENTS 2026'!C1372),"",'ENGAGEMENTS 2026'!G1372)</f>
        <v/>
      </c>
      <c r="E1372">
        <f>IF(ISBLANK('ENGAGEMENTS 2026'!C1372),"",'ENGAGEMENTS 2026'!I1372)</f>
        <v/>
      </c>
      <c r="F1372">
        <f>IF(ISBLANK('ENGAGEMENTS 2026'!C1372),"",'ENGAGEMENTS 2026'!J1372)</f>
        <v/>
      </c>
      <c r="G1372">
        <f>IF(ISBLANK('ENGAGEMENTS 2026'!C1372),"",'ENGAGEMENTS 2026'!M1372)</f>
        <v/>
      </c>
      <c r="H1372">
        <f>IF(ISBLANK('ENGAGEMENTS 2026'!C1372),"",'ENGAGEMENTS 2026'!AF1372)</f>
        <v/>
      </c>
      <c r="I1372">
        <f>IF(ISBLANK('ENGAGEMENTS 2026'!C1372),"",'ENGAGEMENTS 2026'!H1372)</f>
        <v/>
      </c>
      <c r="J1372" s="275">
        <f>IF(ISBLANK('ENGAGEMENTS 2026'!C1372),"",IF(AND(OR($E1372="INFRUCTUEUX",$E1372="ANNULE"),$C1372="AOO-M"),'ENGAGEMENTS 2026'!P1372,IF($H1372="EN COURS DE PREENGAGEMENT",'ENGAGEMENTS 2026'!O1372,IF($H1372="PREENGAGE",IF($E1372="ATTRIBUE",'ENGAGEMENTS 2026'!AE1372,'ENGAGEMENTS 2026'!O1372),'ENGAGEMENTS 2026'!AE1372))))</f>
        <v/>
      </c>
      <c r="K1372" s="604">
        <f>IF(ISBLANK('ENGAGEMENTS 2026'!W1372),"",'ENGAGEMENTS 2026'!W1372)</f>
        <v/>
      </c>
      <c r="L1372" s="276">
        <f>IF($K1372="","",TODAY()-$K1372)</f>
        <v/>
      </c>
      <c r="M1372">
        <f>IF($A1372="","",IF($H1372="ENGAGE","Engagé",IF(AND($H1372="NON ENGAGE",OR($I1372="INFRUCTUEUX",$I1372="ANNULE")),"Clôturé sans suite","En cours")))</f>
        <v/>
      </c>
      <c r="N1372">
        <f>IF(ISBLANK('ENGAGEMENTS 2026'!C1372),"",'ENGAGEMENTS 2026'!L1372)</f>
        <v/>
      </c>
      <c r="O1372">
        <f>IF(ISBLANK('ENGAGEMENTS 2026'!C1372),"",'ENGAGEMENTS 2026'!M1372)</f>
        <v/>
      </c>
      <c r="P1372">
        <f>IF(ISBLANK('ENGAGEMENTS 2026'!C1372),"",'ENGAGEMENTS 2026'!K1372)</f>
        <v/>
      </c>
      <c r="Q1372">
        <f>IF($A1372="","",IF(OR($E1372="INFRUCTUEUX",$E1372="ANNULE"),$A1372&amp;"|"&amp;(COUNTIFS($A$2:$A1372,$A1372,$E$2:$E1372,"INFRUCTUEUX")+COUNTIFS($A$2:$A1372,$A1372,$E$2:$E1372,"ANNULE")),""))</f>
        <v/>
      </c>
    </row>
    <row r="1373">
      <c r="A1373">
        <f>IF(ISBLANK('ENGAGEMENTS 2026'!C1373),"",IF('ENGAGEMENTS 2026'!C1373="DTSI","DCT",'ENGAGEMENTS 2026'!C1373))</f>
        <v/>
      </c>
      <c r="B1373">
        <f>IF(ISBLANK('ENGAGEMENTS 2026'!C1373),"",'ENGAGEMENTS 2026'!D1373)</f>
        <v/>
      </c>
      <c r="C1373">
        <f>IF(ISBLANK('ENGAGEMENTS 2026'!C1373),"",'ENGAGEMENTS 2026'!E1373)</f>
        <v/>
      </c>
      <c r="D1373">
        <f>IF(ISBLANK('ENGAGEMENTS 2026'!C1373),"",'ENGAGEMENTS 2026'!G1373)</f>
        <v/>
      </c>
      <c r="E1373">
        <f>IF(ISBLANK('ENGAGEMENTS 2026'!C1373),"",'ENGAGEMENTS 2026'!I1373)</f>
        <v/>
      </c>
      <c r="F1373">
        <f>IF(ISBLANK('ENGAGEMENTS 2026'!C1373),"",'ENGAGEMENTS 2026'!J1373)</f>
        <v/>
      </c>
      <c r="G1373">
        <f>IF(ISBLANK('ENGAGEMENTS 2026'!C1373),"",'ENGAGEMENTS 2026'!M1373)</f>
        <v/>
      </c>
      <c r="H1373">
        <f>IF(ISBLANK('ENGAGEMENTS 2026'!C1373),"",'ENGAGEMENTS 2026'!AF1373)</f>
        <v/>
      </c>
      <c r="I1373">
        <f>IF(ISBLANK('ENGAGEMENTS 2026'!C1373),"",'ENGAGEMENTS 2026'!H1373)</f>
        <v/>
      </c>
      <c r="J1373" s="275">
        <f>IF(ISBLANK('ENGAGEMENTS 2026'!C1373),"",IF(AND(OR($E1373="INFRUCTUEUX",$E1373="ANNULE"),$C1373="AOO-M"),'ENGAGEMENTS 2026'!P1373,IF($H1373="EN COURS DE PREENGAGEMENT",'ENGAGEMENTS 2026'!O1373,IF($H1373="PREENGAGE",IF($E1373="ATTRIBUE",'ENGAGEMENTS 2026'!AE1373,'ENGAGEMENTS 2026'!O1373),'ENGAGEMENTS 2026'!AE1373))))</f>
        <v/>
      </c>
      <c r="K1373" s="604">
        <f>IF(ISBLANK('ENGAGEMENTS 2026'!W1373),"",'ENGAGEMENTS 2026'!W1373)</f>
        <v/>
      </c>
      <c r="L1373" s="276">
        <f>IF($K1373="","",TODAY()-$K1373)</f>
        <v/>
      </c>
      <c r="M1373">
        <f>IF($A1373="","",IF($H1373="ENGAGE","Engagé",IF(AND($H1373="NON ENGAGE",OR($I1373="INFRUCTUEUX",$I1373="ANNULE")),"Clôturé sans suite","En cours")))</f>
        <v/>
      </c>
      <c r="N1373">
        <f>IF(ISBLANK('ENGAGEMENTS 2026'!C1373),"",'ENGAGEMENTS 2026'!L1373)</f>
        <v/>
      </c>
      <c r="O1373">
        <f>IF(ISBLANK('ENGAGEMENTS 2026'!C1373),"",'ENGAGEMENTS 2026'!M1373)</f>
        <v/>
      </c>
      <c r="P1373">
        <f>IF(ISBLANK('ENGAGEMENTS 2026'!C1373),"",'ENGAGEMENTS 2026'!K1373)</f>
        <v/>
      </c>
      <c r="Q1373">
        <f>IF($A1373="","",IF(OR($E1373="INFRUCTUEUX",$E1373="ANNULE"),$A1373&amp;"|"&amp;(COUNTIFS($A$2:$A1373,$A1373,$E$2:$E1373,"INFRUCTUEUX")+COUNTIFS($A$2:$A1373,$A1373,$E$2:$E1373,"ANNULE")),""))</f>
        <v/>
      </c>
    </row>
    <row r="1374">
      <c r="A1374">
        <f>IF(ISBLANK('ENGAGEMENTS 2026'!C1374),"",IF('ENGAGEMENTS 2026'!C1374="DTSI","DCT",'ENGAGEMENTS 2026'!C1374))</f>
        <v/>
      </c>
      <c r="B1374">
        <f>IF(ISBLANK('ENGAGEMENTS 2026'!C1374),"",'ENGAGEMENTS 2026'!D1374)</f>
        <v/>
      </c>
      <c r="C1374">
        <f>IF(ISBLANK('ENGAGEMENTS 2026'!C1374),"",'ENGAGEMENTS 2026'!E1374)</f>
        <v/>
      </c>
      <c r="D1374">
        <f>IF(ISBLANK('ENGAGEMENTS 2026'!C1374),"",'ENGAGEMENTS 2026'!G1374)</f>
        <v/>
      </c>
      <c r="E1374">
        <f>IF(ISBLANK('ENGAGEMENTS 2026'!C1374),"",'ENGAGEMENTS 2026'!I1374)</f>
        <v/>
      </c>
      <c r="F1374">
        <f>IF(ISBLANK('ENGAGEMENTS 2026'!C1374),"",'ENGAGEMENTS 2026'!J1374)</f>
        <v/>
      </c>
      <c r="G1374">
        <f>IF(ISBLANK('ENGAGEMENTS 2026'!C1374),"",'ENGAGEMENTS 2026'!M1374)</f>
        <v/>
      </c>
      <c r="H1374">
        <f>IF(ISBLANK('ENGAGEMENTS 2026'!C1374),"",'ENGAGEMENTS 2026'!AF1374)</f>
        <v/>
      </c>
      <c r="I1374">
        <f>IF(ISBLANK('ENGAGEMENTS 2026'!C1374),"",'ENGAGEMENTS 2026'!H1374)</f>
        <v/>
      </c>
      <c r="J1374" s="275">
        <f>IF(ISBLANK('ENGAGEMENTS 2026'!C1374),"",IF(AND(OR($E1374="INFRUCTUEUX",$E1374="ANNULE"),$C1374="AOO-M"),'ENGAGEMENTS 2026'!P1374,IF($H1374="EN COURS DE PREENGAGEMENT",'ENGAGEMENTS 2026'!O1374,IF($H1374="PREENGAGE",IF($E1374="ATTRIBUE",'ENGAGEMENTS 2026'!AE1374,'ENGAGEMENTS 2026'!O1374),'ENGAGEMENTS 2026'!AE1374))))</f>
        <v/>
      </c>
      <c r="K1374" s="604">
        <f>IF(ISBLANK('ENGAGEMENTS 2026'!W1374),"",'ENGAGEMENTS 2026'!W1374)</f>
        <v/>
      </c>
      <c r="L1374" s="276">
        <f>IF($K1374="","",TODAY()-$K1374)</f>
        <v/>
      </c>
      <c r="M1374">
        <f>IF($A1374="","",IF($H1374="ENGAGE","Engagé",IF(AND($H1374="NON ENGAGE",OR($I1374="INFRUCTUEUX",$I1374="ANNULE")),"Clôturé sans suite","En cours")))</f>
        <v/>
      </c>
      <c r="N1374">
        <f>IF(ISBLANK('ENGAGEMENTS 2026'!C1374),"",'ENGAGEMENTS 2026'!L1374)</f>
        <v/>
      </c>
      <c r="O1374">
        <f>IF(ISBLANK('ENGAGEMENTS 2026'!C1374),"",'ENGAGEMENTS 2026'!M1374)</f>
        <v/>
      </c>
      <c r="P1374">
        <f>IF(ISBLANK('ENGAGEMENTS 2026'!C1374),"",'ENGAGEMENTS 2026'!K1374)</f>
        <v/>
      </c>
      <c r="Q1374">
        <f>IF($A1374="","",IF(OR($E1374="INFRUCTUEUX",$E1374="ANNULE"),$A1374&amp;"|"&amp;(COUNTIFS($A$2:$A1374,$A1374,$E$2:$E1374,"INFRUCTUEUX")+COUNTIFS($A$2:$A1374,$A1374,$E$2:$E1374,"ANNULE")),""))</f>
        <v/>
      </c>
    </row>
    <row r="1375">
      <c r="A1375">
        <f>IF(ISBLANK('ENGAGEMENTS 2026'!C1375),"",IF('ENGAGEMENTS 2026'!C1375="DTSI","DCT",'ENGAGEMENTS 2026'!C1375))</f>
        <v/>
      </c>
      <c r="B1375">
        <f>IF(ISBLANK('ENGAGEMENTS 2026'!C1375),"",'ENGAGEMENTS 2026'!D1375)</f>
        <v/>
      </c>
      <c r="C1375">
        <f>IF(ISBLANK('ENGAGEMENTS 2026'!C1375),"",'ENGAGEMENTS 2026'!E1375)</f>
        <v/>
      </c>
      <c r="D1375">
        <f>IF(ISBLANK('ENGAGEMENTS 2026'!C1375),"",'ENGAGEMENTS 2026'!G1375)</f>
        <v/>
      </c>
      <c r="E1375">
        <f>IF(ISBLANK('ENGAGEMENTS 2026'!C1375),"",'ENGAGEMENTS 2026'!I1375)</f>
        <v/>
      </c>
      <c r="F1375">
        <f>IF(ISBLANK('ENGAGEMENTS 2026'!C1375),"",'ENGAGEMENTS 2026'!J1375)</f>
        <v/>
      </c>
      <c r="G1375">
        <f>IF(ISBLANK('ENGAGEMENTS 2026'!C1375),"",'ENGAGEMENTS 2026'!M1375)</f>
        <v/>
      </c>
      <c r="H1375">
        <f>IF(ISBLANK('ENGAGEMENTS 2026'!C1375),"",'ENGAGEMENTS 2026'!AF1375)</f>
        <v/>
      </c>
      <c r="I1375">
        <f>IF(ISBLANK('ENGAGEMENTS 2026'!C1375),"",'ENGAGEMENTS 2026'!H1375)</f>
        <v/>
      </c>
      <c r="J1375" s="275">
        <f>IF(ISBLANK('ENGAGEMENTS 2026'!C1375),"",IF(AND(OR($E1375="INFRUCTUEUX",$E1375="ANNULE"),$C1375="AOO-M"),'ENGAGEMENTS 2026'!P1375,IF($H1375="EN COURS DE PREENGAGEMENT",'ENGAGEMENTS 2026'!O1375,IF($H1375="PREENGAGE",IF($E1375="ATTRIBUE",'ENGAGEMENTS 2026'!AE1375,'ENGAGEMENTS 2026'!O1375),'ENGAGEMENTS 2026'!AE1375))))</f>
        <v/>
      </c>
      <c r="K1375" s="604">
        <f>IF(ISBLANK('ENGAGEMENTS 2026'!W1375),"",'ENGAGEMENTS 2026'!W1375)</f>
        <v/>
      </c>
      <c r="L1375" s="276">
        <f>IF($K1375="","",TODAY()-$K1375)</f>
        <v/>
      </c>
      <c r="M1375">
        <f>IF($A1375="","",IF($H1375="ENGAGE","Engagé",IF(AND($H1375="NON ENGAGE",OR($I1375="INFRUCTUEUX",$I1375="ANNULE")),"Clôturé sans suite","En cours")))</f>
        <v/>
      </c>
      <c r="N1375">
        <f>IF(ISBLANK('ENGAGEMENTS 2026'!C1375),"",'ENGAGEMENTS 2026'!L1375)</f>
        <v/>
      </c>
      <c r="O1375">
        <f>IF(ISBLANK('ENGAGEMENTS 2026'!C1375),"",'ENGAGEMENTS 2026'!M1375)</f>
        <v/>
      </c>
      <c r="P1375">
        <f>IF(ISBLANK('ENGAGEMENTS 2026'!C1375),"",'ENGAGEMENTS 2026'!K1375)</f>
        <v/>
      </c>
      <c r="Q1375">
        <f>IF($A1375="","",IF(OR($E1375="INFRUCTUEUX",$E1375="ANNULE"),$A1375&amp;"|"&amp;(COUNTIFS($A$2:$A1375,$A1375,$E$2:$E1375,"INFRUCTUEUX")+COUNTIFS($A$2:$A1375,$A1375,$E$2:$E1375,"ANNULE")),""))</f>
        <v/>
      </c>
    </row>
    <row r="1376">
      <c r="A1376">
        <f>IF(ISBLANK('ENGAGEMENTS 2026'!C1376),"",IF('ENGAGEMENTS 2026'!C1376="DTSI","DCT",'ENGAGEMENTS 2026'!C1376))</f>
        <v/>
      </c>
      <c r="B1376">
        <f>IF(ISBLANK('ENGAGEMENTS 2026'!C1376),"",'ENGAGEMENTS 2026'!D1376)</f>
        <v/>
      </c>
      <c r="C1376">
        <f>IF(ISBLANK('ENGAGEMENTS 2026'!C1376),"",'ENGAGEMENTS 2026'!E1376)</f>
        <v/>
      </c>
      <c r="D1376">
        <f>IF(ISBLANK('ENGAGEMENTS 2026'!C1376),"",'ENGAGEMENTS 2026'!G1376)</f>
        <v/>
      </c>
      <c r="E1376">
        <f>IF(ISBLANK('ENGAGEMENTS 2026'!C1376),"",'ENGAGEMENTS 2026'!I1376)</f>
        <v/>
      </c>
      <c r="F1376">
        <f>IF(ISBLANK('ENGAGEMENTS 2026'!C1376),"",'ENGAGEMENTS 2026'!J1376)</f>
        <v/>
      </c>
      <c r="G1376">
        <f>IF(ISBLANK('ENGAGEMENTS 2026'!C1376),"",'ENGAGEMENTS 2026'!M1376)</f>
        <v/>
      </c>
      <c r="H1376">
        <f>IF(ISBLANK('ENGAGEMENTS 2026'!C1376),"",'ENGAGEMENTS 2026'!AF1376)</f>
        <v/>
      </c>
      <c r="I1376">
        <f>IF(ISBLANK('ENGAGEMENTS 2026'!C1376),"",'ENGAGEMENTS 2026'!H1376)</f>
        <v/>
      </c>
      <c r="J1376" s="275">
        <f>IF(ISBLANK('ENGAGEMENTS 2026'!C1376),"",IF(AND(OR($E1376="INFRUCTUEUX",$E1376="ANNULE"),$C1376="AOO-M"),'ENGAGEMENTS 2026'!P1376,IF($H1376="EN COURS DE PREENGAGEMENT",'ENGAGEMENTS 2026'!O1376,IF($H1376="PREENGAGE",IF($E1376="ATTRIBUE",'ENGAGEMENTS 2026'!AE1376,'ENGAGEMENTS 2026'!O1376),'ENGAGEMENTS 2026'!AE1376))))</f>
        <v/>
      </c>
      <c r="K1376" s="604">
        <f>IF(ISBLANK('ENGAGEMENTS 2026'!W1376),"",'ENGAGEMENTS 2026'!W1376)</f>
        <v/>
      </c>
      <c r="L1376" s="276">
        <f>IF($K1376="","",TODAY()-$K1376)</f>
        <v/>
      </c>
      <c r="M1376">
        <f>IF($A1376="","",IF($H1376="ENGAGE","Engagé",IF(AND($H1376="NON ENGAGE",OR($I1376="INFRUCTUEUX",$I1376="ANNULE")),"Clôturé sans suite","En cours")))</f>
        <v/>
      </c>
      <c r="N1376">
        <f>IF(ISBLANK('ENGAGEMENTS 2026'!C1376),"",'ENGAGEMENTS 2026'!L1376)</f>
        <v/>
      </c>
      <c r="O1376">
        <f>IF(ISBLANK('ENGAGEMENTS 2026'!C1376),"",'ENGAGEMENTS 2026'!M1376)</f>
        <v/>
      </c>
      <c r="P1376">
        <f>IF(ISBLANK('ENGAGEMENTS 2026'!C1376),"",'ENGAGEMENTS 2026'!K1376)</f>
        <v/>
      </c>
      <c r="Q1376">
        <f>IF($A1376="","",IF(OR($E1376="INFRUCTUEUX",$E1376="ANNULE"),$A1376&amp;"|"&amp;(COUNTIFS($A$2:$A1376,$A1376,$E$2:$E1376,"INFRUCTUEUX")+COUNTIFS($A$2:$A1376,$A1376,$E$2:$E1376,"ANNULE")),""))</f>
        <v/>
      </c>
    </row>
    <row r="1377">
      <c r="A1377">
        <f>IF(ISBLANK('ENGAGEMENTS 2026'!C1377),"",IF('ENGAGEMENTS 2026'!C1377="DTSI","DCT",'ENGAGEMENTS 2026'!C1377))</f>
        <v/>
      </c>
      <c r="B1377">
        <f>IF(ISBLANK('ENGAGEMENTS 2026'!C1377),"",'ENGAGEMENTS 2026'!D1377)</f>
        <v/>
      </c>
      <c r="C1377">
        <f>IF(ISBLANK('ENGAGEMENTS 2026'!C1377),"",'ENGAGEMENTS 2026'!E1377)</f>
        <v/>
      </c>
      <c r="D1377">
        <f>IF(ISBLANK('ENGAGEMENTS 2026'!C1377),"",'ENGAGEMENTS 2026'!G1377)</f>
        <v/>
      </c>
      <c r="E1377">
        <f>IF(ISBLANK('ENGAGEMENTS 2026'!C1377),"",'ENGAGEMENTS 2026'!I1377)</f>
        <v/>
      </c>
      <c r="F1377">
        <f>IF(ISBLANK('ENGAGEMENTS 2026'!C1377),"",'ENGAGEMENTS 2026'!J1377)</f>
        <v/>
      </c>
      <c r="G1377">
        <f>IF(ISBLANK('ENGAGEMENTS 2026'!C1377),"",'ENGAGEMENTS 2026'!M1377)</f>
        <v/>
      </c>
      <c r="H1377">
        <f>IF(ISBLANK('ENGAGEMENTS 2026'!C1377),"",'ENGAGEMENTS 2026'!AF1377)</f>
        <v/>
      </c>
      <c r="I1377">
        <f>IF(ISBLANK('ENGAGEMENTS 2026'!C1377),"",'ENGAGEMENTS 2026'!H1377)</f>
        <v/>
      </c>
      <c r="J1377" s="275">
        <f>IF(ISBLANK('ENGAGEMENTS 2026'!C1377),"",IF(AND(OR($E1377="INFRUCTUEUX",$E1377="ANNULE"),$C1377="AOO-M"),'ENGAGEMENTS 2026'!P1377,IF($H1377="EN COURS DE PREENGAGEMENT",'ENGAGEMENTS 2026'!O1377,IF($H1377="PREENGAGE",IF($E1377="ATTRIBUE",'ENGAGEMENTS 2026'!AE1377,'ENGAGEMENTS 2026'!O1377),'ENGAGEMENTS 2026'!AE1377))))</f>
        <v/>
      </c>
      <c r="K1377" s="604">
        <f>IF(ISBLANK('ENGAGEMENTS 2026'!W1377),"",'ENGAGEMENTS 2026'!W1377)</f>
        <v/>
      </c>
      <c r="L1377" s="276">
        <f>IF($K1377="","",TODAY()-$K1377)</f>
        <v/>
      </c>
      <c r="M1377">
        <f>IF($A1377="","",IF($H1377="ENGAGE","Engagé",IF(AND($H1377="NON ENGAGE",OR($I1377="INFRUCTUEUX",$I1377="ANNULE")),"Clôturé sans suite","En cours")))</f>
        <v/>
      </c>
      <c r="N1377">
        <f>IF(ISBLANK('ENGAGEMENTS 2026'!C1377),"",'ENGAGEMENTS 2026'!L1377)</f>
        <v/>
      </c>
      <c r="O1377">
        <f>IF(ISBLANK('ENGAGEMENTS 2026'!C1377),"",'ENGAGEMENTS 2026'!M1377)</f>
        <v/>
      </c>
      <c r="P1377">
        <f>IF(ISBLANK('ENGAGEMENTS 2026'!C1377),"",'ENGAGEMENTS 2026'!K1377)</f>
        <v/>
      </c>
      <c r="Q1377">
        <f>IF($A1377="","",IF(OR($E1377="INFRUCTUEUX",$E1377="ANNULE"),$A1377&amp;"|"&amp;(COUNTIFS($A$2:$A1377,$A1377,$E$2:$E1377,"INFRUCTUEUX")+COUNTIFS($A$2:$A1377,$A1377,$E$2:$E1377,"ANNULE")),""))</f>
        <v/>
      </c>
    </row>
    <row r="1378">
      <c r="A1378">
        <f>IF(ISBLANK('ENGAGEMENTS 2026'!C1378),"",IF('ENGAGEMENTS 2026'!C1378="DTSI","DCT",'ENGAGEMENTS 2026'!C1378))</f>
        <v/>
      </c>
      <c r="B1378">
        <f>IF(ISBLANK('ENGAGEMENTS 2026'!C1378),"",'ENGAGEMENTS 2026'!D1378)</f>
        <v/>
      </c>
      <c r="C1378">
        <f>IF(ISBLANK('ENGAGEMENTS 2026'!C1378),"",'ENGAGEMENTS 2026'!E1378)</f>
        <v/>
      </c>
      <c r="D1378">
        <f>IF(ISBLANK('ENGAGEMENTS 2026'!C1378),"",'ENGAGEMENTS 2026'!G1378)</f>
        <v/>
      </c>
      <c r="E1378">
        <f>IF(ISBLANK('ENGAGEMENTS 2026'!C1378),"",'ENGAGEMENTS 2026'!I1378)</f>
        <v/>
      </c>
      <c r="F1378">
        <f>IF(ISBLANK('ENGAGEMENTS 2026'!C1378),"",'ENGAGEMENTS 2026'!J1378)</f>
        <v/>
      </c>
      <c r="G1378">
        <f>IF(ISBLANK('ENGAGEMENTS 2026'!C1378),"",'ENGAGEMENTS 2026'!M1378)</f>
        <v/>
      </c>
      <c r="H1378">
        <f>IF(ISBLANK('ENGAGEMENTS 2026'!C1378),"",'ENGAGEMENTS 2026'!AF1378)</f>
        <v/>
      </c>
      <c r="I1378">
        <f>IF(ISBLANK('ENGAGEMENTS 2026'!C1378),"",'ENGAGEMENTS 2026'!H1378)</f>
        <v/>
      </c>
      <c r="J1378" s="275">
        <f>IF(ISBLANK('ENGAGEMENTS 2026'!C1378),"",IF(AND(OR($E1378="INFRUCTUEUX",$E1378="ANNULE"),$C1378="AOO-M"),'ENGAGEMENTS 2026'!P1378,IF($H1378="EN COURS DE PREENGAGEMENT",'ENGAGEMENTS 2026'!O1378,IF($H1378="PREENGAGE",IF($E1378="ATTRIBUE",'ENGAGEMENTS 2026'!AE1378,'ENGAGEMENTS 2026'!O1378),'ENGAGEMENTS 2026'!AE1378))))</f>
        <v/>
      </c>
      <c r="K1378" s="604">
        <f>IF(ISBLANK('ENGAGEMENTS 2026'!W1378),"",'ENGAGEMENTS 2026'!W1378)</f>
        <v/>
      </c>
      <c r="L1378" s="276">
        <f>IF($K1378="","",TODAY()-$K1378)</f>
        <v/>
      </c>
      <c r="M1378">
        <f>IF($A1378="","",IF($H1378="ENGAGE","Engagé",IF(AND($H1378="NON ENGAGE",OR($I1378="INFRUCTUEUX",$I1378="ANNULE")),"Clôturé sans suite","En cours")))</f>
        <v/>
      </c>
      <c r="N1378">
        <f>IF(ISBLANK('ENGAGEMENTS 2026'!C1378),"",'ENGAGEMENTS 2026'!L1378)</f>
        <v/>
      </c>
      <c r="O1378">
        <f>IF(ISBLANK('ENGAGEMENTS 2026'!C1378),"",'ENGAGEMENTS 2026'!M1378)</f>
        <v/>
      </c>
      <c r="P1378">
        <f>IF(ISBLANK('ENGAGEMENTS 2026'!C1378),"",'ENGAGEMENTS 2026'!K1378)</f>
        <v/>
      </c>
      <c r="Q1378">
        <f>IF($A1378="","",IF(OR($E1378="INFRUCTUEUX",$E1378="ANNULE"),$A1378&amp;"|"&amp;(COUNTIFS($A$2:$A1378,$A1378,$E$2:$E1378,"INFRUCTUEUX")+COUNTIFS($A$2:$A1378,$A1378,$E$2:$E1378,"ANNULE")),""))</f>
        <v/>
      </c>
    </row>
    <row r="1379">
      <c r="A1379">
        <f>IF(ISBLANK('ENGAGEMENTS 2026'!C1379),"",IF('ENGAGEMENTS 2026'!C1379="DTSI","DCT",'ENGAGEMENTS 2026'!C1379))</f>
        <v/>
      </c>
      <c r="B1379">
        <f>IF(ISBLANK('ENGAGEMENTS 2026'!C1379),"",'ENGAGEMENTS 2026'!D1379)</f>
        <v/>
      </c>
      <c r="C1379">
        <f>IF(ISBLANK('ENGAGEMENTS 2026'!C1379),"",'ENGAGEMENTS 2026'!E1379)</f>
        <v/>
      </c>
      <c r="D1379">
        <f>IF(ISBLANK('ENGAGEMENTS 2026'!C1379),"",'ENGAGEMENTS 2026'!G1379)</f>
        <v/>
      </c>
      <c r="E1379">
        <f>IF(ISBLANK('ENGAGEMENTS 2026'!C1379),"",'ENGAGEMENTS 2026'!I1379)</f>
        <v/>
      </c>
      <c r="F1379">
        <f>IF(ISBLANK('ENGAGEMENTS 2026'!C1379),"",'ENGAGEMENTS 2026'!J1379)</f>
        <v/>
      </c>
      <c r="G1379">
        <f>IF(ISBLANK('ENGAGEMENTS 2026'!C1379),"",'ENGAGEMENTS 2026'!M1379)</f>
        <v/>
      </c>
      <c r="H1379">
        <f>IF(ISBLANK('ENGAGEMENTS 2026'!C1379),"",'ENGAGEMENTS 2026'!AF1379)</f>
        <v/>
      </c>
      <c r="I1379">
        <f>IF(ISBLANK('ENGAGEMENTS 2026'!C1379),"",'ENGAGEMENTS 2026'!H1379)</f>
        <v/>
      </c>
      <c r="J1379" s="275">
        <f>IF(ISBLANK('ENGAGEMENTS 2026'!C1379),"",IF(AND(OR($E1379="INFRUCTUEUX",$E1379="ANNULE"),$C1379="AOO-M"),'ENGAGEMENTS 2026'!P1379,IF($H1379="EN COURS DE PREENGAGEMENT",'ENGAGEMENTS 2026'!O1379,IF($H1379="PREENGAGE",IF($E1379="ATTRIBUE",'ENGAGEMENTS 2026'!AE1379,'ENGAGEMENTS 2026'!O1379),'ENGAGEMENTS 2026'!AE1379))))</f>
        <v/>
      </c>
      <c r="K1379" s="604">
        <f>IF(ISBLANK('ENGAGEMENTS 2026'!W1379),"",'ENGAGEMENTS 2026'!W1379)</f>
        <v/>
      </c>
      <c r="L1379" s="276">
        <f>IF($K1379="","",TODAY()-$K1379)</f>
        <v/>
      </c>
      <c r="M1379">
        <f>IF($A1379="","",IF($H1379="ENGAGE","Engagé",IF(AND($H1379="NON ENGAGE",OR($I1379="INFRUCTUEUX",$I1379="ANNULE")),"Clôturé sans suite","En cours")))</f>
        <v/>
      </c>
      <c r="N1379">
        <f>IF(ISBLANK('ENGAGEMENTS 2026'!C1379),"",'ENGAGEMENTS 2026'!L1379)</f>
        <v/>
      </c>
      <c r="O1379">
        <f>IF(ISBLANK('ENGAGEMENTS 2026'!C1379),"",'ENGAGEMENTS 2026'!M1379)</f>
        <v/>
      </c>
      <c r="P1379">
        <f>IF(ISBLANK('ENGAGEMENTS 2026'!C1379),"",'ENGAGEMENTS 2026'!K1379)</f>
        <v/>
      </c>
      <c r="Q1379">
        <f>IF($A1379="","",IF(OR($E1379="INFRUCTUEUX",$E1379="ANNULE"),$A1379&amp;"|"&amp;(COUNTIFS($A$2:$A1379,$A1379,$E$2:$E1379,"INFRUCTUEUX")+COUNTIFS($A$2:$A1379,$A1379,$E$2:$E1379,"ANNULE")),""))</f>
        <v/>
      </c>
    </row>
    <row r="1380">
      <c r="A1380">
        <f>IF(ISBLANK('ENGAGEMENTS 2026'!C1380),"",IF('ENGAGEMENTS 2026'!C1380="DTSI","DCT",'ENGAGEMENTS 2026'!C1380))</f>
        <v/>
      </c>
      <c r="B1380">
        <f>IF(ISBLANK('ENGAGEMENTS 2026'!C1380),"",'ENGAGEMENTS 2026'!D1380)</f>
        <v/>
      </c>
      <c r="C1380">
        <f>IF(ISBLANK('ENGAGEMENTS 2026'!C1380),"",'ENGAGEMENTS 2026'!E1380)</f>
        <v/>
      </c>
      <c r="D1380">
        <f>IF(ISBLANK('ENGAGEMENTS 2026'!C1380),"",'ENGAGEMENTS 2026'!G1380)</f>
        <v/>
      </c>
      <c r="E1380">
        <f>IF(ISBLANK('ENGAGEMENTS 2026'!C1380),"",'ENGAGEMENTS 2026'!I1380)</f>
        <v/>
      </c>
      <c r="F1380">
        <f>IF(ISBLANK('ENGAGEMENTS 2026'!C1380),"",'ENGAGEMENTS 2026'!J1380)</f>
        <v/>
      </c>
      <c r="G1380">
        <f>IF(ISBLANK('ENGAGEMENTS 2026'!C1380),"",'ENGAGEMENTS 2026'!M1380)</f>
        <v/>
      </c>
      <c r="H1380">
        <f>IF(ISBLANK('ENGAGEMENTS 2026'!C1380),"",'ENGAGEMENTS 2026'!AF1380)</f>
        <v/>
      </c>
      <c r="I1380">
        <f>IF(ISBLANK('ENGAGEMENTS 2026'!C1380),"",'ENGAGEMENTS 2026'!H1380)</f>
        <v/>
      </c>
      <c r="J1380" s="275">
        <f>IF(ISBLANK('ENGAGEMENTS 2026'!C1380),"",IF(AND(OR($E1380="INFRUCTUEUX",$E1380="ANNULE"),$C1380="AOO-M"),'ENGAGEMENTS 2026'!P1380,IF($H1380="EN COURS DE PREENGAGEMENT",'ENGAGEMENTS 2026'!O1380,IF($H1380="PREENGAGE",IF($E1380="ATTRIBUE",'ENGAGEMENTS 2026'!AE1380,'ENGAGEMENTS 2026'!O1380),'ENGAGEMENTS 2026'!AE1380))))</f>
        <v/>
      </c>
      <c r="K1380" s="604">
        <f>IF(ISBLANK('ENGAGEMENTS 2026'!W1380),"",'ENGAGEMENTS 2026'!W1380)</f>
        <v/>
      </c>
      <c r="L1380" s="276">
        <f>IF($K1380="","",TODAY()-$K1380)</f>
        <v/>
      </c>
      <c r="M1380">
        <f>IF($A1380="","",IF($H1380="ENGAGE","Engagé",IF(AND($H1380="NON ENGAGE",OR($I1380="INFRUCTUEUX",$I1380="ANNULE")),"Clôturé sans suite","En cours")))</f>
        <v/>
      </c>
      <c r="N1380">
        <f>IF(ISBLANK('ENGAGEMENTS 2026'!C1380),"",'ENGAGEMENTS 2026'!L1380)</f>
        <v/>
      </c>
      <c r="O1380">
        <f>IF(ISBLANK('ENGAGEMENTS 2026'!C1380),"",'ENGAGEMENTS 2026'!M1380)</f>
        <v/>
      </c>
      <c r="P1380">
        <f>IF(ISBLANK('ENGAGEMENTS 2026'!C1380),"",'ENGAGEMENTS 2026'!K1380)</f>
        <v/>
      </c>
      <c r="Q1380">
        <f>IF($A1380="","",IF(OR($E1380="INFRUCTUEUX",$E1380="ANNULE"),$A1380&amp;"|"&amp;(COUNTIFS($A$2:$A1380,$A1380,$E$2:$E1380,"INFRUCTUEUX")+COUNTIFS($A$2:$A1380,$A1380,$E$2:$E1380,"ANNULE")),""))</f>
        <v/>
      </c>
    </row>
    <row r="1381">
      <c r="A1381">
        <f>IF(ISBLANK('ENGAGEMENTS 2026'!C1381),"",IF('ENGAGEMENTS 2026'!C1381="DTSI","DCT",'ENGAGEMENTS 2026'!C1381))</f>
        <v/>
      </c>
      <c r="B1381">
        <f>IF(ISBLANK('ENGAGEMENTS 2026'!C1381),"",'ENGAGEMENTS 2026'!D1381)</f>
        <v/>
      </c>
      <c r="C1381">
        <f>IF(ISBLANK('ENGAGEMENTS 2026'!C1381),"",'ENGAGEMENTS 2026'!E1381)</f>
        <v/>
      </c>
      <c r="D1381">
        <f>IF(ISBLANK('ENGAGEMENTS 2026'!C1381),"",'ENGAGEMENTS 2026'!G1381)</f>
        <v/>
      </c>
      <c r="E1381">
        <f>IF(ISBLANK('ENGAGEMENTS 2026'!C1381),"",'ENGAGEMENTS 2026'!I1381)</f>
        <v/>
      </c>
      <c r="F1381">
        <f>IF(ISBLANK('ENGAGEMENTS 2026'!C1381),"",'ENGAGEMENTS 2026'!J1381)</f>
        <v/>
      </c>
      <c r="G1381">
        <f>IF(ISBLANK('ENGAGEMENTS 2026'!C1381),"",'ENGAGEMENTS 2026'!M1381)</f>
        <v/>
      </c>
      <c r="H1381">
        <f>IF(ISBLANK('ENGAGEMENTS 2026'!C1381),"",'ENGAGEMENTS 2026'!AF1381)</f>
        <v/>
      </c>
      <c r="I1381">
        <f>IF(ISBLANK('ENGAGEMENTS 2026'!C1381),"",'ENGAGEMENTS 2026'!H1381)</f>
        <v/>
      </c>
      <c r="J1381" s="275">
        <f>IF(ISBLANK('ENGAGEMENTS 2026'!C1381),"",IF(AND(OR($E1381="INFRUCTUEUX",$E1381="ANNULE"),$C1381="AOO-M"),'ENGAGEMENTS 2026'!P1381,IF($H1381="EN COURS DE PREENGAGEMENT",'ENGAGEMENTS 2026'!O1381,IF($H1381="PREENGAGE",IF($E1381="ATTRIBUE",'ENGAGEMENTS 2026'!AE1381,'ENGAGEMENTS 2026'!O1381),'ENGAGEMENTS 2026'!AE1381))))</f>
        <v/>
      </c>
      <c r="K1381" s="604">
        <f>IF(ISBLANK('ENGAGEMENTS 2026'!W1381),"",'ENGAGEMENTS 2026'!W1381)</f>
        <v/>
      </c>
      <c r="L1381" s="276">
        <f>IF($K1381="","",TODAY()-$K1381)</f>
        <v/>
      </c>
      <c r="M1381">
        <f>IF($A1381="","",IF($H1381="ENGAGE","Engagé",IF(AND($H1381="NON ENGAGE",OR($I1381="INFRUCTUEUX",$I1381="ANNULE")),"Clôturé sans suite","En cours")))</f>
        <v/>
      </c>
      <c r="N1381">
        <f>IF(ISBLANK('ENGAGEMENTS 2026'!C1381),"",'ENGAGEMENTS 2026'!L1381)</f>
        <v/>
      </c>
      <c r="O1381">
        <f>IF(ISBLANK('ENGAGEMENTS 2026'!C1381),"",'ENGAGEMENTS 2026'!M1381)</f>
        <v/>
      </c>
      <c r="P1381">
        <f>IF(ISBLANK('ENGAGEMENTS 2026'!C1381),"",'ENGAGEMENTS 2026'!K1381)</f>
        <v/>
      </c>
      <c r="Q1381">
        <f>IF($A1381="","",IF(OR($E1381="INFRUCTUEUX",$E1381="ANNULE"),$A1381&amp;"|"&amp;(COUNTIFS($A$2:$A1381,$A1381,$E$2:$E1381,"INFRUCTUEUX")+COUNTIFS($A$2:$A1381,$A1381,$E$2:$E1381,"ANNULE")),""))</f>
        <v/>
      </c>
    </row>
    <row r="1382">
      <c r="A1382">
        <f>IF(ISBLANK('ENGAGEMENTS 2026'!C1382),"",IF('ENGAGEMENTS 2026'!C1382="DTSI","DCT",'ENGAGEMENTS 2026'!C1382))</f>
        <v/>
      </c>
      <c r="B1382">
        <f>IF(ISBLANK('ENGAGEMENTS 2026'!C1382),"",'ENGAGEMENTS 2026'!D1382)</f>
        <v/>
      </c>
      <c r="C1382">
        <f>IF(ISBLANK('ENGAGEMENTS 2026'!C1382),"",'ENGAGEMENTS 2026'!E1382)</f>
        <v/>
      </c>
      <c r="D1382">
        <f>IF(ISBLANK('ENGAGEMENTS 2026'!C1382),"",'ENGAGEMENTS 2026'!G1382)</f>
        <v/>
      </c>
      <c r="E1382">
        <f>IF(ISBLANK('ENGAGEMENTS 2026'!C1382),"",'ENGAGEMENTS 2026'!I1382)</f>
        <v/>
      </c>
      <c r="F1382">
        <f>IF(ISBLANK('ENGAGEMENTS 2026'!C1382),"",'ENGAGEMENTS 2026'!J1382)</f>
        <v/>
      </c>
      <c r="G1382">
        <f>IF(ISBLANK('ENGAGEMENTS 2026'!C1382),"",'ENGAGEMENTS 2026'!M1382)</f>
        <v/>
      </c>
      <c r="H1382">
        <f>IF(ISBLANK('ENGAGEMENTS 2026'!C1382),"",'ENGAGEMENTS 2026'!AF1382)</f>
        <v/>
      </c>
      <c r="I1382">
        <f>IF(ISBLANK('ENGAGEMENTS 2026'!C1382),"",'ENGAGEMENTS 2026'!H1382)</f>
        <v/>
      </c>
      <c r="J1382" s="275">
        <f>IF(ISBLANK('ENGAGEMENTS 2026'!C1382),"",IF(AND(OR($E1382="INFRUCTUEUX",$E1382="ANNULE"),$C1382="AOO-M"),'ENGAGEMENTS 2026'!P1382,IF($H1382="EN COURS DE PREENGAGEMENT",'ENGAGEMENTS 2026'!O1382,IF($H1382="PREENGAGE",IF($E1382="ATTRIBUE",'ENGAGEMENTS 2026'!AE1382,'ENGAGEMENTS 2026'!O1382),'ENGAGEMENTS 2026'!AE1382))))</f>
        <v/>
      </c>
      <c r="K1382" s="604">
        <f>IF(ISBLANK('ENGAGEMENTS 2026'!W1382),"",'ENGAGEMENTS 2026'!W1382)</f>
        <v/>
      </c>
      <c r="L1382" s="276">
        <f>IF($K1382="","",TODAY()-$K1382)</f>
        <v/>
      </c>
      <c r="M1382">
        <f>IF($A1382="","",IF($H1382="ENGAGE","Engagé",IF(AND($H1382="NON ENGAGE",OR($I1382="INFRUCTUEUX",$I1382="ANNULE")),"Clôturé sans suite","En cours")))</f>
        <v/>
      </c>
      <c r="N1382">
        <f>IF(ISBLANK('ENGAGEMENTS 2026'!C1382),"",'ENGAGEMENTS 2026'!L1382)</f>
        <v/>
      </c>
      <c r="O1382">
        <f>IF(ISBLANK('ENGAGEMENTS 2026'!C1382),"",'ENGAGEMENTS 2026'!M1382)</f>
        <v/>
      </c>
      <c r="P1382">
        <f>IF(ISBLANK('ENGAGEMENTS 2026'!C1382),"",'ENGAGEMENTS 2026'!K1382)</f>
        <v/>
      </c>
      <c r="Q1382">
        <f>IF($A1382="","",IF(OR($E1382="INFRUCTUEUX",$E1382="ANNULE"),$A1382&amp;"|"&amp;(COUNTIFS($A$2:$A1382,$A1382,$E$2:$E1382,"INFRUCTUEUX")+COUNTIFS($A$2:$A1382,$A1382,$E$2:$E1382,"ANNULE")),""))</f>
        <v/>
      </c>
    </row>
    <row r="1383">
      <c r="A1383">
        <f>IF(ISBLANK('ENGAGEMENTS 2026'!C1383),"",IF('ENGAGEMENTS 2026'!C1383="DTSI","DCT",'ENGAGEMENTS 2026'!C1383))</f>
        <v/>
      </c>
      <c r="B1383">
        <f>IF(ISBLANK('ENGAGEMENTS 2026'!C1383),"",'ENGAGEMENTS 2026'!D1383)</f>
        <v/>
      </c>
      <c r="C1383">
        <f>IF(ISBLANK('ENGAGEMENTS 2026'!C1383),"",'ENGAGEMENTS 2026'!E1383)</f>
        <v/>
      </c>
      <c r="D1383">
        <f>IF(ISBLANK('ENGAGEMENTS 2026'!C1383),"",'ENGAGEMENTS 2026'!G1383)</f>
        <v/>
      </c>
      <c r="E1383">
        <f>IF(ISBLANK('ENGAGEMENTS 2026'!C1383),"",'ENGAGEMENTS 2026'!I1383)</f>
        <v/>
      </c>
      <c r="F1383">
        <f>IF(ISBLANK('ENGAGEMENTS 2026'!C1383),"",'ENGAGEMENTS 2026'!J1383)</f>
        <v/>
      </c>
      <c r="G1383">
        <f>IF(ISBLANK('ENGAGEMENTS 2026'!C1383),"",'ENGAGEMENTS 2026'!M1383)</f>
        <v/>
      </c>
      <c r="H1383">
        <f>IF(ISBLANK('ENGAGEMENTS 2026'!C1383),"",'ENGAGEMENTS 2026'!AF1383)</f>
        <v/>
      </c>
      <c r="I1383">
        <f>IF(ISBLANK('ENGAGEMENTS 2026'!C1383),"",'ENGAGEMENTS 2026'!H1383)</f>
        <v/>
      </c>
      <c r="J1383" s="275">
        <f>IF(ISBLANK('ENGAGEMENTS 2026'!C1383),"",IF(AND(OR($E1383="INFRUCTUEUX",$E1383="ANNULE"),$C1383="AOO-M"),'ENGAGEMENTS 2026'!P1383,IF($H1383="EN COURS DE PREENGAGEMENT",'ENGAGEMENTS 2026'!O1383,IF($H1383="PREENGAGE",IF($E1383="ATTRIBUE",'ENGAGEMENTS 2026'!AE1383,'ENGAGEMENTS 2026'!O1383),'ENGAGEMENTS 2026'!AE1383))))</f>
        <v/>
      </c>
      <c r="K1383" s="604">
        <f>IF(ISBLANK('ENGAGEMENTS 2026'!W1383),"",'ENGAGEMENTS 2026'!W1383)</f>
        <v/>
      </c>
      <c r="L1383" s="276">
        <f>IF($K1383="","",TODAY()-$K1383)</f>
        <v/>
      </c>
      <c r="M1383">
        <f>IF($A1383="","",IF($H1383="ENGAGE","Engagé",IF(AND($H1383="NON ENGAGE",OR($I1383="INFRUCTUEUX",$I1383="ANNULE")),"Clôturé sans suite","En cours")))</f>
        <v/>
      </c>
      <c r="N1383">
        <f>IF(ISBLANK('ENGAGEMENTS 2026'!C1383),"",'ENGAGEMENTS 2026'!L1383)</f>
        <v/>
      </c>
      <c r="O1383">
        <f>IF(ISBLANK('ENGAGEMENTS 2026'!C1383),"",'ENGAGEMENTS 2026'!M1383)</f>
        <v/>
      </c>
      <c r="P1383">
        <f>IF(ISBLANK('ENGAGEMENTS 2026'!C1383),"",'ENGAGEMENTS 2026'!K1383)</f>
        <v/>
      </c>
      <c r="Q1383">
        <f>IF($A1383="","",IF(OR($E1383="INFRUCTUEUX",$E1383="ANNULE"),$A1383&amp;"|"&amp;(COUNTIFS($A$2:$A1383,$A1383,$E$2:$E1383,"INFRUCTUEUX")+COUNTIFS($A$2:$A1383,$A1383,$E$2:$E1383,"ANNULE")),""))</f>
        <v/>
      </c>
    </row>
    <row r="1384">
      <c r="A1384">
        <f>IF(ISBLANK('ENGAGEMENTS 2026'!C1384),"",IF('ENGAGEMENTS 2026'!C1384="DTSI","DCT",'ENGAGEMENTS 2026'!C1384))</f>
        <v/>
      </c>
      <c r="B1384">
        <f>IF(ISBLANK('ENGAGEMENTS 2026'!C1384),"",'ENGAGEMENTS 2026'!D1384)</f>
        <v/>
      </c>
      <c r="C1384">
        <f>IF(ISBLANK('ENGAGEMENTS 2026'!C1384),"",'ENGAGEMENTS 2026'!E1384)</f>
        <v/>
      </c>
      <c r="D1384">
        <f>IF(ISBLANK('ENGAGEMENTS 2026'!C1384),"",'ENGAGEMENTS 2026'!G1384)</f>
        <v/>
      </c>
      <c r="E1384">
        <f>IF(ISBLANK('ENGAGEMENTS 2026'!C1384),"",'ENGAGEMENTS 2026'!I1384)</f>
        <v/>
      </c>
      <c r="F1384">
        <f>IF(ISBLANK('ENGAGEMENTS 2026'!C1384),"",'ENGAGEMENTS 2026'!J1384)</f>
        <v/>
      </c>
      <c r="G1384">
        <f>IF(ISBLANK('ENGAGEMENTS 2026'!C1384),"",'ENGAGEMENTS 2026'!M1384)</f>
        <v/>
      </c>
      <c r="H1384">
        <f>IF(ISBLANK('ENGAGEMENTS 2026'!C1384),"",'ENGAGEMENTS 2026'!AF1384)</f>
        <v/>
      </c>
      <c r="I1384">
        <f>IF(ISBLANK('ENGAGEMENTS 2026'!C1384),"",'ENGAGEMENTS 2026'!H1384)</f>
        <v/>
      </c>
      <c r="J1384" s="275">
        <f>IF(ISBLANK('ENGAGEMENTS 2026'!C1384),"",IF(AND(OR($E1384="INFRUCTUEUX",$E1384="ANNULE"),$C1384="AOO-M"),'ENGAGEMENTS 2026'!P1384,IF($H1384="EN COURS DE PREENGAGEMENT",'ENGAGEMENTS 2026'!O1384,IF($H1384="PREENGAGE",IF($E1384="ATTRIBUE",'ENGAGEMENTS 2026'!AE1384,'ENGAGEMENTS 2026'!O1384),'ENGAGEMENTS 2026'!AE1384))))</f>
        <v/>
      </c>
      <c r="K1384" s="604">
        <f>IF(ISBLANK('ENGAGEMENTS 2026'!W1384),"",'ENGAGEMENTS 2026'!W1384)</f>
        <v/>
      </c>
      <c r="L1384" s="276">
        <f>IF($K1384="","",TODAY()-$K1384)</f>
        <v/>
      </c>
      <c r="M1384">
        <f>IF($A1384="","",IF($H1384="ENGAGE","Engagé",IF(AND($H1384="NON ENGAGE",OR($I1384="INFRUCTUEUX",$I1384="ANNULE")),"Clôturé sans suite","En cours")))</f>
        <v/>
      </c>
      <c r="N1384">
        <f>IF(ISBLANK('ENGAGEMENTS 2026'!C1384),"",'ENGAGEMENTS 2026'!L1384)</f>
        <v/>
      </c>
      <c r="O1384">
        <f>IF(ISBLANK('ENGAGEMENTS 2026'!C1384),"",'ENGAGEMENTS 2026'!M1384)</f>
        <v/>
      </c>
      <c r="P1384">
        <f>IF(ISBLANK('ENGAGEMENTS 2026'!C1384),"",'ENGAGEMENTS 2026'!K1384)</f>
        <v/>
      </c>
      <c r="Q1384">
        <f>IF($A1384="","",IF(OR($E1384="INFRUCTUEUX",$E1384="ANNULE"),$A1384&amp;"|"&amp;(COUNTIFS($A$2:$A1384,$A1384,$E$2:$E1384,"INFRUCTUEUX")+COUNTIFS($A$2:$A1384,$A1384,$E$2:$E1384,"ANNULE")),""))</f>
        <v/>
      </c>
    </row>
    <row r="1385">
      <c r="A1385">
        <f>IF(ISBLANK('ENGAGEMENTS 2026'!C1385),"",IF('ENGAGEMENTS 2026'!C1385="DTSI","DCT",'ENGAGEMENTS 2026'!C1385))</f>
        <v/>
      </c>
      <c r="B1385">
        <f>IF(ISBLANK('ENGAGEMENTS 2026'!C1385),"",'ENGAGEMENTS 2026'!D1385)</f>
        <v/>
      </c>
      <c r="C1385">
        <f>IF(ISBLANK('ENGAGEMENTS 2026'!C1385),"",'ENGAGEMENTS 2026'!E1385)</f>
        <v/>
      </c>
      <c r="D1385">
        <f>IF(ISBLANK('ENGAGEMENTS 2026'!C1385),"",'ENGAGEMENTS 2026'!G1385)</f>
        <v/>
      </c>
      <c r="E1385">
        <f>IF(ISBLANK('ENGAGEMENTS 2026'!C1385),"",'ENGAGEMENTS 2026'!I1385)</f>
        <v/>
      </c>
      <c r="F1385">
        <f>IF(ISBLANK('ENGAGEMENTS 2026'!C1385),"",'ENGAGEMENTS 2026'!J1385)</f>
        <v/>
      </c>
      <c r="G1385">
        <f>IF(ISBLANK('ENGAGEMENTS 2026'!C1385),"",'ENGAGEMENTS 2026'!M1385)</f>
        <v/>
      </c>
      <c r="H1385">
        <f>IF(ISBLANK('ENGAGEMENTS 2026'!C1385),"",'ENGAGEMENTS 2026'!AF1385)</f>
        <v/>
      </c>
      <c r="I1385">
        <f>IF(ISBLANK('ENGAGEMENTS 2026'!C1385),"",'ENGAGEMENTS 2026'!H1385)</f>
        <v/>
      </c>
      <c r="J1385" s="275">
        <f>IF(ISBLANK('ENGAGEMENTS 2026'!C1385),"",IF(AND(OR($E1385="INFRUCTUEUX",$E1385="ANNULE"),$C1385="AOO-M"),'ENGAGEMENTS 2026'!P1385,IF($H1385="EN COURS DE PREENGAGEMENT",'ENGAGEMENTS 2026'!O1385,IF($H1385="PREENGAGE",IF($E1385="ATTRIBUE",'ENGAGEMENTS 2026'!AE1385,'ENGAGEMENTS 2026'!O1385),'ENGAGEMENTS 2026'!AE1385))))</f>
        <v/>
      </c>
      <c r="K1385" s="604">
        <f>IF(ISBLANK('ENGAGEMENTS 2026'!W1385),"",'ENGAGEMENTS 2026'!W1385)</f>
        <v/>
      </c>
      <c r="L1385" s="276">
        <f>IF($K1385="","",TODAY()-$K1385)</f>
        <v/>
      </c>
      <c r="M1385">
        <f>IF($A1385="","",IF($H1385="ENGAGE","Engagé",IF(AND($H1385="NON ENGAGE",OR($I1385="INFRUCTUEUX",$I1385="ANNULE")),"Clôturé sans suite","En cours")))</f>
        <v/>
      </c>
      <c r="N1385">
        <f>IF(ISBLANK('ENGAGEMENTS 2026'!C1385),"",'ENGAGEMENTS 2026'!L1385)</f>
        <v/>
      </c>
      <c r="O1385">
        <f>IF(ISBLANK('ENGAGEMENTS 2026'!C1385),"",'ENGAGEMENTS 2026'!M1385)</f>
        <v/>
      </c>
      <c r="P1385">
        <f>IF(ISBLANK('ENGAGEMENTS 2026'!C1385),"",'ENGAGEMENTS 2026'!K1385)</f>
        <v/>
      </c>
      <c r="Q1385">
        <f>IF($A1385="","",IF(OR($E1385="INFRUCTUEUX",$E1385="ANNULE"),$A1385&amp;"|"&amp;(COUNTIFS($A$2:$A1385,$A1385,$E$2:$E1385,"INFRUCTUEUX")+COUNTIFS($A$2:$A1385,$A1385,$E$2:$E1385,"ANNULE")),""))</f>
        <v/>
      </c>
    </row>
    <row r="1386">
      <c r="A1386">
        <f>IF(ISBLANK('ENGAGEMENTS 2026'!C1386),"",IF('ENGAGEMENTS 2026'!C1386="DTSI","DCT",'ENGAGEMENTS 2026'!C1386))</f>
        <v/>
      </c>
      <c r="B1386">
        <f>IF(ISBLANK('ENGAGEMENTS 2026'!C1386),"",'ENGAGEMENTS 2026'!D1386)</f>
        <v/>
      </c>
      <c r="C1386">
        <f>IF(ISBLANK('ENGAGEMENTS 2026'!C1386),"",'ENGAGEMENTS 2026'!E1386)</f>
        <v/>
      </c>
      <c r="D1386">
        <f>IF(ISBLANK('ENGAGEMENTS 2026'!C1386),"",'ENGAGEMENTS 2026'!G1386)</f>
        <v/>
      </c>
      <c r="E1386">
        <f>IF(ISBLANK('ENGAGEMENTS 2026'!C1386),"",'ENGAGEMENTS 2026'!I1386)</f>
        <v/>
      </c>
      <c r="F1386">
        <f>IF(ISBLANK('ENGAGEMENTS 2026'!C1386),"",'ENGAGEMENTS 2026'!J1386)</f>
        <v/>
      </c>
      <c r="G1386">
        <f>IF(ISBLANK('ENGAGEMENTS 2026'!C1386),"",'ENGAGEMENTS 2026'!M1386)</f>
        <v/>
      </c>
      <c r="H1386">
        <f>IF(ISBLANK('ENGAGEMENTS 2026'!C1386),"",'ENGAGEMENTS 2026'!AF1386)</f>
        <v/>
      </c>
      <c r="I1386">
        <f>IF(ISBLANK('ENGAGEMENTS 2026'!C1386),"",'ENGAGEMENTS 2026'!H1386)</f>
        <v/>
      </c>
      <c r="J1386" s="275">
        <f>IF(ISBLANK('ENGAGEMENTS 2026'!C1386),"",IF(AND(OR($E1386="INFRUCTUEUX",$E1386="ANNULE"),$C1386="AOO-M"),'ENGAGEMENTS 2026'!P1386,IF($H1386="EN COURS DE PREENGAGEMENT",'ENGAGEMENTS 2026'!O1386,IF($H1386="PREENGAGE",IF($E1386="ATTRIBUE",'ENGAGEMENTS 2026'!AE1386,'ENGAGEMENTS 2026'!O1386),'ENGAGEMENTS 2026'!AE1386))))</f>
        <v/>
      </c>
      <c r="K1386" s="604">
        <f>IF(ISBLANK('ENGAGEMENTS 2026'!W1386),"",'ENGAGEMENTS 2026'!W1386)</f>
        <v/>
      </c>
      <c r="L1386" s="276">
        <f>IF($K1386="","",TODAY()-$K1386)</f>
        <v/>
      </c>
      <c r="M1386">
        <f>IF($A1386="","",IF($H1386="ENGAGE","Engagé",IF(AND($H1386="NON ENGAGE",OR($I1386="INFRUCTUEUX",$I1386="ANNULE")),"Clôturé sans suite","En cours")))</f>
        <v/>
      </c>
      <c r="N1386">
        <f>IF(ISBLANK('ENGAGEMENTS 2026'!C1386),"",'ENGAGEMENTS 2026'!L1386)</f>
        <v/>
      </c>
      <c r="O1386">
        <f>IF(ISBLANK('ENGAGEMENTS 2026'!C1386),"",'ENGAGEMENTS 2026'!M1386)</f>
        <v/>
      </c>
      <c r="P1386">
        <f>IF(ISBLANK('ENGAGEMENTS 2026'!C1386),"",'ENGAGEMENTS 2026'!K1386)</f>
        <v/>
      </c>
      <c r="Q1386">
        <f>IF($A1386="","",IF(OR($E1386="INFRUCTUEUX",$E1386="ANNULE"),$A1386&amp;"|"&amp;(COUNTIFS($A$2:$A1386,$A1386,$E$2:$E1386,"INFRUCTUEUX")+COUNTIFS($A$2:$A1386,$A1386,$E$2:$E1386,"ANNULE")),""))</f>
        <v/>
      </c>
    </row>
    <row r="1387">
      <c r="A1387">
        <f>IF(ISBLANK('ENGAGEMENTS 2026'!C1387),"",IF('ENGAGEMENTS 2026'!C1387="DTSI","DCT",'ENGAGEMENTS 2026'!C1387))</f>
        <v/>
      </c>
      <c r="B1387">
        <f>IF(ISBLANK('ENGAGEMENTS 2026'!C1387),"",'ENGAGEMENTS 2026'!D1387)</f>
        <v/>
      </c>
      <c r="C1387">
        <f>IF(ISBLANK('ENGAGEMENTS 2026'!C1387),"",'ENGAGEMENTS 2026'!E1387)</f>
        <v/>
      </c>
      <c r="D1387">
        <f>IF(ISBLANK('ENGAGEMENTS 2026'!C1387),"",'ENGAGEMENTS 2026'!G1387)</f>
        <v/>
      </c>
      <c r="E1387">
        <f>IF(ISBLANK('ENGAGEMENTS 2026'!C1387),"",'ENGAGEMENTS 2026'!I1387)</f>
        <v/>
      </c>
      <c r="F1387">
        <f>IF(ISBLANK('ENGAGEMENTS 2026'!C1387),"",'ENGAGEMENTS 2026'!J1387)</f>
        <v/>
      </c>
      <c r="G1387">
        <f>IF(ISBLANK('ENGAGEMENTS 2026'!C1387),"",'ENGAGEMENTS 2026'!M1387)</f>
        <v/>
      </c>
      <c r="H1387">
        <f>IF(ISBLANK('ENGAGEMENTS 2026'!C1387),"",'ENGAGEMENTS 2026'!AF1387)</f>
        <v/>
      </c>
      <c r="I1387">
        <f>IF(ISBLANK('ENGAGEMENTS 2026'!C1387),"",'ENGAGEMENTS 2026'!H1387)</f>
        <v/>
      </c>
      <c r="J1387" s="275">
        <f>IF(ISBLANK('ENGAGEMENTS 2026'!C1387),"",IF(AND(OR($E1387="INFRUCTUEUX",$E1387="ANNULE"),$C1387="AOO-M"),'ENGAGEMENTS 2026'!P1387,IF($H1387="EN COURS DE PREENGAGEMENT",'ENGAGEMENTS 2026'!O1387,IF($H1387="PREENGAGE",IF($E1387="ATTRIBUE",'ENGAGEMENTS 2026'!AE1387,'ENGAGEMENTS 2026'!O1387),'ENGAGEMENTS 2026'!AE1387))))</f>
        <v/>
      </c>
      <c r="K1387" s="604">
        <f>IF(ISBLANK('ENGAGEMENTS 2026'!W1387),"",'ENGAGEMENTS 2026'!W1387)</f>
        <v/>
      </c>
      <c r="L1387" s="276">
        <f>IF($K1387="","",TODAY()-$K1387)</f>
        <v/>
      </c>
      <c r="M1387">
        <f>IF($A1387="","",IF($H1387="ENGAGE","Engagé",IF(AND($H1387="NON ENGAGE",OR($I1387="INFRUCTUEUX",$I1387="ANNULE")),"Clôturé sans suite","En cours")))</f>
        <v/>
      </c>
      <c r="N1387">
        <f>IF(ISBLANK('ENGAGEMENTS 2026'!C1387),"",'ENGAGEMENTS 2026'!L1387)</f>
        <v/>
      </c>
      <c r="O1387">
        <f>IF(ISBLANK('ENGAGEMENTS 2026'!C1387),"",'ENGAGEMENTS 2026'!M1387)</f>
        <v/>
      </c>
      <c r="P1387">
        <f>IF(ISBLANK('ENGAGEMENTS 2026'!C1387),"",'ENGAGEMENTS 2026'!K1387)</f>
        <v/>
      </c>
      <c r="Q1387">
        <f>IF($A1387="","",IF(OR($E1387="INFRUCTUEUX",$E1387="ANNULE"),$A1387&amp;"|"&amp;(COUNTIFS($A$2:$A1387,$A1387,$E$2:$E1387,"INFRUCTUEUX")+COUNTIFS($A$2:$A1387,$A1387,$E$2:$E1387,"ANNULE")),""))</f>
        <v/>
      </c>
    </row>
    <row r="1388">
      <c r="A1388">
        <f>IF(ISBLANK('ENGAGEMENTS 2026'!C1388),"",IF('ENGAGEMENTS 2026'!C1388="DTSI","DCT",'ENGAGEMENTS 2026'!C1388))</f>
        <v/>
      </c>
      <c r="B1388">
        <f>IF(ISBLANK('ENGAGEMENTS 2026'!C1388),"",'ENGAGEMENTS 2026'!D1388)</f>
        <v/>
      </c>
      <c r="C1388">
        <f>IF(ISBLANK('ENGAGEMENTS 2026'!C1388),"",'ENGAGEMENTS 2026'!E1388)</f>
        <v/>
      </c>
      <c r="D1388">
        <f>IF(ISBLANK('ENGAGEMENTS 2026'!C1388),"",'ENGAGEMENTS 2026'!G1388)</f>
        <v/>
      </c>
      <c r="E1388">
        <f>IF(ISBLANK('ENGAGEMENTS 2026'!C1388),"",'ENGAGEMENTS 2026'!I1388)</f>
        <v/>
      </c>
      <c r="F1388">
        <f>IF(ISBLANK('ENGAGEMENTS 2026'!C1388),"",'ENGAGEMENTS 2026'!J1388)</f>
        <v/>
      </c>
      <c r="G1388">
        <f>IF(ISBLANK('ENGAGEMENTS 2026'!C1388),"",'ENGAGEMENTS 2026'!M1388)</f>
        <v/>
      </c>
      <c r="H1388">
        <f>IF(ISBLANK('ENGAGEMENTS 2026'!C1388),"",'ENGAGEMENTS 2026'!AF1388)</f>
        <v/>
      </c>
      <c r="I1388">
        <f>IF(ISBLANK('ENGAGEMENTS 2026'!C1388),"",'ENGAGEMENTS 2026'!H1388)</f>
        <v/>
      </c>
      <c r="J1388" s="275">
        <f>IF(ISBLANK('ENGAGEMENTS 2026'!C1388),"",IF(AND(OR($E1388="INFRUCTUEUX",$E1388="ANNULE"),$C1388="AOO-M"),'ENGAGEMENTS 2026'!P1388,IF($H1388="EN COURS DE PREENGAGEMENT",'ENGAGEMENTS 2026'!O1388,IF($H1388="PREENGAGE",IF($E1388="ATTRIBUE",'ENGAGEMENTS 2026'!AE1388,'ENGAGEMENTS 2026'!O1388),'ENGAGEMENTS 2026'!AE1388))))</f>
        <v/>
      </c>
      <c r="K1388" s="604">
        <f>IF(ISBLANK('ENGAGEMENTS 2026'!W1388),"",'ENGAGEMENTS 2026'!W1388)</f>
        <v/>
      </c>
      <c r="L1388" s="276">
        <f>IF($K1388="","",TODAY()-$K1388)</f>
        <v/>
      </c>
      <c r="M1388">
        <f>IF($A1388="","",IF($H1388="ENGAGE","Engagé",IF(AND($H1388="NON ENGAGE",OR($I1388="INFRUCTUEUX",$I1388="ANNULE")),"Clôturé sans suite","En cours")))</f>
        <v/>
      </c>
      <c r="N1388">
        <f>IF(ISBLANK('ENGAGEMENTS 2026'!C1388),"",'ENGAGEMENTS 2026'!L1388)</f>
        <v/>
      </c>
      <c r="O1388">
        <f>IF(ISBLANK('ENGAGEMENTS 2026'!C1388),"",'ENGAGEMENTS 2026'!M1388)</f>
        <v/>
      </c>
      <c r="P1388">
        <f>IF(ISBLANK('ENGAGEMENTS 2026'!C1388),"",'ENGAGEMENTS 2026'!K1388)</f>
        <v/>
      </c>
      <c r="Q1388">
        <f>IF($A1388="","",IF(OR($E1388="INFRUCTUEUX",$E1388="ANNULE"),$A1388&amp;"|"&amp;(COUNTIFS($A$2:$A1388,$A1388,$E$2:$E1388,"INFRUCTUEUX")+COUNTIFS($A$2:$A1388,$A1388,$E$2:$E1388,"ANNULE")),""))</f>
        <v/>
      </c>
    </row>
    <row r="1389">
      <c r="A1389">
        <f>IF(ISBLANK('ENGAGEMENTS 2026'!C1389),"",IF('ENGAGEMENTS 2026'!C1389="DTSI","DCT",'ENGAGEMENTS 2026'!C1389))</f>
        <v/>
      </c>
      <c r="B1389">
        <f>IF(ISBLANK('ENGAGEMENTS 2026'!C1389),"",'ENGAGEMENTS 2026'!D1389)</f>
        <v/>
      </c>
      <c r="C1389">
        <f>IF(ISBLANK('ENGAGEMENTS 2026'!C1389),"",'ENGAGEMENTS 2026'!E1389)</f>
        <v/>
      </c>
      <c r="D1389">
        <f>IF(ISBLANK('ENGAGEMENTS 2026'!C1389),"",'ENGAGEMENTS 2026'!G1389)</f>
        <v/>
      </c>
      <c r="E1389">
        <f>IF(ISBLANK('ENGAGEMENTS 2026'!C1389),"",'ENGAGEMENTS 2026'!I1389)</f>
        <v/>
      </c>
      <c r="F1389">
        <f>IF(ISBLANK('ENGAGEMENTS 2026'!C1389),"",'ENGAGEMENTS 2026'!J1389)</f>
        <v/>
      </c>
      <c r="G1389">
        <f>IF(ISBLANK('ENGAGEMENTS 2026'!C1389),"",'ENGAGEMENTS 2026'!M1389)</f>
        <v/>
      </c>
      <c r="H1389">
        <f>IF(ISBLANK('ENGAGEMENTS 2026'!C1389),"",'ENGAGEMENTS 2026'!AF1389)</f>
        <v/>
      </c>
      <c r="I1389">
        <f>IF(ISBLANK('ENGAGEMENTS 2026'!C1389),"",'ENGAGEMENTS 2026'!H1389)</f>
        <v/>
      </c>
      <c r="J1389" s="275">
        <f>IF(ISBLANK('ENGAGEMENTS 2026'!C1389),"",IF(AND(OR($E1389="INFRUCTUEUX",$E1389="ANNULE"),$C1389="AOO-M"),'ENGAGEMENTS 2026'!P1389,IF($H1389="EN COURS DE PREENGAGEMENT",'ENGAGEMENTS 2026'!O1389,IF($H1389="PREENGAGE",IF($E1389="ATTRIBUE",'ENGAGEMENTS 2026'!AE1389,'ENGAGEMENTS 2026'!O1389),'ENGAGEMENTS 2026'!AE1389))))</f>
        <v/>
      </c>
      <c r="K1389" s="604">
        <f>IF(ISBLANK('ENGAGEMENTS 2026'!W1389),"",'ENGAGEMENTS 2026'!W1389)</f>
        <v/>
      </c>
      <c r="L1389" s="276">
        <f>IF($K1389="","",TODAY()-$K1389)</f>
        <v/>
      </c>
      <c r="M1389">
        <f>IF($A1389="","",IF($H1389="ENGAGE","Engagé",IF(AND($H1389="NON ENGAGE",OR($I1389="INFRUCTUEUX",$I1389="ANNULE")),"Clôturé sans suite","En cours")))</f>
        <v/>
      </c>
      <c r="N1389">
        <f>IF(ISBLANK('ENGAGEMENTS 2026'!C1389),"",'ENGAGEMENTS 2026'!L1389)</f>
        <v/>
      </c>
      <c r="O1389">
        <f>IF(ISBLANK('ENGAGEMENTS 2026'!C1389),"",'ENGAGEMENTS 2026'!M1389)</f>
        <v/>
      </c>
      <c r="P1389">
        <f>IF(ISBLANK('ENGAGEMENTS 2026'!C1389),"",'ENGAGEMENTS 2026'!K1389)</f>
        <v/>
      </c>
      <c r="Q1389">
        <f>IF($A1389="","",IF(OR($E1389="INFRUCTUEUX",$E1389="ANNULE"),$A1389&amp;"|"&amp;(COUNTIFS($A$2:$A1389,$A1389,$E$2:$E1389,"INFRUCTUEUX")+COUNTIFS($A$2:$A1389,$A1389,$E$2:$E1389,"ANNULE")),""))</f>
        <v/>
      </c>
    </row>
    <row r="1390">
      <c r="A1390">
        <f>IF(ISBLANK('ENGAGEMENTS 2026'!C1390),"",IF('ENGAGEMENTS 2026'!C1390="DTSI","DCT",'ENGAGEMENTS 2026'!C1390))</f>
        <v/>
      </c>
      <c r="B1390">
        <f>IF(ISBLANK('ENGAGEMENTS 2026'!C1390),"",'ENGAGEMENTS 2026'!D1390)</f>
        <v/>
      </c>
      <c r="C1390">
        <f>IF(ISBLANK('ENGAGEMENTS 2026'!C1390),"",'ENGAGEMENTS 2026'!E1390)</f>
        <v/>
      </c>
      <c r="D1390">
        <f>IF(ISBLANK('ENGAGEMENTS 2026'!C1390),"",'ENGAGEMENTS 2026'!G1390)</f>
        <v/>
      </c>
      <c r="E1390">
        <f>IF(ISBLANK('ENGAGEMENTS 2026'!C1390),"",'ENGAGEMENTS 2026'!I1390)</f>
        <v/>
      </c>
      <c r="F1390">
        <f>IF(ISBLANK('ENGAGEMENTS 2026'!C1390),"",'ENGAGEMENTS 2026'!J1390)</f>
        <v/>
      </c>
      <c r="G1390">
        <f>IF(ISBLANK('ENGAGEMENTS 2026'!C1390),"",'ENGAGEMENTS 2026'!M1390)</f>
        <v/>
      </c>
      <c r="H1390">
        <f>IF(ISBLANK('ENGAGEMENTS 2026'!C1390),"",'ENGAGEMENTS 2026'!AF1390)</f>
        <v/>
      </c>
      <c r="I1390">
        <f>IF(ISBLANK('ENGAGEMENTS 2026'!C1390),"",'ENGAGEMENTS 2026'!H1390)</f>
        <v/>
      </c>
      <c r="J1390" s="275">
        <f>IF(ISBLANK('ENGAGEMENTS 2026'!C1390),"",IF(AND(OR($E1390="INFRUCTUEUX",$E1390="ANNULE"),$C1390="AOO-M"),'ENGAGEMENTS 2026'!P1390,IF($H1390="EN COURS DE PREENGAGEMENT",'ENGAGEMENTS 2026'!O1390,IF($H1390="PREENGAGE",IF($E1390="ATTRIBUE",'ENGAGEMENTS 2026'!AE1390,'ENGAGEMENTS 2026'!O1390),'ENGAGEMENTS 2026'!AE1390))))</f>
        <v/>
      </c>
      <c r="K1390" s="604">
        <f>IF(ISBLANK('ENGAGEMENTS 2026'!W1390),"",'ENGAGEMENTS 2026'!W1390)</f>
        <v/>
      </c>
      <c r="L1390" s="276">
        <f>IF($K1390="","",TODAY()-$K1390)</f>
        <v/>
      </c>
      <c r="M1390">
        <f>IF($A1390="","",IF($H1390="ENGAGE","Engagé",IF(AND($H1390="NON ENGAGE",OR($I1390="INFRUCTUEUX",$I1390="ANNULE")),"Clôturé sans suite","En cours")))</f>
        <v/>
      </c>
      <c r="N1390">
        <f>IF(ISBLANK('ENGAGEMENTS 2026'!C1390),"",'ENGAGEMENTS 2026'!L1390)</f>
        <v/>
      </c>
      <c r="O1390">
        <f>IF(ISBLANK('ENGAGEMENTS 2026'!C1390),"",'ENGAGEMENTS 2026'!M1390)</f>
        <v/>
      </c>
      <c r="P1390">
        <f>IF(ISBLANK('ENGAGEMENTS 2026'!C1390),"",'ENGAGEMENTS 2026'!K1390)</f>
        <v/>
      </c>
      <c r="Q1390">
        <f>IF($A1390="","",IF(OR($E1390="INFRUCTUEUX",$E1390="ANNULE"),$A1390&amp;"|"&amp;(COUNTIFS($A$2:$A1390,$A1390,$E$2:$E1390,"INFRUCTUEUX")+COUNTIFS($A$2:$A1390,$A1390,$E$2:$E1390,"ANNULE")),""))</f>
        <v/>
      </c>
    </row>
    <row r="1391">
      <c r="A1391">
        <f>IF(ISBLANK('ENGAGEMENTS 2026'!C1391),"",IF('ENGAGEMENTS 2026'!C1391="DTSI","DCT",'ENGAGEMENTS 2026'!C1391))</f>
        <v/>
      </c>
      <c r="B1391">
        <f>IF(ISBLANK('ENGAGEMENTS 2026'!C1391),"",'ENGAGEMENTS 2026'!D1391)</f>
        <v/>
      </c>
      <c r="C1391">
        <f>IF(ISBLANK('ENGAGEMENTS 2026'!C1391),"",'ENGAGEMENTS 2026'!E1391)</f>
        <v/>
      </c>
      <c r="D1391">
        <f>IF(ISBLANK('ENGAGEMENTS 2026'!C1391),"",'ENGAGEMENTS 2026'!G1391)</f>
        <v/>
      </c>
      <c r="E1391">
        <f>IF(ISBLANK('ENGAGEMENTS 2026'!C1391),"",'ENGAGEMENTS 2026'!I1391)</f>
        <v/>
      </c>
      <c r="F1391">
        <f>IF(ISBLANK('ENGAGEMENTS 2026'!C1391),"",'ENGAGEMENTS 2026'!J1391)</f>
        <v/>
      </c>
      <c r="G1391">
        <f>IF(ISBLANK('ENGAGEMENTS 2026'!C1391),"",'ENGAGEMENTS 2026'!M1391)</f>
        <v/>
      </c>
      <c r="H1391">
        <f>IF(ISBLANK('ENGAGEMENTS 2026'!C1391),"",'ENGAGEMENTS 2026'!AF1391)</f>
        <v/>
      </c>
      <c r="I1391">
        <f>IF(ISBLANK('ENGAGEMENTS 2026'!C1391),"",'ENGAGEMENTS 2026'!H1391)</f>
        <v/>
      </c>
      <c r="J1391" s="275">
        <f>IF(ISBLANK('ENGAGEMENTS 2026'!C1391),"",IF(AND(OR($E1391="INFRUCTUEUX",$E1391="ANNULE"),$C1391="AOO-M"),'ENGAGEMENTS 2026'!P1391,IF($H1391="EN COURS DE PREENGAGEMENT",'ENGAGEMENTS 2026'!O1391,IF($H1391="PREENGAGE",IF($E1391="ATTRIBUE",'ENGAGEMENTS 2026'!AE1391,'ENGAGEMENTS 2026'!O1391),'ENGAGEMENTS 2026'!AE1391))))</f>
        <v/>
      </c>
      <c r="K1391" s="604">
        <f>IF(ISBLANK('ENGAGEMENTS 2026'!W1391),"",'ENGAGEMENTS 2026'!W1391)</f>
        <v/>
      </c>
      <c r="L1391" s="276">
        <f>IF($K1391="","",TODAY()-$K1391)</f>
        <v/>
      </c>
      <c r="M1391">
        <f>IF($A1391="","",IF($H1391="ENGAGE","Engagé",IF(AND($H1391="NON ENGAGE",OR($I1391="INFRUCTUEUX",$I1391="ANNULE")),"Clôturé sans suite","En cours")))</f>
        <v/>
      </c>
      <c r="N1391">
        <f>IF(ISBLANK('ENGAGEMENTS 2026'!C1391),"",'ENGAGEMENTS 2026'!L1391)</f>
        <v/>
      </c>
      <c r="O1391">
        <f>IF(ISBLANK('ENGAGEMENTS 2026'!C1391),"",'ENGAGEMENTS 2026'!M1391)</f>
        <v/>
      </c>
      <c r="P1391">
        <f>IF(ISBLANK('ENGAGEMENTS 2026'!C1391),"",'ENGAGEMENTS 2026'!K1391)</f>
        <v/>
      </c>
      <c r="Q1391">
        <f>IF($A1391="","",IF(OR($E1391="INFRUCTUEUX",$E1391="ANNULE"),$A1391&amp;"|"&amp;(COUNTIFS($A$2:$A1391,$A1391,$E$2:$E1391,"INFRUCTUEUX")+COUNTIFS($A$2:$A1391,$A1391,$E$2:$E1391,"ANNULE")),""))</f>
        <v/>
      </c>
    </row>
    <row r="1392">
      <c r="A1392">
        <f>IF(ISBLANK('ENGAGEMENTS 2026'!C1392),"",IF('ENGAGEMENTS 2026'!C1392="DTSI","DCT",'ENGAGEMENTS 2026'!C1392))</f>
        <v/>
      </c>
      <c r="B1392">
        <f>IF(ISBLANK('ENGAGEMENTS 2026'!C1392),"",'ENGAGEMENTS 2026'!D1392)</f>
        <v/>
      </c>
      <c r="C1392">
        <f>IF(ISBLANK('ENGAGEMENTS 2026'!C1392),"",'ENGAGEMENTS 2026'!E1392)</f>
        <v/>
      </c>
      <c r="D1392">
        <f>IF(ISBLANK('ENGAGEMENTS 2026'!C1392),"",'ENGAGEMENTS 2026'!G1392)</f>
        <v/>
      </c>
      <c r="E1392">
        <f>IF(ISBLANK('ENGAGEMENTS 2026'!C1392),"",'ENGAGEMENTS 2026'!I1392)</f>
        <v/>
      </c>
      <c r="F1392">
        <f>IF(ISBLANK('ENGAGEMENTS 2026'!C1392),"",'ENGAGEMENTS 2026'!J1392)</f>
        <v/>
      </c>
      <c r="G1392">
        <f>IF(ISBLANK('ENGAGEMENTS 2026'!C1392),"",'ENGAGEMENTS 2026'!M1392)</f>
        <v/>
      </c>
      <c r="H1392">
        <f>IF(ISBLANK('ENGAGEMENTS 2026'!C1392),"",'ENGAGEMENTS 2026'!AF1392)</f>
        <v/>
      </c>
      <c r="I1392">
        <f>IF(ISBLANK('ENGAGEMENTS 2026'!C1392),"",'ENGAGEMENTS 2026'!H1392)</f>
        <v/>
      </c>
      <c r="J1392" s="275">
        <f>IF(ISBLANK('ENGAGEMENTS 2026'!C1392),"",IF(AND(OR($E1392="INFRUCTUEUX",$E1392="ANNULE"),$C1392="AOO-M"),'ENGAGEMENTS 2026'!P1392,IF($H1392="EN COURS DE PREENGAGEMENT",'ENGAGEMENTS 2026'!O1392,IF($H1392="PREENGAGE",IF($E1392="ATTRIBUE",'ENGAGEMENTS 2026'!AE1392,'ENGAGEMENTS 2026'!O1392),'ENGAGEMENTS 2026'!AE1392))))</f>
        <v/>
      </c>
      <c r="K1392" s="604">
        <f>IF(ISBLANK('ENGAGEMENTS 2026'!W1392),"",'ENGAGEMENTS 2026'!W1392)</f>
        <v/>
      </c>
      <c r="L1392" s="276">
        <f>IF($K1392="","",TODAY()-$K1392)</f>
        <v/>
      </c>
      <c r="M1392">
        <f>IF($A1392="","",IF($H1392="ENGAGE","Engagé",IF(AND($H1392="NON ENGAGE",OR($I1392="INFRUCTUEUX",$I1392="ANNULE")),"Clôturé sans suite","En cours")))</f>
        <v/>
      </c>
      <c r="N1392">
        <f>IF(ISBLANK('ENGAGEMENTS 2026'!C1392),"",'ENGAGEMENTS 2026'!L1392)</f>
        <v/>
      </c>
      <c r="O1392">
        <f>IF(ISBLANK('ENGAGEMENTS 2026'!C1392),"",'ENGAGEMENTS 2026'!M1392)</f>
        <v/>
      </c>
      <c r="P1392">
        <f>IF(ISBLANK('ENGAGEMENTS 2026'!C1392),"",'ENGAGEMENTS 2026'!K1392)</f>
        <v/>
      </c>
      <c r="Q1392">
        <f>IF($A1392="","",IF(OR($E1392="INFRUCTUEUX",$E1392="ANNULE"),$A1392&amp;"|"&amp;(COUNTIFS($A$2:$A1392,$A1392,$E$2:$E1392,"INFRUCTUEUX")+COUNTIFS($A$2:$A1392,$A1392,$E$2:$E1392,"ANNULE")),""))</f>
        <v/>
      </c>
    </row>
    <row r="1393">
      <c r="A1393">
        <f>IF(ISBLANK('ENGAGEMENTS 2026'!C1393),"",IF('ENGAGEMENTS 2026'!C1393="DTSI","DCT",'ENGAGEMENTS 2026'!C1393))</f>
        <v/>
      </c>
      <c r="B1393">
        <f>IF(ISBLANK('ENGAGEMENTS 2026'!C1393),"",'ENGAGEMENTS 2026'!D1393)</f>
        <v/>
      </c>
      <c r="C1393">
        <f>IF(ISBLANK('ENGAGEMENTS 2026'!C1393),"",'ENGAGEMENTS 2026'!E1393)</f>
        <v/>
      </c>
      <c r="D1393">
        <f>IF(ISBLANK('ENGAGEMENTS 2026'!C1393),"",'ENGAGEMENTS 2026'!G1393)</f>
        <v/>
      </c>
      <c r="E1393">
        <f>IF(ISBLANK('ENGAGEMENTS 2026'!C1393),"",'ENGAGEMENTS 2026'!I1393)</f>
        <v/>
      </c>
      <c r="F1393">
        <f>IF(ISBLANK('ENGAGEMENTS 2026'!C1393),"",'ENGAGEMENTS 2026'!J1393)</f>
        <v/>
      </c>
      <c r="G1393">
        <f>IF(ISBLANK('ENGAGEMENTS 2026'!C1393),"",'ENGAGEMENTS 2026'!M1393)</f>
        <v/>
      </c>
      <c r="H1393">
        <f>IF(ISBLANK('ENGAGEMENTS 2026'!C1393),"",'ENGAGEMENTS 2026'!AF1393)</f>
        <v/>
      </c>
      <c r="I1393">
        <f>IF(ISBLANK('ENGAGEMENTS 2026'!C1393),"",'ENGAGEMENTS 2026'!H1393)</f>
        <v/>
      </c>
      <c r="J1393" s="275">
        <f>IF(ISBLANK('ENGAGEMENTS 2026'!C1393),"",IF(AND(OR($E1393="INFRUCTUEUX",$E1393="ANNULE"),$C1393="AOO-M"),'ENGAGEMENTS 2026'!P1393,IF($H1393="EN COURS DE PREENGAGEMENT",'ENGAGEMENTS 2026'!O1393,IF($H1393="PREENGAGE",IF($E1393="ATTRIBUE",'ENGAGEMENTS 2026'!AE1393,'ENGAGEMENTS 2026'!O1393),'ENGAGEMENTS 2026'!AE1393))))</f>
        <v/>
      </c>
      <c r="K1393" s="604">
        <f>IF(ISBLANK('ENGAGEMENTS 2026'!W1393),"",'ENGAGEMENTS 2026'!W1393)</f>
        <v/>
      </c>
      <c r="L1393" s="276">
        <f>IF($K1393="","",TODAY()-$K1393)</f>
        <v/>
      </c>
      <c r="M1393">
        <f>IF($A1393="","",IF($H1393="ENGAGE","Engagé",IF(AND($H1393="NON ENGAGE",OR($I1393="INFRUCTUEUX",$I1393="ANNULE")),"Clôturé sans suite","En cours")))</f>
        <v/>
      </c>
      <c r="N1393">
        <f>IF(ISBLANK('ENGAGEMENTS 2026'!C1393),"",'ENGAGEMENTS 2026'!L1393)</f>
        <v/>
      </c>
      <c r="O1393">
        <f>IF(ISBLANK('ENGAGEMENTS 2026'!C1393),"",'ENGAGEMENTS 2026'!M1393)</f>
        <v/>
      </c>
      <c r="P1393">
        <f>IF(ISBLANK('ENGAGEMENTS 2026'!C1393),"",'ENGAGEMENTS 2026'!K1393)</f>
        <v/>
      </c>
      <c r="Q1393">
        <f>IF($A1393="","",IF(OR($E1393="INFRUCTUEUX",$E1393="ANNULE"),$A1393&amp;"|"&amp;(COUNTIFS($A$2:$A1393,$A1393,$E$2:$E1393,"INFRUCTUEUX")+COUNTIFS($A$2:$A1393,$A1393,$E$2:$E1393,"ANNULE")),""))</f>
        <v/>
      </c>
    </row>
    <row r="1394">
      <c r="A1394">
        <f>IF(ISBLANK('ENGAGEMENTS 2026'!C1394),"",IF('ENGAGEMENTS 2026'!C1394="DTSI","DCT",'ENGAGEMENTS 2026'!C1394))</f>
        <v/>
      </c>
      <c r="B1394">
        <f>IF(ISBLANK('ENGAGEMENTS 2026'!C1394),"",'ENGAGEMENTS 2026'!D1394)</f>
        <v/>
      </c>
      <c r="C1394">
        <f>IF(ISBLANK('ENGAGEMENTS 2026'!C1394),"",'ENGAGEMENTS 2026'!E1394)</f>
        <v/>
      </c>
      <c r="D1394">
        <f>IF(ISBLANK('ENGAGEMENTS 2026'!C1394),"",'ENGAGEMENTS 2026'!G1394)</f>
        <v/>
      </c>
      <c r="E1394">
        <f>IF(ISBLANK('ENGAGEMENTS 2026'!C1394),"",'ENGAGEMENTS 2026'!I1394)</f>
        <v/>
      </c>
      <c r="F1394">
        <f>IF(ISBLANK('ENGAGEMENTS 2026'!C1394),"",'ENGAGEMENTS 2026'!J1394)</f>
        <v/>
      </c>
      <c r="G1394">
        <f>IF(ISBLANK('ENGAGEMENTS 2026'!C1394),"",'ENGAGEMENTS 2026'!M1394)</f>
        <v/>
      </c>
      <c r="H1394">
        <f>IF(ISBLANK('ENGAGEMENTS 2026'!C1394),"",'ENGAGEMENTS 2026'!AF1394)</f>
        <v/>
      </c>
      <c r="I1394">
        <f>IF(ISBLANK('ENGAGEMENTS 2026'!C1394),"",'ENGAGEMENTS 2026'!H1394)</f>
        <v/>
      </c>
      <c r="J1394" s="275">
        <f>IF(ISBLANK('ENGAGEMENTS 2026'!C1394),"",IF(AND(OR($E1394="INFRUCTUEUX",$E1394="ANNULE"),$C1394="AOO-M"),'ENGAGEMENTS 2026'!P1394,IF($H1394="EN COURS DE PREENGAGEMENT",'ENGAGEMENTS 2026'!O1394,IF($H1394="PREENGAGE",IF($E1394="ATTRIBUE",'ENGAGEMENTS 2026'!AE1394,'ENGAGEMENTS 2026'!O1394),'ENGAGEMENTS 2026'!AE1394))))</f>
        <v/>
      </c>
      <c r="K1394" s="604">
        <f>IF(ISBLANK('ENGAGEMENTS 2026'!W1394),"",'ENGAGEMENTS 2026'!W1394)</f>
        <v/>
      </c>
      <c r="L1394" s="276">
        <f>IF($K1394="","",TODAY()-$K1394)</f>
        <v/>
      </c>
      <c r="M1394">
        <f>IF($A1394="","",IF($H1394="ENGAGE","Engagé",IF(AND($H1394="NON ENGAGE",OR($I1394="INFRUCTUEUX",$I1394="ANNULE")),"Clôturé sans suite","En cours")))</f>
        <v/>
      </c>
      <c r="N1394">
        <f>IF(ISBLANK('ENGAGEMENTS 2026'!C1394),"",'ENGAGEMENTS 2026'!L1394)</f>
        <v/>
      </c>
      <c r="O1394">
        <f>IF(ISBLANK('ENGAGEMENTS 2026'!C1394),"",'ENGAGEMENTS 2026'!M1394)</f>
        <v/>
      </c>
      <c r="P1394">
        <f>IF(ISBLANK('ENGAGEMENTS 2026'!C1394),"",'ENGAGEMENTS 2026'!K1394)</f>
        <v/>
      </c>
      <c r="Q1394">
        <f>IF($A1394="","",IF(OR($E1394="INFRUCTUEUX",$E1394="ANNULE"),$A1394&amp;"|"&amp;(COUNTIFS($A$2:$A1394,$A1394,$E$2:$E1394,"INFRUCTUEUX")+COUNTIFS($A$2:$A1394,$A1394,$E$2:$E1394,"ANNULE")),""))</f>
        <v/>
      </c>
    </row>
    <row r="1395">
      <c r="A1395">
        <f>IF(ISBLANK('ENGAGEMENTS 2026'!C1395),"",IF('ENGAGEMENTS 2026'!C1395="DTSI","DCT",'ENGAGEMENTS 2026'!C1395))</f>
        <v/>
      </c>
      <c r="B1395">
        <f>IF(ISBLANK('ENGAGEMENTS 2026'!C1395),"",'ENGAGEMENTS 2026'!D1395)</f>
        <v/>
      </c>
      <c r="C1395">
        <f>IF(ISBLANK('ENGAGEMENTS 2026'!C1395),"",'ENGAGEMENTS 2026'!E1395)</f>
        <v/>
      </c>
      <c r="D1395">
        <f>IF(ISBLANK('ENGAGEMENTS 2026'!C1395),"",'ENGAGEMENTS 2026'!G1395)</f>
        <v/>
      </c>
      <c r="E1395">
        <f>IF(ISBLANK('ENGAGEMENTS 2026'!C1395),"",'ENGAGEMENTS 2026'!I1395)</f>
        <v/>
      </c>
      <c r="F1395">
        <f>IF(ISBLANK('ENGAGEMENTS 2026'!C1395),"",'ENGAGEMENTS 2026'!J1395)</f>
        <v/>
      </c>
      <c r="G1395">
        <f>IF(ISBLANK('ENGAGEMENTS 2026'!C1395),"",'ENGAGEMENTS 2026'!M1395)</f>
        <v/>
      </c>
      <c r="H1395">
        <f>IF(ISBLANK('ENGAGEMENTS 2026'!C1395),"",'ENGAGEMENTS 2026'!AF1395)</f>
        <v/>
      </c>
      <c r="I1395">
        <f>IF(ISBLANK('ENGAGEMENTS 2026'!C1395),"",'ENGAGEMENTS 2026'!H1395)</f>
        <v/>
      </c>
      <c r="J1395" s="275">
        <f>IF(ISBLANK('ENGAGEMENTS 2026'!C1395),"",IF(AND(OR($E1395="INFRUCTUEUX",$E1395="ANNULE"),$C1395="AOO-M"),'ENGAGEMENTS 2026'!P1395,IF($H1395="EN COURS DE PREENGAGEMENT",'ENGAGEMENTS 2026'!O1395,IF($H1395="PREENGAGE",IF($E1395="ATTRIBUE",'ENGAGEMENTS 2026'!AE1395,'ENGAGEMENTS 2026'!O1395),'ENGAGEMENTS 2026'!AE1395))))</f>
        <v/>
      </c>
      <c r="K1395" s="604">
        <f>IF(ISBLANK('ENGAGEMENTS 2026'!W1395),"",'ENGAGEMENTS 2026'!W1395)</f>
        <v/>
      </c>
      <c r="L1395" s="276">
        <f>IF($K1395="","",TODAY()-$K1395)</f>
        <v/>
      </c>
      <c r="M1395">
        <f>IF($A1395="","",IF($H1395="ENGAGE","Engagé",IF(AND($H1395="NON ENGAGE",OR($I1395="INFRUCTUEUX",$I1395="ANNULE")),"Clôturé sans suite","En cours")))</f>
        <v/>
      </c>
      <c r="N1395">
        <f>IF(ISBLANK('ENGAGEMENTS 2026'!C1395),"",'ENGAGEMENTS 2026'!L1395)</f>
        <v/>
      </c>
      <c r="O1395">
        <f>IF(ISBLANK('ENGAGEMENTS 2026'!C1395),"",'ENGAGEMENTS 2026'!M1395)</f>
        <v/>
      </c>
      <c r="P1395">
        <f>IF(ISBLANK('ENGAGEMENTS 2026'!C1395),"",'ENGAGEMENTS 2026'!K1395)</f>
        <v/>
      </c>
      <c r="Q1395">
        <f>IF($A1395="","",IF(OR($E1395="INFRUCTUEUX",$E1395="ANNULE"),$A1395&amp;"|"&amp;(COUNTIFS($A$2:$A1395,$A1395,$E$2:$E1395,"INFRUCTUEUX")+COUNTIFS($A$2:$A1395,$A1395,$E$2:$E1395,"ANNULE")),""))</f>
        <v/>
      </c>
    </row>
    <row r="1396">
      <c r="A1396">
        <f>IF(ISBLANK('ENGAGEMENTS 2026'!C1396),"",IF('ENGAGEMENTS 2026'!C1396="DTSI","DCT",'ENGAGEMENTS 2026'!C1396))</f>
        <v/>
      </c>
      <c r="B1396">
        <f>IF(ISBLANK('ENGAGEMENTS 2026'!C1396),"",'ENGAGEMENTS 2026'!D1396)</f>
        <v/>
      </c>
      <c r="C1396">
        <f>IF(ISBLANK('ENGAGEMENTS 2026'!C1396),"",'ENGAGEMENTS 2026'!E1396)</f>
        <v/>
      </c>
      <c r="D1396">
        <f>IF(ISBLANK('ENGAGEMENTS 2026'!C1396),"",'ENGAGEMENTS 2026'!G1396)</f>
        <v/>
      </c>
      <c r="E1396">
        <f>IF(ISBLANK('ENGAGEMENTS 2026'!C1396),"",'ENGAGEMENTS 2026'!I1396)</f>
        <v/>
      </c>
      <c r="F1396">
        <f>IF(ISBLANK('ENGAGEMENTS 2026'!C1396),"",'ENGAGEMENTS 2026'!J1396)</f>
        <v/>
      </c>
      <c r="G1396">
        <f>IF(ISBLANK('ENGAGEMENTS 2026'!C1396),"",'ENGAGEMENTS 2026'!M1396)</f>
        <v/>
      </c>
      <c r="H1396">
        <f>IF(ISBLANK('ENGAGEMENTS 2026'!C1396),"",'ENGAGEMENTS 2026'!AF1396)</f>
        <v/>
      </c>
      <c r="I1396">
        <f>IF(ISBLANK('ENGAGEMENTS 2026'!C1396),"",'ENGAGEMENTS 2026'!H1396)</f>
        <v/>
      </c>
      <c r="J1396" s="275">
        <f>IF(ISBLANK('ENGAGEMENTS 2026'!C1396),"",IF(AND(OR($E1396="INFRUCTUEUX",$E1396="ANNULE"),$C1396="AOO-M"),'ENGAGEMENTS 2026'!P1396,IF($H1396="EN COURS DE PREENGAGEMENT",'ENGAGEMENTS 2026'!O1396,IF($H1396="PREENGAGE",IF($E1396="ATTRIBUE",'ENGAGEMENTS 2026'!AE1396,'ENGAGEMENTS 2026'!O1396),'ENGAGEMENTS 2026'!AE1396))))</f>
        <v/>
      </c>
      <c r="K1396" s="604">
        <f>IF(ISBLANK('ENGAGEMENTS 2026'!W1396),"",'ENGAGEMENTS 2026'!W1396)</f>
        <v/>
      </c>
      <c r="L1396" s="276">
        <f>IF($K1396="","",TODAY()-$K1396)</f>
        <v/>
      </c>
      <c r="M1396">
        <f>IF($A1396="","",IF($H1396="ENGAGE","Engagé",IF(AND($H1396="NON ENGAGE",OR($I1396="INFRUCTUEUX",$I1396="ANNULE")),"Clôturé sans suite","En cours")))</f>
        <v/>
      </c>
      <c r="N1396">
        <f>IF(ISBLANK('ENGAGEMENTS 2026'!C1396),"",'ENGAGEMENTS 2026'!L1396)</f>
        <v/>
      </c>
      <c r="O1396">
        <f>IF(ISBLANK('ENGAGEMENTS 2026'!C1396),"",'ENGAGEMENTS 2026'!M1396)</f>
        <v/>
      </c>
      <c r="P1396">
        <f>IF(ISBLANK('ENGAGEMENTS 2026'!C1396),"",'ENGAGEMENTS 2026'!K1396)</f>
        <v/>
      </c>
      <c r="Q1396">
        <f>IF($A1396="","",IF(OR($E1396="INFRUCTUEUX",$E1396="ANNULE"),$A1396&amp;"|"&amp;(COUNTIFS($A$2:$A1396,$A1396,$E$2:$E1396,"INFRUCTUEUX")+COUNTIFS($A$2:$A1396,$A1396,$E$2:$E1396,"ANNULE")),""))</f>
        <v/>
      </c>
    </row>
    <row r="1397">
      <c r="A1397">
        <f>IF(ISBLANK('ENGAGEMENTS 2026'!C1397),"",IF('ENGAGEMENTS 2026'!C1397="DTSI","DCT",'ENGAGEMENTS 2026'!C1397))</f>
        <v/>
      </c>
      <c r="B1397">
        <f>IF(ISBLANK('ENGAGEMENTS 2026'!C1397),"",'ENGAGEMENTS 2026'!D1397)</f>
        <v/>
      </c>
      <c r="C1397">
        <f>IF(ISBLANK('ENGAGEMENTS 2026'!C1397),"",'ENGAGEMENTS 2026'!E1397)</f>
        <v/>
      </c>
      <c r="D1397">
        <f>IF(ISBLANK('ENGAGEMENTS 2026'!C1397),"",'ENGAGEMENTS 2026'!G1397)</f>
        <v/>
      </c>
      <c r="E1397">
        <f>IF(ISBLANK('ENGAGEMENTS 2026'!C1397),"",'ENGAGEMENTS 2026'!I1397)</f>
        <v/>
      </c>
      <c r="F1397">
        <f>IF(ISBLANK('ENGAGEMENTS 2026'!C1397),"",'ENGAGEMENTS 2026'!J1397)</f>
        <v/>
      </c>
      <c r="G1397">
        <f>IF(ISBLANK('ENGAGEMENTS 2026'!C1397),"",'ENGAGEMENTS 2026'!M1397)</f>
        <v/>
      </c>
      <c r="H1397">
        <f>IF(ISBLANK('ENGAGEMENTS 2026'!C1397),"",'ENGAGEMENTS 2026'!AF1397)</f>
        <v/>
      </c>
      <c r="I1397">
        <f>IF(ISBLANK('ENGAGEMENTS 2026'!C1397),"",'ENGAGEMENTS 2026'!H1397)</f>
        <v/>
      </c>
      <c r="J1397" s="275">
        <f>IF(ISBLANK('ENGAGEMENTS 2026'!C1397),"",IF(AND(OR($E1397="INFRUCTUEUX",$E1397="ANNULE"),$C1397="AOO-M"),'ENGAGEMENTS 2026'!P1397,IF($H1397="EN COURS DE PREENGAGEMENT",'ENGAGEMENTS 2026'!O1397,IF($H1397="PREENGAGE",IF($E1397="ATTRIBUE",'ENGAGEMENTS 2026'!AE1397,'ENGAGEMENTS 2026'!O1397),'ENGAGEMENTS 2026'!AE1397))))</f>
        <v/>
      </c>
      <c r="K1397" s="604">
        <f>IF(ISBLANK('ENGAGEMENTS 2026'!W1397),"",'ENGAGEMENTS 2026'!W1397)</f>
        <v/>
      </c>
      <c r="L1397" s="276">
        <f>IF($K1397="","",TODAY()-$K1397)</f>
        <v/>
      </c>
      <c r="M1397">
        <f>IF($A1397="","",IF($H1397="ENGAGE","Engagé",IF(AND($H1397="NON ENGAGE",OR($I1397="INFRUCTUEUX",$I1397="ANNULE")),"Clôturé sans suite","En cours")))</f>
        <v/>
      </c>
      <c r="N1397">
        <f>IF(ISBLANK('ENGAGEMENTS 2026'!C1397),"",'ENGAGEMENTS 2026'!L1397)</f>
        <v/>
      </c>
      <c r="O1397">
        <f>IF(ISBLANK('ENGAGEMENTS 2026'!C1397),"",'ENGAGEMENTS 2026'!M1397)</f>
        <v/>
      </c>
      <c r="P1397">
        <f>IF(ISBLANK('ENGAGEMENTS 2026'!C1397),"",'ENGAGEMENTS 2026'!K1397)</f>
        <v/>
      </c>
      <c r="Q1397">
        <f>IF($A1397="","",IF(OR($E1397="INFRUCTUEUX",$E1397="ANNULE"),$A1397&amp;"|"&amp;(COUNTIFS($A$2:$A1397,$A1397,$E$2:$E1397,"INFRUCTUEUX")+COUNTIFS($A$2:$A1397,$A1397,$E$2:$E1397,"ANNULE")),""))</f>
        <v/>
      </c>
    </row>
    <row r="1398">
      <c r="A1398">
        <f>IF(ISBLANK('ENGAGEMENTS 2026'!C1398),"",IF('ENGAGEMENTS 2026'!C1398="DTSI","DCT",'ENGAGEMENTS 2026'!C1398))</f>
        <v/>
      </c>
      <c r="B1398">
        <f>IF(ISBLANK('ENGAGEMENTS 2026'!C1398),"",'ENGAGEMENTS 2026'!D1398)</f>
        <v/>
      </c>
      <c r="C1398">
        <f>IF(ISBLANK('ENGAGEMENTS 2026'!C1398),"",'ENGAGEMENTS 2026'!E1398)</f>
        <v/>
      </c>
      <c r="D1398">
        <f>IF(ISBLANK('ENGAGEMENTS 2026'!C1398),"",'ENGAGEMENTS 2026'!G1398)</f>
        <v/>
      </c>
      <c r="E1398">
        <f>IF(ISBLANK('ENGAGEMENTS 2026'!C1398),"",'ENGAGEMENTS 2026'!I1398)</f>
        <v/>
      </c>
      <c r="F1398">
        <f>IF(ISBLANK('ENGAGEMENTS 2026'!C1398),"",'ENGAGEMENTS 2026'!J1398)</f>
        <v/>
      </c>
      <c r="G1398">
        <f>IF(ISBLANK('ENGAGEMENTS 2026'!C1398),"",'ENGAGEMENTS 2026'!M1398)</f>
        <v/>
      </c>
      <c r="H1398">
        <f>IF(ISBLANK('ENGAGEMENTS 2026'!C1398),"",'ENGAGEMENTS 2026'!AF1398)</f>
        <v/>
      </c>
      <c r="I1398">
        <f>IF(ISBLANK('ENGAGEMENTS 2026'!C1398),"",'ENGAGEMENTS 2026'!H1398)</f>
        <v/>
      </c>
      <c r="J1398" s="275">
        <f>IF(ISBLANK('ENGAGEMENTS 2026'!C1398),"",IF(AND(OR($E1398="INFRUCTUEUX",$E1398="ANNULE"),$C1398="AOO-M"),'ENGAGEMENTS 2026'!P1398,IF($H1398="EN COURS DE PREENGAGEMENT",'ENGAGEMENTS 2026'!O1398,IF($H1398="PREENGAGE",IF($E1398="ATTRIBUE",'ENGAGEMENTS 2026'!AE1398,'ENGAGEMENTS 2026'!O1398),'ENGAGEMENTS 2026'!AE1398))))</f>
        <v/>
      </c>
      <c r="K1398" s="604">
        <f>IF(ISBLANK('ENGAGEMENTS 2026'!W1398),"",'ENGAGEMENTS 2026'!W1398)</f>
        <v/>
      </c>
      <c r="L1398" s="276">
        <f>IF($K1398="","",TODAY()-$K1398)</f>
        <v/>
      </c>
      <c r="M1398">
        <f>IF($A1398="","",IF($H1398="ENGAGE","Engagé",IF(AND($H1398="NON ENGAGE",OR($I1398="INFRUCTUEUX",$I1398="ANNULE")),"Clôturé sans suite","En cours")))</f>
        <v/>
      </c>
      <c r="N1398">
        <f>IF(ISBLANK('ENGAGEMENTS 2026'!C1398),"",'ENGAGEMENTS 2026'!L1398)</f>
        <v/>
      </c>
      <c r="O1398">
        <f>IF(ISBLANK('ENGAGEMENTS 2026'!C1398),"",'ENGAGEMENTS 2026'!M1398)</f>
        <v/>
      </c>
      <c r="P1398">
        <f>IF(ISBLANK('ENGAGEMENTS 2026'!C1398),"",'ENGAGEMENTS 2026'!K1398)</f>
        <v/>
      </c>
      <c r="Q1398">
        <f>IF($A1398="","",IF(OR($E1398="INFRUCTUEUX",$E1398="ANNULE"),$A1398&amp;"|"&amp;(COUNTIFS($A$2:$A1398,$A1398,$E$2:$E1398,"INFRUCTUEUX")+COUNTIFS($A$2:$A1398,$A1398,$E$2:$E1398,"ANNULE")),""))</f>
        <v/>
      </c>
    </row>
    <row r="1399">
      <c r="A1399">
        <f>IF(ISBLANK('ENGAGEMENTS 2026'!C1399),"",IF('ENGAGEMENTS 2026'!C1399="DTSI","DCT",'ENGAGEMENTS 2026'!C1399))</f>
        <v/>
      </c>
      <c r="B1399">
        <f>IF(ISBLANK('ENGAGEMENTS 2026'!C1399),"",'ENGAGEMENTS 2026'!D1399)</f>
        <v/>
      </c>
      <c r="C1399">
        <f>IF(ISBLANK('ENGAGEMENTS 2026'!C1399),"",'ENGAGEMENTS 2026'!E1399)</f>
        <v/>
      </c>
      <c r="D1399">
        <f>IF(ISBLANK('ENGAGEMENTS 2026'!C1399),"",'ENGAGEMENTS 2026'!G1399)</f>
        <v/>
      </c>
      <c r="E1399">
        <f>IF(ISBLANK('ENGAGEMENTS 2026'!C1399),"",'ENGAGEMENTS 2026'!I1399)</f>
        <v/>
      </c>
      <c r="F1399">
        <f>IF(ISBLANK('ENGAGEMENTS 2026'!C1399),"",'ENGAGEMENTS 2026'!J1399)</f>
        <v/>
      </c>
      <c r="G1399">
        <f>IF(ISBLANK('ENGAGEMENTS 2026'!C1399),"",'ENGAGEMENTS 2026'!M1399)</f>
        <v/>
      </c>
      <c r="H1399">
        <f>IF(ISBLANK('ENGAGEMENTS 2026'!C1399),"",'ENGAGEMENTS 2026'!AF1399)</f>
        <v/>
      </c>
      <c r="I1399">
        <f>IF(ISBLANK('ENGAGEMENTS 2026'!C1399),"",'ENGAGEMENTS 2026'!H1399)</f>
        <v/>
      </c>
      <c r="J1399" s="275">
        <f>IF(ISBLANK('ENGAGEMENTS 2026'!C1399),"",IF(AND(OR($E1399="INFRUCTUEUX",$E1399="ANNULE"),$C1399="AOO-M"),'ENGAGEMENTS 2026'!P1399,IF($H1399="EN COURS DE PREENGAGEMENT",'ENGAGEMENTS 2026'!O1399,IF($H1399="PREENGAGE",IF($E1399="ATTRIBUE",'ENGAGEMENTS 2026'!AE1399,'ENGAGEMENTS 2026'!O1399),'ENGAGEMENTS 2026'!AE1399))))</f>
        <v/>
      </c>
      <c r="K1399" s="604">
        <f>IF(ISBLANK('ENGAGEMENTS 2026'!W1399),"",'ENGAGEMENTS 2026'!W1399)</f>
        <v/>
      </c>
      <c r="L1399" s="276">
        <f>IF($K1399="","",TODAY()-$K1399)</f>
        <v/>
      </c>
      <c r="M1399">
        <f>IF($A1399="","",IF($H1399="ENGAGE","Engagé",IF(AND($H1399="NON ENGAGE",OR($I1399="INFRUCTUEUX",$I1399="ANNULE")),"Clôturé sans suite","En cours")))</f>
        <v/>
      </c>
      <c r="N1399">
        <f>IF(ISBLANK('ENGAGEMENTS 2026'!C1399),"",'ENGAGEMENTS 2026'!L1399)</f>
        <v/>
      </c>
      <c r="O1399">
        <f>IF(ISBLANK('ENGAGEMENTS 2026'!C1399),"",'ENGAGEMENTS 2026'!M1399)</f>
        <v/>
      </c>
      <c r="P1399">
        <f>IF(ISBLANK('ENGAGEMENTS 2026'!C1399),"",'ENGAGEMENTS 2026'!K1399)</f>
        <v/>
      </c>
      <c r="Q1399">
        <f>IF($A1399="","",IF(OR($E1399="INFRUCTUEUX",$E1399="ANNULE"),$A1399&amp;"|"&amp;(COUNTIFS($A$2:$A1399,$A1399,$E$2:$E1399,"INFRUCTUEUX")+COUNTIFS($A$2:$A1399,$A1399,$E$2:$E1399,"ANNULE")),""))</f>
        <v/>
      </c>
    </row>
    <row r="1400">
      <c r="A1400">
        <f>IF(ISBLANK('ENGAGEMENTS 2026'!C1400),"",IF('ENGAGEMENTS 2026'!C1400="DTSI","DCT",'ENGAGEMENTS 2026'!C1400))</f>
        <v/>
      </c>
      <c r="B1400">
        <f>IF(ISBLANK('ENGAGEMENTS 2026'!C1400),"",'ENGAGEMENTS 2026'!D1400)</f>
        <v/>
      </c>
      <c r="C1400">
        <f>IF(ISBLANK('ENGAGEMENTS 2026'!C1400),"",'ENGAGEMENTS 2026'!E1400)</f>
        <v/>
      </c>
      <c r="D1400">
        <f>IF(ISBLANK('ENGAGEMENTS 2026'!C1400),"",'ENGAGEMENTS 2026'!G1400)</f>
        <v/>
      </c>
      <c r="E1400">
        <f>IF(ISBLANK('ENGAGEMENTS 2026'!C1400),"",'ENGAGEMENTS 2026'!I1400)</f>
        <v/>
      </c>
      <c r="F1400">
        <f>IF(ISBLANK('ENGAGEMENTS 2026'!C1400),"",'ENGAGEMENTS 2026'!J1400)</f>
        <v/>
      </c>
      <c r="G1400">
        <f>IF(ISBLANK('ENGAGEMENTS 2026'!C1400),"",'ENGAGEMENTS 2026'!M1400)</f>
        <v/>
      </c>
      <c r="H1400">
        <f>IF(ISBLANK('ENGAGEMENTS 2026'!C1400),"",'ENGAGEMENTS 2026'!AF1400)</f>
        <v/>
      </c>
      <c r="I1400">
        <f>IF(ISBLANK('ENGAGEMENTS 2026'!C1400),"",'ENGAGEMENTS 2026'!H1400)</f>
        <v/>
      </c>
      <c r="J1400" s="275">
        <f>IF(ISBLANK('ENGAGEMENTS 2026'!C1400),"",IF(AND(OR($E1400="INFRUCTUEUX",$E1400="ANNULE"),$C1400="AOO-M"),'ENGAGEMENTS 2026'!P1400,IF($H1400="EN COURS DE PREENGAGEMENT",'ENGAGEMENTS 2026'!O1400,IF($H1400="PREENGAGE",IF($E1400="ATTRIBUE",'ENGAGEMENTS 2026'!AE1400,'ENGAGEMENTS 2026'!O1400),'ENGAGEMENTS 2026'!AE1400))))</f>
        <v/>
      </c>
      <c r="K1400" s="604">
        <f>IF(ISBLANK('ENGAGEMENTS 2026'!W1400),"",'ENGAGEMENTS 2026'!W1400)</f>
        <v/>
      </c>
      <c r="L1400" s="276">
        <f>IF($K1400="","",TODAY()-$K1400)</f>
        <v/>
      </c>
      <c r="M1400">
        <f>IF($A1400="","",IF($H1400="ENGAGE","Engagé",IF(AND($H1400="NON ENGAGE",OR($I1400="INFRUCTUEUX",$I1400="ANNULE")),"Clôturé sans suite","En cours")))</f>
        <v/>
      </c>
      <c r="N1400">
        <f>IF(ISBLANK('ENGAGEMENTS 2026'!C1400),"",'ENGAGEMENTS 2026'!L1400)</f>
        <v/>
      </c>
      <c r="O1400">
        <f>IF(ISBLANK('ENGAGEMENTS 2026'!C1400),"",'ENGAGEMENTS 2026'!M1400)</f>
        <v/>
      </c>
      <c r="P1400">
        <f>IF(ISBLANK('ENGAGEMENTS 2026'!C1400),"",'ENGAGEMENTS 2026'!K1400)</f>
        <v/>
      </c>
      <c r="Q1400">
        <f>IF($A1400="","",IF(OR($E1400="INFRUCTUEUX",$E1400="ANNULE"),$A1400&amp;"|"&amp;(COUNTIFS($A$2:$A1400,$A1400,$E$2:$E1400,"INFRUCTUEUX")+COUNTIFS($A$2:$A1400,$A1400,$E$2:$E1400,"ANNULE")),""))</f>
        <v/>
      </c>
    </row>
    <row r="1401">
      <c r="A1401">
        <f>IF(ISBLANK('ENGAGEMENTS 2026'!C1401),"",IF('ENGAGEMENTS 2026'!C1401="DTSI","DCT",'ENGAGEMENTS 2026'!C1401))</f>
        <v/>
      </c>
      <c r="B1401">
        <f>IF(ISBLANK('ENGAGEMENTS 2026'!C1401),"",'ENGAGEMENTS 2026'!D1401)</f>
        <v/>
      </c>
      <c r="C1401">
        <f>IF(ISBLANK('ENGAGEMENTS 2026'!C1401),"",'ENGAGEMENTS 2026'!E1401)</f>
        <v/>
      </c>
      <c r="D1401">
        <f>IF(ISBLANK('ENGAGEMENTS 2026'!C1401),"",'ENGAGEMENTS 2026'!G1401)</f>
        <v/>
      </c>
      <c r="E1401">
        <f>IF(ISBLANK('ENGAGEMENTS 2026'!C1401),"",'ENGAGEMENTS 2026'!I1401)</f>
        <v/>
      </c>
      <c r="F1401">
        <f>IF(ISBLANK('ENGAGEMENTS 2026'!C1401),"",'ENGAGEMENTS 2026'!J1401)</f>
        <v/>
      </c>
      <c r="G1401">
        <f>IF(ISBLANK('ENGAGEMENTS 2026'!C1401),"",'ENGAGEMENTS 2026'!M1401)</f>
        <v/>
      </c>
      <c r="H1401">
        <f>IF(ISBLANK('ENGAGEMENTS 2026'!C1401),"",'ENGAGEMENTS 2026'!AF1401)</f>
        <v/>
      </c>
      <c r="I1401">
        <f>IF(ISBLANK('ENGAGEMENTS 2026'!C1401),"",'ENGAGEMENTS 2026'!H1401)</f>
        <v/>
      </c>
      <c r="J1401" s="275">
        <f>IF(ISBLANK('ENGAGEMENTS 2026'!C1401),"",IF(AND(OR($E1401="INFRUCTUEUX",$E1401="ANNULE"),$C1401="AOO-M"),'ENGAGEMENTS 2026'!P1401,IF($H1401="EN COURS DE PREENGAGEMENT",'ENGAGEMENTS 2026'!O1401,IF($H1401="PREENGAGE",IF($E1401="ATTRIBUE",'ENGAGEMENTS 2026'!AE1401,'ENGAGEMENTS 2026'!O1401),'ENGAGEMENTS 2026'!AE1401))))</f>
        <v/>
      </c>
      <c r="K1401" s="604">
        <f>IF(ISBLANK('ENGAGEMENTS 2026'!W1401),"",'ENGAGEMENTS 2026'!W1401)</f>
        <v/>
      </c>
      <c r="L1401" s="276">
        <f>IF($K1401="","",TODAY()-$K1401)</f>
        <v/>
      </c>
      <c r="M1401">
        <f>IF($A1401="","",IF($H1401="ENGAGE","Engagé",IF(AND($H1401="NON ENGAGE",OR($I1401="INFRUCTUEUX",$I1401="ANNULE")),"Clôturé sans suite","En cours")))</f>
        <v/>
      </c>
      <c r="N1401">
        <f>IF(ISBLANK('ENGAGEMENTS 2026'!C1401),"",'ENGAGEMENTS 2026'!L1401)</f>
        <v/>
      </c>
      <c r="O1401">
        <f>IF(ISBLANK('ENGAGEMENTS 2026'!C1401),"",'ENGAGEMENTS 2026'!M1401)</f>
        <v/>
      </c>
      <c r="P1401">
        <f>IF(ISBLANK('ENGAGEMENTS 2026'!C1401),"",'ENGAGEMENTS 2026'!K1401)</f>
        <v/>
      </c>
      <c r="Q1401">
        <f>IF($A1401="","",IF(OR($E1401="INFRUCTUEUX",$E1401="ANNULE"),$A1401&amp;"|"&amp;(COUNTIFS($A$2:$A1401,$A1401,$E$2:$E1401,"INFRUCTUEUX")+COUNTIFS($A$2:$A1401,$A1401,$E$2:$E1401,"ANNULE")),""))</f>
        <v/>
      </c>
    </row>
    <row r="1402">
      <c r="A1402">
        <f>IF(ISBLANK('ENGAGEMENTS 2026'!C1402),"",IF('ENGAGEMENTS 2026'!C1402="DTSI","DCT",'ENGAGEMENTS 2026'!C1402))</f>
        <v/>
      </c>
      <c r="B1402">
        <f>IF(ISBLANK('ENGAGEMENTS 2026'!C1402),"",'ENGAGEMENTS 2026'!D1402)</f>
        <v/>
      </c>
      <c r="C1402">
        <f>IF(ISBLANK('ENGAGEMENTS 2026'!C1402),"",'ENGAGEMENTS 2026'!E1402)</f>
        <v/>
      </c>
      <c r="D1402">
        <f>IF(ISBLANK('ENGAGEMENTS 2026'!C1402),"",'ENGAGEMENTS 2026'!G1402)</f>
        <v/>
      </c>
      <c r="E1402">
        <f>IF(ISBLANK('ENGAGEMENTS 2026'!C1402),"",'ENGAGEMENTS 2026'!I1402)</f>
        <v/>
      </c>
      <c r="F1402">
        <f>IF(ISBLANK('ENGAGEMENTS 2026'!C1402),"",'ENGAGEMENTS 2026'!J1402)</f>
        <v/>
      </c>
      <c r="G1402">
        <f>IF(ISBLANK('ENGAGEMENTS 2026'!C1402),"",'ENGAGEMENTS 2026'!M1402)</f>
        <v/>
      </c>
      <c r="H1402">
        <f>IF(ISBLANK('ENGAGEMENTS 2026'!C1402),"",'ENGAGEMENTS 2026'!AF1402)</f>
        <v/>
      </c>
      <c r="I1402">
        <f>IF(ISBLANK('ENGAGEMENTS 2026'!C1402),"",'ENGAGEMENTS 2026'!H1402)</f>
        <v/>
      </c>
      <c r="J1402" s="275">
        <f>IF(ISBLANK('ENGAGEMENTS 2026'!C1402),"",IF(AND(OR($E1402="INFRUCTUEUX",$E1402="ANNULE"),$C1402="AOO-M"),'ENGAGEMENTS 2026'!P1402,IF($H1402="EN COURS DE PREENGAGEMENT",'ENGAGEMENTS 2026'!O1402,IF($H1402="PREENGAGE",IF($E1402="ATTRIBUE",'ENGAGEMENTS 2026'!AE1402,'ENGAGEMENTS 2026'!O1402),'ENGAGEMENTS 2026'!AE1402))))</f>
        <v/>
      </c>
      <c r="K1402" s="604">
        <f>IF(ISBLANK('ENGAGEMENTS 2026'!W1402),"",'ENGAGEMENTS 2026'!W1402)</f>
        <v/>
      </c>
      <c r="L1402" s="276">
        <f>IF($K1402="","",TODAY()-$K1402)</f>
        <v/>
      </c>
      <c r="M1402">
        <f>IF($A1402="","",IF($H1402="ENGAGE","Engagé",IF(AND($H1402="NON ENGAGE",OR($I1402="INFRUCTUEUX",$I1402="ANNULE")),"Clôturé sans suite","En cours")))</f>
        <v/>
      </c>
      <c r="N1402">
        <f>IF(ISBLANK('ENGAGEMENTS 2026'!C1402),"",'ENGAGEMENTS 2026'!L1402)</f>
        <v/>
      </c>
      <c r="O1402">
        <f>IF(ISBLANK('ENGAGEMENTS 2026'!C1402),"",'ENGAGEMENTS 2026'!M1402)</f>
        <v/>
      </c>
      <c r="P1402">
        <f>IF(ISBLANK('ENGAGEMENTS 2026'!C1402),"",'ENGAGEMENTS 2026'!K1402)</f>
        <v/>
      </c>
      <c r="Q1402">
        <f>IF($A1402="","",IF(OR($E1402="INFRUCTUEUX",$E1402="ANNULE"),$A1402&amp;"|"&amp;(COUNTIFS($A$2:$A1402,$A1402,$E$2:$E1402,"INFRUCTUEUX")+COUNTIFS($A$2:$A1402,$A1402,$E$2:$E1402,"ANNULE")),""))</f>
        <v/>
      </c>
    </row>
    <row r="1403">
      <c r="A1403">
        <f>IF(ISBLANK('ENGAGEMENTS 2026'!C1403),"",IF('ENGAGEMENTS 2026'!C1403="DTSI","DCT",'ENGAGEMENTS 2026'!C1403))</f>
        <v/>
      </c>
      <c r="B1403">
        <f>IF(ISBLANK('ENGAGEMENTS 2026'!C1403),"",'ENGAGEMENTS 2026'!D1403)</f>
        <v/>
      </c>
      <c r="C1403">
        <f>IF(ISBLANK('ENGAGEMENTS 2026'!C1403),"",'ENGAGEMENTS 2026'!E1403)</f>
        <v/>
      </c>
      <c r="D1403">
        <f>IF(ISBLANK('ENGAGEMENTS 2026'!C1403),"",'ENGAGEMENTS 2026'!G1403)</f>
        <v/>
      </c>
      <c r="E1403">
        <f>IF(ISBLANK('ENGAGEMENTS 2026'!C1403),"",'ENGAGEMENTS 2026'!I1403)</f>
        <v/>
      </c>
      <c r="F1403">
        <f>IF(ISBLANK('ENGAGEMENTS 2026'!C1403),"",'ENGAGEMENTS 2026'!J1403)</f>
        <v/>
      </c>
      <c r="G1403">
        <f>IF(ISBLANK('ENGAGEMENTS 2026'!C1403),"",'ENGAGEMENTS 2026'!M1403)</f>
        <v/>
      </c>
      <c r="H1403">
        <f>IF(ISBLANK('ENGAGEMENTS 2026'!C1403),"",'ENGAGEMENTS 2026'!AF1403)</f>
        <v/>
      </c>
      <c r="I1403">
        <f>IF(ISBLANK('ENGAGEMENTS 2026'!C1403),"",'ENGAGEMENTS 2026'!H1403)</f>
        <v/>
      </c>
      <c r="J1403" s="275">
        <f>IF(ISBLANK('ENGAGEMENTS 2026'!C1403),"",IF(AND(OR($E1403="INFRUCTUEUX",$E1403="ANNULE"),$C1403="AOO-M"),'ENGAGEMENTS 2026'!P1403,IF($H1403="EN COURS DE PREENGAGEMENT",'ENGAGEMENTS 2026'!O1403,IF($H1403="PREENGAGE",IF($E1403="ATTRIBUE",'ENGAGEMENTS 2026'!AE1403,'ENGAGEMENTS 2026'!O1403),'ENGAGEMENTS 2026'!AE1403))))</f>
        <v/>
      </c>
      <c r="K1403" s="604">
        <f>IF(ISBLANK('ENGAGEMENTS 2026'!W1403),"",'ENGAGEMENTS 2026'!W1403)</f>
        <v/>
      </c>
      <c r="L1403" s="276">
        <f>IF($K1403="","",TODAY()-$K1403)</f>
        <v/>
      </c>
      <c r="M1403">
        <f>IF($A1403="","",IF($H1403="ENGAGE","Engagé",IF(AND($H1403="NON ENGAGE",OR($I1403="INFRUCTUEUX",$I1403="ANNULE")),"Clôturé sans suite","En cours")))</f>
        <v/>
      </c>
      <c r="N1403">
        <f>IF(ISBLANK('ENGAGEMENTS 2026'!C1403),"",'ENGAGEMENTS 2026'!L1403)</f>
        <v/>
      </c>
      <c r="O1403">
        <f>IF(ISBLANK('ENGAGEMENTS 2026'!C1403),"",'ENGAGEMENTS 2026'!M1403)</f>
        <v/>
      </c>
      <c r="P1403">
        <f>IF(ISBLANK('ENGAGEMENTS 2026'!C1403),"",'ENGAGEMENTS 2026'!K1403)</f>
        <v/>
      </c>
      <c r="Q1403">
        <f>IF($A1403="","",IF(OR($E1403="INFRUCTUEUX",$E1403="ANNULE"),$A1403&amp;"|"&amp;(COUNTIFS($A$2:$A1403,$A1403,$E$2:$E1403,"INFRUCTUEUX")+COUNTIFS($A$2:$A1403,$A1403,$E$2:$E1403,"ANNULE")),""))</f>
        <v/>
      </c>
    </row>
    <row r="1404">
      <c r="A1404">
        <f>IF(ISBLANK('ENGAGEMENTS 2026'!C1404),"",IF('ENGAGEMENTS 2026'!C1404="DTSI","DCT",'ENGAGEMENTS 2026'!C1404))</f>
        <v/>
      </c>
      <c r="B1404">
        <f>IF(ISBLANK('ENGAGEMENTS 2026'!C1404),"",'ENGAGEMENTS 2026'!D1404)</f>
        <v/>
      </c>
      <c r="C1404">
        <f>IF(ISBLANK('ENGAGEMENTS 2026'!C1404),"",'ENGAGEMENTS 2026'!E1404)</f>
        <v/>
      </c>
      <c r="D1404">
        <f>IF(ISBLANK('ENGAGEMENTS 2026'!C1404),"",'ENGAGEMENTS 2026'!G1404)</f>
        <v/>
      </c>
      <c r="E1404">
        <f>IF(ISBLANK('ENGAGEMENTS 2026'!C1404),"",'ENGAGEMENTS 2026'!I1404)</f>
        <v/>
      </c>
      <c r="F1404">
        <f>IF(ISBLANK('ENGAGEMENTS 2026'!C1404),"",'ENGAGEMENTS 2026'!J1404)</f>
        <v/>
      </c>
      <c r="G1404">
        <f>IF(ISBLANK('ENGAGEMENTS 2026'!C1404),"",'ENGAGEMENTS 2026'!M1404)</f>
        <v/>
      </c>
      <c r="H1404">
        <f>IF(ISBLANK('ENGAGEMENTS 2026'!C1404),"",'ENGAGEMENTS 2026'!AF1404)</f>
        <v/>
      </c>
      <c r="I1404">
        <f>IF(ISBLANK('ENGAGEMENTS 2026'!C1404),"",'ENGAGEMENTS 2026'!H1404)</f>
        <v/>
      </c>
      <c r="J1404" s="275">
        <f>IF(ISBLANK('ENGAGEMENTS 2026'!C1404),"",IF(AND(OR($E1404="INFRUCTUEUX",$E1404="ANNULE"),$C1404="AOO-M"),'ENGAGEMENTS 2026'!P1404,IF($H1404="EN COURS DE PREENGAGEMENT",'ENGAGEMENTS 2026'!O1404,IF($H1404="PREENGAGE",IF($E1404="ATTRIBUE",'ENGAGEMENTS 2026'!AE1404,'ENGAGEMENTS 2026'!O1404),'ENGAGEMENTS 2026'!AE1404))))</f>
        <v/>
      </c>
      <c r="K1404" s="604">
        <f>IF(ISBLANK('ENGAGEMENTS 2026'!W1404),"",'ENGAGEMENTS 2026'!W1404)</f>
        <v/>
      </c>
      <c r="L1404" s="276">
        <f>IF($K1404="","",TODAY()-$K1404)</f>
        <v/>
      </c>
      <c r="M1404">
        <f>IF($A1404="","",IF($H1404="ENGAGE","Engagé",IF(AND($H1404="NON ENGAGE",OR($I1404="INFRUCTUEUX",$I1404="ANNULE")),"Clôturé sans suite","En cours")))</f>
        <v/>
      </c>
      <c r="N1404">
        <f>IF(ISBLANK('ENGAGEMENTS 2026'!C1404),"",'ENGAGEMENTS 2026'!L1404)</f>
        <v/>
      </c>
      <c r="O1404">
        <f>IF(ISBLANK('ENGAGEMENTS 2026'!C1404),"",'ENGAGEMENTS 2026'!M1404)</f>
        <v/>
      </c>
      <c r="P1404">
        <f>IF(ISBLANK('ENGAGEMENTS 2026'!C1404),"",'ENGAGEMENTS 2026'!K1404)</f>
        <v/>
      </c>
      <c r="Q1404">
        <f>IF($A1404="","",IF(OR($E1404="INFRUCTUEUX",$E1404="ANNULE"),$A1404&amp;"|"&amp;(COUNTIFS($A$2:$A1404,$A1404,$E$2:$E1404,"INFRUCTUEUX")+COUNTIFS($A$2:$A1404,$A1404,$E$2:$E1404,"ANNULE")),""))</f>
        <v/>
      </c>
    </row>
    <row r="1405">
      <c r="A1405">
        <f>IF(ISBLANK('ENGAGEMENTS 2026'!C1405),"",IF('ENGAGEMENTS 2026'!C1405="DTSI","DCT",'ENGAGEMENTS 2026'!C1405))</f>
        <v/>
      </c>
      <c r="B1405">
        <f>IF(ISBLANK('ENGAGEMENTS 2026'!C1405),"",'ENGAGEMENTS 2026'!D1405)</f>
        <v/>
      </c>
      <c r="C1405">
        <f>IF(ISBLANK('ENGAGEMENTS 2026'!C1405),"",'ENGAGEMENTS 2026'!E1405)</f>
        <v/>
      </c>
      <c r="D1405">
        <f>IF(ISBLANK('ENGAGEMENTS 2026'!C1405),"",'ENGAGEMENTS 2026'!G1405)</f>
        <v/>
      </c>
      <c r="E1405">
        <f>IF(ISBLANK('ENGAGEMENTS 2026'!C1405),"",'ENGAGEMENTS 2026'!I1405)</f>
        <v/>
      </c>
      <c r="F1405">
        <f>IF(ISBLANK('ENGAGEMENTS 2026'!C1405),"",'ENGAGEMENTS 2026'!J1405)</f>
        <v/>
      </c>
      <c r="G1405">
        <f>IF(ISBLANK('ENGAGEMENTS 2026'!C1405),"",'ENGAGEMENTS 2026'!M1405)</f>
        <v/>
      </c>
      <c r="H1405">
        <f>IF(ISBLANK('ENGAGEMENTS 2026'!C1405),"",'ENGAGEMENTS 2026'!AF1405)</f>
        <v/>
      </c>
      <c r="I1405">
        <f>IF(ISBLANK('ENGAGEMENTS 2026'!C1405),"",'ENGAGEMENTS 2026'!H1405)</f>
        <v/>
      </c>
      <c r="J1405" s="275">
        <f>IF(ISBLANK('ENGAGEMENTS 2026'!C1405),"",IF(AND(OR($E1405="INFRUCTUEUX",$E1405="ANNULE"),$C1405="AOO-M"),'ENGAGEMENTS 2026'!P1405,IF($H1405="EN COURS DE PREENGAGEMENT",'ENGAGEMENTS 2026'!O1405,IF($H1405="PREENGAGE",IF($E1405="ATTRIBUE",'ENGAGEMENTS 2026'!AE1405,'ENGAGEMENTS 2026'!O1405),'ENGAGEMENTS 2026'!AE1405))))</f>
        <v/>
      </c>
      <c r="K1405" s="604">
        <f>IF(ISBLANK('ENGAGEMENTS 2026'!W1405),"",'ENGAGEMENTS 2026'!W1405)</f>
        <v/>
      </c>
      <c r="L1405" s="276">
        <f>IF($K1405="","",TODAY()-$K1405)</f>
        <v/>
      </c>
      <c r="M1405">
        <f>IF($A1405="","",IF($H1405="ENGAGE","Engagé",IF(AND($H1405="NON ENGAGE",OR($I1405="INFRUCTUEUX",$I1405="ANNULE")),"Clôturé sans suite","En cours")))</f>
        <v/>
      </c>
      <c r="N1405">
        <f>IF(ISBLANK('ENGAGEMENTS 2026'!C1405),"",'ENGAGEMENTS 2026'!L1405)</f>
        <v/>
      </c>
      <c r="O1405">
        <f>IF(ISBLANK('ENGAGEMENTS 2026'!C1405),"",'ENGAGEMENTS 2026'!M1405)</f>
        <v/>
      </c>
      <c r="P1405">
        <f>IF(ISBLANK('ENGAGEMENTS 2026'!C1405),"",'ENGAGEMENTS 2026'!K1405)</f>
        <v/>
      </c>
      <c r="Q1405">
        <f>IF($A1405="","",IF(OR($E1405="INFRUCTUEUX",$E1405="ANNULE"),$A1405&amp;"|"&amp;(COUNTIFS($A$2:$A1405,$A1405,$E$2:$E1405,"INFRUCTUEUX")+COUNTIFS($A$2:$A1405,$A1405,$E$2:$E1405,"ANNULE")),""))</f>
        <v/>
      </c>
    </row>
    <row r="1406">
      <c r="A1406">
        <f>IF(ISBLANK('ENGAGEMENTS 2026'!C1406),"",IF('ENGAGEMENTS 2026'!C1406="DTSI","DCT",'ENGAGEMENTS 2026'!C1406))</f>
        <v/>
      </c>
      <c r="B1406">
        <f>IF(ISBLANK('ENGAGEMENTS 2026'!C1406),"",'ENGAGEMENTS 2026'!D1406)</f>
        <v/>
      </c>
      <c r="C1406">
        <f>IF(ISBLANK('ENGAGEMENTS 2026'!C1406),"",'ENGAGEMENTS 2026'!E1406)</f>
        <v/>
      </c>
      <c r="D1406">
        <f>IF(ISBLANK('ENGAGEMENTS 2026'!C1406),"",'ENGAGEMENTS 2026'!G1406)</f>
        <v/>
      </c>
      <c r="E1406">
        <f>IF(ISBLANK('ENGAGEMENTS 2026'!C1406),"",'ENGAGEMENTS 2026'!I1406)</f>
        <v/>
      </c>
      <c r="F1406">
        <f>IF(ISBLANK('ENGAGEMENTS 2026'!C1406),"",'ENGAGEMENTS 2026'!J1406)</f>
        <v/>
      </c>
      <c r="G1406">
        <f>IF(ISBLANK('ENGAGEMENTS 2026'!C1406),"",'ENGAGEMENTS 2026'!M1406)</f>
        <v/>
      </c>
      <c r="H1406">
        <f>IF(ISBLANK('ENGAGEMENTS 2026'!C1406),"",'ENGAGEMENTS 2026'!AF1406)</f>
        <v/>
      </c>
      <c r="I1406">
        <f>IF(ISBLANK('ENGAGEMENTS 2026'!C1406),"",'ENGAGEMENTS 2026'!H1406)</f>
        <v/>
      </c>
      <c r="J1406" s="275">
        <f>IF(ISBLANK('ENGAGEMENTS 2026'!C1406),"",IF(AND(OR($E1406="INFRUCTUEUX",$E1406="ANNULE"),$C1406="AOO-M"),'ENGAGEMENTS 2026'!P1406,IF($H1406="EN COURS DE PREENGAGEMENT",'ENGAGEMENTS 2026'!O1406,IF($H1406="PREENGAGE",IF($E1406="ATTRIBUE",'ENGAGEMENTS 2026'!AE1406,'ENGAGEMENTS 2026'!O1406),'ENGAGEMENTS 2026'!AE1406))))</f>
        <v/>
      </c>
      <c r="K1406" s="604">
        <f>IF(ISBLANK('ENGAGEMENTS 2026'!W1406),"",'ENGAGEMENTS 2026'!W1406)</f>
        <v/>
      </c>
      <c r="L1406" s="276">
        <f>IF($K1406="","",TODAY()-$K1406)</f>
        <v/>
      </c>
      <c r="M1406">
        <f>IF($A1406="","",IF($H1406="ENGAGE","Engagé",IF(AND($H1406="NON ENGAGE",OR($I1406="INFRUCTUEUX",$I1406="ANNULE")),"Clôturé sans suite","En cours")))</f>
        <v/>
      </c>
      <c r="N1406">
        <f>IF(ISBLANK('ENGAGEMENTS 2026'!C1406),"",'ENGAGEMENTS 2026'!L1406)</f>
        <v/>
      </c>
      <c r="O1406">
        <f>IF(ISBLANK('ENGAGEMENTS 2026'!C1406),"",'ENGAGEMENTS 2026'!M1406)</f>
        <v/>
      </c>
      <c r="P1406">
        <f>IF(ISBLANK('ENGAGEMENTS 2026'!C1406),"",'ENGAGEMENTS 2026'!K1406)</f>
        <v/>
      </c>
      <c r="Q1406">
        <f>IF($A1406="","",IF(OR($E1406="INFRUCTUEUX",$E1406="ANNULE"),$A1406&amp;"|"&amp;(COUNTIFS($A$2:$A1406,$A1406,$E$2:$E1406,"INFRUCTUEUX")+COUNTIFS($A$2:$A1406,$A1406,$E$2:$E1406,"ANNULE")),""))</f>
        <v/>
      </c>
    </row>
    <row r="1407">
      <c r="A1407">
        <f>IF(ISBLANK('ENGAGEMENTS 2026'!C1407),"",IF('ENGAGEMENTS 2026'!C1407="DTSI","DCT",'ENGAGEMENTS 2026'!C1407))</f>
        <v/>
      </c>
      <c r="B1407">
        <f>IF(ISBLANK('ENGAGEMENTS 2026'!C1407),"",'ENGAGEMENTS 2026'!D1407)</f>
        <v/>
      </c>
      <c r="C1407">
        <f>IF(ISBLANK('ENGAGEMENTS 2026'!C1407),"",'ENGAGEMENTS 2026'!E1407)</f>
        <v/>
      </c>
      <c r="D1407">
        <f>IF(ISBLANK('ENGAGEMENTS 2026'!C1407),"",'ENGAGEMENTS 2026'!G1407)</f>
        <v/>
      </c>
      <c r="E1407">
        <f>IF(ISBLANK('ENGAGEMENTS 2026'!C1407),"",'ENGAGEMENTS 2026'!I1407)</f>
        <v/>
      </c>
      <c r="F1407">
        <f>IF(ISBLANK('ENGAGEMENTS 2026'!C1407),"",'ENGAGEMENTS 2026'!J1407)</f>
        <v/>
      </c>
      <c r="G1407">
        <f>IF(ISBLANK('ENGAGEMENTS 2026'!C1407),"",'ENGAGEMENTS 2026'!M1407)</f>
        <v/>
      </c>
      <c r="H1407">
        <f>IF(ISBLANK('ENGAGEMENTS 2026'!C1407),"",'ENGAGEMENTS 2026'!AF1407)</f>
        <v/>
      </c>
      <c r="I1407">
        <f>IF(ISBLANK('ENGAGEMENTS 2026'!C1407),"",'ENGAGEMENTS 2026'!H1407)</f>
        <v/>
      </c>
      <c r="J1407" s="275">
        <f>IF(ISBLANK('ENGAGEMENTS 2026'!C1407),"",IF(AND(OR($E1407="INFRUCTUEUX",$E1407="ANNULE"),$C1407="AOO-M"),'ENGAGEMENTS 2026'!P1407,IF($H1407="EN COURS DE PREENGAGEMENT",'ENGAGEMENTS 2026'!O1407,IF($H1407="PREENGAGE",IF($E1407="ATTRIBUE",'ENGAGEMENTS 2026'!AE1407,'ENGAGEMENTS 2026'!O1407),'ENGAGEMENTS 2026'!AE1407))))</f>
        <v/>
      </c>
      <c r="K1407" s="604">
        <f>IF(ISBLANK('ENGAGEMENTS 2026'!W1407),"",'ENGAGEMENTS 2026'!W1407)</f>
        <v/>
      </c>
      <c r="L1407" s="276">
        <f>IF($K1407="","",TODAY()-$K1407)</f>
        <v/>
      </c>
      <c r="M1407">
        <f>IF($A1407="","",IF($H1407="ENGAGE","Engagé",IF(AND($H1407="NON ENGAGE",OR($I1407="INFRUCTUEUX",$I1407="ANNULE")),"Clôturé sans suite","En cours")))</f>
        <v/>
      </c>
      <c r="N1407">
        <f>IF(ISBLANK('ENGAGEMENTS 2026'!C1407),"",'ENGAGEMENTS 2026'!L1407)</f>
        <v/>
      </c>
      <c r="O1407">
        <f>IF(ISBLANK('ENGAGEMENTS 2026'!C1407),"",'ENGAGEMENTS 2026'!M1407)</f>
        <v/>
      </c>
      <c r="P1407">
        <f>IF(ISBLANK('ENGAGEMENTS 2026'!C1407),"",'ENGAGEMENTS 2026'!K1407)</f>
        <v/>
      </c>
      <c r="Q1407">
        <f>IF($A1407="","",IF(OR($E1407="INFRUCTUEUX",$E1407="ANNULE"),$A1407&amp;"|"&amp;(COUNTIFS($A$2:$A1407,$A1407,$E$2:$E1407,"INFRUCTUEUX")+COUNTIFS($A$2:$A1407,$A1407,$E$2:$E1407,"ANNULE")),""))</f>
        <v/>
      </c>
    </row>
    <row r="1408">
      <c r="A1408">
        <f>IF(ISBLANK('ENGAGEMENTS 2026'!C1408),"",IF('ENGAGEMENTS 2026'!C1408="DTSI","DCT",'ENGAGEMENTS 2026'!C1408))</f>
        <v/>
      </c>
      <c r="B1408">
        <f>IF(ISBLANK('ENGAGEMENTS 2026'!C1408),"",'ENGAGEMENTS 2026'!D1408)</f>
        <v/>
      </c>
      <c r="C1408">
        <f>IF(ISBLANK('ENGAGEMENTS 2026'!C1408),"",'ENGAGEMENTS 2026'!E1408)</f>
        <v/>
      </c>
      <c r="D1408">
        <f>IF(ISBLANK('ENGAGEMENTS 2026'!C1408),"",'ENGAGEMENTS 2026'!G1408)</f>
        <v/>
      </c>
      <c r="E1408">
        <f>IF(ISBLANK('ENGAGEMENTS 2026'!C1408),"",'ENGAGEMENTS 2026'!I1408)</f>
        <v/>
      </c>
      <c r="F1408">
        <f>IF(ISBLANK('ENGAGEMENTS 2026'!C1408),"",'ENGAGEMENTS 2026'!J1408)</f>
        <v/>
      </c>
      <c r="G1408">
        <f>IF(ISBLANK('ENGAGEMENTS 2026'!C1408),"",'ENGAGEMENTS 2026'!M1408)</f>
        <v/>
      </c>
      <c r="H1408">
        <f>IF(ISBLANK('ENGAGEMENTS 2026'!C1408),"",'ENGAGEMENTS 2026'!AF1408)</f>
        <v/>
      </c>
      <c r="I1408">
        <f>IF(ISBLANK('ENGAGEMENTS 2026'!C1408),"",'ENGAGEMENTS 2026'!H1408)</f>
        <v/>
      </c>
      <c r="J1408" s="275">
        <f>IF(ISBLANK('ENGAGEMENTS 2026'!C1408),"",IF(AND(OR($E1408="INFRUCTUEUX",$E1408="ANNULE"),$C1408="AOO-M"),'ENGAGEMENTS 2026'!P1408,IF($H1408="EN COURS DE PREENGAGEMENT",'ENGAGEMENTS 2026'!O1408,IF($H1408="PREENGAGE",IF($E1408="ATTRIBUE",'ENGAGEMENTS 2026'!AE1408,'ENGAGEMENTS 2026'!O1408),'ENGAGEMENTS 2026'!AE1408))))</f>
        <v/>
      </c>
      <c r="K1408" s="604">
        <f>IF(ISBLANK('ENGAGEMENTS 2026'!W1408),"",'ENGAGEMENTS 2026'!W1408)</f>
        <v/>
      </c>
      <c r="L1408" s="276">
        <f>IF($K1408="","",TODAY()-$K1408)</f>
        <v/>
      </c>
      <c r="M1408">
        <f>IF($A1408="","",IF($H1408="ENGAGE","Engagé",IF(AND($H1408="NON ENGAGE",OR($I1408="INFRUCTUEUX",$I1408="ANNULE")),"Clôturé sans suite","En cours")))</f>
        <v/>
      </c>
      <c r="N1408">
        <f>IF(ISBLANK('ENGAGEMENTS 2026'!C1408),"",'ENGAGEMENTS 2026'!L1408)</f>
        <v/>
      </c>
      <c r="O1408">
        <f>IF(ISBLANK('ENGAGEMENTS 2026'!C1408),"",'ENGAGEMENTS 2026'!M1408)</f>
        <v/>
      </c>
      <c r="P1408">
        <f>IF(ISBLANK('ENGAGEMENTS 2026'!C1408),"",'ENGAGEMENTS 2026'!K1408)</f>
        <v/>
      </c>
      <c r="Q1408">
        <f>IF($A1408="","",IF(OR($E1408="INFRUCTUEUX",$E1408="ANNULE"),$A1408&amp;"|"&amp;(COUNTIFS($A$2:$A1408,$A1408,$E$2:$E1408,"INFRUCTUEUX")+COUNTIFS($A$2:$A1408,$A1408,$E$2:$E1408,"ANNULE")),""))</f>
        <v/>
      </c>
    </row>
    <row r="1409">
      <c r="A1409">
        <f>IF(ISBLANK('ENGAGEMENTS 2026'!C1409),"",IF('ENGAGEMENTS 2026'!C1409="DTSI","DCT",'ENGAGEMENTS 2026'!C1409))</f>
        <v/>
      </c>
      <c r="B1409">
        <f>IF(ISBLANK('ENGAGEMENTS 2026'!C1409),"",'ENGAGEMENTS 2026'!D1409)</f>
        <v/>
      </c>
      <c r="C1409">
        <f>IF(ISBLANK('ENGAGEMENTS 2026'!C1409),"",'ENGAGEMENTS 2026'!E1409)</f>
        <v/>
      </c>
      <c r="D1409">
        <f>IF(ISBLANK('ENGAGEMENTS 2026'!C1409),"",'ENGAGEMENTS 2026'!G1409)</f>
        <v/>
      </c>
      <c r="E1409">
        <f>IF(ISBLANK('ENGAGEMENTS 2026'!C1409),"",'ENGAGEMENTS 2026'!I1409)</f>
        <v/>
      </c>
      <c r="F1409">
        <f>IF(ISBLANK('ENGAGEMENTS 2026'!C1409),"",'ENGAGEMENTS 2026'!J1409)</f>
        <v/>
      </c>
      <c r="G1409">
        <f>IF(ISBLANK('ENGAGEMENTS 2026'!C1409),"",'ENGAGEMENTS 2026'!M1409)</f>
        <v/>
      </c>
      <c r="H1409">
        <f>IF(ISBLANK('ENGAGEMENTS 2026'!C1409),"",'ENGAGEMENTS 2026'!AF1409)</f>
        <v/>
      </c>
      <c r="I1409">
        <f>IF(ISBLANK('ENGAGEMENTS 2026'!C1409),"",'ENGAGEMENTS 2026'!H1409)</f>
        <v/>
      </c>
      <c r="J1409" s="275">
        <f>IF(ISBLANK('ENGAGEMENTS 2026'!C1409),"",IF(AND(OR($E1409="INFRUCTUEUX",$E1409="ANNULE"),$C1409="AOO-M"),'ENGAGEMENTS 2026'!P1409,IF($H1409="EN COURS DE PREENGAGEMENT",'ENGAGEMENTS 2026'!O1409,IF($H1409="PREENGAGE",IF($E1409="ATTRIBUE",'ENGAGEMENTS 2026'!AE1409,'ENGAGEMENTS 2026'!O1409),'ENGAGEMENTS 2026'!AE1409))))</f>
        <v/>
      </c>
      <c r="K1409" s="604">
        <f>IF(ISBLANK('ENGAGEMENTS 2026'!W1409),"",'ENGAGEMENTS 2026'!W1409)</f>
        <v/>
      </c>
      <c r="L1409" s="276">
        <f>IF($K1409="","",TODAY()-$K1409)</f>
        <v/>
      </c>
      <c r="M1409">
        <f>IF($A1409="","",IF($H1409="ENGAGE","Engagé",IF(AND($H1409="NON ENGAGE",OR($I1409="INFRUCTUEUX",$I1409="ANNULE")),"Clôturé sans suite","En cours")))</f>
        <v/>
      </c>
      <c r="N1409">
        <f>IF(ISBLANK('ENGAGEMENTS 2026'!C1409),"",'ENGAGEMENTS 2026'!L1409)</f>
        <v/>
      </c>
      <c r="O1409">
        <f>IF(ISBLANK('ENGAGEMENTS 2026'!C1409),"",'ENGAGEMENTS 2026'!M1409)</f>
        <v/>
      </c>
      <c r="P1409">
        <f>IF(ISBLANK('ENGAGEMENTS 2026'!C1409),"",'ENGAGEMENTS 2026'!K1409)</f>
        <v/>
      </c>
      <c r="Q1409">
        <f>IF($A1409="","",IF(OR($E1409="INFRUCTUEUX",$E1409="ANNULE"),$A1409&amp;"|"&amp;(COUNTIFS($A$2:$A1409,$A1409,$E$2:$E1409,"INFRUCTUEUX")+COUNTIFS($A$2:$A1409,$A1409,$E$2:$E1409,"ANNULE")),""))</f>
        <v/>
      </c>
    </row>
    <row r="1410">
      <c r="A1410">
        <f>IF(ISBLANK('ENGAGEMENTS 2026'!C1410),"",IF('ENGAGEMENTS 2026'!C1410="DTSI","DCT",'ENGAGEMENTS 2026'!C1410))</f>
        <v/>
      </c>
      <c r="B1410">
        <f>IF(ISBLANK('ENGAGEMENTS 2026'!C1410),"",'ENGAGEMENTS 2026'!D1410)</f>
        <v/>
      </c>
      <c r="C1410">
        <f>IF(ISBLANK('ENGAGEMENTS 2026'!C1410),"",'ENGAGEMENTS 2026'!E1410)</f>
        <v/>
      </c>
      <c r="D1410">
        <f>IF(ISBLANK('ENGAGEMENTS 2026'!C1410),"",'ENGAGEMENTS 2026'!G1410)</f>
        <v/>
      </c>
      <c r="E1410">
        <f>IF(ISBLANK('ENGAGEMENTS 2026'!C1410),"",'ENGAGEMENTS 2026'!I1410)</f>
        <v/>
      </c>
      <c r="F1410">
        <f>IF(ISBLANK('ENGAGEMENTS 2026'!C1410),"",'ENGAGEMENTS 2026'!J1410)</f>
        <v/>
      </c>
      <c r="G1410">
        <f>IF(ISBLANK('ENGAGEMENTS 2026'!C1410),"",'ENGAGEMENTS 2026'!M1410)</f>
        <v/>
      </c>
      <c r="H1410">
        <f>IF(ISBLANK('ENGAGEMENTS 2026'!C1410),"",'ENGAGEMENTS 2026'!AF1410)</f>
        <v/>
      </c>
      <c r="I1410">
        <f>IF(ISBLANK('ENGAGEMENTS 2026'!C1410),"",'ENGAGEMENTS 2026'!H1410)</f>
        <v/>
      </c>
      <c r="J1410" s="275">
        <f>IF(ISBLANK('ENGAGEMENTS 2026'!C1410),"",IF(AND(OR($E1410="INFRUCTUEUX",$E1410="ANNULE"),$C1410="AOO-M"),'ENGAGEMENTS 2026'!P1410,IF($H1410="EN COURS DE PREENGAGEMENT",'ENGAGEMENTS 2026'!O1410,IF($H1410="PREENGAGE",IF($E1410="ATTRIBUE",'ENGAGEMENTS 2026'!AE1410,'ENGAGEMENTS 2026'!O1410),'ENGAGEMENTS 2026'!AE1410))))</f>
        <v/>
      </c>
      <c r="K1410" s="604">
        <f>IF(ISBLANK('ENGAGEMENTS 2026'!W1410),"",'ENGAGEMENTS 2026'!W1410)</f>
        <v/>
      </c>
      <c r="L1410" s="276">
        <f>IF($K1410="","",TODAY()-$K1410)</f>
        <v/>
      </c>
      <c r="M1410">
        <f>IF($A1410="","",IF($H1410="ENGAGE","Engagé",IF(AND($H1410="NON ENGAGE",OR($I1410="INFRUCTUEUX",$I1410="ANNULE")),"Clôturé sans suite","En cours")))</f>
        <v/>
      </c>
      <c r="N1410">
        <f>IF(ISBLANK('ENGAGEMENTS 2026'!C1410),"",'ENGAGEMENTS 2026'!L1410)</f>
        <v/>
      </c>
      <c r="O1410">
        <f>IF(ISBLANK('ENGAGEMENTS 2026'!C1410),"",'ENGAGEMENTS 2026'!M1410)</f>
        <v/>
      </c>
      <c r="P1410">
        <f>IF(ISBLANK('ENGAGEMENTS 2026'!C1410),"",'ENGAGEMENTS 2026'!K1410)</f>
        <v/>
      </c>
      <c r="Q1410">
        <f>IF($A1410="","",IF(OR($E1410="INFRUCTUEUX",$E1410="ANNULE"),$A1410&amp;"|"&amp;(COUNTIFS($A$2:$A1410,$A1410,$E$2:$E1410,"INFRUCTUEUX")+COUNTIFS($A$2:$A1410,$A1410,$E$2:$E1410,"ANNULE")),""))</f>
        <v/>
      </c>
    </row>
    <row r="1411">
      <c r="A1411">
        <f>IF(ISBLANK('ENGAGEMENTS 2026'!C1411),"",IF('ENGAGEMENTS 2026'!C1411="DTSI","DCT",'ENGAGEMENTS 2026'!C1411))</f>
        <v/>
      </c>
      <c r="B1411">
        <f>IF(ISBLANK('ENGAGEMENTS 2026'!C1411),"",'ENGAGEMENTS 2026'!D1411)</f>
        <v/>
      </c>
      <c r="C1411">
        <f>IF(ISBLANK('ENGAGEMENTS 2026'!C1411),"",'ENGAGEMENTS 2026'!E1411)</f>
        <v/>
      </c>
      <c r="D1411">
        <f>IF(ISBLANK('ENGAGEMENTS 2026'!C1411),"",'ENGAGEMENTS 2026'!G1411)</f>
        <v/>
      </c>
      <c r="E1411">
        <f>IF(ISBLANK('ENGAGEMENTS 2026'!C1411),"",'ENGAGEMENTS 2026'!I1411)</f>
        <v/>
      </c>
      <c r="F1411">
        <f>IF(ISBLANK('ENGAGEMENTS 2026'!C1411),"",'ENGAGEMENTS 2026'!J1411)</f>
        <v/>
      </c>
      <c r="G1411">
        <f>IF(ISBLANK('ENGAGEMENTS 2026'!C1411),"",'ENGAGEMENTS 2026'!M1411)</f>
        <v/>
      </c>
      <c r="H1411">
        <f>IF(ISBLANK('ENGAGEMENTS 2026'!C1411),"",'ENGAGEMENTS 2026'!AF1411)</f>
        <v/>
      </c>
      <c r="I1411">
        <f>IF(ISBLANK('ENGAGEMENTS 2026'!C1411),"",'ENGAGEMENTS 2026'!H1411)</f>
        <v/>
      </c>
      <c r="J1411" s="275">
        <f>IF(ISBLANK('ENGAGEMENTS 2026'!C1411),"",IF(AND(OR($E1411="INFRUCTUEUX",$E1411="ANNULE"),$C1411="AOO-M"),'ENGAGEMENTS 2026'!P1411,IF($H1411="EN COURS DE PREENGAGEMENT",'ENGAGEMENTS 2026'!O1411,IF($H1411="PREENGAGE",IF($E1411="ATTRIBUE",'ENGAGEMENTS 2026'!AE1411,'ENGAGEMENTS 2026'!O1411),'ENGAGEMENTS 2026'!AE1411))))</f>
        <v/>
      </c>
      <c r="K1411" s="604">
        <f>IF(ISBLANK('ENGAGEMENTS 2026'!W1411),"",'ENGAGEMENTS 2026'!W1411)</f>
        <v/>
      </c>
      <c r="L1411" s="276">
        <f>IF($K1411="","",TODAY()-$K1411)</f>
        <v/>
      </c>
      <c r="M1411">
        <f>IF($A1411="","",IF($H1411="ENGAGE","Engagé",IF(AND($H1411="NON ENGAGE",OR($I1411="INFRUCTUEUX",$I1411="ANNULE")),"Clôturé sans suite","En cours")))</f>
        <v/>
      </c>
      <c r="N1411">
        <f>IF(ISBLANK('ENGAGEMENTS 2026'!C1411),"",'ENGAGEMENTS 2026'!L1411)</f>
        <v/>
      </c>
      <c r="O1411">
        <f>IF(ISBLANK('ENGAGEMENTS 2026'!C1411),"",'ENGAGEMENTS 2026'!M1411)</f>
        <v/>
      </c>
      <c r="P1411">
        <f>IF(ISBLANK('ENGAGEMENTS 2026'!C1411),"",'ENGAGEMENTS 2026'!K1411)</f>
        <v/>
      </c>
      <c r="Q1411">
        <f>IF($A1411="","",IF(OR($E1411="INFRUCTUEUX",$E1411="ANNULE"),$A1411&amp;"|"&amp;(COUNTIFS($A$2:$A1411,$A1411,$E$2:$E1411,"INFRUCTUEUX")+COUNTIFS($A$2:$A1411,$A1411,$E$2:$E1411,"ANNULE")),""))</f>
        <v/>
      </c>
    </row>
    <row r="1412">
      <c r="A1412">
        <f>IF(ISBLANK('ENGAGEMENTS 2026'!C1412),"",IF('ENGAGEMENTS 2026'!C1412="DTSI","DCT",'ENGAGEMENTS 2026'!C1412))</f>
        <v/>
      </c>
      <c r="B1412">
        <f>IF(ISBLANK('ENGAGEMENTS 2026'!C1412),"",'ENGAGEMENTS 2026'!D1412)</f>
        <v/>
      </c>
      <c r="C1412">
        <f>IF(ISBLANK('ENGAGEMENTS 2026'!C1412),"",'ENGAGEMENTS 2026'!E1412)</f>
        <v/>
      </c>
      <c r="D1412">
        <f>IF(ISBLANK('ENGAGEMENTS 2026'!C1412),"",'ENGAGEMENTS 2026'!G1412)</f>
        <v/>
      </c>
      <c r="E1412">
        <f>IF(ISBLANK('ENGAGEMENTS 2026'!C1412),"",'ENGAGEMENTS 2026'!I1412)</f>
        <v/>
      </c>
      <c r="F1412">
        <f>IF(ISBLANK('ENGAGEMENTS 2026'!C1412),"",'ENGAGEMENTS 2026'!J1412)</f>
        <v/>
      </c>
      <c r="G1412">
        <f>IF(ISBLANK('ENGAGEMENTS 2026'!C1412),"",'ENGAGEMENTS 2026'!M1412)</f>
        <v/>
      </c>
      <c r="H1412">
        <f>IF(ISBLANK('ENGAGEMENTS 2026'!C1412),"",'ENGAGEMENTS 2026'!AF1412)</f>
        <v/>
      </c>
      <c r="I1412">
        <f>IF(ISBLANK('ENGAGEMENTS 2026'!C1412),"",'ENGAGEMENTS 2026'!H1412)</f>
        <v/>
      </c>
      <c r="J1412" s="275">
        <f>IF(ISBLANK('ENGAGEMENTS 2026'!C1412),"",IF(AND(OR($E1412="INFRUCTUEUX",$E1412="ANNULE"),$C1412="AOO-M"),'ENGAGEMENTS 2026'!P1412,IF($H1412="EN COURS DE PREENGAGEMENT",'ENGAGEMENTS 2026'!O1412,IF($H1412="PREENGAGE",IF($E1412="ATTRIBUE",'ENGAGEMENTS 2026'!AE1412,'ENGAGEMENTS 2026'!O1412),'ENGAGEMENTS 2026'!AE1412))))</f>
        <v/>
      </c>
      <c r="K1412" s="604">
        <f>IF(ISBLANK('ENGAGEMENTS 2026'!W1412),"",'ENGAGEMENTS 2026'!W1412)</f>
        <v/>
      </c>
      <c r="L1412" s="276">
        <f>IF($K1412="","",TODAY()-$K1412)</f>
        <v/>
      </c>
      <c r="M1412">
        <f>IF($A1412="","",IF($H1412="ENGAGE","Engagé",IF(AND($H1412="NON ENGAGE",OR($I1412="INFRUCTUEUX",$I1412="ANNULE")),"Clôturé sans suite","En cours")))</f>
        <v/>
      </c>
      <c r="N1412">
        <f>IF(ISBLANK('ENGAGEMENTS 2026'!C1412),"",'ENGAGEMENTS 2026'!L1412)</f>
        <v/>
      </c>
      <c r="O1412">
        <f>IF(ISBLANK('ENGAGEMENTS 2026'!C1412),"",'ENGAGEMENTS 2026'!M1412)</f>
        <v/>
      </c>
      <c r="P1412">
        <f>IF(ISBLANK('ENGAGEMENTS 2026'!C1412),"",'ENGAGEMENTS 2026'!K1412)</f>
        <v/>
      </c>
      <c r="Q1412">
        <f>IF($A1412="","",IF(OR($E1412="INFRUCTUEUX",$E1412="ANNULE"),$A1412&amp;"|"&amp;(COUNTIFS($A$2:$A1412,$A1412,$E$2:$E1412,"INFRUCTUEUX")+COUNTIFS($A$2:$A1412,$A1412,$E$2:$E1412,"ANNULE")),""))</f>
        <v/>
      </c>
    </row>
    <row r="1413">
      <c r="A1413">
        <f>IF(ISBLANK('ENGAGEMENTS 2026'!C1413),"",IF('ENGAGEMENTS 2026'!C1413="DTSI","DCT",'ENGAGEMENTS 2026'!C1413))</f>
        <v/>
      </c>
      <c r="B1413">
        <f>IF(ISBLANK('ENGAGEMENTS 2026'!C1413),"",'ENGAGEMENTS 2026'!D1413)</f>
        <v/>
      </c>
      <c r="C1413">
        <f>IF(ISBLANK('ENGAGEMENTS 2026'!C1413),"",'ENGAGEMENTS 2026'!E1413)</f>
        <v/>
      </c>
      <c r="D1413">
        <f>IF(ISBLANK('ENGAGEMENTS 2026'!C1413),"",'ENGAGEMENTS 2026'!G1413)</f>
        <v/>
      </c>
      <c r="E1413">
        <f>IF(ISBLANK('ENGAGEMENTS 2026'!C1413),"",'ENGAGEMENTS 2026'!I1413)</f>
        <v/>
      </c>
      <c r="F1413">
        <f>IF(ISBLANK('ENGAGEMENTS 2026'!C1413),"",'ENGAGEMENTS 2026'!J1413)</f>
        <v/>
      </c>
      <c r="G1413">
        <f>IF(ISBLANK('ENGAGEMENTS 2026'!C1413),"",'ENGAGEMENTS 2026'!M1413)</f>
        <v/>
      </c>
      <c r="H1413">
        <f>IF(ISBLANK('ENGAGEMENTS 2026'!C1413),"",'ENGAGEMENTS 2026'!AF1413)</f>
        <v/>
      </c>
      <c r="I1413">
        <f>IF(ISBLANK('ENGAGEMENTS 2026'!C1413),"",'ENGAGEMENTS 2026'!H1413)</f>
        <v/>
      </c>
      <c r="J1413" s="275">
        <f>IF(ISBLANK('ENGAGEMENTS 2026'!C1413),"",IF(AND(OR($E1413="INFRUCTUEUX",$E1413="ANNULE"),$C1413="AOO-M"),'ENGAGEMENTS 2026'!P1413,IF($H1413="EN COURS DE PREENGAGEMENT",'ENGAGEMENTS 2026'!O1413,IF($H1413="PREENGAGE",IF($E1413="ATTRIBUE",'ENGAGEMENTS 2026'!AE1413,'ENGAGEMENTS 2026'!O1413),'ENGAGEMENTS 2026'!AE1413))))</f>
        <v/>
      </c>
      <c r="K1413" s="604">
        <f>IF(ISBLANK('ENGAGEMENTS 2026'!W1413),"",'ENGAGEMENTS 2026'!W1413)</f>
        <v/>
      </c>
      <c r="L1413" s="276">
        <f>IF($K1413="","",TODAY()-$K1413)</f>
        <v/>
      </c>
      <c r="M1413">
        <f>IF($A1413="","",IF($H1413="ENGAGE","Engagé",IF(AND($H1413="NON ENGAGE",OR($I1413="INFRUCTUEUX",$I1413="ANNULE")),"Clôturé sans suite","En cours")))</f>
        <v/>
      </c>
      <c r="N1413">
        <f>IF(ISBLANK('ENGAGEMENTS 2026'!C1413),"",'ENGAGEMENTS 2026'!L1413)</f>
        <v/>
      </c>
      <c r="O1413">
        <f>IF(ISBLANK('ENGAGEMENTS 2026'!C1413),"",'ENGAGEMENTS 2026'!M1413)</f>
        <v/>
      </c>
      <c r="P1413">
        <f>IF(ISBLANK('ENGAGEMENTS 2026'!C1413),"",'ENGAGEMENTS 2026'!K1413)</f>
        <v/>
      </c>
      <c r="Q1413">
        <f>IF($A1413="","",IF(OR($E1413="INFRUCTUEUX",$E1413="ANNULE"),$A1413&amp;"|"&amp;(COUNTIFS($A$2:$A1413,$A1413,$E$2:$E1413,"INFRUCTUEUX")+COUNTIFS($A$2:$A1413,$A1413,$E$2:$E1413,"ANNULE")),""))</f>
        <v/>
      </c>
    </row>
    <row r="1414">
      <c r="A1414">
        <f>IF(ISBLANK('ENGAGEMENTS 2026'!C1414),"",IF('ENGAGEMENTS 2026'!C1414="DTSI","DCT",'ENGAGEMENTS 2026'!C1414))</f>
        <v/>
      </c>
      <c r="B1414">
        <f>IF(ISBLANK('ENGAGEMENTS 2026'!C1414),"",'ENGAGEMENTS 2026'!D1414)</f>
        <v/>
      </c>
      <c r="C1414">
        <f>IF(ISBLANK('ENGAGEMENTS 2026'!C1414),"",'ENGAGEMENTS 2026'!E1414)</f>
        <v/>
      </c>
      <c r="D1414">
        <f>IF(ISBLANK('ENGAGEMENTS 2026'!C1414),"",'ENGAGEMENTS 2026'!G1414)</f>
        <v/>
      </c>
      <c r="E1414">
        <f>IF(ISBLANK('ENGAGEMENTS 2026'!C1414),"",'ENGAGEMENTS 2026'!I1414)</f>
        <v/>
      </c>
      <c r="F1414">
        <f>IF(ISBLANK('ENGAGEMENTS 2026'!C1414),"",'ENGAGEMENTS 2026'!J1414)</f>
        <v/>
      </c>
      <c r="G1414">
        <f>IF(ISBLANK('ENGAGEMENTS 2026'!C1414),"",'ENGAGEMENTS 2026'!M1414)</f>
        <v/>
      </c>
      <c r="H1414">
        <f>IF(ISBLANK('ENGAGEMENTS 2026'!C1414),"",'ENGAGEMENTS 2026'!AF1414)</f>
        <v/>
      </c>
      <c r="I1414">
        <f>IF(ISBLANK('ENGAGEMENTS 2026'!C1414),"",'ENGAGEMENTS 2026'!H1414)</f>
        <v/>
      </c>
      <c r="J1414" s="275">
        <f>IF(ISBLANK('ENGAGEMENTS 2026'!C1414),"",IF(AND(OR($E1414="INFRUCTUEUX",$E1414="ANNULE"),$C1414="AOO-M"),'ENGAGEMENTS 2026'!P1414,IF($H1414="EN COURS DE PREENGAGEMENT",'ENGAGEMENTS 2026'!O1414,IF($H1414="PREENGAGE",IF($E1414="ATTRIBUE",'ENGAGEMENTS 2026'!AE1414,'ENGAGEMENTS 2026'!O1414),'ENGAGEMENTS 2026'!AE1414))))</f>
        <v/>
      </c>
      <c r="K1414" s="604">
        <f>IF(ISBLANK('ENGAGEMENTS 2026'!W1414),"",'ENGAGEMENTS 2026'!W1414)</f>
        <v/>
      </c>
      <c r="L1414" s="276">
        <f>IF($K1414="","",TODAY()-$K1414)</f>
        <v/>
      </c>
      <c r="M1414">
        <f>IF($A1414="","",IF($H1414="ENGAGE","Engagé",IF(AND($H1414="NON ENGAGE",OR($I1414="INFRUCTUEUX",$I1414="ANNULE")),"Clôturé sans suite","En cours")))</f>
        <v/>
      </c>
      <c r="N1414">
        <f>IF(ISBLANK('ENGAGEMENTS 2026'!C1414),"",'ENGAGEMENTS 2026'!L1414)</f>
        <v/>
      </c>
      <c r="O1414">
        <f>IF(ISBLANK('ENGAGEMENTS 2026'!C1414),"",'ENGAGEMENTS 2026'!M1414)</f>
        <v/>
      </c>
      <c r="P1414">
        <f>IF(ISBLANK('ENGAGEMENTS 2026'!C1414),"",'ENGAGEMENTS 2026'!K1414)</f>
        <v/>
      </c>
      <c r="Q1414">
        <f>IF($A1414="","",IF(OR($E1414="INFRUCTUEUX",$E1414="ANNULE"),$A1414&amp;"|"&amp;(COUNTIFS($A$2:$A1414,$A1414,$E$2:$E1414,"INFRUCTUEUX")+COUNTIFS($A$2:$A1414,$A1414,$E$2:$E1414,"ANNULE")),""))</f>
        <v/>
      </c>
    </row>
    <row r="1415">
      <c r="A1415">
        <f>IF(ISBLANK('ENGAGEMENTS 2026'!C1415),"",IF('ENGAGEMENTS 2026'!C1415="DTSI","DCT",'ENGAGEMENTS 2026'!C1415))</f>
        <v/>
      </c>
      <c r="B1415">
        <f>IF(ISBLANK('ENGAGEMENTS 2026'!C1415),"",'ENGAGEMENTS 2026'!D1415)</f>
        <v/>
      </c>
      <c r="C1415">
        <f>IF(ISBLANK('ENGAGEMENTS 2026'!C1415),"",'ENGAGEMENTS 2026'!E1415)</f>
        <v/>
      </c>
      <c r="D1415">
        <f>IF(ISBLANK('ENGAGEMENTS 2026'!C1415),"",'ENGAGEMENTS 2026'!G1415)</f>
        <v/>
      </c>
      <c r="E1415">
        <f>IF(ISBLANK('ENGAGEMENTS 2026'!C1415),"",'ENGAGEMENTS 2026'!I1415)</f>
        <v/>
      </c>
      <c r="F1415">
        <f>IF(ISBLANK('ENGAGEMENTS 2026'!C1415),"",'ENGAGEMENTS 2026'!J1415)</f>
        <v/>
      </c>
      <c r="G1415">
        <f>IF(ISBLANK('ENGAGEMENTS 2026'!C1415),"",'ENGAGEMENTS 2026'!M1415)</f>
        <v/>
      </c>
      <c r="H1415">
        <f>IF(ISBLANK('ENGAGEMENTS 2026'!C1415),"",'ENGAGEMENTS 2026'!AF1415)</f>
        <v/>
      </c>
      <c r="I1415">
        <f>IF(ISBLANK('ENGAGEMENTS 2026'!C1415),"",'ENGAGEMENTS 2026'!H1415)</f>
        <v/>
      </c>
      <c r="J1415" s="275">
        <f>IF(ISBLANK('ENGAGEMENTS 2026'!C1415),"",IF(AND(OR($E1415="INFRUCTUEUX",$E1415="ANNULE"),$C1415="AOO-M"),'ENGAGEMENTS 2026'!P1415,IF($H1415="EN COURS DE PREENGAGEMENT",'ENGAGEMENTS 2026'!O1415,IF($H1415="PREENGAGE",IF($E1415="ATTRIBUE",'ENGAGEMENTS 2026'!AE1415,'ENGAGEMENTS 2026'!O1415),'ENGAGEMENTS 2026'!AE1415))))</f>
        <v/>
      </c>
      <c r="K1415" s="604">
        <f>IF(ISBLANK('ENGAGEMENTS 2026'!W1415),"",'ENGAGEMENTS 2026'!W1415)</f>
        <v/>
      </c>
      <c r="L1415" s="276">
        <f>IF($K1415="","",TODAY()-$K1415)</f>
        <v/>
      </c>
      <c r="M1415">
        <f>IF($A1415="","",IF($H1415="ENGAGE","Engagé",IF(AND($H1415="NON ENGAGE",OR($I1415="INFRUCTUEUX",$I1415="ANNULE")),"Clôturé sans suite","En cours")))</f>
        <v/>
      </c>
      <c r="N1415">
        <f>IF(ISBLANK('ENGAGEMENTS 2026'!C1415),"",'ENGAGEMENTS 2026'!L1415)</f>
        <v/>
      </c>
      <c r="O1415">
        <f>IF(ISBLANK('ENGAGEMENTS 2026'!C1415),"",'ENGAGEMENTS 2026'!M1415)</f>
        <v/>
      </c>
      <c r="P1415">
        <f>IF(ISBLANK('ENGAGEMENTS 2026'!C1415),"",'ENGAGEMENTS 2026'!K1415)</f>
        <v/>
      </c>
      <c r="Q1415">
        <f>IF($A1415="","",IF(OR($E1415="INFRUCTUEUX",$E1415="ANNULE"),$A1415&amp;"|"&amp;(COUNTIFS($A$2:$A1415,$A1415,$E$2:$E1415,"INFRUCTUEUX")+COUNTIFS($A$2:$A1415,$A1415,$E$2:$E1415,"ANNULE")),""))</f>
        <v/>
      </c>
    </row>
    <row r="1416">
      <c r="A1416">
        <f>IF(ISBLANK('ENGAGEMENTS 2026'!C1416),"",IF('ENGAGEMENTS 2026'!C1416="DTSI","DCT",'ENGAGEMENTS 2026'!C1416))</f>
        <v/>
      </c>
      <c r="B1416">
        <f>IF(ISBLANK('ENGAGEMENTS 2026'!C1416),"",'ENGAGEMENTS 2026'!D1416)</f>
        <v/>
      </c>
      <c r="C1416">
        <f>IF(ISBLANK('ENGAGEMENTS 2026'!C1416),"",'ENGAGEMENTS 2026'!E1416)</f>
        <v/>
      </c>
      <c r="D1416">
        <f>IF(ISBLANK('ENGAGEMENTS 2026'!C1416),"",'ENGAGEMENTS 2026'!G1416)</f>
        <v/>
      </c>
      <c r="E1416">
        <f>IF(ISBLANK('ENGAGEMENTS 2026'!C1416),"",'ENGAGEMENTS 2026'!I1416)</f>
        <v/>
      </c>
      <c r="F1416">
        <f>IF(ISBLANK('ENGAGEMENTS 2026'!C1416),"",'ENGAGEMENTS 2026'!J1416)</f>
        <v/>
      </c>
      <c r="G1416">
        <f>IF(ISBLANK('ENGAGEMENTS 2026'!C1416),"",'ENGAGEMENTS 2026'!M1416)</f>
        <v/>
      </c>
      <c r="H1416">
        <f>IF(ISBLANK('ENGAGEMENTS 2026'!C1416),"",'ENGAGEMENTS 2026'!AF1416)</f>
        <v/>
      </c>
      <c r="I1416">
        <f>IF(ISBLANK('ENGAGEMENTS 2026'!C1416),"",'ENGAGEMENTS 2026'!H1416)</f>
        <v/>
      </c>
      <c r="J1416" s="275">
        <f>IF(ISBLANK('ENGAGEMENTS 2026'!C1416),"",IF(AND(OR($E1416="INFRUCTUEUX",$E1416="ANNULE"),$C1416="AOO-M"),'ENGAGEMENTS 2026'!P1416,IF($H1416="EN COURS DE PREENGAGEMENT",'ENGAGEMENTS 2026'!O1416,IF($H1416="PREENGAGE",IF($E1416="ATTRIBUE",'ENGAGEMENTS 2026'!AE1416,'ENGAGEMENTS 2026'!O1416),'ENGAGEMENTS 2026'!AE1416))))</f>
        <v/>
      </c>
      <c r="K1416" s="604">
        <f>IF(ISBLANK('ENGAGEMENTS 2026'!W1416),"",'ENGAGEMENTS 2026'!W1416)</f>
        <v/>
      </c>
      <c r="L1416" s="276">
        <f>IF($K1416="","",TODAY()-$K1416)</f>
        <v/>
      </c>
      <c r="M1416">
        <f>IF($A1416="","",IF($H1416="ENGAGE","Engagé",IF(AND($H1416="NON ENGAGE",OR($I1416="INFRUCTUEUX",$I1416="ANNULE")),"Clôturé sans suite","En cours")))</f>
        <v/>
      </c>
      <c r="N1416">
        <f>IF(ISBLANK('ENGAGEMENTS 2026'!C1416),"",'ENGAGEMENTS 2026'!L1416)</f>
        <v/>
      </c>
      <c r="O1416">
        <f>IF(ISBLANK('ENGAGEMENTS 2026'!C1416),"",'ENGAGEMENTS 2026'!M1416)</f>
        <v/>
      </c>
      <c r="P1416">
        <f>IF(ISBLANK('ENGAGEMENTS 2026'!C1416),"",'ENGAGEMENTS 2026'!K1416)</f>
        <v/>
      </c>
      <c r="Q1416">
        <f>IF($A1416="","",IF(OR($E1416="INFRUCTUEUX",$E1416="ANNULE"),$A1416&amp;"|"&amp;(COUNTIFS($A$2:$A1416,$A1416,$E$2:$E1416,"INFRUCTUEUX")+COUNTIFS($A$2:$A1416,$A1416,$E$2:$E1416,"ANNULE")),""))</f>
        <v/>
      </c>
    </row>
    <row r="1417">
      <c r="A1417">
        <f>IF(ISBLANK('ENGAGEMENTS 2026'!C1417),"",IF('ENGAGEMENTS 2026'!C1417="DTSI","DCT",'ENGAGEMENTS 2026'!C1417))</f>
        <v/>
      </c>
      <c r="B1417">
        <f>IF(ISBLANK('ENGAGEMENTS 2026'!C1417),"",'ENGAGEMENTS 2026'!D1417)</f>
        <v/>
      </c>
      <c r="C1417">
        <f>IF(ISBLANK('ENGAGEMENTS 2026'!C1417),"",'ENGAGEMENTS 2026'!E1417)</f>
        <v/>
      </c>
      <c r="D1417">
        <f>IF(ISBLANK('ENGAGEMENTS 2026'!C1417),"",'ENGAGEMENTS 2026'!G1417)</f>
        <v/>
      </c>
      <c r="E1417">
        <f>IF(ISBLANK('ENGAGEMENTS 2026'!C1417),"",'ENGAGEMENTS 2026'!I1417)</f>
        <v/>
      </c>
      <c r="F1417">
        <f>IF(ISBLANK('ENGAGEMENTS 2026'!C1417),"",'ENGAGEMENTS 2026'!J1417)</f>
        <v/>
      </c>
      <c r="G1417">
        <f>IF(ISBLANK('ENGAGEMENTS 2026'!C1417),"",'ENGAGEMENTS 2026'!M1417)</f>
        <v/>
      </c>
      <c r="H1417">
        <f>IF(ISBLANK('ENGAGEMENTS 2026'!C1417),"",'ENGAGEMENTS 2026'!AF1417)</f>
        <v/>
      </c>
      <c r="I1417">
        <f>IF(ISBLANK('ENGAGEMENTS 2026'!C1417),"",'ENGAGEMENTS 2026'!H1417)</f>
        <v/>
      </c>
      <c r="J1417" s="275">
        <f>IF(ISBLANK('ENGAGEMENTS 2026'!C1417),"",IF(AND(OR($E1417="INFRUCTUEUX",$E1417="ANNULE"),$C1417="AOO-M"),'ENGAGEMENTS 2026'!P1417,IF($H1417="EN COURS DE PREENGAGEMENT",'ENGAGEMENTS 2026'!O1417,IF($H1417="PREENGAGE",IF($E1417="ATTRIBUE",'ENGAGEMENTS 2026'!AE1417,'ENGAGEMENTS 2026'!O1417),'ENGAGEMENTS 2026'!AE1417))))</f>
        <v/>
      </c>
      <c r="K1417" s="604">
        <f>IF(ISBLANK('ENGAGEMENTS 2026'!W1417),"",'ENGAGEMENTS 2026'!W1417)</f>
        <v/>
      </c>
      <c r="L1417" s="276">
        <f>IF($K1417="","",TODAY()-$K1417)</f>
        <v/>
      </c>
      <c r="M1417">
        <f>IF($A1417="","",IF($H1417="ENGAGE","Engagé",IF(AND($H1417="NON ENGAGE",OR($I1417="INFRUCTUEUX",$I1417="ANNULE")),"Clôturé sans suite","En cours")))</f>
        <v/>
      </c>
      <c r="N1417">
        <f>IF(ISBLANK('ENGAGEMENTS 2026'!C1417),"",'ENGAGEMENTS 2026'!L1417)</f>
        <v/>
      </c>
      <c r="O1417">
        <f>IF(ISBLANK('ENGAGEMENTS 2026'!C1417),"",'ENGAGEMENTS 2026'!M1417)</f>
        <v/>
      </c>
      <c r="P1417">
        <f>IF(ISBLANK('ENGAGEMENTS 2026'!C1417),"",'ENGAGEMENTS 2026'!K1417)</f>
        <v/>
      </c>
      <c r="Q1417">
        <f>IF($A1417="","",IF(OR($E1417="INFRUCTUEUX",$E1417="ANNULE"),$A1417&amp;"|"&amp;(COUNTIFS($A$2:$A1417,$A1417,$E$2:$E1417,"INFRUCTUEUX")+COUNTIFS($A$2:$A1417,$A1417,$E$2:$E1417,"ANNULE")),""))</f>
        <v/>
      </c>
    </row>
    <row r="1418">
      <c r="A1418">
        <f>IF(ISBLANK('ENGAGEMENTS 2026'!C1418),"",IF('ENGAGEMENTS 2026'!C1418="DTSI","DCT",'ENGAGEMENTS 2026'!C1418))</f>
        <v/>
      </c>
      <c r="B1418">
        <f>IF(ISBLANK('ENGAGEMENTS 2026'!C1418),"",'ENGAGEMENTS 2026'!D1418)</f>
        <v/>
      </c>
      <c r="C1418">
        <f>IF(ISBLANK('ENGAGEMENTS 2026'!C1418),"",'ENGAGEMENTS 2026'!E1418)</f>
        <v/>
      </c>
      <c r="D1418">
        <f>IF(ISBLANK('ENGAGEMENTS 2026'!C1418),"",'ENGAGEMENTS 2026'!G1418)</f>
        <v/>
      </c>
      <c r="E1418">
        <f>IF(ISBLANK('ENGAGEMENTS 2026'!C1418),"",'ENGAGEMENTS 2026'!I1418)</f>
        <v/>
      </c>
      <c r="F1418">
        <f>IF(ISBLANK('ENGAGEMENTS 2026'!C1418),"",'ENGAGEMENTS 2026'!J1418)</f>
        <v/>
      </c>
      <c r="G1418">
        <f>IF(ISBLANK('ENGAGEMENTS 2026'!C1418),"",'ENGAGEMENTS 2026'!M1418)</f>
        <v/>
      </c>
      <c r="H1418">
        <f>IF(ISBLANK('ENGAGEMENTS 2026'!C1418),"",'ENGAGEMENTS 2026'!AF1418)</f>
        <v/>
      </c>
      <c r="I1418">
        <f>IF(ISBLANK('ENGAGEMENTS 2026'!C1418),"",'ENGAGEMENTS 2026'!H1418)</f>
        <v/>
      </c>
      <c r="J1418" s="275">
        <f>IF(ISBLANK('ENGAGEMENTS 2026'!C1418),"",IF(AND(OR($E1418="INFRUCTUEUX",$E1418="ANNULE"),$C1418="AOO-M"),'ENGAGEMENTS 2026'!P1418,IF($H1418="EN COURS DE PREENGAGEMENT",'ENGAGEMENTS 2026'!O1418,IF($H1418="PREENGAGE",IF($E1418="ATTRIBUE",'ENGAGEMENTS 2026'!AE1418,'ENGAGEMENTS 2026'!O1418),'ENGAGEMENTS 2026'!AE1418))))</f>
        <v/>
      </c>
      <c r="K1418" s="604">
        <f>IF(ISBLANK('ENGAGEMENTS 2026'!W1418),"",'ENGAGEMENTS 2026'!W1418)</f>
        <v/>
      </c>
      <c r="L1418" s="276">
        <f>IF($K1418="","",TODAY()-$K1418)</f>
        <v/>
      </c>
      <c r="M1418">
        <f>IF($A1418="","",IF($H1418="ENGAGE","Engagé",IF(AND($H1418="NON ENGAGE",OR($I1418="INFRUCTUEUX",$I1418="ANNULE")),"Clôturé sans suite","En cours")))</f>
        <v/>
      </c>
      <c r="N1418">
        <f>IF(ISBLANK('ENGAGEMENTS 2026'!C1418),"",'ENGAGEMENTS 2026'!L1418)</f>
        <v/>
      </c>
      <c r="O1418">
        <f>IF(ISBLANK('ENGAGEMENTS 2026'!C1418),"",'ENGAGEMENTS 2026'!M1418)</f>
        <v/>
      </c>
      <c r="P1418">
        <f>IF(ISBLANK('ENGAGEMENTS 2026'!C1418),"",'ENGAGEMENTS 2026'!K1418)</f>
        <v/>
      </c>
      <c r="Q1418">
        <f>IF($A1418="","",IF(OR($E1418="INFRUCTUEUX",$E1418="ANNULE"),$A1418&amp;"|"&amp;(COUNTIFS($A$2:$A1418,$A1418,$E$2:$E1418,"INFRUCTUEUX")+COUNTIFS($A$2:$A1418,$A1418,$E$2:$E1418,"ANNULE")),""))</f>
        <v/>
      </c>
    </row>
    <row r="1419">
      <c r="A1419">
        <f>IF(ISBLANK('ENGAGEMENTS 2026'!C1419),"",IF('ENGAGEMENTS 2026'!C1419="DTSI","DCT",'ENGAGEMENTS 2026'!C1419))</f>
        <v/>
      </c>
      <c r="B1419">
        <f>IF(ISBLANK('ENGAGEMENTS 2026'!C1419),"",'ENGAGEMENTS 2026'!D1419)</f>
        <v/>
      </c>
      <c r="C1419">
        <f>IF(ISBLANK('ENGAGEMENTS 2026'!C1419),"",'ENGAGEMENTS 2026'!E1419)</f>
        <v/>
      </c>
      <c r="D1419">
        <f>IF(ISBLANK('ENGAGEMENTS 2026'!C1419),"",'ENGAGEMENTS 2026'!G1419)</f>
        <v/>
      </c>
      <c r="E1419">
        <f>IF(ISBLANK('ENGAGEMENTS 2026'!C1419),"",'ENGAGEMENTS 2026'!I1419)</f>
        <v/>
      </c>
      <c r="F1419">
        <f>IF(ISBLANK('ENGAGEMENTS 2026'!C1419),"",'ENGAGEMENTS 2026'!J1419)</f>
        <v/>
      </c>
      <c r="G1419">
        <f>IF(ISBLANK('ENGAGEMENTS 2026'!C1419),"",'ENGAGEMENTS 2026'!M1419)</f>
        <v/>
      </c>
      <c r="H1419">
        <f>IF(ISBLANK('ENGAGEMENTS 2026'!C1419),"",'ENGAGEMENTS 2026'!AF1419)</f>
        <v/>
      </c>
      <c r="I1419">
        <f>IF(ISBLANK('ENGAGEMENTS 2026'!C1419),"",'ENGAGEMENTS 2026'!H1419)</f>
        <v/>
      </c>
      <c r="J1419" s="275">
        <f>IF(ISBLANK('ENGAGEMENTS 2026'!C1419),"",IF(AND(OR($E1419="INFRUCTUEUX",$E1419="ANNULE"),$C1419="AOO-M"),'ENGAGEMENTS 2026'!P1419,IF($H1419="EN COURS DE PREENGAGEMENT",'ENGAGEMENTS 2026'!O1419,IF($H1419="PREENGAGE",IF($E1419="ATTRIBUE",'ENGAGEMENTS 2026'!AE1419,'ENGAGEMENTS 2026'!O1419),'ENGAGEMENTS 2026'!AE1419))))</f>
        <v/>
      </c>
      <c r="K1419" s="604">
        <f>IF(ISBLANK('ENGAGEMENTS 2026'!W1419),"",'ENGAGEMENTS 2026'!W1419)</f>
        <v/>
      </c>
      <c r="L1419" s="276">
        <f>IF($K1419="","",TODAY()-$K1419)</f>
        <v/>
      </c>
      <c r="M1419">
        <f>IF($A1419="","",IF($H1419="ENGAGE","Engagé",IF(AND($H1419="NON ENGAGE",OR($I1419="INFRUCTUEUX",$I1419="ANNULE")),"Clôturé sans suite","En cours")))</f>
        <v/>
      </c>
      <c r="N1419">
        <f>IF(ISBLANK('ENGAGEMENTS 2026'!C1419),"",'ENGAGEMENTS 2026'!L1419)</f>
        <v/>
      </c>
      <c r="O1419">
        <f>IF(ISBLANK('ENGAGEMENTS 2026'!C1419),"",'ENGAGEMENTS 2026'!M1419)</f>
        <v/>
      </c>
      <c r="P1419">
        <f>IF(ISBLANK('ENGAGEMENTS 2026'!C1419),"",'ENGAGEMENTS 2026'!K1419)</f>
        <v/>
      </c>
      <c r="Q1419">
        <f>IF($A1419="","",IF(OR($E1419="INFRUCTUEUX",$E1419="ANNULE"),$A1419&amp;"|"&amp;(COUNTIFS($A$2:$A1419,$A1419,$E$2:$E1419,"INFRUCTUEUX")+COUNTIFS($A$2:$A1419,$A1419,$E$2:$E1419,"ANNULE")),""))</f>
        <v/>
      </c>
    </row>
    <row r="1420">
      <c r="A1420">
        <f>IF(ISBLANK('ENGAGEMENTS 2026'!C1420),"",IF('ENGAGEMENTS 2026'!C1420="DTSI","DCT",'ENGAGEMENTS 2026'!C1420))</f>
        <v/>
      </c>
      <c r="B1420">
        <f>IF(ISBLANK('ENGAGEMENTS 2026'!C1420),"",'ENGAGEMENTS 2026'!D1420)</f>
        <v/>
      </c>
      <c r="C1420">
        <f>IF(ISBLANK('ENGAGEMENTS 2026'!C1420),"",'ENGAGEMENTS 2026'!E1420)</f>
        <v/>
      </c>
      <c r="D1420">
        <f>IF(ISBLANK('ENGAGEMENTS 2026'!C1420),"",'ENGAGEMENTS 2026'!G1420)</f>
        <v/>
      </c>
      <c r="E1420">
        <f>IF(ISBLANK('ENGAGEMENTS 2026'!C1420),"",'ENGAGEMENTS 2026'!I1420)</f>
        <v/>
      </c>
      <c r="F1420">
        <f>IF(ISBLANK('ENGAGEMENTS 2026'!C1420),"",'ENGAGEMENTS 2026'!J1420)</f>
        <v/>
      </c>
      <c r="G1420">
        <f>IF(ISBLANK('ENGAGEMENTS 2026'!C1420),"",'ENGAGEMENTS 2026'!M1420)</f>
        <v/>
      </c>
      <c r="H1420">
        <f>IF(ISBLANK('ENGAGEMENTS 2026'!C1420),"",'ENGAGEMENTS 2026'!AF1420)</f>
        <v/>
      </c>
      <c r="I1420">
        <f>IF(ISBLANK('ENGAGEMENTS 2026'!C1420),"",'ENGAGEMENTS 2026'!H1420)</f>
        <v/>
      </c>
      <c r="J1420" s="275">
        <f>IF(ISBLANK('ENGAGEMENTS 2026'!C1420),"",IF(AND(OR($E1420="INFRUCTUEUX",$E1420="ANNULE"),$C1420="AOO-M"),'ENGAGEMENTS 2026'!P1420,IF($H1420="EN COURS DE PREENGAGEMENT",'ENGAGEMENTS 2026'!O1420,IF($H1420="PREENGAGE",IF($E1420="ATTRIBUE",'ENGAGEMENTS 2026'!AE1420,'ENGAGEMENTS 2026'!O1420),'ENGAGEMENTS 2026'!AE1420))))</f>
        <v/>
      </c>
      <c r="K1420" s="604">
        <f>IF(ISBLANK('ENGAGEMENTS 2026'!W1420),"",'ENGAGEMENTS 2026'!W1420)</f>
        <v/>
      </c>
      <c r="L1420" s="276">
        <f>IF($K1420="","",TODAY()-$K1420)</f>
        <v/>
      </c>
      <c r="M1420">
        <f>IF($A1420="","",IF($H1420="ENGAGE","Engagé",IF(AND($H1420="NON ENGAGE",OR($I1420="INFRUCTUEUX",$I1420="ANNULE")),"Clôturé sans suite","En cours")))</f>
        <v/>
      </c>
      <c r="N1420">
        <f>IF(ISBLANK('ENGAGEMENTS 2026'!C1420),"",'ENGAGEMENTS 2026'!L1420)</f>
        <v/>
      </c>
      <c r="O1420">
        <f>IF(ISBLANK('ENGAGEMENTS 2026'!C1420),"",'ENGAGEMENTS 2026'!M1420)</f>
        <v/>
      </c>
      <c r="P1420">
        <f>IF(ISBLANK('ENGAGEMENTS 2026'!C1420),"",'ENGAGEMENTS 2026'!K1420)</f>
        <v/>
      </c>
      <c r="Q1420">
        <f>IF($A1420="","",IF(OR($E1420="INFRUCTUEUX",$E1420="ANNULE"),$A1420&amp;"|"&amp;(COUNTIFS($A$2:$A1420,$A1420,$E$2:$E1420,"INFRUCTUEUX")+COUNTIFS($A$2:$A1420,$A1420,$E$2:$E1420,"ANNULE")),""))</f>
        <v/>
      </c>
    </row>
    <row r="1421">
      <c r="A1421">
        <f>IF(ISBLANK('ENGAGEMENTS 2026'!C1421),"",IF('ENGAGEMENTS 2026'!C1421="DTSI","DCT",'ENGAGEMENTS 2026'!C1421))</f>
        <v/>
      </c>
      <c r="B1421">
        <f>IF(ISBLANK('ENGAGEMENTS 2026'!C1421),"",'ENGAGEMENTS 2026'!D1421)</f>
        <v/>
      </c>
      <c r="C1421">
        <f>IF(ISBLANK('ENGAGEMENTS 2026'!C1421),"",'ENGAGEMENTS 2026'!E1421)</f>
        <v/>
      </c>
      <c r="D1421">
        <f>IF(ISBLANK('ENGAGEMENTS 2026'!C1421),"",'ENGAGEMENTS 2026'!G1421)</f>
        <v/>
      </c>
      <c r="E1421">
        <f>IF(ISBLANK('ENGAGEMENTS 2026'!C1421),"",'ENGAGEMENTS 2026'!I1421)</f>
        <v/>
      </c>
      <c r="F1421">
        <f>IF(ISBLANK('ENGAGEMENTS 2026'!C1421),"",'ENGAGEMENTS 2026'!J1421)</f>
        <v/>
      </c>
      <c r="G1421">
        <f>IF(ISBLANK('ENGAGEMENTS 2026'!C1421),"",'ENGAGEMENTS 2026'!M1421)</f>
        <v/>
      </c>
      <c r="H1421">
        <f>IF(ISBLANK('ENGAGEMENTS 2026'!C1421),"",'ENGAGEMENTS 2026'!AF1421)</f>
        <v/>
      </c>
      <c r="I1421">
        <f>IF(ISBLANK('ENGAGEMENTS 2026'!C1421),"",'ENGAGEMENTS 2026'!H1421)</f>
        <v/>
      </c>
      <c r="J1421" s="275">
        <f>IF(ISBLANK('ENGAGEMENTS 2026'!C1421),"",IF(AND(OR($E1421="INFRUCTUEUX",$E1421="ANNULE"),$C1421="AOO-M"),'ENGAGEMENTS 2026'!P1421,IF($H1421="EN COURS DE PREENGAGEMENT",'ENGAGEMENTS 2026'!O1421,IF($H1421="PREENGAGE",IF($E1421="ATTRIBUE",'ENGAGEMENTS 2026'!AE1421,'ENGAGEMENTS 2026'!O1421),'ENGAGEMENTS 2026'!AE1421))))</f>
        <v/>
      </c>
      <c r="K1421" s="604">
        <f>IF(ISBLANK('ENGAGEMENTS 2026'!W1421),"",'ENGAGEMENTS 2026'!W1421)</f>
        <v/>
      </c>
      <c r="L1421" s="276">
        <f>IF($K1421="","",TODAY()-$K1421)</f>
        <v/>
      </c>
      <c r="M1421">
        <f>IF($A1421="","",IF($H1421="ENGAGE","Engagé",IF(AND($H1421="NON ENGAGE",OR($I1421="INFRUCTUEUX",$I1421="ANNULE")),"Clôturé sans suite","En cours")))</f>
        <v/>
      </c>
      <c r="N1421">
        <f>IF(ISBLANK('ENGAGEMENTS 2026'!C1421),"",'ENGAGEMENTS 2026'!L1421)</f>
        <v/>
      </c>
      <c r="O1421">
        <f>IF(ISBLANK('ENGAGEMENTS 2026'!C1421),"",'ENGAGEMENTS 2026'!M1421)</f>
        <v/>
      </c>
      <c r="P1421">
        <f>IF(ISBLANK('ENGAGEMENTS 2026'!C1421),"",'ENGAGEMENTS 2026'!K1421)</f>
        <v/>
      </c>
      <c r="Q1421">
        <f>IF($A1421="","",IF(OR($E1421="INFRUCTUEUX",$E1421="ANNULE"),$A1421&amp;"|"&amp;(COUNTIFS($A$2:$A1421,$A1421,$E$2:$E1421,"INFRUCTUEUX")+COUNTIFS($A$2:$A1421,$A1421,$E$2:$E1421,"ANNULE")),""))</f>
        <v/>
      </c>
    </row>
    <row r="1422">
      <c r="A1422">
        <f>IF(ISBLANK('ENGAGEMENTS 2026'!C1422),"",IF('ENGAGEMENTS 2026'!C1422="DTSI","DCT",'ENGAGEMENTS 2026'!C1422))</f>
        <v/>
      </c>
      <c r="B1422">
        <f>IF(ISBLANK('ENGAGEMENTS 2026'!C1422),"",'ENGAGEMENTS 2026'!D1422)</f>
        <v/>
      </c>
      <c r="C1422">
        <f>IF(ISBLANK('ENGAGEMENTS 2026'!C1422),"",'ENGAGEMENTS 2026'!E1422)</f>
        <v/>
      </c>
      <c r="D1422">
        <f>IF(ISBLANK('ENGAGEMENTS 2026'!C1422),"",'ENGAGEMENTS 2026'!G1422)</f>
        <v/>
      </c>
      <c r="E1422">
        <f>IF(ISBLANK('ENGAGEMENTS 2026'!C1422),"",'ENGAGEMENTS 2026'!I1422)</f>
        <v/>
      </c>
      <c r="F1422">
        <f>IF(ISBLANK('ENGAGEMENTS 2026'!C1422),"",'ENGAGEMENTS 2026'!J1422)</f>
        <v/>
      </c>
      <c r="G1422">
        <f>IF(ISBLANK('ENGAGEMENTS 2026'!C1422),"",'ENGAGEMENTS 2026'!M1422)</f>
        <v/>
      </c>
      <c r="H1422">
        <f>IF(ISBLANK('ENGAGEMENTS 2026'!C1422),"",'ENGAGEMENTS 2026'!AF1422)</f>
        <v/>
      </c>
      <c r="I1422">
        <f>IF(ISBLANK('ENGAGEMENTS 2026'!C1422),"",'ENGAGEMENTS 2026'!H1422)</f>
        <v/>
      </c>
      <c r="J1422" s="275">
        <f>IF(ISBLANK('ENGAGEMENTS 2026'!C1422),"",IF(AND(OR($E1422="INFRUCTUEUX",$E1422="ANNULE"),$C1422="AOO-M"),'ENGAGEMENTS 2026'!P1422,IF($H1422="EN COURS DE PREENGAGEMENT",'ENGAGEMENTS 2026'!O1422,IF($H1422="PREENGAGE",IF($E1422="ATTRIBUE",'ENGAGEMENTS 2026'!AE1422,'ENGAGEMENTS 2026'!O1422),'ENGAGEMENTS 2026'!AE1422))))</f>
        <v/>
      </c>
      <c r="K1422" s="604">
        <f>IF(ISBLANK('ENGAGEMENTS 2026'!W1422),"",'ENGAGEMENTS 2026'!W1422)</f>
        <v/>
      </c>
      <c r="L1422" s="276">
        <f>IF($K1422="","",TODAY()-$K1422)</f>
        <v/>
      </c>
      <c r="M1422">
        <f>IF($A1422="","",IF($H1422="ENGAGE","Engagé",IF(AND($H1422="NON ENGAGE",OR($I1422="INFRUCTUEUX",$I1422="ANNULE")),"Clôturé sans suite","En cours")))</f>
        <v/>
      </c>
      <c r="N1422">
        <f>IF(ISBLANK('ENGAGEMENTS 2026'!C1422),"",'ENGAGEMENTS 2026'!L1422)</f>
        <v/>
      </c>
      <c r="O1422">
        <f>IF(ISBLANK('ENGAGEMENTS 2026'!C1422),"",'ENGAGEMENTS 2026'!M1422)</f>
        <v/>
      </c>
      <c r="P1422">
        <f>IF(ISBLANK('ENGAGEMENTS 2026'!C1422),"",'ENGAGEMENTS 2026'!K1422)</f>
        <v/>
      </c>
      <c r="Q1422">
        <f>IF($A1422="","",IF(OR($E1422="INFRUCTUEUX",$E1422="ANNULE"),$A1422&amp;"|"&amp;(COUNTIFS($A$2:$A1422,$A1422,$E$2:$E1422,"INFRUCTUEUX")+COUNTIFS($A$2:$A1422,$A1422,$E$2:$E1422,"ANNULE")),""))</f>
        <v/>
      </c>
    </row>
    <row r="1423">
      <c r="A1423">
        <f>IF(ISBLANK('ENGAGEMENTS 2026'!C1423),"",IF('ENGAGEMENTS 2026'!C1423="DTSI","DCT",'ENGAGEMENTS 2026'!C1423))</f>
        <v/>
      </c>
      <c r="B1423">
        <f>IF(ISBLANK('ENGAGEMENTS 2026'!C1423),"",'ENGAGEMENTS 2026'!D1423)</f>
        <v/>
      </c>
      <c r="C1423">
        <f>IF(ISBLANK('ENGAGEMENTS 2026'!C1423),"",'ENGAGEMENTS 2026'!E1423)</f>
        <v/>
      </c>
      <c r="D1423">
        <f>IF(ISBLANK('ENGAGEMENTS 2026'!C1423),"",'ENGAGEMENTS 2026'!G1423)</f>
        <v/>
      </c>
      <c r="E1423">
        <f>IF(ISBLANK('ENGAGEMENTS 2026'!C1423),"",'ENGAGEMENTS 2026'!I1423)</f>
        <v/>
      </c>
      <c r="F1423">
        <f>IF(ISBLANK('ENGAGEMENTS 2026'!C1423),"",'ENGAGEMENTS 2026'!J1423)</f>
        <v/>
      </c>
      <c r="G1423">
        <f>IF(ISBLANK('ENGAGEMENTS 2026'!C1423),"",'ENGAGEMENTS 2026'!M1423)</f>
        <v/>
      </c>
      <c r="H1423">
        <f>IF(ISBLANK('ENGAGEMENTS 2026'!C1423),"",'ENGAGEMENTS 2026'!AF1423)</f>
        <v/>
      </c>
      <c r="I1423">
        <f>IF(ISBLANK('ENGAGEMENTS 2026'!C1423),"",'ENGAGEMENTS 2026'!H1423)</f>
        <v/>
      </c>
      <c r="J1423" s="275">
        <f>IF(ISBLANK('ENGAGEMENTS 2026'!C1423),"",IF(AND(OR($E1423="INFRUCTUEUX",$E1423="ANNULE"),$C1423="AOO-M"),'ENGAGEMENTS 2026'!P1423,IF($H1423="EN COURS DE PREENGAGEMENT",'ENGAGEMENTS 2026'!O1423,IF($H1423="PREENGAGE",IF($E1423="ATTRIBUE",'ENGAGEMENTS 2026'!AE1423,'ENGAGEMENTS 2026'!O1423),'ENGAGEMENTS 2026'!AE1423))))</f>
        <v/>
      </c>
      <c r="K1423" s="604">
        <f>IF(ISBLANK('ENGAGEMENTS 2026'!W1423),"",'ENGAGEMENTS 2026'!W1423)</f>
        <v/>
      </c>
      <c r="L1423" s="276">
        <f>IF($K1423="","",TODAY()-$K1423)</f>
        <v/>
      </c>
      <c r="M1423">
        <f>IF($A1423="","",IF($H1423="ENGAGE","Engagé",IF(AND($H1423="NON ENGAGE",OR($I1423="INFRUCTUEUX",$I1423="ANNULE")),"Clôturé sans suite","En cours")))</f>
        <v/>
      </c>
      <c r="N1423">
        <f>IF(ISBLANK('ENGAGEMENTS 2026'!C1423),"",'ENGAGEMENTS 2026'!L1423)</f>
        <v/>
      </c>
      <c r="O1423">
        <f>IF(ISBLANK('ENGAGEMENTS 2026'!C1423),"",'ENGAGEMENTS 2026'!M1423)</f>
        <v/>
      </c>
      <c r="P1423">
        <f>IF(ISBLANK('ENGAGEMENTS 2026'!C1423),"",'ENGAGEMENTS 2026'!K1423)</f>
        <v/>
      </c>
      <c r="Q1423">
        <f>IF($A1423="","",IF(OR($E1423="INFRUCTUEUX",$E1423="ANNULE"),$A1423&amp;"|"&amp;(COUNTIFS($A$2:$A1423,$A1423,$E$2:$E1423,"INFRUCTUEUX")+COUNTIFS($A$2:$A1423,$A1423,$E$2:$E1423,"ANNULE")),""))</f>
        <v/>
      </c>
    </row>
    <row r="1424">
      <c r="A1424">
        <f>IF(ISBLANK('ENGAGEMENTS 2026'!C1424),"",IF('ENGAGEMENTS 2026'!C1424="DTSI","DCT",'ENGAGEMENTS 2026'!C1424))</f>
        <v/>
      </c>
      <c r="B1424">
        <f>IF(ISBLANK('ENGAGEMENTS 2026'!C1424),"",'ENGAGEMENTS 2026'!D1424)</f>
        <v/>
      </c>
      <c r="C1424">
        <f>IF(ISBLANK('ENGAGEMENTS 2026'!C1424),"",'ENGAGEMENTS 2026'!E1424)</f>
        <v/>
      </c>
      <c r="D1424">
        <f>IF(ISBLANK('ENGAGEMENTS 2026'!C1424),"",'ENGAGEMENTS 2026'!G1424)</f>
        <v/>
      </c>
      <c r="E1424">
        <f>IF(ISBLANK('ENGAGEMENTS 2026'!C1424),"",'ENGAGEMENTS 2026'!I1424)</f>
        <v/>
      </c>
      <c r="F1424">
        <f>IF(ISBLANK('ENGAGEMENTS 2026'!C1424),"",'ENGAGEMENTS 2026'!J1424)</f>
        <v/>
      </c>
      <c r="G1424">
        <f>IF(ISBLANK('ENGAGEMENTS 2026'!C1424),"",'ENGAGEMENTS 2026'!M1424)</f>
        <v/>
      </c>
      <c r="H1424">
        <f>IF(ISBLANK('ENGAGEMENTS 2026'!C1424),"",'ENGAGEMENTS 2026'!AF1424)</f>
        <v/>
      </c>
      <c r="I1424">
        <f>IF(ISBLANK('ENGAGEMENTS 2026'!C1424),"",'ENGAGEMENTS 2026'!H1424)</f>
        <v/>
      </c>
      <c r="J1424" s="275">
        <f>IF(ISBLANK('ENGAGEMENTS 2026'!C1424),"",IF(AND(OR($E1424="INFRUCTUEUX",$E1424="ANNULE"),$C1424="AOO-M"),'ENGAGEMENTS 2026'!P1424,IF($H1424="EN COURS DE PREENGAGEMENT",'ENGAGEMENTS 2026'!O1424,IF($H1424="PREENGAGE",IF($E1424="ATTRIBUE",'ENGAGEMENTS 2026'!AE1424,'ENGAGEMENTS 2026'!O1424),'ENGAGEMENTS 2026'!AE1424))))</f>
        <v/>
      </c>
      <c r="K1424" s="604">
        <f>IF(ISBLANK('ENGAGEMENTS 2026'!W1424),"",'ENGAGEMENTS 2026'!W1424)</f>
        <v/>
      </c>
      <c r="L1424" s="276">
        <f>IF($K1424="","",TODAY()-$K1424)</f>
        <v/>
      </c>
      <c r="M1424">
        <f>IF($A1424="","",IF($H1424="ENGAGE","Engagé",IF(AND($H1424="NON ENGAGE",OR($I1424="INFRUCTUEUX",$I1424="ANNULE")),"Clôturé sans suite","En cours")))</f>
        <v/>
      </c>
      <c r="N1424">
        <f>IF(ISBLANK('ENGAGEMENTS 2026'!C1424),"",'ENGAGEMENTS 2026'!L1424)</f>
        <v/>
      </c>
      <c r="O1424">
        <f>IF(ISBLANK('ENGAGEMENTS 2026'!C1424),"",'ENGAGEMENTS 2026'!M1424)</f>
        <v/>
      </c>
      <c r="P1424">
        <f>IF(ISBLANK('ENGAGEMENTS 2026'!C1424),"",'ENGAGEMENTS 2026'!K1424)</f>
        <v/>
      </c>
      <c r="Q1424">
        <f>IF($A1424="","",IF(OR($E1424="INFRUCTUEUX",$E1424="ANNULE"),$A1424&amp;"|"&amp;(COUNTIFS($A$2:$A1424,$A1424,$E$2:$E1424,"INFRUCTUEUX")+COUNTIFS($A$2:$A1424,$A1424,$E$2:$E1424,"ANNULE")),""))</f>
        <v/>
      </c>
    </row>
    <row r="1425">
      <c r="A1425">
        <f>IF(ISBLANK('ENGAGEMENTS 2026'!C1425),"",IF('ENGAGEMENTS 2026'!C1425="DTSI","DCT",'ENGAGEMENTS 2026'!C1425))</f>
        <v/>
      </c>
      <c r="B1425">
        <f>IF(ISBLANK('ENGAGEMENTS 2026'!C1425),"",'ENGAGEMENTS 2026'!D1425)</f>
        <v/>
      </c>
      <c r="C1425">
        <f>IF(ISBLANK('ENGAGEMENTS 2026'!C1425),"",'ENGAGEMENTS 2026'!E1425)</f>
        <v/>
      </c>
      <c r="D1425">
        <f>IF(ISBLANK('ENGAGEMENTS 2026'!C1425),"",'ENGAGEMENTS 2026'!G1425)</f>
        <v/>
      </c>
      <c r="E1425">
        <f>IF(ISBLANK('ENGAGEMENTS 2026'!C1425),"",'ENGAGEMENTS 2026'!I1425)</f>
        <v/>
      </c>
      <c r="F1425">
        <f>IF(ISBLANK('ENGAGEMENTS 2026'!C1425),"",'ENGAGEMENTS 2026'!J1425)</f>
        <v/>
      </c>
      <c r="G1425">
        <f>IF(ISBLANK('ENGAGEMENTS 2026'!C1425),"",'ENGAGEMENTS 2026'!M1425)</f>
        <v/>
      </c>
      <c r="H1425">
        <f>IF(ISBLANK('ENGAGEMENTS 2026'!C1425),"",'ENGAGEMENTS 2026'!AF1425)</f>
        <v/>
      </c>
      <c r="I1425">
        <f>IF(ISBLANK('ENGAGEMENTS 2026'!C1425),"",'ENGAGEMENTS 2026'!H1425)</f>
        <v/>
      </c>
      <c r="J1425" s="275">
        <f>IF(ISBLANK('ENGAGEMENTS 2026'!C1425),"",IF(AND(OR($E1425="INFRUCTUEUX",$E1425="ANNULE"),$C1425="AOO-M"),'ENGAGEMENTS 2026'!P1425,IF($H1425="EN COURS DE PREENGAGEMENT",'ENGAGEMENTS 2026'!O1425,IF($H1425="PREENGAGE",IF($E1425="ATTRIBUE",'ENGAGEMENTS 2026'!AE1425,'ENGAGEMENTS 2026'!O1425),'ENGAGEMENTS 2026'!AE1425))))</f>
        <v/>
      </c>
      <c r="K1425" s="604">
        <f>IF(ISBLANK('ENGAGEMENTS 2026'!W1425),"",'ENGAGEMENTS 2026'!W1425)</f>
        <v/>
      </c>
      <c r="L1425" s="276">
        <f>IF($K1425="","",TODAY()-$K1425)</f>
        <v/>
      </c>
      <c r="M1425">
        <f>IF($A1425="","",IF($H1425="ENGAGE","Engagé",IF(AND($H1425="NON ENGAGE",OR($I1425="INFRUCTUEUX",$I1425="ANNULE")),"Clôturé sans suite","En cours")))</f>
        <v/>
      </c>
      <c r="N1425">
        <f>IF(ISBLANK('ENGAGEMENTS 2026'!C1425),"",'ENGAGEMENTS 2026'!L1425)</f>
        <v/>
      </c>
      <c r="O1425">
        <f>IF(ISBLANK('ENGAGEMENTS 2026'!C1425),"",'ENGAGEMENTS 2026'!M1425)</f>
        <v/>
      </c>
      <c r="P1425">
        <f>IF(ISBLANK('ENGAGEMENTS 2026'!C1425),"",'ENGAGEMENTS 2026'!K1425)</f>
        <v/>
      </c>
      <c r="Q1425">
        <f>IF($A1425="","",IF(OR($E1425="INFRUCTUEUX",$E1425="ANNULE"),$A1425&amp;"|"&amp;(COUNTIFS($A$2:$A1425,$A1425,$E$2:$E1425,"INFRUCTUEUX")+COUNTIFS($A$2:$A1425,$A1425,$E$2:$E1425,"ANNULE")),""))</f>
        <v/>
      </c>
    </row>
    <row r="1426">
      <c r="A1426">
        <f>IF(ISBLANK('ENGAGEMENTS 2026'!C1426),"",IF('ENGAGEMENTS 2026'!C1426="DTSI","DCT",'ENGAGEMENTS 2026'!C1426))</f>
        <v/>
      </c>
      <c r="B1426">
        <f>IF(ISBLANK('ENGAGEMENTS 2026'!C1426),"",'ENGAGEMENTS 2026'!D1426)</f>
        <v/>
      </c>
      <c r="C1426">
        <f>IF(ISBLANK('ENGAGEMENTS 2026'!C1426),"",'ENGAGEMENTS 2026'!E1426)</f>
        <v/>
      </c>
      <c r="D1426">
        <f>IF(ISBLANK('ENGAGEMENTS 2026'!C1426),"",'ENGAGEMENTS 2026'!G1426)</f>
        <v/>
      </c>
      <c r="E1426">
        <f>IF(ISBLANK('ENGAGEMENTS 2026'!C1426),"",'ENGAGEMENTS 2026'!I1426)</f>
        <v/>
      </c>
      <c r="F1426">
        <f>IF(ISBLANK('ENGAGEMENTS 2026'!C1426),"",'ENGAGEMENTS 2026'!J1426)</f>
        <v/>
      </c>
      <c r="G1426">
        <f>IF(ISBLANK('ENGAGEMENTS 2026'!C1426),"",'ENGAGEMENTS 2026'!M1426)</f>
        <v/>
      </c>
      <c r="H1426">
        <f>IF(ISBLANK('ENGAGEMENTS 2026'!C1426),"",'ENGAGEMENTS 2026'!AF1426)</f>
        <v/>
      </c>
      <c r="I1426">
        <f>IF(ISBLANK('ENGAGEMENTS 2026'!C1426),"",'ENGAGEMENTS 2026'!H1426)</f>
        <v/>
      </c>
      <c r="J1426" s="275">
        <f>IF(ISBLANK('ENGAGEMENTS 2026'!C1426),"",IF(AND(OR($E1426="INFRUCTUEUX",$E1426="ANNULE"),$C1426="AOO-M"),'ENGAGEMENTS 2026'!P1426,IF($H1426="EN COURS DE PREENGAGEMENT",'ENGAGEMENTS 2026'!O1426,IF($H1426="PREENGAGE",IF($E1426="ATTRIBUE",'ENGAGEMENTS 2026'!AE1426,'ENGAGEMENTS 2026'!O1426),'ENGAGEMENTS 2026'!AE1426))))</f>
        <v/>
      </c>
      <c r="K1426" s="604">
        <f>IF(ISBLANK('ENGAGEMENTS 2026'!W1426),"",'ENGAGEMENTS 2026'!W1426)</f>
        <v/>
      </c>
      <c r="L1426" s="276">
        <f>IF($K1426="","",TODAY()-$K1426)</f>
        <v/>
      </c>
      <c r="M1426">
        <f>IF($A1426="","",IF($H1426="ENGAGE","Engagé",IF(AND($H1426="NON ENGAGE",OR($I1426="INFRUCTUEUX",$I1426="ANNULE")),"Clôturé sans suite","En cours")))</f>
        <v/>
      </c>
      <c r="N1426">
        <f>IF(ISBLANK('ENGAGEMENTS 2026'!C1426),"",'ENGAGEMENTS 2026'!L1426)</f>
        <v/>
      </c>
      <c r="O1426">
        <f>IF(ISBLANK('ENGAGEMENTS 2026'!C1426),"",'ENGAGEMENTS 2026'!M1426)</f>
        <v/>
      </c>
      <c r="P1426">
        <f>IF(ISBLANK('ENGAGEMENTS 2026'!C1426),"",'ENGAGEMENTS 2026'!K1426)</f>
        <v/>
      </c>
      <c r="Q1426">
        <f>IF($A1426="","",IF(OR($E1426="INFRUCTUEUX",$E1426="ANNULE"),$A1426&amp;"|"&amp;(COUNTIFS($A$2:$A1426,$A1426,$E$2:$E1426,"INFRUCTUEUX")+COUNTIFS($A$2:$A1426,$A1426,$E$2:$E1426,"ANNULE")),""))</f>
        <v/>
      </c>
    </row>
    <row r="1427">
      <c r="A1427">
        <f>IF(ISBLANK('ENGAGEMENTS 2026'!C1427),"",IF('ENGAGEMENTS 2026'!C1427="DTSI","DCT",'ENGAGEMENTS 2026'!C1427))</f>
        <v/>
      </c>
      <c r="B1427">
        <f>IF(ISBLANK('ENGAGEMENTS 2026'!C1427),"",'ENGAGEMENTS 2026'!D1427)</f>
        <v/>
      </c>
      <c r="C1427">
        <f>IF(ISBLANK('ENGAGEMENTS 2026'!C1427),"",'ENGAGEMENTS 2026'!E1427)</f>
        <v/>
      </c>
      <c r="D1427">
        <f>IF(ISBLANK('ENGAGEMENTS 2026'!C1427),"",'ENGAGEMENTS 2026'!G1427)</f>
        <v/>
      </c>
      <c r="E1427">
        <f>IF(ISBLANK('ENGAGEMENTS 2026'!C1427),"",'ENGAGEMENTS 2026'!I1427)</f>
        <v/>
      </c>
      <c r="F1427">
        <f>IF(ISBLANK('ENGAGEMENTS 2026'!C1427),"",'ENGAGEMENTS 2026'!J1427)</f>
        <v/>
      </c>
      <c r="G1427">
        <f>IF(ISBLANK('ENGAGEMENTS 2026'!C1427),"",'ENGAGEMENTS 2026'!M1427)</f>
        <v/>
      </c>
      <c r="H1427">
        <f>IF(ISBLANK('ENGAGEMENTS 2026'!C1427),"",'ENGAGEMENTS 2026'!AF1427)</f>
        <v/>
      </c>
      <c r="I1427">
        <f>IF(ISBLANK('ENGAGEMENTS 2026'!C1427),"",'ENGAGEMENTS 2026'!H1427)</f>
        <v/>
      </c>
      <c r="J1427" s="275">
        <f>IF(ISBLANK('ENGAGEMENTS 2026'!C1427),"",IF(AND(OR($E1427="INFRUCTUEUX",$E1427="ANNULE"),$C1427="AOO-M"),'ENGAGEMENTS 2026'!P1427,IF($H1427="EN COURS DE PREENGAGEMENT",'ENGAGEMENTS 2026'!O1427,IF($H1427="PREENGAGE",IF($E1427="ATTRIBUE",'ENGAGEMENTS 2026'!AE1427,'ENGAGEMENTS 2026'!O1427),'ENGAGEMENTS 2026'!AE1427))))</f>
        <v/>
      </c>
      <c r="K1427" s="604">
        <f>IF(ISBLANK('ENGAGEMENTS 2026'!W1427),"",'ENGAGEMENTS 2026'!W1427)</f>
        <v/>
      </c>
      <c r="L1427" s="276">
        <f>IF($K1427="","",TODAY()-$K1427)</f>
        <v/>
      </c>
      <c r="M1427">
        <f>IF($A1427="","",IF($H1427="ENGAGE","Engagé",IF(AND($H1427="NON ENGAGE",OR($I1427="INFRUCTUEUX",$I1427="ANNULE")),"Clôturé sans suite","En cours")))</f>
        <v/>
      </c>
      <c r="N1427">
        <f>IF(ISBLANK('ENGAGEMENTS 2026'!C1427),"",'ENGAGEMENTS 2026'!L1427)</f>
        <v/>
      </c>
      <c r="O1427">
        <f>IF(ISBLANK('ENGAGEMENTS 2026'!C1427),"",'ENGAGEMENTS 2026'!M1427)</f>
        <v/>
      </c>
      <c r="P1427">
        <f>IF(ISBLANK('ENGAGEMENTS 2026'!C1427),"",'ENGAGEMENTS 2026'!K1427)</f>
        <v/>
      </c>
      <c r="Q1427">
        <f>IF($A1427="","",IF(OR($E1427="INFRUCTUEUX",$E1427="ANNULE"),$A1427&amp;"|"&amp;(COUNTIFS($A$2:$A1427,$A1427,$E$2:$E1427,"INFRUCTUEUX")+COUNTIFS($A$2:$A1427,$A1427,$E$2:$E1427,"ANNULE")),""))</f>
        <v/>
      </c>
    </row>
    <row r="1428">
      <c r="A1428">
        <f>IF(ISBLANK('ENGAGEMENTS 2026'!C1428),"",IF('ENGAGEMENTS 2026'!C1428="DTSI","DCT",'ENGAGEMENTS 2026'!C1428))</f>
        <v/>
      </c>
      <c r="B1428">
        <f>IF(ISBLANK('ENGAGEMENTS 2026'!C1428),"",'ENGAGEMENTS 2026'!D1428)</f>
        <v/>
      </c>
      <c r="C1428">
        <f>IF(ISBLANK('ENGAGEMENTS 2026'!C1428),"",'ENGAGEMENTS 2026'!E1428)</f>
        <v/>
      </c>
      <c r="D1428">
        <f>IF(ISBLANK('ENGAGEMENTS 2026'!C1428),"",'ENGAGEMENTS 2026'!G1428)</f>
        <v/>
      </c>
      <c r="E1428">
        <f>IF(ISBLANK('ENGAGEMENTS 2026'!C1428),"",'ENGAGEMENTS 2026'!I1428)</f>
        <v/>
      </c>
      <c r="F1428">
        <f>IF(ISBLANK('ENGAGEMENTS 2026'!C1428),"",'ENGAGEMENTS 2026'!J1428)</f>
        <v/>
      </c>
      <c r="G1428">
        <f>IF(ISBLANK('ENGAGEMENTS 2026'!C1428),"",'ENGAGEMENTS 2026'!M1428)</f>
        <v/>
      </c>
      <c r="H1428">
        <f>IF(ISBLANK('ENGAGEMENTS 2026'!C1428),"",'ENGAGEMENTS 2026'!AF1428)</f>
        <v/>
      </c>
      <c r="I1428">
        <f>IF(ISBLANK('ENGAGEMENTS 2026'!C1428),"",'ENGAGEMENTS 2026'!H1428)</f>
        <v/>
      </c>
      <c r="J1428" s="275">
        <f>IF(ISBLANK('ENGAGEMENTS 2026'!C1428),"",IF(AND(OR($E1428="INFRUCTUEUX",$E1428="ANNULE"),$C1428="AOO-M"),'ENGAGEMENTS 2026'!P1428,IF($H1428="EN COURS DE PREENGAGEMENT",'ENGAGEMENTS 2026'!O1428,IF($H1428="PREENGAGE",IF($E1428="ATTRIBUE",'ENGAGEMENTS 2026'!AE1428,'ENGAGEMENTS 2026'!O1428),'ENGAGEMENTS 2026'!AE1428))))</f>
        <v/>
      </c>
      <c r="K1428" s="604">
        <f>IF(ISBLANK('ENGAGEMENTS 2026'!W1428),"",'ENGAGEMENTS 2026'!W1428)</f>
        <v/>
      </c>
      <c r="L1428" s="276">
        <f>IF($K1428="","",TODAY()-$K1428)</f>
        <v/>
      </c>
      <c r="M1428">
        <f>IF($A1428="","",IF($H1428="ENGAGE","Engagé",IF(AND($H1428="NON ENGAGE",OR($I1428="INFRUCTUEUX",$I1428="ANNULE")),"Clôturé sans suite","En cours")))</f>
        <v/>
      </c>
      <c r="N1428">
        <f>IF(ISBLANK('ENGAGEMENTS 2026'!C1428),"",'ENGAGEMENTS 2026'!L1428)</f>
        <v/>
      </c>
      <c r="O1428">
        <f>IF(ISBLANK('ENGAGEMENTS 2026'!C1428),"",'ENGAGEMENTS 2026'!M1428)</f>
        <v/>
      </c>
      <c r="P1428">
        <f>IF(ISBLANK('ENGAGEMENTS 2026'!C1428),"",'ENGAGEMENTS 2026'!K1428)</f>
        <v/>
      </c>
      <c r="Q1428">
        <f>IF($A1428="","",IF(OR($E1428="INFRUCTUEUX",$E1428="ANNULE"),$A1428&amp;"|"&amp;(COUNTIFS($A$2:$A1428,$A1428,$E$2:$E1428,"INFRUCTUEUX")+COUNTIFS($A$2:$A1428,$A1428,$E$2:$E1428,"ANNULE")),""))</f>
        <v/>
      </c>
    </row>
    <row r="1429">
      <c r="A1429">
        <f>IF(ISBLANK('ENGAGEMENTS 2026'!C1429),"",IF('ENGAGEMENTS 2026'!C1429="DTSI","DCT",'ENGAGEMENTS 2026'!C1429))</f>
        <v/>
      </c>
      <c r="B1429">
        <f>IF(ISBLANK('ENGAGEMENTS 2026'!C1429),"",'ENGAGEMENTS 2026'!D1429)</f>
        <v/>
      </c>
      <c r="C1429">
        <f>IF(ISBLANK('ENGAGEMENTS 2026'!C1429),"",'ENGAGEMENTS 2026'!E1429)</f>
        <v/>
      </c>
      <c r="D1429">
        <f>IF(ISBLANK('ENGAGEMENTS 2026'!C1429),"",'ENGAGEMENTS 2026'!G1429)</f>
        <v/>
      </c>
      <c r="E1429">
        <f>IF(ISBLANK('ENGAGEMENTS 2026'!C1429),"",'ENGAGEMENTS 2026'!I1429)</f>
        <v/>
      </c>
      <c r="F1429">
        <f>IF(ISBLANK('ENGAGEMENTS 2026'!C1429),"",'ENGAGEMENTS 2026'!J1429)</f>
        <v/>
      </c>
      <c r="G1429">
        <f>IF(ISBLANK('ENGAGEMENTS 2026'!C1429),"",'ENGAGEMENTS 2026'!M1429)</f>
        <v/>
      </c>
      <c r="H1429">
        <f>IF(ISBLANK('ENGAGEMENTS 2026'!C1429),"",'ENGAGEMENTS 2026'!AF1429)</f>
        <v/>
      </c>
      <c r="I1429">
        <f>IF(ISBLANK('ENGAGEMENTS 2026'!C1429),"",'ENGAGEMENTS 2026'!H1429)</f>
        <v/>
      </c>
      <c r="J1429" s="275">
        <f>IF(ISBLANK('ENGAGEMENTS 2026'!C1429),"",IF(AND(OR($E1429="INFRUCTUEUX",$E1429="ANNULE"),$C1429="AOO-M"),'ENGAGEMENTS 2026'!P1429,IF($H1429="EN COURS DE PREENGAGEMENT",'ENGAGEMENTS 2026'!O1429,IF($H1429="PREENGAGE",IF($E1429="ATTRIBUE",'ENGAGEMENTS 2026'!AE1429,'ENGAGEMENTS 2026'!O1429),'ENGAGEMENTS 2026'!AE1429))))</f>
        <v/>
      </c>
      <c r="K1429" s="604">
        <f>IF(ISBLANK('ENGAGEMENTS 2026'!W1429),"",'ENGAGEMENTS 2026'!W1429)</f>
        <v/>
      </c>
      <c r="L1429" s="276">
        <f>IF($K1429="","",TODAY()-$K1429)</f>
        <v/>
      </c>
      <c r="M1429">
        <f>IF($A1429="","",IF($H1429="ENGAGE","Engagé",IF(AND($H1429="NON ENGAGE",OR($I1429="INFRUCTUEUX",$I1429="ANNULE")),"Clôturé sans suite","En cours")))</f>
        <v/>
      </c>
      <c r="N1429">
        <f>IF(ISBLANK('ENGAGEMENTS 2026'!C1429),"",'ENGAGEMENTS 2026'!L1429)</f>
        <v/>
      </c>
      <c r="O1429">
        <f>IF(ISBLANK('ENGAGEMENTS 2026'!C1429),"",'ENGAGEMENTS 2026'!M1429)</f>
        <v/>
      </c>
      <c r="P1429">
        <f>IF(ISBLANK('ENGAGEMENTS 2026'!C1429),"",'ENGAGEMENTS 2026'!K1429)</f>
        <v/>
      </c>
      <c r="Q1429">
        <f>IF($A1429="","",IF(OR($E1429="INFRUCTUEUX",$E1429="ANNULE"),$A1429&amp;"|"&amp;(COUNTIFS($A$2:$A1429,$A1429,$E$2:$E1429,"INFRUCTUEUX")+COUNTIFS($A$2:$A1429,$A1429,$E$2:$E1429,"ANNULE")),""))</f>
        <v/>
      </c>
    </row>
    <row r="1430">
      <c r="A1430">
        <f>IF(ISBLANK('ENGAGEMENTS 2026'!C1430),"",IF('ENGAGEMENTS 2026'!C1430="DTSI","DCT",'ENGAGEMENTS 2026'!C1430))</f>
        <v/>
      </c>
      <c r="B1430">
        <f>IF(ISBLANK('ENGAGEMENTS 2026'!C1430),"",'ENGAGEMENTS 2026'!D1430)</f>
        <v/>
      </c>
      <c r="C1430">
        <f>IF(ISBLANK('ENGAGEMENTS 2026'!C1430),"",'ENGAGEMENTS 2026'!E1430)</f>
        <v/>
      </c>
      <c r="D1430">
        <f>IF(ISBLANK('ENGAGEMENTS 2026'!C1430),"",'ENGAGEMENTS 2026'!G1430)</f>
        <v/>
      </c>
      <c r="E1430">
        <f>IF(ISBLANK('ENGAGEMENTS 2026'!C1430),"",'ENGAGEMENTS 2026'!I1430)</f>
        <v/>
      </c>
      <c r="F1430">
        <f>IF(ISBLANK('ENGAGEMENTS 2026'!C1430),"",'ENGAGEMENTS 2026'!J1430)</f>
        <v/>
      </c>
      <c r="G1430">
        <f>IF(ISBLANK('ENGAGEMENTS 2026'!C1430),"",'ENGAGEMENTS 2026'!M1430)</f>
        <v/>
      </c>
      <c r="H1430">
        <f>IF(ISBLANK('ENGAGEMENTS 2026'!C1430),"",'ENGAGEMENTS 2026'!AF1430)</f>
        <v/>
      </c>
      <c r="I1430">
        <f>IF(ISBLANK('ENGAGEMENTS 2026'!C1430),"",'ENGAGEMENTS 2026'!H1430)</f>
        <v/>
      </c>
      <c r="J1430" s="275">
        <f>IF(ISBLANK('ENGAGEMENTS 2026'!C1430),"",IF(AND(OR($E1430="INFRUCTUEUX",$E1430="ANNULE"),$C1430="AOO-M"),'ENGAGEMENTS 2026'!P1430,IF($H1430="EN COURS DE PREENGAGEMENT",'ENGAGEMENTS 2026'!O1430,IF($H1430="PREENGAGE",IF($E1430="ATTRIBUE",'ENGAGEMENTS 2026'!AE1430,'ENGAGEMENTS 2026'!O1430),'ENGAGEMENTS 2026'!AE1430))))</f>
        <v/>
      </c>
      <c r="K1430" s="604">
        <f>IF(ISBLANK('ENGAGEMENTS 2026'!W1430),"",'ENGAGEMENTS 2026'!W1430)</f>
        <v/>
      </c>
      <c r="L1430" s="276">
        <f>IF($K1430="","",TODAY()-$K1430)</f>
        <v/>
      </c>
      <c r="M1430">
        <f>IF($A1430="","",IF($H1430="ENGAGE","Engagé",IF(AND($H1430="NON ENGAGE",OR($I1430="INFRUCTUEUX",$I1430="ANNULE")),"Clôturé sans suite","En cours")))</f>
        <v/>
      </c>
      <c r="N1430">
        <f>IF(ISBLANK('ENGAGEMENTS 2026'!C1430),"",'ENGAGEMENTS 2026'!L1430)</f>
        <v/>
      </c>
      <c r="O1430">
        <f>IF(ISBLANK('ENGAGEMENTS 2026'!C1430),"",'ENGAGEMENTS 2026'!M1430)</f>
        <v/>
      </c>
      <c r="P1430">
        <f>IF(ISBLANK('ENGAGEMENTS 2026'!C1430),"",'ENGAGEMENTS 2026'!K1430)</f>
        <v/>
      </c>
      <c r="Q1430">
        <f>IF($A1430="","",IF(OR($E1430="INFRUCTUEUX",$E1430="ANNULE"),$A1430&amp;"|"&amp;(COUNTIFS($A$2:$A1430,$A1430,$E$2:$E1430,"INFRUCTUEUX")+COUNTIFS($A$2:$A1430,$A1430,$E$2:$E1430,"ANNULE")),""))</f>
        <v/>
      </c>
    </row>
    <row r="1431">
      <c r="A1431">
        <f>IF(ISBLANK('ENGAGEMENTS 2026'!C1431),"",IF('ENGAGEMENTS 2026'!C1431="DTSI","DCT",'ENGAGEMENTS 2026'!C1431))</f>
        <v/>
      </c>
      <c r="B1431">
        <f>IF(ISBLANK('ENGAGEMENTS 2026'!C1431),"",'ENGAGEMENTS 2026'!D1431)</f>
        <v/>
      </c>
      <c r="C1431">
        <f>IF(ISBLANK('ENGAGEMENTS 2026'!C1431),"",'ENGAGEMENTS 2026'!E1431)</f>
        <v/>
      </c>
      <c r="D1431">
        <f>IF(ISBLANK('ENGAGEMENTS 2026'!C1431),"",'ENGAGEMENTS 2026'!G1431)</f>
        <v/>
      </c>
      <c r="E1431">
        <f>IF(ISBLANK('ENGAGEMENTS 2026'!C1431),"",'ENGAGEMENTS 2026'!I1431)</f>
        <v/>
      </c>
      <c r="F1431">
        <f>IF(ISBLANK('ENGAGEMENTS 2026'!C1431),"",'ENGAGEMENTS 2026'!J1431)</f>
        <v/>
      </c>
      <c r="G1431">
        <f>IF(ISBLANK('ENGAGEMENTS 2026'!C1431),"",'ENGAGEMENTS 2026'!M1431)</f>
        <v/>
      </c>
      <c r="H1431">
        <f>IF(ISBLANK('ENGAGEMENTS 2026'!C1431),"",'ENGAGEMENTS 2026'!AF1431)</f>
        <v/>
      </c>
      <c r="I1431">
        <f>IF(ISBLANK('ENGAGEMENTS 2026'!C1431),"",'ENGAGEMENTS 2026'!H1431)</f>
        <v/>
      </c>
      <c r="J1431" s="275">
        <f>IF(ISBLANK('ENGAGEMENTS 2026'!C1431),"",IF(AND(OR($E1431="INFRUCTUEUX",$E1431="ANNULE"),$C1431="AOO-M"),'ENGAGEMENTS 2026'!P1431,IF($H1431="EN COURS DE PREENGAGEMENT",'ENGAGEMENTS 2026'!O1431,IF($H1431="PREENGAGE",IF($E1431="ATTRIBUE",'ENGAGEMENTS 2026'!AE1431,'ENGAGEMENTS 2026'!O1431),'ENGAGEMENTS 2026'!AE1431))))</f>
        <v/>
      </c>
      <c r="K1431" s="604">
        <f>IF(ISBLANK('ENGAGEMENTS 2026'!W1431),"",'ENGAGEMENTS 2026'!W1431)</f>
        <v/>
      </c>
      <c r="L1431" s="276">
        <f>IF($K1431="","",TODAY()-$K1431)</f>
        <v/>
      </c>
      <c r="M1431">
        <f>IF($A1431="","",IF($H1431="ENGAGE","Engagé",IF(AND($H1431="NON ENGAGE",OR($I1431="INFRUCTUEUX",$I1431="ANNULE")),"Clôturé sans suite","En cours")))</f>
        <v/>
      </c>
      <c r="N1431">
        <f>IF(ISBLANK('ENGAGEMENTS 2026'!C1431),"",'ENGAGEMENTS 2026'!L1431)</f>
        <v/>
      </c>
      <c r="O1431">
        <f>IF(ISBLANK('ENGAGEMENTS 2026'!C1431),"",'ENGAGEMENTS 2026'!M1431)</f>
        <v/>
      </c>
      <c r="P1431">
        <f>IF(ISBLANK('ENGAGEMENTS 2026'!C1431),"",'ENGAGEMENTS 2026'!K1431)</f>
        <v/>
      </c>
      <c r="Q1431">
        <f>IF($A1431="","",IF(OR($E1431="INFRUCTUEUX",$E1431="ANNULE"),$A1431&amp;"|"&amp;(COUNTIFS($A$2:$A1431,$A1431,$E$2:$E1431,"INFRUCTUEUX")+COUNTIFS($A$2:$A1431,$A1431,$E$2:$E1431,"ANNULE")),""))</f>
        <v/>
      </c>
    </row>
    <row r="1432">
      <c r="A1432">
        <f>IF(ISBLANK('ENGAGEMENTS 2026'!C1432),"",IF('ENGAGEMENTS 2026'!C1432="DTSI","DCT",'ENGAGEMENTS 2026'!C1432))</f>
        <v/>
      </c>
      <c r="B1432">
        <f>IF(ISBLANK('ENGAGEMENTS 2026'!C1432),"",'ENGAGEMENTS 2026'!D1432)</f>
        <v/>
      </c>
      <c r="C1432">
        <f>IF(ISBLANK('ENGAGEMENTS 2026'!C1432),"",'ENGAGEMENTS 2026'!E1432)</f>
        <v/>
      </c>
      <c r="D1432">
        <f>IF(ISBLANK('ENGAGEMENTS 2026'!C1432),"",'ENGAGEMENTS 2026'!G1432)</f>
        <v/>
      </c>
      <c r="E1432">
        <f>IF(ISBLANK('ENGAGEMENTS 2026'!C1432),"",'ENGAGEMENTS 2026'!I1432)</f>
        <v/>
      </c>
      <c r="F1432">
        <f>IF(ISBLANK('ENGAGEMENTS 2026'!C1432),"",'ENGAGEMENTS 2026'!J1432)</f>
        <v/>
      </c>
      <c r="G1432">
        <f>IF(ISBLANK('ENGAGEMENTS 2026'!C1432),"",'ENGAGEMENTS 2026'!M1432)</f>
        <v/>
      </c>
      <c r="H1432">
        <f>IF(ISBLANK('ENGAGEMENTS 2026'!C1432),"",'ENGAGEMENTS 2026'!AF1432)</f>
        <v/>
      </c>
      <c r="I1432">
        <f>IF(ISBLANK('ENGAGEMENTS 2026'!C1432),"",'ENGAGEMENTS 2026'!H1432)</f>
        <v/>
      </c>
      <c r="J1432" s="275">
        <f>IF(ISBLANK('ENGAGEMENTS 2026'!C1432),"",IF(AND(OR($E1432="INFRUCTUEUX",$E1432="ANNULE"),$C1432="AOO-M"),'ENGAGEMENTS 2026'!P1432,IF($H1432="EN COURS DE PREENGAGEMENT",'ENGAGEMENTS 2026'!O1432,IF($H1432="PREENGAGE",IF($E1432="ATTRIBUE",'ENGAGEMENTS 2026'!AE1432,'ENGAGEMENTS 2026'!O1432),'ENGAGEMENTS 2026'!AE1432))))</f>
        <v/>
      </c>
      <c r="K1432" s="604">
        <f>IF(ISBLANK('ENGAGEMENTS 2026'!W1432),"",'ENGAGEMENTS 2026'!W1432)</f>
        <v/>
      </c>
      <c r="L1432" s="276">
        <f>IF($K1432="","",TODAY()-$K1432)</f>
        <v/>
      </c>
      <c r="M1432">
        <f>IF($A1432="","",IF($H1432="ENGAGE","Engagé",IF(AND($H1432="NON ENGAGE",OR($I1432="INFRUCTUEUX",$I1432="ANNULE")),"Clôturé sans suite","En cours")))</f>
        <v/>
      </c>
      <c r="N1432">
        <f>IF(ISBLANK('ENGAGEMENTS 2026'!C1432),"",'ENGAGEMENTS 2026'!L1432)</f>
        <v/>
      </c>
      <c r="O1432">
        <f>IF(ISBLANK('ENGAGEMENTS 2026'!C1432),"",'ENGAGEMENTS 2026'!M1432)</f>
        <v/>
      </c>
      <c r="P1432">
        <f>IF(ISBLANK('ENGAGEMENTS 2026'!C1432),"",'ENGAGEMENTS 2026'!K1432)</f>
        <v/>
      </c>
      <c r="Q1432">
        <f>IF($A1432="","",IF(OR($E1432="INFRUCTUEUX",$E1432="ANNULE"),$A1432&amp;"|"&amp;(COUNTIFS($A$2:$A1432,$A1432,$E$2:$E1432,"INFRUCTUEUX")+COUNTIFS($A$2:$A1432,$A1432,$E$2:$E1432,"ANNULE")),""))</f>
        <v/>
      </c>
    </row>
    <row r="1433">
      <c r="A1433">
        <f>IF(ISBLANK('ENGAGEMENTS 2026'!C1433),"",IF('ENGAGEMENTS 2026'!C1433="DTSI","DCT",'ENGAGEMENTS 2026'!C1433))</f>
        <v/>
      </c>
      <c r="B1433">
        <f>IF(ISBLANK('ENGAGEMENTS 2026'!C1433),"",'ENGAGEMENTS 2026'!D1433)</f>
        <v/>
      </c>
      <c r="C1433">
        <f>IF(ISBLANK('ENGAGEMENTS 2026'!C1433),"",'ENGAGEMENTS 2026'!E1433)</f>
        <v/>
      </c>
      <c r="D1433">
        <f>IF(ISBLANK('ENGAGEMENTS 2026'!C1433),"",'ENGAGEMENTS 2026'!G1433)</f>
        <v/>
      </c>
      <c r="E1433">
        <f>IF(ISBLANK('ENGAGEMENTS 2026'!C1433),"",'ENGAGEMENTS 2026'!I1433)</f>
        <v/>
      </c>
      <c r="F1433">
        <f>IF(ISBLANK('ENGAGEMENTS 2026'!C1433),"",'ENGAGEMENTS 2026'!J1433)</f>
        <v/>
      </c>
      <c r="G1433">
        <f>IF(ISBLANK('ENGAGEMENTS 2026'!C1433),"",'ENGAGEMENTS 2026'!M1433)</f>
        <v/>
      </c>
      <c r="H1433">
        <f>IF(ISBLANK('ENGAGEMENTS 2026'!C1433),"",'ENGAGEMENTS 2026'!AF1433)</f>
        <v/>
      </c>
      <c r="I1433">
        <f>IF(ISBLANK('ENGAGEMENTS 2026'!C1433),"",'ENGAGEMENTS 2026'!H1433)</f>
        <v/>
      </c>
      <c r="J1433" s="275">
        <f>IF(ISBLANK('ENGAGEMENTS 2026'!C1433),"",IF(AND(OR($E1433="INFRUCTUEUX",$E1433="ANNULE"),$C1433="AOO-M"),'ENGAGEMENTS 2026'!P1433,IF($H1433="EN COURS DE PREENGAGEMENT",'ENGAGEMENTS 2026'!O1433,IF($H1433="PREENGAGE",IF($E1433="ATTRIBUE",'ENGAGEMENTS 2026'!AE1433,'ENGAGEMENTS 2026'!O1433),'ENGAGEMENTS 2026'!AE1433))))</f>
        <v/>
      </c>
      <c r="K1433" s="604">
        <f>IF(ISBLANK('ENGAGEMENTS 2026'!W1433),"",'ENGAGEMENTS 2026'!W1433)</f>
        <v/>
      </c>
      <c r="L1433" s="276">
        <f>IF($K1433="","",TODAY()-$K1433)</f>
        <v/>
      </c>
      <c r="M1433">
        <f>IF($A1433="","",IF($H1433="ENGAGE","Engagé",IF(AND($H1433="NON ENGAGE",OR($I1433="INFRUCTUEUX",$I1433="ANNULE")),"Clôturé sans suite","En cours")))</f>
        <v/>
      </c>
      <c r="N1433">
        <f>IF(ISBLANK('ENGAGEMENTS 2026'!C1433),"",'ENGAGEMENTS 2026'!L1433)</f>
        <v/>
      </c>
      <c r="O1433">
        <f>IF(ISBLANK('ENGAGEMENTS 2026'!C1433),"",'ENGAGEMENTS 2026'!M1433)</f>
        <v/>
      </c>
      <c r="P1433">
        <f>IF(ISBLANK('ENGAGEMENTS 2026'!C1433),"",'ENGAGEMENTS 2026'!K1433)</f>
        <v/>
      </c>
      <c r="Q1433">
        <f>IF($A1433="","",IF(OR($E1433="INFRUCTUEUX",$E1433="ANNULE"),$A1433&amp;"|"&amp;(COUNTIFS($A$2:$A1433,$A1433,$E$2:$E1433,"INFRUCTUEUX")+COUNTIFS($A$2:$A1433,$A1433,$E$2:$E1433,"ANNULE")),""))</f>
        <v/>
      </c>
    </row>
    <row r="1434">
      <c r="A1434">
        <f>IF(ISBLANK('ENGAGEMENTS 2026'!C1434),"",IF('ENGAGEMENTS 2026'!C1434="DTSI","DCT",'ENGAGEMENTS 2026'!C1434))</f>
        <v/>
      </c>
      <c r="B1434">
        <f>IF(ISBLANK('ENGAGEMENTS 2026'!C1434),"",'ENGAGEMENTS 2026'!D1434)</f>
        <v/>
      </c>
      <c r="C1434">
        <f>IF(ISBLANK('ENGAGEMENTS 2026'!C1434),"",'ENGAGEMENTS 2026'!E1434)</f>
        <v/>
      </c>
      <c r="D1434">
        <f>IF(ISBLANK('ENGAGEMENTS 2026'!C1434),"",'ENGAGEMENTS 2026'!G1434)</f>
        <v/>
      </c>
      <c r="E1434">
        <f>IF(ISBLANK('ENGAGEMENTS 2026'!C1434),"",'ENGAGEMENTS 2026'!I1434)</f>
        <v/>
      </c>
      <c r="F1434">
        <f>IF(ISBLANK('ENGAGEMENTS 2026'!C1434),"",'ENGAGEMENTS 2026'!J1434)</f>
        <v/>
      </c>
      <c r="G1434">
        <f>IF(ISBLANK('ENGAGEMENTS 2026'!C1434),"",'ENGAGEMENTS 2026'!M1434)</f>
        <v/>
      </c>
      <c r="H1434">
        <f>IF(ISBLANK('ENGAGEMENTS 2026'!C1434),"",'ENGAGEMENTS 2026'!AF1434)</f>
        <v/>
      </c>
      <c r="I1434">
        <f>IF(ISBLANK('ENGAGEMENTS 2026'!C1434),"",'ENGAGEMENTS 2026'!H1434)</f>
        <v/>
      </c>
      <c r="J1434" s="275">
        <f>IF(ISBLANK('ENGAGEMENTS 2026'!C1434),"",IF(AND(OR($E1434="INFRUCTUEUX",$E1434="ANNULE"),$C1434="AOO-M"),'ENGAGEMENTS 2026'!P1434,IF($H1434="EN COURS DE PREENGAGEMENT",'ENGAGEMENTS 2026'!O1434,IF($H1434="PREENGAGE",IF($E1434="ATTRIBUE",'ENGAGEMENTS 2026'!AE1434,'ENGAGEMENTS 2026'!O1434),'ENGAGEMENTS 2026'!AE1434))))</f>
        <v/>
      </c>
      <c r="K1434" s="604">
        <f>IF(ISBLANK('ENGAGEMENTS 2026'!W1434),"",'ENGAGEMENTS 2026'!W1434)</f>
        <v/>
      </c>
      <c r="L1434" s="276">
        <f>IF($K1434="","",TODAY()-$K1434)</f>
        <v/>
      </c>
      <c r="M1434">
        <f>IF($A1434="","",IF($H1434="ENGAGE","Engagé",IF(AND($H1434="NON ENGAGE",OR($I1434="INFRUCTUEUX",$I1434="ANNULE")),"Clôturé sans suite","En cours")))</f>
        <v/>
      </c>
      <c r="N1434">
        <f>IF(ISBLANK('ENGAGEMENTS 2026'!C1434),"",'ENGAGEMENTS 2026'!L1434)</f>
        <v/>
      </c>
      <c r="O1434">
        <f>IF(ISBLANK('ENGAGEMENTS 2026'!C1434),"",'ENGAGEMENTS 2026'!M1434)</f>
        <v/>
      </c>
      <c r="P1434">
        <f>IF(ISBLANK('ENGAGEMENTS 2026'!C1434),"",'ENGAGEMENTS 2026'!K1434)</f>
        <v/>
      </c>
      <c r="Q1434">
        <f>IF($A1434="","",IF(OR($E1434="INFRUCTUEUX",$E1434="ANNULE"),$A1434&amp;"|"&amp;(COUNTIFS($A$2:$A1434,$A1434,$E$2:$E1434,"INFRUCTUEUX")+COUNTIFS($A$2:$A1434,$A1434,$E$2:$E1434,"ANNULE")),""))</f>
        <v/>
      </c>
    </row>
    <row r="1435">
      <c r="A1435">
        <f>IF(ISBLANK('ENGAGEMENTS 2026'!C1435),"",IF('ENGAGEMENTS 2026'!C1435="DTSI","DCT",'ENGAGEMENTS 2026'!C1435))</f>
        <v/>
      </c>
      <c r="B1435">
        <f>IF(ISBLANK('ENGAGEMENTS 2026'!C1435),"",'ENGAGEMENTS 2026'!D1435)</f>
        <v/>
      </c>
      <c r="C1435">
        <f>IF(ISBLANK('ENGAGEMENTS 2026'!C1435),"",'ENGAGEMENTS 2026'!E1435)</f>
        <v/>
      </c>
      <c r="D1435">
        <f>IF(ISBLANK('ENGAGEMENTS 2026'!C1435),"",'ENGAGEMENTS 2026'!G1435)</f>
        <v/>
      </c>
      <c r="E1435">
        <f>IF(ISBLANK('ENGAGEMENTS 2026'!C1435),"",'ENGAGEMENTS 2026'!I1435)</f>
        <v/>
      </c>
      <c r="F1435">
        <f>IF(ISBLANK('ENGAGEMENTS 2026'!C1435),"",'ENGAGEMENTS 2026'!J1435)</f>
        <v/>
      </c>
      <c r="G1435">
        <f>IF(ISBLANK('ENGAGEMENTS 2026'!C1435),"",'ENGAGEMENTS 2026'!M1435)</f>
        <v/>
      </c>
      <c r="H1435">
        <f>IF(ISBLANK('ENGAGEMENTS 2026'!C1435),"",'ENGAGEMENTS 2026'!AF1435)</f>
        <v/>
      </c>
      <c r="I1435">
        <f>IF(ISBLANK('ENGAGEMENTS 2026'!C1435),"",'ENGAGEMENTS 2026'!H1435)</f>
        <v/>
      </c>
      <c r="J1435" s="275">
        <f>IF(ISBLANK('ENGAGEMENTS 2026'!C1435),"",IF(AND(OR($E1435="INFRUCTUEUX",$E1435="ANNULE"),$C1435="AOO-M"),'ENGAGEMENTS 2026'!P1435,IF($H1435="EN COURS DE PREENGAGEMENT",'ENGAGEMENTS 2026'!O1435,IF($H1435="PREENGAGE",IF($E1435="ATTRIBUE",'ENGAGEMENTS 2026'!AE1435,'ENGAGEMENTS 2026'!O1435),'ENGAGEMENTS 2026'!AE1435))))</f>
        <v/>
      </c>
      <c r="K1435" s="604">
        <f>IF(ISBLANK('ENGAGEMENTS 2026'!W1435),"",'ENGAGEMENTS 2026'!W1435)</f>
        <v/>
      </c>
      <c r="L1435" s="276">
        <f>IF($K1435="","",TODAY()-$K1435)</f>
        <v/>
      </c>
      <c r="M1435">
        <f>IF($A1435="","",IF($H1435="ENGAGE","Engagé",IF(AND($H1435="NON ENGAGE",OR($I1435="INFRUCTUEUX",$I1435="ANNULE")),"Clôturé sans suite","En cours")))</f>
        <v/>
      </c>
      <c r="N1435">
        <f>IF(ISBLANK('ENGAGEMENTS 2026'!C1435),"",'ENGAGEMENTS 2026'!L1435)</f>
        <v/>
      </c>
      <c r="O1435">
        <f>IF(ISBLANK('ENGAGEMENTS 2026'!C1435),"",'ENGAGEMENTS 2026'!M1435)</f>
        <v/>
      </c>
      <c r="P1435">
        <f>IF(ISBLANK('ENGAGEMENTS 2026'!C1435),"",'ENGAGEMENTS 2026'!K1435)</f>
        <v/>
      </c>
      <c r="Q1435">
        <f>IF($A1435="","",IF(OR($E1435="INFRUCTUEUX",$E1435="ANNULE"),$A1435&amp;"|"&amp;(COUNTIFS($A$2:$A1435,$A1435,$E$2:$E1435,"INFRUCTUEUX")+COUNTIFS($A$2:$A1435,$A1435,$E$2:$E1435,"ANNULE")),""))</f>
        <v/>
      </c>
    </row>
    <row r="1436">
      <c r="A1436">
        <f>IF(ISBLANK('ENGAGEMENTS 2026'!C1436),"",IF('ENGAGEMENTS 2026'!C1436="DTSI","DCT",'ENGAGEMENTS 2026'!C1436))</f>
        <v/>
      </c>
      <c r="B1436">
        <f>IF(ISBLANK('ENGAGEMENTS 2026'!C1436),"",'ENGAGEMENTS 2026'!D1436)</f>
        <v/>
      </c>
      <c r="C1436">
        <f>IF(ISBLANK('ENGAGEMENTS 2026'!C1436),"",'ENGAGEMENTS 2026'!E1436)</f>
        <v/>
      </c>
      <c r="D1436">
        <f>IF(ISBLANK('ENGAGEMENTS 2026'!C1436),"",'ENGAGEMENTS 2026'!G1436)</f>
        <v/>
      </c>
      <c r="E1436">
        <f>IF(ISBLANK('ENGAGEMENTS 2026'!C1436),"",'ENGAGEMENTS 2026'!I1436)</f>
        <v/>
      </c>
      <c r="F1436">
        <f>IF(ISBLANK('ENGAGEMENTS 2026'!C1436),"",'ENGAGEMENTS 2026'!J1436)</f>
        <v/>
      </c>
      <c r="G1436">
        <f>IF(ISBLANK('ENGAGEMENTS 2026'!C1436),"",'ENGAGEMENTS 2026'!M1436)</f>
        <v/>
      </c>
      <c r="H1436">
        <f>IF(ISBLANK('ENGAGEMENTS 2026'!C1436),"",'ENGAGEMENTS 2026'!AF1436)</f>
        <v/>
      </c>
      <c r="I1436">
        <f>IF(ISBLANK('ENGAGEMENTS 2026'!C1436),"",'ENGAGEMENTS 2026'!H1436)</f>
        <v/>
      </c>
      <c r="J1436" s="275">
        <f>IF(ISBLANK('ENGAGEMENTS 2026'!C1436),"",IF(AND(OR($E1436="INFRUCTUEUX",$E1436="ANNULE"),$C1436="AOO-M"),'ENGAGEMENTS 2026'!P1436,IF($H1436="EN COURS DE PREENGAGEMENT",'ENGAGEMENTS 2026'!O1436,IF($H1436="PREENGAGE",IF($E1436="ATTRIBUE",'ENGAGEMENTS 2026'!AE1436,'ENGAGEMENTS 2026'!O1436),'ENGAGEMENTS 2026'!AE1436))))</f>
        <v/>
      </c>
      <c r="K1436" s="604">
        <f>IF(ISBLANK('ENGAGEMENTS 2026'!W1436),"",'ENGAGEMENTS 2026'!W1436)</f>
        <v/>
      </c>
      <c r="L1436" s="276">
        <f>IF($K1436="","",TODAY()-$K1436)</f>
        <v/>
      </c>
      <c r="M1436">
        <f>IF($A1436="","",IF($H1436="ENGAGE","Engagé",IF(AND($H1436="NON ENGAGE",OR($I1436="INFRUCTUEUX",$I1436="ANNULE")),"Clôturé sans suite","En cours")))</f>
        <v/>
      </c>
      <c r="N1436">
        <f>IF(ISBLANK('ENGAGEMENTS 2026'!C1436),"",'ENGAGEMENTS 2026'!L1436)</f>
        <v/>
      </c>
      <c r="O1436">
        <f>IF(ISBLANK('ENGAGEMENTS 2026'!C1436),"",'ENGAGEMENTS 2026'!M1436)</f>
        <v/>
      </c>
      <c r="P1436">
        <f>IF(ISBLANK('ENGAGEMENTS 2026'!C1436),"",'ENGAGEMENTS 2026'!K1436)</f>
        <v/>
      </c>
      <c r="Q1436">
        <f>IF($A1436="","",IF(OR($E1436="INFRUCTUEUX",$E1436="ANNULE"),$A1436&amp;"|"&amp;(COUNTIFS($A$2:$A1436,$A1436,$E$2:$E1436,"INFRUCTUEUX")+COUNTIFS($A$2:$A1436,$A1436,$E$2:$E1436,"ANNULE")),""))</f>
        <v/>
      </c>
    </row>
    <row r="1437">
      <c r="A1437">
        <f>IF(ISBLANK('ENGAGEMENTS 2026'!C1437),"",IF('ENGAGEMENTS 2026'!C1437="DTSI","DCT",'ENGAGEMENTS 2026'!C1437))</f>
        <v/>
      </c>
      <c r="B1437">
        <f>IF(ISBLANK('ENGAGEMENTS 2026'!C1437),"",'ENGAGEMENTS 2026'!D1437)</f>
        <v/>
      </c>
      <c r="C1437">
        <f>IF(ISBLANK('ENGAGEMENTS 2026'!C1437),"",'ENGAGEMENTS 2026'!E1437)</f>
        <v/>
      </c>
      <c r="D1437">
        <f>IF(ISBLANK('ENGAGEMENTS 2026'!C1437),"",'ENGAGEMENTS 2026'!G1437)</f>
        <v/>
      </c>
      <c r="E1437">
        <f>IF(ISBLANK('ENGAGEMENTS 2026'!C1437),"",'ENGAGEMENTS 2026'!I1437)</f>
        <v/>
      </c>
      <c r="F1437">
        <f>IF(ISBLANK('ENGAGEMENTS 2026'!C1437),"",'ENGAGEMENTS 2026'!J1437)</f>
        <v/>
      </c>
      <c r="G1437">
        <f>IF(ISBLANK('ENGAGEMENTS 2026'!C1437),"",'ENGAGEMENTS 2026'!M1437)</f>
        <v/>
      </c>
      <c r="H1437">
        <f>IF(ISBLANK('ENGAGEMENTS 2026'!C1437),"",'ENGAGEMENTS 2026'!AF1437)</f>
        <v/>
      </c>
      <c r="I1437">
        <f>IF(ISBLANK('ENGAGEMENTS 2026'!C1437),"",'ENGAGEMENTS 2026'!H1437)</f>
        <v/>
      </c>
      <c r="J1437" s="275">
        <f>IF(ISBLANK('ENGAGEMENTS 2026'!C1437),"",IF(AND(OR($E1437="INFRUCTUEUX",$E1437="ANNULE"),$C1437="AOO-M"),'ENGAGEMENTS 2026'!P1437,IF($H1437="EN COURS DE PREENGAGEMENT",'ENGAGEMENTS 2026'!O1437,IF($H1437="PREENGAGE",IF($E1437="ATTRIBUE",'ENGAGEMENTS 2026'!AE1437,'ENGAGEMENTS 2026'!O1437),'ENGAGEMENTS 2026'!AE1437))))</f>
        <v/>
      </c>
      <c r="K1437" s="604">
        <f>IF(ISBLANK('ENGAGEMENTS 2026'!W1437),"",'ENGAGEMENTS 2026'!W1437)</f>
        <v/>
      </c>
      <c r="L1437" s="276">
        <f>IF($K1437="","",TODAY()-$K1437)</f>
        <v/>
      </c>
      <c r="M1437">
        <f>IF($A1437="","",IF($H1437="ENGAGE","Engagé",IF(AND($H1437="NON ENGAGE",OR($I1437="INFRUCTUEUX",$I1437="ANNULE")),"Clôturé sans suite","En cours")))</f>
        <v/>
      </c>
      <c r="N1437">
        <f>IF(ISBLANK('ENGAGEMENTS 2026'!C1437),"",'ENGAGEMENTS 2026'!L1437)</f>
        <v/>
      </c>
      <c r="O1437">
        <f>IF(ISBLANK('ENGAGEMENTS 2026'!C1437),"",'ENGAGEMENTS 2026'!M1437)</f>
        <v/>
      </c>
      <c r="P1437">
        <f>IF(ISBLANK('ENGAGEMENTS 2026'!C1437),"",'ENGAGEMENTS 2026'!K1437)</f>
        <v/>
      </c>
      <c r="Q1437">
        <f>IF($A1437="","",IF(OR($E1437="INFRUCTUEUX",$E1437="ANNULE"),$A1437&amp;"|"&amp;(COUNTIFS($A$2:$A1437,$A1437,$E$2:$E1437,"INFRUCTUEUX")+COUNTIFS($A$2:$A1437,$A1437,$E$2:$E1437,"ANNULE")),""))</f>
        <v/>
      </c>
    </row>
    <row r="1438">
      <c r="A1438">
        <f>IF(ISBLANK('ENGAGEMENTS 2026'!C1438),"",IF('ENGAGEMENTS 2026'!C1438="DTSI","DCT",'ENGAGEMENTS 2026'!C1438))</f>
        <v/>
      </c>
      <c r="B1438">
        <f>IF(ISBLANK('ENGAGEMENTS 2026'!C1438),"",'ENGAGEMENTS 2026'!D1438)</f>
        <v/>
      </c>
      <c r="C1438">
        <f>IF(ISBLANK('ENGAGEMENTS 2026'!C1438),"",'ENGAGEMENTS 2026'!E1438)</f>
        <v/>
      </c>
      <c r="D1438">
        <f>IF(ISBLANK('ENGAGEMENTS 2026'!C1438),"",'ENGAGEMENTS 2026'!G1438)</f>
        <v/>
      </c>
      <c r="E1438">
        <f>IF(ISBLANK('ENGAGEMENTS 2026'!C1438),"",'ENGAGEMENTS 2026'!I1438)</f>
        <v/>
      </c>
      <c r="F1438">
        <f>IF(ISBLANK('ENGAGEMENTS 2026'!C1438),"",'ENGAGEMENTS 2026'!J1438)</f>
        <v/>
      </c>
      <c r="G1438">
        <f>IF(ISBLANK('ENGAGEMENTS 2026'!C1438),"",'ENGAGEMENTS 2026'!M1438)</f>
        <v/>
      </c>
      <c r="H1438">
        <f>IF(ISBLANK('ENGAGEMENTS 2026'!C1438),"",'ENGAGEMENTS 2026'!AF1438)</f>
        <v/>
      </c>
      <c r="I1438">
        <f>IF(ISBLANK('ENGAGEMENTS 2026'!C1438),"",'ENGAGEMENTS 2026'!H1438)</f>
        <v/>
      </c>
      <c r="J1438" s="275">
        <f>IF(ISBLANK('ENGAGEMENTS 2026'!C1438),"",IF(AND(OR($E1438="INFRUCTUEUX",$E1438="ANNULE"),$C1438="AOO-M"),'ENGAGEMENTS 2026'!P1438,IF($H1438="EN COURS DE PREENGAGEMENT",'ENGAGEMENTS 2026'!O1438,IF($H1438="PREENGAGE",IF($E1438="ATTRIBUE",'ENGAGEMENTS 2026'!AE1438,'ENGAGEMENTS 2026'!O1438),'ENGAGEMENTS 2026'!AE1438))))</f>
        <v/>
      </c>
      <c r="K1438" s="604">
        <f>IF(ISBLANK('ENGAGEMENTS 2026'!W1438),"",'ENGAGEMENTS 2026'!W1438)</f>
        <v/>
      </c>
      <c r="L1438" s="276">
        <f>IF($K1438="","",TODAY()-$K1438)</f>
        <v/>
      </c>
      <c r="M1438">
        <f>IF($A1438="","",IF($H1438="ENGAGE","Engagé",IF(AND($H1438="NON ENGAGE",OR($I1438="INFRUCTUEUX",$I1438="ANNULE")),"Clôturé sans suite","En cours")))</f>
        <v/>
      </c>
      <c r="N1438">
        <f>IF(ISBLANK('ENGAGEMENTS 2026'!C1438),"",'ENGAGEMENTS 2026'!L1438)</f>
        <v/>
      </c>
      <c r="O1438">
        <f>IF(ISBLANK('ENGAGEMENTS 2026'!C1438),"",'ENGAGEMENTS 2026'!M1438)</f>
        <v/>
      </c>
      <c r="P1438">
        <f>IF(ISBLANK('ENGAGEMENTS 2026'!C1438),"",'ENGAGEMENTS 2026'!K1438)</f>
        <v/>
      </c>
      <c r="Q1438">
        <f>IF($A1438="","",IF(OR($E1438="INFRUCTUEUX",$E1438="ANNULE"),$A1438&amp;"|"&amp;(COUNTIFS($A$2:$A1438,$A1438,$E$2:$E1438,"INFRUCTUEUX")+COUNTIFS($A$2:$A1438,$A1438,$E$2:$E1438,"ANNULE")),""))</f>
        <v/>
      </c>
    </row>
    <row r="1439">
      <c r="A1439">
        <f>IF(ISBLANK('ENGAGEMENTS 2026'!C1439),"",IF('ENGAGEMENTS 2026'!C1439="DTSI","DCT",'ENGAGEMENTS 2026'!C1439))</f>
        <v/>
      </c>
      <c r="B1439">
        <f>IF(ISBLANK('ENGAGEMENTS 2026'!C1439),"",'ENGAGEMENTS 2026'!D1439)</f>
        <v/>
      </c>
      <c r="C1439">
        <f>IF(ISBLANK('ENGAGEMENTS 2026'!C1439),"",'ENGAGEMENTS 2026'!E1439)</f>
        <v/>
      </c>
      <c r="D1439">
        <f>IF(ISBLANK('ENGAGEMENTS 2026'!C1439),"",'ENGAGEMENTS 2026'!G1439)</f>
        <v/>
      </c>
      <c r="E1439">
        <f>IF(ISBLANK('ENGAGEMENTS 2026'!C1439),"",'ENGAGEMENTS 2026'!I1439)</f>
        <v/>
      </c>
      <c r="F1439">
        <f>IF(ISBLANK('ENGAGEMENTS 2026'!C1439),"",'ENGAGEMENTS 2026'!J1439)</f>
        <v/>
      </c>
      <c r="G1439">
        <f>IF(ISBLANK('ENGAGEMENTS 2026'!C1439),"",'ENGAGEMENTS 2026'!M1439)</f>
        <v/>
      </c>
      <c r="H1439">
        <f>IF(ISBLANK('ENGAGEMENTS 2026'!C1439),"",'ENGAGEMENTS 2026'!AF1439)</f>
        <v/>
      </c>
      <c r="I1439">
        <f>IF(ISBLANK('ENGAGEMENTS 2026'!C1439),"",'ENGAGEMENTS 2026'!H1439)</f>
        <v/>
      </c>
      <c r="J1439" s="275">
        <f>IF(ISBLANK('ENGAGEMENTS 2026'!C1439),"",IF(AND(OR($E1439="INFRUCTUEUX",$E1439="ANNULE"),$C1439="AOO-M"),'ENGAGEMENTS 2026'!P1439,IF($H1439="EN COURS DE PREENGAGEMENT",'ENGAGEMENTS 2026'!O1439,IF($H1439="PREENGAGE",IF($E1439="ATTRIBUE",'ENGAGEMENTS 2026'!AE1439,'ENGAGEMENTS 2026'!O1439),'ENGAGEMENTS 2026'!AE1439))))</f>
        <v/>
      </c>
      <c r="K1439" s="604">
        <f>IF(ISBLANK('ENGAGEMENTS 2026'!W1439),"",'ENGAGEMENTS 2026'!W1439)</f>
        <v/>
      </c>
      <c r="L1439" s="276">
        <f>IF($K1439="","",TODAY()-$K1439)</f>
        <v/>
      </c>
      <c r="M1439">
        <f>IF($A1439="","",IF($H1439="ENGAGE","Engagé",IF(AND($H1439="NON ENGAGE",OR($I1439="INFRUCTUEUX",$I1439="ANNULE")),"Clôturé sans suite","En cours")))</f>
        <v/>
      </c>
      <c r="N1439">
        <f>IF(ISBLANK('ENGAGEMENTS 2026'!C1439),"",'ENGAGEMENTS 2026'!L1439)</f>
        <v/>
      </c>
      <c r="O1439">
        <f>IF(ISBLANK('ENGAGEMENTS 2026'!C1439),"",'ENGAGEMENTS 2026'!M1439)</f>
        <v/>
      </c>
      <c r="P1439">
        <f>IF(ISBLANK('ENGAGEMENTS 2026'!C1439),"",'ENGAGEMENTS 2026'!K1439)</f>
        <v/>
      </c>
      <c r="Q1439">
        <f>IF($A1439="","",IF(OR($E1439="INFRUCTUEUX",$E1439="ANNULE"),$A1439&amp;"|"&amp;(COUNTIFS($A$2:$A1439,$A1439,$E$2:$E1439,"INFRUCTUEUX")+COUNTIFS($A$2:$A1439,$A1439,$E$2:$E1439,"ANNULE")),""))</f>
        <v/>
      </c>
    </row>
    <row r="1440">
      <c r="A1440">
        <f>IF(ISBLANK('ENGAGEMENTS 2026'!C1440),"",IF('ENGAGEMENTS 2026'!C1440="DTSI","DCT",'ENGAGEMENTS 2026'!C1440))</f>
        <v/>
      </c>
      <c r="B1440">
        <f>IF(ISBLANK('ENGAGEMENTS 2026'!C1440),"",'ENGAGEMENTS 2026'!D1440)</f>
        <v/>
      </c>
      <c r="C1440">
        <f>IF(ISBLANK('ENGAGEMENTS 2026'!C1440),"",'ENGAGEMENTS 2026'!E1440)</f>
        <v/>
      </c>
      <c r="D1440">
        <f>IF(ISBLANK('ENGAGEMENTS 2026'!C1440),"",'ENGAGEMENTS 2026'!G1440)</f>
        <v/>
      </c>
      <c r="E1440">
        <f>IF(ISBLANK('ENGAGEMENTS 2026'!C1440),"",'ENGAGEMENTS 2026'!I1440)</f>
        <v/>
      </c>
      <c r="F1440">
        <f>IF(ISBLANK('ENGAGEMENTS 2026'!C1440),"",'ENGAGEMENTS 2026'!J1440)</f>
        <v/>
      </c>
      <c r="G1440">
        <f>IF(ISBLANK('ENGAGEMENTS 2026'!C1440),"",'ENGAGEMENTS 2026'!M1440)</f>
        <v/>
      </c>
      <c r="H1440">
        <f>IF(ISBLANK('ENGAGEMENTS 2026'!C1440),"",'ENGAGEMENTS 2026'!AF1440)</f>
        <v/>
      </c>
      <c r="I1440">
        <f>IF(ISBLANK('ENGAGEMENTS 2026'!C1440),"",'ENGAGEMENTS 2026'!H1440)</f>
        <v/>
      </c>
      <c r="J1440" s="275">
        <f>IF(ISBLANK('ENGAGEMENTS 2026'!C1440),"",IF(AND(OR($E1440="INFRUCTUEUX",$E1440="ANNULE"),$C1440="AOO-M"),'ENGAGEMENTS 2026'!P1440,IF($H1440="EN COURS DE PREENGAGEMENT",'ENGAGEMENTS 2026'!O1440,IF($H1440="PREENGAGE",IF($E1440="ATTRIBUE",'ENGAGEMENTS 2026'!AE1440,'ENGAGEMENTS 2026'!O1440),'ENGAGEMENTS 2026'!AE1440))))</f>
        <v/>
      </c>
      <c r="K1440" s="604">
        <f>IF(ISBLANK('ENGAGEMENTS 2026'!W1440),"",'ENGAGEMENTS 2026'!W1440)</f>
        <v/>
      </c>
      <c r="L1440" s="276">
        <f>IF($K1440="","",TODAY()-$K1440)</f>
        <v/>
      </c>
      <c r="M1440">
        <f>IF($A1440="","",IF($H1440="ENGAGE","Engagé",IF(AND($H1440="NON ENGAGE",OR($I1440="INFRUCTUEUX",$I1440="ANNULE")),"Clôturé sans suite","En cours")))</f>
        <v/>
      </c>
      <c r="N1440">
        <f>IF(ISBLANK('ENGAGEMENTS 2026'!C1440),"",'ENGAGEMENTS 2026'!L1440)</f>
        <v/>
      </c>
      <c r="O1440">
        <f>IF(ISBLANK('ENGAGEMENTS 2026'!C1440),"",'ENGAGEMENTS 2026'!M1440)</f>
        <v/>
      </c>
      <c r="P1440">
        <f>IF(ISBLANK('ENGAGEMENTS 2026'!C1440),"",'ENGAGEMENTS 2026'!K1440)</f>
        <v/>
      </c>
      <c r="Q1440">
        <f>IF($A1440="","",IF(OR($E1440="INFRUCTUEUX",$E1440="ANNULE"),$A1440&amp;"|"&amp;(COUNTIFS($A$2:$A1440,$A1440,$E$2:$E1440,"INFRUCTUEUX")+COUNTIFS($A$2:$A1440,$A1440,$E$2:$E1440,"ANNULE")),""))</f>
        <v/>
      </c>
    </row>
    <row r="1441">
      <c r="A1441">
        <f>IF(ISBLANK('ENGAGEMENTS 2026'!C1441),"",IF('ENGAGEMENTS 2026'!C1441="DTSI","DCT",'ENGAGEMENTS 2026'!C1441))</f>
        <v/>
      </c>
      <c r="B1441">
        <f>IF(ISBLANK('ENGAGEMENTS 2026'!C1441),"",'ENGAGEMENTS 2026'!D1441)</f>
        <v/>
      </c>
      <c r="C1441">
        <f>IF(ISBLANK('ENGAGEMENTS 2026'!C1441),"",'ENGAGEMENTS 2026'!E1441)</f>
        <v/>
      </c>
      <c r="D1441">
        <f>IF(ISBLANK('ENGAGEMENTS 2026'!C1441),"",'ENGAGEMENTS 2026'!G1441)</f>
        <v/>
      </c>
      <c r="E1441">
        <f>IF(ISBLANK('ENGAGEMENTS 2026'!C1441),"",'ENGAGEMENTS 2026'!I1441)</f>
        <v/>
      </c>
      <c r="F1441">
        <f>IF(ISBLANK('ENGAGEMENTS 2026'!C1441),"",'ENGAGEMENTS 2026'!J1441)</f>
        <v/>
      </c>
      <c r="G1441">
        <f>IF(ISBLANK('ENGAGEMENTS 2026'!C1441),"",'ENGAGEMENTS 2026'!M1441)</f>
        <v/>
      </c>
      <c r="H1441">
        <f>IF(ISBLANK('ENGAGEMENTS 2026'!C1441),"",'ENGAGEMENTS 2026'!AF1441)</f>
        <v/>
      </c>
      <c r="I1441">
        <f>IF(ISBLANK('ENGAGEMENTS 2026'!C1441),"",'ENGAGEMENTS 2026'!H1441)</f>
        <v/>
      </c>
      <c r="J1441" s="275">
        <f>IF(ISBLANK('ENGAGEMENTS 2026'!C1441),"",IF(AND(OR($E1441="INFRUCTUEUX",$E1441="ANNULE"),$C1441="AOO-M"),'ENGAGEMENTS 2026'!P1441,IF($H1441="EN COURS DE PREENGAGEMENT",'ENGAGEMENTS 2026'!O1441,IF($H1441="PREENGAGE",IF($E1441="ATTRIBUE",'ENGAGEMENTS 2026'!AE1441,'ENGAGEMENTS 2026'!O1441),'ENGAGEMENTS 2026'!AE1441))))</f>
        <v/>
      </c>
      <c r="K1441" s="604">
        <f>IF(ISBLANK('ENGAGEMENTS 2026'!W1441),"",'ENGAGEMENTS 2026'!W1441)</f>
        <v/>
      </c>
      <c r="L1441" s="276">
        <f>IF($K1441="","",TODAY()-$K1441)</f>
        <v/>
      </c>
      <c r="M1441">
        <f>IF($A1441="","",IF($H1441="ENGAGE","Engagé",IF(AND($H1441="NON ENGAGE",OR($I1441="INFRUCTUEUX",$I1441="ANNULE")),"Clôturé sans suite","En cours")))</f>
        <v/>
      </c>
      <c r="N1441">
        <f>IF(ISBLANK('ENGAGEMENTS 2026'!C1441),"",'ENGAGEMENTS 2026'!L1441)</f>
        <v/>
      </c>
      <c r="O1441">
        <f>IF(ISBLANK('ENGAGEMENTS 2026'!C1441),"",'ENGAGEMENTS 2026'!M1441)</f>
        <v/>
      </c>
      <c r="P1441">
        <f>IF(ISBLANK('ENGAGEMENTS 2026'!C1441),"",'ENGAGEMENTS 2026'!K1441)</f>
        <v/>
      </c>
      <c r="Q1441">
        <f>IF($A1441="","",IF(OR($E1441="INFRUCTUEUX",$E1441="ANNULE"),$A1441&amp;"|"&amp;(COUNTIFS($A$2:$A1441,$A1441,$E$2:$E1441,"INFRUCTUEUX")+COUNTIFS($A$2:$A1441,$A1441,$E$2:$E1441,"ANNULE")),""))</f>
        <v/>
      </c>
    </row>
    <row r="1442">
      <c r="A1442">
        <f>IF(ISBLANK('ENGAGEMENTS 2026'!C1442),"",IF('ENGAGEMENTS 2026'!C1442="DTSI","DCT",'ENGAGEMENTS 2026'!C1442))</f>
        <v/>
      </c>
      <c r="B1442">
        <f>IF(ISBLANK('ENGAGEMENTS 2026'!C1442),"",'ENGAGEMENTS 2026'!D1442)</f>
        <v/>
      </c>
      <c r="C1442">
        <f>IF(ISBLANK('ENGAGEMENTS 2026'!C1442),"",'ENGAGEMENTS 2026'!E1442)</f>
        <v/>
      </c>
      <c r="D1442">
        <f>IF(ISBLANK('ENGAGEMENTS 2026'!C1442),"",'ENGAGEMENTS 2026'!G1442)</f>
        <v/>
      </c>
      <c r="E1442">
        <f>IF(ISBLANK('ENGAGEMENTS 2026'!C1442),"",'ENGAGEMENTS 2026'!I1442)</f>
        <v/>
      </c>
      <c r="F1442">
        <f>IF(ISBLANK('ENGAGEMENTS 2026'!C1442),"",'ENGAGEMENTS 2026'!J1442)</f>
        <v/>
      </c>
      <c r="G1442">
        <f>IF(ISBLANK('ENGAGEMENTS 2026'!C1442),"",'ENGAGEMENTS 2026'!M1442)</f>
        <v/>
      </c>
      <c r="H1442">
        <f>IF(ISBLANK('ENGAGEMENTS 2026'!C1442),"",'ENGAGEMENTS 2026'!AF1442)</f>
        <v/>
      </c>
      <c r="I1442">
        <f>IF(ISBLANK('ENGAGEMENTS 2026'!C1442),"",'ENGAGEMENTS 2026'!H1442)</f>
        <v/>
      </c>
      <c r="J1442" s="275">
        <f>IF(ISBLANK('ENGAGEMENTS 2026'!C1442),"",IF(AND(OR($E1442="INFRUCTUEUX",$E1442="ANNULE"),$C1442="AOO-M"),'ENGAGEMENTS 2026'!P1442,IF($H1442="EN COURS DE PREENGAGEMENT",'ENGAGEMENTS 2026'!O1442,IF($H1442="PREENGAGE",IF($E1442="ATTRIBUE",'ENGAGEMENTS 2026'!AE1442,'ENGAGEMENTS 2026'!O1442),'ENGAGEMENTS 2026'!AE1442))))</f>
        <v/>
      </c>
      <c r="K1442" s="604">
        <f>IF(ISBLANK('ENGAGEMENTS 2026'!W1442),"",'ENGAGEMENTS 2026'!W1442)</f>
        <v/>
      </c>
      <c r="L1442" s="276">
        <f>IF($K1442="","",TODAY()-$K1442)</f>
        <v/>
      </c>
      <c r="M1442">
        <f>IF($A1442="","",IF($H1442="ENGAGE","Engagé",IF(AND($H1442="NON ENGAGE",OR($I1442="INFRUCTUEUX",$I1442="ANNULE")),"Clôturé sans suite","En cours")))</f>
        <v/>
      </c>
      <c r="N1442">
        <f>IF(ISBLANK('ENGAGEMENTS 2026'!C1442),"",'ENGAGEMENTS 2026'!L1442)</f>
        <v/>
      </c>
      <c r="O1442">
        <f>IF(ISBLANK('ENGAGEMENTS 2026'!C1442),"",'ENGAGEMENTS 2026'!M1442)</f>
        <v/>
      </c>
      <c r="P1442">
        <f>IF(ISBLANK('ENGAGEMENTS 2026'!C1442),"",'ENGAGEMENTS 2026'!K1442)</f>
        <v/>
      </c>
      <c r="Q1442">
        <f>IF($A1442="","",IF(OR($E1442="INFRUCTUEUX",$E1442="ANNULE"),$A1442&amp;"|"&amp;(COUNTIFS($A$2:$A1442,$A1442,$E$2:$E1442,"INFRUCTUEUX")+COUNTIFS($A$2:$A1442,$A1442,$E$2:$E1442,"ANNULE")),""))</f>
        <v/>
      </c>
    </row>
    <row r="1443">
      <c r="A1443">
        <f>IF(ISBLANK('ENGAGEMENTS 2026'!C1443),"",IF('ENGAGEMENTS 2026'!C1443="DTSI","DCT",'ENGAGEMENTS 2026'!C1443))</f>
        <v/>
      </c>
      <c r="B1443">
        <f>IF(ISBLANK('ENGAGEMENTS 2026'!C1443),"",'ENGAGEMENTS 2026'!D1443)</f>
        <v/>
      </c>
      <c r="C1443">
        <f>IF(ISBLANK('ENGAGEMENTS 2026'!C1443),"",'ENGAGEMENTS 2026'!E1443)</f>
        <v/>
      </c>
      <c r="D1443">
        <f>IF(ISBLANK('ENGAGEMENTS 2026'!C1443),"",'ENGAGEMENTS 2026'!G1443)</f>
        <v/>
      </c>
      <c r="E1443">
        <f>IF(ISBLANK('ENGAGEMENTS 2026'!C1443),"",'ENGAGEMENTS 2026'!I1443)</f>
        <v/>
      </c>
      <c r="F1443">
        <f>IF(ISBLANK('ENGAGEMENTS 2026'!C1443),"",'ENGAGEMENTS 2026'!J1443)</f>
        <v/>
      </c>
      <c r="G1443">
        <f>IF(ISBLANK('ENGAGEMENTS 2026'!C1443),"",'ENGAGEMENTS 2026'!M1443)</f>
        <v/>
      </c>
      <c r="H1443">
        <f>IF(ISBLANK('ENGAGEMENTS 2026'!C1443),"",'ENGAGEMENTS 2026'!AF1443)</f>
        <v/>
      </c>
      <c r="I1443">
        <f>IF(ISBLANK('ENGAGEMENTS 2026'!C1443),"",'ENGAGEMENTS 2026'!H1443)</f>
        <v/>
      </c>
      <c r="J1443" s="275">
        <f>IF(ISBLANK('ENGAGEMENTS 2026'!C1443),"",IF(AND(OR($E1443="INFRUCTUEUX",$E1443="ANNULE"),$C1443="AOO-M"),'ENGAGEMENTS 2026'!P1443,IF($H1443="EN COURS DE PREENGAGEMENT",'ENGAGEMENTS 2026'!O1443,IF($H1443="PREENGAGE",IF($E1443="ATTRIBUE",'ENGAGEMENTS 2026'!AE1443,'ENGAGEMENTS 2026'!O1443),'ENGAGEMENTS 2026'!AE1443))))</f>
        <v/>
      </c>
      <c r="K1443" s="604">
        <f>IF(ISBLANK('ENGAGEMENTS 2026'!W1443),"",'ENGAGEMENTS 2026'!W1443)</f>
        <v/>
      </c>
      <c r="L1443" s="276">
        <f>IF($K1443="","",TODAY()-$K1443)</f>
        <v/>
      </c>
      <c r="M1443">
        <f>IF($A1443="","",IF($H1443="ENGAGE","Engagé",IF(AND($H1443="NON ENGAGE",OR($I1443="INFRUCTUEUX",$I1443="ANNULE")),"Clôturé sans suite","En cours")))</f>
        <v/>
      </c>
      <c r="N1443">
        <f>IF(ISBLANK('ENGAGEMENTS 2026'!C1443),"",'ENGAGEMENTS 2026'!L1443)</f>
        <v/>
      </c>
      <c r="O1443">
        <f>IF(ISBLANK('ENGAGEMENTS 2026'!C1443),"",'ENGAGEMENTS 2026'!M1443)</f>
        <v/>
      </c>
      <c r="P1443">
        <f>IF(ISBLANK('ENGAGEMENTS 2026'!C1443),"",'ENGAGEMENTS 2026'!K1443)</f>
        <v/>
      </c>
      <c r="Q1443">
        <f>IF($A1443="","",IF(OR($E1443="INFRUCTUEUX",$E1443="ANNULE"),$A1443&amp;"|"&amp;(COUNTIFS($A$2:$A1443,$A1443,$E$2:$E1443,"INFRUCTUEUX")+COUNTIFS($A$2:$A1443,$A1443,$E$2:$E1443,"ANNULE")),""))</f>
        <v/>
      </c>
    </row>
    <row r="1444">
      <c r="A1444">
        <f>IF(ISBLANK('ENGAGEMENTS 2026'!C1444),"",IF('ENGAGEMENTS 2026'!C1444="DTSI","DCT",'ENGAGEMENTS 2026'!C1444))</f>
        <v/>
      </c>
      <c r="B1444">
        <f>IF(ISBLANK('ENGAGEMENTS 2026'!C1444),"",'ENGAGEMENTS 2026'!D1444)</f>
        <v/>
      </c>
      <c r="C1444">
        <f>IF(ISBLANK('ENGAGEMENTS 2026'!C1444),"",'ENGAGEMENTS 2026'!E1444)</f>
        <v/>
      </c>
      <c r="D1444">
        <f>IF(ISBLANK('ENGAGEMENTS 2026'!C1444),"",'ENGAGEMENTS 2026'!G1444)</f>
        <v/>
      </c>
      <c r="E1444">
        <f>IF(ISBLANK('ENGAGEMENTS 2026'!C1444),"",'ENGAGEMENTS 2026'!I1444)</f>
        <v/>
      </c>
      <c r="F1444">
        <f>IF(ISBLANK('ENGAGEMENTS 2026'!C1444),"",'ENGAGEMENTS 2026'!J1444)</f>
        <v/>
      </c>
      <c r="G1444">
        <f>IF(ISBLANK('ENGAGEMENTS 2026'!C1444),"",'ENGAGEMENTS 2026'!M1444)</f>
        <v/>
      </c>
      <c r="H1444">
        <f>IF(ISBLANK('ENGAGEMENTS 2026'!C1444),"",'ENGAGEMENTS 2026'!AF1444)</f>
        <v/>
      </c>
      <c r="I1444">
        <f>IF(ISBLANK('ENGAGEMENTS 2026'!C1444),"",'ENGAGEMENTS 2026'!H1444)</f>
        <v/>
      </c>
      <c r="J1444" s="275">
        <f>IF(ISBLANK('ENGAGEMENTS 2026'!C1444),"",IF(AND(OR($E1444="INFRUCTUEUX",$E1444="ANNULE"),$C1444="AOO-M"),'ENGAGEMENTS 2026'!P1444,IF($H1444="EN COURS DE PREENGAGEMENT",'ENGAGEMENTS 2026'!O1444,IF($H1444="PREENGAGE",IF($E1444="ATTRIBUE",'ENGAGEMENTS 2026'!AE1444,'ENGAGEMENTS 2026'!O1444),'ENGAGEMENTS 2026'!AE1444))))</f>
        <v/>
      </c>
      <c r="K1444" s="604">
        <f>IF(ISBLANK('ENGAGEMENTS 2026'!W1444),"",'ENGAGEMENTS 2026'!W1444)</f>
        <v/>
      </c>
      <c r="L1444" s="276">
        <f>IF($K1444="","",TODAY()-$K1444)</f>
        <v/>
      </c>
      <c r="M1444">
        <f>IF($A1444="","",IF($H1444="ENGAGE","Engagé",IF(AND($H1444="NON ENGAGE",OR($I1444="INFRUCTUEUX",$I1444="ANNULE")),"Clôturé sans suite","En cours")))</f>
        <v/>
      </c>
      <c r="N1444">
        <f>IF(ISBLANK('ENGAGEMENTS 2026'!C1444),"",'ENGAGEMENTS 2026'!L1444)</f>
        <v/>
      </c>
      <c r="O1444">
        <f>IF(ISBLANK('ENGAGEMENTS 2026'!C1444),"",'ENGAGEMENTS 2026'!M1444)</f>
        <v/>
      </c>
      <c r="P1444">
        <f>IF(ISBLANK('ENGAGEMENTS 2026'!C1444),"",'ENGAGEMENTS 2026'!K1444)</f>
        <v/>
      </c>
      <c r="Q1444">
        <f>IF($A1444="","",IF(OR($E1444="INFRUCTUEUX",$E1444="ANNULE"),$A1444&amp;"|"&amp;(COUNTIFS($A$2:$A1444,$A1444,$E$2:$E1444,"INFRUCTUEUX")+COUNTIFS($A$2:$A1444,$A1444,$E$2:$E1444,"ANNULE")),""))</f>
        <v/>
      </c>
    </row>
    <row r="1445">
      <c r="A1445">
        <f>IF(ISBLANK('ENGAGEMENTS 2026'!C1445),"",IF('ENGAGEMENTS 2026'!C1445="DTSI","DCT",'ENGAGEMENTS 2026'!C1445))</f>
        <v/>
      </c>
      <c r="B1445">
        <f>IF(ISBLANK('ENGAGEMENTS 2026'!C1445),"",'ENGAGEMENTS 2026'!D1445)</f>
        <v/>
      </c>
      <c r="C1445">
        <f>IF(ISBLANK('ENGAGEMENTS 2026'!C1445),"",'ENGAGEMENTS 2026'!E1445)</f>
        <v/>
      </c>
      <c r="D1445">
        <f>IF(ISBLANK('ENGAGEMENTS 2026'!C1445),"",'ENGAGEMENTS 2026'!G1445)</f>
        <v/>
      </c>
      <c r="E1445">
        <f>IF(ISBLANK('ENGAGEMENTS 2026'!C1445),"",'ENGAGEMENTS 2026'!I1445)</f>
        <v/>
      </c>
      <c r="F1445">
        <f>IF(ISBLANK('ENGAGEMENTS 2026'!C1445),"",'ENGAGEMENTS 2026'!J1445)</f>
        <v/>
      </c>
      <c r="G1445">
        <f>IF(ISBLANK('ENGAGEMENTS 2026'!C1445),"",'ENGAGEMENTS 2026'!M1445)</f>
        <v/>
      </c>
      <c r="H1445">
        <f>IF(ISBLANK('ENGAGEMENTS 2026'!C1445),"",'ENGAGEMENTS 2026'!AF1445)</f>
        <v/>
      </c>
      <c r="I1445">
        <f>IF(ISBLANK('ENGAGEMENTS 2026'!C1445),"",'ENGAGEMENTS 2026'!H1445)</f>
        <v/>
      </c>
      <c r="J1445" s="275">
        <f>IF(ISBLANK('ENGAGEMENTS 2026'!C1445),"",IF(AND(OR($E1445="INFRUCTUEUX",$E1445="ANNULE"),$C1445="AOO-M"),'ENGAGEMENTS 2026'!P1445,IF($H1445="EN COURS DE PREENGAGEMENT",'ENGAGEMENTS 2026'!O1445,IF($H1445="PREENGAGE",IF($E1445="ATTRIBUE",'ENGAGEMENTS 2026'!AE1445,'ENGAGEMENTS 2026'!O1445),'ENGAGEMENTS 2026'!AE1445))))</f>
        <v/>
      </c>
      <c r="K1445" s="604">
        <f>IF(ISBLANK('ENGAGEMENTS 2026'!W1445),"",'ENGAGEMENTS 2026'!W1445)</f>
        <v/>
      </c>
      <c r="L1445" s="276">
        <f>IF($K1445="","",TODAY()-$K1445)</f>
        <v/>
      </c>
      <c r="M1445">
        <f>IF($A1445="","",IF($H1445="ENGAGE","Engagé",IF(AND($H1445="NON ENGAGE",OR($I1445="INFRUCTUEUX",$I1445="ANNULE")),"Clôturé sans suite","En cours")))</f>
        <v/>
      </c>
      <c r="N1445">
        <f>IF(ISBLANK('ENGAGEMENTS 2026'!C1445),"",'ENGAGEMENTS 2026'!L1445)</f>
        <v/>
      </c>
      <c r="O1445">
        <f>IF(ISBLANK('ENGAGEMENTS 2026'!C1445),"",'ENGAGEMENTS 2026'!M1445)</f>
        <v/>
      </c>
      <c r="P1445">
        <f>IF(ISBLANK('ENGAGEMENTS 2026'!C1445),"",'ENGAGEMENTS 2026'!K1445)</f>
        <v/>
      </c>
      <c r="Q1445">
        <f>IF($A1445="","",IF(OR($E1445="INFRUCTUEUX",$E1445="ANNULE"),$A1445&amp;"|"&amp;(COUNTIFS($A$2:$A1445,$A1445,$E$2:$E1445,"INFRUCTUEUX")+COUNTIFS($A$2:$A1445,$A1445,$E$2:$E1445,"ANNULE")),""))</f>
        <v/>
      </c>
    </row>
    <row r="1446">
      <c r="A1446">
        <f>IF(ISBLANK('ENGAGEMENTS 2026'!C1446),"",IF('ENGAGEMENTS 2026'!C1446="DTSI","DCT",'ENGAGEMENTS 2026'!C1446))</f>
        <v/>
      </c>
      <c r="B1446">
        <f>IF(ISBLANK('ENGAGEMENTS 2026'!C1446),"",'ENGAGEMENTS 2026'!D1446)</f>
        <v/>
      </c>
      <c r="C1446">
        <f>IF(ISBLANK('ENGAGEMENTS 2026'!C1446),"",'ENGAGEMENTS 2026'!E1446)</f>
        <v/>
      </c>
      <c r="D1446">
        <f>IF(ISBLANK('ENGAGEMENTS 2026'!C1446),"",'ENGAGEMENTS 2026'!G1446)</f>
        <v/>
      </c>
      <c r="E1446">
        <f>IF(ISBLANK('ENGAGEMENTS 2026'!C1446),"",'ENGAGEMENTS 2026'!I1446)</f>
        <v/>
      </c>
      <c r="F1446">
        <f>IF(ISBLANK('ENGAGEMENTS 2026'!C1446),"",'ENGAGEMENTS 2026'!J1446)</f>
        <v/>
      </c>
      <c r="G1446">
        <f>IF(ISBLANK('ENGAGEMENTS 2026'!C1446),"",'ENGAGEMENTS 2026'!M1446)</f>
        <v/>
      </c>
      <c r="H1446">
        <f>IF(ISBLANK('ENGAGEMENTS 2026'!C1446),"",'ENGAGEMENTS 2026'!AF1446)</f>
        <v/>
      </c>
      <c r="I1446">
        <f>IF(ISBLANK('ENGAGEMENTS 2026'!C1446),"",'ENGAGEMENTS 2026'!H1446)</f>
        <v/>
      </c>
      <c r="J1446" s="275">
        <f>IF(ISBLANK('ENGAGEMENTS 2026'!C1446),"",IF(AND(OR($E1446="INFRUCTUEUX",$E1446="ANNULE"),$C1446="AOO-M"),'ENGAGEMENTS 2026'!P1446,IF($H1446="EN COURS DE PREENGAGEMENT",'ENGAGEMENTS 2026'!O1446,IF($H1446="PREENGAGE",IF($E1446="ATTRIBUE",'ENGAGEMENTS 2026'!AE1446,'ENGAGEMENTS 2026'!O1446),'ENGAGEMENTS 2026'!AE1446))))</f>
        <v/>
      </c>
      <c r="K1446" s="604">
        <f>IF(ISBLANK('ENGAGEMENTS 2026'!W1446),"",'ENGAGEMENTS 2026'!W1446)</f>
        <v/>
      </c>
      <c r="L1446" s="276">
        <f>IF($K1446="","",TODAY()-$K1446)</f>
        <v/>
      </c>
      <c r="M1446">
        <f>IF($A1446="","",IF($H1446="ENGAGE","Engagé",IF(AND($H1446="NON ENGAGE",OR($I1446="INFRUCTUEUX",$I1446="ANNULE")),"Clôturé sans suite","En cours")))</f>
        <v/>
      </c>
      <c r="N1446">
        <f>IF(ISBLANK('ENGAGEMENTS 2026'!C1446),"",'ENGAGEMENTS 2026'!L1446)</f>
        <v/>
      </c>
      <c r="O1446">
        <f>IF(ISBLANK('ENGAGEMENTS 2026'!C1446),"",'ENGAGEMENTS 2026'!M1446)</f>
        <v/>
      </c>
      <c r="P1446">
        <f>IF(ISBLANK('ENGAGEMENTS 2026'!C1446),"",'ENGAGEMENTS 2026'!K1446)</f>
        <v/>
      </c>
      <c r="Q1446">
        <f>IF($A1446="","",IF(OR($E1446="INFRUCTUEUX",$E1446="ANNULE"),$A1446&amp;"|"&amp;(COUNTIFS($A$2:$A1446,$A1446,$E$2:$E1446,"INFRUCTUEUX")+COUNTIFS($A$2:$A1446,$A1446,$E$2:$E1446,"ANNULE")),""))</f>
        <v/>
      </c>
    </row>
    <row r="1447">
      <c r="A1447">
        <f>IF(ISBLANK('ENGAGEMENTS 2026'!C1447),"",IF('ENGAGEMENTS 2026'!C1447="DTSI","DCT",'ENGAGEMENTS 2026'!C1447))</f>
        <v/>
      </c>
      <c r="B1447">
        <f>IF(ISBLANK('ENGAGEMENTS 2026'!C1447),"",'ENGAGEMENTS 2026'!D1447)</f>
        <v/>
      </c>
      <c r="C1447">
        <f>IF(ISBLANK('ENGAGEMENTS 2026'!C1447),"",'ENGAGEMENTS 2026'!E1447)</f>
        <v/>
      </c>
      <c r="D1447">
        <f>IF(ISBLANK('ENGAGEMENTS 2026'!C1447),"",'ENGAGEMENTS 2026'!G1447)</f>
        <v/>
      </c>
      <c r="E1447">
        <f>IF(ISBLANK('ENGAGEMENTS 2026'!C1447),"",'ENGAGEMENTS 2026'!I1447)</f>
        <v/>
      </c>
      <c r="F1447">
        <f>IF(ISBLANK('ENGAGEMENTS 2026'!C1447),"",'ENGAGEMENTS 2026'!J1447)</f>
        <v/>
      </c>
      <c r="G1447">
        <f>IF(ISBLANK('ENGAGEMENTS 2026'!C1447),"",'ENGAGEMENTS 2026'!M1447)</f>
        <v/>
      </c>
      <c r="H1447">
        <f>IF(ISBLANK('ENGAGEMENTS 2026'!C1447),"",'ENGAGEMENTS 2026'!AF1447)</f>
        <v/>
      </c>
      <c r="I1447">
        <f>IF(ISBLANK('ENGAGEMENTS 2026'!C1447),"",'ENGAGEMENTS 2026'!H1447)</f>
        <v/>
      </c>
      <c r="J1447" s="275">
        <f>IF(ISBLANK('ENGAGEMENTS 2026'!C1447),"",IF(AND(OR($E1447="INFRUCTUEUX",$E1447="ANNULE"),$C1447="AOO-M"),'ENGAGEMENTS 2026'!P1447,IF($H1447="EN COURS DE PREENGAGEMENT",'ENGAGEMENTS 2026'!O1447,IF($H1447="PREENGAGE",IF($E1447="ATTRIBUE",'ENGAGEMENTS 2026'!AE1447,'ENGAGEMENTS 2026'!O1447),'ENGAGEMENTS 2026'!AE1447))))</f>
        <v/>
      </c>
      <c r="K1447" s="604">
        <f>IF(ISBLANK('ENGAGEMENTS 2026'!W1447),"",'ENGAGEMENTS 2026'!W1447)</f>
        <v/>
      </c>
      <c r="L1447" s="276">
        <f>IF($K1447="","",TODAY()-$K1447)</f>
        <v/>
      </c>
      <c r="M1447">
        <f>IF($A1447="","",IF($H1447="ENGAGE","Engagé",IF(AND($H1447="NON ENGAGE",OR($I1447="INFRUCTUEUX",$I1447="ANNULE")),"Clôturé sans suite","En cours")))</f>
        <v/>
      </c>
      <c r="N1447">
        <f>IF(ISBLANK('ENGAGEMENTS 2026'!C1447),"",'ENGAGEMENTS 2026'!L1447)</f>
        <v/>
      </c>
      <c r="O1447">
        <f>IF(ISBLANK('ENGAGEMENTS 2026'!C1447),"",'ENGAGEMENTS 2026'!M1447)</f>
        <v/>
      </c>
      <c r="P1447">
        <f>IF(ISBLANK('ENGAGEMENTS 2026'!C1447),"",'ENGAGEMENTS 2026'!K1447)</f>
        <v/>
      </c>
      <c r="Q1447">
        <f>IF($A1447="","",IF(OR($E1447="INFRUCTUEUX",$E1447="ANNULE"),$A1447&amp;"|"&amp;(COUNTIFS($A$2:$A1447,$A1447,$E$2:$E1447,"INFRUCTUEUX")+COUNTIFS($A$2:$A1447,$A1447,$E$2:$E1447,"ANNULE")),""))</f>
        <v/>
      </c>
    </row>
    <row r="1448">
      <c r="A1448">
        <f>IF(ISBLANK('ENGAGEMENTS 2026'!C1448),"",IF('ENGAGEMENTS 2026'!C1448="DTSI","DCT",'ENGAGEMENTS 2026'!C1448))</f>
        <v/>
      </c>
      <c r="B1448">
        <f>IF(ISBLANK('ENGAGEMENTS 2026'!C1448),"",'ENGAGEMENTS 2026'!D1448)</f>
        <v/>
      </c>
      <c r="C1448">
        <f>IF(ISBLANK('ENGAGEMENTS 2026'!C1448),"",'ENGAGEMENTS 2026'!E1448)</f>
        <v/>
      </c>
      <c r="D1448">
        <f>IF(ISBLANK('ENGAGEMENTS 2026'!C1448),"",'ENGAGEMENTS 2026'!G1448)</f>
        <v/>
      </c>
      <c r="E1448">
        <f>IF(ISBLANK('ENGAGEMENTS 2026'!C1448),"",'ENGAGEMENTS 2026'!I1448)</f>
        <v/>
      </c>
      <c r="F1448">
        <f>IF(ISBLANK('ENGAGEMENTS 2026'!C1448),"",'ENGAGEMENTS 2026'!J1448)</f>
        <v/>
      </c>
      <c r="G1448">
        <f>IF(ISBLANK('ENGAGEMENTS 2026'!C1448),"",'ENGAGEMENTS 2026'!M1448)</f>
        <v/>
      </c>
      <c r="H1448">
        <f>IF(ISBLANK('ENGAGEMENTS 2026'!C1448),"",'ENGAGEMENTS 2026'!AF1448)</f>
        <v/>
      </c>
      <c r="I1448">
        <f>IF(ISBLANK('ENGAGEMENTS 2026'!C1448),"",'ENGAGEMENTS 2026'!H1448)</f>
        <v/>
      </c>
      <c r="J1448" s="275">
        <f>IF(ISBLANK('ENGAGEMENTS 2026'!C1448),"",IF(AND(OR($E1448="INFRUCTUEUX",$E1448="ANNULE"),$C1448="AOO-M"),'ENGAGEMENTS 2026'!P1448,IF($H1448="EN COURS DE PREENGAGEMENT",'ENGAGEMENTS 2026'!O1448,IF($H1448="PREENGAGE",IF($E1448="ATTRIBUE",'ENGAGEMENTS 2026'!AE1448,'ENGAGEMENTS 2026'!O1448),'ENGAGEMENTS 2026'!AE1448))))</f>
        <v/>
      </c>
      <c r="K1448" s="604">
        <f>IF(ISBLANK('ENGAGEMENTS 2026'!W1448),"",'ENGAGEMENTS 2026'!W1448)</f>
        <v/>
      </c>
      <c r="L1448" s="276">
        <f>IF($K1448="","",TODAY()-$K1448)</f>
        <v/>
      </c>
      <c r="M1448">
        <f>IF($A1448="","",IF($H1448="ENGAGE","Engagé",IF(AND($H1448="NON ENGAGE",OR($I1448="INFRUCTUEUX",$I1448="ANNULE")),"Clôturé sans suite","En cours")))</f>
        <v/>
      </c>
      <c r="N1448">
        <f>IF(ISBLANK('ENGAGEMENTS 2026'!C1448),"",'ENGAGEMENTS 2026'!L1448)</f>
        <v/>
      </c>
      <c r="O1448">
        <f>IF(ISBLANK('ENGAGEMENTS 2026'!C1448),"",'ENGAGEMENTS 2026'!M1448)</f>
        <v/>
      </c>
      <c r="P1448">
        <f>IF(ISBLANK('ENGAGEMENTS 2026'!C1448),"",'ENGAGEMENTS 2026'!K1448)</f>
        <v/>
      </c>
      <c r="Q1448">
        <f>IF($A1448="","",IF(OR($E1448="INFRUCTUEUX",$E1448="ANNULE"),$A1448&amp;"|"&amp;(COUNTIFS($A$2:$A1448,$A1448,$E$2:$E1448,"INFRUCTUEUX")+COUNTIFS($A$2:$A1448,$A1448,$E$2:$E1448,"ANNULE")),""))</f>
        <v/>
      </c>
    </row>
    <row r="1449">
      <c r="A1449">
        <f>IF(ISBLANK('ENGAGEMENTS 2026'!C1449),"",IF('ENGAGEMENTS 2026'!C1449="DTSI","DCT",'ENGAGEMENTS 2026'!C1449))</f>
        <v/>
      </c>
      <c r="B1449">
        <f>IF(ISBLANK('ENGAGEMENTS 2026'!C1449),"",'ENGAGEMENTS 2026'!D1449)</f>
        <v/>
      </c>
      <c r="C1449">
        <f>IF(ISBLANK('ENGAGEMENTS 2026'!C1449),"",'ENGAGEMENTS 2026'!E1449)</f>
        <v/>
      </c>
      <c r="D1449">
        <f>IF(ISBLANK('ENGAGEMENTS 2026'!C1449),"",'ENGAGEMENTS 2026'!G1449)</f>
        <v/>
      </c>
      <c r="E1449">
        <f>IF(ISBLANK('ENGAGEMENTS 2026'!C1449),"",'ENGAGEMENTS 2026'!I1449)</f>
        <v/>
      </c>
      <c r="F1449">
        <f>IF(ISBLANK('ENGAGEMENTS 2026'!C1449),"",'ENGAGEMENTS 2026'!J1449)</f>
        <v/>
      </c>
      <c r="G1449">
        <f>IF(ISBLANK('ENGAGEMENTS 2026'!C1449),"",'ENGAGEMENTS 2026'!M1449)</f>
        <v/>
      </c>
      <c r="H1449">
        <f>IF(ISBLANK('ENGAGEMENTS 2026'!C1449),"",'ENGAGEMENTS 2026'!AF1449)</f>
        <v/>
      </c>
      <c r="I1449">
        <f>IF(ISBLANK('ENGAGEMENTS 2026'!C1449),"",'ENGAGEMENTS 2026'!H1449)</f>
        <v/>
      </c>
      <c r="J1449" s="275">
        <f>IF(ISBLANK('ENGAGEMENTS 2026'!C1449),"",IF(AND(OR($E1449="INFRUCTUEUX",$E1449="ANNULE"),$C1449="AOO-M"),'ENGAGEMENTS 2026'!P1449,IF($H1449="EN COURS DE PREENGAGEMENT",'ENGAGEMENTS 2026'!O1449,IF($H1449="PREENGAGE",IF($E1449="ATTRIBUE",'ENGAGEMENTS 2026'!AE1449,'ENGAGEMENTS 2026'!O1449),'ENGAGEMENTS 2026'!AE1449))))</f>
        <v/>
      </c>
      <c r="K1449" s="604">
        <f>IF(ISBLANK('ENGAGEMENTS 2026'!W1449),"",'ENGAGEMENTS 2026'!W1449)</f>
        <v/>
      </c>
      <c r="L1449" s="276">
        <f>IF($K1449="","",TODAY()-$K1449)</f>
        <v/>
      </c>
      <c r="M1449">
        <f>IF($A1449="","",IF($H1449="ENGAGE","Engagé",IF(AND($H1449="NON ENGAGE",OR($I1449="INFRUCTUEUX",$I1449="ANNULE")),"Clôturé sans suite","En cours")))</f>
        <v/>
      </c>
      <c r="N1449">
        <f>IF(ISBLANK('ENGAGEMENTS 2026'!C1449),"",'ENGAGEMENTS 2026'!L1449)</f>
        <v/>
      </c>
      <c r="O1449">
        <f>IF(ISBLANK('ENGAGEMENTS 2026'!C1449),"",'ENGAGEMENTS 2026'!M1449)</f>
        <v/>
      </c>
      <c r="P1449">
        <f>IF(ISBLANK('ENGAGEMENTS 2026'!C1449),"",'ENGAGEMENTS 2026'!K1449)</f>
        <v/>
      </c>
      <c r="Q1449">
        <f>IF($A1449="","",IF(OR($E1449="INFRUCTUEUX",$E1449="ANNULE"),$A1449&amp;"|"&amp;(COUNTIFS($A$2:$A1449,$A1449,$E$2:$E1449,"INFRUCTUEUX")+COUNTIFS($A$2:$A1449,$A1449,$E$2:$E1449,"ANNULE")),""))</f>
        <v/>
      </c>
    </row>
    <row r="1450">
      <c r="A1450">
        <f>IF(ISBLANK('ENGAGEMENTS 2026'!C1450),"",IF('ENGAGEMENTS 2026'!C1450="DTSI","DCT",'ENGAGEMENTS 2026'!C1450))</f>
        <v/>
      </c>
      <c r="B1450">
        <f>IF(ISBLANK('ENGAGEMENTS 2026'!C1450),"",'ENGAGEMENTS 2026'!D1450)</f>
        <v/>
      </c>
      <c r="C1450">
        <f>IF(ISBLANK('ENGAGEMENTS 2026'!C1450),"",'ENGAGEMENTS 2026'!E1450)</f>
        <v/>
      </c>
      <c r="D1450">
        <f>IF(ISBLANK('ENGAGEMENTS 2026'!C1450),"",'ENGAGEMENTS 2026'!G1450)</f>
        <v/>
      </c>
      <c r="E1450">
        <f>IF(ISBLANK('ENGAGEMENTS 2026'!C1450),"",'ENGAGEMENTS 2026'!I1450)</f>
        <v/>
      </c>
      <c r="F1450">
        <f>IF(ISBLANK('ENGAGEMENTS 2026'!C1450),"",'ENGAGEMENTS 2026'!J1450)</f>
        <v/>
      </c>
      <c r="G1450">
        <f>IF(ISBLANK('ENGAGEMENTS 2026'!C1450),"",'ENGAGEMENTS 2026'!M1450)</f>
        <v/>
      </c>
      <c r="H1450">
        <f>IF(ISBLANK('ENGAGEMENTS 2026'!C1450),"",'ENGAGEMENTS 2026'!AF1450)</f>
        <v/>
      </c>
      <c r="I1450">
        <f>IF(ISBLANK('ENGAGEMENTS 2026'!C1450),"",'ENGAGEMENTS 2026'!H1450)</f>
        <v/>
      </c>
      <c r="J1450" s="275">
        <f>IF(ISBLANK('ENGAGEMENTS 2026'!C1450),"",IF(AND(OR($E1450="INFRUCTUEUX",$E1450="ANNULE"),$C1450="AOO-M"),'ENGAGEMENTS 2026'!P1450,IF($H1450="EN COURS DE PREENGAGEMENT",'ENGAGEMENTS 2026'!O1450,IF($H1450="PREENGAGE",IF($E1450="ATTRIBUE",'ENGAGEMENTS 2026'!AE1450,'ENGAGEMENTS 2026'!O1450),'ENGAGEMENTS 2026'!AE1450))))</f>
        <v/>
      </c>
      <c r="K1450" s="604">
        <f>IF(ISBLANK('ENGAGEMENTS 2026'!W1450),"",'ENGAGEMENTS 2026'!W1450)</f>
        <v/>
      </c>
      <c r="L1450" s="276">
        <f>IF($K1450="","",TODAY()-$K1450)</f>
        <v/>
      </c>
      <c r="M1450">
        <f>IF($A1450="","",IF($H1450="ENGAGE","Engagé",IF(AND($H1450="NON ENGAGE",OR($I1450="INFRUCTUEUX",$I1450="ANNULE")),"Clôturé sans suite","En cours")))</f>
        <v/>
      </c>
      <c r="N1450">
        <f>IF(ISBLANK('ENGAGEMENTS 2026'!C1450),"",'ENGAGEMENTS 2026'!L1450)</f>
        <v/>
      </c>
      <c r="O1450">
        <f>IF(ISBLANK('ENGAGEMENTS 2026'!C1450),"",'ENGAGEMENTS 2026'!M1450)</f>
        <v/>
      </c>
      <c r="P1450">
        <f>IF(ISBLANK('ENGAGEMENTS 2026'!C1450),"",'ENGAGEMENTS 2026'!K1450)</f>
        <v/>
      </c>
      <c r="Q1450">
        <f>IF($A1450="","",IF(OR($E1450="INFRUCTUEUX",$E1450="ANNULE"),$A1450&amp;"|"&amp;(COUNTIFS($A$2:$A1450,$A1450,$E$2:$E1450,"INFRUCTUEUX")+COUNTIFS($A$2:$A1450,$A1450,$E$2:$E1450,"ANNULE")),""))</f>
        <v/>
      </c>
    </row>
    <row r="1451">
      <c r="A1451">
        <f>IF(ISBLANK('ENGAGEMENTS 2026'!C1451),"",IF('ENGAGEMENTS 2026'!C1451="DTSI","DCT",'ENGAGEMENTS 2026'!C1451))</f>
        <v/>
      </c>
      <c r="B1451">
        <f>IF(ISBLANK('ENGAGEMENTS 2026'!C1451),"",'ENGAGEMENTS 2026'!D1451)</f>
        <v/>
      </c>
      <c r="C1451">
        <f>IF(ISBLANK('ENGAGEMENTS 2026'!C1451),"",'ENGAGEMENTS 2026'!E1451)</f>
        <v/>
      </c>
      <c r="D1451">
        <f>IF(ISBLANK('ENGAGEMENTS 2026'!C1451),"",'ENGAGEMENTS 2026'!G1451)</f>
        <v/>
      </c>
      <c r="E1451">
        <f>IF(ISBLANK('ENGAGEMENTS 2026'!C1451),"",'ENGAGEMENTS 2026'!I1451)</f>
        <v/>
      </c>
      <c r="F1451">
        <f>IF(ISBLANK('ENGAGEMENTS 2026'!C1451),"",'ENGAGEMENTS 2026'!J1451)</f>
        <v/>
      </c>
      <c r="G1451">
        <f>IF(ISBLANK('ENGAGEMENTS 2026'!C1451),"",'ENGAGEMENTS 2026'!M1451)</f>
        <v/>
      </c>
      <c r="H1451">
        <f>IF(ISBLANK('ENGAGEMENTS 2026'!C1451),"",'ENGAGEMENTS 2026'!AF1451)</f>
        <v/>
      </c>
      <c r="I1451">
        <f>IF(ISBLANK('ENGAGEMENTS 2026'!C1451),"",'ENGAGEMENTS 2026'!H1451)</f>
        <v/>
      </c>
      <c r="J1451" s="275">
        <f>IF(ISBLANK('ENGAGEMENTS 2026'!C1451),"",IF(AND(OR($E1451="INFRUCTUEUX",$E1451="ANNULE"),$C1451="AOO-M"),'ENGAGEMENTS 2026'!P1451,IF($H1451="EN COURS DE PREENGAGEMENT",'ENGAGEMENTS 2026'!O1451,IF($H1451="PREENGAGE",IF($E1451="ATTRIBUE",'ENGAGEMENTS 2026'!AE1451,'ENGAGEMENTS 2026'!O1451),'ENGAGEMENTS 2026'!AE1451))))</f>
        <v/>
      </c>
      <c r="K1451" s="604">
        <f>IF(ISBLANK('ENGAGEMENTS 2026'!W1451),"",'ENGAGEMENTS 2026'!W1451)</f>
        <v/>
      </c>
      <c r="L1451" s="276">
        <f>IF($K1451="","",TODAY()-$K1451)</f>
        <v/>
      </c>
      <c r="M1451">
        <f>IF($A1451="","",IF($H1451="ENGAGE","Engagé",IF(AND($H1451="NON ENGAGE",OR($I1451="INFRUCTUEUX",$I1451="ANNULE")),"Clôturé sans suite","En cours")))</f>
        <v/>
      </c>
      <c r="N1451">
        <f>IF(ISBLANK('ENGAGEMENTS 2026'!C1451),"",'ENGAGEMENTS 2026'!L1451)</f>
        <v/>
      </c>
      <c r="O1451">
        <f>IF(ISBLANK('ENGAGEMENTS 2026'!C1451),"",'ENGAGEMENTS 2026'!M1451)</f>
        <v/>
      </c>
      <c r="P1451">
        <f>IF(ISBLANK('ENGAGEMENTS 2026'!C1451),"",'ENGAGEMENTS 2026'!K1451)</f>
        <v/>
      </c>
      <c r="Q1451">
        <f>IF($A1451="","",IF(OR($E1451="INFRUCTUEUX",$E1451="ANNULE"),$A1451&amp;"|"&amp;(COUNTIFS($A$2:$A1451,$A1451,$E$2:$E1451,"INFRUCTUEUX")+COUNTIFS($A$2:$A1451,$A1451,$E$2:$E1451,"ANNULE")),""))</f>
        <v/>
      </c>
    </row>
    <row r="1452">
      <c r="A1452">
        <f>IF(ISBLANK('ENGAGEMENTS 2026'!C1452),"",IF('ENGAGEMENTS 2026'!C1452="DTSI","DCT",'ENGAGEMENTS 2026'!C1452))</f>
        <v/>
      </c>
      <c r="B1452">
        <f>IF(ISBLANK('ENGAGEMENTS 2026'!C1452),"",'ENGAGEMENTS 2026'!D1452)</f>
        <v/>
      </c>
      <c r="C1452">
        <f>IF(ISBLANK('ENGAGEMENTS 2026'!C1452),"",'ENGAGEMENTS 2026'!E1452)</f>
        <v/>
      </c>
      <c r="D1452">
        <f>IF(ISBLANK('ENGAGEMENTS 2026'!C1452),"",'ENGAGEMENTS 2026'!G1452)</f>
        <v/>
      </c>
      <c r="E1452">
        <f>IF(ISBLANK('ENGAGEMENTS 2026'!C1452),"",'ENGAGEMENTS 2026'!I1452)</f>
        <v/>
      </c>
      <c r="F1452">
        <f>IF(ISBLANK('ENGAGEMENTS 2026'!C1452),"",'ENGAGEMENTS 2026'!J1452)</f>
        <v/>
      </c>
      <c r="G1452">
        <f>IF(ISBLANK('ENGAGEMENTS 2026'!C1452),"",'ENGAGEMENTS 2026'!M1452)</f>
        <v/>
      </c>
      <c r="H1452">
        <f>IF(ISBLANK('ENGAGEMENTS 2026'!C1452),"",'ENGAGEMENTS 2026'!AF1452)</f>
        <v/>
      </c>
      <c r="I1452">
        <f>IF(ISBLANK('ENGAGEMENTS 2026'!C1452),"",'ENGAGEMENTS 2026'!H1452)</f>
        <v/>
      </c>
      <c r="J1452" s="275">
        <f>IF(ISBLANK('ENGAGEMENTS 2026'!C1452),"",IF(AND(OR($E1452="INFRUCTUEUX",$E1452="ANNULE"),$C1452="AOO-M"),'ENGAGEMENTS 2026'!P1452,IF($H1452="EN COURS DE PREENGAGEMENT",'ENGAGEMENTS 2026'!O1452,IF($H1452="PREENGAGE",IF($E1452="ATTRIBUE",'ENGAGEMENTS 2026'!AE1452,'ENGAGEMENTS 2026'!O1452),'ENGAGEMENTS 2026'!AE1452))))</f>
        <v/>
      </c>
      <c r="K1452" s="604">
        <f>IF(ISBLANK('ENGAGEMENTS 2026'!W1452),"",'ENGAGEMENTS 2026'!W1452)</f>
        <v/>
      </c>
      <c r="L1452" s="276">
        <f>IF($K1452="","",TODAY()-$K1452)</f>
        <v/>
      </c>
      <c r="M1452">
        <f>IF($A1452="","",IF($H1452="ENGAGE","Engagé",IF(AND($H1452="NON ENGAGE",OR($I1452="INFRUCTUEUX",$I1452="ANNULE")),"Clôturé sans suite","En cours")))</f>
        <v/>
      </c>
      <c r="N1452">
        <f>IF(ISBLANK('ENGAGEMENTS 2026'!C1452),"",'ENGAGEMENTS 2026'!L1452)</f>
        <v/>
      </c>
      <c r="O1452">
        <f>IF(ISBLANK('ENGAGEMENTS 2026'!C1452),"",'ENGAGEMENTS 2026'!M1452)</f>
        <v/>
      </c>
      <c r="P1452">
        <f>IF(ISBLANK('ENGAGEMENTS 2026'!C1452),"",'ENGAGEMENTS 2026'!K1452)</f>
        <v/>
      </c>
      <c r="Q1452">
        <f>IF($A1452="","",IF(OR($E1452="INFRUCTUEUX",$E1452="ANNULE"),$A1452&amp;"|"&amp;(COUNTIFS($A$2:$A1452,$A1452,$E$2:$E1452,"INFRUCTUEUX")+COUNTIFS($A$2:$A1452,$A1452,$E$2:$E1452,"ANNULE")),""))</f>
        <v/>
      </c>
    </row>
    <row r="1453">
      <c r="A1453">
        <f>IF(ISBLANK('ENGAGEMENTS 2026'!C1453),"",IF('ENGAGEMENTS 2026'!C1453="DTSI","DCT",'ENGAGEMENTS 2026'!C1453))</f>
        <v/>
      </c>
      <c r="B1453">
        <f>IF(ISBLANK('ENGAGEMENTS 2026'!C1453),"",'ENGAGEMENTS 2026'!D1453)</f>
        <v/>
      </c>
      <c r="C1453">
        <f>IF(ISBLANK('ENGAGEMENTS 2026'!C1453),"",'ENGAGEMENTS 2026'!E1453)</f>
        <v/>
      </c>
      <c r="D1453">
        <f>IF(ISBLANK('ENGAGEMENTS 2026'!C1453),"",'ENGAGEMENTS 2026'!G1453)</f>
        <v/>
      </c>
      <c r="E1453">
        <f>IF(ISBLANK('ENGAGEMENTS 2026'!C1453),"",'ENGAGEMENTS 2026'!I1453)</f>
        <v/>
      </c>
      <c r="F1453">
        <f>IF(ISBLANK('ENGAGEMENTS 2026'!C1453),"",'ENGAGEMENTS 2026'!J1453)</f>
        <v/>
      </c>
      <c r="G1453">
        <f>IF(ISBLANK('ENGAGEMENTS 2026'!C1453),"",'ENGAGEMENTS 2026'!M1453)</f>
        <v/>
      </c>
      <c r="H1453">
        <f>IF(ISBLANK('ENGAGEMENTS 2026'!C1453),"",'ENGAGEMENTS 2026'!AF1453)</f>
        <v/>
      </c>
      <c r="I1453">
        <f>IF(ISBLANK('ENGAGEMENTS 2026'!C1453),"",'ENGAGEMENTS 2026'!H1453)</f>
        <v/>
      </c>
      <c r="J1453" s="275">
        <f>IF(ISBLANK('ENGAGEMENTS 2026'!C1453),"",IF(AND(OR($E1453="INFRUCTUEUX",$E1453="ANNULE"),$C1453="AOO-M"),'ENGAGEMENTS 2026'!P1453,IF($H1453="EN COURS DE PREENGAGEMENT",'ENGAGEMENTS 2026'!O1453,IF($H1453="PREENGAGE",IF($E1453="ATTRIBUE",'ENGAGEMENTS 2026'!AE1453,'ENGAGEMENTS 2026'!O1453),'ENGAGEMENTS 2026'!AE1453))))</f>
        <v/>
      </c>
      <c r="K1453" s="604">
        <f>IF(ISBLANK('ENGAGEMENTS 2026'!W1453),"",'ENGAGEMENTS 2026'!W1453)</f>
        <v/>
      </c>
      <c r="L1453" s="276">
        <f>IF($K1453="","",TODAY()-$K1453)</f>
        <v/>
      </c>
      <c r="M1453">
        <f>IF($A1453="","",IF($H1453="ENGAGE","Engagé",IF(AND($H1453="NON ENGAGE",OR($I1453="INFRUCTUEUX",$I1453="ANNULE")),"Clôturé sans suite","En cours")))</f>
        <v/>
      </c>
      <c r="N1453">
        <f>IF(ISBLANK('ENGAGEMENTS 2026'!C1453),"",'ENGAGEMENTS 2026'!L1453)</f>
        <v/>
      </c>
      <c r="O1453">
        <f>IF(ISBLANK('ENGAGEMENTS 2026'!C1453),"",'ENGAGEMENTS 2026'!M1453)</f>
        <v/>
      </c>
      <c r="P1453">
        <f>IF(ISBLANK('ENGAGEMENTS 2026'!C1453),"",'ENGAGEMENTS 2026'!K1453)</f>
        <v/>
      </c>
      <c r="Q1453">
        <f>IF($A1453="","",IF(OR($E1453="INFRUCTUEUX",$E1453="ANNULE"),$A1453&amp;"|"&amp;(COUNTIFS($A$2:$A1453,$A1453,$E$2:$E1453,"INFRUCTUEUX")+COUNTIFS($A$2:$A1453,$A1453,$E$2:$E1453,"ANNULE")),""))</f>
        <v/>
      </c>
    </row>
    <row r="1454">
      <c r="A1454">
        <f>IF(ISBLANK('ENGAGEMENTS 2026'!C1454),"",IF('ENGAGEMENTS 2026'!C1454="DTSI","DCT",'ENGAGEMENTS 2026'!C1454))</f>
        <v/>
      </c>
      <c r="B1454">
        <f>IF(ISBLANK('ENGAGEMENTS 2026'!C1454),"",'ENGAGEMENTS 2026'!D1454)</f>
        <v/>
      </c>
      <c r="C1454">
        <f>IF(ISBLANK('ENGAGEMENTS 2026'!C1454),"",'ENGAGEMENTS 2026'!E1454)</f>
        <v/>
      </c>
      <c r="D1454">
        <f>IF(ISBLANK('ENGAGEMENTS 2026'!C1454),"",'ENGAGEMENTS 2026'!G1454)</f>
        <v/>
      </c>
      <c r="E1454">
        <f>IF(ISBLANK('ENGAGEMENTS 2026'!C1454),"",'ENGAGEMENTS 2026'!I1454)</f>
        <v/>
      </c>
      <c r="F1454">
        <f>IF(ISBLANK('ENGAGEMENTS 2026'!C1454),"",'ENGAGEMENTS 2026'!J1454)</f>
        <v/>
      </c>
      <c r="G1454">
        <f>IF(ISBLANK('ENGAGEMENTS 2026'!C1454),"",'ENGAGEMENTS 2026'!M1454)</f>
        <v/>
      </c>
      <c r="H1454">
        <f>IF(ISBLANK('ENGAGEMENTS 2026'!C1454),"",'ENGAGEMENTS 2026'!AF1454)</f>
        <v/>
      </c>
      <c r="I1454">
        <f>IF(ISBLANK('ENGAGEMENTS 2026'!C1454),"",'ENGAGEMENTS 2026'!H1454)</f>
        <v/>
      </c>
      <c r="J1454" s="275">
        <f>IF(ISBLANK('ENGAGEMENTS 2026'!C1454),"",IF(AND(OR($E1454="INFRUCTUEUX",$E1454="ANNULE"),$C1454="AOO-M"),'ENGAGEMENTS 2026'!P1454,IF($H1454="EN COURS DE PREENGAGEMENT",'ENGAGEMENTS 2026'!O1454,IF($H1454="PREENGAGE",IF($E1454="ATTRIBUE",'ENGAGEMENTS 2026'!AE1454,'ENGAGEMENTS 2026'!O1454),'ENGAGEMENTS 2026'!AE1454))))</f>
        <v/>
      </c>
      <c r="K1454" s="604">
        <f>IF(ISBLANK('ENGAGEMENTS 2026'!W1454),"",'ENGAGEMENTS 2026'!W1454)</f>
        <v/>
      </c>
      <c r="L1454" s="276">
        <f>IF($K1454="","",TODAY()-$K1454)</f>
        <v/>
      </c>
      <c r="M1454">
        <f>IF($A1454="","",IF($H1454="ENGAGE","Engagé",IF(AND($H1454="NON ENGAGE",OR($I1454="INFRUCTUEUX",$I1454="ANNULE")),"Clôturé sans suite","En cours")))</f>
        <v/>
      </c>
      <c r="N1454">
        <f>IF(ISBLANK('ENGAGEMENTS 2026'!C1454),"",'ENGAGEMENTS 2026'!L1454)</f>
        <v/>
      </c>
      <c r="O1454">
        <f>IF(ISBLANK('ENGAGEMENTS 2026'!C1454),"",'ENGAGEMENTS 2026'!M1454)</f>
        <v/>
      </c>
      <c r="P1454">
        <f>IF(ISBLANK('ENGAGEMENTS 2026'!C1454),"",'ENGAGEMENTS 2026'!K1454)</f>
        <v/>
      </c>
      <c r="Q1454">
        <f>IF($A1454="","",IF(OR($E1454="INFRUCTUEUX",$E1454="ANNULE"),$A1454&amp;"|"&amp;(COUNTIFS($A$2:$A1454,$A1454,$E$2:$E1454,"INFRUCTUEUX")+COUNTIFS($A$2:$A1454,$A1454,$E$2:$E1454,"ANNULE")),""))</f>
        <v/>
      </c>
    </row>
    <row r="1455">
      <c r="A1455">
        <f>IF(ISBLANK('ENGAGEMENTS 2026'!C1455),"",IF('ENGAGEMENTS 2026'!C1455="DTSI","DCT",'ENGAGEMENTS 2026'!C1455))</f>
        <v/>
      </c>
      <c r="B1455">
        <f>IF(ISBLANK('ENGAGEMENTS 2026'!C1455),"",'ENGAGEMENTS 2026'!D1455)</f>
        <v/>
      </c>
      <c r="C1455">
        <f>IF(ISBLANK('ENGAGEMENTS 2026'!C1455),"",'ENGAGEMENTS 2026'!E1455)</f>
        <v/>
      </c>
      <c r="D1455">
        <f>IF(ISBLANK('ENGAGEMENTS 2026'!C1455),"",'ENGAGEMENTS 2026'!G1455)</f>
        <v/>
      </c>
      <c r="E1455">
        <f>IF(ISBLANK('ENGAGEMENTS 2026'!C1455),"",'ENGAGEMENTS 2026'!I1455)</f>
        <v/>
      </c>
      <c r="F1455">
        <f>IF(ISBLANK('ENGAGEMENTS 2026'!C1455),"",'ENGAGEMENTS 2026'!J1455)</f>
        <v/>
      </c>
      <c r="G1455">
        <f>IF(ISBLANK('ENGAGEMENTS 2026'!C1455),"",'ENGAGEMENTS 2026'!M1455)</f>
        <v/>
      </c>
      <c r="H1455">
        <f>IF(ISBLANK('ENGAGEMENTS 2026'!C1455),"",'ENGAGEMENTS 2026'!AF1455)</f>
        <v/>
      </c>
      <c r="I1455">
        <f>IF(ISBLANK('ENGAGEMENTS 2026'!C1455),"",'ENGAGEMENTS 2026'!H1455)</f>
        <v/>
      </c>
      <c r="J1455" s="275">
        <f>IF(ISBLANK('ENGAGEMENTS 2026'!C1455),"",IF(AND(OR($E1455="INFRUCTUEUX",$E1455="ANNULE"),$C1455="AOO-M"),'ENGAGEMENTS 2026'!P1455,IF($H1455="EN COURS DE PREENGAGEMENT",'ENGAGEMENTS 2026'!O1455,IF($H1455="PREENGAGE",IF($E1455="ATTRIBUE",'ENGAGEMENTS 2026'!AE1455,'ENGAGEMENTS 2026'!O1455),'ENGAGEMENTS 2026'!AE1455))))</f>
        <v/>
      </c>
      <c r="K1455" s="604">
        <f>IF(ISBLANK('ENGAGEMENTS 2026'!W1455),"",'ENGAGEMENTS 2026'!W1455)</f>
        <v/>
      </c>
      <c r="L1455" s="276">
        <f>IF($K1455="","",TODAY()-$K1455)</f>
        <v/>
      </c>
      <c r="M1455">
        <f>IF($A1455="","",IF($H1455="ENGAGE","Engagé",IF(AND($H1455="NON ENGAGE",OR($I1455="INFRUCTUEUX",$I1455="ANNULE")),"Clôturé sans suite","En cours")))</f>
        <v/>
      </c>
      <c r="N1455">
        <f>IF(ISBLANK('ENGAGEMENTS 2026'!C1455),"",'ENGAGEMENTS 2026'!L1455)</f>
        <v/>
      </c>
      <c r="O1455">
        <f>IF(ISBLANK('ENGAGEMENTS 2026'!C1455),"",'ENGAGEMENTS 2026'!M1455)</f>
        <v/>
      </c>
      <c r="P1455">
        <f>IF(ISBLANK('ENGAGEMENTS 2026'!C1455),"",'ENGAGEMENTS 2026'!K1455)</f>
        <v/>
      </c>
      <c r="Q1455">
        <f>IF($A1455="","",IF(OR($E1455="INFRUCTUEUX",$E1455="ANNULE"),$A1455&amp;"|"&amp;(COUNTIFS($A$2:$A1455,$A1455,$E$2:$E1455,"INFRUCTUEUX")+COUNTIFS($A$2:$A1455,$A1455,$E$2:$E1455,"ANNULE")),""))</f>
        <v/>
      </c>
    </row>
    <row r="1456">
      <c r="A1456">
        <f>IF(ISBLANK('ENGAGEMENTS 2026'!C1456),"",IF('ENGAGEMENTS 2026'!C1456="DTSI","DCT",'ENGAGEMENTS 2026'!C1456))</f>
        <v/>
      </c>
      <c r="B1456">
        <f>IF(ISBLANK('ENGAGEMENTS 2026'!C1456),"",'ENGAGEMENTS 2026'!D1456)</f>
        <v/>
      </c>
      <c r="C1456">
        <f>IF(ISBLANK('ENGAGEMENTS 2026'!C1456),"",'ENGAGEMENTS 2026'!E1456)</f>
        <v/>
      </c>
      <c r="D1456">
        <f>IF(ISBLANK('ENGAGEMENTS 2026'!C1456),"",'ENGAGEMENTS 2026'!G1456)</f>
        <v/>
      </c>
      <c r="E1456">
        <f>IF(ISBLANK('ENGAGEMENTS 2026'!C1456),"",'ENGAGEMENTS 2026'!I1456)</f>
        <v/>
      </c>
      <c r="F1456">
        <f>IF(ISBLANK('ENGAGEMENTS 2026'!C1456),"",'ENGAGEMENTS 2026'!J1456)</f>
        <v/>
      </c>
      <c r="G1456">
        <f>IF(ISBLANK('ENGAGEMENTS 2026'!C1456),"",'ENGAGEMENTS 2026'!M1456)</f>
        <v/>
      </c>
      <c r="H1456">
        <f>IF(ISBLANK('ENGAGEMENTS 2026'!C1456),"",'ENGAGEMENTS 2026'!AF1456)</f>
        <v/>
      </c>
      <c r="I1456">
        <f>IF(ISBLANK('ENGAGEMENTS 2026'!C1456),"",'ENGAGEMENTS 2026'!H1456)</f>
        <v/>
      </c>
      <c r="J1456" s="275">
        <f>IF(ISBLANK('ENGAGEMENTS 2026'!C1456),"",IF(AND(OR($E1456="INFRUCTUEUX",$E1456="ANNULE"),$C1456="AOO-M"),'ENGAGEMENTS 2026'!P1456,IF($H1456="EN COURS DE PREENGAGEMENT",'ENGAGEMENTS 2026'!O1456,IF($H1456="PREENGAGE",IF($E1456="ATTRIBUE",'ENGAGEMENTS 2026'!AE1456,'ENGAGEMENTS 2026'!O1456),'ENGAGEMENTS 2026'!AE1456))))</f>
        <v/>
      </c>
      <c r="K1456" s="604">
        <f>IF(ISBLANK('ENGAGEMENTS 2026'!W1456),"",'ENGAGEMENTS 2026'!W1456)</f>
        <v/>
      </c>
      <c r="L1456" s="276">
        <f>IF($K1456="","",TODAY()-$K1456)</f>
        <v/>
      </c>
      <c r="M1456">
        <f>IF($A1456="","",IF($H1456="ENGAGE","Engagé",IF(AND($H1456="NON ENGAGE",OR($I1456="INFRUCTUEUX",$I1456="ANNULE")),"Clôturé sans suite","En cours")))</f>
        <v/>
      </c>
      <c r="N1456">
        <f>IF(ISBLANK('ENGAGEMENTS 2026'!C1456),"",'ENGAGEMENTS 2026'!L1456)</f>
        <v/>
      </c>
      <c r="O1456">
        <f>IF(ISBLANK('ENGAGEMENTS 2026'!C1456),"",'ENGAGEMENTS 2026'!M1456)</f>
        <v/>
      </c>
      <c r="P1456">
        <f>IF(ISBLANK('ENGAGEMENTS 2026'!C1456),"",'ENGAGEMENTS 2026'!K1456)</f>
        <v/>
      </c>
      <c r="Q1456">
        <f>IF($A1456="","",IF(OR($E1456="INFRUCTUEUX",$E1456="ANNULE"),$A1456&amp;"|"&amp;(COUNTIFS($A$2:$A1456,$A1456,$E$2:$E1456,"INFRUCTUEUX")+COUNTIFS($A$2:$A1456,$A1456,$E$2:$E1456,"ANNULE")),""))</f>
        <v/>
      </c>
    </row>
    <row r="1457">
      <c r="A1457">
        <f>IF(ISBLANK('ENGAGEMENTS 2026'!C1457),"",IF('ENGAGEMENTS 2026'!C1457="DTSI","DCT",'ENGAGEMENTS 2026'!C1457))</f>
        <v/>
      </c>
      <c r="B1457">
        <f>IF(ISBLANK('ENGAGEMENTS 2026'!C1457),"",'ENGAGEMENTS 2026'!D1457)</f>
        <v/>
      </c>
      <c r="C1457">
        <f>IF(ISBLANK('ENGAGEMENTS 2026'!C1457),"",'ENGAGEMENTS 2026'!E1457)</f>
        <v/>
      </c>
      <c r="D1457">
        <f>IF(ISBLANK('ENGAGEMENTS 2026'!C1457),"",'ENGAGEMENTS 2026'!G1457)</f>
        <v/>
      </c>
      <c r="E1457">
        <f>IF(ISBLANK('ENGAGEMENTS 2026'!C1457),"",'ENGAGEMENTS 2026'!I1457)</f>
        <v/>
      </c>
      <c r="F1457">
        <f>IF(ISBLANK('ENGAGEMENTS 2026'!C1457),"",'ENGAGEMENTS 2026'!J1457)</f>
        <v/>
      </c>
      <c r="G1457">
        <f>IF(ISBLANK('ENGAGEMENTS 2026'!C1457),"",'ENGAGEMENTS 2026'!M1457)</f>
        <v/>
      </c>
      <c r="H1457">
        <f>IF(ISBLANK('ENGAGEMENTS 2026'!C1457),"",'ENGAGEMENTS 2026'!AF1457)</f>
        <v/>
      </c>
      <c r="I1457">
        <f>IF(ISBLANK('ENGAGEMENTS 2026'!C1457),"",'ENGAGEMENTS 2026'!H1457)</f>
        <v/>
      </c>
      <c r="J1457" s="275">
        <f>IF(ISBLANK('ENGAGEMENTS 2026'!C1457),"",IF(AND(OR($E1457="INFRUCTUEUX",$E1457="ANNULE"),$C1457="AOO-M"),'ENGAGEMENTS 2026'!P1457,IF($H1457="EN COURS DE PREENGAGEMENT",'ENGAGEMENTS 2026'!O1457,IF($H1457="PREENGAGE",IF($E1457="ATTRIBUE",'ENGAGEMENTS 2026'!AE1457,'ENGAGEMENTS 2026'!O1457),'ENGAGEMENTS 2026'!AE1457))))</f>
        <v/>
      </c>
      <c r="K1457" s="604">
        <f>IF(ISBLANK('ENGAGEMENTS 2026'!W1457),"",'ENGAGEMENTS 2026'!W1457)</f>
        <v/>
      </c>
      <c r="L1457" s="276">
        <f>IF($K1457="","",TODAY()-$K1457)</f>
        <v/>
      </c>
      <c r="M1457">
        <f>IF($A1457="","",IF($H1457="ENGAGE","Engagé",IF(AND($H1457="NON ENGAGE",OR($I1457="INFRUCTUEUX",$I1457="ANNULE")),"Clôturé sans suite","En cours")))</f>
        <v/>
      </c>
      <c r="N1457">
        <f>IF(ISBLANK('ENGAGEMENTS 2026'!C1457),"",'ENGAGEMENTS 2026'!L1457)</f>
        <v/>
      </c>
      <c r="O1457">
        <f>IF(ISBLANK('ENGAGEMENTS 2026'!C1457),"",'ENGAGEMENTS 2026'!M1457)</f>
        <v/>
      </c>
      <c r="P1457">
        <f>IF(ISBLANK('ENGAGEMENTS 2026'!C1457),"",'ENGAGEMENTS 2026'!K1457)</f>
        <v/>
      </c>
      <c r="Q1457">
        <f>IF($A1457="","",IF(OR($E1457="INFRUCTUEUX",$E1457="ANNULE"),$A1457&amp;"|"&amp;(COUNTIFS($A$2:$A1457,$A1457,$E$2:$E1457,"INFRUCTUEUX")+COUNTIFS($A$2:$A1457,$A1457,$E$2:$E1457,"ANNULE")),""))</f>
        <v/>
      </c>
    </row>
    <row r="1458">
      <c r="A1458">
        <f>IF(ISBLANK('ENGAGEMENTS 2026'!C1458),"",IF('ENGAGEMENTS 2026'!C1458="DTSI","DCT",'ENGAGEMENTS 2026'!C1458))</f>
        <v/>
      </c>
      <c r="B1458">
        <f>IF(ISBLANK('ENGAGEMENTS 2026'!C1458),"",'ENGAGEMENTS 2026'!D1458)</f>
        <v/>
      </c>
      <c r="C1458">
        <f>IF(ISBLANK('ENGAGEMENTS 2026'!C1458),"",'ENGAGEMENTS 2026'!E1458)</f>
        <v/>
      </c>
      <c r="D1458">
        <f>IF(ISBLANK('ENGAGEMENTS 2026'!C1458),"",'ENGAGEMENTS 2026'!G1458)</f>
        <v/>
      </c>
      <c r="E1458">
        <f>IF(ISBLANK('ENGAGEMENTS 2026'!C1458),"",'ENGAGEMENTS 2026'!I1458)</f>
        <v/>
      </c>
      <c r="F1458">
        <f>IF(ISBLANK('ENGAGEMENTS 2026'!C1458),"",'ENGAGEMENTS 2026'!J1458)</f>
        <v/>
      </c>
      <c r="G1458">
        <f>IF(ISBLANK('ENGAGEMENTS 2026'!C1458),"",'ENGAGEMENTS 2026'!M1458)</f>
        <v/>
      </c>
      <c r="H1458">
        <f>IF(ISBLANK('ENGAGEMENTS 2026'!C1458),"",'ENGAGEMENTS 2026'!AF1458)</f>
        <v/>
      </c>
      <c r="I1458">
        <f>IF(ISBLANK('ENGAGEMENTS 2026'!C1458),"",'ENGAGEMENTS 2026'!H1458)</f>
        <v/>
      </c>
      <c r="J1458" s="275">
        <f>IF(ISBLANK('ENGAGEMENTS 2026'!C1458),"",IF(AND(OR($E1458="INFRUCTUEUX",$E1458="ANNULE"),$C1458="AOO-M"),'ENGAGEMENTS 2026'!P1458,IF($H1458="EN COURS DE PREENGAGEMENT",'ENGAGEMENTS 2026'!O1458,IF($H1458="PREENGAGE",IF($E1458="ATTRIBUE",'ENGAGEMENTS 2026'!AE1458,'ENGAGEMENTS 2026'!O1458),'ENGAGEMENTS 2026'!AE1458))))</f>
        <v/>
      </c>
      <c r="K1458" s="604">
        <f>IF(ISBLANK('ENGAGEMENTS 2026'!W1458),"",'ENGAGEMENTS 2026'!W1458)</f>
        <v/>
      </c>
      <c r="L1458" s="276">
        <f>IF($K1458="","",TODAY()-$K1458)</f>
        <v/>
      </c>
      <c r="M1458">
        <f>IF($A1458="","",IF($H1458="ENGAGE","Engagé",IF(AND($H1458="NON ENGAGE",OR($I1458="INFRUCTUEUX",$I1458="ANNULE")),"Clôturé sans suite","En cours")))</f>
        <v/>
      </c>
      <c r="N1458">
        <f>IF(ISBLANK('ENGAGEMENTS 2026'!C1458),"",'ENGAGEMENTS 2026'!L1458)</f>
        <v/>
      </c>
      <c r="O1458">
        <f>IF(ISBLANK('ENGAGEMENTS 2026'!C1458),"",'ENGAGEMENTS 2026'!M1458)</f>
        <v/>
      </c>
      <c r="P1458">
        <f>IF(ISBLANK('ENGAGEMENTS 2026'!C1458),"",'ENGAGEMENTS 2026'!K1458)</f>
        <v/>
      </c>
      <c r="Q1458">
        <f>IF($A1458="","",IF(OR($E1458="INFRUCTUEUX",$E1458="ANNULE"),$A1458&amp;"|"&amp;(COUNTIFS($A$2:$A1458,$A1458,$E$2:$E1458,"INFRUCTUEUX")+COUNTIFS($A$2:$A1458,$A1458,$E$2:$E1458,"ANNULE")),""))</f>
        <v/>
      </c>
    </row>
    <row r="1459">
      <c r="A1459">
        <f>IF(ISBLANK('ENGAGEMENTS 2026'!C1459),"",IF('ENGAGEMENTS 2026'!C1459="DTSI","DCT",'ENGAGEMENTS 2026'!C1459))</f>
        <v/>
      </c>
      <c r="B1459">
        <f>IF(ISBLANK('ENGAGEMENTS 2026'!C1459),"",'ENGAGEMENTS 2026'!D1459)</f>
        <v/>
      </c>
      <c r="C1459">
        <f>IF(ISBLANK('ENGAGEMENTS 2026'!C1459),"",'ENGAGEMENTS 2026'!E1459)</f>
        <v/>
      </c>
      <c r="D1459">
        <f>IF(ISBLANK('ENGAGEMENTS 2026'!C1459),"",'ENGAGEMENTS 2026'!G1459)</f>
        <v/>
      </c>
      <c r="E1459">
        <f>IF(ISBLANK('ENGAGEMENTS 2026'!C1459),"",'ENGAGEMENTS 2026'!I1459)</f>
        <v/>
      </c>
      <c r="F1459">
        <f>IF(ISBLANK('ENGAGEMENTS 2026'!C1459),"",'ENGAGEMENTS 2026'!J1459)</f>
        <v/>
      </c>
      <c r="G1459">
        <f>IF(ISBLANK('ENGAGEMENTS 2026'!C1459),"",'ENGAGEMENTS 2026'!M1459)</f>
        <v/>
      </c>
      <c r="H1459">
        <f>IF(ISBLANK('ENGAGEMENTS 2026'!C1459),"",'ENGAGEMENTS 2026'!AF1459)</f>
        <v/>
      </c>
      <c r="I1459">
        <f>IF(ISBLANK('ENGAGEMENTS 2026'!C1459),"",'ENGAGEMENTS 2026'!H1459)</f>
        <v/>
      </c>
      <c r="J1459" s="275">
        <f>IF(ISBLANK('ENGAGEMENTS 2026'!C1459),"",IF(AND(OR($E1459="INFRUCTUEUX",$E1459="ANNULE"),$C1459="AOO-M"),'ENGAGEMENTS 2026'!P1459,IF($H1459="EN COURS DE PREENGAGEMENT",'ENGAGEMENTS 2026'!O1459,IF($H1459="PREENGAGE",IF($E1459="ATTRIBUE",'ENGAGEMENTS 2026'!AE1459,'ENGAGEMENTS 2026'!O1459),'ENGAGEMENTS 2026'!AE1459))))</f>
        <v/>
      </c>
      <c r="K1459" s="604">
        <f>IF(ISBLANK('ENGAGEMENTS 2026'!W1459),"",'ENGAGEMENTS 2026'!W1459)</f>
        <v/>
      </c>
      <c r="L1459" s="276">
        <f>IF($K1459="","",TODAY()-$K1459)</f>
        <v/>
      </c>
      <c r="M1459">
        <f>IF($A1459="","",IF($H1459="ENGAGE","Engagé",IF(AND($H1459="NON ENGAGE",OR($I1459="INFRUCTUEUX",$I1459="ANNULE")),"Clôturé sans suite","En cours")))</f>
        <v/>
      </c>
      <c r="N1459">
        <f>IF(ISBLANK('ENGAGEMENTS 2026'!C1459),"",'ENGAGEMENTS 2026'!L1459)</f>
        <v/>
      </c>
      <c r="O1459">
        <f>IF(ISBLANK('ENGAGEMENTS 2026'!C1459),"",'ENGAGEMENTS 2026'!M1459)</f>
        <v/>
      </c>
      <c r="P1459">
        <f>IF(ISBLANK('ENGAGEMENTS 2026'!C1459),"",'ENGAGEMENTS 2026'!K1459)</f>
        <v/>
      </c>
      <c r="Q1459">
        <f>IF($A1459="","",IF(OR($E1459="INFRUCTUEUX",$E1459="ANNULE"),$A1459&amp;"|"&amp;(COUNTIFS($A$2:$A1459,$A1459,$E$2:$E1459,"INFRUCTUEUX")+COUNTIFS($A$2:$A1459,$A1459,$E$2:$E1459,"ANNULE")),""))</f>
        <v/>
      </c>
    </row>
    <row r="1460">
      <c r="A1460">
        <f>IF(ISBLANK('ENGAGEMENTS 2026'!C1460),"",IF('ENGAGEMENTS 2026'!C1460="DTSI","DCT",'ENGAGEMENTS 2026'!C1460))</f>
        <v/>
      </c>
      <c r="B1460">
        <f>IF(ISBLANK('ENGAGEMENTS 2026'!C1460),"",'ENGAGEMENTS 2026'!D1460)</f>
        <v/>
      </c>
      <c r="C1460">
        <f>IF(ISBLANK('ENGAGEMENTS 2026'!C1460),"",'ENGAGEMENTS 2026'!E1460)</f>
        <v/>
      </c>
      <c r="D1460">
        <f>IF(ISBLANK('ENGAGEMENTS 2026'!C1460),"",'ENGAGEMENTS 2026'!G1460)</f>
        <v/>
      </c>
      <c r="E1460">
        <f>IF(ISBLANK('ENGAGEMENTS 2026'!C1460),"",'ENGAGEMENTS 2026'!I1460)</f>
        <v/>
      </c>
      <c r="F1460">
        <f>IF(ISBLANK('ENGAGEMENTS 2026'!C1460),"",'ENGAGEMENTS 2026'!J1460)</f>
        <v/>
      </c>
      <c r="G1460">
        <f>IF(ISBLANK('ENGAGEMENTS 2026'!C1460),"",'ENGAGEMENTS 2026'!M1460)</f>
        <v/>
      </c>
      <c r="H1460">
        <f>IF(ISBLANK('ENGAGEMENTS 2026'!C1460),"",'ENGAGEMENTS 2026'!AF1460)</f>
        <v/>
      </c>
      <c r="I1460">
        <f>IF(ISBLANK('ENGAGEMENTS 2026'!C1460),"",'ENGAGEMENTS 2026'!H1460)</f>
        <v/>
      </c>
      <c r="J1460" s="275">
        <f>IF(ISBLANK('ENGAGEMENTS 2026'!C1460),"",IF(AND(OR($E1460="INFRUCTUEUX",$E1460="ANNULE"),$C1460="AOO-M"),'ENGAGEMENTS 2026'!P1460,IF($H1460="EN COURS DE PREENGAGEMENT",'ENGAGEMENTS 2026'!O1460,IF($H1460="PREENGAGE",IF($E1460="ATTRIBUE",'ENGAGEMENTS 2026'!AE1460,'ENGAGEMENTS 2026'!O1460),'ENGAGEMENTS 2026'!AE1460))))</f>
        <v/>
      </c>
      <c r="K1460" s="604">
        <f>IF(ISBLANK('ENGAGEMENTS 2026'!W1460),"",'ENGAGEMENTS 2026'!W1460)</f>
        <v/>
      </c>
      <c r="L1460" s="276">
        <f>IF($K1460="","",TODAY()-$K1460)</f>
        <v/>
      </c>
      <c r="M1460">
        <f>IF($A1460="","",IF($H1460="ENGAGE","Engagé",IF(AND($H1460="NON ENGAGE",OR($I1460="INFRUCTUEUX",$I1460="ANNULE")),"Clôturé sans suite","En cours")))</f>
        <v/>
      </c>
      <c r="N1460">
        <f>IF(ISBLANK('ENGAGEMENTS 2026'!C1460),"",'ENGAGEMENTS 2026'!L1460)</f>
        <v/>
      </c>
      <c r="O1460">
        <f>IF(ISBLANK('ENGAGEMENTS 2026'!C1460),"",'ENGAGEMENTS 2026'!M1460)</f>
        <v/>
      </c>
      <c r="P1460">
        <f>IF(ISBLANK('ENGAGEMENTS 2026'!C1460),"",'ENGAGEMENTS 2026'!K1460)</f>
        <v/>
      </c>
      <c r="Q1460">
        <f>IF($A1460="","",IF(OR($E1460="INFRUCTUEUX",$E1460="ANNULE"),$A1460&amp;"|"&amp;(COUNTIFS($A$2:$A1460,$A1460,$E$2:$E1460,"INFRUCTUEUX")+COUNTIFS($A$2:$A1460,$A1460,$E$2:$E1460,"ANNULE")),""))</f>
        <v/>
      </c>
    </row>
    <row r="1461">
      <c r="A1461">
        <f>IF(ISBLANK('ENGAGEMENTS 2026'!C1461),"",IF('ENGAGEMENTS 2026'!C1461="DTSI","DCT",'ENGAGEMENTS 2026'!C1461))</f>
        <v/>
      </c>
      <c r="B1461">
        <f>IF(ISBLANK('ENGAGEMENTS 2026'!C1461),"",'ENGAGEMENTS 2026'!D1461)</f>
        <v/>
      </c>
      <c r="C1461">
        <f>IF(ISBLANK('ENGAGEMENTS 2026'!C1461),"",'ENGAGEMENTS 2026'!E1461)</f>
        <v/>
      </c>
      <c r="D1461">
        <f>IF(ISBLANK('ENGAGEMENTS 2026'!C1461),"",'ENGAGEMENTS 2026'!G1461)</f>
        <v/>
      </c>
      <c r="E1461">
        <f>IF(ISBLANK('ENGAGEMENTS 2026'!C1461),"",'ENGAGEMENTS 2026'!I1461)</f>
        <v/>
      </c>
      <c r="F1461">
        <f>IF(ISBLANK('ENGAGEMENTS 2026'!C1461),"",'ENGAGEMENTS 2026'!J1461)</f>
        <v/>
      </c>
      <c r="G1461">
        <f>IF(ISBLANK('ENGAGEMENTS 2026'!C1461),"",'ENGAGEMENTS 2026'!M1461)</f>
        <v/>
      </c>
      <c r="H1461">
        <f>IF(ISBLANK('ENGAGEMENTS 2026'!C1461),"",'ENGAGEMENTS 2026'!AF1461)</f>
        <v/>
      </c>
      <c r="I1461">
        <f>IF(ISBLANK('ENGAGEMENTS 2026'!C1461),"",'ENGAGEMENTS 2026'!H1461)</f>
        <v/>
      </c>
      <c r="J1461" s="275">
        <f>IF(ISBLANK('ENGAGEMENTS 2026'!C1461),"",IF(AND(OR($E1461="INFRUCTUEUX",$E1461="ANNULE"),$C1461="AOO-M"),'ENGAGEMENTS 2026'!P1461,IF($H1461="EN COURS DE PREENGAGEMENT",'ENGAGEMENTS 2026'!O1461,IF($H1461="PREENGAGE",IF($E1461="ATTRIBUE",'ENGAGEMENTS 2026'!AE1461,'ENGAGEMENTS 2026'!O1461),'ENGAGEMENTS 2026'!AE1461))))</f>
        <v/>
      </c>
      <c r="K1461" s="604">
        <f>IF(ISBLANK('ENGAGEMENTS 2026'!W1461),"",'ENGAGEMENTS 2026'!W1461)</f>
        <v/>
      </c>
      <c r="L1461" s="276">
        <f>IF($K1461="","",TODAY()-$K1461)</f>
        <v/>
      </c>
      <c r="M1461">
        <f>IF($A1461="","",IF($H1461="ENGAGE","Engagé",IF(AND($H1461="NON ENGAGE",OR($I1461="INFRUCTUEUX",$I1461="ANNULE")),"Clôturé sans suite","En cours")))</f>
        <v/>
      </c>
      <c r="N1461">
        <f>IF(ISBLANK('ENGAGEMENTS 2026'!C1461),"",'ENGAGEMENTS 2026'!L1461)</f>
        <v/>
      </c>
      <c r="O1461">
        <f>IF(ISBLANK('ENGAGEMENTS 2026'!C1461),"",'ENGAGEMENTS 2026'!M1461)</f>
        <v/>
      </c>
      <c r="P1461">
        <f>IF(ISBLANK('ENGAGEMENTS 2026'!C1461),"",'ENGAGEMENTS 2026'!K1461)</f>
        <v/>
      </c>
      <c r="Q1461">
        <f>IF($A1461="","",IF(OR($E1461="INFRUCTUEUX",$E1461="ANNULE"),$A1461&amp;"|"&amp;(COUNTIFS($A$2:$A1461,$A1461,$E$2:$E1461,"INFRUCTUEUX")+COUNTIFS($A$2:$A1461,$A1461,$E$2:$E1461,"ANNULE")),""))</f>
        <v/>
      </c>
    </row>
    <row r="1462">
      <c r="A1462">
        <f>IF(ISBLANK('ENGAGEMENTS 2026'!C1462),"",IF('ENGAGEMENTS 2026'!C1462="DTSI","DCT",'ENGAGEMENTS 2026'!C1462))</f>
        <v/>
      </c>
      <c r="B1462">
        <f>IF(ISBLANK('ENGAGEMENTS 2026'!C1462),"",'ENGAGEMENTS 2026'!D1462)</f>
        <v/>
      </c>
      <c r="C1462">
        <f>IF(ISBLANK('ENGAGEMENTS 2026'!C1462),"",'ENGAGEMENTS 2026'!E1462)</f>
        <v/>
      </c>
      <c r="D1462">
        <f>IF(ISBLANK('ENGAGEMENTS 2026'!C1462),"",'ENGAGEMENTS 2026'!G1462)</f>
        <v/>
      </c>
      <c r="E1462">
        <f>IF(ISBLANK('ENGAGEMENTS 2026'!C1462),"",'ENGAGEMENTS 2026'!I1462)</f>
        <v/>
      </c>
      <c r="F1462">
        <f>IF(ISBLANK('ENGAGEMENTS 2026'!C1462),"",'ENGAGEMENTS 2026'!J1462)</f>
        <v/>
      </c>
      <c r="G1462">
        <f>IF(ISBLANK('ENGAGEMENTS 2026'!C1462),"",'ENGAGEMENTS 2026'!M1462)</f>
        <v/>
      </c>
      <c r="H1462">
        <f>IF(ISBLANK('ENGAGEMENTS 2026'!C1462),"",'ENGAGEMENTS 2026'!AF1462)</f>
        <v/>
      </c>
      <c r="I1462">
        <f>IF(ISBLANK('ENGAGEMENTS 2026'!C1462),"",'ENGAGEMENTS 2026'!H1462)</f>
        <v/>
      </c>
      <c r="J1462" s="275">
        <f>IF(ISBLANK('ENGAGEMENTS 2026'!C1462),"",IF(AND(OR($E1462="INFRUCTUEUX",$E1462="ANNULE"),$C1462="AOO-M"),'ENGAGEMENTS 2026'!P1462,IF($H1462="EN COURS DE PREENGAGEMENT",'ENGAGEMENTS 2026'!O1462,IF($H1462="PREENGAGE",IF($E1462="ATTRIBUE",'ENGAGEMENTS 2026'!AE1462,'ENGAGEMENTS 2026'!O1462),'ENGAGEMENTS 2026'!AE1462))))</f>
        <v/>
      </c>
      <c r="K1462" s="604">
        <f>IF(ISBLANK('ENGAGEMENTS 2026'!W1462),"",'ENGAGEMENTS 2026'!W1462)</f>
        <v/>
      </c>
      <c r="L1462" s="276">
        <f>IF($K1462="","",TODAY()-$K1462)</f>
        <v/>
      </c>
      <c r="M1462">
        <f>IF($A1462="","",IF($H1462="ENGAGE","Engagé",IF(AND($H1462="NON ENGAGE",OR($I1462="INFRUCTUEUX",$I1462="ANNULE")),"Clôturé sans suite","En cours")))</f>
        <v/>
      </c>
      <c r="N1462">
        <f>IF(ISBLANK('ENGAGEMENTS 2026'!C1462),"",'ENGAGEMENTS 2026'!L1462)</f>
        <v/>
      </c>
      <c r="O1462">
        <f>IF(ISBLANK('ENGAGEMENTS 2026'!C1462),"",'ENGAGEMENTS 2026'!M1462)</f>
        <v/>
      </c>
      <c r="P1462">
        <f>IF(ISBLANK('ENGAGEMENTS 2026'!C1462),"",'ENGAGEMENTS 2026'!K1462)</f>
        <v/>
      </c>
      <c r="Q1462">
        <f>IF($A1462="","",IF(OR($E1462="INFRUCTUEUX",$E1462="ANNULE"),$A1462&amp;"|"&amp;(COUNTIFS($A$2:$A1462,$A1462,$E$2:$E1462,"INFRUCTUEUX")+COUNTIFS($A$2:$A1462,$A1462,$E$2:$E1462,"ANNULE")),""))</f>
        <v/>
      </c>
    </row>
    <row r="1463">
      <c r="A1463">
        <f>IF(ISBLANK('ENGAGEMENTS 2026'!C1463),"",IF('ENGAGEMENTS 2026'!C1463="DTSI","DCT",'ENGAGEMENTS 2026'!C1463))</f>
        <v/>
      </c>
      <c r="B1463">
        <f>IF(ISBLANK('ENGAGEMENTS 2026'!C1463),"",'ENGAGEMENTS 2026'!D1463)</f>
        <v/>
      </c>
      <c r="C1463">
        <f>IF(ISBLANK('ENGAGEMENTS 2026'!C1463),"",'ENGAGEMENTS 2026'!E1463)</f>
        <v/>
      </c>
      <c r="D1463">
        <f>IF(ISBLANK('ENGAGEMENTS 2026'!C1463),"",'ENGAGEMENTS 2026'!G1463)</f>
        <v/>
      </c>
      <c r="E1463">
        <f>IF(ISBLANK('ENGAGEMENTS 2026'!C1463),"",'ENGAGEMENTS 2026'!I1463)</f>
        <v/>
      </c>
      <c r="F1463">
        <f>IF(ISBLANK('ENGAGEMENTS 2026'!C1463),"",'ENGAGEMENTS 2026'!J1463)</f>
        <v/>
      </c>
      <c r="G1463">
        <f>IF(ISBLANK('ENGAGEMENTS 2026'!C1463),"",'ENGAGEMENTS 2026'!M1463)</f>
        <v/>
      </c>
      <c r="H1463">
        <f>IF(ISBLANK('ENGAGEMENTS 2026'!C1463),"",'ENGAGEMENTS 2026'!AF1463)</f>
        <v/>
      </c>
      <c r="I1463">
        <f>IF(ISBLANK('ENGAGEMENTS 2026'!C1463),"",'ENGAGEMENTS 2026'!H1463)</f>
        <v/>
      </c>
      <c r="J1463" s="275">
        <f>IF(ISBLANK('ENGAGEMENTS 2026'!C1463),"",IF(AND(OR($E1463="INFRUCTUEUX",$E1463="ANNULE"),$C1463="AOO-M"),'ENGAGEMENTS 2026'!P1463,IF($H1463="EN COURS DE PREENGAGEMENT",'ENGAGEMENTS 2026'!O1463,IF($H1463="PREENGAGE",IF($E1463="ATTRIBUE",'ENGAGEMENTS 2026'!AE1463,'ENGAGEMENTS 2026'!O1463),'ENGAGEMENTS 2026'!AE1463))))</f>
        <v/>
      </c>
      <c r="K1463" s="604">
        <f>IF(ISBLANK('ENGAGEMENTS 2026'!W1463),"",'ENGAGEMENTS 2026'!W1463)</f>
        <v/>
      </c>
      <c r="L1463" s="276">
        <f>IF($K1463="","",TODAY()-$K1463)</f>
        <v/>
      </c>
      <c r="M1463">
        <f>IF($A1463="","",IF($H1463="ENGAGE","Engagé",IF(AND($H1463="NON ENGAGE",OR($I1463="INFRUCTUEUX",$I1463="ANNULE")),"Clôturé sans suite","En cours")))</f>
        <v/>
      </c>
      <c r="N1463">
        <f>IF(ISBLANK('ENGAGEMENTS 2026'!C1463),"",'ENGAGEMENTS 2026'!L1463)</f>
        <v/>
      </c>
      <c r="O1463">
        <f>IF(ISBLANK('ENGAGEMENTS 2026'!C1463),"",'ENGAGEMENTS 2026'!M1463)</f>
        <v/>
      </c>
      <c r="P1463">
        <f>IF(ISBLANK('ENGAGEMENTS 2026'!C1463),"",'ENGAGEMENTS 2026'!K1463)</f>
        <v/>
      </c>
      <c r="Q1463">
        <f>IF($A1463="","",IF(OR($E1463="INFRUCTUEUX",$E1463="ANNULE"),$A1463&amp;"|"&amp;(COUNTIFS($A$2:$A1463,$A1463,$E$2:$E1463,"INFRUCTUEUX")+COUNTIFS($A$2:$A1463,$A1463,$E$2:$E1463,"ANNULE")),""))</f>
        <v/>
      </c>
    </row>
    <row r="1464">
      <c r="A1464">
        <f>IF(ISBLANK('ENGAGEMENTS 2026'!C1464),"",IF('ENGAGEMENTS 2026'!C1464="DTSI","DCT",'ENGAGEMENTS 2026'!C1464))</f>
        <v/>
      </c>
      <c r="B1464">
        <f>IF(ISBLANK('ENGAGEMENTS 2026'!C1464),"",'ENGAGEMENTS 2026'!D1464)</f>
        <v/>
      </c>
      <c r="C1464">
        <f>IF(ISBLANK('ENGAGEMENTS 2026'!C1464),"",'ENGAGEMENTS 2026'!E1464)</f>
        <v/>
      </c>
      <c r="D1464">
        <f>IF(ISBLANK('ENGAGEMENTS 2026'!C1464),"",'ENGAGEMENTS 2026'!G1464)</f>
        <v/>
      </c>
      <c r="E1464">
        <f>IF(ISBLANK('ENGAGEMENTS 2026'!C1464),"",'ENGAGEMENTS 2026'!I1464)</f>
        <v/>
      </c>
      <c r="F1464">
        <f>IF(ISBLANK('ENGAGEMENTS 2026'!C1464),"",'ENGAGEMENTS 2026'!J1464)</f>
        <v/>
      </c>
      <c r="G1464">
        <f>IF(ISBLANK('ENGAGEMENTS 2026'!C1464),"",'ENGAGEMENTS 2026'!M1464)</f>
        <v/>
      </c>
      <c r="H1464">
        <f>IF(ISBLANK('ENGAGEMENTS 2026'!C1464),"",'ENGAGEMENTS 2026'!AF1464)</f>
        <v/>
      </c>
      <c r="I1464">
        <f>IF(ISBLANK('ENGAGEMENTS 2026'!C1464),"",'ENGAGEMENTS 2026'!H1464)</f>
        <v/>
      </c>
      <c r="J1464" s="275">
        <f>IF(ISBLANK('ENGAGEMENTS 2026'!C1464),"",IF(AND(OR($E1464="INFRUCTUEUX",$E1464="ANNULE"),$C1464="AOO-M"),'ENGAGEMENTS 2026'!P1464,IF($H1464="EN COURS DE PREENGAGEMENT",'ENGAGEMENTS 2026'!O1464,IF($H1464="PREENGAGE",IF($E1464="ATTRIBUE",'ENGAGEMENTS 2026'!AE1464,'ENGAGEMENTS 2026'!O1464),'ENGAGEMENTS 2026'!AE1464))))</f>
        <v/>
      </c>
      <c r="K1464" s="604">
        <f>IF(ISBLANK('ENGAGEMENTS 2026'!W1464),"",'ENGAGEMENTS 2026'!W1464)</f>
        <v/>
      </c>
      <c r="L1464" s="276">
        <f>IF($K1464="","",TODAY()-$K1464)</f>
        <v/>
      </c>
      <c r="M1464">
        <f>IF($A1464="","",IF($H1464="ENGAGE","Engagé",IF(AND($H1464="NON ENGAGE",OR($I1464="INFRUCTUEUX",$I1464="ANNULE")),"Clôturé sans suite","En cours")))</f>
        <v/>
      </c>
      <c r="N1464">
        <f>IF(ISBLANK('ENGAGEMENTS 2026'!C1464),"",'ENGAGEMENTS 2026'!L1464)</f>
        <v/>
      </c>
      <c r="O1464">
        <f>IF(ISBLANK('ENGAGEMENTS 2026'!C1464),"",'ENGAGEMENTS 2026'!M1464)</f>
        <v/>
      </c>
      <c r="P1464">
        <f>IF(ISBLANK('ENGAGEMENTS 2026'!C1464),"",'ENGAGEMENTS 2026'!K1464)</f>
        <v/>
      </c>
      <c r="Q1464">
        <f>IF($A1464="","",IF(OR($E1464="INFRUCTUEUX",$E1464="ANNULE"),$A1464&amp;"|"&amp;(COUNTIFS($A$2:$A1464,$A1464,$E$2:$E1464,"INFRUCTUEUX")+COUNTIFS($A$2:$A1464,$A1464,$E$2:$E1464,"ANNULE")),""))</f>
        <v/>
      </c>
    </row>
    <row r="1465">
      <c r="A1465">
        <f>IF(ISBLANK('ENGAGEMENTS 2026'!C1465),"",IF('ENGAGEMENTS 2026'!C1465="DTSI","DCT",'ENGAGEMENTS 2026'!C1465))</f>
        <v/>
      </c>
      <c r="B1465">
        <f>IF(ISBLANK('ENGAGEMENTS 2026'!C1465),"",'ENGAGEMENTS 2026'!D1465)</f>
        <v/>
      </c>
      <c r="C1465">
        <f>IF(ISBLANK('ENGAGEMENTS 2026'!C1465),"",'ENGAGEMENTS 2026'!E1465)</f>
        <v/>
      </c>
      <c r="D1465">
        <f>IF(ISBLANK('ENGAGEMENTS 2026'!C1465),"",'ENGAGEMENTS 2026'!G1465)</f>
        <v/>
      </c>
      <c r="E1465">
        <f>IF(ISBLANK('ENGAGEMENTS 2026'!C1465),"",'ENGAGEMENTS 2026'!I1465)</f>
        <v/>
      </c>
      <c r="F1465">
        <f>IF(ISBLANK('ENGAGEMENTS 2026'!C1465),"",'ENGAGEMENTS 2026'!J1465)</f>
        <v/>
      </c>
      <c r="G1465">
        <f>IF(ISBLANK('ENGAGEMENTS 2026'!C1465),"",'ENGAGEMENTS 2026'!M1465)</f>
        <v/>
      </c>
      <c r="H1465">
        <f>IF(ISBLANK('ENGAGEMENTS 2026'!C1465),"",'ENGAGEMENTS 2026'!AF1465)</f>
        <v/>
      </c>
      <c r="I1465">
        <f>IF(ISBLANK('ENGAGEMENTS 2026'!C1465),"",'ENGAGEMENTS 2026'!H1465)</f>
        <v/>
      </c>
      <c r="J1465" s="275">
        <f>IF(ISBLANK('ENGAGEMENTS 2026'!C1465),"",IF(AND(OR($E1465="INFRUCTUEUX",$E1465="ANNULE"),$C1465="AOO-M"),'ENGAGEMENTS 2026'!P1465,IF($H1465="EN COURS DE PREENGAGEMENT",'ENGAGEMENTS 2026'!O1465,IF($H1465="PREENGAGE",IF($E1465="ATTRIBUE",'ENGAGEMENTS 2026'!AE1465,'ENGAGEMENTS 2026'!O1465),'ENGAGEMENTS 2026'!AE1465))))</f>
        <v/>
      </c>
      <c r="K1465" s="604">
        <f>IF(ISBLANK('ENGAGEMENTS 2026'!W1465),"",'ENGAGEMENTS 2026'!W1465)</f>
        <v/>
      </c>
      <c r="L1465" s="276">
        <f>IF($K1465="","",TODAY()-$K1465)</f>
        <v/>
      </c>
      <c r="M1465">
        <f>IF($A1465="","",IF($H1465="ENGAGE","Engagé",IF(AND($H1465="NON ENGAGE",OR($I1465="INFRUCTUEUX",$I1465="ANNULE")),"Clôturé sans suite","En cours")))</f>
        <v/>
      </c>
      <c r="N1465">
        <f>IF(ISBLANK('ENGAGEMENTS 2026'!C1465),"",'ENGAGEMENTS 2026'!L1465)</f>
        <v/>
      </c>
      <c r="O1465">
        <f>IF(ISBLANK('ENGAGEMENTS 2026'!C1465),"",'ENGAGEMENTS 2026'!M1465)</f>
        <v/>
      </c>
      <c r="P1465">
        <f>IF(ISBLANK('ENGAGEMENTS 2026'!C1465),"",'ENGAGEMENTS 2026'!K1465)</f>
        <v/>
      </c>
      <c r="Q1465">
        <f>IF($A1465="","",IF(OR($E1465="INFRUCTUEUX",$E1465="ANNULE"),$A1465&amp;"|"&amp;(COUNTIFS($A$2:$A1465,$A1465,$E$2:$E1465,"INFRUCTUEUX")+COUNTIFS($A$2:$A1465,$A1465,$E$2:$E1465,"ANNULE")),""))</f>
        <v/>
      </c>
    </row>
    <row r="1466">
      <c r="A1466">
        <f>IF(ISBLANK('ENGAGEMENTS 2026'!C1466),"",IF('ENGAGEMENTS 2026'!C1466="DTSI","DCT",'ENGAGEMENTS 2026'!C1466))</f>
        <v/>
      </c>
      <c r="B1466">
        <f>IF(ISBLANK('ENGAGEMENTS 2026'!C1466),"",'ENGAGEMENTS 2026'!D1466)</f>
        <v/>
      </c>
      <c r="C1466">
        <f>IF(ISBLANK('ENGAGEMENTS 2026'!C1466),"",'ENGAGEMENTS 2026'!E1466)</f>
        <v/>
      </c>
      <c r="D1466">
        <f>IF(ISBLANK('ENGAGEMENTS 2026'!C1466),"",'ENGAGEMENTS 2026'!G1466)</f>
        <v/>
      </c>
      <c r="E1466">
        <f>IF(ISBLANK('ENGAGEMENTS 2026'!C1466),"",'ENGAGEMENTS 2026'!I1466)</f>
        <v/>
      </c>
      <c r="F1466">
        <f>IF(ISBLANK('ENGAGEMENTS 2026'!C1466),"",'ENGAGEMENTS 2026'!J1466)</f>
        <v/>
      </c>
      <c r="G1466">
        <f>IF(ISBLANK('ENGAGEMENTS 2026'!C1466),"",'ENGAGEMENTS 2026'!M1466)</f>
        <v/>
      </c>
      <c r="H1466">
        <f>IF(ISBLANK('ENGAGEMENTS 2026'!C1466),"",'ENGAGEMENTS 2026'!AF1466)</f>
        <v/>
      </c>
      <c r="I1466">
        <f>IF(ISBLANK('ENGAGEMENTS 2026'!C1466),"",'ENGAGEMENTS 2026'!H1466)</f>
        <v/>
      </c>
      <c r="J1466" s="275">
        <f>IF(ISBLANK('ENGAGEMENTS 2026'!C1466),"",IF(AND(OR($E1466="INFRUCTUEUX",$E1466="ANNULE"),$C1466="AOO-M"),'ENGAGEMENTS 2026'!P1466,IF($H1466="EN COURS DE PREENGAGEMENT",'ENGAGEMENTS 2026'!O1466,IF($H1466="PREENGAGE",IF($E1466="ATTRIBUE",'ENGAGEMENTS 2026'!AE1466,'ENGAGEMENTS 2026'!O1466),'ENGAGEMENTS 2026'!AE1466))))</f>
        <v/>
      </c>
      <c r="K1466" s="604">
        <f>IF(ISBLANK('ENGAGEMENTS 2026'!W1466),"",'ENGAGEMENTS 2026'!W1466)</f>
        <v/>
      </c>
      <c r="L1466" s="276">
        <f>IF($K1466="","",TODAY()-$K1466)</f>
        <v/>
      </c>
      <c r="M1466">
        <f>IF($A1466="","",IF($H1466="ENGAGE","Engagé",IF(AND($H1466="NON ENGAGE",OR($I1466="INFRUCTUEUX",$I1466="ANNULE")),"Clôturé sans suite","En cours")))</f>
        <v/>
      </c>
      <c r="N1466">
        <f>IF(ISBLANK('ENGAGEMENTS 2026'!C1466),"",'ENGAGEMENTS 2026'!L1466)</f>
        <v/>
      </c>
      <c r="O1466">
        <f>IF(ISBLANK('ENGAGEMENTS 2026'!C1466),"",'ENGAGEMENTS 2026'!M1466)</f>
        <v/>
      </c>
      <c r="P1466">
        <f>IF(ISBLANK('ENGAGEMENTS 2026'!C1466),"",'ENGAGEMENTS 2026'!K1466)</f>
        <v/>
      </c>
      <c r="Q1466">
        <f>IF($A1466="","",IF(OR($E1466="INFRUCTUEUX",$E1466="ANNULE"),$A1466&amp;"|"&amp;(COUNTIFS($A$2:$A1466,$A1466,$E$2:$E1466,"INFRUCTUEUX")+COUNTIFS($A$2:$A1466,$A1466,$E$2:$E1466,"ANNULE")),""))</f>
        <v/>
      </c>
    </row>
    <row r="1467">
      <c r="A1467">
        <f>IF(ISBLANK('ENGAGEMENTS 2026'!C1467),"",IF('ENGAGEMENTS 2026'!C1467="DTSI","DCT",'ENGAGEMENTS 2026'!C1467))</f>
        <v/>
      </c>
      <c r="B1467">
        <f>IF(ISBLANK('ENGAGEMENTS 2026'!C1467),"",'ENGAGEMENTS 2026'!D1467)</f>
        <v/>
      </c>
      <c r="C1467">
        <f>IF(ISBLANK('ENGAGEMENTS 2026'!C1467),"",'ENGAGEMENTS 2026'!E1467)</f>
        <v/>
      </c>
      <c r="D1467">
        <f>IF(ISBLANK('ENGAGEMENTS 2026'!C1467),"",'ENGAGEMENTS 2026'!G1467)</f>
        <v/>
      </c>
      <c r="E1467">
        <f>IF(ISBLANK('ENGAGEMENTS 2026'!C1467),"",'ENGAGEMENTS 2026'!I1467)</f>
        <v/>
      </c>
      <c r="F1467">
        <f>IF(ISBLANK('ENGAGEMENTS 2026'!C1467),"",'ENGAGEMENTS 2026'!J1467)</f>
        <v/>
      </c>
      <c r="G1467">
        <f>IF(ISBLANK('ENGAGEMENTS 2026'!C1467),"",'ENGAGEMENTS 2026'!M1467)</f>
        <v/>
      </c>
      <c r="H1467">
        <f>IF(ISBLANK('ENGAGEMENTS 2026'!C1467),"",'ENGAGEMENTS 2026'!AF1467)</f>
        <v/>
      </c>
      <c r="I1467">
        <f>IF(ISBLANK('ENGAGEMENTS 2026'!C1467),"",'ENGAGEMENTS 2026'!H1467)</f>
        <v/>
      </c>
      <c r="J1467" s="275">
        <f>IF(ISBLANK('ENGAGEMENTS 2026'!C1467),"",IF(AND(OR($E1467="INFRUCTUEUX",$E1467="ANNULE"),$C1467="AOO-M"),'ENGAGEMENTS 2026'!P1467,IF($H1467="EN COURS DE PREENGAGEMENT",'ENGAGEMENTS 2026'!O1467,IF($H1467="PREENGAGE",IF($E1467="ATTRIBUE",'ENGAGEMENTS 2026'!AE1467,'ENGAGEMENTS 2026'!O1467),'ENGAGEMENTS 2026'!AE1467))))</f>
        <v/>
      </c>
      <c r="K1467" s="604">
        <f>IF(ISBLANK('ENGAGEMENTS 2026'!W1467),"",'ENGAGEMENTS 2026'!W1467)</f>
        <v/>
      </c>
      <c r="L1467" s="276">
        <f>IF($K1467="","",TODAY()-$K1467)</f>
        <v/>
      </c>
      <c r="M1467">
        <f>IF($A1467="","",IF($H1467="ENGAGE","Engagé",IF(AND($H1467="NON ENGAGE",OR($I1467="INFRUCTUEUX",$I1467="ANNULE")),"Clôturé sans suite","En cours")))</f>
        <v/>
      </c>
      <c r="N1467">
        <f>IF(ISBLANK('ENGAGEMENTS 2026'!C1467),"",'ENGAGEMENTS 2026'!L1467)</f>
        <v/>
      </c>
      <c r="O1467">
        <f>IF(ISBLANK('ENGAGEMENTS 2026'!C1467),"",'ENGAGEMENTS 2026'!M1467)</f>
        <v/>
      </c>
      <c r="P1467">
        <f>IF(ISBLANK('ENGAGEMENTS 2026'!C1467),"",'ENGAGEMENTS 2026'!K1467)</f>
        <v/>
      </c>
      <c r="Q1467">
        <f>IF($A1467="","",IF(OR($E1467="INFRUCTUEUX",$E1467="ANNULE"),$A1467&amp;"|"&amp;(COUNTIFS($A$2:$A1467,$A1467,$E$2:$E1467,"INFRUCTUEUX")+COUNTIFS($A$2:$A1467,$A1467,$E$2:$E1467,"ANNULE")),""))</f>
        <v/>
      </c>
    </row>
    <row r="1468">
      <c r="A1468">
        <f>IF(ISBLANK('ENGAGEMENTS 2026'!C1468),"",IF('ENGAGEMENTS 2026'!C1468="DTSI","DCT",'ENGAGEMENTS 2026'!C1468))</f>
        <v/>
      </c>
      <c r="B1468">
        <f>IF(ISBLANK('ENGAGEMENTS 2026'!C1468),"",'ENGAGEMENTS 2026'!D1468)</f>
        <v/>
      </c>
      <c r="C1468">
        <f>IF(ISBLANK('ENGAGEMENTS 2026'!C1468),"",'ENGAGEMENTS 2026'!E1468)</f>
        <v/>
      </c>
      <c r="D1468">
        <f>IF(ISBLANK('ENGAGEMENTS 2026'!C1468),"",'ENGAGEMENTS 2026'!G1468)</f>
        <v/>
      </c>
      <c r="E1468">
        <f>IF(ISBLANK('ENGAGEMENTS 2026'!C1468),"",'ENGAGEMENTS 2026'!I1468)</f>
        <v/>
      </c>
      <c r="F1468">
        <f>IF(ISBLANK('ENGAGEMENTS 2026'!C1468),"",'ENGAGEMENTS 2026'!J1468)</f>
        <v/>
      </c>
      <c r="G1468">
        <f>IF(ISBLANK('ENGAGEMENTS 2026'!C1468),"",'ENGAGEMENTS 2026'!M1468)</f>
        <v/>
      </c>
      <c r="H1468">
        <f>IF(ISBLANK('ENGAGEMENTS 2026'!C1468),"",'ENGAGEMENTS 2026'!AF1468)</f>
        <v/>
      </c>
      <c r="I1468">
        <f>IF(ISBLANK('ENGAGEMENTS 2026'!C1468),"",'ENGAGEMENTS 2026'!H1468)</f>
        <v/>
      </c>
      <c r="J1468" s="275">
        <f>IF(ISBLANK('ENGAGEMENTS 2026'!C1468),"",IF(AND(OR($E1468="INFRUCTUEUX",$E1468="ANNULE"),$C1468="AOO-M"),'ENGAGEMENTS 2026'!P1468,IF($H1468="EN COURS DE PREENGAGEMENT",'ENGAGEMENTS 2026'!O1468,IF($H1468="PREENGAGE",IF($E1468="ATTRIBUE",'ENGAGEMENTS 2026'!AE1468,'ENGAGEMENTS 2026'!O1468),'ENGAGEMENTS 2026'!AE1468))))</f>
        <v/>
      </c>
      <c r="K1468" s="604">
        <f>IF(ISBLANK('ENGAGEMENTS 2026'!W1468),"",'ENGAGEMENTS 2026'!W1468)</f>
        <v/>
      </c>
      <c r="L1468" s="276">
        <f>IF($K1468="","",TODAY()-$K1468)</f>
        <v/>
      </c>
      <c r="M1468">
        <f>IF($A1468="","",IF($H1468="ENGAGE","Engagé",IF(AND($H1468="NON ENGAGE",OR($I1468="INFRUCTUEUX",$I1468="ANNULE")),"Clôturé sans suite","En cours")))</f>
        <v/>
      </c>
      <c r="N1468">
        <f>IF(ISBLANK('ENGAGEMENTS 2026'!C1468),"",'ENGAGEMENTS 2026'!L1468)</f>
        <v/>
      </c>
      <c r="O1468">
        <f>IF(ISBLANK('ENGAGEMENTS 2026'!C1468),"",'ENGAGEMENTS 2026'!M1468)</f>
        <v/>
      </c>
      <c r="P1468">
        <f>IF(ISBLANK('ENGAGEMENTS 2026'!C1468),"",'ENGAGEMENTS 2026'!K1468)</f>
        <v/>
      </c>
      <c r="Q1468">
        <f>IF($A1468="","",IF(OR($E1468="INFRUCTUEUX",$E1468="ANNULE"),$A1468&amp;"|"&amp;(COUNTIFS($A$2:$A1468,$A1468,$E$2:$E1468,"INFRUCTUEUX")+COUNTIFS($A$2:$A1468,$A1468,$E$2:$E1468,"ANNULE")),""))</f>
        <v/>
      </c>
    </row>
    <row r="1469">
      <c r="A1469">
        <f>IF(ISBLANK('ENGAGEMENTS 2026'!C1469),"",IF('ENGAGEMENTS 2026'!C1469="DTSI","DCT",'ENGAGEMENTS 2026'!C1469))</f>
        <v/>
      </c>
      <c r="B1469">
        <f>IF(ISBLANK('ENGAGEMENTS 2026'!C1469),"",'ENGAGEMENTS 2026'!D1469)</f>
        <v/>
      </c>
      <c r="C1469">
        <f>IF(ISBLANK('ENGAGEMENTS 2026'!C1469),"",'ENGAGEMENTS 2026'!E1469)</f>
        <v/>
      </c>
      <c r="D1469">
        <f>IF(ISBLANK('ENGAGEMENTS 2026'!C1469),"",'ENGAGEMENTS 2026'!G1469)</f>
        <v/>
      </c>
      <c r="E1469">
        <f>IF(ISBLANK('ENGAGEMENTS 2026'!C1469),"",'ENGAGEMENTS 2026'!I1469)</f>
        <v/>
      </c>
      <c r="F1469">
        <f>IF(ISBLANK('ENGAGEMENTS 2026'!C1469),"",'ENGAGEMENTS 2026'!J1469)</f>
        <v/>
      </c>
      <c r="G1469">
        <f>IF(ISBLANK('ENGAGEMENTS 2026'!C1469),"",'ENGAGEMENTS 2026'!M1469)</f>
        <v/>
      </c>
      <c r="H1469">
        <f>IF(ISBLANK('ENGAGEMENTS 2026'!C1469),"",'ENGAGEMENTS 2026'!AF1469)</f>
        <v/>
      </c>
      <c r="I1469">
        <f>IF(ISBLANK('ENGAGEMENTS 2026'!C1469),"",'ENGAGEMENTS 2026'!H1469)</f>
        <v/>
      </c>
      <c r="J1469" s="275">
        <f>IF(ISBLANK('ENGAGEMENTS 2026'!C1469),"",IF(AND(OR($E1469="INFRUCTUEUX",$E1469="ANNULE"),$C1469="AOO-M"),'ENGAGEMENTS 2026'!P1469,IF($H1469="EN COURS DE PREENGAGEMENT",'ENGAGEMENTS 2026'!O1469,IF($H1469="PREENGAGE",IF($E1469="ATTRIBUE",'ENGAGEMENTS 2026'!AE1469,'ENGAGEMENTS 2026'!O1469),'ENGAGEMENTS 2026'!AE1469))))</f>
        <v/>
      </c>
      <c r="K1469" s="604">
        <f>IF(ISBLANK('ENGAGEMENTS 2026'!W1469),"",'ENGAGEMENTS 2026'!W1469)</f>
        <v/>
      </c>
      <c r="L1469" s="276">
        <f>IF($K1469="","",TODAY()-$K1469)</f>
        <v/>
      </c>
      <c r="M1469">
        <f>IF($A1469="","",IF($H1469="ENGAGE","Engagé",IF(AND($H1469="NON ENGAGE",OR($I1469="INFRUCTUEUX",$I1469="ANNULE")),"Clôturé sans suite","En cours")))</f>
        <v/>
      </c>
      <c r="N1469">
        <f>IF(ISBLANK('ENGAGEMENTS 2026'!C1469),"",'ENGAGEMENTS 2026'!L1469)</f>
        <v/>
      </c>
      <c r="O1469">
        <f>IF(ISBLANK('ENGAGEMENTS 2026'!C1469),"",'ENGAGEMENTS 2026'!M1469)</f>
        <v/>
      </c>
      <c r="P1469">
        <f>IF(ISBLANK('ENGAGEMENTS 2026'!C1469),"",'ENGAGEMENTS 2026'!K1469)</f>
        <v/>
      </c>
      <c r="Q1469">
        <f>IF($A1469="","",IF(OR($E1469="INFRUCTUEUX",$E1469="ANNULE"),$A1469&amp;"|"&amp;(COUNTIFS($A$2:$A1469,$A1469,$E$2:$E1469,"INFRUCTUEUX")+COUNTIFS($A$2:$A1469,$A1469,$E$2:$E1469,"ANNULE")),""))</f>
        <v/>
      </c>
    </row>
    <row r="1470">
      <c r="A1470">
        <f>IF(ISBLANK('ENGAGEMENTS 2026'!C1470),"",IF('ENGAGEMENTS 2026'!C1470="DTSI","DCT",'ENGAGEMENTS 2026'!C1470))</f>
        <v/>
      </c>
      <c r="B1470">
        <f>IF(ISBLANK('ENGAGEMENTS 2026'!C1470),"",'ENGAGEMENTS 2026'!D1470)</f>
        <v/>
      </c>
      <c r="C1470">
        <f>IF(ISBLANK('ENGAGEMENTS 2026'!C1470),"",'ENGAGEMENTS 2026'!E1470)</f>
        <v/>
      </c>
      <c r="D1470">
        <f>IF(ISBLANK('ENGAGEMENTS 2026'!C1470),"",'ENGAGEMENTS 2026'!G1470)</f>
        <v/>
      </c>
      <c r="E1470">
        <f>IF(ISBLANK('ENGAGEMENTS 2026'!C1470),"",'ENGAGEMENTS 2026'!I1470)</f>
        <v/>
      </c>
      <c r="F1470">
        <f>IF(ISBLANK('ENGAGEMENTS 2026'!C1470),"",'ENGAGEMENTS 2026'!J1470)</f>
        <v/>
      </c>
      <c r="G1470">
        <f>IF(ISBLANK('ENGAGEMENTS 2026'!C1470),"",'ENGAGEMENTS 2026'!M1470)</f>
        <v/>
      </c>
      <c r="H1470">
        <f>IF(ISBLANK('ENGAGEMENTS 2026'!C1470),"",'ENGAGEMENTS 2026'!AF1470)</f>
        <v/>
      </c>
      <c r="I1470">
        <f>IF(ISBLANK('ENGAGEMENTS 2026'!C1470),"",'ENGAGEMENTS 2026'!H1470)</f>
        <v/>
      </c>
      <c r="J1470" s="275">
        <f>IF(ISBLANK('ENGAGEMENTS 2026'!C1470),"",IF(AND(OR($E1470="INFRUCTUEUX",$E1470="ANNULE"),$C1470="AOO-M"),'ENGAGEMENTS 2026'!P1470,IF($H1470="EN COURS DE PREENGAGEMENT",'ENGAGEMENTS 2026'!O1470,IF($H1470="PREENGAGE",IF($E1470="ATTRIBUE",'ENGAGEMENTS 2026'!AE1470,'ENGAGEMENTS 2026'!O1470),'ENGAGEMENTS 2026'!AE1470))))</f>
        <v/>
      </c>
      <c r="K1470" s="604">
        <f>IF(ISBLANK('ENGAGEMENTS 2026'!W1470),"",'ENGAGEMENTS 2026'!W1470)</f>
        <v/>
      </c>
      <c r="L1470" s="276">
        <f>IF($K1470="","",TODAY()-$K1470)</f>
        <v/>
      </c>
      <c r="M1470">
        <f>IF($A1470="","",IF($H1470="ENGAGE","Engagé",IF(AND($H1470="NON ENGAGE",OR($I1470="INFRUCTUEUX",$I1470="ANNULE")),"Clôturé sans suite","En cours")))</f>
        <v/>
      </c>
      <c r="N1470">
        <f>IF(ISBLANK('ENGAGEMENTS 2026'!C1470),"",'ENGAGEMENTS 2026'!L1470)</f>
        <v/>
      </c>
      <c r="O1470">
        <f>IF(ISBLANK('ENGAGEMENTS 2026'!C1470),"",'ENGAGEMENTS 2026'!M1470)</f>
        <v/>
      </c>
      <c r="P1470">
        <f>IF(ISBLANK('ENGAGEMENTS 2026'!C1470),"",'ENGAGEMENTS 2026'!K1470)</f>
        <v/>
      </c>
      <c r="Q1470">
        <f>IF($A1470="","",IF(OR($E1470="INFRUCTUEUX",$E1470="ANNULE"),$A1470&amp;"|"&amp;(COUNTIFS($A$2:$A1470,$A1470,$E$2:$E1470,"INFRUCTUEUX")+COUNTIFS($A$2:$A1470,$A1470,$E$2:$E1470,"ANNULE")),""))</f>
        <v/>
      </c>
    </row>
    <row r="1471">
      <c r="A1471">
        <f>IF(ISBLANK('ENGAGEMENTS 2026'!C1471),"",IF('ENGAGEMENTS 2026'!C1471="DTSI","DCT",'ENGAGEMENTS 2026'!C1471))</f>
        <v/>
      </c>
      <c r="B1471">
        <f>IF(ISBLANK('ENGAGEMENTS 2026'!C1471),"",'ENGAGEMENTS 2026'!D1471)</f>
        <v/>
      </c>
      <c r="C1471">
        <f>IF(ISBLANK('ENGAGEMENTS 2026'!C1471),"",'ENGAGEMENTS 2026'!E1471)</f>
        <v/>
      </c>
      <c r="D1471">
        <f>IF(ISBLANK('ENGAGEMENTS 2026'!C1471),"",'ENGAGEMENTS 2026'!G1471)</f>
        <v/>
      </c>
      <c r="E1471">
        <f>IF(ISBLANK('ENGAGEMENTS 2026'!C1471),"",'ENGAGEMENTS 2026'!I1471)</f>
        <v/>
      </c>
      <c r="F1471">
        <f>IF(ISBLANK('ENGAGEMENTS 2026'!C1471),"",'ENGAGEMENTS 2026'!J1471)</f>
        <v/>
      </c>
      <c r="G1471">
        <f>IF(ISBLANK('ENGAGEMENTS 2026'!C1471),"",'ENGAGEMENTS 2026'!M1471)</f>
        <v/>
      </c>
      <c r="H1471">
        <f>IF(ISBLANK('ENGAGEMENTS 2026'!C1471),"",'ENGAGEMENTS 2026'!AF1471)</f>
        <v/>
      </c>
      <c r="I1471">
        <f>IF(ISBLANK('ENGAGEMENTS 2026'!C1471),"",'ENGAGEMENTS 2026'!H1471)</f>
        <v/>
      </c>
      <c r="J1471" s="275">
        <f>IF(ISBLANK('ENGAGEMENTS 2026'!C1471),"",IF(AND(OR($E1471="INFRUCTUEUX",$E1471="ANNULE"),$C1471="AOO-M"),'ENGAGEMENTS 2026'!P1471,IF($H1471="EN COURS DE PREENGAGEMENT",'ENGAGEMENTS 2026'!O1471,IF($H1471="PREENGAGE",IF($E1471="ATTRIBUE",'ENGAGEMENTS 2026'!AE1471,'ENGAGEMENTS 2026'!O1471),'ENGAGEMENTS 2026'!AE1471))))</f>
        <v/>
      </c>
      <c r="K1471" s="604">
        <f>IF(ISBLANK('ENGAGEMENTS 2026'!W1471),"",'ENGAGEMENTS 2026'!W1471)</f>
        <v/>
      </c>
      <c r="L1471" s="276">
        <f>IF($K1471="","",TODAY()-$K1471)</f>
        <v/>
      </c>
      <c r="M1471">
        <f>IF($A1471="","",IF($H1471="ENGAGE","Engagé",IF(AND($H1471="NON ENGAGE",OR($I1471="INFRUCTUEUX",$I1471="ANNULE")),"Clôturé sans suite","En cours")))</f>
        <v/>
      </c>
      <c r="N1471">
        <f>IF(ISBLANK('ENGAGEMENTS 2026'!C1471),"",'ENGAGEMENTS 2026'!L1471)</f>
        <v/>
      </c>
      <c r="O1471">
        <f>IF(ISBLANK('ENGAGEMENTS 2026'!C1471),"",'ENGAGEMENTS 2026'!M1471)</f>
        <v/>
      </c>
      <c r="P1471">
        <f>IF(ISBLANK('ENGAGEMENTS 2026'!C1471),"",'ENGAGEMENTS 2026'!K1471)</f>
        <v/>
      </c>
      <c r="Q1471">
        <f>IF($A1471="","",IF(OR($E1471="INFRUCTUEUX",$E1471="ANNULE"),$A1471&amp;"|"&amp;(COUNTIFS($A$2:$A1471,$A1471,$E$2:$E1471,"INFRUCTUEUX")+COUNTIFS($A$2:$A1471,$A1471,$E$2:$E1471,"ANNULE")),""))</f>
        <v/>
      </c>
    </row>
    <row r="1472">
      <c r="A1472">
        <f>IF(ISBLANK('ENGAGEMENTS 2026'!C1472),"",IF('ENGAGEMENTS 2026'!C1472="DTSI","DCT",'ENGAGEMENTS 2026'!C1472))</f>
        <v/>
      </c>
      <c r="B1472">
        <f>IF(ISBLANK('ENGAGEMENTS 2026'!C1472),"",'ENGAGEMENTS 2026'!D1472)</f>
        <v/>
      </c>
      <c r="C1472">
        <f>IF(ISBLANK('ENGAGEMENTS 2026'!C1472),"",'ENGAGEMENTS 2026'!E1472)</f>
        <v/>
      </c>
      <c r="D1472">
        <f>IF(ISBLANK('ENGAGEMENTS 2026'!C1472),"",'ENGAGEMENTS 2026'!G1472)</f>
        <v/>
      </c>
      <c r="E1472">
        <f>IF(ISBLANK('ENGAGEMENTS 2026'!C1472),"",'ENGAGEMENTS 2026'!I1472)</f>
        <v/>
      </c>
      <c r="F1472">
        <f>IF(ISBLANK('ENGAGEMENTS 2026'!C1472),"",'ENGAGEMENTS 2026'!J1472)</f>
        <v/>
      </c>
      <c r="G1472">
        <f>IF(ISBLANK('ENGAGEMENTS 2026'!C1472),"",'ENGAGEMENTS 2026'!M1472)</f>
        <v/>
      </c>
      <c r="H1472">
        <f>IF(ISBLANK('ENGAGEMENTS 2026'!C1472),"",'ENGAGEMENTS 2026'!AF1472)</f>
        <v/>
      </c>
      <c r="I1472">
        <f>IF(ISBLANK('ENGAGEMENTS 2026'!C1472),"",'ENGAGEMENTS 2026'!H1472)</f>
        <v/>
      </c>
      <c r="J1472" s="275">
        <f>IF(ISBLANK('ENGAGEMENTS 2026'!C1472),"",IF(AND(OR($E1472="INFRUCTUEUX",$E1472="ANNULE"),$C1472="AOO-M"),'ENGAGEMENTS 2026'!P1472,IF($H1472="EN COURS DE PREENGAGEMENT",'ENGAGEMENTS 2026'!O1472,IF($H1472="PREENGAGE",IF($E1472="ATTRIBUE",'ENGAGEMENTS 2026'!AE1472,'ENGAGEMENTS 2026'!O1472),'ENGAGEMENTS 2026'!AE1472))))</f>
        <v/>
      </c>
      <c r="K1472" s="604">
        <f>IF(ISBLANK('ENGAGEMENTS 2026'!W1472),"",'ENGAGEMENTS 2026'!W1472)</f>
        <v/>
      </c>
      <c r="L1472" s="276">
        <f>IF($K1472="","",TODAY()-$K1472)</f>
        <v/>
      </c>
      <c r="M1472">
        <f>IF($A1472="","",IF($H1472="ENGAGE","Engagé",IF(AND($H1472="NON ENGAGE",OR($I1472="INFRUCTUEUX",$I1472="ANNULE")),"Clôturé sans suite","En cours")))</f>
        <v/>
      </c>
      <c r="N1472">
        <f>IF(ISBLANK('ENGAGEMENTS 2026'!C1472),"",'ENGAGEMENTS 2026'!L1472)</f>
        <v/>
      </c>
      <c r="O1472">
        <f>IF(ISBLANK('ENGAGEMENTS 2026'!C1472),"",'ENGAGEMENTS 2026'!M1472)</f>
        <v/>
      </c>
      <c r="P1472">
        <f>IF(ISBLANK('ENGAGEMENTS 2026'!C1472),"",'ENGAGEMENTS 2026'!K1472)</f>
        <v/>
      </c>
      <c r="Q1472">
        <f>IF($A1472="","",IF(OR($E1472="INFRUCTUEUX",$E1472="ANNULE"),$A1472&amp;"|"&amp;(COUNTIFS($A$2:$A1472,$A1472,$E$2:$E1472,"INFRUCTUEUX")+COUNTIFS($A$2:$A1472,$A1472,$E$2:$E1472,"ANNULE")),""))</f>
        <v/>
      </c>
    </row>
    <row r="1473">
      <c r="A1473">
        <f>IF(ISBLANK('ENGAGEMENTS 2026'!C1473),"",IF('ENGAGEMENTS 2026'!C1473="DTSI","DCT",'ENGAGEMENTS 2026'!C1473))</f>
        <v/>
      </c>
      <c r="B1473">
        <f>IF(ISBLANK('ENGAGEMENTS 2026'!C1473),"",'ENGAGEMENTS 2026'!D1473)</f>
        <v/>
      </c>
      <c r="C1473">
        <f>IF(ISBLANK('ENGAGEMENTS 2026'!C1473),"",'ENGAGEMENTS 2026'!E1473)</f>
        <v/>
      </c>
      <c r="D1473">
        <f>IF(ISBLANK('ENGAGEMENTS 2026'!C1473),"",'ENGAGEMENTS 2026'!G1473)</f>
        <v/>
      </c>
      <c r="E1473">
        <f>IF(ISBLANK('ENGAGEMENTS 2026'!C1473),"",'ENGAGEMENTS 2026'!I1473)</f>
        <v/>
      </c>
      <c r="F1473">
        <f>IF(ISBLANK('ENGAGEMENTS 2026'!C1473),"",'ENGAGEMENTS 2026'!J1473)</f>
        <v/>
      </c>
      <c r="G1473">
        <f>IF(ISBLANK('ENGAGEMENTS 2026'!C1473),"",'ENGAGEMENTS 2026'!M1473)</f>
        <v/>
      </c>
      <c r="H1473">
        <f>IF(ISBLANK('ENGAGEMENTS 2026'!C1473),"",'ENGAGEMENTS 2026'!AF1473)</f>
        <v/>
      </c>
      <c r="I1473">
        <f>IF(ISBLANK('ENGAGEMENTS 2026'!C1473),"",'ENGAGEMENTS 2026'!H1473)</f>
        <v/>
      </c>
      <c r="J1473" s="275">
        <f>IF(ISBLANK('ENGAGEMENTS 2026'!C1473),"",IF(AND(OR($E1473="INFRUCTUEUX",$E1473="ANNULE"),$C1473="AOO-M"),'ENGAGEMENTS 2026'!P1473,IF($H1473="EN COURS DE PREENGAGEMENT",'ENGAGEMENTS 2026'!O1473,IF($H1473="PREENGAGE",IF($E1473="ATTRIBUE",'ENGAGEMENTS 2026'!AE1473,'ENGAGEMENTS 2026'!O1473),'ENGAGEMENTS 2026'!AE1473))))</f>
        <v/>
      </c>
      <c r="K1473" s="604">
        <f>IF(ISBLANK('ENGAGEMENTS 2026'!W1473),"",'ENGAGEMENTS 2026'!W1473)</f>
        <v/>
      </c>
      <c r="L1473" s="276">
        <f>IF($K1473="","",TODAY()-$K1473)</f>
        <v/>
      </c>
      <c r="M1473">
        <f>IF($A1473="","",IF($H1473="ENGAGE","Engagé",IF(AND($H1473="NON ENGAGE",OR($I1473="INFRUCTUEUX",$I1473="ANNULE")),"Clôturé sans suite","En cours")))</f>
        <v/>
      </c>
      <c r="N1473">
        <f>IF(ISBLANK('ENGAGEMENTS 2026'!C1473),"",'ENGAGEMENTS 2026'!L1473)</f>
        <v/>
      </c>
      <c r="O1473">
        <f>IF(ISBLANK('ENGAGEMENTS 2026'!C1473),"",'ENGAGEMENTS 2026'!M1473)</f>
        <v/>
      </c>
      <c r="P1473">
        <f>IF(ISBLANK('ENGAGEMENTS 2026'!C1473),"",'ENGAGEMENTS 2026'!K1473)</f>
        <v/>
      </c>
      <c r="Q1473">
        <f>IF($A1473="","",IF(OR($E1473="INFRUCTUEUX",$E1473="ANNULE"),$A1473&amp;"|"&amp;(COUNTIFS($A$2:$A1473,$A1473,$E$2:$E1473,"INFRUCTUEUX")+COUNTIFS($A$2:$A1473,$A1473,$E$2:$E1473,"ANNULE")),""))</f>
        <v/>
      </c>
    </row>
    <row r="1474">
      <c r="A1474">
        <f>IF(ISBLANK('ENGAGEMENTS 2026'!C1474),"",IF('ENGAGEMENTS 2026'!C1474="DTSI","DCT",'ENGAGEMENTS 2026'!C1474))</f>
        <v/>
      </c>
      <c r="B1474">
        <f>IF(ISBLANK('ENGAGEMENTS 2026'!C1474),"",'ENGAGEMENTS 2026'!D1474)</f>
        <v/>
      </c>
      <c r="C1474">
        <f>IF(ISBLANK('ENGAGEMENTS 2026'!C1474),"",'ENGAGEMENTS 2026'!E1474)</f>
        <v/>
      </c>
      <c r="D1474">
        <f>IF(ISBLANK('ENGAGEMENTS 2026'!C1474),"",'ENGAGEMENTS 2026'!G1474)</f>
        <v/>
      </c>
      <c r="E1474">
        <f>IF(ISBLANK('ENGAGEMENTS 2026'!C1474),"",'ENGAGEMENTS 2026'!I1474)</f>
        <v/>
      </c>
      <c r="F1474">
        <f>IF(ISBLANK('ENGAGEMENTS 2026'!C1474),"",'ENGAGEMENTS 2026'!J1474)</f>
        <v/>
      </c>
      <c r="G1474">
        <f>IF(ISBLANK('ENGAGEMENTS 2026'!C1474),"",'ENGAGEMENTS 2026'!M1474)</f>
        <v/>
      </c>
      <c r="H1474">
        <f>IF(ISBLANK('ENGAGEMENTS 2026'!C1474),"",'ENGAGEMENTS 2026'!AF1474)</f>
        <v/>
      </c>
      <c r="I1474">
        <f>IF(ISBLANK('ENGAGEMENTS 2026'!C1474),"",'ENGAGEMENTS 2026'!H1474)</f>
        <v/>
      </c>
      <c r="J1474" s="275">
        <f>IF(ISBLANK('ENGAGEMENTS 2026'!C1474),"",IF(AND(OR($E1474="INFRUCTUEUX",$E1474="ANNULE"),$C1474="AOO-M"),'ENGAGEMENTS 2026'!P1474,IF($H1474="EN COURS DE PREENGAGEMENT",'ENGAGEMENTS 2026'!O1474,IF($H1474="PREENGAGE",IF($E1474="ATTRIBUE",'ENGAGEMENTS 2026'!AE1474,'ENGAGEMENTS 2026'!O1474),'ENGAGEMENTS 2026'!AE1474))))</f>
        <v/>
      </c>
      <c r="K1474" s="604">
        <f>IF(ISBLANK('ENGAGEMENTS 2026'!W1474),"",'ENGAGEMENTS 2026'!W1474)</f>
        <v/>
      </c>
      <c r="L1474" s="276">
        <f>IF($K1474="","",TODAY()-$K1474)</f>
        <v/>
      </c>
      <c r="M1474">
        <f>IF($A1474="","",IF($H1474="ENGAGE","Engagé",IF(AND($H1474="NON ENGAGE",OR($I1474="INFRUCTUEUX",$I1474="ANNULE")),"Clôturé sans suite","En cours")))</f>
        <v/>
      </c>
      <c r="N1474">
        <f>IF(ISBLANK('ENGAGEMENTS 2026'!C1474),"",'ENGAGEMENTS 2026'!L1474)</f>
        <v/>
      </c>
      <c r="O1474">
        <f>IF(ISBLANK('ENGAGEMENTS 2026'!C1474),"",'ENGAGEMENTS 2026'!M1474)</f>
        <v/>
      </c>
      <c r="P1474">
        <f>IF(ISBLANK('ENGAGEMENTS 2026'!C1474),"",'ENGAGEMENTS 2026'!K1474)</f>
        <v/>
      </c>
      <c r="Q1474">
        <f>IF($A1474="","",IF(OR($E1474="INFRUCTUEUX",$E1474="ANNULE"),$A1474&amp;"|"&amp;(COUNTIFS($A$2:$A1474,$A1474,$E$2:$E1474,"INFRUCTUEUX")+COUNTIFS($A$2:$A1474,$A1474,$E$2:$E1474,"ANNULE")),""))</f>
        <v/>
      </c>
    </row>
    <row r="1475">
      <c r="A1475">
        <f>IF(ISBLANK('ENGAGEMENTS 2026'!C1475),"",IF('ENGAGEMENTS 2026'!C1475="DTSI","DCT",'ENGAGEMENTS 2026'!C1475))</f>
        <v/>
      </c>
      <c r="B1475">
        <f>IF(ISBLANK('ENGAGEMENTS 2026'!C1475),"",'ENGAGEMENTS 2026'!D1475)</f>
        <v/>
      </c>
      <c r="C1475">
        <f>IF(ISBLANK('ENGAGEMENTS 2026'!C1475),"",'ENGAGEMENTS 2026'!E1475)</f>
        <v/>
      </c>
      <c r="D1475">
        <f>IF(ISBLANK('ENGAGEMENTS 2026'!C1475),"",'ENGAGEMENTS 2026'!G1475)</f>
        <v/>
      </c>
      <c r="E1475">
        <f>IF(ISBLANK('ENGAGEMENTS 2026'!C1475),"",'ENGAGEMENTS 2026'!I1475)</f>
        <v/>
      </c>
      <c r="F1475">
        <f>IF(ISBLANK('ENGAGEMENTS 2026'!C1475),"",'ENGAGEMENTS 2026'!J1475)</f>
        <v/>
      </c>
      <c r="G1475">
        <f>IF(ISBLANK('ENGAGEMENTS 2026'!C1475),"",'ENGAGEMENTS 2026'!M1475)</f>
        <v/>
      </c>
      <c r="H1475">
        <f>IF(ISBLANK('ENGAGEMENTS 2026'!C1475),"",'ENGAGEMENTS 2026'!AF1475)</f>
        <v/>
      </c>
      <c r="I1475">
        <f>IF(ISBLANK('ENGAGEMENTS 2026'!C1475),"",'ENGAGEMENTS 2026'!H1475)</f>
        <v/>
      </c>
      <c r="J1475" s="275">
        <f>IF(ISBLANK('ENGAGEMENTS 2026'!C1475),"",IF(AND(OR($E1475="INFRUCTUEUX",$E1475="ANNULE"),$C1475="AOO-M"),'ENGAGEMENTS 2026'!P1475,IF($H1475="EN COURS DE PREENGAGEMENT",'ENGAGEMENTS 2026'!O1475,IF($H1475="PREENGAGE",IF($E1475="ATTRIBUE",'ENGAGEMENTS 2026'!AE1475,'ENGAGEMENTS 2026'!O1475),'ENGAGEMENTS 2026'!AE1475))))</f>
        <v/>
      </c>
      <c r="K1475" s="604">
        <f>IF(ISBLANK('ENGAGEMENTS 2026'!W1475),"",'ENGAGEMENTS 2026'!W1475)</f>
        <v/>
      </c>
      <c r="L1475" s="276">
        <f>IF($K1475="","",TODAY()-$K1475)</f>
        <v/>
      </c>
      <c r="M1475">
        <f>IF($A1475="","",IF($H1475="ENGAGE","Engagé",IF(AND($H1475="NON ENGAGE",OR($I1475="INFRUCTUEUX",$I1475="ANNULE")),"Clôturé sans suite","En cours")))</f>
        <v/>
      </c>
      <c r="N1475">
        <f>IF(ISBLANK('ENGAGEMENTS 2026'!C1475),"",'ENGAGEMENTS 2026'!L1475)</f>
        <v/>
      </c>
      <c r="O1475">
        <f>IF(ISBLANK('ENGAGEMENTS 2026'!C1475),"",'ENGAGEMENTS 2026'!M1475)</f>
        <v/>
      </c>
      <c r="P1475">
        <f>IF(ISBLANK('ENGAGEMENTS 2026'!C1475),"",'ENGAGEMENTS 2026'!K1475)</f>
        <v/>
      </c>
      <c r="Q1475">
        <f>IF($A1475="","",IF(OR($E1475="INFRUCTUEUX",$E1475="ANNULE"),$A1475&amp;"|"&amp;(COUNTIFS($A$2:$A1475,$A1475,$E$2:$E1475,"INFRUCTUEUX")+COUNTIFS($A$2:$A1475,$A1475,$E$2:$E1475,"ANNULE")),""))</f>
        <v/>
      </c>
    </row>
    <row r="1476">
      <c r="A1476">
        <f>IF(ISBLANK('ENGAGEMENTS 2026'!C1476),"",IF('ENGAGEMENTS 2026'!C1476="DTSI","DCT",'ENGAGEMENTS 2026'!C1476))</f>
        <v/>
      </c>
      <c r="B1476">
        <f>IF(ISBLANK('ENGAGEMENTS 2026'!C1476),"",'ENGAGEMENTS 2026'!D1476)</f>
        <v/>
      </c>
      <c r="C1476">
        <f>IF(ISBLANK('ENGAGEMENTS 2026'!C1476),"",'ENGAGEMENTS 2026'!E1476)</f>
        <v/>
      </c>
      <c r="D1476">
        <f>IF(ISBLANK('ENGAGEMENTS 2026'!C1476),"",'ENGAGEMENTS 2026'!G1476)</f>
        <v/>
      </c>
      <c r="E1476">
        <f>IF(ISBLANK('ENGAGEMENTS 2026'!C1476),"",'ENGAGEMENTS 2026'!I1476)</f>
        <v/>
      </c>
      <c r="F1476">
        <f>IF(ISBLANK('ENGAGEMENTS 2026'!C1476),"",'ENGAGEMENTS 2026'!J1476)</f>
        <v/>
      </c>
      <c r="G1476">
        <f>IF(ISBLANK('ENGAGEMENTS 2026'!C1476),"",'ENGAGEMENTS 2026'!M1476)</f>
        <v/>
      </c>
      <c r="H1476">
        <f>IF(ISBLANK('ENGAGEMENTS 2026'!C1476),"",'ENGAGEMENTS 2026'!AF1476)</f>
        <v/>
      </c>
      <c r="I1476">
        <f>IF(ISBLANK('ENGAGEMENTS 2026'!C1476),"",'ENGAGEMENTS 2026'!H1476)</f>
        <v/>
      </c>
      <c r="J1476" s="275">
        <f>IF(ISBLANK('ENGAGEMENTS 2026'!C1476),"",IF(AND(OR($E1476="INFRUCTUEUX",$E1476="ANNULE"),$C1476="AOO-M"),'ENGAGEMENTS 2026'!P1476,IF($H1476="EN COURS DE PREENGAGEMENT",'ENGAGEMENTS 2026'!O1476,IF($H1476="PREENGAGE",IF($E1476="ATTRIBUE",'ENGAGEMENTS 2026'!AE1476,'ENGAGEMENTS 2026'!O1476),'ENGAGEMENTS 2026'!AE1476))))</f>
        <v/>
      </c>
      <c r="K1476" s="604">
        <f>IF(ISBLANK('ENGAGEMENTS 2026'!W1476),"",'ENGAGEMENTS 2026'!W1476)</f>
        <v/>
      </c>
      <c r="L1476" s="276">
        <f>IF($K1476="","",TODAY()-$K1476)</f>
        <v/>
      </c>
      <c r="M1476">
        <f>IF($A1476="","",IF($H1476="ENGAGE","Engagé",IF(AND($H1476="NON ENGAGE",OR($I1476="INFRUCTUEUX",$I1476="ANNULE")),"Clôturé sans suite","En cours")))</f>
        <v/>
      </c>
      <c r="N1476">
        <f>IF(ISBLANK('ENGAGEMENTS 2026'!C1476),"",'ENGAGEMENTS 2026'!L1476)</f>
        <v/>
      </c>
      <c r="O1476">
        <f>IF(ISBLANK('ENGAGEMENTS 2026'!C1476),"",'ENGAGEMENTS 2026'!M1476)</f>
        <v/>
      </c>
      <c r="P1476">
        <f>IF(ISBLANK('ENGAGEMENTS 2026'!C1476),"",'ENGAGEMENTS 2026'!K1476)</f>
        <v/>
      </c>
      <c r="Q1476">
        <f>IF($A1476="","",IF(OR($E1476="INFRUCTUEUX",$E1476="ANNULE"),$A1476&amp;"|"&amp;(COUNTIFS($A$2:$A1476,$A1476,$E$2:$E1476,"INFRUCTUEUX")+COUNTIFS($A$2:$A1476,$A1476,$E$2:$E1476,"ANNULE")),""))</f>
        <v/>
      </c>
    </row>
    <row r="1477">
      <c r="A1477">
        <f>IF(ISBLANK('ENGAGEMENTS 2026'!C1477),"",IF('ENGAGEMENTS 2026'!C1477="DTSI","DCT",'ENGAGEMENTS 2026'!C1477))</f>
        <v/>
      </c>
      <c r="B1477">
        <f>IF(ISBLANK('ENGAGEMENTS 2026'!C1477),"",'ENGAGEMENTS 2026'!D1477)</f>
        <v/>
      </c>
      <c r="C1477">
        <f>IF(ISBLANK('ENGAGEMENTS 2026'!C1477),"",'ENGAGEMENTS 2026'!E1477)</f>
        <v/>
      </c>
      <c r="D1477">
        <f>IF(ISBLANK('ENGAGEMENTS 2026'!C1477),"",'ENGAGEMENTS 2026'!G1477)</f>
        <v/>
      </c>
      <c r="E1477">
        <f>IF(ISBLANK('ENGAGEMENTS 2026'!C1477),"",'ENGAGEMENTS 2026'!I1477)</f>
        <v/>
      </c>
      <c r="F1477">
        <f>IF(ISBLANK('ENGAGEMENTS 2026'!C1477),"",'ENGAGEMENTS 2026'!J1477)</f>
        <v/>
      </c>
      <c r="G1477">
        <f>IF(ISBLANK('ENGAGEMENTS 2026'!C1477),"",'ENGAGEMENTS 2026'!M1477)</f>
        <v/>
      </c>
      <c r="H1477">
        <f>IF(ISBLANK('ENGAGEMENTS 2026'!C1477),"",'ENGAGEMENTS 2026'!AF1477)</f>
        <v/>
      </c>
      <c r="I1477">
        <f>IF(ISBLANK('ENGAGEMENTS 2026'!C1477),"",'ENGAGEMENTS 2026'!H1477)</f>
        <v/>
      </c>
      <c r="J1477" s="275">
        <f>IF(ISBLANK('ENGAGEMENTS 2026'!C1477),"",IF(AND(OR($E1477="INFRUCTUEUX",$E1477="ANNULE"),$C1477="AOO-M"),'ENGAGEMENTS 2026'!P1477,IF($H1477="EN COURS DE PREENGAGEMENT",'ENGAGEMENTS 2026'!O1477,IF($H1477="PREENGAGE",IF($E1477="ATTRIBUE",'ENGAGEMENTS 2026'!AE1477,'ENGAGEMENTS 2026'!O1477),'ENGAGEMENTS 2026'!AE1477))))</f>
        <v/>
      </c>
      <c r="K1477" s="604">
        <f>IF(ISBLANK('ENGAGEMENTS 2026'!W1477),"",'ENGAGEMENTS 2026'!W1477)</f>
        <v/>
      </c>
      <c r="L1477" s="276">
        <f>IF($K1477="","",TODAY()-$K1477)</f>
        <v/>
      </c>
      <c r="M1477">
        <f>IF($A1477="","",IF($H1477="ENGAGE","Engagé",IF(AND($H1477="NON ENGAGE",OR($I1477="INFRUCTUEUX",$I1477="ANNULE")),"Clôturé sans suite","En cours")))</f>
        <v/>
      </c>
      <c r="N1477">
        <f>IF(ISBLANK('ENGAGEMENTS 2026'!C1477),"",'ENGAGEMENTS 2026'!L1477)</f>
        <v/>
      </c>
      <c r="O1477">
        <f>IF(ISBLANK('ENGAGEMENTS 2026'!C1477),"",'ENGAGEMENTS 2026'!M1477)</f>
        <v/>
      </c>
      <c r="P1477">
        <f>IF(ISBLANK('ENGAGEMENTS 2026'!C1477),"",'ENGAGEMENTS 2026'!K1477)</f>
        <v/>
      </c>
      <c r="Q1477">
        <f>IF($A1477="","",IF(OR($E1477="INFRUCTUEUX",$E1477="ANNULE"),$A1477&amp;"|"&amp;(COUNTIFS($A$2:$A1477,$A1477,$E$2:$E1477,"INFRUCTUEUX")+COUNTIFS($A$2:$A1477,$A1477,$E$2:$E1477,"ANNULE")),""))</f>
        <v/>
      </c>
    </row>
    <row r="1478">
      <c r="A1478">
        <f>IF(ISBLANK('ENGAGEMENTS 2026'!C1478),"",IF('ENGAGEMENTS 2026'!C1478="DTSI","DCT",'ENGAGEMENTS 2026'!C1478))</f>
        <v/>
      </c>
      <c r="B1478">
        <f>IF(ISBLANK('ENGAGEMENTS 2026'!C1478),"",'ENGAGEMENTS 2026'!D1478)</f>
        <v/>
      </c>
      <c r="C1478">
        <f>IF(ISBLANK('ENGAGEMENTS 2026'!C1478),"",'ENGAGEMENTS 2026'!E1478)</f>
        <v/>
      </c>
      <c r="D1478">
        <f>IF(ISBLANK('ENGAGEMENTS 2026'!C1478),"",'ENGAGEMENTS 2026'!G1478)</f>
        <v/>
      </c>
      <c r="E1478">
        <f>IF(ISBLANK('ENGAGEMENTS 2026'!C1478),"",'ENGAGEMENTS 2026'!I1478)</f>
        <v/>
      </c>
      <c r="F1478">
        <f>IF(ISBLANK('ENGAGEMENTS 2026'!C1478),"",'ENGAGEMENTS 2026'!J1478)</f>
        <v/>
      </c>
      <c r="G1478">
        <f>IF(ISBLANK('ENGAGEMENTS 2026'!C1478),"",'ENGAGEMENTS 2026'!M1478)</f>
        <v/>
      </c>
      <c r="H1478">
        <f>IF(ISBLANK('ENGAGEMENTS 2026'!C1478),"",'ENGAGEMENTS 2026'!AF1478)</f>
        <v/>
      </c>
      <c r="I1478">
        <f>IF(ISBLANK('ENGAGEMENTS 2026'!C1478),"",'ENGAGEMENTS 2026'!H1478)</f>
        <v/>
      </c>
      <c r="J1478" s="275">
        <f>IF(ISBLANK('ENGAGEMENTS 2026'!C1478),"",IF(AND(OR($E1478="INFRUCTUEUX",$E1478="ANNULE"),$C1478="AOO-M"),'ENGAGEMENTS 2026'!P1478,IF($H1478="EN COURS DE PREENGAGEMENT",'ENGAGEMENTS 2026'!O1478,IF($H1478="PREENGAGE",IF($E1478="ATTRIBUE",'ENGAGEMENTS 2026'!AE1478,'ENGAGEMENTS 2026'!O1478),'ENGAGEMENTS 2026'!AE1478))))</f>
        <v/>
      </c>
      <c r="K1478" s="604">
        <f>IF(ISBLANK('ENGAGEMENTS 2026'!W1478),"",'ENGAGEMENTS 2026'!W1478)</f>
        <v/>
      </c>
      <c r="L1478" s="276">
        <f>IF($K1478="","",TODAY()-$K1478)</f>
        <v/>
      </c>
      <c r="M1478">
        <f>IF($A1478="","",IF($H1478="ENGAGE","Engagé",IF(AND($H1478="NON ENGAGE",OR($I1478="INFRUCTUEUX",$I1478="ANNULE")),"Clôturé sans suite","En cours")))</f>
        <v/>
      </c>
      <c r="N1478">
        <f>IF(ISBLANK('ENGAGEMENTS 2026'!C1478),"",'ENGAGEMENTS 2026'!L1478)</f>
        <v/>
      </c>
      <c r="O1478">
        <f>IF(ISBLANK('ENGAGEMENTS 2026'!C1478),"",'ENGAGEMENTS 2026'!M1478)</f>
        <v/>
      </c>
      <c r="P1478">
        <f>IF(ISBLANK('ENGAGEMENTS 2026'!C1478),"",'ENGAGEMENTS 2026'!K1478)</f>
        <v/>
      </c>
      <c r="Q1478">
        <f>IF($A1478="","",IF(OR($E1478="INFRUCTUEUX",$E1478="ANNULE"),$A1478&amp;"|"&amp;(COUNTIFS($A$2:$A1478,$A1478,$E$2:$E1478,"INFRUCTUEUX")+COUNTIFS($A$2:$A1478,$A1478,$E$2:$E1478,"ANNULE")),""))</f>
        <v/>
      </c>
    </row>
    <row r="1479">
      <c r="A1479">
        <f>IF(ISBLANK('ENGAGEMENTS 2026'!C1479),"",IF('ENGAGEMENTS 2026'!C1479="DTSI","DCT",'ENGAGEMENTS 2026'!C1479))</f>
        <v/>
      </c>
      <c r="B1479">
        <f>IF(ISBLANK('ENGAGEMENTS 2026'!C1479),"",'ENGAGEMENTS 2026'!D1479)</f>
        <v/>
      </c>
      <c r="C1479">
        <f>IF(ISBLANK('ENGAGEMENTS 2026'!C1479),"",'ENGAGEMENTS 2026'!E1479)</f>
        <v/>
      </c>
      <c r="D1479">
        <f>IF(ISBLANK('ENGAGEMENTS 2026'!C1479),"",'ENGAGEMENTS 2026'!G1479)</f>
        <v/>
      </c>
      <c r="E1479">
        <f>IF(ISBLANK('ENGAGEMENTS 2026'!C1479),"",'ENGAGEMENTS 2026'!I1479)</f>
        <v/>
      </c>
      <c r="F1479">
        <f>IF(ISBLANK('ENGAGEMENTS 2026'!C1479),"",'ENGAGEMENTS 2026'!J1479)</f>
        <v/>
      </c>
      <c r="G1479">
        <f>IF(ISBLANK('ENGAGEMENTS 2026'!C1479),"",'ENGAGEMENTS 2026'!M1479)</f>
        <v/>
      </c>
      <c r="H1479">
        <f>IF(ISBLANK('ENGAGEMENTS 2026'!C1479),"",'ENGAGEMENTS 2026'!AF1479)</f>
        <v/>
      </c>
      <c r="I1479">
        <f>IF(ISBLANK('ENGAGEMENTS 2026'!C1479),"",'ENGAGEMENTS 2026'!H1479)</f>
        <v/>
      </c>
      <c r="J1479" s="275">
        <f>IF(ISBLANK('ENGAGEMENTS 2026'!C1479),"",IF(AND(OR($E1479="INFRUCTUEUX",$E1479="ANNULE"),$C1479="AOO-M"),'ENGAGEMENTS 2026'!P1479,IF($H1479="EN COURS DE PREENGAGEMENT",'ENGAGEMENTS 2026'!O1479,IF($H1479="PREENGAGE",IF($E1479="ATTRIBUE",'ENGAGEMENTS 2026'!AE1479,'ENGAGEMENTS 2026'!O1479),'ENGAGEMENTS 2026'!AE1479))))</f>
        <v/>
      </c>
      <c r="K1479" s="604">
        <f>IF(ISBLANK('ENGAGEMENTS 2026'!W1479),"",'ENGAGEMENTS 2026'!W1479)</f>
        <v/>
      </c>
      <c r="L1479" s="276">
        <f>IF($K1479="","",TODAY()-$K1479)</f>
        <v/>
      </c>
      <c r="M1479">
        <f>IF($A1479="","",IF($H1479="ENGAGE","Engagé",IF(AND($H1479="NON ENGAGE",OR($I1479="INFRUCTUEUX",$I1479="ANNULE")),"Clôturé sans suite","En cours")))</f>
        <v/>
      </c>
      <c r="N1479">
        <f>IF(ISBLANK('ENGAGEMENTS 2026'!C1479),"",'ENGAGEMENTS 2026'!L1479)</f>
        <v/>
      </c>
      <c r="O1479">
        <f>IF(ISBLANK('ENGAGEMENTS 2026'!C1479),"",'ENGAGEMENTS 2026'!M1479)</f>
        <v/>
      </c>
      <c r="P1479">
        <f>IF(ISBLANK('ENGAGEMENTS 2026'!C1479),"",'ENGAGEMENTS 2026'!K1479)</f>
        <v/>
      </c>
      <c r="Q1479">
        <f>IF($A1479="","",IF(OR($E1479="INFRUCTUEUX",$E1479="ANNULE"),$A1479&amp;"|"&amp;(COUNTIFS($A$2:$A1479,$A1479,$E$2:$E1479,"INFRUCTUEUX")+COUNTIFS($A$2:$A1479,$A1479,$E$2:$E1479,"ANNULE")),""))</f>
        <v/>
      </c>
    </row>
    <row r="1480">
      <c r="A1480">
        <f>IF(ISBLANK('ENGAGEMENTS 2026'!C1480),"",IF('ENGAGEMENTS 2026'!C1480="DTSI","DCT",'ENGAGEMENTS 2026'!C1480))</f>
        <v/>
      </c>
      <c r="B1480">
        <f>IF(ISBLANK('ENGAGEMENTS 2026'!C1480),"",'ENGAGEMENTS 2026'!D1480)</f>
        <v/>
      </c>
      <c r="C1480">
        <f>IF(ISBLANK('ENGAGEMENTS 2026'!C1480),"",'ENGAGEMENTS 2026'!E1480)</f>
        <v/>
      </c>
      <c r="D1480">
        <f>IF(ISBLANK('ENGAGEMENTS 2026'!C1480),"",'ENGAGEMENTS 2026'!G1480)</f>
        <v/>
      </c>
      <c r="E1480">
        <f>IF(ISBLANK('ENGAGEMENTS 2026'!C1480),"",'ENGAGEMENTS 2026'!I1480)</f>
        <v/>
      </c>
      <c r="F1480">
        <f>IF(ISBLANK('ENGAGEMENTS 2026'!C1480),"",'ENGAGEMENTS 2026'!J1480)</f>
        <v/>
      </c>
      <c r="G1480">
        <f>IF(ISBLANK('ENGAGEMENTS 2026'!C1480),"",'ENGAGEMENTS 2026'!M1480)</f>
        <v/>
      </c>
      <c r="H1480">
        <f>IF(ISBLANK('ENGAGEMENTS 2026'!C1480),"",'ENGAGEMENTS 2026'!AF1480)</f>
        <v/>
      </c>
      <c r="I1480">
        <f>IF(ISBLANK('ENGAGEMENTS 2026'!C1480),"",'ENGAGEMENTS 2026'!H1480)</f>
        <v/>
      </c>
      <c r="J1480" s="275">
        <f>IF(ISBLANK('ENGAGEMENTS 2026'!C1480),"",IF(AND(OR($E1480="INFRUCTUEUX",$E1480="ANNULE"),$C1480="AOO-M"),'ENGAGEMENTS 2026'!P1480,IF($H1480="EN COURS DE PREENGAGEMENT",'ENGAGEMENTS 2026'!O1480,IF($H1480="PREENGAGE",IF($E1480="ATTRIBUE",'ENGAGEMENTS 2026'!AE1480,'ENGAGEMENTS 2026'!O1480),'ENGAGEMENTS 2026'!AE1480))))</f>
        <v/>
      </c>
      <c r="K1480" s="604">
        <f>IF(ISBLANK('ENGAGEMENTS 2026'!W1480),"",'ENGAGEMENTS 2026'!W1480)</f>
        <v/>
      </c>
      <c r="L1480" s="276">
        <f>IF($K1480="","",TODAY()-$K1480)</f>
        <v/>
      </c>
      <c r="M1480">
        <f>IF($A1480="","",IF($H1480="ENGAGE","Engagé",IF(AND($H1480="NON ENGAGE",OR($I1480="INFRUCTUEUX",$I1480="ANNULE")),"Clôturé sans suite","En cours")))</f>
        <v/>
      </c>
      <c r="N1480">
        <f>IF(ISBLANK('ENGAGEMENTS 2026'!C1480),"",'ENGAGEMENTS 2026'!L1480)</f>
        <v/>
      </c>
      <c r="O1480">
        <f>IF(ISBLANK('ENGAGEMENTS 2026'!C1480),"",'ENGAGEMENTS 2026'!M1480)</f>
        <v/>
      </c>
      <c r="P1480">
        <f>IF(ISBLANK('ENGAGEMENTS 2026'!C1480),"",'ENGAGEMENTS 2026'!K1480)</f>
        <v/>
      </c>
      <c r="Q1480">
        <f>IF($A1480="","",IF(OR($E1480="INFRUCTUEUX",$E1480="ANNULE"),$A1480&amp;"|"&amp;(COUNTIFS($A$2:$A1480,$A1480,$E$2:$E1480,"INFRUCTUEUX")+COUNTIFS($A$2:$A1480,$A1480,$E$2:$E1480,"ANNULE")),""))</f>
        <v/>
      </c>
    </row>
    <row r="1481">
      <c r="A1481">
        <f>IF(ISBLANK('ENGAGEMENTS 2026'!C1481),"",IF('ENGAGEMENTS 2026'!C1481="DTSI","DCT",'ENGAGEMENTS 2026'!C1481))</f>
        <v/>
      </c>
      <c r="B1481">
        <f>IF(ISBLANK('ENGAGEMENTS 2026'!C1481),"",'ENGAGEMENTS 2026'!D1481)</f>
        <v/>
      </c>
      <c r="C1481">
        <f>IF(ISBLANK('ENGAGEMENTS 2026'!C1481),"",'ENGAGEMENTS 2026'!E1481)</f>
        <v/>
      </c>
      <c r="D1481">
        <f>IF(ISBLANK('ENGAGEMENTS 2026'!C1481),"",'ENGAGEMENTS 2026'!G1481)</f>
        <v/>
      </c>
      <c r="E1481">
        <f>IF(ISBLANK('ENGAGEMENTS 2026'!C1481),"",'ENGAGEMENTS 2026'!I1481)</f>
        <v/>
      </c>
      <c r="F1481">
        <f>IF(ISBLANK('ENGAGEMENTS 2026'!C1481),"",'ENGAGEMENTS 2026'!J1481)</f>
        <v/>
      </c>
      <c r="G1481">
        <f>IF(ISBLANK('ENGAGEMENTS 2026'!C1481),"",'ENGAGEMENTS 2026'!M1481)</f>
        <v/>
      </c>
      <c r="H1481">
        <f>IF(ISBLANK('ENGAGEMENTS 2026'!C1481),"",'ENGAGEMENTS 2026'!AF1481)</f>
        <v/>
      </c>
      <c r="I1481">
        <f>IF(ISBLANK('ENGAGEMENTS 2026'!C1481),"",'ENGAGEMENTS 2026'!H1481)</f>
        <v/>
      </c>
      <c r="J1481" s="275">
        <f>IF(ISBLANK('ENGAGEMENTS 2026'!C1481),"",IF(AND(OR($E1481="INFRUCTUEUX",$E1481="ANNULE"),$C1481="AOO-M"),'ENGAGEMENTS 2026'!P1481,IF($H1481="EN COURS DE PREENGAGEMENT",'ENGAGEMENTS 2026'!O1481,IF($H1481="PREENGAGE",IF($E1481="ATTRIBUE",'ENGAGEMENTS 2026'!AE1481,'ENGAGEMENTS 2026'!O1481),'ENGAGEMENTS 2026'!AE1481))))</f>
        <v/>
      </c>
      <c r="K1481" s="604">
        <f>IF(ISBLANK('ENGAGEMENTS 2026'!W1481),"",'ENGAGEMENTS 2026'!W1481)</f>
        <v/>
      </c>
      <c r="L1481" s="276">
        <f>IF($K1481="","",TODAY()-$K1481)</f>
        <v/>
      </c>
      <c r="M1481">
        <f>IF($A1481="","",IF($H1481="ENGAGE","Engagé",IF(AND($H1481="NON ENGAGE",OR($I1481="INFRUCTUEUX",$I1481="ANNULE")),"Clôturé sans suite","En cours")))</f>
        <v/>
      </c>
      <c r="N1481">
        <f>IF(ISBLANK('ENGAGEMENTS 2026'!C1481),"",'ENGAGEMENTS 2026'!L1481)</f>
        <v/>
      </c>
      <c r="O1481">
        <f>IF(ISBLANK('ENGAGEMENTS 2026'!C1481),"",'ENGAGEMENTS 2026'!M1481)</f>
        <v/>
      </c>
      <c r="P1481">
        <f>IF(ISBLANK('ENGAGEMENTS 2026'!C1481),"",'ENGAGEMENTS 2026'!K1481)</f>
        <v/>
      </c>
      <c r="Q1481">
        <f>IF($A1481="","",IF(OR($E1481="INFRUCTUEUX",$E1481="ANNULE"),$A1481&amp;"|"&amp;(COUNTIFS($A$2:$A1481,$A1481,$E$2:$E1481,"INFRUCTUEUX")+COUNTIFS($A$2:$A1481,$A1481,$E$2:$E1481,"ANNULE")),""))</f>
        <v/>
      </c>
    </row>
    <row r="1482">
      <c r="A1482">
        <f>IF(ISBLANK('ENGAGEMENTS 2026'!C1482),"",IF('ENGAGEMENTS 2026'!C1482="DTSI","DCT",'ENGAGEMENTS 2026'!C1482))</f>
        <v/>
      </c>
      <c r="B1482">
        <f>IF(ISBLANK('ENGAGEMENTS 2026'!C1482),"",'ENGAGEMENTS 2026'!D1482)</f>
        <v/>
      </c>
      <c r="C1482">
        <f>IF(ISBLANK('ENGAGEMENTS 2026'!C1482),"",'ENGAGEMENTS 2026'!E1482)</f>
        <v/>
      </c>
      <c r="D1482">
        <f>IF(ISBLANK('ENGAGEMENTS 2026'!C1482),"",'ENGAGEMENTS 2026'!G1482)</f>
        <v/>
      </c>
      <c r="E1482">
        <f>IF(ISBLANK('ENGAGEMENTS 2026'!C1482),"",'ENGAGEMENTS 2026'!I1482)</f>
        <v/>
      </c>
      <c r="F1482">
        <f>IF(ISBLANK('ENGAGEMENTS 2026'!C1482),"",'ENGAGEMENTS 2026'!J1482)</f>
        <v/>
      </c>
      <c r="G1482">
        <f>IF(ISBLANK('ENGAGEMENTS 2026'!C1482),"",'ENGAGEMENTS 2026'!M1482)</f>
        <v/>
      </c>
      <c r="H1482">
        <f>IF(ISBLANK('ENGAGEMENTS 2026'!C1482),"",'ENGAGEMENTS 2026'!AF1482)</f>
        <v/>
      </c>
      <c r="I1482">
        <f>IF(ISBLANK('ENGAGEMENTS 2026'!C1482),"",'ENGAGEMENTS 2026'!H1482)</f>
        <v/>
      </c>
      <c r="J1482" s="275">
        <f>IF(ISBLANK('ENGAGEMENTS 2026'!C1482),"",IF(AND(OR($E1482="INFRUCTUEUX",$E1482="ANNULE"),$C1482="AOO-M"),'ENGAGEMENTS 2026'!P1482,IF($H1482="EN COURS DE PREENGAGEMENT",'ENGAGEMENTS 2026'!O1482,IF($H1482="PREENGAGE",IF($E1482="ATTRIBUE",'ENGAGEMENTS 2026'!AE1482,'ENGAGEMENTS 2026'!O1482),'ENGAGEMENTS 2026'!AE1482))))</f>
        <v/>
      </c>
      <c r="K1482" s="604">
        <f>IF(ISBLANK('ENGAGEMENTS 2026'!W1482),"",'ENGAGEMENTS 2026'!W1482)</f>
        <v/>
      </c>
      <c r="L1482" s="276">
        <f>IF($K1482="","",TODAY()-$K1482)</f>
        <v/>
      </c>
      <c r="M1482">
        <f>IF($A1482="","",IF($H1482="ENGAGE","Engagé",IF(AND($H1482="NON ENGAGE",OR($I1482="INFRUCTUEUX",$I1482="ANNULE")),"Clôturé sans suite","En cours")))</f>
        <v/>
      </c>
      <c r="N1482">
        <f>IF(ISBLANK('ENGAGEMENTS 2026'!C1482),"",'ENGAGEMENTS 2026'!L1482)</f>
        <v/>
      </c>
      <c r="O1482">
        <f>IF(ISBLANK('ENGAGEMENTS 2026'!C1482),"",'ENGAGEMENTS 2026'!M1482)</f>
        <v/>
      </c>
      <c r="P1482">
        <f>IF(ISBLANK('ENGAGEMENTS 2026'!C1482),"",'ENGAGEMENTS 2026'!K1482)</f>
        <v/>
      </c>
      <c r="Q1482">
        <f>IF($A1482="","",IF(OR($E1482="INFRUCTUEUX",$E1482="ANNULE"),$A1482&amp;"|"&amp;(COUNTIFS($A$2:$A1482,$A1482,$E$2:$E1482,"INFRUCTUEUX")+COUNTIFS($A$2:$A1482,$A1482,$E$2:$E1482,"ANNULE")),""))</f>
        <v/>
      </c>
    </row>
    <row r="1483">
      <c r="A1483">
        <f>IF(ISBLANK('ENGAGEMENTS 2026'!C1483),"",IF('ENGAGEMENTS 2026'!C1483="DTSI","DCT",'ENGAGEMENTS 2026'!C1483))</f>
        <v/>
      </c>
      <c r="B1483">
        <f>IF(ISBLANK('ENGAGEMENTS 2026'!C1483),"",'ENGAGEMENTS 2026'!D1483)</f>
        <v/>
      </c>
      <c r="C1483">
        <f>IF(ISBLANK('ENGAGEMENTS 2026'!C1483),"",'ENGAGEMENTS 2026'!E1483)</f>
        <v/>
      </c>
      <c r="D1483">
        <f>IF(ISBLANK('ENGAGEMENTS 2026'!C1483),"",'ENGAGEMENTS 2026'!G1483)</f>
        <v/>
      </c>
      <c r="E1483">
        <f>IF(ISBLANK('ENGAGEMENTS 2026'!C1483),"",'ENGAGEMENTS 2026'!I1483)</f>
        <v/>
      </c>
      <c r="F1483">
        <f>IF(ISBLANK('ENGAGEMENTS 2026'!C1483),"",'ENGAGEMENTS 2026'!J1483)</f>
        <v/>
      </c>
      <c r="G1483">
        <f>IF(ISBLANK('ENGAGEMENTS 2026'!C1483),"",'ENGAGEMENTS 2026'!M1483)</f>
        <v/>
      </c>
      <c r="H1483">
        <f>IF(ISBLANK('ENGAGEMENTS 2026'!C1483),"",'ENGAGEMENTS 2026'!AF1483)</f>
        <v/>
      </c>
      <c r="I1483">
        <f>IF(ISBLANK('ENGAGEMENTS 2026'!C1483),"",'ENGAGEMENTS 2026'!H1483)</f>
        <v/>
      </c>
      <c r="J1483" s="275">
        <f>IF(ISBLANK('ENGAGEMENTS 2026'!C1483),"",IF(AND(OR($E1483="INFRUCTUEUX",$E1483="ANNULE"),$C1483="AOO-M"),'ENGAGEMENTS 2026'!P1483,IF($H1483="EN COURS DE PREENGAGEMENT",'ENGAGEMENTS 2026'!O1483,IF($H1483="PREENGAGE",IF($E1483="ATTRIBUE",'ENGAGEMENTS 2026'!AE1483,'ENGAGEMENTS 2026'!O1483),'ENGAGEMENTS 2026'!AE1483))))</f>
        <v/>
      </c>
      <c r="K1483" s="604">
        <f>IF(ISBLANK('ENGAGEMENTS 2026'!W1483),"",'ENGAGEMENTS 2026'!W1483)</f>
        <v/>
      </c>
      <c r="L1483" s="276">
        <f>IF($K1483="","",TODAY()-$K1483)</f>
        <v/>
      </c>
      <c r="M1483">
        <f>IF($A1483="","",IF($H1483="ENGAGE","Engagé",IF(AND($H1483="NON ENGAGE",OR($I1483="INFRUCTUEUX",$I1483="ANNULE")),"Clôturé sans suite","En cours")))</f>
        <v/>
      </c>
      <c r="N1483">
        <f>IF(ISBLANK('ENGAGEMENTS 2026'!C1483),"",'ENGAGEMENTS 2026'!L1483)</f>
        <v/>
      </c>
      <c r="O1483">
        <f>IF(ISBLANK('ENGAGEMENTS 2026'!C1483),"",'ENGAGEMENTS 2026'!M1483)</f>
        <v/>
      </c>
      <c r="P1483">
        <f>IF(ISBLANK('ENGAGEMENTS 2026'!C1483),"",'ENGAGEMENTS 2026'!K1483)</f>
        <v/>
      </c>
      <c r="Q1483">
        <f>IF($A1483="","",IF(OR($E1483="INFRUCTUEUX",$E1483="ANNULE"),$A1483&amp;"|"&amp;(COUNTIFS($A$2:$A1483,$A1483,$E$2:$E1483,"INFRUCTUEUX")+COUNTIFS($A$2:$A1483,$A1483,$E$2:$E1483,"ANNULE")),""))</f>
        <v/>
      </c>
    </row>
    <row r="1484">
      <c r="A1484">
        <f>IF(ISBLANK('ENGAGEMENTS 2026'!C1484),"",IF('ENGAGEMENTS 2026'!C1484="DTSI","DCT",'ENGAGEMENTS 2026'!C1484))</f>
        <v/>
      </c>
      <c r="B1484">
        <f>IF(ISBLANK('ENGAGEMENTS 2026'!C1484),"",'ENGAGEMENTS 2026'!D1484)</f>
        <v/>
      </c>
      <c r="C1484">
        <f>IF(ISBLANK('ENGAGEMENTS 2026'!C1484),"",'ENGAGEMENTS 2026'!E1484)</f>
        <v/>
      </c>
      <c r="D1484">
        <f>IF(ISBLANK('ENGAGEMENTS 2026'!C1484),"",'ENGAGEMENTS 2026'!G1484)</f>
        <v/>
      </c>
      <c r="E1484">
        <f>IF(ISBLANK('ENGAGEMENTS 2026'!C1484),"",'ENGAGEMENTS 2026'!I1484)</f>
        <v/>
      </c>
      <c r="F1484">
        <f>IF(ISBLANK('ENGAGEMENTS 2026'!C1484),"",'ENGAGEMENTS 2026'!J1484)</f>
        <v/>
      </c>
      <c r="G1484">
        <f>IF(ISBLANK('ENGAGEMENTS 2026'!C1484),"",'ENGAGEMENTS 2026'!M1484)</f>
        <v/>
      </c>
      <c r="H1484">
        <f>IF(ISBLANK('ENGAGEMENTS 2026'!C1484),"",'ENGAGEMENTS 2026'!AF1484)</f>
        <v/>
      </c>
      <c r="I1484">
        <f>IF(ISBLANK('ENGAGEMENTS 2026'!C1484),"",'ENGAGEMENTS 2026'!H1484)</f>
        <v/>
      </c>
      <c r="J1484" s="275">
        <f>IF(ISBLANK('ENGAGEMENTS 2026'!C1484),"",IF(AND(OR($E1484="INFRUCTUEUX",$E1484="ANNULE"),$C1484="AOO-M"),'ENGAGEMENTS 2026'!P1484,IF($H1484="EN COURS DE PREENGAGEMENT",'ENGAGEMENTS 2026'!O1484,IF($H1484="PREENGAGE",IF($E1484="ATTRIBUE",'ENGAGEMENTS 2026'!AE1484,'ENGAGEMENTS 2026'!O1484),'ENGAGEMENTS 2026'!AE1484))))</f>
        <v/>
      </c>
      <c r="K1484" s="604">
        <f>IF(ISBLANK('ENGAGEMENTS 2026'!W1484),"",'ENGAGEMENTS 2026'!W1484)</f>
        <v/>
      </c>
      <c r="L1484" s="276">
        <f>IF($K1484="","",TODAY()-$K1484)</f>
        <v/>
      </c>
      <c r="M1484">
        <f>IF($A1484="","",IF($H1484="ENGAGE","Engagé",IF(AND($H1484="NON ENGAGE",OR($I1484="INFRUCTUEUX",$I1484="ANNULE")),"Clôturé sans suite","En cours")))</f>
        <v/>
      </c>
      <c r="N1484">
        <f>IF(ISBLANK('ENGAGEMENTS 2026'!C1484),"",'ENGAGEMENTS 2026'!L1484)</f>
        <v/>
      </c>
      <c r="O1484">
        <f>IF(ISBLANK('ENGAGEMENTS 2026'!C1484),"",'ENGAGEMENTS 2026'!M1484)</f>
        <v/>
      </c>
      <c r="P1484">
        <f>IF(ISBLANK('ENGAGEMENTS 2026'!C1484),"",'ENGAGEMENTS 2026'!K1484)</f>
        <v/>
      </c>
      <c r="Q1484">
        <f>IF($A1484="","",IF(OR($E1484="INFRUCTUEUX",$E1484="ANNULE"),$A1484&amp;"|"&amp;(COUNTIFS($A$2:$A1484,$A1484,$E$2:$E1484,"INFRUCTUEUX")+COUNTIFS($A$2:$A1484,$A1484,$E$2:$E1484,"ANNULE")),""))</f>
        <v/>
      </c>
    </row>
    <row r="1485">
      <c r="A1485">
        <f>IF(ISBLANK('ENGAGEMENTS 2026'!C1485),"",IF('ENGAGEMENTS 2026'!C1485="DTSI","DCT",'ENGAGEMENTS 2026'!C1485))</f>
        <v/>
      </c>
      <c r="B1485">
        <f>IF(ISBLANK('ENGAGEMENTS 2026'!C1485),"",'ENGAGEMENTS 2026'!D1485)</f>
        <v/>
      </c>
      <c r="C1485">
        <f>IF(ISBLANK('ENGAGEMENTS 2026'!C1485),"",'ENGAGEMENTS 2026'!E1485)</f>
        <v/>
      </c>
      <c r="D1485">
        <f>IF(ISBLANK('ENGAGEMENTS 2026'!C1485),"",'ENGAGEMENTS 2026'!G1485)</f>
        <v/>
      </c>
      <c r="E1485">
        <f>IF(ISBLANK('ENGAGEMENTS 2026'!C1485),"",'ENGAGEMENTS 2026'!I1485)</f>
        <v/>
      </c>
      <c r="F1485">
        <f>IF(ISBLANK('ENGAGEMENTS 2026'!C1485),"",'ENGAGEMENTS 2026'!J1485)</f>
        <v/>
      </c>
      <c r="G1485">
        <f>IF(ISBLANK('ENGAGEMENTS 2026'!C1485),"",'ENGAGEMENTS 2026'!M1485)</f>
        <v/>
      </c>
      <c r="H1485">
        <f>IF(ISBLANK('ENGAGEMENTS 2026'!C1485),"",'ENGAGEMENTS 2026'!AF1485)</f>
        <v/>
      </c>
      <c r="I1485">
        <f>IF(ISBLANK('ENGAGEMENTS 2026'!C1485),"",'ENGAGEMENTS 2026'!H1485)</f>
        <v/>
      </c>
      <c r="J1485" s="275">
        <f>IF(ISBLANK('ENGAGEMENTS 2026'!C1485),"",IF(AND(OR($E1485="INFRUCTUEUX",$E1485="ANNULE"),$C1485="AOO-M"),'ENGAGEMENTS 2026'!P1485,IF($H1485="EN COURS DE PREENGAGEMENT",'ENGAGEMENTS 2026'!O1485,IF($H1485="PREENGAGE",IF($E1485="ATTRIBUE",'ENGAGEMENTS 2026'!AE1485,'ENGAGEMENTS 2026'!O1485),'ENGAGEMENTS 2026'!AE1485))))</f>
        <v/>
      </c>
      <c r="K1485" s="604">
        <f>IF(ISBLANK('ENGAGEMENTS 2026'!W1485),"",'ENGAGEMENTS 2026'!W1485)</f>
        <v/>
      </c>
      <c r="L1485" s="276">
        <f>IF($K1485="","",TODAY()-$K1485)</f>
        <v/>
      </c>
      <c r="M1485">
        <f>IF($A1485="","",IF($H1485="ENGAGE","Engagé",IF(AND($H1485="NON ENGAGE",OR($I1485="INFRUCTUEUX",$I1485="ANNULE")),"Clôturé sans suite","En cours")))</f>
        <v/>
      </c>
      <c r="N1485">
        <f>IF(ISBLANK('ENGAGEMENTS 2026'!C1485),"",'ENGAGEMENTS 2026'!L1485)</f>
        <v/>
      </c>
      <c r="O1485">
        <f>IF(ISBLANK('ENGAGEMENTS 2026'!C1485),"",'ENGAGEMENTS 2026'!M1485)</f>
        <v/>
      </c>
      <c r="P1485">
        <f>IF(ISBLANK('ENGAGEMENTS 2026'!C1485),"",'ENGAGEMENTS 2026'!K1485)</f>
        <v/>
      </c>
      <c r="Q1485">
        <f>IF($A1485="","",IF(OR($E1485="INFRUCTUEUX",$E1485="ANNULE"),$A1485&amp;"|"&amp;(COUNTIFS($A$2:$A1485,$A1485,$E$2:$E1485,"INFRUCTUEUX")+COUNTIFS($A$2:$A1485,$A1485,$E$2:$E1485,"ANNULE")),""))</f>
        <v/>
      </c>
    </row>
    <row r="1486">
      <c r="A1486">
        <f>IF(ISBLANK('ENGAGEMENTS 2026'!C1486),"",IF('ENGAGEMENTS 2026'!C1486="DTSI","DCT",'ENGAGEMENTS 2026'!C1486))</f>
        <v/>
      </c>
      <c r="B1486">
        <f>IF(ISBLANK('ENGAGEMENTS 2026'!C1486),"",'ENGAGEMENTS 2026'!D1486)</f>
        <v/>
      </c>
      <c r="C1486">
        <f>IF(ISBLANK('ENGAGEMENTS 2026'!C1486),"",'ENGAGEMENTS 2026'!E1486)</f>
        <v/>
      </c>
      <c r="D1486">
        <f>IF(ISBLANK('ENGAGEMENTS 2026'!C1486),"",'ENGAGEMENTS 2026'!G1486)</f>
        <v/>
      </c>
      <c r="E1486">
        <f>IF(ISBLANK('ENGAGEMENTS 2026'!C1486),"",'ENGAGEMENTS 2026'!I1486)</f>
        <v/>
      </c>
      <c r="F1486">
        <f>IF(ISBLANK('ENGAGEMENTS 2026'!C1486),"",'ENGAGEMENTS 2026'!J1486)</f>
        <v/>
      </c>
      <c r="G1486">
        <f>IF(ISBLANK('ENGAGEMENTS 2026'!C1486),"",'ENGAGEMENTS 2026'!M1486)</f>
        <v/>
      </c>
      <c r="H1486">
        <f>IF(ISBLANK('ENGAGEMENTS 2026'!C1486),"",'ENGAGEMENTS 2026'!AF1486)</f>
        <v/>
      </c>
      <c r="I1486">
        <f>IF(ISBLANK('ENGAGEMENTS 2026'!C1486),"",'ENGAGEMENTS 2026'!H1486)</f>
        <v/>
      </c>
      <c r="J1486" s="275">
        <f>IF(ISBLANK('ENGAGEMENTS 2026'!C1486),"",IF(AND(OR($E1486="INFRUCTUEUX",$E1486="ANNULE"),$C1486="AOO-M"),'ENGAGEMENTS 2026'!P1486,IF($H1486="EN COURS DE PREENGAGEMENT",'ENGAGEMENTS 2026'!O1486,IF($H1486="PREENGAGE",IF($E1486="ATTRIBUE",'ENGAGEMENTS 2026'!AE1486,'ENGAGEMENTS 2026'!O1486),'ENGAGEMENTS 2026'!AE1486))))</f>
        <v/>
      </c>
      <c r="K1486" s="604">
        <f>IF(ISBLANK('ENGAGEMENTS 2026'!W1486),"",'ENGAGEMENTS 2026'!W1486)</f>
        <v/>
      </c>
      <c r="L1486" s="276">
        <f>IF($K1486="","",TODAY()-$K1486)</f>
        <v/>
      </c>
      <c r="M1486">
        <f>IF($A1486="","",IF($H1486="ENGAGE","Engagé",IF(AND($H1486="NON ENGAGE",OR($I1486="INFRUCTUEUX",$I1486="ANNULE")),"Clôturé sans suite","En cours")))</f>
        <v/>
      </c>
      <c r="N1486">
        <f>IF(ISBLANK('ENGAGEMENTS 2026'!C1486),"",'ENGAGEMENTS 2026'!L1486)</f>
        <v/>
      </c>
      <c r="O1486">
        <f>IF(ISBLANK('ENGAGEMENTS 2026'!C1486),"",'ENGAGEMENTS 2026'!M1486)</f>
        <v/>
      </c>
      <c r="P1486">
        <f>IF(ISBLANK('ENGAGEMENTS 2026'!C1486),"",'ENGAGEMENTS 2026'!K1486)</f>
        <v/>
      </c>
      <c r="Q1486">
        <f>IF($A1486="","",IF(OR($E1486="INFRUCTUEUX",$E1486="ANNULE"),$A1486&amp;"|"&amp;(COUNTIFS($A$2:$A1486,$A1486,$E$2:$E1486,"INFRUCTUEUX")+COUNTIFS($A$2:$A1486,$A1486,$E$2:$E1486,"ANNULE")),""))</f>
        <v/>
      </c>
    </row>
    <row r="1487">
      <c r="A1487">
        <f>IF(ISBLANK('ENGAGEMENTS 2026'!C1487),"",IF('ENGAGEMENTS 2026'!C1487="DTSI","DCT",'ENGAGEMENTS 2026'!C1487))</f>
        <v/>
      </c>
      <c r="B1487">
        <f>IF(ISBLANK('ENGAGEMENTS 2026'!C1487),"",'ENGAGEMENTS 2026'!D1487)</f>
        <v/>
      </c>
      <c r="C1487">
        <f>IF(ISBLANK('ENGAGEMENTS 2026'!C1487),"",'ENGAGEMENTS 2026'!E1487)</f>
        <v/>
      </c>
      <c r="D1487">
        <f>IF(ISBLANK('ENGAGEMENTS 2026'!C1487),"",'ENGAGEMENTS 2026'!G1487)</f>
        <v/>
      </c>
      <c r="E1487">
        <f>IF(ISBLANK('ENGAGEMENTS 2026'!C1487),"",'ENGAGEMENTS 2026'!I1487)</f>
        <v/>
      </c>
      <c r="F1487">
        <f>IF(ISBLANK('ENGAGEMENTS 2026'!C1487),"",'ENGAGEMENTS 2026'!J1487)</f>
        <v/>
      </c>
      <c r="G1487">
        <f>IF(ISBLANK('ENGAGEMENTS 2026'!C1487),"",'ENGAGEMENTS 2026'!M1487)</f>
        <v/>
      </c>
      <c r="H1487">
        <f>IF(ISBLANK('ENGAGEMENTS 2026'!C1487),"",'ENGAGEMENTS 2026'!AF1487)</f>
        <v/>
      </c>
      <c r="I1487">
        <f>IF(ISBLANK('ENGAGEMENTS 2026'!C1487),"",'ENGAGEMENTS 2026'!H1487)</f>
        <v/>
      </c>
      <c r="J1487" s="275">
        <f>IF(ISBLANK('ENGAGEMENTS 2026'!C1487),"",IF(AND(OR($E1487="INFRUCTUEUX",$E1487="ANNULE"),$C1487="AOO-M"),'ENGAGEMENTS 2026'!P1487,IF($H1487="EN COURS DE PREENGAGEMENT",'ENGAGEMENTS 2026'!O1487,IF($H1487="PREENGAGE",IF($E1487="ATTRIBUE",'ENGAGEMENTS 2026'!AE1487,'ENGAGEMENTS 2026'!O1487),'ENGAGEMENTS 2026'!AE1487))))</f>
        <v/>
      </c>
      <c r="K1487" s="604">
        <f>IF(ISBLANK('ENGAGEMENTS 2026'!W1487),"",'ENGAGEMENTS 2026'!W1487)</f>
        <v/>
      </c>
      <c r="L1487" s="276">
        <f>IF($K1487="","",TODAY()-$K1487)</f>
        <v/>
      </c>
      <c r="M1487">
        <f>IF($A1487="","",IF($H1487="ENGAGE","Engagé",IF(AND($H1487="NON ENGAGE",OR($I1487="INFRUCTUEUX",$I1487="ANNULE")),"Clôturé sans suite","En cours")))</f>
        <v/>
      </c>
      <c r="N1487">
        <f>IF(ISBLANK('ENGAGEMENTS 2026'!C1487),"",'ENGAGEMENTS 2026'!L1487)</f>
        <v/>
      </c>
      <c r="O1487">
        <f>IF(ISBLANK('ENGAGEMENTS 2026'!C1487),"",'ENGAGEMENTS 2026'!M1487)</f>
        <v/>
      </c>
      <c r="P1487">
        <f>IF(ISBLANK('ENGAGEMENTS 2026'!C1487),"",'ENGAGEMENTS 2026'!K1487)</f>
        <v/>
      </c>
      <c r="Q1487">
        <f>IF($A1487="","",IF(OR($E1487="INFRUCTUEUX",$E1487="ANNULE"),$A1487&amp;"|"&amp;(COUNTIFS($A$2:$A1487,$A1487,$E$2:$E1487,"INFRUCTUEUX")+COUNTIFS($A$2:$A1487,$A1487,$E$2:$E1487,"ANNULE")),""))</f>
        <v/>
      </c>
    </row>
    <row r="1488">
      <c r="A1488">
        <f>IF(ISBLANK('ENGAGEMENTS 2026'!C1488),"",IF('ENGAGEMENTS 2026'!C1488="DTSI","DCT",'ENGAGEMENTS 2026'!C1488))</f>
        <v/>
      </c>
      <c r="B1488">
        <f>IF(ISBLANK('ENGAGEMENTS 2026'!C1488),"",'ENGAGEMENTS 2026'!D1488)</f>
        <v/>
      </c>
      <c r="C1488">
        <f>IF(ISBLANK('ENGAGEMENTS 2026'!C1488),"",'ENGAGEMENTS 2026'!E1488)</f>
        <v/>
      </c>
      <c r="D1488">
        <f>IF(ISBLANK('ENGAGEMENTS 2026'!C1488),"",'ENGAGEMENTS 2026'!G1488)</f>
        <v/>
      </c>
      <c r="E1488">
        <f>IF(ISBLANK('ENGAGEMENTS 2026'!C1488),"",'ENGAGEMENTS 2026'!I1488)</f>
        <v/>
      </c>
      <c r="F1488">
        <f>IF(ISBLANK('ENGAGEMENTS 2026'!C1488),"",'ENGAGEMENTS 2026'!J1488)</f>
        <v/>
      </c>
      <c r="G1488">
        <f>IF(ISBLANK('ENGAGEMENTS 2026'!C1488),"",'ENGAGEMENTS 2026'!M1488)</f>
        <v/>
      </c>
      <c r="H1488">
        <f>IF(ISBLANK('ENGAGEMENTS 2026'!C1488),"",'ENGAGEMENTS 2026'!AF1488)</f>
        <v/>
      </c>
      <c r="I1488">
        <f>IF(ISBLANK('ENGAGEMENTS 2026'!C1488),"",'ENGAGEMENTS 2026'!H1488)</f>
        <v/>
      </c>
      <c r="J1488" s="275">
        <f>IF(ISBLANK('ENGAGEMENTS 2026'!C1488),"",IF(AND(OR($E1488="INFRUCTUEUX",$E1488="ANNULE"),$C1488="AOO-M"),'ENGAGEMENTS 2026'!P1488,IF($H1488="EN COURS DE PREENGAGEMENT",'ENGAGEMENTS 2026'!O1488,IF($H1488="PREENGAGE",IF($E1488="ATTRIBUE",'ENGAGEMENTS 2026'!AE1488,'ENGAGEMENTS 2026'!O1488),'ENGAGEMENTS 2026'!AE1488))))</f>
        <v/>
      </c>
      <c r="K1488" s="604">
        <f>IF(ISBLANK('ENGAGEMENTS 2026'!W1488),"",'ENGAGEMENTS 2026'!W1488)</f>
        <v/>
      </c>
      <c r="L1488" s="276">
        <f>IF($K1488="","",TODAY()-$K1488)</f>
        <v/>
      </c>
      <c r="M1488">
        <f>IF($A1488="","",IF($H1488="ENGAGE","Engagé",IF(AND($H1488="NON ENGAGE",OR($I1488="INFRUCTUEUX",$I1488="ANNULE")),"Clôturé sans suite","En cours")))</f>
        <v/>
      </c>
      <c r="N1488">
        <f>IF(ISBLANK('ENGAGEMENTS 2026'!C1488),"",'ENGAGEMENTS 2026'!L1488)</f>
        <v/>
      </c>
      <c r="O1488">
        <f>IF(ISBLANK('ENGAGEMENTS 2026'!C1488),"",'ENGAGEMENTS 2026'!M1488)</f>
        <v/>
      </c>
      <c r="P1488">
        <f>IF(ISBLANK('ENGAGEMENTS 2026'!C1488),"",'ENGAGEMENTS 2026'!K1488)</f>
        <v/>
      </c>
      <c r="Q1488">
        <f>IF($A1488="","",IF(OR($E1488="INFRUCTUEUX",$E1488="ANNULE"),$A1488&amp;"|"&amp;(COUNTIFS($A$2:$A1488,$A1488,$E$2:$E1488,"INFRUCTUEUX")+COUNTIFS($A$2:$A1488,$A1488,$E$2:$E1488,"ANNULE")),""))</f>
        <v/>
      </c>
    </row>
    <row r="1489">
      <c r="A1489">
        <f>IF(ISBLANK('ENGAGEMENTS 2026'!C1489),"",IF('ENGAGEMENTS 2026'!C1489="DTSI","DCT",'ENGAGEMENTS 2026'!C1489))</f>
        <v/>
      </c>
      <c r="B1489">
        <f>IF(ISBLANK('ENGAGEMENTS 2026'!C1489),"",'ENGAGEMENTS 2026'!D1489)</f>
        <v/>
      </c>
      <c r="C1489">
        <f>IF(ISBLANK('ENGAGEMENTS 2026'!C1489),"",'ENGAGEMENTS 2026'!E1489)</f>
        <v/>
      </c>
      <c r="D1489">
        <f>IF(ISBLANK('ENGAGEMENTS 2026'!C1489),"",'ENGAGEMENTS 2026'!G1489)</f>
        <v/>
      </c>
      <c r="E1489">
        <f>IF(ISBLANK('ENGAGEMENTS 2026'!C1489),"",'ENGAGEMENTS 2026'!I1489)</f>
        <v/>
      </c>
      <c r="F1489">
        <f>IF(ISBLANK('ENGAGEMENTS 2026'!C1489),"",'ENGAGEMENTS 2026'!J1489)</f>
        <v/>
      </c>
      <c r="G1489">
        <f>IF(ISBLANK('ENGAGEMENTS 2026'!C1489),"",'ENGAGEMENTS 2026'!M1489)</f>
        <v/>
      </c>
      <c r="H1489">
        <f>IF(ISBLANK('ENGAGEMENTS 2026'!C1489),"",'ENGAGEMENTS 2026'!AF1489)</f>
        <v/>
      </c>
      <c r="I1489">
        <f>IF(ISBLANK('ENGAGEMENTS 2026'!C1489),"",'ENGAGEMENTS 2026'!H1489)</f>
        <v/>
      </c>
      <c r="J1489" s="275">
        <f>IF(ISBLANK('ENGAGEMENTS 2026'!C1489),"",IF(AND(OR($E1489="INFRUCTUEUX",$E1489="ANNULE"),$C1489="AOO-M"),'ENGAGEMENTS 2026'!P1489,IF($H1489="EN COURS DE PREENGAGEMENT",'ENGAGEMENTS 2026'!O1489,IF($H1489="PREENGAGE",IF($E1489="ATTRIBUE",'ENGAGEMENTS 2026'!AE1489,'ENGAGEMENTS 2026'!O1489),'ENGAGEMENTS 2026'!AE1489))))</f>
        <v/>
      </c>
      <c r="K1489" s="604">
        <f>IF(ISBLANK('ENGAGEMENTS 2026'!W1489),"",'ENGAGEMENTS 2026'!W1489)</f>
        <v/>
      </c>
      <c r="L1489" s="276">
        <f>IF($K1489="","",TODAY()-$K1489)</f>
        <v/>
      </c>
      <c r="M1489">
        <f>IF($A1489="","",IF($H1489="ENGAGE","Engagé",IF(AND($H1489="NON ENGAGE",OR($I1489="INFRUCTUEUX",$I1489="ANNULE")),"Clôturé sans suite","En cours")))</f>
        <v/>
      </c>
      <c r="N1489">
        <f>IF(ISBLANK('ENGAGEMENTS 2026'!C1489),"",'ENGAGEMENTS 2026'!L1489)</f>
        <v/>
      </c>
      <c r="O1489">
        <f>IF(ISBLANK('ENGAGEMENTS 2026'!C1489),"",'ENGAGEMENTS 2026'!M1489)</f>
        <v/>
      </c>
      <c r="P1489">
        <f>IF(ISBLANK('ENGAGEMENTS 2026'!C1489),"",'ENGAGEMENTS 2026'!K1489)</f>
        <v/>
      </c>
      <c r="Q1489">
        <f>IF($A1489="","",IF(OR($E1489="INFRUCTUEUX",$E1489="ANNULE"),$A1489&amp;"|"&amp;(COUNTIFS($A$2:$A1489,$A1489,$E$2:$E1489,"INFRUCTUEUX")+COUNTIFS($A$2:$A1489,$A1489,$E$2:$E1489,"ANNULE")),""))</f>
        <v/>
      </c>
    </row>
    <row r="1490">
      <c r="A1490">
        <f>IF(ISBLANK('ENGAGEMENTS 2026'!C1490),"",IF('ENGAGEMENTS 2026'!C1490="DTSI","DCT",'ENGAGEMENTS 2026'!C1490))</f>
        <v/>
      </c>
      <c r="B1490">
        <f>IF(ISBLANK('ENGAGEMENTS 2026'!C1490),"",'ENGAGEMENTS 2026'!D1490)</f>
        <v/>
      </c>
      <c r="C1490">
        <f>IF(ISBLANK('ENGAGEMENTS 2026'!C1490),"",'ENGAGEMENTS 2026'!E1490)</f>
        <v/>
      </c>
      <c r="D1490">
        <f>IF(ISBLANK('ENGAGEMENTS 2026'!C1490),"",'ENGAGEMENTS 2026'!G1490)</f>
        <v/>
      </c>
      <c r="E1490">
        <f>IF(ISBLANK('ENGAGEMENTS 2026'!C1490),"",'ENGAGEMENTS 2026'!I1490)</f>
        <v/>
      </c>
      <c r="F1490">
        <f>IF(ISBLANK('ENGAGEMENTS 2026'!C1490),"",'ENGAGEMENTS 2026'!J1490)</f>
        <v/>
      </c>
      <c r="G1490">
        <f>IF(ISBLANK('ENGAGEMENTS 2026'!C1490),"",'ENGAGEMENTS 2026'!M1490)</f>
        <v/>
      </c>
      <c r="H1490">
        <f>IF(ISBLANK('ENGAGEMENTS 2026'!C1490),"",'ENGAGEMENTS 2026'!AF1490)</f>
        <v/>
      </c>
      <c r="I1490">
        <f>IF(ISBLANK('ENGAGEMENTS 2026'!C1490),"",'ENGAGEMENTS 2026'!H1490)</f>
        <v/>
      </c>
      <c r="J1490" s="275">
        <f>IF(ISBLANK('ENGAGEMENTS 2026'!C1490),"",IF(AND(OR($E1490="INFRUCTUEUX",$E1490="ANNULE"),$C1490="AOO-M"),'ENGAGEMENTS 2026'!P1490,IF($H1490="EN COURS DE PREENGAGEMENT",'ENGAGEMENTS 2026'!O1490,IF($H1490="PREENGAGE",IF($E1490="ATTRIBUE",'ENGAGEMENTS 2026'!AE1490,'ENGAGEMENTS 2026'!O1490),'ENGAGEMENTS 2026'!AE1490))))</f>
        <v/>
      </c>
      <c r="K1490" s="604">
        <f>IF(ISBLANK('ENGAGEMENTS 2026'!W1490),"",'ENGAGEMENTS 2026'!W1490)</f>
        <v/>
      </c>
      <c r="L1490" s="276">
        <f>IF($K1490="","",TODAY()-$K1490)</f>
        <v/>
      </c>
      <c r="M1490">
        <f>IF($A1490="","",IF($H1490="ENGAGE","Engagé",IF(AND($H1490="NON ENGAGE",OR($I1490="INFRUCTUEUX",$I1490="ANNULE")),"Clôturé sans suite","En cours")))</f>
        <v/>
      </c>
      <c r="N1490">
        <f>IF(ISBLANK('ENGAGEMENTS 2026'!C1490),"",'ENGAGEMENTS 2026'!L1490)</f>
        <v/>
      </c>
      <c r="O1490">
        <f>IF(ISBLANK('ENGAGEMENTS 2026'!C1490),"",'ENGAGEMENTS 2026'!M1490)</f>
        <v/>
      </c>
      <c r="P1490">
        <f>IF(ISBLANK('ENGAGEMENTS 2026'!C1490),"",'ENGAGEMENTS 2026'!K1490)</f>
        <v/>
      </c>
      <c r="Q1490">
        <f>IF($A1490="","",IF(OR($E1490="INFRUCTUEUX",$E1490="ANNULE"),$A1490&amp;"|"&amp;(COUNTIFS($A$2:$A1490,$A1490,$E$2:$E1490,"INFRUCTUEUX")+COUNTIFS($A$2:$A1490,$A1490,$E$2:$E1490,"ANNULE")),""))</f>
        <v/>
      </c>
    </row>
    <row r="1491">
      <c r="A1491">
        <f>IF(ISBLANK('ENGAGEMENTS 2026'!C1491),"",IF('ENGAGEMENTS 2026'!C1491="DTSI","DCT",'ENGAGEMENTS 2026'!C1491))</f>
        <v/>
      </c>
      <c r="B1491">
        <f>IF(ISBLANK('ENGAGEMENTS 2026'!C1491),"",'ENGAGEMENTS 2026'!D1491)</f>
        <v/>
      </c>
      <c r="C1491">
        <f>IF(ISBLANK('ENGAGEMENTS 2026'!C1491),"",'ENGAGEMENTS 2026'!E1491)</f>
        <v/>
      </c>
      <c r="D1491">
        <f>IF(ISBLANK('ENGAGEMENTS 2026'!C1491),"",'ENGAGEMENTS 2026'!G1491)</f>
        <v/>
      </c>
      <c r="E1491">
        <f>IF(ISBLANK('ENGAGEMENTS 2026'!C1491),"",'ENGAGEMENTS 2026'!I1491)</f>
        <v/>
      </c>
      <c r="F1491">
        <f>IF(ISBLANK('ENGAGEMENTS 2026'!C1491),"",'ENGAGEMENTS 2026'!J1491)</f>
        <v/>
      </c>
      <c r="G1491">
        <f>IF(ISBLANK('ENGAGEMENTS 2026'!C1491),"",'ENGAGEMENTS 2026'!M1491)</f>
        <v/>
      </c>
      <c r="H1491">
        <f>IF(ISBLANK('ENGAGEMENTS 2026'!C1491),"",'ENGAGEMENTS 2026'!AF1491)</f>
        <v/>
      </c>
      <c r="I1491">
        <f>IF(ISBLANK('ENGAGEMENTS 2026'!C1491),"",'ENGAGEMENTS 2026'!H1491)</f>
        <v/>
      </c>
      <c r="J1491" s="275">
        <f>IF(ISBLANK('ENGAGEMENTS 2026'!C1491),"",IF(AND(OR($E1491="INFRUCTUEUX",$E1491="ANNULE"),$C1491="AOO-M"),'ENGAGEMENTS 2026'!P1491,IF($H1491="EN COURS DE PREENGAGEMENT",'ENGAGEMENTS 2026'!O1491,IF($H1491="PREENGAGE",IF($E1491="ATTRIBUE",'ENGAGEMENTS 2026'!AE1491,'ENGAGEMENTS 2026'!O1491),'ENGAGEMENTS 2026'!AE1491))))</f>
        <v/>
      </c>
      <c r="K1491" s="604">
        <f>IF(ISBLANK('ENGAGEMENTS 2026'!W1491),"",'ENGAGEMENTS 2026'!W1491)</f>
        <v/>
      </c>
      <c r="L1491" s="276">
        <f>IF($K1491="","",TODAY()-$K1491)</f>
        <v/>
      </c>
      <c r="M1491">
        <f>IF($A1491="","",IF($H1491="ENGAGE","Engagé",IF(AND($H1491="NON ENGAGE",OR($I1491="INFRUCTUEUX",$I1491="ANNULE")),"Clôturé sans suite","En cours")))</f>
        <v/>
      </c>
      <c r="N1491">
        <f>IF(ISBLANK('ENGAGEMENTS 2026'!C1491),"",'ENGAGEMENTS 2026'!L1491)</f>
        <v/>
      </c>
      <c r="O1491">
        <f>IF(ISBLANK('ENGAGEMENTS 2026'!C1491),"",'ENGAGEMENTS 2026'!M1491)</f>
        <v/>
      </c>
      <c r="P1491">
        <f>IF(ISBLANK('ENGAGEMENTS 2026'!C1491),"",'ENGAGEMENTS 2026'!K1491)</f>
        <v/>
      </c>
      <c r="Q1491">
        <f>IF($A1491="","",IF(OR($E1491="INFRUCTUEUX",$E1491="ANNULE"),$A1491&amp;"|"&amp;(COUNTIFS($A$2:$A1491,$A1491,$E$2:$E1491,"INFRUCTUEUX")+COUNTIFS($A$2:$A1491,$A1491,$E$2:$E1491,"ANNULE")),""))</f>
        <v/>
      </c>
    </row>
    <row r="1492">
      <c r="A1492">
        <f>IF(ISBLANK('ENGAGEMENTS 2026'!C1492),"",IF('ENGAGEMENTS 2026'!C1492="DTSI","DCT",'ENGAGEMENTS 2026'!C1492))</f>
        <v/>
      </c>
      <c r="B1492">
        <f>IF(ISBLANK('ENGAGEMENTS 2026'!C1492),"",'ENGAGEMENTS 2026'!D1492)</f>
        <v/>
      </c>
      <c r="C1492">
        <f>IF(ISBLANK('ENGAGEMENTS 2026'!C1492),"",'ENGAGEMENTS 2026'!E1492)</f>
        <v/>
      </c>
      <c r="D1492">
        <f>IF(ISBLANK('ENGAGEMENTS 2026'!C1492),"",'ENGAGEMENTS 2026'!G1492)</f>
        <v/>
      </c>
      <c r="E1492">
        <f>IF(ISBLANK('ENGAGEMENTS 2026'!C1492),"",'ENGAGEMENTS 2026'!I1492)</f>
        <v/>
      </c>
      <c r="F1492">
        <f>IF(ISBLANK('ENGAGEMENTS 2026'!C1492),"",'ENGAGEMENTS 2026'!J1492)</f>
        <v/>
      </c>
      <c r="G1492">
        <f>IF(ISBLANK('ENGAGEMENTS 2026'!C1492),"",'ENGAGEMENTS 2026'!M1492)</f>
        <v/>
      </c>
      <c r="H1492">
        <f>IF(ISBLANK('ENGAGEMENTS 2026'!C1492),"",'ENGAGEMENTS 2026'!AF1492)</f>
        <v/>
      </c>
      <c r="I1492">
        <f>IF(ISBLANK('ENGAGEMENTS 2026'!C1492),"",'ENGAGEMENTS 2026'!H1492)</f>
        <v/>
      </c>
      <c r="J1492" s="275">
        <f>IF(ISBLANK('ENGAGEMENTS 2026'!C1492),"",IF(AND(OR($E1492="INFRUCTUEUX",$E1492="ANNULE"),$C1492="AOO-M"),'ENGAGEMENTS 2026'!P1492,IF($H1492="EN COURS DE PREENGAGEMENT",'ENGAGEMENTS 2026'!O1492,IF($H1492="PREENGAGE",IF($E1492="ATTRIBUE",'ENGAGEMENTS 2026'!AE1492,'ENGAGEMENTS 2026'!O1492),'ENGAGEMENTS 2026'!AE1492))))</f>
        <v/>
      </c>
      <c r="K1492" s="604">
        <f>IF(ISBLANK('ENGAGEMENTS 2026'!W1492),"",'ENGAGEMENTS 2026'!W1492)</f>
        <v/>
      </c>
      <c r="L1492" s="276">
        <f>IF($K1492="","",TODAY()-$K1492)</f>
        <v/>
      </c>
      <c r="M1492">
        <f>IF($A1492="","",IF($H1492="ENGAGE","Engagé",IF(AND($H1492="NON ENGAGE",OR($I1492="INFRUCTUEUX",$I1492="ANNULE")),"Clôturé sans suite","En cours")))</f>
        <v/>
      </c>
      <c r="N1492">
        <f>IF(ISBLANK('ENGAGEMENTS 2026'!C1492),"",'ENGAGEMENTS 2026'!L1492)</f>
        <v/>
      </c>
      <c r="O1492">
        <f>IF(ISBLANK('ENGAGEMENTS 2026'!C1492),"",'ENGAGEMENTS 2026'!M1492)</f>
        <v/>
      </c>
      <c r="P1492">
        <f>IF(ISBLANK('ENGAGEMENTS 2026'!C1492),"",'ENGAGEMENTS 2026'!K1492)</f>
        <v/>
      </c>
      <c r="Q1492">
        <f>IF($A1492="","",IF(OR($E1492="INFRUCTUEUX",$E1492="ANNULE"),$A1492&amp;"|"&amp;(COUNTIFS($A$2:$A1492,$A1492,$E$2:$E1492,"INFRUCTUEUX")+COUNTIFS($A$2:$A1492,$A1492,$E$2:$E1492,"ANNULE")),""))</f>
        <v/>
      </c>
    </row>
    <row r="1493">
      <c r="A1493">
        <f>IF(ISBLANK('ENGAGEMENTS 2026'!C1493),"",IF('ENGAGEMENTS 2026'!C1493="DTSI","DCT",'ENGAGEMENTS 2026'!C1493))</f>
        <v/>
      </c>
      <c r="B1493">
        <f>IF(ISBLANK('ENGAGEMENTS 2026'!C1493),"",'ENGAGEMENTS 2026'!D1493)</f>
        <v/>
      </c>
      <c r="C1493">
        <f>IF(ISBLANK('ENGAGEMENTS 2026'!C1493),"",'ENGAGEMENTS 2026'!E1493)</f>
        <v/>
      </c>
      <c r="D1493">
        <f>IF(ISBLANK('ENGAGEMENTS 2026'!C1493),"",'ENGAGEMENTS 2026'!G1493)</f>
        <v/>
      </c>
      <c r="E1493">
        <f>IF(ISBLANK('ENGAGEMENTS 2026'!C1493),"",'ENGAGEMENTS 2026'!I1493)</f>
        <v/>
      </c>
      <c r="F1493">
        <f>IF(ISBLANK('ENGAGEMENTS 2026'!C1493),"",'ENGAGEMENTS 2026'!J1493)</f>
        <v/>
      </c>
      <c r="G1493">
        <f>IF(ISBLANK('ENGAGEMENTS 2026'!C1493),"",'ENGAGEMENTS 2026'!M1493)</f>
        <v/>
      </c>
      <c r="H1493">
        <f>IF(ISBLANK('ENGAGEMENTS 2026'!C1493),"",'ENGAGEMENTS 2026'!AF1493)</f>
        <v/>
      </c>
      <c r="I1493">
        <f>IF(ISBLANK('ENGAGEMENTS 2026'!C1493),"",'ENGAGEMENTS 2026'!H1493)</f>
        <v/>
      </c>
      <c r="J1493" s="275">
        <f>IF(ISBLANK('ENGAGEMENTS 2026'!C1493),"",IF(AND(OR($E1493="INFRUCTUEUX",$E1493="ANNULE"),$C1493="AOO-M"),'ENGAGEMENTS 2026'!P1493,IF($H1493="EN COURS DE PREENGAGEMENT",'ENGAGEMENTS 2026'!O1493,IF($H1493="PREENGAGE",IF($E1493="ATTRIBUE",'ENGAGEMENTS 2026'!AE1493,'ENGAGEMENTS 2026'!O1493),'ENGAGEMENTS 2026'!AE1493))))</f>
        <v/>
      </c>
      <c r="K1493" s="604">
        <f>IF(ISBLANK('ENGAGEMENTS 2026'!W1493),"",'ENGAGEMENTS 2026'!W1493)</f>
        <v/>
      </c>
      <c r="L1493" s="276">
        <f>IF($K1493="","",TODAY()-$K1493)</f>
        <v/>
      </c>
      <c r="M1493">
        <f>IF($A1493="","",IF($H1493="ENGAGE","Engagé",IF(AND($H1493="NON ENGAGE",OR($I1493="INFRUCTUEUX",$I1493="ANNULE")),"Clôturé sans suite","En cours")))</f>
        <v/>
      </c>
      <c r="N1493">
        <f>IF(ISBLANK('ENGAGEMENTS 2026'!C1493),"",'ENGAGEMENTS 2026'!L1493)</f>
        <v/>
      </c>
      <c r="O1493">
        <f>IF(ISBLANK('ENGAGEMENTS 2026'!C1493),"",'ENGAGEMENTS 2026'!M1493)</f>
        <v/>
      </c>
      <c r="P1493">
        <f>IF(ISBLANK('ENGAGEMENTS 2026'!C1493),"",'ENGAGEMENTS 2026'!K1493)</f>
        <v/>
      </c>
      <c r="Q1493">
        <f>IF($A1493="","",IF(OR($E1493="INFRUCTUEUX",$E1493="ANNULE"),$A1493&amp;"|"&amp;(COUNTIFS($A$2:$A1493,$A1493,$E$2:$E1493,"INFRUCTUEUX")+COUNTIFS($A$2:$A1493,$A1493,$E$2:$E1493,"ANNULE")),""))</f>
        <v/>
      </c>
    </row>
    <row r="1494">
      <c r="A1494">
        <f>IF(ISBLANK('ENGAGEMENTS 2026'!C1494),"",IF('ENGAGEMENTS 2026'!C1494="DTSI","DCT",'ENGAGEMENTS 2026'!C1494))</f>
        <v/>
      </c>
      <c r="B1494">
        <f>IF(ISBLANK('ENGAGEMENTS 2026'!C1494),"",'ENGAGEMENTS 2026'!D1494)</f>
        <v/>
      </c>
      <c r="C1494">
        <f>IF(ISBLANK('ENGAGEMENTS 2026'!C1494),"",'ENGAGEMENTS 2026'!E1494)</f>
        <v/>
      </c>
      <c r="D1494">
        <f>IF(ISBLANK('ENGAGEMENTS 2026'!C1494),"",'ENGAGEMENTS 2026'!G1494)</f>
        <v/>
      </c>
      <c r="E1494">
        <f>IF(ISBLANK('ENGAGEMENTS 2026'!C1494),"",'ENGAGEMENTS 2026'!I1494)</f>
        <v/>
      </c>
      <c r="F1494">
        <f>IF(ISBLANK('ENGAGEMENTS 2026'!C1494),"",'ENGAGEMENTS 2026'!J1494)</f>
        <v/>
      </c>
      <c r="G1494">
        <f>IF(ISBLANK('ENGAGEMENTS 2026'!C1494),"",'ENGAGEMENTS 2026'!M1494)</f>
        <v/>
      </c>
      <c r="H1494">
        <f>IF(ISBLANK('ENGAGEMENTS 2026'!C1494),"",'ENGAGEMENTS 2026'!AF1494)</f>
        <v/>
      </c>
      <c r="I1494">
        <f>IF(ISBLANK('ENGAGEMENTS 2026'!C1494),"",'ENGAGEMENTS 2026'!H1494)</f>
        <v/>
      </c>
      <c r="J1494" s="275">
        <f>IF(ISBLANK('ENGAGEMENTS 2026'!C1494),"",IF(AND(OR($E1494="INFRUCTUEUX",$E1494="ANNULE"),$C1494="AOO-M"),'ENGAGEMENTS 2026'!P1494,IF($H1494="EN COURS DE PREENGAGEMENT",'ENGAGEMENTS 2026'!O1494,IF($H1494="PREENGAGE",IF($E1494="ATTRIBUE",'ENGAGEMENTS 2026'!AE1494,'ENGAGEMENTS 2026'!O1494),'ENGAGEMENTS 2026'!AE1494))))</f>
        <v/>
      </c>
      <c r="K1494" s="604">
        <f>IF(ISBLANK('ENGAGEMENTS 2026'!W1494),"",'ENGAGEMENTS 2026'!W1494)</f>
        <v/>
      </c>
      <c r="L1494" s="276">
        <f>IF($K1494="","",TODAY()-$K1494)</f>
        <v/>
      </c>
      <c r="M1494">
        <f>IF($A1494="","",IF($H1494="ENGAGE","Engagé",IF(AND($H1494="NON ENGAGE",OR($I1494="INFRUCTUEUX",$I1494="ANNULE")),"Clôturé sans suite","En cours")))</f>
        <v/>
      </c>
      <c r="N1494">
        <f>IF(ISBLANK('ENGAGEMENTS 2026'!C1494),"",'ENGAGEMENTS 2026'!L1494)</f>
        <v/>
      </c>
      <c r="O1494">
        <f>IF(ISBLANK('ENGAGEMENTS 2026'!C1494),"",'ENGAGEMENTS 2026'!M1494)</f>
        <v/>
      </c>
      <c r="P1494">
        <f>IF(ISBLANK('ENGAGEMENTS 2026'!C1494),"",'ENGAGEMENTS 2026'!K1494)</f>
        <v/>
      </c>
      <c r="Q1494">
        <f>IF($A1494="","",IF(OR($E1494="INFRUCTUEUX",$E1494="ANNULE"),$A1494&amp;"|"&amp;(COUNTIFS($A$2:$A1494,$A1494,$E$2:$E1494,"INFRUCTUEUX")+COUNTIFS($A$2:$A1494,$A1494,$E$2:$E1494,"ANNULE")),""))</f>
        <v/>
      </c>
    </row>
    <row r="1495">
      <c r="A1495">
        <f>IF(ISBLANK('ENGAGEMENTS 2026'!C1495),"",IF('ENGAGEMENTS 2026'!C1495="DTSI","DCT",'ENGAGEMENTS 2026'!C1495))</f>
        <v/>
      </c>
      <c r="B1495">
        <f>IF(ISBLANK('ENGAGEMENTS 2026'!C1495),"",'ENGAGEMENTS 2026'!D1495)</f>
        <v/>
      </c>
      <c r="C1495">
        <f>IF(ISBLANK('ENGAGEMENTS 2026'!C1495),"",'ENGAGEMENTS 2026'!E1495)</f>
        <v/>
      </c>
      <c r="D1495">
        <f>IF(ISBLANK('ENGAGEMENTS 2026'!C1495),"",'ENGAGEMENTS 2026'!G1495)</f>
        <v/>
      </c>
      <c r="E1495">
        <f>IF(ISBLANK('ENGAGEMENTS 2026'!C1495),"",'ENGAGEMENTS 2026'!I1495)</f>
        <v/>
      </c>
      <c r="F1495">
        <f>IF(ISBLANK('ENGAGEMENTS 2026'!C1495),"",'ENGAGEMENTS 2026'!J1495)</f>
        <v/>
      </c>
      <c r="G1495">
        <f>IF(ISBLANK('ENGAGEMENTS 2026'!C1495),"",'ENGAGEMENTS 2026'!M1495)</f>
        <v/>
      </c>
      <c r="H1495">
        <f>IF(ISBLANK('ENGAGEMENTS 2026'!C1495),"",'ENGAGEMENTS 2026'!AF1495)</f>
        <v/>
      </c>
      <c r="I1495">
        <f>IF(ISBLANK('ENGAGEMENTS 2026'!C1495),"",'ENGAGEMENTS 2026'!H1495)</f>
        <v/>
      </c>
      <c r="J1495" s="275">
        <f>IF(ISBLANK('ENGAGEMENTS 2026'!C1495),"",IF(AND(OR($E1495="INFRUCTUEUX",$E1495="ANNULE"),$C1495="AOO-M"),'ENGAGEMENTS 2026'!P1495,IF($H1495="EN COURS DE PREENGAGEMENT",'ENGAGEMENTS 2026'!O1495,IF($H1495="PREENGAGE",IF($E1495="ATTRIBUE",'ENGAGEMENTS 2026'!AE1495,'ENGAGEMENTS 2026'!O1495),'ENGAGEMENTS 2026'!AE1495))))</f>
        <v/>
      </c>
      <c r="K1495" s="604">
        <f>IF(ISBLANK('ENGAGEMENTS 2026'!W1495),"",'ENGAGEMENTS 2026'!W1495)</f>
        <v/>
      </c>
      <c r="L1495" s="276">
        <f>IF($K1495="","",TODAY()-$K1495)</f>
        <v/>
      </c>
      <c r="M1495">
        <f>IF($A1495="","",IF($H1495="ENGAGE","Engagé",IF(AND($H1495="NON ENGAGE",OR($I1495="INFRUCTUEUX",$I1495="ANNULE")),"Clôturé sans suite","En cours")))</f>
        <v/>
      </c>
      <c r="N1495">
        <f>IF(ISBLANK('ENGAGEMENTS 2026'!C1495),"",'ENGAGEMENTS 2026'!L1495)</f>
        <v/>
      </c>
      <c r="O1495">
        <f>IF(ISBLANK('ENGAGEMENTS 2026'!C1495),"",'ENGAGEMENTS 2026'!M1495)</f>
        <v/>
      </c>
      <c r="P1495">
        <f>IF(ISBLANK('ENGAGEMENTS 2026'!C1495),"",'ENGAGEMENTS 2026'!K1495)</f>
        <v/>
      </c>
      <c r="Q1495">
        <f>IF($A1495="","",IF(OR($E1495="INFRUCTUEUX",$E1495="ANNULE"),$A1495&amp;"|"&amp;(COUNTIFS($A$2:$A1495,$A1495,$E$2:$E1495,"INFRUCTUEUX")+COUNTIFS($A$2:$A1495,$A1495,$E$2:$E1495,"ANNULE")),""))</f>
        <v/>
      </c>
    </row>
    <row r="1496">
      <c r="A1496">
        <f>IF(ISBLANK('ENGAGEMENTS 2026'!C1496),"",IF('ENGAGEMENTS 2026'!C1496="DTSI","DCT",'ENGAGEMENTS 2026'!C1496))</f>
        <v/>
      </c>
      <c r="B1496">
        <f>IF(ISBLANK('ENGAGEMENTS 2026'!C1496),"",'ENGAGEMENTS 2026'!D1496)</f>
        <v/>
      </c>
      <c r="C1496">
        <f>IF(ISBLANK('ENGAGEMENTS 2026'!C1496),"",'ENGAGEMENTS 2026'!E1496)</f>
        <v/>
      </c>
      <c r="D1496">
        <f>IF(ISBLANK('ENGAGEMENTS 2026'!C1496),"",'ENGAGEMENTS 2026'!G1496)</f>
        <v/>
      </c>
      <c r="E1496">
        <f>IF(ISBLANK('ENGAGEMENTS 2026'!C1496),"",'ENGAGEMENTS 2026'!I1496)</f>
        <v/>
      </c>
      <c r="F1496">
        <f>IF(ISBLANK('ENGAGEMENTS 2026'!C1496),"",'ENGAGEMENTS 2026'!J1496)</f>
        <v/>
      </c>
      <c r="G1496">
        <f>IF(ISBLANK('ENGAGEMENTS 2026'!C1496),"",'ENGAGEMENTS 2026'!M1496)</f>
        <v/>
      </c>
      <c r="H1496">
        <f>IF(ISBLANK('ENGAGEMENTS 2026'!C1496),"",'ENGAGEMENTS 2026'!AF1496)</f>
        <v/>
      </c>
      <c r="I1496">
        <f>IF(ISBLANK('ENGAGEMENTS 2026'!C1496),"",'ENGAGEMENTS 2026'!H1496)</f>
        <v/>
      </c>
      <c r="J1496" s="275">
        <f>IF(ISBLANK('ENGAGEMENTS 2026'!C1496),"",IF(AND(OR($E1496="INFRUCTUEUX",$E1496="ANNULE"),$C1496="AOO-M"),'ENGAGEMENTS 2026'!P1496,IF($H1496="EN COURS DE PREENGAGEMENT",'ENGAGEMENTS 2026'!O1496,IF($H1496="PREENGAGE",IF($E1496="ATTRIBUE",'ENGAGEMENTS 2026'!AE1496,'ENGAGEMENTS 2026'!O1496),'ENGAGEMENTS 2026'!AE1496))))</f>
        <v/>
      </c>
      <c r="K1496" s="604">
        <f>IF(ISBLANK('ENGAGEMENTS 2026'!W1496),"",'ENGAGEMENTS 2026'!W1496)</f>
        <v/>
      </c>
      <c r="L1496" s="276">
        <f>IF($K1496="","",TODAY()-$K1496)</f>
        <v/>
      </c>
      <c r="M1496">
        <f>IF($A1496="","",IF($H1496="ENGAGE","Engagé",IF(AND($H1496="NON ENGAGE",OR($I1496="INFRUCTUEUX",$I1496="ANNULE")),"Clôturé sans suite","En cours")))</f>
        <v/>
      </c>
      <c r="N1496">
        <f>IF(ISBLANK('ENGAGEMENTS 2026'!C1496),"",'ENGAGEMENTS 2026'!L1496)</f>
        <v/>
      </c>
      <c r="O1496">
        <f>IF(ISBLANK('ENGAGEMENTS 2026'!C1496),"",'ENGAGEMENTS 2026'!M1496)</f>
        <v/>
      </c>
      <c r="P1496">
        <f>IF(ISBLANK('ENGAGEMENTS 2026'!C1496),"",'ENGAGEMENTS 2026'!K1496)</f>
        <v/>
      </c>
      <c r="Q1496">
        <f>IF($A1496="","",IF(OR($E1496="INFRUCTUEUX",$E1496="ANNULE"),$A1496&amp;"|"&amp;(COUNTIFS($A$2:$A1496,$A1496,$E$2:$E1496,"INFRUCTUEUX")+COUNTIFS($A$2:$A1496,$A1496,$E$2:$E1496,"ANNULE")),""))</f>
        <v/>
      </c>
    </row>
    <row r="1497">
      <c r="A1497">
        <f>IF(ISBLANK('ENGAGEMENTS 2026'!C1497),"",IF('ENGAGEMENTS 2026'!C1497="DTSI","DCT",'ENGAGEMENTS 2026'!C1497))</f>
        <v/>
      </c>
      <c r="B1497">
        <f>IF(ISBLANK('ENGAGEMENTS 2026'!C1497),"",'ENGAGEMENTS 2026'!D1497)</f>
        <v/>
      </c>
      <c r="C1497">
        <f>IF(ISBLANK('ENGAGEMENTS 2026'!C1497),"",'ENGAGEMENTS 2026'!E1497)</f>
        <v/>
      </c>
      <c r="D1497">
        <f>IF(ISBLANK('ENGAGEMENTS 2026'!C1497),"",'ENGAGEMENTS 2026'!G1497)</f>
        <v/>
      </c>
      <c r="E1497">
        <f>IF(ISBLANK('ENGAGEMENTS 2026'!C1497),"",'ENGAGEMENTS 2026'!I1497)</f>
        <v/>
      </c>
      <c r="F1497">
        <f>IF(ISBLANK('ENGAGEMENTS 2026'!C1497),"",'ENGAGEMENTS 2026'!J1497)</f>
        <v/>
      </c>
      <c r="G1497">
        <f>IF(ISBLANK('ENGAGEMENTS 2026'!C1497),"",'ENGAGEMENTS 2026'!M1497)</f>
        <v/>
      </c>
      <c r="H1497">
        <f>IF(ISBLANK('ENGAGEMENTS 2026'!C1497),"",'ENGAGEMENTS 2026'!AF1497)</f>
        <v/>
      </c>
      <c r="I1497">
        <f>IF(ISBLANK('ENGAGEMENTS 2026'!C1497),"",'ENGAGEMENTS 2026'!H1497)</f>
        <v/>
      </c>
      <c r="J1497" s="275">
        <f>IF(ISBLANK('ENGAGEMENTS 2026'!C1497),"",IF(AND(OR($E1497="INFRUCTUEUX",$E1497="ANNULE"),$C1497="AOO-M"),'ENGAGEMENTS 2026'!P1497,IF($H1497="EN COURS DE PREENGAGEMENT",'ENGAGEMENTS 2026'!O1497,IF($H1497="PREENGAGE",IF($E1497="ATTRIBUE",'ENGAGEMENTS 2026'!AE1497,'ENGAGEMENTS 2026'!O1497),'ENGAGEMENTS 2026'!AE1497))))</f>
        <v/>
      </c>
      <c r="K1497" s="604">
        <f>IF(ISBLANK('ENGAGEMENTS 2026'!W1497),"",'ENGAGEMENTS 2026'!W1497)</f>
        <v/>
      </c>
      <c r="L1497" s="276">
        <f>IF($K1497="","",TODAY()-$K1497)</f>
        <v/>
      </c>
      <c r="M1497">
        <f>IF($A1497="","",IF($H1497="ENGAGE","Engagé",IF(AND($H1497="NON ENGAGE",OR($I1497="INFRUCTUEUX",$I1497="ANNULE")),"Clôturé sans suite","En cours")))</f>
        <v/>
      </c>
      <c r="N1497">
        <f>IF(ISBLANK('ENGAGEMENTS 2026'!C1497),"",'ENGAGEMENTS 2026'!L1497)</f>
        <v/>
      </c>
      <c r="O1497">
        <f>IF(ISBLANK('ENGAGEMENTS 2026'!C1497),"",'ENGAGEMENTS 2026'!M1497)</f>
        <v/>
      </c>
      <c r="P1497">
        <f>IF(ISBLANK('ENGAGEMENTS 2026'!C1497),"",'ENGAGEMENTS 2026'!K1497)</f>
        <v/>
      </c>
      <c r="Q1497">
        <f>IF($A1497="","",IF(OR($E1497="INFRUCTUEUX",$E1497="ANNULE"),$A1497&amp;"|"&amp;(COUNTIFS($A$2:$A1497,$A1497,$E$2:$E1497,"INFRUCTUEUX")+COUNTIFS($A$2:$A1497,$A1497,$E$2:$E1497,"ANNULE")),""))</f>
        <v/>
      </c>
    </row>
    <row r="1498">
      <c r="A1498">
        <f>IF(ISBLANK('ENGAGEMENTS 2026'!C1498),"",IF('ENGAGEMENTS 2026'!C1498="DTSI","DCT",'ENGAGEMENTS 2026'!C1498))</f>
        <v/>
      </c>
      <c r="B1498">
        <f>IF(ISBLANK('ENGAGEMENTS 2026'!C1498),"",'ENGAGEMENTS 2026'!D1498)</f>
        <v/>
      </c>
      <c r="C1498">
        <f>IF(ISBLANK('ENGAGEMENTS 2026'!C1498),"",'ENGAGEMENTS 2026'!E1498)</f>
        <v/>
      </c>
      <c r="D1498">
        <f>IF(ISBLANK('ENGAGEMENTS 2026'!C1498),"",'ENGAGEMENTS 2026'!G1498)</f>
        <v/>
      </c>
      <c r="E1498">
        <f>IF(ISBLANK('ENGAGEMENTS 2026'!C1498),"",'ENGAGEMENTS 2026'!I1498)</f>
        <v/>
      </c>
      <c r="F1498">
        <f>IF(ISBLANK('ENGAGEMENTS 2026'!C1498),"",'ENGAGEMENTS 2026'!J1498)</f>
        <v/>
      </c>
      <c r="G1498">
        <f>IF(ISBLANK('ENGAGEMENTS 2026'!C1498),"",'ENGAGEMENTS 2026'!M1498)</f>
        <v/>
      </c>
      <c r="H1498">
        <f>IF(ISBLANK('ENGAGEMENTS 2026'!C1498),"",'ENGAGEMENTS 2026'!AF1498)</f>
        <v/>
      </c>
      <c r="I1498">
        <f>IF(ISBLANK('ENGAGEMENTS 2026'!C1498),"",'ENGAGEMENTS 2026'!H1498)</f>
        <v/>
      </c>
      <c r="J1498" s="275">
        <f>IF(ISBLANK('ENGAGEMENTS 2026'!C1498),"",IF(AND(OR($E1498="INFRUCTUEUX",$E1498="ANNULE"),$C1498="AOO-M"),'ENGAGEMENTS 2026'!P1498,IF($H1498="EN COURS DE PREENGAGEMENT",'ENGAGEMENTS 2026'!O1498,IF($H1498="PREENGAGE",IF($E1498="ATTRIBUE",'ENGAGEMENTS 2026'!AE1498,'ENGAGEMENTS 2026'!O1498),'ENGAGEMENTS 2026'!AE1498))))</f>
        <v/>
      </c>
      <c r="K1498" s="604">
        <f>IF(ISBLANK('ENGAGEMENTS 2026'!W1498),"",'ENGAGEMENTS 2026'!W1498)</f>
        <v/>
      </c>
      <c r="L1498" s="276">
        <f>IF($K1498="","",TODAY()-$K1498)</f>
        <v/>
      </c>
      <c r="M1498">
        <f>IF($A1498="","",IF($H1498="ENGAGE","Engagé",IF(AND($H1498="NON ENGAGE",OR($I1498="INFRUCTUEUX",$I1498="ANNULE")),"Clôturé sans suite","En cours")))</f>
        <v/>
      </c>
      <c r="N1498">
        <f>IF(ISBLANK('ENGAGEMENTS 2026'!C1498),"",'ENGAGEMENTS 2026'!L1498)</f>
        <v/>
      </c>
      <c r="O1498">
        <f>IF(ISBLANK('ENGAGEMENTS 2026'!C1498),"",'ENGAGEMENTS 2026'!M1498)</f>
        <v/>
      </c>
      <c r="P1498">
        <f>IF(ISBLANK('ENGAGEMENTS 2026'!C1498),"",'ENGAGEMENTS 2026'!K1498)</f>
        <v/>
      </c>
      <c r="Q1498">
        <f>IF($A1498="","",IF(OR($E1498="INFRUCTUEUX",$E1498="ANNULE"),$A1498&amp;"|"&amp;(COUNTIFS($A$2:$A1498,$A1498,$E$2:$E1498,"INFRUCTUEUX")+COUNTIFS($A$2:$A1498,$A1498,$E$2:$E1498,"ANNULE")),""))</f>
        <v/>
      </c>
    </row>
    <row r="1499">
      <c r="A1499">
        <f>IF(ISBLANK('ENGAGEMENTS 2026'!C1499),"",IF('ENGAGEMENTS 2026'!C1499="DTSI","DCT",'ENGAGEMENTS 2026'!C1499))</f>
        <v/>
      </c>
      <c r="B1499">
        <f>IF(ISBLANK('ENGAGEMENTS 2026'!C1499),"",'ENGAGEMENTS 2026'!D1499)</f>
        <v/>
      </c>
      <c r="C1499">
        <f>IF(ISBLANK('ENGAGEMENTS 2026'!C1499),"",'ENGAGEMENTS 2026'!E1499)</f>
        <v/>
      </c>
      <c r="D1499">
        <f>IF(ISBLANK('ENGAGEMENTS 2026'!C1499),"",'ENGAGEMENTS 2026'!G1499)</f>
        <v/>
      </c>
      <c r="E1499">
        <f>IF(ISBLANK('ENGAGEMENTS 2026'!C1499),"",'ENGAGEMENTS 2026'!I1499)</f>
        <v/>
      </c>
      <c r="F1499">
        <f>IF(ISBLANK('ENGAGEMENTS 2026'!C1499),"",'ENGAGEMENTS 2026'!J1499)</f>
        <v/>
      </c>
      <c r="G1499">
        <f>IF(ISBLANK('ENGAGEMENTS 2026'!C1499),"",'ENGAGEMENTS 2026'!M1499)</f>
        <v/>
      </c>
      <c r="H1499">
        <f>IF(ISBLANK('ENGAGEMENTS 2026'!C1499),"",'ENGAGEMENTS 2026'!AF1499)</f>
        <v/>
      </c>
      <c r="I1499">
        <f>IF(ISBLANK('ENGAGEMENTS 2026'!C1499),"",'ENGAGEMENTS 2026'!H1499)</f>
        <v/>
      </c>
      <c r="J1499" s="275">
        <f>IF(ISBLANK('ENGAGEMENTS 2026'!C1499),"",IF(AND(OR($E1499="INFRUCTUEUX",$E1499="ANNULE"),$C1499="AOO-M"),'ENGAGEMENTS 2026'!P1499,IF($H1499="EN COURS DE PREENGAGEMENT",'ENGAGEMENTS 2026'!O1499,IF($H1499="PREENGAGE",IF($E1499="ATTRIBUE",'ENGAGEMENTS 2026'!AE1499,'ENGAGEMENTS 2026'!O1499),'ENGAGEMENTS 2026'!AE1499))))</f>
        <v/>
      </c>
      <c r="K1499" s="604">
        <f>IF(ISBLANK('ENGAGEMENTS 2026'!W1499),"",'ENGAGEMENTS 2026'!W1499)</f>
        <v/>
      </c>
      <c r="L1499" s="276">
        <f>IF($K1499="","",TODAY()-$K1499)</f>
        <v/>
      </c>
      <c r="M1499">
        <f>IF($A1499="","",IF($H1499="ENGAGE","Engagé",IF(AND($H1499="NON ENGAGE",OR($I1499="INFRUCTUEUX",$I1499="ANNULE")),"Clôturé sans suite","En cours")))</f>
        <v/>
      </c>
      <c r="N1499">
        <f>IF(ISBLANK('ENGAGEMENTS 2026'!C1499),"",'ENGAGEMENTS 2026'!L1499)</f>
        <v/>
      </c>
      <c r="O1499">
        <f>IF(ISBLANK('ENGAGEMENTS 2026'!C1499),"",'ENGAGEMENTS 2026'!M1499)</f>
        <v/>
      </c>
      <c r="P1499">
        <f>IF(ISBLANK('ENGAGEMENTS 2026'!C1499),"",'ENGAGEMENTS 2026'!K1499)</f>
        <v/>
      </c>
      <c r="Q1499">
        <f>IF($A1499="","",IF(OR($E1499="INFRUCTUEUX",$E1499="ANNULE"),$A1499&amp;"|"&amp;(COUNTIFS($A$2:$A1499,$A1499,$E$2:$E1499,"INFRUCTUEUX")+COUNTIFS($A$2:$A1499,$A1499,$E$2:$E1499,"ANNULE")),""))</f>
        <v/>
      </c>
    </row>
    <row r="1500">
      <c r="A1500">
        <f>IF(ISBLANK('ENGAGEMENTS 2026'!C1500),"",IF('ENGAGEMENTS 2026'!C1500="DTSI","DCT",'ENGAGEMENTS 2026'!C1500))</f>
        <v/>
      </c>
      <c r="B1500">
        <f>IF(ISBLANK('ENGAGEMENTS 2026'!C1500),"",'ENGAGEMENTS 2026'!D1500)</f>
        <v/>
      </c>
      <c r="C1500">
        <f>IF(ISBLANK('ENGAGEMENTS 2026'!C1500),"",'ENGAGEMENTS 2026'!E1500)</f>
        <v/>
      </c>
      <c r="D1500">
        <f>IF(ISBLANK('ENGAGEMENTS 2026'!C1500),"",'ENGAGEMENTS 2026'!G1500)</f>
        <v/>
      </c>
      <c r="E1500">
        <f>IF(ISBLANK('ENGAGEMENTS 2026'!C1500),"",'ENGAGEMENTS 2026'!I1500)</f>
        <v/>
      </c>
      <c r="F1500">
        <f>IF(ISBLANK('ENGAGEMENTS 2026'!C1500),"",'ENGAGEMENTS 2026'!J1500)</f>
        <v/>
      </c>
      <c r="G1500">
        <f>IF(ISBLANK('ENGAGEMENTS 2026'!C1500),"",'ENGAGEMENTS 2026'!M1500)</f>
        <v/>
      </c>
      <c r="H1500">
        <f>IF(ISBLANK('ENGAGEMENTS 2026'!C1500),"",'ENGAGEMENTS 2026'!AF1500)</f>
        <v/>
      </c>
      <c r="I1500">
        <f>IF(ISBLANK('ENGAGEMENTS 2026'!C1500),"",'ENGAGEMENTS 2026'!H1500)</f>
        <v/>
      </c>
      <c r="J1500" s="275">
        <f>IF(ISBLANK('ENGAGEMENTS 2026'!C1500),"",IF(AND(OR($E1500="INFRUCTUEUX",$E1500="ANNULE"),$C1500="AOO-M"),'ENGAGEMENTS 2026'!P1500,IF($H1500="EN COURS DE PREENGAGEMENT",'ENGAGEMENTS 2026'!O1500,IF($H1500="PREENGAGE",IF($E1500="ATTRIBUE",'ENGAGEMENTS 2026'!AE1500,'ENGAGEMENTS 2026'!O1500),'ENGAGEMENTS 2026'!AE1500))))</f>
        <v/>
      </c>
      <c r="K1500" s="604">
        <f>IF(ISBLANK('ENGAGEMENTS 2026'!W1500),"",'ENGAGEMENTS 2026'!W1500)</f>
        <v/>
      </c>
      <c r="L1500" s="276">
        <f>IF($K1500="","",TODAY()-$K1500)</f>
        <v/>
      </c>
      <c r="M1500">
        <f>IF($A1500="","",IF($H1500="ENGAGE","Engagé",IF(AND($H1500="NON ENGAGE",OR($I1500="INFRUCTUEUX",$I1500="ANNULE")),"Clôturé sans suite","En cours")))</f>
        <v/>
      </c>
      <c r="N1500">
        <f>IF(ISBLANK('ENGAGEMENTS 2026'!C1500),"",'ENGAGEMENTS 2026'!L1500)</f>
        <v/>
      </c>
      <c r="O1500">
        <f>IF(ISBLANK('ENGAGEMENTS 2026'!C1500),"",'ENGAGEMENTS 2026'!M1500)</f>
        <v/>
      </c>
      <c r="P1500">
        <f>IF(ISBLANK('ENGAGEMENTS 2026'!C1500),"",'ENGAGEMENTS 2026'!K1500)</f>
        <v/>
      </c>
      <c r="Q1500">
        <f>IF($A1500="","",IF(OR($E1500="INFRUCTUEUX",$E1500="ANNULE"),$A1500&amp;"|"&amp;(COUNTIFS($A$2:$A1500,$A1500,$E$2:$E1500,"INFRUCTUEUX")+COUNTIFS($A$2:$A1500,$A1500,$E$2:$E1500,"ANNULE")),""))</f>
        <v/>
      </c>
    </row>
    <row r="1501">
      <c r="A1501">
        <f>IF(ISBLANK('ENGAGEMENTS 2026'!C1501),"",IF('ENGAGEMENTS 2026'!C1501="DTSI","DCT",'ENGAGEMENTS 2026'!C1501))</f>
        <v/>
      </c>
      <c r="B1501">
        <f>IF(ISBLANK('ENGAGEMENTS 2026'!C1501),"",'ENGAGEMENTS 2026'!D1501)</f>
        <v/>
      </c>
      <c r="C1501">
        <f>IF(ISBLANK('ENGAGEMENTS 2026'!C1501),"",'ENGAGEMENTS 2026'!E1501)</f>
        <v/>
      </c>
      <c r="D1501">
        <f>IF(ISBLANK('ENGAGEMENTS 2026'!C1501),"",'ENGAGEMENTS 2026'!G1501)</f>
        <v/>
      </c>
      <c r="E1501">
        <f>IF(ISBLANK('ENGAGEMENTS 2026'!C1501),"",'ENGAGEMENTS 2026'!I1501)</f>
        <v/>
      </c>
      <c r="F1501">
        <f>IF(ISBLANK('ENGAGEMENTS 2026'!C1501),"",'ENGAGEMENTS 2026'!J1501)</f>
        <v/>
      </c>
      <c r="G1501">
        <f>IF(ISBLANK('ENGAGEMENTS 2026'!C1501),"",'ENGAGEMENTS 2026'!M1501)</f>
        <v/>
      </c>
      <c r="H1501">
        <f>IF(ISBLANK('ENGAGEMENTS 2026'!C1501),"",'ENGAGEMENTS 2026'!AF1501)</f>
        <v/>
      </c>
      <c r="I1501">
        <f>IF(ISBLANK('ENGAGEMENTS 2026'!C1501),"",'ENGAGEMENTS 2026'!H1501)</f>
        <v/>
      </c>
      <c r="J1501" s="275">
        <f>IF(ISBLANK('ENGAGEMENTS 2026'!C1501),"",IF(AND(OR($E1501="INFRUCTUEUX",$E1501="ANNULE"),$C1501="AOO-M"),'ENGAGEMENTS 2026'!P1501,IF($H1501="EN COURS DE PREENGAGEMENT",'ENGAGEMENTS 2026'!O1501,IF($H1501="PREENGAGE",IF($E1501="ATTRIBUE",'ENGAGEMENTS 2026'!AE1501,'ENGAGEMENTS 2026'!O1501),'ENGAGEMENTS 2026'!AE1501))))</f>
        <v/>
      </c>
      <c r="K1501" s="604">
        <f>IF(ISBLANK('ENGAGEMENTS 2026'!W1501),"",'ENGAGEMENTS 2026'!W1501)</f>
        <v/>
      </c>
      <c r="L1501" s="276">
        <f>IF($K1501="","",TODAY()-$K1501)</f>
        <v/>
      </c>
      <c r="M1501">
        <f>IF($A1501="","",IF($H1501="ENGAGE","Engagé",IF(AND($H1501="NON ENGAGE",OR($I1501="INFRUCTUEUX",$I1501="ANNULE")),"Clôturé sans suite","En cours")))</f>
        <v/>
      </c>
      <c r="N1501">
        <f>IF(ISBLANK('ENGAGEMENTS 2026'!C1501),"",'ENGAGEMENTS 2026'!L1501)</f>
        <v/>
      </c>
      <c r="O1501">
        <f>IF(ISBLANK('ENGAGEMENTS 2026'!C1501),"",'ENGAGEMENTS 2026'!M1501)</f>
        <v/>
      </c>
      <c r="P1501">
        <f>IF(ISBLANK('ENGAGEMENTS 2026'!C1501),"",'ENGAGEMENTS 2026'!K1501)</f>
        <v/>
      </c>
      <c r="Q1501">
        <f>IF($A1501="","",IF(OR($E1501="INFRUCTUEUX",$E1501="ANNULE"),$A1501&amp;"|"&amp;(COUNTIFS($A$2:$A1501,$A1501,$E$2:$E1501,"INFRUCTUEUX")+COUNTIFS($A$2:$A1501,$A1501,$E$2:$E1501,"ANNULE")),""))</f>
        <v/>
      </c>
    </row>
    <row r="1502">
      <c r="A1502">
        <f>IF(ISBLANK('ENGAGEMENTS 2026'!C1502),"",IF('ENGAGEMENTS 2026'!C1502="DTSI","DCT",'ENGAGEMENTS 2026'!C1502))</f>
        <v/>
      </c>
      <c r="B1502">
        <f>IF(ISBLANK('ENGAGEMENTS 2026'!C1502),"",'ENGAGEMENTS 2026'!D1502)</f>
        <v/>
      </c>
      <c r="C1502">
        <f>IF(ISBLANK('ENGAGEMENTS 2026'!C1502),"",'ENGAGEMENTS 2026'!E1502)</f>
        <v/>
      </c>
      <c r="D1502">
        <f>IF(ISBLANK('ENGAGEMENTS 2026'!C1502),"",'ENGAGEMENTS 2026'!G1502)</f>
        <v/>
      </c>
      <c r="E1502">
        <f>IF(ISBLANK('ENGAGEMENTS 2026'!C1502),"",'ENGAGEMENTS 2026'!I1502)</f>
        <v/>
      </c>
      <c r="F1502">
        <f>IF(ISBLANK('ENGAGEMENTS 2026'!C1502),"",'ENGAGEMENTS 2026'!J1502)</f>
        <v/>
      </c>
      <c r="G1502">
        <f>IF(ISBLANK('ENGAGEMENTS 2026'!C1502),"",'ENGAGEMENTS 2026'!M1502)</f>
        <v/>
      </c>
      <c r="H1502">
        <f>IF(ISBLANK('ENGAGEMENTS 2026'!C1502),"",'ENGAGEMENTS 2026'!AF1502)</f>
        <v/>
      </c>
      <c r="I1502">
        <f>IF(ISBLANK('ENGAGEMENTS 2026'!C1502),"",'ENGAGEMENTS 2026'!H1502)</f>
        <v/>
      </c>
      <c r="J1502" s="275">
        <f>IF(ISBLANK('ENGAGEMENTS 2026'!C1502),"",IF(AND(OR($E1502="INFRUCTUEUX",$E1502="ANNULE"),$C1502="AOO-M"),'ENGAGEMENTS 2026'!P1502,IF($H1502="EN COURS DE PREENGAGEMENT",'ENGAGEMENTS 2026'!O1502,IF($H1502="PREENGAGE",IF($E1502="ATTRIBUE",'ENGAGEMENTS 2026'!AE1502,'ENGAGEMENTS 2026'!O1502),'ENGAGEMENTS 2026'!AE1502))))</f>
        <v/>
      </c>
      <c r="K1502" s="604">
        <f>IF(ISBLANK('ENGAGEMENTS 2026'!W1502),"",'ENGAGEMENTS 2026'!W1502)</f>
        <v/>
      </c>
      <c r="L1502" s="276">
        <f>IF($K1502="","",TODAY()-$K1502)</f>
        <v/>
      </c>
      <c r="M1502">
        <f>IF($A1502="","",IF($H1502="ENGAGE","Engagé",IF(AND($H1502="NON ENGAGE",OR($I1502="INFRUCTUEUX",$I1502="ANNULE")),"Clôturé sans suite","En cours")))</f>
        <v/>
      </c>
      <c r="N1502">
        <f>IF(ISBLANK('ENGAGEMENTS 2026'!C1502),"",'ENGAGEMENTS 2026'!L1502)</f>
        <v/>
      </c>
      <c r="O1502">
        <f>IF(ISBLANK('ENGAGEMENTS 2026'!C1502),"",'ENGAGEMENTS 2026'!M1502)</f>
        <v/>
      </c>
      <c r="P1502">
        <f>IF(ISBLANK('ENGAGEMENTS 2026'!C1502),"",'ENGAGEMENTS 2026'!K1502)</f>
        <v/>
      </c>
      <c r="Q1502">
        <f>IF($A1502="","",IF(OR($E1502="INFRUCTUEUX",$E1502="ANNULE"),$A1502&amp;"|"&amp;(COUNTIFS($A$2:$A1502,$A1502,$E$2:$E1502,"INFRUCTUEUX")+COUNTIFS($A$2:$A1502,$A1502,$E$2:$E1502,"ANNULE")),""))</f>
        <v/>
      </c>
    </row>
    <row r="1503">
      <c r="A1503">
        <f>IF(ISBLANK('ENGAGEMENTS 2026'!C1503),"",IF('ENGAGEMENTS 2026'!C1503="DTSI","DCT",'ENGAGEMENTS 2026'!C1503))</f>
        <v/>
      </c>
      <c r="B1503">
        <f>IF(ISBLANK('ENGAGEMENTS 2026'!C1503),"",'ENGAGEMENTS 2026'!D1503)</f>
        <v/>
      </c>
      <c r="C1503">
        <f>IF(ISBLANK('ENGAGEMENTS 2026'!C1503),"",'ENGAGEMENTS 2026'!E1503)</f>
        <v/>
      </c>
      <c r="D1503">
        <f>IF(ISBLANK('ENGAGEMENTS 2026'!C1503),"",'ENGAGEMENTS 2026'!G1503)</f>
        <v/>
      </c>
      <c r="E1503">
        <f>IF(ISBLANK('ENGAGEMENTS 2026'!C1503),"",'ENGAGEMENTS 2026'!I1503)</f>
        <v/>
      </c>
      <c r="F1503">
        <f>IF(ISBLANK('ENGAGEMENTS 2026'!C1503),"",'ENGAGEMENTS 2026'!J1503)</f>
        <v/>
      </c>
      <c r="G1503">
        <f>IF(ISBLANK('ENGAGEMENTS 2026'!C1503),"",'ENGAGEMENTS 2026'!M1503)</f>
        <v/>
      </c>
      <c r="H1503">
        <f>IF(ISBLANK('ENGAGEMENTS 2026'!C1503),"",'ENGAGEMENTS 2026'!AF1503)</f>
        <v/>
      </c>
      <c r="I1503">
        <f>IF(ISBLANK('ENGAGEMENTS 2026'!C1503),"",'ENGAGEMENTS 2026'!H1503)</f>
        <v/>
      </c>
      <c r="J1503" s="275">
        <f>IF(ISBLANK('ENGAGEMENTS 2026'!C1503),"",IF(AND(OR($E1503="INFRUCTUEUX",$E1503="ANNULE"),$C1503="AOO-M"),'ENGAGEMENTS 2026'!P1503,IF($H1503="EN COURS DE PREENGAGEMENT",'ENGAGEMENTS 2026'!O1503,IF($H1503="PREENGAGE",IF($E1503="ATTRIBUE",'ENGAGEMENTS 2026'!AE1503,'ENGAGEMENTS 2026'!O1503),'ENGAGEMENTS 2026'!AE1503))))</f>
        <v/>
      </c>
      <c r="K1503" s="604">
        <f>IF(ISBLANK('ENGAGEMENTS 2026'!W1503),"",'ENGAGEMENTS 2026'!W1503)</f>
        <v/>
      </c>
      <c r="L1503" s="276">
        <f>IF($K1503="","",TODAY()-$K1503)</f>
        <v/>
      </c>
      <c r="M1503">
        <f>IF($A1503="","",IF($H1503="ENGAGE","Engagé",IF(AND($H1503="NON ENGAGE",OR($I1503="INFRUCTUEUX",$I1503="ANNULE")),"Clôturé sans suite","En cours")))</f>
        <v/>
      </c>
      <c r="N1503">
        <f>IF(ISBLANK('ENGAGEMENTS 2026'!C1503),"",'ENGAGEMENTS 2026'!L1503)</f>
        <v/>
      </c>
      <c r="O1503">
        <f>IF(ISBLANK('ENGAGEMENTS 2026'!C1503),"",'ENGAGEMENTS 2026'!M1503)</f>
        <v/>
      </c>
      <c r="P1503">
        <f>IF(ISBLANK('ENGAGEMENTS 2026'!C1503),"",'ENGAGEMENTS 2026'!K1503)</f>
        <v/>
      </c>
      <c r="Q1503">
        <f>IF($A1503="","",IF(OR($E1503="INFRUCTUEUX",$E1503="ANNULE"),$A1503&amp;"|"&amp;(COUNTIFS($A$2:$A1503,$A1503,$E$2:$E1503,"INFRUCTUEUX")+COUNTIFS($A$2:$A1503,$A1503,$E$2:$E1503,"ANNULE")),""))</f>
        <v/>
      </c>
    </row>
    <row r="1504">
      <c r="A1504">
        <f>IF(ISBLANK('ENGAGEMENTS 2026'!C1504),"",IF('ENGAGEMENTS 2026'!C1504="DTSI","DCT",'ENGAGEMENTS 2026'!C1504))</f>
        <v/>
      </c>
      <c r="B1504">
        <f>IF(ISBLANK('ENGAGEMENTS 2026'!C1504),"",'ENGAGEMENTS 2026'!D1504)</f>
        <v/>
      </c>
      <c r="C1504">
        <f>IF(ISBLANK('ENGAGEMENTS 2026'!C1504),"",'ENGAGEMENTS 2026'!E1504)</f>
        <v/>
      </c>
      <c r="D1504">
        <f>IF(ISBLANK('ENGAGEMENTS 2026'!C1504),"",'ENGAGEMENTS 2026'!G1504)</f>
        <v/>
      </c>
      <c r="E1504">
        <f>IF(ISBLANK('ENGAGEMENTS 2026'!C1504),"",'ENGAGEMENTS 2026'!I1504)</f>
        <v/>
      </c>
      <c r="F1504">
        <f>IF(ISBLANK('ENGAGEMENTS 2026'!C1504),"",'ENGAGEMENTS 2026'!J1504)</f>
        <v/>
      </c>
      <c r="G1504">
        <f>IF(ISBLANK('ENGAGEMENTS 2026'!C1504),"",'ENGAGEMENTS 2026'!M1504)</f>
        <v/>
      </c>
      <c r="H1504">
        <f>IF(ISBLANK('ENGAGEMENTS 2026'!C1504),"",'ENGAGEMENTS 2026'!AF1504)</f>
        <v/>
      </c>
      <c r="I1504">
        <f>IF(ISBLANK('ENGAGEMENTS 2026'!C1504),"",'ENGAGEMENTS 2026'!H1504)</f>
        <v/>
      </c>
      <c r="J1504" s="275">
        <f>IF(ISBLANK('ENGAGEMENTS 2026'!C1504),"",IF(AND(OR($E1504="INFRUCTUEUX",$E1504="ANNULE"),$C1504="AOO-M"),'ENGAGEMENTS 2026'!P1504,IF($H1504="EN COURS DE PREENGAGEMENT",'ENGAGEMENTS 2026'!O1504,IF($H1504="PREENGAGE",IF($E1504="ATTRIBUE",'ENGAGEMENTS 2026'!AE1504,'ENGAGEMENTS 2026'!O1504),'ENGAGEMENTS 2026'!AE1504))))</f>
        <v/>
      </c>
      <c r="K1504" s="604">
        <f>IF(ISBLANK('ENGAGEMENTS 2026'!W1504),"",'ENGAGEMENTS 2026'!W1504)</f>
        <v/>
      </c>
      <c r="L1504" s="276">
        <f>IF($K1504="","",TODAY()-$K1504)</f>
        <v/>
      </c>
      <c r="M1504">
        <f>IF($A1504="","",IF($H1504="ENGAGE","Engagé",IF(AND($H1504="NON ENGAGE",OR($I1504="INFRUCTUEUX",$I1504="ANNULE")),"Clôturé sans suite","En cours")))</f>
        <v/>
      </c>
      <c r="N1504">
        <f>IF(ISBLANK('ENGAGEMENTS 2026'!C1504),"",'ENGAGEMENTS 2026'!L1504)</f>
        <v/>
      </c>
      <c r="O1504">
        <f>IF(ISBLANK('ENGAGEMENTS 2026'!C1504),"",'ENGAGEMENTS 2026'!M1504)</f>
        <v/>
      </c>
      <c r="P1504">
        <f>IF(ISBLANK('ENGAGEMENTS 2026'!C1504),"",'ENGAGEMENTS 2026'!K1504)</f>
        <v/>
      </c>
      <c r="Q1504">
        <f>IF($A1504="","",IF(OR($E1504="INFRUCTUEUX",$E1504="ANNULE"),$A1504&amp;"|"&amp;(COUNTIFS($A$2:$A1504,$A1504,$E$2:$E1504,"INFRUCTUEUX")+COUNTIFS($A$2:$A1504,$A1504,$E$2:$E1504,"ANNULE")),""))</f>
        <v/>
      </c>
    </row>
    <row r="1505">
      <c r="A1505">
        <f>IF(ISBLANK('ENGAGEMENTS 2026'!C1505),"",IF('ENGAGEMENTS 2026'!C1505="DTSI","DCT",'ENGAGEMENTS 2026'!C1505))</f>
        <v/>
      </c>
      <c r="B1505">
        <f>IF(ISBLANK('ENGAGEMENTS 2026'!C1505),"",'ENGAGEMENTS 2026'!D1505)</f>
        <v/>
      </c>
      <c r="C1505">
        <f>IF(ISBLANK('ENGAGEMENTS 2026'!C1505),"",'ENGAGEMENTS 2026'!E1505)</f>
        <v/>
      </c>
      <c r="D1505">
        <f>IF(ISBLANK('ENGAGEMENTS 2026'!C1505),"",'ENGAGEMENTS 2026'!G1505)</f>
        <v/>
      </c>
      <c r="E1505">
        <f>IF(ISBLANK('ENGAGEMENTS 2026'!C1505),"",'ENGAGEMENTS 2026'!I1505)</f>
        <v/>
      </c>
      <c r="F1505">
        <f>IF(ISBLANK('ENGAGEMENTS 2026'!C1505),"",'ENGAGEMENTS 2026'!J1505)</f>
        <v/>
      </c>
      <c r="G1505">
        <f>IF(ISBLANK('ENGAGEMENTS 2026'!C1505),"",'ENGAGEMENTS 2026'!M1505)</f>
        <v/>
      </c>
      <c r="H1505">
        <f>IF(ISBLANK('ENGAGEMENTS 2026'!C1505),"",'ENGAGEMENTS 2026'!AF1505)</f>
        <v/>
      </c>
      <c r="I1505">
        <f>IF(ISBLANK('ENGAGEMENTS 2026'!C1505),"",'ENGAGEMENTS 2026'!H1505)</f>
        <v/>
      </c>
      <c r="J1505" s="275">
        <f>IF(ISBLANK('ENGAGEMENTS 2026'!C1505),"",IF(AND(OR($E1505="INFRUCTUEUX",$E1505="ANNULE"),$C1505="AOO-M"),'ENGAGEMENTS 2026'!P1505,IF($H1505="EN COURS DE PREENGAGEMENT",'ENGAGEMENTS 2026'!O1505,IF($H1505="PREENGAGE",IF($E1505="ATTRIBUE",'ENGAGEMENTS 2026'!AE1505,'ENGAGEMENTS 2026'!O1505),'ENGAGEMENTS 2026'!AE1505))))</f>
        <v/>
      </c>
      <c r="K1505" s="604">
        <f>IF(ISBLANK('ENGAGEMENTS 2026'!W1505),"",'ENGAGEMENTS 2026'!W1505)</f>
        <v/>
      </c>
      <c r="L1505" s="276">
        <f>IF($K1505="","",TODAY()-$K1505)</f>
        <v/>
      </c>
      <c r="M1505">
        <f>IF($A1505="","",IF($H1505="ENGAGE","Engagé",IF(AND($H1505="NON ENGAGE",OR($I1505="INFRUCTUEUX",$I1505="ANNULE")),"Clôturé sans suite","En cours")))</f>
        <v/>
      </c>
      <c r="N1505">
        <f>IF(ISBLANK('ENGAGEMENTS 2026'!C1505),"",'ENGAGEMENTS 2026'!L1505)</f>
        <v/>
      </c>
      <c r="O1505">
        <f>IF(ISBLANK('ENGAGEMENTS 2026'!C1505),"",'ENGAGEMENTS 2026'!M1505)</f>
        <v/>
      </c>
      <c r="P1505">
        <f>IF(ISBLANK('ENGAGEMENTS 2026'!C1505),"",'ENGAGEMENTS 2026'!K1505)</f>
        <v/>
      </c>
      <c r="Q1505">
        <f>IF($A1505="","",IF(OR($E1505="INFRUCTUEUX",$E1505="ANNULE"),$A1505&amp;"|"&amp;(COUNTIFS($A$2:$A1505,$A1505,$E$2:$E1505,"INFRUCTUEUX")+COUNTIFS($A$2:$A1505,$A1505,$E$2:$E1505,"ANNULE")),""))</f>
        <v/>
      </c>
    </row>
    <row r="1506">
      <c r="A1506">
        <f>IF(ISBLANK('ENGAGEMENTS 2026'!C1506),"",IF('ENGAGEMENTS 2026'!C1506="DTSI","DCT",'ENGAGEMENTS 2026'!C1506))</f>
        <v/>
      </c>
      <c r="B1506">
        <f>IF(ISBLANK('ENGAGEMENTS 2026'!C1506),"",'ENGAGEMENTS 2026'!D1506)</f>
        <v/>
      </c>
      <c r="C1506">
        <f>IF(ISBLANK('ENGAGEMENTS 2026'!C1506),"",'ENGAGEMENTS 2026'!E1506)</f>
        <v/>
      </c>
      <c r="D1506">
        <f>IF(ISBLANK('ENGAGEMENTS 2026'!C1506),"",'ENGAGEMENTS 2026'!G1506)</f>
        <v/>
      </c>
      <c r="E1506">
        <f>IF(ISBLANK('ENGAGEMENTS 2026'!C1506),"",'ENGAGEMENTS 2026'!I1506)</f>
        <v/>
      </c>
      <c r="F1506">
        <f>IF(ISBLANK('ENGAGEMENTS 2026'!C1506),"",'ENGAGEMENTS 2026'!J1506)</f>
        <v/>
      </c>
      <c r="G1506">
        <f>IF(ISBLANK('ENGAGEMENTS 2026'!C1506),"",'ENGAGEMENTS 2026'!M1506)</f>
        <v/>
      </c>
      <c r="H1506">
        <f>IF(ISBLANK('ENGAGEMENTS 2026'!C1506),"",'ENGAGEMENTS 2026'!AF1506)</f>
        <v/>
      </c>
      <c r="I1506">
        <f>IF(ISBLANK('ENGAGEMENTS 2026'!C1506),"",'ENGAGEMENTS 2026'!H1506)</f>
        <v/>
      </c>
      <c r="J1506" s="275">
        <f>IF(ISBLANK('ENGAGEMENTS 2026'!C1506),"",IF(AND(OR($E1506="INFRUCTUEUX",$E1506="ANNULE"),$C1506="AOO-M"),'ENGAGEMENTS 2026'!P1506,IF($H1506="EN COURS DE PREENGAGEMENT",'ENGAGEMENTS 2026'!O1506,IF($H1506="PREENGAGE",IF($E1506="ATTRIBUE",'ENGAGEMENTS 2026'!AE1506,'ENGAGEMENTS 2026'!O1506),'ENGAGEMENTS 2026'!AE1506))))</f>
        <v/>
      </c>
      <c r="K1506" s="604">
        <f>IF(ISBLANK('ENGAGEMENTS 2026'!W1506),"",'ENGAGEMENTS 2026'!W1506)</f>
        <v/>
      </c>
      <c r="L1506" s="276">
        <f>IF($K1506="","",TODAY()-$K1506)</f>
        <v/>
      </c>
      <c r="M1506">
        <f>IF($A1506="","",IF($H1506="ENGAGE","Engagé",IF(AND($H1506="NON ENGAGE",OR($I1506="INFRUCTUEUX",$I1506="ANNULE")),"Clôturé sans suite","En cours")))</f>
        <v/>
      </c>
      <c r="N1506">
        <f>IF(ISBLANK('ENGAGEMENTS 2026'!C1506),"",'ENGAGEMENTS 2026'!L1506)</f>
        <v/>
      </c>
      <c r="O1506">
        <f>IF(ISBLANK('ENGAGEMENTS 2026'!C1506),"",'ENGAGEMENTS 2026'!M1506)</f>
        <v/>
      </c>
      <c r="P1506">
        <f>IF(ISBLANK('ENGAGEMENTS 2026'!C1506),"",'ENGAGEMENTS 2026'!K1506)</f>
        <v/>
      </c>
      <c r="Q1506">
        <f>IF($A1506="","",IF(OR($E1506="INFRUCTUEUX",$E1506="ANNULE"),$A1506&amp;"|"&amp;(COUNTIFS($A$2:$A1506,$A1506,$E$2:$E1506,"INFRUCTUEUX")+COUNTIFS($A$2:$A1506,$A1506,$E$2:$E1506,"ANNULE")),""))</f>
        <v/>
      </c>
    </row>
    <row r="1507">
      <c r="A1507">
        <f>IF(ISBLANK('ENGAGEMENTS 2026'!C1507),"",IF('ENGAGEMENTS 2026'!C1507="DTSI","DCT",'ENGAGEMENTS 2026'!C1507))</f>
        <v/>
      </c>
      <c r="B1507">
        <f>IF(ISBLANK('ENGAGEMENTS 2026'!C1507),"",'ENGAGEMENTS 2026'!D1507)</f>
        <v/>
      </c>
      <c r="C1507">
        <f>IF(ISBLANK('ENGAGEMENTS 2026'!C1507),"",'ENGAGEMENTS 2026'!E1507)</f>
        <v/>
      </c>
      <c r="D1507">
        <f>IF(ISBLANK('ENGAGEMENTS 2026'!C1507),"",'ENGAGEMENTS 2026'!G1507)</f>
        <v/>
      </c>
      <c r="E1507">
        <f>IF(ISBLANK('ENGAGEMENTS 2026'!C1507),"",'ENGAGEMENTS 2026'!I1507)</f>
        <v/>
      </c>
      <c r="F1507">
        <f>IF(ISBLANK('ENGAGEMENTS 2026'!C1507),"",'ENGAGEMENTS 2026'!J1507)</f>
        <v/>
      </c>
      <c r="G1507">
        <f>IF(ISBLANK('ENGAGEMENTS 2026'!C1507),"",'ENGAGEMENTS 2026'!M1507)</f>
        <v/>
      </c>
      <c r="H1507">
        <f>IF(ISBLANK('ENGAGEMENTS 2026'!C1507),"",'ENGAGEMENTS 2026'!AF1507)</f>
        <v/>
      </c>
      <c r="I1507">
        <f>IF(ISBLANK('ENGAGEMENTS 2026'!C1507),"",'ENGAGEMENTS 2026'!H1507)</f>
        <v/>
      </c>
      <c r="J1507" s="275">
        <f>IF(ISBLANK('ENGAGEMENTS 2026'!C1507),"",IF(AND(OR($E1507="INFRUCTUEUX",$E1507="ANNULE"),$C1507="AOO-M"),'ENGAGEMENTS 2026'!P1507,IF($H1507="EN COURS DE PREENGAGEMENT",'ENGAGEMENTS 2026'!O1507,IF($H1507="PREENGAGE",IF($E1507="ATTRIBUE",'ENGAGEMENTS 2026'!AE1507,'ENGAGEMENTS 2026'!O1507),'ENGAGEMENTS 2026'!AE1507))))</f>
        <v/>
      </c>
      <c r="K1507" s="604">
        <f>IF(ISBLANK('ENGAGEMENTS 2026'!W1507),"",'ENGAGEMENTS 2026'!W1507)</f>
        <v/>
      </c>
      <c r="L1507" s="276">
        <f>IF($K1507="","",TODAY()-$K1507)</f>
        <v/>
      </c>
      <c r="M1507">
        <f>IF($A1507="","",IF($H1507="ENGAGE","Engagé",IF(AND($H1507="NON ENGAGE",OR($I1507="INFRUCTUEUX",$I1507="ANNULE")),"Clôturé sans suite","En cours")))</f>
        <v/>
      </c>
      <c r="N1507">
        <f>IF(ISBLANK('ENGAGEMENTS 2026'!C1507),"",'ENGAGEMENTS 2026'!L1507)</f>
        <v/>
      </c>
      <c r="O1507">
        <f>IF(ISBLANK('ENGAGEMENTS 2026'!C1507),"",'ENGAGEMENTS 2026'!M1507)</f>
        <v/>
      </c>
      <c r="P1507">
        <f>IF(ISBLANK('ENGAGEMENTS 2026'!C1507),"",'ENGAGEMENTS 2026'!K1507)</f>
        <v/>
      </c>
      <c r="Q1507">
        <f>IF($A1507="","",IF(OR($E1507="INFRUCTUEUX",$E1507="ANNULE"),$A1507&amp;"|"&amp;(COUNTIFS($A$2:$A1507,$A1507,$E$2:$E1507,"INFRUCTUEUX")+COUNTIFS($A$2:$A1507,$A1507,$E$2:$E1507,"ANNULE")),""))</f>
        <v/>
      </c>
    </row>
    <row r="1508">
      <c r="A1508">
        <f>IF(ISBLANK('ENGAGEMENTS 2026'!C1508),"",IF('ENGAGEMENTS 2026'!C1508="DTSI","DCT",'ENGAGEMENTS 2026'!C1508))</f>
        <v/>
      </c>
      <c r="B1508">
        <f>IF(ISBLANK('ENGAGEMENTS 2026'!C1508),"",'ENGAGEMENTS 2026'!D1508)</f>
        <v/>
      </c>
      <c r="C1508">
        <f>IF(ISBLANK('ENGAGEMENTS 2026'!C1508),"",'ENGAGEMENTS 2026'!E1508)</f>
        <v/>
      </c>
      <c r="D1508">
        <f>IF(ISBLANK('ENGAGEMENTS 2026'!C1508),"",'ENGAGEMENTS 2026'!G1508)</f>
        <v/>
      </c>
      <c r="E1508">
        <f>IF(ISBLANK('ENGAGEMENTS 2026'!C1508),"",'ENGAGEMENTS 2026'!I1508)</f>
        <v/>
      </c>
      <c r="F1508">
        <f>IF(ISBLANK('ENGAGEMENTS 2026'!C1508),"",'ENGAGEMENTS 2026'!J1508)</f>
        <v/>
      </c>
      <c r="G1508">
        <f>IF(ISBLANK('ENGAGEMENTS 2026'!C1508),"",'ENGAGEMENTS 2026'!M1508)</f>
        <v/>
      </c>
      <c r="H1508">
        <f>IF(ISBLANK('ENGAGEMENTS 2026'!C1508),"",'ENGAGEMENTS 2026'!AF1508)</f>
        <v/>
      </c>
      <c r="I1508">
        <f>IF(ISBLANK('ENGAGEMENTS 2026'!C1508),"",'ENGAGEMENTS 2026'!H1508)</f>
        <v/>
      </c>
      <c r="J1508" s="275">
        <f>IF(ISBLANK('ENGAGEMENTS 2026'!C1508),"",IF(AND(OR($E1508="INFRUCTUEUX",$E1508="ANNULE"),$C1508="AOO-M"),'ENGAGEMENTS 2026'!P1508,IF($H1508="EN COURS DE PREENGAGEMENT",'ENGAGEMENTS 2026'!O1508,IF($H1508="PREENGAGE",IF($E1508="ATTRIBUE",'ENGAGEMENTS 2026'!AE1508,'ENGAGEMENTS 2026'!O1508),'ENGAGEMENTS 2026'!AE1508))))</f>
        <v/>
      </c>
      <c r="K1508" s="604">
        <f>IF(ISBLANK('ENGAGEMENTS 2026'!W1508),"",'ENGAGEMENTS 2026'!W1508)</f>
        <v/>
      </c>
      <c r="L1508" s="276">
        <f>IF($K1508="","",TODAY()-$K1508)</f>
        <v/>
      </c>
      <c r="M1508">
        <f>IF($A1508="","",IF($H1508="ENGAGE","Engagé",IF(AND($H1508="NON ENGAGE",OR($I1508="INFRUCTUEUX",$I1508="ANNULE")),"Clôturé sans suite","En cours")))</f>
        <v/>
      </c>
      <c r="N1508">
        <f>IF(ISBLANK('ENGAGEMENTS 2026'!C1508),"",'ENGAGEMENTS 2026'!L1508)</f>
        <v/>
      </c>
      <c r="O1508">
        <f>IF(ISBLANK('ENGAGEMENTS 2026'!C1508),"",'ENGAGEMENTS 2026'!M1508)</f>
        <v/>
      </c>
      <c r="P1508">
        <f>IF(ISBLANK('ENGAGEMENTS 2026'!C1508),"",'ENGAGEMENTS 2026'!K1508)</f>
        <v/>
      </c>
      <c r="Q1508">
        <f>IF($A1508="","",IF(OR($E1508="INFRUCTUEUX",$E1508="ANNULE"),$A1508&amp;"|"&amp;(COUNTIFS($A$2:$A1508,$A1508,$E$2:$E1508,"INFRUCTUEUX")+COUNTIFS($A$2:$A1508,$A1508,$E$2:$E1508,"ANNULE")),""))</f>
        <v/>
      </c>
    </row>
    <row r="1509">
      <c r="A1509">
        <f>IF(ISBLANK('ENGAGEMENTS 2026'!C1509),"",IF('ENGAGEMENTS 2026'!C1509="DTSI","DCT",'ENGAGEMENTS 2026'!C1509))</f>
        <v/>
      </c>
      <c r="B1509">
        <f>IF(ISBLANK('ENGAGEMENTS 2026'!C1509),"",'ENGAGEMENTS 2026'!D1509)</f>
        <v/>
      </c>
      <c r="C1509">
        <f>IF(ISBLANK('ENGAGEMENTS 2026'!C1509),"",'ENGAGEMENTS 2026'!E1509)</f>
        <v/>
      </c>
      <c r="D1509">
        <f>IF(ISBLANK('ENGAGEMENTS 2026'!C1509),"",'ENGAGEMENTS 2026'!G1509)</f>
        <v/>
      </c>
      <c r="E1509">
        <f>IF(ISBLANK('ENGAGEMENTS 2026'!C1509),"",'ENGAGEMENTS 2026'!I1509)</f>
        <v/>
      </c>
      <c r="F1509">
        <f>IF(ISBLANK('ENGAGEMENTS 2026'!C1509),"",'ENGAGEMENTS 2026'!J1509)</f>
        <v/>
      </c>
      <c r="G1509">
        <f>IF(ISBLANK('ENGAGEMENTS 2026'!C1509),"",'ENGAGEMENTS 2026'!M1509)</f>
        <v/>
      </c>
      <c r="H1509">
        <f>IF(ISBLANK('ENGAGEMENTS 2026'!C1509),"",'ENGAGEMENTS 2026'!AF1509)</f>
        <v/>
      </c>
      <c r="I1509">
        <f>IF(ISBLANK('ENGAGEMENTS 2026'!C1509),"",'ENGAGEMENTS 2026'!H1509)</f>
        <v/>
      </c>
      <c r="J1509" s="275">
        <f>IF(ISBLANK('ENGAGEMENTS 2026'!C1509),"",IF(AND(OR($E1509="INFRUCTUEUX",$E1509="ANNULE"),$C1509="AOO-M"),'ENGAGEMENTS 2026'!P1509,IF($H1509="EN COURS DE PREENGAGEMENT",'ENGAGEMENTS 2026'!O1509,IF($H1509="PREENGAGE",IF($E1509="ATTRIBUE",'ENGAGEMENTS 2026'!AE1509,'ENGAGEMENTS 2026'!O1509),'ENGAGEMENTS 2026'!AE1509))))</f>
        <v/>
      </c>
      <c r="K1509" s="604">
        <f>IF(ISBLANK('ENGAGEMENTS 2026'!W1509),"",'ENGAGEMENTS 2026'!W1509)</f>
        <v/>
      </c>
      <c r="L1509" s="276">
        <f>IF($K1509="","",TODAY()-$K1509)</f>
        <v/>
      </c>
      <c r="M1509">
        <f>IF($A1509="","",IF($H1509="ENGAGE","Engagé",IF(AND($H1509="NON ENGAGE",OR($I1509="INFRUCTUEUX",$I1509="ANNULE")),"Clôturé sans suite","En cours")))</f>
        <v/>
      </c>
      <c r="N1509">
        <f>IF(ISBLANK('ENGAGEMENTS 2026'!C1509),"",'ENGAGEMENTS 2026'!L1509)</f>
        <v/>
      </c>
      <c r="O1509">
        <f>IF(ISBLANK('ENGAGEMENTS 2026'!C1509),"",'ENGAGEMENTS 2026'!M1509)</f>
        <v/>
      </c>
      <c r="P1509">
        <f>IF(ISBLANK('ENGAGEMENTS 2026'!C1509),"",'ENGAGEMENTS 2026'!K1509)</f>
        <v/>
      </c>
      <c r="Q1509">
        <f>IF($A1509="","",IF(OR($E1509="INFRUCTUEUX",$E1509="ANNULE"),$A1509&amp;"|"&amp;(COUNTIFS($A$2:$A1509,$A1509,$E$2:$E1509,"INFRUCTUEUX")+COUNTIFS($A$2:$A1509,$A1509,$E$2:$E1509,"ANNULE")),""))</f>
        <v/>
      </c>
    </row>
    <row r="1510">
      <c r="A1510">
        <f>IF(ISBLANK('ENGAGEMENTS 2026'!C1510),"",IF('ENGAGEMENTS 2026'!C1510="DTSI","DCT",'ENGAGEMENTS 2026'!C1510))</f>
        <v/>
      </c>
      <c r="B1510">
        <f>IF(ISBLANK('ENGAGEMENTS 2026'!C1510),"",'ENGAGEMENTS 2026'!D1510)</f>
        <v/>
      </c>
      <c r="C1510">
        <f>IF(ISBLANK('ENGAGEMENTS 2026'!C1510),"",'ENGAGEMENTS 2026'!E1510)</f>
        <v/>
      </c>
      <c r="D1510">
        <f>IF(ISBLANK('ENGAGEMENTS 2026'!C1510),"",'ENGAGEMENTS 2026'!G1510)</f>
        <v/>
      </c>
      <c r="E1510">
        <f>IF(ISBLANK('ENGAGEMENTS 2026'!C1510),"",'ENGAGEMENTS 2026'!I1510)</f>
        <v/>
      </c>
      <c r="F1510">
        <f>IF(ISBLANK('ENGAGEMENTS 2026'!C1510),"",'ENGAGEMENTS 2026'!J1510)</f>
        <v/>
      </c>
      <c r="G1510">
        <f>IF(ISBLANK('ENGAGEMENTS 2026'!C1510),"",'ENGAGEMENTS 2026'!M1510)</f>
        <v/>
      </c>
      <c r="H1510">
        <f>IF(ISBLANK('ENGAGEMENTS 2026'!C1510),"",'ENGAGEMENTS 2026'!AF1510)</f>
        <v/>
      </c>
      <c r="I1510">
        <f>IF(ISBLANK('ENGAGEMENTS 2026'!C1510),"",'ENGAGEMENTS 2026'!H1510)</f>
        <v/>
      </c>
      <c r="J1510" s="275">
        <f>IF(ISBLANK('ENGAGEMENTS 2026'!C1510),"",IF(AND(OR($E1510="INFRUCTUEUX",$E1510="ANNULE"),$C1510="AOO-M"),'ENGAGEMENTS 2026'!P1510,IF($H1510="EN COURS DE PREENGAGEMENT",'ENGAGEMENTS 2026'!O1510,IF($H1510="PREENGAGE",IF($E1510="ATTRIBUE",'ENGAGEMENTS 2026'!AE1510,'ENGAGEMENTS 2026'!O1510),'ENGAGEMENTS 2026'!AE1510))))</f>
        <v/>
      </c>
      <c r="K1510" s="604">
        <f>IF(ISBLANK('ENGAGEMENTS 2026'!W1510),"",'ENGAGEMENTS 2026'!W1510)</f>
        <v/>
      </c>
      <c r="L1510" s="276">
        <f>IF($K1510="","",TODAY()-$K1510)</f>
        <v/>
      </c>
      <c r="M1510">
        <f>IF($A1510="","",IF($H1510="ENGAGE","Engagé",IF(AND($H1510="NON ENGAGE",OR($I1510="INFRUCTUEUX",$I1510="ANNULE")),"Clôturé sans suite","En cours")))</f>
        <v/>
      </c>
      <c r="N1510">
        <f>IF(ISBLANK('ENGAGEMENTS 2026'!C1510),"",'ENGAGEMENTS 2026'!L1510)</f>
        <v/>
      </c>
      <c r="O1510">
        <f>IF(ISBLANK('ENGAGEMENTS 2026'!C1510),"",'ENGAGEMENTS 2026'!M1510)</f>
        <v/>
      </c>
      <c r="P1510">
        <f>IF(ISBLANK('ENGAGEMENTS 2026'!C1510),"",'ENGAGEMENTS 2026'!K1510)</f>
        <v/>
      </c>
      <c r="Q1510">
        <f>IF($A1510="","",IF(OR($E1510="INFRUCTUEUX",$E1510="ANNULE"),$A1510&amp;"|"&amp;(COUNTIFS($A$2:$A1510,$A1510,$E$2:$E1510,"INFRUCTUEUX")+COUNTIFS($A$2:$A1510,$A1510,$E$2:$E1510,"ANNULE")),""))</f>
        <v/>
      </c>
    </row>
    <row r="1511">
      <c r="A1511">
        <f>IF(ISBLANK('ENGAGEMENTS 2026'!C1511),"",IF('ENGAGEMENTS 2026'!C1511="DTSI","DCT",'ENGAGEMENTS 2026'!C1511))</f>
        <v/>
      </c>
      <c r="B1511">
        <f>IF(ISBLANK('ENGAGEMENTS 2026'!C1511),"",'ENGAGEMENTS 2026'!D1511)</f>
        <v/>
      </c>
      <c r="C1511">
        <f>IF(ISBLANK('ENGAGEMENTS 2026'!C1511),"",'ENGAGEMENTS 2026'!E1511)</f>
        <v/>
      </c>
      <c r="D1511">
        <f>IF(ISBLANK('ENGAGEMENTS 2026'!C1511),"",'ENGAGEMENTS 2026'!G1511)</f>
        <v/>
      </c>
      <c r="E1511">
        <f>IF(ISBLANK('ENGAGEMENTS 2026'!C1511),"",'ENGAGEMENTS 2026'!I1511)</f>
        <v/>
      </c>
      <c r="F1511">
        <f>IF(ISBLANK('ENGAGEMENTS 2026'!C1511),"",'ENGAGEMENTS 2026'!J1511)</f>
        <v/>
      </c>
      <c r="G1511">
        <f>IF(ISBLANK('ENGAGEMENTS 2026'!C1511),"",'ENGAGEMENTS 2026'!M1511)</f>
        <v/>
      </c>
      <c r="H1511">
        <f>IF(ISBLANK('ENGAGEMENTS 2026'!C1511),"",'ENGAGEMENTS 2026'!AF1511)</f>
        <v/>
      </c>
      <c r="I1511">
        <f>IF(ISBLANK('ENGAGEMENTS 2026'!C1511),"",'ENGAGEMENTS 2026'!H1511)</f>
        <v/>
      </c>
      <c r="J1511" s="275">
        <f>IF(ISBLANK('ENGAGEMENTS 2026'!C1511),"",IF(AND(OR($E1511="INFRUCTUEUX",$E1511="ANNULE"),$C1511="AOO-M"),'ENGAGEMENTS 2026'!P1511,IF($H1511="EN COURS DE PREENGAGEMENT",'ENGAGEMENTS 2026'!O1511,IF($H1511="PREENGAGE",IF($E1511="ATTRIBUE",'ENGAGEMENTS 2026'!AE1511,'ENGAGEMENTS 2026'!O1511),'ENGAGEMENTS 2026'!AE1511))))</f>
        <v/>
      </c>
      <c r="K1511" s="604">
        <f>IF(ISBLANK('ENGAGEMENTS 2026'!W1511),"",'ENGAGEMENTS 2026'!W1511)</f>
        <v/>
      </c>
      <c r="L1511" s="276">
        <f>IF($K1511="","",TODAY()-$K1511)</f>
        <v/>
      </c>
      <c r="M1511">
        <f>IF($A1511="","",IF($H1511="ENGAGE","Engagé",IF(AND($H1511="NON ENGAGE",OR($I1511="INFRUCTUEUX",$I1511="ANNULE")),"Clôturé sans suite","En cours")))</f>
        <v/>
      </c>
      <c r="N1511">
        <f>IF(ISBLANK('ENGAGEMENTS 2026'!C1511),"",'ENGAGEMENTS 2026'!L1511)</f>
        <v/>
      </c>
      <c r="O1511">
        <f>IF(ISBLANK('ENGAGEMENTS 2026'!C1511),"",'ENGAGEMENTS 2026'!M1511)</f>
        <v/>
      </c>
      <c r="P1511">
        <f>IF(ISBLANK('ENGAGEMENTS 2026'!C1511),"",'ENGAGEMENTS 2026'!K1511)</f>
        <v/>
      </c>
      <c r="Q1511">
        <f>IF($A1511="","",IF(OR($E1511="INFRUCTUEUX",$E1511="ANNULE"),$A1511&amp;"|"&amp;(COUNTIFS($A$2:$A1511,$A1511,$E$2:$E1511,"INFRUCTUEUX")+COUNTIFS($A$2:$A1511,$A1511,$E$2:$E1511,"ANNULE")),""))</f>
        <v/>
      </c>
    </row>
    <row r="1512">
      <c r="A1512">
        <f>IF(ISBLANK('ENGAGEMENTS 2026'!C1512),"",IF('ENGAGEMENTS 2026'!C1512="DTSI","DCT",'ENGAGEMENTS 2026'!C1512))</f>
        <v/>
      </c>
      <c r="B1512">
        <f>IF(ISBLANK('ENGAGEMENTS 2026'!C1512),"",'ENGAGEMENTS 2026'!D1512)</f>
        <v/>
      </c>
      <c r="C1512">
        <f>IF(ISBLANK('ENGAGEMENTS 2026'!C1512),"",'ENGAGEMENTS 2026'!E1512)</f>
        <v/>
      </c>
      <c r="D1512">
        <f>IF(ISBLANK('ENGAGEMENTS 2026'!C1512),"",'ENGAGEMENTS 2026'!G1512)</f>
        <v/>
      </c>
      <c r="E1512">
        <f>IF(ISBLANK('ENGAGEMENTS 2026'!C1512),"",'ENGAGEMENTS 2026'!I1512)</f>
        <v/>
      </c>
      <c r="F1512">
        <f>IF(ISBLANK('ENGAGEMENTS 2026'!C1512),"",'ENGAGEMENTS 2026'!J1512)</f>
        <v/>
      </c>
      <c r="G1512">
        <f>IF(ISBLANK('ENGAGEMENTS 2026'!C1512),"",'ENGAGEMENTS 2026'!M1512)</f>
        <v/>
      </c>
      <c r="H1512">
        <f>IF(ISBLANK('ENGAGEMENTS 2026'!C1512),"",'ENGAGEMENTS 2026'!AF1512)</f>
        <v/>
      </c>
      <c r="I1512">
        <f>IF(ISBLANK('ENGAGEMENTS 2026'!C1512),"",'ENGAGEMENTS 2026'!H1512)</f>
        <v/>
      </c>
      <c r="J1512" s="275">
        <f>IF(ISBLANK('ENGAGEMENTS 2026'!C1512),"",IF(AND(OR($E1512="INFRUCTUEUX",$E1512="ANNULE"),$C1512="AOO-M"),'ENGAGEMENTS 2026'!P1512,IF($H1512="EN COURS DE PREENGAGEMENT",'ENGAGEMENTS 2026'!O1512,IF($H1512="PREENGAGE",IF($E1512="ATTRIBUE",'ENGAGEMENTS 2026'!AE1512,'ENGAGEMENTS 2026'!O1512),'ENGAGEMENTS 2026'!AE1512))))</f>
        <v/>
      </c>
      <c r="K1512" s="604">
        <f>IF(ISBLANK('ENGAGEMENTS 2026'!W1512),"",'ENGAGEMENTS 2026'!W1512)</f>
        <v/>
      </c>
      <c r="L1512" s="276">
        <f>IF($K1512="","",TODAY()-$K1512)</f>
        <v/>
      </c>
      <c r="M1512">
        <f>IF($A1512="","",IF($H1512="ENGAGE","Engagé",IF(AND($H1512="NON ENGAGE",OR($I1512="INFRUCTUEUX",$I1512="ANNULE")),"Clôturé sans suite","En cours")))</f>
        <v/>
      </c>
      <c r="N1512">
        <f>IF(ISBLANK('ENGAGEMENTS 2026'!C1512),"",'ENGAGEMENTS 2026'!L1512)</f>
        <v/>
      </c>
      <c r="O1512">
        <f>IF(ISBLANK('ENGAGEMENTS 2026'!C1512),"",'ENGAGEMENTS 2026'!M1512)</f>
        <v/>
      </c>
      <c r="P1512">
        <f>IF(ISBLANK('ENGAGEMENTS 2026'!C1512),"",'ENGAGEMENTS 2026'!K1512)</f>
        <v/>
      </c>
      <c r="Q1512">
        <f>IF($A1512="","",IF(OR($E1512="INFRUCTUEUX",$E1512="ANNULE"),$A1512&amp;"|"&amp;(COUNTIFS($A$2:$A1512,$A1512,$E$2:$E1512,"INFRUCTUEUX")+COUNTIFS($A$2:$A1512,$A1512,$E$2:$E1512,"ANNULE")),""))</f>
        <v/>
      </c>
    </row>
    <row r="1513">
      <c r="A1513">
        <f>IF(ISBLANK('ENGAGEMENTS 2026'!C1513),"",IF('ENGAGEMENTS 2026'!C1513="DTSI","DCT",'ENGAGEMENTS 2026'!C1513))</f>
        <v/>
      </c>
      <c r="B1513">
        <f>IF(ISBLANK('ENGAGEMENTS 2026'!C1513),"",'ENGAGEMENTS 2026'!D1513)</f>
        <v/>
      </c>
      <c r="C1513">
        <f>IF(ISBLANK('ENGAGEMENTS 2026'!C1513),"",'ENGAGEMENTS 2026'!E1513)</f>
        <v/>
      </c>
      <c r="D1513">
        <f>IF(ISBLANK('ENGAGEMENTS 2026'!C1513),"",'ENGAGEMENTS 2026'!G1513)</f>
        <v/>
      </c>
      <c r="E1513">
        <f>IF(ISBLANK('ENGAGEMENTS 2026'!C1513),"",'ENGAGEMENTS 2026'!I1513)</f>
        <v/>
      </c>
      <c r="F1513">
        <f>IF(ISBLANK('ENGAGEMENTS 2026'!C1513),"",'ENGAGEMENTS 2026'!J1513)</f>
        <v/>
      </c>
      <c r="G1513">
        <f>IF(ISBLANK('ENGAGEMENTS 2026'!C1513),"",'ENGAGEMENTS 2026'!M1513)</f>
        <v/>
      </c>
      <c r="H1513">
        <f>IF(ISBLANK('ENGAGEMENTS 2026'!C1513),"",'ENGAGEMENTS 2026'!AF1513)</f>
        <v/>
      </c>
      <c r="I1513">
        <f>IF(ISBLANK('ENGAGEMENTS 2026'!C1513),"",'ENGAGEMENTS 2026'!H1513)</f>
        <v/>
      </c>
      <c r="J1513" s="275">
        <f>IF(ISBLANK('ENGAGEMENTS 2026'!C1513),"",IF(AND(OR($E1513="INFRUCTUEUX",$E1513="ANNULE"),$C1513="AOO-M"),'ENGAGEMENTS 2026'!P1513,IF($H1513="EN COURS DE PREENGAGEMENT",'ENGAGEMENTS 2026'!O1513,IF($H1513="PREENGAGE",IF($E1513="ATTRIBUE",'ENGAGEMENTS 2026'!AE1513,'ENGAGEMENTS 2026'!O1513),'ENGAGEMENTS 2026'!AE1513))))</f>
        <v/>
      </c>
      <c r="K1513" s="604">
        <f>IF(ISBLANK('ENGAGEMENTS 2026'!W1513),"",'ENGAGEMENTS 2026'!W1513)</f>
        <v/>
      </c>
      <c r="L1513" s="276">
        <f>IF($K1513="","",TODAY()-$K1513)</f>
        <v/>
      </c>
      <c r="M1513">
        <f>IF($A1513="","",IF($H1513="ENGAGE","Engagé",IF(AND($H1513="NON ENGAGE",OR($I1513="INFRUCTUEUX",$I1513="ANNULE")),"Clôturé sans suite","En cours")))</f>
        <v/>
      </c>
      <c r="N1513">
        <f>IF(ISBLANK('ENGAGEMENTS 2026'!C1513),"",'ENGAGEMENTS 2026'!L1513)</f>
        <v/>
      </c>
      <c r="O1513">
        <f>IF(ISBLANK('ENGAGEMENTS 2026'!C1513),"",'ENGAGEMENTS 2026'!M1513)</f>
        <v/>
      </c>
      <c r="P1513">
        <f>IF(ISBLANK('ENGAGEMENTS 2026'!C1513),"",'ENGAGEMENTS 2026'!K1513)</f>
        <v/>
      </c>
      <c r="Q1513">
        <f>IF($A1513="","",IF(OR($E1513="INFRUCTUEUX",$E1513="ANNULE"),$A1513&amp;"|"&amp;(COUNTIFS($A$2:$A1513,$A1513,$E$2:$E1513,"INFRUCTUEUX")+COUNTIFS($A$2:$A1513,$A1513,$E$2:$E1513,"ANNULE")),""))</f>
        <v/>
      </c>
    </row>
    <row r="1514">
      <c r="A1514">
        <f>IF(ISBLANK('ENGAGEMENTS 2026'!C1514),"",IF('ENGAGEMENTS 2026'!C1514="DTSI","DCT",'ENGAGEMENTS 2026'!C1514))</f>
        <v/>
      </c>
      <c r="B1514">
        <f>IF(ISBLANK('ENGAGEMENTS 2026'!C1514),"",'ENGAGEMENTS 2026'!D1514)</f>
        <v/>
      </c>
      <c r="C1514">
        <f>IF(ISBLANK('ENGAGEMENTS 2026'!C1514),"",'ENGAGEMENTS 2026'!E1514)</f>
        <v/>
      </c>
      <c r="D1514">
        <f>IF(ISBLANK('ENGAGEMENTS 2026'!C1514),"",'ENGAGEMENTS 2026'!G1514)</f>
        <v/>
      </c>
      <c r="E1514">
        <f>IF(ISBLANK('ENGAGEMENTS 2026'!C1514),"",'ENGAGEMENTS 2026'!I1514)</f>
        <v/>
      </c>
      <c r="F1514">
        <f>IF(ISBLANK('ENGAGEMENTS 2026'!C1514),"",'ENGAGEMENTS 2026'!J1514)</f>
        <v/>
      </c>
      <c r="G1514">
        <f>IF(ISBLANK('ENGAGEMENTS 2026'!C1514),"",'ENGAGEMENTS 2026'!M1514)</f>
        <v/>
      </c>
      <c r="H1514">
        <f>IF(ISBLANK('ENGAGEMENTS 2026'!C1514),"",'ENGAGEMENTS 2026'!AF1514)</f>
        <v/>
      </c>
      <c r="I1514">
        <f>IF(ISBLANK('ENGAGEMENTS 2026'!C1514),"",'ENGAGEMENTS 2026'!H1514)</f>
        <v/>
      </c>
      <c r="J1514" s="275">
        <f>IF(ISBLANK('ENGAGEMENTS 2026'!C1514),"",IF(AND(OR($E1514="INFRUCTUEUX",$E1514="ANNULE"),$C1514="AOO-M"),'ENGAGEMENTS 2026'!P1514,IF($H1514="EN COURS DE PREENGAGEMENT",'ENGAGEMENTS 2026'!O1514,IF($H1514="PREENGAGE",IF($E1514="ATTRIBUE",'ENGAGEMENTS 2026'!AE1514,'ENGAGEMENTS 2026'!O1514),'ENGAGEMENTS 2026'!AE1514))))</f>
        <v/>
      </c>
      <c r="K1514" s="604">
        <f>IF(ISBLANK('ENGAGEMENTS 2026'!W1514),"",'ENGAGEMENTS 2026'!W1514)</f>
        <v/>
      </c>
      <c r="L1514" s="276">
        <f>IF($K1514="","",TODAY()-$K1514)</f>
        <v/>
      </c>
      <c r="M1514">
        <f>IF($A1514="","",IF($H1514="ENGAGE","Engagé",IF(AND($H1514="NON ENGAGE",OR($I1514="INFRUCTUEUX",$I1514="ANNULE")),"Clôturé sans suite","En cours")))</f>
        <v/>
      </c>
      <c r="N1514">
        <f>IF(ISBLANK('ENGAGEMENTS 2026'!C1514),"",'ENGAGEMENTS 2026'!L1514)</f>
        <v/>
      </c>
      <c r="O1514">
        <f>IF(ISBLANK('ENGAGEMENTS 2026'!C1514),"",'ENGAGEMENTS 2026'!M1514)</f>
        <v/>
      </c>
      <c r="P1514">
        <f>IF(ISBLANK('ENGAGEMENTS 2026'!C1514),"",'ENGAGEMENTS 2026'!K1514)</f>
        <v/>
      </c>
      <c r="Q1514">
        <f>IF($A1514="","",IF(OR($E1514="INFRUCTUEUX",$E1514="ANNULE"),$A1514&amp;"|"&amp;(COUNTIFS($A$2:$A1514,$A1514,$E$2:$E1514,"INFRUCTUEUX")+COUNTIFS($A$2:$A1514,$A1514,$E$2:$E1514,"ANNULE")),""))</f>
        <v/>
      </c>
    </row>
    <row r="1515">
      <c r="A1515">
        <f>IF(ISBLANK('ENGAGEMENTS 2026'!C1515),"",IF('ENGAGEMENTS 2026'!C1515="DTSI","DCT",'ENGAGEMENTS 2026'!C1515))</f>
        <v/>
      </c>
      <c r="B1515">
        <f>IF(ISBLANK('ENGAGEMENTS 2026'!C1515),"",'ENGAGEMENTS 2026'!D1515)</f>
        <v/>
      </c>
      <c r="C1515">
        <f>IF(ISBLANK('ENGAGEMENTS 2026'!C1515),"",'ENGAGEMENTS 2026'!E1515)</f>
        <v/>
      </c>
      <c r="D1515">
        <f>IF(ISBLANK('ENGAGEMENTS 2026'!C1515),"",'ENGAGEMENTS 2026'!G1515)</f>
        <v/>
      </c>
      <c r="E1515">
        <f>IF(ISBLANK('ENGAGEMENTS 2026'!C1515),"",'ENGAGEMENTS 2026'!I1515)</f>
        <v/>
      </c>
      <c r="F1515">
        <f>IF(ISBLANK('ENGAGEMENTS 2026'!C1515),"",'ENGAGEMENTS 2026'!J1515)</f>
        <v/>
      </c>
      <c r="G1515">
        <f>IF(ISBLANK('ENGAGEMENTS 2026'!C1515),"",'ENGAGEMENTS 2026'!M1515)</f>
        <v/>
      </c>
      <c r="H1515">
        <f>IF(ISBLANK('ENGAGEMENTS 2026'!C1515),"",'ENGAGEMENTS 2026'!AF1515)</f>
        <v/>
      </c>
      <c r="I1515">
        <f>IF(ISBLANK('ENGAGEMENTS 2026'!C1515),"",'ENGAGEMENTS 2026'!H1515)</f>
        <v/>
      </c>
      <c r="J1515" s="275">
        <f>IF(ISBLANK('ENGAGEMENTS 2026'!C1515),"",IF(AND(OR($E1515="INFRUCTUEUX",$E1515="ANNULE"),$C1515="AOO-M"),'ENGAGEMENTS 2026'!P1515,IF($H1515="EN COURS DE PREENGAGEMENT",'ENGAGEMENTS 2026'!O1515,IF($H1515="PREENGAGE",IF($E1515="ATTRIBUE",'ENGAGEMENTS 2026'!AE1515,'ENGAGEMENTS 2026'!O1515),'ENGAGEMENTS 2026'!AE1515))))</f>
        <v/>
      </c>
      <c r="K1515" s="604">
        <f>IF(ISBLANK('ENGAGEMENTS 2026'!W1515),"",'ENGAGEMENTS 2026'!W1515)</f>
        <v/>
      </c>
      <c r="L1515" s="276">
        <f>IF($K1515="","",TODAY()-$K1515)</f>
        <v/>
      </c>
      <c r="M1515">
        <f>IF($A1515="","",IF($H1515="ENGAGE","Engagé",IF(AND($H1515="NON ENGAGE",OR($I1515="INFRUCTUEUX",$I1515="ANNULE")),"Clôturé sans suite","En cours")))</f>
        <v/>
      </c>
      <c r="N1515">
        <f>IF(ISBLANK('ENGAGEMENTS 2026'!C1515),"",'ENGAGEMENTS 2026'!L1515)</f>
        <v/>
      </c>
      <c r="O1515">
        <f>IF(ISBLANK('ENGAGEMENTS 2026'!C1515),"",'ENGAGEMENTS 2026'!M1515)</f>
        <v/>
      </c>
      <c r="P1515">
        <f>IF(ISBLANK('ENGAGEMENTS 2026'!C1515),"",'ENGAGEMENTS 2026'!K1515)</f>
        <v/>
      </c>
      <c r="Q1515">
        <f>IF($A1515="","",IF(OR($E1515="INFRUCTUEUX",$E1515="ANNULE"),$A1515&amp;"|"&amp;(COUNTIFS($A$2:$A1515,$A1515,$E$2:$E1515,"INFRUCTUEUX")+COUNTIFS($A$2:$A1515,$A1515,$E$2:$E1515,"ANNULE")),""))</f>
        <v/>
      </c>
    </row>
    <row r="1516">
      <c r="A1516">
        <f>IF(ISBLANK('ENGAGEMENTS 2026'!C1516),"",IF('ENGAGEMENTS 2026'!C1516="DTSI","DCT",'ENGAGEMENTS 2026'!C1516))</f>
        <v/>
      </c>
      <c r="B1516">
        <f>IF(ISBLANK('ENGAGEMENTS 2026'!C1516),"",'ENGAGEMENTS 2026'!D1516)</f>
        <v/>
      </c>
      <c r="C1516">
        <f>IF(ISBLANK('ENGAGEMENTS 2026'!C1516),"",'ENGAGEMENTS 2026'!E1516)</f>
        <v/>
      </c>
      <c r="D1516">
        <f>IF(ISBLANK('ENGAGEMENTS 2026'!C1516),"",'ENGAGEMENTS 2026'!G1516)</f>
        <v/>
      </c>
      <c r="E1516">
        <f>IF(ISBLANK('ENGAGEMENTS 2026'!C1516),"",'ENGAGEMENTS 2026'!I1516)</f>
        <v/>
      </c>
      <c r="F1516">
        <f>IF(ISBLANK('ENGAGEMENTS 2026'!C1516),"",'ENGAGEMENTS 2026'!J1516)</f>
        <v/>
      </c>
      <c r="G1516">
        <f>IF(ISBLANK('ENGAGEMENTS 2026'!C1516),"",'ENGAGEMENTS 2026'!M1516)</f>
        <v/>
      </c>
      <c r="H1516">
        <f>IF(ISBLANK('ENGAGEMENTS 2026'!C1516),"",'ENGAGEMENTS 2026'!AF1516)</f>
        <v/>
      </c>
      <c r="I1516">
        <f>IF(ISBLANK('ENGAGEMENTS 2026'!C1516),"",'ENGAGEMENTS 2026'!H1516)</f>
        <v/>
      </c>
      <c r="J1516" s="275">
        <f>IF(ISBLANK('ENGAGEMENTS 2026'!C1516),"",IF(AND(OR($E1516="INFRUCTUEUX",$E1516="ANNULE"),$C1516="AOO-M"),'ENGAGEMENTS 2026'!P1516,IF($H1516="EN COURS DE PREENGAGEMENT",'ENGAGEMENTS 2026'!O1516,IF($H1516="PREENGAGE",IF($E1516="ATTRIBUE",'ENGAGEMENTS 2026'!AE1516,'ENGAGEMENTS 2026'!O1516),'ENGAGEMENTS 2026'!AE1516))))</f>
        <v/>
      </c>
      <c r="K1516" s="604">
        <f>IF(ISBLANK('ENGAGEMENTS 2026'!W1516),"",'ENGAGEMENTS 2026'!W1516)</f>
        <v/>
      </c>
      <c r="L1516" s="276">
        <f>IF($K1516="","",TODAY()-$K1516)</f>
        <v/>
      </c>
      <c r="M1516">
        <f>IF($A1516="","",IF($H1516="ENGAGE","Engagé",IF(AND($H1516="NON ENGAGE",OR($I1516="INFRUCTUEUX",$I1516="ANNULE")),"Clôturé sans suite","En cours")))</f>
        <v/>
      </c>
      <c r="N1516">
        <f>IF(ISBLANK('ENGAGEMENTS 2026'!C1516),"",'ENGAGEMENTS 2026'!L1516)</f>
        <v/>
      </c>
      <c r="O1516">
        <f>IF(ISBLANK('ENGAGEMENTS 2026'!C1516),"",'ENGAGEMENTS 2026'!M1516)</f>
        <v/>
      </c>
      <c r="P1516">
        <f>IF(ISBLANK('ENGAGEMENTS 2026'!C1516),"",'ENGAGEMENTS 2026'!K1516)</f>
        <v/>
      </c>
      <c r="Q1516">
        <f>IF($A1516="","",IF(OR($E1516="INFRUCTUEUX",$E1516="ANNULE"),$A1516&amp;"|"&amp;(COUNTIFS($A$2:$A1516,$A1516,$E$2:$E1516,"INFRUCTUEUX")+COUNTIFS($A$2:$A1516,$A1516,$E$2:$E1516,"ANNULE")),""))</f>
        <v/>
      </c>
    </row>
    <row r="1517">
      <c r="A1517">
        <f>IF(ISBLANK('ENGAGEMENTS 2026'!C1517),"",IF('ENGAGEMENTS 2026'!C1517="DTSI","DCT",'ENGAGEMENTS 2026'!C1517))</f>
        <v/>
      </c>
      <c r="B1517">
        <f>IF(ISBLANK('ENGAGEMENTS 2026'!C1517),"",'ENGAGEMENTS 2026'!D1517)</f>
        <v/>
      </c>
      <c r="C1517">
        <f>IF(ISBLANK('ENGAGEMENTS 2026'!C1517),"",'ENGAGEMENTS 2026'!E1517)</f>
        <v/>
      </c>
      <c r="D1517">
        <f>IF(ISBLANK('ENGAGEMENTS 2026'!C1517),"",'ENGAGEMENTS 2026'!G1517)</f>
        <v/>
      </c>
      <c r="E1517">
        <f>IF(ISBLANK('ENGAGEMENTS 2026'!C1517),"",'ENGAGEMENTS 2026'!I1517)</f>
        <v/>
      </c>
      <c r="F1517">
        <f>IF(ISBLANK('ENGAGEMENTS 2026'!C1517),"",'ENGAGEMENTS 2026'!J1517)</f>
        <v/>
      </c>
      <c r="G1517">
        <f>IF(ISBLANK('ENGAGEMENTS 2026'!C1517),"",'ENGAGEMENTS 2026'!M1517)</f>
        <v/>
      </c>
      <c r="H1517">
        <f>IF(ISBLANK('ENGAGEMENTS 2026'!C1517),"",'ENGAGEMENTS 2026'!AF1517)</f>
        <v/>
      </c>
      <c r="I1517">
        <f>IF(ISBLANK('ENGAGEMENTS 2026'!C1517),"",'ENGAGEMENTS 2026'!H1517)</f>
        <v/>
      </c>
      <c r="J1517" s="275">
        <f>IF(ISBLANK('ENGAGEMENTS 2026'!C1517),"",IF(AND(OR($E1517="INFRUCTUEUX",$E1517="ANNULE"),$C1517="AOO-M"),'ENGAGEMENTS 2026'!P1517,IF($H1517="EN COURS DE PREENGAGEMENT",'ENGAGEMENTS 2026'!O1517,IF($H1517="PREENGAGE",IF($E1517="ATTRIBUE",'ENGAGEMENTS 2026'!AE1517,'ENGAGEMENTS 2026'!O1517),'ENGAGEMENTS 2026'!AE1517))))</f>
        <v/>
      </c>
      <c r="K1517" s="604">
        <f>IF(ISBLANK('ENGAGEMENTS 2026'!W1517),"",'ENGAGEMENTS 2026'!W1517)</f>
        <v/>
      </c>
      <c r="L1517" s="276">
        <f>IF($K1517="","",TODAY()-$K1517)</f>
        <v/>
      </c>
      <c r="M1517">
        <f>IF($A1517="","",IF($H1517="ENGAGE","Engagé",IF(AND($H1517="NON ENGAGE",OR($I1517="INFRUCTUEUX",$I1517="ANNULE")),"Clôturé sans suite","En cours")))</f>
        <v/>
      </c>
      <c r="N1517">
        <f>IF(ISBLANK('ENGAGEMENTS 2026'!C1517),"",'ENGAGEMENTS 2026'!L1517)</f>
        <v/>
      </c>
      <c r="O1517">
        <f>IF(ISBLANK('ENGAGEMENTS 2026'!C1517),"",'ENGAGEMENTS 2026'!M1517)</f>
        <v/>
      </c>
      <c r="P1517">
        <f>IF(ISBLANK('ENGAGEMENTS 2026'!C1517),"",'ENGAGEMENTS 2026'!K1517)</f>
        <v/>
      </c>
      <c r="Q1517">
        <f>IF($A1517="","",IF(OR($E1517="INFRUCTUEUX",$E1517="ANNULE"),$A1517&amp;"|"&amp;(COUNTIFS($A$2:$A1517,$A1517,$E$2:$E1517,"INFRUCTUEUX")+COUNTIFS($A$2:$A1517,$A1517,$E$2:$E1517,"ANNULE")),""))</f>
        <v/>
      </c>
    </row>
    <row r="1518">
      <c r="A1518">
        <f>IF(ISBLANK('ENGAGEMENTS 2026'!C1518),"",IF('ENGAGEMENTS 2026'!C1518="DTSI","DCT",'ENGAGEMENTS 2026'!C1518))</f>
        <v/>
      </c>
      <c r="B1518">
        <f>IF(ISBLANK('ENGAGEMENTS 2026'!C1518),"",'ENGAGEMENTS 2026'!D1518)</f>
        <v/>
      </c>
      <c r="C1518">
        <f>IF(ISBLANK('ENGAGEMENTS 2026'!C1518),"",'ENGAGEMENTS 2026'!E1518)</f>
        <v/>
      </c>
      <c r="D1518">
        <f>IF(ISBLANK('ENGAGEMENTS 2026'!C1518),"",'ENGAGEMENTS 2026'!G1518)</f>
        <v/>
      </c>
      <c r="E1518">
        <f>IF(ISBLANK('ENGAGEMENTS 2026'!C1518),"",'ENGAGEMENTS 2026'!I1518)</f>
        <v/>
      </c>
      <c r="F1518">
        <f>IF(ISBLANK('ENGAGEMENTS 2026'!C1518),"",'ENGAGEMENTS 2026'!J1518)</f>
        <v/>
      </c>
      <c r="G1518">
        <f>IF(ISBLANK('ENGAGEMENTS 2026'!C1518),"",'ENGAGEMENTS 2026'!M1518)</f>
        <v/>
      </c>
      <c r="H1518">
        <f>IF(ISBLANK('ENGAGEMENTS 2026'!C1518),"",'ENGAGEMENTS 2026'!AF1518)</f>
        <v/>
      </c>
      <c r="I1518">
        <f>IF(ISBLANK('ENGAGEMENTS 2026'!C1518),"",'ENGAGEMENTS 2026'!H1518)</f>
        <v/>
      </c>
      <c r="J1518" s="275">
        <f>IF(ISBLANK('ENGAGEMENTS 2026'!C1518),"",IF(AND(OR($E1518="INFRUCTUEUX",$E1518="ANNULE"),$C1518="AOO-M"),'ENGAGEMENTS 2026'!P1518,IF($H1518="EN COURS DE PREENGAGEMENT",'ENGAGEMENTS 2026'!O1518,IF($H1518="PREENGAGE",IF($E1518="ATTRIBUE",'ENGAGEMENTS 2026'!AE1518,'ENGAGEMENTS 2026'!O1518),'ENGAGEMENTS 2026'!AE1518))))</f>
        <v/>
      </c>
      <c r="K1518" s="604">
        <f>IF(ISBLANK('ENGAGEMENTS 2026'!W1518),"",'ENGAGEMENTS 2026'!W1518)</f>
        <v/>
      </c>
      <c r="L1518" s="276">
        <f>IF($K1518="","",TODAY()-$K1518)</f>
        <v/>
      </c>
      <c r="M1518">
        <f>IF($A1518="","",IF($H1518="ENGAGE","Engagé",IF(AND($H1518="NON ENGAGE",OR($I1518="INFRUCTUEUX",$I1518="ANNULE")),"Clôturé sans suite","En cours")))</f>
        <v/>
      </c>
      <c r="N1518">
        <f>IF(ISBLANK('ENGAGEMENTS 2026'!C1518),"",'ENGAGEMENTS 2026'!L1518)</f>
        <v/>
      </c>
      <c r="O1518">
        <f>IF(ISBLANK('ENGAGEMENTS 2026'!C1518),"",'ENGAGEMENTS 2026'!M1518)</f>
        <v/>
      </c>
      <c r="P1518">
        <f>IF(ISBLANK('ENGAGEMENTS 2026'!C1518),"",'ENGAGEMENTS 2026'!K1518)</f>
        <v/>
      </c>
      <c r="Q1518">
        <f>IF($A1518="","",IF(OR($E1518="INFRUCTUEUX",$E1518="ANNULE"),$A1518&amp;"|"&amp;(COUNTIFS($A$2:$A1518,$A1518,$E$2:$E1518,"INFRUCTUEUX")+COUNTIFS($A$2:$A1518,$A1518,$E$2:$E1518,"ANNULE")),""))</f>
        <v/>
      </c>
    </row>
    <row r="1519">
      <c r="A1519">
        <f>IF(ISBLANK('ENGAGEMENTS 2026'!C1519),"",IF('ENGAGEMENTS 2026'!C1519="DTSI","DCT",'ENGAGEMENTS 2026'!C1519))</f>
        <v/>
      </c>
      <c r="B1519">
        <f>IF(ISBLANK('ENGAGEMENTS 2026'!C1519),"",'ENGAGEMENTS 2026'!D1519)</f>
        <v/>
      </c>
      <c r="C1519">
        <f>IF(ISBLANK('ENGAGEMENTS 2026'!C1519),"",'ENGAGEMENTS 2026'!E1519)</f>
        <v/>
      </c>
      <c r="D1519">
        <f>IF(ISBLANK('ENGAGEMENTS 2026'!C1519),"",'ENGAGEMENTS 2026'!G1519)</f>
        <v/>
      </c>
      <c r="E1519">
        <f>IF(ISBLANK('ENGAGEMENTS 2026'!C1519),"",'ENGAGEMENTS 2026'!I1519)</f>
        <v/>
      </c>
      <c r="F1519">
        <f>IF(ISBLANK('ENGAGEMENTS 2026'!C1519),"",'ENGAGEMENTS 2026'!J1519)</f>
        <v/>
      </c>
      <c r="G1519">
        <f>IF(ISBLANK('ENGAGEMENTS 2026'!C1519),"",'ENGAGEMENTS 2026'!M1519)</f>
        <v/>
      </c>
      <c r="H1519">
        <f>IF(ISBLANK('ENGAGEMENTS 2026'!C1519),"",'ENGAGEMENTS 2026'!AF1519)</f>
        <v/>
      </c>
      <c r="I1519">
        <f>IF(ISBLANK('ENGAGEMENTS 2026'!C1519),"",'ENGAGEMENTS 2026'!H1519)</f>
        <v/>
      </c>
      <c r="J1519" s="275">
        <f>IF(ISBLANK('ENGAGEMENTS 2026'!C1519),"",IF(AND(OR($E1519="INFRUCTUEUX",$E1519="ANNULE"),$C1519="AOO-M"),'ENGAGEMENTS 2026'!P1519,IF($H1519="EN COURS DE PREENGAGEMENT",'ENGAGEMENTS 2026'!O1519,IF($H1519="PREENGAGE",IF($E1519="ATTRIBUE",'ENGAGEMENTS 2026'!AE1519,'ENGAGEMENTS 2026'!O1519),'ENGAGEMENTS 2026'!AE1519))))</f>
        <v/>
      </c>
      <c r="K1519" s="604">
        <f>IF(ISBLANK('ENGAGEMENTS 2026'!W1519),"",'ENGAGEMENTS 2026'!W1519)</f>
        <v/>
      </c>
      <c r="L1519" s="276">
        <f>IF($K1519="","",TODAY()-$K1519)</f>
        <v/>
      </c>
      <c r="M1519">
        <f>IF($A1519="","",IF($H1519="ENGAGE","Engagé",IF(AND($H1519="NON ENGAGE",OR($I1519="INFRUCTUEUX",$I1519="ANNULE")),"Clôturé sans suite","En cours")))</f>
        <v/>
      </c>
      <c r="N1519">
        <f>IF(ISBLANK('ENGAGEMENTS 2026'!C1519),"",'ENGAGEMENTS 2026'!L1519)</f>
        <v/>
      </c>
      <c r="O1519">
        <f>IF(ISBLANK('ENGAGEMENTS 2026'!C1519),"",'ENGAGEMENTS 2026'!M1519)</f>
        <v/>
      </c>
      <c r="P1519">
        <f>IF(ISBLANK('ENGAGEMENTS 2026'!C1519),"",'ENGAGEMENTS 2026'!K1519)</f>
        <v/>
      </c>
      <c r="Q1519">
        <f>IF($A1519="","",IF(OR($E1519="INFRUCTUEUX",$E1519="ANNULE"),$A1519&amp;"|"&amp;(COUNTIFS($A$2:$A1519,$A1519,$E$2:$E1519,"INFRUCTUEUX")+COUNTIFS($A$2:$A1519,$A1519,$E$2:$E1519,"ANNULE")),""))</f>
        <v/>
      </c>
    </row>
    <row r="1520">
      <c r="A1520">
        <f>IF(ISBLANK('ENGAGEMENTS 2026'!C1520),"",IF('ENGAGEMENTS 2026'!C1520="DTSI","DCT",'ENGAGEMENTS 2026'!C1520))</f>
        <v/>
      </c>
      <c r="B1520">
        <f>IF(ISBLANK('ENGAGEMENTS 2026'!C1520),"",'ENGAGEMENTS 2026'!D1520)</f>
        <v/>
      </c>
      <c r="C1520">
        <f>IF(ISBLANK('ENGAGEMENTS 2026'!C1520),"",'ENGAGEMENTS 2026'!E1520)</f>
        <v/>
      </c>
      <c r="D1520">
        <f>IF(ISBLANK('ENGAGEMENTS 2026'!C1520),"",'ENGAGEMENTS 2026'!G1520)</f>
        <v/>
      </c>
      <c r="E1520">
        <f>IF(ISBLANK('ENGAGEMENTS 2026'!C1520),"",'ENGAGEMENTS 2026'!I1520)</f>
        <v/>
      </c>
      <c r="F1520">
        <f>IF(ISBLANK('ENGAGEMENTS 2026'!C1520),"",'ENGAGEMENTS 2026'!J1520)</f>
        <v/>
      </c>
      <c r="G1520">
        <f>IF(ISBLANK('ENGAGEMENTS 2026'!C1520),"",'ENGAGEMENTS 2026'!M1520)</f>
        <v/>
      </c>
      <c r="H1520">
        <f>IF(ISBLANK('ENGAGEMENTS 2026'!C1520),"",'ENGAGEMENTS 2026'!AF1520)</f>
        <v/>
      </c>
      <c r="I1520">
        <f>IF(ISBLANK('ENGAGEMENTS 2026'!C1520),"",'ENGAGEMENTS 2026'!H1520)</f>
        <v/>
      </c>
      <c r="J1520" s="275">
        <f>IF(ISBLANK('ENGAGEMENTS 2026'!C1520),"",IF(AND(OR($E1520="INFRUCTUEUX",$E1520="ANNULE"),$C1520="AOO-M"),'ENGAGEMENTS 2026'!P1520,IF($H1520="EN COURS DE PREENGAGEMENT",'ENGAGEMENTS 2026'!O1520,IF($H1520="PREENGAGE",IF($E1520="ATTRIBUE",'ENGAGEMENTS 2026'!AE1520,'ENGAGEMENTS 2026'!O1520),'ENGAGEMENTS 2026'!AE1520))))</f>
        <v/>
      </c>
      <c r="K1520" s="604">
        <f>IF(ISBLANK('ENGAGEMENTS 2026'!W1520),"",'ENGAGEMENTS 2026'!W1520)</f>
        <v/>
      </c>
      <c r="L1520" s="276">
        <f>IF($K1520="","",TODAY()-$K1520)</f>
        <v/>
      </c>
      <c r="M1520">
        <f>IF($A1520="","",IF($H1520="ENGAGE","Engagé",IF(AND($H1520="NON ENGAGE",OR($I1520="INFRUCTUEUX",$I1520="ANNULE")),"Clôturé sans suite","En cours")))</f>
        <v/>
      </c>
      <c r="N1520">
        <f>IF(ISBLANK('ENGAGEMENTS 2026'!C1520),"",'ENGAGEMENTS 2026'!L1520)</f>
        <v/>
      </c>
      <c r="O1520">
        <f>IF(ISBLANK('ENGAGEMENTS 2026'!C1520),"",'ENGAGEMENTS 2026'!M1520)</f>
        <v/>
      </c>
      <c r="P1520">
        <f>IF(ISBLANK('ENGAGEMENTS 2026'!C1520),"",'ENGAGEMENTS 2026'!K1520)</f>
        <v/>
      </c>
      <c r="Q1520">
        <f>IF($A1520="","",IF(OR($E1520="INFRUCTUEUX",$E1520="ANNULE"),$A1520&amp;"|"&amp;(COUNTIFS($A$2:$A1520,$A1520,$E$2:$E1520,"INFRUCTUEUX")+COUNTIFS($A$2:$A1520,$A1520,$E$2:$E1520,"ANNULE")),""))</f>
        <v/>
      </c>
    </row>
    <row r="1521">
      <c r="A1521">
        <f>IF(ISBLANK('ENGAGEMENTS 2026'!C1521),"",IF('ENGAGEMENTS 2026'!C1521="DTSI","DCT",'ENGAGEMENTS 2026'!C1521))</f>
        <v/>
      </c>
      <c r="B1521">
        <f>IF(ISBLANK('ENGAGEMENTS 2026'!C1521),"",'ENGAGEMENTS 2026'!D1521)</f>
        <v/>
      </c>
      <c r="C1521">
        <f>IF(ISBLANK('ENGAGEMENTS 2026'!C1521),"",'ENGAGEMENTS 2026'!E1521)</f>
        <v/>
      </c>
      <c r="D1521">
        <f>IF(ISBLANK('ENGAGEMENTS 2026'!C1521),"",'ENGAGEMENTS 2026'!G1521)</f>
        <v/>
      </c>
      <c r="E1521">
        <f>IF(ISBLANK('ENGAGEMENTS 2026'!C1521),"",'ENGAGEMENTS 2026'!I1521)</f>
        <v/>
      </c>
      <c r="F1521">
        <f>IF(ISBLANK('ENGAGEMENTS 2026'!C1521),"",'ENGAGEMENTS 2026'!J1521)</f>
        <v/>
      </c>
      <c r="G1521">
        <f>IF(ISBLANK('ENGAGEMENTS 2026'!C1521),"",'ENGAGEMENTS 2026'!M1521)</f>
        <v/>
      </c>
      <c r="H1521">
        <f>IF(ISBLANK('ENGAGEMENTS 2026'!C1521),"",'ENGAGEMENTS 2026'!AF1521)</f>
        <v/>
      </c>
      <c r="I1521">
        <f>IF(ISBLANK('ENGAGEMENTS 2026'!C1521),"",'ENGAGEMENTS 2026'!H1521)</f>
        <v/>
      </c>
      <c r="J1521" s="275">
        <f>IF(ISBLANK('ENGAGEMENTS 2026'!C1521),"",IF(AND(OR($E1521="INFRUCTUEUX",$E1521="ANNULE"),$C1521="AOO-M"),'ENGAGEMENTS 2026'!P1521,IF($H1521="EN COURS DE PREENGAGEMENT",'ENGAGEMENTS 2026'!O1521,IF($H1521="PREENGAGE",IF($E1521="ATTRIBUE",'ENGAGEMENTS 2026'!AE1521,'ENGAGEMENTS 2026'!O1521),'ENGAGEMENTS 2026'!AE1521))))</f>
        <v/>
      </c>
      <c r="K1521" s="604">
        <f>IF(ISBLANK('ENGAGEMENTS 2026'!W1521),"",'ENGAGEMENTS 2026'!W1521)</f>
        <v/>
      </c>
      <c r="L1521" s="276">
        <f>IF($K1521="","",TODAY()-$K1521)</f>
        <v/>
      </c>
      <c r="M1521">
        <f>IF($A1521="","",IF($H1521="ENGAGE","Engagé",IF(AND($H1521="NON ENGAGE",OR($I1521="INFRUCTUEUX",$I1521="ANNULE")),"Clôturé sans suite","En cours")))</f>
        <v/>
      </c>
      <c r="N1521">
        <f>IF(ISBLANK('ENGAGEMENTS 2026'!C1521),"",'ENGAGEMENTS 2026'!L1521)</f>
        <v/>
      </c>
      <c r="O1521">
        <f>IF(ISBLANK('ENGAGEMENTS 2026'!C1521),"",'ENGAGEMENTS 2026'!M1521)</f>
        <v/>
      </c>
      <c r="P1521">
        <f>IF(ISBLANK('ENGAGEMENTS 2026'!C1521),"",'ENGAGEMENTS 2026'!K1521)</f>
        <v/>
      </c>
      <c r="Q1521">
        <f>IF($A1521="","",IF(OR($E1521="INFRUCTUEUX",$E1521="ANNULE"),$A1521&amp;"|"&amp;(COUNTIFS($A$2:$A1521,$A1521,$E$2:$E1521,"INFRUCTUEUX")+COUNTIFS($A$2:$A1521,$A1521,$E$2:$E1521,"ANNULE")),""))</f>
        <v/>
      </c>
    </row>
    <row r="1522">
      <c r="A1522">
        <f>IF(ISBLANK('ENGAGEMENTS 2026'!C1522),"",IF('ENGAGEMENTS 2026'!C1522="DTSI","DCT",'ENGAGEMENTS 2026'!C1522))</f>
        <v/>
      </c>
      <c r="B1522">
        <f>IF(ISBLANK('ENGAGEMENTS 2026'!C1522),"",'ENGAGEMENTS 2026'!D1522)</f>
        <v/>
      </c>
      <c r="C1522">
        <f>IF(ISBLANK('ENGAGEMENTS 2026'!C1522),"",'ENGAGEMENTS 2026'!E1522)</f>
        <v/>
      </c>
      <c r="D1522">
        <f>IF(ISBLANK('ENGAGEMENTS 2026'!C1522),"",'ENGAGEMENTS 2026'!G1522)</f>
        <v/>
      </c>
      <c r="E1522">
        <f>IF(ISBLANK('ENGAGEMENTS 2026'!C1522),"",'ENGAGEMENTS 2026'!I1522)</f>
        <v/>
      </c>
      <c r="F1522">
        <f>IF(ISBLANK('ENGAGEMENTS 2026'!C1522),"",'ENGAGEMENTS 2026'!J1522)</f>
        <v/>
      </c>
      <c r="G1522">
        <f>IF(ISBLANK('ENGAGEMENTS 2026'!C1522),"",'ENGAGEMENTS 2026'!M1522)</f>
        <v/>
      </c>
      <c r="H1522">
        <f>IF(ISBLANK('ENGAGEMENTS 2026'!C1522),"",'ENGAGEMENTS 2026'!AF1522)</f>
        <v/>
      </c>
      <c r="I1522">
        <f>IF(ISBLANK('ENGAGEMENTS 2026'!C1522),"",'ENGAGEMENTS 2026'!H1522)</f>
        <v/>
      </c>
      <c r="J1522" s="275">
        <f>IF(ISBLANK('ENGAGEMENTS 2026'!C1522),"",IF(AND(OR($E1522="INFRUCTUEUX",$E1522="ANNULE"),$C1522="AOO-M"),'ENGAGEMENTS 2026'!P1522,IF($H1522="EN COURS DE PREENGAGEMENT",'ENGAGEMENTS 2026'!O1522,IF($H1522="PREENGAGE",IF($E1522="ATTRIBUE",'ENGAGEMENTS 2026'!AE1522,'ENGAGEMENTS 2026'!O1522),'ENGAGEMENTS 2026'!AE1522))))</f>
        <v/>
      </c>
      <c r="K1522" s="604">
        <f>IF(ISBLANK('ENGAGEMENTS 2026'!W1522),"",'ENGAGEMENTS 2026'!W1522)</f>
        <v/>
      </c>
      <c r="L1522" s="276">
        <f>IF($K1522="","",TODAY()-$K1522)</f>
        <v/>
      </c>
      <c r="M1522">
        <f>IF($A1522="","",IF($H1522="ENGAGE","Engagé",IF(AND($H1522="NON ENGAGE",OR($I1522="INFRUCTUEUX",$I1522="ANNULE")),"Clôturé sans suite","En cours")))</f>
        <v/>
      </c>
      <c r="N1522">
        <f>IF(ISBLANK('ENGAGEMENTS 2026'!C1522),"",'ENGAGEMENTS 2026'!L1522)</f>
        <v/>
      </c>
      <c r="O1522">
        <f>IF(ISBLANK('ENGAGEMENTS 2026'!C1522),"",'ENGAGEMENTS 2026'!M1522)</f>
        <v/>
      </c>
      <c r="P1522">
        <f>IF(ISBLANK('ENGAGEMENTS 2026'!C1522),"",'ENGAGEMENTS 2026'!K1522)</f>
        <v/>
      </c>
      <c r="Q1522">
        <f>IF($A1522="","",IF(OR($E1522="INFRUCTUEUX",$E1522="ANNULE"),$A1522&amp;"|"&amp;(COUNTIFS($A$2:$A1522,$A1522,$E$2:$E1522,"INFRUCTUEUX")+COUNTIFS($A$2:$A1522,$A1522,$E$2:$E1522,"ANNULE")),""))</f>
        <v/>
      </c>
    </row>
    <row r="1523">
      <c r="A1523">
        <f>IF(ISBLANK('ENGAGEMENTS 2026'!C1523),"",IF('ENGAGEMENTS 2026'!C1523="DTSI","DCT",'ENGAGEMENTS 2026'!C1523))</f>
        <v/>
      </c>
      <c r="B1523">
        <f>IF(ISBLANK('ENGAGEMENTS 2026'!C1523),"",'ENGAGEMENTS 2026'!D1523)</f>
        <v/>
      </c>
      <c r="C1523">
        <f>IF(ISBLANK('ENGAGEMENTS 2026'!C1523),"",'ENGAGEMENTS 2026'!E1523)</f>
        <v/>
      </c>
      <c r="D1523">
        <f>IF(ISBLANK('ENGAGEMENTS 2026'!C1523),"",'ENGAGEMENTS 2026'!G1523)</f>
        <v/>
      </c>
      <c r="E1523">
        <f>IF(ISBLANK('ENGAGEMENTS 2026'!C1523),"",'ENGAGEMENTS 2026'!I1523)</f>
        <v/>
      </c>
      <c r="F1523">
        <f>IF(ISBLANK('ENGAGEMENTS 2026'!C1523),"",'ENGAGEMENTS 2026'!J1523)</f>
        <v/>
      </c>
      <c r="G1523">
        <f>IF(ISBLANK('ENGAGEMENTS 2026'!C1523),"",'ENGAGEMENTS 2026'!M1523)</f>
        <v/>
      </c>
      <c r="H1523">
        <f>IF(ISBLANK('ENGAGEMENTS 2026'!C1523),"",'ENGAGEMENTS 2026'!AF1523)</f>
        <v/>
      </c>
      <c r="I1523">
        <f>IF(ISBLANK('ENGAGEMENTS 2026'!C1523),"",'ENGAGEMENTS 2026'!H1523)</f>
        <v/>
      </c>
      <c r="J1523" s="275">
        <f>IF(ISBLANK('ENGAGEMENTS 2026'!C1523),"",IF(AND(OR($E1523="INFRUCTUEUX",$E1523="ANNULE"),$C1523="AOO-M"),'ENGAGEMENTS 2026'!P1523,IF($H1523="EN COURS DE PREENGAGEMENT",'ENGAGEMENTS 2026'!O1523,IF($H1523="PREENGAGE",IF($E1523="ATTRIBUE",'ENGAGEMENTS 2026'!AE1523,'ENGAGEMENTS 2026'!O1523),'ENGAGEMENTS 2026'!AE1523))))</f>
        <v/>
      </c>
      <c r="K1523" s="604">
        <f>IF(ISBLANK('ENGAGEMENTS 2026'!W1523),"",'ENGAGEMENTS 2026'!W1523)</f>
        <v/>
      </c>
      <c r="L1523" s="276">
        <f>IF($K1523="","",TODAY()-$K1523)</f>
        <v/>
      </c>
      <c r="M1523">
        <f>IF($A1523="","",IF($H1523="ENGAGE","Engagé",IF(AND($H1523="NON ENGAGE",OR($I1523="INFRUCTUEUX",$I1523="ANNULE")),"Clôturé sans suite","En cours")))</f>
        <v/>
      </c>
      <c r="N1523">
        <f>IF(ISBLANK('ENGAGEMENTS 2026'!C1523),"",'ENGAGEMENTS 2026'!L1523)</f>
        <v/>
      </c>
      <c r="O1523">
        <f>IF(ISBLANK('ENGAGEMENTS 2026'!C1523),"",'ENGAGEMENTS 2026'!M1523)</f>
        <v/>
      </c>
      <c r="P1523">
        <f>IF(ISBLANK('ENGAGEMENTS 2026'!C1523),"",'ENGAGEMENTS 2026'!K1523)</f>
        <v/>
      </c>
      <c r="Q1523">
        <f>IF($A1523="","",IF(OR($E1523="INFRUCTUEUX",$E1523="ANNULE"),$A1523&amp;"|"&amp;(COUNTIFS($A$2:$A1523,$A1523,$E$2:$E1523,"INFRUCTUEUX")+COUNTIFS($A$2:$A1523,$A1523,$E$2:$E1523,"ANNULE")),""))</f>
        <v/>
      </c>
    </row>
    <row r="1524">
      <c r="A1524">
        <f>IF(ISBLANK('ENGAGEMENTS 2026'!C1524),"",IF('ENGAGEMENTS 2026'!C1524="DTSI","DCT",'ENGAGEMENTS 2026'!C1524))</f>
        <v/>
      </c>
      <c r="B1524">
        <f>IF(ISBLANK('ENGAGEMENTS 2026'!C1524),"",'ENGAGEMENTS 2026'!D1524)</f>
        <v/>
      </c>
      <c r="C1524">
        <f>IF(ISBLANK('ENGAGEMENTS 2026'!C1524),"",'ENGAGEMENTS 2026'!E1524)</f>
        <v/>
      </c>
      <c r="D1524">
        <f>IF(ISBLANK('ENGAGEMENTS 2026'!C1524),"",'ENGAGEMENTS 2026'!G1524)</f>
        <v/>
      </c>
      <c r="E1524">
        <f>IF(ISBLANK('ENGAGEMENTS 2026'!C1524),"",'ENGAGEMENTS 2026'!I1524)</f>
        <v/>
      </c>
      <c r="F1524">
        <f>IF(ISBLANK('ENGAGEMENTS 2026'!C1524),"",'ENGAGEMENTS 2026'!J1524)</f>
        <v/>
      </c>
      <c r="G1524">
        <f>IF(ISBLANK('ENGAGEMENTS 2026'!C1524),"",'ENGAGEMENTS 2026'!M1524)</f>
        <v/>
      </c>
      <c r="H1524">
        <f>IF(ISBLANK('ENGAGEMENTS 2026'!C1524),"",'ENGAGEMENTS 2026'!AF1524)</f>
        <v/>
      </c>
      <c r="I1524">
        <f>IF(ISBLANK('ENGAGEMENTS 2026'!C1524),"",'ENGAGEMENTS 2026'!H1524)</f>
        <v/>
      </c>
      <c r="J1524" s="275">
        <f>IF(ISBLANK('ENGAGEMENTS 2026'!C1524),"",IF(AND(OR($E1524="INFRUCTUEUX",$E1524="ANNULE"),$C1524="AOO-M"),'ENGAGEMENTS 2026'!P1524,IF($H1524="EN COURS DE PREENGAGEMENT",'ENGAGEMENTS 2026'!O1524,IF($H1524="PREENGAGE",IF($E1524="ATTRIBUE",'ENGAGEMENTS 2026'!AE1524,'ENGAGEMENTS 2026'!O1524),'ENGAGEMENTS 2026'!AE1524))))</f>
        <v/>
      </c>
      <c r="K1524" s="604">
        <f>IF(ISBLANK('ENGAGEMENTS 2026'!W1524),"",'ENGAGEMENTS 2026'!W1524)</f>
        <v/>
      </c>
      <c r="L1524" s="276">
        <f>IF($K1524="","",TODAY()-$K1524)</f>
        <v/>
      </c>
      <c r="M1524">
        <f>IF($A1524="","",IF($H1524="ENGAGE","Engagé",IF(AND($H1524="NON ENGAGE",OR($I1524="INFRUCTUEUX",$I1524="ANNULE")),"Clôturé sans suite","En cours")))</f>
        <v/>
      </c>
      <c r="N1524">
        <f>IF(ISBLANK('ENGAGEMENTS 2026'!C1524),"",'ENGAGEMENTS 2026'!L1524)</f>
        <v/>
      </c>
      <c r="O1524">
        <f>IF(ISBLANK('ENGAGEMENTS 2026'!C1524),"",'ENGAGEMENTS 2026'!M1524)</f>
        <v/>
      </c>
      <c r="P1524">
        <f>IF(ISBLANK('ENGAGEMENTS 2026'!C1524),"",'ENGAGEMENTS 2026'!K1524)</f>
        <v/>
      </c>
      <c r="Q1524">
        <f>IF($A1524="","",IF(OR($E1524="INFRUCTUEUX",$E1524="ANNULE"),$A1524&amp;"|"&amp;(COUNTIFS($A$2:$A1524,$A1524,$E$2:$E1524,"INFRUCTUEUX")+COUNTIFS($A$2:$A1524,$A1524,$E$2:$E1524,"ANNULE")),""))</f>
        <v/>
      </c>
    </row>
    <row r="1525">
      <c r="A1525">
        <f>IF(ISBLANK('ENGAGEMENTS 2026'!C1525),"",IF('ENGAGEMENTS 2026'!C1525="DTSI","DCT",'ENGAGEMENTS 2026'!C1525))</f>
        <v/>
      </c>
      <c r="B1525">
        <f>IF(ISBLANK('ENGAGEMENTS 2026'!C1525),"",'ENGAGEMENTS 2026'!D1525)</f>
        <v/>
      </c>
      <c r="C1525">
        <f>IF(ISBLANK('ENGAGEMENTS 2026'!C1525),"",'ENGAGEMENTS 2026'!E1525)</f>
        <v/>
      </c>
      <c r="D1525">
        <f>IF(ISBLANK('ENGAGEMENTS 2026'!C1525),"",'ENGAGEMENTS 2026'!G1525)</f>
        <v/>
      </c>
      <c r="E1525">
        <f>IF(ISBLANK('ENGAGEMENTS 2026'!C1525),"",'ENGAGEMENTS 2026'!I1525)</f>
        <v/>
      </c>
      <c r="F1525">
        <f>IF(ISBLANK('ENGAGEMENTS 2026'!C1525),"",'ENGAGEMENTS 2026'!J1525)</f>
        <v/>
      </c>
      <c r="G1525">
        <f>IF(ISBLANK('ENGAGEMENTS 2026'!C1525),"",'ENGAGEMENTS 2026'!M1525)</f>
        <v/>
      </c>
      <c r="H1525">
        <f>IF(ISBLANK('ENGAGEMENTS 2026'!C1525),"",'ENGAGEMENTS 2026'!AF1525)</f>
        <v/>
      </c>
      <c r="I1525">
        <f>IF(ISBLANK('ENGAGEMENTS 2026'!C1525),"",'ENGAGEMENTS 2026'!H1525)</f>
        <v/>
      </c>
      <c r="J1525" s="275">
        <f>IF(ISBLANK('ENGAGEMENTS 2026'!C1525),"",IF(AND(OR($E1525="INFRUCTUEUX",$E1525="ANNULE"),$C1525="AOO-M"),'ENGAGEMENTS 2026'!P1525,IF($H1525="EN COURS DE PREENGAGEMENT",'ENGAGEMENTS 2026'!O1525,IF($H1525="PREENGAGE",IF($E1525="ATTRIBUE",'ENGAGEMENTS 2026'!AE1525,'ENGAGEMENTS 2026'!O1525),'ENGAGEMENTS 2026'!AE1525))))</f>
        <v/>
      </c>
      <c r="K1525" s="604">
        <f>IF(ISBLANK('ENGAGEMENTS 2026'!W1525),"",'ENGAGEMENTS 2026'!W1525)</f>
        <v/>
      </c>
      <c r="L1525" s="276">
        <f>IF($K1525="","",TODAY()-$K1525)</f>
        <v/>
      </c>
      <c r="M1525">
        <f>IF($A1525="","",IF($H1525="ENGAGE","Engagé",IF(AND($H1525="NON ENGAGE",OR($I1525="INFRUCTUEUX",$I1525="ANNULE")),"Clôturé sans suite","En cours")))</f>
        <v/>
      </c>
      <c r="N1525">
        <f>IF(ISBLANK('ENGAGEMENTS 2026'!C1525),"",'ENGAGEMENTS 2026'!L1525)</f>
        <v/>
      </c>
      <c r="O1525">
        <f>IF(ISBLANK('ENGAGEMENTS 2026'!C1525),"",'ENGAGEMENTS 2026'!M1525)</f>
        <v/>
      </c>
      <c r="P1525">
        <f>IF(ISBLANK('ENGAGEMENTS 2026'!C1525),"",'ENGAGEMENTS 2026'!K1525)</f>
        <v/>
      </c>
      <c r="Q1525">
        <f>IF($A1525="","",IF(OR($E1525="INFRUCTUEUX",$E1525="ANNULE"),$A1525&amp;"|"&amp;(COUNTIFS($A$2:$A1525,$A1525,$E$2:$E1525,"INFRUCTUEUX")+COUNTIFS($A$2:$A1525,$A1525,$E$2:$E1525,"ANNULE")),""))</f>
        <v/>
      </c>
    </row>
    <row r="1526">
      <c r="A1526">
        <f>IF(ISBLANK('ENGAGEMENTS 2026'!C1526),"",IF('ENGAGEMENTS 2026'!C1526="DTSI","DCT",'ENGAGEMENTS 2026'!C1526))</f>
        <v/>
      </c>
      <c r="B1526">
        <f>IF(ISBLANK('ENGAGEMENTS 2026'!C1526),"",'ENGAGEMENTS 2026'!D1526)</f>
        <v/>
      </c>
      <c r="C1526">
        <f>IF(ISBLANK('ENGAGEMENTS 2026'!C1526),"",'ENGAGEMENTS 2026'!E1526)</f>
        <v/>
      </c>
      <c r="D1526">
        <f>IF(ISBLANK('ENGAGEMENTS 2026'!C1526),"",'ENGAGEMENTS 2026'!G1526)</f>
        <v/>
      </c>
      <c r="E1526">
        <f>IF(ISBLANK('ENGAGEMENTS 2026'!C1526),"",'ENGAGEMENTS 2026'!I1526)</f>
        <v/>
      </c>
      <c r="F1526">
        <f>IF(ISBLANK('ENGAGEMENTS 2026'!C1526),"",'ENGAGEMENTS 2026'!J1526)</f>
        <v/>
      </c>
      <c r="G1526">
        <f>IF(ISBLANK('ENGAGEMENTS 2026'!C1526),"",'ENGAGEMENTS 2026'!M1526)</f>
        <v/>
      </c>
      <c r="H1526">
        <f>IF(ISBLANK('ENGAGEMENTS 2026'!C1526),"",'ENGAGEMENTS 2026'!AF1526)</f>
        <v/>
      </c>
      <c r="I1526">
        <f>IF(ISBLANK('ENGAGEMENTS 2026'!C1526),"",'ENGAGEMENTS 2026'!H1526)</f>
        <v/>
      </c>
      <c r="J1526" s="275">
        <f>IF(ISBLANK('ENGAGEMENTS 2026'!C1526),"",IF(AND(OR($E1526="INFRUCTUEUX",$E1526="ANNULE"),$C1526="AOO-M"),'ENGAGEMENTS 2026'!P1526,IF($H1526="EN COURS DE PREENGAGEMENT",'ENGAGEMENTS 2026'!O1526,IF($H1526="PREENGAGE",IF($E1526="ATTRIBUE",'ENGAGEMENTS 2026'!AE1526,'ENGAGEMENTS 2026'!O1526),'ENGAGEMENTS 2026'!AE1526))))</f>
        <v/>
      </c>
      <c r="K1526" s="604">
        <f>IF(ISBLANK('ENGAGEMENTS 2026'!W1526),"",'ENGAGEMENTS 2026'!W1526)</f>
        <v/>
      </c>
      <c r="L1526" s="276">
        <f>IF($K1526="","",TODAY()-$K1526)</f>
        <v/>
      </c>
      <c r="M1526">
        <f>IF($A1526="","",IF($H1526="ENGAGE","Engagé",IF(AND($H1526="NON ENGAGE",OR($I1526="INFRUCTUEUX",$I1526="ANNULE")),"Clôturé sans suite","En cours")))</f>
        <v/>
      </c>
      <c r="N1526">
        <f>IF(ISBLANK('ENGAGEMENTS 2026'!C1526),"",'ENGAGEMENTS 2026'!L1526)</f>
        <v/>
      </c>
      <c r="O1526">
        <f>IF(ISBLANK('ENGAGEMENTS 2026'!C1526),"",'ENGAGEMENTS 2026'!M1526)</f>
        <v/>
      </c>
      <c r="P1526">
        <f>IF(ISBLANK('ENGAGEMENTS 2026'!C1526),"",'ENGAGEMENTS 2026'!K1526)</f>
        <v/>
      </c>
      <c r="Q1526">
        <f>IF($A1526="","",IF(OR($E1526="INFRUCTUEUX",$E1526="ANNULE"),$A1526&amp;"|"&amp;(COUNTIFS($A$2:$A1526,$A1526,$E$2:$E1526,"INFRUCTUEUX")+COUNTIFS($A$2:$A1526,$A1526,$E$2:$E1526,"ANNULE")),""))</f>
        <v/>
      </c>
    </row>
    <row r="1527">
      <c r="A1527">
        <f>IF(ISBLANK('ENGAGEMENTS 2026'!C1527),"",IF('ENGAGEMENTS 2026'!C1527="DTSI","DCT",'ENGAGEMENTS 2026'!C1527))</f>
        <v/>
      </c>
      <c r="B1527">
        <f>IF(ISBLANK('ENGAGEMENTS 2026'!C1527),"",'ENGAGEMENTS 2026'!D1527)</f>
        <v/>
      </c>
      <c r="C1527">
        <f>IF(ISBLANK('ENGAGEMENTS 2026'!C1527),"",'ENGAGEMENTS 2026'!E1527)</f>
        <v/>
      </c>
      <c r="D1527">
        <f>IF(ISBLANK('ENGAGEMENTS 2026'!C1527),"",'ENGAGEMENTS 2026'!G1527)</f>
        <v/>
      </c>
      <c r="E1527">
        <f>IF(ISBLANK('ENGAGEMENTS 2026'!C1527),"",'ENGAGEMENTS 2026'!I1527)</f>
        <v/>
      </c>
      <c r="F1527">
        <f>IF(ISBLANK('ENGAGEMENTS 2026'!C1527),"",'ENGAGEMENTS 2026'!J1527)</f>
        <v/>
      </c>
      <c r="G1527">
        <f>IF(ISBLANK('ENGAGEMENTS 2026'!C1527),"",'ENGAGEMENTS 2026'!M1527)</f>
        <v/>
      </c>
      <c r="H1527">
        <f>IF(ISBLANK('ENGAGEMENTS 2026'!C1527),"",'ENGAGEMENTS 2026'!AF1527)</f>
        <v/>
      </c>
      <c r="I1527">
        <f>IF(ISBLANK('ENGAGEMENTS 2026'!C1527),"",'ENGAGEMENTS 2026'!H1527)</f>
        <v/>
      </c>
      <c r="J1527" s="275">
        <f>IF(ISBLANK('ENGAGEMENTS 2026'!C1527),"",IF(AND(OR($E1527="INFRUCTUEUX",$E1527="ANNULE"),$C1527="AOO-M"),'ENGAGEMENTS 2026'!P1527,IF($H1527="EN COURS DE PREENGAGEMENT",'ENGAGEMENTS 2026'!O1527,IF($H1527="PREENGAGE",IF($E1527="ATTRIBUE",'ENGAGEMENTS 2026'!AE1527,'ENGAGEMENTS 2026'!O1527),'ENGAGEMENTS 2026'!AE1527))))</f>
        <v/>
      </c>
      <c r="K1527" s="604">
        <f>IF(ISBLANK('ENGAGEMENTS 2026'!W1527),"",'ENGAGEMENTS 2026'!W1527)</f>
        <v/>
      </c>
      <c r="L1527" s="276">
        <f>IF($K1527="","",TODAY()-$K1527)</f>
        <v/>
      </c>
      <c r="M1527">
        <f>IF($A1527="","",IF($H1527="ENGAGE","Engagé",IF(AND($H1527="NON ENGAGE",OR($I1527="INFRUCTUEUX",$I1527="ANNULE")),"Clôturé sans suite","En cours")))</f>
        <v/>
      </c>
      <c r="N1527">
        <f>IF(ISBLANK('ENGAGEMENTS 2026'!C1527),"",'ENGAGEMENTS 2026'!L1527)</f>
        <v/>
      </c>
      <c r="O1527">
        <f>IF(ISBLANK('ENGAGEMENTS 2026'!C1527),"",'ENGAGEMENTS 2026'!M1527)</f>
        <v/>
      </c>
      <c r="P1527">
        <f>IF(ISBLANK('ENGAGEMENTS 2026'!C1527),"",'ENGAGEMENTS 2026'!K1527)</f>
        <v/>
      </c>
      <c r="Q1527">
        <f>IF($A1527="","",IF(OR($E1527="INFRUCTUEUX",$E1527="ANNULE"),$A1527&amp;"|"&amp;(COUNTIFS($A$2:$A1527,$A1527,$E$2:$E1527,"INFRUCTUEUX")+COUNTIFS($A$2:$A1527,$A1527,$E$2:$E1527,"ANNULE")),""))</f>
        <v/>
      </c>
    </row>
    <row r="1528">
      <c r="A1528">
        <f>IF(ISBLANK('ENGAGEMENTS 2026'!C1528),"",IF('ENGAGEMENTS 2026'!C1528="DTSI","DCT",'ENGAGEMENTS 2026'!C1528))</f>
        <v/>
      </c>
      <c r="B1528">
        <f>IF(ISBLANK('ENGAGEMENTS 2026'!C1528),"",'ENGAGEMENTS 2026'!D1528)</f>
        <v/>
      </c>
      <c r="C1528">
        <f>IF(ISBLANK('ENGAGEMENTS 2026'!C1528),"",'ENGAGEMENTS 2026'!E1528)</f>
        <v/>
      </c>
      <c r="D1528">
        <f>IF(ISBLANK('ENGAGEMENTS 2026'!C1528),"",'ENGAGEMENTS 2026'!G1528)</f>
        <v/>
      </c>
      <c r="E1528">
        <f>IF(ISBLANK('ENGAGEMENTS 2026'!C1528),"",'ENGAGEMENTS 2026'!I1528)</f>
        <v/>
      </c>
      <c r="F1528">
        <f>IF(ISBLANK('ENGAGEMENTS 2026'!C1528),"",'ENGAGEMENTS 2026'!J1528)</f>
        <v/>
      </c>
      <c r="G1528">
        <f>IF(ISBLANK('ENGAGEMENTS 2026'!C1528),"",'ENGAGEMENTS 2026'!M1528)</f>
        <v/>
      </c>
      <c r="H1528">
        <f>IF(ISBLANK('ENGAGEMENTS 2026'!C1528),"",'ENGAGEMENTS 2026'!AF1528)</f>
        <v/>
      </c>
      <c r="I1528">
        <f>IF(ISBLANK('ENGAGEMENTS 2026'!C1528),"",'ENGAGEMENTS 2026'!H1528)</f>
        <v/>
      </c>
      <c r="J1528" s="275">
        <f>IF(ISBLANK('ENGAGEMENTS 2026'!C1528),"",IF(AND(OR($E1528="INFRUCTUEUX",$E1528="ANNULE"),$C1528="AOO-M"),'ENGAGEMENTS 2026'!P1528,IF($H1528="EN COURS DE PREENGAGEMENT",'ENGAGEMENTS 2026'!O1528,IF($H1528="PREENGAGE",IF($E1528="ATTRIBUE",'ENGAGEMENTS 2026'!AE1528,'ENGAGEMENTS 2026'!O1528),'ENGAGEMENTS 2026'!AE1528))))</f>
        <v/>
      </c>
      <c r="K1528" s="604">
        <f>IF(ISBLANK('ENGAGEMENTS 2026'!W1528),"",'ENGAGEMENTS 2026'!W1528)</f>
        <v/>
      </c>
      <c r="L1528" s="276">
        <f>IF($K1528="","",TODAY()-$K1528)</f>
        <v/>
      </c>
      <c r="M1528">
        <f>IF($A1528="","",IF($H1528="ENGAGE","Engagé",IF(AND($H1528="NON ENGAGE",OR($I1528="INFRUCTUEUX",$I1528="ANNULE")),"Clôturé sans suite","En cours")))</f>
        <v/>
      </c>
      <c r="N1528">
        <f>IF(ISBLANK('ENGAGEMENTS 2026'!C1528),"",'ENGAGEMENTS 2026'!L1528)</f>
        <v/>
      </c>
      <c r="O1528">
        <f>IF(ISBLANK('ENGAGEMENTS 2026'!C1528),"",'ENGAGEMENTS 2026'!M1528)</f>
        <v/>
      </c>
      <c r="P1528">
        <f>IF(ISBLANK('ENGAGEMENTS 2026'!C1528),"",'ENGAGEMENTS 2026'!K1528)</f>
        <v/>
      </c>
      <c r="Q1528">
        <f>IF($A1528="","",IF(OR($E1528="INFRUCTUEUX",$E1528="ANNULE"),$A1528&amp;"|"&amp;(COUNTIFS($A$2:$A1528,$A1528,$E$2:$E1528,"INFRUCTUEUX")+COUNTIFS($A$2:$A1528,$A1528,$E$2:$E1528,"ANNULE")),""))</f>
        <v/>
      </c>
    </row>
    <row r="1529">
      <c r="A1529">
        <f>IF(ISBLANK('ENGAGEMENTS 2026'!C1529),"",IF('ENGAGEMENTS 2026'!C1529="DTSI","DCT",'ENGAGEMENTS 2026'!C1529))</f>
        <v/>
      </c>
      <c r="B1529">
        <f>IF(ISBLANK('ENGAGEMENTS 2026'!C1529),"",'ENGAGEMENTS 2026'!D1529)</f>
        <v/>
      </c>
      <c r="C1529">
        <f>IF(ISBLANK('ENGAGEMENTS 2026'!C1529),"",'ENGAGEMENTS 2026'!E1529)</f>
        <v/>
      </c>
      <c r="D1529">
        <f>IF(ISBLANK('ENGAGEMENTS 2026'!C1529),"",'ENGAGEMENTS 2026'!G1529)</f>
        <v/>
      </c>
      <c r="E1529">
        <f>IF(ISBLANK('ENGAGEMENTS 2026'!C1529),"",'ENGAGEMENTS 2026'!I1529)</f>
        <v/>
      </c>
      <c r="F1529">
        <f>IF(ISBLANK('ENGAGEMENTS 2026'!C1529),"",'ENGAGEMENTS 2026'!J1529)</f>
        <v/>
      </c>
      <c r="G1529">
        <f>IF(ISBLANK('ENGAGEMENTS 2026'!C1529),"",'ENGAGEMENTS 2026'!M1529)</f>
        <v/>
      </c>
      <c r="H1529">
        <f>IF(ISBLANK('ENGAGEMENTS 2026'!C1529),"",'ENGAGEMENTS 2026'!AF1529)</f>
        <v/>
      </c>
      <c r="I1529">
        <f>IF(ISBLANK('ENGAGEMENTS 2026'!C1529),"",'ENGAGEMENTS 2026'!H1529)</f>
        <v/>
      </c>
      <c r="J1529" s="275">
        <f>IF(ISBLANK('ENGAGEMENTS 2026'!C1529),"",IF(AND(OR($E1529="INFRUCTUEUX",$E1529="ANNULE"),$C1529="AOO-M"),'ENGAGEMENTS 2026'!P1529,IF($H1529="EN COURS DE PREENGAGEMENT",'ENGAGEMENTS 2026'!O1529,IF($H1529="PREENGAGE",IF($E1529="ATTRIBUE",'ENGAGEMENTS 2026'!AE1529,'ENGAGEMENTS 2026'!O1529),'ENGAGEMENTS 2026'!AE1529))))</f>
        <v/>
      </c>
      <c r="K1529" s="604">
        <f>IF(ISBLANK('ENGAGEMENTS 2026'!W1529),"",'ENGAGEMENTS 2026'!W1529)</f>
        <v/>
      </c>
      <c r="L1529" s="276">
        <f>IF($K1529="","",TODAY()-$K1529)</f>
        <v/>
      </c>
      <c r="M1529">
        <f>IF($A1529="","",IF($H1529="ENGAGE","Engagé",IF(AND($H1529="NON ENGAGE",OR($I1529="INFRUCTUEUX",$I1529="ANNULE")),"Clôturé sans suite","En cours")))</f>
        <v/>
      </c>
      <c r="N1529">
        <f>IF(ISBLANK('ENGAGEMENTS 2026'!C1529),"",'ENGAGEMENTS 2026'!L1529)</f>
        <v/>
      </c>
      <c r="O1529">
        <f>IF(ISBLANK('ENGAGEMENTS 2026'!C1529),"",'ENGAGEMENTS 2026'!M1529)</f>
        <v/>
      </c>
      <c r="P1529">
        <f>IF(ISBLANK('ENGAGEMENTS 2026'!C1529),"",'ENGAGEMENTS 2026'!K1529)</f>
        <v/>
      </c>
      <c r="Q1529">
        <f>IF($A1529="","",IF(OR($E1529="INFRUCTUEUX",$E1529="ANNULE"),$A1529&amp;"|"&amp;(COUNTIFS($A$2:$A1529,$A1529,$E$2:$E1529,"INFRUCTUEUX")+COUNTIFS($A$2:$A1529,$A1529,$E$2:$E1529,"ANNULE")),""))</f>
        <v/>
      </c>
    </row>
    <row r="1530">
      <c r="A1530">
        <f>IF(ISBLANK('ENGAGEMENTS 2026'!C1530),"",IF('ENGAGEMENTS 2026'!C1530="DTSI","DCT",'ENGAGEMENTS 2026'!C1530))</f>
        <v/>
      </c>
      <c r="B1530">
        <f>IF(ISBLANK('ENGAGEMENTS 2026'!C1530),"",'ENGAGEMENTS 2026'!D1530)</f>
        <v/>
      </c>
      <c r="C1530">
        <f>IF(ISBLANK('ENGAGEMENTS 2026'!C1530),"",'ENGAGEMENTS 2026'!E1530)</f>
        <v/>
      </c>
      <c r="D1530">
        <f>IF(ISBLANK('ENGAGEMENTS 2026'!C1530),"",'ENGAGEMENTS 2026'!G1530)</f>
        <v/>
      </c>
      <c r="E1530">
        <f>IF(ISBLANK('ENGAGEMENTS 2026'!C1530),"",'ENGAGEMENTS 2026'!I1530)</f>
        <v/>
      </c>
      <c r="F1530">
        <f>IF(ISBLANK('ENGAGEMENTS 2026'!C1530),"",'ENGAGEMENTS 2026'!J1530)</f>
        <v/>
      </c>
      <c r="G1530">
        <f>IF(ISBLANK('ENGAGEMENTS 2026'!C1530),"",'ENGAGEMENTS 2026'!M1530)</f>
        <v/>
      </c>
      <c r="H1530">
        <f>IF(ISBLANK('ENGAGEMENTS 2026'!C1530),"",'ENGAGEMENTS 2026'!AF1530)</f>
        <v/>
      </c>
      <c r="I1530">
        <f>IF(ISBLANK('ENGAGEMENTS 2026'!C1530),"",'ENGAGEMENTS 2026'!H1530)</f>
        <v/>
      </c>
      <c r="J1530" s="275">
        <f>IF(ISBLANK('ENGAGEMENTS 2026'!C1530),"",IF(AND(OR($E1530="INFRUCTUEUX",$E1530="ANNULE"),$C1530="AOO-M"),'ENGAGEMENTS 2026'!P1530,IF($H1530="EN COURS DE PREENGAGEMENT",'ENGAGEMENTS 2026'!O1530,IF($H1530="PREENGAGE",IF($E1530="ATTRIBUE",'ENGAGEMENTS 2026'!AE1530,'ENGAGEMENTS 2026'!O1530),'ENGAGEMENTS 2026'!AE1530))))</f>
        <v/>
      </c>
      <c r="K1530" s="604">
        <f>IF(ISBLANK('ENGAGEMENTS 2026'!W1530),"",'ENGAGEMENTS 2026'!W1530)</f>
        <v/>
      </c>
      <c r="L1530" s="276">
        <f>IF($K1530="","",TODAY()-$K1530)</f>
        <v/>
      </c>
      <c r="M1530">
        <f>IF($A1530="","",IF($H1530="ENGAGE","Engagé",IF(AND($H1530="NON ENGAGE",OR($I1530="INFRUCTUEUX",$I1530="ANNULE")),"Clôturé sans suite","En cours")))</f>
        <v/>
      </c>
      <c r="N1530">
        <f>IF(ISBLANK('ENGAGEMENTS 2026'!C1530),"",'ENGAGEMENTS 2026'!L1530)</f>
        <v/>
      </c>
      <c r="O1530">
        <f>IF(ISBLANK('ENGAGEMENTS 2026'!C1530),"",'ENGAGEMENTS 2026'!M1530)</f>
        <v/>
      </c>
      <c r="P1530">
        <f>IF(ISBLANK('ENGAGEMENTS 2026'!C1530),"",'ENGAGEMENTS 2026'!K1530)</f>
        <v/>
      </c>
      <c r="Q1530">
        <f>IF($A1530="","",IF(OR($E1530="INFRUCTUEUX",$E1530="ANNULE"),$A1530&amp;"|"&amp;(COUNTIFS($A$2:$A1530,$A1530,$E$2:$E1530,"INFRUCTUEUX")+COUNTIFS($A$2:$A1530,$A1530,$E$2:$E1530,"ANNULE")),""))</f>
        <v/>
      </c>
    </row>
    <row r="1531">
      <c r="A1531">
        <f>IF(ISBLANK('ENGAGEMENTS 2026'!C1531),"",IF('ENGAGEMENTS 2026'!C1531="DTSI","DCT",'ENGAGEMENTS 2026'!C1531))</f>
        <v/>
      </c>
      <c r="B1531">
        <f>IF(ISBLANK('ENGAGEMENTS 2026'!C1531),"",'ENGAGEMENTS 2026'!D1531)</f>
        <v/>
      </c>
      <c r="C1531">
        <f>IF(ISBLANK('ENGAGEMENTS 2026'!C1531),"",'ENGAGEMENTS 2026'!E1531)</f>
        <v/>
      </c>
      <c r="D1531">
        <f>IF(ISBLANK('ENGAGEMENTS 2026'!C1531),"",'ENGAGEMENTS 2026'!G1531)</f>
        <v/>
      </c>
      <c r="E1531">
        <f>IF(ISBLANK('ENGAGEMENTS 2026'!C1531),"",'ENGAGEMENTS 2026'!I1531)</f>
        <v/>
      </c>
      <c r="F1531">
        <f>IF(ISBLANK('ENGAGEMENTS 2026'!C1531),"",'ENGAGEMENTS 2026'!J1531)</f>
        <v/>
      </c>
      <c r="G1531">
        <f>IF(ISBLANK('ENGAGEMENTS 2026'!C1531),"",'ENGAGEMENTS 2026'!M1531)</f>
        <v/>
      </c>
      <c r="H1531">
        <f>IF(ISBLANK('ENGAGEMENTS 2026'!C1531),"",'ENGAGEMENTS 2026'!AF1531)</f>
        <v/>
      </c>
      <c r="I1531">
        <f>IF(ISBLANK('ENGAGEMENTS 2026'!C1531),"",'ENGAGEMENTS 2026'!H1531)</f>
        <v/>
      </c>
      <c r="J1531" s="275">
        <f>IF(ISBLANK('ENGAGEMENTS 2026'!C1531),"",IF(AND(OR($E1531="INFRUCTUEUX",$E1531="ANNULE"),$C1531="AOO-M"),'ENGAGEMENTS 2026'!P1531,IF($H1531="EN COURS DE PREENGAGEMENT",'ENGAGEMENTS 2026'!O1531,IF($H1531="PREENGAGE",IF($E1531="ATTRIBUE",'ENGAGEMENTS 2026'!AE1531,'ENGAGEMENTS 2026'!O1531),'ENGAGEMENTS 2026'!AE1531))))</f>
        <v/>
      </c>
      <c r="K1531" s="604">
        <f>IF(ISBLANK('ENGAGEMENTS 2026'!W1531),"",'ENGAGEMENTS 2026'!W1531)</f>
        <v/>
      </c>
      <c r="L1531" s="276">
        <f>IF($K1531="","",TODAY()-$K1531)</f>
        <v/>
      </c>
      <c r="M1531">
        <f>IF($A1531="","",IF($H1531="ENGAGE","Engagé",IF(AND($H1531="NON ENGAGE",OR($I1531="INFRUCTUEUX",$I1531="ANNULE")),"Clôturé sans suite","En cours")))</f>
        <v/>
      </c>
      <c r="N1531">
        <f>IF(ISBLANK('ENGAGEMENTS 2026'!C1531),"",'ENGAGEMENTS 2026'!L1531)</f>
        <v/>
      </c>
      <c r="O1531">
        <f>IF(ISBLANK('ENGAGEMENTS 2026'!C1531),"",'ENGAGEMENTS 2026'!M1531)</f>
        <v/>
      </c>
      <c r="P1531">
        <f>IF(ISBLANK('ENGAGEMENTS 2026'!C1531),"",'ENGAGEMENTS 2026'!K1531)</f>
        <v/>
      </c>
      <c r="Q1531">
        <f>IF($A1531="","",IF(OR($E1531="INFRUCTUEUX",$E1531="ANNULE"),$A1531&amp;"|"&amp;(COUNTIFS($A$2:$A1531,$A1531,$E$2:$E1531,"INFRUCTUEUX")+COUNTIFS($A$2:$A1531,$A1531,$E$2:$E1531,"ANNULE")),""))</f>
        <v/>
      </c>
    </row>
    <row r="1532">
      <c r="A1532">
        <f>IF(ISBLANK('ENGAGEMENTS 2026'!C1532),"",IF('ENGAGEMENTS 2026'!C1532="DTSI","DCT",'ENGAGEMENTS 2026'!C1532))</f>
        <v/>
      </c>
      <c r="B1532">
        <f>IF(ISBLANK('ENGAGEMENTS 2026'!C1532),"",'ENGAGEMENTS 2026'!D1532)</f>
        <v/>
      </c>
      <c r="C1532">
        <f>IF(ISBLANK('ENGAGEMENTS 2026'!C1532),"",'ENGAGEMENTS 2026'!E1532)</f>
        <v/>
      </c>
      <c r="D1532">
        <f>IF(ISBLANK('ENGAGEMENTS 2026'!C1532),"",'ENGAGEMENTS 2026'!G1532)</f>
        <v/>
      </c>
      <c r="E1532">
        <f>IF(ISBLANK('ENGAGEMENTS 2026'!C1532),"",'ENGAGEMENTS 2026'!I1532)</f>
        <v/>
      </c>
      <c r="F1532">
        <f>IF(ISBLANK('ENGAGEMENTS 2026'!C1532),"",'ENGAGEMENTS 2026'!J1532)</f>
        <v/>
      </c>
      <c r="G1532">
        <f>IF(ISBLANK('ENGAGEMENTS 2026'!C1532),"",'ENGAGEMENTS 2026'!M1532)</f>
        <v/>
      </c>
      <c r="H1532">
        <f>IF(ISBLANK('ENGAGEMENTS 2026'!C1532),"",'ENGAGEMENTS 2026'!AF1532)</f>
        <v/>
      </c>
      <c r="I1532">
        <f>IF(ISBLANK('ENGAGEMENTS 2026'!C1532),"",'ENGAGEMENTS 2026'!H1532)</f>
        <v/>
      </c>
      <c r="J1532" s="275">
        <f>IF(ISBLANK('ENGAGEMENTS 2026'!C1532),"",IF(AND(OR($E1532="INFRUCTUEUX",$E1532="ANNULE"),$C1532="AOO-M"),'ENGAGEMENTS 2026'!P1532,IF($H1532="EN COURS DE PREENGAGEMENT",'ENGAGEMENTS 2026'!O1532,IF($H1532="PREENGAGE",IF($E1532="ATTRIBUE",'ENGAGEMENTS 2026'!AE1532,'ENGAGEMENTS 2026'!O1532),'ENGAGEMENTS 2026'!AE1532))))</f>
        <v/>
      </c>
      <c r="K1532" s="604">
        <f>IF(ISBLANK('ENGAGEMENTS 2026'!W1532),"",'ENGAGEMENTS 2026'!W1532)</f>
        <v/>
      </c>
      <c r="L1532" s="276">
        <f>IF($K1532="","",TODAY()-$K1532)</f>
        <v/>
      </c>
      <c r="M1532">
        <f>IF($A1532="","",IF($H1532="ENGAGE","Engagé",IF(AND($H1532="NON ENGAGE",OR($I1532="INFRUCTUEUX",$I1532="ANNULE")),"Clôturé sans suite","En cours")))</f>
        <v/>
      </c>
      <c r="N1532">
        <f>IF(ISBLANK('ENGAGEMENTS 2026'!C1532),"",'ENGAGEMENTS 2026'!L1532)</f>
        <v/>
      </c>
      <c r="O1532">
        <f>IF(ISBLANK('ENGAGEMENTS 2026'!C1532),"",'ENGAGEMENTS 2026'!M1532)</f>
        <v/>
      </c>
      <c r="P1532">
        <f>IF(ISBLANK('ENGAGEMENTS 2026'!C1532),"",'ENGAGEMENTS 2026'!K1532)</f>
        <v/>
      </c>
      <c r="Q1532">
        <f>IF($A1532="","",IF(OR($E1532="INFRUCTUEUX",$E1532="ANNULE"),$A1532&amp;"|"&amp;(COUNTIFS($A$2:$A1532,$A1532,$E$2:$E1532,"INFRUCTUEUX")+COUNTIFS($A$2:$A1532,$A1532,$E$2:$E1532,"ANNULE")),""))</f>
        <v/>
      </c>
    </row>
    <row r="1533">
      <c r="A1533">
        <f>IF(ISBLANK('ENGAGEMENTS 2026'!C1533),"",IF('ENGAGEMENTS 2026'!C1533="DTSI","DCT",'ENGAGEMENTS 2026'!C1533))</f>
        <v/>
      </c>
      <c r="B1533">
        <f>IF(ISBLANK('ENGAGEMENTS 2026'!C1533),"",'ENGAGEMENTS 2026'!D1533)</f>
        <v/>
      </c>
      <c r="C1533">
        <f>IF(ISBLANK('ENGAGEMENTS 2026'!C1533),"",'ENGAGEMENTS 2026'!E1533)</f>
        <v/>
      </c>
      <c r="D1533">
        <f>IF(ISBLANK('ENGAGEMENTS 2026'!C1533),"",'ENGAGEMENTS 2026'!G1533)</f>
        <v/>
      </c>
      <c r="E1533">
        <f>IF(ISBLANK('ENGAGEMENTS 2026'!C1533),"",'ENGAGEMENTS 2026'!I1533)</f>
        <v/>
      </c>
      <c r="F1533">
        <f>IF(ISBLANK('ENGAGEMENTS 2026'!C1533),"",'ENGAGEMENTS 2026'!J1533)</f>
        <v/>
      </c>
      <c r="G1533">
        <f>IF(ISBLANK('ENGAGEMENTS 2026'!C1533),"",'ENGAGEMENTS 2026'!M1533)</f>
        <v/>
      </c>
      <c r="H1533">
        <f>IF(ISBLANK('ENGAGEMENTS 2026'!C1533),"",'ENGAGEMENTS 2026'!AF1533)</f>
        <v/>
      </c>
      <c r="I1533">
        <f>IF(ISBLANK('ENGAGEMENTS 2026'!C1533),"",'ENGAGEMENTS 2026'!H1533)</f>
        <v/>
      </c>
      <c r="J1533" s="275">
        <f>IF(ISBLANK('ENGAGEMENTS 2026'!C1533),"",IF(AND(OR($E1533="INFRUCTUEUX",$E1533="ANNULE"),$C1533="AOO-M"),'ENGAGEMENTS 2026'!P1533,IF($H1533="EN COURS DE PREENGAGEMENT",'ENGAGEMENTS 2026'!O1533,IF($H1533="PREENGAGE",IF($E1533="ATTRIBUE",'ENGAGEMENTS 2026'!AE1533,'ENGAGEMENTS 2026'!O1533),'ENGAGEMENTS 2026'!AE1533))))</f>
        <v/>
      </c>
      <c r="K1533" s="604">
        <f>IF(ISBLANK('ENGAGEMENTS 2026'!W1533),"",'ENGAGEMENTS 2026'!W1533)</f>
        <v/>
      </c>
      <c r="L1533" s="276">
        <f>IF($K1533="","",TODAY()-$K1533)</f>
        <v/>
      </c>
      <c r="M1533">
        <f>IF($A1533="","",IF($H1533="ENGAGE","Engagé",IF(AND($H1533="NON ENGAGE",OR($I1533="INFRUCTUEUX",$I1533="ANNULE")),"Clôturé sans suite","En cours")))</f>
        <v/>
      </c>
      <c r="N1533">
        <f>IF(ISBLANK('ENGAGEMENTS 2026'!C1533),"",'ENGAGEMENTS 2026'!L1533)</f>
        <v/>
      </c>
      <c r="O1533">
        <f>IF(ISBLANK('ENGAGEMENTS 2026'!C1533),"",'ENGAGEMENTS 2026'!M1533)</f>
        <v/>
      </c>
      <c r="P1533">
        <f>IF(ISBLANK('ENGAGEMENTS 2026'!C1533),"",'ENGAGEMENTS 2026'!K1533)</f>
        <v/>
      </c>
      <c r="Q1533">
        <f>IF($A1533="","",IF(OR($E1533="INFRUCTUEUX",$E1533="ANNULE"),$A1533&amp;"|"&amp;(COUNTIFS($A$2:$A1533,$A1533,$E$2:$E1533,"INFRUCTUEUX")+COUNTIFS($A$2:$A1533,$A1533,$E$2:$E1533,"ANNULE")),""))</f>
        <v/>
      </c>
    </row>
    <row r="1534">
      <c r="A1534">
        <f>IF(ISBLANK('ENGAGEMENTS 2026'!C1534),"",IF('ENGAGEMENTS 2026'!C1534="DTSI","DCT",'ENGAGEMENTS 2026'!C1534))</f>
        <v/>
      </c>
      <c r="B1534">
        <f>IF(ISBLANK('ENGAGEMENTS 2026'!C1534),"",'ENGAGEMENTS 2026'!D1534)</f>
        <v/>
      </c>
      <c r="C1534">
        <f>IF(ISBLANK('ENGAGEMENTS 2026'!C1534),"",'ENGAGEMENTS 2026'!E1534)</f>
        <v/>
      </c>
      <c r="D1534">
        <f>IF(ISBLANK('ENGAGEMENTS 2026'!C1534),"",'ENGAGEMENTS 2026'!G1534)</f>
        <v/>
      </c>
      <c r="E1534">
        <f>IF(ISBLANK('ENGAGEMENTS 2026'!C1534),"",'ENGAGEMENTS 2026'!I1534)</f>
        <v/>
      </c>
      <c r="F1534">
        <f>IF(ISBLANK('ENGAGEMENTS 2026'!C1534),"",'ENGAGEMENTS 2026'!J1534)</f>
        <v/>
      </c>
      <c r="G1534">
        <f>IF(ISBLANK('ENGAGEMENTS 2026'!C1534),"",'ENGAGEMENTS 2026'!M1534)</f>
        <v/>
      </c>
      <c r="H1534">
        <f>IF(ISBLANK('ENGAGEMENTS 2026'!C1534),"",'ENGAGEMENTS 2026'!AF1534)</f>
        <v/>
      </c>
      <c r="I1534">
        <f>IF(ISBLANK('ENGAGEMENTS 2026'!C1534),"",'ENGAGEMENTS 2026'!H1534)</f>
        <v/>
      </c>
      <c r="J1534" s="275">
        <f>IF(ISBLANK('ENGAGEMENTS 2026'!C1534),"",IF(AND(OR($E1534="INFRUCTUEUX",$E1534="ANNULE"),$C1534="AOO-M"),'ENGAGEMENTS 2026'!P1534,IF($H1534="EN COURS DE PREENGAGEMENT",'ENGAGEMENTS 2026'!O1534,IF($H1534="PREENGAGE",IF($E1534="ATTRIBUE",'ENGAGEMENTS 2026'!AE1534,'ENGAGEMENTS 2026'!O1534),'ENGAGEMENTS 2026'!AE1534))))</f>
        <v/>
      </c>
      <c r="K1534" s="604">
        <f>IF(ISBLANK('ENGAGEMENTS 2026'!W1534),"",'ENGAGEMENTS 2026'!W1534)</f>
        <v/>
      </c>
      <c r="L1534" s="276">
        <f>IF($K1534="","",TODAY()-$K1534)</f>
        <v/>
      </c>
      <c r="M1534">
        <f>IF($A1534="","",IF($H1534="ENGAGE","Engagé",IF(AND($H1534="NON ENGAGE",OR($I1534="INFRUCTUEUX",$I1534="ANNULE")),"Clôturé sans suite","En cours")))</f>
        <v/>
      </c>
      <c r="N1534">
        <f>IF(ISBLANK('ENGAGEMENTS 2026'!C1534),"",'ENGAGEMENTS 2026'!L1534)</f>
        <v/>
      </c>
      <c r="O1534">
        <f>IF(ISBLANK('ENGAGEMENTS 2026'!C1534),"",'ENGAGEMENTS 2026'!M1534)</f>
        <v/>
      </c>
      <c r="P1534">
        <f>IF(ISBLANK('ENGAGEMENTS 2026'!C1534),"",'ENGAGEMENTS 2026'!K1534)</f>
        <v/>
      </c>
      <c r="Q1534">
        <f>IF($A1534="","",IF(OR($E1534="INFRUCTUEUX",$E1534="ANNULE"),$A1534&amp;"|"&amp;(COUNTIFS($A$2:$A1534,$A1534,$E$2:$E1534,"INFRUCTUEUX")+COUNTIFS($A$2:$A1534,$A1534,$E$2:$E1534,"ANNULE")),""))</f>
        <v/>
      </c>
    </row>
    <row r="1535">
      <c r="A1535">
        <f>IF(ISBLANK('ENGAGEMENTS 2026'!C1535),"",IF('ENGAGEMENTS 2026'!C1535="DTSI","DCT",'ENGAGEMENTS 2026'!C1535))</f>
        <v/>
      </c>
      <c r="B1535">
        <f>IF(ISBLANK('ENGAGEMENTS 2026'!C1535),"",'ENGAGEMENTS 2026'!D1535)</f>
        <v/>
      </c>
      <c r="C1535">
        <f>IF(ISBLANK('ENGAGEMENTS 2026'!C1535),"",'ENGAGEMENTS 2026'!E1535)</f>
        <v/>
      </c>
      <c r="D1535">
        <f>IF(ISBLANK('ENGAGEMENTS 2026'!C1535),"",'ENGAGEMENTS 2026'!G1535)</f>
        <v/>
      </c>
      <c r="E1535">
        <f>IF(ISBLANK('ENGAGEMENTS 2026'!C1535),"",'ENGAGEMENTS 2026'!I1535)</f>
        <v/>
      </c>
      <c r="F1535">
        <f>IF(ISBLANK('ENGAGEMENTS 2026'!C1535),"",'ENGAGEMENTS 2026'!J1535)</f>
        <v/>
      </c>
      <c r="G1535">
        <f>IF(ISBLANK('ENGAGEMENTS 2026'!C1535),"",'ENGAGEMENTS 2026'!M1535)</f>
        <v/>
      </c>
      <c r="H1535">
        <f>IF(ISBLANK('ENGAGEMENTS 2026'!C1535),"",'ENGAGEMENTS 2026'!AF1535)</f>
        <v/>
      </c>
      <c r="I1535">
        <f>IF(ISBLANK('ENGAGEMENTS 2026'!C1535),"",'ENGAGEMENTS 2026'!H1535)</f>
        <v/>
      </c>
      <c r="J1535" s="275">
        <f>IF(ISBLANK('ENGAGEMENTS 2026'!C1535),"",IF(AND(OR($E1535="INFRUCTUEUX",$E1535="ANNULE"),$C1535="AOO-M"),'ENGAGEMENTS 2026'!P1535,IF($H1535="EN COURS DE PREENGAGEMENT",'ENGAGEMENTS 2026'!O1535,IF($H1535="PREENGAGE",IF($E1535="ATTRIBUE",'ENGAGEMENTS 2026'!AE1535,'ENGAGEMENTS 2026'!O1535),'ENGAGEMENTS 2026'!AE1535))))</f>
        <v/>
      </c>
      <c r="K1535" s="604">
        <f>IF(ISBLANK('ENGAGEMENTS 2026'!W1535),"",'ENGAGEMENTS 2026'!W1535)</f>
        <v/>
      </c>
      <c r="L1535" s="276">
        <f>IF($K1535="","",TODAY()-$K1535)</f>
        <v/>
      </c>
      <c r="M1535">
        <f>IF($A1535="","",IF($H1535="ENGAGE","Engagé",IF(AND($H1535="NON ENGAGE",OR($I1535="INFRUCTUEUX",$I1535="ANNULE")),"Clôturé sans suite","En cours")))</f>
        <v/>
      </c>
      <c r="N1535">
        <f>IF(ISBLANK('ENGAGEMENTS 2026'!C1535),"",'ENGAGEMENTS 2026'!L1535)</f>
        <v/>
      </c>
      <c r="O1535">
        <f>IF(ISBLANK('ENGAGEMENTS 2026'!C1535),"",'ENGAGEMENTS 2026'!M1535)</f>
        <v/>
      </c>
      <c r="P1535">
        <f>IF(ISBLANK('ENGAGEMENTS 2026'!C1535),"",'ENGAGEMENTS 2026'!K1535)</f>
        <v/>
      </c>
      <c r="Q1535">
        <f>IF($A1535="","",IF(OR($E1535="INFRUCTUEUX",$E1535="ANNULE"),$A1535&amp;"|"&amp;(COUNTIFS($A$2:$A1535,$A1535,$E$2:$E1535,"INFRUCTUEUX")+COUNTIFS($A$2:$A1535,$A1535,$E$2:$E1535,"ANNULE")),""))</f>
        <v/>
      </c>
    </row>
    <row r="1536">
      <c r="A1536">
        <f>IF(ISBLANK('ENGAGEMENTS 2026'!C1536),"",IF('ENGAGEMENTS 2026'!C1536="DTSI","DCT",'ENGAGEMENTS 2026'!C1536))</f>
        <v/>
      </c>
      <c r="B1536">
        <f>IF(ISBLANK('ENGAGEMENTS 2026'!C1536),"",'ENGAGEMENTS 2026'!D1536)</f>
        <v/>
      </c>
      <c r="C1536">
        <f>IF(ISBLANK('ENGAGEMENTS 2026'!C1536),"",'ENGAGEMENTS 2026'!E1536)</f>
        <v/>
      </c>
      <c r="D1536">
        <f>IF(ISBLANK('ENGAGEMENTS 2026'!C1536),"",'ENGAGEMENTS 2026'!G1536)</f>
        <v/>
      </c>
      <c r="E1536">
        <f>IF(ISBLANK('ENGAGEMENTS 2026'!C1536),"",'ENGAGEMENTS 2026'!I1536)</f>
        <v/>
      </c>
      <c r="F1536">
        <f>IF(ISBLANK('ENGAGEMENTS 2026'!C1536),"",'ENGAGEMENTS 2026'!J1536)</f>
        <v/>
      </c>
      <c r="G1536">
        <f>IF(ISBLANK('ENGAGEMENTS 2026'!C1536),"",'ENGAGEMENTS 2026'!M1536)</f>
        <v/>
      </c>
      <c r="H1536">
        <f>IF(ISBLANK('ENGAGEMENTS 2026'!C1536),"",'ENGAGEMENTS 2026'!AF1536)</f>
        <v/>
      </c>
      <c r="I1536">
        <f>IF(ISBLANK('ENGAGEMENTS 2026'!C1536),"",'ENGAGEMENTS 2026'!H1536)</f>
        <v/>
      </c>
      <c r="J1536" s="275">
        <f>IF(ISBLANK('ENGAGEMENTS 2026'!C1536),"",IF(AND(OR($E1536="INFRUCTUEUX",$E1536="ANNULE"),$C1536="AOO-M"),'ENGAGEMENTS 2026'!P1536,IF($H1536="EN COURS DE PREENGAGEMENT",'ENGAGEMENTS 2026'!O1536,IF($H1536="PREENGAGE",IF($E1536="ATTRIBUE",'ENGAGEMENTS 2026'!AE1536,'ENGAGEMENTS 2026'!O1536),'ENGAGEMENTS 2026'!AE1536))))</f>
        <v/>
      </c>
      <c r="K1536" s="604">
        <f>IF(ISBLANK('ENGAGEMENTS 2026'!W1536),"",'ENGAGEMENTS 2026'!W1536)</f>
        <v/>
      </c>
      <c r="L1536" s="276">
        <f>IF($K1536="","",TODAY()-$K1536)</f>
        <v/>
      </c>
      <c r="M1536">
        <f>IF($A1536="","",IF($H1536="ENGAGE","Engagé",IF(AND($H1536="NON ENGAGE",OR($I1536="INFRUCTUEUX",$I1536="ANNULE")),"Clôturé sans suite","En cours")))</f>
        <v/>
      </c>
      <c r="N1536">
        <f>IF(ISBLANK('ENGAGEMENTS 2026'!C1536),"",'ENGAGEMENTS 2026'!L1536)</f>
        <v/>
      </c>
      <c r="O1536">
        <f>IF(ISBLANK('ENGAGEMENTS 2026'!C1536),"",'ENGAGEMENTS 2026'!M1536)</f>
        <v/>
      </c>
      <c r="P1536">
        <f>IF(ISBLANK('ENGAGEMENTS 2026'!C1536),"",'ENGAGEMENTS 2026'!K1536)</f>
        <v/>
      </c>
      <c r="Q1536">
        <f>IF($A1536="","",IF(OR($E1536="INFRUCTUEUX",$E1536="ANNULE"),$A1536&amp;"|"&amp;(COUNTIFS($A$2:$A1536,$A1536,$E$2:$E1536,"INFRUCTUEUX")+COUNTIFS($A$2:$A1536,$A1536,$E$2:$E1536,"ANNULE")),""))</f>
        <v/>
      </c>
    </row>
    <row r="1537">
      <c r="A1537">
        <f>IF(ISBLANK('ENGAGEMENTS 2026'!C1537),"",IF('ENGAGEMENTS 2026'!C1537="DTSI","DCT",'ENGAGEMENTS 2026'!C1537))</f>
        <v/>
      </c>
      <c r="B1537">
        <f>IF(ISBLANK('ENGAGEMENTS 2026'!C1537),"",'ENGAGEMENTS 2026'!D1537)</f>
        <v/>
      </c>
      <c r="C1537">
        <f>IF(ISBLANK('ENGAGEMENTS 2026'!C1537),"",'ENGAGEMENTS 2026'!E1537)</f>
        <v/>
      </c>
      <c r="D1537">
        <f>IF(ISBLANK('ENGAGEMENTS 2026'!C1537),"",'ENGAGEMENTS 2026'!G1537)</f>
        <v/>
      </c>
      <c r="E1537">
        <f>IF(ISBLANK('ENGAGEMENTS 2026'!C1537),"",'ENGAGEMENTS 2026'!I1537)</f>
        <v/>
      </c>
      <c r="F1537">
        <f>IF(ISBLANK('ENGAGEMENTS 2026'!C1537),"",'ENGAGEMENTS 2026'!J1537)</f>
        <v/>
      </c>
      <c r="G1537">
        <f>IF(ISBLANK('ENGAGEMENTS 2026'!C1537),"",'ENGAGEMENTS 2026'!M1537)</f>
        <v/>
      </c>
      <c r="H1537">
        <f>IF(ISBLANK('ENGAGEMENTS 2026'!C1537),"",'ENGAGEMENTS 2026'!AF1537)</f>
        <v/>
      </c>
      <c r="I1537">
        <f>IF(ISBLANK('ENGAGEMENTS 2026'!C1537),"",'ENGAGEMENTS 2026'!H1537)</f>
        <v/>
      </c>
      <c r="J1537" s="275">
        <f>IF(ISBLANK('ENGAGEMENTS 2026'!C1537),"",IF(AND(OR($E1537="INFRUCTUEUX",$E1537="ANNULE"),$C1537="AOO-M"),'ENGAGEMENTS 2026'!P1537,IF($H1537="EN COURS DE PREENGAGEMENT",'ENGAGEMENTS 2026'!O1537,IF($H1537="PREENGAGE",IF($E1537="ATTRIBUE",'ENGAGEMENTS 2026'!AE1537,'ENGAGEMENTS 2026'!O1537),'ENGAGEMENTS 2026'!AE1537))))</f>
        <v/>
      </c>
      <c r="K1537" s="604">
        <f>IF(ISBLANK('ENGAGEMENTS 2026'!W1537),"",'ENGAGEMENTS 2026'!W1537)</f>
        <v/>
      </c>
      <c r="L1537" s="276">
        <f>IF($K1537="","",TODAY()-$K1537)</f>
        <v/>
      </c>
      <c r="M1537">
        <f>IF($A1537="","",IF($H1537="ENGAGE","Engagé",IF(AND($H1537="NON ENGAGE",OR($I1537="INFRUCTUEUX",$I1537="ANNULE")),"Clôturé sans suite","En cours")))</f>
        <v/>
      </c>
      <c r="N1537">
        <f>IF(ISBLANK('ENGAGEMENTS 2026'!C1537),"",'ENGAGEMENTS 2026'!L1537)</f>
        <v/>
      </c>
      <c r="O1537">
        <f>IF(ISBLANK('ENGAGEMENTS 2026'!C1537),"",'ENGAGEMENTS 2026'!M1537)</f>
        <v/>
      </c>
      <c r="P1537">
        <f>IF(ISBLANK('ENGAGEMENTS 2026'!C1537),"",'ENGAGEMENTS 2026'!K1537)</f>
        <v/>
      </c>
      <c r="Q1537">
        <f>IF($A1537="","",IF(OR($E1537="INFRUCTUEUX",$E1537="ANNULE"),$A1537&amp;"|"&amp;(COUNTIFS($A$2:$A1537,$A1537,$E$2:$E1537,"INFRUCTUEUX")+COUNTIFS($A$2:$A1537,$A1537,$E$2:$E1537,"ANNULE")),""))</f>
        <v/>
      </c>
    </row>
    <row r="1538">
      <c r="A1538">
        <f>IF(ISBLANK('ENGAGEMENTS 2026'!C1538),"",IF('ENGAGEMENTS 2026'!C1538="DTSI","DCT",'ENGAGEMENTS 2026'!C1538))</f>
        <v/>
      </c>
      <c r="B1538">
        <f>IF(ISBLANK('ENGAGEMENTS 2026'!C1538),"",'ENGAGEMENTS 2026'!D1538)</f>
        <v/>
      </c>
      <c r="C1538">
        <f>IF(ISBLANK('ENGAGEMENTS 2026'!C1538),"",'ENGAGEMENTS 2026'!E1538)</f>
        <v/>
      </c>
      <c r="D1538">
        <f>IF(ISBLANK('ENGAGEMENTS 2026'!C1538),"",'ENGAGEMENTS 2026'!G1538)</f>
        <v/>
      </c>
      <c r="E1538">
        <f>IF(ISBLANK('ENGAGEMENTS 2026'!C1538),"",'ENGAGEMENTS 2026'!I1538)</f>
        <v/>
      </c>
      <c r="F1538">
        <f>IF(ISBLANK('ENGAGEMENTS 2026'!C1538),"",'ENGAGEMENTS 2026'!J1538)</f>
        <v/>
      </c>
      <c r="G1538">
        <f>IF(ISBLANK('ENGAGEMENTS 2026'!C1538),"",'ENGAGEMENTS 2026'!M1538)</f>
        <v/>
      </c>
      <c r="H1538">
        <f>IF(ISBLANK('ENGAGEMENTS 2026'!C1538),"",'ENGAGEMENTS 2026'!AF1538)</f>
        <v/>
      </c>
      <c r="I1538">
        <f>IF(ISBLANK('ENGAGEMENTS 2026'!C1538),"",'ENGAGEMENTS 2026'!H1538)</f>
        <v/>
      </c>
      <c r="J1538" s="275">
        <f>IF(ISBLANK('ENGAGEMENTS 2026'!C1538),"",IF(AND(OR($E1538="INFRUCTUEUX",$E1538="ANNULE"),$C1538="AOO-M"),'ENGAGEMENTS 2026'!P1538,IF($H1538="EN COURS DE PREENGAGEMENT",'ENGAGEMENTS 2026'!O1538,IF($H1538="PREENGAGE",IF($E1538="ATTRIBUE",'ENGAGEMENTS 2026'!AE1538,'ENGAGEMENTS 2026'!O1538),'ENGAGEMENTS 2026'!AE1538))))</f>
        <v/>
      </c>
      <c r="K1538" s="604">
        <f>IF(ISBLANK('ENGAGEMENTS 2026'!W1538),"",'ENGAGEMENTS 2026'!W1538)</f>
        <v/>
      </c>
      <c r="L1538" s="276">
        <f>IF($K1538="","",TODAY()-$K1538)</f>
        <v/>
      </c>
      <c r="M1538">
        <f>IF($A1538="","",IF($H1538="ENGAGE","Engagé",IF(AND($H1538="NON ENGAGE",OR($I1538="INFRUCTUEUX",$I1538="ANNULE")),"Clôturé sans suite","En cours")))</f>
        <v/>
      </c>
      <c r="N1538">
        <f>IF(ISBLANK('ENGAGEMENTS 2026'!C1538),"",'ENGAGEMENTS 2026'!L1538)</f>
        <v/>
      </c>
      <c r="O1538">
        <f>IF(ISBLANK('ENGAGEMENTS 2026'!C1538),"",'ENGAGEMENTS 2026'!M1538)</f>
        <v/>
      </c>
      <c r="P1538">
        <f>IF(ISBLANK('ENGAGEMENTS 2026'!C1538),"",'ENGAGEMENTS 2026'!K1538)</f>
        <v/>
      </c>
      <c r="Q1538">
        <f>IF($A1538="","",IF(OR($E1538="INFRUCTUEUX",$E1538="ANNULE"),$A1538&amp;"|"&amp;(COUNTIFS($A$2:$A1538,$A1538,$E$2:$E1538,"INFRUCTUEUX")+COUNTIFS($A$2:$A1538,$A1538,$E$2:$E1538,"ANNULE")),""))</f>
        <v/>
      </c>
    </row>
    <row r="1539">
      <c r="A1539">
        <f>IF(ISBLANK('ENGAGEMENTS 2026'!C1539),"",IF('ENGAGEMENTS 2026'!C1539="DTSI","DCT",'ENGAGEMENTS 2026'!C1539))</f>
        <v/>
      </c>
      <c r="B1539">
        <f>IF(ISBLANK('ENGAGEMENTS 2026'!C1539),"",'ENGAGEMENTS 2026'!D1539)</f>
        <v/>
      </c>
      <c r="C1539">
        <f>IF(ISBLANK('ENGAGEMENTS 2026'!C1539),"",'ENGAGEMENTS 2026'!E1539)</f>
        <v/>
      </c>
      <c r="D1539">
        <f>IF(ISBLANK('ENGAGEMENTS 2026'!C1539),"",'ENGAGEMENTS 2026'!G1539)</f>
        <v/>
      </c>
      <c r="E1539">
        <f>IF(ISBLANK('ENGAGEMENTS 2026'!C1539),"",'ENGAGEMENTS 2026'!I1539)</f>
        <v/>
      </c>
      <c r="F1539">
        <f>IF(ISBLANK('ENGAGEMENTS 2026'!C1539),"",'ENGAGEMENTS 2026'!J1539)</f>
        <v/>
      </c>
      <c r="G1539">
        <f>IF(ISBLANK('ENGAGEMENTS 2026'!C1539),"",'ENGAGEMENTS 2026'!M1539)</f>
        <v/>
      </c>
      <c r="H1539">
        <f>IF(ISBLANK('ENGAGEMENTS 2026'!C1539),"",'ENGAGEMENTS 2026'!AF1539)</f>
        <v/>
      </c>
      <c r="I1539">
        <f>IF(ISBLANK('ENGAGEMENTS 2026'!C1539),"",'ENGAGEMENTS 2026'!H1539)</f>
        <v/>
      </c>
      <c r="J1539" s="275">
        <f>IF(ISBLANK('ENGAGEMENTS 2026'!C1539),"",IF(AND(OR($E1539="INFRUCTUEUX",$E1539="ANNULE"),$C1539="AOO-M"),'ENGAGEMENTS 2026'!P1539,IF($H1539="EN COURS DE PREENGAGEMENT",'ENGAGEMENTS 2026'!O1539,IF($H1539="PREENGAGE",IF($E1539="ATTRIBUE",'ENGAGEMENTS 2026'!AE1539,'ENGAGEMENTS 2026'!O1539),'ENGAGEMENTS 2026'!AE1539))))</f>
        <v/>
      </c>
      <c r="K1539" s="604">
        <f>IF(ISBLANK('ENGAGEMENTS 2026'!W1539),"",'ENGAGEMENTS 2026'!W1539)</f>
        <v/>
      </c>
      <c r="L1539" s="276">
        <f>IF($K1539="","",TODAY()-$K1539)</f>
        <v/>
      </c>
      <c r="M1539">
        <f>IF($A1539="","",IF($H1539="ENGAGE","Engagé",IF(AND($H1539="NON ENGAGE",OR($I1539="INFRUCTUEUX",$I1539="ANNULE")),"Clôturé sans suite","En cours")))</f>
        <v/>
      </c>
      <c r="N1539">
        <f>IF(ISBLANK('ENGAGEMENTS 2026'!C1539),"",'ENGAGEMENTS 2026'!L1539)</f>
        <v/>
      </c>
      <c r="O1539">
        <f>IF(ISBLANK('ENGAGEMENTS 2026'!C1539),"",'ENGAGEMENTS 2026'!M1539)</f>
        <v/>
      </c>
      <c r="P1539">
        <f>IF(ISBLANK('ENGAGEMENTS 2026'!C1539),"",'ENGAGEMENTS 2026'!K1539)</f>
        <v/>
      </c>
      <c r="Q1539">
        <f>IF($A1539="","",IF(OR($E1539="INFRUCTUEUX",$E1539="ANNULE"),$A1539&amp;"|"&amp;(COUNTIFS($A$2:$A1539,$A1539,$E$2:$E1539,"INFRUCTUEUX")+COUNTIFS($A$2:$A1539,$A1539,$E$2:$E1539,"ANNULE")),""))</f>
        <v/>
      </c>
    </row>
    <row r="1540">
      <c r="A1540">
        <f>IF(ISBLANK('ENGAGEMENTS 2026'!C1540),"",IF('ENGAGEMENTS 2026'!C1540="DTSI","DCT",'ENGAGEMENTS 2026'!C1540))</f>
        <v/>
      </c>
      <c r="B1540">
        <f>IF(ISBLANK('ENGAGEMENTS 2026'!C1540),"",'ENGAGEMENTS 2026'!D1540)</f>
        <v/>
      </c>
      <c r="C1540">
        <f>IF(ISBLANK('ENGAGEMENTS 2026'!C1540),"",'ENGAGEMENTS 2026'!E1540)</f>
        <v/>
      </c>
      <c r="D1540">
        <f>IF(ISBLANK('ENGAGEMENTS 2026'!C1540),"",'ENGAGEMENTS 2026'!G1540)</f>
        <v/>
      </c>
      <c r="E1540">
        <f>IF(ISBLANK('ENGAGEMENTS 2026'!C1540),"",'ENGAGEMENTS 2026'!I1540)</f>
        <v/>
      </c>
      <c r="F1540">
        <f>IF(ISBLANK('ENGAGEMENTS 2026'!C1540),"",'ENGAGEMENTS 2026'!J1540)</f>
        <v/>
      </c>
      <c r="G1540">
        <f>IF(ISBLANK('ENGAGEMENTS 2026'!C1540),"",'ENGAGEMENTS 2026'!M1540)</f>
        <v/>
      </c>
      <c r="H1540">
        <f>IF(ISBLANK('ENGAGEMENTS 2026'!C1540),"",'ENGAGEMENTS 2026'!AF1540)</f>
        <v/>
      </c>
      <c r="I1540">
        <f>IF(ISBLANK('ENGAGEMENTS 2026'!C1540),"",'ENGAGEMENTS 2026'!H1540)</f>
        <v/>
      </c>
      <c r="J1540" s="275">
        <f>IF(ISBLANK('ENGAGEMENTS 2026'!C1540),"",IF(AND(OR($E1540="INFRUCTUEUX",$E1540="ANNULE"),$C1540="AOO-M"),'ENGAGEMENTS 2026'!P1540,IF($H1540="EN COURS DE PREENGAGEMENT",'ENGAGEMENTS 2026'!O1540,IF($H1540="PREENGAGE",IF($E1540="ATTRIBUE",'ENGAGEMENTS 2026'!AE1540,'ENGAGEMENTS 2026'!O1540),'ENGAGEMENTS 2026'!AE1540))))</f>
        <v/>
      </c>
      <c r="K1540" s="604">
        <f>IF(ISBLANK('ENGAGEMENTS 2026'!W1540),"",'ENGAGEMENTS 2026'!W1540)</f>
        <v/>
      </c>
      <c r="L1540" s="276">
        <f>IF($K1540="","",TODAY()-$K1540)</f>
        <v/>
      </c>
      <c r="M1540">
        <f>IF($A1540="","",IF($H1540="ENGAGE","Engagé",IF(AND($H1540="NON ENGAGE",OR($I1540="INFRUCTUEUX",$I1540="ANNULE")),"Clôturé sans suite","En cours")))</f>
        <v/>
      </c>
      <c r="N1540">
        <f>IF(ISBLANK('ENGAGEMENTS 2026'!C1540),"",'ENGAGEMENTS 2026'!L1540)</f>
        <v/>
      </c>
      <c r="O1540">
        <f>IF(ISBLANK('ENGAGEMENTS 2026'!C1540),"",'ENGAGEMENTS 2026'!M1540)</f>
        <v/>
      </c>
      <c r="P1540">
        <f>IF(ISBLANK('ENGAGEMENTS 2026'!C1540),"",'ENGAGEMENTS 2026'!K1540)</f>
        <v/>
      </c>
      <c r="Q1540">
        <f>IF($A1540="","",IF(OR($E1540="INFRUCTUEUX",$E1540="ANNULE"),$A1540&amp;"|"&amp;(COUNTIFS($A$2:$A1540,$A1540,$E$2:$E1540,"INFRUCTUEUX")+COUNTIFS($A$2:$A1540,$A1540,$E$2:$E1540,"ANNULE")),""))</f>
        <v/>
      </c>
    </row>
    <row r="1541">
      <c r="A1541">
        <f>IF(ISBLANK('ENGAGEMENTS 2026'!C1541),"",IF('ENGAGEMENTS 2026'!C1541="DTSI","DCT",'ENGAGEMENTS 2026'!C1541))</f>
        <v/>
      </c>
      <c r="B1541">
        <f>IF(ISBLANK('ENGAGEMENTS 2026'!C1541),"",'ENGAGEMENTS 2026'!D1541)</f>
        <v/>
      </c>
      <c r="C1541">
        <f>IF(ISBLANK('ENGAGEMENTS 2026'!C1541),"",'ENGAGEMENTS 2026'!E1541)</f>
        <v/>
      </c>
      <c r="D1541">
        <f>IF(ISBLANK('ENGAGEMENTS 2026'!C1541),"",'ENGAGEMENTS 2026'!G1541)</f>
        <v/>
      </c>
      <c r="E1541">
        <f>IF(ISBLANK('ENGAGEMENTS 2026'!C1541),"",'ENGAGEMENTS 2026'!I1541)</f>
        <v/>
      </c>
      <c r="F1541">
        <f>IF(ISBLANK('ENGAGEMENTS 2026'!C1541),"",'ENGAGEMENTS 2026'!J1541)</f>
        <v/>
      </c>
      <c r="G1541">
        <f>IF(ISBLANK('ENGAGEMENTS 2026'!C1541),"",'ENGAGEMENTS 2026'!M1541)</f>
        <v/>
      </c>
      <c r="H1541">
        <f>IF(ISBLANK('ENGAGEMENTS 2026'!C1541),"",'ENGAGEMENTS 2026'!AF1541)</f>
        <v/>
      </c>
      <c r="I1541">
        <f>IF(ISBLANK('ENGAGEMENTS 2026'!C1541),"",'ENGAGEMENTS 2026'!H1541)</f>
        <v/>
      </c>
      <c r="J1541" s="275">
        <f>IF(ISBLANK('ENGAGEMENTS 2026'!C1541),"",IF(AND(OR($E1541="INFRUCTUEUX",$E1541="ANNULE"),$C1541="AOO-M"),'ENGAGEMENTS 2026'!P1541,IF($H1541="EN COURS DE PREENGAGEMENT",'ENGAGEMENTS 2026'!O1541,IF($H1541="PREENGAGE",IF($E1541="ATTRIBUE",'ENGAGEMENTS 2026'!AE1541,'ENGAGEMENTS 2026'!O1541),'ENGAGEMENTS 2026'!AE1541))))</f>
        <v/>
      </c>
      <c r="K1541" s="604">
        <f>IF(ISBLANK('ENGAGEMENTS 2026'!W1541),"",'ENGAGEMENTS 2026'!W1541)</f>
        <v/>
      </c>
      <c r="L1541" s="276">
        <f>IF($K1541="","",TODAY()-$K1541)</f>
        <v/>
      </c>
      <c r="M1541">
        <f>IF($A1541="","",IF($H1541="ENGAGE","Engagé",IF(AND($H1541="NON ENGAGE",OR($I1541="INFRUCTUEUX",$I1541="ANNULE")),"Clôturé sans suite","En cours")))</f>
        <v/>
      </c>
      <c r="N1541">
        <f>IF(ISBLANK('ENGAGEMENTS 2026'!C1541),"",'ENGAGEMENTS 2026'!L1541)</f>
        <v/>
      </c>
      <c r="O1541">
        <f>IF(ISBLANK('ENGAGEMENTS 2026'!C1541),"",'ENGAGEMENTS 2026'!M1541)</f>
        <v/>
      </c>
      <c r="P1541">
        <f>IF(ISBLANK('ENGAGEMENTS 2026'!C1541),"",'ENGAGEMENTS 2026'!K1541)</f>
        <v/>
      </c>
      <c r="Q1541">
        <f>IF($A1541="","",IF(OR($E1541="INFRUCTUEUX",$E1541="ANNULE"),$A1541&amp;"|"&amp;(COUNTIFS($A$2:$A1541,$A1541,$E$2:$E1541,"INFRUCTUEUX")+COUNTIFS($A$2:$A1541,$A1541,$E$2:$E1541,"ANNULE")),""))</f>
        <v/>
      </c>
    </row>
    <row r="1542">
      <c r="A1542">
        <f>IF(ISBLANK('ENGAGEMENTS 2026'!C1542),"",IF('ENGAGEMENTS 2026'!C1542="DTSI","DCT",'ENGAGEMENTS 2026'!C1542))</f>
        <v/>
      </c>
      <c r="B1542">
        <f>IF(ISBLANK('ENGAGEMENTS 2026'!C1542),"",'ENGAGEMENTS 2026'!D1542)</f>
        <v/>
      </c>
      <c r="C1542">
        <f>IF(ISBLANK('ENGAGEMENTS 2026'!C1542),"",'ENGAGEMENTS 2026'!E1542)</f>
        <v/>
      </c>
      <c r="D1542">
        <f>IF(ISBLANK('ENGAGEMENTS 2026'!C1542),"",'ENGAGEMENTS 2026'!G1542)</f>
        <v/>
      </c>
      <c r="E1542">
        <f>IF(ISBLANK('ENGAGEMENTS 2026'!C1542),"",'ENGAGEMENTS 2026'!I1542)</f>
        <v/>
      </c>
      <c r="F1542">
        <f>IF(ISBLANK('ENGAGEMENTS 2026'!C1542),"",'ENGAGEMENTS 2026'!J1542)</f>
        <v/>
      </c>
      <c r="G1542">
        <f>IF(ISBLANK('ENGAGEMENTS 2026'!C1542),"",'ENGAGEMENTS 2026'!M1542)</f>
        <v/>
      </c>
      <c r="H1542">
        <f>IF(ISBLANK('ENGAGEMENTS 2026'!C1542),"",'ENGAGEMENTS 2026'!AF1542)</f>
        <v/>
      </c>
      <c r="I1542">
        <f>IF(ISBLANK('ENGAGEMENTS 2026'!C1542),"",'ENGAGEMENTS 2026'!H1542)</f>
        <v/>
      </c>
      <c r="J1542" s="275">
        <f>IF(ISBLANK('ENGAGEMENTS 2026'!C1542),"",IF(AND(OR($E1542="INFRUCTUEUX",$E1542="ANNULE"),$C1542="AOO-M"),'ENGAGEMENTS 2026'!P1542,IF($H1542="EN COURS DE PREENGAGEMENT",'ENGAGEMENTS 2026'!O1542,IF($H1542="PREENGAGE",IF($E1542="ATTRIBUE",'ENGAGEMENTS 2026'!AE1542,'ENGAGEMENTS 2026'!O1542),'ENGAGEMENTS 2026'!AE1542))))</f>
        <v/>
      </c>
      <c r="K1542" s="604">
        <f>IF(ISBLANK('ENGAGEMENTS 2026'!W1542),"",'ENGAGEMENTS 2026'!W1542)</f>
        <v/>
      </c>
      <c r="L1542" s="276">
        <f>IF($K1542="","",TODAY()-$K1542)</f>
        <v/>
      </c>
      <c r="M1542">
        <f>IF($A1542="","",IF($H1542="ENGAGE","Engagé",IF(AND($H1542="NON ENGAGE",OR($I1542="INFRUCTUEUX",$I1542="ANNULE")),"Clôturé sans suite","En cours")))</f>
        <v/>
      </c>
      <c r="N1542">
        <f>IF(ISBLANK('ENGAGEMENTS 2026'!C1542),"",'ENGAGEMENTS 2026'!L1542)</f>
        <v/>
      </c>
      <c r="O1542">
        <f>IF(ISBLANK('ENGAGEMENTS 2026'!C1542),"",'ENGAGEMENTS 2026'!M1542)</f>
        <v/>
      </c>
      <c r="P1542">
        <f>IF(ISBLANK('ENGAGEMENTS 2026'!C1542),"",'ENGAGEMENTS 2026'!K1542)</f>
        <v/>
      </c>
      <c r="Q1542">
        <f>IF($A1542="","",IF(OR($E1542="INFRUCTUEUX",$E1542="ANNULE"),$A1542&amp;"|"&amp;(COUNTIFS($A$2:$A1542,$A1542,$E$2:$E1542,"INFRUCTUEUX")+COUNTIFS($A$2:$A1542,$A1542,$E$2:$E1542,"ANNULE")),""))</f>
        <v/>
      </c>
    </row>
    <row r="1543">
      <c r="A1543">
        <f>IF(ISBLANK('ENGAGEMENTS 2026'!C1543),"",IF('ENGAGEMENTS 2026'!C1543="DTSI","DCT",'ENGAGEMENTS 2026'!C1543))</f>
        <v/>
      </c>
      <c r="B1543">
        <f>IF(ISBLANK('ENGAGEMENTS 2026'!C1543),"",'ENGAGEMENTS 2026'!D1543)</f>
        <v/>
      </c>
      <c r="C1543">
        <f>IF(ISBLANK('ENGAGEMENTS 2026'!C1543),"",'ENGAGEMENTS 2026'!E1543)</f>
        <v/>
      </c>
      <c r="D1543">
        <f>IF(ISBLANK('ENGAGEMENTS 2026'!C1543),"",'ENGAGEMENTS 2026'!G1543)</f>
        <v/>
      </c>
      <c r="E1543">
        <f>IF(ISBLANK('ENGAGEMENTS 2026'!C1543),"",'ENGAGEMENTS 2026'!I1543)</f>
        <v/>
      </c>
      <c r="F1543">
        <f>IF(ISBLANK('ENGAGEMENTS 2026'!C1543),"",'ENGAGEMENTS 2026'!J1543)</f>
        <v/>
      </c>
      <c r="G1543">
        <f>IF(ISBLANK('ENGAGEMENTS 2026'!C1543),"",'ENGAGEMENTS 2026'!M1543)</f>
        <v/>
      </c>
      <c r="H1543">
        <f>IF(ISBLANK('ENGAGEMENTS 2026'!C1543),"",'ENGAGEMENTS 2026'!AF1543)</f>
        <v/>
      </c>
      <c r="I1543">
        <f>IF(ISBLANK('ENGAGEMENTS 2026'!C1543),"",'ENGAGEMENTS 2026'!H1543)</f>
        <v/>
      </c>
      <c r="J1543" s="275">
        <f>IF(ISBLANK('ENGAGEMENTS 2026'!C1543),"",IF(AND(OR($E1543="INFRUCTUEUX",$E1543="ANNULE"),$C1543="AOO-M"),'ENGAGEMENTS 2026'!P1543,IF($H1543="EN COURS DE PREENGAGEMENT",'ENGAGEMENTS 2026'!O1543,IF($H1543="PREENGAGE",IF($E1543="ATTRIBUE",'ENGAGEMENTS 2026'!AE1543,'ENGAGEMENTS 2026'!O1543),'ENGAGEMENTS 2026'!AE1543))))</f>
        <v/>
      </c>
      <c r="K1543" s="604">
        <f>IF(ISBLANK('ENGAGEMENTS 2026'!W1543),"",'ENGAGEMENTS 2026'!W1543)</f>
        <v/>
      </c>
      <c r="L1543" s="276">
        <f>IF($K1543="","",TODAY()-$K1543)</f>
        <v/>
      </c>
      <c r="M1543">
        <f>IF($A1543="","",IF($H1543="ENGAGE","Engagé",IF(AND($H1543="NON ENGAGE",OR($I1543="INFRUCTUEUX",$I1543="ANNULE")),"Clôturé sans suite","En cours")))</f>
        <v/>
      </c>
      <c r="N1543">
        <f>IF(ISBLANK('ENGAGEMENTS 2026'!C1543),"",'ENGAGEMENTS 2026'!L1543)</f>
        <v/>
      </c>
      <c r="O1543">
        <f>IF(ISBLANK('ENGAGEMENTS 2026'!C1543),"",'ENGAGEMENTS 2026'!M1543)</f>
        <v/>
      </c>
      <c r="P1543">
        <f>IF(ISBLANK('ENGAGEMENTS 2026'!C1543),"",'ENGAGEMENTS 2026'!K1543)</f>
        <v/>
      </c>
      <c r="Q1543">
        <f>IF($A1543="","",IF(OR($E1543="INFRUCTUEUX",$E1543="ANNULE"),$A1543&amp;"|"&amp;(COUNTIFS($A$2:$A1543,$A1543,$E$2:$E1543,"INFRUCTUEUX")+COUNTIFS($A$2:$A1543,$A1543,$E$2:$E1543,"ANNULE")),""))</f>
        <v/>
      </c>
    </row>
    <row r="1544">
      <c r="A1544">
        <f>IF(ISBLANK('ENGAGEMENTS 2026'!C1544),"",IF('ENGAGEMENTS 2026'!C1544="DTSI","DCT",'ENGAGEMENTS 2026'!C1544))</f>
        <v/>
      </c>
      <c r="B1544">
        <f>IF(ISBLANK('ENGAGEMENTS 2026'!C1544),"",'ENGAGEMENTS 2026'!D1544)</f>
        <v/>
      </c>
      <c r="C1544">
        <f>IF(ISBLANK('ENGAGEMENTS 2026'!C1544),"",'ENGAGEMENTS 2026'!E1544)</f>
        <v/>
      </c>
      <c r="D1544">
        <f>IF(ISBLANK('ENGAGEMENTS 2026'!C1544),"",'ENGAGEMENTS 2026'!G1544)</f>
        <v/>
      </c>
      <c r="E1544">
        <f>IF(ISBLANK('ENGAGEMENTS 2026'!C1544),"",'ENGAGEMENTS 2026'!I1544)</f>
        <v/>
      </c>
      <c r="F1544">
        <f>IF(ISBLANK('ENGAGEMENTS 2026'!C1544),"",'ENGAGEMENTS 2026'!J1544)</f>
        <v/>
      </c>
      <c r="G1544">
        <f>IF(ISBLANK('ENGAGEMENTS 2026'!C1544),"",'ENGAGEMENTS 2026'!M1544)</f>
        <v/>
      </c>
      <c r="H1544">
        <f>IF(ISBLANK('ENGAGEMENTS 2026'!C1544),"",'ENGAGEMENTS 2026'!AF1544)</f>
        <v/>
      </c>
      <c r="I1544">
        <f>IF(ISBLANK('ENGAGEMENTS 2026'!C1544),"",'ENGAGEMENTS 2026'!H1544)</f>
        <v/>
      </c>
      <c r="J1544" s="275">
        <f>IF(ISBLANK('ENGAGEMENTS 2026'!C1544),"",IF(AND(OR($E1544="INFRUCTUEUX",$E1544="ANNULE"),$C1544="AOO-M"),'ENGAGEMENTS 2026'!P1544,IF($H1544="EN COURS DE PREENGAGEMENT",'ENGAGEMENTS 2026'!O1544,IF($H1544="PREENGAGE",IF($E1544="ATTRIBUE",'ENGAGEMENTS 2026'!AE1544,'ENGAGEMENTS 2026'!O1544),'ENGAGEMENTS 2026'!AE1544))))</f>
        <v/>
      </c>
      <c r="K1544" s="604">
        <f>IF(ISBLANK('ENGAGEMENTS 2026'!W1544),"",'ENGAGEMENTS 2026'!W1544)</f>
        <v/>
      </c>
      <c r="L1544" s="276">
        <f>IF($K1544="","",TODAY()-$K1544)</f>
        <v/>
      </c>
      <c r="M1544">
        <f>IF($A1544="","",IF($H1544="ENGAGE","Engagé",IF(AND($H1544="NON ENGAGE",OR($I1544="INFRUCTUEUX",$I1544="ANNULE")),"Clôturé sans suite","En cours")))</f>
        <v/>
      </c>
      <c r="N1544">
        <f>IF(ISBLANK('ENGAGEMENTS 2026'!C1544),"",'ENGAGEMENTS 2026'!L1544)</f>
        <v/>
      </c>
      <c r="O1544">
        <f>IF(ISBLANK('ENGAGEMENTS 2026'!C1544),"",'ENGAGEMENTS 2026'!M1544)</f>
        <v/>
      </c>
      <c r="P1544">
        <f>IF(ISBLANK('ENGAGEMENTS 2026'!C1544),"",'ENGAGEMENTS 2026'!K1544)</f>
        <v/>
      </c>
      <c r="Q1544">
        <f>IF($A1544="","",IF(OR($E1544="INFRUCTUEUX",$E1544="ANNULE"),$A1544&amp;"|"&amp;(COUNTIFS($A$2:$A1544,$A1544,$E$2:$E1544,"INFRUCTUEUX")+COUNTIFS($A$2:$A1544,$A1544,$E$2:$E1544,"ANNULE")),""))</f>
        <v/>
      </c>
    </row>
    <row r="1545">
      <c r="A1545">
        <f>IF(ISBLANK('ENGAGEMENTS 2026'!C1545),"",IF('ENGAGEMENTS 2026'!C1545="DTSI","DCT",'ENGAGEMENTS 2026'!C1545))</f>
        <v/>
      </c>
      <c r="B1545">
        <f>IF(ISBLANK('ENGAGEMENTS 2026'!C1545),"",'ENGAGEMENTS 2026'!D1545)</f>
        <v/>
      </c>
      <c r="C1545">
        <f>IF(ISBLANK('ENGAGEMENTS 2026'!C1545),"",'ENGAGEMENTS 2026'!E1545)</f>
        <v/>
      </c>
      <c r="D1545">
        <f>IF(ISBLANK('ENGAGEMENTS 2026'!C1545),"",'ENGAGEMENTS 2026'!G1545)</f>
        <v/>
      </c>
      <c r="E1545">
        <f>IF(ISBLANK('ENGAGEMENTS 2026'!C1545),"",'ENGAGEMENTS 2026'!I1545)</f>
        <v/>
      </c>
      <c r="F1545">
        <f>IF(ISBLANK('ENGAGEMENTS 2026'!C1545),"",'ENGAGEMENTS 2026'!J1545)</f>
        <v/>
      </c>
      <c r="G1545">
        <f>IF(ISBLANK('ENGAGEMENTS 2026'!C1545),"",'ENGAGEMENTS 2026'!M1545)</f>
        <v/>
      </c>
      <c r="H1545">
        <f>IF(ISBLANK('ENGAGEMENTS 2026'!C1545),"",'ENGAGEMENTS 2026'!AF1545)</f>
        <v/>
      </c>
      <c r="I1545">
        <f>IF(ISBLANK('ENGAGEMENTS 2026'!C1545),"",'ENGAGEMENTS 2026'!H1545)</f>
        <v/>
      </c>
      <c r="J1545" s="275">
        <f>IF(ISBLANK('ENGAGEMENTS 2026'!C1545),"",IF(AND(OR($E1545="INFRUCTUEUX",$E1545="ANNULE"),$C1545="AOO-M"),'ENGAGEMENTS 2026'!P1545,IF($H1545="EN COURS DE PREENGAGEMENT",'ENGAGEMENTS 2026'!O1545,IF($H1545="PREENGAGE",IF($E1545="ATTRIBUE",'ENGAGEMENTS 2026'!AE1545,'ENGAGEMENTS 2026'!O1545),'ENGAGEMENTS 2026'!AE1545))))</f>
        <v/>
      </c>
      <c r="K1545" s="604">
        <f>IF(ISBLANK('ENGAGEMENTS 2026'!W1545),"",'ENGAGEMENTS 2026'!W1545)</f>
        <v/>
      </c>
      <c r="L1545" s="276">
        <f>IF($K1545="","",TODAY()-$K1545)</f>
        <v/>
      </c>
      <c r="M1545">
        <f>IF($A1545="","",IF($H1545="ENGAGE","Engagé",IF(AND($H1545="NON ENGAGE",OR($I1545="INFRUCTUEUX",$I1545="ANNULE")),"Clôturé sans suite","En cours")))</f>
        <v/>
      </c>
      <c r="N1545">
        <f>IF(ISBLANK('ENGAGEMENTS 2026'!C1545),"",'ENGAGEMENTS 2026'!L1545)</f>
        <v/>
      </c>
      <c r="O1545">
        <f>IF(ISBLANK('ENGAGEMENTS 2026'!C1545),"",'ENGAGEMENTS 2026'!M1545)</f>
        <v/>
      </c>
      <c r="P1545">
        <f>IF(ISBLANK('ENGAGEMENTS 2026'!C1545),"",'ENGAGEMENTS 2026'!K1545)</f>
        <v/>
      </c>
      <c r="Q1545">
        <f>IF($A1545="","",IF(OR($E1545="INFRUCTUEUX",$E1545="ANNULE"),$A1545&amp;"|"&amp;(COUNTIFS($A$2:$A1545,$A1545,$E$2:$E1545,"INFRUCTUEUX")+COUNTIFS($A$2:$A1545,$A1545,$E$2:$E1545,"ANNULE")),""))</f>
        <v/>
      </c>
    </row>
    <row r="1546">
      <c r="A1546">
        <f>IF(ISBLANK('ENGAGEMENTS 2026'!C1546),"",IF('ENGAGEMENTS 2026'!C1546="DTSI","DCT",'ENGAGEMENTS 2026'!C1546))</f>
        <v/>
      </c>
      <c r="B1546">
        <f>IF(ISBLANK('ENGAGEMENTS 2026'!C1546),"",'ENGAGEMENTS 2026'!D1546)</f>
        <v/>
      </c>
      <c r="C1546">
        <f>IF(ISBLANK('ENGAGEMENTS 2026'!C1546),"",'ENGAGEMENTS 2026'!E1546)</f>
        <v/>
      </c>
      <c r="D1546">
        <f>IF(ISBLANK('ENGAGEMENTS 2026'!C1546),"",'ENGAGEMENTS 2026'!G1546)</f>
        <v/>
      </c>
      <c r="E1546">
        <f>IF(ISBLANK('ENGAGEMENTS 2026'!C1546),"",'ENGAGEMENTS 2026'!I1546)</f>
        <v/>
      </c>
      <c r="F1546">
        <f>IF(ISBLANK('ENGAGEMENTS 2026'!C1546),"",'ENGAGEMENTS 2026'!J1546)</f>
        <v/>
      </c>
      <c r="G1546">
        <f>IF(ISBLANK('ENGAGEMENTS 2026'!C1546),"",'ENGAGEMENTS 2026'!M1546)</f>
        <v/>
      </c>
      <c r="H1546">
        <f>IF(ISBLANK('ENGAGEMENTS 2026'!C1546),"",'ENGAGEMENTS 2026'!AF1546)</f>
        <v/>
      </c>
      <c r="I1546">
        <f>IF(ISBLANK('ENGAGEMENTS 2026'!C1546),"",'ENGAGEMENTS 2026'!H1546)</f>
        <v/>
      </c>
      <c r="J1546" s="275">
        <f>IF(ISBLANK('ENGAGEMENTS 2026'!C1546),"",IF(AND(OR($E1546="INFRUCTUEUX",$E1546="ANNULE"),$C1546="AOO-M"),'ENGAGEMENTS 2026'!P1546,IF($H1546="EN COURS DE PREENGAGEMENT",'ENGAGEMENTS 2026'!O1546,IF($H1546="PREENGAGE",IF($E1546="ATTRIBUE",'ENGAGEMENTS 2026'!AE1546,'ENGAGEMENTS 2026'!O1546),'ENGAGEMENTS 2026'!AE1546))))</f>
        <v/>
      </c>
      <c r="K1546" s="604">
        <f>IF(ISBLANK('ENGAGEMENTS 2026'!W1546),"",'ENGAGEMENTS 2026'!W1546)</f>
        <v/>
      </c>
      <c r="L1546" s="276">
        <f>IF($K1546="","",TODAY()-$K1546)</f>
        <v/>
      </c>
      <c r="M1546">
        <f>IF($A1546="","",IF($H1546="ENGAGE","Engagé",IF(AND($H1546="NON ENGAGE",OR($I1546="INFRUCTUEUX",$I1546="ANNULE")),"Clôturé sans suite","En cours")))</f>
        <v/>
      </c>
      <c r="N1546">
        <f>IF(ISBLANK('ENGAGEMENTS 2026'!C1546),"",'ENGAGEMENTS 2026'!L1546)</f>
        <v/>
      </c>
      <c r="O1546">
        <f>IF(ISBLANK('ENGAGEMENTS 2026'!C1546),"",'ENGAGEMENTS 2026'!M1546)</f>
        <v/>
      </c>
      <c r="P1546">
        <f>IF(ISBLANK('ENGAGEMENTS 2026'!C1546),"",'ENGAGEMENTS 2026'!K1546)</f>
        <v/>
      </c>
      <c r="Q1546">
        <f>IF($A1546="","",IF(OR($E1546="INFRUCTUEUX",$E1546="ANNULE"),$A1546&amp;"|"&amp;(COUNTIFS($A$2:$A1546,$A1546,$E$2:$E1546,"INFRUCTUEUX")+COUNTIFS($A$2:$A1546,$A1546,$E$2:$E1546,"ANNULE")),""))</f>
        <v/>
      </c>
    </row>
    <row r="1547">
      <c r="A1547">
        <f>IF(ISBLANK('ENGAGEMENTS 2026'!C1547),"",IF('ENGAGEMENTS 2026'!C1547="DTSI","DCT",'ENGAGEMENTS 2026'!C1547))</f>
        <v/>
      </c>
      <c r="B1547">
        <f>IF(ISBLANK('ENGAGEMENTS 2026'!C1547),"",'ENGAGEMENTS 2026'!D1547)</f>
        <v/>
      </c>
      <c r="C1547">
        <f>IF(ISBLANK('ENGAGEMENTS 2026'!C1547),"",'ENGAGEMENTS 2026'!E1547)</f>
        <v/>
      </c>
      <c r="D1547">
        <f>IF(ISBLANK('ENGAGEMENTS 2026'!C1547),"",'ENGAGEMENTS 2026'!G1547)</f>
        <v/>
      </c>
      <c r="E1547">
        <f>IF(ISBLANK('ENGAGEMENTS 2026'!C1547),"",'ENGAGEMENTS 2026'!I1547)</f>
        <v/>
      </c>
      <c r="F1547">
        <f>IF(ISBLANK('ENGAGEMENTS 2026'!C1547),"",'ENGAGEMENTS 2026'!J1547)</f>
        <v/>
      </c>
      <c r="G1547">
        <f>IF(ISBLANK('ENGAGEMENTS 2026'!C1547),"",'ENGAGEMENTS 2026'!M1547)</f>
        <v/>
      </c>
      <c r="H1547">
        <f>IF(ISBLANK('ENGAGEMENTS 2026'!C1547),"",'ENGAGEMENTS 2026'!AF1547)</f>
        <v/>
      </c>
      <c r="I1547">
        <f>IF(ISBLANK('ENGAGEMENTS 2026'!C1547),"",'ENGAGEMENTS 2026'!H1547)</f>
        <v/>
      </c>
      <c r="J1547" s="275">
        <f>IF(ISBLANK('ENGAGEMENTS 2026'!C1547),"",IF(AND(OR($E1547="INFRUCTUEUX",$E1547="ANNULE"),$C1547="AOO-M"),'ENGAGEMENTS 2026'!P1547,IF($H1547="EN COURS DE PREENGAGEMENT",'ENGAGEMENTS 2026'!O1547,IF($H1547="PREENGAGE",IF($E1547="ATTRIBUE",'ENGAGEMENTS 2026'!AE1547,'ENGAGEMENTS 2026'!O1547),'ENGAGEMENTS 2026'!AE1547))))</f>
        <v/>
      </c>
      <c r="K1547" s="604">
        <f>IF(ISBLANK('ENGAGEMENTS 2026'!W1547),"",'ENGAGEMENTS 2026'!W1547)</f>
        <v/>
      </c>
      <c r="L1547" s="276">
        <f>IF($K1547="","",TODAY()-$K1547)</f>
        <v/>
      </c>
      <c r="M1547">
        <f>IF($A1547="","",IF($H1547="ENGAGE","Engagé",IF(AND($H1547="NON ENGAGE",OR($I1547="INFRUCTUEUX",$I1547="ANNULE")),"Clôturé sans suite","En cours")))</f>
        <v/>
      </c>
      <c r="N1547">
        <f>IF(ISBLANK('ENGAGEMENTS 2026'!C1547),"",'ENGAGEMENTS 2026'!L1547)</f>
        <v/>
      </c>
      <c r="O1547">
        <f>IF(ISBLANK('ENGAGEMENTS 2026'!C1547),"",'ENGAGEMENTS 2026'!M1547)</f>
        <v/>
      </c>
      <c r="P1547">
        <f>IF(ISBLANK('ENGAGEMENTS 2026'!C1547),"",'ENGAGEMENTS 2026'!K1547)</f>
        <v/>
      </c>
      <c r="Q1547">
        <f>IF($A1547="","",IF(OR($E1547="INFRUCTUEUX",$E1547="ANNULE"),$A1547&amp;"|"&amp;(COUNTIFS($A$2:$A1547,$A1547,$E$2:$E1547,"INFRUCTUEUX")+COUNTIFS($A$2:$A1547,$A1547,$E$2:$E1547,"ANNULE")),""))</f>
        <v/>
      </c>
    </row>
    <row r="1548">
      <c r="A1548">
        <f>IF(ISBLANK('ENGAGEMENTS 2026'!C1548),"",IF('ENGAGEMENTS 2026'!C1548="DTSI","DCT",'ENGAGEMENTS 2026'!C1548))</f>
        <v/>
      </c>
      <c r="B1548">
        <f>IF(ISBLANK('ENGAGEMENTS 2026'!C1548),"",'ENGAGEMENTS 2026'!D1548)</f>
        <v/>
      </c>
      <c r="C1548">
        <f>IF(ISBLANK('ENGAGEMENTS 2026'!C1548),"",'ENGAGEMENTS 2026'!E1548)</f>
        <v/>
      </c>
      <c r="D1548">
        <f>IF(ISBLANK('ENGAGEMENTS 2026'!C1548),"",'ENGAGEMENTS 2026'!G1548)</f>
        <v/>
      </c>
      <c r="E1548">
        <f>IF(ISBLANK('ENGAGEMENTS 2026'!C1548),"",'ENGAGEMENTS 2026'!I1548)</f>
        <v/>
      </c>
      <c r="F1548">
        <f>IF(ISBLANK('ENGAGEMENTS 2026'!C1548),"",'ENGAGEMENTS 2026'!J1548)</f>
        <v/>
      </c>
      <c r="G1548">
        <f>IF(ISBLANK('ENGAGEMENTS 2026'!C1548),"",'ENGAGEMENTS 2026'!M1548)</f>
        <v/>
      </c>
      <c r="H1548">
        <f>IF(ISBLANK('ENGAGEMENTS 2026'!C1548),"",'ENGAGEMENTS 2026'!AF1548)</f>
        <v/>
      </c>
      <c r="I1548">
        <f>IF(ISBLANK('ENGAGEMENTS 2026'!C1548),"",'ENGAGEMENTS 2026'!H1548)</f>
        <v/>
      </c>
      <c r="J1548" s="275">
        <f>IF(ISBLANK('ENGAGEMENTS 2026'!C1548),"",IF(AND(OR($E1548="INFRUCTUEUX",$E1548="ANNULE"),$C1548="AOO-M"),'ENGAGEMENTS 2026'!P1548,IF($H1548="EN COURS DE PREENGAGEMENT",'ENGAGEMENTS 2026'!O1548,IF($H1548="PREENGAGE",IF($E1548="ATTRIBUE",'ENGAGEMENTS 2026'!AE1548,'ENGAGEMENTS 2026'!O1548),'ENGAGEMENTS 2026'!AE1548))))</f>
        <v/>
      </c>
      <c r="K1548" s="604">
        <f>IF(ISBLANK('ENGAGEMENTS 2026'!W1548),"",'ENGAGEMENTS 2026'!W1548)</f>
        <v/>
      </c>
      <c r="L1548" s="276">
        <f>IF($K1548="","",TODAY()-$K1548)</f>
        <v/>
      </c>
      <c r="M1548">
        <f>IF($A1548="","",IF($H1548="ENGAGE","Engagé",IF(AND($H1548="NON ENGAGE",OR($I1548="INFRUCTUEUX",$I1548="ANNULE")),"Clôturé sans suite","En cours")))</f>
        <v/>
      </c>
      <c r="N1548">
        <f>IF(ISBLANK('ENGAGEMENTS 2026'!C1548),"",'ENGAGEMENTS 2026'!L1548)</f>
        <v/>
      </c>
      <c r="O1548">
        <f>IF(ISBLANK('ENGAGEMENTS 2026'!C1548),"",'ENGAGEMENTS 2026'!M1548)</f>
        <v/>
      </c>
      <c r="P1548">
        <f>IF(ISBLANK('ENGAGEMENTS 2026'!C1548),"",'ENGAGEMENTS 2026'!K1548)</f>
        <v/>
      </c>
      <c r="Q1548">
        <f>IF($A1548="","",IF(OR($E1548="INFRUCTUEUX",$E1548="ANNULE"),$A1548&amp;"|"&amp;(COUNTIFS($A$2:$A1548,$A1548,$E$2:$E1548,"INFRUCTUEUX")+COUNTIFS($A$2:$A1548,$A1548,$E$2:$E1548,"ANNULE")),""))</f>
        <v/>
      </c>
    </row>
    <row r="1549">
      <c r="A1549">
        <f>IF(ISBLANK('ENGAGEMENTS 2026'!C1549),"",IF('ENGAGEMENTS 2026'!C1549="DTSI","DCT",'ENGAGEMENTS 2026'!C1549))</f>
        <v/>
      </c>
      <c r="B1549">
        <f>IF(ISBLANK('ENGAGEMENTS 2026'!C1549),"",'ENGAGEMENTS 2026'!D1549)</f>
        <v/>
      </c>
      <c r="C1549">
        <f>IF(ISBLANK('ENGAGEMENTS 2026'!C1549),"",'ENGAGEMENTS 2026'!E1549)</f>
        <v/>
      </c>
      <c r="D1549">
        <f>IF(ISBLANK('ENGAGEMENTS 2026'!C1549),"",'ENGAGEMENTS 2026'!G1549)</f>
        <v/>
      </c>
      <c r="E1549">
        <f>IF(ISBLANK('ENGAGEMENTS 2026'!C1549),"",'ENGAGEMENTS 2026'!I1549)</f>
        <v/>
      </c>
      <c r="F1549">
        <f>IF(ISBLANK('ENGAGEMENTS 2026'!C1549),"",'ENGAGEMENTS 2026'!J1549)</f>
        <v/>
      </c>
      <c r="G1549">
        <f>IF(ISBLANK('ENGAGEMENTS 2026'!C1549),"",'ENGAGEMENTS 2026'!M1549)</f>
        <v/>
      </c>
      <c r="H1549">
        <f>IF(ISBLANK('ENGAGEMENTS 2026'!C1549),"",'ENGAGEMENTS 2026'!AF1549)</f>
        <v/>
      </c>
      <c r="I1549">
        <f>IF(ISBLANK('ENGAGEMENTS 2026'!C1549),"",'ENGAGEMENTS 2026'!H1549)</f>
        <v/>
      </c>
      <c r="J1549" s="275">
        <f>IF(ISBLANK('ENGAGEMENTS 2026'!C1549),"",IF(AND(OR($E1549="INFRUCTUEUX",$E1549="ANNULE"),$C1549="AOO-M"),'ENGAGEMENTS 2026'!P1549,IF($H1549="EN COURS DE PREENGAGEMENT",'ENGAGEMENTS 2026'!O1549,IF($H1549="PREENGAGE",IF($E1549="ATTRIBUE",'ENGAGEMENTS 2026'!AE1549,'ENGAGEMENTS 2026'!O1549),'ENGAGEMENTS 2026'!AE1549))))</f>
        <v/>
      </c>
      <c r="K1549" s="604">
        <f>IF(ISBLANK('ENGAGEMENTS 2026'!W1549),"",'ENGAGEMENTS 2026'!W1549)</f>
        <v/>
      </c>
      <c r="L1549" s="276">
        <f>IF($K1549="","",TODAY()-$K1549)</f>
        <v/>
      </c>
      <c r="M1549">
        <f>IF($A1549="","",IF($H1549="ENGAGE","Engagé",IF(AND($H1549="NON ENGAGE",OR($I1549="INFRUCTUEUX",$I1549="ANNULE")),"Clôturé sans suite","En cours")))</f>
        <v/>
      </c>
      <c r="N1549">
        <f>IF(ISBLANK('ENGAGEMENTS 2026'!C1549),"",'ENGAGEMENTS 2026'!L1549)</f>
        <v/>
      </c>
      <c r="O1549">
        <f>IF(ISBLANK('ENGAGEMENTS 2026'!C1549),"",'ENGAGEMENTS 2026'!M1549)</f>
        <v/>
      </c>
      <c r="P1549">
        <f>IF(ISBLANK('ENGAGEMENTS 2026'!C1549),"",'ENGAGEMENTS 2026'!K1549)</f>
        <v/>
      </c>
      <c r="Q1549">
        <f>IF($A1549="","",IF(OR($E1549="INFRUCTUEUX",$E1549="ANNULE"),$A1549&amp;"|"&amp;(COUNTIFS($A$2:$A1549,$A1549,$E$2:$E1549,"INFRUCTUEUX")+COUNTIFS($A$2:$A1549,$A1549,$E$2:$E1549,"ANNULE")),""))</f>
        <v/>
      </c>
    </row>
    <row r="1550">
      <c r="A1550">
        <f>IF(ISBLANK('ENGAGEMENTS 2026'!C1550),"",IF('ENGAGEMENTS 2026'!C1550="DTSI","DCT",'ENGAGEMENTS 2026'!C1550))</f>
        <v/>
      </c>
      <c r="B1550">
        <f>IF(ISBLANK('ENGAGEMENTS 2026'!C1550),"",'ENGAGEMENTS 2026'!D1550)</f>
        <v/>
      </c>
      <c r="C1550">
        <f>IF(ISBLANK('ENGAGEMENTS 2026'!C1550),"",'ENGAGEMENTS 2026'!E1550)</f>
        <v/>
      </c>
      <c r="D1550">
        <f>IF(ISBLANK('ENGAGEMENTS 2026'!C1550),"",'ENGAGEMENTS 2026'!G1550)</f>
        <v/>
      </c>
      <c r="E1550">
        <f>IF(ISBLANK('ENGAGEMENTS 2026'!C1550),"",'ENGAGEMENTS 2026'!I1550)</f>
        <v/>
      </c>
      <c r="F1550">
        <f>IF(ISBLANK('ENGAGEMENTS 2026'!C1550),"",'ENGAGEMENTS 2026'!J1550)</f>
        <v/>
      </c>
      <c r="G1550">
        <f>IF(ISBLANK('ENGAGEMENTS 2026'!C1550),"",'ENGAGEMENTS 2026'!M1550)</f>
        <v/>
      </c>
      <c r="H1550">
        <f>IF(ISBLANK('ENGAGEMENTS 2026'!C1550),"",'ENGAGEMENTS 2026'!AF1550)</f>
        <v/>
      </c>
      <c r="I1550">
        <f>IF(ISBLANK('ENGAGEMENTS 2026'!C1550),"",'ENGAGEMENTS 2026'!H1550)</f>
        <v/>
      </c>
      <c r="J1550" s="275">
        <f>IF(ISBLANK('ENGAGEMENTS 2026'!C1550),"",IF(AND(OR($E1550="INFRUCTUEUX",$E1550="ANNULE"),$C1550="AOO-M"),'ENGAGEMENTS 2026'!P1550,IF($H1550="EN COURS DE PREENGAGEMENT",'ENGAGEMENTS 2026'!O1550,IF($H1550="PREENGAGE",IF($E1550="ATTRIBUE",'ENGAGEMENTS 2026'!AE1550,'ENGAGEMENTS 2026'!O1550),'ENGAGEMENTS 2026'!AE1550))))</f>
        <v/>
      </c>
      <c r="K1550" s="604">
        <f>IF(ISBLANK('ENGAGEMENTS 2026'!W1550),"",'ENGAGEMENTS 2026'!W1550)</f>
        <v/>
      </c>
      <c r="L1550" s="276">
        <f>IF($K1550="","",TODAY()-$K1550)</f>
        <v/>
      </c>
      <c r="M1550">
        <f>IF($A1550="","",IF($H1550="ENGAGE","Engagé",IF(AND($H1550="NON ENGAGE",OR($I1550="INFRUCTUEUX",$I1550="ANNULE")),"Clôturé sans suite","En cours")))</f>
        <v/>
      </c>
      <c r="N1550">
        <f>IF(ISBLANK('ENGAGEMENTS 2026'!C1550),"",'ENGAGEMENTS 2026'!L1550)</f>
        <v/>
      </c>
      <c r="O1550">
        <f>IF(ISBLANK('ENGAGEMENTS 2026'!C1550),"",'ENGAGEMENTS 2026'!M1550)</f>
        <v/>
      </c>
      <c r="P1550">
        <f>IF(ISBLANK('ENGAGEMENTS 2026'!C1550),"",'ENGAGEMENTS 2026'!K1550)</f>
        <v/>
      </c>
      <c r="Q1550">
        <f>IF($A1550="","",IF(OR($E1550="INFRUCTUEUX",$E1550="ANNULE"),$A1550&amp;"|"&amp;(COUNTIFS($A$2:$A1550,$A1550,$E$2:$E1550,"INFRUCTUEUX")+COUNTIFS($A$2:$A1550,$A1550,$E$2:$E1550,"ANNULE")),""))</f>
        <v/>
      </c>
    </row>
    <row r="1551">
      <c r="A1551">
        <f>IF(ISBLANK('ENGAGEMENTS 2026'!C1551),"",IF('ENGAGEMENTS 2026'!C1551="DTSI","DCT",'ENGAGEMENTS 2026'!C1551))</f>
        <v/>
      </c>
      <c r="B1551">
        <f>IF(ISBLANK('ENGAGEMENTS 2026'!C1551),"",'ENGAGEMENTS 2026'!D1551)</f>
        <v/>
      </c>
      <c r="C1551">
        <f>IF(ISBLANK('ENGAGEMENTS 2026'!C1551),"",'ENGAGEMENTS 2026'!E1551)</f>
        <v/>
      </c>
      <c r="D1551">
        <f>IF(ISBLANK('ENGAGEMENTS 2026'!C1551),"",'ENGAGEMENTS 2026'!G1551)</f>
        <v/>
      </c>
      <c r="E1551">
        <f>IF(ISBLANK('ENGAGEMENTS 2026'!C1551),"",'ENGAGEMENTS 2026'!I1551)</f>
        <v/>
      </c>
      <c r="F1551">
        <f>IF(ISBLANK('ENGAGEMENTS 2026'!C1551),"",'ENGAGEMENTS 2026'!J1551)</f>
        <v/>
      </c>
      <c r="G1551">
        <f>IF(ISBLANK('ENGAGEMENTS 2026'!C1551),"",'ENGAGEMENTS 2026'!M1551)</f>
        <v/>
      </c>
      <c r="H1551">
        <f>IF(ISBLANK('ENGAGEMENTS 2026'!C1551),"",'ENGAGEMENTS 2026'!AF1551)</f>
        <v/>
      </c>
      <c r="I1551">
        <f>IF(ISBLANK('ENGAGEMENTS 2026'!C1551),"",'ENGAGEMENTS 2026'!H1551)</f>
        <v/>
      </c>
      <c r="J1551" s="275">
        <f>IF(ISBLANK('ENGAGEMENTS 2026'!C1551),"",IF(AND(OR($E1551="INFRUCTUEUX",$E1551="ANNULE"),$C1551="AOO-M"),'ENGAGEMENTS 2026'!P1551,IF($H1551="EN COURS DE PREENGAGEMENT",'ENGAGEMENTS 2026'!O1551,IF($H1551="PREENGAGE",IF($E1551="ATTRIBUE",'ENGAGEMENTS 2026'!AE1551,'ENGAGEMENTS 2026'!O1551),'ENGAGEMENTS 2026'!AE1551))))</f>
        <v/>
      </c>
      <c r="K1551" s="604">
        <f>IF(ISBLANK('ENGAGEMENTS 2026'!W1551),"",'ENGAGEMENTS 2026'!W1551)</f>
        <v/>
      </c>
      <c r="L1551" s="276">
        <f>IF($K1551="","",TODAY()-$K1551)</f>
        <v/>
      </c>
      <c r="M1551">
        <f>IF($A1551="","",IF($H1551="ENGAGE","Engagé",IF(AND($H1551="NON ENGAGE",OR($I1551="INFRUCTUEUX",$I1551="ANNULE")),"Clôturé sans suite","En cours")))</f>
        <v/>
      </c>
      <c r="N1551">
        <f>IF(ISBLANK('ENGAGEMENTS 2026'!C1551),"",'ENGAGEMENTS 2026'!L1551)</f>
        <v/>
      </c>
      <c r="O1551">
        <f>IF(ISBLANK('ENGAGEMENTS 2026'!C1551),"",'ENGAGEMENTS 2026'!M1551)</f>
        <v/>
      </c>
      <c r="P1551">
        <f>IF(ISBLANK('ENGAGEMENTS 2026'!C1551),"",'ENGAGEMENTS 2026'!K1551)</f>
        <v/>
      </c>
      <c r="Q1551">
        <f>IF($A1551="","",IF(OR($E1551="INFRUCTUEUX",$E1551="ANNULE"),$A1551&amp;"|"&amp;(COUNTIFS($A$2:$A1551,$A1551,$E$2:$E1551,"INFRUCTUEUX")+COUNTIFS($A$2:$A1551,$A1551,$E$2:$E1551,"ANNULE")),""))</f>
        <v/>
      </c>
    </row>
    <row r="1552">
      <c r="A1552">
        <f>IF(ISBLANK('ENGAGEMENTS 2026'!C1552),"",IF('ENGAGEMENTS 2026'!C1552="DTSI","DCT",'ENGAGEMENTS 2026'!C1552))</f>
        <v/>
      </c>
      <c r="B1552">
        <f>IF(ISBLANK('ENGAGEMENTS 2026'!C1552),"",'ENGAGEMENTS 2026'!D1552)</f>
        <v/>
      </c>
      <c r="C1552">
        <f>IF(ISBLANK('ENGAGEMENTS 2026'!C1552),"",'ENGAGEMENTS 2026'!E1552)</f>
        <v/>
      </c>
      <c r="D1552">
        <f>IF(ISBLANK('ENGAGEMENTS 2026'!C1552),"",'ENGAGEMENTS 2026'!G1552)</f>
        <v/>
      </c>
      <c r="E1552">
        <f>IF(ISBLANK('ENGAGEMENTS 2026'!C1552),"",'ENGAGEMENTS 2026'!I1552)</f>
        <v/>
      </c>
      <c r="F1552">
        <f>IF(ISBLANK('ENGAGEMENTS 2026'!C1552),"",'ENGAGEMENTS 2026'!J1552)</f>
        <v/>
      </c>
      <c r="G1552">
        <f>IF(ISBLANK('ENGAGEMENTS 2026'!C1552),"",'ENGAGEMENTS 2026'!M1552)</f>
        <v/>
      </c>
      <c r="H1552">
        <f>IF(ISBLANK('ENGAGEMENTS 2026'!C1552),"",'ENGAGEMENTS 2026'!AF1552)</f>
        <v/>
      </c>
      <c r="I1552">
        <f>IF(ISBLANK('ENGAGEMENTS 2026'!C1552),"",'ENGAGEMENTS 2026'!H1552)</f>
        <v/>
      </c>
      <c r="J1552" s="275">
        <f>IF(ISBLANK('ENGAGEMENTS 2026'!C1552),"",IF(AND(OR($E1552="INFRUCTUEUX",$E1552="ANNULE"),$C1552="AOO-M"),'ENGAGEMENTS 2026'!P1552,IF($H1552="EN COURS DE PREENGAGEMENT",'ENGAGEMENTS 2026'!O1552,IF($H1552="PREENGAGE",IF($E1552="ATTRIBUE",'ENGAGEMENTS 2026'!AE1552,'ENGAGEMENTS 2026'!O1552),'ENGAGEMENTS 2026'!AE1552))))</f>
        <v/>
      </c>
      <c r="K1552" s="604">
        <f>IF(ISBLANK('ENGAGEMENTS 2026'!W1552),"",'ENGAGEMENTS 2026'!W1552)</f>
        <v/>
      </c>
      <c r="L1552" s="276">
        <f>IF($K1552="","",TODAY()-$K1552)</f>
        <v/>
      </c>
      <c r="M1552">
        <f>IF($A1552="","",IF($H1552="ENGAGE","Engagé",IF(AND($H1552="NON ENGAGE",OR($I1552="INFRUCTUEUX",$I1552="ANNULE")),"Clôturé sans suite","En cours")))</f>
        <v/>
      </c>
      <c r="N1552">
        <f>IF(ISBLANK('ENGAGEMENTS 2026'!C1552),"",'ENGAGEMENTS 2026'!L1552)</f>
        <v/>
      </c>
      <c r="O1552">
        <f>IF(ISBLANK('ENGAGEMENTS 2026'!C1552),"",'ENGAGEMENTS 2026'!M1552)</f>
        <v/>
      </c>
      <c r="P1552">
        <f>IF(ISBLANK('ENGAGEMENTS 2026'!C1552),"",'ENGAGEMENTS 2026'!K1552)</f>
        <v/>
      </c>
      <c r="Q1552">
        <f>IF($A1552="","",IF(OR($E1552="INFRUCTUEUX",$E1552="ANNULE"),$A1552&amp;"|"&amp;(COUNTIFS($A$2:$A1552,$A1552,$E$2:$E1552,"INFRUCTUEUX")+COUNTIFS($A$2:$A1552,$A1552,$E$2:$E1552,"ANNULE")),""))</f>
        <v/>
      </c>
    </row>
    <row r="1553">
      <c r="A1553">
        <f>IF(ISBLANK('ENGAGEMENTS 2026'!C1553),"",IF('ENGAGEMENTS 2026'!C1553="DTSI","DCT",'ENGAGEMENTS 2026'!C1553))</f>
        <v/>
      </c>
      <c r="B1553">
        <f>IF(ISBLANK('ENGAGEMENTS 2026'!C1553),"",'ENGAGEMENTS 2026'!D1553)</f>
        <v/>
      </c>
      <c r="C1553">
        <f>IF(ISBLANK('ENGAGEMENTS 2026'!C1553),"",'ENGAGEMENTS 2026'!E1553)</f>
        <v/>
      </c>
      <c r="D1553">
        <f>IF(ISBLANK('ENGAGEMENTS 2026'!C1553),"",'ENGAGEMENTS 2026'!G1553)</f>
        <v/>
      </c>
      <c r="E1553">
        <f>IF(ISBLANK('ENGAGEMENTS 2026'!C1553),"",'ENGAGEMENTS 2026'!I1553)</f>
        <v/>
      </c>
      <c r="F1553">
        <f>IF(ISBLANK('ENGAGEMENTS 2026'!C1553),"",'ENGAGEMENTS 2026'!J1553)</f>
        <v/>
      </c>
      <c r="G1553">
        <f>IF(ISBLANK('ENGAGEMENTS 2026'!C1553),"",'ENGAGEMENTS 2026'!M1553)</f>
        <v/>
      </c>
      <c r="H1553">
        <f>IF(ISBLANK('ENGAGEMENTS 2026'!C1553),"",'ENGAGEMENTS 2026'!AF1553)</f>
        <v/>
      </c>
      <c r="I1553">
        <f>IF(ISBLANK('ENGAGEMENTS 2026'!C1553),"",'ENGAGEMENTS 2026'!H1553)</f>
        <v/>
      </c>
      <c r="J1553" s="275">
        <f>IF(ISBLANK('ENGAGEMENTS 2026'!C1553),"",IF(AND(OR($E1553="INFRUCTUEUX",$E1553="ANNULE"),$C1553="AOO-M"),'ENGAGEMENTS 2026'!P1553,IF($H1553="EN COURS DE PREENGAGEMENT",'ENGAGEMENTS 2026'!O1553,IF($H1553="PREENGAGE",IF($E1553="ATTRIBUE",'ENGAGEMENTS 2026'!AE1553,'ENGAGEMENTS 2026'!O1553),'ENGAGEMENTS 2026'!AE1553))))</f>
        <v/>
      </c>
      <c r="K1553" s="604">
        <f>IF(ISBLANK('ENGAGEMENTS 2026'!W1553),"",'ENGAGEMENTS 2026'!W1553)</f>
        <v/>
      </c>
      <c r="L1553" s="276">
        <f>IF($K1553="","",TODAY()-$K1553)</f>
        <v/>
      </c>
      <c r="M1553">
        <f>IF($A1553="","",IF($H1553="ENGAGE","Engagé",IF(AND($H1553="NON ENGAGE",OR($I1553="INFRUCTUEUX",$I1553="ANNULE")),"Clôturé sans suite","En cours")))</f>
        <v/>
      </c>
      <c r="N1553">
        <f>IF(ISBLANK('ENGAGEMENTS 2026'!C1553),"",'ENGAGEMENTS 2026'!L1553)</f>
        <v/>
      </c>
      <c r="O1553">
        <f>IF(ISBLANK('ENGAGEMENTS 2026'!C1553),"",'ENGAGEMENTS 2026'!M1553)</f>
        <v/>
      </c>
      <c r="P1553">
        <f>IF(ISBLANK('ENGAGEMENTS 2026'!C1553),"",'ENGAGEMENTS 2026'!K1553)</f>
        <v/>
      </c>
      <c r="Q1553">
        <f>IF($A1553="","",IF(OR($E1553="INFRUCTUEUX",$E1553="ANNULE"),$A1553&amp;"|"&amp;(COUNTIFS($A$2:$A1553,$A1553,$E$2:$E1553,"INFRUCTUEUX")+COUNTIFS($A$2:$A1553,$A1553,$E$2:$E1553,"ANNULE")),""))</f>
        <v/>
      </c>
    </row>
    <row r="1554">
      <c r="A1554">
        <f>IF(ISBLANK('ENGAGEMENTS 2026'!C1554),"",IF('ENGAGEMENTS 2026'!C1554="DTSI","DCT",'ENGAGEMENTS 2026'!C1554))</f>
        <v/>
      </c>
      <c r="B1554">
        <f>IF(ISBLANK('ENGAGEMENTS 2026'!C1554),"",'ENGAGEMENTS 2026'!D1554)</f>
        <v/>
      </c>
      <c r="C1554">
        <f>IF(ISBLANK('ENGAGEMENTS 2026'!C1554),"",'ENGAGEMENTS 2026'!E1554)</f>
        <v/>
      </c>
      <c r="D1554">
        <f>IF(ISBLANK('ENGAGEMENTS 2026'!C1554),"",'ENGAGEMENTS 2026'!G1554)</f>
        <v/>
      </c>
      <c r="E1554">
        <f>IF(ISBLANK('ENGAGEMENTS 2026'!C1554),"",'ENGAGEMENTS 2026'!I1554)</f>
        <v/>
      </c>
      <c r="F1554">
        <f>IF(ISBLANK('ENGAGEMENTS 2026'!C1554),"",'ENGAGEMENTS 2026'!J1554)</f>
        <v/>
      </c>
      <c r="G1554">
        <f>IF(ISBLANK('ENGAGEMENTS 2026'!C1554),"",'ENGAGEMENTS 2026'!M1554)</f>
        <v/>
      </c>
      <c r="H1554">
        <f>IF(ISBLANK('ENGAGEMENTS 2026'!C1554),"",'ENGAGEMENTS 2026'!AF1554)</f>
        <v/>
      </c>
      <c r="I1554">
        <f>IF(ISBLANK('ENGAGEMENTS 2026'!C1554),"",'ENGAGEMENTS 2026'!H1554)</f>
        <v/>
      </c>
      <c r="J1554" s="275">
        <f>IF(ISBLANK('ENGAGEMENTS 2026'!C1554),"",IF(AND(OR($E1554="INFRUCTUEUX",$E1554="ANNULE"),$C1554="AOO-M"),'ENGAGEMENTS 2026'!P1554,IF($H1554="EN COURS DE PREENGAGEMENT",'ENGAGEMENTS 2026'!O1554,IF($H1554="PREENGAGE",IF($E1554="ATTRIBUE",'ENGAGEMENTS 2026'!AE1554,'ENGAGEMENTS 2026'!O1554),'ENGAGEMENTS 2026'!AE1554))))</f>
        <v/>
      </c>
      <c r="K1554" s="604">
        <f>IF(ISBLANK('ENGAGEMENTS 2026'!W1554),"",'ENGAGEMENTS 2026'!W1554)</f>
        <v/>
      </c>
      <c r="L1554" s="276">
        <f>IF($K1554="","",TODAY()-$K1554)</f>
        <v/>
      </c>
      <c r="M1554">
        <f>IF($A1554="","",IF($H1554="ENGAGE","Engagé",IF(AND($H1554="NON ENGAGE",OR($I1554="INFRUCTUEUX",$I1554="ANNULE")),"Clôturé sans suite","En cours")))</f>
        <v/>
      </c>
      <c r="N1554">
        <f>IF(ISBLANK('ENGAGEMENTS 2026'!C1554),"",'ENGAGEMENTS 2026'!L1554)</f>
        <v/>
      </c>
      <c r="O1554">
        <f>IF(ISBLANK('ENGAGEMENTS 2026'!C1554),"",'ENGAGEMENTS 2026'!M1554)</f>
        <v/>
      </c>
      <c r="P1554">
        <f>IF(ISBLANK('ENGAGEMENTS 2026'!C1554),"",'ENGAGEMENTS 2026'!K1554)</f>
        <v/>
      </c>
      <c r="Q1554">
        <f>IF($A1554="","",IF(OR($E1554="INFRUCTUEUX",$E1554="ANNULE"),$A1554&amp;"|"&amp;(COUNTIFS($A$2:$A1554,$A1554,$E$2:$E1554,"INFRUCTUEUX")+COUNTIFS($A$2:$A1554,$A1554,$E$2:$E1554,"ANNULE")),""))</f>
        <v/>
      </c>
    </row>
    <row r="1555">
      <c r="A1555">
        <f>IF(ISBLANK('ENGAGEMENTS 2026'!C1555),"",IF('ENGAGEMENTS 2026'!C1555="DTSI","DCT",'ENGAGEMENTS 2026'!C1555))</f>
        <v/>
      </c>
      <c r="B1555">
        <f>IF(ISBLANK('ENGAGEMENTS 2026'!C1555),"",'ENGAGEMENTS 2026'!D1555)</f>
        <v/>
      </c>
      <c r="C1555">
        <f>IF(ISBLANK('ENGAGEMENTS 2026'!C1555),"",'ENGAGEMENTS 2026'!E1555)</f>
        <v/>
      </c>
      <c r="D1555">
        <f>IF(ISBLANK('ENGAGEMENTS 2026'!C1555),"",'ENGAGEMENTS 2026'!G1555)</f>
        <v/>
      </c>
      <c r="E1555">
        <f>IF(ISBLANK('ENGAGEMENTS 2026'!C1555),"",'ENGAGEMENTS 2026'!I1555)</f>
        <v/>
      </c>
      <c r="F1555">
        <f>IF(ISBLANK('ENGAGEMENTS 2026'!C1555),"",'ENGAGEMENTS 2026'!J1555)</f>
        <v/>
      </c>
      <c r="G1555">
        <f>IF(ISBLANK('ENGAGEMENTS 2026'!C1555),"",'ENGAGEMENTS 2026'!M1555)</f>
        <v/>
      </c>
      <c r="H1555">
        <f>IF(ISBLANK('ENGAGEMENTS 2026'!C1555),"",'ENGAGEMENTS 2026'!AF1555)</f>
        <v/>
      </c>
      <c r="I1555">
        <f>IF(ISBLANK('ENGAGEMENTS 2026'!C1555),"",'ENGAGEMENTS 2026'!H1555)</f>
        <v/>
      </c>
      <c r="J1555" s="275">
        <f>IF(ISBLANK('ENGAGEMENTS 2026'!C1555),"",IF(AND(OR($E1555="INFRUCTUEUX",$E1555="ANNULE"),$C1555="AOO-M"),'ENGAGEMENTS 2026'!P1555,IF($H1555="EN COURS DE PREENGAGEMENT",'ENGAGEMENTS 2026'!O1555,IF($H1555="PREENGAGE",IF($E1555="ATTRIBUE",'ENGAGEMENTS 2026'!AE1555,'ENGAGEMENTS 2026'!O1555),'ENGAGEMENTS 2026'!AE1555))))</f>
        <v/>
      </c>
      <c r="K1555" s="604">
        <f>IF(ISBLANK('ENGAGEMENTS 2026'!W1555),"",'ENGAGEMENTS 2026'!W1555)</f>
        <v/>
      </c>
      <c r="L1555" s="276">
        <f>IF($K1555="","",TODAY()-$K1555)</f>
        <v/>
      </c>
      <c r="M1555">
        <f>IF($A1555="","",IF($H1555="ENGAGE","Engagé",IF(AND($H1555="NON ENGAGE",OR($I1555="INFRUCTUEUX",$I1555="ANNULE")),"Clôturé sans suite","En cours")))</f>
        <v/>
      </c>
      <c r="N1555">
        <f>IF(ISBLANK('ENGAGEMENTS 2026'!C1555),"",'ENGAGEMENTS 2026'!L1555)</f>
        <v/>
      </c>
      <c r="O1555">
        <f>IF(ISBLANK('ENGAGEMENTS 2026'!C1555),"",'ENGAGEMENTS 2026'!M1555)</f>
        <v/>
      </c>
      <c r="P1555">
        <f>IF(ISBLANK('ENGAGEMENTS 2026'!C1555),"",'ENGAGEMENTS 2026'!K1555)</f>
        <v/>
      </c>
      <c r="Q1555">
        <f>IF($A1555="","",IF(OR($E1555="INFRUCTUEUX",$E1555="ANNULE"),$A1555&amp;"|"&amp;(COUNTIFS($A$2:$A1555,$A1555,$E$2:$E1555,"INFRUCTUEUX")+COUNTIFS($A$2:$A1555,$A1555,$E$2:$E1555,"ANNULE")),""))</f>
        <v/>
      </c>
    </row>
    <row r="1556">
      <c r="A1556">
        <f>IF(ISBLANK('ENGAGEMENTS 2026'!C1556),"",IF('ENGAGEMENTS 2026'!C1556="DTSI","DCT",'ENGAGEMENTS 2026'!C1556))</f>
        <v/>
      </c>
      <c r="B1556">
        <f>IF(ISBLANK('ENGAGEMENTS 2026'!C1556),"",'ENGAGEMENTS 2026'!D1556)</f>
        <v/>
      </c>
      <c r="C1556">
        <f>IF(ISBLANK('ENGAGEMENTS 2026'!C1556),"",'ENGAGEMENTS 2026'!E1556)</f>
        <v/>
      </c>
      <c r="D1556">
        <f>IF(ISBLANK('ENGAGEMENTS 2026'!C1556),"",'ENGAGEMENTS 2026'!G1556)</f>
        <v/>
      </c>
      <c r="E1556">
        <f>IF(ISBLANK('ENGAGEMENTS 2026'!C1556),"",'ENGAGEMENTS 2026'!I1556)</f>
        <v/>
      </c>
      <c r="F1556">
        <f>IF(ISBLANK('ENGAGEMENTS 2026'!C1556),"",'ENGAGEMENTS 2026'!J1556)</f>
        <v/>
      </c>
      <c r="G1556">
        <f>IF(ISBLANK('ENGAGEMENTS 2026'!C1556),"",'ENGAGEMENTS 2026'!M1556)</f>
        <v/>
      </c>
      <c r="H1556">
        <f>IF(ISBLANK('ENGAGEMENTS 2026'!C1556),"",'ENGAGEMENTS 2026'!AF1556)</f>
        <v/>
      </c>
      <c r="I1556">
        <f>IF(ISBLANK('ENGAGEMENTS 2026'!C1556),"",'ENGAGEMENTS 2026'!H1556)</f>
        <v/>
      </c>
      <c r="J1556" s="275">
        <f>IF(ISBLANK('ENGAGEMENTS 2026'!C1556),"",IF(AND(OR($E1556="INFRUCTUEUX",$E1556="ANNULE"),$C1556="AOO-M"),'ENGAGEMENTS 2026'!P1556,IF($H1556="EN COURS DE PREENGAGEMENT",'ENGAGEMENTS 2026'!O1556,IF($H1556="PREENGAGE",IF($E1556="ATTRIBUE",'ENGAGEMENTS 2026'!AE1556,'ENGAGEMENTS 2026'!O1556),'ENGAGEMENTS 2026'!AE1556))))</f>
        <v/>
      </c>
      <c r="K1556" s="604">
        <f>IF(ISBLANK('ENGAGEMENTS 2026'!W1556),"",'ENGAGEMENTS 2026'!W1556)</f>
        <v/>
      </c>
      <c r="L1556" s="276">
        <f>IF($K1556="","",TODAY()-$K1556)</f>
        <v/>
      </c>
      <c r="M1556">
        <f>IF($A1556="","",IF($H1556="ENGAGE","Engagé",IF(AND($H1556="NON ENGAGE",OR($I1556="INFRUCTUEUX",$I1556="ANNULE")),"Clôturé sans suite","En cours")))</f>
        <v/>
      </c>
      <c r="N1556">
        <f>IF(ISBLANK('ENGAGEMENTS 2026'!C1556),"",'ENGAGEMENTS 2026'!L1556)</f>
        <v/>
      </c>
      <c r="O1556">
        <f>IF(ISBLANK('ENGAGEMENTS 2026'!C1556),"",'ENGAGEMENTS 2026'!M1556)</f>
        <v/>
      </c>
      <c r="P1556">
        <f>IF(ISBLANK('ENGAGEMENTS 2026'!C1556),"",'ENGAGEMENTS 2026'!K1556)</f>
        <v/>
      </c>
      <c r="Q1556">
        <f>IF($A1556="","",IF(OR($E1556="INFRUCTUEUX",$E1556="ANNULE"),$A1556&amp;"|"&amp;(COUNTIFS($A$2:$A1556,$A1556,$E$2:$E1556,"INFRUCTUEUX")+COUNTIFS($A$2:$A1556,$A1556,$E$2:$E1556,"ANNULE")),""))</f>
        <v/>
      </c>
    </row>
    <row r="1557">
      <c r="A1557">
        <f>IF(ISBLANK('ENGAGEMENTS 2026'!C1557),"",IF('ENGAGEMENTS 2026'!C1557="DTSI","DCT",'ENGAGEMENTS 2026'!C1557))</f>
        <v/>
      </c>
      <c r="B1557">
        <f>IF(ISBLANK('ENGAGEMENTS 2026'!C1557),"",'ENGAGEMENTS 2026'!D1557)</f>
        <v/>
      </c>
      <c r="C1557">
        <f>IF(ISBLANK('ENGAGEMENTS 2026'!C1557),"",'ENGAGEMENTS 2026'!E1557)</f>
        <v/>
      </c>
      <c r="D1557">
        <f>IF(ISBLANK('ENGAGEMENTS 2026'!C1557),"",'ENGAGEMENTS 2026'!G1557)</f>
        <v/>
      </c>
      <c r="E1557">
        <f>IF(ISBLANK('ENGAGEMENTS 2026'!C1557),"",'ENGAGEMENTS 2026'!I1557)</f>
        <v/>
      </c>
      <c r="F1557">
        <f>IF(ISBLANK('ENGAGEMENTS 2026'!C1557),"",'ENGAGEMENTS 2026'!J1557)</f>
        <v/>
      </c>
      <c r="G1557">
        <f>IF(ISBLANK('ENGAGEMENTS 2026'!C1557),"",'ENGAGEMENTS 2026'!M1557)</f>
        <v/>
      </c>
      <c r="H1557">
        <f>IF(ISBLANK('ENGAGEMENTS 2026'!C1557),"",'ENGAGEMENTS 2026'!AF1557)</f>
        <v/>
      </c>
      <c r="I1557">
        <f>IF(ISBLANK('ENGAGEMENTS 2026'!C1557),"",'ENGAGEMENTS 2026'!H1557)</f>
        <v/>
      </c>
      <c r="J1557" s="275">
        <f>IF(ISBLANK('ENGAGEMENTS 2026'!C1557),"",IF(AND(OR($E1557="INFRUCTUEUX",$E1557="ANNULE"),$C1557="AOO-M"),'ENGAGEMENTS 2026'!P1557,IF($H1557="EN COURS DE PREENGAGEMENT",'ENGAGEMENTS 2026'!O1557,IF($H1557="PREENGAGE",IF($E1557="ATTRIBUE",'ENGAGEMENTS 2026'!AE1557,'ENGAGEMENTS 2026'!O1557),'ENGAGEMENTS 2026'!AE1557))))</f>
        <v/>
      </c>
      <c r="K1557" s="604">
        <f>IF(ISBLANK('ENGAGEMENTS 2026'!W1557),"",'ENGAGEMENTS 2026'!W1557)</f>
        <v/>
      </c>
      <c r="L1557" s="276">
        <f>IF($K1557="","",TODAY()-$K1557)</f>
        <v/>
      </c>
      <c r="M1557">
        <f>IF($A1557="","",IF($H1557="ENGAGE","Engagé",IF(AND($H1557="NON ENGAGE",OR($I1557="INFRUCTUEUX",$I1557="ANNULE")),"Clôturé sans suite","En cours")))</f>
        <v/>
      </c>
      <c r="N1557">
        <f>IF(ISBLANK('ENGAGEMENTS 2026'!C1557),"",'ENGAGEMENTS 2026'!L1557)</f>
        <v/>
      </c>
      <c r="O1557">
        <f>IF(ISBLANK('ENGAGEMENTS 2026'!C1557),"",'ENGAGEMENTS 2026'!M1557)</f>
        <v/>
      </c>
      <c r="P1557">
        <f>IF(ISBLANK('ENGAGEMENTS 2026'!C1557),"",'ENGAGEMENTS 2026'!K1557)</f>
        <v/>
      </c>
      <c r="Q1557">
        <f>IF($A1557="","",IF(OR($E1557="INFRUCTUEUX",$E1557="ANNULE"),$A1557&amp;"|"&amp;(COUNTIFS($A$2:$A1557,$A1557,$E$2:$E1557,"INFRUCTUEUX")+COUNTIFS($A$2:$A1557,$A1557,$E$2:$E1557,"ANNULE")),""))</f>
        <v/>
      </c>
    </row>
    <row r="1558">
      <c r="A1558">
        <f>IF(ISBLANK('ENGAGEMENTS 2026'!C1558),"",IF('ENGAGEMENTS 2026'!C1558="DTSI","DCT",'ENGAGEMENTS 2026'!C1558))</f>
        <v/>
      </c>
      <c r="B1558">
        <f>IF(ISBLANK('ENGAGEMENTS 2026'!C1558),"",'ENGAGEMENTS 2026'!D1558)</f>
        <v/>
      </c>
      <c r="C1558">
        <f>IF(ISBLANK('ENGAGEMENTS 2026'!C1558),"",'ENGAGEMENTS 2026'!E1558)</f>
        <v/>
      </c>
      <c r="D1558">
        <f>IF(ISBLANK('ENGAGEMENTS 2026'!C1558),"",'ENGAGEMENTS 2026'!G1558)</f>
        <v/>
      </c>
      <c r="E1558">
        <f>IF(ISBLANK('ENGAGEMENTS 2026'!C1558),"",'ENGAGEMENTS 2026'!I1558)</f>
        <v/>
      </c>
      <c r="F1558">
        <f>IF(ISBLANK('ENGAGEMENTS 2026'!C1558),"",'ENGAGEMENTS 2026'!J1558)</f>
        <v/>
      </c>
      <c r="G1558">
        <f>IF(ISBLANK('ENGAGEMENTS 2026'!C1558),"",'ENGAGEMENTS 2026'!M1558)</f>
        <v/>
      </c>
      <c r="H1558">
        <f>IF(ISBLANK('ENGAGEMENTS 2026'!C1558),"",'ENGAGEMENTS 2026'!AF1558)</f>
        <v/>
      </c>
      <c r="I1558">
        <f>IF(ISBLANK('ENGAGEMENTS 2026'!C1558),"",'ENGAGEMENTS 2026'!H1558)</f>
        <v/>
      </c>
      <c r="J1558" s="275">
        <f>IF(ISBLANK('ENGAGEMENTS 2026'!C1558),"",IF(AND(OR($E1558="INFRUCTUEUX",$E1558="ANNULE"),$C1558="AOO-M"),'ENGAGEMENTS 2026'!P1558,IF($H1558="EN COURS DE PREENGAGEMENT",'ENGAGEMENTS 2026'!O1558,IF($H1558="PREENGAGE",IF($E1558="ATTRIBUE",'ENGAGEMENTS 2026'!AE1558,'ENGAGEMENTS 2026'!O1558),'ENGAGEMENTS 2026'!AE1558))))</f>
        <v/>
      </c>
      <c r="K1558" s="604">
        <f>IF(ISBLANK('ENGAGEMENTS 2026'!W1558),"",'ENGAGEMENTS 2026'!W1558)</f>
        <v/>
      </c>
      <c r="L1558" s="276">
        <f>IF($K1558="","",TODAY()-$K1558)</f>
        <v/>
      </c>
      <c r="M1558">
        <f>IF($A1558="","",IF($H1558="ENGAGE","Engagé",IF(AND($H1558="NON ENGAGE",OR($I1558="INFRUCTUEUX",$I1558="ANNULE")),"Clôturé sans suite","En cours")))</f>
        <v/>
      </c>
      <c r="N1558">
        <f>IF(ISBLANK('ENGAGEMENTS 2026'!C1558),"",'ENGAGEMENTS 2026'!L1558)</f>
        <v/>
      </c>
      <c r="O1558">
        <f>IF(ISBLANK('ENGAGEMENTS 2026'!C1558),"",'ENGAGEMENTS 2026'!M1558)</f>
        <v/>
      </c>
      <c r="P1558">
        <f>IF(ISBLANK('ENGAGEMENTS 2026'!C1558),"",'ENGAGEMENTS 2026'!K1558)</f>
        <v/>
      </c>
      <c r="Q1558">
        <f>IF($A1558="","",IF(OR($E1558="INFRUCTUEUX",$E1558="ANNULE"),$A1558&amp;"|"&amp;(COUNTIFS($A$2:$A1558,$A1558,$E$2:$E1558,"INFRUCTUEUX")+COUNTIFS($A$2:$A1558,$A1558,$E$2:$E1558,"ANNULE")),""))</f>
        <v/>
      </c>
    </row>
    <row r="1559">
      <c r="A1559">
        <f>IF(ISBLANK('ENGAGEMENTS 2026'!C1559),"",IF('ENGAGEMENTS 2026'!C1559="DTSI","DCT",'ENGAGEMENTS 2026'!C1559))</f>
        <v/>
      </c>
      <c r="B1559">
        <f>IF(ISBLANK('ENGAGEMENTS 2026'!C1559),"",'ENGAGEMENTS 2026'!D1559)</f>
        <v/>
      </c>
      <c r="C1559">
        <f>IF(ISBLANK('ENGAGEMENTS 2026'!C1559),"",'ENGAGEMENTS 2026'!E1559)</f>
        <v/>
      </c>
      <c r="D1559">
        <f>IF(ISBLANK('ENGAGEMENTS 2026'!C1559),"",'ENGAGEMENTS 2026'!G1559)</f>
        <v/>
      </c>
      <c r="E1559">
        <f>IF(ISBLANK('ENGAGEMENTS 2026'!C1559),"",'ENGAGEMENTS 2026'!I1559)</f>
        <v/>
      </c>
      <c r="F1559">
        <f>IF(ISBLANK('ENGAGEMENTS 2026'!C1559),"",'ENGAGEMENTS 2026'!J1559)</f>
        <v/>
      </c>
      <c r="G1559">
        <f>IF(ISBLANK('ENGAGEMENTS 2026'!C1559),"",'ENGAGEMENTS 2026'!M1559)</f>
        <v/>
      </c>
      <c r="H1559">
        <f>IF(ISBLANK('ENGAGEMENTS 2026'!C1559),"",'ENGAGEMENTS 2026'!AF1559)</f>
        <v/>
      </c>
      <c r="I1559">
        <f>IF(ISBLANK('ENGAGEMENTS 2026'!C1559),"",'ENGAGEMENTS 2026'!H1559)</f>
        <v/>
      </c>
      <c r="J1559" s="275">
        <f>IF(ISBLANK('ENGAGEMENTS 2026'!C1559),"",IF(AND(OR($E1559="INFRUCTUEUX",$E1559="ANNULE"),$C1559="AOO-M"),'ENGAGEMENTS 2026'!P1559,IF($H1559="EN COURS DE PREENGAGEMENT",'ENGAGEMENTS 2026'!O1559,IF($H1559="PREENGAGE",IF($E1559="ATTRIBUE",'ENGAGEMENTS 2026'!AE1559,'ENGAGEMENTS 2026'!O1559),'ENGAGEMENTS 2026'!AE1559))))</f>
        <v/>
      </c>
      <c r="K1559" s="604">
        <f>IF(ISBLANK('ENGAGEMENTS 2026'!W1559),"",'ENGAGEMENTS 2026'!W1559)</f>
        <v/>
      </c>
      <c r="L1559" s="276">
        <f>IF($K1559="","",TODAY()-$K1559)</f>
        <v/>
      </c>
      <c r="M1559">
        <f>IF($A1559="","",IF($H1559="ENGAGE","Engagé",IF(AND($H1559="NON ENGAGE",OR($I1559="INFRUCTUEUX",$I1559="ANNULE")),"Clôturé sans suite","En cours")))</f>
        <v/>
      </c>
      <c r="N1559">
        <f>IF(ISBLANK('ENGAGEMENTS 2026'!C1559),"",'ENGAGEMENTS 2026'!L1559)</f>
        <v/>
      </c>
      <c r="O1559">
        <f>IF(ISBLANK('ENGAGEMENTS 2026'!C1559),"",'ENGAGEMENTS 2026'!M1559)</f>
        <v/>
      </c>
      <c r="P1559">
        <f>IF(ISBLANK('ENGAGEMENTS 2026'!C1559),"",'ENGAGEMENTS 2026'!K1559)</f>
        <v/>
      </c>
      <c r="Q1559">
        <f>IF($A1559="","",IF(OR($E1559="INFRUCTUEUX",$E1559="ANNULE"),$A1559&amp;"|"&amp;(COUNTIFS($A$2:$A1559,$A1559,$E$2:$E1559,"INFRUCTUEUX")+COUNTIFS($A$2:$A1559,$A1559,$E$2:$E1559,"ANNULE")),""))</f>
        <v/>
      </c>
    </row>
    <row r="1560">
      <c r="A1560">
        <f>IF(ISBLANK('ENGAGEMENTS 2026'!C1560),"",IF('ENGAGEMENTS 2026'!C1560="DTSI","DCT",'ENGAGEMENTS 2026'!C1560))</f>
        <v/>
      </c>
      <c r="B1560">
        <f>IF(ISBLANK('ENGAGEMENTS 2026'!C1560),"",'ENGAGEMENTS 2026'!D1560)</f>
        <v/>
      </c>
      <c r="C1560">
        <f>IF(ISBLANK('ENGAGEMENTS 2026'!C1560),"",'ENGAGEMENTS 2026'!E1560)</f>
        <v/>
      </c>
      <c r="D1560">
        <f>IF(ISBLANK('ENGAGEMENTS 2026'!C1560),"",'ENGAGEMENTS 2026'!G1560)</f>
        <v/>
      </c>
      <c r="E1560">
        <f>IF(ISBLANK('ENGAGEMENTS 2026'!C1560),"",'ENGAGEMENTS 2026'!I1560)</f>
        <v/>
      </c>
      <c r="F1560">
        <f>IF(ISBLANK('ENGAGEMENTS 2026'!C1560),"",'ENGAGEMENTS 2026'!J1560)</f>
        <v/>
      </c>
      <c r="G1560">
        <f>IF(ISBLANK('ENGAGEMENTS 2026'!C1560),"",'ENGAGEMENTS 2026'!M1560)</f>
        <v/>
      </c>
      <c r="H1560">
        <f>IF(ISBLANK('ENGAGEMENTS 2026'!C1560),"",'ENGAGEMENTS 2026'!AF1560)</f>
        <v/>
      </c>
      <c r="I1560">
        <f>IF(ISBLANK('ENGAGEMENTS 2026'!C1560),"",'ENGAGEMENTS 2026'!H1560)</f>
        <v/>
      </c>
      <c r="J1560" s="275">
        <f>IF(ISBLANK('ENGAGEMENTS 2026'!C1560),"",IF(AND(OR($E1560="INFRUCTUEUX",$E1560="ANNULE"),$C1560="AOO-M"),'ENGAGEMENTS 2026'!P1560,IF($H1560="EN COURS DE PREENGAGEMENT",'ENGAGEMENTS 2026'!O1560,IF($H1560="PREENGAGE",IF($E1560="ATTRIBUE",'ENGAGEMENTS 2026'!AE1560,'ENGAGEMENTS 2026'!O1560),'ENGAGEMENTS 2026'!AE1560))))</f>
        <v/>
      </c>
      <c r="K1560" s="604">
        <f>IF(ISBLANK('ENGAGEMENTS 2026'!W1560),"",'ENGAGEMENTS 2026'!W1560)</f>
        <v/>
      </c>
      <c r="L1560" s="276">
        <f>IF($K1560="","",TODAY()-$K1560)</f>
        <v/>
      </c>
      <c r="M1560">
        <f>IF($A1560="","",IF($H1560="ENGAGE","Engagé",IF(AND($H1560="NON ENGAGE",OR($I1560="INFRUCTUEUX",$I1560="ANNULE")),"Clôturé sans suite","En cours")))</f>
        <v/>
      </c>
      <c r="N1560">
        <f>IF(ISBLANK('ENGAGEMENTS 2026'!C1560),"",'ENGAGEMENTS 2026'!L1560)</f>
        <v/>
      </c>
      <c r="O1560">
        <f>IF(ISBLANK('ENGAGEMENTS 2026'!C1560),"",'ENGAGEMENTS 2026'!M1560)</f>
        <v/>
      </c>
      <c r="P1560">
        <f>IF(ISBLANK('ENGAGEMENTS 2026'!C1560),"",'ENGAGEMENTS 2026'!K1560)</f>
        <v/>
      </c>
      <c r="Q1560">
        <f>IF($A1560="","",IF(OR($E1560="INFRUCTUEUX",$E1560="ANNULE"),$A1560&amp;"|"&amp;(COUNTIFS($A$2:$A1560,$A1560,$E$2:$E1560,"INFRUCTUEUX")+COUNTIFS($A$2:$A1560,$A1560,$E$2:$E1560,"ANNULE")),""))</f>
        <v/>
      </c>
    </row>
    <row r="1561">
      <c r="A1561">
        <f>IF(ISBLANK('ENGAGEMENTS 2026'!C1561),"",IF('ENGAGEMENTS 2026'!C1561="DTSI","DCT",'ENGAGEMENTS 2026'!C1561))</f>
        <v/>
      </c>
      <c r="B1561">
        <f>IF(ISBLANK('ENGAGEMENTS 2026'!C1561),"",'ENGAGEMENTS 2026'!D1561)</f>
        <v/>
      </c>
      <c r="C1561">
        <f>IF(ISBLANK('ENGAGEMENTS 2026'!C1561),"",'ENGAGEMENTS 2026'!E1561)</f>
        <v/>
      </c>
      <c r="D1561">
        <f>IF(ISBLANK('ENGAGEMENTS 2026'!C1561),"",'ENGAGEMENTS 2026'!G1561)</f>
        <v/>
      </c>
      <c r="E1561">
        <f>IF(ISBLANK('ENGAGEMENTS 2026'!C1561),"",'ENGAGEMENTS 2026'!I1561)</f>
        <v/>
      </c>
      <c r="F1561">
        <f>IF(ISBLANK('ENGAGEMENTS 2026'!C1561),"",'ENGAGEMENTS 2026'!J1561)</f>
        <v/>
      </c>
      <c r="G1561">
        <f>IF(ISBLANK('ENGAGEMENTS 2026'!C1561),"",'ENGAGEMENTS 2026'!M1561)</f>
        <v/>
      </c>
      <c r="H1561">
        <f>IF(ISBLANK('ENGAGEMENTS 2026'!C1561),"",'ENGAGEMENTS 2026'!AF1561)</f>
        <v/>
      </c>
      <c r="I1561">
        <f>IF(ISBLANK('ENGAGEMENTS 2026'!C1561),"",'ENGAGEMENTS 2026'!H1561)</f>
        <v/>
      </c>
      <c r="J1561" s="275">
        <f>IF(ISBLANK('ENGAGEMENTS 2026'!C1561),"",IF(AND(OR($E1561="INFRUCTUEUX",$E1561="ANNULE"),$C1561="AOO-M"),'ENGAGEMENTS 2026'!P1561,IF($H1561="EN COURS DE PREENGAGEMENT",'ENGAGEMENTS 2026'!O1561,IF($H1561="PREENGAGE",IF($E1561="ATTRIBUE",'ENGAGEMENTS 2026'!AE1561,'ENGAGEMENTS 2026'!O1561),'ENGAGEMENTS 2026'!AE1561))))</f>
        <v/>
      </c>
      <c r="K1561" s="604">
        <f>IF(ISBLANK('ENGAGEMENTS 2026'!W1561),"",'ENGAGEMENTS 2026'!W1561)</f>
        <v/>
      </c>
      <c r="L1561" s="276">
        <f>IF($K1561="","",TODAY()-$K1561)</f>
        <v/>
      </c>
      <c r="M1561">
        <f>IF($A1561="","",IF($H1561="ENGAGE","Engagé",IF(AND($H1561="NON ENGAGE",OR($I1561="INFRUCTUEUX",$I1561="ANNULE")),"Clôturé sans suite","En cours")))</f>
        <v/>
      </c>
      <c r="N1561">
        <f>IF(ISBLANK('ENGAGEMENTS 2026'!C1561),"",'ENGAGEMENTS 2026'!L1561)</f>
        <v/>
      </c>
      <c r="O1561">
        <f>IF(ISBLANK('ENGAGEMENTS 2026'!C1561),"",'ENGAGEMENTS 2026'!M1561)</f>
        <v/>
      </c>
      <c r="P1561">
        <f>IF(ISBLANK('ENGAGEMENTS 2026'!C1561),"",'ENGAGEMENTS 2026'!K1561)</f>
        <v/>
      </c>
      <c r="Q1561">
        <f>IF($A1561="","",IF(OR($E1561="INFRUCTUEUX",$E1561="ANNULE"),$A1561&amp;"|"&amp;(COUNTIFS($A$2:$A1561,$A1561,$E$2:$E1561,"INFRUCTUEUX")+COUNTIFS($A$2:$A1561,$A1561,$E$2:$E1561,"ANNULE")),""))</f>
        <v/>
      </c>
    </row>
    <row r="1562">
      <c r="A1562">
        <f>IF(ISBLANK('ENGAGEMENTS 2026'!C1562),"",IF('ENGAGEMENTS 2026'!C1562="DTSI","DCT",'ENGAGEMENTS 2026'!C1562))</f>
        <v/>
      </c>
      <c r="B1562">
        <f>IF(ISBLANK('ENGAGEMENTS 2026'!C1562),"",'ENGAGEMENTS 2026'!D1562)</f>
        <v/>
      </c>
      <c r="C1562">
        <f>IF(ISBLANK('ENGAGEMENTS 2026'!C1562),"",'ENGAGEMENTS 2026'!E1562)</f>
        <v/>
      </c>
      <c r="D1562">
        <f>IF(ISBLANK('ENGAGEMENTS 2026'!C1562),"",'ENGAGEMENTS 2026'!G1562)</f>
        <v/>
      </c>
      <c r="E1562">
        <f>IF(ISBLANK('ENGAGEMENTS 2026'!C1562),"",'ENGAGEMENTS 2026'!I1562)</f>
        <v/>
      </c>
      <c r="F1562">
        <f>IF(ISBLANK('ENGAGEMENTS 2026'!C1562),"",'ENGAGEMENTS 2026'!J1562)</f>
        <v/>
      </c>
      <c r="G1562">
        <f>IF(ISBLANK('ENGAGEMENTS 2026'!C1562),"",'ENGAGEMENTS 2026'!M1562)</f>
        <v/>
      </c>
      <c r="H1562">
        <f>IF(ISBLANK('ENGAGEMENTS 2026'!C1562),"",'ENGAGEMENTS 2026'!AF1562)</f>
        <v/>
      </c>
      <c r="I1562">
        <f>IF(ISBLANK('ENGAGEMENTS 2026'!C1562),"",'ENGAGEMENTS 2026'!H1562)</f>
        <v/>
      </c>
      <c r="J1562" s="275">
        <f>IF(ISBLANK('ENGAGEMENTS 2026'!C1562),"",IF(AND(OR($E1562="INFRUCTUEUX",$E1562="ANNULE"),$C1562="AOO-M"),'ENGAGEMENTS 2026'!P1562,IF($H1562="EN COURS DE PREENGAGEMENT",'ENGAGEMENTS 2026'!O1562,IF($H1562="PREENGAGE",IF($E1562="ATTRIBUE",'ENGAGEMENTS 2026'!AE1562,'ENGAGEMENTS 2026'!O1562),'ENGAGEMENTS 2026'!AE1562))))</f>
        <v/>
      </c>
      <c r="K1562" s="604">
        <f>IF(ISBLANK('ENGAGEMENTS 2026'!W1562),"",'ENGAGEMENTS 2026'!W1562)</f>
        <v/>
      </c>
      <c r="L1562" s="276">
        <f>IF($K1562="","",TODAY()-$K1562)</f>
        <v/>
      </c>
      <c r="M1562">
        <f>IF($A1562="","",IF($H1562="ENGAGE","Engagé",IF(AND($H1562="NON ENGAGE",OR($I1562="INFRUCTUEUX",$I1562="ANNULE")),"Clôturé sans suite","En cours")))</f>
        <v/>
      </c>
      <c r="N1562">
        <f>IF(ISBLANK('ENGAGEMENTS 2026'!C1562),"",'ENGAGEMENTS 2026'!L1562)</f>
        <v/>
      </c>
      <c r="O1562">
        <f>IF(ISBLANK('ENGAGEMENTS 2026'!C1562),"",'ENGAGEMENTS 2026'!M1562)</f>
        <v/>
      </c>
      <c r="P1562">
        <f>IF(ISBLANK('ENGAGEMENTS 2026'!C1562),"",'ENGAGEMENTS 2026'!K1562)</f>
        <v/>
      </c>
      <c r="Q1562">
        <f>IF($A1562="","",IF(OR($E1562="INFRUCTUEUX",$E1562="ANNULE"),$A1562&amp;"|"&amp;(COUNTIFS($A$2:$A1562,$A1562,$E$2:$E1562,"INFRUCTUEUX")+COUNTIFS($A$2:$A1562,$A1562,$E$2:$E1562,"ANNULE")),""))</f>
        <v/>
      </c>
    </row>
    <row r="1563">
      <c r="A1563">
        <f>IF(ISBLANK('ENGAGEMENTS 2026'!C1563),"",IF('ENGAGEMENTS 2026'!C1563="DTSI","DCT",'ENGAGEMENTS 2026'!C1563))</f>
        <v/>
      </c>
      <c r="B1563">
        <f>IF(ISBLANK('ENGAGEMENTS 2026'!C1563),"",'ENGAGEMENTS 2026'!D1563)</f>
        <v/>
      </c>
      <c r="C1563">
        <f>IF(ISBLANK('ENGAGEMENTS 2026'!C1563),"",'ENGAGEMENTS 2026'!E1563)</f>
        <v/>
      </c>
      <c r="D1563">
        <f>IF(ISBLANK('ENGAGEMENTS 2026'!C1563),"",'ENGAGEMENTS 2026'!G1563)</f>
        <v/>
      </c>
      <c r="E1563">
        <f>IF(ISBLANK('ENGAGEMENTS 2026'!C1563),"",'ENGAGEMENTS 2026'!I1563)</f>
        <v/>
      </c>
      <c r="F1563">
        <f>IF(ISBLANK('ENGAGEMENTS 2026'!C1563),"",'ENGAGEMENTS 2026'!J1563)</f>
        <v/>
      </c>
      <c r="G1563">
        <f>IF(ISBLANK('ENGAGEMENTS 2026'!C1563),"",'ENGAGEMENTS 2026'!M1563)</f>
        <v/>
      </c>
      <c r="H1563">
        <f>IF(ISBLANK('ENGAGEMENTS 2026'!C1563),"",'ENGAGEMENTS 2026'!AF1563)</f>
        <v/>
      </c>
      <c r="I1563">
        <f>IF(ISBLANK('ENGAGEMENTS 2026'!C1563),"",'ENGAGEMENTS 2026'!H1563)</f>
        <v/>
      </c>
      <c r="J1563" s="275">
        <f>IF(ISBLANK('ENGAGEMENTS 2026'!C1563),"",IF(AND(OR($E1563="INFRUCTUEUX",$E1563="ANNULE"),$C1563="AOO-M"),'ENGAGEMENTS 2026'!P1563,IF($H1563="EN COURS DE PREENGAGEMENT",'ENGAGEMENTS 2026'!O1563,IF($H1563="PREENGAGE",IF($E1563="ATTRIBUE",'ENGAGEMENTS 2026'!AE1563,'ENGAGEMENTS 2026'!O1563),'ENGAGEMENTS 2026'!AE1563))))</f>
        <v/>
      </c>
      <c r="K1563" s="604">
        <f>IF(ISBLANK('ENGAGEMENTS 2026'!W1563),"",'ENGAGEMENTS 2026'!W1563)</f>
        <v/>
      </c>
      <c r="L1563" s="276">
        <f>IF($K1563="","",TODAY()-$K1563)</f>
        <v/>
      </c>
      <c r="M1563">
        <f>IF($A1563="","",IF($H1563="ENGAGE","Engagé",IF(AND($H1563="NON ENGAGE",OR($I1563="INFRUCTUEUX",$I1563="ANNULE")),"Clôturé sans suite","En cours")))</f>
        <v/>
      </c>
      <c r="N1563">
        <f>IF(ISBLANK('ENGAGEMENTS 2026'!C1563),"",'ENGAGEMENTS 2026'!L1563)</f>
        <v/>
      </c>
      <c r="O1563">
        <f>IF(ISBLANK('ENGAGEMENTS 2026'!C1563),"",'ENGAGEMENTS 2026'!M1563)</f>
        <v/>
      </c>
      <c r="P1563">
        <f>IF(ISBLANK('ENGAGEMENTS 2026'!C1563),"",'ENGAGEMENTS 2026'!K1563)</f>
        <v/>
      </c>
      <c r="Q1563">
        <f>IF($A1563="","",IF(OR($E1563="INFRUCTUEUX",$E1563="ANNULE"),$A1563&amp;"|"&amp;(COUNTIFS($A$2:$A1563,$A1563,$E$2:$E1563,"INFRUCTUEUX")+COUNTIFS($A$2:$A1563,$A1563,$E$2:$E1563,"ANNULE")),""))</f>
        <v/>
      </c>
    </row>
    <row r="1564">
      <c r="A1564">
        <f>IF(ISBLANK('ENGAGEMENTS 2026'!C1564),"",IF('ENGAGEMENTS 2026'!C1564="DTSI","DCT",'ENGAGEMENTS 2026'!C1564))</f>
        <v/>
      </c>
      <c r="B1564">
        <f>IF(ISBLANK('ENGAGEMENTS 2026'!C1564),"",'ENGAGEMENTS 2026'!D1564)</f>
        <v/>
      </c>
      <c r="C1564">
        <f>IF(ISBLANK('ENGAGEMENTS 2026'!C1564),"",'ENGAGEMENTS 2026'!E1564)</f>
        <v/>
      </c>
      <c r="D1564">
        <f>IF(ISBLANK('ENGAGEMENTS 2026'!C1564),"",'ENGAGEMENTS 2026'!G1564)</f>
        <v/>
      </c>
      <c r="E1564">
        <f>IF(ISBLANK('ENGAGEMENTS 2026'!C1564),"",'ENGAGEMENTS 2026'!I1564)</f>
        <v/>
      </c>
      <c r="F1564">
        <f>IF(ISBLANK('ENGAGEMENTS 2026'!C1564),"",'ENGAGEMENTS 2026'!J1564)</f>
        <v/>
      </c>
      <c r="G1564">
        <f>IF(ISBLANK('ENGAGEMENTS 2026'!C1564),"",'ENGAGEMENTS 2026'!M1564)</f>
        <v/>
      </c>
      <c r="H1564">
        <f>IF(ISBLANK('ENGAGEMENTS 2026'!C1564),"",'ENGAGEMENTS 2026'!AF1564)</f>
        <v/>
      </c>
      <c r="I1564">
        <f>IF(ISBLANK('ENGAGEMENTS 2026'!C1564),"",'ENGAGEMENTS 2026'!H1564)</f>
        <v/>
      </c>
      <c r="J1564" s="275">
        <f>IF(ISBLANK('ENGAGEMENTS 2026'!C1564),"",IF(AND(OR($E1564="INFRUCTUEUX",$E1564="ANNULE"),$C1564="AOO-M"),'ENGAGEMENTS 2026'!P1564,IF($H1564="EN COURS DE PREENGAGEMENT",'ENGAGEMENTS 2026'!O1564,IF($H1564="PREENGAGE",IF($E1564="ATTRIBUE",'ENGAGEMENTS 2026'!AE1564,'ENGAGEMENTS 2026'!O1564),'ENGAGEMENTS 2026'!AE1564))))</f>
        <v/>
      </c>
      <c r="K1564" s="604">
        <f>IF(ISBLANK('ENGAGEMENTS 2026'!W1564),"",'ENGAGEMENTS 2026'!W1564)</f>
        <v/>
      </c>
      <c r="L1564" s="276">
        <f>IF($K1564="","",TODAY()-$K1564)</f>
        <v/>
      </c>
      <c r="M1564">
        <f>IF($A1564="","",IF($H1564="ENGAGE","Engagé",IF(AND($H1564="NON ENGAGE",OR($I1564="INFRUCTUEUX",$I1564="ANNULE")),"Clôturé sans suite","En cours")))</f>
        <v/>
      </c>
      <c r="N1564">
        <f>IF(ISBLANK('ENGAGEMENTS 2026'!C1564),"",'ENGAGEMENTS 2026'!L1564)</f>
        <v/>
      </c>
      <c r="O1564">
        <f>IF(ISBLANK('ENGAGEMENTS 2026'!C1564),"",'ENGAGEMENTS 2026'!M1564)</f>
        <v/>
      </c>
      <c r="P1564">
        <f>IF(ISBLANK('ENGAGEMENTS 2026'!C1564),"",'ENGAGEMENTS 2026'!K1564)</f>
        <v/>
      </c>
      <c r="Q1564">
        <f>IF($A1564="","",IF(OR($E1564="INFRUCTUEUX",$E1564="ANNULE"),$A1564&amp;"|"&amp;(COUNTIFS($A$2:$A1564,$A1564,$E$2:$E1564,"INFRUCTUEUX")+COUNTIFS($A$2:$A1564,$A1564,$E$2:$E1564,"ANNULE")),""))</f>
        <v/>
      </c>
    </row>
    <row r="1565">
      <c r="A1565">
        <f>IF(ISBLANK('ENGAGEMENTS 2026'!C1565),"",IF('ENGAGEMENTS 2026'!C1565="DTSI","DCT",'ENGAGEMENTS 2026'!C1565))</f>
        <v/>
      </c>
      <c r="B1565">
        <f>IF(ISBLANK('ENGAGEMENTS 2026'!C1565),"",'ENGAGEMENTS 2026'!D1565)</f>
        <v/>
      </c>
      <c r="C1565">
        <f>IF(ISBLANK('ENGAGEMENTS 2026'!C1565),"",'ENGAGEMENTS 2026'!E1565)</f>
        <v/>
      </c>
      <c r="D1565">
        <f>IF(ISBLANK('ENGAGEMENTS 2026'!C1565),"",'ENGAGEMENTS 2026'!G1565)</f>
        <v/>
      </c>
      <c r="E1565">
        <f>IF(ISBLANK('ENGAGEMENTS 2026'!C1565),"",'ENGAGEMENTS 2026'!I1565)</f>
        <v/>
      </c>
      <c r="F1565">
        <f>IF(ISBLANK('ENGAGEMENTS 2026'!C1565),"",'ENGAGEMENTS 2026'!J1565)</f>
        <v/>
      </c>
      <c r="G1565">
        <f>IF(ISBLANK('ENGAGEMENTS 2026'!C1565),"",'ENGAGEMENTS 2026'!M1565)</f>
        <v/>
      </c>
      <c r="H1565">
        <f>IF(ISBLANK('ENGAGEMENTS 2026'!C1565),"",'ENGAGEMENTS 2026'!AF1565)</f>
        <v/>
      </c>
      <c r="I1565">
        <f>IF(ISBLANK('ENGAGEMENTS 2026'!C1565),"",'ENGAGEMENTS 2026'!H1565)</f>
        <v/>
      </c>
      <c r="J1565" s="275">
        <f>IF(ISBLANK('ENGAGEMENTS 2026'!C1565),"",IF(AND(OR($E1565="INFRUCTUEUX",$E1565="ANNULE"),$C1565="AOO-M"),'ENGAGEMENTS 2026'!P1565,IF($H1565="EN COURS DE PREENGAGEMENT",'ENGAGEMENTS 2026'!O1565,IF($H1565="PREENGAGE",IF($E1565="ATTRIBUE",'ENGAGEMENTS 2026'!AE1565,'ENGAGEMENTS 2026'!O1565),'ENGAGEMENTS 2026'!AE1565))))</f>
        <v/>
      </c>
      <c r="K1565" s="604">
        <f>IF(ISBLANK('ENGAGEMENTS 2026'!W1565),"",'ENGAGEMENTS 2026'!W1565)</f>
        <v/>
      </c>
      <c r="L1565" s="276">
        <f>IF($K1565="","",TODAY()-$K1565)</f>
        <v/>
      </c>
      <c r="M1565">
        <f>IF($A1565="","",IF($H1565="ENGAGE","Engagé",IF(AND($H1565="NON ENGAGE",OR($I1565="INFRUCTUEUX",$I1565="ANNULE")),"Clôturé sans suite","En cours")))</f>
        <v/>
      </c>
      <c r="N1565">
        <f>IF(ISBLANK('ENGAGEMENTS 2026'!C1565),"",'ENGAGEMENTS 2026'!L1565)</f>
        <v/>
      </c>
      <c r="O1565">
        <f>IF(ISBLANK('ENGAGEMENTS 2026'!C1565),"",'ENGAGEMENTS 2026'!M1565)</f>
        <v/>
      </c>
      <c r="P1565">
        <f>IF(ISBLANK('ENGAGEMENTS 2026'!C1565),"",'ENGAGEMENTS 2026'!K1565)</f>
        <v/>
      </c>
      <c r="Q1565">
        <f>IF($A1565="","",IF(OR($E1565="INFRUCTUEUX",$E1565="ANNULE"),$A1565&amp;"|"&amp;(COUNTIFS($A$2:$A1565,$A1565,$E$2:$E1565,"INFRUCTUEUX")+COUNTIFS($A$2:$A1565,$A1565,$E$2:$E1565,"ANNULE")),""))</f>
        <v/>
      </c>
    </row>
    <row r="1566">
      <c r="A1566">
        <f>IF(ISBLANK('ENGAGEMENTS 2026'!C1566),"",IF('ENGAGEMENTS 2026'!C1566="DTSI","DCT",'ENGAGEMENTS 2026'!C1566))</f>
        <v/>
      </c>
      <c r="B1566">
        <f>IF(ISBLANK('ENGAGEMENTS 2026'!C1566),"",'ENGAGEMENTS 2026'!D1566)</f>
        <v/>
      </c>
      <c r="C1566">
        <f>IF(ISBLANK('ENGAGEMENTS 2026'!C1566),"",'ENGAGEMENTS 2026'!E1566)</f>
        <v/>
      </c>
      <c r="D1566">
        <f>IF(ISBLANK('ENGAGEMENTS 2026'!C1566),"",'ENGAGEMENTS 2026'!G1566)</f>
        <v/>
      </c>
      <c r="E1566">
        <f>IF(ISBLANK('ENGAGEMENTS 2026'!C1566),"",'ENGAGEMENTS 2026'!I1566)</f>
        <v/>
      </c>
      <c r="F1566">
        <f>IF(ISBLANK('ENGAGEMENTS 2026'!C1566),"",'ENGAGEMENTS 2026'!J1566)</f>
        <v/>
      </c>
      <c r="G1566">
        <f>IF(ISBLANK('ENGAGEMENTS 2026'!C1566),"",'ENGAGEMENTS 2026'!M1566)</f>
        <v/>
      </c>
      <c r="H1566">
        <f>IF(ISBLANK('ENGAGEMENTS 2026'!C1566),"",'ENGAGEMENTS 2026'!AF1566)</f>
        <v/>
      </c>
      <c r="I1566">
        <f>IF(ISBLANK('ENGAGEMENTS 2026'!C1566),"",'ENGAGEMENTS 2026'!H1566)</f>
        <v/>
      </c>
      <c r="J1566" s="275">
        <f>IF(ISBLANK('ENGAGEMENTS 2026'!C1566),"",IF(AND(OR($E1566="INFRUCTUEUX",$E1566="ANNULE"),$C1566="AOO-M"),'ENGAGEMENTS 2026'!P1566,IF($H1566="EN COURS DE PREENGAGEMENT",'ENGAGEMENTS 2026'!O1566,IF($H1566="PREENGAGE",IF($E1566="ATTRIBUE",'ENGAGEMENTS 2026'!AE1566,'ENGAGEMENTS 2026'!O1566),'ENGAGEMENTS 2026'!AE1566))))</f>
        <v/>
      </c>
      <c r="K1566" s="604">
        <f>IF(ISBLANK('ENGAGEMENTS 2026'!W1566),"",'ENGAGEMENTS 2026'!W1566)</f>
        <v/>
      </c>
      <c r="L1566" s="276">
        <f>IF($K1566="","",TODAY()-$K1566)</f>
        <v/>
      </c>
      <c r="M1566">
        <f>IF($A1566="","",IF($H1566="ENGAGE","Engagé",IF(AND($H1566="NON ENGAGE",OR($I1566="INFRUCTUEUX",$I1566="ANNULE")),"Clôturé sans suite","En cours")))</f>
        <v/>
      </c>
      <c r="N1566">
        <f>IF(ISBLANK('ENGAGEMENTS 2026'!C1566),"",'ENGAGEMENTS 2026'!L1566)</f>
        <v/>
      </c>
      <c r="O1566">
        <f>IF(ISBLANK('ENGAGEMENTS 2026'!C1566),"",'ENGAGEMENTS 2026'!M1566)</f>
        <v/>
      </c>
      <c r="P1566">
        <f>IF(ISBLANK('ENGAGEMENTS 2026'!C1566),"",'ENGAGEMENTS 2026'!K1566)</f>
        <v/>
      </c>
      <c r="Q1566">
        <f>IF($A1566="","",IF(OR($E1566="INFRUCTUEUX",$E1566="ANNULE"),$A1566&amp;"|"&amp;(COUNTIFS($A$2:$A1566,$A1566,$E$2:$E1566,"INFRUCTUEUX")+COUNTIFS($A$2:$A1566,$A1566,$E$2:$E1566,"ANNULE")),""))</f>
        <v/>
      </c>
    </row>
    <row r="1567">
      <c r="A1567">
        <f>IF(ISBLANK('ENGAGEMENTS 2026'!C1567),"",IF('ENGAGEMENTS 2026'!C1567="DTSI","DCT",'ENGAGEMENTS 2026'!C1567))</f>
        <v/>
      </c>
      <c r="B1567">
        <f>IF(ISBLANK('ENGAGEMENTS 2026'!C1567),"",'ENGAGEMENTS 2026'!D1567)</f>
        <v/>
      </c>
      <c r="C1567">
        <f>IF(ISBLANK('ENGAGEMENTS 2026'!C1567),"",'ENGAGEMENTS 2026'!E1567)</f>
        <v/>
      </c>
      <c r="D1567">
        <f>IF(ISBLANK('ENGAGEMENTS 2026'!C1567),"",'ENGAGEMENTS 2026'!G1567)</f>
        <v/>
      </c>
      <c r="E1567">
        <f>IF(ISBLANK('ENGAGEMENTS 2026'!C1567),"",'ENGAGEMENTS 2026'!I1567)</f>
        <v/>
      </c>
      <c r="F1567">
        <f>IF(ISBLANK('ENGAGEMENTS 2026'!C1567),"",'ENGAGEMENTS 2026'!J1567)</f>
        <v/>
      </c>
      <c r="G1567">
        <f>IF(ISBLANK('ENGAGEMENTS 2026'!C1567),"",'ENGAGEMENTS 2026'!M1567)</f>
        <v/>
      </c>
      <c r="H1567">
        <f>IF(ISBLANK('ENGAGEMENTS 2026'!C1567),"",'ENGAGEMENTS 2026'!AF1567)</f>
        <v/>
      </c>
      <c r="I1567">
        <f>IF(ISBLANK('ENGAGEMENTS 2026'!C1567),"",'ENGAGEMENTS 2026'!H1567)</f>
        <v/>
      </c>
      <c r="J1567" s="275">
        <f>IF(ISBLANK('ENGAGEMENTS 2026'!C1567),"",IF(AND(OR($E1567="INFRUCTUEUX",$E1567="ANNULE"),$C1567="AOO-M"),'ENGAGEMENTS 2026'!P1567,IF($H1567="EN COURS DE PREENGAGEMENT",'ENGAGEMENTS 2026'!O1567,IF($H1567="PREENGAGE",IF($E1567="ATTRIBUE",'ENGAGEMENTS 2026'!AE1567,'ENGAGEMENTS 2026'!O1567),'ENGAGEMENTS 2026'!AE1567))))</f>
        <v/>
      </c>
      <c r="K1567" s="604">
        <f>IF(ISBLANK('ENGAGEMENTS 2026'!W1567),"",'ENGAGEMENTS 2026'!W1567)</f>
        <v/>
      </c>
      <c r="L1567" s="276">
        <f>IF($K1567="","",TODAY()-$K1567)</f>
        <v/>
      </c>
      <c r="M1567">
        <f>IF($A1567="","",IF($H1567="ENGAGE","Engagé",IF(AND($H1567="NON ENGAGE",OR($I1567="INFRUCTUEUX",$I1567="ANNULE")),"Clôturé sans suite","En cours")))</f>
        <v/>
      </c>
      <c r="N1567">
        <f>IF(ISBLANK('ENGAGEMENTS 2026'!C1567),"",'ENGAGEMENTS 2026'!L1567)</f>
        <v/>
      </c>
      <c r="O1567">
        <f>IF(ISBLANK('ENGAGEMENTS 2026'!C1567),"",'ENGAGEMENTS 2026'!M1567)</f>
        <v/>
      </c>
      <c r="P1567">
        <f>IF(ISBLANK('ENGAGEMENTS 2026'!C1567),"",'ENGAGEMENTS 2026'!K1567)</f>
        <v/>
      </c>
      <c r="Q1567">
        <f>IF($A1567="","",IF(OR($E1567="INFRUCTUEUX",$E1567="ANNULE"),$A1567&amp;"|"&amp;(COUNTIFS($A$2:$A1567,$A1567,$E$2:$E1567,"INFRUCTUEUX")+COUNTIFS($A$2:$A1567,$A1567,$E$2:$E1567,"ANNULE")),""))</f>
        <v/>
      </c>
    </row>
    <row r="1568">
      <c r="A1568">
        <f>IF(ISBLANK('ENGAGEMENTS 2026'!C1568),"",IF('ENGAGEMENTS 2026'!C1568="DTSI","DCT",'ENGAGEMENTS 2026'!C1568))</f>
        <v/>
      </c>
      <c r="B1568">
        <f>IF(ISBLANK('ENGAGEMENTS 2026'!C1568),"",'ENGAGEMENTS 2026'!D1568)</f>
        <v/>
      </c>
      <c r="C1568">
        <f>IF(ISBLANK('ENGAGEMENTS 2026'!C1568),"",'ENGAGEMENTS 2026'!E1568)</f>
        <v/>
      </c>
      <c r="D1568">
        <f>IF(ISBLANK('ENGAGEMENTS 2026'!C1568),"",'ENGAGEMENTS 2026'!G1568)</f>
        <v/>
      </c>
      <c r="E1568">
        <f>IF(ISBLANK('ENGAGEMENTS 2026'!C1568),"",'ENGAGEMENTS 2026'!I1568)</f>
        <v/>
      </c>
      <c r="F1568">
        <f>IF(ISBLANK('ENGAGEMENTS 2026'!C1568),"",'ENGAGEMENTS 2026'!J1568)</f>
        <v/>
      </c>
      <c r="G1568">
        <f>IF(ISBLANK('ENGAGEMENTS 2026'!C1568),"",'ENGAGEMENTS 2026'!M1568)</f>
        <v/>
      </c>
      <c r="H1568">
        <f>IF(ISBLANK('ENGAGEMENTS 2026'!C1568),"",'ENGAGEMENTS 2026'!AF1568)</f>
        <v/>
      </c>
      <c r="I1568">
        <f>IF(ISBLANK('ENGAGEMENTS 2026'!C1568),"",'ENGAGEMENTS 2026'!H1568)</f>
        <v/>
      </c>
      <c r="J1568" s="275">
        <f>IF(ISBLANK('ENGAGEMENTS 2026'!C1568),"",IF(AND(OR($E1568="INFRUCTUEUX",$E1568="ANNULE"),$C1568="AOO-M"),'ENGAGEMENTS 2026'!P1568,IF($H1568="EN COURS DE PREENGAGEMENT",'ENGAGEMENTS 2026'!O1568,IF($H1568="PREENGAGE",IF($E1568="ATTRIBUE",'ENGAGEMENTS 2026'!AE1568,'ENGAGEMENTS 2026'!O1568),'ENGAGEMENTS 2026'!AE1568))))</f>
        <v/>
      </c>
      <c r="K1568" s="604">
        <f>IF(ISBLANK('ENGAGEMENTS 2026'!W1568),"",'ENGAGEMENTS 2026'!W1568)</f>
        <v/>
      </c>
      <c r="L1568" s="276">
        <f>IF($K1568="","",TODAY()-$K1568)</f>
        <v/>
      </c>
      <c r="M1568">
        <f>IF($A1568="","",IF($H1568="ENGAGE","Engagé",IF(AND($H1568="NON ENGAGE",OR($I1568="INFRUCTUEUX",$I1568="ANNULE")),"Clôturé sans suite","En cours")))</f>
        <v/>
      </c>
      <c r="N1568">
        <f>IF(ISBLANK('ENGAGEMENTS 2026'!C1568),"",'ENGAGEMENTS 2026'!L1568)</f>
        <v/>
      </c>
      <c r="O1568">
        <f>IF(ISBLANK('ENGAGEMENTS 2026'!C1568),"",'ENGAGEMENTS 2026'!M1568)</f>
        <v/>
      </c>
      <c r="P1568">
        <f>IF(ISBLANK('ENGAGEMENTS 2026'!C1568),"",'ENGAGEMENTS 2026'!K1568)</f>
        <v/>
      </c>
      <c r="Q1568">
        <f>IF($A1568="","",IF(OR($E1568="INFRUCTUEUX",$E1568="ANNULE"),$A1568&amp;"|"&amp;(COUNTIFS($A$2:$A1568,$A1568,$E$2:$E1568,"INFRUCTUEUX")+COUNTIFS($A$2:$A1568,$A1568,$E$2:$E1568,"ANNULE")),""))</f>
        <v/>
      </c>
    </row>
    <row r="1569">
      <c r="A1569">
        <f>IF(ISBLANK('ENGAGEMENTS 2026'!C1569),"",IF('ENGAGEMENTS 2026'!C1569="DTSI","DCT",'ENGAGEMENTS 2026'!C1569))</f>
        <v/>
      </c>
      <c r="B1569">
        <f>IF(ISBLANK('ENGAGEMENTS 2026'!C1569),"",'ENGAGEMENTS 2026'!D1569)</f>
        <v/>
      </c>
      <c r="C1569">
        <f>IF(ISBLANK('ENGAGEMENTS 2026'!C1569),"",'ENGAGEMENTS 2026'!E1569)</f>
        <v/>
      </c>
      <c r="D1569">
        <f>IF(ISBLANK('ENGAGEMENTS 2026'!C1569),"",'ENGAGEMENTS 2026'!G1569)</f>
        <v/>
      </c>
      <c r="E1569">
        <f>IF(ISBLANK('ENGAGEMENTS 2026'!C1569),"",'ENGAGEMENTS 2026'!I1569)</f>
        <v/>
      </c>
      <c r="F1569">
        <f>IF(ISBLANK('ENGAGEMENTS 2026'!C1569),"",'ENGAGEMENTS 2026'!J1569)</f>
        <v/>
      </c>
      <c r="G1569">
        <f>IF(ISBLANK('ENGAGEMENTS 2026'!C1569),"",'ENGAGEMENTS 2026'!M1569)</f>
        <v/>
      </c>
      <c r="H1569">
        <f>IF(ISBLANK('ENGAGEMENTS 2026'!C1569),"",'ENGAGEMENTS 2026'!AF1569)</f>
        <v/>
      </c>
      <c r="I1569">
        <f>IF(ISBLANK('ENGAGEMENTS 2026'!C1569),"",'ENGAGEMENTS 2026'!H1569)</f>
        <v/>
      </c>
      <c r="J1569" s="275">
        <f>IF(ISBLANK('ENGAGEMENTS 2026'!C1569),"",IF(AND(OR($E1569="INFRUCTUEUX",$E1569="ANNULE"),$C1569="AOO-M"),'ENGAGEMENTS 2026'!P1569,IF($H1569="EN COURS DE PREENGAGEMENT",'ENGAGEMENTS 2026'!O1569,IF($H1569="PREENGAGE",IF($E1569="ATTRIBUE",'ENGAGEMENTS 2026'!AE1569,'ENGAGEMENTS 2026'!O1569),'ENGAGEMENTS 2026'!AE1569))))</f>
        <v/>
      </c>
      <c r="K1569" s="604">
        <f>IF(ISBLANK('ENGAGEMENTS 2026'!W1569),"",'ENGAGEMENTS 2026'!W1569)</f>
        <v/>
      </c>
      <c r="L1569" s="276">
        <f>IF($K1569="","",TODAY()-$K1569)</f>
        <v/>
      </c>
      <c r="M1569">
        <f>IF($A1569="","",IF($H1569="ENGAGE","Engagé",IF(AND($H1569="NON ENGAGE",OR($I1569="INFRUCTUEUX",$I1569="ANNULE")),"Clôturé sans suite","En cours")))</f>
        <v/>
      </c>
      <c r="N1569">
        <f>IF(ISBLANK('ENGAGEMENTS 2026'!C1569),"",'ENGAGEMENTS 2026'!L1569)</f>
        <v/>
      </c>
      <c r="O1569">
        <f>IF(ISBLANK('ENGAGEMENTS 2026'!C1569),"",'ENGAGEMENTS 2026'!M1569)</f>
        <v/>
      </c>
      <c r="P1569">
        <f>IF(ISBLANK('ENGAGEMENTS 2026'!C1569),"",'ENGAGEMENTS 2026'!K1569)</f>
        <v/>
      </c>
      <c r="Q1569">
        <f>IF($A1569="","",IF(OR($E1569="INFRUCTUEUX",$E1569="ANNULE"),$A1569&amp;"|"&amp;(COUNTIFS($A$2:$A1569,$A1569,$E$2:$E1569,"INFRUCTUEUX")+COUNTIFS($A$2:$A1569,$A1569,$E$2:$E1569,"ANNULE")),""))</f>
        <v/>
      </c>
    </row>
    <row r="1570">
      <c r="A1570">
        <f>IF(ISBLANK('ENGAGEMENTS 2026'!C1570),"",IF('ENGAGEMENTS 2026'!C1570="DTSI","DCT",'ENGAGEMENTS 2026'!C1570))</f>
        <v/>
      </c>
      <c r="B1570">
        <f>IF(ISBLANK('ENGAGEMENTS 2026'!C1570),"",'ENGAGEMENTS 2026'!D1570)</f>
        <v/>
      </c>
      <c r="C1570">
        <f>IF(ISBLANK('ENGAGEMENTS 2026'!C1570),"",'ENGAGEMENTS 2026'!E1570)</f>
        <v/>
      </c>
      <c r="D1570">
        <f>IF(ISBLANK('ENGAGEMENTS 2026'!C1570),"",'ENGAGEMENTS 2026'!G1570)</f>
        <v/>
      </c>
      <c r="E1570">
        <f>IF(ISBLANK('ENGAGEMENTS 2026'!C1570),"",'ENGAGEMENTS 2026'!I1570)</f>
        <v/>
      </c>
      <c r="F1570">
        <f>IF(ISBLANK('ENGAGEMENTS 2026'!C1570),"",'ENGAGEMENTS 2026'!J1570)</f>
        <v/>
      </c>
      <c r="G1570">
        <f>IF(ISBLANK('ENGAGEMENTS 2026'!C1570),"",'ENGAGEMENTS 2026'!M1570)</f>
        <v/>
      </c>
      <c r="H1570">
        <f>IF(ISBLANK('ENGAGEMENTS 2026'!C1570),"",'ENGAGEMENTS 2026'!AF1570)</f>
        <v/>
      </c>
      <c r="I1570">
        <f>IF(ISBLANK('ENGAGEMENTS 2026'!C1570),"",'ENGAGEMENTS 2026'!H1570)</f>
        <v/>
      </c>
      <c r="J1570" s="275">
        <f>IF(ISBLANK('ENGAGEMENTS 2026'!C1570),"",IF(AND(OR($E1570="INFRUCTUEUX",$E1570="ANNULE"),$C1570="AOO-M"),'ENGAGEMENTS 2026'!P1570,IF($H1570="EN COURS DE PREENGAGEMENT",'ENGAGEMENTS 2026'!O1570,IF($H1570="PREENGAGE",IF($E1570="ATTRIBUE",'ENGAGEMENTS 2026'!AE1570,'ENGAGEMENTS 2026'!O1570),'ENGAGEMENTS 2026'!AE1570))))</f>
        <v/>
      </c>
      <c r="K1570" s="604">
        <f>IF(ISBLANK('ENGAGEMENTS 2026'!W1570),"",'ENGAGEMENTS 2026'!W1570)</f>
        <v/>
      </c>
      <c r="L1570" s="276">
        <f>IF($K1570="","",TODAY()-$K1570)</f>
        <v/>
      </c>
      <c r="M1570">
        <f>IF($A1570="","",IF($H1570="ENGAGE","Engagé",IF(AND($H1570="NON ENGAGE",OR($I1570="INFRUCTUEUX",$I1570="ANNULE")),"Clôturé sans suite","En cours")))</f>
        <v/>
      </c>
      <c r="N1570">
        <f>IF(ISBLANK('ENGAGEMENTS 2026'!C1570),"",'ENGAGEMENTS 2026'!L1570)</f>
        <v/>
      </c>
      <c r="O1570">
        <f>IF(ISBLANK('ENGAGEMENTS 2026'!C1570),"",'ENGAGEMENTS 2026'!M1570)</f>
        <v/>
      </c>
      <c r="P1570">
        <f>IF(ISBLANK('ENGAGEMENTS 2026'!C1570),"",'ENGAGEMENTS 2026'!K1570)</f>
        <v/>
      </c>
      <c r="Q1570">
        <f>IF($A1570="","",IF(OR($E1570="INFRUCTUEUX",$E1570="ANNULE"),$A1570&amp;"|"&amp;(COUNTIFS($A$2:$A1570,$A1570,$E$2:$E1570,"INFRUCTUEUX")+COUNTIFS($A$2:$A1570,$A1570,$E$2:$E1570,"ANNULE")),""))</f>
        <v/>
      </c>
    </row>
    <row r="1571">
      <c r="A1571">
        <f>IF(ISBLANK('ENGAGEMENTS 2026'!C1571),"",IF('ENGAGEMENTS 2026'!C1571="DTSI","DCT",'ENGAGEMENTS 2026'!C1571))</f>
        <v/>
      </c>
      <c r="B1571">
        <f>IF(ISBLANK('ENGAGEMENTS 2026'!C1571),"",'ENGAGEMENTS 2026'!D1571)</f>
        <v/>
      </c>
      <c r="C1571">
        <f>IF(ISBLANK('ENGAGEMENTS 2026'!C1571),"",'ENGAGEMENTS 2026'!E1571)</f>
        <v/>
      </c>
      <c r="D1571">
        <f>IF(ISBLANK('ENGAGEMENTS 2026'!C1571),"",'ENGAGEMENTS 2026'!G1571)</f>
        <v/>
      </c>
      <c r="E1571">
        <f>IF(ISBLANK('ENGAGEMENTS 2026'!C1571),"",'ENGAGEMENTS 2026'!I1571)</f>
        <v/>
      </c>
      <c r="F1571">
        <f>IF(ISBLANK('ENGAGEMENTS 2026'!C1571),"",'ENGAGEMENTS 2026'!J1571)</f>
        <v/>
      </c>
      <c r="G1571">
        <f>IF(ISBLANK('ENGAGEMENTS 2026'!C1571),"",'ENGAGEMENTS 2026'!M1571)</f>
        <v/>
      </c>
      <c r="H1571">
        <f>IF(ISBLANK('ENGAGEMENTS 2026'!C1571),"",'ENGAGEMENTS 2026'!AF1571)</f>
        <v/>
      </c>
      <c r="I1571">
        <f>IF(ISBLANK('ENGAGEMENTS 2026'!C1571),"",'ENGAGEMENTS 2026'!H1571)</f>
        <v/>
      </c>
      <c r="J1571" s="275">
        <f>IF(ISBLANK('ENGAGEMENTS 2026'!C1571),"",IF(AND(OR($E1571="INFRUCTUEUX",$E1571="ANNULE"),$C1571="AOO-M"),'ENGAGEMENTS 2026'!P1571,IF($H1571="EN COURS DE PREENGAGEMENT",'ENGAGEMENTS 2026'!O1571,IF($H1571="PREENGAGE",IF($E1571="ATTRIBUE",'ENGAGEMENTS 2026'!AE1571,'ENGAGEMENTS 2026'!O1571),'ENGAGEMENTS 2026'!AE1571))))</f>
        <v/>
      </c>
      <c r="K1571" s="604">
        <f>IF(ISBLANK('ENGAGEMENTS 2026'!W1571),"",'ENGAGEMENTS 2026'!W1571)</f>
        <v/>
      </c>
      <c r="L1571" s="276">
        <f>IF($K1571="","",TODAY()-$K1571)</f>
        <v/>
      </c>
      <c r="M1571">
        <f>IF($A1571="","",IF($H1571="ENGAGE","Engagé",IF(AND($H1571="NON ENGAGE",OR($I1571="INFRUCTUEUX",$I1571="ANNULE")),"Clôturé sans suite","En cours")))</f>
        <v/>
      </c>
      <c r="N1571">
        <f>IF(ISBLANK('ENGAGEMENTS 2026'!C1571),"",'ENGAGEMENTS 2026'!L1571)</f>
        <v/>
      </c>
      <c r="O1571">
        <f>IF(ISBLANK('ENGAGEMENTS 2026'!C1571),"",'ENGAGEMENTS 2026'!M1571)</f>
        <v/>
      </c>
      <c r="P1571">
        <f>IF(ISBLANK('ENGAGEMENTS 2026'!C1571),"",'ENGAGEMENTS 2026'!K1571)</f>
        <v/>
      </c>
      <c r="Q1571">
        <f>IF($A1571="","",IF(OR($E1571="INFRUCTUEUX",$E1571="ANNULE"),$A1571&amp;"|"&amp;(COUNTIFS($A$2:$A1571,$A1571,$E$2:$E1571,"INFRUCTUEUX")+COUNTIFS($A$2:$A1571,$A1571,$E$2:$E1571,"ANNULE")),""))</f>
        <v/>
      </c>
    </row>
    <row r="1572">
      <c r="A1572">
        <f>IF(ISBLANK('ENGAGEMENTS 2026'!C1572),"",IF('ENGAGEMENTS 2026'!C1572="DTSI","DCT",'ENGAGEMENTS 2026'!C1572))</f>
        <v/>
      </c>
      <c r="B1572">
        <f>IF(ISBLANK('ENGAGEMENTS 2026'!C1572),"",'ENGAGEMENTS 2026'!D1572)</f>
        <v/>
      </c>
      <c r="C1572">
        <f>IF(ISBLANK('ENGAGEMENTS 2026'!C1572),"",'ENGAGEMENTS 2026'!E1572)</f>
        <v/>
      </c>
      <c r="D1572">
        <f>IF(ISBLANK('ENGAGEMENTS 2026'!C1572),"",'ENGAGEMENTS 2026'!G1572)</f>
        <v/>
      </c>
      <c r="E1572">
        <f>IF(ISBLANK('ENGAGEMENTS 2026'!C1572),"",'ENGAGEMENTS 2026'!I1572)</f>
        <v/>
      </c>
      <c r="F1572">
        <f>IF(ISBLANK('ENGAGEMENTS 2026'!C1572),"",'ENGAGEMENTS 2026'!J1572)</f>
        <v/>
      </c>
      <c r="G1572">
        <f>IF(ISBLANK('ENGAGEMENTS 2026'!C1572),"",'ENGAGEMENTS 2026'!M1572)</f>
        <v/>
      </c>
      <c r="H1572">
        <f>IF(ISBLANK('ENGAGEMENTS 2026'!C1572),"",'ENGAGEMENTS 2026'!AF1572)</f>
        <v/>
      </c>
      <c r="I1572">
        <f>IF(ISBLANK('ENGAGEMENTS 2026'!C1572),"",'ENGAGEMENTS 2026'!H1572)</f>
        <v/>
      </c>
      <c r="J1572" s="275">
        <f>IF(ISBLANK('ENGAGEMENTS 2026'!C1572),"",IF(AND(OR($E1572="INFRUCTUEUX",$E1572="ANNULE"),$C1572="AOO-M"),'ENGAGEMENTS 2026'!P1572,IF($H1572="EN COURS DE PREENGAGEMENT",'ENGAGEMENTS 2026'!O1572,IF($H1572="PREENGAGE",IF($E1572="ATTRIBUE",'ENGAGEMENTS 2026'!AE1572,'ENGAGEMENTS 2026'!O1572),'ENGAGEMENTS 2026'!AE1572))))</f>
        <v/>
      </c>
      <c r="K1572" s="604">
        <f>IF(ISBLANK('ENGAGEMENTS 2026'!W1572),"",'ENGAGEMENTS 2026'!W1572)</f>
        <v/>
      </c>
      <c r="L1572" s="276">
        <f>IF($K1572="","",TODAY()-$K1572)</f>
        <v/>
      </c>
      <c r="M1572">
        <f>IF($A1572="","",IF($H1572="ENGAGE","Engagé",IF(AND($H1572="NON ENGAGE",OR($I1572="INFRUCTUEUX",$I1572="ANNULE")),"Clôturé sans suite","En cours")))</f>
        <v/>
      </c>
      <c r="N1572">
        <f>IF(ISBLANK('ENGAGEMENTS 2026'!C1572),"",'ENGAGEMENTS 2026'!L1572)</f>
        <v/>
      </c>
      <c r="O1572">
        <f>IF(ISBLANK('ENGAGEMENTS 2026'!C1572),"",'ENGAGEMENTS 2026'!M1572)</f>
        <v/>
      </c>
      <c r="P1572">
        <f>IF(ISBLANK('ENGAGEMENTS 2026'!C1572),"",'ENGAGEMENTS 2026'!K1572)</f>
        <v/>
      </c>
      <c r="Q1572">
        <f>IF($A1572="","",IF(OR($E1572="INFRUCTUEUX",$E1572="ANNULE"),$A1572&amp;"|"&amp;(COUNTIFS($A$2:$A1572,$A1572,$E$2:$E1572,"INFRUCTUEUX")+COUNTIFS($A$2:$A1572,$A1572,$E$2:$E1572,"ANNULE")),""))</f>
        <v/>
      </c>
    </row>
    <row r="1573">
      <c r="A1573">
        <f>IF(ISBLANK('ENGAGEMENTS 2026'!C1573),"",IF('ENGAGEMENTS 2026'!C1573="DTSI","DCT",'ENGAGEMENTS 2026'!C1573))</f>
        <v/>
      </c>
      <c r="B1573">
        <f>IF(ISBLANK('ENGAGEMENTS 2026'!C1573),"",'ENGAGEMENTS 2026'!D1573)</f>
        <v/>
      </c>
      <c r="C1573">
        <f>IF(ISBLANK('ENGAGEMENTS 2026'!C1573),"",'ENGAGEMENTS 2026'!E1573)</f>
        <v/>
      </c>
      <c r="D1573">
        <f>IF(ISBLANK('ENGAGEMENTS 2026'!C1573),"",'ENGAGEMENTS 2026'!G1573)</f>
        <v/>
      </c>
      <c r="E1573">
        <f>IF(ISBLANK('ENGAGEMENTS 2026'!C1573),"",'ENGAGEMENTS 2026'!I1573)</f>
        <v/>
      </c>
      <c r="F1573">
        <f>IF(ISBLANK('ENGAGEMENTS 2026'!C1573),"",'ENGAGEMENTS 2026'!J1573)</f>
        <v/>
      </c>
      <c r="G1573">
        <f>IF(ISBLANK('ENGAGEMENTS 2026'!C1573),"",'ENGAGEMENTS 2026'!M1573)</f>
        <v/>
      </c>
      <c r="H1573">
        <f>IF(ISBLANK('ENGAGEMENTS 2026'!C1573),"",'ENGAGEMENTS 2026'!AF1573)</f>
        <v/>
      </c>
      <c r="I1573">
        <f>IF(ISBLANK('ENGAGEMENTS 2026'!C1573),"",'ENGAGEMENTS 2026'!H1573)</f>
        <v/>
      </c>
      <c r="J1573" s="275">
        <f>IF(ISBLANK('ENGAGEMENTS 2026'!C1573),"",IF(AND(OR($E1573="INFRUCTUEUX",$E1573="ANNULE"),$C1573="AOO-M"),'ENGAGEMENTS 2026'!P1573,IF($H1573="EN COURS DE PREENGAGEMENT",'ENGAGEMENTS 2026'!O1573,IF($H1573="PREENGAGE",IF($E1573="ATTRIBUE",'ENGAGEMENTS 2026'!AE1573,'ENGAGEMENTS 2026'!O1573),'ENGAGEMENTS 2026'!AE1573))))</f>
        <v/>
      </c>
      <c r="K1573" s="604">
        <f>IF(ISBLANK('ENGAGEMENTS 2026'!W1573),"",'ENGAGEMENTS 2026'!W1573)</f>
        <v/>
      </c>
      <c r="L1573" s="276">
        <f>IF($K1573="","",TODAY()-$K1573)</f>
        <v/>
      </c>
      <c r="M1573">
        <f>IF($A1573="","",IF($H1573="ENGAGE","Engagé",IF(AND($H1573="NON ENGAGE",OR($I1573="INFRUCTUEUX",$I1573="ANNULE")),"Clôturé sans suite","En cours")))</f>
        <v/>
      </c>
      <c r="N1573">
        <f>IF(ISBLANK('ENGAGEMENTS 2026'!C1573),"",'ENGAGEMENTS 2026'!L1573)</f>
        <v/>
      </c>
      <c r="O1573">
        <f>IF(ISBLANK('ENGAGEMENTS 2026'!C1573),"",'ENGAGEMENTS 2026'!M1573)</f>
        <v/>
      </c>
      <c r="P1573">
        <f>IF(ISBLANK('ENGAGEMENTS 2026'!C1573),"",'ENGAGEMENTS 2026'!K1573)</f>
        <v/>
      </c>
      <c r="Q1573">
        <f>IF($A1573="","",IF(OR($E1573="INFRUCTUEUX",$E1573="ANNULE"),$A1573&amp;"|"&amp;(COUNTIFS($A$2:$A1573,$A1573,$E$2:$E1573,"INFRUCTUEUX")+COUNTIFS($A$2:$A1573,$A1573,$E$2:$E1573,"ANNULE")),""))</f>
        <v/>
      </c>
    </row>
    <row r="1574">
      <c r="A1574">
        <f>IF(ISBLANK('ENGAGEMENTS 2026'!C1574),"",IF('ENGAGEMENTS 2026'!C1574="DTSI","DCT",'ENGAGEMENTS 2026'!C1574))</f>
        <v/>
      </c>
      <c r="B1574">
        <f>IF(ISBLANK('ENGAGEMENTS 2026'!C1574),"",'ENGAGEMENTS 2026'!D1574)</f>
        <v/>
      </c>
      <c r="C1574">
        <f>IF(ISBLANK('ENGAGEMENTS 2026'!C1574),"",'ENGAGEMENTS 2026'!E1574)</f>
        <v/>
      </c>
      <c r="D1574">
        <f>IF(ISBLANK('ENGAGEMENTS 2026'!C1574),"",'ENGAGEMENTS 2026'!G1574)</f>
        <v/>
      </c>
      <c r="E1574">
        <f>IF(ISBLANK('ENGAGEMENTS 2026'!C1574),"",'ENGAGEMENTS 2026'!I1574)</f>
        <v/>
      </c>
      <c r="F1574">
        <f>IF(ISBLANK('ENGAGEMENTS 2026'!C1574),"",'ENGAGEMENTS 2026'!J1574)</f>
        <v/>
      </c>
      <c r="G1574">
        <f>IF(ISBLANK('ENGAGEMENTS 2026'!C1574),"",'ENGAGEMENTS 2026'!M1574)</f>
        <v/>
      </c>
      <c r="H1574">
        <f>IF(ISBLANK('ENGAGEMENTS 2026'!C1574),"",'ENGAGEMENTS 2026'!AF1574)</f>
        <v/>
      </c>
      <c r="I1574">
        <f>IF(ISBLANK('ENGAGEMENTS 2026'!C1574),"",'ENGAGEMENTS 2026'!H1574)</f>
        <v/>
      </c>
      <c r="J1574" s="275">
        <f>IF(ISBLANK('ENGAGEMENTS 2026'!C1574),"",IF(AND(OR($E1574="INFRUCTUEUX",$E1574="ANNULE"),$C1574="AOO-M"),'ENGAGEMENTS 2026'!P1574,IF($H1574="EN COURS DE PREENGAGEMENT",'ENGAGEMENTS 2026'!O1574,IF($H1574="PREENGAGE",IF($E1574="ATTRIBUE",'ENGAGEMENTS 2026'!AE1574,'ENGAGEMENTS 2026'!O1574),'ENGAGEMENTS 2026'!AE1574))))</f>
        <v/>
      </c>
      <c r="K1574" s="604">
        <f>IF(ISBLANK('ENGAGEMENTS 2026'!W1574),"",'ENGAGEMENTS 2026'!W1574)</f>
        <v/>
      </c>
      <c r="L1574" s="276">
        <f>IF($K1574="","",TODAY()-$K1574)</f>
        <v/>
      </c>
      <c r="M1574">
        <f>IF($A1574="","",IF($H1574="ENGAGE","Engagé",IF(AND($H1574="NON ENGAGE",OR($I1574="INFRUCTUEUX",$I1574="ANNULE")),"Clôturé sans suite","En cours")))</f>
        <v/>
      </c>
      <c r="N1574">
        <f>IF(ISBLANK('ENGAGEMENTS 2026'!C1574),"",'ENGAGEMENTS 2026'!L1574)</f>
        <v/>
      </c>
      <c r="O1574">
        <f>IF(ISBLANK('ENGAGEMENTS 2026'!C1574),"",'ENGAGEMENTS 2026'!M1574)</f>
        <v/>
      </c>
      <c r="P1574">
        <f>IF(ISBLANK('ENGAGEMENTS 2026'!C1574),"",'ENGAGEMENTS 2026'!K1574)</f>
        <v/>
      </c>
      <c r="Q1574">
        <f>IF($A1574="","",IF(OR($E1574="INFRUCTUEUX",$E1574="ANNULE"),$A1574&amp;"|"&amp;(COUNTIFS($A$2:$A1574,$A1574,$E$2:$E1574,"INFRUCTUEUX")+COUNTIFS($A$2:$A1574,$A1574,$E$2:$E1574,"ANNULE")),""))</f>
        <v/>
      </c>
    </row>
    <row r="1575">
      <c r="A1575">
        <f>IF(ISBLANK('ENGAGEMENTS 2026'!C1575),"",IF('ENGAGEMENTS 2026'!C1575="DTSI","DCT",'ENGAGEMENTS 2026'!C1575))</f>
        <v/>
      </c>
      <c r="B1575">
        <f>IF(ISBLANK('ENGAGEMENTS 2026'!C1575),"",'ENGAGEMENTS 2026'!D1575)</f>
        <v/>
      </c>
      <c r="C1575">
        <f>IF(ISBLANK('ENGAGEMENTS 2026'!C1575),"",'ENGAGEMENTS 2026'!E1575)</f>
        <v/>
      </c>
      <c r="D1575">
        <f>IF(ISBLANK('ENGAGEMENTS 2026'!C1575),"",'ENGAGEMENTS 2026'!G1575)</f>
        <v/>
      </c>
      <c r="E1575">
        <f>IF(ISBLANK('ENGAGEMENTS 2026'!C1575),"",'ENGAGEMENTS 2026'!I1575)</f>
        <v/>
      </c>
      <c r="F1575">
        <f>IF(ISBLANK('ENGAGEMENTS 2026'!C1575),"",'ENGAGEMENTS 2026'!J1575)</f>
        <v/>
      </c>
      <c r="G1575">
        <f>IF(ISBLANK('ENGAGEMENTS 2026'!C1575),"",'ENGAGEMENTS 2026'!M1575)</f>
        <v/>
      </c>
      <c r="H1575">
        <f>IF(ISBLANK('ENGAGEMENTS 2026'!C1575),"",'ENGAGEMENTS 2026'!AF1575)</f>
        <v/>
      </c>
      <c r="I1575">
        <f>IF(ISBLANK('ENGAGEMENTS 2026'!C1575),"",'ENGAGEMENTS 2026'!H1575)</f>
        <v/>
      </c>
      <c r="J1575" s="275">
        <f>IF(ISBLANK('ENGAGEMENTS 2026'!C1575),"",IF(AND(OR($E1575="INFRUCTUEUX",$E1575="ANNULE"),$C1575="AOO-M"),'ENGAGEMENTS 2026'!P1575,IF($H1575="EN COURS DE PREENGAGEMENT",'ENGAGEMENTS 2026'!O1575,IF($H1575="PREENGAGE",IF($E1575="ATTRIBUE",'ENGAGEMENTS 2026'!AE1575,'ENGAGEMENTS 2026'!O1575),'ENGAGEMENTS 2026'!AE1575))))</f>
        <v/>
      </c>
      <c r="K1575" s="604">
        <f>IF(ISBLANK('ENGAGEMENTS 2026'!W1575),"",'ENGAGEMENTS 2026'!W1575)</f>
        <v/>
      </c>
      <c r="L1575" s="276">
        <f>IF($K1575="","",TODAY()-$K1575)</f>
        <v/>
      </c>
      <c r="M1575">
        <f>IF($A1575="","",IF($H1575="ENGAGE","Engagé",IF(AND($H1575="NON ENGAGE",OR($I1575="INFRUCTUEUX",$I1575="ANNULE")),"Clôturé sans suite","En cours")))</f>
        <v/>
      </c>
      <c r="N1575">
        <f>IF(ISBLANK('ENGAGEMENTS 2026'!C1575),"",'ENGAGEMENTS 2026'!L1575)</f>
        <v/>
      </c>
      <c r="O1575">
        <f>IF(ISBLANK('ENGAGEMENTS 2026'!C1575),"",'ENGAGEMENTS 2026'!M1575)</f>
        <v/>
      </c>
      <c r="P1575">
        <f>IF(ISBLANK('ENGAGEMENTS 2026'!C1575),"",'ENGAGEMENTS 2026'!K1575)</f>
        <v/>
      </c>
      <c r="Q1575">
        <f>IF($A1575="","",IF(OR($E1575="INFRUCTUEUX",$E1575="ANNULE"),$A1575&amp;"|"&amp;(COUNTIFS($A$2:$A1575,$A1575,$E$2:$E1575,"INFRUCTUEUX")+COUNTIFS($A$2:$A1575,$A1575,$E$2:$E1575,"ANNULE")),""))</f>
        <v/>
      </c>
    </row>
    <row r="1576">
      <c r="A1576">
        <f>IF(ISBLANK('ENGAGEMENTS 2026'!C1576),"",IF('ENGAGEMENTS 2026'!C1576="DTSI","DCT",'ENGAGEMENTS 2026'!C1576))</f>
        <v/>
      </c>
      <c r="B1576">
        <f>IF(ISBLANK('ENGAGEMENTS 2026'!C1576),"",'ENGAGEMENTS 2026'!D1576)</f>
        <v/>
      </c>
      <c r="C1576">
        <f>IF(ISBLANK('ENGAGEMENTS 2026'!C1576),"",'ENGAGEMENTS 2026'!E1576)</f>
        <v/>
      </c>
      <c r="D1576">
        <f>IF(ISBLANK('ENGAGEMENTS 2026'!C1576),"",'ENGAGEMENTS 2026'!G1576)</f>
        <v/>
      </c>
      <c r="E1576">
        <f>IF(ISBLANK('ENGAGEMENTS 2026'!C1576),"",'ENGAGEMENTS 2026'!I1576)</f>
        <v/>
      </c>
      <c r="F1576">
        <f>IF(ISBLANK('ENGAGEMENTS 2026'!C1576),"",'ENGAGEMENTS 2026'!J1576)</f>
        <v/>
      </c>
      <c r="G1576">
        <f>IF(ISBLANK('ENGAGEMENTS 2026'!C1576),"",'ENGAGEMENTS 2026'!M1576)</f>
        <v/>
      </c>
      <c r="H1576">
        <f>IF(ISBLANK('ENGAGEMENTS 2026'!C1576),"",'ENGAGEMENTS 2026'!AF1576)</f>
        <v/>
      </c>
      <c r="I1576">
        <f>IF(ISBLANK('ENGAGEMENTS 2026'!C1576),"",'ENGAGEMENTS 2026'!H1576)</f>
        <v/>
      </c>
      <c r="J1576" s="275">
        <f>IF(ISBLANK('ENGAGEMENTS 2026'!C1576),"",IF(AND(OR($E1576="INFRUCTUEUX",$E1576="ANNULE"),$C1576="AOO-M"),'ENGAGEMENTS 2026'!P1576,IF($H1576="EN COURS DE PREENGAGEMENT",'ENGAGEMENTS 2026'!O1576,IF($H1576="PREENGAGE",IF($E1576="ATTRIBUE",'ENGAGEMENTS 2026'!AE1576,'ENGAGEMENTS 2026'!O1576),'ENGAGEMENTS 2026'!AE1576))))</f>
        <v/>
      </c>
      <c r="K1576" s="604">
        <f>IF(ISBLANK('ENGAGEMENTS 2026'!W1576),"",'ENGAGEMENTS 2026'!W1576)</f>
        <v/>
      </c>
      <c r="L1576" s="276">
        <f>IF($K1576="","",TODAY()-$K1576)</f>
        <v/>
      </c>
      <c r="M1576">
        <f>IF($A1576="","",IF($H1576="ENGAGE","Engagé",IF(AND($H1576="NON ENGAGE",OR($I1576="INFRUCTUEUX",$I1576="ANNULE")),"Clôturé sans suite","En cours")))</f>
        <v/>
      </c>
      <c r="N1576">
        <f>IF(ISBLANK('ENGAGEMENTS 2026'!C1576),"",'ENGAGEMENTS 2026'!L1576)</f>
        <v/>
      </c>
      <c r="O1576">
        <f>IF(ISBLANK('ENGAGEMENTS 2026'!C1576),"",'ENGAGEMENTS 2026'!M1576)</f>
        <v/>
      </c>
      <c r="P1576">
        <f>IF(ISBLANK('ENGAGEMENTS 2026'!C1576),"",'ENGAGEMENTS 2026'!K1576)</f>
        <v/>
      </c>
      <c r="Q1576">
        <f>IF($A1576="","",IF(OR($E1576="INFRUCTUEUX",$E1576="ANNULE"),$A1576&amp;"|"&amp;(COUNTIFS($A$2:$A1576,$A1576,$E$2:$E1576,"INFRUCTUEUX")+COUNTIFS($A$2:$A1576,$A1576,$E$2:$E1576,"ANNULE")),""))</f>
        <v/>
      </c>
    </row>
    <row r="1577">
      <c r="A1577">
        <f>IF(ISBLANK('ENGAGEMENTS 2026'!C1577),"",IF('ENGAGEMENTS 2026'!C1577="DTSI","DCT",'ENGAGEMENTS 2026'!C1577))</f>
        <v/>
      </c>
      <c r="B1577">
        <f>IF(ISBLANK('ENGAGEMENTS 2026'!C1577),"",'ENGAGEMENTS 2026'!D1577)</f>
        <v/>
      </c>
      <c r="C1577">
        <f>IF(ISBLANK('ENGAGEMENTS 2026'!C1577),"",'ENGAGEMENTS 2026'!E1577)</f>
        <v/>
      </c>
      <c r="D1577">
        <f>IF(ISBLANK('ENGAGEMENTS 2026'!C1577),"",'ENGAGEMENTS 2026'!G1577)</f>
        <v/>
      </c>
      <c r="E1577">
        <f>IF(ISBLANK('ENGAGEMENTS 2026'!C1577),"",'ENGAGEMENTS 2026'!I1577)</f>
        <v/>
      </c>
      <c r="F1577">
        <f>IF(ISBLANK('ENGAGEMENTS 2026'!C1577),"",'ENGAGEMENTS 2026'!J1577)</f>
        <v/>
      </c>
      <c r="G1577">
        <f>IF(ISBLANK('ENGAGEMENTS 2026'!C1577),"",'ENGAGEMENTS 2026'!M1577)</f>
        <v/>
      </c>
      <c r="H1577">
        <f>IF(ISBLANK('ENGAGEMENTS 2026'!C1577),"",'ENGAGEMENTS 2026'!AF1577)</f>
        <v/>
      </c>
      <c r="I1577">
        <f>IF(ISBLANK('ENGAGEMENTS 2026'!C1577),"",'ENGAGEMENTS 2026'!H1577)</f>
        <v/>
      </c>
      <c r="J1577" s="275">
        <f>IF(ISBLANK('ENGAGEMENTS 2026'!C1577),"",IF(AND(OR($E1577="INFRUCTUEUX",$E1577="ANNULE"),$C1577="AOO-M"),'ENGAGEMENTS 2026'!P1577,IF($H1577="EN COURS DE PREENGAGEMENT",'ENGAGEMENTS 2026'!O1577,IF($H1577="PREENGAGE",IF($E1577="ATTRIBUE",'ENGAGEMENTS 2026'!AE1577,'ENGAGEMENTS 2026'!O1577),'ENGAGEMENTS 2026'!AE1577))))</f>
        <v/>
      </c>
      <c r="K1577" s="604">
        <f>IF(ISBLANK('ENGAGEMENTS 2026'!W1577),"",'ENGAGEMENTS 2026'!W1577)</f>
        <v/>
      </c>
      <c r="L1577" s="276">
        <f>IF($K1577="","",TODAY()-$K1577)</f>
        <v/>
      </c>
      <c r="M1577">
        <f>IF($A1577="","",IF($H1577="ENGAGE","Engagé",IF(AND($H1577="NON ENGAGE",OR($I1577="INFRUCTUEUX",$I1577="ANNULE")),"Clôturé sans suite","En cours")))</f>
        <v/>
      </c>
      <c r="N1577">
        <f>IF(ISBLANK('ENGAGEMENTS 2026'!C1577),"",'ENGAGEMENTS 2026'!L1577)</f>
        <v/>
      </c>
      <c r="O1577">
        <f>IF(ISBLANK('ENGAGEMENTS 2026'!C1577),"",'ENGAGEMENTS 2026'!M1577)</f>
        <v/>
      </c>
      <c r="P1577">
        <f>IF(ISBLANK('ENGAGEMENTS 2026'!C1577),"",'ENGAGEMENTS 2026'!K1577)</f>
        <v/>
      </c>
      <c r="Q1577">
        <f>IF($A1577="","",IF(OR($E1577="INFRUCTUEUX",$E1577="ANNULE"),$A1577&amp;"|"&amp;(COUNTIFS($A$2:$A1577,$A1577,$E$2:$E1577,"INFRUCTUEUX")+COUNTIFS($A$2:$A1577,$A1577,$E$2:$E1577,"ANNULE")),""))</f>
        <v/>
      </c>
    </row>
    <row r="1578">
      <c r="A1578">
        <f>IF(ISBLANK('ENGAGEMENTS 2026'!C1578),"",IF('ENGAGEMENTS 2026'!C1578="DTSI","DCT",'ENGAGEMENTS 2026'!C1578))</f>
        <v/>
      </c>
      <c r="B1578">
        <f>IF(ISBLANK('ENGAGEMENTS 2026'!C1578),"",'ENGAGEMENTS 2026'!D1578)</f>
        <v/>
      </c>
      <c r="C1578">
        <f>IF(ISBLANK('ENGAGEMENTS 2026'!C1578),"",'ENGAGEMENTS 2026'!E1578)</f>
        <v/>
      </c>
      <c r="D1578">
        <f>IF(ISBLANK('ENGAGEMENTS 2026'!C1578),"",'ENGAGEMENTS 2026'!G1578)</f>
        <v/>
      </c>
      <c r="E1578">
        <f>IF(ISBLANK('ENGAGEMENTS 2026'!C1578),"",'ENGAGEMENTS 2026'!I1578)</f>
        <v/>
      </c>
      <c r="F1578">
        <f>IF(ISBLANK('ENGAGEMENTS 2026'!C1578),"",'ENGAGEMENTS 2026'!J1578)</f>
        <v/>
      </c>
      <c r="G1578">
        <f>IF(ISBLANK('ENGAGEMENTS 2026'!C1578),"",'ENGAGEMENTS 2026'!M1578)</f>
        <v/>
      </c>
      <c r="H1578">
        <f>IF(ISBLANK('ENGAGEMENTS 2026'!C1578),"",'ENGAGEMENTS 2026'!AF1578)</f>
        <v/>
      </c>
      <c r="I1578">
        <f>IF(ISBLANK('ENGAGEMENTS 2026'!C1578),"",'ENGAGEMENTS 2026'!H1578)</f>
        <v/>
      </c>
      <c r="J1578" s="275">
        <f>IF(ISBLANK('ENGAGEMENTS 2026'!C1578),"",IF(AND(OR($E1578="INFRUCTUEUX",$E1578="ANNULE"),$C1578="AOO-M"),'ENGAGEMENTS 2026'!P1578,IF($H1578="EN COURS DE PREENGAGEMENT",'ENGAGEMENTS 2026'!O1578,IF($H1578="PREENGAGE",IF($E1578="ATTRIBUE",'ENGAGEMENTS 2026'!AE1578,'ENGAGEMENTS 2026'!O1578),'ENGAGEMENTS 2026'!AE1578))))</f>
        <v/>
      </c>
      <c r="K1578" s="604">
        <f>IF(ISBLANK('ENGAGEMENTS 2026'!W1578),"",'ENGAGEMENTS 2026'!W1578)</f>
        <v/>
      </c>
      <c r="L1578" s="276">
        <f>IF($K1578="","",TODAY()-$K1578)</f>
        <v/>
      </c>
      <c r="M1578">
        <f>IF($A1578="","",IF($H1578="ENGAGE","Engagé",IF(AND($H1578="NON ENGAGE",OR($I1578="INFRUCTUEUX",$I1578="ANNULE")),"Clôturé sans suite","En cours")))</f>
        <v/>
      </c>
      <c r="N1578">
        <f>IF(ISBLANK('ENGAGEMENTS 2026'!C1578),"",'ENGAGEMENTS 2026'!L1578)</f>
        <v/>
      </c>
      <c r="O1578">
        <f>IF(ISBLANK('ENGAGEMENTS 2026'!C1578),"",'ENGAGEMENTS 2026'!M1578)</f>
        <v/>
      </c>
      <c r="P1578">
        <f>IF(ISBLANK('ENGAGEMENTS 2026'!C1578),"",'ENGAGEMENTS 2026'!K1578)</f>
        <v/>
      </c>
      <c r="Q1578">
        <f>IF($A1578="","",IF(OR($E1578="INFRUCTUEUX",$E1578="ANNULE"),$A1578&amp;"|"&amp;(COUNTIFS($A$2:$A1578,$A1578,$E$2:$E1578,"INFRUCTUEUX")+COUNTIFS($A$2:$A1578,$A1578,$E$2:$E1578,"ANNULE")),""))</f>
        <v/>
      </c>
    </row>
    <row r="1579">
      <c r="A1579">
        <f>IF(ISBLANK('ENGAGEMENTS 2026'!C1579),"",IF('ENGAGEMENTS 2026'!C1579="DTSI","DCT",'ENGAGEMENTS 2026'!C1579))</f>
        <v/>
      </c>
      <c r="B1579">
        <f>IF(ISBLANK('ENGAGEMENTS 2026'!C1579),"",'ENGAGEMENTS 2026'!D1579)</f>
        <v/>
      </c>
      <c r="C1579">
        <f>IF(ISBLANK('ENGAGEMENTS 2026'!C1579),"",'ENGAGEMENTS 2026'!E1579)</f>
        <v/>
      </c>
      <c r="D1579">
        <f>IF(ISBLANK('ENGAGEMENTS 2026'!C1579),"",'ENGAGEMENTS 2026'!G1579)</f>
        <v/>
      </c>
      <c r="E1579">
        <f>IF(ISBLANK('ENGAGEMENTS 2026'!C1579),"",'ENGAGEMENTS 2026'!I1579)</f>
        <v/>
      </c>
      <c r="F1579">
        <f>IF(ISBLANK('ENGAGEMENTS 2026'!C1579),"",'ENGAGEMENTS 2026'!J1579)</f>
        <v/>
      </c>
      <c r="G1579">
        <f>IF(ISBLANK('ENGAGEMENTS 2026'!C1579),"",'ENGAGEMENTS 2026'!M1579)</f>
        <v/>
      </c>
      <c r="H1579">
        <f>IF(ISBLANK('ENGAGEMENTS 2026'!C1579),"",'ENGAGEMENTS 2026'!AF1579)</f>
        <v/>
      </c>
      <c r="I1579">
        <f>IF(ISBLANK('ENGAGEMENTS 2026'!C1579),"",'ENGAGEMENTS 2026'!H1579)</f>
        <v/>
      </c>
      <c r="J1579" s="275">
        <f>IF(ISBLANK('ENGAGEMENTS 2026'!C1579),"",IF(AND(OR($E1579="INFRUCTUEUX",$E1579="ANNULE"),$C1579="AOO-M"),'ENGAGEMENTS 2026'!P1579,IF($H1579="EN COURS DE PREENGAGEMENT",'ENGAGEMENTS 2026'!O1579,IF($H1579="PREENGAGE",IF($E1579="ATTRIBUE",'ENGAGEMENTS 2026'!AE1579,'ENGAGEMENTS 2026'!O1579),'ENGAGEMENTS 2026'!AE1579))))</f>
        <v/>
      </c>
      <c r="K1579" s="604">
        <f>IF(ISBLANK('ENGAGEMENTS 2026'!W1579),"",'ENGAGEMENTS 2026'!W1579)</f>
        <v/>
      </c>
      <c r="L1579" s="276">
        <f>IF($K1579="","",TODAY()-$K1579)</f>
        <v/>
      </c>
      <c r="M1579">
        <f>IF($A1579="","",IF($H1579="ENGAGE","Engagé",IF(AND($H1579="NON ENGAGE",OR($I1579="INFRUCTUEUX",$I1579="ANNULE")),"Clôturé sans suite","En cours")))</f>
        <v/>
      </c>
      <c r="N1579">
        <f>IF(ISBLANK('ENGAGEMENTS 2026'!C1579),"",'ENGAGEMENTS 2026'!L1579)</f>
        <v/>
      </c>
      <c r="O1579">
        <f>IF(ISBLANK('ENGAGEMENTS 2026'!C1579),"",'ENGAGEMENTS 2026'!M1579)</f>
        <v/>
      </c>
      <c r="P1579">
        <f>IF(ISBLANK('ENGAGEMENTS 2026'!C1579),"",'ENGAGEMENTS 2026'!K1579)</f>
        <v/>
      </c>
      <c r="Q1579">
        <f>IF($A1579="","",IF(OR($E1579="INFRUCTUEUX",$E1579="ANNULE"),$A1579&amp;"|"&amp;(COUNTIFS($A$2:$A1579,$A1579,$E$2:$E1579,"INFRUCTUEUX")+COUNTIFS($A$2:$A1579,$A1579,$E$2:$E1579,"ANNULE")),""))</f>
        <v/>
      </c>
    </row>
    <row r="1580">
      <c r="A1580">
        <f>IF(ISBLANK('ENGAGEMENTS 2026'!C1580),"",IF('ENGAGEMENTS 2026'!C1580="DTSI","DCT",'ENGAGEMENTS 2026'!C1580))</f>
        <v/>
      </c>
      <c r="B1580">
        <f>IF(ISBLANK('ENGAGEMENTS 2026'!C1580),"",'ENGAGEMENTS 2026'!D1580)</f>
        <v/>
      </c>
      <c r="C1580">
        <f>IF(ISBLANK('ENGAGEMENTS 2026'!C1580),"",'ENGAGEMENTS 2026'!E1580)</f>
        <v/>
      </c>
      <c r="D1580">
        <f>IF(ISBLANK('ENGAGEMENTS 2026'!C1580),"",'ENGAGEMENTS 2026'!G1580)</f>
        <v/>
      </c>
      <c r="E1580">
        <f>IF(ISBLANK('ENGAGEMENTS 2026'!C1580),"",'ENGAGEMENTS 2026'!I1580)</f>
        <v/>
      </c>
      <c r="F1580">
        <f>IF(ISBLANK('ENGAGEMENTS 2026'!C1580),"",'ENGAGEMENTS 2026'!J1580)</f>
        <v/>
      </c>
      <c r="G1580">
        <f>IF(ISBLANK('ENGAGEMENTS 2026'!C1580),"",'ENGAGEMENTS 2026'!M1580)</f>
        <v/>
      </c>
      <c r="H1580">
        <f>IF(ISBLANK('ENGAGEMENTS 2026'!C1580),"",'ENGAGEMENTS 2026'!AF1580)</f>
        <v/>
      </c>
      <c r="I1580">
        <f>IF(ISBLANK('ENGAGEMENTS 2026'!C1580),"",'ENGAGEMENTS 2026'!H1580)</f>
        <v/>
      </c>
      <c r="J1580" s="275">
        <f>IF(ISBLANK('ENGAGEMENTS 2026'!C1580),"",IF(AND(OR($E1580="INFRUCTUEUX",$E1580="ANNULE"),$C1580="AOO-M"),'ENGAGEMENTS 2026'!P1580,IF($H1580="EN COURS DE PREENGAGEMENT",'ENGAGEMENTS 2026'!O1580,IF($H1580="PREENGAGE",IF($E1580="ATTRIBUE",'ENGAGEMENTS 2026'!AE1580,'ENGAGEMENTS 2026'!O1580),'ENGAGEMENTS 2026'!AE1580))))</f>
        <v/>
      </c>
      <c r="K1580" s="604">
        <f>IF(ISBLANK('ENGAGEMENTS 2026'!W1580),"",'ENGAGEMENTS 2026'!W1580)</f>
        <v/>
      </c>
      <c r="L1580" s="276">
        <f>IF($K1580="","",TODAY()-$K1580)</f>
        <v/>
      </c>
      <c r="M1580">
        <f>IF($A1580="","",IF($H1580="ENGAGE","Engagé",IF(AND($H1580="NON ENGAGE",OR($I1580="INFRUCTUEUX",$I1580="ANNULE")),"Clôturé sans suite","En cours")))</f>
        <v/>
      </c>
      <c r="N1580">
        <f>IF(ISBLANK('ENGAGEMENTS 2026'!C1580),"",'ENGAGEMENTS 2026'!L1580)</f>
        <v/>
      </c>
      <c r="O1580">
        <f>IF(ISBLANK('ENGAGEMENTS 2026'!C1580),"",'ENGAGEMENTS 2026'!M1580)</f>
        <v/>
      </c>
      <c r="P1580">
        <f>IF(ISBLANK('ENGAGEMENTS 2026'!C1580),"",'ENGAGEMENTS 2026'!K1580)</f>
        <v/>
      </c>
      <c r="Q1580">
        <f>IF($A1580="","",IF(OR($E1580="INFRUCTUEUX",$E1580="ANNULE"),$A1580&amp;"|"&amp;(COUNTIFS($A$2:$A1580,$A1580,$E$2:$E1580,"INFRUCTUEUX")+COUNTIFS($A$2:$A1580,$A1580,$E$2:$E1580,"ANNULE")),""))</f>
        <v/>
      </c>
    </row>
    <row r="1581">
      <c r="A1581">
        <f>IF(ISBLANK('ENGAGEMENTS 2026'!C1581),"",IF('ENGAGEMENTS 2026'!C1581="DTSI","DCT",'ENGAGEMENTS 2026'!C1581))</f>
        <v/>
      </c>
      <c r="B1581">
        <f>IF(ISBLANK('ENGAGEMENTS 2026'!C1581),"",'ENGAGEMENTS 2026'!D1581)</f>
        <v/>
      </c>
      <c r="C1581">
        <f>IF(ISBLANK('ENGAGEMENTS 2026'!C1581),"",'ENGAGEMENTS 2026'!E1581)</f>
        <v/>
      </c>
      <c r="D1581">
        <f>IF(ISBLANK('ENGAGEMENTS 2026'!C1581),"",'ENGAGEMENTS 2026'!G1581)</f>
        <v/>
      </c>
      <c r="E1581">
        <f>IF(ISBLANK('ENGAGEMENTS 2026'!C1581),"",'ENGAGEMENTS 2026'!I1581)</f>
        <v/>
      </c>
      <c r="F1581">
        <f>IF(ISBLANK('ENGAGEMENTS 2026'!C1581),"",'ENGAGEMENTS 2026'!J1581)</f>
        <v/>
      </c>
      <c r="G1581">
        <f>IF(ISBLANK('ENGAGEMENTS 2026'!C1581),"",'ENGAGEMENTS 2026'!M1581)</f>
        <v/>
      </c>
      <c r="H1581">
        <f>IF(ISBLANK('ENGAGEMENTS 2026'!C1581),"",'ENGAGEMENTS 2026'!AF1581)</f>
        <v/>
      </c>
      <c r="I1581">
        <f>IF(ISBLANK('ENGAGEMENTS 2026'!C1581),"",'ENGAGEMENTS 2026'!H1581)</f>
        <v/>
      </c>
      <c r="J1581" s="275">
        <f>IF(ISBLANK('ENGAGEMENTS 2026'!C1581),"",IF(AND(OR($E1581="INFRUCTUEUX",$E1581="ANNULE"),$C1581="AOO-M"),'ENGAGEMENTS 2026'!P1581,IF($H1581="EN COURS DE PREENGAGEMENT",'ENGAGEMENTS 2026'!O1581,IF($H1581="PREENGAGE",IF($E1581="ATTRIBUE",'ENGAGEMENTS 2026'!AE1581,'ENGAGEMENTS 2026'!O1581),'ENGAGEMENTS 2026'!AE1581))))</f>
        <v/>
      </c>
      <c r="K1581" s="604">
        <f>IF(ISBLANK('ENGAGEMENTS 2026'!W1581),"",'ENGAGEMENTS 2026'!W1581)</f>
        <v/>
      </c>
      <c r="L1581" s="276">
        <f>IF($K1581="","",TODAY()-$K1581)</f>
        <v/>
      </c>
      <c r="M1581">
        <f>IF($A1581="","",IF($H1581="ENGAGE","Engagé",IF(AND($H1581="NON ENGAGE",OR($I1581="INFRUCTUEUX",$I1581="ANNULE")),"Clôturé sans suite","En cours")))</f>
        <v/>
      </c>
      <c r="N1581">
        <f>IF(ISBLANK('ENGAGEMENTS 2026'!C1581),"",'ENGAGEMENTS 2026'!L1581)</f>
        <v/>
      </c>
      <c r="O1581">
        <f>IF(ISBLANK('ENGAGEMENTS 2026'!C1581),"",'ENGAGEMENTS 2026'!M1581)</f>
        <v/>
      </c>
      <c r="P1581">
        <f>IF(ISBLANK('ENGAGEMENTS 2026'!C1581),"",'ENGAGEMENTS 2026'!K1581)</f>
        <v/>
      </c>
      <c r="Q1581">
        <f>IF($A1581="","",IF(OR($E1581="INFRUCTUEUX",$E1581="ANNULE"),$A1581&amp;"|"&amp;(COUNTIFS($A$2:$A1581,$A1581,$E$2:$E1581,"INFRUCTUEUX")+COUNTIFS($A$2:$A1581,$A1581,$E$2:$E1581,"ANNULE")),""))</f>
        <v/>
      </c>
    </row>
    <row r="1582">
      <c r="A1582">
        <f>IF(ISBLANK('ENGAGEMENTS 2026'!C1582),"",IF('ENGAGEMENTS 2026'!C1582="DTSI","DCT",'ENGAGEMENTS 2026'!C1582))</f>
        <v/>
      </c>
      <c r="B1582">
        <f>IF(ISBLANK('ENGAGEMENTS 2026'!C1582),"",'ENGAGEMENTS 2026'!D1582)</f>
        <v/>
      </c>
      <c r="C1582">
        <f>IF(ISBLANK('ENGAGEMENTS 2026'!C1582),"",'ENGAGEMENTS 2026'!E1582)</f>
        <v/>
      </c>
      <c r="D1582">
        <f>IF(ISBLANK('ENGAGEMENTS 2026'!C1582),"",'ENGAGEMENTS 2026'!G1582)</f>
        <v/>
      </c>
      <c r="E1582">
        <f>IF(ISBLANK('ENGAGEMENTS 2026'!C1582),"",'ENGAGEMENTS 2026'!I1582)</f>
        <v/>
      </c>
      <c r="F1582">
        <f>IF(ISBLANK('ENGAGEMENTS 2026'!C1582),"",'ENGAGEMENTS 2026'!J1582)</f>
        <v/>
      </c>
      <c r="G1582">
        <f>IF(ISBLANK('ENGAGEMENTS 2026'!C1582),"",'ENGAGEMENTS 2026'!M1582)</f>
        <v/>
      </c>
      <c r="H1582">
        <f>IF(ISBLANK('ENGAGEMENTS 2026'!C1582),"",'ENGAGEMENTS 2026'!AF1582)</f>
        <v/>
      </c>
      <c r="I1582">
        <f>IF(ISBLANK('ENGAGEMENTS 2026'!C1582),"",'ENGAGEMENTS 2026'!H1582)</f>
        <v/>
      </c>
      <c r="J1582" s="275">
        <f>IF(ISBLANK('ENGAGEMENTS 2026'!C1582),"",IF(AND(OR($E1582="INFRUCTUEUX",$E1582="ANNULE"),$C1582="AOO-M"),'ENGAGEMENTS 2026'!P1582,IF($H1582="EN COURS DE PREENGAGEMENT",'ENGAGEMENTS 2026'!O1582,IF($H1582="PREENGAGE",IF($E1582="ATTRIBUE",'ENGAGEMENTS 2026'!AE1582,'ENGAGEMENTS 2026'!O1582),'ENGAGEMENTS 2026'!AE1582))))</f>
        <v/>
      </c>
      <c r="K1582" s="604">
        <f>IF(ISBLANK('ENGAGEMENTS 2026'!W1582),"",'ENGAGEMENTS 2026'!W1582)</f>
        <v/>
      </c>
      <c r="L1582" s="276">
        <f>IF($K1582="","",TODAY()-$K1582)</f>
        <v/>
      </c>
      <c r="M1582">
        <f>IF($A1582="","",IF($H1582="ENGAGE","Engagé",IF(AND($H1582="NON ENGAGE",OR($I1582="INFRUCTUEUX",$I1582="ANNULE")),"Clôturé sans suite","En cours")))</f>
        <v/>
      </c>
      <c r="N1582">
        <f>IF(ISBLANK('ENGAGEMENTS 2026'!C1582),"",'ENGAGEMENTS 2026'!L1582)</f>
        <v/>
      </c>
      <c r="O1582">
        <f>IF(ISBLANK('ENGAGEMENTS 2026'!C1582),"",'ENGAGEMENTS 2026'!M1582)</f>
        <v/>
      </c>
      <c r="P1582">
        <f>IF(ISBLANK('ENGAGEMENTS 2026'!C1582),"",'ENGAGEMENTS 2026'!K1582)</f>
        <v/>
      </c>
      <c r="Q1582">
        <f>IF($A1582="","",IF(OR($E1582="INFRUCTUEUX",$E1582="ANNULE"),$A1582&amp;"|"&amp;(COUNTIFS($A$2:$A1582,$A1582,$E$2:$E1582,"INFRUCTUEUX")+COUNTIFS($A$2:$A1582,$A1582,$E$2:$E1582,"ANNULE")),""))</f>
        <v/>
      </c>
    </row>
    <row r="1583">
      <c r="A1583">
        <f>IF(ISBLANK('ENGAGEMENTS 2026'!C1583),"",IF('ENGAGEMENTS 2026'!C1583="DTSI","DCT",'ENGAGEMENTS 2026'!C1583))</f>
        <v/>
      </c>
      <c r="B1583">
        <f>IF(ISBLANK('ENGAGEMENTS 2026'!C1583),"",'ENGAGEMENTS 2026'!D1583)</f>
        <v/>
      </c>
      <c r="C1583">
        <f>IF(ISBLANK('ENGAGEMENTS 2026'!C1583),"",'ENGAGEMENTS 2026'!E1583)</f>
        <v/>
      </c>
      <c r="D1583">
        <f>IF(ISBLANK('ENGAGEMENTS 2026'!C1583),"",'ENGAGEMENTS 2026'!G1583)</f>
        <v/>
      </c>
      <c r="E1583">
        <f>IF(ISBLANK('ENGAGEMENTS 2026'!C1583),"",'ENGAGEMENTS 2026'!I1583)</f>
        <v/>
      </c>
      <c r="F1583">
        <f>IF(ISBLANK('ENGAGEMENTS 2026'!C1583),"",'ENGAGEMENTS 2026'!J1583)</f>
        <v/>
      </c>
      <c r="G1583">
        <f>IF(ISBLANK('ENGAGEMENTS 2026'!C1583),"",'ENGAGEMENTS 2026'!M1583)</f>
        <v/>
      </c>
      <c r="H1583">
        <f>IF(ISBLANK('ENGAGEMENTS 2026'!C1583),"",'ENGAGEMENTS 2026'!AF1583)</f>
        <v/>
      </c>
      <c r="I1583">
        <f>IF(ISBLANK('ENGAGEMENTS 2026'!C1583),"",'ENGAGEMENTS 2026'!H1583)</f>
        <v/>
      </c>
      <c r="J1583" s="275">
        <f>IF(ISBLANK('ENGAGEMENTS 2026'!C1583),"",IF(AND(OR($E1583="INFRUCTUEUX",$E1583="ANNULE"),$C1583="AOO-M"),'ENGAGEMENTS 2026'!P1583,IF($H1583="EN COURS DE PREENGAGEMENT",'ENGAGEMENTS 2026'!O1583,IF($H1583="PREENGAGE",IF($E1583="ATTRIBUE",'ENGAGEMENTS 2026'!AE1583,'ENGAGEMENTS 2026'!O1583),'ENGAGEMENTS 2026'!AE1583))))</f>
        <v/>
      </c>
      <c r="K1583" s="604">
        <f>IF(ISBLANK('ENGAGEMENTS 2026'!W1583),"",'ENGAGEMENTS 2026'!W1583)</f>
        <v/>
      </c>
      <c r="L1583" s="276">
        <f>IF($K1583="","",TODAY()-$K1583)</f>
        <v/>
      </c>
      <c r="M1583">
        <f>IF($A1583="","",IF($H1583="ENGAGE","Engagé",IF(AND($H1583="NON ENGAGE",OR($I1583="INFRUCTUEUX",$I1583="ANNULE")),"Clôturé sans suite","En cours")))</f>
        <v/>
      </c>
      <c r="N1583">
        <f>IF(ISBLANK('ENGAGEMENTS 2026'!C1583),"",'ENGAGEMENTS 2026'!L1583)</f>
        <v/>
      </c>
      <c r="O1583">
        <f>IF(ISBLANK('ENGAGEMENTS 2026'!C1583),"",'ENGAGEMENTS 2026'!M1583)</f>
        <v/>
      </c>
      <c r="P1583">
        <f>IF(ISBLANK('ENGAGEMENTS 2026'!C1583),"",'ENGAGEMENTS 2026'!K1583)</f>
        <v/>
      </c>
      <c r="Q1583">
        <f>IF($A1583="","",IF(OR($E1583="INFRUCTUEUX",$E1583="ANNULE"),$A1583&amp;"|"&amp;(COUNTIFS($A$2:$A1583,$A1583,$E$2:$E1583,"INFRUCTUEUX")+COUNTIFS($A$2:$A1583,$A1583,$E$2:$E1583,"ANNULE")),""))</f>
        <v/>
      </c>
    </row>
    <row r="1584">
      <c r="A1584">
        <f>IF(ISBLANK('ENGAGEMENTS 2026'!C1584),"",IF('ENGAGEMENTS 2026'!C1584="DTSI","DCT",'ENGAGEMENTS 2026'!C1584))</f>
        <v/>
      </c>
      <c r="B1584">
        <f>IF(ISBLANK('ENGAGEMENTS 2026'!C1584),"",'ENGAGEMENTS 2026'!D1584)</f>
        <v/>
      </c>
      <c r="C1584">
        <f>IF(ISBLANK('ENGAGEMENTS 2026'!C1584),"",'ENGAGEMENTS 2026'!E1584)</f>
        <v/>
      </c>
      <c r="D1584">
        <f>IF(ISBLANK('ENGAGEMENTS 2026'!C1584),"",'ENGAGEMENTS 2026'!G1584)</f>
        <v/>
      </c>
      <c r="E1584">
        <f>IF(ISBLANK('ENGAGEMENTS 2026'!C1584),"",'ENGAGEMENTS 2026'!I1584)</f>
        <v/>
      </c>
      <c r="F1584">
        <f>IF(ISBLANK('ENGAGEMENTS 2026'!C1584),"",'ENGAGEMENTS 2026'!J1584)</f>
        <v/>
      </c>
      <c r="G1584">
        <f>IF(ISBLANK('ENGAGEMENTS 2026'!C1584),"",'ENGAGEMENTS 2026'!M1584)</f>
        <v/>
      </c>
      <c r="H1584">
        <f>IF(ISBLANK('ENGAGEMENTS 2026'!C1584),"",'ENGAGEMENTS 2026'!AF1584)</f>
        <v/>
      </c>
      <c r="I1584">
        <f>IF(ISBLANK('ENGAGEMENTS 2026'!C1584),"",'ENGAGEMENTS 2026'!H1584)</f>
        <v/>
      </c>
      <c r="J1584" s="275">
        <f>IF(ISBLANK('ENGAGEMENTS 2026'!C1584),"",IF(AND(OR($E1584="INFRUCTUEUX",$E1584="ANNULE"),$C1584="AOO-M"),'ENGAGEMENTS 2026'!P1584,IF($H1584="EN COURS DE PREENGAGEMENT",'ENGAGEMENTS 2026'!O1584,IF($H1584="PREENGAGE",IF($E1584="ATTRIBUE",'ENGAGEMENTS 2026'!AE1584,'ENGAGEMENTS 2026'!O1584),'ENGAGEMENTS 2026'!AE1584))))</f>
        <v/>
      </c>
      <c r="K1584" s="604">
        <f>IF(ISBLANK('ENGAGEMENTS 2026'!W1584),"",'ENGAGEMENTS 2026'!W1584)</f>
        <v/>
      </c>
      <c r="L1584" s="276">
        <f>IF($K1584="","",TODAY()-$K1584)</f>
        <v/>
      </c>
      <c r="M1584">
        <f>IF($A1584="","",IF($H1584="ENGAGE","Engagé",IF(AND($H1584="NON ENGAGE",OR($I1584="INFRUCTUEUX",$I1584="ANNULE")),"Clôturé sans suite","En cours")))</f>
        <v/>
      </c>
      <c r="N1584">
        <f>IF(ISBLANK('ENGAGEMENTS 2026'!C1584),"",'ENGAGEMENTS 2026'!L1584)</f>
        <v/>
      </c>
      <c r="O1584">
        <f>IF(ISBLANK('ENGAGEMENTS 2026'!C1584),"",'ENGAGEMENTS 2026'!M1584)</f>
        <v/>
      </c>
      <c r="P1584">
        <f>IF(ISBLANK('ENGAGEMENTS 2026'!C1584),"",'ENGAGEMENTS 2026'!K1584)</f>
        <v/>
      </c>
      <c r="Q1584">
        <f>IF($A1584="","",IF(OR($E1584="INFRUCTUEUX",$E1584="ANNULE"),$A1584&amp;"|"&amp;(COUNTIFS($A$2:$A1584,$A1584,$E$2:$E1584,"INFRUCTUEUX")+COUNTIFS($A$2:$A1584,$A1584,$E$2:$E1584,"ANNULE")),""))</f>
        <v/>
      </c>
    </row>
    <row r="1585">
      <c r="A1585">
        <f>IF(ISBLANK('ENGAGEMENTS 2026'!C1585),"",IF('ENGAGEMENTS 2026'!C1585="DTSI","DCT",'ENGAGEMENTS 2026'!C1585))</f>
        <v/>
      </c>
      <c r="B1585">
        <f>IF(ISBLANK('ENGAGEMENTS 2026'!C1585),"",'ENGAGEMENTS 2026'!D1585)</f>
        <v/>
      </c>
      <c r="C1585">
        <f>IF(ISBLANK('ENGAGEMENTS 2026'!C1585),"",'ENGAGEMENTS 2026'!E1585)</f>
        <v/>
      </c>
      <c r="D1585">
        <f>IF(ISBLANK('ENGAGEMENTS 2026'!C1585),"",'ENGAGEMENTS 2026'!G1585)</f>
        <v/>
      </c>
      <c r="E1585">
        <f>IF(ISBLANK('ENGAGEMENTS 2026'!C1585),"",'ENGAGEMENTS 2026'!I1585)</f>
        <v/>
      </c>
      <c r="F1585">
        <f>IF(ISBLANK('ENGAGEMENTS 2026'!C1585),"",'ENGAGEMENTS 2026'!J1585)</f>
        <v/>
      </c>
      <c r="G1585">
        <f>IF(ISBLANK('ENGAGEMENTS 2026'!C1585),"",'ENGAGEMENTS 2026'!M1585)</f>
        <v/>
      </c>
      <c r="H1585">
        <f>IF(ISBLANK('ENGAGEMENTS 2026'!C1585),"",'ENGAGEMENTS 2026'!AF1585)</f>
        <v/>
      </c>
      <c r="I1585">
        <f>IF(ISBLANK('ENGAGEMENTS 2026'!C1585),"",'ENGAGEMENTS 2026'!H1585)</f>
        <v/>
      </c>
      <c r="J1585" s="275">
        <f>IF(ISBLANK('ENGAGEMENTS 2026'!C1585),"",IF(AND(OR($E1585="INFRUCTUEUX",$E1585="ANNULE"),$C1585="AOO-M"),'ENGAGEMENTS 2026'!P1585,IF($H1585="EN COURS DE PREENGAGEMENT",'ENGAGEMENTS 2026'!O1585,IF($H1585="PREENGAGE",IF($E1585="ATTRIBUE",'ENGAGEMENTS 2026'!AE1585,'ENGAGEMENTS 2026'!O1585),'ENGAGEMENTS 2026'!AE1585))))</f>
        <v/>
      </c>
      <c r="K1585" s="604">
        <f>IF(ISBLANK('ENGAGEMENTS 2026'!W1585),"",'ENGAGEMENTS 2026'!W1585)</f>
        <v/>
      </c>
      <c r="L1585" s="276">
        <f>IF($K1585="","",TODAY()-$K1585)</f>
        <v/>
      </c>
      <c r="M1585">
        <f>IF($A1585="","",IF($H1585="ENGAGE","Engagé",IF(AND($H1585="NON ENGAGE",OR($I1585="INFRUCTUEUX",$I1585="ANNULE")),"Clôturé sans suite","En cours")))</f>
        <v/>
      </c>
      <c r="N1585">
        <f>IF(ISBLANK('ENGAGEMENTS 2026'!C1585),"",'ENGAGEMENTS 2026'!L1585)</f>
        <v/>
      </c>
      <c r="O1585">
        <f>IF(ISBLANK('ENGAGEMENTS 2026'!C1585),"",'ENGAGEMENTS 2026'!M1585)</f>
        <v/>
      </c>
      <c r="P1585">
        <f>IF(ISBLANK('ENGAGEMENTS 2026'!C1585),"",'ENGAGEMENTS 2026'!K1585)</f>
        <v/>
      </c>
      <c r="Q1585">
        <f>IF($A1585="","",IF(OR($E1585="INFRUCTUEUX",$E1585="ANNULE"),$A1585&amp;"|"&amp;(COUNTIFS($A$2:$A1585,$A1585,$E$2:$E1585,"INFRUCTUEUX")+COUNTIFS($A$2:$A1585,$A1585,$E$2:$E1585,"ANNULE")),""))</f>
        <v/>
      </c>
    </row>
    <row r="1586">
      <c r="A1586">
        <f>IF(ISBLANK('ENGAGEMENTS 2026'!C1586),"",IF('ENGAGEMENTS 2026'!C1586="DTSI","DCT",'ENGAGEMENTS 2026'!C1586))</f>
        <v/>
      </c>
      <c r="B1586">
        <f>IF(ISBLANK('ENGAGEMENTS 2026'!C1586),"",'ENGAGEMENTS 2026'!D1586)</f>
        <v/>
      </c>
      <c r="C1586">
        <f>IF(ISBLANK('ENGAGEMENTS 2026'!C1586),"",'ENGAGEMENTS 2026'!E1586)</f>
        <v/>
      </c>
      <c r="D1586">
        <f>IF(ISBLANK('ENGAGEMENTS 2026'!C1586),"",'ENGAGEMENTS 2026'!G1586)</f>
        <v/>
      </c>
      <c r="E1586">
        <f>IF(ISBLANK('ENGAGEMENTS 2026'!C1586),"",'ENGAGEMENTS 2026'!I1586)</f>
        <v/>
      </c>
      <c r="F1586">
        <f>IF(ISBLANK('ENGAGEMENTS 2026'!C1586),"",'ENGAGEMENTS 2026'!J1586)</f>
        <v/>
      </c>
      <c r="G1586">
        <f>IF(ISBLANK('ENGAGEMENTS 2026'!C1586),"",'ENGAGEMENTS 2026'!M1586)</f>
        <v/>
      </c>
      <c r="H1586">
        <f>IF(ISBLANK('ENGAGEMENTS 2026'!C1586),"",'ENGAGEMENTS 2026'!AF1586)</f>
        <v/>
      </c>
      <c r="I1586">
        <f>IF(ISBLANK('ENGAGEMENTS 2026'!C1586),"",'ENGAGEMENTS 2026'!H1586)</f>
        <v/>
      </c>
      <c r="J1586" s="275">
        <f>IF(ISBLANK('ENGAGEMENTS 2026'!C1586),"",IF(AND(OR($E1586="INFRUCTUEUX",$E1586="ANNULE"),$C1586="AOO-M"),'ENGAGEMENTS 2026'!P1586,IF($H1586="EN COURS DE PREENGAGEMENT",'ENGAGEMENTS 2026'!O1586,IF($H1586="PREENGAGE",IF($E1586="ATTRIBUE",'ENGAGEMENTS 2026'!AE1586,'ENGAGEMENTS 2026'!O1586),'ENGAGEMENTS 2026'!AE1586))))</f>
        <v/>
      </c>
      <c r="K1586" s="604">
        <f>IF(ISBLANK('ENGAGEMENTS 2026'!W1586),"",'ENGAGEMENTS 2026'!W1586)</f>
        <v/>
      </c>
      <c r="L1586" s="276">
        <f>IF($K1586="","",TODAY()-$K1586)</f>
        <v/>
      </c>
      <c r="M1586">
        <f>IF($A1586="","",IF($H1586="ENGAGE","Engagé",IF(AND($H1586="NON ENGAGE",OR($I1586="INFRUCTUEUX",$I1586="ANNULE")),"Clôturé sans suite","En cours")))</f>
        <v/>
      </c>
      <c r="N1586">
        <f>IF(ISBLANK('ENGAGEMENTS 2026'!C1586),"",'ENGAGEMENTS 2026'!L1586)</f>
        <v/>
      </c>
      <c r="O1586">
        <f>IF(ISBLANK('ENGAGEMENTS 2026'!C1586),"",'ENGAGEMENTS 2026'!M1586)</f>
        <v/>
      </c>
      <c r="P1586">
        <f>IF(ISBLANK('ENGAGEMENTS 2026'!C1586),"",'ENGAGEMENTS 2026'!K1586)</f>
        <v/>
      </c>
      <c r="Q1586">
        <f>IF($A1586="","",IF(OR($E1586="INFRUCTUEUX",$E1586="ANNULE"),$A1586&amp;"|"&amp;(COUNTIFS($A$2:$A1586,$A1586,$E$2:$E1586,"INFRUCTUEUX")+COUNTIFS($A$2:$A1586,$A1586,$E$2:$E1586,"ANNULE")),""))</f>
        <v/>
      </c>
    </row>
    <row r="1587">
      <c r="A1587">
        <f>IF(ISBLANK('ENGAGEMENTS 2026'!C1587),"",IF('ENGAGEMENTS 2026'!C1587="DTSI","DCT",'ENGAGEMENTS 2026'!C1587))</f>
        <v/>
      </c>
      <c r="B1587">
        <f>IF(ISBLANK('ENGAGEMENTS 2026'!C1587),"",'ENGAGEMENTS 2026'!D1587)</f>
        <v/>
      </c>
      <c r="C1587">
        <f>IF(ISBLANK('ENGAGEMENTS 2026'!C1587),"",'ENGAGEMENTS 2026'!E1587)</f>
        <v/>
      </c>
      <c r="D1587">
        <f>IF(ISBLANK('ENGAGEMENTS 2026'!C1587),"",'ENGAGEMENTS 2026'!G1587)</f>
        <v/>
      </c>
      <c r="E1587">
        <f>IF(ISBLANK('ENGAGEMENTS 2026'!C1587),"",'ENGAGEMENTS 2026'!I1587)</f>
        <v/>
      </c>
      <c r="F1587">
        <f>IF(ISBLANK('ENGAGEMENTS 2026'!C1587),"",'ENGAGEMENTS 2026'!J1587)</f>
        <v/>
      </c>
      <c r="G1587">
        <f>IF(ISBLANK('ENGAGEMENTS 2026'!C1587),"",'ENGAGEMENTS 2026'!M1587)</f>
        <v/>
      </c>
      <c r="H1587">
        <f>IF(ISBLANK('ENGAGEMENTS 2026'!C1587),"",'ENGAGEMENTS 2026'!AF1587)</f>
        <v/>
      </c>
      <c r="I1587">
        <f>IF(ISBLANK('ENGAGEMENTS 2026'!C1587),"",'ENGAGEMENTS 2026'!H1587)</f>
        <v/>
      </c>
      <c r="J1587" s="275">
        <f>IF(ISBLANK('ENGAGEMENTS 2026'!C1587),"",IF(AND(OR($E1587="INFRUCTUEUX",$E1587="ANNULE"),$C1587="AOO-M"),'ENGAGEMENTS 2026'!P1587,IF($H1587="EN COURS DE PREENGAGEMENT",'ENGAGEMENTS 2026'!O1587,IF($H1587="PREENGAGE",IF($E1587="ATTRIBUE",'ENGAGEMENTS 2026'!AE1587,'ENGAGEMENTS 2026'!O1587),'ENGAGEMENTS 2026'!AE1587))))</f>
        <v/>
      </c>
      <c r="K1587" s="604">
        <f>IF(ISBLANK('ENGAGEMENTS 2026'!W1587),"",'ENGAGEMENTS 2026'!W1587)</f>
        <v/>
      </c>
      <c r="L1587" s="276">
        <f>IF($K1587="","",TODAY()-$K1587)</f>
        <v/>
      </c>
      <c r="M1587">
        <f>IF($A1587="","",IF($H1587="ENGAGE","Engagé",IF(AND($H1587="NON ENGAGE",OR($I1587="INFRUCTUEUX",$I1587="ANNULE")),"Clôturé sans suite","En cours")))</f>
        <v/>
      </c>
      <c r="N1587">
        <f>IF(ISBLANK('ENGAGEMENTS 2026'!C1587),"",'ENGAGEMENTS 2026'!L1587)</f>
        <v/>
      </c>
      <c r="O1587">
        <f>IF(ISBLANK('ENGAGEMENTS 2026'!C1587),"",'ENGAGEMENTS 2026'!M1587)</f>
        <v/>
      </c>
      <c r="P1587">
        <f>IF(ISBLANK('ENGAGEMENTS 2026'!C1587),"",'ENGAGEMENTS 2026'!K1587)</f>
        <v/>
      </c>
      <c r="Q1587">
        <f>IF($A1587="","",IF(OR($E1587="INFRUCTUEUX",$E1587="ANNULE"),$A1587&amp;"|"&amp;(COUNTIFS($A$2:$A1587,$A1587,$E$2:$E1587,"INFRUCTUEUX")+COUNTIFS($A$2:$A1587,$A1587,$E$2:$E1587,"ANNULE")),""))</f>
        <v/>
      </c>
    </row>
    <row r="1588">
      <c r="A1588">
        <f>IF(ISBLANK('ENGAGEMENTS 2026'!C1588),"",IF('ENGAGEMENTS 2026'!C1588="DTSI","DCT",'ENGAGEMENTS 2026'!C1588))</f>
        <v/>
      </c>
      <c r="B1588">
        <f>IF(ISBLANK('ENGAGEMENTS 2026'!C1588),"",'ENGAGEMENTS 2026'!D1588)</f>
        <v/>
      </c>
      <c r="C1588">
        <f>IF(ISBLANK('ENGAGEMENTS 2026'!C1588),"",'ENGAGEMENTS 2026'!E1588)</f>
        <v/>
      </c>
      <c r="D1588">
        <f>IF(ISBLANK('ENGAGEMENTS 2026'!C1588),"",'ENGAGEMENTS 2026'!G1588)</f>
        <v/>
      </c>
      <c r="E1588">
        <f>IF(ISBLANK('ENGAGEMENTS 2026'!C1588),"",'ENGAGEMENTS 2026'!I1588)</f>
        <v/>
      </c>
      <c r="F1588">
        <f>IF(ISBLANK('ENGAGEMENTS 2026'!C1588),"",'ENGAGEMENTS 2026'!J1588)</f>
        <v/>
      </c>
      <c r="G1588">
        <f>IF(ISBLANK('ENGAGEMENTS 2026'!C1588),"",'ENGAGEMENTS 2026'!M1588)</f>
        <v/>
      </c>
      <c r="H1588">
        <f>IF(ISBLANK('ENGAGEMENTS 2026'!C1588),"",'ENGAGEMENTS 2026'!AF1588)</f>
        <v/>
      </c>
      <c r="I1588">
        <f>IF(ISBLANK('ENGAGEMENTS 2026'!C1588),"",'ENGAGEMENTS 2026'!H1588)</f>
        <v/>
      </c>
      <c r="J1588" s="275">
        <f>IF(ISBLANK('ENGAGEMENTS 2026'!C1588),"",IF(AND(OR($E1588="INFRUCTUEUX",$E1588="ANNULE"),$C1588="AOO-M"),'ENGAGEMENTS 2026'!P1588,IF($H1588="EN COURS DE PREENGAGEMENT",'ENGAGEMENTS 2026'!O1588,IF($H1588="PREENGAGE",IF($E1588="ATTRIBUE",'ENGAGEMENTS 2026'!AE1588,'ENGAGEMENTS 2026'!O1588),'ENGAGEMENTS 2026'!AE1588))))</f>
        <v/>
      </c>
      <c r="K1588" s="604">
        <f>IF(ISBLANK('ENGAGEMENTS 2026'!W1588),"",'ENGAGEMENTS 2026'!W1588)</f>
        <v/>
      </c>
      <c r="L1588" s="276">
        <f>IF($K1588="","",TODAY()-$K1588)</f>
        <v/>
      </c>
      <c r="M1588">
        <f>IF($A1588="","",IF($H1588="ENGAGE","Engagé",IF(AND($H1588="NON ENGAGE",OR($I1588="INFRUCTUEUX",$I1588="ANNULE")),"Clôturé sans suite","En cours")))</f>
        <v/>
      </c>
      <c r="N1588">
        <f>IF(ISBLANK('ENGAGEMENTS 2026'!C1588),"",'ENGAGEMENTS 2026'!L1588)</f>
        <v/>
      </c>
      <c r="O1588">
        <f>IF(ISBLANK('ENGAGEMENTS 2026'!C1588),"",'ENGAGEMENTS 2026'!M1588)</f>
        <v/>
      </c>
      <c r="P1588">
        <f>IF(ISBLANK('ENGAGEMENTS 2026'!C1588),"",'ENGAGEMENTS 2026'!K1588)</f>
        <v/>
      </c>
      <c r="Q1588">
        <f>IF($A1588="","",IF(OR($E1588="INFRUCTUEUX",$E1588="ANNULE"),$A1588&amp;"|"&amp;(COUNTIFS($A$2:$A1588,$A1588,$E$2:$E1588,"INFRUCTUEUX")+COUNTIFS($A$2:$A1588,$A1588,$E$2:$E1588,"ANNULE")),""))</f>
        <v/>
      </c>
    </row>
    <row r="1589">
      <c r="A1589">
        <f>IF(ISBLANK('ENGAGEMENTS 2026'!C1589),"",IF('ENGAGEMENTS 2026'!C1589="DTSI","DCT",'ENGAGEMENTS 2026'!C1589))</f>
        <v/>
      </c>
      <c r="B1589">
        <f>IF(ISBLANK('ENGAGEMENTS 2026'!C1589),"",'ENGAGEMENTS 2026'!D1589)</f>
        <v/>
      </c>
      <c r="C1589">
        <f>IF(ISBLANK('ENGAGEMENTS 2026'!C1589),"",'ENGAGEMENTS 2026'!E1589)</f>
        <v/>
      </c>
      <c r="D1589">
        <f>IF(ISBLANK('ENGAGEMENTS 2026'!C1589),"",'ENGAGEMENTS 2026'!G1589)</f>
        <v/>
      </c>
      <c r="E1589">
        <f>IF(ISBLANK('ENGAGEMENTS 2026'!C1589),"",'ENGAGEMENTS 2026'!I1589)</f>
        <v/>
      </c>
      <c r="F1589">
        <f>IF(ISBLANK('ENGAGEMENTS 2026'!C1589),"",'ENGAGEMENTS 2026'!J1589)</f>
        <v/>
      </c>
      <c r="G1589">
        <f>IF(ISBLANK('ENGAGEMENTS 2026'!C1589),"",'ENGAGEMENTS 2026'!M1589)</f>
        <v/>
      </c>
      <c r="H1589">
        <f>IF(ISBLANK('ENGAGEMENTS 2026'!C1589),"",'ENGAGEMENTS 2026'!AF1589)</f>
        <v/>
      </c>
      <c r="I1589">
        <f>IF(ISBLANK('ENGAGEMENTS 2026'!C1589),"",'ENGAGEMENTS 2026'!H1589)</f>
        <v/>
      </c>
      <c r="J1589" s="275">
        <f>IF(ISBLANK('ENGAGEMENTS 2026'!C1589),"",IF(AND(OR($E1589="INFRUCTUEUX",$E1589="ANNULE"),$C1589="AOO-M"),'ENGAGEMENTS 2026'!P1589,IF($H1589="EN COURS DE PREENGAGEMENT",'ENGAGEMENTS 2026'!O1589,IF($H1589="PREENGAGE",IF($E1589="ATTRIBUE",'ENGAGEMENTS 2026'!AE1589,'ENGAGEMENTS 2026'!O1589),'ENGAGEMENTS 2026'!AE1589))))</f>
        <v/>
      </c>
      <c r="K1589" s="604">
        <f>IF(ISBLANK('ENGAGEMENTS 2026'!W1589),"",'ENGAGEMENTS 2026'!W1589)</f>
        <v/>
      </c>
      <c r="L1589" s="276">
        <f>IF($K1589="","",TODAY()-$K1589)</f>
        <v/>
      </c>
      <c r="M1589">
        <f>IF($A1589="","",IF($H1589="ENGAGE","Engagé",IF(AND($H1589="NON ENGAGE",OR($I1589="INFRUCTUEUX",$I1589="ANNULE")),"Clôturé sans suite","En cours")))</f>
        <v/>
      </c>
      <c r="N1589">
        <f>IF(ISBLANK('ENGAGEMENTS 2026'!C1589),"",'ENGAGEMENTS 2026'!L1589)</f>
        <v/>
      </c>
      <c r="O1589">
        <f>IF(ISBLANK('ENGAGEMENTS 2026'!C1589),"",'ENGAGEMENTS 2026'!M1589)</f>
        <v/>
      </c>
      <c r="P1589">
        <f>IF(ISBLANK('ENGAGEMENTS 2026'!C1589),"",'ENGAGEMENTS 2026'!K1589)</f>
        <v/>
      </c>
      <c r="Q1589">
        <f>IF($A1589="","",IF(OR($E1589="INFRUCTUEUX",$E1589="ANNULE"),$A1589&amp;"|"&amp;(COUNTIFS($A$2:$A1589,$A1589,$E$2:$E1589,"INFRUCTUEUX")+COUNTIFS($A$2:$A1589,$A1589,$E$2:$E1589,"ANNULE")),""))</f>
        <v/>
      </c>
    </row>
    <row r="1590">
      <c r="A1590">
        <f>IF(ISBLANK('ENGAGEMENTS 2026'!C1590),"",IF('ENGAGEMENTS 2026'!C1590="DTSI","DCT",'ENGAGEMENTS 2026'!C1590))</f>
        <v/>
      </c>
      <c r="B1590">
        <f>IF(ISBLANK('ENGAGEMENTS 2026'!C1590),"",'ENGAGEMENTS 2026'!D1590)</f>
        <v/>
      </c>
      <c r="C1590">
        <f>IF(ISBLANK('ENGAGEMENTS 2026'!C1590),"",'ENGAGEMENTS 2026'!E1590)</f>
        <v/>
      </c>
      <c r="D1590">
        <f>IF(ISBLANK('ENGAGEMENTS 2026'!C1590),"",'ENGAGEMENTS 2026'!G1590)</f>
        <v/>
      </c>
      <c r="E1590">
        <f>IF(ISBLANK('ENGAGEMENTS 2026'!C1590),"",'ENGAGEMENTS 2026'!I1590)</f>
        <v/>
      </c>
      <c r="F1590">
        <f>IF(ISBLANK('ENGAGEMENTS 2026'!C1590),"",'ENGAGEMENTS 2026'!J1590)</f>
        <v/>
      </c>
      <c r="G1590">
        <f>IF(ISBLANK('ENGAGEMENTS 2026'!C1590),"",'ENGAGEMENTS 2026'!M1590)</f>
        <v/>
      </c>
      <c r="H1590">
        <f>IF(ISBLANK('ENGAGEMENTS 2026'!C1590),"",'ENGAGEMENTS 2026'!AF1590)</f>
        <v/>
      </c>
      <c r="I1590">
        <f>IF(ISBLANK('ENGAGEMENTS 2026'!C1590),"",'ENGAGEMENTS 2026'!H1590)</f>
        <v/>
      </c>
      <c r="J1590" s="275">
        <f>IF(ISBLANK('ENGAGEMENTS 2026'!C1590),"",IF(AND(OR($E1590="INFRUCTUEUX",$E1590="ANNULE"),$C1590="AOO-M"),'ENGAGEMENTS 2026'!P1590,IF($H1590="EN COURS DE PREENGAGEMENT",'ENGAGEMENTS 2026'!O1590,IF($H1590="PREENGAGE",IF($E1590="ATTRIBUE",'ENGAGEMENTS 2026'!AE1590,'ENGAGEMENTS 2026'!O1590),'ENGAGEMENTS 2026'!AE1590))))</f>
        <v/>
      </c>
      <c r="K1590" s="604">
        <f>IF(ISBLANK('ENGAGEMENTS 2026'!W1590),"",'ENGAGEMENTS 2026'!W1590)</f>
        <v/>
      </c>
      <c r="L1590" s="276">
        <f>IF($K1590="","",TODAY()-$K1590)</f>
        <v/>
      </c>
      <c r="M1590">
        <f>IF($A1590="","",IF($H1590="ENGAGE","Engagé",IF(AND($H1590="NON ENGAGE",OR($I1590="INFRUCTUEUX",$I1590="ANNULE")),"Clôturé sans suite","En cours")))</f>
        <v/>
      </c>
      <c r="N1590">
        <f>IF(ISBLANK('ENGAGEMENTS 2026'!C1590),"",'ENGAGEMENTS 2026'!L1590)</f>
        <v/>
      </c>
      <c r="O1590">
        <f>IF(ISBLANK('ENGAGEMENTS 2026'!C1590),"",'ENGAGEMENTS 2026'!M1590)</f>
        <v/>
      </c>
      <c r="P1590">
        <f>IF(ISBLANK('ENGAGEMENTS 2026'!C1590),"",'ENGAGEMENTS 2026'!K1590)</f>
        <v/>
      </c>
      <c r="Q1590">
        <f>IF($A1590="","",IF(OR($E1590="INFRUCTUEUX",$E1590="ANNULE"),$A1590&amp;"|"&amp;(COUNTIFS($A$2:$A1590,$A1590,$E$2:$E1590,"INFRUCTUEUX")+COUNTIFS($A$2:$A1590,$A1590,$E$2:$E1590,"ANNULE")),""))</f>
        <v/>
      </c>
    </row>
    <row r="1591">
      <c r="A1591">
        <f>IF(ISBLANK('ENGAGEMENTS 2026'!C1591),"",IF('ENGAGEMENTS 2026'!C1591="DTSI","DCT",'ENGAGEMENTS 2026'!C1591))</f>
        <v/>
      </c>
      <c r="B1591">
        <f>IF(ISBLANK('ENGAGEMENTS 2026'!C1591),"",'ENGAGEMENTS 2026'!D1591)</f>
        <v/>
      </c>
      <c r="C1591">
        <f>IF(ISBLANK('ENGAGEMENTS 2026'!C1591),"",'ENGAGEMENTS 2026'!E1591)</f>
        <v/>
      </c>
      <c r="D1591">
        <f>IF(ISBLANK('ENGAGEMENTS 2026'!C1591),"",'ENGAGEMENTS 2026'!G1591)</f>
        <v/>
      </c>
      <c r="E1591">
        <f>IF(ISBLANK('ENGAGEMENTS 2026'!C1591),"",'ENGAGEMENTS 2026'!I1591)</f>
        <v/>
      </c>
      <c r="F1591">
        <f>IF(ISBLANK('ENGAGEMENTS 2026'!C1591),"",'ENGAGEMENTS 2026'!J1591)</f>
        <v/>
      </c>
      <c r="G1591">
        <f>IF(ISBLANK('ENGAGEMENTS 2026'!C1591),"",'ENGAGEMENTS 2026'!M1591)</f>
        <v/>
      </c>
      <c r="H1591">
        <f>IF(ISBLANK('ENGAGEMENTS 2026'!C1591),"",'ENGAGEMENTS 2026'!AF1591)</f>
        <v/>
      </c>
      <c r="I1591">
        <f>IF(ISBLANK('ENGAGEMENTS 2026'!C1591),"",'ENGAGEMENTS 2026'!H1591)</f>
        <v/>
      </c>
      <c r="J1591" s="275">
        <f>IF(ISBLANK('ENGAGEMENTS 2026'!C1591),"",IF(AND(OR($E1591="INFRUCTUEUX",$E1591="ANNULE"),$C1591="AOO-M"),'ENGAGEMENTS 2026'!P1591,IF($H1591="EN COURS DE PREENGAGEMENT",'ENGAGEMENTS 2026'!O1591,IF($H1591="PREENGAGE",IF($E1591="ATTRIBUE",'ENGAGEMENTS 2026'!AE1591,'ENGAGEMENTS 2026'!O1591),'ENGAGEMENTS 2026'!AE1591))))</f>
        <v/>
      </c>
      <c r="K1591" s="604">
        <f>IF(ISBLANK('ENGAGEMENTS 2026'!W1591),"",'ENGAGEMENTS 2026'!W1591)</f>
        <v/>
      </c>
      <c r="L1591" s="276">
        <f>IF($K1591="","",TODAY()-$K1591)</f>
        <v/>
      </c>
      <c r="M1591">
        <f>IF($A1591="","",IF($H1591="ENGAGE","Engagé",IF(AND($H1591="NON ENGAGE",OR($I1591="INFRUCTUEUX",$I1591="ANNULE")),"Clôturé sans suite","En cours")))</f>
        <v/>
      </c>
      <c r="N1591">
        <f>IF(ISBLANK('ENGAGEMENTS 2026'!C1591),"",'ENGAGEMENTS 2026'!L1591)</f>
        <v/>
      </c>
      <c r="O1591">
        <f>IF(ISBLANK('ENGAGEMENTS 2026'!C1591),"",'ENGAGEMENTS 2026'!M1591)</f>
        <v/>
      </c>
      <c r="P1591">
        <f>IF(ISBLANK('ENGAGEMENTS 2026'!C1591),"",'ENGAGEMENTS 2026'!K1591)</f>
        <v/>
      </c>
      <c r="Q1591">
        <f>IF($A1591="","",IF(OR($E1591="INFRUCTUEUX",$E1591="ANNULE"),$A1591&amp;"|"&amp;(COUNTIFS($A$2:$A1591,$A1591,$E$2:$E1591,"INFRUCTUEUX")+COUNTIFS($A$2:$A1591,$A1591,$E$2:$E1591,"ANNULE")),""))</f>
        <v/>
      </c>
    </row>
    <row r="1592">
      <c r="A1592">
        <f>IF(ISBLANK('ENGAGEMENTS 2026'!C1592),"",IF('ENGAGEMENTS 2026'!C1592="DTSI","DCT",'ENGAGEMENTS 2026'!C1592))</f>
        <v/>
      </c>
      <c r="B1592">
        <f>IF(ISBLANK('ENGAGEMENTS 2026'!C1592),"",'ENGAGEMENTS 2026'!D1592)</f>
        <v/>
      </c>
      <c r="C1592">
        <f>IF(ISBLANK('ENGAGEMENTS 2026'!C1592),"",'ENGAGEMENTS 2026'!E1592)</f>
        <v/>
      </c>
      <c r="D1592">
        <f>IF(ISBLANK('ENGAGEMENTS 2026'!C1592),"",'ENGAGEMENTS 2026'!G1592)</f>
        <v/>
      </c>
      <c r="E1592">
        <f>IF(ISBLANK('ENGAGEMENTS 2026'!C1592),"",'ENGAGEMENTS 2026'!I1592)</f>
        <v/>
      </c>
      <c r="F1592">
        <f>IF(ISBLANK('ENGAGEMENTS 2026'!C1592),"",'ENGAGEMENTS 2026'!J1592)</f>
        <v/>
      </c>
      <c r="G1592">
        <f>IF(ISBLANK('ENGAGEMENTS 2026'!C1592),"",'ENGAGEMENTS 2026'!M1592)</f>
        <v/>
      </c>
      <c r="H1592">
        <f>IF(ISBLANK('ENGAGEMENTS 2026'!C1592),"",'ENGAGEMENTS 2026'!AF1592)</f>
        <v/>
      </c>
      <c r="I1592">
        <f>IF(ISBLANK('ENGAGEMENTS 2026'!C1592),"",'ENGAGEMENTS 2026'!H1592)</f>
        <v/>
      </c>
      <c r="J1592" s="275">
        <f>IF(ISBLANK('ENGAGEMENTS 2026'!C1592),"",IF(AND(OR($E1592="INFRUCTUEUX",$E1592="ANNULE"),$C1592="AOO-M"),'ENGAGEMENTS 2026'!P1592,IF($H1592="EN COURS DE PREENGAGEMENT",'ENGAGEMENTS 2026'!O1592,IF($H1592="PREENGAGE",IF($E1592="ATTRIBUE",'ENGAGEMENTS 2026'!AE1592,'ENGAGEMENTS 2026'!O1592),'ENGAGEMENTS 2026'!AE1592))))</f>
        <v/>
      </c>
      <c r="K1592" s="604">
        <f>IF(ISBLANK('ENGAGEMENTS 2026'!W1592),"",'ENGAGEMENTS 2026'!W1592)</f>
        <v/>
      </c>
      <c r="L1592" s="276">
        <f>IF($K1592="","",TODAY()-$K1592)</f>
        <v/>
      </c>
      <c r="M1592">
        <f>IF($A1592="","",IF($H1592="ENGAGE","Engagé",IF(AND($H1592="NON ENGAGE",OR($I1592="INFRUCTUEUX",$I1592="ANNULE")),"Clôturé sans suite","En cours")))</f>
        <v/>
      </c>
      <c r="N1592">
        <f>IF(ISBLANK('ENGAGEMENTS 2026'!C1592),"",'ENGAGEMENTS 2026'!L1592)</f>
        <v/>
      </c>
      <c r="O1592">
        <f>IF(ISBLANK('ENGAGEMENTS 2026'!C1592),"",'ENGAGEMENTS 2026'!M1592)</f>
        <v/>
      </c>
      <c r="P1592">
        <f>IF(ISBLANK('ENGAGEMENTS 2026'!C1592),"",'ENGAGEMENTS 2026'!K1592)</f>
        <v/>
      </c>
      <c r="Q1592">
        <f>IF($A1592="","",IF(OR($E1592="INFRUCTUEUX",$E1592="ANNULE"),$A1592&amp;"|"&amp;(COUNTIFS($A$2:$A1592,$A1592,$E$2:$E1592,"INFRUCTUEUX")+COUNTIFS($A$2:$A1592,$A1592,$E$2:$E1592,"ANNULE")),""))</f>
        <v/>
      </c>
    </row>
    <row r="1593">
      <c r="A1593">
        <f>IF(ISBLANK('ENGAGEMENTS 2026'!C1593),"",IF('ENGAGEMENTS 2026'!C1593="DTSI","DCT",'ENGAGEMENTS 2026'!C1593))</f>
        <v/>
      </c>
      <c r="B1593">
        <f>IF(ISBLANK('ENGAGEMENTS 2026'!C1593),"",'ENGAGEMENTS 2026'!D1593)</f>
        <v/>
      </c>
      <c r="C1593">
        <f>IF(ISBLANK('ENGAGEMENTS 2026'!C1593),"",'ENGAGEMENTS 2026'!E1593)</f>
        <v/>
      </c>
      <c r="D1593">
        <f>IF(ISBLANK('ENGAGEMENTS 2026'!C1593),"",'ENGAGEMENTS 2026'!G1593)</f>
        <v/>
      </c>
      <c r="E1593">
        <f>IF(ISBLANK('ENGAGEMENTS 2026'!C1593),"",'ENGAGEMENTS 2026'!I1593)</f>
        <v/>
      </c>
      <c r="F1593">
        <f>IF(ISBLANK('ENGAGEMENTS 2026'!C1593),"",'ENGAGEMENTS 2026'!J1593)</f>
        <v/>
      </c>
      <c r="G1593">
        <f>IF(ISBLANK('ENGAGEMENTS 2026'!C1593),"",'ENGAGEMENTS 2026'!M1593)</f>
        <v/>
      </c>
      <c r="H1593">
        <f>IF(ISBLANK('ENGAGEMENTS 2026'!C1593),"",'ENGAGEMENTS 2026'!AF1593)</f>
        <v/>
      </c>
      <c r="I1593">
        <f>IF(ISBLANK('ENGAGEMENTS 2026'!C1593),"",'ENGAGEMENTS 2026'!H1593)</f>
        <v/>
      </c>
      <c r="J1593" s="275">
        <f>IF(ISBLANK('ENGAGEMENTS 2026'!C1593),"",IF(AND(OR($E1593="INFRUCTUEUX",$E1593="ANNULE"),$C1593="AOO-M"),'ENGAGEMENTS 2026'!P1593,IF($H1593="EN COURS DE PREENGAGEMENT",'ENGAGEMENTS 2026'!O1593,IF($H1593="PREENGAGE",IF($E1593="ATTRIBUE",'ENGAGEMENTS 2026'!AE1593,'ENGAGEMENTS 2026'!O1593),'ENGAGEMENTS 2026'!AE1593))))</f>
        <v/>
      </c>
      <c r="K1593" s="604">
        <f>IF(ISBLANK('ENGAGEMENTS 2026'!W1593),"",'ENGAGEMENTS 2026'!W1593)</f>
        <v/>
      </c>
      <c r="L1593" s="276">
        <f>IF($K1593="","",TODAY()-$K1593)</f>
        <v/>
      </c>
      <c r="M1593">
        <f>IF($A1593="","",IF($H1593="ENGAGE","Engagé",IF(AND($H1593="NON ENGAGE",OR($I1593="INFRUCTUEUX",$I1593="ANNULE")),"Clôturé sans suite","En cours")))</f>
        <v/>
      </c>
      <c r="N1593">
        <f>IF(ISBLANK('ENGAGEMENTS 2026'!C1593),"",'ENGAGEMENTS 2026'!L1593)</f>
        <v/>
      </c>
      <c r="O1593">
        <f>IF(ISBLANK('ENGAGEMENTS 2026'!C1593),"",'ENGAGEMENTS 2026'!M1593)</f>
        <v/>
      </c>
      <c r="P1593">
        <f>IF(ISBLANK('ENGAGEMENTS 2026'!C1593),"",'ENGAGEMENTS 2026'!K1593)</f>
        <v/>
      </c>
      <c r="Q1593">
        <f>IF($A1593="","",IF(OR($E1593="INFRUCTUEUX",$E1593="ANNULE"),$A1593&amp;"|"&amp;(COUNTIFS($A$2:$A1593,$A1593,$E$2:$E1593,"INFRUCTUEUX")+COUNTIFS($A$2:$A1593,$A1593,$E$2:$E1593,"ANNULE")),""))</f>
        <v/>
      </c>
    </row>
    <row r="1594">
      <c r="A1594">
        <f>IF(ISBLANK('ENGAGEMENTS 2026'!C1594),"",IF('ENGAGEMENTS 2026'!C1594="DTSI","DCT",'ENGAGEMENTS 2026'!C1594))</f>
        <v/>
      </c>
      <c r="B1594">
        <f>IF(ISBLANK('ENGAGEMENTS 2026'!C1594),"",'ENGAGEMENTS 2026'!D1594)</f>
        <v/>
      </c>
      <c r="C1594">
        <f>IF(ISBLANK('ENGAGEMENTS 2026'!C1594),"",'ENGAGEMENTS 2026'!E1594)</f>
        <v/>
      </c>
      <c r="D1594">
        <f>IF(ISBLANK('ENGAGEMENTS 2026'!C1594),"",'ENGAGEMENTS 2026'!G1594)</f>
        <v/>
      </c>
      <c r="E1594">
        <f>IF(ISBLANK('ENGAGEMENTS 2026'!C1594),"",'ENGAGEMENTS 2026'!I1594)</f>
        <v/>
      </c>
      <c r="F1594">
        <f>IF(ISBLANK('ENGAGEMENTS 2026'!C1594),"",'ENGAGEMENTS 2026'!J1594)</f>
        <v/>
      </c>
      <c r="G1594">
        <f>IF(ISBLANK('ENGAGEMENTS 2026'!C1594),"",'ENGAGEMENTS 2026'!M1594)</f>
        <v/>
      </c>
      <c r="H1594">
        <f>IF(ISBLANK('ENGAGEMENTS 2026'!C1594),"",'ENGAGEMENTS 2026'!AF1594)</f>
        <v/>
      </c>
      <c r="I1594">
        <f>IF(ISBLANK('ENGAGEMENTS 2026'!C1594),"",'ENGAGEMENTS 2026'!H1594)</f>
        <v/>
      </c>
      <c r="J1594" s="275">
        <f>IF(ISBLANK('ENGAGEMENTS 2026'!C1594),"",IF(AND(OR($E1594="INFRUCTUEUX",$E1594="ANNULE"),$C1594="AOO-M"),'ENGAGEMENTS 2026'!P1594,IF($H1594="EN COURS DE PREENGAGEMENT",'ENGAGEMENTS 2026'!O1594,IF($H1594="PREENGAGE",IF($E1594="ATTRIBUE",'ENGAGEMENTS 2026'!AE1594,'ENGAGEMENTS 2026'!O1594),'ENGAGEMENTS 2026'!AE1594))))</f>
        <v/>
      </c>
      <c r="K1594" s="604">
        <f>IF(ISBLANK('ENGAGEMENTS 2026'!W1594),"",'ENGAGEMENTS 2026'!W1594)</f>
        <v/>
      </c>
      <c r="L1594" s="276">
        <f>IF($K1594="","",TODAY()-$K1594)</f>
        <v/>
      </c>
      <c r="M1594">
        <f>IF($A1594="","",IF($H1594="ENGAGE","Engagé",IF(AND($H1594="NON ENGAGE",OR($I1594="INFRUCTUEUX",$I1594="ANNULE")),"Clôturé sans suite","En cours")))</f>
        <v/>
      </c>
      <c r="N1594">
        <f>IF(ISBLANK('ENGAGEMENTS 2026'!C1594),"",'ENGAGEMENTS 2026'!L1594)</f>
        <v/>
      </c>
      <c r="O1594">
        <f>IF(ISBLANK('ENGAGEMENTS 2026'!C1594),"",'ENGAGEMENTS 2026'!M1594)</f>
        <v/>
      </c>
      <c r="P1594">
        <f>IF(ISBLANK('ENGAGEMENTS 2026'!C1594),"",'ENGAGEMENTS 2026'!K1594)</f>
        <v/>
      </c>
      <c r="Q1594">
        <f>IF($A1594="","",IF(OR($E1594="INFRUCTUEUX",$E1594="ANNULE"),$A1594&amp;"|"&amp;(COUNTIFS($A$2:$A1594,$A1594,$E$2:$E1594,"INFRUCTUEUX")+COUNTIFS($A$2:$A1594,$A1594,$E$2:$E1594,"ANNULE")),""))</f>
        <v/>
      </c>
    </row>
    <row r="1595">
      <c r="A1595">
        <f>IF(ISBLANK('ENGAGEMENTS 2026'!C1595),"",IF('ENGAGEMENTS 2026'!C1595="DTSI","DCT",'ENGAGEMENTS 2026'!C1595))</f>
        <v/>
      </c>
      <c r="B1595">
        <f>IF(ISBLANK('ENGAGEMENTS 2026'!C1595),"",'ENGAGEMENTS 2026'!D1595)</f>
        <v/>
      </c>
      <c r="C1595">
        <f>IF(ISBLANK('ENGAGEMENTS 2026'!C1595),"",'ENGAGEMENTS 2026'!E1595)</f>
        <v/>
      </c>
      <c r="D1595">
        <f>IF(ISBLANK('ENGAGEMENTS 2026'!C1595),"",'ENGAGEMENTS 2026'!G1595)</f>
        <v/>
      </c>
      <c r="E1595">
        <f>IF(ISBLANK('ENGAGEMENTS 2026'!C1595),"",'ENGAGEMENTS 2026'!I1595)</f>
        <v/>
      </c>
      <c r="F1595">
        <f>IF(ISBLANK('ENGAGEMENTS 2026'!C1595),"",'ENGAGEMENTS 2026'!J1595)</f>
        <v/>
      </c>
      <c r="G1595">
        <f>IF(ISBLANK('ENGAGEMENTS 2026'!C1595),"",'ENGAGEMENTS 2026'!M1595)</f>
        <v/>
      </c>
      <c r="H1595">
        <f>IF(ISBLANK('ENGAGEMENTS 2026'!C1595),"",'ENGAGEMENTS 2026'!AF1595)</f>
        <v/>
      </c>
      <c r="I1595">
        <f>IF(ISBLANK('ENGAGEMENTS 2026'!C1595),"",'ENGAGEMENTS 2026'!H1595)</f>
        <v/>
      </c>
      <c r="J1595" s="275">
        <f>IF(ISBLANK('ENGAGEMENTS 2026'!C1595),"",IF(AND(OR($E1595="INFRUCTUEUX",$E1595="ANNULE"),$C1595="AOO-M"),'ENGAGEMENTS 2026'!P1595,IF($H1595="EN COURS DE PREENGAGEMENT",'ENGAGEMENTS 2026'!O1595,IF($H1595="PREENGAGE",IF($E1595="ATTRIBUE",'ENGAGEMENTS 2026'!AE1595,'ENGAGEMENTS 2026'!O1595),'ENGAGEMENTS 2026'!AE1595))))</f>
        <v/>
      </c>
      <c r="K1595" s="604">
        <f>IF(ISBLANK('ENGAGEMENTS 2026'!W1595),"",'ENGAGEMENTS 2026'!W1595)</f>
        <v/>
      </c>
      <c r="L1595" s="276">
        <f>IF($K1595="","",TODAY()-$K1595)</f>
        <v/>
      </c>
      <c r="M1595">
        <f>IF($A1595="","",IF($H1595="ENGAGE","Engagé",IF(AND($H1595="NON ENGAGE",OR($I1595="INFRUCTUEUX",$I1595="ANNULE")),"Clôturé sans suite","En cours")))</f>
        <v/>
      </c>
      <c r="N1595">
        <f>IF(ISBLANK('ENGAGEMENTS 2026'!C1595),"",'ENGAGEMENTS 2026'!L1595)</f>
        <v/>
      </c>
      <c r="O1595">
        <f>IF(ISBLANK('ENGAGEMENTS 2026'!C1595),"",'ENGAGEMENTS 2026'!M1595)</f>
        <v/>
      </c>
      <c r="P1595">
        <f>IF(ISBLANK('ENGAGEMENTS 2026'!C1595),"",'ENGAGEMENTS 2026'!K1595)</f>
        <v/>
      </c>
      <c r="Q1595">
        <f>IF($A1595="","",IF(OR($E1595="INFRUCTUEUX",$E1595="ANNULE"),$A1595&amp;"|"&amp;(COUNTIFS($A$2:$A1595,$A1595,$E$2:$E1595,"INFRUCTUEUX")+COUNTIFS($A$2:$A1595,$A1595,$E$2:$E1595,"ANNULE")),""))</f>
        <v/>
      </c>
    </row>
    <row r="1596">
      <c r="A1596">
        <f>IF(ISBLANK('ENGAGEMENTS 2026'!C1596),"",IF('ENGAGEMENTS 2026'!C1596="DTSI","DCT",'ENGAGEMENTS 2026'!C1596))</f>
        <v/>
      </c>
      <c r="B1596">
        <f>IF(ISBLANK('ENGAGEMENTS 2026'!C1596),"",'ENGAGEMENTS 2026'!D1596)</f>
        <v/>
      </c>
      <c r="C1596">
        <f>IF(ISBLANK('ENGAGEMENTS 2026'!C1596),"",'ENGAGEMENTS 2026'!E1596)</f>
        <v/>
      </c>
      <c r="D1596">
        <f>IF(ISBLANK('ENGAGEMENTS 2026'!C1596),"",'ENGAGEMENTS 2026'!G1596)</f>
        <v/>
      </c>
      <c r="E1596">
        <f>IF(ISBLANK('ENGAGEMENTS 2026'!C1596),"",'ENGAGEMENTS 2026'!I1596)</f>
        <v/>
      </c>
      <c r="F1596">
        <f>IF(ISBLANK('ENGAGEMENTS 2026'!C1596),"",'ENGAGEMENTS 2026'!J1596)</f>
        <v/>
      </c>
      <c r="G1596">
        <f>IF(ISBLANK('ENGAGEMENTS 2026'!C1596),"",'ENGAGEMENTS 2026'!M1596)</f>
        <v/>
      </c>
      <c r="H1596">
        <f>IF(ISBLANK('ENGAGEMENTS 2026'!C1596),"",'ENGAGEMENTS 2026'!AF1596)</f>
        <v/>
      </c>
      <c r="I1596">
        <f>IF(ISBLANK('ENGAGEMENTS 2026'!C1596),"",'ENGAGEMENTS 2026'!H1596)</f>
        <v/>
      </c>
      <c r="J1596" s="275">
        <f>IF(ISBLANK('ENGAGEMENTS 2026'!C1596),"",IF(AND(OR($E1596="INFRUCTUEUX",$E1596="ANNULE"),$C1596="AOO-M"),'ENGAGEMENTS 2026'!P1596,IF($H1596="EN COURS DE PREENGAGEMENT",'ENGAGEMENTS 2026'!O1596,IF($H1596="PREENGAGE",IF($E1596="ATTRIBUE",'ENGAGEMENTS 2026'!AE1596,'ENGAGEMENTS 2026'!O1596),'ENGAGEMENTS 2026'!AE1596))))</f>
        <v/>
      </c>
      <c r="K1596" s="604">
        <f>IF(ISBLANK('ENGAGEMENTS 2026'!W1596),"",'ENGAGEMENTS 2026'!W1596)</f>
        <v/>
      </c>
      <c r="L1596" s="276">
        <f>IF($K1596="","",TODAY()-$K1596)</f>
        <v/>
      </c>
      <c r="M1596">
        <f>IF($A1596="","",IF($H1596="ENGAGE","Engagé",IF(AND($H1596="NON ENGAGE",OR($I1596="INFRUCTUEUX",$I1596="ANNULE")),"Clôturé sans suite","En cours")))</f>
        <v/>
      </c>
      <c r="N1596">
        <f>IF(ISBLANK('ENGAGEMENTS 2026'!C1596),"",'ENGAGEMENTS 2026'!L1596)</f>
        <v/>
      </c>
      <c r="O1596">
        <f>IF(ISBLANK('ENGAGEMENTS 2026'!C1596),"",'ENGAGEMENTS 2026'!M1596)</f>
        <v/>
      </c>
      <c r="P1596">
        <f>IF(ISBLANK('ENGAGEMENTS 2026'!C1596),"",'ENGAGEMENTS 2026'!K1596)</f>
        <v/>
      </c>
      <c r="Q1596">
        <f>IF($A1596="","",IF(OR($E1596="INFRUCTUEUX",$E1596="ANNULE"),$A1596&amp;"|"&amp;(COUNTIFS($A$2:$A1596,$A1596,$E$2:$E1596,"INFRUCTUEUX")+COUNTIFS($A$2:$A1596,$A1596,$E$2:$E1596,"ANNULE")),""))</f>
        <v/>
      </c>
    </row>
    <row r="1597">
      <c r="A1597">
        <f>IF(ISBLANK('ENGAGEMENTS 2026'!C1597),"",IF('ENGAGEMENTS 2026'!C1597="DTSI","DCT",'ENGAGEMENTS 2026'!C1597))</f>
        <v/>
      </c>
      <c r="B1597">
        <f>IF(ISBLANK('ENGAGEMENTS 2026'!C1597),"",'ENGAGEMENTS 2026'!D1597)</f>
        <v/>
      </c>
      <c r="C1597">
        <f>IF(ISBLANK('ENGAGEMENTS 2026'!C1597),"",'ENGAGEMENTS 2026'!E1597)</f>
        <v/>
      </c>
      <c r="D1597">
        <f>IF(ISBLANK('ENGAGEMENTS 2026'!C1597),"",'ENGAGEMENTS 2026'!G1597)</f>
        <v/>
      </c>
      <c r="E1597">
        <f>IF(ISBLANK('ENGAGEMENTS 2026'!C1597),"",'ENGAGEMENTS 2026'!I1597)</f>
        <v/>
      </c>
      <c r="F1597">
        <f>IF(ISBLANK('ENGAGEMENTS 2026'!C1597),"",'ENGAGEMENTS 2026'!J1597)</f>
        <v/>
      </c>
      <c r="G1597">
        <f>IF(ISBLANK('ENGAGEMENTS 2026'!C1597),"",'ENGAGEMENTS 2026'!M1597)</f>
        <v/>
      </c>
      <c r="H1597">
        <f>IF(ISBLANK('ENGAGEMENTS 2026'!C1597),"",'ENGAGEMENTS 2026'!AF1597)</f>
        <v/>
      </c>
      <c r="I1597">
        <f>IF(ISBLANK('ENGAGEMENTS 2026'!C1597),"",'ENGAGEMENTS 2026'!H1597)</f>
        <v/>
      </c>
      <c r="J1597" s="275">
        <f>IF(ISBLANK('ENGAGEMENTS 2026'!C1597),"",IF(AND(OR($E1597="INFRUCTUEUX",$E1597="ANNULE"),$C1597="AOO-M"),'ENGAGEMENTS 2026'!P1597,IF($H1597="EN COURS DE PREENGAGEMENT",'ENGAGEMENTS 2026'!O1597,IF($H1597="PREENGAGE",IF($E1597="ATTRIBUE",'ENGAGEMENTS 2026'!AE1597,'ENGAGEMENTS 2026'!O1597),'ENGAGEMENTS 2026'!AE1597))))</f>
        <v/>
      </c>
      <c r="K1597" s="604">
        <f>IF(ISBLANK('ENGAGEMENTS 2026'!W1597),"",'ENGAGEMENTS 2026'!W1597)</f>
        <v/>
      </c>
      <c r="L1597" s="276">
        <f>IF($K1597="","",TODAY()-$K1597)</f>
        <v/>
      </c>
      <c r="M1597">
        <f>IF($A1597="","",IF($H1597="ENGAGE","Engagé",IF(AND($H1597="NON ENGAGE",OR($I1597="INFRUCTUEUX",$I1597="ANNULE")),"Clôturé sans suite","En cours")))</f>
        <v/>
      </c>
      <c r="N1597">
        <f>IF(ISBLANK('ENGAGEMENTS 2026'!C1597),"",'ENGAGEMENTS 2026'!L1597)</f>
        <v/>
      </c>
      <c r="O1597">
        <f>IF(ISBLANK('ENGAGEMENTS 2026'!C1597),"",'ENGAGEMENTS 2026'!M1597)</f>
        <v/>
      </c>
      <c r="P1597">
        <f>IF(ISBLANK('ENGAGEMENTS 2026'!C1597),"",'ENGAGEMENTS 2026'!K1597)</f>
        <v/>
      </c>
      <c r="Q1597">
        <f>IF($A1597="","",IF(OR($E1597="INFRUCTUEUX",$E1597="ANNULE"),$A1597&amp;"|"&amp;(COUNTIFS($A$2:$A1597,$A1597,$E$2:$E1597,"INFRUCTUEUX")+COUNTIFS($A$2:$A1597,$A1597,$E$2:$E1597,"ANNULE")),""))</f>
        <v/>
      </c>
    </row>
    <row r="1598">
      <c r="A1598">
        <f>IF(ISBLANK('ENGAGEMENTS 2026'!C1598),"",IF('ENGAGEMENTS 2026'!C1598="DTSI","DCT",'ENGAGEMENTS 2026'!C1598))</f>
        <v/>
      </c>
      <c r="B1598">
        <f>IF(ISBLANK('ENGAGEMENTS 2026'!C1598),"",'ENGAGEMENTS 2026'!D1598)</f>
        <v/>
      </c>
      <c r="C1598">
        <f>IF(ISBLANK('ENGAGEMENTS 2026'!C1598),"",'ENGAGEMENTS 2026'!E1598)</f>
        <v/>
      </c>
      <c r="D1598">
        <f>IF(ISBLANK('ENGAGEMENTS 2026'!C1598),"",'ENGAGEMENTS 2026'!G1598)</f>
        <v/>
      </c>
      <c r="E1598">
        <f>IF(ISBLANK('ENGAGEMENTS 2026'!C1598),"",'ENGAGEMENTS 2026'!I1598)</f>
        <v/>
      </c>
      <c r="F1598">
        <f>IF(ISBLANK('ENGAGEMENTS 2026'!C1598),"",'ENGAGEMENTS 2026'!J1598)</f>
        <v/>
      </c>
      <c r="G1598">
        <f>IF(ISBLANK('ENGAGEMENTS 2026'!C1598),"",'ENGAGEMENTS 2026'!M1598)</f>
        <v/>
      </c>
      <c r="H1598">
        <f>IF(ISBLANK('ENGAGEMENTS 2026'!C1598),"",'ENGAGEMENTS 2026'!AF1598)</f>
        <v/>
      </c>
      <c r="I1598">
        <f>IF(ISBLANK('ENGAGEMENTS 2026'!C1598),"",'ENGAGEMENTS 2026'!H1598)</f>
        <v/>
      </c>
      <c r="J1598" s="275">
        <f>IF(ISBLANK('ENGAGEMENTS 2026'!C1598),"",IF(AND(OR($E1598="INFRUCTUEUX",$E1598="ANNULE"),$C1598="AOO-M"),'ENGAGEMENTS 2026'!P1598,IF($H1598="EN COURS DE PREENGAGEMENT",'ENGAGEMENTS 2026'!O1598,IF($H1598="PREENGAGE",IF($E1598="ATTRIBUE",'ENGAGEMENTS 2026'!AE1598,'ENGAGEMENTS 2026'!O1598),'ENGAGEMENTS 2026'!AE1598))))</f>
        <v/>
      </c>
      <c r="K1598" s="604">
        <f>IF(ISBLANK('ENGAGEMENTS 2026'!W1598),"",'ENGAGEMENTS 2026'!W1598)</f>
        <v/>
      </c>
      <c r="L1598" s="276">
        <f>IF($K1598="","",TODAY()-$K1598)</f>
        <v/>
      </c>
      <c r="M1598">
        <f>IF($A1598="","",IF($H1598="ENGAGE","Engagé",IF(AND($H1598="NON ENGAGE",OR($I1598="INFRUCTUEUX",$I1598="ANNULE")),"Clôturé sans suite","En cours")))</f>
        <v/>
      </c>
      <c r="N1598">
        <f>IF(ISBLANK('ENGAGEMENTS 2026'!C1598),"",'ENGAGEMENTS 2026'!L1598)</f>
        <v/>
      </c>
      <c r="O1598">
        <f>IF(ISBLANK('ENGAGEMENTS 2026'!C1598),"",'ENGAGEMENTS 2026'!M1598)</f>
        <v/>
      </c>
      <c r="P1598">
        <f>IF(ISBLANK('ENGAGEMENTS 2026'!C1598),"",'ENGAGEMENTS 2026'!K1598)</f>
        <v/>
      </c>
      <c r="Q1598">
        <f>IF($A1598="","",IF(OR($E1598="INFRUCTUEUX",$E1598="ANNULE"),$A1598&amp;"|"&amp;(COUNTIFS($A$2:$A1598,$A1598,$E$2:$E1598,"INFRUCTUEUX")+COUNTIFS($A$2:$A1598,$A1598,$E$2:$E1598,"ANNULE")),""))</f>
        <v/>
      </c>
    </row>
    <row r="1599">
      <c r="A1599">
        <f>IF(ISBLANK('ENGAGEMENTS 2026'!C1599),"",IF('ENGAGEMENTS 2026'!C1599="DTSI","DCT",'ENGAGEMENTS 2026'!C1599))</f>
        <v/>
      </c>
      <c r="B1599">
        <f>IF(ISBLANK('ENGAGEMENTS 2026'!C1599),"",'ENGAGEMENTS 2026'!D1599)</f>
        <v/>
      </c>
      <c r="C1599">
        <f>IF(ISBLANK('ENGAGEMENTS 2026'!C1599),"",'ENGAGEMENTS 2026'!E1599)</f>
        <v/>
      </c>
      <c r="D1599">
        <f>IF(ISBLANK('ENGAGEMENTS 2026'!C1599),"",'ENGAGEMENTS 2026'!G1599)</f>
        <v/>
      </c>
      <c r="E1599">
        <f>IF(ISBLANK('ENGAGEMENTS 2026'!C1599),"",'ENGAGEMENTS 2026'!I1599)</f>
        <v/>
      </c>
      <c r="F1599">
        <f>IF(ISBLANK('ENGAGEMENTS 2026'!C1599),"",'ENGAGEMENTS 2026'!J1599)</f>
        <v/>
      </c>
      <c r="G1599">
        <f>IF(ISBLANK('ENGAGEMENTS 2026'!C1599),"",'ENGAGEMENTS 2026'!M1599)</f>
        <v/>
      </c>
      <c r="H1599">
        <f>IF(ISBLANK('ENGAGEMENTS 2026'!C1599),"",'ENGAGEMENTS 2026'!AF1599)</f>
        <v/>
      </c>
      <c r="I1599">
        <f>IF(ISBLANK('ENGAGEMENTS 2026'!C1599),"",'ENGAGEMENTS 2026'!H1599)</f>
        <v/>
      </c>
      <c r="J1599" s="275">
        <f>IF(ISBLANK('ENGAGEMENTS 2026'!C1599),"",IF(AND(OR($E1599="INFRUCTUEUX",$E1599="ANNULE"),$C1599="AOO-M"),'ENGAGEMENTS 2026'!P1599,IF($H1599="EN COURS DE PREENGAGEMENT",'ENGAGEMENTS 2026'!O1599,IF($H1599="PREENGAGE",IF($E1599="ATTRIBUE",'ENGAGEMENTS 2026'!AE1599,'ENGAGEMENTS 2026'!O1599),'ENGAGEMENTS 2026'!AE1599))))</f>
        <v/>
      </c>
      <c r="K1599" s="604">
        <f>IF(ISBLANK('ENGAGEMENTS 2026'!W1599),"",'ENGAGEMENTS 2026'!W1599)</f>
        <v/>
      </c>
      <c r="L1599" s="276">
        <f>IF($K1599="","",TODAY()-$K1599)</f>
        <v/>
      </c>
      <c r="M1599">
        <f>IF($A1599="","",IF($H1599="ENGAGE","Engagé",IF(AND($H1599="NON ENGAGE",OR($I1599="INFRUCTUEUX",$I1599="ANNULE")),"Clôturé sans suite","En cours")))</f>
        <v/>
      </c>
      <c r="N1599">
        <f>IF(ISBLANK('ENGAGEMENTS 2026'!C1599),"",'ENGAGEMENTS 2026'!L1599)</f>
        <v/>
      </c>
      <c r="O1599">
        <f>IF(ISBLANK('ENGAGEMENTS 2026'!C1599),"",'ENGAGEMENTS 2026'!M1599)</f>
        <v/>
      </c>
      <c r="P1599">
        <f>IF(ISBLANK('ENGAGEMENTS 2026'!C1599),"",'ENGAGEMENTS 2026'!K1599)</f>
        <v/>
      </c>
      <c r="Q1599">
        <f>IF($A1599="","",IF(OR($E1599="INFRUCTUEUX",$E1599="ANNULE"),$A1599&amp;"|"&amp;(COUNTIFS($A$2:$A1599,$A1599,$E$2:$E1599,"INFRUCTUEUX")+COUNTIFS($A$2:$A1599,$A1599,$E$2:$E1599,"ANNULE")),""))</f>
        <v/>
      </c>
    </row>
    <row r="1600">
      <c r="A1600">
        <f>IF(ISBLANK('ENGAGEMENTS 2026'!C1600),"",IF('ENGAGEMENTS 2026'!C1600="DTSI","DCT",'ENGAGEMENTS 2026'!C1600))</f>
        <v/>
      </c>
      <c r="B1600">
        <f>IF(ISBLANK('ENGAGEMENTS 2026'!C1600),"",'ENGAGEMENTS 2026'!D1600)</f>
        <v/>
      </c>
      <c r="C1600">
        <f>IF(ISBLANK('ENGAGEMENTS 2026'!C1600),"",'ENGAGEMENTS 2026'!E1600)</f>
        <v/>
      </c>
      <c r="D1600">
        <f>IF(ISBLANK('ENGAGEMENTS 2026'!C1600),"",'ENGAGEMENTS 2026'!G1600)</f>
        <v/>
      </c>
      <c r="E1600">
        <f>IF(ISBLANK('ENGAGEMENTS 2026'!C1600),"",'ENGAGEMENTS 2026'!I1600)</f>
        <v/>
      </c>
      <c r="F1600">
        <f>IF(ISBLANK('ENGAGEMENTS 2026'!C1600),"",'ENGAGEMENTS 2026'!J1600)</f>
        <v/>
      </c>
      <c r="G1600">
        <f>IF(ISBLANK('ENGAGEMENTS 2026'!C1600),"",'ENGAGEMENTS 2026'!M1600)</f>
        <v/>
      </c>
      <c r="H1600">
        <f>IF(ISBLANK('ENGAGEMENTS 2026'!C1600),"",'ENGAGEMENTS 2026'!AF1600)</f>
        <v/>
      </c>
      <c r="I1600">
        <f>IF(ISBLANK('ENGAGEMENTS 2026'!C1600),"",'ENGAGEMENTS 2026'!H1600)</f>
        <v/>
      </c>
      <c r="J1600" s="275">
        <f>IF(ISBLANK('ENGAGEMENTS 2026'!C1600),"",IF(AND(OR($E1600="INFRUCTUEUX",$E1600="ANNULE"),$C1600="AOO-M"),'ENGAGEMENTS 2026'!P1600,IF($H1600="EN COURS DE PREENGAGEMENT",'ENGAGEMENTS 2026'!O1600,IF($H1600="PREENGAGE",IF($E1600="ATTRIBUE",'ENGAGEMENTS 2026'!AE1600,'ENGAGEMENTS 2026'!O1600),'ENGAGEMENTS 2026'!AE1600))))</f>
        <v/>
      </c>
      <c r="K1600" s="604">
        <f>IF(ISBLANK('ENGAGEMENTS 2026'!W1600),"",'ENGAGEMENTS 2026'!W1600)</f>
        <v/>
      </c>
      <c r="L1600" s="276">
        <f>IF($K1600="","",TODAY()-$K1600)</f>
        <v/>
      </c>
      <c r="M1600">
        <f>IF($A1600="","",IF($H1600="ENGAGE","Engagé",IF(AND($H1600="NON ENGAGE",OR($I1600="INFRUCTUEUX",$I1600="ANNULE")),"Clôturé sans suite","En cours")))</f>
        <v/>
      </c>
      <c r="N1600">
        <f>IF(ISBLANK('ENGAGEMENTS 2026'!C1600),"",'ENGAGEMENTS 2026'!L1600)</f>
        <v/>
      </c>
      <c r="O1600">
        <f>IF(ISBLANK('ENGAGEMENTS 2026'!C1600),"",'ENGAGEMENTS 2026'!M1600)</f>
        <v/>
      </c>
      <c r="P1600">
        <f>IF(ISBLANK('ENGAGEMENTS 2026'!C1600),"",'ENGAGEMENTS 2026'!K1600)</f>
        <v/>
      </c>
      <c r="Q1600">
        <f>IF($A1600="","",IF(OR($E1600="INFRUCTUEUX",$E1600="ANNULE"),$A1600&amp;"|"&amp;(COUNTIFS($A$2:$A1600,$A1600,$E$2:$E1600,"INFRUCTUEUX")+COUNTIFS($A$2:$A1600,$A1600,$E$2:$E1600,"ANNULE")),""))</f>
        <v/>
      </c>
    </row>
    <row r="1601">
      <c r="A1601">
        <f>IF(ISBLANK('ENGAGEMENTS 2026'!C1601),"",IF('ENGAGEMENTS 2026'!C1601="DTSI","DCT",'ENGAGEMENTS 2026'!C1601))</f>
        <v/>
      </c>
      <c r="B1601">
        <f>IF(ISBLANK('ENGAGEMENTS 2026'!C1601),"",'ENGAGEMENTS 2026'!D1601)</f>
        <v/>
      </c>
      <c r="C1601">
        <f>IF(ISBLANK('ENGAGEMENTS 2026'!C1601),"",'ENGAGEMENTS 2026'!E1601)</f>
        <v/>
      </c>
      <c r="D1601">
        <f>IF(ISBLANK('ENGAGEMENTS 2026'!C1601),"",'ENGAGEMENTS 2026'!G1601)</f>
        <v/>
      </c>
      <c r="E1601">
        <f>IF(ISBLANK('ENGAGEMENTS 2026'!C1601),"",'ENGAGEMENTS 2026'!I1601)</f>
        <v/>
      </c>
      <c r="F1601">
        <f>IF(ISBLANK('ENGAGEMENTS 2026'!C1601),"",'ENGAGEMENTS 2026'!J1601)</f>
        <v/>
      </c>
      <c r="G1601">
        <f>IF(ISBLANK('ENGAGEMENTS 2026'!C1601),"",'ENGAGEMENTS 2026'!M1601)</f>
        <v/>
      </c>
      <c r="H1601">
        <f>IF(ISBLANK('ENGAGEMENTS 2026'!C1601),"",'ENGAGEMENTS 2026'!AF1601)</f>
        <v/>
      </c>
      <c r="I1601">
        <f>IF(ISBLANK('ENGAGEMENTS 2026'!C1601),"",'ENGAGEMENTS 2026'!H1601)</f>
        <v/>
      </c>
      <c r="J1601" s="275">
        <f>IF(ISBLANK('ENGAGEMENTS 2026'!C1601),"",IF(AND(OR($E1601="INFRUCTUEUX",$E1601="ANNULE"),$C1601="AOO-M"),'ENGAGEMENTS 2026'!P1601,IF($H1601="EN COURS DE PREENGAGEMENT",'ENGAGEMENTS 2026'!O1601,IF($H1601="PREENGAGE",IF($E1601="ATTRIBUE",'ENGAGEMENTS 2026'!AE1601,'ENGAGEMENTS 2026'!O1601),'ENGAGEMENTS 2026'!AE1601))))</f>
        <v/>
      </c>
      <c r="K1601" s="604">
        <f>IF(ISBLANK('ENGAGEMENTS 2026'!W1601),"",'ENGAGEMENTS 2026'!W1601)</f>
        <v/>
      </c>
      <c r="L1601" s="276">
        <f>IF($K1601="","",TODAY()-$K1601)</f>
        <v/>
      </c>
      <c r="M1601">
        <f>IF($A1601="","",IF($H1601="ENGAGE","Engagé",IF(AND($H1601="NON ENGAGE",OR($I1601="INFRUCTUEUX",$I1601="ANNULE")),"Clôturé sans suite","En cours")))</f>
        <v/>
      </c>
      <c r="N1601">
        <f>IF(ISBLANK('ENGAGEMENTS 2026'!C1601),"",'ENGAGEMENTS 2026'!L1601)</f>
        <v/>
      </c>
      <c r="O1601">
        <f>IF(ISBLANK('ENGAGEMENTS 2026'!C1601),"",'ENGAGEMENTS 2026'!M1601)</f>
        <v/>
      </c>
      <c r="P1601">
        <f>IF(ISBLANK('ENGAGEMENTS 2026'!C1601),"",'ENGAGEMENTS 2026'!K1601)</f>
        <v/>
      </c>
      <c r="Q1601">
        <f>IF($A1601="","",IF(OR($E1601="INFRUCTUEUX",$E1601="ANNULE"),$A1601&amp;"|"&amp;(COUNTIFS($A$2:$A1601,$A1601,$E$2:$E1601,"INFRUCTUEUX")+COUNTIFS($A$2:$A1601,$A1601,$E$2:$E1601,"ANNULE")),""))</f>
        <v/>
      </c>
    </row>
    <row r="1602">
      <c r="A1602">
        <f>IF(ISBLANK('ENGAGEMENTS 2026'!C1602),"",IF('ENGAGEMENTS 2026'!C1602="DTSI","DCT",'ENGAGEMENTS 2026'!C1602))</f>
        <v/>
      </c>
      <c r="B1602">
        <f>IF(ISBLANK('ENGAGEMENTS 2026'!C1602),"",'ENGAGEMENTS 2026'!D1602)</f>
        <v/>
      </c>
      <c r="C1602">
        <f>IF(ISBLANK('ENGAGEMENTS 2026'!C1602),"",'ENGAGEMENTS 2026'!E1602)</f>
        <v/>
      </c>
      <c r="D1602">
        <f>IF(ISBLANK('ENGAGEMENTS 2026'!C1602),"",'ENGAGEMENTS 2026'!G1602)</f>
        <v/>
      </c>
      <c r="E1602">
        <f>IF(ISBLANK('ENGAGEMENTS 2026'!C1602),"",'ENGAGEMENTS 2026'!I1602)</f>
        <v/>
      </c>
      <c r="F1602">
        <f>IF(ISBLANK('ENGAGEMENTS 2026'!C1602),"",'ENGAGEMENTS 2026'!J1602)</f>
        <v/>
      </c>
      <c r="G1602">
        <f>IF(ISBLANK('ENGAGEMENTS 2026'!C1602),"",'ENGAGEMENTS 2026'!M1602)</f>
        <v/>
      </c>
      <c r="H1602">
        <f>IF(ISBLANK('ENGAGEMENTS 2026'!C1602),"",'ENGAGEMENTS 2026'!AF1602)</f>
        <v/>
      </c>
      <c r="I1602">
        <f>IF(ISBLANK('ENGAGEMENTS 2026'!C1602),"",'ENGAGEMENTS 2026'!H1602)</f>
        <v/>
      </c>
      <c r="J1602" s="275">
        <f>IF(ISBLANK('ENGAGEMENTS 2026'!C1602),"",IF(AND(OR($E1602="INFRUCTUEUX",$E1602="ANNULE"),$C1602="AOO-M"),'ENGAGEMENTS 2026'!P1602,IF($H1602="EN COURS DE PREENGAGEMENT",'ENGAGEMENTS 2026'!O1602,IF($H1602="PREENGAGE",IF($E1602="ATTRIBUE",'ENGAGEMENTS 2026'!AE1602,'ENGAGEMENTS 2026'!O1602),'ENGAGEMENTS 2026'!AE1602))))</f>
        <v/>
      </c>
      <c r="K1602" s="604">
        <f>IF(ISBLANK('ENGAGEMENTS 2026'!W1602),"",'ENGAGEMENTS 2026'!W1602)</f>
        <v/>
      </c>
      <c r="L1602" s="276">
        <f>IF($K1602="","",TODAY()-$K1602)</f>
        <v/>
      </c>
      <c r="M1602">
        <f>IF($A1602="","",IF($H1602="ENGAGE","Engagé",IF(AND($H1602="NON ENGAGE",OR($I1602="INFRUCTUEUX",$I1602="ANNULE")),"Clôturé sans suite","En cours")))</f>
        <v/>
      </c>
      <c r="N1602">
        <f>IF(ISBLANK('ENGAGEMENTS 2026'!C1602),"",'ENGAGEMENTS 2026'!L1602)</f>
        <v/>
      </c>
      <c r="O1602">
        <f>IF(ISBLANK('ENGAGEMENTS 2026'!C1602),"",'ENGAGEMENTS 2026'!M1602)</f>
        <v/>
      </c>
      <c r="P1602">
        <f>IF(ISBLANK('ENGAGEMENTS 2026'!C1602),"",'ENGAGEMENTS 2026'!K1602)</f>
        <v/>
      </c>
      <c r="Q1602">
        <f>IF($A1602="","",IF(OR($E1602="INFRUCTUEUX",$E1602="ANNULE"),$A1602&amp;"|"&amp;(COUNTIFS($A$2:$A1602,$A1602,$E$2:$E1602,"INFRUCTUEUX")+COUNTIFS($A$2:$A1602,$A1602,$E$2:$E1602,"ANNULE")),""))</f>
        <v/>
      </c>
    </row>
    <row r="1603">
      <c r="A1603">
        <f>IF(ISBLANK('ENGAGEMENTS 2026'!C1603),"",IF('ENGAGEMENTS 2026'!C1603="DTSI","DCT",'ENGAGEMENTS 2026'!C1603))</f>
        <v/>
      </c>
      <c r="B1603">
        <f>IF(ISBLANK('ENGAGEMENTS 2026'!C1603),"",'ENGAGEMENTS 2026'!D1603)</f>
        <v/>
      </c>
      <c r="C1603">
        <f>IF(ISBLANK('ENGAGEMENTS 2026'!C1603),"",'ENGAGEMENTS 2026'!E1603)</f>
        <v/>
      </c>
      <c r="D1603">
        <f>IF(ISBLANK('ENGAGEMENTS 2026'!C1603),"",'ENGAGEMENTS 2026'!G1603)</f>
        <v/>
      </c>
      <c r="E1603">
        <f>IF(ISBLANK('ENGAGEMENTS 2026'!C1603),"",'ENGAGEMENTS 2026'!I1603)</f>
        <v/>
      </c>
      <c r="F1603">
        <f>IF(ISBLANK('ENGAGEMENTS 2026'!C1603),"",'ENGAGEMENTS 2026'!J1603)</f>
        <v/>
      </c>
      <c r="G1603">
        <f>IF(ISBLANK('ENGAGEMENTS 2026'!C1603),"",'ENGAGEMENTS 2026'!M1603)</f>
        <v/>
      </c>
      <c r="H1603">
        <f>IF(ISBLANK('ENGAGEMENTS 2026'!C1603),"",'ENGAGEMENTS 2026'!AF1603)</f>
        <v/>
      </c>
      <c r="I1603">
        <f>IF(ISBLANK('ENGAGEMENTS 2026'!C1603),"",'ENGAGEMENTS 2026'!H1603)</f>
        <v/>
      </c>
      <c r="J1603" s="275">
        <f>IF(ISBLANK('ENGAGEMENTS 2026'!C1603),"",IF(AND(OR($E1603="INFRUCTUEUX",$E1603="ANNULE"),$C1603="AOO-M"),'ENGAGEMENTS 2026'!P1603,IF($H1603="EN COURS DE PREENGAGEMENT",'ENGAGEMENTS 2026'!O1603,IF($H1603="PREENGAGE",IF($E1603="ATTRIBUE",'ENGAGEMENTS 2026'!AE1603,'ENGAGEMENTS 2026'!O1603),'ENGAGEMENTS 2026'!AE1603))))</f>
        <v/>
      </c>
      <c r="K1603" s="604">
        <f>IF(ISBLANK('ENGAGEMENTS 2026'!W1603),"",'ENGAGEMENTS 2026'!W1603)</f>
        <v/>
      </c>
      <c r="L1603" s="276">
        <f>IF($K1603="","",TODAY()-$K1603)</f>
        <v/>
      </c>
      <c r="M1603">
        <f>IF($A1603="","",IF($H1603="ENGAGE","Engagé",IF(AND($H1603="NON ENGAGE",OR($I1603="INFRUCTUEUX",$I1603="ANNULE")),"Clôturé sans suite","En cours")))</f>
        <v/>
      </c>
      <c r="N1603">
        <f>IF(ISBLANK('ENGAGEMENTS 2026'!C1603),"",'ENGAGEMENTS 2026'!L1603)</f>
        <v/>
      </c>
      <c r="O1603">
        <f>IF(ISBLANK('ENGAGEMENTS 2026'!C1603),"",'ENGAGEMENTS 2026'!M1603)</f>
        <v/>
      </c>
      <c r="P1603">
        <f>IF(ISBLANK('ENGAGEMENTS 2026'!C1603),"",'ENGAGEMENTS 2026'!K1603)</f>
        <v/>
      </c>
      <c r="Q1603">
        <f>IF($A1603="","",IF(OR($E1603="INFRUCTUEUX",$E1603="ANNULE"),$A1603&amp;"|"&amp;(COUNTIFS($A$2:$A1603,$A1603,$E$2:$E1603,"INFRUCTUEUX")+COUNTIFS($A$2:$A1603,$A1603,$E$2:$E1603,"ANNULE")),""))</f>
        <v/>
      </c>
    </row>
    <row r="1604">
      <c r="A1604">
        <f>IF(ISBLANK('ENGAGEMENTS 2026'!C1604),"",IF('ENGAGEMENTS 2026'!C1604="DTSI","DCT",'ENGAGEMENTS 2026'!C1604))</f>
        <v/>
      </c>
      <c r="B1604">
        <f>IF(ISBLANK('ENGAGEMENTS 2026'!C1604),"",'ENGAGEMENTS 2026'!D1604)</f>
        <v/>
      </c>
      <c r="C1604">
        <f>IF(ISBLANK('ENGAGEMENTS 2026'!C1604),"",'ENGAGEMENTS 2026'!E1604)</f>
        <v/>
      </c>
      <c r="D1604">
        <f>IF(ISBLANK('ENGAGEMENTS 2026'!C1604),"",'ENGAGEMENTS 2026'!G1604)</f>
        <v/>
      </c>
      <c r="E1604">
        <f>IF(ISBLANK('ENGAGEMENTS 2026'!C1604),"",'ENGAGEMENTS 2026'!I1604)</f>
        <v/>
      </c>
      <c r="F1604">
        <f>IF(ISBLANK('ENGAGEMENTS 2026'!C1604),"",'ENGAGEMENTS 2026'!J1604)</f>
        <v/>
      </c>
      <c r="G1604">
        <f>IF(ISBLANK('ENGAGEMENTS 2026'!C1604),"",'ENGAGEMENTS 2026'!M1604)</f>
        <v/>
      </c>
      <c r="H1604">
        <f>IF(ISBLANK('ENGAGEMENTS 2026'!C1604),"",'ENGAGEMENTS 2026'!AF1604)</f>
        <v/>
      </c>
      <c r="I1604">
        <f>IF(ISBLANK('ENGAGEMENTS 2026'!C1604),"",'ENGAGEMENTS 2026'!H1604)</f>
        <v/>
      </c>
      <c r="J1604" s="275">
        <f>IF(ISBLANK('ENGAGEMENTS 2026'!C1604),"",IF(AND(OR($E1604="INFRUCTUEUX",$E1604="ANNULE"),$C1604="AOO-M"),'ENGAGEMENTS 2026'!P1604,IF($H1604="EN COURS DE PREENGAGEMENT",'ENGAGEMENTS 2026'!O1604,IF($H1604="PREENGAGE",IF($E1604="ATTRIBUE",'ENGAGEMENTS 2026'!AE1604,'ENGAGEMENTS 2026'!O1604),'ENGAGEMENTS 2026'!AE1604))))</f>
        <v/>
      </c>
      <c r="K1604" s="604">
        <f>IF(ISBLANK('ENGAGEMENTS 2026'!W1604),"",'ENGAGEMENTS 2026'!W1604)</f>
        <v/>
      </c>
      <c r="L1604" s="276">
        <f>IF($K1604="","",TODAY()-$K1604)</f>
        <v/>
      </c>
      <c r="M1604">
        <f>IF($A1604="","",IF($H1604="ENGAGE","Engagé",IF(AND($H1604="NON ENGAGE",OR($I1604="INFRUCTUEUX",$I1604="ANNULE")),"Clôturé sans suite","En cours")))</f>
        <v/>
      </c>
      <c r="N1604">
        <f>IF(ISBLANK('ENGAGEMENTS 2026'!C1604),"",'ENGAGEMENTS 2026'!L1604)</f>
        <v/>
      </c>
      <c r="O1604">
        <f>IF(ISBLANK('ENGAGEMENTS 2026'!C1604),"",'ENGAGEMENTS 2026'!M1604)</f>
        <v/>
      </c>
      <c r="P1604">
        <f>IF(ISBLANK('ENGAGEMENTS 2026'!C1604),"",'ENGAGEMENTS 2026'!K1604)</f>
        <v/>
      </c>
      <c r="Q1604">
        <f>IF($A1604="","",IF(OR($E1604="INFRUCTUEUX",$E1604="ANNULE"),$A1604&amp;"|"&amp;(COUNTIFS($A$2:$A1604,$A1604,$E$2:$E1604,"INFRUCTUEUX")+COUNTIFS($A$2:$A1604,$A1604,$E$2:$E1604,"ANNULE")),""))</f>
        <v/>
      </c>
    </row>
    <row r="1605">
      <c r="A1605">
        <f>IF(ISBLANK('ENGAGEMENTS 2026'!C1605),"",IF('ENGAGEMENTS 2026'!C1605="DTSI","DCT",'ENGAGEMENTS 2026'!C1605))</f>
        <v/>
      </c>
      <c r="B1605">
        <f>IF(ISBLANK('ENGAGEMENTS 2026'!C1605),"",'ENGAGEMENTS 2026'!D1605)</f>
        <v/>
      </c>
      <c r="C1605">
        <f>IF(ISBLANK('ENGAGEMENTS 2026'!C1605),"",'ENGAGEMENTS 2026'!E1605)</f>
        <v/>
      </c>
      <c r="D1605">
        <f>IF(ISBLANK('ENGAGEMENTS 2026'!C1605),"",'ENGAGEMENTS 2026'!G1605)</f>
        <v/>
      </c>
      <c r="E1605">
        <f>IF(ISBLANK('ENGAGEMENTS 2026'!C1605),"",'ENGAGEMENTS 2026'!I1605)</f>
        <v/>
      </c>
      <c r="F1605">
        <f>IF(ISBLANK('ENGAGEMENTS 2026'!C1605),"",'ENGAGEMENTS 2026'!J1605)</f>
        <v/>
      </c>
      <c r="G1605">
        <f>IF(ISBLANK('ENGAGEMENTS 2026'!C1605),"",'ENGAGEMENTS 2026'!M1605)</f>
        <v/>
      </c>
      <c r="H1605">
        <f>IF(ISBLANK('ENGAGEMENTS 2026'!C1605),"",'ENGAGEMENTS 2026'!AF1605)</f>
        <v/>
      </c>
      <c r="I1605">
        <f>IF(ISBLANK('ENGAGEMENTS 2026'!C1605),"",'ENGAGEMENTS 2026'!H1605)</f>
        <v/>
      </c>
      <c r="J1605" s="275">
        <f>IF(ISBLANK('ENGAGEMENTS 2026'!C1605),"",IF(AND(OR($E1605="INFRUCTUEUX",$E1605="ANNULE"),$C1605="AOO-M"),'ENGAGEMENTS 2026'!P1605,IF($H1605="EN COURS DE PREENGAGEMENT",'ENGAGEMENTS 2026'!O1605,IF($H1605="PREENGAGE",IF($E1605="ATTRIBUE",'ENGAGEMENTS 2026'!AE1605,'ENGAGEMENTS 2026'!O1605),'ENGAGEMENTS 2026'!AE1605))))</f>
        <v/>
      </c>
      <c r="K1605" s="604">
        <f>IF(ISBLANK('ENGAGEMENTS 2026'!W1605),"",'ENGAGEMENTS 2026'!W1605)</f>
        <v/>
      </c>
      <c r="L1605" s="276">
        <f>IF($K1605="","",TODAY()-$K1605)</f>
        <v/>
      </c>
      <c r="M1605">
        <f>IF($A1605="","",IF($H1605="ENGAGE","Engagé",IF(AND($H1605="NON ENGAGE",OR($I1605="INFRUCTUEUX",$I1605="ANNULE")),"Clôturé sans suite","En cours")))</f>
        <v/>
      </c>
      <c r="N1605">
        <f>IF(ISBLANK('ENGAGEMENTS 2026'!C1605),"",'ENGAGEMENTS 2026'!L1605)</f>
        <v/>
      </c>
      <c r="O1605">
        <f>IF(ISBLANK('ENGAGEMENTS 2026'!C1605),"",'ENGAGEMENTS 2026'!M1605)</f>
        <v/>
      </c>
      <c r="P1605">
        <f>IF(ISBLANK('ENGAGEMENTS 2026'!C1605),"",'ENGAGEMENTS 2026'!K1605)</f>
        <v/>
      </c>
      <c r="Q1605">
        <f>IF($A1605="","",IF(OR($E1605="INFRUCTUEUX",$E1605="ANNULE"),$A1605&amp;"|"&amp;(COUNTIFS($A$2:$A1605,$A1605,$E$2:$E1605,"INFRUCTUEUX")+COUNTIFS($A$2:$A1605,$A1605,$E$2:$E1605,"ANNULE")),""))</f>
        <v/>
      </c>
    </row>
    <row r="1606">
      <c r="A1606">
        <f>IF(ISBLANK('ENGAGEMENTS 2026'!C1606),"",IF('ENGAGEMENTS 2026'!C1606="DTSI","DCT",'ENGAGEMENTS 2026'!C1606))</f>
        <v/>
      </c>
      <c r="B1606">
        <f>IF(ISBLANK('ENGAGEMENTS 2026'!C1606),"",'ENGAGEMENTS 2026'!D1606)</f>
        <v/>
      </c>
      <c r="C1606">
        <f>IF(ISBLANK('ENGAGEMENTS 2026'!C1606),"",'ENGAGEMENTS 2026'!E1606)</f>
        <v/>
      </c>
      <c r="D1606">
        <f>IF(ISBLANK('ENGAGEMENTS 2026'!C1606),"",'ENGAGEMENTS 2026'!G1606)</f>
        <v/>
      </c>
      <c r="E1606">
        <f>IF(ISBLANK('ENGAGEMENTS 2026'!C1606),"",'ENGAGEMENTS 2026'!I1606)</f>
        <v/>
      </c>
      <c r="F1606">
        <f>IF(ISBLANK('ENGAGEMENTS 2026'!C1606),"",'ENGAGEMENTS 2026'!J1606)</f>
        <v/>
      </c>
      <c r="G1606">
        <f>IF(ISBLANK('ENGAGEMENTS 2026'!C1606),"",'ENGAGEMENTS 2026'!M1606)</f>
        <v/>
      </c>
      <c r="H1606">
        <f>IF(ISBLANK('ENGAGEMENTS 2026'!C1606),"",'ENGAGEMENTS 2026'!AF1606)</f>
        <v/>
      </c>
      <c r="I1606">
        <f>IF(ISBLANK('ENGAGEMENTS 2026'!C1606),"",'ENGAGEMENTS 2026'!H1606)</f>
        <v/>
      </c>
      <c r="J1606" s="275">
        <f>IF(ISBLANK('ENGAGEMENTS 2026'!C1606),"",IF(AND(OR($E1606="INFRUCTUEUX",$E1606="ANNULE"),$C1606="AOO-M"),'ENGAGEMENTS 2026'!P1606,IF($H1606="EN COURS DE PREENGAGEMENT",'ENGAGEMENTS 2026'!O1606,IF($H1606="PREENGAGE",IF($E1606="ATTRIBUE",'ENGAGEMENTS 2026'!AE1606,'ENGAGEMENTS 2026'!O1606),'ENGAGEMENTS 2026'!AE1606))))</f>
        <v/>
      </c>
      <c r="K1606" s="604">
        <f>IF(ISBLANK('ENGAGEMENTS 2026'!W1606),"",'ENGAGEMENTS 2026'!W1606)</f>
        <v/>
      </c>
      <c r="L1606" s="276">
        <f>IF($K1606="","",TODAY()-$K1606)</f>
        <v/>
      </c>
      <c r="M1606">
        <f>IF($A1606="","",IF($H1606="ENGAGE","Engagé",IF(AND($H1606="NON ENGAGE",OR($I1606="INFRUCTUEUX",$I1606="ANNULE")),"Clôturé sans suite","En cours")))</f>
        <v/>
      </c>
      <c r="N1606">
        <f>IF(ISBLANK('ENGAGEMENTS 2026'!C1606),"",'ENGAGEMENTS 2026'!L1606)</f>
        <v/>
      </c>
      <c r="O1606">
        <f>IF(ISBLANK('ENGAGEMENTS 2026'!C1606),"",'ENGAGEMENTS 2026'!M1606)</f>
        <v/>
      </c>
      <c r="P1606">
        <f>IF(ISBLANK('ENGAGEMENTS 2026'!C1606),"",'ENGAGEMENTS 2026'!K1606)</f>
        <v/>
      </c>
      <c r="Q1606">
        <f>IF($A1606="","",IF(OR($E1606="INFRUCTUEUX",$E1606="ANNULE"),$A1606&amp;"|"&amp;(COUNTIFS($A$2:$A1606,$A1606,$E$2:$E1606,"INFRUCTUEUX")+COUNTIFS($A$2:$A1606,$A1606,$E$2:$E1606,"ANNULE")),""))</f>
        <v/>
      </c>
    </row>
    <row r="1607">
      <c r="A1607">
        <f>IF(ISBLANK('ENGAGEMENTS 2026'!C1607),"",IF('ENGAGEMENTS 2026'!C1607="DTSI","DCT",'ENGAGEMENTS 2026'!C1607))</f>
        <v/>
      </c>
      <c r="B1607">
        <f>IF(ISBLANK('ENGAGEMENTS 2026'!C1607),"",'ENGAGEMENTS 2026'!D1607)</f>
        <v/>
      </c>
      <c r="C1607">
        <f>IF(ISBLANK('ENGAGEMENTS 2026'!C1607),"",'ENGAGEMENTS 2026'!E1607)</f>
        <v/>
      </c>
      <c r="D1607">
        <f>IF(ISBLANK('ENGAGEMENTS 2026'!C1607),"",'ENGAGEMENTS 2026'!G1607)</f>
        <v/>
      </c>
      <c r="E1607">
        <f>IF(ISBLANK('ENGAGEMENTS 2026'!C1607),"",'ENGAGEMENTS 2026'!I1607)</f>
        <v/>
      </c>
      <c r="F1607">
        <f>IF(ISBLANK('ENGAGEMENTS 2026'!C1607),"",'ENGAGEMENTS 2026'!J1607)</f>
        <v/>
      </c>
      <c r="G1607">
        <f>IF(ISBLANK('ENGAGEMENTS 2026'!C1607),"",'ENGAGEMENTS 2026'!M1607)</f>
        <v/>
      </c>
      <c r="H1607">
        <f>IF(ISBLANK('ENGAGEMENTS 2026'!C1607),"",'ENGAGEMENTS 2026'!AF1607)</f>
        <v/>
      </c>
      <c r="I1607">
        <f>IF(ISBLANK('ENGAGEMENTS 2026'!C1607),"",'ENGAGEMENTS 2026'!H1607)</f>
        <v/>
      </c>
      <c r="J1607" s="275">
        <f>IF(ISBLANK('ENGAGEMENTS 2026'!C1607),"",IF(AND(OR($E1607="INFRUCTUEUX",$E1607="ANNULE"),$C1607="AOO-M"),'ENGAGEMENTS 2026'!P1607,IF($H1607="EN COURS DE PREENGAGEMENT",'ENGAGEMENTS 2026'!O1607,IF($H1607="PREENGAGE",IF($E1607="ATTRIBUE",'ENGAGEMENTS 2026'!AE1607,'ENGAGEMENTS 2026'!O1607),'ENGAGEMENTS 2026'!AE1607))))</f>
        <v/>
      </c>
      <c r="K1607" s="604">
        <f>IF(ISBLANK('ENGAGEMENTS 2026'!W1607),"",'ENGAGEMENTS 2026'!W1607)</f>
        <v/>
      </c>
      <c r="L1607" s="276">
        <f>IF($K1607="","",TODAY()-$K1607)</f>
        <v/>
      </c>
      <c r="M1607">
        <f>IF($A1607="","",IF($H1607="ENGAGE","Engagé",IF(AND($H1607="NON ENGAGE",OR($I1607="INFRUCTUEUX",$I1607="ANNULE")),"Clôturé sans suite","En cours")))</f>
        <v/>
      </c>
      <c r="N1607">
        <f>IF(ISBLANK('ENGAGEMENTS 2026'!C1607),"",'ENGAGEMENTS 2026'!L1607)</f>
        <v/>
      </c>
      <c r="O1607">
        <f>IF(ISBLANK('ENGAGEMENTS 2026'!C1607),"",'ENGAGEMENTS 2026'!M1607)</f>
        <v/>
      </c>
      <c r="P1607">
        <f>IF(ISBLANK('ENGAGEMENTS 2026'!C1607),"",'ENGAGEMENTS 2026'!K1607)</f>
        <v/>
      </c>
      <c r="Q1607">
        <f>IF($A1607="","",IF(OR($E1607="INFRUCTUEUX",$E1607="ANNULE"),$A1607&amp;"|"&amp;(COUNTIFS($A$2:$A1607,$A1607,$E$2:$E1607,"INFRUCTUEUX")+COUNTIFS($A$2:$A1607,$A1607,$E$2:$E1607,"ANNULE")),""))</f>
        <v/>
      </c>
    </row>
    <row r="1608">
      <c r="A1608">
        <f>IF(ISBLANK('ENGAGEMENTS 2026'!C1608),"",IF('ENGAGEMENTS 2026'!C1608="DTSI","DCT",'ENGAGEMENTS 2026'!C1608))</f>
        <v/>
      </c>
      <c r="B1608">
        <f>IF(ISBLANK('ENGAGEMENTS 2026'!C1608),"",'ENGAGEMENTS 2026'!D1608)</f>
        <v/>
      </c>
      <c r="C1608">
        <f>IF(ISBLANK('ENGAGEMENTS 2026'!C1608),"",'ENGAGEMENTS 2026'!E1608)</f>
        <v/>
      </c>
      <c r="D1608">
        <f>IF(ISBLANK('ENGAGEMENTS 2026'!C1608),"",'ENGAGEMENTS 2026'!G1608)</f>
        <v/>
      </c>
      <c r="E1608">
        <f>IF(ISBLANK('ENGAGEMENTS 2026'!C1608),"",'ENGAGEMENTS 2026'!I1608)</f>
        <v/>
      </c>
      <c r="F1608">
        <f>IF(ISBLANK('ENGAGEMENTS 2026'!C1608),"",'ENGAGEMENTS 2026'!J1608)</f>
        <v/>
      </c>
      <c r="G1608">
        <f>IF(ISBLANK('ENGAGEMENTS 2026'!C1608),"",'ENGAGEMENTS 2026'!M1608)</f>
        <v/>
      </c>
      <c r="H1608">
        <f>IF(ISBLANK('ENGAGEMENTS 2026'!C1608),"",'ENGAGEMENTS 2026'!AF1608)</f>
        <v/>
      </c>
      <c r="I1608">
        <f>IF(ISBLANK('ENGAGEMENTS 2026'!C1608),"",'ENGAGEMENTS 2026'!H1608)</f>
        <v/>
      </c>
      <c r="J1608" s="275">
        <f>IF(ISBLANK('ENGAGEMENTS 2026'!C1608),"",IF(AND(OR($E1608="INFRUCTUEUX",$E1608="ANNULE"),$C1608="AOO-M"),'ENGAGEMENTS 2026'!P1608,IF($H1608="EN COURS DE PREENGAGEMENT",'ENGAGEMENTS 2026'!O1608,IF($H1608="PREENGAGE",IF($E1608="ATTRIBUE",'ENGAGEMENTS 2026'!AE1608,'ENGAGEMENTS 2026'!O1608),'ENGAGEMENTS 2026'!AE1608))))</f>
        <v/>
      </c>
      <c r="K1608" s="604">
        <f>IF(ISBLANK('ENGAGEMENTS 2026'!W1608),"",'ENGAGEMENTS 2026'!W1608)</f>
        <v/>
      </c>
      <c r="L1608" s="276">
        <f>IF($K1608="","",TODAY()-$K1608)</f>
        <v/>
      </c>
      <c r="M1608">
        <f>IF($A1608="","",IF($H1608="ENGAGE","Engagé",IF(AND($H1608="NON ENGAGE",OR($I1608="INFRUCTUEUX",$I1608="ANNULE")),"Clôturé sans suite","En cours")))</f>
        <v/>
      </c>
      <c r="N1608">
        <f>IF(ISBLANK('ENGAGEMENTS 2026'!C1608),"",'ENGAGEMENTS 2026'!L1608)</f>
        <v/>
      </c>
      <c r="O1608">
        <f>IF(ISBLANK('ENGAGEMENTS 2026'!C1608),"",'ENGAGEMENTS 2026'!M1608)</f>
        <v/>
      </c>
      <c r="P1608">
        <f>IF(ISBLANK('ENGAGEMENTS 2026'!C1608),"",'ENGAGEMENTS 2026'!K1608)</f>
        <v/>
      </c>
      <c r="Q1608">
        <f>IF($A1608="","",IF(OR($E1608="INFRUCTUEUX",$E1608="ANNULE"),$A1608&amp;"|"&amp;(COUNTIFS($A$2:$A1608,$A1608,$E$2:$E1608,"INFRUCTUEUX")+COUNTIFS($A$2:$A1608,$A1608,$E$2:$E1608,"ANNULE")),""))</f>
        <v/>
      </c>
    </row>
    <row r="1609">
      <c r="A1609">
        <f>IF(ISBLANK('ENGAGEMENTS 2026'!C1609),"",IF('ENGAGEMENTS 2026'!C1609="DTSI","DCT",'ENGAGEMENTS 2026'!C1609))</f>
        <v/>
      </c>
      <c r="B1609">
        <f>IF(ISBLANK('ENGAGEMENTS 2026'!C1609),"",'ENGAGEMENTS 2026'!D1609)</f>
        <v/>
      </c>
      <c r="C1609">
        <f>IF(ISBLANK('ENGAGEMENTS 2026'!C1609),"",'ENGAGEMENTS 2026'!E1609)</f>
        <v/>
      </c>
      <c r="D1609">
        <f>IF(ISBLANK('ENGAGEMENTS 2026'!C1609),"",'ENGAGEMENTS 2026'!G1609)</f>
        <v/>
      </c>
      <c r="E1609">
        <f>IF(ISBLANK('ENGAGEMENTS 2026'!C1609),"",'ENGAGEMENTS 2026'!I1609)</f>
        <v/>
      </c>
      <c r="F1609">
        <f>IF(ISBLANK('ENGAGEMENTS 2026'!C1609),"",'ENGAGEMENTS 2026'!J1609)</f>
        <v/>
      </c>
      <c r="G1609">
        <f>IF(ISBLANK('ENGAGEMENTS 2026'!C1609),"",'ENGAGEMENTS 2026'!M1609)</f>
        <v/>
      </c>
      <c r="H1609">
        <f>IF(ISBLANK('ENGAGEMENTS 2026'!C1609),"",'ENGAGEMENTS 2026'!AF1609)</f>
        <v/>
      </c>
      <c r="I1609">
        <f>IF(ISBLANK('ENGAGEMENTS 2026'!C1609),"",'ENGAGEMENTS 2026'!H1609)</f>
        <v/>
      </c>
      <c r="J1609" s="275">
        <f>IF(ISBLANK('ENGAGEMENTS 2026'!C1609),"",IF(AND(OR($E1609="INFRUCTUEUX",$E1609="ANNULE"),$C1609="AOO-M"),'ENGAGEMENTS 2026'!P1609,IF($H1609="EN COURS DE PREENGAGEMENT",'ENGAGEMENTS 2026'!O1609,IF($H1609="PREENGAGE",IF($E1609="ATTRIBUE",'ENGAGEMENTS 2026'!AE1609,'ENGAGEMENTS 2026'!O1609),'ENGAGEMENTS 2026'!AE1609))))</f>
        <v/>
      </c>
      <c r="K1609" s="604">
        <f>IF(ISBLANK('ENGAGEMENTS 2026'!W1609),"",'ENGAGEMENTS 2026'!W1609)</f>
        <v/>
      </c>
      <c r="L1609" s="276">
        <f>IF($K1609="","",TODAY()-$K1609)</f>
        <v/>
      </c>
      <c r="M1609">
        <f>IF($A1609="","",IF($H1609="ENGAGE","Engagé",IF(AND($H1609="NON ENGAGE",OR($I1609="INFRUCTUEUX",$I1609="ANNULE")),"Clôturé sans suite","En cours")))</f>
        <v/>
      </c>
      <c r="N1609">
        <f>IF(ISBLANK('ENGAGEMENTS 2026'!C1609),"",'ENGAGEMENTS 2026'!L1609)</f>
        <v/>
      </c>
      <c r="O1609">
        <f>IF(ISBLANK('ENGAGEMENTS 2026'!C1609),"",'ENGAGEMENTS 2026'!M1609)</f>
        <v/>
      </c>
      <c r="P1609">
        <f>IF(ISBLANK('ENGAGEMENTS 2026'!C1609),"",'ENGAGEMENTS 2026'!K1609)</f>
        <v/>
      </c>
      <c r="Q1609">
        <f>IF($A1609="","",IF(OR($E1609="INFRUCTUEUX",$E1609="ANNULE"),$A1609&amp;"|"&amp;(COUNTIFS($A$2:$A1609,$A1609,$E$2:$E1609,"INFRUCTUEUX")+COUNTIFS($A$2:$A1609,$A1609,$E$2:$E1609,"ANNULE")),""))</f>
        <v/>
      </c>
    </row>
    <row r="1610">
      <c r="A1610">
        <f>IF(ISBLANK('ENGAGEMENTS 2026'!C1610),"",IF('ENGAGEMENTS 2026'!C1610="DTSI","DCT",'ENGAGEMENTS 2026'!C1610))</f>
        <v/>
      </c>
      <c r="B1610">
        <f>IF(ISBLANK('ENGAGEMENTS 2026'!C1610),"",'ENGAGEMENTS 2026'!D1610)</f>
        <v/>
      </c>
      <c r="C1610">
        <f>IF(ISBLANK('ENGAGEMENTS 2026'!C1610),"",'ENGAGEMENTS 2026'!E1610)</f>
        <v/>
      </c>
      <c r="D1610">
        <f>IF(ISBLANK('ENGAGEMENTS 2026'!C1610),"",'ENGAGEMENTS 2026'!G1610)</f>
        <v/>
      </c>
      <c r="E1610">
        <f>IF(ISBLANK('ENGAGEMENTS 2026'!C1610),"",'ENGAGEMENTS 2026'!I1610)</f>
        <v/>
      </c>
      <c r="F1610">
        <f>IF(ISBLANK('ENGAGEMENTS 2026'!C1610),"",'ENGAGEMENTS 2026'!J1610)</f>
        <v/>
      </c>
      <c r="G1610">
        <f>IF(ISBLANK('ENGAGEMENTS 2026'!C1610),"",'ENGAGEMENTS 2026'!M1610)</f>
        <v/>
      </c>
      <c r="H1610">
        <f>IF(ISBLANK('ENGAGEMENTS 2026'!C1610),"",'ENGAGEMENTS 2026'!AF1610)</f>
        <v/>
      </c>
      <c r="I1610">
        <f>IF(ISBLANK('ENGAGEMENTS 2026'!C1610),"",'ENGAGEMENTS 2026'!H1610)</f>
        <v/>
      </c>
      <c r="J1610" s="275">
        <f>IF(ISBLANK('ENGAGEMENTS 2026'!C1610),"",IF(AND(OR($E1610="INFRUCTUEUX",$E1610="ANNULE"),$C1610="AOO-M"),'ENGAGEMENTS 2026'!P1610,IF($H1610="EN COURS DE PREENGAGEMENT",'ENGAGEMENTS 2026'!O1610,IF($H1610="PREENGAGE",IF($E1610="ATTRIBUE",'ENGAGEMENTS 2026'!AE1610,'ENGAGEMENTS 2026'!O1610),'ENGAGEMENTS 2026'!AE1610))))</f>
        <v/>
      </c>
      <c r="K1610" s="604">
        <f>IF(ISBLANK('ENGAGEMENTS 2026'!W1610),"",'ENGAGEMENTS 2026'!W1610)</f>
        <v/>
      </c>
      <c r="L1610" s="276">
        <f>IF($K1610="","",TODAY()-$K1610)</f>
        <v/>
      </c>
      <c r="M1610">
        <f>IF($A1610="","",IF($H1610="ENGAGE","Engagé",IF(AND($H1610="NON ENGAGE",OR($I1610="INFRUCTUEUX",$I1610="ANNULE")),"Clôturé sans suite","En cours")))</f>
        <v/>
      </c>
      <c r="N1610">
        <f>IF(ISBLANK('ENGAGEMENTS 2026'!C1610),"",'ENGAGEMENTS 2026'!L1610)</f>
        <v/>
      </c>
      <c r="O1610">
        <f>IF(ISBLANK('ENGAGEMENTS 2026'!C1610),"",'ENGAGEMENTS 2026'!M1610)</f>
        <v/>
      </c>
      <c r="P1610">
        <f>IF(ISBLANK('ENGAGEMENTS 2026'!C1610),"",'ENGAGEMENTS 2026'!K1610)</f>
        <v/>
      </c>
      <c r="Q1610">
        <f>IF($A1610="","",IF(OR($E1610="INFRUCTUEUX",$E1610="ANNULE"),$A1610&amp;"|"&amp;(COUNTIFS($A$2:$A1610,$A1610,$E$2:$E1610,"INFRUCTUEUX")+COUNTIFS($A$2:$A1610,$A1610,$E$2:$E1610,"ANNULE")),""))</f>
        <v/>
      </c>
    </row>
    <row r="1611">
      <c r="A1611">
        <f>IF(ISBLANK('ENGAGEMENTS 2026'!C1611),"",IF('ENGAGEMENTS 2026'!C1611="DTSI","DCT",'ENGAGEMENTS 2026'!C1611))</f>
        <v/>
      </c>
      <c r="B1611">
        <f>IF(ISBLANK('ENGAGEMENTS 2026'!C1611),"",'ENGAGEMENTS 2026'!D1611)</f>
        <v/>
      </c>
      <c r="C1611">
        <f>IF(ISBLANK('ENGAGEMENTS 2026'!C1611),"",'ENGAGEMENTS 2026'!E1611)</f>
        <v/>
      </c>
      <c r="D1611">
        <f>IF(ISBLANK('ENGAGEMENTS 2026'!C1611),"",'ENGAGEMENTS 2026'!G1611)</f>
        <v/>
      </c>
      <c r="E1611">
        <f>IF(ISBLANK('ENGAGEMENTS 2026'!C1611),"",'ENGAGEMENTS 2026'!I1611)</f>
        <v/>
      </c>
      <c r="F1611">
        <f>IF(ISBLANK('ENGAGEMENTS 2026'!C1611),"",'ENGAGEMENTS 2026'!J1611)</f>
        <v/>
      </c>
      <c r="G1611">
        <f>IF(ISBLANK('ENGAGEMENTS 2026'!C1611),"",'ENGAGEMENTS 2026'!M1611)</f>
        <v/>
      </c>
      <c r="H1611">
        <f>IF(ISBLANK('ENGAGEMENTS 2026'!C1611),"",'ENGAGEMENTS 2026'!AF1611)</f>
        <v/>
      </c>
      <c r="I1611">
        <f>IF(ISBLANK('ENGAGEMENTS 2026'!C1611),"",'ENGAGEMENTS 2026'!H1611)</f>
        <v/>
      </c>
      <c r="J1611" s="275">
        <f>IF(ISBLANK('ENGAGEMENTS 2026'!C1611),"",IF(AND(OR($E1611="INFRUCTUEUX",$E1611="ANNULE"),$C1611="AOO-M"),'ENGAGEMENTS 2026'!P1611,IF($H1611="EN COURS DE PREENGAGEMENT",'ENGAGEMENTS 2026'!O1611,IF($H1611="PREENGAGE",IF($E1611="ATTRIBUE",'ENGAGEMENTS 2026'!AE1611,'ENGAGEMENTS 2026'!O1611),'ENGAGEMENTS 2026'!AE1611))))</f>
        <v/>
      </c>
      <c r="K1611" s="604">
        <f>IF(ISBLANK('ENGAGEMENTS 2026'!W1611),"",'ENGAGEMENTS 2026'!W1611)</f>
        <v/>
      </c>
      <c r="L1611" s="276">
        <f>IF($K1611="","",TODAY()-$K1611)</f>
        <v/>
      </c>
      <c r="M1611">
        <f>IF($A1611="","",IF($H1611="ENGAGE","Engagé",IF(AND($H1611="NON ENGAGE",OR($I1611="INFRUCTUEUX",$I1611="ANNULE")),"Clôturé sans suite","En cours")))</f>
        <v/>
      </c>
      <c r="N1611">
        <f>IF(ISBLANK('ENGAGEMENTS 2026'!C1611),"",'ENGAGEMENTS 2026'!L1611)</f>
        <v/>
      </c>
      <c r="O1611">
        <f>IF(ISBLANK('ENGAGEMENTS 2026'!C1611),"",'ENGAGEMENTS 2026'!M1611)</f>
        <v/>
      </c>
      <c r="P1611">
        <f>IF(ISBLANK('ENGAGEMENTS 2026'!C1611),"",'ENGAGEMENTS 2026'!K1611)</f>
        <v/>
      </c>
      <c r="Q1611">
        <f>IF($A1611="","",IF(OR($E1611="INFRUCTUEUX",$E1611="ANNULE"),$A1611&amp;"|"&amp;(COUNTIFS($A$2:$A1611,$A1611,$E$2:$E1611,"INFRUCTUEUX")+COUNTIFS($A$2:$A1611,$A1611,$E$2:$E1611,"ANNULE")),""))</f>
        <v/>
      </c>
    </row>
    <row r="1612">
      <c r="A1612">
        <f>IF(ISBLANK('ENGAGEMENTS 2026'!C1612),"",IF('ENGAGEMENTS 2026'!C1612="DTSI","DCT",'ENGAGEMENTS 2026'!C1612))</f>
        <v/>
      </c>
      <c r="B1612">
        <f>IF(ISBLANK('ENGAGEMENTS 2026'!C1612),"",'ENGAGEMENTS 2026'!D1612)</f>
        <v/>
      </c>
      <c r="C1612">
        <f>IF(ISBLANK('ENGAGEMENTS 2026'!C1612),"",'ENGAGEMENTS 2026'!E1612)</f>
        <v/>
      </c>
      <c r="D1612">
        <f>IF(ISBLANK('ENGAGEMENTS 2026'!C1612),"",'ENGAGEMENTS 2026'!G1612)</f>
        <v/>
      </c>
      <c r="E1612">
        <f>IF(ISBLANK('ENGAGEMENTS 2026'!C1612),"",'ENGAGEMENTS 2026'!I1612)</f>
        <v/>
      </c>
      <c r="F1612">
        <f>IF(ISBLANK('ENGAGEMENTS 2026'!C1612),"",'ENGAGEMENTS 2026'!J1612)</f>
        <v/>
      </c>
      <c r="G1612">
        <f>IF(ISBLANK('ENGAGEMENTS 2026'!C1612),"",'ENGAGEMENTS 2026'!M1612)</f>
        <v/>
      </c>
      <c r="H1612">
        <f>IF(ISBLANK('ENGAGEMENTS 2026'!C1612),"",'ENGAGEMENTS 2026'!AF1612)</f>
        <v/>
      </c>
      <c r="I1612">
        <f>IF(ISBLANK('ENGAGEMENTS 2026'!C1612),"",'ENGAGEMENTS 2026'!H1612)</f>
        <v/>
      </c>
      <c r="J1612" s="275">
        <f>IF(ISBLANK('ENGAGEMENTS 2026'!C1612),"",IF(AND(OR($E1612="INFRUCTUEUX",$E1612="ANNULE"),$C1612="AOO-M"),'ENGAGEMENTS 2026'!P1612,IF($H1612="EN COURS DE PREENGAGEMENT",'ENGAGEMENTS 2026'!O1612,IF($H1612="PREENGAGE",IF($E1612="ATTRIBUE",'ENGAGEMENTS 2026'!AE1612,'ENGAGEMENTS 2026'!O1612),'ENGAGEMENTS 2026'!AE1612))))</f>
        <v/>
      </c>
      <c r="K1612" s="604">
        <f>IF(ISBLANK('ENGAGEMENTS 2026'!W1612),"",'ENGAGEMENTS 2026'!W1612)</f>
        <v/>
      </c>
      <c r="L1612" s="276">
        <f>IF($K1612="","",TODAY()-$K1612)</f>
        <v/>
      </c>
      <c r="M1612">
        <f>IF($A1612="","",IF($H1612="ENGAGE","Engagé",IF(AND($H1612="NON ENGAGE",OR($I1612="INFRUCTUEUX",$I1612="ANNULE")),"Clôturé sans suite","En cours")))</f>
        <v/>
      </c>
      <c r="N1612">
        <f>IF(ISBLANK('ENGAGEMENTS 2026'!C1612),"",'ENGAGEMENTS 2026'!L1612)</f>
        <v/>
      </c>
      <c r="O1612">
        <f>IF(ISBLANK('ENGAGEMENTS 2026'!C1612),"",'ENGAGEMENTS 2026'!M1612)</f>
        <v/>
      </c>
      <c r="P1612">
        <f>IF(ISBLANK('ENGAGEMENTS 2026'!C1612),"",'ENGAGEMENTS 2026'!K1612)</f>
        <v/>
      </c>
      <c r="Q1612">
        <f>IF($A1612="","",IF(OR($E1612="INFRUCTUEUX",$E1612="ANNULE"),$A1612&amp;"|"&amp;(COUNTIFS($A$2:$A1612,$A1612,$E$2:$E1612,"INFRUCTUEUX")+COUNTIFS($A$2:$A1612,$A1612,$E$2:$E1612,"ANNULE")),""))</f>
        <v/>
      </c>
    </row>
    <row r="1613">
      <c r="A1613">
        <f>IF(ISBLANK('ENGAGEMENTS 2026'!C1613),"",IF('ENGAGEMENTS 2026'!C1613="DTSI","DCT",'ENGAGEMENTS 2026'!C1613))</f>
        <v/>
      </c>
      <c r="B1613">
        <f>IF(ISBLANK('ENGAGEMENTS 2026'!C1613),"",'ENGAGEMENTS 2026'!D1613)</f>
        <v/>
      </c>
      <c r="C1613">
        <f>IF(ISBLANK('ENGAGEMENTS 2026'!C1613),"",'ENGAGEMENTS 2026'!E1613)</f>
        <v/>
      </c>
      <c r="D1613">
        <f>IF(ISBLANK('ENGAGEMENTS 2026'!C1613),"",'ENGAGEMENTS 2026'!G1613)</f>
        <v/>
      </c>
      <c r="E1613">
        <f>IF(ISBLANK('ENGAGEMENTS 2026'!C1613),"",'ENGAGEMENTS 2026'!I1613)</f>
        <v/>
      </c>
      <c r="F1613">
        <f>IF(ISBLANK('ENGAGEMENTS 2026'!C1613),"",'ENGAGEMENTS 2026'!J1613)</f>
        <v/>
      </c>
      <c r="G1613">
        <f>IF(ISBLANK('ENGAGEMENTS 2026'!C1613),"",'ENGAGEMENTS 2026'!M1613)</f>
        <v/>
      </c>
      <c r="H1613">
        <f>IF(ISBLANK('ENGAGEMENTS 2026'!C1613),"",'ENGAGEMENTS 2026'!AF1613)</f>
        <v/>
      </c>
      <c r="I1613">
        <f>IF(ISBLANK('ENGAGEMENTS 2026'!C1613),"",'ENGAGEMENTS 2026'!H1613)</f>
        <v/>
      </c>
      <c r="J1613" s="275">
        <f>IF(ISBLANK('ENGAGEMENTS 2026'!C1613),"",IF(AND(OR($E1613="INFRUCTUEUX",$E1613="ANNULE"),$C1613="AOO-M"),'ENGAGEMENTS 2026'!P1613,IF($H1613="EN COURS DE PREENGAGEMENT",'ENGAGEMENTS 2026'!O1613,IF($H1613="PREENGAGE",IF($E1613="ATTRIBUE",'ENGAGEMENTS 2026'!AE1613,'ENGAGEMENTS 2026'!O1613),'ENGAGEMENTS 2026'!AE1613))))</f>
        <v/>
      </c>
      <c r="K1613" s="604">
        <f>IF(ISBLANK('ENGAGEMENTS 2026'!W1613),"",'ENGAGEMENTS 2026'!W1613)</f>
        <v/>
      </c>
      <c r="L1613" s="276">
        <f>IF($K1613="","",TODAY()-$K1613)</f>
        <v/>
      </c>
      <c r="M1613">
        <f>IF($A1613="","",IF($H1613="ENGAGE","Engagé",IF(AND($H1613="NON ENGAGE",OR($I1613="INFRUCTUEUX",$I1613="ANNULE")),"Clôturé sans suite","En cours")))</f>
        <v/>
      </c>
      <c r="N1613">
        <f>IF(ISBLANK('ENGAGEMENTS 2026'!C1613),"",'ENGAGEMENTS 2026'!L1613)</f>
        <v/>
      </c>
      <c r="O1613">
        <f>IF(ISBLANK('ENGAGEMENTS 2026'!C1613),"",'ENGAGEMENTS 2026'!M1613)</f>
        <v/>
      </c>
      <c r="P1613">
        <f>IF(ISBLANK('ENGAGEMENTS 2026'!C1613),"",'ENGAGEMENTS 2026'!K1613)</f>
        <v/>
      </c>
      <c r="Q1613">
        <f>IF($A1613="","",IF(OR($E1613="INFRUCTUEUX",$E1613="ANNULE"),$A1613&amp;"|"&amp;(COUNTIFS($A$2:$A1613,$A1613,$E$2:$E1613,"INFRUCTUEUX")+COUNTIFS($A$2:$A1613,$A1613,$E$2:$E1613,"ANNULE")),""))</f>
        <v/>
      </c>
    </row>
    <row r="1614">
      <c r="A1614">
        <f>IF(ISBLANK('ENGAGEMENTS 2026'!C1614),"",IF('ENGAGEMENTS 2026'!C1614="DTSI","DCT",'ENGAGEMENTS 2026'!C1614))</f>
        <v/>
      </c>
      <c r="B1614">
        <f>IF(ISBLANK('ENGAGEMENTS 2026'!C1614),"",'ENGAGEMENTS 2026'!D1614)</f>
        <v/>
      </c>
      <c r="C1614">
        <f>IF(ISBLANK('ENGAGEMENTS 2026'!C1614),"",'ENGAGEMENTS 2026'!E1614)</f>
        <v/>
      </c>
      <c r="D1614">
        <f>IF(ISBLANK('ENGAGEMENTS 2026'!C1614),"",'ENGAGEMENTS 2026'!G1614)</f>
        <v/>
      </c>
      <c r="E1614">
        <f>IF(ISBLANK('ENGAGEMENTS 2026'!C1614),"",'ENGAGEMENTS 2026'!I1614)</f>
        <v/>
      </c>
      <c r="F1614">
        <f>IF(ISBLANK('ENGAGEMENTS 2026'!C1614),"",'ENGAGEMENTS 2026'!J1614)</f>
        <v/>
      </c>
      <c r="G1614">
        <f>IF(ISBLANK('ENGAGEMENTS 2026'!C1614),"",'ENGAGEMENTS 2026'!M1614)</f>
        <v/>
      </c>
      <c r="H1614">
        <f>IF(ISBLANK('ENGAGEMENTS 2026'!C1614),"",'ENGAGEMENTS 2026'!AF1614)</f>
        <v/>
      </c>
      <c r="I1614">
        <f>IF(ISBLANK('ENGAGEMENTS 2026'!C1614),"",'ENGAGEMENTS 2026'!H1614)</f>
        <v/>
      </c>
      <c r="J1614" s="275">
        <f>IF(ISBLANK('ENGAGEMENTS 2026'!C1614),"",IF(AND(OR($E1614="INFRUCTUEUX",$E1614="ANNULE"),$C1614="AOO-M"),'ENGAGEMENTS 2026'!P1614,IF($H1614="EN COURS DE PREENGAGEMENT",'ENGAGEMENTS 2026'!O1614,IF($H1614="PREENGAGE",IF($E1614="ATTRIBUE",'ENGAGEMENTS 2026'!AE1614,'ENGAGEMENTS 2026'!O1614),'ENGAGEMENTS 2026'!AE1614))))</f>
        <v/>
      </c>
      <c r="K1614" s="604">
        <f>IF(ISBLANK('ENGAGEMENTS 2026'!W1614),"",'ENGAGEMENTS 2026'!W1614)</f>
        <v/>
      </c>
      <c r="L1614" s="276">
        <f>IF($K1614="","",TODAY()-$K1614)</f>
        <v/>
      </c>
      <c r="M1614">
        <f>IF($A1614="","",IF($H1614="ENGAGE","Engagé",IF(AND($H1614="NON ENGAGE",OR($I1614="INFRUCTUEUX",$I1614="ANNULE")),"Clôturé sans suite","En cours")))</f>
        <v/>
      </c>
      <c r="N1614">
        <f>IF(ISBLANK('ENGAGEMENTS 2026'!C1614),"",'ENGAGEMENTS 2026'!L1614)</f>
        <v/>
      </c>
      <c r="O1614">
        <f>IF(ISBLANK('ENGAGEMENTS 2026'!C1614),"",'ENGAGEMENTS 2026'!M1614)</f>
        <v/>
      </c>
      <c r="P1614">
        <f>IF(ISBLANK('ENGAGEMENTS 2026'!C1614),"",'ENGAGEMENTS 2026'!K1614)</f>
        <v/>
      </c>
      <c r="Q1614">
        <f>IF($A1614="","",IF(OR($E1614="INFRUCTUEUX",$E1614="ANNULE"),$A1614&amp;"|"&amp;(COUNTIFS($A$2:$A1614,$A1614,$E$2:$E1614,"INFRUCTUEUX")+COUNTIFS($A$2:$A1614,$A1614,$E$2:$E1614,"ANNULE")),""))</f>
        <v/>
      </c>
    </row>
    <row r="1615">
      <c r="A1615">
        <f>IF(ISBLANK('ENGAGEMENTS 2026'!C1615),"",IF('ENGAGEMENTS 2026'!C1615="DTSI","DCT",'ENGAGEMENTS 2026'!C1615))</f>
        <v/>
      </c>
      <c r="B1615">
        <f>IF(ISBLANK('ENGAGEMENTS 2026'!C1615),"",'ENGAGEMENTS 2026'!D1615)</f>
        <v/>
      </c>
      <c r="C1615">
        <f>IF(ISBLANK('ENGAGEMENTS 2026'!C1615),"",'ENGAGEMENTS 2026'!E1615)</f>
        <v/>
      </c>
      <c r="D1615">
        <f>IF(ISBLANK('ENGAGEMENTS 2026'!C1615),"",'ENGAGEMENTS 2026'!G1615)</f>
        <v/>
      </c>
      <c r="E1615">
        <f>IF(ISBLANK('ENGAGEMENTS 2026'!C1615),"",'ENGAGEMENTS 2026'!I1615)</f>
        <v/>
      </c>
      <c r="F1615">
        <f>IF(ISBLANK('ENGAGEMENTS 2026'!C1615),"",'ENGAGEMENTS 2026'!J1615)</f>
        <v/>
      </c>
      <c r="G1615">
        <f>IF(ISBLANK('ENGAGEMENTS 2026'!C1615),"",'ENGAGEMENTS 2026'!M1615)</f>
        <v/>
      </c>
      <c r="H1615">
        <f>IF(ISBLANK('ENGAGEMENTS 2026'!C1615),"",'ENGAGEMENTS 2026'!AF1615)</f>
        <v/>
      </c>
      <c r="I1615">
        <f>IF(ISBLANK('ENGAGEMENTS 2026'!C1615),"",'ENGAGEMENTS 2026'!H1615)</f>
        <v/>
      </c>
      <c r="J1615" s="275">
        <f>IF(ISBLANK('ENGAGEMENTS 2026'!C1615),"",IF(AND(OR($E1615="INFRUCTUEUX",$E1615="ANNULE"),$C1615="AOO-M"),'ENGAGEMENTS 2026'!P1615,IF($H1615="EN COURS DE PREENGAGEMENT",'ENGAGEMENTS 2026'!O1615,IF($H1615="PREENGAGE",IF($E1615="ATTRIBUE",'ENGAGEMENTS 2026'!AE1615,'ENGAGEMENTS 2026'!O1615),'ENGAGEMENTS 2026'!AE1615))))</f>
        <v/>
      </c>
      <c r="K1615" s="604">
        <f>IF(ISBLANK('ENGAGEMENTS 2026'!W1615),"",'ENGAGEMENTS 2026'!W1615)</f>
        <v/>
      </c>
      <c r="L1615" s="276">
        <f>IF($K1615="","",TODAY()-$K1615)</f>
        <v/>
      </c>
      <c r="M1615">
        <f>IF($A1615="","",IF($H1615="ENGAGE","Engagé",IF(AND($H1615="NON ENGAGE",OR($I1615="INFRUCTUEUX",$I1615="ANNULE")),"Clôturé sans suite","En cours")))</f>
        <v/>
      </c>
      <c r="N1615">
        <f>IF(ISBLANK('ENGAGEMENTS 2026'!C1615),"",'ENGAGEMENTS 2026'!L1615)</f>
        <v/>
      </c>
      <c r="O1615">
        <f>IF(ISBLANK('ENGAGEMENTS 2026'!C1615),"",'ENGAGEMENTS 2026'!M1615)</f>
        <v/>
      </c>
      <c r="P1615">
        <f>IF(ISBLANK('ENGAGEMENTS 2026'!C1615),"",'ENGAGEMENTS 2026'!K1615)</f>
        <v/>
      </c>
      <c r="Q1615">
        <f>IF($A1615="","",IF(OR($E1615="INFRUCTUEUX",$E1615="ANNULE"),$A1615&amp;"|"&amp;(COUNTIFS($A$2:$A1615,$A1615,$E$2:$E1615,"INFRUCTUEUX")+COUNTIFS($A$2:$A1615,$A1615,$E$2:$E1615,"ANNULE")),""))</f>
        <v/>
      </c>
    </row>
    <row r="1616">
      <c r="A1616">
        <f>IF(ISBLANK('ENGAGEMENTS 2026'!C1616),"",IF('ENGAGEMENTS 2026'!C1616="DTSI","DCT",'ENGAGEMENTS 2026'!C1616))</f>
        <v/>
      </c>
      <c r="B1616">
        <f>IF(ISBLANK('ENGAGEMENTS 2026'!C1616),"",'ENGAGEMENTS 2026'!D1616)</f>
        <v/>
      </c>
      <c r="C1616">
        <f>IF(ISBLANK('ENGAGEMENTS 2026'!C1616),"",'ENGAGEMENTS 2026'!E1616)</f>
        <v/>
      </c>
      <c r="D1616">
        <f>IF(ISBLANK('ENGAGEMENTS 2026'!C1616),"",'ENGAGEMENTS 2026'!G1616)</f>
        <v/>
      </c>
      <c r="E1616">
        <f>IF(ISBLANK('ENGAGEMENTS 2026'!C1616),"",'ENGAGEMENTS 2026'!I1616)</f>
        <v/>
      </c>
      <c r="F1616">
        <f>IF(ISBLANK('ENGAGEMENTS 2026'!C1616),"",'ENGAGEMENTS 2026'!J1616)</f>
        <v/>
      </c>
      <c r="G1616">
        <f>IF(ISBLANK('ENGAGEMENTS 2026'!C1616),"",'ENGAGEMENTS 2026'!M1616)</f>
        <v/>
      </c>
      <c r="H1616">
        <f>IF(ISBLANK('ENGAGEMENTS 2026'!C1616),"",'ENGAGEMENTS 2026'!AF1616)</f>
        <v/>
      </c>
      <c r="I1616">
        <f>IF(ISBLANK('ENGAGEMENTS 2026'!C1616),"",'ENGAGEMENTS 2026'!H1616)</f>
        <v/>
      </c>
      <c r="J1616" s="275">
        <f>IF(ISBLANK('ENGAGEMENTS 2026'!C1616),"",IF(AND(OR($E1616="INFRUCTUEUX",$E1616="ANNULE"),$C1616="AOO-M"),'ENGAGEMENTS 2026'!P1616,IF($H1616="EN COURS DE PREENGAGEMENT",'ENGAGEMENTS 2026'!O1616,IF($H1616="PREENGAGE",IF($E1616="ATTRIBUE",'ENGAGEMENTS 2026'!AE1616,'ENGAGEMENTS 2026'!O1616),'ENGAGEMENTS 2026'!AE1616))))</f>
        <v/>
      </c>
      <c r="K1616" s="604">
        <f>IF(ISBLANK('ENGAGEMENTS 2026'!W1616),"",'ENGAGEMENTS 2026'!W1616)</f>
        <v/>
      </c>
      <c r="L1616" s="276">
        <f>IF($K1616="","",TODAY()-$K1616)</f>
        <v/>
      </c>
      <c r="M1616">
        <f>IF($A1616="","",IF($H1616="ENGAGE","Engagé",IF(AND($H1616="NON ENGAGE",OR($I1616="INFRUCTUEUX",$I1616="ANNULE")),"Clôturé sans suite","En cours")))</f>
        <v/>
      </c>
      <c r="N1616">
        <f>IF(ISBLANK('ENGAGEMENTS 2026'!C1616),"",'ENGAGEMENTS 2026'!L1616)</f>
        <v/>
      </c>
      <c r="O1616">
        <f>IF(ISBLANK('ENGAGEMENTS 2026'!C1616),"",'ENGAGEMENTS 2026'!M1616)</f>
        <v/>
      </c>
      <c r="P1616">
        <f>IF(ISBLANK('ENGAGEMENTS 2026'!C1616),"",'ENGAGEMENTS 2026'!K1616)</f>
        <v/>
      </c>
      <c r="Q1616">
        <f>IF($A1616="","",IF(OR($E1616="INFRUCTUEUX",$E1616="ANNULE"),$A1616&amp;"|"&amp;(COUNTIFS($A$2:$A1616,$A1616,$E$2:$E1616,"INFRUCTUEUX")+COUNTIFS($A$2:$A1616,$A1616,$E$2:$E1616,"ANNULE")),""))</f>
        <v/>
      </c>
    </row>
    <row r="1617">
      <c r="A1617">
        <f>IF(ISBLANK('ENGAGEMENTS 2026'!C1617),"",IF('ENGAGEMENTS 2026'!C1617="DTSI","DCT",'ENGAGEMENTS 2026'!C1617))</f>
        <v/>
      </c>
      <c r="B1617">
        <f>IF(ISBLANK('ENGAGEMENTS 2026'!C1617),"",'ENGAGEMENTS 2026'!D1617)</f>
        <v/>
      </c>
      <c r="C1617">
        <f>IF(ISBLANK('ENGAGEMENTS 2026'!C1617),"",'ENGAGEMENTS 2026'!E1617)</f>
        <v/>
      </c>
      <c r="D1617">
        <f>IF(ISBLANK('ENGAGEMENTS 2026'!C1617),"",'ENGAGEMENTS 2026'!G1617)</f>
        <v/>
      </c>
      <c r="E1617">
        <f>IF(ISBLANK('ENGAGEMENTS 2026'!C1617),"",'ENGAGEMENTS 2026'!I1617)</f>
        <v/>
      </c>
      <c r="F1617">
        <f>IF(ISBLANK('ENGAGEMENTS 2026'!C1617),"",'ENGAGEMENTS 2026'!J1617)</f>
        <v/>
      </c>
      <c r="G1617">
        <f>IF(ISBLANK('ENGAGEMENTS 2026'!C1617),"",'ENGAGEMENTS 2026'!M1617)</f>
        <v/>
      </c>
      <c r="H1617">
        <f>IF(ISBLANK('ENGAGEMENTS 2026'!C1617),"",'ENGAGEMENTS 2026'!AF1617)</f>
        <v/>
      </c>
      <c r="I1617">
        <f>IF(ISBLANK('ENGAGEMENTS 2026'!C1617),"",'ENGAGEMENTS 2026'!H1617)</f>
        <v/>
      </c>
      <c r="J1617" s="275">
        <f>IF(ISBLANK('ENGAGEMENTS 2026'!C1617),"",IF(AND(OR($E1617="INFRUCTUEUX",$E1617="ANNULE"),$C1617="AOO-M"),'ENGAGEMENTS 2026'!P1617,IF($H1617="EN COURS DE PREENGAGEMENT",'ENGAGEMENTS 2026'!O1617,IF($H1617="PREENGAGE",IF($E1617="ATTRIBUE",'ENGAGEMENTS 2026'!AE1617,'ENGAGEMENTS 2026'!O1617),'ENGAGEMENTS 2026'!AE1617))))</f>
        <v/>
      </c>
      <c r="K1617" s="604">
        <f>IF(ISBLANK('ENGAGEMENTS 2026'!W1617),"",'ENGAGEMENTS 2026'!W1617)</f>
        <v/>
      </c>
      <c r="L1617" s="276">
        <f>IF($K1617="","",TODAY()-$K1617)</f>
        <v/>
      </c>
      <c r="M1617">
        <f>IF($A1617="","",IF($H1617="ENGAGE","Engagé",IF(AND($H1617="NON ENGAGE",OR($I1617="INFRUCTUEUX",$I1617="ANNULE")),"Clôturé sans suite","En cours")))</f>
        <v/>
      </c>
      <c r="N1617">
        <f>IF(ISBLANK('ENGAGEMENTS 2026'!C1617),"",'ENGAGEMENTS 2026'!L1617)</f>
        <v/>
      </c>
      <c r="O1617">
        <f>IF(ISBLANK('ENGAGEMENTS 2026'!C1617),"",'ENGAGEMENTS 2026'!M1617)</f>
        <v/>
      </c>
      <c r="P1617">
        <f>IF(ISBLANK('ENGAGEMENTS 2026'!C1617),"",'ENGAGEMENTS 2026'!K1617)</f>
        <v/>
      </c>
      <c r="Q1617">
        <f>IF($A1617="","",IF(OR($E1617="INFRUCTUEUX",$E1617="ANNULE"),$A1617&amp;"|"&amp;(COUNTIFS($A$2:$A1617,$A1617,$E$2:$E1617,"INFRUCTUEUX")+COUNTIFS($A$2:$A1617,$A1617,$E$2:$E1617,"ANNULE")),""))</f>
        <v/>
      </c>
    </row>
    <row r="1618">
      <c r="A1618">
        <f>IF(ISBLANK('ENGAGEMENTS 2026'!C1618),"",IF('ENGAGEMENTS 2026'!C1618="DTSI","DCT",'ENGAGEMENTS 2026'!C1618))</f>
        <v/>
      </c>
      <c r="B1618">
        <f>IF(ISBLANK('ENGAGEMENTS 2026'!C1618),"",'ENGAGEMENTS 2026'!D1618)</f>
        <v/>
      </c>
      <c r="C1618">
        <f>IF(ISBLANK('ENGAGEMENTS 2026'!C1618),"",'ENGAGEMENTS 2026'!E1618)</f>
        <v/>
      </c>
      <c r="D1618">
        <f>IF(ISBLANK('ENGAGEMENTS 2026'!C1618),"",'ENGAGEMENTS 2026'!G1618)</f>
        <v/>
      </c>
      <c r="E1618">
        <f>IF(ISBLANK('ENGAGEMENTS 2026'!C1618),"",'ENGAGEMENTS 2026'!I1618)</f>
        <v/>
      </c>
      <c r="F1618">
        <f>IF(ISBLANK('ENGAGEMENTS 2026'!C1618),"",'ENGAGEMENTS 2026'!J1618)</f>
        <v/>
      </c>
      <c r="G1618">
        <f>IF(ISBLANK('ENGAGEMENTS 2026'!C1618),"",'ENGAGEMENTS 2026'!M1618)</f>
        <v/>
      </c>
      <c r="H1618">
        <f>IF(ISBLANK('ENGAGEMENTS 2026'!C1618),"",'ENGAGEMENTS 2026'!AF1618)</f>
        <v/>
      </c>
      <c r="I1618">
        <f>IF(ISBLANK('ENGAGEMENTS 2026'!C1618),"",'ENGAGEMENTS 2026'!H1618)</f>
        <v/>
      </c>
      <c r="J1618" s="275">
        <f>IF(ISBLANK('ENGAGEMENTS 2026'!C1618),"",IF(AND(OR($E1618="INFRUCTUEUX",$E1618="ANNULE"),$C1618="AOO-M"),'ENGAGEMENTS 2026'!P1618,IF($H1618="EN COURS DE PREENGAGEMENT",'ENGAGEMENTS 2026'!O1618,IF($H1618="PREENGAGE",IF($E1618="ATTRIBUE",'ENGAGEMENTS 2026'!AE1618,'ENGAGEMENTS 2026'!O1618),'ENGAGEMENTS 2026'!AE1618))))</f>
        <v/>
      </c>
      <c r="K1618" s="604">
        <f>IF(ISBLANK('ENGAGEMENTS 2026'!W1618),"",'ENGAGEMENTS 2026'!W1618)</f>
        <v/>
      </c>
      <c r="L1618" s="276">
        <f>IF($K1618="","",TODAY()-$K1618)</f>
        <v/>
      </c>
      <c r="M1618">
        <f>IF($A1618="","",IF($H1618="ENGAGE","Engagé",IF(AND($H1618="NON ENGAGE",OR($I1618="INFRUCTUEUX",$I1618="ANNULE")),"Clôturé sans suite","En cours")))</f>
        <v/>
      </c>
      <c r="N1618">
        <f>IF(ISBLANK('ENGAGEMENTS 2026'!C1618),"",'ENGAGEMENTS 2026'!L1618)</f>
        <v/>
      </c>
      <c r="O1618">
        <f>IF(ISBLANK('ENGAGEMENTS 2026'!C1618),"",'ENGAGEMENTS 2026'!M1618)</f>
        <v/>
      </c>
      <c r="P1618">
        <f>IF(ISBLANK('ENGAGEMENTS 2026'!C1618),"",'ENGAGEMENTS 2026'!K1618)</f>
        <v/>
      </c>
      <c r="Q1618">
        <f>IF($A1618="","",IF(OR($E1618="INFRUCTUEUX",$E1618="ANNULE"),$A1618&amp;"|"&amp;(COUNTIFS($A$2:$A1618,$A1618,$E$2:$E1618,"INFRUCTUEUX")+COUNTIFS($A$2:$A1618,$A1618,$E$2:$E1618,"ANNULE")),""))</f>
        <v/>
      </c>
    </row>
    <row r="1619">
      <c r="A1619">
        <f>IF(ISBLANK('ENGAGEMENTS 2026'!C1619),"",IF('ENGAGEMENTS 2026'!C1619="DTSI","DCT",'ENGAGEMENTS 2026'!C1619))</f>
        <v/>
      </c>
      <c r="B1619">
        <f>IF(ISBLANK('ENGAGEMENTS 2026'!C1619),"",'ENGAGEMENTS 2026'!D1619)</f>
        <v/>
      </c>
      <c r="C1619">
        <f>IF(ISBLANK('ENGAGEMENTS 2026'!C1619),"",'ENGAGEMENTS 2026'!E1619)</f>
        <v/>
      </c>
      <c r="D1619">
        <f>IF(ISBLANK('ENGAGEMENTS 2026'!C1619),"",'ENGAGEMENTS 2026'!G1619)</f>
        <v/>
      </c>
      <c r="E1619">
        <f>IF(ISBLANK('ENGAGEMENTS 2026'!C1619),"",'ENGAGEMENTS 2026'!I1619)</f>
        <v/>
      </c>
      <c r="F1619">
        <f>IF(ISBLANK('ENGAGEMENTS 2026'!C1619),"",'ENGAGEMENTS 2026'!J1619)</f>
        <v/>
      </c>
      <c r="G1619">
        <f>IF(ISBLANK('ENGAGEMENTS 2026'!C1619),"",'ENGAGEMENTS 2026'!M1619)</f>
        <v/>
      </c>
      <c r="H1619">
        <f>IF(ISBLANK('ENGAGEMENTS 2026'!C1619),"",'ENGAGEMENTS 2026'!AF1619)</f>
        <v/>
      </c>
      <c r="I1619">
        <f>IF(ISBLANK('ENGAGEMENTS 2026'!C1619),"",'ENGAGEMENTS 2026'!H1619)</f>
        <v/>
      </c>
      <c r="J1619" s="275">
        <f>IF(ISBLANK('ENGAGEMENTS 2026'!C1619),"",IF(AND(OR($E1619="INFRUCTUEUX",$E1619="ANNULE"),$C1619="AOO-M"),'ENGAGEMENTS 2026'!P1619,IF($H1619="EN COURS DE PREENGAGEMENT",'ENGAGEMENTS 2026'!O1619,IF($H1619="PREENGAGE",IF($E1619="ATTRIBUE",'ENGAGEMENTS 2026'!AE1619,'ENGAGEMENTS 2026'!O1619),'ENGAGEMENTS 2026'!AE1619))))</f>
        <v/>
      </c>
      <c r="K1619" s="604">
        <f>IF(ISBLANK('ENGAGEMENTS 2026'!W1619),"",'ENGAGEMENTS 2026'!W1619)</f>
        <v/>
      </c>
      <c r="L1619" s="276">
        <f>IF($K1619="","",TODAY()-$K1619)</f>
        <v/>
      </c>
      <c r="M1619">
        <f>IF($A1619="","",IF($H1619="ENGAGE","Engagé",IF(AND($H1619="NON ENGAGE",OR($I1619="INFRUCTUEUX",$I1619="ANNULE")),"Clôturé sans suite","En cours")))</f>
        <v/>
      </c>
      <c r="N1619">
        <f>IF(ISBLANK('ENGAGEMENTS 2026'!C1619),"",'ENGAGEMENTS 2026'!L1619)</f>
        <v/>
      </c>
      <c r="O1619">
        <f>IF(ISBLANK('ENGAGEMENTS 2026'!C1619),"",'ENGAGEMENTS 2026'!M1619)</f>
        <v/>
      </c>
      <c r="P1619">
        <f>IF(ISBLANK('ENGAGEMENTS 2026'!C1619),"",'ENGAGEMENTS 2026'!K1619)</f>
        <v/>
      </c>
      <c r="Q1619">
        <f>IF($A1619="","",IF(OR($E1619="INFRUCTUEUX",$E1619="ANNULE"),$A1619&amp;"|"&amp;(COUNTIFS($A$2:$A1619,$A1619,$E$2:$E1619,"INFRUCTUEUX")+COUNTIFS($A$2:$A1619,$A1619,$E$2:$E1619,"ANNULE")),""))</f>
        <v/>
      </c>
    </row>
    <row r="1620">
      <c r="A1620">
        <f>IF(ISBLANK('ENGAGEMENTS 2026'!C1620),"",IF('ENGAGEMENTS 2026'!C1620="DTSI","DCT",'ENGAGEMENTS 2026'!C1620))</f>
        <v/>
      </c>
      <c r="B1620">
        <f>IF(ISBLANK('ENGAGEMENTS 2026'!C1620),"",'ENGAGEMENTS 2026'!D1620)</f>
        <v/>
      </c>
      <c r="C1620">
        <f>IF(ISBLANK('ENGAGEMENTS 2026'!C1620),"",'ENGAGEMENTS 2026'!E1620)</f>
        <v/>
      </c>
      <c r="D1620">
        <f>IF(ISBLANK('ENGAGEMENTS 2026'!C1620),"",'ENGAGEMENTS 2026'!G1620)</f>
        <v/>
      </c>
      <c r="E1620">
        <f>IF(ISBLANK('ENGAGEMENTS 2026'!C1620),"",'ENGAGEMENTS 2026'!I1620)</f>
        <v/>
      </c>
      <c r="F1620">
        <f>IF(ISBLANK('ENGAGEMENTS 2026'!C1620),"",'ENGAGEMENTS 2026'!J1620)</f>
        <v/>
      </c>
      <c r="G1620">
        <f>IF(ISBLANK('ENGAGEMENTS 2026'!C1620),"",'ENGAGEMENTS 2026'!M1620)</f>
        <v/>
      </c>
      <c r="H1620">
        <f>IF(ISBLANK('ENGAGEMENTS 2026'!C1620),"",'ENGAGEMENTS 2026'!AF1620)</f>
        <v/>
      </c>
      <c r="I1620">
        <f>IF(ISBLANK('ENGAGEMENTS 2026'!C1620),"",'ENGAGEMENTS 2026'!H1620)</f>
        <v/>
      </c>
      <c r="J1620" s="275">
        <f>IF(ISBLANK('ENGAGEMENTS 2026'!C1620),"",IF(AND(OR($E1620="INFRUCTUEUX",$E1620="ANNULE"),$C1620="AOO-M"),'ENGAGEMENTS 2026'!P1620,IF($H1620="EN COURS DE PREENGAGEMENT",'ENGAGEMENTS 2026'!O1620,IF($H1620="PREENGAGE",IF($E1620="ATTRIBUE",'ENGAGEMENTS 2026'!AE1620,'ENGAGEMENTS 2026'!O1620),'ENGAGEMENTS 2026'!AE1620))))</f>
        <v/>
      </c>
      <c r="K1620" s="604">
        <f>IF(ISBLANK('ENGAGEMENTS 2026'!W1620),"",'ENGAGEMENTS 2026'!W1620)</f>
        <v/>
      </c>
      <c r="L1620" s="276">
        <f>IF($K1620="","",TODAY()-$K1620)</f>
        <v/>
      </c>
      <c r="M1620">
        <f>IF($A1620="","",IF($H1620="ENGAGE","Engagé",IF(AND($H1620="NON ENGAGE",OR($I1620="INFRUCTUEUX",$I1620="ANNULE")),"Clôturé sans suite","En cours")))</f>
        <v/>
      </c>
      <c r="N1620">
        <f>IF(ISBLANK('ENGAGEMENTS 2026'!C1620),"",'ENGAGEMENTS 2026'!L1620)</f>
        <v/>
      </c>
      <c r="O1620">
        <f>IF(ISBLANK('ENGAGEMENTS 2026'!C1620),"",'ENGAGEMENTS 2026'!M1620)</f>
        <v/>
      </c>
      <c r="P1620">
        <f>IF(ISBLANK('ENGAGEMENTS 2026'!C1620),"",'ENGAGEMENTS 2026'!K1620)</f>
        <v/>
      </c>
      <c r="Q1620">
        <f>IF($A1620="","",IF(OR($E1620="INFRUCTUEUX",$E1620="ANNULE"),$A1620&amp;"|"&amp;(COUNTIFS($A$2:$A1620,$A1620,$E$2:$E1620,"INFRUCTUEUX")+COUNTIFS($A$2:$A1620,$A1620,$E$2:$E1620,"ANNULE")),""))</f>
        <v/>
      </c>
    </row>
    <row r="1621">
      <c r="A1621">
        <f>IF(ISBLANK('ENGAGEMENTS 2026'!C1621),"",IF('ENGAGEMENTS 2026'!C1621="DTSI","DCT",'ENGAGEMENTS 2026'!C1621))</f>
        <v/>
      </c>
      <c r="B1621">
        <f>IF(ISBLANK('ENGAGEMENTS 2026'!C1621),"",'ENGAGEMENTS 2026'!D1621)</f>
        <v/>
      </c>
      <c r="C1621">
        <f>IF(ISBLANK('ENGAGEMENTS 2026'!C1621),"",'ENGAGEMENTS 2026'!E1621)</f>
        <v/>
      </c>
      <c r="D1621">
        <f>IF(ISBLANK('ENGAGEMENTS 2026'!C1621),"",'ENGAGEMENTS 2026'!G1621)</f>
        <v/>
      </c>
      <c r="E1621">
        <f>IF(ISBLANK('ENGAGEMENTS 2026'!C1621),"",'ENGAGEMENTS 2026'!I1621)</f>
        <v/>
      </c>
      <c r="F1621">
        <f>IF(ISBLANK('ENGAGEMENTS 2026'!C1621),"",'ENGAGEMENTS 2026'!J1621)</f>
        <v/>
      </c>
      <c r="G1621">
        <f>IF(ISBLANK('ENGAGEMENTS 2026'!C1621),"",'ENGAGEMENTS 2026'!M1621)</f>
        <v/>
      </c>
      <c r="H1621">
        <f>IF(ISBLANK('ENGAGEMENTS 2026'!C1621),"",'ENGAGEMENTS 2026'!AF1621)</f>
        <v/>
      </c>
      <c r="I1621">
        <f>IF(ISBLANK('ENGAGEMENTS 2026'!C1621),"",'ENGAGEMENTS 2026'!H1621)</f>
        <v/>
      </c>
      <c r="J1621" s="275">
        <f>IF(ISBLANK('ENGAGEMENTS 2026'!C1621),"",IF(AND(OR($E1621="INFRUCTUEUX",$E1621="ANNULE"),$C1621="AOO-M"),'ENGAGEMENTS 2026'!P1621,IF($H1621="EN COURS DE PREENGAGEMENT",'ENGAGEMENTS 2026'!O1621,IF($H1621="PREENGAGE",IF($E1621="ATTRIBUE",'ENGAGEMENTS 2026'!AE1621,'ENGAGEMENTS 2026'!O1621),'ENGAGEMENTS 2026'!AE1621))))</f>
        <v/>
      </c>
      <c r="K1621" s="604">
        <f>IF(ISBLANK('ENGAGEMENTS 2026'!W1621),"",'ENGAGEMENTS 2026'!W1621)</f>
        <v/>
      </c>
      <c r="L1621" s="276">
        <f>IF($K1621="","",TODAY()-$K1621)</f>
        <v/>
      </c>
      <c r="M1621">
        <f>IF($A1621="","",IF($H1621="ENGAGE","Engagé",IF(AND($H1621="NON ENGAGE",OR($I1621="INFRUCTUEUX",$I1621="ANNULE")),"Clôturé sans suite","En cours")))</f>
        <v/>
      </c>
      <c r="N1621">
        <f>IF(ISBLANK('ENGAGEMENTS 2026'!C1621),"",'ENGAGEMENTS 2026'!L1621)</f>
        <v/>
      </c>
      <c r="O1621">
        <f>IF(ISBLANK('ENGAGEMENTS 2026'!C1621),"",'ENGAGEMENTS 2026'!M1621)</f>
        <v/>
      </c>
      <c r="P1621">
        <f>IF(ISBLANK('ENGAGEMENTS 2026'!C1621),"",'ENGAGEMENTS 2026'!K1621)</f>
        <v/>
      </c>
      <c r="Q1621">
        <f>IF($A1621="","",IF(OR($E1621="INFRUCTUEUX",$E1621="ANNULE"),$A1621&amp;"|"&amp;(COUNTIFS($A$2:$A1621,$A1621,$E$2:$E1621,"INFRUCTUEUX")+COUNTIFS($A$2:$A1621,$A1621,$E$2:$E1621,"ANNULE")),""))</f>
        <v/>
      </c>
    </row>
    <row r="1622">
      <c r="A1622">
        <f>IF(ISBLANK('ENGAGEMENTS 2026'!C1622),"",IF('ENGAGEMENTS 2026'!C1622="DTSI","DCT",'ENGAGEMENTS 2026'!C1622))</f>
        <v/>
      </c>
      <c r="B1622">
        <f>IF(ISBLANK('ENGAGEMENTS 2026'!C1622),"",'ENGAGEMENTS 2026'!D1622)</f>
        <v/>
      </c>
      <c r="C1622">
        <f>IF(ISBLANK('ENGAGEMENTS 2026'!C1622),"",'ENGAGEMENTS 2026'!E1622)</f>
        <v/>
      </c>
      <c r="D1622">
        <f>IF(ISBLANK('ENGAGEMENTS 2026'!C1622),"",'ENGAGEMENTS 2026'!G1622)</f>
        <v/>
      </c>
      <c r="E1622">
        <f>IF(ISBLANK('ENGAGEMENTS 2026'!C1622),"",'ENGAGEMENTS 2026'!I1622)</f>
        <v/>
      </c>
      <c r="F1622">
        <f>IF(ISBLANK('ENGAGEMENTS 2026'!C1622),"",'ENGAGEMENTS 2026'!J1622)</f>
        <v/>
      </c>
      <c r="G1622">
        <f>IF(ISBLANK('ENGAGEMENTS 2026'!C1622),"",'ENGAGEMENTS 2026'!M1622)</f>
        <v/>
      </c>
      <c r="H1622">
        <f>IF(ISBLANK('ENGAGEMENTS 2026'!C1622),"",'ENGAGEMENTS 2026'!AF1622)</f>
        <v/>
      </c>
      <c r="I1622">
        <f>IF(ISBLANK('ENGAGEMENTS 2026'!C1622),"",'ENGAGEMENTS 2026'!H1622)</f>
        <v/>
      </c>
      <c r="J1622" s="275">
        <f>IF(ISBLANK('ENGAGEMENTS 2026'!C1622),"",IF(AND(OR($E1622="INFRUCTUEUX",$E1622="ANNULE"),$C1622="AOO-M"),'ENGAGEMENTS 2026'!P1622,IF($H1622="EN COURS DE PREENGAGEMENT",'ENGAGEMENTS 2026'!O1622,IF($H1622="PREENGAGE",IF($E1622="ATTRIBUE",'ENGAGEMENTS 2026'!AE1622,'ENGAGEMENTS 2026'!O1622),'ENGAGEMENTS 2026'!AE1622))))</f>
        <v/>
      </c>
      <c r="K1622" s="604">
        <f>IF(ISBLANK('ENGAGEMENTS 2026'!W1622),"",'ENGAGEMENTS 2026'!W1622)</f>
        <v/>
      </c>
      <c r="L1622" s="276">
        <f>IF($K1622="","",TODAY()-$K1622)</f>
        <v/>
      </c>
      <c r="M1622">
        <f>IF($A1622="","",IF($H1622="ENGAGE","Engagé",IF(AND($H1622="NON ENGAGE",OR($I1622="INFRUCTUEUX",$I1622="ANNULE")),"Clôturé sans suite","En cours")))</f>
        <v/>
      </c>
      <c r="N1622">
        <f>IF(ISBLANK('ENGAGEMENTS 2026'!C1622),"",'ENGAGEMENTS 2026'!L1622)</f>
        <v/>
      </c>
      <c r="O1622">
        <f>IF(ISBLANK('ENGAGEMENTS 2026'!C1622),"",'ENGAGEMENTS 2026'!M1622)</f>
        <v/>
      </c>
      <c r="P1622">
        <f>IF(ISBLANK('ENGAGEMENTS 2026'!C1622),"",'ENGAGEMENTS 2026'!K1622)</f>
        <v/>
      </c>
      <c r="Q1622">
        <f>IF($A1622="","",IF(OR($E1622="INFRUCTUEUX",$E1622="ANNULE"),$A1622&amp;"|"&amp;(COUNTIFS($A$2:$A1622,$A1622,$E$2:$E1622,"INFRUCTUEUX")+COUNTIFS($A$2:$A1622,$A1622,$E$2:$E1622,"ANNULE")),""))</f>
        <v/>
      </c>
    </row>
    <row r="1623">
      <c r="A1623">
        <f>IF(ISBLANK('ENGAGEMENTS 2026'!C1623),"",IF('ENGAGEMENTS 2026'!C1623="DTSI","DCT",'ENGAGEMENTS 2026'!C1623))</f>
        <v/>
      </c>
      <c r="B1623">
        <f>IF(ISBLANK('ENGAGEMENTS 2026'!C1623),"",'ENGAGEMENTS 2026'!D1623)</f>
        <v/>
      </c>
      <c r="C1623">
        <f>IF(ISBLANK('ENGAGEMENTS 2026'!C1623),"",'ENGAGEMENTS 2026'!E1623)</f>
        <v/>
      </c>
      <c r="D1623">
        <f>IF(ISBLANK('ENGAGEMENTS 2026'!C1623),"",'ENGAGEMENTS 2026'!G1623)</f>
        <v/>
      </c>
      <c r="E1623">
        <f>IF(ISBLANK('ENGAGEMENTS 2026'!C1623),"",'ENGAGEMENTS 2026'!I1623)</f>
        <v/>
      </c>
      <c r="F1623">
        <f>IF(ISBLANK('ENGAGEMENTS 2026'!C1623),"",'ENGAGEMENTS 2026'!J1623)</f>
        <v/>
      </c>
      <c r="G1623">
        <f>IF(ISBLANK('ENGAGEMENTS 2026'!C1623),"",'ENGAGEMENTS 2026'!M1623)</f>
        <v/>
      </c>
      <c r="H1623">
        <f>IF(ISBLANK('ENGAGEMENTS 2026'!C1623),"",'ENGAGEMENTS 2026'!AF1623)</f>
        <v/>
      </c>
      <c r="I1623">
        <f>IF(ISBLANK('ENGAGEMENTS 2026'!C1623),"",'ENGAGEMENTS 2026'!H1623)</f>
        <v/>
      </c>
      <c r="J1623" s="275">
        <f>IF(ISBLANK('ENGAGEMENTS 2026'!C1623),"",IF(AND(OR($E1623="INFRUCTUEUX",$E1623="ANNULE"),$C1623="AOO-M"),'ENGAGEMENTS 2026'!P1623,IF($H1623="EN COURS DE PREENGAGEMENT",'ENGAGEMENTS 2026'!O1623,IF($H1623="PREENGAGE",IF($E1623="ATTRIBUE",'ENGAGEMENTS 2026'!AE1623,'ENGAGEMENTS 2026'!O1623),'ENGAGEMENTS 2026'!AE1623))))</f>
        <v/>
      </c>
      <c r="K1623" s="604">
        <f>IF(ISBLANK('ENGAGEMENTS 2026'!W1623),"",'ENGAGEMENTS 2026'!W1623)</f>
        <v/>
      </c>
      <c r="L1623" s="276">
        <f>IF($K1623="","",TODAY()-$K1623)</f>
        <v/>
      </c>
      <c r="M1623">
        <f>IF($A1623="","",IF($H1623="ENGAGE","Engagé",IF(AND($H1623="NON ENGAGE",OR($I1623="INFRUCTUEUX",$I1623="ANNULE")),"Clôturé sans suite","En cours")))</f>
        <v/>
      </c>
      <c r="N1623">
        <f>IF(ISBLANK('ENGAGEMENTS 2026'!C1623),"",'ENGAGEMENTS 2026'!L1623)</f>
        <v/>
      </c>
      <c r="O1623">
        <f>IF(ISBLANK('ENGAGEMENTS 2026'!C1623),"",'ENGAGEMENTS 2026'!M1623)</f>
        <v/>
      </c>
      <c r="P1623">
        <f>IF(ISBLANK('ENGAGEMENTS 2026'!C1623),"",'ENGAGEMENTS 2026'!K1623)</f>
        <v/>
      </c>
      <c r="Q1623">
        <f>IF($A1623="","",IF(OR($E1623="INFRUCTUEUX",$E1623="ANNULE"),$A1623&amp;"|"&amp;(COUNTIFS($A$2:$A1623,$A1623,$E$2:$E1623,"INFRUCTUEUX")+COUNTIFS($A$2:$A1623,$A1623,$E$2:$E1623,"ANNULE")),""))</f>
        <v/>
      </c>
    </row>
    <row r="1624">
      <c r="A1624">
        <f>IF(ISBLANK('ENGAGEMENTS 2026'!C1624),"",IF('ENGAGEMENTS 2026'!C1624="DTSI","DCT",'ENGAGEMENTS 2026'!C1624))</f>
        <v/>
      </c>
      <c r="B1624">
        <f>IF(ISBLANK('ENGAGEMENTS 2026'!C1624),"",'ENGAGEMENTS 2026'!D1624)</f>
        <v/>
      </c>
      <c r="C1624">
        <f>IF(ISBLANK('ENGAGEMENTS 2026'!C1624),"",'ENGAGEMENTS 2026'!E1624)</f>
        <v/>
      </c>
      <c r="D1624">
        <f>IF(ISBLANK('ENGAGEMENTS 2026'!C1624),"",'ENGAGEMENTS 2026'!G1624)</f>
        <v/>
      </c>
      <c r="E1624">
        <f>IF(ISBLANK('ENGAGEMENTS 2026'!C1624),"",'ENGAGEMENTS 2026'!I1624)</f>
        <v/>
      </c>
      <c r="F1624">
        <f>IF(ISBLANK('ENGAGEMENTS 2026'!C1624),"",'ENGAGEMENTS 2026'!J1624)</f>
        <v/>
      </c>
      <c r="G1624">
        <f>IF(ISBLANK('ENGAGEMENTS 2026'!C1624),"",'ENGAGEMENTS 2026'!M1624)</f>
        <v/>
      </c>
      <c r="H1624">
        <f>IF(ISBLANK('ENGAGEMENTS 2026'!C1624),"",'ENGAGEMENTS 2026'!AF1624)</f>
        <v/>
      </c>
      <c r="I1624">
        <f>IF(ISBLANK('ENGAGEMENTS 2026'!C1624),"",'ENGAGEMENTS 2026'!H1624)</f>
        <v/>
      </c>
      <c r="J1624" s="275">
        <f>IF(ISBLANK('ENGAGEMENTS 2026'!C1624),"",IF(AND(OR($E1624="INFRUCTUEUX",$E1624="ANNULE"),$C1624="AOO-M"),'ENGAGEMENTS 2026'!P1624,IF($H1624="EN COURS DE PREENGAGEMENT",'ENGAGEMENTS 2026'!O1624,IF($H1624="PREENGAGE",IF($E1624="ATTRIBUE",'ENGAGEMENTS 2026'!AE1624,'ENGAGEMENTS 2026'!O1624),'ENGAGEMENTS 2026'!AE1624))))</f>
        <v/>
      </c>
      <c r="K1624" s="604">
        <f>IF(ISBLANK('ENGAGEMENTS 2026'!W1624),"",'ENGAGEMENTS 2026'!W1624)</f>
        <v/>
      </c>
      <c r="L1624" s="276">
        <f>IF($K1624="","",TODAY()-$K1624)</f>
        <v/>
      </c>
      <c r="M1624">
        <f>IF($A1624="","",IF($H1624="ENGAGE","Engagé",IF(AND($H1624="NON ENGAGE",OR($I1624="INFRUCTUEUX",$I1624="ANNULE")),"Clôturé sans suite","En cours")))</f>
        <v/>
      </c>
      <c r="N1624">
        <f>IF(ISBLANK('ENGAGEMENTS 2026'!C1624),"",'ENGAGEMENTS 2026'!L1624)</f>
        <v/>
      </c>
      <c r="O1624">
        <f>IF(ISBLANK('ENGAGEMENTS 2026'!C1624),"",'ENGAGEMENTS 2026'!M1624)</f>
        <v/>
      </c>
      <c r="P1624">
        <f>IF(ISBLANK('ENGAGEMENTS 2026'!C1624),"",'ENGAGEMENTS 2026'!K1624)</f>
        <v/>
      </c>
      <c r="Q1624">
        <f>IF($A1624="","",IF(OR($E1624="INFRUCTUEUX",$E1624="ANNULE"),$A1624&amp;"|"&amp;(COUNTIFS($A$2:$A1624,$A1624,$E$2:$E1624,"INFRUCTUEUX")+COUNTIFS($A$2:$A1624,$A1624,$E$2:$E1624,"ANNULE")),""))</f>
        <v/>
      </c>
    </row>
    <row r="1625">
      <c r="A1625">
        <f>IF(ISBLANK('ENGAGEMENTS 2026'!C1625),"",IF('ENGAGEMENTS 2026'!C1625="DTSI","DCT",'ENGAGEMENTS 2026'!C1625))</f>
        <v/>
      </c>
      <c r="B1625">
        <f>IF(ISBLANK('ENGAGEMENTS 2026'!C1625),"",'ENGAGEMENTS 2026'!D1625)</f>
        <v/>
      </c>
      <c r="C1625">
        <f>IF(ISBLANK('ENGAGEMENTS 2026'!C1625),"",'ENGAGEMENTS 2026'!E1625)</f>
        <v/>
      </c>
      <c r="D1625">
        <f>IF(ISBLANK('ENGAGEMENTS 2026'!C1625),"",'ENGAGEMENTS 2026'!G1625)</f>
        <v/>
      </c>
      <c r="E1625">
        <f>IF(ISBLANK('ENGAGEMENTS 2026'!C1625),"",'ENGAGEMENTS 2026'!I1625)</f>
        <v/>
      </c>
      <c r="F1625">
        <f>IF(ISBLANK('ENGAGEMENTS 2026'!C1625),"",'ENGAGEMENTS 2026'!J1625)</f>
        <v/>
      </c>
      <c r="G1625">
        <f>IF(ISBLANK('ENGAGEMENTS 2026'!C1625),"",'ENGAGEMENTS 2026'!M1625)</f>
        <v/>
      </c>
      <c r="H1625">
        <f>IF(ISBLANK('ENGAGEMENTS 2026'!C1625),"",'ENGAGEMENTS 2026'!AF1625)</f>
        <v/>
      </c>
      <c r="I1625">
        <f>IF(ISBLANK('ENGAGEMENTS 2026'!C1625),"",'ENGAGEMENTS 2026'!H1625)</f>
        <v/>
      </c>
      <c r="J1625" s="275">
        <f>IF(ISBLANK('ENGAGEMENTS 2026'!C1625),"",IF(AND(OR($E1625="INFRUCTUEUX",$E1625="ANNULE"),$C1625="AOO-M"),'ENGAGEMENTS 2026'!P1625,IF($H1625="EN COURS DE PREENGAGEMENT",'ENGAGEMENTS 2026'!O1625,IF($H1625="PREENGAGE",IF($E1625="ATTRIBUE",'ENGAGEMENTS 2026'!AE1625,'ENGAGEMENTS 2026'!O1625),'ENGAGEMENTS 2026'!AE1625))))</f>
        <v/>
      </c>
      <c r="K1625" s="604">
        <f>IF(ISBLANK('ENGAGEMENTS 2026'!W1625),"",'ENGAGEMENTS 2026'!W1625)</f>
        <v/>
      </c>
      <c r="L1625" s="276">
        <f>IF($K1625="","",TODAY()-$K1625)</f>
        <v/>
      </c>
      <c r="M1625">
        <f>IF($A1625="","",IF($H1625="ENGAGE","Engagé",IF(AND($H1625="NON ENGAGE",OR($I1625="INFRUCTUEUX",$I1625="ANNULE")),"Clôturé sans suite","En cours")))</f>
        <v/>
      </c>
      <c r="N1625">
        <f>IF(ISBLANK('ENGAGEMENTS 2026'!C1625),"",'ENGAGEMENTS 2026'!L1625)</f>
        <v/>
      </c>
      <c r="O1625">
        <f>IF(ISBLANK('ENGAGEMENTS 2026'!C1625),"",'ENGAGEMENTS 2026'!M1625)</f>
        <v/>
      </c>
      <c r="P1625">
        <f>IF(ISBLANK('ENGAGEMENTS 2026'!C1625),"",'ENGAGEMENTS 2026'!K1625)</f>
        <v/>
      </c>
      <c r="Q1625">
        <f>IF($A1625="","",IF(OR($E1625="INFRUCTUEUX",$E1625="ANNULE"),$A1625&amp;"|"&amp;(COUNTIFS($A$2:$A1625,$A1625,$E$2:$E1625,"INFRUCTUEUX")+COUNTIFS($A$2:$A1625,$A1625,$E$2:$E1625,"ANNULE")),""))</f>
        <v/>
      </c>
    </row>
    <row r="1626">
      <c r="A1626">
        <f>IF(ISBLANK('ENGAGEMENTS 2026'!C1626),"",IF('ENGAGEMENTS 2026'!C1626="DTSI","DCT",'ENGAGEMENTS 2026'!C1626))</f>
        <v/>
      </c>
      <c r="B1626">
        <f>IF(ISBLANK('ENGAGEMENTS 2026'!C1626),"",'ENGAGEMENTS 2026'!D1626)</f>
        <v/>
      </c>
      <c r="C1626">
        <f>IF(ISBLANK('ENGAGEMENTS 2026'!C1626),"",'ENGAGEMENTS 2026'!E1626)</f>
        <v/>
      </c>
      <c r="D1626">
        <f>IF(ISBLANK('ENGAGEMENTS 2026'!C1626),"",'ENGAGEMENTS 2026'!G1626)</f>
        <v/>
      </c>
      <c r="E1626">
        <f>IF(ISBLANK('ENGAGEMENTS 2026'!C1626),"",'ENGAGEMENTS 2026'!I1626)</f>
        <v/>
      </c>
      <c r="F1626">
        <f>IF(ISBLANK('ENGAGEMENTS 2026'!C1626),"",'ENGAGEMENTS 2026'!J1626)</f>
        <v/>
      </c>
      <c r="G1626">
        <f>IF(ISBLANK('ENGAGEMENTS 2026'!C1626),"",'ENGAGEMENTS 2026'!M1626)</f>
        <v/>
      </c>
      <c r="H1626">
        <f>IF(ISBLANK('ENGAGEMENTS 2026'!C1626),"",'ENGAGEMENTS 2026'!AF1626)</f>
        <v/>
      </c>
      <c r="I1626">
        <f>IF(ISBLANK('ENGAGEMENTS 2026'!C1626),"",'ENGAGEMENTS 2026'!H1626)</f>
        <v/>
      </c>
      <c r="J1626" s="275">
        <f>IF(ISBLANK('ENGAGEMENTS 2026'!C1626),"",IF(AND(OR($E1626="INFRUCTUEUX",$E1626="ANNULE"),$C1626="AOO-M"),'ENGAGEMENTS 2026'!P1626,IF($H1626="EN COURS DE PREENGAGEMENT",'ENGAGEMENTS 2026'!O1626,IF($H1626="PREENGAGE",IF($E1626="ATTRIBUE",'ENGAGEMENTS 2026'!AE1626,'ENGAGEMENTS 2026'!O1626),'ENGAGEMENTS 2026'!AE1626))))</f>
        <v/>
      </c>
      <c r="K1626" s="604">
        <f>IF(ISBLANK('ENGAGEMENTS 2026'!W1626),"",'ENGAGEMENTS 2026'!W1626)</f>
        <v/>
      </c>
      <c r="L1626" s="276">
        <f>IF($K1626="","",TODAY()-$K1626)</f>
        <v/>
      </c>
      <c r="M1626">
        <f>IF($A1626="","",IF($H1626="ENGAGE","Engagé",IF(AND($H1626="NON ENGAGE",OR($I1626="INFRUCTUEUX",$I1626="ANNULE")),"Clôturé sans suite","En cours")))</f>
        <v/>
      </c>
      <c r="N1626">
        <f>IF(ISBLANK('ENGAGEMENTS 2026'!C1626),"",'ENGAGEMENTS 2026'!L1626)</f>
        <v/>
      </c>
      <c r="O1626">
        <f>IF(ISBLANK('ENGAGEMENTS 2026'!C1626),"",'ENGAGEMENTS 2026'!M1626)</f>
        <v/>
      </c>
      <c r="P1626">
        <f>IF(ISBLANK('ENGAGEMENTS 2026'!C1626),"",'ENGAGEMENTS 2026'!K1626)</f>
        <v/>
      </c>
      <c r="Q1626">
        <f>IF($A1626="","",IF(OR($E1626="INFRUCTUEUX",$E1626="ANNULE"),$A1626&amp;"|"&amp;(COUNTIFS($A$2:$A1626,$A1626,$E$2:$E1626,"INFRUCTUEUX")+COUNTIFS($A$2:$A1626,$A1626,$E$2:$E1626,"ANNULE")),""))</f>
        <v/>
      </c>
    </row>
    <row r="1627">
      <c r="A1627">
        <f>IF(ISBLANK('ENGAGEMENTS 2026'!C1627),"",IF('ENGAGEMENTS 2026'!C1627="DTSI","DCT",'ENGAGEMENTS 2026'!C1627))</f>
        <v/>
      </c>
      <c r="B1627">
        <f>IF(ISBLANK('ENGAGEMENTS 2026'!C1627),"",'ENGAGEMENTS 2026'!D1627)</f>
        <v/>
      </c>
      <c r="C1627">
        <f>IF(ISBLANK('ENGAGEMENTS 2026'!C1627),"",'ENGAGEMENTS 2026'!E1627)</f>
        <v/>
      </c>
      <c r="D1627">
        <f>IF(ISBLANK('ENGAGEMENTS 2026'!C1627),"",'ENGAGEMENTS 2026'!G1627)</f>
        <v/>
      </c>
      <c r="E1627">
        <f>IF(ISBLANK('ENGAGEMENTS 2026'!C1627),"",'ENGAGEMENTS 2026'!I1627)</f>
        <v/>
      </c>
      <c r="F1627">
        <f>IF(ISBLANK('ENGAGEMENTS 2026'!C1627),"",'ENGAGEMENTS 2026'!J1627)</f>
        <v/>
      </c>
      <c r="G1627">
        <f>IF(ISBLANK('ENGAGEMENTS 2026'!C1627),"",'ENGAGEMENTS 2026'!M1627)</f>
        <v/>
      </c>
      <c r="H1627">
        <f>IF(ISBLANK('ENGAGEMENTS 2026'!C1627),"",'ENGAGEMENTS 2026'!AF1627)</f>
        <v/>
      </c>
      <c r="I1627">
        <f>IF(ISBLANK('ENGAGEMENTS 2026'!C1627),"",'ENGAGEMENTS 2026'!H1627)</f>
        <v/>
      </c>
      <c r="J1627" s="275">
        <f>IF(ISBLANK('ENGAGEMENTS 2026'!C1627),"",IF(AND(OR($E1627="INFRUCTUEUX",$E1627="ANNULE"),$C1627="AOO-M"),'ENGAGEMENTS 2026'!P1627,IF($H1627="EN COURS DE PREENGAGEMENT",'ENGAGEMENTS 2026'!O1627,IF($H1627="PREENGAGE",IF($E1627="ATTRIBUE",'ENGAGEMENTS 2026'!AE1627,'ENGAGEMENTS 2026'!O1627),'ENGAGEMENTS 2026'!AE1627))))</f>
        <v/>
      </c>
      <c r="K1627" s="604">
        <f>IF(ISBLANK('ENGAGEMENTS 2026'!W1627),"",'ENGAGEMENTS 2026'!W1627)</f>
        <v/>
      </c>
      <c r="L1627" s="276">
        <f>IF($K1627="","",TODAY()-$K1627)</f>
        <v/>
      </c>
      <c r="M1627">
        <f>IF($A1627="","",IF($H1627="ENGAGE","Engagé",IF(AND($H1627="NON ENGAGE",OR($I1627="INFRUCTUEUX",$I1627="ANNULE")),"Clôturé sans suite","En cours")))</f>
        <v/>
      </c>
      <c r="N1627">
        <f>IF(ISBLANK('ENGAGEMENTS 2026'!C1627),"",'ENGAGEMENTS 2026'!L1627)</f>
        <v/>
      </c>
      <c r="O1627">
        <f>IF(ISBLANK('ENGAGEMENTS 2026'!C1627),"",'ENGAGEMENTS 2026'!M1627)</f>
        <v/>
      </c>
      <c r="P1627">
        <f>IF(ISBLANK('ENGAGEMENTS 2026'!C1627),"",'ENGAGEMENTS 2026'!K1627)</f>
        <v/>
      </c>
      <c r="Q1627">
        <f>IF($A1627="","",IF(OR($E1627="INFRUCTUEUX",$E1627="ANNULE"),$A1627&amp;"|"&amp;(COUNTIFS($A$2:$A1627,$A1627,$E$2:$E1627,"INFRUCTUEUX")+COUNTIFS($A$2:$A1627,$A1627,$E$2:$E1627,"ANNULE")),""))</f>
        <v/>
      </c>
    </row>
    <row r="1628">
      <c r="A1628">
        <f>IF(ISBLANK('ENGAGEMENTS 2026'!C1628),"",IF('ENGAGEMENTS 2026'!C1628="DTSI","DCT",'ENGAGEMENTS 2026'!C1628))</f>
        <v/>
      </c>
      <c r="B1628">
        <f>IF(ISBLANK('ENGAGEMENTS 2026'!C1628),"",'ENGAGEMENTS 2026'!D1628)</f>
        <v/>
      </c>
      <c r="C1628">
        <f>IF(ISBLANK('ENGAGEMENTS 2026'!C1628),"",'ENGAGEMENTS 2026'!E1628)</f>
        <v/>
      </c>
      <c r="D1628">
        <f>IF(ISBLANK('ENGAGEMENTS 2026'!C1628),"",'ENGAGEMENTS 2026'!G1628)</f>
        <v/>
      </c>
      <c r="E1628">
        <f>IF(ISBLANK('ENGAGEMENTS 2026'!C1628),"",'ENGAGEMENTS 2026'!I1628)</f>
        <v/>
      </c>
      <c r="F1628">
        <f>IF(ISBLANK('ENGAGEMENTS 2026'!C1628),"",'ENGAGEMENTS 2026'!J1628)</f>
        <v/>
      </c>
      <c r="G1628">
        <f>IF(ISBLANK('ENGAGEMENTS 2026'!C1628),"",'ENGAGEMENTS 2026'!M1628)</f>
        <v/>
      </c>
      <c r="H1628">
        <f>IF(ISBLANK('ENGAGEMENTS 2026'!C1628),"",'ENGAGEMENTS 2026'!AF1628)</f>
        <v/>
      </c>
      <c r="I1628">
        <f>IF(ISBLANK('ENGAGEMENTS 2026'!C1628),"",'ENGAGEMENTS 2026'!H1628)</f>
        <v/>
      </c>
      <c r="J1628" s="275">
        <f>IF(ISBLANK('ENGAGEMENTS 2026'!C1628),"",IF(AND(OR($E1628="INFRUCTUEUX",$E1628="ANNULE"),$C1628="AOO-M"),'ENGAGEMENTS 2026'!P1628,IF($H1628="EN COURS DE PREENGAGEMENT",'ENGAGEMENTS 2026'!O1628,IF($H1628="PREENGAGE",IF($E1628="ATTRIBUE",'ENGAGEMENTS 2026'!AE1628,'ENGAGEMENTS 2026'!O1628),'ENGAGEMENTS 2026'!AE1628))))</f>
        <v/>
      </c>
      <c r="K1628" s="604">
        <f>IF(ISBLANK('ENGAGEMENTS 2026'!W1628),"",'ENGAGEMENTS 2026'!W1628)</f>
        <v/>
      </c>
      <c r="L1628" s="276">
        <f>IF($K1628="","",TODAY()-$K1628)</f>
        <v/>
      </c>
      <c r="M1628">
        <f>IF($A1628="","",IF($H1628="ENGAGE","Engagé",IF(AND($H1628="NON ENGAGE",OR($I1628="INFRUCTUEUX",$I1628="ANNULE")),"Clôturé sans suite","En cours")))</f>
        <v/>
      </c>
      <c r="N1628">
        <f>IF(ISBLANK('ENGAGEMENTS 2026'!C1628),"",'ENGAGEMENTS 2026'!L1628)</f>
        <v/>
      </c>
      <c r="O1628">
        <f>IF(ISBLANK('ENGAGEMENTS 2026'!C1628),"",'ENGAGEMENTS 2026'!M1628)</f>
        <v/>
      </c>
      <c r="P1628">
        <f>IF(ISBLANK('ENGAGEMENTS 2026'!C1628),"",'ENGAGEMENTS 2026'!K1628)</f>
        <v/>
      </c>
      <c r="Q1628">
        <f>IF($A1628="","",IF(OR($E1628="INFRUCTUEUX",$E1628="ANNULE"),$A1628&amp;"|"&amp;(COUNTIFS($A$2:$A1628,$A1628,$E$2:$E1628,"INFRUCTUEUX")+COUNTIFS($A$2:$A1628,$A1628,$E$2:$E1628,"ANNULE")),""))</f>
        <v/>
      </c>
    </row>
    <row r="1629">
      <c r="A1629">
        <f>IF(ISBLANK('ENGAGEMENTS 2026'!C1629),"",IF('ENGAGEMENTS 2026'!C1629="DTSI","DCT",'ENGAGEMENTS 2026'!C1629))</f>
        <v/>
      </c>
      <c r="B1629">
        <f>IF(ISBLANK('ENGAGEMENTS 2026'!C1629),"",'ENGAGEMENTS 2026'!D1629)</f>
        <v/>
      </c>
      <c r="C1629">
        <f>IF(ISBLANK('ENGAGEMENTS 2026'!C1629),"",'ENGAGEMENTS 2026'!E1629)</f>
        <v/>
      </c>
      <c r="D1629">
        <f>IF(ISBLANK('ENGAGEMENTS 2026'!C1629),"",'ENGAGEMENTS 2026'!G1629)</f>
        <v/>
      </c>
      <c r="E1629">
        <f>IF(ISBLANK('ENGAGEMENTS 2026'!C1629),"",'ENGAGEMENTS 2026'!I1629)</f>
        <v/>
      </c>
      <c r="F1629">
        <f>IF(ISBLANK('ENGAGEMENTS 2026'!C1629),"",'ENGAGEMENTS 2026'!J1629)</f>
        <v/>
      </c>
      <c r="G1629">
        <f>IF(ISBLANK('ENGAGEMENTS 2026'!C1629),"",'ENGAGEMENTS 2026'!M1629)</f>
        <v/>
      </c>
      <c r="H1629">
        <f>IF(ISBLANK('ENGAGEMENTS 2026'!C1629),"",'ENGAGEMENTS 2026'!AF1629)</f>
        <v/>
      </c>
      <c r="I1629">
        <f>IF(ISBLANK('ENGAGEMENTS 2026'!C1629),"",'ENGAGEMENTS 2026'!H1629)</f>
        <v/>
      </c>
      <c r="J1629" s="275">
        <f>IF(ISBLANK('ENGAGEMENTS 2026'!C1629),"",IF(AND(OR($E1629="INFRUCTUEUX",$E1629="ANNULE"),$C1629="AOO-M"),'ENGAGEMENTS 2026'!P1629,IF($H1629="EN COURS DE PREENGAGEMENT",'ENGAGEMENTS 2026'!O1629,IF($H1629="PREENGAGE",IF($E1629="ATTRIBUE",'ENGAGEMENTS 2026'!AE1629,'ENGAGEMENTS 2026'!O1629),'ENGAGEMENTS 2026'!AE1629))))</f>
        <v/>
      </c>
      <c r="K1629" s="604">
        <f>IF(ISBLANK('ENGAGEMENTS 2026'!W1629),"",'ENGAGEMENTS 2026'!W1629)</f>
        <v/>
      </c>
      <c r="L1629" s="276">
        <f>IF($K1629="","",TODAY()-$K1629)</f>
        <v/>
      </c>
      <c r="M1629">
        <f>IF($A1629="","",IF($H1629="ENGAGE","Engagé",IF(AND($H1629="NON ENGAGE",OR($I1629="INFRUCTUEUX",$I1629="ANNULE")),"Clôturé sans suite","En cours")))</f>
        <v/>
      </c>
      <c r="N1629">
        <f>IF(ISBLANK('ENGAGEMENTS 2026'!C1629),"",'ENGAGEMENTS 2026'!L1629)</f>
        <v/>
      </c>
      <c r="O1629">
        <f>IF(ISBLANK('ENGAGEMENTS 2026'!C1629),"",'ENGAGEMENTS 2026'!M1629)</f>
        <v/>
      </c>
      <c r="P1629">
        <f>IF(ISBLANK('ENGAGEMENTS 2026'!C1629),"",'ENGAGEMENTS 2026'!K1629)</f>
        <v/>
      </c>
      <c r="Q1629">
        <f>IF($A1629="","",IF(OR($E1629="INFRUCTUEUX",$E1629="ANNULE"),$A1629&amp;"|"&amp;(COUNTIFS($A$2:$A1629,$A1629,$E$2:$E1629,"INFRUCTUEUX")+COUNTIFS($A$2:$A1629,$A1629,$E$2:$E1629,"ANNULE")),""))</f>
        <v/>
      </c>
    </row>
    <row r="1630">
      <c r="A1630">
        <f>IF(ISBLANK('ENGAGEMENTS 2026'!C1630),"",IF('ENGAGEMENTS 2026'!C1630="DTSI","DCT",'ENGAGEMENTS 2026'!C1630))</f>
        <v/>
      </c>
      <c r="B1630">
        <f>IF(ISBLANK('ENGAGEMENTS 2026'!C1630),"",'ENGAGEMENTS 2026'!D1630)</f>
        <v/>
      </c>
      <c r="C1630">
        <f>IF(ISBLANK('ENGAGEMENTS 2026'!C1630),"",'ENGAGEMENTS 2026'!E1630)</f>
        <v/>
      </c>
      <c r="D1630">
        <f>IF(ISBLANK('ENGAGEMENTS 2026'!C1630),"",'ENGAGEMENTS 2026'!G1630)</f>
        <v/>
      </c>
      <c r="E1630">
        <f>IF(ISBLANK('ENGAGEMENTS 2026'!C1630),"",'ENGAGEMENTS 2026'!I1630)</f>
        <v/>
      </c>
      <c r="F1630">
        <f>IF(ISBLANK('ENGAGEMENTS 2026'!C1630),"",'ENGAGEMENTS 2026'!J1630)</f>
        <v/>
      </c>
      <c r="G1630">
        <f>IF(ISBLANK('ENGAGEMENTS 2026'!C1630),"",'ENGAGEMENTS 2026'!M1630)</f>
        <v/>
      </c>
      <c r="H1630">
        <f>IF(ISBLANK('ENGAGEMENTS 2026'!C1630),"",'ENGAGEMENTS 2026'!AF1630)</f>
        <v/>
      </c>
      <c r="I1630">
        <f>IF(ISBLANK('ENGAGEMENTS 2026'!C1630),"",'ENGAGEMENTS 2026'!H1630)</f>
        <v/>
      </c>
      <c r="J1630" s="275">
        <f>IF(ISBLANK('ENGAGEMENTS 2026'!C1630),"",IF(AND(OR($E1630="INFRUCTUEUX",$E1630="ANNULE"),$C1630="AOO-M"),'ENGAGEMENTS 2026'!P1630,IF($H1630="EN COURS DE PREENGAGEMENT",'ENGAGEMENTS 2026'!O1630,IF($H1630="PREENGAGE",IF($E1630="ATTRIBUE",'ENGAGEMENTS 2026'!AE1630,'ENGAGEMENTS 2026'!O1630),'ENGAGEMENTS 2026'!AE1630))))</f>
        <v/>
      </c>
      <c r="K1630" s="604">
        <f>IF(ISBLANK('ENGAGEMENTS 2026'!W1630),"",'ENGAGEMENTS 2026'!W1630)</f>
        <v/>
      </c>
      <c r="L1630" s="276">
        <f>IF($K1630="","",TODAY()-$K1630)</f>
        <v/>
      </c>
      <c r="M1630">
        <f>IF($A1630="","",IF($H1630="ENGAGE","Engagé",IF(AND($H1630="NON ENGAGE",OR($I1630="INFRUCTUEUX",$I1630="ANNULE")),"Clôturé sans suite","En cours")))</f>
        <v/>
      </c>
      <c r="N1630">
        <f>IF(ISBLANK('ENGAGEMENTS 2026'!C1630),"",'ENGAGEMENTS 2026'!L1630)</f>
        <v/>
      </c>
      <c r="O1630">
        <f>IF(ISBLANK('ENGAGEMENTS 2026'!C1630),"",'ENGAGEMENTS 2026'!M1630)</f>
        <v/>
      </c>
      <c r="P1630">
        <f>IF(ISBLANK('ENGAGEMENTS 2026'!C1630),"",'ENGAGEMENTS 2026'!K1630)</f>
        <v/>
      </c>
      <c r="Q1630">
        <f>IF($A1630="","",IF(OR($E1630="INFRUCTUEUX",$E1630="ANNULE"),$A1630&amp;"|"&amp;(COUNTIFS($A$2:$A1630,$A1630,$E$2:$E1630,"INFRUCTUEUX")+COUNTIFS($A$2:$A1630,$A1630,$E$2:$E1630,"ANNULE")),""))</f>
        <v/>
      </c>
    </row>
    <row r="1631">
      <c r="A1631">
        <f>IF(ISBLANK('ENGAGEMENTS 2026'!C1631),"",IF('ENGAGEMENTS 2026'!C1631="DTSI","DCT",'ENGAGEMENTS 2026'!C1631))</f>
        <v/>
      </c>
      <c r="B1631">
        <f>IF(ISBLANK('ENGAGEMENTS 2026'!C1631),"",'ENGAGEMENTS 2026'!D1631)</f>
        <v/>
      </c>
      <c r="C1631">
        <f>IF(ISBLANK('ENGAGEMENTS 2026'!C1631),"",'ENGAGEMENTS 2026'!E1631)</f>
        <v/>
      </c>
      <c r="D1631">
        <f>IF(ISBLANK('ENGAGEMENTS 2026'!C1631),"",'ENGAGEMENTS 2026'!G1631)</f>
        <v/>
      </c>
      <c r="E1631">
        <f>IF(ISBLANK('ENGAGEMENTS 2026'!C1631),"",'ENGAGEMENTS 2026'!I1631)</f>
        <v/>
      </c>
      <c r="F1631">
        <f>IF(ISBLANK('ENGAGEMENTS 2026'!C1631),"",'ENGAGEMENTS 2026'!J1631)</f>
        <v/>
      </c>
      <c r="G1631">
        <f>IF(ISBLANK('ENGAGEMENTS 2026'!C1631),"",'ENGAGEMENTS 2026'!M1631)</f>
        <v/>
      </c>
      <c r="H1631">
        <f>IF(ISBLANK('ENGAGEMENTS 2026'!C1631),"",'ENGAGEMENTS 2026'!AF1631)</f>
        <v/>
      </c>
      <c r="I1631">
        <f>IF(ISBLANK('ENGAGEMENTS 2026'!C1631),"",'ENGAGEMENTS 2026'!H1631)</f>
        <v/>
      </c>
      <c r="J1631" s="275">
        <f>IF(ISBLANK('ENGAGEMENTS 2026'!C1631),"",IF(AND(OR($E1631="INFRUCTUEUX",$E1631="ANNULE"),$C1631="AOO-M"),'ENGAGEMENTS 2026'!P1631,IF($H1631="EN COURS DE PREENGAGEMENT",'ENGAGEMENTS 2026'!O1631,IF($H1631="PREENGAGE",IF($E1631="ATTRIBUE",'ENGAGEMENTS 2026'!AE1631,'ENGAGEMENTS 2026'!O1631),'ENGAGEMENTS 2026'!AE1631))))</f>
        <v/>
      </c>
      <c r="K1631" s="604">
        <f>IF(ISBLANK('ENGAGEMENTS 2026'!W1631),"",'ENGAGEMENTS 2026'!W1631)</f>
        <v/>
      </c>
      <c r="L1631" s="276">
        <f>IF($K1631="","",TODAY()-$K1631)</f>
        <v/>
      </c>
      <c r="M1631">
        <f>IF($A1631="","",IF($H1631="ENGAGE","Engagé",IF(AND($H1631="NON ENGAGE",OR($I1631="INFRUCTUEUX",$I1631="ANNULE")),"Clôturé sans suite","En cours")))</f>
        <v/>
      </c>
      <c r="N1631">
        <f>IF(ISBLANK('ENGAGEMENTS 2026'!C1631),"",'ENGAGEMENTS 2026'!L1631)</f>
        <v/>
      </c>
      <c r="O1631">
        <f>IF(ISBLANK('ENGAGEMENTS 2026'!C1631),"",'ENGAGEMENTS 2026'!M1631)</f>
        <v/>
      </c>
      <c r="P1631">
        <f>IF(ISBLANK('ENGAGEMENTS 2026'!C1631),"",'ENGAGEMENTS 2026'!K1631)</f>
        <v/>
      </c>
      <c r="Q1631">
        <f>IF($A1631="","",IF(OR($E1631="INFRUCTUEUX",$E1631="ANNULE"),$A1631&amp;"|"&amp;(COUNTIFS($A$2:$A1631,$A1631,$E$2:$E1631,"INFRUCTUEUX")+COUNTIFS($A$2:$A1631,$A1631,$E$2:$E1631,"ANNULE")),""))</f>
        <v/>
      </c>
    </row>
    <row r="1632">
      <c r="A1632">
        <f>IF(ISBLANK('ENGAGEMENTS 2026'!C1632),"",IF('ENGAGEMENTS 2026'!C1632="DTSI","DCT",'ENGAGEMENTS 2026'!C1632))</f>
        <v/>
      </c>
      <c r="B1632">
        <f>IF(ISBLANK('ENGAGEMENTS 2026'!C1632),"",'ENGAGEMENTS 2026'!D1632)</f>
        <v/>
      </c>
      <c r="C1632">
        <f>IF(ISBLANK('ENGAGEMENTS 2026'!C1632),"",'ENGAGEMENTS 2026'!E1632)</f>
        <v/>
      </c>
      <c r="D1632">
        <f>IF(ISBLANK('ENGAGEMENTS 2026'!C1632),"",'ENGAGEMENTS 2026'!G1632)</f>
        <v/>
      </c>
      <c r="E1632">
        <f>IF(ISBLANK('ENGAGEMENTS 2026'!C1632),"",'ENGAGEMENTS 2026'!I1632)</f>
        <v/>
      </c>
      <c r="F1632">
        <f>IF(ISBLANK('ENGAGEMENTS 2026'!C1632),"",'ENGAGEMENTS 2026'!J1632)</f>
        <v/>
      </c>
      <c r="G1632">
        <f>IF(ISBLANK('ENGAGEMENTS 2026'!C1632),"",'ENGAGEMENTS 2026'!M1632)</f>
        <v/>
      </c>
      <c r="H1632">
        <f>IF(ISBLANK('ENGAGEMENTS 2026'!C1632),"",'ENGAGEMENTS 2026'!AF1632)</f>
        <v/>
      </c>
      <c r="I1632">
        <f>IF(ISBLANK('ENGAGEMENTS 2026'!C1632),"",'ENGAGEMENTS 2026'!H1632)</f>
        <v/>
      </c>
      <c r="J1632" s="275">
        <f>IF(ISBLANK('ENGAGEMENTS 2026'!C1632),"",IF(AND(OR($E1632="INFRUCTUEUX",$E1632="ANNULE"),$C1632="AOO-M"),'ENGAGEMENTS 2026'!P1632,IF($H1632="EN COURS DE PREENGAGEMENT",'ENGAGEMENTS 2026'!O1632,IF($H1632="PREENGAGE",IF($E1632="ATTRIBUE",'ENGAGEMENTS 2026'!AE1632,'ENGAGEMENTS 2026'!O1632),'ENGAGEMENTS 2026'!AE1632))))</f>
        <v/>
      </c>
      <c r="K1632" s="604">
        <f>IF(ISBLANK('ENGAGEMENTS 2026'!W1632),"",'ENGAGEMENTS 2026'!W1632)</f>
        <v/>
      </c>
      <c r="L1632" s="276">
        <f>IF($K1632="","",TODAY()-$K1632)</f>
        <v/>
      </c>
      <c r="M1632">
        <f>IF($A1632="","",IF($H1632="ENGAGE","Engagé",IF(AND($H1632="NON ENGAGE",OR($I1632="INFRUCTUEUX",$I1632="ANNULE")),"Clôturé sans suite","En cours")))</f>
        <v/>
      </c>
      <c r="N1632">
        <f>IF(ISBLANK('ENGAGEMENTS 2026'!C1632),"",'ENGAGEMENTS 2026'!L1632)</f>
        <v/>
      </c>
      <c r="O1632">
        <f>IF(ISBLANK('ENGAGEMENTS 2026'!C1632),"",'ENGAGEMENTS 2026'!M1632)</f>
        <v/>
      </c>
      <c r="P1632">
        <f>IF(ISBLANK('ENGAGEMENTS 2026'!C1632),"",'ENGAGEMENTS 2026'!K1632)</f>
        <v/>
      </c>
      <c r="Q1632">
        <f>IF($A1632="","",IF(OR($E1632="INFRUCTUEUX",$E1632="ANNULE"),$A1632&amp;"|"&amp;(COUNTIFS($A$2:$A1632,$A1632,$E$2:$E1632,"INFRUCTUEUX")+COUNTIFS($A$2:$A1632,$A1632,$E$2:$E1632,"ANNULE")),""))</f>
        <v/>
      </c>
    </row>
    <row r="1633">
      <c r="A1633">
        <f>IF(ISBLANK('ENGAGEMENTS 2026'!C1633),"",IF('ENGAGEMENTS 2026'!C1633="DTSI","DCT",'ENGAGEMENTS 2026'!C1633))</f>
        <v/>
      </c>
      <c r="B1633">
        <f>IF(ISBLANK('ENGAGEMENTS 2026'!C1633),"",'ENGAGEMENTS 2026'!D1633)</f>
        <v/>
      </c>
      <c r="C1633">
        <f>IF(ISBLANK('ENGAGEMENTS 2026'!C1633),"",'ENGAGEMENTS 2026'!E1633)</f>
        <v/>
      </c>
      <c r="D1633">
        <f>IF(ISBLANK('ENGAGEMENTS 2026'!C1633),"",'ENGAGEMENTS 2026'!G1633)</f>
        <v/>
      </c>
      <c r="E1633">
        <f>IF(ISBLANK('ENGAGEMENTS 2026'!C1633),"",'ENGAGEMENTS 2026'!I1633)</f>
        <v/>
      </c>
      <c r="F1633">
        <f>IF(ISBLANK('ENGAGEMENTS 2026'!C1633),"",'ENGAGEMENTS 2026'!J1633)</f>
        <v/>
      </c>
      <c r="G1633">
        <f>IF(ISBLANK('ENGAGEMENTS 2026'!C1633),"",'ENGAGEMENTS 2026'!M1633)</f>
        <v/>
      </c>
      <c r="H1633">
        <f>IF(ISBLANK('ENGAGEMENTS 2026'!C1633),"",'ENGAGEMENTS 2026'!AF1633)</f>
        <v/>
      </c>
      <c r="I1633">
        <f>IF(ISBLANK('ENGAGEMENTS 2026'!C1633),"",'ENGAGEMENTS 2026'!H1633)</f>
        <v/>
      </c>
      <c r="J1633" s="275">
        <f>IF(ISBLANK('ENGAGEMENTS 2026'!C1633),"",IF(AND(OR($E1633="INFRUCTUEUX",$E1633="ANNULE"),$C1633="AOO-M"),'ENGAGEMENTS 2026'!P1633,IF($H1633="EN COURS DE PREENGAGEMENT",'ENGAGEMENTS 2026'!O1633,IF($H1633="PREENGAGE",IF($E1633="ATTRIBUE",'ENGAGEMENTS 2026'!AE1633,'ENGAGEMENTS 2026'!O1633),'ENGAGEMENTS 2026'!AE1633))))</f>
        <v/>
      </c>
      <c r="K1633" s="604">
        <f>IF(ISBLANK('ENGAGEMENTS 2026'!W1633),"",'ENGAGEMENTS 2026'!W1633)</f>
        <v/>
      </c>
      <c r="L1633" s="276">
        <f>IF($K1633="","",TODAY()-$K1633)</f>
        <v/>
      </c>
      <c r="M1633">
        <f>IF($A1633="","",IF($H1633="ENGAGE","Engagé",IF(AND($H1633="NON ENGAGE",OR($I1633="INFRUCTUEUX",$I1633="ANNULE")),"Clôturé sans suite","En cours")))</f>
        <v/>
      </c>
      <c r="N1633">
        <f>IF(ISBLANK('ENGAGEMENTS 2026'!C1633),"",'ENGAGEMENTS 2026'!L1633)</f>
        <v/>
      </c>
      <c r="O1633">
        <f>IF(ISBLANK('ENGAGEMENTS 2026'!C1633),"",'ENGAGEMENTS 2026'!M1633)</f>
        <v/>
      </c>
      <c r="P1633">
        <f>IF(ISBLANK('ENGAGEMENTS 2026'!C1633),"",'ENGAGEMENTS 2026'!K1633)</f>
        <v/>
      </c>
      <c r="Q1633">
        <f>IF($A1633="","",IF(OR($E1633="INFRUCTUEUX",$E1633="ANNULE"),$A1633&amp;"|"&amp;(COUNTIFS($A$2:$A1633,$A1633,$E$2:$E1633,"INFRUCTUEUX")+COUNTIFS($A$2:$A1633,$A1633,$E$2:$E1633,"ANNULE")),""))</f>
        <v/>
      </c>
    </row>
    <row r="1634">
      <c r="A1634">
        <f>IF(ISBLANK('ENGAGEMENTS 2026'!C1634),"",IF('ENGAGEMENTS 2026'!C1634="DTSI","DCT",'ENGAGEMENTS 2026'!C1634))</f>
        <v/>
      </c>
      <c r="B1634">
        <f>IF(ISBLANK('ENGAGEMENTS 2026'!C1634),"",'ENGAGEMENTS 2026'!D1634)</f>
        <v/>
      </c>
      <c r="C1634">
        <f>IF(ISBLANK('ENGAGEMENTS 2026'!C1634),"",'ENGAGEMENTS 2026'!E1634)</f>
        <v/>
      </c>
      <c r="D1634">
        <f>IF(ISBLANK('ENGAGEMENTS 2026'!C1634),"",'ENGAGEMENTS 2026'!G1634)</f>
        <v/>
      </c>
      <c r="E1634">
        <f>IF(ISBLANK('ENGAGEMENTS 2026'!C1634),"",'ENGAGEMENTS 2026'!I1634)</f>
        <v/>
      </c>
      <c r="F1634">
        <f>IF(ISBLANK('ENGAGEMENTS 2026'!C1634),"",'ENGAGEMENTS 2026'!J1634)</f>
        <v/>
      </c>
      <c r="G1634">
        <f>IF(ISBLANK('ENGAGEMENTS 2026'!C1634),"",'ENGAGEMENTS 2026'!M1634)</f>
        <v/>
      </c>
      <c r="H1634">
        <f>IF(ISBLANK('ENGAGEMENTS 2026'!C1634),"",'ENGAGEMENTS 2026'!AF1634)</f>
        <v/>
      </c>
      <c r="I1634">
        <f>IF(ISBLANK('ENGAGEMENTS 2026'!C1634),"",'ENGAGEMENTS 2026'!H1634)</f>
        <v/>
      </c>
      <c r="J1634" s="275">
        <f>IF(ISBLANK('ENGAGEMENTS 2026'!C1634),"",IF(AND(OR($E1634="INFRUCTUEUX",$E1634="ANNULE"),$C1634="AOO-M"),'ENGAGEMENTS 2026'!P1634,IF($H1634="EN COURS DE PREENGAGEMENT",'ENGAGEMENTS 2026'!O1634,IF($H1634="PREENGAGE",IF($E1634="ATTRIBUE",'ENGAGEMENTS 2026'!AE1634,'ENGAGEMENTS 2026'!O1634),'ENGAGEMENTS 2026'!AE1634))))</f>
        <v/>
      </c>
      <c r="K1634" s="604">
        <f>IF(ISBLANK('ENGAGEMENTS 2026'!W1634),"",'ENGAGEMENTS 2026'!W1634)</f>
        <v/>
      </c>
      <c r="L1634" s="276">
        <f>IF($K1634="","",TODAY()-$K1634)</f>
        <v/>
      </c>
      <c r="M1634">
        <f>IF($A1634="","",IF($H1634="ENGAGE","Engagé",IF(AND($H1634="NON ENGAGE",OR($I1634="INFRUCTUEUX",$I1634="ANNULE")),"Clôturé sans suite","En cours")))</f>
        <v/>
      </c>
      <c r="N1634">
        <f>IF(ISBLANK('ENGAGEMENTS 2026'!C1634),"",'ENGAGEMENTS 2026'!L1634)</f>
        <v/>
      </c>
      <c r="O1634">
        <f>IF(ISBLANK('ENGAGEMENTS 2026'!C1634),"",'ENGAGEMENTS 2026'!M1634)</f>
        <v/>
      </c>
      <c r="P1634">
        <f>IF(ISBLANK('ENGAGEMENTS 2026'!C1634),"",'ENGAGEMENTS 2026'!K1634)</f>
        <v/>
      </c>
      <c r="Q1634">
        <f>IF($A1634="","",IF(OR($E1634="INFRUCTUEUX",$E1634="ANNULE"),$A1634&amp;"|"&amp;(COUNTIFS($A$2:$A1634,$A1634,$E$2:$E1634,"INFRUCTUEUX")+COUNTIFS($A$2:$A1634,$A1634,$E$2:$E1634,"ANNULE")),""))</f>
        <v/>
      </c>
    </row>
    <row r="1635">
      <c r="A1635">
        <f>IF(ISBLANK('ENGAGEMENTS 2026'!C1635),"",IF('ENGAGEMENTS 2026'!C1635="DTSI","DCT",'ENGAGEMENTS 2026'!C1635))</f>
        <v/>
      </c>
      <c r="B1635">
        <f>IF(ISBLANK('ENGAGEMENTS 2026'!C1635),"",'ENGAGEMENTS 2026'!D1635)</f>
        <v/>
      </c>
      <c r="C1635">
        <f>IF(ISBLANK('ENGAGEMENTS 2026'!C1635),"",'ENGAGEMENTS 2026'!E1635)</f>
        <v/>
      </c>
      <c r="D1635">
        <f>IF(ISBLANK('ENGAGEMENTS 2026'!C1635),"",'ENGAGEMENTS 2026'!G1635)</f>
        <v/>
      </c>
      <c r="E1635">
        <f>IF(ISBLANK('ENGAGEMENTS 2026'!C1635),"",'ENGAGEMENTS 2026'!I1635)</f>
        <v/>
      </c>
      <c r="F1635">
        <f>IF(ISBLANK('ENGAGEMENTS 2026'!C1635),"",'ENGAGEMENTS 2026'!J1635)</f>
        <v/>
      </c>
      <c r="G1635">
        <f>IF(ISBLANK('ENGAGEMENTS 2026'!C1635),"",'ENGAGEMENTS 2026'!M1635)</f>
        <v/>
      </c>
      <c r="H1635">
        <f>IF(ISBLANK('ENGAGEMENTS 2026'!C1635),"",'ENGAGEMENTS 2026'!AF1635)</f>
        <v/>
      </c>
      <c r="I1635">
        <f>IF(ISBLANK('ENGAGEMENTS 2026'!C1635),"",'ENGAGEMENTS 2026'!H1635)</f>
        <v/>
      </c>
      <c r="J1635" s="275">
        <f>IF(ISBLANK('ENGAGEMENTS 2026'!C1635),"",IF(AND(OR($E1635="INFRUCTUEUX",$E1635="ANNULE"),$C1635="AOO-M"),'ENGAGEMENTS 2026'!P1635,IF($H1635="EN COURS DE PREENGAGEMENT",'ENGAGEMENTS 2026'!O1635,IF($H1635="PREENGAGE",IF($E1635="ATTRIBUE",'ENGAGEMENTS 2026'!AE1635,'ENGAGEMENTS 2026'!O1635),'ENGAGEMENTS 2026'!AE1635))))</f>
        <v/>
      </c>
      <c r="K1635" s="604">
        <f>IF(ISBLANK('ENGAGEMENTS 2026'!W1635),"",'ENGAGEMENTS 2026'!W1635)</f>
        <v/>
      </c>
      <c r="L1635" s="276">
        <f>IF($K1635="","",TODAY()-$K1635)</f>
        <v/>
      </c>
      <c r="M1635">
        <f>IF($A1635="","",IF($H1635="ENGAGE","Engagé",IF(AND($H1635="NON ENGAGE",OR($I1635="INFRUCTUEUX",$I1635="ANNULE")),"Clôturé sans suite","En cours")))</f>
        <v/>
      </c>
      <c r="N1635">
        <f>IF(ISBLANK('ENGAGEMENTS 2026'!C1635),"",'ENGAGEMENTS 2026'!L1635)</f>
        <v/>
      </c>
      <c r="O1635">
        <f>IF(ISBLANK('ENGAGEMENTS 2026'!C1635),"",'ENGAGEMENTS 2026'!M1635)</f>
        <v/>
      </c>
      <c r="P1635">
        <f>IF(ISBLANK('ENGAGEMENTS 2026'!C1635),"",'ENGAGEMENTS 2026'!K1635)</f>
        <v/>
      </c>
      <c r="Q1635">
        <f>IF($A1635="","",IF(OR($E1635="INFRUCTUEUX",$E1635="ANNULE"),$A1635&amp;"|"&amp;(COUNTIFS($A$2:$A1635,$A1635,$E$2:$E1635,"INFRUCTUEUX")+COUNTIFS($A$2:$A1635,$A1635,$E$2:$E1635,"ANNULE")),""))</f>
        <v/>
      </c>
    </row>
    <row r="1636">
      <c r="A1636">
        <f>IF(ISBLANK('ENGAGEMENTS 2026'!C1636),"",IF('ENGAGEMENTS 2026'!C1636="DTSI","DCT",'ENGAGEMENTS 2026'!C1636))</f>
        <v/>
      </c>
      <c r="B1636">
        <f>IF(ISBLANK('ENGAGEMENTS 2026'!C1636),"",'ENGAGEMENTS 2026'!D1636)</f>
        <v/>
      </c>
      <c r="C1636">
        <f>IF(ISBLANK('ENGAGEMENTS 2026'!C1636),"",'ENGAGEMENTS 2026'!E1636)</f>
        <v/>
      </c>
      <c r="D1636">
        <f>IF(ISBLANK('ENGAGEMENTS 2026'!C1636),"",'ENGAGEMENTS 2026'!G1636)</f>
        <v/>
      </c>
      <c r="E1636">
        <f>IF(ISBLANK('ENGAGEMENTS 2026'!C1636),"",'ENGAGEMENTS 2026'!I1636)</f>
        <v/>
      </c>
      <c r="F1636">
        <f>IF(ISBLANK('ENGAGEMENTS 2026'!C1636),"",'ENGAGEMENTS 2026'!J1636)</f>
        <v/>
      </c>
      <c r="G1636">
        <f>IF(ISBLANK('ENGAGEMENTS 2026'!C1636),"",'ENGAGEMENTS 2026'!M1636)</f>
        <v/>
      </c>
      <c r="H1636">
        <f>IF(ISBLANK('ENGAGEMENTS 2026'!C1636),"",'ENGAGEMENTS 2026'!AF1636)</f>
        <v/>
      </c>
      <c r="I1636">
        <f>IF(ISBLANK('ENGAGEMENTS 2026'!C1636),"",'ENGAGEMENTS 2026'!H1636)</f>
        <v/>
      </c>
      <c r="J1636" s="275">
        <f>IF(ISBLANK('ENGAGEMENTS 2026'!C1636),"",IF(AND(OR($E1636="INFRUCTUEUX",$E1636="ANNULE"),$C1636="AOO-M"),'ENGAGEMENTS 2026'!P1636,IF($H1636="EN COURS DE PREENGAGEMENT",'ENGAGEMENTS 2026'!O1636,IF($H1636="PREENGAGE",IF($E1636="ATTRIBUE",'ENGAGEMENTS 2026'!AE1636,'ENGAGEMENTS 2026'!O1636),'ENGAGEMENTS 2026'!AE1636))))</f>
        <v/>
      </c>
      <c r="K1636" s="604">
        <f>IF(ISBLANK('ENGAGEMENTS 2026'!W1636),"",'ENGAGEMENTS 2026'!W1636)</f>
        <v/>
      </c>
      <c r="L1636" s="276">
        <f>IF($K1636="","",TODAY()-$K1636)</f>
        <v/>
      </c>
      <c r="M1636">
        <f>IF($A1636="","",IF($H1636="ENGAGE","Engagé",IF(AND($H1636="NON ENGAGE",OR($I1636="INFRUCTUEUX",$I1636="ANNULE")),"Clôturé sans suite","En cours")))</f>
        <v/>
      </c>
      <c r="N1636">
        <f>IF(ISBLANK('ENGAGEMENTS 2026'!C1636),"",'ENGAGEMENTS 2026'!L1636)</f>
        <v/>
      </c>
      <c r="O1636">
        <f>IF(ISBLANK('ENGAGEMENTS 2026'!C1636),"",'ENGAGEMENTS 2026'!M1636)</f>
        <v/>
      </c>
      <c r="P1636">
        <f>IF(ISBLANK('ENGAGEMENTS 2026'!C1636),"",'ENGAGEMENTS 2026'!K1636)</f>
        <v/>
      </c>
      <c r="Q1636">
        <f>IF($A1636="","",IF(OR($E1636="INFRUCTUEUX",$E1636="ANNULE"),$A1636&amp;"|"&amp;(COUNTIFS($A$2:$A1636,$A1636,$E$2:$E1636,"INFRUCTUEUX")+COUNTIFS($A$2:$A1636,$A1636,$E$2:$E1636,"ANNULE")),""))</f>
        <v/>
      </c>
    </row>
    <row r="1637">
      <c r="A1637">
        <f>IF(ISBLANK('ENGAGEMENTS 2026'!C1637),"",IF('ENGAGEMENTS 2026'!C1637="DTSI","DCT",'ENGAGEMENTS 2026'!C1637))</f>
        <v/>
      </c>
      <c r="B1637">
        <f>IF(ISBLANK('ENGAGEMENTS 2026'!C1637),"",'ENGAGEMENTS 2026'!D1637)</f>
        <v/>
      </c>
      <c r="C1637">
        <f>IF(ISBLANK('ENGAGEMENTS 2026'!C1637),"",'ENGAGEMENTS 2026'!E1637)</f>
        <v/>
      </c>
      <c r="D1637">
        <f>IF(ISBLANK('ENGAGEMENTS 2026'!C1637),"",'ENGAGEMENTS 2026'!G1637)</f>
        <v/>
      </c>
      <c r="E1637">
        <f>IF(ISBLANK('ENGAGEMENTS 2026'!C1637),"",'ENGAGEMENTS 2026'!I1637)</f>
        <v/>
      </c>
      <c r="F1637">
        <f>IF(ISBLANK('ENGAGEMENTS 2026'!C1637),"",'ENGAGEMENTS 2026'!J1637)</f>
        <v/>
      </c>
      <c r="G1637">
        <f>IF(ISBLANK('ENGAGEMENTS 2026'!C1637),"",'ENGAGEMENTS 2026'!M1637)</f>
        <v/>
      </c>
      <c r="H1637">
        <f>IF(ISBLANK('ENGAGEMENTS 2026'!C1637),"",'ENGAGEMENTS 2026'!AF1637)</f>
        <v/>
      </c>
      <c r="I1637">
        <f>IF(ISBLANK('ENGAGEMENTS 2026'!C1637),"",'ENGAGEMENTS 2026'!H1637)</f>
        <v/>
      </c>
      <c r="J1637" s="275">
        <f>IF(ISBLANK('ENGAGEMENTS 2026'!C1637),"",IF(AND(OR($E1637="INFRUCTUEUX",$E1637="ANNULE"),$C1637="AOO-M"),'ENGAGEMENTS 2026'!P1637,IF($H1637="EN COURS DE PREENGAGEMENT",'ENGAGEMENTS 2026'!O1637,IF($H1637="PREENGAGE",IF($E1637="ATTRIBUE",'ENGAGEMENTS 2026'!AE1637,'ENGAGEMENTS 2026'!O1637),'ENGAGEMENTS 2026'!AE1637))))</f>
        <v/>
      </c>
      <c r="K1637" s="604">
        <f>IF(ISBLANK('ENGAGEMENTS 2026'!W1637),"",'ENGAGEMENTS 2026'!W1637)</f>
        <v/>
      </c>
      <c r="L1637" s="276">
        <f>IF($K1637="","",TODAY()-$K1637)</f>
        <v/>
      </c>
      <c r="M1637">
        <f>IF($A1637="","",IF($H1637="ENGAGE","Engagé",IF(AND($H1637="NON ENGAGE",OR($I1637="INFRUCTUEUX",$I1637="ANNULE")),"Clôturé sans suite","En cours")))</f>
        <v/>
      </c>
      <c r="N1637">
        <f>IF(ISBLANK('ENGAGEMENTS 2026'!C1637),"",'ENGAGEMENTS 2026'!L1637)</f>
        <v/>
      </c>
      <c r="O1637">
        <f>IF(ISBLANK('ENGAGEMENTS 2026'!C1637),"",'ENGAGEMENTS 2026'!M1637)</f>
        <v/>
      </c>
      <c r="P1637">
        <f>IF(ISBLANK('ENGAGEMENTS 2026'!C1637),"",'ENGAGEMENTS 2026'!K1637)</f>
        <v/>
      </c>
      <c r="Q1637">
        <f>IF($A1637="","",IF(OR($E1637="INFRUCTUEUX",$E1637="ANNULE"),$A1637&amp;"|"&amp;(COUNTIFS($A$2:$A1637,$A1637,$E$2:$E1637,"INFRUCTUEUX")+COUNTIFS($A$2:$A1637,$A1637,$E$2:$E1637,"ANNULE")),""))</f>
        <v/>
      </c>
    </row>
    <row r="1638">
      <c r="A1638">
        <f>IF(ISBLANK('ENGAGEMENTS 2026'!C1638),"",IF('ENGAGEMENTS 2026'!C1638="DTSI","DCT",'ENGAGEMENTS 2026'!C1638))</f>
        <v/>
      </c>
      <c r="B1638">
        <f>IF(ISBLANK('ENGAGEMENTS 2026'!C1638),"",'ENGAGEMENTS 2026'!D1638)</f>
        <v/>
      </c>
      <c r="C1638">
        <f>IF(ISBLANK('ENGAGEMENTS 2026'!C1638),"",'ENGAGEMENTS 2026'!E1638)</f>
        <v/>
      </c>
      <c r="D1638">
        <f>IF(ISBLANK('ENGAGEMENTS 2026'!C1638),"",'ENGAGEMENTS 2026'!G1638)</f>
        <v/>
      </c>
      <c r="E1638">
        <f>IF(ISBLANK('ENGAGEMENTS 2026'!C1638),"",'ENGAGEMENTS 2026'!I1638)</f>
        <v/>
      </c>
      <c r="F1638">
        <f>IF(ISBLANK('ENGAGEMENTS 2026'!C1638),"",'ENGAGEMENTS 2026'!J1638)</f>
        <v/>
      </c>
      <c r="G1638">
        <f>IF(ISBLANK('ENGAGEMENTS 2026'!C1638),"",'ENGAGEMENTS 2026'!M1638)</f>
        <v/>
      </c>
      <c r="H1638">
        <f>IF(ISBLANK('ENGAGEMENTS 2026'!C1638),"",'ENGAGEMENTS 2026'!AF1638)</f>
        <v/>
      </c>
      <c r="I1638">
        <f>IF(ISBLANK('ENGAGEMENTS 2026'!C1638),"",'ENGAGEMENTS 2026'!H1638)</f>
        <v/>
      </c>
      <c r="J1638" s="275">
        <f>IF(ISBLANK('ENGAGEMENTS 2026'!C1638),"",IF(AND(OR($E1638="INFRUCTUEUX",$E1638="ANNULE"),$C1638="AOO-M"),'ENGAGEMENTS 2026'!P1638,IF($H1638="EN COURS DE PREENGAGEMENT",'ENGAGEMENTS 2026'!O1638,IF($H1638="PREENGAGE",IF($E1638="ATTRIBUE",'ENGAGEMENTS 2026'!AE1638,'ENGAGEMENTS 2026'!O1638),'ENGAGEMENTS 2026'!AE1638))))</f>
        <v/>
      </c>
      <c r="K1638" s="604">
        <f>IF(ISBLANK('ENGAGEMENTS 2026'!W1638),"",'ENGAGEMENTS 2026'!W1638)</f>
        <v/>
      </c>
      <c r="L1638" s="276">
        <f>IF($K1638="","",TODAY()-$K1638)</f>
        <v/>
      </c>
      <c r="M1638">
        <f>IF($A1638="","",IF($H1638="ENGAGE","Engagé",IF(AND($H1638="NON ENGAGE",OR($I1638="INFRUCTUEUX",$I1638="ANNULE")),"Clôturé sans suite","En cours")))</f>
        <v/>
      </c>
      <c r="N1638">
        <f>IF(ISBLANK('ENGAGEMENTS 2026'!C1638),"",'ENGAGEMENTS 2026'!L1638)</f>
        <v/>
      </c>
      <c r="O1638">
        <f>IF(ISBLANK('ENGAGEMENTS 2026'!C1638),"",'ENGAGEMENTS 2026'!M1638)</f>
        <v/>
      </c>
      <c r="P1638">
        <f>IF(ISBLANK('ENGAGEMENTS 2026'!C1638),"",'ENGAGEMENTS 2026'!K1638)</f>
        <v/>
      </c>
      <c r="Q1638">
        <f>IF($A1638="","",IF(OR($E1638="INFRUCTUEUX",$E1638="ANNULE"),$A1638&amp;"|"&amp;(COUNTIFS($A$2:$A1638,$A1638,$E$2:$E1638,"INFRUCTUEUX")+COUNTIFS($A$2:$A1638,$A1638,$E$2:$E1638,"ANNULE")),""))</f>
        <v/>
      </c>
    </row>
    <row r="1639">
      <c r="A1639">
        <f>IF(ISBLANK('ENGAGEMENTS 2026'!C1639),"",IF('ENGAGEMENTS 2026'!C1639="DTSI","DCT",'ENGAGEMENTS 2026'!C1639))</f>
        <v/>
      </c>
      <c r="B1639">
        <f>IF(ISBLANK('ENGAGEMENTS 2026'!C1639),"",'ENGAGEMENTS 2026'!D1639)</f>
        <v/>
      </c>
      <c r="C1639">
        <f>IF(ISBLANK('ENGAGEMENTS 2026'!C1639),"",'ENGAGEMENTS 2026'!E1639)</f>
        <v/>
      </c>
      <c r="D1639">
        <f>IF(ISBLANK('ENGAGEMENTS 2026'!C1639),"",'ENGAGEMENTS 2026'!G1639)</f>
        <v/>
      </c>
      <c r="E1639">
        <f>IF(ISBLANK('ENGAGEMENTS 2026'!C1639),"",'ENGAGEMENTS 2026'!I1639)</f>
        <v/>
      </c>
      <c r="F1639">
        <f>IF(ISBLANK('ENGAGEMENTS 2026'!C1639),"",'ENGAGEMENTS 2026'!J1639)</f>
        <v/>
      </c>
      <c r="G1639">
        <f>IF(ISBLANK('ENGAGEMENTS 2026'!C1639),"",'ENGAGEMENTS 2026'!M1639)</f>
        <v/>
      </c>
      <c r="H1639">
        <f>IF(ISBLANK('ENGAGEMENTS 2026'!C1639),"",'ENGAGEMENTS 2026'!AF1639)</f>
        <v/>
      </c>
      <c r="I1639">
        <f>IF(ISBLANK('ENGAGEMENTS 2026'!C1639),"",'ENGAGEMENTS 2026'!H1639)</f>
        <v/>
      </c>
      <c r="J1639" s="275">
        <f>IF(ISBLANK('ENGAGEMENTS 2026'!C1639),"",IF(AND(OR($E1639="INFRUCTUEUX",$E1639="ANNULE"),$C1639="AOO-M"),'ENGAGEMENTS 2026'!P1639,IF($H1639="EN COURS DE PREENGAGEMENT",'ENGAGEMENTS 2026'!O1639,IF($H1639="PREENGAGE",IF($E1639="ATTRIBUE",'ENGAGEMENTS 2026'!AE1639,'ENGAGEMENTS 2026'!O1639),'ENGAGEMENTS 2026'!AE1639))))</f>
        <v/>
      </c>
      <c r="K1639" s="604">
        <f>IF(ISBLANK('ENGAGEMENTS 2026'!W1639),"",'ENGAGEMENTS 2026'!W1639)</f>
        <v/>
      </c>
      <c r="L1639" s="276">
        <f>IF($K1639="","",TODAY()-$K1639)</f>
        <v/>
      </c>
      <c r="M1639">
        <f>IF($A1639="","",IF($H1639="ENGAGE","Engagé",IF(AND($H1639="NON ENGAGE",OR($I1639="INFRUCTUEUX",$I1639="ANNULE")),"Clôturé sans suite","En cours")))</f>
        <v/>
      </c>
      <c r="N1639">
        <f>IF(ISBLANK('ENGAGEMENTS 2026'!C1639),"",'ENGAGEMENTS 2026'!L1639)</f>
        <v/>
      </c>
      <c r="O1639">
        <f>IF(ISBLANK('ENGAGEMENTS 2026'!C1639),"",'ENGAGEMENTS 2026'!M1639)</f>
        <v/>
      </c>
      <c r="P1639">
        <f>IF(ISBLANK('ENGAGEMENTS 2026'!C1639),"",'ENGAGEMENTS 2026'!K1639)</f>
        <v/>
      </c>
      <c r="Q1639">
        <f>IF($A1639="","",IF(OR($E1639="INFRUCTUEUX",$E1639="ANNULE"),$A1639&amp;"|"&amp;(COUNTIFS($A$2:$A1639,$A1639,$E$2:$E1639,"INFRUCTUEUX")+COUNTIFS($A$2:$A1639,$A1639,$E$2:$E1639,"ANNULE")),""))</f>
        <v/>
      </c>
    </row>
    <row r="1640">
      <c r="A1640">
        <f>IF(ISBLANK('ENGAGEMENTS 2026'!C1640),"",IF('ENGAGEMENTS 2026'!C1640="DTSI","DCT",'ENGAGEMENTS 2026'!C1640))</f>
        <v/>
      </c>
      <c r="B1640">
        <f>IF(ISBLANK('ENGAGEMENTS 2026'!C1640),"",'ENGAGEMENTS 2026'!D1640)</f>
        <v/>
      </c>
      <c r="C1640">
        <f>IF(ISBLANK('ENGAGEMENTS 2026'!C1640),"",'ENGAGEMENTS 2026'!E1640)</f>
        <v/>
      </c>
      <c r="D1640">
        <f>IF(ISBLANK('ENGAGEMENTS 2026'!C1640),"",'ENGAGEMENTS 2026'!G1640)</f>
        <v/>
      </c>
      <c r="E1640">
        <f>IF(ISBLANK('ENGAGEMENTS 2026'!C1640),"",'ENGAGEMENTS 2026'!I1640)</f>
        <v/>
      </c>
      <c r="F1640">
        <f>IF(ISBLANK('ENGAGEMENTS 2026'!C1640),"",'ENGAGEMENTS 2026'!J1640)</f>
        <v/>
      </c>
      <c r="G1640">
        <f>IF(ISBLANK('ENGAGEMENTS 2026'!C1640),"",'ENGAGEMENTS 2026'!M1640)</f>
        <v/>
      </c>
      <c r="H1640">
        <f>IF(ISBLANK('ENGAGEMENTS 2026'!C1640),"",'ENGAGEMENTS 2026'!AF1640)</f>
        <v/>
      </c>
      <c r="I1640">
        <f>IF(ISBLANK('ENGAGEMENTS 2026'!C1640),"",'ENGAGEMENTS 2026'!H1640)</f>
        <v/>
      </c>
      <c r="J1640" s="275">
        <f>IF(ISBLANK('ENGAGEMENTS 2026'!C1640),"",IF(AND(OR($E1640="INFRUCTUEUX",$E1640="ANNULE"),$C1640="AOO-M"),'ENGAGEMENTS 2026'!P1640,IF($H1640="EN COURS DE PREENGAGEMENT",'ENGAGEMENTS 2026'!O1640,IF($H1640="PREENGAGE",IF($E1640="ATTRIBUE",'ENGAGEMENTS 2026'!AE1640,'ENGAGEMENTS 2026'!O1640),'ENGAGEMENTS 2026'!AE1640))))</f>
        <v/>
      </c>
      <c r="K1640" s="604">
        <f>IF(ISBLANK('ENGAGEMENTS 2026'!W1640),"",'ENGAGEMENTS 2026'!W1640)</f>
        <v/>
      </c>
      <c r="L1640" s="276">
        <f>IF($K1640="","",TODAY()-$K1640)</f>
        <v/>
      </c>
      <c r="M1640">
        <f>IF($A1640="","",IF($H1640="ENGAGE","Engagé",IF(AND($H1640="NON ENGAGE",OR($I1640="INFRUCTUEUX",$I1640="ANNULE")),"Clôturé sans suite","En cours")))</f>
        <v/>
      </c>
      <c r="N1640">
        <f>IF(ISBLANK('ENGAGEMENTS 2026'!C1640),"",'ENGAGEMENTS 2026'!L1640)</f>
        <v/>
      </c>
      <c r="O1640">
        <f>IF(ISBLANK('ENGAGEMENTS 2026'!C1640),"",'ENGAGEMENTS 2026'!M1640)</f>
        <v/>
      </c>
      <c r="P1640">
        <f>IF(ISBLANK('ENGAGEMENTS 2026'!C1640),"",'ENGAGEMENTS 2026'!K1640)</f>
        <v/>
      </c>
      <c r="Q1640">
        <f>IF($A1640="","",IF(OR($E1640="INFRUCTUEUX",$E1640="ANNULE"),$A1640&amp;"|"&amp;(COUNTIFS($A$2:$A1640,$A1640,$E$2:$E1640,"INFRUCTUEUX")+COUNTIFS($A$2:$A1640,$A1640,$E$2:$E1640,"ANNULE")),""))</f>
        <v/>
      </c>
    </row>
    <row r="1641">
      <c r="A1641">
        <f>IF(ISBLANK('ENGAGEMENTS 2026'!C1641),"",IF('ENGAGEMENTS 2026'!C1641="DTSI","DCT",'ENGAGEMENTS 2026'!C1641))</f>
        <v/>
      </c>
      <c r="B1641">
        <f>IF(ISBLANK('ENGAGEMENTS 2026'!C1641),"",'ENGAGEMENTS 2026'!D1641)</f>
        <v/>
      </c>
      <c r="C1641">
        <f>IF(ISBLANK('ENGAGEMENTS 2026'!C1641),"",'ENGAGEMENTS 2026'!E1641)</f>
        <v/>
      </c>
      <c r="D1641">
        <f>IF(ISBLANK('ENGAGEMENTS 2026'!C1641),"",'ENGAGEMENTS 2026'!G1641)</f>
        <v/>
      </c>
      <c r="E1641">
        <f>IF(ISBLANK('ENGAGEMENTS 2026'!C1641),"",'ENGAGEMENTS 2026'!I1641)</f>
        <v/>
      </c>
      <c r="F1641">
        <f>IF(ISBLANK('ENGAGEMENTS 2026'!C1641),"",'ENGAGEMENTS 2026'!J1641)</f>
        <v/>
      </c>
      <c r="G1641">
        <f>IF(ISBLANK('ENGAGEMENTS 2026'!C1641),"",'ENGAGEMENTS 2026'!M1641)</f>
        <v/>
      </c>
      <c r="H1641">
        <f>IF(ISBLANK('ENGAGEMENTS 2026'!C1641),"",'ENGAGEMENTS 2026'!AF1641)</f>
        <v/>
      </c>
      <c r="I1641">
        <f>IF(ISBLANK('ENGAGEMENTS 2026'!C1641),"",'ENGAGEMENTS 2026'!H1641)</f>
        <v/>
      </c>
      <c r="J1641" s="275">
        <f>IF(ISBLANK('ENGAGEMENTS 2026'!C1641),"",IF(AND(OR($E1641="INFRUCTUEUX",$E1641="ANNULE"),$C1641="AOO-M"),'ENGAGEMENTS 2026'!P1641,IF($H1641="EN COURS DE PREENGAGEMENT",'ENGAGEMENTS 2026'!O1641,IF($H1641="PREENGAGE",IF($E1641="ATTRIBUE",'ENGAGEMENTS 2026'!AE1641,'ENGAGEMENTS 2026'!O1641),'ENGAGEMENTS 2026'!AE1641))))</f>
        <v/>
      </c>
      <c r="K1641" s="604">
        <f>IF(ISBLANK('ENGAGEMENTS 2026'!W1641),"",'ENGAGEMENTS 2026'!W1641)</f>
        <v/>
      </c>
      <c r="L1641" s="276">
        <f>IF($K1641="","",TODAY()-$K1641)</f>
        <v/>
      </c>
      <c r="M1641">
        <f>IF($A1641="","",IF($H1641="ENGAGE","Engagé",IF(AND($H1641="NON ENGAGE",OR($I1641="INFRUCTUEUX",$I1641="ANNULE")),"Clôturé sans suite","En cours")))</f>
        <v/>
      </c>
      <c r="N1641">
        <f>IF(ISBLANK('ENGAGEMENTS 2026'!C1641),"",'ENGAGEMENTS 2026'!L1641)</f>
        <v/>
      </c>
      <c r="O1641">
        <f>IF(ISBLANK('ENGAGEMENTS 2026'!C1641),"",'ENGAGEMENTS 2026'!M1641)</f>
        <v/>
      </c>
      <c r="P1641">
        <f>IF(ISBLANK('ENGAGEMENTS 2026'!C1641),"",'ENGAGEMENTS 2026'!K1641)</f>
        <v/>
      </c>
      <c r="Q1641">
        <f>IF($A1641="","",IF(OR($E1641="INFRUCTUEUX",$E1641="ANNULE"),$A1641&amp;"|"&amp;(COUNTIFS($A$2:$A1641,$A1641,$E$2:$E1641,"INFRUCTUEUX")+COUNTIFS($A$2:$A1641,$A1641,$E$2:$E1641,"ANNULE")),""))</f>
        <v/>
      </c>
    </row>
    <row r="1642">
      <c r="A1642">
        <f>IF(ISBLANK('ENGAGEMENTS 2026'!C1642),"",IF('ENGAGEMENTS 2026'!C1642="DTSI","DCT",'ENGAGEMENTS 2026'!C1642))</f>
        <v/>
      </c>
      <c r="B1642">
        <f>IF(ISBLANK('ENGAGEMENTS 2026'!C1642),"",'ENGAGEMENTS 2026'!D1642)</f>
        <v/>
      </c>
      <c r="C1642">
        <f>IF(ISBLANK('ENGAGEMENTS 2026'!C1642),"",'ENGAGEMENTS 2026'!E1642)</f>
        <v/>
      </c>
      <c r="D1642">
        <f>IF(ISBLANK('ENGAGEMENTS 2026'!C1642),"",'ENGAGEMENTS 2026'!G1642)</f>
        <v/>
      </c>
      <c r="E1642">
        <f>IF(ISBLANK('ENGAGEMENTS 2026'!C1642),"",'ENGAGEMENTS 2026'!I1642)</f>
        <v/>
      </c>
      <c r="F1642">
        <f>IF(ISBLANK('ENGAGEMENTS 2026'!C1642),"",'ENGAGEMENTS 2026'!J1642)</f>
        <v/>
      </c>
      <c r="G1642">
        <f>IF(ISBLANK('ENGAGEMENTS 2026'!C1642),"",'ENGAGEMENTS 2026'!M1642)</f>
        <v/>
      </c>
      <c r="H1642">
        <f>IF(ISBLANK('ENGAGEMENTS 2026'!C1642),"",'ENGAGEMENTS 2026'!AF1642)</f>
        <v/>
      </c>
      <c r="I1642">
        <f>IF(ISBLANK('ENGAGEMENTS 2026'!C1642),"",'ENGAGEMENTS 2026'!H1642)</f>
        <v/>
      </c>
      <c r="J1642" s="275">
        <f>IF(ISBLANK('ENGAGEMENTS 2026'!C1642),"",IF(AND(OR($E1642="INFRUCTUEUX",$E1642="ANNULE"),$C1642="AOO-M"),'ENGAGEMENTS 2026'!P1642,IF($H1642="EN COURS DE PREENGAGEMENT",'ENGAGEMENTS 2026'!O1642,IF($H1642="PREENGAGE",IF($E1642="ATTRIBUE",'ENGAGEMENTS 2026'!AE1642,'ENGAGEMENTS 2026'!O1642),'ENGAGEMENTS 2026'!AE1642))))</f>
        <v/>
      </c>
      <c r="K1642" s="604">
        <f>IF(ISBLANK('ENGAGEMENTS 2026'!W1642),"",'ENGAGEMENTS 2026'!W1642)</f>
        <v/>
      </c>
      <c r="L1642" s="276">
        <f>IF($K1642="","",TODAY()-$K1642)</f>
        <v/>
      </c>
      <c r="M1642">
        <f>IF($A1642="","",IF($H1642="ENGAGE","Engagé",IF(AND($H1642="NON ENGAGE",OR($I1642="INFRUCTUEUX",$I1642="ANNULE")),"Clôturé sans suite","En cours")))</f>
        <v/>
      </c>
      <c r="N1642">
        <f>IF(ISBLANK('ENGAGEMENTS 2026'!C1642),"",'ENGAGEMENTS 2026'!L1642)</f>
        <v/>
      </c>
      <c r="O1642">
        <f>IF(ISBLANK('ENGAGEMENTS 2026'!C1642),"",'ENGAGEMENTS 2026'!M1642)</f>
        <v/>
      </c>
      <c r="P1642">
        <f>IF(ISBLANK('ENGAGEMENTS 2026'!C1642),"",'ENGAGEMENTS 2026'!K1642)</f>
        <v/>
      </c>
      <c r="Q1642">
        <f>IF($A1642="","",IF(OR($E1642="INFRUCTUEUX",$E1642="ANNULE"),$A1642&amp;"|"&amp;(COUNTIFS($A$2:$A1642,$A1642,$E$2:$E1642,"INFRUCTUEUX")+COUNTIFS($A$2:$A1642,$A1642,$E$2:$E1642,"ANNULE")),""))</f>
        <v/>
      </c>
    </row>
    <row r="1643">
      <c r="A1643">
        <f>IF(ISBLANK('ENGAGEMENTS 2026'!C1643),"",IF('ENGAGEMENTS 2026'!C1643="DTSI","DCT",'ENGAGEMENTS 2026'!C1643))</f>
        <v/>
      </c>
      <c r="B1643">
        <f>IF(ISBLANK('ENGAGEMENTS 2026'!C1643),"",'ENGAGEMENTS 2026'!D1643)</f>
        <v/>
      </c>
      <c r="C1643">
        <f>IF(ISBLANK('ENGAGEMENTS 2026'!C1643),"",'ENGAGEMENTS 2026'!E1643)</f>
        <v/>
      </c>
      <c r="D1643">
        <f>IF(ISBLANK('ENGAGEMENTS 2026'!C1643),"",'ENGAGEMENTS 2026'!G1643)</f>
        <v/>
      </c>
      <c r="E1643">
        <f>IF(ISBLANK('ENGAGEMENTS 2026'!C1643),"",'ENGAGEMENTS 2026'!I1643)</f>
        <v/>
      </c>
      <c r="F1643">
        <f>IF(ISBLANK('ENGAGEMENTS 2026'!C1643),"",'ENGAGEMENTS 2026'!J1643)</f>
        <v/>
      </c>
      <c r="G1643">
        <f>IF(ISBLANK('ENGAGEMENTS 2026'!C1643),"",'ENGAGEMENTS 2026'!M1643)</f>
        <v/>
      </c>
      <c r="H1643">
        <f>IF(ISBLANK('ENGAGEMENTS 2026'!C1643),"",'ENGAGEMENTS 2026'!AF1643)</f>
        <v/>
      </c>
      <c r="I1643">
        <f>IF(ISBLANK('ENGAGEMENTS 2026'!C1643),"",'ENGAGEMENTS 2026'!H1643)</f>
        <v/>
      </c>
      <c r="J1643" s="275">
        <f>IF(ISBLANK('ENGAGEMENTS 2026'!C1643),"",IF(AND(OR($E1643="INFRUCTUEUX",$E1643="ANNULE"),$C1643="AOO-M"),'ENGAGEMENTS 2026'!P1643,IF($H1643="EN COURS DE PREENGAGEMENT",'ENGAGEMENTS 2026'!O1643,IF($H1643="PREENGAGE",IF($E1643="ATTRIBUE",'ENGAGEMENTS 2026'!AE1643,'ENGAGEMENTS 2026'!O1643),'ENGAGEMENTS 2026'!AE1643))))</f>
        <v/>
      </c>
      <c r="K1643" s="604">
        <f>IF(ISBLANK('ENGAGEMENTS 2026'!W1643),"",'ENGAGEMENTS 2026'!W1643)</f>
        <v/>
      </c>
      <c r="L1643" s="276">
        <f>IF($K1643="","",TODAY()-$K1643)</f>
        <v/>
      </c>
      <c r="M1643">
        <f>IF($A1643="","",IF($H1643="ENGAGE","Engagé",IF(AND($H1643="NON ENGAGE",OR($I1643="INFRUCTUEUX",$I1643="ANNULE")),"Clôturé sans suite","En cours")))</f>
        <v/>
      </c>
      <c r="N1643">
        <f>IF(ISBLANK('ENGAGEMENTS 2026'!C1643),"",'ENGAGEMENTS 2026'!L1643)</f>
        <v/>
      </c>
      <c r="O1643">
        <f>IF(ISBLANK('ENGAGEMENTS 2026'!C1643),"",'ENGAGEMENTS 2026'!M1643)</f>
        <v/>
      </c>
      <c r="P1643">
        <f>IF(ISBLANK('ENGAGEMENTS 2026'!C1643),"",'ENGAGEMENTS 2026'!K1643)</f>
        <v/>
      </c>
      <c r="Q1643">
        <f>IF($A1643="","",IF(OR($E1643="INFRUCTUEUX",$E1643="ANNULE"),$A1643&amp;"|"&amp;(COUNTIFS($A$2:$A1643,$A1643,$E$2:$E1643,"INFRUCTUEUX")+COUNTIFS($A$2:$A1643,$A1643,$E$2:$E1643,"ANNULE")),""))</f>
        <v/>
      </c>
    </row>
    <row r="1644">
      <c r="A1644">
        <f>IF(ISBLANK('ENGAGEMENTS 2026'!C1644),"",IF('ENGAGEMENTS 2026'!C1644="DTSI","DCT",'ENGAGEMENTS 2026'!C1644))</f>
        <v/>
      </c>
      <c r="B1644">
        <f>IF(ISBLANK('ENGAGEMENTS 2026'!C1644),"",'ENGAGEMENTS 2026'!D1644)</f>
        <v/>
      </c>
      <c r="C1644">
        <f>IF(ISBLANK('ENGAGEMENTS 2026'!C1644),"",'ENGAGEMENTS 2026'!E1644)</f>
        <v/>
      </c>
      <c r="D1644">
        <f>IF(ISBLANK('ENGAGEMENTS 2026'!C1644),"",'ENGAGEMENTS 2026'!G1644)</f>
        <v/>
      </c>
      <c r="E1644">
        <f>IF(ISBLANK('ENGAGEMENTS 2026'!C1644),"",'ENGAGEMENTS 2026'!I1644)</f>
        <v/>
      </c>
      <c r="F1644">
        <f>IF(ISBLANK('ENGAGEMENTS 2026'!C1644),"",'ENGAGEMENTS 2026'!J1644)</f>
        <v/>
      </c>
      <c r="G1644">
        <f>IF(ISBLANK('ENGAGEMENTS 2026'!C1644),"",'ENGAGEMENTS 2026'!M1644)</f>
        <v/>
      </c>
      <c r="H1644">
        <f>IF(ISBLANK('ENGAGEMENTS 2026'!C1644),"",'ENGAGEMENTS 2026'!AF1644)</f>
        <v/>
      </c>
      <c r="I1644">
        <f>IF(ISBLANK('ENGAGEMENTS 2026'!C1644),"",'ENGAGEMENTS 2026'!H1644)</f>
        <v/>
      </c>
      <c r="J1644" s="275">
        <f>IF(ISBLANK('ENGAGEMENTS 2026'!C1644),"",IF(AND(OR($E1644="INFRUCTUEUX",$E1644="ANNULE"),$C1644="AOO-M"),'ENGAGEMENTS 2026'!P1644,IF($H1644="EN COURS DE PREENGAGEMENT",'ENGAGEMENTS 2026'!O1644,IF($H1644="PREENGAGE",IF($E1644="ATTRIBUE",'ENGAGEMENTS 2026'!AE1644,'ENGAGEMENTS 2026'!O1644),'ENGAGEMENTS 2026'!AE1644))))</f>
        <v/>
      </c>
      <c r="K1644" s="604">
        <f>IF(ISBLANK('ENGAGEMENTS 2026'!W1644),"",'ENGAGEMENTS 2026'!W1644)</f>
        <v/>
      </c>
      <c r="L1644" s="276">
        <f>IF($K1644="","",TODAY()-$K1644)</f>
        <v/>
      </c>
      <c r="M1644">
        <f>IF($A1644="","",IF($H1644="ENGAGE","Engagé",IF(AND($H1644="NON ENGAGE",OR($I1644="INFRUCTUEUX",$I1644="ANNULE")),"Clôturé sans suite","En cours")))</f>
        <v/>
      </c>
      <c r="N1644">
        <f>IF(ISBLANK('ENGAGEMENTS 2026'!C1644),"",'ENGAGEMENTS 2026'!L1644)</f>
        <v/>
      </c>
      <c r="O1644">
        <f>IF(ISBLANK('ENGAGEMENTS 2026'!C1644),"",'ENGAGEMENTS 2026'!M1644)</f>
        <v/>
      </c>
      <c r="P1644">
        <f>IF(ISBLANK('ENGAGEMENTS 2026'!C1644),"",'ENGAGEMENTS 2026'!K1644)</f>
        <v/>
      </c>
      <c r="Q1644">
        <f>IF($A1644="","",IF(OR($E1644="INFRUCTUEUX",$E1644="ANNULE"),$A1644&amp;"|"&amp;(COUNTIFS($A$2:$A1644,$A1644,$E$2:$E1644,"INFRUCTUEUX")+COUNTIFS($A$2:$A1644,$A1644,$E$2:$E1644,"ANNULE")),""))</f>
        <v/>
      </c>
    </row>
    <row r="1645">
      <c r="A1645">
        <f>IF(ISBLANK('ENGAGEMENTS 2026'!C1645),"",IF('ENGAGEMENTS 2026'!C1645="DTSI","DCT",'ENGAGEMENTS 2026'!C1645))</f>
        <v/>
      </c>
      <c r="B1645">
        <f>IF(ISBLANK('ENGAGEMENTS 2026'!C1645),"",'ENGAGEMENTS 2026'!D1645)</f>
        <v/>
      </c>
      <c r="C1645">
        <f>IF(ISBLANK('ENGAGEMENTS 2026'!C1645),"",'ENGAGEMENTS 2026'!E1645)</f>
        <v/>
      </c>
      <c r="D1645">
        <f>IF(ISBLANK('ENGAGEMENTS 2026'!C1645),"",'ENGAGEMENTS 2026'!G1645)</f>
        <v/>
      </c>
      <c r="E1645">
        <f>IF(ISBLANK('ENGAGEMENTS 2026'!C1645),"",'ENGAGEMENTS 2026'!I1645)</f>
        <v/>
      </c>
      <c r="F1645">
        <f>IF(ISBLANK('ENGAGEMENTS 2026'!C1645),"",'ENGAGEMENTS 2026'!J1645)</f>
        <v/>
      </c>
      <c r="G1645">
        <f>IF(ISBLANK('ENGAGEMENTS 2026'!C1645),"",'ENGAGEMENTS 2026'!M1645)</f>
        <v/>
      </c>
      <c r="H1645">
        <f>IF(ISBLANK('ENGAGEMENTS 2026'!C1645),"",'ENGAGEMENTS 2026'!AF1645)</f>
        <v/>
      </c>
      <c r="I1645">
        <f>IF(ISBLANK('ENGAGEMENTS 2026'!C1645),"",'ENGAGEMENTS 2026'!H1645)</f>
        <v/>
      </c>
      <c r="J1645" s="275">
        <f>IF(ISBLANK('ENGAGEMENTS 2026'!C1645),"",IF(AND(OR($E1645="INFRUCTUEUX",$E1645="ANNULE"),$C1645="AOO-M"),'ENGAGEMENTS 2026'!P1645,IF($H1645="EN COURS DE PREENGAGEMENT",'ENGAGEMENTS 2026'!O1645,IF($H1645="PREENGAGE",IF($E1645="ATTRIBUE",'ENGAGEMENTS 2026'!AE1645,'ENGAGEMENTS 2026'!O1645),'ENGAGEMENTS 2026'!AE1645))))</f>
        <v/>
      </c>
      <c r="K1645" s="604">
        <f>IF(ISBLANK('ENGAGEMENTS 2026'!W1645),"",'ENGAGEMENTS 2026'!W1645)</f>
        <v/>
      </c>
      <c r="L1645" s="276">
        <f>IF($K1645="","",TODAY()-$K1645)</f>
        <v/>
      </c>
      <c r="M1645">
        <f>IF($A1645="","",IF($H1645="ENGAGE","Engagé",IF(AND($H1645="NON ENGAGE",OR($I1645="INFRUCTUEUX",$I1645="ANNULE")),"Clôturé sans suite","En cours")))</f>
        <v/>
      </c>
      <c r="N1645">
        <f>IF(ISBLANK('ENGAGEMENTS 2026'!C1645),"",'ENGAGEMENTS 2026'!L1645)</f>
        <v/>
      </c>
      <c r="O1645">
        <f>IF(ISBLANK('ENGAGEMENTS 2026'!C1645),"",'ENGAGEMENTS 2026'!M1645)</f>
        <v/>
      </c>
      <c r="P1645">
        <f>IF(ISBLANK('ENGAGEMENTS 2026'!C1645),"",'ENGAGEMENTS 2026'!K1645)</f>
        <v/>
      </c>
      <c r="Q1645">
        <f>IF($A1645="","",IF(OR($E1645="INFRUCTUEUX",$E1645="ANNULE"),$A1645&amp;"|"&amp;(COUNTIFS($A$2:$A1645,$A1645,$E$2:$E1645,"INFRUCTUEUX")+COUNTIFS($A$2:$A1645,$A1645,$E$2:$E1645,"ANNULE")),""))</f>
        <v/>
      </c>
    </row>
    <row r="1646">
      <c r="A1646">
        <f>IF(ISBLANK('ENGAGEMENTS 2026'!C1646),"",IF('ENGAGEMENTS 2026'!C1646="DTSI","DCT",'ENGAGEMENTS 2026'!C1646))</f>
        <v/>
      </c>
      <c r="B1646">
        <f>IF(ISBLANK('ENGAGEMENTS 2026'!C1646),"",'ENGAGEMENTS 2026'!D1646)</f>
        <v/>
      </c>
      <c r="C1646">
        <f>IF(ISBLANK('ENGAGEMENTS 2026'!C1646),"",'ENGAGEMENTS 2026'!E1646)</f>
        <v/>
      </c>
      <c r="D1646">
        <f>IF(ISBLANK('ENGAGEMENTS 2026'!C1646),"",'ENGAGEMENTS 2026'!G1646)</f>
        <v/>
      </c>
      <c r="E1646">
        <f>IF(ISBLANK('ENGAGEMENTS 2026'!C1646),"",'ENGAGEMENTS 2026'!I1646)</f>
        <v/>
      </c>
      <c r="F1646">
        <f>IF(ISBLANK('ENGAGEMENTS 2026'!C1646),"",'ENGAGEMENTS 2026'!J1646)</f>
        <v/>
      </c>
      <c r="G1646">
        <f>IF(ISBLANK('ENGAGEMENTS 2026'!C1646),"",'ENGAGEMENTS 2026'!M1646)</f>
        <v/>
      </c>
      <c r="H1646">
        <f>IF(ISBLANK('ENGAGEMENTS 2026'!C1646),"",'ENGAGEMENTS 2026'!AF1646)</f>
        <v/>
      </c>
      <c r="I1646">
        <f>IF(ISBLANK('ENGAGEMENTS 2026'!C1646),"",'ENGAGEMENTS 2026'!H1646)</f>
        <v/>
      </c>
      <c r="J1646" s="275">
        <f>IF(ISBLANK('ENGAGEMENTS 2026'!C1646),"",IF(AND(OR($E1646="INFRUCTUEUX",$E1646="ANNULE"),$C1646="AOO-M"),'ENGAGEMENTS 2026'!P1646,IF($H1646="EN COURS DE PREENGAGEMENT",'ENGAGEMENTS 2026'!O1646,IF($H1646="PREENGAGE",IF($E1646="ATTRIBUE",'ENGAGEMENTS 2026'!AE1646,'ENGAGEMENTS 2026'!O1646),'ENGAGEMENTS 2026'!AE1646))))</f>
        <v/>
      </c>
      <c r="K1646" s="604">
        <f>IF(ISBLANK('ENGAGEMENTS 2026'!W1646),"",'ENGAGEMENTS 2026'!W1646)</f>
        <v/>
      </c>
      <c r="L1646" s="276">
        <f>IF($K1646="","",TODAY()-$K1646)</f>
        <v/>
      </c>
      <c r="M1646">
        <f>IF($A1646="","",IF($H1646="ENGAGE","Engagé",IF(AND($H1646="NON ENGAGE",OR($I1646="INFRUCTUEUX",$I1646="ANNULE")),"Clôturé sans suite","En cours")))</f>
        <v/>
      </c>
      <c r="N1646">
        <f>IF(ISBLANK('ENGAGEMENTS 2026'!C1646),"",'ENGAGEMENTS 2026'!L1646)</f>
        <v/>
      </c>
      <c r="O1646">
        <f>IF(ISBLANK('ENGAGEMENTS 2026'!C1646),"",'ENGAGEMENTS 2026'!M1646)</f>
        <v/>
      </c>
      <c r="P1646">
        <f>IF(ISBLANK('ENGAGEMENTS 2026'!C1646),"",'ENGAGEMENTS 2026'!K1646)</f>
        <v/>
      </c>
      <c r="Q1646">
        <f>IF($A1646="","",IF(OR($E1646="INFRUCTUEUX",$E1646="ANNULE"),$A1646&amp;"|"&amp;(COUNTIFS($A$2:$A1646,$A1646,$E$2:$E1646,"INFRUCTUEUX")+COUNTIFS($A$2:$A1646,$A1646,$E$2:$E1646,"ANNULE")),""))</f>
        <v/>
      </c>
    </row>
    <row r="1647">
      <c r="A1647">
        <f>IF(ISBLANK('ENGAGEMENTS 2026'!C1647),"",IF('ENGAGEMENTS 2026'!C1647="DTSI","DCT",'ENGAGEMENTS 2026'!C1647))</f>
        <v/>
      </c>
      <c r="B1647">
        <f>IF(ISBLANK('ENGAGEMENTS 2026'!C1647),"",'ENGAGEMENTS 2026'!D1647)</f>
        <v/>
      </c>
      <c r="C1647">
        <f>IF(ISBLANK('ENGAGEMENTS 2026'!C1647),"",'ENGAGEMENTS 2026'!E1647)</f>
        <v/>
      </c>
      <c r="D1647">
        <f>IF(ISBLANK('ENGAGEMENTS 2026'!C1647),"",'ENGAGEMENTS 2026'!G1647)</f>
        <v/>
      </c>
      <c r="E1647">
        <f>IF(ISBLANK('ENGAGEMENTS 2026'!C1647),"",'ENGAGEMENTS 2026'!I1647)</f>
        <v/>
      </c>
      <c r="F1647">
        <f>IF(ISBLANK('ENGAGEMENTS 2026'!C1647),"",'ENGAGEMENTS 2026'!J1647)</f>
        <v/>
      </c>
      <c r="G1647">
        <f>IF(ISBLANK('ENGAGEMENTS 2026'!C1647),"",'ENGAGEMENTS 2026'!M1647)</f>
        <v/>
      </c>
      <c r="H1647">
        <f>IF(ISBLANK('ENGAGEMENTS 2026'!C1647),"",'ENGAGEMENTS 2026'!AF1647)</f>
        <v/>
      </c>
      <c r="I1647">
        <f>IF(ISBLANK('ENGAGEMENTS 2026'!C1647),"",'ENGAGEMENTS 2026'!H1647)</f>
        <v/>
      </c>
      <c r="J1647" s="275">
        <f>IF(ISBLANK('ENGAGEMENTS 2026'!C1647),"",IF(AND(OR($E1647="INFRUCTUEUX",$E1647="ANNULE"),$C1647="AOO-M"),'ENGAGEMENTS 2026'!P1647,IF($H1647="EN COURS DE PREENGAGEMENT",'ENGAGEMENTS 2026'!O1647,IF($H1647="PREENGAGE",IF($E1647="ATTRIBUE",'ENGAGEMENTS 2026'!AE1647,'ENGAGEMENTS 2026'!O1647),'ENGAGEMENTS 2026'!AE1647))))</f>
        <v/>
      </c>
      <c r="K1647" s="604">
        <f>IF(ISBLANK('ENGAGEMENTS 2026'!W1647),"",'ENGAGEMENTS 2026'!W1647)</f>
        <v/>
      </c>
      <c r="L1647" s="276">
        <f>IF($K1647="","",TODAY()-$K1647)</f>
        <v/>
      </c>
      <c r="M1647">
        <f>IF($A1647="","",IF($H1647="ENGAGE","Engagé",IF(AND($H1647="NON ENGAGE",OR($I1647="INFRUCTUEUX",$I1647="ANNULE")),"Clôturé sans suite","En cours")))</f>
        <v/>
      </c>
      <c r="N1647">
        <f>IF(ISBLANK('ENGAGEMENTS 2026'!C1647),"",'ENGAGEMENTS 2026'!L1647)</f>
        <v/>
      </c>
      <c r="O1647">
        <f>IF(ISBLANK('ENGAGEMENTS 2026'!C1647),"",'ENGAGEMENTS 2026'!M1647)</f>
        <v/>
      </c>
      <c r="P1647">
        <f>IF(ISBLANK('ENGAGEMENTS 2026'!C1647),"",'ENGAGEMENTS 2026'!K1647)</f>
        <v/>
      </c>
      <c r="Q1647">
        <f>IF($A1647="","",IF(OR($E1647="INFRUCTUEUX",$E1647="ANNULE"),$A1647&amp;"|"&amp;(COUNTIFS($A$2:$A1647,$A1647,$E$2:$E1647,"INFRUCTUEUX")+COUNTIFS($A$2:$A1647,$A1647,$E$2:$E1647,"ANNULE")),""))</f>
        <v/>
      </c>
    </row>
    <row r="1648">
      <c r="A1648">
        <f>IF(ISBLANK('ENGAGEMENTS 2026'!C1648),"",IF('ENGAGEMENTS 2026'!C1648="DTSI","DCT",'ENGAGEMENTS 2026'!C1648))</f>
        <v/>
      </c>
      <c r="B1648">
        <f>IF(ISBLANK('ENGAGEMENTS 2026'!C1648),"",'ENGAGEMENTS 2026'!D1648)</f>
        <v/>
      </c>
      <c r="C1648">
        <f>IF(ISBLANK('ENGAGEMENTS 2026'!C1648),"",'ENGAGEMENTS 2026'!E1648)</f>
        <v/>
      </c>
      <c r="D1648">
        <f>IF(ISBLANK('ENGAGEMENTS 2026'!C1648),"",'ENGAGEMENTS 2026'!G1648)</f>
        <v/>
      </c>
      <c r="E1648">
        <f>IF(ISBLANK('ENGAGEMENTS 2026'!C1648),"",'ENGAGEMENTS 2026'!I1648)</f>
        <v/>
      </c>
      <c r="F1648">
        <f>IF(ISBLANK('ENGAGEMENTS 2026'!C1648),"",'ENGAGEMENTS 2026'!J1648)</f>
        <v/>
      </c>
      <c r="G1648">
        <f>IF(ISBLANK('ENGAGEMENTS 2026'!C1648),"",'ENGAGEMENTS 2026'!M1648)</f>
        <v/>
      </c>
      <c r="H1648">
        <f>IF(ISBLANK('ENGAGEMENTS 2026'!C1648),"",'ENGAGEMENTS 2026'!AF1648)</f>
        <v/>
      </c>
      <c r="I1648">
        <f>IF(ISBLANK('ENGAGEMENTS 2026'!C1648),"",'ENGAGEMENTS 2026'!H1648)</f>
        <v/>
      </c>
      <c r="J1648" s="275">
        <f>IF(ISBLANK('ENGAGEMENTS 2026'!C1648),"",IF(AND(OR($E1648="INFRUCTUEUX",$E1648="ANNULE"),$C1648="AOO-M"),'ENGAGEMENTS 2026'!P1648,IF($H1648="EN COURS DE PREENGAGEMENT",'ENGAGEMENTS 2026'!O1648,IF($H1648="PREENGAGE",IF($E1648="ATTRIBUE",'ENGAGEMENTS 2026'!AE1648,'ENGAGEMENTS 2026'!O1648),'ENGAGEMENTS 2026'!AE1648))))</f>
        <v/>
      </c>
      <c r="K1648" s="604">
        <f>IF(ISBLANK('ENGAGEMENTS 2026'!W1648),"",'ENGAGEMENTS 2026'!W1648)</f>
        <v/>
      </c>
      <c r="L1648" s="276">
        <f>IF($K1648="","",TODAY()-$K1648)</f>
        <v/>
      </c>
      <c r="M1648">
        <f>IF($A1648="","",IF($H1648="ENGAGE","Engagé",IF(AND($H1648="NON ENGAGE",OR($I1648="INFRUCTUEUX",$I1648="ANNULE")),"Clôturé sans suite","En cours")))</f>
        <v/>
      </c>
      <c r="N1648">
        <f>IF(ISBLANK('ENGAGEMENTS 2026'!C1648),"",'ENGAGEMENTS 2026'!L1648)</f>
        <v/>
      </c>
      <c r="O1648">
        <f>IF(ISBLANK('ENGAGEMENTS 2026'!C1648),"",'ENGAGEMENTS 2026'!M1648)</f>
        <v/>
      </c>
      <c r="P1648">
        <f>IF(ISBLANK('ENGAGEMENTS 2026'!C1648),"",'ENGAGEMENTS 2026'!K1648)</f>
        <v/>
      </c>
      <c r="Q1648">
        <f>IF($A1648="","",IF(OR($E1648="INFRUCTUEUX",$E1648="ANNULE"),$A1648&amp;"|"&amp;(COUNTIFS($A$2:$A1648,$A1648,$E$2:$E1648,"INFRUCTUEUX")+COUNTIFS($A$2:$A1648,$A1648,$E$2:$E1648,"ANNULE")),""))</f>
        <v/>
      </c>
    </row>
    <row r="1649">
      <c r="A1649">
        <f>IF(ISBLANK('ENGAGEMENTS 2026'!C1649),"",IF('ENGAGEMENTS 2026'!C1649="DTSI","DCT",'ENGAGEMENTS 2026'!C1649))</f>
        <v/>
      </c>
      <c r="B1649">
        <f>IF(ISBLANK('ENGAGEMENTS 2026'!C1649),"",'ENGAGEMENTS 2026'!D1649)</f>
        <v/>
      </c>
      <c r="C1649">
        <f>IF(ISBLANK('ENGAGEMENTS 2026'!C1649),"",'ENGAGEMENTS 2026'!E1649)</f>
        <v/>
      </c>
      <c r="D1649">
        <f>IF(ISBLANK('ENGAGEMENTS 2026'!C1649),"",'ENGAGEMENTS 2026'!G1649)</f>
        <v/>
      </c>
      <c r="E1649">
        <f>IF(ISBLANK('ENGAGEMENTS 2026'!C1649),"",'ENGAGEMENTS 2026'!I1649)</f>
        <v/>
      </c>
      <c r="F1649">
        <f>IF(ISBLANK('ENGAGEMENTS 2026'!C1649),"",'ENGAGEMENTS 2026'!J1649)</f>
        <v/>
      </c>
      <c r="G1649">
        <f>IF(ISBLANK('ENGAGEMENTS 2026'!C1649),"",'ENGAGEMENTS 2026'!M1649)</f>
        <v/>
      </c>
      <c r="H1649">
        <f>IF(ISBLANK('ENGAGEMENTS 2026'!C1649),"",'ENGAGEMENTS 2026'!AF1649)</f>
        <v/>
      </c>
      <c r="I1649">
        <f>IF(ISBLANK('ENGAGEMENTS 2026'!C1649),"",'ENGAGEMENTS 2026'!H1649)</f>
        <v/>
      </c>
      <c r="J1649" s="275">
        <f>IF(ISBLANK('ENGAGEMENTS 2026'!C1649),"",IF(AND(OR($E1649="INFRUCTUEUX",$E1649="ANNULE"),$C1649="AOO-M"),'ENGAGEMENTS 2026'!P1649,IF($H1649="EN COURS DE PREENGAGEMENT",'ENGAGEMENTS 2026'!O1649,IF($H1649="PREENGAGE",IF($E1649="ATTRIBUE",'ENGAGEMENTS 2026'!AE1649,'ENGAGEMENTS 2026'!O1649),'ENGAGEMENTS 2026'!AE1649))))</f>
        <v/>
      </c>
      <c r="K1649" s="604">
        <f>IF(ISBLANK('ENGAGEMENTS 2026'!W1649),"",'ENGAGEMENTS 2026'!W1649)</f>
        <v/>
      </c>
      <c r="L1649" s="276">
        <f>IF($K1649="","",TODAY()-$K1649)</f>
        <v/>
      </c>
      <c r="M1649">
        <f>IF($A1649="","",IF($H1649="ENGAGE","Engagé",IF(AND($H1649="NON ENGAGE",OR($I1649="INFRUCTUEUX",$I1649="ANNULE")),"Clôturé sans suite","En cours")))</f>
        <v/>
      </c>
      <c r="N1649">
        <f>IF(ISBLANK('ENGAGEMENTS 2026'!C1649),"",'ENGAGEMENTS 2026'!L1649)</f>
        <v/>
      </c>
      <c r="O1649">
        <f>IF(ISBLANK('ENGAGEMENTS 2026'!C1649),"",'ENGAGEMENTS 2026'!M1649)</f>
        <v/>
      </c>
      <c r="P1649">
        <f>IF(ISBLANK('ENGAGEMENTS 2026'!C1649),"",'ENGAGEMENTS 2026'!K1649)</f>
        <v/>
      </c>
      <c r="Q1649">
        <f>IF($A1649="","",IF(OR($E1649="INFRUCTUEUX",$E1649="ANNULE"),$A1649&amp;"|"&amp;(COUNTIFS($A$2:$A1649,$A1649,$E$2:$E1649,"INFRUCTUEUX")+COUNTIFS($A$2:$A1649,$A1649,$E$2:$E1649,"ANNULE")),""))</f>
        <v/>
      </c>
    </row>
    <row r="1650">
      <c r="A1650">
        <f>IF(ISBLANK('ENGAGEMENTS 2026'!C1650),"",IF('ENGAGEMENTS 2026'!C1650="DTSI","DCT",'ENGAGEMENTS 2026'!C1650))</f>
        <v/>
      </c>
      <c r="B1650">
        <f>IF(ISBLANK('ENGAGEMENTS 2026'!C1650),"",'ENGAGEMENTS 2026'!D1650)</f>
        <v/>
      </c>
      <c r="C1650">
        <f>IF(ISBLANK('ENGAGEMENTS 2026'!C1650),"",'ENGAGEMENTS 2026'!E1650)</f>
        <v/>
      </c>
      <c r="D1650">
        <f>IF(ISBLANK('ENGAGEMENTS 2026'!C1650),"",'ENGAGEMENTS 2026'!G1650)</f>
        <v/>
      </c>
      <c r="E1650">
        <f>IF(ISBLANK('ENGAGEMENTS 2026'!C1650),"",'ENGAGEMENTS 2026'!I1650)</f>
        <v/>
      </c>
      <c r="F1650">
        <f>IF(ISBLANK('ENGAGEMENTS 2026'!C1650),"",'ENGAGEMENTS 2026'!J1650)</f>
        <v/>
      </c>
      <c r="G1650">
        <f>IF(ISBLANK('ENGAGEMENTS 2026'!C1650),"",'ENGAGEMENTS 2026'!M1650)</f>
        <v/>
      </c>
      <c r="H1650">
        <f>IF(ISBLANK('ENGAGEMENTS 2026'!C1650),"",'ENGAGEMENTS 2026'!AF1650)</f>
        <v/>
      </c>
      <c r="I1650">
        <f>IF(ISBLANK('ENGAGEMENTS 2026'!C1650),"",'ENGAGEMENTS 2026'!H1650)</f>
        <v/>
      </c>
      <c r="J1650" s="275">
        <f>IF(ISBLANK('ENGAGEMENTS 2026'!C1650),"",IF(AND(OR($E1650="INFRUCTUEUX",$E1650="ANNULE"),$C1650="AOO-M"),'ENGAGEMENTS 2026'!P1650,IF($H1650="EN COURS DE PREENGAGEMENT",'ENGAGEMENTS 2026'!O1650,IF($H1650="PREENGAGE",IF($E1650="ATTRIBUE",'ENGAGEMENTS 2026'!AE1650,'ENGAGEMENTS 2026'!O1650),'ENGAGEMENTS 2026'!AE1650))))</f>
        <v/>
      </c>
      <c r="K1650" s="604">
        <f>IF(ISBLANK('ENGAGEMENTS 2026'!W1650),"",'ENGAGEMENTS 2026'!W1650)</f>
        <v/>
      </c>
      <c r="L1650" s="276">
        <f>IF($K1650="","",TODAY()-$K1650)</f>
        <v/>
      </c>
      <c r="M1650">
        <f>IF($A1650="","",IF($H1650="ENGAGE","Engagé",IF(AND($H1650="NON ENGAGE",OR($I1650="INFRUCTUEUX",$I1650="ANNULE")),"Clôturé sans suite","En cours")))</f>
        <v/>
      </c>
      <c r="N1650">
        <f>IF(ISBLANK('ENGAGEMENTS 2026'!C1650),"",'ENGAGEMENTS 2026'!L1650)</f>
        <v/>
      </c>
      <c r="O1650">
        <f>IF(ISBLANK('ENGAGEMENTS 2026'!C1650),"",'ENGAGEMENTS 2026'!M1650)</f>
        <v/>
      </c>
      <c r="P1650">
        <f>IF(ISBLANK('ENGAGEMENTS 2026'!C1650),"",'ENGAGEMENTS 2026'!K1650)</f>
        <v/>
      </c>
      <c r="Q1650">
        <f>IF($A1650="","",IF(OR($E1650="INFRUCTUEUX",$E1650="ANNULE"),$A1650&amp;"|"&amp;(COUNTIFS($A$2:$A1650,$A1650,$E$2:$E1650,"INFRUCTUEUX")+COUNTIFS($A$2:$A1650,$A1650,$E$2:$E1650,"ANNULE")),""))</f>
        <v/>
      </c>
    </row>
    <row r="1651">
      <c r="A1651">
        <f>IF(ISBLANK('ENGAGEMENTS 2026'!C1651),"",IF('ENGAGEMENTS 2026'!C1651="DTSI","DCT",'ENGAGEMENTS 2026'!C1651))</f>
        <v/>
      </c>
      <c r="B1651">
        <f>IF(ISBLANK('ENGAGEMENTS 2026'!C1651),"",'ENGAGEMENTS 2026'!D1651)</f>
        <v/>
      </c>
      <c r="C1651">
        <f>IF(ISBLANK('ENGAGEMENTS 2026'!C1651),"",'ENGAGEMENTS 2026'!E1651)</f>
        <v/>
      </c>
      <c r="D1651">
        <f>IF(ISBLANK('ENGAGEMENTS 2026'!C1651),"",'ENGAGEMENTS 2026'!G1651)</f>
        <v/>
      </c>
      <c r="E1651">
        <f>IF(ISBLANK('ENGAGEMENTS 2026'!C1651),"",'ENGAGEMENTS 2026'!I1651)</f>
        <v/>
      </c>
      <c r="F1651">
        <f>IF(ISBLANK('ENGAGEMENTS 2026'!C1651),"",'ENGAGEMENTS 2026'!J1651)</f>
        <v/>
      </c>
      <c r="G1651">
        <f>IF(ISBLANK('ENGAGEMENTS 2026'!C1651),"",'ENGAGEMENTS 2026'!M1651)</f>
        <v/>
      </c>
      <c r="H1651">
        <f>IF(ISBLANK('ENGAGEMENTS 2026'!C1651),"",'ENGAGEMENTS 2026'!AF1651)</f>
        <v/>
      </c>
      <c r="I1651">
        <f>IF(ISBLANK('ENGAGEMENTS 2026'!C1651),"",'ENGAGEMENTS 2026'!H1651)</f>
        <v/>
      </c>
      <c r="J1651" s="275">
        <f>IF(ISBLANK('ENGAGEMENTS 2026'!C1651),"",IF(AND(OR($E1651="INFRUCTUEUX",$E1651="ANNULE"),$C1651="AOO-M"),'ENGAGEMENTS 2026'!P1651,IF($H1651="EN COURS DE PREENGAGEMENT",'ENGAGEMENTS 2026'!O1651,IF($H1651="PREENGAGE",IF($E1651="ATTRIBUE",'ENGAGEMENTS 2026'!AE1651,'ENGAGEMENTS 2026'!O1651),'ENGAGEMENTS 2026'!AE1651))))</f>
        <v/>
      </c>
      <c r="K1651" s="604">
        <f>IF(ISBLANK('ENGAGEMENTS 2026'!W1651),"",'ENGAGEMENTS 2026'!W1651)</f>
        <v/>
      </c>
      <c r="L1651" s="276">
        <f>IF($K1651="","",TODAY()-$K1651)</f>
        <v/>
      </c>
      <c r="M1651">
        <f>IF($A1651="","",IF($H1651="ENGAGE","Engagé",IF(AND($H1651="NON ENGAGE",OR($I1651="INFRUCTUEUX",$I1651="ANNULE")),"Clôturé sans suite","En cours")))</f>
        <v/>
      </c>
      <c r="N1651">
        <f>IF(ISBLANK('ENGAGEMENTS 2026'!C1651),"",'ENGAGEMENTS 2026'!L1651)</f>
        <v/>
      </c>
      <c r="O1651">
        <f>IF(ISBLANK('ENGAGEMENTS 2026'!C1651),"",'ENGAGEMENTS 2026'!M1651)</f>
        <v/>
      </c>
      <c r="P1651">
        <f>IF(ISBLANK('ENGAGEMENTS 2026'!C1651),"",'ENGAGEMENTS 2026'!K1651)</f>
        <v/>
      </c>
      <c r="Q1651">
        <f>IF($A1651="","",IF(OR($E1651="INFRUCTUEUX",$E1651="ANNULE"),$A1651&amp;"|"&amp;(COUNTIFS($A$2:$A1651,$A1651,$E$2:$E1651,"INFRUCTUEUX")+COUNTIFS($A$2:$A1651,$A1651,$E$2:$E1651,"ANNULE")),""))</f>
        <v/>
      </c>
    </row>
    <row r="1652">
      <c r="A1652">
        <f>IF(ISBLANK('ENGAGEMENTS 2026'!C1652),"",IF('ENGAGEMENTS 2026'!C1652="DTSI","DCT",'ENGAGEMENTS 2026'!C1652))</f>
        <v/>
      </c>
      <c r="B1652">
        <f>IF(ISBLANK('ENGAGEMENTS 2026'!C1652),"",'ENGAGEMENTS 2026'!D1652)</f>
        <v/>
      </c>
      <c r="C1652">
        <f>IF(ISBLANK('ENGAGEMENTS 2026'!C1652),"",'ENGAGEMENTS 2026'!E1652)</f>
        <v/>
      </c>
      <c r="D1652">
        <f>IF(ISBLANK('ENGAGEMENTS 2026'!C1652),"",'ENGAGEMENTS 2026'!G1652)</f>
        <v/>
      </c>
      <c r="E1652">
        <f>IF(ISBLANK('ENGAGEMENTS 2026'!C1652),"",'ENGAGEMENTS 2026'!I1652)</f>
        <v/>
      </c>
      <c r="F1652">
        <f>IF(ISBLANK('ENGAGEMENTS 2026'!C1652),"",'ENGAGEMENTS 2026'!J1652)</f>
        <v/>
      </c>
      <c r="G1652">
        <f>IF(ISBLANK('ENGAGEMENTS 2026'!C1652),"",'ENGAGEMENTS 2026'!M1652)</f>
        <v/>
      </c>
      <c r="H1652">
        <f>IF(ISBLANK('ENGAGEMENTS 2026'!C1652),"",'ENGAGEMENTS 2026'!AF1652)</f>
        <v/>
      </c>
      <c r="I1652">
        <f>IF(ISBLANK('ENGAGEMENTS 2026'!C1652),"",'ENGAGEMENTS 2026'!H1652)</f>
        <v/>
      </c>
      <c r="J1652" s="275">
        <f>IF(ISBLANK('ENGAGEMENTS 2026'!C1652),"",IF(AND(OR($E1652="INFRUCTUEUX",$E1652="ANNULE"),$C1652="AOO-M"),'ENGAGEMENTS 2026'!P1652,IF($H1652="EN COURS DE PREENGAGEMENT",'ENGAGEMENTS 2026'!O1652,IF($H1652="PREENGAGE",IF($E1652="ATTRIBUE",'ENGAGEMENTS 2026'!AE1652,'ENGAGEMENTS 2026'!O1652),'ENGAGEMENTS 2026'!AE1652))))</f>
        <v/>
      </c>
      <c r="K1652" s="604">
        <f>IF(ISBLANK('ENGAGEMENTS 2026'!W1652),"",'ENGAGEMENTS 2026'!W1652)</f>
        <v/>
      </c>
      <c r="L1652" s="276">
        <f>IF($K1652="","",TODAY()-$K1652)</f>
        <v/>
      </c>
      <c r="M1652">
        <f>IF($A1652="","",IF($H1652="ENGAGE","Engagé",IF(AND($H1652="NON ENGAGE",OR($I1652="INFRUCTUEUX",$I1652="ANNULE")),"Clôturé sans suite","En cours")))</f>
        <v/>
      </c>
      <c r="N1652">
        <f>IF(ISBLANK('ENGAGEMENTS 2026'!C1652),"",'ENGAGEMENTS 2026'!L1652)</f>
        <v/>
      </c>
      <c r="O1652">
        <f>IF(ISBLANK('ENGAGEMENTS 2026'!C1652),"",'ENGAGEMENTS 2026'!M1652)</f>
        <v/>
      </c>
      <c r="P1652">
        <f>IF(ISBLANK('ENGAGEMENTS 2026'!C1652),"",'ENGAGEMENTS 2026'!K1652)</f>
        <v/>
      </c>
      <c r="Q1652">
        <f>IF($A1652="","",IF(OR($E1652="INFRUCTUEUX",$E1652="ANNULE"),$A1652&amp;"|"&amp;(COUNTIFS($A$2:$A1652,$A1652,$E$2:$E1652,"INFRUCTUEUX")+COUNTIFS($A$2:$A1652,$A1652,$E$2:$E1652,"ANNULE")),""))</f>
        <v/>
      </c>
    </row>
    <row r="1653">
      <c r="A1653">
        <f>IF(ISBLANK('ENGAGEMENTS 2026'!C1653),"",IF('ENGAGEMENTS 2026'!C1653="DTSI","DCT",'ENGAGEMENTS 2026'!C1653))</f>
        <v/>
      </c>
      <c r="B1653">
        <f>IF(ISBLANK('ENGAGEMENTS 2026'!C1653),"",'ENGAGEMENTS 2026'!D1653)</f>
        <v/>
      </c>
      <c r="C1653">
        <f>IF(ISBLANK('ENGAGEMENTS 2026'!C1653),"",'ENGAGEMENTS 2026'!E1653)</f>
        <v/>
      </c>
      <c r="D1653">
        <f>IF(ISBLANK('ENGAGEMENTS 2026'!C1653),"",'ENGAGEMENTS 2026'!G1653)</f>
        <v/>
      </c>
      <c r="E1653">
        <f>IF(ISBLANK('ENGAGEMENTS 2026'!C1653),"",'ENGAGEMENTS 2026'!I1653)</f>
        <v/>
      </c>
      <c r="F1653">
        <f>IF(ISBLANK('ENGAGEMENTS 2026'!C1653),"",'ENGAGEMENTS 2026'!J1653)</f>
        <v/>
      </c>
      <c r="G1653">
        <f>IF(ISBLANK('ENGAGEMENTS 2026'!C1653),"",'ENGAGEMENTS 2026'!M1653)</f>
        <v/>
      </c>
      <c r="H1653">
        <f>IF(ISBLANK('ENGAGEMENTS 2026'!C1653),"",'ENGAGEMENTS 2026'!AF1653)</f>
        <v/>
      </c>
      <c r="I1653">
        <f>IF(ISBLANK('ENGAGEMENTS 2026'!C1653),"",'ENGAGEMENTS 2026'!H1653)</f>
        <v/>
      </c>
      <c r="J1653" s="275">
        <f>IF(ISBLANK('ENGAGEMENTS 2026'!C1653),"",IF(AND(OR($E1653="INFRUCTUEUX",$E1653="ANNULE"),$C1653="AOO-M"),'ENGAGEMENTS 2026'!P1653,IF($H1653="EN COURS DE PREENGAGEMENT",'ENGAGEMENTS 2026'!O1653,IF($H1653="PREENGAGE",IF($E1653="ATTRIBUE",'ENGAGEMENTS 2026'!AE1653,'ENGAGEMENTS 2026'!O1653),'ENGAGEMENTS 2026'!AE1653))))</f>
        <v/>
      </c>
      <c r="K1653" s="604">
        <f>IF(ISBLANK('ENGAGEMENTS 2026'!W1653),"",'ENGAGEMENTS 2026'!W1653)</f>
        <v/>
      </c>
      <c r="L1653" s="276">
        <f>IF($K1653="","",TODAY()-$K1653)</f>
        <v/>
      </c>
      <c r="M1653">
        <f>IF($A1653="","",IF($H1653="ENGAGE","Engagé",IF(AND($H1653="NON ENGAGE",OR($I1653="INFRUCTUEUX",$I1653="ANNULE")),"Clôturé sans suite","En cours")))</f>
        <v/>
      </c>
      <c r="N1653">
        <f>IF(ISBLANK('ENGAGEMENTS 2026'!C1653),"",'ENGAGEMENTS 2026'!L1653)</f>
        <v/>
      </c>
      <c r="O1653">
        <f>IF(ISBLANK('ENGAGEMENTS 2026'!C1653),"",'ENGAGEMENTS 2026'!M1653)</f>
        <v/>
      </c>
      <c r="P1653">
        <f>IF(ISBLANK('ENGAGEMENTS 2026'!C1653),"",'ENGAGEMENTS 2026'!K1653)</f>
        <v/>
      </c>
      <c r="Q1653">
        <f>IF($A1653="","",IF(OR($E1653="INFRUCTUEUX",$E1653="ANNULE"),$A1653&amp;"|"&amp;(COUNTIFS($A$2:$A1653,$A1653,$E$2:$E1653,"INFRUCTUEUX")+COUNTIFS($A$2:$A1653,$A1653,$E$2:$E1653,"ANNULE")),""))</f>
        <v/>
      </c>
    </row>
    <row r="1654">
      <c r="A1654">
        <f>IF(ISBLANK('ENGAGEMENTS 2026'!C1654),"",IF('ENGAGEMENTS 2026'!C1654="DTSI","DCT",'ENGAGEMENTS 2026'!C1654))</f>
        <v/>
      </c>
      <c r="B1654">
        <f>IF(ISBLANK('ENGAGEMENTS 2026'!C1654),"",'ENGAGEMENTS 2026'!D1654)</f>
        <v/>
      </c>
      <c r="C1654">
        <f>IF(ISBLANK('ENGAGEMENTS 2026'!C1654),"",'ENGAGEMENTS 2026'!E1654)</f>
        <v/>
      </c>
      <c r="D1654">
        <f>IF(ISBLANK('ENGAGEMENTS 2026'!C1654),"",'ENGAGEMENTS 2026'!G1654)</f>
        <v/>
      </c>
      <c r="E1654">
        <f>IF(ISBLANK('ENGAGEMENTS 2026'!C1654),"",'ENGAGEMENTS 2026'!I1654)</f>
        <v/>
      </c>
      <c r="F1654">
        <f>IF(ISBLANK('ENGAGEMENTS 2026'!C1654),"",'ENGAGEMENTS 2026'!J1654)</f>
        <v/>
      </c>
      <c r="G1654">
        <f>IF(ISBLANK('ENGAGEMENTS 2026'!C1654),"",'ENGAGEMENTS 2026'!M1654)</f>
        <v/>
      </c>
      <c r="H1654">
        <f>IF(ISBLANK('ENGAGEMENTS 2026'!C1654),"",'ENGAGEMENTS 2026'!AF1654)</f>
        <v/>
      </c>
      <c r="I1654">
        <f>IF(ISBLANK('ENGAGEMENTS 2026'!C1654),"",'ENGAGEMENTS 2026'!H1654)</f>
        <v/>
      </c>
      <c r="J1654" s="275">
        <f>IF(ISBLANK('ENGAGEMENTS 2026'!C1654),"",IF(AND(OR($E1654="INFRUCTUEUX",$E1654="ANNULE"),$C1654="AOO-M"),'ENGAGEMENTS 2026'!P1654,IF($H1654="EN COURS DE PREENGAGEMENT",'ENGAGEMENTS 2026'!O1654,IF($H1654="PREENGAGE",IF($E1654="ATTRIBUE",'ENGAGEMENTS 2026'!AE1654,'ENGAGEMENTS 2026'!O1654),'ENGAGEMENTS 2026'!AE1654))))</f>
        <v/>
      </c>
      <c r="K1654" s="604">
        <f>IF(ISBLANK('ENGAGEMENTS 2026'!W1654),"",'ENGAGEMENTS 2026'!W1654)</f>
        <v/>
      </c>
      <c r="L1654" s="276">
        <f>IF($K1654="","",TODAY()-$K1654)</f>
        <v/>
      </c>
      <c r="M1654">
        <f>IF($A1654="","",IF($H1654="ENGAGE","Engagé",IF(AND($H1654="NON ENGAGE",OR($I1654="INFRUCTUEUX",$I1654="ANNULE")),"Clôturé sans suite","En cours")))</f>
        <v/>
      </c>
      <c r="N1654">
        <f>IF(ISBLANK('ENGAGEMENTS 2026'!C1654),"",'ENGAGEMENTS 2026'!L1654)</f>
        <v/>
      </c>
      <c r="O1654">
        <f>IF(ISBLANK('ENGAGEMENTS 2026'!C1654),"",'ENGAGEMENTS 2026'!M1654)</f>
        <v/>
      </c>
      <c r="P1654">
        <f>IF(ISBLANK('ENGAGEMENTS 2026'!C1654),"",'ENGAGEMENTS 2026'!K1654)</f>
        <v/>
      </c>
      <c r="Q1654">
        <f>IF($A1654="","",IF(OR($E1654="INFRUCTUEUX",$E1654="ANNULE"),$A1654&amp;"|"&amp;(COUNTIFS($A$2:$A1654,$A1654,$E$2:$E1654,"INFRUCTUEUX")+COUNTIFS($A$2:$A1654,$A1654,$E$2:$E1654,"ANNULE")),""))</f>
        <v/>
      </c>
    </row>
    <row r="1655">
      <c r="A1655">
        <f>IF(ISBLANK('ENGAGEMENTS 2026'!C1655),"",IF('ENGAGEMENTS 2026'!C1655="DTSI","DCT",'ENGAGEMENTS 2026'!C1655))</f>
        <v/>
      </c>
      <c r="B1655">
        <f>IF(ISBLANK('ENGAGEMENTS 2026'!C1655),"",'ENGAGEMENTS 2026'!D1655)</f>
        <v/>
      </c>
      <c r="C1655">
        <f>IF(ISBLANK('ENGAGEMENTS 2026'!C1655),"",'ENGAGEMENTS 2026'!E1655)</f>
        <v/>
      </c>
      <c r="D1655">
        <f>IF(ISBLANK('ENGAGEMENTS 2026'!C1655),"",'ENGAGEMENTS 2026'!G1655)</f>
        <v/>
      </c>
      <c r="E1655">
        <f>IF(ISBLANK('ENGAGEMENTS 2026'!C1655),"",'ENGAGEMENTS 2026'!I1655)</f>
        <v/>
      </c>
      <c r="F1655">
        <f>IF(ISBLANK('ENGAGEMENTS 2026'!C1655),"",'ENGAGEMENTS 2026'!J1655)</f>
        <v/>
      </c>
      <c r="G1655">
        <f>IF(ISBLANK('ENGAGEMENTS 2026'!C1655),"",'ENGAGEMENTS 2026'!M1655)</f>
        <v/>
      </c>
      <c r="H1655">
        <f>IF(ISBLANK('ENGAGEMENTS 2026'!C1655),"",'ENGAGEMENTS 2026'!AF1655)</f>
        <v/>
      </c>
      <c r="I1655">
        <f>IF(ISBLANK('ENGAGEMENTS 2026'!C1655),"",'ENGAGEMENTS 2026'!H1655)</f>
        <v/>
      </c>
      <c r="J1655" s="275">
        <f>IF(ISBLANK('ENGAGEMENTS 2026'!C1655),"",IF(AND(OR($E1655="INFRUCTUEUX",$E1655="ANNULE"),$C1655="AOO-M"),'ENGAGEMENTS 2026'!P1655,IF($H1655="EN COURS DE PREENGAGEMENT",'ENGAGEMENTS 2026'!O1655,IF($H1655="PREENGAGE",IF($E1655="ATTRIBUE",'ENGAGEMENTS 2026'!AE1655,'ENGAGEMENTS 2026'!O1655),'ENGAGEMENTS 2026'!AE1655))))</f>
        <v/>
      </c>
      <c r="K1655" s="604">
        <f>IF(ISBLANK('ENGAGEMENTS 2026'!W1655),"",'ENGAGEMENTS 2026'!W1655)</f>
        <v/>
      </c>
      <c r="L1655" s="276">
        <f>IF($K1655="","",TODAY()-$K1655)</f>
        <v/>
      </c>
      <c r="M1655">
        <f>IF($A1655="","",IF($H1655="ENGAGE","Engagé",IF(AND($H1655="NON ENGAGE",OR($I1655="INFRUCTUEUX",$I1655="ANNULE")),"Clôturé sans suite","En cours")))</f>
        <v/>
      </c>
      <c r="N1655">
        <f>IF(ISBLANK('ENGAGEMENTS 2026'!C1655),"",'ENGAGEMENTS 2026'!L1655)</f>
        <v/>
      </c>
      <c r="O1655">
        <f>IF(ISBLANK('ENGAGEMENTS 2026'!C1655),"",'ENGAGEMENTS 2026'!M1655)</f>
        <v/>
      </c>
      <c r="P1655">
        <f>IF(ISBLANK('ENGAGEMENTS 2026'!C1655),"",'ENGAGEMENTS 2026'!K1655)</f>
        <v/>
      </c>
      <c r="Q1655">
        <f>IF($A1655="","",IF(OR($E1655="INFRUCTUEUX",$E1655="ANNULE"),$A1655&amp;"|"&amp;(COUNTIFS($A$2:$A1655,$A1655,$E$2:$E1655,"INFRUCTUEUX")+COUNTIFS($A$2:$A1655,$A1655,$E$2:$E1655,"ANNULE")),""))</f>
        <v/>
      </c>
    </row>
    <row r="1656">
      <c r="A1656">
        <f>IF(ISBLANK('ENGAGEMENTS 2026'!C1656),"",IF('ENGAGEMENTS 2026'!C1656="DTSI","DCT",'ENGAGEMENTS 2026'!C1656))</f>
        <v/>
      </c>
      <c r="B1656">
        <f>IF(ISBLANK('ENGAGEMENTS 2026'!C1656),"",'ENGAGEMENTS 2026'!D1656)</f>
        <v/>
      </c>
      <c r="C1656">
        <f>IF(ISBLANK('ENGAGEMENTS 2026'!C1656),"",'ENGAGEMENTS 2026'!E1656)</f>
        <v/>
      </c>
      <c r="D1656">
        <f>IF(ISBLANK('ENGAGEMENTS 2026'!C1656),"",'ENGAGEMENTS 2026'!G1656)</f>
        <v/>
      </c>
      <c r="E1656">
        <f>IF(ISBLANK('ENGAGEMENTS 2026'!C1656),"",'ENGAGEMENTS 2026'!I1656)</f>
        <v/>
      </c>
      <c r="F1656">
        <f>IF(ISBLANK('ENGAGEMENTS 2026'!C1656),"",'ENGAGEMENTS 2026'!J1656)</f>
        <v/>
      </c>
      <c r="G1656">
        <f>IF(ISBLANK('ENGAGEMENTS 2026'!C1656),"",'ENGAGEMENTS 2026'!M1656)</f>
        <v/>
      </c>
      <c r="H1656">
        <f>IF(ISBLANK('ENGAGEMENTS 2026'!C1656),"",'ENGAGEMENTS 2026'!AF1656)</f>
        <v/>
      </c>
      <c r="I1656">
        <f>IF(ISBLANK('ENGAGEMENTS 2026'!C1656),"",'ENGAGEMENTS 2026'!H1656)</f>
        <v/>
      </c>
      <c r="J1656" s="275">
        <f>IF(ISBLANK('ENGAGEMENTS 2026'!C1656),"",IF(AND(OR($E1656="INFRUCTUEUX",$E1656="ANNULE"),$C1656="AOO-M"),'ENGAGEMENTS 2026'!P1656,IF($H1656="EN COURS DE PREENGAGEMENT",'ENGAGEMENTS 2026'!O1656,IF($H1656="PREENGAGE",IF($E1656="ATTRIBUE",'ENGAGEMENTS 2026'!AE1656,'ENGAGEMENTS 2026'!O1656),'ENGAGEMENTS 2026'!AE1656))))</f>
        <v/>
      </c>
      <c r="K1656" s="604">
        <f>IF(ISBLANK('ENGAGEMENTS 2026'!W1656),"",'ENGAGEMENTS 2026'!W1656)</f>
        <v/>
      </c>
      <c r="L1656" s="276">
        <f>IF($K1656="","",TODAY()-$K1656)</f>
        <v/>
      </c>
      <c r="M1656">
        <f>IF($A1656="","",IF($H1656="ENGAGE","Engagé",IF(AND($H1656="NON ENGAGE",OR($I1656="INFRUCTUEUX",$I1656="ANNULE")),"Clôturé sans suite","En cours")))</f>
        <v/>
      </c>
      <c r="N1656">
        <f>IF(ISBLANK('ENGAGEMENTS 2026'!C1656),"",'ENGAGEMENTS 2026'!L1656)</f>
        <v/>
      </c>
      <c r="O1656">
        <f>IF(ISBLANK('ENGAGEMENTS 2026'!C1656),"",'ENGAGEMENTS 2026'!M1656)</f>
        <v/>
      </c>
      <c r="P1656">
        <f>IF(ISBLANK('ENGAGEMENTS 2026'!C1656),"",'ENGAGEMENTS 2026'!K1656)</f>
        <v/>
      </c>
      <c r="Q1656">
        <f>IF($A1656="","",IF(OR($E1656="INFRUCTUEUX",$E1656="ANNULE"),$A1656&amp;"|"&amp;(COUNTIFS($A$2:$A1656,$A1656,$E$2:$E1656,"INFRUCTUEUX")+COUNTIFS($A$2:$A1656,$A1656,$E$2:$E1656,"ANNULE")),""))</f>
        <v/>
      </c>
    </row>
    <row r="1657">
      <c r="A1657">
        <f>IF(ISBLANK('ENGAGEMENTS 2026'!C1657),"",IF('ENGAGEMENTS 2026'!C1657="DTSI","DCT",'ENGAGEMENTS 2026'!C1657))</f>
        <v/>
      </c>
      <c r="B1657">
        <f>IF(ISBLANK('ENGAGEMENTS 2026'!C1657),"",'ENGAGEMENTS 2026'!D1657)</f>
        <v/>
      </c>
      <c r="C1657">
        <f>IF(ISBLANK('ENGAGEMENTS 2026'!C1657),"",'ENGAGEMENTS 2026'!E1657)</f>
        <v/>
      </c>
      <c r="D1657">
        <f>IF(ISBLANK('ENGAGEMENTS 2026'!C1657),"",'ENGAGEMENTS 2026'!G1657)</f>
        <v/>
      </c>
      <c r="E1657">
        <f>IF(ISBLANK('ENGAGEMENTS 2026'!C1657),"",'ENGAGEMENTS 2026'!I1657)</f>
        <v/>
      </c>
      <c r="F1657">
        <f>IF(ISBLANK('ENGAGEMENTS 2026'!C1657),"",'ENGAGEMENTS 2026'!J1657)</f>
        <v/>
      </c>
      <c r="G1657">
        <f>IF(ISBLANK('ENGAGEMENTS 2026'!C1657),"",'ENGAGEMENTS 2026'!M1657)</f>
        <v/>
      </c>
      <c r="H1657">
        <f>IF(ISBLANK('ENGAGEMENTS 2026'!C1657),"",'ENGAGEMENTS 2026'!AF1657)</f>
        <v/>
      </c>
      <c r="I1657">
        <f>IF(ISBLANK('ENGAGEMENTS 2026'!C1657),"",'ENGAGEMENTS 2026'!H1657)</f>
        <v/>
      </c>
      <c r="J1657" s="275">
        <f>IF(ISBLANK('ENGAGEMENTS 2026'!C1657),"",IF(AND(OR($E1657="INFRUCTUEUX",$E1657="ANNULE"),$C1657="AOO-M"),'ENGAGEMENTS 2026'!P1657,IF($H1657="EN COURS DE PREENGAGEMENT",'ENGAGEMENTS 2026'!O1657,IF($H1657="PREENGAGE",IF($E1657="ATTRIBUE",'ENGAGEMENTS 2026'!AE1657,'ENGAGEMENTS 2026'!O1657),'ENGAGEMENTS 2026'!AE1657))))</f>
        <v/>
      </c>
      <c r="K1657" s="604">
        <f>IF(ISBLANK('ENGAGEMENTS 2026'!W1657),"",'ENGAGEMENTS 2026'!W1657)</f>
        <v/>
      </c>
      <c r="L1657" s="276">
        <f>IF($K1657="","",TODAY()-$K1657)</f>
        <v/>
      </c>
      <c r="M1657">
        <f>IF($A1657="","",IF($H1657="ENGAGE","Engagé",IF(AND($H1657="NON ENGAGE",OR($I1657="INFRUCTUEUX",$I1657="ANNULE")),"Clôturé sans suite","En cours")))</f>
        <v/>
      </c>
      <c r="N1657">
        <f>IF(ISBLANK('ENGAGEMENTS 2026'!C1657),"",'ENGAGEMENTS 2026'!L1657)</f>
        <v/>
      </c>
      <c r="O1657">
        <f>IF(ISBLANK('ENGAGEMENTS 2026'!C1657),"",'ENGAGEMENTS 2026'!M1657)</f>
        <v/>
      </c>
      <c r="P1657">
        <f>IF(ISBLANK('ENGAGEMENTS 2026'!C1657),"",'ENGAGEMENTS 2026'!K1657)</f>
        <v/>
      </c>
      <c r="Q1657">
        <f>IF($A1657="","",IF(OR($E1657="INFRUCTUEUX",$E1657="ANNULE"),$A1657&amp;"|"&amp;(COUNTIFS($A$2:$A1657,$A1657,$E$2:$E1657,"INFRUCTUEUX")+COUNTIFS($A$2:$A1657,$A1657,$E$2:$E1657,"ANNULE")),""))</f>
        <v/>
      </c>
    </row>
    <row r="1658">
      <c r="A1658">
        <f>IF(ISBLANK('ENGAGEMENTS 2026'!C1658),"",IF('ENGAGEMENTS 2026'!C1658="DTSI","DCT",'ENGAGEMENTS 2026'!C1658))</f>
        <v/>
      </c>
      <c r="B1658">
        <f>IF(ISBLANK('ENGAGEMENTS 2026'!C1658),"",'ENGAGEMENTS 2026'!D1658)</f>
        <v/>
      </c>
      <c r="C1658">
        <f>IF(ISBLANK('ENGAGEMENTS 2026'!C1658),"",'ENGAGEMENTS 2026'!E1658)</f>
        <v/>
      </c>
      <c r="D1658">
        <f>IF(ISBLANK('ENGAGEMENTS 2026'!C1658),"",'ENGAGEMENTS 2026'!G1658)</f>
        <v/>
      </c>
      <c r="E1658">
        <f>IF(ISBLANK('ENGAGEMENTS 2026'!C1658),"",'ENGAGEMENTS 2026'!I1658)</f>
        <v/>
      </c>
      <c r="F1658">
        <f>IF(ISBLANK('ENGAGEMENTS 2026'!C1658),"",'ENGAGEMENTS 2026'!J1658)</f>
        <v/>
      </c>
      <c r="G1658">
        <f>IF(ISBLANK('ENGAGEMENTS 2026'!C1658),"",'ENGAGEMENTS 2026'!M1658)</f>
        <v/>
      </c>
      <c r="H1658">
        <f>IF(ISBLANK('ENGAGEMENTS 2026'!C1658),"",'ENGAGEMENTS 2026'!AF1658)</f>
        <v/>
      </c>
      <c r="I1658">
        <f>IF(ISBLANK('ENGAGEMENTS 2026'!C1658),"",'ENGAGEMENTS 2026'!H1658)</f>
        <v/>
      </c>
      <c r="J1658" s="275">
        <f>IF(ISBLANK('ENGAGEMENTS 2026'!C1658),"",IF(AND(OR($E1658="INFRUCTUEUX",$E1658="ANNULE"),$C1658="AOO-M"),'ENGAGEMENTS 2026'!P1658,IF($H1658="EN COURS DE PREENGAGEMENT",'ENGAGEMENTS 2026'!O1658,IF($H1658="PREENGAGE",IF($E1658="ATTRIBUE",'ENGAGEMENTS 2026'!AE1658,'ENGAGEMENTS 2026'!O1658),'ENGAGEMENTS 2026'!AE1658))))</f>
        <v/>
      </c>
      <c r="K1658" s="604">
        <f>IF(ISBLANK('ENGAGEMENTS 2026'!W1658),"",'ENGAGEMENTS 2026'!W1658)</f>
        <v/>
      </c>
      <c r="L1658" s="276">
        <f>IF($K1658="","",TODAY()-$K1658)</f>
        <v/>
      </c>
      <c r="M1658">
        <f>IF($A1658="","",IF($H1658="ENGAGE","Engagé",IF(AND($H1658="NON ENGAGE",OR($I1658="INFRUCTUEUX",$I1658="ANNULE")),"Clôturé sans suite","En cours")))</f>
        <v/>
      </c>
      <c r="N1658">
        <f>IF(ISBLANK('ENGAGEMENTS 2026'!C1658),"",'ENGAGEMENTS 2026'!L1658)</f>
        <v/>
      </c>
      <c r="O1658">
        <f>IF(ISBLANK('ENGAGEMENTS 2026'!C1658),"",'ENGAGEMENTS 2026'!M1658)</f>
        <v/>
      </c>
      <c r="P1658">
        <f>IF(ISBLANK('ENGAGEMENTS 2026'!C1658),"",'ENGAGEMENTS 2026'!K1658)</f>
        <v/>
      </c>
      <c r="Q1658">
        <f>IF($A1658="","",IF(OR($E1658="INFRUCTUEUX",$E1658="ANNULE"),$A1658&amp;"|"&amp;(COUNTIFS($A$2:$A1658,$A1658,$E$2:$E1658,"INFRUCTUEUX")+COUNTIFS($A$2:$A1658,$A1658,$E$2:$E1658,"ANNULE")),""))</f>
        <v/>
      </c>
    </row>
    <row r="1659">
      <c r="A1659">
        <f>IF(ISBLANK('ENGAGEMENTS 2026'!C1659),"",IF('ENGAGEMENTS 2026'!C1659="DTSI","DCT",'ENGAGEMENTS 2026'!C1659))</f>
        <v/>
      </c>
      <c r="B1659">
        <f>IF(ISBLANK('ENGAGEMENTS 2026'!C1659),"",'ENGAGEMENTS 2026'!D1659)</f>
        <v/>
      </c>
      <c r="C1659">
        <f>IF(ISBLANK('ENGAGEMENTS 2026'!C1659),"",'ENGAGEMENTS 2026'!E1659)</f>
        <v/>
      </c>
      <c r="D1659">
        <f>IF(ISBLANK('ENGAGEMENTS 2026'!C1659),"",'ENGAGEMENTS 2026'!G1659)</f>
        <v/>
      </c>
      <c r="E1659">
        <f>IF(ISBLANK('ENGAGEMENTS 2026'!C1659),"",'ENGAGEMENTS 2026'!I1659)</f>
        <v/>
      </c>
      <c r="F1659">
        <f>IF(ISBLANK('ENGAGEMENTS 2026'!C1659),"",'ENGAGEMENTS 2026'!J1659)</f>
        <v/>
      </c>
      <c r="G1659">
        <f>IF(ISBLANK('ENGAGEMENTS 2026'!C1659),"",'ENGAGEMENTS 2026'!M1659)</f>
        <v/>
      </c>
      <c r="H1659">
        <f>IF(ISBLANK('ENGAGEMENTS 2026'!C1659),"",'ENGAGEMENTS 2026'!AF1659)</f>
        <v/>
      </c>
      <c r="I1659">
        <f>IF(ISBLANK('ENGAGEMENTS 2026'!C1659),"",'ENGAGEMENTS 2026'!H1659)</f>
        <v/>
      </c>
      <c r="J1659" s="275">
        <f>IF(ISBLANK('ENGAGEMENTS 2026'!C1659),"",IF(AND(OR($E1659="INFRUCTUEUX",$E1659="ANNULE"),$C1659="AOO-M"),'ENGAGEMENTS 2026'!P1659,IF($H1659="EN COURS DE PREENGAGEMENT",'ENGAGEMENTS 2026'!O1659,IF($H1659="PREENGAGE",IF($E1659="ATTRIBUE",'ENGAGEMENTS 2026'!AE1659,'ENGAGEMENTS 2026'!O1659),'ENGAGEMENTS 2026'!AE1659))))</f>
        <v/>
      </c>
      <c r="K1659" s="604">
        <f>IF(ISBLANK('ENGAGEMENTS 2026'!W1659),"",'ENGAGEMENTS 2026'!W1659)</f>
        <v/>
      </c>
      <c r="L1659" s="276">
        <f>IF($K1659="","",TODAY()-$K1659)</f>
        <v/>
      </c>
      <c r="M1659">
        <f>IF($A1659="","",IF($H1659="ENGAGE","Engagé",IF(AND($H1659="NON ENGAGE",OR($I1659="INFRUCTUEUX",$I1659="ANNULE")),"Clôturé sans suite","En cours")))</f>
        <v/>
      </c>
      <c r="N1659">
        <f>IF(ISBLANK('ENGAGEMENTS 2026'!C1659),"",'ENGAGEMENTS 2026'!L1659)</f>
        <v/>
      </c>
      <c r="O1659">
        <f>IF(ISBLANK('ENGAGEMENTS 2026'!C1659),"",'ENGAGEMENTS 2026'!M1659)</f>
        <v/>
      </c>
      <c r="P1659">
        <f>IF(ISBLANK('ENGAGEMENTS 2026'!C1659),"",'ENGAGEMENTS 2026'!K1659)</f>
        <v/>
      </c>
      <c r="Q1659">
        <f>IF($A1659="","",IF(OR($E1659="INFRUCTUEUX",$E1659="ANNULE"),$A1659&amp;"|"&amp;(COUNTIFS($A$2:$A1659,$A1659,$E$2:$E1659,"INFRUCTUEUX")+COUNTIFS($A$2:$A1659,$A1659,$E$2:$E1659,"ANNULE")),""))</f>
        <v/>
      </c>
    </row>
    <row r="1660">
      <c r="A1660">
        <f>IF(ISBLANK('ENGAGEMENTS 2026'!C1660),"",IF('ENGAGEMENTS 2026'!C1660="DTSI","DCT",'ENGAGEMENTS 2026'!C1660))</f>
        <v/>
      </c>
      <c r="B1660">
        <f>IF(ISBLANK('ENGAGEMENTS 2026'!C1660),"",'ENGAGEMENTS 2026'!D1660)</f>
        <v/>
      </c>
      <c r="C1660">
        <f>IF(ISBLANK('ENGAGEMENTS 2026'!C1660),"",'ENGAGEMENTS 2026'!E1660)</f>
        <v/>
      </c>
      <c r="D1660">
        <f>IF(ISBLANK('ENGAGEMENTS 2026'!C1660),"",'ENGAGEMENTS 2026'!G1660)</f>
        <v/>
      </c>
      <c r="E1660">
        <f>IF(ISBLANK('ENGAGEMENTS 2026'!C1660),"",'ENGAGEMENTS 2026'!I1660)</f>
        <v/>
      </c>
      <c r="F1660">
        <f>IF(ISBLANK('ENGAGEMENTS 2026'!C1660),"",'ENGAGEMENTS 2026'!J1660)</f>
        <v/>
      </c>
      <c r="G1660">
        <f>IF(ISBLANK('ENGAGEMENTS 2026'!C1660),"",'ENGAGEMENTS 2026'!M1660)</f>
        <v/>
      </c>
      <c r="H1660">
        <f>IF(ISBLANK('ENGAGEMENTS 2026'!C1660),"",'ENGAGEMENTS 2026'!AF1660)</f>
        <v/>
      </c>
      <c r="I1660">
        <f>IF(ISBLANK('ENGAGEMENTS 2026'!C1660),"",'ENGAGEMENTS 2026'!H1660)</f>
        <v/>
      </c>
      <c r="J1660" s="275">
        <f>IF(ISBLANK('ENGAGEMENTS 2026'!C1660),"",IF(AND(OR($E1660="INFRUCTUEUX",$E1660="ANNULE"),$C1660="AOO-M"),'ENGAGEMENTS 2026'!P1660,IF($H1660="EN COURS DE PREENGAGEMENT",'ENGAGEMENTS 2026'!O1660,IF($H1660="PREENGAGE",IF($E1660="ATTRIBUE",'ENGAGEMENTS 2026'!AE1660,'ENGAGEMENTS 2026'!O1660),'ENGAGEMENTS 2026'!AE1660))))</f>
        <v/>
      </c>
      <c r="K1660" s="604">
        <f>IF(ISBLANK('ENGAGEMENTS 2026'!W1660),"",'ENGAGEMENTS 2026'!W1660)</f>
        <v/>
      </c>
      <c r="L1660" s="276">
        <f>IF($K1660="","",TODAY()-$K1660)</f>
        <v/>
      </c>
      <c r="M1660">
        <f>IF($A1660="","",IF($H1660="ENGAGE","Engagé",IF(AND($H1660="NON ENGAGE",OR($I1660="INFRUCTUEUX",$I1660="ANNULE")),"Clôturé sans suite","En cours")))</f>
        <v/>
      </c>
      <c r="N1660">
        <f>IF(ISBLANK('ENGAGEMENTS 2026'!C1660),"",'ENGAGEMENTS 2026'!L1660)</f>
        <v/>
      </c>
      <c r="O1660">
        <f>IF(ISBLANK('ENGAGEMENTS 2026'!C1660),"",'ENGAGEMENTS 2026'!M1660)</f>
        <v/>
      </c>
      <c r="P1660">
        <f>IF(ISBLANK('ENGAGEMENTS 2026'!C1660),"",'ENGAGEMENTS 2026'!K1660)</f>
        <v/>
      </c>
      <c r="Q1660">
        <f>IF($A1660="","",IF(OR($E1660="INFRUCTUEUX",$E1660="ANNULE"),$A1660&amp;"|"&amp;(COUNTIFS($A$2:$A1660,$A1660,$E$2:$E1660,"INFRUCTUEUX")+COUNTIFS($A$2:$A1660,$A1660,$E$2:$E1660,"ANNULE")),""))</f>
        <v/>
      </c>
    </row>
    <row r="1661">
      <c r="A1661">
        <f>IF(ISBLANK('ENGAGEMENTS 2026'!C1661),"",IF('ENGAGEMENTS 2026'!C1661="DTSI","DCT",'ENGAGEMENTS 2026'!C1661))</f>
        <v/>
      </c>
      <c r="B1661">
        <f>IF(ISBLANK('ENGAGEMENTS 2026'!C1661),"",'ENGAGEMENTS 2026'!D1661)</f>
        <v/>
      </c>
      <c r="C1661">
        <f>IF(ISBLANK('ENGAGEMENTS 2026'!C1661),"",'ENGAGEMENTS 2026'!E1661)</f>
        <v/>
      </c>
      <c r="D1661">
        <f>IF(ISBLANK('ENGAGEMENTS 2026'!C1661),"",'ENGAGEMENTS 2026'!G1661)</f>
        <v/>
      </c>
      <c r="E1661">
        <f>IF(ISBLANK('ENGAGEMENTS 2026'!C1661),"",'ENGAGEMENTS 2026'!I1661)</f>
        <v/>
      </c>
      <c r="F1661">
        <f>IF(ISBLANK('ENGAGEMENTS 2026'!C1661),"",'ENGAGEMENTS 2026'!J1661)</f>
        <v/>
      </c>
      <c r="G1661">
        <f>IF(ISBLANK('ENGAGEMENTS 2026'!C1661),"",'ENGAGEMENTS 2026'!M1661)</f>
        <v/>
      </c>
      <c r="H1661">
        <f>IF(ISBLANK('ENGAGEMENTS 2026'!C1661),"",'ENGAGEMENTS 2026'!AF1661)</f>
        <v/>
      </c>
      <c r="I1661">
        <f>IF(ISBLANK('ENGAGEMENTS 2026'!C1661),"",'ENGAGEMENTS 2026'!H1661)</f>
        <v/>
      </c>
      <c r="J1661" s="275">
        <f>IF(ISBLANK('ENGAGEMENTS 2026'!C1661),"",IF(AND(OR($E1661="INFRUCTUEUX",$E1661="ANNULE"),$C1661="AOO-M"),'ENGAGEMENTS 2026'!P1661,IF($H1661="EN COURS DE PREENGAGEMENT",'ENGAGEMENTS 2026'!O1661,IF($H1661="PREENGAGE",IF($E1661="ATTRIBUE",'ENGAGEMENTS 2026'!AE1661,'ENGAGEMENTS 2026'!O1661),'ENGAGEMENTS 2026'!AE1661))))</f>
        <v/>
      </c>
      <c r="K1661" s="604">
        <f>IF(ISBLANK('ENGAGEMENTS 2026'!W1661),"",'ENGAGEMENTS 2026'!W1661)</f>
        <v/>
      </c>
      <c r="L1661" s="276">
        <f>IF($K1661="","",TODAY()-$K1661)</f>
        <v/>
      </c>
      <c r="M1661">
        <f>IF($A1661="","",IF($H1661="ENGAGE","Engagé",IF(AND($H1661="NON ENGAGE",OR($I1661="INFRUCTUEUX",$I1661="ANNULE")),"Clôturé sans suite","En cours")))</f>
        <v/>
      </c>
      <c r="N1661">
        <f>IF(ISBLANK('ENGAGEMENTS 2026'!C1661),"",'ENGAGEMENTS 2026'!L1661)</f>
        <v/>
      </c>
      <c r="O1661">
        <f>IF(ISBLANK('ENGAGEMENTS 2026'!C1661),"",'ENGAGEMENTS 2026'!M1661)</f>
        <v/>
      </c>
      <c r="P1661">
        <f>IF(ISBLANK('ENGAGEMENTS 2026'!C1661),"",'ENGAGEMENTS 2026'!K1661)</f>
        <v/>
      </c>
      <c r="Q1661">
        <f>IF($A1661="","",IF(OR($E1661="INFRUCTUEUX",$E1661="ANNULE"),$A1661&amp;"|"&amp;(COUNTIFS($A$2:$A1661,$A1661,$E$2:$E1661,"INFRUCTUEUX")+COUNTIFS($A$2:$A1661,$A1661,$E$2:$E1661,"ANNULE")),""))</f>
        <v/>
      </c>
    </row>
    <row r="1662">
      <c r="A1662">
        <f>IF(ISBLANK('ENGAGEMENTS 2026'!C1662),"",IF('ENGAGEMENTS 2026'!C1662="DTSI","DCT",'ENGAGEMENTS 2026'!C1662))</f>
        <v/>
      </c>
      <c r="B1662">
        <f>IF(ISBLANK('ENGAGEMENTS 2026'!C1662),"",'ENGAGEMENTS 2026'!D1662)</f>
        <v/>
      </c>
      <c r="C1662">
        <f>IF(ISBLANK('ENGAGEMENTS 2026'!C1662),"",'ENGAGEMENTS 2026'!E1662)</f>
        <v/>
      </c>
      <c r="D1662">
        <f>IF(ISBLANK('ENGAGEMENTS 2026'!C1662),"",'ENGAGEMENTS 2026'!G1662)</f>
        <v/>
      </c>
      <c r="E1662">
        <f>IF(ISBLANK('ENGAGEMENTS 2026'!C1662),"",'ENGAGEMENTS 2026'!I1662)</f>
        <v/>
      </c>
      <c r="F1662">
        <f>IF(ISBLANK('ENGAGEMENTS 2026'!C1662),"",'ENGAGEMENTS 2026'!J1662)</f>
        <v/>
      </c>
      <c r="G1662">
        <f>IF(ISBLANK('ENGAGEMENTS 2026'!C1662),"",'ENGAGEMENTS 2026'!M1662)</f>
        <v/>
      </c>
      <c r="H1662">
        <f>IF(ISBLANK('ENGAGEMENTS 2026'!C1662),"",'ENGAGEMENTS 2026'!AF1662)</f>
        <v/>
      </c>
      <c r="I1662">
        <f>IF(ISBLANK('ENGAGEMENTS 2026'!C1662),"",'ENGAGEMENTS 2026'!H1662)</f>
        <v/>
      </c>
      <c r="J1662" s="275">
        <f>IF(ISBLANK('ENGAGEMENTS 2026'!C1662),"",IF(AND(OR($E1662="INFRUCTUEUX",$E1662="ANNULE"),$C1662="AOO-M"),'ENGAGEMENTS 2026'!P1662,IF($H1662="EN COURS DE PREENGAGEMENT",'ENGAGEMENTS 2026'!O1662,IF($H1662="PREENGAGE",IF($E1662="ATTRIBUE",'ENGAGEMENTS 2026'!AE1662,'ENGAGEMENTS 2026'!O1662),'ENGAGEMENTS 2026'!AE1662))))</f>
        <v/>
      </c>
      <c r="K1662" s="604">
        <f>IF(ISBLANK('ENGAGEMENTS 2026'!W1662),"",'ENGAGEMENTS 2026'!W1662)</f>
        <v/>
      </c>
      <c r="L1662" s="276">
        <f>IF($K1662="","",TODAY()-$K1662)</f>
        <v/>
      </c>
      <c r="M1662">
        <f>IF($A1662="","",IF($H1662="ENGAGE","Engagé",IF(AND($H1662="NON ENGAGE",OR($I1662="INFRUCTUEUX",$I1662="ANNULE")),"Clôturé sans suite","En cours")))</f>
        <v/>
      </c>
      <c r="N1662">
        <f>IF(ISBLANK('ENGAGEMENTS 2026'!C1662),"",'ENGAGEMENTS 2026'!L1662)</f>
        <v/>
      </c>
      <c r="O1662">
        <f>IF(ISBLANK('ENGAGEMENTS 2026'!C1662),"",'ENGAGEMENTS 2026'!M1662)</f>
        <v/>
      </c>
      <c r="P1662">
        <f>IF(ISBLANK('ENGAGEMENTS 2026'!C1662),"",'ENGAGEMENTS 2026'!K1662)</f>
        <v/>
      </c>
      <c r="Q1662">
        <f>IF($A1662="","",IF(OR($E1662="INFRUCTUEUX",$E1662="ANNULE"),$A1662&amp;"|"&amp;(COUNTIFS($A$2:$A1662,$A1662,$E$2:$E1662,"INFRUCTUEUX")+COUNTIFS($A$2:$A1662,$A1662,$E$2:$E1662,"ANNULE")),""))</f>
        <v/>
      </c>
    </row>
    <row r="1663">
      <c r="A1663">
        <f>IF(ISBLANK('ENGAGEMENTS 2026'!C1663),"",IF('ENGAGEMENTS 2026'!C1663="DTSI","DCT",'ENGAGEMENTS 2026'!C1663))</f>
        <v/>
      </c>
      <c r="B1663">
        <f>IF(ISBLANK('ENGAGEMENTS 2026'!C1663),"",'ENGAGEMENTS 2026'!D1663)</f>
        <v/>
      </c>
      <c r="C1663">
        <f>IF(ISBLANK('ENGAGEMENTS 2026'!C1663),"",'ENGAGEMENTS 2026'!E1663)</f>
        <v/>
      </c>
      <c r="D1663">
        <f>IF(ISBLANK('ENGAGEMENTS 2026'!C1663),"",'ENGAGEMENTS 2026'!G1663)</f>
        <v/>
      </c>
      <c r="E1663">
        <f>IF(ISBLANK('ENGAGEMENTS 2026'!C1663),"",'ENGAGEMENTS 2026'!I1663)</f>
        <v/>
      </c>
      <c r="F1663">
        <f>IF(ISBLANK('ENGAGEMENTS 2026'!C1663),"",'ENGAGEMENTS 2026'!J1663)</f>
        <v/>
      </c>
      <c r="G1663">
        <f>IF(ISBLANK('ENGAGEMENTS 2026'!C1663),"",'ENGAGEMENTS 2026'!M1663)</f>
        <v/>
      </c>
      <c r="H1663">
        <f>IF(ISBLANK('ENGAGEMENTS 2026'!C1663),"",'ENGAGEMENTS 2026'!AF1663)</f>
        <v/>
      </c>
      <c r="I1663">
        <f>IF(ISBLANK('ENGAGEMENTS 2026'!C1663),"",'ENGAGEMENTS 2026'!H1663)</f>
        <v/>
      </c>
      <c r="J1663" s="275">
        <f>IF(ISBLANK('ENGAGEMENTS 2026'!C1663),"",IF(AND(OR($E1663="INFRUCTUEUX",$E1663="ANNULE"),$C1663="AOO-M"),'ENGAGEMENTS 2026'!P1663,IF($H1663="EN COURS DE PREENGAGEMENT",'ENGAGEMENTS 2026'!O1663,IF($H1663="PREENGAGE",IF($E1663="ATTRIBUE",'ENGAGEMENTS 2026'!AE1663,'ENGAGEMENTS 2026'!O1663),'ENGAGEMENTS 2026'!AE1663))))</f>
        <v/>
      </c>
      <c r="K1663" s="604">
        <f>IF(ISBLANK('ENGAGEMENTS 2026'!W1663),"",'ENGAGEMENTS 2026'!W1663)</f>
        <v/>
      </c>
      <c r="L1663" s="276">
        <f>IF($K1663="","",TODAY()-$K1663)</f>
        <v/>
      </c>
      <c r="M1663">
        <f>IF($A1663="","",IF($H1663="ENGAGE","Engagé",IF(AND($H1663="NON ENGAGE",OR($I1663="INFRUCTUEUX",$I1663="ANNULE")),"Clôturé sans suite","En cours")))</f>
        <v/>
      </c>
      <c r="N1663">
        <f>IF(ISBLANK('ENGAGEMENTS 2026'!C1663),"",'ENGAGEMENTS 2026'!L1663)</f>
        <v/>
      </c>
      <c r="O1663">
        <f>IF(ISBLANK('ENGAGEMENTS 2026'!C1663),"",'ENGAGEMENTS 2026'!M1663)</f>
        <v/>
      </c>
      <c r="P1663">
        <f>IF(ISBLANK('ENGAGEMENTS 2026'!C1663),"",'ENGAGEMENTS 2026'!K1663)</f>
        <v/>
      </c>
      <c r="Q1663">
        <f>IF($A1663="","",IF(OR($E1663="INFRUCTUEUX",$E1663="ANNULE"),$A1663&amp;"|"&amp;(COUNTIFS($A$2:$A1663,$A1663,$E$2:$E1663,"INFRUCTUEUX")+COUNTIFS($A$2:$A1663,$A1663,$E$2:$E1663,"ANNULE")),""))</f>
        <v/>
      </c>
    </row>
    <row r="1664">
      <c r="A1664">
        <f>IF(ISBLANK('ENGAGEMENTS 2026'!C1664),"",IF('ENGAGEMENTS 2026'!C1664="DTSI","DCT",'ENGAGEMENTS 2026'!C1664))</f>
        <v/>
      </c>
      <c r="B1664">
        <f>IF(ISBLANK('ENGAGEMENTS 2026'!C1664),"",'ENGAGEMENTS 2026'!D1664)</f>
        <v/>
      </c>
      <c r="C1664">
        <f>IF(ISBLANK('ENGAGEMENTS 2026'!C1664),"",'ENGAGEMENTS 2026'!E1664)</f>
        <v/>
      </c>
      <c r="D1664">
        <f>IF(ISBLANK('ENGAGEMENTS 2026'!C1664),"",'ENGAGEMENTS 2026'!G1664)</f>
        <v/>
      </c>
      <c r="E1664">
        <f>IF(ISBLANK('ENGAGEMENTS 2026'!C1664),"",'ENGAGEMENTS 2026'!I1664)</f>
        <v/>
      </c>
      <c r="F1664">
        <f>IF(ISBLANK('ENGAGEMENTS 2026'!C1664),"",'ENGAGEMENTS 2026'!J1664)</f>
        <v/>
      </c>
      <c r="G1664">
        <f>IF(ISBLANK('ENGAGEMENTS 2026'!C1664),"",'ENGAGEMENTS 2026'!M1664)</f>
        <v/>
      </c>
      <c r="H1664">
        <f>IF(ISBLANK('ENGAGEMENTS 2026'!C1664),"",'ENGAGEMENTS 2026'!AF1664)</f>
        <v/>
      </c>
      <c r="I1664">
        <f>IF(ISBLANK('ENGAGEMENTS 2026'!C1664),"",'ENGAGEMENTS 2026'!H1664)</f>
        <v/>
      </c>
      <c r="J1664" s="275">
        <f>IF(ISBLANK('ENGAGEMENTS 2026'!C1664),"",IF(AND(OR($E1664="INFRUCTUEUX",$E1664="ANNULE"),$C1664="AOO-M"),'ENGAGEMENTS 2026'!P1664,IF($H1664="EN COURS DE PREENGAGEMENT",'ENGAGEMENTS 2026'!O1664,IF($H1664="PREENGAGE",IF($E1664="ATTRIBUE",'ENGAGEMENTS 2026'!AE1664,'ENGAGEMENTS 2026'!O1664),'ENGAGEMENTS 2026'!AE1664))))</f>
        <v/>
      </c>
      <c r="K1664" s="604">
        <f>IF(ISBLANK('ENGAGEMENTS 2026'!W1664),"",'ENGAGEMENTS 2026'!W1664)</f>
        <v/>
      </c>
      <c r="L1664" s="276">
        <f>IF($K1664="","",TODAY()-$K1664)</f>
        <v/>
      </c>
      <c r="M1664">
        <f>IF($A1664="","",IF($H1664="ENGAGE","Engagé",IF(AND($H1664="NON ENGAGE",OR($I1664="INFRUCTUEUX",$I1664="ANNULE")),"Clôturé sans suite","En cours")))</f>
        <v/>
      </c>
      <c r="N1664">
        <f>IF(ISBLANK('ENGAGEMENTS 2026'!C1664),"",'ENGAGEMENTS 2026'!L1664)</f>
        <v/>
      </c>
      <c r="O1664">
        <f>IF(ISBLANK('ENGAGEMENTS 2026'!C1664),"",'ENGAGEMENTS 2026'!M1664)</f>
        <v/>
      </c>
      <c r="P1664">
        <f>IF(ISBLANK('ENGAGEMENTS 2026'!C1664),"",'ENGAGEMENTS 2026'!K1664)</f>
        <v/>
      </c>
      <c r="Q1664">
        <f>IF($A1664="","",IF(OR($E1664="INFRUCTUEUX",$E1664="ANNULE"),$A1664&amp;"|"&amp;(COUNTIFS($A$2:$A1664,$A1664,$E$2:$E1664,"INFRUCTUEUX")+COUNTIFS($A$2:$A1664,$A1664,$E$2:$E1664,"ANNULE")),""))</f>
        <v/>
      </c>
    </row>
    <row r="1665">
      <c r="A1665">
        <f>IF(ISBLANK('ENGAGEMENTS 2026'!C1665),"",IF('ENGAGEMENTS 2026'!C1665="DTSI","DCT",'ENGAGEMENTS 2026'!C1665))</f>
        <v/>
      </c>
      <c r="B1665">
        <f>IF(ISBLANK('ENGAGEMENTS 2026'!C1665),"",'ENGAGEMENTS 2026'!D1665)</f>
        <v/>
      </c>
      <c r="C1665">
        <f>IF(ISBLANK('ENGAGEMENTS 2026'!C1665),"",'ENGAGEMENTS 2026'!E1665)</f>
        <v/>
      </c>
      <c r="D1665">
        <f>IF(ISBLANK('ENGAGEMENTS 2026'!C1665),"",'ENGAGEMENTS 2026'!G1665)</f>
        <v/>
      </c>
      <c r="E1665">
        <f>IF(ISBLANK('ENGAGEMENTS 2026'!C1665),"",'ENGAGEMENTS 2026'!I1665)</f>
        <v/>
      </c>
      <c r="F1665">
        <f>IF(ISBLANK('ENGAGEMENTS 2026'!C1665),"",'ENGAGEMENTS 2026'!J1665)</f>
        <v/>
      </c>
      <c r="G1665">
        <f>IF(ISBLANK('ENGAGEMENTS 2026'!C1665),"",'ENGAGEMENTS 2026'!M1665)</f>
        <v/>
      </c>
      <c r="H1665">
        <f>IF(ISBLANK('ENGAGEMENTS 2026'!C1665),"",'ENGAGEMENTS 2026'!AF1665)</f>
        <v/>
      </c>
      <c r="I1665">
        <f>IF(ISBLANK('ENGAGEMENTS 2026'!C1665),"",'ENGAGEMENTS 2026'!H1665)</f>
        <v/>
      </c>
      <c r="J1665" s="275">
        <f>IF(ISBLANK('ENGAGEMENTS 2026'!C1665),"",IF(AND(OR($E1665="INFRUCTUEUX",$E1665="ANNULE"),$C1665="AOO-M"),'ENGAGEMENTS 2026'!P1665,IF($H1665="EN COURS DE PREENGAGEMENT",'ENGAGEMENTS 2026'!O1665,IF($H1665="PREENGAGE",IF($E1665="ATTRIBUE",'ENGAGEMENTS 2026'!AE1665,'ENGAGEMENTS 2026'!O1665),'ENGAGEMENTS 2026'!AE1665))))</f>
        <v/>
      </c>
      <c r="K1665" s="604">
        <f>IF(ISBLANK('ENGAGEMENTS 2026'!W1665),"",'ENGAGEMENTS 2026'!W1665)</f>
        <v/>
      </c>
      <c r="L1665" s="276">
        <f>IF($K1665="","",TODAY()-$K1665)</f>
        <v/>
      </c>
      <c r="M1665">
        <f>IF($A1665="","",IF($H1665="ENGAGE","Engagé",IF(AND($H1665="NON ENGAGE",OR($I1665="INFRUCTUEUX",$I1665="ANNULE")),"Clôturé sans suite","En cours")))</f>
        <v/>
      </c>
      <c r="N1665">
        <f>IF(ISBLANK('ENGAGEMENTS 2026'!C1665),"",'ENGAGEMENTS 2026'!L1665)</f>
        <v/>
      </c>
      <c r="O1665">
        <f>IF(ISBLANK('ENGAGEMENTS 2026'!C1665),"",'ENGAGEMENTS 2026'!M1665)</f>
        <v/>
      </c>
      <c r="P1665">
        <f>IF(ISBLANK('ENGAGEMENTS 2026'!C1665),"",'ENGAGEMENTS 2026'!K1665)</f>
        <v/>
      </c>
      <c r="Q1665">
        <f>IF($A1665="","",IF(OR($E1665="INFRUCTUEUX",$E1665="ANNULE"),$A1665&amp;"|"&amp;(COUNTIFS($A$2:$A1665,$A1665,$E$2:$E1665,"INFRUCTUEUX")+COUNTIFS($A$2:$A1665,$A1665,$E$2:$E1665,"ANNULE")),""))</f>
        <v/>
      </c>
    </row>
    <row r="1666">
      <c r="A1666">
        <f>IF(ISBLANK('ENGAGEMENTS 2026'!C1666),"",IF('ENGAGEMENTS 2026'!C1666="DTSI","DCT",'ENGAGEMENTS 2026'!C1666))</f>
        <v/>
      </c>
      <c r="B1666">
        <f>IF(ISBLANK('ENGAGEMENTS 2026'!C1666),"",'ENGAGEMENTS 2026'!D1666)</f>
        <v/>
      </c>
      <c r="C1666">
        <f>IF(ISBLANK('ENGAGEMENTS 2026'!C1666),"",'ENGAGEMENTS 2026'!E1666)</f>
        <v/>
      </c>
      <c r="D1666">
        <f>IF(ISBLANK('ENGAGEMENTS 2026'!C1666),"",'ENGAGEMENTS 2026'!G1666)</f>
        <v/>
      </c>
      <c r="E1666">
        <f>IF(ISBLANK('ENGAGEMENTS 2026'!C1666),"",'ENGAGEMENTS 2026'!I1666)</f>
        <v/>
      </c>
      <c r="F1666">
        <f>IF(ISBLANK('ENGAGEMENTS 2026'!C1666),"",'ENGAGEMENTS 2026'!J1666)</f>
        <v/>
      </c>
      <c r="G1666">
        <f>IF(ISBLANK('ENGAGEMENTS 2026'!C1666),"",'ENGAGEMENTS 2026'!M1666)</f>
        <v/>
      </c>
      <c r="H1666">
        <f>IF(ISBLANK('ENGAGEMENTS 2026'!C1666),"",'ENGAGEMENTS 2026'!AF1666)</f>
        <v/>
      </c>
      <c r="I1666">
        <f>IF(ISBLANK('ENGAGEMENTS 2026'!C1666),"",'ENGAGEMENTS 2026'!H1666)</f>
        <v/>
      </c>
      <c r="J1666" s="275">
        <f>IF(ISBLANK('ENGAGEMENTS 2026'!C1666),"",IF(AND(OR($E1666="INFRUCTUEUX",$E1666="ANNULE"),$C1666="AOO-M"),'ENGAGEMENTS 2026'!P1666,IF($H1666="EN COURS DE PREENGAGEMENT",'ENGAGEMENTS 2026'!O1666,IF($H1666="PREENGAGE",IF($E1666="ATTRIBUE",'ENGAGEMENTS 2026'!AE1666,'ENGAGEMENTS 2026'!O1666),'ENGAGEMENTS 2026'!AE1666))))</f>
        <v/>
      </c>
      <c r="K1666" s="604">
        <f>IF(ISBLANK('ENGAGEMENTS 2026'!W1666),"",'ENGAGEMENTS 2026'!W1666)</f>
        <v/>
      </c>
      <c r="L1666" s="276">
        <f>IF($K1666="","",TODAY()-$K1666)</f>
        <v/>
      </c>
      <c r="M1666">
        <f>IF($A1666="","",IF($H1666="ENGAGE","Engagé",IF(AND($H1666="NON ENGAGE",OR($I1666="INFRUCTUEUX",$I1666="ANNULE")),"Clôturé sans suite","En cours")))</f>
        <v/>
      </c>
      <c r="N1666">
        <f>IF(ISBLANK('ENGAGEMENTS 2026'!C1666),"",'ENGAGEMENTS 2026'!L1666)</f>
        <v/>
      </c>
      <c r="O1666">
        <f>IF(ISBLANK('ENGAGEMENTS 2026'!C1666),"",'ENGAGEMENTS 2026'!M1666)</f>
        <v/>
      </c>
      <c r="P1666">
        <f>IF(ISBLANK('ENGAGEMENTS 2026'!C1666),"",'ENGAGEMENTS 2026'!K1666)</f>
        <v/>
      </c>
      <c r="Q1666">
        <f>IF($A1666="","",IF(OR($E1666="INFRUCTUEUX",$E1666="ANNULE"),$A1666&amp;"|"&amp;(COUNTIFS($A$2:$A1666,$A1666,$E$2:$E1666,"INFRUCTUEUX")+COUNTIFS($A$2:$A1666,$A1666,$E$2:$E1666,"ANNULE")),""))</f>
        <v/>
      </c>
    </row>
    <row r="1667">
      <c r="A1667">
        <f>IF(ISBLANK('ENGAGEMENTS 2026'!C1667),"",IF('ENGAGEMENTS 2026'!C1667="DTSI","DCT",'ENGAGEMENTS 2026'!C1667))</f>
        <v/>
      </c>
      <c r="B1667">
        <f>IF(ISBLANK('ENGAGEMENTS 2026'!C1667),"",'ENGAGEMENTS 2026'!D1667)</f>
        <v/>
      </c>
      <c r="C1667">
        <f>IF(ISBLANK('ENGAGEMENTS 2026'!C1667),"",'ENGAGEMENTS 2026'!E1667)</f>
        <v/>
      </c>
      <c r="D1667">
        <f>IF(ISBLANK('ENGAGEMENTS 2026'!C1667),"",'ENGAGEMENTS 2026'!G1667)</f>
        <v/>
      </c>
      <c r="E1667">
        <f>IF(ISBLANK('ENGAGEMENTS 2026'!C1667),"",'ENGAGEMENTS 2026'!I1667)</f>
        <v/>
      </c>
      <c r="F1667">
        <f>IF(ISBLANK('ENGAGEMENTS 2026'!C1667),"",'ENGAGEMENTS 2026'!J1667)</f>
        <v/>
      </c>
      <c r="G1667">
        <f>IF(ISBLANK('ENGAGEMENTS 2026'!C1667),"",'ENGAGEMENTS 2026'!M1667)</f>
        <v/>
      </c>
      <c r="H1667">
        <f>IF(ISBLANK('ENGAGEMENTS 2026'!C1667),"",'ENGAGEMENTS 2026'!AF1667)</f>
        <v/>
      </c>
      <c r="I1667">
        <f>IF(ISBLANK('ENGAGEMENTS 2026'!C1667),"",'ENGAGEMENTS 2026'!H1667)</f>
        <v/>
      </c>
      <c r="J1667" s="275">
        <f>IF(ISBLANK('ENGAGEMENTS 2026'!C1667),"",IF(AND(OR($E1667="INFRUCTUEUX",$E1667="ANNULE"),$C1667="AOO-M"),'ENGAGEMENTS 2026'!P1667,IF($H1667="EN COURS DE PREENGAGEMENT",'ENGAGEMENTS 2026'!O1667,IF($H1667="PREENGAGE",IF($E1667="ATTRIBUE",'ENGAGEMENTS 2026'!AE1667,'ENGAGEMENTS 2026'!O1667),'ENGAGEMENTS 2026'!AE1667))))</f>
        <v/>
      </c>
      <c r="K1667" s="604">
        <f>IF(ISBLANK('ENGAGEMENTS 2026'!W1667),"",'ENGAGEMENTS 2026'!W1667)</f>
        <v/>
      </c>
      <c r="L1667" s="276">
        <f>IF($K1667="","",TODAY()-$K1667)</f>
        <v/>
      </c>
      <c r="M1667">
        <f>IF($A1667="","",IF($H1667="ENGAGE","Engagé",IF(AND($H1667="NON ENGAGE",OR($I1667="INFRUCTUEUX",$I1667="ANNULE")),"Clôturé sans suite","En cours")))</f>
        <v/>
      </c>
      <c r="N1667">
        <f>IF(ISBLANK('ENGAGEMENTS 2026'!C1667),"",'ENGAGEMENTS 2026'!L1667)</f>
        <v/>
      </c>
      <c r="O1667">
        <f>IF(ISBLANK('ENGAGEMENTS 2026'!C1667),"",'ENGAGEMENTS 2026'!M1667)</f>
        <v/>
      </c>
      <c r="P1667">
        <f>IF(ISBLANK('ENGAGEMENTS 2026'!C1667),"",'ENGAGEMENTS 2026'!K1667)</f>
        <v/>
      </c>
      <c r="Q1667">
        <f>IF($A1667="","",IF(OR($E1667="INFRUCTUEUX",$E1667="ANNULE"),$A1667&amp;"|"&amp;(COUNTIFS($A$2:$A1667,$A1667,$E$2:$E1667,"INFRUCTUEUX")+COUNTIFS($A$2:$A1667,$A1667,$E$2:$E1667,"ANNULE")),""))</f>
        <v/>
      </c>
    </row>
    <row r="1668">
      <c r="A1668">
        <f>IF(ISBLANK('ENGAGEMENTS 2026'!C1668),"",IF('ENGAGEMENTS 2026'!C1668="DTSI","DCT",'ENGAGEMENTS 2026'!C1668))</f>
        <v/>
      </c>
      <c r="B1668">
        <f>IF(ISBLANK('ENGAGEMENTS 2026'!C1668),"",'ENGAGEMENTS 2026'!D1668)</f>
        <v/>
      </c>
      <c r="C1668">
        <f>IF(ISBLANK('ENGAGEMENTS 2026'!C1668),"",'ENGAGEMENTS 2026'!E1668)</f>
        <v/>
      </c>
      <c r="D1668">
        <f>IF(ISBLANK('ENGAGEMENTS 2026'!C1668),"",'ENGAGEMENTS 2026'!G1668)</f>
        <v/>
      </c>
      <c r="E1668">
        <f>IF(ISBLANK('ENGAGEMENTS 2026'!C1668),"",'ENGAGEMENTS 2026'!I1668)</f>
        <v/>
      </c>
      <c r="F1668">
        <f>IF(ISBLANK('ENGAGEMENTS 2026'!C1668),"",'ENGAGEMENTS 2026'!J1668)</f>
        <v/>
      </c>
      <c r="G1668">
        <f>IF(ISBLANK('ENGAGEMENTS 2026'!C1668),"",'ENGAGEMENTS 2026'!M1668)</f>
        <v/>
      </c>
      <c r="H1668">
        <f>IF(ISBLANK('ENGAGEMENTS 2026'!C1668),"",'ENGAGEMENTS 2026'!AF1668)</f>
        <v/>
      </c>
      <c r="I1668">
        <f>IF(ISBLANK('ENGAGEMENTS 2026'!C1668),"",'ENGAGEMENTS 2026'!H1668)</f>
        <v/>
      </c>
      <c r="J1668" s="275">
        <f>IF(ISBLANK('ENGAGEMENTS 2026'!C1668),"",IF(AND(OR($E1668="INFRUCTUEUX",$E1668="ANNULE"),$C1668="AOO-M"),'ENGAGEMENTS 2026'!P1668,IF($H1668="EN COURS DE PREENGAGEMENT",'ENGAGEMENTS 2026'!O1668,IF($H1668="PREENGAGE",IF($E1668="ATTRIBUE",'ENGAGEMENTS 2026'!AE1668,'ENGAGEMENTS 2026'!O1668),'ENGAGEMENTS 2026'!AE1668))))</f>
        <v/>
      </c>
      <c r="K1668" s="604">
        <f>IF(ISBLANK('ENGAGEMENTS 2026'!W1668),"",'ENGAGEMENTS 2026'!W1668)</f>
        <v/>
      </c>
      <c r="L1668" s="276">
        <f>IF($K1668="","",TODAY()-$K1668)</f>
        <v/>
      </c>
      <c r="M1668">
        <f>IF($A1668="","",IF($H1668="ENGAGE","Engagé",IF(AND($H1668="NON ENGAGE",OR($I1668="INFRUCTUEUX",$I1668="ANNULE")),"Clôturé sans suite","En cours")))</f>
        <v/>
      </c>
      <c r="N1668">
        <f>IF(ISBLANK('ENGAGEMENTS 2026'!C1668),"",'ENGAGEMENTS 2026'!L1668)</f>
        <v/>
      </c>
      <c r="O1668">
        <f>IF(ISBLANK('ENGAGEMENTS 2026'!C1668),"",'ENGAGEMENTS 2026'!M1668)</f>
        <v/>
      </c>
      <c r="P1668">
        <f>IF(ISBLANK('ENGAGEMENTS 2026'!C1668),"",'ENGAGEMENTS 2026'!K1668)</f>
        <v/>
      </c>
      <c r="Q1668">
        <f>IF($A1668="","",IF(OR($E1668="INFRUCTUEUX",$E1668="ANNULE"),$A1668&amp;"|"&amp;(COUNTIFS($A$2:$A1668,$A1668,$E$2:$E1668,"INFRUCTUEUX")+COUNTIFS($A$2:$A1668,$A1668,$E$2:$E1668,"ANNULE")),""))</f>
        <v/>
      </c>
    </row>
    <row r="1669">
      <c r="A1669">
        <f>IF(ISBLANK('ENGAGEMENTS 2026'!C1669),"",IF('ENGAGEMENTS 2026'!C1669="DTSI","DCT",'ENGAGEMENTS 2026'!C1669))</f>
        <v/>
      </c>
      <c r="B1669">
        <f>IF(ISBLANK('ENGAGEMENTS 2026'!C1669),"",'ENGAGEMENTS 2026'!D1669)</f>
        <v/>
      </c>
      <c r="C1669">
        <f>IF(ISBLANK('ENGAGEMENTS 2026'!C1669),"",'ENGAGEMENTS 2026'!E1669)</f>
        <v/>
      </c>
      <c r="D1669">
        <f>IF(ISBLANK('ENGAGEMENTS 2026'!C1669),"",'ENGAGEMENTS 2026'!G1669)</f>
        <v/>
      </c>
      <c r="E1669">
        <f>IF(ISBLANK('ENGAGEMENTS 2026'!C1669),"",'ENGAGEMENTS 2026'!I1669)</f>
        <v/>
      </c>
      <c r="F1669">
        <f>IF(ISBLANK('ENGAGEMENTS 2026'!C1669),"",'ENGAGEMENTS 2026'!J1669)</f>
        <v/>
      </c>
      <c r="G1669">
        <f>IF(ISBLANK('ENGAGEMENTS 2026'!C1669),"",'ENGAGEMENTS 2026'!M1669)</f>
        <v/>
      </c>
      <c r="H1669">
        <f>IF(ISBLANK('ENGAGEMENTS 2026'!C1669),"",'ENGAGEMENTS 2026'!AF1669)</f>
        <v/>
      </c>
      <c r="I1669">
        <f>IF(ISBLANK('ENGAGEMENTS 2026'!C1669),"",'ENGAGEMENTS 2026'!H1669)</f>
        <v/>
      </c>
      <c r="J1669" s="275">
        <f>IF(ISBLANK('ENGAGEMENTS 2026'!C1669),"",IF(AND(OR($E1669="INFRUCTUEUX",$E1669="ANNULE"),$C1669="AOO-M"),'ENGAGEMENTS 2026'!P1669,IF($H1669="EN COURS DE PREENGAGEMENT",'ENGAGEMENTS 2026'!O1669,IF($H1669="PREENGAGE",IF($E1669="ATTRIBUE",'ENGAGEMENTS 2026'!AE1669,'ENGAGEMENTS 2026'!O1669),'ENGAGEMENTS 2026'!AE1669))))</f>
        <v/>
      </c>
      <c r="K1669" s="604">
        <f>IF(ISBLANK('ENGAGEMENTS 2026'!W1669),"",'ENGAGEMENTS 2026'!W1669)</f>
        <v/>
      </c>
      <c r="L1669" s="276">
        <f>IF($K1669="","",TODAY()-$K1669)</f>
        <v/>
      </c>
      <c r="M1669">
        <f>IF($A1669="","",IF($H1669="ENGAGE","Engagé",IF(AND($H1669="NON ENGAGE",OR($I1669="INFRUCTUEUX",$I1669="ANNULE")),"Clôturé sans suite","En cours")))</f>
        <v/>
      </c>
      <c r="N1669">
        <f>IF(ISBLANK('ENGAGEMENTS 2026'!C1669),"",'ENGAGEMENTS 2026'!L1669)</f>
        <v/>
      </c>
      <c r="O1669">
        <f>IF(ISBLANK('ENGAGEMENTS 2026'!C1669),"",'ENGAGEMENTS 2026'!M1669)</f>
        <v/>
      </c>
      <c r="P1669">
        <f>IF(ISBLANK('ENGAGEMENTS 2026'!C1669),"",'ENGAGEMENTS 2026'!K1669)</f>
        <v/>
      </c>
      <c r="Q1669">
        <f>IF($A1669="","",IF(OR($E1669="INFRUCTUEUX",$E1669="ANNULE"),$A1669&amp;"|"&amp;(COUNTIFS($A$2:$A1669,$A1669,$E$2:$E1669,"INFRUCTUEUX")+COUNTIFS($A$2:$A1669,$A1669,$E$2:$E1669,"ANNULE")),""))</f>
        <v/>
      </c>
    </row>
    <row r="1670">
      <c r="A1670">
        <f>IF(ISBLANK('ENGAGEMENTS 2026'!C1670),"",IF('ENGAGEMENTS 2026'!C1670="DTSI","DCT",'ENGAGEMENTS 2026'!C1670))</f>
        <v/>
      </c>
      <c r="B1670">
        <f>IF(ISBLANK('ENGAGEMENTS 2026'!C1670),"",'ENGAGEMENTS 2026'!D1670)</f>
        <v/>
      </c>
      <c r="C1670">
        <f>IF(ISBLANK('ENGAGEMENTS 2026'!C1670),"",'ENGAGEMENTS 2026'!E1670)</f>
        <v/>
      </c>
      <c r="D1670">
        <f>IF(ISBLANK('ENGAGEMENTS 2026'!C1670),"",'ENGAGEMENTS 2026'!G1670)</f>
        <v/>
      </c>
      <c r="E1670">
        <f>IF(ISBLANK('ENGAGEMENTS 2026'!C1670),"",'ENGAGEMENTS 2026'!I1670)</f>
        <v/>
      </c>
      <c r="F1670">
        <f>IF(ISBLANK('ENGAGEMENTS 2026'!C1670),"",'ENGAGEMENTS 2026'!J1670)</f>
        <v/>
      </c>
      <c r="G1670">
        <f>IF(ISBLANK('ENGAGEMENTS 2026'!C1670),"",'ENGAGEMENTS 2026'!M1670)</f>
        <v/>
      </c>
      <c r="H1670">
        <f>IF(ISBLANK('ENGAGEMENTS 2026'!C1670),"",'ENGAGEMENTS 2026'!AF1670)</f>
        <v/>
      </c>
      <c r="I1670">
        <f>IF(ISBLANK('ENGAGEMENTS 2026'!C1670),"",'ENGAGEMENTS 2026'!H1670)</f>
        <v/>
      </c>
      <c r="J1670" s="275">
        <f>IF(ISBLANK('ENGAGEMENTS 2026'!C1670),"",IF(AND(OR($E1670="INFRUCTUEUX",$E1670="ANNULE"),$C1670="AOO-M"),'ENGAGEMENTS 2026'!P1670,IF($H1670="EN COURS DE PREENGAGEMENT",'ENGAGEMENTS 2026'!O1670,IF($H1670="PREENGAGE",IF($E1670="ATTRIBUE",'ENGAGEMENTS 2026'!AE1670,'ENGAGEMENTS 2026'!O1670),'ENGAGEMENTS 2026'!AE1670))))</f>
        <v/>
      </c>
      <c r="K1670" s="604">
        <f>IF(ISBLANK('ENGAGEMENTS 2026'!W1670),"",'ENGAGEMENTS 2026'!W1670)</f>
        <v/>
      </c>
      <c r="L1670" s="276">
        <f>IF($K1670="","",TODAY()-$K1670)</f>
        <v/>
      </c>
      <c r="M1670">
        <f>IF($A1670="","",IF($H1670="ENGAGE","Engagé",IF(AND($H1670="NON ENGAGE",OR($I1670="INFRUCTUEUX",$I1670="ANNULE")),"Clôturé sans suite","En cours")))</f>
        <v/>
      </c>
      <c r="N1670">
        <f>IF(ISBLANK('ENGAGEMENTS 2026'!C1670),"",'ENGAGEMENTS 2026'!L1670)</f>
        <v/>
      </c>
      <c r="O1670">
        <f>IF(ISBLANK('ENGAGEMENTS 2026'!C1670),"",'ENGAGEMENTS 2026'!M1670)</f>
        <v/>
      </c>
      <c r="P1670">
        <f>IF(ISBLANK('ENGAGEMENTS 2026'!C1670),"",'ENGAGEMENTS 2026'!K1670)</f>
        <v/>
      </c>
      <c r="Q1670">
        <f>IF($A1670="","",IF(OR($E1670="INFRUCTUEUX",$E1670="ANNULE"),$A1670&amp;"|"&amp;(COUNTIFS($A$2:$A1670,$A1670,$E$2:$E1670,"INFRUCTUEUX")+COUNTIFS($A$2:$A1670,$A1670,$E$2:$E1670,"ANNULE")),""))</f>
        <v/>
      </c>
    </row>
    <row r="1671">
      <c r="A1671">
        <f>IF(ISBLANK('ENGAGEMENTS 2026'!C1671),"",IF('ENGAGEMENTS 2026'!C1671="DTSI","DCT",'ENGAGEMENTS 2026'!C1671))</f>
        <v/>
      </c>
      <c r="B1671">
        <f>IF(ISBLANK('ENGAGEMENTS 2026'!C1671),"",'ENGAGEMENTS 2026'!D1671)</f>
        <v/>
      </c>
      <c r="C1671">
        <f>IF(ISBLANK('ENGAGEMENTS 2026'!C1671),"",'ENGAGEMENTS 2026'!E1671)</f>
        <v/>
      </c>
      <c r="D1671">
        <f>IF(ISBLANK('ENGAGEMENTS 2026'!C1671),"",'ENGAGEMENTS 2026'!G1671)</f>
        <v/>
      </c>
      <c r="E1671">
        <f>IF(ISBLANK('ENGAGEMENTS 2026'!C1671),"",'ENGAGEMENTS 2026'!I1671)</f>
        <v/>
      </c>
      <c r="F1671">
        <f>IF(ISBLANK('ENGAGEMENTS 2026'!C1671),"",'ENGAGEMENTS 2026'!J1671)</f>
        <v/>
      </c>
      <c r="G1671">
        <f>IF(ISBLANK('ENGAGEMENTS 2026'!C1671),"",'ENGAGEMENTS 2026'!M1671)</f>
        <v/>
      </c>
      <c r="H1671">
        <f>IF(ISBLANK('ENGAGEMENTS 2026'!C1671),"",'ENGAGEMENTS 2026'!AF1671)</f>
        <v/>
      </c>
      <c r="I1671">
        <f>IF(ISBLANK('ENGAGEMENTS 2026'!C1671),"",'ENGAGEMENTS 2026'!H1671)</f>
        <v/>
      </c>
      <c r="J1671" s="275">
        <f>IF(ISBLANK('ENGAGEMENTS 2026'!C1671),"",IF(AND(OR($E1671="INFRUCTUEUX",$E1671="ANNULE"),$C1671="AOO-M"),'ENGAGEMENTS 2026'!P1671,IF($H1671="EN COURS DE PREENGAGEMENT",'ENGAGEMENTS 2026'!O1671,IF($H1671="PREENGAGE",IF($E1671="ATTRIBUE",'ENGAGEMENTS 2026'!AE1671,'ENGAGEMENTS 2026'!O1671),'ENGAGEMENTS 2026'!AE1671))))</f>
        <v/>
      </c>
      <c r="K1671" s="604">
        <f>IF(ISBLANK('ENGAGEMENTS 2026'!W1671),"",'ENGAGEMENTS 2026'!W1671)</f>
        <v/>
      </c>
      <c r="L1671" s="276">
        <f>IF($K1671="","",TODAY()-$K1671)</f>
        <v/>
      </c>
      <c r="M1671">
        <f>IF($A1671="","",IF($H1671="ENGAGE","Engagé",IF(AND($H1671="NON ENGAGE",OR($I1671="INFRUCTUEUX",$I1671="ANNULE")),"Clôturé sans suite","En cours")))</f>
        <v/>
      </c>
      <c r="N1671">
        <f>IF(ISBLANK('ENGAGEMENTS 2026'!C1671),"",'ENGAGEMENTS 2026'!L1671)</f>
        <v/>
      </c>
      <c r="O1671">
        <f>IF(ISBLANK('ENGAGEMENTS 2026'!C1671),"",'ENGAGEMENTS 2026'!M1671)</f>
        <v/>
      </c>
      <c r="P1671">
        <f>IF(ISBLANK('ENGAGEMENTS 2026'!C1671),"",'ENGAGEMENTS 2026'!K1671)</f>
        <v/>
      </c>
      <c r="Q1671">
        <f>IF($A1671="","",IF(OR($E1671="INFRUCTUEUX",$E1671="ANNULE"),$A1671&amp;"|"&amp;(COUNTIFS($A$2:$A1671,$A1671,$E$2:$E1671,"INFRUCTUEUX")+COUNTIFS($A$2:$A1671,$A1671,$E$2:$E1671,"ANNULE")),""))</f>
        <v/>
      </c>
    </row>
    <row r="1672">
      <c r="A1672">
        <f>IF(ISBLANK('ENGAGEMENTS 2026'!C1672),"",IF('ENGAGEMENTS 2026'!C1672="DTSI","DCT",'ENGAGEMENTS 2026'!C1672))</f>
        <v/>
      </c>
      <c r="B1672">
        <f>IF(ISBLANK('ENGAGEMENTS 2026'!C1672),"",'ENGAGEMENTS 2026'!D1672)</f>
        <v/>
      </c>
      <c r="C1672">
        <f>IF(ISBLANK('ENGAGEMENTS 2026'!C1672),"",'ENGAGEMENTS 2026'!E1672)</f>
        <v/>
      </c>
      <c r="D1672">
        <f>IF(ISBLANK('ENGAGEMENTS 2026'!C1672),"",'ENGAGEMENTS 2026'!G1672)</f>
        <v/>
      </c>
      <c r="E1672">
        <f>IF(ISBLANK('ENGAGEMENTS 2026'!C1672),"",'ENGAGEMENTS 2026'!I1672)</f>
        <v/>
      </c>
      <c r="F1672">
        <f>IF(ISBLANK('ENGAGEMENTS 2026'!C1672),"",'ENGAGEMENTS 2026'!J1672)</f>
        <v/>
      </c>
      <c r="G1672">
        <f>IF(ISBLANK('ENGAGEMENTS 2026'!C1672),"",'ENGAGEMENTS 2026'!M1672)</f>
        <v/>
      </c>
      <c r="H1672">
        <f>IF(ISBLANK('ENGAGEMENTS 2026'!C1672),"",'ENGAGEMENTS 2026'!AF1672)</f>
        <v/>
      </c>
      <c r="I1672">
        <f>IF(ISBLANK('ENGAGEMENTS 2026'!C1672),"",'ENGAGEMENTS 2026'!H1672)</f>
        <v/>
      </c>
      <c r="J1672" s="275">
        <f>IF(ISBLANK('ENGAGEMENTS 2026'!C1672),"",IF(AND(OR($E1672="INFRUCTUEUX",$E1672="ANNULE"),$C1672="AOO-M"),'ENGAGEMENTS 2026'!P1672,IF($H1672="EN COURS DE PREENGAGEMENT",'ENGAGEMENTS 2026'!O1672,IF($H1672="PREENGAGE",IF($E1672="ATTRIBUE",'ENGAGEMENTS 2026'!AE1672,'ENGAGEMENTS 2026'!O1672),'ENGAGEMENTS 2026'!AE1672))))</f>
        <v/>
      </c>
      <c r="K1672" s="604">
        <f>IF(ISBLANK('ENGAGEMENTS 2026'!W1672),"",'ENGAGEMENTS 2026'!W1672)</f>
        <v/>
      </c>
      <c r="L1672" s="276">
        <f>IF($K1672="","",TODAY()-$K1672)</f>
        <v/>
      </c>
      <c r="M1672">
        <f>IF($A1672="","",IF($H1672="ENGAGE","Engagé",IF(AND($H1672="NON ENGAGE",OR($I1672="INFRUCTUEUX",$I1672="ANNULE")),"Clôturé sans suite","En cours")))</f>
        <v/>
      </c>
      <c r="N1672">
        <f>IF(ISBLANK('ENGAGEMENTS 2026'!C1672),"",'ENGAGEMENTS 2026'!L1672)</f>
        <v/>
      </c>
      <c r="O1672">
        <f>IF(ISBLANK('ENGAGEMENTS 2026'!C1672),"",'ENGAGEMENTS 2026'!M1672)</f>
        <v/>
      </c>
      <c r="P1672">
        <f>IF(ISBLANK('ENGAGEMENTS 2026'!C1672),"",'ENGAGEMENTS 2026'!K1672)</f>
        <v/>
      </c>
      <c r="Q1672">
        <f>IF($A1672="","",IF(OR($E1672="INFRUCTUEUX",$E1672="ANNULE"),$A1672&amp;"|"&amp;(COUNTIFS($A$2:$A1672,$A1672,$E$2:$E1672,"INFRUCTUEUX")+COUNTIFS($A$2:$A1672,$A1672,$E$2:$E1672,"ANNULE")),""))</f>
        <v/>
      </c>
    </row>
    <row r="1673">
      <c r="A1673">
        <f>IF(ISBLANK('ENGAGEMENTS 2026'!C1673),"",IF('ENGAGEMENTS 2026'!C1673="DTSI","DCT",'ENGAGEMENTS 2026'!C1673))</f>
        <v/>
      </c>
      <c r="B1673">
        <f>IF(ISBLANK('ENGAGEMENTS 2026'!C1673),"",'ENGAGEMENTS 2026'!D1673)</f>
        <v/>
      </c>
      <c r="C1673">
        <f>IF(ISBLANK('ENGAGEMENTS 2026'!C1673),"",'ENGAGEMENTS 2026'!E1673)</f>
        <v/>
      </c>
      <c r="D1673">
        <f>IF(ISBLANK('ENGAGEMENTS 2026'!C1673),"",'ENGAGEMENTS 2026'!G1673)</f>
        <v/>
      </c>
      <c r="E1673">
        <f>IF(ISBLANK('ENGAGEMENTS 2026'!C1673),"",'ENGAGEMENTS 2026'!I1673)</f>
        <v/>
      </c>
      <c r="F1673">
        <f>IF(ISBLANK('ENGAGEMENTS 2026'!C1673),"",'ENGAGEMENTS 2026'!J1673)</f>
        <v/>
      </c>
      <c r="G1673">
        <f>IF(ISBLANK('ENGAGEMENTS 2026'!C1673),"",'ENGAGEMENTS 2026'!M1673)</f>
        <v/>
      </c>
      <c r="H1673">
        <f>IF(ISBLANK('ENGAGEMENTS 2026'!C1673),"",'ENGAGEMENTS 2026'!AF1673)</f>
        <v/>
      </c>
      <c r="I1673">
        <f>IF(ISBLANK('ENGAGEMENTS 2026'!C1673),"",'ENGAGEMENTS 2026'!H1673)</f>
        <v/>
      </c>
      <c r="J1673" s="275">
        <f>IF(ISBLANK('ENGAGEMENTS 2026'!C1673),"",IF(AND(OR($E1673="INFRUCTUEUX",$E1673="ANNULE"),$C1673="AOO-M"),'ENGAGEMENTS 2026'!P1673,IF($H1673="EN COURS DE PREENGAGEMENT",'ENGAGEMENTS 2026'!O1673,IF($H1673="PREENGAGE",IF($E1673="ATTRIBUE",'ENGAGEMENTS 2026'!AE1673,'ENGAGEMENTS 2026'!O1673),'ENGAGEMENTS 2026'!AE1673))))</f>
        <v/>
      </c>
      <c r="K1673" s="604">
        <f>IF(ISBLANK('ENGAGEMENTS 2026'!W1673),"",'ENGAGEMENTS 2026'!W1673)</f>
        <v/>
      </c>
      <c r="L1673" s="276">
        <f>IF($K1673="","",TODAY()-$K1673)</f>
        <v/>
      </c>
      <c r="M1673">
        <f>IF($A1673="","",IF($H1673="ENGAGE","Engagé",IF(AND($H1673="NON ENGAGE",OR($I1673="INFRUCTUEUX",$I1673="ANNULE")),"Clôturé sans suite","En cours")))</f>
        <v/>
      </c>
      <c r="N1673">
        <f>IF(ISBLANK('ENGAGEMENTS 2026'!C1673),"",'ENGAGEMENTS 2026'!L1673)</f>
        <v/>
      </c>
      <c r="O1673">
        <f>IF(ISBLANK('ENGAGEMENTS 2026'!C1673),"",'ENGAGEMENTS 2026'!M1673)</f>
        <v/>
      </c>
      <c r="P1673">
        <f>IF(ISBLANK('ENGAGEMENTS 2026'!C1673),"",'ENGAGEMENTS 2026'!K1673)</f>
        <v/>
      </c>
      <c r="Q1673">
        <f>IF($A1673="","",IF(OR($E1673="INFRUCTUEUX",$E1673="ANNULE"),$A1673&amp;"|"&amp;(COUNTIFS($A$2:$A1673,$A1673,$E$2:$E1673,"INFRUCTUEUX")+COUNTIFS($A$2:$A1673,$A1673,$E$2:$E1673,"ANNULE")),""))</f>
        <v/>
      </c>
    </row>
    <row r="1674">
      <c r="A1674">
        <f>IF(ISBLANK('ENGAGEMENTS 2026'!C1674),"",IF('ENGAGEMENTS 2026'!C1674="DTSI","DCT",'ENGAGEMENTS 2026'!C1674))</f>
        <v/>
      </c>
      <c r="B1674">
        <f>IF(ISBLANK('ENGAGEMENTS 2026'!C1674),"",'ENGAGEMENTS 2026'!D1674)</f>
        <v/>
      </c>
      <c r="C1674">
        <f>IF(ISBLANK('ENGAGEMENTS 2026'!C1674),"",'ENGAGEMENTS 2026'!E1674)</f>
        <v/>
      </c>
      <c r="D1674">
        <f>IF(ISBLANK('ENGAGEMENTS 2026'!C1674),"",'ENGAGEMENTS 2026'!G1674)</f>
        <v/>
      </c>
      <c r="E1674">
        <f>IF(ISBLANK('ENGAGEMENTS 2026'!C1674),"",'ENGAGEMENTS 2026'!I1674)</f>
        <v/>
      </c>
      <c r="F1674">
        <f>IF(ISBLANK('ENGAGEMENTS 2026'!C1674),"",'ENGAGEMENTS 2026'!J1674)</f>
        <v/>
      </c>
      <c r="G1674">
        <f>IF(ISBLANK('ENGAGEMENTS 2026'!C1674),"",'ENGAGEMENTS 2026'!M1674)</f>
        <v/>
      </c>
      <c r="H1674">
        <f>IF(ISBLANK('ENGAGEMENTS 2026'!C1674),"",'ENGAGEMENTS 2026'!AF1674)</f>
        <v/>
      </c>
      <c r="I1674">
        <f>IF(ISBLANK('ENGAGEMENTS 2026'!C1674),"",'ENGAGEMENTS 2026'!H1674)</f>
        <v/>
      </c>
      <c r="J1674" s="275">
        <f>IF(ISBLANK('ENGAGEMENTS 2026'!C1674),"",IF(AND(OR($E1674="INFRUCTUEUX",$E1674="ANNULE"),$C1674="AOO-M"),'ENGAGEMENTS 2026'!P1674,IF($H1674="EN COURS DE PREENGAGEMENT",'ENGAGEMENTS 2026'!O1674,IF($H1674="PREENGAGE",IF($E1674="ATTRIBUE",'ENGAGEMENTS 2026'!AE1674,'ENGAGEMENTS 2026'!O1674),'ENGAGEMENTS 2026'!AE1674))))</f>
        <v/>
      </c>
      <c r="K1674" s="604">
        <f>IF(ISBLANK('ENGAGEMENTS 2026'!W1674),"",'ENGAGEMENTS 2026'!W1674)</f>
        <v/>
      </c>
      <c r="L1674" s="276">
        <f>IF($K1674="","",TODAY()-$K1674)</f>
        <v/>
      </c>
      <c r="M1674">
        <f>IF($A1674="","",IF($H1674="ENGAGE","Engagé",IF(AND($H1674="NON ENGAGE",OR($I1674="INFRUCTUEUX",$I1674="ANNULE")),"Clôturé sans suite","En cours")))</f>
        <v/>
      </c>
      <c r="N1674">
        <f>IF(ISBLANK('ENGAGEMENTS 2026'!C1674),"",'ENGAGEMENTS 2026'!L1674)</f>
        <v/>
      </c>
      <c r="O1674">
        <f>IF(ISBLANK('ENGAGEMENTS 2026'!C1674),"",'ENGAGEMENTS 2026'!M1674)</f>
        <v/>
      </c>
      <c r="P1674">
        <f>IF(ISBLANK('ENGAGEMENTS 2026'!C1674),"",'ENGAGEMENTS 2026'!K1674)</f>
        <v/>
      </c>
      <c r="Q1674">
        <f>IF($A1674="","",IF(OR($E1674="INFRUCTUEUX",$E1674="ANNULE"),$A1674&amp;"|"&amp;(COUNTIFS($A$2:$A1674,$A1674,$E$2:$E1674,"INFRUCTUEUX")+COUNTIFS($A$2:$A1674,$A1674,$E$2:$E1674,"ANNULE")),""))</f>
        <v/>
      </c>
    </row>
    <row r="1675">
      <c r="A1675">
        <f>IF(ISBLANK('ENGAGEMENTS 2026'!C1675),"",IF('ENGAGEMENTS 2026'!C1675="DTSI","DCT",'ENGAGEMENTS 2026'!C1675))</f>
        <v/>
      </c>
      <c r="B1675">
        <f>IF(ISBLANK('ENGAGEMENTS 2026'!C1675),"",'ENGAGEMENTS 2026'!D1675)</f>
        <v/>
      </c>
      <c r="C1675">
        <f>IF(ISBLANK('ENGAGEMENTS 2026'!C1675),"",'ENGAGEMENTS 2026'!E1675)</f>
        <v/>
      </c>
      <c r="D1675">
        <f>IF(ISBLANK('ENGAGEMENTS 2026'!C1675),"",'ENGAGEMENTS 2026'!G1675)</f>
        <v/>
      </c>
      <c r="E1675">
        <f>IF(ISBLANK('ENGAGEMENTS 2026'!C1675),"",'ENGAGEMENTS 2026'!I1675)</f>
        <v/>
      </c>
      <c r="F1675">
        <f>IF(ISBLANK('ENGAGEMENTS 2026'!C1675),"",'ENGAGEMENTS 2026'!J1675)</f>
        <v/>
      </c>
      <c r="G1675">
        <f>IF(ISBLANK('ENGAGEMENTS 2026'!C1675),"",'ENGAGEMENTS 2026'!M1675)</f>
        <v/>
      </c>
      <c r="H1675">
        <f>IF(ISBLANK('ENGAGEMENTS 2026'!C1675),"",'ENGAGEMENTS 2026'!AF1675)</f>
        <v/>
      </c>
      <c r="I1675">
        <f>IF(ISBLANK('ENGAGEMENTS 2026'!C1675),"",'ENGAGEMENTS 2026'!H1675)</f>
        <v/>
      </c>
      <c r="J1675" s="275">
        <f>IF(ISBLANK('ENGAGEMENTS 2026'!C1675),"",IF(AND(OR($E1675="INFRUCTUEUX",$E1675="ANNULE"),$C1675="AOO-M"),'ENGAGEMENTS 2026'!P1675,IF($H1675="EN COURS DE PREENGAGEMENT",'ENGAGEMENTS 2026'!O1675,IF($H1675="PREENGAGE",IF($E1675="ATTRIBUE",'ENGAGEMENTS 2026'!AE1675,'ENGAGEMENTS 2026'!O1675),'ENGAGEMENTS 2026'!AE1675))))</f>
        <v/>
      </c>
      <c r="K1675" s="604">
        <f>IF(ISBLANK('ENGAGEMENTS 2026'!W1675),"",'ENGAGEMENTS 2026'!W1675)</f>
        <v/>
      </c>
      <c r="L1675" s="276">
        <f>IF($K1675="","",TODAY()-$K1675)</f>
        <v/>
      </c>
      <c r="M1675">
        <f>IF($A1675="","",IF($H1675="ENGAGE","Engagé",IF(AND($H1675="NON ENGAGE",OR($I1675="INFRUCTUEUX",$I1675="ANNULE")),"Clôturé sans suite","En cours")))</f>
        <v/>
      </c>
      <c r="N1675">
        <f>IF(ISBLANK('ENGAGEMENTS 2026'!C1675),"",'ENGAGEMENTS 2026'!L1675)</f>
        <v/>
      </c>
      <c r="O1675">
        <f>IF(ISBLANK('ENGAGEMENTS 2026'!C1675),"",'ENGAGEMENTS 2026'!M1675)</f>
        <v/>
      </c>
      <c r="P1675">
        <f>IF(ISBLANK('ENGAGEMENTS 2026'!C1675),"",'ENGAGEMENTS 2026'!K1675)</f>
        <v/>
      </c>
      <c r="Q1675">
        <f>IF($A1675="","",IF(OR($E1675="INFRUCTUEUX",$E1675="ANNULE"),$A1675&amp;"|"&amp;(COUNTIFS($A$2:$A1675,$A1675,$E$2:$E1675,"INFRUCTUEUX")+COUNTIFS($A$2:$A1675,$A1675,$E$2:$E1675,"ANNULE")),""))</f>
        <v/>
      </c>
    </row>
    <row r="1676">
      <c r="A1676">
        <f>IF(ISBLANK('ENGAGEMENTS 2026'!C1676),"",IF('ENGAGEMENTS 2026'!C1676="DTSI","DCT",'ENGAGEMENTS 2026'!C1676))</f>
        <v/>
      </c>
      <c r="B1676">
        <f>IF(ISBLANK('ENGAGEMENTS 2026'!C1676),"",'ENGAGEMENTS 2026'!D1676)</f>
        <v/>
      </c>
      <c r="C1676">
        <f>IF(ISBLANK('ENGAGEMENTS 2026'!C1676),"",'ENGAGEMENTS 2026'!E1676)</f>
        <v/>
      </c>
      <c r="D1676">
        <f>IF(ISBLANK('ENGAGEMENTS 2026'!C1676),"",'ENGAGEMENTS 2026'!G1676)</f>
        <v/>
      </c>
      <c r="E1676">
        <f>IF(ISBLANK('ENGAGEMENTS 2026'!C1676),"",'ENGAGEMENTS 2026'!I1676)</f>
        <v/>
      </c>
      <c r="F1676">
        <f>IF(ISBLANK('ENGAGEMENTS 2026'!C1676),"",'ENGAGEMENTS 2026'!J1676)</f>
        <v/>
      </c>
      <c r="G1676">
        <f>IF(ISBLANK('ENGAGEMENTS 2026'!C1676),"",'ENGAGEMENTS 2026'!M1676)</f>
        <v/>
      </c>
      <c r="H1676">
        <f>IF(ISBLANK('ENGAGEMENTS 2026'!C1676),"",'ENGAGEMENTS 2026'!AF1676)</f>
        <v/>
      </c>
      <c r="I1676">
        <f>IF(ISBLANK('ENGAGEMENTS 2026'!C1676),"",'ENGAGEMENTS 2026'!H1676)</f>
        <v/>
      </c>
      <c r="J1676" s="275">
        <f>IF(ISBLANK('ENGAGEMENTS 2026'!C1676),"",IF(AND(OR($E1676="INFRUCTUEUX",$E1676="ANNULE"),$C1676="AOO-M"),'ENGAGEMENTS 2026'!P1676,IF($H1676="EN COURS DE PREENGAGEMENT",'ENGAGEMENTS 2026'!O1676,IF($H1676="PREENGAGE",IF($E1676="ATTRIBUE",'ENGAGEMENTS 2026'!AE1676,'ENGAGEMENTS 2026'!O1676),'ENGAGEMENTS 2026'!AE1676))))</f>
        <v/>
      </c>
      <c r="K1676" s="604">
        <f>IF(ISBLANK('ENGAGEMENTS 2026'!W1676),"",'ENGAGEMENTS 2026'!W1676)</f>
        <v/>
      </c>
      <c r="L1676" s="276">
        <f>IF($K1676="","",TODAY()-$K1676)</f>
        <v/>
      </c>
      <c r="M1676">
        <f>IF($A1676="","",IF($H1676="ENGAGE","Engagé",IF(AND($H1676="NON ENGAGE",OR($I1676="INFRUCTUEUX",$I1676="ANNULE")),"Clôturé sans suite","En cours")))</f>
        <v/>
      </c>
      <c r="N1676">
        <f>IF(ISBLANK('ENGAGEMENTS 2026'!C1676),"",'ENGAGEMENTS 2026'!L1676)</f>
        <v/>
      </c>
      <c r="O1676">
        <f>IF(ISBLANK('ENGAGEMENTS 2026'!C1676),"",'ENGAGEMENTS 2026'!M1676)</f>
        <v/>
      </c>
      <c r="P1676">
        <f>IF(ISBLANK('ENGAGEMENTS 2026'!C1676),"",'ENGAGEMENTS 2026'!K1676)</f>
        <v/>
      </c>
      <c r="Q1676">
        <f>IF($A1676="","",IF(OR($E1676="INFRUCTUEUX",$E1676="ANNULE"),$A1676&amp;"|"&amp;(COUNTIFS($A$2:$A1676,$A1676,$E$2:$E1676,"INFRUCTUEUX")+COUNTIFS($A$2:$A1676,$A1676,$E$2:$E1676,"ANNULE")),""))</f>
        <v/>
      </c>
    </row>
    <row r="1677">
      <c r="A1677">
        <f>IF(ISBLANK('ENGAGEMENTS 2026'!C1677),"",IF('ENGAGEMENTS 2026'!C1677="DTSI","DCT",'ENGAGEMENTS 2026'!C1677))</f>
        <v/>
      </c>
      <c r="B1677">
        <f>IF(ISBLANK('ENGAGEMENTS 2026'!C1677),"",'ENGAGEMENTS 2026'!D1677)</f>
        <v/>
      </c>
      <c r="C1677">
        <f>IF(ISBLANK('ENGAGEMENTS 2026'!C1677),"",'ENGAGEMENTS 2026'!E1677)</f>
        <v/>
      </c>
      <c r="D1677">
        <f>IF(ISBLANK('ENGAGEMENTS 2026'!C1677),"",'ENGAGEMENTS 2026'!G1677)</f>
        <v/>
      </c>
      <c r="E1677">
        <f>IF(ISBLANK('ENGAGEMENTS 2026'!C1677),"",'ENGAGEMENTS 2026'!I1677)</f>
        <v/>
      </c>
      <c r="F1677">
        <f>IF(ISBLANK('ENGAGEMENTS 2026'!C1677),"",'ENGAGEMENTS 2026'!J1677)</f>
        <v/>
      </c>
      <c r="G1677">
        <f>IF(ISBLANK('ENGAGEMENTS 2026'!C1677),"",'ENGAGEMENTS 2026'!M1677)</f>
        <v/>
      </c>
      <c r="H1677">
        <f>IF(ISBLANK('ENGAGEMENTS 2026'!C1677),"",'ENGAGEMENTS 2026'!AF1677)</f>
        <v/>
      </c>
      <c r="I1677">
        <f>IF(ISBLANK('ENGAGEMENTS 2026'!C1677),"",'ENGAGEMENTS 2026'!H1677)</f>
        <v/>
      </c>
      <c r="J1677" s="275">
        <f>IF(ISBLANK('ENGAGEMENTS 2026'!C1677),"",IF(AND(OR($E1677="INFRUCTUEUX",$E1677="ANNULE"),$C1677="AOO-M"),'ENGAGEMENTS 2026'!P1677,IF($H1677="EN COURS DE PREENGAGEMENT",'ENGAGEMENTS 2026'!O1677,IF($H1677="PREENGAGE",IF($E1677="ATTRIBUE",'ENGAGEMENTS 2026'!AE1677,'ENGAGEMENTS 2026'!O1677),'ENGAGEMENTS 2026'!AE1677))))</f>
        <v/>
      </c>
      <c r="K1677" s="604">
        <f>IF(ISBLANK('ENGAGEMENTS 2026'!W1677),"",'ENGAGEMENTS 2026'!W1677)</f>
        <v/>
      </c>
      <c r="L1677" s="276">
        <f>IF($K1677="","",TODAY()-$K1677)</f>
        <v/>
      </c>
      <c r="M1677">
        <f>IF($A1677="","",IF($H1677="ENGAGE","Engagé",IF(AND($H1677="NON ENGAGE",OR($I1677="INFRUCTUEUX",$I1677="ANNULE")),"Clôturé sans suite","En cours")))</f>
        <v/>
      </c>
      <c r="N1677">
        <f>IF(ISBLANK('ENGAGEMENTS 2026'!C1677),"",'ENGAGEMENTS 2026'!L1677)</f>
        <v/>
      </c>
      <c r="O1677">
        <f>IF(ISBLANK('ENGAGEMENTS 2026'!C1677),"",'ENGAGEMENTS 2026'!M1677)</f>
        <v/>
      </c>
      <c r="P1677">
        <f>IF(ISBLANK('ENGAGEMENTS 2026'!C1677),"",'ENGAGEMENTS 2026'!K1677)</f>
        <v/>
      </c>
      <c r="Q1677">
        <f>IF($A1677="","",IF(OR($E1677="INFRUCTUEUX",$E1677="ANNULE"),$A1677&amp;"|"&amp;(COUNTIFS($A$2:$A1677,$A1677,$E$2:$E1677,"INFRUCTUEUX")+COUNTIFS($A$2:$A1677,$A1677,$E$2:$E1677,"ANNULE")),""))</f>
        <v/>
      </c>
    </row>
    <row r="1678">
      <c r="A1678">
        <f>IF(ISBLANK('ENGAGEMENTS 2026'!C1678),"",IF('ENGAGEMENTS 2026'!C1678="DTSI","DCT",'ENGAGEMENTS 2026'!C1678))</f>
        <v/>
      </c>
      <c r="B1678">
        <f>IF(ISBLANK('ENGAGEMENTS 2026'!C1678),"",'ENGAGEMENTS 2026'!D1678)</f>
        <v/>
      </c>
      <c r="C1678">
        <f>IF(ISBLANK('ENGAGEMENTS 2026'!C1678),"",'ENGAGEMENTS 2026'!E1678)</f>
        <v/>
      </c>
      <c r="D1678">
        <f>IF(ISBLANK('ENGAGEMENTS 2026'!C1678),"",'ENGAGEMENTS 2026'!G1678)</f>
        <v/>
      </c>
      <c r="E1678">
        <f>IF(ISBLANK('ENGAGEMENTS 2026'!C1678),"",'ENGAGEMENTS 2026'!I1678)</f>
        <v/>
      </c>
      <c r="F1678">
        <f>IF(ISBLANK('ENGAGEMENTS 2026'!C1678),"",'ENGAGEMENTS 2026'!J1678)</f>
        <v/>
      </c>
      <c r="G1678">
        <f>IF(ISBLANK('ENGAGEMENTS 2026'!C1678),"",'ENGAGEMENTS 2026'!M1678)</f>
        <v/>
      </c>
      <c r="H1678">
        <f>IF(ISBLANK('ENGAGEMENTS 2026'!C1678),"",'ENGAGEMENTS 2026'!AF1678)</f>
        <v/>
      </c>
      <c r="I1678">
        <f>IF(ISBLANK('ENGAGEMENTS 2026'!C1678),"",'ENGAGEMENTS 2026'!H1678)</f>
        <v/>
      </c>
      <c r="J1678" s="275">
        <f>IF(ISBLANK('ENGAGEMENTS 2026'!C1678),"",IF(AND(OR($E1678="INFRUCTUEUX",$E1678="ANNULE"),$C1678="AOO-M"),'ENGAGEMENTS 2026'!P1678,IF($H1678="EN COURS DE PREENGAGEMENT",'ENGAGEMENTS 2026'!O1678,IF($H1678="PREENGAGE",IF($E1678="ATTRIBUE",'ENGAGEMENTS 2026'!AE1678,'ENGAGEMENTS 2026'!O1678),'ENGAGEMENTS 2026'!AE1678))))</f>
        <v/>
      </c>
      <c r="K1678" s="604">
        <f>IF(ISBLANK('ENGAGEMENTS 2026'!W1678),"",'ENGAGEMENTS 2026'!W1678)</f>
        <v/>
      </c>
      <c r="L1678" s="276">
        <f>IF($K1678="","",TODAY()-$K1678)</f>
        <v/>
      </c>
      <c r="M1678">
        <f>IF($A1678="","",IF($H1678="ENGAGE","Engagé",IF(AND($H1678="NON ENGAGE",OR($I1678="INFRUCTUEUX",$I1678="ANNULE")),"Clôturé sans suite","En cours")))</f>
        <v/>
      </c>
      <c r="N1678">
        <f>IF(ISBLANK('ENGAGEMENTS 2026'!C1678),"",'ENGAGEMENTS 2026'!L1678)</f>
        <v/>
      </c>
      <c r="O1678">
        <f>IF(ISBLANK('ENGAGEMENTS 2026'!C1678),"",'ENGAGEMENTS 2026'!M1678)</f>
        <v/>
      </c>
      <c r="P1678">
        <f>IF(ISBLANK('ENGAGEMENTS 2026'!C1678),"",'ENGAGEMENTS 2026'!K1678)</f>
        <v/>
      </c>
      <c r="Q1678">
        <f>IF($A1678="","",IF(OR($E1678="INFRUCTUEUX",$E1678="ANNULE"),$A1678&amp;"|"&amp;(COUNTIFS($A$2:$A1678,$A1678,$E$2:$E1678,"INFRUCTUEUX")+COUNTIFS($A$2:$A1678,$A1678,$E$2:$E1678,"ANNULE")),""))</f>
        <v/>
      </c>
    </row>
    <row r="1679">
      <c r="A1679">
        <f>IF(ISBLANK('ENGAGEMENTS 2026'!C1679),"",IF('ENGAGEMENTS 2026'!C1679="DTSI","DCT",'ENGAGEMENTS 2026'!C1679))</f>
        <v/>
      </c>
      <c r="B1679">
        <f>IF(ISBLANK('ENGAGEMENTS 2026'!C1679),"",'ENGAGEMENTS 2026'!D1679)</f>
        <v/>
      </c>
      <c r="C1679">
        <f>IF(ISBLANK('ENGAGEMENTS 2026'!C1679),"",'ENGAGEMENTS 2026'!E1679)</f>
        <v/>
      </c>
      <c r="D1679">
        <f>IF(ISBLANK('ENGAGEMENTS 2026'!C1679),"",'ENGAGEMENTS 2026'!G1679)</f>
        <v/>
      </c>
      <c r="E1679">
        <f>IF(ISBLANK('ENGAGEMENTS 2026'!C1679),"",'ENGAGEMENTS 2026'!I1679)</f>
        <v/>
      </c>
      <c r="F1679">
        <f>IF(ISBLANK('ENGAGEMENTS 2026'!C1679),"",'ENGAGEMENTS 2026'!J1679)</f>
        <v/>
      </c>
      <c r="G1679">
        <f>IF(ISBLANK('ENGAGEMENTS 2026'!C1679),"",'ENGAGEMENTS 2026'!M1679)</f>
        <v/>
      </c>
      <c r="H1679">
        <f>IF(ISBLANK('ENGAGEMENTS 2026'!C1679),"",'ENGAGEMENTS 2026'!AF1679)</f>
        <v/>
      </c>
      <c r="I1679">
        <f>IF(ISBLANK('ENGAGEMENTS 2026'!C1679),"",'ENGAGEMENTS 2026'!H1679)</f>
        <v/>
      </c>
      <c r="J1679" s="275">
        <f>IF(ISBLANK('ENGAGEMENTS 2026'!C1679),"",IF(AND(OR($E1679="INFRUCTUEUX",$E1679="ANNULE"),$C1679="AOO-M"),'ENGAGEMENTS 2026'!P1679,IF($H1679="EN COURS DE PREENGAGEMENT",'ENGAGEMENTS 2026'!O1679,IF($H1679="PREENGAGE",IF($E1679="ATTRIBUE",'ENGAGEMENTS 2026'!AE1679,'ENGAGEMENTS 2026'!O1679),'ENGAGEMENTS 2026'!AE1679))))</f>
        <v/>
      </c>
      <c r="K1679" s="604">
        <f>IF(ISBLANK('ENGAGEMENTS 2026'!W1679),"",'ENGAGEMENTS 2026'!W1679)</f>
        <v/>
      </c>
      <c r="L1679" s="276">
        <f>IF($K1679="","",TODAY()-$K1679)</f>
        <v/>
      </c>
      <c r="M1679">
        <f>IF($A1679="","",IF($H1679="ENGAGE","Engagé",IF(AND($H1679="NON ENGAGE",OR($I1679="INFRUCTUEUX",$I1679="ANNULE")),"Clôturé sans suite","En cours")))</f>
        <v/>
      </c>
      <c r="N1679">
        <f>IF(ISBLANK('ENGAGEMENTS 2026'!C1679),"",'ENGAGEMENTS 2026'!L1679)</f>
        <v/>
      </c>
      <c r="O1679">
        <f>IF(ISBLANK('ENGAGEMENTS 2026'!C1679),"",'ENGAGEMENTS 2026'!M1679)</f>
        <v/>
      </c>
      <c r="P1679">
        <f>IF(ISBLANK('ENGAGEMENTS 2026'!C1679),"",'ENGAGEMENTS 2026'!K1679)</f>
        <v/>
      </c>
      <c r="Q1679">
        <f>IF($A1679="","",IF(OR($E1679="INFRUCTUEUX",$E1679="ANNULE"),$A1679&amp;"|"&amp;(COUNTIFS($A$2:$A1679,$A1679,$E$2:$E1679,"INFRUCTUEUX")+COUNTIFS($A$2:$A1679,$A1679,$E$2:$E1679,"ANNULE")),""))</f>
        <v/>
      </c>
    </row>
    <row r="1680">
      <c r="A1680">
        <f>IF(ISBLANK('ENGAGEMENTS 2026'!C1680),"",IF('ENGAGEMENTS 2026'!C1680="DTSI","DCT",'ENGAGEMENTS 2026'!C1680))</f>
        <v/>
      </c>
      <c r="B1680">
        <f>IF(ISBLANK('ENGAGEMENTS 2026'!C1680),"",'ENGAGEMENTS 2026'!D1680)</f>
        <v/>
      </c>
      <c r="C1680">
        <f>IF(ISBLANK('ENGAGEMENTS 2026'!C1680),"",'ENGAGEMENTS 2026'!E1680)</f>
        <v/>
      </c>
      <c r="D1680">
        <f>IF(ISBLANK('ENGAGEMENTS 2026'!C1680),"",'ENGAGEMENTS 2026'!G1680)</f>
        <v/>
      </c>
      <c r="E1680">
        <f>IF(ISBLANK('ENGAGEMENTS 2026'!C1680),"",'ENGAGEMENTS 2026'!I1680)</f>
        <v/>
      </c>
      <c r="F1680">
        <f>IF(ISBLANK('ENGAGEMENTS 2026'!C1680),"",'ENGAGEMENTS 2026'!J1680)</f>
        <v/>
      </c>
      <c r="G1680">
        <f>IF(ISBLANK('ENGAGEMENTS 2026'!C1680),"",'ENGAGEMENTS 2026'!M1680)</f>
        <v/>
      </c>
      <c r="H1680">
        <f>IF(ISBLANK('ENGAGEMENTS 2026'!C1680),"",'ENGAGEMENTS 2026'!AF1680)</f>
        <v/>
      </c>
      <c r="I1680">
        <f>IF(ISBLANK('ENGAGEMENTS 2026'!C1680),"",'ENGAGEMENTS 2026'!H1680)</f>
        <v/>
      </c>
      <c r="J1680" s="275">
        <f>IF(ISBLANK('ENGAGEMENTS 2026'!C1680),"",IF(AND(OR($E1680="INFRUCTUEUX",$E1680="ANNULE"),$C1680="AOO-M"),'ENGAGEMENTS 2026'!P1680,IF($H1680="EN COURS DE PREENGAGEMENT",'ENGAGEMENTS 2026'!O1680,IF($H1680="PREENGAGE",IF($E1680="ATTRIBUE",'ENGAGEMENTS 2026'!AE1680,'ENGAGEMENTS 2026'!O1680),'ENGAGEMENTS 2026'!AE1680))))</f>
        <v/>
      </c>
      <c r="K1680" s="604">
        <f>IF(ISBLANK('ENGAGEMENTS 2026'!W1680),"",'ENGAGEMENTS 2026'!W1680)</f>
        <v/>
      </c>
      <c r="L1680" s="276">
        <f>IF($K1680="","",TODAY()-$K1680)</f>
        <v/>
      </c>
      <c r="M1680">
        <f>IF($A1680="","",IF($H1680="ENGAGE","Engagé",IF(AND($H1680="NON ENGAGE",OR($I1680="INFRUCTUEUX",$I1680="ANNULE")),"Clôturé sans suite","En cours")))</f>
        <v/>
      </c>
      <c r="N1680">
        <f>IF(ISBLANK('ENGAGEMENTS 2026'!C1680),"",'ENGAGEMENTS 2026'!L1680)</f>
        <v/>
      </c>
      <c r="O1680">
        <f>IF(ISBLANK('ENGAGEMENTS 2026'!C1680),"",'ENGAGEMENTS 2026'!M1680)</f>
        <v/>
      </c>
      <c r="P1680">
        <f>IF(ISBLANK('ENGAGEMENTS 2026'!C1680),"",'ENGAGEMENTS 2026'!K1680)</f>
        <v/>
      </c>
      <c r="Q1680">
        <f>IF($A1680="","",IF(OR($E1680="INFRUCTUEUX",$E1680="ANNULE"),$A1680&amp;"|"&amp;(COUNTIFS($A$2:$A1680,$A1680,$E$2:$E1680,"INFRUCTUEUX")+COUNTIFS($A$2:$A1680,$A1680,$E$2:$E1680,"ANNULE")),""))</f>
        <v/>
      </c>
    </row>
    <row r="1681">
      <c r="A1681">
        <f>IF(ISBLANK('ENGAGEMENTS 2026'!C1681),"",IF('ENGAGEMENTS 2026'!C1681="DTSI","DCT",'ENGAGEMENTS 2026'!C1681))</f>
        <v/>
      </c>
      <c r="B1681">
        <f>IF(ISBLANK('ENGAGEMENTS 2026'!C1681),"",'ENGAGEMENTS 2026'!D1681)</f>
        <v/>
      </c>
      <c r="C1681">
        <f>IF(ISBLANK('ENGAGEMENTS 2026'!C1681),"",'ENGAGEMENTS 2026'!E1681)</f>
        <v/>
      </c>
      <c r="D1681">
        <f>IF(ISBLANK('ENGAGEMENTS 2026'!C1681),"",'ENGAGEMENTS 2026'!G1681)</f>
        <v/>
      </c>
      <c r="E1681">
        <f>IF(ISBLANK('ENGAGEMENTS 2026'!C1681),"",'ENGAGEMENTS 2026'!I1681)</f>
        <v/>
      </c>
      <c r="F1681">
        <f>IF(ISBLANK('ENGAGEMENTS 2026'!C1681),"",'ENGAGEMENTS 2026'!J1681)</f>
        <v/>
      </c>
      <c r="G1681">
        <f>IF(ISBLANK('ENGAGEMENTS 2026'!C1681),"",'ENGAGEMENTS 2026'!M1681)</f>
        <v/>
      </c>
      <c r="H1681">
        <f>IF(ISBLANK('ENGAGEMENTS 2026'!C1681),"",'ENGAGEMENTS 2026'!AF1681)</f>
        <v/>
      </c>
      <c r="I1681">
        <f>IF(ISBLANK('ENGAGEMENTS 2026'!C1681),"",'ENGAGEMENTS 2026'!H1681)</f>
        <v/>
      </c>
      <c r="J1681" s="275">
        <f>IF(ISBLANK('ENGAGEMENTS 2026'!C1681),"",IF(AND(OR($E1681="INFRUCTUEUX",$E1681="ANNULE"),$C1681="AOO-M"),'ENGAGEMENTS 2026'!P1681,IF($H1681="EN COURS DE PREENGAGEMENT",'ENGAGEMENTS 2026'!O1681,IF($H1681="PREENGAGE",IF($E1681="ATTRIBUE",'ENGAGEMENTS 2026'!AE1681,'ENGAGEMENTS 2026'!O1681),'ENGAGEMENTS 2026'!AE1681))))</f>
        <v/>
      </c>
      <c r="K1681" s="604">
        <f>IF(ISBLANK('ENGAGEMENTS 2026'!W1681),"",'ENGAGEMENTS 2026'!W1681)</f>
        <v/>
      </c>
      <c r="L1681" s="276">
        <f>IF($K1681="","",TODAY()-$K1681)</f>
        <v/>
      </c>
      <c r="M1681">
        <f>IF($A1681="","",IF($H1681="ENGAGE","Engagé",IF(AND($H1681="NON ENGAGE",OR($I1681="INFRUCTUEUX",$I1681="ANNULE")),"Clôturé sans suite","En cours")))</f>
        <v/>
      </c>
      <c r="N1681">
        <f>IF(ISBLANK('ENGAGEMENTS 2026'!C1681),"",'ENGAGEMENTS 2026'!L1681)</f>
        <v/>
      </c>
      <c r="O1681">
        <f>IF(ISBLANK('ENGAGEMENTS 2026'!C1681),"",'ENGAGEMENTS 2026'!M1681)</f>
        <v/>
      </c>
      <c r="P1681">
        <f>IF(ISBLANK('ENGAGEMENTS 2026'!C1681),"",'ENGAGEMENTS 2026'!K1681)</f>
        <v/>
      </c>
      <c r="Q1681">
        <f>IF($A1681="","",IF(OR($E1681="INFRUCTUEUX",$E1681="ANNULE"),$A1681&amp;"|"&amp;(COUNTIFS($A$2:$A1681,$A1681,$E$2:$E1681,"INFRUCTUEUX")+COUNTIFS($A$2:$A1681,$A1681,$E$2:$E1681,"ANNULE")),""))</f>
        <v/>
      </c>
    </row>
    <row r="1682">
      <c r="A1682">
        <f>IF(ISBLANK('ENGAGEMENTS 2026'!C1682),"",IF('ENGAGEMENTS 2026'!C1682="DTSI","DCT",'ENGAGEMENTS 2026'!C1682))</f>
        <v/>
      </c>
      <c r="B1682">
        <f>IF(ISBLANK('ENGAGEMENTS 2026'!C1682),"",'ENGAGEMENTS 2026'!D1682)</f>
        <v/>
      </c>
      <c r="C1682">
        <f>IF(ISBLANK('ENGAGEMENTS 2026'!C1682),"",'ENGAGEMENTS 2026'!E1682)</f>
        <v/>
      </c>
      <c r="D1682">
        <f>IF(ISBLANK('ENGAGEMENTS 2026'!C1682),"",'ENGAGEMENTS 2026'!G1682)</f>
        <v/>
      </c>
      <c r="E1682">
        <f>IF(ISBLANK('ENGAGEMENTS 2026'!C1682),"",'ENGAGEMENTS 2026'!I1682)</f>
        <v/>
      </c>
      <c r="F1682">
        <f>IF(ISBLANK('ENGAGEMENTS 2026'!C1682),"",'ENGAGEMENTS 2026'!J1682)</f>
        <v/>
      </c>
      <c r="G1682">
        <f>IF(ISBLANK('ENGAGEMENTS 2026'!C1682),"",'ENGAGEMENTS 2026'!M1682)</f>
        <v/>
      </c>
      <c r="H1682">
        <f>IF(ISBLANK('ENGAGEMENTS 2026'!C1682),"",'ENGAGEMENTS 2026'!AF1682)</f>
        <v/>
      </c>
      <c r="I1682">
        <f>IF(ISBLANK('ENGAGEMENTS 2026'!C1682),"",'ENGAGEMENTS 2026'!H1682)</f>
        <v/>
      </c>
      <c r="J1682" s="275">
        <f>IF(ISBLANK('ENGAGEMENTS 2026'!C1682),"",IF(AND(OR($E1682="INFRUCTUEUX",$E1682="ANNULE"),$C1682="AOO-M"),'ENGAGEMENTS 2026'!P1682,IF($H1682="EN COURS DE PREENGAGEMENT",'ENGAGEMENTS 2026'!O1682,IF($H1682="PREENGAGE",IF($E1682="ATTRIBUE",'ENGAGEMENTS 2026'!AE1682,'ENGAGEMENTS 2026'!O1682),'ENGAGEMENTS 2026'!AE1682))))</f>
        <v/>
      </c>
      <c r="K1682" s="604">
        <f>IF(ISBLANK('ENGAGEMENTS 2026'!W1682),"",'ENGAGEMENTS 2026'!W1682)</f>
        <v/>
      </c>
      <c r="L1682" s="276">
        <f>IF($K1682="","",TODAY()-$K1682)</f>
        <v/>
      </c>
      <c r="M1682">
        <f>IF($A1682="","",IF($H1682="ENGAGE","Engagé",IF(AND($H1682="NON ENGAGE",OR($I1682="INFRUCTUEUX",$I1682="ANNULE")),"Clôturé sans suite","En cours")))</f>
        <v/>
      </c>
      <c r="N1682">
        <f>IF(ISBLANK('ENGAGEMENTS 2026'!C1682),"",'ENGAGEMENTS 2026'!L1682)</f>
        <v/>
      </c>
      <c r="O1682">
        <f>IF(ISBLANK('ENGAGEMENTS 2026'!C1682),"",'ENGAGEMENTS 2026'!M1682)</f>
        <v/>
      </c>
      <c r="P1682">
        <f>IF(ISBLANK('ENGAGEMENTS 2026'!C1682),"",'ENGAGEMENTS 2026'!K1682)</f>
        <v/>
      </c>
      <c r="Q1682">
        <f>IF($A1682="","",IF(OR($E1682="INFRUCTUEUX",$E1682="ANNULE"),$A1682&amp;"|"&amp;(COUNTIFS($A$2:$A1682,$A1682,$E$2:$E1682,"INFRUCTUEUX")+COUNTIFS($A$2:$A1682,$A1682,$E$2:$E1682,"ANNULE")),""))</f>
        <v/>
      </c>
    </row>
    <row r="1683">
      <c r="A1683">
        <f>IF(ISBLANK('ENGAGEMENTS 2026'!C1683),"",IF('ENGAGEMENTS 2026'!C1683="DTSI","DCT",'ENGAGEMENTS 2026'!C1683))</f>
        <v/>
      </c>
      <c r="B1683">
        <f>IF(ISBLANK('ENGAGEMENTS 2026'!C1683),"",'ENGAGEMENTS 2026'!D1683)</f>
        <v/>
      </c>
      <c r="C1683">
        <f>IF(ISBLANK('ENGAGEMENTS 2026'!C1683),"",'ENGAGEMENTS 2026'!E1683)</f>
        <v/>
      </c>
      <c r="D1683">
        <f>IF(ISBLANK('ENGAGEMENTS 2026'!C1683),"",'ENGAGEMENTS 2026'!G1683)</f>
        <v/>
      </c>
      <c r="E1683">
        <f>IF(ISBLANK('ENGAGEMENTS 2026'!C1683),"",'ENGAGEMENTS 2026'!I1683)</f>
        <v/>
      </c>
      <c r="F1683">
        <f>IF(ISBLANK('ENGAGEMENTS 2026'!C1683),"",'ENGAGEMENTS 2026'!J1683)</f>
        <v/>
      </c>
      <c r="G1683">
        <f>IF(ISBLANK('ENGAGEMENTS 2026'!C1683),"",'ENGAGEMENTS 2026'!M1683)</f>
        <v/>
      </c>
      <c r="H1683">
        <f>IF(ISBLANK('ENGAGEMENTS 2026'!C1683),"",'ENGAGEMENTS 2026'!AF1683)</f>
        <v/>
      </c>
      <c r="I1683">
        <f>IF(ISBLANK('ENGAGEMENTS 2026'!C1683),"",'ENGAGEMENTS 2026'!H1683)</f>
        <v/>
      </c>
      <c r="J1683" s="275">
        <f>IF(ISBLANK('ENGAGEMENTS 2026'!C1683),"",IF(AND(OR($E1683="INFRUCTUEUX",$E1683="ANNULE"),$C1683="AOO-M"),'ENGAGEMENTS 2026'!P1683,IF($H1683="EN COURS DE PREENGAGEMENT",'ENGAGEMENTS 2026'!O1683,IF($H1683="PREENGAGE",IF($E1683="ATTRIBUE",'ENGAGEMENTS 2026'!AE1683,'ENGAGEMENTS 2026'!O1683),'ENGAGEMENTS 2026'!AE1683))))</f>
        <v/>
      </c>
      <c r="K1683" s="604">
        <f>IF(ISBLANK('ENGAGEMENTS 2026'!W1683),"",'ENGAGEMENTS 2026'!W1683)</f>
        <v/>
      </c>
      <c r="L1683" s="276">
        <f>IF($K1683="","",TODAY()-$K1683)</f>
        <v/>
      </c>
      <c r="M1683">
        <f>IF($A1683="","",IF($H1683="ENGAGE","Engagé",IF(AND($H1683="NON ENGAGE",OR($I1683="INFRUCTUEUX",$I1683="ANNULE")),"Clôturé sans suite","En cours")))</f>
        <v/>
      </c>
      <c r="N1683">
        <f>IF(ISBLANK('ENGAGEMENTS 2026'!C1683),"",'ENGAGEMENTS 2026'!L1683)</f>
        <v/>
      </c>
      <c r="O1683">
        <f>IF(ISBLANK('ENGAGEMENTS 2026'!C1683),"",'ENGAGEMENTS 2026'!M1683)</f>
        <v/>
      </c>
      <c r="P1683">
        <f>IF(ISBLANK('ENGAGEMENTS 2026'!C1683),"",'ENGAGEMENTS 2026'!K1683)</f>
        <v/>
      </c>
      <c r="Q1683">
        <f>IF($A1683="","",IF(OR($E1683="INFRUCTUEUX",$E1683="ANNULE"),$A1683&amp;"|"&amp;(COUNTIFS($A$2:$A1683,$A1683,$E$2:$E1683,"INFRUCTUEUX")+COUNTIFS($A$2:$A1683,$A1683,$E$2:$E1683,"ANNULE")),""))</f>
        <v/>
      </c>
    </row>
    <row r="1684">
      <c r="A1684">
        <f>IF(ISBLANK('ENGAGEMENTS 2026'!C1684),"",IF('ENGAGEMENTS 2026'!C1684="DTSI","DCT",'ENGAGEMENTS 2026'!C1684))</f>
        <v/>
      </c>
      <c r="B1684">
        <f>IF(ISBLANK('ENGAGEMENTS 2026'!C1684),"",'ENGAGEMENTS 2026'!D1684)</f>
        <v/>
      </c>
      <c r="C1684">
        <f>IF(ISBLANK('ENGAGEMENTS 2026'!C1684),"",'ENGAGEMENTS 2026'!E1684)</f>
        <v/>
      </c>
      <c r="D1684">
        <f>IF(ISBLANK('ENGAGEMENTS 2026'!C1684),"",'ENGAGEMENTS 2026'!G1684)</f>
        <v/>
      </c>
      <c r="E1684">
        <f>IF(ISBLANK('ENGAGEMENTS 2026'!C1684),"",'ENGAGEMENTS 2026'!I1684)</f>
        <v/>
      </c>
      <c r="F1684">
        <f>IF(ISBLANK('ENGAGEMENTS 2026'!C1684),"",'ENGAGEMENTS 2026'!J1684)</f>
        <v/>
      </c>
      <c r="G1684">
        <f>IF(ISBLANK('ENGAGEMENTS 2026'!C1684),"",'ENGAGEMENTS 2026'!M1684)</f>
        <v/>
      </c>
      <c r="H1684">
        <f>IF(ISBLANK('ENGAGEMENTS 2026'!C1684),"",'ENGAGEMENTS 2026'!AF1684)</f>
        <v/>
      </c>
      <c r="I1684">
        <f>IF(ISBLANK('ENGAGEMENTS 2026'!C1684),"",'ENGAGEMENTS 2026'!H1684)</f>
        <v/>
      </c>
      <c r="J1684" s="275">
        <f>IF(ISBLANK('ENGAGEMENTS 2026'!C1684),"",IF(AND(OR($E1684="INFRUCTUEUX",$E1684="ANNULE"),$C1684="AOO-M"),'ENGAGEMENTS 2026'!P1684,IF($H1684="EN COURS DE PREENGAGEMENT",'ENGAGEMENTS 2026'!O1684,IF($H1684="PREENGAGE",IF($E1684="ATTRIBUE",'ENGAGEMENTS 2026'!AE1684,'ENGAGEMENTS 2026'!O1684),'ENGAGEMENTS 2026'!AE1684))))</f>
        <v/>
      </c>
      <c r="K1684" s="604">
        <f>IF(ISBLANK('ENGAGEMENTS 2026'!W1684),"",'ENGAGEMENTS 2026'!W1684)</f>
        <v/>
      </c>
      <c r="L1684" s="276">
        <f>IF($K1684="","",TODAY()-$K1684)</f>
        <v/>
      </c>
      <c r="M1684">
        <f>IF($A1684="","",IF($H1684="ENGAGE","Engagé",IF(AND($H1684="NON ENGAGE",OR($I1684="INFRUCTUEUX",$I1684="ANNULE")),"Clôturé sans suite","En cours")))</f>
        <v/>
      </c>
      <c r="N1684">
        <f>IF(ISBLANK('ENGAGEMENTS 2026'!C1684),"",'ENGAGEMENTS 2026'!L1684)</f>
        <v/>
      </c>
      <c r="O1684">
        <f>IF(ISBLANK('ENGAGEMENTS 2026'!C1684),"",'ENGAGEMENTS 2026'!M1684)</f>
        <v/>
      </c>
      <c r="P1684">
        <f>IF(ISBLANK('ENGAGEMENTS 2026'!C1684),"",'ENGAGEMENTS 2026'!K1684)</f>
        <v/>
      </c>
      <c r="Q1684">
        <f>IF($A1684="","",IF(OR($E1684="INFRUCTUEUX",$E1684="ANNULE"),$A1684&amp;"|"&amp;(COUNTIFS($A$2:$A1684,$A1684,$E$2:$E1684,"INFRUCTUEUX")+COUNTIFS($A$2:$A1684,$A1684,$E$2:$E1684,"ANNULE")),""))</f>
        <v/>
      </c>
    </row>
    <row r="1685">
      <c r="A1685">
        <f>IF(ISBLANK('ENGAGEMENTS 2026'!C1685),"",IF('ENGAGEMENTS 2026'!C1685="DTSI","DCT",'ENGAGEMENTS 2026'!C1685))</f>
        <v/>
      </c>
      <c r="B1685">
        <f>IF(ISBLANK('ENGAGEMENTS 2026'!C1685),"",'ENGAGEMENTS 2026'!D1685)</f>
        <v/>
      </c>
      <c r="C1685">
        <f>IF(ISBLANK('ENGAGEMENTS 2026'!C1685),"",'ENGAGEMENTS 2026'!E1685)</f>
        <v/>
      </c>
      <c r="D1685">
        <f>IF(ISBLANK('ENGAGEMENTS 2026'!C1685),"",'ENGAGEMENTS 2026'!G1685)</f>
        <v/>
      </c>
      <c r="E1685">
        <f>IF(ISBLANK('ENGAGEMENTS 2026'!C1685),"",'ENGAGEMENTS 2026'!I1685)</f>
        <v/>
      </c>
      <c r="F1685">
        <f>IF(ISBLANK('ENGAGEMENTS 2026'!C1685),"",'ENGAGEMENTS 2026'!J1685)</f>
        <v/>
      </c>
      <c r="G1685">
        <f>IF(ISBLANK('ENGAGEMENTS 2026'!C1685),"",'ENGAGEMENTS 2026'!M1685)</f>
        <v/>
      </c>
      <c r="H1685">
        <f>IF(ISBLANK('ENGAGEMENTS 2026'!C1685),"",'ENGAGEMENTS 2026'!AF1685)</f>
        <v/>
      </c>
      <c r="I1685">
        <f>IF(ISBLANK('ENGAGEMENTS 2026'!C1685),"",'ENGAGEMENTS 2026'!H1685)</f>
        <v/>
      </c>
      <c r="J1685" s="275">
        <f>IF(ISBLANK('ENGAGEMENTS 2026'!C1685),"",IF(AND(OR($E1685="INFRUCTUEUX",$E1685="ANNULE"),$C1685="AOO-M"),'ENGAGEMENTS 2026'!P1685,IF($H1685="EN COURS DE PREENGAGEMENT",'ENGAGEMENTS 2026'!O1685,IF($H1685="PREENGAGE",IF($E1685="ATTRIBUE",'ENGAGEMENTS 2026'!AE1685,'ENGAGEMENTS 2026'!O1685),'ENGAGEMENTS 2026'!AE1685))))</f>
        <v/>
      </c>
      <c r="K1685" s="604">
        <f>IF(ISBLANK('ENGAGEMENTS 2026'!W1685),"",'ENGAGEMENTS 2026'!W1685)</f>
        <v/>
      </c>
      <c r="L1685" s="276">
        <f>IF($K1685="","",TODAY()-$K1685)</f>
        <v/>
      </c>
      <c r="M1685">
        <f>IF($A1685="","",IF($H1685="ENGAGE","Engagé",IF(AND($H1685="NON ENGAGE",OR($I1685="INFRUCTUEUX",$I1685="ANNULE")),"Clôturé sans suite","En cours")))</f>
        <v/>
      </c>
      <c r="N1685">
        <f>IF(ISBLANK('ENGAGEMENTS 2026'!C1685),"",'ENGAGEMENTS 2026'!L1685)</f>
        <v/>
      </c>
      <c r="O1685">
        <f>IF(ISBLANK('ENGAGEMENTS 2026'!C1685),"",'ENGAGEMENTS 2026'!M1685)</f>
        <v/>
      </c>
      <c r="P1685">
        <f>IF(ISBLANK('ENGAGEMENTS 2026'!C1685),"",'ENGAGEMENTS 2026'!K1685)</f>
        <v/>
      </c>
      <c r="Q1685">
        <f>IF($A1685="","",IF(OR($E1685="INFRUCTUEUX",$E1685="ANNULE"),$A1685&amp;"|"&amp;(COUNTIFS($A$2:$A1685,$A1685,$E$2:$E1685,"INFRUCTUEUX")+COUNTIFS($A$2:$A1685,$A1685,$E$2:$E1685,"ANNULE")),""))</f>
        <v/>
      </c>
    </row>
    <row r="1686">
      <c r="A1686">
        <f>IF(ISBLANK('ENGAGEMENTS 2026'!C1686),"",IF('ENGAGEMENTS 2026'!C1686="DTSI","DCT",'ENGAGEMENTS 2026'!C1686))</f>
        <v/>
      </c>
      <c r="B1686">
        <f>IF(ISBLANK('ENGAGEMENTS 2026'!C1686),"",'ENGAGEMENTS 2026'!D1686)</f>
        <v/>
      </c>
      <c r="C1686">
        <f>IF(ISBLANK('ENGAGEMENTS 2026'!C1686),"",'ENGAGEMENTS 2026'!E1686)</f>
        <v/>
      </c>
      <c r="D1686">
        <f>IF(ISBLANK('ENGAGEMENTS 2026'!C1686),"",'ENGAGEMENTS 2026'!G1686)</f>
        <v/>
      </c>
      <c r="E1686">
        <f>IF(ISBLANK('ENGAGEMENTS 2026'!C1686),"",'ENGAGEMENTS 2026'!I1686)</f>
        <v/>
      </c>
      <c r="F1686">
        <f>IF(ISBLANK('ENGAGEMENTS 2026'!C1686),"",'ENGAGEMENTS 2026'!J1686)</f>
        <v/>
      </c>
      <c r="G1686">
        <f>IF(ISBLANK('ENGAGEMENTS 2026'!C1686),"",'ENGAGEMENTS 2026'!M1686)</f>
        <v/>
      </c>
      <c r="H1686">
        <f>IF(ISBLANK('ENGAGEMENTS 2026'!C1686),"",'ENGAGEMENTS 2026'!AF1686)</f>
        <v/>
      </c>
      <c r="I1686">
        <f>IF(ISBLANK('ENGAGEMENTS 2026'!C1686),"",'ENGAGEMENTS 2026'!H1686)</f>
        <v/>
      </c>
      <c r="J1686" s="275">
        <f>IF(ISBLANK('ENGAGEMENTS 2026'!C1686),"",IF(AND(OR($E1686="INFRUCTUEUX",$E1686="ANNULE"),$C1686="AOO-M"),'ENGAGEMENTS 2026'!P1686,IF($H1686="EN COURS DE PREENGAGEMENT",'ENGAGEMENTS 2026'!O1686,IF($H1686="PREENGAGE",IF($E1686="ATTRIBUE",'ENGAGEMENTS 2026'!AE1686,'ENGAGEMENTS 2026'!O1686),'ENGAGEMENTS 2026'!AE1686))))</f>
        <v/>
      </c>
      <c r="K1686" s="604">
        <f>IF(ISBLANK('ENGAGEMENTS 2026'!W1686),"",'ENGAGEMENTS 2026'!W1686)</f>
        <v/>
      </c>
      <c r="L1686" s="276">
        <f>IF($K1686="","",TODAY()-$K1686)</f>
        <v/>
      </c>
      <c r="M1686">
        <f>IF($A1686="","",IF($H1686="ENGAGE","Engagé",IF(AND($H1686="NON ENGAGE",OR($I1686="INFRUCTUEUX",$I1686="ANNULE")),"Clôturé sans suite","En cours")))</f>
        <v/>
      </c>
      <c r="N1686">
        <f>IF(ISBLANK('ENGAGEMENTS 2026'!C1686),"",'ENGAGEMENTS 2026'!L1686)</f>
        <v/>
      </c>
      <c r="O1686">
        <f>IF(ISBLANK('ENGAGEMENTS 2026'!C1686),"",'ENGAGEMENTS 2026'!M1686)</f>
        <v/>
      </c>
      <c r="P1686">
        <f>IF(ISBLANK('ENGAGEMENTS 2026'!C1686),"",'ENGAGEMENTS 2026'!K1686)</f>
        <v/>
      </c>
      <c r="Q1686">
        <f>IF($A1686="","",IF(OR($E1686="INFRUCTUEUX",$E1686="ANNULE"),$A1686&amp;"|"&amp;(COUNTIFS($A$2:$A1686,$A1686,$E$2:$E1686,"INFRUCTUEUX")+COUNTIFS($A$2:$A1686,$A1686,$E$2:$E1686,"ANNULE")),""))</f>
        <v/>
      </c>
    </row>
    <row r="1687">
      <c r="A1687">
        <f>IF(ISBLANK('ENGAGEMENTS 2026'!C1687),"",IF('ENGAGEMENTS 2026'!C1687="DTSI","DCT",'ENGAGEMENTS 2026'!C1687))</f>
        <v/>
      </c>
      <c r="B1687">
        <f>IF(ISBLANK('ENGAGEMENTS 2026'!C1687),"",'ENGAGEMENTS 2026'!D1687)</f>
        <v/>
      </c>
      <c r="C1687">
        <f>IF(ISBLANK('ENGAGEMENTS 2026'!C1687),"",'ENGAGEMENTS 2026'!E1687)</f>
        <v/>
      </c>
      <c r="D1687">
        <f>IF(ISBLANK('ENGAGEMENTS 2026'!C1687),"",'ENGAGEMENTS 2026'!G1687)</f>
        <v/>
      </c>
      <c r="E1687">
        <f>IF(ISBLANK('ENGAGEMENTS 2026'!C1687),"",'ENGAGEMENTS 2026'!I1687)</f>
        <v/>
      </c>
      <c r="F1687">
        <f>IF(ISBLANK('ENGAGEMENTS 2026'!C1687),"",'ENGAGEMENTS 2026'!J1687)</f>
        <v/>
      </c>
      <c r="G1687">
        <f>IF(ISBLANK('ENGAGEMENTS 2026'!C1687),"",'ENGAGEMENTS 2026'!M1687)</f>
        <v/>
      </c>
      <c r="H1687">
        <f>IF(ISBLANK('ENGAGEMENTS 2026'!C1687),"",'ENGAGEMENTS 2026'!AF1687)</f>
        <v/>
      </c>
      <c r="I1687">
        <f>IF(ISBLANK('ENGAGEMENTS 2026'!C1687),"",'ENGAGEMENTS 2026'!H1687)</f>
        <v/>
      </c>
      <c r="J1687" s="275">
        <f>IF(ISBLANK('ENGAGEMENTS 2026'!C1687),"",IF(AND(OR($E1687="INFRUCTUEUX",$E1687="ANNULE"),$C1687="AOO-M"),'ENGAGEMENTS 2026'!P1687,IF($H1687="EN COURS DE PREENGAGEMENT",'ENGAGEMENTS 2026'!O1687,IF($H1687="PREENGAGE",IF($E1687="ATTRIBUE",'ENGAGEMENTS 2026'!AE1687,'ENGAGEMENTS 2026'!O1687),'ENGAGEMENTS 2026'!AE1687))))</f>
        <v/>
      </c>
      <c r="K1687" s="604">
        <f>IF(ISBLANK('ENGAGEMENTS 2026'!W1687),"",'ENGAGEMENTS 2026'!W1687)</f>
        <v/>
      </c>
      <c r="L1687" s="276">
        <f>IF($K1687="","",TODAY()-$K1687)</f>
        <v/>
      </c>
      <c r="M1687">
        <f>IF($A1687="","",IF($H1687="ENGAGE","Engagé",IF(AND($H1687="NON ENGAGE",OR($I1687="INFRUCTUEUX",$I1687="ANNULE")),"Clôturé sans suite","En cours")))</f>
        <v/>
      </c>
      <c r="N1687">
        <f>IF(ISBLANK('ENGAGEMENTS 2026'!C1687),"",'ENGAGEMENTS 2026'!L1687)</f>
        <v/>
      </c>
      <c r="O1687">
        <f>IF(ISBLANK('ENGAGEMENTS 2026'!C1687),"",'ENGAGEMENTS 2026'!M1687)</f>
        <v/>
      </c>
      <c r="P1687">
        <f>IF(ISBLANK('ENGAGEMENTS 2026'!C1687),"",'ENGAGEMENTS 2026'!K1687)</f>
        <v/>
      </c>
      <c r="Q1687">
        <f>IF($A1687="","",IF(OR($E1687="INFRUCTUEUX",$E1687="ANNULE"),$A1687&amp;"|"&amp;(COUNTIFS($A$2:$A1687,$A1687,$E$2:$E1687,"INFRUCTUEUX")+COUNTIFS($A$2:$A1687,$A1687,$E$2:$E1687,"ANNULE")),""))</f>
        <v/>
      </c>
    </row>
    <row r="1688">
      <c r="A1688">
        <f>IF(ISBLANK('ENGAGEMENTS 2026'!C1688),"",IF('ENGAGEMENTS 2026'!C1688="DTSI","DCT",'ENGAGEMENTS 2026'!C1688))</f>
        <v/>
      </c>
      <c r="B1688">
        <f>IF(ISBLANK('ENGAGEMENTS 2026'!C1688),"",'ENGAGEMENTS 2026'!D1688)</f>
        <v/>
      </c>
      <c r="C1688">
        <f>IF(ISBLANK('ENGAGEMENTS 2026'!C1688),"",'ENGAGEMENTS 2026'!E1688)</f>
        <v/>
      </c>
      <c r="D1688">
        <f>IF(ISBLANK('ENGAGEMENTS 2026'!C1688),"",'ENGAGEMENTS 2026'!G1688)</f>
        <v/>
      </c>
      <c r="E1688">
        <f>IF(ISBLANK('ENGAGEMENTS 2026'!C1688),"",'ENGAGEMENTS 2026'!I1688)</f>
        <v/>
      </c>
      <c r="F1688">
        <f>IF(ISBLANK('ENGAGEMENTS 2026'!C1688),"",'ENGAGEMENTS 2026'!J1688)</f>
        <v/>
      </c>
      <c r="G1688">
        <f>IF(ISBLANK('ENGAGEMENTS 2026'!C1688),"",'ENGAGEMENTS 2026'!M1688)</f>
        <v/>
      </c>
      <c r="H1688">
        <f>IF(ISBLANK('ENGAGEMENTS 2026'!C1688),"",'ENGAGEMENTS 2026'!AF1688)</f>
        <v/>
      </c>
      <c r="I1688">
        <f>IF(ISBLANK('ENGAGEMENTS 2026'!C1688),"",'ENGAGEMENTS 2026'!H1688)</f>
        <v/>
      </c>
      <c r="J1688" s="275">
        <f>IF(ISBLANK('ENGAGEMENTS 2026'!C1688),"",IF(AND(OR($E1688="INFRUCTUEUX",$E1688="ANNULE"),$C1688="AOO-M"),'ENGAGEMENTS 2026'!P1688,IF($H1688="EN COURS DE PREENGAGEMENT",'ENGAGEMENTS 2026'!O1688,IF($H1688="PREENGAGE",IF($E1688="ATTRIBUE",'ENGAGEMENTS 2026'!AE1688,'ENGAGEMENTS 2026'!O1688),'ENGAGEMENTS 2026'!AE1688))))</f>
        <v/>
      </c>
      <c r="K1688" s="604">
        <f>IF(ISBLANK('ENGAGEMENTS 2026'!W1688),"",'ENGAGEMENTS 2026'!W1688)</f>
        <v/>
      </c>
      <c r="L1688" s="276">
        <f>IF($K1688="","",TODAY()-$K1688)</f>
        <v/>
      </c>
      <c r="M1688">
        <f>IF($A1688="","",IF($H1688="ENGAGE","Engagé",IF(AND($H1688="NON ENGAGE",OR($I1688="INFRUCTUEUX",$I1688="ANNULE")),"Clôturé sans suite","En cours")))</f>
        <v/>
      </c>
      <c r="N1688">
        <f>IF(ISBLANK('ENGAGEMENTS 2026'!C1688),"",'ENGAGEMENTS 2026'!L1688)</f>
        <v/>
      </c>
      <c r="O1688">
        <f>IF(ISBLANK('ENGAGEMENTS 2026'!C1688),"",'ENGAGEMENTS 2026'!M1688)</f>
        <v/>
      </c>
      <c r="P1688">
        <f>IF(ISBLANK('ENGAGEMENTS 2026'!C1688),"",'ENGAGEMENTS 2026'!K1688)</f>
        <v/>
      </c>
      <c r="Q1688">
        <f>IF($A1688="","",IF(OR($E1688="INFRUCTUEUX",$E1688="ANNULE"),$A1688&amp;"|"&amp;(COUNTIFS($A$2:$A1688,$A1688,$E$2:$E1688,"INFRUCTUEUX")+COUNTIFS($A$2:$A1688,$A1688,$E$2:$E1688,"ANNULE")),""))</f>
        <v/>
      </c>
    </row>
    <row r="1689">
      <c r="A1689">
        <f>IF(ISBLANK('ENGAGEMENTS 2026'!C1689),"",IF('ENGAGEMENTS 2026'!C1689="DTSI","DCT",'ENGAGEMENTS 2026'!C1689))</f>
        <v/>
      </c>
      <c r="B1689">
        <f>IF(ISBLANK('ENGAGEMENTS 2026'!C1689),"",'ENGAGEMENTS 2026'!D1689)</f>
        <v/>
      </c>
      <c r="C1689">
        <f>IF(ISBLANK('ENGAGEMENTS 2026'!C1689),"",'ENGAGEMENTS 2026'!E1689)</f>
        <v/>
      </c>
      <c r="D1689">
        <f>IF(ISBLANK('ENGAGEMENTS 2026'!C1689),"",'ENGAGEMENTS 2026'!G1689)</f>
        <v/>
      </c>
      <c r="E1689">
        <f>IF(ISBLANK('ENGAGEMENTS 2026'!C1689),"",'ENGAGEMENTS 2026'!I1689)</f>
        <v/>
      </c>
      <c r="F1689">
        <f>IF(ISBLANK('ENGAGEMENTS 2026'!C1689),"",'ENGAGEMENTS 2026'!J1689)</f>
        <v/>
      </c>
      <c r="G1689">
        <f>IF(ISBLANK('ENGAGEMENTS 2026'!C1689),"",'ENGAGEMENTS 2026'!M1689)</f>
        <v/>
      </c>
      <c r="H1689">
        <f>IF(ISBLANK('ENGAGEMENTS 2026'!C1689),"",'ENGAGEMENTS 2026'!AF1689)</f>
        <v/>
      </c>
      <c r="I1689">
        <f>IF(ISBLANK('ENGAGEMENTS 2026'!C1689),"",'ENGAGEMENTS 2026'!H1689)</f>
        <v/>
      </c>
      <c r="J1689" s="275">
        <f>IF(ISBLANK('ENGAGEMENTS 2026'!C1689),"",IF(AND(OR($E1689="INFRUCTUEUX",$E1689="ANNULE"),$C1689="AOO-M"),'ENGAGEMENTS 2026'!P1689,IF($H1689="EN COURS DE PREENGAGEMENT",'ENGAGEMENTS 2026'!O1689,IF($H1689="PREENGAGE",IF($E1689="ATTRIBUE",'ENGAGEMENTS 2026'!AE1689,'ENGAGEMENTS 2026'!O1689),'ENGAGEMENTS 2026'!AE1689))))</f>
        <v/>
      </c>
      <c r="K1689" s="604">
        <f>IF(ISBLANK('ENGAGEMENTS 2026'!W1689),"",'ENGAGEMENTS 2026'!W1689)</f>
        <v/>
      </c>
      <c r="L1689" s="276">
        <f>IF($K1689="","",TODAY()-$K1689)</f>
        <v/>
      </c>
      <c r="M1689">
        <f>IF($A1689="","",IF($H1689="ENGAGE","Engagé",IF(AND($H1689="NON ENGAGE",OR($I1689="INFRUCTUEUX",$I1689="ANNULE")),"Clôturé sans suite","En cours")))</f>
        <v/>
      </c>
      <c r="N1689">
        <f>IF(ISBLANK('ENGAGEMENTS 2026'!C1689),"",'ENGAGEMENTS 2026'!L1689)</f>
        <v/>
      </c>
      <c r="O1689">
        <f>IF(ISBLANK('ENGAGEMENTS 2026'!C1689),"",'ENGAGEMENTS 2026'!M1689)</f>
        <v/>
      </c>
      <c r="P1689">
        <f>IF(ISBLANK('ENGAGEMENTS 2026'!C1689),"",'ENGAGEMENTS 2026'!K1689)</f>
        <v/>
      </c>
      <c r="Q1689">
        <f>IF($A1689="","",IF(OR($E1689="INFRUCTUEUX",$E1689="ANNULE"),$A1689&amp;"|"&amp;(COUNTIFS($A$2:$A1689,$A1689,$E$2:$E1689,"INFRUCTUEUX")+COUNTIFS($A$2:$A1689,$A1689,$E$2:$E1689,"ANNULE")),""))</f>
        <v/>
      </c>
    </row>
    <row r="1690">
      <c r="A1690">
        <f>IF(ISBLANK('ENGAGEMENTS 2026'!C1690),"",IF('ENGAGEMENTS 2026'!C1690="DTSI","DCT",'ENGAGEMENTS 2026'!C1690))</f>
        <v/>
      </c>
      <c r="B1690">
        <f>IF(ISBLANK('ENGAGEMENTS 2026'!C1690),"",'ENGAGEMENTS 2026'!D1690)</f>
        <v/>
      </c>
      <c r="C1690">
        <f>IF(ISBLANK('ENGAGEMENTS 2026'!C1690),"",'ENGAGEMENTS 2026'!E1690)</f>
        <v/>
      </c>
      <c r="D1690">
        <f>IF(ISBLANK('ENGAGEMENTS 2026'!C1690),"",'ENGAGEMENTS 2026'!G1690)</f>
        <v/>
      </c>
      <c r="E1690">
        <f>IF(ISBLANK('ENGAGEMENTS 2026'!C1690),"",'ENGAGEMENTS 2026'!I1690)</f>
        <v/>
      </c>
      <c r="F1690">
        <f>IF(ISBLANK('ENGAGEMENTS 2026'!C1690),"",'ENGAGEMENTS 2026'!J1690)</f>
        <v/>
      </c>
      <c r="G1690">
        <f>IF(ISBLANK('ENGAGEMENTS 2026'!C1690),"",'ENGAGEMENTS 2026'!M1690)</f>
        <v/>
      </c>
      <c r="H1690">
        <f>IF(ISBLANK('ENGAGEMENTS 2026'!C1690),"",'ENGAGEMENTS 2026'!AF1690)</f>
        <v/>
      </c>
      <c r="I1690">
        <f>IF(ISBLANK('ENGAGEMENTS 2026'!C1690),"",'ENGAGEMENTS 2026'!H1690)</f>
        <v/>
      </c>
      <c r="J1690" s="275">
        <f>IF(ISBLANK('ENGAGEMENTS 2026'!C1690),"",IF(AND(OR($E1690="INFRUCTUEUX",$E1690="ANNULE"),$C1690="AOO-M"),'ENGAGEMENTS 2026'!P1690,IF($H1690="EN COURS DE PREENGAGEMENT",'ENGAGEMENTS 2026'!O1690,IF($H1690="PREENGAGE",IF($E1690="ATTRIBUE",'ENGAGEMENTS 2026'!AE1690,'ENGAGEMENTS 2026'!O1690),'ENGAGEMENTS 2026'!AE1690))))</f>
        <v/>
      </c>
      <c r="K1690" s="604">
        <f>IF(ISBLANK('ENGAGEMENTS 2026'!W1690),"",'ENGAGEMENTS 2026'!W1690)</f>
        <v/>
      </c>
      <c r="L1690" s="276">
        <f>IF($K1690="","",TODAY()-$K1690)</f>
        <v/>
      </c>
      <c r="M1690">
        <f>IF($A1690="","",IF($H1690="ENGAGE","Engagé",IF(AND($H1690="NON ENGAGE",OR($I1690="INFRUCTUEUX",$I1690="ANNULE")),"Clôturé sans suite","En cours")))</f>
        <v/>
      </c>
      <c r="N1690">
        <f>IF(ISBLANK('ENGAGEMENTS 2026'!C1690),"",'ENGAGEMENTS 2026'!L1690)</f>
        <v/>
      </c>
      <c r="O1690">
        <f>IF(ISBLANK('ENGAGEMENTS 2026'!C1690),"",'ENGAGEMENTS 2026'!M1690)</f>
        <v/>
      </c>
      <c r="P1690">
        <f>IF(ISBLANK('ENGAGEMENTS 2026'!C1690),"",'ENGAGEMENTS 2026'!K1690)</f>
        <v/>
      </c>
      <c r="Q1690">
        <f>IF($A1690="","",IF(OR($E1690="INFRUCTUEUX",$E1690="ANNULE"),$A1690&amp;"|"&amp;(COUNTIFS($A$2:$A1690,$A1690,$E$2:$E1690,"INFRUCTUEUX")+COUNTIFS($A$2:$A1690,$A1690,$E$2:$E1690,"ANNULE")),""))</f>
        <v/>
      </c>
    </row>
    <row r="1691">
      <c r="A1691">
        <f>IF(ISBLANK('ENGAGEMENTS 2026'!C1691),"",IF('ENGAGEMENTS 2026'!C1691="DTSI","DCT",'ENGAGEMENTS 2026'!C1691))</f>
        <v/>
      </c>
      <c r="B1691">
        <f>IF(ISBLANK('ENGAGEMENTS 2026'!C1691),"",'ENGAGEMENTS 2026'!D1691)</f>
        <v/>
      </c>
      <c r="C1691">
        <f>IF(ISBLANK('ENGAGEMENTS 2026'!C1691),"",'ENGAGEMENTS 2026'!E1691)</f>
        <v/>
      </c>
      <c r="D1691">
        <f>IF(ISBLANK('ENGAGEMENTS 2026'!C1691),"",'ENGAGEMENTS 2026'!G1691)</f>
        <v/>
      </c>
      <c r="E1691">
        <f>IF(ISBLANK('ENGAGEMENTS 2026'!C1691),"",'ENGAGEMENTS 2026'!I1691)</f>
        <v/>
      </c>
      <c r="F1691">
        <f>IF(ISBLANK('ENGAGEMENTS 2026'!C1691),"",'ENGAGEMENTS 2026'!J1691)</f>
        <v/>
      </c>
      <c r="G1691">
        <f>IF(ISBLANK('ENGAGEMENTS 2026'!C1691),"",'ENGAGEMENTS 2026'!M1691)</f>
        <v/>
      </c>
      <c r="H1691">
        <f>IF(ISBLANK('ENGAGEMENTS 2026'!C1691),"",'ENGAGEMENTS 2026'!AF1691)</f>
        <v/>
      </c>
      <c r="I1691">
        <f>IF(ISBLANK('ENGAGEMENTS 2026'!C1691),"",'ENGAGEMENTS 2026'!H1691)</f>
        <v/>
      </c>
      <c r="J1691" s="275">
        <f>IF(ISBLANK('ENGAGEMENTS 2026'!C1691),"",IF(AND(OR($E1691="INFRUCTUEUX",$E1691="ANNULE"),$C1691="AOO-M"),'ENGAGEMENTS 2026'!P1691,IF($H1691="EN COURS DE PREENGAGEMENT",'ENGAGEMENTS 2026'!O1691,IF($H1691="PREENGAGE",IF($E1691="ATTRIBUE",'ENGAGEMENTS 2026'!AE1691,'ENGAGEMENTS 2026'!O1691),'ENGAGEMENTS 2026'!AE1691))))</f>
        <v/>
      </c>
      <c r="K1691" s="604">
        <f>IF(ISBLANK('ENGAGEMENTS 2026'!W1691),"",'ENGAGEMENTS 2026'!W1691)</f>
        <v/>
      </c>
      <c r="L1691" s="276">
        <f>IF($K1691="","",TODAY()-$K1691)</f>
        <v/>
      </c>
      <c r="M1691">
        <f>IF($A1691="","",IF($H1691="ENGAGE","Engagé",IF(AND($H1691="NON ENGAGE",OR($I1691="INFRUCTUEUX",$I1691="ANNULE")),"Clôturé sans suite","En cours")))</f>
        <v/>
      </c>
      <c r="N1691">
        <f>IF(ISBLANK('ENGAGEMENTS 2026'!C1691),"",'ENGAGEMENTS 2026'!L1691)</f>
        <v/>
      </c>
      <c r="O1691">
        <f>IF(ISBLANK('ENGAGEMENTS 2026'!C1691),"",'ENGAGEMENTS 2026'!M1691)</f>
        <v/>
      </c>
      <c r="P1691">
        <f>IF(ISBLANK('ENGAGEMENTS 2026'!C1691),"",'ENGAGEMENTS 2026'!K1691)</f>
        <v/>
      </c>
      <c r="Q1691">
        <f>IF($A1691="","",IF(OR($E1691="INFRUCTUEUX",$E1691="ANNULE"),$A1691&amp;"|"&amp;(COUNTIFS($A$2:$A1691,$A1691,$E$2:$E1691,"INFRUCTUEUX")+COUNTIFS($A$2:$A1691,$A1691,$E$2:$E1691,"ANNULE")),""))</f>
        <v/>
      </c>
    </row>
    <row r="1692">
      <c r="A1692">
        <f>IF(ISBLANK('ENGAGEMENTS 2026'!C1692),"",IF('ENGAGEMENTS 2026'!C1692="DTSI","DCT",'ENGAGEMENTS 2026'!C1692))</f>
        <v/>
      </c>
      <c r="B1692">
        <f>IF(ISBLANK('ENGAGEMENTS 2026'!C1692),"",'ENGAGEMENTS 2026'!D1692)</f>
        <v/>
      </c>
      <c r="C1692">
        <f>IF(ISBLANK('ENGAGEMENTS 2026'!C1692),"",'ENGAGEMENTS 2026'!E1692)</f>
        <v/>
      </c>
      <c r="D1692">
        <f>IF(ISBLANK('ENGAGEMENTS 2026'!C1692),"",'ENGAGEMENTS 2026'!G1692)</f>
        <v/>
      </c>
      <c r="E1692">
        <f>IF(ISBLANK('ENGAGEMENTS 2026'!C1692),"",'ENGAGEMENTS 2026'!I1692)</f>
        <v/>
      </c>
      <c r="F1692">
        <f>IF(ISBLANK('ENGAGEMENTS 2026'!C1692),"",'ENGAGEMENTS 2026'!J1692)</f>
        <v/>
      </c>
      <c r="G1692">
        <f>IF(ISBLANK('ENGAGEMENTS 2026'!C1692),"",'ENGAGEMENTS 2026'!M1692)</f>
        <v/>
      </c>
      <c r="H1692">
        <f>IF(ISBLANK('ENGAGEMENTS 2026'!C1692),"",'ENGAGEMENTS 2026'!AF1692)</f>
        <v/>
      </c>
      <c r="I1692">
        <f>IF(ISBLANK('ENGAGEMENTS 2026'!C1692),"",'ENGAGEMENTS 2026'!H1692)</f>
        <v/>
      </c>
      <c r="J1692" s="275">
        <f>IF(ISBLANK('ENGAGEMENTS 2026'!C1692),"",IF(AND(OR($E1692="INFRUCTUEUX",$E1692="ANNULE"),$C1692="AOO-M"),'ENGAGEMENTS 2026'!P1692,IF($H1692="EN COURS DE PREENGAGEMENT",'ENGAGEMENTS 2026'!O1692,IF($H1692="PREENGAGE",IF($E1692="ATTRIBUE",'ENGAGEMENTS 2026'!AE1692,'ENGAGEMENTS 2026'!O1692),'ENGAGEMENTS 2026'!AE1692))))</f>
        <v/>
      </c>
      <c r="K1692" s="604">
        <f>IF(ISBLANK('ENGAGEMENTS 2026'!W1692),"",'ENGAGEMENTS 2026'!W1692)</f>
        <v/>
      </c>
      <c r="L1692" s="276">
        <f>IF($K1692="","",TODAY()-$K1692)</f>
        <v/>
      </c>
      <c r="M1692">
        <f>IF($A1692="","",IF($H1692="ENGAGE","Engagé",IF(AND($H1692="NON ENGAGE",OR($I1692="INFRUCTUEUX",$I1692="ANNULE")),"Clôturé sans suite","En cours")))</f>
        <v/>
      </c>
      <c r="N1692">
        <f>IF(ISBLANK('ENGAGEMENTS 2026'!C1692),"",'ENGAGEMENTS 2026'!L1692)</f>
        <v/>
      </c>
      <c r="O1692">
        <f>IF(ISBLANK('ENGAGEMENTS 2026'!C1692),"",'ENGAGEMENTS 2026'!M1692)</f>
        <v/>
      </c>
      <c r="P1692">
        <f>IF(ISBLANK('ENGAGEMENTS 2026'!C1692),"",'ENGAGEMENTS 2026'!K1692)</f>
        <v/>
      </c>
      <c r="Q1692">
        <f>IF($A1692="","",IF(OR($E1692="INFRUCTUEUX",$E1692="ANNULE"),$A1692&amp;"|"&amp;(COUNTIFS($A$2:$A1692,$A1692,$E$2:$E1692,"INFRUCTUEUX")+COUNTIFS($A$2:$A1692,$A1692,$E$2:$E1692,"ANNULE")),""))</f>
        <v/>
      </c>
    </row>
    <row r="1693">
      <c r="A1693">
        <f>IF(ISBLANK('ENGAGEMENTS 2026'!C1693),"",IF('ENGAGEMENTS 2026'!C1693="DTSI","DCT",'ENGAGEMENTS 2026'!C1693))</f>
        <v/>
      </c>
      <c r="B1693">
        <f>IF(ISBLANK('ENGAGEMENTS 2026'!C1693),"",'ENGAGEMENTS 2026'!D1693)</f>
        <v/>
      </c>
      <c r="C1693">
        <f>IF(ISBLANK('ENGAGEMENTS 2026'!C1693),"",'ENGAGEMENTS 2026'!E1693)</f>
        <v/>
      </c>
      <c r="D1693">
        <f>IF(ISBLANK('ENGAGEMENTS 2026'!C1693),"",'ENGAGEMENTS 2026'!G1693)</f>
        <v/>
      </c>
      <c r="E1693">
        <f>IF(ISBLANK('ENGAGEMENTS 2026'!C1693),"",'ENGAGEMENTS 2026'!I1693)</f>
        <v/>
      </c>
      <c r="F1693">
        <f>IF(ISBLANK('ENGAGEMENTS 2026'!C1693),"",'ENGAGEMENTS 2026'!J1693)</f>
        <v/>
      </c>
      <c r="G1693">
        <f>IF(ISBLANK('ENGAGEMENTS 2026'!C1693),"",'ENGAGEMENTS 2026'!M1693)</f>
        <v/>
      </c>
      <c r="H1693">
        <f>IF(ISBLANK('ENGAGEMENTS 2026'!C1693),"",'ENGAGEMENTS 2026'!AF1693)</f>
        <v/>
      </c>
      <c r="I1693">
        <f>IF(ISBLANK('ENGAGEMENTS 2026'!C1693),"",'ENGAGEMENTS 2026'!H1693)</f>
        <v/>
      </c>
      <c r="J1693" s="275">
        <f>IF(ISBLANK('ENGAGEMENTS 2026'!C1693),"",IF(AND(OR($E1693="INFRUCTUEUX",$E1693="ANNULE"),$C1693="AOO-M"),'ENGAGEMENTS 2026'!P1693,IF($H1693="EN COURS DE PREENGAGEMENT",'ENGAGEMENTS 2026'!O1693,IF($H1693="PREENGAGE",IF($E1693="ATTRIBUE",'ENGAGEMENTS 2026'!AE1693,'ENGAGEMENTS 2026'!O1693),'ENGAGEMENTS 2026'!AE1693))))</f>
        <v/>
      </c>
      <c r="K1693" s="604">
        <f>IF(ISBLANK('ENGAGEMENTS 2026'!W1693),"",'ENGAGEMENTS 2026'!W1693)</f>
        <v/>
      </c>
      <c r="L1693" s="276">
        <f>IF($K1693="","",TODAY()-$K1693)</f>
        <v/>
      </c>
      <c r="M1693">
        <f>IF($A1693="","",IF($H1693="ENGAGE","Engagé",IF(AND($H1693="NON ENGAGE",OR($I1693="INFRUCTUEUX",$I1693="ANNULE")),"Clôturé sans suite","En cours")))</f>
        <v/>
      </c>
      <c r="N1693">
        <f>IF(ISBLANK('ENGAGEMENTS 2026'!C1693),"",'ENGAGEMENTS 2026'!L1693)</f>
        <v/>
      </c>
      <c r="O1693">
        <f>IF(ISBLANK('ENGAGEMENTS 2026'!C1693),"",'ENGAGEMENTS 2026'!M1693)</f>
        <v/>
      </c>
      <c r="P1693">
        <f>IF(ISBLANK('ENGAGEMENTS 2026'!C1693),"",'ENGAGEMENTS 2026'!K1693)</f>
        <v/>
      </c>
      <c r="Q1693">
        <f>IF($A1693="","",IF(OR($E1693="INFRUCTUEUX",$E1693="ANNULE"),$A1693&amp;"|"&amp;(COUNTIFS($A$2:$A1693,$A1693,$E$2:$E1693,"INFRUCTUEUX")+COUNTIFS($A$2:$A1693,$A1693,$E$2:$E1693,"ANNULE")),""))</f>
        <v/>
      </c>
    </row>
    <row r="1694">
      <c r="A1694">
        <f>IF(ISBLANK('ENGAGEMENTS 2026'!C1694),"",IF('ENGAGEMENTS 2026'!C1694="DTSI","DCT",'ENGAGEMENTS 2026'!C1694))</f>
        <v/>
      </c>
      <c r="B1694">
        <f>IF(ISBLANK('ENGAGEMENTS 2026'!C1694),"",'ENGAGEMENTS 2026'!D1694)</f>
        <v/>
      </c>
      <c r="C1694">
        <f>IF(ISBLANK('ENGAGEMENTS 2026'!C1694),"",'ENGAGEMENTS 2026'!E1694)</f>
        <v/>
      </c>
      <c r="D1694">
        <f>IF(ISBLANK('ENGAGEMENTS 2026'!C1694),"",'ENGAGEMENTS 2026'!G1694)</f>
        <v/>
      </c>
      <c r="E1694">
        <f>IF(ISBLANK('ENGAGEMENTS 2026'!C1694),"",'ENGAGEMENTS 2026'!I1694)</f>
        <v/>
      </c>
      <c r="F1694">
        <f>IF(ISBLANK('ENGAGEMENTS 2026'!C1694),"",'ENGAGEMENTS 2026'!J1694)</f>
        <v/>
      </c>
      <c r="G1694">
        <f>IF(ISBLANK('ENGAGEMENTS 2026'!C1694),"",'ENGAGEMENTS 2026'!M1694)</f>
        <v/>
      </c>
      <c r="H1694">
        <f>IF(ISBLANK('ENGAGEMENTS 2026'!C1694),"",'ENGAGEMENTS 2026'!AF1694)</f>
        <v/>
      </c>
      <c r="I1694">
        <f>IF(ISBLANK('ENGAGEMENTS 2026'!C1694),"",'ENGAGEMENTS 2026'!H1694)</f>
        <v/>
      </c>
      <c r="J1694" s="275">
        <f>IF(ISBLANK('ENGAGEMENTS 2026'!C1694),"",IF(AND(OR($E1694="INFRUCTUEUX",$E1694="ANNULE"),$C1694="AOO-M"),'ENGAGEMENTS 2026'!P1694,IF($H1694="EN COURS DE PREENGAGEMENT",'ENGAGEMENTS 2026'!O1694,IF($H1694="PREENGAGE",IF($E1694="ATTRIBUE",'ENGAGEMENTS 2026'!AE1694,'ENGAGEMENTS 2026'!O1694),'ENGAGEMENTS 2026'!AE1694))))</f>
        <v/>
      </c>
      <c r="K1694" s="604">
        <f>IF(ISBLANK('ENGAGEMENTS 2026'!W1694),"",'ENGAGEMENTS 2026'!W1694)</f>
        <v/>
      </c>
      <c r="L1694" s="276">
        <f>IF($K1694="","",TODAY()-$K1694)</f>
        <v/>
      </c>
      <c r="M1694">
        <f>IF($A1694="","",IF($H1694="ENGAGE","Engagé",IF(AND($H1694="NON ENGAGE",OR($I1694="INFRUCTUEUX",$I1694="ANNULE")),"Clôturé sans suite","En cours")))</f>
        <v/>
      </c>
      <c r="N1694">
        <f>IF(ISBLANK('ENGAGEMENTS 2026'!C1694),"",'ENGAGEMENTS 2026'!L1694)</f>
        <v/>
      </c>
      <c r="O1694">
        <f>IF(ISBLANK('ENGAGEMENTS 2026'!C1694),"",'ENGAGEMENTS 2026'!M1694)</f>
        <v/>
      </c>
      <c r="P1694">
        <f>IF(ISBLANK('ENGAGEMENTS 2026'!C1694),"",'ENGAGEMENTS 2026'!K1694)</f>
        <v/>
      </c>
      <c r="Q1694">
        <f>IF($A1694="","",IF(OR($E1694="INFRUCTUEUX",$E1694="ANNULE"),$A1694&amp;"|"&amp;(COUNTIFS($A$2:$A1694,$A1694,$E$2:$E1694,"INFRUCTUEUX")+COUNTIFS($A$2:$A1694,$A1694,$E$2:$E1694,"ANNULE")),""))</f>
        <v/>
      </c>
    </row>
    <row r="1695">
      <c r="A1695">
        <f>IF(ISBLANK('ENGAGEMENTS 2026'!C1695),"",IF('ENGAGEMENTS 2026'!C1695="DTSI","DCT",'ENGAGEMENTS 2026'!C1695))</f>
        <v/>
      </c>
      <c r="B1695">
        <f>IF(ISBLANK('ENGAGEMENTS 2026'!C1695),"",'ENGAGEMENTS 2026'!D1695)</f>
        <v/>
      </c>
      <c r="C1695">
        <f>IF(ISBLANK('ENGAGEMENTS 2026'!C1695),"",'ENGAGEMENTS 2026'!E1695)</f>
        <v/>
      </c>
      <c r="D1695">
        <f>IF(ISBLANK('ENGAGEMENTS 2026'!C1695),"",'ENGAGEMENTS 2026'!G1695)</f>
        <v/>
      </c>
      <c r="E1695">
        <f>IF(ISBLANK('ENGAGEMENTS 2026'!C1695),"",'ENGAGEMENTS 2026'!I1695)</f>
        <v/>
      </c>
      <c r="F1695">
        <f>IF(ISBLANK('ENGAGEMENTS 2026'!C1695),"",'ENGAGEMENTS 2026'!J1695)</f>
        <v/>
      </c>
      <c r="G1695">
        <f>IF(ISBLANK('ENGAGEMENTS 2026'!C1695),"",'ENGAGEMENTS 2026'!M1695)</f>
        <v/>
      </c>
      <c r="H1695">
        <f>IF(ISBLANK('ENGAGEMENTS 2026'!C1695),"",'ENGAGEMENTS 2026'!AF1695)</f>
        <v/>
      </c>
      <c r="I1695">
        <f>IF(ISBLANK('ENGAGEMENTS 2026'!C1695),"",'ENGAGEMENTS 2026'!H1695)</f>
        <v/>
      </c>
      <c r="J1695" s="275">
        <f>IF(ISBLANK('ENGAGEMENTS 2026'!C1695),"",IF(AND(OR($E1695="INFRUCTUEUX",$E1695="ANNULE"),$C1695="AOO-M"),'ENGAGEMENTS 2026'!P1695,IF($H1695="EN COURS DE PREENGAGEMENT",'ENGAGEMENTS 2026'!O1695,IF($H1695="PREENGAGE",IF($E1695="ATTRIBUE",'ENGAGEMENTS 2026'!AE1695,'ENGAGEMENTS 2026'!O1695),'ENGAGEMENTS 2026'!AE1695))))</f>
        <v/>
      </c>
      <c r="K1695" s="604">
        <f>IF(ISBLANK('ENGAGEMENTS 2026'!W1695),"",'ENGAGEMENTS 2026'!W1695)</f>
        <v/>
      </c>
      <c r="L1695" s="276">
        <f>IF($K1695="","",TODAY()-$K1695)</f>
        <v/>
      </c>
      <c r="M1695">
        <f>IF($A1695="","",IF($H1695="ENGAGE","Engagé",IF(AND($H1695="NON ENGAGE",OR($I1695="INFRUCTUEUX",$I1695="ANNULE")),"Clôturé sans suite","En cours")))</f>
        <v/>
      </c>
      <c r="N1695">
        <f>IF(ISBLANK('ENGAGEMENTS 2026'!C1695),"",'ENGAGEMENTS 2026'!L1695)</f>
        <v/>
      </c>
      <c r="O1695">
        <f>IF(ISBLANK('ENGAGEMENTS 2026'!C1695),"",'ENGAGEMENTS 2026'!M1695)</f>
        <v/>
      </c>
      <c r="P1695">
        <f>IF(ISBLANK('ENGAGEMENTS 2026'!C1695),"",'ENGAGEMENTS 2026'!K1695)</f>
        <v/>
      </c>
      <c r="Q1695">
        <f>IF($A1695="","",IF(OR($E1695="INFRUCTUEUX",$E1695="ANNULE"),$A1695&amp;"|"&amp;(COUNTIFS($A$2:$A1695,$A1695,$E$2:$E1695,"INFRUCTUEUX")+COUNTIFS($A$2:$A1695,$A1695,$E$2:$E1695,"ANNULE")),""))</f>
        <v/>
      </c>
    </row>
    <row r="1696">
      <c r="A1696">
        <f>IF(ISBLANK('ENGAGEMENTS 2026'!C1696),"",IF('ENGAGEMENTS 2026'!C1696="DTSI","DCT",'ENGAGEMENTS 2026'!C1696))</f>
        <v/>
      </c>
      <c r="B1696">
        <f>IF(ISBLANK('ENGAGEMENTS 2026'!C1696),"",'ENGAGEMENTS 2026'!D1696)</f>
        <v/>
      </c>
      <c r="C1696">
        <f>IF(ISBLANK('ENGAGEMENTS 2026'!C1696),"",'ENGAGEMENTS 2026'!E1696)</f>
        <v/>
      </c>
      <c r="D1696">
        <f>IF(ISBLANK('ENGAGEMENTS 2026'!C1696),"",'ENGAGEMENTS 2026'!G1696)</f>
        <v/>
      </c>
      <c r="E1696">
        <f>IF(ISBLANK('ENGAGEMENTS 2026'!C1696),"",'ENGAGEMENTS 2026'!I1696)</f>
        <v/>
      </c>
      <c r="F1696">
        <f>IF(ISBLANK('ENGAGEMENTS 2026'!C1696),"",'ENGAGEMENTS 2026'!J1696)</f>
        <v/>
      </c>
      <c r="G1696">
        <f>IF(ISBLANK('ENGAGEMENTS 2026'!C1696),"",'ENGAGEMENTS 2026'!M1696)</f>
        <v/>
      </c>
      <c r="H1696">
        <f>IF(ISBLANK('ENGAGEMENTS 2026'!C1696),"",'ENGAGEMENTS 2026'!AF1696)</f>
        <v/>
      </c>
      <c r="I1696">
        <f>IF(ISBLANK('ENGAGEMENTS 2026'!C1696),"",'ENGAGEMENTS 2026'!H1696)</f>
        <v/>
      </c>
      <c r="J1696" s="275">
        <f>IF(ISBLANK('ENGAGEMENTS 2026'!C1696),"",IF(AND(OR($E1696="INFRUCTUEUX",$E1696="ANNULE"),$C1696="AOO-M"),'ENGAGEMENTS 2026'!P1696,IF($H1696="EN COURS DE PREENGAGEMENT",'ENGAGEMENTS 2026'!O1696,IF($H1696="PREENGAGE",IF($E1696="ATTRIBUE",'ENGAGEMENTS 2026'!AE1696,'ENGAGEMENTS 2026'!O1696),'ENGAGEMENTS 2026'!AE1696))))</f>
        <v/>
      </c>
      <c r="K1696" s="604">
        <f>IF(ISBLANK('ENGAGEMENTS 2026'!W1696),"",'ENGAGEMENTS 2026'!W1696)</f>
        <v/>
      </c>
      <c r="L1696" s="276">
        <f>IF($K1696="","",TODAY()-$K1696)</f>
        <v/>
      </c>
      <c r="M1696">
        <f>IF($A1696="","",IF($H1696="ENGAGE","Engagé",IF(AND($H1696="NON ENGAGE",OR($I1696="INFRUCTUEUX",$I1696="ANNULE")),"Clôturé sans suite","En cours")))</f>
        <v/>
      </c>
      <c r="N1696">
        <f>IF(ISBLANK('ENGAGEMENTS 2026'!C1696),"",'ENGAGEMENTS 2026'!L1696)</f>
        <v/>
      </c>
      <c r="O1696">
        <f>IF(ISBLANK('ENGAGEMENTS 2026'!C1696),"",'ENGAGEMENTS 2026'!M1696)</f>
        <v/>
      </c>
      <c r="P1696">
        <f>IF(ISBLANK('ENGAGEMENTS 2026'!C1696),"",'ENGAGEMENTS 2026'!K1696)</f>
        <v/>
      </c>
      <c r="Q1696">
        <f>IF($A1696="","",IF(OR($E1696="INFRUCTUEUX",$E1696="ANNULE"),$A1696&amp;"|"&amp;(COUNTIFS($A$2:$A1696,$A1696,$E$2:$E1696,"INFRUCTUEUX")+COUNTIFS($A$2:$A1696,$A1696,$E$2:$E1696,"ANNULE")),""))</f>
        <v/>
      </c>
    </row>
    <row r="1697">
      <c r="A1697">
        <f>IF(ISBLANK('ENGAGEMENTS 2026'!C1697),"",IF('ENGAGEMENTS 2026'!C1697="DTSI","DCT",'ENGAGEMENTS 2026'!C1697))</f>
        <v/>
      </c>
      <c r="B1697">
        <f>IF(ISBLANK('ENGAGEMENTS 2026'!C1697),"",'ENGAGEMENTS 2026'!D1697)</f>
        <v/>
      </c>
      <c r="C1697">
        <f>IF(ISBLANK('ENGAGEMENTS 2026'!C1697),"",'ENGAGEMENTS 2026'!E1697)</f>
        <v/>
      </c>
      <c r="D1697">
        <f>IF(ISBLANK('ENGAGEMENTS 2026'!C1697),"",'ENGAGEMENTS 2026'!G1697)</f>
        <v/>
      </c>
      <c r="E1697">
        <f>IF(ISBLANK('ENGAGEMENTS 2026'!C1697),"",'ENGAGEMENTS 2026'!I1697)</f>
        <v/>
      </c>
      <c r="F1697">
        <f>IF(ISBLANK('ENGAGEMENTS 2026'!C1697),"",'ENGAGEMENTS 2026'!J1697)</f>
        <v/>
      </c>
      <c r="G1697">
        <f>IF(ISBLANK('ENGAGEMENTS 2026'!C1697),"",'ENGAGEMENTS 2026'!M1697)</f>
        <v/>
      </c>
      <c r="H1697">
        <f>IF(ISBLANK('ENGAGEMENTS 2026'!C1697),"",'ENGAGEMENTS 2026'!AF1697)</f>
        <v/>
      </c>
      <c r="I1697">
        <f>IF(ISBLANK('ENGAGEMENTS 2026'!C1697),"",'ENGAGEMENTS 2026'!H1697)</f>
        <v/>
      </c>
      <c r="J1697" s="275">
        <f>IF(ISBLANK('ENGAGEMENTS 2026'!C1697),"",IF(AND(OR($E1697="INFRUCTUEUX",$E1697="ANNULE"),$C1697="AOO-M"),'ENGAGEMENTS 2026'!P1697,IF($H1697="EN COURS DE PREENGAGEMENT",'ENGAGEMENTS 2026'!O1697,IF($H1697="PREENGAGE",IF($E1697="ATTRIBUE",'ENGAGEMENTS 2026'!AE1697,'ENGAGEMENTS 2026'!O1697),'ENGAGEMENTS 2026'!AE1697))))</f>
        <v/>
      </c>
      <c r="K1697" s="604">
        <f>IF(ISBLANK('ENGAGEMENTS 2026'!W1697),"",'ENGAGEMENTS 2026'!W1697)</f>
        <v/>
      </c>
      <c r="L1697" s="276">
        <f>IF($K1697="","",TODAY()-$K1697)</f>
        <v/>
      </c>
      <c r="M1697">
        <f>IF($A1697="","",IF($H1697="ENGAGE","Engagé",IF(AND($H1697="NON ENGAGE",OR($I1697="INFRUCTUEUX",$I1697="ANNULE")),"Clôturé sans suite","En cours")))</f>
        <v/>
      </c>
      <c r="N1697">
        <f>IF(ISBLANK('ENGAGEMENTS 2026'!C1697),"",'ENGAGEMENTS 2026'!L1697)</f>
        <v/>
      </c>
      <c r="O1697">
        <f>IF(ISBLANK('ENGAGEMENTS 2026'!C1697),"",'ENGAGEMENTS 2026'!M1697)</f>
        <v/>
      </c>
      <c r="P1697">
        <f>IF(ISBLANK('ENGAGEMENTS 2026'!C1697),"",'ENGAGEMENTS 2026'!K1697)</f>
        <v/>
      </c>
      <c r="Q1697">
        <f>IF($A1697="","",IF(OR($E1697="INFRUCTUEUX",$E1697="ANNULE"),$A1697&amp;"|"&amp;(COUNTIFS($A$2:$A1697,$A1697,$E$2:$E1697,"INFRUCTUEUX")+COUNTIFS($A$2:$A1697,$A1697,$E$2:$E1697,"ANNULE")),""))</f>
        <v/>
      </c>
    </row>
    <row r="1698">
      <c r="A1698">
        <f>IF(ISBLANK('ENGAGEMENTS 2026'!C1698),"",IF('ENGAGEMENTS 2026'!C1698="DTSI","DCT",'ENGAGEMENTS 2026'!C1698))</f>
        <v/>
      </c>
      <c r="B1698">
        <f>IF(ISBLANK('ENGAGEMENTS 2026'!C1698),"",'ENGAGEMENTS 2026'!D1698)</f>
        <v/>
      </c>
      <c r="C1698">
        <f>IF(ISBLANK('ENGAGEMENTS 2026'!C1698),"",'ENGAGEMENTS 2026'!E1698)</f>
        <v/>
      </c>
      <c r="D1698">
        <f>IF(ISBLANK('ENGAGEMENTS 2026'!C1698),"",'ENGAGEMENTS 2026'!G1698)</f>
        <v/>
      </c>
      <c r="E1698">
        <f>IF(ISBLANK('ENGAGEMENTS 2026'!C1698),"",'ENGAGEMENTS 2026'!I1698)</f>
        <v/>
      </c>
      <c r="F1698">
        <f>IF(ISBLANK('ENGAGEMENTS 2026'!C1698),"",'ENGAGEMENTS 2026'!J1698)</f>
        <v/>
      </c>
      <c r="G1698">
        <f>IF(ISBLANK('ENGAGEMENTS 2026'!C1698),"",'ENGAGEMENTS 2026'!M1698)</f>
        <v/>
      </c>
      <c r="H1698">
        <f>IF(ISBLANK('ENGAGEMENTS 2026'!C1698),"",'ENGAGEMENTS 2026'!AF1698)</f>
        <v/>
      </c>
      <c r="I1698">
        <f>IF(ISBLANK('ENGAGEMENTS 2026'!C1698),"",'ENGAGEMENTS 2026'!H1698)</f>
        <v/>
      </c>
      <c r="J1698" s="275">
        <f>IF(ISBLANK('ENGAGEMENTS 2026'!C1698),"",IF(AND(OR($E1698="INFRUCTUEUX",$E1698="ANNULE"),$C1698="AOO-M"),'ENGAGEMENTS 2026'!P1698,IF($H1698="EN COURS DE PREENGAGEMENT",'ENGAGEMENTS 2026'!O1698,IF($H1698="PREENGAGE",IF($E1698="ATTRIBUE",'ENGAGEMENTS 2026'!AE1698,'ENGAGEMENTS 2026'!O1698),'ENGAGEMENTS 2026'!AE1698))))</f>
        <v/>
      </c>
      <c r="K1698" s="604">
        <f>IF(ISBLANK('ENGAGEMENTS 2026'!W1698),"",'ENGAGEMENTS 2026'!W1698)</f>
        <v/>
      </c>
      <c r="L1698" s="276">
        <f>IF($K1698="","",TODAY()-$K1698)</f>
        <v/>
      </c>
      <c r="M1698">
        <f>IF($A1698="","",IF($H1698="ENGAGE","Engagé",IF(AND($H1698="NON ENGAGE",OR($I1698="INFRUCTUEUX",$I1698="ANNULE")),"Clôturé sans suite","En cours")))</f>
        <v/>
      </c>
      <c r="N1698">
        <f>IF(ISBLANK('ENGAGEMENTS 2026'!C1698),"",'ENGAGEMENTS 2026'!L1698)</f>
        <v/>
      </c>
      <c r="O1698">
        <f>IF(ISBLANK('ENGAGEMENTS 2026'!C1698),"",'ENGAGEMENTS 2026'!M1698)</f>
        <v/>
      </c>
      <c r="P1698">
        <f>IF(ISBLANK('ENGAGEMENTS 2026'!C1698),"",'ENGAGEMENTS 2026'!K1698)</f>
        <v/>
      </c>
      <c r="Q1698">
        <f>IF($A1698="","",IF(OR($E1698="INFRUCTUEUX",$E1698="ANNULE"),$A1698&amp;"|"&amp;(COUNTIFS($A$2:$A1698,$A1698,$E$2:$E1698,"INFRUCTUEUX")+COUNTIFS($A$2:$A1698,$A1698,$E$2:$E1698,"ANNULE")),""))</f>
        <v/>
      </c>
    </row>
    <row r="1699">
      <c r="A1699">
        <f>IF(ISBLANK('ENGAGEMENTS 2026'!C1699),"",IF('ENGAGEMENTS 2026'!C1699="DTSI","DCT",'ENGAGEMENTS 2026'!C1699))</f>
        <v/>
      </c>
      <c r="B1699">
        <f>IF(ISBLANK('ENGAGEMENTS 2026'!C1699),"",'ENGAGEMENTS 2026'!D1699)</f>
        <v/>
      </c>
      <c r="C1699">
        <f>IF(ISBLANK('ENGAGEMENTS 2026'!C1699),"",'ENGAGEMENTS 2026'!E1699)</f>
        <v/>
      </c>
      <c r="D1699">
        <f>IF(ISBLANK('ENGAGEMENTS 2026'!C1699),"",'ENGAGEMENTS 2026'!G1699)</f>
        <v/>
      </c>
      <c r="E1699">
        <f>IF(ISBLANK('ENGAGEMENTS 2026'!C1699),"",'ENGAGEMENTS 2026'!I1699)</f>
        <v/>
      </c>
      <c r="F1699">
        <f>IF(ISBLANK('ENGAGEMENTS 2026'!C1699),"",'ENGAGEMENTS 2026'!J1699)</f>
        <v/>
      </c>
      <c r="G1699">
        <f>IF(ISBLANK('ENGAGEMENTS 2026'!C1699),"",'ENGAGEMENTS 2026'!M1699)</f>
        <v/>
      </c>
      <c r="H1699">
        <f>IF(ISBLANK('ENGAGEMENTS 2026'!C1699),"",'ENGAGEMENTS 2026'!AF1699)</f>
        <v/>
      </c>
      <c r="I1699">
        <f>IF(ISBLANK('ENGAGEMENTS 2026'!C1699),"",'ENGAGEMENTS 2026'!H1699)</f>
        <v/>
      </c>
      <c r="J1699" s="275">
        <f>IF(ISBLANK('ENGAGEMENTS 2026'!C1699),"",IF(AND(OR($E1699="INFRUCTUEUX",$E1699="ANNULE"),$C1699="AOO-M"),'ENGAGEMENTS 2026'!P1699,IF($H1699="EN COURS DE PREENGAGEMENT",'ENGAGEMENTS 2026'!O1699,IF($H1699="PREENGAGE",IF($E1699="ATTRIBUE",'ENGAGEMENTS 2026'!AE1699,'ENGAGEMENTS 2026'!O1699),'ENGAGEMENTS 2026'!AE1699))))</f>
        <v/>
      </c>
      <c r="K1699" s="604">
        <f>IF(ISBLANK('ENGAGEMENTS 2026'!W1699),"",'ENGAGEMENTS 2026'!W1699)</f>
        <v/>
      </c>
      <c r="L1699" s="276">
        <f>IF($K1699="","",TODAY()-$K1699)</f>
        <v/>
      </c>
      <c r="M1699">
        <f>IF($A1699="","",IF($H1699="ENGAGE","Engagé",IF(AND($H1699="NON ENGAGE",OR($I1699="INFRUCTUEUX",$I1699="ANNULE")),"Clôturé sans suite","En cours")))</f>
        <v/>
      </c>
      <c r="N1699">
        <f>IF(ISBLANK('ENGAGEMENTS 2026'!C1699),"",'ENGAGEMENTS 2026'!L1699)</f>
        <v/>
      </c>
      <c r="O1699">
        <f>IF(ISBLANK('ENGAGEMENTS 2026'!C1699),"",'ENGAGEMENTS 2026'!M1699)</f>
        <v/>
      </c>
      <c r="P1699">
        <f>IF(ISBLANK('ENGAGEMENTS 2026'!C1699),"",'ENGAGEMENTS 2026'!K1699)</f>
        <v/>
      </c>
      <c r="Q1699">
        <f>IF($A1699="","",IF(OR($E1699="INFRUCTUEUX",$E1699="ANNULE"),$A1699&amp;"|"&amp;(COUNTIFS($A$2:$A1699,$A1699,$E$2:$E1699,"INFRUCTUEUX")+COUNTIFS($A$2:$A1699,$A1699,$E$2:$E1699,"ANNULE")),""))</f>
        <v/>
      </c>
    </row>
    <row r="1700">
      <c r="A1700">
        <f>IF(ISBLANK('ENGAGEMENTS 2026'!C1700),"",IF('ENGAGEMENTS 2026'!C1700="DTSI","DCT",'ENGAGEMENTS 2026'!C1700))</f>
        <v/>
      </c>
      <c r="B1700">
        <f>IF(ISBLANK('ENGAGEMENTS 2026'!C1700),"",'ENGAGEMENTS 2026'!D1700)</f>
        <v/>
      </c>
      <c r="C1700">
        <f>IF(ISBLANK('ENGAGEMENTS 2026'!C1700),"",'ENGAGEMENTS 2026'!E1700)</f>
        <v/>
      </c>
      <c r="D1700">
        <f>IF(ISBLANK('ENGAGEMENTS 2026'!C1700),"",'ENGAGEMENTS 2026'!G1700)</f>
        <v/>
      </c>
      <c r="E1700">
        <f>IF(ISBLANK('ENGAGEMENTS 2026'!C1700),"",'ENGAGEMENTS 2026'!I1700)</f>
        <v/>
      </c>
      <c r="F1700">
        <f>IF(ISBLANK('ENGAGEMENTS 2026'!C1700),"",'ENGAGEMENTS 2026'!J1700)</f>
        <v/>
      </c>
      <c r="G1700">
        <f>IF(ISBLANK('ENGAGEMENTS 2026'!C1700),"",'ENGAGEMENTS 2026'!M1700)</f>
        <v/>
      </c>
      <c r="H1700">
        <f>IF(ISBLANK('ENGAGEMENTS 2026'!C1700),"",'ENGAGEMENTS 2026'!AF1700)</f>
        <v/>
      </c>
      <c r="I1700">
        <f>IF(ISBLANK('ENGAGEMENTS 2026'!C1700),"",'ENGAGEMENTS 2026'!H1700)</f>
        <v/>
      </c>
      <c r="J1700" s="275">
        <f>IF(ISBLANK('ENGAGEMENTS 2026'!C1700),"",IF(AND(OR($E1700="INFRUCTUEUX",$E1700="ANNULE"),$C1700="AOO-M"),'ENGAGEMENTS 2026'!P1700,IF($H1700="EN COURS DE PREENGAGEMENT",'ENGAGEMENTS 2026'!O1700,IF($H1700="PREENGAGE",IF($E1700="ATTRIBUE",'ENGAGEMENTS 2026'!AE1700,'ENGAGEMENTS 2026'!O1700),'ENGAGEMENTS 2026'!AE1700))))</f>
        <v/>
      </c>
      <c r="K1700" s="604">
        <f>IF(ISBLANK('ENGAGEMENTS 2026'!W1700),"",'ENGAGEMENTS 2026'!W1700)</f>
        <v/>
      </c>
      <c r="L1700" s="276">
        <f>IF($K1700="","",TODAY()-$K1700)</f>
        <v/>
      </c>
      <c r="M1700">
        <f>IF($A1700="","",IF($H1700="ENGAGE","Engagé",IF(AND($H1700="NON ENGAGE",OR($I1700="INFRUCTUEUX",$I1700="ANNULE")),"Clôturé sans suite","En cours")))</f>
        <v/>
      </c>
      <c r="N1700">
        <f>IF(ISBLANK('ENGAGEMENTS 2026'!C1700),"",'ENGAGEMENTS 2026'!L1700)</f>
        <v/>
      </c>
      <c r="O1700">
        <f>IF(ISBLANK('ENGAGEMENTS 2026'!C1700),"",'ENGAGEMENTS 2026'!M1700)</f>
        <v/>
      </c>
      <c r="P1700">
        <f>IF(ISBLANK('ENGAGEMENTS 2026'!C1700),"",'ENGAGEMENTS 2026'!K1700)</f>
        <v/>
      </c>
      <c r="Q1700">
        <f>IF($A1700="","",IF(OR($E1700="INFRUCTUEUX",$E1700="ANNULE"),$A1700&amp;"|"&amp;(COUNTIFS($A$2:$A1700,$A1700,$E$2:$E1700,"INFRUCTUEUX")+COUNTIFS($A$2:$A1700,$A1700,$E$2:$E1700,"ANNULE")),""))</f>
        <v/>
      </c>
    </row>
    <row r="1701">
      <c r="A1701">
        <f>IF(ISBLANK('ENGAGEMENTS 2026'!C1701),"",IF('ENGAGEMENTS 2026'!C1701="DTSI","DCT",'ENGAGEMENTS 2026'!C1701))</f>
        <v/>
      </c>
      <c r="B1701">
        <f>IF(ISBLANK('ENGAGEMENTS 2026'!C1701),"",'ENGAGEMENTS 2026'!D1701)</f>
        <v/>
      </c>
      <c r="C1701">
        <f>IF(ISBLANK('ENGAGEMENTS 2026'!C1701),"",'ENGAGEMENTS 2026'!E1701)</f>
        <v/>
      </c>
      <c r="D1701">
        <f>IF(ISBLANK('ENGAGEMENTS 2026'!C1701),"",'ENGAGEMENTS 2026'!G1701)</f>
        <v/>
      </c>
      <c r="E1701">
        <f>IF(ISBLANK('ENGAGEMENTS 2026'!C1701),"",'ENGAGEMENTS 2026'!I1701)</f>
        <v/>
      </c>
      <c r="F1701">
        <f>IF(ISBLANK('ENGAGEMENTS 2026'!C1701),"",'ENGAGEMENTS 2026'!J1701)</f>
        <v/>
      </c>
      <c r="G1701">
        <f>IF(ISBLANK('ENGAGEMENTS 2026'!C1701),"",'ENGAGEMENTS 2026'!M1701)</f>
        <v/>
      </c>
      <c r="H1701">
        <f>IF(ISBLANK('ENGAGEMENTS 2026'!C1701),"",'ENGAGEMENTS 2026'!AF1701)</f>
        <v/>
      </c>
      <c r="I1701">
        <f>IF(ISBLANK('ENGAGEMENTS 2026'!C1701),"",'ENGAGEMENTS 2026'!H1701)</f>
        <v/>
      </c>
      <c r="J1701" s="275">
        <f>IF(ISBLANK('ENGAGEMENTS 2026'!C1701),"",IF(AND(OR($E1701="INFRUCTUEUX",$E1701="ANNULE"),$C1701="AOO-M"),'ENGAGEMENTS 2026'!P1701,IF($H1701="EN COURS DE PREENGAGEMENT",'ENGAGEMENTS 2026'!O1701,IF($H1701="PREENGAGE",IF($E1701="ATTRIBUE",'ENGAGEMENTS 2026'!AE1701,'ENGAGEMENTS 2026'!O1701),'ENGAGEMENTS 2026'!AE1701))))</f>
        <v/>
      </c>
      <c r="K1701" s="604">
        <f>IF(ISBLANK('ENGAGEMENTS 2026'!W1701),"",'ENGAGEMENTS 2026'!W1701)</f>
        <v/>
      </c>
      <c r="L1701" s="276">
        <f>IF($K1701="","",TODAY()-$K1701)</f>
        <v/>
      </c>
      <c r="M1701">
        <f>IF($A1701="","",IF($H1701="ENGAGE","Engagé",IF(AND($H1701="NON ENGAGE",OR($I1701="INFRUCTUEUX",$I1701="ANNULE")),"Clôturé sans suite","En cours")))</f>
        <v/>
      </c>
      <c r="N1701">
        <f>IF(ISBLANK('ENGAGEMENTS 2026'!C1701),"",'ENGAGEMENTS 2026'!L1701)</f>
        <v/>
      </c>
      <c r="O1701">
        <f>IF(ISBLANK('ENGAGEMENTS 2026'!C1701),"",'ENGAGEMENTS 2026'!M1701)</f>
        <v/>
      </c>
      <c r="P1701">
        <f>IF(ISBLANK('ENGAGEMENTS 2026'!C1701),"",'ENGAGEMENTS 2026'!K1701)</f>
        <v/>
      </c>
      <c r="Q1701">
        <f>IF($A1701="","",IF(OR($E1701="INFRUCTUEUX",$E1701="ANNULE"),$A1701&amp;"|"&amp;(COUNTIFS($A$2:$A1701,$A1701,$E$2:$E1701,"INFRUCTUEUX")+COUNTIFS($A$2:$A1701,$A1701,$E$2:$E1701,"ANNULE")),""))</f>
        <v/>
      </c>
    </row>
    <row r="1702">
      <c r="A1702">
        <f>IF(ISBLANK('ENGAGEMENTS 2026'!C1702),"",IF('ENGAGEMENTS 2026'!C1702="DTSI","DCT",'ENGAGEMENTS 2026'!C1702))</f>
        <v/>
      </c>
      <c r="B1702">
        <f>IF(ISBLANK('ENGAGEMENTS 2026'!C1702),"",'ENGAGEMENTS 2026'!D1702)</f>
        <v/>
      </c>
      <c r="C1702">
        <f>IF(ISBLANK('ENGAGEMENTS 2026'!C1702),"",'ENGAGEMENTS 2026'!E1702)</f>
        <v/>
      </c>
      <c r="D1702">
        <f>IF(ISBLANK('ENGAGEMENTS 2026'!C1702),"",'ENGAGEMENTS 2026'!G1702)</f>
        <v/>
      </c>
      <c r="E1702">
        <f>IF(ISBLANK('ENGAGEMENTS 2026'!C1702),"",'ENGAGEMENTS 2026'!I1702)</f>
        <v/>
      </c>
      <c r="F1702">
        <f>IF(ISBLANK('ENGAGEMENTS 2026'!C1702),"",'ENGAGEMENTS 2026'!J1702)</f>
        <v/>
      </c>
      <c r="G1702">
        <f>IF(ISBLANK('ENGAGEMENTS 2026'!C1702),"",'ENGAGEMENTS 2026'!M1702)</f>
        <v/>
      </c>
      <c r="H1702">
        <f>IF(ISBLANK('ENGAGEMENTS 2026'!C1702),"",'ENGAGEMENTS 2026'!AF1702)</f>
        <v/>
      </c>
      <c r="I1702">
        <f>IF(ISBLANK('ENGAGEMENTS 2026'!C1702),"",'ENGAGEMENTS 2026'!H1702)</f>
        <v/>
      </c>
      <c r="J1702" s="275">
        <f>IF(ISBLANK('ENGAGEMENTS 2026'!C1702),"",IF(AND(OR($E1702="INFRUCTUEUX",$E1702="ANNULE"),$C1702="AOO-M"),'ENGAGEMENTS 2026'!P1702,IF($H1702="EN COURS DE PREENGAGEMENT",'ENGAGEMENTS 2026'!O1702,IF($H1702="PREENGAGE",IF($E1702="ATTRIBUE",'ENGAGEMENTS 2026'!AE1702,'ENGAGEMENTS 2026'!O1702),'ENGAGEMENTS 2026'!AE1702))))</f>
        <v/>
      </c>
      <c r="K1702" s="604">
        <f>IF(ISBLANK('ENGAGEMENTS 2026'!W1702),"",'ENGAGEMENTS 2026'!W1702)</f>
        <v/>
      </c>
      <c r="L1702" s="276">
        <f>IF($K1702="","",TODAY()-$K1702)</f>
        <v/>
      </c>
      <c r="M1702">
        <f>IF($A1702="","",IF($H1702="ENGAGE","Engagé",IF(AND($H1702="NON ENGAGE",OR($I1702="INFRUCTUEUX",$I1702="ANNULE")),"Clôturé sans suite","En cours")))</f>
        <v/>
      </c>
      <c r="N1702">
        <f>IF(ISBLANK('ENGAGEMENTS 2026'!C1702),"",'ENGAGEMENTS 2026'!L1702)</f>
        <v/>
      </c>
      <c r="O1702">
        <f>IF(ISBLANK('ENGAGEMENTS 2026'!C1702),"",'ENGAGEMENTS 2026'!M1702)</f>
        <v/>
      </c>
      <c r="P1702">
        <f>IF(ISBLANK('ENGAGEMENTS 2026'!C1702),"",'ENGAGEMENTS 2026'!K1702)</f>
        <v/>
      </c>
      <c r="Q1702">
        <f>IF($A1702="","",IF(OR($E1702="INFRUCTUEUX",$E1702="ANNULE"),$A1702&amp;"|"&amp;(COUNTIFS($A$2:$A1702,$A1702,$E$2:$E1702,"INFRUCTUEUX")+COUNTIFS($A$2:$A1702,$A1702,$E$2:$E1702,"ANNULE")),""))</f>
        <v/>
      </c>
    </row>
    <row r="1703">
      <c r="A1703">
        <f>IF(ISBLANK('ENGAGEMENTS 2026'!C1703),"",IF('ENGAGEMENTS 2026'!C1703="DTSI","DCT",'ENGAGEMENTS 2026'!C1703))</f>
        <v/>
      </c>
      <c r="B1703">
        <f>IF(ISBLANK('ENGAGEMENTS 2026'!C1703),"",'ENGAGEMENTS 2026'!D1703)</f>
        <v/>
      </c>
      <c r="C1703">
        <f>IF(ISBLANK('ENGAGEMENTS 2026'!C1703),"",'ENGAGEMENTS 2026'!E1703)</f>
        <v/>
      </c>
      <c r="D1703">
        <f>IF(ISBLANK('ENGAGEMENTS 2026'!C1703),"",'ENGAGEMENTS 2026'!G1703)</f>
        <v/>
      </c>
      <c r="E1703">
        <f>IF(ISBLANK('ENGAGEMENTS 2026'!C1703),"",'ENGAGEMENTS 2026'!I1703)</f>
        <v/>
      </c>
      <c r="F1703">
        <f>IF(ISBLANK('ENGAGEMENTS 2026'!C1703),"",'ENGAGEMENTS 2026'!J1703)</f>
        <v/>
      </c>
      <c r="G1703">
        <f>IF(ISBLANK('ENGAGEMENTS 2026'!C1703),"",'ENGAGEMENTS 2026'!M1703)</f>
        <v/>
      </c>
      <c r="H1703">
        <f>IF(ISBLANK('ENGAGEMENTS 2026'!C1703),"",'ENGAGEMENTS 2026'!AF1703)</f>
        <v/>
      </c>
      <c r="I1703">
        <f>IF(ISBLANK('ENGAGEMENTS 2026'!C1703),"",'ENGAGEMENTS 2026'!H1703)</f>
        <v/>
      </c>
      <c r="J1703" s="275">
        <f>IF(ISBLANK('ENGAGEMENTS 2026'!C1703),"",IF(AND(OR($E1703="INFRUCTUEUX",$E1703="ANNULE"),$C1703="AOO-M"),'ENGAGEMENTS 2026'!P1703,IF($H1703="EN COURS DE PREENGAGEMENT",'ENGAGEMENTS 2026'!O1703,IF($H1703="PREENGAGE",IF($E1703="ATTRIBUE",'ENGAGEMENTS 2026'!AE1703,'ENGAGEMENTS 2026'!O1703),'ENGAGEMENTS 2026'!AE1703))))</f>
        <v/>
      </c>
      <c r="K1703" s="604">
        <f>IF(ISBLANK('ENGAGEMENTS 2026'!W1703),"",'ENGAGEMENTS 2026'!W1703)</f>
        <v/>
      </c>
      <c r="L1703" s="276">
        <f>IF($K1703="","",TODAY()-$K1703)</f>
        <v/>
      </c>
      <c r="M1703">
        <f>IF($A1703="","",IF($H1703="ENGAGE","Engagé",IF(AND($H1703="NON ENGAGE",OR($I1703="INFRUCTUEUX",$I1703="ANNULE")),"Clôturé sans suite","En cours")))</f>
        <v/>
      </c>
      <c r="N1703">
        <f>IF(ISBLANK('ENGAGEMENTS 2026'!C1703),"",'ENGAGEMENTS 2026'!L1703)</f>
        <v/>
      </c>
      <c r="O1703">
        <f>IF(ISBLANK('ENGAGEMENTS 2026'!C1703),"",'ENGAGEMENTS 2026'!M1703)</f>
        <v/>
      </c>
      <c r="P1703">
        <f>IF(ISBLANK('ENGAGEMENTS 2026'!C1703),"",'ENGAGEMENTS 2026'!K1703)</f>
        <v/>
      </c>
      <c r="Q1703">
        <f>IF($A1703="","",IF(OR($E1703="INFRUCTUEUX",$E1703="ANNULE"),$A1703&amp;"|"&amp;(COUNTIFS($A$2:$A1703,$A1703,$E$2:$E1703,"INFRUCTUEUX")+COUNTIFS($A$2:$A1703,$A1703,$E$2:$E1703,"ANNULE")),""))</f>
        <v/>
      </c>
    </row>
    <row r="1704">
      <c r="A1704">
        <f>IF(ISBLANK('ENGAGEMENTS 2026'!C1704),"",IF('ENGAGEMENTS 2026'!C1704="DTSI","DCT",'ENGAGEMENTS 2026'!C1704))</f>
        <v/>
      </c>
      <c r="B1704">
        <f>IF(ISBLANK('ENGAGEMENTS 2026'!C1704),"",'ENGAGEMENTS 2026'!D1704)</f>
        <v/>
      </c>
      <c r="C1704">
        <f>IF(ISBLANK('ENGAGEMENTS 2026'!C1704),"",'ENGAGEMENTS 2026'!E1704)</f>
        <v/>
      </c>
      <c r="D1704">
        <f>IF(ISBLANK('ENGAGEMENTS 2026'!C1704),"",'ENGAGEMENTS 2026'!G1704)</f>
        <v/>
      </c>
      <c r="E1704">
        <f>IF(ISBLANK('ENGAGEMENTS 2026'!C1704),"",'ENGAGEMENTS 2026'!I1704)</f>
        <v/>
      </c>
      <c r="F1704">
        <f>IF(ISBLANK('ENGAGEMENTS 2026'!C1704),"",'ENGAGEMENTS 2026'!J1704)</f>
        <v/>
      </c>
      <c r="G1704">
        <f>IF(ISBLANK('ENGAGEMENTS 2026'!C1704),"",'ENGAGEMENTS 2026'!M1704)</f>
        <v/>
      </c>
      <c r="H1704">
        <f>IF(ISBLANK('ENGAGEMENTS 2026'!C1704),"",'ENGAGEMENTS 2026'!AF1704)</f>
        <v/>
      </c>
      <c r="I1704">
        <f>IF(ISBLANK('ENGAGEMENTS 2026'!C1704),"",'ENGAGEMENTS 2026'!H1704)</f>
        <v/>
      </c>
      <c r="J1704" s="275">
        <f>IF(ISBLANK('ENGAGEMENTS 2026'!C1704),"",IF(AND(OR($E1704="INFRUCTUEUX",$E1704="ANNULE"),$C1704="AOO-M"),'ENGAGEMENTS 2026'!P1704,IF($H1704="EN COURS DE PREENGAGEMENT",'ENGAGEMENTS 2026'!O1704,IF($H1704="PREENGAGE",IF($E1704="ATTRIBUE",'ENGAGEMENTS 2026'!AE1704,'ENGAGEMENTS 2026'!O1704),'ENGAGEMENTS 2026'!AE1704))))</f>
        <v/>
      </c>
      <c r="K1704" s="604">
        <f>IF(ISBLANK('ENGAGEMENTS 2026'!W1704),"",'ENGAGEMENTS 2026'!W1704)</f>
        <v/>
      </c>
      <c r="L1704" s="276">
        <f>IF($K1704="","",TODAY()-$K1704)</f>
        <v/>
      </c>
      <c r="M1704">
        <f>IF($A1704="","",IF($H1704="ENGAGE","Engagé",IF(AND($H1704="NON ENGAGE",OR($I1704="INFRUCTUEUX",$I1704="ANNULE")),"Clôturé sans suite","En cours")))</f>
        <v/>
      </c>
      <c r="N1704">
        <f>IF(ISBLANK('ENGAGEMENTS 2026'!C1704),"",'ENGAGEMENTS 2026'!L1704)</f>
        <v/>
      </c>
      <c r="O1704">
        <f>IF(ISBLANK('ENGAGEMENTS 2026'!C1704),"",'ENGAGEMENTS 2026'!M1704)</f>
        <v/>
      </c>
      <c r="P1704">
        <f>IF(ISBLANK('ENGAGEMENTS 2026'!C1704),"",'ENGAGEMENTS 2026'!K1704)</f>
        <v/>
      </c>
      <c r="Q1704">
        <f>IF($A1704="","",IF(OR($E1704="INFRUCTUEUX",$E1704="ANNULE"),$A1704&amp;"|"&amp;(COUNTIFS($A$2:$A1704,$A1704,$E$2:$E1704,"INFRUCTUEUX")+COUNTIFS($A$2:$A1704,$A1704,$E$2:$E1704,"ANNULE")),""))</f>
        <v/>
      </c>
    </row>
    <row r="1705">
      <c r="A1705">
        <f>IF(ISBLANK('ENGAGEMENTS 2026'!C1705),"",IF('ENGAGEMENTS 2026'!C1705="DTSI","DCT",'ENGAGEMENTS 2026'!C1705))</f>
        <v/>
      </c>
      <c r="B1705">
        <f>IF(ISBLANK('ENGAGEMENTS 2026'!C1705),"",'ENGAGEMENTS 2026'!D1705)</f>
        <v/>
      </c>
      <c r="C1705">
        <f>IF(ISBLANK('ENGAGEMENTS 2026'!C1705),"",'ENGAGEMENTS 2026'!E1705)</f>
        <v/>
      </c>
      <c r="D1705">
        <f>IF(ISBLANK('ENGAGEMENTS 2026'!C1705),"",'ENGAGEMENTS 2026'!G1705)</f>
        <v/>
      </c>
      <c r="E1705">
        <f>IF(ISBLANK('ENGAGEMENTS 2026'!C1705),"",'ENGAGEMENTS 2026'!I1705)</f>
        <v/>
      </c>
      <c r="F1705">
        <f>IF(ISBLANK('ENGAGEMENTS 2026'!C1705),"",'ENGAGEMENTS 2026'!J1705)</f>
        <v/>
      </c>
      <c r="G1705">
        <f>IF(ISBLANK('ENGAGEMENTS 2026'!C1705),"",'ENGAGEMENTS 2026'!M1705)</f>
        <v/>
      </c>
      <c r="H1705">
        <f>IF(ISBLANK('ENGAGEMENTS 2026'!C1705),"",'ENGAGEMENTS 2026'!AF1705)</f>
        <v/>
      </c>
      <c r="I1705">
        <f>IF(ISBLANK('ENGAGEMENTS 2026'!C1705),"",'ENGAGEMENTS 2026'!H1705)</f>
        <v/>
      </c>
      <c r="J1705" s="275">
        <f>IF(ISBLANK('ENGAGEMENTS 2026'!C1705),"",IF(AND(OR($E1705="INFRUCTUEUX",$E1705="ANNULE"),$C1705="AOO-M"),'ENGAGEMENTS 2026'!P1705,IF($H1705="EN COURS DE PREENGAGEMENT",'ENGAGEMENTS 2026'!O1705,IF($H1705="PREENGAGE",IF($E1705="ATTRIBUE",'ENGAGEMENTS 2026'!AE1705,'ENGAGEMENTS 2026'!O1705),'ENGAGEMENTS 2026'!AE1705))))</f>
        <v/>
      </c>
      <c r="K1705" s="604">
        <f>IF(ISBLANK('ENGAGEMENTS 2026'!W1705),"",'ENGAGEMENTS 2026'!W1705)</f>
        <v/>
      </c>
      <c r="L1705" s="276">
        <f>IF($K1705="","",TODAY()-$K1705)</f>
        <v/>
      </c>
      <c r="M1705">
        <f>IF($A1705="","",IF($H1705="ENGAGE","Engagé",IF(AND($H1705="NON ENGAGE",OR($I1705="INFRUCTUEUX",$I1705="ANNULE")),"Clôturé sans suite","En cours")))</f>
        <v/>
      </c>
      <c r="N1705">
        <f>IF(ISBLANK('ENGAGEMENTS 2026'!C1705),"",'ENGAGEMENTS 2026'!L1705)</f>
        <v/>
      </c>
      <c r="O1705">
        <f>IF(ISBLANK('ENGAGEMENTS 2026'!C1705),"",'ENGAGEMENTS 2026'!M1705)</f>
        <v/>
      </c>
      <c r="P1705">
        <f>IF(ISBLANK('ENGAGEMENTS 2026'!C1705),"",'ENGAGEMENTS 2026'!K1705)</f>
        <v/>
      </c>
      <c r="Q1705">
        <f>IF($A1705="","",IF(OR($E1705="INFRUCTUEUX",$E1705="ANNULE"),$A1705&amp;"|"&amp;(COUNTIFS($A$2:$A1705,$A1705,$E$2:$E1705,"INFRUCTUEUX")+COUNTIFS($A$2:$A1705,$A1705,$E$2:$E1705,"ANNULE")),""))</f>
        <v/>
      </c>
    </row>
    <row r="1706">
      <c r="A1706">
        <f>IF(ISBLANK('ENGAGEMENTS 2026'!C1706),"",IF('ENGAGEMENTS 2026'!C1706="DTSI","DCT",'ENGAGEMENTS 2026'!C1706))</f>
        <v/>
      </c>
      <c r="B1706">
        <f>IF(ISBLANK('ENGAGEMENTS 2026'!C1706),"",'ENGAGEMENTS 2026'!D1706)</f>
        <v/>
      </c>
      <c r="C1706">
        <f>IF(ISBLANK('ENGAGEMENTS 2026'!C1706),"",'ENGAGEMENTS 2026'!E1706)</f>
        <v/>
      </c>
      <c r="D1706">
        <f>IF(ISBLANK('ENGAGEMENTS 2026'!C1706),"",'ENGAGEMENTS 2026'!G1706)</f>
        <v/>
      </c>
      <c r="E1706">
        <f>IF(ISBLANK('ENGAGEMENTS 2026'!C1706),"",'ENGAGEMENTS 2026'!I1706)</f>
        <v/>
      </c>
      <c r="F1706">
        <f>IF(ISBLANK('ENGAGEMENTS 2026'!C1706),"",'ENGAGEMENTS 2026'!J1706)</f>
        <v/>
      </c>
      <c r="G1706">
        <f>IF(ISBLANK('ENGAGEMENTS 2026'!C1706),"",'ENGAGEMENTS 2026'!M1706)</f>
        <v/>
      </c>
      <c r="H1706">
        <f>IF(ISBLANK('ENGAGEMENTS 2026'!C1706),"",'ENGAGEMENTS 2026'!AF1706)</f>
        <v/>
      </c>
      <c r="I1706">
        <f>IF(ISBLANK('ENGAGEMENTS 2026'!C1706),"",'ENGAGEMENTS 2026'!H1706)</f>
        <v/>
      </c>
      <c r="J1706" s="275">
        <f>IF(ISBLANK('ENGAGEMENTS 2026'!C1706),"",IF(AND(OR($E1706="INFRUCTUEUX",$E1706="ANNULE"),$C1706="AOO-M"),'ENGAGEMENTS 2026'!P1706,IF($H1706="EN COURS DE PREENGAGEMENT",'ENGAGEMENTS 2026'!O1706,IF($H1706="PREENGAGE",IF($E1706="ATTRIBUE",'ENGAGEMENTS 2026'!AE1706,'ENGAGEMENTS 2026'!O1706),'ENGAGEMENTS 2026'!AE1706))))</f>
        <v/>
      </c>
      <c r="K1706" s="604">
        <f>IF(ISBLANK('ENGAGEMENTS 2026'!W1706),"",'ENGAGEMENTS 2026'!W1706)</f>
        <v/>
      </c>
      <c r="L1706" s="276">
        <f>IF($K1706="","",TODAY()-$K1706)</f>
        <v/>
      </c>
      <c r="M1706">
        <f>IF($A1706="","",IF($H1706="ENGAGE","Engagé",IF(AND($H1706="NON ENGAGE",OR($I1706="INFRUCTUEUX",$I1706="ANNULE")),"Clôturé sans suite","En cours")))</f>
        <v/>
      </c>
      <c r="N1706">
        <f>IF(ISBLANK('ENGAGEMENTS 2026'!C1706),"",'ENGAGEMENTS 2026'!L1706)</f>
        <v/>
      </c>
      <c r="O1706">
        <f>IF(ISBLANK('ENGAGEMENTS 2026'!C1706),"",'ENGAGEMENTS 2026'!M1706)</f>
        <v/>
      </c>
      <c r="P1706">
        <f>IF(ISBLANK('ENGAGEMENTS 2026'!C1706),"",'ENGAGEMENTS 2026'!K1706)</f>
        <v/>
      </c>
      <c r="Q1706">
        <f>IF($A1706="","",IF(OR($E1706="INFRUCTUEUX",$E1706="ANNULE"),$A1706&amp;"|"&amp;(COUNTIFS($A$2:$A1706,$A1706,$E$2:$E1706,"INFRUCTUEUX")+COUNTIFS($A$2:$A1706,$A1706,$E$2:$E1706,"ANNULE")),""))</f>
        <v/>
      </c>
    </row>
    <row r="1707">
      <c r="A1707">
        <f>IF(ISBLANK('ENGAGEMENTS 2026'!C1707),"",IF('ENGAGEMENTS 2026'!C1707="DTSI","DCT",'ENGAGEMENTS 2026'!C1707))</f>
        <v/>
      </c>
      <c r="B1707">
        <f>IF(ISBLANK('ENGAGEMENTS 2026'!C1707),"",'ENGAGEMENTS 2026'!D1707)</f>
        <v/>
      </c>
      <c r="C1707">
        <f>IF(ISBLANK('ENGAGEMENTS 2026'!C1707),"",'ENGAGEMENTS 2026'!E1707)</f>
        <v/>
      </c>
      <c r="D1707">
        <f>IF(ISBLANK('ENGAGEMENTS 2026'!C1707),"",'ENGAGEMENTS 2026'!G1707)</f>
        <v/>
      </c>
      <c r="E1707">
        <f>IF(ISBLANK('ENGAGEMENTS 2026'!C1707),"",'ENGAGEMENTS 2026'!I1707)</f>
        <v/>
      </c>
      <c r="F1707">
        <f>IF(ISBLANK('ENGAGEMENTS 2026'!C1707),"",'ENGAGEMENTS 2026'!J1707)</f>
        <v/>
      </c>
      <c r="G1707">
        <f>IF(ISBLANK('ENGAGEMENTS 2026'!C1707),"",'ENGAGEMENTS 2026'!M1707)</f>
        <v/>
      </c>
      <c r="H1707">
        <f>IF(ISBLANK('ENGAGEMENTS 2026'!C1707),"",'ENGAGEMENTS 2026'!AF1707)</f>
        <v/>
      </c>
      <c r="I1707">
        <f>IF(ISBLANK('ENGAGEMENTS 2026'!C1707),"",'ENGAGEMENTS 2026'!H1707)</f>
        <v/>
      </c>
      <c r="J1707" s="275">
        <f>IF(ISBLANK('ENGAGEMENTS 2026'!C1707),"",IF(AND(OR($E1707="INFRUCTUEUX",$E1707="ANNULE"),$C1707="AOO-M"),'ENGAGEMENTS 2026'!P1707,IF($H1707="EN COURS DE PREENGAGEMENT",'ENGAGEMENTS 2026'!O1707,IF($H1707="PREENGAGE",IF($E1707="ATTRIBUE",'ENGAGEMENTS 2026'!AE1707,'ENGAGEMENTS 2026'!O1707),'ENGAGEMENTS 2026'!AE1707))))</f>
        <v/>
      </c>
      <c r="K1707" s="604">
        <f>IF(ISBLANK('ENGAGEMENTS 2026'!W1707),"",'ENGAGEMENTS 2026'!W1707)</f>
        <v/>
      </c>
      <c r="L1707" s="276">
        <f>IF($K1707="","",TODAY()-$K1707)</f>
        <v/>
      </c>
      <c r="M1707">
        <f>IF($A1707="","",IF($H1707="ENGAGE","Engagé",IF(AND($H1707="NON ENGAGE",OR($I1707="INFRUCTUEUX",$I1707="ANNULE")),"Clôturé sans suite","En cours")))</f>
        <v/>
      </c>
      <c r="N1707">
        <f>IF(ISBLANK('ENGAGEMENTS 2026'!C1707),"",'ENGAGEMENTS 2026'!L1707)</f>
        <v/>
      </c>
      <c r="O1707">
        <f>IF(ISBLANK('ENGAGEMENTS 2026'!C1707),"",'ENGAGEMENTS 2026'!M1707)</f>
        <v/>
      </c>
      <c r="P1707">
        <f>IF(ISBLANK('ENGAGEMENTS 2026'!C1707),"",'ENGAGEMENTS 2026'!K1707)</f>
        <v/>
      </c>
      <c r="Q1707">
        <f>IF($A1707="","",IF(OR($E1707="INFRUCTUEUX",$E1707="ANNULE"),$A1707&amp;"|"&amp;(COUNTIFS($A$2:$A1707,$A1707,$E$2:$E1707,"INFRUCTUEUX")+COUNTIFS($A$2:$A1707,$A1707,$E$2:$E1707,"ANNULE")),""))</f>
        <v/>
      </c>
    </row>
    <row r="1708">
      <c r="A1708">
        <f>IF(ISBLANK('ENGAGEMENTS 2026'!C1708),"",IF('ENGAGEMENTS 2026'!C1708="DTSI","DCT",'ENGAGEMENTS 2026'!C1708))</f>
        <v/>
      </c>
      <c r="B1708">
        <f>IF(ISBLANK('ENGAGEMENTS 2026'!C1708),"",'ENGAGEMENTS 2026'!D1708)</f>
        <v/>
      </c>
      <c r="C1708">
        <f>IF(ISBLANK('ENGAGEMENTS 2026'!C1708),"",'ENGAGEMENTS 2026'!E1708)</f>
        <v/>
      </c>
      <c r="D1708">
        <f>IF(ISBLANK('ENGAGEMENTS 2026'!C1708),"",'ENGAGEMENTS 2026'!G1708)</f>
        <v/>
      </c>
      <c r="E1708">
        <f>IF(ISBLANK('ENGAGEMENTS 2026'!C1708),"",'ENGAGEMENTS 2026'!I1708)</f>
        <v/>
      </c>
      <c r="F1708">
        <f>IF(ISBLANK('ENGAGEMENTS 2026'!C1708),"",'ENGAGEMENTS 2026'!J1708)</f>
        <v/>
      </c>
      <c r="G1708">
        <f>IF(ISBLANK('ENGAGEMENTS 2026'!C1708),"",'ENGAGEMENTS 2026'!M1708)</f>
        <v/>
      </c>
      <c r="H1708">
        <f>IF(ISBLANK('ENGAGEMENTS 2026'!C1708),"",'ENGAGEMENTS 2026'!AF1708)</f>
        <v/>
      </c>
      <c r="I1708">
        <f>IF(ISBLANK('ENGAGEMENTS 2026'!C1708),"",'ENGAGEMENTS 2026'!H1708)</f>
        <v/>
      </c>
      <c r="J1708" s="275">
        <f>IF(ISBLANK('ENGAGEMENTS 2026'!C1708),"",IF(AND(OR($E1708="INFRUCTUEUX",$E1708="ANNULE"),$C1708="AOO-M"),'ENGAGEMENTS 2026'!P1708,IF($H1708="EN COURS DE PREENGAGEMENT",'ENGAGEMENTS 2026'!O1708,IF($H1708="PREENGAGE",IF($E1708="ATTRIBUE",'ENGAGEMENTS 2026'!AE1708,'ENGAGEMENTS 2026'!O1708),'ENGAGEMENTS 2026'!AE1708))))</f>
        <v/>
      </c>
      <c r="K1708" s="604">
        <f>IF(ISBLANK('ENGAGEMENTS 2026'!W1708),"",'ENGAGEMENTS 2026'!W1708)</f>
        <v/>
      </c>
      <c r="L1708" s="276">
        <f>IF($K1708="","",TODAY()-$K1708)</f>
        <v/>
      </c>
      <c r="M1708">
        <f>IF($A1708="","",IF($H1708="ENGAGE","Engagé",IF(AND($H1708="NON ENGAGE",OR($I1708="INFRUCTUEUX",$I1708="ANNULE")),"Clôturé sans suite","En cours")))</f>
        <v/>
      </c>
      <c r="N1708">
        <f>IF(ISBLANK('ENGAGEMENTS 2026'!C1708),"",'ENGAGEMENTS 2026'!L1708)</f>
        <v/>
      </c>
      <c r="O1708">
        <f>IF(ISBLANK('ENGAGEMENTS 2026'!C1708),"",'ENGAGEMENTS 2026'!M1708)</f>
        <v/>
      </c>
      <c r="P1708">
        <f>IF(ISBLANK('ENGAGEMENTS 2026'!C1708),"",'ENGAGEMENTS 2026'!K1708)</f>
        <v/>
      </c>
      <c r="Q1708">
        <f>IF($A1708="","",IF(OR($E1708="INFRUCTUEUX",$E1708="ANNULE"),$A1708&amp;"|"&amp;(COUNTIFS($A$2:$A1708,$A1708,$E$2:$E1708,"INFRUCTUEUX")+COUNTIFS($A$2:$A1708,$A1708,$E$2:$E1708,"ANNULE")),""))</f>
        <v/>
      </c>
    </row>
    <row r="1709">
      <c r="A1709">
        <f>IF(ISBLANK('ENGAGEMENTS 2026'!C1709),"",IF('ENGAGEMENTS 2026'!C1709="DTSI","DCT",'ENGAGEMENTS 2026'!C1709))</f>
        <v/>
      </c>
      <c r="B1709">
        <f>IF(ISBLANK('ENGAGEMENTS 2026'!C1709),"",'ENGAGEMENTS 2026'!D1709)</f>
        <v/>
      </c>
      <c r="C1709">
        <f>IF(ISBLANK('ENGAGEMENTS 2026'!C1709),"",'ENGAGEMENTS 2026'!E1709)</f>
        <v/>
      </c>
      <c r="D1709">
        <f>IF(ISBLANK('ENGAGEMENTS 2026'!C1709),"",'ENGAGEMENTS 2026'!G1709)</f>
        <v/>
      </c>
      <c r="E1709">
        <f>IF(ISBLANK('ENGAGEMENTS 2026'!C1709),"",'ENGAGEMENTS 2026'!I1709)</f>
        <v/>
      </c>
      <c r="F1709">
        <f>IF(ISBLANK('ENGAGEMENTS 2026'!C1709),"",'ENGAGEMENTS 2026'!J1709)</f>
        <v/>
      </c>
      <c r="G1709">
        <f>IF(ISBLANK('ENGAGEMENTS 2026'!C1709),"",'ENGAGEMENTS 2026'!M1709)</f>
        <v/>
      </c>
      <c r="H1709">
        <f>IF(ISBLANK('ENGAGEMENTS 2026'!C1709),"",'ENGAGEMENTS 2026'!AF1709)</f>
        <v/>
      </c>
      <c r="I1709">
        <f>IF(ISBLANK('ENGAGEMENTS 2026'!C1709),"",'ENGAGEMENTS 2026'!H1709)</f>
        <v/>
      </c>
      <c r="J1709" s="275">
        <f>IF(ISBLANK('ENGAGEMENTS 2026'!C1709),"",IF(AND(OR($E1709="INFRUCTUEUX",$E1709="ANNULE"),$C1709="AOO-M"),'ENGAGEMENTS 2026'!P1709,IF($H1709="EN COURS DE PREENGAGEMENT",'ENGAGEMENTS 2026'!O1709,IF($H1709="PREENGAGE",IF($E1709="ATTRIBUE",'ENGAGEMENTS 2026'!AE1709,'ENGAGEMENTS 2026'!O1709),'ENGAGEMENTS 2026'!AE1709))))</f>
        <v/>
      </c>
      <c r="K1709" s="604">
        <f>IF(ISBLANK('ENGAGEMENTS 2026'!W1709),"",'ENGAGEMENTS 2026'!W1709)</f>
        <v/>
      </c>
      <c r="L1709" s="276">
        <f>IF($K1709="","",TODAY()-$K1709)</f>
        <v/>
      </c>
      <c r="M1709">
        <f>IF($A1709="","",IF($H1709="ENGAGE","Engagé",IF(AND($H1709="NON ENGAGE",OR($I1709="INFRUCTUEUX",$I1709="ANNULE")),"Clôturé sans suite","En cours")))</f>
        <v/>
      </c>
      <c r="N1709">
        <f>IF(ISBLANK('ENGAGEMENTS 2026'!C1709),"",'ENGAGEMENTS 2026'!L1709)</f>
        <v/>
      </c>
      <c r="O1709">
        <f>IF(ISBLANK('ENGAGEMENTS 2026'!C1709),"",'ENGAGEMENTS 2026'!M1709)</f>
        <v/>
      </c>
      <c r="P1709">
        <f>IF(ISBLANK('ENGAGEMENTS 2026'!C1709),"",'ENGAGEMENTS 2026'!K1709)</f>
        <v/>
      </c>
      <c r="Q1709">
        <f>IF($A1709="","",IF(OR($E1709="INFRUCTUEUX",$E1709="ANNULE"),$A1709&amp;"|"&amp;(COUNTIFS($A$2:$A1709,$A1709,$E$2:$E1709,"INFRUCTUEUX")+COUNTIFS($A$2:$A1709,$A1709,$E$2:$E1709,"ANNULE")),""))</f>
        <v/>
      </c>
    </row>
    <row r="1710">
      <c r="A1710">
        <f>IF(ISBLANK('ENGAGEMENTS 2026'!C1710),"",IF('ENGAGEMENTS 2026'!C1710="DTSI","DCT",'ENGAGEMENTS 2026'!C1710))</f>
        <v/>
      </c>
      <c r="B1710">
        <f>IF(ISBLANK('ENGAGEMENTS 2026'!C1710),"",'ENGAGEMENTS 2026'!D1710)</f>
        <v/>
      </c>
      <c r="C1710">
        <f>IF(ISBLANK('ENGAGEMENTS 2026'!C1710),"",'ENGAGEMENTS 2026'!E1710)</f>
        <v/>
      </c>
      <c r="D1710">
        <f>IF(ISBLANK('ENGAGEMENTS 2026'!C1710),"",'ENGAGEMENTS 2026'!G1710)</f>
        <v/>
      </c>
      <c r="E1710">
        <f>IF(ISBLANK('ENGAGEMENTS 2026'!C1710),"",'ENGAGEMENTS 2026'!I1710)</f>
        <v/>
      </c>
      <c r="F1710">
        <f>IF(ISBLANK('ENGAGEMENTS 2026'!C1710),"",'ENGAGEMENTS 2026'!J1710)</f>
        <v/>
      </c>
      <c r="G1710">
        <f>IF(ISBLANK('ENGAGEMENTS 2026'!C1710),"",'ENGAGEMENTS 2026'!M1710)</f>
        <v/>
      </c>
      <c r="H1710">
        <f>IF(ISBLANK('ENGAGEMENTS 2026'!C1710),"",'ENGAGEMENTS 2026'!AF1710)</f>
        <v/>
      </c>
      <c r="I1710">
        <f>IF(ISBLANK('ENGAGEMENTS 2026'!C1710),"",'ENGAGEMENTS 2026'!H1710)</f>
        <v/>
      </c>
      <c r="J1710" s="275">
        <f>IF(ISBLANK('ENGAGEMENTS 2026'!C1710),"",IF(AND(OR($E1710="INFRUCTUEUX",$E1710="ANNULE"),$C1710="AOO-M"),'ENGAGEMENTS 2026'!P1710,IF($H1710="EN COURS DE PREENGAGEMENT",'ENGAGEMENTS 2026'!O1710,IF($H1710="PREENGAGE",IF($E1710="ATTRIBUE",'ENGAGEMENTS 2026'!AE1710,'ENGAGEMENTS 2026'!O1710),'ENGAGEMENTS 2026'!AE1710))))</f>
        <v/>
      </c>
      <c r="K1710" s="604">
        <f>IF(ISBLANK('ENGAGEMENTS 2026'!W1710),"",'ENGAGEMENTS 2026'!W1710)</f>
        <v/>
      </c>
      <c r="L1710" s="276">
        <f>IF($K1710="","",TODAY()-$K1710)</f>
        <v/>
      </c>
      <c r="M1710">
        <f>IF($A1710="","",IF($H1710="ENGAGE","Engagé",IF(AND($H1710="NON ENGAGE",OR($I1710="INFRUCTUEUX",$I1710="ANNULE")),"Clôturé sans suite","En cours")))</f>
        <v/>
      </c>
      <c r="N1710">
        <f>IF(ISBLANK('ENGAGEMENTS 2026'!C1710),"",'ENGAGEMENTS 2026'!L1710)</f>
        <v/>
      </c>
      <c r="O1710">
        <f>IF(ISBLANK('ENGAGEMENTS 2026'!C1710),"",'ENGAGEMENTS 2026'!M1710)</f>
        <v/>
      </c>
      <c r="P1710">
        <f>IF(ISBLANK('ENGAGEMENTS 2026'!C1710),"",'ENGAGEMENTS 2026'!K1710)</f>
        <v/>
      </c>
      <c r="Q1710">
        <f>IF($A1710="","",IF(OR($E1710="INFRUCTUEUX",$E1710="ANNULE"),$A1710&amp;"|"&amp;(COUNTIFS($A$2:$A1710,$A1710,$E$2:$E1710,"INFRUCTUEUX")+COUNTIFS($A$2:$A1710,$A1710,$E$2:$E1710,"ANNULE")),""))</f>
        <v/>
      </c>
    </row>
    <row r="1711">
      <c r="A1711">
        <f>IF(ISBLANK('ENGAGEMENTS 2026'!C1711),"",IF('ENGAGEMENTS 2026'!C1711="DTSI","DCT",'ENGAGEMENTS 2026'!C1711))</f>
        <v/>
      </c>
      <c r="B1711">
        <f>IF(ISBLANK('ENGAGEMENTS 2026'!C1711),"",'ENGAGEMENTS 2026'!D1711)</f>
        <v/>
      </c>
      <c r="C1711">
        <f>IF(ISBLANK('ENGAGEMENTS 2026'!C1711),"",'ENGAGEMENTS 2026'!E1711)</f>
        <v/>
      </c>
      <c r="D1711">
        <f>IF(ISBLANK('ENGAGEMENTS 2026'!C1711),"",'ENGAGEMENTS 2026'!G1711)</f>
        <v/>
      </c>
      <c r="E1711">
        <f>IF(ISBLANK('ENGAGEMENTS 2026'!C1711),"",'ENGAGEMENTS 2026'!I1711)</f>
        <v/>
      </c>
      <c r="F1711">
        <f>IF(ISBLANK('ENGAGEMENTS 2026'!C1711),"",'ENGAGEMENTS 2026'!J1711)</f>
        <v/>
      </c>
      <c r="G1711">
        <f>IF(ISBLANK('ENGAGEMENTS 2026'!C1711),"",'ENGAGEMENTS 2026'!M1711)</f>
        <v/>
      </c>
      <c r="H1711">
        <f>IF(ISBLANK('ENGAGEMENTS 2026'!C1711),"",'ENGAGEMENTS 2026'!AF1711)</f>
        <v/>
      </c>
      <c r="I1711">
        <f>IF(ISBLANK('ENGAGEMENTS 2026'!C1711),"",'ENGAGEMENTS 2026'!H1711)</f>
        <v/>
      </c>
      <c r="J1711" s="275">
        <f>IF(ISBLANK('ENGAGEMENTS 2026'!C1711),"",IF(AND(OR($E1711="INFRUCTUEUX",$E1711="ANNULE"),$C1711="AOO-M"),'ENGAGEMENTS 2026'!P1711,IF($H1711="EN COURS DE PREENGAGEMENT",'ENGAGEMENTS 2026'!O1711,IF($H1711="PREENGAGE",IF($E1711="ATTRIBUE",'ENGAGEMENTS 2026'!AE1711,'ENGAGEMENTS 2026'!O1711),'ENGAGEMENTS 2026'!AE1711))))</f>
        <v/>
      </c>
      <c r="K1711" s="604">
        <f>IF(ISBLANK('ENGAGEMENTS 2026'!W1711),"",'ENGAGEMENTS 2026'!W1711)</f>
        <v/>
      </c>
      <c r="L1711" s="276">
        <f>IF($K1711="","",TODAY()-$K1711)</f>
        <v/>
      </c>
      <c r="M1711">
        <f>IF($A1711="","",IF($H1711="ENGAGE","Engagé",IF(AND($H1711="NON ENGAGE",OR($I1711="INFRUCTUEUX",$I1711="ANNULE")),"Clôturé sans suite","En cours")))</f>
        <v/>
      </c>
      <c r="N1711">
        <f>IF(ISBLANK('ENGAGEMENTS 2026'!C1711),"",'ENGAGEMENTS 2026'!L1711)</f>
        <v/>
      </c>
      <c r="O1711">
        <f>IF(ISBLANK('ENGAGEMENTS 2026'!C1711),"",'ENGAGEMENTS 2026'!M1711)</f>
        <v/>
      </c>
      <c r="P1711">
        <f>IF(ISBLANK('ENGAGEMENTS 2026'!C1711),"",'ENGAGEMENTS 2026'!K1711)</f>
        <v/>
      </c>
      <c r="Q1711">
        <f>IF($A1711="","",IF(OR($E1711="INFRUCTUEUX",$E1711="ANNULE"),$A1711&amp;"|"&amp;(COUNTIFS($A$2:$A1711,$A1711,$E$2:$E1711,"INFRUCTUEUX")+COUNTIFS($A$2:$A1711,$A1711,$E$2:$E1711,"ANNULE")),""))</f>
        <v/>
      </c>
    </row>
    <row r="1712">
      <c r="A1712">
        <f>IF(ISBLANK('ENGAGEMENTS 2026'!C1712),"",IF('ENGAGEMENTS 2026'!C1712="DTSI","DCT",'ENGAGEMENTS 2026'!C1712))</f>
        <v/>
      </c>
      <c r="B1712">
        <f>IF(ISBLANK('ENGAGEMENTS 2026'!C1712),"",'ENGAGEMENTS 2026'!D1712)</f>
        <v/>
      </c>
      <c r="C1712">
        <f>IF(ISBLANK('ENGAGEMENTS 2026'!C1712),"",'ENGAGEMENTS 2026'!E1712)</f>
        <v/>
      </c>
      <c r="D1712">
        <f>IF(ISBLANK('ENGAGEMENTS 2026'!C1712),"",'ENGAGEMENTS 2026'!G1712)</f>
        <v/>
      </c>
      <c r="E1712">
        <f>IF(ISBLANK('ENGAGEMENTS 2026'!C1712),"",'ENGAGEMENTS 2026'!I1712)</f>
        <v/>
      </c>
      <c r="F1712">
        <f>IF(ISBLANK('ENGAGEMENTS 2026'!C1712),"",'ENGAGEMENTS 2026'!J1712)</f>
        <v/>
      </c>
      <c r="G1712">
        <f>IF(ISBLANK('ENGAGEMENTS 2026'!C1712),"",'ENGAGEMENTS 2026'!M1712)</f>
        <v/>
      </c>
      <c r="H1712">
        <f>IF(ISBLANK('ENGAGEMENTS 2026'!C1712),"",'ENGAGEMENTS 2026'!AF1712)</f>
        <v/>
      </c>
      <c r="I1712">
        <f>IF(ISBLANK('ENGAGEMENTS 2026'!C1712),"",'ENGAGEMENTS 2026'!H1712)</f>
        <v/>
      </c>
      <c r="J1712" s="275">
        <f>IF(ISBLANK('ENGAGEMENTS 2026'!C1712),"",IF(AND(OR($E1712="INFRUCTUEUX",$E1712="ANNULE"),$C1712="AOO-M"),'ENGAGEMENTS 2026'!P1712,IF($H1712="EN COURS DE PREENGAGEMENT",'ENGAGEMENTS 2026'!O1712,IF($H1712="PREENGAGE",IF($E1712="ATTRIBUE",'ENGAGEMENTS 2026'!AE1712,'ENGAGEMENTS 2026'!O1712),'ENGAGEMENTS 2026'!AE1712))))</f>
        <v/>
      </c>
      <c r="K1712" s="604">
        <f>IF(ISBLANK('ENGAGEMENTS 2026'!W1712),"",'ENGAGEMENTS 2026'!W1712)</f>
        <v/>
      </c>
      <c r="L1712" s="276">
        <f>IF($K1712="","",TODAY()-$K1712)</f>
        <v/>
      </c>
      <c r="M1712">
        <f>IF($A1712="","",IF($H1712="ENGAGE","Engagé",IF(AND($H1712="NON ENGAGE",OR($I1712="INFRUCTUEUX",$I1712="ANNULE")),"Clôturé sans suite","En cours")))</f>
        <v/>
      </c>
      <c r="N1712">
        <f>IF(ISBLANK('ENGAGEMENTS 2026'!C1712),"",'ENGAGEMENTS 2026'!L1712)</f>
        <v/>
      </c>
      <c r="O1712">
        <f>IF(ISBLANK('ENGAGEMENTS 2026'!C1712),"",'ENGAGEMENTS 2026'!M1712)</f>
        <v/>
      </c>
      <c r="P1712">
        <f>IF(ISBLANK('ENGAGEMENTS 2026'!C1712),"",'ENGAGEMENTS 2026'!K1712)</f>
        <v/>
      </c>
      <c r="Q1712">
        <f>IF($A1712="","",IF(OR($E1712="INFRUCTUEUX",$E1712="ANNULE"),$A1712&amp;"|"&amp;(COUNTIFS($A$2:$A1712,$A1712,$E$2:$E1712,"INFRUCTUEUX")+COUNTIFS($A$2:$A1712,$A1712,$E$2:$E1712,"ANNULE")),""))</f>
        <v/>
      </c>
    </row>
    <row r="1713">
      <c r="A1713">
        <f>IF(ISBLANK('ENGAGEMENTS 2026'!C1713),"",IF('ENGAGEMENTS 2026'!C1713="DTSI","DCT",'ENGAGEMENTS 2026'!C1713))</f>
        <v/>
      </c>
      <c r="B1713">
        <f>IF(ISBLANK('ENGAGEMENTS 2026'!C1713),"",'ENGAGEMENTS 2026'!D1713)</f>
        <v/>
      </c>
      <c r="C1713">
        <f>IF(ISBLANK('ENGAGEMENTS 2026'!C1713),"",'ENGAGEMENTS 2026'!E1713)</f>
        <v/>
      </c>
      <c r="D1713">
        <f>IF(ISBLANK('ENGAGEMENTS 2026'!C1713),"",'ENGAGEMENTS 2026'!G1713)</f>
        <v/>
      </c>
      <c r="E1713">
        <f>IF(ISBLANK('ENGAGEMENTS 2026'!C1713),"",'ENGAGEMENTS 2026'!I1713)</f>
        <v/>
      </c>
      <c r="F1713">
        <f>IF(ISBLANK('ENGAGEMENTS 2026'!C1713),"",'ENGAGEMENTS 2026'!J1713)</f>
        <v/>
      </c>
      <c r="G1713">
        <f>IF(ISBLANK('ENGAGEMENTS 2026'!C1713),"",'ENGAGEMENTS 2026'!M1713)</f>
        <v/>
      </c>
      <c r="H1713">
        <f>IF(ISBLANK('ENGAGEMENTS 2026'!C1713),"",'ENGAGEMENTS 2026'!AF1713)</f>
        <v/>
      </c>
      <c r="I1713">
        <f>IF(ISBLANK('ENGAGEMENTS 2026'!C1713),"",'ENGAGEMENTS 2026'!H1713)</f>
        <v/>
      </c>
      <c r="J1713" s="275">
        <f>IF(ISBLANK('ENGAGEMENTS 2026'!C1713),"",IF(AND(OR($E1713="INFRUCTUEUX",$E1713="ANNULE"),$C1713="AOO-M"),'ENGAGEMENTS 2026'!P1713,IF($H1713="EN COURS DE PREENGAGEMENT",'ENGAGEMENTS 2026'!O1713,IF($H1713="PREENGAGE",IF($E1713="ATTRIBUE",'ENGAGEMENTS 2026'!AE1713,'ENGAGEMENTS 2026'!O1713),'ENGAGEMENTS 2026'!AE1713))))</f>
        <v/>
      </c>
      <c r="K1713" s="604">
        <f>IF(ISBLANK('ENGAGEMENTS 2026'!W1713),"",'ENGAGEMENTS 2026'!W1713)</f>
        <v/>
      </c>
      <c r="L1713" s="276">
        <f>IF($K1713="","",TODAY()-$K1713)</f>
        <v/>
      </c>
      <c r="M1713">
        <f>IF($A1713="","",IF($H1713="ENGAGE","Engagé",IF(AND($H1713="NON ENGAGE",OR($I1713="INFRUCTUEUX",$I1713="ANNULE")),"Clôturé sans suite","En cours")))</f>
        <v/>
      </c>
      <c r="N1713">
        <f>IF(ISBLANK('ENGAGEMENTS 2026'!C1713),"",'ENGAGEMENTS 2026'!L1713)</f>
        <v/>
      </c>
      <c r="O1713">
        <f>IF(ISBLANK('ENGAGEMENTS 2026'!C1713),"",'ENGAGEMENTS 2026'!M1713)</f>
        <v/>
      </c>
      <c r="P1713">
        <f>IF(ISBLANK('ENGAGEMENTS 2026'!C1713),"",'ENGAGEMENTS 2026'!K1713)</f>
        <v/>
      </c>
      <c r="Q1713">
        <f>IF($A1713="","",IF(OR($E1713="INFRUCTUEUX",$E1713="ANNULE"),$A1713&amp;"|"&amp;(COUNTIFS($A$2:$A1713,$A1713,$E$2:$E1713,"INFRUCTUEUX")+COUNTIFS($A$2:$A1713,$A1713,$E$2:$E1713,"ANNULE")),""))</f>
        <v/>
      </c>
    </row>
    <row r="1714">
      <c r="A1714">
        <f>IF(ISBLANK('ENGAGEMENTS 2026'!C1714),"",IF('ENGAGEMENTS 2026'!C1714="DTSI","DCT",'ENGAGEMENTS 2026'!C1714))</f>
        <v/>
      </c>
      <c r="B1714">
        <f>IF(ISBLANK('ENGAGEMENTS 2026'!C1714),"",'ENGAGEMENTS 2026'!D1714)</f>
        <v/>
      </c>
      <c r="C1714">
        <f>IF(ISBLANK('ENGAGEMENTS 2026'!C1714),"",'ENGAGEMENTS 2026'!E1714)</f>
        <v/>
      </c>
      <c r="D1714">
        <f>IF(ISBLANK('ENGAGEMENTS 2026'!C1714),"",'ENGAGEMENTS 2026'!G1714)</f>
        <v/>
      </c>
      <c r="E1714">
        <f>IF(ISBLANK('ENGAGEMENTS 2026'!C1714),"",'ENGAGEMENTS 2026'!I1714)</f>
        <v/>
      </c>
      <c r="F1714">
        <f>IF(ISBLANK('ENGAGEMENTS 2026'!C1714),"",'ENGAGEMENTS 2026'!J1714)</f>
        <v/>
      </c>
      <c r="G1714">
        <f>IF(ISBLANK('ENGAGEMENTS 2026'!C1714),"",'ENGAGEMENTS 2026'!M1714)</f>
        <v/>
      </c>
      <c r="H1714">
        <f>IF(ISBLANK('ENGAGEMENTS 2026'!C1714),"",'ENGAGEMENTS 2026'!AF1714)</f>
        <v/>
      </c>
      <c r="I1714">
        <f>IF(ISBLANK('ENGAGEMENTS 2026'!C1714),"",'ENGAGEMENTS 2026'!H1714)</f>
        <v/>
      </c>
      <c r="J1714" s="275">
        <f>IF(ISBLANK('ENGAGEMENTS 2026'!C1714),"",IF(AND(OR($E1714="INFRUCTUEUX",$E1714="ANNULE"),$C1714="AOO-M"),'ENGAGEMENTS 2026'!P1714,IF($H1714="EN COURS DE PREENGAGEMENT",'ENGAGEMENTS 2026'!O1714,IF($H1714="PREENGAGE",IF($E1714="ATTRIBUE",'ENGAGEMENTS 2026'!AE1714,'ENGAGEMENTS 2026'!O1714),'ENGAGEMENTS 2026'!AE1714))))</f>
        <v/>
      </c>
      <c r="K1714" s="604">
        <f>IF(ISBLANK('ENGAGEMENTS 2026'!W1714),"",'ENGAGEMENTS 2026'!W1714)</f>
        <v/>
      </c>
      <c r="L1714" s="276">
        <f>IF($K1714="","",TODAY()-$K1714)</f>
        <v/>
      </c>
      <c r="M1714">
        <f>IF($A1714="","",IF($H1714="ENGAGE","Engagé",IF(AND($H1714="NON ENGAGE",OR($I1714="INFRUCTUEUX",$I1714="ANNULE")),"Clôturé sans suite","En cours")))</f>
        <v/>
      </c>
      <c r="N1714">
        <f>IF(ISBLANK('ENGAGEMENTS 2026'!C1714),"",'ENGAGEMENTS 2026'!L1714)</f>
        <v/>
      </c>
      <c r="O1714">
        <f>IF(ISBLANK('ENGAGEMENTS 2026'!C1714),"",'ENGAGEMENTS 2026'!M1714)</f>
        <v/>
      </c>
      <c r="P1714">
        <f>IF(ISBLANK('ENGAGEMENTS 2026'!C1714),"",'ENGAGEMENTS 2026'!K1714)</f>
        <v/>
      </c>
      <c r="Q1714">
        <f>IF($A1714="","",IF(OR($E1714="INFRUCTUEUX",$E1714="ANNULE"),$A1714&amp;"|"&amp;(COUNTIFS($A$2:$A1714,$A1714,$E$2:$E1714,"INFRUCTUEUX")+COUNTIFS($A$2:$A1714,$A1714,$E$2:$E1714,"ANNULE")),""))</f>
        <v/>
      </c>
    </row>
    <row r="1715">
      <c r="A1715">
        <f>IF(ISBLANK('ENGAGEMENTS 2026'!C1715),"",IF('ENGAGEMENTS 2026'!C1715="DTSI","DCT",'ENGAGEMENTS 2026'!C1715))</f>
        <v/>
      </c>
      <c r="B1715">
        <f>IF(ISBLANK('ENGAGEMENTS 2026'!C1715),"",'ENGAGEMENTS 2026'!D1715)</f>
        <v/>
      </c>
      <c r="C1715">
        <f>IF(ISBLANK('ENGAGEMENTS 2026'!C1715),"",'ENGAGEMENTS 2026'!E1715)</f>
        <v/>
      </c>
      <c r="D1715">
        <f>IF(ISBLANK('ENGAGEMENTS 2026'!C1715),"",'ENGAGEMENTS 2026'!G1715)</f>
        <v/>
      </c>
      <c r="E1715">
        <f>IF(ISBLANK('ENGAGEMENTS 2026'!C1715),"",'ENGAGEMENTS 2026'!I1715)</f>
        <v/>
      </c>
      <c r="F1715">
        <f>IF(ISBLANK('ENGAGEMENTS 2026'!C1715),"",'ENGAGEMENTS 2026'!J1715)</f>
        <v/>
      </c>
      <c r="G1715">
        <f>IF(ISBLANK('ENGAGEMENTS 2026'!C1715),"",'ENGAGEMENTS 2026'!M1715)</f>
        <v/>
      </c>
      <c r="H1715">
        <f>IF(ISBLANK('ENGAGEMENTS 2026'!C1715),"",'ENGAGEMENTS 2026'!AF1715)</f>
        <v/>
      </c>
      <c r="I1715">
        <f>IF(ISBLANK('ENGAGEMENTS 2026'!C1715),"",'ENGAGEMENTS 2026'!H1715)</f>
        <v/>
      </c>
      <c r="J1715" s="275">
        <f>IF(ISBLANK('ENGAGEMENTS 2026'!C1715),"",IF(AND(OR($E1715="INFRUCTUEUX",$E1715="ANNULE"),$C1715="AOO-M"),'ENGAGEMENTS 2026'!P1715,IF($H1715="EN COURS DE PREENGAGEMENT",'ENGAGEMENTS 2026'!O1715,IF($H1715="PREENGAGE",IF($E1715="ATTRIBUE",'ENGAGEMENTS 2026'!AE1715,'ENGAGEMENTS 2026'!O1715),'ENGAGEMENTS 2026'!AE1715))))</f>
        <v/>
      </c>
      <c r="K1715" s="604">
        <f>IF(ISBLANK('ENGAGEMENTS 2026'!W1715),"",'ENGAGEMENTS 2026'!W1715)</f>
        <v/>
      </c>
      <c r="L1715" s="276">
        <f>IF($K1715="","",TODAY()-$K1715)</f>
        <v/>
      </c>
      <c r="M1715">
        <f>IF($A1715="","",IF($H1715="ENGAGE","Engagé",IF(AND($H1715="NON ENGAGE",OR($I1715="INFRUCTUEUX",$I1715="ANNULE")),"Clôturé sans suite","En cours")))</f>
        <v/>
      </c>
      <c r="N1715">
        <f>IF(ISBLANK('ENGAGEMENTS 2026'!C1715),"",'ENGAGEMENTS 2026'!L1715)</f>
        <v/>
      </c>
      <c r="O1715">
        <f>IF(ISBLANK('ENGAGEMENTS 2026'!C1715),"",'ENGAGEMENTS 2026'!M1715)</f>
        <v/>
      </c>
      <c r="P1715">
        <f>IF(ISBLANK('ENGAGEMENTS 2026'!C1715),"",'ENGAGEMENTS 2026'!K1715)</f>
        <v/>
      </c>
      <c r="Q1715">
        <f>IF($A1715="","",IF(OR($E1715="INFRUCTUEUX",$E1715="ANNULE"),$A1715&amp;"|"&amp;(COUNTIFS($A$2:$A1715,$A1715,$E$2:$E1715,"INFRUCTUEUX")+COUNTIFS($A$2:$A1715,$A1715,$E$2:$E1715,"ANNULE")),""))</f>
        <v/>
      </c>
    </row>
    <row r="1716">
      <c r="A1716">
        <f>IF(ISBLANK('ENGAGEMENTS 2026'!C1716),"",IF('ENGAGEMENTS 2026'!C1716="DTSI","DCT",'ENGAGEMENTS 2026'!C1716))</f>
        <v/>
      </c>
      <c r="B1716">
        <f>IF(ISBLANK('ENGAGEMENTS 2026'!C1716),"",'ENGAGEMENTS 2026'!D1716)</f>
        <v/>
      </c>
      <c r="C1716">
        <f>IF(ISBLANK('ENGAGEMENTS 2026'!C1716),"",'ENGAGEMENTS 2026'!E1716)</f>
        <v/>
      </c>
      <c r="D1716">
        <f>IF(ISBLANK('ENGAGEMENTS 2026'!C1716),"",'ENGAGEMENTS 2026'!G1716)</f>
        <v/>
      </c>
      <c r="E1716">
        <f>IF(ISBLANK('ENGAGEMENTS 2026'!C1716),"",'ENGAGEMENTS 2026'!I1716)</f>
        <v/>
      </c>
      <c r="F1716">
        <f>IF(ISBLANK('ENGAGEMENTS 2026'!C1716),"",'ENGAGEMENTS 2026'!J1716)</f>
        <v/>
      </c>
      <c r="G1716">
        <f>IF(ISBLANK('ENGAGEMENTS 2026'!C1716),"",'ENGAGEMENTS 2026'!M1716)</f>
        <v/>
      </c>
      <c r="H1716">
        <f>IF(ISBLANK('ENGAGEMENTS 2026'!C1716),"",'ENGAGEMENTS 2026'!AF1716)</f>
        <v/>
      </c>
      <c r="I1716">
        <f>IF(ISBLANK('ENGAGEMENTS 2026'!C1716),"",'ENGAGEMENTS 2026'!H1716)</f>
        <v/>
      </c>
      <c r="J1716" s="275">
        <f>IF(ISBLANK('ENGAGEMENTS 2026'!C1716),"",IF(AND(OR($E1716="INFRUCTUEUX",$E1716="ANNULE"),$C1716="AOO-M"),'ENGAGEMENTS 2026'!P1716,IF($H1716="EN COURS DE PREENGAGEMENT",'ENGAGEMENTS 2026'!O1716,IF($H1716="PREENGAGE",IF($E1716="ATTRIBUE",'ENGAGEMENTS 2026'!AE1716,'ENGAGEMENTS 2026'!O1716),'ENGAGEMENTS 2026'!AE1716))))</f>
        <v/>
      </c>
      <c r="K1716" s="604">
        <f>IF(ISBLANK('ENGAGEMENTS 2026'!W1716),"",'ENGAGEMENTS 2026'!W1716)</f>
        <v/>
      </c>
      <c r="L1716" s="276">
        <f>IF($K1716="","",TODAY()-$K1716)</f>
        <v/>
      </c>
      <c r="M1716">
        <f>IF($A1716="","",IF($H1716="ENGAGE","Engagé",IF(AND($H1716="NON ENGAGE",OR($I1716="INFRUCTUEUX",$I1716="ANNULE")),"Clôturé sans suite","En cours")))</f>
        <v/>
      </c>
      <c r="N1716">
        <f>IF(ISBLANK('ENGAGEMENTS 2026'!C1716),"",'ENGAGEMENTS 2026'!L1716)</f>
        <v/>
      </c>
      <c r="O1716">
        <f>IF(ISBLANK('ENGAGEMENTS 2026'!C1716),"",'ENGAGEMENTS 2026'!M1716)</f>
        <v/>
      </c>
      <c r="P1716">
        <f>IF(ISBLANK('ENGAGEMENTS 2026'!C1716),"",'ENGAGEMENTS 2026'!K1716)</f>
        <v/>
      </c>
      <c r="Q1716">
        <f>IF($A1716="","",IF(OR($E1716="INFRUCTUEUX",$E1716="ANNULE"),$A1716&amp;"|"&amp;(COUNTIFS($A$2:$A1716,$A1716,$E$2:$E1716,"INFRUCTUEUX")+COUNTIFS($A$2:$A1716,$A1716,$E$2:$E1716,"ANNULE")),""))</f>
        <v/>
      </c>
    </row>
    <row r="1717">
      <c r="A1717">
        <f>IF(ISBLANK('ENGAGEMENTS 2026'!C1717),"",IF('ENGAGEMENTS 2026'!C1717="DTSI","DCT",'ENGAGEMENTS 2026'!C1717))</f>
        <v/>
      </c>
      <c r="B1717">
        <f>IF(ISBLANK('ENGAGEMENTS 2026'!C1717),"",'ENGAGEMENTS 2026'!D1717)</f>
        <v/>
      </c>
      <c r="C1717">
        <f>IF(ISBLANK('ENGAGEMENTS 2026'!C1717),"",'ENGAGEMENTS 2026'!E1717)</f>
        <v/>
      </c>
      <c r="D1717">
        <f>IF(ISBLANK('ENGAGEMENTS 2026'!C1717),"",'ENGAGEMENTS 2026'!G1717)</f>
        <v/>
      </c>
      <c r="E1717">
        <f>IF(ISBLANK('ENGAGEMENTS 2026'!C1717),"",'ENGAGEMENTS 2026'!I1717)</f>
        <v/>
      </c>
      <c r="F1717">
        <f>IF(ISBLANK('ENGAGEMENTS 2026'!C1717),"",'ENGAGEMENTS 2026'!J1717)</f>
        <v/>
      </c>
      <c r="G1717">
        <f>IF(ISBLANK('ENGAGEMENTS 2026'!C1717),"",'ENGAGEMENTS 2026'!M1717)</f>
        <v/>
      </c>
      <c r="H1717">
        <f>IF(ISBLANK('ENGAGEMENTS 2026'!C1717),"",'ENGAGEMENTS 2026'!AF1717)</f>
        <v/>
      </c>
      <c r="I1717">
        <f>IF(ISBLANK('ENGAGEMENTS 2026'!C1717),"",'ENGAGEMENTS 2026'!H1717)</f>
        <v/>
      </c>
      <c r="J1717" s="275">
        <f>IF(ISBLANK('ENGAGEMENTS 2026'!C1717),"",IF(AND(OR($E1717="INFRUCTUEUX",$E1717="ANNULE"),$C1717="AOO-M"),'ENGAGEMENTS 2026'!P1717,IF($H1717="EN COURS DE PREENGAGEMENT",'ENGAGEMENTS 2026'!O1717,IF($H1717="PREENGAGE",IF($E1717="ATTRIBUE",'ENGAGEMENTS 2026'!AE1717,'ENGAGEMENTS 2026'!O1717),'ENGAGEMENTS 2026'!AE1717))))</f>
        <v/>
      </c>
      <c r="K1717" s="604">
        <f>IF(ISBLANK('ENGAGEMENTS 2026'!W1717),"",'ENGAGEMENTS 2026'!W1717)</f>
        <v/>
      </c>
      <c r="L1717" s="276">
        <f>IF($K1717="","",TODAY()-$K1717)</f>
        <v/>
      </c>
      <c r="M1717">
        <f>IF($A1717="","",IF($H1717="ENGAGE","Engagé",IF(AND($H1717="NON ENGAGE",OR($I1717="INFRUCTUEUX",$I1717="ANNULE")),"Clôturé sans suite","En cours")))</f>
        <v/>
      </c>
      <c r="N1717">
        <f>IF(ISBLANK('ENGAGEMENTS 2026'!C1717),"",'ENGAGEMENTS 2026'!L1717)</f>
        <v/>
      </c>
      <c r="O1717">
        <f>IF(ISBLANK('ENGAGEMENTS 2026'!C1717),"",'ENGAGEMENTS 2026'!M1717)</f>
        <v/>
      </c>
      <c r="P1717">
        <f>IF(ISBLANK('ENGAGEMENTS 2026'!C1717),"",'ENGAGEMENTS 2026'!K1717)</f>
        <v/>
      </c>
      <c r="Q1717">
        <f>IF($A1717="","",IF(OR($E1717="INFRUCTUEUX",$E1717="ANNULE"),$A1717&amp;"|"&amp;(COUNTIFS($A$2:$A1717,$A1717,$E$2:$E1717,"INFRUCTUEUX")+COUNTIFS($A$2:$A1717,$A1717,$E$2:$E1717,"ANNULE")),""))</f>
        <v/>
      </c>
    </row>
    <row r="1718">
      <c r="A1718">
        <f>IF(ISBLANK('ENGAGEMENTS 2026'!C1718),"",IF('ENGAGEMENTS 2026'!C1718="DTSI","DCT",'ENGAGEMENTS 2026'!C1718))</f>
        <v/>
      </c>
      <c r="B1718">
        <f>IF(ISBLANK('ENGAGEMENTS 2026'!C1718),"",'ENGAGEMENTS 2026'!D1718)</f>
        <v/>
      </c>
      <c r="C1718">
        <f>IF(ISBLANK('ENGAGEMENTS 2026'!C1718),"",'ENGAGEMENTS 2026'!E1718)</f>
        <v/>
      </c>
      <c r="D1718">
        <f>IF(ISBLANK('ENGAGEMENTS 2026'!C1718),"",'ENGAGEMENTS 2026'!G1718)</f>
        <v/>
      </c>
      <c r="E1718">
        <f>IF(ISBLANK('ENGAGEMENTS 2026'!C1718),"",'ENGAGEMENTS 2026'!I1718)</f>
        <v/>
      </c>
      <c r="F1718">
        <f>IF(ISBLANK('ENGAGEMENTS 2026'!C1718),"",'ENGAGEMENTS 2026'!J1718)</f>
        <v/>
      </c>
      <c r="G1718">
        <f>IF(ISBLANK('ENGAGEMENTS 2026'!C1718),"",'ENGAGEMENTS 2026'!M1718)</f>
        <v/>
      </c>
      <c r="H1718">
        <f>IF(ISBLANK('ENGAGEMENTS 2026'!C1718),"",'ENGAGEMENTS 2026'!AF1718)</f>
        <v/>
      </c>
      <c r="I1718">
        <f>IF(ISBLANK('ENGAGEMENTS 2026'!C1718),"",'ENGAGEMENTS 2026'!H1718)</f>
        <v/>
      </c>
      <c r="J1718" s="275">
        <f>IF(ISBLANK('ENGAGEMENTS 2026'!C1718),"",IF(AND(OR($E1718="INFRUCTUEUX",$E1718="ANNULE"),$C1718="AOO-M"),'ENGAGEMENTS 2026'!P1718,IF($H1718="EN COURS DE PREENGAGEMENT",'ENGAGEMENTS 2026'!O1718,IF($H1718="PREENGAGE",IF($E1718="ATTRIBUE",'ENGAGEMENTS 2026'!AE1718,'ENGAGEMENTS 2026'!O1718),'ENGAGEMENTS 2026'!AE1718))))</f>
        <v/>
      </c>
      <c r="K1718" s="604">
        <f>IF(ISBLANK('ENGAGEMENTS 2026'!W1718),"",'ENGAGEMENTS 2026'!W1718)</f>
        <v/>
      </c>
      <c r="L1718" s="276">
        <f>IF($K1718="","",TODAY()-$K1718)</f>
        <v/>
      </c>
      <c r="M1718">
        <f>IF($A1718="","",IF($H1718="ENGAGE","Engagé",IF(AND($H1718="NON ENGAGE",OR($I1718="INFRUCTUEUX",$I1718="ANNULE")),"Clôturé sans suite","En cours")))</f>
        <v/>
      </c>
      <c r="N1718">
        <f>IF(ISBLANK('ENGAGEMENTS 2026'!C1718),"",'ENGAGEMENTS 2026'!L1718)</f>
        <v/>
      </c>
      <c r="O1718">
        <f>IF(ISBLANK('ENGAGEMENTS 2026'!C1718),"",'ENGAGEMENTS 2026'!M1718)</f>
        <v/>
      </c>
      <c r="P1718">
        <f>IF(ISBLANK('ENGAGEMENTS 2026'!C1718),"",'ENGAGEMENTS 2026'!K1718)</f>
        <v/>
      </c>
      <c r="Q1718">
        <f>IF($A1718="","",IF(OR($E1718="INFRUCTUEUX",$E1718="ANNULE"),$A1718&amp;"|"&amp;(COUNTIFS($A$2:$A1718,$A1718,$E$2:$E1718,"INFRUCTUEUX")+COUNTIFS($A$2:$A1718,$A1718,$E$2:$E1718,"ANNULE")),""))</f>
        <v/>
      </c>
    </row>
    <row r="1719">
      <c r="A1719">
        <f>IF(ISBLANK('ENGAGEMENTS 2026'!C1719),"",IF('ENGAGEMENTS 2026'!C1719="DTSI","DCT",'ENGAGEMENTS 2026'!C1719))</f>
        <v/>
      </c>
      <c r="B1719">
        <f>IF(ISBLANK('ENGAGEMENTS 2026'!C1719),"",'ENGAGEMENTS 2026'!D1719)</f>
        <v/>
      </c>
      <c r="C1719">
        <f>IF(ISBLANK('ENGAGEMENTS 2026'!C1719),"",'ENGAGEMENTS 2026'!E1719)</f>
        <v/>
      </c>
      <c r="D1719">
        <f>IF(ISBLANK('ENGAGEMENTS 2026'!C1719),"",'ENGAGEMENTS 2026'!G1719)</f>
        <v/>
      </c>
      <c r="E1719">
        <f>IF(ISBLANK('ENGAGEMENTS 2026'!C1719),"",'ENGAGEMENTS 2026'!I1719)</f>
        <v/>
      </c>
      <c r="F1719">
        <f>IF(ISBLANK('ENGAGEMENTS 2026'!C1719),"",'ENGAGEMENTS 2026'!J1719)</f>
        <v/>
      </c>
      <c r="G1719">
        <f>IF(ISBLANK('ENGAGEMENTS 2026'!C1719),"",'ENGAGEMENTS 2026'!M1719)</f>
        <v/>
      </c>
      <c r="H1719">
        <f>IF(ISBLANK('ENGAGEMENTS 2026'!C1719),"",'ENGAGEMENTS 2026'!AF1719)</f>
        <v/>
      </c>
      <c r="I1719">
        <f>IF(ISBLANK('ENGAGEMENTS 2026'!C1719),"",'ENGAGEMENTS 2026'!H1719)</f>
        <v/>
      </c>
      <c r="J1719" s="275">
        <f>IF(ISBLANK('ENGAGEMENTS 2026'!C1719),"",IF(AND(OR($E1719="INFRUCTUEUX",$E1719="ANNULE"),$C1719="AOO-M"),'ENGAGEMENTS 2026'!P1719,IF($H1719="EN COURS DE PREENGAGEMENT",'ENGAGEMENTS 2026'!O1719,IF($H1719="PREENGAGE",IF($E1719="ATTRIBUE",'ENGAGEMENTS 2026'!AE1719,'ENGAGEMENTS 2026'!O1719),'ENGAGEMENTS 2026'!AE1719))))</f>
        <v/>
      </c>
      <c r="K1719" s="604">
        <f>IF(ISBLANK('ENGAGEMENTS 2026'!W1719),"",'ENGAGEMENTS 2026'!W1719)</f>
        <v/>
      </c>
      <c r="L1719" s="276">
        <f>IF($K1719="","",TODAY()-$K1719)</f>
        <v/>
      </c>
      <c r="M1719">
        <f>IF($A1719="","",IF($H1719="ENGAGE","Engagé",IF(AND($H1719="NON ENGAGE",OR($I1719="INFRUCTUEUX",$I1719="ANNULE")),"Clôturé sans suite","En cours")))</f>
        <v/>
      </c>
      <c r="N1719">
        <f>IF(ISBLANK('ENGAGEMENTS 2026'!C1719),"",'ENGAGEMENTS 2026'!L1719)</f>
        <v/>
      </c>
      <c r="O1719">
        <f>IF(ISBLANK('ENGAGEMENTS 2026'!C1719),"",'ENGAGEMENTS 2026'!M1719)</f>
        <v/>
      </c>
      <c r="P1719">
        <f>IF(ISBLANK('ENGAGEMENTS 2026'!C1719),"",'ENGAGEMENTS 2026'!K1719)</f>
        <v/>
      </c>
      <c r="Q1719">
        <f>IF($A1719="","",IF(OR($E1719="INFRUCTUEUX",$E1719="ANNULE"),$A1719&amp;"|"&amp;(COUNTIFS($A$2:$A1719,$A1719,$E$2:$E1719,"INFRUCTUEUX")+COUNTIFS($A$2:$A1719,$A1719,$E$2:$E1719,"ANNULE")),""))</f>
        <v/>
      </c>
    </row>
    <row r="1720">
      <c r="A1720">
        <f>IF(ISBLANK('ENGAGEMENTS 2026'!C1720),"",IF('ENGAGEMENTS 2026'!C1720="DTSI","DCT",'ENGAGEMENTS 2026'!C1720))</f>
        <v/>
      </c>
      <c r="B1720">
        <f>IF(ISBLANK('ENGAGEMENTS 2026'!C1720),"",'ENGAGEMENTS 2026'!D1720)</f>
        <v/>
      </c>
      <c r="C1720">
        <f>IF(ISBLANK('ENGAGEMENTS 2026'!C1720),"",'ENGAGEMENTS 2026'!E1720)</f>
        <v/>
      </c>
      <c r="D1720">
        <f>IF(ISBLANK('ENGAGEMENTS 2026'!C1720),"",'ENGAGEMENTS 2026'!G1720)</f>
        <v/>
      </c>
      <c r="E1720">
        <f>IF(ISBLANK('ENGAGEMENTS 2026'!C1720),"",'ENGAGEMENTS 2026'!I1720)</f>
        <v/>
      </c>
      <c r="F1720">
        <f>IF(ISBLANK('ENGAGEMENTS 2026'!C1720),"",'ENGAGEMENTS 2026'!J1720)</f>
        <v/>
      </c>
      <c r="G1720">
        <f>IF(ISBLANK('ENGAGEMENTS 2026'!C1720),"",'ENGAGEMENTS 2026'!M1720)</f>
        <v/>
      </c>
      <c r="H1720">
        <f>IF(ISBLANK('ENGAGEMENTS 2026'!C1720),"",'ENGAGEMENTS 2026'!AF1720)</f>
        <v/>
      </c>
      <c r="I1720">
        <f>IF(ISBLANK('ENGAGEMENTS 2026'!C1720),"",'ENGAGEMENTS 2026'!H1720)</f>
        <v/>
      </c>
      <c r="J1720" s="275">
        <f>IF(ISBLANK('ENGAGEMENTS 2026'!C1720),"",IF(AND(OR($E1720="INFRUCTUEUX",$E1720="ANNULE"),$C1720="AOO-M"),'ENGAGEMENTS 2026'!P1720,IF($H1720="EN COURS DE PREENGAGEMENT",'ENGAGEMENTS 2026'!O1720,IF($H1720="PREENGAGE",IF($E1720="ATTRIBUE",'ENGAGEMENTS 2026'!AE1720,'ENGAGEMENTS 2026'!O1720),'ENGAGEMENTS 2026'!AE1720))))</f>
        <v/>
      </c>
      <c r="K1720" s="604">
        <f>IF(ISBLANK('ENGAGEMENTS 2026'!W1720),"",'ENGAGEMENTS 2026'!W1720)</f>
        <v/>
      </c>
      <c r="L1720" s="276">
        <f>IF($K1720="","",TODAY()-$K1720)</f>
        <v/>
      </c>
      <c r="M1720">
        <f>IF($A1720="","",IF($H1720="ENGAGE","Engagé",IF(AND($H1720="NON ENGAGE",OR($I1720="INFRUCTUEUX",$I1720="ANNULE")),"Clôturé sans suite","En cours")))</f>
        <v/>
      </c>
      <c r="N1720">
        <f>IF(ISBLANK('ENGAGEMENTS 2026'!C1720),"",'ENGAGEMENTS 2026'!L1720)</f>
        <v/>
      </c>
      <c r="O1720">
        <f>IF(ISBLANK('ENGAGEMENTS 2026'!C1720),"",'ENGAGEMENTS 2026'!M1720)</f>
        <v/>
      </c>
      <c r="P1720">
        <f>IF(ISBLANK('ENGAGEMENTS 2026'!C1720),"",'ENGAGEMENTS 2026'!K1720)</f>
        <v/>
      </c>
      <c r="Q1720">
        <f>IF($A1720="","",IF(OR($E1720="INFRUCTUEUX",$E1720="ANNULE"),$A1720&amp;"|"&amp;(COUNTIFS($A$2:$A1720,$A1720,$E$2:$E1720,"INFRUCTUEUX")+COUNTIFS($A$2:$A1720,$A1720,$E$2:$E1720,"ANNULE")),""))</f>
        <v/>
      </c>
    </row>
    <row r="1721">
      <c r="A1721">
        <f>IF(ISBLANK('ENGAGEMENTS 2026'!C1721),"",IF('ENGAGEMENTS 2026'!C1721="DTSI","DCT",'ENGAGEMENTS 2026'!C1721))</f>
        <v/>
      </c>
      <c r="B1721">
        <f>IF(ISBLANK('ENGAGEMENTS 2026'!C1721),"",'ENGAGEMENTS 2026'!D1721)</f>
        <v/>
      </c>
      <c r="C1721">
        <f>IF(ISBLANK('ENGAGEMENTS 2026'!C1721),"",'ENGAGEMENTS 2026'!E1721)</f>
        <v/>
      </c>
      <c r="D1721">
        <f>IF(ISBLANK('ENGAGEMENTS 2026'!C1721),"",'ENGAGEMENTS 2026'!G1721)</f>
        <v/>
      </c>
      <c r="E1721">
        <f>IF(ISBLANK('ENGAGEMENTS 2026'!C1721),"",'ENGAGEMENTS 2026'!I1721)</f>
        <v/>
      </c>
      <c r="F1721">
        <f>IF(ISBLANK('ENGAGEMENTS 2026'!C1721),"",'ENGAGEMENTS 2026'!J1721)</f>
        <v/>
      </c>
      <c r="G1721">
        <f>IF(ISBLANK('ENGAGEMENTS 2026'!C1721),"",'ENGAGEMENTS 2026'!M1721)</f>
        <v/>
      </c>
      <c r="H1721">
        <f>IF(ISBLANK('ENGAGEMENTS 2026'!C1721),"",'ENGAGEMENTS 2026'!AF1721)</f>
        <v/>
      </c>
      <c r="I1721">
        <f>IF(ISBLANK('ENGAGEMENTS 2026'!C1721),"",'ENGAGEMENTS 2026'!H1721)</f>
        <v/>
      </c>
      <c r="J1721" s="275">
        <f>IF(ISBLANK('ENGAGEMENTS 2026'!C1721),"",IF(AND(OR($E1721="INFRUCTUEUX",$E1721="ANNULE"),$C1721="AOO-M"),'ENGAGEMENTS 2026'!P1721,IF($H1721="EN COURS DE PREENGAGEMENT",'ENGAGEMENTS 2026'!O1721,IF($H1721="PREENGAGE",IF($E1721="ATTRIBUE",'ENGAGEMENTS 2026'!AE1721,'ENGAGEMENTS 2026'!O1721),'ENGAGEMENTS 2026'!AE1721))))</f>
        <v/>
      </c>
      <c r="K1721" s="604">
        <f>IF(ISBLANK('ENGAGEMENTS 2026'!W1721),"",'ENGAGEMENTS 2026'!W1721)</f>
        <v/>
      </c>
      <c r="L1721" s="276">
        <f>IF($K1721="","",TODAY()-$K1721)</f>
        <v/>
      </c>
      <c r="M1721">
        <f>IF($A1721="","",IF($H1721="ENGAGE","Engagé",IF(AND($H1721="NON ENGAGE",OR($I1721="INFRUCTUEUX",$I1721="ANNULE")),"Clôturé sans suite","En cours")))</f>
        <v/>
      </c>
      <c r="N1721">
        <f>IF(ISBLANK('ENGAGEMENTS 2026'!C1721),"",'ENGAGEMENTS 2026'!L1721)</f>
        <v/>
      </c>
      <c r="O1721">
        <f>IF(ISBLANK('ENGAGEMENTS 2026'!C1721),"",'ENGAGEMENTS 2026'!M1721)</f>
        <v/>
      </c>
      <c r="P1721">
        <f>IF(ISBLANK('ENGAGEMENTS 2026'!C1721),"",'ENGAGEMENTS 2026'!K1721)</f>
        <v/>
      </c>
      <c r="Q1721">
        <f>IF($A1721="","",IF(OR($E1721="INFRUCTUEUX",$E1721="ANNULE"),$A1721&amp;"|"&amp;(COUNTIFS($A$2:$A1721,$A1721,$E$2:$E1721,"INFRUCTUEUX")+COUNTIFS($A$2:$A1721,$A1721,$E$2:$E1721,"ANNULE")),""))</f>
        <v/>
      </c>
    </row>
    <row r="1722">
      <c r="A1722">
        <f>IF(ISBLANK('ENGAGEMENTS 2026'!C1722),"",IF('ENGAGEMENTS 2026'!C1722="DTSI","DCT",'ENGAGEMENTS 2026'!C1722))</f>
        <v/>
      </c>
      <c r="B1722">
        <f>IF(ISBLANK('ENGAGEMENTS 2026'!C1722),"",'ENGAGEMENTS 2026'!D1722)</f>
        <v/>
      </c>
      <c r="C1722">
        <f>IF(ISBLANK('ENGAGEMENTS 2026'!C1722),"",'ENGAGEMENTS 2026'!E1722)</f>
        <v/>
      </c>
      <c r="D1722">
        <f>IF(ISBLANK('ENGAGEMENTS 2026'!C1722),"",'ENGAGEMENTS 2026'!G1722)</f>
        <v/>
      </c>
      <c r="E1722">
        <f>IF(ISBLANK('ENGAGEMENTS 2026'!C1722),"",'ENGAGEMENTS 2026'!I1722)</f>
        <v/>
      </c>
      <c r="F1722">
        <f>IF(ISBLANK('ENGAGEMENTS 2026'!C1722),"",'ENGAGEMENTS 2026'!J1722)</f>
        <v/>
      </c>
      <c r="G1722">
        <f>IF(ISBLANK('ENGAGEMENTS 2026'!C1722),"",'ENGAGEMENTS 2026'!M1722)</f>
        <v/>
      </c>
      <c r="H1722">
        <f>IF(ISBLANK('ENGAGEMENTS 2026'!C1722),"",'ENGAGEMENTS 2026'!AF1722)</f>
        <v/>
      </c>
      <c r="I1722">
        <f>IF(ISBLANK('ENGAGEMENTS 2026'!C1722),"",'ENGAGEMENTS 2026'!H1722)</f>
        <v/>
      </c>
      <c r="J1722" s="275">
        <f>IF(ISBLANK('ENGAGEMENTS 2026'!C1722),"",IF(AND(OR($E1722="INFRUCTUEUX",$E1722="ANNULE"),$C1722="AOO-M"),'ENGAGEMENTS 2026'!P1722,IF($H1722="EN COURS DE PREENGAGEMENT",'ENGAGEMENTS 2026'!O1722,IF($H1722="PREENGAGE",IF($E1722="ATTRIBUE",'ENGAGEMENTS 2026'!AE1722,'ENGAGEMENTS 2026'!O1722),'ENGAGEMENTS 2026'!AE1722))))</f>
        <v/>
      </c>
      <c r="K1722" s="604">
        <f>IF(ISBLANK('ENGAGEMENTS 2026'!W1722),"",'ENGAGEMENTS 2026'!W1722)</f>
        <v/>
      </c>
      <c r="L1722" s="276">
        <f>IF($K1722="","",TODAY()-$K1722)</f>
        <v/>
      </c>
      <c r="M1722">
        <f>IF($A1722="","",IF($H1722="ENGAGE","Engagé",IF(AND($H1722="NON ENGAGE",OR($I1722="INFRUCTUEUX",$I1722="ANNULE")),"Clôturé sans suite","En cours")))</f>
        <v/>
      </c>
      <c r="N1722">
        <f>IF(ISBLANK('ENGAGEMENTS 2026'!C1722),"",'ENGAGEMENTS 2026'!L1722)</f>
        <v/>
      </c>
      <c r="O1722">
        <f>IF(ISBLANK('ENGAGEMENTS 2026'!C1722),"",'ENGAGEMENTS 2026'!M1722)</f>
        <v/>
      </c>
      <c r="P1722">
        <f>IF(ISBLANK('ENGAGEMENTS 2026'!C1722),"",'ENGAGEMENTS 2026'!K1722)</f>
        <v/>
      </c>
      <c r="Q1722">
        <f>IF($A1722="","",IF(OR($E1722="INFRUCTUEUX",$E1722="ANNULE"),$A1722&amp;"|"&amp;(COUNTIFS($A$2:$A1722,$A1722,$E$2:$E1722,"INFRUCTUEUX")+COUNTIFS($A$2:$A1722,$A1722,$E$2:$E1722,"ANNULE")),""))</f>
        <v/>
      </c>
    </row>
    <row r="1723">
      <c r="A1723">
        <f>IF(ISBLANK('ENGAGEMENTS 2026'!C1723),"",IF('ENGAGEMENTS 2026'!C1723="DTSI","DCT",'ENGAGEMENTS 2026'!C1723))</f>
        <v/>
      </c>
      <c r="B1723">
        <f>IF(ISBLANK('ENGAGEMENTS 2026'!C1723),"",'ENGAGEMENTS 2026'!D1723)</f>
        <v/>
      </c>
      <c r="C1723">
        <f>IF(ISBLANK('ENGAGEMENTS 2026'!C1723),"",'ENGAGEMENTS 2026'!E1723)</f>
        <v/>
      </c>
      <c r="D1723">
        <f>IF(ISBLANK('ENGAGEMENTS 2026'!C1723),"",'ENGAGEMENTS 2026'!G1723)</f>
        <v/>
      </c>
      <c r="E1723">
        <f>IF(ISBLANK('ENGAGEMENTS 2026'!C1723),"",'ENGAGEMENTS 2026'!I1723)</f>
        <v/>
      </c>
      <c r="F1723">
        <f>IF(ISBLANK('ENGAGEMENTS 2026'!C1723),"",'ENGAGEMENTS 2026'!J1723)</f>
        <v/>
      </c>
      <c r="G1723">
        <f>IF(ISBLANK('ENGAGEMENTS 2026'!C1723),"",'ENGAGEMENTS 2026'!M1723)</f>
        <v/>
      </c>
      <c r="H1723">
        <f>IF(ISBLANK('ENGAGEMENTS 2026'!C1723),"",'ENGAGEMENTS 2026'!AF1723)</f>
        <v/>
      </c>
      <c r="I1723">
        <f>IF(ISBLANK('ENGAGEMENTS 2026'!C1723),"",'ENGAGEMENTS 2026'!H1723)</f>
        <v/>
      </c>
      <c r="J1723" s="275">
        <f>IF(ISBLANK('ENGAGEMENTS 2026'!C1723),"",IF(AND(OR($E1723="INFRUCTUEUX",$E1723="ANNULE"),$C1723="AOO-M"),'ENGAGEMENTS 2026'!P1723,IF($H1723="EN COURS DE PREENGAGEMENT",'ENGAGEMENTS 2026'!O1723,IF($H1723="PREENGAGE",IF($E1723="ATTRIBUE",'ENGAGEMENTS 2026'!AE1723,'ENGAGEMENTS 2026'!O1723),'ENGAGEMENTS 2026'!AE1723))))</f>
        <v/>
      </c>
      <c r="K1723" s="604">
        <f>IF(ISBLANK('ENGAGEMENTS 2026'!W1723),"",'ENGAGEMENTS 2026'!W1723)</f>
        <v/>
      </c>
      <c r="L1723" s="276">
        <f>IF($K1723="","",TODAY()-$K1723)</f>
        <v/>
      </c>
      <c r="M1723">
        <f>IF($A1723="","",IF($H1723="ENGAGE","Engagé",IF(AND($H1723="NON ENGAGE",OR($I1723="INFRUCTUEUX",$I1723="ANNULE")),"Clôturé sans suite","En cours")))</f>
        <v/>
      </c>
      <c r="N1723">
        <f>IF(ISBLANK('ENGAGEMENTS 2026'!C1723),"",'ENGAGEMENTS 2026'!L1723)</f>
        <v/>
      </c>
      <c r="O1723">
        <f>IF(ISBLANK('ENGAGEMENTS 2026'!C1723),"",'ENGAGEMENTS 2026'!M1723)</f>
        <v/>
      </c>
      <c r="P1723">
        <f>IF(ISBLANK('ENGAGEMENTS 2026'!C1723),"",'ENGAGEMENTS 2026'!K1723)</f>
        <v/>
      </c>
      <c r="Q1723">
        <f>IF($A1723="","",IF(OR($E1723="INFRUCTUEUX",$E1723="ANNULE"),$A1723&amp;"|"&amp;(COUNTIFS($A$2:$A1723,$A1723,$E$2:$E1723,"INFRUCTUEUX")+COUNTIFS($A$2:$A1723,$A1723,$E$2:$E1723,"ANNULE")),""))</f>
        <v/>
      </c>
    </row>
    <row r="1724">
      <c r="A1724">
        <f>IF(ISBLANK('ENGAGEMENTS 2026'!C1724),"",IF('ENGAGEMENTS 2026'!C1724="DTSI","DCT",'ENGAGEMENTS 2026'!C1724))</f>
        <v/>
      </c>
      <c r="B1724">
        <f>IF(ISBLANK('ENGAGEMENTS 2026'!C1724),"",'ENGAGEMENTS 2026'!D1724)</f>
        <v/>
      </c>
      <c r="C1724">
        <f>IF(ISBLANK('ENGAGEMENTS 2026'!C1724),"",'ENGAGEMENTS 2026'!E1724)</f>
        <v/>
      </c>
      <c r="D1724">
        <f>IF(ISBLANK('ENGAGEMENTS 2026'!C1724),"",'ENGAGEMENTS 2026'!G1724)</f>
        <v/>
      </c>
      <c r="E1724">
        <f>IF(ISBLANK('ENGAGEMENTS 2026'!C1724),"",'ENGAGEMENTS 2026'!I1724)</f>
        <v/>
      </c>
      <c r="F1724">
        <f>IF(ISBLANK('ENGAGEMENTS 2026'!C1724),"",'ENGAGEMENTS 2026'!J1724)</f>
        <v/>
      </c>
      <c r="G1724">
        <f>IF(ISBLANK('ENGAGEMENTS 2026'!C1724),"",'ENGAGEMENTS 2026'!M1724)</f>
        <v/>
      </c>
      <c r="H1724">
        <f>IF(ISBLANK('ENGAGEMENTS 2026'!C1724),"",'ENGAGEMENTS 2026'!AF1724)</f>
        <v/>
      </c>
      <c r="I1724">
        <f>IF(ISBLANK('ENGAGEMENTS 2026'!C1724),"",'ENGAGEMENTS 2026'!H1724)</f>
        <v/>
      </c>
      <c r="J1724" s="275">
        <f>IF(ISBLANK('ENGAGEMENTS 2026'!C1724),"",IF(AND(OR($E1724="INFRUCTUEUX",$E1724="ANNULE"),$C1724="AOO-M"),'ENGAGEMENTS 2026'!P1724,IF($H1724="EN COURS DE PREENGAGEMENT",'ENGAGEMENTS 2026'!O1724,IF($H1724="PREENGAGE",IF($E1724="ATTRIBUE",'ENGAGEMENTS 2026'!AE1724,'ENGAGEMENTS 2026'!O1724),'ENGAGEMENTS 2026'!AE1724))))</f>
        <v/>
      </c>
      <c r="K1724" s="604">
        <f>IF(ISBLANK('ENGAGEMENTS 2026'!W1724),"",'ENGAGEMENTS 2026'!W1724)</f>
        <v/>
      </c>
      <c r="L1724" s="276">
        <f>IF($K1724="","",TODAY()-$K1724)</f>
        <v/>
      </c>
      <c r="M1724">
        <f>IF($A1724="","",IF($H1724="ENGAGE","Engagé",IF(AND($H1724="NON ENGAGE",OR($I1724="INFRUCTUEUX",$I1724="ANNULE")),"Clôturé sans suite","En cours")))</f>
        <v/>
      </c>
      <c r="N1724">
        <f>IF(ISBLANK('ENGAGEMENTS 2026'!C1724),"",'ENGAGEMENTS 2026'!L1724)</f>
        <v/>
      </c>
      <c r="O1724">
        <f>IF(ISBLANK('ENGAGEMENTS 2026'!C1724),"",'ENGAGEMENTS 2026'!M1724)</f>
        <v/>
      </c>
      <c r="P1724">
        <f>IF(ISBLANK('ENGAGEMENTS 2026'!C1724),"",'ENGAGEMENTS 2026'!K1724)</f>
        <v/>
      </c>
      <c r="Q1724">
        <f>IF($A1724="","",IF(OR($E1724="INFRUCTUEUX",$E1724="ANNULE"),$A1724&amp;"|"&amp;(COUNTIFS($A$2:$A1724,$A1724,$E$2:$E1724,"INFRUCTUEUX")+COUNTIFS($A$2:$A1724,$A1724,$E$2:$E1724,"ANNULE")),""))</f>
        <v/>
      </c>
    </row>
    <row r="1725">
      <c r="A1725">
        <f>IF(ISBLANK('ENGAGEMENTS 2026'!C1725),"",IF('ENGAGEMENTS 2026'!C1725="DTSI","DCT",'ENGAGEMENTS 2026'!C1725))</f>
        <v/>
      </c>
      <c r="B1725">
        <f>IF(ISBLANK('ENGAGEMENTS 2026'!C1725),"",'ENGAGEMENTS 2026'!D1725)</f>
        <v/>
      </c>
      <c r="C1725">
        <f>IF(ISBLANK('ENGAGEMENTS 2026'!C1725),"",'ENGAGEMENTS 2026'!E1725)</f>
        <v/>
      </c>
      <c r="D1725">
        <f>IF(ISBLANK('ENGAGEMENTS 2026'!C1725),"",'ENGAGEMENTS 2026'!G1725)</f>
        <v/>
      </c>
      <c r="E1725">
        <f>IF(ISBLANK('ENGAGEMENTS 2026'!C1725),"",'ENGAGEMENTS 2026'!I1725)</f>
        <v/>
      </c>
      <c r="F1725">
        <f>IF(ISBLANK('ENGAGEMENTS 2026'!C1725),"",'ENGAGEMENTS 2026'!J1725)</f>
        <v/>
      </c>
      <c r="G1725">
        <f>IF(ISBLANK('ENGAGEMENTS 2026'!C1725),"",'ENGAGEMENTS 2026'!M1725)</f>
        <v/>
      </c>
      <c r="H1725">
        <f>IF(ISBLANK('ENGAGEMENTS 2026'!C1725),"",'ENGAGEMENTS 2026'!AF1725)</f>
        <v/>
      </c>
      <c r="I1725">
        <f>IF(ISBLANK('ENGAGEMENTS 2026'!C1725),"",'ENGAGEMENTS 2026'!H1725)</f>
        <v/>
      </c>
      <c r="J1725" s="275">
        <f>IF(ISBLANK('ENGAGEMENTS 2026'!C1725),"",IF(AND(OR($E1725="INFRUCTUEUX",$E1725="ANNULE"),$C1725="AOO-M"),'ENGAGEMENTS 2026'!P1725,IF($H1725="EN COURS DE PREENGAGEMENT",'ENGAGEMENTS 2026'!O1725,IF($H1725="PREENGAGE",IF($E1725="ATTRIBUE",'ENGAGEMENTS 2026'!AE1725,'ENGAGEMENTS 2026'!O1725),'ENGAGEMENTS 2026'!AE1725))))</f>
        <v/>
      </c>
      <c r="K1725" s="604">
        <f>IF(ISBLANK('ENGAGEMENTS 2026'!W1725),"",'ENGAGEMENTS 2026'!W1725)</f>
        <v/>
      </c>
      <c r="L1725" s="276">
        <f>IF($K1725="","",TODAY()-$K1725)</f>
        <v/>
      </c>
      <c r="M1725">
        <f>IF($A1725="","",IF($H1725="ENGAGE","Engagé",IF(AND($H1725="NON ENGAGE",OR($I1725="INFRUCTUEUX",$I1725="ANNULE")),"Clôturé sans suite","En cours")))</f>
        <v/>
      </c>
      <c r="N1725">
        <f>IF(ISBLANK('ENGAGEMENTS 2026'!C1725),"",'ENGAGEMENTS 2026'!L1725)</f>
        <v/>
      </c>
      <c r="O1725">
        <f>IF(ISBLANK('ENGAGEMENTS 2026'!C1725),"",'ENGAGEMENTS 2026'!M1725)</f>
        <v/>
      </c>
      <c r="P1725">
        <f>IF(ISBLANK('ENGAGEMENTS 2026'!C1725),"",'ENGAGEMENTS 2026'!K1725)</f>
        <v/>
      </c>
      <c r="Q1725">
        <f>IF($A1725="","",IF(OR($E1725="INFRUCTUEUX",$E1725="ANNULE"),$A1725&amp;"|"&amp;(COUNTIFS($A$2:$A1725,$A1725,$E$2:$E1725,"INFRUCTUEUX")+COUNTIFS($A$2:$A1725,$A1725,$E$2:$E1725,"ANNULE")),""))</f>
        <v/>
      </c>
    </row>
    <row r="1726">
      <c r="A1726">
        <f>IF(ISBLANK('ENGAGEMENTS 2026'!C1726),"",IF('ENGAGEMENTS 2026'!C1726="DTSI","DCT",'ENGAGEMENTS 2026'!C1726))</f>
        <v/>
      </c>
      <c r="B1726">
        <f>IF(ISBLANK('ENGAGEMENTS 2026'!C1726),"",'ENGAGEMENTS 2026'!D1726)</f>
        <v/>
      </c>
      <c r="C1726">
        <f>IF(ISBLANK('ENGAGEMENTS 2026'!C1726),"",'ENGAGEMENTS 2026'!E1726)</f>
        <v/>
      </c>
      <c r="D1726">
        <f>IF(ISBLANK('ENGAGEMENTS 2026'!C1726),"",'ENGAGEMENTS 2026'!G1726)</f>
        <v/>
      </c>
      <c r="E1726">
        <f>IF(ISBLANK('ENGAGEMENTS 2026'!C1726),"",'ENGAGEMENTS 2026'!I1726)</f>
        <v/>
      </c>
      <c r="F1726">
        <f>IF(ISBLANK('ENGAGEMENTS 2026'!C1726),"",'ENGAGEMENTS 2026'!J1726)</f>
        <v/>
      </c>
      <c r="G1726">
        <f>IF(ISBLANK('ENGAGEMENTS 2026'!C1726),"",'ENGAGEMENTS 2026'!M1726)</f>
        <v/>
      </c>
      <c r="H1726">
        <f>IF(ISBLANK('ENGAGEMENTS 2026'!C1726),"",'ENGAGEMENTS 2026'!AF1726)</f>
        <v/>
      </c>
      <c r="I1726">
        <f>IF(ISBLANK('ENGAGEMENTS 2026'!C1726),"",'ENGAGEMENTS 2026'!H1726)</f>
        <v/>
      </c>
      <c r="J1726" s="275">
        <f>IF(ISBLANK('ENGAGEMENTS 2026'!C1726),"",IF(AND(OR($E1726="INFRUCTUEUX",$E1726="ANNULE"),$C1726="AOO-M"),'ENGAGEMENTS 2026'!P1726,IF($H1726="EN COURS DE PREENGAGEMENT",'ENGAGEMENTS 2026'!O1726,IF($H1726="PREENGAGE",IF($E1726="ATTRIBUE",'ENGAGEMENTS 2026'!AE1726,'ENGAGEMENTS 2026'!O1726),'ENGAGEMENTS 2026'!AE1726))))</f>
        <v/>
      </c>
      <c r="K1726" s="604">
        <f>IF(ISBLANK('ENGAGEMENTS 2026'!W1726),"",'ENGAGEMENTS 2026'!W1726)</f>
        <v/>
      </c>
      <c r="L1726" s="276">
        <f>IF($K1726="","",TODAY()-$K1726)</f>
        <v/>
      </c>
      <c r="M1726">
        <f>IF($A1726="","",IF($H1726="ENGAGE","Engagé",IF(AND($H1726="NON ENGAGE",OR($I1726="INFRUCTUEUX",$I1726="ANNULE")),"Clôturé sans suite","En cours")))</f>
        <v/>
      </c>
      <c r="N1726">
        <f>IF(ISBLANK('ENGAGEMENTS 2026'!C1726),"",'ENGAGEMENTS 2026'!L1726)</f>
        <v/>
      </c>
      <c r="O1726">
        <f>IF(ISBLANK('ENGAGEMENTS 2026'!C1726),"",'ENGAGEMENTS 2026'!M1726)</f>
        <v/>
      </c>
      <c r="P1726">
        <f>IF(ISBLANK('ENGAGEMENTS 2026'!C1726),"",'ENGAGEMENTS 2026'!K1726)</f>
        <v/>
      </c>
      <c r="Q1726">
        <f>IF($A1726="","",IF(OR($E1726="INFRUCTUEUX",$E1726="ANNULE"),$A1726&amp;"|"&amp;(COUNTIFS($A$2:$A1726,$A1726,$E$2:$E1726,"INFRUCTUEUX")+COUNTIFS($A$2:$A1726,$A1726,$E$2:$E1726,"ANNULE")),""))</f>
        <v/>
      </c>
    </row>
    <row r="1727">
      <c r="A1727">
        <f>IF(ISBLANK('ENGAGEMENTS 2026'!C1727),"",IF('ENGAGEMENTS 2026'!C1727="DTSI","DCT",'ENGAGEMENTS 2026'!C1727))</f>
        <v/>
      </c>
      <c r="B1727">
        <f>IF(ISBLANK('ENGAGEMENTS 2026'!C1727),"",'ENGAGEMENTS 2026'!D1727)</f>
        <v/>
      </c>
      <c r="C1727">
        <f>IF(ISBLANK('ENGAGEMENTS 2026'!C1727),"",'ENGAGEMENTS 2026'!E1727)</f>
        <v/>
      </c>
      <c r="D1727">
        <f>IF(ISBLANK('ENGAGEMENTS 2026'!C1727),"",'ENGAGEMENTS 2026'!G1727)</f>
        <v/>
      </c>
      <c r="E1727">
        <f>IF(ISBLANK('ENGAGEMENTS 2026'!C1727),"",'ENGAGEMENTS 2026'!I1727)</f>
        <v/>
      </c>
      <c r="F1727">
        <f>IF(ISBLANK('ENGAGEMENTS 2026'!C1727),"",'ENGAGEMENTS 2026'!J1727)</f>
        <v/>
      </c>
      <c r="G1727">
        <f>IF(ISBLANK('ENGAGEMENTS 2026'!C1727),"",'ENGAGEMENTS 2026'!M1727)</f>
        <v/>
      </c>
      <c r="H1727">
        <f>IF(ISBLANK('ENGAGEMENTS 2026'!C1727),"",'ENGAGEMENTS 2026'!AF1727)</f>
        <v/>
      </c>
      <c r="I1727">
        <f>IF(ISBLANK('ENGAGEMENTS 2026'!C1727),"",'ENGAGEMENTS 2026'!H1727)</f>
        <v/>
      </c>
      <c r="J1727" s="275">
        <f>IF(ISBLANK('ENGAGEMENTS 2026'!C1727),"",IF(AND(OR($E1727="INFRUCTUEUX",$E1727="ANNULE"),$C1727="AOO-M"),'ENGAGEMENTS 2026'!P1727,IF($H1727="EN COURS DE PREENGAGEMENT",'ENGAGEMENTS 2026'!O1727,IF($H1727="PREENGAGE",IF($E1727="ATTRIBUE",'ENGAGEMENTS 2026'!AE1727,'ENGAGEMENTS 2026'!O1727),'ENGAGEMENTS 2026'!AE1727))))</f>
        <v/>
      </c>
      <c r="K1727" s="604">
        <f>IF(ISBLANK('ENGAGEMENTS 2026'!W1727),"",'ENGAGEMENTS 2026'!W1727)</f>
        <v/>
      </c>
      <c r="L1727" s="276">
        <f>IF($K1727="","",TODAY()-$K1727)</f>
        <v/>
      </c>
      <c r="M1727">
        <f>IF($A1727="","",IF($H1727="ENGAGE","Engagé",IF(AND($H1727="NON ENGAGE",OR($I1727="INFRUCTUEUX",$I1727="ANNULE")),"Clôturé sans suite","En cours")))</f>
        <v/>
      </c>
      <c r="N1727">
        <f>IF(ISBLANK('ENGAGEMENTS 2026'!C1727),"",'ENGAGEMENTS 2026'!L1727)</f>
        <v/>
      </c>
      <c r="O1727">
        <f>IF(ISBLANK('ENGAGEMENTS 2026'!C1727),"",'ENGAGEMENTS 2026'!M1727)</f>
        <v/>
      </c>
      <c r="P1727">
        <f>IF(ISBLANK('ENGAGEMENTS 2026'!C1727),"",'ENGAGEMENTS 2026'!K1727)</f>
        <v/>
      </c>
      <c r="Q1727">
        <f>IF($A1727="","",IF(OR($E1727="INFRUCTUEUX",$E1727="ANNULE"),$A1727&amp;"|"&amp;(COUNTIFS($A$2:$A1727,$A1727,$E$2:$E1727,"INFRUCTUEUX")+COUNTIFS($A$2:$A1727,$A1727,$E$2:$E1727,"ANNULE")),""))</f>
        <v/>
      </c>
    </row>
    <row r="1728">
      <c r="A1728">
        <f>IF(ISBLANK('ENGAGEMENTS 2026'!C1728),"",IF('ENGAGEMENTS 2026'!C1728="DTSI","DCT",'ENGAGEMENTS 2026'!C1728))</f>
        <v/>
      </c>
      <c r="B1728">
        <f>IF(ISBLANK('ENGAGEMENTS 2026'!C1728),"",'ENGAGEMENTS 2026'!D1728)</f>
        <v/>
      </c>
      <c r="C1728">
        <f>IF(ISBLANK('ENGAGEMENTS 2026'!C1728),"",'ENGAGEMENTS 2026'!E1728)</f>
        <v/>
      </c>
      <c r="D1728">
        <f>IF(ISBLANK('ENGAGEMENTS 2026'!C1728),"",'ENGAGEMENTS 2026'!G1728)</f>
        <v/>
      </c>
      <c r="E1728">
        <f>IF(ISBLANK('ENGAGEMENTS 2026'!C1728),"",'ENGAGEMENTS 2026'!I1728)</f>
        <v/>
      </c>
      <c r="F1728">
        <f>IF(ISBLANK('ENGAGEMENTS 2026'!C1728),"",'ENGAGEMENTS 2026'!J1728)</f>
        <v/>
      </c>
      <c r="G1728">
        <f>IF(ISBLANK('ENGAGEMENTS 2026'!C1728),"",'ENGAGEMENTS 2026'!M1728)</f>
        <v/>
      </c>
      <c r="H1728">
        <f>IF(ISBLANK('ENGAGEMENTS 2026'!C1728),"",'ENGAGEMENTS 2026'!AF1728)</f>
        <v/>
      </c>
      <c r="I1728">
        <f>IF(ISBLANK('ENGAGEMENTS 2026'!C1728),"",'ENGAGEMENTS 2026'!H1728)</f>
        <v/>
      </c>
      <c r="J1728" s="275">
        <f>IF(ISBLANK('ENGAGEMENTS 2026'!C1728),"",IF(AND(OR($E1728="INFRUCTUEUX",$E1728="ANNULE"),$C1728="AOO-M"),'ENGAGEMENTS 2026'!P1728,IF($H1728="EN COURS DE PREENGAGEMENT",'ENGAGEMENTS 2026'!O1728,IF($H1728="PREENGAGE",IF($E1728="ATTRIBUE",'ENGAGEMENTS 2026'!AE1728,'ENGAGEMENTS 2026'!O1728),'ENGAGEMENTS 2026'!AE1728))))</f>
        <v/>
      </c>
      <c r="K1728" s="604">
        <f>IF(ISBLANK('ENGAGEMENTS 2026'!W1728),"",'ENGAGEMENTS 2026'!W1728)</f>
        <v/>
      </c>
      <c r="L1728" s="276">
        <f>IF($K1728="","",TODAY()-$K1728)</f>
        <v/>
      </c>
      <c r="M1728">
        <f>IF($A1728="","",IF($H1728="ENGAGE","Engagé",IF(AND($H1728="NON ENGAGE",OR($I1728="INFRUCTUEUX",$I1728="ANNULE")),"Clôturé sans suite","En cours")))</f>
        <v/>
      </c>
      <c r="N1728">
        <f>IF(ISBLANK('ENGAGEMENTS 2026'!C1728),"",'ENGAGEMENTS 2026'!L1728)</f>
        <v/>
      </c>
      <c r="O1728">
        <f>IF(ISBLANK('ENGAGEMENTS 2026'!C1728),"",'ENGAGEMENTS 2026'!M1728)</f>
        <v/>
      </c>
      <c r="P1728">
        <f>IF(ISBLANK('ENGAGEMENTS 2026'!C1728),"",'ENGAGEMENTS 2026'!K1728)</f>
        <v/>
      </c>
      <c r="Q1728">
        <f>IF($A1728="","",IF(OR($E1728="INFRUCTUEUX",$E1728="ANNULE"),$A1728&amp;"|"&amp;(COUNTIFS($A$2:$A1728,$A1728,$E$2:$E1728,"INFRUCTUEUX")+COUNTIFS($A$2:$A1728,$A1728,$E$2:$E1728,"ANNULE")),""))</f>
        <v/>
      </c>
    </row>
    <row r="1729">
      <c r="A1729">
        <f>IF(ISBLANK('ENGAGEMENTS 2026'!C1729),"",IF('ENGAGEMENTS 2026'!C1729="DTSI","DCT",'ENGAGEMENTS 2026'!C1729))</f>
        <v/>
      </c>
      <c r="B1729">
        <f>IF(ISBLANK('ENGAGEMENTS 2026'!C1729),"",'ENGAGEMENTS 2026'!D1729)</f>
        <v/>
      </c>
      <c r="C1729">
        <f>IF(ISBLANK('ENGAGEMENTS 2026'!C1729),"",'ENGAGEMENTS 2026'!E1729)</f>
        <v/>
      </c>
      <c r="D1729">
        <f>IF(ISBLANK('ENGAGEMENTS 2026'!C1729),"",'ENGAGEMENTS 2026'!G1729)</f>
        <v/>
      </c>
      <c r="E1729">
        <f>IF(ISBLANK('ENGAGEMENTS 2026'!C1729),"",'ENGAGEMENTS 2026'!I1729)</f>
        <v/>
      </c>
      <c r="F1729">
        <f>IF(ISBLANK('ENGAGEMENTS 2026'!C1729),"",'ENGAGEMENTS 2026'!J1729)</f>
        <v/>
      </c>
      <c r="G1729">
        <f>IF(ISBLANK('ENGAGEMENTS 2026'!C1729),"",'ENGAGEMENTS 2026'!M1729)</f>
        <v/>
      </c>
      <c r="H1729">
        <f>IF(ISBLANK('ENGAGEMENTS 2026'!C1729),"",'ENGAGEMENTS 2026'!AF1729)</f>
        <v/>
      </c>
      <c r="I1729">
        <f>IF(ISBLANK('ENGAGEMENTS 2026'!C1729),"",'ENGAGEMENTS 2026'!H1729)</f>
        <v/>
      </c>
      <c r="J1729" s="275">
        <f>IF(ISBLANK('ENGAGEMENTS 2026'!C1729),"",IF(AND(OR($E1729="INFRUCTUEUX",$E1729="ANNULE"),$C1729="AOO-M"),'ENGAGEMENTS 2026'!P1729,IF($H1729="EN COURS DE PREENGAGEMENT",'ENGAGEMENTS 2026'!O1729,IF($H1729="PREENGAGE",IF($E1729="ATTRIBUE",'ENGAGEMENTS 2026'!AE1729,'ENGAGEMENTS 2026'!O1729),'ENGAGEMENTS 2026'!AE1729))))</f>
        <v/>
      </c>
      <c r="K1729" s="604">
        <f>IF(ISBLANK('ENGAGEMENTS 2026'!W1729),"",'ENGAGEMENTS 2026'!W1729)</f>
        <v/>
      </c>
      <c r="L1729" s="276">
        <f>IF($K1729="","",TODAY()-$K1729)</f>
        <v/>
      </c>
      <c r="M1729">
        <f>IF($A1729="","",IF($H1729="ENGAGE","Engagé",IF(AND($H1729="NON ENGAGE",OR($I1729="INFRUCTUEUX",$I1729="ANNULE")),"Clôturé sans suite","En cours")))</f>
        <v/>
      </c>
      <c r="N1729">
        <f>IF(ISBLANK('ENGAGEMENTS 2026'!C1729),"",'ENGAGEMENTS 2026'!L1729)</f>
        <v/>
      </c>
      <c r="O1729">
        <f>IF(ISBLANK('ENGAGEMENTS 2026'!C1729),"",'ENGAGEMENTS 2026'!M1729)</f>
        <v/>
      </c>
      <c r="P1729">
        <f>IF(ISBLANK('ENGAGEMENTS 2026'!C1729),"",'ENGAGEMENTS 2026'!K1729)</f>
        <v/>
      </c>
      <c r="Q1729">
        <f>IF($A1729="","",IF(OR($E1729="INFRUCTUEUX",$E1729="ANNULE"),$A1729&amp;"|"&amp;(COUNTIFS($A$2:$A1729,$A1729,$E$2:$E1729,"INFRUCTUEUX")+COUNTIFS($A$2:$A1729,$A1729,$E$2:$E1729,"ANNULE")),""))</f>
        <v/>
      </c>
    </row>
    <row r="1730">
      <c r="A1730">
        <f>IF(ISBLANK('ENGAGEMENTS 2026'!C1730),"",IF('ENGAGEMENTS 2026'!C1730="DTSI","DCT",'ENGAGEMENTS 2026'!C1730))</f>
        <v/>
      </c>
      <c r="B1730">
        <f>IF(ISBLANK('ENGAGEMENTS 2026'!C1730),"",'ENGAGEMENTS 2026'!D1730)</f>
        <v/>
      </c>
      <c r="C1730">
        <f>IF(ISBLANK('ENGAGEMENTS 2026'!C1730),"",'ENGAGEMENTS 2026'!E1730)</f>
        <v/>
      </c>
      <c r="D1730">
        <f>IF(ISBLANK('ENGAGEMENTS 2026'!C1730),"",'ENGAGEMENTS 2026'!G1730)</f>
        <v/>
      </c>
      <c r="E1730">
        <f>IF(ISBLANK('ENGAGEMENTS 2026'!C1730),"",'ENGAGEMENTS 2026'!I1730)</f>
        <v/>
      </c>
      <c r="F1730">
        <f>IF(ISBLANK('ENGAGEMENTS 2026'!C1730),"",'ENGAGEMENTS 2026'!J1730)</f>
        <v/>
      </c>
      <c r="G1730">
        <f>IF(ISBLANK('ENGAGEMENTS 2026'!C1730),"",'ENGAGEMENTS 2026'!M1730)</f>
        <v/>
      </c>
      <c r="H1730">
        <f>IF(ISBLANK('ENGAGEMENTS 2026'!C1730),"",'ENGAGEMENTS 2026'!AF1730)</f>
        <v/>
      </c>
      <c r="I1730">
        <f>IF(ISBLANK('ENGAGEMENTS 2026'!C1730),"",'ENGAGEMENTS 2026'!H1730)</f>
        <v/>
      </c>
      <c r="J1730" s="275">
        <f>IF(ISBLANK('ENGAGEMENTS 2026'!C1730),"",IF(AND(OR($E1730="INFRUCTUEUX",$E1730="ANNULE"),$C1730="AOO-M"),'ENGAGEMENTS 2026'!P1730,IF($H1730="EN COURS DE PREENGAGEMENT",'ENGAGEMENTS 2026'!O1730,IF($H1730="PREENGAGE",IF($E1730="ATTRIBUE",'ENGAGEMENTS 2026'!AE1730,'ENGAGEMENTS 2026'!O1730),'ENGAGEMENTS 2026'!AE1730))))</f>
        <v/>
      </c>
      <c r="K1730" s="604">
        <f>IF(ISBLANK('ENGAGEMENTS 2026'!W1730),"",'ENGAGEMENTS 2026'!W1730)</f>
        <v/>
      </c>
      <c r="L1730" s="276">
        <f>IF($K1730="","",TODAY()-$K1730)</f>
        <v/>
      </c>
      <c r="M1730">
        <f>IF($A1730="","",IF($H1730="ENGAGE","Engagé",IF(AND($H1730="NON ENGAGE",OR($I1730="INFRUCTUEUX",$I1730="ANNULE")),"Clôturé sans suite","En cours")))</f>
        <v/>
      </c>
      <c r="N1730">
        <f>IF(ISBLANK('ENGAGEMENTS 2026'!C1730),"",'ENGAGEMENTS 2026'!L1730)</f>
        <v/>
      </c>
      <c r="O1730">
        <f>IF(ISBLANK('ENGAGEMENTS 2026'!C1730),"",'ENGAGEMENTS 2026'!M1730)</f>
        <v/>
      </c>
      <c r="P1730">
        <f>IF(ISBLANK('ENGAGEMENTS 2026'!C1730),"",'ENGAGEMENTS 2026'!K1730)</f>
        <v/>
      </c>
      <c r="Q1730">
        <f>IF($A1730="","",IF(OR($E1730="INFRUCTUEUX",$E1730="ANNULE"),$A1730&amp;"|"&amp;(COUNTIFS($A$2:$A1730,$A1730,$E$2:$E1730,"INFRUCTUEUX")+COUNTIFS($A$2:$A1730,$A1730,$E$2:$E1730,"ANNULE")),""))</f>
        <v/>
      </c>
    </row>
    <row r="1731">
      <c r="A1731">
        <f>IF(ISBLANK('ENGAGEMENTS 2026'!C1731),"",IF('ENGAGEMENTS 2026'!C1731="DTSI","DCT",'ENGAGEMENTS 2026'!C1731))</f>
        <v/>
      </c>
      <c r="B1731">
        <f>IF(ISBLANK('ENGAGEMENTS 2026'!C1731),"",'ENGAGEMENTS 2026'!D1731)</f>
        <v/>
      </c>
      <c r="C1731">
        <f>IF(ISBLANK('ENGAGEMENTS 2026'!C1731),"",'ENGAGEMENTS 2026'!E1731)</f>
        <v/>
      </c>
      <c r="D1731">
        <f>IF(ISBLANK('ENGAGEMENTS 2026'!C1731),"",'ENGAGEMENTS 2026'!G1731)</f>
        <v/>
      </c>
      <c r="E1731">
        <f>IF(ISBLANK('ENGAGEMENTS 2026'!C1731),"",'ENGAGEMENTS 2026'!I1731)</f>
        <v/>
      </c>
      <c r="F1731">
        <f>IF(ISBLANK('ENGAGEMENTS 2026'!C1731),"",'ENGAGEMENTS 2026'!J1731)</f>
        <v/>
      </c>
      <c r="G1731">
        <f>IF(ISBLANK('ENGAGEMENTS 2026'!C1731),"",'ENGAGEMENTS 2026'!M1731)</f>
        <v/>
      </c>
      <c r="H1731">
        <f>IF(ISBLANK('ENGAGEMENTS 2026'!C1731),"",'ENGAGEMENTS 2026'!AF1731)</f>
        <v/>
      </c>
      <c r="I1731">
        <f>IF(ISBLANK('ENGAGEMENTS 2026'!C1731),"",'ENGAGEMENTS 2026'!H1731)</f>
        <v/>
      </c>
      <c r="J1731" s="275">
        <f>IF(ISBLANK('ENGAGEMENTS 2026'!C1731),"",IF(AND(OR($E1731="INFRUCTUEUX",$E1731="ANNULE"),$C1731="AOO-M"),'ENGAGEMENTS 2026'!P1731,IF($H1731="EN COURS DE PREENGAGEMENT",'ENGAGEMENTS 2026'!O1731,IF($H1731="PREENGAGE",IF($E1731="ATTRIBUE",'ENGAGEMENTS 2026'!AE1731,'ENGAGEMENTS 2026'!O1731),'ENGAGEMENTS 2026'!AE1731))))</f>
        <v/>
      </c>
      <c r="K1731" s="604">
        <f>IF(ISBLANK('ENGAGEMENTS 2026'!W1731),"",'ENGAGEMENTS 2026'!W1731)</f>
        <v/>
      </c>
      <c r="L1731" s="276">
        <f>IF($K1731="","",TODAY()-$K1731)</f>
        <v/>
      </c>
      <c r="M1731">
        <f>IF($A1731="","",IF($H1731="ENGAGE","Engagé",IF(AND($H1731="NON ENGAGE",OR($I1731="INFRUCTUEUX",$I1731="ANNULE")),"Clôturé sans suite","En cours")))</f>
        <v/>
      </c>
      <c r="N1731">
        <f>IF(ISBLANK('ENGAGEMENTS 2026'!C1731),"",'ENGAGEMENTS 2026'!L1731)</f>
        <v/>
      </c>
      <c r="O1731">
        <f>IF(ISBLANK('ENGAGEMENTS 2026'!C1731),"",'ENGAGEMENTS 2026'!M1731)</f>
        <v/>
      </c>
      <c r="P1731">
        <f>IF(ISBLANK('ENGAGEMENTS 2026'!C1731),"",'ENGAGEMENTS 2026'!K1731)</f>
        <v/>
      </c>
      <c r="Q1731">
        <f>IF($A1731="","",IF(OR($E1731="INFRUCTUEUX",$E1731="ANNULE"),$A1731&amp;"|"&amp;(COUNTIFS($A$2:$A1731,$A1731,$E$2:$E1731,"INFRUCTUEUX")+COUNTIFS($A$2:$A1731,$A1731,$E$2:$E1731,"ANNULE")),""))</f>
        <v/>
      </c>
    </row>
    <row r="1732">
      <c r="A1732">
        <f>IF(ISBLANK('ENGAGEMENTS 2026'!C1732),"",IF('ENGAGEMENTS 2026'!C1732="DTSI","DCT",'ENGAGEMENTS 2026'!C1732))</f>
        <v/>
      </c>
      <c r="B1732">
        <f>IF(ISBLANK('ENGAGEMENTS 2026'!C1732),"",'ENGAGEMENTS 2026'!D1732)</f>
        <v/>
      </c>
      <c r="C1732">
        <f>IF(ISBLANK('ENGAGEMENTS 2026'!C1732),"",'ENGAGEMENTS 2026'!E1732)</f>
        <v/>
      </c>
      <c r="D1732">
        <f>IF(ISBLANK('ENGAGEMENTS 2026'!C1732),"",'ENGAGEMENTS 2026'!G1732)</f>
        <v/>
      </c>
      <c r="E1732">
        <f>IF(ISBLANK('ENGAGEMENTS 2026'!C1732),"",'ENGAGEMENTS 2026'!I1732)</f>
        <v/>
      </c>
      <c r="F1732">
        <f>IF(ISBLANK('ENGAGEMENTS 2026'!C1732),"",'ENGAGEMENTS 2026'!J1732)</f>
        <v/>
      </c>
      <c r="G1732">
        <f>IF(ISBLANK('ENGAGEMENTS 2026'!C1732),"",'ENGAGEMENTS 2026'!M1732)</f>
        <v/>
      </c>
      <c r="H1732">
        <f>IF(ISBLANK('ENGAGEMENTS 2026'!C1732),"",'ENGAGEMENTS 2026'!AF1732)</f>
        <v/>
      </c>
      <c r="I1732">
        <f>IF(ISBLANK('ENGAGEMENTS 2026'!C1732),"",'ENGAGEMENTS 2026'!H1732)</f>
        <v/>
      </c>
      <c r="J1732" s="275">
        <f>IF(ISBLANK('ENGAGEMENTS 2026'!C1732),"",IF(AND(OR($E1732="INFRUCTUEUX",$E1732="ANNULE"),$C1732="AOO-M"),'ENGAGEMENTS 2026'!P1732,IF($H1732="EN COURS DE PREENGAGEMENT",'ENGAGEMENTS 2026'!O1732,IF($H1732="PREENGAGE",IF($E1732="ATTRIBUE",'ENGAGEMENTS 2026'!AE1732,'ENGAGEMENTS 2026'!O1732),'ENGAGEMENTS 2026'!AE1732))))</f>
        <v/>
      </c>
      <c r="K1732" s="604">
        <f>IF(ISBLANK('ENGAGEMENTS 2026'!W1732),"",'ENGAGEMENTS 2026'!W1732)</f>
        <v/>
      </c>
      <c r="L1732" s="276">
        <f>IF($K1732="","",TODAY()-$K1732)</f>
        <v/>
      </c>
      <c r="M1732">
        <f>IF($A1732="","",IF($H1732="ENGAGE","Engagé",IF(AND($H1732="NON ENGAGE",OR($I1732="INFRUCTUEUX",$I1732="ANNULE")),"Clôturé sans suite","En cours")))</f>
        <v/>
      </c>
      <c r="N1732">
        <f>IF(ISBLANK('ENGAGEMENTS 2026'!C1732),"",'ENGAGEMENTS 2026'!L1732)</f>
        <v/>
      </c>
      <c r="O1732">
        <f>IF(ISBLANK('ENGAGEMENTS 2026'!C1732),"",'ENGAGEMENTS 2026'!M1732)</f>
        <v/>
      </c>
      <c r="P1732">
        <f>IF(ISBLANK('ENGAGEMENTS 2026'!C1732),"",'ENGAGEMENTS 2026'!K1732)</f>
        <v/>
      </c>
      <c r="Q1732">
        <f>IF($A1732="","",IF(OR($E1732="INFRUCTUEUX",$E1732="ANNULE"),$A1732&amp;"|"&amp;(COUNTIFS($A$2:$A1732,$A1732,$E$2:$E1732,"INFRUCTUEUX")+COUNTIFS($A$2:$A1732,$A1732,$E$2:$E1732,"ANNULE")),""))</f>
        <v/>
      </c>
    </row>
    <row r="1733">
      <c r="A1733">
        <f>IF(ISBLANK('ENGAGEMENTS 2026'!C1733),"",IF('ENGAGEMENTS 2026'!C1733="DTSI","DCT",'ENGAGEMENTS 2026'!C1733))</f>
        <v/>
      </c>
      <c r="B1733">
        <f>IF(ISBLANK('ENGAGEMENTS 2026'!C1733),"",'ENGAGEMENTS 2026'!D1733)</f>
        <v/>
      </c>
      <c r="C1733">
        <f>IF(ISBLANK('ENGAGEMENTS 2026'!C1733),"",'ENGAGEMENTS 2026'!E1733)</f>
        <v/>
      </c>
      <c r="D1733">
        <f>IF(ISBLANK('ENGAGEMENTS 2026'!C1733),"",'ENGAGEMENTS 2026'!G1733)</f>
        <v/>
      </c>
      <c r="E1733">
        <f>IF(ISBLANK('ENGAGEMENTS 2026'!C1733),"",'ENGAGEMENTS 2026'!I1733)</f>
        <v/>
      </c>
      <c r="F1733">
        <f>IF(ISBLANK('ENGAGEMENTS 2026'!C1733),"",'ENGAGEMENTS 2026'!J1733)</f>
        <v/>
      </c>
      <c r="G1733">
        <f>IF(ISBLANK('ENGAGEMENTS 2026'!C1733),"",'ENGAGEMENTS 2026'!M1733)</f>
        <v/>
      </c>
      <c r="H1733">
        <f>IF(ISBLANK('ENGAGEMENTS 2026'!C1733),"",'ENGAGEMENTS 2026'!AF1733)</f>
        <v/>
      </c>
      <c r="I1733">
        <f>IF(ISBLANK('ENGAGEMENTS 2026'!C1733),"",'ENGAGEMENTS 2026'!H1733)</f>
        <v/>
      </c>
      <c r="J1733" s="275">
        <f>IF(ISBLANK('ENGAGEMENTS 2026'!C1733),"",IF(AND(OR($E1733="INFRUCTUEUX",$E1733="ANNULE"),$C1733="AOO-M"),'ENGAGEMENTS 2026'!P1733,IF($H1733="EN COURS DE PREENGAGEMENT",'ENGAGEMENTS 2026'!O1733,IF($H1733="PREENGAGE",IF($E1733="ATTRIBUE",'ENGAGEMENTS 2026'!AE1733,'ENGAGEMENTS 2026'!O1733),'ENGAGEMENTS 2026'!AE1733))))</f>
        <v/>
      </c>
      <c r="K1733" s="604">
        <f>IF(ISBLANK('ENGAGEMENTS 2026'!W1733),"",'ENGAGEMENTS 2026'!W1733)</f>
        <v/>
      </c>
      <c r="L1733" s="276">
        <f>IF($K1733="","",TODAY()-$K1733)</f>
        <v/>
      </c>
      <c r="M1733">
        <f>IF($A1733="","",IF($H1733="ENGAGE","Engagé",IF(AND($H1733="NON ENGAGE",OR($I1733="INFRUCTUEUX",$I1733="ANNULE")),"Clôturé sans suite","En cours")))</f>
        <v/>
      </c>
      <c r="N1733">
        <f>IF(ISBLANK('ENGAGEMENTS 2026'!C1733),"",'ENGAGEMENTS 2026'!L1733)</f>
        <v/>
      </c>
      <c r="O1733">
        <f>IF(ISBLANK('ENGAGEMENTS 2026'!C1733),"",'ENGAGEMENTS 2026'!M1733)</f>
        <v/>
      </c>
      <c r="P1733">
        <f>IF(ISBLANK('ENGAGEMENTS 2026'!C1733),"",'ENGAGEMENTS 2026'!K1733)</f>
        <v/>
      </c>
      <c r="Q1733">
        <f>IF($A1733="","",IF(OR($E1733="INFRUCTUEUX",$E1733="ANNULE"),$A1733&amp;"|"&amp;(COUNTIFS($A$2:$A1733,$A1733,$E$2:$E1733,"INFRUCTUEUX")+COUNTIFS($A$2:$A1733,$A1733,$E$2:$E1733,"ANNULE")),""))</f>
        <v/>
      </c>
    </row>
    <row r="1734">
      <c r="A1734">
        <f>IF(ISBLANK('ENGAGEMENTS 2026'!C1734),"",IF('ENGAGEMENTS 2026'!C1734="DTSI","DCT",'ENGAGEMENTS 2026'!C1734))</f>
        <v/>
      </c>
      <c r="B1734">
        <f>IF(ISBLANK('ENGAGEMENTS 2026'!C1734),"",'ENGAGEMENTS 2026'!D1734)</f>
        <v/>
      </c>
      <c r="C1734">
        <f>IF(ISBLANK('ENGAGEMENTS 2026'!C1734),"",'ENGAGEMENTS 2026'!E1734)</f>
        <v/>
      </c>
      <c r="D1734">
        <f>IF(ISBLANK('ENGAGEMENTS 2026'!C1734),"",'ENGAGEMENTS 2026'!G1734)</f>
        <v/>
      </c>
      <c r="E1734">
        <f>IF(ISBLANK('ENGAGEMENTS 2026'!C1734),"",'ENGAGEMENTS 2026'!I1734)</f>
        <v/>
      </c>
      <c r="F1734">
        <f>IF(ISBLANK('ENGAGEMENTS 2026'!C1734),"",'ENGAGEMENTS 2026'!J1734)</f>
        <v/>
      </c>
      <c r="G1734">
        <f>IF(ISBLANK('ENGAGEMENTS 2026'!C1734),"",'ENGAGEMENTS 2026'!M1734)</f>
        <v/>
      </c>
      <c r="H1734">
        <f>IF(ISBLANK('ENGAGEMENTS 2026'!C1734),"",'ENGAGEMENTS 2026'!AF1734)</f>
        <v/>
      </c>
      <c r="I1734">
        <f>IF(ISBLANK('ENGAGEMENTS 2026'!C1734),"",'ENGAGEMENTS 2026'!H1734)</f>
        <v/>
      </c>
      <c r="J1734" s="275">
        <f>IF(ISBLANK('ENGAGEMENTS 2026'!C1734),"",IF(AND(OR($E1734="INFRUCTUEUX",$E1734="ANNULE"),$C1734="AOO-M"),'ENGAGEMENTS 2026'!P1734,IF($H1734="EN COURS DE PREENGAGEMENT",'ENGAGEMENTS 2026'!O1734,IF($H1734="PREENGAGE",IF($E1734="ATTRIBUE",'ENGAGEMENTS 2026'!AE1734,'ENGAGEMENTS 2026'!O1734),'ENGAGEMENTS 2026'!AE1734))))</f>
        <v/>
      </c>
      <c r="K1734" s="604">
        <f>IF(ISBLANK('ENGAGEMENTS 2026'!W1734),"",'ENGAGEMENTS 2026'!W1734)</f>
        <v/>
      </c>
      <c r="L1734" s="276">
        <f>IF($K1734="","",TODAY()-$K1734)</f>
        <v/>
      </c>
      <c r="M1734">
        <f>IF($A1734="","",IF($H1734="ENGAGE","Engagé",IF(AND($H1734="NON ENGAGE",OR($I1734="INFRUCTUEUX",$I1734="ANNULE")),"Clôturé sans suite","En cours")))</f>
        <v/>
      </c>
      <c r="N1734">
        <f>IF(ISBLANK('ENGAGEMENTS 2026'!C1734),"",'ENGAGEMENTS 2026'!L1734)</f>
        <v/>
      </c>
      <c r="O1734">
        <f>IF(ISBLANK('ENGAGEMENTS 2026'!C1734),"",'ENGAGEMENTS 2026'!M1734)</f>
        <v/>
      </c>
      <c r="P1734">
        <f>IF(ISBLANK('ENGAGEMENTS 2026'!C1734),"",'ENGAGEMENTS 2026'!K1734)</f>
        <v/>
      </c>
      <c r="Q1734">
        <f>IF($A1734="","",IF(OR($E1734="INFRUCTUEUX",$E1734="ANNULE"),$A1734&amp;"|"&amp;(COUNTIFS($A$2:$A1734,$A1734,$E$2:$E1734,"INFRUCTUEUX")+COUNTIFS($A$2:$A1734,$A1734,$E$2:$E1734,"ANNULE")),""))</f>
        <v/>
      </c>
    </row>
    <row r="1735">
      <c r="A1735">
        <f>IF(ISBLANK('ENGAGEMENTS 2026'!C1735),"",IF('ENGAGEMENTS 2026'!C1735="DTSI","DCT",'ENGAGEMENTS 2026'!C1735))</f>
        <v/>
      </c>
      <c r="B1735">
        <f>IF(ISBLANK('ENGAGEMENTS 2026'!C1735),"",'ENGAGEMENTS 2026'!D1735)</f>
        <v/>
      </c>
      <c r="C1735">
        <f>IF(ISBLANK('ENGAGEMENTS 2026'!C1735),"",'ENGAGEMENTS 2026'!E1735)</f>
        <v/>
      </c>
      <c r="D1735">
        <f>IF(ISBLANK('ENGAGEMENTS 2026'!C1735),"",'ENGAGEMENTS 2026'!G1735)</f>
        <v/>
      </c>
      <c r="E1735">
        <f>IF(ISBLANK('ENGAGEMENTS 2026'!C1735),"",'ENGAGEMENTS 2026'!I1735)</f>
        <v/>
      </c>
      <c r="F1735">
        <f>IF(ISBLANK('ENGAGEMENTS 2026'!C1735),"",'ENGAGEMENTS 2026'!J1735)</f>
        <v/>
      </c>
      <c r="G1735">
        <f>IF(ISBLANK('ENGAGEMENTS 2026'!C1735),"",'ENGAGEMENTS 2026'!M1735)</f>
        <v/>
      </c>
      <c r="H1735">
        <f>IF(ISBLANK('ENGAGEMENTS 2026'!C1735),"",'ENGAGEMENTS 2026'!AF1735)</f>
        <v/>
      </c>
      <c r="I1735">
        <f>IF(ISBLANK('ENGAGEMENTS 2026'!C1735),"",'ENGAGEMENTS 2026'!H1735)</f>
        <v/>
      </c>
      <c r="J1735" s="275">
        <f>IF(ISBLANK('ENGAGEMENTS 2026'!C1735),"",IF(AND(OR($E1735="INFRUCTUEUX",$E1735="ANNULE"),$C1735="AOO-M"),'ENGAGEMENTS 2026'!P1735,IF($H1735="EN COURS DE PREENGAGEMENT",'ENGAGEMENTS 2026'!O1735,IF($H1735="PREENGAGE",IF($E1735="ATTRIBUE",'ENGAGEMENTS 2026'!AE1735,'ENGAGEMENTS 2026'!O1735),'ENGAGEMENTS 2026'!AE1735))))</f>
        <v/>
      </c>
      <c r="K1735" s="604">
        <f>IF(ISBLANK('ENGAGEMENTS 2026'!W1735),"",'ENGAGEMENTS 2026'!W1735)</f>
        <v/>
      </c>
      <c r="L1735" s="276">
        <f>IF($K1735="","",TODAY()-$K1735)</f>
        <v/>
      </c>
      <c r="M1735">
        <f>IF($A1735="","",IF($H1735="ENGAGE","Engagé",IF(AND($H1735="NON ENGAGE",OR($I1735="INFRUCTUEUX",$I1735="ANNULE")),"Clôturé sans suite","En cours")))</f>
        <v/>
      </c>
      <c r="N1735">
        <f>IF(ISBLANK('ENGAGEMENTS 2026'!C1735),"",'ENGAGEMENTS 2026'!L1735)</f>
        <v/>
      </c>
      <c r="O1735">
        <f>IF(ISBLANK('ENGAGEMENTS 2026'!C1735),"",'ENGAGEMENTS 2026'!M1735)</f>
        <v/>
      </c>
      <c r="P1735">
        <f>IF(ISBLANK('ENGAGEMENTS 2026'!C1735),"",'ENGAGEMENTS 2026'!K1735)</f>
        <v/>
      </c>
      <c r="Q1735">
        <f>IF($A1735="","",IF(OR($E1735="INFRUCTUEUX",$E1735="ANNULE"),$A1735&amp;"|"&amp;(COUNTIFS($A$2:$A1735,$A1735,$E$2:$E1735,"INFRUCTUEUX")+COUNTIFS($A$2:$A1735,$A1735,$E$2:$E1735,"ANNULE")),""))</f>
        <v/>
      </c>
    </row>
    <row r="1736">
      <c r="A1736">
        <f>IF(ISBLANK('ENGAGEMENTS 2026'!C1736),"",IF('ENGAGEMENTS 2026'!C1736="DTSI","DCT",'ENGAGEMENTS 2026'!C1736))</f>
        <v/>
      </c>
      <c r="B1736">
        <f>IF(ISBLANK('ENGAGEMENTS 2026'!C1736),"",'ENGAGEMENTS 2026'!D1736)</f>
        <v/>
      </c>
      <c r="C1736">
        <f>IF(ISBLANK('ENGAGEMENTS 2026'!C1736),"",'ENGAGEMENTS 2026'!E1736)</f>
        <v/>
      </c>
      <c r="D1736">
        <f>IF(ISBLANK('ENGAGEMENTS 2026'!C1736),"",'ENGAGEMENTS 2026'!G1736)</f>
        <v/>
      </c>
      <c r="E1736">
        <f>IF(ISBLANK('ENGAGEMENTS 2026'!C1736),"",'ENGAGEMENTS 2026'!I1736)</f>
        <v/>
      </c>
      <c r="F1736">
        <f>IF(ISBLANK('ENGAGEMENTS 2026'!C1736),"",'ENGAGEMENTS 2026'!J1736)</f>
        <v/>
      </c>
      <c r="G1736">
        <f>IF(ISBLANK('ENGAGEMENTS 2026'!C1736),"",'ENGAGEMENTS 2026'!M1736)</f>
        <v/>
      </c>
      <c r="H1736">
        <f>IF(ISBLANK('ENGAGEMENTS 2026'!C1736),"",'ENGAGEMENTS 2026'!AF1736)</f>
        <v/>
      </c>
      <c r="I1736">
        <f>IF(ISBLANK('ENGAGEMENTS 2026'!C1736),"",'ENGAGEMENTS 2026'!H1736)</f>
        <v/>
      </c>
      <c r="J1736" s="275">
        <f>IF(ISBLANK('ENGAGEMENTS 2026'!C1736),"",IF(AND(OR($E1736="INFRUCTUEUX",$E1736="ANNULE"),$C1736="AOO-M"),'ENGAGEMENTS 2026'!P1736,IF($H1736="EN COURS DE PREENGAGEMENT",'ENGAGEMENTS 2026'!O1736,IF($H1736="PREENGAGE",IF($E1736="ATTRIBUE",'ENGAGEMENTS 2026'!AE1736,'ENGAGEMENTS 2026'!O1736),'ENGAGEMENTS 2026'!AE1736))))</f>
        <v/>
      </c>
      <c r="K1736" s="604">
        <f>IF(ISBLANK('ENGAGEMENTS 2026'!W1736),"",'ENGAGEMENTS 2026'!W1736)</f>
        <v/>
      </c>
      <c r="L1736" s="276">
        <f>IF($K1736="","",TODAY()-$K1736)</f>
        <v/>
      </c>
      <c r="M1736">
        <f>IF($A1736="","",IF($H1736="ENGAGE","Engagé",IF(AND($H1736="NON ENGAGE",OR($I1736="INFRUCTUEUX",$I1736="ANNULE")),"Clôturé sans suite","En cours")))</f>
        <v/>
      </c>
      <c r="N1736">
        <f>IF(ISBLANK('ENGAGEMENTS 2026'!C1736),"",'ENGAGEMENTS 2026'!L1736)</f>
        <v/>
      </c>
      <c r="O1736">
        <f>IF(ISBLANK('ENGAGEMENTS 2026'!C1736),"",'ENGAGEMENTS 2026'!M1736)</f>
        <v/>
      </c>
      <c r="P1736">
        <f>IF(ISBLANK('ENGAGEMENTS 2026'!C1736),"",'ENGAGEMENTS 2026'!K1736)</f>
        <v/>
      </c>
      <c r="Q1736">
        <f>IF($A1736="","",IF(OR($E1736="INFRUCTUEUX",$E1736="ANNULE"),$A1736&amp;"|"&amp;(COUNTIFS($A$2:$A1736,$A1736,$E$2:$E1736,"INFRUCTUEUX")+COUNTIFS($A$2:$A1736,$A1736,$E$2:$E1736,"ANNULE")),""))</f>
        <v/>
      </c>
    </row>
    <row r="1737">
      <c r="A1737">
        <f>IF(ISBLANK('ENGAGEMENTS 2026'!C1737),"",IF('ENGAGEMENTS 2026'!C1737="DTSI","DCT",'ENGAGEMENTS 2026'!C1737))</f>
        <v/>
      </c>
      <c r="B1737">
        <f>IF(ISBLANK('ENGAGEMENTS 2026'!C1737),"",'ENGAGEMENTS 2026'!D1737)</f>
        <v/>
      </c>
      <c r="C1737">
        <f>IF(ISBLANK('ENGAGEMENTS 2026'!C1737),"",'ENGAGEMENTS 2026'!E1737)</f>
        <v/>
      </c>
      <c r="D1737">
        <f>IF(ISBLANK('ENGAGEMENTS 2026'!C1737),"",'ENGAGEMENTS 2026'!G1737)</f>
        <v/>
      </c>
      <c r="E1737">
        <f>IF(ISBLANK('ENGAGEMENTS 2026'!C1737),"",'ENGAGEMENTS 2026'!I1737)</f>
        <v/>
      </c>
      <c r="F1737">
        <f>IF(ISBLANK('ENGAGEMENTS 2026'!C1737),"",'ENGAGEMENTS 2026'!J1737)</f>
        <v/>
      </c>
      <c r="G1737">
        <f>IF(ISBLANK('ENGAGEMENTS 2026'!C1737),"",'ENGAGEMENTS 2026'!M1737)</f>
        <v/>
      </c>
      <c r="H1737">
        <f>IF(ISBLANK('ENGAGEMENTS 2026'!C1737),"",'ENGAGEMENTS 2026'!AF1737)</f>
        <v/>
      </c>
      <c r="I1737">
        <f>IF(ISBLANK('ENGAGEMENTS 2026'!C1737),"",'ENGAGEMENTS 2026'!H1737)</f>
        <v/>
      </c>
      <c r="J1737" s="275">
        <f>IF(ISBLANK('ENGAGEMENTS 2026'!C1737),"",IF(AND(OR($E1737="INFRUCTUEUX",$E1737="ANNULE"),$C1737="AOO-M"),'ENGAGEMENTS 2026'!P1737,IF($H1737="EN COURS DE PREENGAGEMENT",'ENGAGEMENTS 2026'!O1737,IF($H1737="PREENGAGE",IF($E1737="ATTRIBUE",'ENGAGEMENTS 2026'!AE1737,'ENGAGEMENTS 2026'!O1737),'ENGAGEMENTS 2026'!AE1737))))</f>
        <v/>
      </c>
      <c r="K1737" s="604">
        <f>IF(ISBLANK('ENGAGEMENTS 2026'!W1737),"",'ENGAGEMENTS 2026'!W1737)</f>
        <v/>
      </c>
      <c r="L1737" s="276">
        <f>IF($K1737="","",TODAY()-$K1737)</f>
        <v/>
      </c>
      <c r="M1737">
        <f>IF($A1737="","",IF($H1737="ENGAGE","Engagé",IF(AND($H1737="NON ENGAGE",OR($I1737="INFRUCTUEUX",$I1737="ANNULE")),"Clôturé sans suite","En cours")))</f>
        <v/>
      </c>
      <c r="N1737">
        <f>IF(ISBLANK('ENGAGEMENTS 2026'!C1737),"",'ENGAGEMENTS 2026'!L1737)</f>
        <v/>
      </c>
      <c r="O1737">
        <f>IF(ISBLANK('ENGAGEMENTS 2026'!C1737),"",'ENGAGEMENTS 2026'!M1737)</f>
        <v/>
      </c>
      <c r="P1737">
        <f>IF(ISBLANK('ENGAGEMENTS 2026'!C1737),"",'ENGAGEMENTS 2026'!K1737)</f>
        <v/>
      </c>
      <c r="Q1737">
        <f>IF($A1737="","",IF(OR($E1737="INFRUCTUEUX",$E1737="ANNULE"),$A1737&amp;"|"&amp;(COUNTIFS($A$2:$A1737,$A1737,$E$2:$E1737,"INFRUCTUEUX")+COUNTIFS($A$2:$A1737,$A1737,$E$2:$E1737,"ANNULE")),""))</f>
        <v/>
      </c>
    </row>
    <row r="1738">
      <c r="A1738">
        <f>IF(ISBLANK('ENGAGEMENTS 2026'!C1738),"",IF('ENGAGEMENTS 2026'!C1738="DTSI","DCT",'ENGAGEMENTS 2026'!C1738))</f>
        <v/>
      </c>
      <c r="B1738">
        <f>IF(ISBLANK('ENGAGEMENTS 2026'!C1738),"",'ENGAGEMENTS 2026'!D1738)</f>
        <v/>
      </c>
      <c r="C1738">
        <f>IF(ISBLANK('ENGAGEMENTS 2026'!C1738),"",'ENGAGEMENTS 2026'!E1738)</f>
        <v/>
      </c>
      <c r="D1738">
        <f>IF(ISBLANK('ENGAGEMENTS 2026'!C1738),"",'ENGAGEMENTS 2026'!G1738)</f>
        <v/>
      </c>
      <c r="E1738">
        <f>IF(ISBLANK('ENGAGEMENTS 2026'!C1738),"",'ENGAGEMENTS 2026'!I1738)</f>
        <v/>
      </c>
      <c r="F1738">
        <f>IF(ISBLANK('ENGAGEMENTS 2026'!C1738),"",'ENGAGEMENTS 2026'!J1738)</f>
        <v/>
      </c>
      <c r="G1738">
        <f>IF(ISBLANK('ENGAGEMENTS 2026'!C1738),"",'ENGAGEMENTS 2026'!M1738)</f>
        <v/>
      </c>
      <c r="H1738">
        <f>IF(ISBLANK('ENGAGEMENTS 2026'!C1738),"",'ENGAGEMENTS 2026'!AF1738)</f>
        <v/>
      </c>
      <c r="I1738">
        <f>IF(ISBLANK('ENGAGEMENTS 2026'!C1738),"",'ENGAGEMENTS 2026'!H1738)</f>
        <v/>
      </c>
      <c r="J1738" s="275">
        <f>IF(ISBLANK('ENGAGEMENTS 2026'!C1738),"",IF(AND(OR($E1738="INFRUCTUEUX",$E1738="ANNULE"),$C1738="AOO-M"),'ENGAGEMENTS 2026'!P1738,IF($H1738="EN COURS DE PREENGAGEMENT",'ENGAGEMENTS 2026'!O1738,IF($H1738="PREENGAGE",IF($E1738="ATTRIBUE",'ENGAGEMENTS 2026'!AE1738,'ENGAGEMENTS 2026'!O1738),'ENGAGEMENTS 2026'!AE1738))))</f>
        <v/>
      </c>
      <c r="K1738" s="604">
        <f>IF(ISBLANK('ENGAGEMENTS 2026'!W1738),"",'ENGAGEMENTS 2026'!W1738)</f>
        <v/>
      </c>
      <c r="L1738" s="276">
        <f>IF($K1738="","",TODAY()-$K1738)</f>
        <v/>
      </c>
      <c r="M1738">
        <f>IF($A1738="","",IF($H1738="ENGAGE","Engagé",IF(AND($H1738="NON ENGAGE",OR($I1738="INFRUCTUEUX",$I1738="ANNULE")),"Clôturé sans suite","En cours")))</f>
        <v/>
      </c>
      <c r="N1738">
        <f>IF(ISBLANK('ENGAGEMENTS 2026'!C1738),"",'ENGAGEMENTS 2026'!L1738)</f>
        <v/>
      </c>
      <c r="O1738">
        <f>IF(ISBLANK('ENGAGEMENTS 2026'!C1738),"",'ENGAGEMENTS 2026'!M1738)</f>
        <v/>
      </c>
      <c r="P1738">
        <f>IF(ISBLANK('ENGAGEMENTS 2026'!C1738),"",'ENGAGEMENTS 2026'!K1738)</f>
        <v/>
      </c>
      <c r="Q1738">
        <f>IF($A1738="","",IF(OR($E1738="INFRUCTUEUX",$E1738="ANNULE"),$A1738&amp;"|"&amp;(COUNTIFS($A$2:$A1738,$A1738,$E$2:$E1738,"INFRUCTUEUX")+COUNTIFS($A$2:$A1738,$A1738,$E$2:$E1738,"ANNULE")),""))</f>
        <v/>
      </c>
    </row>
    <row r="1739">
      <c r="A1739">
        <f>IF(ISBLANK('ENGAGEMENTS 2026'!C1739),"",IF('ENGAGEMENTS 2026'!C1739="DTSI","DCT",'ENGAGEMENTS 2026'!C1739))</f>
        <v/>
      </c>
      <c r="B1739">
        <f>IF(ISBLANK('ENGAGEMENTS 2026'!C1739),"",'ENGAGEMENTS 2026'!D1739)</f>
        <v/>
      </c>
      <c r="C1739">
        <f>IF(ISBLANK('ENGAGEMENTS 2026'!C1739),"",'ENGAGEMENTS 2026'!E1739)</f>
        <v/>
      </c>
      <c r="D1739">
        <f>IF(ISBLANK('ENGAGEMENTS 2026'!C1739),"",'ENGAGEMENTS 2026'!G1739)</f>
        <v/>
      </c>
      <c r="E1739">
        <f>IF(ISBLANK('ENGAGEMENTS 2026'!C1739),"",'ENGAGEMENTS 2026'!I1739)</f>
        <v/>
      </c>
      <c r="F1739">
        <f>IF(ISBLANK('ENGAGEMENTS 2026'!C1739),"",'ENGAGEMENTS 2026'!J1739)</f>
        <v/>
      </c>
      <c r="G1739">
        <f>IF(ISBLANK('ENGAGEMENTS 2026'!C1739),"",'ENGAGEMENTS 2026'!M1739)</f>
        <v/>
      </c>
      <c r="H1739">
        <f>IF(ISBLANK('ENGAGEMENTS 2026'!C1739),"",'ENGAGEMENTS 2026'!AF1739)</f>
        <v/>
      </c>
      <c r="I1739">
        <f>IF(ISBLANK('ENGAGEMENTS 2026'!C1739),"",'ENGAGEMENTS 2026'!H1739)</f>
        <v/>
      </c>
      <c r="J1739" s="275">
        <f>IF(ISBLANK('ENGAGEMENTS 2026'!C1739),"",IF(AND(OR($E1739="INFRUCTUEUX",$E1739="ANNULE"),$C1739="AOO-M"),'ENGAGEMENTS 2026'!P1739,IF($H1739="EN COURS DE PREENGAGEMENT",'ENGAGEMENTS 2026'!O1739,IF($H1739="PREENGAGE",IF($E1739="ATTRIBUE",'ENGAGEMENTS 2026'!AE1739,'ENGAGEMENTS 2026'!O1739),'ENGAGEMENTS 2026'!AE1739))))</f>
        <v/>
      </c>
      <c r="K1739" s="604">
        <f>IF(ISBLANK('ENGAGEMENTS 2026'!W1739),"",'ENGAGEMENTS 2026'!W1739)</f>
        <v/>
      </c>
      <c r="L1739" s="276">
        <f>IF($K1739="","",TODAY()-$K1739)</f>
        <v/>
      </c>
      <c r="M1739">
        <f>IF($A1739="","",IF($H1739="ENGAGE","Engagé",IF(AND($H1739="NON ENGAGE",OR($I1739="INFRUCTUEUX",$I1739="ANNULE")),"Clôturé sans suite","En cours")))</f>
        <v/>
      </c>
      <c r="N1739">
        <f>IF(ISBLANK('ENGAGEMENTS 2026'!C1739),"",'ENGAGEMENTS 2026'!L1739)</f>
        <v/>
      </c>
      <c r="O1739">
        <f>IF(ISBLANK('ENGAGEMENTS 2026'!C1739),"",'ENGAGEMENTS 2026'!M1739)</f>
        <v/>
      </c>
      <c r="P1739">
        <f>IF(ISBLANK('ENGAGEMENTS 2026'!C1739),"",'ENGAGEMENTS 2026'!K1739)</f>
        <v/>
      </c>
      <c r="Q1739">
        <f>IF($A1739="","",IF(OR($E1739="INFRUCTUEUX",$E1739="ANNULE"),$A1739&amp;"|"&amp;(COUNTIFS($A$2:$A1739,$A1739,$E$2:$E1739,"INFRUCTUEUX")+COUNTIFS($A$2:$A1739,$A1739,$E$2:$E1739,"ANNULE")),""))</f>
        <v/>
      </c>
    </row>
    <row r="1740">
      <c r="A1740">
        <f>IF(ISBLANK('ENGAGEMENTS 2026'!C1740),"",IF('ENGAGEMENTS 2026'!C1740="DTSI","DCT",'ENGAGEMENTS 2026'!C1740))</f>
        <v/>
      </c>
      <c r="B1740">
        <f>IF(ISBLANK('ENGAGEMENTS 2026'!C1740),"",'ENGAGEMENTS 2026'!D1740)</f>
        <v/>
      </c>
      <c r="C1740">
        <f>IF(ISBLANK('ENGAGEMENTS 2026'!C1740),"",'ENGAGEMENTS 2026'!E1740)</f>
        <v/>
      </c>
      <c r="D1740">
        <f>IF(ISBLANK('ENGAGEMENTS 2026'!C1740),"",'ENGAGEMENTS 2026'!G1740)</f>
        <v/>
      </c>
      <c r="E1740">
        <f>IF(ISBLANK('ENGAGEMENTS 2026'!C1740),"",'ENGAGEMENTS 2026'!I1740)</f>
        <v/>
      </c>
      <c r="F1740">
        <f>IF(ISBLANK('ENGAGEMENTS 2026'!C1740),"",'ENGAGEMENTS 2026'!J1740)</f>
        <v/>
      </c>
      <c r="G1740">
        <f>IF(ISBLANK('ENGAGEMENTS 2026'!C1740),"",'ENGAGEMENTS 2026'!M1740)</f>
        <v/>
      </c>
      <c r="H1740">
        <f>IF(ISBLANK('ENGAGEMENTS 2026'!C1740),"",'ENGAGEMENTS 2026'!AF1740)</f>
        <v/>
      </c>
      <c r="I1740">
        <f>IF(ISBLANK('ENGAGEMENTS 2026'!C1740),"",'ENGAGEMENTS 2026'!H1740)</f>
        <v/>
      </c>
      <c r="J1740" s="275">
        <f>IF(ISBLANK('ENGAGEMENTS 2026'!C1740),"",IF(AND(OR($E1740="INFRUCTUEUX",$E1740="ANNULE"),$C1740="AOO-M"),'ENGAGEMENTS 2026'!P1740,IF($H1740="EN COURS DE PREENGAGEMENT",'ENGAGEMENTS 2026'!O1740,IF($H1740="PREENGAGE",IF($E1740="ATTRIBUE",'ENGAGEMENTS 2026'!AE1740,'ENGAGEMENTS 2026'!O1740),'ENGAGEMENTS 2026'!AE1740))))</f>
        <v/>
      </c>
      <c r="K1740" s="604">
        <f>IF(ISBLANK('ENGAGEMENTS 2026'!W1740),"",'ENGAGEMENTS 2026'!W1740)</f>
        <v/>
      </c>
      <c r="L1740" s="276">
        <f>IF($K1740="","",TODAY()-$K1740)</f>
        <v/>
      </c>
      <c r="M1740">
        <f>IF($A1740="","",IF($H1740="ENGAGE","Engagé",IF(AND($H1740="NON ENGAGE",OR($I1740="INFRUCTUEUX",$I1740="ANNULE")),"Clôturé sans suite","En cours")))</f>
        <v/>
      </c>
      <c r="N1740">
        <f>IF(ISBLANK('ENGAGEMENTS 2026'!C1740),"",'ENGAGEMENTS 2026'!L1740)</f>
        <v/>
      </c>
      <c r="O1740">
        <f>IF(ISBLANK('ENGAGEMENTS 2026'!C1740),"",'ENGAGEMENTS 2026'!M1740)</f>
        <v/>
      </c>
      <c r="P1740">
        <f>IF(ISBLANK('ENGAGEMENTS 2026'!C1740),"",'ENGAGEMENTS 2026'!K1740)</f>
        <v/>
      </c>
      <c r="Q1740">
        <f>IF($A1740="","",IF(OR($E1740="INFRUCTUEUX",$E1740="ANNULE"),$A1740&amp;"|"&amp;(COUNTIFS($A$2:$A1740,$A1740,$E$2:$E1740,"INFRUCTUEUX")+COUNTIFS($A$2:$A1740,$A1740,$E$2:$E1740,"ANNULE")),""))</f>
        <v/>
      </c>
    </row>
    <row r="1741">
      <c r="A1741">
        <f>IF(ISBLANK('ENGAGEMENTS 2026'!C1741),"",IF('ENGAGEMENTS 2026'!C1741="DTSI","DCT",'ENGAGEMENTS 2026'!C1741))</f>
        <v/>
      </c>
      <c r="B1741">
        <f>IF(ISBLANK('ENGAGEMENTS 2026'!C1741),"",'ENGAGEMENTS 2026'!D1741)</f>
        <v/>
      </c>
      <c r="C1741">
        <f>IF(ISBLANK('ENGAGEMENTS 2026'!C1741),"",'ENGAGEMENTS 2026'!E1741)</f>
        <v/>
      </c>
      <c r="D1741">
        <f>IF(ISBLANK('ENGAGEMENTS 2026'!C1741),"",'ENGAGEMENTS 2026'!G1741)</f>
        <v/>
      </c>
      <c r="E1741">
        <f>IF(ISBLANK('ENGAGEMENTS 2026'!C1741),"",'ENGAGEMENTS 2026'!I1741)</f>
        <v/>
      </c>
      <c r="F1741">
        <f>IF(ISBLANK('ENGAGEMENTS 2026'!C1741),"",'ENGAGEMENTS 2026'!J1741)</f>
        <v/>
      </c>
      <c r="G1741">
        <f>IF(ISBLANK('ENGAGEMENTS 2026'!C1741),"",'ENGAGEMENTS 2026'!M1741)</f>
        <v/>
      </c>
      <c r="H1741">
        <f>IF(ISBLANK('ENGAGEMENTS 2026'!C1741),"",'ENGAGEMENTS 2026'!AF1741)</f>
        <v/>
      </c>
      <c r="I1741">
        <f>IF(ISBLANK('ENGAGEMENTS 2026'!C1741),"",'ENGAGEMENTS 2026'!H1741)</f>
        <v/>
      </c>
      <c r="J1741" s="275">
        <f>IF(ISBLANK('ENGAGEMENTS 2026'!C1741),"",IF(AND(OR($E1741="INFRUCTUEUX",$E1741="ANNULE"),$C1741="AOO-M"),'ENGAGEMENTS 2026'!P1741,IF($H1741="EN COURS DE PREENGAGEMENT",'ENGAGEMENTS 2026'!O1741,IF($H1741="PREENGAGE",IF($E1741="ATTRIBUE",'ENGAGEMENTS 2026'!AE1741,'ENGAGEMENTS 2026'!O1741),'ENGAGEMENTS 2026'!AE1741))))</f>
        <v/>
      </c>
      <c r="K1741" s="604">
        <f>IF(ISBLANK('ENGAGEMENTS 2026'!W1741),"",'ENGAGEMENTS 2026'!W1741)</f>
        <v/>
      </c>
      <c r="L1741" s="276">
        <f>IF($K1741="","",TODAY()-$K1741)</f>
        <v/>
      </c>
      <c r="M1741">
        <f>IF($A1741="","",IF($H1741="ENGAGE","Engagé",IF(AND($H1741="NON ENGAGE",OR($I1741="INFRUCTUEUX",$I1741="ANNULE")),"Clôturé sans suite","En cours")))</f>
        <v/>
      </c>
      <c r="N1741">
        <f>IF(ISBLANK('ENGAGEMENTS 2026'!C1741),"",'ENGAGEMENTS 2026'!L1741)</f>
        <v/>
      </c>
      <c r="O1741">
        <f>IF(ISBLANK('ENGAGEMENTS 2026'!C1741),"",'ENGAGEMENTS 2026'!M1741)</f>
        <v/>
      </c>
      <c r="P1741">
        <f>IF(ISBLANK('ENGAGEMENTS 2026'!C1741),"",'ENGAGEMENTS 2026'!K1741)</f>
        <v/>
      </c>
      <c r="Q1741">
        <f>IF($A1741="","",IF(OR($E1741="INFRUCTUEUX",$E1741="ANNULE"),$A1741&amp;"|"&amp;(COUNTIFS($A$2:$A1741,$A1741,$E$2:$E1741,"INFRUCTUEUX")+COUNTIFS($A$2:$A1741,$A1741,$E$2:$E1741,"ANNULE")),""))</f>
        <v/>
      </c>
    </row>
    <row r="1742">
      <c r="A1742">
        <f>IF(ISBLANK('ENGAGEMENTS 2026'!C1742),"",IF('ENGAGEMENTS 2026'!C1742="DTSI","DCT",'ENGAGEMENTS 2026'!C1742))</f>
        <v/>
      </c>
      <c r="B1742">
        <f>IF(ISBLANK('ENGAGEMENTS 2026'!C1742),"",'ENGAGEMENTS 2026'!D1742)</f>
        <v/>
      </c>
      <c r="C1742">
        <f>IF(ISBLANK('ENGAGEMENTS 2026'!C1742),"",'ENGAGEMENTS 2026'!E1742)</f>
        <v/>
      </c>
      <c r="D1742">
        <f>IF(ISBLANK('ENGAGEMENTS 2026'!C1742),"",'ENGAGEMENTS 2026'!G1742)</f>
        <v/>
      </c>
      <c r="E1742">
        <f>IF(ISBLANK('ENGAGEMENTS 2026'!C1742),"",'ENGAGEMENTS 2026'!I1742)</f>
        <v/>
      </c>
      <c r="F1742">
        <f>IF(ISBLANK('ENGAGEMENTS 2026'!C1742),"",'ENGAGEMENTS 2026'!J1742)</f>
        <v/>
      </c>
      <c r="G1742">
        <f>IF(ISBLANK('ENGAGEMENTS 2026'!C1742),"",'ENGAGEMENTS 2026'!M1742)</f>
        <v/>
      </c>
      <c r="H1742">
        <f>IF(ISBLANK('ENGAGEMENTS 2026'!C1742),"",'ENGAGEMENTS 2026'!AF1742)</f>
        <v/>
      </c>
      <c r="I1742">
        <f>IF(ISBLANK('ENGAGEMENTS 2026'!C1742),"",'ENGAGEMENTS 2026'!H1742)</f>
        <v/>
      </c>
      <c r="J1742" s="275">
        <f>IF(ISBLANK('ENGAGEMENTS 2026'!C1742),"",IF(AND(OR($E1742="INFRUCTUEUX",$E1742="ANNULE"),$C1742="AOO-M"),'ENGAGEMENTS 2026'!P1742,IF($H1742="EN COURS DE PREENGAGEMENT",'ENGAGEMENTS 2026'!O1742,IF($H1742="PREENGAGE",IF($E1742="ATTRIBUE",'ENGAGEMENTS 2026'!AE1742,'ENGAGEMENTS 2026'!O1742),'ENGAGEMENTS 2026'!AE1742))))</f>
        <v/>
      </c>
      <c r="K1742" s="604">
        <f>IF(ISBLANK('ENGAGEMENTS 2026'!W1742),"",'ENGAGEMENTS 2026'!W1742)</f>
        <v/>
      </c>
      <c r="L1742" s="276">
        <f>IF($K1742="","",TODAY()-$K1742)</f>
        <v/>
      </c>
      <c r="M1742">
        <f>IF($A1742="","",IF($H1742="ENGAGE","Engagé",IF(AND($H1742="NON ENGAGE",OR($I1742="INFRUCTUEUX",$I1742="ANNULE")),"Clôturé sans suite","En cours")))</f>
        <v/>
      </c>
      <c r="N1742">
        <f>IF(ISBLANK('ENGAGEMENTS 2026'!C1742),"",'ENGAGEMENTS 2026'!L1742)</f>
        <v/>
      </c>
      <c r="O1742">
        <f>IF(ISBLANK('ENGAGEMENTS 2026'!C1742),"",'ENGAGEMENTS 2026'!M1742)</f>
        <v/>
      </c>
      <c r="P1742">
        <f>IF(ISBLANK('ENGAGEMENTS 2026'!C1742),"",'ENGAGEMENTS 2026'!K1742)</f>
        <v/>
      </c>
      <c r="Q1742">
        <f>IF($A1742="","",IF(OR($E1742="INFRUCTUEUX",$E1742="ANNULE"),$A1742&amp;"|"&amp;(COUNTIFS($A$2:$A1742,$A1742,$E$2:$E1742,"INFRUCTUEUX")+COUNTIFS($A$2:$A1742,$A1742,$E$2:$E1742,"ANNULE")),""))</f>
        <v/>
      </c>
    </row>
    <row r="1743">
      <c r="A1743">
        <f>IF(ISBLANK('ENGAGEMENTS 2026'!C1743),"",IF('ENGAGEMENTS 2026'!C1743="DTSI","DCT",'ENGAGEMENTS 2026'!C1743))</f>
        <v/>
      </c>
      <c r="B1743">
        <f>IF(ISBLANK('ENGAGEMENTS 2026'!C1743),"",'ENGAGEMENTS 2026'!D1743)</f>
        <v/>
      </c>
      <c r="C1743">
        <f>IF(ISBLANK('ENGAGEMENTS 2026'!C1743),"",'ENGAGEMENTS 2026'!E1743)</f>
        <v/>
      </c>
      <c r="D1743">
        <f>IF(ISBLANK('ENGAGEMENTS 2026'!C1743),"",'ENGAGEMENTS 2026'!G1743)</f>
        <v/>
      </c>
      <c r="E1743">
        <f>IF(ISBLANK('ENGAGEMENTS 2026'!C1743),"",'ENGAGEMENTS 2026'!I1743)</f>
        <v/>
      </c>
      <c r="F1743">
        <f>IF(ISBLANK('ENGAGEMENTS 2026'!C1743),"",'ENGAGEMENTS 2026'!J1743)</f>
        <v/>
      </c>
      <c r="G1743">
        <f>IF(ISBLANK('ENGAGEMENTS 2026'!C1743),"",'ENGAGEMENTS 2026'!M1743)</f>
        <v/>
      </c>
      <c r="H1743">
        <f>IF(ISBLANK('ENGAGEMENTS 2026'!C1743),"",'ENGAGEMENTS 2026'!AF1743)</f>
        <v/>
      </c>
      <c r="I1743">
        <f>IF(ISBLANK('ENGAGEMENTS 2026'!C1743),"",'ENGAGEMENTS 2026'!H1743)</f>
        <v/>
      </c>
      <c r="J1743" s="275">
        <f>IF(ISBLANK('ENGAGEMENTS 2026'!C1743),"",IF(AND(OR($E1743="INFRUCTUEUX",$E1743="ANNULE"),$C1743="AOO-M"),'ENGAGEMENTS 2026'!P1743,IF($H1743="EN COURS DE PREENGAGEMENT",'ENGAGEMENTS 2026'!O1743,IF($H1743="PREENGAGE",IF($E1743="ATTRIBUE",'ENGAGEMENTS 2026'!AE1743,'ENGAGEMENTS 2026'!O1743),'ENGAGEMENTS 2026'!AE1743))))</f>
        <v/>
      </c>
      <c r="K1743" s="604">
        <f>IF(ISBLANK('ENGAGEMENTS 2026'!W1743),"",'ENGAGEMENTS 2026'!W1743)</f>
        <v/>
      </c>
      <c r="L1743" s="276">
        <f>IF($K1743="","",TODAY()-$K1743)</f>
        <v/>
      </c>
      <c r="M1743">
        <f>IF($A1743="","",IF($H1743="ENGAGE","Engagé",IF(AND($H1743="NON ENGAGE",OR($I1743="INFRUCTUEUX",$I1743="ANNULE")),"Clôturé sans suite","En cours")))</f>
        <v/>
      </c>
      <c r="N1743">
        <f>IF(ISBLANK('ENGAGEMENTS 2026'!C1743),"",'ENGAGEMENTS 2026'!L1743)</f>
        <v/>
      </c>
      <c r="O1743">
        <f>IF(ISBLANK('ENGAGEMENTS 2026'!C1743),"",'ENGAGEMENTS 2026'!M1743)</f>
        <v/>
      </c>
      <c r="P1743">
        <f>IF(ISBLANK('ENGAGEMENTS 2026'!C1743),"",'ENGAGEMENTS 2026'!K1743)</f>
        <v/>
      </c>
      <c r="Q1743">
        <f>IF($A1743="","",IF(OR($E1743="INFRUCTUEUX",$E1743="ANNULE"),$A1743&amp;"|"&amp;(COUNTIFS($A$2:$A1743,$A1743,$E$2:$E1743,"INFRUCTUEUX")+COUNTIFS($A$2:$A1743,$A1743,$E$2:$E1743,"ANNULE")),""))</f>
        <v/>
      </c>
    </row>
    <row r="1744">
      <c r="A1744">
        <f>IF(ISBLANK('ENGAGEMENTS 2026'!C1744),"",IF('ENGAGEMENTS 2026'!C1744="DTSI","DCT",'ENGAGEMENTS 2026'!C1744))</f>
        <v/>
      </c>
      <c r="B1744">
        <f>IF(ISBLANK('ENGAGEMENTS 2026'!C1744),"",'ENGAGEMENTS 2026'!D1744)</f>
        <v/>
      </c>
      <c r="C1744">
        <f>IF(ISBLANK('ENGAGEMENTS 2026'!C1744),"",'ENGAGEMENTS 2026'!E1744)</f>
        <v/>
      </c>
      <c r="D1744">
        <f>IF(ISBLANK('ENGAGEMENTS 2026'!C1744),"",'ENGAGEMENTS 2026'!G1744)</f>
        <v/>
      </c>
      <c r="E1744">
        <f>IF(ISBLANK('ENGAGEMENTS 2026'!C1744),"",'ENGAGEMENTS 2026'!I1744)</f>
        <v/>
      </c>
      <c r="F1744">
        <f>IF(ISBLANK('ENGAGEMENTS 2026'!C1744),"",'ENGAGEMENTS 2026'!J1744)</f>
        <v/>
      </c>
      <c r="G1744">
        <f>IF(ISBLANK('ENGAGEMENTS 2026'!C1744),"",'ENGAGEMENTS 2026'!M1744)</f>
        <v/>
      </c>
      <c r="H1744">
        <f>IF(ISBLANK('ENGAGEMENTS 2026'!C1744),"",'ENGAGEMENTS 2026'!AF1744)</f>
        <v/>
      </c>
      <c r="I1744">
        <f>IF(ISBLANK('ENGAGEMENTS 2026'!C1744),"",'ENGAGEMENTS 2026'!H1744)</f>
        <v/>
      </c>
      <c r="J1744" s="275">
        <f>IF(ISBLANK('ENGAGEMENTS 2026'!C1744),"",IF(AND(OR($E1744="INFRUCTUEUX",$E1744="ANNULE"),$C1744="AOO-M"),'ENGAGEMENTS 2026'!P1744,IF($H1744="EN COURS DE PREENGAGEMENT",'ENGAGEMENTS 2026'!O1744,IF($H1744="PREENGAGE",IF($E1744="ATTRIBUE",'ENGAGEMENTS 2026'!AE1744,'ENGAGEMENTS 2026'!O1744),'ENGAGEMENTS 2026'!AE1744))))</f>
        <v/>
      </c>
      <c r="K1744" s="604">
        <f>IF(ISBLANK('ENGAGEMENTS 2026'!W1744),"",'ENGAGEMENTS 2026'!W1744)</f>
        <v/>
      </c>
      <c r="L1744" s="276">
        <f>IF($K1744="","",TODAY()-$K1744)</f>
        <v/>
      </c>
      <c r="M1744">
        <f>IF($A1744="","",IF($H1744="ENGAGE","Engagé",IF(AND($H1744="NON ENGAGE",OR($I1744="INFRUCTUEUX",$I1744="ANNULE")),"Clôturé sans suite","En cours")))</f>
        <v/>
      </c>
      <c r="N1744">
        <f>IF(ISBLANK('ENGAGEMENTS 2026'!C1744),"",'ENGAGEMENTS 2026'!L1744)</f>
        <v/>
      </c>
      <c r="O1744">
        <f>IF(ISBLANK('ENGAGEMENTS 2026'!C1744),"",'ENGAGEMENTS 2026'!M1744)</f>
        <v/>
      </c>
      <c r="P1744">
        <f>IF(ISBLANK('ENGAGEMENTS 2026'!C1744),"",'ENGAGEMENTS 2026'!K1744)</f>
        <v/>
      </c>
      <c r="Q1744">
        <f>IF($A1744="","",IF(OR($E1744="INFRUCTUEUX",$E1744="ANNULE"),$A1744&amp;"|"&amp;(COUNTIFS($A$2:$A1744,$A1744,$E$2:$E1744,"INFRUCTUEUX")+COUNTIFS($A$2:$A1744,$A1744,$E$2:$E1744,"ANNULE")),""))</f>
        <v/>
      </c>
    </row>
    <row r="1745">
      <c r="A1745">
        <f>IF(ISBLANK('ENGAGEMENTS 2026'!C1745),"",IF('ENGAGEMENTS 2026'!C1745="DTSI","DCT",'ENGAGEMENTS 2026'!C1745))</f>
        <v/>
      </c>
      <c r="B1745">
        <f>IF(ISBLANK('ENGAGEMENTS 2026'!C1745),"",'ENGAGEMENTS 2026'!D1745)</f>
        <v/>
      </c>
      <c r="C1745">
        <f>IF(ISBLANK('ENGAGEMENTS 2026'!C1745),"",'ENGAGEMENTS 2026'!E1745)</f>
        <v/>
      </c>
      <c r="D1745">
        <f>IF(ISBLANK('ENGAGEMENTS 2026'!C1745),"",'ENGAGEMENTS 2026'!G1745)</f>
        <v/>
      </c>
      <c r="E1745">
        <f>IF(ISBLANK('ENGAGEMENTS 2026'!C1745),"",'ENGAGEMENTS 2026'!I1745)</f>
        <v/>
      </c>
      <c r="F1745">
        <f>IF(ISBLANK('ENGAGEMENTS 2026'!C1745),"",'ENGAGEMENTS 2026'!J1745)</f>
        <v/>
      </c>
      <c r="G1745">
        <f>IF(ISBLANK('ENGAGEMENTS 2026'!C1745),"",'ENGAGEMENTS 2026'!M1745)</f>
        <v/>
      </c>
      <c r="H1745">
        <f>IF(ISBLANK('ENGAGEMENTS 2026'!C1745),"",'ENGAGEMENTS 2026'!AF1745)</f>
        <v/>
      </c>
      <c r="I1745">
        <f>IF(ISBLANK('ENGAGEMENTS 2026'!C1745),"",'ENGAGEMENTS 2026'!H1745)</f>
        <v/>
      </c>
      <c r="J1745" s="275">
        <f>IF(ISBLANK('ENGAGEMENTS 2026'!C1745),"",IF(AND(OR($E1745="INFRUCTUEUX",$E1745="ANNULE"),$C1745="AOO-M"),'ENGAGEMENTS 2026'!P1745,IF($H1745="EN COURS DE PREENGAGEMENT",'ENGAGEMENTS 2026'!O1745,IF($H1745="PREENGAGE",IF($E1745="ATTRIBUE",'ENGAGEMENTS 2026'!AE1745,'ENGAGEMENTS 2026'!O1745),'ENGAGEMENTS 2026'!AE1745))))</f>
        <v/>
      </c>
      <c r="K1745" s="604">
        <f>IF(ISBLANK('ENGAGEMENTS 2026'!W1745),"",'ENGAGEMENTS 2026'!W1745)</f>
        <v/>
      </c>
      <c r="L1745" s="276">
        <f>IF($K1745="","",TODAY()-$K1745)</f>
        <v/>
      </c>
      <c r="M1745">
        <f>IF($A1745="","",IF($H1745="ENGAGE","Engagé",IF(AND($H1745="NON ENGAGE",OR($I1745="INFRUCTUEUX",$I1745="ANNULE")),"Clôturé sans suite","En cours")))</f>
        <v/>
      </c>
      <c r="N1745">
        <f>IF(ISBLANK('ENGAGEMENTS 2026'!C1745),"",'ENGAGEMENTS 2026'!L1745)</f>
        <v/>
      </c>
      <c r="O1745">
        <f>IF(ISBLANK('ENGAGEMENTS 2026'!C1745),"",'ENGAGEMENTS 2026'!M1745)</f>
        <v/>
      </c>
      <c r="P1745">
        <f>IF(ISBLANK('ENGAGEMENTS 2026'!C1745),"",'ENGAGEMENTS 2026'!K1745)</f>
        <v/>
      </c>
      <c r="Q1745">
        <f>IF($A1745="","",IF(OR($E1745="INFRUCTUEUX",$E1745="ANNULE"),$A1745&amp;"|"&amp;(COUNTIFS($A$2:$A1745,$A1745,$E$2:$E1745,"INFRUCTUEUX")+COUNTIFS($A$2:$A1745,$A1745,$E$2:$E1745,"ANNULE")),""))</f>
        <v/>
      </c>
    </row>
    <row r="1746">
      <c r="A1746">
        <f>IF(ISBLANK('ENGAGEMENTS 2026'!C1746),"",IF('ENGAGEMENTS 2026'!C1746="DTSI","DCT",'ENGAGEMENTS 2026'!C1746))</f>
        <v/>
      </c>
      <c r="B1746">
        <f>IF(ISBLANK('ENGAGEMENTS 2026'!C1746),"",'ENGAGEMENTS 2026'!D1746)</f>
        <v/>
      </c>
      <c r="C1746">
        <f>IF(ISBLANK('ENGAGEMENTS 2026'!C1746),"",'ENGAGEMENTS 2026'!E1746)</f>
        <v/>
      </c>
      <c r="D1746">
        <f>IF(ISBLANK('ENGAGEMENTS 2026'!C1746),"",'ENGAGEMENTS 2026'!G1746)</f>
        <v/>
      </c>
      <c r="E1746">
        <f>IF(ISBLANK('ENGAGEMENTS 2026'!C1746),"",'ENGAGEMENTS 2026'!I1746)</f>
        <v/>
      </c>
      <c r="F1746">
        <f>IF(ISBLANK('ENGAGEMENTS 2026'!C1746),"",'ENGAGEMENTS 2026'!J1746)</f>
        <v/>
      </c>
      <c r="G1746">
        <f>IF(ISBLANK('ENGAGEMENTS 2026'!C1746),"",'ENGAGEMENTS 2026'!M1746)</f>
        <v/>
      </c>
      <c r="H1746">
        <f>IF(ISBLANK('ENGAGEMENTS 2026'!C1746),"",'ENGAGEMENTS 2026'!AF1746)</f>
        <v/>
      </c>
      <c r="I1746">
        <f>IF(ISBLANK('ENGAGEMENTS 2026'!C1746),"",'ENGAGEMENTS 2026'!H1746)</f>
        <v/>
      </c>
      <c r="J1746" s="275">
        <f>IF(ISBLANK('ENGAGEMENTS 2026'!C1746),"",IF(AND(OR($E1746="INFRUCTUEUX",$E1746="ANNULE"),$C1746="AOO-M"),'ENGAGEMENTS 2026'!P1746,IF($H1746="EN COURS DE PREENGAGEMENT",'ENGAGEMENTS 2026'!O1746,IF($H1746="PREENGAGE",IF($E1746="ATTRIBUE",'ENGAGEMENTS 2026'!AE1746,'ENGAGEMENTS 2026'!O1746),'ENGAGEMENTS 2026'!AE1746))))</f>
        <v/>
      </c>
      <c r="K1746" s="604">
        <f>IF(ISBLANK('ENGAGEMENTS 2026'!W1746),"",'ENGAGEMENTS 2026'!W1746)</f>
        <v/>
      </c>
      <c r="L1746" s="276">
        <f>IF($K1746="","",TODAY()-$K1746)</f>
        <v/>
      </c>
      <c r="M1746">
        <f>IF($A1746="","",IF($H1746="ENGAGE","Engagé",IF(AND($H1746="NON ENGAGE",OR($I1746="INFRUCTUEUX",$I1746="ANNULE")),"Clôturé sans suite","En cours")))</f>
        <v/>
      </c>
      <c r="N1746">
        <f>IF(ISBLANK('ENGAGEMENTS 2026'!C1746),"",'ENGAGEMENTS 2026'!L1746)</f>
        <v/>
      </c>
      <c r="O1746">
        <f>IF(ISBLANK('ENGAGEMENTS 2026'!C1746),"",'ENGAGEMENTS 2026'!M1746)</f>
        <v/>
      </c>
      <c r="P1746">
        <f>IF(ISBLANK('ENGAGEMENTS 2026'!C1746),"",'ENGAGEMENTS 2026'!K1746)</f>
        <v/>
      </c>
      <c r="Q1746">
        <f>IF($A1746="","",IF(OR($E1746="INFRUCTUEUX",$E1746="ANNULE"),$A1746&amp;"|"&amp;(COUNTIFS($A$2:$A1746,$A1746,$E$2:$E1746,"INFRUCTUEUX")+COUNTIFS($A$2:$A1746,$A1746,$E$2:$E1746,"ANNULE")),""))</f>
        <v/>
      </c>
    </row>
    <row r="1747">
      <c r="A1747">
        <f>IF(ISBLANK('ENGAGEMENTS 2026'!C1747),"",IF('ENGAGEMENTS 2026'!C1747="DTSI","DCT",'ENGAGEMENTS 2026'!C1747))</f>
        <v/>
      </c>
      <c r="B1747">
        <f>IF(ISBLANK('ENGAGEMENTS 2026'!C1747),"",'ENGAGEMENTS 2026'!D1747)</f>
        <v/>
      </c>
      <c r="C1747">
        <f>IF(ISBLANK('ENGAGEMENTS 2026'!C1747),"",'ENGAGEMENTS 2026'!E1747)</f>
        <v/>
      </c>
      <c r="D1747">
        <f>IF(ISBLANK('ENGAGEMENTS 2026'!C1747),"",'ENGAGEMENTS 2026'!G1747)</f>
        <v/>
      </c>
      <c r="E1747">
        <f>IF(ISBLANK('ENGAGEMENTS 2026'!C1747),"",'ENGAGEMENTS 2026'!I1747)</f>
        <v/>
      </c>
      <c r="F1747">
        <f>IF(ISBLANK('ENGAGEMENTS 2026'!C1747),"",'ENGAGEMENTS 2026'!J1747)</f>
        <v/>
      </c>
      <c r="G1747">
        <f>IF(ISBLANK('ENGAGEMENTS 2026'!C1747),"",'ENGAGEMENTS 2026'!M1747)</f>
        <v/>
      </c>
      <c r="H1747">
        <f>IF(ISBLANK('ENGAGEMENTS 2026'!C1747),"",'ENGAGEMENTS 2026'!AF1747)</f>
        <v/>
      </c>
      <c r="I1747">
        <f>IF(ISBLANK('ENGAGEMENTS 2026'!C1747),"",'ENGAGEMENTS 2026'!H1747)</f>
        <v/>
      </c>
      <c r="J1747" s="275">
        <f>IF(ISBLANK('ENGAGEMENTS 2026'!C1747),"",IF(AND(OR($E1747="INFRUCTUEUX",$E1747="ANNULE"),$C1747="AOO-M"),'ENGAGEMENTS 2026'!P1747,IF($H1747="EN COURS DE PREENGAGEMENT",'ENGAGEMENTS 2026'!O1747,IF($H1747="PREENGAGE",IF($E1747="ATTRIBUE",'ENGAGEMENTS 2026'!AE1747,'ENGAGEMENTS 2026'!O1747),'ENGAGEMENTS 2026'!AE1747))))</f>
        <v/>
      </c>
      <c r="K1747" s="604">
        <f>IF(ISBLANK('ENGAGEMENTS 2026'!W1747),"",'ENGAGEMENTS 2026'!W1747)</f>
        <v/>
      </c>
      <c r="L1747" s="276">
        <f>IF($K1747="","",TODAY()-$K1747)</f>
        <v/>
      </c>
      <c r="M1747">
        <f>IF($A1747="","",IF($H1747="ENGAGE","Engagé",IF(AND($H1747="NON ENGAGE",OR($I1747="INFRUCTUEUX",$I1747="ANNULE")),"Clôturé sans suite","En cours")))</f>
        <v/>
      </c>
      <c r="N1747">
        <f>IF(ISBLANK('ENGAGEMENTS 2026'!C1747),"",'ENGAGEMENTS 2026'!L1747)</f>
        <v/>
      </c>
      <c r="O1747">
        <f>IF(ISBLANK('ENGAGEMENTS 2026'!C1747),"",'ENGAGEMENTS 2026'!M1747)</f>
        <v/>
      </c>
      <c r="P1747">
        <f>IF(ISBLANK('ENGAGEMENTS 2026'!C1747),"",'ENGAGEMENTS 2026'!K1747)</f>
        <v/>
      </c>
      <c r="Q1747">
        <f>IF($A1747="","",IF(OR($E1747="INFRUCTUEUX",$E1747="ANNULE"),$A1747&amp;"|"&amp;(COUNTIFS($A$2:$A1747,$A1747,$E$2:$E1747,"INFRUCTUEUX")+COUNTIFS($A$2:$A1747,$A1747,$E$2:$E1747,"ANNULE")),""))</f>
        <v/>
      </c>
    </row>
    <row r="1748">
      <c r="A1748">
        <f>IF(ISBLANK('ENGAGEMENTS 2026'!C1748),"",IF('ENGAGEMENTS 2026'!C1748="DTSI","DCT",'ENGAGEMENTS 2026'!C1748))</f>
        <v/>
      </c>
      <c r="B1748">
        <f>IF(ISBLANK('ENGAGEMENTS 2026'!C1748),"",'ENGAGEMENTS 2026'!D1748)</f>
        <v/>
      </c>
      <c r="C1748">
        <f>IF(ISBLANK('ENGAGEMENTS 2026'!C1748),"",'ENGAGEMENTS 2026'!E1748)</f>
        <v/>
      </c>
      <c r="D1748">
        <f>IF(ISBLANK('ENGAGEMENTS 2026'!C1748),"",'ENGAGEMENTS 2026'!G1748)</f>
        <v/>
      </c>
      <c r="E1748">
        <f>IF(ISBLANK('ENGAGEMENTS 2026'!C1748),"",'ENGAGEMENTS 2026'!I1748)</f>
        <v/>
      </c>
      <c r="F1748">
        <f>IF(ISBLANK('ENGAGEMENTS 2026'!C1748),"",'ENGAGEMENTS 2026'!J1748)</f>
        <v/>
      </c>
      <c r="G1748">
        <f>IF(ISBLANK('ENGAGEMENTS 2026'!C1748),"",'ENGAGEMENTS 2026'!M1748)</f>
        <v/>
      </c>
      <c r="H1748">
        <f>IF(ISBLANK('ENGAGEMENTS 2026'!C1748),"",'ENGAGEMENTS 2026'!AF1748)</f>
        <v/>
      </c>
      <c r="I1748">
        <f>IF(ISBLANK('ENGAGEMENTS 2026'!C1748),"",'ENGAGEMENTS 2026'!H1748)</f>
        <v/>
      </c>
      <c r="J1748" s="275">
        <f>IF(ISBLANK('ENGAGEMENTS 2026'!C1748),"",IF(AND(OR($E1748="INFRUCTUEUX",$E1748="ANNULE"),$C1748="AOO-M"),'ENGAGEMENTS 2026'!P1748,IF($H1748="EN COURS DE PREENGAGEMENT",'ENGAGEMENTS 2026'!O1748,IF($H1748="PREENGAGE",IF($E1748="ATTRIBUE",'ENGAGEMENTS 2026'!AE1748,'ENGAGEMENTS 2026'!O1748),'ENGAGEMENTS 2026'!AE1748))))</f>
        <v/>
      </c>
      <c r="K1748" s="604">
        <f>IF(ISBLANK('ENGAGEMENTS 2026'!W1748),"",'ENGAGEMENTS 2026'!W1748)</f>
        <v/>
      </c>
      <c r="L1748" s="276">
        <f>IF($K1748="","",TODAY()-$K1748)</f>
        <v/>
      </c>
      <c r="M1748">
        <f>IF($A1748="","",IF($H1748="ENGAGE","Engagé",IF(AND($H1748="NON ENGAGE",OR($I1748="INFRUCTUEUX",$I1748="ANNULE")),"Clôturé sans suite","En cours")))</f>
        <v/>
      </c>
      <c r="N1748">
        <f>IF(ISBLANK('ENGAGEMENTS 2026'!C1748),"",'ENGAGEMENTS 2026'!L1748)</f>
        <v/>
      </c>
      <c r="O1748">
        <f>IF(ISBLANK('ENGAGEMENTS 2026'!C1748),"",'ENGAGEMENTS 2026'!M1748)</f>
        <v/>
      </c>
      <c r="P1748">
        <f>IF(ISBLANK('ENGAGEMENTS 2026'!C1748),"",'ENGAGEMENTS 2026'!K1748)</f>
        <v/>
      </c>
      <c r="Q1748">
        <f>IF($A1748="","",IF(OR($E1748="INFRUCTUEUX",$E1748="ANNULE"),$A1748&amp;"|"&amp;(COUNTIFS($A$2:$A1748,$A1748,$E$2:$E1748,"INFRUCTUEUX")+COUNTIFS($A$2:$A1748,$A1748,$E$2:$E1748,"ANNULE")),""))</f>
        <v/>
      </c>
    </row>
    <row r="1749">
      <c r="A1749">
        <f>IF(ISBLANK('ENGAGEMENTS 2026'!C1749),"",IF('ENGAGEMENTS 2026'!C1749="DTSI","DCT",'ENGAGEMENTS 2026'!C1749))</f>
        <v/>
      </c>
      <c r="B1749">
        <f>IF(ISBLANK('ENGAGEMENTS 2026'!C1749),"",'ENGAGEMENTS 2026'!D1749)</f>
        <v/>
      </c>
      <c r="C1749">
        <f>IF(ISBLANK('ENGAGEMENTS 2026'!C1749),"",'ENGAGEMENTS 2026'!E1749)</f>
        <v/>
      </c>
      <c r="D1749">
        <f>IF(ISBLANK('ENGAGEMENTS 2026'!C1749),"",'ENGAGEMENTS 2026'!G1749)</f>
        <v/>
      </c>
      <c r="E1749">
        <f>IF(ISBLANK('ENGAGEMENTS 2026'!C1749),"",'ENGAGEMENTS 2026'!I1749)</f>
        <v/>
      </c>
      <c r="F1749">
        <f>IF(ISBLANK('ENGAGEMENTS 2026'!C1749),"",'ENGAGEMENTS 2026'!J1749)</f>
        <v/>
      </c>
      <c r="G1749">
        <f>IF(ISBLANK('ENGAGEMENTS 2026'!C1749),"",'ENGAGEMENTS 2026'!M1749)</f>
        <v/>
      </c>
      <c r="H1749">
        <f>IF(ISBLANK('ENGAGEMENTS 2026'!C1749),"",'ENGAGEMENTS 2026'!AF1749)</f>
        <v/>
      </c>
      <c r="I1749">
        <f>IF(ISBLANK('ENGAGEMENTS 2026'!C1749),"",'ENGAGEMENTS 2026'!H1749)</f>
        <v/>
      </c>
      <c r="J1749" s="275">
        <f>IF(ISBLANK('ENGAGEMENTS 2026'!C1749),"",IF(AND(OR($E1749="INFRUCTUEUX",$E1749="ANNULE"),$C1749="AOO-M"),'ENGAGEMENTS 2026'!P1749,IF($H1749="EN COURS DE PREENGAGEMENT",'ENGAGEMENTS 2026'!O1749,IF($H1749="PREENGAGE",IF($E1749="ATTRIBUE",'ENGAGEMENTS 2026'!AE1749,'ENGAGEMENTS 2026'!O1749),'ENGAGEMENTS 2026'!AE1749))))</f>
        <v/>
      </c>
      <c r="K1749" s="604">
        <f>IF(ISBLANK('ENGAGEMENTS 2026'!W1749),"",'ENGAGEMENTS 2026'!W1749)</f>
        <v/>
      </c>
      <c r="L1749" s="276">
        <f>IF($K1749="","",TODAY()-$K1749)</f>
        <v/>
      </c>
      <c r="M1749">
        <f>IF($A1749="","",IF($H1749="ENGAGE","Engagé",IF(AND($H1749="NON ENGAGE",OR($I1749="INFRUCTUEUX",$I1749="ANNULE")),"Clôturé sans suite","En cours")))</f>
        <v/>
      </c>
      <c r="N1749">
        <f>IF(ISBLANK('ENGAGEMENTS 2026'!C1749),"",'ENGAGEMENTS 2026'!L1749)</f>
        <v/>
      </c>
      <c r="O1749">
        <f>IF(ISBLANK('ENGAGEMENTS 2026'!C1749),"",'ENGAGEMENTS 2026'!M1749)</f>
        <v/>
      </c>
      <c r="P1749">
        <f>IF(ISBLANK('ENGAGEMENTS 2026'!C1749),"",'ENGAGEMENTS 2026'!K1749)</f>
        <v/>
      </c>
      <c r="Q1749">
        <f>IF($A1749="","",IF(OR($E1749="INFRUCTUEUX",$E1749="ANNULE"),$A1749&amp;"|"&amp;(COUNTIFS($A$2:$A1749,$A1749,$E$2:$E1749,"INFRUCTUEUX")+COUNTIFS($A$2:$A1749,$A1749,$E$2:$E1749,"ANNULE")),""))</f>
        <v/>
      </c>
    </row>
    <row r="1750">
      <c r="A1750">
        <f>IF(ISBLANK('ENGAGEMENTS 2026'!C1750),"",IF('ENGAGEMENTS 2026'!C1750="DTSI","DCT",'ENGAGEMENTS 2026'!C1750))</f>
        <v/>
      </c>
      <c r="B1750">
        <f>IF(ISBLANK('ENGAGEMENTS 2026'!C1750),"",'ENGAGEMENTS 2026'!D1750)</f>
        <v/>
      </c>
      <c r="C1750">
        <f>IF(ISBLANK('ENGAGEMENTS 2026'!C1750),"",'ENGAGEMENTS 2026'!E1750)</f>
        <v/>
      </c>
      <c r="D1750">
        <f>IF(ISBLANK('ENGAGEMENTS 2026'!C1750),"",'ENGAGEMENTS 2026'!G1750)</f>
        <v/>
      </c>
      <c r="E1750">
        <f>IF(ISBLANK('ENGAGEMENTS 2026'!C1750),"",'ENGAGEMENTS 2026'!I1750)</f>
        <v/>
      </c>
      <c r="F1750">
        <f>IF(ISBLANK('ENGAGEMENTS 2026'!C1750),"",'ENGAGEMENTS 2026'!J1750)</f>
        <v/>
      </c>
      <c r="G1750">
        <f>IF(ISBLANK('ENGAGEMENTS 2026'!C1750),"",'ENGAGEMENTS 2026'!M1750)</f>
        <v/>
      </c>
      <c r="H1750">
        <f>IF(ISBLANK('ENGAGEMENTS 2026'!C1750),"",'ENGAGEMENTS 2026'!AF1750)</f>
        <v/>
      </c>
      <c r="I1750">
        <f>IF(ISBLANK('ENGAGEMENTS 2026'!C1750),"",'ENGAGEMENTS 2026'!H1750)</f>
        <v/>
      </c>
      <c r="J1750" s="275">
        <f>IF(ISBLANK('ENGAGEMENTS 2026'!C1750),"",IF(AND(OR($E1750="INFRUCTUEUX",$E1750="ANNULE"),$C1750="AOO-M"),'ENGAGEMENTS 2026'!P1750,IF($H1750="EN COURS DE PREENGAGEMENT",'ENGAGEMENTS 2026'!O1750,IF($H1750="PREENGAGE",IF($E1750="ATTRIBUE",'ENGAGEMENTS 2026'!AE1750,'ENGAGEMENTS 2026'!O1750),'ENGAGEMENTS 2026'!AE1750))))</f>
        <v/>
      </c>
      <c r="K1750" s="604">
        <f>IF(ISBLANK('ENGAGEMENTS 2026'!W1750),"",'ENGAGEMENTS 2026'!W1750)</f>
        <v/>
      </c>
      <c r="L1750" s="276">
        <f>IF($K1750="","",TODAY()-$K1750)</f>
        <v/>
      </c>
      <c r="M1750">
        <f>IF($A1750="","",IF($H1750="ENGAGE","Engagé",IF(AND($H1750="NON ENGAGE",OR($I1750="INFRUCTUEUX",$I1750="ANNULE")),"Clôturé sans suite","En cours")))</f>
        <v/>
      </c>
      <c r="N1750">
        <f>IF(ISBLANK('ENGAGEMENTS 2026'!C1750),"",'ENGAGEMENTS 2026'!L1750)</f>
        <v/>
      </c>
      <c r="O1750">
        <f>IF(ISBLANK('ENGAGEMENTS 2026'!C1750),"",'ENGAGEMENTS 2026'!M1750)</f>
        <v/>
      </c>
      <c r="P1750">
        <f>IF(ISBLANK('ENGAGEMENTS 2026'!C1750),"",'ENGAGEMENTS 2026'!K1750)</f>
        <v/>
      </c>
      <c r="Q1750">
        <f>IF($A1750="","",IF(OR($E1750="INFRUCTUEUX",$E1750="ANNULE"),$A1750&amp;"|"&amp;(COUNTIFS($A$2:$A1750,$A1750,$E$2:$E1750,"INFRUCTUEUX")+COUNTIFS($A$2:$A1750,$A1750,$E$2:$E1750,"ANNULE")),""))</f>
        <v/>
      </c>
    </row>
    <row r="1751">
      <c r="A1751">
        <f>IF(ISBLANK('ENGAGEMENTS 2026'!C1751),"",IF('ENGAGEMENTS 2026'!C1751="DTSI","DCT",'ENGAGEMENTS 2026'!C1751))</f>
        <v/>
      </c>
      <c r="B1751">
        <f>IF(ISBLANK('ENGAGEMENTS 2026'!C1751),"",'ENGAGEMENTS 2026'!D1751)</f>
        <v/>
      </c>
      <c r="C1751">
        <f>IF(ISBLANK('ENGAGEMENTS 2026'!C1751),"",'ENGAGEMENTS 2026'!E1751)</f>
        <v/>
      </c>
      <c r="D1751">
        <f>IF(ISBLANK('ENGAGEMENTS 2026'!C1751),"",'ENGAGEMENTS 2026'!G1751)</f>
        <v/>
      </c>
      <c r="E1751">
        <f>IF(ISBLANK('ENGAGEMENTS 2026'!C1751),"",'ENGAGEMENTS 2026'!I1751)</f>
        <v/>
      </c>
      <c r="F1751">
        <f>IF(ISBLANK('ENGAGEMENTS 2026'!C1751),"",'ENGAGEMENTS 2026'!J1751)</f>
        <v/>
      </c>
      <c r="G1751">
        <f>IF(ISBLANK('ENGAGEMENTS 2026'!C1751),"",'ENGAGEMENTS 2026'!M1751)</f>
        <v/>
      </c>
      <c r="H1751">
        <f>IF(ISBLANK('ENGAGEMENTS 2026'!C1751),"",'ENGAGEMENTS 2026'!AF1751)</f>
        <v/>
      </c>
      <c r="I1751">
        <f>IF(ISBLANK('ENGAGEMENTS 2026'!C1751),"",'ENGAGEMENTS 2026'!H1751)</f>
        <v/>
      </c>
      <c r="J1751" s="275">
        <f>IF(ISBLANK('ENGAGEMENTS 2026'!C1751),"",IF(AND(OR($E1751="INFRUCTUEUX",$E1751="ANNULE"),$C1751="AOO-M"),'ENGAGEMENTS 2026'!P1751,IF($H1751="EN COURS DE PREENGAGEMENT",'ENGAGEMENTS 2026'!O1751,IF($H1751="PREENGAGE",IF($E1751="ATTRIBUE",'ENGAGEMENTS 2026'!AE1751,'ENGAGEMENTS 2026'!O1751),'ENGAGEMENTS 2026'!AE1751))))</f>
        <v/>
      </c>
      <c r="K1751" s="604">
        <f>IF(ISBLANK('ENGAGEMENTS 2026'!W1751),"",'ENGAGEMENTS 2026'!W1751)</f>
        <v/>
      </c>
      <c r="L1751" s="276">
        <f>IF($K1751="","",TODAY()-$K1751)</f>
        <v/>
      </c>
      <c r="M1751">
        <f>IF($A1751="","",IF($H1751="ENGAGE","Engagé",IF(AND($H1751="NON ENGAGE",OR($I1751="INFRUCTUEUX",$I1751="ANNULE")),"Clôturé sans suite","En cours")))</f>
        <v/>
      </c>
      <c r="N1751">
        <f>IF(ISBLANK('ENGAGEMENTS 2026'!C1751),"",'ENGAGEMENTS 2026'!L1751)</f>
        <v/>
      </c>
      <c r="O1751">
        <f>IF(ISBLANK('ENGAGEMENTS 2026'!C1751),"",'ENGAGEMENTS 2026'!M1751)</f>
        <v/>
      </c>
      <c r="P1751">
        <f>IF(ISBLANK('ENGAGEMENTS 2026'!C1751),"",'ENGAGEMENTS 2026'!K1751)</f>
        <v/>
      </c>
      <c r="Q1751">
        <f>IF($A1751="","",IF(OR($E1751="INFRUCTUEUX",$E1751="ANNULE"),$A1751&amp;"|"&amp;(COUNTIFS($A$2:$A1751,$A1751,$E$2:$E1751,"INFRUCTUEUX")+COUNTIFS($A$2:$A1751,$A1751,$E$2:$E1751,"ANNULE")),""))</f>
        <v/>
      </c>
    </row>
    <row r="1752">
      <c r="A1752">
        <f>IF(ISBLANK('ENGAGEMENTS 2026'!C1752),"",IF('ENGAGEMENTS 2026'!C1752="DTSI","DCT",'ENGAGEMENTS 2026'!C1752))</f>
        <v/>
      </c>
      <c r="B1752">
        <f>IF(ISBLANK('ENGAGEMENTS 2026'!C1752),"",'ENGAGEMENTS 2026'!D1752)</f>
        <v/>
      </c>
      <c r="C1752">
        <f>IF(ISBLANK('ENGAGEMENTS 2026'!C1752),"",'ENGAGEMENTS 2026'!E1752)</f>
        <v/>
      </c>
      <c r="D1752">
        <f>IF(ISBLANK('ENGAGEMENTS 2026'!C1752),"",'ENGAGEMENTS 2026'!G1752)</f>
        <v/>
      </c>
      <c r="E1752">
        <f>IF(ISBLANK('ENGAGEMENTS 2026'!C1752),"",'ENGAGEMENTS 2026'!I1752)</f>
        <v/>
      </c>
      <c r="F1752">
        <f>IF(ISBLANK('ENGAGEMENTS 2026'!C1752),"",'ENGAGEMENTS 2026'!J1752)</f>
        <v/>
      </c>
      <c r="G1752">
        <f>IF(ISBLANK('ENGAGEMENTS 2026'!C1752),"",'ENGAGEMENTS 2026'!M1752)</f>
        <v/>
      </c>
      <c r="H1752">
        <f>IF(ISBLANK('ENGAGEMENTS 2026'!C1752),"",'ENGAGEMENTS 2026'!AF1752)</f>
        <v/>
      </c>
      <c r="I1752">
        <f>IF(ISBLANK('ENGAGEMENTS 2026'!C1752),"",'ENGAGEMENTS 2026'!H1752)</f>
        <v/>
      </c>
      <c r="J1752" s="275">
        <f>IF(ISBLANK('ENGAGEMENTS 2026'!C1752),"",IF(AND(OR($E1752="INFRUCTUEUX",$E1752="ANNULE"),$C1752="AOO-M"),'ENGAGEMENTS 2026'!P1752,IF($H1752="EN COURS DE PREENGAGEMENT",'ENGAGEMENTS 2026'!O1752,IF($H1752="PREENGAGE",IF($E1752="ATTRIBUE",'ENGAGEMENTS 2026'!AE1752,'ENGAGEMENTS 2026'!O1752),'ENGAGEMENTS 2026'!AE1752))))</f>
        <v/>
      </c>
      <c r="K1752" s="604">
        <f>IF(ISBLANK('ENGAGEMENTS 2026'!W1752),"",'ENGAGEMENTS 2026'!W1752)</f>
        <v/>
      </c>
      <c r="L1752" s="276">
        <f>IF($K1752="","",TODAY()-$K1752)</f>
        <v/>
      </c>
      <c r="M1752">
        <f>IF($A1752="","",IF($H1752="ENGAGE","Engagé",IF(AND($H1752="NON ENGAGE",OR($I1752="INFRUCTUEUX",$I1752="ANNULE")),"Clôturé sans suite","En cours")))</f>
        <v/>
      </c>
      <c r="N1752">
        <f>IF(ISBLANK('ENGAGEMENTS 2026'!C1752),"",'ENGAGEMENTS 2026'!L1752)</f>
        <v/>
      </c>
      <c r="O1752">
        <f>IF(ISBLANK('ENGAGEMENTS 2026'!C1752),"",'ENGAGEMENTS 2026'!M1752)</f>
        <v/>
      </c>
      <c r="P1752">
        <f>IF(ISBLANK('ENGAGEMENTS 2026'!C1752),"",'ENGAGEMENTS 2026'!K1752)</f>
        <v/>
      </c>
      <c r="Q1752">
        <f>IF($A1752="","",IF(OR($E1752="INFRUCTUEUX",$E1752="ANNULE"),$A1752&amp;"|"&amp;(COUNTIFS($A$2:$A1752,$A1752,$E$2:$E1752,"INFRUCTUEUX")+COUNTIFS($A$2:$A1752,$A1752,$E$2:$E1752,"ANNULE")),""))</f>
        <v/>
      </c>
    </row>
    <row r="1753">
      <c r="A1753">
        <f>IF(ISBLANK('ENGAGEMENTS 2026'!C1753),"",IF('ENGAGEMENTS 2026'!C1753="DTSI","DCT",'ENGAGEMENTS 2026'!C1753))</f>
        <v/>
      </c>
      <c r="B1753">
        <f>IF(ISBLANK('ENGAGEMENTS 2026'!C1753),"",'ENGAGEMENTS 2026'!D1753)</f>
        <v/>
      </c>
      <c r="C1753">
        <f>IF(ISBLANK('ENGAGEMENTS 2026'!C1753),"",'ENGAGEMENTS 2026'!E1753)</f>
        <v/>
      </c>
      <c r="D1753">
        <f>IF(ISBLANK('ENGAGEMENTS 2026'!C1753),"",'ENGAGEMENTS 2026'!G1753)</f>
        <v/>
      </c>
      <c r="E1753">
        <f>IF(ISBLANK('ENGAGEMENTS 2026'!C1753),"",'ENGAGEMENTS 2026'!I1753)</f>
        <v/>
      </c>
      <c r="F1753">
        <f>IF(ISBLANK('ENGAGEMENTS 2026'!C1753),"",'ENGAGEMENTS 2026'!J1753)</f>
        <v/>
      </c>
      <c r="G1753">
        <f>IF(ISBLANK('ENGAGEMENTS 2026'!C1753),"",'ENGAGEMENTS 2026'!M1753)</f>
        <v/>
      </c>
      <c r="H1753">
        <f>IF(ISBLANK('ENGAGEMENTS 2026'!C1753),"",'ENGAGEMENTS 2026'!AF1753)</f>
        <v/>
      </c>
      <c r="I1753">
        <f>IF(ISBLANK('ENGAGEMENTS 2026'!C1753),"",'ENGAGEMENTS 2026'!H1753)</f>
        <v/>
      </c>
      <c r="J1753" s="275">
        <f>IF(ISBLANK('ENGAGEMENTS 2026'!C1753),"",IF(AND(OR($E1753="INFRUCTUEUX",$E1753="ANNULE"),$C1753="AOO-M"),'ENGAGEMENTS 2026'!P1753,IF($H1753="EN COURS DE PREENGAGEMENT",'ENGAGEMENTS 2026'!O1753,IF($H1753="PREENGAGE",IF($E1753="ATTRIBUE",'ENGAGEMENTS 2026'!AE1753,'ENGAGEMENTS 2026'!O1753),'ENGAGEMENTS 2026'!AE1753))))</f>
        <v/>
      </c>
      <c r="K1753" s="604">
        <f>IF(ISBLANK('ENGAGEMENTS 2026'!W1753),"",'ENGAGEMENTS 2026'!W1753)</f>
        <v/>
      </c>
      <c r="L1753" s="276">
        <f>IF($K1753="","",TODAY()-$K1753)</f>
        <v/>
      </c>
      <c r="M1753">
        <f>IF($A1753="","",IF($H1753="ENGAGE","Engagé",IF(AND($H1753="NON ENGAGE",OR($I1753="INFRUCTUEUX",$I1753="ANNULE")),"Clôturé sans suite","En cours")))</f>
        <v/>
      </c>
      <c r="N1753">
        <f>IF(ISBLANK('ENGAGEMENTS 2026'!C1753),"",'ENGAGEMENTS 2026'!L1753)</f>
        <v/>
      </c>
      <c r="O1753">
        <f>IF(ISBLANK('ENGAGEMENTS 2026'!C1753),"",'ENGAGEMENTS 2026'!M1753)</f>
        <v/>
      </c>
      <c r="P1753">
        <f>IF(ISBLANK('ENGAGEMENTS 2026'!C1753),"",'ENGAGEMENTS 2026'!K1753)</f>
        <v/>
      </c>
      <c r="Q1753">
        <f>IF($A1753="","",IF(OR($E1753="INFRUCTUEUX",$E1753="ANNULE"),$A1753&amp;"|"&amp;(COUNTIFS($A$2:$A1753,$A1753,$E$2:$E1753,"INFRUCTUEUX")+COUNTIFS($A$2:$A1753,$A1753,$E$2:$E1753,"ANNULE")),""))</f>
        <v/>
      </c>
    </row>
    <row r="1754">
      <c r="A1754">
        <f>IF(ISBLANK('ENGAGEMENTS 2026'!C1754),"",IF('ENGAGEMENTS 2026'!C1754="DTSI","DCT",'ENGAGEMENTS 2026'!C1754))</f>
        <v/>
      </c>
      <c r="B1754">
        <f>IF(ISBLANK('ENGAGEMENTS 2026'!C1754),"",'ENGAGEMENTS 2026'!D1754)</f>
        <v/>
      </c>
      <c r="C1754">
        <f>IF(ISBLANK('ENGAGEMENTS 2026'!C1754),"",'ENGAGEMENTS 2026'!E1754)</f>
        <v/>
      </c>
      <c r="D1754">
        <f>IF(ISBLANK('ENGAGEMENTS 2026'!C1754),"",'ENGAGEMENTS 2026'!G1754)</f>
        <v/>
      </c>
      <c r="E1754">
        <f>IF(ISBLANK('ENGAGEMENTS 2026'!C1754),"",'ENGAGEMENTS 2026'!I1754)</f>
        <v/>
      </c>
      <c r="F1754">
        <f>IF(ISBLANK('ENGAGEMENTS 2026'!C1754),"",'ENGAGEMENTS 2026'!J1754)</f>
        <v/>
      </c>
      <c r="G1754">
        <f>IF(ISBLANK('ENGAGEMENTS 2026'!C1754),"",'ENGAGEMENTS 2026'!M1754)</f>
        <v/>
      </c>
      <c r="H1754">
        <f>IF(ISBLANK('ENGAGEMENTS 2026'!C1754),"",'ENGAGEMENTS 2026'!AF1754)</f>
        <v/>
      </c>
      <c r="I1754">
        <f>IF(ISBLANK('ENGAGEMENTS 2026'!C1754),"",'ENGAGEMENTS 2026'!H1754)</f>
        <v/>
      </c>
      <c r="J1754" s="275">
        <f>IF(ISBLANK('ENGAGEMENTS 2026'!C1754),"",IF(AND(OR($E1754="INFRUCTUEUX",$E1754="ANNULE"),$C1754="AOO-M"),'ENGAGEMENTS 2026'!P1754,IF($H1754="EN COURS DE PREENGAGEMENT",'ENGAGEMENTS 2026'!O1754,IF($H1754="PREENGAGE",IF($E1754="ATTRIBUE",'ENGAGEMENTS 2026'!AE1754,'ENGAGEMENTS 2026'!O1754),'ENGAGEMENTS 2026'!AE1754))))</f>
        <v/>
      </c>
      <c r="K1754" s="604">
        <f>IF(ISBLANK('ENGAGEMENTS 2026'!W1754),"",'ENGAGEMENTS 2026'!W1754)</f>
        <v/>
      </c>
      <c r="L1754" s="276">
        <f>IF($K1754="","",TODAY()-$K1754)</f>
        <v/>
      </c>
      <c r="M1754">
        <f>IF($A1754="","",IF($H1754="ENGAGE","Engagé",IF(AND($H1754="NON ENGAGE",OR($I1754="INFRUCTUEUX",$I1754="ANNULE")),"Clôturé sans suite","En cours")))</f>
        <v/>
      </c>
      <c r="N1754">
        <f>IF(ISBLANK('ENGAGEMENTS 2026'!C1754),"",'ENGAGEMENTS 2026'!L1754)</f>
        <v/>
      </c>
      <c r="O1754">
        <f>IF(ISBLANK('ENGAGEMENTS 2026'!C1754),"",'ENGAGEMENTS 2026'!M1754)</f>
        <v/>
      </c>
      <c r="P1754">
        <f>IF(ISBLANK('ENGAGEMENTS 2026'!C1754),"",'ENGAGEMENTS 2026'!K1754)</f>
        <v/>
      </c>
      <c r="Q1754">
        <f>IF($A1754="","",IF(OR($E1754="INFRUCTUEUX",$E1754="ANNULE"),$A1754&amp;"|"&amp;(COUNTIFS($A$2:$A1754,$A1754,$E$2:$E1754,"INFRUCTUEUX")+COUNTIFS($A$2:$A1754,$A1754,$E$2:$E1754,"ANNULE")),""))</f>
        <v/>
      </c>
    </row>
    <row r="1755">
      <c r="A1755">
        <f>IF(ISBLANK('ENGAGEMENTS 2026'!C1755),"",IF('ENGAGEMENTS 2026'!C1755="DTSI","DCT",'ENGAGEMENTS 2026'!C1755))</f>
        <v/>
      </c>
      <c r="B1755">
        <f>IF(ISBLANK('ENGAGEMENTS 2026'!C1755),"",'ENGAGEMENTS 2026'!D1755)</f>
        <v/>
      </c>
      <c r="C1755">
        <f>IF(ISBLANK('ENGAGEMENTS 2026'!C1755),"",'ENGAGEMENTS 2026'!E1755)</f>
        <v/>
      </c>
      <c r="D1755">
        <f>IF(ISBLANK('ENGAGEMENTS 2026'!C1755),"",'ENGAGEMENTS 2026'!G1755)</f>
        <v/>
      </c>
      <c r="E1755">
        <f>IF(ISBLANK('ENGAGEMENTS 2026'!C1755),"",'ENGAGEMENTS 2026'!I1755)</f>
        <v/>
      </c>
      <c r="F1755">
        <f>IF(ISBLANK('ENGAGEMENTS 2026'!C1755),"",'ENGAGEMENTS 2026'!J1755)</f>
        <v/>
      </c>
      <c r="G1755">
        <f>IF(ISBLANK('ENGAGEMENTS 2026'!C1755),"",'ENGAGEMENTS 2026'!M1755)</f>
        <v/>
      </c>
      <c r="H1755">
        <f>IF(ISBLANK('ENGAGEMENTS 2026'!C1755),"",'ENGAGEMENTS 2026'!AF1755)</f>
        <v/>
      </c>
      <c r="I1755">
        <f>IF(ISBLANK('ENGAGEMENTS 2026'!C1755),"",'ENGAGEMENTS 2026'!H1755)</f>
        <v/>
      </c>
      <c r="J1755" s="275">
        <f>IF(ISBLANK('ENGAGEMENTS 2026'!C1755),"",IF(AND(OR($E1755="INFRUCTUEUX",$E1755="ANNULE"),$C1755="AOO-M"),'ENGAGEMENTS 2026'!P1755,IF($H1755="EN COURS DE PREENGAGEMENT",'ENGAGEMENTS 2026'!O1755,IF($H1755="PREENGAGE",IF($E1755="ATTRIBUE",'ENGAGEMENTS 2026'!AE1755,'ENGAGEMENTS 2026'!O1755),'ENGAGEMENTS 2026'!AE1755))))</f>
        <v/>
      </c>
      <c r="K1755" s="604">
        <f>IF(ISBLANK('ENGAGEMENTS 2026'!W1755),"",'ENGAGEMENTS 2026'!W1755)</f>
        <v/>
      </c>
      <c r="L1755" s="276">
        <f>IF($K1755="","",TODAY()-$K1755)</f>
        <v/>
      </c>
      <c r="M1755">
        <f>IF($A1755="","",IF($H1755="ENGAGE","Engagé",IF(AND($H1755="NON ENGAGE",OR($I1755="INFRUCTUEUX",$I1755="ANNULE")),"Clôturé sans suite","En cours")))</f>
        <v/>
      </c>
      <c r="N1755">
        <f>IF(ISBLANK('ENGAGEMENTS 2026'!C1755),"",'ENGAGEMENTS 2026'!L1755)</f>
        <v/>
      </c>
      <c r="O1755">
        <f>IF(ISBLANK('ENGAGEMENTS 2026'!C1755),"",'ENGAGEMENTS 2026'!M1755)</f>
        <v/>
      </c>
      <c r="P1755">
        <f>IF(ISBLANK('ENGAGEMENTS 2026'!C1755),"",'ENGAGEMENTS 2026'!K1755)</f>
        <v/>
      </c>
      <c r="Q1755">
        <f>IF($A1755="","",IF(OR($E1755="INFRUCTUEUX",$E1755="ANNULE"),$A1755&amp;"|"&amp;(COUNTIFS($A$2:$A1755,$A1755,$E$2:$E1755,"INFRUCTUEUX")+COUNTIFS($A$2:$A1755,$A1755,$E$2:$E1755,"ANNULE")),""))</f>
        <v/>
      </c>
    </row>
    <row r="1756">
      <c r="A1756">
        <f>IF(ISBLANK('ENGAGEMENTS 2026'!C1756),"",IF('ENGAGEMENTS 2026'!C1756="DTSI","DCT",'ENGAGEMENTS 2026'!C1756))</f>
        <v/>
      </c>
      <c r="B1756">
        <f>IF(ISBLANK('ENGAGEMENTS 2026'!C1756),"",'ENGAGEMENTS 2026'!D1756)</f>
        <v/>
      </c>
      <c r="C1756">
        <f>IF(ISBLANK('ENGAGEMENTS 2026'!C1756),"",'ENGAGEMENTS 2026'!E1756)</f>
        <v/>
      </c>
      <c r="D1756">
        <f>IF(ISBLANK('ENGAGEMENTS 2026'!C1756),"",'ENGAGEMENTS 2026'!G1756)</f>
        <v/>
      </c>
      <c r="E1756">
        <f>IF(ISBLANK('ENGAGEMENTS 2026'!C1756),"",'ENGAGEMENTS 2026'!I1756)</f>
        <v/>
      </c>
      <c r="F1756">
        <f>IF(ISBLANK('ENGAGEMENTS 2026'!C1756),"",'ENGAGEMENTS 2026'!J1756)</f>
        <v/>
      </c>
      <c r="G1756">
        <f>IF(ISBLANK('ENGAGEMENTS 2026'!C1756),"",'ENGAGEMENTS 2026'!M1756)</f>
        <v/>
      </c>
      <c r="H1756">
        <f>IF(ISBLANK('ENGAGEMENTS 2026'!C1756),"",'ENGAGEMENTS 2026'!AF1756)</f>
        <v/>
      </c>
      <c r="I1756">
        <f>IF(ISBLANK('ENGAGEMENTS 2026'!C1756),"",'ENGAGEMENTS 2026'!H1756)</f>
        <v/>
      </c>
      <c r="J1756" s="275">
        <f>IF(ISBLANK('ENGAGEMENTS 2026'!C1756),"",IF(AND(OR($E1756="INFRUCTUEUX",$E1756="ANNULE"),$C1756="AOO-M"),'ENGAGEMENTS 2026'!P1756,IF($H1756="EN COURS DE PREENGAGEMENT",'ENGAGEMENTS 2026'!O1756,IF($H1756="PREENGAGE",IF($E1756="ATTRIBUE",'ENGAGEMENTS 2026'!AE1756,'ENGAGEMENTS 2026'!O1756),'ENGAGEMENTS 2026'!AE1756))))</f>
        <v/>
      </c>
      <c r="K1756" s="604">
        <f>IF(ISBLANK('ENGAGEMENTS 2026'!W1756),"",'ENGAGEMENTS 2026'!W1756)</f>
        <v/>
      </c>
      <c r="L1756" s="276">
        <f>IF($K1756="","",TODAY()-$K1756)</f>
        <v/>
      </c>
      <c r="M1756">
        <f>IF($A1756="","",IF($H1756="ENGAGE","Engagé",IF(AND($H1756="NON ENGAGE",OR($I1756="INFRUCTUEUX",$I1756="ANNULE")),"Clôturé sans suite","En cours")))</f>
        <v/>
      </c>
      <c r="N1756">
        <f>IF(ISBLANK('ENGAGEMENTS 2026'!C1756),"",'ENGAGEMENTS 2026'!L1756)</f>
        <v/>
      </c>
      <c r="O1756">
        <f>IF(ISBLANK('ENGAGEMENTS 2026'!C1756),"",'ENGAGEMENTS 2026'!M1756)</f>
        <v/>
      </c>
      <c r="P1756">
        <f>IF(ISBLANK('ENGAGEMENTS 2026'!C1756),"",'ENGAGEMENTS 2026'!K1756)</f>
        <v/>
      </c>
      <c r="Q1756">
        <f>IF($A1756="","",IF(OR($E1756="INFRUCTUEUX",$E1756="ANNULE"),$A1756&amp;"|"&amp;(COUNTIFS($A$2:$A1756,$A1756,$E$2:$E1756,"INFRUCTUEUX")+COUNTIFS($A$2:$A1756,$A1756,$E$2:$E1756,"ANNULE")),""))</f>
        <v/>
      </c>
    </row>
    <row r="1757">
      <c r="A1757">
        <f>IF(ISBLANK('ENGAGEMENTS 2026'!C1757),"",IF('ENGAGEMENTS 2026'!C1757="DTSI","DCT",'ENGAGEMENTS 2026'!C1757))</f>
        <v/>
      </c>
      <c r="B1757">
        <f>IF(ISBLANK('ENGAGEMENTS 2026'!C1757),"",'ENGAGEMENTS 2026'!D1757)</f>
        <v/>
      </c>
      <c r="C1757">
        <f>IF(ISBLANK('ENGAGEMENTS 2026'!C1757),"",'ENGAGEMENTS 2026'!E1757)</f>
        <v/>
      </c>
      <c r="D1757">
        <f>IF(ISBLANK('ENGAGEMENTS 2026'!C1757),"",'ENGAGEMENTS 2026'!G1757)</f>
        <v/>
      </c>
      <c r="E1757">
        <f>IF(ISBLANK('ENGAGEMENTS 2026'!C1757),"",'ENGAGEMENTS 2026'!I1757)</f>
        <v/>
      </c>
      <c r="F1757">
        <f>IF(ISBLANK('ENGAGEMENTS 2026'!C1757),"",'ENGAGEMENTS 2026'!J1757)</f>
        <v/>
      </c>
      <c r="G1757">
        <f>IF(ISBLANK('ENGAGEMENTS 2026'!C1757),"",'ENGAGEMENTS 2026'!M1757)</f>
        <v/>
      </c>
      <c r="H1757">
        <f>IF(ISBLANK('ENGAGEMENTS 2026'!C1757),"",'ENGAGEMENTS 2026'!AF1757)</f>
        <v/>
      </c>
      <c r="I1757">
        <f>IF(ISBLANK('ENGAGEMENTS 2026'!C1757),"",'ENGAGEMENTS 2026'!H1757)</f>
        <v/>
      </c>
      <c r="J1757" s="275">
        <f>IF(ISBLANK('ENGAGEMENTS 2026'!C1757),"",IF(AND(OR($E1757="INFRUCTUEUX",$E1757="ANNULE"),$C1757="AOO-M"),'ENGAGEMENTS 2026'!P1757,IF($H1757="EN COURS DE PREENGAGEMENT",'ENGAGEMENTS 2026'!O1757,IF($H1757="PREENGAGE",IF($E1757="ATTRIBUE",'ENGAGEMENTS 2026'!AE1757,'ENGAGEMENTS 2026'!O1757),'ENGAGEMENTS 2026'!AE1757))))</f>
        <v/>
      </c>
      <c r="K1757" s="604">
        <f>IF(ISBLANK('ENGAGEMENTS 2026'!W1757),"",'ENGAGEMENTS 2026'!W1757)</f>
        <v/>
      </c>
      <c r="L1757" s="276">
        <f>IF($K1757="","",TODAY()-$K1757)</f>
        <v/>
      </c>
      <c r="M1757">
        <f>IF($A1757="","",IF($H1757="ENGAGE","Engagé",IF(AND($H1757="NON ENGAGE",OR($I1757="INFRUCTUEUX",$I1757="ANNULE")),"Clôturé sans suite","En cours")))</f>
        <v/>
      </c>
      <c r="N1757">
        <f>IF(ISBLANK('ENGAGEMENTS 2026'!C1757),"",'ENGAGEMENTS 2026'!L1757)</f>
        <v/>
      </c>
      <c r="O1757">
        <f>IF(ISBLANK('ENGAGEMENTS 2026'!C1757),"",'ENGAGEMENTS 2026'!M1757)</f>
        <v/>
      </c>
      <c r="P1757">
        <f>IF(ISBLANK('ENGAGEMENTS 2026'!C1757),"",'ENGAGEMENTS 2026'!K1757)</f>
        <v/>
      </c>
      <c r="Q1757">
        <f>IF($A1757="","",IF(OR($E1757="INFRUCTUEUX",$E1757="ANNULE"),$A1757&amp;"|"&amp;(COUNTIFS($A$2:$A1757,$A1757,$E$2:$E1757,"INFRUCTUEUX")+COUNTIFS($A$2:$A1757,$A1757,$E$2:$E1757,"ANNULE")),""))</f>
        <v/>
      </c>
    </row>
    <row r="1758">
      <c r="A1758">
        <f>IF(ISBLANK('ENGAGEMENTS 2026'!C1758),"",IF('ENGAGEMENTS 2026'!C1758="DTSI","DCT",'ENGAGEMENTS 2026'!C1758))</f>
        <v/>
      </c>
      <c r="B1758">
        <f>IF(ISBLANK('ENGAGEMENTS 2026'!C1758),"",'ENGAGEMENTS 2026'!D1758)</f>
        <v/>
      </c>
      <c r="C1758">
        <f>IF(ISBLANK('ENGAGEMENTS 2026'!C1758),"",'ENGAGEMENTS 2026'!E1758)</f>
        <v/>
      </c>
      <c r="D1758">
        <f>IF(ISBLANK('ENGAGEMENTS 2026'!C1758),"",'ENGAGEMENTS 2026'!G1758)</f>
        <v/>
      </c>
      <c r="E1758">
        <f>IF(ISBLANK('ENGAGEMENTS 2026'!C1758),"",'ENGAGEMENTS 2026'!I1758)</f>
        <v/>
      </c>
      <c r="F1758">
        <f>IF(ISBLANK('ENGAGEMENTS 2026'!C1758),"",'ENGAGEMENTS 2026'!J1758)</f>
        <v/>
      </c>
      <c r="G1758">
        <f>IF(ISBLANK('ENGAGEMENTS 2026'!C1758),"",'ENGAGEMENTS 2026'!M1758)</f>
        <v/>
      </c>
      <c r="H1758">
        <f>IF(ISBLANK('ENGAGEMENTS 2026'!C1758),"",'ENGAGEMENTS 2026'!AF1758)</f>
        <v/>
      </c>
      <c r="I1758">
        <f>IF(ISBLANK('ENGAGEMENTS 2026'!C1758),"",'ENGAGEMENTS 2026'!H1758)</f>
        <v/>
      </c>
      <c r="J1758" s="275">
        <f>IF(ISBLANK('ENGAGEMENTS 2026'!C1758),"",IF(AND(OR($E1758="INFRUCTUEUX",$E1758="ANNULE"),$C1758="AOO-M"),'ENGAGEMENTS 2026'!P1758,IF($H1758="EN COURS DE PREENGAGEMENT",'ENGAGEMENTS 2026'!O1758,IF($H1758="PREENGAGE",IF($E1758="ATTRIBUE",'ENGAGEMENTS 2026'!AE1758,'ENGAGEMENTS 2026'!O1758),'ENGAGEMENTS 2026'!AE1758))))</f>
        <v/>
      </c>
      <c r="K1758" s="604">
        <f>IF(ISBLANK('ENGAGEMENTS 2026'!W1758),"",'ENGAGEMENTS 2026'!W1758)</f>
        <v/>
      </c>
      <c r="L1758" s="276">
        <f>IF($K1758="","",TODAY()-$K1758)</f>
        <v/>
      </c>
      <c r="M1758">
        <f>IF($A1758="","",IF($H1758="ENGAGE","Engagé",IF(AND($H1758="NON ENGAGE",OR($I1758="INFRUCTUEUX",$I1758="ANNULE")),"Clôturé sans suite","En cours")))</f>
        <v/>
      </c>
      <c r="N1758">
        <f>IF(ISBLANK('ENGAGEMENTS 2026'!C1758),"",'ENGAGEMENTS 2026'!L1758)</f>
        <v/>
      </c>
      <c r="O1758">
        <f>IF(ISBLANK('ENGAGEMENTS 2026'!C1758),"",'ENGAGEMENTS 2026'!M1758)</f>
        <v/>
      </c>
      <c r="P1758">
        <f>IF(ISBLANK('ENGAGEMENTS 2026'!C1758),"",'ENGAGEMENTS 2026'!K1758)</f>
        <v/>
      </c>
      <c r="Q1758">
        <f>IF($A1758="","",IF(OR($E1758="INFRUCTUEUX",$E1758="ANNULE"),$A1758&amp;"|"&amp;(COUNTIFS($A$2:$A1758,$A1758,$E$2:$E1758,"INFRUCTUEUX")+COUNTIFS($A$2:$A1758,$A1758,$E$2:$E1758,"ANNULE")),""))</f>
        <v/>
      </c>
    </row>
    <row r="1759">
      <c r="A1759">
        <f>IF(ISBLANK('ENGAGEMENTS 2026'!C1759),"",IF('ENGAGEMENTS 2026'!C1759="DTSI","DCT",'ENGAGEMENTS 2026'!C1759))</f>
        <v/>
      </c>
      <c r="B1759">
        <f>IF(ISBLANK('ENGAGEMENTS 2026'!C1759),"",'ENGAGEMENTS 2026'!D1759)</f>
        <v/>
      </c>
      <c r="C1759">
        <f>IF(ISBLANK('ENGAGEMENTS 2026'!C1759),"",'ENGAGEMENTS 2026'!E1759)</f>
        <v/>
      </c>
      <c r="D1759">
        <f>IF(ISBLANK('ENGAGEMENTS 2026'!C1759),"",'ENGAGEMENTS 2026'!G1759)</f>
        <v/>
      </c>
      <c r="E1759">
        <f>IF(ISBLANK('ENGAGEMENTS 2026'!C1759),"",'ENGAGEMENTS 2026'!I1759)</f>
        <v/>
      </c>
      <c r="F1759">
        <f>IF(ISBLANK('ENGAGEMENTS 2026'!C1759),"",'ENGAGEMENTS 2026'!J1759)</f>
        <v/>
      </c>
      <c r="G1759">
        <f>IF(ISBLANK('ENGAGEMENTS 2026'!C1759),"",'ENGAGEMENTS 2026'!M1759)</f>
        <v/>
      </c>
      <c r="H1759">
        <f>IF(ISBLANK('ENGAGEMENTS 2026'!C1759),"",'ENGAGEMENTS 2026'!AF1759)</f>
        <v/>
      </c>
      <c r="I1759">
        <f>IF(ISBLANK('ENGAGEMENTS 2026'!C1759),"",'ENGAGEMENTS 2026'!H1759)</f>
        <v/>
      </c>
      <c r="J1759" s="275">
        <f>IF(ISBLANK('ENGAGEMENTS 2026'!C1759),"",IF(AND(OR($E1759="INFRUCTUEUX",$E1759="ANNULE"),$C1759="AOO-M"),'ENGAGEMENTS 2026'!P1759,IF($H1759="EN COURS DE PREENGAGEMENT",'ENGAGEMENTS 2026'!O1759,IF($H1759="PREENGAGE",IF($E1759="ATTRIBUE",'ENGAGEMENTS 2026'!AE1759,'ENGAGEMENTS 2026'!O1759),'ENGAGEMENTS 2026'!AE1759))))</f>
        <v/>
      </c>
      <c r="K1759" s="604">
        <f>IF(ISBLANK('ENGAGEMENTS 2026'!W1759),"",'ENGAGEMENTS 2026'!W1759)</f>
        <v/>
      </c>
      <c r="L1759" s="276">
        <f>IF($K1759="","",TODAY()-$K1759)</f>
        <v/>
      </c>
      <c r="M1759">
        <f>IF($A1759="","",IF($H1759="ENGAGE","Engagé",IF(AND($H1759="NON ENGAGE",OR($I1759="INFRUCTUEUX",$I1759="ANNULE")),"Clôturé sans suite","En cours")))</f>
        <v/>
      </c>
      <c r="N1759">
        <f>IF(ISBLANK('ENGAGEMENTS 2026'!C1759),"",'ENGAGEMENTS 2026'!L1759)</f>
        <v/>
      </c>
      <c r="O1759">
        <f>IF(ISBLANK('ENGAGEMENTS 2026'!C1759),"",'ENGAGEMENTS 2026'!M1759)</f>
        <v/>
      </c>
      <c r="P1759">
        <f>IF(ISBLANK('ENGAGEMENTS 2026'!C1759),"",'ENGAGEMENTS 2026'!K1759)</f>
        <v/>
      </c>
      <c r="Q1759">
        <f>IF($A1759="","",IF(OR($E1759="INFRUCTUEUX",$E1759="ANNULE"),$A1759&amp;"|"&amp;(COUNTIFS($A$2:$A1759,$A1759,$E$2:$E1759,"INFRUCTUEUX")+COUNTIFS($A$2:$A1759,$A1759,$E$2:$E1759,"ANNULE")),""))</f>
        <v/>
      </c>
    </row>
    <row r="1760">
      <c r="A1760">
        <f>IF(ISBLANK('ENGAGEMENTS 2026'!C1760),"",IF('ENGAGEMENTS 2026'!C1760="DTSI","DCT",'ENGAGEMENTS 2026'!C1760))</f>
        <v/>
      </c>
      <c r="B1760">
        <f>IF(ISBLANK('ENGAGEMENTS 2026'!C1760),"",'ENGAGEMENTS 2026'!D1760)</f>
        <v/>
      </c>
      <c r="C1760">
        <f>IF(ISBLANK('ENGAGEMENTS 2026'!C1760),"",'ENGAGEMENTS 2026'!E1760)</f>
        <v/>
      </c>
      <c r="D1760">
        <f>IF(ISBLANK('ENGAGEMENTS 2026'!C1760),"",'ENGAGEMENTS 2026'!G1760)</f>
        <v/>
      </c>
      <c r="E1760">
        <f>IF(ISBLANK('ENGAGEMENTS 2026'!C1760),"",'ENGAGEMENTS 2026'!I1760)</f>
        <v/>
      </c>
      <c r="F1760">
        <f>IF(ISBLANK('ENGAGEMENTS 2026'!C1760),"",'ENGAGEMENTS 2026'!J1760)</f>
        <v/>
      </c>
      <c r="G1760">
        <f>IF(ISBLANK('ENGAGEMENTS 2026'!C1760),"",'ENGAGEMENTS 2026'!M1760)</f>
        <v/>
      </c>
      <c r="H1760">
        <f>IF(ISBLANK('ENGAGEMENTS 2026'!C1760),"",'ENGAGEMENTS 2026'!AF1760)</f>
        <v/>
      </c>
      <c r="I1760">
        <f>IF(ISBLANK('ENGAGEMENTS 2026'!C1760),"",'ENGAGEMENTS 2026'!H1760)</f>
        <v/>
      </c>
      <c r="J1760" s="275">
        <f>IF(ISBLANK('ENGAGEMENTS 2026'!C1760),"",IF(AND(OR($E1760="INFRUCTUEUX",$E1760="ANNULE"),$C1760="AOO-M"),'ENGAGEMENTS 2026'!P1760,IF($H1760="EN COURS DE PREENGAGEMENT",'ENGAGEMENTS 2026'!O1760,IF($H1760="PREENGAGE",IF($E1760="ATTRIBUE",'ENGAGEMENTS 2026'!AE1760,'ENGAGEMENTS 2026'!O1760),'ENGAGEMENTS 2026'!AE1760))))</f>
        <v/>
      </c>
      <c r="K1760" s="604">
        <f>IF(ISBLANK('ENGAGEMENTS 2026'!W1760),"",'ENGAGEMENTS 2026'!W1760)</f>
        <v/>
      </c>
      <c r="L1760" s="276">
        <f>IF($K1760="","",TODAY()-$K1760)</f>
        <v/>
      </c>
      <c r="M1760">
        <f>IF($A1760="","",IF($H1760="ENGAGE","Engagé",IF(AND($H1760="NON ENGAGE",OR($I1760="INFRUCTUEUX",$I1760="ANNULE")),"Clôturé sans suite","En cours")))</f>
        <v/>
      </c>
      <c r="N1760">
        <f>IF(ISBLANK('ENGAGEMENTS 2026'!C1760),"",'ENGAGEMENTS 2026'!L1760)</f>
        <v/>
      </c>
      <c r="O1760">
        <f>IF(ISBLANK('ENGAGEMENTS 2026'!C1760),"",'ENGAGEMENTS 2026'!M1760)</f>
        <v/>
      </c>
      <c r="P1760">
        <f>IF(ISBLANK('ENGAGEMENTS 2026'!C1760),"",'ENGAGEMENTS 2026'!K1760)</f>
        <v/>
      </c>
      <c r="Q1760">
        <f>IF($A1760="","",IF(OR($E1760="INFRUCTUEUX",$E1760="ANNULE"),$A1760&amp;"|"&amp;(COUNTIFS($A$2:$A1760,$A1760,$E$2:$E1760,"INFRUCTUEUX")+COUNTIFS($A$2:$A1760,$A1760,$E$2:$E1760,"ANNULE")),""))</f>
        <v/>
      </c>
    </row>
    <row r="1761">
      <c r="A1761">
        <f>IF(ISBLANK('ENGAGEMENTS 2026'!C1761),"",IF('ENGAGEMENTS 2026'!C1761="DTSI","DCT",'ENGAGEMENTS 2026'!C1761))</f>
        <v/>
      </c>
      <c r="B1761">
        <f>IF(ISBLANK('ENGAGEMENTS 2026'!C1761),"",'ENGAGEMENTS 2026'!D1761)</f>
        <v/>
      </c>
      <c r="C1761">
        <f>IF(ISBLANK('ENGAGEMENTS 2026'!C1761),"",'ENGAGEMENTS 2026'!E1761)</f>
        <v/>
      </c>
      <c r="D1761">
        <f>IF(ISBLANK('ENGAGEMENTS 2026'!C1761),"",'ENGAGEMENTS 2026'!G1761)</f>
        <v/>
      </c>
      <c r="E1761">
        <f>IF(ISBLANK('ENGAGEMENTS 2026'!C1761),"",'ENGAGEMENTS 2026'!I1761)</f>
        <v/>
      </c>
      <c r="F1761">
        <f>IF(ISBLANK('ENGAGEMENTS 2026'!C1761),"",'ENGAGEMENTS 2026'!J1761)</f>
        <v/>
      </c>
      <c r="G1761">
        <f>IF(ISBLANK('ENGAGEMENTS 2026'!C1761),"",'ENGAGEMENTS 2026'!M1761)</f>
        <v/>
      </c>
      <c r="H1761">
        <f>IF(ISBLANK('ENGAGEMENTS 2026'!C1761),"",'ENGAGEMENTS 2026'!AF1761)</f>
        <v/>
      </c>
      <c r="I1761">
        <f>IF(ISBLANK('ENGAGEMENTS 2026'!C1761),"",'ENGAGEMENTS 2026'!H1761)</f>
        <v/>
      </c>
      <c r="J1761" s="275">
        <f>IF(ISBLANK('ENGAGEMENTS 2026'!C1761),"",IF(AND(OR($E1761="INFRUCTUEUX",$E1761="ANNULE"),$C1761="AOO-M"),'ENGAGEMENTS 2026'!P1761,IF($H1761="EN COURS DE PREENGAGEMENT",'ENGAGEMENTS 2026'!O1761,IF($H1761="PREENGAGE",IF($E1761="ATTRIBUE",'ENGAGEMENTS 2026'!AE1761,'ENGAGEMENTS 2026'!O1761),'ENGAGEMENTS 2026'!AE1761))))</f>
        <v/>
      </c>
      <c r="K1761" s="604">
        <f>IF(ISBLANK('ENGAGEMENTS 2026'!W1761),"",'ENGAGEMENTS 2026'!W1761)</f>
        <v/>
      </c>
      <c r="L1761" s="276">
        <f>IF($K1761="","",TODAY()-$K1761)</f>
        <v/>
      </c>
      <c r="M1761">
        <f>IF($A1761="","",IF($H1761="ENGAGE","Engagé",IF(AND($H1761="NON ENGAGE",OR($I1761="INFRUCTUEUX",$I1761="ANNULE")),"Clôturé sans suite","En cours")))</f>
        <v/>
      </c>
      <c r="N1761">
        <f>IF(ISBLANK('ENGAGEMENTS 2026'!C1761),"",'ENGAGEMENTS 2026'!L1761)</f>
        <v/>
      </c>
      <c r="O1761">
        <f>IF(ISBLANK('ENGAGEMENTS 2026'!C1761),"",'ENGAGEMENTS 2026'!M1761)</f>
        <v/>
      </c>
      <c r="P1761">
        <f>IF(ISBLANK('ENGAGEMENTS 2026'!C1761),"",'ENGAGEMENTS 2026'!K1761)</f>
        <v/>
      </c>
      <c r="Q1761">
        <f>IF($A1761="","",IF(OR($E1761="INFRUCTUEUX",$E1761="ANNULE"),$A1761&amp;"|"&amp;(COUNTIFS($A$2:$A1761,$A1761,$E$2:$E1761,"INFRUCTUEUX")+COUNTIFS($A$2:$A1761,$A1761,$E$2:$E1761,"ANNULE")),""))</f>
        <v/>
      </c>
    </row>
    <row r="1762">
      <c r="A1762">
        <f>IF(ISBLANK('ENGAGEMENTS 2026'!C1762),"",IF('ENGAGEMENTS 2026'!C1762="DTSI","DCT",'ENGAGEMENTS 2026'!C1762))</f>
        <v/>
      </c>
      <c r="B1762">
        <f>IF(ISBLANK('ENGAGEMENTS 2026'!C1762),"",'ENGAGEMENTS 2026'!D1762)</f>
        <v/>
      </c>
      <c r="C1762">
        <f>IF(ISBLANK('ENGAGEMENTS 2026'!C1762),"",'ENGAGEMENTS 2026'!E1762)</f>
        <v/>
      </c>
      <c r="D1762">
        <f>IF(ISBLANK('ENGAGEMENTS 2026'!C1762),"",'ENGAGEMENTS 2026'!G1762)</f>
        <v/>
      </c>
      <c r="E1762">
        <f>IF(ISBLANK('ENGAGEMENTS 2026'!C1762),"",'ENGAGEMENTS 2026'!I1762)</f>
        <v/>
      </c>
      <c r="F1762">
        <f>IF(ISBLANK('ENGAGEMENTS 2026'!C1762),"",'ENGAGEMENTS 2026'!J1762)</f>
        <v/>
      </c>
      <c r="G1762">
        <f>IF(ISBLANK('ENGAGEMENTS 2026'!C1762),"",'ENGAGEMENTS 2026'!M1762)</f>
        <v/>
      </c>
      <c r="H1762">
        <f>IF(ISBLANK('ENGAGEMENTS 2026'!C1762),"",'ENGAGEMENTS 2026'!AF1762)</f>
        <v/>
      </c>
      <c r="I1762">
        <f>IF(ISBLANK('ENGAGEMENTS 2026'!C1762),"",'ENGAGEMENTS 2026'!H1762)</f>
        <v/>
      </c>
      <c r="J1762" s="275">
        <f>IF(ISBLANK('ENGAGEMENTS 2026'!C1762),"",IF(AND(OR($E1762="INFRUCTUEUX",$E1762="ANNULE"),$C1762="AOO-M"),'ENGAGEMENTS 2026'!P1762,IF($H1762="EN COURS DE PREENGAGEMENT",'ENGAGEMENTS 2026'!O1762,IF($H1762="PREENGAGE",IF($E1762="ATTRIBUE",'ENGAGEMENTS 2026'!AE1762,'ENGAGEMENTS 2026'!O1762),'ENGAGEMENTS 2026'!AE1762))))</f>
        <v/>
      </c>
      <c r="K1762" s="604">
        <f>IF(ISBLANK('ENGAGEMENTS 2026'!W1762),"",'ENGAGEMENTS 2026'!W1762)</f>
        <v/>
      </c>
      <c r="L1762" s="276">
        <f>IF($K1762="","",TODAY()-$K1762)</f>
        <v/>
      </c>
      <c r="M1762">
        <f>IF($A1762="","",IF($H1762="ENGAGE","Engagé",IF(AND($H1762="NON ENGAGE",OR($I1762="INFRUCTUEUX",$I1762="ANNULE")),"Clôturé sans suite","En cours")))</f>
        <v/>
      </c>
      <c r="N1762">
        <f>IF(ISBLANK('ENGAGEMENTS 2026'!C1762),"",'ENGAGEMENTS 2026'!L1762)</f>
        <v/>
      </c>
      <c r="O1762">
        <f>IF(ISBLANK('ENGAGEMENTS 2026'!C1762),"",'ENGAGEMENTS 2026'!M1762)</f>
        <v/>
      </c>
      <c r="P1762">
        <f>IF(ISBLANK('ENGAGEMENTS 2026'!C1762),"",'ENGAGEMENTS 2026'!K1762)</f>
        <v/>
      </c>
      <c r="Q1762">
        <f>IF($A1762="","",IF(OR($E1762="INFRUCTUEUX",$E1762="ANNULE"),$A1762&amp;"|"&amp;(COUNTIFS($A$2:$A1762,$A1762,$E$2:$E1762,"INFRUCTUEUX")+COUNTIFS($A$2:$A1762,$A1762,$E$2:$E1762,"ANNULE")),""))</f>
        <v/>
      </c>
    </row>
    <row r="1763">
      <c r="A1763">
        <f>IF(ISBLANK('ENGAGEMENTS 2026'!C1763),"",IF('ENGAGEMENTS 2026'!C1763="DTSI","DCT",'ENGAGEMENTS 2026'!C1763))</f>
        <v/>
      </c>
      <c r="B1763">
        <f>IF(ISBLANK('ENGAGEMENTS 2026'!C1763),"",'ENGAGEMENTS 2026'!D1763)</f>
        <v/>
      </c>
      <c r="C1763">
        <f>IF(ISBLANK('ENGAGEMENTS 2026'!C1763),"",'ENGAGEMENTS 2026'!E1763)</f>
        <v/>
      </c>
      <c r="D1763">
        <f>IF(ISBLANK('ENGAGEMENTS 2026'!C1763),"",'ENGAGEMENTS 2026'!G1763)</f>
        <v/>
      </c>
      <c r="E1763">
        <f>IF(ISBLANK('ENGAGEMENTS 2026'!C1763),"",'ENGAGEMENTS 2026'!I1763)</f>
        <v/>
      </c>
      <c r="F1763">
        <f>IF(ISBLANK('ENGAGEMENTS 2026'!C1763),"",'ENGAGEMENTS 2026'!J1763)</f>
        <v/>
      </c>
      <c r="G1763">
        <f>IF(ISBLANK('ENGAGEMENTS 2026'!C1763),"",'ENGAGEMENTS 2026'!M1763)</f>
        <v/>
      </c>
      <c r="H1763">
        <f>IF(ISBLANK('ENGAGEMENTS 2026'!C1763),"",'ENGAGEMENTS 2026'!AF1763)</f>
        <v/>
      </c>
      <c r="I1763">
        <f>IF(ISBLANK('ENGAGEMENTS 2026'!C1763),"",'ENGAGEMENTS 2026'!H1763)</f>
        <v/>
      </c>
      <c r="J1763" s="275">
        <f>IF(ISBLANK('ENGAGEMENTS 2026'!C1763),"",IF(AND(OR($E1763="INFRUCTUEUX",$E1763="ANNULE"),$C1763="AOO-M"),'ENGAGEMENTS 2026'!P1763,IF($H1763="EN COURS DE PREENGAGEMENT",'ENGAGEMENTS 2026'!O1763,IF($H1763="PREENGAGE",IF($E1763="ATTRIBUE",'ENGAGEMENTS 2026'!AE1763,'ENGAGEMENTS 2026'!O1763),'ENGAGEMENTS 2026'!AE1763))))</f>
        <v/>
      </c>
      <c r="K1763" s="604">
        <f>IF(ISBLANK('ENGAGEMENTS 2026'!W1763),"",'ENGAGEMENTS 2026'!W1763)</f>
        <v/>
      </c>
      <c r="L1763" s="276">
        <f>IF($K1763="","",TODAY()-$K1763)</f>
        <v/>
      </c>
      <c r="M1763">
        <f>IF($A1763="","",IF($H1763="ENGAGE","Engagé",IF(AND($H1763="NON ENGAGE",OR($I1763="INFRUCTUEUX",$I1763="ANNULE")),"Clôturé sans suite","En cours")))</f>
        <v/>
      </c>
      <c r="N1763">
        <f>IF(ISBLANK('ENGAGEMENTS 2026'!C1763),"",'ENGAGEMENTS 2026'!L1763)</f>
        <v/>
      </c>
      <c r="O1763">
        <f>IF(ISBLANK('ENGAGEMENTS 2026'!C1763),"",'ENGAGEMENTS 2026'!M1763)</f>
        <v/>
      </c>
      <c r="P1763">
        <f>IF(ISBLANK('ENGAGEMENTS 2026'!C1763),"",'ENGAGEMENTS 2026'!K1763)</f>
        <v/>
      </c>
      <c r="Q1763">
        <f>IF($A1763="","",IF(OR($E1763="INFRUCTUEUX",$E1763="ANNULE"),$A1763&amp;"|"&amp;(COUNTIFS($A$2:$A1763,$A1763,$E$2:$E1763,"INFRUCTUEUX")+COUNTIFS($A$2:$A1763,$A1763,$E$2:$E1763,"ANNULE")),""))</f>
        <v/>
      </c>
    </row>
    <row r="1764">
      <c r="A1764">
        <f>IF(ISBLANK('ENGAGEMENTS 2026'!C1764),"",IF('ENGAGEMENTS 2026'!C1764="DTSI","DCT",'ENGAGEMENTS 2026'!C1764))</f>
        <v/>
      </c>
      <c r="B1764">
        <f>IF(ISBLANK('ENGAGEMENTS 2026'!C1764),"",'ENGAGEMENTS 2026'!D1764)</f>
        <v/>
      </c>
      <c r="C1764">
        <f>IF(ISBLANK('ENGAGEMENTS 2026'!C1764),"",'ENGAGEMENTS 2026'!E1764)</f>
        <v/>
      </c>
      <c r="D1764">
        <f>IF(ISBLANK('ENGAGEMENTS 2026'!C1764),"",'ENGAGEMENTS 2026'!G1764)</f>
        <v/>
      </c>
      <c r="E1764">
        <f>IF(ISBLANK('ENGAGEMENTS 2026'!C1764),"",'ENGAGEMENTS 2026'!I1764)</f>
        <v/>
      </c>
      <c r="F1764">
        <f>IF(ISBLANK('ENGAGEMENTS 2026'!C1764),"",'ENGAGEMENTS 2026'!J1764)</f>
        <v/>
      </c>
      <c r="G1764">
        <f>IF(ISBLANK('ENGAGEMENTS 2026'!C1764),"",'ENGAGEMENTS 2026'!M1764)</f>
        <v/>
      </c>
      <c r="H1764">
        <f>IF(ISBLANK('ENGAGEMENTS 2026'!C1764),"",'ENGAGEMENTS 2026'!AF1764)</f>
        <v/>
      </c>
      <c r="I1764">
        <f>IF(ISBLANK('ENGAGEMENTS 2026'!C1764),"",'ENGAGEMENTS 2026'!H1764)</f>
        <v/>
      </c>
      <c r="J1764" s="275">
        <f>IF(ISBLANK('ENGAGEMENTS 2026'!C1764),"",IF(AND(OR($E1764="INFRUCTUEUX",$E1764="ANNULE"),$C1764="AOO-M"),'ENGAGEMENTS 2026'!P1764,IF($H1764="EN COURS DE PREENGAGEMENT",'ENGAGEMENTS 2026'!O1764,IF($H1764="PREENGAGE",IF($E1764="ATTRIBUE",'ENGAGEMENTS 2026'!AE1764,'ENGAGEMENTS 2026'!O1764),'ENGAGEMENTS 2026'!AE1764))))</f>
        <v/>
      </c>
      <c r="K1764" s="604">
        <f>IF(ISBLANK('ENGAGEMENTS 2026'!W1764),"",'ENGAGEMENTS 2026'!W1764)</f>
        <v/>
      </c>
      <c r="L1764" s="276">
        <f>IF($K1764="","",TODAY()-$K1764)</f>
        <v/>
      </c>
      <c r="M1764">
        <f>IF($A1764="","",IF($H1764="ENGAGE","Engagé",IF(AND($H1764="NON ENGAGE",OR($I1764="INFRUCTUEUX",$I1764="ANNULE")),"Clôturé sans suite","En cours")))</f>
        <v/>
      </c>
      <c r="N1764">
        <f>IF(ISBLANK('ENGAGEMENTS 2026'!C1764),"",'ENGAGEMENTS 2026'!L1764)</f>
        <v/>
      </c>
      <c r="O1764">
        <f>IF(ISBLANK('ENGAGEMENTS 2026'!C1764),"",'ENGAGEMENTS 2026'!M1764)</f>
        <v/>
      </c>
      <c r="P1764">
        <f>IF(ISBLANK('ENGAGEMENTS 2026'!C1764),"",'ENGAGEMENTS 2026'!K1764)</f>
        <v/>
      </c>
      <c r="Q1764">
        <f>IF($A1764="","",IF(OR($E1764="INFRUCTUEUX",$E1764="ANNULE"),$A1764&amp;"|"&amp;(COUNTIFS($A$2:$A1764,$A1764,$E$2:$E1764,"INFRUCTUEUX")+COUNTIFS($A$2:$A1764,$A1764,$E$2:$E1764,"ANNULE")),""))</f>
        <v/>
      </c>
    </row>
    <row r="1765">
      <c r="A1765">
        <f>IF(ISBLANK('ENGAGEMENTS 2026'!C1765),"",IF('ENGAGEMENTS 2026'!C1765="DTSI","DCT",'ENGAGEMENTS 2026'!C1765))</f>
        <v/>
      </c>
      <c r="B1765">
        <f>IF(ISBLANK('ENGAGEMENTS 2026'!C1765),"",'ENGAGEMENTS 2026'!D1765)</f>
        <v/>
      </c>
      <c r="C1765">
        <f>IF(ISBLANK('ENGAGEMENTS 2026'!C1765),"",'ENGAGEMENTS 2026'!E1765)</f>
        <v/>
      </c>
      <c r="D1765">
        <f>IF(ISBLANK('ENGAGEMENTS 2026'!C1765),"",'ENGAGEMENTS 2026'!G1765)</f>
        <v/>
      </c>
      <c r="E1765">
        <f>IF(ISBLANK('ENGAGEMENTS 2026'!C1765),"",'ENGAGEMENTS 2026'!I1765)</f>
        <v/>
      </c>
      <c r="F1765">
        <f>IF(ISBLANK('ENGAGEMENTS 2026'!C1765),"",'ENGAGEMENTS 2026'!J1765)</f>
        <v/>
      </c>
      <c r="G1765">
        <f>IF(ISBLANK('ENGAGEMENTS 2026'!C1765),"",'ENGAGEMENTS 2026'!M1765)</f>
        <v/>
      </c>
      <c r="H1765">
        <f>IF(ISBLANK('ENGAGEMENTS 2026'!C1765),"",'ENGAGEMENTS 2026'!AF1765)</f>
        <v/>
      </c>
      <c r="I1765">
        <f>IF(ISBLANK('ENGAGEMENTS 2026'!C1765),"",'ENGAGEMENTS 2026'!H1765)</f>
        <v/>
      </c>
      <c r="J1765" s="275">
        <f>IF(ISBLANK('ENGAGEMENTS 2026'!C1765),"",IF(AND(OR($E1765="INFRUCTUEUX",$E1765="ANNULE"),$C1765="AOO-M"),'ENGAGEMENTS 2026'!P1765,IF($H1765="EN COURS DE PREENGAGEMENT",'ENGAGEMENTS 2026'!O1765,IF($H1765="PREENGAGE",IF($E1765="ATTRIBUE",'ENGAGEMENTS 2026'!AE1765,'ENGAGEMENTS 2026'!O1765),'ENGAGEMENTS 2026'!AE1765))))</f>
        <v/>
      </c>
      <c r="K1765" s="604">
        <f>IF(ISBLANK('ENGAGEMENTS 2026'!W1765),"",'ENGAGEMENTS 2026'!W1765)</f>
        <v/>
      </c>
      <c r="L1765" s="276">
        <f>IF($K1765="","",TODAY()-$K1765)</f>
        <v/>
      </c>
      <c r="M1765">
        <f>IF($A1765="","",IF($H1765="ENGAGE","Engagé",IF(AND($H1765="NON ENGAGE",OR($I1765="INFRUCTUEUX",$I1765="ANNULE")),"Clôturé sans suite","En cours")))</f>
        <v/>
      </c>
      <c r="N1765">
        <f>IF(ISBLANK('ENGAGEMENTS 2026'!C1765),"",'ENGAGEMENTS 2026'!L1765)</f>
        <v/>
      </c>
      <c r="O1765">
        <f>IF(ISBLANK('ENGAGEMENTS 2026'!C1765),"",'ENGAGEMENTS 2026'!M1765)</f>
        <v/>
      </c>
      <c r="P1765">
        <f>IF(ISBLANK('ENGAGEMENTS 2026'!C1765),"",'ENGAGEMENTS 2026'!K1765)</f>
        <v/>
      </c>
      <c r="Q1765">
        <f>IF($A1765="","",IF(OR($E1765="INFRUCTUEUX",$E1765="ANNULE"),$A1765&amp;"|"&amp;(COUNTIFS($A$2:$A1765,$A1765,$E$2:$E1765,"INFRUCTUEUX")+COUNTIFS($A$2:$A1765,$A1765,$E$2:$E1765,"ANNULE")),""))</f>
        <v/>
      </c>
    </row>
    <row r="1766">
      <c r="A1766">
        <f>IF(ISBLANK('ENGAGEMENTS 2026'!C1766),"",IF('ENGAGEMENTS 2026'!C1766="DTSI","DCT",'ENGAGEMENTS 2026'!C1766))</f>
        <v/>
      </c>
      <c r="B1766">
        <f>IF(ISBLANK('ENGAGEMENTS 2026'!C1766),"",'ENGAGEMENTS 2026'!D1766)</f>
        <v/>
      </c>
      <c r="C1766">
        <f>IF(ISBLANK('ENGAGEMENTS 2026'!C1766),"",'ENGAGEMENTS 2026'!E1766)</f>
        <v/>
      </c>
      <c r="D1766">
        <f>IF(ISBLANK('ENGAGEMENTS 2026'!C1766),"",'ENGAGEMENTS 2026'!G1766)</f>
        <v/>
      </c>
      <c r="E1766">
        <f>IF(ISBLANK('ENGAGEMENTS 2026'!C1766),"",'ENGAGEMENTS 2026'!I1766)</f>
        <v/>
      </c>
      <c r="F1766">
        <f>IF(ISBLANK('ENGAGEMENTS 2026'!C1766),"",'ENGAGEMENTS 2026'!J1766)</f>
        <v/>
      </c>
      <c r="G1766">
        <f>IF(ISBLANK('ENGAGEMENTS 2026'!C1766),"",'ENGAGEMENTS 2026'!M1766)</f>
        <v/>
      </c>
      <c r="H1766">
        <f>IF(ISBLANK('ENGAGEMENTS 2026'!C1766),"",'ENGAGEMENTS 2026'!AF1766)</f>
        <v/>
      </c>
      <c r="I1766">
        <f>IF(ISBLANK('ENGAGEMENTS 2026'!C1766),"",'ENGAGEMENTS 2026'!H1766)</f>
        <v/>
      </c>
      <c r="J1766" s="275">
        <f>IF(ISBLANK('ENGAGEMENTS 2026'!C1766),"",IF(AND(OR($E1766="INFRUCTUEUX",$E1766="ANNULE"),$C1766="AOO-M"),'ENGAGEMENTS 2026'!P1766,IF($H1766="EN COURS DE PREENGAGEMENT",'ENGAGEMENTS 2026'!O1766,IF($H1766="PREENGAGE",IF($E1766="ATTRIBUE",'ENGAGEMENTS 2026'!AE1766,'ENGAGEMENTS 2026'!O1766),'ENGAGEMENTS 2026'!AE1766))))</f>
        <v/>
      </c>
      <c r="K1766" s="604">
        <f>IF(ISBLANK('ENGAGEMENTS 2026'!W1766),"",'ENGAGEMENTS 2026'!W1766)</f>
        <v/>
      </c>
      <c r="L1766" s="276">
        <f>IF($K1766="","",TODAY()-$K1766)</f>
        <v/>
      </c>
      <c r="M1766">
        <f>IF($A1766="","",IF($H1766="ENGAGE","Engagé",IF(AND($H1766="NON ENGAGE",OR($I1766="INFRUCTUEUX",$I1766="ANNULE")),"Clôturé sans suite","En cours")))</f>
        <v/>
      </c>
      <c r="N1766">
        <f>IF(ISBLANK('ENGAGEMENTS 2026'!C1766),"",'ENGAGEMENTS 2026'!L1766)</f>
        <v/>
      </c>
      <c r="O1766">
        <f>IF(ISBLANK('ENGAGEMENTS 2026'!C1766),"",'ENGAGEMENTS 2026'!M1766)</f>
        <v/>
      </c>
      <c r="P1766">
        <f>IF(ISBLANK('ENGAGEMENTS 2026'!C1766),"",'ENGAGEMENTS 2026'!K1766)</f>
        <v/>
      </c>
      <c r="Q1766">
        <f>IF($A1766="","",IF(OR($E1766="INFRUCTUEUX",$E1766="ANNULE"),$A1766&amp;"|"&amp;(COUNTIFS($A$2:$A1766,$A1766,$E$2:$E1766,"INFRUCTUEUX")+COUNTIFS($A$2:$A1766,$A1766,$E$2:$E1766,"ANNULE")),""))</f>
        <v/>
      </c>
    </row>
    <row r="1767">
      <c r="A1767">
        <f>IF(ISBLANK('ENGAGEMENTS 2026'!C1767),"",IF('ENGAGEMENTS 2026'!C1767="DTSI","DCT",'ENGAGEMENTS 2026'!C1767))</f>
        <v/>
      </c>
      <c r="B1767">
        <f>IF(ISBLANK('ENGAGEMENTS 2026'!C1767),"",'ENGAGEMENTS 2026'!D1767)</f>
        <v/>
      </c>
      <c r="C1767">
        <f>IF(ISBLANK('ENGAGEMENTS 2026'!C1767),"",'ENGAGEMENTS 2026'!E1767)</f>
        <v/>
      </c>
      <c r="D1767">
        <f>IF(ISBLANK('ENGAGEMENTS 2026'!C1767),"",'ENGAGEMENTS 2026'!G1767)</f>
        <v/>
      </c>
      <c r="E1767">
        <f>IF(ISBLANK('ENGAGEMENTS 2026'!C1767),"",'ENGAGEMENTS 2026'!I1767)</f>
        <v/>
      </c>
      <c r="F1767">
        <f>IF(ISBLANK('ENGAGEMENTS 2026'!C1767),"",'ENGAGEMENTS 2026'!J1767)</f>
        <v/>
      </c>
      <c r="G1767">
        <f>IF(ISBLANK('ENGAGEMENTS 2026'!C1767),"",'ENGAGEMENTS 2026'!M1767)</f>
        <v/>
      </c>
      <c r="H1767">
        <f>IF(ISBLANK('ENGAGEMENTS 2026'!C1767),"",'ENGAGEMENTS 2026'!AF1767)</f>
        <v/>
      </c>
      <c r="I1767">
        <f>IF(ISBLANK('ENGAGEMENTS 2026'!C1767),"",'ENGAGEMENTS 2026'!H1767)</f>
        <v/>
      </c>
      <c r="J1767" s="275">
        <f>IF(ISBLANK('ENGAGEMENTS 2026'!C1767),"",IF(AND(OR($E1767="INFRUCTUEUX",$E1767="ANNULE"),$C1767="AOO-M"),'ENGAGEMENTS 2026'!P1767,IF($H1767="EN COURS DE PREENGAGEMENT",'ENGAGEMENTS 2026'!O1767,IF($H1767="PREENGAGE",IF($E1767="ATTRIBUE",'ENGAGEMENTS 2026'!AE1767,'ENGAGEMENTS 2026'!O1767),'ENGAGEMENTS 2026'!AE1767))))</f>
        <v/>
      </c>
      <c r="K1767" s="604">
        <f>IF(ISBLANK('ENGAGEMENTS 2026'!W1767),"",'ENGAGEMENTS 2026'!W1767)</f>
        <v/>
      </c>
      <c r="L1767" s="276">
        <f>IF($K1767="","",TODAY()-$K1767)</f>
        <v/>
      </c>
      <c r="M1767">
        <f>IF($A1767="","",IF($H1767="ENGAGE","Engagé",IF(AND($H1767="NON ENGAGE",OR($I1767="INFRUCTUEUX",$I1767="ANNULE")),"Clôturé sans suite","En cours")))</f>
        <v/>
      </c>
      <c r="N1767">
        <f>IF(ISBLANK('ENGAGEMENTS 2026'!C1767),"",'ENGAGEMENTS 2026'!L1767)</f>
        <v/>
      </c>
      <c r="O1767">
        <f>IF(ISBLANK('ENGAGEMENTS 2026'!C1767),"",'ENGAGEMENTS 2026'!M1767)</f>
        <v/>
      </c>
      <c r="P1767">
        <f>IF(ISBLANK('ENGAGEMENTS 2026'!C1767),"",'ENGAGEMENTS 2026'!K1767)</f>
        <v/>
      </c>
      <c r="Q1767">
        <f>IF($A1767="","",IF(OR($E1767="INFRUCTUEUX",$E1767="ANNULE"),$A1767&amp;"|"&amp;(COUNTIFS($A$2:$A1767,$A1767,$E$2:$E1767,"INFRUCTUEUX")+COUNTIFS($A$2:$A1767,$A1767,$E$2:$E1767,"ANNULE")),""))</f>
        <v/>
      </c>
    </row>
    <row r="1768">
      <c r="A1768">
        <f>IF(ISBLANK('ENGAGEMENTS 2026'!C1768),"",IF('ENGAGEMENTS 2026'!C1768="DTSI","DCT",'ENGAGEMENTS 2026'!C1768))</f>
        <v/>
      </c>
      <c r="B1768">
        <f>IF(ISBLANK('ENGAGEMENTS 2026'!C1768),"",'ENGAGEMENTS 2026'!D1768)</f>
        <v/>
      </c>
      <c r="C1768">
        <f>IF(ISBLANK('ENGAGEMENTS 2026'!C1768),"",'ENGAGEMENTS 2026'!E1768)</f>
        <v/>
      </c>
      <c r="D1768">
        <f>IF(ISBLANK('ENGAGEMENTS 2026'!C1768),"",'ENGAGEMENTS 2026'!G1768)</f>
        <v/>
      </c>
      <c r="E1768">
        <f>IF(ISBLANK('ENGAGEMENTS 2026'!C1768),"",'ENGAGEMENTS 2026'!I1768)</f>
        <v/>
      </c>
      <c r="F1768">
        <f>IF(ISBLANK('ENGAGEMENTS 2026'!C1768),"",'ENGAGEMENTS 2026'!J1768)</f>
        <v/>
      </c>
      <c r="G1768">
        <f>IF(ISBLANK('ENGAGEMENTS 2026'!C1768),"",'ENGAGEMENTS 2026'!M1768)</f>
        <v/>
      </c>
      <c r="H1768">
        <f>IF(ISBLANK('ENGAGEMENTS 2026'!C1768),"",'ENGAGEMENTS 2026'!AF1768)</f>
        <v/>
      </c>
      <c r="I1768">
        <f>IF(ISBLANK('ENGAGEMENTS 2026'!C1768),"",'ENGAGEMENTS 2026'!H1768)</f>
        <v/>
      </c>
      <c r="J1768" s="275">
        <f>IF(ISBLANK('ENGAGEMENTS 2026'!C1768),"",IF(AND(OR($E1768="INFRUCTUEUX",$E1768="ANNULE"),$C1768="AOO-M"),'ENGAGEMENTS 2026'!P1768,IF($H1768="EN COURS DE PREENGAGEMENT",'ENGAGEMENTS 2026'!O1768,IF($H1768="PREENGAGE",IF($E1768="ATTRIBUE",'ENGAGEMENTS 2026'!AE1768,'ENGAGEMENTS 2026'!O1768),'ENGAGEMENTS 2026'!AE1768))))</f>
        <v/>
      </c>
      <c r="K1768" s="604">
        <f>IF(ISBLANK('ENGAGEMENTS 2026'!W1768),"",'ENGAGEMENTS 2026'!W1768)</f>
        <v/>
      </c>
      <c r="L1768" s="276">
        <f>IF($K1768="","",TODAY()-$K1768)</f>
        <v/>
      </c>
      <c r="M1768">
        <f>IF($A1768="","",IF($H1768="ENGAGE","Engagé",IF(AND($H1768="NON ENGAGE",OR($I1768="INFRUCTUEUX",$I1768="ANNULE")),"Clôturé sans suite","En cours")))</f>
        <v/>
      </c>
      <c r="N1768">
        <f>IF(ISBLANK('ENGAGEMENTS 2026'!C1768),"",'ENGAGEMENTS 2026'!L1768)</f>
        <v/>
      </c>
      <c r="O1768">
        <f>IF(ISBLANK('ENGAGEMENTS 2026'!C1768),"",'ENGAGEMENTS 2026'!M1768)</f>
        <v/>
      </c>
      <c r="P1768">
        <f>IF(ISBLANK('ENGAGEMENTS 2026'!C1768),"",'ENGAGEMENTS 2026'!K1768)</f>
        <v/>
      </c>
      <c r="Q1768">
        <f>IF($A1768="","",IF(OR($E1768="INFRUCTUEUX",$E1768="ANNULE"),$A1768&amp;"|"&amp;(COUNTIFS($A$2:$A1768,$A1768,$E$2:$E1768,"INFRUCTUEUX")+COUNTIFS($A$2:$A1768,$A1768,$E$2:$E1768,"ANNULE")),""))</f>
        <v/>
      </c>
    </row>
    <row r="1769">
      <c r="A1769">
        <f>IF(ISBLANK('ENGAGEMENTS 2026'!C1769),"",IF('ENGAGEMENTS 2026'!C1769="DTSI","DCT",'ENGAGEMENTS 2026'!C1769))</f>
        <v/>
      </c>
      <c r="B1769">
        <f>IF(ISBLANK('ENGAGEMENTS 2026'!C1769),"",'ENGAGEMENTS 2026'!D1769)</f>
        <v/>
      </c>
      <c r="C1769">
        <f>IF(ISBLANK('ENGAGEMENTS 2026'!C1769),"",'ENGAGEMENTS 2026'!E1769)</f>
        <v/>
      </c>
      <c r="D1769">
        <f>IF(ISBLANK('ENGAGEMENTS 2026'!C1769),"",'ENGAGEMENTS 2026'!G1769)</f>
        <v/>
      </c>
      <c r="E1769">
        <f>IF(ISBLANK('ENGAGEMENTS 2026'!C1769),"",'ENGAGEMENTS 2026'!I1769)</f>
        <v/>
      </c>
      <c r="F1769">
        <f>IF(ISBLANK('ENGAGEMENTS 2026'!C1769),"",'ENGAGEMENTS 2026'!J1769)</f>
        <v/>
      </c>
      <c r="G1769">
        <f>IF(ISBLANK('ENGAGEMENTS 2026'!C1769),"",'ENGAGEMENTS 2026'!M1769)</f>
        <v/>
      </c>
      <c r="H1769">
        <f>IF(ISBLANK('ENGAGEMENTS 2026'!C1769),"",'ENGAGEMENTS 2026'!AF1769)</f>
        <v/>
      </c>
      <c r="I1769">
        <f>IF(ISBLANK('ENGAGEMENTS 2026'!C1769),"",'ENGAGEMENTS 2026'!H1769)</f>
        <v/>
      </c>
      <c r="J1769" s="275">
        <f>IF(ISBLANK('ENGAGEMENTS 2026'!C1769),"",IF(AND(OR($E1769="INFRUCTUEUX",$E1769="ANNULE"),$C1769="AOO-M"),'ENGAGEMENTS 2026'!P1769,IF($H1769="EN COURS DE PREENGAGEMENT",'ENGAGEMENTS 2026'!O1769,IF($H1769="PREENGAGE",IF($E1769="ATTRIBUE",'ENGAGEMENTS 2026'!AE1769,'ENGAGEMENTS 2026'!O1769),'ENGAGEMENTS 2026'!AE1769))))</f>
        <v/>
      </c>
      <c r="K1769" s="604">
        <f>IF(ISBLANK('ENGAGEMENTS 2026'!W1769),"",'ENGAGEMENTS 2026'!W1769)</f>
        <v/>
      </c>
      <c r="L1769" s="276">
        <f>IF($K1769="","",TODAY()-$K1769)</f>
        <v/>
      </c>
      <c r="M1769">
        <f>IF($A1769="","",IF($H1769="ENGAGE","Engagé",IF(AND($H1769="NON ENGAGE",OR($I1769="INFRUCTUEUX",$I1769="ANNULE")),"Clôturé sans suite","En cours")))</f>
        <v/>
      </c>
      <c r="N1769">
        <f>IF(ISBLANK('ENGAGEMENTS 2026'!C1769),"",'ENGAGEMENTS 2026'!L1769)</f>
        <v/>
      </c>
      <c r="O1769">
        <f>IF(ISBLANK('ENGAGEMENTS 2026'!C1769),"",'ENGAGEMENTS 2026'!M1769)</f>
        <v/>
      </c>
      <c r="P1769">
        <f>IF(ISBLANK('ENGAGEMENTS 2026'!C1769),"",'ENGAGEMENTS 2026'!K1769)</f>
        <v/>
      </c>
      <c r="Q1769">
        <f>IF($A1769="","",IF(OR($E1769="INFRUCTUEUX",$E1769="ANNULE"),$A1769&amp;"|"&amp;(COUNTIFS($A$2:$A1769,$A1769,$E$2:$E1769,"INFRUCTUEUX")+COUNTIFS($A$2:$A1769,$A1769,$E$2:$E1769,"ANNULE")),""))</f>
        <v/>
      </c>
    </row>
    <row r="1770">
      <c r="A1770">
        <f>IF(ISBLANK('ENGAGEMENTS 2026'!C1770),"",IF('ENGAGEMENTS 2026'!C1770="DTSI","DCT",'ENGAGEMENTS 2026'!C1770))</f>
        <v/>
      </c>
      <c r="B1770">
        <f>IF(ISBLANK('ENGAGEMENTS 2026'!C1770),"",'ENGAGEMENTS 2026'!D1770)</f>
        <v/>
      </c>
      <c r="C1770">
        <f>IF(ISBLANK('ENGAGEMENTS 2026'!C1770),"",'ENGAGEMENTS 2026'!E1770)</f>
        <v/>
      </c>
      <c r="D1770">
        <f>IF(ISBLANK('ENGAGEMENTS 2026'!C1770),"",'ENGAGEMENTS 2026'!G1770)</f>
        <v/>
      </c>
      <c r="E1770">
        <f>IF(ISBLANK('ENGAGEMENTS 2026'!C1770),"",'ENGAGEMENTS 2026'!I1770)</f>
        <v/>
      </c>
      <c r="F1770">
        <f>IF(ISBLANK('ENGAGEMENTS 2026'!C1770),"",'ENGAGEMENTS 2026'!J1770)</f>
        <v/>
      </c>
      <c r="G1770">
        <f>IF(ISBLANK('ENGAGEMENTS 2026'!C1770),"",'ENGAGEMENTS 2026'!M1770)</f>
        <v/>
      </c>
      <c r="H1770">
        <f>IF(ISBLANK('ENGAGEMENTS 2026'!C1770),"",'ENGAGEMENTS 2026'!AF1770)</f>
        <v/>
      </c>
      <c r="I1770">
        <f>IF(ISBLANK('ENGAGEMENTS 2026'!C1770),"",'ENGAGEMENTS 2026'!H1770)</f>
        <v/>
      </c>
      <c r="J1770" s="275">
        <f>IF(ISBLANK('ENGAGEMENTS 2026'!C1770),"",IF(AND(OR($E1770="INFRUCTUEUX",$E1770="ANNULE"),$C1770="AOO-M"),'ENGAGEMENTS 2026'!P1770,IF($H1770="EN COURS DE PREENGAGEMENT",'ENGAGEMENTS 2026'!O1770,IF($H1770="PREENGAGE",IF($E1770="ATTRIBUE",'ENGAGEMENTS 2026'!AE1770,'ENGAGEMENTS 2026'!O1770),'ENGAGEMENTS 2026'!AE1770))))</f>
        <v/>
      </c>
      <c r="K1770" s="604">
        <f>IF(ISBLANK('ENGAGEMENTS 2026'!W1770),"",'ENGAGEMENTS 2026'!W1770)</f>
        <v/>
      </c>
      <c r="L1770" s="276">
        <f>IF($K1770="","",TODAY()-$K1770)</f>
        <v/>
      </c>
      <c r="M1770">
        <f>IF($A1770="","",IF($H1770="ENGAGE","Engagé",IF(AND($H1770="NON ENGAGE",OR($I1770="INFRUCTUEUX",$I1770="ANNULE")),"Clôturé sans suite","En cours")))</f>
        <v/>
      </c>
      <c r="N1770">
        <f>IF(ISBLANK('ENGAGEMENTS 2026'!C1770),"",'ENGAGEMENTS 2026'!L1770)</f>
        <v/>
      </c>
      <c r="O1770">
        <f>IF(ISBLANK('ENGAGEMENTS 2026'!C1770),"",'ENGAGEMENTS 2026'!M1770)</f>
        <v/>
      </c>
      <c r="P1770">
        <f>IF(ISBLANK('ENGAGEMENTS 2026'!C1770),"",'ENGAGEMENTS 2026'!K1770)</f>
        <v/>
      </c>
      <c r="Q1770">
        <f>IF($A1770="","",IF(OR($E1770="INFRUCTUEUX",$E1770="ANNULE"),$A1770&amp;"|"&amp;(COUNTIFS($A$2:$A1770,$A1770,$E$2:$E1770,"INFRUCTUEUX")+COUNTIFS($A$2:$A1770,$A1770,$E$2:$E1770,"ANNULE")),""))</f>
        <v/>
      </c>
    </row>
    <row r="1771">
      <c r="A1771">
        <f>IF(ISBLANK('ENGAGEMENTS 2026'!C1771),"",IF('ENGAGEMENTS 2026'!C1771="DTSI","DCT",'ENGAGEMENTS 2026'!C1771))</f>
        <v/>
      </c>
      <c r="B1771">
        <f>IF(ISBLANK('ENGAGEMENTS 2026'!C1771),"",'ENGAGEMENTS 2026'!D1771)</f>
        <v/>
      </c>
      <c r="C1771">
        <f>IF(ISBLANK('ENGAGEMENTS 2026'!C1771),"",'ENGAGEMENTS 2026'!E1771)</f>
        <v/>
      </c>
      <c r="D1771">
        <f>IF(ISBLANK('ENGAGEMENTS 2026'!C1771),"",'ENGAGEMENTS 2026'!G1771)</f>
        <v/>
      </c>
      <c r="E1771">
        <f>IF(ISBLANK('ENGAGEMENTS 2026'!C1771),"",'ENGAGEMENTS 2026'!I1771)</f>
        <v/>
      </c>
      <c r="F1771">
        <f>IF(ISBLANK('ENGAGEMENTS 2026'!C1771),"",'ENGAGEMENTS 2026'!J1771)</f>
        <v/>
      </c>
      <c r="G1771">
        <f>IF(ISBLANK('ENGAGEMENTS 2026'!C1771),"",'ENGAGEMENTS 2026'!M1771)</f>
        <v/>
      </c>
      <c r="H1771">
        <f>IF(ISBLANK('ENGAGEMENTS 2026'!C1771),"",'ENGAGEMENTS 2026'!AF1771)</f>
        <v/>
      </c>
      <c r="I1771">
        <f>IF(ISBLANK('ENGAGEMENTS 2026'!C1771),"",'ENGAGEMENTS 2026'!H1771)</f>
        <v/>
      </c>
      <c r="J1771" s="275">
        <f>IF(ISBLANK('ENGAGEMENTS 2026'!C1771),"",IF(AND(OR($E1771="INFRUCTUEUX",$E1771="ANNULE"),$C1771="AOO-M"),'ENGAGEMENTS 2026'!P1771,IF($H1771="EN COURS DE PREENGAGEMENT",'ENGAGEMENTS 2026'!O1771,IF($H1771="PREENGAGE",IF($E1771="ATTRIBUE",'ENGAGEMENTS 2026'!AE1771,'ENGAGEMENTS 2026'!O1771),'ENGAGEMENTS 2026'!AE1771))))</f>
        <v/>
      </c>
      <c r="K1771" s="604">
        <f>IF(ISBLANK('ENGAGEMENTS 2026'!W1771),"",'ENGAGEMENTS 2026'!W1771)</f>
        <v/>
      </c>
      <c r="L1771" s="276">
        <f>IF($K1771="","",TODAY()-$K1771)</f>
        <v/>
      </c>
      <c r="M1771">
        <f>IF($A1771="","",IF($H1771="ENGAGE","Engagé",IF(AND($H1771="NON ENGAGE",OR($I1771="INFRUCTUEUX",$I1771="ANNULE")),"Clôturé sans suite","En cours")))</f>
        <v/>
      </c>
      <c r="N1771">
        <f>IF(ISBLANK('ENGAGEMENTS 2026'!C1771),"",'ENGAGEMENTS 2026'!L1771)</f>
        <v/>
      </c>
      <c r="O1771">
        <f>IF(ISBLANK('ENGAGEMENTS 2026'!C1771),"",'ENGAGEMENTS 2026'!M1771)</f>
        <v/>
      </c>
      <c r="P1771">
        <f>IF(ISBLANK('ENGAGEMENTS 2026'!C1771),"",'ENGAGEMENTS 2026'!K1771)</f>
        <v/>
      </c>
      <c r="Q1771">
        <f>IF($A1771="","",IF(OR($E1771="INFRUCTUEUX",$E1771="ANNULE"),$A1771&amp;"|"&amp;(COUNTIFS($A$2:$A1771,$A1771,$E$2:$E1771,"INFRUCTUEUX")+COUNTIFS($A$2:$A1771,$A1771,$E$2:$E1771,"ANNULE")),""))</f>
        <v/>
      </c>
    </row>
    <row r="1772">
      <c r="A1772">
        <f>IF(ISBLANK('ENGAGEMENTS 2026'!C1772),"",IF('ENGAGEMENTS 2026'!C1772="DTSI","DCT",'ENGAGEMENTS 2026'!C1772))</f>
        <v/>
      </c>
      <c r="B1772">
        <f>IF(ISBLANK('ENGAGEMENTS 2026'!C1772),"",'ENGAGEMENTS 2026'!D1772)</f>
        <v/>
      </c>
      <c r="C1772">
        <f>IF(ISBLANK('ENGAGEMENTS 2026'!C1772),"",'ENGAGEMENTS 2026'!E1772)</f>
        <v/>
      </c>
      <c r="D1772">
        <f>IF(ISBLANK('ENGAGEMENTS 2026'!C1772),"",'ENGAGEMENTS 2026'!G1772)</f>
        <v/>
      </c>
      <c r="E1772">
        <f>IF(ISBLANK('ENGAGEMENTS 2026'!C1772),"",'ENGAGEMENTS 2026'!I1772)</f>
        <v/>
      </c>
      <c r="F1772">
        <f>IF(ISBLANK('ENGAGEMENTS 2026'!C1772),"",'ENGAGEMENTS 2026'!J1772)</f>
        <v/>
      </c>
      <c r="G1772">
        <f>IF(ISBLANK('ENGAGEMENTS 2026'!C1772),"",'ENGAGEMENTS 2026'!M1772)</f>
        <v/>
      </c>
      <c r="H1772">
        <f>IF(ISBLANK('ENGAGEMENTS 2026'!C1772),"",'ENGAGEMENTS 2026'!AF1772)</f>
        <v/>
      </c>
      <c r="I1772">
        <f>IF(ISBLANK('ENGAGEMENTS 2026'!C1772),"",'ENGAGEMENTS 2026'!H1772)</f>
        <v/>
      </c>
      <c r="J1772" s="275">
        <f>IF(ISBLANK('ENGAGEMENTS 2026'!C1772),"",IF(AND(OR($E1772="INFRUCTUEUX",$E1772="ANNULE"),$C1772="AOO-M"),'ENGAGEMENTS 2026'!P1772,IF($H1772="EN COURS DE PREENGAGEMENT",'ENGAGEMENTS 2026'!O1772,IF($H1772="PREENGAGE",IF($E1772="ATTRIBUE",'ENGAGEMENTS 2026'!AE1772,'ENGAGEMENTS 2026'!O1772),'ENGAGEMENTS 2026'!AE1772))))</f>
        <v/>
      </c>
      <c r="K1772" s="604">
        <f>IF(ISBLANK('ENGAGEMENTS 2026'!W1772),"",'ENGAGEMENTS 2026'!W1772)</f>
        <v/>
      </c>
      <c r="L1772" s="276">
        <f>IF($K1772="","",TODAY()-$K1772)</f>
        <v/>
      </c>
      <c r="M1772">
        <f>IF($A1772="","",IF($H1772="ENGAGE","Engagé",IF(AND($H1772="NON ENGAGE",OR($I1772="INFRUCTUEUX",$I1772="ANNULE")),"Clôturé sans suite","En cours")))</f>
        <v/>
      </c>
      <c r="N1772">
        <f>IF(ISBLANK('ENGAGEMENTS 2026'!C1772),"",'ENGAGEMENTS 2026'!L1772)</f>
        <v/>
      </c>
      <c r="O1772">
        <f>IF(ISBLANK('ENGAGEMENTS 2026'!C1772),"",'ENGAGEMENTS 2026'!M1772)</f>
        <v/>
      </c>
      <c r="P1772">
        <f>IF(ISBLANK('ENGAGEMENTS 2026'!C1772),"",'ENGAGEMENTS 2026'!K1772)</f>
        <v/>
      </c>
      <c r="Q1772">
        <f>IF($A1772="","",IF(OR($E1772="INFRUCTUEUX",$E1772="ANNULE"),$A1772&amp;"|"&amp;(COUNTIFS($A$2:$A1772,$A1772,$E$2:$E1772,"INFRUCTUEUX")+COUNTIFS($A$2:$A1772,$A1772,$E$2:$E1772,"ANNULE")),""))</f>
        <v/>
      </c>
    </row>
    <row r="1773">
      <c r="A1773">
        <f>IF(ISBLANK('ENGAGEMENTS 2026'!C1773),"",IF('ENGAGEMENTS 2026'!C1773="DTSI","DCT",'ENGAGEMENTS 2026'!C1773))</f>
        <v/>
      </c>
      <c r="B1773">
        <f>IF(ISBLANK('ENGAGEMENTS 2026'!C1773),"",'ENGAGEMENTS 2026'!D1773)</f>
        <v/>
      </c>
      <c r="C1773">
        <f>IF(ISBLANK('ENGAGEMENTS 2026'!C1773),"",'ENGAGEMENTS 2026'!E1773)</f>
        <v/>
      </c>
      <c r="D1773">
        <f>IF(ISBLANK('ENGAGEMENTS 2026'!C1773),"",'ENGAGEMENTS 2026'!G1773)</f>
        <v/>
      </c>
      <c r="E1773">
        <f>IF(ISBLANK('ENGAGEMENTS 2026'!C1773),"",'ENGAGEMENTS 2026'!I1773)</f>
        <v/>
      </c>
      <c r="F1773">
        <f>IF(ISBLANK('ENGAGEMENTS 2026'!C1773),"",'ENGAGEMENTS 2026'!J1773)</f>
        <v/>
      </c>
      <c r="G1773">
        <f>IF(ISBLANK('ENGAGEMENTS 2026'!C1773),"",'ENGAGEMENTS 2026'!M1773)</f>
        <v/>
      </c>
      <c r="H1773">
        <f>IF(ISBLANK('ENGAGEMENTS 2026'!C1773),"",'ENGAGEMENTS 2026'!AF1773)</f>
        <v/>
      </c>
      <c r="I1773">
        <f>IF(ISBLANK('ENGAGEMENTS 2026'!C1773),"",'ENGAGEMENTS 2026'!H1773)</f>
        <v/>
      </c>
      <c r="J1773" s="275">
        <f>IF(ISBLANK('ENGAGEMENTS 2026'!C1773),"",IF(AND(OR($E1773="INFRUCTUEUX",$E1773="ANNULE"),$C1773="AOO-M"),'ENGAGEMENTS 2026'!P1773,IF($H1773="EN COURS DE PREENGAGEMENT",'ENGAGEMENTS 2026'!O1773,IF($H1773="PREENGAGE",IF($E1773="ATTRIBUE",'ENGAGEMENTS 2026'!AE1773,'ENGAGEMENTS 2026'!O1773),'ENGAGEMENTS 2026'!AE1773))))</f>
        <v/>
      </c>
      <c r="K1773" s="604">
        <f>IF(ISBLANK('ENGAGEMENTS 2026'!W1773),"",'ENGAGEMENTS 2026'!W1773)</f>
        <v/>
      </c>
      <c r="L1773" s="276">
        <f>IF($K1773="","",TODAY()-$K1773)</f>
        <v/>
      </c>
      <c r="M1773">
        <f>IF($A1773="","",IF($H1773="ENGAGE","Engagé",IF(AND($H1773="NON ENGAGE",OR($I1773="INFRUCTUEUX",$I1773="ANNULE")),"Clôturé sans suite","En cours")))</f>
        <v/>
      </c>
      <c r="N1773">
        <f>IF(ISBLANK('ENGAGEMENTS 2026'!C1773),"",'ENGAGEMENTS 2026'!L1773)</f>
        <v/>
      </c>
      <c r="O1773">
        <f>IF(ISBLANK('ENGAGEMENTS 2026'!C1773),"",'ENGAGEMENTS 2026'!M1773)</f>
        <v/>
      </c>
      <c r="P1773">
        <f>IF(ISBLANK('ENGAGEMENTS 2026'!C1773),"",'ENGAGEMENTS 2026'!K1773)</f>
        <v/>
      </c>
      <c r="Q1773">
        <f>IF($A1773="","",IF(OR($E1773="INFRUCTUEUX",$E1773="ANNULE"),$A1773&amp;"|"&amp;(COUNTIFS($A$2:$A1773,$A1773,$E$2:$E1773,"INFRUCTUEUX")+COUNTIFS($A$2:$A1773,$A1773,$E$2:$E1773,"ANNULE")),""))</f>
        <v/>
      </c>
    </row>
    <row r="1774">
      <c r="A1774">
        <f>IF(ISBLANK('ENGAGEMENTS 2026'!C1774),"",IF('ENGAGEMENTS 2026'!C1774="DTSI","DCT",'ENGAGEMENTS 2026'!C1774))</f>
        <v/>
      </c>
      <c r="B1774">
        <f>IF(ISBLANK('ENGAGEMENTS 2026'!C1774),"",'ENGAGEMENTS 2026'!D1774)</f>
        <v/>
      </c>
      <c r="C1774">
        <f>IF(ISBLANK('ENGAGEMENTS 2026'!C1774),"",'ENGAGEMENTS 2026'!E1774)</f>
        <v/>
      </c>
      <c r="D1774">
        <f>IF(ISBLANK('ENGAGEMENTS 2026'!C1774),"",'ENGAGEMENTS 2026'!G1774)</f>
        <v/>
      </c>
      <c r="E1774">
        <f>IF(ISBLANK('ENGAGEMENTS 2026'!C1774),"",'ENGAGEMENTS 2026'!I1774)</f>
        <v/>
      </c>
      <c r="F1774">
        <f>IF(ISBLANK('ENGAGEMENTS 2026'!C1774),"",'ENGAGEMENTS 2026'!J1774)</f>
        <v/>
      </c>
      <c r="G1774">
        <f>IF(ISBLANK('ENGAGEMENTS 2026'!C1774),"",'ENGAGEMENTS 2026'!M1774)</f>
        <v/>
      </c>
      <c r="H1774">
        <f>IF(ISBLANK('ENGAGEMENTS 2026'!C1774),"",'ENGAGEMENTS 2026'!AF1774)</f>
        <v/>
      </c>
      <c r="I1774">
        <f>IF(ISBLANK('ENGAGEMENTS 2026'!C1774),"",'ENGAGEMENTS 2026'!H1774)</f>
        <v/>
      </c>
      <c r="J1774" s="275">
        <f>IF(ISBLANK('ENGAGEMENTS 2026'!C1774),"",IF(AND(OR($E1774="INFRUCTUEUX",$E1774="ANNULE"),$C1774="AOO-M"),'ENGAGEMENTS 2026'!P1774,IF($H1774="EN COURS DE PREENGAGEMENT",'ENGAGEMENTS 2026'!O1774,IF($H1774="PREENGAGE",IF($E1774="ATTRIBUE",'ENGAGEMENTS 2026'!AE1774,'ENGAGEMENTS 2026'!O1774),'ENGAGEMENTS 2026'!AE1774))))</f>
        <v/>
      </c>
      <c r="K1774" s="604">
        <f>IF(ISBLANK('ENGAGEMENTS 2026'!W1774),"",'ENGAGEMENTS 2026'!W1774)</f>
        <v/>
      </c>
      <c r="L1774" s="276">
        <f>IF($K1774="","",TODAY()-$K1774)</f>
        <v/>
      </c>
      <c r="M1774">
        <f>IF($A1774="","",IF($H1774="ENGAGE","Engagé",IF(AND($H1774="NON ENGAGE",OR($I1774="INFRUCTUEUX",$I1774="ANNULE")),"Clôturé sans suite","En cours")))</f>
        <v/>
      </c>
      <c r="N1774">
        <f>IF(ISBLANK('ENGAGEMENTS 2026'!C1774),"",'ENGAGEMENTS 2026'!L1774)</f>
        <v/>
      </c>
      <c r="O1774">
        <f>IF(ISBLANK('ENGAGEMENTS 2026'!C1774),"",'ENGAGEMENTS 2026'!M1774)</f>
        <v/>
      </c>
      <c r="P1774">
        <f>IF(ISBLANK('ENGAGEMENTS 2026'!C1774),"",'ENGAGEMENTS 2026'!K1774)</f>
        <v/>
      </c>
      <c r="Q1774">
        <f>IF($A1774="","",IF(OR($E1774="INFRUCTUEUX",$E1774="ANNULE"),$A1774&amp;"|"&amp;(COUNTIFS($A$2:$A1774,$A1774,$E$2:$E1774,"INFRUCTUEUX")+COUNTIFS($A$2:$A1774,$A1774,$E$2:$E1774,"ANNULE")),""))</f>
        <v/>
      </c>
    </row>
    <row r="1775">
      <c r="A1775">
        <f>IF(ISBLANK('ENGAGEMENTS 2026'!C1775),"",IF('ENGAGEMENTS 2026'!C1775="DTSI","DCT",'ENGAGEMENTS 2026'!C1775))</f>
        <v/>
      </c>
      <c r="B1775">
        <f>IF(ISBLANK('ENGAGEMENTS 2026'!C1775),"",'ENGAGEMENTS 2026'!D1775)</f>
        <v/>
      </c>
      <c r="C1775">
        <f>IF(ISBLANK('ENGAGEMENTS 2026'!C1775),"",'ENGAGEMENTS 2026'!E1775)</f>
        <v/>
      </c>
      <c r="D1775">
        <f>IF(ISBLANK('ENGAGEMENTS 2026'!C1775),"",'ENGAGEMENTS 2026'!G1775)</f>
        <v/>
      </c>
      <c r="E1775">
        <f>IF(ISBLANK('ENGAGEMENTS 2026'!C1775),"",'ENGAGEMENTS 2026'!I1775)</f>
        <v/>
      </c>
      <c r="F1775">
        <f>IF(ISBLANK('ENGAGEMENTS 2026'!C1775),"",'ENGAGEMENTS 2026'!J1775)</f>
        <v/>
      </c>
      <c r="G1775">
        <f>IF(ISBLANK('ENGAGEMENTS 2026'!C1775),"",'ENGAGEMENTS 2026'!M1775)</f>
        <v/>
      </c>
      <c r="H1775">
        <f>IF(ISBLANK('ENGAGEMENTS 2026'!C1775),"",'ENGAGEMENTS 2026'!AF1775)</f>
        <v/>
      </c>
      <c r="I1775">
        <f>IF(ISBLANK('ENGAGEMENTS 2026'!C1775),"",'ENGAGEMENTS 2026'!H1775)</f>
        <v/>
      </c>
      <c r="J1775" s="275">
        <f>IF(ISBLANK('ENGAGEMENTS 2026'!C1775),"",IF(AND(OR($E1775="INFRUCTUEUX",$E1775="ANNULE"),$C1775="AOO-M"),'ENGAGEMENTS 2026'!P1775,IF($H1775="EN COURS DE PREENGAGEMENT",'ENGAGEMENTS 2026'!O1775,IF($H1775="PREENGAGE",IF($E1775="ATTRIBUE",'ENGAGEMENTS 2026'!AE1775,'ENGAGEMENTS 2026'!O1775),'ENGAGEMENTS 2026'!AE1775))))</f>
        <v/>
      </c>
      <c r="K1775" s="604">
        <f>IF(ISBLANK('ENGAGEMENTS 2026'!W1775),"",'ENGAGEMENTS 2026'!W1775)</f>
        <v/>
      </c>
      <c r="L1775" s="276">
        <f>IF($K1775="","",TODAY()-$K1775)</f>
        <v/>
      </c>
      <c r="M1775">
        <f>IF($A1775="","",IF($H1775="ENGAGE","Engagé",IF(AND($H1775="NON ENGAGE",OR($I1775="INFRUCTUEUX",$I1775="ANNULE")),"Clôturé sans suite","En cours")))</f>
        <v/>
      </c>
      <c r="N1775">
        <f>IF(ISBLANK('ENGAGEMENTS 2026'!C1775),"",'ENGAGEMENTS 2026'!L1775)</f>
        <v/>
      </c>
      <c r="O1775">
        <f>IF(ISBLANK('ENGAGEMENTS 2026'!C1775),"",'ENGAGEMENTS 2026'!M1775)</f>
        <v/>
      </c>
      <c r="P1775">
        <f>IF(ISBLANK('ENGAGEMENTS 2026'!C1775),"",'ENGAGEMENTS 2026'!K1775)</f>
        <v/>
      </c>
      <c r="Q1775">
        <f>IF($A1775="","",IF(OR($E1775="INFRUCTUEUX",$E1775="ANNULE"),$A1775&amp;"|"&amp;(COUNTIFS($A$2:$A1775,$A1775,$E$2:$E1775,"INFRUCTUEUX")+COUNTIFS($A$2:$A1775,$A1775,$E$2:$E1775,"ANNULE")),""))</f>
        <v/>
      </c>
    </row>
    <row r="1776">
      <c r="A1776">
        <f>IF(ISBLANK('ENGAGEMENTS 2026'!C1776),"",IF('ENGAGEMENTS 2026'!C1776="DTSI","DCT",'ENGAGEMENTS 2026'!C1776))</f>
        <v/>
      </c>
      <c r="B1776">
        <f>IF(ISBLANK('ENGAGEMENTS 2026'!C1776),"",'ENGAGEMENTS 2026'!D1776)</f>
        <v/>
      </c>
      <c r="C1776">
        <f>IF(ISBLANK('ENGAGEMENTS 2026'!C1776),"",'ENGAGEMENTS 2026'!E1776)</f>
        <v/>
      </c>
      <c r="D1776">
        <f>IF(ISBLANK('ENGAGEMENTS 2026'!C1776),"",'ENGAGEMENTS 2026'!G1776)</f>
        <v/>
      </c>
      <c r="E1776">
        <f>IF(ISBLANK('ENGAGEMENTS 2026'!C1776),"",'ENGAGEMENTS 2026'!I1776)</f>
        <v/>
      </c>
      <c r="F1776">
        <f>IF(ISBLANK('ENGAGEMENTS 2026'!C1776),"",'ENGAGEMENTS 2026'!J1776)</f>
        <v/>
      </c>
      <c r="G1776">
        <f>IF(ISBLANK('ENGAGEMENTS 2026'!C1776),"",'ENGAGEMENTS 2026'!M1776)</f>
        <v/>
      </c>
      <c r="H1776">
        <f>IF(ISBLANK('ENGAGEMENTS 2026'!C1776),"",'ENGAGEMENTS 2026'!AF1776)</f>
        <v/>
      </c>
      <c r="I1776">
        <f>IF(ISBLANK('ENGAGEMENTS 2026'!C1776),"",'ENGAGEMENTS 2026'!H1776)</f>
        <v/>
      </c>
      <c r="J1776" s="275">
        <f>IF(ISBLANK('ENGAGEMENTS 2026'!C1776),"",IF(AND(OR($E1776="INFRUCTUEUX",$E1776="ANNULE"),$C1776="AOO-M"),'ENGAGEMENTS 2026'!P1776,IF($H1776="EN COURS DE PREENGAGEMENT",'ENGAGEMENTS 2026'!O1776,IF($H1776="PREENGAGE",IF($E1776="ATTRIBUE",'ENGAGEMENTS 2026'!AE1776,'ENGAGEMENTS 2026'!O1776),'ENGAGEMENTS 2026'!AE1776))))</f>
        <v/>
      </c>
      <c r="K1776" s="604">
        <f>IF(ISBLANK('ENGAGEMENTS 2026'!W1776),"",'ENGAGEMENTS 2026'!W1776)</f>
        <v/>
      </c>
      <c r="L1776" s="276">
        <f>IF($K1776="","",TODAY()-$K1776)</f>
        <v/>
      </c>
      <c r="M1776">
        <f>IF($A1776="","",IF($H1776="ENGAGE","Engagé",IF(AND($H1776="NON ENGAGE",OR($I1776="INFRUCTUEUX",$I1776="ANNULE")),"Clôturé sans suite","En cours")))</f>
        <v/>
      </c>
      <c r="N1776">
        <f>IF(ISBLANK('ENGAGEMENTS 2026'!C1776),"",'ENGAGEMENTS 2026'!L1776)</f>
        <v/>
      </c>
      <c r="O1776">
        <f>IF(ISBLANK('ENGAGEMENTS 2026'!C1776),"",'ENGAGEMENTS 2026'!M1776)</f>
        <v/>
      </c>
      <c r="P1776">
        <f>IF(ISBLANK('ENGAGEMENTS 2026'!C1776),"",'ENGAGEMENTS 2026'!K1776)</f>
        <v/>
      </c>
      <c r="Q1776">
        <f>IF($A1776="","",IF(OR($E1776="INFRUCTUEUX",$E1776="ANNULE"),$A1776&amp;"|"&amp;(COUNTIFS($A$2:$A1776,$A1776,$E$2:$E1776,"INFRUCTUEUX")+COUNTIFS($A$2:$A1776,$A1776,$E$2:$E1776,"ANNULE")),""))</f>
        <v/>
      </c>
    </row>
    <row r="1777">
      <c r="A1777">
        <f>IF(ISBLANK('ENGAGEMENTS 2026'!C1777),"",IF('ENGAGEMENTS 2026'!C1777="DTSI","DCT",'ENGAGEMENTS 2026'!C1777))</f>
        <v/>
      </c>
      <c r="B1777">
        <f>IF(ISBLANK('ENGAGEMENTS 2026'!C1777),"",'ENGAGEMENTS 2026'!D1777)</f>
        <v/>
      </c>
      <c r="C1777">
        <f>IF(ISBLANK('ENGAGEMENTS 2026'!C1777),"",'ENGAGEMENTS 2026'!E1777)</f>
        <v/>
      </c>
      <c r="D1777">
        <f>IF(ISBLANK('ENGAGEMENTS 2026'!C1777),"",'ENGAGEMENTS 2026'!G1777)</f>
        <v/>
      </c>
      <c r="E1777">
        <f>IF(ISBLANK('ENGAGEMENTS 2026'!C1777),"",'ENGAGEMENTS 2026'!I1777)</f>
        <v/>
      </c>
      <c r="F1777">
        <f>IF(ISBLANK('ENGAGEMENTS 2026'!C1777),"",'ENGAGEMENTS 2026'!J1777)</f>
        <v/>
      </c>
      <c r="G1777">
        <f>IF(ISBLANK('ENGAGEMENTS 2026'!C1777),"",'ENGAGEMENTS 2026'!M1777)</f>
        <v/>
      </c>
      <c r="H1777">
        <f>IF(ISBLANK('ENGAGEMENTS 2026'!C1777),"",'ENGAGEMENTS 2026'!AF1777)</f>
        <v/>
      </c>
      <c r="I1777">
        <f>IF(ISBLANK('ENGAGEMENTS 2026'!C1777),"",'ENGAGEMENTS 2026'!H1777)</f>
        <v/>
      </c>
      <c r="J1777" s="275">
        <f>IF(ISBLANK('ENGAGEMENTS 2026'!C1777),"",IF(AND(OR($E1777="INFRUCTUEUX",$E1777="ANNULE"),$C1777="AOO-M"),'ENGAGEMENTS 2026'!P1777,IF($H1777="EN COURS DE PREENGAGEMENT",'ENGAGEMENTS 2026'!O1777,IF($H1777="PREENGAGE",IF($E1777="ATTRIBUE",'ENGAGEMENTS 2026'!AE1777,'ENGAGEMENTS 2026'!O1777),'ENGAGEMENTS 2026'!AE1777))))</f>
        <v/>
      </c>
      <c r="K1777" s="604">
        <f>IF(ISBLANK('ENGAGEMENTS 2026'!W1777),"",'ENGAGEMENTS 2026'!W1777)</f>
        <v/>
      </c>
      <c r="L1777" s="276">
        <f>IF($K1777="","",TODAY()-$K1777)</f>
        <v/>
      </c>
      <c r="M1777">
        <f>IF($A1777="","",IF($H1777="ENGAGE","Engagé",IF(AND($H1777="NON ENGAGE",OR($I1777="INFRUCTUEUX",$I1777="ANNULE")),"Clôturé sans suite","En cours")))</f>
        <v/>
      </c>
      <c r="N1777">
        <f>IF(ISBLANK('ENGAGEMENTS 2026'!C1777),"",'ENGAGEMENTS 2026'!L1777)</f>
        <v/>
      </c>
      <c r="O1777">
        <f>IF(ISBLANK('ENGAGEMENTS 2026'!C1777),"",'ENGAGEMENTS 2026'!M1777)</f>
        <v/>
      </c>
      <c r="P1777">
        <f>IF(ISBLANK('ENGAGEMENTS 2026'!C1777),"",'ENGAGEMENTS 2026'!K1777)</f>
        <v/>
      </c>
      <c r="Q1777">
        <f>IF($A1777="","",IF(OR($E1777="INFRUCTUEUX",$E1777="ANNULE"),$A1777&amp;"|"&amp;(COUNTIFS($A$2:$A1777,$A1777,$E$2:$E1777,"INFRUCTUEUX")+COUNTIFS($A$2:$A1777,$A1777,$E$2:$E1777,"ANNULE")),""))</f>
        <v/>
      </c>
    </row>
    <row r="1778">
      <c r="A1778">
        <f>IF(ISBLANK('ENGAGEMENTS 2026'!C1778),"",IF('ENGAGEMENTS 2026'!C1778="DTSI","DCT",'ENGAGEMENTS 2026'!C1778))</f>
        <v/>
      </c>
      <c r="B1778">
        <f>IF(ISBLANK('ENGAGEMENTS 2026'!C1778),"",'ENGAGEMENTS 2026'!D1778)</f>
        <v/>
      </c>
      <c r="C1778">
        <f>IF(ISBLANK('ENGAGEMENTS 2026'!C1778),"",'ENGAGEMENTS 2026'!E1778)</f>
        <v/>
      </c>
      <c r="D1778">
        <f>IF(ISBLANK('ENGAGEMENTS 2026'!C1778),"",'ENGAGEMENTS 2026'!G1778)</f>
        <v/>
      </c>
      <c r="E1778">
        <f>IF(ISBLANK('ENGAGEMENTS 2026'!C1778),"",'ENGAGEMENTS 2026'!I1778)</f>
        <v/>
      </c>
      <c r="F1778">
        <f>IF(ISBLANK('ENGAGEMENTS 2026'!C1778),"",'ENGAGEMENTS 2026'!J1778)</f>
        <v/>
      </c>
      <c r="G1778">
        <f>IF(ISBLANK('ENGAGEMENTS 2026'!C1778),"",'ENGAGEMENTS 2026'!M1778)</f>
        <v/>
      </c>
      <c r="H1778">
        <f>IF(ISBLANK('ENGAGEMENTS 2026'!C1778),"",'ENGAGEMENTS 2026'!AF1778)</f>
        <v/>
      </c>
      <c r="I1778">
        <f>IF(ISBLANK('ENGAGEMENTS 2026'!C1778),"",'ENGAGEMENTS 2026'!H1778)</f>
        <v/>
      </c>
      <c r="J1778" s="275">
        <f>IF(ISBLANK('ENGAGEMENTS 2026'!C1778),"",IF(AND(OR($E1778="INFRUCTUEUX",$E1778="ANNULE"),$C1778="AOO-M"),'ENGAGEMENTS 2026'!P1778,IF($H1778="EN COURS DE PREENGAGEMENT",'ENGAGEMENTS 2026'!O1778,IF($H1778="PREENGAGE",IF($E1778="ATTRIBUE",'ENGAGEMENTS 2026'!AE1778,'ENGAGEMENTS 2026'!O1778),'ENGAGEMENTS 2026'!AE1778))))</f>
        <v/>
      </c>
      <c r="K1778" s="604">
        <f>IF(ISBLANK('ENGAGEMENTS 2026'!W1778),"",'ENGAGEMENTS 2026'!W1778)</f>
        <v/>
      </c>
      <c r="L1778" s="276">
        <f>IF($K1778="","",TODAY()-$K1778)</f>
        <v/>
      </c>
      <c r="M1778">
        <f>IF($A1778="","",IF($H1778="ENGAGE","Engagé",IF(AND($H1778="NON ENGAGE",OR($I1778="INFRUCTUEUX",$I1778="ANNULE")),"Clôturé sans suite","En cours")))</f>
        <v/>
      </c>
      <c r="N1778">
        <f>IF(ISBLANK('ENGAGEMENTS 2026'!C1778),"",'ENGAGEMENTS 2026'!L1778)</f>
        <v/>
      </c>
      <c r="O1778">
        <f>IF(ISBLANK('ENGAGEMENTS 2026'!C1778),"",'ENGAGEMENTS 2026'!M1778)</f>
        <v/>
      </c>
      <c r="P1778">
        <f>IF(ISBLANK('ENGAGEMENTS 2026'!C1778),"",'ENGAGEMENTS 2026'!K1778)</f>
        <v/>
      </c>
      <c r="Q1778">
        <f>IF($A1778="","",IF(OR($E1778="INFRUCTUEUX",$E1778="ANNULE"),$A1778&amp;"|"&amp;(COUNTIFS($A$2:$A1778,$A1778,$E$2:$E1778,"INFRUCTUEUX")+COUNTIFS($A$2:$A1778,$A1778,$E$2:$E1778,"ANNULE")),""))</f>
        <v/>
      </c>
    </row>
    <row r="1779">
      <c r="A1779">
        <f>IF(ISBLANK('ENGAGEMENTS 2026'!C1779),"",IF('ENGAGEMENTS 2026'!C1779="DTSI","DCT",'ENGAGEMENTS 2026'!C1779))</f>
        <v/>
      </c>
      <c r="B1779">
        <f>IF(ISBLANK('ENGAGEMENTS 2026'!C1779),"",'ENGAGEMENTS 2026'!D1779)</f>
        <v/>
      </c>
      <c r="C1779">
        <f>IF(ISBLANK('ENGAGEMENTS 2026'!C1779),"",'ENGAGEMENTS 2026'!E1779)</f>
        <v/>
      </c>
      <c r="D1779">
        <f>IF(ISBLANK('ENGAGEMENTS 2026'!C1779),"",'ENGAGEMENTS 2026'!G1779)</f>
        <v/>
      </c>
      <c r="E1779">
        <f>IF(ISBLANK('ENGAGEMENTS 2026'!C1779),"",'ENGAGEMENTS 2026'!I1779)</f>
        <v/>
      </c>
      <c r="F1779">
        <f>IF(ISBLANK('ENGAGEMENTS 2026'!C1779),"",'ENGAGEMENTS 2026'!J1779)</f>
        <v/>
      </c>
      <c r="G1779">
        <f>IF(ISBLANK('ENGAGEMENTS 2026'!C1779),"",'ENGAGEMENTS 2026'!M1779)</f>
        <v/>
      </c>
      <c r="H1779">
        <f>IF(ISBLANK('ENGAGEMENTS 2026'!C1779),"",'ENGAGEMENTS 2026'!AF1779)</f>
        <v/>
      </c>
      <c r="I1779">
        <f>IF(ISBLANK('ENGAGEMENTS 2026'!C1779),"",'ENGAGEMENTS 2026'!H1779)</f>
        <v/>
      </c>
      <c r="J1779" s="275">
        <f>IF(ISBLANK('ENGAGEMENTS 2026'!C1779),"",IF(AND(OR($E1779="INFRUCTUEUX",$E1779="ANNULE"),$C1779="AOO-M"),'ENGAGEMENTS 2026'!P1779,IF($H1779="EN COURS DE PREENGAGEMENT",'ENGAGEMENTS 2026'!O1779,IF($H1779="PREENGAGE",IF($E1779="ATTRIBUE",'ENGAGEMENTS 2026'!AE1779,'ENGAGEMENTS 2026'!O1779),'ENGAGEMENTS 2026'!AE1779))))</f>
        <v/>
      </c>
      <c r="K1779" s="604">
        <f>IF(ISBLANK('ENGAGEMENTS 2026'!W1779),"",'ENGAGEMENTS 2026'!W1779)</f>
        <v/>
      </c>
      <c r="L1779" s="276">
        <f>IF($K1779="","",TODAY()-$K1779)</f>
        <v/>
      </c>
      <c r="M1779">
        <f>IF($A1779="","",IF($H1779="ENGAGE","Engagé",IF(AND($H1779="NON ENGAGE",OR($I1779="INFRUCTUEUX",$I1779="ANNULE")),"Clôturé sans suite","En cours")))</f>
        <v/>
      </c>
      <c r="N1779">
        <f>IF(ISBLANK('ENGAGEMENTS 2026'!C1779),"",'ENGAGEMENTS 2026'!L1779)</f>
        <v/>
      </c>
      <c r="O1779">
        <f>IF(ISBLANK('ENGAGEMENTS 2026'!C1779),"",'ENGAGEMENTS 2026'!M1779)</f>
        <v/>
      </c>
      <c r="P1779">
        <f>IF(ISBLANK('ENGAGEMENTS 2026'!C1779),"",'ENGAGEMENTS 2026'!K1779)</f>
        <v/>
      </c>
      <c r="Q1779">
        <f>IF($A1779="","",IF(OR($E1779="INFRUCTUEUX",$E1779="ANNULE"),$A1779&amp;"|"&amp;(COUNTIFS($A$2:$A1779,$A1779,$E$2:$E1779,"INFRUCTUEUX")+COUNTIFS($A$2:$A1779,$A1779,$E$2:$E1779,"ANNULE")),""))</f>
        <v/>
      </c>
    </row>
    <row r="1780">
      <c r="A1780">
        <f>IF(ISBLANK('ENGAGEMENTS 2026'!C1780),"",IF('ENGAGEMENTS 2026'!C1780="DTSI","DCT",'ENGAGEMENTS 2026'!C1780))</f>
        <v/>
      </c>
      <c r="B1780">
        <f>IF(ISBLANK('ENGAGEMENTS 2026'!C1780),"",'ENGAGEMENTS 2026'!D1780)</f>
        <v/>
      </c>
      <c r="C1780">
        <f>IF(ISBLANK('ENGAGEMENTS 2026'!C1780),"",'ENGAGEMENTS 2026'!E1780)</f>
        <v/>
      </c>
      <c r="D1780">
        <f>IF(ISBLANK('ENGAGEMENTS 2026'!C1780),"",'ENGAGEMENTS 2026'!G1780)</f>
        <v/>
      </c>
      <c r="E1780">
        <f>IF(ISBLANK('ENGAGEMENTS 2026'!C1780),"",'ENGAGEMENTS 2026'!I1780)</f>
        <v/>
      </c>
      <c r="F1780">
        <f>IF(ISBLANK('ENGAGEMENTS 2026'!C1780),"",'ENGAGEMENTS 2026'!J1780)</f>
        <v/>
      </c>
      <c r="G1780">
        <f>IF(ISBLANK('ENGAGEMENTS 2026'!C1780),"",'ENGAGEMENTS 2026'!M1780)</f>
        <v/>
      </c>
      <c r="H1780">
        <f>IF(ISBLANK('ENGAGEMENTS 2026'!C1780),"",'ENGAGEMENTS 2026'!AF1780)</f>
        <v/>
      </c>
      <c r="I1780">
        <f>IF(ISBLANK('ENGAGEMENTS 2026'!C1780),"",'ENGAGEMENTS 2026'!H1780)</f>
        <v/>
      </c>
      <c r="J1780" s="275">
        <f>IF(ISBLANK('ENGAGEMENTS 2026'!C1780),"",IF(AND(OR($E1780="INFRUCTUEUX",$E1780="ANNULE"),$C1780="AOO-M"),'ENGAGEMENTS 2026'!P1780,IF($H1780="EN COURS DE PREENGAGEMENT",'ENGAGEMENTS 2026'!O1780,IF($H1780="PREENGAGE",IF($E1780="ATTRIBUE",'ENGAGEMENTS 2026'!AE1780,'ENGAGEMENTS 2026'!O1780),'ENGAGEMENTS 2026'!AE1780))))</f>
        <v/>
      </c>
      <c r="K1780" s="604">
        <f>IF(ISBLANK('ENGAGEMENTS 2026'!W1780),"",'ENGAGEMENTS 2026'!W1780)</f>
        <v/>
      </c>
      <c r="L1780" s="276">
        <f>IF($K1780="","",TODAY()-$K1780)</f>
        <v/>
      </c>
      <c r="M1780">
        <f>IF($A1780="","",IF($H1780="ENGAGE","Engagé",IF(AND($H1780="NON ENGAGE",OR($I1780="INFRUCTUEUX",$I1780="ANNULE")),"Clôturé sans suite","En cours")))</f>
        <v/>
      </c>
      <c r="N1780">
        <f>IF(ISBLANK('ENGAGEMENTS 2026'!C1780),"",'ENGAGEMENTS 2026'!L1780)</f>
        <v/>
      </c>
      <c r="O1780">
        <f>IF(ISBLANK('ENGAGEMENTS 2026'!C1780),"",'ENGAGEMENTS 2026'!M1780)</f>
        <v/>
      </c>
      <c r="P1780">
        <f>IF(ISBLANK('ENGAGEMENTS 2026'!C1780),"",'ENGAGEMENTS 2026'!K1780)</f>
        <v/>
      </c>
      <c r="Q1780">
        <f>IF($A1780="","",IF(OR($E1780="INFRUCTUEUX",$E1780="ANNULE"),$A1780&amp;"|"&amp;(COUNTIFS($A$2:$A1780,$A1780,$E$2:$E1780,"INFRUCTUEUX")+COUNTIFS($A$2:$A1780,$A1780,$E$2:$E1780,"ANNULE")),""))</f>
        <v/>
      </c>
    </row>
    <row r="1781">
      <c r="A1781">
        <f>IF(ISBLANK('ENGAGEMENTS 2026'!C1781),"",IF('ENGAGEMENTS 2026'!C1781="DTSI","DCT",'ENGAGEMENTS 2026'!C1781))</f>
        <v/>
      </c>
      <c r="B1781">
        <f>IF(ISBLANK('ENGAGEMENTS 2026'!C1781),"",'ENGAGEMENTS 2026'!D1781)</f>
        <v/>
      </c>
      <c r="C1781">
        <f>IF(ISBLANK('ENGAGEMENTS 2026'!C1781),"",'ENGAGEMENTS 2026'!E1781)</f>
        <v/>
      </c>
      <c r="D1781">
        <f>IF(ISBLANK('ENGAGEMENTS 2026'!C1781),"",'ENGAGEMENTS 2026'!G1781)</f>
        <v/>
      </c>
      <c r="E1781">
        <f>IF(ISBLANK('ENGAGEMENTS 2026'!C1781),"",'ENGAGEMENTS 2026'!I1781)</f>
        <v/>
      </c>
      <c r="F1781">
        <f>IF(ISBLANK('ENGAGEMENTS 2026'!C1781),"",'ENGAGEMENTS 2026'!J1781)</f>
        <v/>
      </c>
      <c r="G1781">
        <f>IF(ISBLANK('ENGAGEMENTS 2026'!C1781),"",'ENGAGEMENTS 2026'!M1781)</f>
        <v/>
      </c>
      <c r="H1781">
        <f>IF(ISBLANK('ENGAGEMENTS 2026'!C1781),"",'ENGAGEMENTS 2026'!AF1781)</f>
        <v/>
      </c>
      <c r="I1781">
        <f>IF(ISBLANK('ENGAGEMENTS 2026'!C1781),"",'ENGAGEMENTS 2026'!H1781)</f>
        <v/>
      </c>
      <c r="J1781" s="275">
        <f>IF(ISBLANK('ENGAGEMENTS 2026'!C1781),"",IF(AND(OR($E1781="INFRUCTUEUX",$E1781="ANNULE"),$C1781="AOO-M"),'ENGAGEMENTS 2026'!P1781,IF($H1781="EN COURS DE PREENGAGEMENT",'ENGAGEMENTS 2026'!O1781,IF($H1781="PREENGAGE",IF($E1781="ATTRIBUE",'ENGAGEMENTS 2026'!AE1781,'ENGAGEMENTS 2026'!O1781),'ENGAGEMENTS 2026'!AE1781))))</f>
        <v/>
      </c>
      <c r="K1781" s="604">
        <f>IF(ISBLANK('ENGAGEMENTS 2026'!W1781),"",'ENGAGEMENTS 2026'!W1781)</f>
        <v/>
      </c>
      <c r="L1781" s="276">
        <f>IF($K1781="","",TODAY()-$K1781)</f>
        <v/>
      </c>
      <c r="M1781">
        <f>IF($A1781="","",IF($H1781="ENGAGE","Engagé",IF(AND($H1781="NON ENGAGE",OR($I1781="INFRUCTUEUX",$I1781="ANNULE")),"Clôturé sans suite","En cours")))</f>
        <v/>
      </c>
      <c r="N1781">
        <f>IF(ISBLANK('ENGAGEMENTS 2026'!C1781),"",'ENGAGEMENTS 2026'!L1781)</f>
        <v/>
      </c>
      <c r="O1781">
        <f>IF(ISBLANK('ENGAGEMENTS 2026'!C1781),"",'ENGAGEMENTS 2026'!M1781)</f>
        <v/>
      </c>
      <c r="P1781">
        <f>IF(ISBLANK('ENGAGEMENTS 2026'!C1781),"",'ENGAGEMENTS 2026'!K1781)</f>
        <v/>
      </c>
      <c r="Q1781">
        <f>IF($A1781="","",IF(OR($E1781="INFRUCTUEUX",$E1781="ANNULE"),$A1781&amp;"|"&amp;(COUNTIFS($A$2:$A1781,$A1781,$E$2:$E1781,"INFRUCTUEUX")+COUNTIFS($A$2:$A1781,$A1781,$E$2:$E1781,"ANNULE")),""))</f>
        <v/>
      </c>
    </row>
    <row r="1782">
      <c r="A1782">
        <f>IF(ISBLANK('ENGAGEMENTS 2026'!C1782),"",IF('ENGAGEMENTS 2026'!C1782="DTSI","DCT",'ENGAGEMENTS 2026'!C1782))</f>
        <v/>
      </c>
      <c r="B1782">
        <f>IF(ISBLANK('ENGAGEMENTS 2026'!C1782),"",'ENGAGEMENTS 2026'!D1782)</f>
        <v/>
      </c>
      <c r="C1782">
        <f>IF(ISBLANK('ENGAGEMENTS 2026'!C1782),"",'ENGAGEMENTS 2026'!E1782)</f>
        <v/>
      </c>
      <c r="D1782">
        <f>IF(ISBLANK('ENGAGEMENTS 2026'!C1782),"",'ENGAGEMENTS 2026'!G1782)</f>
        <v/>
      </c>
      <c r="E1782">
        <f>IF(ISBLANK('ENGAGEMENTS 2026'!C1782),"",'ENGAGEMENTS 2026'!I1782)</f>
        <v/>
      </c>
      <c r="F1782">
        <f>IF(ISBLANK('ENGAGEMENTS 2026'!C1782),"",'ENGAGEMENTS 2026'!J1782)</f>
        <v/>
      </c>
      <c r="G1782">
        <f>IF(ISBLANK('ENGAGEMENTS 2026'!C1782),"",'ENGAGEMENTS 2026'!M1782)</f>
        <v/>
      </c>
      <c r="H1782">
        <f>IF(ISBLANK('ENGAGEMENTS 2026'!C1782),"",'ENGAGEMENTS 2026'!AF1782)</f>
        <v/>
      </c>
      <c r="I1782">
        <f>IF(ISBLANK('ENGAGEMENTS 2026'!C1782),"",'ENGAGEMENTS 2026'!H1782)</f>
        <v/>
      </c>
      <c r="J1782" s="275">
        <f>IF(ISBLANK('ENGAGEMENTS 2026'!C1782),"",IF(AND(OR($E1782="INFRUCTUEUX",$E1782="ANNULE"),$C1782="AOO-M"),'ENGAGEMENTS 2026'!P1782,IF($H1782="EN COURS DE PREENGAGEMENT",'ENGAGEMENTS 2026'!O1782,IF($H1782="PREENGAGE",IF($E1782="ATTRIBUE",'ENGAGEMENTS 2026'!AE1782,'ENGAGEMENTS 2026'!O1782),'ENGAGEMENTS 2026'!AE1782))))</f>
        <v/>
      </c>
      <c r="K1782" s="604">
        <f>IF(ISBLANK('ENGAGEMENTS 2026'!W1782),"",'ENGAGEMENTS 2026'!W1782)</f>
        <v/>
      </c>
      <c r="L1782" s="276">
        <f>IF($K1782="","",TODAY()-$K1782)</f>
        <v/>
      </c>
      <c r="M1782">
        <f>IF($A1782="","",IF($H1782="ENGAGE","Engagé",IF(AND($H1782="NON ENGAGE",OR($I1782="INFRUCTUEUX",$I1782="ANNULE")),"Clôturé sans suite","En cours")))</f>
        <v/>
      </c>
      <c r="N1782">
        <f>IF(ISBLANK('ENGAGEMENTS 2026'!C1782),"",'ENGAGEMENTS 2026'!L1782)</f>
        <v/>
      </c>
      <c r="O1782">
        <f>IF(ISBLANK('ENGAGEMENTS 2026'!C1782),"",'ENGAGEMENTS 2026'!M1782)</f>
        <v/>
      </c>
      <c r="P1782">
        <f>IF(ISBLANK('ENGAGEMENTS 2026'!C1782),"",'ENGAGEMENTS 2026'!K1782)</f>
        <v/>
      </c>
      <c r="Q1782">
        <f>IF($A1782="","",IF(OR($E1782="INFRUCTUEUX",$E1782="ANNULE"),$A1782&amp;"|"&amp;(COUNTIFS($A$2:$A1782,$A1782,$E$2:$E1782,"INFRUCTUEUX")+COUNTIFS($A$2:$A1782,$A1782,$E$2:$E1782,"ANNULE")),""))</f>
        <v/>
      </c>
    </row>
    <row r="1783">
      <c r="A1783">
        <f>IF(ISBLANK('ENGAGEMENTS 2026'!C1783),"",IF('ENGAGEMENTS 2026'!C1783="DTSI","DCT",'ENGAGEMENTS 2026'!C1783))</f>
        <v/>
      </c>
      <c r="B1783">
        <f>IF(ISBLANK('ENGAGEMENTS 2026'!C1783),"",'ENGAGEMENTS 2026'!D1783)</f>
        <v/>
      </c>
      <c r="C1783">
        <f>IF(ISBLANK('ENGAGEMENTS 2026'!C1783),"",'ENGAGEMENTS 2026'!E1783)</f>
        <v/>
      </c>
      <c r="D1783">
        <f>IF(ISBLANK('ENGAGEMENTS 2026'!C1783),"",'ENGAGEMENTS 2026'!G1783)</f>
        <v/>
      </c>
      <c r="E1783">
        <f>IF(ISBLANK('ENGAGEMENTS 2026'!C1783),"",'ENGAGEMENTS 2026'!I1783)</f>
        <v/>
      </c>
      <c r="F1783">
        <f>IF(ISBLANK('ENGAGEMENTS 2026'!C1783),"",'ENGAGEMENTS 2026'!J1783)</f>
        <v/>
      </c>
      <c r="G1783">
        <f>IF(ISBLANK('ENGAGEMENTS 2026'!C1783),"",'ENGAGEMENTS 2026'!M1783)</f>
        <v/>
      </c>
      <c r="H1783">
        <f>IF(ISBLANK('ENGAGEMENTS 2026'!C1783),"",'ENGAGEMENTS 2026'!AF1783)</f>
        <v/>
      </c>
      <c r="I1783">
        <f>IF(ISBLANK('ENGAGEMENTS 2026'!C1783),"",'ENGAGEMENTS 2026'!H1783)</f>
        <v/>
      </c>
      <c r="J1783" s="275">
        <f>IF(ISBLANK('ENGAGEMENTS 2026'!C1783),"",IF(AND(OR($E1783="INFRUCTUEUX",$E1783="ANNULE"),$C1783="AOO-M"),'ENGAGEMENTS 2026'!P1783,IF($H1783="EN COURS DE PREENGAGEMENT",'ENGAGEMENTS 2026'!O1783,IF($H1783="PREENGAGE",IF($E1783="ATTRIBUE",'ENGAGEMENTS 2026'!AE1783,'ENGAGEMENTS 2026'!O1783),'ENGAGEMENTS 2026'!AE1783))))</f>
        <v/>
      </c>
      <c r="K1783" s="604">
        <f>IF(ISBLANK('ENGAGEMENTS 2026'!W1783),"",'ENGAGEMENTS 2026'!W1783)</f>
        <v/>
      </c>
      <c r="L1783" s="276">
        <f>IF($K1783="","",TODAY()-$K1783)</f>
        <v/>
      </c>
      <c r="M1783">
        <f>IF($A1783="","",IF($H1783="ENGAGE","Engagé",IF(AND($H1783="NON ENGAGE",OR($I1783="INFRUCTUEUX",$I1783="ANNULE")),"Clôturé sans suite","En cours")))</f>
        <v/>
      </c>
      <c r="N1783">
        <f>IF(ISBLANK('ENGAGEMENTS 2026'!C1783),"",'ENGAGEMENTS 2026'!L1783)</f>
        <v/>
      </c>
      <c r="O1783">
        <f>IF(ISBLANK('ENGAGEMENTS 2026'!C1783),"",'ENGAGEMENTS 2026'!M1783)</f>
        <v/>
      </c>
      <c r="P1783">
        <f>IF(ISBLANK('ENGAGEMENTS 2026'!C1783),"",'ENGAGEMENTS 2026'!K1783)</f>
        <v/>
      </c>
      <c r="Q1783">
        <f>IF($A1783="","",IF(OR($E1783="INFRUCTUEUX",$E1783="ANNULE"),$A1783&amp;"|"&amp;(COUNTIFS($A$2:$A1783,$A1783,$E$2:$E1783,"INFRUCTUEUX")+COUNTIFS($A$2:$A1783,$A1783,$E$2:$E1783,"ANNULE")),""))</f>
        <v/>
      </c>
    </row>
    <row r="1784">
      <c r="A1784">
        <f>IF(ISBLANK('ENGAGEMENTS 2026'!C1784),"",IF('ENGAGEMENTS 2026'!C1784="DTSI","DCT",'ENGAGEMENTS 2026'!C1784))</f>
        <v/>
      </c>
      <c r="B1784">
        <f>IF(ISBLANK('ENGAGEMENTS 2026'!C1784),"",'ENGAGEMENTS 2026'!D1784)</f>
        <v/>
      </c>
      <c r="C1784">
        <f>IF(ISBLANK('ENGAGEMENTS 2026'!C1784),"",'ENGAGEMENTS 2026'!E1784)</f>
        <v/>
      </c>
      <c r="D1784">
        <f>IF(ISBLANK('ENGAGEMENTS 2026'!C1784),"",'ENGAGEMENTS 2026'!G1784)</f>
        <v/>
      </c>
      <c r="E1784">
        <f>IF(ISBLANK('ENGAGEMENTS 2026'!C1784),"",'ENGAGEMENTS 2026'!I1784)</f>
        <v/>
      </c>
      <c r="F1784">
        <f>IF(ISBLANK('ENGAGEMENTS 2026'!C1784),"",'ENGAGEMENTS 2026'!J1784)</f>
        <v/>
      </c>
      <c r="G1784">
        <f>IF(ISBLANK('ENGAGEMENTS 2026'!C1784),"",'ENGAGEMENTS 2026'!M1784)</f>
        <v/>
      </c>
      <c r="H1784">
        <f>IF(ISBLANK('ENGAGEMENTS 2026'!C1784),"",'ENGAGEMENTS 2026'!AF1784)</f>
        <v/>
      </c>
      <c r="I1784">
        <f>IF(ISBLANK('ENGAGEMENTS 2026'!C1784),"",'ENGAGEMENTS 2026'!H1784)</f>
        <v/>
      </c>
      <c r="J1784" s="275">
        <f>IF(ISBLANK('ENGAGEMENTS 2026'!C1784),"",IF(AND(OR($E1784="INFRUCTUEUX",$E1784="ANNULE"),$C1784="AOO-M"),'ENGAGEMENTS 2026'!P1784,IF($H1784="EN COURS DE PREENGAGEMENT",'ENGAGEMENTS 2026'!O1784,IF($H1784="PREENGAGE",IF($E1784="ATTRIBUE",'ENGAGEMENTS 2026'!AE1784,'ENGAGEMENTS 2026'!O1784),'ENGAGEMENTS 2026'!AE1784))))</f>
        <v/>
      </c>
      <c r="K1784" s="604">
        <f>IF(ISBLANK('ENGAGEMENTS 2026'!W1784),"",'ENGAGEMENTS 2026'!W1784)</f>
        <v/>
      </c>
      <c r="L1784" s="276">
        <f>IF($K1784="","",TODAY()-$K1784)</f>
        <v/>
      </c>
      <c r="M1784">
        <f>IF($A1784="","",IF($H1784="ENGAGE","Engagé",IF(AND($H1784="NON ENGAGE",OR($I1784="INFRUCTUEUX",$I1784="ANNULE")),"Clôturé sans suite","En cours")))</f>
        <v/>
      </c>
      <c r="N1784">
        <f>IF(ISBLANK('ENGAGEMENTS 2026'!C1784),"",'ENGAGEMENTS 2026'!L1784)</f>
        <v/>
      </c>
      <c r="O1784">
        <f>IF(ISBLANK('ENGAGEMENTS 2026'!C1784),"",'ENGAGEMENTS 2026'!M1784)</f>
        <v/>
      </c>
      <c r="P1784">
        <f>IF(ISBLANK('ENGAGEMENTS 2026'!C1784),"",'ENGAGEMENTS 2026'!K1784)</f>
        <v/>
      </c>
      <c r="Q1784">
        <f>IF($A1784="","",IF(OR($E1784="INFRUCTUEUX",$E1784="ANNULE"),$A1784&amp;"|"&amp;(COUNTIFS($A$2:$A1784,$A1784,$E$2:$E1784,"INFRUCTUEUX")+COUNTIFS($A$2:$A1784,$A1784,$E$2:$E1784,"ANNULE")),""))</f>
        <v/>
      </c>
    </row>
    <row r="1785">
      <c r="A1785">
        <f>IF(ISBLANK('ENGAGEMENTS 2026'!C1785),"",IF('ENGAGEMENTS 2026'!C1785="DTSI","DCT",'ENGAGEMENTS 2026'!C1785))</f>
        <v/>
      </c>
      <c r="B1785">
        <f>IF(ISBLANK('ENGAGEMENTS 2026'!C1785),"",'ENGAGEMENTS 2026'!D1785)</f>
        <v/>
      </c>
      <c r="C1785">
        <f>IF(ISBLANK('ENGAGEMENTS 2026'!C1785),"",'ENGAGEMENTS 2026'!E1785)</f>
        <v/>
      </c>
      <c r="D1785">
        <f>IF(ISBLANK('ENGAGEMENTS 2026'!C1785),"",'ENGAGEMENTS 2026'!G1785)</f>
        <v/>
      </c>
      <c r="E1785">
        <f>IF(ISBLANK('ENGAGEMENTS 2026'!C1785),"",'ENGAGEMENTS 2026'!I1785)</f>
        <v/>
      </c>
      <c r="F1785">
        <f>IF(ISBLANK('ENGAGEMENTS 2026'!C1785),"",'ENGAGEMENTS 2026'!J1785)</f>
        <v/>
      </c>
      <c r="G1785">
        <f>IF(ISBLANK('ENGAGEMENTS 2026'!C1785),"",'ENGAGEMENTS 2026'!M1785)</f>
        <v/>
      </c>
      <c r="H1785">
        <f>IF(ISBLANK('ENGAGEMENTS 2026'!C1785),"",'ENGAGEMENTS 2026'!AF1785)</f>
        <v/>
      </c>
      <c r="I1785">
        <f>IF(ISBLANK('ENGAGEMENTS 2026'!C1785),"",'ENGAGEMENTS 2026'!H1785)</f>
        <v/>
      </c>
      <c r="J1785" s="275">
        <f>IF(ISBLANK('ENGAGEMENTS 2026'!C1785),"",IF(AND(OR($E1785="INFRUCTUEUX",$E1785="ANNULE"),$C1785="AOO-M"),'ENGAGEMENTS 2026'!P1785,IF($H1785="EN COURS DE PREENGAGEMENT",'ENGAGEMENTS 2026'!O1785,IF($H1785="PREENGAGE",IF($E1785="ATTRIBUE",'ENGAGEMENTS 2026'!AE1785,'ENGAGEMENTS 2026'!O1785),'ENGAGEMENTS 2026'!AE1785))))</f>
        <v/>
      </c>
      <c r="K1785" s="604">
        <f>IF(ISBLANK('ENGAGEMENTS 2026'!W1785),"",'ENGAGEMENTS 2026'!W1785)</f>
        <v/>
      </c>
      <c r="L1785" s="276">
        <f>IF($K1785="","",TODAY()-$K1785)</f>
        <v/>
      </c>
      <c r="M1785">
        <f>IF($A1785="","",IF($H1785="ENGAGE","Engagé",IF(AND($H1785="NON ENGAGE",OR($I1785="INFRUCTUEUX",$I1785="ANNULE")),"Clôturé sans suite","En cours")))</f>
        <v/>
      </c>
      <c r="N1785">
        <f>IF(ISBLANK('ENGAGEMENTS 2026'!C1785),"",'ENGAGEMENTS 2026'!L1785)</f>
        <v/>
      </c>
      <c r="O1785">
        <f>IF(ISBLANK('ENGAGEMENTS 2026'!C1785),"",'ENGAGEMENTS 2026'!M1785)</f>
        <v/>
      </c>
      <c r="P1785">
        <f>IF(ISBLANK('ENGAGEMENTS 2026'!C1785),"",'ENGAGEMENTS 2026'!K1785)</f>
        <v/>
      </c>
      <c r="Q1785">
        <f>IF($A1785="","",IF(OR($E1785="INFRUCTUEUX",$E1785="ANNULE"),$A1785&amp;"|"&amp;(COUNTIFS($A$2:$A1785,$A1785,$E$2:$E1785,"INFRUCTUEUX")+COUNTIFS($A$2:$A1785,$A1785,$E$2:$E1785,"ANNULE")),""))</f>
        <v/>
      </c>
    </row>
    <row r="1786">
      <c r="A1786">
        <f>IF(ISBLANK('ENGAGEMENTS 2026'!C1786),"",IF('ENGAGEMENTS 2026'!C1786="DTSI","DCT",'ENGAGEMENTS 2026'!C1786))</f>
        <v/>
      </c>
      <c r="B1786">
        <f>IF(ISBLANK('ENGAGEMENTS 2026'!C1786),"",'ENGAGEMENTS 2026'!D1786)</f>
        <v/>
      </c>
      <c r="C1786">
        <f>IF(ISBLANK('ENGAGEMENTS 2026'!C1786),"",'ENGAGEMENTS 2026'!E1786)</f>
        <v/>
      </c>
      <c r="D1786">
        <f>IF(ISBLANK('ENGAGEMENTS 2026'!C1786),"",'ENGAGEMENTS 2026'!G1786)</f>
        <v/>
      </c>
      <c r="E1786">
        <f>IF(ISBLANK('ENGAGEMENTS 2026'!C1786),"",'ENGAGEMENTS 2026'!I1786)</f>
        <v/>
      </c>
      <c r="F1786">
        <f>IF(ISBLANK('ENGAGEMENTS 2026'!C1786),"",'ENGAGEMENTS 2026'!J1786)</f>
        <v/>
      </c>
      <c r="G1786">
        <f>IF(ISBLANK('ENGAGEMENTS 2026'!C1786),"",'ENGAGEMENTS 2026'!M1786)</f>
        <v/>
      </c>
      <c r="H1786">
        <f>IF(ISBLANK('ENGAGEMENTS 2026'!C1786),"",'ENGAGEMENTS 2026'!AF1786)</f>
        <v/>
      </c>
      <c r="I1786">
        <f>IF(ISBLANK('ENGAGEMENTS 2026'!C1786),"",'ENGAGEMENTS 2026'!H1786)</f>
        <v/>
      </c>
      <c r="J1786" s="275">
        <f>IF(ISBLANK('ENGAGEMENTS 2026'!C1786),"",IF(AND(OR($E1786="INFRUCTUEUX",$E1786="ANNULE"),$C1786="AOO-M"),'ENGAGEMENTS 2026'!P1786,IF($H1786="EN COURS DE PREENGAGEMENT",'ENGAGEMENTS 2026'!O1786,IF($H1786="PREENGAGE",IF($E1786="ATTRIBUE",'ENGAGEMENTS 2026'!AE1786,'ENGAGEMENTS 2026'!O1786),'ENGAGEMENTS 2026'!AE1786))))</f>
        <v/>
      </c>
      <c r="K1786" s="604">
        <f>IF(ISBLANK('ENGAGEMENTS 2026'!W1786),"",'ENGAGEMENTS 2026'!W1786)</f>
        <v/>
      </c>
      <c r="L1786" s="276">
        <f>IF($K1786="","",TODAY()-$K1786)</f>
        <v/>
      </c>
      <c r="M1786">
        <f>IF($A1786="","",IF($H1786="ENGAGE","Engagé",IF(AND($H1786="NON ENGAGE",OR($I1786="INFRUCTUEUX",$I1786="ANNULE")),"Clôturé sans suite","En cours")))</f>
        <v/>
      </c>
      <c r="N1786">
        <f>IF(ISBLANK('ENGAGEMENTS 2026'!C1786),"",'ENGAGEMENTS 2026'!L1786)</f>
        <v/>
      </c>
      <c r="O1786">
        <f>IF(ISBLANK('ENGAGEMENTS 2026'!C1786),"",'ENGAGEMENTS 2026'!M1786)</f>
        <v/>
      </c>
      <c r="P1786">
        <f>IF(ISBLANK('ENGAGEMENTS 2026'!C1786),"",'ENGAGEMENTS 2026'!K1786)</f>
        <v/>
      </c>
      <c r="Q1786">
        <f>IF($A1786="","",IF(OR($E1786="INFRUCTUEUX",$E1786="ANNULE"),$A1786&amp;"|"&amp;(COUNTIFS($A$2:$A1786,$A1786,$E$2:$E1786,"INFRUCTUEUX")+COUNTIFS($A$2:$A1786,$A1786,$E$2:$E1786,"ANNULE")),""))</f>
        <v/>
      </c>
    </row>
    <row r="1787">
      <c r="A1787">
        <f>IF(ISBLANK('ENGAGEMENTS 2026'!C1787),"",IF('ENGAGEMENTS 2026'!C1787="DTSI","DCT",'ENGAGEMENTS 2026'!C1787))</f>
        <v/>
      </c>
      <c r="B1787">
        <f>IF(ISBLANK('ENGAGEMENTS 2026'!C1787),"",'ENGAGEMENTS 2026'!D1787)</f>
        <v/>
      </c>
      <c r="C1787">
        <f>IF(ISBLANK('ENGAGEMENTS 2026'!C1787),"",'ENGAGEMENTS 2026'!E1787)</f>
        <v/>
      </c>
      <c r="D1787">
        <f>IF(ISBLANK('ENGAGEMENTS 2026'!C1787),"",'ENGAGEMENTS 2026'!G1787)</f>
        <v/>
      </c>
      <c r="E1787">
        <f>IF(ISBLANK('ENGAGEMENTS 2026'!C1787),"",'ENGAGEMENTS 2026'!I1787)</f>
        <v/>
      </c>
      <c r="F1787">
        <f>IF(ISBLANK('ENGAGEMENTS 2026'!C1787),"",'ENGAGEMENTS 2026'!J1787)</f>
        <v/>
      </c>
      <c r="G1787">
        <f>IF(ISBLANK('ENGAGEMENTS 2026'!C1787),"",'ENGAGEMENTS 2026'!M1787)</f>
        <v/>
      </c>
      <c r="H1787">
        <f>IF(ISBLANK('ENGAGEMENTS 2026'!C1787),"",'ENGAGEMENTS 2026'!AF1787)</f>
        <v/>
      </c>
      <c r="I1787">
        <f>IF(ISBLANK('ENGAGEMENTS 2026'!C1787),"",'ENGAGEMENTS 2026'!H1787)</f>
        <v/>
      </c>
      <c r="J1787" s="275">
        <f>IF(ISBLANK('ENGAGEMENTS 2026'!C1787),"",IF(AND(OR($E1787="INFRUCTUEUX",$E1787="ANNULE"),$C1787="AOO-M"),'ENGAGEMENTS 2026'!P1787,IF($H1787="EN COURS DE PREENGAGEMENT",'ENGAGEMENTS 2026'!O1787,IF($H1787="PREENGAGE",IF($E1787="ATTRIBUE",'ENGAGEMENTS 2026'!AE1787,'ENGAGEMENTS 2026'!O1787),'ENGAGEMENTS 2026'!AE1787))))</f>
        <v/>
      </c>
      <c r="K1787" s="604">
        <f>IF(ISBLANK('ENGAGEMENTS 2026'!W1787),"",'ENGAGEMENTS 2026'!W1787)</f>
        <v/>
      </c>
      <c r="L1787" s="276">
        <f>IF($K1787="","",TODAY()-$K1787)</f>
        <v/>
      </c>
      <c r="M1787">
        <f>IF($A1787="","",IF($H1787="ENGAGE","Engagé",IF(AND($H1787="NON ENGAGE",OR($I1787="INFRUCTUEUX",$I1787="ANNULE")),"Clôturé sans suite","En cours")))</f>
        <v/>
      </c>
      <c r="N1787">
        <f>IF(ISBLANK('ENGAGEMENTS 2026'!C1787),"",'ENGAGEMENTS 2026'!L1787)</f>
        <v/>
      </c>
      <c r="O1787">
        <f>IF(ISBLANK('ENGAGEMENTS 2026'!C1787),"",'ENGAGEMENTS 2026'!M1787)</f>
        <v/>
      </c>
      <c r="P1787">
        <f>IF(ISBLANK('ENGAGEMENTS 2026'!C1787),"",'ENGAGEMENTS 2026'!K1787)</f>
        <v/>
      </c>
      <c r="Q1787">
        <f>IF($A1787="","",IF(OR($E1787="INFRUCTUEUX",$E1787="ANNULE"),$A1787&amp;"|"&amp;(COUNTIFS($A$2:$A1787,$A1787,$E$2:$E1787,"INFRUCTUEUX")+COUNTIFS($A$2:$A1787,$A1787,$E$2:$E1787,"ANNULE")),""))</f>
        <v/>
      </c>
    </row>
    <row r="1788">
      <c r="A1788">
        <f>IF(ISBLANK('ENGAGEMENTS 2026'!C1788),"",IF('ENGAGEMENTS 2026'!C1788="DTSI","DCT",'ENGAGEMENTS 2026'!C1788))</f>
        <v/>
      </c>
      <c r="B1788">
        <f>IF(ISBLANK('ENGAGEMENTS 2026'!C1788),"",'ENGAGEMENTS 2026'!D1788)</f>
        <v/>
      </c>
      <c r="C1788">
        <f>IF(ISBLANK('ENGAGEMENTS 2026'!C1788),"",'ENGAGEMENTS 2026'!E1788)</f>
        <v/>
      </c>
      <c r="D1788">
        <f>IF(ISBLANK('ENGAGEMENTS 2026'!C1788),"",'ENGAGEMENTS 2026'!G1788)</f>
        <v/>
      </c>
      <c r="E1788">
        <f>IF(ISBLANK('ENGAGEMENTS 2026'!C1788),"",'ENGAGEMENTS 2026'!I1788)</f>
        <v/>
      </c>
      <c r="F1788">
        <f>IF(ISBLANK('ENGAGEMENTS 2026'!C1788),"",'ENGAGEMENTS 2026'!J1788)</f>
        <v/>
      </c>
      <c r="G1788">
        <f>IF(ISBLANK('ENGAGEMENTS 2026'!C1788),"",'ENGAGEMENTS 2026'!M1788)</f>
        <v/>
      </c>
      <c r="H1788">
        <f>IF(ISBLANK('ENGAGEMENTS 2026'!C1788),"",'ENGAGEMENTS 2026'!AF1788)</f>
        <v/>
      </c>
      <c r="I1788">
        <f>IF(ISBLANK('ENGAGEMENTS 2026'!C1788),"",'ENGAGEMENTS 2026'!H1788)</f>
        <v/>
      </c>
      <c r="J1788" s="275">
        <f>IF(ISBLANK('ENGAGEMENTS 2026'!C1788),"",IF(AND(OR($E1788="INFRUCTUEUX",$E1788="ANNULE"),$C1788="AOO-M"),'ENGAGEMENTS 2026'!P1788,IF($H1788="EN COURS DE PREENGAGEMENT",'ENGAGEMENTS 2026'!O1788,IF($H1788="PREENGAGE",IF($E1788="ATTRIBUE",'ENGAGEMENTS 2026'!AE1788,'ENGAGEMENTS 2026'!O1788),'ENGAGEMENTS 2026'!AE1788))))</f>
        <v/>
      </c>
      <c r="K1788" s="604">
        <f>IF(ISBLANK('ENGAGEMENTS 2026'!W1788),"",'ENGAGEMENTS 2026'!W1788)</f>
        <v/>
      </c>
      <c r="L1788" s="276">
        <f>IF($K1788="","",TODAY()-$K1788)</f>
        <v/>
      </c>
      <c r="M1788">
        <f>IF($A1788="","",IF($H1788="ENGAGE","Engagé",IF(AND($H1788="NON ENGAGE",OR($I1788="INFRUCTUEUX",$I1788="ANNULE")),"Clôturé sans suite","En cours")))</f>
        <v/>
      </c>
      <c r="N1788">
        <f>IF(ISBLANK('ENGAGEMENTS 2026'!C1788),"",'ENGAGEMENTS 2026'!L1788)</f>
        <v/>
      </c>
      <c r="O1788">
        <f>IF(ISBLANK('ENGAGEMENTS 2026'!C1788),"",'ENGAGEMENTS 2026'!M1788)</f>
        <v/>
      </c>
      <c r="P1788">
        <f>IF(ISBLANK('ENGAGEMENTS 2026'!C1788),"",'ENGAGEMENTS 2026'!K1788)</f>
        <v/>
      </c>
      <c r="Q1788">
        <f>IF($A1788="","",IF(OR($E1788="INFRUCTUEUX",$E1788="ANNULE"),$A1788&amp;"|"&amp;(COUNTIFS($A$2:$A1788,$A1788,$E$2:$E1788,"INFRUCTUEUX")+COUNTIFS($A$2:$A1788,$A1788,$E$2:$E1788,"ANNULE")),""))</f>
        <v/>
      </c>
    </row>
    <row r="1789">
      <c r="A1789">
        <f>IF(ISBLANK('ENGAGEMENTS 2026'!C1789),"",IF('ENGAGEMENTS 2026'!C1789="DTSI","DCT",'ENGAGEMENTS 2026'!C1789))</f>
        <v/>
      </c>
      <c r="B1789">
        <f>IF(ISBLANK('ENGAGEMENTS 2026'!C1789),"",'ENGAGEMENTS 2026'!D1789)</f>
        <v/>
      </c>
      <c r="C1789">
        <f>IF(ISBLANK('ENGAGEMENTS 2026'!C1789),"",'ENGAGEMENTS 2026'!E1789)</f>
        <v/>
      </c>
      <c r="D1789">
        <f>IF(ISBLANK('ENGAGEMENTS 2026'!C1789),"",'ENGAGEMENTS 2026'!G1789)</f>
        <v/>
      </c>
      <c r="E1789">
        <f>IF(ISBLANK('ENGAGEMENTS 2026'!C1789),"",'ENGAGEMENTS 2026'!I1789)</f>
        <v/>
      </c>
      <c r="F1789">
        <f>IF(ISBLANK('ENGAGEMENTS 2026'!C1789),"",'ENGAGEMENTS 2026'!J1789)</f>
        <v/>
      </c>
      <c r="G1789">
        <f>IF(ISBLANK('ENGAGEMENTS 2026'!C1789),"",'ENGAGEMENTS 2026'!M1789)</f>
        <v/>
      </c>
      <c r="H1789">
        <f>IF(ISBLANK('ENGAGEMENTS 2026'!C1789),"",'ENGAGEMENTS 2026'!AF1789)</f>
        <v/>
      </c>
      <c r="I1789">
        <f>IF(ISBLANK('ENGAGEMENTS 2026'!C1789),"",'ENGAGEMENTS 2026'!H1789)</f>
        <v/>
      </c>
      <c r="J1789" s="275">
        <f>IF(ISBLANK('ENGAGEMENTS 2026'!C1789),"",IF(AND(OR($E1789="INFRUCTUEUX",$E1789="ANNULE"),$C1789="AOO-M"),'ENGAGEMENTS 2026'!P1789,IF($H1789="EN COURS DE PREENGAGEMENT",'ENGAGEMENTS 2026'!O1789,IF($H1789="PREENGAGE",IF($E1789="ATTRIBUE",'ENGAGEMENTS 2026'!AE1789,'ENGAGEMENTS 2026'!O1789),'ENGAGEMENTS 2026'!AE1789))))</f>
        <v/>
      </c>
      <c r="K1789" s="604">
        <f>IF(ISBLANK('ENGAGEMENTS 2026'!W1789),"",'ENGAGEMENTS 2026'!W1789)</f>
        <v/>
      </c>
      <c r="L1789" s="276">
        <f>IF($K1789="","",TODAY()-$K1789)</f>
        <v/>
      </c>
      <c r="M1789">
        <f>IF($A1789="","",IF($H1789="ENGAGE","Engagé",IF(AND($H1789="NON ENGAGE",OR($I1789="INFRUCTUEUX",$I1789="ANNULE")),"Clôturé sans suite","En cours")))</f>
        <v/>
      </c>
      <c r="N1789">
        <f>IF(ISBLANK('ENGAGEMENTS 2026'!C1789),"",'ENGAGEMENTS 2026'!L1789)</f>
        <v/>
      </c>
      <c r="O1789">
        <f>IF(ISBLANK('ENGAGEMENTS 2026'!C1789),"",'ENGAGEMENTS 2026'!M1789)</f>
        <v/>
      </c>
      <c r="P1789">
        <f>IF(ISBLANK('ENGAGEMENTS 2026'!C1789),"",'ENGAGEMENTS 2026'!K1789)</f>
        <v/>
      </c>
      <c r="Q1789">
        <f>IF($A1789="","",IF(OR($E1789="INFRUCTUEUX",$E1789="ANNULE"),$A1789&amp;"|"&amp;(COUNTIFS($A$2:$A1789,$A1789,$E$2:$E1789,"INFRUCTUEUX")+COUNTIFS($A$2:$A1789,$A1789,$E$2:$E1789,"ANNULE")),""))</f>
        <v/>
      </c>
    </row>
    <row r="1790">
      <c r="A1790">
        <f>IF(ISBLANK('ENGAGEMENTS 2026'!C1790),"",IF('ENGAGEMENTS 2026'!C1790="DTSI","DCT",'ENGAGEMENTS 2026'!C1790))</f>
        <v/>
      </c>
      <c r="B1790">
        <f>IF(ISBLANK('ENGAGEMENTS 2026'!C1790),"",'ENGAGEMENTS 2026'!D1790)</f>
        <v/>
      </c>
      <c r="C1790">
        <f>IF(ISBLANK('ENGAGEMENTS 2026'!C1790),"",'ENGAGEMENTS 2026'!E1790)</f>
        <v/>
      </c>
      <c r="D1790">
        <f>IF(ISBLANK('ENGAGEMENTS 2026'!C1790),"",'ENGAGEMENTS 2026'!G1790)</f>
        <v/>
      </c>
      <c r="E1790">
        <f>IF(ISBLANK('ENGAGEMENTS 2026'!C1790),"",'ENGAGEMENTS 2026'!I1790)</f>
        <v/>
      </c>
      <c r="F1790">
        <f>IF(ISBLANK('ENGAGEMENTS 2026'!C1790),"",'ENGAGEMENTS 2026'!J1790)</f>
        <v/>
      </c>
      <c r="G1790">
        <f>IF(ISBLANK('ENGAGEMENTS 2026'!C1790),"",'ENGAGEMENTS 2026'!M1790)</f>
        <v/>
      </c>
      <c r="H1790">
        <f>IF(ISBLANK('ENGAGEMENTS 2026'!C1790),"",'ENGAGEMENTS 2026'!AF1790)</f>
        <v/>
      </c>
      <c r="I1790">
        <f>IF(ISBLANK('ENGAGEMENTS 2026'!C1790),"",'ENGAGEMENTS 2026'!H1790)</f>
        <v/>
      </c>
      <c r="J1790" s="275">
        <f>IF(ISBLANK('ENGAGEMENTS 2026'!C1790),"",IF(AND(OR($E1790="INFRUCTUEUX",$E1790="ANNULE"),$C1790="AOO-M"),'ENGAGEMENTS 2026'!P1790,IF($H1790="EN COURS DE PREENGAGEMENT",'ENGAGEMENTS 2026'!O1790,IF($H1790="PREENGAGE",IF($E1790="ATTRIBUE",'ENGAGEMENTS 2026'!AE1790,'ENGAGEMENTS 2026'!O1790),'ENGAGEMENTS 2026'!AE1790))))</f>
        <v/>
      </c>
      <c r="K1790" s="604">
        <f>IF(ISBLANK('ENGAGEMENTS 2026'!W1790),"",'ENGAGEMENTS 2026'!W1790)</f>
        <v/>
      </c>
      <c r="L1790" s="276">
        <f>IF($K1790="","",TODAY()-$K1790)</f>
        <v/>
      </c>
      <c r="M1790">
        <f>IF($A1790="","",IF($H1790="ENGAGE","Engagé",IF(AND($H1790="NON ENGAGE",OR($I1790="INFRUCTUEUX",$I1790="ANNULE")),"Clôturé sans suite","En cours")))</f>
        <v/>
      </c>
      <c r="N1790">
        <f>IF(ISBLANK('ENGAGEMENTS 2026'!C1790),"",'ENGAGEMENTS 2026'!L1790)</f>
        <v/>
      </c>
      <c r="O1790">
        <f>IF(ISBLANK('ENGAGEMENTS 2026'!C1790),"",'ENGAGEMENTS 2026'!M1790)</f>
        <v/>
      </c>
      <c r="P1790">
        <f>IF(ISBLANK('ENGAGEMENTS 2026'!C1790),"",'ENGAGEMENTS 2026'!K1790)</f>
        <v/>
      </c>
      <c r="Q1790">
        <f>IF($A1790="","",IF(OR($E1790="INFRUCTUEUX",$E1790="ANNULE"),$A1790&amp;"|"&amp;(COUNTIFS($A$2:$A1790,$A1790,$E$2:$E1790,"INFRUCTUEUX")+COUNTIFS($A$2:$A1790,$A1790,$E$2:$E1790,"ANNULE")),""))</f>
        <v/>
      </c>
    </row>
    <row r="1791">
      <c r="A1791">
        <f>IF(ISBLANK('ENGAGEMENTS 2026'!C1791),"",IF('ENGAGEMENTS 2026'!C1791="DTSI","DCT",'ENGAGEMENTS 2026'!C1791))</f>
        <v/>
      </c>
      <c r="B1791">
        <f>IF(ISBLANK('ENGAGEMENTS 2026'!C1791),"",'ENGAGEMENTS 2026'!D1791)</f>
        <v/>
      </c>
      <c r="C1791">
        <f>IF(ISBLANK('ENGAGEMENTS 2026'!C1791),"",'ENGAGEMENTS 2026'!E1791)</f>
        <v/>
      </c>
      <c r="D1791">
        <f>IF(ISBLANK('ENGAGEMENTS 2026'!C1791),"",'ENGAGEMENTS 2026'!G1791)</f>
        <v/>
      </c>
      <c r="E1791">
        <f>IF(ISBLANK('ENGAGEMENTS 2026'!C1791),"",'ENGAGEMENTS 2026'!I1791)</f>
        <v/>
      </c>
      <c r="F1791">
        <f>IF(ISBLANK('ENGAGEMENTS 2026'!C1791),"",'ENGAGEMENTS 2026'!J1791)</f>
        <v/>
      </c>
      <c r="G1791">
        <f>IF(ISBLANK('ENGAGEMENTS 2026'!C1791),"",'ENGAGEMENTS 2026'!M1791)</f>
        <v/>
      </c>
      <c r="H1791">
        <f>IF(ISBLANK('ENGAGEMENTS 2026'!C1791),"",'ENGAGEMENTS 2026'!AF1791)</f>
        <v/>
      </c>
      <c r="I1791">
        <f>IF(ISBLANK('ENGAGEMENTS 2026'!C1791),"",'ENGAGEMENTS 2026'!H1791)</f>
        <v/>
      </c>
      <c r="J1791" s="275">
        <f>IF(ISBLANK('ENGAGEMENTS 2026'!C1791),"",IF(AND(OR($E1791="INFRUCTUEUX",$E1791="ANNULE"),$C1791="AOO-M"),'ENGAGEMENTS 2026'!P1791,IF($H1791="EN COURS DE PREENGAGEMENT",'ENGAGEMENTS 2026'!O1791,IF($H1791="PREENGAGE",IF($E1791="ATTRIBUE",'ENGAGEMENTS 2026'!AE1791,'ENGAGEMENTS 2026'!O1791),'ENGAGEMENTS 2026'!AE1791))))</f>
        <v/>
      </c>
      <c r="K1791" s="604">
        <f>IF(ISBLANK('ENGAGEMENTS 2026'!W1791),"",'ENGAGEMENTS 2026'!W1791)</f>
        <v/>
      </c>
      <c r="L1791" s="276">
        <f>IF($K1791="","",TODAY()-$K1791)</f>
        <v/>
      </c>
      <c r="M1791">
        <f>IF($A1791="","",IF($H1791="ENGAGE","Engagé",IF(AND($H1791="NON ENGAGE",OR($I1791="INFRUCTUEUX",$I1791="ANNULE")),"Clôturé sans suite","En cours")))</f>
        <v/>
      </c>
      <c r="N1791">
        <f>IF(ISBLANK('ENGAGEMENTS 2026'!C1791),"",'ENGAGEMENTS 2026'!L1791)</f>
        <v/>
      </c>
      <c r="O1791">
        <f>IF(ISBLANK('ENGAGEMENTS 2026'!C1791),"",'ENGAGEMENTS 2026'!M1791)</f>
        <v/>
      </c>
      <c r="P1791">
        <f>IF(ISBLANK('ENGAGEMENTS 2026'!C1791),"",'ENGAGEMENTS 2026'!K1791)</f>
        <v/>
      </c>
      <c r="Q1791">
        <f>IF($A1791="","",IF(OR($E1791="INFRUCTUEUX",$E1791="ANNULE"),$A1791&amp;"|"&amp;(COUNTIFS($A$2:$A1791,$A1791,$E$2:$E1791,"INFRUCTUEUX")+COUNTIFS($A$2:$A1791,$A1791,$E$2:$E1791,"ANNULE")),""))</f>
        <v/>
      </c>
    </row>
    <row r="1792">
      <c r="A1792">
        <f>IF(ISBLANK('ENGAGEMENTS 2026'!C1792),"",IF('ENGAGEMENTS 2026'!C1792="DTSI","DCT",'ENGAGEMENTS 2026'!C1792))</f>
        <v/>
      </c>
      <c r="B1792">
        <f>IF(ISBLANK('ENGAGEMENTS 2026'!C1792),"",'ENGAGEMENTS 2026'!D1792)</f>
        <v/>
      </c>
      <c r="C1792">
        <f>IF(ISBLANK('ENGAGEMENTS 2026'!C1792),"",'ENGAGEMENTS 2026'!E1792)</f>
        <v/>
      </c>
      <c r="D1792">
        <f>IF(ISBLANK('ENGAGEMENTS 2026'!C1792),"",'ENGAGEMENTS 2026'!G1792)</f>
        <v/>
      </c>
      <c r="E1792">
        <f>IF(ISBLANK('ENGAGEMENTS 2026'!C1792),"",'ENGAGEMENTS 2026'!I1792)</f>
        <v/>
      </c>
      <c r="F1792">
        <f>IF(ISBLANK('ENGAGEMENTS 2026'!C1792),"",'ENGAGEMENTS 2026'!J1792)</f>
        <v/>
      </c>
      <c r="G1792">
        <f>IF(ISBLANK('ENGAGEMENTS 2026'!C1792),"",'ENGAGEMENTS 2026'!M1792)</f>
        <v/>
      </c>
      <c r="H1792">
        <f>IF(ISBLANK('ENGAGEMENTS 2026'!C1792),"",'ENGAGEMENTS 2026'!AF1792)</f>
        <v/>
      </c>
      <c r="I1792">
        <f>IF(ISBLANK('ENGAGEMENTS 2026'!C1792),"",'ENGAGEMENTS 2026'!H1792)</f>
        <v/>
      </c>
      <c r="J1792" s="275">
        <f>IF(ISBLANK('ENGAGEMENTS 2026'!C1792),"",IF(AND(OR($E1792="INFRUCTUEUX",$E1792="ANNULE"),$C1792="AOO-M"),'ENGAGEMENTS 2026'!P1792,IF($H1792="EN COURS DE PREENGAGEMENT",'ENGAGEMENTS 2026'!O1792,IF($H1792="PREENGAGE",IF($E1792="ATTRIBUE",'ENGAGEMENTS 2026'!AE1792,'ENGAGEMENTS 2026'!O1792),'ENGAGEMENTS 2026'!AE1792))))</f>
        <v/>
      </c>
      <c r="K1792" s="604">
        <f>IF(ISBLANK('ENGAGEMENTS 2026'!W1792),"",'ENGAGEMENTS 2026'!W1792)</f>
        <v/>
      </c>
      <c r="L1792" s="276">
        <f>IF($K1792="","",TODAY()-$K1792)</f>
        <v/>
      </c>
      <c r="M1792">
        <f>IF($A1792="","",IF($H1792="ENGAGE","Engagé",IF(AND($H1792="NON ENGAGE",OR($I1792="INFRUCTUEUX",$I1792="ANNULE")),"Clôturé sans suite","En cours")))</f>
        <v/>
      </c>
      <c r="N1792">
        <f>IF(ISBLANK('ENGAGEMENTS 2026'!C1792),"",'ENGAGEMENTS 2026'!L1792)</f>
        <v/>
      </c>
      <c r="O1792">
        <f>IF(ISBLANK('ENGAGEMENTS 2026'!C1792),"",'ENGAGEMENTS 2026'!M1792)</f>
        <v/>
      </c>
      <c r="P1792">
        <f>IF(ISBLANK('ENGAGEMENTS 2026'!C1792),"",'ENGAGEMENTS 2026'!K1792)</f>
        <v/>
      </c>
      <c r="Q1792">
        <f>IF($A1792="","",IF(OR($E1792="INFRUCTUEUX",$E1792="ANNULE"),$A1792&amp;"|"&amp;(COUNTIFS($A$2:$A1792,$A1792,$E$2:$E1792,"INFRUCTUEUX")+COUNTIFS($A$2:$A1792,$A1792,$E$2:$E1792,"ANNULE")),""))</f>
        <v/>
      </c>
    </row>
    <row r="1793">
      <c r="A1793">
        <f>IF(ISBLANK('ENGAGEMENTS 2026'!C1793),"",IF('ENGAGEMENTS 2026'!C1793="DTSI","DCT",'ENGAGEMENTS 2026'!C1793))</f>
        <v/>
      </c>
      <c r="B1793">
        <f>IF(ISBLANK('ENGAGEMENTS 2026'!C1793),"",'ENGAGEMENTS 2026'!D1793)</f>
        <v/>
      </c>
      <c r="C1793">
        <f>IF(ISBLANK('ENGAGEMENTS 2026'!C1793),"",'ENGAGEMENTS 2026'!E1793)</f>
        <v/>
      </c>
      <c r="D1793">
        <f>IF(ISBLANK('ENGAGEMENTS 2026'!C1793),"",'ENGAGEMENTS 2026'!G1793)</f>
        <v/>
      </c>
      <c r="E1793">
        <f>IF(ISBLANK('ENGAGEMENTS 2026'!C1793),"",'ENGAGEMENTS 2026'!I1793)</f>
        <v/>
      </c>
      <c r="F1793">
        <f>IF(ISBLANK('ENGAGEMENTS 2026'!C1793),"",'ENGAGEMENTS 2026'!J1793)</f>
        <v/>
      </c>
      <c r="G1793">
        <f>IF(ISBLANK('ENGAGEMENTS 2026'!C1793),"",'ENGAGEMENTS 2026'!M1793)</f>
        <v/>
      </c>
      <c r="H1793">
        <f>IF(ISBLANK('ENGAGEMENTS 2026'!C1793),"",'ENGAGEMENTS 2026'!AF1793)</f>
        <v/>
      </c>
      <c r="I1793">
        <f>IF(ISBLANK('ENGAGEMENTS 2026'!C1793),"",'ENGAGEMENTS 2026'!H1793)</f>
        <v/>
      </c>
      <c r="J1793" s="275">
        <f>IF(ISBLANK('ENGAGEMENTS 2026'!C1793),"",IF(AND(OR($E1793="INFRUCTUEUX",$E1793="ANNULE"),$C1793="AOO-M"),'ENGAGEMENTS 2026'!P1793,IF($H1793="EN COURS DE PREENGAGEMENT",'ENGAGEMENTS 2026'!O1793,IF($H1793="PREENGAGE",IF($E1793="ATTRIBUE",'ENGAGEMENTS 2026'!AE1793,'ENGAGEMENTS 2026'!O1793),'ENGAGEMENTS 2026'!AE1793))))</f>
        <v/>
      </c>
      <c r="K1793" s="604">
        <f>IF(ISBLANK('ENGAGEMENTS 2026'!W1793),"",'ENGAGEMENTS 2026'!W1793)</f>
        <v/>
      </c>
      <c r="L1793" s="276">
        <f>IF($K1793="","",TODAY()-$K1793)</f>
        <v/>
      </c>
      <c r="M1793">
        <f>IF($A1793="","",IF($H1793="ENGAGE","Engagé",IF(AND($H1793="NON ENGAGE",OR($I1793="INFRUCTUEUX",$I1793="ANNULE")),"Clôturé sans suite","En cours")))</f>
        <v/>
      </c>
      <c r="N1793">
        <f>IF(ISBLANK('ENGAGEMENTS 2026'!C1793),"",'ENGAGEMENTS 2026'!L1793)</f>
        <v/>
      </c>
      <c r="O1793">
        <f>IF(ISBLANK('ENGAGEMENTS 2026'!C1793),"",'ENGAGEMENTS 2026'!M1793)</f>
        <v/>
      </c>
      <c r="P1793">
        <f>IF(ISBLANK('ENGAGEMENTS 2026'!C1793),"",'ENGAGEMENTS 2026'!K1793)</f>
        <v/>
      </c>
      <c r="Q1793">
        <f>IF($A1793="","",IF(OR($E1793="INFRUCTUEUX",$E1793="ANNULE"),$A1793&amp;"|"&amp;(COUNTIFS($A$2:$A1793,$A1793,$E$2:$E1793,"INFRUCTUEUX")+COUNTIFS($A$2:$A1793,$A1793,$E$2:$E1793,"ANNULE")),""))</f>
        <v/>
      </c>
    </row>
    <row r="1794">
      <c r="A1794">
        <f>IF(ISBLANK('ENGAGEMENTS 2026'!C1794),"",IF('ENGAGEMENTS 2026'!C1794="DTSI","DCT",'ENGAGEMENTS 2026'!C1794))</f>
        <v/>
      </c>
      <c r="B1794">
        <f>IF(ISBLANK('ENGAGEMENTS 2026'!C1794),"",'ENGAGEMENTS 2026'!D1794)</f>
        <v/>
      </c>
      <c r="C1794">
        <f>IF(ISBLANK('ENGAGEMENTS 2026'!C1794),"",'ENGAGEMENTS 2026'!E1794)</f>
        <v/>
      </c>
      <c r="D1794">
        <f>IF(ISBLANK('ENGAGEMENTS 2026'!C1794),"",'ENGAGEMENTS 2026'!G1794)</f>
        <v/>
      </c>
      <c r="E1794">
        <f>IF(ISBLANK('ENGAGEMENTS 2026'!C1794),"",'ENGAGEMENTS 2026'!I1794)</f>
        <v/>
      </c>
      <c r="F1794">
        <f>IF(ISBLANK('ENGAGEMENTS 2026'!C1794),"",'ENGAGEMENTS 2026'!J1794)</f>
        <v/>
      </c>
      <c r="G1794">
        <f>IF(ISBLANK('ENGAGEMENTS 2026'!C1794),"",'ENGAGEMENTS 2026'!M1794)</f>
        <v/>
      </c>
      <c r="H1794">
        <f>IF(ISBLANK('ENGAGEMENTS 2026'!C1794),"",'ENGAGEMENTS 2026'!AF1794)</f>
        <v/>
      </c>
      <c r="I1794">
        <f>IF(ISBLANK('ENGAGEMENTS 2026'!C1794),"",'ENGAGEMENTS 2026'!H1794)</f>
        <v/>
      </c>
      <c r="J1794" s="275">
        <f>IF(ISBLANK('ENGAGEMENTS 2026'!C1794),"",IF(AND(OR($E1794="INFRUCTUEUX",$E1794="ANNULE"),$C1794="AOO-M"),'ENGAGEMENTS 2026'!P1794,IF($H1794="EN COURS DE PREENGAGEMENT",'ENGAGEMENTS 2026'!O1794,IF($H1794="PREENGAGE",IF($E1794="ATTRIBUE",'ENGAGEMENTS 2026'!AE1794,'ENGAGEMENTS 2026'!O1794),'ENGAGEMENTS 2026'!AE1794))))</f>
        <v/>
      </c>
      <c r="K1794" s="604">
        <f>IF(ISBLANK('ENGAGEMENTS 2026'!W1794),"",'ENGAGEMENTS 2026'!W1794)</f>
        <v/>
      </c>
      <c r="L1794" s="276">
        <f>IF($K1794="","",TODAY()-$K1794)</f>
        <v/>
      </c>
      <c r="M1794">
        <f>IF($A1794="","",IF($H1794="ENGAGE","Engagé",IF(AND($H1794="NON ENGAGE",OR($I1794="INFRUCTUEUX",$I1794="ANNULE")),"Clôturé sans suite","En cours")))</f>
        <v/>
      </c>
      <c r="N1794">
        <f>IF(ISBLANK('ENGAGEMENTS 2026'!C1794),"",'ENGAGEMENTS 2026'!L1794)</f>
        <v/>
      </c>
      <c r="O1794">
        <f>IF(ISBLANK('ENGAGEMENTS 2026'!C1794),"",'ENGAGEMENTS 2026'!M1794)</f>
        <v/>
      </c>
      <c r="P1794">
        <f>IF(ISBLANK('ENGAGEMENTS 2026'!C1794),"",'ENGAGEMENTS 2026'!K1794)</f>
        <v/>
      </c>
      <c r="Q1794">
        <f>IF($A1794="","",IF(OR($E1794="INFRUCTUEUX",$E1794="ANNULE"),$A1794&amp;"|"&amp;(COUNTIFS($A$2:$A1794,$A1794,$E$2:$E1794,"INFRUCTUEUX")+COUNTIFS($A$2:$A1794,$A1794,$E$2:$E1794,"ANNULE")),""))</f>
        <v/>
      </c>
    </row>
    <row r="1795">
      <c r="A1795">
        <f>IF(ISBLANK('ENGAGEMENTS 2026'!C1795),"",IF('ENGAGEMENTS 2026'!C1795="DTSI","DCT",'ENGAGEMENTS 2026'!C1795))</f>
        <v/>
      </c>
      <c r="B1795">
        <f>IF(ISBLANK('ENGAGEMENTS 2026'!C1795),"",'ENGAGEMENTS 2026'!D1795)</f>
        <v/>
      </c>
      <c r="C1795">
        <f>IF(ISBLANK('ENGAGEMENTS 2026'!C1795),"",'ENGAGEMENTS 2026'!E1795)</f>
        <v/>
      </c>
      <c r="D1795">
        <f>IF(ISBLANK('ENGAGEMENTS 2026'!C1795),"",'ENGAGEMENTS 2026'!G1795)</f>
        <v/>
      </c>
      <c r="E1795">
        <f>IF(ISBLANK('ENGAGEMENTS 2026'!C1795),"",'ENGAGEMENTS 2026'!I1795)</f>
        <v/>
      </c>
      <c r="F1795">
        <f>IF(ISBLANK('ENGAGEMENTS 2026'!C1795),"",'ENGAGEMENTS 2026'!J1795)</f>
        <v/>
      </c>
      <c r="G1795">
        <f>IF(ISBLANK('ENGAGEMENTS 2026'!C1795),"",'ENGAGEMENTS 2026'!M1795)</f>
        <v/>
      </c>
      <c r="H1795">
        <f>IF(ISBLANK('ENGAGEMENTS 2026'!C1795),"",'ENGAGEMENTS 2026'!AF1795)</f>
        <v/>
      </c>
      <c r="I1795">
        <f>IF(ISBLANK('ENGAGEMENTS 2026'!C1795),"",'ENGAGEMENTS 2026'!H1795)</f>
        <v/>
      </c>
      <c r="J1795" s="275">
        <f>IF(ISBLANK('ENGAGEMENTS 2026'!C1795),"",IF(AND(OR($E1795="INFRUCTUEUX",$E1795="ANNULE"),$C1795="AOO-M"),'ENGAGEMENTS 2026'!P1795,IF($H1795="EN COURS DE PREENGAGEMENT",'ENGAGEMENTS 2026'!O1795,IF($H1795="PREENGAGE",IF($E1795="ATTRIBUE",'ENGAGEMENTS 2026'!AE1795,'ENGAGEMENTS 2026'!O1795),'ENGAGEMENTS 2026'!AE1795))))</f>
        <v/>
      </c>
      <c r="K1795" s="604">
        <f>IF(ISBLANK('ENGAGEMENTS 2026'!W1795),"",'ENGAGEMENTS 2026'!W1795)</f>
        <v/>
      </c>
      <c r="L1795" s="276">
        <f>IF($K1795="","",TODAY()-$K1795)</f>
        <v/>
      </c>
      <c r="M1795">
        <f>IF($A1795="","",IF($H1795="ENGAGE","Engagé",IF(AND($H1795="NON ENGAGE",OR($I1795="INFRUCTUEUX",$I1795="ANNULE")),"Clôturé sans suite","En cours")))</f>
        <v/>
      </c>
      <c r="N1795">
        <f>IF(ISBLANK('ENGAGEMENTS 2026'!C1795),"",'ENGAGEMENTS 2026'!L1795)</f>
        <v/>
      </c>
      <c r="O1795">
        <f>IF(ISBLANK('ENGAGEMENTS 2026'!C1795),"",'ENGAGEMENTS 2026'!M1795)</f>
        <v/>
      </c>
      <c r="P1795">
        <f>IF(ISBLANK('ENGAGEMENTS 2026'!C1795),"",'ENGAGEMENTS 2026'!K1795)</f>
        <v/>
      </c>
      <c r="Q1795">
        <f>IF($A1795="","",IF(OR($E1795="INFRUCTUEUX",$E1795="ANNULE"),$A1795&amp;"|"&amp;(COUNTIFS($A$2:$A1795,$A1795,$E$2:$E1795,"INFRUCTUEUX")+COUNTIFS($A$2:$A1795,$A1795,$E$2:$E1795,"ANNULE")),""))</f>
        <v/>
      </c>
    </row>
    <row r="1796">
      <c r="A1796">
        <f>IF(ISBLANK('ENGAGEMENTS 2026'!C1796),"",IF('ENGAGEMENTS 2026'!C1796="DTSI","DCT",'ENGAGEMENTS 2026'!C1796))</f>
        <v/>
      </c>
      <c r="B1796">
        <f>IF(ISBLANK('ENGAGEMENTS 2026'!C1796),"",'ENGAGEMENTS 2026'!D1796)</f>
        <v/>
      </c>
      <c r="C1796">
        <f>IF(ISBLANK('ENGAGEMENTS 2026'!C1796),"",'ENGAGEMENTS 2026'!E1796)</f>
        <v/>
      </c>
      <c r="D1796">
        <f>IF(ISBLANK('ENGAGEMENTS 2026'!C1796),"",'ENGAGEMENTS 2026'!G1796)</f>
        <v/>
      </c>
      <c r="E1796">
        <f>IF(ISBLANK('ENGAGEMENTS 2026'!C1796),"",'ENGAGEMENTS 2026'!I1796)</f>
        <v/>
      </c>
      <c r="F1796">
        <f>IF(ISBLANK('ENGAGEMENTS 2026'!C1796),"",'ENGAGEMENTS 2026'!J1796)</f>
        <v/>
      </c>
      <c r="G1796">
        <f>IF(ISBLANK('ENGAGEMENTS 2026'!C1796),"",'ENGAGEMENTS 2026'!M1796)</f>
        <v/>
      </c>
      <c r="H1796">
        <f>IF(ISBLANK('ENGAGEMENTS 2026'!C1796),"",'ENGAGEMENTS 2026'!AF1796)</f>
        <v/>
      </c>
      <c r="I1796">
        <f>IF(ISBLANK('ENGAGEMENTS 2026'!C1796),"",'ENGAGEMENTS 2026'!H1796)</f>
        <v/>
      </c>
      <c r="J1796" s="275">
        <f>IF(ISBLANK('ENGAGEMENTS 2026'!C1796),"",IF(AND(OR($E1796="INFRUCTUEUX",$E1796="ANNULE"),$C1796="AOO-M"),'ENGAGEMENTS 2026'!P1796,IF($H1796="EN COURS DE PREENGAGEMENT",'ENGAGEMENTS 2026'!O1796,IF($H1796="PREENGAGE",IF($E1796="ATTRIBUE",'ENGAGEMENTS 2026'!AE1796,'ENGAGEMENTS 2026'!O1796),'ENGAGEMENTS 2026'!AE1796))))</f>
        <v/>
      </c>
      <c r="K1796" s="604">
        <f>IF(ISBLANK('ENGAGEMENTS 2026'!W1796),"",'ENGAGEMENTS 2026'!W1796)</f>
        <v/>
      </c>
      <c r="L1796" s="276">
        <f>IF($K1796="","",TODAY()-$K1796)</f>
        <v/>
      </c>
      <c r="M1796">
        <f>IF($A1796="","",IF($H1796="ENGAGE","Engagé",IF(AND($H1796="NON ENGAGE",OR($I1796="INFRUCTUEUX",$I1796="ANNULE")),"Clôturé sans suite","En cours")))</f>
        <v/>
      </c>
      <c r="N1796">
        <f>IF(ISBLANK('ENGAGEMENTS 2026'!C1796),"",'ENGAGEMENTS 2026'!L1796)</f>
        <v/>
      </c>
      <c r="O1796">
        <f>IF(ISBLANK('ENGAGEMENTS 2026'!C1796),"",'ENGAGEMENTS 2026'!M1796)</f>
        <v/>
      </c>
      <c r="P1796">
        <f>IF(ISBLANK('ENGAGEMENTS 2026'!C1796),"",'ENGAGEMENTS 2026'!K1796)</f>
        <v/>
      </c>
      <c r="Q1796">
        <f>IF($A1796="","",IF(OR($E1796="INFRUCTUEUX",$E1796="ANNULE"),$A1796&amp;"|"&amp;(COUNTIFS($A$2:$A1796,$A1796,$E$2:$E1796,"INFRUCTUEUX")+COUNTIFS($A$2:$A1796,$A1796,$E$2:$E1796,"ANNULE")),""))</f>
        <v/>
      </c>
    </row>
    <row r="1797">
      <c r="A1797">
        <f>IF(ISBLANK('ENGAGEMENTS 2026'!C1797),"",IF('ENGAGEMENTS 2026'!C1797="DTSI","DCT",'ENGAGEMENTS 2026'!C1797))</f>
        <v/>
      </c>
      <c r="B1797">
        <f>IF(ISBLANK('ENGAGEMENTS 2026'!C1797),"",'ENGAGEMENTS 2026'!D1797)</f>
        <v/>
      </c>
      <c r="C1797">
        <f>IF(ISBLANK('ENGAGEMENTS 2026'!C1797),"",'ENGAGEMENTS 2026'!E1797)</f>
        <v/>
      </c>
      <c r="D1797">
        <f>IF(ISBLANK('ENGAGEMENTS 2026'!C1797),"",'ENGAGEMENTS 2026'!G1797)</f>
        <v/>
      </c>
      <c r="E1797">
        <f>IF(ISBLANK('ENGAGEMENTS 2026'!C1797),"",'ENGAGEMENTS 2026'!I1797)</f>
        <v/>
      </c>
      <c r="F1797">
        <f>IF(ISBLANK('ENGAGEMENTS 2026'!C1797),"",'ENGAGEMENTS 2026'!J1797)</f>
        <v/>
      </c>
      <c r="G1797">
        <f>IF(ISBLANK('ENGAGEMENTS 2026'!C1797),"",'ENGAGEMENTS 2026'!M1797)</f>
        <v/>
      </c>
      <c r="H1797">
        <f>IF(ISBLANK('ENGAGEMENTS 2026'!C1797),"",'ENGAGEMENTS 2026'!AF1797)</f>
        <v/>
      </c>
      <c r="I1797">
        <f>IF(ISBLANK('ENGAGEMENTS 2026'!C1797),"",'ENGAGEMENTS 2026'!H1797)</f>
        <v/>
      </c>
      <c r="J1797" s="275">
        <f>IF(ISBLANK('ENGAGEMENTS 2026'!C1797),"",IF(AND(OR($E1797="INFRUCTUEUX",$E1797="ANNULE"),$C1797="AOO-M"),'ENGAGEMENTS 2026'!P1797,IF($H1797="EN COURS DE PREENGAGEMENT",'ENGAGEMENTS 2026'!O1797,IF($H1797="PREENGAGE",IF($E1797="ATTRIBUE",'ENGAGEMENTS 2026'!AE1797,'ENGAGEMENTS 2026'!O1797),'ENGAGEMENTS 2026'!AE1797))))</f>
        <v/>
      </c>
      <c r="K1797" s="604">
        <f>IF(ISBLANK('ENGAGEMENTS 2026'!W1797),"",'ENGAGEMENTS 2026'!W1797)</f>
        <v/>
      </c>
      <c r="L1797" s="276">
        <f>IF($K1797="","",TODAY()-$K1797)</f>
        <v/>
      </c>
      <c r="M1797">
        <f>IF($A1797="","",IF($H1797="ENGAGE","Engagé",IF(AND($H1797="NON ENGAGE",OR($I1797="INFRUCTUEUX",$I1797="ANNULE")),"Clôturé sans suite","En cours")))</f>
        <v/>
      </c>
      <c r="N1797">
        <f>IF(ISBLANK('ENGAGEMENTS 2026'!C1797),"",'ENGAGEMENTS 2026'!L1797)</f>
        <v/>
      </c>
      <c r="O1797">
        <f>IF(ISBLANK('ENGAGEMENTS 2026'!C1797),"",'ENGAGEMENTS 2026'!M1797)</f>
        <v/>
      </c>
      <c r="P1797">
        <f>IF(ISBLANK('ENGAGEMENTS 2026'!C1797),"",'ENGAGEMENTS 2026'!K1797)</f>
        <v/>
      </c>
      <c r="Q1797">
        <f>IF($A1797="","",IF(OR($E1797="INFRUCTUEUX",$E1797="ANNULE"),$A1797&amp;"|"&amp;(COUNTIFS($A$2:$A1797,$A1797,$E$2:$E1797,"INFRUCTUEUX")+COUNTIFS($A$2:$A1797,$A1797,$E$2:$E1797,"ANNULE")),""))</f>
        <v/>
      </c>
    </row>
    <row r="1798">
      <c r="A1798">
        <f>IF(ISBLANK('ENGAGEMENTS 2026'!C1798),"",IF('ENGAGEMENTS 2026'!C1798="DTSI","DCT",'ENGAGEMENTS 2026'!C1798))</f>
        <v/>
      </c>
      <c r="B1798">
        <f>IF(ISBLANK('ENGAGEMENTS 2026'!C1798),"",'ENGAGEMENTS 2026'!D1798)</f>
        <v/>
      </c>
      <c r="C1798">
        <f>IF(ISBLANK('ENGAGEMENTS 2026'!C1798),"",'ENGAGEMENTS 2026'!E1798)</f>
        <v/>
      </c>
      <c r="D1798">
        <f>IF(ISBLANK('ENGAGEMENTS 2026'!C1798),"",'ENGAGEMENTS 2026'!G1798)</f>
        <v/>
      </c>
      <c r="E1798">
        <f>IF(ISBLANK('ENGAGEMENTS 2026'!C1798),"",'ENGAGEMENTS 2026'!I1798)</f>
        <v/>
      </c>
      <c r="F1798">
        <f>IF(ISBLANK('ENGAGEMENTS 2026'!C1798),"",'ENGAGEMENTS 2026'!J1798)</f>
        <v/>
      </c>
      <c r="G1798">
        <f>IF(ISBLANK('ENGAGEMENTS 2026'!C1798),"",'ENGAGEMENTS 2026'!M1798)</f>
        <v/>
      </c>
      <c r="H1798">
        <f>IF(ISBLANK('ENGAGEMENTS 2026'!C1798),"",'ENGAGEMENTS 2026'!AF1798)</f>
        <v/>
      </c>
      <c r="I1798">
        <f>IF(ISBLANK('ENGAGEMENTS 2026'!C1798),"",'ENGAGEMENTS 2026'!H1798)</f>
        <v/>
      </c>
      <c r="J1798" s="275">
        <f>IF(ISBLANK('ENGAGEMENTS 2026'!C1798),"",IF(AND(OR($E1798="INFRUCTUEUX",$E1798="ANNULE"),$C1798="AOO-M"),'ENGAGEMENTS 2026'!P1798,IF($H1798="EN COURS DE PREENGAGEMENT",'ENGAGEMENTS 2026'!O1798,IF($H1798="PREENGAGE",IF($E1798="ATTRIBUE",'ENGAGEMENTS 2026'!AE1798,'ENGAGEMENTS 2026'!O1798),'ENGAGEMENTS 2026'!AE1798))))</f>
        <v/>
      </c>
      <c r="K1798" s="604">
        <f>IF(ISBLANK('ENGAGEMENTS 2026'!W1798),"",'ENGAGEMENTS 2026'!W1798)</f>
        <v/>
      </c>
      <c r="L1798" s="276">
        <f>IF($K1798="","",TODAY()-$K1798)</f>
        <v/>
      </c>
      <c r="M1798">
        <f>IF($A1798="","",IF($H1798="ENGAGE","Engagé",IF(AND($H1798="NON ENGAGE",OR($I1798="INFRUCTUEUX",$I1798="ANNULE")),"Clôturé sans suite","En cours")))</f>
        <v/>
      </c>
      <c r="N1798">
        <f>IF(ISBLANK('ENGAGEMENTS 2026'!C1798),"",'ENGAGEMENTS 2026'!L1798)</f>
        <v/>
      </c>
      <c r="O1798">
        <f>IF(ISBLANK('ENGAGEMENTS 2026'!C1798),"",'ENGAGEMENTS 2026'!M1798)</f>
        <v/>
      </c>
      <c r="P1798">
        <f>IF(ISBLANK('ENGAGEMENTS 2026'!C1798),"",'ENGAGEMENTS 2026'!K1798)</f>
        <v/>
      </c>
      <c r="Q1798">
        <f>IF($A1798="","",IF(OR($E1798="INFRUCTUEUX",$E1798="ANNULE"),$A1798&amp;"|"&amp;(COUNTIFS($A$2:$A1798,$A1798,$E$2:$E1798,"INFRUCTUEUX")+COUNTIFS($A$2:$A1798,$A1798,$E$2:$E1798,"ANNULE")),""))</f>
        <v/>
      </c>
    </row>
    <row r="1799">
      <c r="A1799">
        <f>IF(ISBLANK('ENGAGEMENTS 2026'!C1799),"",IF('ENGAGEMENTS 2026'!C1799="DTSI","DCT",'ENGAGEMENTS 2026'!C1799))</f>
        <v/>
      </c>
      <c r="B1799">
        <f>IF(ISBLANK('ENGAGEMENTS 2026'!C1799),"",'ENGAGEMENTS 2026'!D1799)</f>
        <v/>
      </c>
      <c r="C1799">
        <f>IF(ISBLANK('ENGAGEMENTS 2026'!C1799),"",'ENGAGEMENTS 2026'!E1799)</f>
        <v/>
      </c>
      <c r="D1799">
        <f>IF(ISBLANK('ENGAGEMENTS 2026'!C1799),"",'ENGAGEMENTS 2026'!G1799)</f>
        <v/>
      </c>
      <c r="E1799">
        <f>IF(ISBLANK('ENGAGEMENTS 2026'!C1799),"",'ENGAGEMENTS 2026'!I1799)</f>
        <v/>
      </c>
      <c r="F1799">
        <f>IF(ISBLANK('ENGAGEMENTS 2026'!C1799),"",'ENGAGEMENTS 2026'!J1799)</f>
        <v/>
      </c>
      <c r="G1799">
        <f>IF(ISBLANK('ENGAGEMENTS 2026'!C1799),"",'ENGAGEMENTS 2026'!M1799)</f>
        <v/>
      </c>
      <c r="H1799">
        <f>IF(ISBLANK('ENGAGEMENTS 2026'!C1799),"",'ENGAGEMENTS 2026'!AF1799)</f>
        <v/>
      </c>
      <c r="I1799">
        <f>IF(ISBLANK('ENGAGEMENTS 2026'!C1799),"",'ENGAGEMENTS 2026'!H1799)</f>
        <v/>
      </c>
      <c r="J1799" s="275">
        <f>IF(ISBLANK('ENGAGEMENTS 2026'!C1799),"",IF(AND(OR($E1799="INFRUCTUEUX",$E1799="ANNULE"),$C1799="AOO-M"),'ENGAGEMENTS 2026'!P1799,IF($H1799="EN COURS DE PREENGAGEMENT",'ENGAGEMENTS 2026'!O1799,IF($H1799="PREENGAGE",IF($E1799="ATTRIBUE",'ENGAGEMENTS 2026'!AE1799,'ENGAGEMENTS 2026'!O1799),'ENGAGEMENTS 2026'!AE1799))))</f>
        <v/>
      </c>
      <c r="K1799" s="604">
        <f>IF(ISBLANK('ENGAGEMENTS 2026'!W1799),"",'ENGAGEMENTS 2026'!W1799)</f>
        <v/>
      </c>
      <c r="L1799" s="276">
        <f>IF($K1799="","",TODAY()-$K1799)</f>
        <v/>
      </c>
      <c r="M1799">
        <f>IF($A1799="","",IF($H1799="ENGAGE","Engagé",IF(AND($H1799="NON ENGAGE",OR($I1799="INFRUCTUEUX",$I1799="ANNULE")),"Clôturé sans suite","En cours")))</f>
        <v/>
      </c>
      <c r="N1799">
        <f>IF(ISBLANK('ENGAGEMENTS 2026'!C1799),"",'ENGAGEMENTS 2026'!L1799)</f>
        <v/>
      </c>
      <c r="O1799">
        <f>IF(ISBLANK('ENGAGEMENTS 2026'!C1799),"",'ENGAGEMENTS 2026'!M1799)</f>
        <v/>
      </c>
      <c r="P1799">
        <f>IF(ISBLANK('ENGAGEMENTS 2026'!C1799),"",'ENGAGEMENTS 2026'!K1799)</f>
        <v/>
      </c>
      <c r="Q1799">
        <f>IF($A1799="","",IF(OR($E1799="INFRUCTUEUX",$E1799="ANNULE"),$A1799&amp;"|"&amp;(COUNTIFS($A$2:$A1799,$A1799,$E$2:$E1799,"INFRUCTUEUX")+COUNTIFS($A$2:$A1799,$A1799,$E$2:$E1799,"ANNULE")),""))</f>
        <v/>
      </c>
    </row>
    <row r="1800">
      <c r="A1800">
        <f>IF(ISBLANK('ENGAGEMENTS 2026'!C1800),"",IF('ENGAGEMENTS 2026'!C1800="DTSI","DCT",'ENGAGEMENTS 2026'!C1800))</f>
        <v/>
      </c>
      <c r="B1800">
        <f>IF(ISBLANK('ENGAGEMENTS 2026'!C1800),"",'ENGAGEMENTS 2026'!D1800)</f>
        <v/>
      </c>
      <c r="C1800">
        <f>IF(ISBLANK('ENGAGEMENTS 2026'!C1800),"",'ENGAGEMENTS 2026'!E1800)</f>
        <v/>
      </c>
      <c r="D1800">
        <f>IF(ISBLANK('ENGAGEMENTS 2026'!C1800),"",'ENGAGEMENTS 2026'!G1800)</f>
        <v/>
      </c>
      <c r="E1800">
        <f>IF(ISBLANK('ENGAGEMENTS 2026'!C1800),"",'ENGAGEMENTS 2026'!I1800)</f>
        <v/>
      </c>
      <c r="F1800">
        <f>IF(ISBLANK('ENGAGEMENTS 2026'!C1800),"",'ENGAGEMENTS 2026'!J1800)</f>
        <v/>
      </c>
      <c r="G1800">
        <f>IF(ISBLANK('ENGAGEMENTS 2026'!C1800),"",'ENGAGEMENTS 2026'!M1800)</f>
        <v/>
      </c>
      <c r="H1800">
        <f>IF(ISBLANK('ENGAGEMENTS 2026'!C1800),"",'ENGAGEMENTS 2026'!AF1800)</f>
        <v/>
      </c>
      <c r="I1800">
        <f>IF(ISBLANK('ENGAGEMENTS 2026'!C1800),"",'ENGAGEMENTS 2026'!H1800)</f>
        <v/>
      </c>
      <c r="J1800" s="275">
        <f>IF(ISBLANK('ENGAGEMENTS 2026'!C1800),"",IF(AND(OR($E1800="INFRUCTUEUX",$E1800="ANNULE"),$C1800="AOO-M"),'ENGAGEMENTS 2026'!P1800,IF($H1800="EN COURS DE PREENGAGEMENT",'ENGAGEMENTS 2026'!O1800,IF($H1800="PREENGAGE",IF($E1800="ATTRIBUE",'ENGAGEMENTS 2026'!AE1800,'ENGAGEMENTS 2026'!O1800),'ENGAGEMENTS 2026'!AE1800))))</f>
        <v/>
      </c>
      <c r="K1800" s="604">
        <f>IF(ISBLANK('ENGAGEMENTS 2026'!W1800),"",'ENGAGEMENTS 2026'!W1800)</f>
        <v/>
      </c>
      <c r="L1800" s="276">
        <f>IF($K1800="","",TODAY()-$K1800)</f>
        <v/>
      </c>
      <c r="M1800">
        <f>IF($A1800="","",IF($H1800="ENGAGE","Engagé",IF(AND($H1800="NON ENGAGE",OR($I1800="INFRUCTUEUX",$I1800="ANNULE")),"Clôturé sans suite","En cours")))</f>
        <v/>
      </c>
      <c r="N1800">
        <f>IF(ISBLANK('ENGAGEMENTS 2026'!C1800),"",'ENGAGEMENTS 2026'!L1800)</f>
        <v/>
      </c>
      <c r="O1800">
        <f>IF(ISBLANK('ENGAGEMENTS 2026'!C1800),"",'ENGAGEMENTS 2026'!M1800)</f>
        <v/>
      </c>
      <c r="P1800">
        <f>IF(ISBLANK('ENGAGEMENTS 2026'!C1800),"",'ENGAGEMENTS 2026'!K1800)</f>
        <v/>
      </c>
      <c r="Q1800">
        <f>IF($A1800="","",IF(OR($E1800="INFRUCTUEUX",$E1800="ANNULE"),$A1800&amp;"|"&amp;(COUNTIFS($A$2:$A1800,$A1800,$E$2:$E1800,"INFRUCTUEUX")+COUNTIFS($A$2:$A1800,$A1800,$E$2:$E1800,"ANNULE")),""))</f>
        <v/>
      </c>
    </row>
    <row r="1801">
      <c r="A1801">
        <f>IF(ISBLANK('ENGAGEMENTS 2026'!C1801),"",IF('ENGAGEMENTS 2026'!C1801="DTSI","DCT",'ENGAGEMENTS 2026'!C1801))</f>
        <v/>
      </c>
      <c r="B1801">
        <f>IF(ISBLANK('ENGAGEMENTS 2026'!C1801),"",'ENGAGEMENTS 2026'!D1801)</f>
        <v/>
      </c>
      <c r="C1801">
        <f>IF(ISBLANK('ENGAGEMENTS 2026'!C1801),"",'ENGAGEMENTS 2026'!E1801)</f>
        <v/>
      </c>
      <c r="D1801">
        <f>IF(ISBLANK('ENGAGEMENTS 2026'!C1801),"",'ENGAGEMENTS 2026'!G1801)</f>
        <v/>
      </c>
      <c r="E1801">
        <f>IF(ISBLANK('ENGAGEMENTS 2026'!C1801),"",'ENGAGEMENTS 2026'!I1801)</f>
        <v/>
      </c>
      <c r="F1801">
        <f>IF(ISBLANK('ENGAGEMENTS 2026'!C1801),"",'ENGAGEMENTS 2026'!J1801)</f>
        <v/>
      </c>
      <c r="G1801">
        <f>IF(ISBLANK('ENGAGEMENTS 2026'!C1801),"",'ENGAGEMENTS 2026'!M1801)</f>
        <v/>
      </c>
      <c r="H1801">
        <f>IF(ISBLANK('ENGAGEMENTS 2026'!C1801),"",'ENGAGEMENTS 2026'!AF1801)</f>
        <v/>
      </c>
      <c r="I1801">
        <f>IF(ISBLANK('ENGAGEMENTS 2026'!C1801),"",'ENGAGEMENTS 2026'!H1801)</f>
        <v/>
      </c>
      <c r="J1801" s="275">
        <f>IF(ISBLANK('ENGAGEMENTS 2026'!C1801),"",IF(AND(OR($E1801="INFRUCTUEUX",$E1801="ANNULE"),$C1801="AOO-M"),'ENGAGEMENTS 2026'!P1801,IF($H1801="EN COURS DE PREENGAGEMENT",'ENGAGEMENTS 2026'!O1801,IF($H1801="PREENGAGE",IF($E1801="ATTRIBUE",'ENGAGEMENTS 2026'!AE1801,'ENGAGEMENTS 2026'!O1801),'ENGAGEMENTS 2026'!AE1801))))</f>
        <v/>
      </c>
      <c r="K1801" s="604">
        <f>IF(ISBLANK('ENGAGEMENTS 2026'!W1801),"",'ENGAGEMENTS 2026'!W1801)</f>
        <v/>
      </c>
      <c r="L1801" s="276">
        <f>IF($K1801="","",TODAY()-$K1801)</f>
        <v/>
      </c>
      <c r="M1801">
        <f>IF($A1801="","",IF($H1801="ENGAGE","Engagé",IF(AND($H1801="NON ENGAGE",OR($I1801="INFRUCTUEUX",$I1801="ANNULE")),"Clôturé sans suite","En cours")))</f>
        <v/>
      </c>
      <c r="N1801">
        <f>IF(ISBLANK('ENGAGEMENTS 2026'!C1801),"",'ENGAGEMENTS 2026'!L1801)</f>
        <v/>
      </c>
      <c r="O1801">
        <f>IF(ISBLANK('ENGAGEMENTS 2026'!C1801),"",'ENGAGEMENTS 2026'!M1801)</f>
        <v/>
      </c>
      <c r="P1801">
        <f>IF(ISBLANK('ENGAGEMENTS 2026'!C1801),"",'ENGAGEMENTS 2026'!K1801)</f>
        <v/>
      </c>
      <c r="Q1801">
        <f>IF($A1801="","",IF(OR($E1801="INFRUCTUEUX",$E1801="ANNULE"),$A1801&amp;"|"&amp;(COUNTIFS($A$2:$A1801,$A1801,$E$2:$E1801,"INFRUCTUEUX")+COUNTIFS($A$2:$A1801,$A1801,$E$2:$E1801,"ANNULE")),""))</f>
        <v/>
      </c>
    </row>
    <row r="1802">
      <c r="A1802">
        <f>IF(ISBLANK('ENGAGEMENTS 2026'!C1802),"",IF('ENGAGEMENTS 2026'!C1802="DTSI","DCT",'ENGAGEMENTS 2026'!C1802))</f>
        <v/>
      </c>
      <c r="B1802">
        <f>IF(ISBLANK('ENGAGEMENTS 2026'!C1802),"",'ENGAGEMENTS 2026'!D1802)</f>
        <v/>
      </c>
      <c r="C1802">
        <f>IF(ISBLANK('ENGAGEMENTS 2026'!C1802),"",'ENGAGEMENTS 2026'!E1802)</f>
        <v/>
      </c>
      <c r="D1802">
        <f>IF(ISBLANK('ENGAGEMENTS 2026'!C1802),"",'ENGAGEMENTS 2026'!G1802)</f>
        <v/>
      </c>
      <c r="E1802">
        <f>IF(ISBLANK('ENGAGEMENTS 2026'!C1802),"",'ENGAGEMENTS 2026'!I1802)</f>
        <v/>
      </c>
      <c r="F1802">
        <f>IF(ISBLANK('ENGAGEMENTS 2026'!C1802),"",'ENGAGEMENTS 2026'!J1802)</f>
        <v/>
      </c>
      <c r="G1802">
        <f>IF(ISBLANK('ENGAGEMENTS 2026'!C1802),"",'ENGAGEMENTS 2026'!M1802)</f>
        <v/>
      </c>
      <c r="H1802">
        <f>IF(ISBLANK('ENGAGEMENTS 2026'!C1802),"",'ENGAGEMENTS 2026'!AF1802)</f>
        <v/>
      </c>
      <c r="I1802">
        <f>IF(ISBLANK('ENGAGEMENTS 2026'!C1802),"",'ENGAGEMENTS 2026'!H1802)</f>
        <v/>
      </c>
      <c r="J1802" s="275">
        <f>IF(ISBLANK('ENGAGEMENTS 2026'!C1802),"",IF(AND(OR($E1802="INFRUCTUEUX",$E1802="ANNULE"),$C1802="AOO-M"),'ENGAGEMENTS 2026'!P1802,IF($H1802="EN COURS DE PREENGAGEMENT",'ENGAGEMENTS 2026'!O1802,IF($H1802="PREENGAGE",IF($E1802="ATTRIBUE",'ENGAGEMENTS 2026'!AE1802,'ENGAGEMENTS 2026'!O1802),'ENGAGEMENTS 2026'!AE1802))))</f>
        <v/>
      </c>
      <c r="K1802" s="604">
        <f>IF(ISBLANK('ENGAGEMENTS 2026'!W1802),"",'ENGAGEMENTS 2026'!W1802)</f>
        <v/>
      </c>
      <c r="L1802" s="276">
        <f>IF($K1802="","",TODAY()-$K1802)</f>
        <v/>
      </c>
      <c r="M1802">
        <f>IF($A1802="","",IF($H1802="ENGAGE","Engagé",IF(AND($H1802="NON ENGAGE",OR($I1802="INFRUCTUEUX",$I1802="ANNULE")),"Clôturé sans suite","En cours")))</f>
        <v/>
      </c>
      <c r="N1802">
        <f>IF(ISBLANK('ENGAGEMENTS 2026'!C1802),"",'ENGAGEMENTS 2026'!L1802)</f>
        <v/>
      </c>
      <c r="O1802">
        <f>IF(ISBLANK('ENGAGEMENTS 2026'!C1802),"",'ENGAGEMENTS 2026'!M1802)</f>
        <v/>
      </c>
      <c r="P1802">
        <f>IF(ISBLANK('ENGAGEMENTS 2026'!C1802),"",'ENGAGEMENTS 2026'!K1802)</f>
        <v/>
      </c>
      <c r="Q1802">
        <f>IF($A1802="","",IF(OR($E1802="INFRUCTUEUX",$E1802="ANNULE"),$A1802&amp;"|"&amp;(COUNTIFS($A$2:$A1802,$A1802,$E$2:$E1802,"INFRUCTUEUX")+COUNTIFS($A$2:$A1802,$A1802,$E$2:$E1802,"ANNULE")),""))</f>
        <v/>
      </c>
    </row>
    <row r="1803">
      <c r="A1803">
        <f>IF(ISBLANK('ENGAGEMENTS 2026'!C1803),"",IF('ENGAGEMENTS 2026'!C1803="DTSI","DCT",'ENGAGEMENTS 2026'!C1803))</f>
        <v/>
      </c>
      <c r="B1803">
        <f>IF(ISBLANK('ENGAGEMENTS 2026'!C1803),"",'ENGAGEMENTS 2026'!D1803)</f>
        <v/>
      </c>
      <c r="C1803">
        <f>IF(ISBLANK('ENGAGEMENTS 2026'!C1803),"",'ENGAGEMENTS 2026'!E1803)</f>
        <v/>
      </c>
      <c r="D1803">
        <f>IF(ISBLANK('ENGAGEMENTS 2026'!C1803),"",'ENGAGEMENTS 2026'!G1803)</f>
        <v/>
      </c>
      <c r="E1803">
        <f>IF(ISBLANK('ENGAGEMENTS 2026'!C1803),"",'ENGAGEMENTS 2026'!I1803)</f>
        <v/>
      </c>
      <c r="F1803">
        <f>IF(ISBLANK('ENGAGEMENTS 2026'!C1803),"",'ENGAGEMENTS 2026'!J1803)</f>
        <v/>
      </c>
      <c r="G1803">
        <f>IF(ISBLANK('ENGAGEMENTS 2026'!C1803),"",'ENGAGEMENTS 2026'!M1803)</f>
        <v/>
      </c>
      <c r="H1803">
        <f>IF(ISBLANK('ENGAGEMENTS 2026'!C1803),"",'ENGAGEMENTS 2026'!AF1803)</f>
        <v/>
      </c>
      <c r="I1803">
        <f>IF(ISBLANK('ENGAGEMENTS 2026'!C1803),"",'ENGAGEMENTS 2026'!H1803)</f>
        <v/>
      </c>
      <c r="J1803" s="275">
        <f>IF(ISBLANK('ENGAGEMENTS 2026'!C1803),"",IF(AND(OR($E1803="INFRUCTUEUX",$E1803="ANNULE"),$C1803="AOO-M"),'ENGAGEMENTS 2026'!P1803,IF($H1803="EN COURS DE PREENGAGEMENT",'ENGAGEMENTS 2026'!O1803,IF($H1803="PREENGAGE",IF($E1803="ATTRIBUE",'ENGAGEMENTS 2026'!AE1803,'ENGAGEMENTS 2026'!O1803),'ENGAGEMENTS 2026'!AE1803))))</f>
        <v/>
      </c>
      <c r="K1803" s="604">
        <f>IF(ISBLANK('ENGAGEMENTS 2026'!W1803),"",'ENGAGEMENTS 2026'!W1803)</f>
        <v/>
      </c>
      <c r="L1803" s="276">
        <f>IF($K1803="","",TODAY()-$K1803)</f>
        <v/>
      </c>
      <c r="M1803">
        <f>IF($A1803="","",IF($H1803="ENGAGE","Engagé",IF(AND($H1803="NON ENGAGE",OR($I1803="INFRUCTUEUX",$I1803="ANNULE")),"Clôturé sans suite","En cours")))</f>
        <v/>
      </c>
      <c r="N1803">
        <f>IF(ISBLANK('ENGAGEMENTS 2026'!C1803),"",'ENGAGEMENTS 2026'!L1803)</f>
        <v/>
      </c>
      <c r="O1803">
        <f>IF(ISBLANK('ENGAGEMENTS 2026'!C1803),"",'ENGAGEMENTS 2026'!M1803)</f>
        <v/>
      </c>
      <c r="P1803">
        <f>IF(ISBLANK('ENGAGEMENTS 2026'!C1803),"",'ENGAGEMENTS 2026'!K1803)</f>
        <v/>
      </c>
      <c r="Q1803">
        <f>IF($A1803="","",IF(OR($E1803="INFRUCTUEUX",$E1803="ANNULE"),$A1803&amp;"|"&amp;(COUNTIFS($A$2:$A1803,$A1803,$E$2:$E1803,"INFRUCTUEUX")+COUNTIFS($A$2:$A1803,$A1803,$E$2:$E1803,"ANNULE")),""))</f>
        <v/>
      </c>
    </row>
    <row r="1804">
      <c r="A1804">
        <f>IF(ISBLANK('ENGAGEMENTS 2026'!C1804),"",IF('ENGAGEMENTS 2026'!C1804="DTSI","DCT",'ENGAGEMENTS 2026'!C1804))</f>
        <v/>
      </c>
      <c r="B1804">
        <f>IF(ISBLANK('ENGAGEMENTS 2026'!C1804),"",'ENGAGEMENTS 2026'!D1804)</f>
        <v/>
      </c>
      <c r="C1804">
        <f>IF(ISBLANK('ENGAGEMENTS 2026'!C1804),"",'ENGAGEMENTS 2026'!E1804)</f>
        <v/>
      </c>
      <c r="D1804">
        <f>IF(ISBLANK('ENGAGEMENTS 2026'!C1804),"",'ENGAGEMENTS 2026'!G1804)</f>
        <v/>
      </c>
      <c r="E1804">
        <f>IF(ISBLANK('ENGAGEMENTS 2026'!C1804),"",'ENGAGEMENTS 2026'!I1804)</f>
        <v/>
      </c>
      <c r="F1804">
        <f>IF(ISBLANK('ENGAGEMENTS 2026'!C1804),"",'ENGAGEMENTS 2026'!J1804)</f>
        <v/>
      </c>
      <c r="G1804">
        <f>IF(ISBLANK('ENGAGEMENTS 2026'!C1804),"",'ENGAGEMENTS 2026'!M1804)</f>
        <v/>
      </c>
      <c r="H1804">
        <f>IF(ISBLANK('ENGAGEMENTS 2026'!C1804),"",'ENGAGEMENTS 2026'!AF1804)</f>
        <v/>
      </c>
      <c r="I1804">
        <f>IF(ISBLANK('ENGAGEMENTS 2026'!C1804),"",'ENGAGEMENTS 2026'!H1804)</f>
        <v/>
      </c>
      <c r="J1804" s="275">
        <f>IF(ISBLANK('ENGAGEMENTS 2026'!C1804),"",IF(AND(OR($E1804="INFRUCTUEUX",$E1804="ANNULE"),$C1804="AOO-M"),'ENGAGEMENTS 2026'!P1804,IF($H1804="EN COURS DE PREENGAGEMENT",'ENGAGEMENTS 2026'!O1804,IF($H1804="PREENGAGE",IF($E1804="ATTRIBUE",'ENGAGEMENTS 2026'!AE1804,'ENGAGEMENTS 2026'!O1804),'ENGAGEMENTS 2026'!AE1804))))</f>
        <v/>
      </c>
      <c r="K1804" s="604">
        <f>IF(ISBLANK('ENGAGEMENTS 2026'!W1804),"",'ENGAGEMENTS 2026'!W1804)</f>
        <v/>
      </c>
      <c r="L1804" s="276">
        <f>IF($K1804="","",TODAY()-$K1804)</f>
        <v/>
      </c>
      <c r="M1804">
        <f>IF($A1804="","",IF($H1804="ENGAGE","Engagé",IF(AND($H1804="NON ENGAGE",OR($I1804="INFRUCTUEUX",$I1804="ANNULE")),"Clôturé sans suite","En cours")))</f>
        <v/>
      </c>
      <c r="N1804">
        <f>IF(ISBLANK('ENGAGEMENTS 2026'!C1804),"",'ENGAGEMENTS 2026'!L1804)</f>
        <v/>
      </c>
      <c r="O1804">
        <f>IF(ISBLANK('ENGAGEMENTS 2026'!C1804),"",'ENGAGEMENTS 2026'!M1804)</f>
        <v/>
      </c>
      <c r="P1804">
        <f>IF(ISBLANK('ENGAGEMENTS 2026'!C1804),"",'ENGAGEMENTS 2026'!K1804)</f>
        <v/>
      </c>
      <c r="Q1804">
        <f>IF($A1804="","",IF(OR($E1804="INFRUCTUEUX",$E1804="ANNULE"),$A1804&amp;"|"&amp;(COUNTIFS($A$2:$A1804,$A1804,$E$2:$E1804,"INFRUCTUEUX")+COUNTIFS($A$2:$A1804,$A1804,$E$2:$E1804,"ANNULE")),""))</f>
        <v/>
      </c>
    </row>
    <row r="1805">
      <c r="A1805">
        <f>IF(ISBLANK('ENGAGEMENTS 2026'!C1805),"",IF('ENGAGEMENTS 2026'!C1805="DTSI","DCT",'ENGAGEMENTS 2026'!C1805))</f>
        <v/>
      </c>
      <c r="B1805">
        <f>IF(ISBLANK('ENGAGEMENTS 2026'!C1805),"",'ENGAGEMENTS 2026'!D1805)</f>
        <v/>
      </c>
      <c r="C1805">
        <f>IF(ISBLANK('ENGAGEMENTS 2026'!C1805),"",'ENGAGEMENTS 2026'!E1805)</f>
        <v/>
      </c>
      <c r="D1805">
        <f>IF(ISBLANK('ENGAGEMENTS 2026'!C1805),"",'ENGAGEMENTS 2026'!G1805)</f>
        <v/>
      </c>
      <c r="E1805">
        <f>IF(ISBLANK('ENGAGEMENTS 2026'!C1805),"",'ENGAGEMENTS 2026'!I1805)</f>
        <v/>
      </c>
      <c r="F1805">
        <f>IF(ISBLANK('ENGAGEMENTS 2026'!C1805),"",'ENGAGEMENTS 2026'!J1805)</f>
        <v/>
      </c>
      <c r="G1805">
        <f>IF(ISBLANK('ENGAGEMENTS 2026'!C1805),"",'ENGAGEMENTS 2026'!M1805)</f>
        <v/>
      </c>
      <c r="H1805">
        <f>IF(ISBLANK('ENGAGEMENTS 2026'!C1805),"",'ENGAGEMENTS 2026'!AF1805)</f>
        <v/>
      </c>
      <c r="I1805">
        <f>IF(ISBLANK('ENGAGEMENTS 2026'!C1805),"",'ENGAGEMENTS 2026'!H1805)</f>
        <v/>
      </c>
      <c r="J1805" s="275">
        <f>IF(ISBLANK('ENGAGEMENTS 2026'!C1805),"",IF(AND(OR($E1805="INFRUCTUEUX",$E1805="ANNULE"),$C1805="AOO-M"),'ENGAGEMENTS 2026'!P1805,IF($H1805="EN COURS DE PREENGAGEMENT",'ENGAGEMENTS 2026'!O1805,IF($H1805="PREENGAGE",IF($E1805="ATTRIBUE",'ENGAGEMENTS 2026'!AE1805,'ENGAGEMENTS 2026'!O1805),'ENGAGEMENTS 2026'!AE1805))))</f>
        <v/>
      </c>
      <c r="K1805" s="604">
        <f>IF(ISBLANK('ENGAGEMENTS 2026'!W1805),"",'ENGAGEMENTS 2026'!W1805)</f>
        <v/>
      </c>
      <c r="L1805" s="276">
        <f>IF($K1805="","",TODAY()-$K1805)</f>
        <v/>
      </c>
      <c r="M1805">
        <f>IF($A1805="","",IF($H1805="ENGAGE","Engagé",IF(AND($H1805="NON ENGAGE",OR($I1805="INFRUCTUEUX",$I1805="ANNULE")),"Clôturé sans suite","En cours")))</f>
        <v/>
      </c>
      <c r="N1805">
        <f>IF(ISBLANK('ENGAGEMENTS 2026'!C1805),"",'ENGAGEMENTS 2026'!L1805)</f>
        <v/>
      </c>
      <c r="O1805">
        <f>IF(ISBLANK('ENGAGEMENTS 2026'!C1805),"",'ENGAGEMENTS 2026'!M1805)</f>
        <v/>
      </c>
      <c r="P1805">
        <f>IF(ISBLANK('ENGAGEMENTS 2026'!C1805),"",'ENGAGEMENTS 2026'!K1805)</f>
        <v/>
      </c>
      <c r="Q1805">
        <f>IF($A1805="","",IF(OR($E1805="INFRUCTUEUX",$E1805="ANNULE"),$A1805&amp;"|"&amp;(COUNTIFS($A$2:$A1805,$A1805,$E$2:$E1805,"INFRUCTUEUX")+COUNTIFS($A$2:$A1805,$A1805,$E$2:$E1805,"ANNULE")),""))</f>
        <v/>
      </c>
    </row>
    <row r="1806">
      <c r="A1806">
        <f>IF(ISBLANK('ENGAGEMENTS 2026'!C1806),"",IF('ENGAGEMENTS 2026'!C1806="DTSI","DCT",'ENGAGEMENTS 2026'!C1806))</f>
        <v/>
      </c>
      <c r="B1806">
        <f>IF(ISBLANK('ENGAGEMENTS 2026'!C1806),"",'ENGAGEMENTS 2026'!D1806)</f>
        <v/>
      </c>
      <c r="C1806">
        <f>IF(ISBLANK('ENGAGEMENTS 2026'!C1806),"",'ENGAGEMENTS 2026'!E1806)</f>
        <v/>
      </c>
      <c r="D1806">
        <f>IF(ISBLANK('ENGAGEMENTS 2026'!C1806),"",'ENGAGEMENTS 2026'!G1806)</f>
        <v/>
      </c>
      <c r="E1806">
        <f>IF(ISBLANK('ENGAGEMENTS 2026'!C1806),"",'ENGAGEMENTS 2026'!I1806)</f>
        <v/>
      </c>
      <c r="F1806">
        <f>IF(ISBLANK('ENGAGEMENTS 2026'!C1806),"",'ENGAGEMENTS 2026'!J1806)</f>
        <v/>
      </c>
      <c r="G1806">
        <f>IF(ISBLANK('ENGAGEMENTS 2026'!C1806),"",'ENGAGEMENTS 2026'!M1806)</f>
        <v/>
      </c>
      <c r="H1806">
        <f>IF(ISBLANK('ENGAGEMENTS 2026'!C1806),"",'ENGAGEMENTS 2026'!AF1806)</f>
        <v/>
      </c>
      <c r="I1806">
        <f>IF(ISBLANK('ENGAGEMENTS 2026'!C1806),"",'ENGAGEMENTS 2026'!H1806)</f>
        <v/>
      </c>
      <c r="J1806" s="275">
        <f>IF(ISBLANK('ENGAGEMENTS 2026'!C1806),"",IF(AND(OR($E1806="INFRUCTUEUX",$E1806="ANNULE"),$C1806="AOO-M"),'ENGAGEMENTS 2026'!P1806,IF($H1806="EN COURS DE PREENGAGEMENT",'ENGAGEMENTS 2026'!O1806,IF($H1806="PREENGAGE",IF($E1806="ATTRIBUE",'ENGAGEMENTS 2026'!AE1806,'ENGAGEMENTS 2026'!O1806),'ENGAGEMENTS 2026'!AE1806))))</f>
        <v/>
      </c>
      <c r="K1806" s="604">
        <f>IF(ISBLANK('ENGAGEMENTS 2026'!W1806),"",'ENGAGEMENTS 2026'!W1806)</f>
        <v/>
      </c>
      <c r="L1806" s="276">
        <f>IF($K1806="","",TODAY()-$K1806)</f>
        <v/>
      </c>
      <c r="M1806">
        <f>IF($A1806="","",IF($H1806="ENGAGE","Engagé",IF(AND($H1806="NON ENGAGE",OR($I1806="INFRUCTUEUX",$I1806="ANNULE")),"Clôturé sans suite","En cours")))</f>
        <v/>
      </c>
      <c r="N1806">
        <f>IF(ISBLANK('ENGAGEMENTS 2026'!C1806),"",'ENGAGEMENTS 2026'!L1806)</f>
        <v/>
      </c>
      <c r="O1806">
        <f>IF(ISBLANK('ENGAGEMENTS 2026'!C1806),"",'ENGAGEMENTS 2026'!M1806)</f>
        <v/>
      </c>
      <c r="P1806">
        <f>IF(ISBLANK('ENGAGEMENTS 2026'!C1806),"",'ENGAGEMENTS 2026'!K1806)</f>
        <v/>
      </c>
      <c r="Q1806">
        <f>IF($A1806="","",IF(OR($E1806="INFRUCTUEUX",$E1806="ANNULE"),$A1806&amp;"|"&amp;(COUNTIFS($A$2:$A1806,$A1806,$E$2:$E1806,"INFRUCTUEUX")+COUNTIFS($A$2:$A1806,$A1806,$E$2:$E1806,"ANNULE")),""))</f>
        <v/>
      </c>
    </row>
    <row r="1807">
      <c r="A1807">
        <f>IF(ISBLANK('ENGAGEMENTS 2026'!C1807),"",IF('ENGAGEMENTS 2026'!C1807="DTSI","DCT",'ENGAGEMENTS 2026'!C1807))</f>
        <v/>
      </c>
      <c r="B1807">
        <f>IF(ISBLANK('ENGAGEMENTS 2026'!C1807),"",'ENGAGEMENTS 2026'!D1807)</f>
        <v/>
      </c>
      <c r="C1807">
        <f>IF(ISBLANK('ENGAGEMENTS 2026'!C1807),"",'ENGAGEMENTS 2026'!E1807)</f>
        <v/>
      </c>
      <c r="D1807">
        <f>IF(ISBLANK('ENGAGEMENTS 2026'!C1807),"",'ENGAGEMENTS 2026'!G1807)</f>
        <v/>
      </c>
      <c r="E1807">
        <f>IF(ISBLANK('ENGAGEMENTS 2026'!C1807),"",'ENGAGEMENTS 2026'!I1807)</f>
        <v/>
      </c>
      <c r="F1807">
        <f>IF(ISBLANK('ENGAGEMENTS 2026'!C1807),"",'ENGAGEMENTS 2026'!J1807)</f>
        <v/>
      </c>
      <c r="G1807">
        <f>IF(ISBLANK('ENGAGEMENTS 2026'!C1807),"",'ENGAGEMENTS 2026'!M1807)</f>
        <v/>
      </c>
      <c r="H1807">
        <f>IF(ISBLANK('ENGAGEMENTS 2026'!C1807),"",'ENGAGEMENTS 2026'!AF1807)</f>
        <v/>
      </c>
      <c r="I1807">
        <f>IF(ISBLANK('ENGAGEMENTS 2026'!C1807),"",'ENGAGEMENTS 2026'!H1807)</f>
        <v/>
      </c>
      <c r="J1807" s="275">
        <f>IF(ISBLANK('ENGAGEMENTS 2026'!C1807),"",IF(AND(OR($E1807="INFRUCTUEUX",$E1807="ANNULE"),$C1807="AOO-M"),'ENGAGEMENTS 2026'!P1807,IF($H1807="EN COURS DE PREENGAGEMENT",'ENGAGEMENTS 2026'!O1807,IF($H1807="PREENGAGE",IF($E1807="ATTRIBUE",'ENGAGEMENTS 2026'!AE1807,'ENGAGEMENTS 2026'!O1807),'ENGAGEMENTS 2026'!AE1807))))</f>
        <v/>
      </c>
      <c r="K1807" s="604">
        <f>IF(ISBLANK('ENGAGEMENTS 2026'!W1807),"",'ENGAGEMENTS 2026'!W1807)</f>
        <v/>
      </c>
      <c r="L1807" s="276">
        <f>IF($K1807="","",TODAY()-$K1807)</f>
        <v/>
      </c>
      <c r="M1807">
        <f>IF($A1807="","",IF($H1807="ENGAGE","Engagé",IF(AND($H1807="NON ENGAGE",OR($I1807="INFRUCTUEUX",$I1807="ANNULE")),"Clôturé sans suite","En cours")))</f>
        <v/>
      </c>
      <c r="N1807">
        <f>IF(ISBLANK('ENGAGEMENTS 2026'!C1807),"",'ENGAGEMENTS 2026'!L1807)</f>
        <v/>
      </c>
      <c r="O1807">
        <f>IF(ISBLANK('ENGAGEMENTS 2026'!C1807),"",'ENGAGEMENTS 2026'!M1807)</f>
        <v/>
      </c>
      <c r="P1807">
        <f>IF(ISBLANK('ENGAGEMENTS 2026'!C1807),"",'ENGAGEMENTS 2026'!K1807)</f>
        <v/>
      </c>
      <c r="Q1807">
        <f>IF($A1807="","",IF(OR($E1807="INFRUCTUEUX",$E1807="ANNULE"),$A1807&amp;"|"&amp;(COUNTIFS($A$2:$A1807,$A1807,$E$2:$E1807,"INFRUCTUEUX")+COUNTIFS($A$2:$A1807,$A1807,$E$2:$E1807,"ANNULE")),""))</f>
        <v/>
      </c>
    </row>
    <row r="1808">
      <c r="A1808">
        <f>IF(ISBLANK('ENGAGEMENTS 2026'!C1808),"",IF('ENGAGEMENTS 2026'!C1808="DTSI","DCT",'ENGAGEMENTS 2026'!C1808))</f>
        <v/>
      </c>
      <c r="B1808">
        <f>IF(ISBLANK('ENGAGEMENTS 2026'!C1808),"",'ENGAGEMENTS 2026'!D1808)</f>
        <v/>
      </c>
      <c r="C1808">
        <f>IF(ISBLANK('ENGAGEMENTS 2026'!C1808),"",'ENGAGEMENTS 2026'!E1808)</f>
        <v/>
      </c>
      <c r="D1808">
        <f>IF(ISBLANK('ENGAGEMENTS 2026'!C1808),"",'ENGAGEMENTS 2026'!G1808)</f>
        <v/>
      </c>
      <c r="E1808">
        <f>IF(ISBLANK('ENGAGEMENTS 2026'!C1808),"",'ENGAGEMENTS 2026'!I1808)</f>
        <v/>
      </c>
      <c r="F1808">
        <f>IF(ISBLANK('ENGAGEMENTS 2026'!C1808),"",'ENGAGEMENTS 2026'!J1808)</f>
        <v/>
      </c>
      <c r="G1808">
        <f>IF(ISBLANK('ENGAGEMENTS 2026'!C1808),"",'ENGAGEMENTS 2026'!M1808)</f>
        <v/>
      </c>
      <c r="H1808">
        <f>IF(ISBLANK('ENGAGEMENTS 2026'!C1808),"",'ENGAGEMENTS 2026'!AF1808)</f>
        <v/>
      </c>
      <c r="I1808">
        <f>IF(ISBLANK('ENGAGEMENTS 2026'!C1808),"",'ENGAGEMENTS 2026'!H1808)</f>
        <v/>
      </c>
      <c r="J1808" s="275">
        <f>IF(ISBLANK('ENGAGEMENTS 2026'!C1808),"",IF(AND(OR($E1808="INFRUCTUEUX",$E1808="ANNULE"),$C1808="AOO-M"),'ENGAGEMENTS 2026'!P1808,IF($H1808="EN COURS DE PREENGAGEMENT",'ENGAGEMENTS 2026'!O1808,IF($H1808="PREENGAGE",IF($E1808="ATTRIBUE",'ENGAGEMENTS 2026'!AE1808,'ENGAGEMENTS 2026'!O1808),'ENGAGEMENTS 2026'!AE1808))))</f>
        <v/>
      </c>
      <c r="K1808" s="604">
        <f>IF(ISBLANK('ENGAGEMENTS 2026'!W1808),"",'ENGAGEMENTS 2026'!W1808)</f>
        <v/>
      </c>
      <c r="L1808" s="276">
        <f>IF($K1808="","",TODAY()-$K1808)</f>
        <v/>
      </c>
      <c r="M1808">
        <f>IF($A1808="","",IF($H1808="ENGAGE","Engagé",IF(AND($H1808="NON ENGAGE",OR($I1808="INFRUCTUEUX",$I1808="ANNULE")),"Clôturé sans suite","En cours")))</f>
        <v/>
      </c>
      <c r="N1808">
        <f>IF(ISBLANK('ENGAGEMENTS 2026'!C1808),"",'ENGAGEMENTS 2026'!L1808)</f>
        <v/>
      </c>
      <c r="O1808">
        <f>IF(ISBLANK('ENGAGEMENTS 2026'!C1808),"",'ENGAGEMENTS 2026'!M1808)</f>
        <v/>
      </c>
      <c r="P1808">
        <f>IF(ISBLANK('ENGAGEMENTS 2026'!C1808),"",'ENGAGEMENTS 2026'!K1808)</f>
        <v/>
      </c>
      <c r="Q1808">
        <f>IF($A1808="","",IF(OR($E1808="INFRUCTUEUX",$E1808="ANNULE"),$A1808&amp;"|"&amp;(COUNTIFS($A$2:$A1808,$A1808,$E$2:$E1808,"INFRUCTUEUX")+COUNTIFS($A$2:$A1808,$A1808,$E$2:$E1808,"ANNULE")),""))</f>
        <v/>
      </c>
    </row>
    <row r="1809">
      <c r="A1809">
        <f>IF(ISBLANK('ENGAGEMENTS 2026'!C1809),"",IF('ENGAGEMENTS 2026'!C1809="DTSI","DCT",'ENGAGEMENTS 2026'!C1809))</f>
        <v/>
      </c>
      <c r="B1809">
        <f>IF(ISBLANK('ENGAGEMENTS 2026'!C1809),"",'ENGAGEMENTS 2026'!D1809)</f>
        <v/>
      </c>
      <c r="C1809">
        <f>IF(ISBLANK('ENGAGEMENTS 2026'!C1809),"",'ENGAGEMENTS 2026'!E1809)</f>
        <v/>
      </c>
      <c r="D1809">
        <f>IF(ISBLANK('ENGAGEMENTS 2026'!C1809),"",'ENGAGEMENTS 2026'!G1809)</f>
        <v/>
      </c>
      <c r="E1809">
        <f>IF(ISBLANK('ENGAGEMENTS 2026'!C1809),"",'ENGAGEMENTS 2026'!I1809)</f>
        <v/>
      </c>
      <c r="F1809">
        <f>IF(ISBLANK('ENGAGEMENTS 2026'!C1809),"",'ENGAGEMENTS 2026'!J1809)</f>
        <v/>
      </c>
      <c r="G1809">
        <f>IF(ISBLANK('ENGAGEMENTS 2026'!C1809),"",'ENGAGEMENTS 2026'!M1809)</f>
        <v/>
      </c>
      <c r="H1809">
        <f>IF(ISBLANK('ENGAGEMENTS 2026'!C1809),"",'ENGAGEMENTS 2026'!AF1809)</f>
        <v/>
      </c>
      <c r="I1809">
        <f>IF(ISBLANK('ENGAGEMENTS 2026'!C1809),"",'ENGAGEMENTS 2026'!H1809)</f>
        <v/>
      </c>
      <c r="J1809" s="275">
        <f>IF(ISBLANK('ENGAGEMENTS 2026'!C1809),"",IF(AND(OR($E1809="INFRUCTUEUX",$E1809="ANNULE"),$C1809="AOO-M"),'ENGAGEMENTS 2026'!P1809,IF($H1809="EN COURS DE PREENGAGEMENT",'ENGAGEMENTS 2026'!O1809,IF($H1809="PREENGAGE",IF($E1809="ATTRIBUE",'ENGAGEMENTS 2026'!AE1809,'ENGAGEMENTS 2026'!O1809),'ENGAGEMENTS 2026'!AE1809))))</f>
        <v/>
      </c>
      <c r="K1809" s="604">
        <f>IF(ISBLANK('ENGAGEMENTS 2026'!W1809),"",'ENGAGEMENTS 2026'!W1809)</f>
        <v/>
      </c>
      <c r="L1809" s="276">
        <f>IF($K1809="","",TODAY()-$K1809)</f>
        <v/>
      </c>
      <c r="M1809">
        <f>IF($A1809="","",IF($H1809="ENGAGE","Engagé",IF(AND($H1809="NON ENGAGE",OR($I1809="INFRUCTUEUX",$I1809="ANNULE")),"Clôturé sans suite","En cours")))</f>
        <v/>
      </c>
      <c r="N1809">
        <f>IF(ISBLANK('ENGAGEMENTS 2026'!C1809),"",'ENGAGEMENTS 2026'!L1809)</f>
        <v/>
      </c>
      <c r="O1809">
        <f>IF(ISBLANK('ENGAGEMENTS 2026'!C1809),"",'ENGAGEMENTS 2026'!M1809)</f>
        <v/>
      </c>
      <c r="P1809">
        <f>IF(ISBLANK('ENGAGEMENTS 2026'!C1809),"",'ENGAGEMENTS 2026'!K1809)</f>
        <v/>
      </c>
      <c r="Q1809">
        <f>IF($A1809="","",IF(OR($E1809="INFRUCTUEUX",$E1809="ANNULE"),$A1809&amp;"|"&amp;(COUNTIFS($A$2:$A1809,$A1809,$E$2:$E1809,"INFRUCTUEUX")+COUNTIFS($A$2:$A1809,$A1809,$E$2:$E1809,"ANNULE")),""))</f>
        <v/>
      </c>
    </row>
    <row r="1810">
      <c r="A1810">
        <f>IF(ISBLANK('ENGAGEMENTS 2026'!C1810),"",IF('ENGAGEMENTS 2026'!C1810="DTSI","DCT",'ENGAGEMENTS 2026'!C1810))</f>
        <v/>
      </c>
      <c r="B1810">
        <f>IF(ISBLANK('ENGAGEMENTS 2026'!C1810),"",'ENGAGEMENTS 2026'!D1810)</f>
        <v/>
      </c>
      <c r="C1810">
        <f>IF(ISBLANK('ENGAGEMENTS 2026'!C1810),"",'ENGAGEMENTS 2026'!E1810)</f>
        <v/>
      </c>
      <c r="D1810">
        <f>IF(ISBLANK('ENGAGEMENTS 2026'!C1810),"",'ENGAGEMENTS 2026'!G1810)</f>
        <v/>
      </c>
      <c r="E1810">
        <f>IF(ISBLANK('ENGAGEMENTS 2026'!C1810),"",'ENGAGEMENTS 2026'!I1810)</f>
        <v/>
      </c>
      <c r="F1810">
        <f>IF(ISBLANK('ENGAGEMENTS 2026'!C1810),"",'ENGAGEMENTS 2026'!J1810)</f>
        <v/>
      </c>
      <c r="G1810">
        <f>IF(ISBLANK('ENGAGEMENTS 2026'!C1810),"",'ENGAGEMENTS 2026'!M1810)</f>
        <v/>
      </c>
      <c r="H1810">
        <f>IF(ISBLANK('ENGAGEMENTS 2026'!C1810),"",'ENGAGEMENTS 2026'!AF1810)</f>
        <v/>
      </c>
      <c r="I1810">
        <f>IF(ISBLANK('ENGAGEMENTS 2026'!C1810),"",'ENGAGEMENTS 2026'!H1810)</f>
        <v/>
      </c>
      <c r="J1810" s="275">
        <f>IF(ISBLANK('ENGAGEMENTS 2026'!C1810),"",IF(AND(OR($E1810="INFRUCTUEUX",$E1810="ANNULE"),$C1810="AOO-M"),'ENGAGEMENTS 2026'!P1810,IF($H1810="EN COURS DE PREENGAGEMENT",'ENGAGEMENTS 2026'!O1810,IF($H1810="PREENGAGE",IF($E1810="ATTRIBUE",'ENGAGEMENTS 2026'!AE1810,'ENGAGEMENTS 2026'!O1810),'ENGAGEMENTS 2026'!AE1810))))</f>
        <v/>
      </c>
      <c r="K1810" s="604">
        <f>IF(ISBLANK('ENGAGEMENTS 2026'!W1810),"",'ENGAGEMENTS 2026'!W1810)</f>
        <v/>
      </c>
      <c r="L1810" s="276">
        <f>IF($K1810="","",TODAY()-$K1810)</f>
        <v/>
      </c>
      <c r="M1810">
        <f>IF($A1810="","",IF($H1810="ENGAGE","Engagé",IF(AND($H1810="NON ENGAGE",OR($I1810="INFRUCTUEUX",$I1810="ANNULE")),"Clôturé sans suite","En cours")))</f>
        <v/>
      </c>
      <c r="N1810">
        <f>IF(ISBLANK('ENGAGEMENTS 2026'!C1810),"",'ENGAGEMENTS 2026'!L1810)</f>
        <v/>
      </c>
      <c r="O1810">
        <f>IF(ISBLANK('ENGAGEMENTS 2026'!C1810),"",'ENGAGEMENTS 2026'!M1810)</f>
        <v/>
      </c>
      <c r="P1810">
        <f>IF(ISBLANK('ENGAGEMENTS 2026'!C1810),"",'ENGAGEMENTS 2026'!K1810)</f>
        <v/>
      </c>
      <c r="Q1810">
        <f>IF($A1810="","",IF(OR($E1810="INFRUCTUEUX",$E1810="ANNULE"),$A1810&amp;"|"&amp;(COUNTIFS($A$2:$A1810,$A1810,$E$2:$E1810,"INFRUCTUEUX")+COUNTIFS($A$2:$A1810,$A1810,$E$2:$E1810,"ANNULE")),""))</f>
        <v/>
      </c>
    </row>
    <row r="1811">
      <c r="A1811">
        <f>IF(ISBLANK('ENGAGEMENTS 2026'!C1811),"",IF('ENGAGEMENTS 2026'!C1811="DTSI","DCT",'ENGAGEMENTS 2026'!C1811))</f>
        <v/>
      </c>
      <c r="B1811">
        <f>IF(ISBLANK('ENGAGEMENTS 2026'!C1811),"",'ENGAGEMENTS 2026'!D1811)</f>
        <v/>
      </c>
      <c r="C1811">
        <f>IF(ISBLANK('ENGAGEMENTS 2026'!C1811),"",'ENGAGEMENTS 2026'!E1811)</f>
        <v/>
      </c>
      <c r="D1811">
        <f>IF(ISBLANK('ENGAGEMENTS 2026'!C1811),"",'ENGAGEMENTS 2026'!G1811)</f>
        <v/>
      </c>
      <c r="E1811">
        <f>IF(ISBLANK('ENGAGEMENTS 2026'!C1811),"",'ENGAGEMENTS 2026'!I1811)</f>
        <v/>
      </c>
      <c r="F1811">
        <f>IF(ISBLANK('ENGAGEMENTS 2026'!C1811),"",'ENGAGEMENTS 2026'!J1811)</f>
        <v/>
      </c>
      <c r="G1811">
        <f>IF(ISBLANK('ENGAGEMENTS 2026'!C1811),"",'ENGAGEMENTS 2026'!M1811)</f>
        <v/>
      </c>
      <c r="H1811">
        <f>IF(ISBLANK('ENGAGEMENTS 2026'!C1811),"",'ENGAGEMENTS 2026'!AF1811)</f>
        <v/>
      </c>
      <c r="I1811">
        <f>IF(ISBLANK('ENGAGEMENTS 2026'!C1811),"",'ENGAGEMENTS 2026'!H1811)</f>
        <v/>
      </c>
      <c r="J1811" s="275">
        <f>IF(ISBLANK('ENGAGEMENTS 2026'!C1811),"",IF(AND(OR($E1811="INFRUCTUEUX",$E1811="ANNULE"),$C1811="AOO-M"),'ENGAGEMENTS 2026'!P1811,IF($H1811="EN COURS DE PREENGAGEMENT",'ENGAGEMENTS 2026'!O1811,IF($H1811="PREENGAGE",IF($E1811="ATTRIBUE",'ENGAGEMENTS 2026'!AE1811,'ENGAGEMENTS 2026'!O1811),'ENGAGEMENTS 2026'!AE1811))))</f>
        <v/>
      </c>
      <c r="K1811" s="604">
        <f>IF(ISBLANK('ENGAGEMENTS 2026'!W1811),"",'ENGAGEMENTS 2026'!W1811)</f>
        <v/>
      </c>
      <c r="L1811" s="276">
        <f>IF($K1811="","",TODAY()-$K1811)</f>
        <v/>
      </c>
      <c r="M1811">
        <f>IF($A1811="","",IF($H1811="ENGAGE","Engagé",IF(AND($H1811="NON ENGAGE",OR($I1811="INFRUCTUEUX",$I1811="ANNULE")),"Clôturé sans suite","En cours")))</f>
        <v/>
      </c>
      <c r="N1811">
        <f>IF(ISBLANK('ENGAGEMENTS 2026'!C1811),"",'ENGAGEMENTS 2026'!L1811)</f>
        <v/>
      </c>
      <c r="O1811">
        <f>IF(ISBLANK('ENGAGEMENTS 2026'!C1811),"",'ENGAGEMENTS 2026'!M1811)</f>
        <v/>
      </c>
      <c r="P1811">
        <f>IF(ISBLANK('ENGAGEMENTS 2026'!C1811),"",'ENGAGEMENTS 2026'!K1811)</f>
        <v/>
      </c>
      <c r="Q1811">
        <f>IF($A1811="","",IF(OR($E1811="INFRUCTUEUX",$E1811="ANNULE"),$A1811&amp;"|"&amp;(COUNTIFS($A$2:$A1811,$A1811,$E$2:$E1811,"INFRUCTUEUX")+COUNTIFS($A$2:$A1811,$A1811,$E$2:$E1811,"ANNULE")),""))</f>
        <v/>
      </c>
    </row>
    <row r="1812">
      <c r="A1812">
        <f>IF(ISBLANK('ENGAGEMENTS 2026'!C1812),"",IF('ENGAGEMENTS 2026'!C1812="DTSI","DCT",'ENGAGEMENTS 2026'!C1812))</f>
        <v/>
      </c>
      <c r="B1812">
        <f>IF(ISBLANK('ENGAGEMENTS 2026'!C1812),"",'ENGAGEMENTS 2026'!D1812)</f>
        <v/>
      </c>
      <c r="C1812">
        <f>IF(ISBLANK('ENGAGEMENTS 2026'!C1812),"",'ENGAGEMENTS 2026'!E1812)</f>
        <v/>
      </c>
      <c r="D1812">
        <f>IF(ISBLANK('ENGAGEMENTS 2026'!C1812),"",'ENGAGEMENTS 2026'!G1812)</f>
        <v/>
      </c>
      <c r="E1812">
        <f>IF(ISBLANK('ENGAGEMENTS 2026'!C1812),"",'ENGAGEMENTS 2026'!I1812)</f>
        <v/>
      </c>
      <c r="F1812">
        <f>IF(ISBLANK('ENGAGEMENTS 2026'!C1812),"",'ENGAGEMENTS 2026'!J1812)</f>
        <v/>
      </c>
      <c r="G1812">
        <f>IF(ISBLANK('ENGAGEMENTS 2026'!C1812),"",'ENGAGEMENTS 2026'!M1812)</f>
        <v/>
      </c>
      <c r="H1812">
        <f>IF(ISBLANK('ENGAGEMENTS 2026'!C1812),"",'ENGAGEMENTS 2026'!AF1812)</f>
        <v/>
      </c>
      <c r="I1812">
        <f>IF(ISBLANK('ENGAGEMENTS 2026'!C1812),"",'ENGAGEMENTS 2026'!H1812)</f>
        <v/>
      </c>
      <c r="J1812" s="275">
        <f>IF(ISBLANK('ENGAGEMENTS 2026'!C1812),"",IF(AND(OR($E1812="INFRUCTUEUX",$E1812="ANNULE"),$C1812="AOO-M"),'ENGAGEMENTS 2026'!P1812,IF($H1812="EN COURS DE PREENGAGEMENT",'ENGAGEMENTS 2026'!O1812,IF($H1812="PREENGAGE",IF($E1812="ATTRIBUE",'ENGAGEMENTS 2026'!AE1812,'ENGAGEMENTS 2026'!O1812),'ENGAGEMENTS 2026'!AE1812))))</f>
        <v/>
      </c>
      <c r="K1812" s="604">
        <f>IF(ISBLANK('ENGAGEMENTS 2026'!W1812),"",'ENGAGEMENTS 2026'!W1812)</f>
        <v/>
      </c>
      <c r="L1812" s="276">
        <f>IF($K1812="","",TODAY()-$K1812)</f>
        <v/>
      </c>
      <c r="M1812">
        <f>IF($A1812="","",IF($H1812="ENGAGE","Engagé",IF(AND($H1812="NON ENGAGE",OR($I1812="INFRUCTUEUX",$I1812="ANNULE")),"Clôturé sans suite","En cours")))</f>
        <v/>
      </c>
      <c r="N1812">
        <f>IF(ISBLANK('ENGAGEMENTS 2026'!C1812),"",'ENGAGEMENTS 2026'!L1812)</f>
        <v/>
      </c>
      <c r="O1812">
        <f>IF(ISBLANK('ENGAGEMENTS 2026'!C1812),"",'ENGAGEMENTS 2026'!M1812)</f>
        <v/>
      </c>
      <c r="P1812">
        <f>IF(ISBLANK('ENGAGEMENTS 2026'!C1812),"",'ENGAGEMENTS 2026'!K1812)</f>
        <v/>
      </c>
      <c r="Q1812">
        <f>IF($A1812="","",IF(OR($E1812="INFRUCTUEUX",$E1812="ANNULE"),$A1812&amp;"|"&amp;(COUNTIFS($A$2:$A1812,$A1812,$E$2:$E1812,"INFRUCTUEUX")+COUNTIFS($A$2:$A1812,$A1812,$E$2:$E1812,"ANNULE")),""))</f>
        <v/>
      </c>
    </row>
    <row r="1813">
      <c r="A1813">
        <f>IF(ISBLANK('ENGAGEMENTS 2026'!C1813),"",IF('ENGAGEMENTS 2026'!C1813="DTSI","DCT",'ENGAGEMENTS 2026'!C1813))</f>
        <v/>
      </c>
      <c r="B1813">
        <f>IF(ISBLANK('ENGAGEMENTS 2026'!C1813),"",'ENGAGEMENTS 2026'!D1813)</f>
        <v/>
      </c>
      <c r="C1813">
        <f>IF(ISBLANK('ENGAGEMENTS 2026'!C1813),"",'ENGAGEMENTS 2026'!E1813)</f>
        <v/>
      </c>
      <c r="D1813">
        <f>IF(ISBLANK('ENGAGEMENTS 2026'!C1813),"",'ENGAGEMENTS 2026'!G1813)</f>
        <v/>
      </c>
      <c r="E1813">
        <f>IF(ISBLANK('ENGAGEMENTS 2026'!C1813),"",'ENGAGEMENTS 2026'!I1813)</f>
        <v/>
      </c>
      <c r="F1813">
        <f>IF(ISBLANK('ENGAGEMENTS 2026'!C1813),"",'ENGAGEMENTS 2026'!J1813)</f>
        <v/>
      </c>
      <c r="G1813">
        <f>IF(ISBLANK('ENGAGEMENTS 2026'!C1813),"",'ENGAGEMENTS 2026'!M1813)</f>
        <v/>
      </c>
      <c r="H1813">
        <f>IF(ISBLANK('ENGAGEMENTS 2026'!C1813),"",'ENGAGEMENTS 2026'!AF1813)</f>
        <v/>
      </c>
      <c r="I1813">
        <f>IF(ISBLANK('ENGAGEMENTS 2026'!C1813),"",'ENGAGEMENTS 2026'!H1813)</f>
        <v/>
      </c>
      <c r="J1813" s="275">
        <f>IF(ISBLANK('ENGAGEMENTS 2026'!C1813),"",IF(AND(OR($E1813="INFRUCTUEUX",$E1813="ANNULE"),$C1813="AOO-M"),'ENGAGEMENTS 2026'!P1813,IF($H1813="EN COURS DE PREENGAGEMENT",'ENGAGEMENTS 2026'!O1813,IF($H1813="PREENGAGE",IF($E1813="ATTRIBUE",'ENGAGEMENTS 2026'!AE1813,'ENGAGEMENTS 2026'!O1813),'ENGAGEMENTS 2026'!AE1813))))</f>
        <v/>
      </c>
      <c r="K1813" s="604">
        <f>IF(ISBLANK('ENGAGEMENTS 2026'!W1813),"",'ENGAGEMENTS 2026'!W1813)</f>
        <v/>
      </c>
      <c r="L1813" s="276">
        <f>IF($K1813="","",TODAY()-$K1813)</f>
        <v/>
      </c>
      <c r="M1813">
        <f>IF($A1813="","",IF($H1813="ENGAGE","Engagé",IF(AND($H1813="NON ENGAGE",OR($I1813="INFRUCTUEUX",$I1813="ANNULE")),"Clôturé sans suite","En cours")))</f>
        <v/>
      </c>
      <c r="N1813">
        <f>IF(ISBLANK('ENGAGEMENTS 2026'!C1813),"",'ENGAGEMENTS 2026'!L1813)</f>
        <v/>
      </c>
      <c r="O1813">
        <f>IF(ISBLANK('ENGAGEMENTS 2026'!C1813),"",'ENGAGEMENTS 2026'!M1813)</f>
        <v/>
      </c>
      <c r="P1813">
        <f>IF(ISBLANK('ENGAGEMENTS 2026'!C1813),"",'ENGAGEMENTS 2026'!K1813)</f>
        <v/>
      </c>
      <c r="Q1813">
        <f>IF($A1813="","",IF(OR($E1813="INFRUCTUEUX",$E1813="ANNULE"),$A1813&amp;"|"&amp;(COUNTIFS($A$2:$A1813,$A1813,$E$2:$E1813,"INFRUCTUEUX")+COUNTIFS($A$2:$A1813,$A1813,$E$2:$E1813,"ANNULE")),""))</f>
        <v/>
      </c>
    </row>
    <row r="1814">
      <c r="A1814">
        <f>IF(ISBLANK('ENGAGEMENTS 2026'!C1814),"",IF('ENGAGEMENTS 2026'!C1814="DTSI","DCT",'ENGAGEMENTS 2026'!C1814))</f>
        <v/>
      </c>
      <c r="B1814">
        <f>IF(ISBLANK('ENGAGEMENTS 2026'!C1814),"",'ENGAGEMENTS 2026'!D1814)</f>
        <v/>
      </c>
      <c r="C1814">
        <f>IF(ISBLANK('ENGAGEMENTS 2026'!C1814),"",'ENGAGEMENTS 2026'!E1814)</f>
        <v/>
      </c>
      <c r="D1814">
        <f>IF(ISBLANK('ENGAGEMENTS 2026'!C1814),"",'ENGAGEMENTS 2026'!G1814)</f>
        <v/>
      </c>
      <c r="E1814">
        <f>IF(ISBLANK('ENGAGEMENTS 2026'!C1814),"",'ENGAGEMENTS 2026'!I1814)</f>
        <v/>
      </c>
      <c r="F1814">
        <f>IF(ISBLANK('ENGAGEMENTS 2026'!C1814),"",'ENGAGEMENTS 2026'!J1814)</f>
        <v/>
      </c>
      <c r="G1814">
        <f>IF(ISBLANK('ENGAGEMENTS 2026'!C1814),"",'ENGAGEMENTS 2026'!M1814)</f>
        <v/>
      </c>
      <c r="H1814">
        <f>IF(ISBLANK('ENGAGEMENTS 2026'!C1814),"",'ENGAGEMENTS 2026'!AF1814)</f>
        <v/>
      </c>
      <c r="I1814">
        <f>IF(ISBLANK('ENGAGEMENTS 2026'!C1814),"",'ENGAGEMENTS 2026'!H1814)</f>
        <v/>
      </c>
      <c r="J1814" s="275">
        <f>IF(ISBLANK('ENGAGEMENTS 2026'!C1814),"",IF(AND(OR($E1814="INFRUCTUEUX",$E1814="ANNULE"),$C1814="AOO-M"),'ENGAGEMENTS 2026'!P1814,IF($H1814="EN COURS DE PREENGAGEMENT",'ENGAGEMENTS 2026'!O1814,IF($H1814="PREENGAGE",IF($E1814="ATTRIBUE",'ENGAGEMENTS 2026'!AE1814,'ENGAGEMENTS 2026'!O1814),'ENGAGEMENTS 2026'!AE1814))))</f>
        <v/>
      </c>
      <c r="K1814" s="604">
        <f>IF(ISBLANK('ENGAGEMENTS 2026'!W1814),"",'ENGAGEMENTS 2026'!W1814)</f>
        <v/>
      </c>
      <c r="L1814" s="276">
        <f>IF($K1814="","",TODAY()-$K1814)</f>
        <v/>
      </c>
      <c r="M1814">
        <f>IF($A1814="","",IF($H1814="ENGAGE","Engagé",IF(AND($H1814="NON ENGAGE",OR($I1814="INFRUCTUEUX",$I1814="ANNULE")),"Clôturé sans suite","En cours")))</f>
        <v/>
      </c>
      <c r="N1814">
        <f>IF(ISBLANK('ENGAGEMENTS 2026'!C1814),"",'ENGAGEMENTS 2026'!L1814)</f>
        <v/>
      </c>
      <c r="O1814">
        <f>IF(ISBLANK('ENGAGEMENTS 2026'!C1814),"",'ENGAGEMENTS 2026'!M1814)</f>
        <v/>
      </c>
      <c r="P1814">
        <f>IF(ISBLANK('ENGAGEMENTS 2026'!C1814),"",'ENGAGEMENTS 2026'!K1814)</f>
        <v/>
      </c>
      <c r="Q1814">
        <f>IF($A1814="","",IF(OR($E1814="INFRUCTUEUX",$E1814="ANNULE"),$A1814&amp;"|"&amp;(COUNTIFS($A$2:$A1814,$A1814,$E$2:$E1814,"INFRUCTUEUX")+COUNTIFS($A$2:$A1814,$A1814,$E$2:$E1814,"ANNULE")),""))</f>
        <v/>
      </c>
    </row>
    <row r="1815">
      <c r="A1815">
        <f>IF(ISBLANK('ENGAGEMENTS 2026'!C1815),"",IF('ENGAGEMENTS 2026'!C1815="DTSI","DCT",'ENGAGEMENTS 2026'!C1815))</f>
        <v/>
      </c>
      <c r="B1815">
        <f>IF(ISBLANK('ENGAGEMENTS 2026'!C1815),"",'ENGAGEMENTS 2026'!D1815)</f>
        <v/>
      </c>
      <c r="C1815">
        <f>IF(ISBLANK('ENGAGEMENTS 2026'!C1815),"",'ENGAGEMENTS 2026'!E1815)</f>
        <v/>
      </c>
      <c r="D1815">
        <f>IF(ISBLANK('ENGAGEMENTS 2026'!C1815),"",'ENGAGEMENTS 2026'!G1815)</f>
        <v/>
      </c>
      <c r="E1815">
        <f>IF(ISBLANK('ENGAGEMENTS 2026'!C1815),"",'ENGAGEMENTS 2026'!I1815)</f>
        <v/>
      </c>
      <c r="F1815">
        <f>IF(ISBLANK('ENGAGEMENTS 2026'!C1815),"",'ENGAGEMENTS 2026'!J1815)</f>
        <v/>
      </c>
      <c r="G1815">
        <f>IF(ISBLANK('ENGAGEMENTS 2026'!C1815),"",'ENGAGEMENTS 2026'!M1815)</f>
        <v/>
      </c>
      <c r="H1815">
        <f>IF(ISBLANK('ENGAGEMENTS 2026'!C1815),"",'ENGAGEMENTS 2026'!AF1815)</f>
        <v/>
      </c>
      <c r="I1815">
        <f>IF(ISBLANK('ENGAGEMENTS 2026'!C1815),"",'ENGAGEMENTS 2026'!H1815)</f>
        <v/>
      </c>
      <c r="J1815" s="275">
        <f>IF(ISBLANK('ENGAGEMENTS 2026'!C1815),"",IF(AND(OR($E1815="INFRUCTUEUX",$E1815="ANNULE"),$C1815="AOO-M"),'ENGAGEMENTS 2026'!P1815,IF($H1815="EN COURS DE PREENGAGEMENT",'ENGAGEMENTS 2026'!O1815,IF($H1815="PREENGAGE",IF($E1815="ATTRIBUE",'ENGAGEMENTS 2026'!AE1815,'ENGAGEMENTS 2026'!O1815),'ENGAGEMENTS 2026'!AE1815))))</f>
        <v/>
      </c>
      <c r="K1815" s="604">
        <f>IF(ISBLANK('ENGAGEMENTS 2026'!W1815),"",'ENGAGEMENTS 2026'!W1815)</f>
        <v/>
      </c>
      <c r="L1815" s="276">
        <f>IF($K1815="","",TODAY()-$K1815)</f>
        <v/>
      </c>
      <c r="M1815">
        <f>IF($A1815="","",IF($H1815="ENGAGE","Engagé",IF(AND($H1815="NON ENGAGE",OR($I1815="INFRUCTUEUX",$I1815="ANNULE")),"Clôturé sans suite","En cours")))</f>
        <v/>
      </c>
      <c r="N1815">
        <f>IF(ISBLANK('ENGAGEMENTS 2026'!C1815),"",'ENGAGEMENTS 2026'!L1815)</f>
        <v/>
      </c>
      <c r="O1815">
        <f>IF(ISBLANK('ENGAGEMENTS 2026'!C1815),"",'ENGAGEMENTS 2026'!M1815)</f>
        <v/>
      </c>
      <c r="P1815">
        <f>IF(ISBLANK('ENGAGEMENTS 2026'!C1815),"",'ENGAGEMENTS 2026'!K1815)</f>
        <v/>
      </c>
      <c r="Q1815">
        <f>IF($A1815="","",IF(OR($E1815="INFRUCTUEUX",$E1815="ANNULE"),$A1815&amp;"|"&amp;(COUNTIFS($A$2:$A1815,$A1815,$E$2:$E1815,"INFRUCTUEUX")+COUNTIFS($A$2:$A1815,$A1815,$E$2:$E1815,"ANNULE")),""))</f>
        <v/>
      </c>
    </row>
    <row r="1816">
      <c r="A1816">
        <f>IF(ISBLANK('ENGAGEMENTS 2026'!C1816),"",IF('ENGAGEMENTS 2026'!C1816="DTSI","DCT",'ENGAGEMENTS 2026'!C1816))</f>
        <v/>
      </c>
      <c r="B1816">
        <f>IF(ISBLANK('ENGAGEMENTS 2026'!C1816),"",'ENGAGEMENTS 2026'!D1816)</f>
        <v/>
      </c>
      <c r="C1816">
        <f>IF(ISBLANK('ENGAGEMENTS 2026'!C1816),"",'ENGAGEMENTS 2026'!E1816)</f>
        <v/>
      </c>
      <c r="D1816">
        <f>IF(ISBLANK('ENGAGEMENTS 2026'!C1816),"",'ENGAGEMENTS 2026'!G1816)</f>
        <v/>
      </c>
      <c r="E1816">
        <f>IF(ISBLANK('ENGAGEMENTS 2026'!C1816),"",'ENGAGEMENTS 2026'!I1816)</f>
        <v/>
      </c>
      <c r="F1816">
        <f>IF(ISBLANK('ENGAGEMENTS 2026'!C1816),"",'ENGAGEMENTS 2026'!J1816)</f>
        <v/>
      </c>
      <c r="G1816">
        <f>IF(ISBLANK('ENGAGEMENTS 2026'!C1816),"",'ENGAGEMENTS 2026'!M1816)</f>
        <v/>
      </c>
      <c r="H1816">
        <f>IF(ISBLANK('ENGAGEMENTS 2026'!C1816),"",'ENGAGEMENTS 2026'!AF1816)</f>
        <v/>
      </c>
      <c r="I1816">
        <f>IF(ISBLANK('ENGAGEMENTS 2026'!C1816),"",'ENGAGEMENTS 2026'!H1816)</f>
        <v/>
      </c>
      <c r="J1816" s="275">
        <f>IF(ISBLANK('ENGAGEMENTS 2026'!C1816),"",IF(AND(OR($E1816="INFRUCTUEUX",$E1816="ANNULE"),$C1816="AOO-M"),'ENGAGEMENTS 2026'!P1816,IF($H1816="EN COURS DE PREENGAGEMENT",'ENGAGEMENTS 2026'!O1816,IF($H1816="PREENGAGE",IF($E1816="ATTRIBUE",'ENGAGEMENTS 2026'!AE1816,'ENGAGEMENTS 2026'!O1816),'ENGAGEMENTS 2026'!AE1816))))</f>
        <v/>
      </c>
      <c r="K1816" s="604">
        <f>IF(ISBLANK('ENGAGEMENTS 2026'!W1816),"",'ENGAGEMENTS 2026'!W1816)</f>
        <v/>
      </c>
      <c r="L1816" s="276">
        <f>IF($K1816="","",TODAY()-$K1816)</f>
        <v/>
      </c>
      <c r="M1816">
        <f>IF($A1816="","",IF($H1816="ENGAGE","Engagé",IF(AND($H1816="NON ENGAGE",OR($I1816="INFRUCTUEUX",$I1816="ANNULE")),"Clôturé sans suite","En cours")))</f>
        <v/>
      </c>
      <c r="N1816">
        <f>IF(ISBLANK('ENGAGEMENTS 2026'!C1816),"",'ENGAGEMENTS 2026'!L1816)</f>
        <v/>
      </c>
      <c r="O1816">
        <f>IF(ISBLANK('ENGAGEMENTS 2026'!C1816),"",'ENGAGEMENTS 2026'!M1816)</f>
        <v/>
      </c>
      <c r="P1816">
        <f>IF(ISBLANK('ENGAGEMENTS 2026'!C1816),"",'ENGAGEMENTS 2026'!K1816)</f>
        <v/>
      </c>
      <c r="Q1816">
        <f>IF($A1816="","",IF(OR($E1816="INFRUCTUEUX",$E1816="ANNULE"),$A1816&amp;"|"&amp;(COUNTIFS($A$2:$A1816,$A1816,$E$2:$E1816,"INFRUCTUEUX")+COUNTIFS($A$2:$A1816,$A1816,$E$2:$E1816,"ANNULE")),""))</f>
        <v/>
      </c>
    </row>
    <row r="1817">
      <c r="A1817">
        <f>IF(ISBLANK('ENGAGEMENTS 2026'!C1817),"",IF('ENGAGEMENTS 2026'!C1817="DTSI","DCT",'ENGAGEMENTS 2026'!C1817))</f>
        <v/>
      </c>
      <c r="B1817">
        <f>IF(ISBLANK('ENGAGEMENTS 2026'!C1817),"",'ENGAGEMENTS 2026'!D1817)</f>
        <v/>
      </c>
      <c r="C1817">
        <f>IF(ISBLANK('ENGAGEMENTS 2026'!C1817),"",'ENGAGEMENTS 2026'!E1817)</f>
        <v/>
      </c>
      <c r="D1817">
        <f>IF(ISBLANK('ENGAGEMENTS 2026'!C1817),"",'ENGAGEMENTS 2026'!G1817)</f>
        <v/>
      </c>
      <c r="E1817">
        <f>IF(ISBLANK('ENGAGEMENTS 2026'!C1817),"",'ENGAGEMENTS 2026'!I1817)</f>
        <v/>
      </c>
      <c r="F1817">
        <f>IF(ISBLANK('ENGAGEMENTS 2026'!C1817),"",'ENGAGEMENTS 2026'!J1817)</f>
        <v/>
      </c>
      <c r="G1817">
        <f>IF(ISBLANK('ENGAGEMENTS 2026'!C1817),"",'ENGAGEMENTS 2026'!M1817)</f>
        <v/>
      </c>
      <c r="H1817">
        <f>IF(ISBLANK('ENGAGEMENTS 2026'!C1817),"",'ENGAGEMENTS 2026'!AF1817)</f>
        <v/>
      </c>
      <c r="I1817">
        <f>IF(ISBLANK('ENGAGEMENTS 2026'!C1817),"",'ENGAGEMENTS 2026'!H1817)</f>
        <v/>
      </c>
      <c r="J1817" s="275">
        <f>IF(ISBLANK('ENGAGEMENTS 2026'!C1817),"",IF(AND(OR($E1817="INFRUCTUEUX",$E1817="ANNULE"),$C1817="AOO-M"),'ENGAGEMENTS 2026'!P1817,IF($H1817="EN COURS DE PREENGAGEMENT",'ENGAGEMENTS 2026'!O1817,IF($H1817="PREENGAGE",IF($E1817="ATTRIBUE",'ENGAGEMENTS 2026'!AE1817,'ENGAGEMENTS 2026'!O1817),'ENGAGEMENTS 2026'!AE1817))))</f>
        <v/>
      </c>
      <c r="K1817" s="604">
        <f>IF(ISBLANK('ENGAGEMENTS 2026'!W1817),"",'ENGAGEMENTS 2026'!W1817)</f>
        <v/>
      </c>
      <c r="L1817" s="276">
        <f>IF($K1817="","",TODAY()-$K1817)</f>
        <v/>
      </c>
      <c r="M1817">
        <f>IF($A1817="","",IF($H1817="ENGAGE","Engagé",IF(AND($H1817="NON ENGAGE",OR($I1817="INFRUCTUEUX",$I1817="ANNULE")),"Clôturé sans suite","En cours")))</f>
        <v/>
      </c>
      <c r="N1817">
        <f>IF(ISBLANK('ENGAGEMENTS 2026'!C1817),"",'ENGAGEMENTS 2026'!L1817)</f>
        <v/>
      </c>
      <c r="O1817">
        <f>IF(ISBLANK('ENGAGEMENTS 2026'!C1817),"",'ENGAGEMENTS 2026'!M1817)</f>
        <v/>
      </c>
      <c r="P1817">
        <f>IF(ISBLANK('ENGAGEMENTS 2026'!C1817),"",'ENGAGEMENTS 2026'!K1817)</f>
        <v/>
      </c>
      <c r="Q1817">
        <f>IF($A1817="","",IF(OR($E1817="INFRUCTUEUX",$E1817="ANNULE"),$A1817&amp;"|"&amp;(COUNTIFS($A$2:$A1817,$A1817,$E$2:$E1817,"INFRUCTUEUX")+COUNTIFS($A$2:$A1817,$A1817,$E$2:$E1817,"ANNULE")),""))</f>
        <v/>
      </c>
    </row>
    <row r="1818">
      <c r="A1818">
        <f>IF(ISBLANK('ENGAGEMENTS 2026'!C1818),"",IF('ENGAGEMENTS 2026'!C1818="DTSI","DCT",'ENGAGEMENTS 2026'!C1818))</f>
        <v/>
      </c>
      <c r="B1818">
        <f>IF(ISBLANK('ENGAGEMENTS 2026'!C1818),"",'ENGAGEMENTS 2026'!D1818)</f>
        <v/>
      </c>
      <c r="C1818">
        <f>IF(ISBLANK('ENGAGEMENTS 2026'!C1818),"",'ENGAGEMENTS 2026'!E1818)</f>
        <v/>
      </c>
      <c r="D1818">
        <f>IF(ISBLANK('ENGAGEMENTS 2026'!C1818),"",'ENGAGEMENTS 2026'!G1818)</f>
        <v/>
      </c>
      <c r="E1818">
        <f>IF(ISBLANK('ENGAGEMENTS 2026'!C1818),"",'ENGAGEMENTS 2026'!I1818)</f>
        <v/>
      </c>
      <c r="F1818">
        <f>IF(ISBLANK('ENGAGEMENTS 2026'!C1818),"",'ENGAGEMENTS 2026'!J1818)</f>
        <v/>
      </c>
      <c r="G1818">
        <f>IF(ISBLANK('ENGAGEMENTS 2026'!C1818),"",'ENGAGEMENTS 2026'!M1818)</f>
        <v/>
      </c>
      <c r="H1818">
        <f>IF(ISBLANK('ENGAGEMENTS 2026'!C1818),"",'ENGAGEMENTS 2026'!AF1818)</f>
        <v/>
      </c>
      <c r="I1818">
        <f>IF(ISBLANK('ENGAGEMENTS 2026'!C1818),"",'ENGAGEMENTS 2026'!H1818)</f>
        <v/>
      </c>
      <c r="J1818" s="275">
        <f>IF(ISBLANK('ENGAGEMENTS 2026'!C1818),"",IF(AND(OR($E1818="INFRUCTUEUX",$E1818="ANNULE"),$C1818="AOO-M"),'ENGAGEMENTS 2026'!P1818,IF($H1818="EN COURS DE PREENGAGEMENT",'ENGAGEMENTS 2026'!O1818,IF($H1818="PREENGAGE",IF($E1818="ATTRIBUE",'ENGAGEMENTS 2026'!AE1818,'ENGAGEMENTS 2026'!O1818),'ENGAGEMENTS 2026'!AE1818))))</f>
        <v/>
      </c>
      <c r="K1818" s="604">
        <f>IF(ISBLANK('ENGAGEMENTS 2026'!W1818),"",'ENGAGEMENTS 2026'!W1818)</f>
        <v/>
      </c>
      <c r="L1818" s="276">
        <f>IF($K1818="","",TODAY()-$K1818)</f>
        <v/>
      </c>
      <c r="M1818">
        <f>IF($A1818="","",IF($H1818="ENGAGE","Engagé",IF(AND($H1818="NON ENGAGE",OR($I1818="INFRUCTUEUX",$I1818="ANNULE")),"Clôturé sans suite","En cours")))</f>
        <v/>
      </c>
      <c r="N1818">
        <f>IF(ISBLANK('ENGAGEMENTS 2026'!C1818),"",'ENGAGEMENTS 2026'!L1818)</f>
        <v/>
      </c>
      <c r="O1818">
        <f>IF(ISBLANK('ENGAGEMENTS 2026'!C1818),"",'ENGAGEMENTS 2026'!M1818)</f>
        <v/>
      </c>
      <c r="P1818">
        <f>IF(ISBLANK('ENGAGEMENTS 2026'!C1818),"",'ENGAGEMENTS 2026'!K1818)</f>
        <v/>
      </c>
      <c r="Q1818">
        <f>IF($A1818="","",IF(OR($E1818="INFRUCTUEUX",$E1818="ANNULE"),$A1818&amp;"|"&amp;(COUNTIFS($A$2:$A1818,$A1818,$E$2:$E1818,"INFRUCTUEUX")+COUNTIFS($A$2:$A1818,$A1818,$E$2:$E1818,"ANNULE")),""))</f>
        <v/>
      </c>
    </row>
    <row r="1819">
      <c r="A1819">
        <f>IF(ISBLANK('ENGAGEMENTS 2026'!C1819),"",IF('ENGAGEMENTS 2026'!C1819="DTSI","DCT",'ENGAGEMENTS 2026'!C1819))</f>
        <v/>
      </c>
      <c r="B1819">
        <f>IF(ISBLANK('ENGAGEMENTS 2026'!C1819),"",'ENGAGEMENTS 2026'!D1819)</f>
        <v/>
      </c>
      <c r="C1819">
        <f>IF(ISBLANK('ENGAGEMENTS 2026'!C1819),"",'ENGAGEMENTS 2026'!E1819)</f>
        <v/>
      </c>
      <c r="D1819">
        <f>IF(ISBLANK('ENGAGEMENTS 2026'!C1819),"",'ENGAGEMENTS 2026'!G1819)</f>
        <v/>
      </c>
      <c r="E1819">
        <f>IF(ISBLANK('ENGAGEMENTS 2026'!C1819),"",'ENGAGEMENTS 2026'!I1819)</f>
        <v/>
      </c>
      <c r="F1819">
        <f>IF(ISBLANK('ENGAGEMENTS 2026'!C1819),"",'ENGAGEMENTS 2026'!J1819)</f>
        <v/>
      </c>
      <c r="G1819">
        <f>IF(ISBLANK('ENGAGEMENTS 2026'!C1819),"",'ENGAGEMENTS 2026'!M1819)</f>
        <v/>
      </c>
      <c r="H1819">
        <f>IF(ISBLANK('ENGAGEMENTS 2026'!C1819),"",'ENGAGEMENTS 2026'!AF1819)</f>
        <v/>
      </c>
      <c r="I1819">
        <f>IF(ISBLANK('ENGAGEMENTS 2026'!C1819),"",'ENGAGEMENTS 2026'!H1819)</f>
        <v/>
      </c>
      <c r="J1819" s="275">
        <f>IF(ISBLANK('ENGAGEMENTS 2026'!C1819),"",IF(AND(OR($E1819="INFRUCTUEUX",$E1819="ANNULE"),$C1819="AOO-M"),'ENGAGEMENTS 2026'!P1819,IF($H1819="EN COURS DE PREENGAGEMENT",'ENGAGEMENTS 2026'!O1819,IF($H1819="PREENGAGE",IF($E1819="ATTRIBUE",'ENGAGEMENTS 2026'!AE1819,'ENGAGEMENTS 2026'!O1819),'ENGAGEMENTS 2026'!AE1819))))</f>
        <v/>
      </c>
      <c r="K1819" s="604">
        <f>IF(ISBLANK('ENGAGEMENTS 2026'!W1819),"",'ENGAGEMENTS 2026'!W1819)</f>
        <v/>
      </c>
      <c r="L1819" s="276">
        <f>IF($K1819="","",TODAY()-$K1819)</f>
        <v/>
      </c>
      <c r="M1819">
        <f>IF($A1819="","",IF($H1819="ENGAGE","Engagé",IF(AND($H1819="NON ENGAGE",OR($I1819="INFRUCTUEUX",$I1819="ANNULE")),"Clôturé sans suite","En cours")))</f>
        <v/>
      </c>
      <c r="N1819">
        <f>IF(ISBLANK('ENGAGEMENTS 2026'!C1819),"",'ENGAGEMENTS 2026'!L1819)</f>
        <v/>
      </c>
      <c r="O1819">
        <f>IF(ISBLANK('ENGAGEMENTS 2026'!C1819),"",'ENGAGEMENTS 2026'!M1819)</f>
        <v/>
      </c>
      <c r="P1819">
        <f>IF(ISBLANK('ENGAGEMENTS 2026'!C1819),"",'ENGAGEMENTS 2026'!K1819)</f>
        <v/>
      </c>
      <c r="Q1819">
        <f>IF($A1819="","",IF(OR($E1819="INFRUCTUEUX",$E1819="ANNULE"),$A1819&amp;"|"&amp;(COUNTIFS($A$2:$A1819,$A1819,$E$2:$E1819,"INFRUCTUEUX")+COUNTIFS($A$2:$A1819,$A1819,$E$2:$E1819,"ANNULE")),""))</f>
        <v/>
      </c>
    </row>
    <row r="1820">
      <c r="A1820">
        <f>IF(ISBLANK('ENGAGEMENTS 2026'!C1820),"",IF('ENGAGEMENTS 2026'!C1820="DTSI","DCT",'ENGAGEMENTS 2026'!C1820))</f>
        <v/>
      </c>
      <c r="B1820">
        <f>IF(ISBLANK('ENGAGEMENTS 2026'!C1820),"",'ENGAGEMENTS 2026'!D1820)</f>
        <v/>
      </c>
      <c r="C1820">
        <f>IF(ISBLANK('ENGAGEMENTS 2026'!C1820),"",'ENGAGEMENTS 2026'!E1820)</f>
        <v/>
      </c>
      <c r="D1820">
        <f>IF(ISBLANK('ENGAGEMENTS 2026'!C1820),"",'ENGAGEMENTS 2026'!G1820)</f>
        <v/>
      </c>
      <c r="E1820">
        <f>IF(ISBLANK('ENGAGEMENTS 2026'!C1820),"",'ENGAGEMENTS 2026'!I1820)</f>
        <v/>
      </c>
      <c r="F1820">
        <f>IF(ISBLANK('ENGAGEMENTS 2026'!C1820),"",'ENGAGEMENTS 2026'!J1820)</f>
        <v/>
      </c>
      <c r="G1820">
        <f>IF(ISBLANK('ENGAGEMENTS 2026'!C1820),"",'ENGAGEMENTS 2026'!M1820)</f>
        <v/>
      </c>
      <c r="H1820">
        <f>IF(ISBLANK('ENGAGEMENTS 2026'!C1820),"",'ENGAGEMENTS 2026'!AF1820)</f>
        <v/>
      </c>
      <c r="I1820">
        <f>IF(ISBLANK('ENGAGEMENTS 2026'!C1820),"",'ENGAGEMENTS 2026'!H1820)</f>
        <v/>
      </c>
      <c r="J1820" s="275">
        <f>IF(ISBLANK('ENGAGEMENTS 2026'!C1820),"",IF(AND(OR($E1820="INFRUCTUEUX",$E1820="ANNULE"),$C1820="AOO-M"),'ENGAGEMENTS 2026'!P1820,IF($H1820="EN COURS DE PREENGAGEMENT",'ENGAGEMENTS 2026'!O1820,IF($H1820="PREENGAGE",IF($E1820="ATTRIBUE",'ENGAGEMENTS 2026'!AE1820,'ENGAGEMENTS 2026'!O1820),'ENGAGEMENTS 2026'!AE1820))))</f>
        <v/>
      </c>
      <c r="K1820" s="604">
        <f>IF(ISBLANK('ENGAGEMENTS 2026'!W1820),"",'ENGAGEMENTS 2026'!W1820)</f>
        <v/>
      </c>
      <c r="L1820" s="276">
        <f>IF($K1820="","",TODAY()-$K1820)</f>
        <v/>
      </c>
      <c r="M1820">
        <f>IF($A1820="","",IF($H1820="ENGAGE","Engagé",IF(AND($H1820="NON ENGAGE",OR($I1820="INFRUCTUEUX",$I1820="ANNULE")),"Clôturé sans suite","En cours")))</f>
        <v/>
      </c>
      <c r="N1820">
        <f>IF(ISBLANK('ENGAGEMENTS 2026'!C1820),"",'ENGAGEMENTS 2026'!L1820)</f>
        <v/>
      </c>
      <c r="O1820">
        <f>IF(ISBLANK('ENGAGEMENTS 2026'!C1820),"",'ENGAGEMENTS 2026'!M1820)</f>
        <v/>
      </c>
      <c r="P1820">
        <f>IF(ISBLANK('ENGAGEMENTS 2026'!C1820),"",'ENGAGEMENTS 2026'!K1820)</f>
        <v/>
      </c>
      <c r="Q1820">
        <f>IF($A1820="","",IF(OR($E1820="INFRUCTUEUX",$E1820="ANNULE"),$A1820&amp;"|"&amp;(COUNTIFS($A$2:$A1820,$A1820,$E$2:$E1820,"INFRUCTUEUX")+COUNTIFS($A$2:$A1820,$A1820,$E$2:$E1820,"ANNULE")),""))</f>
        <v/>
      </c>
    </row>
    <row r="1821">
      <c r="A1821">
        <f>IF(ISBLANK('ENGAGEMENTS 2026'!C1821),"",IF('ENGAGEMENTS 2026'!C1821="DTSI","DCT",'ENGAGEMENTS 2026'!C1821))</f>
        <v/>
      </c>
      <c r="B1821">
        <f>IF(ISBLANK('ENGAGEMENTS 2026'!C1821),"",'ENGAGEMENTS 2026'!D1821)</f>
        <v/>
      </c>
      <c r="C1821">
        <f>IF(ISBLANK('ENGAGEMENTS 2026'!C1821),"",'ENGAGEMENTS 2026'!E1821)</f>
        <v/>
      </c>
      <c r="D1821">
        <f>IF(ISBLANK('ENGAGEMENTS 2026'!C1821),"",'ENGAGEMENTS 2026'!G1821)</f>
        <v/>
      </c>
      <c r="E1821">
        <f>IF(ISBLANK('ENGAGEMENTS 2026'!C1821),"",'ENGAGEMENTS 2026'!I1821)</f>
        <v/>
      </c>
      <c r="F1821">
        <f>IF(ISBLANK('ENGAGEMENTS 2026'!C1821),"",'ENGAGEMENTS 2026'!J1821)</f>
        <v/>
      </c>
      <c r="G1821">
        <f>IF(ISBLANK('ENGAGEMENTS 2026'!C1821),"",'ENGAGEMENTS 2026'!M1821)</f>
        <v/>
      </c>
      <c r="H1821">
        <f>IF(ISBLANK('ENGAGEMENTS 2026'!C1821),"",'ENGAGEMENTS 2026'!AF1821)</f>
        <v/>
      </c>
      <c r="I1821">
        <f>IF(ISBLANK('ENGAGEMENTS 2026'!C1821),"",'ENGAGEMENTS 2026'!H1821)</f>
        <v/>
      </c>
      <c r="J1821" s="275">
        <f>IF(ISBLANK('ENGAGEMENTS 2026'!C1821),"",IF(AND(OR($E1821="INFRUCTUEUX",$E1821="ANNULE"),$C1821="AOO-M"),'ENGAGEMENTS 2026'!P1821,IF($H1821="EN COURS DE PREENGAGEMENT",'ENGAGEMENTS 2026'!O1821,IF($H1821="PREENGAGE",IF($E1821="ATTRIBUE",'ENGAGEMENTS 2026'!AE1821,'ENGAGEMENTS 2026'!O1821),'ENGAGEMENTS 2026'!AE1821))))</f>
        <v/>
      </c>
      <c r="K1821" s="604">
        <f>IF(ISBLANK('ENGAGEMENTS 2026'!W1821),"",'ENGAGEMENTS 2026'!W1821)</f>
        <v/>
      </c>
      <c r="L1821" s="276">
        <f>IF($K1821="","",TODAY()-$K1821)</f>
        <v/>
      </c>
      <c r="M1821">
        <f>IF($A1821="","",IF($H1821="ENGAGE","Engagé",IF(AND($H1821="NON ENGAGE",OR($I1821="INFRUCTUEUX",$I1821="ANNULE")),"Clôturé sans suite","En cours")))</f>
        <v/>
      </c>
      <c r="N1821">
        <f>IF(ISBLANK('ENGAGEMENTS 2026'!C1821),"",'ENGAGEMENTS 2026'!L1821)</f>
        <v/>
      </c>
      <c r="O1821">
        <f>IF(ISBLANK('ENGAGEMENTS 2026'!C1821),"",'ENGAGEMENTS 2026'!M1821)</f>
        <v/>
      </c>
      <c r="P1821">
        <f>IF(ISBLANK('ENGAGEMENTS 2026'!C1821),"",'ENGAGEMENTS 2026'!K1821)</f>
        <v/>
      </c>
      <c r="Q1821">
        <f>IF($A1821="","",IF(OR($E1821="INFRUCTUEUX",$E1821="ANNULE"),$A1821&amp;"|"&amp;(COUNTIFS($A$2:$A1821,$A1821,$E$2:$E1821,"INFRUCTUEUX")+COUNTIFS($A$2:$A1821,$A1821,$E$2:$E1821,"ANNULE")),""))</f>
        <v/>
      </c>
    </row>
    <row r="1822">
      <c r="A1822">
        <f>IF(ISBLANK('ENGAGEMENTS 2026'!C1822),"",IF('ENGAGEMENTS 2026'!C1822="DTSI","DCT",'ENGAGEMENTS 2026'!C1822))</f>
        <v/>
      </c>
      <c r="B1822">
        <f>IF(ISBLANK('ENGAGEMENTS 2026'!C1822),"",'ENGAGEMENTS 2026'!D1822)</f>
        <v/>
      </c>
      <c r="C1822">
        <f>IF(ISBLANK('ENGAGEMENTS 2026'!C1822),"",'ENGAGEMENTS 2026'!E1822)</f>
        <v/>
      </c>
      <c r="D1822">
        <f>IF(ISBLANK('ENGAGEMENTS 2026'!C1822),"",'ENGAGEMENTS 2026'!G1822)</f>
        <v/>
      </c>
      <c r="E1822">
        <f>IF(ISBLANK('ENGAGEMENTS 2026'!C1822),"",'ENGAGEMENTS 2026'!I1822)</f>
        <v/>
      </c>
      <c r="F1822">
        <f>IF(ISBLANK('ENGAGEMENTS 2026'!C1822),"",'ENGAGEMENTS 2026'!J1822)</f>
        <v/>
      </c>
      <c r="G1822">
        <f>IF(ISBLANK('ENGAGEMENTS 2026'!C1822),"",'ENGAGEMENTS 2026'!M1822)</f>
        <v/>
      </c>
      <c r="H1822">
        <f>IF(ISBLANK('ENGAGEMENTS 2026'!C1822),"",'ENGAGEMENTS 2026'!AF1822)</f>
        <v/>
      </c>
      <c r="I1822">
        <f>IF(ISBLANK('ENGAGEMENTS 2026'!C1822),"",'ENGAGEMENTS 2026'!H1822)</f>
        <v/>
      </c>
      <c r="J1822" s="275">
        <f>IF(ISBLANK('ENGAGEMENTS 2026'!C1822),"",IF(AND(OR($E1822="INFRUCTUEUX",$E1822="ANNULE"),$C1822="AOO-M"),'ENGAGEMENTS 2026'!P1822,IF($H1822="EN COURS DE PREENGAGEMENT",'ENGAGEMENTS 2026'!O1822,IF($H1822="PREENGAGE",IF($E1822="ATTRIBUE",'ENGAGEMENTS 2026'!AE1822,'ENGAGEMENTS 2026'!O1822),'ENGAGEMENTS 2026'!AE1822))))</f>
        <v/>
      </c>
      <c r="K1822" s="604">
        <f>IF(ISBLANK('ENGAGEMENTS 2026'!W1822),"",'ENGAGEMENTS 2026'!W1822)</f>
        <v/>
      </c>
      <c r="L1822" s="276">
        <f>IF($K1822="","",TODAY()-$K1822)</f>
        <v/>
      </c>
      <c r="M1822">
        <f>IF($A1822="","",IF($H1822="ENGAGE","Engagé",IF(AND($H1822="NON ENGAGE",OR($I1822="INFRUCTUEUX",$I1822="ANNULE")),"Clôturé sans suite","En cours")))</f>
        <v/>
      </c>
      <c r="N1822">
        <f>IF(ISBLANK('ENGAGEMENTS 2026'!C1822),"",'ENGAGEMENTS 2026'!L1822)</f>
        <v/>
      </c>
      <c r="O1822">
        <f>IF(ISBLANK('ENGAGEMENTS 2026'!C1822),"",'ENGAGEMENTS 2026'!M1822)</f>
        <v/>
      </c>
      <c r="P1822">
        <f>IF(ISBLANK('ENGAGEMENTS 2026'!C1822),"",'ENGAGEMENTS 2026'!K1822)</f>
        <v/>
      </c>
      <c r="Q1822">
        <f>IF($A1822="","",IF(OR($E1822="INFRUCTUEUX",$E1822="ANNULE"),$A1822&amp;"|"&amp;(COUNTIFS($A$2:$A1822,$A1822,$E$2:$E1822,"INFRUCTUEUX")+COUNTIFS($A$2:$A1822,$A1822,$E$2:$E1822,"ANNULE")),""))</f>
        <v/>
      </c>
    </row>
    <row r="1823">
      <c r="A1823">
        <f>IF(ISBLANK('ENGAGEMENTS 2026'!C1823),"",IF('ENGAGEMENTS 2026'!C1823="DTSI","DCT",'ENGAGEMENTS 2026'!C1823))</f>
        <v/>
      </c>
      <c r="B1823">
        <f>IF(ISBLANK('ENGAGEMENTS 2026'!C1823),"",'ENGAGEMENTS 2026'!D1823)</f>
        <v/>
      </c>
      <c r="C1823">
        <f>IF(ISBLANK('ENGAGEMENTS 2026'!C1823),"",'ENGAGEMENTS 2026'!E1823)</f>
        <v/>
      </c>
      <c r="D1823">
        <f>IF(ISBLANK('ENGAGEMENTS 2026'!C1823),"",'ENGAGEMENTS 2026'!G1823)</f>
        <v/>
      </c>
      <c r="E1823">
        <f>IF(ISBLANK('ENGAGEMENTS 2026'!C1823),"",'ENGAGEMENTS 2026'!I1823)</f>
        <v/>
      </c>
      <c r="F1823">
        <f>IF(ISBLANK('ENGAGEMENTS 2026'!C1823),"",'ENGAGEMENTS 2026'!J1823)</f>
        <v/>
      </c>
      <c r="G1823">
        <f>IF(ISBLANK('ENGAGEMENTS 2026'!C1823),"",'ENGAGEMENTS 2026'!M1823)</f>
        <v/>
      </c>
      <c r="H1823">
        <f>IF(ISBLANK('ENGAGEMENTS 2026'!C1823),"",'ENGAGEMENTS 2026'!AF1823)</f>
        <v/>
      </c>
      <c r="I1823">
        <f>IF(ISBLANK('ENGAGEMENTS 2026'!C1823),"",'ENGAGEMENTS 2026'!H1823)</f>
        <v/>
      </c>
      <c r="J1823" s="275">
        <f>IF(ISBLANK('ENGAGEMENTS 2026'!C1823),"",IF(AND(OR($E1823="INFRUCTUEUX",$E1823="ANNULE"),$C1823="AOO-M"),'ENGAGEMENTS 2026'!P1823,IF($H1823="EN COURS DE PREENGAGEMENT",'ENGAGEMENTS 2026'!O1823,IF($H1823="PREENGAGE",IF($E1823="ATTRIBUE",'ENGAGEMENTS 2026'!AE1823,'ENGAGEMENTS 2026'!O1823),'ENGAGEMENTS 2026'!AE1823))))</f>
        <v/>
      </c>
      <c r="K1823" s="604">
        <f>IF(ISBLANK('ENGAGEMENTS 2026'!W1823),"",'ENGAGEMENTS 2026'!W1823)</f>
        <v/>
      </c>
      <c r="L1823" s="276">
        <f>IF($K1823="","",TODAY()-$K1823)</f>
        <v/>
      </c>
      <c r="M1823">
        <f>IF($A1823="","",IF($H1823="ENGAGE","Engagé",IF(AND($H1823="NON ENGAGE",OR($I1823="INFRUCTUEUX",$I1823="ANNULE")),"Clôturé sans suite","En cours")))</f>
        <v/>
      </c>
      <c r="N1823">
        <f>IF(ISBLANK('ENGAGEMENTS 2026'!C1823),"",'ENGAGEMENTS 2026'!L1823)</f>
        <v/>
      </c>
      <c r="O1823">
        <f>IF(ISBLANK('ENGAGEMENTS 2026'!C1823),"",'ENGAGEMENTS 2026'!M1823)</f>
        <v/>
      </c>
      <c r="P1823">
        <f>IF(ISBLANK('ENGAGEMENTS 2026'!C1823),"",'ENGAGEMENTS 2026'!K1823)</f>
        <v/>
      </c>
      <c r="Q1823">
        <f>IF($A1823="","",IF(OR($E1823="INFRUCTUEUX",$E1823="ANNULE"),$A1823&amp;"|"&amp;(COUNTIFS($A$2:$A1823,$A1823,$E$2:$E1823,"INFRUCTUEUX")+COUNTIFS($A$2:$A1823,$A1823,$E$2:$E1823,"ANNULE")),""))</f>
        <v/>
      </c>
    </row>
    <row r="1824">
      <c r="A1824">
        <f>IF(ISBLANK('ENGAGEMENTS 2026'!C1824),"",IF('ENGAGEMENTS 2026'!C1824="DTSI","DCT",'ENGAGEMENTS 2026'!C1824))</f>
        <v/>
      </c>
      <c r="B1824">
        <f>IF(ISBLANK('ENGAGEMENTS 2026'!C1824),"",'ENGAGEMENTS 2026'!D1824)</f>
        <v/>
      </c>
      <c r="C1824">
        <f>IF(ISBLANK('ENGAGEMENTS 2026'!C1824),"",'ENGAGEMENTS 2026'!E1824)</f>
        <v/>
      </c>
      <c r="D1824">
        <f>IF(ISBLANK('ENGAGEMENTS 2026'!C1824),"",'ENGAGEMENTS 2026'!G1824)</f>
        <v/>
      </c>
      <c r="E1824">
        <f>IF(ISBLANK('ENGAGEMENTS 2026'!C1824),"",'ENGAGEMENTS 2026'!I1824)</f>
        <v/>
      </c>
      <c r="F1824">
        <f>IF(ISBLANK('ENGAGEMENTS 2026'!C1824),"",'ENGAGEMENTS 2026'!J1824)</f>
        <v/>
      </c>
      <c r="G1824">
        <f>IF(ISBLANK('ENGAGEMENTS 2026'!C1824),"",'ENGAGEMENTS 2026'!M1824)</f>
        <v/>
      </c>
      <c r="H1824">
        <f>IF(ISBLANK('ENGAGEMENTS 2026'!C1824),"",'ENGAGEMENTS 2026'!AF1824)</f>
        <v/>
      </c>
      <c r="I1824">
        <f>IF(ISBLANK('ENGAGEMENTS 2026'!C1824),"",'ENGAGEMENTS 2026'!H1824)</f>
        <v/>
      </c>
      <c r="J1824" s="275">
        <f>IF(ISBLANK('ENGAGEMENTS 2026'!C1824),"",IF(AND(OR($E1824="INFRUCTUEUX",$E1824="ANNULE"),$C1824="AOO-M"),'ENGAGEMENTS 2026'!P1824,IF($H1824="EN COURS DE PREENGAGEMENT",'ENGAGEMENTS 2026'!O1824,IF($H1824="PREENGAGE",IF($E1824="ATTRIBUE",'ENGAGEMENTS 2026'!AE1824,'ENGAGEMENTS 2026'!O1824),'ENGAGEMENTS 2026'!AE1824))))</f>
        <v/>
      </c>
      <c r="K1824" s="604">
        <f>IF(ISBLANK('ENGAGEMENTS 2026'!W1824),"",'ENGAGEMENTS 2026'!W1824)</f>
        <v/>
      </c>
      <c r="L1824" s="276">
        <f>IF($K1824="","",TODAY()-$K1824)</f>
        <v/>
      </c>
      <c r="M1824">
        <f>IF($A1824="","",IF($H1824="ENGAGE","Engagé",IF(AND($H1824="NON ENGAGE",OR($I1824="INFRUCTUEUX",$I1824="ANNULE")),"Clôturé sans suite","En cours")))</f>
        <v/>
      </c>
      <c r="N1824">
        <f>IF(ISBLANK('ENGAGEMENTS 2026'!C1824),"",'ENGAGEMENTS 2026'!L1824)</f>
        <v/>
      </c>
      <c r="O1824">
        <f>IF(ISBLANK('ENGAGEMENTS 2026'!C1824),"",'ENGAGEMENTS 2026'!M1824)</f>
        <v/>
      </c>
      <c r="P1824">
        <f>IF(ISBLANK('ENGAGEMENTS 2026'!C1824),"",'ENGAGEMENTS 2026'!K1824)</f>
        <v/>
      </c>
      <c r="Q1824">
        <f>IF($A1824="","",IF(OR($E1824="INFRUCTUEUX",$E1824="ANNULE"),$A1824&amp;"|"&amp;(COUNTIFS($A$2:$A1824,$A1824,$E$2:$E1824,"INFRUCTUEUX")+COUNTIFS($A$2:$A1824,$A1824,$E$2:$E1824,"ANNULE")),""))</f>
        <v/>
      </c>
    </row>
    <row r="1825">
      <c r="A1825">
        <f>IF(ISBLANK('ENGAGEMENTS 2026'!C1825),"",IF('ENGAGEMENTS 2026'!C1825="DTSI","DCT",'ENGAGEMENTS 2026'!C1825))</f>
        <v/>
      </c>
      <c r="B1825">
        <f>IF(ISBLANK('ENGAGEMENTS 2026'!C1825),"",'ENGAGEMENTS 2026'!D1825)</f>
        <v/>
      </c>
      <c r="C1825">
        <f>IF(ISBLANK('ENGAGEMENTS 2026'!C1825),"",'ENGAGEMENTS 2026'!E1825)</f>
        <v/>
      </c>
      <c r="D1825">
        <f>IF(ISBLANK('ENGAGEMENTS 2026'!C1825),"",'ENGAGEMENTS 2026'!G1825)</f>
        <v/>
      </c>
      <c r="E1825">
        <f>IF(ISBLANK('ENGAGEMENTS 2026'!C1825),"",'ENGAGEMENTS 2026'!I1825)</f>
        <v/>
      </c>
      <c r="F1825">
        <f>IF(ISBLANK('ENGAGEMENTS 2026'!C1825),"",'ENGAGEMENTS 2026'!J1825)</f>
        <v/>
      </c>
      <c r="G1825">
        <f>IF(ISBLANK('ENGAGEMENTS 2026'!C1825),"",'ENGAGEMENTS 2026'!M1825)</f>
        <v/>
      </c>
      <c r="H1825">
        <f>IF(ISBLANK('ENGAGEMENTS 2026'!C1825),"",'ENGAGEMENTS 2026'!AF1825)</f>
        <v/>
      </c>
      <c r="I1825">
        <f>IF(ISBLANK('ENGAGEMENTS 2026'!C1825),"",'ENGAGEMENTS 2026'!H1825)</f>
        <v/>
      </c>
      <c r="J1825" s="275">
        <f>IF(ISBLANK('ENGAGEMENTS 2026'!C1825),"",IF(AND(OR($E1825="INFRUCTUEUX",$E1825="ANNULE"),$C1825="AOO-M"),'ENGAGEMENTS 2026'!P1825,IF($H1825="EN COURS DE PREENGAGEMENT",'ENGAGEMENTS 2026'!O1825,IF($H1825="PREENGAGE",IF($E1825="ATTRIBUE",'ENGAGEMENTS 2026'!AE1825,'ENGAGEMENTS 2026'!O1825),'ENGAGEMENTS 2026'!AE1825))))</f>
        <v/>
      </c>
      <c r="K1825" s="604">
        <f>IF(ISBLANK('ENGAGEMENTS 2026'!W1825),"",'ENGAGEMENTS 2026'!W1825)</f>
        <v/>
      </c>
      <c r="L1825" s="276">
        <f>IF($K1825="","",TODAY()-$K1825)</f>
        <v/>
      </c>
      <c r="M1825">
        <f>IF($A1825="","",IF($H1825="ENGAGE","Engagé",IF(AND($H1825="NON ENGAGE",OR($I1825="INFRUCTUEUX",$I1825="ANNULE")),"Clôturé sans suite","En cours")))</f>
        <v/>
      </c>
      <c r="N1825">
        <f>IF(ISBLANK('ENGAGEMENTS 2026'!C1825),"",'ENGAGEMENTS 2026'!L1825)</f>
        <v/>
      </c>
      <c r="O1825">
        <f>IF(ISBLANK('ENGAGEMENTS 2026'!C1825),"",'ENGAGEMENTS 2026'!M1825)</f>
        <v/>
      </c>
      <c r="P1825">
        <f>IF(ISBLANK('ENGAGEMENTS 2026'!C1825),"",'ENGAGEMENTS 2026'!K1825)</f>
        <v/>
      </c>
      <c r="Q1825">
        <f>IF($A1825="","",IF(OR($E1825="INFRUCTUEUX",$E1825="ANNULE"),$A1825&amp;"|"&amp;(COUNTIFS($A$2:$A1825,$A1825,$E$2:$E1825,"INFRUCTUEUX")+COUNTIFS($A$2:$A1825,$A1825,$E$2:$E1825,"ANNULE")),""))</f>
        <v/>
      </c>
    </row>
    <row r="1826">
      <c r="A1826">
        <f>IF(ISBLANK('ENGAGEMENTS 2026'!C1826),"",IF('ENGAGEMENTS 2026'!C1826="DTSI","DCT",'ENGAGEMENTS 2026'!C1826))</f>
        <v/>
      </c>
      <c r="B1826">
        <f>IF(ISBLANK('ENGAGEMENTS 2026'!C1826),"",'ENGAGEMENTS 2026'!D1826)</f>
        <v/>
      </c>
      <c r="C1826">
        <f>IF(ISBLANK('ENGAGEMENTS 2026'!C1826),"",'ENGAGEMENTS 2026'!E1826)</f>
        <v/>
      </c>
      <c r="D1826">
        <f>IF(ISBLANK('ENGAGEMENTS 2026'!C1826),"",'ENGAGEMENTS 2026'!G1826)</f>
        <v/>
      </c>
      <c r="E1826">
        <f>IF(ISBLANK('ENGAGEMENTS 2026'!C1826),"",'ENGAGEMENTS 2026'!I1826)</f>
        <v/>
      </c>
      <c r="F1826">
        <f>IF(ISBLANK('ENGAGEMENTS 2026'!C1826),"",'ENGAGEMENTS 2026'!J1826)</f>
        <v/>
      </c>
      <c r="G1826">
        <f>IF(ISBLANK('ENGAGEMENTS 2026'!C1826),"",'ENGAGEMENTS 2026'!M1826)</f>
        <v/>
      </c>
      <c r="H1826">
        <f>IF(ISBLANK('ENGAGEMENTS 2026'!C1826),"",'ENGAGEMENTS 2026'!AF1826)</f>
        <v/>
      </c>
      <c r="I1826">
        <f>IF(ISBLANK('ENGAGEMENTS 2026'!C1826),"",'ENGAGEMENTS 2026'!H1826)</f>
        <v/>
      </c>
      <c r="J1826" s="275">
        <f>IF(ISBLANK('ENGAGEMENTS 2026'!C1826),"",IF(AND(OR($E1826="INFRUCTUEUX",$E1826="ANNULE"),$C1826="AOO-M"),'ENGAGEMENTS 2026'!P1826,IF($H1826="EN COURS DE PREENGAGEMENT",'ENGAGEMENTS 2026'!O1826,IF($H1826="PREENGAGE",IF($E1826="ATTRIBUE",'ENGAGEMENTS 2026'!AE1826,'ENGAGEMENTS 2026'!O1826),'ENGAGEMENTS 2026'!AE1826))))</f>
        <v/>
      </c>
      <c r="K1826" s="604">
        <f>IF(ISBLANK('ENGAGEMENTS 2026'!W1826),"",'ENGAGEMENTS 2026'!W1826)</f>
        <v/>
      </c>
      <c r="L1826" s="276">
        <f>IF($K1826="","",TODAY()-$K1826)</f>
        <v/>
      </c>
      <c r="M1826">
        <f>IF($A1826="","",IF($H1826="ENGAGE","Engagé",IF(AND($H1826="NON ENGAGE",OR($I1826="INFRUCTUEUX",$I1826="ANNULE")),"Clôturé sans suite","En cours")))</f>
        <v/>
      </c>
      <c r="N1826">
        <f>IF(ISBLANK('ENGAGEMENTS 2026'!C1826),"",'ENGAGEMENTS 2026'!L1826)</f>
        <v/>
      </c>
      <c r="O1826">
        <f>IF(ISBLANK('ENGAGEMENTS 2026'!C1826),"",'ENGAGEMENTS 2026'!M1826)</f>
        <v/>
      </c>
      <c r="P1826">
        <f>IF(ISBLANK('ENGAGEMENTS 2026'!C1826),"",'ENGAGEMENTS 2026'!K1826)</f>
        <v/>
      </c>
      <c r="Q1826">
        <f>IF($A1826="","",IF(OR($E1826="INFRUCTUEUX",$E1826="ANNULE"),$A1826&amp;"|"&amp;(COUNTIFS($A$2:$A1826,$A1826,$E$2:$E1826,"INFRUCTUEUX")+COUNTIFS($A$2:$A1826,$A1826,$E$2:$E1826,"ANNULE")),""))</f>
        <v/>
      </c>
    </row>
    <row r="1827">
      <c r="A1827">
        <f>IF(ISBLANK('ENGAGEMENTS 2026'!C1827),"",IF('ENGAGEMENTS 2026'!C1827="DTSI","DCT",'ENGAGEMENTS 2026'!C1827))</f>
        <v/>
      </c>
      <c r="B1827">
        <f>IF(ISBLANK('ENGAGEMENTS 2026'!C1827),"",'ENGAGEMENTS 2026'!D1827)</f>
        <v/>
      </c>
      <c r="C1827">
        <f>IF(ISBLANK('ENGAGEMENTS 2026'!C1827),"",'ENGAGEMENTS 2026'!E1827)</f>
        <v/>
      </c>
      <c r="D1827">
        <f>IF(ISBLANK('ENGAGEMENTS 2026'!C1827),"",'ENGAGEMENTS 2026'!G1827)</f>
        <v/>
      </c>
      <c r="E1827">
        <f>IF(ISBLANK('ENGAGEMENTS 2026'!C1827),"",'ENGAGEMENTS 2026'!I1827)</f>
        <v/>
      </c>
      <c r="F1827">
        <f>IF(ISBLANK('ENGAGEMENTS 2026'!C1827),"",'ENGAGEMENTS 2026'!J1827)</f>
        <v/>
      </c>
      <c r="G1827">
        <f>IF(ISBLANK('ENGAGEMENTS 2026'!C1827),"",'ENGAGEMENTS 2026'!M1827)</f>
        <v/>
      </c>
      <c r="H1827">
        <f>IF(ISBLANK('ENGAGEMENTS 2026'!C1827),"",'ENGAGEMENTS 2026'!AF1827)</f>
        <v/>
      </c>
      <c r="I1827">
        <f>IF(ISBLANK('ENGAGEMENTS 2026'!C1827),"",'ENGAGEMENTS 2026'!H1827)</f>
        <v/>
      </c>
      <c r="J1827" s="275">
        <f>IF(ISBLANK('ENGAGEMENTS 2026'!C1827),"",IF(AND(OR($E1827="INFRUCTUEUX",$E1827="ANNULE"),$C1827="AOO-M"),'ENGAGEMENTS 2026'!P1827,IF($H1827="EN COURS DE PREENGAGEMENT",'ENGAGEMENTS 2026'!O1827,IF($H1827="PREENGAGE",IF($E1827="ATTRIBUE",'ENGAGEMENTS 2026'!AE1827,'ENGAGEMENTS 2026'!O1827),'ENGAGEMENTS 2026'!AE1827))))</f>
        <v/>
      </c>
      <c r="K1827" s="604">
        <f>IF(ISBLANK('ENGAGEMENTS 2026'!W1827),"",'ENGAGEMENTS 2026'!W1827)</f>
        <v/>
      </c>
      <c r="L1827" s="276">
        <f>IF($K1827="","",TODAY()-$K1827)</f>
        <v/>
      </c>
      <c r="M1827">
        <f>IF($A1827="","",IF($H1827="ENGAGE","Engagé",IF(AND($H1827="NON ENGAGE",OR($I1827="INFRUCTUEUX",$I1827="ANNULE")),"Clôturé sans suite","En cours")))</f>
        <v/>
      </c>
      <c r="N1827">
        <f>IF(ISBLANK('ENGAGEMENTS 2026'!C1827),"",'ENGAGEMENTS 2026'!L1827)</f>
        <v/>
      </c>
      <c r="O1827">
        <f>IF(ISBLANK('ENGAGEMENTS 2026'!C1827),"",'ENGAGEMENTS 2026'!M1827)</f>
        <v/>
      </c>
      <c r="P1827">
        <f>IF(ISBLANK('ENGAGEMENTS 2026'!C1827),"",'ENGAGEMENTS 2026'!K1827)</f>
        <v/>
      </c>
      <c r="Q1827">
        <f>IF($A1827="","",IF(OR($E1827="INFRUCTUEUX",$E1827="ANNULE"),$A1827&amp;"|"&amp;(COUNTIFS($A$2:$A1827,$A1827,$E$2:$E1827,"INFRUCTUEUX")+COUNTIFS($A$2:$A1827,$A1827,$E$2:$E1827,"ANNULE")),""))</f>
        <v/>
      </c>
    </row>
    <row r="1828">
      <c r="A1828">
        <f>IF(ISBLANK('ENGAGEMENTS 2026'!C1828),"",IF('ENGAGEMENTS 2026'!C1828="DTSI","DCT",'ENGAGEMENTS 2026'!C1828))</f>
        <v/>
      </c>
      <c r="B1828">
        <f>IF(ISBLANK('ENGAGEMENTS 2026'!C1828),"",'ENGAGEMENTS 2026'!D1828)</f>
        <v/>
      </c>
      <c r="C1828">
        <f>IF(ISBLANK('ENGAGEMENTS 2026'!C1828),"",'ENGAGEMENTS 2026'!E1828)</f>
        <v/>
      </c>
      <c r="D1828">
        <f>IF(ISBLANK('ENGAGEMENTS 2026'!C1828),"",'ENGAGEMENTS 2026'!G1828)</f>
        <v/>
      </c>
      <c r="E1828">
        <f>IF(ISBLANK('ENGAGEMENTS 2026'!C1828),"",'ENGAGEMENTS 2026'!I1828)</f>
        <v/>
      </c>
      <c r="F1828">
        <f>IF(ISBLANK('ENGAGEMENTS 2026'!C1828),"",'ENGAGEMENTS 2026'!J1828)</f>
        <v/>
      </c>
      <c r="G1828">
        <f>IF(ISBLANK('ENGAGEMENTS 2026'!C1828),"",'ENGAGEMENTS 2026'!M1828)</f>
        <v/>
      </c>
      <c r="H1828">
        <f>IF(ISBLANK('ENGAGEMENTS 2026'!C1828),"",'ENGAGEMENTS 2026'!AF1828)</f>
        <v/>
      </c>
      <c r="I1828">
        <f>IF(ISBLANK('ENGAGEMENTS 2026'!C1828),"",'ENGAGEMENTS 2026'!H1828)</f>
        <v/>
      </c>
      <c r="J1828" s="275">
        <f>IF(ISBLANK('ENGAGEMENTS 2026'!C1828),"",IF(AND(OR($E1828="INFRUCTUEUX",$E1828="ANNULE"),$C1828="AOO-M"),'ENGAGEMENTS 2026'!P1828,IF($H1828="EN COURS DE PREENGAGEMENT",'ENGAGEMENTS 2026'!O1828,IF($H1828="PREENGAGE",IF($E1828="ATTRIBUE",'ENGAGEMENTS 2026'!AE1828,'ENGAGEMENTS 2026'!O1828),'ENGAGEMENTS 2026'!AE1828))))</f>
        <v/>
      </c>
      <c r="K1828" s="604">
        <f>IF(ISBLANK('ENGAGEMENTS 2026'!W1828),"",'ENGAGEMENTS 2026'!W1828)</f>
        <v/>
      </c>
      <c r="L1828" s="276">
        <f>IF($K1828="","",TODAY()-$K1828)</f>
        <v/>
      </c>
      <c r="M1828">
        <f>IF($A1828="","",IF($H1828="ENGAGE","Engagé",IF(AND($H1828="NON ENGAGE",OR($I1828="INFRUCTUEUX",$I1828="ANNULE")),"Clôturé sans suite","En cours")))</f>
        <v/>
      </c>
      <c r="N1828">
        <f>IF(ISBLANK('ENGAGEMENTS 2026'!C1828),"",'ENGAGEMENTS 2026'!L1828)</f>
        <v/>
      </c>
      <c r="O1828">
        <f>IF(ISBLANK('ENGAGEMENTS 2026'!C1828),"",'ENGAGEMENTS 2026'!M1828)</f>
        <v/>
      </c>
      <c r="P1828">
        <f>IF(ISBLANK('ENGAGEMENTS 2026'!C1828),"",'ENGAGEMENTS 2026'!K1828)</f>
        <v/>
      </c>
      <c r="Q1828">
        <f>IF($A1828="","",IF(OR($E1828="INFRUCTUEUX",$E1828="ANNULE"),$A1828&amp;"|"&amp;(COUNTIFS($A$2:$A1828,$A1828,$E$2:$E1828,"INFRUCTUEUX")+COUNTIFS($A$2:$A1828,$A1828,$E$2:$E1828,"ANNULE")),""))</f>
        <v/>
      </c>
    </row>
    <row r="1829">
      <c r="A1829">
        <f>IF(ISBLANK('ENGAGEMENTS 2026'!C1829),"",IF('ENGAGEMENTS 2026'!C1829="DTSI","DCT",'ENGAGEMENTS 2026'!C1829))</f>
        <v/>
      </c>
      <c r="B1829">
        <f>IF(ISBLANK('ENGAGEMENTS 2026'!C1829),"",'ENGAGEMENTS 2026'!D1829)</f>
        <v/>
      </c>
      <c r="C1829">
        <f>IF(ISBLANK('ENGAGEMENTS 2026'!C1829),"",'ENGAGEMENTS 2026'!E1829)</f>
        <v/>
      </c>
      <c r="D1829">
        <f>IF(ISBLANK('ENGAGEMENTS 2026'!C1829),"",'ENGAGEMENTS 2026'!G1829)</f>
        <v/>
      </c>
      <c r="E1829">
        <f>IF(ISBLANK('ENGAGEMENTS 2026'!C1829),"",'ENGAGEMENTS 2026'!I1829)</f>
        <v/>
      </c>
      <c r="F1829">
        <f>IF(ISBLANK('ENGAGEMENTS 2026'!C1829),"",'ENGAGEMENTS 2026'!J1829)</f>
        <v/>
      </c>
      <c r="G1829">
        <f>IF(ISBLANK('ENGAGEMENTS 2026'!C1829),"",'ENGAGEMENTS 2026'!M1829)</f>
        <v/>
      </c>
      <c r="H1829">
        <f>IF(ISBLANK('ENGAGEMENTS 2026'!C1829),"",'ENGAGEMENTS 2026'!AF1829)</f>
        <v/>
      </c>
      <c r="I1829">
        <f>IF(ISBLANK('ENGAGEMENTS 2026'!C1829),"",'ENGAGEMENTS 2026'!H1829)</f>
        <v/>
      </c>
      <c r="J1829" s="275">
        <f>IF(ISBLANK('ENGAGEMENTS 2026'!C1829),"",IF(AND(OR($E1829="INFRUCTUEUX",$E1829="ANNULE"),$C1829="AOO-M"),'ENGAGEMENTS 2026'!P1829,IF($H1829="EN COURS DE PREENGAGEMENT",'ENGAGEMENTS 2026'!O1829,IF($H1829="PREENGAGE",IF($E1829="ATTRIBUE",'ENGAGEMENTS 2026'!AE1829,'ENGAGEMENTS 2026'!O1829),'ENGAGEMENTS 2026'!AE1829))))</f>
        <v/>
      </c>
      <c r="K1829" s="604">
        <f>IF(ISBLANK('ENGAGEMENTS 2026'!W1829),"",'ENGAGEMENTS 2026'!W1829)</f>
        <v/>
      </c>
      <c r="L1829" s="276">
        <f>IF($K1829="","",TODAY()-$K1829)</f>
        <v/>
      </c>
      <c r="M1829">
        <f>IF($A1829="","",IF($H1829="ENGAGE","Engagé",IF(AND($H1829="NON ENGAGE",OR($I1829="INFRUCTUEUX",$I1829="ANNULE")),"Clôturé sans suite","En cours")))</f>
        <v/>
      </c>
      <c r="N1829">
        <f>IF(ISBLANK('ENGAGEMENTS 2026'!C1829),"",'ENGAGEMENTS 2026'!L1829)</f>
        <v/>
      </c>
      <c r="O1829">
        <f>IF(ISBLANK('ENGAGEMENTS 2026'!C1829),"",'ENGAGEMENTS 2026'!M1829)</f>
        <v/>
      </c>
      <c r="P1829">
        <f>IF(ISBLANK('ENGAGEMENTS 2026'!C1829),"",'ENGAGEMENTS 2026'!K1829)</f>
        <v/>
      </c>
      <c r="Q1829">
        <f>IF($A1829="","",IF(OR($E1829="INFRUCTUEUX",$E1829="ANNULE"),$A1829&amp;"|"&amp;(COUNTIFS($A$2:$A1829,$A1829,$E$2:$E1829,"INFRUCTUEUX")+COUNTIFS($A$2:$A1829,$A1829,$E$2:$E1829,"ANNULE")),""))</f>
        <v/>
      </c>
    </row>
    <row r="1830">
      <c r="A1830">
        <f>IF(ISBLANK('ENGAGEMENTS 2026'!C1830),"",IF('ENGAGEMENTS 2026'!C1830="DTSI","DCT",'ENGAGEMENTS 2026'!C1830))</f>
        <v/>
      </c>
      <c r="B1830">
        <f>IF(ISBLANK('ENGAGEMENTS 2026'!C1830),"",'ENGAGEMENTS 2026'!D1830)</f>
        <v/>
      </c>
      <c r="C1830">
        <f>IF(ISBLANK('ENGAGEMENTS 2026'!C1830),"",'ENGAGEMENTS 2026'!E1830)</f>
        <v/>
      </c>
      <c r="D1830">
        <f>IF(ISBLANK('ENGAGEMENTS 2026'!C1830),"",'ENGAGEMENTS 2026'!G1830)</f>
        <v/>
      </c>
      <c r="E1830">
        <f>IF(ISBLANK('ENGAGEMENTS 2026'!C1830),"",'ENGAGEMENTS 2026'!I1830)</f>
        <v/>
      </c>
      <c r="F1830">
        <f>IF(ISBLANK('ENGAGEMENTS 2026'!C1830),"",'ENGAGEMENTS 2026'!J1830)</f>
        <v/>
      </c>
      <c r="G1830">
        <f>IF(ISBLANK('ENGAGEMENTS 2026'!C1830),"",'ENGAGEMENTS 2026'!M1830)</f>
        <v/>
      </c>
      <c r="H1830">
        <f>IF(ISBLANK('ENGAGEMENTS 2026'!C1830),"",'ENGAGEMENTS 2026'!AF1830)</f>
        <v/>
      </c>
      <c r="I1830">
        <f>IF(ISBLANK('ENGAGEMENTS 2026'!C1830),"",'ENGAGEMENTS 2026'!H1830)</f>
        <v/>
      </c>
      <c r="J1830" s="275">
        <f>IF(ISBLANK('ENGAGEMENTS 2026'!C1830),"",IF(AND(OR($E1830="INFRUCTUEUX",$E1830="ANNULE"),$C1830="AOO-M"),'ENGAGEMENTS 2026'!P1830,IF($H1830="EN COURS DE PREENGAGEMENT",'ENGAGEMENTS 2026'!O1830,IF($H1830="PREENGAGE",IF($E1830="ATTRIBUE",'ENGAGEMENTS 2026'!AE1830,'ENGAGEMENTS 2026'!O1830),'ENGAGEMENTS 2026'!AE1830))))</f>
        <v/>
      </c>
      <c r="K1830" s="604">
        <f>IF(ISBLANK('ENGAGEMENTS 2026'!W1830),"",'ENGAGEMENTS 2026'!W1830)</f>
        <v/>
      </c>
      <c r="L1830" s="276">
        <f>IF($K1830="","",TODAY()-$K1830)</f>
        <v/>
      </c>
      <c r="M1830">
        <f>IF($A1830="","",IF($H1830="ENGAGE","Engagé",IF(AND($H1830="NON ENGAGE",OR($I1830="INFRUCTUEUX",$I1830="ANNULE")),"Clôturé sans suite","En cours")))</f>
        <v/>
      </c>
      <c r="N1830">
        <f>IF(ISBLANK('ENGAGEMENTS 2026'!C1830),"",'ENGAGEMENTS 2026'!L1830)</f>
        <v/>
      </c>
      <c r="O1830">
        <f>IF(ISBLANK('ENGAGEMENTS 2026'!C1830),"",'ENGAGEMENTS 2026'!M1830)</f>
        <v/>
      </c>
      <c r="P1830">
        <f>IF(ISBLANK('ENGAGEMENTS 2026'!C1830),"",'ENGAGEMENTS 2026'!K1830)</f>
        <v/>
      </c>
      <c r="Q1830">
        <f>IF($A1830="","",IF(OR($E1830="INFRUCTUEUX",$E1830="ANNULE"),$A1830&amp;"|"&amp;(COUNTIFS($A$2:$A1830,$A1830,$E$2:$E1830,"INFRUCTUEUX")+COUNTIFS($A$2:$A1830,$A1830,$E$2:$E1830,"ANNULE")),""))</f>
        <v/>
      </c>
    </row>
    <row r="1831">
      <c r="A1831">
        <f>IF(ISBLANK('ENGAGEMENTS 2026'!C1831),"",IF('ENGAGEMENTS 2026'!C1831="DTSI","DCT",'ENGAGEMENTS 2026'!C1831))</f>
        <v/>
      </c>
      <c r="B1831">
        <f>IF(ISBLANK('ENGAGEMENTS 2026'!C1831),"",'ENGAGEMENTS 2026'!D1831)</f>
        <v/>
      </c>
      <c r="C1831">
        <f>IF(ISBLANK('ENGAGEMENTS 2026'!C1831),"",'ENGAGEMENTS 2026'!E1831)</f>
        <v/>
      </c>
      <c r="D1831">
        <f>IF(ISBLANK('ENGAGEMENTS 2026'!C1831),"",'ENGAGEMENTS 2026'!G1831)</f>
        <v/>
      </c>
      <c r="E1831">
        <f>IF(ISBLANK('ENGAGEMENTS 2026'!C1831),"",'ENGAGEMENTS 2026'!I1831)</f>
        <v/>
      </c>
      <c r="F1831">
        <f>IF(ISBLANK('ENGAGEMENTS 2026'!C1831),"",'ENGAGEMENTS 2026'!J1831)</f>
        <v/>
      </c>
      <c r="G1831">
        <f>IF(ISBLANK('ENGAGEMENTS 2026'!C1831),"",'ENGAGEMENTS 2026'!M1831)</f>
        <v/>
      </c>
      <c r="H1831">
        <f>IF(ISBLANK('ENGAGEMENTS 2026'!C1831),"",'ENGAGEMENTS 2026'!AF1831)</f>
        <v/>
      </c>
      <c r="I1831">
        <f>IF(ISBLANK('ENGAGEMENTS 2026'!C1831),"",'ENGAGEMENTS 2026'!H1831)</f>
        <v/>
      </c>
      <c r="J1831" s="275">
        <f>IF(ISBLANK('ENGAGEMENTS 2026'!C1831),"",IF(AND(OR($E1831="INFRUCTUEUX",$E1831="ANNULE"),$C1831="AOO-M"),'ENGAGEMENTS 2026'!P1831,IF($H1831="EN COURS DE PREENGAGEMENT",'ENGAGEMENTS 2026'!O1831,IF($H1831="PREENGAGE",IF($E1831="ATTRIBUE",'ENGAGEMENTS 2026'!AE1831,'ENGAGEMENTS 2026'!O1831),'ENGAGEMENTS 2026'!AE1831))))</f>
        <v/>
      </c>
      <c r="K1831" s="604">
        <f>IF(ISBLANK('ENGAGEMENTS 2026'!W1831),"",'ENGAGEMENTS 2026'!W1831)</f>
        <v/>
      </c>
      <c r="L1831" s="276">
        <f>IF($K1831="","",TODAY()-$K1831)</f>
        <v/>
      </c>
      <c r="M1831">
        <f>IF($A1831="","",IF($H1831="ENGAGE","Engagé",IF(AND($H1831="NON ENGAGE",OR($I1831="INFRUCTUEUX",$I1831="ANNULE")),"Clôturé sans suite","En cours")))</f>
        <v/>
      </c>
      <c r="N1831">
        <f>IF(ISBLANK('ENGAGEMENTS 2026'!C1831),"",'ENGAGEMENTS 2026'!L1831)</f>
        <v/>
      </c>
      <c r="O1831">
        <f>IF(ISBLANK('ENGAGEMENTS 2026'!C1831),"",'ENGAGEMENTS 2026'!M1831)</f>
        <v/>
      </c>
      <c r="P1831">
        <f>IF(ISBLANK('ENGAGEMENTS 2026'!C1831),"",'ENGAGEMENTS 2026'!K1831)</f>
        <v/>
      </c>
      <c r="Q1831">
        <f>IF($A1831="","",IF(OR($E1831="INFRUCTUEUX",$E1831="ANNULE"),$A1831&amp;"|"&amp;(COUNTIFS($A$2:$A1831,$A1831,$E$2:$E1831,"INFRUCTUEUX")+COUNTIFS($A$2:$A1831,$A1831,$E$2:$E1831,"ANNULE")),""))</f>
        <v/>
      </c>
    </row>
    <row r="1832">
      <c r="A1832">
        <f>IF(ISBLANK('ENGAGEMENTS 2026'!C1832),"",IF('ENGAGEMENTS 2026'!C1832="DTSI","DCT",'ENGAGEMENTS 2026'!C1832))</f>
        <v/>
      </c>
      <c r="B1832">
        <f>IF(ISBLANK('ENGAGEMENTS 2026'!C1832),"",'ENGAGEMENTS 2026'!D1832)</f>
        <v/>
      </c>
      <c r="C1832">
        <f>IF(ISBLANK('ENGAGEMENTS 2026'!C1832),"",'ENGAGEMENTS 2026'!E1832)</f>
        <v/>
      </c>
      <c r="D1832">
        <f>IF(ISBLANK('ENGAGEMENTS 2026'!C1832),"",'ENGAGEMENTS 2026'!G1832)</f>
        <v/>
      </c>
      <c r="E1832">
        <f>IF(ISBLANK('ENGAGEMENTS 2026'!C1832),"",'ENGAGEMENTS 2026'!I1832)</f>
        <v/>
      </c>
      <c r="F1832">
        <f>IF(ISBLANK('ENGAGEMENTS 2026'!C1832),"",'ENGAGEMENTS 2026'!J1832)</f>
        <v/>
      </c>
      <c r="G1832">
        <f>IF(ISBLANK('ENGAGEMENTS 2026'!C1832),"",'ENGAGEMENTS 2026'!M1832)</f>
        <v/>
      </c>
      <c r="H1832">
        <f>IF(ISBLANK('ENGAGEMENTS 2026'!C1832),"",'ENGAGEMENTS 2026'!AF1832)</f>
        <v/>
      </c>
      <c r="I1832">
        <f>IF(ISBLANK('ENGAGEMENTS 2026'!C1832),"",'ENGAGEMENTS 2026'!H1832)</f>
        <v/>
      </c>
      <c r="J1832" s="275">
        <f>IF(ISBLANK('ENGAGEMENTS 2026'!C1832),"",IF(AND(OR($E1832="INFRUCTUEUX",$E1832="ANNULE"),$C1832="AOO-M"),'ENGAGEMENTS 2026'!P1832,IF($H1832="EN COURS DE PREENGAGEMENT",'ENGAGEMENTS 2026'!O1832,IF($H1832="PREENGAGE",IF($E1832="ATTRIBUE",'ENGAGEMENTS 2026'!AE1832,'ENGAGEMENTS 2026'!O1832),'ENGAGEMENTS 2026'!AE1832))))</f>
        <v/>
      </c>
      <c r="K1832" s="604">
        <f>IF(ISBLANK('ENGAGEMENTS 2026'!W1832),"",'ENGAGEMENTS 2026'!W1832)</f>
        <v/>
      </c>
      <c r="L1832" s="276">
        <f>IF($K1832="","",TODAY()-$K1832)</f>
        <v/>
      </c>
      <c r="M1832">
        <f>IF($A1832="","",IF($H1832="ENGAGE","Engagé",IF(AND($H1832="NON ENGAGE",OR($I1832="INFRUCTUEUX",$I1832="ANNULE")),"Clôturé sans suite","En cours")))</f>
        <v/>
      </c>
      <c r="N1832">
        <f>IF(ISBLANK('ENGAGEMENTS 2026'!C1832),"",'ENGAGEMENTS 2026'!L1832)</f>
        <v/>
      </c>
      <c r="O1832">
        <f>IF(ISBLANK('ENGAGEMENTS 2026'!C1832),"",'ENGAGEMENTS 2026'!M1832)</f>
        <v/>
      </c>
      <c r="P1832">
        <f>IF(ISBLANK('ENGAGEMENTS 2026'!C1832),"",'ENGAGEMENTS 2026'!K1832)</f>
        <v/>
      </c>
      <c r="Q1832">
        <f>IF($A1832="","",IF(OR($E1832="INFRUCTUEUX",$E1832="ANNULE"),$A1832&amp;"|"&amp;(COUNTIFS($A$2:$A1832,$A1832,$E$2:$E1832,"INFRUCTUEUX")+COUNTIFS($A$2:$A1832,$A1832,$E$2:$E1832,"ANNULE")),""))</f>
        <v/>
      </c>
    </row>
    <row r="1833">
      <c r="A1833">
        <f>IF(ISBLANK('ENGAGEMENTS 2026'!C1833),"",IF('ENGAGEMENTS 2026'!C1833="DTSI","DCT",'ENGAGEMENTS 2026'!C1833))</f>
        <v/>
      </c>
      <c r="B1833">
        <f>IF(ISBLANK('ENGAGEMENTS 2026'!C1833),"",'ENGAGEMENTS 2026'!D1833)</f>
        <v/>
      </c>
      <c r="C1833">
        <f>IF(ISBLANK('ENGAGEMENTS 2026'!C1833),"",'ENGAGEMENTS 2026'!E1833)</f>
        <v/>
      </c>
      <c r="D1833">
        <f>IF(ISBLANK('ENGAGEMENTS 2026'!C1833),"",'ENGAGEMENTS 2026'!G1833)</f>
        <v/>
      </c>
      <c r="E1833">
        <f>IF(ISBLANK('ENGAGEMENTS 2026'!C1833),"",'ENGAGEMENTS 2026'!I1833)</f>
        <v/>
      </c>
      <c r="F1833">
        <f>IF(ISBLANK('ENGAGEMENTS 2026'!C1833),"",'ENGAGEMENTS 2026'!J1833)</f>
        <v/>
      </c>
      <c r="G1833">
        <f>IF(ISBLANK('ENGAGEMENTS 2026'!C1833),"",'ENGAGEMENTS 2026'!M1833)</f>
        <v/>
      </c>
      <c r="H1833">
        <f>IF(ISBLANK('ENGAGEMENTS 2026'!C1833),"",'ENGAGEMENTS 2026'!AF1833)</f>
        <v/>
      </c>
      <c r="I1833">
        <f>IF(ISBLANK('ENGAGEMENTS 2026'!C1833),"",'ENGAGEMENTS 2026'!H1833)</f>
        <v/>
      </c>
      <c r="J1833" s="275">
        <f>IF(ISBLANK('ENGAGEMENTS 2026'!C1833),"",IF(AND(OR($E1833="INFRUCTUEUX",$E1833="ANNULE"),$C1833="AOO-M"),'ENGAGEMENTS 2026'!P1833,IF($H1833="EN COURS DE PREENGAGEMENT",'ENGAGEMENTS 2026'!O1833,IF($H1833="PREENGAGE",IF($E1833="ATTRIBUE",'ENGAGEMENTS 2026'!AE1833,'ENGAGEMENTS 2026'!O1833),'ENGAGEMENTS 2026'!AE1833))))</f>
        <v/>
      </c>
      <c r="K1833" s="604">
        <f>IF(ISBLANK('ENGAGEMENTS 2026'!W1833),"",'ENGAGEMENTS 2026'!W1833)</f>
        <v/>
      </c>
      <c r="L1833" s="276">
        <f>IF($K1833="","",TODAY()-$K1833)</f>
        <v/>
      </c>
      <c r="M1833">
        <f>IF($A1833="","",IF($H1833="ENGAGE","Engagé",IF(AND($H1833="NON ENGAGE",OR($I1833="INFRUCTUEUX",$I1833="ANNULE")),"Clôturé sans suite","En cours")))</f>
        <v/>
      </c>
      <c r="N1833">
        <f>IF(ISBLANK('ENGAGEMENTS 2026'!C1833),"",'ENGAGEMENTS 2026'!L1833)</f>
        <v/>
      </c>
      <c r="O1833">
        <f>IF(ISBLANK('ENGAGEMENTS 2026'!C1833),"",'ENGAGEMENTS 2026'!M1833)</f>
        <v/>
      </c>
      <c r="P1833">
        <f>IF(ISBLANK('ENGAGEMENTS 2026'!C1833),"",'ENGAGEMENTS 2026'!K1833)</f>
        <v/>
      </c>
      <c r="Q1833">
        <f>IF($A1833="","",IF(OR($E1833="INFRUCTUEUX",$E1833="ANNULE"),$A1833&amp;"|"&amp;(COUNTIFS($A$2:$A1833,$A1833,$E$2:$E1833,"INFRUCTUEUX")+COUNTIFS($A$2:$A1833,$A1833,$E$2:$E1833,"ANNULE")),""))</f>
        <v/>
      </c>
    </row>
    <row r="1834">
      <c r="A1834">
        <f>IF(ISBLANK('ENGAGEMENTS 2026'!C1834),"",IF('ENGAGEMENTS 2026'!C1834="DTSI","DCT",'ENGAGEMENTS 2026'!C1834))</f>
        <v/>
      </c>
      <c r="B1834">
        <f>IF(ISBLANK('ENGAGEMENTS 2026'!C1834),"",'ENGAGEMENTS 2026'!D1834)</f>
        <v/>
      </c>
      <c r="C1834">
        <f>IF(ISBLANK('ENGAGEMENTS 2026'!C1834),"",'ENGAGEMENTS 2026'!E1834)</f>
        <v/>
      </c>
      <c r="D1834">
        <f>IF(ISBLANK('ENGAGEMENTS 2026'!C1834),"",'ENGAGEMENTS 2026'!G1834)</f>
        <v/>
      </c>
      <c r="E1834">
        <f>IF(ISBLANK('ENGAGEMENTS 2026'!C1834),"",'ENGAGEMENTS 2026'!I1834)</f>
        <v/>
      </c>
      <c r="F1834">
        <f>IF(ISBLANK('ENGAGEMENTS 2026'!C1834),"",'ENGAGEMENTS 2026'!J1834)</f>
        <v/>
      </c>
      <c r="G1834">
        <f>IF(ISBLANK('ENGAGEMENTS 2026'!C1834),"",'ENGAGEMENTS 2026'!M1834)</f>
        <v/>
      </c>
      <c r="H1834">
        <f>IF(ISBLANK('ENGAGEMENTS 2026'!C1834),"",'ENGAGEMENTS 2026'!AF1834)</f>
        <v/>
      </c>
      <c r="I1834">
        <f>IF(ISBLANK('ENGAGEMENTS 2026'!C1834),"",'ENGAGEMENTS 2026'!H1834)</f>
        <v/>
      </c>
      <c r="J1834" s="275">
        <f>IF(ISBLANK('ENGAGEMENTS 2026'!C1834),"",IF(AND(OR($E1834="INFRUCTUEUX",$E1834="ANNULE"),$C1834="AOO-M"),'ENGAGEMENTS 2026'!P1834,IF($H1834="EN COURS DE PREENGAGEMENT",'ENGAGEMENTS 2026'!O1834,IF($H1834="PREENGAGE",IF($E1834="ATTRIBUE",'ENGAGEMENTS 2026'!AE1834,'ENGAGEMENTS 2026'!O1834),'ENGAGEMENTS 2026'!AE1834))))</f>
        <v/>
      </c>
      <c r="K1834" s="604">
        <f>IF(ISBLANK('ENGAGEMENTS 2026'!W1834),"",'ENGAGEMENTS 2026'!W1834)</f>
        <v/>
      </c>
      <c r="L1834" s="276">
        <f>IF($K1834="","",TODAY()-$K1834)</f>
        <v/>
      </c>
      <c r="M1834">
        <f>IF($A1834="","",IF($H1834="ENGAGE","Engagé",IF(AND($H1834="NON ENGAGE",OR($I1834="INFRUCTUEUX",$I1834="ANNULE")),"Clôturé sans suite","En cours")))</f>
        <v/>
      </c>
      <c r="N1834">
        <f>IF(ISBLANK('ENGAGEMENTS 2026'!C1834),"",'ENGAGEMENTS 2026'!L1834)</f>
        <v/>
      </c>
      <c r="O1834">
        <f>IF(ISBLANK('ENGAGEMENTS 2026'!C1834),"",'ENGAGEMENTS 2026'!M1834)</f>
        <v/>
      </c>
      <c r="P1834">
        <f>IF(ISBLANK('ENGAGEMENTS 2026'!C1834),"",'ENGAGEMENTS 2026'!K1834)</f>
        <v/>
      </c>
      <c r="Q1834">
        <f>IF($A1834="","",IF(OR($E1834="INFRUCTUEUX",$E1834="ANNULE"),$A1834&amp;"|"&amp;(COUNTIFS($A$2:$A1834,$A1834,$E$2:$E1834,"INFRUCTUEUX")+COUNTIFS($A$2:$A1834,$A1834,$E$2:$E1834,"ANNULE")),""))</f>
        <v/>
      </c>
    </row>
    <row r="1835">
      <c r="A1835">
        <f>IF(ISBLANK('ENGAGEMENTS 2026'!C1835),"",IF('ENGAGEMENTS 2026'!C1835="DTSI","DCT",'ENGAGEMENTS 2026'!C1835))</f>
        <v/>
      </c>
      <c r="B1835">
        <f>IF(ISBLANK('ENGAGEMENTS 2026'!C1835),"",'ENGAGEMENTS 2026'!D1835)</f>
        <v/>
      </c>
      <c r="C1835">
        <f>IF(ISBLANK('ENGAGEMENTS 2026'!C1835),"",'ENGAGEMENTS 2026'!E1835)</f>
        <v/>
      </c>
      <c r="D1835">
        <f>IF(ISBLANK('ENGAGEMENTS 2026'!C1835),"",'ENGAGEMENTS 2026'!G1835)</f>
        <v/>
      </c>
      <c r="E1835">
        <f>IF(ISBLANK('ENGAGEMENTS 2026'!C1835),"",'ENGAGEMENTS 2026'!I1835)</f>
        <v/>
      </c>
      <c r="F1835">
        <f>IF(ISBLANK('ENGAGEMENTS 2026'!C1835),"",'ENGAGEMENTS 2026'!J1835)</f>
        <v/>
      </c>
      <c r="G1835">
        <f>IF(ISBLANK('ENGAGEMENTS 2026'!C1835),"",'ENGAGEMENTS 2026'!M1835)</f>
        <v/>
      </c>
      <c r="H1835">
        <f>IF(ISBLANK('ENGAGEMENTS 2026'!C1835),"",'ENGAGEMENTS 2026'!AF1835)</f>
        <v/>
      </c>
      <c r="I1835">
        <f>IF(ISBLANK('ENGAGEMENTS 2026'!C1835),"",'ENGAGEMENTS 2026'!H1835)</f>
        <v/>
      </c>
      <c r="J1835" s="275">
        <f>IF(ISBLANK('ENGAGEMENTS 2026'!C1835),"",IF(AND(OR($E1835="INFRUCTUEUX",$E1835="ANNULE"),$C1835="AOO-M"),'ENGAGEMENTS 2026'!P1835,IF($H1835="EN COURS DE PREENGAGEMENT",'ENGAGEMENTS 2026'!O1835,IF($H1835="PREENGAGE",IF($E1835="ATTRIBUE",'ENGAGEMENTS 2026'!AE1835,'ENGAGEMENTS 2026'!O1835),'ENGAGEMENTS 2026'!AE1835))))</f>
        <v/>
      </c>
      <c r="K1835" s="604">
        <f>IF(ISBLANK('ENGAGEMENTS 2026'!W1835),"",'ENGAGEMENTS 2026'!W1835)</f>
        <v/>
      </c>
      <c r="L1835" s="276">
        <f>IF($K1835="","",TODAY()-$K1835)</f>
        <v/>
      </c>
      <c r="M1835">
        <f>IF($A1835="","",IF($H1835="ENGAGE","Engagé",IF(AND($H1835="NON ENGAGE",OR($I1835="INFRUCTUEUX",$I1835="ANNULE")),"Clôturé sans suite","En cours")))</f>
        <v/>
      </c>
      <c r="N1835">
        <f>IF(ISBLANK('ENGAGEMENTS 2026'!C1835),"",'ENGAGEMENTS 2026'!L1835)</f>
        <v/>
      </c>
      <c r="O1835">
        <f>IF(ISBLANK('ENGAGEMENTS 2026'!C1835),"",'ENGAGEMENTS 2026'!M1835)</f>
        <v/>
      </c>
      <c r="P1835">
        <f>IF(ISBLANK('ENGAGEMENTS 2026'!C1835),"",'ENGAGEMENTS 2026'!K1835)</f>
        <v/>
      </c>
      <c r="Q1835">
        <f>IF($A1835="","",IF(OR($E1835="INFRUCTUEUX",$E1835="ANNULE"),$A1835&amp;"|"&amp;(COUNTIFS($A$2:$A1835,$A1835,$E$2:$E1835,"INFRUCTUEUX")+COUNTIFS($A$2:$A1835,$A1835,$E$2:$E1835,"ANNULE")),""))</f>
        <v/>
      </c>
    </row>
    <row r="1836">
      <c r="A1836">
        <f>IF(ISBLANK('ENGAGEMENTS 2026'!C1836),"",IF('ENGAGEMENTS 2026'!C1836="DTSI","DCT",'ENGAGEMENTS 2026'!C1836))</f>
        <v/>
      </c>
      <c r="B1836">
        <f>IF(ISBLANK('ENGAGEMENTS 2026'!C1836),"",'ENGAGEMENTS 2026'!D1836)</f>
        <v/>
      </c>
      <c r="C1836">
        <f>IF(ISBLANK('ENGAGEMENTS 2026'!C1836),"",'ENGAGEMENTS 2026'!E1836)</f>
        <v/>
      </c>
      <c r="D1836">
        <f>IF(ISBLANK('ENGAGEMENTS 2026'!C1836),"",'ENGAGEMENTS 2026'!G1836)</f>
        <v/>
      </c>
      <c r="E1836">
        <f>IF(ISBLANK('ENGAGEMENTS 2026'!C1836),"",'ENGAGEMENTS 2026'!I1836)</f>
        <v/>
      </c>
      <c r="F1836">
        <f>IF(ISBLANK('ENGAGEMENTS 2026'!C1836),"",'ENGAGEMENTS 2026'!J1836)</f>
        <v/>
      </c>
      <c r="G1836">
        <f>IF(ISBLANK('ENGAGEMENTS 2026'!C1836),"",'ENGAGEMENTS 2026'!M1836)</f>
        <v/>
      </c>
      <c r="H1836">
        <f>IF(ISBLANK('ENGAGEMENTS 2026'!C1836),"",'ENGAGEMENTS 2026'!AF1836)</f>
        <v/>
      </c>
      <c r="I1836">
        <f>IF(ISBLANK('ENGAGEMENTS 2026'!C1836),"",'ENGAGEMENTS 2026'!H1836)</f>
        <v/>
      </c>
      <c r="J1836" s="275">
        <f>IF(ISBLANK('ENGAGEMENTS 2026'!C1836),"",IF(AND(OR($E1836="INFRUCTUEUX",$E1836="ANNULE"),$C1836="AOO-M"),'ENGAGEMENTS 2026'!P1836,IF($H1836="EN COURS DE PREENGAGEMENT",'ENGAGEMENTS 2026'!O1836,IF($H1836="PREENGAGE",IF($E1836="ATTRIBUE",'ENGAGEMENTS 2026'!AE1836,'ENGAGEMENTS 2026'!O1836),'ENGAGEMENTS 2026'!AE1836))))</f>
        <v/>
      </c>
      <c r="K1836" s="604">
        <f>IF(ISBLANK('ENGAGEMENTS 2026'!W1836),"",'ENGAGEMENTS 2026'!W1836)</f>
        <v/>
      </c>
      <c r="L1836" s="276">
        <f>IF($K1836="","",TODAY()-$K1836)</f>
        <v/>
      </c>
      <c r="M1836">
        <f>IF($A1836="","",IF($H1836="ENGAGE","Engagé",IF(AND($H1836="NON ENGAGE",OR($I1836="INFRUCTUEUX",$I1836="ANNULE")),"Clôturé sans suite","En cours")))</f>
        <v/>
      </c>
      <c r="N1836">
        <f>IF(ISBLANK('ENGAGEMENTS 2026'!C1836),"",'ENGAGEMENTS 2026'!L1836)</f>
        <v/>
      </c>
      <c r="O1836">
        <f>IF(ISBLANK('ENGAGEMENTS 2026'!C1836),"",'ENGAGEMENTS 2026'!M1836)</f>
        <v/>
      </c>
      <c r="P1836">
        <f>IF(ISBLANK('ENGAGEMENTS 2026'!C1836),"",'ENGAGEMENTS 2026'!K1836)</f>
        <v/>
      </c>
      <c r="Q1836">
        <f>IF($A1836="","",IF(OR($E1836="INFRUCTUEUX",$E1836="ANNULE"),$A1836&amp;"|"&amp;(COUNTIFS($A$2:$A1836,$A1836,$E$2:$E1836,"INFRUCTUEUX")+COUNTIFS($A$2:$A1836,$A1836,$E$2:$E1836,"ANNULE")),""))</f>
        <v/>
      </c>
    </row>
    <row r="1837">
      <c r="A1837">
        <f>IF(ISBLANK('ENGAGEMENTS 2026'!C1837),"",IF('ENGAGEMENTS 2026'!C1837="DTSI","DCT",'ENGAGEMENTS 2026'!C1837))</f>
        <v/>
      </c>
      <c r="B1837">
        <f>IF(ISBLANK('ENGAGEMENTS 2026'!C1837),"",'ENGAGEMENTS 2026'!D1837)</f>
        <v/>
      </c>
      <c r="C1837">
        <f>IF(ISBLANK('ENGAGEMENTS 2026'!C1837),"",'ENGAGEMENTS 2026'!E1837)</f>
        <v/>
      </c>
      <c r="D1837">
        <f>IF(ISBLANK('ENGAGEMENTS 2026'!C1837),"",'ENGAGEMENTS 2026'!G1837)</f>
        <v/>
      </c>
      <c r="E1837">
        <f>IF(ISBLANK('ENGAGEMENTS 2026'!C1837),"",'ENGAGEMENTS 2026'!I1837)</f>
        <v/>
      </c>
      <c r="F1837">
        <f>IF(ISBLANK('ENGAGEMENTS 2026'!C1837),"",'ENGAGEMENTS 2026'!J1837)</f>
        <v/>
      </c>
      <c r="G1837">
        <f>IF(ISBLANK('ENGAGEMENTS 2026'!C1837),"",'ENGAGEMENTS 2026'!M1837)</f>
        <v/>
      </c>
      <c r="H1837">
        <f>IF(ISBLANK('ENGAGEMENTS 2026'!C1837),"",'ENGAGEMENTS 2026'!AF1837)</f>
        <v/>
      </c>
      <c r="I1837">
        <f>IF(ISBLANK('ENGAGEMENTS 2026'!C1837),"",'ENGAGEMENTS 2026'!H1837)</f>
        <v/>
      </c>
      <c r="J1837" s="275">
        <f>IF(ISBLANK('ENGAGEMENTS 2026'!C1837),"",IF(AND(OR($E1837="INFRUCTUEUX",$E1837="ANNULE"),$C1837="AOO-M"),'ENGAGEMENTS 2026'!P1837,IF($H1837="EN COURS DE PREENGAGEMENT",'ENGAGEMENTS 2026'!O1837,IF($H1837="PREENGAGE",IF($E1837="ATTRIBUE",'ENGAGEMENTS 2026'!AE1837,'ENGAGEMENTS 2026'!O1837),'ENGAGEMENTS 2026'!AE1837))))</f>
        <v/>
      </c>
      <c r="K1837" s="604">
        <f>IF(ISBLANK('ENGAGEMENTS 2026'!W1837),"",'ENGAGEMENTS 2026'!W1837)</f>
        <v/>
      </c>
      <c r="L1837" s="276">
        <f>IF($K1837="","",TODAY()-$K1837)</f>
        <v/>
      </c>
      <c r="M1837">
        <f>IF($A1837="","",IF($H1837="ENGAGE","Engagé",IF(AND($H1837="NON ENGAGE",OR($I1837="INFRUCTUEUX",$I1837="ANNULE")),"Clôturé sans suite","En cours")))</f>
        <v/>
      </c>
      <c r="N1837">
        <f>IF(ISBLANK('ENGAGEMENTS 2026'!C1837),"",'ENGAGEMENTS 2026'!L1837)</f>
        <v/>
      </c>
      <c r="O1837">
        <f>IF(ISBLANK('ENGAGEMENTS 2026'!C1837),"",'ENGAGEMENTS 2026'!M1837)</f>
        <v/>
      </c>
      <c r="P1837">
        <f>IF(ISBLANK('ENGAGEMENTS 2026'!C1837),"",'ENGAGEMENTS 2026'!K1837)</f>
        <v/>
      </c>
      <c r="Q1837">
        <f>IF($A1837="","",IF(OR($E1837="INFRUCTUEUX",$E1837="ANNULE"),$A1837&amp;"|"&amp;(COUNTIFS($A$2:$A1837,$A1837,$E$2:$E1837,"INFRUCTUEUX")+COUNTIFS($A$2:$A1837,$A1837,$E$2:$E1837,"ANNULE")),""))</f>
        <v/>
      </c>
    </row>
    <row r="1838">
      <c r="A1838">
        <f>IF(ISBLANK('ENGAGEMENTS 2026'!C1838),"",IF('ENGAGEMENTS 2026'!C1838="DTSI","DCT",'ENGAGEMENTS 2026'!C1838))</f>
        <v/>
      </c>
      <c r="B1838">
        <f>IF(ISBLANK('ENGAGEMENTS 2026'!C1838),"",'ENGAGEMENTS 2026'!D1838)</f>
        <v/>
      </c>
      <c r="C1838">
        <f>IF(ISBLANK('ENGAGEMENTS 2026'!C1838),"",'ENGAGEMENTS 2026'!E1838)</f>
        <v/>
      </c>
      <c r="D1838">
        <f>IF(ISBLANK('ENGAGEMENTS 2026'!C1838),"",'ENGAGEMENTS 2026'!G1838)</f>
        <v/>
      </c>
      <c r="E1838">
        <f>IF(ISBLANK('ENGAGEMENTS 2026'!C1838),"",'ENGAGEMENTS 2026'!I1838)</f>
        <v/>
      </c>
      <c r="F1838">
        <f>IF(ISBLANK('ENGAGEMENTS 2026'!C1838),"",'ENGAGEMENTS 2026'!J1838)</f>
        <v/>
      </c>
      <c r="G1838">
        <f>IF(ISBLANK('ENGAGEMENTS 2026'!C1838),"",'ENGAGEMENTS 2026'!M1838)</f>
        <v/>
      </c>
      <c r="H1838">
        <f>IF(ISBLANK('ENGAGEMENTS 2026'!C1838),"",'ENGAGEMENTS 2026'!AF1838)</f>
        <v/>
      </c>
      <c r="I1838">
        <f>IF(ISBLANK('ENGAGEMENTS 2026'!C1838),"",'ENGAGEMENTS 2026'!H1838)</f>
        <v/>
      </c>
      <c r="J1838" s="275">
        <f>IF(ISBLANK('ENGAGEMENTS 2026'!C1838),"",IF(AND(OR($E1838="INFRUCTUEUX",$E1838="ANNULE"),$C1838="AOO-M"),'ENGAGEMENTS 2026'!P1838,IF($H1838="EN COURS DE PREENGAGEMENT",'ENGAGEMENTS 2026'!O1838,IF($H1838="PREENGAGE",IF($E1838="ATTRIBUE",'ENGAGEMENTS 2026'!AE1838,'ENGAGEMENTS 2026'!O1838),'ENGAGEMENTS 2026'!AE1838))))</f>
        <v/>
      </c>
      <c r="K1838" s="604">
        <f>IF(ISBLANK('ENGAGEMENTS 2026'!W1838),"",'ENGAGEMENTS 2026'!W1838)</f>
        <v/>
      </c>
      <c r="L1838" s="276">
        <f>IF($K1838="","",TODAY()-$K1838)</f>
        <v/>
      </c>
      <c r="M1838">
        <f>IF($A1838="","",IF($H1838="ENGAGE","Engagé",IF(AND($H1838="NON ENGAGE",OR($I1838="INFRUCTUEUX",$I1838="ANNULE")),"Clôturé sans suite","En cours")))</f>
        <v/>
      </c>
      <c r="N1838">
        <f>IF(ISBLANK('ENGAGEMENTS 2026'!C1838),"",'ENGAGEMENTS 2026'!L1838)</f>
        <v/>
      </c>
      <c r="O1838">
        <f>IF(ISBLANK('ENGAGEMENTS 2026'!C1838),"",'ENGAGEMENTS 2026'!M1838)</f>
        <v/>
      </c>
      <c r="P1838">
        <f>IF(ISBLANK('ENGAGEMENTS 2026'!C1838),"",'ENGAGEMENTS 2026'!K1838)</f>
        <v/>
      </c>
      <c r="Q1838">
        <f>IF($A1838="","",IF(OR($E1838="INFRUCTUEUX",$E1838="ANNULE"),$A1838&amp;"|"&amp;(COUNTIFS($A$2:$A1838,$A1838,$E$2:$E1838,"INFRUCTUEUX")+COUNTIFS($A$2:$A1838,$A1838,$E$2:$E1838,"ANNULE")),""))</f>
        <v/>
      </c>
    </row>
    <row r="1839">
      <c r="A1839">
        <f>IF(ISBLANK('ENGAGEMENTS 2026'!C1839),"",IF('ENGAGEMENTS 2026'!C1839="DTSI","DCT",'ENGAGEMENTS 2026'!C1839))</f>
        <v/>
      </c>
      <c r="B1839">
        <f>IF(ISBLANK('ENGAGEMENTS 2026'!C1839),"",'ENGAGEMENTS 2026'!D1839)</f>
        <v/>
      </c>
      <c r="C1839">
        <f>IF(ISBLANK('ENGAGEMENTS 2026'!C1839),"",'ENGAGEMENTS 2026'!E1839)</f>
        <v/>
      </c>
      <c r="D1839">
        <f>IF(ISBLANK('ENGAGEMENTS 2026'!C1839),"",'ENGAGEMENTS 2026'!G1839)</f>
        <v/>
      </c>
      <c r="E1839">
        <f>IF(ISBLANK('ENGAGEMENTS 2026'!C1839),"",'ENGAGEMENTS 2026'!I1839)</f>
        <v/>
      </c>
      <c r="F1839">
        <f>IF(ISBLANK('ENGAGEMENTS 2026'!C1839),"",'ENGAGEMENTS 2026'!J1839)</f>
        <v/>
      </c>
      <c r="G1839">
        <f>IF(ISBLANK('ENGAGEMENTS 2026'!C1839),"",'ENGAGEMENTS 2026'!M1839)</f>
        <v/>
      </c>
      <c r="H1839">
        <f>IF(ISBLANK('ENGAGEMENTS 2026'!C1839),"",'ENGAGEMENTS 2026'!AF1839)</f>
        <v/>
      </c>
      <c r="I1839">
        <f>IF(ISBLANK('ENGAGEMENTS 2026'!C1839),"",'ENGAGEMENTS 2026'!H1839)</f>
        <v/>
      </c>
      <c r="J1839" s="275">
        <f>IF(ISBLANK('ENGAGEMENTS 2026'!C1839),"",IF(AND(OR($E1839="INFRUCTUEUX",$E1839="ANNULE"),$C1839="AOO-M"),'ENGAGEMENTS 2026'!P1839,IF($H1839="EN COURS DE PREENGAGEMENT",'ENGAGEMENTS 2026'!O1839,IF($H1839="PREENGAGE",IF($E1839="ATTRIBUE",'ENGAGEMENTS 2026'!AE1839,'ENGAGEMENTS 2026'!O1839),'ENGAGEMENTS 2026'!AE1839))))</f>
        <v/>
      </c>
      <c r="K1839" s="604">
        <f>IF(ISBLANK('ENGAGEMENTS 2026'!W1839),"",'ENGAGEMENTS 2026'!W1839)</f>
        <v/>
      </c>
      <c r="L1839" s="276">
        <f>IF($K1839="","",TODAY()-$K1839)</f>
        <v/>
      </c>
      <c r="M1839">
        <f>IF($A1839="","",IF($H1839="ENGAGE","Engagé",IF(AND($H1839="NON ENGAGE",OR($I1839="INFRUCTUEUX",$I1839="ANNULE")),"Clôturé sans suite","En cours")))</f>
        <v/>
      </c>
      <c r="N1839">
        <f>IF(ISBLANK('ENGAGEMENTS 2026'!C1839),"",'ENGAGEMENTS 2026'!L1839)</f>
        <v/>
      </c>
      <c r="O1839">
        <f>IF(ISBLANK('ENGAGEMENTS 2026'!C1839),"",'ENGAGEMENTS 2026'!M1839)</f>
        <v/>
      </c>
      <c r="P1839">
        <f>IF(ISBLANK('ENGAGEMENTS 2026'!C1839),"",'ENGAGEMENTS 2026'!K1839)</f>
        <v/>
      </c>
      <c r="Q1839">
        <f>IF($A1839="","",IF(OR($E1839="INFRUCTUEUX",$E1839="ANNULE"),$A1839&amp;"|"&amp;(COUNTIFS($A$2:$A1839,$A1839,$E$2:$E1839,"INFRUCTUEUX")+COUNTIFS($A$2:$A1839,$A1839,$E$2:$E1839,"ANNULE")),""))</f>
        <v/>
      </c>
    </row>
    <row r="1840">
      <c r="A1840">
        <f>IF(ISBLANK('ENGAGEMENTS 2026'!C1840),"",IF('ENGAGEMENTS 2026'!C1840="DTSI","DCT",'ENGAGEMENTS 2026'!C1840))</f>
        <v/>
      </c>
      <c r="B1840">
        <f>IF(ISBLANK('ENGAGEMENTS 2026'!C1840),"",'ENGAGEMENTS 2026'!D1840)</f>
        <v/>
      </c>
      <c r="C1840">
        <f>IF(ISBLANK('ENGAGEMENTS 2026'!C1840),"",'ENGAGEMENTS 2026'!E1840)</f>
        <v/>
      </c>
      <c r="D1840">
        <f>IF(ISBLANK('ENGAGEMENTS 2026'!C1840),"",'ENGAGEMENTS 2026'!G1840)</f>
        <v/>
      </c>
      <c r="E1840">
        <f>IF(ISBLANK('ENGAGEMENTS 2026'!C1840),"",'ENGAGEMENTS 2026'!I1840)</f>
        <v/>
      </c>
      <c r="F1840">
        <f>IF(ISBLANK('ENGAGEMENTS 2026'!C1840),"",'ENGAGEMENTS 2026'!J1840)</f>
        <v/>
      </c>
      <c r="G1840">
        <f>IF(ISBLANK('ENGAGEMENTS 2026'!C1840),"",'ENGAGEMENTS 2026'!M1840)</f>
        <v/>
      </c>
      <c r="H1840">
        <f>IF(ISBLANK('ENGAGEMENTS 2026'!C1840),"",'ENGAGEMENTS 2026'!AF1840)</f>
        <v/>
      </c>
      <c r="I1840">
        <f>IF(ISBLANK('ENGAGEMENTS 2026'!C1840),"",'ENGAGEMENTS 2026'!H1840)</f>
        <v/>
      </c>
      <c r="J1840" s="275">
        <f>IF(ISBLANK('ENGAGEMENTS 2026'!C1840),"",IF(AND(OR($E1840="INFRUCTUEUX",$E1840="ANNULE"),$C1840="AOO-M"),'ENGAGEMENTS 2026'!P1840,IF($H1840="EN COURS DE PREENGAGEMENT",'ENGAGEMENTS 2026'!O1840,IF($H1840="PREENGAGE",IF($E1840="ATTRIBUE",'ENGAGEMENTS 2026'!AE1840,'ENGAGEMENTS 2026'!O1840),'ENGAGEMENTS 2026'!AE1840))))</f>
        <v/>
      </c>
      <c r="K1840" s="604">
        <f>IF(ISBLANK('ENGAGEMENTS 2026'!W1840),"",'ENGAGEMENTS 2026'!W1840)</f>
        <v/>
      </c>
      <c r="L1840" s="276">
        <f>IF($K1840="","",TODAY()-$K1840)</f>
        <v/>
      </c>
      <c r="M1840">
        <f>IF($A1840="","",IF($H1840="ENGAGE","Engagé",IF(AND($H1840="NON ENGAGE",OR($I1840="INFRUCTUEUX",$I1840="ANNULE")),"Clôturé sans suite","En cours")))</f>
        <v/>
      </c>
      <c r="N1840">
        <f>IF(ISBLANK('ENGAGEMENTS 2026'!C1840),"",'ENGAGEMENTS 2026'!L1840)</f>
        <v/>
      </c>
      <c r="O1840">
        <f>IF(ISBLANK('ENGAGEMENTS 2026'!C1840),"",'ENGAGEMENTS 2026'!M1840)</f>
        <v/>
      </c>
      <c r="P1840">
        <f>IF(ISBLANK('ENGAGEMENTS 2026'!C1840),"",'ENGAGEMENTS 2026'!K1840)</f>
        <v/>
      </c>
      <c r="Q1840">
        <f>IF($A1840="","",IF(OR($E1840="INFRUCTUEUX",$E1840="ANNULE"),$A1840&amp;"|"&amp;(COUNTIFS($A$2:$A1840,$A1840,$E$2:$E1840,"INFRUCTUEUX")+COUNTIFS($A$2:$A1840,$A1840,$E$2:$E1840,"ANNULE")),""))</f>
        <v/>
      </c>
    </row>
    <row r="1841">
      <c r="A1841">
        <f>IF(ISBLANK('ENGAGEMENTS 2026'!C1841),"",IF('ENGAGEMENTS 2026'!C1841="DTSI","DCT",'ENGAGEMENTS 2026'!C1841))</f>
        <v/>
      </c>
      <c r="B1841">
        <f>IF(ISBLANK('ENGAGEMENTS 2026'!C1841),"",'ENGAGEMENTS 2026'!D1841)</f>
        <v/>
      </c>
      <c r="C1841">
        <f>IF(ISBLANK('ENGAGEMENTS 2026'!C1841),"",'ENGAGEMENTS 2026'!E1841)</f>
        <v/>
      </c>
      <c r="D1841">
        <f>IF(ISBLANK('ENGAGEMENTS 2026'!C1841),"",'ENGAGEMENTS 2026'!G1841)</f>
        <v/>
      </c>
      <c r="E1841">
        <f>IF(ISBLANK('ENGAGEMENTS 2026'!C1841),"",'ENGAGEMENTS 2026'!I1841)</f>
        <v/>
      </c>
      <c r="F1841">
        <f>IF(ISBLANK('ENGAGEMENTS 2026'!C1841),"",'ENGAGEMENTS 2026'!J1841)</f>
        <v/>
      </c>
      <c r="G1841">
        <f>IF(ISBLANK('ENGAGEMENTS 2026'!C1841),"",'ENGAGEMENTS 2026'!M1841)</f>
        <v/>
      </c>
      <c r="H1841">
        <f>IF(ISBLANK('ENGAGEMENTS 2026'!C1841),"",'ENGAGEMENTS 2026'!AF1841)</f>
        <v/>
      </c>
      <c r="I1841">
        <f>IF(ISBLANK('ENGAGEMENTS 2026'!C1841),"",'ENGAGEMENTS 2026'!H1841)</f>
        <v/>
      </c>
      <c r="J1841" s="275">
        <f>IF(ISBLANK('ENGAGEMENTS 2026'!C1841),"",IF(AND(OR($E1841="INFRUCTUEUX",$E1841="ANNULE"),$C1841="AOO-M"),'ENGAGEMENTS 2026'!P1841,IF($H1841="EN COURS DE PREENGAGEMENT",'ENGAGEMENTS 2026'!O1841,IF($H1841="PREENGAGE",IF($E1841="ATTRIBUE",'ENGAGEMENTS 2026'!AE1841,'ENGAGEMENTS 2026'!O1841),'ENGAGEMENTS 2026'!AE1841))))</f>
        <v/>
      </c>
      <c r="K1841" s="604">
        <f>IF(ISBLANK('ENGAGEMENTS 2026'!W1841),"",'ENGAGEMENTS 2026'!W1841)</f>
        <v/>
      </c>
      <c r="L1841" s="276">
        <f>IF($K1841="","",TODAY()-$K1841)</f>
        <v/>
      </c>
      <c r="M1841">
        <f>IF($A1841="","",IF($H1841="ENGAGE","Engagé",IF(AND($H1841="NON ENGAGE",OR($I1841="INFRUCTUEUX",$I1841="ANNULE")),"Clôturé sans suite","En cours")))</f>
        <v/>
      </c>
      <c r="N1841">
        <f>IF(ISBLANK('ENGAGEMENTS 2026'!C1841),"",'ENGAGEMENTS 2026'!L1841)</f>
        <v/>
      </c>
      <c r="O1841">
        <f>IF(ISBLANK('ENGAGEMENTS 2026'!C1841),"",'ENGAGEMENTS 2026'!M1841)</f>
        <v/>
      </c>
      <c r="P1841">
        <f>IF(ISBLANK('ENGAGEMENTS 2026'!C1841),"",'ENGAGEMENTS 2026'!K1841)</f>
        <v/>
      </c>
      <c r="Q1841">
        <f>IF($A1841="","",IF(OR($E1841="INFRUCTUEUX",$E1841="ANNULE"),$A1841&amp;"|"&amp;(COUNTIFS($A$2:$A1841,$A1841,$E$2:$E1841,"INFRUCTUEUX")+COUNTIFS($A$2:$A1841,$A1841,$E$2:$E1841,"ANNULE")),""))</f>
        <v/>
      </c>
    </row>
    <row r="1842">
      <c r="A1842">
        <f>IF(ISBLANK('ENGAGEMENTS 2026'!C1842),"",IF('ENGAGEMENTS 2026'!C1842="DTSI","DCT",'ENGAGEMENTS 2026'!C1842))</f>
        <v/>
      </c>
      <c r="B1842">
        <f>IF(ISBLANK('ENGAGEMENTS 2026'!C1842),"",'ENGAGEMENTS 2026'!D1842)</f>
        <v/>
      </c>
      <c r="C1842">
        <f>IF(ISBLANK('ENGAGEMENTS 2026'!C1842),"",'ENGAGEMENTS 2026'!E1842)</f>
        <v/>
      </c>
      <c r="D1842">
        <f>IF(ISBLANK('ENGAGEMENTS 2026'!C1842),"",'ENGAGEMENTS 2026'!G1842)</f>
        <v/>
      </c>
      <c r="E1842">
        <f>IF(ISBLANK('ENGAGEMENTS 2026'!C1842),"",'ENGAGEMENTS 2026'!I1842)</f>
        <v/>
      </c>
      <c r="F1842">
        <f>IF(ISBLANK('ENGAGEMENTS 2026'!C1842),"",'ENGAGEMENTS 2026'!J1842)</f>
        <v/>
      </c>
      <c r="G1842">
        <f>IF(ISBLANK('ENGAGEMENTS 2026'!C1842),"",'ENGAGEMENTS 2026'!M1842)</f>
        <v/>
      </c>
      <c r="H1842">
        <f>IF(ISBLANK('ENGAGEMENTS 2026'!C1842),"",'ENGAGEMENTS 2026'!AF1842)</f>
        <v/>
      </c>
      <c r="I1842">
        <f>IF(ISBLANK('ENGAGEMENTS 2026'!C1842),"",'ENGAGEMENTS 2026'!H1842)</f>
        <v/>
      </c>
      <c r="J1842" s="275">
        <f>IF(ISBLANK('ENGAGEMENTS 2026'!C1842),"",IF(AND(OR($E1842="INFRUCTUEUX",$E1842="ANNULE"),$C1842="AOO-M"),'ENGAGEMENTS 2026'!P1842,IF($H1842="EN COURS DE PREENGAGEMENT",'ENGAGEMENTS 2026'!O1842,IF($H1842="PREENGAGE",IF($E1842="ATTRIBUE",'ENGAGEMENTS 2026'!AE1842,'ENGAGEMENTS 2026'!O1842),'ENGAGEMENTS 2026'!AE1842))))</f>
        <v/>
      </c>
      <c r="K1842" s="604">
        <f>IF(ISBLANK('ENGAGEMENTS 2026'!W1842),"",'ENGAGEMENTS 2026'!W1842)</f>
        <v/>
      </c>
      <c r="L1842" s="276">
        <f>IF($K1842="","",TODAY()-$K1842)</f>
        <v/>
      </c>
      <c r="M1842">
        <f>IF($A1842="","",IF($H1842="ENGAGE","Engagé",IF(AND($H1842="NON ENGAGE",OR($I1842="INFRUCTUEUX",$I1842="ANNULE")),"Clôturé sans suite","En cours")))</f>
        <v/>
      </c>
      <c r="N1842">
        <f>IF(ISBLANK('ENGAGEMENTS 2026'!C1842),"",'ENGAGEMENTS 2026'!L1842)</f>
        <v/>
      </c>
      <c r="O1842">
        <f>IF(ISBLANK('ENGAGEMENTS 2026'!C1842),"",'ENGAGEMENTS 2026'!M1842)</f>
        <v/>
      </c>
      <c r="P1842">
        <f>IF(ISBLANK('ENGAGEMENTS 2026'!C1842),"",'ENGAGEMENTS 2026'!K1842)</f>
        <v/>
      </c>
      <c r="Q1842">
        <f>IF($A1842="","",IF(OR($E1842="INFRUCTUEUX",$E1842="ANNULE"),$A1842&amp;"|"&amp;(COUNTIFS($A$2:$A1842,$A1842,$E$2:$E1842,"INFRUCTUEUX")+COUNTIFS($A$2:$A1842,$A1842,$E$2:$E1842,"ANNULE")),""))</f>
        <v/>
      </c>
    </row>
    <row r="1843">
      <c r="A1843">
        <f>IF(ISBLANK('ENGAGEMENTS 2026'!C1843),"",IF('ENGAGEMENTS 2026'!C1843="DTSI","DCT",'ENGAGEMENTS 2026'!C1843))</f>
        <v/>
      </c>
      <c r="B1843">
        <f>IF(ISBLANK('ENGAGEMENTS 2026'!C1843),"",'ENGAGEMENTS 2026'!D1843)</f>
        <v/>
      </c>
      <c r="C1843">
        <f>IF(ISBLANK('ENGAGEMENTS 2026'!C1843),"",'ENGAGEMENTS 2026'!E1843)</f>
        <v/>
      </c>
      <c r="D1843">
        <f>IF(ISBLANK('ENGAGEMENTS 2026'!C1843),"",'ENGAGEMENTS 2026'!G1843)</f>
        <v/>
      </c>
      <c r="E1843">
        <f>IF(ISBLANK('ENGAGEMENTS 2026'!C1843),"",'ENGAGEMENTS 2026'!I1843)</f>
        <v/>
      </c>
      <c r="F1843">
        <f>IF(ISBLANK('ENGAGEMENTS 2026'!C1843),"",'ENGAGEMENTS 2026'!J1843)</f>
        <v/>
      </c>
      <c r="G1843">
        <f>IF(ISBLANK('ENGAGEMENTS 2026'!C1843),"",'ENGAGEMENTS 2026'!M1843)</f>
        <v/>
      </c>
      <c r="H1843">
        <f>IF(ISBLANK('ENGAGEMENTS 2026'!C1843),"",'ENGAGEMENTS 2026'!AF1843)</f>
        <v/>
      </c>
      <c r="I1843">
        <f>IF(ISBLANK('ENGAGEMENTS 2026'!C1843),"",'ENGAGEMENTS 2026'!H1843)</f>
        <v/>
      </c>
      <c r="J1843" s="275">
        <f>IF(ISBLANK('ENGAGEMENTS 2026'!C1843),"",IF(AND(OR($E1843="INFRUCTUEUX",$E1843="ANNULE"),$C1843="AOO-M"),'ENGAGEMENTS 2026'!P1843,IF($H1843="EN COURS DE PREENGAGEMENT",'ENGAGEMENTS 2026'!O1843,IF($H1843="PREENGAGE",IF($E1843="ATTRIBUE",'ENGAGEMENTS 2026'!AE1843,'ENGAGEMENTS 2026'!O1843),'ENGAGEMENTS 2026'!AE1843))))</f>
        <v/>
      </c>
      <c r="K1843" s="604">
        <f>IF(ISBLANK('ENGAGEMENTS 2026'!W1843),"",'ENGAGEMENTS 2026'!W1843)</f>
        <v/>
      </c>
      <c r="L1843" s="276">
        <f>IF($K1843="","",TODAY()-$K1843)</f>
        <v/>
      </c>
      <c r="M1843">
        <f>IF($A1843="","",IF($H1843="ENGAGE","Engagé",IF(AND($H1843="NON ENGAGE",OR($I1843="INFRUCTUEUX",$I1843="ANNULE")),"Clôturé sans suite","En cours")))</f>
        <v/>
      </c>
      <c r="N1843">
        <f>IF(ISBLANK('ENGAGEMENTS 2026'!C1843),"",'ENGAGEMENTS 2026'!L1843)</f>
        <v/>
      </c>
      <c r="O1843">
        <f>IF(ISBLANK('ENGAGEMENTS 2026'!C1843),"",'ENGAGEMENTS 2026'!M1843)</f>
        <v/>
      </c>
      <c r="P1843">
        <f>IF(ISBLANK('ENGAGEMENTS 2026'!C1843),"",'ENGAGEMENTS 2026'!K1843)</f>
        <v/>
      </c>
      <c r="Q1843">
        <f>IF($A1843="","",IF(OR($E1843="INFRUCTUEUX",$E1843="ANNULE"),$A1843&amp;"|"&amp;(COUNTIFS($A$2:$A1843,$A1843,$E$2:$E1843,"INFRUCTUEUX")+COUNTIFS($A$2:$A1843,$A1843,$E$2:$E1843,"ANNULE")),""))</f>
        <v/>
      </c>
    </row>
    <row r="1844">
      <c r="A1844">
        <f>IF(ISBLANK('ENGAGEMENTS 2026'!C1844),"",IF('ENGAGEMENTS 2026'!C1844="DTSI","DCT",'ENGAGEMENTS 2026'!C1844))</f>
        <v/>
      </c>
      <c r="B1844">
        <f>IF(ISBLANK('ENGAGEMENTS 2026'!C1844),"",'ENGAGEMENTS 2026'!D1844)</f>
        <v/>
      </c>
      <c r="C1844">
        <f>IF(ISBLANK('ENGAGEMENTS 2026'!C1844),"",'ENGAGEMENTS 2026'!E1844)</f>
        <v/>
      </c>
      <c r="D1844">
        <f>IF(ISBLANK('ENGAGEMENTS 2026'!C1844),"",'ENGAGEMENTS 2026'!G1844)</f>
        <v/>
      </c>
      <c r="E1844">
        <f>IF(ISBLANK('ENGAGEMENTS 2026'!C1844),"",'ENGAGEMENTS 2026'!I1844)</f>
        <v/>
      </c>
      <c r="F1844">
        <f>IF(ISBLANK('ENGAGEMENTS 2026'!C1844),"",'ENGAGEMENTS 2026'!J1844)</f>
        <v/>
      </c>
      <c r="G1844">
        <f>IF(ISBLANK('ENGAGEMENTS 2026'!C1844),"",'ENGAGEMENTS 2026'!M1844)</f>
        <v/>
      </c>
      <c r="H1844">
        <f>IF(ISBLANK('ENGAGEMENTS 2026'!C1844),"",'ENGAGEMENTS 2026'!AF1844)</f>
        <v/>
      </c>
      <c r="I1844">
        <f>IF(ISBLANK('ENGAGEMENTS 2026'!C1844),"",'ENGAGEMENTS 2026'!H1844)</f>
        <v/>
      </c>
      <c r="J1844" s="275">
        <f>IF(ISBLANK('ENGAGEMENTS 2026'!C1844),"",IF(AND(OR($E1844="INFRUCTUEUX",$E1844="ANNULE"),$C1844="AOO-M"),'ENGAGEMENTS 2026'!P1844,IF($H1844="EN COURS DE PREENGAGEMENT",'ENGAGEMENTS 2026'!O1844,IF($H1844="PREENGAGE",IF($E1844="ATTRIBUE",'ENGAGEMENTS 2026'!AE1844,'ENGAGEMENTS 2026'!O1844),'ENGAGEMENTS 2026'!AE1844))))</f>
        <v/>
      </c>
      <c r="K1844" s="604">
        <f>IF(ISBLANK('ENGAGEMENTS 2026'!W1844),"",'ENGAGEMENTS 2026'!W1844)</f>
        <v/>
      </c>
      <c r="L1844" s="276">
        <f>IF($K1844="","",TODAY()-$K1844)</f>
        <v/>
      </c>
      <c r="M1844">
        <f>IF($A1844="","",IF($H1844="ENGAGE","Engagé",IF(AND($H1844="NON ENGAGE",OR($I1844="INFRUCTUEUX",$I1844="ANNULE")),"Clôturé sans suite","En cours")))</f>
        <v/>
      </c>
      <c r="N1844">
        <f>IF(ISBLANK('ENGAGEMENTS 2026'!C1844),"",'ENGAGEMENTS 2026'!L1844)</f>
        <v/>
      </c>
      <c r="O1844">
        <f>IF(ISBLANK('ENGAGEMENTS 2026'!C1844),"",'ENGAGEMENTS 2026'!M1844)</f>
        <v/>
      </c>
      <c r="P1844">
        <f>IF(ISBLANK('ENGAGEMENTS 2026'!C1844),"",'ENGAGEMENTS 2026'!K1844)</f>
        <v/>
      </c>
      <c r="Q1844">
        <f>IF($A1844="","",IF(OR($E1844="INFRUCTUEUX",$E1844="ANNULE"),$A1844&amp;"|"&amp;(COUNTIFS($A$2:$A1844,$A1844,$E$2:$E1844,"INFRUCTUEUX")+COUNTIFS($A$2:$A1844,$A1844,$E$2:$E1844,"ANNULE")),""))</f>
        <v/>
      </c>
    </row>
    <row r="1845">
      <c r="A1845">
        <f>IF(ISBLANK('ENGAGEMENTS 2026'!C1845),"",IF('ENGAGEMENTS 2026'!C1845="DTSI","DCT",'ENGAGEMENTS 2026'!C1845))</f>
        <v/>
      </c>
      <c r="B1845">
        <f>IF(ISBLANK('ENGAGEMENTS 2026'!C1845),"",'ENGAGEMENTS 2026'!D1845)</f>
        <v/>
      </c>
      <c r="C1845">
        <f>IF(ISBLANK('ENGAGEMENTS 2026'!C1845),"",'ENGAGEMENTS 2026'!E1845)</f>
        <v/>
      </c>
      <c r="D1845">
        <f>IF(ISBLANK('ENGAGEMENTS 2026'!C1845),"",'ENGAGEMENTS 2026'!G1845)</f>
        <v/>
      </c>
      <c r="E1845">
        <f>IF(ISBLANK('ENGAGEMENTS 2026'!C1845),"",'ENGAGEMENTS 2026'!I1845)</f>
        <v/>
      </c>
      <c r="F1845">
        <f>IF(ISBLANK('ENGAGEMENTS 2026'!C1845),"",'ENGAGEMENTS 2026'!J1845)</f>
        <v/>
      </c>
      <c r="G1845">
        <f>IF(ISBLANK('ENGAGEMENTS 2026'!C1845),"",'ENGAGEMENTS 2026'!M1845)</f>
        <v/>
      </c>
      <c r="H1845">
        <f>IF(ISBLANK('ENGAGEMENTS 2026'!C1845),"",'ENGAGEMENTS 2026'!AF1845)</f>
        <v/>
      </c>
      <c r="I1845">
        <f>IF(ISBLANK('ENGAGEMENTS 2026'!C1845),"",'ENGAGEMENTS 2026'!H1845)</f>
        <v/>
      </c>
      <c r="J1845" s="275">
        <f>IF(ISBLANK('ENGAGEMENTS 2026'!C1845),"",IF(AND(OR($E1845="INFRUCTUEUX",$E1845="ANNULE"),$C1845="AOO-M"),'ENGAGEMENTS 2026'!P1845,IF($H1845="EN COURS DE PREENGAGEMENT",'ENGAGEMENTS 2026'!O1845,IF($H1845="PREENGAGE",IF($E1845="ATTRIBUE",'ENGAGEMENTS 2026'!AE1845,'ENGAGEMENTS 2026'!O1845),'ENGAGEMENTS 2026'!AE1845))))</f>
        <v/>
      </c>
      <c r="K1845" s="604">
        <f>IF(ISBLANK('ENGAGEMENTS 2026'!W1845),"",'ENGAGEMENTS 2026'!W1845)</f>
        <v/>
      </c>
      <c r="L1845" s="276">
        <f>IF($K1845="","",TODAY()-$K1845)</f>
        <v/>
      </c>
      <c r="M1845">
        <f>IF($A1845="","",IF($H1845="ENGAGE","Engagé",IF(AND($H1845="NON ENGAGE",OR($I1845="INFRUCTUEUX",$I1845="ANNULE")),"Clôturé sans suite","En cours")))</f>
        <v/>
      </c>
      <c r="N1845">
        <f>IF(ISBLANK('ENGAGEMENTS 2026'!C1845),"",'ENGAGEMENTS 2026'!L1845)</f>
        <v/>
      </c>
      <c r="O1845">
        <f>IF(ISBLANK('ENGAGEMENTS 2026'!C1845),"",'ENGAGEMENTS 2026'!M1845)</f>
        <v/>
      </c>
      <c r="P1845">
        <f>IF(ISBLANK('ENGAGEMENTS 2026'!C1845),"",'ENGAGEMENTS 2026'!K1845)</f>
        <v/>
      </c>
      <c r="Q1845">
        <f>IF($A1845="","",IF(OR($E1845="INFRUCTUEUX",$E1845="ANNULE"),$A1845&amp;"|"&amp;(COUNTIFS($A$2:$A1845,$A1845,$E$2:$E1845,"INFRUCTUEUX")+COUNTIFS($A$2:$A1845,$A1845,$E$2:$E1845,"ANNULE")),""))</f>
        <v/>
      </c>
    </row>
    <row r="1846">
      <c r="A1846">
        <f>IF(ISBLANK('ENGAGEMENTS 2026'!C1846),"",IF('ENGAGEMENTS 2026'!C1846="DTSI","DCT",'ENGAGEMENTS 2026'!C1846))</f>
        <v/>
      </c>
      <c r="B1846">
        <f>IF(ISBLANK('ENGAGEMENTS 2026'!C1846),"",'ENGAGEMENTS 2026'!D1846)</f>
        <v/>
      </c>
      <c r="C1846">
        <f>IF(ISBLANK('ENGAGEMENTS 2026'!C1846),"",'ENGAGEMENTS 2026'!E1846)</f>
        <v/>
      </c>
      <c r="D1846">
        <f>IF(ISBLANK('ENGAGEMENTS 2026'!C1846),"",'ENGAGEMENTS 2026'!G1846)</f>
        <v/>
      </c>
      <c r="E1846">
        <f>IF(ISBLANK('ENGAGEMENTS 2026'!C1846),"",'ENGAGEMENTS 2026'!I1846)</f>
        <v/>
      </c>
      <c r="F1846">
        <f>IF(ISBLANK('ENGAGEMENTS 2026'!C1846),"",'ENGAGEMENTS 2026'!J1846)</f>
        <v/>
      </c>
      <c r="G1846">
        <f>IF(ISBLANK('ENGAGEMENTS 2026'!C1846),"",'ENGAGEMENTS 2026'!M1846)</f>
        <v/>
      </c>
      <c r="H1846">
        <f>IF(ISBLANK('ENGAGEMENTS 2026'!C1846),"",'ENGAGEMENTS 2026'!AF1846)</f>
        <v/>
      </c>
      <c r="I1846">
        <f>IF(ISBLANK('ENGAGEMENTS 2026'!C1846),"",'ENGAGEMENTS 2026'!H1846)</f>
        <v/>
      </c>
      <c r="J1846" s="275">
        <f>IF(ISBLANK('ENGAGEMENTS 2026'!C1846),"",IF(AND(OR($E1846="INFRUCTUEUX",$E1846="ANNULE"),$C1846="AOO-M"),'ENGAGEMENTS 2026'!P1846,IF($H1846="EN COURS DE PREENGAGEMENT",'ENGAGEMENTS 2026'!O1846,IF($H1846="PREENGAGE",IF($E1846="ATTRIBUE",'ENGAGEMENTS 2026'!AE1846,'ENGAGEMENTS 2026'!O1846),'ENGAGEMENTS 2026'!AE1846))))</f>
        <v/>
      </c>
      <c r="K1846" s="604">
        <f>IF(ISBLANK('ENGAGEMENTS 2026'!W1846),"",'ENGAGEMENTS 2026'!W1846)</f>
        <v/>
      </c>
      <c r="L1846" s="276">
        <f>IF($K1846="","",TODAY()-$K1846)</f>
        <v/>
      </c>
      <c r="M1846">
        <f>IF($A1846="","",IF($H1846="ENGAGE","Engagé",IF(AND($H1846="NON ENGAGE",OR($I1846="INFRUCTUEUX",$I1846="ANNULE")),"Clôturé sans suite","En cours")))</f>
        <v/>
      </c>
      <c r="N1846">
        <f>IF(ISBLANK('ENGAGEMENTS 2026'!C1846),"",'ENGAGEMENTS 2026'!L1846)</f>
        <v/>
      </c>
      <c r="O1846">
        <f>IF(ISBLANK('ENGAGEMENTS 2026'!C1846),"",'ENGAGEMENTS 2026'!M1846)</f>
        <v/>
      </c>
      <c r="P1846">
        <f>IF(ISBLANK('ENGAGEMENTS 2026'!C1846),"",'ENGAGEMENTS 2026'!K1846)</f>
        <v/>
      </c>
      <c r="Q1846">
        <f>IF($A1846="","",IF(OR($E1846="INFRUCTUEUX",$E1846="ANNULE"),$A1846&amp;"|"&amp;(COUNTIFS($A$2:$A1846,$A1846,$E$2:$E1846,"INFRUCTUEUX")+COUNTIFS($A$2:$A1846,$A1846,$E$2:$E1846,"ANNULE")),""))</f>
        <v/>
      </c>
    </row>
    <row r="1847">
      <c r="A1847">
        <f>IF(ISBLANK('ENGAGEMENTS 2026'!C1847),"",IF('ENGAGEMENTS 2026'!C1847="DTSI","DCT",'ENGAGEMENTS 2026'!C1847))</f>
        <v/>
      </c>
      <c r="B1847">
        <f>IF(ISBLANK('ENGAGEMENTS 2026'!C1847),"",'ENGAGEMENTS 2026'!D1847)</f>
        <v/>
      </c>
      <c r="C1847">
        <f>IF(ISBLANK('ENGAGEMENTS 2026'!C1847),"",'ENGAGEMENTS 2026'!E1847)</f>
        <v/>
      </c>
      <c r="D1847">
        <f>IF(ISBLANK('ENGAGEMENTS 2026'!C1847),"",'ENGAGEMENTS 2026'!G1847)</f>
        <v/>
      </c>
      <c r="E1847">
        <f>IF(ISBLANK('ENGAGEMENTS 2026'!C1847),"",'ENGAGEMENTS 2026'!I1847)</f>
        <v/>
      </c>
      <c r="F1847">
        <f>IF(ISBLANK('ENGAGEMENTS 2026'!C1847),"",'ENGAGEMENTS 2026'!J1847)</f>
        <v/>
      </c>
      <c r="G1847">
        <f>IF(ISBLANK('ENGAGEMENTS 2026'!C1847),"",'ENGAGEMENTS 2026'!M1847)</f>
        <v/>
      </c>
      <c r="H1847">
        <f>IF(ISBLANK('ENGAGEMENTS 2026'!C1847),"",'ENGAGEMENTS 2026'!AF1847)</f>
        <v/>
      </c>
      <c r="I1847">
        <f>IF(ISBLANK('ENGAGEMENTS 2026'!C1847),"",'ENGAGEMENTS 2026'!H1847)</f>
        <v/>
      </c>
      <c r="J1847" s="275">
        <f>IF(ISBLANK('ENGAGEMENTS 2026'!C1847),"",IF(AND(OR($E1847="INFRUCTUEUX",$E1847="ANNULE"),$C1847="AOO-M"),'ENGAGEMENTS 2026'!P1847,IF($H1847="EN COURS DE PREENGAGEMENT",'ENGAGEMENTS 2026'!O1847,IF($H1847="PREENGAGE",IF($E1847="ATTRIBUE",'ENGAGEMENTS 2026'!AE1847,'ENGAGEMENTS 2026'!O1847),'ENGAGEMENTS 2026'!AE1847))))</f>
        <v/>
      </c>
      <c r="K1847" s="604">
        <f>IF(ISBLANK('ENGAGEMENTS 2026'!W1847),"",'ENGAGEMENTS 2026'!W1847)</f>
        <v/>
      </c>
      <c r="L1847" s="276">
        <f>IF($K1847="","",TODAY()-$K1847)</f>
        <v/>
      </c>
      <c r="M1847">
        <f>IF($A1847="","",IF($H1847="ENGAGE","Engagé",IF(AND($H1847="NON ENGAGE",OR($I1847="INFRUCTUEUX",$I1847="ANNULE")),"Clôturé sans suite","En cours")))</f>
        <v/>
      </c>
      <c r="N1847">
        <f>IF(ISBLANK('ENGAGEMENTS 2026'!C1847),"",'ENGAGEMENTS 2026'!L1847)</f>
        <v/>
      </c>
      <c r="O1847">
        <f>IF(ISBLANK('ENGAGEMENTS 2026'!C1847),"",'ENGAGEMENTS 2026'!M1847)</f>
        <v/>
      </c>
      <c r="P1847">
        <f>IF(ISBLANK('ENGAGEMENTS 2026'!C1847),"",'ENGAGEMENTS 2026'!K1847)</f>
        <v/>
      </c>
      <c r="Q1847">
        <f>IF($A1847="","",IF(OR($E1847="INFRUCTUEUX",$E1847="ANNULE"),$A1847&amp;"|"&amp;(COUNTIFS($A$2:$A1847,$A1847,$E$2:$E1847,"INFRUCTUEUX")+COUNTIFS($A$2:$A1847,$A1847,$E$2:$E1847,"ANNULE")),""))</f>
        <v/>
      </c>
    </row>
    <row r="1848">
      <c r="A1848">
        <f>IF(ISBLANK('ENGAGEMENTS 2026'!C1848),"",IF('ENGAGEMENTS 2026'!C1848="DTSI","DCT",'ENGAGEMENTS 2026'!C1848))</f>
        <v/>
      </c>
      <c r="B1848">
        <f>IF(ISBLANK('ENGAGEMENTS 2026'!C1848),"",'ENGAGEMENTS 2026'!D1848)</f>
        <v/>
      </c>
      <c r="C1848">
        <f>IF(ISBLANK('ENGAGEMENTS 2026'!C1848),"",'ENGAGEMENTS 2026'!E1848)</f>
        <v/>
      </c>
      <c r="D1848">
        <f>IF(ISBLANK('ENGAGEMENTS 2026'!C1848),"",'ENGAGEMENTS 2026'!G1848)</f>
        <v/>
      </c>
      <c r="E1848">
        <f>IF(ISBLANK('ENGAGEMENTS 2026'!C1848),"",'ENGAGEMENTS 2026'!I1848)</f>
        <v/>
      </c>
      <c r="F1848">
        <f>IF(ISBLANK('ENGAGEMENTS 2026'!C1848),"",'ENGAGEMENTS 2026'!J1848)</f>
        <v/>
      </c>
      <c r="G1848">
        <f>IF(ISBLANK('ENGAGEMENTS 2026'!C1848),"",'ENGAGEMENTS 2026'!M1848)</f>
        <v/>
      </c>
      <c r="H1848">
        <f>IF(ISBLANK('ENGAGEMENTS 2026'!C1848),"",'ENGAGEMENTS 2026'!AF1848)</f>
        <v/>
      </c>
      <c r="I1848">
        <f>IF(ISBLANK('ENGAGEMENTS 2026'!C1848),"",'ENGAGEMENTS 2026'!H1848)</f>
        <v/>
      </c>
      <c r="J1848" s="275">
        <f>IF(ISBLANK('ENGAGEMENTS 2026'!C1848),"",IF(AND(OR($E1848="INFRUCTUEUX",$E1848="ANNULE"),$C1848="AOO-M"),'ENGAGEMENTS 2026'!P1848,IF($H1848="EN COURS DE PREENGAGEMENT",'ENGAGEMENTS 2026'!O1848,IF($H1848="PREENGAGE",IF($E1848="ATTRIBUE",'ENGAGEMENTS 2026'!AE1848,'ENGAGEMENTS 2026'!O1848),'ENGAGEMENTS 2026'!AE1848))))</f>
        <v/>
      </c>
      <c r="K1848" s="604">
        <f>IF(ISBLANK('ENGAGEMENTS 2026'!W1848),"",'ENGAGEMENTS 2026'!W1848)</f>
        <v/>
      </c>
      <c r="L1848" s="276">
        <f>IF($K1848="","",TODAY()-$K1848)</f>
        <v/>
      </c>
      <c r="M1848">
        <f>IF($A1848="","",IF($H1848="ENGAGE","Engagé",IF(AND($H1848="NON ENGAGE",OR($I1848="INFRUCTUEUX",$I1848="ANNULE")),"Clôturé sans suite","En cours")))</f>
        <v/>
      </c>
      <c r="N1848">
        <f>IF(ISBLANK('ENGAGEMENTS 2026'!C1848),"",'ENGAGEMENTS 2026'!L1848)</f>
        <v/>
      </c>
      <c r="O1848">
        <f>IF(ISBLANK('ENGAGEMENTS 2026'!C1848),"",'ENGAGEMENTS 2026'!M1848)</f>
        <v/>
      </c>
      <c r="P1848">
        <f>IF(ISBLANK('ENGAGEMENTS 2026'!C1848),"",'ENGAGEMENTS 2026'!K1848)</f>
        <v/>
      </c>
      <c r="Q1848">
        <f>IF($A1848="","",IF(OR($E1848="INFRUCTUEUX",$E1848="ANNULE"),$A1848&amp;"|"&amp;(COUNTIFS($A$2:$A1848,$A1848,$E$2:$E1848,"INFRUCTUEUX")+COUNTIFS($A$2:$A1848,$A1848,$E$2:$E1848,"ANNULE")),""))</f>
        <v/>
      </c>
    </row>
    <row r="1849">
      <c r="A1849">
        <f>IF(ISBLANK('ENGAGEMENTS 2026'!C1849),"",IF('ENGAGEMENTS 2026'!C1849="DTSI","DCT",'ENGAGEMENTS 2026'!C1849))</f>
        <v/>
      </c>
      <c r="B1849">
        <f>IF(ISBLANK('ENGAGEMENTS 2026'!C1849),"",'ENGAGEMENTS 2026'!D1849)</f>
        <v/>
      </c>
      <c r="C1849">
        <f>IF(ISBLANK('ENGAGEMENTS 2026'!C1849),"",'ENGAGEMENTS 2026'!E1849)</f>
        <v/>
      </c>
      <c r="D1849">
        <f>IF(ISBLANK('ENGAGEMENTS 2026'!C1849),"",'ENGAGEMENTS 2026'!G1849)</f>
        <v/>
      </c>
      <c r="E1849">
        <f>IF(ISBLANK('ENGAGEMENTS 2026'!C1849),"",'ENGAGEMENTS 2026'!I1849)</f>
        <v/>
      </c>
      <c r="F1849">
        <f>IF(ISBLANK('ENGAGEMENTS 2026'!C1849),"",'ENGAGEMENTS 2026'!J1849)</f>
        <v/>
      </c>
      <c r="G1849">
        <f>IF(ISBLANK('ENGAGEMENTS 2026'!C1849),"",'ENGAGEMENTS 2026'!M1849)</f>
        <v/>
      </c>
      <c r="H1849">
        <f>IF(ISBLANK('ENGAGEMENTS 2026'!C1849),"",'ENGAGEMENTS 2026'!AF1849)</f>
        <v/>
      </c>
      <c r="I1849">
        <f>IF(ISBLANK('ENGAGEMENTS 2026'!C1849),"",'ENGAGEMENTS 2026'!H1849)</f>
        <v/>
      </c>
      <c r="J1849" s="275">
        <f>IF(ISBLANK('ENGAGEMENTS 2026'!C1849),"",IF(AND(OR($E1849="INFRUCTUEUX",$E1849="ANNULE"),$C1849="AOO-M"),'ENGAGEMENTS 2026'!P1849,IF($H1849="EN COURS DE PREENGAGEMENT",'ENGAGEMENTS 2026'!O1849,IF($H1849="PREENGAGE",IF($E1849="ATTRIBUE",'ENGAGEMENTS 2026'!AE1849,'ENGAGEMENTS 2026'!O1849),'ENGAGEMENTS 2026'!AE1849))))</f>
        <v/>
      </c>
      <c r="K1849" s="604">
        <f>IF(ISBLANK('ENGAGEMENTS 2026'!W1849),"",'ENGAGEMENTS 2026'!W1849)</f>
        <v/>
      </c>
      <c r="L1849" s="276">
        <f>IF($K1849="","",TODAY()-$K1849)</f>
        <v/>
      </c>
      <c r="M1849">
        <f>IF($A1849="","",IF($H1849="ENGAGE","Engagé",IF(AND($H1849="NON ENGAGE",OR($I1849="INFRUCTUEUX",$I1849="ANNULE")),"Clôturé sans suite","En cours")))</f>
        <v/>
      </c>
      <c r="N1849">
        <f>IF(ISBLANK('ENGAGEMENTS 2026'!C1849),"",'ENGAGEMENTS 2026'!L1849)</f>
        <v/>
      </c>
      <c r="O1849">
        <f>IF(ISBLANK('ENGAGEMENTS 2026'!C1849),"",'ENGAGEMENTS 2026'!M1849)</f>
        <v/>
      </c>
      <c r="P1849">
        <f>IF(ISBLANK('ENGAGEMENTS 2026'!C1849),"",'ENGAGEMENTS 2026'!K1849)</f>
        <v/>
      </c>
      <c r="Q1849">
        <f>IF($A1849="","",IF(OR($E1849="INFRUCTUEUX",$E1849="ANNULE"),$A1849&amp;"|"&amp;(COUNTIFS($A$2:$A1849,$A1849,$E$2:$E1849,"INFRUCTUEUX")+COUNTIFS($A$2:$A1849,$A1849,$E$2:$E1849,"ANNULE")),""))</f>
        <v/>
      </c>
    </row>
    <row r="1850">
      <c r="A1850">
        <f>IF(ISBLANK('ENGAGEMENTS 2026'!C1850),"",IF('ENGAGEMENTS 2026'!C1850="DTSI","DCT",'ENGAGEMENTS 2026'!C1850))</f>
        <v/>
      </c>
      <c r="B1850">
        <f>IF(ISBLANK('ENGAGEMENTS 2026'!C1850),"",'ENGAGEMENTS 2026'!D1850)</f>
        <v/>
      </c>
      <c r="C1850">
        <f>IF(ISBLANK('ENGAGEMENTS 2026'!C1850),"",'ENGAGEMENTS 2026'!E1850)</f>
        <v/>
      </c>
      <c r="D1850">
        <f>IF(ISBLANK('ENGAGEMENTS 2026'!C1850),"",'ENGAGEMENTS 2026'!G1850)</f>
        <v/>
      </c>
      <c r="E1850">
        <f>IF(ISBLANK('ENGAGEMENTS 2026'!C1850),"",'ENGAGEMENTS 2026'!I1850)</f>
        <v/>
      </c>
      <c r="F1850">
        <f>IF(ISBLANK('ENGAGEMENTS 2026'!C1850),"",'ENGAGEMENTS 2026'!J1850)</f>
        <v/>
      </c>
      <c r="G1850">
        <f>IF(ISBLANK('ENGAGEMENTS 2026'!C1850),"",'ENGAGEMENTS 2026'!M1850)</f>
        <v/>
      </c>
      <c r="H1850">
        <f>IF(ISBLANK('ENGAGEMENTS 2026'!C1850),"",'ENGAGEMENTS 2026'!AF1850)</f>
        <v/>
      </c>
      <c r="I1850">
        <f>IF(ISBLANK('ENGAGEMENTS 2026'!C1850),"",'ENGAGEMENTS 2026'!H1850)</f>
        <v/>
      </c>
      <c r="J1850" s="275">
        <f>IF(ISBLANK('ENGAGEMENTS 2026'!C1850),"",IF(AND(OR($E1850="INFRUCTUEUX",$E1850="ANNULE"),$C1850="AOO-M"),'ENGAGEMENTS 2026'!P1850,IF($H1850="EN COURS DE PREENGAGEMENT",'ENGAGEMENTS 2026'!O1850,IF($H1850="PREENGAGE",IF($E1850="ATTRIBUE",'ENGAGEMENTS 2026'!AE1850,'ENGAGEMENTS 2026'!O1850),'ENGAGEMENTS 2026'!AE1850))))</f>
        <v/>
      </c>
      <c r="K1850" s="604">
        <f>IF(ISBLANK('ENGAGEMENTS 2026'!W1850),"",'ENGAGEMENTS 2026'!W1850)</f>
        <v/>
      </c>
      <c r="L1850" s="276">
        <f>IF($K1850="","",TODAY()-$K1850)</f>
        <v/>
      </c>
      <c r="M1850">
        <f>IF($A1850="","",IF($H1850="ENGAGE","Engagé",IF(AND($H1850="NON ENGAGE",OR($I1850="INFRUCTUEUX",$I1850="ANNULE")),"Clôturé sans suite","En cours")))</f>
        <v/>
      </c>
      <c r="N1850">
        <f>IF(ISBLANK('ENGAGEMENTS 2026'!C1850),"",'ENGAGEMENTS 2026'!L1850)</f>
        <v/>
      </c>
      <c r="O1850">
        <f>IF(ISBLANK('ENGAGEMENTS 2026'!C1850),"",'ENGAGEMENTS 2026'!M1850)</f>
        <v/>
      </c>
      <c r="P1850">
        <f>IF(ISBLANK('ENGAGEMENTS 2026'!C1850),"",'ENGAGEMENTS 2026'!K1850)</f>
        <v/>
      </c>
      <c r="Q1850">
        <f>IF($A1850="","",IF(OR($E1850="INFRUCTUEUX",$E1850="ANNULE"),$A1850&amp;"|"&amp;(COUNTIFS($A$2:$A1850,$A1850,$E$2:$E1850,"INFRUCTUEUX")+COUNTIFS($A$2:$A1850,$A1850,$E$2:$E1850,"ANNULE")),""))</f>
        <v/>
      </c>
    </row>
    <row r="1851">
      <c r="A1851">
        <f>IF(ISBLANK('ENGAGEMENTS 2026'!C1851),"",IF('ENGAGEMENTS 2026'!C1851="DTSI","DCT",'ENGAGEMENTS 2026'!C1851))</f>
        <v/>
      </c>
      <c r="B1851">
        <f>IF(ISBLANK('ENGAGEMENTS 2026'!C1851),"",'ENGAGEMENTS 2026'!D1851)</f>
        <v/>
      </c>
      <c r="C1851">
        <f>IF(ISBLANK('ENGAGEMENTS 2026'!C1851),"",'ENGAGEMENTS 2026'!E1851)</f>
        <v/>
      </c>
      <c r="D1851">
        <f>IF(ISBLANK('ENGAGEMENTS 2026'!C1851),"",'ENGAGEMENTS 2026'!G1851)</f>
        <v/>
      </c>
      <c r="E1851">
        <f>IF(ISBLANK('ENGAGEMENTS 2026'!C1851),"",'ENGAGEMENTS 2026'!I1851)</f>
        <v/>
      </c>
      <c r="F1851">
        <f>IF(ISBLANK('ENGAGEMENTS 2026'!C1851),"",'ENGAGEMENTS 2026'!J1851)</f>
        <v/>
      </c>
      <c r="G1851">
        <f>IF(ISBLANK('ENGAGEMENTS 2026'!C1851),"",'ENGAGEMENTS 2026'!M1851)</f>
        <v/>
      </c>
      <c r="H1851">
        <f>IF(ISBLANK('ENGAGEMENTS 2026'!C1851),"",'ENGAGEMENTS 2026'!AF1851)</f>
        <v/>
      </c>
      <c r="I1851">
        <f>IF(ISBLANK('ENGAGEMENTS 2026'!C1851),"",'ENGAGEMENTS 2026'!H1851)</f>
        <v/>
      </c>
      <c r="J1851" s="275">
        <f>IF(ISBLANK('ENGAGEMENTS 2026'!C1851),"",IF(AND(OR($E1851="INFRUCTUEUX",$E1851="ANNULE"),$C1851="AOO-M"),'ENGAGEMENTS 2026'!P1851,IF($H1851="EN COURS DE PREENGAGEMENT",'ENGAGEMENTS 2026'!O1851,IF($H1851="PREENGAGE",IF($E1851="ATTRIBUE",'ENGAGEMENTS 2026'!AE1851,'ENGAGEMENTS 2026'!O1851),'ENGAGEMENTS 2026'!AE1851))))</f>
        <v/>
      </c>
      <c r="K1851" s="604">
        <f>IF(ISBLANK('ENGAGEMENTS 2026'!W1851),"",'ENGAGEMENTS 2026'!W1851)</f>
        <v/>
      </c>
      <c r="L1851" s="276">
        <f>IF($K1851="","",TODAY()-$K1851)</f>
        <v/>
      </c>
      <c r="M1851">
        <f>IF($A1851="","",IF($H1851="ENGAGE","Engagé",IF(AND($H1851="NON ENGAGE",OR($I1851="INFRUCTUEUX",$I1851="ANNULE")),"Clôturé sans suite","En cours")))</f>
        <v/>
      </c>
      <c r="N1851">
        <f>IF(ISBLANK('ENGAGEMENTS 2026'!C1851),"",'ENGAGEMENTS 2026'!L1851)</f>
        <v/>
      </c>
      <c r="O1851">
        <f>IF(ISBLANK('ENGAGEMENTS 2026'!C1851),"",'ENGAGEMENTS 2026'!M1851)</f>
        <v/>
      </c>
      <c r="P1851">
        <f>IF(ISBLANK('ENGAGEMENTS 2026'!C1851),"",'ENGAGEMENTS 2026'!K1851)</f>
        <v/>
      </c>
      <c r="Q1851">
        <f>IF($A1851="","",IF(OR($E1851="INFRUCTUEUX",$E1851="ANNULE"),$A1851&amp;"|"&amp;(COUNTIFS($A$2:$A1851,$A1851,$E$2:$E1851,"INFRUCTUEUX")+COUNTIFS($A$2:$A1851,$A1851,$E$2:$E1851,"ANNULE")),""))</f>
        <v/>
      </c>
    </row>
    <row r="1852">
      <c r="A1852">
        <f>IF(ISBLANK('ENGAGEMENTS 2026'!C1852),"",IF('ENGAGEMENTS 2026'!C1852="DTSI","DCT",'ENGAGEMENTS 2026'!C1852))</f>
        <v/>
      </c>
      <c r="B1852">
        <f>IF(ISBLANK('ENGAGEMENTS 2026'!C1852),"",'ENGAGEMENTS 2026'!D1852)</f>
        <v/>
      </c>
      <c r="C1852">
        <f>IF(ISBLANK('ENGAGEMENTS 2026'!C1852),"",'ENGAGEMENTS 2026'!E1852)</f>
        <v/>
      </c>
      <c r="D1852">
        <f>IF(ISBLANK('ENGAGEMENTS 2026'!C1852),"",'ENGAGEMENTS 2026'!G1852)</f>
        <v/>
      </c>
      <c r="E1852">
        <f>IF(ISBLANK('ENGAGEMENTS 2026'!C1852),"",'ENGAGEMENTS 2026'!I1852)</f>
        <v/>
      </c>
      <c r="F1852">
        <f>IF(ISBLANK('ENGAGEMENTS 2026'!C1852),"",'ENGAGEMENTS 2026'!J1852)</f>
        <v/>
      </c>
      <c r="G1852">
        <f>IF(ISBLANK('ENGAGEMENTS 2026'!C1852),"",'ENGAGEMENTS 2026'!M1852)</f>
        <v/>
      </c>
      <c r="H1852">
        <f>IF(ISBLANK('ENGAGEMENTS 2026'!C1852),"",'ENGAGEMENTS 2026'!AF1852)</f>
        <v/>
      </c>
      <c r="I1852">
        <f>IF(ISBLANK('ENGAGEMENTS 2026'!C1852),"",'ENGAGEMENTS 2026'!H1852)</f>
        <v/>
      </c>
      <c r="J1852" s="275">
        <f>IF(ISBLANK('ENGAGEMENTS 2026'!C1852),"",IF(AND(OR($E1852="INFRUCTUEUX",$E1852="ANNULE"),$C1852="AOO-M"),'ENGAGEMENTS 2026'!P1852,IF($H1852="EN COURS DE PREENGAGEMENT",'ENGAGEMENTS 2026'!O1852,IF($H1852="PREENGAGE",IF($E1852="ATTRIBUE",'ENGAGEMENTS 2026'!AE1852,'ENGAGEMENTS 2026'!O1852),'ENGAGEMENTS 2026'!AE1852))))</f>
        <v/>
      </c>
      <c r="K1852" s="604">
        <f>IF(ISBLANK('ENGAGEMENTS 2026'!W1852),"",'ENGAGEMENTS 2026'!W1852)</f>
        <v/>
      </c>
      <c r="L1852" s="276">
        <f>IF($K1852="","",TODAY()-$K1852)</f>
        <v/>
      </c>
      <c r="M1852">
        <f>IF($A1852="","",IF($H1852="ENGAGE","Engagé",IF(AND($H1852="NON ENGAGE",OR($I1852="INFRUCTUEUX",$I1852="ANNULE")),"Clôturé sans suite","En cours")))</f>
        <v/>
      </c>
      <c r="N1852">
        <f>IF(ISBLANK('ENGAGEMENTS 2026'!C1852),"",'ENGAGEMENTS 2026'!L1852)</f>
        <v/>
      </c>
      <c r="O1852">
        <f>IF(ISBLANK('ENGAGEMENTS 2026'!C1852),"",'ENGAGEMENTS 2026'!M1852)</f>
        <v/>
      </c>
      <c r="P1852">
        <f>IF(ISBLANK('ENGAGEMENTS 2026'!C1852),"",'ENGAGEMENTS 2026'!K1852)</f>
        <v/>
      </c>
      <c r="Q1852">
        <f>IF($A1852="","",IF(OR($E1852="INFRUCTUEUX",$E1852="ANNULE"),$A1852&amp;"|"&amp;(COUNTIFS($A$2:$A1852,$A1852,$E$2:$E1852,"INFRUCTUEUX")+COUNTIFS($A$2:$A1852,$A1852,$E$2:$E1852,"ANNULE")),""))</f>
        <v/>
      </c>
    </row>
    <row r="1853">
      <c r="A1853">
        <f>IF(ISBLANK('ENGAGEMENTS 2026'!C1853),"",IF('ENGAGEMENTS 2026'!C1853="DTSI","DCT",'ENGAGEMENTS 2026'!C1853))</f>
        <v/>
      </c>
      <c r="B1853">
        <f>IF(ISBLANK('ENGAGEMENTS 2026'!C1853),"",'ENGAGEMENTS 2026'!D1853)</f>
        <v/>
      </c>
      <c r="C1853">
        <f>IF(ISBLANK('ENGAGEMENTS 2026'!C1853),"",'ENGAGEMENTS 2026'!E1853)</f>
        <v/>
      </c>
      <c r="D1853">
        <f>IF(ISBLANK('ENGAGEMENTS 2026'!C1853),"",'ENGAGEMENTS 2026'!G1853)</f>
        <v/>
      </c>
      <c r="E1853">
        <f>IF(ISBLANK('ENGAGEMENTS 2026'!C1853),"",'ENGAGEMENTS 2026'!I1853)</f>
        <v/>
      </c>
      <c r="F1853">
        <f>IF(ISBLANK('ENGAGEMENTS 2026'!C1853),"",'ENGAGEMENTS 2026'!J1853)</f>
        <v/>
      </c>
      <c r="G1853">
        <f>IF(ISBLANK('ENGAGEMENTS 2026'!C1853),"",'ENGAGEMENTS 2026'!M1853)</f>
        <v/>
      </c>
      <c r="H1853">
        <f>IF(ISBLANK('ENGAGEMENTS 2026'!C1853),"",'ENGAGEMENTS 2026'!AF1853)</f>
        <v/>
      </c>
      <c r="I1853">
        <f>IF(ISBLANK('ENGAGEMENTS 2026'!C1853),"",'ENGAGEMENTS 2026'!H1853)</f>
        <v/>
      </c>
      <c r="J1853" s="275">
        <f>IF(ISBLANK('ENGAGEMENTS 2026'!C1853),"",IF(AND(OR($E1853="INFRUCTUEUX",$E1853="ANNULE"),$C1853="AOO-M"),'ENGAGEMENTS 2026'!P1853,IF($H1853="EN COURS DE PREENGAGEMENT",'ENGAGEMENTS 2026'!O1853,IF($H1853="PREENGAGE",IF($E1853="ATTRIBUE",'ENGAGEMENTS 2026'!AE1853,'ENGAGEMENTS 2026'!O1853),'ENGAGEMENTS 2026'!AE1853))))</f>
        <v/>
      </c>
      <c r="K1853" s="604">
        <f>IF(ISBLANK('ENGAGEMENTS 2026'!W1853),"",'ENGAGEMENTS 2026'!W1853)</f>
        <v/>
      </c>
      <c r="L1853" s="276">
        <f>IF($K1853="","",TODAY()-$K1853)</f>
        <v/>
      </c>
      <c r="M1853">
        <f>IF($A1853="","",IF($H1853="ENGAGE","Engagé",IF(AND($H1853="NON ENGAGE",OR($I1853="INFRUCTUEUX",$I1853="ANNULE")),"Clôturé sans suite","En cours")))</f>
        <v/>
      </c>
      <c r="N1853">
        <f>IF(ISBLANK('ENGAGEMENTS 2026'!C1853),"",'ENGAGEMENTS 2026'!L1853)</f>
        <v/>
      </c>
      <c r="O1853">
        <f>IF(ISBLANK('ENGAGEMENTS 2026'!C1853),"",'ENGAGEMENTS 2026'!M1853)</f>
        <v/>
      </c>
      <c r="P1853">
        <f>IF(ISBLANK('ENGAGEMENTS 2026'!C1853),"",'ENGAGEMENTS 2026'!K1853)</f>
        <v/>
      </c>
      <c r="Q1853">
        <f>IF($A1853="","",IF(OR($E1853="INFRUCTUEUX",$E1853="ANNULE"),$A1853&amp;"|"&amp;(COUNTIFS($A$2:$A1853,$A1853,$E$2:$E1853,"INFRUCTUEUX")+COUNTIFS($A$2:$A1853,$A1853,$E$2:$E1853,"ANNULE")),""))</f>
        <v/>
      </c>
    </row>
    <row r="1854">
      <c r="A1854">
        <f>IF(ISBLANK('ENGAGEMENTS 2026'!C1854),"",IF('ENGAGEMENTS 2026'!C1854="DTSI","DCT",'ENGAGEMENTS 2026'!C1854))</f>
        <v/>
      </c>
      <c r="B1854">
        <f>IF(ISBLANK('ENGAGEMENTS 2026'!C1854),"",'ENGAGEMENTS 2026'!D1854)</f>
        <v/>
      </c>
      <c r="C1854">
        <f>IF(ISBLANK('ENGAGEMENTS 2026'!C1854),"",'ENGAGEMENTS 2026'!E1854)</f>
        <v/>
      </c>
      <c r="D1854">
        <f>IF(ISBLANK('ENGAGEMENTS 2026'!C1854),"",'ENGAGEMENTS 2026'!G1854)</f>
        <v/>
      </c>
      <c r="E1854">
        <f>IF(ISBLANK('ENGAGEMENTS 2026'!C1854),"",'ENGAGEMENTS 2026'!I1854)</f>
        <v/>
      </c>
      <c r="F1854">
        <f>IF(ISBLANK('ENGAGEMENTS 2026'!C1854),"",'ENGAGEMENTS 2026'!J1854)</f>
        <v/>
      </c>
      <c r="G1854">
        <f>IF(ISBLANK('ENGAGEMENTS 2026'!C1854),"",'ENGAGEMENTS 2026'!M1854)</f>
        <v/>
      </c>
      <c r="H1854">
        <f>IF(ISBLANK('ENGAGEMENTS 2026'!C1854),"",'ENGAGEMENTS 2026'!AF1854)</f>
        <v/>
      </c>
      <c r="I1854">
        <f>IF(ISBLANK('ENGAGEMENTS 2026'!C1854),"",'ENGAGEMENTS 2026'!H1854)</f>
        <v/>
      </c>
      <c r="J1854" s="275">
        <f>IF(ISBLANK('ENGAGEMENTS 2026'!C1854),"",IF(AND(OR($E1854="INFRUCTUEUX",$E1854="ANNULE"),$C1854="AOO-M"),'ENGAGEMENTS 2026'!P1854,IF($H1854="EN COURS DE PREENGAGEMENT",'ENGAGEMENTS 2026'!O1854,IF($H1854="PREENGAGE",IF($E1854="ATTRIBUE",'ENGAGEMENTS 2026'!AE1854,'ENGAGEMENTS 2026'!O1854),'ENGAGEMENTS 2026'!AE1854))))</f>
        <v/>
      </c>
      <c r="K1854" s="604">
        <f>IF(ISBLANK('ENGAGEMENTS 2026'!W1854),"",'ENGAGEMENTS 2026'!W1854)</f>
        <v/>
      </c>
      <c r="L1854" s="276">
        <f>IF($K1854="","",TODAY()-$K1854)</f>
        <v/>
      </c>
      <c r="M1854">
        <f>IF($A1854="","",IF($H1854="ENGAGE","Engagé",IF(AND($H1854="NON ENGAGE",OR($I1854="INFRUCTUEUX",$I1854="ANNULE")),"Clôturé sans suite","En cours")))</f>
        <v/>
      </c>
      <c r="N1854">
        <f>IF(ISBLANK('ENGAGEMENTS 2026'!C1854),"",'ENGAGEMENTS 2026'!L1854)</f>
        <v/>
      </c>
      <c r="O1854">
        <f>IF(ISBLANK('ENGAGEMENTS 2026'!C1854),"",'ENGAGEMENTS 2026'!M1854)</f>
        <v/>
      </c>
      <c r="P1854">
        <f>IF(ISBLANK('ENGAGEMENTS 2026'!C1854),"",'ENGAGEMENTS 2026'!K1854)</f>
        <v/>
      </c>
      <c r="Q1854">
        <f>IF($A1854="","",IF(OR($E1854="INFRUCTUEUX",$E1854="ANNULE"),$A1854&amp;"|"&amp;(COUNTIFS($A$2:$A1854,$A1854,$E$2:$E1854,"INFRUCTUEUX")+COUNTIFS($A$2:$A1854,$A1854,$E$2:$E1854,"ANNULE")),""))</f>
        <v/>
      </c>
    </row>
    <row r="1855">
      <c r="A1855">
        <f>IF(ISBLANK('ENGAGEMENTS 2026'!C1855),"",IF('ENGAGEMENTS 2026'!C1855="DTSI","DCT",'ENGAGEMENTS 2026'!C1855))</f>
        <v/>
      </c>
      <c r="B1855">
        <f>IF(ISBLANK('ENGAGEMENTS 2026'!C1855),"",'ENGAGEMENTS 2026'!D1855)</f>
        <v/>
      </c>
      <c r="C1855">
        <f>IF(ISBLANK('ENGAGEMENTS 2026'!C1855),"",'ENGAGEMENTS 2026'!E1855)</f>
        <v/>
      </c>
      <c r="D1855">
        <f>IF(ISBLANK('ENGAGEMENTS 2026'!C1855),"",'ENGAGEMENTS 2026'!G1855)</f>
        <v/>
      </c>
      <c r="E1855">
        <f>IF(ISBLANK('ENGAGEMENTS 2026'!C1855),"",'ENGAGEMENTS 2026'!I1855)</f>
        <v/>
      </c>
      <c r="F1855">
        <f>IF(ISBLANK('ENGAGEMENTS 2026'!C1855),"",'ENGAGEMENTS 2026'!J1855)</f>
        <v/>
      </c>
      <c r="G1855">
        <f>IF(ISBLANK('ENGAGEMENTS 2026'!C1855),"",'ENGAGEMENTS 2026'!M1855)</f>
        <v/>
      </c>
      <c r="H1855">
        <f>IF(ISBLANK('ENGAGEMENTS 2026'!C1855),"",'ENGAGEMENTS 2026'!AF1855)</f>
        <v/>
      </c>
      <c r="I1855">
        <f>IF(ISBLANK('ENGAGEMENTS 2026'!C1855),"",'ENGAGEMENTS 2026'!H1855)</f>
        <v/>
      </c>
      <c r="J1855" s="275">
        <f>IF(ISBLANK('ENGAGEMENTS 2026'!C1855),"",IF(AND(OR($E1855="INFRUCTUEUX",$E1855="ANNULE"),$C1855="AOO-M"),'ENGAGEMENTS 2026'!P1855,IF($H1855="EN COURS DE PREENGAGEMENT",'ENGAGEMENTS 2026'!O1855,IF($H1855="PREENGAGE",IF($E1855="ATTRIBUE",'ENGAGEMENTS 2026'!AE1855,'ENGAGEMENTS 2026'!O1855),'ENGAGEMENTS 2026'!AE1855))))</f>
        <v/>
      </c>
      <c r="K1855" s="604">
        <f>IF(ISBLANK('ENGAGEMENTS 2026'!W1855),"",'ENGAGEMENTS 2026'!W1855)</f>
        <v/>
      </c>
      <c r="L1855" s="276">
        <f>IF($K1855="","",TODAY()-$K1855)</f>
        <v/>
      </c>
      <c r="M1855">
        <f>IF($A1855="","",IF($H1855="ENGAGE","Engagé",IF(AND($H1855="NON ENGAGE",OR($I1855="INFRUCTUEUX",$I1855="ANNULE")),"Clôturé sans suite","En cours")))</f>
        <v/>
      </c>
      <c r="N1855">
        <f>IF(ISBLANK('ENGAGEMENTS 2026'!C1855),"",'ENGAGEMENTS 2026'!L1855)</f>
        <v/>
      </c>
      <c r="O1855">
        <f>IF(ISBLANK('ENGAGEMENTS 2026'!C1855),"",'ENGAGEMENTS 2026'!M1855)</f>
        <v/>
      </c>
      <c r="P1855">
        <f>IF(ISBLANK('ENGAGEMENTS 2026'!C1855),"",'ENGAGEMENTS 2026'!K1855)</f>
        <v/>
      </c>
      <c r="Q1855">
        <f>IF($A1855="","",IF(OR($E1855="INFRUCTUEUX",$E1855="ANNULE"),$A1855&amp;"|"&amp;(COUNTIFS($A$2:$A1855,$A1855,$E$2:$E1855,"INFRUCTUEUX")+COUNTIFS($A$2:$A1855,$A1855,$E$2:$E1855,"ANNULE")),""))</f>
        <v/>
      </c>
    </row>
    <row r="1856">
      <c r="A1856">
        <f>IF(ISBLANK('ENGAGEMENTS 2026'!C1856),"",IF('ENGAGEMENTS 2026'!C1856="DTSI","DCT",'ENGAGEMENTS 2026'!C1856))</f>
        <v/>
      </c>
      <c r="B1856">
        <f>IF(ISBLANK('ENGAGEMENTS 2026'!C1856),"",'ENGAGEMENTS 2026'!D1856)</f>
        <v/>
      </c>
      <c r="C1856">
        <f>IF(ISBLANK('ENGAGEMENTS 2026'!C1856),"",'ENGAGEMENTS 2026'!E1856)</f>
        <v/>
      </c>
      <c r="D1856">
        <f>IF(ISBLANK('ENGAGEMENTS 2026'!C1856),"",'ENGAGEMENTS 2026'!G1856)</f>
        <v/>
      </c>
      <c r="E1856">
        <f>IF(ISBLANK('ENGAGEMENTS 2026'!C1856),"",'ENGAGEMENTS 2026'!I1856)</f>
        <v/>
      </c>
      <c r="F1856">
        <f>IF(ISBLANK('ENGAGEMENTS 2026'!C1856),"",'ENGAGEMENTS 2026'!J1856)</f>
        <v/>
      </c>
      <c r="G1856">
        <f>IF(ISBLANK('ENGAGEMENTS 2026'!C1856),"",'ENGAGEMENTS 2026'!M1856)</f>
        <v/>
      </c>
      <c r="H1856">
        <f>IF(ISBLANK('ENGAGEMENTS 2026'!C1856),"",'ENGAGEMENTS 2026'!AF1856)</f>
        <v/>
      </c>
      <c r="I1856">
        <f>IF(ISBLANK('ENGAGEMENTS 2026'!C1856),"",'ENGAGEMENTS 2026'!H1856)</f>
        <v/>
      </c>
      <c r="J1856" s="275">
        <f>IF(ISBLANK('ENGAGEMENTS 2026'!C1856),"",IF(AND(OR($E1856="INFRUCTUEUX",$E1856="ANNULE"),$C1856="AOO-M"),'ENGAGEMENTS 2026'!P1856,IF($H1856="EN COURS DE PREENGAGEMENT",'ENGAGEMENTS 2026'!O1856,IF($H1856="PREENGAGE",IF($E1856="ATTRIBUE",'ENGAGEMENTS 2026'!AE1856,'ENGAGEMENTS 2026'!O1856),'ENGAGEMENTS 2026'!AE1856))))</f>
        <v/>
      </c>
      <c r="K1856" s="604">
        <f>IF(ISBLANK('ENGAGEMENTS 2026'!W1856),"",'ENGAGEMENTS 2026'!W1856)</f>
        <v/>
      </c>
      <c r="L1856" s="276">
        <f>IF($K1856="","",TODAY()-$K1856)</f>
        <v/>
      </c>
      <c r="M1856">
        <f>IF($A1856="","",IF($H1856="ENGAGE","Engagé",IF(AND($H1856="NON ENGAGE",OR($I1856="INFRUCTUEUX",$I1856="ANNULE")),"Clôturé sans suite","En cours")))</f>
        <v/>
      </c>
      <c r="N1856">
        <f>IF(ISBLANK('ENGAGEMENTS 2026'!C1856),"",'ENGAGEMENTS 2026'!L1856)</f>
        <v/>
      </c>
      <c r="O1856">
        <f>IF(ISBLANK('ENGAGEMENTS 2026'!C1856),"",'ENGAGEMENTS 2026'!M1856)</f>
        <v/>
      </c>
      <c r="P1856">
        <f>IF(ISBLANK('ENGAGEMENTS 2026'!C1856),"",'ENGAGEMENTS 2026'!K1856)</f>
        <v/>
      </c>
      <c r="Q1856">
        <f>IF($A1856="","",IF(OR($E1856="INFRUCTUEUX",$E1856="ANNULE"),$A1856&amp;"|"&amp;(COUNTIFS($A$2:$A1856,$A1856,$E$2:$E1856,"INFRUCTUEUX")+COUNTIFS($A$2:$A1856,$A1856,$E$2:$E1856,"ANNULE")),""))</f>
        <v/>
      </c>
    </row>
    <row r="1857">
      <c r="A1857">
        <f>IF(ISBLANK('ENGAGEMENTS 2026'!C1857),"",IF('ENGAGEMENTS 2026'!C1857="DTSI","DCT",'ENGAGEMENTS 2026'!C1857))</f>
        <v/>
      </c>
      <c r="B1857">
        <f>IF(ISBLANK('ENGAGEMENTS 2026'!C1857),"",'ENGAGEMENTS 2026'!D1857)</f>
        <v/>
      </c>
      <c r="C1857">
        <f>IF(ISBLANK('ENGAGEMENTS 2026'!C1857),"",'ENGAGEMENTS 2026'!E1857)</f>
        <v/>
      </c>
      <c r="D1857">
        <f>IF(ISBLANK('ENGAGEMENTS 2026'!C1857),"",'ENGAGEMENTS 2026'!G1857)</f>
        <v/>
      </c>
      <c r="E1857">
        <f>IF(ISBLANK('ENGAGEMENTS 2026'!C1857),"",'ENGAGEMENTS 2026'!I1857)</f>
        <v/>
      </c>
      <c r="F1857">
        <f>IF(ISBLANK('ENGAGEMENTS 2026'!C1857),"",'ENGAGEMENTS 2026'!J1857)</f>
        <v/>
      </c>
      <c r="G1857">
        <f>IF(ISBLANK('ENGAGEMENTS 2026'!C1857),"",'ENGAGEMENTS 2026'!M1857)</f>
        <v/>
      </c>
      <c r="H1857">
        <f>IF(ISBLANK('ENGAGEMENTS 2026'!C1857),"",'ENGAGEMENTS 2026'!AF1857)</f>
        <v/>
      </c>
      <c r="I1857">
        <f>IF(ISBLANK('ENGAGEMENTS 2026'!C1857),"",'ENGAGEMENTS 2026'!H1857)</f>
        <v/>
      </c>
      <c r="J1857" s="275">
        <f>IF(ISBLANK('ENGAGEMENTS 2026'!C1857),"",IF(AND(OR($E1857="INFRUCTUEUX",$E1857="ANNULE"),$C1857="AOO-M"),'ENGAGEMENTS 2026'!P1857,IF($H1857="EN COURS DE PREENGAGEMENT",'ENGAGEMENTS 2026'!O1857,IF($H1857="PREENGAGE",IF($E1857="ATTRIBUE",'ENGAGEMENTS 2026'!AE1857,'ENGAGEMENTS 2026'!O1857),'ENGAGEMENTS 2026'!AE1857))))</f>
        <v/>
      </c>
      <c r="K1857" s="604">
        <f>IF(ISBLANK('ENGAGEMENTS 2026'!W1857),"",'ENGAGEMENTS 2026'!W1857)</f>
        <v/>
      </c>
      <c r="L1857" s="276">
        <f>IF($K1857="","",TODAY()-$K1857)</f>
        <v/>
      </c>
      <c r="M1857">
        <f>IF($A1857="","",IF($H1857="ENGAGE","Engagé",IF(AND($H1857="NON ENGAGE",OR($I1857="INFRUCTUEUX",$I1857="ANNULE")),"Clôturé sans suite","En cours")))</f>
        <v/>
      </c>
      <c r="N1857">
        <f>IF(ISBLANK('ENGAGEMENTS 2026'!C1857),"",'ENGAGEMENTS 2026'!L1857)</f>
        <v/>
      </c>
      <c r="O1857">
        <f>IF(ISBLANK('ENGAGEMENTS 2026'!C1857),"",'ENGAGEMENTS 2026'!M1857)</f>
        <v/>
      </c>
      <c r="P1857">
        <f>IF(ISBLANK('ENGAGEMENTS 2026'!C1857),"",'ENGAGEMENTS 2026'!K1857)</f>
        <v/>
      </c>
      <c r="Q1857">
        <f>IF($A1857="","",IF(OR($E1857="INFRUCTUEUX",$E1857="ANNULE"),$A1857&amp;"|"&amp;(COUNTIFS($A$2:$A1857,$A1857,$E$2:$E1857,"INFRUCTUEUX")+COUNTIFS($A$2:$A1857,$A1857,$E$2:$E1857,"ANNULE")),""))</f>
        <v/>
      </c>
    </row>
    <row r="1858">
      <c r="A1858">
        <f>IF(ISBLANK('ENGAGEMENTS 2026'!C1858),"",IF('ENGAGEMENTS 2026'!C1858="DTSI","DCT",'ENGAGEMENTS 2026'!C1858))</f>
        <v/>
      </c>
      <c r="B1858">
        <f>IF(ISBLANK('ENGAGEMENTS 2026'!C1858),"",'ENGAGEMENTS 2026'!D1858)</f>
        <v/>
      </c>
      <c r="C1858">
        <f>IF(ISBLANK('ENGAGEMENTS 2026'!C1858),"",'ENGAGEMENTS 2026'!E1858)</f>
        <v/>
      </c>
      <c r="D1858">
        <f>IF(ISBLANK('ENGAGEMENTS 2026'!C1858),"",'ENGAGEMENTS 2026'!G1858)</f>
        <v/>
      </c>
      <c r="E1858">
        <f>IF(ISBLANK('ENGAGEMENTS 2026'!C1858),"",'ENGAGEMENTS 2026'!I1858)</f>
        <v/>
      </c>
      <c r="F1858">
        <f>IF(ISBLANK('ENGAGEMENTS 2026'!C1858),"",'ENGAGEMENTS 2026'!J1858)</f>
        <v/>
      </c>
      <c r="G1858">
        <f>IF(ISBLANK('ENGAGEMENTS 2026'!C1858),"",'ENGAGEMENTS 2026'!M1858)</f>
        <v/>
      </c>
      <c r="H1858">
        <f>IF(ISBLANK('ENGAGEMENTS 2026'!C1858),"",'ENGAGEMENTS 2026'!AF1858)</f>
        <v/>
      </c>
      <c r="I1858">
        <f>IF(ISBLANK('ENGAGEMENTS 2026'!C1858),"",'ENGAGEMENTS 2026'!H1858)</f>
        <v/>
      </c>
      <c r="J1858" s="275">
        <f>IF(ISBLANK('ENGAGEMENTS 2026'!C1858),"",IF(AND(OR($E1858="INFRUCTUEUX",$E1858="ANNULE"),$C1858="AOO-M"),'ENGAGEMENTS 2026'!P1858,IF($H1858="EN COURS DE PREENGAGEMENT",'ENGAGEMENTS 2026'!O1858,IF($H1858="PREENGAGE",IF($E1858="ATTRIBUE",'ENGAGEMENTS 2026'!AE1858,'ENGAGEMENTS 2026'!O1858),'ENGAGEMENTS 2026'!AE1858))))</f>
        <v/>
      </c>
      <c r="K1858" s="604">
        <f>IF(ISBLANK('ENGAGEMENTS 2026'!W1858),"",'ENGAGEMENTS 2026'!W1858)</f>
        <v/>
      </c>
      <c r="L1858" s="276">
        <f>IF($K1858="","",TODAY()-$K1858)</f>
        <v/>
      </c>
      <c r="M1858">
        <f>IF($A1858="","",IF($H1858="ENGAGE","Engagé",IF(AND($H1858="NON ENGAGE",OR($I1858="INFRUCTUEUX",$I1858="ANNULE")),"Clôturé sans suite","En cours")))</f>
        <v/>
      </c>
      <c r="N1858">
        <f>IF(ISBLANK('ENGAGEMENTS 2026'!C1858),"",'ENGAGEMENTS 2026'!L1858)</f>
        <v/>
      </c>
      <c r="O1858">
        <f>IF(ISBLANK('ENGAGEMENTS 2026'!C1858),"",'ENGAGEMENTS 2026'!M1858)</f>
        <v/>
      </c>
      <c r="P1858">
        <f>IF(ISBLANK('ENGAGEMENTS 2026'!C1858),"",'ENGAGEMENTS 2026'!K1858)</f>
        <v/>
      </c>
      <c r="Q1858">
        <f>IF($A1858="","",IF(OR($E1858="INFRUCTUEUX",$E1858="ANNULE"),$A1858&amp;"|"&amp;(COUNTIFS($A$2:$A1858,$A1858,$E$2:$E1858,"INFRUCTUEUX")+COUNTIFS($A$2:$A1858,$A1858,$E$2:$E1858,"ANNULE")),""))</f>
        <v/>
      </c>
    </row>
    <row r="1859">
      <c r="A1859">
        <f>IF(ISBLANK('ENGAGEMENTS 2026'!C1859),"",IF('ENGAGEMENTS 2026'!C1859="DTSI","DCT",'ENGAGEMENTS 2026'!C1859))</f>
        <v/>
      </c>
      <c r="B1859">
        <f>IF(ISBLANK('ENGAGEMENTS 2026'!C1859),"",'ENGAGEMENTS 2026'!D1859)</f>
        <v/>
      </c>
      <c r="C1859">
        <f>IF(ISBLANK('ENGAGEMENTS 2026'!C1859),"",'ENGAGEMENTS 2026'!E1859)</f>
        <v/>
      </c>
      <c r="D1859">
        <f>IF(ISBLANK('ENGAGEMENTS 2026'!C1859),"",'ENGAGEMENTS 2026'!G1859)</f>
        <v/>
      </c>
      <c r="E1859">
        <f>IF(ISBLANK('ENGAGEMENTS 2026'!C1859),"",'ENGAGEMENTS 2026'!I1859)</f>
        <v/>
      </c>
      <c r="F1859">
        <f>IF(ISBLANK('ENGAGEMENTS 2026'!C1859),"",'ENGAGEMENTS 2026'!J1859)</f>
        <v/>
      </c>
      <c r="G1859">
        <f>IF(ISBLANK('ENGAGEMENTS 2026'!C1859),"",'ENGAGEMENTS 2026'!M1859)</f>
        <v/>
      </c>
      <c r="H1859">
        <f>IF(ISBLANK('ENGAGEMENTS 2026'!C1859),"",'ENGAGEMENTS 2026'!AF1859)</f>
        <v/>
      </c>
      <c r="I1859">
        <f>IF(ISBLANK('ENGAGEMENTS 2026'!C1859),"",'ENGAGEMENTS 2026'!H1859)</f>
        <v/>
      </c>
      <c r="J1859" s="275">
        <f>IF(ISBLANK('ENGAGEMENTS 2026'!C1859),"",IF(AND(OR($E1859="INFRUCTUEUX",$E1859="ANNULE"),$C1859="AOO-M"),'ENGAGEMENTS 2026'!P1859,IF($H1859="EN COURS DE PREENGAGEMENT",'ENGAGEMENTS 2026'!O1859,IF($H1859="PREENGAGE",IF($E1859="ATTRIBUE",'ENGAGEMENTS 2026'!AE1859,'ENGAGEMENTS 2026'!O1859),'ENGAGEMENTS 2026'!AE1859))))</f>
        <v/>
      </c>
      <c r="K1859" s="604">
        <f>IF(ISBLANK('ENGAGEMENTS 2026'!W1859),"",'ENGAGEMENTS 2026'!W1859)</f>
        <v/>
      </c>
      <c r="L1859" s="276">
        <f>IF($K1859="","",TODAY()-$K1859)</f>
        <v/>
      </c>
      <c r="M1859">
        <f>IF($A1859="","",IF($H1859="ENGAGE","Engagé",IF(AND($H1859="NON ENGAGE",OR($I1859="INFRUCTUEUX",$I1859="ANNULE")),"Clôturé sans suite","En cours")))</f>
        <v/>
      </c>
      <c r="N1859">
        <f>IF(ISBLANK('ENGAGEMENTS 2026'!C1859),"",'ENGAGEMENTS 2026'!L1859)</f>
        <v/>
      </c>
      <c r="O1859">
        <f>IF(ISBLANK('ENGAGEMENTS 2026'!C1859),"",'ENGAGEMENTS 2026'!M1859)</f>
        <v/>
      </c>
      <c r="P1859">
        <f>IF(ISBLANK('ENGAGEMENTS 2026'!C1859),"",'ENGAGEMENTS 2026'!K1859)</f>
        <v/>
      </c>
      <c r="Q1859">
        <f>IF($A1859="","",IF(OR($E1859="INFRUCTUEUX",$E1859="ANNULE"),$A1859&amp;"|"&amp;(COUNTIFS($A$2:$A1859,$A1859,$E$2:$E1859,"INFRUCTUEUX")+COUNTIFS($A$2:$A1859,$A1859,$E$2:$E1859,"ANNULE")),""))</f>
        <v/>
      </c>
    </row>
    <row r="1860">
      <c r="A1860">
        <f>IF(ISBLANK('ENGAGEMENTS 2026'!C1860),"",IF('ENGAGEMENTS 2026'!C1860="DTSI","DCT",'ENGAGEMENTS 2026'!C1860))</f>
        <v/>
      </c>
      <c r="B1860">
        <f>IF(ISBLANK('ENGAGEMENTS 2026'!C1860),"",'ENGAGEMENTS 2026'!D1860)</f>
        <v/>
      </c>
      <c r="C1860">
        <f>IF(ISBLANK('ENGAGEMENTS 2026'!C1860),"",'ENGAGEMENTS 2026'!E1860)</f>
        <v/>
      </c>
      <c r="D1860">
        <f>IF(ISBLANK('ENGAGEMENTS 2026'!C1860),"",'ENGAGEMENTS 2026'!G1860)</f>
        <v/>
      </c>
      <c r="E1860">
        <f>IF(ISBLANK('ENGAGEMENTS 2026'!C1860),"",'ENGAGEMENTS 2026'!I1860)</f>
        <v/>
      </c>
      <c r="F1860">
        <f>IF(ISBLANK('ENGAGEMENTS 2026'!C1860),"",'ENGAGEMENTS 2026'!J1860)</f>
        <v/>
      </c>
      <c r="G1860">
        <f>IF(ISBLANK('ENGAGEMENTS 2026'!C1860),"",'ENGAGEMENTS 2026'!M1860)</f>
        <v/>
      </c>
      <c r="H1860">
        <f>IF(ISBLANK('ENGAGEMENTS 2026'!C1860),"",'ENGAGEMENTS 2026'!AF1860)</f>
        <v/>
      </c>
      <c r="I1860">
        <f>IF(ISBLANK('ENGAGEMENTS 2026'!C1860),"",'ENGAGEMENTS 2026'!H1860)</f>
        <v/>
      </c>
      <c r="J1860" s="275">
        <f>IF(ISBLANK('ENGAGEMENTS 2026'!C1860),"",IF(AND(OR($E1860="INFRUCTUEUX",$E1860="ANNULE"),$C1860="AOO-M"),'ENGAGEMENTS 2026'!P1860,IF($H1860="EN COURS DE PREENGAGEMENT",'ENGAGEMENTS 2026'!O1860,IF($H1860="PREENGAGE",IF($E1860="ATTRIBUE",'ENGAGEMENTS 2026'!AE1860,'ENGAGEMENTS 2026'!O1860),'ENGAGEMENTS 2026'!AE1860))))</f>
        <v/>
      </c>
      <c r="K1860" s="604">
        <f>IF(ISBLANK('ENGAGEMENTS 2026'!W1860),"",'ENGAGEMENTS 2026'!W1860)</f>
        <v/>
      </c>
      <c r="L1860" s="276">
        <f>IF($K1860="","",TODAY()-$K1860)</f>
        <v/>
      </c>
      <c r="M1860">
        <f>IF($A1860="","",IF($H1860="ENGAGE","Engagé",IF(AND($H1860="NON ENGAGE",OR($I1860="INFRUCTUEUX",$I1860="ANNULE")),"Clôturé sans suite","En cours")))</f>
        <v/>
      </c>
      <c r="N1860">
        <f>IF(ISBLANK('ENGAGEMENTS 2026'!C1860),"",'ENGAGEMENTS 2026'!L1860)</f>
        <v/>
      </c>
      <c r="O1860">
        <f>IF(ISBLANK('ENGAGEMENTS 2026'!C1860),"",'ENGAGEMENTS 2026'!M1860)</f>
        <v/>
      </c>
      <c r="P1860">
        <f>IF(ISBLANK('ENGAGEMENTS 2026'!C1860),"",'ENGAGEMENTS 2026'!K1860)</f>
        <v/>
      </c>
      <c r="Q1860">
        <f>IF($A1860="","",IF(OR($E1860="INFRUCTUEUX",$E1860="ANNULE"),$A1860&amp;"|"&amp;(COUNTIFS($A$2:$A1860,$A1860,$E$2:$E1860,"INFRUCTUEUX")+COUNTIFS($A$2:$A1860,$A1860,$E$2:$E1860,"ANNULE")),""))</f>
        <v/>
      </c>
    </row>
    <row r="1861">
      <c r="A1861">
        <f>IF(ISBLANK('ENGAGEMENTS 2026'!C1861),"",IF('ENGAGEMENTS 2026'!C1861="DTSI","DCT",'ENGAGEMENTS 2026'!C1861))</f>
        <v/>
      </c>
      <c r="B1861">
        <f>IF(ISBLANK('ENGAGEMENTS 2026'!C1861),"",'ENGAGEMENTS 2026'!D1861)</f>
        <v/>
      </c>
      <c r="C1861">
        <f>IF(ISBLANK('ENGAGEMENTS 2026'!C1861),"",'ENGAGEMENTS 2026'!E1861)</f>
        <v/>
      </c>
      <c r="D1861">
        <f>IF(ISBLANK('ENGAGEMENTS 2026'!C1861),"",'ENGAGEMENTS 2026'!G1861)</f>
        <v/>
      </c>
      <c r="E1861">
        <f>IF(ISBLANK('ENGAGEMENTS 2026'!C1861),"",'ENGAGEMENTS 2026'!I1861)</f>
        <v/>
      </c>
      <c r="F1861">
        <f>IF(ISBLANK('ENGAGEMENTS 2026'!C1861),"",'ENGAGEMENTS 2026'!J1861)</f>
        <v/>
      </c>
      <c r="G1861">
        <f>IF(ISBLANK('ENGAGEMENTS 2026'!C1861),"",'ENGAGEMENTS 2026'!M1861)</f>
        <v/>
      </c>
      <c r="H1861">
        <f>IF(ISBLANK('ENGAGEMENTS 2026'!C1861),"",'ENGAGEMENTS 2026'!AF1861)</f>
        <v/>
      </c>
      <c r="I1861">
        <f>IF(ISBLANK('ENGAGEMENTS 2026'!C1861),"",'ENGAGEMENTS 2026'!H1861)</f>
        <v/>
      </c>
      <c r="J1861" s="275">
        <f>IF(ISBLANK('ENGAGEMENTS 2026'!C1861),"",IF(AND(OR($E1861="INFRUCTUEUX",$E1861="ANNULE"),$C1861="AOO-M"),'ENGAGEMENTS 2026'!P1861,IF($H1861="EN COURS DE PREENGAGEMENT",'ENGAGEMENTS 2026'!O1861,IF($H1861="PREENGAGE",IF($E1861="ATTRIBUE",'ENGAGEMENTS 2026'!AE1861,'ENGAGEMENTS 2026'!O1861),'ENGAGEMENTS 2026'!AE1861))))</f>
        <v/>
      </c>
      <c r="K1861" s="604">
        <f>IF(ISBLANK('ENGAGEMENTS 2026'!W1861),"",'ENGAGEMENTS 2026'!W1861)</f>
        <v/>
      </c>
      <c r="L1861" s="276">
        <f>IF($K1861="","",TODAY()-$K1861)</f>
        <v/>
      </c>
      <c r="M1861">
        <f>IF($A1861="","",IF($H1861="ENGAGE","Engagé",IF(AND($H1861="NON ENGAGE",OR($I1861="INFRUCTUEUX",$I1861="ANNULE")),"Clôturé sans suite","En cours")))</f>
        <v/>
      </c>
      <c r="N1861">
        <f>IF(ISBLANK('ENGAGEMENTS 2026'!C1861),"",'ENGAGEMENTS 2026'!L1861)</f>
        <v/>
      </c>
      <c r="O1861">
        <f>IF(ISBLANK('ENGAGEMENTS 2026'!C1861),"",'ENGAGEMENTS 2026'!M1861)</f>
        <v/>
      </c>
      <c r="P1861">
        <f>IF(ISBLANK('ENGAGEMENTS 2026'!C1861),"",'ENGAGEMENTS 2026'!K1861)</f>
        <v/>
      </c>
      <c r="Q1861">
        <f>IF($A1861="","",IF(OR($E1861="INFRUCTUEUX",$E1861="ANNULE"),$A1861&amp;"|"&amp;(COUNTIFS($A$2:$A1861,$A1861,$E$2:$E1861,"INFRUCTUEUX")+COUNTIFS($A$2:$A1861,$A1861,$E$2:$E1861,"ANNULE")),""))</f>
        <v/>
      </c>
    </row>
    <row r="1862">
      <c r="A1862">
        <f>IF(ISBLANK('ENGAGEMENTS 2026'!C1862),"",IF('ENGAGEMENTS 2026'!C1862="DTSI","DCT",'ENGAGEMENTS 2026'!C1862))</f>
        <v/>
      </c>
      <c r="B1862">
        <f>IF(ISBLANK('ENGAGEMENTS 2026'!C1862),"",'ENGAGEMENTS 2026'!D1862)</f>
        <v/>
      </c>
      <c r="C1862">
        <f>IF(ISBLANK('ENGAGEMENTS 2026'!C1862),"",'ENGAGEMENTS 2026'!E1862)</f>
        <v/>
      </c>
      <c r="D1862">
        <f>IF(ISBLANK('ENGAGEMENTS 2026'!C1862),"",'ENGAGEMENTS 2026'!G1862)</f>
        <v/>
      </c>
      <c r="E1862">
        <f>IF(ISBLANK('ENGAGEMENTS 2026'!C1862),"",'ENGAGEMENTS 2026'!I1862)</f>
        <v/>
      </c>
      <c r="F1862">
        <f>IF(ISBLANK('ENGAGEMENTS 2026'!C1862),"",'ENGAGEMENTS 2026'!J1862)</f>
        <v/>
      </c>
      <c r="G1862">
        <f>IF(ISBLANK('ENGAGEMENTS 2026'!C1862),"",'ENGAGEMENTS 2026'!M1862)</f>
        <v/>
      </c>
      <c r="H1862">
        <f>IF(ISBLANK('ENGAGEMENTS 2026'!C1862),"",'ENGAGEMENTS 2026'!AF1862)</f>
        <v/>
      </c>
      <c r="I1862">
        <f>IF(ISBLANK('ENGAGEMENTS 2026'!C1862),"",'ENGAGEMENTS 2026'!H1862)</f>
        <v/>
      </c>
      <c r="J1862" s="275">
        <f>IF(ISBLANK('ENGAGEMENTS 2026'!C1862),"",IF(AND(OR($E1862="INFRUCTUEUX",$E1862="ANNULE"),$C1862="AOO-M"),'ENGAGEMENTS 2026'!P1862,IF($H1862="EN COURS DE PREENGAGEMENT",'ENGAGEMENTS 2026'!O1862,IF($H1862="PREENGAGE",IF($E1862="ATTRIBUE",'ENGAGEMENTS 2026'!AE1862,'ENGAGEMENTS 2026'!O1862),'ENGAGEMENTS 2026'!AE1862))))</f>
        <v/>
      </c>
      <c r="K1862" s="604">
        <f>IF(ISBLANK('ENGAGEMENTS 2026'!W1862),"",'ENGAGEMENTS 2026'!W1862)</f>
        <v/>
      </c>
      <c r="L1862" s="276">
        <f>IF($K1862="","",TODAY()-$K1862)</f>
        <v/>
      </c>
      <c r="M1862">
        <f>IF($A1862="","",IF($H1862="ENGAGE","Engagé",IF(AND($H1862="NON ENGAGE",OR($I1862="INFRUCTUEUX",$I1862="ANNULE")),"Clôturé sans suite","En cours")))</f>
        <v/>
      </c>
      <c r="N1862">
        <f>IF(ISBLANK('ENGAGEMENTS 2026'!C1862),"",'ENGAGEMENTS 2026'!L1862)</f>
        <v/>
      </c>
      <c r="O1862">
        <f>IF(ISBLANK('ENGAGEMENTS 2026'!C1862),"",'ENGAGEMENTS 2026'!M1862)</f>
        <v/>
      </c>
      <c r="P1862">
        <f>IF(ISBLANK('ENGAGEMENTS 2026'!C1862),"",'ENGAGEMENTS 2026'!K1862)</f>
        <v/>
      </c>
      <c r="Q1862">
        <f>IF($A1862="","",IF(OR($E1862="INFRUCTUEUX",$E1862="ANNULE"),$A1862&amp;"|"&amp;(COUNTIFS($A$2:$A1862,$A1862,$E$2:$E1862,"INFRUCTUEUX")+COUNTIFS($A$2:$A1862,$A1862,$E$2:$E1862,"ANNULE")),""))</f>
        <v/>
      </c>
    </row>
    <row r="1863">
      <c r="A1863">
        <f>IF(ISBLANK('ENGAGEMENTS 2026'!C1863),"",IF('ENGAGEMENTS 2026'!C1863="DTSI","DCT",'ENGAGEMENTS 2026'!C1863))</f>
        <v/>
      </c>
      <c r="B1863">
        <f>IF(ISBLANK('ENGAGEMENTS 2026'!C1863),"",'ENGAGEMENTS 2026'!D1863)</f>
        <v/>
      </c>
      <c r="C1863">
        <f>IF(ISBLANK('ENGAGEMENTS 2026'!C1863),"",'ENGAGEMENTS 2026'!E1863)</f>
        <v/>
      </c>
      <c r="D1863">
        <f>IF(ISBLANK('ENGAGEMENTS 2026'!C1863),"",'ENGAGEMENTS 2026'!G1863)</f>
        <v/>
      </c>
      <c r="E1863">
        <f>IF(ISBLANK('ENGAGEMENTS 2026'!C1863),"",'ENGAGEMENTS 2026'!I1863)</f>
        <v/>
      </c>
      <c r="F1863">
        <f>IF(ISBLANK('ENGAGEMENTS 2026'!C1863),"",'ENGAGEMENTS 2026'!J1863)</f>
        <v/>
      </c>
      <c r="G1863">
        <f>IF(ISBLANK('ENGAGEMENTS 2026'!C1863),"",'ENGAGEMENTS 2026'!M1863)</f>
        <v/>
      </c>
      <c r="H1863">
        <f>IF(ISBLANK('ENGAGEMENTS 2026'!C1863),"",'ENGAGEMENTS 2026'!AF1863)</f>
        <v/>
      </c>
      <c r="I1863">
        <f>IF(ISBLANK('ENGAGEMENTS 2026'!C1863),"",'ENGAGEMENTS 2026'!H1863)</f>
        <v/>
      </c>
      <c r="J1863" s="275">
        <f>IF(ISBLANK('ENGAGEMENTS 2026'!C1863),"",IF(AND(OR($E1863="INFRUCTUEUX",$E1863="ANNULE"),$C1863="AOO-M"),'ENGAGEMENTS 2026'!P1863,IF($H1863="EN COURS DE PREENGAGEMENT",'ENGAGEMENTS 2026'!O1863,IF($H1863="PREENGAGE",IF($E1863="ATTRIBUE",'ENGAGEMENTS 2026'!AE1863,'ENGAGEMENTS 2026'!O1863),'ENGAGEMENTS 2026'!AE1863))))</f>
        <v/>
      </c>
      <c r="K1863" s="604">
        <f>IF(ISBLANK('ENGAGEMENTS 2026'!W1863),"",'ENGAGEMENTS 2026'!W1863)</f>
        <v/>
      </c>
      <c r="L1863" s="276">
        <f>IF($K1863="","",TODAY()-$K1863)</f>
        <v/>
      </c>
      <c r="M1863">
        <f>IF($A1863="","",IF($H1863="ENGAGE","Engagé",IF(AND($H1863="NON ENGAGE",OR($I1863="INFRUCTUEUX",$I1863="ANNULE")),"Clôturé sans suite","En cours")))</f>
        <v/>
      </c>
      <c r="N1863">
        <f>IF(ISBLANK('ENGAGEMENTS 2026'!C1863),"",'ENGAGEMENTS 2026'!L1863)</f>
        <v/>
      </c>
      <c r="O1863">
        <f>IF(ISBLANK('ENGAGEMENTS 2026'!C1863),"",'ENGAGEMENTS 2026'!M1863)</f>
        <v/>
      </c>
      <c r="P1863">
        <f>IF(ISBLANK('ENGAGEMENTS 2026'!C1863),"",'ENGAGEMENTS 2026'!K1863)</f>
        <v/>
      </c>
      <c r="Q1863">
        <f>IF($A1863="","",IF(OR($E1863="INFRUCTUEUX",$E1863="ANNULE"),$A1863&amp;"|"&amp;(COUNTIFS($A$2:$A1863,$A1863,$E$2:$E1863,"INFRUCTUEUX")+COUNTIFS($A$2:$A1863,$A1863,$E$2:$E1863,"ANNULE")),""))</f>
        <v/>
      </c>
    </row>
    <row r="1864">
      <c r="A1864">
        <f>IF(ISBLANK('ENGAGEMENTS 2026'!C1864),"",IF('ENGAGEMENTS 2026'!C1864="DTSI","DCT",'ENGAGEMENTS 2026'!C1864))</f>
        <v/>
      </c>
      <c r="B1864">
        <f>IF(ISBLANK('ENGAGEMENTS 2026'!C1864),"",'ENGAGEMENTS 2026'!D1864)</f>
        <v/>
      </c>
      <c r="C1864">
        <f>IF(ISBLANK('ENGAGEMENTS 2026'!C1864),"",'ENGAGEMENTS 2026'!E1864)</f>
        <v/>
      </c>
      <c r="D1864">
        <f>IF(ISBLANK('ENGAGEMENTS 2026'!C1864),"",'ENGAGEMENTS 2026'!G1864)</f>
        <v/>
      </c>
      <c r="E1864">
        <f>IF(ISBLANK('ENGAGEMENTS 2026'!C1864),"",'ENGAGEMENTS 2026'!I1864)</f>
        <v/>
      </c>
      <c r="F1864">
        <f>IF(ISBLANK('ENGAGEMENTS 2026'!C1864),"",'ENGAGEMENTS 2026'!J1864)</f>
        <v/>
      </c>
      <c r="G1864">
        <f>IF(ISBLANK('ENGAGEMENTS 2026'!C1864),"",'ENGAGEMENTS 2026'!M1864)</f>
        <v/>
      </c>
      <c r="H1864">
        <f>IF(ISBLANK('ENGAGEMENTS 2026'!C1864),"",'ENGAGEMENTS 2026'!AF1864)</f>
        <v/>
      </c>
      <c r="I1864">
        <f>IF(ISBLANK('ENGAGEMENTS 2026'!C1864),"",'ENGAGEMENTS 2026'!H1864)</f>
        <v/>
      </c>
      <c r="J1864" s="275">
        <f>IF(ISBLANK('ENGAGEMENTS 2026'!C1864),"",IF(AND(OR($E1864="INFRUCTUEUX",$E1864="ANNULE"),$C1864="AOO-M"),'ENGAGEMENTS 2026'!P1864,IF($H1864="EN COURS DE PREENGAGEMENT",'ENGAGEMENTS 2026'!O1864,IF($H1864="PREENGAGE",IF($E1864="ATTRIBUE",'ENGAGEMENTS 2026'!AE1864,'ENGAGEMENTS 2026'!O1864),'ENGAGEMENTS 2026'!AE1864))))</f>
        <v/>
      </c>
      <c r="K1864" s="604">
        <f>IF(ISBLANK('ENGAGEMENTS 2026'!W1864),"",'ENGAGEMENTS 2026'!W1864)</f>
        <v/>
      </c>
      <c r="L1864" s="276">
        <f>IF($K1864="","",TODAY()-$K1864)</f>
        <v/>
      </c>
      <c r="M1864">
        <f>IF($A1864="","",IF($H1864="ENGAGE","Engagé",IF(AND($H1864="NON ENGAGE",OR($I1864="INFRUCTUEUX",$I1864="ANNULE")),"Clôturé sans suite","En cours")))</f>
        <v/>
      </c>
      <c r="N1864">
        <f>IF(ISBLANK('ENGAGEMENTS 2026'!C1864),"",'ENGAGEMENTS 2026'!L1864)</f>
        <v/>
      </c>
      <c r="O1864">
        <f>IF(ISBLANK('ENGAGEMENTS 2026'!C1864),"",'ENGAGEMENTS 2026'!M1864)</f>
        <v/>
      </c>
      <c r="P1864">
        <f>IF(ISBLANK('ENGAGEMENTS 2026'!C1864),"",'ENGAGEMENTS 2026'!K1864)</f>
        <v/>
      </c>
      <c r="Q1864">
        <f>IF($A1864="","",IF(OR($E1864="INFRUCTUEUX",$E1864="ANNULE"),$A1864&amp;"|"&amp;(COUNTIFS($A$2:$A1864,$A1864,$E$2:$E1864,"INFRUCTUEUX")+COUNTIFS($A$2:$A1864,$A1864,$E$2:$E1864,"ANNULE")),""))</f>
        <v/>
      </c>
    </row>
    <row r="1865">
      <c r="A1865">
        <f>IF(ISBLANK('ENGAGEMENTS 2026'!C1865),"",IF('ENGAGEMENTS 2026'!C1865="DTSI","DCT",'ENGAGEMENTS 2026'!C1865))</f>
        <v/>
      </c>
      <c r="B1865">
        <f>IF(ISBLANK('ENGAGEMENTS 2026'!C1865),"",'ENGAGEMENTS 2026'!D1865)</f>
        <v/>
      </c>
      <c r="C1865">
        <f>IF(ISBLANK('ENGAGEMENTS 2026'!C1865),"",'ENGAGEMENTS 2026'!E1865)</f>
        <v/>
      </c>
      <c r="D1865">
        <f>IF(ISBLANK('ENGAGEMENTS 2026'!C1865),"",'ENGAGEMENTS 2026'!G1865)</f>
        <v/>
      </c>
      <c r="E1865">
        <f>IF(ISBLANK('ENGAGEMENTS 2026'!C1865),"",'ENGAGEMENTS 2026'!I1865)</f>
        <v/>
      </c>
      <c r="F1865">
        <f>IF(ISBLANK('ENGAGEMENTS 2026'!C1865),"",'ENGAGEMENTS 2026'!J1865)</f>
        <v/>
      </c>
      <c r="G1865">
        <f>IF(ISBLANK('ENGAGEMENTS 2026'!C1865),"",'ENGAGEMENTS 2026'!M1865)</f>
        <v/>
      </c>
      <c r="H1865">
        <f>IF(ISBLANK('ENGAGEMENTS 2026'!C1865),"",'ENGAGEMENTS 2026'!AF1865)</f>
        <v/>
      </c>
      <c r="I1865">
        <f>IF(ISBLANK('ENGAGEMENTS 2026'!C1865),"",'ENGAGEMENTS 2026'!H1865)</f>
        <v/>
      </c>
      <c r="J1865" s="275">
        <f>IF(ISBLANK('ENGAGEMENTS 2026'!C1865),"",IF(AND(OR($E1865="INFRUCTUEUX",$E1865="ANNULE"),$C1865="AOO-M"),'ENGAGEMENTS 2026'!P1865,IF($H1865="EN COURS DE PREENGAGEMENT",'ENGAGEMENTS 2026'!O1865,IF($H1865="PREENGAGE",IF($E1865="ATTRIBUE",'ENGAGEMENTS 2026'!AE1865,'ENGAGEMENTS 2026'!O1865),'ENGAGEMENTS 2026'!AE1865))))</f>
        <v/>
      </c>
      <c r="K1865" s="604">
        <f>IF(ISBLANK('ENGAGEMENTS 2026'!W1865),"",'ENGAGEMENTS 2026'!W1865)</f>
        <v/>
      </c>
      <c r="L1865" s="276">
        <f>IF($K1865="","",TODAY()-$K1865)</f>
        <v/>
      </c>
      <c r="M1865">
        <f>IF($A1865="","",IF($H1865="ENGAGE","Engagé",IF(AND($H1865="NON ENGAGE",OR($I1865="INFRUCTUEUX",$I1865="ANNULE")),"Clôturé sans suite","En cours")))</f>
        <v/>
      </c>
      <c r="N1865">
        <f>IF(ISBLANK('ENGAGEMENTS 2026'!C1865),"",'ENGAGEMENTS 2026'!L1865)</f>
        <v/>
      </c>
      <c r="O1865">
        <f>IF(ISBLANK('ENGAGEMENTS 2026'!C1865),"",'ENGAGEMENTS 2026'!M1865)</f>
        <v/>
      </c>
      <c r="P1865">
        <f>IF(ISBLANK('ENGAGEMENTS 2026'!C1865),"",'ENGAGEMENTS 2026'!K1865)</f>
        <v/>
      </c>
      <c r="Q1865">
        <f>IF($A1865="","",IF(OR($E1865="INFRUCTUEUX",$E1865="ANNULE"),$A1865&amp;"|"&amp;(COUNTIFS($A$2:$A1865,$A1865,$E$2:$E1865,"INFRUCTUEUX")+COUNTIFS($A$2:$A1865,$A1865,$E$2:$E1865,"ANNULE")),""))</f>
        <v/>
      </c>
    </row>
    <row r="1866">
      <c r="A1866">
        <f>IF(ISBLANK('ENGAGEMENTS 2026'!C1866),"",IF('ENGAGEMENTS 2026'!C1866="DTSI","DCT",'ENGAGEMENTS 2026'!C1866))</f>
        <v/>
      </c>
      <c r="B1866">
        <f>IF(ISBLANK('ENGAGEMENTS 2026'!C1866),"",'ENGAGEMENTS 2026'!D1866)</f>
        <v/>
      </c>
      <c r="C1866">
        <f>IF(ISBLANK('ENGAGEMENTS 2026'!C1866),"",'ENGAGEMENTS 2026'!E1866)</f>
        <v/>
      </c>
      <c r="D1866">
        <f>IF(ISBLANK('ENGAGEMENTS 2026'!C1866),"",'ENGAGEMENTS 2026'!G1866)</f>
        <v/>
      </c>
      <c r="E1866">
        <f>IF(ISBLANK('ENGAGEMENTS 2026'!C1866),"",'ENGAGEMENTS 2026'!I1866)</f>
        <v/>
      </c>
      <c r="F1866">
        <f>IF(ISBLANK('ENGAGEMENTS 2026'!C1866),"",'ENGAGEMENTS 2026'!J1866)</f>
        <v/>
      </c>
      <c r="G1866">
        <f>IF(ISBLANK('ENGAGEMENTS 2026'!C1866),"",'ENGAGEMENTS 2026'!M1866)</f>
        <v/>
      </c>
      <c r="H1866">
        <f>IF(ISBLANK('ENGAGEMENTS 2026'!C1866),"",'ENGAGEMENTS 2026'!AF1866)</f>
        <v/>
      </c>
      <c r="I1866">
        <f>IF(ISBLANK('ENGAGEMENTS 2026'!C1866),"",'ENGAGEMENTS 2026'!H1866)</f>
        <v/>
      </c>
      <c r="J1866" s="275">
        <f>IF(ISBLANK('ENGAGEMENTS 2026'!C1866),"",IF(AND(OR($E1866="INFRUCTUEUX",$E1866="ANNULE"),$C1866="AOO-M"),'ENGAGEMENTS 2026'!P1866,IF($H1866="EN COURS DE PREENGAGEMENT",'ENGAGEMENTS 2026'!O1866,IF($H1866="PREENGAGE",IF($E1866="ATTRIBUE",'ENGAGEMENTS 2026'!AE1866,'ENGAGEMENTS 2026'!O1866),'ENGAGEMENTS 2026'!AE1866))))</f>
        <v/>
      </c>
      <c r="K1866" s="604">
        <f>IF(ISBLANK('ENGAGEMENTS 2026'!W1866),"",'ENGAGEMENTS 2026'!W1866)</f>
        <v/>
      </c>
      <c r="L1866" s="276">
        <f>IF($K1866="","",TODAY()-$K1866)</f>
        <v/>
      </c>
      <c r="M1866">
        <f>IF($A1866="","",IF($H1866="ENGAGE","Engagé",IF(AND($H1866="NON ENGAGE",OR($I1866="INFRUCTUEUX",$I1866="ANNULE")),"Clôturé sans suite","En cours")))</f>
        <v/>
      </c>
      <c r="N1866">
        <f>IF(ISBLANK('ENGAGEMENTS 2026'!C1866),"",'ENGAGEMENTS 2026'!L1866)</f>
        <v/>
      </c>
      <c r="O1866">
        <f>IF(ISBLANK('ENGAGEMENTS 2026'!C1866),"",'ENGAGEMENTS 2026'!M1866)</f>
        <v/>
      </c>
      <c r="P1866">
        <f>IF(ISBLANK('ENGAGEMENTS 2026'!C1866),"",'ENGAGEMENTS 2026'!K1866)</f>
        <v/>
      </c>
      <c r="Q1866">
        <f>IF($A1866="","",IF(OR($E1866="INFRUCTUEUX",$E1866="ANNULE"),$A1866&amp;"|"&amp;(COUNTIFS($A$2:$A1866,$A1866,$E$2:$E1866,"INFRUCTUEUX")+COUNTIFS($A$2:$A1866,$A1866,$E$2:$E1866,"ANNULE")),""))</f>
        <v/>
      </c>
    </row>
    <row r="1867">
      <c r="A1867">
        <f>IF(ISBLANK('ENGAGEMENTS 2026'!C1867),"",IF('ENGAGEMENTS 2026'!C1867="DTSI","DCT",'ENGAGEMENTS 2026'!C1867))</f>
        <v/>
      </c>
      <c r="B1867">
        <f>IF(ISBLANK('ENGAGEMENTS 2026'!C1867),"",'ENGAGEMENTS 2026'!D1867)</f>
        <v/>
      </c>
      <c r="C1867">
        <f>IF(ISBLANK('ENGAGEMENTS 2026'!C1867),"",'ENGAGEMENTS 2026'!E1867)</f>
        <v/>
      </c>
      <c r="D1867">
        <f>IF(ISBLANK('ENGAGEMENTS 2026'!C1867),"",'ENGAGEMENTS 2026'!G1867)</f>
        <v/>
      </c>
      <c r="E1867">
        <f>IF(ISBLANK('ENGAGEMENTS 2026'!C1867),"",'ENGAGEMENTS 2026'!I1867)</f>
        <v/>
      </c>
      <c r="F1867">
        <f>IF(ISBLANK('ENGAGEMENTS 2026'!C1867),"",'ENGAGEMENTS 2026'!J1867)</f>
        <v/>
      </c>
      <c r="G1867">
        <f>IF(ISBLANK('ENGAGEMENTS 2026'!C1867),"",'ENGAGEMENTS 2026'!M1867)</f>
        <v/>
      </c>
      <c r="H1867">
        <f>IF(ISBLANK('ENGAGEMENTS 2026'!C1867),"",'ENGAGEMENTS 2026'!AF1867)</f>
        <v/>
      </c>
      <c r="I1867">
        <f>IF(ISBLANK('ENGAGEMENTS 2026'!C1867),"",'ENGAGEMENTS 2026'!H1867)</f>
        <v/>
      </c>
      <c r="J1867" s="275">
        <f>IF(ISBLANK('ENGAGEMENTS 2026'!C1867),"",IF(AND(OR($E1867="INFRUCTUEUX",$E1867="ANNULE"),$C1867="AOO-M"),'ENGAGEMENTS 2026'!P1867,IF($H1867="EN COURS DE PREENGAGEMENT",'ENGAGEMENTS 2026'!O1867,IF($H1867="PREENGAGE",IF($E1867="ATTRIBUE",'ENGAGEMENTS 2026'!AE1867,'ENGAGEMENTS 2026'!O1867),'ENGAGEMENTS 2026'!AE1867))))</f>
        <v/>
      </c>
      <c r="K1867" s="604">
        <f>IF(ISBLANK('ENGAGEMENTS 2026'!W1867),"",'ENGAGEMENTS 2026'!W1867)</f>
        <v/>
      </c>
      <c r="L1867" s="276">
        <f>IF($K1867="","",TODAY()-$K1867)</f>
        <v/>
      </c>
      <c r="M1867">
        <f>IF($A1867="","",IF($H1867="ENGAGE","Engagé",IF(AND($H1867="NON ENGAGE",OR($I1867="INFRUCTUEUX",$I1867="ANNULE")),"Clôturé sans suite","En cours")))</f>
        <v/>
      </c>
      <c r="N1867">
        <f>IF(ISBLANK('ENGAGEMENTS 2026'!C1867),"",'ENGAGEMENTS 2026'!L1867)</f>
        <v/>
      </c>
      <c r="O1867">
        <f>IF(ISBLANK('ENGAGEMENTS 2026'!C1867),"",'ENGAGEMENTS 2026'!M1867)</f>
        <v/>
      </c>
      <c r="P1867">
        <f>IF(ISBLANK('ENGAGEMENTS 2026'!C1867),"",'ENGAGEMENTS 2026'!K1867)</f>
        <v/>
      </c>
      <c r="Q1867">
        <f>IF($A1867="","",IF(OR($E1867="INFRUCTUEUX",$E1867="ANNULE"),$A1867&amp;"|"&amp;(COUNTIFS($A$2:$A1867,$A1867,$E$2:$E1867,"INFRUCTUEUX")+COUNTIFS($A$2:$A1867,$A1867,$E$2:$E1867,"ANNULE")),""))</f>
        <v/>
      </c>
    </row>
    <row r="1868">
      <c r="A1868">
        <f>IF(ISBLANK('ENGAGEMENTS 2026'!C1868),"",IF('ENGAGEMENTS 2026'!C1868="DTSI","DCT",'ENGAGEMENTS 2026'!C1868))</f>
        <v/>
      </c>
      <c r="B1868">
        <f>IF(ISBLANK('ENGAGEMENTS 2026'!C1868),"",'ENGAGEMENTS 2026'!D1868)</f>
        <v/>
      </c>
      <c r="C1868">
        <f>IF(ISBLANK('ENGAGEMENTS 2026'!C1868),"",'ENGAGEMENTS 2026'!E1868)</f>
        <v/>
      </c>
      <c r="D1868">
        <f>IF(ISBLANK('ENGAGEMENTS 2026'!C1868),"",'ENGAGEMENTS 2026'!G1868)</f>
        <v/>
      </c>
      <c r="E1868">
        <f>IF(ISBLANK('ENGAGEMENTS 2026'!C1868),"",'ENGAGEMENTS 2026'!I1868)</f>
        <v/>
      </c>
      <c r="F1868">
        <f>IF(ISBLANK('ENGAGEMENTS 2026'!C1868),"",'ENGAGEMENTS 2026'!J1868)</f>
        <v/>
      </c>
      <c r="G1868">
        <f>IF(ISBLANK('ENGAGEMENTS 2026'!C1868),"",'ENGAGEMENTS 2026'!M1868)</f>
        <v/>
      </c>
      <c r="H1868">
        <f>IF(ISBLANK('ENGAGEMENTS 2026'!C1868),"",'ENGAGEMENTS 2026'!AF1868)</f>
        <v/>
      </c>
      <c r="I1868">
        <f>IF(ISBLANK('ENGAGEMENTS 2026'!C1868),"",'ENGAGEMENTS 2026'!H1868)</f>
        <v/>
      </c>
      <c r="J1868" s="275">
        <f>IF(ISBLANK('ENGAGEMENTS 2026'!C1868),"",IF(AND(OR($E1868="INFRUCTUEUX",$E1868="ANNULE"),$C1868="AOO-M"),'ENGAGEMENTS 2026'!P1868,IF($H1868="EN COURS DE PREENGAGEMENT",'ENGAGEMENTS 2026'!O1868,IF($H1868="PREENGAGE",IF($E1868="ATTRIBUE",'ENGAGEMENTS 2026'!AE1868,'ENGAGEMENTS 2026'!O1868),'ENGAGEMENTS 2026'!AE1868))))</f>
        <v/>
      </c>
      <c r="K1868" s="604">
        <f>IF(ISBLANK('ENGAGEMENTS 2026'!W1868),"",'ENGAGEMENTS 2026'!W1868)</f>
        <v/>
      </c>
      <c r="L1868" s="276">
        <f>IF($K1868="","",TODAY()-$K1868)</f>
        <v/>
      </c>
      <c r="M1868">
        <f>IF($A1868="","",IF($H1868="ENGAGE","Engagé",IF(AND($H1868="NON ENGAGE",OR($I1868="INFRUCTUEUX",$I1868="ANNULE")),"Clôturé sans suite","En cours")))</f>
        <v/>
      </c>
      <c r="N1868">
        <f>IF(ISBLANK('ENGAGEMENTS 2026'!C1868),"",'ENGAGEMENTS 2026'!L1868)</f>
        <v/>
      </c>
      <c r="O1868">
        <f>IF(ISBLANK('ENGAGEMENTS 2026'!C1868),"",'ENGAGEMENTS 2026'!M1868)</f>
        <v/>
      </c>
      <c r="P1868">
        <f>IF(ISBLANK('ENGAGEMENTS 2026'!C1868),"",'ENGAGEMENTS 2026'!K1868)</f>
        <v/>
      </c>
      <c r="Q1868">
        <f>IF($A1868="","",IF(OR($E1868="INFRUCTUEUX",$E1868="ANNULE"),$A1868&amp;"|"&amp;(COUNTIFS($A$2:$A1868,$A1868,$E$2:$E1868,"INFRUCTUEUX")+COUNTIFS($A$2:$A1868,$A1868,$E$2:$E1868,"ANNULE")),""))</f>
        <v/>
      </c>
    </row>
    <row r="1869">
      <c r="A1869">
        <f>IF(ISBLANK('ENGAGEMENTS 2026'!C1869),"",IF('ENGAGEMENTS 2026'!C1869="DTSI","DCT",'ENGAGEMENTS 2026'!C1869))</f>
        <v/>
      </c>
      <c r="B1869">
        <f>IF(ISBLANK('ENGAGEMENTS 2026'!C1869),"",'ENGAGEMENTS 2026'!D1869)</f>
        <v/>
      </c>
      <c r="C1869">
        <f>IF(ISBLANK('ENGAGEMENTS 2026'!C1869),"",'ENGAGEMENTS 2026'!E1869)</f>
        <v/>
      </c>
      <c r="D1869">
        <f>IF(ISBLANK('ENGAGEMENTS 2026'!C1869),"",'ENGAGEMENTS 2026'!G1869)</f>
        <v/>
      </c>
      <c r="E1869">
        <f>IF(ISBLANK('ENGAGEMENTS 2026'!C1869),"",'ENGAGEMENTS 2026'!I1869)</f>
        <v/>
      </c>
      <c r="F1869">
        <f>IF(ISBLANK('ENGAGEMENTS 2026'!C1869),"",'ENGAGEMENTS 2026'!J1869)</f>
        <v/>
      </c>
      <c r="G1869">
        <f>IF(ISBLANK('ENGAGEMENTS 2026'!C1869),"",'ENGAGEMENTS 2026'!M1869)</f>
        <v/>
      </c>
      <c r="H1869">
        <f>IF(ISBLANK('ENGAGEMENTS 2026'!C1869),"",'ENGAGEMENTS 2026'!AF1869)</f>
        <v/>
      </c>
      <c r="I1869">
        <f>IF(ISBLANK('ENGAGEMENTS 2026'!C1869),"",'ENGAGEMENTS 2026'!H1869)</f>
        <v/>
      </c>
      <c r="J1869" s="275">
        <f>IF(ISBLANK('ENGAGEMENTS 2026'!C1869),"",IF(AND(OR($E1869="INFRUCTUEUX",$E1869="ANNULE"),$C1869="AOO-M"),'ENGAGEMENTS 2026'!P1869,IF($H1869="EN COURS DE PREENGAGEMENT",'ENGAGEMENTS 2026'!O1869,IF($H1869="PREENGAGE",IF($E1869="ATTRIBUE",'ENGAGEMENTS 2026'!AE1869,'ENGAGEMENTS 2026'!O1869),'ENGAGEMENTS 2026'!AE1869))))</f>
        <v/>
      </c>
      <c r="K1869" s="604">
        <f>IF(ISBLANK('ENGAGEMENTS 2026'!W1869),"",'ENGAGEMENTS 2026'!W1869)</f>
        <v/>
      </c>
      <c r="L1869" s="276">
        <f>IF($K1869="","",TODAY()-$K1869)</f>
        <v/>
      </c>
      <c r="M1869">
        <f>IF($A1869="","",IF($H1869="ENGAGE","Engagé",IF(AND($H1869="NON ENGAGE",OR($I1869="INFRUCTUEUX",$I1869="ANNULE")),"Clôturé sans suite","En cours")))</f>
        <v/>
      </c>
      <c r="N1869">
        <f>IF(ISBLANK('ENGAGEMENTS 2026'!C1869),"",'ENGAGEMENTS 2026'!L1869)</f>
        <v/>
      </c>
      <c r="O1869">
        <f>IF(ISBLANK('ENGAGEMENTS 2026'!C1869),"",'ENGAGEMENTS 2026'!M1869)</f>
        <v/>
      </c>
      <c r="P1869">
        <f>IF(ISBLANK('ENGAGEMENTS 2026'!C1869),"",'ENGAGEMENTS 2026'!K1869)</f>
        <v/>
      </c>
      <c r="Q1869">
        <f>IF($A1869="","",IF(OR($E1869="INFRUCTUEUX",$E1869="ANNULE"),$A1869&amp;"|"&amp;(COUNTIFS($A$2:$A1869,$A1869,$E$2:$E1869,"INFRUCTUEUX")+COUNTIFS($A$2:$A1869,$A1869,$E$2:$E1869,"ANNULE")),""))</f>
        <v/>
      </c>
    </row>
    <row r="1870">
      <c r="A1870">
        <f>IF(ISBLANK('ENGAGEMENTS 2026'!C1870),"",IF('ENGAGEMENTS 2026'!C1870="DTSI","DCT",'ENGAGEMENTS 2026'!C1870))</f>
        <v/>
      </c>
      <c r="B1870">
        <f>IF(ISBLANK('ENGAGEMENTS 2026'!C1870),"",'ENGAGEMENTS 2026'!D1870)</f>
        <v/>
      </c>
      <c r="C1870">
        <f>IF(ISBLANK('ENGAGEMENTS 2026'!C1870),"",'ENGAGEMENTS 2026'!E1870)</f>
        <v/>
      </c>
      <c r="D1870">
        <f>IF(ISBLANK('ENGAGEMENTS 2026'!C1870),"",'ENGAGEMENTS 2026'!G1870)</f>
        <v/>
      </c>
      <c r="E1870">
        <f>IF(ISBLANK('ENGAGEMENTS 2026'!C1870),"",'ENGAGEMENTS 2026'!I1870)</f>
        <v/>
      </c>
      <c r="F1870">
        <f>IF(ISBLANK('ENGAGEMENTS 2026'!C1870),"",'ENGAGEMENTS 2026'!J1870)</f>
        <v/>
      </c>
      <c r="G1870">
        <f>IF(ISBLANK('ENGAGEMENTS 2026'!C1870),"",'ENGAGEMENTS 2026'!M1870)</f>
        <v/>
      </c>
      <c r="H1870">
        <f>IF(ISBLANK('ENGAGEMENTS 2026'!C1870),"",'ENGAGEMENTS 2026'!AF1870)</f>
        <v/>
      </c>
      <c r="I1870">
        <f>IF(ISBLANK('ENGAGEMENTS 2026'!C1870),"",'ENGAGEMENTS 2026'!H1870)</f>
        <v/>
      </c>
      <c r="J1870" s="275">
        <f>IF(ISBLANK('ENGAGEMENTS 2026'!C1870),"",IF(AND(OR($E1870="INFRUCTUEUX",$E1870="ANNULE"),$C1870="AOO-M"),'ENGAGEMENTS 2026'!P1870,IF($H1870="EN COURS DE PREENGAGEMENT",'ENGAGEMENTS 2026'!O1870,IF($H1870="PREENGAGE",IF($E1870="ATTRIBUE",'ENGAGEMENTS 2026'!AE1870,'ENGAGEMENTS 2026'!O1870),'ENGAGEMENTS 2026'!AE1870))))</f>
        <v/>
      </c>
      <c r="K1870" s="604">
        <f>IF(ISBLANK('ENGAGEMENTS 2026'!W1870),"",'ENGAGEMENTS 2026'!W1870)</f>
        <v/>
      </c>
      <c r="L1870" s="276">
        <f>IF($K1870="","",TODAY()-$K1870)</f>
        <v/>
      </c>
      <c r="M1870">
        <f>IF($A1870="","",IF($H1870="ENGAGE","Engagé",IF(AND($H1870="NON ENGAGE",OR($I1870="INFRUCTUEUX",$I1870="ANNULE")),"Clôturé sans suite","En cours")))</f>
        <v/>
      </c>
      <c r="N1870">
        <f>IF(ISBLANK('ENGAGEMENTS 2026'!C1870),"",'ENGAGEMENTS 2026'!L1870)</f>
        <v/>
      </c>
      <c r="O1870">
        <f>IF(ISBLANK('ENGAGEMENTS 2026'!C1870),"",'ENGAGEMENTS 2026'!M1870)</f>
        <v/>
      </c>
      <c r="P1870">
        <f>IF(ISBLANK('ENGAGEMENTS 2026'!C1870),"",'ENGAGEMENTS 2026'!K1870)</f>
        <v/>
      </c>
      <c r="Q1870">
        <f>IF($A1870="","",IF(OR($E1870="INFRUCTUEUX",$E1870="ANNULE"),$A1870&amp;"|"&amp;(COUNTIFS($A$2:$A1870,$A1870,$E$2:$E1870,"INFRUCTUEUX")+COUNTIFS($A$2:$A1870,$A1870,$E$2:$E1870,"ANNULE")),""))</f>
        <v/>
      </c>
    </row>
    <row r="1871">
      <c r="A1871">
        <f>IF(ISBLANK('ENGAGEMENTS 2026'!C1871),"",IF('ENGAGEMENTS 2026'!C1871="DTSI","DCT",'ENGAGEMENTS 2026'!C1871))</f>
        <v/>
      </c>
      <c r="B1871">
        <f>IF(ISBLANK('ENGAGEMENTS 2026'!C1871),"",'ENGAGEMENTS 2026'!D1871)</f>
        <v/>
      </c>
      <c r="C1871">
        <f>IF(ISBLANK('ENGAGEMENTS 2026'!C1871),"",'ENGAGEMENTS 2026'!E1871)</f>
        <v/>
      </c>
      <c r="D1871">
        <f>IF(ISBLANK('ENGAGEMENTS 2026'!C1871),"",'ENGAGEMENTS 2026'!G1871)</f>
        <v/>
      </c>
      <c r="E1871">
        <f>IF(ISBLANK('ENGAGEMENTS 2026'!C1871),"",'ENGAGEMENTS 2026'!I1871)</f>
        <v/>
      </c>
      <c r="F1871">
        <f>IF(ISBLANK('ENGAGEMENTS 2026'!C1871),"",'ENGAGEMENTS 2026'!J1871)</f>
        <v/>
      </c>
      <c r="G1871">
        <f>IF(ISBLANK('ENGAGEMENTS 2026'!C1871),"",'ENGAGEMENTS 2026'!M1871)</f>
        <v/>
      </c>
      <c r="H1871">
        <f>IF(ISBLANK('ENGAGEMENTS 2026'!C1871),"",'ENGAGEMENTS 2026'!AF1871)</f>
        <v/>
      </c>
      <c r="I1871">
        <f>IF(ISBLANK('ENGAGEMENTS 2026'!C1871),"",'ENGAGEMENTS 2026'!H1871)</f>
        <v/>
      </c>
      <c r="J1871" s="275">
        <f>IF(ISBLANK('ENGAGEMENTS 2026'!C1871),"",IF(AND(OR($E1871="INFRUCTUEUX",$E1871="ANNULE"),$C1871="AOO-M"),'ENGAGEMENTS 2026'!P1871,IF($H1871="EN COURS DE PREENGAGEMENT",'ENGAGEMENTS 2026'!O1871,IF($H1871="PREENGAGE",IF($E1871="ATTRIBUE",'ENGAGEMENTS 2026'!AE1871,'ENGAGEMENTS 2026'!O1871),'ENGAGEMENTS 2026'!AE1871))))</f>
        <v/>
      </c>
      <c r="K1871" s="604">
        <f>IF(ISBLANK('ENGAGEMENTS 2026'!W1871),"",'ENGAGEMENTS 2026'!W1871)</f>
        <v/>
      </c>
      <c r="L1871" s="276">
        <f>IF($K1871="","",TODAY()-$K1871)</f>
        <v/>
      </c>
      <c r="M1871">
        <f>IF($A1871="","",IF($H1871="ENGAGE","Engagé",IF(AND($H1871="NON ENGAGE",OR($I1871="INFRUCTUEUX",$I1871="ANNULE")),"Clôturé sans suite","En cours")))</f>
        <v/>
      </c>
      <c r="N1871">
        <f>IF(ISBLANK('ENGAGEMENTS 2026'!C1871),"",'ENGAGEMENTS 2026'!L1871)</f>
        <v/>
      </c>
      <c r="O1871">
        <f>IF(ISBLANK('ENGAGEMENTS 2026'!C1871),"",'ENGAGEMENTS 2026'!M1871)</f>
        <v/>
      </c>
      <c r="P1871">
        <f>IF(ISBLANK('ENGAGEMENTS 2026'!C1871),"",'ENGAGEMENTS 2026'!K1871)</f>
        <v/>
      </c>
      <c r="Q1871">
        <f>IF($A1871="","",IF(OR($E1871="INFRUCTUEUX",$E1871="ANNULE"),$A1871&amp;"|"&amp;(COUNTIFS($A$2:$A1871,$A1871,$E$2:$E1871,"INFRUCTUEUX")+COUNTIFS($A$2:$A1871,$A1871,$E$2:$E1871,"ANNULE")),""))</f>
        <v/>
      </c>
    </row>
    <row r="1872">
      <c r="A1872">
        <f>IF(ISBLANK('ENGAGEMENTS 2026'!C1872),"",IF('ENGAGEMENTS 2026'!C1872="DTSI","DCT",'ENGAGEMENTS 2026'!C1872))</f>
        <v/>
      </c>
      <c r="B1872">
        <f>IF(ISBLANK('ENGAGEMENTS 2026'!C1872),"",'ENGAGEMENTS 2026'!D1872)</f>
        <v/>
      </c>
      <c r="C1872">
        <f>IF(ISBLANK('ENGAGEMENTS 2026'!C1872),"",'ENGAGEMENTS 2026'!E1872)</f>
        <v/>
      </c>
      <c r="D1872">
        <f>IF(ISBLANK('ENGAGEMENTS 2026'!C1872),"",'ENGAGEMENTS 2026'!G1872)</f>
        <v/>
      </c>
      <c r="E1872">
        <f>IF(ISBLANK('ENGAGEMENTS 2026'!C1872),"",'ENGAGEMENTS 2026'!I1872)</f>
        <v/>
      </c>
      <c r="F1872">
        <f>IF(ISBLANK('ENGAGEMENTS 2026'!C1872),"",'ENGAGEMENTS 2026'!J1872)</f>
        <v/>
      </c>
      <c r="G1872">
        <f>IF(ISBLANK('ENGAGEMENTS 2026'!C1872),"",'ENGAGEMENTS 2026'!M1872)</f>
        <v/>
      </c>
      <c r="H1872">
        <f>IF(ISBLANK('ENGAGEMENTS 2026'!C1872),"",'ENGAGEMENTS 2026'!AF1872)</f>
        <v/>
      </c>
      <c r="I1872">
        <f>IF(ISBLANK('ENGAGEMENTS 2026'!C1872),"",'ENGAGEMENTS 2026'!H1872)</f>
        <v/>
      </c>
      <c r="J1872" s="275">
        <f>IF(ISBLANK('ENGAGEMENTS 2026'!C1872),"",IF(AND(OR($E1872="INFRUCTUEUX",$E1872="ANNULE"),$C1872="AOO-M"),'ENGAGEMENTS 2026'!P1872,IF($H1872="EN COURS DE PREENGAGEMENT",'ENGAGEMENTS 2026'!O1872,IF($H1872="PREENGAGE",IF($E1872="ATTRIBUE",'ENGAGEMENTS 2026'!AE1872,'ENGAGEMENTS 2026'!O1872),'ENGAGEMENTS 2026'!AE1872))))</f>
        <v/>
      </c>
      <c r="K1872" s="604">
        <f>IF(ISBLANK('ENGAGEMENTS 2026'!W1872),"",'ENGAGEMENTS 2026'!W1872)</f>
        <v/>
      </c>
      <c r="L1872" s="276">
        <f>IF($K1872="","",TODAY()-$K1872)</f>
        <v/>
      </c>
      <c r="M1872">
        <f>IF($A1872="","",IF($H1872="ENGAGE","Engagé",IF(AND($H1872="NON ENGAGE",OR($I1872="INFRUCTUEUX",$I1872="ANNULE")),"Clôturé sans suite","En cours")))</f>
        <v/>
      </c>
      <c r="N1872">
        <f>IF(ISBLANK('ENGAGEMENTS 2026'!C1872),"",'ENGAGEMENTS 2026'!L1872)</f>
        <v/>
      </c>
      <c r="O1872">
        <f>IF(ISBLANK('ENGAGEMENTS 2026'!C1872),"",'ENGAGEMENTS 2026'!M1872)</f>
        <v/>
      </c>
      <c r="P1872">
        <f>IF(ISBLANK('ENGAGEMENTS 2026'!C1872),"",'ENGAGEMENTS 2026'!K1872)</f>
        <v/>
      </c>
      <c r="Q1872">
        <f>IF($A1872="","",IF(OR($E1872="INFRUCTUEUX",$E1872="ANNULE"),$A1872&amp;"|"&amp;(COUNTIFS($A$2:$A1872,$A1872,$E$2:$E1872,"INFRUCTUEUX")+COUNTIFS($A$2:$A1872,$A1872,$E$2:$E1872,"ANNULE")),""))</f>
        <v/>
      </c>
    </row>
    <row r="1873">
      <c r="A1873">
        <f>IF(ISBLANK('ENGAGEMENTS 2026'!C1873),"",IF('ENGAGEMENTS 2026'!C1873="DTSI","DCT",'ENGAGEMENTS 2026'!C1873))</f>
        <v/>
      </c>
      <c r="B1873">
        <f>IF(ISBLANK('ENGAGEMENTS 2026'!C1873),"",'ENGAGEMENTS 2026'!D1873)</f>
        <v/>
      </c>
      <c r="C1873">
        <f>IF(ISBLANK('ENGAGEMENTS 2026'!C1873),"",'ENGAGEMENTS 2026'!E1873)</f>
        <v/>
      </c>
      <c r="D1873">
        <f>IF(ISBLANK('ENGAGEMENTS 2026'!C1873),"",'ENGAGEMENTS 2026'!G1873)</f>
        <v/>
      </c>
      <c r="E1873">
        <f>IF(ISBLANK('ENGAGEMENTS 2026'!C1873),"",'ENGAGEMENTS 2026'!I1873)</f>
        <v/>
      </c>
      <c r="F1873">
        <f>IF(ISBLANK('ENGAGEMENTS 2026'!C1873),"",'ENGAGEMENTS 2026'!J1873)</f>
        <v/>
      </c>
      <c r="G1873">
        <f>IF(ISBLANK('ENGAGEMENTS 2026'!C1873),"",'ENGAGEMENTS 2026'!M1873)</f>
        <v/>
      </c>
      <c r="H1873">
        <f>IF(ISBLANK('ENGAGEMENTS 2026'!C1873),"",'ENGAGEMENTS 2026'!AF1873)</f>
        <v/>
      </c>
      <c r="I1873">
        <f>IF(ISBLANK('ENGAGEMENTS 2026'!C1873),"",'ENGAGEMENTS 2026'!H1873)</f>
        <v/>
      </c>
      <c r="J1873" s="275">
        <f>IF(ISBLANK('ENGAGEMENTS 2026'!C1873),"",IF(AND(OR($E1873="INFRUCTUEUX",$E1873="ANNULE"),$C1873="AOO-M"),'ENGAGEMENTS 2026'!P1873,IF($H1873="EN COURS DE PREENGAGEMENT",'ENGAGEMENTS 2026'!O1873,IF($H1873="PREENGAGE",IF($E1873="ATTRIBUE",'ENGAGEMENTS 2026'!AE1873,'ENGAGEMENTS 2026'!O1873),'ENGAGEMENTS 2026'!AE1873))))</f>
        <v/>
      </c>
      <c r="K1873" s="604">
        <f>IF(ISBLANK('ENGAGEMENTS 2026'!W1873),"",'ENGAGEMENTS 2026'!W1873)</f>
        <v/>
      </c>
      <c r="L1873" s="276">
        <f>IF($K1873="","",TODAY()-$K1873)</f>
        <v/>
      </c>
      <c r="M1873">
        <f>IF($A1873="","",IF($H1873="ENGAGE","Engagé",IF(AND($H1873="NON ENGAGE",OR($I1873="INFRUCTUEUX",$I1873="ANNULE")),"Clôturé sans suite","En cours")))</f>
        <v/>
      </c>
      <c r="N1873">
        <f>IF(ISBLANK('ENGAGEMENTS 2026'!C1873),"",'ENGAGEMENTS 2026'!L1873)</f>
        <v/>
      </c>
      <c r="O1873">
        <f>IF(ISBLANK('ENGAGEMENTS 2026'!C1873),"",'ENGAGEMENTS 2026'!M1873)</f>
        <v/>
      </c>
      <c r="P1873">
        <f>IF(ISBLANK('ENGAGEMENTS 2026'!C1873),"",'ENGAGEMENTS 2026'!K1873)</f>
        <v/>
      </c>
      <c r="Q1873">
        <f>IF($A1873="","",IF(OR($E1873="INFRUCTUEUX",$E1873="ANNULE"),$A1873&amp;"|"&amp;(COUNTIFS($A$2:$A1873,$A1873,$E$2:$E1873,"INFRUCTUEUX")+COUNTIFS($A$2:$A1873,$A1873,$E$2:$E1873,"ANNULE")),""))</f>
        <v/>
      </c>
    </row>
    <row r="1874">
      <c r="A1874">
        <f>IF(ISBLANK('ENGAGEMENTS 2026'!C1874),"",IF('ENGAGEMENTS 2026'!C1874="DTSI","DCT",'ENGAGEMENTS 2026'!C1874))</f>
        <v/>
      </c>
      <c r="B1874">
        <f>IF(ISBLANK('ENGAGEMENTS 2026'!C1874),"",'ENGAGEMENTS 2026'!D1874)</f>
        <v/>
      </c>
      <c r="C1874">
        <f>IF(ISBLANK('ENGAGEMENTS 2026'!C1874),"",'ENGAGEMENTS 2026'!E1874)</f>
        <v/>
      </c>
      <c r="D1874">
        <f>IF(ISBLANK('ENGAGEMENTS 2026'!C1874),"",'ENGAGEMENTS 2026'!G1874)</f>
        <v/>
      </c>
      <c r="E1874">
        <f>IF(ISBLANK('ENGAGEMENTS 2026'!C1874),"",'ENGAGEMENTS 2026'!I1874)</f>
        <v/>
      </c>
      <c r="F1874">
        <f>IF(ISBLANK('ENGAGEMENTS 2026'!C1874),"",'ENGAGEMENTS 2026'!J1874)</f>
        <v/>
      </c>
      <c r="G1874">
        <f>IF(ISBLANK('ENGAGEMENTS 2026'!C1874),"",'ENGAGEMENTS 2026'!M1874)</f>
        <v/>
      </c>
      <c r="H1874">
        <f>IF(ISBLANK('ENGAGEMENTS 2026'!C1874),"",'ENGAGEMENTS 2026'!AF1874)</f>
        <v/>
      </c>
      <c r="I1874">
        <f>IF(ISBLANK('ENGAGEMENTS 2026'!C1874),"",'ENGAGEMENTS 2026'!H1874)</f>
        <v/>
      </c>
      <c r="J1874" s="275">
        <f>IF(ISBLANK('ENGAGEMENTS 2026'!C1874),"",IF(AND(OR($E1874="INFRUCTUEUX",$E1874="ANNULE"),$C1874="AOO-M"),'ENGAGEMENTS 2026'!P1874,IF($H1874="EN COURS DE PREENGAGEMENT",'ENGAGEMENTS 2026'!O1874,IF($H1874="PREENGAGE",IF($E1874="ATTRIBUE",'ENGAGEMENTS 2026'!AE1874,'ENGAGEMENTS 2026'!O1874),'ENGAGEMENTS 2026'!AE1874))))</f>
        <v/>
      </c>
      <c r="K1874" s="604">
        <f>IF(ISBLANK('ENGAGEMENTS 2026'!W1874),"",'ENGAGEMENTS 2026'!W1874)</f>
        <v/>
      </c>
      <c r="L1874" s="276">
        <f>IF($K1874="","",TODAY()-$K1874)</f>
        <v/>
      </c>
      <c r="M1874">
        <f>IF($A1874="","",IF($H1874="ENGAGE","Engagé",IF(AND($H1874="NON ENGAGE",OR($I1874="INFRUCTUEUX",$I1874="ANNULE")),"Clôturé sans suite","En cours")))</f>
        <v/>
      </c>
      <c r="N1874">
        <f>IF(ISBLANK('ENGAGEMENTS 2026'!C1874),"",'ENGAGEMENTS 2026'!L1874)</f>
        <v/>
      </c>
      <c r="O1874">
        <f>IF(ISBLANK('ENGAGEMENTS 2026'!C1874),"",'ENGAGEMENTS 2026'!M1874)</f>
        <v/>
      </c>
      <c r="P1874">
        <f>IF(ISBLANK('ENGAGEMENTS 2026'!C1874),"",'ENGAGEMENTS 2026'!K1874)</f>
        <v/>
      </c>
      <c r="Q1874">
        <f>IF($A1874="","",IF(OR($E1874="INFRUCTUEUX",$E1874="ANNULE"),$A1874&amp;"|"&amp;(COUNTIFS($A$2:$A1874,$A1874,$E$2:$E1874,"INFRUCTUEUX")+COUNTIFS($A$2:$A1874,$A1874,$E$2:$E1874,"ANNULE")),""))</f>
        <v/>
      </c>
    </row>
    <row r="1875">
      <c r="A1875">
        <f>IF(ISBLANK('ENGAGEMENTS 2026'!C1875),"",IF('ENGAGEMENTS 2026'!C1875="DTSI","DCT",'ENGAGEMENTS 2026'!C1875))</f>
        <v/>
      </c>
      <c r="B1875">
        <f>IF(ISBLANK('ENGAGEMENTS 2026'!C1875),"",'ENGAGEMENTS 2026'!D1875)</f>
        <v/>
      </c>
      <c r="C1875">
        <f>IF(ISBLANK('ENGAGEMENTS 2026'!C1875),"",'ENGAGEMENTS 2026'!E1875)</f>
        <v/>
      </c>
      <c r="D1875">
        <f>IF(ISBLANK('ENGAGEMENTS 2026'!C1875),"",'ENGAGEMENTS 2026'!G1875)</f>
        <v/>
      </c>
      <c r="E1875">
        <f>IF(ISBLANK('ENGAGEMENTS 2026'!C1875),"",'ENGAGEMENTS 2026'!I1875)</f>
        <v/>
      </c>
      <c r="F1875">
        <f>IF(ISBLANK('ENGAGEMENTS 2026'!C1875),"",'ENGAGEMENTS 2026'!J1875)</f>
        <v/>
      </c>
      <c r="G1875">
        <f>IF(ISBLANK('ENGAGEMENTS 2026'!C1875),"",'ENGAGEMENTS 2026'!M1875)</f>
        <v/>
      </c>
      <c r="H1875">
        <f>IF(ISBLANK('ENGAGEMENTS 2026'!C1875),"",'ENGAGEMENTS 2026'!AF1875)</f>
        <v/>
      </c>
      <c r="I1875">
        <f>IF(ISBLANK('ENGAGEMENTS 2026'!C1875),"",'ENGAGEMENTS 2026'!H1875)</f>
        <v/>
      </c>
      <c r="J1875" s="275">
        <f>IF(ISBLANK('ENGAGEMENTS 2026'!C1875),"",IF(AND(OR($E1875="INFRUCTUEUX",$E1875="ANNULE"),$C1875="AOO-M"),'ENGAGEMENTS 2026'!P1875,IF($H1875="EN COURS DE PREENGAGEMENT",'ENGAGEMENTS 2026'!O1875,IF($H1875="PREENGAGE",IF($E1875="ATTRIBUE",'ENGAGEMENTS 2026'!AE1875,'ENGAGEMENTS 2026'!O1875),'ENGAGEMENTS 2026'!AE1875))))</f>
        <v/>
      </c>
      <c r="K1875" s="604">
        <f>IF(ISBLANK('ENGAGEMENTS 2026'!W1875),"",'ENGAGEMENTS 2026'!W1875)</f>
        <v/>
      </c>
      <c r="L1875" s="276">
        <f>IF($K1875="","",TODAY()-$K1875)</f>
        <v/>
      </c>
      <c r="M1875">
        <f>IF($A1875="","",IF($H1875="ENGAGE","Engagé",IF(AND($H1875="NON ENGAGE",OR($I1875="INFRUCTUEUX",$I1875="ANNULE")),"Clôturé sans suite","En cours")))</f>
        <v/>
      </c>
      <c r="N1875">
        <f>IF(ISBLANK('ENGAGEMENTS 2026'!C1875),"",'ENGAGEMENTS 2026'!L1875)</f>
        <v/>
      </c>
      <c r="O1875">
        <f>IF(ISBLANK('ENGAGEMENTS 2026'!C1875),"",'ENGAGEMENTS 2026'!M1875)</f>
        <v/>
      </c>
      <c r="P1875">
        <f>IF(ISBLANK('ENGAGEMENTS 2026'!C1875),"",'ENGAGEMENTS 2026'!K1875)</f>
        <v/>
      </c>
      <c r="Q1875">
        <f>IF($A1875="","",IF(OR($E1875="INFRUCTUEUX",$E1875="ANNULE"),$A1875&amp;"|"&amp;(COUNTIFS($A$2:$A1875,$A1875,$E$2:$E1875,"INFRUCTUEUX")+COUNTIFS($A$2:$A1875,$A1875,$E$2:$E1875,"ANNULE")),""))</f>
        <v/>
      </c>
    </row>
    <row r="1876">
      <c r="A1876">
        <f>IF(ISBLANK('ENGAGEMENTS 2026'!C1876),"",IF('ENGAGEMENTS 2026'!C1876="DTSI","DCT",'ENGAGEMENTS 2026'!C1876))</f>
        <v/>
      </c>
      <c r="B1876">
        <f>IF(ISBLANK('ENGAGEMENTS 2026'!C1876),"",'ENGAGEMENTS 2026'!D1876)</f>
        <v/>
      </c>
      <c r="C1876">
        <f>IF(ISBLANK('ENGAGEMENTS 2026'!C1876),"",'ENGAGEMENTS 2026'!E1876)</f>
        <v/>
      </c>
      <c r="D1876">
        <f>IF(ISBLANK('ENGAGEMENTS 2026'!C1876),"",'ENGAGEMENTS 2026'!G1876)</f>
        <v/>
      </c>
      <c r="E1876">
        <f>IF(ISBLANK('ENGAGEMENTS 2026'!C1876),"",'ENGAGEMENTS 2026'!I1876)</f>
        <v/>
      </c>
      <c r="F1876">
        <f>IF(ISBLANK('ENGAGEMENTS 2026'!C1876),"",'ENGAGEMENTS 2026'!J1876)</f>
        <v/>
      </c>
      <c r="G1876">
        <f>IF(ISBLANK('ENGAGEMENTS 2026'!C1876),"",'ENGAGEMENTS 2026'!M1876)</f>
        <v/>
      </c>
      <c r="H1876">
        <f>IF(ISBLANK('ENGAGEMENTS 2026'!C1876),"",'ENGAGEMENTS 2026'!AF1876)</f>
        <v/>
      </c>
      <c r="I1876">
        <f>IF(ISBLANK('ENGAGEMENTS 2026'!C1876),"",'ENGAGEMENTS 2026'!H1876)</f>
        <v/>
      </c>
      <c r="J1876" s="275">
        <f>IF(ISBLANK('ENGAGEMENTS 2026'!C1876),"",IF(AND(OR($E1876="INFRUCTUEUX",$E1876="ANNULE"),$C1876="AOO-M"),'ENGAGEMENTS 2026'!P1876,IF($H1876="EN COURS DE PREENGAGEMENT",'ENGAGEMENTS 2026'!O1876,IF($H1876="PREENGAGE",IF($E1876="ATTRIBUE",'ENGAGEMENTS 2026'!AE1876,'ENGAGEMENTS 2026'!O1876),'ENGAGEMENTS 2026'!AE1876))))</f>
        <v/>
      </c>
      <c r="K1876" s="604">
        <f>IF(ISBLANK('ENGAGEMENTS 2026'!W1876),"",'ENGAGEMENTS 2026'!W1876)</f>
        <v/>
      </c>
      <c r="L1876" s="276">
        <f>IF($K1876="","",TODAY()-$K1876)</f>
        <v/>
      </c>
      <c r="M1876">
        <f>IF($A1876="","",IF($H1876="ENGAGE","Engagé",IF(AND($H1876="NON ENGAGE",OR($I1876="INFRUCTUEUX",$I1876="ANNULE")),"Clôturé sans suite","En cours")))</f>
        <v/>
      </c>
      <c r="N1876">
        <f>IF(ISBLANK('ENGAGEMENTS 2026'!C1876),"",'ENGAGEMENTS 2026'!L1876)</f>
        <v/>
      </c>
      <c r="O1876">
        <f>IF(ISBLANK('ENGAGEMENTS 2026'!C1876),"",'ENGAGEMENTS 2026'!M1876)</f>
        <v/>
      </c>
      <c r="P1876">
        <f>IF(ISBLANK('ENGAGEMENTS 2026'!C1876),"",'ENGAGEMENTS 2026'!K1876)</f>
        <v/>
      </c>
      <c r="Q1876">
        <f>IF($A1876="","",IF(OR($E1876="INFRUCTUEUX",$E1876="ANNULE"),$A1876&amp;"|"&amp;(COUNTIFS($A$2:$A1876,$A1876,$E$2:$E1876,"INFRUCTUEUX")+COUNTIFS($A$2:$A1876,$A1876,$E$2:$E1876,"ANNULE")),""))</f>
        <v/>
      </c>
    </row>
    <row r="1877">
      <c r="A1877">
        <f>IF(ISBLANK('ENGAGEMENTS 2026'!C1877),"",IF('ENGAGEMENTS 2026'!C1877="DTSI","DCT",'ENGAGEMENTS 2026'!C1877))</f>
        <v/>
      </c>
      <c r="B1877">
        <f>IF(ISBLANK('ENGAGEMENTS 2026'!C1877),"",'ENGAGEMENTS 2026'!D1877)</f>
        <v/>
      </c>
      <c r="C1877">
        <f>IF(ISBLANK('ENGAGEMENTS 2026'!C1877),"",'ENGAGEMENTS 2026'!E1877)</f>
        <v/>
      </c>
      <c r="D1877">
        <f>IF(ISBLANK('ENGAGEMENTS 2026'!C1877),"",'ENGAGEMENTS 2026'!G1877)</f>
        <v/>
      </c>
      <c r="E1877">
        <f>IF(ISBLANK('ENGAGEMENTS 2026'!C1877),"",'ENGAGEMENTS 2026'!I1877)</f>
        <v/>
      </c>
      <c r="F1877">
        <f>IF(ISBLANK('ENGAGEMENTS 2026'!C1877),"",'ENGAGEMENTS 2026'!J1877)</f>
        <v/>
      </c>
      <c r="G1877">
        <f>IF(ISBLANK('ENGAGEMENTS 2026'!C1877),"",'ENGAGEMENTS 2026'!M1877)</f>
        <v/>
      </c>
      <c r="H1877">
        <f>IF(ISBLANK('ENGAGEMENTS 2026'!C1877),"",'ENGAGEMENTS 2026'!AF1877)</f>
        <v/>
      </c>
      <c r="I1877">
        <f>IF(ISBLANK('ENGAGEMENTS 2026'!C1877),"",'ENGAGEMENTS 2026'!H1877)</f>
        <v/>
      </c>
      <c r="J1877" s="275">
        <f>IF(ISBLANK('ENGAGEMENTS 2026'!C1877),"",IF(AND(OR($E1877="INFRUCTUEUX",$E1877="ANNULE"),$C1877="AOO-M"),'ENGAGEMENTS 2026'!P1877,IF($H1877="EN COURS DE PREENGAGEMENT",'ENGAGEMENTS 2026'!O1877,IF($H1877="PREENGAGE",IF($E1877="ATTRIBUE",'ENGAGEMENTS 2026'!AE1877,'ENGAGEMENTS 2026'!O1877),'ENGAGEMENTS 2026'!AE1877))))</f>
        <v/>
      </c>
      <c r="K1877" s="604">
        <f>IF(ISBLANK('ENGAGEMENTS 2026'!W1877),"",'ENGAGEMENTS 2026'!W1877)</f>
        <v/>
      </c>
      <c r="L1877" s="276">
        <f>IF($K1877="","",TODAY()-$K1877)</f>
        <v/>
      </c>
      <c r="M1877">
        <f>IF($A1877="","",IF($H1877="ENGAGE","Engagé",IF(AND($H1877="NON ENGAGE",OR($I1877="INFRUCTUEUX",$I1877="ANNULE")),"Clôturé sans suite","En cours")))</f>
        <v/>
      </c>
      <c r="N1877">
        <f>IF(ISBLANK('ENGAGEMENTS 2026'!C1877),"",'ENGAGEMENTS 2026'!L1877)</f>
        <v/>
      </c>
      <c r="O1877">
        <f>IF(ISBLANK('ENGAGEMENTS 2026'!C1877),"",'ENGAGEMENTS 2026'!M1877)</f>
        <v/>
      </c>
      <c r="P1877">
        <f>IF(ISBLANK('ENGAGEMENTS 2026'!C1877),"",'ENGAGEMENTS 2026'!K1877)</f>
        <v/>
      </c>
      <c r="Q1877">
        <f>IF($A1877="","",IF(OR($E1877="INFRUCTUEUX",$E1877="ANNULE"),$A1877&amp;"|"&amp;(COUNTIFS($A$2:$A1877,$A1877,$E$2:$E1877,"INFRUCTUEUX")+COUNTIFS($A$2:$A1877,$A1877,$E$2:$E1877,"ANNULE")),""))</f>
        <v/>
      </c>
    </row>
    <row r="1878">
      <c r="A1878">
        <f>IF(ISBLANK('ENGAGEMENTS 2026'!C1878),"",IF('ENGAGEMENTS 2026'!C1878="DTSI","DCT",'ENGAGEMENTS 2026'!C1878))</f>
        <v/>
      </c>
      <c r="B1878">
        <f>IF(ISBLANK('ENGAGEMENTS 2026'!C1878),"",'ENGAGEMENTS 2026'!D1878)</f>
        <v/>
      </c>
      <c r="C1878">
        <f>IF(ISBLANK('ENGAGEMENTS 2026'!C1878),"",'ENGAGEMENTS 2026'!E1878)</f>
        <v/>
      </c>
      <c r="D1878">
        <f>IF(ISBLANK('ENGAGEMENTS 2026'!C1878),"",'ENGAGEMENTS 2026'!G1878)</f>
        <v/>
      </c>
      <c r="E1878">
        <f>IF(ISBLANK('ENGAGEMENTS 2026'!C1878),"",'ENGAGEMENTS 2026'!I1878)</f>
        <v/>
      </c>
      <c r="F1878">
        <f>IF(ISBLANK('ENGAGEMENTS 2026'!C1878),"",'ENGAGEMENTS 2026'!J1878)</f>
        <v/>
      </c>
      <c r="G1878">
        <f>IF(ISBLANK('ENGAGEMENTS 2026'!C1878),"",'ENGAGEMENTS 2026'!M1878)</f>
        <v/>
      </c>
      <c r="H1878">
        <f>IF(ISBLANK('ENGAGEMENTS 2026'!C1878),"",'ENGAGEMENTS 2026'!AF1878)</f>
        <v/>
      </c>
      <c r="I1878">
        <f>IF(ISBLANK('ENGAGEMENTS 2026'!C1878),"",'ENGAGEMENTS 2026'!H1878)</f>
        <v/>
      </c>
      <c r="J1878" s="275">
        <f>IF(ISBLANK('ENGAGEMENTS 2026'!C1878),"",IF(AND(OR($E1878="INFRUCTUEUX",$E1878="ANNULE"),$C1878="AOO-M"),'ENGAGEMENTS 2026'!P1878,IF($H1878="EN COURS DE PREENGAGEMENT",'ENGAGEMENTS 2026'!O1878,IF($H1878="PREENGAGE",IF($E1878="ATTRIBUE",'ENGAGEMENTS 2026'!AE1878,'ENGAGEMENTS 2026'!O1878),'ENGAGEMENTS 2026'!AE1878))))</f>
        <v/>
      </c>
      <c r="K1878" s="604">
        <f>IF(ISBLANK('ENGAGEMENTS 2026'!W1878),"",'ENGAGEMENTS 2026'!W1878)</f>
        <v/>
      </c>
      <c r="L1878" s="276">
        <f>IF($K1878="","",TODAY()-$K1878)</f>
        <v/>
      </c>
      <c r="M1878">
        <f>IF($A1878="","",IF($H1878="ENGAGE","Engagé",IF(AND($H1878="NON ENGAGE",OR($I1878="INFRUCTUEUX",$I1878="ANNULE")),"Clôturé sans suite","En cours")))</f>
        <v/>
      </c>
      <c r="N1878">
        <f>IF(ISBLANK('ENGAGEMENTS 2026'!C1878),"",'ENGAGEMENTS 2026'!L1878)</f>
        <v/>
      </c>
      <c r="O1878">
        <f>IF(ISBLANK('ENGAGEMENTS 2026'!C1878),"",'ENGAGEMENTS 2026'!M1878)</f>
        <v/>
      </c>
      <c r="P1878">
        <f>IF(ISBLANK('ENGAGEMENTS 2026'!C1878),"",'ENGAGEMENTS 2026'!K1878)</f>
        <v/>
      </c>
      <c r="Q1878">
        <f>IF($A1878="","",IF(OR($E1878="INFRUCTUEUX",$E1878="ANNULE"),$A1878&amp;"|"&amp;(COUNTIFS($A$2:$A1878,$A1878,$E$2:$E1878,"INFRUCTUEUX")+COUNTIFS($A$2:$A1878,$A1878,$E$2:$E1878,"ANNULE")),""))</f>
        <v/>
      </c>
    </row>
    <row r="1879">
      <c r="A1879">
        <f>IF(ISBLANK('ENGAGEMENTS 2026'!C1879),"",IF('ENGAGEMENTS 2026'!C1879="DTSI","DCT",'ENGAGEMENTS 2026'!C1879))</f>
        <v/>
      </c>
      <c r="B1879">
        <f>IF(ISBLANK('ENGAGEMENTS 2026'!C1879),"",'ENGAGEMENTS 2026'!D1879)</f>
        <v/>
      </c>
      <c r="C1879">
        <f>IF(ISBLANK('ENGAGEMENTS 2026'!C1879),"",'ENGAGEMENTS 2026'!E1879)</f>
        <v/>
      </c>
      <c r="D1879">
        <f>IF(ISBLANK('ENGAGEMENTS 2026'!C1879),"",'ENGAGEMENTS 2026'!G1879)</f>
        <v/>
      </c>
      <c r="E1879">
        <f>IF(ISBLANK('ENGAGEMENTS 2026'!C1879),"",'ENGAGEMENTS 2026'!I1879)</f>
        <v/>
      </c>
      <c r="F1879">
        <f>IF(ISBLANK('ENGAGEMENTS 2026'!C1879),"",'ENGAGEMENTS 2026'!J1879)</f>
        <v/>
      </c>
      <c r="G1879">
        <f>IF(ISBLANK('ENGAGEMENTS 2026'!C1879),"",'ENGAGEMENTS 2026'!M1879)</f>
        <v/>
      </c>
      <c r="H1879">
        <f>IF(ISBLANK('ENGAGEMENTS 2026'!C1879),"",'ENGAGEMENTS 2026'!AF1879)</f>
        <v/>
      </c>
      <c r="I1879">
        <f>IF(ISBLANK('ENGAGEMENTS 2026'!C1879),"",'ENGAGEMENTS 2026'!H1879)</f>
        <v/>
      </c>
      <c r="J1879" s="275">
        <f>IF(ISBLANK('ENGAGEMENTS 2026'!C1879),"",IF(AND(OR($E1879="INFRUCTUEUX",$E1879="ANNULE"),$C1879="AOO-M"),'ENGAGEMENTS 2026'!P1879,IF($H1879="EN COURS DE PREENGAGEMENT",'ENGAGEMENTS 2026'!O1879,IF($H1879="PREENGAGE",IF($E1879="ATTRIBUE",'ENGAGEMENTS 2026'!AE1879,'ENGAGEMENTS 2026'!O1879),'ENGAGEMENTS 2026'!AE1879))))</f>
        <v/>
      </c>
      <c r="K1879" s="604">
        <f>IF(ISBLANK('ENGAGEMENTS 2026'!W1879),"",'ENGAGEMENTS 2026'!W1879)</f>
        <v/>
      </c>
      <c r="L1879" s="276">
        <f>IF($K1879="","",TODAY()-$K1879)</f>
        <v/>
      </c>
      <c r="M1879">
        <f>IF($A1879="","",IF($H1879="ENGAGE","Engagé",IF(AND($H1879="NON ENGAGE",OR($I1879="INFRUCTUEUX",$I1879="ANNULE")),"Clôturé sans suite","En cours")))</f>
        <v/>
      </c>
      <c r="N1879">
        <f>IF(ISBLANK('ENGAGEMENTS 2026'!C1879),"",'ENGAGEMENTS 2026'!L1879)</f>
        <v/>
      </c>
      <c r="O1879">
        <f>IF(ISBLANK('ENGAGEMENTS 2026'!C1879),"",'ENGAGEMENTS 2026'!M1879)</f>
        <v/>
      </c>
      <c r="P1879">
        <f>IF(ISBLANK('ENGAGEMENTS 2026'!C1879),"",'ENGAGEMENTS 2026'!K1879)</f>
        <v/>
      </c>
      <c r="Q1879">
        <f>IF($A1879="","",IF(OR($E1879="INFRUCTUEUX",$E1879="ANNULE"),$A1879&amp;"|"&amp;(COUNTIFS($A$2:$A1879,$A1879,$E$2:$E1879,"INFRUCTUEUX")+COUNTIFS($A$2:$A1879,$A1879,$E$2:$E1879,"ANNULE")),""))</f>
        <v/>
      </c>
    </row>
    <row r="1880">
      <c r="A1880">
        <f>IF(ISBLANK('ENGAGEMENTS 2026'!C1880),"",IF('ENGAGEMENTS 2026'!C1880="DTSI","DCT",'ENGAGEMENTS 2026'!C1880))</f>
        <v/>
      </c>
      <c r="B1880">
        <f>IF(ISBLANK('ENGAGEMENTS 2026'!C1880),"",'ENGAGEMENTS 2026'!D1880)</f>
        <v/>
      </c>
      <c r="C1880">
        <f>IF(ISBLANK('ENGAGEMENTS 2026'!C1880),"",'ENGAGEMENTS 2026'!E1880)</f>
        <v/>
      </c>
      <c r="D1880">
        <f>IF(ISBLANK('ENGAGEMENTS 2026'!C1880),"",'ENGAGEMENTS 2026'!G1880)</f>
        <v/>
      </c>
      <c r="E1880">
        <f>IF(ISBLANK('ENGAGEMENTS 2026'!C1880),"",'ENGAGEMENTS 2026'!I1880)</f>
        <v/>
      </c>
      <c r="F1880">
        <f>IF(ISBLANK('ENGAGEMENTS 2026'!C1880),"",'ENGAGEMENTS 2026'!J1880)</f>
        <v/>
      </c>
      <c r="G1880">
        <f>IF(ISBLANK('ENGAGEMENTS 2026'!C1880),"",'ENGAGEMENTS 2026'!M1880)</f>
        <v/>
      </c>
      <c r="H1880">
        <f>IF(ISBLANK('ENGAGEMENTS 2026'!C1880),"",'ENGAGEMENTS 2026'!AF1880)</f>
        <v/>
      </c>
      <c r="I1880">
        <f>IF(ISBLANK('ENGAGEMENTS 2026'!C1880),"",'ENGAGEMENTS 2026'!H1880)</f>
        <v/>
      </c>
      <c r="J1880" s="275">
        <f>IF(ISBLANK('ENGAGEMENTS 2026'!C1880),"",IF(AND(OR($E1880="INFRUCTUEUX",$E1880="ANNULE"),$C1880="AOO-M"),'ENGAGEMENTS 2026'!P1880,IF($H1880="EN COURS DE PREENGAGEMENT",'ENGAGEMENTS 2026'!O1880,IF($H1880="PREENGAGE",IF($E1880="ATTRIBUE",'ENGAGEMENTS 2026'!AE1880,'ENGAGEMENTS 2026'!O1880),'ENGAGEMENTS 2026'!AE1880))))</f>
        <v/>
      </c>
      <c r="K1880" s="604">
        <f>IF(ISBLANK('ENGAGEMENTS 2026'!W1880),"",'ENGAGEMENTS 2026'!W1880)</f>
        <v/>
      </c>
      <c r="L1880" s="276">
        <f>IF($K1880="","",TODAY()-$K1880)</f>
        <v/>
      </c>
      <c r="M1880">
        <f>IF($A1880="","",IF($H1880="ENGAGE","Engagé",IF(AND($H1880="NON ENGAGE",OR($I1880="INFRUCTUEUX",$I1880="ANNULE")),"Clôturé sans suite","En cours")))</f>
        <v/>
      </c>
      <c r="N1880">
        <f>IF(ISBLANK('ENGAGEMENTS 2026'!C1880),"",'ENGAGEMENTS 2026'!L1880)</f>
        <v/>
      </c>
      <c r="O1880">
        <f>IF(ISBLANK('ENGAGEMENTS 2026'!C1880),"",'ENGAGEMENTS 2026'!M1880)</f>
        <v/>
      </c>
      <c r="P1880">
        <f>IF(ISBLANK('ENGAGEMENTS 2026'!C1880),"",'ENGAGEMENTS 2026'!K1880)</f>
        <v/>
      </c>
      <c r="Q1880">
        <f>IF($A1880="","",IF(OR($E1880="INFRUCTUEUX",$E1880="ANNULE"),$A1880&amp;"|"&amp;(COUNTIFS($A$2:$A1880,$A1880,$E$2:$E1880,"INFRUCTUEUX")+COUNTIFS($A$2:$A1880,$A1880,$E$2:$E1880,"ANNULE")),""))</f>
        <v/>
      </c>
    </row>
    <row r="1881">
      <c r="A1881">
        <f>IF(ISBLANK('ENGAGEMENTS 2026'!C1881),"",IF('ENGAGEMENTS 2026'!C1881="DTSI","DCT",'ENGAGEMENTS 2026'!C1881))</f>
        <v/>
      </c>
      <c r="B1881">
        <f>IF(ISBLANK('ENGAGEMENTS 2026'!C1881),"",'ENGAGEMENTS 2026'!D1881)</f>
        <v/>
      </c>
      <c r="C1881">
        <f>IF(ISBLANK('ENGAGEMENTS 2026'!C1881),"",'ENGAGEMENTS 2026'!E1881)</f>
        <v/>
      </c>
      <c r="D1881">
        <f>IF(ISBLANK('ENGAGEMENTS 2026'!C1881),"",'ENGAGEMENTS 2026'!G1881)</f>
        <v/>
      </c>
      <c r="E1881">
        <f>IF(ISBLANK('ENGAGEMENTS 2026'!C1881),"",'ENGAGEMENTS 2026'!I1881)</f>
        <v/>
      </c>
      <c r="F1881">
        <f>IF(ISBLANK('ENGAGEMENTS 2026'!C1881),"",'ENGAGEMENTS 2026'!J1881)</f>
        <v/>
      </c>
      <c r="G1881">
        <f>IF(ISBLANK('ENGAGEMENTS 2026'!C1881),"",'ENGAGEMENTS 2026'!M1881)</f>
        <v/>
      </c>
      <c r="H1881">
        <f>IF(ISBLANK('ENGAGEMENTS 2026'!C1881),"",'ENGAGEMENTS 2026'!AF1881)</f>
        <v/>
      </c>
      <c r="I1881">
        <f>IF(ISBLANK('ENGAGEMENTS 2026'!C1881),"",'ENGAGEMENTS 2026'!H1881)</f>
        <v/>
      </c>
      <c r="J1881" s="275">
        <f>IF(ISBLANK('ENGAGEMENTS 2026'!C1881),"",IF(AND(OR($E1881="INFRUCTUEUX",$E1881="ANNULE"),$C1881="AOO-M"),'ENGAGEMENTS 2026'!P1881,IF($H1881="EN COURS DE PREENGAGEMENT",'ENGAGEMENTS 2026'!O1881,IF($H1881="PREENGAGE",IF($E1881="ATTRIBUE",'ENGAGEMENTS 2026'!AE1881,'ENGAGEMENTS 2026'!O1881),'ENGAGEMENTS 2026'!AE1881))))</f>
        <v/>
      </c>
      <c r="K1881" s="604">
        <f>IF(ISBLANK('ENGAGEMENTS 2026'!W1881),"",'ENGAGEMENTS 2026'!W1881)</f>
        <v/>
      </c>
      <c r="L1881" s="276">
        <f>IF($K1881="","",TODAY()-$K1881)</f>
        <v/>
      </c>
      <c r="M1881">
        <f>IF($A1881="","",IF($H1881="ENGAGE","Engagé",IF(AND($H1881="NON ENGAGE",OR($I1881="INFRUCTUEUX",$I1881="ANNULE")),"Clôturé sans suite","En cours")))</f>
        <v/>
      </c>
      <c r="N1881">
        <f>IF(ISBLANK('ENGAGEMENTS 2026'!C1881),"",'ENGAGEMENTS 2026'!L1881)</f>
        <v/>
      </c>
      <c r="O1881">
        <f>IF(ISBLANK('ENGAGEMENTS 2026'!C1881),"",'ENGAGEMENTS 2026'!M1881)</f>
        <v/>
      </c>
      <c r="P1881">
        <f>IF(ISBLANK('ENGAGEMENTS 2026'!C1881),"",'ENGAGEMENTS 2026'!K1881)</f>
        <v/>
      </c>
      <c r="Q1881">
        <f>IF($A1881="","",IF(OR($E1881="INFRUCTUEUX",$E1881="ANNULE"),$A1881&amp;"|"&amp;(COUNTIFS($A$2:$A1881,$A1881,$E$2:$E1881,"INFRUCTUEUX")+COUNTIFS($A$2:$A1881,$A1881,$E$2:$E1881,"ANNULE")),""))</f>
        <v/>
      </c>
    </row>
    <row r="1882">
      <c r="A1882">
        <f>IF(ISBLANK('ENGAGEMENTS 2026'!C1882),"",IF('ENGAGEMENTS 2026'!C1882="DTSI","DCT",'ENGAGEMENTS 2026'!C1882))</f>
        <v/>
      </c>
      <c r="B1882">
        <f>IF(ISBLANK('ENGAGEMENTS 2026'!C1882),"",'ENGAGEMENTS 2026'!D1882)</f>
        <v/>
      </c>
      <c r="C1882">
        <f>IF(ISBLANK('ENGAGEMENTS 2026'!C1882),"",'ENGAGEMENTS 2026'!E1882)</f>
        <v/>
      </c>
      <c r="D1882">
        <f>IF(ISBLANK('ENGAGEMENTS 2026'!C1882),"",'ENGAGEMENTS 2026'!G1882)</f>
        <v/>
      </c>
      <c r="E1882">
        <f>IF(ISBLANK('ENGAGEMENTS 2026'!C1882),"",'ENGAGEMENTS 2026'!I1882)</f>
        <v/>
      </c>
      <c r="F1882">
        <f>IF(ISBLANK('ENGAGEMENTS 2026'!C1882),"",'ENGAGEMENTS 2026'!J1882)</f>
        <v/>
      </c>
      <c r="G1882">
        <f>IF(ISBLANK('ENGAGEMENTS 2026'!C1882),"",'ENGAGEMENTS 2026'!M1882)</f>
        <v/>
      </c>
      <c r="H1882">
        <f>IF(ISBLANK('ENGAGEMENTS 2026'!C1882),"",'ENGAGEMENTS 2026'!AF1882)</f>
        <v/>
      </c>
      <c r="I1882">
        <f>IF(ISBLANK('ENGAGEMENTS 2026'!C1882),"",'ENGAGEMENTS 2026'!H1882)</f>
        <v/>
      </c>
      <c r="J1882" s="275">
        <f>IF(ISBLANK('ENGAGEMENTS 2026'!C1882),"",IF(AND(OR($E1882="INFRUCTUEUX",$E1882="ANNULE"),$C1882="AOO-M"),'ENGAGEMENTS 2026'!P1882,IF($H1882="EN COURS DE PREENGAGEMENT",'ENGAGEMENTS 2026'!O1882,IF($H1882="PREENGAGE",IF($E1882="ATTRIBUE",'ENGAGEMENTS 2026'!AE1882,'ENGAGEMENTS 2026'!O1882),'ENGAGEMENTS 2026'!AE1882))))</f>
        <v/>
      </c>
      <c r="K1882" s="604">
        <f>IF(ISBLANK('ENGAGEMENTS 2026'!W1882),"",'ENGAGEMENTS 2026'!W1882)</f>
        <v/>
      </c>
      <c r="L1882" s="276">
        <f>IF($K1882="","",TODAY()-$K1882)</f>
        <v/>
      </c>
      <c r="M1882">
        <f>IF($A1882="","",IF($H1882="ENGAGE","Engagé",IF(AND($H1882="NON ENGAGE",OR($I1882="INFRUCTUEUX",$I1882="ANNULE")),"Clôturé sans suite","En cours")))</f>
        <v/>
      </c>
      <c r="N1882">
        <f>IF(ISBLANK('ENGAGEMENTS 2026'!C1882),"",'ENGAGEMENTS 2026'!L1882)</f>
        <v/>
      </c>
      <c r="O1882">
        <f>IF(ISBLANK('ENGAGEMENTS 2026'!C1882),"",'ENGAGEMENTS 2026'!M1882)</f>
        <v/>
      </c>
      <c r="P1882">
        <f>IF(ISBLANK('ENGAGEMENTS 2026'!C1882),"",'ENGAGEMENTS 2026'!K1882)</f>
        <v/>
      </c>
      <c r="Q1882">
        <f>IF($A1882="","",IF(OR($E1882="INFRUCTUEUX",$E1882="ANNULE"),$A1882&amp;"|"&amp;(COUNTIFS($A$2:$A1882,$A1882,$E$2:$E1882,"INFRUCTUEUX")+COUNTIFS($A$2:$A1882,$A1882,$E$2:$E1882,"ANNULE")),""))</f>
        <v/>
      </c>
    </row>
    <row r="1883">
      <c r="A1883">
        <f>IF(ISBLANK('ENGAGEMENTS 2026'!C1883),"",IF('ENGAGEMENTS 2026'!C1883="DTSI","DCT",'ENGAGEMENTS 2026'!C1883))</f>
        <v/>
      </c>
      <c r="B1883">
        <f>IF(ISBLANK('ENGAGEMENTS 2026'!C1883),"",'ENGAGEMENTS 2026'!D1883)</f>
        <v/>
      </c>
      <c r="C1883">
        <f>IF(ISBLANK('ENGAGEMENTS 2026'!C1883),"",'ENGAGEMENTS 2026'!E1883)</f>
        <v/>
      </c>
      <c r="D1883">
        <f>IF(ISBLANK('ENGAGEMENTS 2026'!C1883),"",'ENGAGEMENTS 2026'!G1883)</f>
        <v/>
      </c>
      <c r="E1883">
        <f>IF(ISBLANK('ENGAGEMENTS 2026'!C1883),"",'ENGAGEMENTS 2026'!I1883)</f>
        <v/>
      </c>
      <c r="F1883">
        <f>IF(ISBLANK('ENGAGEMENTS 2026'!C1883),"",'ENGAGEMENTS 2026'!J1883)</f>
        <v/>
      </c>
      <c r="G1883">
        <f>IF(ISBLANK('ENGAGEMENTS 2026'!C1883),"",'ENGAGEMENTS 2026'!M1883)</f>
        <v/>
      </c>
      <c r="H1883">
        <f>IF(ISBLANK('ENGAGEMENTS 2026'!C1883),"",'ENGAGEMENTS 2026'!AF1883)</f>
        <v/>
      </c>
      <c r="I1883">
        <f>IF(ISBLANK('ENGAGEMENTS 2026'!C1883),"",'ENGAGEMENTS 2026'!H1883)</f>
        <v/>
      </c>
      <c r="J1883" s="275">
        <f>IF(ISBLANK('ENGAGEMENTS 2026'!C1883),"",IF(AND(OR($E1883="INFRUCTUEUX",$E1883="ANNULE"),$C1883="AOO-M"),'ENGAGEMENTS 2026'!P1883,IF($H1883="EN COURS DE PREENGAGEMENT",'ENGAGEMENTS 2026'!O1883,IF($H1883="PREENGAGE",IF($E1883="ATTRIBUE",'ENGAGEMENTS 2026'!AE1883,'ENGAGEMENTS 2026'!O1883),'ENGAGEMENTS 2026'!AE1883))))</f>
        <v/>
      </c>
      <c r="K1883" s="604">
        <f>IF(ISBLANK('ENGAGEMENTS 2026'!W1883),"",'ENGAGEMENTS 2026'!W1883)</f>
        <v/>
      </c>
      <c r="L1883" s="276">
        <f>IF($K1883="","",TODAY()-$K1883)</f>
        <v/>
      </c>
      <c r="M1883">
        <f>IF($A1883="","",IF($H1883="ENGAGE","Engagé",IF(AND($H1883="NON ENGAGE",OR($I1883="INFRUCTUEUX",$I1883="ANNULE")),"Clôturé sans suite","En cours")))</f>
        <v/>
      </c>
      <c r="N1883">
        <f>IF(ISBLANK('ENGAGEMENTS 2026'!C1883),"",'ENGAGEMENTS 2026'!L1883)</f>
        <v/>
      </c>
      <c r="O1883">
        <f>IF(ISBLANK('ENGAGEMENTS 2026'!C1883),"",'ENGAGEMENTS 2026'!M1883)</f>
        <v/>
      </c>
      <c r="P1883">
        <f>IF(ISBLANK('ENGAGEMENTS 2026'!C1883),"",'ENGAGEMENTS 2026'!K1883)</f>
        <v/>
      </c>
      <c r="Q1883">
        <f>IF($A1883="","",IF(OR($E1883="INFRUCTUEUX",$E1883="ANNULE"),$A1883&amp;"|"&amp;(COUNTIFS($A$2:$A1883,$A1883,$E$2:$E1883,"INFRUCTUEUX")+COUNTIFS($A$2:$A1883,$A1883,$E$2:$E1883,"ANNULE")),""))</f>
        <v/>
      </c>
    </row>
    <row r="1884">
      <c r="A1884">
        <f>IF(ISBLANK('ENGAGEMENTS 2026'!C1884),"",IF('ENGAGEMENTS 2026'!C1884="DTSI","DCT",'ENGAGEMENTS 2026'!C1884))</f>
        <v/>
      </c>
      <c r="B1884">
        <f>IF(ISBLANK('ENGAGEMENTS 2026'!C1884),"",'ENGAGEMENTS 2026'!D1884)</f>
        <v/>
      </c>
      <c r="C1884">
        <f>IF(ISBLANK('ENGAGEMENTS 2026'!C1884),"",'ENGAGEMENTS 2026'!E1884)</f>
        <v/>
      </c>
      <c r="D1884">
        <f>IF(ISBLANK('ENGAGEMENTS 2026'!C1884),"",'ENGAGEMENTS 2026'!G1884)</f>
        <v/>
      </c>
      <c r="E1884">
        <f>IF(ISBLANK('ENGAGEMENTS 2026'!C1884),"",'ENGAGEMENTS 2026'!I1884)</f>
        <v/>
      </c>
      <c r="F1884">
        <f>IF(ISBLANK('ENGAGEMENTS 2026'!C1884),"",'ENGAGEMENTS 2026'!J1884)</f>
        <v/>
      </c>
      <c r="G1884">
        <f>IF(ISBLANK('ENGAGEMENTS 2026'!C1884),"",'ENGAGEMENTS 2026'!M1884)</f>
        <v/>
      </c>
      <c r="H1884">
        <f>IF(ISBLANK('ENGAGEMENTS 2026'!C1884),"",'ENGAGEMENTS 2026'!AF1884)</f>
        <v/>
      </c>
      <c r="I1884">
        <f>IF(ISBLANK('ENGAGEMENTS 2026'!C1884),"",'ENGAGEMENTS 2026'!H1884)</f>
        <v/>
      </c>
      <c r="J1884" s="275">
        <f>IF(ISBLANK('ENGAGEMENTS 2026'!C1884),"",IF(AND(OR($E1884="INFRUCTUEUX",$E1884="ANNULE"),$C1884="AOO-M"),'ENGAGEMENTS 2026'!P1884,IF($H1884="EN COURS DE PREENGAGEMENT",'ENGAGEMENTS 2026'!O1884,IF($H1884="PREENGAGE",IF($E1884="ATTRIBUE",'ENGAGEMENTS 2026'!AE1884,'ENGAGEMENTS 2026'!O1884),'ENGAGEMENTS 2026'!AE1884))))</f>
        <v/>
      </c>
      <c r="K1884" s="604">
        <f>IF(ISBLANK('ENGAGEMENTS 2026'!W1884),"",'ENGAGEMENTS 2026'!W1884)</f>
        <v/>
      </c>
      <c r="L1884" s="276">
        <f>IF($K1884="","",TODAY()-$K1884)</f>
        <v/>
      </c>
      <c r="M1884">
        <f>IF($A1884="","",IF($H1884="ENGAGE","Engagé",IF(AND($H1884="NON ENGAGE",OR($I1884="INFRUCTUEUX",$I1884="ANNULE")),"Clôturé sans suite","En cours")))</f>
        <v/>
      </c>
      <c r="N1884">
        <f>IF(ISBLANK('ENGAGEMENTS 2026'!C1884),"",'ENGAGEMENTS 2026'!L1884)</f>
        <v/>
      </c>
      <c r="O1884">
        <f>IF(ISBLANK('ENGAGEMENTS 2026'!C1884),"",'ENGAGEMENTS 2026'!M1884)</f>
        <v/>
      </c>
      <c r="P1884">
        <f>IF(ISBLANK('ENGAGEMENTS 2026'!C1884),"",'ENGAGEMENTS 2026'!K1884)</f>
        <v/>
      </c>
      <c r="Q1884">
        <f>IF($A1884="","",IF(OR($E1884="INFRUCTUEUX",$E1884="ANNULE"),$A1884&amp;"|"&amp;(COUNTIFS($A$2:$A1884,$A1884,$E$2:$E1884,"INFRUCTUEUX")+COUNTIFS($A$2:$A1884,$A1884,$E$2:$E1884,"ANNULE")),""))</f>
        <v/>
      </c>
    </row>
    <row r="1885">
      <c r="A1885">
        <f>IF(ISBLANK('ENGAGEMENTS 2026'!C1885),"",IF('ENGAGEMENTS 2026'!C1885="DTSI","DCT",'ENGAGEMENTS 2026'!C1885))</f>
        <v/>
      </c>
      <c r="B1885">
        <f>IF(ISBLANK('ENGAGEMENTS 2026'!C1885),"",'ENGAGEMENTS 2026'!D1885)</f>
        <v/>
      </c>
      <c r="C1885">
        <f>IF(ISBLANK('ENGAGEMENTS 2026'!C1885),"",'ENGAGEMENTS 2026'!E1885)</f>
        <v/>
      </c>
      <c r="D1885">
        <f>IF(ISBLANK('ENGAGEMENTS 2026'!C1885),"",'ENGAGEMENTS 2026'!G1885)</f>
        <v/>
      </c>
      <c r="E1885">
        <f>IF(ISBLANK('ENGAGEMENTS 2026'!C1885),"",'ENGAGEMENTS 2026'!I1885)</f>
        <v/>
      </c>
      <c r="F1885">
        <f>IF(ISBLANK('ENGAGEMENTS 2026'!C1885),"",'ENGAGEMENTS 2026'!J1885)</f>
        <v/>
      </c>
      <c r="G1885">
        <f>IF(ISBLANK('ENGAGEMENTS 2026'!C1885),"",'ENGAGEMENTS 2026'!M1885)</f>
        <v/>
      </c>
      <c r="H1885">
        <f>IF(ISBLANK('ENGAGEMENTS 2026'!C1885),"",'ENGAGEMENTS 2026'!AF1885)</f>
        <v/>
      </c>
      <c r="I1885">
        <f>IF(ISBLANK('ENGAGEMENTS 2026'!C1885),"",'ENGAGEMENTS 2026'!H1885)</f>
        <v/>
      </c>
      <c r="J1885" s="275">
        <f>IF(ISBLANK('ENGAGEMENTS 2026'!C1885),"",IF(AND(OR($E1885="INFRUCTUEUX",$E1885="ANNULE"),$C1885="AOO-M"),'ENGAGEMENTS 2026'!P1885,IF($H1885="EN COURS DE PREENGAGEMENT",'ENGAGEMENTS 2026'!O1885,IF($H1885="PREENGAGE",IF($E1885="ATTRIBUE",'ENGAGEMENTS 2026'!AE1885,'ENGAGEMENTS 2026'!O1885),'ENGAGEMENTS 2026'!AE1885))))</f>
        <v/>
      </c>
      <c r="K1885" s="604">
        <f>IF(ISBLANK('ENGAGEMENTS 2026'!W1885),"",'ENGAGEMENTS 2026'!W1885)</f>
        <v/>
      </c>
      <c r="L1885" s="276">
        <f>IF($K1885="","",TODAY()-$K1885)</f>
        <v/>
      </c>
      <c r="M1885">
        <f>IF($A1885="","",IF($H1885="ENGAGE","Engagé",IF(AND($H1885="NON ENGAGE",OR($I1885="INFRUCTUEUX",$I1885="ANNULE")),"Clôturé sans suite","En cours")))</f>
        <v/>
      </c>
      <c r="N1885">
        <f>IF(ISBLANK('ENGAGEMENTS 2026'!C1885),"",'ENGAGEMENTS 2026'!L1885)</f>
        <v/>
      </c>
      <c r="O1885">
        <f>IF(ISBLANK('ENGAGEMENTS 2026'!C1885),"",'ENGAGEMENTS 2026'!M1885)</f>
        <v/>
      </c>
      <c r="P1885">
        <f>IF(ISBLANK('ENGAGEMENTS 2026'!C1885),"",'ENGAGEMENTS 2026'!K1885)</f>
        <v/>
      </c>
      <c r="Q1885">
        <f>IF($A1885="","",IF(OR($E1885="INFRUCTUEUX",$E1885="ANNULE"),$A1885&amp;"|"&amp;(COUNTIFS($A$2:$A1885,$A1885,$E$2:$E1885,"INFRUCTUEUX")+COUNTIFS($A$2:$A1885,$A1885,$E$2:$E1885,"ANNULE")),""))</f>
        <v/>
      </c>
    </row>
    <row r="1886">
      <c r="A1886">
        <f>IF(ISBLANK('ENGAGEMENTS 2026'!C1886),"",IF('ENGAGEMENTS 2026'!C1886="DTSI","DCT",'ENGAGEMENTS 2026'!C1886))</f>
        <v/>
      </c>
      <c r="B1886">
        <f>IF(ISBLANK('ENGAGEMENTS 2026'!C1886),"",'ENGAGEMENTS 2026'!D1886)</f>
        <v/>
      </c>
      <c r="C1886">
        <f>IF(ISBLANK('ENGAGEMENTS 2026'!C1886),"",'ENGAGEMENTS 2026'!E1886)</f>
        <v/>
      </c>
      <c r="D1886">
        <f>IF(ISBLANK('ENGAGEMENTS 2026'!C1886),"",'ENGAGEMENTS 2026'!G1886)</f>
        <v/>
      </c>
      <c r="E1886">
        <f>IF(ISBLANK('ENGAGEMENTS 2026'!C1886),"",'ENGAGEMENTS 2026'!I1886)</f>
        <v/>
      </c>
      <c r="F1886">
        <f>IF(ISBLANK('ENGAGEMENTS 2026'!C1886),"",'ENGAGEMENTS 2026'!J1886)</f>
        <v/>
      </c>
      <c r="G1886">
        <f>IF(ISBLANK('ENGAGEMENTS 2026'!C1886),"",'ENGAGEMENTS 2026'!M1886)</f>
        <v/>
      </c>
      <c r="H1886">
        <f>IF(ISBLANK('ENGAGEMENTS 2026'!C1886),"",'ENGAGEMENTS 2026'!AF1886)</f>
        <v/>
      </c>
      <c r="I1886">
        <f>IF(ISBLANK('ENGAGEMENTS 2026'!C1886),"",'ENGAGEMENTS 2026'!H1886)</f>
        <v/>
      </c>
      <c r="J1886" s="275">
        <f>IF(ISBLANK('ENGAGEMENTS 2026'!C1886),"",IF(AND(OR($E1886="INFRUCTUEUX",$E1886="ANNULE"),$C1886="AOO-M"),'ENGAGEMENTS 2026'!P1886,IF($H1886="EN COURS DE PREENGAGEMENT",'ENGAGEMENTS 2026'!O1886,IF($H1886="PREENGAGE",IF($E1886="ATTRIBUE",'ENGAGEMENTS 2026'!AE1886,'ENGAGEMENTS 2026'!O1886),'ENGAGEMENTS 2026'!AE1886))))</f>
        <v/>
      </c>
      <c r="K1886" s="604">
        <f>IF(ISBLANK('ENGAGEMENTS 2026'!W1886),"",'ENGAGEMENTS 2026'!W1886)</f>
        <v/>
      </c>
      <c r="L1886" s="276">
        <f>IF($K1886="","",TODAY()-$K1886)</f>
        <v/>
      </c>
      <c r="M1886">
        <f>IF($A1886="","",IF($H1886="ENGAGE","Engagé",IF(AND($H1886="NON ENGAGE",OR($I1886="INFRUCTUEUX",$I1886="ANNULE")),"Clôturé sans suite","En cours")))</f>
        <v/>
      </c>
      <c r="N1886">
        <f>IF(ISBLANK('ENGAGEMENTS 2026'!C1886),"",'ENGAGEMENTS 2026'!L1886)</f>
        <v/>
      </c>
      <c r="O1886">
        <f>IF(ISBLANK('ENGAGEMENTS 2026'!C1886),"",'ENGAGEMENTS 2026'!M1886)</f>
        <v/>
      </c>
      <c r="P1886">
        <f>IF(ISBLANK('ENGAGEMENTS 2026'!C1886),"",'ENGAGEMENTS 2026'!K1886)</f>
        <v/>
      </c>
      <c r="Q1886">
        <f>IF($A1886="","",IF(OR($E1886="INFRUCTUEUX",$E1886="ANNULE"),$A1886&amp;"|"&amp;(COUNTIFS($A$2:$A1886,$A1886,$E$2:$E1886,"INFRUCTUEUX")+COUNTIFS($A$2:$A1886,$A1886,$E$2:$E1886,"ANNULE")),""))</f>
        <v/>
      </c>
    </row>
    <row r="1887">
      <c r="A1887">
        <f>IF(ISBLANK('ENGAGEMENTS 2026'!C1887),"",IF('ENGAGEMENTS 2026'!C1887="DTSI","DCT",'ENGAGEMENTS 2026'!C1887))</f>
        <v/>
      </c>
      <c r="B1887">
        <f>IF(ISBLANK('ENGAGEMENTS 2026'!C1887),"",'ENGAGEMENTS 2026'!D1887)</f>
        <v/>
      </c>
      <c r="C1887">
        <f>IF(ISBLANK('ENGAGEMENTS 2026'!C1887),"",'ENGAGEMENTS 2026'!E1887)</f>
        <v/>
      </c>
      <c r="D1887">
        <f>IF(ISBLANK('ENGAGEMENTS 2026'!C1887),"",'ENGAGEMENTS 2026'!G1887)</f>
        <v/>
      </c>
      <c r="E1887">
        <f>IF(ISBLANK('ENGAGEMENTS 2026'!C1887),"",'ENGAGEMENTS 2026'!I1887)</f>
        <v/>
      </c>
      <c r="F1887">
        <f>IF(ISBLANK('ENGAGEMENTS 2026'!C1887),"",'ENGAGEMENTS 2026'!J1887)</f>
        <v/>
      </c>
      <c r="G1887">
        <f>IF(ISBLANK('ENGAGEMENTS 2026'!C1887),"",'ENGAGEMENTS 2026'!M1887)</f>
        <v/>
      </c>
      <c r="H1887">
        <f>IF(ISBLANK('ENGAGEMENTS 2026'!C1887),"",'ENGAGEMENTS 2026'!AF1887)</f>
        <v/>
      </c>
      <c r="I1887">
        <f>IF(ISBLANK('ENGAGEMENTS 2026'!C1887),"",'ENGAGEMENTS 2026'!H1887)</f>
        <v/>
      </c>
      <c r="J1887" s="275">
        <f>IF(ISBLANK('ENGAGEMENTS 2026'!C1887),"",IF(AND(OR($E1887="INFRUCTUEUX",$E1887="ANNULE"),$C1887="AOO-M"),'ENGAGEMENTS 2026'!P1887,IF($H1887="EN COURS DE PREENGAGEMENT",'ENGAGEMENTS 2026'!O1887,IF($H1887="PREENGAGE",IF($E1887="ATTRIBUE",'ENGAGEMENTS 2026'!AE1887,'ENGAGEMENTS 2026'!O1887),'ENGAGEMENTS 2026'!AE1887))))</f>
        <v/>
      </c>
      <c r="K1887" s="604">
        <f>IF(ISBLANK('ENGAGEMENTS 2026'!W1887),"",'ENGAGEMENTS 2026'!W1887)</f>
        <v/>
      </c>
      <c r="L1887" s="276">
        <f>IF($K1887="","",TODAY()-$K1887)</f>
        <v/>
      </c>
      <c r="M1887">
        <f>IF($A1887="","",IF($H1887="ENGAGE","Engagé",IF(AND($H1887="NON ENGAGE",OR($I1887="INFRUCTUEUX",$I1887="ANNULE")),"Clôturé sans suite","En cours")))</f>
        <v/>
      </c>
      <c r="N1887">
        <f>IF(ISBLANK('ENGAGEMENTS 2026'!C1887),"",'ENGAGEMENTS 2026'!L1887)</f>
        <v/>
      </c>
      <c r="O1887">
        <f>IF(ISBLANK('ENGAGEMENTS 2026'!C1887),"",'ENGAGEMENTS 2026'!M1887)</f>
        <v/>
      </c>
      <c r="P1887">
        <f>IF(ISBLANK('ENGAGEMENTS 2026'!C1887),"",'ENGAGEMENTS 2026'!K1887)</f>
        <v/>
      </c>
      <c r="Q1887">
        <f>IF($A1887="","",IF(OR($E1887="INFRUCTUEUX",$E1887="ANNULE"),$A1887&amp;"|"&amp;(COUNTIFS($A$2:$A1887,$A1887,$E$2:$E1887,"INFRUCTUEUX")+COUNTIFS($A$2:$A1887,$A1887,$E$2:$E1887,"ANNULE")),""))</f>
        <v/>
      </c>
    </row>
    <row r="1888">
      <c r="A1888">
        <f>IF(ISBLANK('ENGAGEMENTS 2026'!C1888),"",IF('ENGAGEMENTS 2026'!C1888="DTSI","DCT",'ENGAGEMENTS 2026'!C1888))</f>
        <v/>
      </c>
      <c r="B1888">
        <f>IF(ISBLANK('ENGAGEMENTS 2026'!C1888),"",'ENGAGEMENTS 2026'!D1888)</f>
        <v/>
      </c>
      <c r="C1888">
        <f>IF(ISBLANK('ENGAGEMENTS 2026'!C1888),"",'ENGAGEMENTS 2026'!E1888)</f>
        <v/>
      </c>
      <c r="D1888">
        <f>IF(ISBLANK('ENGAGEMENTS 2026'!C1888),"",'ENGAGEMENTS 2026'!G1888)</f>
        <v/>
      </c>
      <c r="E1888">
        <f>IF(ISBLANK('ENGAGEMENTS 2026'!C1888),"",'ENGAGEMENTS 2026'!I1888)</f>
        <v/>
      </c>
      <c r="F1888">
        <f>IF(ISBLANK('ENGAGEMENTS 2026'!C1888),"",'ENGAGEMENTS 2026'!J1888)</f>
        <v/>
      </c>
      <c r="G1888">
        <f>IF(ISBLANK('ENGAGEMENTS 2026'!C1888),"",'ENGAGEMENTS 2026'!M1888)</f>
        <v/>
      </c>
      <c r="H1888">
        <f>IF(ISBLANK('ENGAGEMENTS 2026'!C1888),"",'ENGAGEMENTS 2026'!AF1888)</f>
        <v/>
      </c>
      <c r="I1888">
        <f>IF(ISBLANK('ENGAGEMENTS 2026'!C1888),"",'ENGAGEMENTS 2026'!H1888)</f>
        <v/>
      </c>
      <c r="J1888" s="275">
        <f>IF(ISBLANK('ENGAGEMENTS 2026'!C1888),"",IF(AND(OR($E1888="INFRUCTUEUX",$E1888="ANNULE"),$C1888="AOO-M"),'ENGAGEMENTS 2026'!P1888,IF($H1888="EN COURS DE PREENGAGEMENT",'ENGAGEMENTS 2026'!O1888,IF($H1888="PREENGAGE",IF($E1888="ATTRIBUE",'ENGAGEMENTS 2026'!AE1888,'ENGAGEMENTS 2026'!O1888),'ENGAGEMENTS 2026'!AE1888))))</f>
        <v/>
      </c>
      <c r="K1888" s="604">
        <f>IF(ISBLANK('ENGAGEMENTS 2026'!W1888),"",'ENGAGEMENTS 2026'!W1888)</f>
        <v/>
      </c>
      <c r="L1888" s="276">
        <f>IF($K1888="","",TODAY()-$K1888)</f>
        <v/>
      </c>
      <c r="M1888">
        <f>IF($A1888="","",IF($H1888="ENGAGE","Engagé",IF(AND($H1888="NON ENGAGE",OR($I1888="INFRUCTUEUX",$I1888="ANNULE")),"Clôturé sans suite","En cours")))</f>
        <v/>
      </c>
      <c r="N1888">
        <f>IF(ISBLANK('ENGAGEMENTS 2026'!C1888),"",'ENGAGEMENTS 2026'!L1888)</f>
        <v/>
      </c>
      <c r="O1888">
        <f>IF(ISBLANK('ENGAGEMENTS 2026'!C1888),"",'ENGAGEMENTS 2026'!M1888)</f>
        <v/>
      </c>
      <c r="P1888">
        <f>IF(ISBLANK('ENGAGEMENTS 2026'!C1888),"",'ENGAGEMENTS 2026'!K1888)</f>
        <v/>
      </c>
      <c r="Q1888">
        <f>IF($A1888="","",IF(OR($E1888="INFRUCTUEUX",$E1888="ANNULE"),$A1888&amp;"|"&amp;(COUNTIFS($A$2:$A1888,$A1888,$E$2:$E1888,"INFRUCTUEUX")+COUNTIFS($A$2:$A1888,$A1888,$E$2:$E1888,"ANNULE")),""))</f>
        <v/>
      </c>
    </row>
    <row r="1889">
      <c r="A1889">
        <f>IF(ISBLANK('ENGAGEMENTS 2026'!C1889),"",IF('ENGAGEMENTS 2026'!C1889="DTSI","DCT",'ENGAGEMENTS 2026'!C1889))</f>
        <v/>
      </c>
      <c r="B1889">
        <f>IF(ISBLANK('ENGAGEMENTS 2026'!C1889),"",'ENGAGEMENTS 2026'!D1889)</f>
        <v/>
      </c>
      <c r="C1889">
        <f>IF(ISBLANK('ENGAGEMENTS 2026'!C1889),"",'ENGAGEMENTS 2026'!E1889)</f>
        <v/>
      </c>
      <c r="D1889">
        <f>IF(ISBLANK('ENGAGEMENTS 2026'!C1889),"",'ENGAGEMENTS 2026'!G1889)</f>
        <v/>
      </c>
      <c r="E1889">
        <f>IF(ISBLANK('ENGAGEMENTS 2026'!C1889),"",'ENGAGEMENTS 2026'!I1889)</f>
        <v/>
      </c>
      <c r="F1889">
        <f>IF(ISBLANK('ENGAGEMENTS 2026'!C1889),"",'ENGAGEMENTS 2026'!J1889)</f>
        <v/>
      </c>
      <c r="G1889">
        <f>IF(ISBLANK('ENGAGEMENTS 2026'!C1889),"",'ENGAGEMENTS 2026'!M1889)</f>
        <v/>
      </c>
      <c r="H1889">
        <f>IF(ISBLANK('ENGAGEMENTS 2026'!C1889),"",'ENGAGEMENTS 2026'!AF1889)</f>
        <v/>
      </c>
      <c r="I1889">
        <f>IF(ISBLANK('ENGAGEMENTS 2026'!C1889),"",'ENGAGEMENTS 2026'!H1889)</f>
        <v/>
      </c>
      <c r="J1889" s="275">
        <f>IF(ISBLANK('ENGAGEMENTS 2026'!C1889),"",IF(AND(OR($E1889="INFRUCTUEUX",$E1889="ANNULE"),$C1889="AOO-M"),'ENGAGEMENTS 2026'!P1889,IF($H1889="EN COURS DE PREENGAGEMENT",'ENGAGEMENTS 2026'!O1889,IF($H1889="PREENGAGE",IF($E1889="ATTRIBUE",'ENGAGEMENTS 2026'!AE1889,'ENGAGEMENTS 2026'!O1889),'ENGAGEMENTS 2026'!AE1889))))</f>
        <v/>
      </c>
      <c r="K1889" s="604">
        <f>IF(ISBLANK('ENGAGEMENTS 2026'!W1889),"",'ENGAGEMENTS 2026'!W1889)</f>
        <v/>
      </c>
      <c r="L1889" s="276">
        <f>IF($K1889="","",TODAY()-$K1889)</f>
        <v/>
      </c>
      <c r="M1889">
        <f>IF($A1889="","",IF($H1889="ENGAGE","Engagé",IF(AND($H1889="NON ENGAGE",OR($I1889="INFRUCTUEUX",$I1889="ANNULE")),"Clôturé sans suite","En cours")))</f>
        <v/>
      </c>
      <c r="N1889">
        <f>IF(ISBLANK('ENGAGEMENTS 2026'!C1889),"",'ENGAGEMENTS 2026'!L1889)</f>
        <v/>
      </c>
      <c r="O1889">
        <f>IF(ISBLANK('ENGAGEMENTS 2026'!C1889),"",'ENGAGEMENTS 2026'!M1889)</f>
        <v/>
      </c>
      <c r="P1889">
        <f>IF(ISBLANK('ENGAGEMENTS 2026'!C1889),"",'ENGAGEMENTS 2026'!K1889)</f>
        <v/>
      </c>
      <c r="Q1889">
        <f>IF($A1889="","",IF(OR($E1889="INFRUCTUEUX",$E1889="ANNULE"),$A1889&amp;"|"&amp;(COUNTIFS($A$2:$A1889,$A1889,$E$2:$E1889,"INFRUCTUEUX")+COUNTIFS($A$2:$A1889,$A1889,$E$2:$E1889,"ANNULE")),""))</f>
        <v/>
      </c>
    </row>
    <row r="1890">
      <c r="A1890">
        <f>IF(ISBLANK('ENGAGEMENTS 2026'!C1890),"",IF('ENGAGEMENTS 2026'!C1890="DTSI","DCT",'ENGAGEMENTS 2026'!C1890))</f>
        <v/>
      </c>
      <c r="B1890">
        <f>IF(ISBLANK('ENGAGEMENTS 2026'!C1890),"",'ENGAGEMENTS 2026'!D1890)</f>
        <v/>
      </c>
      <c r="C1890">
        <f>IF(ISBLANK('ENGAGEMENTS 2026'!C1890),"",'ENGAGEMENTS 2026'!E1890)</f>
        <v/>
      </c>
      <c r="D1890">
        <f>IF(ISBLANK('ENGAGEMENTS 2026'!C1890),"",'ENGAGEMENTS 2026'!G1890)</f>
        <v/>
      </c>
      <c r="E1890">
        <f>IF(ISBLANK('ENGAGEMENTS 2026'!C1890),"",'ENGAGEMENTS 2026'!I1890)</f>
        <v/>
      </c>
      <c r="F1890">
        <f>IF(ISBLANK('ENGAGEMENTS 2026'!C1890),"",'ENGAGEMENTS 2026'!J1890)</f>
        <v/>
      </c>
      <c r="G1890">
        <f>IF(ISBLANK('ENGAGEMENTS 2026'!C1890),"",'ENGAGEMENTS 2026'!M1890)</f>
        <v/>
      </c>
      <c r="H1890">
        <f>IF(ISBLANK('ENGAGEMENTS 2026'!C1890),"",'ENGAGEMENTS 2026'!AF1890)</f>
        <v/>
      </c>
      <c r="I1890">
        <f>IF(ISBLANK('ENGAGEMENTS 2026'!C1890),"",'ENGAGEMENTS 2026'!H1890)</f>
        <v/>
      </c>
      <c r="J1890" s="275">
        <f>IF(ISBLANK('ENGAGEMENTS 2026'!C1890),"",IF(AND(OR($E1890="INFRUCTUEUX",$E1890="ANNULE"),$C1890="AOO-M"),'ENGAGEMENTS 2026'!P1890,IF($H1890="EN COURS DE PREENGAGEMENT",'ENGAGEMENTS 2026'!O1890,IF($H1890="PREENGAGE",IF($E1890="ATTRIBUE",'ENGAGEMENTS 2026'!AE1890,'ENGAGEMENTS 2026'!O1890),'ENGAGEMENTS 2026'!AE1890))))</f>
        <v/>
      </c>
      <c r="K1890" s="604">
        <f>IF(ISBLANK('ENGAGEMENTS 2026'!W1890),"",'ENGAGEMENTS 2026'!W1890)</f>
        <v/>
      </c>
      <c r="L1890" s="276">
        <f>IF($K1890="","",TODAY()-$K1890)</f>
        <v/>
      </c>
      <c r="M1890">
        <f>IF($A1890="","",IF($H1890="ENGAGE","Engagé",IF(AND($H1890="NON ENGAGE",OR($I1890="INFRUCTUEUX",$I1890="ANNULE")),"Clôturé sans suite","En cours")))</f>
        <v/>
      </c>
      <c r="N1890">
        <f>IF(ISBLANK('ENGAGEMENTS 2026'!C1890),"",'ENGAGEMENTS 2026'!L1890)</f>
        <v/>
      </c>
      <c r="O1890">
        <f>IF(ISBLANK('ENGAGEMENTS 2026'!C1890),"",'ENGAGEMENTS 2026'!M1890)</f>
        <v/>
      </c>
      <c r="P1890">
        <f>IF(ISBLANK('ENGAGEMENTS 2026'!C1890),"",'ENGAGEMENTS 2026'!K1890)</f>
        <v/>
      </c>
      <c r="Q1890">
        <f>IF($A1890="","",IF(OR($E1890="INFRUCTUEUX",$E1890="ANNULE"),$A1890&amp;"|"&amp;(COUNTIFS($A$2:$A1890,$A1890,$E$2:$E1890,"INFRUCTUEUX")+COUNTIFS($A$2:$A1890,$A1890,$E$2:$E1890,"ANNULE")),""))</f>
        <v/>
      </c>
    </row>
    <row r="1891">
      <c r="A1891">
        <f>IF(ISBLANK('ENGAGEMENTS 2026'!C1891),"",IF('ENGAGEMENTS 2026'!C1891="DTSI","DCT",'ENGAGEMENTS 2026'!C1891))</f>
        <v/>
      </c>
      <c r="B1891">
        <f>IF(ISBLANK('ENGAGEMENTS 2026'!C1891),"",'ENGAGEMENTS 2026'!D1891)</f>
        <v/>
      </c>
      <c r="C1891">
        <f>IF(ISBLANK('ENGAGEMENTS 2026'!C1891),"",'ENGAGEMENTS 2026'!E1891)</f>
        <v/>
      </c>
      <c r="D1891">
        <f>IF(ISBLANK('ENGAGEMENTS 2026'!C1891),"",'ENGAGEMENTS 2026'!G1891)</f>
        <v/>
      </c>
      <c r="E1891">
        <f>IF(ISBLANK('ENGAGEMENTS 2026'!C1891),"",'ENGAGEMENTS 2026'!I1891)</f>
        <v/>
      </c>
      <c r="F1891">
        <f>IF(ISBLANK('ENGAGEMENTS 2026'!C1891),"",'ENGAGEMENTS 2026'!J1891)</f>
        <v/>
      </c>
      <c r="G1891">
        <f>IF(ISBLANK('ENGAGEMENTS 2026'!C1891),"",'ENGAGEMENTS 2026'!M1891)</f>
        <v/>
      </c>
      <c r="H1891">
        <f>IF(ISBLANK('ENGAGEMENTS 2026'!C1891),"",'ENGAGEMENTS 2026'!AF1891)</f>
        <v/>
      </c>
      <c r="I1891">
        <f>IF(ISBLANK('ENGAGEMENTS 2026'!C1891),"",'ENGAGEMENTS 2026'!H1891)</f>
        <v/>
      </c>
      <c r="J1891" s="275">
        <f>IF(ISBLANK('ENGAGEMENTS 2026'!C1891),"",IF(AND(OR($E1891="INFRUCTUEUX",$E1891="ANNULE"),$C1891="AOO-M"),'ENGAGEMENTS 2026'!P1891,IF($H1891="EN COURS DE PREENGAGEMENT",'ENGAGEMENTS 2026'!O1891,IF($H1891="PREENGAGE",IF($E1891="ATTRIBUE",'ENGAGEMENTS 2026'!AE1891,'ENGAGEMENTS 2026'!O1891),'ENGAGEMENTS 2026'!AE1891))))</f>
        <v/>
      </c>
      <c r="K1891" s="604">
        <f>IF(ISBLANK('ENGAGEMENTS 2026'!W1891),"",'ENGAGEMENTS 2026'!W1891)</f>
        <v/>
      </c>
      <c r="L1891" s="276">
        <f>IF($K1891="","",TODAY()-$K1891)</f>
        <v/>
      </c>
      <c r="M1891">
        <f>IF($A1891="","",IF($H1891="ENGAGE","Engagé",IF(AND($H1891="NON ENGAGE",OR($I1891="INFRUCTUEUX",$I1891="ANNULE")),"Clôturé sans suite","En cours")))</f>
        <v/>
      </c>
      <c r="N1891">
        <f>IF(ISBLANK('ENGAGEMENTS 2026'!C1891),"",'ENGAGEMENTS 2026'!L1891)</f>
        <v/>
      </c>
      <c r="O1891">
        <f>IF(ISBLANK('ENGAGEMENTS 2026'!C1891),"",'ENGAGEMENTS 2026'!M1891)</f>
        <v/>
      </c>
      <c r="P1891">
        <f>IF(ISBLANK('ENGAGEMENTS 2026'!C1891),"",'ENGAGEMENTS 2026'!K1891)</f>
        <v/>
      </c>
      <c r="Q1891">
        <f>IF($A1891="","",IF(OR($E1891="INFRUCTUEUX",$E1891="ANNULE"),$A1891&amp;"|"&amp;(COUNTIFS($A$2:$A1891,$A1891,$E$2:$E1891,"INFRUCTUEUX")+COUNTIFS($A$2:$A1891,$A1891,$E$2:$E1891,"ANNULE")),""))</f>
        <v/>
      </c>
    </row>
    <row r="1892">
      <c r="A1892">
        <f>IF(ISBLANK('ENGAGEMENTS 2026'!C1892),"",IF('ENGAGEMENTS 2026'!C1892="DTSI","DCT",'ENGAGEMENTS 2026'!C1892))</f>
        <v/>
      </c>
      <c r="B1892">
        <f>IF(ISBLANK('ENGAGEMENTS 2026'!C1892),"",'ENGAGEMENTS 2026'!D1892)</f>
        <v/>
      </c>
      <c r="C1892">
        <f>IF(ISBLANK('ENGAGEMENTS 2026'!C1892),"",'ENGAGEMENTS 2026'!E1892)</f>
        <v/>
      </c>
      <c r="D1892">
        <f>IF(ISBLANK('ENGAGEMENTS 2026'!C1892),"",'ENGAGEMENTS 2026'!G1892)</f>
        <v/>
      </c>
      <c r="E1892">
        <f>IF(ISBLANK('ENGAGEMENTS 2026'!C1892),"",'ENGAGEMENTS 2026'!I1892)</f>
        <v/>
      </c>
      <c r="F1892">
        <f>IF(ISBLANK('ENGAGEMENTS 2026'!C1892),"",'ENGAGEMENTS 2026'!J1892)</f>
        <v/>
      </c>
      <c r="G1892">
        <f>IF(ISBLANK('ENGAGEMENTS 2026'!C1892),"",'ENGAGEMENTS 2026'!M1892)</f>
        <v/>
      </c>
      <c r="H1892">
        <f>IF(ISBLANK('ENGAGEMENTS 2026'!C1892),"",'ENGAGEMENTS 2026'!AF1892)</f>
        <v/>
      </c>
      <c r="I1892">
        <f>IF(ISBLANK('ENGAGEMENTS 2026'!C1892),"",'ENGAGEMENTS 2026'!H1892)</f>
        <v/>
      </c>
      <c r="J1892" s="275">
        <f>IF(ISBLANK('ENGAGEMENTS 2026'!C1892),"",IF(AND(OR($E1892="INFRUCTUEUX",$E1892="ANNULE"),$C1892="AOO-M"),'ENGAGEMENTS 2026'!P1892,IF($H1892="EN COURS DE PREENGAGEMENT",'ENGAGEMENTS 2026'!O1892,IF($H1892="PREENGAGE",IF($E1892="ATTRIBUE",'ENGAGEMENTS 2026'!AE1892,'ENGAGEMENTS 2026'!O1892),'ENGAGEMENTS 2026'!AE1892))))</f>
        <v/>
      </c>
      <c r="K1892" s="604">
        <f>IF(ISBLANK('ENGAGEMENTS 2026'!W1892),"",'ENGAGEMENTS 2026'!W1892)</f>
        <v/>
      </c>
      <c r="L1892" s="276">
        <f>IF($K1892="","",TODAY()-$K1892)</f>
        <v/>
      </c>
      <c r="M1892">
        <f>IF($A1892="","",IF($H1892="ENGAGE","Engagé",IF(AND($H1892="NON ENGAGE",OR($I1892="INFRUCTUEUX",$I1892="ANNULE")),"Clôturé sans suite","En cours")))</f>
        <v/>
      </c>
      <c r="N1892">
        <f>IF(ISBLANK('ENGAGEMENTS 2026'!C1892),"",'ENGAGEMENTS 2026'!L1892)</f>
        <v/>
      </c>
      <c r="O1892">
        <f>IF(ISBLANK('ENGAGEMENTS 2026'!C1892),"",'ENGAGEMENTS 2026'!M1892)</f>
        <v/>
      </c>
      <c r="P1892">
        <f>IF(ISBLANK('ENGAGEMENTS 2026'!C1892),"",'ENGAGEMENTS 2026'!K1892)</f>
        <v/>
      </c>
      <c r="Q1892">
        <f>IF($A1892="","",IF(OR($E1892="INFRUCTUEUX",$E1892="ANNULE"),$A1892&amp;"|"&amp;(COUNTIFS($A$2:$A1892,$A1892,$E$2:$E1892,"INFRUCTUEUX")+COUNTIFS($A$2:$A1892,$A1892,$E$2:$E1892,"ANNULE")),""))</f>
        <v/>
      </c>
    </row>
    <row r="1893">
      <c r="A1893">
        <f>IF(ISBLANK('ENGAGEMENTS 2026'!C1893),"",IF('ENGAGEMENTS 2026'!C1893="DTSI","DCT",'ENGAGEMENTS 2026'!C1893))</f>
        <v/>
      </c>
      <c r="B1893">
        <f>IF(ISBLANK('ENGAGEMENTS 2026'!C1893),"",'ENGAGEMENTS 2026'!D1893)</f>
        <v/>
      </c>
      <c r="C1893">
        <f>IF(ISBLANK('ENGAGEMENTS 2026'!C1893),"",'ENGAGEMENTS 2026'!E1893)</f>
        <v/>
      </c>
      <c r="D1893">
        <f>IF(ISBLANK('ENGAGEMENTS 2026'!C1893),"",'ENGAGEMENTS 2026'!G1893)</f>
        <v/>
      </c>
      <c r="E1893">
        <f>IF(ISBLANK('ENGAGEMENTS 2026'!C1893),"",'ENGAGEMENTS 2026'!I1893)</f>
        <v/>
      </c>
      <c r="F1893">
        <f>IF(ISBLANK('ENGAGEMENTS 2026'!C1893),"",'ENGAGEMENTS 2026'!J1893)</f>
        <v/>
      </c>
      <c r="G1893">
        <f>IF(ISBLANK('ENGAGEMENTS 2026'!C1893),"",'ENGAGEMENTS 2026'!M1893)</f>
        <v/>
      </c>
      <c r="H1893">
        <f>IF(ISBLANK('ENGAGEMENTS 2026'!C1893),"",'ENGAGEMENTS 2026'!AF1893)</f>
        <v/>
      </c>
      <c r="I1893">
        <f>IF(ISBLANK('ENGAGEMENTS 2026'!C1893),"",'ENGAGEMENTS 2026'!H1893)</f>
        <v/>
      </c>
      <c r="J1893" s="275">
        <f>IF(ISBLANK('ENGAGEMENTS 2026'!C1893),"",IF(AND(OR($E1893="INFRUCTUEUX",$E1893="ANNULE"),$C1893="AOO-M"),'ENGAGEMENTS 2026'!P1893,IF($H1893="EN COURS DE PREENGAGEMENT",'ENGAGEMENTS 2026'!O1893,IF($H1893="PREENGAGE",IF($E1893="ATTRIBUE",'ENGAGEMENTS 2026'!AE1893,'ENGAGEMENTS 2026'!O1893),'ENGAGEMENTS 2026'!AE1893))))</f>
        <v/>
      </c>
      <c r="K1893" s="604">
        <f>IF(ISBLANK('ENGAGEMENTS 2026'!W1893),"",'ENGAGEMENTS 2026'!W1893)</f>
        <v/>
      </c>
      <c r="L1893" s="276">
        <f>IF($K1893="","",TODAY()-$K1893)</f>
        <v/>
      </c>
      <c r="M1893">
        <f>IF($A1893="","",IF($H1893="ENGAGE","Engagé",IF(AND($H1893="NON ENGAGE",OR($I1893="INFRUCTUEUX",$I1893="ANNULE")),"Clôturé sans suite","En cours")))</f>
        <v/>
      </c>
      <c r="N1893">
        <f>IF(ISBLANK('ENGAGEMENTS 2026'!C1893),"",'ENGAGEMENTS 2026'!L1893)</f>
        <v/>
      </c>
      <c r="O1893">
        <f>IF(ISBLANK('ENGAGEMENTS 2026'!C1893),"",'ENGAGEMENTS 2026'!M1893)</f>
        <v/>
      </c>
      <c r="P1893">
        <f>IF(ISBLANK('ENGAGEMENTS 2026'!C1893),"",'ENGAGEMENTS 2026'!K1893)</f>
        <v/>
      </c>
      <c r="Q1893">
        <f>IF($A1893="","",IF(OR($E1893="INFRUCTUEUX",$E1893="ANNULE"),$A1893&amp;"|"&amp;(COUNTIFS($A$2:$A1893,$A1893,$E$2:$E1893,"INFRUCTUEUX")+COUNTIFS($A$2:$A1893,$A1893,$E$2:$E1893,"ANNULE")),""))</f>
        <v/>
      </c>
    </row>
    <row r="1894">
      <c r="A1894">
        <f>IF(ISBLANK('ENGAGEMENTS 2026'!C1894),"",IF('ENGAGEMENTS 2026'!C1894="DTSI","DCT",'ENGAGEMENTS 2026'!C1894))</f>
        <v/>
      </c>
      <c r="B1894">
        <f>IF(ISBLANK('ENGAGEMENTS 2026'!C1894),"",'ENGAGEMENTS 2026'!D1894)</f>
        <v/>
      </c>
      <c r="C1894">
        <f>IF(ISBLANK('ENGAGEMENTS 2026'!C1894),"",'ENGAGEMENTS 2026'!E1894)</f>
        <v/>
      </c>
      <c r="D1894">
        <f>IF(ISBLANK('ENGAGEMENTS 2026'!C1894),"",'ENGAGEMENTS 2026'!G1894)</f>
        <v/>
      </c>
      <c r="E1894">
        <f>IF(ISBLANK('ENGAGEMENTS 2026'!C1894),"",'ENGAGEMENTS 2026'!I1894)</f>
        <v/>
      </c>
      <c r="F1894">
        <f>IF(ISBLANK('ENGAGEMENTS 2026'!C1894),"",'ENGAGEMENTS 2026'!J1894)</f>
        <v/>
      </c>
      <c r="G1894">
        <f>IF(ISBLANK('ENGAGEMENTS 2026'!C1894),"",'ENGAGEMENTS 2026'!M1894)</f>
        <v/>
      </c>
      <c r="H1894">
        <f>IF(ISBLANK('ENGAGEMENTS 2026'!C1894),"",'ENGAGEMENTS 2026'!AF1894)</f>
        <v/>
      </c>
      <c r="I1894">
        <f>IF(ISBLANK('ENGAGEMENTS 2026'!C1894),"",'ENGAGEMENTS 2026'!H1894)</f>
        <v/>
      </c>
      <c r="J1894" s="275">
        <f>IF(ISBLANK('ENGAGEMENTS 2026'!C1894),"",IF(AND(OR($E1894="INFRUCTUEUX",$E1894="ANNULE"),$C1894="AOO-M"),'ENGAGEMENTS 2026'!P1894,IF($H1894="EN COURS DE PREENGAGEMENT",'ENGAGEMENTS 2026'!O1894,IF($H1894="PREENGAGE",IF($E1894="ATTRIBUE",'ENGAGEMENTS 2026'!AE1894,'ENGAGEMENTS 2026'!O1894),'ENGAGEMENTS 2026'!AE1894))))</f>
        <v/>
      </c>
      <c r="K1894" s="604">
        <f>IF(ISBLANK('ENGAGEMENTS 2026'!W1894),"",'ENGAGEMENTS 2026'!W1894)</f>
        <v/>
      </c>
      <c r="L1894" s="276">
        <f>IF($K1894="","",TODAY()-$K1894)</f>
        <v/>
      </c>
      <c r="M1894">
        <f>IF($A1894="","",IF($H1894="ENGAGE","Engagé",IF(AND($H1894="NON ENGAGE",OR($I1894="INFRUCTUEUX",$I1894="ANNULE")),"Clôturé sans suite","En cours")))</f>
        <v/>
      </c>
      <c r="N1894">
        <f>IF(ISBLANK('ENGAGEMENTS 2026'!C1894),"",'ENGAGEMENTS 2026'!L1894)</f>
        <v/>
      </c>
      <c r="O1894">
        <f>IF(ISBLANK('ENGAGEMENTS 2026'!C1894),"",'ENGAGEMENTS 2026'!M1894)</f>
        <v/>
      </c>
      <c r="P1894">
        <f>IF(ISBLANK('ENGAGEMENTS 2026'!C1894),"",'ENGAGEMENTS 2026'!K1894)</f>
        <v/>
      </c>
      <c r="Q1894">
        <f>IF($A1894="","",IF(OR($E1894="INFRUCTUEUX",$E1894="ANNULE"),$A1894&amp;"|"&amp;(COUNTIFS($A$2:$A1894,$A1894,$E$2:$E1894,"INFRUCTUEUX")+COUNTIFS($A$2:$A1894,$A1894,$E$2:$E1894,"ANNULE")),""))</f>
        <v/>
      </c>
    </row>
    <row r="1895">
      <c r="A1895">
        <f>IF(ISBLANK('ENGAGEMENTS 2026'!C1895),"",IF('ENGAGEMENTS 2026'!C1895="DTSI","DCT",'ENGAGEMENTS 2026'!C1895))</f>
        <v/>
      </c>
      <c r="B1895">
        <f>IF(ISBLANK('ENGAGEMENTS 2026'!C1895),"",'ENGAGEMENTS 2026'!D1895)</f>
        <v/>
      </c>
      <c r="C1895">
        <f>IF(ISBLANK('ENGAGEMENTS 2026'!C1895),"",'ENGAGEMENTS 2026'!E1895)</f>
        <v/>
      </c>
      <c r="D1895">
        <f>IF(ISBLANK('ENGAGEMENTS 2026'!C1895),"",'ENGAGEMENTS 2026'!G1895)</f>
        <v/>
      </c>
      <c r="E1895">
        <f>IF(ISBLANK('ENGAGEMENTS 2026'!C1895),"",'ENGAGEMENTS 2026'!I1895)</f>
        <v/>
      </c>
      <c r="F1895">
        <f>IF(ISBLANK('ENGAGEMENTS 2026'!C1895),"",'ENGAGEMENTS 2026'!J1895)</f>
        <v/>
      </c>
      <c r="G1895">
        <f>IF(ISBLANK('ENGAGEMENTS 2026'!C1895),"",'ENGAGEMENTS 2026'!M1895)</f>
        <v/>
      </c>
      <c r="H1895">
        <f>IF(ISBLANK('ENGAGEMENTS 2026'!C1895),"",'ENGAGEMENTS 2026'!AF1895)</f>
        <v/>
      </c>
      <c r="I1895">
        <f>IF(ISBLANK('ENGAGEMENTS 2026'!C1895),"",'ENGAGEMENTS 2026'!H1895)</f>
        <v/>
      </c>
      <c r="J1895" s="275">
        <f>IF(ISBLANK('ENGAGEMENTS 2026'!C1895),"",IF(AND(OR($E1895="INFRUCTUEUX",$E1895="ANNULE"),$C1895="AOO-M"),'ENGAGEMENTS 2026'!P1895,IF($H1895="EN COURS DE PREENGAGEMENT",'ENGAGEMENTS 2026'!O1895,IF($H1895="PREENGAGE",IF($E1895="ATTRIBUE",'ENGAGEMENTS 2026'!AE1895,'ENGAGEMENTS 2026'!O1895),'ENGAGEMENTS 2026'!AE1895))))</f>
        <v/>
      </c>
      <c r="K1895" s="604">
        <f>IF(ISBLANK('ENGAGEMENTS 2026'!W1895),"",'ENGAGEMENTS 2026'!W1895)</f>
        <v/>
      </c>
      <c r="L1895" s="276">
        <f>IF($K1895="","",TODAY()-$K1895)</f>
        <v/>
      </c>
      <c r="M1895">
        <f>IF($A1895="","",IF($H1895="ENGAGE","Engagé",IF(AND($H1895="NON ENGAGE",OR($I1895="INFRUCTUEUX",$I1895="ANNULE")),"Clôturé sans suite","En cours")))</f>
        <v/>
      </c>
      <c r="N1895">
        <f>IF(ISBLANK('ENGAGEMENTS 2026'!C1895),"",'ENGAGEMENTS 2026'!L1895)</f>
        <v/>
      </c>
      <c r="O1895">
        <f>IF(ISBLANK('ENGAGEMENTS 2026'!C1895),"",'ENGAGEMENTS 2026'!M1895)</f>
        <v/>
      </c>
      <c r="P1895">
        <f>IF(ISBLANK('ENGAGEMENTS 2026'!C1895),"",'ENGAGEMENTS 2026'!K1895)</f>
        <v/>
      </c>
      <c r="Q1895">
        <f>IF($A1895="","",IF(OR($E1895="INFRUCTUEUX",$E1895="ANNULE"),$A1895&amp;"|"&amp;(COUNTIFS($A$2:$A1895,$A1895,$E$2:$E1895,"INFRUCTUEUX")+COUNTIFS($A$2:$A1895,$A1895,$E$2:$E1895,"ANNULE")),""))</f>
        <v/>
      </c>
    </row>
    <row r="1896">
      <c r="A1896">
        <f>IF(ISBLANK('ENGAGEMENTS 2026'!C1896),"",IF('ENGAGEMENTS 2026'!C1896="DTSI","DCT",'ENGAGEMENTS 2026'!C1896))</f>
        <v/>
      </c>
      <c r="B1896">
        <f>IF(ISBLANK('ENGAGEMENTS 2026'!C1896),"",'ENGAGEMENTS 2026'!D1896)</f>
        <v/>
      </c>
      <c r="C1896">
        <f>IF(ISBLANK('ENGAGEMENTS 2026'!C1896),"",'ENGAGEMENTS 2026'!E1896)</f>
        <v/>
      </c>
      <c r="D1896">
        <f>IF(ISBLANK('ENGAGEMENTS 2026'!C1896),"",'ENGAGEMENTS 2026'!G1896)</f>
        <v/>
      </c>
      <c r="E1896">
        <f>IF(ISBLANK('ENGAGEMENTS 2026'!C1896),"",'ENGAGEMENTS 2026'!I1896)</f>
        <v/>
      </c>
      <c r="F1896">
        <f>IF(ISBLANK('ENGAGEMENTS 2026'!C1896),"",'ENGAGEMENTS 2026'!J1896)</f>
        <v/>
      </c>
      <c r="G1896">
        <f>IF(ISBLANK('ENGAGEMENTS 2026'!C1896),"",'ENGAGEMENTS 2026'!M1896)</f>
        <v/>
      </c>
      <c r="H1896">
        <f>IF(ISBLANK('ENGAGEMENTS 2026'!C1896),"",'ENGAGEMENTS 2026'!AF1896)</f>
        <v/>
      </c>
      <c r="I1896">
        <f>IF(ISBLANK('ENGAGEMENTS 2026'!C1896),"",'ENGAGEMENTS 2026'!H1896)</f>
        <v/>
      </c>
      <c r="J1896" s="275">
        <f>IF(ISBLANK('ENGAGEMENTS 2026'!C1896),"",IF(AND(OR($E1896="INFRUCTUEUX",$E1896="ANNULE"),$C1896="AOO-M"),'ENGAGEMENTS 2026'!P1896,IF($H1896="EN COURS DE PREENGAGEMENT",'ENGAGEMENTS 2026'!O1896,IF($H1896="PREENGAGE",IF($E1896="ATTRIBUE",'ENGAGEMENTS 2026'!AE1896,'ENGAGEMENTS 2026'!O1896),'ENGAGEMENTS 2026'!AE1896))))</f>
        <v/>
      </c>
      <c r="K1896" s="604">
        <f>IF(ISBLANK('ENGAGEMENTS 2026'!W1896),"",'ENGAGEMENTS 2026'!W1896)</f>
        <v/>
      </c>
      <c r="L1896" s="276">
        <f>IF($K1896="","",TODAY()-$K1896)</f>
        <v/>
      </c>
      <c r="M1896">
        <f>IF($A1896="","",IF($H1896="ENGAGE","Engagé",IF(AND($H1896="NON ENGAGE",OR($I1896="INFRUCTUEUX",$I1896="ANNULE")),"Clôturé sans suite","En cours")))</f>
        <v/>
      </c>
      <c r="N1896">
        <f>IF(ISBLANK('ENGAGEMENTS 2026'!C1896),"",'ENGAGEMENTS 2026'!L1896)</f>
        <v/>
      </c>
      <c r="O1896">
        <f>IF(ISBLANK('ENGAGEMENTS 2026'!C1896),"",'ENGAGEMENTS 2026'!M1896)</f>
        <v/>
      </c>
      <c r="P1896">
        <f>IF(ISBLANK('ENGAGEMENTS 2026'!C1896),"",'ENGAGEMENTS 2026'!K1896)</f>
        <v/>
      </c>
      <c r="Q1896">
        <f>IF($A1896="","",IF(OR($E1896="INFRUCTUEUX",$E1896="ANNULE"),$A1896&amp;"|"&amp;(COUNTIFS($A$2:$A1896,$A1896,$E$2:$E1896,"INFRUCTUEUX")+COUNTIFS($A$2:$A1896,$A1896,$E$2:$E1896,"ANNULE")),""))</f>
        <v/>
      </c>
    </row>
    <row r="1897">
      <c r="A1897">
        <f>IF(ISBLANK('ENGAGEMENTS 2026'!C1897),"",IF('ENGAGEMENTS 2026'!C1897="DTSI","DCT",'ENGAGEMENTS 2026'!C1897))</f>
        <v/>
      </c>
      <c r="B1897">
        <f>IF(ISBLANK('ENGAGEMENTS 2026'!C1897),"",'ENGAGEMENTS 2026'!D1897)</f>
        <v/>
      </c>
      <c r="C1897">
        <f>IF(ISBLANK('ENGAGEMENTS 2026'!C1897),"",'ENGAGEMENTS 2026'!E1897)</f>
        <v/>
      </c>
      <c r="D1897">
        <f>IF(ISBLANK('ENGAGEMENTS 2026'!C1897),"",'ENGAGEMENTS 2026'!G1897)</f>
        <v/>
      </c>
      <c r="E1897">
        <f>IF(ISBLANK('ENGAGEMENTS 2026'!C1897),"",'ENGAGEMENTS 2026'!I1897)</f>
        <v/>
      </c>
      <c r="F1897">
        <f>IF(ISBLANK('ENGAGEMENTS 2026'!C1897),"",'ENGAGEMENTS 2026'!J1897)</f>
        <v/>
      </c>
      <c r="G1897">
        <f>IF(ISBLANK('ENGAGEMENTS 2026'!C1897),"",'ENGAGEMENTS 2026'!M1897)</f>
        <v/>
      </c>
      <c r="H1897">
        <f>IF(ISBLANK('ENGAGEMENTS 2026'!C1897),"",'ENGAGEMENTS 2026'!AF1897)</f>
        <v/>
      </c>
      <c r="I1897">
        <f>IF(ISBLANK('ENGAGEMENTS 2026'!C1897),"",'ENGAGEMENTS 2026'!H1897)</f>
        <v/>
      </c>
      <c r="J1897" s="275">
        <f>IF(ISBLANK('ENGAGEMENTS 2026'!C1897),"",IF(AND(OR($E1897="INFRUCTUEUX",$E1897="ANNULE"),$C1897="AOO-M"),'ENGAGEMENTS 2026'!P1897,IF($H1897="EN COURS DE PREENGAGEMENT",'ENGAGEMENTS 2026'!O1897,IF($H1897="PREENGAGE",IF($E1897="ATTRIBUE",'ENGAGEMENTS 2026'!AE1897,'ENGAGEMENTS 2026'!O1897),'ENGAGEMENTS 2026'!AE1897))))</f>
        <v/>
      </c>
      <c r="K1897" s="604">
        <f>IF(ISBLANK('ENGAGEMENTS 2026'!W1897),"",'ENGAGEMENTS 2026'!W1897)</f>
        <v/>
      </c>
      <c r="L1897" s="276">
        <f>IF($K1897="","",TODAY()-$K1897)</f>
        <v/>
      </c>
      <c r="M1897">
        <f>IF($A1897="","",IF($H1897="ENGAGE","Engagé",IF(AND($H1897="NON ENGAGE",OR($I1897="INFRUCTUEUX",$I1897="ANNULE")),"Clôturé sans suite","En cours")))</f>
        <v/>
      </c>
      <c r="N1897">
        <f>IF(ISBLANK('ENGAGEMENTS 2026'!C1897),"",'ENGAGEMENTS 2026'!L1897)</f>
        <v/>
      </c>
      <c r="O1897">
        <f>IF(ISBLANK('ENGAGEMENTS 2026'!C1897),"",'ENGAGEMENTS 2026'!M1897)</f>
        <v/>
      </c>
      <c r="P1897">
        <f>IF(ISBLANK('ENGAGEMENTS 2026'!C1897),"",'ENGAGEMENTS 2026'!K1897)</f>
        <v/>
      </c>
      <c r="Q1897">
        <f>IF($A1897="","",IF(OR($E1897="INFRUCTUEUX",$E1897="ANNULE"),$A1897&amp;"|"&amp;(COUNTIFS($A$2:$A1897,$A1897,$E$2:$E1897,"INFRUCTUEUX")+COUNTIFS($A$2:$A1897,$A1897,$E$2:$E1897,"ANNULE")),""))</f>
        <v/>
      </c>
    </row>
    <row r="1898">
      <c r="A1898">
        <f>IF(ISBLANK('ENGAGEMENTS 2026'!C1898),"",IF('ENGAGEMENTS 2026'!C1898="DTSI","DCT",'ENGAGEMENTS 2026'!C1898))</f>
        <v/>
      </c>
      <c r="B1898">
        <f>IF(ISBLANK('ENGAGEMENTS 2026'!C1898),"",'ENGAGEMENTS 2026'!D1898)</f>
        <v/>
      </c>
      <c r="C1898">
        <f>IF(ISBLANK('ENGAGEMENTS 2026'!C1898),"",'ENGAGEMENTS 2026'!E1898)</f>
        <v/>
      </c>
      <c r="D1898">
        <f>IF(ISBLANK('ENGAGEMENTS 2026'!C1898),"",'ENGAGEMENTS 2026'!G1898)</f>
        <v/>
      </c>
      <c r="E1898">
        <f>IF(ISBLANK('ENGAGEMENTS 2026'!C1898),"",'ENGAGEMENTS 2026'!I1898)</f>
        <v/>
      </c>
      <c r="F1898">
        <f>IF(ISBLANK('ENGAGEMENTS 2026'!C1898),"",'ENGAGEMENTS 2026'!J1898)</f>
        <v/>
      </c>
      <c r="G1898">
        <f>IF(ISBLANK('ENGAGEMENTS 2026'!C1898),"",'ENGAGEMENTS 2026'!M1898)</f>
        <v/>
      </c>
      <c r="H1898">
        <f>IF(ISBLANK('ENGAGEMENTS 2026'!C1898),"",'ENGAGEMENTS 2026'!AF1898)</f>
        <v/>
      </c>
      <c r="I1898">
        <f>IF(ISBLANK('ENGAGEMENTS 2026'!C1898),"",'ENGAGEMENTS 2026'!H1898)</f>
        <v/>
      </c>
      <c r="J1898" s="275">
        <f>IF(ISBLANK('ENGAGEMENTS 2026'!C1898),"",IF(AND(OR($E1898="INFRUCTUEUX",$E1898="ANNULE"),$C1898="AOO-M"),'ENGAGEMENTS 2026'!P1898,IF($H1898="EN COURS DE PREENGAGEMENT",'ENGAGEMENTS 2026'!O1898,IF($H1898="PREENGAGE",IF($E1898="ATTRIBUE",'ENGAGEMENTS 2026'!AE1898,'ENGAGEMENTS 2026'!O1898),'ENGAGEMENTS 2026'!AE1898))))</f>
        <v/>
      </c>
      <c r="K1898" s="604">
        <f>IF(ISBLANK('ENGAGEMENTS 2026'!W1898),"",'ENGAGEMENTS 2026'!W1898)</f>
        <v/>
      </c>
      <c r="L1898" s="276">
        <f>IF($K1898="","",TODAY()-$K1898)</f>
        <v/>
      </c>
      <c r="M1898">
        <f>IF($A1898="","",IF($H1898="ENGAGE","Engagé",IF(AND($H1898="NON ENGAGE",OR($I1898="INFRUCTUEUX",$I1898="ANNULE")),"Clôturé sans suite","En cours")))</f>
        <v/>
      </c>
      <c r="N1898">
        <f>IF(ISBLANK('ENGAGEMENTS 2026'!C1898),"",'ENGAGEMENTS 2026'!L1898)</f>
        <v/>
      </c>
      <c r="O1898">
        <f>IF(ISBLANK('ENGAGEMENTS 2026'!C1898),"",'ENGAGEMENTS 2026'!M1898)</f>
        <v/>
      </c>
      <c r="P1898">
        <f>IF(ISBLANK('ENGAGEMENTS 2026'!C1898),"",'ENGAGEMENTS 2026'!K1898)</f>
        <v/>
      </c>
      <c r="Q1898">
        <f>IF($A1898="","",IF(OR($E1898="INFRUCTUEUX",$E1898="ANNULE"),$A1898&amp;"|"&amp;(COUNTIFS($A$2:$A1898,$A1898,$E$2:$E1898,"INFRUCTUEUX")+COUNTIFS($A$2:$A1898,$A1898,$E$2:$E1898,"ANNULE")),""))</f>
        <v/>
      </c>
    </row>
    <row r="1899">
      <c r="A1899">
        <f>IF(ISBLANK('ENGAGEMENTS 2026'!C1899),"",IF('ENGAGEMENTS 2026'!C1899="DTSI","DCT",'ENGAGEMENTS 2026'!C1899))</f>
        <v/>
      </c>
      <c r="B1899">
        <f>IF(ISBLANK('ENGAGEMENTS 2026'!C1899),"",'ENGAGEMENTS 2026'!D1899)</f>
        <v/>
      </c>
      <c r="C1899">
        <f>IF(ISBLANK('ENGAGEMENTS 2026'!C1899),"",'ENGAGEMENTS 2026'!E1899)</f>
        <v/>
      </c>
      <c r="D1899">
        <f>IF(ISBLANK('ENGAGEMENTS 2026'!C1899),"",'ENGAGEMENTS 2026'!G1899)</f>
        <v/>
      </c>
      <c r="E1899">
        <f>IF(ISBLANK('ENGAGEMENTS 2026'!C1899),"",'ENGAGEMENTS 2026'!I1899)</f>
        <v/>
      </c>
      <c r="F1899">
        <f>IF(ISBLANK('ENGAGEMENTS 2026'!C1899),"",'ENGAGEMENTS 2026'!J1899)</f>
        <v/>
      </c>
      <c r="G1899">
        <f>IF(ISBLANK('ENGAGEMENTS 2026'!C1899),"",'ENGAGEMENTS 2026'!M1899)</f>
        <v/>
      </c>
      <c r="H1899">
        <f>IF(ISBLANK('ENGAGEMENTS 2026'!C1899),"",'ENGAGEMENTS 2026'!AF1899)</f>
        <v/>
      </c>
      <c r="I1899">
        <f>IF(ISBLANK('ENGAGEMENTS 2026'!C1899),"",'ENGAGEMENTS 2026'!H1899)</f>
        <v/>
      </c>
      <c r="J1899" s="275">
        <f>IF(ISBLANK('ENGAGEMENTS 2026'!C1899),"",IF(AND(OR($E1899="INFRUCTUEUX",$E1899="ANNULE"),$C1899="AOO-M"),'ENGAGEMENTS 2026'!P1899,IF($H1899="EN COURS DE PREENGAGEMENT",'ENGAGEMENTS 2026'!O1899,IF($H1899="PREENGAGE",IF($E1899="ATTRIBUE",'ENGAGEMENTS 2026'!AE1899,'ENGAGEMENTS 2026'!O1899),'ENGAGEMENTS 2026'!AE1899))))</f>
        <v/>
      </c>
      <c r="K1899" s="604">
        <f>IF(ISBLANK('ENGAGEMENTS 2026'!W1899),"",'ENGAGEMENTS 2026'!W1899)</f>
        <v/>
      </c>
      <c r="L1899" s="276">
        <f>IF($K1899="","",TODAY()-$K1899)</f>
        <v/>
      </c>
      <c r="M1899">
        <f>IF($A1899="","",IF($H1899="ENGAGE","Engagé",IF(AND($H1899="NON ENGAGE",OR($I1899="INFRUCTUEUX",$I1899="ANNULE")),"Clôturé sans suite","En cours")))</f>
        <v/>
      </c>
      <c r="N1899">
        <f>IF(ISBLANK('ENGAGEMENTS 2026'!C1899),"",'ENGAGEMENTS 2026'!L1899)</f>
        <v/>
      </c>
      <c r="O1899">
        <f>IF(ISBLANK('ENGAGEMENTS 2026'!C1899),"",'ENGAGEMENTS 2026'!M1899)</f>
        <v/>
      </c>
      <c r="P1899">
        <f>IF(ISBLANK('ENGAGEMENTS 2026'!C1899),"",'ENGAGEMENTS 2026'!K1899)</f>
        <v/>
      </c>
      <c r="Q1899">
        <f>IF($A1899="","",IF(OR($E1899="INFRUCTUEUX",$E1899="ANNULE"),$A1899&amp;"|"&amp;(COUNTIFS($A$2:$A1899,$A1899,$E$2:$E1899,"INFRUCTUEUX")+COUNTIFS($A$2:$A1899,$A1899,$E$2:$E1899,"ANNULE")),""))</f>
        <v/>
      </c>
    </row>
    <row r="1900">
      <c r="A1900">
        <f>IF(ISBLANK('ENGAGEMENTS 2026'!C1900),"",IF('ENGAGEMENTS 2026'!C1900="DTSI","DCT",'ENGAGEMENTS 2026'!C1900))</f>
        <v/>
      </c>
      <c r="B1900">
        <f>IF(ISBLANK('ENGAGEMENTS 2026'!C1900),"",'ENGAGEMENTS 2026'!D1900)</f>
        <v/>
      </c>
      <c r="C1900">
        <f>IF(ISBLANK('ENGAGEMENTS 2026'!C1900),"",'ENGAGEMENTS 2026'!E1900)</f>
        <v/>
      </c>
      <c r="D1900">
        <f>IF(ISBLANK('ENGAGEMENTS 2026'!C1900),"",'ENGAGEMENTS 2026'!G1900)</f>
        <v/>
      </c>
      <c r="E1900">
        <f>IF(ISBLANK('ENGAGEMENTS 2026'!C1900),"",'ENGAGEMENTS 2026'!I1900)</f>
        <v/>
      </c>
      <c r="F1900">
        <f>IF(ISBLANK('ENGAGEMENTS 2026'!C1900),"",'ENGAGEMENTS 2026'!J1900)</f>
        <v/>
      </c>
      <c r="G1900">
        <f>IF(ISBLANK('ENGAGEMENTS 2026'!C1900),"",'ENGAGEMENTS 2026'!M1900)</f>
        <v/>
      </c>
      <c r="H1900">
        <f>IF(ISBLANK('ENGAGEMENTS 2026'!C1900),"",'ENGAGEMENTS 2026'!AF1900)</f>
        <v/>
      </c>
      <c r="I1900">
        <f>IF(ISBLANK('ENGAGEMENTS 2026'!C1900),"",'ENGAGEMENTS 2026'!H1900)</f>
        <v/>
      </c>
      <c r="J1900" s="275">
        <f>IF(ISBLANK('ENGAGEMENTS 2026'!C1900),"",IF(AND(OR($E1900="INFRUCTUEUX",$E1900="ANNULE"),$C1900="AOO-M"),'ENGAGEMENTS 2026'!P1900,IF($H1900="EN COURS DE PREENGAGEMENT",'ENGAGEMENTS 2026'!O1900,IF($H1900="PREENGAGE",IF($E1900="ATTRIBUE",'ENGAGEMENTS 2026'!AE1900,'ENGAGEMENTS 2026'!O1900),'ENGAGEMENTS 2026'!AE1900))))</f>
        <v/>
      </c>
      <c r="K1900" s="604">
        <f>IF(ISBLANK('ENGAGEMENTS 2026'!W1900),"",'ENGAGEMENTS 2026'!W1900)</f>
        <v/>
      </c>
      <c r="L1900" s="276">
        <f>IF($K1900="","",TODAY()-$K1900)</f>
        <v/>
      </c>
      <c r="M1900">
        <f>IF($A1900="","",IF($H1900="ENGAGE","Engagé",IF(AND($H1900="NON ENGAGE",OR($I1900="INFRUCTUEUX",$I1900="ANNULE")),"Clôturé sans suite","En cours")))</f>
        <v/>
      </c>
      <c r="N1900">
        <f>IF(ISBLANK('ENGAGEMENTS 2026'!C1900),"",'ENGAGEMENTS 2026'!L1900)</f>
        <v/>
      </c>
      <c r="O1900">
        <f>IF(ISBLANK('ENGAGEMENTS 2026'!C1900),"",'ENGAGEMENTS 2026'!M1900)</f>
        <v/>
      </c>
      <c r="P1900">
        <f>IF(ISBLANK('ENGAGEMENTS 2026'!C1900),"",'ENGAGEMENTS 2026'!K1900)</f>
        <v/>
      </c>
      <c r="Q1900">
        <f>IF($A1900="","",IF(OR($E1900="INFRUCTUEUX",$E1900="ANNULE"),$A1900&amp;"|"&amp;(COUNTIFS($A$2:$A1900,$A1900,$E$2:$E1900,"INFRUCTUEUX")+COUNTIFS($A$2:$A1900,$A1900,$E$2:$E1900,"ANNULE")),""))</f>
        <v/>
      </c>
    </row>
    <row r="1901">
      <c r="A1901">
        <f>IF(ISBLANK('ENGAGEMENTS 2026'!C1901),"",IF('ENGAGEMENTS 2026'!C1901="DTSI","DCT",'ENGAGEMENTS 2026'!C1901))</f>
        <v/>
      </c>
      <c r="B1901">
        <f>IF(ISBLANK('ENGAGEMENTS 2026'!C1901),"",'ENGAGEMENTS 2026'!D1901)</f>
        <v/>
      </c>
      <c r="C1901">
        <f>IF(ISBLANK('ENGAGEMENTS 2026'!C1901),"",'ENGAGEMENTS 2026'!E1901)</f>
        <v/>
      </c>
      <c r="D1901">
        <f>IF(ISBLANK('ENGAGEMENTS 2026'!C1901),"",'ENGAGEMENTS 2026'!G1901)</f>
        <v/>
      </c>
      <c r="E1901">
        <f>IF(ISBLANK('ENGAGEMENTS 2026'!C1901),"",'ENGAGEMENTS 2026'!I1901)</f>
        <v/>
      </c>
      <c r="F1901">
        <f>IF(ISBLANK('ENGAGEMENTS 2026'!C1901),"",'ENGAGEMENTS 2026'!J1901)</f>
        <v/>
      </c>
      <c r="G1901">
        <f>IF(ISBLANK('ENGAGEMENTS 2026'!C1901),"",'ENGAGEMENTS 2026'!M1901)</f>
        <v/>
      </c>
      <c r="H1901">
        <f>IF(ISBLANK('ENGAGEMENTS 2026'!C1901),"",'ENGAGEMENTS 2026'!AF1901)</f>
        <v/>
      </c>
      <c r="I1901">
        <f>IF(ISBLANK('ENGAGEMENTS 2026'!C1901),"",'ENGAGEMENTS 2026'!H1901)</f>
        <v/>
      </c>
      <c r="J1901" s="275">
        <f>IF(ISBLANK('ENGAGEMENTS 2026'!C1901),"",IF(AND(OR($E1901="INFRUCTUEUX",$E1901="ANNULE"),$C1901="AOO-M"),'ENGAGEMENTS 2026'!P1901,IF($H1901="EN COURS DE PREENGAGEMENT",'ENGAGEMENTS 2026'!O1901,IF($H1901="PREENGAGE",IF($E1901="ATTRIBUE",'ENGAGEMENTS 2026'!AE1901,'ENGAGEMENTS 2026'!O1901),'ENGAGEMENTS 2026'!AE1901))))</f>
        <v/>
      </c>
      <c r="K1901" s="604">
        <f>IF(ISBLANK('ENGAGEMENTS 2026'!W1901),"",'ENGAGEMENTS 2026'!W1901)</f>
        <v/>
      </c>
      <c r="L1901" s="276">
        <f>IF($K1901="","",TODAY()-$K1901)</f>
        <v/>
      </c>
      <c r="M1901">
        <f>IF($A1901="","",IF($H1901="ENGAGE","Engagé",IF(AND($H1901="NON ENGAGE",OR($I1901="INFRUCTUEUX",$I1901="ANNULE")),"Clôturé sans suite","En cours")))</f>
        <v/>
      </c>
      <c r="N1901">
        <f>IF(ISBLANK('ENGAGEMENTS 2026'!C1901),"",'ENGAGEMENTS 2026'!L1901)</f>
        <v/>
      </c>
      <c r="O1901">
        <f>IF(ISBLANK('ENGAGEMENTS 2026'!C1901),"",'ENGAGEMENTS 2026'!M1901)</f>
        <v/>
      </c>
      <c r="P1901">
        <f>IF(ISBLANK('ENGAGEMENTS 2026'!C1901),"",'ENGAGEMENTS 2026'!K1901)</f>
        <v/>
      </c>
      <c r="Q1901">
        <f>IF($A1901="","",IF(OR($E1901="INFRUCTUEUX",$E1901="ANNULE"),$A1901&amp;"|"&amp;(COUNTIFS($A$2:$A1901,$A1901,$E$2:$E1901,"INFRUCTUEUX")+COUNTIFS($A$2:$A1901,$A1901,$E$2:$E1901,"ANNULE")),""))</f>
        <v/>
      </c>
    </row>
    <row r="1902">
      <c r="A1902">
        <f>IF(ISBLANK('ENGAGEMENTS 2026'!C1902),"",IF('ENGAGEMENTS 2026'!C1902="DTSI","DCT",'ENGAGEMENTS 2026'!C1902))</f>
        <v/>
      </c>
      <c r="B1902">
        <f>IF(ISBLANK('ENGAGEMENTS 2026'!C1902),"",'ENGAGEMENTS 2026'!D1902)</f>
        <v/>
      </c>
      <c r="C1902">
        <f>IF(ISBLANK('ENGAGEMENTS 2026'!C1902),"",'ENGAGEMENTS 2026'!E1902)</f>
        <v/>
      </c>
      <c r="D1902">
        <f>IF(ISBLANK('ENGAGEMENTS 2026'!C1902),"",'ENGAGEMENTS 2026'!G1902)</f>
        <v/>
      </c>
      <c r="E1902">
        <f>IF(ISBLANK('ENGAGEMENTS 2026'!C1902),"",'ENGAGEMENTS 2026'!I1902)</f>
        <v/>
      </c>
      <c r="F1902">
        <f>IF(ISBLANK('ENGAGEMENTS 2026'!C1902),"",'ENGAGEMENTS 2026'!J1902)</f>
        <v/>
      </c>
      <c r="G1902">
        <f>IF(ISBLANK('ENGAGEMENTS 2026'!C1902),"",'ENGAGEMENTS 2026'!M1902)</f>
        <v/>
      </c>
      <c r="H1902">
        <f>IF(ISBLANK('ENGAGEMENTS 2026'!C1902),"",'ENGAGEMENTS 2026'!AF1902)</f>
        <v/>
      </c>
      <c r="I1902">
        <f>IF(ISBLANK('ENGAGEMENTS 2026'!C1902),"",'ENGAGEMENTS 2026'!H1902)</f>
        <v/>
      </c>
      <c r="J1902" s="275">
        <f>IF(ISBLANK('ENGAGEMENTS 2026'!C1902),"",IF(AND(OR($E1902="INFRUCTUEUX",$E1902="ANNULE"),$C1902="AOO-M"),'ENGAGEMENTS 2026'!P1902,IF($H1902="EN COURS DE PREENGAGEMENT",'ENGAGEMENTS 2026'!O1902,IF($H1902="PREENGAGE",IF($E1902="ATTRIBUE",'ENGAGEMENTS 2026'!AE1902,'ENGAGEMENTS 2026'!O1902),'ENGAGEMENTS 2026'!AE1902))))</f>
        <v/>
      </c>
      <c r="K1902" s="604">
        <f>IF(ISBLANK('ENGAGEMENTS 2026'!W1902),"",'ENGAGEMENTS 2026'!W1902)</f>
        <v/>
      </c>
      <c r="L1902" s="276">
        <f>IF($K1902="","",TODAY()-$K1902)</f>
        <v/>
      </c>
      <c r="M1902">
        <f>IF($A1902="","",IF($H1902="ENGAGE","Engagé",IF(AND($H1902="NON ENGAGE",OR($I1902="INFRUCTUEUX",$I1902="ANNULE")),"Clôturé sans suite","En cours")))</f>
        <v/>
      </c>
      <c r="N1902">
        <f>IF(ISBLANK('ENGAGEMENTS 2026'!C1902),"",'ENGAGEMENTS 2026'!L1902)</f>
        <v/>
      </c>
      <c r="O1902">
        <f>IF(ISBLANK('ENGAGEMENTS 2026'!C1902),"",'ENGAGEMENTS 2026'!M1902)</f>
        <v/>
      </c>
      <c r="P1902">
        <f>IF(ISBLANK('ENGAGEMENTS 2026'!C1902),"",'ENGAGEMENTS 2026'!K1902)</f>
        <v/>
      </c>
      <c r="Q1902">
        <f>IF($A1902="","",IF(OR($E1902="INFRUCTUEUX",$E1902="ANNULE"),$A1902&amp;"|"&amp;(COUNTIFS($A$2:$A1902,$A1902,$E$2:$E1902,"INFRUCTUEUX")+COUNTIFS($A$2:$A1902,$A1902,$E$2:$E1902,"ANNULE")),""))</f>
        <v/>
      </c>
    </row>
    <row r="1903">
      <c r="A1903">
        <f>IF(ISBLANK('ENGAGEMENTS 2026'!C1903),"",IF('ENGAGEMENTS 2026'!C1903="DTSI","DCT",'ENGAGEMENTS 2026'!C1903))</f>
        <v/>
      </c>
      <c r="B1903">
        <f>IF(ISBLANK('ENGAGEMENTS 2026'!C1903),"",'ENGAGEMENTS 2026'!D1903)</f>
        <v/>
      </c>
      <c r="C1903">
        <f>IF(ISBLANK('ENGAGEMENTS 2026'!C1903),"",'ENGAGEMENTS 2026'!E1903)</f>
        <v/>
      </c>
      <c r="D1903">
        <f>IF(ISBLANK('ENGAGEMENTS 2026'!C1903),"",'ENGAGEMENTS 2026'!G1903)</f>
        <v/>
      </c>
      <c r="E1903">
        <f>IF(ISBLANK('ENGAGEMENTS 2026'!C1903),"",'ENGAGEMENTS 2026'!I1903)</f>
        <v/>
      </c>
      <c r="F1903">
        <f>IF(ISBLANK('ENGAGEMENTS 2026'!C1903),"",'ENGAGEMENTS 2026'!J1903)</f>
        <v/>
      </c>
      <c r="G1903">
        <f>IF(ISBLANK('ENGAGEMENTS 2026'!C1903),"",'ENGAGEMENTS 2026'!M1903)</f>
        <v/>
      </c>
      <c r="H1903">
        <f>IF(ISBLANK('ENGAGEMENTS 2026'!C1903),"",'ENGAGEMENTS 2026'!AF1903)</f>
        <v/>
      </c>
      <c r="I1903">
        <f>IF(ISBLANK('ENGAGEMENTS 2026'!C1903),"",'ENGAGEMENTS 2026'!H1903)</f>
        <v/>
      </c>
      <c r="J1903" s="275">
        <f>IF(ISBLANK('ENGAGEMENTS 2026'!C1903),"",IF(AND(OR($E1903="INFRUCTUEUX",$E1903="ANNULE"),$C1903="AOO-M"),'ENGAGEMENTS 2026'!P1903,IF($H1903="EN COURS DE PREENGAGEMENT",'ENGAGEMENTS 2026'!O1903,IF($H1903="PREENGAGE",IF($E1903="ATTRIBUE",'ENGAGEMENTS 2026'!AE1903,'ENGAGEMENTS 2026'!O1903),'ENGAGEMENTS 2026'!AE1903))))</f>
        <v/>
      </c>
      <c r="K1903" s="604">
        <f>IF(ISBLANK('ENGAGEMENTS 2026'!W1903),"",'ENGAGEMENTS 2026'!W1903)</f>
        <v/>
      </c>
      <c r="L1903" s="276">
        <f>IF($K1903="","",TODAY()-$K1903)</f>
        <v/>
      </c>
      <c r="M1903">
        <f>IF($A1903="","",IF($H1903="ENGAGE","Engagé",IF(AND($H1903="NON ENGAGE",OR($I1903="INFRUCTUEUX",$I1903="ANNULE")),"Clôturé sans suite","En cours")))</f>
        <v/>
      </c>
      <c r="N1903">
        <f>IF(ISBLANK('ENGAGEMENTS 2026'!C1903),"",'ENGAGEMENTS 2026'!L1903)</f>
        <v/>
      </c>
      <c r="O1903">
        <f>IF(ISBLANK('ENGAGEMENTS 2026'!C1903),"",'ENGAGEMENTS 2026'!M1903)</f>
        <v/>
      </c>
      <c r="P1903">
        <f>IF(ISBLANK('ENGAGEMENTS 2026'!C1903),"",'ENGAGEMENTS 2026'!K1903)</f>
        <v/>
      </c>
      <c r="Q1903">
        <f>IF($A1903="","",IF(OR($E1903="INFRUCTUEUX",$E1903="ANNULE"),$A1903&amp;"|"&amp;(COUNTIFS($A$2:$A1903,$A1903,$E$2:$E1903,"INFRUCTUEUX")+COUNTIFS($A$2:$A1903,$A1903,$E$2:$E1903,"ANNULE")),""))</f>
        <v/>
      </c>
    </row>
    <row r="1904">
      <c r="A1904">
        <f>IF(ISBLANK('ENGAGEMENTS 2026'!C1904),"",IF('ENGAGEMENTS 2026'!C1904="DTSI","DCT",'ENGAGEMENTS 2026'!C1904))</f>
        <v/>
      </c>
      <c r="B1904">
        <f>IF(ISBLANK('ENGAGEMENTS 2026'!C1904),"",'ENGAGEMENTS 2026'!D1904)</f>
        <v/>
      </c>
      <c r="C1904">
        <f>IF(ISBLANK('ENGAGEMENTS 2026'!C1904),"",'ENGAGEMENTS 2026'!E1904)</f>
        <v/>
      </c>
      <c r="D1904">
        <f>IF(ISBLANK('ENGAGEMENTS 2026'!C1904),"",'ENGAGEMENTS 2026'!G1904)</f>
        <v/>
      </c>
      <c r="E1904">
        <f>IF(ISBLANK('ENGAGEMENTS 2026'!C1904),"",'ENGAGEMENTS 2026'!I1904)</f>
        <v/>
      </c>
      <c r="F1904">
        <f>IF(ISBLANK('ENGAGEMENTS 2026'!C1904),"",'ENGAGEMENTS 2026'!J1904)</f>
        <v/>
      </c>
      <c r="G1904">
        <f>IF(ISBLANK('ENGAGEMENTS 2026'!C1904),"",'ENGAGEMENTS 2026'!M1904)</f>
        <v/>
      </c>
      <c r="H1904">
        <f>IF(ISBLANK('ENGAGEMENTS 2026'!C1904),"",'ENGAGEMENTS 2026'!AF1904)</f>
        <v/>
      </c>
      <c r="I1904">
        <f>IF(ISBLANK('ENGAGEMENTS 2026'!C1904),"",'ENGAGEMENTS 2026'!H1904)</f>
        <v/>
      </c>
      <c r="J1904" s="275">
        <f>IF(ISBLANK('ENGAGEMENTS 2026'!C1904),"",IF(AND(OR($E1904="INFRUCTUEUX",$E1904="ANNULE"),$C1904="AOO-M"),'ENGAGEMENTS 2026'!P1904,IF($H1904="EN COURS DE PREENGAGEMENT",'ENGAGEMENTS 2026'!O1904,IF($H1904="PREENGAGE",IF($E1904="ATTRIBUE",'ENGAGEMENTS 2026'!AE1904,'ENGAGEMENTS 2026'!O1904),'ENGAGEMENTS 2026'!AE1904))))</f>
        <v/>
      </c>
      <c r="K1904" s="604">
        <f>IF(ISBLANK('ENGAGEMENTS 2026'!W1904),"",'ENGAGEMENTS 2026'!W1904)</f>
        <v/>
      </c>
      <c r="L1904" s="276">
        <f>IF($K1904="","",TODAY()-$K1904)</f>
        <v/>
      </c>
      <c r="M1904">
        <f>IF($A1904="","",IF($H1904="ENGAGE","Engagé",IF(AND($H1904="NON ENGAGE",OR($I1904="INFRUCTUEUX",$I1904="ANNULE")),"Clôturé sans suite","En cours")))</f>
        <v/>
      </c>
      <c r="N1904">
        <f>IF(ISBLANK('ENGAGEMENTS 2026'!C1904),"",'ENGAGEMENTS 2026'!L1904)</f>
        <v/>
      </c>
      <c r="O1904">
        <f>IF(ISBLANK('ENGAGEMENTS 2026'!C1904),"",'ENGAGEMENTS 2026'!M1904)</f>
        <v/>
      </c>
      <c r="P1904">
        <f>IF(ISBLANK('ENGAGEMENTS 2026'!C1904),"",'ENGAGEMENTS 2026'!K1904)</f>
        <v/>
      </c>
      <c r="Q1904">
        <f>IF($A1904="","",IF(OR($E1904="INFRUCTUEUX",$E1904="ANNULE"),$A1904&amp;"|"&amp;(COUNTIFS($A$2:$A1904,$A1904,$E$2:$E1904,"INFRUCTUEUX")+COUNTIFS($A$2:$A1904,$A1904,$E$2:$E1904,"ANNULE")),""))</f>
        <v/>
      </c>
    </row>
    <row r="1905">
      <c r="A1905">
        <f>IF(ISBLANK('ENGAGEMENTS 2026'!C1905),"",IF('ENGAGEMENTS 2026'!C1905="DTSI","DCT",'ENGAGEMENTS 2026'!C1905))</f>
        <v/>
      </c>
      <c r="B1905">
        <f>IF(ISBLANK('ENGAGEMENTS 2026'!C1905),"",'ENGAGEMENTS 2026'!D1905)</f>
        <v/>
      </c>
      <c r="C1905">
        <f>IF(ISBLANK('ENGAGEMENTS 2026'!C1905),"",'ENGAGEMENTS 2026'!E1905)</f>
        <v/>
      </c>
      <c r="D1905">
        <f>IF(ISBLANK('ENGAGEMENTS 2026'!C1905),"",'ENGAGEMENTS 2026'!G1905)</f>
        <v/>
      </c>
      <c r="E1905">
        <f>IF(ISBLANK('ENGAGEMENTS 2026'!C1905),"",'ENGAGEMENTS 2026'!I1905)</f>
        <v/>
      </c>
      <c r="F1905">
        <f>IF(ISBLANK('ENGAGEMENTS 2026'!C1905),"",'ENGAGEMENTS 2026'!J1905)</f>
        <v/>
      </c>
      <c r="G1905">
        <f>IF(ISBLANK('ENGAGEMENTS 2026'!C1905),"",'ENGAGEMENTS 2026'!M1905)</f>
        <v/>
      </c>
      <c r="H1905">
        <f>IF(ISBLANK('ENGAGEMENTS 2026'!C1905),"",'ENGAGEMENTS 2026'!AF1905)</f>
        <v/>
      </c>
      <c r="I1905">
        <f>IF(ISBLANK('ENGAGEMENTS 2026'!C1905),"",'ENGAGEMENTS 2026'!H1905)</f>
        <v/>
      </c>
      <c r="J1905" s="275">
        <f>IF(ISBLANK('ENGAGEMENTS 2026'!C1905),"",IF(AND(OR($E1905="INFRUCTUEUX",$E1905="ANNULE"),$C1905="AOO-M"),'ENGAGEMENTS 2026'!P1905,IF($H1905="EN COURS DE PREENGAGEMENT",'ENGAGEMENTS 2026'!O1905,IF($H1905="PREENGAGE",IF($E1905="ATTRIBUE",'ENGAGEMENTS 2026'!AE1905,'ENGAGEMENTS 2026'!O1905),'ENGAGEMENTS 2026'!AE1905))))</f>
        <v/>
      </c>
      <c r="K1905" s="604">
        <f>IF(ISBLANK('ENGAGEMENTS 2026'!W1905),"",'ENGAGEMENTS 2026'!W1905)</f>
        <v/>
      </c>
      <c r="L1905" s="276">
        <f>IF($K1905="","",TODAY()-$K1905)</f>
        <v/>
      </c>
      <c r="M1905">
        <f>IF($A1905="","",IF($H1905="ENGAGE","Engagé",IF(AND($H1905="NON ENGAGE",OR($I1905="INFRUCTUEUX",$I1905="ANNULE")),"Clôturé sans suite","En cours")))</f>
        <v/>
      </c>
      <c r="N1905">
        <f>IF(ISBLANK('ENGAGEMENTS 2026'!C1905),"",'ENGAGEMENTS 2026'!L1905)</f>
        <v/>
      </c>
      <c r="O1905">
        <f>IF(ISBLANK('ENGAGEMENTS 2026'!C1905),"",'ENGAGEMENTS 2026'!M1905)</f>
        <v/>
      </c>
      <c r="P1905">
        <f>IF(ISBLANK('ENGAGEMENTS 2026'!C1905),"",'ENGAGEMENTS 2026'!K1905)</f>
        <v/>
      </c>
      <c r="Q1905">
        <f>IF($A1905="","",IF(OR($E1905="INFRUCTUEUX",$E1905="ANNULE"),$A1905&amp;"|"&amp;(COUNTIFS($A$2:$A1905,$A1905,$E$2:$E1905,"INFRUCTUEUX")+COUNTIFS($A$2:$A1905,$A1905,$E$2:$E1905,"ANNULE")),""))</f>
        <v/>
      </c>
    </row>
    <row r="1906">
      <c r="A1906">
        <f>IF(ISBLANK('ENGAGEMENTS 2026'!C1906),"",IF('ENGAGEMENTS 2026'!C1906="DTSI","DCT",'ENGAGEMENTS 2026'!C1906))</f>
        <v/>
      </c>
      <c r="B1906">
        <f>IF(ISBLANK('ENGAGEMENTS 2026'!C1906),"",'ENGAGEMENTS 2026'!D1906)</f>
        <v/>
      </c>
      <c r="C1906">
        <f>IF(ISBLANK('ENGAGEMENTS 2026'!C1906),"",'ENGAGEMENTS 2026'!E1906)</f>
        <v/>
      </c>
      <c r="D1906">
        <f>IF(ISBLANK('ENGAGEMENTS 2026'!C1906),"",'ENGAGEMENTS 2026'!G1906)</f>
        <v/>
      </c>
      <c r="E1906">
        <f>IF(ISBLANK('ENGAGEMENTS 2026'!C1906),"",'ENGAGEMENTS 2026'!I1906)</f>
        <v/>
      </c>
      <c r="F1906">
        <f>IF(ISBLANK('ENGAGEMENTS 2026'!C1906),"",'ENGAGEMENTS 2026'!J1906)</f>
        <v/>
      </c>
      <c r="G1906">
        <f>IF(ISBLANK('ENGAGEMENTS 2026'!C1906),"",'ENGAGEMENTS 2026'!M1906)</f>
        <v/>
      </c>
      <c r="H1906">
        <f>IF(ISBLANK('ENGAGEMENTS 2026'!C1906),"",'ENGAGEMENTS 2026'!AF1906)</f>
        <v/>
      </c>
      <c r="I1906">
        <f>IF(ISBLANK('ENGAGEMENTS 2026'!C1906),"",'ENGAGEMENTS 2026'!H1906)</f>
        <v/>
      </c>
      <c r="J1906" s="275">
        <f>IF(ISBLANK('ENGAGEMENTS 2026'!C1906),"",IF(AND(OR($E1906="INFRUCTUEUX",$E1906="ANNULE"),$C1906="AOO-M"),'ENGAGEMENTS 2026'!P1906,IF($H1906="EN COURS DE PREENGAGEMENT",'ENGAGEMENTS 2026'!O1906,IF($H1906="PREENGAGE",IF($E1906="ATTRIBUE",'ENGAGEMENTS 2026'!AE1906,'ENGAGEMENTS 2026'!O1906),'ENGAGEMENTS 2026'!AE1906))))</f>
        <v/>
      </c>
      <c r="K1906" s="604">
        <f>IF(ISBLANK('ENGAGEMENTS 2026'!W1906),"",'ENGAGEMENTS 2026'!W1906)</f>
        <v/>
      </c>
      <c r="L1906" s="276">
        <f>IF($K1906="","",TODAY()-$K1906)</f>
        <v/>
      </c>
      <c r="M1906">
        <f>IF($A1906="","",IF($H1906="ENGAGE","Engagé",IF(AND($H1906="NON ENGAGE",OR($I1906="INFRUCTUEUX",$I1906="ANNULE")),"Clôturé sans suite","En cours")))</f>
        <v/>
      </c>
      <c r="N1906">
        <f>IF(ISBLANK('ENGAGEMENTS 2026'!C1906),"",'ENGAGEMENTS 2026'!L1906)</f>
        <v/>
      </c>
      <c r="O1906">
        <f>IF(ISBLANK('ENGAGEMENTS 2026'!C1906),"",'ENGAGEMENTS 2026'!M1906)</f>
        <v/>
      </c>
      <c r="P1906">
        <f>IF(ISBLANK('ENGAGEMENTS 2026'!C1906),"",'ENGAGEMENTS 2026'!K1906)</f>
        <v/>
      </c>
      <c r="Q1906">
        <f>IF($A1906="","",IF(OR($E1906="INFRUCTUEUX",$E1906="ANNULE"),$A1906&amp;"|"&amp;(COUNTIFS($A$2:$A1906,$A1906,$E$2:$E1906,"INFRUCTUEUX")+COUNTIFS($A$2:$A1906,$A1906,$E$2:$E1906,"ANNULE")),""))</f>
        <v/>
      </c>
    </row>
    <row r="1907">
      <c r="A1907">
        <f>IF(ISBLANK('ENGAGEMENTS 2026'!C1907),"",IF('ENGAGEMENTS 2026'!C1907="DTSI","DCT",'ENGAGEMENTS 2026'!C1907))</f>
        <v/>
      </c>
      <c r="B1907">
        <f>IF(ISBLANK('ENGAGEMENTS 2026'!C1907),"",'ENGAGEMENTS 2026'!D1907)</f>
        <v/>
      </c>
      <c r="C1907">
        <f>IF(ISBLANK('ENGAGEMENTS 2026'!C1907),"",'ENGAGEMENTS 2026'!E1907)</f>
        <v/>
      </c>
      <c r="D1907">
        <f>IF(ISBLANK('ENGAGEMENTS 2026'!C1907),"",'ENGAGEMENTS 2026'!G1907)</f>
        <v/>
      </c>
      <c r="E1907">
        <f>IF(ISBLANK('ENGAGEMENTS 2026'!C1907),"",'ENGAGEMENTS 2026'!I1907)</f>
        <v/>
      </c>
      <c r="F1907">
        <f>IF(ISBLANK('ENGAGEMENTS 2026'!C1907),"",'ENGAGEMENTS 2026'!J1907)</f>
        <v/>
      </c>
      <c r="G1907">
        <f>IF(ISBLANK('ENGAGEMENTS 2026'!C1907),"",'ENGAGEMENTS 2026'!M1907)</f>
        <v/>
      </c>
      <c r="H1907">
        <f>IF(ISBLANK('ENGAGEMENTS 2026'!C1907),"",'ENGAGEMENTS 2026'!AF1907)</f>
        <v/>
      </c>
      <c r="I1907">
        <f>IF(ISBLANK('ENGAGEMENTS 2026'!C1907),"",'ENGAGEMENTS 2026'!H1907)</f>
        <v/>
      </c>
      <c r="J1907" s="275">
        <f>IF(ISBLANK('ENGAGEMENTS 2026'!C1907),"",IF(AND(OR($E1907="INFRUCTUEUX",$E1907="ANNULE"),$C1907="AOO-M"),'ENGAGEMENTS 2026'!P1907,IF($H1907="EN COURS DE PREENGAGEMENT",'ENGAGEMENTS 2026'!O1907,IF($H1907="PREENGAGE",IF($E1907="ATTRIBUE",'ENGAGEMENTS 2026'!AE1907,'ENGAGEMENTS 2026'!O1907),'ENGAGEMENTS 2026'!AE1907))))</f>
        <v/>
      </c>
      <c r="K1907" s="604">
        <f>IF(ISBLANK('ENGAGEMENTS 2026'!W1907),"",'ENGAGEMENTS 2026'!W1907)</f>
        <v/>
      </c>
      <c r="L1907" s="276">
        <f>IF($K1907="","",TODAY()-$K1907)</f>
        <v/>
      </c>
      <c r="M1907">
        <f>IF($A1907="","",IF($H1907="ENGAGE","Engagé",IF(AND($H1907="NON ENGAGE",OR($I1907="INFRUCTUEUX",$I1907="ANNULE")),"Clôturé sans suite","En cours")))</f>
        <v/>
      </c>
      <c r="N1907">
        <f>IF(ISBLANK('ENGAGEMENTS 2026'!C1907),"",'ENGAGEMENTS 2026'!L1907)</f>
        <v/>
      </c>
      <c r="O1907">
        <f>IF(ISBLANK('ENGAGEMENTS 2026'!C1907),"",'ENGAGEMENTS 2026'!M1907)</f>
        <v/>
      </c>
      <c r="P1907">
        <f>IF(ISBLANK('ENGAGEMENTS 2026'!C1907),"",'ENGAGEMENTS 2026'!K1907)</f>
        <v/>
      </c>
      <c r="Q1907">
        <f>IF($A1907="","",IF(OR($E1907="INFRUCTUEUX",$E1907="ANNULE"),$A1907&amp;"|"&amp;(COUNTIFS($A$2:$A1907,$A1907,$E$2:$E1907,"INFRUCTUEUX")+COUNTIFS($A$2:$A1907,$A1907,$E$2:$E1907,"ANNULE")),""))</f>
        <v/>
      </c>
    </row>
    <row r="1908">
      <c r="A1908">
        <f>IF(ISBLANK('ENGAGEMENTS 2026'!C1908),"",IF('ENGAGEMENTS 2026'!C1908="DTSI","DCT",'ENGAGEMENTS 2026'!C1908))</f>
        <v/>
      </c>
      <c r="B1908">
        <f>IF(ISBLANK('ENGAGEMENTS 2026'!C1908),"",'ENGAGEMENTS 2026'!D1908)</f>
        <v/>
      </c>
      <c r="C1908">
        <f>IF(ISBLANK('ENGAGEMENTS 2026'!C1908),"",'ENGAGEMENTS 2026'!E1908)</f>
        <v/>
      </c>
      <c r="D1908">
        <f>IF(ISBLANK('ENGAGEMENTS 2026'!C1908),"",'ENGAGEMENTS 2026'!G1908)</f>
        <v/>
      </c>
      <c r="E1908">
        <f>IF(ISBLANK('ENGAGEMENTS 2026'!C1908),"",'ENGAGEMENTS 2026'!I1908)</f>
        <v/>
      </c>
      <c r="F1908">
        <f>IF(ISBLANK('ENGAGEMENTS 2026'!C1908),"",'ENGAGEMENTS 2026'!J1908)</f>
        <v/>
      </c>
      <c r="G1908">
        <f>IF(ISBLANK('ENGAGEMENTS 2026'!C1908),"",'ENGAGEMENTS 2026'!M1908)</f>
        <v/>
      </c>
      <c r="H1908">
        <f>IF(ISBLANK('ENGAGEMENTS 2026'!C1908),"",'ENGAGEMENTS 2026'!AF1908)</f>
        <v/>
      </c>
      <c r="I1908">
        <f>IF(ISBLANK('ENGAGEMENTS 2026'!C1908),"",'ENGAGEMENTS 2026'!H1908)</f>
        <v/>
      </c>
      <c r="J1908" s="275">
        <f>IF(ISBLANK('ENGAGEMENTS 2026'!C1908),"",IF(AND(OR($E1908="INFRUCTUEUX",$E1908="ANNULE"),$C1908="AOO-M"),'ENGAGEMENTS 2026'!P1908,IF($H1908="EN COURS DE PREENGAGEMENT",'ENGAGEMENTS 2026'!O1908,IF($H1908="PREENGAGE",IF($E1908="ATTRIBUE",'ENGAGEMENTS 2026'!AE1908,'ENGAGEMENTS 2026'!O1908),'ENGAGEMENTS 2026'!AE1908))))</f>
        <v/>
      </c>
      <c r="K1908" s="604">
        <f>IF(ISBLANK('ENGAGEMENTS 2026'!W1908),"",'ENGAGEMENTS 2026'!W1908)</f>
        <v/>
      </c>
      <c r="L1908" s="276">
        <f>IF($K1908="","",TODAY()-$K1908)</f>
        <v/>
      </c>
      <c r="M1908">
        <f>IF($A1908="","",IF($H1908="ENGAGE","Engagé",IF(AND($H1908="NON ENGAGE",OR($I1908="INFRUCTUEUX",$I1908="ANNULE")),"Clôturé sans suite","En cours")))</f>
        <v/>
      </c>
      <c r="N1908">
        <f>IF(ISBLANK('ENGAGEMENTS 2026'!C1908),"",'ENGAGEMENTS 2026'!L1908)</f>
        <v/>
      </c>
      <c r="O1908">
        <f>IF(ISBLANK('ENGAGEMENTS 2026'!C1908),"",'ENGAGEMENTS 2026'!M1908)</f>
        <v/>
      </c>
      <c r="P1908">
        <f>IF(ISBLANK('ENGAGEMENTS 2026'!C1908),"",'ENGAGEMENTS 2026'!K1908)</f>
        <v/>
      </c>
      <c r="Q1908">
        <f>IF($A1908="","",IF(OR($E1908="INFRUCTUEUX",$E1908="ANNULE"),$A1908&amp;"|"&amp;(COUNTIFS($A$2:$A1908,$A1908,$E$2:$E1908,"INFRUCTUEUX")+COUNTIFS($A$2:$A1908,$A1908,$E$2:$E1908,"ANNULE")),""))</f>
        <v/>
      </c>
    </row>
    <row r="1909">
      <c r="A1909">
        <f>IF(ISBLANK('ENGAGEMENTS 2026'!C1909),"",IF('ENGAGEMENTS 2026'!C1909="DTSI","DCT",'ENGAGEMENTS 2026'!C1909))</f>
        <v/>
      </c>
      <c r="B1909">
        <f>IF(ISBLANK('ENGAGEMENTS 2026'!C1909),"",'ENGAGEMENTS 2026'!D1909)</f>
        <v/>
      </c>
      <c r="C1909">
        <f>IF(ISBLANK('ENGAGEMENTS 2026'!C1909),"",'ENGAGEMENTS 2026'!E1909)</f>
        <v/>
      </c>
      <c r="D1909">
        <f>IF(ISBLANK('ENGAGEMENTS 2026'!C1909),"",'ENGAGEMENTS 2026'!G1909)</f>
        <v/>
      </c>
      <c r="E1909">
        <f>IF(ISBLANK('ENGAGEMENTS 2026'!C1909),"",'ENGAGEMENTS 2026'!I1909)</f>
        <v/>
      </c>
      <c r="F1909">
        <f>IF(ISBLANK('ENGAGEMENTS 2026'!C1909),"",'ENGAGEMENTS 2026'!J1909)</f>
        <v/>
      </c>
      <c r="G1909">
        <f>IF(ISBLANK('ENGAGEMENTS 2026'!C1909),"",'ENGAGEMENTS 2026'!M1909)</f>
        <v/>
      </c>
      <c r="H1909">
        <f>IF(ISBLANK('ENGAGEMENTS 2026'!C1909),"",'ENGAGEMENTS 2026'!AF1909)</f>
        <v/>
      </c>
      <c r="I1909">
        <f>IF(ISBLANK('ENGAGEMENTS 2026'!C1909),"",'ENGAGEMENTS 2026'!H1909)</f>
        <v/>
      </c>
      <c r="J1909" s="275">
        <f>IF(ISBLANK('ENGAGEMENTS 2026'!C1909),"",IF(AND(OR($E1909="INFRUCTUEUX",$E1909="ANNULE"),$C1909="AOO-M"),'ENGAGEMENTS 2026'!P1909,IF($H1909="EN COURS DE PREENGAGEMENT",'ENGAGEMENTS 2026'!O1909,IF($H1909="PREENGAGE",IF($E1909="ATTRIBUE",'ENGAGEMENTS 2026'!AE1909,'ENGAGEMENTS 2026'!O1909),'ENGAGEMENTS 2026'!AE1909))))</f>
        <v/>
      </c>
      <c r="K1909" s="604">
        <f>IF(ISBLANK('ENGAGEMENTS 2026'!W1909),"",'ENGAGEMENTS 2026'!W1909)</f>
        <v/>
      </c>
      <c r="L1909" s="276">
        <f>IF($K1909="","",TODAY()-$K1909)</f>
        <v/>
      </c>
      <c r="M1909">
        <f>IF($A1909="","",IF($H1909="ENGAGE","Engagé",IF(AND($H1909="NON ENGAGE",OR($I1909="INFRUCTUEUX",$I1909="ANNULE")),"Clôturé sans suite","En cours")))</f>
        <v/>
      </c>
      <c r="N1909">
        <f>IF(ISBLANK('ENGAGEMENTS 2026'!C1909),"",'ENGAGEMENTS 2026'!L1909)</f>
        <v/>
      </c>
      <c r="O1909">
        <f>IF(ISBLANK('ENGAGEMENTS 2026'!C1909),"",'ENGAGEMENTS 2026'!M1909)</f>
        <v/>
      </c>
      <c r="P1909">
        <f>IF(ISBLANK('ENGAGEMENTS 2026'!C1909),"",'ENGAGEMENTS 2026'!K1909)</f>
        <v/>
      </c>
      <c r="Q1909">
        <f>IF($A1909="","",IF(OR($E1909="INFRUCTUEUX",$E1909="ANNULE"),$A1909&amp;"|"&amp;(COUNTIFS($A$2:$A1909,$A1909,$E$2:$E1909,"INFRUCTUEUX")+COUNTIFS($A$2:$A1909,$A1909,$E$2:$E1909,"ANNULE")),""))</f>
        <v/>
      </c>
    </row>
    <row r="1910">
      <c r="A1910">
        <f>IF(ISBLANK('ENGAGEMENTS 2026'!C1910),"",IF('ENGAGEMENTS 2026'!C1910="DTSI","DCT",'ENGAGEMENTS 2026'!C1910))</f>
        <v/>
      </c>
      <c r="B1910">
        <f>IF(ISBLANK('ENGAGEMENTS 2026'!C1910),"",'ENGAGEMENTS 2026'!D1910)</f>
        <v/>
      </c>
      <c r="C1910">
        <f>IF(ISBLANK('ENGAGEMENTS 2026'!C1910),"",'ENGAGEMENTS 2026'!E1910)</f>
        <v/>
      </c>
      <c r="D1910">
        <f>IF(ISBLANK('ENGAGEMENTS 2026'!C1910),"",'ENGAGEMENTS 2026'!G1910)</f>
        <v/>
      </c>
      <c r="E1910">
        <f>IF(ISBLANK('ENGAGEMENTS 2026'!C1910),"",'ENGAGEMENTS 2026'!I1910)</f>
        <v/>
      </c>
      <c r="F1910">
        <f>IF(ISBLANK('ENGAGEMENTS 2026'!C1910),"",'ENGAGEMENTS 2026'!J1910)</f>
        <v/>
      </c>
      <c r="G1910">
        <f>IF(ISBLANK('ENGAGEMENTS 2026'!C1910),"",'ENGAGEMENTS 2026'!M1910)</f>
        <v/>
      </c>
      <c r="H1910">
        <f>IF(ISBLANK('ENGAGEMENTS 2026'!C1910),"",'ENGAGEMENTS 2026'!AF1910)</f>
        <v/>
      </c>
      <c r="I1910">
        <f>IF(ISBLANK('ENGAGEMENTS 2026'!C1910),"",'ENGAGEMENTS 2026'!H1910)</f>
        <v/>
      </c>
      <c r="J1910" s="275">
        <f>IF(ISBLANK('ENGAGEMENTS 2026'!C1910),"",IF(AND(OR($E1910="INFRUCTUEUX",$E1910="ANNULE"),$C1910="AOO-M"),'ENGAGEMENTS 2026'!P1910,IF($H1910="EN COURS DE PREENGAGEMENT",'ENGAGEMENTS 2026'!O1910,IF($H1910="PREENGAGE",IF($E1910="ATTRIBUE",'ENGAGEMENTS 2026'!AE1910,'ENGAGEMENTS 2026'!O1910),'ENGAGEMENTS 2026'!AE1910))))</f>
        <v/>
      </c>
      <c r="K1910" s="604">
        <f>IF(ISBLANK('ENGAGEMENTS 2026'!W1910),"",'ENGAGEMENTS 2026'!W1910)</f>
        <v/>
      </c>
      <c r="L1910" s="276">
        <f>IF($K1910="","",TODAY()-$K1910)</f>
        <v/>
      </c>
      <c r="M1910">
        <f>IF($A1910="","",IF($H1910="ENGAGE","Engagé",IF(AND($H1910="NON ENGAGE",OR($I1910="INFRUCTUEUX",$I1910="ANNULE")),"Clôturé sans suite","En cours")))</f>
        <v/>
      </c>
      <c r="N1910">
        <f>IF(ISBLANK('ENGAGEMENTS 2026'!C1910),"",'ENGAGEMENTS 2026'!L1910)</f>
        <v/>
      </c>
      <c r="O1910">
        <f>IF(ISBLANK('ENGAGEMENTS 2026'!C1910),"",'ENGAGEMENTS 2026'!M1910)</f>
        <v/>
      </c>
      <c r="P1910">
        <f>IF(ISBLANK('ENGAGEMENTS 2026'!C1910),"",'ENGAGEMENTS 2026'!K1910)</f>
        <v/>
      </c>
      <c r="Q1910">
        <f>IF($A1910="","",IF(OR($E1910="INFRUCTUEUX",$E1910="ANNULE"),$A1910&amp;"|"&amp;(COUNTIFS($A$2:$A1910,$A1910,$E$2:$E1910,"INFRUCTUEUX")+COUNTIFS($A$2:$A1910,$A1910,$E$2:$E1910,"ANNULE")),""))</f>
        <v/>
      </c>
    </row>
    <row r="1911">
      <c r="A1911">
        <f>IF(ISBLANK('ENGAGEMENTS 2026'!C1911),"",IF('ENGAGEMENTS 2026'!C1911="DTSI","DCT",'ENGAGEMENTS 2026'!C1911))</f>
        <v/>
      </c>
      <c r="B1911">
        <f>IF(ISBLANK('ENGAGEMENTS 2026'!C1911),"",'ENGAGEMENTS 2026'!D1911)</f>
        <v/>
      </c>
      <c r="C1911">
        <f>IF(ISBLANK('ENGAGEMENTS 2026'!C1911),"",'ENGAGEMENTS 2026'!E1911)</f>
        <v/>
      </c>
      <c r="D1911">
        <f>IF(ISBLANK('ENGAGEMENTS 2026'!C1911),"",'ENGAGEMENTS 2026'!G1911)</f>
        <v/>
      </c>
      <c r="E1911">
        <f>IF(ISBLANK('ENGAGEMENTS 2026'!C1911),"",'ENGAGEMENTS 2026'!I1911)</f>
        <v/>
      </c>
      <c r="F1911">
        <f>IF(ISBLANK('ENGAGEMENTS 2026'!C1911),"",'ENGAGEMENTS 2026'!J1911)</f>
        <v/>
      </c>
      <c r="G1911">
        <f>IF(ISBLANK('ENGAGEMENTS 2026'!C1911),"",'ENGAGEMENTS 2026'!M1911)</f>
        <v/>
      </c>
      <c r="H1911">
        <f>IF(ISBLANK('ENGAGEMENTS 2026'!C1911),"",'ENGAGEMENTS 2026'!AF1911)</f>
        <v/>
      </c>
      <c r="I1911">
        <f>IF(ISBLANK('ENGAGEMENTS 2026'!C1911),"",'ENGAGEMENTS 2026'!H1911)</f>
        <v/>
      </c>
      <c r="J1911" s="275">
        <f>IF(ISBLANK('ENGAGEMENTS 2026'!C1911),"",IF(AND(OR($E1911="INFRUCTUEUX",$E1911="ANNULE"),$C1911="AOO-M"),'ENGAGEMENTS 2026'!P1911,IF($H1911="EN COURS DE PREENGAGEMENT",'ENGAGEMENTS 2026'!O1911,IF($H1911="PREENGAGE",IF($E1911="ATTRIBUE",'ENGAGEMENTS 2026'!AE1911,'ENGAGEMENTS 2026'!O1911),'ENGAGEMENTS 2026'!AE1911))))</f>
        <v/>
      </c>
      <c r="K1911" s="604">
        <f>IF(ISBLANK('ENGAGEMENTS 2026'!W1911),"",'ENGAGEMENTS 2026'!W1911)</f>
        <v/>
      </c>
      <c r="L1911" s="276">
        <f>IF($K1911="","",TODAY()-$K1911)</f>
        <v/>
      </c>
      <c r="M1911">
        <f>IF($A1911="","",IF($H1911="ENGAGE","Engagé",IF(AND($H1911="NON ENGAGE",OR($I1911="INFRUCTUEUX",$I1911="ANNULE")),"Clôturé sans suite","En cours")))</f>
        <v/>
      </c>
      <c r="N1911">
        <f>IF(ISBLANK('ENGAGEMENTS 2026'!C1911),"",'ENGAGEMENTS 2026'!L1911)</f>
        <v/>
      </c>
      <c r="O1911">
        <f>IF(ISBLANK('ENGAGEMENTS 2026'!C1911),"",'ENGAGEMENTS 2026'!M1911)</f>
        <v/>
      </c>
      <c r="P1911">
        <f>IF(ISBLANK('ENGAGEMENTS 2026'!C1911),"",'ENGAGEMENTS 2026'!K1911)</f>
        <v/>
      </c>
      <c r="Q1911">
        <f>IF($A1911="","",IF(OR($E1911="INFRUCTUEUX",$E1911="ANNULE"),$A1911&amp;"|"&amp;(COUNTIFS($A$2:$A1911,$A1911,$E$2:$E1911,"INFRUCTUEUX")+COUNTIFS($A$2:$A1911,$A1911,$E$2:$E1911,"ANNULE")),""))</f>
        <v/>
      </c>
    </row>
    <row r="1912">
      <c r="A1912">
        <f>IF(ISBLANK('ENGAGEMENTS 2026'!C1912),"",IF('ENGAGEMENTS 2026'!C1912="DTSI","DCT",'ENGAGEMENTS 2026'!C1912))</f>
        <v/>
      </c>
      <c r="B1912">
        <f>IF(ISBLANK('ENGAGEMENTS 2026'!C1912),"",'ENGAGEMENTS 2026'!D1912)</f>
        <v/>
      </c>
      <c r="C1912">
        <f>IF(ISBLANK('ENGAGEMENTS 2026'!C1912),"",'ENGAGEMENTS 2026'!E1912)</f>
        <v/>
      </c>
      <c r="D1912">
        <f>IF(ISBLANK('ENGAGEMENTS 2026'!C1912),"",'ENGAGEMENTS 2026'!G1912)</f>
        <v/>
      </c>
      <c r="E1912">
        <f>IF(ISBLANK('ENGAGEMENTS 2026'!C1912),"",'ENGAGEMENTS 2026'!I1912)</f>
        <v/>
      </c>
      <c r="F1912">
        <f>IF(ISBLANK('ENGAGEMENTS 2026'!C1912),"",'ENGAGEMENTS 2026'!J1912)</f>
        <v/>
      </c>
      <c r="G1912">
        <f>IF(ISBLANK('ENGAGEMENTS 2026'!C1912),"",'ENGAGEMENTS 2026'!M1912)</f>
        <v/>
      </c>
      <c r="H1912">
        <f>IF(ISBLANK('ENGAGEMENTS 2026'!C1912),"",'ENGAGEMENTS 2026'!AF1912)</f>
        <v/>
      </c>
      <c r="I1912">
        <f>IF(ISBLANK('ENGAGEMENTS 2026'!C1912),"",'ENGAGEMENTS 2026'!H1912)</f>
        <v/>
      </c>
      <c r="J1912" s="275">
        <f>IF(ISBLANK('ENGAGEMENTS 2026'!C1912),"",IF(AND(OR($E1912="INFRUCTUEUX",$E1912="ANNULE"),$C1912="AOO-M"),'ENGAGEMENTS 2026'!P1912,IF($H1912="EN COURS DE PREENGAGEMENT",'ENGAGEMENTS 2026'!O1912,IF($H1912="PREENGAGE",IF($E1912="ATTRIBUE",'ENGAGEMENTS 2026'!AE1912,'ENGAGEMENTS 2026'!O1912),'ENGAGEMENTS 2026'!AE1912))))</f>
        <v/>
      </c>
      <c r="K1912" s="604">
        <f>IF(ISBLANK('ENGAGEMENTS 2026'!W1912),"",'ENGAGEMENTS 2026'!W1912)</f>
        <v/>
      </c>
      <c r="L1912" s="276">
        <f>IF($K1912="","",TODAY()-$K1912)</f>
        <v/>
      </c>
      <c r="M1912">
        <f>IF($A1912="","",IF($H1912="ENGAGE","Engagé",IF(AND($H1912="NON ENGAGE",OR($I1912="INFRUCTUEUX",$I1912="ANNULE")),"Clôturé sans suite","En cours")))</f>
        <v/>
      </c>
      <c r="N1912">
        <f>IF(ISBLANK('ENGAGEMENTS 2026'!C1912),"",'ENGAGEMENTS 2026'!L1912)</f>
        <v/>
      </c>
      <c r="O1912">
        <f>IF(ISBLANK('ENGAGEMENTS 2026'!C1912),"",'ENGAGEMENTS 2026'!M1912)</f>
        <v/>
      </c>
      <c r="P1912">
        <f>IF(ISBLANK('ENGAGEMENTS 2026'!C1912),"",'ENGAGEMENTS 2026'!K1912)</f>
        <v/>
      </c>
      <c r="Q1912">
        <f>IF($A1912="","",IF(OR($E1912="INFRUCTUEUX",$E1912="ANNULE"),$A1912&amp;"|"&amp;(COUNTIFS($A$2:$A1912,$A1912,$E$2:$E1912,"INFRUCTUEUX")+COUNTIFS($A$2:$A1912,$A1912,$E$2:$E1912,"ANNULE")),""))</f>
        <v/>
      </c>
    </row>
    <row r="1913">
      <c r="A1913">
        <f>IF(ISBLANK('ENGAGEMENTS 2026'!C1913),"",IF('ENGAGEMENTS 2026'!C1913="DTSI","DCT",'ENGAGEMENTS 2026'!C1913))</f>
        <v/>
      </c>
      <c r="B1913">
        <f>IF(ISBLANK('ENGAGEMENTS 2026'!C1913),"",'ENGAGEMENTS 2026'!D1913)</f>
        <v/>
      </c>
      <c r="C1913">
        <f>IF(ISBLANK('ENGAGEMENTS 2026'!C1913),"",'ENGAGEMENTS 2026'!E1913)</f>
        <v/>
      </c>
      <c r="D1913">
        <f>IF(ISBLANK('ENGAGEMENTS 2026'!C1913),"",'ENGAGEMENTS 2026'!G1913)</f>
        <v/>
      </c>
      <c r="E1913">
        <f>IF(ISBLANK('ENGAGEMENTS 2026'!C1913),"",'ENGAGEMENTS 2026'!I1913)</f>
        <v/>
      </c>
      <c r="F1913">
        <f>IF(ISBLANK('ENGAGEMENTS 2026'!C1913),"",'ENGAGEMENTS 2026'!J1913)</f>
        <v/>
      </c>
      <c r="G1913">
        <f>IF(ISBLANK('ENGAGEMENTS 2026'!C1913),"",'ENGAGEMENTS 2026'!M1913)</f>
        <v/>
      </c>
      <c r="H1913">
        <f>IF(ISBLANK('ENGAGEMENTS 2026'!C1913),"",'ENGAGEMENTS 2026'!AF1913)</f>
        <v/>
      </c>
      <c r="I1913">
        <f>IF(ISBLANK('ENGAGEMENTS 2026'!C1913),"",'ENGAGEMENTS 2026'!H1913)</f>
        <v/>
      </c>
      <c r="J1913" s="275">
        <f>IF(ISBLANK('ENGAGEMENTS 2026'!C1913),"",IF(AND(OR($E1913="INFRUCTUEUX",$E1913="ANNULE"),$C1913="AOO-M"),'ENGAGEMENTS 2026'!P1913,IF($H1913="EN COURS DE PREENGAGEMENT",'ENGAGEMENTS 2026'!O1913,IF($H1913="PREENGAGE",IF($E1913="ATTRIBUE",'ENGAGEMENTS 2026'!AE1913,'ENGAGEMENTS 2026'!O1913),'ENGAGEMENTS 2026'!AE1913))))</f>
        <v/>
      </c>
      <c r="K1913" s="604">
        <f>IF(ISBLANK('ENGAGEMENTS 2026'!W1913),"",'ENGAGEMENTS 2026'!W1913)</f>
        <v/>
      </c>
      <c r="L1913" s="276">
        <f>IF($K1913="","",TODAY()-$K1913)</f>
        <v/>
      </c>
      <c r="M1913">
        <f>IF($A1913="","",IF($H1913="ENGAGE","Engagé",IF(AND($H1913="NON ENGAGE",OR($I1913="INFRUCTUEUX",$I1913="ANNULE")),"Clôturé sans suite","En cours")))</f>
        <v/>
      </c>
      <c r="N1913">
        <f>IF(ISBLANK('ENGAGEMENTS 2026'!C1913),"",'ENGAGEMENTS 2026'!L1913)</f>
        <v/>
      </c>
      <c r="O1913">
        <f>IF(ISBLANK('ENGAGEMENTS 2026'!C1913),"",'ENGAGEMENTS 2026'!M1913)</f>
        <v/>
      </c>
      <c r="P1913">
        <f>IF(ISBLANK('ENGAGEMENTS 2026'!C1913),"",'ENGAGEMENTS 2026'!K1913)</f>
        <v/>
      </c>
      <c r="Q1913">
        <f>IF($A1913="","",IF(OR($E1913="INFRUCTUEUX",$E1913="ANNULE"),$A1913&amp;"|"&amp;(COUNTIFS($A$2:$A1913,$A1913,$E$2:$E1913,"INFRUCTUEUX")+COUNTIFS($A$2:$A1913,$A1913,$E$2:$E1913,"ANNULE")),""))</f>
        <v/>
      </c>
    </row>
    <row r="1914">
      <c r="A1914">
        <f>IF(ISBLANK('ENGAGEMENTS 2026'!C1914),"",IF('ENGAGEMENTS 2026'!C1914="DTSI","DCT",'ENGAGEMENTS 2026'!C1914))</f>
        <v/>
      </c>
      <c r="B1914">
        <f>IF(ISBLANK('ENGAGEMENTS 2026'!C1914),"",'ENGAGEMENTS 2026'!D1914)</f>
        <v/>
      </c>
      <c r="C1914">
        <f>IF(ISBLANK('ENGAGEMENTS 2026'!C1914),"",'ENGAGEMENTS 2026'!E1914)</f>
        <v/>
      </c>
      <c r="D1914">
        <f>IF(ISBLANK('ENGAGEMENTS 2026'!C1914),"",'ENGAGEMENTS 2026'!G1914)</f>
        <v/>
      </c>
      <c r="E1914">
        <f>IF(ISBLANK('ENGAGEMENTS 2026'!C1914),"",'ENGAGEMENTS 2026'!I1914)</f>
        <v/>
      </c>
      <c r="F1914">
        <f>IF(ISBLANK('ENGAGEMENTS 2026'!C1914),"",'ENGAGEMENTS 2026'!J1914)</f>
        <v/>
      </c>
      <c r="G1914">
        <f>IF(ISBLANK('ENGAGEMENTS 2026'!C1914),"",'ENGAGEMENTS 2026'!M1914)</f>
        <v/>
      </c>
      <c r="H1914">
        <f>IF(ISBLANK('ENGAGEMENTS 2026'!C1914),"",'ENGAGEMENTS 2026'!AF1914)</f>
        <v/>
      </c>
      <c r="I1914">
        <f>IF(ISBLANK('ENGAGEMENTS 2026'!C1914),"",'ENGAGEMENTS 2026'!H1914)</f>
        <v/>
      </c>
      <c r="J1914" s="275">
        <f>IF(ISBLANK('ENGAGEMENTS 2026'!C1914),"",IF(AND(OR($E1914="INFRUCTUEUX",$E1914="ANNULE"),$C1914="AOO-M"),'ENGAGEMENTS 2026'!P1914,IF($H1914="EN COURS DE PREENGAGEMENT",'ENGAGEMENTS 2026'!O1914,IF($H1914="PREENGAGE",IF($E1914="ATTRIBUE",'ENGAGEMENTS 2026'!AE1914,'ENGAGEMENTS 2026'!O1914),'ENGAGEMENTS 2026'!AE1914))))</f>
        <v/>
      </c>
      <c r="K1914" s="604">
        <f>IF(ISBLANK('ENGAGEMENTS 2026'!W1914),"",'ENGAGEMENTS 2026'!W1914)</f>
        <v/>
      </c>
      <c r="L1914" s="276">
        <f>IF($K1914="","",TODAY()-$K1914)</f>
        <v/>
      </c>
      <c r="M1914">
        <f>IF($A1914="","",IF($H1914="ENGAGE","Engagé",IF(AND($H1914="NON ENGAGE",OR($I1914="INFRUCTUEUX",$I1914="ANNULE")),"Clôturé sans suite","En cours")))</f>
        <v/>
      </c>
      <c r="N1914">
        <f>IF(ISBLANK('ENGAGEMENTS 2026'!C1914),"",'ENGAGEMENTS 2026'!L1914)</f>
        <v/>
      </c>
      <c r="O1914">
        <f>IF(ISBLANK('ENGAGEMENTS 2026'!C1914),"",'ENGAGEMENTS 2026'!M1914)</f>
        <v/>
      </c>
      <c r="P1914">
        <f>IF(ISBLANK('ENGAGEMENTS 2026'!C1914),"",'ENGAGEMENTS 2026'!K1914)</f>
        <v/>
      </c>
      <c r="Q1914">
        <f>IF($A1914="","",IF(OR($E1914="INFRUCTUEUX",$E1914="ANNULE"),$A1914&amp;"|"&amp;(COUNTIFS($A$2:$A1914,$A1914,$E$2:$E1914,"INFRUCTUEUX")+COUNTIFS($A$2:$A1914,$A1914,$E$2:$E1914,"ANNULE")),""))</f>
        <v/>
      </c>
    </row>
    <row r="1915">
      <c r="A1915">
        <f>IF(ISBLANK('ENGAGEMENTS 2026'!C1915),"",IF('ENGAGEMENTS 2026'!C1915="DTSI","DCT",'ENGAGEMENTS 2026'!C1915))</f>
        <v/>
      </c>
      <c r="B1915">
        <f>IF(ISBLANK('ENGAGEMENTS 2026'!C1915),"",'ENGAGEMENTS 2026'!D1915)</f>
        <v/>
      </c>
      <c r="C1915">
        <f>IF(ISBLANK('ENGAGEMENTS 2026'!C1915),"",'ENGAGEMENTS 2026'!E1915)</f>
        <v/>
      </c>
      <c r="D1915">
        <f>IF(ISBLANK('ENGAGEMENTS 2026'!C1915),"",'ENGAGEMENTS 2026'!G1915)</f>
        <v/>
      </c>
      <c r="E1915">
        <f>IF(ISBLANK('ENGAGEMENTS 2026'!C1915),"",'ENGAGEMENTS 2026'!I1915)</f>
        <v/>
      </c>
      <c r="F1915">
        <f>IF(ISBLANK('ENGAGEMENTS 2026'!C1915),"",'ENGAGEMENTS 2026'!J1915)</f>
        <v/>
      </c>
      <c r="G1915">
        <f>IF(ISBLANK('ENGAGEMENTS 2026'!C1915),"",'ENGAGEMENTS 2026'!M1915)</f>
        <v/>
      </c>
      <c r="H1915">
        <f>IF(ISBLANK('ENGAGEMENTS 2026'!C1915),"",'ENGAGEMENTS 2026'!AF1915)</f>
        <v/>
      </c>
      <c r="I1915">
        <f>IF(ISBLANK('ENGAGEMENTS 2026'!C1915),"",'ENGAGEMENTS 2026'!H1915)</f>
        <v/>
      </c>
      <c r="J1915" s="275">
        <f>IF(ISBLANK('ENGAGEMENTS 2026'!C1915),"",IF(AND(OR($E1915="INFRUCTUEUX",$E1915="ANNULE"),$C1915="AOO-M"),'ENGAGEMENTS 2026'!P1915,IF($H1915="EN COURS DE PREENGAGEMENT",'ENGAGEMENTS 2026'!O1915,IF($H1915="PREENGAGE",IF($E1915="ATTRIBUE",'ENGAGEMENTS 2026'!AE1915,'ENGAGEMENTS 2026'!O1915),'ENGAGEMENTS 2026'!AE1915))))</f>
        <v/>
      </c>
      <c r="K1915" s="604">
        <f>IF(ISBLANK('ENGAGEMENTS 2026'!W1915),"",'ENGAGEMENTS 2026'!W1915)</f>
        <v/>
      </c>
      <c r="L1915" s="276">
        <f>IF($K1915="","",TODAY()-$K1915)</f>
        <v/>
      </c>
      <c r="M1915">
        <f>IF($A1915="","",IF($H1915="ENGAGE","Engagé",IF(AND($H1915="NON ENGAGE",OR($I1915="INFRUCTUEUX",$I1915="ANNULE")),"Clôturé sans suite","En cours")))</f>
        <v/>
      </c>
      <c r="N1915">
        <f>IF(ISBLANK('ENGAGEMENTS 2026'!C1915),"",'ENGAGEMENTS 2026'!L1915)</f>
        <v/>
      </c>
      <c r="O1915">
        <f>IF(ISBLANK('ENGAGEMENTS 2026'!C1915),"",'ENGAGEMENTS 2026'!M1915)</f>
        <v/>
      </c>
      <c r="P1915">
        <f>IF(ISBLANK('ENGAGEMENTS 2026'!C1915),"",'ENGAGEMENTS 2026'!K1915)</f>
        <v/>
      </c>
      <c r="Q1915">
        <f>IF($A1915="","",IF(OR($E1915="INFRUCTUEUX",$E1915="ANNULE"),$A1915&amp;"|"&amp;(COUNTIFS($A$2:$A1915,$A1915,$E$2:$E1915,"INFRUCTUEUX")+COUNTIFS($A$2:$A1915,$A1915,$E$2:$E1915,"ANNULE")),""))</f>
        <v/>
      </c>
    </row>
    <row r="1916">
      <c r="A1916">
        <f>IF(ISBLANK('ENGAGEMENTS 2026'!C1916),"",IF('ENGAGEMENTS 2026'!C1916="DTSI","DCT",'ENGAGEMENTS 2026'!C1916))</f>
        <v/>
      </c>
      <c r="B1916">
        <f>IF(ISBLANK('ENGAGEMENTS 2026'!C1916),"",'ENGAGEMENTS 2026'!D1916)</f>
        <v/>
      </c>
      <c r="C1916">
        <f>IF(ISBLANK('ENGAGEMENTS 2026'!C1916),"",'ENGAGEMENTS 2026'!E1916)</f>
        <v/>
      </c>
      <c r="D1916">
        <f>IF(ISBLANK('ENGAGEMENTS 2026'!C1916),"",'ENGAGEMENTS 2026'!G1916)</f>
        <v/>
      </c>
      <c r="E1916">
        <f>IF(ISBLANK('ENGAGEMENTS 2026'!C1916),"",'ENGAGEMENTS 2026'!I1916)</f>
        <v/>
      </c>
      <c r="F1916">
        <f>IF(ISBLANK('ENGAGEMENTS 2026'!C1916),"",'ENGAGEMENTS 2026'!J1916)</f>
        <v/>
      </c>
      <c r="G1916">
        <f>IF(ISBLANK('ENGAGEMENTS 2026'!C1916),"",'ENGAGEMENTS 2026'!M1916)</f>
        <v/>
      </c>
      <c r="H1916">
        <f>IF(ISBLANK('ENGAGEMENTS 2026'!C1916),"",'ENGAGEMENTS 2026'!AF1916)</f>
        <v/>
      </c>
      <c r="I1916">
        <f>IF(ISBLANK('ENGAGEMENTS 2026'!C1916),"",'ENGAGEMENTS 2026'!H1916)</f>
        <v/>
      </c>
      <c r="J1916" s="275">
        <f>IF(ISBLANK('ENGAGEMENTS 2026'!C1916),"",IF(AND(OR($E1916="INFRUCTUEUX",$E1916="ANNULE"),$C1916="AOO-M"),'ENGAGEMENTS 2026'!P1916,IF($H1916="EN COURS DE PREENGAGEMENT",'ENGAGEMENTS 2026'!O1916,IF($H1916="PREENGAGE",IF($E1916="ATTRIBUE",'ENGAGEMENTS 2026'!AE1916,'ENGAGEMENTS 2026'!O1916),'ENGAGEMENTS 2026'!AE1916))))</f>
        <v/>
      </c>
      <c r="K1916" s="604">
        <f>IF(ISBLANK('ENGAGEMENTS 2026'!W1916),"",'ENGAGEMENTS 2026'!W1916)</f>
        <v/>
      </c>
      <c r="L1916" s="276">
        <f>IF($K1916="","",TODAY()-$K1916)</f>
        <v/>
      </c>
      <c r="M1916">
        <f>IF($A1916="","",IF($H1916="ENGAGE","Engagé",IF(AND($H1916="NON ENGAGE",OR($I1916="INFRUCTUEUX",$I1916="ANNULE")),"Clôturé sans suite","En cours")))</f>
        <v/>
      </c>
      <c r="N1916">
        <f>IF(ISBLANK('ENGAGEMENTS 2026'!C1916),"",'ENGAGEMENTS 2026'!L1916)</f>
        <v/>
      </c>
      <c r="O1916">
        <f>IF(ISBLANK('ENGAGEMENTS 2026'!C1916),"",'ENGAGEMENTS 2026'!M1916)</f>
        <v/>
      </c>
      <c r="P1916">
        <f>IF(ISBLANK('ENGAGEMENTS 2026'!C1916),"",'ENGAGEMENTS 2026'!K1916)</f>
        <v/>
      </c>
      <c r="Q1916">
        <f>IF($A1916="","",IF(OR($E1916="INFRUCTUEUX",$E1916="ANNULE"),$A1916&amp;"|"&amp;(COUNTIFS($A$2:$A1916,$A1916,$E$2:$E1916,"INFRUCTUEUX")+COUNTIFS($A$2:$A1916,$A1916,$E$2:$E1916,"ANNULE")),""))</f>
        <v/>
      </c>
    </row>
    <row r="1917">
      <c r="A1917">
        <f>IF(ISBLANK('ENGAGEMENTS 2026'!C1917),"",IF('ENGAGEMENTS 2026'!C1917="DTSI","DCT",'ENGAGEMENTS 2026'!C1917))</f>
        <v/>
      </c>
      <c r="B1917">
        <f>IF(ISBLANK('ENGAGEMENTS 2026'!C1917),"",'ENGAGEMENTS 2026'!D1917)</f>
        <v/>
      </c>
      <c r="C1917">
        <f>IF(ISBLANK('ENGAGEMENTS 2026'!C1917),"",'ENGAGEMENTS 2026'!E1917)</f>
        <v/>
      </c>
      <c r="D1917">
        <f>IF(ISBLANK('ENGAGEMENTS 2026'!C1917),"",'ENGAGEMENTS 2026'!G1917)</f>
        <v/>
      </c>
      <c r="E1917">
        <f>IF(ISBLANK('ENGAGEMENTS 2026'!C1917),"",'ENGAGEMENTS 2026'!I1917)</f>
        <v/>
      </c>
      <c r="F1917">
        <f>IF(ISBLANK('ENGAGEMENTS 2026'!C1917),"",'ENGAGEMENTS 2026'!J1917)</f>
        <v/>
      </c>
      <c r="G1917">
        <f>IF(ISBLANK('ENGAGEMENTS 2026'!C1917),"",'ENGAGEMENTS 2026'!M1917)</f>
        <v/>
      </c>
      <c r="H1917">
        <f>IF(ISBLANK('ENGAGEMENTS 2026'!C1917),"",'ENGAGEMENTS 2026'!AF1917)</f>
        <v/>
      </c>
      <c r="I1917">
        <f>IF(ISBLANK('ENGAGEMENTS 2026'!C1917),"",'ENGAGEMENTS 2026'!H1917)</f>
        <v/>
      </c>
      <c r="J1917" s="275">
        <f>IF(ISBLANK('ENGAGEMENTS 2026'!C1917),"",IF(AND(OR($E1917="INFRUCTUEUX",$E1917="ANNULE"),$C1917="AOO-M"),'ENGAGEMENTS 2026'!P1917,IF($H1917="EN COURS DE PREENGAGEMENT",'ENGAGEMENTS 2026'!O1917,IF($H1917="PREENGAGE",IF($E1917="ATTRIBUE",'ENGAGEMENTS 2026'!AE1917,'ENGAGEMENTS 2026'!O1917),'ENGAGEMENTS 2026'!AE1917))))</f>
        <v/>
      </c>
      <c r="K1917" s="604">
        <f>IF(ISBLANK('ENGAGEMENTS 2026'!W1917),"",'ENGAGEMENTS 2026'!W1917)</f>
        <v/>
      </c>
      <c r="L1917" s="276">
        <f>IF($K1917="","",TODAY()-$K1917)</f>
        <v/>
      </c>
      <c r="M1917">
        <f>IF($A1917="","",IF($H1917="ENGAGE","Engagé",IF(AND($H1917="NON ENGAGE",OR($I1917="INFRUCTUEUX",$I1917="ANNULE")),"Clôturé sans suite","En cours")))</f>
        <v/>
      </c>
      <c r="N1917">
        <f>IF(ISBLANK('ENGAGEMENTS 2026'!C1917),"",'ENGAGEMENTS 2026'!L1917)</f>
        <v/>
      </c>
      <c r="O1917">
        <f>IF(ISBLANK('ENGAGEMENTS 2026'!C1917),"",'ENGAGEMENTS 2026'!M1917)</f>
        <v/>
      </c>
      <c r="P1917">
        <f>IF(ISBLANK('ENGAGEMENTS 2026'!C1917),"",'ENGAGEMENTS 2026'!K1917)</f>
        <v/>
      </c>
      <c r="Q1917">
        <f>IF($A1917="","",IF(OR($E1917="INFRUCTUEUX",$E1917="ANNULE"),$A1917&amp;"|"&amp;(COUNTIFS($A$2:$A1917,$A1917,$E$2:$E1917,"INFRUCTUEUX")+COUNTIFS($A$2:$A1917,$A1917,$E$2:$E1917,"ANNULE")),""))</f>
        <v/>
      </c>
    </row>
    <row r="1918">
      <c r="A1918">
        <f>IF(ISBLANK('ENGAGEMENTS 2026'!C1918),"",IF('ENGAGEMENTS 2026'!C1918="DTSI","DCT",'ENGAGEMENTS 2026'!C1918))</f>
        <v/>
      </c>
      <c r="B1918">
        <f>IF(ISBLANK('ENGAGEMENTS 2026'!C1918),"",'ENGAGEMENTS 2026'!D1918)</f>
        <v/>
      </c>
      <c r="C1918">
        <f>IF(ISBLANK('ENGAGEMENTS 2026'!C1918),"",'ENGAGEMENTS 2026'!E1918)</f>
        <v/>
      </c>
      <c r="D1918">
        <f>IF(ISBLANK('ENGAGEMENTS 2026'!C1918),"",'ENGAGEMENTS 2026'!G1918)</f>
        <v/>
      </c>
      <c r="E1918">
        <f>IF(ISBLANK('ENGAGEMENTS 2026'!C1918),"",'ENGAGEMENTS 2026'!I1918)</f>
        <v/>
      </c>
      <c r="F1918">
        <f>IF(ISBLANK('ENGAGEMENTS 2026'!C1918),"",'ENGAGEMENTS 2026'!J1918)</f>
        <v/>
      </c>
      <c r="G1918">
        <f>IF(ISBLANK('ENGAGEMENTS 2026'!C1918),"",'ENGAGEMENTS 2026'!M1918)</f>
        <v/>
      </c>
      <c r="H1918">
        <f>IF(ISBLANK('ENGAGEMENTS 2026'!C1918),"",'ENGAGEMENTS 2026'!AF1918)</f>
        <v/>
      </c>
      <c r="I1918">
        <f>IF(ISBLANK('ENGAGEMENTS 2026'!C1918),"",'ENGAGEMENTS 2026'!H1918)</f>
        <v/>
      </c>
      <c r="J1918" s="275">
        <f>IF(ISBLANK('ENGAGEMENTS 2026'!C1918),"",IF(AND(OR($E1918="INFRUCTUEUX",$E1918="ANNULE"),$C1918="AOO-M"),'ENGAGEMENTS 2026'!P1918,IF($H1918="EN COURS DE PREENGAGEMENT",'ENGAGEMENTS 2026'!O1918,IF($H1918="PREENGAGE",IF($E1918="ATTRIBUE",'ENGAGEMENTS 2026'!AE1918,'ENGAGEMENTS 2026'!O1918),'ENGAGEMENTS 2026'!AE1918))))</f>
        <v/>
      </c>
      <c r="K1918" s="604">
        <f>IF(ISBLANK('ENGAGEMENTS 2026'!W1918),"",'ENGAGEMENTS 2026'!W1918)</f>
        <v/>
      </c>
      <c r="L1918" s="276">
        <f>IF($K1918="","",TODAY()-$K1918)</f>
        <v/>
      </c>
      <c r="M1918">
        <f>IF($A1918="","",IF($H1918="ENGAGE","Engagé",IF(AND($H1918="NON ENGAGE",OR($I1918="INFRUCTUEUX",$I1918="ANNULE")),"Clôturé sans suite","En cours")))</f>
        <v/>
      </c>
      <c r="N1918">
        <f>IF(ISBLANK('ENGAGEMENTS 2026'!C1918),"",'ENGAGEMENTS 2026'!L1918)</f>
        <v/>
      </c>
      <c r="O1918">
        <f>IF(ISBLANK('ENGAGEMENTS 2026'!C1918),"",'ENGAGEMENTS 2026'!M1918)</f>
        <v/>
      </c>
      <c r="P1918">
        <f>IF(ISBLANK('ENGAGEMENTS 2026'!C1918),"",'ENGAGEMENTS 2026'!K1918)</f>
        <v/>
      </c>
      <c r="Q1918">
        <f>IF($A1918="","",IF(OR($E1918="INFRUCTUEUX",$E1918="ANNULE"),$A1918&amp;"|"&amp;(COUNTIFS($A$2:$A1918,$A1918,$E$2:$E1918,"INFRUCTUEUX")+COUNTIFS($A$2:$A1918,$A1918,$E$2:$E1918,"ANNULE")),""))</f>
        <v/>
      </c>
    </row>
    <row r="1919">
      <c r="A1919">
        <f>IF(ISBLANK('ENGAGEMENTS 2026'!C1919),"",IF('ENGAGEMENTS 2026'!C1919="DTSI","DCT",'ENGAGEMENTS 2026'!C1919))</f>
        <v/>
      </c>
      <c r="B1919">
        <f>IF(ISBLANK('ENGAGEMENTS 2026'!C1919),"",'ENGAGEMENTS 2026'!D1919)</f>
        <v/>
      </c>
      <c r="C1919">
        <f>IF(ISBLANK('ENGAGEMENTS 2026'!C1919),"",'ENGAGEMENTS 2026'!E1919)</f>
        <v/>
      </c>
      <c r="D1919">
        <f>IF(ISBLANK('ENGAGEMENTS 2026'!C1919),"",'ENGAGEMENTS 2026'!G1919)</f>
        <v/>
      </c>
      <c r="E1919">
        <f>IF(ISBLANK('ENGAGEMENTS 2026'!C1919),"",'ENGAGEMENTS 2026'!I1919)</f>
        <v/>
      </c>
      <c r="F1919">
        <f>IF(ISBLANK('ENGAGEMENTS 2026'!C1919),"",'ENGAGEMENTS 2026'!J1919)</f>
        <v/>
      </c>
      <c r="G1919">
        <f>IF(ISBLANK('ENGAGEMENTS 2026'!C1919),"",'ENGAGEMENTS 2026'!M1919)</f>
        <v/>
      </c>
      <c r="H1919">
        <f>IF(ISBLANK('ENGAGEMENTS 2026'!C1919),"",'ENGAGEMENTS 2026'!AF1919)</f>
        <v/>
      </c>
      <c r="I1919">
        <f>IF(ISBLANK('ENGAGEMENTS 2026'!C1919),"",'ENGAGEMENTS 2026'!H1919)</f>
        <v/>
      </c>
      <c r="J1919" s="275">
        <f>IF(ISBLANK('ENGAGEMENTS 2026'!C1919),"",IF(AND(OR($E1919="INFRUCTUEUX",$E1919="ANNULE"),$C1919="AOO-M"),'ENGAGEMENTS 2026'!P1919,IF($H1919="EN COURS DE PREENGAGEMENT",'ENGAGEMENTS 2026'!O1919,IF($H1919="PREENGAGE",IF($E1919="ATTRIBUE",'ENGAGEMENTS 2026'!AE1919,'ENGAGEMENTS 2026'!O1919),'ENGAGEMENTS 2026'!AE1919))))</f>
        <v/>
      </c>
      <c r="K1919" s="604">
        <f>IF(ISBLANK('ENGAGEMENTS 2026'!W1919),"",'ENGAGEMENTS 2026'!W1919)</f>
        <v/>
      </c>
      <c r="L1919" s="276">
        <f>IF($K1919="","",TODAY()-$K1919)</f>
        <v/>
      </c>
      <c r="M1919">
        <f>IF($A1919="","",IF($H1919="ENGAGE","Engagé",IF(AND($H1919="NON ENGAGE",OR($I1919="INFRUCTUEUX",$I1919="ANNULE")),"Clôturé sans suite","En cours")))</f>
        <v/>
      </c>
      <c r="N1919">
        <f>IF(ISBLANK('ENGAGEMENTS 2026'!C1919),"",'ENGAGEMENTS 2026'!L1919)</f>
        <v/>
      </c>
      <c r="O1919">
        <f>IF(ISBLANK('ENGAGEMENTS 2026'!C1919),"",'ENGAGEMENTS 2026'!M1919)</f>
        <v/>
      </c>
      <c r="P1919">
        <f>IF(ISBLANK('ENGAGEMENTS 2026'!C1919),"",'ENGAGEMENTS 2026'!K1919)</f>
        <v/>
      </c>
      <c r="Q1919">
        <f>IF($A1919="","",IF(OR($E1919="INFRUCTUEUX",$E1919="ANNULE"),$A1919&amp;"|"&amp;(COUNTIFS($A$2:$A1919,$A1919,$E$2:$E1919,"INFRUCTUEUX")+COUNTIFS($A$2:$A1919,$A1919,$E$2:$E1919,"ANNULE")),""))</f>
        <v/>
      </c>
    </row>
    <row r="1920">
      <c r="A1920">
        <f>IF(ISBLANK('ENGAGEMENTS 2026'!C1920),"",IF('ENGAGEMENTS 2026'!C1920="DTSI","DCT",'ENGAGEMENTS 2026'!C1920))</f>
        <v/>
      </c>
      <c r="B1920">
        <f>IF(ISBLANK('ENGAGEMENTS 2026'!C1920),"",'ENGAGEMENTS 2026'!D1920)</f>
        <v/>
      </c>
      <c r="C1920">
        <f>IF(ISBLANK('ENGAGEMENTS 2026'!C1920),"",'ENGAGEMENTS 2026'!E1920)</f>
        <v/>
      </c>
      <c r="D1920">
        <f>IF(ISBLANK('ENGAGEMENTS 2026'!C1920),"",'ENGAGEMENTS 2026'!G1920)</f>
        <v/>
      </c>
      <c r="E1920">
        <f>IF(ISBLANK('ENGAGEMENTS 2026'!C1920),"",'ENGAGEMENTS 2026'!I1920)</f>
        <v/>
      </c>
      <c r="F1920">
        <f>IF(ISBLANK('ENGAGEMENTS 2026'!C1920),"",'ENGAGEMENTS 2026'!J1920)</f>
        <v/>
      </c>
      <c r="G1920">
        <f>IF(ISBLANK('ENGAGEMENTS 2026'!C1920),"",'ENGAGEMENTS 2026'!M1920)</f>
        <v/>
      </c>
      <c r="H1920">
        <f>IF(ISBLANK('ENGAGEMENTS 2026'!C1920),"",'ENGAGEMENTS 2026'!AF1920)</f>
        <v/>
      </c>
      <c r="I1920">
        <f>IF(ISBLANK('ENGAGEMENTS 2026'!C1920),"",'ENGAGEMENTS 2026'!H1920)</f>
        <v/>
      </c>
      <c r="J1920" s="275">
        <f>IF(ISBLANK('ENGAGEMENTS 2026'!C1920),"",IF(AND(OR($E1920="INFRUCTUEUX",$E1920="ANNULE"),$C1920="AOO-M"),'ENGAGEMENTS 2026'!P1920,IF($H1920="EN COURS DE PREENGAGEMENT",'ENGAGEMENTS 2026'!O1920,IF($H1920="PREENGAGE",IF($E1920="ATTRIBUE",'ENGAGEMENTS 2026'!AE1920,'ENGAGEMENTS 2026'!O1920),'ENGAGEMENTS 2026'!AE1920))))</f>
        <v/>
      </c>
      <c r="K1920" s="604">
        <f>IF(ISBLANK('ENGAGEMENTS 2026'!W1920),"",'ENGAGEMENTS 2026'!W1920)</f>
        <v/>
      </c>
      <c r="L1920" s="276">
        <f>IF($K1920="","",TODAY()-$K1920)</f>
        <v/>
      </c>
      <c r="M1920">
        <f>IF($A1920="","",IF($H1920="ENGAGE","Engagé",IF(AND($H1920="NON ENGAGE",OR($I1920="INFRUCTUEUX",$I1920="ANNULE")),"Clôturé sans suite","En cours")))</f>
        <v/>
      </c>
      <c r="N1920">
        <f>IF(ISBLANK('ENGAGEMENTS 2026'!C1920),"",'ENGAGEMENTS 2026'!L1920)</f>
        <v/>
      </c>
      <c r="O1920">
        <f>IF(ISBLANK('ENGAGEMENTS 2026'!C1920),"",'ENGAGEMENTS 2026'!M1920)</f>
        <v/>
      </c>
      <c r="P1920">
        <f>IF(ISBLANK('ENGAGEMENTS 2026'!C1920),"",'ENGAGEMENTS 2026'!K1920)</f>
        <v/>
      </c>
      <c r="Q1920">
        <f>IF($A1920="","",IF(OR($E1920="INFRUCTUEUX",$E1920="ANNULE"),$A1920&amp;"|"&amp;(COUNTIFS($A$2:$A1920,$A1920,$E$2:$E1920,"INFRUCTUEUX")+COUNTIFS($A$2:$A1920,$A1920,$E$2:$E1920,"ANNULE")),""))</f>
        <v/>
      </c>
    </row>
    <row r="1921">
      <c r="A1921">
        <f>IF(ISBLANK('ENGAGEMENTS 2026'!C1921),"",IF('ENGAGEMENTS 2026'!C1921="DTSI","DCT",'ENGAGEMENTS 2026'!C1921))</f>
        <v/>
      </c>
      <c r="B1921">
        <f>IF(ISBLANK('ENGAGEMENTS 2026'!C1921),"",'ENGAGEMENTS 2026'!D1921)</f>
        <v/>
      </c>
      <c r="C1921">
        <f>IF(ISBLANK('ENGAGEMENTS 2026'!C1921),"",'ENGAGEMENTS 2026'!E1921)</f>
        <v/>
      </c>
      <c r="D1921">
        <f>IF(ISBLANK('ENGAGEMENTS 2026'!C1921),"",'ENGAGEMENTS 2026'!G1921)</f>
        <v/>
      </c>
      <c r="E1921">
        <f>IF(ISBLANK('ENGAGEMENTS 2026'!C1921),"",'ENGAGEMENTS 2026'!I1921)</f>
        <v/>
      </c>
      <c r="F1921">
        <f>IF(ISBLANK('ENGAGEMENTS 2026'!C1921),"",'ENGAGEMENTS 2026'!J1921)</f>
        <v/>
      </c>
      <c r="G1921">
        <f>IF(ISBLANK('ENGAGEMENTS 2026'!C1921),"",'ENGAGEMENTS 2026'!M1921)</f>
        <v/>
      </c>
      <c r="H1921">
        <f>IF(ISBLANK('ENGAGEMENTS 2026'!C1921),"",'ENGAGEMENTS 2026'!AF1921)</f>
        <v/>
      </c>
      <c r="I1921">
        <f>IF(ISBLANK('ENGAGEMENTS 2026'!C1921),"",'ENGAGEMENTS 2026'!H1921)</f>
        <v/>
      </c>
      <c r="J1921" s="275">
        <f>IF(ISBLANK('ENGAGEMENTS 2026'!C1921),"",IF(AND(OR($E1921="INFRUCTUEUX",$E1921="ANNULE"),$C1921="AOO-M"),'ENGAGEMENTS 2026'!P1921,IF($H1921="EN COURS DE PREENGAGEMENT",'ENGAGEMENTS 2026'!O1921,IF($H1921="PREENGAGE",IF($E1921="ATTRIBUE",'ENGAGEMENTS 2026'!AE1921,'ENGAGEMENTS 2026'!O1921),'ENGAGEMENTS 2026'!AE1921))))</f>
        <v/>
      </c>
      <c r="K1921" s="604">
        <f>IF(ISBLANK('ENGAGEMENTS 2026'!W1921),"",'ENGAGEMENTS 2026'!W1921)</f>
        <v/>
      </c>
      <c r="L1921" s="276">
        <f>IF($K1921="","",TODAY()-$K1921)</f>
        <v/>
      </c>
      <c r="M1921">
        <f>IF($A1921="","",IF($H1921="ENGAGE","Engagé",IF(AND($H1921="NON ENGAGE",OR($I1921="INFRUCTUEUX",$I1921="ANNULE")),"Clôturé sans suite","En cours")))</f>
        <v/>
      </c>
      <c r="N1921">
        <f>IF(ISBLANK('ENGAGEMENTS 2026'!C1921),"",'ENGAGEMENTS 2026'!L1921)</f>
        <v/>
      </c>
      <c r="O1921">
        <f>IF(ISBLANK('ENGAGEMENTS 2026'!C1921),"",'ENGAGEMENTS 2026'!M1921)</f>
        <v/>
      </c>
      <c r="P1921">
        <f>IF(ISBLANK('ENGAGEMENTS 2026'!C1921),"",'ENGAGEMENTS 2026'!K1921)</f>
        <v/>
      </c>
      <c r="Q1921">
        <f>IF($A1921="","",IF(OR($E1921="INFRUCTUEUX",$E1921="ANNULE"),$A1921&amp;"|"&amp;(COUNTIFS($A$2:$A1921,$A1921,$E$2:$E1921,"INFRUCTUEUX")+COUNTIFS($A$2:$A1921,$A1921,$E$2:$E1921,"ANNULE")),""))</f>
        <v/>
      </c>
    </row>
    <row r="1922">
      <c r="A1922">
        <f>IF(ISBLANK('ENGAGEMENTS 2026'!C1922),"",IF('ENGAGEMENTS 2026'!C1922="DTSI","DCT",'ENGAGEMENTS 2026'!C1922))</f>
        <v/>
      </c>
      <c r="B1922">
        <f>IF(ISBLANK('ENGAGEMENTS 2026'!C1922),"",'ENGAGEMENTS 2026'!D1922)</f>
        <v/>
      </c>
      <c r="C1922">
        <f>IF(ISBLANK('ENGAGEMENTS 2026'!C1922),"",'ENGAGEMENTS 2026'!E1922)</f>
        <v/>
      </c>
      <c r="D1922">
        <f>IF(ISBLANK('ENGAGEMENTS 2026'!C1922),"",'ENGAGEMENTS 2026'!G1922)</f>
        <v/>
      </c>
      <c r="E1922">
        <f>IF(ISBLANK('ENGAGEMENTS 2026'!C1922),"",'ENGAGEMENTS 2026'!I1922)</f>
        <v/>
      </c>
      <c r="F1922">
        <f>IF(ISBLANK('ENGAGEMENTS 2026'!C1922),"",'ENGAGEMENTS 2026'!J1922)</f>
        <v/>
      </c>
      <c r="G1922">
        <f>IF(ISBLANK('ENGAGEMENTS 2026'!C1922),"",'ENGAGEMENTS 2026'!M1922)</f>
        <v/>
      </c>
      <c r="H1922">
        <f>IF(ISBLANK('ENGAGEMENTS 2026'!C1922),"",'ENGAGEMENTS 2026'!AF1922)</f>
        <v/>
      </c>
      <c r="I1922">
        <f>IF(ISBLANK('ENGAGEMENTS 2026'!C1922),"",'ENGAGEMENTS 2026'!H1922)</f>
        <v/>
      </c>
      <c r="J1922" s="275">
        <f>IF(ISBLANK('ENGAGEMENTS 2026'!C1922),"",IF(AND(OR($E1922="INFRUCTUEUX",$E1922="ANNULE"),$C1922="AOO-M"),'ENGAGEMENTS 2026'!P1922,IF($H1922="EN COURS DE PREENGAGEMENT",'ENGAGEMENTS 2026'!O1922,IF($H1922="PREENGAGE",IF($E1922="ATTRIBUE",'ENGAGEMENTS 2026'!AE1922,'ENGAGEMENTS 2026'!O1922),'ENGAGEMENTS 2026'!AE1922))))</f>
        <v/>
      </c>
      <c r="K1922" s="604">
        <f>IF(ISBLANK('ENGAGEMENTS 2026'!W1922),"",'ENGAGEMENTS 2026'!W1922)</f>
        <v/>
      </c>
      <c r="L1922" s="276">
        <f>IF($K1922="","",TODAY()-$K1922)</f>
        <v/>
      </c>
      <c r="M1922">
        <f>IF($A1922="","",IF($H1922="ENGAGE","Engagé",IF(AND($H1922="NON ENGAGE",OR($I1922="INFRUCTUEUX",$I1922="ANNULE")),"Clôturé sans suite","En cours")))</f>
        <v/>
      </c>
      <c r="N1922">
        <f>IF(ISBLANK('ENGAGEMENTS 2026'!C1922),"",'ENGAGEMENTS 2026'!L1922)</f>
        <v/>
      </c>
      <c r="O1922">
        <f>IF(ISBLANK('ENGAGEMENTS 2026'!C1922),"",'ENGAGEMENTS 2026'!M1922)</f>
        <v/>
      </c>
      <c r="P1922">
        <f>IF(ISBLANK('ENGAGEMENTS 2026'!C1922),"",'ENGAGEMENTS 2026'!K1922)</f>
        <v/>
      </c>
      <c r="Q1922">
        <f>IF($A1922="","",IF(OR($E1922="INFRUCTUEUX",$E1922="ANNULE"),$A1922&amp;"|"&amp;(COUNTIFS($A$2:$A1922,$A1922,$E$2:$E1922,"INFRUCTUEUX")+COUNTIFS($A$2:$A1922,$A1922,$E$2:$E1922,"ANNULE")),""))</f>
        <v/>
      </c>
    </row>
    <row r="1923">
      <c r="A1923">
        <f>IF(ISBLANK('ENGAGEMENTS 2026'!C1923),"",IF('ENGAGEMENTS 2026'!C1923="DTSI","DCT",'ENGAGEMENTS 2026'!C1923))</f>
        <v/>
      </c>
      <c r="B1923">
        <f>IF(ISBLANK('ENGAGEMENTS 2026'!C1923),"",'ENGAGEMENTS 2026'!D1923)</f>
        <v/>
      </c>
      <c r="C1923">
        <f>IF(ISBLANK('ENGAGEMENTS 2026'!C1923),"",'ENGAGEMENTS 2026'!E1923)</f>
        <v/>
      </c>
      <c r="D1923">
        <f>IF(ISBLANK('ENGAGEMENTS 2026'!C1923),"",'ENGAGEMENTS 2026'!G1923)</f>
        <v/>
      </c>
      <c r="E1923">
        <f>IF(ISBLANK('ENGAGEMENTS 2026'!C1923),"",'ENGAGEMENTS 2026'!I1923)</f>
        <v/>
      </c>
      <c r="F1923">
        <f>IF(ISBLANK('ENGAGEMENTS 2026'!C1923),"",'ENGAGEMENTS 2026'!J1923)</f>
        <v/>
      </c>
      <c r="G1923">
        <f>IF(ISBLANK('ENGAGEMENTS 2026'!C1923),"",'ENGAGEMENTS 2026'!M1923)</f>
        <v/>
      </c>
      <c r="H1923">
        <f>IF(ISBLANK('ENGAGEMENTS 2026'!C1923),"",'ENGAGEMENTS 2026'!AF1923)</f>
        <v/>
      </c>
      <c r="I1923">
        <f>IF(ISBLANK('ENGAGEMENTS 2026'!C1923),"",'ENGAGEMENTS 2026'!H1923)</f>
        <v/>
      </c>
      <c r="J1923" s="275">
        <f>IF(ISBLANK('ENGAGEMENTS 2026'!C1923),"",IF(AND(OR($E1923="INFRUCTUEUX",$E1923="ANNULE"),$C1923="AOO-M"),'ENGAGEMENTS 2026'!P1923,IF($H1923="EN COURS DE PREENGAGEMENT",'ENGAGEMENTS 2026'!O1923,IF($H1923="PREENGAGE",IF($E1923="ATTRIBUE",'ENGAGEMENTS 2026'!AE1923,'ENGAGEMENTS 2026'!O1923),'ENGAGEMENTS 2026'!AE1923))))</f>
        <v/>
      </c>
      <c r="K1923" s="604">
        <f>IF(ISBLANK('ENGAGEMENTS 2026'!W1923),"",'ENGAGEMENTS 2026'!W1923)</f>
        <v/>
      </c>
      <c r="L1923" s="276">
        <f>IF($K1923="","",TODAY()-$K1923)</f>
        <v/>
      </c>
      <c r="M1923">
        <f>IF($A1923="","",IF($H1923="ENGAGE","Engagé",IF(AND($H1923="NON ENGAGE",OR($I1923="INFRUCTUEUX",$I1923="ANNULE")),"Clôturé sans suite","En cours")))</f>
        <v/>
      </c>
      <c r="N1923">
        <f>IF(ISBLANK('ENGAGEMENTS 2026'!C1923),"",'ENGAGEMENTS 2026'!L1923)</f>
        <v/>
      </c>
      <c r="O1923">
        <f>IF(ISBLANK('ENGAGEMENTS 2026'!C1923),"",'ENGAGEMENTS 2026'!M1923)</f>
        <v/>
      </c>
      <c r="P1923">
        <f>IF(ISBLANK('ENGAGEMENTS 2026'!C1923),"",'ENGAGEMENTS 2026'!K1923)</f>
        <v/>
      </c>
      <c r="Q1923">
        <f>IF($A1923="","",IF(OR($E1923="INFRUCTUEUX",$E1923="ANNULE"),$A1923&amp;"|"&amp;(COUNTIFS($A$2:$A1923,$A1923,$E$2:$E1923,"INFRUCTUEUX")+COUNTIFS($A$2:$A1923,$A1923,$E$2:$E1923,"ANNULE")),""))</f>
        <v/>
      </c>
    </row>
    <row r="1924">
      <c r="A1924">
        <f>IF(ISBLANK('ENGAGEMENTS 2026'!C1924),"",IF('ENGAGEMENTS 2026'!C1924="DTSI","DCT",'ENGAGEMENTS 2026'!C1924))</f>
        <v/>
      </c>
      <c r="B1924">
        <f>IF(ISBLANK('ENGAGEMENTS 2026'!C1924),"",'ENGAGEMENTS 2026'!D1924)</f>
        <v/>
      </c>
      <c r="C1924">
        <f>IF(ISBLANK('ENGAGEMENTS 2026'!C1924),"",'ENGAGEMENTS 2026'!E1924)</f>
        <v/>
      </c>
      <c r="D1924">
        <f>IF(ISBLANK('ENGAGEMENTS 2026'!C1924),"",'ENGAGEMENTS 2026'!G1924)</f>
        <v/>
      </c>
      <c r="E1924">
        <f>IF(ISBLANK('ENGAGEMENTS 2026'!C1924),"",'ENGAGEMENTS 2026'!I1924)</f>
        <v/>
      </c>
      <c r="F1924">
        <f>IF(ISBLANK('ENGAGEMENTS 2026'!C1924),"",'ENGAGEMENTS 2026'!J1924)</f>
        <v/>
      </c>
      <c r="G1924">
        <f>IF(ISBLANK('ENGAGEMENTS 2026'!C1924),"",'ENGAGEMENTS 2026'!M1924)</f>
        <v/>
      </c>
      <c r="H1924">
        <f>IF(ISBLANK('ENGAGEMENTS 2026'!C1924),"",'ENGAGEMENTS 2026'!AF1924)</f>
        <v/>
      </c>
      <c r="I1924">
        <f>IF(ISBLANK('ENGAGEMENTS 2026'!C1924),"",'ENGAGEMENTS 2026'!H1924)</f>
        <v/>
      </c>
      <c r="J1924" s="275">
        <f>IF(ISBLANK('ENGAGEMENTS 2026'!C1924),"",IF(AND(OR($E1924="INFRUCTUEUX",$E1924="ANNULE"),$C1924="AOO-M"),'ENGAGEMENTS 2026'!P1924,IF($H1924="EN COURS DE PREENGAGEMENT",'ENGAGEMENTS 2026'!O1924,IF($H1924="PREENGAGE",IF($E1924="ATTRIBUE",'ENGAGEMENTS 2026'!AE1924,'ENGAGEMENTS 2026'!O1924),'ENGAGEMENTS 2026'!AE1924))))</f>
        <v/>
      </c>
      <c r="K1924" s="604">
        <f>IF(ISBLANK('ENGAGEMENTS 2026'!W1924),"",'ENGAGEMENTS 2026'!W1924)</f>
        <v/>
      </c>
      <c r="L1924" s="276">
        <f>IF($K1924="","",TODAY()-$K1924)</f>
        <v/>
      </c>
      <c r="M1924">
        <f>IF($A1924="","",IF($H1924="ENGAGE","Engagé",IF(AND($H1924="NON ENGAGE",OR($I1924="INFRUCTUEUX",$I1924="ANNULE")),"Clôturé sans suite","En cours")))</f>
        <v/>
      </c>
      <c r="N1924">
        <f>IF(ISBLANK('ENGAGEMENTS 2026'!C1924),"",'ENGAGEMENTS 2026'!L1924)</f>
        <v/>
      </c>
      <c r="O1924">
        <f>IF(ISBLANK('ENGAGEMENTS 2026'!C1924),"",'ENGAGEMENTS 2026'!M1924)</f>
        <v/>
      </c>
      <c r="P1924">
        <f>IF(ISBLANK('ENGAGEMENTS 2026'!C1924),"",'ENGAGEMENTS 2026'!K1924)</f>
        <v/>
      </c>
      <c r="Q1924">
        <f>IF($A1924="","",IF(OR($E1924="INFRUCTUEUX",$E1924="ANNULE"),$A1924&amp;"|"&amp;(COUNTIFS($A$2:$A1924,$A1924,$E$2:$E1924,"INFRUCTUEUX")+COUNTIFS($A$2:$A1924,$A1924,$E$2:$E1924,"ANNULE")),""))</f>
        <v/>
      </c>
    </row>
    <row r="1925">
      <c r="A1925">
        <f>IF(ISBLANK('ENGAGEMENTS 2026'!C1925),"",IF('ENGAGEMENTS 2026'!C1925="DTSI","DCT",'ENGAGEMENTS 2026'!C1925))</f>
        <v/>
      </c>
      <c r="B1925">
        <f>IF(ISBLANK('ENGAGEMENTS 2026'!C1925),"",'ENGAGEMENTS 2026'!D1925)</f>
        <v/>
      </c>
      <c r="C1925">
        <f>IF(ISBLANK('ENGAGEMENTS 2026'!C1925),"",'ENGAGEMENTS 2026'!E1925)</f>
        <v/>
      </c>
      <c r="D1925">
        <f>IF(ISBLANK('ENGAGEMENTS 2026'!C1925),"",'ENGAGEMENTS 2026'!G1925)</f>
        <v/>
      </c>
      <c r="E1925">
        <f>IF(ISBLANK('ENGAGEMENTS 2026'!C1925),"",'ENGAGEMENTS 2026'!I1925)</f>
        <v/>
      </c>
      <c r="F1925">
        <f>IF(ISBLANK('ENGAGEMENTS 2026'!C1925),"",'ENGAGEMENTS 2026'!J1925)</f>
        <v/>
      </c>
      <c r="G1925">
        <f>IF(ISBLANK('ENGAGEMENTS 2026'!C1925),"",'ENGAGEMENTS 2026'!M1925)</f>
        <v/>
      </c>
      <c r="H1925">
        <f>IF(ISBLANK('ENGAGEMENTS 2026'!C1925),"",'ENGAGEMENTS 2026'!AF1925)</f>
        <v/>
      </c>
      <c r="I1925">
        <f>IF(ISBLANK('ENGAGEMENTS 2026'!C1925),"",'ENGAGEMENTS 2026'!H1925)</f>
        <v/>
      </c>
      <c r="J1925" s="275">
        <f>IF(ISBLANK('ENGAGEMENTS 2026'!C1925),"",IF(AND(OR($E1925="INFRUCTUEUX",$E1925="ANNULE"),$C1925="AOO-M"),'ENGAGEMENTS 2026'!P1925,IF($H1925="EN COURS DE PREENGAGEMENT",'ENGAGEMENTS 2026'!O1925,IF($H1925="PREENGAGE",IF($E1925="ATTRIBUE",'ENGAGEMENTS 2026'!AE1925,'ENGAGEMENTS 2026'!O1925),'ENGAGEMENTS 2026'!AE1925))))</f>
        <v/>
      </c>
      <c r="K1925" s="604">
        <f>IF(ISBLANK('ENGAGEMENTS 2026'!W1925),"",'ENGAGEMENTS 2026'!W1925)</f>
        <v/>
      </c>
      <c r="L1925" s="276">
        <f>IF($K1925="","",TODAY()-$K1925)</f>
        <v/>
      </c>
      <c r="M1925">
        <f>IF($A1925="","",IF($H1925="ENGAGE","Engagé",IF(AND($H1925="NON ENGAGE",OR($I1925="INFRUCTUEUX",$I1925="ANNULE")),"Clôturé sans suite","En cours")))</f>
        <v/>
      </c>
      <c r="N1925">
        <f>IF(ISBLANK('ENGAGEMENTS 2026'!C1925),"",'ENGAGEMENTS 2026'!L1925)</f>
        <v/>
      </c>
      <c r="O1925">
        <f>IF(ISBLANK('ENGAGEMENTS 2026'!C1925),"",'ENGAGEMENTS 2026'!M1925)</f>
        <v/>
      </c>
      <c r="P1925">
        <f>IF(ISBLANK('ENGAGEMENTS 2026'!C1925),"",'ENGAGEMENTS 2026'!K1925)</f>
        <v/>
      </c>
      <c r="Q1925">
        <f>IF($A1925="","",IF(OR($E1925="INFRUCTUEUX",$E1925="ANNULE"),$A1925&amp;"|"&amp;(COUNTIFS($A$2:$A1925,$A1925,$E$2:$E1925,"INFRUCTUEUX")+COUNTIFS($A$2:$A1925,$A1925,$E$2:$E1925,"ANNULE")),""))</f>
        <v/>
      </c>
    </row>
    <row r="1926">
      <c r="A1926">
        <f>IF(ISBLANK('ENGAGEMENTS 2026'!C1926),"",IF('ENGAGEMENTS 2026'!C1926="DTSI","DCT",'ENGAGEMENTS 2026'!C1926))</f>
        <v/>
      </c>
      <c r="B1926">
        <f>IF(ISBLANK('ENGAGEMENTS 2026'!C1926),"",'ENGAGEMENTS 2026'!D1926)</f>
        <v/>
      </c>
      <c r="C1926">
        <f>IF(ISBLANK('ENGAGEMENTS 2026'!C1926),"",'ENGAGEMENTS 2026'!E1926)</f>
        <v/>
      </c>
      <c r="D1926">
        <f>IF(ISBLANK('ENGAGEMENTS 2026'!C1926),"",'ENGAGEMENTS 2026'!G1926)</f>
        <v/>
      </c>
      <c r="E1926">
        <f>IF(ISBLANK('ENGAGEMENTS 2026'!C1926),"",'ENGAGEMENTS 2026'!I1926)</f>
        <v/>
      </c>
      <c r="F1926">
        <f>IF(ISBLANK('ENGAGEMENTS 2026'!C1926),"",'ENGAGEMENTS 2026'!J1926)</f>
        <v/>
      </c>
      <c r="G1926">
        <f>IF(ISBLANK('ENGAGEMENTS 2026'!C1926),"",'ENGAGEMENTS 2026'!M1926)</f>
        <v/>
      </c>
      <c r="H1926">
        <f>IF(ISBLANK('ENGAGEMENTS 2026'!C1926),"",'ENGAGEMENTS 2026'!AF1926)</f>
        <v/>
      </c>
      <c r="I1926">
        <f>IF(ISBLANK('ENGAGEMENTS 2026'!C1926),"",'ENGAGEMENTS 2026'!H1926)</f>
        <v/>
      </c>
      <c r="J1926" s="275">
        <f>IF(ISBLANK('ENGAGEMENTS 2026'!C1926),"",IF(AND(OR($E1926="INFRUCTUEUX",$E1926="ANNULE"),$C1926="AOO-M"),'ENGAGEMENTS 2026'!P1926,IF($H1926="EN COURS DE PREENGAGEMENT",'ENGAGEMENTS 2026'!O1926,IF($H1926="PREENGAGE",IF($E1926="ATTRIBUE",'ENGAGEMENTS 2026'!AE1926,'ENGAGEMENTS 2026'!O1926),'ENGAGEMENTS 2026'!AE1926))))</f>
        <v/>
      </c>
      <c r="K1926" s="604">
        <f>IF(ISBLANK('ENGAGEMENTS 2026'!W1926),"",'ENGAGEMENTS 2026'!W1926)</f>
        <v/>
      </c>
      <c r="L1926" s="276">
        <f>IF($K1926="","",TODAY()-$K1926)</f>
        <v/>
      </c>
      <c r="M1926">
        <f>IF($A1926="","",IF($H1926="ENGAGE","Engagé",IF(AND($H1926="NON ENGAGE",OR($I1926="INFRUCTUEUX",$I1926="ANNULE")),"Clôturé sans suite","En cours")))</f>
        <v/>
      </c>
      <c r="N1926">
        <f>IF(ISBLANK('ENGAGEMENTS 2026'!C1926),"",'ENGAGEMENTS 2026'!L1926)</f>
        <v/>
      </c>
      <c r="O1926">
        <f>IF(ISBLANK('ENGAGEMENTS 2026'!C1926),"",'ENGAGEMENTS 2026'!M1926)</f>
        <v/>
      </c>
      <c r="P1926">
        <f>IF(ISBLANK('ENGAGEMENTS 2026'!C1926),"",'ENGAGEMENTS 2026'!K1926)</f>
        <v/>
      </c>
      <c r="Q1926">
        <f>IF($A1926="","",IF(OR($E1926="INFRUCTUEUX",$E1926="ANNULE"),$A1926&amp;"|"&amp;(COUNTIFS($A$2:$A1926,$A1926,$E$2:$E1926,"INFRUCTUEUX")+COUNTIFS($A$2:$A1926,$A1926,$E$2:$E1926,"ANNULE")),""))</f>
        <v/>
      </c>
    </row>
    <row r="1927">
      <c r="A1927">
        <f>IF(ISBLANK('ENGAGEMENTS 2026'!C1927),"",IF('ENGAGEMENTS 2026'!C1927="DTSI","DCT",'ENGAGEMENTS 2026'!C1927))</f>
        <v/>
      </c>
      <c r="B1927">
        <f>IF(ISBLANK('ENGAGEMENTS 2026'!C1927),"",'ENGAGEMENTS 2026'!D1927)</f>
        <v/>
      </c>
      <c r="C1927">
        <f>IF(ISBLANK('ENGAGEMENTS 2026'!C1927),"",'ENGAGEMENTS 2026'!E1927)</f>
        <v/>
      </c>
      <c r="D1927">
        <f>IF(ISBLANK('ENGAGEMENTS 2026'!C1927),"",'ENGAGEMENTS 2026'!G1927)</f>
        <v/>
      </c>
      <c r="E1927">
        <f>IF(ISBLANK('ENGAGEMENTS 2026'!C1927),"",'ENGAGEMENTS 2026'!I1927)</f>
        <v/>
      </c>
      <c r="F1927">
        <f>IF(ISBLANK('ENGAGEMENTS 2026'!C1927),"",'ENGAGEMENTS 2026'!J1927)</f>
        <v/>
      </c>
      <c r="G1927">
        <f>IF(ISBLANK('ENGAGEMENTS 2026'!C1927),"",'ENGAGEMENTS 2026'!M1927)</f>
        <v/>
      </c>
      <c r="H1927">
        <f>IF(ISBLANK('ENGAGEMENTS 2026'!C1927),"",'ENGAGEMENTS 2026'!AF1927)</f>
        <v/>
      </c>
      <c r="I1927">
        <f>IF(ISBLANK('ENGAGEMENTS 2026'!C1927),"",'ENGAGEMENTS 2026'!H1927)</f>
        <v/>
      </c>
      <c r="J1927" s="275">
        <f>IF(ISBLANK('ENGAGEMENTS 2026'!C1927),"",IF(AND(OR($E1927="INFRUCTUEUX",$E1927="ANNULE"),$C1927="AOO-M"),'ENGAGEMENTS 2026'!P1927,IF($H1927="EN COURS DE PREENGAGEMENT",'ENGAGEMENTS 2026'!O1927,IF($H1927="PREENGAGE",IF($E1927="ATTRIBUE",'ENGAGEMENTS 2026'!AE1927,'ENGAGEMENTS 2026'!O1927),'ENGAGEMENTS 2026'!AE1927))))</f>
        <v/>
      </c>
      <c r="K1927" s="604">
        <f>IF(ISBLANK('ENGAGEMENTS 2026'!W1927),"",'ENGAGEMENTS 2026'!W1927)</f>
        <v/>
      </c>
      <c r="L1927" s="276">
        <f>IF($K1927="","",TODAY()-$K1927)</f>
        <v/>
      </c>
      <c r="M1927">
        <f>IF($A1927="","",IF($H1927="ENGAGE","Engagé",IF(AND($H1927="NON ENGAGE",OR($I1927="INFRUCTUEUX",$I1927="ANNULE")),"Clôturé sans suite","En cours")))</f>
        <v/>
      </c>
      <c r="N1927">
        <f>IF(ISBLANK('ENGAGEMENTS 2026'!C1927),"",'ENGAGEMENTS 2026'!L1927)</f>
        <v/>
      </c>
      <c r="O1927">
        <f>IF(ISBLANK('ENGAGEMENTS 2026'!C1927),"",'ENGAGEMENTS 2026'!M1927)</f>
        <v/>
      </c>
      <c r="P1927">
        <f>IF(ISBLANK('ENGAGEMENTS 2026'!C1927),"",'ENGAGEMENTS 2026'!K1927)</f>
        <v/>
      </c>
      <c r="Q1927">
        <f>IF($A1927="","",IF(OR($E1927="INFRUCTUEUX",$E1927="ANNULE"),$A1927&amp;"|"&amp;(COUNTIFS($A$2:$A1927,$A1927,$E$2:$E1927,"INFRUCTUEUX")+COUNTIFS($A$2:$A1927,$A1927,$E$2:$E1927,"ANNULE")),""))</f>
        <v/>
      </c>
    </row>
    <row r="1928">
      <c r="A1928">
        <f>IF(ISBLANK('ENGAGEMENTS 2026'!C1928),"",IF('ENGAGEMENTS 2026'!C1928="DTSI","DCT",'ENGAGEMENTS 2026'!C1928))</f>
        <v/>
      </c>
      <c r="B1928">
        <f>IF(ISBLANK('ENGAGEMENTS 2026'!C1928),"",'ENGAGEMENTS 2026'!D1928)</f>
        <v/>
      </c>
      <c r="C1928">
        <f>IF(ISBLANK('ENGAGEMENTS 2026'!C1928),"",'ENGAGEMENTS 2026'!E1928)</f>
        <v/>
      </c>
      <c r="D1928">
        <f>IF(ISBLANK('ENGAGEMENTS 2026'!C1928),"",'ENGAGEMENTS 2026'!G1928)</f>
        <v/>
      </c>
      <c r="E1928">
        <f>IF(ISBLANK('ENGAGEMENTS 2026'!C1928),"",'ENGAGEMENTS 2026'!I1928)</f>
        <v/>
      </c>
      <c r="F1928">
        <f>IF(ISBLANK('ENGAGEMENTS 2026'!C1928),"",'ENGAGEMENTS 2026'!J1928)</f>
        <v/>
      </c>
      <c r="G1928">
        <f>IF(ISBLANK('ENGAGEMENTS 2026'!C1928),"",'ENGAGEMENTS 2026'!M1928)</f>
        <v/>
      </c>
      <c r="H1928">
        <f>IF(ISBLANK('ENGAGEMENTS 2026'!C1928),"",'ENGAGEMENTS 2026'!AF1928)</f>
        <v/>
      </c>
      <c r="I1928">
        <f>IF(ISBLANK('ENGAGEMENTS 2026'!C1928),"",'ENGAGEMENTS 2026'!H1928)</f>
        <v/>
      </c>
      <c r="J1928" s="275">
        <f>IF(ISBLANK('ENGAGEMENTS 2026'!C1928),"",IF(AND(OR($E1928="INFRUCTUEUX",$E1928="ANNULE"),$C1928="AOO-M"),'ENGAGEMENTS 2026'!P1928,IF($H1928="EN COURS DE PREENGAGEMENT",'ENGAGEMENTS 2026'!O1928,IF($H1928="PREENGAGE",IF($E1928="ATTRIBUE",'ENGAGEMENTS 2026'!AE1928,'ENGAGEMENTS 2026'!O1928),'ENGAGEMENTS 2026'!AE1928))))</f>
        <v/>
      </c>
      <c r="K1928" s="604">
        <f>IF(ISBLANK('ENGAGEMENTS 2026'!W1928),"",'ENGAGEMENTS 2026'!W1928)</f>
        <v/>
      </c>
      <c r="L1928" s="276">
        <f>IF($K1928="","",TODAY()-$K1928)</f>
        <v/>
      </c>
      <c r="M1928">
        <f>IF($A1928="","",IF($H1928="ENGAGE","Engagé",IF(AND($H1928="NON ENGAGE",OR($I1928="INFRUCTUEUX",$I1928="ANNULE")),"Clôturé sans suite","En cours")))</f>
        <v/>
      </c>
      <c r="N1928">
        <f>IF(ISBLANK('ENGAGEMENTS 2026'!C1928),"",'ENGAGEMENTS 2026'!L1928)</f>
        <v/>
      </c>
      <c r="O1928">
        <f>IF(ISBLANK('ENGAGEMENTS 2026'!C1928),"",'ENGAGEMENTS 2026'!M1928)</f>
        <v/>
      </c>
      <c r="P1928">
        <f>IF(ISBLANK('ENGAGEMENTS 2026'!C1928),"",'ENGAGEMENTS 2026'!K1928)</f>
        <v/>
      </c>
      <c r="Q1928">
        <f>IF($A1928="","",IF(OR($E1928="INFRUCTUEUX",$E1928="ANNULE"),$A1928&amp;"|"&amp;(COUNTIFS($A$2:$A1928,$A1928,$E$2:$E1928,"INFRUCTUEUX")+COUNTIFS($A$2:$A1928,$A1928,$E$2:$E1928,"ANNULE")),""))</f>
        <v/>
      </c>
    </row>
    <row r="1929">
      <c r="A1929">
        <f>IF(ISBLANK('ENGAGEMENTS 2026'!C1929),"",IF('ENGAGEMENTS 2026'!C1929="DTSI","DCT",'ENGAGEMENTS 2026'!C1929))</f>
        <v/>
      </c>
      <c r="B1929">
        <f>IF(ISBLANK('ENGAGEMENTS 2026'!C1929),"",'ENGAGEMENTS 2026'!D1929)</f>
        <v/>
      </c>
      <c r="C1929">
        <f>IF(ISBLANK('ENGAGEMENTS 2026'!C1929),"",'ENGAGEMENTS 2026'!E1929)</f>
        <v/>
      </c>
      <c r="D1929">
        <f>IF(ISBLANK('ENGAGEMENTS 2026'!C1929),"",'ENGAGEMENTS 2026'!G1929)</f>
        <v/>
      </c>
      <c r="E1929">
        <f>IF(ISBLANK('ENGAGEMENTS 2026'!C1929),"",'ENGAGEMENTS 2026'!I1929)</f>
        <v/>
      </c>
      <c r="F1929">
        <f>IF(ISBLANK('ENGAGEMENTS 2026'!C1929),"",'ENGAGEMENTS 2026'!J1929)</f>
        <v/>
      </c>
      <c r="G1929">
        <f>IF(ISBLANK('ENGAGEMENTS 2026'!C1929),"",'ENGAGEMENTS 2026'!M1929)</f>
        <v/>
      </c>
      <c r="H1929">
        <f>IF(ISBLANK('ENGAGEMENTS 2026'!C1929),"",'ENGAGEMENTS 2026'!AF1929)</f>
        <v/>
      </c>
      <c r="I1929">
        <f>IF(ISBLANK('ENGAGEMENTS 2026'!C1929),"",'ENGAGEMENTS 2026'!H1929)</f>
        <v/>
      </c>
      <c r="J1929" s="275">
        <f>IF(ISBLANK('ENGAGEMENTS 2026'!C1929),"",IF(AND(OR($E1929="INFRUCTUEUX",$E1929="ANNULE"),$C1929="AOO-M"),'ENGAGEMENTS 2026'!P1929,IF($H1929="EN COURS DE PREENGAGEMENT",'ENGAGEMENTS 2026'!O1929,IF($H1929="PREENGAGE",IF($E1929="ATTRIBUE",'ENGAGEMENTS 2026'!AE1929,'ENGAGEMENTS 2026'!O1929),'ENGAGEMENTS 2026'!AE1929))))</f>
        <v/>
      </c>
      <c r="K1929" s="604">
        <f>IF(ISBLANK('ENGAGEMENTS 2026'!W1929),"",'ENGAGEMENTS 2026'!W1929)</f>
        <v/>
      </c>
      <c r="L1929" s="276">
        <f>IF($K1929="","",TODAY()-$K1929)</f>
        <v/>
      </c>
      <c r="M1929">
        <f>IF($A1929="","",IF($H1929="ENGAGE","Engagé",IF(AND($H1929="NON ENGAGE",OR($I1929="INFRUCTUEUX",$I1929="ANNULE")),"Clôturé sans suite","En cours")))</f>
        <v/>
      </c>
      <c r="N1929">
        <f>IF(ISBLANK('ENGAGEMENTS 2026'!C1929),"",'ENGAGEMENTS 2026'!L1929)</f>
        <v/>
      </c>
      <c r="O1929">
        <f>IF(ISBLANK('ENGAGEMENTS 2026'!C1929),"",'ENGAGEMENTS 2026'!M1929)</f>
        <v/>
      </c>
      <c r="P1929">
        <f>IF(ISBLANK('ENGAGEMENTS 2026'!C1929),"",'ENGAGEMENTS 2026'!K1929)</f>
        <v/>
      </c>
      <c r="Q1929">
        <f>IF($A1929="","",IF(OR($E1929="INFRUCTUEUX",$E1929="ANNULE"),$A1929&amp;"|"&amp;(COUNTIFS($A$2:$A1929,$A1929,$E$2:$E1929,"INFRUCTUEUX")+COUNTIFS($A$2:$A1929,$A1929,$E$2:$E1929,"ANNULE")),""))</f>
        <v/>
      </c>
    </row>
    <row r="1930">
      <c r="A1930">
        <f>IF(ISBLANK('ENGAGEMENTS 2026'!C1930),"",IF('ENGAGEMENTS 2026'!C1930="DTSI","DCT",'ENGAGEMENTS 2026'!C1930))</f>
        <v/>
      </c>
      <c r="B1930">
        <f>IF(ISBLANK('ENGAGEMENTS 2026'!C1930),"",'ENGAGEMENTS 2026'!D1930)</f>
        <v/>
      </c>
      <c r="C1930">
        <f>IF(ISBLANK('ENGAGEMENTS 2026'!C1930),"",'ENGAGEMENTS 2026'!E1930)</f>
        <v/>
      </c>
      <c r="D1930">
        <f>IF(ISBLANK('ENGAGEMENTS 2026'!C1930),"",'ENGAGEMENTS 2026'!G1930)</f>
        <v/>
      </c>
      <c r="E1930">
        <f>IF(ISBLANK('ENGAGEMENTS 2026'!C1930),"",'ENGAGEMENTS 2026'!I1930)</f>
        <v/>
      </c>
      <c r="F1930">
        <f>IF(ISBLANK('ENGAGEMENTS 2026'!C1930),"",'ENGAGEMENTS 2026'!J1930)</f>
        <v/>
      </c>
      <c r="G1930">
        <f>IF(ISBLANK('ENGAGEMENTS 2026'!C1930),"",'ENGAGEMENTS 2026'!M1930)</f>
        <v/>
      </c>
      <c r="H1930">
        <f>IF(ISBLANK('ENGAGEMENTS 2026'!C1930),"",'ENGAGEMENTS 2026'!AF1930)</f>
        <v/>
      </c>
      <c r="I1930">
        <f>IF(ISBLANK('ENGAGEMENTS 2026'!C1930),"",'ENGAGEMENTS 2026'!H1930)</f>
        <v/>
      </c>
      <c r="J1930" s="275">
        <f>IF(ISBLANK('ENGAGEMENTS 2026'!C1930),"",IF(AND(OR($E1930="INFRUCTUEUX",$E1930="ANNULE"),$C1930="AOO-M"),'ENGAGEMENTS 2026'!P1930,IF($H1930="EN COURS DE PREENGAGEMENT",'ENGAGEMENTS 2026'!O1930,IF($H1930="PREENGAGE",IF($E1930="ATTRIBUE",'ENGAGEMENTS 2026'!AE1930,'ENGAGEMENTS 2026'!O1930),'ENGAGEMENTS 2026'!AE1930))))</f>
        <v/>
      </c>
      <c r="K1930" s="604">
        <f>IF(ISBLANK('ENGAGEMENTS 2026'!W1930),"",'ENGAGEMENTS 2026'!W1930)</f>
        <v/>
      </c>
      <c r="L1930" s="276">
        <f>IF($K1930="","",TODAY()-$K1930)</f>
        <v/>
      </c>
      <c r="M1930">
        <f>IF($A1930="","",IF($H1930="ENGAGE","Engagé",IF(AND($H1930="NON ENGAGE",OR($I1930="INFRUCTUEUX",$I1930="ANNULE")),"Clôturé sans suite","En cours")))</f>
        <v/>
      </c>
      <c r="N1930">
        <f>IF(ISBLANK('ENGAGEMENTS 2026'!C1930),"",'ENGAGEMENTS 2026'!L1930)</f>
        <v/>
      </c>
      <c r="O1930">
        <f>IF(ISBLANK('ENGAGEMENTS 2026'!C1930),"",'ENGAGEMENTS 2026'!M1930)</f>
        <v/>
      </c>
      <c r="P1930">
        <f>IF(ISBLANK('ENGAGEMENTS 2026'!C1930),"",'ENGAGEMENTS 2026'!K1930)</f>
        <v/>
      </c>
      <c r="Q1930">
        <f>IF($A1930="","",IF(OR($E1930="INFRUCTUEUX",$E1930="ANNULE"),$A1930&amp;"|"&amp;(COUNTIFS($A$2:$A1930,$A1930,$E$2:$E1930,"INFRUCTUEUX")+COUNTIFS($A$2:$A1930,$A1930,$E$2:$E1930,"ANNULE")),""))</f>
        <v/>
      </c>
    </row>
    <row r="1931">
      <c r="A1931">
        <f>IF(ISBLANK('ENGAGEMENTS 2026'!C1931),"",IF('ENGAGEMENTS 2026'!C1931="DTSI","DCT",'ENGAGEMENTS 2026'!C1931))</f>
        <v/>
      </c>
      <c r="B1931">
        <f>IF(ISBLANK('ENGAGEMENTS 2026'!C1931),"",'ENGAGEMENTS 2026'!D1931)</f>
        <v/>
      </c>
      <c r="C1931">
        <f>IF(ISBLANK('ENGAGEMENTS 2026'!C1931),"",'ENGAGEMENTS 2026'!E1931)</f>
        <v/>
      </c>
      <c r="D1931">
        <f>IF(ISBLANK('ENGAGEMENTS 2026'!C1931),"",'ENGAGEMENTS 2026'!G1931)</f>
        <v/>
      </c>
      <c r="E1931">
        <f>IF(ISBLANK('ENGAGEMENTS 2026'!C1931),"",'ENGAGEMENTS 2026'!I1931)</f>
        <v/>
      </c>
      <c r="F1931">
        <f>IF(ISBLANK('ENGAGEMENTS 2026'!C1931),"",'ENGAGEMENTS 2026'!J1931)</f>
        <v/>
      </c>
      <c r="G1931">
        <f>IF(ISBLANK('ENGAGEMENTS 2026'!C1931),"",'ENGAGEMENTS 2026'!M1931)</f>
        <v/>
      </c>
      <c r="H1931">
        <f>IF(ISBLANK('ENGAGEMENTS 2026'!C1931),"",'ENGAGEMENTS 2026'!AF1931)</f>
        <v/>
      </c>
      <c r="I1931">
        <f>IF(ISBLANK('ENGAGEMENTS 2026'!C1931),"",'ENGAGEMENTS 2026'!H1931)</f>
        <v/>
      </c>
      <c r="J1931" s="275">
        <f>IF(ISBLANK('ENGAGEMENTS 2026'!C1931),"",IF(AND(OR($E1931="INFRUCTUEUX",$E1931="ANNULE"),$C1931="AOO-M"),'ENGAGEMENTS 2026'!P1931,IF($H1931="EN COURS DE PREENGAGEMENT",'ENGAGEMENTS 2026'!O1931,IF($H1931="PREENGAGE",IF($E1931="ATTRIBUE",'ENGAGEMENTS 2026'!AE1931,'ENGAGEMENTS 2026'!O1931),'ENGAGEMENTS 2026'!AE1931))))</f>
        <v/>
      </c>
      <c r="K1931" s="604">
        <f>IF(ISBLANK('ENGAGEMENTS 2026'!W1931),"",'ENGAGEMENTS 2026'!W1931)</f>
        <v/>
      </c>
      <c r="L1931" s="276">
        <f>IF($K1931="","",TODAY()-$K1931)</f>
        <v/>
      </c>
      <c r="M1931">
        <f>IF($A1931="","",IF($H1931="ENGAGE","Engagé",IF(AND($H1931="NON ENGAGE",OR($I1931="INFRUCTUEUX",$I1931="ANNULE")),"Clôturé sans suite","En cours")))</f>
        <v/>
      </c>
      <c r="N1931">
        <f>IF(ISBLANK('ENGAGEMENTS 2026'!C1931),"",'ENGAGEMENTS 2026'!L1931)</f>
        <v/>
      </c>
      <c r="O1931">
        <f>IF(ISBLANK('ENGAGEMENTS 2026'!C1931),"",'ENGAGEMENTS 2026'!M1931)</f>
        <v/>
      </c>
      <c r="P1931">
        <f>IF(ISBLANK('ENGAGEMENTS 2026'!C1931),"",'ENGAGEMENTS 2026'!K1931)</f>
        <v/>
      </c>
      <c r="Q1931">
        <f>IF($A1931="","",IF(OR($E1931="INFRUCTUEUX",$E1931="ANNULE"),$A1931&amp;"|"&amp;(COUNTIFS($A$2:$A1931,$A1931,$E$2:$E1931,"INFRUCTUEUX")+COUNTIFS($A$2:$A1931,$A1931,$E$2:$E1931,"ANNULE")),""))</f>
        <v/>
      </c>
    </row>
    <row r="1932">
      <c r="A1932">
        <f>IF(ISBLANK('ENGAGEMENTS 2026'!C1932),"",IF('ENGAGEMENTS 2026'!C1932="DTSI","DCT",'ENGAGEMENTS 2026'!C1932))</f>
        <v/>
      </c>
      <c r="B1932">
        <f>IF(ISBLANK('ENGAGEMENTS 2026'!C1932),"",'ENGAGEMENTS 2026'!D1932)</f>
        <v/>
      </c>
      <c r="C1932">
        <f>IF(ISBLANK('ENGAGEMENTS 2026'!C1932),"",'ENGAGEMENTS 2026'!E1932)</f>
        <v/>
      </c>
      <c r="D1932">
        <f>IF(ISBLANK('ENGAGEMENTS 2026'!C1932),"",'ENGAGEMENTS 2026'!G1932)</f>
        <v/>
      </c>
      <c r="E1932">
        <f>IF(ISBLANK('ENGAGEMENTS 2026'!C1932),"",'ENGAGEMENTS 2026'!I1932)</f>
        <v/>
      </c>
      <c r="F1932">
        <f>IF(ISBLANK('ENGAGEMENTS 2026'!C1932),"",'ENGAGEMENTS 2026'!J1932)</f>
        <v/>
      </c>
      <c r="G1932">
        <f>IF(ISBLANK('ENGAGEMENTS 2026'!C1932),"",'ENGAGEMENTS 2026'!M1932)</f>
        <v/>
      </c>
      <c r="H1932">
        <f>IF(ISBLANK('ENGAGEMENTS 2026'!C1932),"",'ENGAGEMENTS 2026'!AF1932)</f>
        <v/>
      </c>
      <c r="I1932">
        <f>IF(ISBLANK('ENGAGEMENTS 2026'!C1932),"",'ENGAGEMENTS 2026'!H1932)</f>
        <v/>
      </c>
      <c r="J1932" s="275">
        <f>IF(ISBLANK('ENGAGEMENTS 2026'!C1932),"",IF(AND(OR($E1932="INFRUCTUEUX",$E1932="ANNULE"),$C1932="AOO-M"),'ENGAGEMENTS 2026'!P1932,IF($H1932="EN COURS DE PREENGAGEMENT",'ENGAGEMENTS 2026'!O1932,IF($H1932="PREENGAGE",IF($E1932="ATTRIBUE",'ENGAGEMENTS 2026'!AE1932,'ENGAGEMENTS 2026'!O1932),'ENGAGEMENTS 2026'!AE1932))))</f>
        <v/>
      </c>
      <c r="K1932" s="604">
        <f>IF(ISBLANK('ENGAGEMENTS 2026'!W1932),"",'ENGAGEMENTS 2026'!W1932)</f>
        <v/>
      </c>
      <c r="L1932" s="276">
        <f>IF($K1932="","",TODAY()-$K1932)</f>
        <v/>
      </c>
      <c r="M1932">
        <f>IF($A1932="","",IF($H1932="ENGAGE","Engagé",IF(AND($H1932="NON ENGAGE",OR($I1932="INFRUCTUEUX",$I1932="ANNULE")),"Clôturé sans suite","En cours")))</f>
        <v/>
      </c>
      <c r="N1932">
        <f>IF(ISBLANK('ENGAGEMENTS 2026'!C1932),"",'ENGAGEMENTS 2026'!L1932)</f>
        <v/>
      </c>
      <c r="O1932">
        <f>IF(ISBLANK('ENGAGEMENTS 2026'!C1932),"",'ENGAGEMENTS 2026'!M1932)</f>
        <v/>
      </c>
      <c r="P1932">
        <f>IF(ISBLANK('ENGAGEMENTS 2026'!C1932),"",'ENGAGEMENTS 2026'!K1932)</f>
        <v/>
      </c>
      <c r="Q1932">
        <f>IF($A1932="","",IF(OR($E1932="INFRUCTUEUX",$E1932="ANNULE"),$A1932&amp;"|"&amp;(COUNTIFS($A$2:$A1932,$A1932,$E$2:$E1932,"INFRUCTUEUX")+COUNTIFS($A$2:$A1932,$A1932,$E$2:$E1932,"ANNULE")),""))</f>
        <v/>
      </c>
    </row>
    <row r="1933">
      <c r="A1933">
        <f>IF(ISBLANK('ENGAGEMENTS 2026'!C1933),"",IF('ENGAGEMENTS 2026'!C1933="DTSI","DCT",'ENGAGEMENTS 2026'!C1933))</f>
        <v/>
      </c>
      <c r="B1933">
        <f>IF(ISBLANK('ENGAGEMENTS 2026'!C1933),"",'ENGAGEMENTS 2026'!D1933)</f>
        <v/>
      </c>
      <c r="C1933">
        <f>IF(ISBLANK('ENGAGEMENTS 2026'!C1933),"",'ENGAGEMENTS 2026'!E1933)</f>
        <v/>
      </c>
      <c r="D1933">
        <f>IF(ISBLANK('ENGAGEMENTS 2026'!C1933),"",'ENGAGEMENTS 2026'!G1933)</f>
        <v/>
      </c>
      <c r="E1933">
        <f>IF(ISBLANK('ENGAGEMENTS 2026'!C1933),"",'ENGAGEMENTS 2026'!I1933)</f>
        <v/>
      </c>
      <c r="F1933">
        <f>IF(ISBLANK('ENGAGEMENTS 2026'!C1933),"",'ENGAGEMENTS 2026'!J1933)</f>
        <v/>
      </c>
      <c r="G1933">
        <f>IF(ISBLANK('ENGAGEMENTS 2026'!C1933),"",'ENGAGEMENTS 2026'!M1933)</f>
        <v/>
      </c>
      <c r="H1933">
        <f>IF(ISBLANK('ENGAGEMENTS 2026'!C1933),"",'ENGAGEMENTS 2026'!AF1933)</f>
        <v/>
      </c>
      <c r="I1933">
        <f>IF(ISBLANK('ENGAGEMENTS 2026'!C1933),"",'ENGAGEMENTS 2026'!H1933)</f>
        <v/>
      </c>
      <c r="J1933" s="275">
        <f>IF(ISBLANK('ENGAGEMENTS 2026'!C1933),"",IF(AND(OR($E1933="INFRUCTUEUX",$E1933="ANNULE"),$C1933="AOO-M"),'ENGAGEMENTS 2026'!P1933,IF($H1933="EN COURS DE PREENGAGEMENT",'ENGAGEMENTS 2026'!O1933,IF($H1933="PREENGAGE",IF($E1933="ATTRIBUE",'ENGAGEMENTS 2026'!AE1933,'ENGAGEMENTS 2026'!O1933),'ENGAGEMENTS 2026'!AE1933))))</f>
        <v/>
      </c>
      <c r="K1933" s="604">
        <f>IF(ISBLANK('ENGAGEMENTS 2026'!W1933),"",'ENGAGEMENTS 2026'!W1933)</f>
        <v/>
      </c>
      <c r="L1933" s="276">
        <f>IF($K1933="","",TODAY()-$K1933)</f>
        <v/>
      </c>
      <c r="M1933">
        <f>IF($A1933="","",IF($H1933="ENGAGE","Engagé",IF(AND($H1933="NON ENGAGE",OR($I1933="INFRUCTUEUX",$I1933="ANNULE")),"Clôturé sans suite","En cours")))</f>
        <v/>
      </c>
      <c r="N1933">
        <f>IF(ISBLANK('ENGAGEMENTS 2026'!C1933),"",'ENGAGEMENTS 2026'!L1933)</f>
        <v/>
      </c>
      <c r="O1933">
        <f>IF(ISBLANK('ENGAGEMENTS 2026'!C1933),"",'ENGAGEMENTS 2026'!M1933)</f>
        <v/>
      </c>
      <c r="P1933">
        <f>IF(ISBLANK('ENGAGEMENTS 2026'!C1933),"",'ENGAGEMENTS 2026'!K1933)</f>
        <v/>
      </c>
      <c r="Q1933">
        <f>IF($A1933="","",IF(OR($E1933="INFRUCTUEUX",$E1933="ANNULE"),$A1933&amp;"|"&amp;(COUNTIFS($A$2:$A1933,$A1933,$E$2:$E1933,"INFRUCTUEUX")+COUNTIFS($A$2:$A1933,$A1933,$E$2:$E1933,"ANNULE")),""))</f>
        <v/>
      </c>
    </row>
    <row r="1934">
      <c r="A1934">
        <f>IF(ISBLANK('ENGAGEMENTS 2026'!C1934),"",IF('ENGAGEMENTS 2026'!C1934="DTSI","DCT",'ENGAGEMENTS 2026'!C1934))</f>
        <v/>
      </c>
      <c r="B1934">
        <f>IF(ISBLANK('ENGAGEMENTS 2026'!C1934),"",'ENGAGEMENTS 2026'!D1934)</f>
        <v/>
      </c>
      <c r="C1934">
        <f>IF(ISBLANK('ENGAGEMENTS 2026'!C1934),"",'ENGAGEMENTS 2026'!E1934)</f>
        <v/>
      </c>
      <c r="D1934">
        <f>IF(ISBLANK('ENGAGEMENTS 2026'!C1934),"",'ENGAGEMENTS 2026'!G1934)</f>
        <v/>
      </c>
      <c r="E1934">
        <f>IF(ISBLANK('ENGAGEMENTS 2026'!C1934),"",'ENGAGEMENTS 2026'!I1934)</f>
        <v/>
      </c>
      <c r="F1934">
        <f>IF(ISBLANK('ENGAGEMENTS 2026'!C1934),"",'ENGAGEMENTS 2026'!J1934)</f>
        <v/>
      </c>
      <c r="G1934">
        <f>IF(ISBLANK('ENGAGEMENTS 2026'!C1934),"",'ENGAGEMENTS 2026'!M1934)</f>
        <v/>
      </c>
      <c r="H1934">
        <f>IF(ISBLANK('ENGAGEMENTS 2026'!C1934),"",'ENGAGEMENTS 2026'!AF1934)</f>
        <v/>
      </c>
      <c r="I1934">
        <f>IF(ISBLANK('ENGAGEMENTS 2026'!C1934),"",'ENGAGEMENTS 2026'!H1934)</f>
        <v/>
      </c>
      <c r="J1934" s="275">
        <f>IF(ISBLANK('ENGAGEMENTS 2026'!C1934),"",IF(AND(OR($E1934="INFRUCTUEUX",$E1934="ANNULE"),$C1934="AOO-M"),'ENGAGEMENTS 2026'!P1934,IF($H1934="EN COURS DE PREENGAGEMENT",'ENGAGEMENTS 2026'!O1934,IF($H1934="PREENGAGE",IF($E1934="ATTRIBUE",'ENGAGEMENTS 2026'!AE1934,'ENGAGEMENTS 2026'!O1934),'ENGAGEMENTS 2026'!AE1934))))</f>
        <v/>
      </c>
      <c r="K1934" s="604">
        <f>IF(ISBLANK('ENGAGEMENTS 2026'!W1934),"",'ENGAGEMENTS 2026'!W1934)</f>
        <v/>
      </c>
      <c r="L1934" s="276">
        <f>IF($K1934="","",TODAY()-$K1934)</f>
        <v/>
      </c>
      <c r="M1934">
        <f>IF($A1934="","",IF($H1934="ENGAGE","Engagé",IF(AND($H1934="NON ENGAGE",OR($I1934="INFRUCTUEUX",$I1934="ANNULE")),"Clôturé sans suite","En cours")))</f>
        <v/>
      </c>
      <c r="N1934">
        <f>IF(ISBLANK('ENGAGEMENTS 2026'!C1934),"",'ENGAGEMENTS 2026'!L1934)</f>
        <v/>
      </c>
      <c r="O1934">
        <f>IF(ISBLANK('ENGAGEMENTS 2026'!C1934),"",'ENGAGEMENTS 2026'!M1934)</f>
        <v/>
      </c>
      <c r="P1934">
        <f>IF(ISBLANK('ENGAGEMENTS 2026'!C1934),"",'ENGAGEMENTS 2026'!K1934)</f>
        <v/>
      </c>
      <c r="Q1934">
        <f>IF($A1934="","",IF(OR($E1934="INFRUCTUEUX",$E1934="ANNULE"),$A1934&amp;"|"&amp;(COUNTIFS($A$2:$A1934,$A1934,$E$2:$E1934,"INFRUCTUEUX")+COUNTIFS($A$2:$A1934,$A1934,$E$2:$E1934,"ANNULE")),""))</f>
        <v/>
      </c>
    </row>
    <row r="1935">
      <c r="A1935">
        <f>IF(ISBLANK('ENGAGEMENTS 2026'!C1935),"",IF('ENGAGEMENTS 2026'!C1935="DTSI","DCT",'ENGAGEMENTS 2026'!C1935))</f>
        <v/>
      </c>
      <c r="B1935">
        <f>IF(ISBLANK('ENGAGEMENTS 2026'!C1935),"",'ENGAGEMENTS 2026'!D1935)</f>
        <v/>
      </c>
      <c r="C1935">
        <f>IF(ISBLANK('ENGAGEMENTS 2026'!C1935),"",'ENGAGEMENTS 2026'!E1935)</f>
        <v/>
      </c>
      <c r="D1935">
        <f>IF(ISBLANK('ENGAGEMENTS 2026'!C1935),"",'ENGAGEMENTS 2026'!G1935)</f>
        <v/>
      </c>
      <c r="E1935">
        <f>IF(ISBLANK('ENGAGEMENTS 2026'!C1935),"",'ENGAGEMENTS 2026'!I1935)</f>
        <v/>
      </c>
      <c r="F1935">
        <f>IF(ISBLANK('ENGAGEMENTS 2026'!C1935),"",'ENGAGEMENTS 2026'!J1935)</f>
        <v/>
      </c>
      <c r="G1935">
        <f>IF(ISBLANK('ENGAGEMENTS 2026'!C1935),"",'ENGAGEMENTS 2026'!M1935)</f>
        <v/>
      </c>
      <c r="H1935">
        <f>IF(ISBLANK('ENGAGEMENTS 2026'!C1935),"",'ENGAGEMENTS 2026'!AF1935)</f>
        <v/>
      </c>
      <c r="I1935">
        <f>IF(ISBLANK('ENGAGEMENTS 2026'!C1935),"",'ENGAGEMENTS 2026'!H1935)</f>
        <v/>
      </c>
      <c r="J1935" s="275">
        <f>IF(ISBLANK('ENGAGEMENTS 2026'!C1935),"",IF(AND(OR($E1935="INFRUCTUEUX",$E1935="ANNULE"),$C1935="AOO-M"),'ENGAGEMENTS 2026'!P1935,IF($H1935="EN COURS DE PREENGAGEMENT",'ENGAGEMENTS 2026'!O1935,IF($H1935="PREENGAGE",IF($E1935="ATTRIBUE",'ENGAGEMENTS 2026'!AE1935,'ENGAGEMENTS 2026'!O1935),'ENGAGEMENTS 2026'!AE1935))))</f>
        <v/>
      </c>
      <c r="K1935" s="604">
        <f>IF(ISBLANK('ENGAGEMENTS 2026'!W1935),"",'ENGAGEMENTS 2026'!W1935)</f>
        <v/>
      </c>
      <c r="L1935" s="276">
        <f>IF($K1935="","",TODAY()-$K1935)</f>
        <v/>
      </c>
      <c r="M1935">
        <f>IF($A1935="","",IF($H1935="ENGAGE","Engagé",IF(AND($H1935="NON ENGAGE",OR($I1935="INFRUCTUEUX",$I1935="ANNULE")),"Clôturé sans suite","En cours")))</f>
        <v/>
      </c>
      <c r="N1935">
        <f>IF(ISBLANK('ENGAGEMENTS 2026'!C1935),"",'ENGAGEMENTS 2026'!L1935)</f>
        <v/>
      </c>
      <c r="O1935">
        <f>IF(ISBLANK('ENGAGEMENTS 2026'!C1935),"",'ENGAGEMENTS 2026'!M1935)</f>
        <v/>
      </c>
      <c r="P1935">
        <f>IF(ISBLANK('ENGAGEMENTS 2026'!C1935),"",'ENGAGEMENTS 2026'!K1935)</f>
        <v/>
      </c>
      <c r="Q1935">
        <f>IF($A1935="","",IF(OR($E1935="INFRUCTUEUX",$E1935="ANNULE"),$A1935&amp;"|"&amp;(COUNTIFS($A$2:$A1935,$A1935,$E$2:$E1935,"INFRUCTUEUX")+COUNTIFS($A$2:$A1935,$A1935,$E$2:$E1935,"ANNULE")),""))</f>
        <v/>
      </c>
    </row>
    <row r="1936">
      <c r="A1936">
        <f>IF(ISBLANK('ENGAGEMENTS 2026'!C1936),"",IF('ENGAGEMENTS 2026'!C1936="DTSI","DCT",'ENGAGEMENTS 2026'!C1936))</f>
        <v/>
      </c>
      <c r="B1936">
        <f>IF(ISBLANK('ENGAGEMENTS 2026'!C1936),"",'ENGAGEMENTS 2026'!D1936)</f>
        <v/>
      </c>
      <c r="C1936">
        <f>IF(ISBLANK('ENGAGEMENTS 2026'!C1936),"",'ENGAGEMENTS 2026'!E1936)</f>
        <v/>
      </c>
      <c r="D1936">
        <f>IF(ISBLANK('ENGAGEMENTS 2026'!C1936),"",'ENGAGEMENTS 2026'!G1936)</f>
        <v/>
      </c>
      <c r="E1936">
        <f>IF(ISBLANK('ENGAGEMENTS 2026'!C1936),"",'ENGAGEMENTS 2026'!I1936)</f>
        <v/>
      </c>
      <c r="F1936">
        <f>IF(ISBLANK('ENGAGEMENTS 2026'!C1936),"",'ENGAGEMENTS 2026'!J1936)</f>
        <v/>
      </c>
      <c r="G1936">
        <f>IF(ISBLANK('ENGAGEMENTS 2026'!C1936),"",'ENGAGEMENTS 2026'!M1936)</f>
        <v/>
      </c>
      <c r="H1936">
        <f>IF(ISBLANK('ENGAGEMENTS 2026'!C1936),"",'ENGAGEMENTS 2026'!AF1936)</f>
        <v/>
      </c>
      <c r="I1936">
        <f>IF(ISBLANK('ENGAGEMENTS 2026'!C1936),"",'ENGAGEMENTS 2026'!H1936)</f>
        <v/>
      </c>
      <c r="J1936" s="275">
        <f>IF(ISBLANK('ENGAGEMENTS 2026'!C1936),"",IF(AND(OR($E1936="INFRUCTUEUX",$E1936="ANNULE"),$C1936="AOO-M"),'ENGAGEMENTS 2026'!P1936,IF($H1936="EN COURS DE PREENGAGEMENT",'ENGAGEMENTS 2026'!O1936,IF($H1936="PREENGAGE",IF($E1936="ATTRIBUE",'ENGAGEMENTS 2026'!AE1936,'ENGAGEMENTS 2026'!O1936),'ENGAGEMENTS 2026'!AE1936))))</f>
        <v/>
      </c>
      <c r="K1936" s="604">
        <f>IF(ISBLANK('ENGAGEMENTS 2026'!W1936),"",'ENGAGEMENTS 2026'!W1936)</f>
        <v/>
      </c>
      <c r="L1936" s="276">
        <f>IF($K1936="","",TODAY()-$K1936)</f>
        <v/>
      </c>
      <c r="M1936">
        <f>IF($A1936="","",IF($H1936="ENGAGE","Engagé",IF(AND($H1936="NON ENGAGE",OR($I1936="INFRUCTUEUX",$I1936="ANNULE")),"Clôturé sans suite","En cours")))</f>
        <v/>
      </c>
      <c r="N1936">
        <f>IF(ISBLANK('ENGAGEMENTS 2026'!C1936),"",'ENGAGEMENTS 2026'!L1936)</f>
        <v/>
      </c>
      <c r="O1936">
        <f>IF(ISBLANK('ENGAGEMENTS 2026'!C1936),"",'ENGAGEMENTS 2026'!M1936)</f>
        <v/>
      </c>
      <c r="P1936">
        <f>IF(ISBLANK('ENGAGEMENTS 2026'!C1936),"",'ENGAGEMENTS 2026'!K1936)</f>
        <v/>
      </c>
      <c r="Q1936">
        <f>IF($A1936="","",IF(OR($E1936="INFRUCTUEUX",$E1936="ANNULE"),$A1936&amp;"|"&amp;(COUNTIFS($A$2:$A1936,$A1936,$E$2:$E1936,"INFRUCTUEUX")+COUNTIFS($A$2:$A1936,$A1936,$E$2:$E1936,"ANNULE")),""))</f>
        <v/>
      </c>
    </row>
    <row r="1937">
      <c r="A1937">
        <f>IF(ISBLANK('ENGAGEMENTS 2026'!C1937),"",IF('ENGAGEMENTS 2026'!C1937="DTSI","DCT",'ENGAGEMENTS 2026'!C1937))</f>
        <v/>
      </c>
      <c r="B1937">
        <f>IF(ISBLANK('ENGAGEMENTS 2026'!C1937),"",'ENGAGEMENTS 2026'!D1937)</f>
        <v/>
      </c>
      <c r="C1937">
        <f>IF(ISBLANK('ENGAGEMENTS 2026'!C1937),"",'ENGAGEMENTS 2026'!E1937)</f>
        <v/>
      </c>
      <c r="D1937">
        <f>IF(ISBLANK('ENGAGEMENTS 2026'!C1937),"",'ENGAGEMENTS 2026'!G1937)</f>
        <v/>
      </c>
      <c r="E1937">
        <f>IF(ISBLANK('ENGAGEMENTS 2026'!C1937),"",'ENGAGEMENTS 2026'!I1937)</f>
        <v/>
      </c>
      <c r="F1937">
        <f>IF(ISBLANK('ENGAGEMENTS 2026'!C1937),"",'ENGAGEMENTS 2026'!J1937)</f>
        <v/>
      </c>
      <c r="G1937">
        <f>IF(ISBLANK('ENGAGEMENTS 2026'!C1937),"",'ENGAGEMENTS 2026'!M1937)</f>
        <v/>
      </c>
      <c r="H1937">
        <f>IF(ISBLANK('ENGAGEMENTS 2026'!C1937),"",'ENGAGEMENTS 2026'!AF1937)</f>
        <v/>
      </c>
      <c r="I1937">
        <f>IF(ISBLANK('ENGAGEMENTS 2026'!C1937),"",'ENGAGEMENTS 2026'!H1937)</f>
        <v/>
      </c>
      <c r="J1937" s="275">
        <f>IF(ISBLANK('ENGAGEMENTS 2026'!C1937),"",IF(AND(OR($E1937="INFRUCTUEUX",$E1937="ANNULE"),$C1937="AOO-M"),'ENGAGEMENTS 2026'!P1937,IF($H1937="EN COURS DE PREENGAGEMENT",'ENGAGEMENTS 2026'!O1937,IF($H1937="PREENGAGE",IF($E1937="ATTRIBUE",'ENGAGEMENTS 2026'!AE1937,'ENGAGEMENTS 2026'!O1937),'ENGAGEMENTS 2026'!AE1937))))</f>
        <v/>
      </c>
      <c r="K1937" s="604">
        <f>IF(ISBLANK('ENGAGEMENTS 2026'!W1937),"",'ENGAGEMENTS 2026'!W1937)</f>
        <v/>
      </c>
      <c r="L1937" s="276">
        <f>IF($K1937="","",TODAY()-$K1937)</f>
        <v/>
      </c>
      <c r="M1937">
        <f>IF($A1937="","",IF($H1937="ENGAGE","Engagé",IF(AND($H1937="NON ENGAGE",OR($I1937="INFRUCTUEUX",$I1937="ANNULE")),"Clôturé sans suite","En cours")))</f>
        <v/>
      </c>
      <c r="N1937">
        <f>IF(ISBLANK('ENGAGEMENTS 2026'!C1937),"",'ENGAGEMENTS 2026'!L1937)</f>
        <v/>
      </c>
      <c r="O1937">
        <f>IF(ISBLANK('ENGAGEMENTS 2026'!C1937),"",'ENGAGEMENTS 2026'!M1937)</f>
        <v/>
      </c>
      <c r="P1937">
        <f>IF(ISBLANK('ENGAGEMENTS 2026'!C1937),"",'ENGAGEMENTS 2026'!K1937)</f>
        <v/>
      </c>
      <c r="Q1937">
        <f>IF($A1937="","",IF(OR($E1937="INFRUCTUEUX",$E1937="ANNULE"),$A1937&amp;"|"&amp;(COUNTIFS($A$2:$A1937,$A1937,$E$2:$E1937,"INFRUCTUEUX")+COUNTIFS($A$2:$A1937,$A1937,$E$2:$E1937,"ANNULE")),""))</f>
        <v/>
      </c>
    </row>
    <row r="1938">
      <c r="A1938">
        <f>IF(ISBLANK('ENGAGEMENTS 2026'!C1938),"",IF('ENGAGEMENTS 2026'!C1938="DTSI","DCT",'ENGAGEMENTS 2026'!C1938))</f>
        <v/>
      </c>
      <c r="B1938">
        <f>IF(ISBLANK('ENGAGEMENTS 2026'!C1938),"",'ENGAGEMENTS 2026'!D1938)</f>
        <v/>
      </c>
      <c r="C1938">
        <f>IF(ISBLANK('ENGAGEMENTS 2026'!C1938),"",'ENGAGEMENTS 2026'!E1938)</f>
        <v/>
      </c>
      <c r="D1938">
        <f>IF(ISBLANK('ENGAGEMENTS 2026'!C1938),"",'ENGAGEMENTS 2026'!G1938)</f>
        <v/>
      </c>
      <c r="E1938">
        <f>IF(ISBLANK('ENGAGEMENTS 2026'!C1938),"",'ENGAGEMENTS 2026'!I1938)</f>
        <v/>
      </c>
      <c r="F1938">
        <f>IF(ISBLANK('ENGAGEMENTS 2026'!C1938),"",'ENGAGEMENTS 2026'!J1938)</f>
        <v/>
      </c>
      <c r="G1938">
        <f>IF(ISBLANK('ENGAGEMENTS 2026'!C1938),"",'ENGAGEMENTS 2026'!M1938)</f>
        <v/>
      </c>
      <c r="H1938">
        <f>IF(ISBLANK('ENGAGEMENTS 2026'!C1938),"",'ENGAGEMENTS 2026'!AF1938)</f>
        <v/>
      </c>
      <c r="I1938">
        <f>IF(ISBLANK('ENGAGEMENTS 2026'!C1938),"",'ENGAGEMENTS 2026'!H1938)</f>
        <v/>
      </c>
      <c r="J1938" s="275">
        <f>IF(ISBLANK('ENGAGEMENTS 2026'!C1938),"",IF(AND(OR($E1938="INFRUCTUEUX",$E1938="ANNULE"),$C1938="AOO-M"),'ENGAGEMENTS 2026'!P1938,IF($H1938="EN COURS DE PREENGAGEMENT",'ENGAGEMENTS 2026'!O1938,IF($H1938="PREENGAGE",IF($E1938="ATTRIBUE",'ENGAGEMENTS 2026'!AE1938,'ENGAGEMENTS 2026'!O1938),'ENGAGEMENTS 2026'!AE1938))))</f>
        <v/>
      </c>
      <c r="K1938" s="604">
        <f>IF(ISBLANK('ENGAGEMENTS 2026'!W1938),"",'ENGAGEMENTS 2026'!W1938)</f>
        <v/>
      </c>
      <c r="L1938" s="276">
        <f>IF($K1938="","",TODAY()-$K1938)</f>
        <v/>
      </c>
      <c r="M1938">
        <f>IF($A1938="","",IF($H1938="ENGAGE","Engagé",IF(AND($H1938="NON ENGAGE",OR($I1938="INFRUCTUEUX",$I1938="ANNULE")),"Clôturé sans suite","En cours")))</f>
        <v/>
      </c>
      <c r="N1938">
        <f>IF(ISBLANK('ENGAGEMENTS 2026'!C1938),"",'ENGAGEMENTS 2026'!L1938)</f>
        <v/>
      </c>
      <c r="O1938">
        <f>IF(ISBLANK('ENGAGEMENTS 2026'!C1938),"",'ENGAGEMENTS 2026'!M1938)</f>
        <v/>
      </c>
      <c r="P1938">
        <f>IF(ISBLANK('ENGAGEMENTS 2026'!C1938),"",'ENGAGEMENTS 2026'!K1938)</f>
        <v/>
      </c>
      <c r="Q1938">
        <f>IF($A1938="","",IF(OR($E1938="INFRUCTUEUX",$E1938="ANNULE"),$A1938&amp;"|"&amp;(COUNTIFS($A$2:$A1938,$A1938,$E$2:$E1938,"INFRUCTUEUX")+COUNTIFS($A$2:$A1938,$A1938,$E$2:$E1938,"ANNULE")),""))</f>
        <v/>
      </c>
    </row>
    <row r="1939">
      <c r="A1939">
        <f>IF(ISBLANK('ENGAGEMENTS 2026'!C1939),"",IF('ENGAGEMENTS 2026'!C1939="DTSI","DCT",'ENGAGEMENTS 2026'!C1939))</f>
        <v/>
      </c>
      <c r="B1939">
        <f>IF(ISBLANK('ENGAGEMENTS 2026'!C1939),"",'ENGAGEMENTS 2026'!D1939)</f>
        <v/>
      </c>
      <c r="C1939">
        <f>IF(ISBLANK('ENGAGEMENTS 2026'!C1939),"",'ENGAGEMENTS 2026'!E1939)</f>
        <v/>
      </c>
      <c r="D1939">
        <f>IF(ISBLANK('ENGAGEMENTS 2026'!C1939),"",'ENGAGEMENTS 2026'!G1939)</f>
        <v/>
      </c>
      <c r="E1939">
        <f>IF(ISBLANK('ENGAGEMENTS 2026'!C1939),"",'ENGAGEMENTS 2026'!I1939)</f>
        <v/>
      </c>
      <c r="F1939">
        <f>IF(ISBLANK('ENGAGEMENTS 2026'!C1939),"",'ENGAGEMENTS 2026'!J1939)</f>
        <v/>
      </c>
      <c r="G1939">
        <f>IF(ISBLANK('ENGAGEMENTS 2026'!C1939),"",'ENGAGEMENTS 2026'!M1939)</f>
        <v/>
      </c>
      <c r="H1939">
        <f>IF(ISBLANK('ENGAGEMENTS 2026'!C1939),"",'ENGAGEMENTS 2026'!AF1939)</f>
        <v/>
      </c>
      <c r="I1939">
        <f>IF(ISBLANK('ENGAGEMENTS 2026'!C1939),"",'ENGAGEMENTS 2026'!H1939)</f>
        <v/>
      </c>
      <c r="J1939" s="275">
        <f>IF(ISBLANK('ENGAGEMENTS 2026'!C1939),"",IF(AND(OR($E1939="INFRUCTUEUX",$E1939="ANNULE"),$C1939="AOO-M"),'ENGAGEMENTS 2026'!P1939,IF($H1939="EN COURS DE PREENGAGEMENT",'ENGAGEMENTS 2026'!O1939,IF($H1939="PREENGAGE",IF($E1939="ATTRIBUE",'ENGAGEMENTS 2026'!AE1939,'ENGAGEMENTS 2026'!O1939),'ENGAGEMENTS 2026'!AE1939))))</f>
        <v/>
      </c>
      <c r="K1939" s="604">
        <f>IF(ISBLANK('ENGAGEMENTS 2026'!W1939),"",'ENGAGEMENTS 2026'!W1939)</f>
        <v/>
      </c>
      <c r="L1939" s="276">
        <f>IF($K1939="","",TODAY()-$K1939)</f>
        <v/>
      </c>
      <c r="M1939">
        <f>IF($A1939="","",IF($H1939="ENGAGE","Engagé",IF(AND($H1939="NON ENGAGE",OR($I1939="INFRUCTUEUX",$I1939="ANNULE")),"Clôturé sans suite","En cours")))</f>
        <v/>
      </c>
      <c r="N1939">
        <f>IF(ISBLANK('ENGAGEMENTS 2026'!C1939),"",'ENGAGEMENTS 2026'!L1939)</f>
        <v/>
      </c>
      <c r="O1939">
        <f>IF(ISBLANK('ENGAGEMENTS 2026'!C1939),"",'ENGAGEMENTS 2026'!M1939)</f>
        <v/>
      </c>
      <c r="P1939">
        <f>IF(ISBLANK('ENGAGEMENTS 2026'!C1939),"",'ENGAGEMENTS 2026'!K1939)</f>
        <v/>
      </c>
      <c r="Q1939">
        <f>IF($A1939="","",IF(OR($E1939="INFRUCTUEUX",$E1939="ANNULE"),$A1939&amp;"|"&amp;(COUNTIFS($A$2:$A1939,$A1939,$E$2:$E1939,"INFRUCTUEUX")+COUNTIFS($A$2:$A1939,$A1939,$E$2:$E1939,"ANNULE")),""))</f>
        <v/>
      </c>
    </row>
    <row r="1940">
      <c r="A1940">
        <f>IF(ISBLANK('ENGAGEMENTS 2026'!C1940),"",IF('ENGAGEMENTS 2026'!C1940="DTSI","DCT",'ENGAGEMENTS 2026'!C1940))</f>
        <v/>
      </c>
      <c r="B1940">
        <f>IF(ISBLANK('ENGAGEMENTS 2026'!C1940),"",'ENGAGEMENTS 2026'!D1940)</f>
        <v/>
      </c>
      <c r="C1940">
        <f>IF(ISBLANK('ENGAGEMENTS 2026'!C1940),"",'ENGAGEMENTS 2026'!E1940)</f>
        <v/>
      </c>
      <c r="D1940">
        <f>IF(ISBLANK('ENGAGEMENTS 2026'!C1940),"",'ENGAGEMENTS 2026'!G1940)</f>
        <v/>
      </c>
      <c r="E1940">
        <f>IF(ISBLANK('ENGAGEMENTS 2026'!C1940),"",'ENGAGEMENTS 2026'!I1940)</f>
        <v/>
      </c>
      <c r="F1940">
        <f>IF(ISBLANK('ENGAGEMENTS 2026'!C1940),"",'ENGAGEMENTS 2026'!J1940)</f>
        <v/>
      </c>
      <c r="G1940">
        <f>IF(ISBLANK('ENGAGEMENTS 2026'!C1940),"",'ENGAGEMENTS 2026'!M1940)</f>
        <v/>
      </c>
      <c r="H1940">
        <f>IF(ISBLANK('ENGAGEMENTS 2026'!C1940),"",'ENGAGEMENTS 2026'!AF1940)</f>
        <v/>
      </c>
      <c r="I1940">
        <f>IF(ISBLANK('ENGAGEMENTS 2026'!C1940),"",'ENGAGEMENTS 2026'!H1940)</f>
        <v/>
      </c>
      <c r="J1940" s="275">
        <f>IF(ISBLANK('ENGAGEMENTS 2026'!C1940),"",IF(AND(OR($E1940="INFRUCTUEUX",$E1940="ANNULE"),$C1940="AOO-M"),'ENGAGEMENTS 2026'!P1940,IF($H1940="EN COURS DE PREENGAGEMENT",'ENGAGEMENTS 2026'!O1940,IF($H1940="PREENGAGE",IF($E1940="ATTRIBUE",'ENGAGEMENTS 2026'!AE1940,'ENGAGEMENTS 2026'!O1940),'ENGAGEMENTS 2026'!AE1940))))</f>
        <v/>
      </c>
      <c r="K1940" s="604">
        <f>IF(ISBLANK('ENGAGEMENTS 2026'!W1940),"",'ENGAGEMENTS 2026'!W1940)</f>
        <v/>
      </c>
      <c r="L1940" s="276">
        <f>IF($K1940="","",TODAY()-$K1940)</f>
        <v/>
      </c>
      <c r="M1940">
        <f>IF($A1940="","",IF($H1940="ENGAGE","Engagé",IF(AND($H1940="NON ENGAGE",OR($I1940="INFRUCTUEUX",$I1940="ANNULE")),"Clôturé sans suite","En cours")))</f>
        <v/>
      </c>
      <c r="N1940">
        <f>IF(ISBLANK('ENGAGEMENTS 2026'!C1940),"",'ENGAGEMENTS 2026'!L1940)</f>
        <v/>
      </c>
      <c r="O1940">
        <f>IF(ISBLANK('ENGAGEMENTS 2026'!C1940),"",'ENGAGEMENTS 2026'!M1940)</f>
        <v/>
      </c>
      <c r="P1940">
        <f>IF(ISBLANK('ENGAGEMENTS 2026'!C1940),"",'ENGAGEMENTS 2026'!K1940)</f>
        <v/>
      </c>
      <c r="Q1940">
        <f>IF($A1940="","",IF(OR($E1940="INFRUCTUEUX",$E1940="ANNULE"),$A1940&amp;"|"&amp;(COUNTIFS($A$2:$A1940,$A1940,$E$2:$E1940,"INFRUCTUEUX")+COUNTIFS($A$2:$A1940,$A1940,$E$2:$E1940,"ANNULE")),""))</f>
        <v/>
      </c>
    </row>
    <row r="1941">
      <c r="A1941">
        <f>IF(ISBLANK('ENGAGEMENTS 2026'!C1941),"",IF('ENGAGEMENTS 2026'!C1941="DTSI","DCT",'ENGAGEMENTS 2026'!C1941))</f>
        <v/>
      </c>
      <c r="B1941">
        <f>IF(ISBLANK('ENGAGEMENTS 2026'!C1941),"",'ENGAGEMENTS 2026'!D1941)</f>
        <v/>
      </c>
      <c r="C1941">
        <f>IF(ISBLANK('ENGAGEMENTS 2026'!C1941),"",'ENGAGEMENTS 2026'!E1941)</f>
        <v/>
      </c>
      <c r="D1941">
        <f>IF(ISBLANK('ENGAGEMENTS 2026'!C1941),"",'ENGAGEMENTS 2026'!G1941)</f>
        <v/>
      </c>
      <c r="E1941">
        <f>IF(ISBLANK('ENGAGEMENTS 2026'!C1941),"",'ENGAGEMENTS 2026'!I1941)</f>
        <v/>
      </c>
      <c r="F1941">
        <f>IF(ISBLANK('ENGAGEMENTS 2026'!C1941),"",'ENGAGEMENTS 2026'!J1941)</f>
        <v/>
      </c>
      <c r="G1941">
        <f>IF(ISBLANK('ENGAGEMENTS 2026'!C1941),"",'ENGAGEMENTS 2026'!M1941)</f>
        <v/>
      </c>
      <c r="H1941">
        <f>IF(ISBLANK('ENGAGEMENTS 2026'!C1941),"",'ENGAGEMENTS 2026'!AF1941)</f>
        <v/>
      </c>
      <c r="I1941">
        <f>IF(ISBLANK('ENGAGEMENTS 2026'!C1941),"",'ENGAGEMENTS 2026'!H1941)</f>
        <v/>
      </c>
      <c r="J1941" s="275">
        <f>IF(ISBLANK('ENGAGEMENTS 2026'!C1941),"",IF(AND(OR($E1941="INFRUCTUEUX",$E1941="ANNULE"),$C1941="AOO-M"),'ENGAGEMENTS 2026'!P1941,IF($H1941="EN COURS DE PREENGAGEMENT",'ENGAGEMENTS 2026'!O1941,IF($H1941="PREENGAGE",IF($E1941="ATTRIBUE",'ENGAGEMENTS 2026'!AE1941,'ENGAGEMENTS 2026'!O1941),'ENGAGEMENTS 2026'!AE1941))))</f>
        <v/>
      </c>
      <c r="K1941" s="604">
        <f>IF(ISBLANK('ENGAGEMENTS 2026'!W1941),"",'ENGAGEMENTS 2026'!W1941)</f>
        <v/>
      </c>
      <c r="L1941" s="276">
        <f>IF($K1941="","",TODAY()-$K1941)</f>
        <v/>
      </c>
      <c r="M1941">
        <f>IF($A1941="","",IF($H1941="ENGAGE","Engagé",IF(AND($H1941="NON ENGAGE",OR($I1941="INFRUCTUEUX",$I1941="ANNULE")),"Clôturé sans suite","En cours")))</f>
        <v/>
      </c>
      <c r="N1941">
        <f>IF(ISBLANK('ENGAGEMENTS 2026'!C1941),"",'ENGAGEMENTS 2026'!L1941)</f>
        <v/>
      </c>
      <c r="O1941">
        <f>IF(ISBLANK('ENGAGEMENTS 2026'!C1941),"",'ENGAGEMENTS 2026'!M1941)</f>
        <v/>
      </c>
      <c r="P1941">
        <f>IF(ISBLANK('ENGAGEMENTS 2026'!C1941),"",'ENGAGEMENTS 2026'!K1941)</f>
        <v/>
      </c>
      <c r="Q1941">
        <f>IF($A1941="","",IF(OR($E1941="INFRUCTUEUX",$E1941="ANNULE"),$A1941&amp;"|"&amp;(COUNTIFS($A$2:$A1941,$A1941,$E$2:$E1941,"INFRUCTUEUX")+COUNTIFS($A$2:$A1941,$A1941,$E$2:$E1941,"ANNULE")),""))</f>
        <v/>
      </c>
    </row>
    <row r="1942">
      <c r="A1942">
        <f>IF(ISBLANK('ENGAGEMENTS 2026'!C1942),"",IF('ENGAGEMENTS 2026'!C1942="DTSI","DCT",'ENGAGEMENTS 2026'!C1942))</f>
        <v/>
      </c>
      <c r="B1942">
        <f>IF(ISBLANK('ENGAGEMENTS 2026'!C1942),"",'ENGAGEMENTS 2026'!D1942)</f>
        <v/>
      </c>
      <c r="C1942">
        <f>IF(ISBLANK('ENGAGEMENTS 2026'!C1942),"",'ENGAGEMENTS 2026'!E1942)</f>
        <v/>
      </c>
      <c r="D1942">
        <f>IF(ISBLANK('ENGAGEMENTS 2026'!C1942),"",'ENGAGEMENTS 2026'!G1942)</f>
        <v/>
      </c>
      <c r="E1942">
        <f>IF(ISBLANK('ENGAGEMENTS 2026'!C1942),"",'ENGAGEMENTS 2026'!I1942)</f>
        <v/>
      </c>
      <c r="F1942">
        <f>IF(ISBLANK('ENGAGEMENTS 2026'!C1942),"",'ENGAGEMENTS 2026'!J1942)</f>
        <v/>
      </c>
      <c r="G1942">
        <f>IF(ISBLANK('ENGAGEMENTS 2026'!C1942),"",'ENGAGEMENTS 2026'!M1942)</f>
        <v/>
      </c>
      <c r="H1942">
        <f>IF(ISBLANK('ENGAGEMENTS 2026'!C1942),"",'ENGAGEMENTS 2026'!AF1942)</f>
        <v/>
      </c>
      <c r="I1942">
        <f>IF(ISBLANK('ENGAGEMENTS 2026'!C1942),"",'ENGAGEMENTS 2026'!H1942)</f>
        <v/>
      </c>
      <c r="J1942" s="275">
        <f>IF(ISBLANK('ENGAGEMENTS 2026'!C1942),"",IF(AND(OR($E1942="INFRUCTUEUX",$E1942="ANNULE"),$C1942="AOO-M"),'ENGAGEMENTS 2026'!P1942,IF($H1942="EN COURS DE PREENGAGEMENT",'ENGAGEMENTS 2026'!O1942,IF($H1942="PREENGAGE",IF($E1942="ATTRIBUE",'ENGAGEMENTS 2026'!AE1942,'ENGAGEMENTS 2026'!O1942),'ENGAGEMENTS 2026'!AE1942))))</f>
        <v/>
      </c>
      <c r="K1942" s="604">
        <f>IF(ISBLANK('ENGAGEMENTS 2026'!W1942),"",'ENGAGEMENTS 2026'!W1942)</f>
        <v/>
      </c>
      <c r="L1942" s="276">
        <f>IF($K1942="","",TODAY()-$K1942)</f>
        <v/>
      </c>
      <c r="M1942">
        <f>IF($A1942="","",IF($H1942="ENGAGE","Engagé",IF(AND($H1942="NON ENGAGE",OR($I1942="INFRUCTUEUX",$I1942="ANNULE")),"Clôturé sans suite","En cours")))</f>
        <v/>
      </c>
      <c r="N1942">
        <f>IF(ISBLANK('ENGAGEMENTS 2026'!C1942),"",'ENGAGEMENTS 2026'!L1942)</f>
        <v/>
      </c>
      <c r="O1942">
        <f>IF(ISBLANK('ENGAGEMENTS 2026'!C1942),"",'ENGAGEMENTS 2026'!M1942)</f>
        <v/>
      </c>
      <c r="P1942">
        <f>IF(ISBLANK('ENGAGEMENTS 2026'!C1942),"",'ENGAGEMENTS 2026'!K1942)</f>
        <v/>
      </c>
      <c r="Q1942">
        <f>IF($A1942="","",IF(OR($E1942="INFRUCTUEUX",$E1942="ANNULE"),$A1942&amp;"|"&amp;(COUNTIFS($A$2:$A1942,$A1942,$E$2:$E1942,"INFRUCTUEUX")+COUNTIFS($A$2:$A1942,$A1942,$E$2:$E1942,"ANNULE")),""))</f>
        <v/>
      </c>
    </row>
    <row r="1943">
      <c r="A1943">
        <f>IF(ISBLANK('ENGAGEMENTS 2026'!C1943),"",IF('ENGAGEMENTS 2026'!C1943="DTSI","DCT",'ENGAGEMENTS 2026'!C1943))</f>
        <v/>
      </c>
      <c r="B1943">
        <f>IF(ISBLANK('ENGAGEMENTS 2026'!C1943),"",'ENGAGEMENTS 2026'!D1943)</f>
        <v/>
      </c>
      <c r="C1943">
        <f>IF(ISBLANK('ENGAGEMENTS 2026'!C1943),"",'ENGAGEMENTS 2026'!E1943)</f>
        <v/>
      </c>
      <c r="D1943">
        <f>IF(ISBLANK('ENGAGEMENTS 2026'!C1943),"",'ENGAGEMENTS 2026'!G1943)</f>
        <v/>
      </c>
      <c r="E1943">
        <f>IF(ISBLANK('ENGAGEMENTS 2026'!C1943),"",'ENGAGEMENTS 2026'!I1943)</f>
        <v/>
      </c>
      <c r="F1943">
        <f>IF(ISBLANK('ENGAGEMENTS 2026'!C1943),"",'ENGAGEMENTS 2026'!J1943)</f>
        <v/>
      </c>
      <c r="G1943">
        <f>IF(ISBLANK('ENGAGEMENTS 2026'!C1943),"",'ENGAGEMENTS 2026'!M1943)</f>
        <v/>
      </c>
      <c r="H1943">
        <f>IF(ISBLANK('ENGAGEMENTS 2026'!C1943),"",'ENGAGEMENTS 2026'!AF1943)</f>
        <v/>
      </c>
      <c r="I1943">
        <f>IF(ISBLANK('ENGAGEMENTS 2026'!C1943),"",'ENGAGEMENTS 2026'!H1943)</f>
        <v/>
      </c>
      <c r="J1943" s="275">
        <f>IF(ISBLANK('ENGAGEMENTS 2026'!C1943),"",IF(AND(OR($E1943="INFRUCTUEUX",$E1943="ANNULE"),$C1943="AOO-M"),'ENGAGEMENTS 2026'!P1943,IF($H1943="EN COURS DE PREENGAGEMENT",'ENGAGEMENTS 2026'!O1943,IF($H1943="PREENGAGE",IF($E1943="ATTRIBUE",'ENGAGEMENTS 2026'!AE1943,'ENGAGEMENTS 2026'!O1943),'ENGAGEMENTS 2026'!AE1943))))</f>
        <v/>
      </c>
      <c r="K1943" s="604">
        <f>IF(ISBLANK('ENGAGEMENTS 2026'!W1943),"",'ENGAGEMENTS 2026'!W1943)</f>
        <v/>
      </c>
      <c r="L1943" s="276">
        <f>IF($K1943="","",TODAY()-$K1943)</f>
        <v/>
      </c>
      <c r="M1943">
        <f>IF($A1943="","",IF($H1943="ENGAGE","Engagé",IF(AND($H1943="NON ENGAGE",OR($I1943="INFRUCTUEUX",$I1943="ANNULE")),"Clôturé sans suite","En cours")))</f>
        <v/>
      </c>
      <c r="N1943">
        <f>IF(ISBLANK('ENGAGEMENTS 2026'!C1943),"",'ENGAGEMENTS 2026'!L1943)</f>
        <v/>
      </c>
      <c r="O1943">
        <f>IF(ISBLANK('ENGAGEMENTS 2026'!C1943),"",'ENGAGEMENTS 2026'!M1943)</f>
        <v/>
      </c>
      <c r="P1943">
        <f>IF(ISBLANK('ENGAGEMENTS 2026'!C1943),"",'ENGAGEMENTS 2026'!K1943)</f>
        <v/>
      </c>
      <c r="Q1943">
        <f>IF($A1943="","",IF(OR($E1943="INFRUCTUEUX",$E1943="ANNULE"),$A1943&amp;"|"&amp;(COUNTIFS($A$2:$A1943,$A1943,$E$2:$E1943,"INFRUCTUEUX")+COUNTIFS($A$2:$A1943,$A1943,$E$2:$E1943,"ANNULE")),""))</f>
        <v/>
      </c>
    </row>
    <row r="1944">
      <c r="A1944">
        <f>IF(ISBLANK('ENGAGEMENTS 2026'!C1944),"",IF('ENGAGEMENTS 2026'!C1944="DTSI","DCT",'ENGAGEMENTS 2026'!C1944))</f>
        <v/>
      </c>
      <c r="B1944">
        <f>IF(ISBLANK('ENGAGEMENTS 2026'!C1944),"",'ENGAGEMENTS 2026'!D1944)</f>
        <v/>
      </c>
      <c r="C1944">
        <f>IF(ISBLANK('ENGAGEMENTS 2026'!C1944),"",'ENGAGEMENTS 2026'!E1944)</f>
        <v/>
      </c>
      <c r="D1944">
        <f>IF(ISBLANK('ENGAGEMENTS 2026'!C1944),"",'ENGAGEMENTS 2026'!G1944)</f>
        <v/>
      </c>
      <c r="E1944">
        <f>IF(ISBLANK('ENGAGEMENTS 2026'!C1944),"",'ENGAGEMENTS 2026'!I1944)</f>
        <v/>
      </c>
      <c r="F1944">
        <f>IF(ISBLANK('ENGAGEMENTS 2026'!C1944),"",'ENGAGEMENTS 2026'!J1944)</f>
        <v/>
      </c>
      <c r="G1944">
        <f>IF(ISBLANK('ENGAGEMENTS 2026'!C1944),"",'ENGAGEMENTS 2026'!M1944)</f>
        <v/>
      </c>
      <c r="H1944">
        <f>IF(ISBLANK('ENGAGEMENTS 2026'!C1944),"",'ENGAGEMENTS 2026'!AF1944)</f>
        <v/>
      </c>
      <c r="I1944">
        <f>IF(ISBLANK('ENGAGEMENTS 2026'!C1944),"",'ENGAGEMENTS 2026'!H1944)</f>
        <v/>
      </c>
      <c r="J1944" s="275">
        <f>IF(ISBLANK('ENGAGEMENTS 2026'!C1944),"",IF(AND(OR($E1944="INFRUCTUEUX",$E1944="ANNULE"),$C1944="AOO-M"),'ENGAGEMENTS 2026'!P1944,IF($H1944="EN COURS DE PREENGAGEMENT",'ENGAGEMENTS 2026'!O1944,IF($H1944="PREENGAGE",IF($E1944="ATTRIBUE",'ENGAGEMENTS 2026'!AE1944,'ENGAGEMENTS 2026'!O1944),'ENGAGEMENTS 2026'!AE1944))))</f>
        <v/>
      </c>
      <c r="K1944" s="604">
        <f>IF(ISBLANK('ENGAGEMENTS 2026'!W1944),"",'ENGAGEMENTS 2026'!W1944)</f>
        <v/>
      </c>
      <c r="L1944" s="276">
        <f>IF($K1944="","",TODAY()-$K1944)</f>
        <v/>
      </c>
      <c r="M1944">
        <f>IF($A1944="","",IF($H1944="ENGAGE","Engagé",IF(AND($H1944="NON ENGAGE",OR($I1944="INFRUCTUEUX",$I1944="ANNULE")),"Clôturé sans suite","En cours")))</f>
        <v/>
      </c>
      <c r="N1944">
        <f>IF(ISBLANK('ENGAGEMENTS 2026'!C1944),"",'ENGAGEMENTS 2026'!L1944)</f>
        <v/>
      </c>
      <c r="O1944">
        <f>IF(ISBLANK('ENGAGEMENTS 2026'!C1944),"",'ENGAGEMENTS 2026'!M1944)</f>
        <v/>
      </c>
      <c r="P1944">
        <f>IF(ISBLANK('ENGAGEMENTS 2026'!C1944),"",'ENGAGEMENTS 2026'!K1944)</f>
        <v/>
      </c>
      <c r="Q1944">
        <f>IF($A1944="","",IF(OR($E1944="INFRUCTUEUX",$E1944="ANNULE"),$A1944&amp;"|"&amp;(COUNTIFS($A$2:$A1944,$A1944,$E$2:$E1944,"INFRUCTUEUX")+COUNTIFS($A$2:$A1944,$A1944,$E$2:$E1944,"ANNULE")),""))</f>
        <v/>
      </c>
    </row>
    <row r="1945">
      <c r="A1945">
        <f>IF(ISBLANK('ENGAGEMENTS 2026'!C1945),"",IF('ENGAGEMENTS 2026'!C1945="DTSI","DCT",'ENGAGEMENTS 2026'!C1945))</f>
        <v/>
      </c>
      <c r="B1945">
        <f>IF(ISBLANK('ENGAGEMENTS 2026'!C1945),"",'ENGAGEMENTS 2026'!D1945)</f>
        <v/>
      </c>
      <c r="C1945">
        <f>IF(ISBLANK('ENGAGEMENTS 2026'!C1945),"",'ENGAGEMENTS 2026'!E1945)</f>
        <v/>
      </c>
      <c r="D1945">
        <f>IF(ISBLANK('ENGAGEMENTS 2026'!C1945),"",'ENGAGEMENTS 2026'!G1945)</f>
        <v/>
      </c>
      <c r="E1945">
        <f>IF(ISBLANK('ENGAGEMENTS 2026'!C1945),"",'ENGAGEMENTS 2026'!I1945)</f>
        <v/>
      </c>
      <c r="F1945">
        <f>IF(ISBLANK('ENGAGEMENTS 2026'!C1945),"",'ENGAGEMENTS 2026'!J1945)</f>
        <v/>
      </c>
      <c r="G1945">
        <f>IF(ISBLANK('ENGAGEMENTS 2026'!C1945),"",'ENGAGEMENTS 2026'!M1945)</f>
        <v/>
      </c>
      <c r="H1945">
        <f>IF(ISBLANK('ENGAGEMENTS 2026'!C1945),"",'ENGAGEMENTS 2026'!AF1945)</f>
        <v/>
      </c>
      <c r="I1945">
        <f>IF(ISBLANK('ENGAGEMENTS 2026'!C1945),"",'ENGAGEMENTS 2026'!H1945)</f>
        <v/>
      </c>
      <c r="J1945" s="275">
        <f>IF(ISBLANK('ENGAGEMENTS 2026'!C1945),"",IF(AND(OR($E1945="INFRUCTUEUX",$E1945="ANNULE"),$C1945="AOO-M"),'ENGAGEMENTS 2026'!P1945,IF($H1945="EN COURS DE PREENGAGEMENT",'ENGAGEMENTS 2026'!O1945,IF($H1945="PREENGAGE",IF($E1945="ATTRIBUE",'ENGAGEMENTS 2026'!AE1945,'ENGAGEMENTS 2026'!O1945),'ENGAGEMENTS 2026'!AE1945))))</f>
        <v/>
      </c>
      <c r="K1945" s="604">
        <f>IF(ISBLANK('ENGAGEMENTS 2026'!W1945),"",'ENGAGEMENTS 2026'!W1945)</f>
        <v/>
      </c>
      <c r="L1945" s="276">
        <f>IF($K1945="","",TODAY()-$K1945)</f>
        <v/>
      </c>
      <c r="M1945">
        <f>IF($A1945="","",IF($H1945="ENGAGE","Engagé",IF(AND($H1945="NON ENGAGE",OR($I1945="INFRUCTUEUX",$I1945="ANNULE")),"Clôturé sans suite","En cours")))</f>
        <v/>
      </c>
      <c r="N1945">
        <f>IF(ISBLANK('ENGAGEMENTS 2026'!C1945),"",'ENGAGEMENTS 2026'!L1945)</f>
        <v/>
      </c>
      <c r="O1945">
        <f>IF(ISBLANK('ENGAGEMENTS 2026'!C1945),"",'ENGAGEMENTS 2026'!M1945)</f>
        <v/>
      </c>
      <c r="P1945">
        <f>IF(ISBLANK('ENGAGEMENTS 2026'!C1945),"",'ENGAGEMENTS 2026'!K1945)</f>
        <v/>
      </c>
      <c r="Q1945">
        <f>IF($A1945="","",IF(OR($E1945="INFRUCTUEUX",$E1945="ANNULE"),$A1945&amp;"|"&amp;(COUNTIFS($A$2:$A1945,$A1945,$E$2:$E1945,"INFRUCTUEUX")+COUNTIFS($A$2:$A1945,$A1945,$E$2:$E1945,"ANNULE")),""))</f>
        <v/>
      </c>
    </row>
    <row r="1946">
      <c r="A1946">
        <f>IF(ISBLANK('ENGAGEMENTS 2026'!C1946),"",IF('ENGAGEMENTS 2026'!C1946="DTSI","DCT",'ENGAGEMENTS 2026'!C1946))</f>
        <v/>
      </c>
      <c r="B1946">
        <f>IF(ISBLANK('ENGAGEMENTS 2026'!C1946),"",'ENGAGEMENTS 2026'!D1946)</f>
        <v/>
      </c>
      <c r="C1946">
        <f>IF(ISBLANK('ENGAGEMENTS 2026'!C1946),"",'ENGAGEMENTS 2026'!E1946)</f>
        <v/>
      </c>
      <c r="D1946">
        <f>IF(ISBLANK('ENGAGEMENTS 2026'!C1946),"",'ENGAGEMENTS 2026'!G1946)</f>
        <v/>
      </c>
      <c r="E1946">
        <f>IF(ISBLANK('ENGAGEMENTS 2026'!C1946),"",'ENGAGEMENTS 2026'!I1946)</f>
        <v/>
      </c>
      <c r="F1946">
        <f>IF(ISBLANK('ENGAGEMENTS 2026'!C1946),"",'ENGAGEMENTS 2026'!J1946)</f>
        <v/>
      </c>
      <c r="G1946">
        <f>IF(ISBLANK('ENGAGEMENTS 2026'!C1946),"",'ENGAGEMENTS 2026'!M1946)</f>
        <v/>
      </c>
      <c r="H1946">
        <f>IF(ISBLANK('ENGAGEMENTS 2026'!C1946),"",'ENGAGEMENTS 2026'!AF1946)</f>
        <v/>
      </c>
      <c r="I1946">
        <f>IF(ISBLANK('ENGAGEMENTS 2026'!C1946),"",'ENGAGEMENTS 2026'!H1946)</f>
        <v/>
      </c>
      <c r="J1946" s="275">
        <f>IF(ISBLANK('ENGAGEMENTS 2026'!C1946),"",IF(AND(OR($E1946="INFRUCTUEUX",$E1946="ANNULE"),$C1946="AOO-M"),'ENGAGEMENTS 2026'!P1946,IF($H1946="EN COURS DE PREENGAGEMENT",'ENGAGEMENTS 2026'!O1946,IF($H1946="PREENGAGE",IF($E1946="ATTRIBUE",'ENGAGEMENTS 2026'!AE1946,'ENGAGEMENTS 2026'!O1946),'ENGAGEMENTS 2026'!AE1946))))</f>
        <v/>
      </c>
      <c r="K1946" s="604">
        <f>IF(ISBLANK('ENGAGEMENTS 2026'!W1946),"",'ENGAGEMENTS 2026'!W1946)</f>
        <v/>
      </c>
      <c r="L1946" s="276">
        <f>IF($K1946="","",TODAY()-$K1946)</f>
        <v/>
      </c>
      <c r="M1946">
        <f>IF($A1946="","",IF($H1946="ENGAGE","Engagé",IF(AND($H1946="NON ENGAGE",OR($I1946="INFRUCTUEUX",$I1946="ANNULE")),"Clôturé sans suite","En cours")))</f>
        <v/>
      </c>
      <c r="N1946">
        <f>IF(ISBLANK('ENGAGEMENTS 2026'!C1946),"",'ENGAGEMENTS 2026'!L1946)</f>
        <v/>
      </c>
      <c r="O1946">
        <f>IF(ISBLANK('ENGAGEMENTS 2026'!C1946),"",'ENGAGEMENTS 2026'!M1946)</f>
        <v/>
      </c>
      <c r="P1946">
        <f>IF(ISBLANK('ENGAGEMENTS 2026'!C1946),"",'ENGAGEMENTS 2026'!K1946)</f>
        <v/>
      </c>
      <c r="Q1946">
        <f>IF($A1946="","",IF(OR($E1946="INFRUCTUEUX",$E1946="ANNULE"),$A1946&amp;"|"&amp;(COUNTIFS($A$2:$A1946,$A1946,$E$2:$E1946,"INFRUCTUEUX")+COUNTIFS($A$2:$A1946,$A1946,$E$2:$E1946,"ANNULE")),""))</f>
        <v/>
      </c>
    </row>
    <row r="1947">
      <c r="A1947">
        <f>IF(ISBLANK('ENGAGEMENTS 2026'!C1947),"",IF('ENGAGEMENTS 2026'!C1947="DTSI","DCT",'ENGAGEMENTS 2026'!C1947))</f>
        <v/>
      </c>
      <c r="B1947">
        <f>IF(ISBLANK('ENGAGEMENTS 2026'!C1947),"",'ENGAGEMENTS 2026'!D1947)</f>
        <v/>
      </c>
      <c r="C1947">
        <f>IF(ISBLANK('ENGAGEMENTS 2026'!C1947),"",'ENGAGEMENTS 2026'!E1947)</f>
        <v/>
      </c>
      <c r="D1947">
        <f>IF(ISBLANK('ENGAGEMENTS 2026'!C1947),"",'ENGAGEMENTS 2026'!G1947)</f>
        <v/>
      </c>
      <c r="E1947">
        <f>IF(ISBLANK('ENGAGEMENTS 2026'!C1947),"",'ENGAGEMENTS 2026'!I1947)</f>
        <v/>
      </c>
      <c r="F1947">
        <f>IF(ISBLANK('ENGAGEMENTS 2026'!C1947),"",'ENGAGEMENTS 2026'!J1947)</f>
        <v/>
      </c>
      <c r="G1947">
        <f>IF(ISBLANK('ENGAGEMENTS 2026'!C1947),"",'ENGAGEMENTS 2026'!M1947)</f>
        <v/>
      </c>
      <c r="H1947">
        <f>IF(ISBLANK('ENGAGEMENTS 2026'!C1947),"",'ENGAGEMENTS 2026'!AF1947)</f>
        <v/>
      </c>
      <c r="I1947">
        <f>IF(ISBLANK('ENGAGEMENTS 2026'!C1947),"",'ENGAGEMENTS 2026'!H1947)</f>
        <v/>
      </c>
      <c r="J1947" s="275">
        <f>IF(ISBLANK('ENGAGEMENTS 2026'!C1947),"",IF(AND(OR($E1947="INFRUCTUEUX",$E1947="ANNULE"),$C1947="AOO-M"),'ENGAGEMENTS 2026'!P1947,IF($H1947="EN COURS DE PREENGAGEMENT",'ENGAGEMENTS 2026'!O1947,IF($H1947="PREENGAGE",IF($E1947="ATTRIBUE",'ENGAGEMENTS 2026'!AE1947,'ENGAGEMENTS 2026'!O1947),'ENGAGEMENTS 2026'!AE1947))))</f>
        <v/>
      </c>
      <c r="K1947" s="604">
        <f>IF(ISBLANK('ENGAGEMENTS 2026'!W1947),"",'ENGAGEMENTS 2026'!W1947)</f>
        <v/>
      </c>
      <c r="L1947" s="276">
        <f>IF($K1947="","",TODAY()-$K1947)</f>
        <v/>
      </c>
      <c r="M1947">
        <f>IF($A1947="","",IF($H1947="ENGAGE","Engagé",IF(AND($H1947="NON ENGAGE",OR($I1947="INFRUCTUEUX",$I1947="ANNULE")),"Clôturé sans suite","En cours")))</f>
        <v/>
      </c>
      <c r="N1947">
        <f>IF(ISBLANK('ENGAGEMENTS 2026'!C1947),"",'ENGAGEMENTS 2026'!L1947)</f>
        <v/>
      </c>
      <c r="O1947">
        <f>IF(ISBLANK('ENGAGEMENTS 2026'!C1947),"",'ENGAGEMENTS 2026'!M1947)</f>
        <v/>
      </c>
      <c r="P1947">
        <f>IF(ISBLANK('ENGAGEMENTS 2026'!C1947),"",'ENGAGEMENTS 2026'!K1947)</f>
        <v/>
      </c>
      <c r="Q1947">
        <f>IF($A1947="","",IF(OR($E1947="INFRUCTUEUX",$E1947="ANNULE"),$A1947&amp;"|"&amp;(COUNTIFS($A$2:$A1947,$A1947,$E$2:$E1947,"INFRUCTUEUX")+COUNTIFS($A$2:$A1947,$A1947,$E$2:$E1947,"ANNULE")),""))</f>
        <v/>
      </c>
    </row>
    <row r="1948">
      <c r="A1948">
        <f>IF(ISBLANK('ENGAGEMENTS 2026'!C1948),"",IF('ENGAGEMENTS 2026'!C1948="DTSI","DCT",'ENGAGEMENTS 2026'!C1948))</f>
        <v/>
      </c>
      <c r="B1948">
        <f>IF(ISBLANK('ENGAGEMENTS 2026'!C1948),"",'ENGAGEMENTS 2026'!D1948)</f>
        <v/>
      </c>
      <c r="C1948">
        <f>IF(ISBLANK('ENGAGEMENTS 2026'!C1948),"",'ENGAGEMENTS 2026'!E1948)</f>
        <v/>
      </c>
      <c r="D1948">
        <f>IF(ISBLANK('ENGAGEMENTS 2026'!C1948),"",'ENGAGEMENTS 2026'!G1948)</f>
        <v/>
      </c>
      <c r="E1948">
        <f>IF(ISBLANK('ENGAGEMENTS 2026'!C1948),"",'ENGAGEMENTS 2026'!I1948)</f>
        <v/>
      </c>
      <c r="F1948">
        <f>IF(ISBLANK('ENGAGEMENTS 2026'!C1948),"",'ENGAGEMENTS 2026'!J1948)</f>
        <v/>
      </c>
      <c r="G1948">
        <f>IF(ISBLANK('ENGAGEMENTS 2026'!C1948),"",'ENGAGEMENTS 2026'!M1948)</f>
        <v/>
      </c>
      <c r="H1948">
        <f>IF(ISBLANK('ENGAGEMENTS 2026'!C1948),"",'ENGAGEMENTS 2026'!AF1948)</f>
        <v/>
      </c>
      <c r="I1948">
        <f>IF(ISBLANK('ENGAGEMENTS 2026'!C1948),"",'ENGAGEMENTS 2026'!H1948)</f>
        <v/>
      </c>
      <c r="J1948" s="275">
        <f>IF(ISBLANK('ENGAGEMENTS 2026'!C1948),"",IF(AND(OR($E1948="INFRUCTUEUX",$E1948="ANNULE"),$C1948="AOO-M"),'ENGAGEMENTS 2026'!P1948,IF($H1948="EN COURS DE PREENGAGEMENT",'ENGAGEMENTS 2026'!O1948,IF($H1948="PREENGAGE",IF($E1948="ATTRIBUE",'ENGAGEMENTS 2026'!AE1948,'ENGAGEMENTS 2026'!O1948),'ENGAGEMENTS 2026'!AE1948))))</f>
        <v/>
      </c>
      <c r="K1948" s="604">
        <f>IF(ISBLANK('ENGAGEMENTS 2026'!W1948),"",'ENGAGEMENTS 2026'!W1948)</f>
        <v/>
      </c>
      <c r="L1948" s="276">
        <f>IF($K1948="","",TODAY()-$K1948)</f>
        <v/>
      </c>
      <c r="M1948">
        <f>IF($A1948="","",IF($H1948="ENGAGE","Engagé",IF(AND($H1948="NON ENGAGE",OR($I1948="INFRUCTUEUX",$I1948="ANNULE")),"Clôturé sans suite","En cours")))</f>
        <v/>
      </c>
      <c r="N1948">
        <f>IF(ISBLANK('ENGAGEMENTS 2026'!C1948),"",'ENGAGEMENTS 2026'!L1948)</f>
        <v/>
      </c>
      <c r="O1948">
        <f>IF(ISBLANK('ENGAGEMENTS 2026'!C1948),"",'ENGAGEMENTS 2026'!M1948)</f>
        <v/>
      </c>
      <c r="P1948">
        <f>IF(ISBLANK('ENGAGEMENTS 2026'!C1948),"",'ENGAGEMENTS 2026'!K1948)</f>
        <v/>
      </c>
      <c r="Q1948">
        <f>IF($A1948="","",IF(OR($E1948="INFRUCTUEUX",$E1948="ANNULE"),$A1948&amp;"|"&amp;(COUNTIFS($A$2:$A1948,$A1948,$E$2:$E1948,"INFRUCTUEUX")+COUNTIFS($A$2:$A1948,$A1948,$E$2:$E1948,"ANNULE")),""))</f>
        <v/>
      </c>
    </row>
    <row r="1949">
      <c r="A1949">
        <f>IF(ISBLANK('ENGAGEMENTS 2026'!C1949),"",IF('ENGAGEMENTS 2026'!C1949="DTSI","DCT",'ENGAGEMENTS 2026'!C1949))</f>
        <v/>
      </c>
      <c r="B1949">
        <f>IF(ISBLANK('ENGAGEMENTS 2026'!C1949),"",'ENGAGEMENTS 2026'!D1949)</f>
        <v/>
      </c>
      <c r="C1949">
        <f>IF(ISBLANK('ENGAGEMENTS 2026'!C1949),"",'ENGAGEMENTS 2026'!E1949)</f>
        <v/>
      </c>
      <c r="D1949">
        <f>IF(ISBLANK('ENGAGEMENTS 2026'!C1949),"",'ENGAGEMENTS 2026'!G1949)</f>
        <v/>
      </c>
      <c r="E1949">
        <f>IF(ISBLANK('ENGAGEMENTS 2026'!C1949),"",'ENGAGEMENTS 2026'!I1949)</f>
        <v/>
      </c>
      <c r="F1949">
        <f>IF(ISBLANK('ENGAGEMENTS 2026'!C1949),"",'ENGAGEMENTS 2026'!J1949)</f>
        <v/>
      </c>
      <c r="G1949">
        <f>IF(ISBLANK('ENGAGEMENTS 2026'!C1949),"",'ENGAGEMENTS 2026'!M1949)</f>
        <v/>
      </c>
      <c r="H1949">
        <f>IF(ISBLANK('ENGAGEMENTS 2026'!C1949),"",'ENGAGEMENTS 2026'!AF1949)</f>
        <v/>
      </c>
      <c r="I1949">
        <f>IF(ISBLANK('ENGAGEMENTS 2026'!C1949),"",'ENGAGEMENTS 2026'!H1949)</f>
        <v/>
      </c>
      <c r="J1949" s="275">
        <f>IF(ISBLANK('ENGAGEMENTS 2026'!C1949),"",IF(AND(OR($E1949="INFRUCTUEUX",$E1949="ANNULE"),$C1949="AOO-M"),'ENGAGEMENTS 2026'!P1949,IF($H1949="EN COURS DE PREENGAGEMENT",'ENGAGEMENTS 2026'!O1949,IF($H1949="PREENGAGE",IF($E1949="ATTRIBUE",'ENGAGEMENTS 2026'!AE1949,'ENGAGEMENTS 2026'!O1949),'ENGAGEMENTS 2026'!AE1949))))</f>
        <v/>
      </c>
      <c r="K1949" s="604">
        <f>IF(ISBLANK('ENGAGEMENTS 2026'!W1949),"",'ENGAGEMENTS 2026'!W1949)</f>
        <v/>
      </c>
      <c r="L1949" s="276">
        <f>IF($K1949="","",TODAY()-$K1949)</f>
        <v/>
      </c>
      <c r="M1949">
        <f>IF($A1949="","",IF($H1949="ENGAGE","Engagé",IF(AND($H1949="NON ENGAGE",OR($I1949="INFRUCTUEUX",$I1949="ANNULE")),"Clôturé sans suite","En cours")))</f>
        <v/>
      </c>
      <c r="N1949">
        <f>IF(ISBLANK('ENGAGEMENTS 2026'!C1949),"",'ENGAGEMENTS 2026'!L1949)</f>
        <v/>
      </c>
      <c r="O1949">
        <f>IF(ISBLANK('ENGAGEMENTS 2026'!C1949),"",'ENGAGEMENTS 2026'!M1949)</f>
        <v/>
      </c>
      <c r="P1949">
        <f>IF(ISBLANK('ENGAGEMENTS 2026'!C1949),"",'ENGAGEMENTS 2026'!K1949)</f>
        <v/>
      </c>
      <c r="Q1949">
        <f>IF($A1949="","",IF(OR($E1949="INFRUCTUEUX",$E1949="ANNULE"),$A1949&amp;"|"&amp;(COUNTIFS($A$2:$A1949,$A1949,$E$2:$E1949,"INFRUCTUEUX")+COUNTIFS($A$2:$A1949,$A1949,$E$2:$E1949,"ANNULE")),""))</f>
        <v/>
      </c>
    </row>
    <row r="1950">
      <c r="A1950">
        <f>IF(ISBLANK('ENGAGEMENTS 2026'!C1950),"",IF('ENGAGEMENTS 2026'!C1950="DTSI","DCT",'ENGAGEMENTS 2026'!C1950))</f>
        <v/>
      </c>
      <c r="B1950">
        <f>IF(ISBLANK('ENGAGEMENTS 2026'!C1950),"",'ENGAGEMENTS 2026'!D1950)</f>
        <v/>
      </c>
      <c r="C1950">
        <f>IF(ISBLANK('ENGAGEMENTS 2026'!C1950),"",'ENGAGEMENTS 2026'!E1950)</f>
        <v/>
      </c>
      <c r="D1950">
        <f>IF(ISBLANK('ENGAGEMENTS 2026'!C1950),"",'ENGAGEMENTS 2026'!G1950)</f>
        <v/>
      </c>
      <c r="E1950">
        <f>IF(ISBLANK('ENGAGEMENTS 2026'!C1950),"",'ENGAGEMENTS 2026'!I1950)</f>
        <v/>
      </c>
      <c r="F1950">
        <f>IF(ISBLANK('ENGAGEMENTS 2026'!C1950),"",'ENGAGEMENTS 2026'!J1950)</f>
        <v/>
      </c>
      <c r="G1950">
        <f>IF(ISBLANK('ENGAGEMENTS 2026'!C1950),"",'ENGAGEMENTS 2026'!M1950)</f>
        <v/>
      </c>
      <c r="H1950">
        <f>IF(ISBLANK('ENGAGEMENTS 2026'!C1950),"",'ENGAGEMENTS 2026'!AF1950)</f>
        <v/>
      </c>
      <c r="I1950">
        <f>IF(ISBLANK('ENGAGEMENTS 2026'!C1950),"",'ENGAGEMENTS 2026'!H1950)</f>
        <v/>
      </c>
      <c r="J1950" s="275">
        <f>IF(ISBLANK('ENGAGEMENTS 2026'!C1950),"",IF(AND(OR($E1950="INFRUCTUEUX",$E1950="ANNULE"),$C1950="AOO-M"),'ENGAGEMENTS 2026'!P1950,IF($H1950="EN COURS DE PREENGAGEMENT",'ENGAGEMENTS 2026'!O1950,IF($H1950="PREENGAGE",IF($E1950="ATTRIBUE",'ENGAGEMENTS 2026'!AE1950,'ENGAGEMENTS 2026'!O1950),'ENGAGEMENTS 2026'!AE1950))))</f>
        <v/>
      </c>
      <c r="K1950" s="604">
        <f>IF(ISBLANK('ENGAGEMENTS 2026'!W1950),"",'ENGAGEMENTS 2026'!W1950)</f>
        <v/>
      </c>
      <c r="L1950" s="276">
        <f>IF($K1950="","",TODAY()-$K1950)</f>
        <v/>
      </c>
      <c r="M1950">
        <f>IF($A1950="","",IF($H1950="ENGAGE","Engagé",IF(AND($H1950="NON ENGAGE",OR($I1950="INFRUCTUEUX",$I1950="ANNULE")),"Clôturé sans suite","En cours")))</f>
        <v/>
      </c>
      <c r="N1950">
        <f>IF(ISBLANK('ENGAGEMENTS 2026'!C1950),"",'ENGAGEMENTS 2026'!L1950)</f>
        <v/>
      </c>
      <c r="O1950">
        <f>IF(ISBLANK('ENGAGEMENTS 2026'!C1950),"",'ENGAGEMENTS 2026'!M1950)</f>
        <v/>
      </c>
      <c r="P1950">
        <f>IF(ISBLANK('ENGAGEMENTS 2026'!C1950),"",'ENGAGEMENTS 2026'!K1950)</f>
        <v/>
      </c>
      <c r="Q1950">
        <f>IF($A1950="","",IF(OR($E1950="INFRUCTUEUX",$E1950="ANNULE"),$A1950&amp;"|"&amp;(COUNTIFS($A$2:$A1950,$A1950,$E$2:$E1950,"INFRUCTUEUX")+COUNTIFS($A$2:$A1950,$A1950,$E$2:$E1950,"ANNULE")),""))</f>
        <v/>
      </c>
    </row>
    <row r="1951">
      <c r="A1951">
        <f>IF(ISBLANK('ENGAGEMENTS 2026'!C1951),"",IF('ENGAGEMENTS 2026'!C1951="DTSI","DCT",'ENGAGEMENTS 2026'!C1951))</f>
        <v/>
      </c>
      <c r="B1951">
        <f>IF(ISBLANK('ENGAGEMENTS 2026'!C1951),"",'ENGAGEMENTS 2026'!D1951)</f>
        <v/>
      </c>
      <c r="C1951">
        <f>IF(ISBLANK('ENGAGEMENTS 2026'!C1951),"",'ENGAGEMENTS 2026'!E1951)</f>
        <v/>
      </c>
      <c r="D1951">
        <f>IF(ISBLANK('ENGAGEMENTS 2026'!C1951),"",'ENGAGEMENTS 2026'!G1951)</f>
        <v/>
      </c>
      <c r="E1951">
        <f>IF(ISBLANK('ENGAGEMENTS 2026'!C1951),"",'ENGAGEMENTS 2026'!I1951)</f>
        <v/>
      </c>
      <c r="F1951">
        <f>IF(ISBLANK('ENGAGEMENTS 2026'!C1951),"",'ENGAGEMENTS 2026'!J1951)</f>
        <v/>
      </c>
      <c r="G1951">
        <f>IF(ISBLANK('ENGAGEMENTS 2026'!C1951),"",'ENGAGEMENTS 2026'!M1951)</f>
        <v/>
      </c>
      <c r="H1951">
        <f>IF(ISBLANK('ENGAGEMENTS 2026'!C1951),"",'ENGAGEMENTS 2026'!AF1951)</f>
        <v/>
      </c>
      <c r="I1951">
        <f>IF(ISBLANK('ENGAGEMENTS 2026'!C1951),"",'ENGAGEMENTS 2026'!H1951)</f>
        <v/>
      </c>
      <c r="J1951" s="275">
        <f>IF(ISBLANK('ENGAGEMENTS 2026'!C1951),"",IF(AND(OR($E1951="INFRUCTUEUX",$E1951="ANNULE"),$C1951="AOO-M"),'ENGAGEMENTS 2026'!P1951,IF($H1951="EN COURS DE PREENGAGEMENT",'ENGAGEMENTS 2026'!O1951,IF($H1951="PREENGAGE",IF($E1951="ATTRIBUE",'ENGAGEMENTS 2026'!AE1951,'ENGAGEMENTS 2026'!O1951),'ENGAGEMENTS 2026'!AE1951))))</f>
        <v/>
      </c>
      <c r="K1951" s="604">
        <f>IF(ISBLANK('ENGAGEMENTS 2026'!W1951),"",'ENGAGEMENTS 2026'!W1951)</f>
        <v/>
      </c>
      <c r="L1951" s="276">
        <f>IF($K1951="","",TODAY()-$K1951)</f>
        <v/>
      </c>
      <c r="M1951">
        <f>IF($A1951="","",IF($H1951="ENGAGE","Engagé",IF(AND($H1951="NON ENGAGE",OR($I1951="INFRUCTUEUX",$I1951="ANNULE")),"Clôturé sans suite","En cours")))</f>
        <v/>
      </c>
      <c r="N1951">
        <f>IF(ISBLANK('ENGAGEMENTS 2026'!C1951),"",'ENGAGEMENTS 2026'!L1951)</f>
        <v/>
      </c>
      <c r="O1951">
        <f>IF(ISBLANK('ENGAGEMENTS 2026'!C1951),"",'ENGAGEMENTS 2026'!M1951)</f>
        <v/>
      </c>
      <c r="P1951">
        <f>IF(ISBLANK('ENGAGEMENTS 2026'!C1951),"",'ENGAGEMENTS 2026'!K1951)</f>
        <v/>
      </c>
      <c r="Q1951">
        <f>IF($A1951="","",IF(OR($E1951="INFRUCTUEUX",$E1951="ANNULE"),$A1951&amp;"|"&amp;(COUNTIFS($A$2:$A1951,$A1951,$E$2:$E1951,"INFRUCTUEUX")+COUNTIFS($A$2:$A1951,$A1951,$E$2:$E1951,"ANNULE")),""))</f>
        <v/>
      </c>
    </row>
    <row r="1952">
      <c r="A1952">
        <f>IF(ISBLANK('ENGAGEMENTS 2026'!C1952),"",IF('ENGAGEMENTS 2026'!C1952="DTSI","DCT",'ENGAGEMENTS 2026'!C1952))</f>
        <v/>
      </c>
      <c r="B1952">
        <f>IF(ISBLANK('ENGAGEMENTS 2026'!C1952),"",'ENGAGEMENTS 2026'!D1952)</f>
        <v/>
      </c>
      <c r="C1952">
        <f>IF(ISBLANK('ENGAGEMENTS 2026'!C1952),"",'ENGAGEMENTS 2026'!E1952)</f>
        <v/>
      </c>
      <c r="D1952">
        <f>IF(ISBLANK('ENGAGEMENTS 2026'!C1952),"",'ENGAGEMENTS 2026'!G1952)</f>
        <v/>
      </c>
      <c r="E1952">
        <f>IF(ISBLANK('ENGAGEMENTS 2026'!C1952),"",'ENGAGEMENTS 2026'!I1952)</f>
        <v/>
      </c>
      <c r="F1952">
        <f>IF(ISBLANK('ENGAGEMENTS 2026'!C1952),"",'ENGAGEMENTS 2026'!J1952)</f>
        <v/>
      </c>
      <c r="G1952">
        <f>IF(ISBLANK('ENGAGEMENTS 2026'!C1952),"",'ENGAGEMENTS 2026'!M1952)</f>
        <v/>
      </c>
      <c r="H1952">
        <f>IF(ISBLANK('ENGAGEMENTS 2026'!C1952),"",'ENGAGEMENTS 2026'!AF1952)</f>
        <v/>
      </c>
      <c r="I1952">
        <f>IF(ISBLANK('ENGAGEMENTS 2026'!C1952),"",'ENGAGEMENTS 2026'!H1952)</f>
        <v/>
      </c>
      <c r="J1952" s="275">
        <f>IF(ISBLANK('ENGAGEMENTS 2026'!C1952),"",IF(AND(OR($E1952="INFRUCTUEUX",$E1952="ANNULE"),$C1952="AOO-M"),'ENGAGEMENTS 2026'!P1952,IF($H1952="EN COURS DE PREENGAGEMENT",'ENGAGEMENTS 2026'!O1952,IF($H1952="PREENGAGE",IF($E1952="ATTRIBUE",'ENGAGEMENTS 2026'!AE1952,'ENGAGEMENTS 2026'!O1952),'ENGAGEMENTS 2026'!AE1952))))</f>
        <v/>
      </c>
      <c r="K1952" s="604">
        <f>IF(ISBLANK('ENGAGEMENTS 2026'!W1952),"",'ENGAGEMENTS 2026'!W1952)</f>
        <v/>
      </c>
      <c r="L1952" s="276">
        <f>IF($K1952="","",TODAY()-$K1952)</f>
        <v/>
      </c>
      <c r="M1952">
        <f>IF($A1952="","",IF($H1952="ENGAGE","Engagé",IF(AND($H1952="NON ENGAGE",OR($I1952="INFRUCTUEUX",$I1952="ANNULE")),"Clôturé sans suite","En cours")))</f>
        <v/>
      </c>
      <c r="N1952">
        <f>IF(ISBLANK('ENGAGEMENTS 2026'!C1952),"",'ENGAGEMENTS 2026'!L1952)</f>
        <v/>
      </c>
      <c r="O1952">
        <f>IF(ISBLANK('ENGAGEMENTS 2026'!C1952),"",'ENGAGEMENTS 2026'!M1952)</f>
        <v/>
      </c>
      <c r="P1952">
        <f>IF(ISBLANK('ENGAGEMENTS 2026'!C1952),"",'ENGAGEMENTS 2026'!K1952)</f>
        <v/>
      </c>
      <c r="Q1952">
        <f>IF($A1952="","",IF(OR($E1952="INFRUCTUEUX",$E1952="ANNULE"),$A1952&amp;"|"&amp;(COUNTIFS($A$2:$A1952,$A1952,$E$2:$E1952,"INFRUCTUEUX")+COUNTIFS($A$2:$A1952,$A1952,$E$2:$E1952,"ANNULE")),""))</f>
        <v/>
      </c>
    </row>
    <row r="1953">
      <c r="A1953">
        <f>IF(ISBLANK('ENGAGEMENTS 2026'!C1953),"",IF('ENGAGEMENTS 2026'!C1953="DTSI","DCT",'ENGAGEMENTS 2026'!C1953))</f>
        <v/>
      </c>
      <c r="B1953">
        <f>IF(ISBLANK('ENGAGEMENTS 2026'!C1953),"",'ENGAGEMENTS 2026'!D1953)</f>
        <v/>
      </c>
      <c r="C1953">
        <f>IF(ISBLANK('ENGAGEMENTS 2026'!C1953),"",'ENGAGEMENTS 2026'!E1953)</f>
        <v/>
      </c>
      <c r="D1953">
        <f>IF(ISBLANK('ENGAGEMENTS 2026'!C1953),"",'ENGAGEMENTS 2026'!G1953)</f>
        <v/>
      </c>
      <c r="E1953">
        <f>IF(ISBLANK('ENGAGEMENTS 2026'!C1953),"",'ENGAGEMENTS 2026'!I1953)</f>
        <v/>
      </c>
      <c r="F1953">
        <f>IF(ISBLANK('ENGAGEMENTS 2026'!C1953),"",'ENGAGEMENTS 2026'!J1953)</f>
        <v/>
      </c>
      <c r="G1953">
        <f>IF(ISBLANK('ENGAGEMENTS 2026'!C1953),"",'ENGAGEMENTS 2026'!M1953)</f>
        <v/>
      </c>
      <c r="H1953">
        <f>IF(ISBLANK('ENGAGEMENTS 2026'!C1953),"",'ENGAGEMENTS 2026'!AF1953)</f>
        <v/>
      </c>
      <c r="I1953">
        <f>IF(ISBLANK('ENGAGEMENTS 2026'!C1953),"",'ENGAGEMENTS 2026'!H1953)</f>
        <v/>
      </c>
      <c r="J1953" s="275">
        <f>IF(ISBLANK('ENGAGEMENTS 2026'!C1953),"",IF(AND(OR($E1953="INFRUCTUEUX",$E1953="ANNULE"),$C1953="AOO-M"),'ENGAGEMENTS 2026'!P1953,IF($H1953="EN COURS DE PREENGAGEMENT",'ENGAGEMENTS 2026'!O1953,IF($H1953="PREENGAGE",IF($E1953="ATTRIBUE",'ENGAGEMENTS 2026'!AE1953,'ENGAGEMENTS 2026'!O1953),'ENGAGEMENTS 2026'!AE1953))))</f>
        <v/>
      </c>
      <c r="K1953" s="604">
        <f>IF(ISBLANK('ENGAGEMENTS 2026'!W1953),"",'ENGAGEMENTS 2026'!W1953)</f>
        <v/>
      </c>
      <c r="L1953" s="276">
        <f>IF($K1953="","",TODAY()-$K1953)</f>
        <v/>
      </c>
      <c r="M1953">
        <f>IF($A1953="","",IF($H1953="ENGAGE","Engagé",IF(AND($H1953="NON ENGAGE",OR($I1953="INFRUCTUEUX",$I1953="ANNULE")),"Clôturé sans suite","En cours")))</f>
        <v/>
      </c>
      <c r="N1953">
        <f>IF(ISBLANK('ENGAGEMENTS 2026'!C1953),"",'ENGAGEMENTS 2026'!L1953)</f>
        <v/>
      </c>
      <c r="O1953">
        <f>IF(ISBLANK('ENGAGEMENTS 2026'!C1953),"",'ENGAGEMENTS 2026'!M1953)</f>
        <v/>
      </c>
      <c r="P1953">
        <f>IF(ISBLANK('ENGAGEMENTS 2026'!C1953),"",'ENGAGEMENTS 2026'!K1953)</f>
        <v/>
      </c>
      <c r="Q1953">
        <f>IF($A1953="","",IF(OR($E1953="INFRUCTUEUX",$E1953="ANNULE"),$A1953&amp;"|"&amp;(COUNTIFS($A$2:$A1953,$A1953,$E$2:$E1953,"INFRUCTUEUX")+COUNTIFS($A$2:$A1953,$A1953,$E$2:$E1953,"ANNULE")),""))</f>
        <v/>
      </c>
    </row>
    <row r="1954">
      <c r="A1954">
        <f>IF(ISBLANK('ENGAGEMENTS 2026'!C1954),"",IF('ENGAGEMENTS 2026'!C1954="DTSI","DCT",'ENGAGEMENTS 2026'!C1954))</f>
        <v/>
      </c>
      <c r="B1954">
        <f>IF(ISBLANK('ENGAGEMENTS 2026'!C1954),"",'ENGAGEMENTS 2026'!D1954)</f>
        <v/>
      </c>
      <c r="C1954">
        <f>IF(ISBLANK('ENGAGEMENTS 2026'!C1954),"",'ENGAGEMENTS 2026'!E1954)</f>
        <v/>
      </c>
      <c r="D1954">
        <f>IF(ISBLANK('ENGAGEMENTS 2026'!C1954),"",'ENGAGEMENTS 2026'!G1954)</f>
        <v/>
      </c>
      <c r="E1954">
        <f>IF(ISBLANK('ENGAGEMENTS 2026'!C1954),"",'ENGAGEMENTS 2026'!I1954)</f>
        <v/>
      </c>
      <c r="F1954">
        <f>IF(ISBLANK('ENGAGEMENTS 2026'!C1954),"",'ENGAGEMENTS 2026'!J1954)</f>
        <v/>
      </c>
      <c r="G1954">
        <f>IF(ISBLANK('ENGAGEMENTS 2026'!C1954),"",'ENGAGEMENTS 2026'!M1954)</f>
        <v/>
      </c>
      <c r="H1954">
        <f>IF(ISBLANK('ENGAGEMENTS 2026'!C1954),"",'ENGAGEMENTS 2026'!AF1954)</f>
        <v/>
      </c>
      <c r="I1954">
        <f>IF(ISBLANK('ENGAGEMENTS 2026'!C1954),"",'ENGAGEMENTS 2026'!H1954)</f>
        <v/>
      </c>
      <c r="J1954" s="275">
        <f>IF(ISBLANK('ENGAGEMENTS 2026'!C1954),"",IF(AND(OR($E1954="INFRUCTUEUX",$E1954="ANNULE"),$C1954="AOO-M"),'ENGAGEMENTS 2026'!P1954,IF($H1954="EN COURS DE PREENGAGEMENT",'ENGAGEMENTS 2026'!O1954,IF($H1954="PREENGAGE",IF($E1954="ATTRIBUE",'ENGAGEMENTS 2026'!AE1954,'ENGAGEMENTS 2026'!O1954),'ENGAGEMENTS 2026'!AE1954))))</f>
        <v/>
      </c>
      <c r="K1954" s="604">
        <f>IF(ISBLANK('ENGAGEMENTS 2026'!W1954),"",'ENGAGEMENTS 2026'!W1954)</f>
        <v/>
      </c>
      <c r="L1954" s="276">
        <f>IF($K1954="","",TODAY()-$K1954)</f>
        <v/>
      </c>
      <c r="M1954">
        <f>IF($A1954="","",IF($H1954="ENGAGE","Engagé",IF(AND($H1954="NON ENGAGE",OR($I1954="INFRUCTUEUX",$I1954="ANNULE")),"Clôturé sans suite","En cours")))</f>
        <v/>
      </c>
      <c r="N1954">
        <f>IF(ISBLANK('ENGAGEMENTS 2026'!C1954),"",'ENGAGEMENTS 2026'!L1954)</f>
        <v/>
      </c>
      <c r="O1954">
        <f>IF(ISBLANK('ENGAGEMENTS 2026'!C1954),"",'ENGAGEMENTS 2026'!M1954)</f>
        <v/>
      </c>
      <c r="P1954">
        <f>IF(ISBLANK('ENGAGEMENTS 2026'!C1954),"",'ENGAGEMENTS 2026'!K1954)</f>
        <v/>
      </c>
      <c r="Q1954">
        <f>IF($A1954="","",IF(OR($E1954="INFRUCTUEUX",$E1954="ANNULE"),$A1954&amp;"|"&amp;(COUNTIFS($A$2:$A1954,$A1954,$E$2:$E1954,"INFRUCTUEUX")+COUNTIFS($A$2:$A1954,$A1954,$E$2:$E1954,"ANNULE")),""))</f>
        <v/>
      </c>
    </row>
    <row r="1955">
      <c r="A1955">
        <f>IF(ISBLANK('ENGAGEMENTS 2026'!C1955),"",IF('ENGAGEMENTS 2026'!C1955="DTSI","DCT",'ENGAGEMENTS 2026'!C1955))</f>
        <v/>
      </c>
      <c r="B1955">
        <f>IF(ISBLANK('ENGAGEMENTS 2026'!C1955),"",'ENGAGEMENTS 2026'!D1955)</f>
        <v/>
      </c>
      <c r="C1955">
        <f>IF(ISBLANK('ENGAGEMENTS 2026'!C1955),"",'ENGAGEMENTS 2026'!E1955)</f>
        <v/>
      </c>
      <c r="D1955">
        <f>IF(ISBLANK('ENGAGEMENTS 2026'!C1955),"",'ENGAGEMENTS 2026'!G1955)</f>
        <v/>
      </c>
      <c r="E1955">
        <f>IF(ISBLANK('ENGAGEMENTS 2026'!C1955),"",'ENGAGEMENTS 2026'!I1955)</f>
        <v/>
      </c>
      <c r="F1955">
        <f>IF(ISBLANK('ENGAGEMENTS 2026'!C1955),"",'ENGAGEMENTS 2026'!J1955)</f>
        <v/>
      </c>
      <c r="G1955">
        <f>IF(ISBLANK('ENGAGEMENTS 2026'!C1955),"",'ENGAGEMENTS 2026'!M1955)</f>
        <v/>
      </c>
      <c r="H1955">
        <f>IF(ISBLANK('ENGAGEMENTS 2026'!C1955),"",'ENGAGEMENTS 2026'!AF1955)</f>
        <v/>
      </c>
      <c r="I1955">
        <f>IF(ISBLANK('ENGAGEMENTS 2026'!C1955),"",'ENGAGEMENTS 2026'!H1955)</f>
        <v/>
      </c>
      <c r="J1955" s="275">
        <f>IF(ISBLANK('ENGAGEMENTS 2026'!C1955),"",IF(AND(OR($E1955="INFRUCTUEUX",$E1955="ANNULE"),$C1955="AOO-M"),'ENGAGEMENTS 2026'!P1955,IF($H1955="EN COURS DE PREENGAGEMENT",'ENGAGEMENTS 2026'!O1955,IF($H1955="PREENGAGE",IF($E1955="ATTRIBUE",'ENGAGEMENTS 2026'!AE1955,'ENGAGEMENTS 2026'!O1955),'ENGAGEMENTS 2026'!AE1955))))</f>
        <v/>
      </c>
      <c r="K1955" s="604">
        <f>IF(ISBLANK('ENGAGEMENTS 2026'!W1955),"",'ENGAGEMENTS 2026'!W1955)</f>
        <v/>
      </c>
      <c r="L1955" s="276">
        <f>IF($K1955="","",TODAY()-$K1955)</f>
        <v/>
      </c>
      <c r="M1955">
        <f>IF($A1955="","",IF($H1955="ENGAGE","Engagé",IF(AND($H1955="NON ENGAGE",OR($I1955="INFRUCTUEUX",$I1955="ANNULE")),"Clôturé sans suite","En cours")))</f>
        <v/>
      </c>
      <c r="N1955">
        <f>IF(ISBLANK('ENGAGEMENTS 2026'!C1955),"",'ENGAGEMENTS 2026'!L1955)</f>
        <v/>
      </c>
      <c r="O1955">
        <f>IF(ISBLANK('ENGAGEMENTS 2026'!C1955),"",'ENGAGEMENTS 2026'!M1955)</f>
        <v/>
      </c>
      <c r="P1955">
        <f>IF(ISBLANK('ENGAGEMENTS 2026'!C1955),"",'ENGAGEMENTS 2026'!K1955)</f>
        <v/>
      </c>
      <c r="Q1955">
        <f>IF($A1955="","",IF(OR($E1955="INFRUCTUEUX",$E1955="ANNULE"),$A1955&amp;"|"&amp;(COUNTIFS($A$2:$A1955,$A1955,$E$2:$E1955,"INFRUCTUEUX")+COUNTIFS($A$2:$A1955,$A1955,$E$2:$E1955,"ANNULE")),""))</f>
        <v/>
      </c>
    </row>
    <row r="1956">
      <c r="A1956">
        <f>IF(ISBLANK('ENGAGEMENTS 2026'!C1956),"",IF('ENGAGEMENTS 2026'!C1956="DTSI","DCT",'ENGAGEMENTS 2026'!C1956))</f>
        <v/>
      </c>
      <c r="B1956">
        <f>IF(ISBLANK('ENGAGEMENTS 2026'!C1956),"",'ENGAGEMENTS 2026'!D1956)</f>
        <v/>
      </c>
      <c r="C1956">
        <f>IF(ISBLANK('ENGAGEMENTS 2026'!C1956),"",'ENGAGEMENTS 2026'!E1956)</f>
        <v/>
      </c>
      <c r="D1956">
        <f>IF(ISBLANK('ENGAGEMENTS 2026'!C1956),"",'ENGAGEMENTS 2026'!G1956)</f>
        <v/>
      </c>
      <c r="E1956">
        <f>IF(ISBLANK('ENGAGEMENTS 2026'!C1956),"",'ENGAGEMENTS 2026'!I1956)</f>
        <v/>
      </c>
      <c r="F1956">
        <f>IF(ISBLANK('ENGAGEMENTS 2026'!C1956),"",'ENGAGEMENTS 2026'!J1956)</f>
        <v/>
      </c>
      <c r="G1956">
        <f>IF(ISBLANK('ENGAGEMENTS 2026'!C1956),"",'ENGAGEMENTS 2026'!M1956)</f>
        <v/>
      </c>
      <c r="H1956">
        <f>IF(ISBLANK('ENGAGEMENTS 2026'!C1956),"",'ENGAGEMENTS 2026'!AF1956)</f>
        <v/>
      </c>
      <c r="I1956">
        <f>IF(ISBLANK('ENGAGEMENTS 2026'!C1956),"",'ENGAGEMENTS 2026'!H1956)</f>
        <v/>
      </c>
      <c r="J1956" s="275">
        <f>IF(ISBLANK('ENGAGEMENTS 2026'!C1956),"",IF(AND(OR($E1956="INFRUCTUEUX",$E1956="ANNULE"),$C1956="AOO-M"),'ENGAGEMENTS 2026'!P1956,IF($H1956="EN COURS DE PREENGAGEMENT",'ENGAGEMENTS 2026'!O1956,IF($H1956="PREENGAGE",IF($E1956="ATTRIBUE",'ENGAGEMENTS 2026'!AE1956,'ENGAGEMENTS 2026'!O1956),'ENGAGEMENTS 2026'!AE1956))))</f>
        <v/>
      </c>
      <c r="K1956" s="604">
        <f>IF(ISBLANK('ENGAGEMENTS 2026'!W1956),"",'ENGAGEMENTS 2026'!W1956)</f>
        <v/>
      </c>
      <c r="L1956" s="276">
        <f>IF($K1956="","",TODAY()-$K1956)</f>
        <v/>
      </c>
      <c r="M1956">
        <f>IF($A1956="","",IF($H1956="ENGAGE","Engagé",IF(AND($H1956="NON ENGAGE",OR($I1956="INFRUCTUEUX",$I1956="ANNULE")),"Clôturé sans suite","En cours")))</f>
        <v/>
      </c>
      <c r="N1956">
        <f>IF(ISBLANK('ENGAGEMENTS 2026'!C1956),"",'ENGAGEMENTS 2026'!L1956)</f>
        <v/>
      </c>
      <c r="O1956">
        <f>IF(ISBLANK('ENGAGEMENTS 2026'!C1956),"",'ENGAGEMENTS 2026'!M1956)</f>
        <v/>
      </c>
      <c r="P1956">
        <f>IF(ISBLANK('ENGAGEMENTS 2026'!C1956),"",'ENGAGEMENTS 2026'!K1956)</f>
        <v/>
      </c>
      <c r="Q1956">
        <f>IF($A1956="","",IF(OR($E1956="INFRUCTUEUX",$E1956="ANNULE"),$A1956&amp;"|"&amp;(COUNTIFS($A$2:$A1956,$A1956,$E$2:$E1956,"INFRUCTUEUX")+COUNTIFS($A$2:$A1956,$A1956,$E$2:$E1956,"ANNULE")),""))</f>
        <v/>
      </c>
    </row>
    <row r="1957">
      <c r="A1957">
        <f>IF(ISBLANK('ENGAGEMENTS 2026'!C1957),"",IF('ENGAGEMENTS 2026'!C1957="DTSI","DCT",'ENGAGEMENTS 2026'!C1957))</f>
        <v/>
      </c>
      <c r="B1957">
        <f>IF(ISBLANK('ENGAGEMENTS 2026'!C1957),"",'ENGAGEMENTS 2026'!D1957)</f>
        <v/>
      </c>
      <c r="C1957">
        <f>IF(ISBLANK('ENGAGEMENTS 2026'!C1957),"",'ENGAGEMENTS 2026'!E1957)</f>
        <v/>
      </c>
      <c r="D1957">
        <f>IF(ISBLANK('ENGAGEMENTS 2026'!C1957),"",'ENGAGEMENTS 2026'!G1957)</f>
        <v/>
      </c>
      <c r="E1957">
        <f>IF(ISBLANK('ENGAGEMENTS 2026'!C1957),"",'ENGAGEMENTS 2026'!I1957)</f>
        <v/>
      </c>
      <c r="F1957">
        <f>IF(ISBLANK('ENGAGEMENTS 2026'!C1957),"",'ENGAGEMENTS 2026'!J1957)</f>
        <v/>
      </c>
      <c r="G1957">
        <f>IF(ISBLANK('ENGAGEMENTS 2026'!C1957),"",'ENGAGEMENTS 2026'!M1957)</f>
        <v/>
      </c>
      <c r="H1957">
        <f>IF(ISBLANK('ENGAGEMENTS 2026'!C1957),"",'ENGAGEMENTS 2026'!AF1957)</f>
        <v/>
      </c>
      <c r="I1957">
        <f>IF(ISBLANK('ENGAGEMENTS 2026'!C1957),"",'ENGAGEMENTS 2026'!H1957)</f>
        <v/>
      </c>
      <c r="J1957" s="275">
        <f>IF(ISBLANK('ENGAGEMENTS 2026'!C1957),"",IF(AND(OR($E1957="INFRUCTUEUX",$E1957="ANNULE"),$C1957="AOO-M"),'ENGAGEMENTS 2026'!P1957,IF($H1957="EN COURS DE PREENGAGEMENT",'ENGAGEMENTS 2026'!O1957,IF($H1957="PREENGAGE",IF($E1957="ATTRIBUE",'ENGAGEMENTS 2026'!AE1957,'ENGAGEMENTS 2026'!O1957),'ENGAGEMENTS 2026'!AE1957))))</f>
        <v/>
      </c>
      <c r="K1957" s="604">
        <f>IF(ISBLANK('ENGAGEMENTS 2026'!W1957),"",'ENGAGEMENTS 2026'!W1957)</f>
        <v/>
      </c>
      <c r="L1957" s="276">
        <f>IF($K1957="","",TODAY()-$K1957)</f>
        <v/>
      </c>
      <c r="M1957">
        <f>IF($A1957="","",IF($H1957="ENGAGE","Engagé",IF(AND($H1957="NON ENGAGE",OR($I1957="INFRUCTUEUX",$I1957="ANNULE")),"Clôturé sans suite","En cours")))</f>
        <v/>
      </c>
      <c r="N1957">
        <f>IF(ISBLANK('ENGAGEMENTS 2026'!C1957),"",'ENGAGEMENTS 2026'!L1957)</f>
        <v/>
      </c>
      <c r="O1957">
        <f>IF(ISBLANK('ENGAGEMENTS 2026'!C1957),"",'ENGAGEMENTS 2026'!M1957)</f>
        <v/>
      </c>
      <c r="P1957">
        <f>IF(ISBLANK('ENGAGEMENTS 2026'!C1957),"",'ENGAGEMENTS 2026'!K1957)</f>
        <v/>
      </c>
      <c r="Q1957">
        <f>IF($A1957="","",IF(OR($E1957="INFRUCTUEUX",$E1957="ANNULE"),$A1957&amp;"|"&amp;(COUNTIFS($A$2:$A1957,$A1957,$E$2:$E1957,"INFRUCTUEUX")+COUNTIFS($A$2:$A1957,$A1957,$E$2:$E1957,"ANNULE")),""))</f>
        <v/>
      </c>
    </row>
    <row r="1958">
      <c r="A1958">
        <f>IF(ISBLANK('ENGAGEMENTS 2026'!C1958),"",IF('ENGAGEMENTS 2026'!C1958="DTSI","DCT",'ENGAGEMENTS 2026'!C1958))</f>
        <v/>
      </c>
      <c r="B1958">
        <f>IF(ISBLANK('ENGAGEMENTS 2026'!C1958),"",'ENGAGEMENTS 2026'!D1958)</f>
        <v/>
      </c>
      <c r="C1958">
        <f>IF(ISBLANK('ENGAGEMENTS 2026'!C1958),"",'ENGAGEMENTS 2026'!E1958)</f>
        <v/>
      </c>
      <c r="D1958">
        <f>IF(ISBLANK('ENGAGEMENTS 2026'!C1958),"",'ENGAGEMENTS 2026'!G1958)</f>
        <v/>
      </c>
      <c r="E1958">
        <f>IF(ISBLANK('ENGAGEMENTS 2026'!C1958),"",'ENGAGEMENTS 2026'!I1958)</f>
        <v/>
      </c>
      <c r="F1958">
        <f>IF(ISBLANK('ENGAGEMENTS 2026'!C1958),"",'ENGAGEMENTS 2026'!J1958)</f>
        <v/>
      </c>
      <c r="G1958">
        <f>IF(ISBLANK('ENGAGEMENTS 2026'!C1958),"",'ENGAGEMENTS 2026'!M1958)</f>
        <v/>
      </c>
      <c r="H1958">
        <f>IF(ISBLANK('ENGAGEMENTS 2026'!C1958),"",'ENGAGEMENTS 2026'!AF1958)</f>
        <v/>
      </c>
      <c r="I1958">
        <f>IF(ISBLANK('ENGAGEMENTS 2026'!C1958),"",'ENGAGEMENTS 2026'!H1958)</f>
        <v/>
      </c>
      <c r="J1958" s="275">
        <f>IF(ISBLANK('ENGAGEMENTS 2026'!C1958),"",IF(AND(OR($E1958="INFRUCTUEUX",$E1958="ANNULE"),$C1958="AOO-M"),'ENGAGEMENTS 2026'!P1958,IF($H1958="EN COURS DE PREENGAGEMENT",'ENGAGEMENTS 2026'!O1958,IF($H1958="PREENGAGE",IF($E1958="ATTRIBUE",'ENGAGEMENTS 2026'!AE1958,'ENGAGEMENTS 2026'!O1958),'ENGAGEMENTS 2026'!AE1958))))</f>
        <v/>
      </c>
      <c r="K1958" s="604">
        <f>IF(ISBLANK('ENGAGEMENTS 2026'!W1958),"",'ENGAGEMENTS 2026'!W1958)</f>
        <v/>
      </c>
      <c r="L1958" s="276">
        <f>IF($K1958="","",TODAY()-$K1958)</f>
        <v/>
      </c>
      <c r="M1958">
        <f>IF($A1958="","",IF($H1958="ENGAGE","Engagé",IF(AND($H1958="NON ENGAGE",OR($I1958="INFRUCTUEUX",$I1958="ANNULE")),"Clôturé sans suite","En cours")))</f>
        <v/>
      </c>
      <c r="N1958">
        <f>IF(ISBLANK('ENGAGEMENTS 2026'!C1958),"",'ENGAGEMENTS 2026'!L1958)</f>
        <v/>
      </c>
      <c r="O1958">
        <f>IF(ISBLANK('ENGAGEMENTS 2026'!C1958),"",'ENGAGEMENTS 2026'!M1958)</f>
        <v/>
      </c>
      <c r="P1958">
        <f>IF(ISBLANK('ENGAGEMENTS 2026'!C1958),"",'ENGAGEMENTS 2026'!K1958)</f>
        <v/>
      </c>
      <c r="Q1958">
        <f>IF($A1958="","",IF(OR($E1958="INFRUCTUEUX",$E1958="ANNULE"),$A1958&amp;"|"&amp;(COUNTIFS($A$2:$A1958,$A1958,$E$2:$E1958,"INFRUCTUEUX")+COUNTIFS($A$2:$A1958,$A1958,$E$2:$E1958,"ANNULE")),""))</f>
        <v/>
      </c>
    </row>
    <row r="1959">
      <c r="A1959">
        <f>IF(ISBLANK('ENGAGEMENTS 2026'!C1959),"",IF('ENGAGEMENTS 2026'!C1959="DTSI","DCT",'ENGAGEMENTS 2026'!C1959))</f>
        <v/>
      </c>
      <c r="B1959">
        <f>IF(ISBLANK('ENGAGEMENTS 2026'!C1959),"",'ENGAGEMENTS 2026'!D1959)</f>
        <v/>
      </c>
      <c r="C1959">
        <f>IF(ISBLANK('ENGAGEMENTS 2026'!C1959),"",'ENGAGEMENTS 2026'!E1959)</f>
        <v/>
      </c>
      <c r="D1959">
        <f>IF(ISBLANK('ENGAGEMENTS 2026'!C1959),"",'ENGAGEMENTS 2026'!G1959)</f>
        <v/>
      </c>
      <c r="E1959">
        <f>IF(ISBLANK('ENGAGEMENTS 2026'!C1959),"",'ENGAGEMENTS 2026'!I1959)</f>
        <v/>
      </c>
      <c r="F1959">
        <f>IF(ISBLANK('ENGAGEMENTS 2026'!C1959),"",'ENGAGEMENTS 2026'!J1959)</f>
        <v/>
      </c>
      <c r="G1959">
        <f>IF(ISBLANK('ENGAGEMENTS 2026'!C1959),"",'ENGAGEMENTS 2026'!M1959)</f>
        <v/>
      </c>
      <c r="H1959">
        <f>IF(ISBLANK('ENGAGEMENTS 2026'!C1959),"",'ENGAGEMENTS 2026'!AF1959)</f>
        <v/>
      </c>
      <c r="I1959">
        <f>IF(ISBLANK('ENGAGEMENTS 2026'!C1959),"",'ENGAGEMENTS 2026'!H1959)</f>
        <v/>
      </c>
      <c r="J1959" s="275">
        <f>IF(ISBLANK('ENGAGEMENTS 2026'!C1959),"",IF(AND(OR($E1959="INFRUCTUEUX",$E1959="ANNULE"),$C1959="AOO-M"),'ENGAGEMENTS 2026'!P1959,IF($H1959="EN COURS DE PREENGAGEMENT",'ENGAGEMENTS 2026'!O1959,IF($H1959="PREENGAGE",IF($E1959="ATTRIBUE",'ENGAGEMENTS 2026'!AE1959,'ENGAGEMENTS 2026'!O1959),'ENGAGEMENTS 2026'!AE1959))))</f>
        <v/>
      </c>
      <c r="K1959" s="604">
        <f>IF(ISBLANK('ENGAGEMENTS 2026'!W1959),"",'ENGAGEMENTS 2026'!W1959)</f>
        <v/>
      </c>
      <c r="L1959" s="276">
        <f>IF($K1959="","",TODAY()-$K1959)</f>
        <v/>
      </c>
      <c r="M1959">
        <f>IF($A1959="","",IF($H1959="ENGAGE","Engagé",IF(AND($H1959="NON ENGAGE",OR($I1959="INFRUCTUEUX",$I1959="ANNULE")),"Clôturé sans suite","En cours")))</f>
        <v/>
      </c>
      <c r="N1959">
        <f>IF(ISBLANK('ENGAGEMENTS 2026'!C1959),"",'ENGAGEMENTS 2026'!L1959)</f>
        <v/>
      </c>
      <c r="O1959">
        <f>IF(ISBLANK('ENGAGEMENTS 2026'!C1959),"",'ENGAGEMENTS 2026'!M1959)</f>
        <v/>
      </c>
      <c r="P1959">
        <f>IF(ISBLANK('ENGAGEMENTS 2026'!C1959),"",'ENGAGEMENTS 2026'!K1959)</f>
        <v/>
      </c>
      <c r="Q1959">
        <f>IF($A1959="","",IF(OR($E1959="INFRUCTUEUX",$E1959="ANNULE"),$A1959&amp;"|"&amp;(COUNTIFS($A$2:$A1959,$A1959,$E$2:$E1959,"INFRUCTUEUX")+COUNTIFS($A$2:$A1959,$A1959,$E$2:$E1959,"ANNULE")),""))</f>
        <v/>
      </c>
    </row>
    <row r="1960">
      <c r="A1960">
        <f>IF(ISBLANK('ENGAGEMENTS 2026'!C1960),"",IF('ENGAGEMENTS 2026'!C1960="DTSI","DCT",'ENGAGEMENTS 2026'!C1960))</f>
        <v/>
      </c>
      <c r="B1960">
        <f>IF(ISBLANK('ENGAGEMENTS 2026'!C1960),"",'ENGAGEMENTS 2026'!D1960)</f>
        <v/>
      </c>
      <c r="C1960">
        <f>IF(ISBLANK('ENGAGEMENTS 2026'!C1960),"",'ENGAGEMENTS 2026'!E1960)</f>
        <v/>
      </c>
      <c r="D1960">
        <f>IF(ISBLANK('ENGAGEMENTS 2026'!C1960),"",'ENGAGEMENTS 2026'!G1960)</f>
        <v/>
      </c>
      <c r="E1960">
        <f>IF(ISBLANK('ENGAGEMENTS 2026'!C1960),"",'ENGAGEMENTS 2026'!I1960)</f>
        <v/>
      </c>
      <c r="F1960">
        <f>IF(ISBLANK('ENGAGEMENTS 2026'!C1960),"",'ENGAGEMENTS 2026'!J1960)</f>
        <v/>
      </c>
      <c r="G1960">
        <f>IF(ISBLANK('ENGAGEMENTS 2026'!C1960),"",'ENGAGEMENTS 2026'!M1960)</f>
        <v/>
      </c>
      <c r="H1960">
        <f>IF(ISBLANK('ENGAGEMENTS 2026'!C1960),"",'ENGAGEMENTS 2026'!AF1960)</f>
        <v/>
      </c>
      <c r="I1960">
        <f>IF(ISBLANK('ENGAGEMENTS 2026'!C1960),"",'ENGAGEMENTS 2026'!H1960)</f>
        <v/>
      </c>
      <c r="J1960" s="275">
        <f>IF(ISBLANK('ENGAGEMENTS 2026'!C1960),"",IF(AND(OR($E1960="INFRUCTUEUX",$E1960="ANNULE"),$C1960="AOO-M"),'ENGAGEMENTS 2026'!P1960,IF($H1960="EN COURS DE PREENGAGEMENT",'ENGAGEMENTS 2026'!O1960,IF($H1960="PREENGAGE",IF($E1960="ATTRIBUE",'ENGAGEMENTS 2026'!AE1960,'ENGAGEMENTS 2026'!O1960),'ENGAGEMENTS 2026'!AE1960))))</f>
        <v/>
      </c>
      <c r="K1960" s="604">
        <f>IF(ISBLANK('ENGAGEMENTS 2026'!W1960),"",'ENGAGEMENTS 2026'!W1960)</f>
        <v/>
      </c>
      <c r="L1960" s="276">
        <f>IF($K1960="","",TODAY()-$K1960)</f>
        <v/>
      </c>
      <c r="M1960">
        <f>IF($A1960="","",IF($H1960="ENGAGE","Engagé",IF(AND($H1960="NON ENGAGE",OR($I1960="INFRUCTUEUX",$I1960="ANNULE")),"Clôturé sans suite","En cours")))</f>
        <v/>
      </c>
      <c r="N1960">
        <f>IF(ISBLANK('ENGAGEMENTS 2026'!C1960),"",'ENGAGEMENTS 2026'!L1960)</f>
        <v/>
      </c>
      <c r="O1960">
        <f>IF(ISBLANK('ENGAGEMENTS 2026'!C1960),"",'ENGAGEMENTS 2026'!M1960)</f>
        <v/>
      </c>
      <c r="P1960">
        <f>IF(ISBLANK('ENGAGEMENTS 2026'!C1960),"",'ENGAGEMENTS 2026'!K1960)</f>
        <v/>
      </c>
      <c r="Q1960">
        <f>IF($A1960="","",IF(OR($E1960="INFRUCTUEUX",$E1960="ANNULE"),$A1960&amp;"|"&amp;(COUNTIFS($A$2:$A1960,$A1960,$E$2:$E1960,"INFRUCTUEUX")+COUNTIFS($A$2:$A1960,$A1960,$E$2:$E1960,"ANNULE")),""))</f>
        <v/>
      </c>
    </row>
    <row r="1961">
      <c r="A1961">
        <f>IF(ISBLANK('ENGAGEMENTS 2026'!C1961),"",IF('ENGAGEMENTS 2026'!C1961="DTSI","DCT",'ENGAGEMENTS 2026'!C1961))</f>
        <v/>
      </c>
      <c r="B1961">
        <f>IF(ISBLANK('ENGAGEMENTS 2026'!C1961),"",'ENGAGEMENTS 2026'!D1961)</f>
        <v/>
      </c>
      <c r="C1961">
        <f>IF(ISBLANK('ENGAGEMENTS 2026'!C1961),"",'ENGAGEMENTS 2026'!E1961)</f>
        <v/>
      </c>
      <c r="D1961">
        <f>IF(ISBLANK('ENGAGEMENTS 2026'!C1961),"",'ENGAGEMENTS 2026'!G1961)</f>
        <v/>
      </c>
      <c r="E1961">
        <f>IF(ISBLANK('ENGAGEMENTS 2026'!C1961),"",'ENGAGEMENTS 2026'!I1961)</f>
        <v/>
      </c>
      <c r="F1961">
        <f>IF(ISBLANK('ENGAGEMENTS 2026'!C1961),"",'ENGAGEMENTS 2026'!J1961)</f>
        <v/>
      </c>
      <c r="G1961">
        <f>IF(ISBLANK('ENGAGEMENTS 2026'!C1961),"",'ENGAGEMENTS 2026'!M1961)</f>
        <v/>
      </c>
      <c r="H1961">
        <f>IF(ISBLANK('ENGAGEMENTS 2026'!C1961),"",'ENGAGEMENTS 2026'!AF1961)</f>
        <v/>
      </c>
      <c r="I1961">
        <f>IF(ISBLANK('ENGAGEMENTS 2026'!C1961),"",'ENGAGEMENTS 2026'!H1961)</f>
        <v/>
      </c>
      <c r="J1961" s="275">
        <f>IF(ISBLANK('ENGAGEMENTS 2026'!C1961),"",IF(AND(OR($E1961="INFRUCTUEUX",$E1961="ANNULE"),$C1961="AOO-M"),'ENGAGEMENTS 2026'!P1961,IF($H1961="EN COURS DE PREENGAGEMENT",'ENGAGEMENTS 2026'!O1961,IF($H1961="PREENGAGE",IF($E1961="ATTRIBUE",'ENGAGEMENTS 2026'!AE1961,'ENGAGEMENTS 2026'!O1961),'ENGAGEMENTS 2026'!AE1961))))</f>
        <v/>
      </c>
      <c r="K1961" s="604">
        <f>IF(ISBLANK('ENGAGEMENTS 2026'!W1961),"",'ENGAGEMENTS 2026'!W1961)</f>
        <v/>
      </c>
      <c r="L1961" s="276">
        <f>IF($K1961="","",TODAY()-$K1961)</f>
        <v/>
      </c>
      <c r="M1961">
        <f>IF($A1961="","",IF($H1961="ENGAGE","Engagé",IF(AND($H1961="NON ENGAGE",OR($I1961="INFRUCTUEUX",$I1961="ANNULE")),"Clôturé sans suite","En cours")))</f>
        <v/>
      </c>
      <c r="N1961">
        <f>IF(ISBLANK('ENGAGEMENTS 2026'!C1961),"",'ENGAGEMENTS 2026'!L1961)</f>
        <v/>
      </c>
      <c r="O1961">
        <f>IF(ISBLANK('ENGAGEMENTS 2026'!C1961),"",'ENGAGEMENTS 2026'!M1961)</f>
        <v/>
      </c>
      <c r="P1961">
        <f>IF(ISBLANK('ENGAGEMENTS 2026'!C1961),"",'ENGAGEMENTS 2026'!K1961)</f>
        <v/>
      </c>
      <c r="Q1961">
        <f>IF($A1961="","",IF(OR($E1961="INFRUCTUEUX",$E1961="ANNULE"),$A1961&amp;"|"&amp;(COUNTIFS($A$2:$A1961,$A1961,$E$2:$E1961,"INFRUCTUEUX")+COUNTIFS($A$2:$A1961,$A1961,$E$2:$E1961,"ANNULE")),""))</f>
        <v/>
      </c>
    </row>
    <row r="1962">
      <c r="A1962">
        <f>IF(ISBLANK('ENGAGEMENTS 2026'!C1962),"",IF('ENGAGEMENTS 2026'!C1962="DTSI","DCT",'ENGAGEMENTS 2026'!C1962))</f>
        <v/>
      </c>
      <c r="B1962">
        <f>IF(ISBLANK('ENGAGEMENTS 2026'!C1962),"",'ENGAGEMENTS 2026'!D1962)</f>
        <v/>
      </c>
      <c r="C1962">
        <f>IF(ISBLANK('ENGAGEMENTS 2026'!C1962),"",'ENGAGEMENTS 2026'!E1962)</f>
        <v/>
      </c>
      <c r="D1962">
        <f>IF(ISBLANK('ENGAGEMENTS 2026'!C1962),"",'ENGAGEMENTS 2026'!G1962)</f>
        <v/>
      </c>
      <c r="E1962">
        <f>IF(ISBLANK('ENGAGEMENTS 2026'!C1962),"",'ENGAGEMENTS 2026'!I1962)</f>
        <v/>
      </c>
      <c r="F1962">
        <f>IF(ISBLANK('ENGAGEMENTS 2026'!C1962),"",'ENGAGEMENTS 2026'!J1962)</f>
        <v/>
      </c>
      <c r="G1962">
        <f>IF(ISBLANK('ENGAGEMENTS 2026'!C1962),"",'ENGAGEMENTS 2026'!M1962)</f>
        <v/>
      </c>
      <c r="H1962">
        <f>IF(ISBLANK('ENGAGEMENTS 2026'!C1962),"",'ENGAGEMENTS 2026'!AF1962)</f>
        <v/>
      </c>
      <c r="I1962">
        <f>IF(ISBLANK('ENGAGEMENTS 2026'!C1962),"",'ENGAGEMENTS 2026'!H1962)</f>
        <v/>
      </c>
      <c r="J1962" s="275">
        <f>IF(ISBLANK('ENGAGEMENTS 2026'!C1962),"",IF(AND(OR($E1962="INFRUCTUEUX",$E1962="ANNULE"),$C1962="AOO-M"),'ENGAGEMENTS 2026'!P1962,IF($H1962="EN COURS DE PREENGAGEMENT",'ENGAGEMENTS 2026'!O1962,IF($H1962="PREENGAGE",IF($E1962="ATTRIBUE",'ENGAGEMENTS 2026'!AE1962,'ENGAGEMENTS 2026'!O1962),'ENGAGEMENTS 2026'!AE1962))))</f>
        <v/>
      </c>
      <c r="K1962" s="604">
        <f>IF(ISBLANK('ENGAGEMENTS 2026'!W1962),"",'ENGAGEMENTS 2026'!W1962)</f>
        <v/>
      </c>
      <c r="L1962" s="276">
        <f>IF($K1962="","",TODAY()-$K1962)</f>
        <v/>
      </c>
      <c r="M1962">
        <f>IF($A1962="","",IF($H1962="ENGAGE","Engagé",IF(AND($H1962="NON ENGAGE",OR($I1962="INFRUCTUEUX",$I1962="ANNULE")),"Clôturé sans suite","En cours")))</f>
        <v/>
      </c>
      <c r="N1962">
        <f>IF(ISBLANK('ENGAGEMENTS 2026'!C1962),"",'ENGAGEMENTS 2026'!L1962)</f>
        <v/>
      </c>
      <c r="O1962">
        <f>IF(ISBLANK('ENGAGEMENTS 2026'!C1962),"",'ENGAGEMENTS 2026'!M1962)</f>
        <v/>
      </c>
      <c r="P1962">
        <f>IF(ISBLANK('ENGAGEMENTS 2026'!C1962),"",'ENGAGEMENTS 2026'!K1962)</f>
        <v/>
      </c>
      <c r="Q1962">
        <f>IF($A1962="","",IF(OR($E1962="INFRUCTUEUX",$E1962="ANNULE"),$A1962&amp;"|"&amp;(COUNTIFS($A$2:$A1962,$A1962,$E$2:$E1962,"INFRUCTUEUX")+COUNTIFS($A$2:$A1962,$A1962,$E$2:$E1962,"ANNULE")),""))</f>
        <v/>
      </c>
    </row>
    <row r="1963">
      <c r="A1963">
        <f>IF(ISBLANK('ENGAGEMENTS 2026'!C1963),"",IF('ENGAGEMENTS 2026'!C1963="DTSI","DCT",'ENGAGEMENTS 2026'!C1963))</f>
        <v/>
      </c>
      <c r="B1963">
        <f>IF(ISBLANK('ENGAGEMENTS 2026'!C1963),"",'ENGAGEMENTS 2026'!D1963)</f>
        <v/>
      </c>
      <c r="C1963">
        <f>IF(ISBLANK('ENGAGEMENTS 2026'!C1963),"",'ENGAGEMENTS 2026'!E1963)</f>
        <v/>
      </c>
      <c r="D1963">
        <f>IF(ISBLANK('ENGAGEMENTS 2026'!C1963),"",'ENGAGEMENTS 2026'!G1963)</f>
        <v/>
      </c>
      <c r="E1963">
        <f>IF(ISBLANK('ENGAGEMENTS 2026'!C1963),"",'ENGAGEMENTS 2026'!I1963)</f>
        <v/>
      </c>
      <c r="F1963">
        <f>IF(ISBLANK('ENGAGEMENTS 2026'!C1963),"",'ENGAGEMENTS 2026'!J1963)</f>
        <v/>
      </c>
      <c r="G1963">
        <f>IF(ISBLANK('ENGAGEMENTS 2026'!C1963),"",'ENGAGEMENTS 2026'!M1963)</f>
        <v/>
      </c>
      <c r="H1963">
        <f>IF(ISBLANK('ENGAGEMENTS 2026'!C1963),"",'ENGAGEMENTS 2026'!AF1963)</f>
        <v/>
      </c>
      <c r="I1963">
        <f>IF(ISBLANK('ENGAGEMENTS 2026'!C1963),"",'ENGAGEMENTS 2026'!H1963)</f>
        <v/>
      </c>
      <c r="J1963" s="275">
        <f>IF(ISBLANK('ENGAGEMENTS 2026'!C1963),"",IF(AND(OR($E1963="INFRUCTUEUX",$E1963="ANNULE"),$C1963="AOO-M"),'ENGAGEMENTS 2026'!P1963,IF($H1963="EN COURS DE PREENGAGEMENT",'ENGAGEMENTS 2026'!O1963,IF($H1963="PREENGAGE",IF($E1963="ATTRIBUE",'ENGAGEMENTS 2026'!AE1963,'ENGAGEMENTS 2026'!O1963),'ENGAGEMENTS 2026'!AE1963))))</f>
        <v/>
      </c>
      <c r="K1963" s="604">
        <f>IF(ISBLANK('ENGAGEMENTS 2026'!W1963),"",'ENGAGEMENTS 2026'!W1963)</f>
        <v/>
      </c>
      <c r="L1963" s="276">
        <f>IF($K1963="","",TODAY()-$K1963)</f>
        <v/>
      </c>
      <c r="M1963">
        <f>IF($A1963="","",IF($H1963="ENGAGE","Engagé",IF(AND($H1963="NON ENGAGE",OR($I1963="INFRUCTUEUX",$I1963="ANNULE")),"Clôturé sans suite","En cours")))</f>
        <v/>
      </c>
      <c r="N1963">
        <f>IF(ISBLANK('ENGAGEMENTS 2026'!C1963),"",'ENGAGEMENTS 2026'!L1963)</f>
        <v/>
      </c>
      <c r="O1963">
        <f>IF(ISBLANK('ENGAGEMENTS 2026'!C1963),"",'ENGAGEMENTS 2026'!M1963)</f>
        <v/>
      </c>
      <c r="P1963">
        <f>IF(ISBLANK('ENGAGEMENTS 2026'!C1963),"",'ENGAGEMENTS 2026'!K1963)</f>
        <v/>
      </c>
      <c r="Q1963">
        <f>IF($A1963="","",IF(OR($E1963="INFRUCTUEUX",$E1963="ANNULE"),$A1963&amp;"|"&amp;(COUNTIFS($A$2:$A1963,$A1963,$E$2:$E1963,"INFRUCTUEUX")+COUNTIFS($A$2:$A1963,$A1963,$E$2:$E1963,"ANNULE")),""))</f>
        <v/>
      </c>
    </row>
    <row r="1964">
      <c r="A1964">
        <f>IF(ISBLANK('ENGAGEMENTS 2026'!C1964),"",IF('ENGAGEMENTS 2026'!C1964="DTSI","DCT",'ENGAGEMENTS 2026'!C1964))</f>
        <v/>
      </c>
      <c r="B1964">
        <f>IF(ISBLANK('ENGAGEMENTS 2026'!C1964),"",'ENGAGEMENTS 2026'!D1964)</f>
        <v/>
      </c>
      <c r="C1964">
        <f>IF(ISBLANK('ENGAGEMENTS 2026'!C1964),"",'ENGAGEMENTS 2026'!E1964)</f>
        <v/>
      </c>
      <c r="D1964">
        <f>IF(ISBLANK('ENGAGEMENTS 2026'!C1964),"",'ENGAGEMENTS 2026'!G1964)</f>
        <v/>
      </c>
      <c r="E1964">
        <f>IF(ISBLANK('ENGAGEMENTS 2026'!C1964),"",'ENGAGEMENTS 2026'!I1964)</f>
        <v/>
      </c>
      <c r="F1964">
        <f>IF(ISBLANK('ENGAGEMENTS 2026'!C1964),"",'ENGAGEMENTS 2026'!J1964)</f>
        <v/>
      </c>
      <c r="G1964">
        <f>IF(ISBLANK('ENGAGEMENTS 2026'!C1964),"",'ENGAGEMENTS 2026'!M1964)</f>
        <v/>
      </c>
      <c r="H1964">
        <f>IF(ISBLANK('ENGAGEMENTS 2026'!C1964),"",'ENGAGEMENTS 2026'!AF1964)</f>
        <v/>
      </c>
      <c r="I1964">
        <f>IF(ISBLANK('ENGAGEMENTS 2026'!C1964),"",'ENGAGEMENTS 2026'!H1964)</f>
        <v/>
      </c>
      <c r="J1964" s="275">
        <f>IF(ISBLANK('ENGAGEMENTS 2026'!C1964),"",IF(AND(OR($E1964="INFRUCTUEUX",$E1964="ANNULE"),$C1964="AOO-M"),'ENGAGEMENTS 2026'!P1964,IF($H1964="EN COURS DE PREENGAGEMENT",'ENGAGEMENTS 2026'!O1964,IF($H1964="PREENGAGE",IF($E1964="ATTRIBUE",'ENGAGEMENTS 2026'!AE1964,'ENGAGEMENTS 2026'!O1964),'ENGAGEMENTS 2026'!AE1964))))</f>
        <v/>
      </c>
      <c r="K1964" s="604">
        <f>IF(ISBLANK('ENGAGEMENTS 2026'!W1964),"",'ENGAGEMENTS 2026'!W1964)</f>
        <v/>
      </c>
      <c r="L1964" s="276">
        <f>IF($K1964="","",TODAY()-$K1964)</f>
        <v/>
      </c>
      <c r="M1964">
        <f>IF($A1964="","",IF($H1964="ENGAGE","Engagé",IF(AND($H1964="NON ENGAGE",OR($I1964="INFRUCTUEUX",$I1964="ANNULE")),"Clôturé sans suite","En cours")))</f>
        <v/>
      </c>
      <c r="N1964">
        <f>IF(ISBLANK('ENGAGEMENTS 2026'!C1964),"",'ENGAGEMENTS 2026'!L1964)</f>
        <v/>
      </c>
      <c r="O1964">
        <f>IF(ISBLANK('ENGAGEMENTS 2026'!C1964),"",'ENGAGEMENTS 2026'!M1964)</f>
        <v/>
      </c>
      <c r="P1964">
        <f>IF(ISBLANK('ENGAGEMENTS 2026'!C1964),"",'ENGAGEMENTS 2026'!K1964)</f>
        <v/>
      </c>
      <c r="Q1964">
        <f>IF($A1964="","",IF(OR($E1964="INFRUCTUEUX",$E1964="ANNULE"),$A1964&amp;"|"&amp;(COUNTIFS($A$2:$A1964,$A1964,$E$2:$E1964,"INFRUCTUEUX")+COUNTIFS($A$2:$A1964,$A1964,$E$2:$E1964,"ANNULE")),""))</f>
        <v/>
      </c>
    </row>
    <row r="1965">
      <c r="A1965">
        <f>IF(ISBLANK('ENGAGEMENTS 2026'!C1965),"",IF('ENGAGEMENTS 2026'!C1965="DTSI","DCT",'ENGAGEMENTS 2026'!C1965))</f>
        <v/>
      </c>
      <c r="B1965">
        <f>IF(ISBLANK('ENGAGEMENTS 2026'!C1965),"",'ENGAGEMENTS 2026'!D1965)</f>
        <v/>
      </c>
      <c r="C1965">
        <f>IF(ISBLANK('ENGAGEMENTS 2026'!C1965),"",'ENGAGEMENTS 2026'!E1965)</f>
        <v/>
      </c>
      <c r="D1965">
        <f>IF(ISBLANK('ENGAGEMENTS 2026'!C1965),"",'ENGAGEMENTS 2026'!G1965)</f>
        <v/>
      </c>
      <c r="E1965">
        <f>IF(ISBLANK('ENGAGEMENTS 2026'!C1965),"",'ENGAGEMENTS 2026'!I1965)</f>
        <v/>
      </c>
      <c r="F1965">
        <f>IF(ISBLANK('ENGAGEMENTS 2026'!C1965),"",'ENGAGEMENTS 2026'!J1965)</f>
        <v/>
      </c>
      <c r="G1965">
        <f>IF(ISBLANK('ENGAGEMENTS 2026'!C1965),"",'ENGAGEMENTS 2026'!M1965)</f>
        <v/>
      </c>
      <c r="H1965">
        <f>IF(ISBLANK('ENGAGEMENTS 2026'!C1965),"",'ENGAGEMENTS 2026'!AF1965)</f>
        <v/>
      </c>
      <c r="I1965">
        <f>IF(ISBLANK('ENGAGEMENTS 2026'!C1965),"",'ENGAGEMENTS 2026'!H1965)</f>
        <v/>
      </c>
      <c r="J1965" s="275">
        <f>IF(ISBLANK('ENGAGEMENTS 2026'!C1965),"",IF(AND(OR($E1965="INFRUCTUEUX",$E1965="ANNULE"),$C1965="AOO-M"),'ENGAGEMENTS 2026'!P1965,IF($H1965="EN COURS DE PREENGAGEMENT",'ENGAGEMENTS 2026'!O1965,IF($H1965="PREENGAGE",IF($E1965="ATTRIBUE",'ENGAGEMENTS 2026'!AE1965,'ENGAGEMENTS 2026'!O1965),'ENGAGEMENTS 2026'!AE1965))))</f>
        <v/>
      </c>
      <c r="K1965" s="604">
        <f>IF(ISBLANK('ENGAGEMENTS 2026'!W1965),"",'ENGAGEMENTS 2026'!W1965)</f>
        <v/>
      </c>
      <c r="L1965" s="276">
        <f>IF($K1965="","",TODAY()-$K1965)</f>
        <v/>
      </c>
      <c r="M1965">
        <f>IF($A1965="","",IF($H1965="ENGAGE","Engagé",IF(AND($H1965="NON ENGAGE",OR($I1965="INFRUCTUEUX",$I1965="ANNULE")),"Clôturé sans suite","En cours")))</f>
        <v/>
      </c>
      <c r="N1965">
        <f>IF(ISBLANK('ENGAGEMENTS 2026'!C1965),"",'ENGAGEMENTS 2026'!L1965)</f>
        <v/>
      </c>
      <c r="O1965">
        <f>IF(ISBLANK('ENGAGEMENTS 2026'!C1965),"",'ENGAGEMENTS 2026'!M1965)</f>
        <v/>
      </c>
      <c r="P1965">
        <f>IF(ISBLANK('ENGAGEMENTS 2026'!C1965),"",'ENGAGEMENTS 2026'!K1965)</f>
        <v/>
      </c>
      <c r="Q1965">
        <f>IF($A1965="","",IF(OR($E1965="INFRUCTUEUX",$E1965="ANNULE"),$A1965&amp;"|"&amp;(COUNTIFS($A$2:$A1965,$A1965,$E$2:$E1965,"INFRUCTUEUX")+COUNTIFS($A$2:$A1965,$A1965,$E$2:$E1965,"ANNULE")),""))</f>
        <v/>
      </c>
    </row>
    <row r="1966">
      <c r="A1966">
        <f>IF(ISBLANK('ENGAGEMENTS 2026'!C1966),"",IF('ENGAGEMENTS 2026'!C1966="DTSI","DCT",'ENGAGEMENTS 2026'!C1966))</f>
        <v/>
      </c>
      <c r="B1966">
        <f>IF(ISBLANK('ENGAGEMENTS 2026'!C1966),"",'ENGAGEMENTS 2026'!D1966)</f>
        <v/>
      </c>
      <c r="C1966">
        <f>IF(ISBLANK('ENGAGEMENTS 2026'!C1966),"",'ENGAGEMENTS 2026'!E1966)</f>
        <v/>
      </c>
      <c r="D1966">
        <f>IF(ISBLANK('ENGAGEMENTS 2026'!C1966),"",'ENGAGEMENTS 2026'!G1966)</f>
        <v/>
      </c>
      <c r="E1966">
        <f>IF(ISBLANK('ENGAGEMENTS 2026'!C1966),"",'ENGAGEMENTS 2026'!I1966)</f>
        <v/>
      </c>
      <c r="F1966">
        <f>IF(ISBLANK('ENGAGEMENTS 2026'!C1966),"",'ENGAGEMENTS 2026'!J1966)</f>
        <v/>
      </c>
      <c r="G1966">
        <f>IF(ISBLANK('ENGAGEMENTS 2026'!C1966),"",'ENGAGEMENTS 2026'!M1966)</f>
        <v/>
      </c>
      <c r="H1966">
        <f>IF(ISBLANK('ENGAGEMENTS 2026'!C1966),"",'ENGAGEMENTS 2026'!AF1966)</f>
        <v/>
      </c>
      <c r="I1966">
        <f>IF(ISBLANK('ENGAGEMENTS 2026'!C1966),"",'ENGAGEMENTS 2026'!H1966)</f>
        <v/>
      </c>
      <c r="J1966" s="275">
        <f>IF(ISBLANK('ENGAGEMENTS 2026'!C1966),"",IF(AND(OR($E1966="INFRUCTUEUX",$E1966="ANNULE"),$C1966="AOO-M"),'ENGAGEMENTS 2026'!P1966,IF($H1966="EN COURS DE PREENGAGEMENT",'ENGAGEMENTS 2026'!O1966,IF($H1966="PREENGAGE",IF($E1966="ATTRIBUE",'ENGAGEMENTS 2026'!AE1966,'ENGAGEMENTS 2026'!O1966),'ENGAGEMENTS 2026'!AE1966))))</f>
        <v/>
      </c>
      <c r="K1966" s="604">
        <f>IF(ISBLANK('ENGAGEMENTS 2026'!W1966),"",'ENGAGEMENTS 2026'!W1966)</f>
        <v/>
      </c>
      <c r="L1966" s="276">
        <f>IF($K1966="","",TODAY()-$K1966)</f>
        <v/>
      </c>
      <c r="M1966">
        <f>IF($A1966="","",IF($H1966="ENGAGE","Engagé",IF(AND($H1966="NON ENGAGE",OR($I1966="INFRUCTUEUX",$I1966="ANNULE")),"Clôturé sans suite","En cours")))</f>
        <v/>
      </c>
      <c r="N1966">
        <f>IF(ISBLANK('ENGAGEMENTS 2026'!C1966),"",'ENGAGEMENTS 2026'!L1966)</f>
        <v/>
      </c>
      <c r="O1966">
        <f>IF(ISBLANK('ENGAGEMENTS 2026'!C1966),"",'ENGAGEMENTS 2026'!M1966)</f>
        <v/>
      </c>
      <c r="P1966">
        <f>IF(ISBLANK('ENGAGEMENTS 2026'!C1966),"",'ENGAGEMENTS 2026'!K1966)</f>
        <v/>
      </c>
      <c r="Q1966">
        <f>IF($A1966="","",IF(OR($E1966="INFRUCTUEUX",$E1966="ANNULE"),$A1966&amp;"|"&amp;(COUNTIFS($A$2:$A1966,$A1966,$E$2:$E1966,"INFRUCTUEUX")+COUNTIFS($A$2:$A1966,$A1966,$E$2:$E1966,"ANNULE")),""))</f>
        <v/>
      </c>
    </row>
    <row r="1967">
      <c r="A1967">
        <f>IF(ISBLANK('ENGAGEMENTS 2026'!C1967),"",IF('ENGAGEMENTS 2026'!C1967="DTSI","DCT",'ENGAGEMENTS 2026'!C1967))</f>
        <v/>
      </c>
      <c r="B1967">
        <f>IF(ISBLANK('ENGAGEMENTS 2026'!C1967),"",'ENGAGEMENTS 2026'!D1967)</f>
        <v/>
      </c>
      <c r="C1967">
        <f>IF(ISBLANK('ENGAGEMENTS 2026'!C1967),"",'ENGAGEMENTS 2026'!E1967)</f>
        <v/>
      </c>
      <c r="D1967">
        <f>IF(ISBLANK('ENGAGEMENTS 2026'!C1967),"",'ENGAGEMENTS 2026'!G1967)</f>
        <v/>
      </c>
      <c r="E1967">
        <f>IF(ISBLANK('ENGAGEMENTS 2026'!C1967),"",'ENGAGEMENTS 2026'!I1967)</f>
        <v/>
      </c>
      <c r="F1967">
        <f>IF(ISBLANK('ENGAGEMENTS 2026'!C1967),"",'ENGAGEMENTS 2026'!J1967)</f>
        <v/>
      </c>
      <c r="G1967">
        <f>IF(ISBLANK('ENGAGEMENTS 2026'!C1967),"",'ENGAGEMENTS 2026'!M1967)</f>
        <v/>
      </c>
      <c r="H1967">
        <f>IF(ISBLANK('ENGAGEMENTS 2026'!C1967),"",'ENGAGEMENTS 2026'!AF1967)</f>
        <v/>
      </c>
      <c r="I1967">
        <f>IF(ISBLANK('ENGAGEMENTS 2026'!C1967),"",'ENGAGEMENTS 2026'!H1967)</f>
        <v/>
      </c>
      <c r="J1967" s="275">
        <f>IF(ISBLANK('ENGAGEMENTS 2026'!C1967),"",IF(AND(OR($E1967="INFRUCTUEUX",$E1967="ANNULE"),$C1967="AOO-M"),'ENGAGEMENTS 2026'!P1967,IF($H1967="EN COURS DE PREENGAGEMENT",'ENGAGEMENTS 2026'!O1967,IF($H1967="PREENGAGE",IF($E1967="ATTRIBUE",'ENGAGEMENTS 2026'!AE1967,'ENGAGEMENTS 2026'!O1967),'ENGAGEMENTS 2026'!AE1967))))</f>
        <v/>
      </c>
      <c r="K1967" s="604">
        <f>IF(ISBLANK('ENGAGEMENTS 2026'!W1967),"",'ENGAGEMENTS 2026'!W1967)</f>
        <v/>
      </c>
      <c r="L1967" s="276">
        <f>IF($K1967="","",TODAY()-$K1967)</f>
        <v/>
      </c>
      <c r="M1967">
        <f>IF($A1967="","",IF($H1967="ENGAGE","Engagé",IF(AND($H1967="NON ENGAGE",OR($I1967="INFRUCTUEUX",$I1967="ANNULE")),"Clôturé sans suite","En cours")))</f>
        <v/>
      </c>
      <c r="N1967">
        <f>IF(ISBLANK('ENGAGEMENTS 2026'!C1967),"",'ENGAGEMENTS 2026'!L1967)</f>
        <v/>
      </c>
      <c r="O1967">
        <f>IF(ISBLANK('ENGAGEMENTS 2026'!C1967),"",'ENGAGEMENTS 2026'!M1967)</f>
        <v/>
      </c>
      <c r="P1967">
        <f>IF(ISBLANK('ENGAGEMENTS 2026'!C1967),"",'ENGAGEMENTS 2026'!K1967)</f>
        <v/>
      </c>
      <c r="Q1967">
        <f>IF($A1967="","",IF(OR($E1967="INFRUCTUEUX",$E1967="ANNULE"),$A1967&amp;"|"&amp;(COUNTIFS($A$2:$A1967,$A1967,$E$2:$E1967,"INFRUCTUEUX")+COUNTIFS($A$2:$A1967,$A1967,$E$2:$E1967,"ANNULE")),""))</f>
        <v/>
      </c>
    </row>
    <row r="1968">
      <c r="A1968">
        <f>IF(ISBLANK('ENGAGEMENTS 2026'!C1968),"",IF('ENGAGEMENTS 2026'!C1968="DTSI","DCT",'ENGAGEMENTS 2026'!C1968))</f>
        <v/>
      </c>
      <c r="B1968">
        <f>IF(ISBLANK('ENGAGEMENTS 2026'!C1968),"",'ENGAGEMENTS 2026'!D1968)</f>
        <v/>
      </c>
      <c r="C1968">
        <f>IF(ISBLANK('ENGAGEMENTS 2026'!C1968),"",'ENGAGEMENTS 2026'!E1968)</f>
        <v/>
      </c>
      <c r="D1968">
        <f>IF(ISBLANK('ENGAGEMENTS 2026'!C1968),"",'ENGAGEMENTS 2026'!G1968)</f>
        <v/>
      </c>
      <c r="E1968">
        <f>IF(ISBLANK('ENGAGEMENTS 2026'!C1968),"",'ENGAGEMENTS 2026'!I1968)</f>
        <v/>
      </c>
      <c r="F1968">
        <f>IF(ISBLANK('ENGAGEMENTS 2026'!C1968),"",'ENGAGEMENTS 2026'!J1968)</f>
        <v/>
      </c>
      <c r="G1968">
        <f>IF(ISBLANK('ENGAGEMENTS 2026'!C1968),"",'ENGAGEMENTS 2026'!M1968)</f>
        <v/>
      </c>
      <c r="H1968">
        <f>IF(ISBLANK('ENGAGEMENTS 2026'!C1968),"",'ENGAGEMENTS 2026'!AF1968)</f>
        <v/>
      </c>
      <c r="I1968">
        <f>IF(ISBLANK('ENGAGEMENTS 2026'!C1968),"",'ENGAGEMENTS 2026'!H1968)</f>
        <v/>
      </c>
      <c r="J1968" s="275">
        <f>IF(ISBLANK('ENGAGEMENTS 2026'!C1968),"",IF(AND(OR($E1968="INFRUCTUEUX",$E1968="ANNULE"),$C1968="AOO-M"),'ENGAGEMENTS 2026'!P1968,IF($H1968="EN COURS DE PREENGAGEMENT",'ENGAGEMENTS 2026'!O1968,IF($H1968="PREENGAGE",IF($E1968="ATTRIBUE",'ENGAGEMENTS 2026'!AE1968,'ENGAGEMENTS 2026'!O1968),'ENGAGEMENTS 2026'!AE1968))))</f>
        <v/>
      </c>
      <c r="K1968" s="604">
        <f>IF(ISBLANK('ENGAGEMENTS 2026'!W1968),"",'ENGAGEMENTS 2026'!W1968)</f>
        <v/>
      </c>
      <c r="L1968" s="276">
        <f>IF($K1968="","",TODAY()-$K1968)</f>
        <v/>
      </c>
      <c r="M1968">
        <f>IF($A1968="","",IF($H1968="ENGAGE","Engagé",IF(AND($H1968="NON ENGAGE",OR($I1968="INFRUCTUEUX",$I1968="ANNULE")),"Clôturé sans suite","En cours")))</f>
        <v/>
      </c>
      <c r="N1968">
        <f>IF(ISBLANK('ENGAGEMENTS 2026'!C1968),"",'ENGAGEMENTS 2026'!L1968)</f>
        <v/>
      </c>
      <c r="O1968">
        <f>IF(ISBLANK('ENGAGEMENTS 2026'!C1968),"",'ENGAGEMENTS 2026'!M1968)</f>
        <v/>
      </c>
      <c r="P1968">
        <f>IF(ISBLANK('ENGAGEMENTS 2026'!C1968),"",'ENGAGEMENTS 2026'!K1968)</f>
        <v/>
      </c>
      <c r="Q1968">
        <f>IF($A1968="","",IF(OR($E1968="INFRUCTUEUX",$E1968="ANNULE"),$A1968&amp;"|"&amp;(COUNTIFS($A$2:$A1968,$A1968,$E$2:$E1968,"INFRUCTUEUX")+COUNTIFS($A$2:$A1968,$A1968,$E$2:$E1968,"ANNULE")),""))</f>
        <v/>
      </c>
    </row>
    <row r="1969">
      <c r="A1969">
        <f>IF(ISBLANK('ENGAGEMENTS 2026'!C1969),"",IF('ENGAGEMENTS 2026'!C1969="DTSI","DCT",'ENGAGEMENTS 2026'!C1969))</f>
        <v/>
      </c>
      <c r="B1969">
        <f>IF(ISBLANK('ENGAGEMENTS 2026'!C1969),"",'ENGAGEMENTS 2026'!D1969)</f>
        <v/>
      </c>
      <c r="C1969">
        <f>IF(ISBLANK('ENGAGEMENTS 2026'!C1969),"",'ENGAGEMENTS 2026'!E1969)</f>
        <v/>
      </c>
      <c r="D1969">
        <f>IF(ISBLANK('ENGAGEMENTS 2026'!C1969),"",'ENGAGEMENTS 2026'!G1969)</f>
        <v/>
      </c>
      <c r="E1969">
        <f>IF(ISBLANK('ENGAGEMENTS 2026'!C1969),"",'ENGAGEMENTS 2026'!I1969)</f>
        <v/>
      </c>
      <c r="F1969">
        <f>IF(ISBLANK('ENGAGEMENTS 2026'!C1969),"",'ENGAGEMENTS 2026'!J1969)</f>
        <v/>
      </c>
      <c r="G1969">
        <f>IF(ISBLANK('ENGAGEMENTS 2026'!C1969),"",'ENGAGEMENTS 2026'!M1969)</f>
        <v/>
      </c>
      <c r="H1969">
        <f>IF(ISBLANK('ENGAGEMENTS 2026'!C1969),"",'ENGAGEMENTS 2026'!AF1969)</f>
        <v/>
      </c>
      <c r="I1969">
        <f>IF(ISBLANK('ENGAGEMENTS 2026'!C1969),"",'ENGAGEMENTS 2026'!H1969)</f>
        <v/>
      </c>
      <c r="J1969" s="275">
        <f>IF(ISBLANK('ENGAGEMENTS 2026'!C1969),"",IF(AND(OR($E1969="INFRUCTUEUX",$E1969="ANNULE"),$C1969="AOO-M"),'ENGAGEMENTS 2026'!P1969,IF($H1969="EN COURS DE PREENGAGEMENT",'ENGAGEMENTS 2026'!O1969,IF($H1969="PREENGAGE",IF($E1969="ATTRIBUE",'ENGAGEMENTS 2026'!AE1969,'ENGAGEMENTS 2026'!O1969),'ENGAGEMENTS 2026'!AE1969))))</f>
        <v/>
      </c>
      <c r="K1969" s="604">
        <f>IF(ISBLANK('ENGAGEMENTS 2026'!W1969),"",'ENGAGEMENTS 2026'!W1969)</f>
        <v/>
      </c>
      <c r="L1969" s="276">
        <f>IF($K1969="","",TODAY()-$K1969)</f>
        <v/>
      </c>
      <c r="M1969">
        <f>IF($A1969="","",IF($H1969="ENGAGE","Engagé",IF(AND($H1969="NON ENGAGE",OR($I1969="INFRUCTUEUX",$I1969="ANNULE")),"Clôturé sans suite","En cours")))</f>
        <v/>
      </c>
      <c r="N1969">
        <f>IF(ISBLANK('ENGAGEMENTS 2026'!C1969),"",'ENGAGEMENTS 2026'!L1969)</f>
        <v/>
      </c>
      <c r="O1969">
        <f>IF(ISBLANK('ENGAGEMENTS 2026'!C1969),"",'ENGAGEMENTS 2026'!M1969)</f>
        <v/>
      </c>
      <c r="P1969">
        <f>IF(ISBLANK('ENGAGEMENTS 2026'!C1969),"",'ENGAGEMENTS 2026'!K1969)</f>
        <v/>
      </c>
      <c r="Q1969">
        <f>IF($A1969="","",IF(OR($E1969="INFRUCTUEUX",$E1969="ANNULE"),$A1969&amp;"|"&amp;(COUNTIFS($A$2:$A1969,$A1969,$E$2:$E1969,"INFRUCTUEUX")+COUNTIFS($A$2:$A1969,$A1969,$E$2:$E1969,"ANNULE")),""))</f>
        <v/>
      </c>
    </row>
    <row r="1970">
      <c r="A1970">
        <f>IF(ISBLANK('ENGAGEMENTS 2026'!C1970),"",IF('ENGAGEMENTS 2026'!C1970="DTSI","DCT",'ENGAGEMENTS 2026'!C1970))</f>
        <v/>
      </c>
      <c r="B1970">
        <f>IF(ISBLANK('ENGAGEMENTS 2026'!C1970),"",'ENGAGEMENTS 2026'!D1970)</f>
        <v/>
      </c>
      <c r="C1970">
        <f>IF(ISBLANK('ENGAGEMENTS 2026'!C1970),"",'ENGAGEMENTS 2026'!E1970)</f>
        <v/>
      </c>
      <c r="D1970">
        <f>IF(ISBLANK('ENGAGEMENTS 2026'!C1970),"",'ENGAGEMENTS 2026'!G1970)</f>
        <v/>
      </c>
      <c r="E1970">
        <f>IF(ISBLANK('ENGAGEMENTS 2026'!C1970),"",'ENGAGEMENTS 2026'!I1970)</f>
        <v/>
      </c>
      <c r="F1970">
        <f>IF(ISBLANK('ENGAGEMENTS 2026'!C1970),"",'ENGAGEMENTS 2026'!J1970)</f>
        <v/>
      </c>
      <c r="G1970">
        <f>IF(ISBLANK('ENGAGEMENTS 2026'!C1970),"",'ENGAGEMENTS 2026'!M1970)</f>
        <v/>
      </c>
      <c r="H1970">
        <f>IF(ISBLANK('ENGAGEMENTS 2026'!C1970),"",'ENGAGEMENTS 2026'!AF1970)</f>
        <v/>
      </c>
      <c r="I1970">
        <f>IF(ISBLANK('ENGAGEMENTS 2026'!C1970),"",'ENGAGEMENTS 2026'!H1970)</f>
        <v/>
      </c>
      <c r="J1970" s="275">
        <f>IF(ISBLANK('ENGAGEMENTS 2026'!C1970),"",IF(AND(OR($E1970="INFRUCTUEUX",$E1970="ANNULE"),$C1970="AOO-M"),'ENGAGEMENTS 2026'!P1970,IF($H1970="EN COURS DE PREENGAGEMENT",'ENGAGEMENTS 2026'!O1970,IF($H1970="PREENGAGE",IF($E1970="ATTRIBUE",'ENGAGEMENTS 2026'!AE1970,'ENGAGEMENTS 2026'!O1970),'ENGAGEMENTS 2026'!AE1970))))</f>
        <v/>
      </c>
      <c r="K1970" s="604">
        <f>IF(ISBLANK('ENGAGEMENTS 2026'!W1970),"",'ENGAGEMENTS 2026'!W1970)</f>
        <v/>
      </c>
      <c r="L1970" s="276">
        <f>IF($K1970="","",TODAY()-$K1970)</f>
        <v/>
      </c>
      <c r="M1970">
        <f>IF($A1970="","",IF($H1970="ENGAGE","Engagé",IF(AND($H1970="NON ENGAGE",OR($I1970="INFRUCTUEUX",$I1970="ANNULE")),"Clôturé sans suite","En cours")))</f>
        <v/>
      </c>
      <c r="N1970">
        <f>IF(ISBLANK('ENGAGEMENTS 2026'!C1970),"",'ENGAGEMENTS 2026'!L1970)</f>
        <v/>
      </c>
      <c r="O1970">
        <f>IF(ISBLANK('ENGAGEMENTS 2026'!C1970),"",'ENGAGEMENTS 2026'!M1970)</f>
        <v/>
      </c>
      <c r="P1970">
        <f>IF(ISBLANK('ENGAGEMENTS 2026'!C1970),"",'ENGAGEMENTS 2026'!K1970)</f>
        <v/>
      </c>
      <c r="Q1970">
        <f>IF($A1970="","",IF(OR($E1970="INFRUCTUEUX",$E1970="ANNULE"),$A1970&amp;"|"&amp;(COUNTIFS($A$2:$A1970,$A1970,$E$2:$E1970,"INFRUCTUEUX")+COUNTIFS($A$2:$A1970,$A1970,$E$2:$E1970,"ANNULE")),""))</f>
        <v/>
      </c>
    </row>
    <row r="1971">
      <c r="A1971">
        <f>IF(ISBLANK('ENGAGEMENTS 2026'!C1971),"",IF('ENGAGEMENTS 2026'!C1971="DTSI","DCT",'ENGAGEMENTS 2026'!C1971))</f>
        <v/>
      </c>
      <c r="B1971">
        <f>IF(ISBLANK('ENGAGEMENTS 2026'!C1971),"",'ENGAGEMENTS 2026'!D1971)</f>
        <v/>
      </c>
      <c r="C1971">
        <f>IF(ISBLANK('ENGAGEMENTS 2026'!C1971),"",'ENGAGEMENTS 2026'!E1971)</f>
        <v/>
      </c>
      <c r="D1971">
        <f>IF(ISBLANK('ENGAGEMENTS 2026'!C1971),"",'ENGAGEMENTS 2026'!G1971)</f>
        <v/>
      </c>
      <c r="E1971">
        <f>IF(ISBLANK('ENGAGEMENTS 2026'!C1971),"",'ENGAGEMENTS 2026'!I1971)</f>
        <v/>
      </c>
      <c r="F1971">
        <f>IF(ISBLANK('ENGAGEMENTS 2026'!C1971),"",'ENGAGEMENTS 2026'!J1971)</f>
        <v/>
      </c>
      <c r="G1971">
        <f>IF(ISBLANK('ENGAGEMENTS 2026'!C1971),"",'ENGAGEMENTS 2026'!M1971)</f>
        <v/>
      </c>
      <c r="H1971">
        <f>IF(ISBLANK('ENGAGEMENTS 2026'!C1971),"",'ENGAGEMENTS 2026'!AF1971)</f>
        <v/>
      </c>
      <c r="I1971">
        <f>IF(ISBLANK('ENGAGEMENTS 2026'!C1971),"",'ENGAGEMENTS 2026'!H1971)</f>
        <v/>
      </c>
      <c r="J1971" s="275">
        <f>IF(ISBLANK('ENGAGEMENTS 2026'!C1971),"",IF(AND(OR($E1971="INFRUCTUEUX",$E1971="ANNULE"),$C1971="AOO-M"),'ENGAGEMENTS 2026'!P1971,IF($H1971="EN COURS DE PREENGAGEMENT",'ENGAGEMENTS 2026'!O1971,IF($H1971="PREENGAGE",IF($E1971="ATTRIBUE",'ENGAGEMENTS 2026'!AE1971,'ENGAGEMENTS 2026'!O1971),'ENGAGEMENTS 2026'!AE1971))))</f>
        <v/>
      </c>
      <c r="K1971" s="604">
        <f>IF(ISBLANK('ENGAGEMENTS 2026'!W1971),"",'ENGAGEMENTS 2026'!W1971)</f>
        <v/>
      </c>
      <c r="L1971" s="276">
        <f>IF($K1971="","",TODAY()-$K1971)</f>
        <v/>
      </c>
      <c r="M1971">
        <f>IF($A1971="","",IF($H1971="ENGAGE","Engagé",IF(AND($H1971="NON ENGAGE",OR($I1971="INFRUCTUEUX",$I1971="ANNULE")),"Clôturé sans suite","En cours")))</f>
        <v/>
      </c>
      <c r="N1971">
        <f>IF(ISBLANK('ENGAGEMENTS 2026'!C1971),"",'ENGAGEMENTS 2026'!L1971)</f>
        <v/>
      </c>
      <c r="O1971">
        <f>IF(ISBLANK('ENGAGEMENTS 2026'!C1971),"",'ENGAGEMENTS 2026'!M1971)</f>
        <v/>
      </c>
      <c r="P1971">
        <f>IF(ISBLANK('ENGAGEMENTS 2026'!C1971),"",'ENGAGEMENTS 2026'!K1971)</f>
        <v/>
      </c>
      <c r="Q1971">
        <f>IF($A1971="","",IF(OR($E1971="INFRUCTUEUX",$E1971="ANNULE"),$A1971&amp;"|"&amp;(COUNTIFS($A$2:$A1971,$A1971,$E$2:$E1971,"INFRUCTUEUX")+COUNTIFS($A$2:$A1971,$A1971,$E$2:$E1971,"ANNULE")),""))</f>
        <v/>
      </c>
    </row>
    <row r="1972">
      <c r="A1972">
        <f>IF(ISBLANK('ENGAGEMENTS 2026'!C1972),"",IF('ENGAGEMENTS 2026'!C1972="DTSI","DCT",'ENGAGEMENTS 2026'!C1972))</f>
        <v/>
      </c>
      <c r="B1972">
        <f>IF(ISBLANK('ENGAGEMENTS 2026'!C1972),"",'ENGAGEMENTS 2026'!D1972)</f>
        <v/>
      </c>
      <c r="C1972">
        <f>IF(ISBLANK('ENGAGEMENTS 2026'!C1972),"",'ENGAGEMENTS 2026'!E1972)</f>
        <v/>
      </c>
      <c r="D1972">
        <f>IF(ISBLANK('ENGAGEMENTS 2026'!C1972),"",'ENGAGEMENTS 2026'!G1972)</f>
        <v/>
      </c>
      <c r="E1972">
        <f>IF(ISBLANK('ENGAGEMENTS 2026'!C1972),"",'ENGAGEMENTS 2026'!I1972)</f>
        <v/>
      </c>
      <c r="F1972">
        <f>IF(ISBLANK('ENGAGEMENTS 2026'!C1972),"",'ENGAGEMENTS 2026'!J1972)</f>
        <v/>
      </c>
      <c r="G1972">
        <f>IF(ISBLANK('ENGAGEMENTS 2026'!C1972),"",'ENGAGEMENTS 2026'!M1972)</f>
        <v/>
      </c>
      <c r="H1972">
        <f>IF(ISBLANK('ENGAGEMENTS 2026'!C1972),"",'ENGAGEMENTS 2026'!AF1972)</f>
        <v/>
      </c>
      <c r="I1972">
        <f>IF(ISBLANK('ENGAGEMENTS 2026'!C1972),"",'ENGAGEMENTS 2026'!H1972)</f>
        <v/>
      </c>
      <c r="J1972" s="275">
        <f>IF(ISBLANK('ENGAGEMENTS 2026'!C1972),"",IF(AND(OR($E1972="INFRUCTUEUX",$E1972="ANNULE"),$C1972="AOO-M"),'ENGAGEMENTS 2026'!P1972,IF($H1972="EN COURS DE PREENGAGEMENT",'ENGAGEMENTS 2026'!O1972,IF($H1972="PREENGAGE",IF($E1972="ATTRIBUE",'ENGAGEMENTS 2026'!AE1972,'ENGAGEMENTS 2026'!O1972),'ENGAGEMENTS 2026'!AE1972))))</f>
        <v/>
      </c>
      <c r="K1972" s="604">
        <f>IF(ISBLANK('ENGAGEMENTS 2026'!W1972),"",'ENGAGEMENTS 2026'!W1972)</f>
        <v/>
      </c>
      <c r="L1972" s="276">
        <f>IF($K1972="","",TODAY()-$K1972)</f>
        <v/>
      </c>
      <c r="M1972">
        <f>IF($A1972="","",IF($H1972="ENGAGE","Engagé",IF(AND($H1972="NON ENGAGE",OR($I1972="INFRUCTUEUX",$I1972="ANNULE")),"Clôturé sans suite","En cours")))</f>
        <v/>
      </c>
      <c r="N1972">
        <f>IF(ISBLANK('ENGAGEMENTS 2026'!C1972),"",'ENGAGEMENTS 2026'!L1972)</f>
        <v/>
      </c>
      <c r="O1972">
        <f>IF(ISBLANK('ENGAGEMENTS 2026'!C1972),"",'ENGAGEMENTS 2026'!M1972)</f>
        <v/>
      </c>
      <c r="P1972">
        <f>IF(ISBLANK('ENGAGEMENTS 2026'!C1972),"",'ENGAGEMENTS 2026'!K1972)</f>
        <v/>
      </c>
      <c r="Q1972">
        <f>IF($A1972="","",IF(OR($E1972="INFRUCTUEUX",$E1972="ANNULE"),$A1972&amp;"|"&amp;(COUNTIFS($A$2:$A1972,$A1972,$E$2:$E1972,"INFRUCTUEUX")+COUNTIFS($A$2:$A1972,$A1972,$E$2:$E1972,"ANNULE")),""))</f>
        <v/>
      </c>
    </row>
    <row r="1973">
      <c r="A1973">
        <f>IF(ISBLANK('ENGAGEMENTS 2026'!C1973),"",IF('ENGAGEMENTS 2026'!C1973="DTSI","DCT",'ENGAGEMENTS 2026'!C1973))</f>
        <v/>
      </c>
      <c r="B1973">
        <f>IF(ISBLANK('ENGAGEMENTS 2026'!C1973),"",'ENGAGEMENTS 2026'!D1973)</f>
        <v/>
      </c>
      <c r="C1973">
        <f>IF(ISBLANK('ENGAGEMENTS 2026'!C1973),"",'ENGAGEMENTS 2026'!E1973)</f>
        <v/>
      </c>
      <c r="D1973">
        <f>IF(ISBLANK('ENGAGEMENTS 2026'!C1973),"",'ENGAGEMENTS 2026'!G1973)</f>
        <v/>
      </c>
      <c r="E1973">
        <f>IF(ISBLANK('ENGAGEMENTS 2026'!C1973),"",'ENGAGEMENTS 2026'!I1973)</f>
        <v/>
      </c>
      <c r="F1973">
        <f>IF(ISBLANK('ENGAGEMENTS 2026'!C1973),"",'ENGAGEMENTS 2026'!J1973)</f>
        <v/>
      </c>
      <c r="G1973">
        <f>IF(ISBLANK('ENGAGEMENTS 2026'!C1973),"",'ENGAGEMENTS 2026'!M1973)</f>
        <v/>
      </c>
      <c r="H1973">
        <f>IF(ISBLANK('ENGAGEMENTS 2026'!C1973),"",'ENGAGEMENTS 2026'!AF1973)</f>
        <v/>
      </c>
      <c r="I1973">
        <f>IF(ISBLANK('ENGAGEMENTS 2026'!C1973),"",'ENGAGEMENTS 2026'!H1973)</f>
        <v/>
      </c>
      <c r="J1973" s="275">
        <f>IF(ISBLANK('ENGAGEMENTS 2026'!C1973),"",IF(AND(OR($E1973="INFRUCTUEUX",$E1973="ANNULE"),$C1973="AOO-M"),'ENGAGEMENTS 2026'!P1973,IF($H1973="EN COURS DE PREENGAGEMENT",'ENGAGEMENTS 2026'!O1973,IF($H1973="PREENGAGE",IF($E1973="ATTRIBUE",'ENGAGEMENTS 2026'!AE1973,'ENGAGEMENTS 2026'!O1973),'ENGAGEMENTS 2026'!AE1973))))</f>
        <v/>
      </c>
      <c r="K1973" s="604">
        <f>IF(ISBLANK('ENGAGEMENTS 2026'!W1973),"",'ENGAGEMENTS 2026'!W1973)</f>
        <v/>
      </c>
      <c r="L1973" s="276">
        <f>IF($K1973="","",TODAY()-$K1973)</f>
        <v/>
      </c>
      <c r="M1973">
        <f>IF($A1973="","",IF($H1973="ENGAGE","Engagé",IF(AND($H1973="NON ENGAGE",OR($I1973="INFRUCTUEUX",$I1973="ANNULE")),"Clôturé sans suite","En cours")))</f>
        <v/>
      </c>
      <c r="N1973">
        <f>IF(ISBLANK('ENGAGEMENTS 2026'!C1973),"",'ENGAGEMENTS 2026'!L1973)</f>
        <v/>
      </c>
      <c r="O1973">
        <f>IF(ISBLANK('ENGAGEMENTS 2026'!C1973),"",'ENGAGEMENTS 2026'!M1973)</f>
        <v/>
      </c>
      <c r="P1973">
        <f>IF(ISBLANK('ENGAGEMENTS 2026'!C1973),"",'ENGAGEMENTS 2026'!K1973)</f>
        <v/>
      </c>
      <c r="Q1973">
        <f>IF($A1973="","",IF(OR($E1973="INFRUCTUEUX",$E1973="ANNULE"),$A1973&amp;"|"&amp;(COUNTIFS($A$2:$A1973,$A1973,$E$2:$E1973,"INFRUCTUEUX")+COUNTIFS($A$2:$A1973,$A1973,$E$2:$E1973,"ANNULE")),""))</f>
        <v/>
      </c>
    </row>
    <row r="1974">
      <c r="A1974">
        <f>IF(ISBLANK('ENGAGEMENTS 2026'!C1974),"",IF('ENGAGEMENTS 2026'!C1974="DTSI","DCT",'ENGAGEMENTS 2026'!C1974))</f>
        <v/>
      </c>
      <c r="B1974">
        <f>IF(ISBLANK('ENGAGEMENTS 2026'!C1974),"",'ENGAGEMENTS 2026'!D1974)</f>
        <v/>
      </c>
      <c r="C1974">
        <f>IF(ISBLANK('ENGAGEMENTS 2026'!C1974),"",'ENGAGEMENTS 2026'!E1974)</f>
        <v/>
      </c>
      <c r="D1974">
        <f>IF(ISBLANK('ENGAGEMENTS 2026'!C1974),"",'ENGAGEMENTS 2026'!G1974)</f>
        <v/>
      </c>
      <c r="E1974">
        <f>IF(ISBLANK('ENGAGEMENTS 2026'!C1974),"",'ENGAGEMENTS 2026'!I1974)</f>
        <v/>
      </c>
      <c r="F1974">
        <f>IF(ISBLANK('ENGAGEMENTS 2026'!C1974),"",'ENGAGEMENTS 2026'!J1974)</f>
        <v/>
      </c>
      <c r="G1974">
        <f>IF(ISBLANK('ENGAGEMENTS 2026'!C1974),"",'ENGAGEMENTS 2026'!M1974)</f>
        <v/>
      </c>
      <c r="H1974">
        <f>IF(ISBLANK('ENGAGEMENTS 2026'!C1974),"",'ENGAGEMENTS 2026'!AF1974)</f>
        <v/>
      </c>
      <c r="I1974">
        <f>IF(ISBLANK('ENGAGEMENTS 2026'!C1974),"",'ENGAGEMENTS 2026'!H1974)</f>
        <v/>
      </c>
      <c r="J1974" s="275">
        <f>IF(ISBLANK('ENGAGEMENTS 2026'!C1974),"",IF(AND(OR($E1974="INFRUCTUEUX",$E1974="ANNULE"),$C1974="AOO-M"),'ENGAGEMENTS 2026'!P1974,IF($H1974="EN COURS DE PREENGAGEMENT",'ENGAGEMENTS 2026'!O1974,IF($H1974="PREENGAGE",IF($E1974="ATTRIBUE",'ENGAGEMENTS 2026'!AE1974,'ENGAGEMENTS 2026'!O1974),'ENGAGEMENTS 2026'!AE1974))))</f>
        <v/>
      </c>
      <c r="K1974" s="604">
        <f>IF(ISBLANK('ENGAGEMENTS 2026'!W1974),"",'ENGAGEMENTS 2026'!W1974)</f>
        <v/>
      </c>
      <c r="L1974" s="276">
        <f>IF($K1974="","",TODAY()-$K1974)</f>
        <v/>
      </c>
      <c r="M1974">
        <f>IF($A1974="","",IF($H1974="ENGAGE","Engagé",IF(AND($H1974="NON ENGAGE",OR($I1974="INFRUCTUEUX",$I1974="ANNULE")),"Clôturé sans suite","En cours")))</f>
        <v/>
      </c>
      <c r="N1974">
        <f>IF(ISBLANK('ENGAGEMENTS 2026'!C1974),"",'ENGAGEMENTS 2026'!L1974)</f>
        <v/>
      </c>
      <c r="O1974">
        <f>IF(ISBLANK('ENGAGEMENTS 2026'!C1974),"",'ENGAGEMENTS 2026'!M1974)</f>
        <v/>
      </c>
      <c r="P1974">
        <f>IF(ISBLANK('ENGAGEMENTS 2026'!C1974),"",'ENGAGEMENTS 2026'!K1974)</f>
        <v/>
      </c>
      <c r="Q1974">
        <f>IF($A1974="","",IF(OR($E1974="INFRUCTUEUX",$E1974="ANNULE"),$A1974&amp;"|"&amp;(COUNTIFS($A$2:$A1974,$A1974,$E$2:$E1974,"INFRUCTUEUX")+COUNTIFS($A$2:$A1974,$A1974,$E$2:$E1974,"ANNULE")),""))</f>
        <v/>
      </c>
    </row>
    <row r="1975">
      <c r="A1975">
        <f>IF(ISBLANK('ENGAGEMENTS 2026'!C1975),"",IF('ENGAGEMENTS 2026'!C1975="DTSI","DCT",'ENGAGEMENTS 2026'!C1975))</f>
        <v/>
      </c>
      <c r="B1975">
        <f>IF(ISBLANK('ENGAGEMENTS 2026'!C1975),"",'ENGAGEMENTS 2026'!D1975)</f>
        <v/>
      </c>
      <c r="C1975">
        <f>IF(ISBLANK('ENGAGEMENTS 2026'!C1975),"",'ENGAGEMENTS 2026'!E1975)</f>
        <v/>
      </c>
      <c r="D1975">
        <f>IF(ISBLANK('ENGAGEMENTS 2026'!C1975),"",'ENGAGEMENTS 2026'!G1975)</f>
        <v/>
      </c>
      <c r="E1975">
        <f>IF(ISBLANK('ENGAGEMENTS 2026'!C1975),"",'ENGAGEMENTS 2026'!I1975)</f>
        <v/>
      </c>
      <c r="F1975">
        <f>IF(ISBLANK('ENGAGEMENTS 2026'!C1975),"",'ENGAGEMENTS 2026'!J1975)</f>
        <v/>
      </c>
      <c r="G1975">
        <f>IF(ISBLANK('ENGAGEMENTS 2026'!C1975),"",'ENGAGEMENTS 2026'!M1975)</f>
        <v/>
      </c>
      <c r="H1975">
        <f>IF(ISBLANK('ENGAGEMENTS 2026'!C1975),"",'ENGAGEMENTS 2026'!AF1975)</f>
        <v/>
      </c>
      <c r="I1975">
        <f>IF(ISBLANK('ENGAGEMENTS 2026'!C1975),"",'ENGAGEMENTS 2026'!H1975)</f>
        <v/>
      </c>
      <c r="J1975" s="275">
        <f>IF(ISBLANK('ENGAGEMENTS 2026'!C1975),"",IF(AND(OR($E1975="INFRUCTUEUX",$E1975="ANNULE"),$C1975="AOO-M"),'ENGAGEMENTS 2026'!P1975,IF($H1975="EN COURS DE PREENGAGEMENT",'ENGAGEMENTS 2026'!O1975,IF($H1975="PREENGAGE",IF($E1975="ATTRIBUE",'ENGAGEMENTS 2026'!AE1975,'ENGAGEMENTS 2026'!O1975),'ENGAGEMENTS 2026'!AE1975))))</f>
        <v/>
      </c>
      <c r="K1975" s="604">
        <f>IF(ISBLANK('ENGAGEMENTS 2026'!W1975),"",'ENGAGEMENTS 2026'!W1975)</f>
        <v/>
      </c>
      <c r="L1975" s="276">
        <f>IF($K1975="","",TODAY()-$K1975)</f>
        <v/>
      </c>
      <c r="M1975">
        <f>IF($A1975="","",IF($H1975="ENGAGE","Engagé",IF(AND($H1975="NON ENGAGE",OR($I1975="INFRUCTUEUX",$I1975="ANNULE")),"Clôturé sans suite","En cours")))</f>
        <v/>
      </c>
      <c r="N1975">
        <f>IF(ISBLANK('ENGAGEMENTS 2026'!C1975),"",'ENGAGEMENTS 2026'!L1975)</f>
        <v/>
      </c>
      <c r="O1975">
        <f>IF(ISBLANK('ENGAGEMENTS 2026'!C1975),"",'ENGAGEMENTS 2026'!M1975)</f>
        <v/>
      </c>
      <c r="P1975">
        <f>IF(ISBLANK('ENGAGEMENTS 2026'!C1975),"",'ENGAGEMENTS 2026'!K1975)</f>
        <v/>
      </c>
      <c r="Q1975">
        <f>IF($A1975="","",IF(OR($E1975="INFRUCTUEUX",$E1975="ANNULE"),$A1975&amp;"|"&amp;(COUNTIFS($A$2:$A1975,$A1975,$E$2:$E1975,"INFRUCTUEUX")+COUNTIFS($A$2:$A1975,$A1975,$E$2:$E1975,"ANNULE")),""))</f>
        <v/>
      </c>
    </row>
    <row r="1976">
      <c r="A1976">
        <f>IF(ISBLANK('ENGAGEMENTS 2026'!C1976),"",IF('ENGAGEMENTS 2026'!C1976="DTSI","DCT",'ENGAGEMENTS 2026'!C1976))</f>
        <v/>
      </c>
      <c r="B1976">
        <f>IF(ISBLANK('ENGAGEMENTS 2026'!C1976),"",'ENGAGEMENTS 2026'!D1976)</f>
        <v/>
      </c>
      <c r="C1976">
        <f>IF(ISBLANK('ENGAGEMENTS 2026'!C1976),"",'ENGAGEMENTS 2026'!E1976)</f>
        <v/>
      </c>
      <c r="D1976">
        <f>IF(ISBLANK('ENGAGEMENTS 2026'!C1976),"",'ENGAGEMENTS 2026'!G1976)</f>
        <v/>
      </c>
      <c r="E1976">
        <f>IF(ISBLANK('ENGAGEMENTS 2026'!C1976),"",'ENGAGEMENTS 2026'!I1976)</f>
        <v/>
      </c>
      <c r="F1976">
        <f>IF(ISBLANK('ENGAGEMENTS 2026'!C1976),"",'ENGAGEMENTS 2026'!J1976)</f>
        <v/>
      </c>
      <c r="G1976">
        <f>IF(ISBLANK('ENGAGEMENTS 2026'!C1976),"",'ENGAGEMENTS 2026'!M1976)</f>
        <v/>
      </c>
      <c r="H1976">
        <f>IF(ISBLANK('ENGAGEMENTS 2026'!C1976),"",'ENGAGEMENTS 2026'!AF1976)</f>
        <v/>
      </c>
      <c r="I1976">
        <f>IF(ISBLANK('ENGAGEMENTS 2026'!C1976),"",'ENGAGEMENTS 2026'!H1976)</f>
        <v/>
      </c>
      <c r="J1976" s="275">
        <f>IF(ISBLANK('ENGAGEMENTS 2026'!C1976),"",IF(AND(OR($E1976="INFRUCTUEUX",$E1976="ANNULE"),$C1976="AOO-M"),'ENGAGEMENTS 2026'!P1976,IF($H1976="EN COURS DE PREENGAGEMENT",'ENGAGEMENTS 2026'!O1976,IF($H1976="PREENGAGE",IF($E1976="ATTRIBUE",'ENGAGEMENTS 2026'!AE1976,'ENGAGEMENTS 2026'!O1976),'ENGAGEMENTS 2026'!AE1976))))</f>
        <v/>
      </c>
      <c r="K1976" s="604">
        <f>IF(ISBLANK('ENGAGEMENTS 2026'!W1976),"",'ENGAGEMENTS 2026'!W1976)</f>
        <v/>
      </c>
      <c r="L1976" s="276">
        <f>IF($K1976="","",TODAY()-$K1976)</f>
        <v/>
      </c>
      <c r="M1976">
        <f>IF($A1976="","",IF($H1976="ENGAGE","Engagé",IF(AND($H1976="NON ENGAGE",OR($I1976="INFRUCTUEUX",$I1976="ANNULE")),"Clôturé sans suite","En cours")))</f>
        <v/>
      </c>
      <c r="N1976">
        <f>IF(ISBLANK('ENGAGEMENTS 2026'!C1976),"",'ENGAGEMENTS 2026'!L1976)</f>
        <v/>
      </c>
      <c r="O1976">
        <f>IF(ISBLANK('ENGAGEMENTS 2026'!C1976),"",'ENGAGEMENTS 2026'!M1976)</f>
        <v/>
      </c>
      <c r="P1976">
        <f>IF(ISBLANK('ENGAGEMENTS 2026'!C1976),"",'ENGAGEMENTS 2026'!K1976)</f>
        <v/>
      </c>
      <c r="Q1976">
        <f>IF($A1976="","",IF(OR($E1976="INFRUCTUEUX",$E1976="ANNULE"),$A1976&amp;"|"&amp;(COUNTIFS($A$2:$A1976,$A1976,$E$2:$E1976,"INFRUCTUEUX")+COUNTIFS($A$2:$A1976,$A1976,$E$2:$E1976,"ANNULE")),""))</f>
        <v/>
      </c>
    </row>
    <row r="1977">
      <c r="A1977">
        <f>IF(ISBLANK('ENGAGEMENTS 2026'!C1977),"",IF('ENGAGEMENTS 2026'!C1977="DTSI","DCT",'ENGAGEMENTS 2026'!C1977))</f>
        <v/>
      </c>
      <c r="B1977">
        <f>IF(ISBLANK('ENGAGEMENTS 2026'!C1977),"",'ENGAGEMENTS 2026'!D1977)</f>
        <v/>
      </c>
      <c r="C1977">
        <f>IF(ISBLANK('ENGAGEMENTS 2026'!C1977),"",'ENGAGEMENTS 2026'!E1977)</f>
        <v/>
      </c>
      <c r="D1977">
        <f>IF(ISBLANK('ENGAGEMENTS 2026'!C1977),"",'ENGAGEMENTS 2026'!G1977)</f>
        <v/>
      </c>
      <c r="E1977">
        <f>IF(ISBLANK('ENGAGEMENTS 2026'!C1977),"",'ENGAGEMENTS 2026'!I1977)</f>
        <v/>
      </c>
      <c r="F1977">
        <f>IF(ISBLANK('ENGAGEMENTS 2026'!C1977),"",'ENGAGEMENTS 2026'!J1977)</f>
        <v/>
      </c>
      <c r="G1977">
        <f>IF(ISBLANK('ENGAGEMENTS 2026'!C1977),"",'ENGAGEMENTS 2026'!M1977)</f>
        <v/>
      </c>
      <c r="H1977">
        <f>IF(ISBLANK('ENGAGEMENTS 2026'!C1977),"",'ENGAGEMENTS 2026'!AF1977)</f>
        <v/>
      </c>
      <c r="I1977">
        <f>IF(ISBLANK('ENGAGEMENTS 2026'!C1977),"",'ENGAGEMENTS 2026'!H1977)</f>
        <v/>
      </c>
      <c r="J1977" s="275">
        <f>IF(ISBLANK('ENGAGEMENTS 2026'!C1977),"",IF(AND(OR($E1977="INFRUCTUEUX",$E1977="ANNULE"),$C1977="AOO-M"),'ENGAGEMENTS 2026'!P1977,IF($H1977="EN COURS DE PREENGAGEMENT",'ENGAGEMENTS 2026'!O1977,IF($H1977="PREENGAGE",IF($E1977="ATTRIBUE",'ENGAGEMENTS 2026'!AE1977,'ENGAGEMENTS 2026'!O1977),'ENGAGEMENTS 2026'!AE1977))))</f>
        <v/>
      </c>
      <c r="K1977" s="604">
        <f>IF(ISBLANK('ENGAGEMENTS 2026'!W1977),"",'ENGAGEMENTS 2026'!W1977)</f>
        <v/>
      </c>
      <c r="L1977" s="276">
        <f>IF($K1977="","",TODAY()-$K1977)</f>
        <v/>
      </c>
      <c r="M1977">
        <f>IF($A1977="","",IF($H1977="ENGAGE","Engagé",IF(AND($H1977="NON ENGAGE",OR($I1977="INFRUCTUEUX",$I1977="ANNULE")),"Clôturé sans suite","En cours")))</f>
        <v/>
      </c>
      <c r="N1977">
        <f>IF(ISBLANK('ENGAGEMENTS 2026'!C1977),"",'ENGAGEMENTS 2026'!L1977)</f>
        <v/>
      </c>
      <c r="O1977">
        <f>IF(ISBLANK('ENGAGEMENTS 2026'!C1977),"",'ENGAGEMENTS 2026'!M1977)</f>
        <v/>
      </c>
      <c r="P1977">
        <f>IF(ISBLANK('ENGAGEMENTS 2026'!C1977),"",'ENGAGEMENTS 2026'!K1977)</f>
        <v/>
      </c>
      <c r="Q1977">
        <f>IF($A1977="","",IF(OR($E1977="INFRUCTUEUX",$E1977="ANNULE"),$A1977&amp;"|"&amp;(COUNTIFS($A$2:$A1977,$A1977,$E$2:$E1977,"INFRUCTUEUX")+COUNTIFS($A$2:$A1977,$A1977,$E$2:$E1977,"ANNULE")),""))</f>
        <v/>
      </c>
    </row>
    <row r="1978">
      <c r="A1978">
        <f>IF(ISBLANK('ENGAGEMENTS 2026'!C1978),"",IF('ENGAGEMENTS 2026'!C1978="DTSI","DCT",'ENGAGEMENTS 2026'!C1978))</f>
        <v/>
      </c>
      <c r="B1978">
        <f>IF(ISBLANK('ENGAGEMENTS 2026'!C1978),"",'ENGAGEMENTS 2026'!D1978)</f>
        <v/>
      </c>
      <c r="C1978">
        <f>IF(ISBLANK('ENGAGEMENTS 2026'!C1978),"",'ENGAGEMENTS 2026'!E1978)</f>
        <v/>
      </c>
      <c r="D1978">
        <f>IF(ISBLANK('ENGAGEMENTS 2026'!C1978),"",'ENGAGEMENTS 2026'!G1978)</f>
        <v/>
      </c>
      <c r="E1978">
        <f>IF(ISBLANK('ENGAGEMENTS 2026'!C1978),"",'ENGAGEMENTS 2026'!I1978)</f>
        <v/>
      </c>
      <c r="F1978">
        <f>IF(ISBLANK('ENGAGEMENTS 2026'!C1978),"",'ENGAGEMENTS 2026'!J1978)</f>
        <v/>
      </c>
      <c r="G1978">
        <f>IF(ISBLANK('ENGAGEMENTS 2026'!C1978),"",'ENGAGEMENTS 2026'!M1978)</f>
        <v/>
      </c>
      <c r="H1978">
        <f>IF(ISBLANK('ENGAGEMENTS 2026'!C1978),"",'ENGAGEMENTS 2026'!AF1978)</f>
        <v/>
      </c>
      <c r="I1978">
        <f>IF(ISBLANK('ENGAGEMENTS 2026'!C1978),"",'ENGAGEMENTS 2026'!H1978)</f>
        <v/>
      </c>
      <c r="J1978" s="275">
        <f>IF(ISBLANK('ENGAGEMENTS 2026'!C1978),"",IF(AND(OR($E1978="INFRUCTUEUX",$E1978="ANNULE"),$C1978="AOO-M"),'ENGAGEMENTS 2026'!P1978,IF($H1978="EN COURS DE PREENGAGEMENT",'ENGAGEMENTS 2026'!O1978,IF($H1978="PREENGAGE",IF($E1978="ATTRIBUE",'ENGAGEMENTS 2026'!AE1978,'ENGAGEMENTS 2026'!O1978),'ENGAGEMENTS 2026'!AE1978))))</f>
        <v/>
      </c>
      <c r="K1978" s="604">
        <f>IF(ISBLANK('ENGAGEMENTS 2026'!W1978),"",'ENGAGEMENTS 2026'!W1978)</f>
        <v/>
      </c>
      <c r="L1978" s="276">
        <f>IF($K1978="","",TODAY()-$K1978)</f>
        <v/>
      </c>
      <c r="M1978">
        <f>IF($A1978="","",IF($H1978="ENGAGE","Engagé",IF(AND($H1978="NON ENGAGE",OR($I1978="INFRUCTUEUX",$I1978="ANNULE")),"Clôturé sans suite","En cours")))</f>
        <v/>
      </c>
      <c r="N1978">
        <f>IF(ISBLANK('ENGAGEMENTS 2026'!C1978),"",'ENGAGEMENTS 2026'!L1978)</f>
        <v/>
      </c>
      <c r="O1978">
        <f>IF(ISBLANK('ENGAGEMENTS 2026'!C1978),"",'ENGAGEMENTS 2026'!M1978)</f>
        <v/>
      </c>
      <c r="P1978">
        <f>IF(ISBLANK('ENGAGEMENTS 2026'!C1978),"",'ENGAGEMENTS 2026'!K1978)</f>
        <v/>
      </c>
      <c r="Q1978">
        <f>IF($A1978="","",IF(OR($E1978="INFRUCTUEUX",$E1978="ANNULE"),$A1978&amp;"|"&amp;(COUNTIFS($A$2:$A1978,$A1978,$E$2:$E1978,"INFRUCTUEUX")+COUNTIFS($A$2:$A1978,$A1978,$E$2:$E1978,"ANNULE")),""))</f>
        <v/>
      </c>
    </row>
    <row r="1979">
      <c r="A1979">
        <f>IF(ISBLANK('ENGAGEMENTS 2026'!C1979),"",IF('ENGAGEMENTS 2026'!C1979="DTSI","DCT",'ENGAGEMENTS 2026'!C1979))</f>
        <v/>
      </c>
      <c r="B1979">
        <f>IF(ISBLANK('ENGAGEMENTS 2026'!C1979),"",'ENGAGEMENTS 2026'!D1979)</f>
        <v/>
      </c>
      <c r="C1979">
        <f>IF(ISBLANK('ENGAGEMENTS 2026'!C1979),"",'ENGAGEMENTS 2026'!E1979)</f>
        <v/>
      </c>
      <c r="D1979">
        <f>IF(ISBLANK('ENGAGEMENTS 2026'!C1979),"",'ENGAGEMENTS 2026'!G1979)</f>
        <v/>
      </c>
      <c r="E1979">
        <f>IF(ISBLANK('ENGAGEMENTS 2026'!C1979),"",'ENGAGEMENTS 2026'!I1979)</f>
        <v/>
      </c>
      <c r="F1979">
        <f>IF(ISBLANK('ENGAGEMENTS 2026'!C1979),"",'ENGAGEMENTS 2026'!J1979)</f>
        <v/>
      </c>
      <c r="G1979">
        <f>IF(ISBLANK('ENGAGEMENTS 2026'!C1979),"",'ENGAGEMENTS 2026'!M1979)</f>
        <v/>
      </c>
      <c r="H1979">
        <f>IF(ISBLANK('ENGAGEMENTS 2026'!C1979),"",'ENGAGEMENTS 2026'!AF1979)</f>
        <v/>
      </c>
      <c r="I1979">
        <f>IF(ISBLANK('ENGAGEMENTS 2026'!C1979),"",'ENGAGEMENTS 2026'!H1979)</f>
        <v/>
      </c>
      <c r="J1979" s="275">
        <f>IF(ISBLANK('ENGAGEMENTS 2026'!C1979),"",IF(AND(OR($E1979="INFRUCTUEUX",$E1979="ANNULE"),$C1979="AOO-M"),'ENGAGEMENTS 2026'!P1979,IF($H1979="EN COURS DE PREENGAGEMENT",'ENGAGEMENTS 2026'!O1979,IF($H1979="PREENGAGE",IF($E1979="ATTRIBUE",'ENGAGEMENTS 2026'!AE1979,'ENGAGEMENTS 2026'!O1979),'ENGAGEMENTS 2026'!AE1979))))</f>
        <v/>
      </c>
      <c r="K1979" s="604">
        <f>IF(ISBLANK('ENGAGEMENTS 2026'!W1979),"",'ENGAGEMENTS 2026'!W1979)</f>
        <v/>
      </c>
      <c r="L1979" s="276">
        <f>IF($K1979="","",TODAY()-$K1979)</f>
        <v/>
      </c>
      <c r="M1979">
        <f>IF($A1979="","",IF($H1979="ENGAGE","Engagé",IF(AND($H1979="NON ENGAGE",OR($I1979="INFRUCTUEUX",$I1979="ANNULE")),"Clôturé sans suite","En cours")))</f>
        <v/>
      </c>
      <c r="N1979">
        <f>IF(ISBLANK('ENGAGEMENTS 2026'!C1979),"",'ENGAGEMENTS 2026'!L1979)</f>
        <v/>
      </c>
      <c r="O1979">
        <f>IF(ISBLANK('ENGAGEMENTS 2026'!C1979),"",'ENGAGEMENTS 2026'!M1979)</f>
        <v/>
      </c>
      <c r="P1979">
        <f>IF(ISBLANK('ENGAGEMENTS 2026'!C1979),"",'ENGAGEMENTS 2026'!K1979)</f>
        <v/>
      </c>
      <c r="Q1979">
        <f>IF($A1979="","",IF(OR($E1979="INFRUCTUEUX",$E1979="ANNULE"),$A1979&amp;"|"&amp;(COUNTIFS($A$2:$A1979,$A1979,$E$2:$E1979,"INFRUCTUEUX")+COUNTIFS($A$2:$A1979,$A1979,$E$2:$E1979,"ANNULE")),""))</f>
        <v/>
      </c>
    </row>
    <row r="1980">
      <c r="A1980">
        <f>IF(ISBLANK('ENGAGEMENTS 2026'!C1980),"",IF('ENGAGEMENTS 2026'!C1980="DTSI","DCT",'ENGAGEMENTS 2026'!C1980))</f>
        <v/>
      </c>
      <c r="B1980">
        <f>IF(ISBLANK('ENGAGEMENTS 2026'!C1980),"",'ENGAGEMENTS 2026'!D1980)</f>
        <v/>
      </c>
      <c r="C1980">
        <f>IF(ISBLANK('ENGAGEMENTS 2026'!C1980),"",'ENGAGEMENTS 2026'!E1980)</f>
        <v/>
      </c>
      <c r="D1980">
        <f>IF(ISBLANK('ENGAGEMENTS 2026'!C1980),"",'ENGAGEMENTS 2026'!G1980)</f>
        <v/>
      </c>
      <c r="E1980">
        <f>IF(ISBLANK('ENGAGEMENTS 2026'!C1980),"",'ENGAGEMENTS 2026'!I1980)</f>
        <v/>
      </c>
      <c r="F1980">
        <f>IF(ISBLANK('ENGAGEMENTS 2026'!C1980),"",'ENGAGEMENTS 2026'!J1980)</f>
        <v/>
      </c>
      <c r="G1980">
        <f>IF(ISBLANK('ENGAGEMENTS 2026'!C1980),"",'ENGAGEMENTS 2026'!M1980)</f>
        <v/>
      </c>
      <c r="H1980">
        <f>IF(ISBLANK('ENGAGEMENTS 2026'!C1980),"",'ENGAGEMENTS 2026'!AF1980)</f>
        <v/>
      </c>
      <c r="I1980">
        <f>IF(ISBLANK('ENGAGEMENTS 2026'!C1980),"",'ENGAGEMENTS 2026'!H1980)</f>
        <v/>
      </c>
      <c r="J1980" s="275">
        <f>IF(ISBLANK('ENGAGEMENTS 2026'!C1980),"",IF(AND(OR($E1980="INFRUCTUEUX",$E1980="ANNULE"),$C1980="AOO-M"),'ENGAGEMENTS 2026'!P1980,IF($H1980="EN COURS DE PREENGAGEMENT",'ENGAGEMENTS 2026'!O1980,IF($H1980="PREENGAGE",IF($E1980="ATTRIBUE",'ENGAGEMENTS 2026'!AE1980,'ENGAGEMENTS 2026'!O1980),'ENGAGEMENTS 2026'!AE1980))))</f>
        <v/>
      </c>
      <c r="K1980" s="604">
        <f>IF(ISBLANK('ENGAGEMENTS 2026'!W1980),"",'ENGAGEMENTS 2026'!W1980)</f>
        <v/>
      </c>
      <c r="L1980" s="276">
        <f>IF($K1980="","",TODAY()-$K1980)</f>
        <v/>
      </c>
      <c r="M1980">
        <f>IF($A1980="","",IF($H1980="ENGAGE","Engagé",IF(AND($H1980="NON ENGAGE",OR($I1980="INFRUCTUEUX",$I1980="ANNULE")),"Clôturé sans suite","En cours")))</f>
        <v/>
      </c>
      <c r="N1980">
        <f>IF(ISBLANK('ENGAGEMENTS 2026'!C1980),"",'ENGAGEMENTS 2026'!L1980)</f>
        <v/>
      </c>
      <c r="O1980">
        <f>IF(ISBLANK('ENGAGEMENTS 2026'!C1980),"",'ENGAGEMENTS 2026'!M1980)</f>
        <v/>
      </c>
      <c r="P1980">
        <f>IF(ISBLANK('ENGAGEMENTS 2026'!C1980),"",'ENGAGEMENTS 2026'!K1980)</f>
        <v/>
      </c>
      <c r="Q1980">
        <f>IF($A1980="","",IF(OR($E1980="INFRUCTUEUX",$E1980="ANNULE"),$A1980&amp;"|"&amp;(COUNTIFS($A$2:$A1980,$A1980,$E$2:$E1980,"INFRUCTUEUX")+COUNTIFS($A$2:$A1980,$A1980,$E$2:$E1980,"ANNULE")),""))</f>
        <v/>
      </c>
    </row>
    <row r="1981">
      <c r="A1981">
        <f>IF(ISBLANK('ENGAGEMENTS 2026'!C1981),"",IF('ENGAGEMENTS 2026'!C1981="DTSI","DCT",'ENGAGEMENTS 2026'!C1981))</f>
        <v/>
      </c>
      <c r="B1981">
        <f>IF(ISBLANK('ENGAGEMENTS 2026'!C1981),"",'ENGAGEMENTS 2026'!D1981)</f>
        <v/>
      </c>
      <c r="C1981">
        <f>IF(ISBLANK('ENGAGEMENTS 2026'!C1981),"",'ENGAGEMENTS 2026'!E1981)</f>
        <v/>
      </c>
      <c r="D1981">
        <f>IF(ISBLANK('ENGAGEMENTS 2026'!C1981),"",'ENGAGEMENTS 2026'!G1981)</f>
        <v/>
      </c>
      <c r="E1981">
        <f>IF(ISBLANK('ENGAGEMENTS 2026'!C1981),"",'ENGAGEMENTS 2026'!I1981)</f>
        <v/>
      </c>
      <c r="F1981">
        <f>IF(ISBLANK('ENGAGEMENTS 2026'!C1981),"",'ENGAGEMENTS 2026'!J1981)</f>
        <v/>
      </c>
      <c r="G1981">
        <f>IF(ISBLANK('ENGAGEMENTS 2026'!C1981),"",'ENGAGEMENTS 2026'!M1981)</f>
        <v/>
      </c>
      <c r="H1981">
        <f>IF(ISBLANK('ENGAGEMENTS 2026'!C1981),"",'ENGAGEMENTS 2026'!AF1981)</f>
        <v/>
      </c>
      <c r="I1981">
        <f>IF(ISBLANK('ENGAGEMENTS 2026'!C1981),"",'ENGAGEMENTS 2026'!H1981)</f>
        <v/>
      </c>
      <c r="J1981" s="275">
        <f>IF(ISBLANK('ENGAGEMENTS 2026'!C1981),"",IF(AND(OR($E1981="INFRUCTUEUX",$E1981="ANNULE"),$C1981="AOO-M"),'ENGAGEMENTS 2026'!P1981,IF($H1981="EN COURS DE PREENGAGEMENT",'ENGAGEMENTS 2026'!O1981,IF($H1981="PREENGAGE",IF($E1981="ATTRIBUE",'ENGAGEMENTS 2026'!AE1981,'ENGAGEMENTS 2026'!O1981),'ENGAGEMENTS 2026'!AE1981))))</f>
        <v/>
      </c>
      <c r="K1981" s="604">
        <f>IF(ISBLANK('ENGAGEMENTS 2026'!W1981),"",'ENGAGEMENTS 2026'!W1981)</f>
        <v/>
      </c>
      <c r="L1981" s="276">
        <f>IF($K1981="","",TODAY()-$K1981)</f>
        <v/>
      </c>
      <c r="M1981">
        <f>IF($A1981="","",IF($H1981="ENGAGE","Engagé",IF(AND($H1981="NON ENGAGE",OR($I1981="INFRUCTUEUX",$I1981="ANNULE")),"Clôturé sans suite","En cours")))</f>
        <v/>
      </c>
      <c r="N1981">
        <f>IF(ISBLANK('ENGAGEMENTS 2026'!C1981),"",'ENGAGEMENTS 2026'!L1981)</f>
        <v/>
      </c>
      <c r="O1981">
        <f>IF(ISBLANK('ENGAGEMENTS 2026'!C1981),"",'ENGAGEMENTS 2026'!M1981)</f>
        <v/>
      </c>
      <c r="P1981">
        <f>IF(ISBLANK('ENGAGEMENTS 2026'!C1981),"",'ENGAGEMENTS 2026'!K1981)</f>
        <v/>
      </c>
      <c r="Q1981">
        <f>IF($A1981="","",IF(OR($E1981="INFRUCTUEUX",$E1981="ANNULE"),$A1981&amp;"|"&amp;(COUNTIFS($A$2:$A1981,$A1981,$E$2:$E1981,"INFRUCTUEUX")+COUNTIFS($A$2:$A1981,$A1981,$E$2:$E1981,"ANNULE")),""))</f>
        <v/>
      </c>
    </row>
    <row r="1982">
      <c r="A1982">
        <f>IF(ISBLANK('ENGAGEMENTS 2026'!C1982),"",IF('ENGAGEMENTS 2026'!C1982="DTSI","DCT",'ENGAGEMENTS 2026'!C1982))</f>
        <v/>
      </c>
      <c r="B1982">
        <f>IF(ISBLANK('ENGAGEMENTS 2026'!C1982),"",'ENGAGEMENTS 2026'!D1982)</f>
        <v/>
      </c>
      <c r="C1982">
        <f>IF(ISBLANK('ENGAGEMENTS 2026'!C1982),"",'ENGAGEMENTS 2026'!E1982)</f>
        <v/>
      </c>
      <c r="D1982">
        <f>IF(ISBLANK('ENGAGEMENTS 2026'!C1982),"",'ENGAGEMENTS 2026'!G1982)</f>
        <v/>
      </c>
      <c r="E1982">
        <f>IF(ISBLANK('ENGAGEMENTS 2026'!C1982),"",'ENGAGEMENTS 2026'!I1982)</f>
        <v/>
      </c>
      <c r="F1982">
        <f>IF(ISBLANK('ENGAGEMENTS 2026'!C1982),"",'ENGAGEMENTS 2026'!J1982)</f>
        <v/>
      </c>
      <c r="G1982">
        <f>IF(ISBLANK('ENGAGEMENTS 2026'!C1982),"",'ENGAGEMENTS 2026'!M1982)</f>
        <v/>
      </c>
      <c r="H1982">
        <f>IF(ISBLANK('ENGAGEMENTS 2026'!C1982),"",'ENGAGEMENTS 2026'!AF1982)</f>
        <v/>
      </c>
      <c r="I1982">
        <f>IF(ISBLANK('ENGAGEMENTS 2026'!C1982),"",'ENGAGEMENTS 2026'!H1982)</f>
        <v/>
      </c>
      <c r="J1982" s="275">
        <f>IF(ISBLANK('ENGAGEMENTS 2026'!C1982),"",IF(AND(OR($E1982="INFRUCTUEUX",$E1982="ANNULE"),$C1982="AOO-M"),'ENGAGEMENTS 2026'!P1982,IF($H1982="EN COURS DE PREENGAGEMENT",'ENGAGEMENTS 2026'!O1982,IF($H1982="PREENGAGE",IF($E1982="ATTRIBUE",'ENGAGEMENTS 2026'!AE1982,'ENGAGEMENTS 2026'!O1982),'ENGAGEMENTS 2026'!AE1982))))</f>
        <v/>
      </c>
      <c r="K1982" s="604">
        <f>IF(ISBLANK('ENGAGEMENTS 2026'!W1982),"",'ENGAGEMENTS 2026'!W1982)</f>
        <v/>
      </c>
      <c r="L1982" s="276">
        <f>IF($K1982="","",TODAY()-$K1982)</f>
        <v/>
      </c>
      <c r="M1982">
        <f>IF($A1982="","",IF($H1982="ENGAGE","Engagé",IF(AND($H1982="NON ENGAGE",OR($I1982="INFRUCTUEUX",$I1982="ANNULE")),"Clôturé sans suite","En cours")))</f>
        <v/>
      </c>
      <c r="N1982">
        <f>IF(ISBLANK('ENGAGEMENTS 2026'!C1982),"",'ENGAGEMENTS 2026'!L1982)</f>
        <v/>
      </c>
      <c r="O1982">
        <f>IF(ISBLANK('ENGAGEMENTS 2026'!C1982),"",'ENGAGEMENTS 2026'!M1982)</f>
        <v/>
      </c>
      <c r="P1982">
        <f>IF(ISBLANK('ENGAGEMENTS 2026'!C1982),"",'ENGAGEMENTS 2026'!K1982)</f>
        <v/>
      </c>
      <c r="Q1982">
        <f>IF($A1982="","",IF(OR($E1982="INFRUCTUEUX",$E1982="ANNULE"),$A1982&amp;"|"&amp;(COUNTIFS($A$2:$A1982,$A1982,$E$2:$E1982,"INFRUCTUEUX")+COUNTIFS($A$2:$A1982,$A1982,$E$2:$E1982,"ANNULE")),""))</f>
        <v/>
      </c>
    </row>
    <row r="1983">
      <c r="A1983">
        <f>IF(ISBLANK('ENGAGEMENTS 2026'!C1983),"",IF('ENGAGEMENTS 2026'!C1983="DTSI","DCT",'ENGAGEMENTS 2026'!C1983))</f>
        <v/>
      </c>
      <c r="B1983">
        <f>IF(ISBLANK('ENGAGEMENTS 2026'!C1983),"",'ENGAGEMENTS 2026'!D1983)</f>
        <v/>
      </c>
      <c r="C1983">
        <f>IF(ISBLANK('ENGAGEMENTS 2026'!C1983),"",'ENGAGEMENTS 2026'!E1983)</f>
        <v/>
      </c>
      <c r="D1983">
        <f>IF(ISBLANK('ENGAGEMENTS 2026'!C1983),"",'ENGAGEMENTS 2026'!G1983)</f>
        <v/>
      </c>
      <c r="E1983">
        <f>IF(ISBLANK('ENGAGEMENTS 2026'!C1983),"",'ENGAGEMENTS 2026'!I1983)</f>
        <v/>
      </c>
      <c r="F1983">
        <f>IF(ISBLANK('ENGAGEMENTS 2026'!C1983),"",'ENGAGEMENTS 2026'!J1983)</f>
        <v/>
      </c>
      <c r="G1983">
        <f>IF(ISBLANK('ENGAGEMENTS 2026'!C1983),"",'ENGAGEMENTS 2026'!M1983)</f>
        <v/>
      </c>
      <c r="H1983">
        <f>IF(ISBLANK('ENGAGEMENTS 2026'!C1983),"",'ENGAGEMENTS 2026'!AF1983)</f>
        <v/>
      </c>
      <c r="I1983">
        <f>IF(ISBLANK('ENGAGEMENTS 2026'!C1983),"",'ENGAGEMENTS 2026'!H1983)</f>
        <v/>
      </c>
      <c r="J1983" s="275">
        <f>IF(ISBLANK('ENGAGEMENTS 2026'!C1983),"",IF(AND(OR($E1983="INFRUCTUEUX",$E1983="ANNULE"),$C1983="AOO-M"),'ENGAGEMENTS 2026'!P1983,IF($H1983="EN COURS DE PREENGAGEMENT",'ENGAGEMENTS 2026'!O1983,IF($H1983="PREENGAGE",IF($E1983="ATTRIBUE",'ENGAGEMENTS 2026'!AE1983,'ENGAGEMENTS 2026'!O1983),'ENGAGEMENTS 2026'!AE1983))))</f>
        <v/>
      </c>
      <c r="K1983" s="604">
        <f>IF(ISBLANK('ENGAGEMENTS 2026'!W1983),"",'ENGAGEMENTS 2026'!W1983)</f>
        <v/>
      </c>
      <c r="L1983" s="276">
        <f>IF($K1983="","",TODAY()-$K1983)</f>
        <v/>
      </c>
      <c r="M1983">
        <f>IF($A1983="","",IF($H1983="ENGAGE","Engagé",IF(AND($H1983="NON ENGAGE",OR($I1983="INFRUCTUEUX",$I1983="ANNULE")),"Clôturé sans suite","En cours")))</f>
        <v/>
      </c>
      <c r="N1983">
        <f>IF(ISBLANK('ENGAGEMENTS 2026'!C1983),"",'ENGAGEMENTS 2026'!L1983)</f>
        <v/>
      </c>
      <c r="O1983">
        <f>IF(ISBLANK('ENGAGEMENTS 2026'!C1983),"",'ENGAGEMENTS 2026'!M1983)</f>
        <v/>
      </c>
      <c r="P1983">
        <f>IF(ISBLANK('ENGAGEMENTS 2026'!C1983),"",'ENGAGEMENTS 2026'!K1983)</f>
        <v/>
      </c>
      <c r="Q1983">
        <f>IF($A1983="","",IF(OR($E1983="INFRUCTUEUX",$E1983="ANNULE"),$A1983&amp;"|"&amp;(COUNTIFS($A$2:$A1983,$A1983,$E$2:$E1983,"INFRUCTUEUX")+COUNTIFS($A$2:$A1983,$A1983,$E$2:$E1983,"ANNULE")),""))</f>
        <v/>
      </c>
    </row>
    <row r="1984">
      <c r="A1984">
        <f>IF(ISBLANK('ENGAGEMENTS 2026'!C1984),"",IF('ENGAGEMENTS 2026'!C1984="DTSI","DCT",'ENGAGEMENTS 2026'!C1984))</f>
        <v/>
      </c>
      <c r="B1984">
        <f>IF(ISBLANK('ENGAGEMENTS 2026'!C1984),"",'ENGAGEMENTS 2026'!D1984)</f>
        <v/>
      </c>
      <c r="C1984">
        <f>IF(ISBLANK('ENGAGEMENTS 2026'!C1984),"",'ENGAGEMENTS 2026'!E1984)</f>
        <v/>
      </c>
      <c r="D1984">
        <f>IF(ISBLANK('ENGAGEMENTS 2026'!C1984),"",'ENGAGEMENTS 2026'!G1984)</f>
        <v/>
      </c>
      <c r="E1984">
        <f>IF(ISBLANK('ENGAGEMENTS 2026'!C1984),"",'ENGAGEMENTS 2026'!I1984)</f>
        <v/>
      </c>
      <c r="F1984">
        <f>IF(ISBLANK('ENGAGEMENTS 2026'!C1984),"",'ENGAGEMENTS 2026'!J1984)</f>
        <v/>
      </c>
      <c r="G1984">
        <f>IF(ISBLANK('ENGAGEMENTS 2026'!C1984),"",'ENGAGEMENTS 2026'!M1984)</f>
        <v/>
      </c>
      <c r="H1984">
        <f>IF(ISBLANK('ENGAGEMENTS 2026'!C1984),"",'ENGAGEMENTS 2026'!AF1984)</f>
        <v/>
      </c>
      <c r="I1984">
        <f>IF(ISBLANK('ENGAGEMENTS 2026'!C1984),"",'ENGAGEMENTS 2026'!H1984)</f>
        <v/>
      </c>
      <c r="J1984" s="275">
        <f>IF(ISBLANK('ENGAGEMENTS 2026'!C1984),"",IF(AND(OR($E1984="INFRUCTUEUX",$E1984="ANNULE"),$C1984="AOO-M"),'ENGAGEMENTS 2026'!P1984,IF($H1984="EN COURS DE PREENGAGEMENT",'ENGAGEMENTS 2026'!O1984,IF($H1984="PREENGAGE",IF($E1984="ATTRIBUE",'ENGAGEMENTS 2026'!AE1984,'ENGAGEMENTS 2026'!O1984),'ENGAGEMENTS 2026'!AE1984))))</f>
        <v/>
      </c>
      <c r="K1984" s="604">
        <f>IF(ISBLANK('ENGAGEMENTS 2026'!W1984),"",'ENGAGEMENTS 2026'!W1984)</f>
        <v/>
      </c>
      <c r="L1984" s="276">
        <f>IF($K1984="","",TODAY()-$K1984)</f>
        <v/>
      </c>
      <c r="M1984">
        <f>IF($A1984="","",IF($H1984="ENGAGE","Engagé",IF(AND($H1984="NON ENGAGE",OR($I1984="INFRUCTUEUX",$I1984="ANNULE")),"Clôturé sans suite","En cours")))</f>
        <v/>
      </c>
      <c r="N1984">
        <f>IF(ISBLANK('ENGAGEMENTS 2026'!C1984),"",'ENGAGEMENTS 2026'!L1984)</f>
        <v/>
      </c>
      <c r="O1984">
        <f>IF(ISBLANK('ENGAGEMENTS 2026'!C1984),"",'ENGAGEMENTS 2026'!M1984)</f>
        <v/>
      </c>
      <c r="P1984">
        <f>IF(ISBLANK('ENGAGEMENTS 2026'!C1984),"",'ENGAGEMENTS 2026'!K1984)</f>
        <v/>
      </c>
      <c r="Q1984">
        <f>IF($A1984="","",IF(OR($E1984="INFRUCTUEUX",$E1984="ANNULE"),$A1984&amp;"|"&amp;(COUNTIFS($A$2:$A1984,$A1984,$E$2:$E1984,"INFRUCTUEUX")+COUNTIFS($A$2:$A1984,$A1984,$E$2:$E1984,"ANNULE")),""))</f>
        <v/>
      </c>
    </row>
    <row r="1985">
      <c r="A1985">
        <f>IF(ISBLANK('ENGAGEMENTS 2026'!C1985),"",IF('ENGAGEMENTS 2026'!C1985="DTSI","DCT",'ENGAGEMENTS 2026'!C1985))</f>
        <v/>
      </c>
      <c r="B1985">
        <f>IF(ISBLANK('ENGAGEMENTS 2026'!C1985),"",'ENGAGEMENTS 2026'!D1985)</f>
        <v/>
      </c>
      <c r="C1985">
        <f>IF(ISBLANK('ENGAGEMENTS 2026'!C1985),"",'ENGAGEMENTS 2026'!E1985)</f>
        <v/>
      </c>
      <c r="D1985">
        <f>IF(ISBLANK('ENGAGEMENTS 2026'!C1985),"",'ENGAGEMENTS 2026'!G1985)</f>
        <v/>
      </c>
      <c r="E1985">
        <f>IF(ISBLANK('ENGAGEMENTS 2026'!C1985),"",'ENGAGEMENTS 2026'!I1985)</f>
        <v/>
      </c>
      <c r="F1985">
        <f>IF(ISBLANK('ENGAGEMENTS 2026'!C1985),"",'ENGAGEMENTS 2026'!J1985)</f>
        <v/>
      </c>
      <c r="G1985">
        <f>IF(ISBLANK('ENGAGEMENTS 2026'!C1985),"",'ENGAGEMENTS 2026'!M1985)</f>
        <v/>
      </c>
      <c r="H1985">
        <f>IF(ISBLANK('ENGAGEMENTS 2026'!C1985),"",'ENGAGEMENTS 2026'!AF1985)</f>
        <v/>
      </c>
      <c r="I1985">
        <f>IF(ISBLANK('ENGAGEMENTS 2026'!C1985),"",'ENGAGEMENTS 2026'!H1985)</f>
        <v/>
      </c>
      <c r="J1985" s="275">
        <f>IF(ISBLANK('ENGAGEMENTS 2026'!C1985),"",IF(AND(OR($E1985="INFRUCTUEUX",$E1985="ANNULE"),$C1985="AOO-M"),'ENGAGEMENTS 2026'!P1985,IF($H1985="EN COURS DE PREENGAGEMENT",'ENGAGEMENTS 2026'!O1985,IF($H1985="PREENGAGE",IF($E1985="ATTRIBUE",'ENGAGEMENTS 2026'!AE1985,'ENGAGEMENTS 2026'!O1985),'ENGAGEMENTS 2026'!AE1985))))</f>
        <v/>
      </c>
      <c r="K1985" s="604">
        <f>IF(ISBLANK('ENGAGEMENTS 2026'!W1985),"",'ENGAGEMENTS 2026'!W1985)</f>
        <v/>
      </c>
      <c r="L1985" s="276">
        <f>IF($K1985="","",TODAY()-$K1985)</f>
        <v/>
      </c>
      <c r="M1985">
        <f>IF($A1985="","",IF($H1985="ENGAGE","Engagé",IF(AND($H1985="NON ENGAGE",OR($I1985="INFRUCTUEUX",$I1985="ANNULE")),"Clôturé sans suite","En cours")))</f>
        <v/>
      </c>
      <c r="N1985">
        <f>IF(ISBLANK('ENGAGEMENTS 2026'!C1985),"",'ENGAGEMENTS 2026'!L1985)</f>
        <v/>
      </c>
      <c r="O1985">
        <f>IF(ISBLANK('ENGAGEMENTS 2026'!C1985),"",'ENGAGEMENTS 2026'!M1985)</f>
        <v/>
      </c>
      <c r="P1985">
        <f>IF(ISBLANK('ENGAGEMENTS 2026'!C1985),"",'ENGAGEMENTS 2026'!K1985)</f>
        <v/>
      </c>
      <c r="Q1985">
        <f>IF($A1985="","",IF(OR($E1985="INFRUCTUEUX",$E1985="ANNULE"),$A1985&amp;"|"&amp;(COUNTIFS($A$2:$A1985,$A1985,$E$2:$E1985,"INFRUCTUEUX")+COUNTIFS($A$2:$A1985,$A1985,$E$2:$E1985,"ANNULE")),""))</f>
        <v/>
      </c>
    </row>
    <row r="1986">
      <c r="A1986">
        <f>IF(ISBLANK('ENGAGEMENTS 2026'!C1986),"",IF('ENGAGEMENTS 2026'!C1986="DTSI","DCT",'ENGAGEMENTS 2026'!C1986))</f>
        <v/>
      </c>
      <c r="B1986">
        <f>IF(ISBLANK('ENGAGEMENTS 2026'!C1986),"",'ENGAGEMENTS 2026'!D1986)</f>
        <v/>
      </c>
      <c r="C1986">
        <f>IF(ISBLANK('ENGAGEMENTS 2026'!C1986),"",'ENGAGEMENTS 2026'!E1986)</f>
        <v/>
      </c>
      <c r="D1986">
        <f>IF(ISBLANK('ENGAGEMENTS 2026'!C1986),"",'ENGAGEMENTS 2026'!G1986)</f>
        <v/>
      </c>
      <c r="E1986">
        <f>IF(ISBLANK('ENGAGEMENTS 2026'!C1986),"",'ENGAGEMENTS 2026'!I1986)</f>
        <v/>
      </c>
      <c r="F1986">
        <f>IF(ISBLANK('ENGAGEMENTS 2026'!C1986),"",'ENGAGEMENTS 2026'!J1986)</f>
        <v/>
      </c>
      <c r="G1986">
        <f>IF(ISBLANK('ENGAGEMENTS 2026'!C1986),"",'ENGAGEMENTS 2026'!M1986)</f>
        <v/>
      </c>
      <c r="H1986">
        <f>IF(ISBLANK('ENGAGEMENTS 2026'!C1986),"",'ENGAGEMENTS 2026'!AF1986)</f>
        <v/>
      </c>
      <c r="I1986">
        <f>IF(ISBLANK('ENGAGEMENTS 2026'!C1986),"",'ENGAGEMENTS 2026'!H1986)</f>
        <v/>
      </c>
      <c r="J1986" s="275">
        <f>IF(ISBLANK('ENGAGEMENTS 2026'!C1986),"",IF(AND(OR($E1986="INFRUCTUEUX",$E1986="ANNULE"),$C1986="AOO-M"),'ENGAGEMENTS 2026'!P1986,IF($H1986="EN COURS DE PREENGAGEMENT",'ENGAGEMENTS 2026'!O1986,IF($H1986="PREENGAGE",IF($E1986="ATTRIBUE",'ENGAGEMENTS 2026'!AE1986,'ENGAGEMENTS 2026'!O1986),'ENGAGEMENTS 2026'!AE1986))))</f>
        <v/>
      </c>
      <c r="K1986" s="604">
        <f>IF(ISBLANK('ENGAGEMENTS 2026'!W1986),"",'ENGAGEMENTS 2026'!W1986)</f>
        <v/>
      </c>
      <c r="L1986" s="276">
        <f>IF($K1986="","",TODAY()-$K1986)</f>
        <v/>
      </c>
      <c r="M1986">
        <f>IF($A1986="","",IF($H1986="ENGAGE","Engagé",IF(AND($H1986="NON ENGAGE",OR($I1986="INFRUCTUEUX",$I1986="ANNULE")),"Clôturé sans suite","En cours")))</f>
        <v/>
      </c>
      <c r="N1986">
        <f>IF(ISBLANK('ENGAGEMENTS 2026'!C1986),"",'ENGAGEMENTS 2026'!L1986)</f>
        <v/>
      </c>
      <c r="O1986">
        <f>IF(ISBLANK('ENGAGEMENTS 2026'!C1986),"",'ENGAGEMENTS 2026'!M1986)</f>
        <v/>
      </c>
      <c r="P1986">
        <f>IF(ISBLANK('ENGAGEMENTS 2026'!C1986),"",'ENGAGEMENTS 2026'!K1986)</f>
        <v/>
      </c>
      <c r="Q1986">
        <f>IF($A1986="","",IF(OR($E1986="INFRUCTUEUX",$E1986="ANNULE"),$A1986&amp;"|"&amp;(COUNTIFS($A$2:$A1986,$A1986,$E$2:$E1986,"INFRUCTUEUX")+COUNTIFS($A$2:$A1986,$A1986,$E$2:$E1986,"ANNULE")),""))</f>
        <v/>
      </c>
    </row>
    <row r="1987">
      <c r="A1987">
        <f>IF(ISBLANK('ENGAGEMENTS 2026'!C1987),"",IF('ENGAGEMENTS 2026'!C1987="DTSI","DCT",'ENGAGEMENTS 2026'!C1987))</f>
        <v/>
      </c>
      <c r="B1987">
        <f>IF(ISBLANK('ENGAGEMENTS 2026'!C1987),"",'ENGAGEMENTS 2026'!D1987)</f>
        <v/>
      </c>
      <c r="C1987">
        <f>IF(ISBLANK('ENGAGEMENTS 2026'!C1987),"",'ENGAGEMENTS 2026'!E1987)</f>
        <v/>
      </c>
      <c r="D1987">
        <f>IF(ISBLANK('ENGAGEMENTS 2026'!C1987),"",'ENGAGEMENTS 2026'!G1987)</f>
        <v/>
      </c>
      <c r="E1987">
        <f>IF(ISBLANK('ENGAGEMENTS 2026'!C1987),"",'ENGAGEMENTS 2026'!I1987)</f>
        <v/>
      </c>
      <c r="F1987">
        <f>IF(ISBLANK('ENGAGEMENTS 2026'!C1987),"",'ENGAGEMENTS 2026'!J1987)</f>
        <v/>
      </c>
      <c r="G1987">
        <f>IF(ISBLANK('ENGAGEMENTS 2026'!C1987),"",'ENGAGEMENTS 2026'!M1987)</f>
        <v/>
      </c>
      <c r="H1987">
        <f>IF(ISBLANK('ENGAGEMENTS 2026'!C1987),"",'ENGAGEMENTS 2026'!AF1987)</f>
        <v/>
      </c>
      <c r="I1987">
        <f>IF(ISBLANK('ENGAGEMENTS 2026'!C1987),"",'ENGAGEMENTS 2026'!H1987)</f>
        <v/>
      </c>
      <c r="J1987" s="275">
        <f>IF(ISBLANK('ENGAGEMENTS 2026'!C1987),"",IF(AND(OR($E1987="INFRUCTUEUX",$E1987="ANNULE"),$C1987="AOO-M"),'ENGAGEMENTS 2026'!P1987,IF($H1987="EN COURS DE PREENGAGEMENT",'ENGAGEMENTS 2026'!O1987,IF($H1987="PREENGAGE",IF($E1987="ATTRIBUE",'ENGAGEMENTS 2026'!AE1987,'ENGAGEMENTS 2026'!O1987),'ENGAGEMENTS 2026'!AE1987))))</f>
        <v/>
      </c>
      <c r="K1987" s="604">
        <f>IF(ISBLANK('ENGAGEMENTS 2026'!W1987),"",'ENGAGEMENTS 2026'!W1987)</f>
        <v/>
      </c>
      <c r="L1987" s="276">
        <f>IF($K1987="","",TODAY()-$K1987)</f>
        <v/>
      </c>
      <c r="M1987">
        <f>IF($A1987="","",IF($H1987="ENGAGE","Engagé",IF(AND($H1987="NON ENGAGE",OR($I1987="INFRUCTUEUX",$I1987="ANNULE")),"Clôturé sans suite","En cours")))</f>
        <v/>
      </c>
      <c r="N1987">
        <f>IF(ISBLANK('ENGAGEMENTS 2026'!C1987),"",'ENGAGEMENTS 2026'!L1987)</f>
        <v/>
      </c>
      <c r="O1987">
        <f>IF(ISBLANK('ENGAGEMENTS 2026'!C1987),"",'ENGAGEMENTS 2026'!M1987)</f>
        <v/>
      </c>
      <c r="P1987">
        <f>IF(ISBLANK('ENGAGEMENTS 2026'!C1987),"",'ENGAGEMENTS 2026'!K1987)</f>
        <v/>
      </c>
      <c r="Q1987">
        <f>IF($A1987="","",IF(OR($E1987="INFRUCTUEUX",$E1987="ANNULE"),$A1987&amp;"|"&amp;(COUNTIFS($A$2:$A1987,$A1987,$E$2:$E1987,"INFRUCTUEUX")+COUNTIFS($A$2:$A1987,$A1987,$E$2:$E1987,"ANNULE")),""))</f>
        <v/>
      </c>
    </row>
    <row r="1988">
      <c r="A1988">
        <f>IF(ISBLANK('ENGAGEMENTS 2026'!C1988),"",IF('ENGAGEMENTS 2026'!C1988="DTSI","DCT",'ENGAGEMENTS 2026'!C1988))</f>
        <v/>
      </c>
      <c r="B1988">
        <f>IF(ISBLANK('ENGAGEMENTS 2026'!C1988),"",'ENGAGEMENTS 2026'!D1988)</f>
        <v/>
      </c>
      <c r="C1988">
        <f>IF(ISBLANK('ENGAGEMENTS 2026'!C1988),"",'ENGAGEMENTS 2026'!E1988)</f>
        <v/>
      </c>
      <c r="D1988">
        <f>IF(ISBLANK('ENGAGEMENTS 2026'!C1988),"",'ENGAGEMENTS 2026'!G1988)</f>
        <v/>
      </c>
      <c r="E1988">
        <f>IF(ISBLANK('ENGAGEMENTS 2026'!C1988),"",'ENGAGEMENTS 2026'!I1988)</f>
        <v/>
      </c>
      <c r="F1988">
        <f>IF(ISBLANK('ENGAGEMENTS 2026'!C1988),"",'ENGAGEMENTS 2026'!J1988)</f>
        <v/>
      </c>
      <c r="G1988">
        <f>IF(ISBLANK('ENGAGEMENTS 2026'!C1988),"",'ENGAGEMENTS 2026'!M1988)</f>
        <v/>
      </c>
      <c r="H1988">
        <f>IF(ISBLANK('ENGAGEMENTS 2026'!C1988),"",'ENGAGEMENTS 2026'!AF1988)</f>
        <v/>
      </c>
      <c r="I1988">
        <f>IF(ISBLANK('ENGAGEMENTS 2026'!C1988),"",'ENGAGEMENTS 2026'!H1988)</f>
        <v/>
      </c>
      <c r="J1988" s="275">
        <f>IF(ISBLANK('ENGAGEMENTS 2026'!C1988),"",IF(AND(OR($E1988="INFRUCTUEUX",$E1988="ANNULE"),$C1988="AOO-M"),'ENGAGEMENTS 2026'!P1988,IF($H1988="EN COURS DE PREENGAGEMENT",'ENGAGEMENTS 2026'!O1988,IF($H1988="PREENGAGE",IF($E1988="ATTRIBUE",'ENGAGEMENTS 2026'!AE1988,'ENGAGEMENTS 2026'!O1988),'ENGAGEMENTS 2026'!AE1988))))</f>
        <v/>
      </c>
      <c r="K1988" s="604">
        <f>IF(ISBLANK('ENGAGEMENTS 2026'!W1988),"",'ENGAGEMENTS 2026'!W1988)</f>
        <v/>
      </c>
      <c r="L1988" s="276">
        <f>IF($K1988="","",TODAY()-$K1988)</f>
        <v/>
      </c>
      <c r="M1988">
        <f>IF($A1988="","",IF($H1988="ENGAGE","Engagé",IF(AND($H1988="NON ENGAGE",OR($I1988="INFRUCTUEUX",$I1988="ANNULE")),"Clôturé sans suite","En cours")))</f>
        <v/>
      </c>
      <c r="N1988">
        <f>IF(ISBLANK('ENGAGEMENTS 2026'!C1988),"",'ENGAGEMENTS 2026'!L1988)</f>
        <v/>
      </c>
      <c r="O1988">
        <f>IF(ISBLANK('ENGAGEMENTS 2026'!C1988),"",'ENGAGEMENTS 2026'!M1988)</f>
        <v/>
      </c>
      <c r="P1988">
        <f>IF(ISBLANK('ENGAGEMENTS 2026'!C1988),"",'ENGAGEMENTS 2026'!K1988)</f>
        <v/>
      </c>
      <c r="Q1988">
        <f>IF($A1988="","",IF(OR($E1988="INFRUCTUEUX",$E1988="ANNULE"),$A1988&amp;"|"&amp;(COUNTIFS($A$2:$A1988,$A1988,$E$2:$E1988,"INFRUCTUEUX")+COUNTIFS($A$2:$A1988,$A1988,$E$2:$E1988,"ANNULE")),""))</f>
        <v/>
      </c>
    </row>
    <row r="1989">
      <c r="A1989">
        <f>IF(ISBLANK('ENGAGEMENTS 2026'!C1989),"",IF('ENGAGEMENTS 2026'!C1989="DTSI","DCT",'ENGAGEMENTS 2026'!C1989))</f>
        <v/>
      </c>
      <c r="B1989">
        <f>IF(ISBLANK('ENGAGEMENTS 2026'!C1989),"",'ENGAGEMENTS 2026'!D1989)</f>
        <v/>
      </c>
      <c r="C1989">
        <f>IF(ISBLANK('ENGAGEMENTS 2026'!C1989),"",'ENGAGEMENTS 2026'!E1989)</f>
        <v/>
      </c>
      <c r="D1989">
        <f>IF(ISBLANK('ENGAGEMENTS 2026'!C1989),"",'ENGAGEMENTS 2026'!G1989)</f>
        <v/>
      </c>
      <c r="E1989">
        <f>IF(ISBLANK('ENGAGEMENTS 2026'!C1989),"",'ENGAGEMENTS 2026'!I1989)</f>
        <v/>
      </c>
      <c r="F1989">
        <f>IF(ISBLANK('ENGAGEMENTS 2026'!C1989),"",'ENGAGEMENTS 2026'!J1989)</f>
        <v/>
      </c>
      <c r="G1989">
        <f>IF(ISBLANK('ENGAGEMENTS 2026'!C1989),"",'ENGAGEMENTS 2026'!M1989)</f>
        <v/>
      </c>
      <c r="H1989">
        <f>IF(ISBLANK('ENGAGEMENTS 2026'!C1989),"",'ENGAGEMENTS 2026'!AF1989)</f>
        <v/>
      </c>
      <c r="I1989">
        <f>IF(ISBLANK('ENGAGEMENTS 2026'!C1989),"",'ENGAGEMENTS 2026'!H1989)</f>
        <v/>
      </c>
      <c r="J1989" s="275">
        <f>IF(ISBLANK('ENGAGEMENTS 2026'!C1989),"",IF(AND(OR($E1989="INFRUCTUEUX",$E1989="ANNULE"),$C1989="AOO-M"),'ENGAGEMENTS 2026'!P1989,IF($H1989="EN COURS DE PREENGAGEMENT",'ENGAGEMENTS 2026'!O1989,IF($H1989="PREENGAGE",IF($E1989="ATTRIBUE",'ENGAGEMENTS 2026'!AE1989,'ENGAGEMENTS 2026'!O1989),'ENGAGEMENTS 2026'!AE1989))))</f>
        <v/>
      </c>
      <c r="K1989" s="604">
        <f>IF(ISBLANK('ENGAGEMENTS 2026'!W1989),"",'ENGAGEMENTS 2026'!W1989)</f>
        <v/>
      </c>
      <c r="L1989" s="276">
        <f>IF($K1989="","",TODAY()-$K1989)</f>
        <v/>
      </c>
      <c r="M1989">
        <f>IF($A1989="","",IF($H1989="ENGAGE","Engagé",IF(AND($H1989="NON ENGAGE",OR($I1989="INFRUCTUEUX",$I1989="ANNULE")),"Clôturé sans suite","En cours")))</f>
        <v/>
      </c>
      <c r="N1989">
        <f>IF(ISBLANK('ENGAGEMENTS 2026'!C1989),"",'ENGAGEMENTS 2026'!L1989)</f>
        <v/>
      </c>
      <c r="O1989">
        <f>IF(ISBLANK('ENGAGEMENTS 2026'!C1989),"",'ENGAGEMENTS 2026'!M1989)</f>
        <v/>
      </c>
      <c r="P1989">
        <f>IF(ISBLANK('ENGAGEMENTS 2026'!C1989),"",'ENGAGEMENTS 2026'!K1989)</f>
        <v/>
      </c>
      <c r="Q1989">
        <f>IF($A1989="","",IF(OR($E1989="INFRUCTUEUX",$E1989="ANNULE"),$A1989&amp;"|"&amp;(COUNTIFS($A$2:$A1989,$A1989,$E$2:$E1989,"INFRUCTUEUX")+COUNTIFS($A$2:$A1989,$A1989,$E$2:$E1989,"ANNULE")),""))</f>
        <v/>
      </c>
    </row>
    <row r="1990">
      <c r="A1990">
        <f>IF(ISBLANK('ENGAGEMENTS 2026'!C1990),"",IF('ENGAGEMENTS 2026'!C1990="DTSI","DCT",'ENGAGEMENTS 2026'!C1990))</f>
        <v/>
      </c>
      <c r="B1990">
        <f>IF(ISBLANK('ENGAGEMENTS 2026'!C1990),"",'ENGAGEMENTS 2026'!D1990)</f>
        <v/>
      </c>
      <c r="C1990">
        <f>IF(ISBLANK('ENGAGEMENTS 2026'!C1990),"",'ENGAGEMENTS 2026'!E1990)</f>
        <v/>
      </c>
      <c r="D1990">
        <f>IF(ISBLANK('ENGAGEMENTS 2026'!C1990),"",'ENGAGEMENTS 2026'!G1990)</f>
        <v/>
      </c>
      <c r="E1990">
        <f>IF(ISBLANK('ENGAGEMENTS 2026'!C1990),"",'ENGAGEMENTS 2026'!I1990)</f>
        <v/>
      </c>
      <c r="F1990">
        <f>IF(ISBLANK('ENGAGEMENTS 2026'!C1990),"",'ENGAGEMENTS 2026'!J1990)</f>
        <v/>
      </c>
      <c r="G1990">
        <f>IF(ISBLANK('ENGAGEMENTS 2026'!C1990),"",'ENGAGEMENTS 2026'!M1990)</f>
        <v/>
      </c>
      <c r="H1990">
        <f>IF(ISBLANK('ENGAGEMENTS 2026'!C1990),"",'ENGAGEMENTS 2026'!AF1990)</f>
        <v/>
      </c>
      <c r="I1990">
        <f>IF(ISBLANK('ENGAGEMENTS 2026'!C1990),"",'ENGAGEMENTS 2026'!H1990)</f>
        <v/>
      </c>
      <c r="J1990" s="275">
        <f>IF(ISBLANK('ENGAGEMENTS 2026'!C1990),"",IF(AND(OR($E1990="INFRUCTUEUX",$E1990="ANNULE"),$C1990="AOO-M"),'ENGAGEMENTS 2026'!P1990,IF($H1990="EN COURS DE PREENGAGEMENT",'ENGAGEMENTS 2026'!O1990,IF($H1990="PREENGAGE",IF($E1990="ATTRIBUE",'ENGAGEMENTS 2026'!AE1990,'ENGAGEMENTS 2026'!O1990),'ENGAGEMENTS 2026'!AE1990))))</f>
        <v/>
      </c>
      <c r="K1990" s="604">
        <f>IF(ISBLANK('ENGAGEMENTS 2026'!W1990),"",'ENGAGEMENTS 2026'!W1990)</f>
        <v/>
      </c>
      <c r="L1990" s="276">
        <f>IF($K1990="","",TODAY()-$K1990)</f>
        <v/>
      </c>
      <c r="M1990">
        <f>IF($A1990="","",IF($H1990="ENGAGE","Engagé",IF(AND($H1990="NON ENGAGE",OR($I1990="INFRUCTUEUX",$I1990="ANNULE")),"Clôturé sans suite","En cours")))</f>
        <v/>
      </c>
      <c r="N1990">
        <f>IF(ISBLANK('ENGAGEMENTS 2026'!C1990),"",'ENGAGEMENTS 2026'!L1990)</f>
        <v/>
      </c>
      <c r="O1990">
        <f>IF(ISBLANK('ENGAGEMENTS 2026'!C1990),"",'ENGAGEMENTS 2026'!M1990)</f>
        <v/>
      </c>
      <c r="P1990">
        <f>IF(ISBLANK('ENGAGEMENTS 2026'!C1990),"",'ENGAGEMENTS 2026'!K1990)</f>
        <v/>
      </c>
      <c r="Q1990">
        <f>IF($A1990="","",IF(OR($E1990="INFRUCTUEUX",$E1990="ANNULE"),$A1990&amp;"|"&amp;(COUNTIFS($A$2:$A1990,$A1990,$E$2:$E1990,"INFRUCTUEUX")+COUNTIFS($A$2:$A1990,$A1990,$E$2:$E1990,"ANNULE")),""))</f>
        <v/>
      </c>
    </row>
    <row r="1991">
      <c r="A1991">
        <f>IF(ISBLANK('ENGAGEMENTS 2026'!C1991),"",IF('ENGAGEMENTS 2026'!C1991="DTSI","DCT",'ENGAGEMENTS 2026'!C1991))</f>
        <v/>
      </c>
      <c r="B1991">
        <f>IF(ISBLANK('ENGAGEMENTS 2026'!C1991),"",'ENGAGEMENTS 2026'!D1991)</f>
        <v/>
      </c>
      <c r="C1991">
        <f>IF(ISBLANK('ENGAGEMENTS 2026'!C1991),"",'ENGAGEMENTS 2026'!E1991)</f>
        <v/>
      </c>
      <c r="D1991">
        <f>IF(ISBLANK('ENGAGEMENTS 2026'!C1991),"",'ENGAGEMENTS 2026'!G1991)</f>
        <v/>
      </c>
      <c r="E1991">
        <f>IF(ISBLANK('ENGAGEMENTS 2026'!C1991),"",'ENGAGEMENTS 2026'!I1991)</f>
        <v/>
      </c>
      <c r="F1991">
        <f>IF(ISBLANK('ENGAGEMENTS 2026'!C1991),"",'ENGAGEMENTS 2026'!J1991)</f>
        <v/>
      </c>
      <c r="G1991">
        <f>IF(ISBLANK('ENGAGEMENTS 2026'!C1991),"",'ENGAGEMENTS 2026'!M1991)</f>
        <v/>
      </c>
      <c r="H1991">
        <f>IF(ISBLANK('ENGAGEMENTS 2026'!C1991),"",'ENGAGEMENTS 2026'!AF1991)</f>
        <v/>
      </c>
      <c r="I1991">
        <f>IF(ISBLANK('ENGAGEMENTS 2026'!C1991),"",'ENGAGEMENTS 2026'!H1991)</f>
        <v/>
      </c>
      <c r="J1991" s="275">
        <f>IF(ISBLANK('ENGAGEMENTS 2026'!C1991),"",IF(AND(OR($E1991="INFRUCTUEUX",$E1991="ANNULE"),$C1991="AOO-M"),'ENGAGEMENTS 2026'!P1991,IF($H1991="EN COURS DE PREENGAGEMENT",'ENGAGEMENTS 2026'!O1991,IF($H1991="PREENGAGE",IF($E1991="ATTRIBUE",'ENGAGEMENTS 2026'!AE1991,'ENGAGEMENTS 2026'!O1991),'ENGAGEMENTS 2026'!AE1991))))</f>
        <v/>
      </c>
      <c r="K1991" s="604">
        <f>IF(ISBLANK('ENGAGEMENTS 2026'!W1991),"",'ENGAGEMENTS 2026'!W1991)</f>
        <v/>
      </c>
      <c r="L1991" s="276">
        <f>IF($K1991="","",TODAY()-$K1991)</f>
        <v/>
      </c>
      <c r="M1991">
        <f>IF($A1991="","",IF($H1991="ENGAGE","Engagé",IF(AND($H1991="NON ENGAGE",OR($I1991="INFRUCTUEUX",$I1991="ANNULE")),"Clôturé sans suite","En cours")))</f>
        <v/>
      </c>
      <c r="N1991">
        <f>IF(ISBLANK('ENGAGEMENTS 2026'!C1991),"",'ENGAGEMENTS 2026'!L1991)</f>
        <v/>
      </c>
      <c r="O1991">
        <f>IF(ISBLANK('ENGAGEMENTS 2026'!C1991),"",'ENGAGEMENTS 2026'!M1991)</f>
        <v/>
      </c>
      <c r="P1991">
        <f>IF(ISBLANK('ENGAGEMENTS 2026'!C1991),"",'ENGAGEMENTS 2026'!K1991)</f>
        <v/>
      </c>
      <c r="Q1991">
        <f>IF($A1991="","",IF(OR($E1991="INFRUCTUEUX",$E1991="ANNULE"),$A1991&amp;"|"&amp;(COUNTIFS($A$2:$A1991,$A1991,$E$2:$E1991,"INFRUCTUEUX")+COUNTIFS($A$2:$A1991,$A1991,$E$2:$E1991,"ANNULE")),""))</f>
        <v/>
      </c>
    </row>
    <row r="1992">
      <c r="A1992">
        <f>IF(ISBLANK('ENGAGEMENTS 2026'!C1992),"",IF('ENGAGEMENTS 2026'!C1992="DTSI","DCT",'ENGAGEMENTS 2026'!C1992))</f>
        <v/>
      </c>
      <c r="B1992">
        <f>IF(ISBLANK('ENGAGEMENTS 2026'!C1992),"",'ENGAGEMENTS 2026'!D1992)</f>
        <v/>
      </c>
      <c r="C1992">
        <f>IF(ISBLANK('ENGAGEMENTS 2026'!C1992),"",'ENGAGEMENTS 2026'!E1992)</f>
        <v/>
      </c>
      <c r="D1992">
        <f>IF(ISBLANK('ENGAGEMENTS 2026'!C1992),"",'ENGAGEMENTS 2026'!G1992)</f>
        <v/>
      </c>
      <c r="E1992">
        <f>IF(ISBLANK('ENGAGEMENTS 2026'!C1992),"",'ENGAGEMENTS 2026'!I1992)</f>
        <v/>
      </c>
      <c r="F1992">
        <f>IF(ISBLANK('ENGAGEMENTS 2026'!C1992),"",'ENGAGEMENTS 2026'!J1992)</f>
        <v/>
      </c>
      <c r="G1992">
        <f>IF(ISBLANK('ENGAGEMENTS 2026'!C1992),"",'ENGAGEMENTS 2026'!M1992)</f>
        <v/>
      </c>
      <c r="H1992">
        <f>IF(ISBLANK('ENGAGEMENTS 2026'!C1992),"",'ENGAGEMENTS 2026'!AF1992)</f>
        <v/>
      </c>
      <c r="I1992">
        <f>IF(ISBLANK('ENGAGEMENTS 2026'!C1992),"",'ENGAGEMENTS 2026'!H1992)</f>
        <v/>
      </c>
      <c r="J1992" s="275">
        <f>IF(ISBLANK('ENGAGEMENTS 2026'!C1992),"",IF(AND(OR($E1992="INFRUCTUEUX",$E1992="ANNULE"),$C1992="AOO-M"),'ENGAGEMENTS 2026'!P1992,IF($H1992="EN COURS DE PREENGAGEMENT",'ENGAGEMENTS 2026'!O1992,IF($H1992="PREENGAGE",IF($E1992="ATTRIBUE",'ENGAGEMENTS 2026'!AE1992,'ENGAGEMENTS 2026'!O1992),'ENGAGEMENTS 2026'!AE1992))))</f>
        <v/>
      </c>
      <c r="K1992" s="604">
        <f>IF(ISBLANK('ENGAGEMENTS 2026'!W1992),"",'ENGAGEMENTS 2026'!W1992)</f>
        <v/>
      </c>
      <c r="L1992" s="276">
        <f>IF($K1992="","",TODAY()-$K1992)</f>
        <v/>
      </c>
      <c r="M1992">
        <f>IF($A1992="","",IF($H1992="ENGAGE","Engagé",IF(AND($H1992="NON ENGAGE",OR($I1992="INFRUCTUEUX",$I1992="ANNULE")),"Clôturé sans suite","En cours")))</f>
        <v/>
      </c>
      <c r="N1992">
        <f>IF(ISBLANK('ENGAGEMENTS 2026'!C1992),"",'ENGAGEMENTS 2026'!L1992)</f>
        <v/>
      </c>
      <c r="O1992">
        <f>IF(ISBLANK('ENGAGEMENTS 2026'!C1992),"",'ENGAGEMENTS 2026'!M1992)</f>
        <v/>
      </c>
      <c r="P1992">
        <f>IF(ISBLANK('ENGAGEMENTS 2026'!C1992),"",'ENGAGEMENTS 2026'!K1992)</f>
        <v/>
      </c>
      <c r="Q1992">
        <f>IF($A1992="","",IF(OR($E1992="INFRUCTUEUX",$E1992="ANNULE"),$A1992&amp;"|"&amp;(COUNTIFS($A$2:$A1992,$A1992,$E$2:$E1992,"INFRUCTUEUX")+COUNTIFS($A$2:$A1992,$A1992,$E$2:$E1992,"ANNULE")),""))</f>
        <v/>
      </c>
    </row>
    <row r="1993">
      <c r="A1993">
        <f>IF(ISBLANK('ENGAGEMENTS 2026'!C1993),"",IF('ENGAGEMENTS 2026'!C1993="DTSI","DCT",'ENGAGEMENTS 2026'!C1993))</f>
        <v/>
      </c>
      <c r="B1993">
        <f>IF(ISBLANK('ENGAGEMENTS 2026'!C1993),"",'ENGAGEMENTS 2026'!D1993)</f>
        <v/>
      </c>
      <c r="C1993">
        <f>IF(ISBLANK('ENGAGEMENTS 2026'!C1993),"",'ENGAGEMENTS 2026'!E1993)</f>
        <v/>
      </c>
      <c r="D1993">
        <f>IF(ISBLANK('ENGAGEMENTS 2026'!C1993),"",'ENGAGEMENTS 2026'!G1993)</f>
        <v/>
      </c>
      <c r="E1993">
        <f>IF(ISBLANK('ENGAGEMENTS 2026'!C1993),"",'ENGAGEMENTS 2026'!I1993)</f>
        <v/>
      </c>
      <c r="F1993">
        <f>IF(ISBLANK('ENGAGEMENTS 2026'!C1993),"",'ENGAGEMENTS 2026'!J1993)</f>
        <v/>
      </c>
      <c r="G1993">
        <f>IF(ISBLANK('ENGAGEMENTS 2026'!C1993),"",'ENGAGEMENTS 2026'!M1993)</f>
        <v/>
      </c>
      <c r="H1993">
        <f>IF(ISBLANK('ENGAGEMENTS 2026'!C1993),"",'ENGAGEMENTS 2026'!AF1993)</f>
        <v/>
      </c>
      <c r="I1993">
        <f>IF(ISBLANK('ENGAGEMENTS 2026'!C1993),"",'ENGAGEMENTS 2026'!H1993)</f>
        <v/>
      </c>
      <c r="J1993" s="275">
        <f>IF(ISBLANK('ENGAGEMENTS 2026'!C1993),"",IF(AND(OR($E1993="INFRUCTUEUX",$E1993="ANNULE"),$C1993="AOO-M"),'ENGAGEMENTS 2026'!P1993,IF($H1993="EN COURS DE PREENGAGEMENT",'ENGAGEMENTS 2026'!O1993,IF($H1993="PREENGAGE",IF($E1993="ATTRIBUE",'ENGAGEMENTS 2026'!AE1993,'ENGAGEMENTS 2026'!O1993),'ENGAGEMENTS 2026'!AE1993))))</f>
        <v/>
      </c>
      <c r="K1993" s="604">
        <f>IF(ISBLANK('ENGAGEMENTS 2026'!W1993),"",'ENGAGEMENTS 2026'!W1993)</f>
        <v/>
      </c>
      <c r="L1993" s="276">
        <f>IF($K1993="","",TODAY()-$K1993)</f>
        <v/>
      </c>
      <c r="M1993">
        <f>IF($A1993="","",IF($H1993="ENGAGE","Engagé",IF(AND($H1993="NON ENGAGE",OR($I1993="INFRUCTUEUX",$I1993="ANNULE")),"Clôturé sans suite","En cours")))</f>
        <v/>
      </c>
      <c r="N1993">
        <f>IF(ISBLANK('ENGAGEMENTS 2026'!C1993),"",'ENGAGEMENTS 2026'!L1993)</f>
        <v/>
      </c>
      <c r="O1993">
        <f>IF(ISBLANK('ENGAGEMENTS 2026'!C1993),"",'ENGAGEMENTS 2026'!M1993)</f>
        <v/>
      </c>
      <c r="P1993">
        <f>IF(ISBLANK('ENGAGEMENTS 2026'!C1993),"",'ENGAGEMENTS 2026'!K1993)</f>
        <v/>
      </c>
      <c r="Q1993">
        <f>IF($A1993="","",IF(OR($E1993="INFRUCTUEUX",$E1993="ANNULE"),$A1993&amp;"|"&amp;(COUNTIFS($A$2:$A1993,$A1993,$E$2:$E1993,"INFRUCTUEUX")+COUNTIFS($A$2:$A1993,$A1993,$E$2:$E1993,"ANNULE")),""))</f>
        <v/>
      </c>
    </row>
    <row r="1994">
      <c r="A1994">
        <f>IF(ISBLANK('ENGAGEMENTS 2026'!C1994),"",IF('ENGAGEMENTS 2026'!C1994="DTSI","DCT",'ENGAGEMENTS 2026'!C1994))</f>
        <v/>
      </c>
      <c r="B1994">
        <f>IF(ISBLANK('ENGAGEMENTS 2026'!C1994),"",'ENGAGEMENTS 2026'!D1994)</f>
        <v/>
      </c>
      <c r="C1994">
        <f>IF(ISBLANK('ENGAGEMENTS 2026'!C1994),"",'ENGAGEMENTS 2026'!E1994)</f>
        <v/>
      </c>
      <c r="D1994">
        <f>IF(ISBLANK('ENGAGEMENTS 2026'!C1994),"",'ENGAGEMENTS 2026'!G1994)</f>
        <v/>
      </c>
      <c r="E1994">
        <f>IF(ISBLANK('ENGAGEMENTS 2026'!C1994),"",'ENGAGEMENTS 2026'!I1994)</f>
        <v/>
      </c>
      <c r="F1994">
        <f>IF(ISBLANK('ENGAGEMENTS 2026'!C1994),"",'ENGAGEMENTS 2026'!J1994)</f>
        <v/>
      </c>
      <c r="G1994">
        <f>IF(ISBLANK('ENGAGEMENTS 2026'!C1994),"",'ENGAGEMENTS 2026'!M1994)</f>
        <v/>
      </c>
      <c r="H1994">
        <f>IF(ISBLANK('ENGAGEMENTS 2026'!C1994),"",'ENGAGEMENTS 2026'!AF1994)</f>
        <v/>
      </c>
      <c r="I1994">
        <f>IF(ISBLANK('ENGAGEMENTS 2026'!C1994),"",'ENGAGEMENTS 2026'!H1994)</f>
        <v/>
      </c>
      <c r="J1994" s="275">
        <f>IF(ISBLANK('ENGAGEMENTS 2026'!C1994),"",IF(AND(OR($E1994="INFRUCTUEUX",$E1994="ANNULE"),$C1994="AOO-M"),'ENGAGEMENTS 2026'!P1994,IF($H1994="EN COURS DE PREENGAGEMENT",'ENGAGEMENTS 2026'!O1994,IF($H1994="PREENGAGE",IF($E1994="ATTRIBUE",'ENGAGEMENTS 2026'!AE1994,'ENGAGEMENTS 2026'!O1994),'ENGAGEMENTS 2026'!AE1994))))</f>
        <v/>
      </c>
      <c r="K1994" s="604">
        <f>IF(ISBLANK('ENGAGEMENTS 2026'!W1994),"",'ENGAGEMENTS 2026'!W1994)</f>
        <v/>
      </c>
      <c r="L1994" s="276">
        <f>IF($K1994="","",TODAY()-$K1994)</f>
        <v/>
      </c>
      <c r="M1994">
        <f>IF($A1994="","",IF($H1994="ENGAGE","Engagé",IF(AND($H1994="NON ENGAGE",OR($I1994="INFRUCTUEUX",$I1994="ANNULE")),"Clôturé sans suite","En cours")))</f>
        <v/>
      </c>
      <c r="N1994">
        <f>IF(ISBLANK('ENGAGEMENTS 2026'!C1994),"",'ENGAGEMENTS 2026'!L1994)</f>
        <v/>
      </c>
      <c r="O1994">
        <f>IF(ISBLANK('ENGAGEMENTS 2026'!C1994),"",'ENGAGEMENTS 2026'!M1994)</f>
        <v/>
      </c>
      <c r="P1994">
        <f>IF(ISBLANK('ENGAGEMENTS 2026'!C1994),"",'ENGAGEMENTS 2026'!K1994)</f>
        <v/>
      </c>
      <c r="Q1994">
        <f>IF($A1994="","",IF(OR($E1994="INFRUCTUEUX",$E1994="ANNULE"),$A1994&amp;"|"&amp;(COUNTIFS($A$2:$A1994,$A1994,$E$2:$E1994,"INFRUCTUEUX")+COUNTIFS($A$2:$A1994,$A1994,$E$2:$E1994,"ANNULE")),""))</f>
        <v/>
      </c>
    </row>
    <row r="1995">
      <c r="A1995">
        <f>IF(ISBLANK('ENGAGEMENTS 2026'!C1995),"",IF('ENGAGEMENTS 2026'!C1995="DTSI","DCT",'ENGAGEMENTS 2026'!C1995))</f>
        <v/>
      </c>
      <c r="B1995">
        <f>IF(ISBLANK('ENGAGEMENTS 2026'!C1995),"",'ENGAGEMENTS 2026'!D1995)</f>
        <v/>
      </c>
      <c r="C1995">
        <f>IF(ISBLANK('ENGAGEMENTS 2026'!C1995),"",'ENGAGEMENTS 2026'!E1995)</f>
        <v/>
      </c>
      <c r="D1995">
        <f>IF(ISBLANK('ENGAGEMENTS 2026'!C1995),"",'ENGAGEMENTS 2026'!G1995)</f>
        <v/>
      </c>
      <c r="E1995">
        <f>IF(ISBLANK('ENGAGEMENTS 2026'!C1995),"",'ENGAGEMENTS 2026'!I1995)</f>
        <v/>
      </c>
      <c r="F1995">
        <f>IF(ISBLANK('ENGAGEMENTS 2026'!C1995),"",'ENGAGEMENTS 2026'!J1995)</f>
        <v/>
      </c>
      <c r="G1995">
        <f>IF(ISBLANK('ENGAGEMENTS 2026'!C1995),"",'ENGAGEMENTS 2026'!M1995)</f>
        <v/>
      </c>
      <c r="H1995">
        <f>IF(ISBLANK('ENGAGEMENTS 2026'!C1995),"",'ENGAGEMENTS 2026'!AF1995)</f>
        <v/>
      </c>
      <c r="I1995">
        <f>IF(ISBLANK('ENGAGEMENTS 2026'!C1995),"",'ENGAGEMENTS 2026'!H1995)</f>
        <v/>
      </c>
      <c r="J1995" s="275">
        <f>IF(ISBLANK('ENGAGEMENTS 2026'!C1995),"",IF(AND(OR($E1995="INFRUCTUEUX",$E1995="ANNULE"),$C1995="AOO-M"),'ENGAGEMENTS 2026'!P1995,IF($H1995="EN COURS DE PREENGAGEMENT",'ENGAGEMENTS 2026'!O1995,IF($H1995="PREENGAGE",IF($E1995="ATTRIBUE",'ENGAGEMENTS 2026'!AE1995,'ENGAGEMENTS 2026'!O1995),'ENGAGEMENTS 2026'!AE1995))))</f>
        <v/>
      </c>
      <c r="K1995" s="604">
        <f>IF(ISBLANK('ENGAGEMENTS 2026'!W1995),"",'ENGAGEMENTS 2026'!W1995)</f>
        <v/>
      </c>
      <c r="L1995" s="276">
        <f>IF($K1995="","",TODAY()-$K1995)</f>
        <v/>
      </c>
      <c r="M1995">
        <f>IF($A1995="","",IF($H1995="ENGAGE","Engagé",IF(AND($H1995="NON ENGAGE",OR($I1995="INFRUCTUEUX",$I1995="ANNULE")),"Clôturé sans suite","En cours")))</f>
        <v/>
      </c>
      <c r="N1995">
        <f>IF(ISBLANK('ENGAGEMENTS 2026'!C1995),"",'ENGAGEMENTS 2026'!L1995)</f>
        <v/>
      </c>
      <c r="O1995">
        <f>IF(ISBLANK('ENGAGEMENTS 2026'!C1995),"",'ENGAGEMENTS 2026'!M1995)</f>
        <v/>
      </c>
      <c r="P1995">
        <f>IF(ISBLANK('ENGAGEMENTS 2026'!C1995),"",'ENGAGEMENTS 2026'!K1995)</f>
        <v/>
      </c>
      <c r="Q1995">
        <f>IF($A1995="","",IF(OR($E1995="INFRUCTUEUX",$E1995="ANNULE"),$A1995&amp;"|"&amp;(COUNTIFS($A$2:$A1995,$A1995,$E$2:$E1995,"INFRUCTUEUX")+COUNTIFS($A$2:$A1995,$A1995,$E$2:$E1995,"ANNULE")),""))</f>
        <v/>
      </c>
    </row>
    <row r="1996">
      <c r="A1996">
        <f>IF(ISBLANK('ENGAGEMENTS 2026'!C1996),"",IF('ENGAGEMENTS 2026'!C1996="DTSI","DCT",'ENGAGEMENTS 2026'!C1996))</f>
        <v/>
      </c>
      <c r="B1996">
        <f>IF(ISBLANK('ENGAGEMENTS 2026'!C1996),"",'ENGAGEMENTS 2026'!D1996)</f>
        <v/>
      </c>
      <c r="C1996">
        <f>IF(ISBLANK('ENGAGEMENTS 2026'!C1996),"",'ENGAGEMENTS 2026'!E1996)</f>
        <v/>
      </c>
      <c r="D1996">
        <f>IF(ISBLANK('ENGAGEMENTS 2026'!C1996),"",'ENGAGEMENTS 2026'!G1996)</f>
        <v/>
      </c>
      <c r="E1996">
        <f>IF(ISBLANK('ENGAGEMENTS 2026'!C1996),"",'ENGAGEMENTS 2026'!I1996)</f>
        <v/>
      </c>
      <c r="F1996">
        <f>IF(ISBLANK('ENGAGEMENTS 2026'!C1996),"",'ENGAGEMENTS 2026'!J1996)</f>
        <v/>
      </c>
      <c r="G1996">
        <f>IF(ISBLANK('ENGAGEMENTS 2026'!C1996),"",'ENGAGEMENTS 2026'!M1996)</f>
        <v/>
      </c>
      <c r="H1996">
        <f>IF(ISBLANK('ENGAGEMENTS 2026'!C1996),"",'ENGAGEMENTS 2026'!AF1996)</f>
        <v/>
      </c>
      <c r="I1996">
        <f>IF(ISBLANK('ENGAGEMENTS 2026'!C1996),"",'ENGAGEMENTS 2026'!H1996)</f>
        <v/>
      </c>
      <c r="J1996" s="275">
        <f>IF(ISBLANK('ENGAGEMENTS 2026'!C1996),"",IF(AND(OR($E1996="INFRUCTUEUX",$E1996="ANNULE"),$C1996="AOO-M"),'ENGAGEMENTS 2026'!P1996,IF($H1996="EN COURS DE PREENGAGEMENT",'ENGAGEMENTS 2026'!O1996,IF($H1996="PREENGAGE",IF($E1996="ATTRIBUE",'ENGAGEMENTS 2026'!AE1996,'ENGAGEMENTS 2026'!O1996),'ENGAGEMENTS 2026'!AE1996))))</f>
        <v/>
      </c>
      <c r="K1996" s="604">
        <f>IF(ISBLANK('ENGAGEMENTS 2026'!W1996),"",'ENGAGEMENTS 2026'!W1996)</f>
        <v/>
      </c>
      <c r="L1996" s="276">
        <f>IF($K1996="","",TODAY()-$K1996)</f>
        <v/>
      </c>
      <c r="M1996">
        <f>IF($A1996="","",IF($H1996="ENGAGE","Engagé",IF(AND($H1996="NON ENGAGE",OR($I1996="INFRUCTUEUX",$I1996="ANNULE")),"Clôturé sans suite","En cours")))</f>
        <v/>
      </c>
      <c r="N1996">
        <f>IF(ISBLANK('ENGAGEMENTS 2026'!C1996),"",'ENGAGEMENTS 2026'!L1996)</f>
        <v/>
      </c>
      <c r="O1996">
        <f>IF(ISBLANK('ENGAGEMENTS 2026'!C1996),"",'ENGAGEMENTS 2026'!M1996)</f>
        <v/>
      </c>
      <c r="P1996">
        <f>IF(ISBLANK('ENGAGEMENTS 2026'!C1996),"",'ENGAGEMENTS 2026'!K1996)</f>
        <v/>
      </c>
      <c r="Q1996">
        <f>IF($A1996="","",IF(OR($E1996="INFRUCTUEUX",$E1996="ANNULE"),$A1996&amp;"|"&amp;(COUNTIFS($A$2:$A1996,$A1996,$E$2:$E1996,"INFRUCTUEUX")+COUNTIFS($A$2:$A1996,$A1996,$E$2:$E1996,"ANNULE")),""))</f>
        <v/>
      </c>
    </row>
    <row r="1997">
      <c r="A1997">
        <f>IF(ISBLANK('ENGAGEMENTS 2026'!C1997),"",IF('ENGAGEMENTS 2026'!C1997="DTSI","DCT",'ENGAGEMENTS 2026'!C1997))</f>
        <v/>
      </c>
      <c r="B1997">
        <f>IF(ISBLANK('ENGAGEMENTS 2026'!C1997),"",'ENGAGEMENTS 2026'!D1997)</f>
        <v/>
      </c>
      <c r="C1997">
        <f>IF(ISBLANK('ENGAGEMENTS 2026'!C1997),"",'ENGAGEMENTS 2026'!E1997)</f>
        <v/>
      </c>
      <c r="D1997">
        <f>IF(ISBLANK('ENGAGEMENTS 2026'!C1997),"",'ENGAGEMENTS 2026'!G1997)</f>
        <v/>
      </c>
      <c r="E1997">
        <f>IF(ISBLANK('ENGAGEMENTS 2026'!C1997),"",'ENGAGEMENTS 2026'!I1997)</f>
        <v/>
      </c>
      <c r="F1997">
        <f>IF(ISBLANK('ENGAGEMENTS 2026'!C1997),"",'ENGAGEMENTS 2026'!J1997)</f>
        <v/>
      </c>
      <c r="G1997">
        <f>IF(ISBLANK('ENGAGEMENTS 2026'!C1997),"",'ENGAGEMENTS 2026'!M1997)</f>
        <v/>
      </c>
      <c r="H1997">
        <f>IF(ISBLANK('ENGAGEMENTS 2026'!C1997),"",'ENGAGEMENTS 2026'!AF1997)</f>
        <v/>
      </c>
      <c r="I1997">
        <f>IF(ISBLANK('ENGAGEMENTS 2026'!C1997),"",'ENGAGEMENTS 2026'!H1997)</f>
        <v/>
      </c>
      <c r="J1997" s="275">
        <f>IF(ISBLANK('ENGAGEMENTS 2026'!C1997),"",IF(AND(OR($E1997="INFRUCTUEUX",$E1997="ANNULE"),$C1997="AOO-M"),'ENGAGEMENTS 2026'!P1997,IF($H1997="EN COURS DE PREENGAGEMENT",'ENGAGEMENTS 2026'!O1997,IF($H1997="PREENGAGE",IF($E1997="ATTRIBUE",'ENGAGEMENTS 2026'!AE1997,'ENGAGEMENTS 2026'!O1997),'ENGAGEMENTS 2026'!AE1997))))</f>
        <v/>
      </c>
      <c r="K1997" s="604">
        <f>IF(ISBLANK('ENGAGEMENTS 2026'!W1997),"",'ENGAGEMENTS 2026'!W1997)</f>
        <v/>
      </c>
      <c r="L1997" s="276">
        <f>IF($K1997="","",TODAY()-$K1997)</f>
        <v/>
      </c>
      <c r="M1997">
        <f>IF($A1997="","",IF($H1997="ENGAGE","Engagé",IF(AND($H1997="NON ENGAGE",OR($I1997="INFRUCTUEUX",$I1997="ANNULE")),"Clôturé sans suite","En cours")))</f>
        <v/>
      </c>
      <c r="N1997">
        <f>IF(ISBLANK('ENGAGEMENTS 2026'!C1997),"",'ENGAGEMENTS 2026'!L1997)</f>
        <v/>
      </c>
      <c r="O1997">
        <f>IF(ISBLANK('ENGAGEMENTS 2026'!C1997),"",'ENGAGEMENTS 2026'!M1997)</f>
        <v/>
      </c>
      <c r="P1997">
        <f>IF(ISBLANK('ENGAGEMENTS 2026'!C1997),"",'ENGAGEMENTS 2026'!K1997)</f>
        <v/>
      </c>
      <c r="Q1997">
        <f>IF($A1997="","",IF(OR($E1997="INFRUCTUEUX",$E1997="ANNULE"),$A1997&amp;"|"&amp;(COUNTIFS($A$2:$A1997,$A1997,$E$2:$E1997,"INFRUCTUEUX")+COUNTIFS($A$2:$A1997,$A1997,$E$2:$E1997,"ANNULE")),""))</f>
        <v/>
      </c>
    </row>
    <row r="1998">
      <c r="A1998">
        <f>IF(ISBLANK('ENGAGEMENTS 2026'!C1998),"",IF('ENGAGEMENTS 2026'!C1998="DTSI","DCT",'ENGAGEMENTS 2026'!C1998))</f>
        <v/>
      </c>
      <c r="B1998">
        <f>IF(ISBLANK('ENGAGEMENTS 2026'!C1998),"",'ENGAGEMENTS 2026'!D1998)</f>
        <v/>
      </c>
      <c r="C1998">
        <f>IF(ISBLANK('ENGAGEMENTS 2026'!C1998),"",'ENGAGEMENTS 2026'!E1998)</f>
        <v/>
      </c>
      <c r="D1998">
        <f>IF(ISBLANK('ENGAGEMENTS 2026'!C1998),"",'ENGAGEMENTS 2026'!G1998)</f>
        <v/>
      </c>
      <c r="E1998">
        <f>IF(ISBLANK('ENGAGEMENTS 2026'!C1998),"",'ENGAGEMENTS 2026'!I1998)</f>
        <v/>
      </c>
      <c r="F1998">
        <f>IF(ISBLANK('ENGAGEMENTS 2026'!C1998),"",'ENGAGEMENTS 2026'!J1998)</f>
        <v/>
      </c>
      <c r="G1998">
        <f>IF(ISBLANK('ENGAGEMENTS 2026'!C1998),"",'ENGAGEMENTS 2026'!M1998)</f>
        <v/>
      </c>
      <c r="H1998">
        <f>IF(ISBLANK('ENGAGEMENTS 2026'!C1998),"",'ENGAGEMENTS 2026'!AF1998)</f>
        <v/>
      </c>
      <c r="I1998">
        <f>IF(ISBLANK('ENGAGEMENTS 2026'!C1998),"",'ENGAGEMENTS 2026'!H1998)</f>
        <v/>
      </c>
      <c r="J1998" s="275">
        <f>IF(ISBLANK('ENGAGEMENTS 2026'!C1998),"",IF(AND(OR($E1998="INFRUCTUEUX",$E1998="ANNULE"),$C1998="AOO-M"),'ENGAGEMENTS 2026'!P1998,IF($H1998="EN COURS DE PREENGAGEMENT",'ENGAGEMENTS 2026'!O1998,IF($H1998="PREENGAGE",IF($E1998="ATTRIBUE",'ENGAGEMENTS 2026'!AE1998,'ENGAGEMENTS 2026'!O1998),'ENGAGEMENTS 2026'!AE1998))))</f>
        <v/>
      </c>
      <c r="K1998" s="604">
        <f>IF(ISBLANK('ENGAGEMENTS 2026'!W1998),"",'ENGAGEMENTS 2026'!W1998)</f>
        <v/>
      </c>
      <c r="L1998" s="276">
        <f>IF($K1998="","",TODAY()-$K1998)</f>
        <v/>
      </c>
      <c r="M1998">
        <f>IF($A1998="","",IF($H1998="ENGAGE","Engagé",IF(AND($H1998="NON ENGAGE",OR($I1998="INFRUCTUEUX",$I1998="ANNULE")),"Clôturé sans suite","En cours")))</f>
        <v/>
      </c>
      <c r="N1998">
        <f>IF(ISBLANK('ENGAGEMENTS 2026'!C1998),"",'ENGAGEMENTS 2026'!L1998)</f>
        <v/>
      </c>
      <c r="O1998">
        <f>IF(ISBLANK('ENGAGEMENTS 2026'!C1998),"",'ENGAGEMENTS 2026'!M1998)</f>
        <v/>
      </c>
      <c r="P1998">
        <f>IF(ISBLANK('ENGAGEMENTS 2026'!C1998),"",'ENGAGEMENTS 2026'!K1998)</f>
        <v/>
      </c>
      <c r="Q1998">
        <f>IF($A1998="","",IF(OR($E1998="INFRUCTUEUX",$E1998="ANNULE"),$A1998&amp;"|"&amp;(COUNTIFS($A$2:$A1998,$A1998,$E$2:$E1998,"INFRUCTUEUX")+COUNTIFS($A$2:$A1998,$A1998,$E$2:$E1998,"ANNULE")),""))</f>
        <v/>
      </c>
    </row>
    <row r="1999">
      <c r="A1999">
        <f>IF(ISBLANK('ENGAGEMENTS 2026'!C1999),"",IF('ENGAGEMENTS 2026'!C1999="DTSI","DCT",'ENGAGEMENTS 2026'!C1999))</f>
        <v/>
      </c>
      <c r="B1999">
        <f>IF(ISBLANK('ENGAGEMENTS 2026'!C1999),"",'ENGAGEMENTS 2026'!D1999)</f>
        <v/>
      </c>
      <c r="C1999">
        <f>IF(ISBLANK('ENGAGEMENTS 2026'!C1999),"",'ENGAGEMENTS 2026'!E1999)</f>
        <v/>
      </c>
      <c r="D1999">
        <f>IF(ISBLANK('ENGAGEMENTS 2026'!C1999),"",'ENGAGEMENTS 2026'!G1999)</f>
        <v/>
      </c>
      <c r="E1999">
        <f>IF(ISBLANK('ENGAGEMENTS 2026'!C1999),"",'ENGAGEMENTS 2026'!I1999)</f>
        <v/>
      </c>
      <c r="F1999">
        <f>IF(ISBLANK('ENGAGEMENTS 2026'!C1999),"",'ENGAGEMENTS 2026'!J1999)</f>
        <v/>
      </c>
      <c r="G1999">
        <f>IF(ISBLANK('ENGAGEMENTS 2026'!C1999),"",'ENGAGEMENTS 2026'!M1999)</f>
        <v/>
      </c>
      <c r="H1999">
        <f>IF(ISBLANK('ENGAGEMENTS 2026'!C1999),"",'ENGAGEMENTS 2026'!AF1999)</f>
        <v/>
      </c>
      <c r="I1999">
        <f>IF(ISBLANK('ENGAGEMENTS 2026'!C1999),"",'ENGAGEMENTS 2026'!H1999)</f>
        <v/>
      </c>
      <c r="J1999" s="275">
        <f>IF(ISBLANK('ENGAGEMENTS 2026'!C1999),"",IF(AND(OR($E1999="INFRUCTUEUX",$E1999="ANNULE"),$C1999="AOO-M"),'ENGAGEMENTS 2026'!P1999,IF($H1999="EN COURS DE PREENGAGEMENT",'ENGAGEMENTS 2026'!O1999,IF($H1999="PREENGAGE",IF($E1999="ATTRIBUE",'ENGAGEMENTS 2026'!AE1999,'ENGAGEMENTS 2026'!O1999),'ENGAGEMENTS 2026'!AE1999))))</f>
        <v/>
      </c>
      <c r="K1999" s="604">
        <f>IF(ISBLANK('ENGAGEMENTS 2026'!W1999),"",'ENGAGEMENTS 2026'!W1999)</f>
        <v/>
      </c>
      <c r="L1999" s="276">
        <f>IF($K1999="","",TODAY()-$K1999)</f>
        <v/>
      </c>
      <c r="M1999">
        <f>IF($A1999="","",IF($H1999="ENGAGE","Engagé",IF(AND($H1999="NON ENGAGE",OR($I1999="INFRUCTUEUX",$I1999="ANNULE")),"Clôturé sans suite","En cours")))</f>
        <v/>
      </c>
      <c r="N1999">
        <f>IF(ISBLANK('ENGAGEMENTS 2026'!C1999),"",'ENGAGEMENTS 2026'!L1999)</f>
        <v/>
      </c>
      <c r="O1999">
        <f>IF(ISBLANK('ENGAGEMENTS 2026'!C1999),"",'ENGAGEMENTS 2026'!M1999)</f>
        <v/>
      </c>
      <c r="P1999">
        <f>IF(ISBLANK('ENGAGEMENTS 2026'!C1999),"",'ENGAGEMENTS 2026'!K1999)</f>
        <v/>
      </c>
      <c r="Q1999">
        <f>IF($A1999="","",IF(OR($E1999="INFRUCTUEUX",$E1999="ANNULE"),$A1999&amp;"|"&amp;(COUNTIFS($A$2:$A1999,$A1999,$E$2:$E1999,"INFRUCTUEUX")+COUNTIFS($A$2:$A1999,$A1999,$E$2:$E1999,"ANNULE")),""))</f>
        <v/>
      </c>
    </row>
    <row r="2000">
      <c r="A2000">
        <f>IF(ISBLANK('ENGAGEMENTS 2026'!C2000),"",IF('ENGAGEMENTS 2026'!C2000="DTSI","DCT",'ENGAGEMENTS 2026'!C2000))</f>
        <v/>
      </c>
      <c r="B2000">
        <f>IF(ISBLANK('ENGAGEMENTS 2026'!C2000),"",'ENGAGEMENTS 2026'!D2000)</f>
        <v/>
      </c>
      <c r="C2000">
        <f>IF(ISBLANK('ENGAGEMENTS 2026'!C2000),"",'ENGAGEMENTS 2026'!E2000)</f>
        <v/>
      </c>
      <c r="D2000">
        <f>IF(ISBLANK('ENGAGEMENTS 2026'!C2000),"",'ENGAGEMENTS 2026'!G2000)</f>
        <v/>
      </c>
      <c r="E2000">
        <f>IF(ISBLANK('ENGAGEMENTS 2026'!C2000),"",'ENGAGEMENTS 2026'!I2000)</f>
        <v/>
      </c>
      <c r="F2000">
        <f>IF(ISBLANK('ENGAGEMENTS 2026'!C2000),"",'ENGAGEMENTS 2026'!J2000)</f>
        <v/>
      </c>
      <c r="G2000">
        <f>IF(ISBLANK('ENGAGEMENTS 2026'!C2000),"",'ENGAGEMENTS 2026'!M2000)</f>
        <v/>
      </c>
      <c r="H2000">
        <f>IF(ISBLANK('ENGAGEMENTS 2026'!C2000),"",'ENGAGEMENTS 2026'!AF2000)</f>
        <v/>
      </c>
      <c r="I2000">
        <f>IF(ISBLANK('ENGAGEMENTS 2026'!C2000),"",'ENGAGEMENTS 2026'!H2000)</f>
        <v/>
      </c>
      <c r="J2000" s="275">
        <f>IF(ISBLANK('ENGAGEMENTS 2026'!C2000),"",IF(AND(OR($E2000="INFRUCTUEUX",$E2000="ANNULE"),$C2000="AOO-M"),'ENGAGEMENTS 2026'!P2000,IF($H2000="EN COURS DE PREENGAGEMENT",'ENGAGEMENTS 2026'!O2000,IF($H2000="PREENGAGE",IF($E2000="ATTRIBUE",'ENGAGEMENTS 2026'!AE2000,'ENGAGEMENTS 2026'!O2000),'ENGAGEMENTS 2026'!AE2000))))</f>
        <v/>
      </c>
      <c r="K2000" s="604">
        <f>IF(ISBLANK('ENGAGEMENTS 2026'!W2000),"",'ENGAGEMENTS 2026'!W2000)</f>
        <v/>
      </c>
      <c r="L2000" s="276">
        <f>IF($K2000="","",TODAY()-$K2000)</f>
        <v/>
      </c>
      <c r="M2000">
        <f>IF($A2000="","",IF($H2000="ENGAGE","Engagé",IF(AND($H2000="NON ENGAGE",OR($I2000="INFRUCTUEUX",$I2000="ANNULE")),"Clôturé sans suite","En cours")))</f>
        <v/>
      </c>
      <c r="N2000">
        <f>IF(ISBLANK('ENGAGEMENTS 2026'!C2000),"",'ENGAGEMENTS 2026'!L2000)</f>
        <v/>
      </c>
      <c r="O2000">
        <f>IF(ISBLANK('ENGAGEMENTS 2026'!C2000),"",'ENGAGEMENTS 2026'!M2000)</f>
        <v/>
      </c>
      <c r="P2000">
        <f>IF(ISBLANK('ENGAGEMENTS 2026'!C2000),"",'ENGAGEMENTS 2026'!K2000)</f>
        <v/>
      </c>
      <c r="Q2000">
        <f>IF($A2000="","",IF(OR($E2000="INFRUCTUEUX",$E2000="ANNULE"),$A2000&amp;"|"&amp;(COUNTIFS($A$2:$A2000,$A2000,$E$2:$E2000,"INFRUCTUEUX")+COUNTIFS($A$2:$A2000,$A2000,$E$2:$E2000,"ANNULE")),""))</f>
        <v/>
      </c>
    </row>
    <row r="2001">
      <c r="A2001">
        <f>IF(ISBLANK('ENGAGEMENTS 2026'!C2001),"",IF('ENGAGEMENTS 2026'!C2001="DTSI","DCT",'ENGAGEMENTS 2026'!C2001))</f>
        <v/>
      </c>
      <c r="B2001">
        <f>IF(ISBLANK('ENGAGEMENTS 2026'!C2001),"",'ENGAGEMENTS 2026'!D2001)</f>
        <v/>
      </c>
      <c r="C2001">
        <f>IF(ISBLANK('ENGAGEMENTS 2026'!C2001),"",'ENGAGEMENTS 2026'!E2001)</f>
        <v/>
      </c>
      <c r="D2001">
        <f>IF(ISBLANK('ENGAGEMENTS 2026'!C2001),"",'ENGAGEMENTS 2026'!G2001)</f>
        <v/>
      </c>
      <c r="E2001">
        <f>IF(ISBLANK('ENGAGEMENTS 2026'!C2001),"",'ENGAGEMENTS 2026'!I2001)</f>
        <v/>
      </c>
      <c r="F2001">
        <f>IF(ISBLANK('ENGAGEMENTS 2026'!C2001),"",'ENGAGEMENTS 2026'!J2001)</f>
        <v/>
      </c>
      <c r="G2001">
        <f>IF(ISBLANK('ENGAGEMENTS 2026'!C2001),"",'ENGAGEMENTS 2026'!M2001)</f>
        <v/>
      </c>
      <c r="H2001">
        <f>IF(ISBLANK('ENGAGEMENTS 2026'!C2001),"",'ENGAGEMENTS 2026'!AF2001)</f>
        <v/>
      </c>
      <c r="I2001">
        <f>IF(ISBLANK('ENGAGEMENTS 2026'!C2001),"",'ENGAGEMENTS 2026'!H2001)</f>
        <v/>
      </c>
      <c r="J2001" s="275">
        <f>IF(ISBLANK('ENGAGEMENTS 2026'!C2001),"",IF(AND(OR($E2001="INFRUCTUEUX",$E2001="ANNULE"),$C2001="AOO-M"),'ENGAGEMENTS 2026'!P2001,IF($H2001="EN COURS DE PREENGAGEMENT",'ENGAGEMENTS 2026'!O2001,IF($H2001="PREENGAGE",IF($E2001="ATTRIBUE",'ENGAGEMENTS 2026'!AE2001,'ENGAGEMENTS 2026'!O2001),'ENGAGEMENTS 2026'!AE2001))))</f>
        <v/>
      </c>
      <c r="K2001" s="604">
        <f>IF(ISBLANK('ENGAGEMENTS 2026'!W2001),"",'ENGAGEMENTS 2026'!W2001)</f>
        <v/>
      </c>
      <c r="L2001" s="276">
        <f>IF($K2001="","",TODAY()-$K2001)</f>
        <v/>
      </c>
      <c r="M2001">
        <f>IF($A2001="","",IF($H2001="ENGAGE","Engagé",IF(AND($H2001="NON ENGAGE",OR($I2001="INFRUCTUEUX",$I2001="ANNULE")),"Clôturé sans suite","En cours")))</f>
        <v/>
      </c>
      <c r="N2001">
        <f>IF(ISBLANK('ENGAGEMENTS 2026'!C2001),"",'ENGAGEMENTS 2026'!L2001)</f>
        <v/>
      </c>
      <c r="O2001">
        <f>IF(ISBLANK('ENGAGEMENTS 2026'!C2001),"",'ENGAGEMENTS 2026'!M2001)</f>
        <v/>
      </c>
      <c r="P2001">
        <f>IF(ISBLANK('ENGAGEMENTS 2026'!C2001),"",'ENGAGEMENTS 2026'!K2001)</f>
        <v/>
      </c>
      <c r="Q2001">
        <f>IF($A2001="","",IF(OR($E2001="INFRUCTUEUX",$E2001="ANNULE"),$A2001&amp;"|"&amp;(COUNTIFS($A$2:$A2001,$A2001,$E$2:$E2001,"INFRUCTUEUX")+COUNTIFS($A$2:$A2001,$A2001,$E$2:$E2001,"ANNULE")),""))</f>
        <v/>
      </c>
    </row>
    <row r="2002">
      <c r="A2002">
        <f>IF(ISBLANK('ENGAGEMENTS 2026'!C2002),"",IF('ENGAGEMENTS 2026'!C2002="DTSI","DCT",'ENGAGEMENTS 2026'!C2002))</f>
        <v/>
      </c>
      <c r="B2002">
        <f>IF(ISBLANK('ENGAGEMENTS 2026'!C2002),"",'ENGAGEMENTS 2026'!D2002)</f>
        <v/>
      </c>
      <c r="C2002">
        <f>IF(ISBLANK('ENGAGEMENTS 2026'!C2002),"",'ENGAGEMENTS 2026'!E2002)</f>
        <v/>
      </c>
      <c r="D2002">
        <f>IF(ISBLANK('ENGAGEMENTS 2026'!C2002),"",'ENGAGEMENTS 2026'!G2002)</f>
        <v/>
      </c>
      <c r="E2002">
        <f>IF(ISBLANK('ENGAGEMENTS 2026'!C2002),"",'ENGAGEMENTS 2026'!I2002)</f>
        <v/>
      </c>
      <c r="F2002">
        <f>IF(ISBLANK('ENGAGEMENTS 2026'!C2002),"",'ENGAGEMENTS 2026'!J2002)</f>
        <v/>
      </c>
      <c r="G2002">
        <f>IF(ISBLANK('ENGAGEMENTS 2026'!C2002),"",'ENGAGEMENTS 2026'!M2002)</f>
        <v/>
      </c>
      <c r="H2002">
        <f>IF(ISBLANK('ENGAGEMENTS 2026'!C2002),"",'ENGAGEMENTS 2026'!AF2002)</f>
        <v/>
      </c>
      <c r="I2002">
        <f>IF(ISBLANK('ENGAGEMENTS 2026'!C2002),"",'ENGAGEMENTS 2026'!H2002)</f>
        <v/>
      </c>
      <c r="J2002" s="275">
        <f>IF(ISBLANK('ENGAGEMENTS 2026'!C2002),"",IF(AND(OR($E2002="INFRUCTUEUX",$E2002="ANNULE"),$C2002="AOO-M"),'ENGAGEMENTS 2026'!P2002,IF($H2002="EN COURS DE PREENGAGEMENT",'ENGAGEMENTS 2026'!O2002,IF($H2002="PREENGAGE",IF($E2002="ATTRIBUE",'ENGAGEMENTS 2026'!AE2002,'ENGAGEMENTS 2026'!O2002),'ENGAGEMENTS 2026'!AE2002))))</f>
        <v/>
      </c>
      <c r="K2002" s="604">
        <f>IF(ISBLANK('ENGAGEMENTS 2026'!W2002),"",'ENGAGEMENTS 2026'!W2002)</f>
        <v/>
      </c>
      <c r="L2002" s="276">
        <f>IF($K2002="","",TODAY()-$K2002)</f>
        <v/>
      </c>
      <c r="M2002">
        <f>IF($A2002="","",IF($H2002="ENGAGE","Engagé",IF(AND($H2002="NON ENGAGE",OR($I2002="INFRUCTUEUX",$I2002="ANNULE")),"Clôturé sans suite","En cours")))</f>
        <v/>
      </c>
      <c r="N2002">
        <f>IF(ISBLANK('ENGAGEMENTS 2026'!C2002),"",'ENGAGEMENTS 2026'!L2002)</f>
        <v/>
      </c>
      <c r="O2002">
        <f>IF(ISBLANK('ENGAGEMENTS 2026'!C2002),"",'ENGAGEMENTS 2026'!M2002)</f>
        <v/>
      </c>
      <c r="P2002">
        <f>IF(ISBLANK('ENGAGEMENTS 2026'!C2002),"",'ENGAGEMENTS 2026'!K2002)</f>
        <v/>
      </c>
      <c r="Q2002">
        <f>IF($A2002="","",IF(OR($E2002="INFRUCTUEUX",$E2002="ANNULE"),$A2002&amp;"|"&amp;(COUNTIFS($A$2:$A2002,$A2002,$E$2:$E2002,"INFRUCTUEUX")+COUNTIFS($A$2:$A2002,$A2002,$E$2:$E2002,"ANNULE")),""))</f>
        <v/>
      </c>
    </row>
    <row r="2003">
      <c r="A2003">
        <f>IF(ISBLANK('ENGAGEMENTS 2026'!C2003),"",IF('ENGAGEMENTS 2026'!C2003="DTSI","DCT",'ENGAGEMENTS 2026'!C2003))</f>
        <v/>
      </c>
      <c r="B2003">
        <f>IF(ISBLANK('ENGAGEMENTS 2026'!C2003),"",'ENGAGEMENTS 2026'!D2003)</f>
        <v/>
      </c>
      <c r="C2003">
        <f>IF(ISBLANK('ENGAGEMENTS 2026'!C2003),"",'ENGAGEMENTS 2026'!E2003)</f>
        <v/>
      </c>
      <c r="D2003">
        <f>IF(ISBLANK('ENGAGEMENTS 2026'!C2003),"",'ENGAGEMENTS 2026'!G2003)</f>
        <v/>
      </c>
      <c r="E2003">
        <f>IF(ISBLANK('ENGAGEMENTS 2026'!C2003),"",'ENGAGEMENTS 2026'!I2003)</f>
        <v/>
      </c>
      <c r="F2003">
        <f>IF(ISBLANK('ENGAGEMENTS 2026'!C2003),"",'ENGAGEMENTS 2026'!J2003)</f>
        <v/>
      </c>
      <c r="G2003">
        <f>IF(ISBLANK('ENGAGEMENTS 2026'!C2003),"",'ENGAGEMENTS 2026'!M2003)</f>
        <v/>
      </c>
      <c r="H2003">
        <f>IF(ISBLANK('ENGAGEMENTS 2026'!C2003),"",'ENGAGEMENTS 2026'!AF2003)</f>
        <v/>
      </c>
      <c r="I2003">
        <f>IF(ISBLANK('ENGAGEMENTS 2026'!C2003),"",'ENGAGEMENTS 2026'!H2003)</f>
        <v/>
      </c>
      <c r="J2003" s="275">
        <f>IF(ISBLANK('ENGAGEMENTS 2026'!C2003),"",IF(AND(OR($E2003="INFRUCTUEUX",$E2003="ANNULE"),$C2003="AOO-M"),'ENGAGEMENTS 2026'!P2003,IF($H2003="EN COURS DE PREENGAGEMENT",'ENGAGEMENTS 2026'!O2003,IF($H2003="PREENGAGE",IF($E2003="ATTRIBUE",'ENGAGEMENTS 2026'!AE2003,'ENGAGEMENTS 2026'!O2003),'ENGAGEMENTS 2026'!AE2003))))</f>
        <v/>
      </c>
      <c r="K2003" s="604">
        <f>IF(ISBLANK('ENGAGEMENTS 2026'!W2003),"",'ENGAGEMENTS 2026'!W2003)</f>
        <v/>
      </c>
      <c r="L2003" s="276">
        <f>IF($K2003="","",TODAY()-$K2003)</f>
        <v/>
      </c>
      <c r="M2003">
        <f>IF($A2003="","",IF($H2003="ENGAGE","Engagé",IF(AND($H2003="NON ENGAGE",OR($I2003="INFRUCTUEUX",$I2003="ANNULE")),"Clôturé sans suite","En cours")))</f>
        <v/>
      </c>
      <c r="N2003">
        <f>IF(ISBLANK('ENGAGEMENTS 2026'!C2003),"",'ENGAGEMENTS 2026'!L2003)</f>
        <v/>
      </c>
      <c r="O2003">
        <f>IF(ISBLANK('ENGAGEMENTS 2026'!C2003),"",'ENGAGEMENTS 2026'!M2003)</f>
        <v/>
      </c>
      <c r="P2003">
        <f>IF(ISBLANK('ENGAGEMENTS 2026'!C2003),"",'ENGAGEMENTS 2026'!K2003)</f>
        <v/>
      </c>
      <c r="Q2003">
        <f>IF($A2003="","",IF(OR($E2003="INFRUCTUEUX",$E2003="ANNULE"),$A2003&amp;"|"&amp;(COUNTIFS($A$2:$A2003,$A2003,$E$2:$E2003,"INFRUCTUEUX")+COUNTIFS($A$2:$A2003,$A2003,$E$2:$E2003,"ANNULE")),""))</f>
        <v/>
      </c>
    </row>
    <row r="2004">
      <c r="A2004">
        <f>IF(ISBLANK('ENGAGEMENTS 2026'!C2004),"",IF('ENGAGEMENTS 2026'!C2004="DTSI","DCT",'ENGAGEMENTS 2026'!C2004))</f>
        <v/>
      </c>
      <c r="B2004">
        <f>IF(ISBLANK('ENGAGEMENTS 2026'!C2004),"",'ENGAGEMENTS 2026'!D2004)</f>
        <v/>
      </c>
      <c r="C2004">
        <f>IF(ISBLANK('ENGAGEMENTS 2026'!C2004),"",'ENGAGEMENTS 2026'!E2004)</f>
        <v/>
      </c>
      <c r="D2004">
        <f>IF(ISBLANK('ENGAGEMENTS 2026'!C2004),"",'ENGAGEMENTS 2026'!G2004)</f>
        <v/>
      </c>
      <c r="E2004">
        <f>IF(ISBLANK('ENGAGEMENTS 2026'!C2004),"",'ENGAGEMENTS 2026'!I2004)</f>
        <v/>
      </c>
      <c r="F2004">
        <f>IF(ISBLANK('ENGAGEMENTS 2026'!C2004),"",'ENGAGEMENTS 2026'!J2004)</f>
        <v/>
      </c>
      <c r="G2004">
        <f>IF(ISBLANK('ENGAGEMENTS 2026'!C2004),"",'ENGAGEMENTS 2026'!M2004)</f>
        <v/>
      </c>
      <c r="H2004">
        <f>IF(ISBLANK('ENGAGEMENTS 2026'!C2004),"",'ENGAGEMENTS 2026'!AF2004)</f>
        <v/>
      </c>
      <c r="I2004">
        <f>IF(ISBLANK('ENGAGEMENTS 2026'!C2004),"",'ENGAGEMENTS 2026'!H2004)</f>
        <v/>
      </c>
      <c r="J2004" s="275">
        <f>IF(ISBLANK('ENGAGEMENTS 2026'!C2004),"",IF(AND(OR($E2004="INFRUCTUEUX",$E2004="ANNULE"),$C2004="AOO-M"),'ENGAGEMENTS 2026'!P2004,IF($H2004="EN COURS DE PREENGAGEMENT",'ENGAGEMENTS 2026'!O2004,IF($H2004="PREENGAGE",IF($E2004="ATTRIBUE",'ENGAGEMENTS 2026'!AE2004,'ENGAGEMENTS 2026'!O2004),'ENGAGEMENTS 2026'!AE2004))))</f>
        <v/>
      </c>
      <c r="K2004" s="604">
        <f>IF(ISBLANK('ENGAGEMENTS 2026'!W2004),"",'ENGAGEMENTS 2026'!W2004)</f>
        <v/>
      </c>
      <c r="L2004" s="276">
        <f>IF($K2004="","",TODAY()-$K2004)</f>
        <v/>
      </c>
      <c r="M2004">
        <f>IF($A2004="","",IF($H2004="ENGAGE","Engagé",IF(AND($H2004="NON ENGAGE",OR($I2004="INFRUCTUEUX",$I2004="ANNULE")),"Clôturé sans suite","En cours")))</f>
        <v/>
      </c>
      <c r="N2004">
        <f>IF(ISBLANK('ENGAGEMENTS 2026'!C2004),"",'ENGAGEMENTS 2026'!L2004)</f>
        <v/>
      </c>
      <c r="O2004">
        <f>IF(ISBLANK('ENGAGEMENTS 2026'!C2004),"",'ENGAGEMENTS 2026'!M2004)</f>
        <v/>
      </c>
      <c r="P2004">
        <f>IF(ISBLANK('ENGAGEMENTS 2026'!C2004),"",'ENGAGEMENTS 2026'!K2004)</f>
        <v/>
      </c>
      <c r="Q2004">
        <f>IF($A2004="","",IF(OR($E2004="INFRUCTUEUX",$E2004="ANNULE"),$A2004&amp;"|"&amp;(COUNTIFS($A$2:$A2004,$A2004,$E$2:$E2004,"INFRUCTUEUX")+COUNTIFS($A$2:$A2004,$A2004,$E$2:$E2004,"ANNULE")),""))</f>
        <v/>
      </c>
    </row>
    <row r="2005">
      <c r="A2005">
        <f>IF(ISBLANK('ENGAGEMENTS 2026'!C2005),"",IF('ENGAGEMENTS 2026'!C2005="DTSI","DCT",'ENGAGEMENTS 2026'!C2005))</f>
        <v/>
      </c>
      <c r="B2005">
        <f>IF(ISBLANK('ENGAGEMENTS 2026'!C2005),"",'ENGAGEMENTS 2026'!D2005)</f>
        <v/>
      </c>
      <c r="C2005">
        <f>IF(ISBLANK('ENGAGEMENTS 2026'!C2005),"",'ENGAGEMENTS 2026'!E2005)</f>
        <v/>
      </c>
      <c r="D2005">
        <f>IF(ISBLANK('ENGAGEMENTS 2026'!C2005),"",'ENGAGEMENTS 2026'!G2005)</f>
        <v/>
      </c>
      <c r="E2005">
        <f>IF(ISBLANK('ENGAGEMENTS 2026'!C2005),"",'ENGAGEMENTS 2026'!I2005)</f>
        <v/>
      </c>
      <c r="F2005">
        <f>IF(ISBLANK('ENGAGEMENTS 2026'!C2005),"",'ENGAGEMENTS 2026'!J2005)</f>
        <v/>
      </c>
      <c r="G2005">
        <f>IF(ISBLANK('ENGAGEMENTS 2026'!C2005),"",'ENGAGEMENTS 2026'!M2005)</f>
        <v/>
      </c>
      <c r="H2005">
        <f>IF(ISBLANK('ENGAGEMENTS 2026'!C2005),"",'ENGAGEMENTS 2026'!AF2005)</f>
        <v/>
      </c>
      <c r="I2005">
        <f>IF(ISBLANK('ENGAGEMENTS 2026'!C2005),"",'ENGAGEMENTS 2026'!H2005)</f>
        <v/>
      </c>
      <c r="J2005" s="275">
        <f>IF(ISBLANK('ENGAGEMENTS 2026'!C2005),"",IF(AND(OR($E2005="INFRUCTUEUX",$E2005="ANNULE"),$C2005="AOO-M"),'ENGAGEMENTS 2026'!P2005,IF($H2005="EN COURS DE PREENGAGEMENT",'ENGAGEMENTS 2026'!O2005,IF($H2005="PREENGAGE",IF($E2005="ATTRIBUE",'ENGAGEMENTS 2026'!AE2005,'ENGAGEMENTS 2026'!O2005),'ENGAGEMENTS 2026'!AE2005))))</f>
        <v/>
      </c>
      <c r="K2005" s="604">
        <f>IF(ISBLANK('ENGAGEMENTS 2026'!W2005),"",'ENGAGEMENTS 2026'!W2005)</f>
        <v/>
      </c>
      <c r="L2005" s="276">
        <f>IF($K2005="","",TODAY()-$K2005)</f>
        <v/>
      </c>
      <c r="M2005">
        <f>IF($A2005="","",IF($H2005="ENGAGE","Engagé",IF(AND($H2005="NON ENGAGE",OR($I2005="INFRUCTUEUX",$I2005="ANNULE")),"Clôturé sans suite","En cours")))</f>
        <v/>
      </c>
      <c r="N2005">
        <f>IF(ISBLANK('ENGAGEMENTS 2026'!C2005),"",'ENGAGEMENTS 2026'!L2005)</f>
        <v/>
      </c>
      <c r="O2005">
        <f>IF(ISBLANK('ENGAGEMENTS 2026'!C2005),"",'ENGAGEMENTS 2026'!M2005)</f>
        <v/>
      </c>
      <c r="P2005">
        <f>IF(ISBLANK('ENGAGEMENTS 2026'!C2005),"",'ENGAGEMENTS 2026'!K2005)</f>
        <v/>
      </c>
      <c r="Q2005">
        <f>IF($A2005="","",IF(OR($E2005="INFRUCTUEUX",$E2005="ANNULE"),$A2005&amp;"|"&amp;(COUNTIFS($A$2:$A2005,$A2005,$E$2:$E2005,"INFRUCTUEUX")+COUNTIFS($A$2:$A2005,$A2005,$E$2:$E2005,"ANNULE")),""))</f>
        <v/>
      </c>
    </row>
    <row r="2006">
      <c r="A2006">
        <f>IF(ISBLANK('ENGAGEMENTS 2026'!C2006),"",IF('ENGAGEMENTS 2026'!C2006="DTSI","DCT",'ENGAGEMENTS 2026'!C2006))</f>
        <v/>
      </c>
      <c r="B2006">
        <f>IF(ISBLANK('ENGAGEMENTS 2026'!C2006),"",'ENGAGEMENTS 2026'!D2006)</f>
        <v/>
      </c>
      <c r="C2006">
        <f>IF(ISBLANK('ENGAGEMENTS 2026'!C2006),"",'ENGAGEMENTS 2026'!E2006)</f>
        <v/>
      </c>
      <c r="D2006">
        <f>IF(ISBLANK('ENGAGEMENTS 2026'!C2006),"",'ENGAGEMENTS 2026'!G2006)</f>
        <v/>
      </c>
      <c r="E2006">
        <f>IF(ISBLANK('ENGAGEMENTS 2026'!C2006),"",'ENGAGEMENTS 2026'!I2006)</f>
        <v/>
      </c>
      <c r="F2006">
        <f>IF(ISBLANK('ENGAGEMENTS 2026'!C2006),"",'ENGAGEMENTS 2026'!J2006)</f>
        <v/>
      </c>
      <c r="G2006">
        <f>IF(ISBLANK('ENGAGEMENTS 2026'!C2006),"",'ENGAGEMENTS 2026'!M2006)</f>
        <v/>
      </c>
      <c r="H2006">
        <f>IF(ISBLANK('ENGAGEMENTS 2026'!C2006),"",'ENGAGEMENTS 2026'!AF2006)</f>
        <v/>
      </c>
      <c r="I2006">
        <f>IF(ISBLANK('ENGAGEMENTS 2026'!C2006),"",'ENGAGEMENTS 2026'!H2006)</f>
        <v/>
      </c>
      <c r="J2006" s="275">
        <f>IF(ISBLANK('ENGAGEMENTS 2026'!C2006),"",IF(AND(OR($E2006="INFRUCTUEUX",$E2006="ANNULE"),$C2006="AOO-M"),'ENGAGEMENTS 2026'!P2006,IF($H2006="EN COURS DE PREENGAGEMENT",'ENGAGEMENTS 2026'!O2006,IF($H2006="PREENGAGE",IF($E2006="ATTRIBUE",'ENGAGEMENTS 2026'!AE2006,'ENGAGEMENTS 2026'!O2006),'ENGAGEMENTS 2026'!AE2006))))</f>
        <v/>
      </c>
      <c r="K2006" s="604">
        <f>IF(ISBLANK('ENGAGEMENTS 2026'!W2006),"",'ENGAGEMENTS 2026'!W2006)</f>
        <v/>
      </c>
      <c r="L2006" s="276">
        <f>IF($K2006="","",TODAY()-$K2006)</f>
        <v/>
      </c>
      <c r="M2006">
        <f>IF($A2006="","",IF($H2006="ENGAGE","Engagé",IF(AND($H2006="NON ENGAGE",OR($I2006="INFRUCTUEUX",$I2006="ANNULE")),"Clôturé sans suite","En cours")))</f>
        <v/>
      </c>
      <c r="N2006">
        <f>IF(ISBLANK('ENGAGEMENTS 2026'!C2006),"",'ENGAGEMENTS 2026'!L2006)</f>
        <v/>
      </c>
      <c r="O2006">
        <f>IF(ISBLANK('ENGAGEMENTS 2026'!C2006),"",'ENGAGEMENTS 2026'!M2006)</f>
        <v/>
      </c>
      <c r="P2006">
        <f>IF(ISBLANK('ENGAGEMENTS 2026'!C2006),"",'ENGAGEMENTS 2026'!K2006)</f>
        <v/>
      </c>
      <c r="Q2006">
        <f>IF($A2006="","",IF(OR($E2006="INFRUCTUEUX",$E2006="ANNULE"),$A2006&amp;"|"&amp;(COUNTIFS($A$2:$A2006,$A2006,$E$2:$E2006,"INFRUCTUEUX")+COUNTIFS($A$2:$A2006,$A2006,$E$2:$E2006,"ANNULE")),""))</f>
        <v/>
      </c>
    </row>
    <row r="2007">
      <c r="A2007">
        <f>IF(ISBLANK('ENGAGEMENTS 2026'!C2007),"",IF('ENGAGEMENTS 2026'!C2007="DTSI","DCT",'ENGAGEMENTS 2026'!C2007))</f>
        <v/>
      </c>
      <c r="B2007">
        <f>IF(ISBLANK('ENGAGEMENTS 2026'!C2007),"",'ENGAGEMENTS 2026'!D2007)</f>
        <v/>
      </c>
      <c r="C2007">
        <f>IF(ISBLANK('ENGAGEMENTS 2026'!C2007),"",'ENGAGEMENTS 2026'!E2007)</f>
        <v/>
      </c>
      <c r="D2007">
        <f>IF(ISBLANK('ENGAGEMENTS 2026'!C2007),"",'ENGAGEMENTS 2026'!G2007)</f>
        <v/>
      </c>
      <c r="E2007">
        <f>IF(ISBLANK('ENGAGEMENTS 2026'!C2007),"",'ENGAGEMENTS 2026'!I2007)</f>
        <v/>
      </c>
      <c r="F2007">
        <f>IF(ISBLANK('ENGAGEMENTS 2026'!C2007),"",'ENGAGEMENTS 2026'!J2007)</f>
        <v/>
      </c>
      <c r="G2007">
        <f>IF(ISBLANK('ENGAGEMENTS 2026'!C2007),"",'ENGAGEMENTS 2026'!M2007)</f>
        <v/>
      </c>
      <c r="H2007">
        <f>IF(ISBLANK('ENGAGEMENTS 2026'!C2007),"",'ENGAGEMENTS 2026'!AF2007)</f>
        <v/>
      </c>
      <c r="I2007">
        <f>IF(ISBLANK('ENGAGEMENTS 2026'!C2007),"",'ENGAGEMENTS 2026'!H2007)</f>
        <v/>
      </c>
      <c r="J2007" s="275">
        <f>IF(ISBLANK('ENGAGEMENTS 2026'!C2007),"",IF(AND(OR($E2007="INFRUCTUEUX",$E2007="ANNULE"),$C2007="AOO-M"),'ENGAGEMENTS 2026'!P2007,IF($H2007="EN COURS DE PREENGAGEMENT",'ENGAGEMENTS 2026'!O2007,IF($H2007="PREENGAGE",IF($E2007="ATTRIBUE",'ENGAGEMENTS 2026'!AE2007,'ENGAGEMENTS 2026'!O2007),'ENGAGEMENTS 2026'!AE2007))))</f>
        <v/>
      </c>
      <c r="K2007" s="604">
        <f>IF(ISBLANK('ENGAGEMENTS 2026'!W2007),"",'ENGAGEMENTS 2026'!W2007)</f>
        <v/>
      </c>
      <c r="L2007" s="276">
        <f>IF($K2007="","",TODAY()-$K2007)</f>
        <v/>
      </c>
      <c r="M2007">
        <f>IF($A2007="","",IF($H2007="ENGAGE","Engagé",IF(AND($H2007="NON ENGAGE",OR($I2007="INFRUCTUEUX",$I2007="ANNULE")),"Clôturé sans suite","En cours")))</f>
        <v/>
      </c>
      <c r="N2007">
        <f>IF(ISBLANK('ENGAGEMENTS 2026'!C2007),"",'ENGAGEMENTS 2026'!L2007)</f>
        <v/>
      </c>
      <c r="O2007">
        <f>IF(ISBLANK('ENGAGEMENTS 2026'!C2007),"",'ENGAGEMENTS 2026'!M2007)</f>
        <v/>
      </c>
      <c r="P2007">
        <f>IF(ISBLANK('ENGAGEMENTS 2026'!C2007),"",'ENGAGEMENTS 2026'!K2007)</f>
        <v/>
      </c>
      <c r="Q2007">
        <f>IF($A2007="","",IF(OR($E2007="INFRUCTUEUX",$E2007="ANNULE"),$A2007&amp;"|"&amp;(COUNTIFS($A$2:$A2007,$A2007,$E$2:$E2007,"INFRUCTUEUX")+COUNTIFS($A$2:$A2007,$A2007,$E$2:$E2007,"ANNULE")),""))</f>
        <v/>
      </c>
    </row>
    <row r="2008">
      <c r="A2008">
        <f>IF(ISBLANK('ENGAGEMENTS 2026'!C2008),"",IF('ENGAGEMENTS 2026'!C2008="DTSI","DCT",'ENGAGEMENTS 2026'!C2008))</f>
        <v/>
      </c>
      <c r="B2008">
        <f>IF(ISBLANK('ENGAGEMENTS 2026'!C2008),"",'ENGAGEMENTS 2026'!D2008)</f>
        <v/>
      </c>
      <c r="C2008">
        <f>IF(ISBLANK('ENGAGEMENTS 2026'!C2008),"",'ENGAGEMENTS 2026'!E2008)</f>
        <v/>
      </c>
      <c r="D2008">
        <f>IF(ISBLANK('ENGAGEMENTS 2026'!C2008),"",'ENGAGEMENTS 2026'!G2008)</f>
        <v/>
      </c>
      <c r="E2008">
        <f>IF(ISBLANK('ENGAGEMENTS 2026'!C2008),"",'ENGAGEMENTS 2026'!I2008)</f>
        <v/>
      </c>
      <c r="F2008">
        <f>IF(ISBLANK('ENGAGEMENTS 2026'!C2008),"",'ENGAGEMENTS 2026'!J2008)</f>
        <v/>
      </c>
      <c r="G2008">
        <f>IF(ISBLANK('ENGAGEMENTS 2026'!C2008),"",'ENGAGEMENTS 2026'!M2008)</f>
        <v/>
      </c>
      <c r="H2008">
        <f>IF(ISBLANK('ENGAGEMENTS 2026'!C2008),"",'ENGAGEMENTS 2026'!AF2008)</f>
        <v/>
      </c>
      <c r="I2008">
        <f>IF(ISBLANK('ENGAGEMENTS 2026'!C2008),"",'ENGAGEMENTS 2026'!H2008)</f>
        <v/>
      </c>
      <c r="J2008" s="275">
        <f>IF(ISBLANK('ENGAGEMENTS 2026'!C2008),"",IF(AND(OR($E2008="INFRUCTUEUX",$E2008="ANNULE"),$C2008="AOO-M"),'ENGAGEMENTS 2026'!P2008,IF($H2008="EN COURS DE PREENGAGEMENT",'ENGAGEMENTS 2026'!O2008,IF($H2008="PREENGAGE",IF($E2008="ATTRIBUE",'ENGAGEMENTS 2026'!AE2008,'ENGAGEMENTS 2026'!O2008),'ENGAGEMENTS 2026'!AE2008))))</f>
        <v/>
      </c>
      <c r="K2008" s="604">
        <f>IF(ISBLANK('ENGAGEMENTS 2026'!W2008),"",'ENGAGEMENTS 2026'!W2008)</f>
        <v/>
      </c>
      <c r="L2008" s="276">
        <f>IF($K2008="","",TODAY()-$K2008)</f>
        <v/>
      </c>
      <c r="M2008">
        <f>IF($A2008="","",IF($H2008="ENGAGE","Engagé",IF(AND($H2008="NON ENGAGE",OR($I2008="INFRUCTUEUX",$I2008="ANNULE")),"Clôturé sans suite","En cours")))</f>
        <v/>
      </c>
      <c r="N2008">
        <f>IF(ISBLANK('ENGAGEMENTS 2026'!C2008),"",'ENGAGEMENTS 2026'!L2008)</f>
        <v/>
      </c>
      <c r="O2008">
        <f>IF(ISBLANK('ENGAGEMENTS 2026'!C2008),"",'ENGAGEMENTS 2026'!M2008)</f>
        <v/>
      </c>
      <c r="P2008">
        <f>IF(ISBLANK('ENGAGEMENTS 2026'!C2008),"",'ENGAGEMENTS 2026'!K2008)</f>
        <v/>
      </c>
      <c r="Q2008">
        <f>IF($A2008="","",IF(OR($E2008="INFRUCTUEUX",$E2008="ANNULE"),$A2008&amp;"|"&amp;(COUNTIFS($A$2:$A2008,$A2008,$E$2:$E2008,"INFRUCTUEUX")+COUNTIFS($A$2:$A2008,$A2008,$E$2:$E2008,"ANNULE")),""))</f>
        <v/>
      </c>
    </row>
    <row r="2009">
      <c r="A2009">
        <f>IF(ISBLANK('ENGAGEMENTS 2026'!C2009),"",IF('ENGAGEMENTS 2026'!C2009="DTSI","DCT",'ENGAGEMENTS 2026'!C2009))</f>
        <v/>
      </c>
      <c r="B2009">
        <f>IF(ISBLANK('ENGAGEMENTS 2026'!C2009),"",'ENGAGEMENTS 2026'!D2009)</f>
        <v/>
      </c>
      <c r="C2009">
        <f>IF(ISBLANK('ENGAGEMENTS 2026'!C2009),"",'ENGAGEMENTS 2026'!E2009)</f>
        <v/>
      </c>
      <c r="D2009">
        <f>IF(ISBLANK('ENGAGEMENTS 2026'!C2009),"",'ENGAGEMENTS 2026'!G2009)</f>
        <v/>
      </c>
      <c r="E2009">
        <f>IF(ISBLANK('ENGAGEMENTS 2026'!C2009),"",'ENGAGEMENTS 2026'!I2009)</f>
        <v/>
      </c>
      <c r="F2009">
        <f>IF(ISBLANK('ENGAGEMENTS 2026'!C2009),"",'ENGAGEMENTS 2026'!J2009)</f>
        <v/>
      </c>
      <c r="G2009">
        <f>IF(ISBLANK('ENGAGEMENTS 2026'!C2009),"",'ENGAGEMENTS 2026'!M2009)</f>
        <v/>
      </c>
      <c r="H2009">
        <f>IF(ISBLANK('ENGAGEMENTS 2026'!C2009),"",'ENGAGEMENTS 2026'!AF2009)</f>
        <v/>
      </c>
      <c r="I2009">
        <f>IF(ISBLANK('ENGAGEMENTS 2026'!C2009),"",'ENGAGEMENTS 2026'!H2009)</f>
        <v/>
      </c>
      <c r="J2009" s="275">
        <f>IF(ISBLANK('ENGAGEMENTS 2026'!C2009),"",IF(AND(OR($E2009="INFRUCTUEUX",$E2009="ANNULE"),$C2009="AOO-M"),'ENGAGEMENTS 2026'!P2009,IF($H2009="EN COURS DE PREENGAGEMENT",'ENGAGEMENTS 2026'!O2009,IF($H2009="PREENGAGE",IF($E2009="ATTRIBUE",'ENGAGEMENTS 2026'!AE2009,'ENGAGEMENTS 2026'!O2009),'ENGAGEMENTS 2026'!AE2009))))</f>
        <v/>
      </c>
      <c r="K2009" s="604">
        <f>IF(ISBLANK('ENGAGEMENTS 2026'!W2009),"",'ENGAGEMENTS 2026'!W2009)</f>
        <v/>
      </c>
      <c r="L2009" s="276">
        <f>IF($K2009="","",TODAY()-$K2009)</f>
        <v/>
      </c>
      <c r="M2009">
        <f>IF($A2009="","",IF($H2009="ENGAGE","Engagé",IF(AND($H2009="NON ENGAGE",OR($I2009="INFRUCTUEUX",$I2009="ANNULE")),"Clôturé sans suite","En cours")))</f>
        <v/>
      </c>
      <c r="N2009">
        <f>IF(ISBLANK('ENGAGEMENTS 2026'!C2009),"",'ENGAGEMENTS 2026'!L2009)</f>
        <v/>
      </c>
      <c r="O2009">
        <f>IF(ISBLANK('ENGAGEMENTS 2026'!C2009),"",'ENGAGEMENTS 2026'!M2009)</f>
        <v/>
      </c>
      <c r="P2009">
        <f>IF(ISBLANK('ENGAGEMENTS 2026'!C2009),"",'ENGAGEMENTS 2026'!K2009)</f>
        <v/>
      </c>
      <c r="Q2009">
        <f>IF($A2009="","",IF(OR($E2009="INFRUCTUEUX",$E2009="ANNULE"),$A2009&amp;"|"&amp;(COUNTIFS($A$2:$A2009,$A2009,$E$2:$E2009,"INFRUCTUEUX")+COUNTIFS($A$2:$A2009,$A2009,$E$2:$E2009,"ANNULE")),""))</f>
        <v/>
      </c>
    </row>
    <row r="2010">
      <c r="A2010">
        <f>IF(ISBLANK('ENGAGEMENTS 2026'!C2010),"",IF('ENGAGEMENTS 2026'!C2010="DTSI","DCT",'ENGAGEMENTS 2026'!C2010))</f>
        <v/>
      </c>
      <c r="B2010">
        <f>IF(ISBLANK('ENGAGEMENTS 2026'!C2010),"",'ENGAGEMENTS 2026'!D2010)</f>
        <v/>
      </c>
      <c r="C2010">
        <f>IF(ISBLANK('ENGAGEMENTS 2026'!C2010),"",'ENGAGEMENTS 2026'!E2010)</f>
        <v/>
      </c>
      <c r="D2010">
        <f>IF(ISBLANK('ENGAGEMENTS 2026'!C2010),"",'ENGAGEMENTS 2026'!G2010)</f>
        <v/>
      </c>
      <c r="E2010">
        <f>IF(ISBLANK('ENGAGEMENTS 2026'!C2010),"",'ENGAGEMENTS 2026'!I2010)</f>
        <v/>
      </c>
      <c r="F2010">
        <f>IF(ISBLANK('ENGAGEMENTS 2026'!C2010),"",'ENGAGEMENTS 2026'!J2010)</f>
        <v/>
      </c>
      <c r="G2010">
        <f>IF(ISBLANK('ENGAGEMENTS 2026'!C2010),"",'ENGAGEMENTS 2026'!M2010)</f>
        <v/>
      </c>
      <c r="H2010">
        <f>IF(ISBLANK('ENGAGEMENTS 2026'!C2010),"",'ENGAGEMENTS 2026'!AF2010)</f>
        <v/>
      </c>
      <c r="I2010">
        <f>IF(ISBLANK('ENGAGEMENTS 2026'!C2010),"",'ENGAGEMENTS 2026'!H2010)</f>
        <v/>
      </c>
      <c r="J2010" s="275">
        <f>IF(ISBLANK('ENGAGEMENTS 2026'!C2010),"",IF(AND(OR($E2010="INFRUCTUEUX",$E2010="ANNULE"),$C2010="AOO-M"),'ENGAGEMENTS 2026'!P2010,IF($H2010="EN COURS DE PREENGAGEMENT",'ENGAGEMENTS 2026'!O2010,IF($H2010="PREENGAGE",IF($E2010="ATTRIBUE",'ENGAGEMENTS 2026'!AE2010,'ENGAGEMENTS 2026'!O2010),'ENGAGEMENTS 2026'!AE2010))))</f>
        <v/>
      </c>
      <c r="K2010" s="604">
        <f>IF(ISBLANK('ENGAGEMENTS 2026'!W2010),"",'ENGAGEMENTS 2026'!W2010)</f>
        <v/>
      </c>
      <c r="L2010" s="276">
        <f>IF($K2010="","",TODAY()-$K2010)</f>
        <v/>
      </c>
      <c r="M2010">
        <f>IF($A2010="","",IF($H2010="ENGAGE","Engagé",IF(AND($H2010="NON ENGAGE",OR($I2010="INFRUCTUEUX",$I2010="ANNULE")),"Clôturé sans suite","En cours")))</f>
        <v/>
      </c>
      <c r="N2010">
        <f>IF(ISBLANK('ENGAGEMENTS 2026'!C2010),"",'ENGAGEMENTS 2026'!L2010)</f>
        <v/>
      </c>
      <c r="O2010">
        <f>IF(ISBLANK('ENGAGEMENTS 2026'!C2010),"",'ENGAGEMENTS 2026'!M2010)</f>
        <v/>
      </c>
      <c r="P2010">
        <f>IF(ISBLANK('ENGAGEMENTS 2026'!C2010),"",'ENGAGEMENTS 2026'!K2010)</f>
        <v/>
      </c>
      <c r="Q2010">
        <f>IF($A2010="","",IF(OR($E2010="INFRUCTUEUX",$E2010="ANNULE"),$A2010&amp;"|"&amp;(COUNTIFS($A$2:$A2010,$A2010,$E$2:$E2010,"INFRUCTUEUX")+COUNTIFS($A$2:$A2010,$A2010,$E$2:$E2010,"ANNULE")),""))</f>
        <v/>
      </c>
    </row>
    <row r="2011">
      <c r="A2011">
        <f>IF(ISBLANK('ENGAGEMENTS 2026'!C2011),"",IF('ENGAGEMENTS 2026'!C2011="DTSI","DCT",'ENGAGEMENTS 2026'!C2011))</f>
        <v/>
      </c>
      <c r="B2011">
        <f>IF(ISBLANK('ENGAGEMENTS 2026'!C2011),"",'ENGAGEMENTS 2026'!D2011)</f>
        <v/>
      </c>
      <c r="C2011">
        <f>IF(ISBLANK('ENGAGEMENTS 2026'!C2011),"",'ENGAGEMENTS 2026'!E2011)</f>
        <v/>
      </c>
      <c r="D2011">
        <f>IF(ISBLANK('ENGAGEMENTS 2026'!C2011),"",'ENGAGEMENTS 2026'!G2011)</f>
        <v/>
      </c>
      <c r="E2011">
        <f>IF(ISBLANK('ENGAGEMENTS 2026'!C2011),"",'ENGAGEMENTS 2026'!I2011)</f>
        <v/>
      </c>
      <c r="F2011">
        <f>IF(ISBLANK('ENGAGEMENTS 2026'!C2011),"",'ENGAGEMENTS 2026'!J2011)</f>
        <v/>
      </c>
      <c r="G2011">
        <f>IF(ISBLANK('ENGAGEMENTS 2026'!C2011),"",'ENGAGEMENTS 2026'!M2011)</f>
        <v/>
      </c>
      <c r="H2011">
        <f>IF(ISBLANK('ENGAGEMENTS 2026'!C2011),"",'ENGAGEMENTS 2026'!AF2011)</f>
        <v/>
      </c>
      <c r="I2011">
        <f>IF(ISBLANK('ENGAGEMENTS 2026'!C2011),"",'ENGAGEMENTS 2026'!H2011)</f>
        <v/>
      </c>
      <c r="J2011" s="275">
        <f>IF(ISBLANK('ENGAGEMENTS 2026'!C2011),"",IF(AND(OR($E2011="INFRUCTUEUX",$E2011="ANNULE"),$C2011="AOO-M"),'ENGAGEMENTS 2026'!P2011,IF($H2011="EN COURS DE PREENGAGEMENT",'ENGAGEMENTS 2026'!O2011,IF($H2011="PREENGAGE",IF($E2011="ATTRIBUE",'ENGAGEMENTS 2026'!AE2011,'ENGAGEMENTS 2026'!O2011),'ENGAGEMENTS 2026'!AE2011))))</f>
        <v/>
      </c>
      <c r="K2011" s="604">
        <f>IF(ISBLANK('ENGAGEMENTS 2026'!W2011),"",'ENGAGEMENTS 2026'!W2011)</f>
        <v/>
      </c>
      <c r="L2011" s="276">
        <f>IF($K2011="","",TODAY()-$K2011)</f>
        <v/>
      </c>
      <c r="M2011">
        <f>IF($A2011="","",IF($H2011="ENGAGE","Engagé",IF(AND($H2011="NON ENGAGE",OR($I2011="INFRUCTUEUX",$I2011="ANNULE")),"Clôturé sans suite","En cours")))</f>
        <v/>
      </c>
      <c r="N2011">
        <f>IF(ISBLANK('ENGAGEMENTS 2026'!C2011),"",'ENGAGEMENTS 2026'!L2011)</f>
        <v/>
      </c>
      <c r="O2011">
        <f>IF(ISBLANK('ENGAGEMENTS 2026'!C2011),"",'ENGAGEMENTS 2026'!M2011)</f>
        <v/>
      </c>
      <c r="P2011">
        <f>IF(ISBLANK('ENGAGEMENTS 2026'!C2011),"",'ENGAGEMENTS 2026'!K2011)</f>
        <v/>
      </c>
      <c r="Q2011">
        <f>IF($A2011="","",IF(OR($E2011="INFRUCTUEUX",$E2011="ANNULE"),$A2011&amp;"|"&amp;(COUNTIFS($A$2:$A2011,$A2011,$E$2:$E2011,"INFRUCTUEUX")+COUNTIFS($A$2:$A2011,$A2011,$E$2:$E2011,"ANNULE")),""))</f>
        <v/>
      </c>
    </row>
    <row r="2012">
      <c r="A2012">
        <f>IF(ISBLANK('ENGAGEMENTS 2026'!C2012),"",IF('ENGAGEMENTS 2026'!C2012="DTSI","DCT",'ENGAGEMENTS 2026'!C2012))</f>
        <v/>
      </c>
      <c r="B2012">
        <f>IF(ISBLANK('ENGAGEMENTS 2026'!C2012),"",'ENGAGEMENTS 2026'!D2012)</f>
        <v/>
      </c>
      <c r="C2012">
        <f>IF(ISBLANK('ENGAGEMENTS 2026'!C2012),"",'ENGAGEMENTS 2026'!E2012)</f>
        <v/>
      </c>
      <c r="D2012">
        <f>IF(ISBLANK('ENGAGEMENTS 2026'!C2012),"",'ENGAGEMENTS 2026'!G2012)</f>
        <v/>
      </c>
      <c r="E2012">
        <f>IF(ISBLANK('ENGAGEMENTS 2026'!C2012),"",'ENGAGEMENTS 2026'!I2012)</f>
        <v/>
      </c>
      <c r="F2012">
        <f>IF(ISBLANK('ENGAGEMENTS 2026'!C2012),"",'ENGAGEMENTS 2026'!J2012)</f>
        <v/>
      </c>
      <c r="G2012">
        <f>IF(ISBLANK('ENGAGEMENTS 2026'!C2012),"",'ENGAGEMENTS 2026'!M2012)</f>
        <v/>
      </c>
      <c r="H2012">
        <f>IF(ISBLANK('ENGAGEMENTS 2026'!C2012),"",'ENGAGEMENTS 2026'!AF2012)</f>
        <v/>
      </c>
      <c r="I2012">
        <f>IF(ISBLANK('ENGAGEMENTS 2026'!C2012),"",'ENGAGEMENTS 2026'!H2012)</f>
        <v/>
      </c>
      <c r="J2012" s="275">
        <f>IF(ISBLANK('ENGAGEMENTS 2026'!C2012),"",IF(AND(OR($E2012="INFRUCTUEUX",$E2012="ANNULE"),$C2012="AOO-M"),'ENGAGEMENTS 2026'!P2012,IF($H2012="EN COURS DE PREENGAGEMENT",'ENGAGEMENTS 2026'!O2012,IF($H2012="PREENGAGE",IF($E2012="ATTRIBUE",'ENGAGEMENTS 2026'!AE2012,'ENGAGEMENTS 2026'!O2012),'ENGAGEMENTS 2026'!AE2012))))</f>
        <v/>
      </c>
      <c r="K2012" s="604">
        <f>IF(ISBLANK('ENGAGEMENTS 2026'!W2012),"",'ENGAGEMENTS 2026'!W2012)</f>
        <v/>
      </c>
      <c r="L2012" s="276">
        <f>IF($K2012="","",TODAY()-$K2012)</f>
        <v/>
      </c>
      <c r="M2012">
        <f>IF($A2012="","",IF($H2012="ENGAGE","Engagé",IF(AND($H2012="NON ENGAGE",OR($I2012="INFRUCTUEUX",$I2012="ANNULE")),"Clôturé sans suite","En cours")))</f>
        <v/>
      </c>
      <c r="N2012">
        <f>IF(ISBLANK('ENGAGEMENTS 2026'!C2012),"",'ENGAGEMENTS 2026'!L2012)</f>
        <v/>
      </c>
      <c r="O2012">
        <f>IF(ISBLANK('ENGAGEMENTS 2026'!C2012),"",'ENGAGEMENTS 2026'!M2012)</f>
        <v/>
      </c>
      <c r="P2012">
        <f>IF(ISBLANK('ENGAGEMENTS 2026'!C2012),"",'ENGAGEMENTS 2026'!K2012)</f>
        <v/>
      </c>
      <c r="Q2012">
        <f>IF($A2012="","",IF(OR($E2012="INFRUCTUEUX",$E2012="ANNULE"),$A2012&amp;"|"&amp;(COUNTIFS($A$2:$A2012,$A2012,$E$2:$E2012,"INFRUCTUEUX")+COUNTIFS($A$2:$A2012,$A2012,$E$2:$E2012,"ANNULE")),""))</f>
        <v/>
      </c>
    </row>
    <row r="2013">
      <c r="A2013">
        <f>IF(ISBLANK('ENGAGEMENTS 2026'!C2013),"",IF('ENGAGEMENTS 2026'!C2013="DTSI","DCT",'ENGAGEMENTS 2026'!C2013))</f>
        <v/>
      </c>
      <c r="B2013">
        <f>IF(ISBLANK('ENGAGEMENTS 2026'!C2013),"",'ENGAGEMENTS 2026'!D2013)</f>
        <v/>
      </c>
      <c r="C2013">
        <f>IF(ISBLANK('ENGAGEMENTS 2026'!C2013),"",'ENGAGEMENTS 2026'!E2013)</f>
        <v/>
      </c>
      <c r="D2013">
        <f>IF(ISBLANK('ENGAGEMENTS 2026'!C2013),"",'ENGAGEMENTS 2026'!G2013)</f>
        <v/>
      </c>
      <c r="E2013">
        <f>IF(ISBLANK('ENGAGEMENTS 2026'!C2013),"",'ENGAGEMENTS 2026'!I2013)</f>
        <v/>
      </c>
      <c r="F2013">
        <f>IF(ISBLANK('ENGAGEMENTS 2026'!C2013),"",'ENGAGEMENTS 2026'!J2013)</f>
        <v/>
      </c>
      <c r="G2013">
        <f>IF(ISBLANK('ENGAGEMENTS 2026'!C2013),"",'ENGAGEMENTS 2026'!M2013)</f>
        <v/>
      </c>
      <c r="H2013">
        <f>IF(ISBLANK('ENGAGEMENTS 2026'!C2013),"",'ENGAGEMENTS 2026'!AF2013)</f>
        <v/>
      </c>
      <c r="I2013">
        <f>IF(ISBLANK('ENGAGEMENTS 2026'!C2013),"",'ENGAGEMENTS 2026'!H2013)</f>
        <v/>
      </c>
      <c r="J2013" s="275">
        <f>IF(ISBLANK('ENGAGEMENTS 2026'!C2013),"",IF(AND(OR($E2013="INFRUCTUEUX",$E2013="ANNULE"),$C2013="AOO-M"),'ENGAGEMENTS 2026'!P2013,IF($H2013="EN COURS DE PREENGAGEMENT",'ENGAGEMENTS 2026'!O2013,IF($H2013="PREENGAGE",IF($E2013="ATTRIBUE",'ENGAGEMENTS 2026'!AE2013,'ENGAGEMENTS 2026'!O2013),'ENGAGEMENTS 2026'!AE2013))))</f>
        <v/>
      </c>
      <c r="K2013" s="604">
        <f>IF(ISBLANK('ENGAGEMENTS 2026'!W2013),"",'ENGAGEMENTS 2026'!W2013)</f>
        <v/>
      </c>
      <c r="L2013" s="276">
        <f>IF($K2013="","",TODAY()-$K2013)</f>
        <v/>
      </c>
      <c r="M2013">
        <f>IF($A2013="","",IF($H2013="ENGAGE","Engagé",IF(AND($H2013="NON ENGAGE",OR($I2013="INFRUCTUEUX",$I2013="ANNULE")),"Clôturé sans suite","En cours")))</f>
        <v/>
      </c>
      <c r="N2013">
        <f>IF(ISBLANK('ENGAGEMENTS 2026'!C2013),"",'ENGAGEMENTS 2026'!L2013)</f>
        <v/>
      </c>
      <c r="O2013">
        <f>IF(ISBLANK('ENGAGEMENTS 2026'!C2013),"",'ENGAGEMENTS 2026'!M2013)</f>
        <v/>
      </c>
      <c r="P2013">
        <f>IF(ISBLANK('ENGAGEMENTS 2026'!C2013),"",'ENGAGEMENTS 2026'!K2013)</f>
        <v/>
      </c>
      <c r="Q2013">
        <f>IF($A2013="","",IF(OR($E2013="INFRUCTUEUX",$E2013="ANNULE"),$A2013&amp;"|"&amp;(COUNTIFS($A$2:$A2013,$A2013,$E$2:$E2013,"INFRUCTUEUX")+COUNTIFS($A$2:$A2013,$A2013,$E$2:$E2013,"ANNULE")),""))</f>
        <v/>
      </c>
    </row>
    <row r="2014">
      <c r="A2014">
        <f>IF(ISBLANK('ENGAGEMENTS 2026'!C2014),"",IF('ENGAGEMENTS 2026'!C2014="DTSI","DCT",'ENGAGEMENTS 2026'!C2014))</f>
        <v/>
      </c>
      <c r="B2014">
        <f>IF(ISBLANK('ENGAGEMENTS 2026'!C2014),"",'ENGAGEMENTS 2026'!D2014)</f>
        <v/>
      </c>
      <c r="C2014">
        <f>IF(ISBLANK('ENGAGEMENTS 2026'!C2014),"",'ENGAGEMENTS 2026'!E2014)</f>
        <v/>
      </c>
      <c r="D2014">
        <f>IF(ISBLANK('ENGAGEMENTS 2026'!C2014),"",'ENGAGEMENTS 2026'!G2014)</f>
        <v/>
      </c>
      <c r="E2014">
        <f>IF(ISBLANK('ENGAGEMENTS 2026'!C2014),"",'ENGAGEMENTS 2026'!I2014)</f>
        <v/>
      </c>
      <c r="F2014">
        <f>IF(ISBLANK('ENGAGEMENTS 2026'!C2014),"",'ENGAGEMENTS 2026'!J2014)</f>
        <v/>
      </c>
      <c r="G2014">
        <f>IF(ISBLANK('ENGAGEMENTS 2026'!C2014),"",'ENGAGEMENTS 2026'!M2014)</f>
        <v/>
      </c>
      <c r="H2014">
        <f>IF(ISBLANK('ENGAGEMENTS 2026'!C2014),"",'ENGAGEMENTS 2026'!AF2014)</f>
        <v/>
      </c>
      <c r="I2014">
        <f>IF(ISBLANK('ENGAGEMENTS 2026'!C2014),"",'ENGAGEMENTS 2026'!H2014)</f>
        <v/>
      </c>
      <c r="J2014" s="275">
        <f>IF(ISBLANK('ENGAGEMENTS 2026'!C2014),"",IF(AND(OR($E2014="INFRUCTUEUX",$E2014="ANNULE"),$C2014="AOO-M"),'ENGAGEMENTS 2026'!P2014,IF($H2014="EN COURS DE PREENGAGEMENT",'ENGAGEMENTS 2026'!O2014,IF($H2014="PREENGAGE",IF($E2014="ATTRIBUE",'ENGAGEMENTS 2026'!AE2014,'ENGAGEMENTS 2026'!O2014),'ENGAGEMENTS 2026'!AE2014))))</f>
        <v/>
      </c>
      <c r="K2014" s="604">
        <f>IF(ISBLANK('ENGAGEMENTS 2026'!W2014),"",'ENGAGEMENTS 2026'!W2014)</f>
        <v/>
      </c>
      <c r="L2014" s="276">
        <f>IF($K2014="","",TODAY()-$K2014)</f>
        <v/>
      </c>
      <c r="M2014">
        <f>IF($A2014="","",IF($H2014="ENGAGE","Engagé",IF(AND($H2014="NON ENGAGE",OR($I2014="INFRUCTUEUX",$I2014="ANNULE")),"Clôturé sans suite","En cours")))</f>
        <v/>
      </c>
      <c r="N2014">
        <f>IF(ISBLANK('ENGAGEMENTS 2026'!C2014),"",'ENGAGEMENTS 2026'!L2014)</f>
        <v/>
      </c>
      <c r="O2014">
        <f>IF(ISBLANK('ENGAGEMENTS 2026'!C2014),"",'ENGAGEMENTS 2026'!M2014)</f>
        <v/>
      </c>
      <c r="P2014">
        <f>IF(ISBLANK('ENGAGEMENTS 2026'!C2014),"",'ENGAGEMENTS 2026'!K2014)</f>
        <v/>
      </c>
      <c r="Q2014">
        <f>IF($A2014="","",IF(OR($E2014="INFRUCTUEUX",$E2014="ANNULE"),$A2014&amp;"|"&amp;(COUNTIFS($A$2:$A2014,$A2014,$E$2:$E2014,"INFRUCTUEUX")+COUNTIFS($A$2:$A2014,$A2014,$E$2:$E2014,"ANNULE")),""))</f>
        <v/>
      </c>
    </row>
    <row r="2015">
      <c r="A2015">
        <f>IF(ISBLANK('ENGAGEMENTS 2026'!C2015),"",IF('ENGAGEMENTS 2026'!C2015="DTSI","DCT",'ENGAGEMENTS 2026'!C2015))</f>
        <v/>
      </c>
      <c r="B2015">
        <f>IF(ISBLANK('ENGAGEMENTS 2026'!C2015),"",'ENGAGEMENTS 2026'!D2015)</f>
        <v/>
      </c>
      <c r="C2015">
        <f>IF(ISBLANK('ENGAGEMENTS 2026'!C2015),"",'ENGAGEMENTS 2026'!E2015)</f>
        <v/>
      </c>
      <c r="D2015">
        <f>IF(ISBLANK('ENGAGEMENTS 2026'!C2015),"",'ENGAGEMENTS 2026'!G2015)</f>
        <v/>
      </c>
      <c r="E2015">
        <f>IF(ISBLANK('ENGAGEMENTS 2026'!C2015),"",'ENGAGEMENTS 2026'!I2015)</f>
        <v/>
      </c>
      <c r="F2015">
        <f>IF(ISBLANK('ENGAGEMENTS 2026'!C2015),"",'ENGAGEMENTS 2026'!J2015)</f>
        <v/>
      </c>
      <c r="G2015">
        <f>IF(ISBLANK('ENGAGEMENTS 2026'!C2015),"",'ENGAGEMENTS 2026'!M2015)</f>
        <v/>
      </c>
      <c r="H2015">
        <f>IF(ISBLANK('ENGAGEMENTS 2026'!C2015),"",'ENGAGEMENTS 2026'!AF2015)</f>
        <v/>
      </c>
      <c r="I2015">
        <f>IF(ISBLANK('ENGAGEMENTS 2026'!C2015),"",'ENGAGEMENTS 2026'!H2015)</f>
        <v/>
      </c>
      <c r="J2015" s="275">
        <f>IF(ISBLANK('ENGAGEMENTS 2026'!C2015),"",IF(AND(OR($E2015="INFRUCTUEUX",$E2015="ANNULE"),$C2015="AOO-M"),'ENGAGEMENTS 2026'!P2015,IF($H2015="EN COURS DE PREENGAGEMENT",'ENGAGEMENTS 2026'!O2015,IF($H2015="PREENGAGE",IF($E2015="ATTRIBUE",'ENGAGEMENTS 2026'!AE2015,'ENGAGEMENTS 2026'!O2015),'ENGAGEMENTS 2026'!AE2015))))</f>
        <v/>
      </c>
      <c r="K2015" s="604">
        <f>IF(ISBLANK('ENGAGEMENTS 2026'!W2015),"",'ENGAGEMENTS 2026'!W2015)</f>
        <v/>
      </c>
      <c r="L2015" s="276">
        <f>IF($K2015="","",TODAY()-$K2015)</f>
        <v/>
      </c>
      <c r="M2015">
        <f>IF($A2015="","",IF($H2015="ENGAGE","Engagé",IF(AND($H2015="NON ENGAGE",OR($I2015="INFRUCTUEUX",$I2015="ANNULE")),"Clôturé sans suite","En cours")))</f>
        <v/>
      </c>
      <c r="N2015">
        <f>IF(ISBLANK('ENGAGEMENTS 2026'!C2015),"",'ENGAGEMENTS 2026'!L2015)</f>
        <v/>
      </c>
      <c r="O2015">
        <f>IF(ISBLANK('ENGAGEMENTS 2026'!C2015),"",'ENGAGEMENTS 2026'!M2015)</f>
        <v/>
      </c>
      <c r="P2015">
        <f>IF(ISBLANK('ENGAGEMENTS 2026'!C2015),"",'ENGAGEMENTS 2026'!K2015)</f>
        <v/>
      </c>
      <c r="Q2015">
        <f>IF($A2015="","",IF(OR($E2015="INFRUCTUEUX",$E2015="ANNULE"),$A2015&amp;"|"&amp;(COUNTIFS($A$2:$A2015,$A2015,$E$2:$E2015,"INFRUCTUEUX")+COUNTIFS($A$2:$A2015,$A2015,$E$2:$E2015,"ANNULE")),""))</f>
        <v/>
      </c>
    </row>
    <row r="2016">
      <c r="A2016">
        <f>IF(ISBLANK('ENGAGEMENTS 2026'!C2016),"",IF('ENGAGEMENTS 2026'!C2016="DTSI","DCT",'ENGAGEMENTS 2026'!C2016))</f>
        <v/>
      </c>
      <c r="B2016">
        <f>IF(ISBLANK('ENGAGEMENTS 2026'!C2016),"",'ENGAGEMENTS 2026'!D2016)</f>
        <v/>
      </c>
      <c r="C2016">
        <f>IF(ISBLANK('ENGAGEMENTS 2026'!C2016),"",'ENGAGEMENTS 2026'!E2016)</f>
        <v/>
      </c>
      <c r="D2016">
        <f>IF(ISBLANK('ENGAGEMENTS 2026'!C2016),"",'ENGAGEMENTS 2026'!G2016)</f>
        <v/>
      </c>
      <c r="E2016">
        <f>IF(ISBLANK('ENGAGEMENTS 2026'!C2016),"",'ENGAGEMENTS 2026'!I2016)</f>
        <v/>
      </c>
      <c r="F2016">
        <f>IF(ISBLANK('ENGAGEMENTS 2026'!C2016),"",'ENGAGEMENTS 2026'!J2016)</f>
        <v/>
      </c>
      <c r="G2016">
        <f>IF(ISBLANK('ENGAGEMENTS 2026'!C2016),"",'ENGAGEMENTS 2026'!M2016)</f>
        <v/>
      </c>
      <c r="H2016">
        <f>IF(ISBLANK('ENGAGEMENTS 2026'!C2016),"",'ENGAGEMENTS 2026'!AF2016)</f>
        <v/>
      </c>
      <c r="I2016">
        <f>IF(ISBLANK('ENGAGEMENTS 2026'!C2016),"",'ENGAGEMENTS 2026'!H2016)</f>
        <v/>
      </c>
      <c r="J2016" s="275">
        <f>IF(ISBLANK('ENGAGEMENTS 2026'!C2016),"",IF(AND(OR($E2016="INFRUCTUEUX",$E2016="ANNULE"),$C2016="AOO-M"),'ENGAGEMENTS 2026'!P2016,IF($H2016="EN COURS DE PREENGAGEMENT",'ENGAGEMENTS 2026'!O2016,IF($H2016="PREENGAGE",IF($E2016="ATTRIBUE",'ENGAGEMENTS 2026'!AE2016,'ENGAGEMENTS 2026'!O2016),'ENGAGEMENTS 2026'!AE2016))))</f>
        <v/>
      </c>
      <c r="K2016" s="604">
        <f>IF(ISBLANK('ENGAGEMENTS 2026'!W2016),"",'ENGAGEMENTS 2026'!W2016)</f>
        <v/>
      </c>
      <c r="L2016" s="276">
        <f>IF($K2016="","",TODAY()-$K2016)</f>
        <v/>
      </c>
      <c r="M2016">
        <f>IF($A2016="","",IF($H2016="ENGAGE","Engagé",IF(AND($H2016="NON ENGAGE",OR($I2016="INFRUCTUEUX",$I2016="ANNULE")),"Clôturé sans suite","En cours")))</f>
        <v/>
      </c>
      <c r="N2016">
        <f>IF(ISBLANK('ENGAGEMENTS 2026'!C2016),"",'ENGAGEMENTS 2026'!L2016)</f>
        <v/>
      </c>
      <c r="O2016">
        <f>IF(ISBLANK('ENGAGEMENTS 2026'!C2016),"",'ENGAGEMENTS 2026'!M2016)</f>
        <v/>
      </c>
      <c r="P2016">
        <f>IF(ISBLANK('ENGAGEMENTS 2026'!C2016),"",'ENGAGEMENTS 2026'!K2016)</f>
        <v/>
      </c>
      <c r="Q2016">
        <f>IF($A2016="","",IF(OR($E2016="INFRUCTUEUX",$E2016="ANNULE"),$A2016&amp;"|"&amp;(COUNTIFS($A$2:$A2016,$A2016,$E$2:$E2016,"INFRUCTUEUX")+COUNTIFS($A$2:$A2016,$A2016,$E$2:$E2016,"ANNULE")),""))</f>
        <v/>
      </c>
    </row>
    <row r="2017">
      <c r="A2017">
        <f>IF(ISBLANK('ENGAGEMENTS 2026'!C2017),"",IF('ENGAGEMENTS 2026'!C2017="DTSI","DCT",'ENGAGEMENTS 2026'!C2017))</f>
        <v/>
      </c>
      <c r="B2017">
        <f>IF(ISBLANK('ENGAGEMENTS 2026'!C2017),"",'ENGAGEMENTS 2026'!D2017)</f>
        <v/>
      </c>
      <c r="C2017">
        <f>IF(ISBLANK('ENGAGEMENTS 2026'!C2017),"",'ENGAGEMENTS 2026'!E2017)</f>
        <v/>
      </c>
      <c r="D2017">
        <f>IF(ISBLANK('ENGAGEMENTS 2026'!C2017),"",'ENGAGEMENTS 2026'!G2017)</f>
        <v/>
      </c>
      <c r="E2017">
        <f>IF(ISBLANK('ENGAGEMENTS 2026'!C2017),"",'ENGAGEMENTS 2026'!I2017)</f>
        <v/>
      </c>
      <c r="F2017">
        <f>IF(ISBLANK('ENGAGEMENTS 2026'!C2017),"",'ENGAGEMENTS 2026'!J2017)</f>
        <v/>
      </c>
      <c r="G2017">
        <f>IF(ISBLANK('ENGAGEMENTS 2026'!C2017),"",'ENGAGEMENTS 2026'!M2017)</f>
        <v/>
      </c>
      <c r="H2017">
        <f>IF(ISBLANK('ENGAGEMENTS 2026'!C2017),"",'ENGAGEMENTS 2026'!AF2017)</f>
        <v/>
      </c>
      <c r="I2017">
        <f>IF(ISBLANK('ENGAGEMENTS 2026'!C2017),"",'ENGAGEMENTS 2026'!H2017)</f>
        <v/>
      </c>
      <c r="J2017" s="275">
        <f>IF(ISBLANK('ENGAGEMENTS 2026'!C2017),"",IF(AND(OR($E2017="INFRUCTUEUX",$E2017="ANNULE"),$C2017="AOO-M"),'ENGAGEMENTS 2026'!P2017,IF($H2017="EN COURS DE PREENGAGEMENT",'ENGAGEMENTS 2026'!O2017,IF($H2017="PREENGAGE",IF($E2017="ATTRIBUE",'ENGAGEMENTS 2026'!AE2017,'ENGAGEMENTS 2026'!O2017),'ENGAGEMENTS 2026'!AE2017))))</f>
        <v/>
      </c>
      <c r="K2017" s="604">
        <f>IF(ISBLANK('ENGAGEMENTS 2026'!W2017),"",'ENGAGEMENTS 2026'!W2017)</f>
        <v/>
      </c>
      <c r="L2017" s="276">
        <f>IF($K2017="","",TODAY()-$K2017)</f>
        <v/>
      </c>
      <c r="M2017">
        <f>IF($A2017="","",IF($H2017="ENGAGE","Engagé",IF(AND($H2017="NON ENGAGE",OR($I2017="INFRUCTUEUX",$I2017="ANNULE")),"Clôturé sans suite","En cours")))</f>
        <v/>
      </c>
      <c r="N2017">
        <f>IF(ISBLANK('ENGAGEMENTS 2026'!C2017),"",'ENGAGEMENTS 2026'!L2017)</f>
        <v/>
      </c>
      <c r="O2017">
        <f>IF(ISBLANK('ENGAGEMENTS 2026'!C2017),"",'ENGAGEMENTS 2026'!M2017)</f>
        <v/>
      </c>
      <c r="P2017">
        <f>IF(ISBLANK('ENGAGEMENTS 2026'!C2017),"",'ENGAGEMENTS 2026'!K2017)</f>
        <v/>
      </c>
      <c r="Q2017">
        <f>IF($A2017="","",IF(OR($E2017="INFRUCTUEUX",$E2017="ANNULE"),$A2017&amp;"|"&amp;(COUNTIFS($A$2:$A2017,$A2017,$E$2:$E2017,"INFRUCTUEUX")+COUNTIFS($A$2:$A2017,$A2017,$E$2:$E2017,"ANNULE")),""))</f>
        <v/>
      </c>
    </row>
    <row r="2018">
      <c r="A2018">
        <f>IF(ISBLANK('ENGAGEMENTS 2026'!C2018),"",IF('ENGAGEMENTS 2026'!C2018="DTSI","DCT",'ENGAGEMENTS 2026'!C2018))</f>
        <v/>
      </c>
      <c r="B2018">
        <f>IF(ISBLANK('ENGAGEMENTS 2026'!C2018),"",'ENGAGEMENTS 2026'!D2018)</f>
        <v/>
      </c>
      <c r="C2018">
        <f>IF(ISBLANK('ENGAGEMENTS 2026'!C2018),"",'ENGAGEMENTS 2026'!E2018)</f>
        <v/>
      </c>
      <c r="D2018">
        <f>IF(ISBLANK('ENGAGEMENTS 2026'!C2018),"",'ENGAGEMENTS 2026'!G2018)</f>
        <v/>
      </c>
      <c r="E2018">
        <f>IF(ISBLANK('ENGAGEMENTS 2026'!C2018),"",'ENGAGEMENTS 2026'!I2018)</f>
        <v/>
      </c>
      <c r="F2018">
        <f>IF(ISBLANK('ENGAGEMENTS 2026'!C2018),"",'ENGAGEMENTS 2026'!J2018)</f>
        <v/>
      </c>
      <c r="G2018">
        <f>IF(ISBLANK('ENGAGEMENTS 2026'!C2018),"",'ENGAGEMENTS 2026'!M2018)</f>
        <v/>
      </c>
      <c r="H2018">
        <f>IF(ISBLANK('ENGAGEMENTS 2026'!C2018),"",'ENGAGEMENTS 2026'!AF2018)</f>
        <v/>
      </c>
      <c r="I2018">
        <f>IF(ISBLANK('ENGAGEMENTS 2026'!C2018),"",'ENGAGEMENTS 2026'!H2018)</f>
        <v/>
      </c>
      <c r="J2018" s="275">
        <f>IF(ISBLANK('ENGAGEMENTS 2026'!C2018),"",IF(AND(OR($E2018="INFRUCTUEUX",$E2018="ANNULE"),$C2018="AOO-M"),'ENGAGEMENTS 2026'!P2018,IF($H2018="EN COURS DE PREENGAGEMENT",'ENGAGEMENTS 2026'!O2018,IF($H2018="PREENGAGE",IF($E2018="ATTRIBUE",'ENGAGEMENTS 2026'!AE2018,'ENGAGEMENTS 2026'!O2018),'ENGAGEMENTS 2026'!AE2018))))</f>
        <v/>
      </c>
      <c r="K2018" s="604">
        <f>IF(ISBLANK('ENGAGEMENTS 2026'!W2018),"",'ENGAGEMENTS 2026'!W2018)</f>
        <v/>
      </c>
      <c r="L2018" s="276">
        <f>IF($K2018="","",TODAY()-$K2018)</f>
        <v/>
      </c>
      <c r="M2018">
        <f>IF($A2018="","",IF($H2018="ENGAGE","Engagé",IF(AND($H2018="NON ENGAGE",OR($I2018="INFRUCTUEUX",$I2018="ANNULE")),"Clôturé sans suite","En cours")))</f>
        <v/>
      </c>
      <c r="N2018">
        <f>IF(ISBLANK('ENGAGEMENTS 2026'!C2018),"",'ENGAGEMENTS 2026'!L2018)</f>
        <v/>
      </c>
      <c r="O2018">
        <f>IF(ISBLANK('ENGAGEMENTS 2026'!C2018),"",'ENGAGEMENTS 2026'!M2018)</f>
        <v/>
      </c>
      <c r="P2018">
        <f>IF(ISBLANK('ENGAGEMENTS 2026'!C2018),"",'ENGAGEMENTS 2026'!K2018)</f>
        <v/>
      </c>
      <c r="Q2018">
        <f>IF($A2018="","",IF(OR($E2018="INFRUCTUEUX",$E2018="ANNULE"),$A2018&amp;"|"&amp;(COUNTIFS($A$2:$A2018,$A2018,$E$2:$E2018,"INFRUCTUEUX")+COUNTIFS($A$2:$A2018,$A2018,$E$2:$E2018,"ANNULE")),""))</f>
        <v/>
      </c>
    </row>
    <row r="2019">
      <c r="A2019">
        <f>IF(ISBLANK('ENGAGEMENTS 2026'!C2019),"",IF('ENGAGEMENTS 2026'!C2019="DTSI","DCT",'ENGAGEMENTS 2026'!C2019))</f>
        <v/>
      </c>
      <c r="B2019">
        <f>IF(ISBLANK('ENGAGEMENTS 2026'!C2019),"",'ENGAGEMENTS 2026'!D2019)</f>
        <v/>
      </c>
      <c r="C2019">
        <f>IF(ISBLANK('ENGAGEMENTS 2026'!C2019),"",'ENGAGEMENTS 2026'!E2019)</f>
        <v/>
      </c>
      <c r="D2019">
        <f>IF(ISBLANK('ENGAGEMENTS 2026'!C2019),"",'ENGAGEMENTS 2026'!G2019)</f>
        <v/>
      </c>
      <c r="E2019">
        <f>IF(ISBLANK('ENGAGEMENTS 2026'!C2019),"",'ENGAGEMENTS 2026'!I2019)</f>
        <v/>
      </c>
      <c r="F2019">
        <f>IF(ISBLANK('ENGAGEMENTS 2026'!C2019),"",'ENGAGEMENTS 2026'!J2019)</f>
        <v/>
      </c>
      <c r="G2019">
        <f>IF(ISBLANK('ENGAGEMENTS 2026'!C2019),"",'ENGAGEMENTS 2026'!M2019)</f>
        <v/>
      </c>
      <c r="H2019">
        <f>IF(ISBLANK('ENGAGEMENTS 2026'!C2019),"",'ENGAGEMENTS 2026'!AF2019)</f>
        <v/>
      </c>
      <c r="I2019">
        <f>IF(ISBLANK('ENGAGEMENTS 2026'!C2019),"",'ENGAGEMENTS 2026'!H2019)</f>
        <v/>
      </c>
      <c r="J2019" s="275">
        <f>IF(ISBLANK('ENGAGEMENTS 2026'!C2019),"",IF(AND(OR($E2019="INFRUCTUEUX",$E2019="ANNULE"),$C2019="AOO-M"),'ENGAGEMENTS 2026'!P2019,IF($H2019="EN COURS DE PREENGAGEMENT",'ENGAGEMENTS 2026'!O2019,IF($H2019="PREENGAGE",IF($E2019="ATTRIBUE",'ENGAGEMENTS 2026'!AE2019,'ENGAGEMENTS 2026'!O2019),'ENGAGEMENTS 2026'!AE2019))))</f>
        <v/>
      </c>
      <c r="K2019" s="604">
        <f>IF(ISBLANK('ENGAGEMENTS 2026'!W2019),"",'ENGAGEMENTS 2026'!W2019)</f>
        <v/>
      </c>
      <c r="L2019" s="276">
        <f>IF($K2019="","",TODAY()-$K2019)</f>
        <v/>
      </c>
      <c r="M2019">
        <f>IF($A2019="","",IF($H2019="ENGAGE","Engagé",IF(AND($H2019="NON ENGAGE",OR($I2019="INFRUCTUEUX",$I2019="ANNULE")),"Clôturé sans suite","En cours")))</f>
        <v/>
      </c>
      <c r="N2019">
        <f>IF(ISBLANK('ENGAGEMENTS 2026'!C2019),"",'ENGAGEMENTS 2026'!L2019)</f>
        <v/>
      </c>
      <c r="O2019">
        <f>IF(ISBLANK('ENGAGEMENTS 2026'!C2019),"",'ENGAGEMENTS 2026'!M2019)</f>
        <v/>
      </c>
      <c r="P2019">
        <f>IF(ISBLANK('ENGAGEMENTS 2026'!C2019),"",'ENGAGEMENTS 2026'!K2019)</f>
        <v/>
      </c>
      <c r="Q2019">
        <f>IF($A2019="","",IF(OR($E2019="INFRUCTUEUX",$E2019="ANNULE"),$A2019&amp;"|"&amp;(COUNTIFS($A$2:$A2019,$A2019,$E$2:$E2019,"INFRUCTUEUX")+COUNTIFS($A$2:$A2019,$A2019,$E$2:$E2019,"ANNULE")),""))</f>
        <v/>
      </c>
    </row>
    <row r="2020">
      <c r="A2020">
        <f>IF(ISBLANK('ENGAGEMENTS 2026'!C2020),"",IF('ENGAGEMENTS 2026'!C2020="DTSI","DCT",'ENGAGEMENTS 2026'!C2020))</f>
        <v/>
      </c>
      <c r="B2020">
        <f>IF(ISBLANK('ENGAGEMENTS 2026'!C2020),"",'ENGAGEMENTS 2026'!D2020)</f>
        <v/>
      </c>
      <c r="C2020">
        <f>IF(ISBLANK('ENGAGEMENTS 2026'!C2020),"",'ENGAGEMENTS 2026'!E2020)</f>
        <v/>
      </c>
      <c r="D2020">
        <f>IF(ISBLANK('ENGAGEMENTS 2026'!C2020),"",'ENGAGEMENTS 2026'!G2020)</f>
        <v/>
      </c>
      <c r="E2020">
        <f>IF(ISBLANK('ENGAGEMENTS 2026'!C2020),"",'ENGAGEMENTS 2026'!I2020)</f>
        <v/>
      </c>
      <c r="F2020">
        <f>IF(ISBLANK('ENGAGEMENTS 2026'!C2020),"",'ENGAGEMENTS 2026'!J2020)</f>
        <v/>
      </c>
      <c r="G2020">
        <f>IF(ISBLANK('ENGAGEMENTS 2026'!C2020),"",'ENGAGEMENTS 2026'!M2020)</f>
        <v/>
      </c>
      <c r="H2020">
        <f>IF(ISBLANK('ENGAGEMENTS 2026'!C2020),"",'ENGAGEMENTS 2026'!AF2020)</f>
        <v/>
      </c>
      <c r="I2020">
        <f>IF(ISBLANK('ENGAGEMENTS 2026'!C2020),"",'ENGAGEMENTS 2026'!H2020)</f>
        <v/>
      </c>
      <c r="J2020" s="275">
        <f>IF(ISBLANK('ENGAGEMENTS 2026'!C2020),"",IF(AND(OR($E2020="INFRUCTUEUX",$E2020="ANNULE"),$C2020="AOO-M"),'ENGAGEMENTS 2026'!P2020,IF($H2020="EN COURS DE PREENGAGEMENT",'ENGAGEMENTS 2026'!O2020,IF($H2020="PREENGAGE",IF($E2020="ATTRIBUE",'ENGAGEMENTS 2026'!AE2020,'ENGAGEMENTS 2026'!O2020),'ENGAGEMENTS 2026'!AE2020))))</f>
        <v/>
      </c>
      <c r="K2020" s="604">
        <f>IF(ISBLANK('ENGAGEMENTS 2026'!W2020),"",'ENGAGEMENTS 2026'!W2020)</f>
        <v/>
      </c>
      <c r="L2020" s="276">
        <f>IF($K2020="","",TODAY()-$K2020)</f>
        <v/>
      </c>
      <c r="M2020">
        <f>IF($A2020="","",IF($H2020="ENGAGE","Engagé",IF(AND($H2020="NON ENGAGE",OR($I2020="INFRUCTUEUX",$I2020="ANNULE")),"Clôturé sans suite","En cours")))</f>
        <v/>
      </c>
      <c r="N2020">
        <f>IF(ISBLANK('ENGAGEMENTS 2026'!C2020),"",'ENGAGEMENTS 2026'!L2020)</f>
        <v/>
      </c>
      <c r="O2020">
        <f>IF(ISBLANK('ENGAGEMENTS 2026'!C2020),"",'ENGAGEMENTS 2026'!M2020)</f>
        <v/>
      </c>
      <c r="P2020">
        <f>IF(ISBLANK('ENGAGEMENTS 2026'!C2020),"",'ENGAGEMENTS 2026'!K2020)</f>
        <v/>
      </c>
      <c r="Q2020">
        <f>IF($A2020="","",IF(OR($E2020="INFRUCTUEUX",$E2020="ANNULE"),$A2020&amp;"|"&amp;(COUNTIFS($A$2:$A2020,$A2020,$E$2:$E2020,"INFRUCTUEUX")+COUNTIFS($A$2:$A2020,$A2020,$E$2:$E2020,"ANNULE")),""))</f>
        <v/>
      </c>
    </row>
    <row r="2021">
      <c r="A2021">
        <f>IF(ISBLANK('ENGAGEMENTS 2026'!C2021),"",IF('ENGAGEMENTS 2026'!C2021="DTSI","DCT",'ENGAGEMENTS 2026'!C2021))</f>
        <v/>
      </c>
      <c r="B2021">
        <f>IF(ISBLANK('ENGAGEMENTS 2026'!C2021),"",'ENGAGEMENTS 2026'!D2021)</f>
        <v/>
      </c>
      <c r="C2021">
        <f>IF(ISBLANK('ENGAGEMENTS 2026'!C2021),"",'ENGAGEMENTS 2026'!E2021)</f>
        <v/>
      </c>
      <c r="D2021">
        <f>IF(ISBLANK('ENGAGEMENTS 2026'!C2021),"",'ENGAGEMENTS 2026'!G2021)</f>
        <v/>
      </c>
      <c r="E2021">
        <f>IF(ISBLANK('ENGAGEMENTS 2026'!C2021),"",'ENGAGEMENTS 2026'!I2021)</f>
        <v/>
      </c>
      <c r="F2021">
        <f>IF(ISBLANK('ENGAGEMENTS 2026'!C2021),"",'ENGAGEMENTS 2026'!J2021)</f>
        <v/>
      </c>
      <c r="G2021">
        <f>IF(ISBLANK('ENGAGEMENTS 2026'!C2021),"",'ENGAGEMENTS 2026'!M2021)</f>
        <v/>
      </c>
      <c r="H2021">
        <f>IF(ISBLANK('ENGAGEMENTS 2026'!C2021),"",'ENGAGEMENTS 2026'!AF2021)</f>
        <v/>
      </c>
      <c r="I2021">
        <f>IF(ISBLANK('ENGAGEMENTS 2026'!C2021),"",'ENGAGEMENTS 2026'!H2021)</f>
        <v/>
      </c>
      <c r="J2021" s="275">
        <f>IF(ISBLANK('ENGAGEMENTS 2026'!C2021),"",IF(AND(OR($E2021="INFRUCTUEUX",$E2021="ANNULE"),$C2021="AOO-M"),'ENGAGEMENTS 2026'!P2021,IF($H2021="EN COURS DE PREENGAGEMENT",'ENGAGEMENTS 2026'!O2021,IF($H2021="PREENGAGE",IF($E2021="ATTRIBUE",'ENGAGEMENTS 2026'!AE2021,'ENGAGEMENTS 2026'!O2021),'ENGAGEMENTS 2026'!AE2021))))</f>
        <v/>
      </c>
      <c r="K2021" s="604">
        <f>IF(ISBLANK('ENGAGEMENTS 2026'!W2021),"",'ENGAGEMENTS 2026'!W2021)</f>
        <v/>
      </c>
      <c r="L2021" s="276">
        <f>IF($K2021="","",TODAY()-$K2021)</f>
        <v/>
      </c>
      <c r="M2021">
        <f>IF($A2021="","",IF($H2021="ENGAGE","Engagé",IF(AND($H2021="NON ENGAGE",OR($I2021="INFRUCTUEUX",$I2021="ANNULE")),"Clôturé sans suite","En cours")))</f>
        <v/>
      </c>
      <c r="N2021">
        <f>IF(ISBLANK('ENGAGEMENTS 2026'!C2021),"",'ENGAGEMENTS 2026'!L2021)</f>
        <v/>
      </c>
      <c r="O2021">
        <f>IF(ISBLANK('ENGAGEMENTS 2026'!C2021),"",'ENGAGEMENTS 2026'!M2021)</f>
        <v/>
      </c>
      <c r="P2021">
        <f>IF(ISBLANK('ENGAGEMENTS 2026'!C2021),"",'ENGAGEMENTS 2026'!K2021)</f>
        <v/>
      </c>
      <c r="Q2021">
        <f>IF($A2021="","",IF(OR($E2021="INFRUCTUEUX",$E2021="ANNULE"),$A2021&amp;"|"&amp;(COUNTIFS($A$2:$A2021,$A2021,$E$2:$E2021,"INFRUCTUEUX")+COUNTIFS($A$2:$A2021,$A2021,$E$2:$E2021,"ANNULE")),""))</f>
        <v/>
      </c>
    </row>
    <row r="2022">
      <c r="A2022">
        <f>IF(ISBLANK('ENGAGEMENTS 2026'!C2022),"",IF('ENGAGEMENTS 2026'!C2022="DTSI","DCT",'ENGAGEMENTS 2026'!C2022))</f>
        <v/>
      </c>
      <c r="B2022">
        <f>IF(ISBLANK('ENGAGEMENTS 2026'!C2022),"",'ENGAGEMENTS 2026'!D2022)</f>
        <v/>
      </c>
      <c r="C2022">
        <f>IF(ISBLANK('ENGAGEMENTS 2026'!C2022),"",'ENGAGEMENTS 2026'!E2022)</f>
        <v/>
      </c>
      <c r="D2022">
        <f>IF(ISBLANK('ENGAGEMENTS 2026'!C2022),"",'ENGAGEMENTS 2026'!G2022)</f>
        <v/>
      </c>
      <c r="E2022">
        <f>IF(ISBLANK('ENGAGEMENTS 2026'!C2022),"",'ENGAGEMENTS 2026'!I2022)</f>
        <v/>
      </c>
      <c r="F2022">
        <f>IF(ISBLANK('ENGAGEMENTS 2026'!C2022),"",'ENGAGEMENTS 2026'!J2022)</f>
        <v/>
      </c>
      <c r="G2022">
        <f>IF(ISBLANK('ENGAGEMENTS 2026'!C2022),"",'ENGAGEMENTS 2026'!M2022)</f>
        <v/>
      </c>
      <c r="H2022">
        <f>IF(ISBLANK('ENGAGEMENTS 2026'!C2022),"",'ENGAGEMENTS 2026'!AF2022)</f>
        <v/>
      </c>
      <c r="I2022">
        <f>IF(ISBLANK('ENGAGEMENTS 2026'!C2022),"",'ENGAGEMENTS 2026'!H2022)</f>
        <v/>
      </c>
      <c r="J2022" s="275">
        <f>IF(ISBLANK('ENGAGEMENTS 2026'!C2022),"",IF(AND(OR($E2022="INFRUCTUEUX",$E2022="ANNULE"),$C2022="AOO-M"),'ENGAGEMENTS 2026'!P2022,IF($H2022="EN COURS DE PREENGAGEMENT",'ENGAGEMENTS 2026'!O2022,IF($H2022="PREENGAGE",IF($E2022="ATTRIBUE",'ENGAGEMENTS 2026'!AE2022,'ENGAGEMENTS 2026'!O2022),'ENGAGEMENTS 2026'!AE2022))))</f>
        <v/>
      </c>
      <c r="K2022" s="604">
        <f>IF(ISBLANK('ENGAGEMENTS 2026'!W2022),"",'ENGAGEMENTS 2026'!W2022)</f>
        <v/>
      </c>
      <c r="L2022" s="276">
        <f>IF($K2022="","",TODAY()-$K2022)</f>
        <v/>
      </c>
      <c r="M2022">
        <f>IF($A2022="","",IF($H2022="ENGAGE","Engagé",IF(AND($H2022="NON ENGAGE",OR($I2022="INFRUCTUEUX",$I2022="ANNULE")),"Clôturé sans suite","En cours")))</f>
        <v/>
      </c>
      <c r="N2022">
        <f>IF(ISBLANK('ENGAGEMENTS 2026'!C2022),"",'ENGAGEMENTS 2026'!L2022)</f>
        <v/>
      </c>
      <c r="O2022">
        <f>IF(ISBLANK('ENGAGEMENTS 2026'!C2022),"",'ENGAGEMENTS 2026'!M2022)</f>
        <v/>
      </c>
      <c r="P2022">
        <f>IF(ISBLANK('ENGAGEMENTS 2026'!C2022),"",'ENGAGEMENTS 2026'!K2022)</f>
        <v/>
      </c>
      <c r="Q2022">
        <f>IF($A2022="","",IF(OR($E2022="INFRUCTUEUX",$E2022="ANNULE"),$A2022&amp;"|"&amp;(COUNTIFS($A$2:$A2022,$A2022,$E$2:$E2022,"INFRUCTUEUX")+COUNTIFS($A$2:$A2022,$A2022,$E$2:$E2022,"ANNULE")),""))</f>
        <v/>
      </c>
    </row>
    <row r="2023">
      <c r="A2023">
        <f>IF(ISBLANK('ENGAGEMENTS 2026'!C2023),"",IF('ENGAGEMENTS 2026'!C2023="DTSI","DCT",'ENGAGEMENTS 2026'!C2023))</f>
        <v/>
      </c>
      <c r="B2023">
        <f>IF(ISBLANK('ENGAGEMENTS 2026'!C2023),"",'ENGAGEMENTS 2026'!D2023)</f>
        <v/>
      </c>
      <c r="C2023">
        <f>IF(ISBLANK('ENGAGEMENTS 2026'!C2023),"",'ENGAGEMENTS 2026'!E2023)</f>
        <v/>
      </c>
      <c r="D2023">
        <f>IF(ISBLANK('ENGAGEMENTS 2026'!C2023),"",'ENGAGEMENTS 2026'!G2023)</f>
        <v/>
      </c>
      <c r="E2023">
        <f>IF(ISBLANK('ENGAGEMENTS 2026'!C2023),"",'ENGAGEMENTS 2026'!I2023)</f>
        <v/>
      </c>
      <c r="F2023">
        <f>IF(ISBLANK('ENGAGEMENTS 2026'!C2023),"",'ENGAGEMENTS 2026'!J2023)</f>
        <v/>
      </c>
      <c r="G2023">
        <f>IF(ISBLANK('ENGAGEMENTS 2026'!C2023),"",'ENGAGEMENTS 2026'!M2023)</f>
        <v/>
      </c>
      <c r="H2023">
        <f>IF(ISBLANK('ENGAGEMENTS 2026'!C2023),"",'ENGAGEMENTS 2026'!AF2023)</f>
        <v/>
      </c>
      <c r="I2023">
        <f>IF(ISBLANK('ENGAGEMENTS 2026'!C2023),"",'ENGAGEMENTS 2026'!H2023)</f>
        <v/>
      </c>
      <c r="J2023" s="275">
        <f>IF(ISBLANK('ENGAGEMENTS 2026'!C2023),"",IF(AND(OR($E2023="INFRUCTUEUX",$E2023="ANNULE"),$C2023="AOO-M"),'ENGAGEMENTS 2026'!P2023,IF($H2023="EN COURS DE PREENGAGEMENT",'ENGAGEMENTS 2026'!O2023,IF($H2023="PREENGAGE",IF($E2023="ATTRIBUE",'ENGAGEMENTS 2026'!AE2023,'ENGAGEMENTS 2026'!O2023),'ENGAGEMENTS 2026'!AE2023))))</f>
        <v/>
      </c>
      <c r="K2023" s="604">
        <f>IF(ISBLANK('ENGAGEMENTS 2026'!W2023),"",'ENGAGEMENTS 2026'!W2023)</f>
        <v/>
      </c>
      <c r="L2023" s="276">
        <f>IF($K2023="","",TODAY()-$K2023)</f>
        <v/>
      </c>
      <c r="M2023">
        <f>IF($A2023="","",IF($H2023="ENGAGE","Engagé",IF(AND($H2023="NON ENGAGE",OR($I2023="INFRUCTUEUX",$I2023="ANNULE")),"Clôturé sans suite","En cours")))</f>
        <v/>
      </c>
      <c r="N2023">
        <f>IF(ISBLANK('ENGAGEMENTS 2026'!C2023),"",'ENGAGEMENTS 2026'!L2023)</f>
        <v/>
      </c>
      <c r="O2023">
        <f>IF(ISBLANK('ENGAGEMENTS 2026'!C2023),"",'ENGAGEMENTS 2026'!M2023)</f>
        <v/>
      </c>
      <c r="P2023">
        <f>IF(ISBLANK('ENGAGEMENTS 2026'!C2023),"",'ENGAGEMENTS 2026'!K2023)</f>
        <v/>
      </c>
      <c r="Q2023">
        <f>IF($A2023="","",IF(OR($E2023="INFRUCTUEUX",$E2023="ANNULE"),$A2023&amp;"|"&amp;(COUNTIFS($A$2:$A2023,$A2023,$E$2:$E2023,"INFRUCTUEUX")+COUNTIFS($A$2:$A2023,$A2023,$E$2:$E2023,"ANNULE")),""))</f>
        <v/>
      </c>
    </row>
    <row r="2024">
      <c r="A2024">
        <f>IF(ISBLANK('ENGAGEMENTS 2026'!C2024),"",IF('ENGAGEMENTS 2026'!C2024="DTSI","DCT",'ENGAGEMENTS 2026'!C2024))</f>
        <v/>
      </c>
      <c r="B2024">
        <f>IF(ISBLANK('ENGAGEMENTS 2026'!C2024),"",'ENGAGEMENTS 2026'!D2024)</f>
        <v/>
      </c>
      <c r="C2024">
        <f>IF(ISBLANK('ENGAGEMENTS 2026'!C2024),"",'ENGAGEMENTS 2026'!E2024)</f>
        <v/>
      </c>
      <c r="D2024">
        <f>IF(ISBLANK('ENGAGEMENTS 2026'!C2024),"",'ENGAGEMENTS 2026'!G2024)</f>
        <v/>
      </c>
      <c r="E2024">
        <f>IF(ISBLANK('ENGAGEMENTS 2026'!C2024),"",'ENGAGEMENTS 2026'!I2024)</f>
        <v/>
      </c>
      <c r="F2024">
        <f>IF(ISBLANK('ENGAGEMENTS 2026'!C2024),"",'ENGAGEMENTS 2026'!J2024)</f>
        <v/>
      </c>
      <c r="G2024">
        <f>IF(ISBLANK('ENGAGEMENTS 2026'!C2024),"",'ENGAGEMENTS 2026'!M2024)</f>
        <v/>
      </c>
      <c r="H2024">
        <f>IF(ISBLANK('ENGAGEMENTS 2026'!C2024),"",'ENGAGEMENTS 2026'!AF2024)</f>
        <v/>
      </c>
      <c r="I2024">
        <f>IF(ISBLANK('ENGAGEMENTS 2026'!C2024),"",'ENGAGEMENTS 2026'!H2024)</f>
        <v/>
      </c>
      <c r="J2024" s="275">
        <f>IF(ISBLANK('ENGAGEMENTS 2026'!C2024),"",IF(AND(OR($E2024="INFRUCTUEUX",$E2024="ANNULE"),$C2024="AOO-M"),'ENGAGEMENTS 2026'!P2024,IF($H2024="EN COURS DE PREENGAGEMENT",'ENGAGEMENTS 2026'!O2024,IF($H2024="PREENGAGE",IF($E2024="ATTRIBUE",'ENGAGEMENTS 2026'!AE2024,'ENGAGEMENTS 2026'!O2024),'ENGAGEMENTS 2026'!AE2024))))</f>
        <v/>
      </c>
      <c r="K2024" s="604">
        <f>IF(ISBLANK('ENGAGEMENTS 2026'!W2024),"",'ENGAGEMENTS 2026'!W2024)</f>
        <v/>
      </c>
      <c r="L2024" s="276">
        <f>IF($K2024="","",TODAY()-$K2024)</f>
        <v/>
      </c>
      <c r="M2024">
        <f>IF($A2024="","",IF($H2024="ENGAGE","Engagé",IF(AND($H2024="NON ENGAGE",OR($I2024="INFRUCTUEUX",$I2024="ANNULE")),"Clôturé sans suite","En cours")))</f>
        <v/>
      </c>
      <c r="N2024">
        <f>IF(ISBLANK('ENGAGEMENTS 2026'!C2024),"",'ENGAGEMENTS 2026'!L2024)</f>
        <v/>
      </c>
      <c r="O2024">
        <f>IF(ISBLANK('ENGAGEMENTS 2026'!C2024),"",'ENGAGEMENTS 2026'!M2024)</f>
        <v/>
      </c>
      <c r="P2024">
        <f>IF(ISBLANK('ENGAGEMENTS 2026'!C2024),"",'ENGAGEMENTS 2026'!K2024)</f>
        <v/>
      </c>
      <c r="Q2024">
        <f>IF($A2024="","",IF(OR($E2024="INFRUCTUEUX",$E2024="ANNULE"),$A2024&amp;"|"&amp;(COUNTIFS($A$2:$A2024,$A2024,$E$2:$E2024,"INFRUCTUEUX")+COUNTIFS($A$2:$A2024,$A2024,$E$2:$E2024,"ANNULE")),""))</f>
        <v/>
      </c>
    </row>
    <row r="2025">
      <c r="A2025">
        <f>IF(ISBLANK('ENGAGEMENTS 2026'!C2025),"",IF('ENGAGEMENTS 2026'!C2025="DTSI","DCT",'ENGAGEMENTS 2026'!C2025))</f>
        <v/>
      </c>
      <c r="B2025">
        <f>IF(ISBLANK('ENGAGEMENTS 2026'!C2025),"",'ENGAGEMENTS 2026'!D2025)</f>
        <v/>
      </c>
      <c r="C2025">
        <f>IF(ISBLANK('ENGAGEMENTS 2026'!C2025),"",'ENGAGEMENTS 2026'!E2025)</f>
        <v/>
      </c>
      <c r="D2025">
        <f>IF(ISBLANK('ENGAGEMENTS 2026'!C2025),"",'ENGAGEMENTS 2026'!G2025)</f>
        <v/>
      </c>
      <c r="E2025">
        <f>IF(ISBLANK('ENGAGEMENTS 2026'!C2025),"",'ENGAGEMENTS 2026'!I2025)</f>
        <v/>
      </c>
      <c r="F2025">
        <f>IF(ISBLANK('ENGAGEMENTS 2026'!C2025),"",'ENGAGEMENTS 2026'!J2025)</f>
        <v/>
      </c>
      <c r="G2025">
        <f>IF(ISBLANK('ENGAGEMENTS 2026'!C2025),"",'ENGAGEMENTS 2026'!M2025)</f>
        <v/>
      </c>
      <c r="H2025">
        <f>IF(ISBLANK('ENGAGEMENTS 2026'!C2025),"",'ENGAGEMENTS 2026'!AF2025)</f>
        <v/>
      </c>
      <c r="I2025">
        <f>IF(ISBLANK('ENGAGEMENTS 2026'!C2025),"",'ENGAGEMENTS 2026'!H2025)</f>
        <v/>
      </c>
      <c r="J2025" s="275">
        <f>IF(ISBLANK('ENGAGEMENTS 2026'!C2025),"",IF(AND(OR($E2025="INFRUCTUEUX",$E2025="ANNULE"),$C2025="AOO-M"),'ENGAGEMENTS 2026'!P2025,IF($H2025="EN COURS DE PREENGAGEMENT",'ENGAGEMENTS 2026'!O2025,IF($H2025="PREENGAGE",IF($E2025="ATTRIBUE",'ENGAGEMENTS 2026'!AE2025,'ENGAGEMENTS 2026'!O2025),'ENGAGEMENTS 2026'!AE2025))))</f>
        <v/>
      </c>
      <c r="K2025" s="604">
        <f>IF(ISBLANK('ENGAGEMENTS 2026'!W2025),"",'ENGAGEMENTS 2026'!W2025)</f>
        <v/>
      </c>
      <c r="L2025" s="276">
        <f>IF($K2025="","",TODAY()-$K2025)</f>
        <v/>
      </c>
      <c r="M2025">
        <f>IF($A2025="","",IF($H2025="ENGAGE","Engagé",IF(AND($H2025="NON ENGAGE",OR($I2025="INFRUCTUEUX",$I2025="ANNULE")),"Clôturé sans suite","En cours")))</f>
        <v/>
      </c>
      <c r="N2025">
        <f>IF(ISBLANK('ENGAGEMENTS 2026'!C2025),"",'ENGAGEMENTS 2026'!L2025)</f>
        <v/>
      </c>
      <c r="O2025">
        <f>IF(ISBLANK('ENGAGEMENTS 2026'!C2025),"",'ENGAGEMENTS 2026'!M2025)</f>
        <v/>
      </c>
      <c r="P2025">
        <f>IF(ISBLANK('ENGAGEMENTS 2026'!C2025),"",'ENGAGEMENTS 2026'!K2025)</f>
        <v/>
      </c>
      <c r="Q2025">
        <f>IF($A2025="","",IF(OR($E2025="INFRUCTUEUX",$E2025="ANNULE"),$A2025&amp;"|"&amp;(COUNTIFS($A$2:$A2025,$A2025,$E$2:$E2025,"INFRUCTUEUX")+COUNTIFS($A$2:$A2025,$A2025,$E$2:$E2025,"ANNULE")),""))</f>
        <v/>
      </c>
    </row>
    <row r="2026">
      <c r="A2026">
        <f>IF(ISBLANK('ENGAGEMENTS 2026'!C2026),"",IF('ENGAGEMENTS 2026'!C2026="DTSI","DCT",'ENGAGEMENTS 2026'!C2026))</f>
        <v/>
      </c>
      <c r="B2026">
        <f>IF(ISBLANK('ENGAGEMENTS 2026'!C2026),"",'ENGAGEMENTS 2026'!D2026)</f>
        <v/>
      </c>
      <c r="C2026">
        <f>IF(ISBLANK('ENGAGEMENTS 2026'!C2026),"",'ENGAGEMENTS 2026'!E2026)</f>
        <v/>
      </c>
      <c r="D2026">
        <f>IF(ISBLANK('ENGAGEMENTS 2026'!C2026),"",'ENGAGEMENTS 2026'!G2026)</f>
        <v/>
      </c>
      <c r="E2026">
        <f>IF(ISBLANK('ENGAGEMENTS 2026'!C2026),"",'ENGAGEMENTS 2026'!I2026)</f>
        <v/>
      </c>
      <c r="F2026">
        <f>IF(ISBLANK('ENGAGEMENTS 2026'!C2026),"",'ENGAGEMENTS 2026'!J2026)</f>
        <v/>
      </c>
      <c r="G2026">
        <f>IF(ISBLANK('ENGAGEMENTS 2026'!C2026),"",'ENGAGEMENTS 2026'!M2026)</f>
        <v/>
      </c>
      <c r="H2026">
        <f>IF(ISBLANK('ENGAGEMENTS 2026'!C2026),"",'ENGAGEMENTS 2026'!AF2026)</f>
        <v/>
      </c>
      <c r="I2026">
        <f>IF(ISBLANK('ENGAGEMENTS 2026'!C2026),"",'ENGAGEMENTS 2026'!H2026)</f>
        <v/>
      </c>
      <c r="J2026" s="275">
        <f>IF(ISBLANK('ENGAGEMENTS 2026'!C2026),"",IF(AND(OR($E2026="INFRUCTUEUX",$E2026="ANNULE"),$C2026="AOO-M"),'ENGAGEMENTS 2026'!P2026,IF($H2026="EN COURS DE PREENGAGEMENT",'ENGAGEMENTS 2026'!O2026,IF($H2026="PREENGAGE",IF($E2026="ATTRIBUE",'ENGAGEMENTS 2026'!AE2026,'ENGAGEMENTS 2026'!O2026),'ENGAGEMENTS 2026'!AE2026))))</f>
        <v/>
      </c>
      <c r="K2026" s="604">
        <f>IF(ISBLANK('ENGAGEMENTS 2026'!W2026),"",'ENGAGEMENTS 2026'!W2026)</f>
        <v/>
      </c>
      <c r="L2026" s="276">
        <f>IF($K2026="","",TODAY()-$K2026)</f>
        <v/>
      </c>
      <c r="M2026">
        <f>IF($A2026="","",IF($H2026="ENGAGE","Engagé",IF(AND($H2026="NON ENGAGE",OR($I2026="INFRUCTUEUX",$I2026="ANNULE")),"Clôturé sans suite","En cours")))</f>
        <v/>
      </c>
      <c r="N2026">
        <f>IF(ISBLANK('ENGAGEMENTS 2026'!C2026),"",'ENGAGEMENTS 2026'!L2026)</f>
        <v/>
      </c>
      <c r="O2026">
        <f>IF(ISBLANK('ENGAGEMENTS 2026'!C2026),"",'ENGAGEMENTS 2026'!M2026)</f>
        <v/>
      </c>
      <c r="P2026">
        <f>IF(ISBLANK('ENGAGEMENTS 2026'!C2026),"",'ENGAGEMENTS 2026'!K2026)</f>
        <v/>
      </c>
      <c r="Q2026">
        <f>IF($A2026="","",IF(OR($E2026="INFRUCTUEUX",$E2026="ANNULE"),$A2026&amp;"|"&amp;(COUNTIFS($A$2:$A2026,$A2026,$E$2:$E2026,"INFRUCTUEUX")+COUNTIFS($A$2:$A2026,$A2026,$E$2:$E2026,"ANNULE")),""))</f>
        <v/>
      </c>
    </row>
    <row r="2027">
      <c r="A2027">
        <f>IF(ISBLANK('ENGAGEMENTS 2026'!C2027),"",IF('ENGAGEMENTS 2026'!C2027="DTSI","DCT",'ENGAGEMENTS 2026'!C2027))</f>
        <v/>
      </c>
      <c r="B2027">
        <f>IF(ISBLANK('ENGAGEMENTS 2026'!C2027),"",'ENGAGEMENTS 2026'!D2027)</f>
        <v/>
      </c>
      <c r="C2027">
        <f>IF(ISBLANK('ENGAGEMENTS 2026'!C2027),"",'ENGAGEMENTS 2026'!E2027)</f>
        <v/>
      </c>
      <c r="D2027">
        <f>IF(ISBLANK('ENGAGEMENTS 2026'!C2027),"",'ENGAGEMENTS 2026'!G2027)</f>
        <v/>
      </c>
      <c r="E2027">
        <f>IF(ISBLANK('ENGAGEMENTS 2026'!C2027),"",'ENGAGEMENTS 2026'!I2027)</f>
        <v/>
      </c>
      <c r="F2027">
        <f>IF(ISBLANK('ENGAGEMENTS 2026'!C2027),"",'ENGAGEMENTS 2026'!J2027)</f>
        <v/>
      </c>
      <c r="G2027">
        <f>IF(ISBLANK('ENGAGEMENTS 2026'!C2027),"",'ENGAGEMENTS 2026'!M2027)</f>
        <v/>
      </c>
      <c r="H2027">
        <f>IF(ISBLANK('ENGAGEMENTS 2026'!C2027),"",'ENGAGEMENTS 2026'!AF2027)</f>
        <v/>
      </c>
      <c r="I2027">
        <f>IF(ISBLANK('ENGAGEMENTS 2026'!C2027),"",'ENGAGEMENTS 2026'!H2027)</f>
        <v/>
      </c>
      <c r="J2027" s="275">
        <f>IF(ISBLANK('ENGAGEMENTS 2026'!C2027),"",IF(AND(OR($E2027="INFRUCTUEUX",$E2027="ANNULE"),$C2027="AOO-M"),'ENGAGEMENTS 2026'!P2027,IF($H2027="EN COURS DE PREENGAGEMENT",'ENGAGEMENTS 2026'!O2027,IF($H2027="PREENGAGE",IF($E2027="ATTRIBUE",'ENGAGEMENTS 2026'!AE2027,'ENGAGEMENTS 2026'!O2027),'ENGAGEMENTS 2026'!AE2027))))</f>
        <v/>
      </c>
      <c r="K2027" s="604">
        <f>IF(ISBLANK('ENGAGEMENTS 2026'!W2027),"",'ENGAGEMENTS 2026'!W2027)</f>
        <v/>
      </c>
      <c r="L2027" s="276">
        <f>IF($K2027="","",TODAY()-$K2027)</f>
        <v/>
      </c>
      <c r="M2027">
        <f>IF($A2027="","",IF($H2027="ENGAGE","Engagé",IF(AND($H2027="NON ENGAGE",OR($I2027="INFRUCTUEUX",$I2027="ANNULE")),"Clôturé sans suite","En cours")))</f>
        <v/>
      </c>
      <c r="N2027">
        <f>IF(ISBLANK('ENGAGEMENTS 2026'!C2027),"",'ENGAGEMENTS 2026'!L2027)</f>
        <v/>
      </c>
      <c r="O2027">
        <f>IF(ISBLANK('ENGAGEMENTS 2026'!C2027),"",'ENGAGEMENTS 2026'!M2027)</f>
        <v/>
      </c>
      <c r="P2027">
        <f>IF(ISBLANK('ENGAGEMENTS 2026'!C2027),"",'ENGAGEMENTS 2026'!K2027)</f>
        <v/>
      </c>
      <c r="Q2027">
        <f>IF($A2027="","",IF(OR($E2027="INFRUCTUEUX",$E2027="ANNULE"),$A2027&amp;"|"&amp;(COUNTIFS($A$2:$A2027,$A2027,$E$2:$E2027,"INFRUCTUEUX")+COUNTIFS($A$2:$A2027,$A2027,$E$2:$E2027,"ANNULE")),""))</f>
        <v/>
      </c>
    </row>
    <row r="2028">
      <c r="A2028">
        <f>IF(ISBLANK('ENGAGEMENTS 2026'!C2028),"",IF('ENGAGEMENTS 2026'!C2028="DTSI","DCT",'ENGAGEMENTS 2026'!C2028))</f>
        <v/>
      </c>
      <c r="B2028">
        <f>IF(ISBLANK('ENGAGEMENTS 2026'!C2028),"",'ENGAGEMENTS 2026'!D2028)</f>
        <v/>
      </c>
      <c r="C2028">
        <f>IF(ISBLANK('ENGAGEMENTS 2026'!C2028),"",'ENGAGEMENTS 2026'!E2028)</f>
        <v/>
      </c>
      <c r="D2028">
        <f>IF(ISBLANK('ENGAGEMENTS 2026'!C2028),"",'ENGAGEMENTS 2026'!G2028)</f>
        <v/>
      </c>
      <c r="E2028">
        <f>IF(ISBLANK('ENGAGEMENTS 2026'!C2028),"",'ENGAGEMENTS 2026'!I2028)</f>
        <v/>
      </c>
      <c r="F2028">
        <f>IF(ISBLANK('ENGAGEMENTS 2026'!C2028),"",'ENGAGEMENTS 2026'!J2028)</f>
        <v/>
      </c>
      <c r="G2028">
        <f>IF(ISBLANK('ENGAGEMENTS 2026'!C2028),"",'ENGAGEMENTS 2026'!M2028)</f>
        <v/>
      </c>
      <c r="H2028">
        <f>IF(ISBLANK('ENGAGEMENTS 2026'!C2028),"",'ENGAGEMENTS 2026'!AF2028)</f>
        <v/>
      </c>
      <c r="I2028">
        <f>IF(ISBLANK('ENGAGEMENTS 2026'!C2028),"",'ENGAGEMENTS 2026'!H2028)</f>
        <v/>
      </c>
      <c r="J2028" s="275">
        <f>IF(ISBLANK('ENGAGEMENTS 2026'!C2028),"",IF(AND(OR($E2028="INFRUCTUEUX",$E2028="ANNULE"),$C2028="AOO-M"),'ENGAGEMENTS 2026'!P2028,IF($H2028="EN COURS DE PREENGAGEMENT",'ENGAGEMENTS 2026'!O2028,IF($H2028="PREENGAGE",IF($E2028="ATTRIBUE",'ENGAGEMENTS 2026'!AE2028,'ENGAGEMENTS 2026'!O2028),'ENGAGEMENTS 2026'!AE2028))))</f>
        <v/>
      </c>
      <c r="K2028" s="604">
        <f>IF(ISBLANK('ENGAGEMENTS 2026'!W2028),"",'ENGAGEMENTS 2026'!W2028)</f>
        <v/>
      </c>
      <c r="L2028" s="276">
        <f>IF($K2028="","",TODAY()-$K2028)</f>
        <v/>
      </c>
      <c r="M2028">
        <f>IF($A2028="","",IF($H2028="ENGAGE","Engagé",IF(AND($H2028="NON ENGAGE",OR($I2028="INFRUCTUEUX",$I2028="ANNULE")),"Clôturé sans suite","En cours")))</f>
        <v/>
      </c>
      <c r="N2028">
        <f>IF(ISBLANK('ENGAGEMENTS 2026'!C2028),"",'ENGAGEMENTS 2026'!L2028)</f>
        <v/>
      </c>
      <c r="O2028">
        <f>IF(ISBLANK('ENGAGEMENTS 2026'!C2028),"",'ENGAGEMENTS 2026'!M2028)</f>
        <v/>
      </c>
      <c r="P2028">
        <f>IF(ISBLANK('ENGAGEMENTS 2026'!C2028),"",'ENGAGEMENTS 2026'!K2028)</f>
        <v/>
      </c>
      <c r="Q2028">
        <f>IF($A2028="","",IF(OR($E2028="INFRUCTUEUX",$E2028="ANNULE"),$A2028&amp;"|"&amp;(COUNTIFS($A$2:$A2028,$A2028,$E$2:$E2028,"INFRUCTUEUX")+COUNTIFS($A$2:$A2028,$A2028,$E$2:$E2028,"ANNULE")),""))</f>
        <v/>
      </c>
    </row>
    <row r="2029">
      <c r="A2029">
        <f>IF(ISBLANK('ENGAGEMENTS 2026'!C2029),"",IF('ENGAGEMENTS 2026'!C2029="DTSI","DCT",'ENGAGEMENTS 2026'!C2029))</f>
        <v/>
      </c>
      <c r="B2029">
        <f>IF(ISBLANK('ENGAGEMENTS 2026'!C2029),"",'ENGAGEMENTS 2026'!D2029)</f>
        <v/>
      </c>
      <c r="C2029">
        <f>IF(ISBLANK('ENGAGEMENTS 2026'!C2029),"",'ENGAGEMENTS 2026'!E2029)</f>
        <v/>
      </c>
      <c r="D2029">
        <f>IF(ISBLANK('ENGAGEMENTS 2026'!C2029),"",'ENGAGEMENTS 2026'!G2029)</f>
        <v/>
      </c>
      <c r="E2029">
        <f>IF(ISBLANK('ENGAGEMENTS 2026'!C2029),"",'ENGAGEMENTS 2026'!I2029)</f>
        <v/>
      </c>
      <c r="F2029">
        <f>IF(ISBLANK('ENGAGEMENTS 2026'!C2029),"",'ENGAGEMENTS 2026'!J2029)</f>
        <v/>
      </c>
      <c r="G2029">
        <f>IF(ISBLANK('ENGAGEMENTS 2026'!C2029),"",'ENGAGEMENTS 2026'!M2029)</f>
        <v/>
      </c>
      <c r="H2029">
        <f>IF(ISBLANK('ENGAGEMENTS 2026'!C2029),"",'ENGAGEMENTS 2026'!AF2029)</f>
        <v/>
      </c>
      <c r="I2029">
        <f>IF(ISBLANK('ENGAGEMENTS 2026'!C2029),"",'ENGAGEMENTS 2026'!H2029)</f>
        <v/>
      </c>
      <c r="J2029" s="275">
        <f>IF(ISBLANK('ENGAGEMENTS 2026'!C2029),"",IF(AND(OR($E2029="INFRUCTUEUX",$E2029="ANNULE"),$C2029="AOO-M"),'ENGAGEMENTS 2026'!P2029,IF($H2029="EN COURS DE PREENGAGEMENT",'ENGAGEMENTS 2026'!O2029,IF($H2029="PREENGAGE",IF($E2029="ATTRIBUE",'ENGAGEMENTS 2026'!AE2029,'ENGAGEMENTS 2026'!O2029),'ENGAGEMENTS 2026'!AE2029))))</f>
        <v/>
      </c>
      <c r="K2029" s="604">
        <f>IF(ISBLANK('ENGAGEMENTS 2026'!W2029),"",'ENGAGEMENTS 2026'!W2029)</f>
        <v/>
      </c>
      <c r="L2029" s="276">
        <f>IF($K2029="","",TODAY()-$K2029)</f>
        <v/>
      </c>
      <c r="M2029">
        <f>IF($A2029="","",IF($H2029="ENGAGE","Engagé",IF(AND($H2029="NON ENGAGE",OR($I2029="INFRUCTUEUX",$I2029="ANNULE")),"Clôturé sans suite","En cours")))</f>
        <v/>
      </c>
      <c r="N2029">
        <f>IF(ISBLANK('ENGAGEMENTS 2026'!C2029),"",'ENGAGEMENTS 2026'!L2029)</f>
        <v/>
      </c>
      <c r="O2029">
        <f>IF(ISBLANK('ENGAGEMENTS 2026'!C2029),"",'ENGAGEMENTS 2026'!M2029)</f>
        <v/>
      </c>
      <c r="P2029">
        <f>IF(ISBLANK('ENGAGEMENTS 2026'!C2029),"",'ENGAGEMENTS 2026'!K2029)</f>
        <v/>
      </c>
      <c r="Q2029">
        <f>IF($A2029="","",IF(OR($E2029="INFRUCTUEUX",$E2029="ANNULE"),$A2029&amp;"|"&amp;(COUNTIFS($A$2:$A2029,$A2029,$E$2:$E2029,"INFRUCTUEUX")+COUNTIFS($A$2:$A2029,$A2029,$E$2:$E2029,"ANNULE")),""))</f>
        <v/>
      </c>
    </row>
    <row r="2030">
      <c r="A2030">
        <f>IF(ISBLANK('ENGAGEMENTS 2026'!C2030),"",IF('ENGAGEMENTS 2026'!C2030="DTSI","DCT",'ENGAGEMENTS 2026'!C2030))</f>
        <v/>
      </c>
      <c r="B2030">
        <f>IF(ISBLANK('ENGAGEMENTS 2026'!C2030),"",'ENGAGEMENTS 2026'!D2030)</f>
        <v/>
      </c>
      <c r="C2030">
        <f>IF(ISBLANK('ENGAGEMENTS 2026'!C2030),"",'ENGAGEMENTS 2026'!E2030)</f>
        <v/>
      </c>
      <c r="D2030">
        <f>IF(ISBLANK('ENGAGEMENTS 2026'!C2030),"",'ENGAGEMENTS 2026'!G2030)</f>
        <v/>
      </c>
      <c r="E2030">
        <f>IF(ISBLANK('ENGAGEMENTS 2026'!C2030),"",'ENGAGEMENTS 2026'!I2030)</f>
        <v/>
      </c>
      <c r="F2030">
        <f>IF(ISBLANK('ENGAGEMENTS 2026'!C2030),"",'ENGAGEMENTS 2026'!J2030)</f>
        <v/>
      </c>
      <c r="G2030">
        <f>IF(ISBLANK('ENGAGEMENTS 2026'!C2030),"",'ENGAGEMENTS 2026'!M2030)</f>
        <v/>
      </c>
      <c r="H2030">
        <f>IF(ISBLANK('ENGAGEMENTS 2026'!C2030),"",'ENGAGEMENTS 2026'!AF2030)</f>
        <v/>
      </c>
      <c r="I2030">
        <f>IF(ISBLANK('ENGAGEMENTS 2026'!C2030),"",'ENGAGEMENTS 2026'!H2030)</f>
        <v/>
      </c>
      <c r="J2030" s="275">
        <f>IF(ISBLANK('ENGAGEMENTS 2026'!C2030),"",IF(AND(OR($E2030="INFRUCTUEUX",$E2030="ANNULE"),$C2030="AOO-M"),'ENGAGEMENTS 2026'!P2030,IF($H2030="EN COURS DE PREENGAGEMENT",'ENGAGEMENTS 2026'!O2030,IF($H2030="PREENGAGE",IF($E2030="ATTRIBUE",'ENGAGEMENTS 2026'!AE2030,'ENGAGEMENTS 2026'!O2030),'ENGAGEMENTS 2026'!AE2030))))</f>
        <v/>
      </c>
      <c r="K2030" s="604">
        <f>IF(ISBLANK('ENGAGEMENTS 2026'!W2030),"",'ENGAGEMENTS 2026'!W2030)</f>
        <v/>
      </c>
      <c r="L2030" s="276">
        <f>IF($K2030="","",TODAY()-$K2030)</f>
        <v/>
      </c>
      <c r="M2030">
        <f>IF($A2030="","",IF($H2030="ENGAGE","Engagé",IF(AND($H2030="NON ENGAGE",OR($I2030="INFRUCTUEUX",$I2030="ANNULE")),"Clôturé sans suite","En cours")))</f>
        <v/>
      </c>
      <c r="N2030">
        <f>IF(ISBLANK('ENGAGEMENTS 2026'!C2030),"",'ENGAGEMENTS 2026'!L2030)</f>
        <v/>
      </c>
      <c r="O2030">
        <f>IF(ISBLANK('ENGAGEMENTS 2026'!C2030),"",'ENGAGEMENTS 2026'!M2030)</f>
        <v/>
      </c>
      <c r="P2030">
        <f>IF(ISBLANK('ENGAGEMENTS 2026'!C2030),"",'ENGAGEMENTS 2026'!K2030)</f>
        <v/>
      </c>
      <c r="Q2030">
        <f>IF($A2030="","",IF(OR($E2030="INFRUCTUEUX",$E2030="ANNULE"),$A2030&amp;"|"&amp;(COUNTIFS($A$2:$A2030,$A2030,$E$2:$E2030,"INFRUCTUEUX")+COUNTIFS($A$2:$A2030,$A2030,$E$2:$E2030,"ANNULE")),""))</f>
        <v/>
      </c>
    </row>
    <row r="2031">
      <c r="A2031">
        <f>IF(ISBLANK('ENGAGEMENTS 2026'!C2031),"",IF('ENGAGEMENTS 2026'!C2031="DTSI","DCT",'ENGAGEMENTS 2026'!C2031))</f>
        <v/>
      </c>
      <c r="B2031">
        <f>IF(ISBLANK('ENGAGEMENTS 2026'!C2031),"",'ENGAGEMENTS 2026'!D2031)</f>
        <v/>
      </c>
      <c r="C2031">
        <f>IF(ISBLANK('ENGAGEMENTS 2026'!C2031),"",'ENGAGEMENTS 2026'!E2031)</f>
        <v/>
      </c>
      <c r="D2031">
        <f>IF(ISBLANK('ENGAGEMENTS 2026'!C2031),"",'ENGAGEMENTS 2026'!G2031)</f>
        <v/>
      </c>
      <c r="E2031">
        <f>IF(ISBLANK('ENGAGEMENTS 2026'!C2031),"",'ENGAGEMENTS 2026'!I2031)</f>
        <v/>
      </c>
      <c r="F2031">
        <f>IF(ISBLANK('ENGAGEMENTS 2026'!C2031),"",'ENGAGEMENTS 2026'!J2031)</f>
        <v/>
      </c>
      <c r="G2031">
        <f>IF(ISBLANK('ENGAGEMENTS 2026'!C2031),"",'ENGAGEMENTS 2026'!M2031)</f>
        <v/>
      </c>
      <c r="H2031">
        <f>IF(ISBLANK('ENGAGEMENTS 2026'!C2031),"",'ENGAGEMENTS 2026'!AF2031)</f>
        <v/>
      </c>
      <c r="I2031">
        <f>IF(ISBLANK('ENGAGEMENTS 2026'!C2031),"",'ENGAGEMENTS 2026'!H2031)</f>
        <v/>
      </c>
      <c r="J2031" s="275">
        <f>IF(ISBLANK('ENGAGEMENTS 2026'!C2031),"",IF(AND(OR($E2031="INFRUCTUEUX",$E2031="ANNULE"),$C2031="AOO-M"),'ENGAGEMENTS 2026'!P2031,IF($H2031="EN COURS DE PREENGAGEMENT",'ENGAGEMENTS 2026'!O2031,IF($H2031="PREENGAGE",IF($E2031="ATTRIBUE",'ENGAGEMENTS 2026'!AE2031,'ENGAGEMENTS 2026'!O2031),'ENGAGEMENTS 2026'!AE2031))))</f>
        <v/>
      </c>
      <c r="K2031" s="604">
        <f>IF(ISBLANK('ENGAGEMENTS 2026'!W2031),"",'ENGAGEMENTS 2026'!W2031)</f>
        <v/>
      </c>
      <c r="L2031" s="276">
        <f>IF($K2031="","",TODAY()-$K2031)</f>
        <v/>
      </c>
      <c r="M2031">
        <f>IF($A2031="","",IF($H2031="ENGAGE","Engagé",IF(AND($H2031="NON ENGAGE",OR($I2031="INFRUCTUEUX",$I2031="ANNULE")),"Clôturé sans suite","En cours")))</f>
        <v/>
      </c>
      <c r="N2031">
        <f>IF(ISBLANK('ENGAGEMENTS 2026'!C2031),"",'ENGAGEMENTS 2026'!L2031)</f>
        <v/>
      </c>
      <c r="O2031">
        <f>IF(ISBLANK('ENGAGEMENTS 2026'!C2031),"",'ENGAGEMENTS 2026'!M2031)</f>
        <v/>
      </c>
      <c r="P2031">
        <f>IF(ISBLANK('ENGAGEMENTS 2026'!C2031),"",'ENGAGEMENTS 2026'!K2031)</f>
        <v/>
      </c>
      <c r="Q2031">
        <f>IF($A2031="","",IF(OR($E2031="INFRUCTUEUX",$E2031="ANNULE"),$A2031&amp;"|"&amp;(COUNTIFS($A$2:$A2031,$A2031,$E$2:$E2031,"INFRUCTUEUX")+COUNTIFS($A$2:$A2031,$A2031,$E$2:$E2031,"ANNULE")),""))</f>
        <v/>
      </c>
    </row>
    <row r="2032">
      <c r="A2032">
        <f>IF(ISBLANK('ENGAGEMENTS 2026'!C2032),"",IF('ENGAGEMENTS 2026'!C2032="DTSI","DCT",'ENGAGEMENTS 2026'!C2032))</f>
        <v/>
      </c>
      <c r="B2032">
        <f>IF(ISBLANK('ENGAGEMENTS 2026'!C2032),"",'ENGAGEMENTS 2026'!D2032)</f>
        <v/>
      </c>
      <c r="C2032">
        <f>IF(ISBLANK('ENGAGEMENTS 2026'!C2032),"",'ENGAGEMENTS 2026'!E2032)</f>
        <v/>
      </c>
      <c r="D2032">
        <f>IF(ISBLANK('ENGAGEMENTS 2026'!C2032),"",'ENGAGEMENTS 2026'!G2032)</f>
        <v/>
      </c>
      <c r="E2032">
        <f>IF(ISBLANK('ENGAGEMENTS 2026'!C2032),"",'ENGAGEMENTS 2026'!I2032)</f>
        <v/>
      </c>
      <c r="F2032">
        <f>IF(ISBLANK('ENGAGEMENTS 2026'!C2032),"",'ENGAGEMENTS 2026'!J2032)</f>
        <v/>
      </c>
      <c r="G2032">
        <f>IF(ISBLANK('ENGAGEMENTS 2026'!C2032),"",'ENGAGEMENTS 2026'!M2032)</f>
        <v/>
      </c>
      <c r="H2032">
        <f>IF(ISBLANK('ENGAGEMENTS 2026'!C2032),"",'ENGAGEMENTS 2026'!AF2032)</f>
        <v/>
      </c>
      <c r="I2032">
        <f>IF(ISBLANK('ENGAGEMENTS 2026'!C2032),"",'ENGAGEMENTS 2026'!H2032)</f>
        <v/>
      </c>
      <c r="J2032" s="275">
        <f>IF(ISBLANK('ENGAGEMENTS 2026'!C2032),"",IF(AND(OR($E2032="INFRUCTUEUX",$E2032="ANNULE"),$C2032="AOO-M"),'ENGAGEMENTS 2026'!P2032,IF($H2032="EN COURS DE PREENGAGEMENT",'ENGAGEMENTS 2026'!O2032,IF($H2032="PREENGAGE",IF($E2032="ATTRIBUE",'ENGAGEMENTS 2026'!AE2032,'ENGAGEMENTS 2026'!O2032),'ENGAGEMENTS 2026'!AE2032))))</f>
        <v/>
      </c>
      <c r="K2032" s="604">
        <f>IF(ISBLANK('ENGAGEMENTS 2026'!W2032),"",'ENGAGEMENTS 2026'!W2032)</f>
        <v/>
      </c>
      <c r="L2032" s="276">
        <f>IF($K2032="","",TODAY()-$K2032)</f>
        <v/>
      </c>
      <c r="M2032">
        <f>IF($A2032="","",IF($H2032="ENGAGE","Engagé",IF(AND($H2032="NON ENGAGE",OR($I2032="INFRUCTUEUX",$I2032="ANNULE")),"Clôturé sans suite","En cours")))</f>
        <v/>
      </c>
      <c r="N2032">
        <f>IF(ISBLANK('ENGAGEMENTS 2026'!C2032),"",'ENGAGEMENTS 2026'!L2032)</f>
        <v/>
      </c>
      <c r="O2032">
        <f>IF(ISBLANK('ENGAGEMENTS 2026'!C2032),"",'ENGAGEMENTS 2026'!M2032)</f>
        <v/>
      </c>
      <c r="P2032">
        <f>IF(ISBLANK('ENGAGEMENTS 2026'!C2032),"",'ENGAGEMENTS 2026'!K2032)</f>
        <v/>
      </c>
      <c r="Q2032">
        <f>IF($A2032="","",IF(OR($E2032="INFRUCTUEUX",$E2032="ANNULE"),$A2032&amp;"|"&amp;(COUNTIFS($A$2:$A2032,$A2032,$E$2:$E2032,"INFRUCTUEUX")+COUNTIFS($A$2:$A2032,$A2032,$E$2:$E2032,"ANNULE")),""))</f>
        <v/>
      </c>
    </row>
    <row r="2033">
      <c r="A2033">
        <f>IF(ISBLANK('ENGAGEMENTS 2026'!C2033),"",IF('ENGAGEMENTS 2026'!C2033="DTSI","DCT",'ENGAGEMENTS 2026'!C2033))</f>
        <v/>
      </c>
      <c r="B2033">
        <f>IF(ISBLANK('ENGAGEMENTS 2026'!C2033),"",'ENGAGEMENTS 2026'!D2033)</f>
        <v/>
      </c>
      <c r="C2033">
        <f>IF(ISBLANK('ENGAGEMENTS 2026'!C2033),"",'ENGAGEMENTS 2026'!E2033)</f>
        <v/>
      </c>
      <c r="D2033">
        <f>IF(ISBLANK('ENGAGEMENTS 2026'!C2033),"",'ENGAGEMENTS 2026'!G2033)</f>
        <v/>
      </c>
      <c r="E2033">
        <f>IF(ISBLANK('ENGAGEMENTS 2026'!C2033),"",'ENGAGEMENTS 2026'!I2033)</f>
        <v/>
      </c>
      <c r="F2033">
        <f>IF(ISBLANK('ENGAGEMENTS 2026'!C2033),"",'ENGAGEMENTS 2026'!J2033)</f>
        <v/>
      </c>
      <c r="G2033">
        <f>IF(ISBLANK('ENGAGEMENTS 2026'!C2033),"",'ENGAGEMENTS 2026'!M2033)</f>
        <v/>
      </c>
      <c r="H2033">
        <f>IF(ISBLANK('ENGAGEMENTS 2026'!C2033),"",'ENGAGEMENTS 2026'!AF2033)</f>
        <v/>
      </c>
      <c r="I2033">
        <f>IF(ISBLANK('ENGAGEMENTS 2026'!C2033),"",'ENGAGEMENTS 2026'!H2033)</f>
        <v/>
      </c>
      <c r="J2033" s="275">
        <f>IF(ISBLANK('ENGAGEMENTS 2026'!C2033),"",IF(AND(OR($E2033="INFRUCTUEUX",$E2033="ANNULE"),$C2033="AOO-M"),'ENGAGEMENTS 2026'!P2033,IF($H2033="EN COURS DE PREENGAGEMENT",'ENGAGEMENTS 2026'!O2033,IF($H2033="PREENGAGE",IF($E2033="ATTRIBUE",'ENGAGEMENTS 2026'!AE2033,'ENGAGEMENTS 2026'!O2033),'ENGAGEMENTS 2026'!AE2033))))</f>
        <v/>
      </c>
      <c r="K2033" s="604">
        <f>IF(ISBLANK('ENGAGEMENTS 2026'!W2033),"",'ENGAGEMENTS 2026'!W2033)</f>
        <v/>
      </c>
      <c r="L2033" s="276">
        <f>IF($K2033="","",TODAY()-$K2033)</f>
        <v/>
      </c>
      <c r="M2033">
        <f>IF($A2033="","",IF($H2033="ENGAGE","Engagé",IF(AND($H2033="NON ENGAGE",OR($I2033="INFRUCTUEUX",$I2033="ANNULE")),"Clôturé sans suite","En cours")))</f>
        <v/>
      </c>
      <c r="N2033">
        <f>IF(ISBLANK('ENGAGEMENTS 2026'!C2033),"",'ENGAGEMENTS 2026'!L2033)</f>
        <v/>
      </c>
      <c r="O2033">
        <f>IF(ISBLANK('ENGAGEMENTS 2026'!C2033),"",'ENGAGEMENTS 2026'!M2033)</f>
        <v/>
      </c>
      <c r="P2033">
        <f>IF(ISBLANK('ENGAGEMENTS 2026'!C2033),"",'ENGAGEMENTS 2026'!K2033)</f>
        <v/>
      </c>
      <c r="Q2033">
        <f>IF($A2033="","",IF(OR($E2033="INFRUCTUEUX",$E2033="ANNULE"),$A2033&amp;"|"&amp;(COUNTIFS($A$2:$A2033,$A2033,$E$2:$E2033,"INFRUCTUEUX")+COUNTIFS($A$2:$A2033,$A2033,$E$2:$E2033,"ANNULE")),""))</f>
        <v/>
      </c>
    </row>
    <row r="2034">
      <c r="A2034">
        <f>IF(ISBLANK('ENGAGEMENTS 2026'!C2034),"",IF('ENGAGEMENTS 2026'!C2034="DTSI","DCT",'ENGAGEMENTS 2026'!C2034))</f>
        <v/>
      </c>
      <c r="B2034">
        <f>IF(ISBLANK('ENGAGEMENTS 2026'!C2034),"",'ENGAGEMENTS 2026'!D2034)</f>
        <v/>
      </c>
      <c r="C2034">
        <f>IF(ISBLANK('ENGAGEMENTS 2026'!C2034),"",'ENGAGEMENTS 2026'!E2034)</f>
        <v/>
      </c>
      <c r="D2034">
        <f>IF(ISBLANK('ENGAGEMENTS 2026'!C2034),"",'ENGAGEMENTS 2026'!G2034)</f>
        <v/>
      </c>
      <c r="E2034">
        <f>IF(ISBLANK('ENGAGEMENTS 2026'!C2034),"",'ENGAGEMENTS 2026'!I2034)</f>
        <v/>
      </c>
      <c r="F2034">
        <f>IF(ISBLANK('ENGAGEMENTS 2026'!C2034),"",'ENGAGEMENTS 2026'!J2034)</f>
        <v/>
      </c>
      <c r="G2034">
        <f>IF(ISBLANK('ENGAGEMENTS 2026'!C2034),"",'ENGAGEMENTS 2026'!M2034)</f>
        <v/>
      </c>
      <c r="H2034">
        <f>IF(ISBLANK('ENGAGEMENTS 2026'!C2034),"",'ENGAGEMENTS 2026'!AF2034)</f>
        <v/>
      </c>
      <c r="I2034">
        <f>IF(ISBLANK('ENGAGEMENTS 2026'!C2034),"",'ENGAGEMENTS 2026'!H2034)</f>
        <v/>
      </c>
      <c r="J2034" s="275">
        <f>IF(ISBLANK('ENGAGEMENTS 2026'!C2034),"",IF(AND(OR($E2034="INFRUCTUEUX",$E2034="ANNULE"),$C2034="AOO-M"),'ENGAGEMENTS 2026'!P2034,IF($H2034="EN COURS DE PREENGAGEMENT",'ENGAGEMENTS 2026'!O2034,IF($H2034="PREENGAGE",IF($E2034="ATTRIBUE",'ENGAGEMENTS 2026'!AE2034,'ENGAGEMENTS 2026'!O2034),'ENGAGEMENTS 2026'!AE2034))))</f>
        <v/>
      </c>
      <c r="K2034" s="604">
        <f>IF(ISBLANK('ENGAGEMENTS 2026'!W2034),"",'ENGAGEMENTS 2026'!W2034)</f>
        <v/>
      </c>
      <c r="L2034" s="276">
        <f>IF($K2034="","",TODAY()-$K2034)</f>
        <v/>
      </c>
      <c r="M2034">
        <f>IF($A2034="","",IF($H2034="ENGAGE","Engagé",IF(AND($H2034="NON ENGAGE",OR($I2034="INFRUCTUEUX",$I2034="ANNULE")),"Clôturé sans suite","En cours")))</f>
        <v/>
      </c>
      <c r="N2034">
        <f>IF(ISBLANK('ENGAGEMENTS 2026'!C2034),"",'ENGAGEMENTS 2026'!L2034)</f>
        <v/>
      </c>
      <c r="O2034">
        <f>IF(ISBLANK('ENGAGEMENTS 2026'!C2034),"",'ENGAGEMENTS 2026'!M2034)</f>
        <v/>
      </c>
      <c r="P2034">
        <f>IF(ISBLANK('ENGAGEMENTS 2026'!C2034),"",'ENGAGEMENTS 2026'!K2034)</f>
        <v/>
      </c>
      <c r="Q2034">
        <f>IF($A2034="","",IF(OR($E2034="INFRUCTUEUX",$E2034="ANNULE"),$A2034&amp;"|"&amp;(COUNTIFS($A$2:$A2034,$A2034,$E$2:$E2034,"INFRUCTUEUX")+COUNTIFS($A$2:$A2034,$A2034,$E$2:$E2034,"ANNULE")),""))</f>
        <v/>
      </c>
    </row>
    <row r="2035">
      <c r="A2035">
        <f>IF(ISBLANK('ENGAGEMENTS 2026'!C2035),"",IF('ENGAGEMENTS 2026'!C2035="DTSI","DCT",'ENGAGEMENTS 2026'!C2035))</f>
        <v/>
      </c>
      <c r="B2035">
        <f>IF(ISBLANK('ENGAGEMENTS 2026'!C2035),"",'ENGAGEMENTS 2026'!D2035)</f>
        <v/>
      </c>
      <c r="C2035">
        <f>IF(ISBLANK('ENGAGEMENTS 2026'!C2035),"",'ENGAGEMENTS 2026'!E2035)</f>
        <v/>
      </c>
      <c r="D2035">
        <f>IF(ISBLANK('ENGAGEMENTS 2026'!C2035),"",'ENGAGEMENTS 2026'!G2035)</f>
        <v/>
      </c>
      <c r="E2035">
        <f>IF(ISBLANK('ENGAGEMENTS 2026'!C2035),"",'ENGAGEMENTS 2026'!I2035)</f>
        <v/>
      </c>
      <c r="F2035">
        <f>IF(ISBLANK('ENGAGEMENTS 2026'!C2035),"",'ENGAGEMENTS 2026'!J2035)</f>
        <v/>
      </c>
      <c r="G2035">
        <f>IF(ISBLANK('ENGAGEMENTS 2026'!C2035),"",'ENGAGEMENTS 2026'!M2035)</f>
        <v/>
      </c>
      <c r="H2035">
        <f>IF(ISBLANK('ENGAGEMENTS 2026'!C2035),"",'ENGAGEMENTS 2026'!AF2035)</f>
        <v/>
      </c>
      <c r="I2035">
        <f>IF(ISBLANK('ENGAGEMENTS 2026'!C2035),"",'ENGAGEMENTS 2026'!H2035)</f>
        <v/>
      </c>
      <c r="J2035" s="275">
        <f>IF(ISBLANK('ENGAGEMENTS 2026'!C2035),"",IF(AND(OR($E2035="INFRUCTUEUX",$E2035="ANNULE"),$C2035="AOO-M"),'ENGAGEMENTS 2026'!P2035,IF($H2035="EN COURS DE PREENGAGEMENT",'ENGAGEMENTS 2026'!O2035,IF($H2035="PREENGAGE",IF($E2035="ATTRIBUE",'ENGAGEMENTS 2026'!AE2035,'ENGAGEMENTS 2026'!O2035),'ENGAGEMENTS 2026'!AE2035))))</f>
        <v/>
      </c>
      <c r="K2035" s="604">
        <f>IF(ISBLANK('ENGAGEMENTS 2026'!W2035),"",'ENGAGEMENTS 2026'!W2035)</f>
        <v/>
      </c>
      <c r="L2035" s="276">
        <f>IF($K2035="","",TODAY()-$K2035)</f>
        <v/>
      </c>
      <c r="M2035">
        <f>IF($A2035="","",IF($H2035="ENGAGE","Engagé",IF(AND($H2035="NON ENGAGE",OR($I2035="INFRUCTUEUX",$I2035="ANNULE")),"Clôturé sans suite","En cours")))</f>
        <v/>
      </c>
      <c r="N2035">
        <f>IF(ISBLANK('ENGAGEMENTS 2026'!C2035),"",'ENGAGEMENTS 2026'!L2035)</f>
        <v/>
      </c>
      <c r="O2035">
        <f>IF(ISBLANK('ENGAGEMENTS 2026'!C2035),"",'ENGAGEMENTS 2026'!M2035)</f>
        <v/>
      </c>
      <c r="P2035">
        <f>IF(ISBLANK('ENGAGEMENTS 2026'!C2035),"",'ENGAGEMENTS 2026'!K2035)</f>
        <v/>
      </c>
      <c r="Q2035">
        <f>IF($A2035="","",IF(OR($E2035="INFRUCTUEUX",$E2035="ANNULE"),$A2035&amp;"|"&amp;(COUNTIFS($A$2:$A2035,$A2035,$E$2:$E2035,"INFRUCTUEUX")+COUNTIFS($A$2:$A2035,$A2035,$E$2:$E2035,"ANNULE")),""))</f>
        <v/>
      </c>
    </row>
    <row r="2036">
      <c r="A2036">
        <f>IF(ISBLANK('ENGAGEMENTS 2026'!C2036),"",IF('ENGAGEMENTS 2026'!C2036="DTSI","DCT",'ENGAGEMENTS 2026'!C2036))</f>
        <v/>
      </c>
      <c r="B2036">
        <f>IF(ISBLANK('ENGAGEMENTS 2026'!C2036),"",'ENGAGEMENTS 2026'!D2036)</f>
        <v/>
      </c>
      <c r="C2036">
        <f>IF(ISBLANK('ENGAGEMENTS 2026'!C2036),"",'ENGAGEMENTS 2026'!E2036)</f>
        <v/>
      </c>
      <c r="D2036">
        <f>IF(ISBLANK('ENGAGEMENTS 2026'!C2036),"",'ENGAGEMENTS 2026'!G2036)</f>
        <v/>
      </c>
      <c r="E2036">
        <f>IF(ISBLANK('ENGAGEMENTS 2026'!C2036),"",'ENGAGEMENTS 2026'!I2036)</f>
        <v/>
      </c>
      <c r="F2036">
        <f>IF(ISBLANK('ENGAGEMENTS 2026'!C2036),"",'ENGAGEMENTS 2026'!J2036)</f>
        <v/>
      </c>
      <c r="G2036">
        <f>IF(ISBLANK('ENGAGEMENTS 2026'!C2036),"",'ENGAGEMENTS 2026'!M2036)</f>
        <v/>
      </c>
      <c r="H2036">
        <f>IF(ISBLANK('ENGAGEMENTS 2026'!C2036),"",'ENGAGEMENTS 2026'!AF2036)</f>
        <v/>
      </c>
      <c r="I2036">
        <f>IF(ISBLANK('ENGAGEMENTS 2026'!C2036),"",'ENGAGEMENTS 2026'!H2036)</f>
        <v/>
      </c>
      <c r="J2036" s="275">
        <f>IF(ISBLANK('ENGAGEMENTS 2026'!C2036),"",IF(AND(OR($E2036="INFRUCTUEUX",$E2036="ANNULE"),$C2036="AOO-M"),'ENGAGEMENTS 2026'!P2036,IF($H2036="EN COURS DE PREENGAGEMENT",'ENGAGEMENTS 2026'!O2036,IF($H2036="PREENGAGE",IF($E2036="ATTRIBUE",'ENGAGEMENTS 2026'!AE2036,'ENGAGEMENTS 2026'!O2036),'ENGAGEMENTS 2026'!AE2036))))</f>
        <v/>
      </c>
      <c r="K2036" s="604">
        <f>IF(ISBLANK('ENGAGEMENTS 2026'!W2036),"",'ENGAGEMENTS 2026'!W2036)</f>
        <v/>
      </c>
      <c r="L2036" s="276">
        <f>IF($K2036="","",TODAY()-$K2036)</f>
        <v/>
      </c>
      <c r="M2036">
        <f>IF($A2036="","",IF($H2036="ENGAGE","Engagé",IF(AND($H2036="NON ENGAGE",OR($I2036="INFRUCTUEUX",$I2036="ANNULE")),"Clôturé sans suite","En cours")))</f>
        <v/>
      </c>
      <c r="N2036">
        <f>IF(ISBLANK('ENGAGEMENTS 2026'!C2036),"",'ENGAGEMENTS 2026'!L2036)</f>
        <v/>
      </c>
      <c r="O2036">
        <f>IF(ISBLANK('ENGAGEMENTS 2026'!C2036),"",'ENGAGEMENTS 2026'!M2036)</f>
        <v/>
      </c>
      <c r="P2036">
        <f>IF(ISBLANK('ENGAGEMENTS 2026'!C2036),"",'ENGAGEMENTS 2026'!K2036)</f>
        <v/>
      </c>
      <c r="Q2036">
        <f>IF($A2036="","",IF(OR($E2036="INFRUCTUEUX",$E2036="ANNULE"),$A2036&amp;"|"&amp;(COUNTIFS($A$2:$A2036,$A2036,$E$2:$E2036,"INFRUCTUEUX")+COUNTIFS($A$2:$A2036,$A2036,$E$2:$E2036,"ANNULE")),""))</f>
        <v/>
      </c>
    </row>
    <row r="2037">
      <c r="A2037">
        <f>IF(ISBLANK('ENGAGEMENTS 2026'!C2037),"",IF('ENGAGEMENTS 2026'!C2037="DTSI","DCT",'ENGAGEMENTS 2026'!C2037))</f>
        <v/>
      </c>
      <c r="B2037">
        <f>IF(ISBLANK('ENGAGEMENTS 2026'!C2037),"",'ENGAGEMENTS 2026'!D2037)</f>
        <v/>
      </c>
      <c r="C2037">
        <f>IF(ISBLANK('ENGAGEMENTS 2026'!C2037),"",'ENGAGEMENTS 2026'!E2037)</f>
        <v/>
      </c>
      <c r="D2037">
        <f>IF(ISBLANK('ENGAGEMENTS 2026'!C2037),"",'ENGAGEMENTS 2026'!G2037)</f>
        <v/>
      </c>
      <c r="E2037">
        <f>IF(ISBLANK('ENGAGEMENTS 2026'!C2037),"",'ENGAGEMENTS 2026'!I2037)</f>
        <v/>
      </c>
      <c r="F2037">
        <f>IF(ISBLANK('ENGAGEMENTS 2026'!C2037),"",'ENGAGEMENTS 2026'!J2037)</f>
        <v/>
      </c>
      <c r="G2037">
        <f>IF(ISBLANK('ENGAGEMENTS 2026'!C2037),"",'ENGAGEMENTS 2026'!M2037)</f>
        <v/>
      </c>
      <c r="H2037">
        <f>IF(ISBLANK('ENGAGEMENTS 2026'!C2037),"",'ENGAGEMENTS 2026'!AF2037)</f>
        <v/>
      </c>
      <c r="I2037">
        <f>IF(ISBLANK('ENGAGEMENTS 2026'!C2037),"",'ENGAGEMENTS 2026'!H2037)</f>
        <v/>
      </c>
      <c r="J2037" s="275">
        <f>IF(ISBLANK('ENGAGEMENTS 2026'!C2037),"",IF(AND(OR($E2037="INFRUCTUEUX",$E2037="ANNULE"),$C2037="AOO-M"),'ENGAGEMENTS 2026'!P2037,IF($H2037="EN COURS DE PREENGAGEMENT",'ENGAGEMENTS 2026'!O2037,IF($H2037="PREENGAGE",IF($E2037="ATTRIBUE",'ENGAGEMENTS 2026'!AE2037,'ENGAGEMENTS 2026'!O2037),'ENGAGEMENTS 2026'!AE2037))))</f>
        <v/>
      </c>
      <c r="K2037" s="604">
        <f>IF(ISBLANK('ENGAGEMENTS 2026'!W2037),"",'ENGAGEMENTS 2026'!W2037)</f>
        <v/>
      </c>
      <c r="L2037" s="276">
        <f>IF($K2037="","",TODAY()-$K2037)</f>
        <v/>
      </c>
      <c r="M2037">
        <f>IF($A2037="","",IF($H2037="ENGAGE","Engagé",IF(AND($H2037="NON ENGAGE",OR($I2037="INFRUCTUEUX",$I2037="ANNULE")),"Clôturé sans suite","En cours")))</f>
        <v/>
      </c>
      <c r="N2037">
        <f>IF(ISBLANK('ENGAGEMENTS 2026'!C2037),"",'ENGAGEMENTS 2026'!L2037)</f>
        <v/>
      </c>
      <c r="O2037">
        <f>IF(ISBLANK('ENGAGEMENTS 2026'!C2037),"",'ENGAGEMENTS 2026'!M2037)</f>
        <v/>
      </c>
      <c r="P2037">
        <f>IF(ISBLANK('ENGAGEMENTS 2026'!C2037),"",'ENGAGEMENTS 2026'!K2037)</f>
        <v/>
      </c>
      <c r="Q2037">
        <f>IF($A2037="","",IF(OR($E2037="INFRUCTUEUX",$E2037="ANNULE"),$A2037&amp;"|"&amp;(COUNTIFS($A$2:$A2037,$A2037,$E$2:$E2037,"INFRUCTUEUX")+COUNTIFS($A$2:$A2037,$A2037,$E$2:$E2037,"ANNULE")),""))</f>
        <v/>
      </c>
    </row>
    <row r="2038">
      <c r="A2038">
        <f>IF(ISBLANK('ENGAGEMENTS 2026'!C2038),"",IF('ENGAGEMENTS 2026'!C2038="DTSI","DCT",'ENGAGEMENTS 2026'!C2038))</f>
        <v/>
      </c>
      <c r="B2038">
        <f>IF(ISBLANK('ENGAGEMENTS 2026'!C2038),"",'ENGAGEMENTS 2026'!D2038)</f>
        <v/>
      </c>
      <c r="C2038">
        <f>IF(ISBLANK('ENGAGEMENTS 2026'!C2038),"",'ENGAGEMENTS 2026'!E2038)</f>
        <v/>
      </c>
      <c r="D2038">
        <f>IF(ISBLANK('ENGAGEMENTS 2026'!C2038),"",'ENGAGEMENTS 2026'!G2038)</f>
        <v/>
      </c>
      <c r="E2038">
        <f>IF(ISBLANK('ENGAGEMENTS 2026'!C2038),"",'ENGAGEMENTS 2026'!I2038)</f>
        <v/>
      </c>
      <c r="F2038">
        <f>IF(ISBLANK('ENGAGEMENTS 2026'!C2038),"",'ENGAGEMENTS 2026'!J2038)</f>
        <v/>
      </c>
      <c r="G2038">
        <f>IF(ISBLANK('ENGAGEMENTS 2026'!C2038),"",'ENGAGEMENTS 2026'!M2038)</f>
        <v/>
      </c>
      <c r="H2038">
        <f>IF(ISBLANK('ENGAGEMENTS 2026'!C2038),"",'ENGAGEMENTS 2026'!AF2038)</f>
        <v/>
      </c>
      <c r="I2038">
        <f>IF(ISBLANK('ENGAGEMENTS 2026'!C2038),"",'ENGAGEMENTS 2026'!H2038)</f>
        <v/>
      </c>
      <c r="J2038" s="275">
        <f>IF(ISBLANK('ENGAGEMENTS 2026'!C2038),"",IF(AND(OR($E2038="INFRUCTUEUX",$E2038="ANNULE"),$C2038="AOO-M"),'ENGAGEMENTS 2026'!P2038,IF($H2038="EN COURS DE PREENGAGEMENT",'ENGAGEMENTS 2026'!O2038,IF($H2038="PREENGAGE",IF($E2038="ATTRIBUE",'ENGAGEMENTS 2026'!AE2038,'ENGAGEMENTS 2026'!O2038),'ENGAGEMENTS 2026'!AE2038))))</f>
        <v/>
      </c>
      <c r="K2038" s="604">
        <f>IF(ISBLANK('ENGAGEMENTS 2026'!W2038),"",'ENGAGEMENTS 2026'!W2038)</f>
        <v/>
      </c>
      <c r="L2038" s="276">
        <f>IF($K2038="","",TODAY()-$K2038)</f>
        <v/>
      </c>
      <c r="M2038">
        <f>IF($A2038="","",IF($H2038="ENGAGE","Engagé",IF(AND($H2038="NON ENGAGE",OR($I2038="INFRUCTUEUX",$I2038="ANNULE")),"Clôturé sans suite","En cours")))</f>
        <v/>
      </c>
      <c r="N2038">
        <f>IF(ISBLANK('ENGAGEMENTS 2026'!C2038),"",'ENGAGEMENTS 2026'!L2038)</f>
        <v/>
      </c>
      <c r="O2038">
        <f>IF(ISBLANK('ENGAGEMENTS 2026'!C2038),"",'ENGAGEMENTS 2026'!M2038)</f>
        <v/>
      </c>
      <c r="P2038">
        <f>IF(ISBLANK('ENGAGEMENTS 2026'!C2038),"",'ENGAGEMENTS 2026'!K2038)</f>
        <v/>
      </c>
      <c r="Q2038">
        <f>IF($A2038="","",IF(OR($E2038="INFRUCTUEUX",$E2038="ANNULE"),$A2038&amp;"|"&amp;(COUNTIFS($A$2:$A2038,$A2038,$E$2:$E2038,"INFRUCTUEUX")+COUNTIFS($A$2:$A2038,$A2038,$E$2:$E2038,"ANNULE")),""))</f>
        <v/>
      </c>
    </row>
    <row r="2039">
      <c r="A2039">
        <f>IF(ISBLANK('ENGAGEMENTS 2026'!C2039),"",IF('ENGAGEMENTS 2026'!C2039="DTSI","DCT",'ENGAGEMENTS 2026'!C2039))</f>
        <v/>
      </c>
      <c r="B2039">
        <f>IF(ISBLANK('ENGAGEMENTS 2026'!C2039),"",'ENGAGEMENTS 2026'!D2039)</f>
        <v/>
      </c>
      <c r="C2039">
        <f>IF(ISBLANK('ENGAGEMENTS 2026'!C2039),"",'ENGAGEMENTS 2026'!E2039)</f>
        <v/>
      </c>
      <c r="D2039">
        <f>IF(ISBLANK('ENGAGEMENTS 2026'!C2039),"",'ENGAGEMENTS 2026'!G2039)</f>
        <v/>
      </c>
      <c r="E2039">
        <f>IF(ISBLANK('ENGAGEMENTS 2026'!C2039),"",'ENGAGEMENTS 2026'!I2039)</f>
        <v/>
      </c>
      <c r="F2039">
        <f>IF(ISBLANK('ENGAGEMENTS 2026'!C2039),"",'ENGAGEMENTS 2026'!J2039)</f>
        <v/>
      </c>
      <c r="G2039">
        <f>IF(ISBLANK('ENGAGEMENTS 2026'!C2039),"",'ENGAGEMENTS 2026'!M2039)</f>
        <v/>
      </c>
      <c r="H2039">
        <f>IF(ISBLANK('ENGAGEMENTS 2026'!C2039),"",'ENGAGEMENTS 2026'!AF2039)</f>
        <v/>
      </c>
      <c r="I2039">
        <f>IF(ISBLANK('ENGAGEMENTS 2026'!C2039),"",'ENGAGEMENTS 2026'!H2039)</f>
        <v/>
      </c>
      <c r="J2039" s="275">
        <f>IF(ISBLANK('ENGAGEMENTS 2026'!C2039),"",IF(AND(OR($E2039="INFRUCTUEUX",$E2039="ANNULE"),$C2039="AOO-M"),'ENGAGEMENTS 2026'!P2039,IF($H2039="EN COURS DE PREENGAGEMENT",'ENGAGEMENTS 2026'!O2039,IF($H2039="PREENGAGE",IF($E2039="ATTRIBUE",'ENGAGEMENTS 2026'!AE2039,'ENGAGEMENTS 2026'!O2039),'ENGAGEMENTS 2026'!AE2039))))</f>
        <v/>
      </c>
      <c r="K2039" s="604">
        <f>IF(ISBLANK('ENGAGEMENTS 2026'!W2039),"",'ENGAGEMENTS 2026'!W2039)</f>
        <v/>
      </c>
      <c r="L2039" s="276">
        <f>IF($K2039="","",TODAY()-$K2039)</f>
        <v/>
      </c>
      <c r="M2039">
        <f>IF($A2039="","",IF($H2039="ENGAGE","Engagé",IF(AND($H2039="NON ENGAGE",OR($I2039="INFRUCTUEUX",$I2039="ANNULE")),"Clôturé sans suite","En cours")))</f>
        <v/>
      </c>
      <c r="N2039">
        <f>IF(ISBLANK('ENGAGEMENTS 2026'!C2039),"",'ENGAGEMENTS 2026'!L2039)</f>
        <v/>
      </c>
      <c r="O2039">
        <f>IF(ISBLANK('ENGAGEMENTS 2026'!C2039),"",'ENGAGEMENTS 2026'!M2039)</f>
        <v/>
      </c>
      <c r="P2039">
        <f>IF(ISBLANK('ENGAGEMENTS 2026'!C2039),"",'ENGAGEMENTS 2026'!K2039)</f>
        <v/>
      </c>
      <c r="Q2039">
        <f>IF($A2039="","",IF(OR($E2039="INFRUCTUEUX",$E2039="ANNULE"),$A2039&amp;"|"&amp;(COUNTIFS($A$2:$A2039,$A2039,$E$2:$E2039,"INFRUCTUEUX")+COUNTIFS($A$2:$A2039,$A2039,$E$2:$E2039,"ANNULE")),""))</f>
        <v/>
      </c>
    </row>
    <row r="2040">
      <c r="A2040">
        <f>IF(ISBLANK('ENGAGEMENTS 2026'!C2040),"",IF('ENGAGEMENTS 2026'!C2040="DTSI","DCT",'ENGAGEMENTS 2026'!C2040))</f>
        <v/>
      </c>
      <c r="B2040">
        <f>IF(ISBLANK('ENGAGEMENTS 2026'!C2040),"",'ENGAGEMENTS 2026'!D2040)</f>
        <v/>
      </c>
      <c r="C2040">
        <f>IF(ISBLANK('ENGAGEMENTS 2026'!C2040),"",'ENGAGEMENTS 2026'!E2040)</f>
        <v/>
      </c>
      <c r="D2040">
        <f>IF(ISBLANK('ENGAGEMENTS 2026'!C2040),"",'ENGAGEMENTS 2026'!G2040)</f>
        <v/>
      </c>
      <c r="E2040">
        <f>IF(ISBLANK('ENGAGEMENTS 2026'!C2040),"",'ENGAGEMENTS 2026'!I2040)</f>
        <v/>
      </c>
      <c r="F2040">
        <f>IF(ISBLANK('ENGAGEMENTS 2026'!C2040),"",'ENGAGEMENTS 2026'!J2040)</f>
        <v/>
      </c>
      <c r="G2040">
        <f>IF(ISBLANK('ENGAGEMENTS 2026'!C2040),"",'ENGAGEMENTS 2026'!M2040)</f>
        <v/>
      </c>
      <c r="H2040">
        <f>IF(ISBLANK('ENGAGEMENTS 2026'!C2040),"",'ENGAGEMENTS 2026'!AF2040)</f>
        <v/>
      </c>
      <c r="I2040">
        <f>IF(ISBLANK('ENGAGEMENTS 2026'!C2040),"",'ENGAGEMENTS 2026'!H2040)</f>
        <v/>
      </c>
      <c r="J2040" s="275">
        <f>IF(ISBLANK('ENGAGEMENTS 2026'!C2040),"",IF(AND(OR($E2040="INFRUCTUEUX",$E2040="ANNULE"),$C2040="AOO-M"),'ENGAGEMENTS 2026'!P2040,IF($H2040="EN COURS DE PREENGAGEMENT",'ENGAGEMENTS 2026'!O2040,IF($H2040="PREENGAGE",IF($E2040="ATTRIBUE",'ENGAGEMENTS 2026'!AE2040,'ENGAGEMENTS 2026'!O2040),'ENGAGEMENTS 2026'!AE2040))))</f>
        <v/>
      </c>
      <c r="K2040" s="604">
        <f>IF(ISBLANK('ENGAGEMENTS 2026'!W2040),"",'ENGAGEMENTS 2026'!W2040)</f>
        <v/>
      </c>
      <c r="L2040" s="276">
        <f>IF($K2040="","",TODAY()-$K2040)</f>
        <v/>
      </c>
      <c r="M2040">
        <f>IF($A2040="","",IF($H2040="ENGAGE","Engagé",IF(AND($H2040="NON ENGAGE",OR($I2040="INFRUCTUEUX",$I2040="ANNULE")),"Clôturé sans suite","En cours")))</f>
        <v/>
      </c>
      <c r="N2040">
        <f>IF(ISBLANK('ENGAGEMENTS 2026'!C2040),"",'ENGAGEMENTS 2026'!L2040)</f>
        <v/>
      </c>
      <c r="O2040">
        <f>IF(ISBLANK('ENGAGEMENTS 2026'!C2040),"",'ENGAGEMENTS 2026'!M2040)</f>
        <v/>
      </c>
      <c r="P2040">
        <f>IF(ISBLANK('ENGAGEMENTS 2026'!C2040),"",'ENGAGEMENTS 2026'!K2040)</f>
        <v/>
      </c>
      <c r="Q2040">
        <f>IF($A2040="","",IF(OR($E2040="INFRUCTUEUX",$E2040="ANNULE"),$A2040&amp;"|"&amp;(COUNTIFS($A$2:$A2040,$A2040,$E$2:$E2040,"INFRUCTUEUX")+COUNTIFS($A$2:$A2040,$A2040,$E$2:$E2040,"ANNULE")),""))</f>
        <v/>
      </c>
    </row>
    <row r="2041">
      <c r="A2041">
        <f>IF(ISBLANK('ENGAGEMENTS 2026'!C2041),"",IF('ENGAGEMENTS 2026'!C2041="DTSI","DCT",'ENGAGEMENTS 2026'!C2041))</f>
        <v/>
      </c>
      <c r="B2041">
        <f>IF(ISBLANK('ENGAGEMENTS 2026'!C2041),"",'ENGAGEMENTS 2026'!D2041)</f>
        <v/>
      </c>
      <c r="C2041">
        <f>IF(ISBLANK('ENGAGEMENTS 2026'!C2041),"",'ENGAGEMENTS 2026'!E2041)</f>
        <v/>
      </c>
      <c r="D2041">
        <f>IF(ISBLANK('ENGAGEMENTS 2026'!C2041),"",'ENGAGEMENTS 2026'!G2041)</f>
        <v/>
      </c>
      <c r="E2041">
        <f>IF(ISBLANK('ENGAGEMENTS 2026'!C2041),"",'ENGAGEMENTS 2026'!I2041)</f>
        <v/>
      </c>
      <c r="F2041">
        <f>IF(ISBLANK('ENGAGEMENTS 2026'!C2041),"",'ENGAGEMENTS 2026'!J2041)</f>
        <v/>
      </c>
      <c r="G2041">
        <f>IF(ISBLANK('ENGAGEMENTS 2026'!C2041),"",'ENGAGEMENTS 2026'!M2041)</f>
        <v/>
      </c>
      <c r="H2041">
        <f>IF(ISBLANK('ENGAGEMENTS 2026'!C2041),"",'ENGAGEMENTS 2026'!AF2041)</f>
        <v/>
      </c>
      <c r="I2041">
        <f>IF(ISBLANK('ENGAGEMENTS 2026'!C2041),"",'ENGAGEMENTS 2026'!H2041)</f>
        <v/>
      </c>
      <c r="J2041" s="275">
        <f>IF(ISBLANK('ENGAGEMENTS 2026'!C2041),"",IF(AND(OR($E2041="INFRUCTUEUX",$E2041="ANNULE"),$C2041="AOO-M"),'ENGAGEMENTS 2026'!P2041,IF($H2041="EN COURS DE PREENGAGEMENT",'ENGAGEMENTS 2026'!O2041,IF($H2041="PREENGAGE",IF($E2041="ATTRIBUE",'ENGAGEMENTS 2026'!AE2041,'ENGAGEMENTS 2026'!O2041),'ENGAGEMENTS 2026'!AE2041))))</f>
        <v/>
      </c>
      <c r="K2041" s="604">
        <f>IF(ISBLANK('ENGAGEMENTS 2026'!W2041),"",'ENGAGEMENTS 2026'!W2041)</f>
        <v/>
      </c>
      <c r="L2041" s="276">
        <f>IF($K2041="","",TODAY()-$K2041)</f>
        <v/>
      </c>
      <c r="M2041">
        <f>IF($A2041="","",IF($H2041="ENGAGE","Engagé",IF(AND($H2041="NON ENGAGE",OR($I2041="INFRUCTUEUX",$I2041="ANNULE")),"Clôturé sans suite","En cours")))</f>
        <v/>
      </c>
      <c r="N2041">
        <f>IF(ISBLANK('ENGAGEMENTS 2026'!C2041),"",'ENGAGEMENTS 2026'!L2041)</f>
        <v/>
      </c>
      <c r="O2041">
        <f>IF(ISBLANK('ENGAGEMENTS 2026'!C2041),"",'ENGAGEMENTS 2026'!M2041)</f>
        <v/>
      </c>
      <c r="P2041">
        <f>IF(ISBLANK('ENGAGEMENTS 2026'!C2041),"",'ENGAGEMENTS 2026'!K2041)</f>
        <v/>
      </c>
      <c r="Q2041">
        <f>IF($A2041="","",IF(OR($E2041="INFRUCTUEUX",$E2041="ANNULE"),$A2041&amp;"|"&amp;(COUNTIFS($A$2:$A2041,$A2041,$E$2:$E2041,"INFRUCTUEUX")+COUNTIFS($A$2:$A2041,$A2041,$E$2:$E2041,"ANNULE")),""))</f>
        <v/>
      </c>
    </row>
    <row r="2042">
      <c r="A2042">
        <f>IF(ISBLANK('ENGAGEMENTS 2026'!C2042),"",IF('ENGAGEMENTS 2026'!C2042="DTSI","DCT",'ENGAGEMENTS 2026'!C2042))</f>
        <v/>
      </c>
      <c r="B2042">
        <f>IF(ISBLANK('ENGAGEMENTS 2026'!C2042),"",'ENGAGEMENTS 2026'!D2042)</f>
        <v/>
      </c>
      <c r="C2042">
        <f>IF(ISBLANK('ENGAGEMENTS 2026'!C2042),"",'ENGAGEMENTS 2026'!E2042)</f>
        <v/>
      </c>
      <c r="D2042">
        <f>IF(ISBLANK('ENGAGEMENTS 2026'!C2042),"",'ENGAGEMENTS 2026'!G2042)</f>
        <v/>
      </c>
      <c r="E2042">
        <f>IF(ISBLANK('ENGAGEMENTS 2026'!C2042),"",'ENGAGEMENTS 2026'!I2042)</f>
        <v/>
      </c>
      <c r="F2042">
        <f>IF(ISBLANK('ENGAGEMENTS 2026'!C2042),"",'ENGAGEMENTS 2026'!J2042)</f>
        <v/>
      </c>
      <c r="G2042">
        <f>IF(ISBLANK('ENGAGEMENTS 2026'!C2042),"",'ENGAGEMENTS 2026'!M2042)</f>
        <v/>
      </c>
      <c r="H2042">
        <f>IF(ISBLANK('ENGAGEMENTS 2026'!C2042),"",'ENGAGEMENTS 2026'!AF2042)</f>
        <v/>
      </c>
      <c r="I2042">
        <f>IF(ISBLANK('ENGAGEMENTS 2026'!C2042),"",'ENGAGEMENTS 2026'!H2042)</f>
        <v/>
      </c>
      <c r="J2042" s="275">
        <f>IF(ISBLANK('ENGAGEMENTS 2026'!C2042),"",IF(AND(OR($E2042="INFRUCTUEUX",$E2042="ANNULE"),$C2042="AOO-M"),'ENGAGEMENTS 2026'!P2042,IF($H2042="EN COURS DE PREENGAGEMENT",'ENGAGEMENTS 2026'!O2042,IF($H2042="PREENGAGE",IF($E2042="ATTRIBUE",'ENGAGEMENTS 2026'!AE2042,'ENGAGEMENTS 2026'!O2042),'ENGAGEMENTS 2026'!AE2042))))</f>
        <v/>
      </c>
      <c r="K2042" s="604">
        <f>IF(ISBLANK('ENGAGEMENTS 2026'!W2042),"",'ENGAGEMENTS 2026'!W2042)</f>
        <v/>
      </c>
      <c r="L2042" s="276">
        <f>IF($K2042="","",TODAY()-$K2042)</f>
        <v/>
      </c>
      <c r="M2042">
        <f>IF($A2042="","",IF($H2042="ENGAGE","Engagé",IF(AND($H2042="NON ENGAGE",OR($I2042="INFRUCTUEUX",$I2042="ANNULE")),"Clôturé sans suite","En cours")))</f>
        <v/>
      </c>
      <c r="N2042">
        <f>IF(ISBLANK('ENGAGEMENTS 2026'!C2042),"",'ENGAGEMENTS 2026'!L2042)</f>
        <v/>
      </c>
      <c r="O2042">
        <f>IF(ISBLANK('ENGAGEMENTS 2026'!C2042),"",'ENGAGEMENTS 2026'!M2042)</f>
        <v/>
      </c>
      <c r="P2042">
        <f>IF(ISBLANK('ENGAGEMENTS 2026'!C2042),"",'ENGAGEMENTS 2026'!K2042)</f>
        <v/>
      </c>
      <c r="Q2042">
        <f>IF($A2042="","",IF(OR($E2042="INFRUCTUEUX",$E2042="ANNULE"),$A2042&amp;"|"&amp;(COUNTIFS($A$2:$A2042,$A2042,$E$2:$E2042,"INFRUCTUEUX")+COUNTIFS($A$2:$A2042,$A2042,$E$2:$E2042,"ANNULE")),""))</f>
        <v/>
      </c>
    </row>
    <row r="2043">
      <c r="A2043">
        <f>IF(ISBLANK('ENGAGEMENTS 2026'!C2043),"",IF('ENGAGEMENTS 2026'!C2043="DTSI","DCT",'ENGAGEMENTS 2026'!C2043))</f>
        <v/>
      </c>
      <c r="B2043">
        <f>IF(ISBLANK('ENGAGEMENTS 2026'!C2043),"",'ENGAGEMENTS 2026'!D2043)</f>
        <v/>
      </c>
      <c r="C2043">
        <f>IF(ISBLANK('ENGAGEMENTS 2026'!C2043),"",'ENGAGEMENTS 2026'!E2043)</f>
        <v/>
      </c>
      <c r="D2043">
        <f>IF(ISBLANK('ENGAGEMENTS 2026'!C2043),"",'ENGAGEMENTS 2026'!G2043)</f>
        <v/>
      </c>
      <c r="E2043">
        <f>IF(ISBLANK('ENGAGEMENTS 2026'!C2043),"",'ENGAGEMENTS 2026'!I2043)</f>
        <v/>
      </c>
      <c r="F2043">
        <f>IF(ISBLANK('ENGAGEMENTS 2026'!C2043),"",'ENGAGEMENTS 2026'!J2043)</f>
        <v/>
      </c>
      <c r="G2043">
        <f>IF(ISBLANK('ENGAGEMENTS 2026'!C2043),"",'ENGAGEMENTS 2026'!M2043)</f>
        <v/>
      </c>
      <c r="H2043">
        <f>IF(ISBLANK('ENGAGEMENTS 2026'!C2043),"",'ENGAGEMENTS 2026'!AF2043)</f>
        <v/>
      </c>
      <c r="I2043">
        <f>IF(ISBLANK('ENGAGEMENTS 2026'!C2043),"",'ENGAGEMENTS 2026'!H2043)</f>
        <v/>
      </c>
      <c r="J2043" s="275">
        <f>IF(ISBLANK('ENGAGEMENTS 2026'!C2043),"",IF(AND(OR($E2043="INFRUCTUEUX",$E2043="ANNULE"),$C2043="AOO-M"),'ENGAGEMENTS 2026'!P2043,IF($H2043="EN COURS DE PREENGAGEMENT",'ENGAGEMENTS 2026'!O2043,IF($H2043="PREENGAGE",IF($E2043="ATTRIBUE",'ENGAGEMENTS 2026'!AE2043,'ENGAGEMENTS 2026'!O2043),'ENGAGEMENTS 2026'!AE2043))))</f>
        <v/>
      </c>
      <c r="K2043" s="604">
        <f>IF(ISBLANK('ENGAGEMENTS 2026'!W2043),"",'ENGAGEMENTS 2026'!W2043)</f>
        <v/>
      </c>
      <c r="L2043" s="276">
        <f>IF($K2043="","",TODAY()-$K2043)</f>
        <v/>
      </c>
      <c r="M2043">
        <f>IF($A2043="","",IF($H2043="ENGAGE","Engagé",IF(AND($H2043="NON ENGAGE",OR($I2043="INFRUCTUEUX",$I2043="ANNULE")),"Clôturé sans suite","En cours")))</f>
        <v/>
      </c>
      <c r="N2043">
        <f>IF(ISBLANK('ENGAGEMENTS 2026'!C2043),"",'ENGAGEMENTS 2026'!L2043)</f>
        <v/>
      </c>
      <c r="O2043">
        <f>IF(ISBLANK('ENGAGEMENTS 2026'!C2043),"",'ENGAGEMENTS 2026'!M2043)</f>
        <v/>
      </c>
      <c r="P2043">
        <f>IF(ISBLANK('ENGAGEMENTS 2026'!C2043),"",'ENGAGEMENTS 2026'!K2043)</f>
        <v/>
      </c>
      <c r="Q2043">
        <f>IF($A2043="","",IF(OR($E2043="INFRUCTUEUX",$E2043="ANNULE"),$A2043&amp;"|"&amp;(COUNTIFS($A$2:$A2043,$A2043,$E$2:$E2043,"INFRUCTUEUX")+COUNTIFS($A$2:$A2043,$A2043,$E$2:$E2043,"ANNULE")),""))</f>
        <v/>
      </c>
    </row>
    <row r="2044">
      <c r="A2044">
        <f>IF(ISBLANK('ENGAGEMENTS 2026'!C2044),"",IF('ENGAGEMENTS 2026'!C2044="DTSI","DCT",'ENGAGEMENTS 2026'!C2044))</f>
        <v/>
      </c>
      <c r="B2044">
        <f>IF(ISBLANK('ENGAGEMENTS 2026'!C2044),"",'ENGAGEMENTS 2026'!D2044)</f>
        <v/>
      </c>
      <c r="C2044">
        <f>IF(ISBLANK('ENGAGEMENTS 2026'!C2044),"",'ENGAGEMENTS 2026'!E2044)</f>
        <v/>
      </c>
      <c r="D2044">
        <f>IF(ISBLANK('ENGAGEMENTS 2026'!C2044),"",'ENGAGEMENTS 2026'!G2044)</f>
        <v/>
      </c>
      <c r="E2044">
        <f>IF(ISBLANK('ENGAGEMENTS 2026'!C2044),"",'ENGAGEMENTS 2026'!I2044)</f>
        <v/>
      </c>
      <c r="F2044">
        <f>IF(ISBLANK('ENGAGEMENTS 2026'!C2044),"",'ENGAGEMENTS 2026'!J2044)</f>
        <v/>
      </c>
      <c r="G2044">
        <f>IF(ISBLANK('ENGAGEMENTS 2026'!C2044),"",'ENGAGEMENTS 2026'!M2044)</f>
        <v/>
      </c>
      <c r="H2044">
        <f>IF(ISBLANK('ENGAGEMENTS 2026'!C2044),"",'ENGAGEMENTS 2026'!AF2044)</f>
        <v/>
      </c>
      <c r="I2044">
        <f>IF(ISBLANK('ENGAGEMENTS 2026'!C2044),"",'ENGAGEMENTS 2026'!H2044)</f>
        <v/>
      </c>
      <c r="J2044" s="275">
        <f>IF(ISBLANK('ENGAGEMENTS 2026'!C2044),"",IF(AND(OR($E2044="INFRUCTUEUX",$E2044="ANNULE"),$C2044="AOO-M"),'ENGAGEMENTS 2026'!P2044,IF($H2044="EN COURS DE PREENGAGEMENT",'ENGAGEMENTS 2026'!O2044,IF($H2044="PREENGAGE",IF($E2044="ATTRIBUE",'ENGAGEMENTS 2026'!AE2044,'ENGAGEMENTS 2026'!O2044),'ENGAGEMENTS 2026'!AE2044))))</f>
        <v/>
      </c>
      <c r="K2044" s="604">
        <f>IF(ISBLANK('ENGAGEMENTS 2026'!W2044),"",'ENGAGEMENTS 2026'!W2044)</f>
        <v/>
      </c>
      <c r="L2044" s="276">
        <f>IF($K2044="","",TODAY()-$K2044)</f>
        <v/>
      </c>
      <c r="M2044">
        <f>IF($A2044="","",IF($H2044="ENGAGE","Engagé",IF(AND($H2044="NON ENGAGE",OR($I2044="INFRUCTUEUX",$I2044="ANNULE")),"Clôturé sans suite","En cours")))</f>
        <v/>
      </c>
      <c r="N2044">
        <f>IF(ISBLANK('ENGAGEMENTS 2026'!C2044),"",'ENGAGEMENTS 2026'!L2044)</f>
        <v/>
      </c>
      <c r="O2044">
        <f>IF(ISBLANK('ENGAGEMENTS 2026'!C2044),"",'ENGAGEMENTS 2026'!M2044)</f>
        <v/>
      </c>
      <c r="P2044">
        <f>IF(ISBLANK('ENGAGEMENTS 2026'!C2044),"",'ENGAGEMENTS 2026'!K2044)</f>
        <v/>
      </c>
      <c r="Q2044">
        <f>IF($A2044="","",IF(OR($E2044="INFRUCTUEUX",$E2044="ANNULE"),$A2044&amp;"|"&amp;(COUNTIFS($A$2:$A2044,$A2044,$E$2:$E2044,"INFRUCTUEUX")+COUNTIFS($A$2:$A2044,$A2044,$E$2:$E2044,"ANNULE")),""))</f>
        <v/>
      </c>
    </row>
    <row r="2045">
      <c r="A2045">
        <f>IF(ISBLANK('ENGAGEMENTS 2026'!C2045),"",IF('ENGAGEMENTS 2026'!C2045="DTSI","DCT",'ENGAGEMENTS 2026'!C2045))</f>
        <v/>
      </c>
      <c r="B2045">
        <f>IF(ISBLANK('ENGAGEMENTS 2026'!C2045),"",'ENGAGEMENTS 2026'!D2045)</f>
        <v/>
      </c>
      <c r="C2045">
        <f>IF(ISBLANK('ENGAGEMENTS 2026'!C2045),"",'ENGAGEMENTS 2026'!E2045)</f>
        <v/>
      </c>
      <c r="D2045">
        <f>IF(ISBLANK('ENGAGEMENTS 2026'!C2045),"",'ENGAGEMENTS 2026'!G2045)</f>
        <v/>
      </c>
      <c r="E2045">
        <f>IF(ISBLANK('ENGAGEMENTS 2026'!C2045),"",'ENGAGEMENTS 2026'!I2045)</f>
        <v/>
      </c>
      <c r="F2045">
        <f>IF(ISBLANK('ENGAGEMENTS 2026'!C2045),"",'ENGAGEMENTS 2026'!J2045)</f>
        <v/>
      </c>
      <c r="G2045">
        <f>IF(ISBLANK('ENGAGEMENTS 2026'!C2045),"",'ENGAGEMENTS 2026'!M2045)</f>
        <v/>
      </c>
      <c r="H2045">
        <f>IF(ISBLANK('ENGAGEMENTS 2026'!C2045),"",'ENGAGEMENTS 2026'!AF2045)</f>
        <v/>
      </c>
      <c r="I2045">
        <f>IF(ISBLANK('ENGAGEMENTS 2026'!C2045),"",'ENGAGEMENTS 2026'!H2045)</f>
        <v/>
      </c>
      <c r="J2045" s="275">
        <f>IF(ISBLANK('ENGAGEMENTS 2026'!C2045),"",IF(AND(OR($E2045="INFRUCTUEUX",$E2045="ANNULE"),$C2045="AOO-M"),'ENGAGEMENTS 2026'!P2045,IF($H2045="EN COURS DE PREENGAGEMENT",'ENGAGEMENTS 2026'!O2045,IF($H2045="PREENGAGE",IF($E2045="ATTRIBUE",'ENGAGEMENTS 2026'!AE2045,'ENGAGEMENTS 2026'!O2045),'ENGAGEMENTS 2026'!AE2045))))</f>
        <v/>
      </c>
      <c r="K2045" s="604">
        <f>IF(ISBLANK('ENGAGEMENTS 2026'!W2045),"",'ENGAGEMENTS 2026'!W2045)</f>
        <v/>
      </c>
      <c r="L2045" s="276">
        <f>IF($K2045="","",TODAY()-$K2045)</f>
        <v/>
      </c>
      <c r="M2045">
        <f>IF($A2045="","",IF($H2045="ENGAGE","Engagé",IF(AND($H2045="NON ENGAGE",OR($I2045="INFRUCTUEUX",$I2045="ANNULE")),"Clôturé sans suite","En cours")))</f>
        <v/>
      </c>
      <c r="N2045">
        <f>IF(ISBLANK('ENGAGEMENTS 2026'!C2045),"",'ENGAGEMENTS 2026'!L2045)</f>
        <v/>
      </c>
      <c r="O2045">
        <f>IF(ISBLANK('ENGAGEMENTS 2026'!C2045),"",'ENGAGEMENTS 2026'!M2045)</f>
        <v/>
      </c>
      <c r="P2045">
        <f>IF(ISBLANK('ENGAGEMENTS 2026'!C2045),"",'ENGAGEMENTS 2026'!K2045)</f>
        <v/>
      </c>
      <c r="Q2045">
        <f>IF($A2045="","",IF(OR($E2045="INFRUCTUEUX",$E2045="ANNULE"),$A2045&amp;"|"&amp;(COUNTIFS($A$2:$A2045,$A2045,$E$2:$E2045,"INFRUCTUEUX")+COUNTIFS($A$2:$A2045,$A2045,$E$2:$E2045,"ANNULE")),""))</f>
        <v/>
      </c>
    </row>
    <row r="2046">
      <c r="A2046">
        <f>IF(ISBLANK('ENGAGEMENTS 2026'!C2046),"",IF('ENGAGEMENTS 2026'!C2046="DTSI","DCT",'ENGAGEMENTS 2026'!C2046))</f>
        <v/>
      </c>
      <c r="B2046">
        <f>IF(ISBLANK('ENGAGEMENTS 2026'!C2046),"",'ENGAGEMENTS 2026'!D2046)</f>
        <v/>
      </c>
      <c r="C2046">
        <f>IF(ISBLANK('ENGAGEMENTS 2026'!C2046),"",'ENGAGEMENTS 2026'!E2046)</f>
        <v/>
      </c>
      <c r="D2046">
        <f>IF(ISBLANK('ENGAGEMENTS 2026'!C2046),"",'ENGAGEMENTS 2026'!G2046)</f>
        <v/>
      </c>
      <c r="E2046">
        <f>IF(ISBLANK('ENGAGEMENTS 2026'!C2046),"",'ENGAGEMENTS 2026'!I2046)</f>
        <v/>
      </c>
      <c r="F2046">
        <f>IF(ISBLANK('ENGAGEMENTS 2026'!C2046),"",'ENGAGEMENTS 2026'!J2046)</f>
        <v/>
      </c>
      <c r="G2046">
        <f>IF(ISBLANK('ENGAGEMENTS 2026'!C2046),"",'ENGAGEMENTS 2026'!M2046)</f>
        <v/>
      </c>
      <c r="H2046">
        <f>IF(ISBLANK('ENGAGEMENTS 2026'!C2046),"",'ENGAGEMENTS 2026'!AF2046)</f>
        <v/>
      </c>
      <c r="I2046">
        <f>IF(ISBLANK('ENGAGEMENTS 2026'!C2046),"",'ENGAGEMENTS 2026'!H2046)</f>
        <v/>
      </c>
      <c r="J2046" s="275">
        <f>IF(ISBLANK('ENGAGEMENTS 2026'!C2046),"",IF(AND(OR($E2046="INFRUCTUEUX",$E2046="ANNULE"),$C2046="AOO-M"),'ENGAGEMENTS 2026'!P2046,IF($H2046="EN COURS DE PREENGAGEMENT",'ENGAGEMENTS 2026'!O2046,IF($H2046="PREENGAGE",IF($E2046="ATTRIBUE",'ENGAGEMENTS 2026'!AE2046,'ENGAGEMENTS 2026'!O2046),'ENGAGEMENTS 2026'!AE2046))))</f>
        <v/>
      </c>
      <c r="K2046" s="604">
        <f>IF(ISBLANK('ENGAGEMENTS 2026'!W2046),"",'ENGAGEMENTS 2026'!W2046)</f>
        <v/>
      </c>
      <c r="L2046" s="276">
        <f>IF($K2046="","",TODAY()-$K2046)</f>
        <v/>
      </c>
      <c r="M2046">
        <f>IF($A2046="","",IF($H2046="ENGAGE","Engagé",IF(AND($H2046="NON ENGAGE",OR($I2046="INFRUCTUEUX",$I2046="ANNULE")),"Clôturé sans suite","En cours")))</f>
        <v/>
      </c>
      <c r="N2046">
        <f>IF(ISBLANK('ENGAGEMENTS 2026'!C2046),"",'ENGAGEMENTS 2026'!L2046)</f>
        <v/>
      </c>
      <c r="O2046">
        <f>IF(ISBLANK('ENGAGEMENTS 2026'!C2046),"",'ENGAGEMENTS 2026'!M2046)</f>
        <v/>
      </c>
      <c r="P2046">
        <f>IF(ISBLANK('ENGAGEMENTS 2026'!C2046),"",'ENGAGEMENTS 2026'!K2046)</f>
        <v/>
      </c>
      <c r="Q2046">
        <f>IF($A2046="","",IF(OR($E2046="INFRUCTUEUX",$E2046="ANNULE"),$A2046&amp;"|"&amp;(COUNTIFS($A$2:$A2046,$A2046,$E$2:$E2046,"INFRUCTUEUX")+COUNTIFS($A$2:$A2046,$A2046,$E$2:$E2046,"ANNULE")),""))</f>
        <v/>
      </c>
    </row>
    <row r="2047">
      <c r="A2047">
        <f>IF(ISBLANK('ENGAGEMENTS 2026'!C2047),"",IF('ENGAGEMENTS 2026'!C2047="DTSI","DCT",'ENGAGEMENTS 2026'!C2047))</f>
        <v/>
      </c>
      <c r="B2047">
        <f>IF(ISBLANK('ENGAGEMENTS 2026'!C2047),"",'ENGAGEMENTS 2026'!D2047)</f>
        <v/>
      </c>
      <c r="C2047">
        <f>IF(ISBLANK('ENGAGEMENTS 2026'!C2047),"",'ENGAGEMENTS 2026'!E2047)</f>
        <v/>
      </c>
      <c r="D2047">
        <f>IF(ISBLANK('ENGAGEMENTS 2026'!C2047),"",'ENGAGEMENTS 2026'!G2047)</f>
        <v/>
      </c>
      <c r="E2047">
        <f>IF(ISBLANK('ENGAGEMENTS 2026'!C2047),"",'ENGAGEMENTS 2026'!I2047)</f>
        <v/>
      </c>
      <c r="F2047">
        <f>IF(ISBLANK('ENGAGEMENTS 2026'!C2047),"",'ENGAGEMENTS 2026'!J2047)</f>
        <v/>
      </c>
      <c r="G2047">
        <f>IF(ISBLANK('ENGAGEMENTS 2026'!C2047),"",'ENGAGEMENTS 2026'!M2047)</f>
        <v/>
      </c>
      <c r="H2047">
        <f>IF(ISBLANK('ENGAGEMENTS 2026'!C2047),"",'ENGAGEMENTS 2026'!AF2047)</f>
        <v/>
      </c>
      <c r="I2047">
        <f>IF(ISBLANK('ENGAGEMENTS 2026'!C2047),"",'ENGAGEMENTS 2026'!H2047)</f>
        <v/>
      </c>
      <c r="J2047" s="275">
        <f>IF(ISBLANK('ENGAGEMENTS 2026'!C2047),"",IF(AND(OR($E2047="INFRUCTUEUX",$E2047="ANNULE"),$C2047="AOO-M"),'ENGAGEMENTS 2026'!P2047,IF($H2047="EN COURS DE PREENGAGEMENT",'ENGAGEMENTS 2026'!O2047,IF($H2047="PREENGAGE",IF($E2047="ATTRIBUE",'ENGAGEMENTS 2026'!AE2047,'ENGAGEMENTS 2026'!O2047),'ENGAGEMENTS 2026'!AE2047))))</f>
        <v/>
      </c>
      <c r="K2047" s="604">
        <f>IF(ISBLANK('ENGAGEMENTS 2026'!W2047),"",'ENGAGEMENTS 2026'!W2047)</f>
        <v/>
      </c>
      <c r="L2047" s="276">
        <f>IF($K2047="","",TODAY()-$K2047)</f>
        <v/>
      </c>
      <c r="M2047">
        <f>IF($A2047="","",IF($H2047="ENGAGE","Engagé",IF(AND($H2047="NON ENGAGE",OR($I2047="INFRUCTUEUX",$I2047="ANNULE")),"Clôturé sans suite","En cours")))</f>
        <v/>
      </c>
      <c r="N2047">
        <f>IF(ISBLANK('ENGAGEMENTS 2026'!C2047),"",'ENGAGEMENTS 2026'!L2047)</f>
        <v/>
      </c>
      <c r="O2047">
        <f>IF(ISBLANK('ENGAGEMENTS 2026'!C2047),"",'ENGAGEMENTS 2026'!M2047)</f>
        <v/>
      </c>
      <c r="P2047">
        <f>IF(ISBLANK('ENGAGEMENTS 2026'!C2047),"",'ENGAGEMENTS 2026'!K2047)</f>
        <v/>
      </c>
      <c r="Q2047">
        <f>IF($A2047="","",IF(OR($E2047="INFRUCTUEUX",$E2047="ANNULE"),$A2047&amp;"|"&amp;(COUNTIFS($A$2:$A2047,$A2047,$E$2:$E2047,"INFRUCTUEUX")+COUNTIFS($A$2:$A2047,$A2047,$E$2:$E2047,"ANNULE")),""))</f>
        <v/>
      </c>
    </row>
    <row r="2048">
      <c r="A2048">
        <f>IF(ISBLANK('ENGAGEMENTS 2026'!C2048),"",IF('ENGAGEMENTS 2026'!C2048="DTSI","DCT",'ENGAGEMENTS 2026'!C2048))</f>
        <v/>
      </c>
      <c r="B2048">
        <f>IF(ISBLANK('ENGAGEMENTS 2026'!C2048),"",'ENGAGEMENTS 2026'!D2048)</f>
        <v/>
      </c>
      <c r="C2048">
        <f>IF(ISBLANK('ENGAGEMENTS 2026'!C2048),"",'ENGAGEMENTS 2026'!E2048)</f>
        <v/>
      </c>
      <c r="D2048">
        <f>IF(ISBLANK('ENGAGEMENTS 2026'!C2048),"",'ENGAGEMENTS 2026'!G2048)</f>
        <v/>
      </c>
      <c r="E2048">
        <f>IF(ISBLANK('ENGAGEMENTS 2026'!C2048),"",'ENGAGEMENTS 2026'!I2048)</f>
        <v/>
      </c>
      <c r="F2048">
        <f>IF(ISBLANK('ENGAGEMENTS 2026'!C2048),"",'ENGAGEMENTS 2026'!J2048)</f>
        <v/>
      </c>
      <c r="G2048">
        <f>IF(ISBLANK('ENGAGEMENTS 2026'!C2048),"",'ENGAGEMENTS 2026'!M2048)</f>
        <v/>
      </c>
      <c r="H2048">
        <f>IF(ISBLANK('ENGAGEMENTS 2026'!C2048),"",'ENGAGEMENTS 2026'!AF2048)</f>
        <v/>
      </c>
      <c r="I2048">
        <f>IF(ISBLANK('ENGAGEMENTS 2026'!C2048),"",'ENGAGEMENTS 2026'!H2048)</f>
        <v/>
      </c>
      <c r="J2048" s="275">
        <f>IF(ISBLANK('ENGAGEMENTS 2026'!C2048),"",IF(AND(OR($E2048="INFRUCTUEUX",$E2048="ANNULE"),$C2048="AOO-M"),'ENGAGEMENTS 2026'!P2048,IF($H2048="EN COURS DE PREENGAGEMENT",'ENGAGEMENTS 2026'!O2048,IF($H2048="PREENGAGE",IF($E2048="ATTRIBUE",'ENGAGEMENTS 2026'!AE2048,'ENGAGEMENTS 2026'!O2048),'ENGAGEMENTS 2026'!AE2048))))</f>
        <v/>
      </c>
      <c r="K2048" s="604">
        <f>IF(ISBLANK('ENGAGEMENTS 2026'!W2048),"",'ENGAGEMENTS 2026'!W2048)</f>
        <v/>
      </c>
      <c r="L2048" s="276">
        <f>IF($K2048="","",TODAY()-$K2048)</f>
        <v/>
      </c>
      <c r="M2048">
        <f>IF($A2048="","",IF($H2048="ENGAGE","Engagé",IF(AND($H2048="NON ENGAGE",OR($I2048="INFRUCTUEUX",$I2048="ANNULE")),"Clôturé sans suite","En cours")))</f>
        <v/>
      </c>
      <c r="N2048">
        <f>IF(ISBLANK('ENGAGEMENTS 2026'!C2048),"",'ENGAGEMENTS 2026'!L2048)</f>
        <v/>
      </c>
      <c r="O2048">
        <f>IF(ISBLANK('ENGAGEMENTS 2026'!C2048),"",'ENGAGEMENTS 2026'!M2048)</f>
        <v/>
      </c>
      <c r="P2048">
        <f>IF(ISBLANK('ENGAGEMENTS 2026'!C2048),"",'ENGAGEMENTS 2026'!K2048)</f>
        <v/>
      </c>
      <c r="Q2048">
        <f>IF($A2048="","",IF(OR($E2048="INFRUCTUEUX",$E2048="ANNULE"),$A2048&amp;"|"&amp;(COUNTIFS($A$2:$A2048,$A2048,$E$2:$E2048,"INFRUCTUEUX")+COUNTIFS($A$2:$A2048,$A2048,$E$2:$E2048,"ANNULE")),""))</f>
        <v/>
      </c>
    </row>
    <row r="2049">
      <c r="A2049">
        <f>IF(ISBLANK('ENGAGEMENTS 2026'!C2049),"",IF('ENGAGEMENTS 2026'!C2049="DTSI","DCT",'ENGAGEMENTS 2026'!C2049))</f>
        <v/>
      </c>
      <c r="B2049">
        <f>IF(ISBLANK('ENGAGEMENTS 2026'!C2049),"",'ENGAGEMENTS 2026'!D2049)</f>
        <v/>
      </c>
      <c r="C2049">
        <f>IF(ISBLANK('ENGAGEMENTS 2026'!C2049),"",'ENGAGEMENTS 2026'!E2049)</f>
        <v/>
      </c>
      <c r="D2049">
        <f>IF(ISBLANK('ENGAGEMENTS 2026'!C2049),"",'ENGAGEMENTS 2026'!G2049)</f>
        <v/>
      </c>
      <c r="E2049">
        <f>IF(ISBLANK('ENGAGEMENTS 2026'!C2049),"",'ENGAGEMENTS 2026'!I2049)</f>
        <v/>
      </c>
      <c r="F2049">
        <f>IF(ISBLANK('ENGAGEMENTS 2026'!C2049),"",'ENGAGEMENTS 2026'!J2049)</f>
        <v/>
      </c>
      <c r="G2049">
        <f>IF(ISBLANK('ENGAGEMENTS 2026'!C2049),"",'ENGAGEMENTS 2026'!M2049)</f>
        <v/>
      </c>
      <c r="H2049">
        <f>IF(ISBLANK('ENGAGEMENTS 2026'!C2049),"",'ENGAGEMENTS 2026'!AF2049)</f>
        <v/>
      </c>
      <c r="I2049">
        <f>IF(ISBLANK('ENGAGEMENTS 2026'!C2049),"",'ENGAGEMENTS 2026'!H2049)</f>
        <v/>
      </c>
      <c r="J2049" s="275">
        <f>IF(ISBLANK('ENGAGEMENTS 2026'!C2049),"",IF(AND(OR($E2049="INFRUCTUEUX",$E2049="ANNULE"),$C2049="AOO-M"),'ENGAGEMENTS 2026'!P2049,IF($H2049="EN COURS DE PREENGAGEMENT",'ENGAGEMENTS 2026'!O2049,IF($H2049="PREENGAGE",IF($E2049="ATTRIBUE",'ENGAGEMENTS 2026'!AE2049,'ENGAGEMENTS 2026'!O2049),'ENGAGEMENTS 2026'!AE2049))))</f>
        <v/>
      </c>
      <c r="K2049" s="604">
        <f>IF(ISBLANK('ENGAGEMENTS 2026'!W2049),"",'ENGAGEMENTS 2026'!W2049)</f>
        <v/>
      </c>
      <c r="L2049" s="276">
        <f>IF($K2049="","",TODAY()-$K2049)</f>
        <v/>
      </c>
      <c r="M2049">
        <f>IF($A2049="","",IF($H2049="ENGAGE","Engagé",IF(AND($H2049="NON ENGAGE",OR($I2049="INFRUCTUEUX",$I2049="ANNULE")),"Clôturé sans suite","En cours")))</f>
        <v/>
      </c>
      <c r="N2049">
        <f>IF(ISBLANK('ENGAGEMENTS 2026'!C2049),"",'ENGAGEMENTS 2026'!L2049)</f>
        <v/>
      </c>
      <c r="O2049">
        <f>IF(ISBLANK('ENGAGEMENTS 2026'!C2049),"",'ENGAGEMENTS 2026'!M2049)</f>
        <v/>
      </c>
      <c r="P2049">
        <f>IF(ISBLANK('ENGAGEMENTS 2026'!C2049),"",'ENGAGEMENTS 2026'!K2049)</f>
        <v/>
      </c>
      <c r="Q2049">
        <f>IF($A2049="","",IF(OR($E2049="INFRUCTUEUX",$E2049="ANNULE"),$A2049&amp;"|"&amp;(COUNTIFS($A$2:$A2049,$A2049,$E$2:$E2049,"INFRUCTUEUX")+COUNTIFS($A$2:$A2049,$A2049,$E$2:$E2049,"ANNULE")),""))</f>
        <v/>
      </c>
    </row>
    <row r="2050">
      <c r="A2050">
        <f>IF(ISBLANK('ENGAGEMENTS 2026'!C2050),"",IF('ENGAGEMENTS 2026'!C2050="DTSI","DCT",'ENGAGEMENTS 2026'!C2050))</f>
        <v/>
      </c>
      <c r="B2050">
        <f>IF(ISBLANK('ENGAGEMENTS 2026'!C2050),"",'ENGAGEMENTS 2026'!D2050)</f>
        <v/>
      </c>
      <c r="C2050">
        <f>IF(ISBLANK('ENGAGEMENTS 2026'!C2050),"",'ENGAGEMENTS 2026'!E2050)</f>
        <v/>
      </c>
      <c r="D2050">
        <f>IF(ISBLANK('ENGAGEMENTS 2026'!C2050),"",'ENGAGEMENTS 2026'!G2050)</f>
        <v/>
      </c>
      <c r="E2050">
        <f>IF(ISBLANK('ENGAGEMENTS 2026'!C2050),"",'ENGAGEMENTS 2026'!I2050)</f>
        <v/>
      </c>
      <c r="F2050">
        <f>IF(ISBLANK('ENGAGEMENTS 2026'!C2050),"",'ENGAGEMENTS 2026'!J2050)</f>
        <v/>
      </c>
      <c r="G2050">
        <f>IF(ISBLANK('ENGAGEMENTS 2026'!C2050),"",'ENGAGEMENTS 2026'!M2050)</f>
        <v/>
      </c>
      <c r="H2050">
        <f>IF(ISBLANK('ENGAGEMENTS 2026'!C2050),"",'ENGAGEMENTS 2026'!AF2050)</f>
        <v/>
      </c>
      <c r="I2050">
        <f>IF(ISBLANK('ENGAGEMENTS 2026'!C2050),"",'ENGAGEMENTS 2026'!H2050)</f>
        <v/>
      </c>
      <c r="J2050" s="275">
        <f>IF(ISBLANK('ENGAGEMENTS 2026'!C2050),"",IF(AND(OR($E2050="INFRUCTUEUX",$E2050="ANNULE"),$C2050="AOO-M"),'ENGAGEMENTS 2026'!P2050,IF($H2050="EN COURS DE PREENGAGEMENT",'ENGAGEMENTS 2026'!O2050,IF($H2050="PREENGAGE",IF($E2050="ATTRIBUE",'ENGAGEMENTS 2026'!AE2050,'ENGAGEMENTS 2026'!O2050),'ENGAGEMENTS 2026'!AE2050))))</f>
        <v/>
      </c>
      <c r="K2050" s="604">
        <f>IF(ISBLANK('ENGAGEMENTS 2026'!W2050),"",'ENGAGEMENTS 2026'!W2050)</f>
        <v/>
      </c>
      <c r="L2050" s="276">
        <f>IF($K2050="","",TODAY()-$K2050)</f>
        <v/>
      </c>
      <c r="M2050">
        <f>IF($A2050="","",IF($H2050="ENGAGE","Engagé",IF(AND($H2050="NON ENGAGE",OR($I2050="INFRUCTUEUX",$I2050="ANNULE")),"Clôturé sans suite","En cours")))</f>
        <v/>
      </c>
      <c r="N2050">
        <f>IF(ISBLANK('ENGAGEMENTS 2026'!C2050),"",'ENGAGEMENTS 2026'!L2050)</f>
        <v/>
      </c>
      <c r="O2050">
        <f>IF(ISBLANK('ENGAGEMENTS 2026'!C2050),"",'ENGAGEMENTS 2026'!M2050)</f>
        <v/>
      </c>
      <c r="P2050">
        <f>IF(ISBLANK('ENGAGEMENTS 2026'!C2050),"",'ENGAGEMENTS 2026'!K2050)</f>
        <v/>
      </c>
      <c r="Q2050">
        <f>IF($A2050="","",IF(OR($E2050="INFRUCTUEUX",$E2050="ANNULE"),$A2050&amp;"|"&amp;(COUNTIFS($A$2:$A2050,$A2050,$E$2:$E2050,"INFRUCTUEUX")+COUNTIFS($A$2:$A2050,$A2050,$E$2:$E2050,"ANNULE")),""))</f>
        <v/>
      </c>
    </row>
    <row r="2051">
      <c r="A2051">
        <f>IF(ISBLANK('ENGAGEMENTS 2026'!C2051),"",IF('ENGAGEMENTS 2026'!C2051="DTSI","DCT",'ENGAGEMENTS 2026'!C2051))</f>
        <v/>
      </c>
      <c r="B2051">
        <f>IF(ISBLANK('ENGAGEMENTS 2026'!C2051),"",'ENGAGEMENTS 2026'!D2051)</f>
        <v/>
      </c>
      <c r="C2051">
        <f>IF(ISBLANK('ENGAGEMENTS 2026'!C2051),"",'ENGAGEMENTS 2026'!E2051)</f>
        <v/>
      </c>
      <c r="D2051">
        <f>IF(ISBLANK('ENGAGEMENTS 2026'!C2051),"",'ENGAGEMENTS 2026'!G2051)</f>
        <v/>
      </c>
      <c r="E2051">
        <f>IF(ISBLANK('ENGAGEMENTS 2026'!C2051),"",'ENGAGEMENTS 2026'!I2051)</f>
        <v/>
      </c>
      <c r="F2051">
        <f>IF(ISBLANK('ENGAGEMENTS 2026'!C2051),"",'ENGAGEMENTS 2026'!J2051)</f>
        <v/>
      </c>
      <c r="G2051">
        <f>IF(ISBLANK('ENGAGEMENTS 2026'!C2051),"",'ENGAGEMENTS 2026'!M2051)</f>
        <v/>
      </c>
      <c r="H2051">
        <f>IF(ISBLANK('ENGAGEMENTS 2026'!C2051),"",'ENGAGEMENTS 2026'!AF2051)</f>
        <v/>
      </c>
      <c r="I2051">
        <f>IF(ISBLANK('ENGAGEMENTS 2026'!C2051),"",'ENGAGEMENTS 2026'!H2051)</f>
        <v/>
      </c>
      <c r="J2051" s="275">
        <f>IF(ISBLANK('ENGAGEMENTS 2026'!C2051),"",IF(AND(OR($E2051="INFRUCTUEUX",$E2051="ANNULE"),$C2051="AOO-M"),'ENGAGEMENTS 2026'!P2051,IF($H2051="EN COURS DE PREENGAGEMENT",'ENGAGEMENTS 2026'!O2051,IF($H2051="PREENGAGE",IF($E2051="ATTRIBUE",'ENGAGEMENTS 2026'!AE2051,'ENGAGEMENTS 2026'!O2051),'ENGAGEMENTS 2026'!AE2051))))</f>
        <v/>
      </c>
      <c r="K2051" s="604">
        <f>IF(ISBLANK('ENGAGEMENTS 2026'!W2051),"",'ENGAGEMENTS 2026'!W2051)</f>
        <v/>
      </c>
      <c r="L2051" s="276">
        <f>IF($K2051="","",TODAY()-$K2051)</f>
        <v/>
      </c>
      <c r="M2051">
        <f>IF($A2051="","",IF($H2051="ENGAGE","Engagé",IF(AND($H2051="NON ENGAGE",OR($I2051="INFRUCTUEUX",$I2051="ANNULE")),"Clôturé sans suite","En cours")))</f>
        <v/>
      </c>
      <c r="N2051">
        <f>IF(ISBLANK('ENGAGEMENTS 2026'!C2051),"",'ENGAGEMENTS 2026'!L2051)</f>
        <v/>
      </c>
      <c r="O2051">
        <f>IF(ISBLANK('ENGAGEMENTS 2026'!C2051),"",'ENGAGEMENTS 2026'!M2051)</f>
        <v/>
      </c>
      <c r="P2051">
        <f>IF(ISBLANK('ENGAGEMENTS 2026'!C2051),"",'ENGAGEMENTS 2026'!K2051)</f>
        <v/>
      </c>
      <c r="Q2051">
        <f>IF($A2051="","",IF(OR($E2051="INFRUCTUEUX",$E2051="ANNULE"),$A2051&amp;"|"&amp;(COUNTIFS($A$2:$A2051,$A2051,$E$2:$E2051,"INFRUCTUEUX")+COUNTIFS($A$2:$A2051,$A2051,$E$2:$E2051,"ANNULE")),""))</f>
        <v/>
      </c>
    </row>
    <row r="2052">
      <c r="A2052">
        <f>IF(ISBLANK('ENGAGEMENTS 2026'!C2052),"",IF('ENGAGEMENTS 2026'!C2052="DTSI","DCT",'ENGAGEMENTS 2026'!C2052))</f>
        <v/>
      </c>
      <c r="B2052">
        <f>IF(ISBLANK('ENGAGEMENTS 2026'!C2052),"",'ENGAGEMENTS 2026'!D2052)</f>
        <v/>
      </c>
      <c r="C2052">
        <f>IF(ISBLANK('ENGAGEMENTS 2026'!C2052),"",'ENGAGEMENTS 2026'!E2052)</f>
        <v/>
      </c>
      <c r="D2052">
        <f>IF(ISBLANK('ENGAGEMENTS 2026'!C2052),"",'ENGAGEMENTS 2026'!G2052)</f>
        <v/>
      </c>
      <c r="E2052">
        <f>IF(ISBLANK('ENGAGEMENTS 2026'!C2052),"",'ENGAGEMENTS 2026'!I2052)</f>
        <v/>
      </c>
      <c r="F2052">
        <f>IF(ISBLANK('ENGAGEMENTS 2026'!C2052),"",'ENGAGEMENTS 2026'!J2052)</f>
        <v/>
      </c>
      <c r="G2052">
        <f>IF(ISBLANK('ENGAGEMENTS 2026'!C2052),"",'ENGAGEMENTS 2026'!M2052)</f>
        <v/>
      </c>
      <c r="H2052">
        <f>IF(ISBLANK('ENGAGEMENTS 2026'!C2052),"",'ENGAGEMENTS 2026'!AF2052)</f>
        <v/>
      </c>
      <c r="I2052">
        <f>IF(ISBLANK('ENGAGEMENTS 2026'!C2052),"",'ENGAGEMENTS 2026'!H2052)</f>
        <v/>
      </c>
      <c r="J2052" s="275">
        <f>IF(ISBLANK('ENGAGEMENTS 2026'!C2052),"",IF(AND(OR($E2052="INFRUCTUEUX",$E2052="ANNULE"),$C2052="AOO-M"),'ENGAGEMENTS 2026'!P2052,IF($H2052="EN COURS DE PREENGAGEMENT",'ENGAGEMENTS 2026'!O2052,IF($H2052="PREENGAGE",IF($E2052="ATTRIBUE",'ENGAGEMENTS 2026'!AE2052,'ENGAGEMENTS 2026'!O2052),'ENGAGEMENTS 2026'!AE2052))))</f>
        <v/>
      </c>
      <c r="K2052" s="604">
        <f>IF(ISBLANK('ENGAGEMENTS 2026'!W2052),"",'ENGAGEMENTS 2026'!W2052)</f>
        <v/>
      </c>
      <c r="L2052" s="276">
        <f>IF($K2052="","",TODAY()-$K2052)</f>
        <v/>
      </c>
      <c r="M2052">
        <f>IF($A2052="","",IF($H2052="ENGAGE","Engagé",IF(AND($H2052="NON ENGAGE",OR($I2052="INFRUCTUEUX",$I2052="ANNULE")),"Clôturé sans suite","En cours")))</f>
        <v/>
      </c>
      <c r="N2052">
        <f>IF(ISBLANK('ENGAGEMENTS 2026'!C2052),"",'ENGAGEMENTS 2026'!L2052)</f>
        <v/>
      </c>
      <c r="O2052">
        <f>IF(ISBLANK('ENGAGEMENTS 2026'!C2052),"",'ENGAGEMENTS 2026'!M2052)</f>
        <v/>
      </c>
      <c r="P2052">
        <f>IF(ISBLANK('ENGAGEMENTS 2026'!C2052),"",'ENGAGEMENTS 2026'!K2052)</f>
        <v/>
      </c>
      <c r="Q2052">
        <f>IF($A2052="","",IF(OR($E2052="INFRUCTUEUX",$E2052="ANNULE"),$A2052&amp;"|"&amp;(COUNTIFS($A$2:$A2052,$A2052,$E$2:$E2052,"INFRUCTUEUX")+COUNTIFS($A$2:$A2052,$A2052,$E$2:$E2052,"ANNULE")),""))</f>
        <v/>
      </c>
    </row>
    <row r="2053">
      <c r="A2053">
        <f>IF(ISBLANK('ENGAGEMENTS 2026'!C2053),"",IF('ENGAGEMENTS 2026'!C2053="DTSI","DCT",'ENGAGEMENTS 2026'!C2053))</f>
        <v/>
      </c>
      <c r="B2053">
        <f>IF(ISBLANK('ENGAGEMENTS 2026'!C2053),"",'ENGAGEMENTS 2026'!D2053)</f>
        <v/>
      </c>
      <c r="C2053">
        <f>IF(ISBLANK('ENGAGEMENTS 2026'!C2053),"",'ENGAGEMENTS 2026'!E2053)</f>
        <v/>
      </c>
      <c r="D2053">
        <f>IF(ISBLANK('ENGAGEMENTS 2026'!C2053),"",'ENGAGEMENTS 2026'!G2053)</f>
        <v/>
      </c>
      <c r="E2053">
        <f>IF(ISBLANK('ENGAGEMENTS 2026'!C2053),"",'ENGAGEMENTS 2026'!I2053)</f>
        <v/>
      </c>
      <c r="F2053">
        <f>IF(ISBLANK('ENGAGEMENTS 2026'!C2053),"",'ENGAGEMENTS 2026'!J2053)</f>
        <v/>
      </c>
      <c r="G2053">
        <f>IF(ISBLANK('ENGAGEMENTS 2026'!C2053),"",'ENGAGEMENTS 2026'!M2053)</f>
        <v/>
      </c>
      <c r="H2053">
        <f>IF(ISBLANK('ENGAGEMENTS 2026'!C2053),"",'ENGAGEMENTS 2026'!AF2053)</f>
        <v/>
      </c>
      <c r="I2053">
        <f>IF(ISBLANK('ENGAGEMENTS 2026'!C2053),"",'ENGAGEMENTS 2026'!H2053)</f>
        <v/>
      </c>
      <c r="J2053" s="275">
        <f>IF(ISBLANK('ENGAGEMENTS 2026'!C2053),"",IF(AND(OR($E2053="INFRUCTUEUX",$E2053="ANNULE"),$C2053="AOO-M"),'ENGAGEMENTS 2026'!P2053,IF($H2053="EN COURS DE PREENGAGEMENT",'ENGAGEMENTS 2026'!O2053,IF($H2053="PREENGAGE",IF($E2053="ATTRIBUE",'ENGAGEMENTS 2026'!AE2053,'ENGAGEMENTS 2026'!O2053),'ENGAGEMENTS 2026'!AE2053))))</f>
        <v/>
      </c>
      <c r="K2053" s="604">
        <f>IF(ISBLANK('ENGAGEMENTS 2026'!W2053),"",'ENGAGEMENTS 2026'!W2053)</f>
        <v/>
      </c>
      <c r="L2053" s="276">
        <f>IF($K2053="","",TODAY()-$K2053)</f>
        <v/>
      </c>
      <c r="M2053">
        <f>IF($A2053="","",IF($H2053="ENGAGE","Engagé",IF(AND($H2053="NON ENGAGE",OR($I2053="INFRUCTUEUX",$I2053="ANNULE")),"Clôturé sans suite","En cours")))</f>
        <v/>
      </c>
      <c r="N2053">
        <f>IF(ISBLANK('ENGAGEMENTS 2026'!C2053),"",'ENGAGEMENTS 2026'!L2053)</f>
        <v/>
      </c>
      <c r="O2053">
        <f>IF(ISBLANK('ENGAGEMENTS 2026'!C2053),"",'ENGAGEMENTS 2026'!M2053)</f>
        <v/>
      </c>
      <c r="P2053">
        <f>IF(ISBLANK('ENGAGEMENTS 2026'!C2053),"",'ENGAGEMENTS 2026'!K2053)</f>
        <v/>
      </c>
      <c r="Q2053">
        <f>IF($A2053="","",IF(OR($E2053="INFRUCTUEUX",$E2053="ANNULE"),$A2053&amp;"|"&amp;(COUNTIFS($A$2:$A2053,$A2053,$E$2:$E2053,"INFRUCTUEUX")+COUNTIFS($A$2:$A2053,$A2053,$E$2:$E2053,"ANNULE")),""))</f>
        <v/>
      </c>
    </row>
    <row r="2054">
      <c r="A2054">
        <f>IF(ISBLANK('ENGAGEMENTS 2026'!C2054),"",IF('ENGAGEMENTS 2026'!C2054="DTSI","DCT",'ENGAGEMENTS 2026'!C2054))</f>
        <v/>
      </c>
      <c r="B2054">
        <f>IF(ISBLANK('ENGAGEMENTS 2026'!C2054),"",'ENGAGEMENTS 2026'!D2054)</f>
        <v/>
      </c>
      <c r="C2054">
        <f>IF(ISBLANK('ENGAGEMENTS 2026'!C2054),"",'ENGAGEMENTS 2026'!E2054)</f>
        <v/>
      </c>
      <c r="D2054">
        <f>IF(ISBLANK('ENGAGEMENTS 2026'!C2054),"",'ENGAGEMENTS 2026'!G2054)</f>
        <v/>
      </c>
      <c r="E2054">
        <f>IF(ISBLANK('ENGAGEMENTS 2026'!C2054),"",'ENGAGEMENTS 2026'!I2054)</f>
        <v/>
      </c>
      <c r="F2054">
        <f>IF(ISBLANK('ENGAGEMENTS 2026'!C2054),"",'ENGAGEMENTS 2026'!J2054)</f>
        <v/>
      </c>
      <c r="G2054">
        <f>IF(ISBLANK('ENGAGEMENTS 2026'!C2054),"",'ENGAGEMENTS 2026'!M2054)</f>
        <v/>
      </c>
      <c r="H2054">
        <f>IF(ISBLANK('ENGAGEMENTS 2026'!C2054),"",'ENGAGEMENTS 2026'!AF2054)</f>
        <v/>
      </c>
      <c r="I2054">
        <f>IF(ISBLANK('ENGAGEMENTS 2026'!C2054),"",'ENGAGEMENTS 2026'!H2054)</f>
        <v/>
      </c>
      <c r="J2054" s="275">
        <f>IF(ISBLANK('ENGAGEMENTS 2026'!C2054),"",IF(AND(OR($E2054="INFRUCTUEUX",$E2054="ANNULE"),$C2054="AOO-M"),'ENGAGEMENTS 2026'!P2054,IF($H2054="EN COURS DE PREENGAGEMENT",'ENGAGEMENTS 2026'!O2054,IF($H2054="PREENGAGE",IF($E2054="ATTRIBUE",'ENGAGEMENTS 2026'!AE2054,'ENGAGEMENTS 2026'!O2054),'ENGAGEMENTS 2026'!AE2054))))</f>
        <v/>
      </c>
      <c r="K2054" s="604">
        <f>IF(ISBLANK('ENGAGEMENTS 2026'!W2054),"",'ENGAGEMENTS 2026'!W2054)</f>
        <v/>
      </c>
      <c r="L2054" s="276">
        <f>IF($K2054="","",TODAY()-$K2054)</f>
        <v/>
      </c>
      <c r="M2054">
        <f>IF($A2054="","",IF($H2054="ENGAGE","Engagé",IF(AND($H2054="NON ENGAGE",OR($I2054="INFRUCTUEUX",$I2054="ANNULE")),"Clôturé sans suite","En cours")))</f>
        <v/>
      </c>
      <c r="N2054">
        <f>IF(ISBLANK('ENGAGEMENTS 2026'!C2054),"",'ENGAGEMENTS 2026'!L2054)</f>
        <v/>
      </c>
      <c r="O2054">
        <f>IF(ISBLANK('ENGAGEMENTS 2026'!C2054),"",'ENGAGEMENTS 2026'!M2054)</f>
        <v/>
      </c>
      <c r="P2054">
        <f>IF(ISBLANK('ENGAGEMENTS 2026'!C2054),"",'ENGAGEMENTS 2026'!K2054)</f>
        <v/>
      </c>
      <c r="Q2054">
        <f>IF($A2054="","",IF(OR($E2054="INFRUCTUEUX",$E2054="ANNULE"),$A2054&amp;"|"&amp;(COUNTIFS($A$2:$A2054,$A2054,$E$2:$E2054,"INFRUCTUEUX")+COUNTIFS($A$2:$A2054,$A2054,$E$2:$E2054,"ANNULE")),""))</f>
        <v/>
      </c>
    </row>
    <row r="2055">
      <c r="A2055">
        <f>IF(ISBLANK('ENGAGEMENTS 2026'!C2055),"",IF('ENGAGEMENTS 2026'!C2055="DTSI","DCT",'ENGAGEMENTS 2026'!C2055))</f>
        <v/>
      </c>
      <c r="B2055">
        <f>IF(ISBLANK('ENGAGEMENTS 2026'!C2055),"",'ENGAGEMENTS 2026'!D2055)</f>
        <v/>
      </c>
      <c r="C2055">
        <f>IF(ISBLANK('ENGAGEMENTS 2026'!C2055),"",'ENGAGEMENTS 2026'!E2055)</f>
        <v/>
      </c>
      <c r="D2055">
        <f>IF(ISBLANK('ENGAGEMENTS 2026'!C2055),"",'ENGAGEMENTS 2026'!G2055)</f>
        <v/>
      </c>
      <c r="E2055">
        <f>IF(ISBLANK('ENGAGEMENTS 2026'!C2055),"",'ENGAGEMENTS 2026'!I2055)</f>
        <v/>
      </c>
      <c r="F2055">
        <f>IF(ISBLANK('ENGAGEMENTS 2026'!C2055),"",'ENGAGEMENTS 2026'!J2055)</f>
        <v/>
      </c>
      <c r="G2055">
        <f>IF(ISBLANK('ENGAGEMENTS 2026'!C2055),"",'ENGAGEMENTS 2026'!M2055)</f>
        <v/>
      </c>
      <c r="H2055">
        <f>IF(ISBLANK('ENGAGEMENTS 2026'!C2055),"",'ENGAGEMENTS 2026'!AF2055)</f>
        <v/>
      </c>
      <c r="I2055">
        <f>IF(ISBLANK('ENGAGEMENTS 2026'!C2055),"",'ENGAGEMENTS 2026'!H2055)</f>
        <v/>
      </c>
      <c r="J2055" s="275">
        <f>IF(ISBLANK('ENGAGEMENTS 2026'!C2055),"",IF(AND(OR($E2055="INFRUCTUEUX",$E2055="ANNULE"),$C2055="AOO-M"),'ENGAGEMENTS 2026'!P2055,IF($H2055="EN COURS DE PREENGAGEMENT",'ENGAGEMENTS 2026'!O2055,IF($H2055="PREENGAGE",IF($E2055="ATTRIBUE",'ENGAGEMENTS 2026'!AE2055,'ENGAGEMENTS 2026'!O2055),'ENGAGEMENTS 2026'!AE2055))))</f>
        <v/>
      </c>
      <c r="K2055" s="604">
        <f>IF(ISBLANK('ENGAGEMENTS 2026'!W2055),"",'ENGAGEMENTS 2026'!W2055)</f>
        <v/>
      </c>
      <c r="L2055" s="276">
        <f>IF($K2055="","",TODAY()-$K2055)</f>
        <v/>
      </c>
      <c r="M2055">
        <f>IF($A2055="","",IF($H2055="ENGAGE","Engagé",IF(AND($H2055="NON ENGAGE",OR($I2055="INFRUCTUEUX",$I2055="ANNULE")),"Clôturé sans suite","En cours")))</f>
        <v/>
      </c>
      <c r="N2055">
        <f>IF(ISBLANK('ENGAGEMENTS 2026'!C2055),"",'ENGAGEMENTS 2026'!L2055)</f>
        <v/>
      </c>
      <c r="O2055">
        <f>IF(ISBLANK('ENGAGEMENTS 2026'!C2055),"",'ENGAGEMENTS 2026'!M2055)</f>
        <v/>
      </c>
      <c r="P2055">
        <f>IF(ISBLANK('ENGAGEMENTS 2026'!C2055),"",'ENGAGEMENTS 2026'!K2055)</f>
        <v/>
      </c>
      <c r="Q2055">
        <f>IF($A2055="","",IF(OR($E2055="INFRUCTUEUX",$E2055="ANNULE"),$A2055&amp;"|"&amp;(COUNTIFS($A$2:$A2055,$A2055,$E$2:$E2055,"INFRUCTUEUX")+COUNTIFS($A$2:$A2055,$A2055,$E$2:$E2055,"ANNULE")),""))</f>
        <v/>
      </c>
    </row>
    <row r="2056">
      <c r="A2056">
        <f>IF(ISBLANK('ENGAGEMENTS 2026'!C2056),"",IF('ENGAGEMENTS 2026'!C2056="DTSI","DCT",'ENGAGEMENTS 2026'!C2056))</f>
        <v/>
      </c>
      <c r="B2056">
        <f>IF(ISBLANK('ENGAGEMENTS 2026'!C2056),"",'ENGAGEMENTS 2026'!D2056)</f>
        <v/>
      </c>
      <c r="C2056">
        <f>IF(ISBLANK('ENGAGEMENTS 2026'!C2056),"",'ENGAGEMENTS 2026'!E2056)</f>
        <v/>
      </c>
      <c r="D2056">
        <f>IF(ISBLANK('ENGAGEMENTS 2026'!C2056),"",'ENGAGEMENTS 2026'!G2056)</f>
        <v/>
      </c>
      <c r="E2056">
        <f>IF(ISBLANK('ENGAGEMENTS 2026'!C2056),"",'ENGAGEMENTS 2026'!I2056)</f>
        <v/>
      </c>
      <c r="F2056">
        <f>IF(ISBLANK('ENGAGEMENTS 2026'!C2056),"",'ENGAGEMENTS 2026'!J2056)</f>
        <v/>
      </c>
      <c r="G2056">
        <f>IF(ISBLANK('ENGAGEMENTS 2026'!C2056),"",'ENGAGEMENTS 2026'!M2056)</f>
        <v/>
      </c>
      <c r="H2056">
        <f>IF(ISBLANK('ENGAGEMENTS 2026'!C2056),"",'ENGAGEMENTS 2026'!AF2056)</f>
        <v/>
      </c>
      <c r="I2056">
        <f>IF(ISBLANK('ENGAGEMENTS 2026'!C2056),"",'ENGAGEMENTS 2026'!H2056)</f>
        <v/>
      </c>
      <c r="J2056" s="275">
        <f>IF(ISBLANK('ENGAGEMENTS 2026'!C2056),"",IF(AND(OR($E2056="INFRUCTUEUX",$E2056="ANNULE"),$C2056="AOO-M"),'ENGAGEMENTS 2026'!P2056,IF($H2056="EN COURS DE PREENGAGEMENT",'ENGAGEMENTS 2026'!O2056,IF($H2056="PREENGAGE",IF($E2056="ATTRIBUE",'ENGAGEMENTS 2026'!AE2056,'ENGAGEMENTS 2026'!O2056),'ENGAGEMENTS 2026'!AE2056))))</f>
        <v/>
      </c>
      <c r="K2056" s="604">
        <f>IF(ISBLANK('ENGAGEMENTS 2026'!W2056),"",'ENGAGEMENTS 2026'!W2056)</f>
        <v/>
      </c>
      <c r="L2056" s="276">
        <f>IF($K2056="","",TODAY()-$K2056)</f>
        <v/>
      </c>
      <c r="M2056">
        <f>IF($A2056="","",IF($H2056="ENGAGE","Engagé",IF(AND($H2056="NON ENGAGE",OR($I2056="INFRUCTUEUX",$I2056="ANNULE")),"Clôturé sans suite","En cours")))</f>
        <v/>
      </c>
      <c r="N2056">
        <f>IF(ISBLANK('ENGAGEMENTS 2026'!C2056),"",'ENGAGEMENTS 2026'!L2056)</f>
        <v/>
      </c>
      <c r="O2056">
        <f>IF(ISBLANK('ENGAGEMENTS 2026'!C2056),"",'ENGAGEMENTS 2026'!M2056)</f>
        <v/>
      </c>
      <c r="P2056">
        <f>IF(ISBLANK('ENGAGEMENTS 2026'!C2056),"",'ENGAGEMENTS 2026'!K2056)</f>
        <v/>
      </c>
      <c r="Q2056">
        <f>IF($A2056="","",IF(OR($E2056="INFRUCTUEUX",$E2056="ANNULE"),$A2056&amp;"|"&amp;(COUNTIFS($A$2:$A2056,$A2056,$E$2:$E2056,"INFRUCTUEUX")+COUNTIFS($A$2:$A2056,$A2056,$E$2:$E2056,"ANNULE")),""))</f>
        <v/>
      </c>
    </row>
    <row r="2057">
      <c r="A2057">
        <f>IF(ISBLANK('ENGAGEMENTS 2026'!C2057),"",IF('ENGAGEMENTS 2026'!C2057="DTSI","DCT",'ENGAGEMENTS 2026'!C2057))</f>
        <v/>
      </c>
      <c r="B2057">
        <f>IF(ISBLANK('ENGAGEMENTS 2026'!C2057),"",'ENGAGEMENTS 2026'!D2057)</f>
        <v/>
      </c>
      <c r="C2057">
        <f>IF(ISBLANK('ENGAGEMENTS 2026'!C2057),"",'ENGAGEMENTS 2026'!E2057)</f>
        <v/>
      </c>
      <c r="D2057">
        <f>IF(ISBLANK('ENGAGEMENTS 2026'!C2057),"",'ENGAGEMENTS 2026'!G2057)</f>
        <v/>
      </c>
      <c r="E2057">
        <f>IF(ISBLANK('ENGAGEMENTS 2026'!C2057),"",'ENGAGEMENTS 2026'!I2057)</f>
        <v/>
      </c>
      <c r="F2057">
        <f>IF(ISBLANK('ENGAGEMENTS 2026'!C2057),"",'ENGAGEMENTS 2026'!J2057)</f>
        <v/>
      </c>
      <c r="G2057">
        <f>IF(ISBLANK('ENGAGEMENTS 2026'!C2057),"",'ENGAGEMENTS 2026'!M2057)</f>
        <v/>
      </c>
      <c r="H2057">
        <f>IF(ISBLANK('ENGAGEMENTS 2026'!C2057),"",'ENGAGEMENTS 2026'!AF2057)</f>
        <v/>
      </c>
      <c r="I2057">
        <f>IF(ISBLANK('ENGAGEMENTS 2026'!C2057),"",'ENGAGEMENTS 2026'!H2057)</f>
        <v/>
      </c>
      <c r="J2057" s="275">
        <f>IF(ISBLANK('ENGAGEMENTS 2026'!C2057),"",IF(AND(OR($E2057="INFRUCTUEUX",$E2057="ANNULE"),$C2057="AOO-M"),'ENGAGEMENTS 2026'!P2057,IF($H2057="EN COURS DE PREENGAGEMENT",'ENGAGEMENTS 2026'!O2057,IF($H2057="PREENGAGE",IF($E2057="ATTRIBUE",'ENGAGEMENTS 2026'!AE2057,'ENGAGEMENTS 2026'!O2057),'ENGAGEMENTS 2026'!AE2057))))</f>
        <v/>
      </c>
      <c r="K2057" s="604">
        <f>IF(ISBLANK('ENGAGEMENTS 2026'!W2057),"",'ENGAGEMENTS 2026'!W2057)</f>
        <v/>
      </c>
      <c r="L2057" s="276">
        <f>IF($K2057="","",TODAY()-$K2057)</f>
        <v/>
      </c>
      <c r="M2057">
        <f>IF($A2057="","",IF($H2057="ENGAGE","Engagé",IF(AND($H2057="NON ENGAGE",OR($I2057="INFRUCTUEUX",$I2057="ANNULE")),"Clôturé sans suite","En cours")))</f>
        <v/>
      </c>
      <c r="N2057">
        <f>IF(ISBLANK('ENGAGEMENTS 2026'!C2057),"",'ENGAGEMENTS 2026'!L2057)</f>
        <v/>
      </c>
      <c r="O2057">
        <f>IF(ISBLANK('ENGAGEMENTS 2026'!C2057),"",'ENGAGEMENTS 2026'!M2057)</f>
        <v/>
      </c>
      <c r="P2057">
        <f>IF(ISBLANK('ENGAGEMENTS 2026'!C2057),"",'ENGAGEMENTS 2026'!K2057)</f>
        <v/>
      </c>
      <c r="Q2057">
        <f>IF($A2057="","",IF(OR($E2057="INFRUCTUEUX",$E2057="ANNULE"),$A2057&amp;"|"&amp;(COUNTIFS($A$2:$A2057,$A2057,$E$2:$E2057,"INFRUCTUEUX")+COUNTIFS($A$2:$A2057,$A2057,$E$2:$E2057,"ANNULE")),""))</f>
        <v/>
      </c>
    </row>
    <row r="2058">
      <c r="A2058">
        <f>IF(ISBLANK('ENGAGEMENTS 2026'!C2058),"",IF('ENGAGEMENTS 2026'!C2058="DTSI","DCT",'ENGAGEMENTS 2026'!C2058))</f>
        <v/>
      </c>
      <c r="B2058">
        <f>IF(ISBLANK('ENGAGEMENTS 2026'!C2058),"",'ENGAGEMENTS 2026'!D2058)</f>
        <v/>
      </c>
      <c r="C2058">
        <f>IF(ISBLANK('ENGAGEMENTS 2026'!C2058),"",'ENGAGEMENTS 2026'!E2058)</f>
        <v/>
      </c>
      <c r="D2058">
        <f>IF(ISBLANK('ENGAGEMENTS 2026'!C2058),"",'ENGAGEMENTS 2026'!G2058)</f>
        <v/>
      </c>
      <c r="E2058">
        <f>IF(ISBLANK('ENGAGEMENTS 2026'!C2058),"",'ENGAGEMENTS 2026'!I2058)</f>
        <v/>
      </c>
      <c r="F2058">
        <f>IF(ISBLANK('ENGAGEMENTS 2026'!C2058),"",'ENGAGEMENTS 2026'!J2058)</f>
        <v/>
      </c>
      <c r="G2058">
        <f>IF(ISBLANK('ENGAGEMENTS 2026'!C2058),"",'ENGAGEMENTS 2026'!M2058)</f>
        <v/>
      </c>
      <c r="H2058">
        <f>IF(ISBLANK('ENGAGEMENTS 2026'!C2058),"",'ENGAGEMENTS 2026'!AF2058)</f>
        <v/>
      </c>
      <c r="I2058">
        <f>IF(ISBLANK('ENGAGEMENTS 2026'!C2058),"",'ENGAGEMENTS 2026'!H2058)</f>
        <v/>
      </c>
      <c r="J2058" s="275">
        <f>IF(ISBLANK('ENGAGEMENTS 2026'!C2058),"",IF(AND(OR($E2058="INFRUCTUEUX",$E2058="ANNULE"),$C2058="AOO-M"),'ENGAGEMENTS 2026'!P2058,IF($H2058="EN COURS DE PREENGAGEMENT",'ENGAGEMENTS 2026'!O2058,IF($H2058="PREENGAGE",IF($E2058="ATTRIBUE",'ENGAGEMENTS 2026'!AE2058,'ENGAGEMENTS 2026'!O2058),'ENGAGEMENTS 2026'!AE2058))))</f>
        <v/>
      </c>
      <c r="K2058" s="604">
        <f>IF(ISBLANK('ENGAGEMENTS 2026'!W2058),"",'ENGAGEMENTS 2026'!W2058)</f>
        <v/>
      </c>
      <c r="L2058" s="276">
        <f>IF($K2058="","",TODAY()-$K2058)</f>
        <v/>
      </c>
      <c r="M2058">
        <f>IF($A2058="","",IF($H2058="ENGAGE","Engagé",IF(AND($H2058="NON ENGAGE",OR($I2058="INFRUCTUEUX",$I2058="ANNULE")),"Clôturé sans suite","En cours")))</f>
        <v/>
      </c>
      <c r="N2058">
        <f>IF(ISBLANK('ENGAGEMENTS 2026'!C2058),"",'ENGAGEMENTS 2026'!L2058)</f>
        <v/>
      </c>
      <c r="O2058">
        <f>IF(ISBLANK('ENGAGEMENTS 2026'!C2058),"",'ENGAGEMENTS 2026'!M2058)</f>
        <v/>
      </c>
      <c r="P2058">
        <f>IF(ISBLANK('ENGAGEMENTS 2026'!C2058),"",'ENGAGEMENTS 2026'!K2058)</f>
        <v/>
      </c>
      <c r="Q2058">
        <f>IF($A2058="","",IF(OR($E2058="INFRUCTUEUX",$E2058="ANNULE"),$A2058&amp;"|"&amp;(COUNTIFS($A$2:$A2058,$A2058,$E$2:$E2058,"INFRUCTUEUX")+COUNTIFS($A$2:$A2058,$A2058,$E$2:$E2058,"ANNULE")),""))</f>
        <v/>
      </c>
    </row>
    <row r="2059">
      <c r="A2059">
        <f>IF(ISBLANK('ENGAGEMENTS 2026'!C2059),"",IF('ENGAGEMENTS 2026'!C2059="DTSI","DCT",'ENGAGEMENTS 2026'!C2059))</f>
        <v/>
      </c>
      <c r="B2059">
        <f>IF(ISBLANK('ENGAGEMENTS 2026'!C2059),"",'ENGAGEMENTS 2026'!D2059)</f>
        <v/>
      </c>
      <c r="C2059">
        <f>IF(ISBLANK('ENGAGEMENTS 2026'!C2059),"",'ENGAGEMENTS 2026'!E2059)</f>
        <v/>
      </c>
      <c r="D2059">
        <f>IF(ISBLANK('ENGAGEMENTS 2026'!C2059),"",'ENGAGEMENTS 2026'!G2059)</f>
        <v/>
      </c>
      <c r="E2059">
        <f>IF(ISBLANK('ENGAGEMENTS 2026'!C2059),"",'ENGAGEMENTS 2026'!I2059)</f>
        <v/>
      </c>
      <c r="F2059">
        <f>IF(ISBLANK('ENGAGEMENTS 2026'!C2059),"",'ENGAGEMENTS 2026'!J2059)</f>
        <v/>
      </c>
      <c r="G2059">
        <f>IF(ISBLANK('ENGAGEMENTS 2026'!C2059),"",'ENGAGEMENTS 2026'!M2059)</f>
        <v/>
      </c>
      <c r="H2059">
        <f>IF(ISBLANK('ENGAGEMENTS 2026'!C2059),"",'ENGAGEMENTS 2026'!AF2059)</f>
        <v/>
      </c>
      <c r="I2059">
        <f>IF(ISBLANK('ENGAGEMENTS 2026'!C2059),"",'ENGAGEMENTS 2026'!H2059)</f>
        <v/>
      </c>
      <c r="J2059" s="275">
        <f>IF(ISBLANK('ENGAGEMENTS 2026'!C2059),"",IF(AND(OR($E2059="INFRUCTUEUX",$E2059="ANNULE"),$C2059="AOO-M"),'ENGAGEMENTS 2026'!P2059,IF($H2059="EN COURS DE PREENGAGEMENT",'ENGAGEMENTS 2026'!O2059,IF($H2059="PREENGAGE",IF($E2059="ATTRIBUE",'ENGAGEMENTS 2026'!AE2059,'ENGAGEMENTS 2026'!O2059),'ENGAGEMENTS 2026'!AE2059))))</f>
        <v/>
      </c>
      <c r="K2059" s="604">
        <f>IF(ISBLANK('ENGAGEMENTS 2026'!W2059),"",'ENGAGEMENTS 2026'!W2059)</f>
        <v/>
      </c>
      <c r="L2059" s="276">
        <f>IF($K2059="","",TODAY()-$K2059)</f>
        <v/>
      </c>
      <c r="M2059">
        <f>IF($A2059="","",IF($H2059="ENGAGE","Engagé",IF(AND($H2059="NON ENGAGE",OR($I2059="INFRUCTUEUX",$I2059="ANNULE")),"Clôturé sans suite","En cours")))</f>
        <v/>
      </c>
      <c r="N2059">
        <f>IF(ISBLANK('ENGAGEMENTS 2026'!C2059),"",'ENGAGEMENTS 2026'!L2059)</f>
        <v/>
      </c>
      <c r="O2059">
        <f>IF(ISBLANK('ENGAGEMENTS 2026'!C2059),"",'ENGAGEMENTS 2026'!M2059)</f>
        <v/>
      </c>
      <c r="P2059">
        <f>IF(ISBLANK('ENGAGEMENTS 2026'!C2059),"",'ENGAGEMENTS 2026'!K2059)</f>
        <v/>
      </c>
      <c r="Q2059">
        <f>IF($A2059="","",IF(OR($E2059="INFRUCTUEUX",$E2059="ANNULE"),$A2059&amp;"|"&amp;(COUNTIFS($A$2:$A2059,$A2059,$E$2:$E2059,"INFRUCTUEUX")+COUNTIFS($A$2:$A2059,$A2059,$E$2:$E2059,"ANNULE")),""))</f>
        <v/>
      </c>
    </row>
    <row r="2060">
      <c r="A2060">
        <f>IF(ISBLANK('ENGAGEMENTS 2026'!C2060),"",IF('ENGAGEMENTS 2026'!C2060="DTSI","DCT",'ENGAGEMENTS 2026'!C2060))</f>
        <v/>
      </c>
      <c r="B2060">
        <f>IF(ISBLANK('ENGAGEMENTS 2026'!C2060),"",'ENGAGEMENTS 2026'!D2060)</f>
        <v/>
      </c>
      <c r="C2060">
        <f>IF(ISBLANK('ENGAGEMENTS 2026'!C2060),"",'ENGAGEMENTS 2026'!E2060)</f>
        <v/>
      </c>
      <c r="D2060">
        <f>IF(ISBLANK('ENGAGEMENTS 2026'!C2060),"",'ENGAGEMENTS 2026'!G2060)</f>
        <v/>
      </c>
      <c r="E2060">
        <f>IF(ISBLANK('ENGAGEMENTS 2026'!C2060),"",'ENGAGEMENTS 2026'!I2060)</f>
        <v/>
      </c>
      <c r="F2060">
        <f>IF(ISBLANK('ENGAGEMENTS 2026'!C2060),"",'ENGAGEMENTS 2026'!J2060)</f>
        <v/>
      </c>
      <c r="G2060">
        <f>IF(ISBLANK('ENGAGEMENTS 2026'!C2060),"",'ENGAGEMENTS 2026'!M2060)</f>
        <v/>
      </c>
      <c r="H2060">
        <f>IF(ISBLANK('ENGAGEMENTS 2026'!C2060),"",'ENGAGEMENTS 2026'!AF2060)</f>
        <v/>
      </c>
      <c r="I2060">
        <f>IF(ISBLANK('ENGAGEMENTS 2026'!C2060),"",'ENGAGEMENTS 2026'!H2060)</f>
        <v/>
      </c>
      <c r="J2060" s="275">
        <f>IF(ISBLANK('ENGAGEMENTS 2026'!C2060),"",IF(AND(OR($E2060="INFRUCTUEUX",$E2060="ANNULE"),$C2060="AOO-M"),'ENGAGEMENTS 2026'!P2060,IF($H2060="EN COURS DE PREENGAGEMENT",'ENGAGEMENTS 2026'!O2060,IF($H2060="PREENGAGE",IF($E2060="ATTRIBUE",'ENGAGEMENTS 2026'!AE2060,'ENGAGEMENTS 2026'!O2060),'ENGAGEMENTS 2026'!AE2060))))</f>
        <v/>
      </c>
      <c r="K2060" s="604">
        <f>IF(ISBLANK('ENGAGEMENTS 2026'!W2060),"",'ENGAGEMENTS 2026'!W2060)</f>
        <v/>
      </c>
      <c r="L2060" s="276">
        <f>IF($K2060="","",TODAY()-$K2060)</f>
        <v/>
      </c>
      <c r="M2060">
        <f>IF($A2060="","",IF($H2060="ENGAGE","Engagé",IF(AND($H2060="NON ENGAGE",OR($I2060="INFRUCTUEUX",$I2060="ANNULE")),"Clôturé sans suite","En cours")))</f>
        <v/>
      </c>
      <c r="N2060">
        <f>IF(ISBLANK('ENGAGEMENTS 2026'!C2060),"",'ENGAGEMENTS 2026'!L2060)</f>
        <v/>
      </c>
      <c r="O2060">
        <f>IF(ISBLANK('ENGAGEMENTS 2026'!C2060),"",'ENGAGEMENTS 2026'!M2060)</f>
        <v/>
      </c>
      <c r="P2060">
        <f>IF(ISBLANK('ENGAGEMENTS 2026'!C2060),"",'ENGAGEMENTS 2026'!K2060)</f>
        <v/>
      </c>
      <c r="Q2060">
        <f>IF($A2060="","",IF(OR($E2060="INFRUCTUEUX",$E2060="ANNULE"),$A2060&amp;"|"&amp;(COUNTIFS($A$2:$A2060,$A2060,$E$2:$E2060,"INFRUCTUEUX")+COUNTIFS($A$2:$A2060,$A2060,$E$2:$E2060,"ANNULE")),""))</f>
        <v/>
      </c>
    </row>
    <row r="2061">
      <c r="A2061">
        <f>IF(ISBLANK('ENGAGEMENTS 2026'!C2061),"",IF('ENGAGEMENTS 2026'!C2061="DTSI","DCT",'ENGAGEMENTS 2026'!C2061))</f>
        <v/>
      </c>
      <c r="B2061">
        <f>IF(ISBLANK('ENGAGEMENTS 2026'!C2061),"",'ENGAGEMENTS 2026'!D2061)</f>
        <v/>
      </c>
      <c r="C2061">
        <f>IF(ISBLANK('ENGAGEMENTS 2026'!C2061),"",'ENGAGEMENTS 2026'!E2061)</f>
        <v/>
      </c>
      <c r="D2061">
        <f>IF(ISBLANK('ENGAGEMENTS 2026'!C2061),"",'ENGAGEMENTS 2026'!G2061)</f>
        <v/>
      </c>
      <c r="E2061">
        <f>IF(ISBLANK('ENGAGEMENTS 2026'!C2061),"",'ENGAGEMENTS 2026'!I2061)</f>
        <v/>
      </c>
      <c r="F2061">
        <f>IF(ISBLANK('ENGAGEMENTS 2026'!C2061),"",'ENGAGEMENTS 2026'!J2061)</f>
        <v/>
      </c>
      <c r="G2061">
        <f>IF(ISBLANK('ENGAGEMENTS 2026'!C2061),"",'ENGAGEMENTS 2026'!M2061)</f>
        <v/>
      </c>
      <c r="H2061">
        <f>IF(ISBLANK('ENGAGEMENTS 2026'!C2061),"",'ENGAGEMENTS 2026'!AF2061)</f>
        <v/>
      </c>
      <c r="I2061">
        <f>IF(ISBLANK('ENGAGEMENTS 2026'!C2061),"",'ENGAGEMENTS 2026'!H2061)</f>
        <v/>
      </c>
      <c r="J2061" s="275">
        <f>IF(ISBLANK('ENGAGEMENTS 2026'!C2061),"",IF(AND(OR($E2061="INFRUCTUEUX",$E2061="ANNULE"),$C2061="AOO-M"),'ENGAGEMENTS 2026'!P2061,IF($H2061="EN COURS DE PREENGAGEMENT",'ENGAGEMENTS 2026'!O2061,IF($H2061="PREENGAGE",IF($E2061="ATTRIBUE",'ENGAGEMENTS 2026'!AE2061,'ENGAGEMENTS 2026'!O2061),'ENGAGEMENTS 2026'!AE2061))))</f>
        <v/>
      </c>
      <c r="K2061" s="604">
        <f>IF(ISBLANK('ENGAGEMENTS 2026'!W2061),"",'ENGAGEMENTS 2026'!W2061)</f>
        <v/>
      </c>
      <c r="L2061" s="276">
        <f>IF($K2061="","",TODAY()-$K2061)</f>
        <v/>
      </c>
      <c r="M2061">
        <f>IF($A2061="","",IF($H2061="ENGAGE","Engagé",IF(AND($H2061="NON ENGAGE",OR($I2061="INFRUCTUEUX",$I2061="ANNULE")),"Clôturé sans suite","En cours")))</f>
        <v/>
      </c>
      <c r="N2061">
        <f>IF(ISBLANK('ENGAGEMENTS 2026'!C2061),"",'ENGAGEMENTS 2026'!L2061)</f>
        <v/>
      </c>
      <c r="O2061">
        <f>IF(ISBLANK('ENGAGEMENTS 2026'!C2061),"",'ENGAGEMENTS 2026'!M2061)</f>
        <v/>
      </c>
      <c r="P2061">
        <f>IF(ISBLANK('ENGAGEMENTS 2026'!C2061),"",'ENGAGEMENTS 2026'!K2061)</f>
        <v/>
      </c>
      <c r="Q2061">
        <f>IF($A2061="","",IF(OR($E2061="INFRUCTUEUX",$E2061="ANNULE"),$A2061&amp;"|"&amp;(COUNTIFS($A$2:$A2061,$A2061,$E$2:$E2061,"INFRUCTUEUX")+COUNTIFS($A$2:$A2061,$A2061,$E$2:$E2061,"ANNULE")),""))</f>
        <v/>
      </c>
    </row>
    <row r="2062">
      <c r="A2062">
        <f>IF(ISBLANK('ENGAGEMENTS 2026'!C2062),"",IF('ENGAGEMENTS 2026'!C2062="DTSI","DCT",'ENGAGEMENTS 2026'!C2062))</f>
        <v/>
      </c>
      <c r="B2062">
        <f>IF(ISBLANK('ENGAGEMENTS 2026'!C2062),"",'ENGAGEMENTS 2026'!D2062)</f>
        <v/>
      </c>
      <c r="C2062">
        <f>IF(ISBLANK('ENGAGEMENTS 2026'!C2062),"",'ENGAGEMENTS 2026'!E2062)</f>
        <v/>
      </c>
      <c r="D2062">
        <f>IF(ISBLANK('ENGAGEMENTS 2026'!C2062),"",'ENGAGEMENTS 2026'!G2062)</f>
        <v/>
      </c>
      <c r="E2062">
        <f>IF(ISBLANK('ENGAGEMENTS 2026'!C2062),"",'ENGAGEMENTS 2026'!I2062)</f>
        <v/>
      </c>
      <c r="F2062">
        <f>IF(ISBLANK('ENGAGEMENTS 2026'!C2062),"",'ENGAGEMENTS 2026'!J2062)</f>
        <v/>
      </c>
      <c r="G2062">
        <f>IF(ISBLANK('ENGAGEMENTS 2026'!C2062),"",'ENGAGEMENTS 2026'!M2062)</f>
        <v/>
      </c>
      <c r="H2062">
        <f>IF(ISBLANK('ENGAGEMENTS 2026'!C2062),"",'ENGAGEMENTS 2026'!AF2062)</f>
        <v/>
      </c>
      <c r="I2062">
        <f>IF(ISBLANK('ENGAGEMENTS 2026'!C2062),"",'ENGAGEMENTS 2026'!H2062)</f>
        <v/>
      </c>
      <c r="J2062" s="275">
        <f>IF(ISBLANK('ENGAGEMENTS 2026'!C2062),"",IF(AND(OR($E2062="INFRUCTUEUX",$E2062="ANNULE"),$C2062="AOO-M"),'ENGAGEMENTS 2026'!P2062,IF($H2062="EN COURS DE PREENGAGEMENT",'ENGAGEMENTS 2026'!O2062,IF($H2062="PREENGAGE",IF($E2062="ATTRIBUE",'ENGAGEMENTS 2026'!AE2062,'ENGAGEMENTS 2026'!O2062),'ENGAGEMENTS 2026'!AE2062))))</f>
        <v/>
      </c>
      <c r="K2062" s="604">
        <f>IF(ISBLANK('ENGAGEMENTS 2026'!W2062),"",'ENGAGEMENTS 2026'!W2062)</f>
        <v/>
      </c>
      <c r="L2062" s="276">
        <f>IF($K2062="","",TODAY()-$K2062)</f>
        <v/>
      </c>
      <c r="M2062">
        <f>IF($A2062="","",IF($H2062="ENGAGE","Engagé",IF(AND($H2062="NON ENGAGE",OR($I2062="INFRUCTUEUX",$I2062="ANNULE")),"Clôturé sans suite","En cours")))</f>
        <v/>
      </c>
      <c r="N2062">
        <f>IF(ISBLANK('ENGAGEMENTS 2026'!C2062),"",'ENGAGEMENTS 2026'!L2062)</f>
        <v/>
      </c>
      <c r="O2062">
        <f>IF(ISBLANK('ENGAGEMENTS 2026'!C2062),"",'ENGAGEMENTS 2026'!M2062)</f>
        <v/>
      </c>
      <c r="P2062">
        <f>IF(ISBLANK('ENGAGEMENTS 2026'!C2062),"",'ENGAGEMENTS 2026'!K2062)</f>
        <v/>
      </c>
      <c r="Q2062">
        <f>IF($A2062="","",IF(OR($E2062="INFRUCTUEUX",$E2062="ANNULE"),$A2062&amp;"|"&amp;(COUNTIFS($A$2:$A2062,$A2062,$E$2:$E2062,"INFRUCTUEUX")+COUNTIFS($A$2:$A2062,$A2062,$E$2:$E2062,"ANNULE")),""))</f>
        <v/>
      </c>
    </row>
    <row r="2063">
      <c r="A2063">
        <f>IF(ISBLANK('ENGAGEMENTS 2026'!C2063),"",IF('ENGAGEMENTS 2026'!C2063="DTSI","DCT",'ENGAGEMENTS 2026'!C2063))</f>
        <v/>
      </c>
      <c r="B2063">
        <f>IF(ISBLANK('ENGAGEMENTS 2026'!C2063),"",'ENGAGEMENTS 2026'!D2063)</f>
        <v/>
      </c>
      <c r="C2063">
        <f>IF(ISBLANK('ENGAGEMENTS 2026'!C2063),"",'ENGAGEMENTS 2026'!E2063)</f>
        <v/>
      </c>
      <c r="D2063">
        <f>IF(ISBLANK('ENGAGEMENTS 2026'!C2063),"",'ENGAGEMENTS 2026'!G2063)</f>
        <v/>
      </c>
      <c r="E2063">
        <f>IF(ISBLANK('ENGAGEMENTS 2026'!C2063),"",'ENGAGEMENTS 2026'!I2063)</f>
        <v/>
      </c>
      <c r="F2063">
        <f>IF(ISBLANK('ENGAGEMENTS 2026'!C2063),"",'ENGAGEMENTS 2026'!J2063)</f>
        <v/>
      </c>
      <c r="G2063">
        <f>IF(ISBLANK('ENGAGEMENTS 2026'!C2063),"",'ENGAGEMENTS 2026'!M2063)</f>
        <v/>
      </c>
      <c r="H2063">
        <f>IF(ISBLANK('ENGAGEMENTS 2026'!C2063),"",'ENGAGEMENTS 2026'!AF2063)</f>
        <v/>
      </c>
      <c r="I2063">
        <f>IF(ISBLANK('ENGAGEMENTS 2026'!C2063),"",'ENGAGEMENTS 2026'!H2063)</f>
        <v/>
      </c>
      <c r="J2063" s="275">
        <f>IF(ISBLANK('ENGAGEMENTS 2026'!C2063),"",IF(AND(OR($E2063="INFRUCTUEUX",$E2063="ANNULE"),$C2063="AOO-M"),'ENGAGEMENTS 2026'!P2063,IF($H2063="EN COURS DE PREENGAGEMENT",'ENGAGEMENTS 2026'!O2063,IF($H2063="PREENGAGE",IF($E2063="ATTRIBUE",'ENGAGEMENTS 2026'!AE2063,'ENGAGEMENTS 2026'!O2063),'ENGAGEMENTS 2026'!AE2063))))</f>
        <v/>
      </c>
      <c r="K2063" s="604">
        <f>IF(ISBLANK('ENGAGEMENTS 2026'!W2063),"",'ENGAGEMENTS 2026'!W2063)</f>
        <v/>
      </c>
      <c r="L2063" s="276">
        <f>IF($K2063="","",TODAY()-$K2063)</f>
        <v/>
      </c>
      <c r="M2063">
        <f>IF($A2063="","",IF($H2063="ENGAGE","Engagé",IF(AND($H2063="NON ENGAGE",OR($I2063="INFRUCTUEUX",$I2063="ANNULE")),"Clôturé sans suite","En cours")))</f>
        <v/>
      </c>
      <c r="N2063">
        <f>IF(ISBLANK('ENGAGEMENTS 2026'!C2063),"",'ENGAGEMENTS 2026'!L2063)</f>
        <v/>
      </c>
      <c r="O2063">
        <f>IF(ISBLANK('ENGAGEMENTS 2026'!C2063),"",'ENGAGEMENTS 2026'!M2063)</f>
        <v/>
      </c>
      <c r="P2063">
        <f>IF(ISBLANK('ENGAGEMENTS 2026'!C2063),"",'ENGAGEMENTS 2026'!K2063)</f>
        <v/>
      </c>
      <c r="Q2063">
        <f>IF($A2063="","",IF(OR($E2063="INFRUCTUEUX",$E2063="ANNULE"),$A2063&amp;"|"&amp;(COUNTIFS($A$2:$A2063,$A2063,$E$2:$E2063,"INFRUCTUEUX")+COUNTIFS($A$2:$A2063,$A2063,$E$2:$E2063,"ANNULE")),""))</f>
        <v/>
      </c>
    </row>
    <row r="2064">
      <c r="A2064">
        <f>IF(ISBLANK('ENGAGEMENTS 2026'!C2064),"",IF('ENGAGEMENTS 2026'!C2064="DTSI","DCT",'ENGAGEMENTS 2026'!C2064))</f>
        <v/>
      </c>
      <c r="B2064">
        <f>IF(ISBLANK('ENGAGEMENTS 2026'!C2064),"",'ENGAGEMENTS 2026'!D2064)</f>
        <v/>
      </c>
      <c r="C2064">
        <f>IF(ISBLANK('ENGAGEMENTS 2026'!C2064),"",'ENGAGEMENTS 2026'!E2064)</f>
        <v/>
      </c>
      <c r="D2064">
        <f>IF(ISBLANK('ENGAGEMENTS 2026'!C2064),"",'ENGAGEMENTS 2026'!G2064)</f>
        <v/>
      </c>
      <c r="E2064">
        <f>IF(ISBLANK('ENGAGEMENTS 2026'!C2064),"",'ENGAGEMENTS 2026'!I2064)</f>
        <v/>
      </c>
      <c r="F2064">
        <f>IF(ISBLANK('ENGAGEMENTS 2026'!C2064),"",'ENGAGEMENTS 2026'!J2064)</f>
        <v/>
      </c>
      <c r="G2064">
        <f>IF(ISBLANK('ENGAGEMENTS 2026'!C2064),"",'ENGAGEMENTS 2026'!M2064)</f>
        <v/>
      </c>
      <c r="H2064">
        <f>IF(ISBLANK('ENGAGEMENTS 2026'!C2064),"",'ENGAGEMENTS 2026'!AF2064)</f>
        <v/>
      </c>
      <c r="I2064">
        <f>IF(ISBLANK('ENGAGEMENTS 2026'!C2064),"",'ENGAGEMENTS 2026'!H2064)</f>
        <v/>
      </c>
      <c r="J2064" s="275">
        <f>IF(ISBLANK('ENGAGEMENTS 2026'!C2064),"",IF(AND(OR($E2064="INFRUCTUEUX",$E2064="ANNULE"),$C2064="AOO-M"),'ENGAGEMENTS 2026'!P2064,IF($H2064="EN COURS DE PREENGAGEMENT",'ENGAGEMENTS 2026'!O2064,IF($H2064="PREENGAGE",IF($E2064="ATTRIBUE",'ENGAGEMENTS 2026'!AE2064,'ENGAGEMENTS 2026'!O2064),'ENGAGEMENTS 2026'!AE2064))))</f>
        <v/>
      </c>
      <c r="K2064" s="604">
        <f>IF(ISBLANK('ENGAGEMENTS 2026'!W2064),"",'ENGAGEMENTS 2026'!W2064)</f>
        <v/>
      </c>
      <c r="L2064" s="276">
        <f>IF($K2064="","",TODAY()-$K2064)</f>
        <v/>
      </c>
      <c r="M2064">
        <f>IF($A2064="","",IF($H2064="ENGAGE","Engagé",IF(AND($H2064="NON ENGAGE",OR($I2064="INFRUCTUEUX",$I2064="ANNULE")),"Clôturé sans suite","En cours")))</f>
        <v/>
      </c>
      <c r="N2064">
        <f>IF(ISBLANK('ENGAGEMENTS 2026'!C2064),"",'ENGAGEMENTS 2026'!L2064)</f>
        <v/>
      </c>
      <c r="O2064">
        <f>IF(ISBLANK('ENGAGEMENTS 2026'!C2064),"",'ENGAGEMENTS 2026'!M2064)</f>
        <v/>
      </c>
      <c r="P2064">
        <f>IF(ISBLANK('ENGAGEMENTS 2026'!C2064),"",'ENGAGEMENTS 2026'!K2064)</f>
        <v/>
      </c>
      <c r="Q2064">
        <f>IF($A2064="","",IF(OR($E2064="INFRUCTUEUX",$E2064="ANNULE"),$A2064&amp;"|"&amp;(COUNTIFS($A$2:$A2064,$A2064,$E$2:$E2064,"INFRUCTUEUX")+COUNTIFS($A$2:$A2064,$A2064,$E$2:$E2064,"ANNULE")),""))</f>
        <v/>
      </c>
    </row>
    <row r="2065">
      <c r="A2065">
        <f>IF(ISBLANK('ENGAGEMENTS 2026'!C2065),"",IF('ENGAGEMENTS 2026'!C2065="DTSI","DCT",'ENGAGEMENTS 2026'!C2065))</f>
        <v/>
      </c>
      <c r="B2065">
        <f>IF(ISBLANK('ENGAGEMENTS 2026'!C2065),"",'ENGAGEMENTS 2026'!D2065)</f>
        <v/>
      </c>
      <c r="C2065">
        <f>IF(ISBLANK('ENGAGEMENTS 2026'!C2065),"",'ENGAGEMENTS 2026'!E2065)</f>
        <v/>
      </c>
      <c r="D2065">
        <f>IF(ISBLANK('ENGAGEMENTS 2026'!C2065),"",'ENGAGEMENTS 2026'!G2065)</f>
        <v/>
      </c>
      <c r="E2065">
        <f>IF(ISBLANK('ENGAGEMENTS 2026'!C2065),"",'ENGAGEMENTS 2026'!I2065)</f>
        <v/>
      </c>
      <c r="F2065">
        <f>IF(ISBLANK('ENGAGEMENTS 2026'!C2065),"",'ENGAGEMENTS 2026'!J2065)</f>
        <v/>
      </c>
      <c r="G2065">
        <f>IF(ISBLANK('ENGAGEMENTS 2026'!C2065),"",'ENGAGEMENTS 2026'!M2065)</f>
        <v/>
      </c>
      <c r="H2065">
        <f>IF(ISBLANK('ENGAGEMENTS 2026'!C2065),"",'ENGAGEMENTS 2026'!AF2065)</f>
        <v/>
      </c>
      <c r="I2065">
        <f>IF(ISBLANK('ENGAGEMENTS 2026'!C2065),"",'ENGAGEMENTS 2026'!H2065)</f>
        <v/>
      </c>
      <c r="J2065" s="275">
        <f>IF(ISBLANK('ENGAGEMENTS 2026'!C2065),"",IF(AND(OR($E2065="INFRUCTUEUX",$E2065="ANNULE"),$C2065="AOO-M"),'ENGAGEMENTS 2026'!P2065,IF($H2065="EN COURS DE PREENGAGEMENT",'ENGAGEMENTS 2026'!O2065,IF($H2065="PREENGAGE",IF($E2065="ATTRIBUE",'ENGAGEMENTS 2026'!AE2065,'ENGAGEMENTS 2026'!O2065),'ENGAGEMENTS 2026'!AE2065))))</f>
        <v/>
      </c>
      <c r="K2065" s="604">
        <f>IF(ISBLANK('ENGAGEMENTS 2026'!W2065),"",'ENGAGEMENTS 2026'!W2065)</f>
        <v/>
      </c>
      <c r="L2065" s="276">
        <f>IF($K2065="","",TODAY()-$K2065)</f>
        <v/>
      </c>
      <c r="M2065">
        <f>IF($A2065="","",IF($H2065="ENGAGE","Engagé",IF(AND($H2065="NON ENGAGE",OR($I2065="INFRUCTUEUX",$I2065="ANNULE")),"Clôturé sans suite","En cours")))</f>
        <v/>
      </c>
      <c r="N2065">
        <f>IF(ISBLANK('ENGAGEMENTS 2026'!C2065),"",'ENGAGEMENTS 2026'!L2065)</f>
        <v/>
      </c>
      <c r="O2065">
        <f>IF(ISBLANK('ENGAGEMENTS 2026'!C2065),"",'ENGAGEMENTS 2026'!M2065)</f>
        <v/>
      </c>
      <c r="P2065">
        <f>IF(ISBLANK('ENGAGEMENTS 2026'!C2065),"",'ENGAGEMENTS 2026'!K2065)</f>
        <v/>
      </c>
      <c r="Q2065">
        <f>IF($A2065="","",IF(OR($E2065="INFRUCTUEUX",$E2065="ANNULE"),$A2065&amp;"|"&amp;(COUNTIFS($A$2:$A2065,$A2065,$E$2:$E2065,"INFRUCTUEUX")+COUNTIFS($A$2:$A2065,$A2065,$E$2:$E2065,"ANNULE")),""))</f>
        <v/>
      </c>
    </row>
    <row r="2066">
      <c r="A2066">
        <f>IF(ISBLANK('ENGAGEMENTS 2026'!C2066),"",IF('ENGAGEMENTS 2026'!C2066="DTSI","DCT",'ENGAGEMENTS 2026'!C2066))</f>
        <v/>
      </c>
      <c r="B2066">
        <f>IF(ISBLANK('ENGAGEMENTS 2026'!C2066),"",'ENGAGEMENTS 2026'!D2066)</f>
        <v/>
      </c>
      <c r="C2066">
        <f>IF(ISBLANK('ENGAGEMENTS 2026'!C2066),"",'ENGAGEMENTS 2026'!E2066)</f>
        <v/>
      </c>
      <c r="D2066">
        <f>IF(ISBLANK('ENGAGEMENTS 2026'!C2066),"",'ENGAGEMENTS 2026'!G2066)</f>
        <v/>
      </c>
      <c r="E2066">
        <f>IF(ISBLANK('ENGAGEMENTS 2026'!C2066),"",'ENGAGEMENTS 2026'!I2066)</f>
        <v/>
      </c>
      <c r="F2066">
        <f>IF(ISBLANK('ENGAGEMENTS 2026'!C2066),"",'ENGAGEMENTS 2026'!J2066)</f>
        <v/>
      </c>
      <c r="G2066">
        <f>IF(ISBLANK('ENGAGEMENTS 2026'!C2066),"",'ENGAGEMENTS 2026'!M2066)</f>
        <v/>
      </c>
      <c r="H2066">
        <f>IF(ISBLANK('ENGAGEMENTS 2026'!C2066),"",'ENGAGEMENTS 2026'!AF2066)</f>
        <v/>
      </c>
      <c r="I2066">
        <f>IF(ISBLANK('ENGAGEMENTS 2026'!C2066),"",'ENGAGEMENTS 2026'!H2066)</f>
        <v/>
      </c>
      <c r="J2066" s="275">
        <f>IF(ISBLANK('ENGAGEMENTS 2026'!C2066),"",IF(AND(OR($E2066="INFRUCTUEUX",$E2066="ANNULE"),$C2066="AOO-M"),'ENGAGEMENTS 2026'!P2066,IF($H2066="EN COURS DE PREENGAGEMENT",'ENGAGEMENTS 2026'!O2066,IF($H2066="PREENGAGE",IF($E2066="ATTRIBUE",'ENGAGEMENTS 2026'!AE2066,'ENGAGEMENTS 2026'!O2066),'ENGAGEMENTS 2026'!AE2066))))</f>
        <v/>
      </c>
      <c r="K2066" s="604">
        <f>IF(ISBLANK('ENGAGEMENTS 2026'!W2066),"",'ENGAGEMENTS 2026'!W2066)</f>
        <v/>
      </c>
      <c r="L2066" s="276">
        <f>IF($K2066="","",TODAY()-$K2066)</f>
        <v/>
      </c>
      <c r="M2066">
        <f>IF($A2066="","",IF($H2066="ENGAGE","Engagé",IF(AND($H2066="NON ENGAGE",OR($I2066="INFRUCTUEUX",$I2066="ANNULE")),"Clôturé sans suite","En cours")))</f>
        <v/>
      </c>
      <c r="N2066">
        <f>IF(ISBLANK('ENGAGEMENTS 2026'!C2066),"",'ENGAGEMENTS 2026'!L2066)</f>
        <v/>
      </c>
      <c r="O2066">
        <f>IF(ISBLANK('ENGAGEMENTS 2026'!C2066),"",'ENGAGEMENTS 2026'!M2066)</f>
        <v/>
      </c>
      <c r="P2066">
        <f>IF(ISBLANK('ENGAGEMENTS 2026'!C2066),"",'ENGAGEMENTS 2026'!K2066)</f>
        <v/>
      </c>
      <c r="Q2066">
        <f>IF($A2066="","",IF(OR($E2066="INFRUCTUEUX",$E2066="ANNULE"),$A2066&amp;"|"&amp;(COUNTIFS($A$2:$A2066,$A2066,$E$2:$E2066,"INFRUCTUEUX")+COUNTIFS($A$2:$A2066,$A2066,$E$2:$E2066,"ANNULE")),""))</f>
        <v/>
      </c>
    </row>
    <row r="2067">
      <c r="A2067">
        <f>IF(ISBLANK('ENGAGEMENTS 2026'!C2067),"",IF('ENGAGEMENTS 2026'!C2067="DTSI","DCT",'ENGAGEMENTS 2026'!C2067))</f>
        <v/>
      </c>
      <c r="B2067">
        <f>IF(ISBLANK('ENGAGEMENTS 2026'!C2067),"",'ENGAGEMENTS 2026'!D2067)</f>
        <v/>
      </c>
      <c r="C2067">
        <f>IF(ISBLANK('ENGAGEMENTS 2026'!C2067),"",'ENGAGEMENTS 2026'!E2067)</f>
        <v/>
      </c>
      <c r="D2067">
        <f>IF(ISBLANK('ENGAGEMENTS 2026'!C2067),"",'ENGAGEMENTS 2026'!G2067)</f>
        <v/>
      </c>
      <c r="E2067">
        <f>IF(ISBLANK('ENGAGEMENTS 2026'!C2067),"",'ENGAGEMENTS 2026'!I2067)</f>
        <v/>
      </c>
      <c r="F2067">
        <f>IF(ISBLANK('ENGAGEMENTS 2026'!C2067),"",'ENGAGEMENTS 2026'!J2067)</f>
        <v/>
      </c>
      <c r="G2067">
        <f>IF(ISBLANK('ENGAGEMENTS 2026'!C2067),"",'ENGAGEMENTS 2026'!M2067)</f>
        <v/>
      </c>
      <c r="H2067">
        <f>IF(ISBLANK('ENGAGEMENTS 2026'!C2067),"",'ENGAGEMENTS 2026'!AF2067)</f>
        <v/>
      </c>
      <c r="I2067">
        <f>IF(ISBLANK('ENGAGEMENTS 2026'!C2067),"",'ENGAGEMENTS 2026'!H2067)</f>
        <v/>
      </c>
      <c r="J2067" s="275">
        <f>IF(ISBLANK('ENGAGEMENTS 2026'!C2067),"",IF(AND(OR($E2067="INFRUCTUEUX",$E2067="ANNULE"),$C2067="AOO-M"),'ENGAGEMENTS 2026'!P2067,IF($H2067="EN COURS DE PREENGAGEMENT",'ENGAGEMENTS 2026'!O2067,IF($H2067="PREENGAGE",IF($E2067="ATTRIBUE",'ENGAGEMENTS 2026'!AE2067,'ENGAGEMENTS 2026'!O2067),'ENGAGEMENTS 2026'!AE2067))))</f>
        <v/>
      </c>
      <c r="K2067" s="604">
        <f>IF(ISBLANK('ENGAGEMENTS 2026'!W2067),"",'ENGAGEMENTS 2026'!W2067)</f>
        <v/>
      </c>
      <c r="L2067" s="276">
        <f>IF($K2067="","",TODAY()-$K2067)</f>
        <v/>
      </c>
      <c r="M2067">
        <f>IF($A2067="","",IF($H2067="ENGAGE","Engagé",IF(AND($H2067="NON ENGAGE",OR($I2067="INFRUCTUEUX",$I2067="ANNULE")),"Clôturé sans suite","En cours")))</f>
        <v/>
      </c>
      <c r="N2067">
        <f>IF(ISBLANK('ENGAGEMENTS 2026'!C2067),"",'ENGAGEMENTS 2026'!L2067)</f>
        <v/>
      </c>
      <c r="O2067">
        <f>IF(ISBLANK('ENGAGEMENTS 2026'!C2067),"",'ENGAGEMENTS 2026'!M2067)</f>
        <v/>
      </c>
      <c r="P2067">
        <f>IF(ISBLANK('ENGAGEMENTS 2026'!C2067),"",'ENGAGEMENTS 2026'!K2067)</f>
        <v/>
      </c>
      <c r="Q2067">
        <f>IF($A2067="","",IF(OR($E2067="INFRUCTUEUX",$E2067="ANNULE"),$A2067&amp;"|"&amp;(COUNTIFS($A$2:$A2067,$A2067,$E$2:$E2067,"INFRUCTUEUX")+COUNTIFS($A$2:$A2067,$A2067,$E$2:$E2067,"ANNULE")),""))</f>
        <v/>
      </c>
    </row>
    <row r="2068">
      <c r="A2068">
        <f>IF(ISBLANK('ENGAGEMENTS 2026'!C2068),"",IF('ENGAGEMENTS 2026'!C2068="DTSI","DCT",'ENGAGEMENTS 2026'!C2068))</f>
        <v/>
      </c>
      <c r="B2068">
        <f>IF(ISBLANK('ENGAGEMENTS 2026'!C2068),"",'ENGAGEMENTS 2026'!D2068)</f>
        <v/>
      </c>
      <c r="C2068">
        <f>IF(ISBLANK('ENGAGEMENTS 2026'!C2068),"",'ENGAGEMENTS 2026'!E2068)</f>
        <v/>
      </c>
      <c r="D2068">
        <f>IF(ISBLANK('ENGAGEMENTS 2026'!C2068),"",'ENGAGEMENTS 2026'!G2068)</f>
        <v/>
      </c>
      <c r="E2068">
        <f>IF(ISBLANK('ENGAGEMENTS 2026'!C2068),"",'ENGAGEMENTS 2026'!I2068)</f>
        <v/>
      </c>
      <c r="F2068">
        <f>IF(ISBLANK('ENGAGEMENTS 2026'!C2068),"",'ENGAGEMENTS 2026'!J2068)</f>
        <v/>
      </c>
      <c r="G2068">
        <f>IF(ISBLANK('ENGAGEMENTS 2026'!C2068),"",'ENGAGEMENTS 2026'!M2068)</f>
        <v/>
      </c>
      <c r="H2068">
        <f>IF(ISBLANK('ENGAGEMENTS 2026'!C2068),"",'ENGAGEMENTS 2026'!AF2068)</f>
        <v/>
      </c>
      <c r="I2068">
        <f>IF(ISBLANK('ENGAGEMENTS 2026'!C2068),"",'ENGAGEMENTS 2026'!H2068)</f>
        <v/>
      </c>
      <c r="J2068" s="275">
        <f>IF(ISBLANK('ENGAGEMENTS 2026'!C2068),"",IF(AND(OR($E2068="INFRUCTUEUX",$E2068="ANNULE"),$C2068="AOO-M"),'ENGAGEMENTS 2026'!P2068,IF($H2068="EN COURS DE PREENGAGEMENT",'ENGAGEMENTS 2026'!O2068,IF($H2068="PREENGAGE",IF($E2068="ATTRIBUE",'ENGAGEMENTS 2026'!AE2068,'ENGAGEMENTS 2026'!O2068),'ENGAGEMENTS 2026'!AE2068))))</f>
        <v/>
      </c>
      <c r="K2068" s="604">
        <f>IF(ISBLANK('ENGAGEMENTS 2026'!W2068),"",'ENGAGEMENTS 2026'!W2068)</f>
        <v/>
      </c>
      <c r="L2068" s="276">
        <f>IF($K2068="","",TODAY()-$K2068)</f>
        <v/>
      </c>
      <c r="M2068">
        <f>IF($A2068="","",IF($H2068="ENGAGE","Engagé",IF(AND($H2068="NON ENGAGE",OR($I2068="INFRUCTUEUX",$I2068="ANNULE")),"Clôturé sans suite","En cours")))</f>
        <v/>
      </c>
      <c r="N2068">
        <f>IF(ISBLANK('ENGAGEMENTS 2026'!C2068),"",'ENGAGEMENTS 2026'!L2068)</f>
        <v/>
      </c>
      <c r="O2068">
        <f>IF(ISBLANK('ENGAGEMENTS 2026'!C2068),"",'ENGAGEMENTS 2026'!M2068)</f>
        <v/>
      </c>
      <c r="P2068">
        <f>IF(ISBLANK('ENGAGEMENTS 2026'!C2068),"",'ENGAGEMENTS 2026'!K2068)</f>
        <v/>
      </c>
      <c r="Q2068">
        <f>IF($A2068="","",IF(OR($E2068="INFRUCTUEUX",$E2068="ANNULE"),$A2068&amp;"|"&amp;(COUNTIFS($A$2:$A2068,$A2068,$E$2:$E2068,"INFRUCTUEUX")+COUNTIFS($A$2:$A2068,$A2068,$E$2:$E2068,"ANNULE")),""))</f>
        <v/>
      </c>
    </row>
    <row r="2069">
      <c r="A2069">
        <f>IF(ISBLANK('ENGAGEMENTS 2026'!C2069),"",IF('ENGAGEMENTS 2026'!C2069="DTSI","DCT",'ENGAGEMENTS 2026'!C2069))</f>
        <v/>
      </c>
      <c r="B2069">
        <f>IF(ISBLANK('ENGAGEMENTS 2026'!C2069),"",'ENGAGEMENTS 2026'!D2069)</f>
        <v/>
      </c>
      <c r="C2069">
        <f>IF(ISBLANK('ENGAGEMENTS 2026'!C2069),"",'ENGAGEMENTS 2026'!E2069)</f>
        <v/>
      </c>
      <c r="D2069">
        <f>IF(ISBLANK('ENGAGEMENTS 2026'!C2069),"",'ENGAGEMENTS 2026'!G2069)</f>
        <v/>
      </c>
      <c r="E2069">
        <f>IF(ISBLANK('ENGAGEMENTS 2026'!C2069),"",'ENGAGEMENTS 2026'!I2069)</f>
        <v/>
      </c>
      <c r="F2069">
        <f>IF(ISBLANK('ENGAGEMENTS 2026'!C2069),"",'ENGAGEMENTS 2026'!J2069)</f>
        <v/>
      </c>
      <c r="G2069">
        <f>IF(ISBLANK('ENGAGEMENTS 2026'!C2069),"",'ENGAGEMENTS 2026'!M2069)</f>
        <v/>
      </c>
      <c r="H2069">
        <f>IF(ISBLANK('ENGAGEMENTS 2026'!C2069),"",'ENGAGEMENTS 2026'!AF2069)</f>
        <v/>
      </c>
      <c r="I2069">
        <f>IF(ISBLANK('ENGAGEMENTS 2026'!C2069),"",'ENGAGEMENTS 2026'!H2069)</f>
        <v/>
      </c>
      <c r="J2069" s="275">
        <f>IF(ISBLANK('ENGAGEMENTS 2026'!C2069),"",IF(AND(OR($E2069="INFRUCTUEUX",$E2069="ANNULE"),$C2069="AOO-M"),'ENGAGEMENTS 2026'!P2069,IF($H2069="EN COURS DE PREENGAGEMENT",'ENGAGEMENTS 2026'!O2069,IF($H2069="PREENGAGE",IF($E2069="ATTRIBUE",'ENGAGEMENTS 2026'!AE2069,'ENGAGEMENTS 2026'!O2069),'ENGAGEMENTS 2026'!AE2069))))</f>
        <v/>
      </c>
      <c r="K2069" s="604">
        <f>IF(ISBLANK('ENGAGEMENTS 2026'!W2069),"",'ENGAGEMENTS 2026'!W2069)</f>
        <v/>
      </c>
      <c r="L2069" s="276">
        <f>IF($K2069="","",TODAY()-$K2069)</f>
        <v/>
      </c>
      <c r="M2069">
        <f>IF($A2069="","",IF($H2069="ENGAGE","Engagé",IF(AND($H2069="NON ENGAGE",OR($I2069="INFRUCTUEUX",$I2069="ANNULE")),"Clôturé sans suite","En cours")))</f>
        <v/>
      </c>
      <c r="N2069">
        <f>IF(ISBLANK('ENGAGEMENTS 2026'!C2069),"",'ENGAGEMENTS 2026'!L2069)</f>
        <v/>
      </c>
      <c r="O2069">
        <f>IF(ISBLANK('ENGAGEMENTS 2026'!C2069),"",'ENGAGEMENTS 2026'!M2069)</f>
        <v/>
      </c>
      <c r="P2069">
        <f>IF(ISBLANK('ENGAGEMENTS 2026'!C2069),"",'ENGAGEMENTS 2026'!K2069)</f>
        <v/>
      </c>
      <c r="Q2069">
        <f>IF($A2069="","",IF(OR($E2069="INFRUCTUEUX",$E2069="ANNULE"),$A2069&amp;"|"&amp;(COUNTIFS($A$2:$A2069,$A2069,$E$2:$E2069,"INFRUCTUEUX")+COUNTIFS($A$2:$A2069,$A2069,$E$2:$E2069,"ANNULE")),""))</f>
        <v/>
      </c>
    </row>
    <row r="2070">
      <c r="A2070">
        <f>IF(ISBLANK('ENGAGEMENTS 2026'!C2070),"",IF('ENGAGEMENTS 2026'!C2070="DTSI","DCT",'ENGAGEMENTS 2026'!C2070))</f>
        <v/>
      </c>
      <c r="B2070">
        <f>IF(ISBLANK('ENGAGEMENTS 2026'!C2070),"",'ENGAGEMENTS 2026'!D2070)</f>
        <v/>
      </c>
      <c r="C2070">
        <f>IF(ISBLANK('ENGAGEMENTS 2026'!C2070),"",'ENGAGEMENTS 2026'!E2070)</f>
        <v/>
      </c>
      <c r="D2070">
        <f>IF(ISBLANK('ENGAGEMENTS 2026'!C2070),"",'ENGAGEMENTS 2026'!G2070)</f>
        <v/>
      </c>
      <c r="E2070">
        <f>IF(ISBLANK('ENGAGEMENTS 2026'!C2070),"",'ENGAGEMENTS 2026'!I2070)</f>
        <v/>
      </c>
      <c r="F2070">
        <f>IF(ISBLANK('ENGAGEMENTS 2026'!C2070),"",'ENGAGEMENTS 2026'!J2070)</f>
        <v/>
      </c>
      <c r="G2070">
        <f>IF(ISBLANK('ENGAGEMENTS 2026'!C2070),"",'ENGAGEMENTS 2026'!M2070)</f>
        <v/>
      </c>
      <c r="H2070">
        <f>IF(ISBLANK('ENGAGEMENTS 2026'!C2070),"",'ENGAGEMENTS 2026'!AF2070)</f>
        <v/>
      </c>
      <c r="I2070">
        <f>IF(ISBLANK('ENGAGEMENTS 2026'!C2070),"",'ENGAGEMENTS 2026'!H2070)</f>
        <v/>
      </c>
      <c r="J2070" s="275">
        <f>IF(ISBLANK('ENGAGEMENTS 2026'!C2070),"",IF(AND(OR($E2070="INFRUCTUEUX",$E2070="ANNULE"),$C2070="AOO-M"),'ENGAGEMENTS 2026'!P2070,IF($H2070="EN COURS DE PREENGAGEMENT",'ENGAGEMENTS 2026'!O2070,IF($H2070="PREENGAGE",IF($E2070="ATTRIBUE",'ENGAGEMENTS 2026'!AE2070,'ENGAGEMENTS 2026'!O2070),'ENGAGEMENTS 2026'!AE2070))))</f>
        <v/>
      </c>
      <c r="K2070" s="604">
        <f>IF(ISBLANK('ENGAGEMENTS 2026'!W2070),"",'ENGAGEMENTS 2026'!W2070)</f>
        <v/>
      </c>
      <c r="L2070" s="276">
        <f>IF($K2070="","",TODAY()-$K2070)</f>
        <v/>
      </c>
      <c r="M2070">
        <f>IF($A2070="","",IF($H2070="ENGAGE","Engagé",IF(AND($H2070="NON ENGAGE",OR($I2070="INFRUCTUEUX",$I2070="ANNULE")),"Clôturé sans suite","En cours")))</f>
        <v/>
      </c>
      <c r="N2070">
        <f>IF(ISBLANK('ENGAGEMENTS 2026'!C2070),"",'ENGAGEMENTS 2026'!L2070)</f>
        <v/>
      </c>
      <c r="O2070">
        <f>IF(ISBLANK('ENGAGEMENTS 2026'!C2070),"",'ENGAGEMENTS 2026'!M2070)</f>
        <v/>
      </c>
      <c r="P2070">
        <f>IF(ISBLANK('ENGAGEMENTS 2026'!C2070),"",'ENGAGEMENTS 2026'!K2070)</f>
        <v/>
      </c>
      <c r="Q2070">
        <f>IF($A2070="","",IF(OR($E2070="INFRUCTUEUX",$E2070="ANNULE"),$A2070&amp;"|"&amp;(COUNTIFS($A$2:$A2070,$A2070,$E$2:$E2070,"INFRUCTUEUX")+COUNTIFS($A$2:$A2070,$A2070,$E$2:$E2070,"ANNULE")),""))</f>
        <v/>
      </c>
    </row>
    <row r="2071">
      <c r="A2071">
        <f>IF(ISBLANK('ENGAGEMENTS 2026'!C2071),"",IF('ENGAGEMENTS 2026'!C2071="DTSI","DCT",'ENGAGEMENTS 2026'!C2071))</f>
        <v/>
      </c>
      <c r="B2071">
        <f>IF(ISBLANK('ENGAGEMENTS 2026'!C2071),"",'ENGAGEMENTS 2026'!D2071)</f>
        <v/>
      </c>
      <c r="C2071">
        <f>IF(ISBLANK('ENGAGEMENTS 2026'!C2071),"",'ENGAGEMENTS 2026'!E2071)</f>
        <v/>
      </c>
      <c r="D2071">
        <f>IF(ISBLANK('ENGAGEMENTS 2026'!C2071),"",'ENGAGEMENTS 2026'!G2071)</f>
        <v/>
      </c>
      <c r="E2071">
        <f>IF(ISBLANK('ENGAGEMENTS 2026'!C2071),"",'ENGAGEMENTS 2026'!I2071)</f>
        <v/>
      </c>
      <c r="F2071">
        <f>IF(ISBLANK('ENGAGEMENTS 2026'!C2071),"",'ENGAGEMENTS 2026'!J2071)</f>
        <v/>
      </c>
      <c r="G2071">
        <f>IF(ISBLANK('ENGAGEMENTS 2026'!C2071),"",'ENGAGEMENTS 2026'!M2071)</f>
        <v/>
      </c>
      <c r="H2071">
        <f>IF(ISBLANK('ENGAGEMENTS 2026'!C2071),"",'ENGAGEMENTS 2026'!AF2071)</f>
        <v/>
      </c>
      <c r="I2071">
        <f>IF(ISBLANK('ENGAGEMENTS 2026'!C2071),"",'ENGAGEMENTS 2026'!H2071)</f>
        <v/>
      </c>
      <c r="J2071" s="275">
        <f>IF(ISBLANK('ENGAGEMENTS 2026'!C2071),"",IF(AND(OR($E2071="INFRUCTUEUX",$E2071="ANNULE"),$C2071="AOO-M"),'ENGAGEMENTS 2026'!P2071,IF($H2071="EN COURS DE PREENGAGEMENT",'ENGAGEMENTS 2026'!O2071,IF($H2071="PREENGAGE",IF($E2071="ATTRIBUE",'ENGAGEMENTS 2026'!AE2071,'ENGAGEMENTS 2026'!O2071),'ENGAGEMENTS 2026'!AE2071))))</f>
        <v/>
      </c>
      <c r="K2071" s="604">
        <f>IF(ISBLANK('ENGAGEMENTS 2026'!W2071),"",'ENGAGEMENTS 2026'!W2071)</f>
        <v/>
      </c>
      <c r="L2071" s="276">
        <f>IF($K2071="","",TODAY()-$K2071)</f>
        <v/>
      </c>
      <c r="M2071">
        <f>IF($A2071="","",IF($H2071="ENGAGE","Engagé",IF(AND($H2071="NON ENGAGE",OR($I2071="INFRUCTUEUX",$I2071="ANNULE")),"Clôturé sans suite","En cours")))</f>
        <v/>
      </c>
      <c r="N2071">
        <f>IF(ISBLANK('ENGAGEMENTS 2026'!C2071),"",'ENGAGEMENTS 2026'!L2071)</f>
        <v/>
      </c>
      <c r="O2071">
        <f>IF(ISBLANK('ENGAGEMENTS 2026'!C2071),"",'ENGAGEMENTS 2026'!M2071)</f>
        <v/>
      </c>
      <c r="P2071">
        <f>IF(ISBLANK('ENGAGEMENTS 2026'!C2071),"",'ENGAGEMENTS 2026'!K2071)</f>
        <v/>
      </c>
      <c r="Q2071">
        <f>IF($A2071="","",IF(OR($E2071="INFRUCTUEUX",$E2071="ANNULE"),$A2071&amp;"|"&amp;(COUNTIFS($A$2:$A2071,$A2071,$E$2:$E2071,"INFRUCTUEUX")+COUNTIFS($A$2:$A2071,$A2071,$E$2:$E2071,"ANNULE")),""))</f>
        <v/>
      </c>
    </row>
    <row r="2072">
      <c r="A2072">
        <f>IF(ISBLANK('ENGAGEMENTS 2026'!C2072),"",IF('ENGAGEMENTS 2026'!C2072="DTSI","DCT",'ENGAGEMENTS 2026'!C2072))</f>
        <v/>
      </c>
      <c r="B2072">
        <f>IF(ISBLANK('ENGAGEMENTS 2026'!C2072),"",'ENGAGEMENTS 2026'!D2072)</f>
        <v/>
      </c>
      <c r="C2072">
        <f>IF(ISBLANK('ENGAGEMENTS 2026'!C2072),"",'ENGAGEMENTS 2026'!E2072)</f>
        <v/>
      </c>
      <c r="D2072">
        <f>IF(ISBLANK('ENGAGEMENTS 2026'!C2072),"",'ENGAGEMENTS 2026'!G2072)</f>
        <v/>
      </c>
      <c r="E2072">
        <f>IF(ISBLANK('ENGAGEMENTS 2026'!C2072),"",'ENGAGEMENTS 2026'!I2072)</f>
        <v/>
      </c>
      <c r="F2072">
        <f>IF(ISBLANK('ENGAGEMENTS 2026'!C2072),"",'ENGAGEMENTS 2026'!J2072)</f>
        <v/>
      </c>
      <c r="G2072">
        <f>IF(ISBLANK('ENGAGEMENTS 2026'!C2072),"",'ENGAGEMENTS 2026'!M2072)</f>
        <v/>
      </c>
      <c r="H2072">
        <f>IF(ISBLANK('ENGAGEMENTS 2026'!C2072),"",'ENGAGEMENTS 2026'!AF2072)</f>
        <v/>
      </c>
      <c r="I2072">
        <f>IF(ISBLANK('ENGAGEMENTS 2026'!C2072),"",'ENGAGEMENTS 2026'!H2072)</f>
        <v/>
      </c>
      <c r="J2072" s="275">
        <f>IF(ISBLANK('ENGAGEMENTS 2026'!C2072),"",IF(AND(OR($E2072="INFRUCTUEUX",$E2072="ANNULE"),$C2072="AOO-M"),'ENGAGEMENTS 2026'!P2072,IF($H2072="EN COURS DE PREENGAGEMENT",'ENGAGEMENTS 2026'!O2072,IF($H2072="PREENGAGE",IF($E2072="ATTRIBUE",'ENGAGEMENTS 2026'!AE2072,'ENGAGEMENTS 2026'!O2072),'ENGAGEMENTS 2026'!AE2072))))</f>
        <v/>
      </c>
      <c r="K2072" s="604">
        <f>IF(ISBLANK('ENGAGEMENTS 2026'!W2072),"",'ENGAGEMENTS 2026'!W2072)</f>
        <v/>
      </c>
      <c r="L2072" s="276">
        <f>IF($K2072="","",TODAY()-$K2072)</f>
        <v/>
      </c>
      <c r="M2072">
        <f>IF($A2072="","",IF($H2072="ENGAGE","Engagé",IF(AND($H2072="NON ENGAGE",OR($I2072="INFRUCTUEUX",$I2072="ANNULE")),"Clôturé sans suite","En cours")))</f>
        <v/>
      </c>
      <c r="N2072">
        <f>IF(ISBLANK('ENGAGEMENTS 2026'!C2072),"",'ENGAGEMENTS 2026'!L2072)</f>
        <v/>
      </c>
      <c r="O2072">
        <f>IF(ISBLANK('ENGAGEMENTS 2026'!C2072),"",'ENGAGEMENTS 2026'!M2072)</f>
        <v/>
      </c>
      <c r="P2072">
        <f>IF(ISBLANK('ENGAGEMENTS 2026'!C2072),"",'ENGAGEMENTS 2026'!K2072)</f>
        <v/>
      </c>
      <c r="Q2072">
        <f>IF($A2072="","",IF(OR($E2072="INFRUCTUEUX",$E2072="ANNULE"),$A2072&amp;"|"&amp;(COUNTIFS($A$2:$A2072,$A2072,$E$2:$E2072,"INFRUCTUEUX")+COUNTIFS($A$2:$A2072,$A2072,$E$2:$E2072,"ANNULE")),""))</f>
        <v/>
      </c>
    </row>
    <row r="2073">
      <c r="A2073">
        <f>IF(ISBLANK('ENGAGEMENTS 2026'!C2073),"",IF('ENGAGEMENTS 2026'!C2073="DTSI","DCT",'ENGAGEMENTS 2026'!C2073))</f>
        <v/>
      </c>
      <c r="B2073">
        <f>IF(ISBLANK('ENGAGEMENTS 2026'!C2073),"",'ENGAGEMENTS 2026'!D2073)</f>
        <v/>
      </c>
      <c r="C2073">
        <f>IF(ISBLANK('ENGAGEMENTS 2026'!C2073),"",'ENGAGEMENTS 2026'!E2073)</f>
        <v/>
      </c>
      <c r="D2073">
        <f>IF(ISBLANK('ENGAGEMENTS 2026'!C2073),"",'ENGAGEMENTS 2026'!G2073)</f>
        <v/>
      </c>
      <c r="E2073">
        <f>IF(ISBLANK('ENGAGEMENTS 2026'!C2073),"",'ENGAGEMENTS 2026'!I2073)</f>
        <v/>
      </c>
      <c r="F2073">
        <f>IF(ISBLANK('ENGAGEMENTS 2026'!C2073),"",'ENGAGEMENTS 2026'!J2073)</f>
        <v/>
      </c>
      <c r="G2073">
        <f>IF(ISBLANK('ENGAGEMENTS 2026'!C2073),"",'ENGAGEMENTS 2026'!M2073)</f>
        <v/>
      </c>
      <c r="H2073">
        <f>IF(ISBLANK('ENGAGEMENTS 2026'!C2073),"",'ENGAGEMENTS 2026'!AF2073)</f>
        <v/>
      </c>
      <c r="I2073">
        <f>IF(ISBLANK('ENGAGEMENTS 2026'!C2073),"",'ENGAGEMENTS 2026'!H2073)</f>
        <v/>
      </c>
      <c r="J2073" s="275">
        <f>IF(ISBLANK('ENGAGEMENTS 2026'!C2073),"",IF(AND(OR($E2073="INFRUCTUEUX",$E2073="ANNULE"),$C2073="AOO-M"),'ENGAGEMENTS 2026'!P2073,IF($H2073="EN COURS DE PREENGAGEMENT",'ENGAGEMENTS 2026'!O2073,IF($H2073="PREENGAGE",IF($E2073="ATTRIBUE",'ENGAGEMENTS 2026'!AE2073,'ENGAGEMENTS 2026'!O2073),'ENGAGEMENTS 2026'!AE2073))))</f>
        <v/>
      </c>
      <c r="K2073" s="604">
        <f>IF(ISBLANK('ENGAGEMENTS 2026'!W2073),"",'ENGAGEMENTS 2026'!W2073)</f>
        <v/>
      </c>
      <c r="L2073" s="276">
        <f>IF($K2073="","",TODAY()-$K2073)</f>
        <v/>
      </c>
      <c r="M2073">
        <f>IF($A2073="","",IF($H2073="ENGAGE","Engagé",IF(AND($H2073="NON ENGAGE",OR($I2073="INFRUCTUEUX",$I2073="ANNULE")),"Clôturé sans suite","En cours")))</f>
        <v/>
      </c>
      <c r="N2073">
        <f>IF(ISBLANK('ENGAGEMENTS 2026'!C2073),"",'ENGAGEMENTS 2026'!L2073)</f>
        <v/>
      </c>
      <c r="O2073">
        <f>IF(ISBLANK('ENGAGEMENTS 2026'!C2073),"",'ENGAGEMENTS 2026'!M2073)</f>
        <v/>
      </c>
      <c r="P2073">
        <f>IF(ISBLANK('ENGAGEMENTS 2026'!C2073),"",'ENGAGEMENTS 2026'!K2073)</f>
        <v/>
      </c>
      <c r="Q2073">
        <f>IF($A2073="","",IF(OR($E2073="INFRUCTUEUX",$E2073="ANNULE"),$A2073&amp;"|"&amp;(COUNTIFS($A$2:$A2073,$A2073,$E$2:$E2073,"INFRUCTUEUX")+COUNTIFS($A$2:$A2073,$A2073,$E$2:$E2073,"ANNULE")),""))</f>
        <v/>
      </c>
    </row>
    <row r="2074">
      <c r="A2074">
        <f>IF(ISBLANK('ENGAGEMENTS 2026'!C2074),"",IF('ENGAGEMENTS 2026'!C2074="DTSI","DCT",'ENGAGEMENTS 2026'!C2074))</f>
        <v/>
      </c>
      <c r="B2074">
        <f>IF(ISBLANK('ENGAGEMENTS 2026'!C2074),"",'ENGAGEMENTS 2026'!D2074)</f>
        <v/>
      </c>
      <c r="C2074">
        <f>IF(ISBLANK('ENGAGEMENTS 2026'!C2074),"",'ENGAGEMENTS 2026'!E2074)</f>
        <v/>
      </c>
      <c r="D2074">
        <f>IF(ISBLANK('ENGAGEMENTS 2026'!C2074),"",'ENGAGEMENTS 2026'!G2074)</f>
        <v/>
      </c>
      <c r="E2074">
        <f>IF(ISBLANK('ENGAGEMENTS 2026'!C2074),"",'ENGAGEMENTS 2026'!I2074)</f>
        <v/>
      </c>
      <c r="F2074">
        <f>IF(ISBLANK('ENGAGEMENTS 2026'!C2074),"",'ENGAGEMENTS 2026'!J2074)</f>
        <v/>
      </c>
      <c r="G2074">
        <f>IF(ISBLANK('ENGAGEMENTS 2026'!C2074),"",'ENGAGEMENTS 2026'!M2074)</f>
        <v/>
      </c>
      <c r="H2074">
        <f>IF(ISBLANK('ENGAGEMENTS 2026'!C2074),"",'ENGAGEMENTS 2026'!AF2074)</f>
        <v/>
      </c>
      <c r="I2074">
        <f>IF(ISBLANK('ENGAGEMENTS 2026'!C2074),"",'ENGAGEMENTS 2026'!H2074)</f>
        <v/>
      </c>
      <c r="J2074" s="275">
        <f>IF(ISBLANK('ENGAGEMENTS 2026'!C2074),"",IF(AND(OR($E2074="INFRUCTUEUX",$E2074="ANNULE"),$C2074="AOO-M"),'ENGAGEMENTS 2026'!P2074,IF($H2074="EN COURS DE PREENGAGEMENT",'ENGAGEMENTS 2026'!O2074,IF($H2074="PREENGAGE",IF($E2074="ATTRIBUE",'ENGAGEMENTS 2026'!AE2074,'ENGAGEMENTS 2026'!O2074),'ENGAGEMENTS 2026'!AE2074))))</f>
        <v/>
      </c>
      <c r="K2074" s="604">
        <f>IF(ISBLANK('ENGAGEMENTS 2026'!W2074),"",'ENGAGEMENTS 2026'!W2074)</f>
        <v/>
      </c>
      <c r="L2074" s="276">
        <f>IF($K2074="","",TODAY()-$K2074)</f>
        <v/>
      </c>
      <c r="M2074">
        <f>IF($A2074="","",IF($H2074="ENGAGE","Engagé",IF(AND($H2074="NON ENGAGE",OR($I2074="INFRUCTUEUX",$I2074="ANNULE")),"Clôturé sans suite","En cours")))</f>
        <v/>
      </c>
      <c r="N2074">
        <f>IF(ISBLANK('ENGAGEMENTS 2026'!C2074),"",'ENGAGEMENTS 2026'!L2074)</f>
        <v/>
      </c>
      <c r="O2074">
        <f>IF(ISBLANK('ENGAGEMENTS 2026'!C2074),"",'ENGAGEMENTS 2026'!M2074)</f>
        <v/>
      </c>
      <c r="P2074">
        <f>IF(ISBLANK('ENGAGEMENTS 2026'!C2074),"",'ENGAGEMENTS 2026'!K2074)</f>
        <v/>
      </c>
      <c r="Q2074">
        <f>IF($A2074="","",IF(OR($E2074="INFRUCTUEUX",$E2074="ANNULE"),$A2074&amp;"|"&amp;(COUNTIFS($A$2:$A2074,$A2074,$E$2:$E2074,"INFRUCTUEUX")+COUNTIFS($A$2:$A2074,$A2074,$E$2:$E2074,"ANNULE")),""))</f>
        <v/>
      </c>
    </row>
    <row r="2075">
      <c r="A2075">
        <f>IF(ISBLANK('ENGAGEMENTS 2026'!C2075),"",IF('ENGAGEMENTS 2026'!C2075="DTSI","DCT",'ENGAGEMENTS 2026'!C2075))</f>
        <v/>
      </c>
      <c r="B2075">
        <f>IF(ISBLANK('ENGAGEMENTS 2026'!C2075),"",'ENGAGEMENTS 2026'!D2075)</f>
        <v/>
      </c>
      <c r="C2075">
        <f>IF(ISBLANK('ENGAGEMENTS 2026'!C2075),"",'ENGAGEMENTS 2026'!E2075)</f>
        <v/>
      </c>
      <c r="D2075">
        <f>IF(ISBLANK('ENGAGEMENTS 2026'!C2075),"",'ENGAGEMENTS 2026'!G2075)</f>
        <v/>
      </c>
      <c r="E2075">
        <f>IF(ISBLANK('ENGAGEMENTS 2026'!C2075),"",'ENGAGEMENTS 2026'!I2075)</f>
        <v/>
      </c>
      <c r="F2075">
        <f>IF(ISBLANK('ENGAGEMENTS 2026'!C2075),"",'ENGAGEMENTS 2026'!J2075)</f>
        <v/>
      </c>
      <c r="G2075">
        <f>IF(ISBLANK('ENGAGEMENTS 2026'!C2075),"",'ENGAGEMENTS 2026'!M2075)</f>
        <v/>
      </c>
      <c r="H2075">
        <f>IF(ISBLANK('ENGAGEMENTS 2026'!C2075),"",'ENGAGEMENTS 2026'!AF2075)</f>
        <v/>
      </c>
      <c r="I2075">
        <f>IF(ISBLANK('ENGAGEMENTS 2026'!C2075),"",'ENGAGEMENTS 2026'!H2075)</f>
        <v/>
      </c>
      <c r="J2075" s="275">
        <f>IF(ISBLANK('ENGAGEMENTS 2026'!C2075),"",IF(AND(OR($E2075="INFRUCTUEUX",$E2075="ANNULE"),$C2075="AOO-M"),'ENGAGEMENTS 2026'!P2075,IF($H2075="EN COURS DE PREENGAGEMENT",'ENGAGEMENTS 2026'!O2075,IF($H2075="PREENGAGE",IF($E2075="ATTRIBUE",'ENGAGEMENTS 2026'!AE2075,'ENGAGEMENTS 2026'!O2075),'ENGAGEMENTS 2026'!AE2075))))</f>
        <v/>
      </c>
      <c r="K2075" s="604">
        <f>IF(ISBLANK('ENGAGEMENTS 2026'!W2075),"",'ENGAGEMENTS 2026'!W2075)</f>
        <v/>
      </c>
      <c r="L2075" s="276">
        <f>IF($K2075="","",TODAY()-$K2075)</f>
        <v/>
      </c>
      <c r="M2075">
        <f>IF($A2075="","",IF($H2075="ENGAGE","Engagé",IF(AND($H2075="NON ENGAGE",OR($I2075="INFRUCTUEUX",$I2075="ANNULE")),"Clôturé sans suite","En cours")))</f>
        <v/>
      </c>
      <c r="N2075">
        <f>IF(ISBLANK('ENGAGEMENTS 2026'!C2075),"",'ENGAGEMENTS 2026'!L2075)</f>
        <v/>
      </c>
      <c r="O2075">
        <f>IF(ISBLANK('ENGAGEMENTS 2026'!C2075),"",'ENGAGEMENTS 2026'!M2075)</f>
        <v/>
      </c>
      <c r="P2075">
        <f>IF(ISBLANK('ENGAGEMENTS 2026'!C2075),"",'ENGAGEMENTS 2026'!K2075)</f>
        <v/>
      </c>
      <c r="Q2075">
        <f>IF($A2075="","",IF(OR($E2075="INFRUCTUEUX",$E2075="ANNULE"),$A2075&amp;"|"&amp;(COUNTIFS($A$2:$A2075,$A2075,$E$2:$E2075,"INFRUCTUEUX")+COUNTIFS($A$2:$A2075,$A2075,$E$2:$E2075,"ANNULE")),""))</f>
        <v/>
      </c>
    </row>
    <row r="2076">
      <c r="A2076">
        <f>IF(ISBLANK('ENGAGEMENTS 2026'!C2076),"",IF('ENGAGEMENTS 2026'!C2076="DTSI","DCT",'ENGAGEMENTS 2026'!C2076))</f>
        <v/>
      </c>
      <c r="B2076">
        <f>IF(ISBLANK('ENGAGEMENTS 2026'!C2076),"",'ENGAGEMENTS 2026'!D2076)</f>
        <v/>
      </c>
      <c r="C2076">
        <f>IF(ISBLANK('ENGAGEMENTS 2026'!C2076),"",'ENGAGEMENTS 2026'!E2076)</f>
        <v/>
      </c>
      <c r="D2076">
        <f>IF(ISBLANK('ENGAGEMENTS 2026'!C2076),"",'ENGAGEMENTS 2026'!G2076)</f>
        <v/>
      </c>
      <c r="E2076">
        <f>IF(ISBLANK('ENGAGEMENTS 2026'!C2076),"",'ENGAGEMENTS 2026'!I2076)</f>
        <v/>
      </c>
      <c r="F2076">
        <f>IF(ISBLANK('ENGAGEMENTS 2026'!C2076),"",'ENGAGEMENTS 2026'!J2076)</f>
        <v/>
      </c>
      <c r="G2076">
        <f>IF(ISBLANK('ENGAGEMENTS 2026'!C2076),"",'ENGAGEMENTS 2026'!M2076)</f>
        <v/>
      </c>
      <c r="H2076">
        <f>IF(ISBLANK('ENGAGEMENTS 2026'!C2076),"",'ENGAGEMENTS 2026'!AF2076)</f>
        <v/>
      </c>
      <c r="I2076">
        <f>IF(ISBLANK('ENGAGEMENTS 2026'!C2076),"",'ENGAGEMENTS 2026'!H2076)</f>
        <v/>
      </c>
      <c r="J2076" s="275">
        <f>IF(ISBLANK('ENGAGEMENTS 2026'!C2076),"",IF(AND(OR($E2076="INFRUCTUEUX",$E2076="ANNULE"),$C2076="AOO-M"),'ENGAGEMENTS 2026'!P2076,IF($H2076="EN COURS DE PREENGAGEMENT",'ENGAGEMENTS 2026'!O2076,IF($H2076="PREENGAGE",IF($E2076="ATTRIBUE",'ENGAGEMENTS 2026'!AE2076,'ENGAGEMENTS 2026'!O2076),'ENGAGEMENTS 2026'!AE2076))))</f>
        <v/>
      </c>
      <c r="K2076" s="604">
        <f>IF(ISBLANK('ENGAGEMENTS 2026'!W2076),"",'ENGAGEMENTS 2026'!W2076)</f>
        <v/>
      </c>
      <c r="L2076" s="276">
        <f>IF($K2076="","",TODAY()-$K2076)</f>
        <v/>
      </c>
      <c r="M2076">
        <f>IF($A2076="","",IF($H2076="ENGAGE","Engagé",IF(AND($H2076="NON ENGAGE",OR($I2076="INFRUCTUEUX",$I2076="ANNULE")),"Clôturé sans suite","En cours")))</f>
        <v/>
      </c>
      <c r="N2076">
        <f>IF(ISBLANK('ENGAGEMENTS 2026'!C2076),"",'ENGAGEMENTS 2026'!L2076)</f>
        <v/>
      </c>
      <c r="O2076">
        <f>IF(ISBLANK('ENGAGEMENTS 2026'!C2076),"",'ENGAGEMENTS 2026'!M2076)</f>
        <v/>
      </c>
      <c r="P2076">
        <f>IF(ISBLANK('ENGAGEMENTS 2026'!C2076),"",'ENGAGEMENTS 2026'!K2076)</f>
        <v/>
      </c>
      <c r="Q2076">
        <f>IF($A2076="","",IF(OR($E2076="INFRUCTUEUX",$E2076="ANNULE"),$A2076&amp;"|"&amp;(COUNTIFS($A$2:$A2076,$A2076,$E$2:$E2076,"INFRUCTUEUX")+COUNTIFS($A$2:$A2076,$A2076,$E$2:$E2076,"ANNULE")),""))</f>
        <v/>
      </c>
    </row>
    <row r="2077">
      <c r="A2077">
        <f>IF(ISBLANK('ENGAGEMENTS 2026'!C2077),"",IF('ENGAGEMENTS 2026'!C2077="DTSI","DCT",'ENGAGEMENTS 2026'!C2077))</f>
        <v/>
      </c>
      <c r="B2077">
        <f>IF(ISBLANK('ENGAGEMENTS 2026'!C2077),"",'ENGAGEMENTS 2026'!D2077)</f>
        <v/>
      </c>
      <c r="C2077">
        <f>IF(ISBLANK('ENGAGEMENTS 2026'!C2077),"",'ENGAGEMENTS 2026'!E2077)</f>
        <v/>
      </c>
      <c r="D2077">
        <f>IF(ISBLANK('ENGAGEMENTS 2026'!C2077),"",'ENGAGEMENTS 2026'!G2077)</f>
        <v/>
      </c>
      <c r="E2077">
        <f>IF(ISBLANK('ENGAGEMENTS 2026'!C2077),"",'ENGAGEMENTS 2026'!I2077)</f>
        <v/>
      </c>
      <c r="F2077">
        <f>IF(ISBLANK('ENGAGEMENTS 2026'!C2077),"",'ENGAGEMENTS 2026'!J2077)</f>
        <v/>
      </c>
      <c r="G2077">
        <f>IF(ISBLANK('ENGAGEMENTS 2026'!C2077),"",'ENGAGEMENTS 2026'!M2077)</f>
        <v/>
      </c>
      <c r="H2077">
        <f>IF(ISBLANK('ENGAGEMENTS 2026'!C2077),"",'ENGAGEMENTS 2026'!AF2077)</f>
        <v/>
      </c>
      <c r="I2077">
        <f>IF(ISBLANK('ENGAGEMENTS 2026'!C2077),"",'ENGAGEMENTS 2026'!H2077)</f>
        <v/>
      </c>
      <c r="J2077" s="275">
        <f>IF(ISBLANK('ENGAGEMENTS 2026'!C2077),"",IF(AND(OR($E2077="INFRUCTUEUX",$E2077="ANNULE"),$C2077="AOO-M"),'ENGAGEMENTS 2026'!P2077,IF($H2077="EN COURS DE PREENGAGEMENT",'ENGAGEMENTS 2026'!O2077,IF($H2077="PREENGAGE",IF($E2077="ATTRIBUE",'ENGAGEMENTS 2026'!AE2077,'ENGAGEMENTS 2026'!O2077),'ENGAGEMENTS 2026'!AE2077))))</f>
        <v/>
      </c>
      <c r="K2077" s="604">
        <f>IF(ISBLANK('ENGAGEMENTS 2026'!W2077),"",'ENGAGEMENTS 2026'!W2077)</f>
        <v/>
      </c>
      <c r="L2077" s="276">
        <f>IF($K2077="","",TODAY()-$K2077)</f>
        <v/>
      </c>
      <c r="M2077">
        <f>IF($A2077="","",IF($H2077="ENGAGE","Engagé",IF(AND($H2077="NON ENGAGE",OR($I2077="INFRUCTUEUX",$I2077="ANNULE")),"Clôturé sans suite","En cours")))</f>
        <v/>
      </c>
      <c r="N2077">
        <f>IF(ISBLANK('ENGAGEMENTS 2026'!C2077),"",'ENGAGEMENTS 2026'!L2077)</f>
        <v/>
      </c>
      <c r="O2077">
        <f>IF(ISBLANK('ENGAGEMENTS 2026'!C2077),"",'ENGAGEMENTS 2026'!M2077)</f>
        <v/>
      </c>
      <c r="P2077">
        <f>IF(ISBLANK('ENGAGEMENTS 2026'!C2077),"",'ENGAGEMENTS 2026'!K2077)</f>
        <v/>
      </c>
      <c r="Q2077">
        <f>IF($A2077="","",IF(OR($E2077="INFRUCTUEUX",$E2077="ANNULE"),$A2077&amp;"|"&amp;(COUNTIFS($A$2:$A2077,$A2077,$E$2:$E2077,"INFRUCTUEUX")+COUNTIFS($A$2:$A2077,$A2077,$E$2:$E2077,"ANNULE")),""))</f>
        <v/>
      </c>
    </row>
    <row r="2078">
      <c r="A2078">
        <f>IF(ISBLANK('ENGAGEMENTS 2026'!C2078),"",IF('ENGAGEMENTS 2026'!C2078="DTSI","DCT",'ENGAGEMENTS 2026'!C2078))</f>
        <v/>
      </c>
      <c r="B2078">
        <f>IF(ISBLANK('ENGAGEMENTS 2026'!C2078),"",'ENGAGEMENTS 2026'!D2078)</f>
        <v/>
      </c>
      <c r="C2078">
        <f>IF(ISBLANK('ENGAGEMENTS 2026'!C2078),"",'ENGAGEMENTS 2026'!E2078)</f>
        <v/>
      </c>
      <c r="D2078">
        <f>IF(ISBLANK('ENGAGEMENTS 2026'!C2078),"",'ENGAGEMENTS 2026'!G2078)</f>
        <v/>
      </c>
      <c r="E2078">
        <f>IF(ISBLANK('ENGAGEMENTS 2026'!C2078),"",'ENGAGEMENTS 2026'!I2078)</f>
        <v/>
      </c>
      <c r="F2078">
        <f>IF(ISBLANK('ENGAGEMENTS 2026'!C2078),"",'ENGAGEMENTS 2026'!J2078)</f>
        <v/>
      </c>
      <c r="G2078">
        <f>IF(ISBLANK('ENGAGEMENTS 2026'!C2078),"",'ENGAGEMENTS 2026'!M2078)</f>
        <v/>
      </c>
      <c r="H2078">
        <f>IF(ISBLANK('ENGAGEMENTS 2026'!C2078),"",'ENGAGEMENTS 2026'!AF2078)</f>
        <v/>
      </c>
      <c r="I2078">
        <f>IF(ISBLANK('ENGAGEMENTS 2026'!C2078),"",'ENGAGEMENTS 2026'!H2078)</f>
        <v/>
      </c>
      <c r="J2078" s="275">
        <f>IF(ISBLANK('ENGAGEMENTS 2026'!C2078),"",IF(AND(OR($E2078="INFRUCTUEUX",$E2078="ANNULE"),$C2078="AOO-M"),'ENGAGEMENTS 2026'!P2078,IF($H2078="EN COURS DE PREENGAGEMENT",'ENGAGEMENTS 2026'!O2078,IF($H2078="PREENGAGE",IF($E2078="ATTRIBUE",'ENGAGEMENTS 2026'!AE2078,'ENGAGEMENTS 2026'!O2078),'ENGAGEMENTS 2026'!AE2078))))</f>
        <v/>
      </c>
      <c r="K2078" s="604">
        <f>IF(ISBLANK('ENGAGEMENTS 2026'!W2078),"",'ENGAGEMENTS 2026'!W2078)</f>
        <v/>
      </c>
      <c r="L2078" s="276">
        <f>IF($K2078="","",TODAY()-$K2078)</f>
        <v/>
      </c>
      <c r="M2078">
        <f>IF($A2078="","",IF($H2078="ENGAGE","Engagé",IF(AND($H2078="NON ENGAGE",OR($I2078="INFRUCTUEUX",$I2078="ANNULE")),"Clôturé sans suite","En cours")))</f>
        <v/>
      </c>
      <c r="N2078">
        <f>IF(ISBLANK('ENGAGEMENTS 2026'!C2078),"",'ENGAGEMENTS 2026'!L2078)</f>
        <v/>
      </c>
      <c r="O2078">
        <f>IF(ISBLANK('ENGAGEMENTS 2026'!C2078),"",'ENGAGEMENTS 2026'!M2078)</f>
        <v/>
      </c>
      <c r="P2078">
        <f>IF(ISBLANK('ENGAGEMENTS 2026'!C2078),"",'ENGAGEMENTS 2026'!K2078)</f>
        <v/>
      </c>
      <c r="Q2078">
        <f>IF($A2078="","",IF(OR($E2078="INFRUCTUEUX",$E2078="ANNULE"),$A2078&amp;"|"&amp;(COUNTIFS($A$2:$A2078,$A2078,$E$2:$E2078,"INFRUCTUEUX")+COUNTIFS($A$2:$A2078,$A2078,$E$2:$E2078,"ANNULE")),""))</f>
        <v/>
      </c>
    </row>
    <row r="2079">
      <c r="A2079">
        <f>IF(ISBLANK('ENGAGEMENTS 2026'!C2079),"",IF('ENGAGEMENTS 2026'!C2079="DTSI","DCT",'ENGAGEMENTS 2026'!C2079))</f>
        <v/>
      </c>
      <c r="B2079">
        <f>IF(ISBLANK('ENGAGEMENTS 2026'!C2079),"",'ENGAGEMENTS 2026'!D2079)</f>
        <v/>
      </c>
      <c r="C2079">
        <f>IF(ISBLANK('ENGAGEMENTS 2026'!C2079),"",'ENGAGEMENTS 2026'!E2079)</f>
        <v/>
      </c>
      <c r="D2079">
        <f>IF(ISBLANK('ENGAGEMENTS 2026'!C2079),"",'ENGAGEMENTS 2026'!G2079)</f>
        <v/>
      </c>
      <c r="E2079">
        <f>IF(ISBLANK('ENGAGEMENTS 2026'!C2079),"",'ENGAGEMENTS 2026'!I2079)</f>
        <v/>
      </c>
      <c r="F2079">
        <f>IF(ISBLANK('ENGAGEMENTS 2026'!C2079),"",'ENGAGEMENTS 2026'!J2079)</f>
        <v/>
      </c>
      <c r="G2079">
        <f>IF(ISBLANK('ENGAGEMENTS 2026'!C2079),"",'ENGAGEMENTS 2026'!M2079)</f>
        <v/>
      </c>
      <c r="H2079">
        <f>IF(ISBLANK('ENGAGEMENTS 2026'!C2079),"",'ENGAGEMENTS 2026'!AF2079)</f>
        <v/>
      </c>
      <c r="I2079">
        <f>IF(ISBLANK('ENGAGEMENTS 2026'!C2079),"",'ENGAGEMENTS 2026'!H2079)</f>
        <v/>
      </c>
      <c r="J2079" s="275">
        <f>IF(ISBLANK('ENGAGEMENTS 2026'!C2079),"",IF(AND(OR($E2079="INFRUCTUEUX",$E2079="ANNULE"),$C2079="AOO-M"),'ENGAGEMENTS 2026'!P2079,IF($H2079="EN COURS DE PREENGAGEMENT",'ENGAGEMENTS 2026'!O2079,IF($H2079="PREENGAGE",IF($E2079="ATTRIBUE",'ENGAGEMENTS 2026'!AE2079,'ENGAGEMENTS 2026'!O2079),'ENGAGEMENTS 2026'!AE2079))))</f>
        <v/>
      </c>
      <c r="K2079" s="604">
        <f>IF(ISBLANK('ENGAGEMENTS 2026'!W2079),"",'ENGAGEMENTS 2026'!W2079)</f>
        <v/>
      </c>
      <c r="L2079" s="276">
        <f>IF($K2079="","",TODAY()-$K2079)</f>
        <v/>
      </c>
      <c r="M2079">
        <f>IF($A2079="","",IF($H2079="ENGAGE","Engagé",IF(AND($H2079="NON ENGAGE",OR($I2079="INFRUCTUEUX",$I2079="ANNULE")),"Clôturé sans suite","En cours")))</f>
        <v/>
      </c>
      <c r="N2079">
        <f>IF(ISBLANK('ENGAGEMENTS 2026'!C2079),"",'ENGAGEMENTS 2026'!L2079)</f>
        <v/>
      </c>
      <c r="O2079">
        <f>IF(ISBLANK('ENGAGEMENTS 2026'!C2079),"",'ENGAGEMENTS 2026'!M2079)</f>
        <v/>
      </c>
      <c r="P2079">
        <f>IF(ISBLANK('ENGAGEMENTS 2026'!C2079),"",'ENGAGEMENTS 2026'!K2079)</f>
        <v/>
      </c>
      <c r="Q2079">
        <f>IF($A2079="","",IF(OR($E2079="INFRUCTUEUX",$E2079="ANNULE"),$A2079&amp;"|"&amp;(COUNTIFS($A$2:$A2079,$A2079,$E$2:$E2079,"INFRUCTUEUX")+COUNTIFS($A$2:$A2079,$A2079,$E$2:$E2079,"ANNULE")),""))</f>
        <v/>
      </c>
    </row>
    <row r="2080">
      <c r="A2080">
        <f>IF(ISBLANK('ENGAGEMENTS 2026'!C2080),"",IF('ENGAGEMENTS 2026'!C2080="DTSI","DCT",'ENGAGEMENTS 2026'!C2080))</f>
        <v/>
      </c>
      <c r="B2080">
        <f>IF(ISBLANK('ENGAGEMENTS 2026'!C2080),"",'ENGAGEMENTS 2026'!D2080)</f>
        <v/>
      </c>
      <c r="C2080">
        <f>IF(ISBLANK('ENGAGEMENTS 2026'!C2080),"",'ENGAGEMENTS 2026'!E2080)</f>
        <v/>
      </c>
      <c r="D2080">
        <f>IF(ISBLANK('ENGAGEMENTS 2026'!C2080),"",'ENGAGEMENTS 2026'!G2080)</f>
        <v/>
      </c>
      <c r="E2080">
        <f>IF(ISBLANK('ENGAGEMENTS 2026'!C2080),"",'ENGAGEMENTS 2026'!I2080)</f>
        <v/>
      </c>
      <c r="F2080">
        <f>IF(ISBLANK('ENGAGEMENTS 2026'!C2080),"",'ENGAGEMENTS 2026'!J2080)</f>
        <v/>
      </c>
      <c r="G2080">
        <f>IF(ISBLANK('ENGAGEMENTS 2026'!C2080),"",'ENGAGEMENTS 2026'!M2080)</f>
        <v/>
      </c>
      <c r="H2080">
        <f>IF(ISBLANK('ENGAGEMENTS 2026'!C2080),"",'ENGAGEMENTS 2026'!AF2080)</f>
        <v/>
      </c>
      <c r="I2080">
        <f>IF(ISBLANK('ENGAGEMENTS 2026'!C2080),"",'ENGAGEMENTS 2026'!H2080)</f>
        <v/>
      </c>
      <c r="J2080" s="275">
        <f>IF(ISBLANK('ENGAGEMENTS 2026'!C2080),"",IF(AND(OR($E2080="INFRUCTUEUX",$E2080="ANNULE"),$C2080="AOO-M"),'ENGAGEMENTS 2026'!P2080,IF($H2080="EN COURS DE PREENGAGEMENT",'ENGAGEMENTS 2026'!O2080,IF($H2080="PREENGAGE",IF($E2080="ATTRIBUE",'ENGAGEMENTS 2026'!AE2080,'ENGAGEMENTS 2026'!O2080),'ENGAGEMENTS 2026'!AE2080))))</f>
        <v/>
      </c>
      <c r="K2080" s="604">
        <f>IF(ISBLANK('ENGAGEMENTS 2026'!W2080),"",'ENGAGEMENTS 2026'!W2080)</f>
        <v/>
      </c>
      <c r="L2080" s="276">
        <f>IF($K2080="","",TODAY()-$K2080)</f>
        <v/>
      </c>
      <c r="M2080">
        <f>IF($A2080="","",IF($H2080="ENGAGE","Engagé",IF(AND($H2080="NON ENGAGE",OR($I2080="INFRUCTUEUX",$I2080="ANNULE")),"Clôturé sans suite","En cours")))</f>
        <v/>
      </c>
      <c r="N2080">
        <f>IF(ISBLANK('ENGAGEMENTS 2026'!C2080),"",'ENGAGEMENTS 2026'!L2080)</f>
        <v/>
      </c>
      <c r="O2080">
        <f>IF(ISBLANK('ENGAGEMENTS 2026'!C2080),"",'ENGAGEMENTS 2026'!M2080)</f>
        <v/>
      </c>
      <c r="P2080">
        <f>IF(ISBLANK('ENGAGEMENTS 2026'!C2080),"",'ENGAGEMENTS 2026'!K2080)</f>
        <v/>
      </c>
      <c r="Q2080">
        <f>IF($A2080="","",IF(OR($E2080="INFRUCTUEUX",$E2080="ANNULE"),$A2080&amp;"|"&amp;(COUNTIFS($A$2:$A2080,$A2080,$E$2:$E2080,"INFRUCTUEUX")+COUNTIFS($A$2:$A2080,$A2080,$E$2:$E2080,"ANNULE")),""))</f>
        <v/>
      </c>
    </row>
    <row r="2081">
      <c r="A2081">
        <f>IF(ISBLANK('ENGAGEMENTS 2026'!C2081),"",IF('ENGAGEMENTS 2026'!C2081="DTSI","DCT",'ENGAGEMENTS 2026'!C2081))</f>
        <v/>
      </c>
      <c r="B2081">
        <f>IF(ISBLANK('ENGAGEMENTS 2026'!C2081),"",'ENGAGEMENTS 2026'!D2081)</f>
        <v/>
      </c>
      <c r="C2081">
        <f>IF(ISBLANK('ENGAGEMENTS 2026'!C2081),"",'ENGAGEMENTS 2026'!E2081)</f>
        <v/>
      </c>
      <c r="D2081">
        <f>IF(ISBLANK('ENGAGEMENTS 2026'!C2081),"",'ENGAGEMENTS 2026'!G2081)</f>
        <v/>
      </c>
      <c r="E2081">
        <f>IF(ISBLANK('ENGAGEMENTS 2026'!C2081),"",'ENGAGEMENTS 2026'!I2081)</f>
        <v/>
      </c>
      <c r="F2081">
        <f>IF(ISBLANK('ENGAGEMENTS 2026'!C2081),"",'ENGAGEMENTS 2026'!J2081)</f>
        <v/>
      </c>
      <c r="G2081">
        <f>IF(ISBLANK('ENGAGEMENTS 2026'!C2081),"",'ENGAGEMENTS 2026'!M2081)</f>
        <v/>
      </c>
      <c r="H2081">
        <f>IF(ISBLANK('ENGAGEMENTS 2026'!C2081),"",'ENGAGEMENTS 2026'!AF2081)</f>
        <v/>
      </c>
      <c r="I2081">
        <f>IF(ISBLANK('ENGAGEMENTS 2026'!C2081),"",'ENGAGEMENTS 2026'!H2081)</f>
        <v/>
      </c>
      <c r="J2081" s="275">
        <f>IF(ISBLANK('ENGAGEMENTS 2026'!C2081),"",IF(AND(OR($E2081="INFRUCTUEUX",$E2081="ANNULE"),$C2081="AOO-M"),'ENGAGEMENTS 2026'!P2081,IF($H2081="EN COURS DE PREENGAGEMENT",'ENGAGEMENTS 2026'!O2081,IF($H2081="PREENGAGE",IF($E2081="ATTRIBUE",'ENGAGEMENTS 2026'!AE2081,'ENGAGEMENTS 2026'!O2081),'ENGAGEMENTS 2026'!AE2081))))</f>
        <v/>
      </c>
      <c r="K2081" s="604">
        <f>IF(ISBLANK('ENGAGEMENTS 2026'!W2081),"",'ENGAGEMENTS 2026'!W2081)</f>
        <v/>
      </c>
      <c r="L2081" s="276">
        <f>IF($K2081="","",TODAY()-$K2081)</f>
        <v/>
      </c>
      <c r="M2081">
        <f>IF($A2081="","",IF($H2081="ENGAGE","Engagé",IF(AND($H2081="NON ENGAGE",OR($I2081="INFRUCTUEUX",$I2081="ANNULE")),"Clôturé sans suite","En cours")))</f>
        <v/>
      </c>
      <c r="N2081">
        <f>IF(ISBLANK('ENGAGEMENTS 2026'!C2081),"",'ENGAGEMENTS 2026'!L2081)</f>
        <v/>
      </c>
      <c r="O2081">
        <f>IF(ISBLANK('ENGAGEMENTS 2026'!C2081),"",'ENGAGEMENTS 2026'!M2081)</f>
        <v/>
      </c>
      <c r="P2081">
        <f>IF(ISBLANK('ENGAGEMENTS 2026'!C2081),"",'ENGAGEMENTS 2026'!K2081)</f>
        <v/>
      </c>
      <c r="Q2081">
        <f>IF($A2081="","",IF(OR($E2081="INFRUCTUEUX",$E2081="ANNULE"),$A2081&amp;"|"&amp;(COUNTIFS($A$2:$A2081,$A2081,$E$2:$E2081,"INFRUCTUEUX")+COUNTIFS($A$2:$A2081,$A2081,$E$2:$E2081,"ANNULE")),""))</f>
        <v/>
      </c>
    </row>
    <row r="2082">
      <c r="A2082">
        <f>IF(ISBLANK('ENGAGEMENTS 2026'!C2082),"",IF('ENGAGEMENTS 2026'!C2082="DTSI","DCT",'ENGAGEMENTS 2026'!C2082))</f>
        <v/>
      </c>
      <c r="B2082">
        <f>IF(ISBLANK('ENGAGEMENTS 2026'!C2082),"",'ENGAGEMENTS 2026'!D2082)</f>
        <v/>
      </c>
      <c r="C2082">
        <f>IF(ISBLANK('ENGAGEMENTS 2026'!C2082),"",'ENGAGEMENTS 2026'!E2082)</f>
        <v/>
      </c>
      <c r="D2082">
        <f>IF(ISBLANK('ENGAGEMENTS 2026'!C2082),"",'ENGAGEMENTS 2026'!G2082)</f>
        <v/>
      </c>
      <c r="E2082">
        <f>IF(ISBLANK('ENGAGEMENTS 2026'!C2082),"",'ENGAGEMENTS 2026'!I2082)</f>
        <v/>
      </c>
      <c r="F2082">
        <f>IF(ISBLANK('ENGAGEMENTS 2026'!C2082),"",'ENGAGEMENTS 2026'!J2082)</f>
        <v/>
      </c>
      <c r="G2082">
        <f>IF(ISBLANK('ENGAGEMENTS 2026'!C2082),"",'ENGAGEMENTS 2026'!M2082)</f>
        <v/>
      </c>
      <c r="H2082">
        <f>IF(ISBLANK('ENGAGEMENTS 2026'!C2082),"",'ENGAGEMENTS 2026'!AF2082)</f>
        <v/>
      </c>
      <c r="I2082">
        <f>IF(ISBLANK('ENGAGEMENTS 2026'!C2082),"",'ENGAGEMENTS 2026'!H2082)</f>
        <v/>
      </c>
      <c r="J2082" s="275">
        <f>IF(ISBLANK('ENGAGEMENTS 2026'!C2082),"",IF(AND(OR($E2082="INFRUCTUEUX",$E2082="ANNULE"),$C2082="AOO-M"),'ENGAGEMENTS 2026'!P2082,IF($H2082="EN COURS DE PREENGAGEMENT",'ENGAGEMENTS 2026'!O2082,IF($H2082="PREENGAGE",IF($E2082="ATTRIBUE",'ENGAGEMENTS 2026'!AE2082,'ENGAGEMENTS 2026'!O2082),'ENGAGEMENTS 2026'!AE2082))))</f>
        <v/>
      </c>
      <c r="K2082" s="604">
        <f>IF(ISBLANK('ENGAGEMENTS 2026'!W2082),"",'ENGAGEMENTS 2026'!W2082)</f>
        <v/>
      </c>
      <c r="L2082" s="276">
        <f>IF($K2082="","",TODAY()-$K2082)</f>
        <v/>
      </c>
      <c r="M2082">
        <f>IF($A2082="","",IF($H2082="ENGAGE","Engagé",IF(AND($H2082="NON ENGAGE",OR($I2082="INFRUCTUEUX",$I2082="ANNULE")),"Clôturé sans suite","En cours")))</f>
        <v/>
      </c>
      <c r="N2082">
        <f>IF(ISBLANK('ENGAGEMENTS 2026'!C2082),"",'ENGAGEMENTS 2026'!L2082)</f>
        <v/>
      </c>
      <c r="O2082">
        <f>IF(ISBLANK('ENGAGEMENTS 2026'!C2082),"",'ENGAGEMENTS 2026'!M2082)</f>
        <v/>
      </c>
      <c r="P2082">
        <f>IF(ISBLANK('ENGAGEMENTS 2026'!C2082),"",'ENGAGEMENTS 2026'!K2082)</f>
        <v/>
      </c>
      <c r="Q2082">
        <f>IF($A2082="","",IF(OR($E2082="INFRUCTUEUX",$E2082="ANNULE"),$A2082&amp;"|"&amp;(COUNTIFS($A$2:$A2082,$A2082,$E$2:$E2082,"INFRUCTUEUX")+COUNTIFS($A$2:$A2082,$A2082,$E$2:$E2082,"ANNULE")),""))</f>
        <v/>
      </c>
    </row>
    <row r="2083">
      <c r="A2083">
        <f>IF(ISBLANK('ENGAGEMENTS 2026'!C2083),"",IF('ENGAGEMENTS 2026'!C2083="DTSI","DCT",'ENGAGEMENTS 2026'!C2083))</f>
        <v/>
      </c>
      <c r="B2083">
        <f>IF(ISBLANK('ENGAGEMENTS 2026'!C2083),"",'ENGAGEMENTS 2026'!D2083)</f>
        <v/>
      </c>
      <c r="C2083">
        <f>IF(ISBLANK('ENGAGEMENTS 2026'!C2083),"",'ENGAGEMENTS 2026'!E2083)</f>
        <v/>
      </c>
      <c r="D2083">
        <f>IF(ISBLANK('ENGAGEMENTS 2026'!C2083),"",'ENGAGEMENTS 2026'!G2083)</f>
        <v/>
      </c>
      <c r="E2083">
        <f>IF(ISBLANK('ENGAGEMENTS 2026'!C2083),"",'ENGAGEMENTS 2026'!I2083)</f>
        <v/>
      </c>
      <c r="F2083">
        <f>IF(ISBLANK('ENGAGEMENTS 2026'!C2083),"",'ENGAGEMENTS 2026'!J2083)</f>
        <v/>
      </c>
      <c r="G2083">
        <f>IF(ISBLANK('ENGAGEMENTS 2026'!C2083),"",'ENGAGEMENTS 2026'!M2083)</f>
        <v/>
      </c>
      <c r="H2083">
        <f>IF(ISBLANK('ENGAGEMENTS 2026'!C2083),"",'ENGAGEMENTS 2026'!AF2083)</f>
        <v/>
      </c>
      <c r="I2083">
        <f>IF(ISBLANK('ENGAGEMENTS 2026'!C2083),"",'ENGAGEMENTS 2026'!H2083)</f>
        <v/>
      </c>
      <c r="J2083" s="275">
        <f>IF(ISBLANK('ENGAGEMENTS 2026'!C2083),"",IF(AND(OR($E2083="INFRUCTUEUX",$E2083="ANNULE"),$C2083="AOO-M"),'ENGAGEMENTS 2026'!P2083,IF($H2083="EN COURS DE PREENGAGEMENT",'ENGAGEMENTS 2026'!O2083,IF($H2083="PREENGAGE",IF($E2083="ATTRIBUE",'ENGAGEMENTS 2026'!AE2083,'ENGAGEMENTS 2026'!O2083),'ENGAGEMENTS 2026'!AE2083))))</f>
        <v/>
      </c>
      <c r="K2083" s="604">
        <f>IF(ISBLANK('ENGAGEMENTS 2026'!W2083),"",'ENGAGEMENTS 2026'!W2083)</f>
        <v/>
      </c>
      <c r="L2083" s="276">
        <f>IF($K2083="","",TODAY()-$K2083)</f>
        <v/>
      </c>
      <c r="M2083">
        <f>IF($A2083="","",IF($H2083="ENGAGE","Engagé",IF(AND($H2083="NON ENGAGE",OR($I2083="INFRUCTUEUX",$I2083="ANNULE")),"Clôturé sans suite","En cours")))</f>
        <v/>
      </c>
      <c r="N2083">
        <f>IF(ISBLANK('ENGAGEMENTS 2026'!C2083),"",'ENGAGEMENTS 2026'!L2083)</f>
        <v/>
      </c>
      <c r="O2083">
        <f>IF(ISBLANK('ENGAGEMENTS 2026'!C2083),"",'ENGAGEMENTS 2026'!M2083)</f>
        <v/>
      </c>
      <c r="P2083">
        <f>IF(ISBLANK('ENGAGEMENTS 2026'!C2083),"",'ENGAGEMENTS 2026'!K2083)</f>
        <v/>
      </c>
      <c r="Q2083">
        <f>IF($A2083="","",IF(OR($E2083="INFRUCTUEUX",$E2083="ANNULE"),$A2083&amp;"|"&amp;(COUNTIFS($A$2:$A2083,$A2083,$E$2:$E2083,"INFRUCTUEUX")+COUNTIFS($A$2:$A2083,$A2083,$E$2:$E2083,"ANNULE")),""))</f>
        <v/>
      </c>
    </row>
    <row r="2084">
      <c r="A2084">
        <f>IF(ISBLANK('ENGAGEMENTS 2026'!C2084),"",IF('ENGAGEMENTS 2026'!C2084="DTSI","DCT",'ENGAGEMENTS 2026'!C2084))</f>
        <v/>
      </c>
      <c r="B2084">
        <f>IF(ISBLANK('ENGAGEMENTS 2026'!C2084),"",'ENGAGEMENTS 2026'!D2084)</f>
        <v/>
      </c>
      <c r="C2084">
        <f>IF(ISBLANK('ENGAGEMENTS 2026'!C2084),"",'ENGAGEMENTS 2026'!E2084)</f>
        <v/>
      </c>
      <c r="D2084">
        <f>IF(ISBLANK('ENGAGEMENTS 2026'!C2084),"",'ENGAGEMENTS 2026'!G2084)</f>
        <v/>
      </c>
      <c r="E2084">
        <f>IF(ISBLANK('ENGAGEMENTS 2026'!C2084),"",'ENGAGEMENTS 2026'!I2084)</f>
        <v/>
      </c>
      <c r="F2084">
        <f>IF(ISBLANK('ENGAGEMENTS 2026'!C2084),"",'ENGAGEMENTS 2026'!J2084)</f>
        <v/>
      </c>
      <c r="G2084">
        <f>IF(ISBLANK('ENGAGEMENTS 2026'!C2084),"",'ENGAGEMENTS 2026'!M2084)</f>
        <v/>
      </c>
      <c r="H2084">
        <f>IF(ISBLANK('ENGAGEMENTS 2026'!C2084),"",'ENGAGEMENTS 2026'!AF2084)</f>
        <v/>
      </c>
      <c r="I2084">
        <f>IF(ISBLANK('ENGAGEMENTS 2026'!C2084),"",'ENGAGEMENTS 2026'!H2084)</f>
        <v/>
      </c>
      <c r="J2084" s="275">
        <f>IF(ISBLANK('ENGAGEMENTS 2026'!C2084),"",IF(AND(OR($E2084="INFRUCTUEUX",$E2084="ANNULE"),$C2084="AOO-M"),'ENGAGEMENTS 2026'!P2084,IF($H2084="EN COURS DE PREENGAGEMENT",'ENGAGEMENTS 2026'!O2084,IF($H2084="PREENGAGE",IF($E2084="ATTRIBUE",'ENGAGEMENTS 2026'!AE2084,'ENGAGEMENTS 2026'!O2084),'ENGAGEMENTS 2026'!AE2084))))</f>
        <v/>
      </c>
      <c r="K2084" s="604">
        <f>IF(ISBLANK('ENGAGEMENTS 2026'!W2084),"",'ENGAGEMENTS 2026'!W2084)</f>
        <v/>
      </c>
      <c r="L2084" s="276">
        <f>IF($K2084="","",TODAY()-$K2084)</f>
        <v/>
      </c>
      <c r="M2084">
        <f>IF($A2084="","",IF($H2084="ENGAGE","Engagé",IF(AND($H2084="NON ENGAGE",OR($I2084="INFRUCTUEUX",$I2084="ANNULE")),"Clôturé sans suite","En cours")))</f>
        <v/>
      </c>
      <c r="N2084">
        <f>IF(ISBLANK('ENGAGEMENTS 2026'!C2084),"",'ENGAGEMENTS 2026'!L2084)</f>
        <v/>
      </c>
      <c r="O2084">
        <f>IF(ISBLANK('ENGAGEMENTS 2026'!C2084),"",'ENGAGEMENTS 2026'!M2084)</f>
        <v/>
      </c>
      <c r="P2084">
        <f>IF(ISBLANK('ENGAGEMENTS 2026'!C2084),"",'ENGAGEMENTS 2026'!K2084)</f>
        <v/>
      </c>
      <c r="Q2084">
        <f>IF($A2084="","",IF(OR($E2084="INFRUCTUEUX",$E2084="ANNULE"),$A2084&amp;"|"&amp;(COUNTIFS($A$2:$A2084,$A2084,$E$2:$E2084,"INFRUCTUEUX")+COUNTIFS($A$2:$A2084,$A2084,$E$2:$E2084,"ANNULE")),""))</f>
        <v/>
      </c>
    </row>
    <row r="2085">
      <c r="A2085">
        <f>IF(ISBLANK('ENGAGEMENTS 2026'!C2085),"",IF('ENGAGEMENTS 2026'!C2085="DTSI","DCT",'ENGAGEMENTS 2026'!C2085))</f>
        <v/>
      </c>
      <c r="B2085">
        <f>IF(ISBLANK('ENGAGEMENTS 2026'!C2085),"",'ENGAGEMENTS 2026'!D2085)</f>
        <v/>
      </c>
      <c r="C2085">
        <f>IF(ISBLANK('ENGAGEMENTS 2026'!C2085),"",'ENGAGEMENTS 2026'!E2085)</f>
        <v/>
      </c>
      <c r="D2085">
        <f>IF(ISBLANK('ENGAGEMENTS 2026'!C2085),"",'ENGAGEMENTS 2026'!G2085)</f>
        <v/>
      </c>
      <c r="E2085">
        <f>IF(ISBLANK('ENGAGEMENTS 2026'!C2085),"",'ENGAGEMENTS 2026'!I2085)</f>
        <v/>
      </c>
      <c r="F2085">
        <f>IF(ISBLANK('ENGAGEMENTS 2026'!C2085),"",'ENGAGEMENTS 2026'!J2085)</f>
        <v/>
      </c>
      <c r="G2085">
        <f>IF(ISBLANK('ENGAGEMENTS 2026'!C2085),"",'ENGAGEMENTS 2026'!M2085)</f>
        <v/>
      </c>
      <c r="H2085">
        <f>IF(ISBLANK('ENGAGEMENTS 2026'!C2085),"",'ENGAGEMENTS 2026'!AF2085)</f>
        <v/>
      </c>
      <c r="I2085">
        <f>IF(ISBLANK('ENGAGEMENTS 2026'!C2085),"",'ENGAGEMENTS 2026'!H2085)</f>
        <v/>
      </c>
      <c r="J2085" s="275">
        <f>IF(ISBLANK('ENGAGEMENTS 2026'!C2085),"",IF(AND(OR($E2085="INFRUCTUEUX",$E2085="ANNULE"),$C2085="AOO-M"),'ENGAGEMENTS 2026'!P2085,IF($H2085="EN COURS DE PREENGAGEMENT",'ENGAGEMENTS 2026'!O2085,IF($H2085="PREENGAGE",IF($E2085="ATTRIBUE",'ENGAGEMENTS 2026'!AE2085,'ENGAGEMENTS 2026'!O2085),'ENGAGEMENTS 2026'!AE2085))))</f>
        <v/>
      </c>
      <c r="K2085" s="604">
        <f>IF(ISBLANK('ENGAGEMENTS 2026'!W2085),"",'ENGAGEMENTS 2026'!W2085)</f>
        <v/>
      </c>
      <c r="L2085" s="276">
        <f>IF($K2085="","",TODAY()-$K2085)</f>
        <v/>
      </c>
      <c r="M2085">
        <f>IF($A2085="","",IF($H2085="ENGAGE","Engagé",IF(AND($H2085="NON ENGAGE",OR($I2085="INFRUCTUEUX",$I2085="ANNULE")),"Clôturé sans suite","En cours")))</f>
        <v/>
      </c>
      <c r="N2085">
        <f>IF(ISBLANK('ENGAGEMENTS 2026'!C2085),"",'ENGAGEMENTS 2026'!L2085)</f>
        <v/>
      </c>
      <c r="O2085">
        <f>IF(ISBLANK('ENGAGEMENTS 2026'!C2085),"",'ENGAGEMENTS 2026'!M2085)</f>
        <v/>
      </c>
      <c r="P2085">
        <f>IF(ISBLANK('ENGAGEMENTS 2026'!C2085),"",'ENGAGEMENTS 2026'!K2085)</f>
        <v/>
      </c>
      <c r="Q2085">
        <f>IF($A2085="","",IF(OR($E2085="INFRUCTUEUX",$E2085="ANNULE"),$A2085&amp;"|"&amp;(COUNTIFS($A$2:$A2085,$A2085,$E$2:$E2085,"INFRUCTUEUX")+COUNTIFS($A$2:$A2085,$A2085,$E$2:$E2085,"ANNULE")),""))</f>
        <v/>
      </c>
    </row>
    <row r="2086">
      <c r="A2086">
        <f>IF(ISBLANK('ENGAGEMENTS 2026'!C2086),"",IF('ENGAGEMENTS 2026'!C2086="DTSI","DCT",'ENGAGEMENTS 2026'!C2086))</f>
        <v/>
      </c>
      <c r="B2086">
        <f>IF(ISBLANK('ENGAGEMENTS 2026'!C2086),"",'ENGAGEMENTS 2026'!D2086)</f>
        <v/>
      </c>
      <c r="C2086">
        <f>IF(ISBLANK('ENGAGEMENTS 2026'!C2086),"",'ENGAGEMENTS 2026'!E2086)</f>
        <v/>
      </c>
      <c r="D2086">
        <f>IF(ISBLANK('ENGAGEMENTS 2026'!C2086),"",'ENGAGEMENTS 2026'!G2086)</f>
        <v/>
      </c>
      <c r="E2086">
        <f>IF(ISBLANK('ENGAGEMENTS 2026'!C2086),"",'ENGAGEMENTS 2026'!I2086)</f>
        <v/>
      </c>
      <c r="F2086">
        <f>IF(ISBLANK('ENGAGEMENTS 2026'!C2086),"",'ENGAGEMENTS 2026'!J2086)</f>
        <v/>
      </c>
      <c r="G2086">
        <f>IF(ISBLANK('ENGAGEMENTS 2026'!C2086),"",'ENGAGEMENTS 2026'!M2086)</f>
        <v/>
      </c>
      <c r="H2086">
        <f>IF(ISBLANK('ENGAGEMENTS 2026'!C2086),"",'ENGAGEMENTS 2026'!AF2086)</f>
        <v/>
      </c>
      <c r="I2086">
        <f>IF(ISBLANK('ENGAGEMENTS 2026'!C2086),"",'ENGAGEMENTS 2026'!H2086)</f>
        <v/>
      </c>
      <c r="J2086" s="275">
        <f>IF(ISBLANK('ENGAGEMENTS 2026'!C2086),"",IF(AND(OR($E2086="INFRUCTUEUX",$E2086="ANNULE"),$C2086="AOO-M"),'ENGAGEMENTS 2026'!P2086,IF($H2086="EN COURS DE PREENGAGEMENT",'ENGAGEMENTS 2026'!O2086,IF($H2086="PREENGAGE",IF($E2086="ATTRIBUE",'ENGAGEMENTS 2026'!AE2086,'ENGAGEMENTS 2026'!O2086),'ENGAGEMENTS 2026'!AE2086))))</f>
        <v/>
      </c>
      <c r="K2086" s="604">
        <f>IF(ISBLANK('ENGAGEMENTS 2026'!W2086),"",'ENGAGEMENTS 2026'!W2086)</f>
        <v/>
      </c>
      <c r="L2086" s="276">
        <f>IF($K2086="","",TODAY()-$K2086)</f>
        <v/>
      </c>
      <c r="M2086">
        <f>IF($A2086="","",IF($H2086="ENGAGE","Engagé",IF(AND($H2086="NON ENGAGE",OR($I2086="INFRUCTUEUX",$I2086="ANNULE")),"Clôturé sans suite","En cours")))</f>
        <v/>
      </c>
      <c r="N2086">
        <f>IF(ISBLANK('ENGAGEMENTS 2026'!C2086),"",'ENGAGEMENTS 2026'!L2086)</f>
        <v/>
      </c>
      <c r="O2086">
        <f>IF(ISBLANK('ENGAGEMENTS 2026'!C2086),"",'ENGAGEMENTS 2026'!M2086)</f>
        <v/>
      </c>
      <c r="P2086">
        <f>IF(ISBLANK('ENGAGEMENTS 2026'!C2086),"",'ENGAGEMENTS 2026'!K2086)</f>
        <v/>
      </c>
      <c r="Q2086">
        <f>IF($A2086="","",IF(OR($E2086="INFRUCTUEUX",$E2086="ANNULE"),$A2086&amp;"|"&amp;(COUNTIFS($A$2:$A2086,$A2086,$E$2:$E2086,"INFRUCTUEUX")+COUNTIFS($A$2:$A2086,$A2086,$E$2:$E2086,"ANNULE")),""))</f>
        <v/>
      </c>
    </row>
    <row r="2087">
      <c r="A2087">
        <f>IF(ISBLANK('ENGAGEMENTS 2026'!C2087),"",IF('ENGAGEMENTS 2026'!C2087="DTSI","DCT",'ENGAGEMENTS 2026'!C2087))</f>
        <v/>
      </c>
      <c r="B2087">
        <f>IF(ISBLANK('ENGAGEMENTS 2026'!C2087),"",'ENGAGEMENTS 2026'!D2087)</f>
        <v/>
      </c>
      <c r="C2087">
        <f>IF(ISBLANK('ENGAGEMENTS 2026'!C2087),"",'ENGAGEMENTS 2026'!E2087)</f>
        <v/>
      </c>
      <c r="D2087">
        <f>IF(ISBLANK('ENGAGEMENTS 2026'!C2087),"",'ENGAGEMENTS 2026'!G2087)</f>
        <v/>
      </c>
      <c r="E2087">
        <f>IF(ISBLANK('ENGAGEMENTS 2026'!C2087),"",'ENGAGEMENTS 2026'!I2087)</f>
        <v/>
      </c>
      <c r="F2087">
        <f>IF(ISBLANK('ENGAGEMENTS 2026'!C2087),"",'ENGAGEMENTS 2026'!J2087)</f>
        <v/>
      </c>
      <c r="G2087">
        <f>IF(ISBLANK('ENGAGEMENTS 2026'!C2087),"",'ENGAGEMENTS 2026'!M2087)</f>
        <v/>
      </c>
      <c r="H2087">
        <f>IF(ISBLANK('ENGAGEMENTS 2026'!C2087),"",'ENGAGEMENTS 2026'!AF2087)</f>
        <v/>
      </c>
      <c r="I2087">
        <f>IF(ISBLANK('ENGAGEMENTS 2026'!C2087),"",'ENGAGEMENTS 2026'!H2087)</f>
        <v/>
      </c>
      <c r="J2087" s="275">
        <f>IF(ISBLANK('ENGAGEMENTS 2026'!C2087),"",IF(AND(OR($E2087="INFRUCTUEUX",$E2087="ANNULE"),$C2087="AOO-M"),'ENGAGEMENTS 2026'!P2087,IF($H2087="EN COURS DE PREENGAGEMENT",'ENGAGEMENTS 2026'!O2087,IF($H2087="PREENGAGE",IF($E2087="ATTRIBUE",'ENGAGEMENTS 2026'!AE2087,'ENGAGEMENTS 2026'!O2087),'ENGAGEMENTS 2026'!AE2087))))</f>
        <v/>
      </c>
      <c r="K2087" s="604">
        <f>IF(ISBLANK('ENGAGEMENTS 2026'!W2087),"",'ENGAGEMENTS 2026'!W2087)</f>
        <v/>
      </c>
      <c r="L2087" s="276">
        <f>IF($K2087="","",TODAY()-$K2087)</f>
        <v/>
      </c>
      <c r="M2087">
        <f>IF($A2087="","",IF($H2087="ENGAGE","Engagé",IF(AND($H2087="NON ENGAGE",OR($I2087="INFRUCTUEUX",$I2087="ANNULE")),"Clôturé sans suite","En cours")))</f>
        <v/>
      </c>
      <c r="N2087">
        <f>IF(ISBLANK('ENGAGEMENTS 2026'!C2087),"",'ENGAGEMENTS 2026'!L2087)</f>
        <v/>
      </c>
      <c r="O2087">
        <f>IF(ISBLANK('ENGAGEMENTS 2026'!C2087),"",'ENGAGEMENTS 2026'!M2087)</f>
        <v/>
      </c>
      <c r="P2087">
        <f>IF(ISBLANK('ENGAGEMENTS 2026'!C2087),"",'ENGAGEMENTS 2026'!K2087)</f>
        <v/>
      </c>
      <c r="Q2087">
        <f>IF($A2087="","",IF(OR($E2087="INFRUCTUEUX",$E2087="ANNULE"),$A2087&amp;"|"&amp;(COUNTIFS($A$2:$A2087,$A2087,$E$2:$E2087,"INFRUCTUEUX")+COUNTIFS($A$2:$A2087,$A2087,$E$2:$E2087,"ANNULE")),""))</f>
        <v/>
      </c>
    </row>
    <row r="2088">
      <c r="A2088">
        <f>IF(ISBLANK('ENGAGEMENTS 2026'!C2088),"",IF('ENGAGEMENTS 2026'!C2088="DTSI","DCT",'ENGAGEMENTS 2026'!C2088))</f>
        <v/>
      </c>
      <c r="B2088">
        <f>IF(ISBLANK('ENGAGEMENTS 2026'!C2088),"",'ENGAGEMENTS 2026'!D2088)</f>
        <v/>
      </c>
      <c r="C2088">
        <f>IF(ISBLANK('ENGAGEMENTS 2026'!C2088),"",'ENGAGEMENTS 2026'!E2088)</f>
        <v/>
      </c>
      <c r="D2088">
        <f>IF(ISBLANK('ENGAGEMENTS 2026'!C2088),"",'ENGAGEMENTS 2026'!G2088)</f>
        <v/>
      </c>
      <c r="E2088">
        <f>IF(ISBLANK('ENGAGEMENTS 2026'!C2088),"",'ENGAGEMENTS 2026'!I2088)</f>
        <v/>
      </c>
      <c r="F2088">
        <f>IF(ISBLANK('ENGAGEMENTS 2026'!C2088),"",'ENGAGEMENTS 2026'!J2088)</f>
        <v/>
      </c>
      <c r="G2088">
        <f>IF(ISBLANK('ENGAGEMENTS 2026'!C2088),"",'ENGAGEMENTS 2026'!M2088)</f>
        <v/>
      </c>
      <c r="H2088">
        <f>IF(ISBLANK('ENGAGEMENTS 2026'!C2088),"",'ENGAGEMENTS 2026'!AF2088)</f>
        <v/>
      </c>
      <c r="I2088">
        <f>IF(ISBLANK('ENGAGEMENTS 2026'!C2088),"",'ENGAGEMENTS 2026'!H2088)</f>
        <v/>
      </c>
      <c r="J2088" s="275">
        <f>IF(ISBLANK('ENGAGEMENTS 2026'!C2088),"",IF(AND(OR($E2088="INFRUCTUEUX",$E2088="ANNULE"),$C2088="AOO-M"),'ENGAGEMENTS 2026'!P2088,IF($H2088="EN COURS DE PREENGAGEMENT",'ENGAGEMENTS 2026'!O2088,IF($H2088="PREENGAGE",IF($E2088="ATTRIBUE",'ENGAGEMENTS 2026'!AE2088,'ENGAGEMENTS 2026'!O2088),'ENGAGEMENTS 2026'!AE2088))))</f>
        <v/>
      </c>
      <c r="K2088" s="604">
        <f>IF(ISBLANK('ENGAGEMENTS 2026'!W2088),"",'ENGAGEMENTS 2026'!W2088)</f>
        <v/>
      </c>
      <c r="L2088" s="276">
        <f>IF($K2088="","",TODAY()-$K2088)</f>
        <v/>
      </c>
      <c r="M2088">
        <f>IF($A2088="","",IF($H2088="ENGAGE","Engagé",IF(AND($H2088="NON ENGAGE",OR($I2088="INFRUCTUEUX",$I2088="ANNULE")),"Clôturé sans suite","En cours")))</f>
        <v/>
      </c>
      <c r="N2088">
        <f>IF(ISBLANK('ENGAGEMENTS 2026'!C2088),"",'ENGAGEMENTS 2026'!L2088)</f>
        <v/>
      </c>
      <c r="O2088">
        <f>IF(ISBLANK('ENGAGEMENTS 2026'!C2088),"",'ENGAGEMENTS 2026'!M2088)</f>
        <v/>
      </c>
      <c r="P2088">
        <f>IF(ISBLANK('ENGAGEMENTS 2026'!C2088),"",'ENGAGEMENTS 2026'!K2088)</f>
        <v/>
      </c>
      <c r="Q2088">
        <f>IF($A2088="","",IF(OR($E2088="INFRUCTUEUX",$E2088="ANNULE"),$A2088&amp;"|"&amp;(COUNTIFS($A$2:$A2088,$A2088,$E$2:$E2088,"INFRUCTUEUX")+COUNTIFS($A$2:$A2088,$A2088,$E$2:$E2088,"ANNULE")),""))</f>
        <v/>
      </c>
    </row>
    <row r="2089">
      <c r="A2089">
        <f>IF(ISBLANK('ENGAGEMENTS 2026'!C2089),"",IF('ENGAGEMENTS 2026'!C2089="DTSI","DCT",'ENGAGEMENTS 2026'!C2089))</f>
        <v/>
      </c>
      <c r="B2089">
        <f>IF(ISBLANK('ENGAGEMENTS 2026'!C2089),"",'ENGAGEMENTS 2026'!D2089)</f>
        <v/>
      </c>
      <c r="C2089">
        <f>IF(ISBLANK('ENGAGEMENTS 2026'!C2089),"",'ENGAGEMENTS 2026'!E2089)</f>
        <v/>
      </c>
      <c r="D2089">
        <f>IF(ISBLANK('ENGAGEMENTS 2026'!C2089),"",'ENGAGEMENTS 2026'!G2089)</f>
        <v/>
      </c>
      <c r="E2089">
        <f>IF(ISBLANK('ENGAGEMENTS 2026'!C2089),"",'ENGAGEMENTS 2026'!I2089)</f>
        <v/>
      </c>
      <c r="F2089">
        <f>IF(ISBLANK('ENGAGEMENTS 2026'!C2089),"",'ENGAGEMENTS 2026'!J2089)</f>
        <v/>
      </c>
      <c r="G2089">
        <f>IF(ISBLANK('ENGAGEMENTS 2026'!C2089),"",'ENGAGEMENTS 2026'!M2089)</f>
        <v/>
      </c>
      <c r="H2089">
        <f>IF(ISBLANK('ENGAGEMENTS 2026'!C2089),"",'ENGAGEMENTS 2026'!AF2089)</f>
        <v/>
      </c>
      <c r="I2089">
        <f>IF(ISBLANK('ENGAGEMENTS 2026'!C2089),"",'ENGAGEMENTS 2026'!H2089)</f>
        <v/>
      </c>
      <c r="J2089" s="275">
        <f>IF(ISBLANK('ENGAGEMENTS 2026'!C2089),"",IF(AND(OR($E2089="INFRUCTUEUX",$E2089="ANNULE"),$C2089="AOO-M"),'ENGAGEMENTS 2026'!P2089,IF($H2089="EN COURS DE PREENGAGEMENT",'ENGAGEMENTS 2026'!O2089,IF($H2089="PREENGAGE",IF($E2089="ATTRIBUE",'ENGAGEMENTS 2026'!AE2089,'ENGAGEMENTS 2026'!O2089),'ENGAGEMENTS 2026'!AE2089))))</f>
        <v/>
      </c>
      <c r="K2089" s="604">
        <f>IF(ISBLANK('ENGAGEMENTS 2026'!W2089),"",'ENGAGEMENTS 2026'!W2089)</f>
        <v/>
      </c>
      <c r="L2089" s="276">
        <f>IF($K2089="","",TODAY()-$K2089)</f>
        <v/>
      </c>
      <c r="M2089">
        <f>IF($A2089="","",IF($H2089="ENGAGE","Engagé",IF(AND($H2089="NON ENGAGE",OR($I2089="INFRUCTUEUX",$I2089="ANNULE")),"Clôturé sans suite","En cours")))</f>
        <v/>
      </c>
      <c r="N2089">
        <f>IF(ISBLANK('ENGAGEMENTS 2026'!C2089),"",'ENGAGEMENTS 2026'!L2089)</f>
        <v/>
      </c>
      <c r="O2089">
        <f>IF(ISBLANK('ENGAGEMENTS 2026'!C2089),"",'ENGAGEMENTS 2026'!M2089)</f>
        <v/>
      </c>
      <c r="P2089">
        <f>IF(ISBLANK('ENGAGEMENTS 2026'!C2089),"",'ENGAGEMENTS 2026'!K2089)</f>
        <v/>
      </c>
      <c r="Q2089">
        <f>IF($A2089="","",IF(OR($E2089="INFRUCTUEUX",$E2089="ANNULE"),$A2089&amp;"|"&amp;(COUNTIFS($A$2:$A2089,$A2089,$E$2:$E2089,"INFRUCTUEUX")+COUNTIFS($A$2:$A2089,$A2089,$E$2:$E2089,"ANNULE")),""))</f>
        <v/>
      </c>
    </row>
    <row r="2090">
      <c r="A2090">
        <f>IF(ISBLANK('ENGAGEMENTS 2026'!C2090),"",IF('ENGAGEMENTS 2026'!C2090="DTSI","DCT",'ENGAGEMENTS 2026'!C2090))</f>
        <v/>
      </c>
      <c r="B2090">
        <f>IF(ISBLANK('ENGAGEMENTS 2026'!C2090),"",'ENGAGEMENTS 2026'!D2090)</f>
        <v/>
      </c>
      <c r="C2090">
        <f>IF(ISBLANK('ENGAGEMENTS 2026'!C2090),"",'ENGAGEMENTS 2026'!E2090)</f>
        <v/>
      </c>
      <c r="D2090">
        <f>IF(ISBLANK('ENGAGEMENTS 2026'!C2090),"",'ENGAGEMENTS 2026'!G2090)</f>
        <v/>
      </c>
      <c r="E2090">
        <f>IF(ISBLANK('ENGAGEMENTS 2026'!C2090),"",'ENGAGEMENTS 2026'!I2090)</f>
        <v/>
      </c>
      <c r="F2090">
        <f>IF(ISBLANK('ENGAGEMENTS 2026'!C2090),"",'ENGAGEMENTS 2026'!J2090)</f>
        <v/>
      </c>
      <c r="G2090">
        <f>IF(ISBLANK('ENGAGEMENTS 2026'!C2090),"",'ENGAGEMENTS 2026'!M2090)</f>
        <v/>
      </c>
      <c r="H2090">
        <f>IF(ISBLANK('ENGAGEMENTS 2026'!C2090),"",'ENGAGEMENTS 2026'!AF2090)</f>
        <v/>
      </c>
      <c r="I2090">
        <f>IF(ISBLANK('ENGAGEMENTS 2026'!C2090),"",'ENGAGEMENTS 2026'!H2090)</f>
        <v/>
      </c>
      <c r="J2090" s="275">
        <f>IF(ISBLANK('ENGAGEMENTS 2026'!C2090),"",IF(AND(OR($E2090="INFRUCTUEUX",$E2090="ANNULE"),$C2090="AOO-M"),'ENGAGEMENTS 2026'!P2090,IF($H2090="EN COURS DE PREENGAGEMENT",'ENGAGEMENTS 2026'!O2090,IF($H2090="PREENGAGE",IF($E2090="ATTRIBUE",'ENGAGEMENTS 2026'!AE2090,'ENGAGEMENTS 2026'!O2090),'ENGAGEMENTS 2026'!AE2090))))</f>
        <v/>
      </c>
      <c r="K2090" s="604">
        <f>IF(ISBLANK('ENGAGEMENTS 2026'!W2090),"",'ENGAGEMENTS 2026'!W2090)</f>
        <v/>
      </c>
      <c r="L2090" s="276">
        <f>IF($K2090="","",TODAY()-$K2090)</f>
        <v/>
      </c>
      <c r="M2090">
        <f>IF($A2090="","",IF($H2090="ENGAGE","Engagé",IF(AND($H2090="NON ENGAGE",OR($I2090="INFRUCTUEUX",$I2090="ANNULE")),"Clôturé sans suite","En cours")))</f>
        <v/>
      </c>
      <c r="N2090">
        <f>IF(ISBLANK('ENGAGEMENTS 2026'!C2090),"",'ENGAGEMENTS 2026'!L2090)</f>
        <v/>
      </c>
      <c r="O2090">
        <f>IF(ISBLANK('ENGAGEMENTS 2026'!C2090),"",'ENGAGEMENTS 2026'!M2090)</f>
        <v/>
      </c>
      <c r="P2090">
        <f>IF(ISBLANK('ENGAGEMENTS 2026'!C2090),"",'ENGAGEMENTS 2026'!K2090)</f>
        <v/>
      </c>
      <c r="Q2090">
        <f>IF($A2090="","",IF(OR($E2090="INFRUCTUEUX",$E2090="ANNULE"),$A2090&amp;"|"&amp;(COUNTIFS($A$2:$A2090,$A2090,$E$2:$E2090,"INFRUCTUEUX")+COUNTIFS($A$2:$A2090,$A2090,$E$2:$E2090,"ANNULE")),""))</f>
        <v/>
      </c>
    </row>
    <row r="2091">
      <c r="A2091">
        <f>IF(ISBLANK('ENGAGEMENTS 2026'!C2091),"",IF('ENGAGEMENTS 2026'!C2091="DTSI","DCT",'ENGAGEMENTS 2026'!C2091))</f>
        <v/>
      </c>
      <c r="B2091">
        <f>IF(ISBLANK('ENGAGEMENTS 2026'!C2091),"",'ENGAGEMENTS 2026'!D2091)</f>
        <v/>
      </c>
      <c r="C2091">
        <f>IF(ISBLANK('ENGAGEMENTS 2026'!C2091),"",'ENGAGEMENTS 2026'!E2091)</f>
        <v/>
      </c>
      <c r="D2091">
        <f>IF(ISBLANK('ENGAGEMENTS 2026'!C2091),"",'ENGAGEMENTS 2026'!G2091)</f>
        <v/>
      </c>
      <c r="E2091">
        <f>IF(ISBLANK('ENGAGEMENTS 2026'!C2091),"",'ENGAGEMENTS 2026'!I2091)</f>
        <v/>
      </c>
      <c r="F2091">
        <f>IF(ISBLANK('ENGAGEMENTS 2026'!C2091),"",'ENGAGEMENTS 2026'!J2091)</f>
        <v/>
      </c>
      <c r="G2091">
        <f>IF(ISBLANK('ENGAGEMENTS 2026'!C2091),"",'ENGAGEMENTS 2026'!M2091)</f>
        <v/>
      </c>
      <c r="H2091">
        <f>IF(ISBLANK('ENGAGEMENTS 2026'!C2091),"",'ENGAGEMENTS 2026'!AF2091)</f>
        <v/>
      </c>
      <c r="I2091">
        <f>IF(ISBLANK('ENGAGEMENTS 2026'!C2091),"",'ENGAGEMENTS 2026'!H2091)</f>
        <v/>
      </c>
      <c r="J2091" s="275">
        <f>IF(ISBLANK('ENGAGEMENTS 2026'!C2091),"",IF(AND(OR($E2091="INFRUCTUEUX",$E2091="ANNULE"),$C2091="AOO-M"),'ENGAGEMENTS 2026'!P2091,IF($H2091="EN COURS DE PREENGAGEMENT",'ENGAGEMENTS 2026'!O2091,IF($H2091="PREENGAGE",IF($E2091="ATTRIBUE",'ENGAGEMENTS 2026'!AE2091,'ENGAGEMENTS 2026'!O2091),'ENGAGEMENTS 2026'!AE2091))))</f>
        <v/>
      </c>
      <c r="K2091" s="604">
        <f>IF(ISBLANK('ENGAGEMENTS 2026'!W2091),"",'ENGAGEMENTS 2026'!W2091)</f>
        <v/>
      </c>
      <c r="L2091" s="276">
        <f>IF($K2091="","",TODAY()-$K2091)</f>
        <v/>
      </c>
      <c r="M2091">
        <f>IF($A2091="","",IF($H2091="ENGAGE","Engagé",IF(AND($H2091="NON ENGAGE",OR($I2091="INFRUCTUEUX",$I2091="ANNULE")),"Clôturé sans suite","En cours")))</f>
        <v/>
      </c>
      <c r="N2091">
        <f>IF(ISBLANK('ENGAGEMENTS 2026'!C2091),"",'ENGAGEMENTS 2026'!L2091)</f>
        <v/>
      </c>
      <c r="O2091">
        <f>IF(ISBLANK('ENGAGEMENTS 2026'!C2091),"",'ENGAGEMENTS 2026'!M2091)</f>
        <v/>
      </c>
      <c r="P2091">
        <f>IF(ISBLANK('ENGAGEMENTS 2026'!C2091),"",'ENGAGEMENTS 2026'!K2091)</f>
        <v/>
      </c>
      <c r="Q2091">
        <f>IF($A2091="","",IF(OR($E2091="INFRUCTUEUX",$E2091="ANNULE"),$A2091&amp;"|"&amp;(COUNTIFS($A$2:$A2091,$A2091,$E$2:$E2091,"INFRUCTUEUX")+COUNTIFS($A$2:$A2091,$A2091,$E$2:$E2091,"ANNULE")),""))</f>
        <v/>
      </c>
    </row>
    <row r="2092">
      <c r="A2092">
        <f>IF(ISBLANK('ENGAGEMENTS 2026'!C2092),"",IF('ENGAGEMENTS 2026'!C2092="DTSI","DCT",'ENGAGEMENTS 2026'!C2092))</f>
        <v/>
      </c>
      <c r="B2092">
        <f>IF(ISBLANK('ENGAGEMENTS 2026'!C2092),"",'ENGAGEMENTS 2026'!D2092)</f>
        <v/>
      </c>
      <c r="C2092">
        <f>IF(ISBLANK('ENGAGEMENTS 2026'!C2092),"",'ENGAGEMENTS 2026'!E2092)</f>
        <v/>
      </c>
      <c r="D2092">
        <f>IF(ISBLANK('ENGAGEMENTS 2026'!C2092),"",'ENGAGEMENTS 2026'!G2092)</f>
        <v/>
      </c>
      <c r="E2092">
        <f>IF(ISBLANK('ENGAGEMENTS 2026'!C2092),"",'ENGAGEMENTS 2026'!I2092)</f>
        <v/>
      </c>
      <c r="F2092">
        <f>IF(ISBLANK('ENGAGEMENTS 2026'!C2092),"",'ENGAGEMENTS 2026'!J2092)</f>
        <v/>
      </c>
      <c r="G2092">
        <f>IF(ISBLANK('ENGAGEMENTS 2026'!C2092),"",'ENGAGEMENTS 2026'!M2092)</f>
        <v/>
      </c>
      <c r="H2092">
        <f>IF(ISBLANK('ENGAGEMENTS 2026'!C2092),"",'ENGAGEMENTS 2026'!AF2092)</f>
        <v/>
      </c>
      <c r="I2092">
        <f>IF(ISBLANK('ENGAGEMENTS 2026'!C2092),"",'ENGAGEMENTS 2026'!H2092)</f>
        <v/>
      </c>
      <c r="J2092" s="275">
        <f>IF(ISBLANK('ENGAGEMENTS 2026'!C2092),"",IF(AND(OR($E2092="INFRUCTUEUX",$E2092="ANNULE"),$C2092="AOO-M"),'ENGAGEMENTS 2026'!P2092,IF($H2092="EN COURS DE PREENGAGEMENT",'ENGAGEMENTS 2026'!O2092,IF($H2092="PREENGAGE",IF($E2092="ATTRIBUE",'ENGAGEMENTS 2026'!AE2092,'ENGAGEMENTS 2026'!O2092),'ENGAGEMENTS 2026'!AE2092))))</f>
        <v/>
      </c>
      <c r="K2092" s="604">
        <f>IF(ISBLANK('ENGAGEMENTS 2026'!W2092),"",'ENGAGEMENTS 2026'!W2092)</f>
        <v/>
      </c>
      <c r="L2092" s="276">
        <f>IF($K2092="","",TODAY()-$K2092)</f>
        <v/>
      </c>
      <c r="M2092">
        <f>IF($A2092="","",IF($H2092="ENGAGE","Engagé",IF(AND($H2092="NON ENGAGE",OR($I2092="INFRUCTUEUX",$I2092="ANNULE")),"Clôturé sans suite","En cours")))</f>
        <v/>
      </c>
      <c r="N2092">
        <f>IF(ISBLANK('ENGAGEMENTS 2026'!C2092),"",'ENGAGEMENTS 2026'!L2092)</f>
        <v/>
      </c>
      <c r="O2092">
        <f>IF(ISBLANK('ENGAGEMENTS 2026'!C2092),"",'ENGAGEMENTS 2026'!M2092)</f>
        <v/>
      </c>
      <c r="P2092">
        <f>IF(ISBLANK('ENGAGEMENTS 2026'!C2092),"",'ENGAGEMENTS 2026'!K2092)</f>
        <v/>
      </c>
      <c r="Q2092">
        <f>IF($A2092="","",IF(OR($E2092="INFRUCTUEUX",$E2092="ANNULE"),$A2092&amp;"|"&amp;(COUNTIFS($A$2:$A2092,$A2092,$E$2:$E2092,"INFRUCTUEUX")+COUNTIFS($A$2:$A2092,$A2092,$E$2:$E2092,"ANNULE")),""))</f>
        <v/>
      </c>
    </row>
    <row r="2093">
      <c r="A2093">
        <f>IF(ISBLANK('ENGAGEMENTS 2026'!C2093),"",IF('ENGAGEMENTS 2026'!C2093="DTSI","DCT",'ENGAGEMENTS 2026'!C2093))</f>
        <v/>
      </c>
      <c r="B2093">
        <f>IF(ISBLANK('ENGAGEMENTS 2026'!C2093),"",'ENGAGEMENTS 2026'!D2093)</f>
        <v/>
      </c>
      <c r="C2093">
        <f>IF(ISBLANK('ENGAGEMENTS 2026'!C2093),"",'ENGAGEMENTS 2026'!E2093)</f>
        <v/>
      </c>
      <c r="D2093">
        <f>IF(ISBLANK('ENGAGEMENTS 2026'!C2093),"",'ENGAGEMENTS 2026'!G2093)</f>
        <v/>
      </c>
      <c r="E2093">
        <f>IF(ISBLANK('ENGAGEMENTS 2026'!C2093),"",'ENGAGEMENTS 2026'!I2093)</f>
        <v/>
      </c>
      <c r="F2093">
        <f>IF(ISBLANK('ENGAGEMENTS 2026'!C2093),"",'ENGAGEMENTS 2026'!J2093)</f>
        <v/>
      </c>
      <c r="G2093">
        <f>IF(ISBLANK('ENGAGEMENTS 2026'!C2093),"",'ENGAGEMENTS 2026'!M2093)</f>
        <v/>
      </c>
      <c r="H2093">
        <f>IF(ISBLANK('ENGAGEMENTS 2026'!C2093),"",'ENGAGEMENTS 2026'!AF2093)</f>
        <v/>
      </c>
      <c r="I2093">
        <f>IF(ISBLANK('ENGAGEMENTS 2026'!C2093),"",'ENGAGEMENTS 2026'!H2093)</f>
        <v/>
      </c>
      <c r="J2093" s="275">
        <f>IF(ISBLANK('ENGAGEMENTS 2026'!C2093),"",IF(AND(OR($E2093="INFRUCTUEUX",$E2093="ANNULE"),$C2093="AOO-M"),'ENGAGEMENTS 2026'!P2093,IF($H2093="EN COURS DE PREENGAGEMENT",'ENGAGEMENTS 2026'!O2093,IF($H2093="PREENGAGE",IF($E2093="ATTRIBUE",'ENGAGEMENTS 2026'!AE2093,'ENGAGEMENTS 2026'!O2093),'ENGAGEMENTS 2026'!AE2093))))</f>
        <v/>
      </c>
      <c r="K2093" s="604">
        <f>IF(ISBLANK('ENGAGEMENTS 2026'!W2093),"",'ENGAGEMENTS 2026'!W2093)</f>
        <v/>
      </c>
      <c r="L2093" s="276">
        <f>IF($K2093="","",TODAY()-$K2093)</f>
        <v/>
      </c>
      <c r="M2093">
        <f>IF($A2093="","",IF($H2093="ENGAGE","Engagé",IF(AND($H2093="NON ENGAGE",OR($I2093="INFRUCTUEUX",$I2093="ANNULE")),"Clôturé sans suite","En cours")))</f>
        <v/>
      </c>
      <c r="N2093">
        <f>IF(ISBLANK('ENGAGEMENTS 2026'!C2093),"",'ENGAGEMENTS 2026'!L2093)</f>
        <v/>
      </c>
      <c r="O2093">
        <f>IF(ISBLANK('ENGAGEMENTS 2026'!C2093),"",'ENGAGEMENTS 2026'!M2093)</f>
        <v/>
      </c>
      <c r="P2093">
        <f>IF(ISBLANK('ENGAGEMENTS 2026'!C2093),"",'ENGAGEMENTS 2026'!K2093)</f>
        <v/>
      </c>
      <c r="Q2093">
        <f>IF($A2093="","",IF(OR($E2093="INFRUCTUEUX",$E2093="ANNULE"),$A2093&amp;"|"&amp;(COUNTIFS($A$2:$A2093,$A2093,$E$2:$E2093,"INFRUCTUEUX")+COUNTIFS($A$2:$A2093,$A2093,$E$2:$E2093,"ANNULE")),""))</f>
        <v/>
      </c>
    </row>
    <row r="2094">
      <c r="A2094">
        <f>IF(ISBLANK('ENGAGEMENTS 2026'!C2094),"",IF('ENGAGEMENTS 2026'!C2094="DTSI","DCT",'ENGAGEMENTS 2026'!C2094))</f>
        <v/>
      </c>
      <c r="B2094">
        <f>IF(ISBLANK('ENGAGEMENTS 2026'!C2094),"",'ENGAGEMENTS 2026'!D2094)</f>
        <v/>
      </c>
      <c r="C2094">
        <f>IF(ISBLANK('ENGAGEMENTS 2026'!C2094),"",'ENGAGEMENTS 2026'!E2094)</f>
        <v/>
      </c>
      <c r="D2094">
        <f>IF(ISBLANK('ENGAGEMENTS 2026'!C2094),"",'ENGAGEMENTS 2026'!G2094)</f>
        <v/>
      </c>
      <c r="E2094">
        <f>IF(ISBLANK('ENGAGEMENTS 2026'!C2094),"",'ENGAGEMENTS 2026'!I2094)</f>
        <v/>
      </c>
      <c r="F2094">
        <f>IF(ISBLANK('ENGAGEMENTS 2026'!C2094),"",'ENGAGEMENTS 2026'!J2094)</f>
        <v/>
      </c>
      <c r="G2094">
        <f>IF(ISBLANK('ENGAGEMENTS 2026'!C2094),"",'ENGAGEMENTS 2026'!M2094)</f>
        <v/>
      </c>
      <c r="H2094">
        <f>IF(ISBLANK('ENGAGEMENTS 2026'!C2094),"",'ENGAGEMENTS 2026'!AF2094)</f>
        <v/>
      </c>
      <c r="I2094">
        <f>IF(ISBLANK('ENGAGEMENTS 2026'!C2094),"",'ENGAGEMENTS 2026'!H2094)</f>
        <v/>
      </c>
      <c r="J2094" s="275">
        <f>IF(ISBLANK('ENGAGEMENTS 2026'!C2094),"",IF(AND(OR($E2094="INFRUCTUEUX",$E2094="ANNULE"),$C2094="AOO-M"),'ENGAGEMENTS 2026'!P2094,IF($H2094="EN COURS DE PREENGAGEMENT",'ENGAGEMENTS 2026'!O2094,IF($H2094="PREENGAGE",IF($E2094="ATTRIBUE",'ENGAGEMENTS 2026'!AE2094,'ENGAGEMENTS 2026'!O2094),'ENGAGEMENTS 2026'!AE2094))))</f>
        <v/>
      </c>
      <c r="K2094" s="604">
        <f>IF(ISBLANK('ENGAGEMENTS 2026'!W2094),"",'ENGAGEMENTS 2026'!W2094)</f>
        <v/>
      </c>
      <c r="L2094" s="276">
        <f>IF($K2094="","",TODAY()-$K2094)</f>
        <v/>
      </c>
      <c r="M2094">
        <f>IF($A2094="","",IF($H2094="ENGAGE","Engagé",IF(AND($H2094="NON ENGAGE",OR($I2094="INFRUCTUEUX",$I2094="ANNULE")),"Clôturé sans suite","En cours")))</f>
        <v/>
      </c>
      <c r="N2094">
        <f>IF(ISBLANK('ENGAGEMENTS 2026'!C2094),"",'ENGAGEMENTS 2026'!L2094)</f>
        <v/>
      </c>
      <c r="O2094">
        <f>IF(ISBLANK('ENGAGEMENTS 2026'!C2094),"",'ENGAGEMENTS 2026'!M2094)</f>
        <v/>
      </c>
      <c r="P2094">
        <f>IF(ISBLANK('ENGAGEMENTS 2026'!C2094),"",'ENGAGEMENTS 2026'!K2094)</f>
        <v/>
      </c>
      <c r="Q2094">
        <f>IF($A2094="","",IF(OR($E2094="INFRUCTUEUX",$E2094="ANNULE"),$A2094&amp;"|"&amp;(COUNTIFS($A$2:$A2094,$A2094,$E$2:$E2094,"INFRUCTUEUX")+COUNTIFS($A$2:$A2094,$A2094,$E$2:$E2094,"ANNULE")),""))</f>
        <v/>
      </c>
    </row>
    <row r="2095">
      <c r="A2095">
        <f>IF(ISBLANK('ENGAGEMENTS 2026'!C2095),"",IF('ENGAGEMENTS 2026'!C2095="DTSI","DCT",'ENGAGEMENTS 2026'!C2095))</f>
        <v/>
      </c>
      <c r="B2095">
        <f>IF(ISBLANK('ENGAGEMENTS 2026'!C2095),"",'ENGAGEMENTS 2026'!D2095)</f>
        <v/>
      </c>
      <c r="C2095">
        <f>IF(ISBLANK('ENGAGEMENTS 2026'!C2095),"",'ENGAGEMENTS 2026'!E2095)</f>
        <v/>
      </c>
      <c r="D2095">
        <f>IF(ISBLANK('ENGAGEMENTS 2026'!C2095),"",'ENGAGEMENTS 2026'!G2095)</f>
        <v/>
      </c>
      <c r="E2095">
        <f>IF(ISBLANK('ENGAGEMENTS 2026'!C2095),"",'ENGAGEMENTS 2026'!I2095)</f>
        <v/>
      </c>
      <c r="F2095">
        <f>IF(ISBLANK('ENGAGEMENTS 2026'!C2095),"",'ENGAGEMENTS 2026'!J2095)</f>
        <v/>
      </c>
      <c r="G2095">
        <f>IF(ISBLANK('ENGAGEMENTS 2026'!C2095),"",'ENGAGEMENTS 2026'!M2095)</f>
        <v/>
      </c>
      <c r="H2095">
        <f>IF(ISBLANK('ENGAGEMENTS 2026'!C2095),"",'ENGAGEMENTS 2026'!AF2095)</f>
        <v/>
      </c>
      <c r="I2095">
        <f>IF(ISBLANK('ENGAGEMENTS 2026'!C2095),"",'ENGAGEMENTS 2026'!H2095)</f>
        <v/>
      </c>
      <c r="J2095" s="275">
        <f>IF(ISBLANK('ENGAGEMENTS 2026'!C2095),"",IF(AND(OR($E2095="INFRUCTUEUX",$E2095="ANNULE"),$C2095="AOO-M"),'ENGAGEMENTS 2026'!P2095,IF($H2095="EN COURS DE PREENGAGEMENT",'ENGAGEMENTS 2026'!O2095,IF($H2095="PREENGAGE",IF($E2095="ATTRIBUE",'ENGAGEMENTS 2026'!AE2095,'ENGAGEMENTS 2026'!O2095),'ENGAGEMENTS 2026'!AE2095))))</f>
        <v/>
      </c>
      <c r="K2095" s="604">
        <f>IF(ISBLANK('ENGAGEMENTS 2026'!W2095),"",'ENGAGEMENTS 2026'!W2095)</f>
        <v/>
      </c>
      <c r="L2095" s="276">
        <f>IF($K2095="","",TODAY()-$K2095)</f>
        <v/>
      </c>
      <c r="M2095">
        <f>IF($A2095="","",IF($H2095="ENGAGE","Engagé",IF(AND($H2095="NON ENGAGE",OR($I2095="INFRUCTUEUX",$I2095="ANNULE")),"Clôturé sans suite","En cours")))</f>
        <v/>
      </c>
      <c r="N2095">
        <f>IF(ISBLANK('ENGAGEMENTS 2026'!C2095),"",'ENGAGEMENTS 2026'!L2095)</f>
        <v/>
      </c>
      <c r="O2095">
        <f>IF(ISBLANK('ENGAGEMENTS 2026'!C2095),"",'ENGAGEMENTS 2026'!M2095)</f>
        <v/>
      </c>
      <c r="P2095">
        <f>IF(ISBLANK('ENGAGEMENTS 2026'!C2095),"",'ENGAGEMENTS 2026'!K2095)</f>
        <v/>
      </c>
      <c r="Q2095">
        <f>IF($A2095="","",IF(OR($E2095="INFRUCTUEUX",$E2095="ANNULE"),$A2095&amp;"|"&amp;(COUNTIFS($A$2:$A2095,$A2095,$E$2:$E2095,"INFRUCTUEUX")+COUNTIFS($A$2:$A2095,$A2095,$E$2:$E2095,"ANNULE")),""))</f>
        <v/>
      </c>
    </row>
    <row r="2096">
      <c r="A2096">
        <f>IF(ISBLANK('ENGAGEMENTS 2026'!C2096),"",IF('ENGAGEMENTS 2026'!C2096="DTSI","DCT",'ENGAGEMENTS 2026'!C2096))</f>
        <v/>
      </c>
      <c r="B2096">
        <f>IF(ISBLANK('ENGAGEMENTS 2026'!C2096),"",'ENGAGEMENTS 2026'!D2096)</f>
        <v/>
      </c>
      <c r="C2096">
        <f>IF(ISBLANK('ENGAGEMENTS 2026'!C2096),"",'ENGAGEMENTS 2026'!E2096)</f>
        <v/>
      </c>
      <c r="D2096">
        <f>IF(ISBLANK('ENGAGEMENTS 2026'!C2096),"",'ENGAGEMENTS 2026'!G2096)</f>
        <v/>
      </c>
      <c r="E2096">
        <f>IF(ISBLANK('ENGAGEMENTS 2026'!C2096),"",'ENGAGEMENTS 2026'!I2096)</f>
        <v/>
      </c>
      <c r="F2096">
        <f>IF(ISBLANK('ENGAGEMENTS 2026'!C2096),"",'ENGAGEMENTS 2026'!J2096)</f>
        <v/>
      </c>
      <c r="G2096">
        <f>IF(ISBLANK('ENGAGEMENTS 2026'!C2096),"",'ENGAGEMENTS 2026'!M2096)</f>
        <v/>
      </c>
      <c r="H2096">
        <f>IF(ISBLANK('ENGAGEMENTS 2026'!C2096),"",'ENGAGEMENTS 2026'!AF2096)</f>
        <v/>
      </c>
      <c r="I2096">
        <f>IF(ISBLANK('ENGAGEMENTS 2026'!C2096),"",'ENGAGEMENTS 2026'!H2096)</f>
        <v/>
      </c>
      <c r="J2096" s="275">
        <f>IF(ISBLANK('ENGAGEMENTS 2026'!C2096),"",IF(AND(OR($E2096="INFRUCTUEUX",$E2096="ANNULE"),$C2096="AOO-M"),'ENGAGEMENTS 2026'!P2096,IF($H2096="EN COURS DE PREENGAGEMENT",'ENGAGEMENTS 2026'!O2096,IF($H2096="PREENGAGE",IF($E2096="ATTRIBUE",'ENGAGEMENTS 2026'!AE2096,'ENGAGEMENTS 2026'!O2096),'ENGAGEMENTS 2026'!AE2096))))</f>
        <v/>
      </c>
      <c r="K2096" s="604">
        <f>IF(ISBLANK('ENGAGEMENTS 2026'!W2096),"",'ENGAGEMENTS 2026'!W2096)</f>
        <v/>
      </c>
      <c r="L2096" s="276">
        <f>IF($K2096="","",TODAY()-$K2096)</f>
        <v/>
      </c>
      <c r="M2096">
        <f>IF($A2096="","",IF($H2096="ENGAGE","Engagé",IF(AND($H2096="NON ENGAGE",OR($I2096="INFRUCTUEUX",$I2096="ANNULE")),"Clôturé sans suite","En cours")))</f>
        <v/>
      </c>
      <c r="N2096">
        <f>IF(ISBLANK('ENGAGEMENTS 2026'!C2096),"",'ENGAGEMENTS 2026'!L2096)</f>
        <v/>
      </c>
      <c r="O2096">
        <f>IF(ISBLANK('ENGAGEMENTS 2026'!C2096),"",'ENGAGEMENTS 2026'!M2096)</f>
        <v/>
      </c>
      <c r="P2096">
        <f>IF(ISBLANK('ENGAGEMENTS 2026'!C2096),"",'ENGAGEMENTS 2026'!K2096)</f>
        <v/>
      </c>
      <c r="Q2096">
        <f>IF($A2096="","",IF(OR($E2096="INFRUCTUEUX",$E2096="ANNULE"),$A2096&amp;"|"&amp;(COUNTIFS($A$2:$A2096,$A2096,$E$2:$E2096,"INFRUCTUEUX")+COUNTIFS($A$2:$A2096,$A2096,$E$2:$E2096,"ANNULE")),""))</f>
        <v/>
      </c>
    </row>
    <row r="2097">
      <c r="A2097">
        <f>IF(ISBLANK('ENGAGEMENTS 2026'!C2097),"",IF('ENGAGEMENTS 2026'!C2097="DTSI","DCT",'ENGAGEMENTS 2026'!C2097))</f>
        <v/>
      </c>
      <c r="B2097">
        <f>IF(ISBLANK('ENGAGEMENTS 2026'!C2097),"",'ENGAGEMENTS 2026'!D2097)</f>
        <v/>
      </c>
      <c r="C2097">
        <f>IF(ISBLANK('ENGAGEMENTS 2026'!C2097),"",'ENGAGEMENTS 2026'!E2097)</f>
        <v/>
      </c>
      <c r="D2097">
        <f>IF(ISBLANK('ENGAGEMENTS 2026'!C2097),"",'ENGAGEMENTS 2026'!G2097)</f>
        <v/>
      </c>
      <c r="E2097">
        <f>IF(ISBLANK('ENGAGEMENTS 2026'!C2097),"",'ENGAGEMENTS 2026'!I2097)</f>
        <v/>
      </c>
      <c r="F2097">
        <f>IF(ISBLANK('ENGAGEMENTS 2026'!C2097),"",'ENGAGEMENTS 2026'!J2097)</f>
        <v/>
      </c>
      <c r="G2097">
        <f>IF(ISBLANK('ENGAGEMENTS 2026'!C2097),"",'ENGAGEMENTS 2026'!M2097)</f>
        <v/>
      </c>
      <c r="H2097">
        <f>IF(ISBLANK('ENGAGEMENTS 2026'!C2097),"",'ENGAGEMENTS 2026'!AF2097)</f>
        <v/>
      </c>
      <c r="I2097">
        <f>IF(ISBLANK('ENGAGEMENTS 2026'!C2097),"",'ENGAGEMENTS 2026'!H2097)</f>
        <v/>
      </c>
      <c r="J2097" s="275">
        <f>IF(ISBLANK('ENGAGEMENTS 2026'!C2097),"",IF(AND(OR($E2097="INFRUCTUEUX",$E2097="ANNULE"),$C2097="AOO-M"),'ENGAGEMENTS 2026'!P2097,IF($H2097="EN COURS DE PREENGAGEMENT",'ENGAGEMENTS 2026'!O2097,IF($H2097="PREENGAGE",IF($E2097="ATTRIBUE",'ENGAGEMENTS 2026'!AE2097,'ENGAGEMENTS 2026'!O2097),'ENGAGEMENTS 2026'!AE2097))))</f>
        <v/>
      </c>
      <c r="K2097" s="604">
        <f>IF(ISBLANK('ENGAGEMENTS 2026'!W2097),"",'ENGAGEMENTS 2026'!W2097)</f>
        <v/>
      </c>
      <c r="L2097" s="276">
        <f>IF($K2097="","",TODAY()-$K2097)</f>
        <v/>
      </c>
      <c r="M2097">
        <f>IF($A2097="","",IF($H2097="ENGAGE","Engagé",IF(AND($H2097="NON ENGAGE",OR($I2097="INFRUCTUEUX",$I2097="ANNULE")),"Clôturé sans suite","En cours")))</f>
        <v/>
      </c>
      <c r="N2097">
        <f>IF(ISBLANK('ENGAGEMENTS 2026'!C2097),"",'ENGAGEMENTS 2026'!L2097)</f>
        <v/>
      </c>
      <c r="O2097">
        <f>IF(ISBLANK('ENGAGEMENTS 2026'!C2097),"",'ENGAGEMENTS 2026'!M2097)</f>
        <v/>
      </c>
      <c r="P2097">
        <f>IF(ISBLANK('ENGAGEMENTS 2026'!C2097),"",'ENGAGEMENTS 2026'!K2097)</f>
        <v/>
      </c>
      <c r="Q2097">
        <f>IF($A2097="","",IF(OR($E2097="INFRUCTUEUX",$E2097="ANNULE"),$A2097&amp;"|"&amp;(COUNTIFS($A$2:$A2097,$A2097,$E$2:$E2097,"INFRUCTUEUX")+COUNTIFS($A$2:$A2097,$A2097,$E$2:$E2097,"ANNULE")),""))</f>
        <v/>
      </c>
    </row>
    <row r="2098">
      <c r="A2098">
        <f>IF(ISBLANK('ENGAGEMENTS 2026'!C2098),"",IF('ENGAGEMENTS 2026'!C2098="DTSI","DCT",'ENGAGEMENTS 2026'!C2098))</f>
        <v/>
      </c>
      <c r="B2098">
        <f>IF(ISBLANK('ENGAGEMENTS 2026'!C2098),"",'ENGAGEMENTS 2026'!D2098)</f>
        <v/>
      </c>
      <c r="C2098">
        <f>IF(ISBLANK('ENGAGEMENTS 2026'!C2098),"",'ENGAGEMENTS 2026'!E2098)</f>
        <v/>
      </c>
      <c r="D2098">
        <f>IF(ISBLANK('ENGAGEMENTS 2026'!C2098),"",'ENGAGEMENTS 2026'!G2098)</f>
        <v/>
      </c>
      <c r="E2098">
        <f>IF(ISBLANK('ENGAGEMENTS 2026'!C2098),"",'ENGAGEMENTS 2026'!I2098)</f>
        <v/>
      </c>
      <c r="F2098">
        <f>IF(ISBLANK('ENGAGEMENTS 2026'!C2098),"",'ENGAGEMENTS 2026'!J2098)</f>
        <v/>
      </c>
      <c r="G2098">
        <f>IF(ISBLANK('ENGAGEMENTS 2026'!C2098),"",'ENGAGEMENTS 2026'!M2098)</f>
        <v/>
      </c>
      <c r="H2098">
        <f>IF(ISBLANK('ENGAGEMENTS 2026'!C2098),"",'ENGAGEMENTS 2026'!AF2098)</f>
        <v/>
      </c>
      <c r="I2098">
        <f>IF(ISBLANK('ENGAGEMENTS 2026'!C2098),"",'ENGAGEMENTS 2026'!H2098)</f>
        <v/>
      </c>
      <c r="J2098" s="275">
        <f>IF(ISBLANK('ENGAGEMENTS 2026'!C2098),"",IF(AND(OR($E2098="INFRUCTUEUX",$E2098="ANNULE"),$C2098="AOO-M"),'ENGAGEMENTS 2026'!P2098,IF($H2098="EN COURS DE PREENGAGEMENT",'ENGAGEMENTS 2026'!O2098,IF($H2098="PREENGAGE",IF($E2098="ATTRIBUE",'ENGAGEMENTS 2026'!AE2098,'ENGAGEMENTS 2026'!O2098),'ENGAGEMENTS 2026'!AE2098))))</f>
        <v/>
      </c>
      <c r="K2098" s="604">
        <f>IF(ISBLANK('ENGAGEMENTS 2026'!W2098),"",'ENGAGEMENTS 2026'!W2098)</f>
        <v/>
      </c>
      <c r="L2098" s="276">
        <f>IF($K2098="","",TODAY()-$K2098)</f>
        <v/>
      </c>
      <c r="M2098">
        <f>IF($A2098="","",IF($H2098="ENGAGE","Engagé",IF(AND($H2098="NON ENGAGE",OR($I2098="INFRUCTUEUX",$I2098="ANNULE")),"Clôturé sans suite","En cours")))</f>
        <v/>
      </c>
      <c r="N2098">
        <f>IF(ISBLANK('ENGAGEMENTS 2026'!C2098),"",'ENGAGEMENTS 2026'!L2098)</f>
        <v/>
      </c>
      <c r="O2098">
        <f>IF(ISBLANK('ENGAGEMENTS 2026'!C2098),"",'ENGAGEMENTS 2026'!M2098)</f>
        <v/>
      </c>
      <c r="P2098">
        <f>IF(ISBLANK('ENGAGEMENTS 2026'!C2098),"",'ENGAGEMENTS 2026'!K2098)</f>
        <v/>
      </c>
      <c r="Q2098">
        <f>IF($A2098="","",IF(OR($E2098="INFRUCTUEUX",$E2098="ANNULE"),$A2098&amp;"|"&amp;(COUNTIFS($A$2:$A2098,$A2098,$E$2:$E2098,"INFRUCTUEUX")+COUNTIFS($A$2:$A2098,$A2098,$E$2:$E2098,"ANNULE")),""))</f>
        <v/>
      </c>
    </row>
    <row r="2099">
      <c r="A2099">
        <f>IF(ISBLANK('ENGAGEMENTS 2026'!C2099),"",IF('ENGAGEMENTS 2026'!C2099="DTSI","DCT",'ENGAGEMENTS 2026'!C2099))</f>
        <v/>
      </c>
      <c r="B2099">
        <f>IF(ISBLANK('ENGAGEMENTS 2026'!C2099),"",'ENGAGEMENTS 2026'!D2099)</f>
        <v/>
      </c>
      <c r="C2099">
        <f>IF(ISBLANK('ENGAGEMENTS 2026'!C2099),"",'ENGAGEMENTS 2026'!E2099)</f>
        <v/>
      </c>
      <c r="D2099">
        <f>IF(ISBLANK('ENGAGEMENTS 2026'!C2099),"",'ENGAGEMENTS 2026'!G2099)</f>
        <v/>
      </c>
      <c r="E2099">
        <f>IF(ISBLANK('ENGAGEMENTS 2026'!C2099),"",'ENGAGEMENTS 2026'!I2099)</f>
        <v/>
      </c>
      <c r="F2099">
        <f>IF(ISBLANK('ENGAGEMENTS 2026'!C2099),"",'ENGAGEMENTS 2026'!J2099)</f>
        <v/>
      </c>
      <c r="G2099">
        <f>IF(ISBLANK('ENGAGEMENTS 2026'!C2099),"",'ENGAGEMENTS 2026'!M2099)</f>
        <v/>
      </c>
      <c r="H2099">
        <f>IF(ISBLANK('ENGAGEMENTS 2026'!C2099),"",'ENGAGEMENTS 2026'!AF2099)</f>
        <v/>
      </c>
      <c r="I2099">
        <f>IF(ISBLANK('ENGAGEMENTS 2026'!C2099),"",'ENGAGEMENTS 2026'!H2099)</f>
        <v/>
      </c>
      <c r="J2099" s="275">
        <f>IF(ISBLANK('ENGAGEMENTS 2026'!C2099),"",IF(AND(OR($E2099="INFRUCTUEUX",$E2099="ANNULE"),$C2099="AOO-M"),'ENGAGEMENTS 2026'!P2099,IF($H2099="EN COURS DE PREENGAGEMENT",'ENGAGEMENTS 2026'!O2099,IF($H2099="PREENGAGE",IF($E2099="ATTRIBUE",'ENGAGEMENTS 2026'!AE2099,'ENGAGEMENTS 2026'!O2099),'ENGAGEMENTS 2026'!AE2099))))</f>
        <v/>
      </c>
      <c r="K2099" s="604">
        <f>IF(ISBLANK('ENGAGEMENTS 2026'!W2099),"",'ENGAGEMENTS 2026'!W2099)</f>
        <v/>
      </c>
      <c r="L2099" s="276">
        <f>IF($K2099="","",TODAY()-$K2099)</f>
        <v/>
      </c>
      <c r="M2099">
        <f>IF($A2099="","",IF($H2099="ENGAGE","Engagé",IF(AND($H2099="NON ENGAGE",OR($I2099="INFRUCTUEUX",$I2099="ANNULE")),"Clôturé sans suite","En cours")))</f>
        <v/>
      </c>
      <c r="N2099">
        <f>IF(ISBLANK('ENGAGEMENTS 2026'!C2099),"",'ENGAGEMENTS 2026'!L2099)</f>
        <v/>
      </c>
      <c r="O2099">
        <f>IF(ISBLANK('ENGAGEMENTS 2026'!C2099),"",'ENGAGEMENTS 2026'!M2099)</f>
        <v/>
      </c>
      <c r="P2099">
        <f>IF(ISBLANK('ENGAGEMENTS 2026'!C2099),"",'ENGAGEMENTS 2026'!K2099)</f>
        <v/>
      </c>
      <c r="Q2099">
        <f>IF($A2099="","",IF(OR($E2099="INFRUCTUEUX",$E2099="ANNULE"),$A2099&amp;"|"&amp;(COUNTIFS($A$2:$A2099,$A2099,$E$2:$E2099,"INFRUCTUEUX")+COUNTIFS($A$2:$A2099,$A2099,$E$2:$E2099,"ANNULE")),""))</f>
        <v/>
      </c>
    </row>
    <row r="2100">
      <c r="A2100">
        <f>IF(ISBLANK('ENGAGEMENTS 2026'!C2100),"",IF('ENGAGEMENTS 2026'!C2100="DTSI","DCT",'ENGAGEMENTS 2026'!C2100))</f>
        <v/>
      </c>
      <c r="B2100">
        <f>IF(ISBLANK('ENGAGEMENTS 2026'!C2100),"",'ENGAGEMENTS 2026'!D2100)</f>
        <v/>
      </c>
      <c r="C2100">
        <f>IF(ISBLANK('ENGAGEMENTS 2026'!C2100),"",'ENGAGEMENTS 2026'!E2100)</f>
        <v/>
      </c>
      <c r="D2100">
        <f>IF(ISBLANK('ENGAGEMENTS 2026'!C2100),"",'ENGAGEMENTS 2026'!G2100)</f>
        <v/>
      </c>
      <c r="E2100">
        <f>IF(ISBLANK('ENGAGEMENTS 2026'!C2100),"",'ENGAGEMENTS 2026'!I2100)</f>
        <v/>
      </c>
      <c r="F2100">
        <f>IF(ISBLANK('ENGAGEMENTS 2026'!C2100),"",'ENGAGEMENTS 2026'!J2100)</f>
        <v/>
      </c>
      <c r="G2100">
        <f>IF(ISBLANK('ENGAGEMENTS 2026'!C2100),"",'ENGAGEMENTS 2026'!M2100)</f>
        <v/>
      </c>
      <c r="H2100">
        <f>IF(ISBLANK('ENGAGEMENTS 2026'!C2100),"",'ENGAGEMENTS 2026'!AF2100)</f>
        <v/>
      </c>
      <c r="I2100">
        <f>IF(ISBLANK('ENGAGEMENTS 2026'!C2100),"",'ENGAGEMENTS 2026'!H2100)</f>
        <v/>
      </c>
      <c r="J2100" s="275">
        <f>IF(ISBLANK('ENGAGEMENTS 2026'!C2100),"",IF(AND(OR($E2100="INFRUCTUEUX",$E2100="ANNULE"),$C2100="AOO-M"),'ENGAGEMENTS 2026'!P2100,IF($H2100="EN COURS DE PREENGAGEMENT",'ENGAGEMENTS 2026'!O2100,IF($H2100="PREENGAGE",IF($E2100="ATTRIBUE",'ENGAGEMENTS 2026'!AE2100,'ENGAGEMENTS 2026'!O2100),'ENGAGEMENTS 2026'!AE2100))))</f>
        <v/>
      </c>
      <c r="K2100" s="604">
        <f>IF(ISBLANK('ENGAGEMENTS 2026'!W2100),"",'ENGAGEMENTS 2026'!W2100)</f>
        <v/>
      </c>
      <c r="L2100" s="276">
        <f>IF($K2100="","",TODAY()-$K2100)</f>
        <v/>
      </c>
      <c r="M2100">
        <f>IF($A2100="","",IF($H2100="ENGAGE","Engagé",IF(AND($H2100="NON ENGAGE",OR($I2100="INFRUCTUEUX",$I2100="ANNULE")),"Clôturé sans suite","En cours")))</f>
        <v/>
      </c>
      <c r="N2100">
        <f>IF(ISBLANK('ENGAGEMENTS 2026'!C2100),"",'ENGAGEMENTS 2026'!L2100)</f>
        <v/>
      </c>
      <c r="O2100">
        <f>IF(ISBLANK('ENGAGEMENTS 2026'!C2100),"",'ENGAGEMENTS 2026'!M2100)</f>
        <v/>
      </c>
      <c r="P2100">
        <f>IF(ISBLANK('ENGAGEMENTS 2026'!C2100),"",'ENGAGEMENTS 2026'!K2100)</f>
        <v/>
      </c>
      <c r="Q2100">
        <f>IF($A2100="","",IF(OR($E2100="INFRUCTUEUX",$E2100="ANNULE"),$A2100&amp;"|"&amp;(COUNTIFS($A$2:$A2100,$A2100,$E$2:$E2100,"INFRUCTUEUX")+COUNTIFS($A$2:$A2100,$A2100,$E$2:$E2100,"ANNULE")),""))</f>
        <v/>
      </c>
    </row>
    <row r="2101">
      <c r="A2101">
        <f>IF(ISBLANK('ENGAGEMENTS 2026'!C2101),"",IF('ENGAGEMENTS 2026'!C2101="DTSI","DCT",'ENGAGEMENTS 2026'!C2101))</f>
        <v/>
      </c>
      <c r="B2101">
        <f>IF(ISBLANK('ENGAGEMENTS 2026'!C2101),"",'ENGAGEMENTS 2026'!D2101)</f>
        <v/>
      </c>
      <c r="C2101">
        <f>IF(ISBLANK('ENGAGEMENTS 2026'!C2101),"",'ENGAGEMENTS 2026'!E2101)</f>
        <v/>
      </c>
      <c r="D2101">
        <f>IF(ISBLANK('ENGAGEMENTS 2026'!C2101),"",'ENGAGEMENTS 2026'!G2101)</f>
        <v/>
      </c>
      <c r="E2101">
        <f>IF(ISBLANK('ENGAGEMENTS 2026'!C2101),"",'ENGAGEMENTS 2026'!I2101)</f>
        <v/>
      </c>
      <c r="F2101">
        <f>IF(ISBLANK('ENGAGEMENTS 2026'!C2101),"",'ENGAGEMENTS 2026'!J2101)</f>
        <v/>
      </c>
      <c r="G2101">
        <f>IF(ISBLANK('ENGAGEMENTS 2026'!C2101),"",'ENGAGEMENTS 2026'!M2101)</f>
        <v/>
      </c>
      <c r="H2101">
        <f>IF(ISBLANK('ENGAGEMENTS 2026'!C2101),"",'ENGAGEMENTS 2026'!AF2101)</f>
        <v/>
      </c>
      <c r="I2101">
        <f>IF(ISBLANK('ENGAGEMENTS 2026'!C2101),"",'ENGAGEMENTS 2026'!H2101)</f>
        <v/>
      </c>
      <c r="J2101" s="275">
        <f>IF(ISBLANK('ENGAGEMENTS 2026'!C2101),"",IF(AND(OR($E2101="INFRUCTUEUX",$E2101="ANNULE"),$C2101="AOO-M"),'ENGAGEMENTS 2026'!P2101,IF($H2101="EN COURS DE PREENGAGEMENT",'ENGAGEMENTS 2026'!O2101,IF($H2101="PREENGAGE",IF($E2101="ATTRIBUE",'ENGAGEMENTS 2026'!AE2101,'ENGAGEMENTS 2026'!O2101),'ENGAGEMENTS 2026'!AE2101))))</f>
        <v/>
      </c>
      <c r="K2101" s="604">
        <f>IF(ISBLANK('ENGAGEMENTS 2026'!W2101),"",'ENGAGEMENTS 2026'!W2101)</f>
        <v/>
      </c>
      <c r="L2101" s="276">
        <f>IF($K2101="","",TODAY()-$K2101)</f>
        <v/>
      </c>
      <c r="M2101">
        <f>IF($A2101="","",IF($H2101="ENGAGE","Engagé",IF(AND($H2101="NON ENGAGE",OR($I2101="INFRUCTUEUX",$I2101="ANNULE")),"Clôturé sans suite","En cours")))</f>
        <v/>
      </c>
      <c r="N2101">
        <f>IF(ISBLANK('ENGAGEMENTS 2026'!C2101),"",'ENGAGEMENTS 2026'!L2101)</f>
        <v/>
      </c>
      <c r="O2101">
        <f>IF(ISBLANK('ENGAGEMENTS 2026'!C2101),"",'ENGAGEMENTS 2026'!M2101)</f>
        <v/>
      </c>
      <c r="P2101">
        <f>IF(ISBLANK('ENGAGEMENTS 2026'!C2101),"",'ENGAGEMENTS 2026'!K2101)</f>
        <v/>
      </c>
      <c r="Q2101">
        <f>IF($A2101="","",IF(OR($E2101="INFRUCTUEUX",$E2101="ANNULE"),$A2101&amp;"|"&amp;(COUNTIFS($A$2:$A2101,$A2101,$E$2:$E2101,"INFRUCTUEUX")+COUNTIFS($A$2:$A2101,$A2101,$E$2:$E2101,"ANNULE")),""))</f>
        <v/>
      </c>
    </row>
    <row r="2102">
      <c r="A2102">
        <f>IF(ISBLANK('ENGAGEMENTS 2026'!C2102),"",IF('ENGAGEMENTS 2026'!C2102="DTSI","DCT",'ENGAGEMENTS 2026'!C2102))</f>
        <v/>
      </c>
      <c r="B2102">
        <f>IF(ISBLANK('ENGAGEMENTS 2026'!C2102),"",'ENGAGEMENTS 2026'!D2102)</f>
        <v/>
      </c>
      <c r="C2102">
        <f>IF(ISBLANK('ENGAGEMENTS 2026'!C2102),"",'ENGAGEMENTS 2026'!E2102)</f>
        <v/>
      </c>
      <c r="D2102">
        <f>IF(ISBLANK('ENGAGEMENTS 2026'!C2102),"",'ENGAGEMENTS 2026'!G2102)</f>
        <v/>
      </c>
      <c r="E2102">
        <f>IF(ISBLANK('ENGAGEMENTS 2026'!C2102),"",'ENGAGEMENTS 2026'!I2102)</f>
        <v/>
      </c>
      <c r="F2102">
        <f>IF(ISBLANK('ENGAGEMENTS 2026'!C2102),"",'ENGAGEMENTS 2026'!J2102)</f>
        <v/>
      </c>
      <c r="G2102">
        <f>IF(ISBLANK('ENGAGEMENTS 2026'!C2102),"",'ENGAGEMENTS 2026'!M2102)</f>
        <v/>
      </c>
      <c r="H2102">
        <f>IF(ISBLANK('ENGAGEMENTS 2026'!C2102),"",'ENGAGEMENTS 2026'!AF2102)</f>
        <v/>
      </c>
      <c r="I2102">
        <f>IF(ISBLANK('ENGAGEMENTS 2026'!C2102),"",'ENGAGEMENTS 2026'!H2102)</f>
        <v/>
      </c>
      <c r="J2102" s="275">
        <f>IF(ISBLANK('ENGAGEMENTS 2026'!C2102),"",IF(AND(OR($E2102="INFRUCTUEUX",$E2102="ANNULE"),$C2102="AOO-M"),'ENGAGEMENTS 2026'!P2102,IF($H2102="EN COURS DE PREENGAGEMENT",'ENGAGEMENTS 2026'!O2102,IF($H2102="PREENGAGE",IF($E2102="ATTRIBUE",'ENGAGEMENTS 2026'!AE2102,'ENGAGEMENTS 2026'!O2102),'ENGAGEMENTS 2026'!AE2102))))</f>
        <v/>
      </c>
      <c r="K2102" s="604">
        <f>IF(ISBLANK('ENGAGEMENTS 2026'!W2102),"",'ENGAGEMENTS 2026'!W2102)</f>
        <v/>
      </c>
      <c r="L2102" s="276">
        <f>IF($K2102="","",TODAY()-$K2102)</f>
        <v/>
      </c>
      <c r="M2102">
        <f>IF($A2102="","",IF($H2102="ENGAGE","Engagé",IF(AND($H2102="NON ENGAGE",OR($I2102="INFRUCTUEUX",$I2102="ANNULE")),"Clôturé sans suite","En cours")))</f>
        <v/>
      </c>
      <c r="N2102">
        <f>IF(ISBLANK('ENGAGEMENTS 2026'!C2102),"",'ENGAGEMENTS 2026'!L2102)</f>
        <v/>
      </c>
      <c r="O2102">
        <f>IF(ISBLANK('ENGAGEMENTS 2026'!C2102),"",'ENGAGEMENTS 2026'!M2102)</f>
        <v/>
      </c>
      <c r="P2102">
        <f>IF(ISBLANK('ENGAGEMENTS 2026'!C2102),"",'ENGAGEMENTS 2026'!K2102)</f>
        <v/>
      </c>
      <c r="Q2102">
        <f>IF($A2102="","",IF(OR($E2102="INFRUCTUEUX",$E2102="ANNULE"),$A2102&amp;"|"&amp;(COUNTIFS($A$2:$A2102,$A2102,$E$2:$E2102,"INFRUCTUEUX")+COUNTIFS($A$2:$A2102,$A2102,$E$2:$E2102,"ANNULE")),""))</f>
        <v/>
      </c>
    </row>
    <row r="2103">
      <c r="A2103">
        <f>IF(ISBLANK('ENGAGEMENTS 2026'!C2103),"",IF('ENGAGEMENTS 2026'!C2103="DTSI","DCT",'ENGAGEMENTS 2026'!C2103))</f>
        <v/>
      </c>
      <c r="B2103">
        <f>IF(ISBLANK('ENGAGEMENTS 2026'!C2103),"",'ENGAGEMENTS 2026'!D2103)</f>
        <v/>
      </c>
      <c r="C2103">
        <f>IF(ISBLANK('ENGAGEMENTS 2026'!C2103),"",'ENGAGEMENTS 2026'!E2103)</f>
        <v/>
      </c>
      <c r="D2103">
        <f>IF(ISBLANK('ENGAGEMENTS 2026'!C2103),"",'ENGAGEMENTS 2026'!G2103)</f>
        <v/>
      </c>
      <c r="E2103">
        <f>IF(ISBLANK('ENGAGEMENTS 2026'!C2103),"",'ENGAGEMENTS 2026'!I2103)</f>
        <v/>
      </c>
      <c r="F2103">
        <f>IF(ISBLANK('ENGAGEMENTS 2026'!C2103),"",'ENGAGEMENTS 2026'!J2103)</f>
        <v/>
      </c>
      <c r="G2103">
        <f>IF(ISBLANK('ENGAGEMENTS 2026'!C2103),"",'ENGAGEMENTS 2026'!M2103)</f>
        <v/>
      </c>
      <c r="H2103">
        <f>IF(ISBLANK('ENGAGEMENTS 2026'!C2103),"",'ENGAGEMENTS 2026'!AF2103)</f>
        <v/>
      </c>
      <c r="I2103">
        <f>IF(ISBLANK('ENGAGEMENTS 2026'!C2103),"",'ENGAGEMENTS 2026'!H2103)</f>
        <v/>
      </c>
      <c r="J2103" s="275">
        <f>IF(ISBLANK('ENGAGEMENTS 2026'!C2103),"",IF(AND(OR($E2103="INFRUCTUEUX",$E2103="ANNULE"),$C2103="AOO-M"),'ENGAGEMENTS 2026'!P2103,IF($H2103="EN COURS DE PREENGAGEMENT",'ENGAGEMENTS 2026'!O2103,IF($H2103="PREENGAGE",IF($E2103="ATTRIBUE",'ENGAGEMENTS 2026'!AE2103,'ENGAGEMENTS 2026'!O2103),'ENGAGEMENTS 2026'!AE2103))))</f>
        <v/>
      </c>
      <c r="K2103" s="604">
        <f>IF(ISBLANK('ENGAGEMENTS 2026'!W2103),"",'ENGAGEMENTS 2026'!W2103)</f>
        <v/>
      </c>
      <c r="L2103" s="276">
        <f>IF($K2103="","",TODAY()-$K2103)</f>
        <v/>
      </c>
      <c r="M2103">
        <f>IF($A2103="","",IF($H2103="ENGAGE","Engagé",IF(AND($H2103="NON ENGAGE",OR($I2103="INFRUCTUEUX",$I2103="ANNULE")),"Clôturé sans suite","En cours")))</f>
        <v/>
      </c>
      <c r="N2103">
        <f>IF(ISBLANK('ENGAGEMENTS 2026'!C2103),"",'ENGAGEMENTS 2026'!L2103)</f>
        <v/>
      </c>
      <c r="O2103">
        <f>IF(ISBLANK('ENGAGEMENTS 2026'!C2103),"",'ENGAGEMENTS 2026'!M2103)</f>
        <v/>
      </c>
      <c r="P2103">
        <f>IF(ISBLANK('ENGAGEMENTS 2026'!C2103),"",'ENGAGEMENTS 2026'!K2103)</f>
        <v/>
      </c>
      <c r="Q2103">
        <f>IF($A2103="","",IF(OR($E2103="INFRUCTUEUX",$E2103="ANNULE"),$A2103&amp;"|"&amp;(COUNTIFS($A$2:$A2103,$A2103,$E$2:$E2103,"INFRUCTUEUX")+COUNTIFS($A$2:$A2103,$A2103,$E$2:$E2103,"ANNULE")),""))</f>
        <v/>
      </c>
    </row>
    <row r="2104">
      <c r="A2104">
        <f>IF(ISBLANK('ENGAGEMENTS 2026'!C2104),"",IF('ENGAGEMENTS 2026'!C2104="DTSI","DCT",'ENGAGEMENTS 2026'!C2104))</f>
        <v/>
      </c>
      <c r="B2104">
        <f>IF(ISBLANK('ENGAGEMENTS 2026'!C2104),"",'ENGAGEMENTS 2026'!D2104)</f>
        <v/>
      </c>
      <c r="C2104">
        <f>IF(ISBLANK('ENGAGEMENTS 2026'!C2104),"",'ENGAGEMENTS 2026'!E2104)</f>
        <v/>
      </c>
      <c r="D2104">
        <f>IF(ISBLANK('ENGAGEMENTS 2026'!C2104),"",'ENGAGEMENTS 2026'!G2104)</f>
        <v/>
      </c>
      <c r="E2104">
        <f>IF(ISBLANK('ENGAGEMENTS 2026'!C2104),"",'ENGAGEMENTS 2026'!I2104)</f>
        <v/>
      </c>
      <c r="F2104">
        <f>IF(ISBLANK('ENGAGEMENTS 2026'!C2104),"",'ENGAGEMENTS 2026'!J2104)</f>
        <v/>
      </c>
      <c r="G2104">
        <f>IF(ISBLANK('ENGAGEMENTS 2026'!C2104),"",'ENGAGEMENTS 2026'!M2104)</f>
        <v/>
      </c>
      <c r="H2104">
        <f>IF(ISBLANK('ENGAGEMENTS 2026'!C2104),"",'ENGAGEMENTS 2026'!AF2104)</f>
        <v/>
      </c>
      <c r="I2104">
        <f>IF(ISBLANK('ENGAGEMENTS 2026'!C2104),"",'ENGAGEMENTS 2026'!H2104)</f>
        <v/>
      </c>
      <c r="J2104" s="275">
        <f>IF(ISBLANK('ENGAGEMENTS 2026'!C2104),"",IF(AND(OR($E2104="INFRUCTUEUX",$E2104="ANNULE"),$C2104="AOO-M"),'ENGAGEMENTS 2026'!P2104,IF($H2104="EN COURS DE PREENGAGEMENT",'ENGAGEMENTS 2026'!O2104,IF($H2104="PREENGAGE",IF($E2104="ATTRIBUE",'ENGAGEMENTS 2026'!AE2104,'ENGAGEMENTS 2026'!O2104),'ENGAGEMENTS 2026'!AE2104))))</f>
        <v/>
      </c>
      <c r="K2104" s="604">
        <f>IF(ISBLANK('ENGAGEMENTS 2026'!W2104),"",'ENGAGEMENTS 2026'!W2104)</f>
        <v/>
      </c>
      <c r="L2104" s="276">
        <f>IF($K2104="","",TODAY()-$K2104)</f>
        <v/>
      </c>
      <c r="M2104">
        <f>IF($A2104="","",IF($H2104="ENGAGE","Engagé",IF(AND($H2104="NON ENGAGE",OR($I2104="INFRUCTUEUX",$I2104="ANNULE")),"Clôturé sans suite","En cours")))</f>
        <v/>
      </c>
      <c r="N2104">
        <f>IF(ISBLANK('ENGAGEMENTS 2026'!C2104),"",'ENGAGEMENTS 2026'!L2104)</f>
        <v/>
      </c>
      <c r="O2104">
        <f>IF(ISBLANK('ENGAGEMENTS 2026'!C2104),"",'ENGAGEMENTS 2026'!M2104)</f>
        <v/>
      </c>
      <c r="P2104">
        <f>IF(ISBLANK('ENGAGEMENTS 2026'!C2104),"",'ENGAGEMENTS 2026'!K2104)</f>
        <v/>
      </c>
      <c r="Q2104">
        <f>IF($A2104="","",IF(OR($E2104="INFRUCTUEUX",$E2104="ANNULE"),$A2104&amp;"|"&amp;(COUNTIFS($A$2:$A2104,$A2104,$E$2:$E2104,"INFRUCTUEUX")+COUNTIFS($A$2:$A2104,$A2104,$E$2:$E2104,"ANNULE")),""))</f>
        <v/>
      </c>
    </row>
    <row r="2105">
      <c r="A2105">
        <f>IF(ISBLANK('ENGAGEMENTS 2026'!C2105),"",IF('ENGAGEMENTS 2026'!C2105="DTSI","DCT",'ENGAGEMENTS 2026'!C2105))</f>
        <v/>
      </c>
      <c r="B2105">
        <f>IF(ISBLANK('ENGAGEMENTS 2026'!C2105),"",'ENGAGEMENTS 2026'!D2105)</f>
        <v/>
      </c>
      <c r="C2105">
        <f>IF(ISBLANK('ENGAGEMENTS 2026'!C2105),"",'ENGAGEMENTS 2026'!E2105)</f>
        <v/>
      </c>
      <c r="D2105">
        <f>IF(ISBLANK('ENGAGEMENTS 2026'!C2105),"",'ENGAGEMENTS 2026'!G2105)</f>
        <v/>
      </c>
      <c r="E2105">
        <f>IF(ISBLANK('ENGAGEMENTS 2026'!C2105),"",'ENGAGEMENTS 2026'!I2105)</f>
        <v/>
      </c>
      <c r="F2105">
        <f>IF(ISBLANK('ENGAGEMENTS 2026'!C2105),"",'ENGAGEMENTS 2026'!J2105)</f>
        <v/>
      </c>
      <c r="G2105">
        <f>IF(ISBLANK('ENGAGEMENTS 2026'!C2105),"",'ENGAGEMENTS 2026'!M2105)</f>
        <v/>
      </c>
      <c r="H2105">
        <f>IF(ISBLANK('ENGAGEMENTS 2026'!C2105),"",'ENGAGEMENTS 2026'!AF2105)</f>
        <v/>
      </c>
      <c r="I2105">
        <f>IF(ISBLANK('ENGAGEMENTS 2026'!C2105),"",'ENGAGEMENTS 2026'!H2105)</f>
        <v/>
      </c>
      <c r="J2105" s="275">
        <f>IF(ISBLANK('ENGAGEMENTS 2026'!C2105),"",IF(AND(OR($E2105="INFRUCTUEUX",$E2105="ANNULE"),$C2105="AOO-M"),'ENGAGEMENTS 2026'!P2105,IF($H2105="EN COURS DE PREENGAGEMENT",'ENGAGEMENTS 2026'!O2105,IF($H2105="PREENGAGE",IF($E2105="ATTRIBUE",'ENGAGEMENTS 2026'!AE2105,'ENGAGEMENTS 2026'!O2105),'ENGAGEMENTS 2026'!AE2105))))</f>
        <v/>
      </c>
      <c r="K2105" s="604">
        <f>IF(ISBLANK('ENGAGEMENTS 2026'!W2105),"",'ENGAGEMENTS 2026'!W2105)</f>
        <v/>
      </c>
      <c r="L2105" s="276">
        <f>IF($K2105="","",TODAY()-$K2105)</f>
        <v/>
      </c>
      <c r="M2105">
        <f>IF($A2105="","",IF($H2105="ENGAGE","Engagé",IF(AND($H2105="NON ENGAGE",OR($I2105="INFRUCTUEUX",$I2105="ANNULE")),"Clôturé sans suite","En cours")))</f>
        <v/>
      </c>
      <c r="N2105">
        <f>IF(ISBLANK('ENGAGEMENTS 2026'!C2105),"",'ENGAGEMENTS 2026'!L2105)</f>
        <v/>
      </c>
      <c r="O2105">
        <f>IF(ISBLANK('ENGAGEMENTS 2026'!C2105),"",'ENGAGEMENTS 2026'!M2105)</f>
        <v/>
      </c>
      <c r="P2105">
        <f>IF(ISBLANK('ENGAGEMENTS 2026'!C2105),"",'ENGAGEMENTS 2026'!K2105)</f>
        <v/>
      </c>
      <c r="Q2105">
        <f>IF($A2105="","",IF(OR($E2105="INFRUCTUEUX",$E2105="ANNULE"),$A2105&amp;"|"&amp;(COUNTIFS($A$2:$A2105,$A2105,$E$2:$E2105,"INFRUCTUEUX")+COUNTIFS($A$2:$A2105,$A2105,$E$2:$E2105,"ANNULE")),""))</f>
        <v/>
      </c>
    </row>
    <row r="2106">
      <c r="A2106">
        <f>IF(ISBLANK('ENGAGEMENTS 2026'!C2106),"",IF('ENGAGEMENTS 2026'!C2106="DTSI","DCT",'ENGAGEMENTS 2026'!C2106))</f>
        <v/>
      </c>
      <c r="B2106">
        <f>IF(ISBLANK('ENGAGEMENTS 2026'!C2106),"",'ENGAGEMENTS 2026'!D2106)</f>
        <v/>
      </c>
      <c r="C2106">
        <f>IF(ISBLANK('ENGAGEMENTS 2026'!C2106),"",'ENGAGEMENTS 2026'!E2106)</f>
        <v/>
      </c>
      <c r="D2106">
        <f>IF(ISBLANK('ENGAGEMENTS 2026'!C2106),"",'ENGAGEMENTS 2026'!G2106)</f>
        <v/>
      </c>
      <c r="E2106">
        <f>IF(ISBLANK('ENGAGEMENTS 2026'!C2106),"",'ENGAGEMENTS 2026'!I2106)</f>
        <v/>
      </c>
      <c r="F2106">
        <f>IF(ISBLANK('ENGAGEMENTS 2026'!C2106),"",'ENGAGEMENTS 2026'!J2106)</f>
        <v/>
      </c>
      <c r="G2106">
        <f>IF(ISBLANK('ENGAGEMENTS 2026'!C2106),"",'ENGAGEMENTS 2026'!M2106)</f>
        <v/>
      </c>
      <c r="H2106">
        <f>IF(ISBLANK('ENGAGEMENTS 2026'!C2106),"",'ENGAGEMENTS 2026'!AF2106)</f>
        <v/>
      </c>
      <c r="I2106">
        <f>IF(ISBLANK('ENGAGEMENTS 2026'!C2106),"",'ENGAGEMENTS 2026'!H2106)</f>
        <v/>
      </c>
      <c r="J2106" s="275">
        <f>IF(ISBLANK('ENGAGEMENTS 2026'!C2106),"",IF(AND(OR($E2106="INFRUCTUEUX",$E2106="ANNULE"),$C2106="AOO-M"),'ENGAGEMENTS 2026'!P2106,IF($H2106="EN COURS DE PREENGAGEMENT",'ENGAGEMENTS 2026'!O2106,IF($H2106="PREENGAGE",IF($E2106="ATTRIBUE",'ENGAGEMENTS 2026'!AE2106,'ENGAGEMENTS 2026'!O2106),'ENGAGEMENTS 2026'!AE2106))))</f>
        <v/>
      </c>
      <c r="K2106" s="604">
        <f>IF(ISBLANK('ENGAGEMENTS 2026'!W2106),"",'ENGAGEMENTS 2026'!W2106)</f>
        <v/>
      </c>
      <c r="L2106" s="276">
        <f>IF($K2106="","",TODAY()-$K2106)</f>
        <v/>
      </c>
      <c r="M2106">
        <f>IF($A2106="","",IF($H2106="ENGAGE","Engagé",IF(AND($H2106="NON ENGAGE",OR($I2106="INFRUCTUEUX",$I2106="ANNULE")),"Clôturé sans suite","En cours")))</f>
        <v/>
      </c>
      <c r="N2106">
        <f>IF(ISBLANK('ENGAGEMENTS 2026'!C2106),"",'ENGAGEMENTS 2026'!L2106)</f>
        <v/>
      </c>
      <c r="O2106">
        <f>IF(ISBLANK('ENGAGEMENTS 2026'!C2106),"",'ENGAGEMENTS 2026'!M2106)</f>
        <v/>
      </c>
      <c r="P2106">
        <f>IF(ISBLANK('ENGAGEMENTS 2026'!C2106),"",'ENGAGEMENTS 2026'!K2106)</f>
        <v/>
      </c>
      <c r="Q2106">
        <f>IF($A2106="","",IF(OR($E2106="INFRUCTUEUX",$E2106="ANNULE"),$A2106&amp;"|"&amp;(COUNTIFS($A$2:$A2106,$A2106,$E$2:$E2106,"INFRUCTUEUX")+COUNTIFS($A$2:$A2106,$A2106,$E$2:$E2106,"ANNULE")),""))</f>
        <v/>
      </c>
    </row>
    <row r="2107">
      <c r="A2107">
        <f>IF(ISBLANK('ENGAGEMENTS 2026'!C2107),"",IF('ENGAGEMENTS 2026'!C2107="DTSI","DCT",'ENGAGEMENTS 2026'!C2107))</f>
        <v/>
      </c>
      <c r="B2107">
        <f>IF(ISBLANK('ENGAGEMENTS 2026'!C2107),"",'ENGAGEMENTS 2026'!D2107)</f>
        <v/>
      </c>
      <c r="C2107">
        <f>IF(ISBLANK('ENGAGEMENTS 2026'!C2107),"",'ENGAGEMENTS 2026'!E2107)</f>
        <v/>
      </c>
      <c r="D2107">
        <f>IF(ISBLANK('ENGAGEMENTS 2026'!C2107),"",'ENGAGEMENTS 2026'!G2107)</f>
        <v/>
      </c>
      <c r="E2107">
        <f>IF(ISBLANK('ENGAGEMENTS 2026'!C2107),"",'ENGAGEMENTS 2026'!I2107)</f>
        <v/>
      </c>
      <c r="F2107">
        <f>IF(ISBLANK('ENGAGEMENTS 2026'!C2107),"",'ENGAGEMENTS 2026'!J2107)</f>
        <v/>
      </c>
      <c r="G2107">
        <f>IF(ISBLANK('ENGAGEMENTS 2026'!C2107),"",'ENGAGEMENTS 2026'!M2107)</f>
        <v/>
      </c>
      <c r="H2107">
        <f>IF(ISBLANK('ENGAGEMENTS 2026'!C2107),"",'ENGAGEMENTS 2026'!AF2107)</f>
        <v/>
      </c>
      <c r="I2107">
        <f>IF(ISBLANK('ENGAGEMENTS 2026'!C2107),"",'ENGAGEMENTS 2026'!H2107)</f>
        <v/>
      </c>
      <c r="J2107" s="275">
        <f>IF(ISBLANK('ENGAGEMENTS 2026'!C2107),"",IF(AND(OR($E2107="INFRUCTUEUX",$E2107="ANNULE"),$C2107="AOO-M"),'ENGAGEMENTS 2026'!P2107,IF($H2107="EN COURS DE PREENGAGEMENT",'ENGAGEMENTS 2026'!O2107,IF($H2107="PREENGAGE",IF($E2107="ATTRIBUE",'ENGAGEMENTS 2026'!AE2107,'ENGAGEMENTS 2026'!O2107),'ENGAGEMENTS 2026'!AE2107))))</f>
        <v/>
      </c>
      <c r="K2107" s="604">
        <f>IF(ISBLANK('ENGAGEMENTS 2026'!W2107),"",'ENGAGEMENTS 2026'!W2107)</f>
        <v/>
      </c>
      <c r="L2107" s="276">
        <f>IF($K2107="","",TODAY()-$K2107)</f>
        <v/>
      </c>
      <c r="M2107">
        <f>IF($A2107="","",IF($H2107="ENGAGE","Engagé",IF(AND($H2107="NON ENGAGE",OR($I2107="INFRUCTUEUX",$I2107="ANNULE")),"Clôturé sans suite","En cours")))</f>
        <v/>
      </c>
      <c r="N2107">
        <f>IF(ISBLANK('ENGAGEMENTS 2026'!C2107),"",'ENGAGEMENTS 2026'!L2107)</f>
        <v/>
      </c>
      <c r="O2107">
        <f>IF(ISBLANK('ENGAGEMENTS 2026'!C2107),"",'ENGAGEMENTS 2026'!M2107)</f>
        <v/>
      </c>
      <c r="P2107">
        <f>IF(ISBLANK('ENGAGEMENTS 2026'!C2107),"",'ENGAGEMENTS 2026'!K2107)</f>
        <v/>
      </c>
      <c r="Q2107">
        <f>IF($A2107="","",IF(OR($E2107="INFRUCTUEUX",$E2107="ANNULE"),$A2107&amp;"|"&amp;(COUNTIFS($A$2:$A2107,$A2107,$E$2:$E2107,"INFRUCTUEUX")+COUNTIFS($A$2:$A2107,$A2107,$E$2:$E2107,"ANNULE")),""))</f>
        <v/>
      </c>
    </row>
    <row r="2108">
      <c r="A2108">
        <f>IF(ISBLANK('ENGAGEMENTS 2026'!C2108),"",IF('ENGAGEMENTS 2026'!C2108="DTSI","DCT",'ENGAGEMENTS 2026'!C2108))</f>
        <v/>
      </c>
      <c r="B2108">
        <f>IF(ISBLANK('ENGAGEMENTS 2026'!C2108),"",'ENGAGEMENTS 2026'!D2108)</f>
        <v/>
      </c>
      <c r="C2108">
        <f>IF(ISBLANK('ENGAGEMENTS 2026'!C2108),"",'ENGAGEMENTS 2026'!E2108)</f>
        <v/>
      </c>
      <c r="D2108">
        <f>IF(ISBLANK('ENGAGEMENTS 2026'!C2108),"",'ENGAGEMENTS 2026'!G2108)</f>
        <v/>
      </c>
      <c r="E2108">
        <f>IF(ISBLANK('ENGAGEMENTS 2026'!C2108),"",'ENGAGEMENTS 2026'!I2108)</f>
        <v/>
      </c>
      <c r="F2108">
        <f>IF(ISBLANK('ENGAGEMENTS 2026'!C2108),"",'ENGAGEMENTS 2026'!J2108)</f>
        <v/>
      </c>
      <c r="G2108">
        <f>IF(ISBLANK('ENGAGEMENTS 2026'!C2108),"",'ENGAGEMENTS 2026'!M2108)</f>
        <v/>
      </c>
      <c r="H2108">
        <f>IF(ISBLANK('ENGAGEMENTS 2026'!C2108),"",'ENGAGEMENTS 2026'!AF2108)</f>
        <v/>
      </c>
      <c r="I2108">
        <f>IF(ISBLANK('ENGAGEMENTS 2026'!C2108),"",'ENGAGEMENTS 2026'!H2108)</f>
        <v/>
      </c>
      <c r="J2108" s="275">
        <f>IF(ISBLANK('ENGAGEMENTS 2026'!C2108),"",IF(AND(OR($E2108="INFRUCTUEUX",$E2108="ANNULE"),$C2108="AOO-M"),'ENGAGEMENTS 2026'!P2108,IF($H2108="EN COURS DE PREENGAGEMENT",'ENGAGEMENTS 2026'!O2108,IF($H2108="PREENGAGE",IF($E2108="ATTRIBUE",'ENGAGEMENTS 2026'!AE2108,'ENGAGEMENTS 2026'!O2108),'ENGAGEMENTS 2026'!AE2108))))</f>
        <v/>
      </c>
      <c r="K2108" s="604">
        <f>IF(ISBLANK('ENGAGEMENTS 2026'!W2108),"",'ENGAGEMENTS 2026'!W2108)</f>
        <v/>
      </c>
      <c r="L2108" s="276">
        <f>IF($K2108="","",TODAY()-$K2108)</f>
        <v/>
      </c>
      <c r="M2108">
        <f>IF($A2108="","",IF($H2108="ENGAGE","Engagé",IF(AND($H2108="NON ENGAGE",OR($I2108="INFRUCTUEUX",$I2108="ANNULE")),"Clôturé sans suite","En cours")))</f>
        <v/>
      </c>
      <c r="N2108">
        <f>IF(ISBLANK('ENGAGEMENTS 2026'!C2108),"",'ENGAGEMENTS 2026'!L2108)</f>
        <v/>
      </c>
      <c r="O2108">
        <f>IF(ISBLANK('ENGAGEMENTS 2026'!C2108),"",'ENGAGEMENTS 2026'!M2108)</f>
        <v/>
      </c>
      <c r="P2108">
        <f>IF(ISBLANK('ENGAGEMENTS 2026'!C2108),"",'ENGAGEMENTS 2026'!K2108)</f>
        <v/>
      </c>
      <c r="Q2108">
        <f>IF($A2108="","",IF(OR($E2108="INFRUCTUEUX",$E2108="ANNULE"),$A2108&amp;"|"&amp;(COUNTIFS($A$2:$A2108,$A2108,$E$2:$E2108,"INFRUCTUEUX")+COUNTIFS($A$2:$A2108,$A2108,$E$2:$E2108,"ANNULE")),""))</f>
        <v/>
      </c>
    </row>
    <row r="2109">
      <c r="A2109">
        <f>IF(ISBLANK('ENGAGEMENTS 2026'!C2109),"",IF('ENGAGEMENTS 2026'!C2109="DTSI","DCT",'ENGAGEMENTS 2026'!C2109))</f>
        <v/>
      </c>
      <c r="B2109">
        <f>IF(ISBLANK('ENGAGEMENTS 2026'!C2109),"",'ENGAGEMENTS 2026'!D2109)</f>
        <v/>
      </c>
      <c r="C2109">
        <f>IF(ISBLANK('ENGAGEMENTS 2026'!C2109),"",'ENGAGEMENTS 2026'!E2109)</f>
        <v/>
      </c>
      <c r="D2109">
        <f>IF(ISBLANK('ENGAGEMENTS 2026'!C2109),"",'ENGAGEMENTS 2026'!G2109)</f>
        <v/>
      </c>
      <c r="E2109">
        <f>IF(ISBLANK('ENGAGEMENTS 2026'!C2109),"",'ENGAGEMENTS 2026'!I2109)</f>
        <v/>
      </c>
      <c r="F2109">
        <f>IF(ISBLANK('ENGAGEMENTS 2026'!C2109),"",'ENGAGEMENTS 2026'!J2109)</f>
        <v/>
      </c>
      <c r="G2109">
        <f>IF(ISBLANK('ENGAGEMENTS 2026'!C2109),"",'ENGAGEMENTS 2026'!M2109)</f>
        <v/>
      </c>
      <c r="H2109">
        <f>IF(ISBLANK('ENGAGEMENTS 2026'!C2109),"",'ENGAGEMENTS 2026'!AF2109)</f>
        <v/>
      </c>
      <c r="I2109">
        <f>IF(ISBLANK('ENGAGEMENTS 2026'!C2109),"",'ENGAGEMENTS 2026'!H2109)</f>
        <v/>
      </c>
      <c r="J2109" s="275">
        <f>IF(ISBLANK('ENGAGEMENTS 2026'!C2109),"",IF(AND(OR($E2109="INFRUCTUEUX",$E2109="ANNULE"),$C2109="AOO-M"),'ENGAGEMENTS 2026'!P2109,IF($H2109="EN COURS DE PREENGAGEMENT",'ENGAGEMENTS 2026'!O2109,IF($H2109="PREENGAGE",IF($E2109="ATTRIBUE",'ENGAGEMENTS 2026'!AE2109,'ENGAGEMENTS 2026'!O2109),'ENGAGEMENTS 2026'!AE2109))))</f>
        <v/>
      </c>
      <c r="K2109" s="604">
        <f>IF(ISBLANK('ENGAGEMENTS 2026'!W2109),"",'ENGAGEMENTS 2026'!W2109)</f>
        <v/>
      </c>
      <c r="L2109" s="276">
        <f>IF($K2109="","",TODAY()-$K2109)</f>
        <v/>
      </c>
      <c r="M2109">
        <f>IF($A2109="","",IF($H2109="ENGAGE","Engagé",IF(AND($H2109="NON ENGAGE",OR($I2109="INFRUCTUEUX",$I2109="ANNULE")),"Clôturé sans suite","En cours")))</f>
        <v/>
      </c>
      <c r="N2109">
        <f>IF(ISBLANK('ENGAGEMENTS 2026'!C2109),"",'ENGAGEMENTS 2026'!L2109)</f>
        <v/>
      </c>
      <c r="O2109">
        <f>IF(ISBLANK('ENGAGEMENTS 2026'!C2109),"",'ENGAGEMENTS 2026'!M2109)</f>
        <v/>
      </c>
      <c r="P2109">
        <f>IF(ISBLANK('ENGAGEMENTS 2026'!C2109),"",'ENGAGEMENTS 2026'!K2109)</f>
        <v/>
      </c>
      <c r="Q2109">
        <f>IF($A2109="","",IF(OR($E2109="INFRUCTUEUX",$E2109="ANNULE"),$A2109&amp;"|"&amp;(COUNTIFS($A$2:$A2109,$A2109,$E$2:$E2109,"INFRUCTUEUX")+COUNTIFS($A$2:$A2109,$A2109,$E$2:$E2109,"ANNULE")),""))</f>
        <v/>
      </c>
    </row>
    <row r="2110">
      <c r="A2110">
        <f>IF(ISBLANK('ENGAGEMENTS 2026'!C2110),"",IF('ENGAGEMENTS 2026'!C2110="DTSI","DCT",'ENGAGEMENTS 2026'!C2110))</f>
        <v/>
      </c>
      <c r="B2110">
        <f>IF(ISBLANK('ENGAGEMENTS 2026'!C2110),"",'ENGAGEMENTS 2026'!D2110)</f>
        <v/>
      </c>
      <c r="C2110">
        <f>IF(ISBLANK('ENGAGEMENTS 2026'!C2110),"",'ENGAGEMENTS 2026'!E2110)</f>
        <v/>
      </c>
      <c r="D2110">
        <f>IF(ISBLANK('ENGAGEMENTS 2026'!C2110),"",'ENGAGEMENTS 2026'!G2110)</f>
        <v/>
      </c>
      <c r="E2110">
        <f>IF(ISBLANK('ENGAGEMENTS 2026'!C2110),"",'ENGAGEMENTS 2026'!I2110)</f>
        <v/>
      </c>
      <c r="F2110">
        <f>IF(ISBLANK('ENGAGEMENTS 2026'!C2110),"",'ENGAGEMENTS 2026'!J2110)</f>
        <v/>
      </c>
      <c r="G2110">
        <f>IF(ISBLANK('ENGAGEMENTS 2026'!C2110),"",'ENGAGEMENTS 2026'!M2110)</f>
        <v/>
      </c>
      <c r="H2110">
        <f>IF(ISBLANK('ENGAGEMENTS 2026'!C2110),"",'ENGAGEMENTS 2026'!AF2110)</f>
        <v/>
      </c>
      <c r="I2110">
        <f>IF(ISBLANK('ENGAGEMENTS 2026'!C2110),"",'ENGAGEMENTS 2026'!H2110)</f>
        <v/>
      </c>
      <c r="J2110" s="275">
        <f>IF(ISBLANK('ENGAGEMENTS 2026'!C2110),"",IF(AND(OR($E2110="INFRUCTUEUX",$E2110="ANNULE"),$C2110="AOO-M"),'ENGAGEMENTS 2026'!P2110,IF($H2110="EN COURS DE PREENGAGEMENT",'ENGAGEMENTS 2026'!O2110,IF($H2110="PREENGAGE",IF($E2110="ATTRIBUE",'ENGAGEMENTS 2026'!AE2110,'ENGAGEMENTS 2026'!O2110),'ENGAGEMENTS 2026'!AE2110))))</f>
        <v/>
      </c>
      <c r="K2110" s="604">
        <f>IF(ISBLANK('ENGAGEMENTS 2026'!W2110),"",'ENGAGEMENTS 2026'!W2110)</f>
        <v/>
      </c>
      <c r="L2110" s="276">
        <f>IF($K2110="","",TODAY()-$K2110)</f>
        <v/>
      </c>
      <c r="M2110">
        <f>IF($A2110="","",IF($H2110="ENGAGE","Engagé",IF(AND($H2110="NON ENGAGE",OR($I2110="INFRUCTUEUX",$I2110="ANNULE")),"Clôturé sans suite","En cours")))</f>
        <v/>
      </c>
      <c r="N2110">
        <f>IF(ISBLANK('ENGAGEMENTS 2026'!C2110),"",'ENGAGEMENTS 2026'!L2110)</f>
        <v/>
      </c>
      <c r="O2110">
        <f>IF(ISBLANK('ENGAGEMENTS 2026'!C2110),"",'ENGAGEMENTS 2026'!M2110)</f>
        <v/>
      </c>
      <c r="P2110">
        <f>IF(ISBLANK('ENGAGEMENTS 2026'!C2110),"",'ENGAGEMENTS 2026'!K2110)</f>
        <v/>
      </c>
      <c r="Q2110">
        <f>IF($A2110="","",IF(OR($E2110="INFRUCTUEUX",$E2110="ANNULE"),$A2110&amp;"|"&amp;(COUNTIFS($A$2:$A2110,$A2110,$E$2:$E2110,"INFRUCTUEUX")+COUNTIFS($A$2:$A2110,$A2110,$E$2:$E2110,"ANNULE")),""))</f>
        <v/>
      </c>
    </row>
    <row r="2111">
      <c r="A2111">
        <f>IF(ISBLANK('ENGAGEMENTS 2026'!C2111),"",IF('ENGAGEMENTS 2026'!C2111="DTSI","DCT",'ENGAGEMENTS 2026'!C2111))</f>
        <v/>
      </c>
      <c r="B2111">
        <f>IF(ISBLANK('ENGAGEMENTS 2026'!C2111),"",'ENGAGEMENTS 2026'!D2111)</f>
        <v/>
      </c>
      <c r="C2111">
        <f>IF(ISBLANK('ENGAGEMENTS 2026'!C2111),"",'ENGAGEMENTS 2026'!E2111)</f>
        <v/>
      </c>
      <c r="D2111">
        <f>IF(ISBLANK('ENGAGEMENTS 2026'!C2111),"",'ENGAGEMENTS 2026'!G2111)</f>
        <v/>
      </c>
      <c r="E2111">
        <f>IF(ISBLANK('ENGAGEMENTS 2026'!C2111),"",'ENGAGEMENTS 2026'!I2111)</f>
        <v/>
      </c>
      <c r="F2111">
        <f>IF(ISBLANK('ENGAGEMENTS 2026'!C2111),"",'ENGAGEMENTS 2026'!J2111)</f>
        <v/>
      </c>
      <c r="G2111">
        <f>IF(ISBLANK('ENGAGEMENTS 2026'!C2111),"",'ENGAGEMENTS 2026'!M2111)</f>
        <v/>
      </c>
      <c r="H2111">
        <f>IF(ISBLANK('ENGAGEMENTS 2026'!C2111),"",'ENGAGEMENTS 2026'!AF2111)</f>
        <v/>
      </c>
      <c r="I2111">
        <f>IF(ISBLANK('ENGAGEMENTS 2026'!C2111),"",'ENGAGEMENTS 2026'!H2111)</f>
        <v/>
      </c>
      <c r="J2111" s="275">
        <f>IF(ISBLANK('ENGAGEMENTS 2026'!C2111),"",IF(AND(OR($E2111="INFRUCTUEUX",$E2111="ANNULE"),$C2111="AOO-M"),'ENGAGEMENTS 2026'!P2111,IF($H2111="EN COURS DE PREENGAGEMENT",'ENGAGEMENTS 2026'!O2111,IF($H2111="PREENGAGE",IF($E2111="ATTRIBUE",'ENGAGEMENTS 2026'!AE2111,'ENGAGEMENTS 2026'!O2111),'ENGAGEMENTS 2026'!AE2111))))</f>
        <v/>
      </c>
      <c r="K2111" s="604">
        <f>IF(ISBLANK('ENGAGEMENTS 2026'!W2111),"",'ENGAGEMENTS 2026'!W2111)</f>
        <v/>
      </c>
      <c r="L2111" s="276">
        <f>IF($K2111="","",TODAY()-$K2111)</f>
        <v/>
      </c>
      <c r="M2111">
        <f>IF($A2111="","",IF($H2111="ENGAGE","Engagé",IF(AND($H2111="NON ENGAGE",OR($I2111="INFRUCTUEUX",$I2111="ANNULE")),"Clôturé sans suite","En cours")))</f>
        <v/>
      </c>
      <c r="N2111">
        <f>IF(ISBLANK('ENGAGEMENTS 2026'!C2111),"",'ENGAGEMENTS 2026'!L2111)</f>
        <v/>
      </c>
      <c r="O2111">
        <f>IF(ISBLANK('ENGAGEMENTS 2026'!C2111),"",'ENGAGEMENTS 2026'!M2111)</f>
        <v/>
      </c>
      <c r="P2111">
        <f>IF(ISBLANK('ENGAGEMENTS 2026'!C2111),"",'ENGAGEMENTS 2026'!K2111)</f>
        <v/>
      </c>
      <c r="Q2111">
        <f>IF($A2111="","",IF(OR($E2111="INFRUCTUEUX",$E2111="ANNULE"),$A2111&amp;"|"&amp;(COUNTIFS($A$2:$A2111,$A2111,$E$2:$E2111,"INFRUCTUEUX")+COUNTIFS($A$2:$A2111,$A2111,$E$2:$E2111,"ANNULE")),""))</f>
        <v/>
      </c>
    </row>
    <row r="2112">
      <c r="A2112">
        <f>IF(ISBLANK('ENGAGEMENTS 2026'!C2112),"",IF('ENGAGEMENTS 2026'!C2112="DTSI","DCT",'ENGAGEMENTS 2026'!C2112))</f>
        <v/>
      </c>
      <c r="B2112">
        <f>IF(ISBLANK('ENGAGEMENTS 2026'!C2112),"",'ENGAGEMENTS 2026'!D2112)</f>
        <v/>
      </c>
      <c r="C2112">
        <f>IF(ISBLANK('ENGAGEMENTS 2026'!C2112),"",'ENGAGEMENTS 2026'!E2112)</f>
        <v/>
      </c>
      <c r="D2112">
        <f>IF(ISBLANK('ENGAGEMENTS 2026'!C2112),"",'ENGAGEMENTS 2026'!G2112)</f>
        <v/>
      </c>
      <c r="E2112">
        <f>IF(ISBLANK('ENGAGEMENTS 2026'!C2112),"",'ENGAGEMENTS 2026'!I2112)</f>
        <v/>
      </c>
      <c r="F2112">
        <f>IF(ISBLANK('ENGAGEMENTS 2026'!C2112),"",'ENGAGEMENTS 2026'!J2112)</f>
        <v/>
      </c>
      <c r="G2112">
        <f>IF(ISBLANK('ENGAGEMENTS 2026'!C2112),"",'ENGAGEMENTS 2026'!M2112)</f>
        <v/>
      </c>
      <c r="H2112">
        <f>IF(ISBLANK('ENGAGEMENTS 2026'!C2112),"",'ENGAGEMENTS 2026'!AF2112)</f>
        <v/>
      </c>
      <c r="I2112">
        <f>IF(ISBLANK('ENGAGEMENTS 2026'!C2112),"",'ENGAGEMENTS 2026'!H2112)</f>
        <v/>
      </c>
      <c r="J2112" s="275">
        <f>IF(ISBLANK('ENGAGEMENTS 2026'!C2112),"",IF(AND(OR($E2112="INFRUCTUEUX",$E2112="ANNULE"),$C2112="AOO-M"),'ENGAGEMENTS 2026'!P2112,IF($H2112="EN COURS DE PREENGAGEMENT",'ENGAGEMENTS 2026'!O2112,IF($H2112="PREENGAGE",IF($E2112="ATTRIBUE",'ENGAGEMENTS 2026'!AE2112,'ENGAGEMENTS 2026'!O2112),'ENGAGEMENTS 2026'!AE2112))))</f>
        <v/>
      </c>
      <c r="K2112" s="604">
        <f>IF(ISBLANK('ENGAGEMENTS 2026'!W2112),"",'ENGAGEMENTS 2026'!W2112)</f>
        <v/>
      </c>
      <c r="L2112" s="276">
        <f>IF($K2112="","",TODAY()-$K2112)</f>
        <v/>
      </c>
      <c r="M2112">
        <f>IF($A2112="","",IF($H2112="ENGAGE","Engagé",IF(AND($H2112="NON ENGAGE",OR($I2112="INFRUCTUEUX",$I2112="ANNULE")),"Clôturé sans suite","En cours")))</f>
        <v/>
      </c>
      <c r="N2112">
        <f>IF(ISBLANK('ENGAGEMENTS 2026'!C2112),"",'ENGAGEMENTS 2026'!L2112)</f>
        <v/>
      </c>
      <c r="O2112">
        <f>IF(ISBLANK('ENGAGEMENTS 2026'!C2112),"",'ENGAGEMENTS 2026'!M2112)</f>
        <v/>
      </c>
      <c r="P2112">
        <f>IF(ISBLANK('ENGAGEMENTS 2026'!C2112),"",'ENGAGEMENTS 2026'!K2112)</f>
        <v/>
      </c>
      <c r="Q2112">
        <f>IF($A2112="","",IF(OR($E2112="INFRUCTUEUX",$E2112="ANNULE"),$A2112&amp;"|"&amp;(COUNTIFS($A$2:$A2112,$A2112,$E$2:$E2112,"INFRUCTUEUX")+COUNTIFS($A$2:$A2112,$A2112,$E$2:$E2112,"ANNULE")),""))</f>
        <v/>
      </c>
    </row>
    <row r="2113">
      <c r="A2113">
        <f>IF(ISBLANK('ENGAGEMENTS 2026'!C2113),"",IF('ENGAGEMENTS 2026'!C2113="DTSI","DCT",'ENGAGEMENTS 2026'!C2113))</f>
        <v/>
      </c>
      <c r="B2113">
        <f>IF(ISBLANK('ENGAGEMENTS 2026'!C2113),"",'ENGAGEMENTS 2026'!D2113)</f>
        <v/>
      </c>
      <c r="C2113">
        <f>IF(ISBLANK('ENGAGEMENTS 2026'!C2113),"",'ENGAGEMENTS 2026'!E2113)</f>
        <v/>
      </c>
      <c r="D2113">
        <f>IF(ISBLANK('ENGAGEMENTS 2026'!C2113),"",'ENGAGEMENTS 2026'!G2113)</f>
        <v/>
      </c>
      <c r="E2113">
        <f>IF(ISBLANK('ENGAGEMENTS 2026'!C2113),"",'ENGAGEMENTS 2026'!I2113)</f>
        <v/>
      </c>
      <c r="F2113">
        <f>IF(ISBLANK('ENGAGEMENTS 2026'!C2113),"",'ENGAGEMENTS 2026'!J2113)</f>
        <v/>
      </c>
      <c r="G2113">
        <f>IF(ISBLANK('ENGAGEMENTS 2026'!C2113),"",'ENGAGEMENTS 2026'!M2113)</f>
        <v/>
      </c>
      <c r="H2113">
        <f>IF(ISBLANK('ENGAGEMENTS 2026'!C2113),"",'ENGAGEMENTS 2026'!AF2113)</f>
        <v/>
      </c>
      <c r="I2113">
        <f>IF(ISBLANK('ENGAGEMENTS 2026'!C2113),"",'ENGAGEMENTS 2026'!H2113)</f>
        <v/>
      </c>
      <c r="J2113" s="275">
        <f>IF(ISBLANK('ENGAGEMENTS 2026'!C2113),"",IF(AND(OR($E2113="INFRUCTUEUX",$E2113="ANNULE"),$C2113="AOO-M"),'ENGAGEMENTS 2026'!P2113,IF($H2113="EN COURS DE PREENGAGEMENT",'ENGAGEMENTS 2026'!O2113,IF($H2113="PREENGAGE",IF($E2113="ATTRIBUE",'ENGAGEMENTS 2026'!AE2113,'ENGAGEMENTS 2026'!O2113),'ENGAGEMENTS 2026'!AE2113))))</f>
        <v/>
      </c>
      <c r="K2113" s="604">
        <f>IF(ISBLANK('ENGAGEMENTS 2026'!W2113),"",'ENGAGEMENTS 2026'!W2113)</f>
        <v/>
      </c>
      <c r="L2113" s="276">
        <f>IF($K2113="","",TODAY()-$K2113)</f>
        <v/>
      </c>
      <c r="M2113">
        <f>IF($A2113="","",IF($H2113="ENGAGE","Engagé",IF(AND($H2113="NON ENGAGE",OR($I2113="INFRUCTUEUX",$I2113="ANNULE")),"Clôturé sans suite","En cours")))</f>
        <v/>
      </c>
      <c r="N2113">
        <f>IF(ISBLANK('ENGAGEMENTS 2026'!C2113),"",'ENGAGEMENTS 2026'!L2113)</f>
        <v/>
      </c>
      <c r="O2113">
        <f>IF(ISBLANK('ENGAGEMENTS 2026'!C2113),"",'ENGAGEMENTS 2026'!M2113)</f>
        <v/>
      </c>
      <c r="P2113">
        <f>IF(ISBLANK('ENGAGEMENTS 2026'!C2113),"",'ENGAGEMENTS 2026'!K2113)</f>
        <v/>
      </c>
      <c r="Q2113">
        <f>IF($A2113="","",IF(OR($E2113="INFRUCTUEUX",$E2113="ANNULE"),$A2113&amp;"|"&amp;(COUNTIFS($A$2:$A2113,$A2113,$E$2:$E2113,"INFRUCTUEUX")+COUNTIFS($A$2:$A2113,$A2113,$E$2:$E2113,"ANNULE")),""))</f>
        <v/>
      </c>
    </row>
    <row r="2114">
      <c r="A2114">
        <f>IF(ISBLANK('ENGAGEMENTS 2026'!C2114),"",IF('ENGAGEMENTS 2026'!C2114="DTSI","DCT",'ENGAGEMENTS 2026'!C2114))</f>
        <v/>
      </c>
      <c r="B2114">
        <f>IF(ISBLANK('ENGAGEMENTS 2026'!C2114),"",'ENGAGEMENTS 2026'!D2114)</f>
        <v/>
      </c>
      <c r="C2114">
        <f>IF(ISBLANK('ENGAGEMENTS 2026'!C2114),"",'ENGAGEMENTS 2026'!E2114)</f>
        <v/>
      </c>
      <c r="D2114">
        <f>IF(ISBLANK('ENGAGEMENTS 2026'!C2114),"",'ENGAGEMENTS 2026'!G2114)</f>
        <v/>
      </c>
      <c r="E2114">
        <f>IF(ISBLANK('ENGAGEMENTS 2026'!C2114),"",'ENGAGEMENTS 2026'!I2114)</f>
        <v/>
      </c>
      <c r="F2114">
        <f>IF(ISBLANK('ENGAGEMENTS 2026'!C2114),"",'ENGAGEMENTS 2026'!J2114)</f>
        <v/>
      </c>
      <c r="G2114">
        <f>IF(ISBLANK('ENGAGEMENTS 2026'!C2114),"",'ENGAGEMENTS 2026'!M2114)</f>
        <v/>
      </c>
      <c r="H2114">
        <f>IF(ISBLANK('ENGAGEMENTS 2026'!C2114),"",'ENGAGEMENTS 2026'!AF2114)</f>
        <v/>
      </c>
      <c r="I2114">
        <f>IF(ISBLANK('ENGAGEMENTS 2026'!C2114),"",'ENGAGEMENTS 2026'!H2114)</f>
        <v/>
      </c>
      <c r="J2114" s="275">
        <f>IF(ISBLANK('ENGAGEMENTS 2026'!C2114),"",IF(AND(OR($E2114="INFRUCTUEUX",$E2114="ANNULE"),$C2114="AOO-M"),'ENGAGEMENTS 2026'!P2114,IF($H2114="EN COURS DE PREENGAGEMENT",'ENGAGEMENTS 2026'!O2114,IF($H2114="PREENGAGE",IF($E2114="ATTRIBUE",'ENGAGEMENTS 2026'!AE2114,'ENGAGEMENTS 2026'!O2114),'ENGAGEMENTS 2026'!AE2114))))</f>
        <v/>
      </c>
      <c r="K2114" s="604">
        <f>IF(ISBLANK('ENGAGEMENTS 2026'!W2114),"",'ENGAGEMENTS 2026'!W2114)</f>
        <v/>
      </c>
      <c r="L2114" s="276">
        <f>IF($K2114="","",TODAY()-$K2114)</f>
        <v/>
      </c>
      <c r="M2114">
        <f>IF($A2114="","",IF($H2114="ENGAGE","Engagé",IF(AND($H2114="NON ENGAGE",OR($I2114="INFRUCTUEUX",$I2114="ANNULE")),"Clôturé sans suite","En cours")))</f>
        <v/>
      </c>
      <c r="N2114">
        <f>IF(ISBLANK('ENGAGEMENTS 2026'!C2114),"",'ENGAGEMENTS 2026'!L2114)</f>
        <v/>
      </c>
      <c r="O2114">
        <f>IF(ISBLANK('ENGAGEMENTS 2026'!C2114),"",'ENGAGEMENTS 2026'!M2114)</f>
        <v/>
      </c>
      <c r="P2114">
        <f>IF(ISBLANK('ENGAGEMENTS 2026'!C2114),"",'ENGAGEMENTS 2026'!K2114)</f>
        <v/>
      </c>
      <c r="Q2114">
        <f>IF($A2114="","",IF(OR($E2114="INFRUCTUEUX",$E2114="ANNULE"),$A2114&amp;"|"&amp;(COUNTIFS($A$2:$A2114,$A2114,$E$2:$E2114,"INFRUCTUEUX")+COUNTIFS($A$2:$A2114,$A2114,$E$2:$E2114,"ANNULE")),""))</f>
        <v/>
      </c>
    </row>
    <row r="2115">
      <c r="A2115">
        <f>IF(ISBLANK('ENGAGEMENTS 2026'!C2115),"",IF('ENGAGEMENTS 2026'!C2115="DTSI","DCT",'ENGAGEMENTS 2026'!C2115))</f>
        <v/>
      </c>
      <c r="B2115">
        <f>IF(ISBLANK('ENGAGEMENTS 2026'!C2115),"",'ENGAGEMENTS 2026'!D2115)</f>
        <v/>
      </c>
      <c r="C2115">
        <f>IF(ISBLANK('ENGAGEMENTS 2026'!C2115),"",'ENGAGEMENTS 2026'!E2115)</f>
        <v/>
      </c>
      <c r="D2115">
        <f>IF(ISBLANK('ENGAGEMENTS 2026'!C2115),"",'ENGAGEMENTS 2026'!G2115)</f>
        <v/>
      </c>
      <c r="E2115">
        <f>IF(ISBLANK('ENGAGEMENTS 2026'!C2115),"",'ENGAGEMENTS 2026'!I2115)</f>
        <v/>
      </c>
      <c r="F2115">
        <f>IF(ISBLANK('ENGAGEMENTS 2026'!C2115),"",'ENGAGEMENTS 2026'!J2115)</f>
        <v/>
      </c>
      <c r="G2115">
        <f>IF(ISBLANK('ENGAGEMENTS 2026'!C2115),"",'ENGAGEMENTS 2026'!M2115)</f>
        <v/>
      </c>
      <c r="H2115">
        <f>IF(ISBLANK('ENGAGEMENTS 2026'!C2115),"",'ENGAGEMENTS 2026'!AF2115)</f>
        <v/>
      </c>
      <c r="I2115">
        <f>IF(ISBLANK('ENGAGEMENTS 2026'!C2115),"",'ENGAGEMENTS 2026'!H2115)</f>
        <v/>
      </c>
      <c r="J2115" s="275">
        <f>IF(ISBLANK('ENGAGEMENTS 2026'!C2115),"",IF(AND(OR($E2115="INFRUCTUEUX",$E2115="ANNULE"),$C2115="AOO-M"),'ENGAGEMENTS 2026'!P2115,IF($H2115="EN COURS DE PREENGAGEMENT",'ENGAGEMENTS 2026'!O2115,IF($H2115="PREENGAGE",IF($E2115="ATTRIBUE",'ENGAGEMENTS 2026'!AE2115,'ENGAGEMENTS 2026'!O2115),'ENGAGEMENTS 2026'!AE2115))))</f>
        <v/>
      </c>
      <c r="K2115" s="604">
        <f>IF(ISBLANK('ENGAGEMENTS 2026'!W2115),"",'ENGAGEMENTS 2026'!W2115)</f>
        <v/>
      </c>
      <c r="L2115" s="276">
        <f>IF($K2115="","",TODAY()-$K2115)</f>
        <v/>
      </c>
      <c r="M2115">
        <f>IF($A2115="","",IF($H2115="ENGAGE","Engagé",IF(AND($H2115="NON ENGAGE",OR($I2115="INFRUCTUEUX",$I2115="ANNULE")),"Clôturé sans suite","En cours")))</f>
        <v/>
      </c>
      <c r="N2115">
        <f>IF(ISBLANK('ENGAGEMENTS 2026'!C2115),"",'ENGAGEMENTS 2026'!L2115)</f>
        <v/>
      </c>
      <c r="O2115">
        <f>IF(ISBLANK('ENGAGEMENTS 2026'!C2115),"",'ENGAGEMENTS 2026'!M2115)</f>
        <v/>
      </c>
      <c r="P2115">
        <f>IF(ISBLANK('ENGAGEMENTS 2026'!C2115),"",'ENGAGEMENTS 2026'!K2115)</f>
        <v/>
      </c>
      <c r="Q2115">
        <f>IF($A2115="","",IF(OR($E2115="INFRUCTUEUX",$E2115="ANNULE"),$A2115&amp;"|"&amp;(COUNTIFS($A$2:$A2115,$A2115,$E$2:$E2115,"INFRUCTUEUX")+COUNTIFS($A$2:$A2115,$A2115,$E$2:$E2115,"ANNULE")),""))</f>
        <v/>
      </c>
    </row>
    <row r="2116">
      <c r="A2116">
        <f>IF(ISBLANK('ENGAGEMENTS 2026'!C2116),"",IF('ENGAGEMENTS 2026'!C2116="DTSI","DCT",'ENGAGEMENTS 2026'!C2116))</f>
        <v/>
      </c>
      <c r="B2116">
        <f>IF(ISBLANK('ENGAGEMENTS 2026'!C2116),"",'ENGAGEMENTS 2026'!D2116)</f>
        <v/>
      </c>
      <c r="C2116">
        <f>IF(ISBLANK('ENGAGEMENTS 2026'!C2116),"",'ENGAGEMENTS 2026'!E2116)</f>
        <v/>
      </c>
      <c r="D2116">
        <f>IF(ISBLANK('ENGAGEMENTS 2026'!C2116),"",'ENGAGEMENTS 2026'!G2116)</f>
        <v/>
      </c>
      <c r="E2116">
        <f>IF(ISBLANK('ENGAGEMENTS 2026'!C2116),"",'ENGAGEMENTS 2026'!I2116)</f>
        <v/>
      </c>
      <c r="F2116">
        <f>IF(ISBLANK('ENGAGEMENTS 2026'!C2116),"",'ENGAGEMENTS 2026'!J2116)</f>
        <v/>
      </c>
      <c r="G2116">
        <f>IF(ISBLANK('ENGAGEMENTS 2026'!C2116),"",'ENGAGEMENTS 2026'!M2116)</f>
        <v/>
      </c>
      <c r="H2116">
        <f>IF(ISBLANK('ENGAGEMENTS 2026'!C2116),"",'ENGAGEMENTS 2026'!AF2116)</f>
        <v/>
      </c>
      <c r="I2116">
        <f>IF(ISBLANK('ENGAGEMENTS 2026'!C2116),"",'ENGAGEMENTS 2026'!H2116)</f>
        <v/>
      </c>
      <c r="J2116" s="275">
        <f>IF(ISBLANK('ENGAGEMENTS 2026'!C2116),"",IF(AND(OR($E2116="INFRUCTUEUX",$E2116="ANNULE"),$C2116="AOO-M"),'ENGAGEMENTS 2026'!P2116,IF($H2116="EN COURS DE PREENGAGEMENT",'ENGAGEMENTS 2026'!O2116,IF($H2116="PREENGAGE",IF($E2116="ATTRIBUE",'ENGAGEMENTS 2026'!AE2116,'ENGAGEMENTS 2026'!O2116),'ENGAGEMENTS 2026'!AE2116))))</f>
        <v/>
      </c>
      <c r="K2116" s="604">
        <f>IF(ISBLANK('ENGAGEMENTS 2026'!W2116),"",'ENGAGEMENTS 2026'!W2116)</f>
        <v/>
      </c>
      <c r="L2116" s="276">
        <f>IF($K2116="","",TODAY()-$K2116)</f>
        <v/>
      </c>
      <c r="M2116">
        <f>IF($A2116="","",IF($H2116="ENGAGE","Engagé",IF(AND($H2116="NON ENGAGE",OR($I2116="INFRUCTUEUX",$I2116="ANNULE")),"Clôturé sans suite","En cours")))</f>
        <v/>
      </c>
      <c r="N2116">
        <f>IF(ISBLANK('ENGAGEMENTS 2026'!C2116),"",'ENGAGEMENTS 2026'!L2116)</f>
        <v/>
      </c>
      <c r="O2116">
        <f>IF(ISBLANK('ENGAGEMENTS 2026'!C2116),"",'ENGAGEMENTS 2026'!M2116)</f>
        <v/>
      </c>
      <c r="P2116">
        <f>IF(ISBLANK('ENGAGEMENTS 2026'!C2116),"",'ENGAGEMENTS 2026'!K2116)</f>
        <v/>
      </c>
      <c r="Q2116">
        <f>IF($A2116="","",IF(OR($E2116="INFRUCTUEUX",$E2116="ANNULE"),$A2116&amp;"|"&amp;(COUNTIFS($A$2:$A2116,$A2116,$E$2:$E2116,"INFRUCTUEUX")+COUNTIFS($A$2:$A2116,$A2116,$E$2:$E2116,"ANNULE")),""))</f>
        <v/>
      </c>
    </row>
    <row r="2117">
      <c r="A2117">
        <f>IF(ISBLANK('ENGAGEMENTS 2026'!C2117),"",IF('ENGAGEMENTS 2026'!C2117="DTSI","DCT",'ENGAGEMENTS 2026'!C2117))</f>
        <v/>
      </c>
      <c r="B2117">
        <f>IF(ISBLANK('ENGAGEMENTS 2026'!C2117),"",'ENGAGEMENTS 2026'!D2117)</f>
        <v/>
      </c>
      <c r="C2117">
        <f>IF(ISBLANK('ENGAGEMENTS 2026'!C2117),"",'ENGAGEMENTS 2026'!E2117)</f>
        <v/>
      </c>
      <c r="D2117">
        <f>IF(ISBLANK('ENGAGEMENTS 2026'!C2117),"",'ENGAGEMENTS 2026'!G2117)</f>
        <v/>
      </c>
      <c r="E2117">
        <f>IF(ISBLANK('ENGAGEMENTS 2026'!C2117),"",'ENGAGEMENTS 2026'!I2117)</f>
        <v/>
      </c>
      <c r="F2117">
        <f>IF(ISBLANK('ENGAGEMENTS 2026'!C2117),"",'ENGAGEMENTS 2026'!J2117)</f>
        <v/>
      </c>
      <c r="G2117">
        <f>IF(ISBLANK('ENGAGEMENTS 2026'!C2117),"",'ENGAGEMENTS 2026'!M2117)</f>
        <v/>
      </c>
      <c r="H2117">
        <f>IF(ISBLANK('ENGAGEMENTS 2026'!C2117),"",'ENGAGEMENTS 2026'!AF2117)</f>
        <v/>
      </c>
      <c r="I2117">
        <f>IF(ISBLANK('ENGAGEMENTS 2026'!C2117),"",'ENGAGEMENTS 2026'!H2117)</f>
        <v/>
      </c>
      <c r="J2117" s="275">
        <f>IF(ISBLANK('ENGAGEMENTS 2026'!C2117),"",IF(AND(OR($E2117="INFRUCTUEUX",$E2117="ANNULE"),$C2117="AOO-M"),'ENGAGEMENTS 2026'!P2117,IF($H2117="EN COURS DE PREENGAGEMENT",'ENGAGEMENTS 2026'!O2117,IF($H2117="PREENGAGE",IF($E2117="ATTRIBUE",'ENGAGEMENTS 2026'!AE2117,'ENGAGEMENTS 2026'!O2117),'ENGAGEMENTS 2026'!AE2117))))</f>
        <v/>
      </c>
      <c r="K2117" s="604">
        <f>IF(ISBLANK('ENGAGEMENTS 2026'!W2117),"",'ENGAGEMENTS 2026'!W2117)</f>
        <v/>
      </c>
      <c r="L2117" s="276">
        <f>IF($K2117="","",TODAY()-$K2117)</f>
        <v/>
      </c>
      <c r="M2117">
        <f>IF($A2117="","",IF($H2117="ENGAGE","Engagé",IF(AND($H2117="NON ENGAGE",OR($I2117="INFRUCTUEUX",$I2117="ANNULE")),"Clôturé sans suite","En cours")))</f>
        <v/>
      </c>
      <c r="N2117">
        <f>IF(ISBLANK('ENGAGEMENTS 2026'!C2117),"",'ENGAGEMENTS 2026'!L2117)</f>
        <v/>
      </c>
      <c r="O2117">
        <f>IF(ISBLANK('ENGAGEMENTS 2026'!C2117),"",'ENGAGEMENTS 2026'!M2117)</f>
        <v/>
      </c>
      <c r="P2117">
        <f>IF(ISBLANK('ENGAGEMENTS 2026'!C2117),"",'ENGAGEMENTS 2026'!K2117)</f>
        <v/>
      </c>
      <c r="Q2117">
        <f>IF($A2117="","",IF(OR($E2117="INFRUCTUEUX",$E2117="ANNULE"),$A2117&amp;"|"&amp;(COUNTIFS($A$2:$A2117,$A2117,$E$2:$E2117,"INFRUCTUEUX")+COUNTIFS($A$2:$A2117,$A2117,$E$2:$E2117,"ANNULE")),""))</f>
        <v/>
      </c>
    </row>
    <row r="2118">
      <c r="A2118">
        <f>IF(ISBLANK('ENGAGEMENTS 2026'!C2118),"",IF('ENGAGEMENTS 2026'!C2118="DTSI","DCT",'ENGAGEMENTS 2026'!C2118))</f>
        <v/>
      </c>
      <c r="B2118">
        <f>IF(ISBLANK('ENGAGEMENTS 2026'!C2118),"",'ENGAGEMENTS 2026'!D2118)</f>
        <v/>
      </c>
      <c r="C2118">
        <f>IF(ISBLANK('ENGAGEMENTS 2026'!C2118),"",'ENGAGEMENTS 2026'!E2118)</f>
        <v/>
      </c>
      <c r="D2118">
        <f>IF(ISBLANK('ENGAGEMENTS 2026'!C2118),"",'ENGAGEMENTS 2026'!G2118)</f>
        <v/>
      </c>
      <c r="E2118">
        <f>IF(ISBLANK('ENGAGEMENTS 2026'!C2118),"",'ENGAGEMENTS 2026'!I2118)</f>
        <v/>
      </c>
      <c r="F2118">
        <f>IF(ISBLANK('ENGAGEMENTS 2026'!C2118),"",'ENGAGEMENTS 2026'!J2118)</f>
        <v/>
      </c>
      <c r="G2118">
        <f>IF(ISBLANK('ENGAGEMENTS 2026'!C2118),"",'ENGAGEMENTS 2026'!M2118)</f>
        <v/>
      </c>
      <c r="H2118">
        <f>IF(ISBLANK('ENGAGEMENTS 2026'!C2118),"",'ENGAGEMENTS 2026'!AF2118)</f>
        <v/>
      </c>
      <c r="I2118">
        <f>IF(ISBLANK('ENGAGEMENTS 2026'!C2118),"",'ENGAGEMENTS 2026'!H2118)</f>
        <v/>
      </c>
      <c r="J2118" s="275">
        <f>IF(ISBLANK('ENGAGEMENTS 2026'!C2118),"",IF(AND(OR($E2118="INFRUCTUEUX",$E2118="ANNULE"),$C2118="AOO-M"),'ENGAGEMENTS 2026'!P2118,IF($H2118="EN COURS DE PREENGAGEMENT",'ENGAGEMENTS 2026'!O2118,IF($H2118="PREENGAGE",IF($E2118="ATTRIBUE",'ENGAGEMENTS 2026'!AE2118,'ENGAGEMENTS 2026'!O2118),'ENGAGEMENTS 2026'!AE2118))))</f>
        <v/>
      </c>
      <c r="K2118" s="604">
        <f>IF(ISBLANK('ENGAGEMENTS 2026'!W2118),"",'ENGAGEMENTS 2026'!W2118)</f>
        <v/>
      </c>
      <c r="L2118" s="276">
        <f>IF($K2118="","",TODAY()-$K2118)</f>
        <v/>
      </c>
      <c r="M2118">
        <f>IF($A2118="","",IF($H2118="ENGAGE","Engagé",IF(AND($H2118="NON ENGAGE",OR($I2118="INFRUCTUEUX",$I2118="ANNULE")),"Clôturé sans suite","En cours")))</f>
        <v/>
      </c>
      <c r="N2118">
        <f>IF(ISBLANK('ENGAGEMENTS 2026'!C2118),"",'ENGAGEMENTS 2026'!L2118)</f>
        <v/>
      </c>
      <c r="O2118">
        <f>IF(ISBLANK('ENGAGEMENTS 2026'!C2118),"",'ENGAGEMENTS 2026'!M2118)</f>
        <v/>
      </c>
      <c r="P2118">
        <f>IF(ISBLANK('ENGAGEMENTS 2026'!C2118),"",'ENGAGEMENTS 2026'!K2118)</f>
        <v/>
      </c>
      <c r="Q2118">
        <f>IF($A2118="","",IF(OR($E2118="INFRUCTUEUX",$E2118="ANNULE"),$A2118&amp;"|"&amp;(COUNTIFS($A$2:$A2118,$A2118,$E$2:$E2118,"INFRUCTUEUX")+COUNTIFS($A$2:$A2118,$A2118,$E$2:$E2118,"ANNULE")),""))</f>
        <v/>
      </c>
    </row>
    <row r="2119">
      <c r="A2119">
        <f>IF(ISBLANK('ENGAGEMENTS 2026'!C2119),"",IF('ENGAGEMENTS 2026'!C2119="DTSI","DCT",'ENGAGEMENTS 2026'!C2119))</f>
        <v/>
      </c>
      <c r="B2119">
        <f>IF(ISBLANK('ENGAGEMENTS 2026'!C2119),"",'ENGAGEMENTS 2026'!D2119)</f>
        <v/>
      </c>
      <c r="C2119">
        <f>IF(ISBLANK('ENGAGEMENTS 2026'!C2119),"",'ENGAGEMENTS 2026'!E2119)</f>
        <v/>
      </c>
      <c r="D2119">
        <f>IF(ISBLANK('ENGAGEMENTS 2026'!C2119),"",'ENGAGEMENTS 2026'!G2119)</f>
        <v/>
      </c>
      <c r="E2119">
        <f>IF(ISBLANK('ENGAGEMENTS 2026'!C2119),"",'ENGAGEMENTS 2026'!I2119)</f>
        <v/>
      </c>
      <c r="F2119">
        <f>IF(ISBLANK('ENGAGEMENTS 2026'!C2119),"",'ENGAGEMENTS 2026'!J2119)</f>
        <v/>
      </c>
      <c r="G2119">
        <f>IF(ISBLANK('ENGAGEMENTS 2026'!C2119),"",'ENGAGEMENTS 2026'!M2119)</f>
        <v/>
      </c>
      <c r="H2119">
        <f>IF(ISBLANK('ENGAGEMENTS 2026'!C2119),"",'ENGAGEMENTS 2026'!AF2119)</f>
        <v/>
      </c>
      <c r="I2119">
        <f>IF(ISBLANK('ENGAGEMENTS 2026'!C2119),"",'ENGAGEMENTS 2026'!H2119)</f>
        <v/>
      </c>
      <c r="J2119" s="275">
        <f>IF(ISBLANK('ENGAGEMENTS 2026'!C2119),"",IF(AND(OR($E2119="INFRUCTUEUX",$E2119="ANNULE"),$C2119="AOO-M"),'ENGAGEMENTS 2026'!P2119,IF($H2119="EN COURS DE PREENGAGEMENT",'ENGAGEMENTS 2026'!O2119,IF($H2119="PREENGAGE",IF($E2119="ATTRIBUE",'ENGAGEMENTS 2026'!AE2119,'ENGAGEMENTS 2026'!O2119),'ENGAGEMENTS 2026'!AE2119))))</f>
        <v/>
      </c>
      <c r="K2119" s="604">
        <f>IF(ISBLANK('ENGAGEMENTS 2026'!W2119),"",'ENGAGEMENTS 2026'!W2119)</f>
        <v/>
      </c>
      <c r="L2119" s="276">
        <f>IF($K2119="","",TODAY()-$K2119)</f>
        <v/>
      </c>
      <c r="M2119">
        <f>IF($A2119="","",IF($H2119="ENGAGE","Engagé",IF(AND($H2119="NON ENGAGE",OR($I2119="INFRUCTUEUX",$I2119="ANNULE")),"Clôturé sans suite","En cours")))</f>
        <v/>
      </c>
      <c r="N2119">
        <f>IF(ISBLANK('ENGAGEMENTS 2026'!C2119),"",'ENGAGEMENTS 2026'!L2119)</f>
        <v/>
      </c>
      <c r="O2119">
        <f>IF(ISBLANK('ENGAGEMENTS 2026'!C2119),"",'ENGAGEMENTS 2026'!M2119)</f>
        <v/>
      </c>
      <c r="P2119">
        <f>IF(ISBLANK('ENGAGEMENTS 2026'!C2119),"",'ENGAGEMENTS 2026'!K2119)</f>
        <v/>
      </c>
      <c r="Q2119">
        <f>IF($A2119="","",IF(OR($E2119="INFRUCTUEUX",$E2119="ANNULE"),$A2119&amp;"|"&amp;(COUNTIFS($A$2:$A2119,$A2119,$E$2:$E2119,"INFRUCTUEUX")+COUNTIFS($A$2:$A2119,$A2119,$E$2:$E2119,"ANNULE")),""))</f>
        <v/>
      </c>
    </row>
    <row r="2120">
      <c r="A2120">
        <f>IF(ISBLANK('ENGAGEMENTS 2026'!C2120),"",IF('ENGAGEMENTS 2026'!C2120="DTSI","DCT",'ENGAGEMENTS 2026'!C2120))</f>
        <v/>
      </c>
      <c r="B2120">
        <f>IF(ISBLANK('ENGAGEMENTS 2026'!C2120),"",'ENGAGEMENTS 2026'!D2120)</f>
        <v/>
      </c>
      <c r="C2120">
        <f>IF(ISBLANK('ENGAGEMENTS 2026'!C2120),"",'ENGAGEMENTS 2026'!E2120)</f>
        <v/>
      </c>
      <c r="D2120">
        <f>IF(ISBLANK('ENGAGEMENTS 2026'!C2120),"",'ENGAGEMENTS 2026'!G2120)</f>
        <v/>
      </c>
      <c r="E2120">
        <f>IF(ISBLANK('ENGAGEMENTS 2026'!C2120),"",'ENGAGEMENTS 2026'!I2120)</f>
        <v/>
      </c>
      <c r="F2120">
        <f>IF(ISBLANK('ENGAGEMENTS 2026'!C2120),"",'ENGAGEMENTS 2026'!J2120)</f>
        <v/>
      </c>
      <c r="G2120">
        <f>IF(ISBLANK('ENGAGEMENTS 2026'!C2120),"",'ENGAGEMENTS 2026'!M2120)</f>
        <v/>
      </c>
      <c r="H2120">
        <f>IF(ISBLANK('ENGAGEMENTS 2026'!C2120),"",'ENGAGEMENTS 2026'!AF2120)</f>
        <v/>
      </c>
      <c r="I2120">
        <f>IF(ISBLANK('ENGAGEMENTS 2026'!C2120),"",'ENGAGEMENTS 2026'!H2120)</f>
        <v/>
      </c>
      <c r="J2120" s="275">
        <f>IF(ISBLANK('ENGAGEMENTS 2026'!C2120),"",IF(AND(OR($E2120="INFRUCTUEUX",$E2120="ANNULE"),$C2120="AOO-M"),'ENGAGEMENTS 2026'!P2120,IF($H2120="EN COURS DE PREENGAGEMENT",'ENGAGEMENTS 2026'!O2120,IF($H2120="PREENGAGE",IF($E2120="ATTRIBUE",'ENGAGEMENTS 2026'!AE2120,'ENGAGEMENTS 2026'!O2120),'ENGAGEMENTS 2026'!AE2120))))</f>
        <v/>
      </c>
      <c r="K2120" s="604">
        <f>IF(ISBLANK('ENGAGEMENTS 2026'!W2120),"",'ENGAGEMENTS 2026'!W2120)</f>
        <v/>
      </c>
      <c r="L2120" s="276">
        <f>IF($K2120="","",TODAY()-$K2120)</f>
        <v/>
      </c>
      <c r="M2120">
        <f>IF($A2120="","",IF($H2120="ENGAGE","Engagé",IF(AND($H2120="NON ENGAGE",OR($I2120="INFRUCTUEUX",$I2120="ANNULE")),"Clôturé sans suite","En cours")))</f>
        <v/>
      </c>
      <c r="N2120">
        <f>IF(ISBLANK('ENGAGEMENTS 2026'!C2120),"",'ENGAGEMENTS 2026'!L2120)</f>
        <v/>
      </c>
      <c r="O2120">
        <f>IF(ISBLANK('ENGAGEMENTS 2026'!C2120),"",'ENGAGEMENTS 2026'!M2120)</f>
        <v/>
      </c>
      <c r="P2120">
        <f>IF(ISBLANK('ENGAGEMENTS 2026'!C2120),"",'ENGAGEMENTS 2026'!K2120)</f>
        <v/>
      </c>
      <c r="Q2120">
        <f>IF($A2120="","",IF(OR($E2120="INFRUCTUEUX",$E2120="ANNULE"),$A2120&amp;"|"&amp;(COUNTIFS($A$2:$A2120,$A2120,$E$2:$E2120,"INFRUCTUEUX")+COUNTIFS($A$2:$A2120,$A2120,$E$2:$E2120,"ANNULE")),""))</f>
        <v/>
      </c>
    </row>
    <row r="2121">
      <c r="A2121">
        <f>IF(ISBLANK('ENGAGEMENTS 2026'!C2121),"",IF('ENGAGEMENTS 2026'!C2121="DTSI","DCT",'ENGAGEMENTS 2026'!C2121))</f>
        <v/>
      </c>
      <c r="B2121">
        <f>IF(ISBLANK('ENGAGEMENTS 2026'!C2121),"",'ENGAGEMENTS 2026'!D2121)</f>
        <v/>
      </c>
      <c r="C2121">
        <f>IF(ISBLANK('ENGAGEMENTS 2026'!C2121),"",'ENGAGEMENTS 2026'!E2121)</f>
        <v/>
      </c>
      <c r="D2121">
        <f>IF(ISBLANK('ENGAGEMENTS 2026'!C2121),"",'ENGAGEMENTS 2026'!G2121)</f>
        <v/>
      </c>
      <c r="E2121">
        <f>IF(ISBLANK('ENGAGEMENTS 2026'!C2121),"",'ENGAGEMENTS 2026'!I2121)</f>
        <v/>
      </c>
      <c r="F2121">
        <f>IF(ISBLANK('ENGAGEMENTS 2026'!C2121),"",'ENGAGEMENTS 2026'!J2121)</f>
        <v/>
      </c>
      <c r="G2121">
        <f>IF(ISBLANK('ENGAGEMENTS 2026'!C2121),"",'ENGAGEMENTS 2026'!M2121)</f>
        <v/>
      </c>
      <c r="H2121">
        <f>IF(ISBLANK('ENGAGEMENTS 2026'!C2121),"",'ENGAGEMENTS 2026'!AF2121)</f>
        <v/>
      </c>
      <c r="I2121">
        <f>IF(ISBLANK('ENGAGEMENTS 2026'!C2121),"",'ENGAGEMENTS 2026'!H2121)</f>
        <v/>
      </c>
      <c r="J2121" s="275">
        <f>IF(ISBLANK('ENGAGEMENTS 2026'!C2121),"",IF(AND(OR($E2121="INFRUCTUEUX",$E2121="ANNULE"),$C2121="AOO-M"),'ENGAGEMENTS 2026'!P2121,IF($H2121="EN COURS DE PREENGAGEMENT",'ENGAGEMENTS 2026'!O2121,IF($H2121="PREENGAGE",IF($E2121="ATTRIBUE",'ENGAGEMENTS 2026'!AE2121,'ENGAGEMENTS 2026'!O2121),'ENGAGEMENTS 2026'!AE2121))))</f>
        <v/>
      </c>
      <c r="K2121" s="604">
        <f>IF(ISBLANK('ENGAGEMENTS 2026'!W2121),"",'ENGAGEMENTS 2026'!W2121)</f>
        <v/>
      </c>
      <c r="L2121" s="276">
        <f>IF($K2121="","",TODAY()-$K2121)</f>
        <v/>
      </c>
      <c r="M2121">
        <f>IF($A2121="","",IF($H2121="ENGAGE","Engagé",IF(AND($H2121="NON ENGAGE",OR($I2121="INFRUCTUEUX",$I2121="ANNULE")),"Clôturé sans suite","En cours")))</f>
        <v/>
      </c>
      <c r="N2121">
        <f>IF(ISBLANK('ENGAGEMENTS 2026'!C2121),"",'ENGAGEMENTS 2026'!L2121)</f>
        <v/>
      </c>
      <c r="O2121">
        <f>IF(ISBLANK('ENGAGEMENTS 2026'!C2121),"",'ENGAGEMENTS 2026'!M2121)</f>
        <v/>
      </c>
      <c r="P2121">
        <f>IF(ISBLANK('ENGAGEMENTS 2026'!C2121),"",'ENGAGEMENTS 2026'!K2121)</f>
        <v/>
      </c>
      <c r="Q2121">
        <f>IF($A2121="","",IF(OR($E2121="INFRUCTUEUX",$E2121="ANNULE"),$A2121&amp;"|"&amp;(COUNTIFS($A$2:$A2121,$A2121,$E$2:$E2121,"INFRUCTUEUX")+COUNTIFS($A$2:$A2121,$A2121,$E$2:$E2121,"ANNULE")),""))</f>
        <v/>
      </c>
    </row>
    <row r="2122">
      <c r="A2122">
        <f>IF(ISBLANK('ENGAGEMENTS 2026'!C2122),"",IF('ENGAGEMENTS 2026'!C2122="DTSI","DCT",'ENGAGEMENTS 2026'!C2122))</f>
        <v/>
      </c>
      <c r="B2122">
        <f>IF(ISBLANK('ENGAGEMENTS 2026'!C2122),"",'ENGAGEMENTS 2026'!D2122)</f>
        <v/>
      </c>
      <c r="C2122">
        <f>IF(ISBLANK('ENGAGEMENTS 2026'!C2122),"",'ENGAGEMENTS 2026'!E2122)</f>
        <v/>
      </c>
      <c r="D2122">
        <f>IF(ISBLANK('ENGAGEMENTS 2026'!C2122),"",'ENGAGEMENTS 2026'!G2122)</f>
        <v/>
      </c>
      <c r="E2122">
        <f>IF(ISBLANK('ENGAGEMENTS 2026'!C2122),"",'ENGAGEMENTS 2026'!I2122)</f>
        <v/>
      </c>
      <c r="F2122">
        <f>IF(ISBLANK('ENGAGEMENTS 2026'!C2122),"",'ENGAGEMENTS 2026'!J2122)</f>
        <v/>
      </c>
      <c r="G2122">
        <f>IF(ISBLANK('ENGAGEMENTS 2026'!C2122),"",'ENGAGEMENTS 2026'!M2122)</f>
        <v/>
      </c>
      <c r="H2122">
        <f>IF(ISBLANK('ENGAGEMENTS 2026'!C2122),"",'ENGAGEMENTS 2026'!AF2122)</f>
        <v/>
      </c>
      <c r="I2122">
        <f>IF(ISBLANK('ENGAGEMENTS 2026'!C2122),"",'ENGAGEMENTS 2026'!H2122)</f>
        <v/>
      </c>
      <c r="J2122" s="275">
        <f>IF(ISBLANK('ENGAGEMENTS 2026'!C2122),"",IF(AND(OR($E2122="INFRUCTUEUX",$E2122="ANNULE"),$C2122="AOO-M"),'ENGAGEMENTS 2026'!P2122,IF($H2122="EN COURS DE PREENGAGEMENT",'ENGAGEMENTS 2026'!O2122,IF($H2122="PREENGAGE",IF($E2122="ATTRIBUE",'ENGAGEMENTS 2026'!AE2122,'ENGAGEMENTS 2026'!O2122),'ENGAGEMENTS 2026'!AE2122))))</f>
        <v/>
      </c>
      <c r="K2122" s="604">
        <f>IF(ISBLANK('ENGAGEMENTS 2026'!W2122),"",'ENGAGEMENTS 2026'!W2122)</f>
        <v/>
      </c>
      <c r="L2122" s="276">
        <f>IF($K2122="","",TODAY()-$K2122)</f>
        <v/>
      </c>
      <c r="M2122">
        <f>IF($A2122="","",IF($H2122="ENGAGE","Engagé",IF(AND($H2122="NON ENGAGE",OR($I2122="INFRUCTUEUX",$I2122="ANNULE")),"Clôturé sans suite","En cours")))</f>
        <v/>
      </c>
      <c r="N2122">
        <f>IF(ISBLANK('ENGAGEMENTS 2026'!C2122),"",'ENGAGEMENTS 2026'!L2122)</f>
        <v/>
      </c>
      <c r="O2122">
        <f>IF(ISBLANK('ENGAGEMENTS 2026'!C2122),"",'ENGAGEMENTS 2026'!M2122)</f>
        <v/>
      </c>
      <c r="P2122">
        <f>IF(ISBLANK('ENGAGEMENTS 2026'!C2122),"",'ENGAGEMENTS 2026'!K2122)</f>
        <v/>
      </c>
      <c r="Q2122">
        <f>IF($A2122="","",IF(OR($E2122="INFRUCTUEUX",$E2122="ANNULE"),$A2122&amp;"|"&amp;(COUNTIFS($A$2:$A2122,$A2122,$E$2:$E2122,"INFRUCTUEUX")+COUNTIFS($A$2:$A2122,$A2122,$E$2:$E2122,"ANNULE")),""))</f>
        <v/>
      </c>
    </row>
    <row r="2123">
      <c r="A2123">
        <f>IF(ISBLANK('ENGAGEMENTS 2026'!C2123),"",IF('ENGAGEMENTS 2026'!C2123="DTSI","DCT",'ENGAGEMENTS 2026'!C2123))</f>
        <v/>
      </c>
      <c r="B2123">
        <f>IF(ISBLANK('ENGAGEMENTS 2026'!C2123),"",'ENGAGEMENTS 2026'!D2123)</f>
        <v/>
      </c>
      <c r="C2123">
        <f>IF(ISBLANK('ENGAGEMENTS 2026'!C2123),"",'ENGAGEMENTS 2026'!E2123)</f>
        <v/>
      </c>
      <c r="D2123">
        <f>IF(ISBLANK('ENGAGEMENTS 2026'!C2123),"",'ENGAGEMENTS 2026'!G2123)</f>
        <v/>
      </c>
      <c r="E2123">
        <f>IF(ISBLANK('ENGAGEMENTS 2026'!C2123),"",'ENGAGEMENTS 2026'!I2123)</f>
        <v/>
      </c>
      <c r="F2123">
        <f>IF(ISBLANK('ENGAGEMENTS 2026'!C2123),"",'ENGAGEMENTS 2026'!J2123)</f>
        <v/>
      </c>
      <c r="G2123">
        <f>IF(ISBLANK('ENGAGEMENTS 2026'!C2123),"",'ENGAGEMENTS 2026'!M2123)</f>
        <v/>
      </c>
      <c r="H2123">
        <f>IF(ISBLANK('ENGAGEMENTS 2026'!C2123),"",'ENGAGEMENTS 2026'!AF2123)</f>
        <v/>
      </c>
      <c r="I2123">
        <f>IF(ISBLANK('ENGAGEMENTS 2026'!C2123),"",'ENGAGEMENTS 2026'!H2123)</f>
        <v/>
      </c>
      <c r="J2123" s="275">
        <f>IF(ISBLANK('ENGAGEMENTS 2026'!C2123),"",IF(AND(OR($E2123="INFRUCTUEUX",$E2123="ANNULE"),$C2123="AOO-M"),'ENGAGEMENTS 2026'!P2123,IF($H2123="EN COURS DE PREENGAGEMENT",'ENGAGEMENTS 2026'!O2123,IF($H2123="PREENGAGE",IF($E2123="ATTRIBUE",'ENGAGEMENTS 2026'!AE2123,'ENGAGEMENTS 2026'!O2123),'ENGAGEMENTS 2026'!AE2123))))</f>
        <v/>
      </c>
      <c r="K2123" s="604">
        <f>IF(ISBLANK('ENGAGEMENTS 2026'!W2123),"",'ENGAGEMENTS 2026'!W2123)</f>
        <v/>
      </c>
      <c r="L2123" s="276">
        <f>IF($K2123="","",TODAY()-$K2123)</f>
        <v/>
      </c>
      <c r="M2123">
        <f>IF($A2123="","",IF($H2123="ENGAGE","Engagé",IF(AND($H2123="NON ENGAGE",OR($I2123="INFRUCTUEUX",$I2123="ANNULE")),"Clôturé sans suite","En cours")))</f>
        <v/>
      </c>
      <c r="N2123">
        <f>IF(ISBLANK('ENGAGEMENTS 2026'!C2123),"",'ENGAGEMENTS 2026'!L2123)</f>
        <v/>
      </c>
      <c r="O2123">
        <f>IF(ISBLANK('ENGAGEMENTS 2026'!C2123),"",'ENGAGEMENTS 2026'!M2123)</f>
        <v/>
      </c>
      <c r="P2123">
        <f>IF(ISBLANK('ENGAGEMENTS 2026'!C2123),"",'ENGAGEMENTS 2026'!K2123)</f>
        <v/>
      </c>
      <c r="Q2123">
        <f>IF($A2123="","",IF(OR($E2123="INFRUCTUEUX",$E2123="ANNULE"),$A2123&amp;"|"&amp;(COUNTIFS($A$2:$A2123,$A2123,$E$2:$E2123,"INFRUCTUEUX")+COUNTIFS($A$2:$A2123,$A2123,$E$2:$E2123,"ANNULE")),""))</f>
        <v/>
      </c>
    </row>
    <row r="2124">
      <c r="A2124">
        <f>IF(ISBLANK('ENGAGEMENTS 2026'!C2124),"",IF('ENGAGEMENTS 2026'!C2124="DTSI","DCT",'ENGAGEMENTS 2026'!C2124))</f>
        <v/>
      </c>
      <c r="B2124">
        <f>IF(ISBLANK('ENGAGEMENTS 2026'!C2124),"",'ENGAGEMENTS 2026'!D2124)</f>
        <v/>
      </c>
      <c r="C2124">
        <f>IF(ISBLANK('ENGAGEMENTS 2026'!C2124),"",'ENGAGEMENTS 2026'!E2124)</f>
        <v/>
      </c>
      <c r="D2124">
        <f>IF(ISBLANK('ENGAGEMENTS 2026'!C2124),"",'ENGAGEMENTS 2026'!G2124)</f>
        <v/>
      </c>
      <c r="E2124">
        <f>IF(ISBLANK('ENGAGEMENTS 2026'!C2124),"",'ENGAGEMENTS 2026'!I2124)</f>
        <v/>
      </c>
      <c r="F2124">
        <f>IF(ISBLANK('ENGAGEMENTS 2026'!C2124),"",'ENGAGEMENTS 2026'!J2124)</f>
        <v/>
      </c>
      <c r="G2124">
        <f>IF(ISBLANK('ENGAGEMENTS 2026'!C2124),"",'ENGAGEMENTS 2026'!M2124)</f>
        <v/>
      </c>
      <c r="H2124">
        <f>IF(ISBLANK('ENGAGEMENTS 2026'!C2124),"",'ENGAGEMENTS 2026'!AF2124)</f>
        <v/>
      </c>
      <c r="I2124">
        <f>IF(ISBLANK('ENGAGEMENTS 2026'!C2124),"",'ENGAGEMENTS 2026'!H2124)</f>
        <v/>
      </c>
      <c r="J2124" s="275">
        <f>IF(ISBLANK('ENGAGEMENTS 2026'!C2124),"",IF(AND(OR($E2124="INFRUCTUEUX",$E2124="ANNULE"),$C2124="AOO-M"),'ENGAGEMENTS 2026'!P2124,IF($H2124="EN COURS DE PREENGAGEMENT",'ENGAGEMENTS 2026'!O2124,IF($H2124="PREENGAGE",IF($E2124="ATTRIBUE",'ENGAGEMENTS 2026'!AE2124,'ENGAGEMENTS 2026'!O2124),'ENGAGEMENTS 2026'!AE2124))))</f>
        <v/>
      </c>
      <c r="K2124" s="604">
        <f>IF(ISBLANK('ENGAGEMENTS 2026'!W2124),"",'ENGAGEMENTS 2026'!W2124)</f>
        <v/>
      </c>
      <c r="L2124" s="276">
        <f>IF($K2124="","",TODAY()-$K2124)</f>
        <v/>
      </c>
      <c r="M2124">
        <f>IF($A2124="","",IF($H2124="ENGAGE","Engagé",IF(AND($H2124="NON ENGAGE",OR($I2124="INFRUCTUEUX",$I2124="ANNULE")),"Clôturé sans suite","En cours")))</f>
        <v/>
      </c>
      <c r="N2124">
        <f>IF(ISBLANK('ENGAGEMENTS 2026'!C2124),"",'ENGAGEMENTS 2026'!L2124)</f>
        <v/>
      </c>
      <c r="O2124">
        <f>IF(ISBLANK('ENGAGEMENTS 2026'!C2124),"",'ENGAGEMENTS 2026'!M2124)</f>
        <v/>
      </c>
      <c r="P2124">
        <f>IF(ISBLANK('ENGAGEMENTS 2026'!C2124),"",'ENGAGEMENTS 2026'!K2124)</f>
        <v/>
      </c>
      <c r="Q2124">
        <f>IF($A2124="","",IF(OR($E2124="INFRUCTUEUX",$E2124="ANNULE"),$A2124&amp;"|"&amp;(COUNTIFS($A$2:$A2124,$A2124,$E$2:$E2124,"INFRUCTUEUX")+COUNTIFS($A$2:$A2124,$A2124,$E$2:$E2124,"ANNULE")),""))</f>
        <v/>
      </c>
    </row>
    <row r="2125">
      <c r="A2125">
        <f>IF(ISBLANK('ENGAGEMENTS 2026'!C2125),"",IF('ENGAGEMENTS 2026'!C2125="DTSI","DCT",'ENGAGEMENTS 2026'!C2125))</f>
        <v/>
      </c>
      <c r="B2125">
        <f>IF(ISBLANK('ENGAGEMENTS 2026'!C2125),"",'ENGAGEMENTS 2026'!D2125)</f>
        <v/>
      </c>
      <c r="C2125">
        <f>IF(ISBLANK('ENGAGEMENTS 2026'!C2125),"",'ENGAGEMENTS 2026'!E2125)</f>
        <v/>
      </c>
      <c r="D2125">
        <f>IF(ISBLANK('ENGAGEMENTS 2026'!C2125),"",'ENGAGEMENTS 2026'!G2125)</f>
        <v/>
      </c>
      <c r="E2125">
        <f>IF(ISBLANK('ENGAGEMENTS 2026'!C2125),"",'ENGAGEMENTS 2026'!I2125)</f>
        <v/>
      </c>
      <c r="F2125">
        <f>IF(ISBLANK('ENGAGEMENTS 2026'!C2125),"",'ENGAGEMENTS 2026'!J2125)</f>
        <v/>
      </c>
      <c r="G2125">
        <f>IF(ISBLANK('ENGAGEMENTS 2026'!C2125),"",'ENGAGEMENTS 2026'!M2125)</f>
        <v/>
      </c>
      <c r="H2125">
        <f>IF(ISBLANK('ENGAGEMENTS 2026'!C2125),"",'ENGAGEMENTS 2026'!AF2125)</f>
        <v/>
      </c>
      <c r="I2125">
        <f>IF(ISBLANK('ENGAGEMENTS 2026'!C2125),"",'ENGAGEMENTS 2026'!H2125)</f>
        <v/>
      </c>
      <c r="J2125" s="275">
        <f>IF(ISBLANK('ENGAGEMENTS 2026'!C2125),"",IF(AND(OR($E2125="INFRUCTUEUX",$E2125="ANNULE"),$C2125="AOO-M"),'ENGAGEMENTS 2026'!P2125,IF($H2125="EN COURS DE PREENGAGEMENT",'ENGAGEMENTS 2026'!O2125,IF($H2125="PREENGAGE",IF($E2125="ATTRIBUE",'ENGAGEMENTS 2026'!AE2125,'ENGAGEMENTS 2026'!O2125),'ENGAGEMENTS 2026'!AE2125))))</f>
        <v/>
      </c>
      <c r="K2125" s="604">
        <f>IF(ISBLANK('ENGAGEMENTS 2026'!W2125),"",'ENGAGEMENTS 2026'!W2125)</f>
        <v/>
      </c>
      <c r="L2125" s="276">
        <f>IF($K2125="","",TODAY()-$K2125)</f>
        <v/>
      </c>
      <c r="M2125">
        <f>IF($A2125="","",IF($H2125="ENGAGE","Engagé",IF(AND($H2125="NON ENGAGE",OR($I2125="INFRUCTUEUX",$I2125="ANNULE")),"Clôturé sans suite","En cours")))</f>
        <v/>
      </c>
      <c r="N2125">
        <f>IF(ISBLANK('ENGAGEMENTS 2026'!C2125),"",'ENGAGEMENTS 2026'!L2125)</f>
        <v/>
      </c>
      <c r="O2125">
        <f>IF(ISBLANK('ENGAGEMENTS 2026'!C2125),"",'ENGAGEMENTS 2026'!M2125)</f>
        <v/>
      </c>
      <c r="P2125">
        <f>IF(ISBLANK('ENGAGEMENTS 2026'!C2125),"",'ENGAGEMENTS 2026'!K2125)</f>
        <v/>
      </c>
      <c r="Q2125">
        <f>IF($A2125="","",IF(OR($E2125="INFRUCTUEUX",$E2125="ANNULE"),$A2125&amp;"|"&amp;(COUNTIFS($A$2:$A2125,$A2125,$E$2:$E2125,"INFRUCTUEUX")+COUNTIFS($A$2:$A2125,$A2125,$E$2:$E2125,"ANNULE")),""))</f>
        <v/>
      </c>
    </row>
    <row r="2126">
      <c r="A2126">
        <f>IF(ISBLANK('ENGAGEMENTS 2026'!C2126),"",IF('ENGAGEMENTS 2026'!C2126="DTSI","DCT",'ENGAGEMENTS 2026'!C2126))</f>
        <v/>
      </c>
      <c r="B2126">
        <f>IF(ISBLANK('ENGAGEMENTS 2026'!C2126),"",'ENGAGEMENTS 2026'!D2126)</f>
        <v/>
      </c>
      <c r="C2126">
        <f>IF(ISBLANK('ENGAGEMENTS 2026'!C2126),"",'ENGAGEMENTS 2026'!E2126)</f>
        <v/>
      </c>
      <c r="D2126">
        <f>IF(ISBLANK('ENGAGEMENTS 2026'!C2126),"",'ENGAGEMENTS 2026'!G2126)</f>
        <v/>
      </c>
      <c r="E2126">
        <f>IF(ISBLANK('ENGAGEMENTS 2026'!C2126),"",'ENGAGEMENTS 2026'!I2126)</f>
        <v/>
      </c>
      <c r="F2126">
        <f>IF(ISBLANK('ENGAGEMENTS 2026'!C2126),"",'ENGAGEMENTS 2026'!J2126)</f>
        <v/>
      </c>
      <c r="G2126">
        <f>IF(ISBLANK('ENGAGEMENTS 2026'!C2126),"",'ENGAGEMENTS 2026'!M2126)</f>
        <v/>
      </c>
      <c r="H2126">
        <f>IF(ISBLANK('ENGAGEMENTS 2026'!C2126),"",'ENGAGEMENTS 2026'!AF2126)</f>
        <v/>
      </c>
      <c r="I2126">
        <f>IF(ISBLANK('ENGAGEMENTS 2026'!C2126),"",'ENGAGEMENTS 2026'!H2126)</f>
        <v/>
      </c>
      <c r="J2126" s="275">
        <f>IF(ISBLANK('ENGAGEMENTS 2026'!C2126),"",IF(AND(OR($E2126="INFRUCTUEUX",$E2126="ANNULE"),$C2126="AOO-M"),'ENGAGEMENTS 2026'!P2126,IF($H2126="EN COURS DE PREENGAGEMENT",'ENGAGEMENTS 2026'!O2126,IF($H2126="PREENGAGE",IF($E2126="ATTRIBUE",'ENGAGEMENTS 2026'!AE2126,'ENGAGEMENTS 2026'!O2126),'ENGAGEMENTS 2026'!AE2126))))</f>
        <v/>
      </c>
      <c r="K2126" s="604">
        <f>IF(ISBLANK('ENGAGEMENTS 2026'!W2126),"",'ENGAGEMENTS 2026'!W2126)</f>
        <v/>
      </c>
      <c r="L2126" s="276">
        <f>IF($K2126="","",TODAY()-$K2126)</f>
        <v/>
      </c>
      <c r="M2126">
        <f>IF($A2126="","",IF($H2126="ENGAGE","Engagé",IF(AND($H2126="NON ENGAGE",OR($I2126="INFRUCTUEUX",$I2126="ANNULE")),"Clôturé sans suite","En cours")))</f>
        <v/>
      </c>
      <c r="N2126">
        <f>IF(ISBLANK('ENGAGEMENTS 2026'!C2126),"",'ENGAGEMENTS 2026'!L2126)</f>
        <v/>
      </c>
      <c r="O2126">
        <f>IF(ISBLANK('ENGAGEMENTS 2026'!C2126),"",'ENGAGEMENTS 2026'!M2126)</f>
        <v/>
      </c>
      <c r="P2126">
        <f>IF(ISBLANK('ENGAGEMENTS 2026'!C2126),"",'ENGAGEMENTS 2026'!K2126)</f>
        <v/>
      </c>
      <c r="Q2126">
        <f>IF($A2126="","",IF(OR($E2126="INFRUCTUEUX",$E2126="ANNULE"),$A2126&amp;"|"&amp;(COUNTIFS($A$2:$A2126,$A2126,$E$2:$E2126,"INFRUCTUEUX")+COUNTIFS($A$2:$A2126,$A2126,$E$2:$E2126,"ANNULE")),""))</f>
        <v/>
      </c>
    </row>
    <row r="2127">
      <c r="A2127">
        <f>IF(ISBLANK('ENGAGEMENTS 2026'!C2127),"",IF('ENGAGEMENTS 2026'!C2127="DTSI","DCT",'ENGAGEMENTS 2026'!C2127))</f>
        <v/>
      </c>
      <c r="B2127">
        <f>IF(ISBLANK('ENGAGEMENTS 2026'!C2127),"",'ENGAGEMENTS 2026'!D2127)</f>
        <v/>
      </c>
      <c r="C2127">
        <f>IF(ISBLANK('ENGAGEMENTS 2026'!C2127),"",'ENGAGEMENTS 2026'!E2127)</f>
        <v/>
      </c>
      <c r="D2127">
        <f>IF(ISBLANK('ENGAGEMENTS 2026'!C2127),"",'ENGAGEMENTS 2026'!G2127)</f>
        <v/>
      </c>
      <c r="E2127">
        <f>IF(ISBLANK('ENGAGEMENTS 2026'!C2127),"",'ENGAGEMENTS 2026'!I2127)</f>
        <v/>
      </c>
      <c r="F2127">
        <f>IF(ISBLANK('ENGAGEMENTS 2026'!C2127),"",'ENGAGEMENTS 2026'!J2127)</f>
        <v/>
      </c>
      <c r="G2127">
        <f>IF(ISBLANK('ENGAGEMENTS 2026'!C2127),"",'ENGAGEMENTS 2026'!M2127)</f>
        <v/>
      </c>
      <c r="H2127">
        <f>IF(ISBLANK('ENGAGEMENTS 2026'!C2127),"",'ENGAGEMENTS 2026'!AF2127)</f>
        <v/>
      </c>
      <c r="I2127">
        <f>IF(ISBLANK('ENGAGEMENTS 2026'!C2127),"",'ENGAGEMENTS 2026'!H2127)</f>
        <v/>
      </c>
      <c r="J2127" s="275">
        <f>IF(ISBLANK('ENGAGEMENTS 2026'!C2127),"",IF(AND(OR($E2127="INFRUCTUEUX",$E2127="ANNULE"),$C2127="AOO-M"),'ENGAGEMENTS 2026'!P2127,IF($H2127="EN COURS DE PREENGAGEMENT",'ENGAGEMENTS 2026'!O2127,IF($H2127="PREENGAGE",IF($E2127="ATTRIBUE",'ENGAGEMENTS 2026'!AE2127,'ENGAGEMENTS 2026'!O2127),'ENGAGEMENTS 2026'!AE2127))))</f>
        <v/>
      </c>
      <c r="K2127" s="604">
        <f>IF(ISBLANK('ENGAGEMENTS 2026'!W2127),"",'ENGAGEMENTS 2026'!W2127)</f>
        <v/>
      </c>
      <c r="L2127" s="276">
        <f>IF($K2127="","",TODAY()-$K2127)</f>
        <v/>
      </c>
      <c r="M2127">
        <f>IF($A2127="","",IF($H2127="ENGAGE","Engagé",IF(AND($H2127="NON ENGAGE",OR($I2127="INFRUCTUEUX",$I2127="ANNULE")),"Clôturé sans suite","En cours")))</f>
        <v/>
      </c>
      <c r="N2127">
        <f>IF(ISBLANK('ENGAGEMENTS 2026'!C2127),"",'ENGAGEMENTS 2026'!L2127)</f>
        <v/>
      </c>
      <c r="O2127">
        <f>IF(ISBLANK('ENGAGEMENTS 2026'!C2127),"",'ENGAGEMENTS 2026'!M2127)</f>
        <v/>
      </c>
      <c r="P2127">
        <f>IF(ISBLANK('ENGAGEMENTS 2026'!C2127),"",'ENGAGEMENTS 2026'!K2127)</f>
        <v/>
      </c>
      <c r="Q2127">
        <f>IF($A2127="","",IF(OR($E2127="INFRUCTUEUX",$E2127="ANNULE"),$A2127&amp;"|"&amp;(COUNTIFS($A$2:$A2127,$A2127,$E$2:$E2127,"INFRUCTUEUX")+COUNTIFS($A$2:$A2127,$A2127,$E$2:$E2127,"ANNULE")),""))</f>
        <v/>
      </c>
    </row>
    <row r="2128">
      <c r="A2128">
        <f>IF(ISBLANK('ENGAGEMENTS 2026'!C2128),"",IF('ENGAGEMENTS 2026'!C2128="DTSI","DCT",'ENGAGEMENTS 2026'!C2128))</f>
        <v/>
      </c>
      <c r="B2128">
        <f>IF(ISBLANK('ENGAGEMENTS 2026'!C2128),"",'ENGAGEMENTS 2026'!D2128)</f>
        <v/>
      </c>
      <c r="C2128">
        <f>IF(ISBLANK('ENGAGEMENTS 2026'!C2128),"",'ENGAGEMENTS 2026'!E2128)</f>
        <v/>
      </c>
      <c r="D2128">
        <f>IF(ISBLANK('ENGAGEMENTS 2026'!C2128),"",'ENGAGEMENTS 2026'!G2128)</f>
        <v/>
      </c>
      <c r="E2128">
        <f>IF(ISBLANK('ENGAGEMENTS 2026'!C2128),"",'ENGAGEMENTS 2026'!I2128)</f>
        <v/>
      </c>
      <c r="F2128">
        <f>IF(ISBLANK('ENGAGEMENTS 2026'!C2128),"",'ENGAGEMENTS 2026'!J2128)</f>
        <v/>
      </c>
      <c r="G2128">
        <f>IF(ISBLANK('ENGAGEMENTS 2026'!C2128),"",'ENGAGEMENTS 2026'!M2128)</f>
        <v/>
      </c>
      <c r="H2128">
        <f>IF(ISBLANK('ENGAGEMENTS 2026'!C2128),"",'ENGAGEMENTS 2026'!AF2128)</f>
        <v/>
      </c>
      <c r="I2128">
        <f>IF(ISBLANK('ENGAGEMENTS 2026'!C2128),"",'ENGAGEMENTS 2026'!H2128)</f>
        <v/>
      </c>
      <c r="J2128" s="275">
        <f>IF(ISBLANK('ENGAGEMENTS 2026'!C2128),"",IF(AND(OR($E2128="INFRUCTUEUX",$E2128="ANNULE"),$C2128="AOO-M"),'ENGAGEMENTS 2026'!P2128,IF($H2128="EN COURS DE PREENGAGEMENT",'ENGAGEMENTS 2026'!O2128,IF($H2128="PREENGAGE",IF($E2128="ATTRIBUE",'ENGAGEMENTS 2026'!AE2128,'ENGAGEMENTS 2026'!O2128),'ENGAGEMENTS 2026'!AE2128))))</f>
        <v/>
      </c>
      <c r="K2128" s="604">
        <f>IF(ISBLANK('ENGAGEMENTS 2026'!W2128),"",'ENGAGEMENTS 2026'!W2128)</f>
        <v/>
      </c>
      <c r="L2128" s="276">
        <f>IF($K2128="","",TODAY()-$K2128)</f>
        <v/>
      </c>
      <c r="M2128">
        <f>IF($A2128="","",IF($H2128="ENGAGE","Engagé",IF(AND($H2128="NON ENGAGE",OR($I2128="INFRUCTUEUX",$I2128="ANNULE")),"Clôturé sans suite","En cours")))</f>
        <v/>
      </c>
      <c r="N2128">
        <f>IF(ISBLANK('ENGAGEMENTS 2026'!C2128),"",'ENGAGEMENTS 2026'!L2128)</f>
        <v/>
      </c>
      <c r="O2128">
        <f>IF(ISBLANK('ENGAGEMENTS 2026'!C2128),"",'ENGAGEMENTS 2026'!M2128)</f>
        <v/>
      </c>
      <c r="P2128">
        <f>IF(ISBLANK('ENGAGEMENTS 2026'!C2128),"",'ENGAGEMENTS 2026'!K2128)</f>
        <v/>
      </c>
      <c r="Q2128">
        <f>IF($A2128="","",IF(OR($E2128="INFRUCTUEUX",$E2128="ANNULE"),$A2128&amp;"|"&amp;(COUNTIFS($A$2:$A2128,$A2128,$E$2:$E2128,"INFRUCTUEUX")+COUNTIFS($A$2:$A2128,$A2128,$E$2:$E2128,"ANNULE")),""))</f>
        <v/>
      </c>
    </row>
    <row r="2129">
      <c r="A2129">
        <f>IF(ISBLANK('ENGAGEMENTS 2026'!C2129),"",IF('ENGAGEMENTS 2026'!C2129="DTSI","DCT",'ENGAGEMENTS 2026'!C2129))</f>
        <v/>
      </c>
      <c r="B2129">
        <f>IF(ISBLANK('ENGAGEMENTS 2026'!C2129),"",'ENGAGEMENTS 2026'!D2129)</f>
        <v/>
      </c>
      <c r="C2129">
        <f>IF(ISBLANK('ENGAGEMENTS 2026'!C2129),"",'ENGAGEMENTS 2026'!E2129)</f>
        <v/>
      </c>
      <c r="D2129">
        <f>IF(ISBLANK('ENGAGEMENTS 2026'!C2129),"",'ENGAGEMENTS 2026'!G2129)</f>
        <v/>
      </c>
      <c r="E2129">
        <f>IF(ISBLANK('ENGAGEMENTS 2026'!C2129),"",'ENGAGEMENTS 2026'!I2129)</f>
        <v/>
      </c>
      <c r="F2129">
        <f>IF(ISBLANK('ENGAGEMENTS 2026'!C2129),"",'ENGAGEMENTS 2026'!J2129)</f>
        <v/>
      </c>
      <c r="G2129">
        <f>IF(ISBLANK('ENGAGEMENTS 2026'!C2129),"",'ENGAGEMENTS 2026'!M2129)</f>
        <v/>
      </c>
      <c r="H2129">
        <f>IF(ISBLANK('ENGAGEMENTS 2026'!C2129),"",'ENGAGEMENTS 2026'!AF2129)</f>
        <v/>
      </c>
      <c r="I2129">
        <f>IF(ISBLANK('ENGAGEMENTS 2026'!C2129),"",'ENGAGEMENTS 2026'!H2129)</f>
        <v/>
      </c>
      <c r="J2129" s="275">
        <f>IF(ISBLANK('ENGAGEMENTS 2026'!C2129),"",IF(AND(OR($E2129="INFRUCTUEUX",$E2129="ANNULE"),$C2129="AOO-M"),'ENGAGEMENTS 2026'!P2129,IF($H2129="EN COURS DE PREENGAGEMENT",'ENGAGEMENTS 2026'!O2129,IF($H2129="PREENGAGE",IF($E2129="ATTRIBUE",'ENGAGEMENTS 2026'!AE2129,'ENGAGEMENTS 2026'!O2129),'ENGAGEMENTS 2026'!AE2129))))</f>
        <v/>
      </c>
      <c r="K2129" s="604">
        <f>IF(ISBLANK('ENGAGEMENTS 2026'!W2129),"",'ENGAGEMENTS 2026'!W2129)</f>
        <v/>
      </c>
      <c r="L2129" s="276">
        <f>IF($K2129="","",TODAY()-$K2129)</f>
        <v/>
      </c>
      <c r="M2129">
        <f>IF($A2129="","",IF($H2129="ENGAGE","Engagé",IF(AND($H2129="NON ENGAGE",OR($I2129="INFRUCTUEUX",$I2129="ANNULE")),"Clôturé sans suite","En cours")))</f>
        <v/>
      </c>
      <c r="N2129">
        <f>IF(ISBLANK('ENGAGEMENTS 2026'!C2129),"",'ENGAGEMENTS 2026'!L2129)</f>
        <v/>
      </c>
      <c r="O2129">
        <f>IF(ISBLANK('ENGAGEMENTS 2026'!C2129),"",'ENGAGEMENTS 2026'!M2129)</f>
        <v/>
      </c>
      <c r="P2129">
        <f>IF(ISBLANK('ENGAGEMENTS 2026'!C2129),"",'ENGAGEMENTS 2026'!K2129)</f>
        <v/>
      </c>
      <c r="Q2129">
        <f>IF($A2129="","",IF(OR($E2129="INFRUCTUEUX",$E2129="ANNULE"),$A2129&amp;"|"&amp;(COUNTIFS($A$2:$A2129,$A2129,$E$2:$E2129,"INFRUCTUEUX")+COUNTIFS($A$2:$A2129,$A2129,$E$2:$E2129,"ANNULE")),""))</f>
        <v/>
      </c>
    </row>
    <row r="2130">
      <c r="A2130">
        <f>IF(ISBLANK('ENGAGEMENTS 2026'!C2130),"",IF('ENGAGEMENTS 2026'!C2130="DTSI","DCT",'ENGAGEMENTS 2026'!C2130))</f>
        <v/>
      </c>
      <c r="B2130">
        <f>IF(ISBLANK('ENGAGEMENTS 2026'!C2130),"",'ENGAGEMENTS 2026'!D2130)</f>
        <v/>
      </c>
      <c r="C2130">
        <f>IF(ISBLANK('ENGAGEMENTS 2026'!C2130),"",'ENGAGEMENTS 2026'!E2130)</f>
        <v/>
      </c>
      <c r="D2130">
        <f>IF(ISBLANK('ENGAGEMENTS 2026'!C2130),"",'ENGAGEMENTS 2026'!G2130)</f>
        <v/>
      </c>
      <c r="E2130">
        <f>IF(ISBLANK('ENGAGEMENTS 2026'!C2130),"",'ENGAGEMENTS 2026'!I2130)</f>
        <v/>
      </c>
      <c r="F2130">
        <f>IF(ISBLANK('ENGAGEMENTS 2026'!C2130),"",'ENGAGEMENTS 2026'!J2130)</f>
        <v/>
      </c>
      <c r="G2130">
        <f>IF(ISBLANK('ENGAGEMENTS 2026'!C2130),"",'ENGAGEMENTS 2026'!M2130)</f>
        <v/>
      </c>
      <c r="H2130">
        <f>IF(ISBLANK('ENGAGEMENTS 2026'!C2130),"",'ENGAGEMENTS 2026'!AF2130)</f>
        <v/>
      </c>
      <c r="I2130">
        <f>IF(ISBLANK('ENGAGEMENTS 2026'!C2130),"",'ENGAGEMENTS 2026'!H2130)</f>
        <v/>
      </c>
      <c r="J2130" s="275">
        <f>IF(ISBLANK('ENGAGEMENTS 2026'!C2130),"",IF(AND(OR($E2130="INFRUCTUEUX",$E2130="ANNULE"),$C2130="AOO-M"),'ENGAGEMENTS 2026'!P2130,IF($H2130="EN COURS DE PREENGAGEMENT",'ENGAGEMENTS 2026'!O2130,IF($H2130="PREENGAGE",IF($E2130="ATTRIBUE",'ENGAGEMENTS 2026'!AE2130,'ENGAGEMENTS 2026'!O2130),'ENGAGEMENTS 2026'!AE2130))))</f>
        <v/>
      </c>
      <c r="K2130" s="604">
        <f>IF(ISBLANK('ENGAGEMENTS 2026'!W2130),"",'ENGAGEMENTS 2026'!W2130)</f>
        <v/>
      </c>
      <c r="L2130" s="276">
        <f>IF($K2130="","",TODAY()-$K2130)</f>
        <v/>
      </c>
      <c r="M2130">
        <f>IF($A2130="","",IF($H2130="ENGAGE","Engagé",IF(AND($H2130="NON ENGAGE",OR($I2130="INFRUCTUEUX",$I2130="ANNULE")),"Clôturé sans suite","En cours")))</f>
        <v/>
      </c>
      <c r="N2130">
        <f>IF(ISBLANK('ENGAGEMENTS 2026'!C2130),"",'ENGAGEMENTS 2026'!L2130)</f>
        <v/>
      </c>
      <c r="O2130">
        <f>IF(ISBLANK('ENGAGEMENTS 2026'!C2130),"",'ENGAGEMENTS 2026'!M2130)</f>
        <v/>
      </c>
      <c r="P2130">
        <f>IF(ISBLANK('ENGAGEMENTS 2026'!C2130),"",'ENGAGEMENTS 2026'!K2130)</f>
        <v/>
      </c>
      <c r="Q2130">
        <f>IF($A2130="","",IF(OR($E2130="INFRUCTUEUX",$E2130="ANNULE"),$A2130&amp;"|"&amp;(COUNTIFS($A$2:$A2130,$A2130,$E$2:$E2130,"INFRUCTUEUX")+COUNTIFS($A$2:$A2130,$A2130,$E$2:$E2130,"ANNULE")),""))</f>
        <v/>
      </c>
    </row>
    <row r="2131">
      <c r="A2131">
        <f>IF(ISBLANK('ENGAGEMENTS 2026'!C2131),"",IF('ENGAGEMENTS 2026'!C2131="DTSI","DCT",'ENGAGEMENTS 2026'!C2131))</f>
        <v/>
      </c>
      <c r="B2131">
        <f>IF(ISBLANK('ENGAGEMENTS 2026'!C2131),"",'ENGAGEMENTS 2026'!D2131)</f>
        <v/>
      </c>
      <c r="C2131">
        <f>IF(ISBLANK('ENGAGEMENTS 2026'!C2131),"",'ENGAGEMENTS 2026'!E2131)</f>
        <v/>
      </c>
      <c r="D2131">
        <f>IF(ISBLANK('ENGAGEMENTS 2026'!C2131),"",'ENGAGEMENTS 2026'!G2131)</f>
        <v/>
      </c>
      <c r="E2131">
        <f>IF(ISBLANK('ENGAGEMENTS 2026'!C2131),"",'ENGAGEMENTS 2026'!I2131)</f>
        <v/>
      </c>
      <c r="F2131">
        <f>IF(ISBLANK('ENGAGEMENTS 2026'!C2131),"",'ENGAGEMENTS 2026'!J2131)</f>
        <v/>
      </c>
      <c r="G2131">
        <f>IF(ISBLANK('ENGAGEMENTS 2026'!C2131),"",'ENGAGEMENTS 2026'!M2131)</f>
        <v/>
      </c>
      <c r="H2131">
        <f>IF(ISBLANK('ENGAGEMENTS 2026'!C2131),"",'ENGAGEMENTS 2026'!AF2131)</f>
        <v/>
      </c>
      <c r="I2131">
        <f>IF(ISBLANK('ENGAGEMENTS 2026'!C2131),"",'ENGAGEMENTS 2026'!H2131)</f>
        <v/>
      </c>
      <c r="J2131" s="275">
        <f>IF(ISBLANK('ENGAGEMENTS 2026'!C2131),"",IF(AND(OR($E2131="INFRUCTUEUX",$E2131="ANNULE"),$C2131="AOO-M"),'ENGAGEMENTS 2026'!P2131,IF($H2131="EN COURS DE PREENGAGEMENT",'ENGAGEMENTS 2026'!O2131,IF($H2131="PREENGAGE",IF($E2131="ATTRIBUE",'ENGAGEMENTS 2026'!AE2131,'ENGAGEMENTS 2026'!O2131),'ENGAGEMENTS 2026'!AE2131))))</f>
        <v/>
      </c>
      <c r="K2131" s="604">
        <f>IF(ISBLANK('ENGAGEMENTS 2026'!W2131),"",'ENGAGEMENTS 2026'!W2131)</f>
        <v/>
      </c>
      <c r="L2131" s="276">
        <f>IF($K2131="","",TODAY()-$K2131)</f>
        <v/>
      </c>
      <c r="M2131">
        <f>IF($A2131="","",IF($H2131="ENGAGE","Engagé",IF(AND($H2131="NON ENGAGE",OR($I2131="INFRUCTUEUX",$I2131="ANNULE")),"Clôturé sans suite","En cours")))</f>
        <v/>
      </c>
      <c r="N2131">
        <f>IF(ISBLANK('ENGAGEMENTS 2026'!C2131),"",'ENGAGEMENTS 2026'!L2131)</f>
        <v/>
      </c>
      <c r="O2131">
        <f>IF(ISBLANK('ENGAGEMENTS 2026'!C2131),"",'ENGAGEMENTS 2026'!M2131)</f>
        <v/>
      </c>
      <c r="P2131">
        <f>IF(ISBLANK('ENGAGEMENTS 2026'!C2131),"",'ENGAGEMENTS 2026'!K2131)</f>
        <v/>
      </c>
      <c r="Q2131">
        <f>IF($A2131="","",IF(OR($E2131="INFRUCTUEUX",$E2131="ANNULE"),$A2131&amp;"|"&amp;(COUNTIFS($A$2:$A2131,$A2131,$E$2:$E2131,"INFRUCTUEUX")+COUNTIFS($A$2:$A2131,$A2131,$E$2:$E2131,"ANNULE")),""))</f>
        <v/>
      </c>
    </row>
    <row r="2132">
      <c r="A2132">
        <f>IF(ISBLANK('ENGAGEMENTS 2026'!C2132),"",IF('ENGAGEMENTS 2026'!C2132="DTSI","DCT",'ENGAGEMENTS 2026'!C2132))</f>
        <v/>
      </c>
      <c r="B2132">
        <f>IF(ISBLANK('ENGAGEMENTS 2026'!C2132),"",'ENGAGEMENTS 2026'!D2132)</f>
        <v/>
      </c>
      <c r="C2132">
        <f>IF(ISBLANK('ENGAGEMENTS 2026'!C2132),"",'ENGAGEMENTS 2026'!E2132)</f>
        <v/>
      </c>
      <c r="D2132">
        <f>IF(ISBLANK('ENGAGEMENTS 2026'!C2132),"",'ENGAGEMENTS 2026'!G2132)</f>
        <v/>
      </c>
      <c r="E2132">
        <f>IF(ISBLANK('ENGAGEMENTS 2026'!C2132),"",'ENGAGEMENTS 2026'!I2132)</f>
        <v/>
      </c>
      <c r="F2132">
        <f>IF(ISBLANK('ENGAGEMENTS 2026'!C2132),"",'ENGAGEMENTS 2026'!J2132)</f>
        <v/>
      </c>
      <c r="G2132">
        <f>IF(ISBLANK('ENGAGEMENTS 2026'!C2132),"",'ENGAGEMENTS 2026'!M2132)</f>
        <v/>
      </c>
      <c r="H2132">
        <f>IF(ISBLANK('ENGAGEMENTS 2026'!C2132),"",'ENGAGEMENTS 2026'!AF2132)</f>
        <v/>
      </c>
      <c r="I2132">
        <f>IF(ISBLANK('ENGAGEMENTS 2026'!C2132),"",'ENGAGEMENTS 2026'!H2132)</f>
        <v/>
      </c>
      <c r="J2132" s="275">
        <f>IF(ISBLANK('ENGAGEMENTS 2026'!C2132),"",IF(AND(OR($E2132="INFRUCTUEUX",$E2132="ANNULE"),$C2132="AOO-M"),'ENGAGEMENTS 2026'!P2132,IF($H2132="EN COURS DE PREENGAGEMENT",'ENGAGEMENTS 2026'!O2132,IF($H2132="PREENGAGE",IF($E2132="ATTRIBUE",'ENGAGEMENTS 2026'!AE2132,'ENGAGEMENTS 2026'!O2132),'ENGAGEMENTS 2026'!AE2132))))</f>
        <v/>
      </c>
      <c r="K2132" s="604">
        <f>IF(ISBLANK('ENGAGEMENTS 2026'!W2132),"",'ENGAGEMENTS 2026'!W2132)</f>
        <v/>
      </c>
      <c r="L2132" s="276">
        <f>IF($K2132="","",TODAY()-$K2132)</f>
        <v/>
      </c>
      <c r="M2132">
        <f>IF($A2132="","",IF($H2132="ENGAGE","Engagé",IF(AND($H2132="NON ENGAGE",OR($I2132="INFRUCTUEUX",$I2132="ANNULE")),"Clôturé sans suite","En cours")))</f>
        <v/>
      </c>
      <c r="N2132">
        <f>IF(ISBLANK('ENGAGEMENTS 2026'!C2132),"",'ENGAGEMENTS 2026'!L2132)</f>
        <v/>
      </c>
      <c r="O2132">
        <f>IF(ISBLANK('ENGAGEMENTS 2026'!C2132),"",'ENGAGEMENTS 2026'!M2132)</f>
        <v/>
      </c>
      <c r="P2132">
        <f>IF(ISBLANK('ENGAGEMENTS 2026'!C2132),"",'ENGAGEMENTS 2026'!K2132)</f>
        <v/>
      </c>
      <c r="Q2132">
        <f>IF($A2132="","",IF(OR($E2132="INFRUCTUEUX",$E2132="ANNULE"),$A2132&amp;"|"&amp;(COUNTIFS($A$2:$A2132,$A2132,$E$2:$E2132,"INFRUCTUEUX")+COUNTIFS($A$2:$A2132,$A2132,$E$2:$E2132,"ANNULE")),""))</f>
        <v/>
      </c>
    </row>
    <row r="2133">
      <c r="A2133">
        <f>IF(ISBLANK('ENGAGEMENTS 2026'!C2133),"",IF('ENGAGEMENTS 2026'!C2133="DTSI","DCT",'ENGAGEMENTS 2026'!C2133))</f>
        <v/>
      </c>
      <c r="B2133">
        <f>IF(ISBLANK('ENGAGEMENTS 2026'!C2133),"",'ENGAGEMENTS 2026'!D2133)</f>
        <v/>
      </c>
      <c r="C2133">
        <f>IF(ISBLANK('ENGAGEMENTS 2026'!C2133),"",'ENGAGEMENTS 2026'!E2133)</f>
        <v/>
      </c>
      <c r="D2133">
        <f>IF(ISBLANK('ENGAGEMENTS 2026'!C2133),"",'ENGAGEMENTS 2026'!G2133)</f>
        <v/>
      </c>
      <c r="E2133">
        <f>IF(ISBLANK('ENGAGEMENTS 2026'!C2133),"",'ENGAGEMENTS 2026'!I2133)</f>
        <v/>
      </c>
      <c r="F2133">
        <f>IF(ISBLANK('ENGAGEMENTS 2026'!C2133),"",'ENGAGEMENTS 2026'!J2133)</f>
        <v/>
      </c>
      <c r="G2133">
        <f>IF(ISBLANK('ENGAGEMENTS 2026'!C2133),"",'ENGAGEMENTS 2026'!M2133)</f>
        <v/>
      </c>
      <c r="H2133">
        <f>IF(ISBLANK('ENGAGEMENTS 2026'!C2133),"",'ENGAGEMENTS 2026'!AF2133)</f>
        <v/>
      </c>
      <c r="I2133">
        <f>IF(ISBLANK('ENGAGEMENTS 2026'!C2133),"",'ENGAGEMENTS 2026'!H2133)</f>
        <v/>
      </c>
      <c r="J2133" s="275">
        <f>IF(ISBLANK('ENGAGEMENTS 2026'!C2133),"",IF(AND(OR($E2133="INFRUCTUEUX",$E2133="ANNULE"),$C2133="AOO-M"),'ENGAGEMENTS 2026'!P2133,IF($H2133="EN COURS DE PREENGAGEMENT",'ENGAGEMENTS 2026'!O2133,IF($H2133="PREENGAGE",IF($E2133="ATTRIBUE",'ENGAGEMENTS 2026'!AE2133,'ENGAGEMENTS 2026'!O2133),'ENGAGEMENTS 2026'!AE2133))))</f>
        <v/>
      </c>
      <c r="K2133" s="604">
        <f>IF(ISBLANK('ENGAGEMENTS 2026'!W2133),"",'ENGAGEMENTS 2026'!W2133)</f>
        <v/>
      </c>
      <c r="L2133" s="276">
        <f>IF($K2133="","",TODAY()-$K2133)</f>
        <v/>
      </c>
      <c r="M2133">
        <f>IF($A2133="","",IF($H2133="ENGAGE","Engagé",IF(AND($H2133="NON ENGAGE",OR($I2133="INFRUCTUEUX",$I2133="ANNULE")),"Clôturé sans suite","En cours")))</f>
        <v/>
      </c>
      <c r="N2133">
        <f>IF(ISBLANK('ENGAGEMENTS 2026'!C2133),"",'ENGAGEMENTS 2026'!L2133)</f>
        <v/>
      </c>
      <c r="O2133">
        <f>IF(ISBLANK('ENGAGEMENTS 2026'!C2133),"",'ENGAGEMENTS 2026'!M2133)</f>
        <v/>
      </c>
      <c r="P2133">
        <f>IF(ISBLANK('ENGAGEMENTS 2026'!C2133),"",'ENGAGEMENTS 2026'!K2133)</f>
        <v/>
      </c>
      <c r="Q2133">
        <f>IF($A2133="","",IF(OR($E2133="INFRUCTUEUX",$E2133="ANNULE"),$A2133&amp;"|"&amp;(COUNTIFS($A$2:$A2133,$A2133,$E$2:$E2133,"INFRUCTUEUX")+COUNTIFS($A$2:$A2133,$A2133,$E$2:$E2133,"ANNULE")),""))</f>
        <v/>
      </c>
    </row>
    <row r="2134">
      <c r="A2134">
        <f>IF(ISBLANK('ENGAGEMENTS 2026'!C2134),"",IF('ENGAGEMENTS 2026'!C2134="DTSI","DCT",'ENGAGEMENTS 2026'!C2134))</f>
        <v/>
      </c>
      <c r="B2134">
        <f>IF(ISBLANK('ENGAGEMENTS 2026'!C2134),"",'ENGAGEMENTS 2026'!D2134)</f>
        <v/>
      </c>
      <c r="C2134">
        <f>IF(ISBLANK('ENGAGEMENTS 2026'!C2134),"",'ENGAGEMENTS 2026'!E2134)</f>
        <v/>
      </c>
      <c r="D2134">
        <f>IF(ISBLANK('ENGAGEMENTS 2026'!C2134),"",'ENGAGEMENTS 2026'!G2134)</f>
        <v/>
      </c>
      <c r="E2134">
        <f>IF(ISBLANK('ENGAGEMENTS 2026'!C2134),"",'ENGAGEMENTS 2026'!I2134)</f>
        <v/>
      </c>
      <c r="F2134">
        <f>IF(ISBLANK('ENGAGEMENTS 2026'!C2134),"",'ENGAGEMENTS 2026'!J2134)</f>
        <v/>
      </c>
      <c r="G2134">
        <f>IF(ISBLANK('ENGAGEMENTS 2026'!C2134),"",'ENGAGEMENTS 2026'!M2134)</f>
        <v/>
      </c>
      <c r="H2134">
        <f>IF(ISBLANK('ENGAGEMENTS 2026'!C2134),"",'ENGAGEMENTS 2026'!AF2134)</f>
        <v/>
      </c>
      <c r="I2134">
        <f>IF(ISBLANK('ENGAGEMENTS 2026'!C2134),"",'ENGAGEMENTS 2026'!H2134)</f>
        <v/>
      </c>
      <c r="J2134" s="275">
        <f>IF(ISBLANK('ENGAGEMENTS 2026'!C2134),"",IF(AND(OR($E2134="INFRUCTUEUX",$E2134="ANNULE"),$C2134="AOO-M"),'ENGAGEMENTS 2026'!P2134,IF($H2134="EN COURS DE PREENGAGEMENT",'ENGAGEMENTS 2026'!O2134,IF($H2134="PREENGAGE",IF($E2134="ATTRIBUE",'ENGAGEMENTS 2026'!AE2134,'ENGAGEMENTS 2026'!O2134),'ENGAGEMENTS 2026'!AE2134))))</f>
        <v/>
      </c>
      <c r="K2134" s="604">
        <f>IF(ISBLANK('ENGAGEMENTS 2026'!W2134),"",'ENGAGEMENTS 2026'!W2134)</f>
        <v/>
      </c>
      <c r="L2134" s="276">
        <f>IF($K2134="","",TODAY()-$K2134)</f>
        <v/>
      </c>
      <c r="M2134">
        <f>IF($A2134="","",IF($H2134="ENGAGE","Engagé",IF(AND($H2134="NON ENGAGE",OR($I2134="INFRUCTUEUX",$I2134="ANNULE")),"Clôturé sans suite","En cours")))</f>
        <v/>
      </c>
      <c r="N2134">
        <f>IF(ISBLANK('ENGAGEMENTS 2026'!C2134),"",'ENGAGEMENTS 2026'!L2134)</f>
        <v/>
      </c>
      <c r="O2134">
        <f>IF(ISBLANK('ENGAGEMENTS 2026'!C2134),"",'ENGAGEMENTS 2026'!M2134)</f>
        <v/>
      </c>
      <c r="P2134">
        <f>IF(ISBLANK('ENGAGEMENTS 2026'!C2134),"",'ENGAGEMENTS 2026'!K2134)</f>
        <v/>
      </c>
      <c r="Q2134">
        <f>IF($A2134="","",IF(OR($E2134="INFRUCTUEUX",$E2134="ANNULE"),$A2134&amp;"|"&amp;(COUNTIFS($A$2:$A2134,$A2134,$E$2:$E2134,"INFRUCTUEUX")+COUNTIFS($A$2:$A2134,$A2134,$E$2:$E2134,"ANNULE")),""))</f>
        <v/>
      </c>
    </row>
    <row r="2135">
      <c r="A2135">
        <f>IF(ISBLANK('ENGAGEMENTS 2026'!C2135),"",IF('ENGAGEMENTS 2026'!C2135="DTSI","DCT",'ENGAGEMENTS 2026'!C2135))</f>
        <v/>
      </c>
      <c r="B2135">
        <f>IF(ISBLANK('ENGAGEMENTS 2026'!C2135),"",'ENGAGEMENTS 2026'!D2135)</f>
        <v/>
      </c>
      <c r="C2135">
        <f>IF(ISBLANK('ENGAGEMENTS 2026'!C2135),"",'ENGAGEMENTS 2026'!E2135)</f>
        <v/>
      </c>
      <c r="D2135">
        <f>IF(ISBLANK('ENGAGEMENTS 2026'!C2135),"",'ENGAGEMENTS 2026'!G2135)</f>
        <v/>
      </c>
      <c r="E2135">
        <f>IF(ISBLANK('ENGAGEMENTS 2026'!C2135),"",'ENGAGEMENTS 2026'!I2135)</f>
        <v/>
      </c>
      <c r="F2135">
        <f>IF(ISBLANK('ENGAGEMENTS 2026'!C2135),"",'ENGAGEMENTS 2026'!J2135)</f>
        <v/>
      </c>
      <c r="G2135">
        <f>IF(ISBLANK('ENGAGEMENTS 2026'!C2135),"",'ENGAGEMENTS 2026'!M2135)</f>
        <v/>
      </c>
      <c r="H2135">
        <f>IF(ISBLANK('ENGAGEMENTS 2026'!C2135),"",'ENGAGEMENTS 2026'!AF2135)</f>
        <v/>
      </c>
      <c r="I2135">
        <f>IF(ISBLANK('ENGAGEMENTS 2026'!C2135),"",'ENGAGEMENTS 2026'!H2135)</f>
        <v/>
      </c>
      <c r="J2135" s="275">
        <f>IF(ISBLANK('ENGAGEMENTS 2026'!C2135),"",IF(AND(OR($E2135="INFRUCTUEUX",$E2135="ANNULE"),$C2135="AOO-M"),'ENGAGEMENTS 2026'!P2135,IF($H2135="EN COURS DE PREENGAGEMENT",'ENGAGEMENTS 2026'!O2135,IF($H2135="PREENGAGE",IF($E2135="ATTRIBUE",'ENGAGEMENTS 2026'!AE2135,'ENGAGEMENTS 2026'!O2135),'ENGAGEMENTS 2026'!AE2135))))</f>
        <v/>
      </c>
      <c r="K2135" s="604">
        <f>IF(ISBLANK('ENGAGEMENTS 2026'!W2135),"",'ENGAGEMENTS 2026'!W2135)</f>
        <v/>
      </c>
      <c r="L2135" s="276">
        <f>IF($K2135="","",TODAY()-$K2135)</f>
        <v/>
      </c>
      <c r="M2135">
        <f>IF($A2135="","",IF($H2135="ENGAGE","Engagé",IF(AND($H2135="NON ENGAGE",OR($I2135="INFRUCTUEUX",$I2135="ANNULE")),"Clôturé sans suite","En cours")))</f>
        <v/>
      </c>
      <c r="N2135">
        <f>IF(ISBLANK('ENGAGEMENTS 2026'!C2135),"",'ENGAGEMENTS 2026'!L2135)</f>
        <v/>
      </c>
      <c r="O2135">
        <f>IF(ISBLANK('ENGAGEMENTS 2026'!C2135),"",'ENGAGEMENTS 2026'!M2135)</f>
        <v/>
      </c>
      <c r="P2135">
        <f>IF(ISBLANK('ENGAGEMENTS 2026'!C2135),"",'ENGAGEMENTS 2026'!K2135)</f>
        <v/>
      </c>
      <c r="Q2135">
        <f>IF($A2135="","",IF(OR($E2135="INFRUCTUEUX",$E2135="ANNULE"),$A2135&amp;"|"&amp;(COUNTIFS($A$2:$A2135,$A2135,$E$2:$E2135,"INFRUCTUEUX")+COUNTIFS($A$2:$A2135,$A2135,$E$2:$E2135,"ANNULE")),""))</f>
        <v/>
      </c>
    </row>
    <row r="2136">
      <c r="A2136">
        <f>IF(ISBLANK('ENGAGEMENTS 2026'!C2136),"",IF('ENGAGEMENTS 2026'!C2136="DTSI","DCT",'ENGAGEMENTS 2026'!C2136))</f>
        <v/>
      </c>
      <c r="B2136">
        <f>IF(ISBLANK('ENGAGEMENTS 2026'!C2136),"",'ENGAGEMENTS 2026'!D2136)</f>
        <v/>
      </c>
      <c r="C2136">
        <f>IF(ISBLANK('ENGAGEMENTS 2026'!C2136),"",'ENGAGEMENTS 2026'!E2136)</f>
        <v/>
      </c>
      <c r="D2136">
        <f>IF(ISBLANK('ENGAGEMENTS 2026'!C2136),"",'ENGAGEMENTS 2026'!G2136)</f>
        <v/>
      </c>
      <c r="E2136">
        <f>IF(ISBLANK('ENGAGEMENTS 2026'!C2136),"",'ENGAGEMENTS 2026'!I2136)</f>
        <v/>
      </c>
      <c r="F2136">
        <f>IF(ISBLANK('ENGAGEMENTS 2026'!C2136),"",'ENGAGEMENTS 2026'!J2136)</f>
        <v/>
      </c>
      <c r="G2136">
        <f>IF(ISBLANK('ENGAGEMENTS 2026'!C2136),"",'ENGAGEMENTS 2026'!M2136)</f>
        <v/>
      </c>
      <c r="H2136">
        <f>IF(ISBLANK('ENGAGEMENTS 2026'!C2136),"",'ENGAGEMENTS 2026'!AF2136)</f>
        <v/>
      </c>
      <c r="I2136">
        <f>IF(ISBLANK('ENGAGEMENTS 2026'!C2136),"",'ENGAGEMENTS 2026'!H2136)</f>
        <v/>
      </c>
      <c r="J2136" s="275">
        <f>IF(ISBLANK('ENGAGEMENTS 2026'!C2136),"",IF(AND(OR($E2136="INFRUCTUEUX",$E2136="ANNULE"),$C2136="AOO-M"),'ENGAGEMENTS 2026'!P2136,IF($H2136="EN COURS DE PREENGAGEMENT",'ENGAGEMENTS 2026'!O2136,IF($H2136="PREENGAGE",IF($E2136="ATTRIBUE",'ENGAGEMENTS 2026'!AE2136,'ENGAGEMENTS 2026'!O2136),'ENGAGEMENTS 2026'!AE2136))))</f>
        <v/>
      </c>
      <c r="K2136" s="604">
        <f>IF(ISBLANK('ENGAGEMENTS 2026'!W2136),"",'ENGAGEMENTS 2026'!W2136)</f>
        <v/>
      </c>
      <c r="L2136" s="276">
        <f>IF($K2136="","",TODAY()-$K2136)</f>
        <v/>
      </c>
      <c r="M2136">
        <f>IF($A2136="","",IF($H2136="ENGAGE","Engagé",IF(AND($H2136="NON ENGAGE",OR($I2136="INFRUCTUEUX",$I2136="ANNULE")),"Clôturé sans suite","En cours")))</f>
        <v/>
      </c>
      <c r="N2136">
        <f>IF(ISBLANK('ENGAGEMENTS 2026'!C2136),"",'ENGAGEMENTS 2026'!L2136)</f>
        <v/>
      </c>
      <c r="O2136">
        <f>IF(ISBLANK('ENGAGEMENTS 2026'!C2136),"",'ENGAGEMENTS 2026'!M2136)</f>
        <v/>
      </c>
      <c r="P2136">
        <f>IF(ISBLANK('ENGAGEMENTS 2026'!C2136),"",'ENGAGEMENTS 2026'!K2136)</f>
        <v/>
      </c>
      <c r="Q2136">
        <f>IF($A2136="","",IF(OR($E2136="INFRUCTUEUX",$E2136="ANNULE"),$A2136&amp;"|"&amp;(COUNTIFS($A$2:$A2136,$A2136,$E$2:$E2136,"INFRUCTUEUX")+COUNTIFS($A$2:$A2136,$A2136,$E$2:$E2136,"ANNULE")),""))</f>
        <v/>
      </c>
    </row>
    <row r="2137">
      <c r="A2137">
        <f>IF(ISBLANK('ENGAGEMENTS 2026'!C2137),"",IF('ENGAGEMENTS 2026'!C2137="DTSI","DCT",'ENGAGEMENTS 2026'!C2137))</f>
        <v/>
      </c>
      <c r="B2137">
        <f>IF(ISBLANK('ENGAGEMENTS 2026'!C2137),"",'ENGAGEMENTS 2026'!D2137)</f>
        <v/>
      </c>
      <c r="C2137">
        <f>IF(ISBLANK('ENGAGEMENTS 2026'!C2137),"",'ENGAGEMENTS 2026'!E2137)</f>
        <v/>
      </c>
      <c r="D2137">
        <f>IF(ISBLANK('ENGAGEMENTS 2026'!C2137),"",'ENGAGEMENTS 2026'!G2137)</f>
        <v/>
      </c>
      <c r="E2137">
        <f>IF(ISBLANK('ENGAGEMENTS 2026'!C2137),"",'ENGAGEMENTS 2026'!I2137)</f>
        <v/>
      </c>
      <c r="F2137">
        <f>IF(ISBLANK('ENGAGEMENTS 2026'!C2137),"",'ENGAGEMENTS 2026'!J2137)</f>
        <v/>
      </c>
      <c r="G2137">
        <f>IF(ISBLANK('ENGAGEMENTS 2026'!C2137),"",'ENGAGEMENTS 2026'!M2137)</f>
        <v/>
      </c>
      <c r="H2137">
        <f>IF(ISBLANK('ENGAGEMENTS 2026'!C2137),"",'ENGAGEMENTS 2026'!AF2137)</f>
        <v/>
      </c>
      <c r="I2137">
        <f>IF(ISBLANK('ENGAGEMENTS 2026'!C2137),"",'ENGAGEMENTS 2026'!H2137)</f>
        <v/>
      </c>
      <c r="J2137" s="275">
        <f>IF(ISBLANK('ENGAGEMENTS 2026'!C2137),"",IF(AND(OR($E2137="INFRUCTUEUX",$E2137="ANNULE"),$C2137="AOO-M"),'ENGAGEMENTS 2026'!P2137,IF($H2137="EN COURS DE PREENGAGEMENT",'ENGAGEMENTS 2026'!O2137,IF($H2137="PREENGAGE",IF($E2137="ATTRIBUE",'ENGAGEMENTS 2026'!AE2137,'ENGAGEMENTS 2026'!O2137),'ENGAGEMENTS 2026'!AE2137))))</f>
        <v/>
      </c>
      <c r="K2137" s="604">
        <f>IF(ISBLANK('ENGAGEMENTS 2026'!W2137),"",'ENGAGEMENTS 2026'!W2137)</f>
        <v/>
      </c>
      <c r="L2137" s="276">
        <f>IF($K2137="","",TODAY()-$K2137)</f>
        <v/>
      </c>
      <c r="M2137">
        <f>IF($A2137="","",IF($H2137="ENGAGE","Engagé",IF(AND($H2137="NON ENGAGE",OR($I2137="INFRUCTUEUX",$I2137="ANNULE")),"Clôturé sans suite","En cours")))</f>
        <v/>
      </c>
      <c r="N2137">
        <f>IF(ISBLANK('ENGAGEMENTS 2026'!C2137),"",'ENGAGEMENTS 2026'!L2137)</f>
        <v/>
      </c>
      <c r="O2137">
        <f>IF(ISBLANK('ENGAGEMENTS 2026'!C2137),"",'ENGAGEMENTS 2026'!M2137)</f>
        <v/>
      </c>
      <c r="P2137">
        <f>IF(ISBLANK('ENGAGEMENTS 2026'!C2137),"",'ENGAGEMENTS 2026'!K2137)</f>
        <v/>
      </c>
      <c r="Q2137">
        <f>IF($A2137="","",IF(OR($E2137="INFRUCTUEUX",$E2137="ANNULE"),$A2137&amp;"|"&amp;(COUNTIFS($A$2:$A2137,$A2137,$E$2:$E2137,"INFRUCTUEUX")+COUNTIFS($A$2:$A2137,$A2137,$E$2:$E2137,"ANNULE")),""))</f>
        <v/>
      </c>
    </row>
    <row r="2138">
      <c r="A2138">
        <f>IF(ISBLANK('ENGAGEMENTS 2026'!C2138),"",IF('ENGAGEMENTS 2026'!C2138="DTSI","DCT",'ENGAGEMENTS 2026'!C2138))</f>
        <v/>
      </c>
      <c r="B2138">
        <f>IF(ISBLANK('ENGAGEMENTS 2026'!C2138),"",'ENGAGEMENTS 2026'!D2138)</f>
        <v/>
      </c>
      <c r="C2138">
        <f>IF(ISBLANK('ENGAGEMENTS 2026'!C2138),"",'ENGAGEMENTS 2026'!E2138)</f>
        <v/>
      </c>
      <c r="D2138">
        <f>IF(ISBLANK('ENGAGEMENTS 2026'!C2138),"",'ENGAGEMENTS 2026'!G2138)</f>
        <v/>
      </c>
      <c r="E2138">
        <f>IF(ISBLANK('ENGAGEMENTS 2026'!C2138),"",'ENGAGEMENTS 2026'!I2138)</f>
        <v/>
      </c>
      <c r="F2138">
        <f>IF(ISBLANK('ENGAGEMENTS 2026'!C2138),"",'ENGAGEMENTS 2026'!J2138)</f>
        <v/>
      </c>
      <c r="G2138">
        <f>IF(ISBLANK('ENGAGEMENTS 2026'!C2138),"",'ENGAGEMENTS 2026'!M2138)</f>
        <v/>
      </c>
      <c r="H2138">
        <f>IF(ISBLANK('ENGAGEMENTS 2026'!C2138),"",'ENGAGEMENTS 2026'!AF2138)</f>
        <v/>
      </c>
      <c r="I2138">
        <f>IF(ISBLANK('ENGAGEMENTS 2026'!C2138),"",'ENGAGEMENTS 2026'!H2138)</f>
        <v/>
      </c>
      <c r="J2138" s="275">
        <f>IF(ISBLANK('ENGAGEMENTS 2026'!C2138),"",IF(AND(OR($E2138="INFRUCTUEUX",$E2138="ANNULE"),$C2138="AOO-M"),'ENGAGEMENTS 2026'!P2138,IF($H2138="EN COURS DE PREENGAGEMENT",'ENGAGEMENTS 2026'!O2138,IF($H2138="PREENGAGE",IF($E2138="ATTRIBUE",'ENGAGEMENTS 2026'!AE2138,'ENGAGEMENTS 2026'!O2138),'ENGAGEMENTS 2026'!AE2138))))</f>
        <v/>
      </c>
      <c r="K2138" s="604">
        <f>IF(ISBLANK('ENGAGEMENTS 2026'!W2138),"",'ENGAGEMENTS 2026'!W2138)</f>
        <v/>
      </c>
      <c r="L2138" s="276">
        <f>IF($K2138="","",TODAY()-$K2138)</f>
        <v/>
      </c>
      <c r="M2138">
        <f>IF($A2138="","",IF($H2138="ENGAGE","Engagé",IF(AND($H2138="NON ENGAGE",OR($I2138="INFRUCTUEUX",$I2138="ANNULE")),"Clôturé sans suite","En cours")))</f>
        <v/>
      </c>
      <c r="N2138">
        <f>IF(ISBLANK('ENGAGEMENTS 2026'!C2138),"",'ENGAGEMENTS 2026'!L2138)</f>
        <v/>
      </c>
      <c r="O2138">
        <f>IF(ISBLANK('ENGAGEMENTS 2026'!C2138),"",'ENGAGEMENTS 2026'!M2138)</f>
        <v/>
      </c>
      <c r="P2138">
        <f>IF(ISBLANK('ENGAGEMENTS 2026'!C2138),"",'ENGAGEMENTS 2026'!K2138)</f>
        <v/>
      </c>
      <c r="Q2138">
        <f>IF($A2138="","",IF(OR($E2138="INFRUCTUEUX",$E2138="ANNULE"),$A2138&amp;"|"&amp;(COUNTIFS($A$2:$A2138,$A2138,$E$2:$E2138,"INFRUCTUEUX")+COUNTIFS($A$2:$A2138,$A2138,$E$2:$E2138,"ANNULE")),""))</f>
        <v/>
      </c>
    </row>
    <row r="2139">
      <c r="A2139">
        <f>IF(ISBLANK('ENGAGEMENTS 2026'!C2139),"",IF('ENGAGEMENTS 2026'!C2139="DTSI","DCT",'ENGAGEMENTS 2026'!C2139))</f>
        <v/>
      </c>
      <c r="B2139">
        <f>IF(ISBLANK('ENGAGEMENTS 2026'!C2139),"",'ENGAGEMENTS 2026'!D2139)</f>
        <v/>
      </c>
      <c r="C2139">
        <f>IF(ISBLANK('ENGAGEMENTS 2026'!C2139),"",'ENGAGEMENTS 2026'!E2139)</f>
        <v/>
      </c>
      <c r="D2139">
        <f>IF(ISBLANK('ENGAGEMENTS 2026'!C2139),"",'ENGAGEMENTS 2026'!G2139)</f>
        <v/>
      </c>
      <c r="E2139">
        <f>IF(ISBLANK('ENGAGEMENTS 2026'!C2139),"",'ENGAGEMENTS 2026'!I2139)</f>
        <v/>
      </c>
      <c r="F2139">
        <f>IF(ISBLANK('ENGAGEMENTS 2026'!C2139),"",'ENGAGEMENTS 2026'!J2139)</f>
        <v/>
      </c>
      <c r="G2139">
        <f>IF(ISBLANK('ENGAGEMENTS 2026'!C2139),"",'ENGAGEMENTS 2026'!M2139)</f>
        <v/>
      </c>
      <c r="H2139">
        <f>IF(ISBLANK('ENGAGEMENTS 2026'!C2139),"",'ENGAGEMENTS 2026'!AF2139)</f>
        <v/>
      </c>
      <c r="I2139">
        <f>IF(ISBLANK('ENGAGEMENTS 2026'!C2139),"",'ENGAGEMENTS 2026'!H2139)</f>
        <v/>
      </c>
      <c r="J2139" s="275">
        <f>IF(ISBLANK('ENGAGEMENTS 2026'!C2139),"",IF(AND(OR($E2139="INFRUCTUEUX",$E2139="ANNULE"),$C2139="AOO-M"),'ENGAGEMENTS 2026'!P2139,IF($H2139="EN COURS DE PREENGAGEMENT",'ENGAGEMENTS 2026'!O2139,IF($H2139="PREENGAGE",IF($E2139="ATTRIBUE",'ENGAGEMENTS 2026'!AE2139,'ENGAGEMENTS 2026'!O2139),'ENGAGEMENTS 2026'!AE2139))))</f>
        <v/>
      </c>
      <c r="K2139" s="604">
        <f>IF(ISBLANK('ENGAGEMENTS 2026'!W2139),"",'ENGAGEMENTS 2026'!W2139)</f>
        <v/>
      </c>
      <c r="L2139" s="276">
        <f>IF($K2139="","",TODAY()-$K2139)</f>
        <v/>
      </c>
      <c r="M2139">
        <f>IF($A2139="","",IF($H2139="ENGAGE","Engagé",IF(AND($H2139="NON ENGAGE",OR($I2139="INFRUCTUEUX",$I2139="ANNULE")),"Clôturé sans suite","En cours")))</f>
        <v/>
      </c>
      <c r="N2139">
        <f>IF(ISBLANK('ENGAGEMENTS 2026'!C2139),"",'ENGAGEMENTS 2026'!L2139)</f>
        <v/>
      </c>
      <c r="O2139">
        <f>IF(ISBLANK('ENGAGEMENTS 2026'!C2139),"",'ENGAGEMENTS 2026'!M2139)</f>
        <v/>
      </c>
      <c r="P2139">
        <f>IF(ISBLANK('ENGAGEMENTS 2026'!C2139),"",'ENGAGEMENTS 2026'!K2139)</f>
        <v/>
      </c>
      <c r="Q2139">
        <f>IF($A2139="","",IF(OR($E2139="INFRUCTUEUX",$E2139="ANNULE"),$A2139&amp;"|"&amp;(COUNTIFS($A$2:$A2139,$A2139,$E$2:$E2139,"INFRUCTUEUX")+COUNTIFS($A$2:$A2139,$A2139,$E$2:$E2139,"ANNULE")),""))</f>
        <v/>
      </c>
    </row>
    <row r="2140">
      <c r="A2140">
        <f>IF(ISBLANK('ENGAGEMENTS 2026'!C2140),"",IF('ENGAGEMENTS 2026'!C2140="DTSI","DCT",'ENGAGEMENTS 2026'!C2140))</f>
        <v/>
      </c>
      <c r="B2140">
        <f>IF(ISBLANK('ENGAGEMENTS 2026'!C2140),"",'ENGAGEMENTS 2026'!D2140)</f>
        <v/>
      </c>
      <c r="C2140">
        <f>IF(ISBLANK('ENGAGEMENTS 2026'!C2140),"",'ENGAGEMENTS 2026'!E2140)</f>
        <v/>
      </c>
      <c r="D2140">
        <f>IF(ISBLANK('ENGAGEMENTS 2026'!C2140),"",'ENGAGEMENTS 2026'!G2140)</f>
        <v/>
      </c>
      <c r="E2140">
        <f>IF(ISBLANK('ENGAGEMENTS 2026'!C2140),"",'ENGAGEMENTS 2026'!I2140)</f>
        <v/>
      </c>
      <c r="F2140">
        <f>IF(ISBLANK('ENGAGEMENTS 2026'!C2140),"",'ENGAGEMENTS 2026'!J2140)</f>
        <v/>
      </c>
      <c r="G2140">
        <f>IF(ISBLANK('ENGAGEMENTS 2026'!C2140),"",'ENGAGEMENTS 2026'!M2140)</f>
        <v/>
      </c>
      <c r="H2140">
        <f>IF(ISBLANK('ENGAGEMENTS 2026'!C2140),"",'ENGAGEMENTS 2026'!AF2140)</f>
        <v/>
      </c>
      <c r="I2140">
        <f>IF(ISBLANK('ENGAGEMENTS 2026'!C2140),"",'ENGAGEMENTS 2026'!H2140)</f>
        <v/>
      </c>
      <c r="J2140" s="275">
        <f>IF(ISBLANK('ENGAGEMENTS 2026'!C2140),"",IF(AND(OR($E2140="INFRUCTUEUX",$E2140="ANNULE"),$C2140="AOO-M"),'ENGAGEMENTS 2026'!P2140,IF($H2140="EN COURS DE PREENGAGEMENT",'ENGAGEMENTS 2026'!O2140,IF($H2140="PREENGAGE",IF($E2140="ATTRIBUE",'ENGAGEMENTS 2026'!AE2140,'ENGAGEMENTS 2026'!O2140),'ENGAGEMENTS 2026'!AE2140))))</f>
        <v/>
      </c>
      <c r="K2140" s="604">
        <f>IF(ISBLANK('ENGAGEMENTS 2026'!W2140),"",'ENGAGEMENTS 2026'!W2140)</f>
        <v/>
      </c>
      <c r="L2140" s="276">
        <f>IF($K2140="","",TODAY()-$K2140)</f>
        <v/>
      </c>
      <c r="M2140">
        <f>IF($A2140="","",IF($H2140="ENGAGE","Engagé",IF(AND($H2140="NON ENGAGE",OR($I2140="INFRUCTUEUX",$I2140="ANNULE")),"Clôturé sans suite","En cours")))</f>
        <v/>
      </c>
      <c r="N2140">
        <f>IF(ISBLANK('ENGAGEMENTS 2026'!C2140),"",'ENGAGEMENTS 2026'!L2140)</f>
        <v/>
      </c>
      <c r="O2140">
        <f>IF(ISBLANK('ENGAGEMENTS 2026'!C2140),"",'ENGAGEMENTS 2026'!M2140)</f>
        <v/>
      </c>
      <c r="P2140">
        <f>IF(ISBLANK('ENGAGEMENTS 2026'!C2140),"",'ENGAGEMENTS 2026'!K2140)</f>
        <v/>
      </c>
      <c r="Q2140">
        <f>IF($A2140="","",IF(OR($E2140="INFRUCTUEUX",$E2140="ANNULE"),$A2140&amp;"|"&amp;(COUNTIFS($A$2:$A2140,$A2140,$E$2:$E2140,"INFRUCTUEUX")+COUNTIFS($A$2:$A2140,$A2140,$E$2:$E2140,"ANNULE")),""))</f>
        <v/>
      </c>
    </row>
    <row r="2141">
      <c r="A2141">
        <f>IF(ISBLANK('ENGAGEMENTS 2026'!C2141),"",IF('ENGAGEMENTS 2026'!C2141="DTSI","DCT",'ENGAGEMENTS 2026'!C2141))</f>
        <v/>
      </c>
      <c r="B2141">
        <f>IF(ISBLANK('ENGAGEMENTS 2026'!C2141),"",'ENGAGEMENTS 2026'!D2141)</f>
        <v/>
      </c>
      <c r="C2141">
        <f>IF(ISBLANK('ENGAGEMENTS 2026'!C2141),"",'ENGAGEMENTS 2026'!E2141)</f>
        <v/>
      </c>
      <c r="D2141">
        <f>IF(ISBLANK('ENGAGEMENTS 2026'!C2141),"",'ENGAGEMENTS 2026'!G2141)</f>
        <v/>
      </c>
      <c r="E2141">
        <f>IF(ISBLANK('ENGAGEMENTS 2026'!C2141),"",'ENGAGEMENTS 2026'!I2141)</f>
        <v/>
      </c>
      <c r="F2141">
        <f>IF(ISBLANK('ENGAGEMENTS 2026'!C2141),"",'ENGAGEMENTS 2026'!J2141)</f>
        <v/>
      </c>
      <c r="G2141">
        <f>IF(ISBLANK('ENGAGEMENTS 2026'!C2141),"",'ENGAGEMENTS 2026'!M2141)</f>
        <v/>
      </c>
      <c r="H2141">
        <f>IF(ISBLANK('ENGAGEMENTS 2026'!C2141),"",'ENGAGEMENTS 2026'!AF2141)</f>
        <v/>
      </c>
      <c r="I2141">
        <f>IF(ISBLANK('ENGAGEMENTS 2026'!C2141),"",'ENGAGEMENTS 2026'!H2141)</f>
        <v/>
      </c>
      <c r="J2141" s="275">
        <f>IF(ISBLANK('ENGAGEMENTS 2026'!C2141),"",IF(AND(OR($E2141="INFRUCTUEUX",$E2141="ANNULE"),$C2141="AOO-M"),'ENGAGEMENTS 2026'!P2141,IF($H2141="EN COURS DE PREENGAGEMENT",'ENGAGEMENTS 2026'!O2141,IF($H2141="PREENGAGE",IF($E2141="ATTRIBUE",'ENGAGEMENTS 2026'!AE2141,'ENGAGEMENTS 2026'!O2141),'ENGAGEMENTS 2026'!AE2141))))</f>
        <v/>
      </c>
      <c r="K2141" s="604">
        <f>IF(ISBLANK('ENGAGEMENTS 2026'!W2141),"",'ENGAGEMENTS 2026'!W2141)</f>
        <v/>
      </c>
      <c r="L2141" s="276">
        <f>IF($K2141="","",TODAY()-$K2141)</f>
        <v/>
      </c>
      <c r="M2141">
        <f>IF($A2141="","",IF($H2141="ENGAGE","Engagé",IF(AND($H2141="NON ENGAGE",OR($I2141="INFRUCTUEUX",$I2141="ANNULE")),"Clôturé sans suite","En cours")))</f>
        <v/>
      </c>
      <c r="N2141">
        <f>IF(ISBLANK('ENGAGEMENTS 2026'!C2141),"",'ENGAGEMENTS 2026'!L2141)</f>
        <v/>
      </c>
      <c r="O2141">
        <f>IF(ISBLANK('ENGAGEMENTS 2026'!C2141),"",'ENGAGEMENTS 2026'!M2141)</f>
        <v/>
      </c>
      <c r="P2141">
        <f>IF(ISBLANK('ENGAGEMENTS 2026'!C2141),"",'ENGAGEMENTS 2026'!K2141)</f>
        <v/>
      </c>
      <c r="Q2141">
        <f>IF($A2141="","",IF(OR($E2141="INFRUCTUEUX",$E2141="ANNULE"),$A2141&amp;"|"&amp;(COUNTIFS($A$2:$A2141,$A2141,$E$2:$E2141,"INFRUCTUEUX")+COUNTIFS($A$2:$A2141,$A2141,$E$2:$E2141,"ANNULE")),""))</f>
        <v/>
      </c>
    </row>
    <row r="2142">
      <c r="A2142">
        <f>IF(ISBLANK('ENGAGEMENTS 2026'!C2142),"",IF('ENGAGEMENTS 2026'!C2142="DTSI","DCT",'ENGAGEMENTS 2026'!C2142))</f>
        <v/>
      </c>
      <c r="B2142">
        <f>IF(ISBLANK('ENGAGEMENTS 2026'!C2142),"",'ENGAGEMENTS 2026'!D2142)</f>
        <v/>
      </c>
      <c r="C2142">
        <f>IF(ISBLANK('ENGAGEMENTS 2026'!C2142),"",'ENGAGEMENTS 2026'!E2142)</f>
        <v/>
      </c>
      <c r="D2142">
        <f>IF(ISBLANK('ENGAGEMENTS 2026'!C2142),"",'ENGAGEMENTS 2026'!G2142)</f>
        <v/>
      </c>
      <c r="E2142">
        <f>IF(ISBLANK('ENGAGEMENTS 2026'!C2142),"",'ENGAGEMENTS 2026'!I2142)</f>
        <v/>
      </c>
      <c r="F2142">
        <f>IF(ISBLANK('ENGAGEMENTS 2026'!C2142),"",'ENGAGEMENTS 2026'!J2142)</f>
        <v/>
      </c>
      <c r="G2142">
        <f>IF(ISBLANK('ENGAGEMENTS 2026'!C2142),"",'ENGAGEMENTS 2026'!M2142)</f>
        <v/>
      </c>
      <c r="H2142">
        <f>IF(ISBLANK('ENGAGEMENTS 2026'!C2142),"",'ENGAGEMENTS 2026'!AF2142)</f>
        <v/>
      </c>
      <c r="I2142">
        <f>IF(ISBLANK('ENGAGEMENTS 2026'!C2142),"",'ENGAGEMENTS 2026'!H2142)</f>
        <v/>
      </c>
      <c r="J2142" s="275">
        <f>IF(ISBLANK('ENGAGEMENTS 2026'!C2142),"",IF(AND(OR($E2142="INFRUCTUEUX",$E2142="ANNULE"),$C2142="AOO-M"),'ENGAGEMENTS 2026'!P2142,IF($H2142="EN COURS DE PREENGAGEMENT",'ENGAGEMENTS 2026'!O2142,IF($H2142="PREENGAGE",IF($E2142="ATTRIBUE",'ENGAGEMENTS 2026'!AE2142,'ENGAGEMENTS 2026'!O2142),'ENGAGEMENTS 2026'!AE2142))))</f>
        <v/>
      </c>
      <c r="K2142" s="604">
        <f>IF(ISBLANK('ENGAGEMENTS 2026'!W2142),"",'ENGAGEMENTS 2026'!W2142)</f>
        <v/>
      </c>
      <c r="L2142" s="276">
        <f>IF($K2142="","",TODAY()-$K2142)</f>
        <v/>
      </c>
      <c r="M2142">
        <f>IF($A2142="","",IF($H2142="ENGAGE","Engagé",IF(AND($H2142="NON ENGAGE",OR($I2142="INFRUCTUEUX",$I2142="ANNULE")),"Clôturé sans suite","En cours")))</f>
        <v/>
      </c>
      <c r="N2142">
        <f>IF(ISBLANK('ENGAGEMENTS 2026'!C2142),"",'ENGAGEMENTS 2026'!L2142)</f>
        <v/>
      </c>
      <c r="O2142">
        <f>IF(ISBLANK('ENGAGEMENTS 2026'!C2142),"",'ENGAGEMENTS 2026'!M2142)</f>
        <v/>
      </c>
      <c r="P2142">
        <f>IF(ISBLANK('ENGAGEMENTS 2026'!C2142),"",'ENGAGEMENTS 2026'!K2142)</f>
        <v/>
      </c>
      <c r="Q2142">
        <f>IF($A2142="","",IF(OR($E2142="INFRUCTUEUX",$E2142="ANNULE"),$A2142&amp;"|"&amp;(COUNTIFS($A$2:$A2142,$A2142,$E$2:$E2142,"INFRUCTUEUX")+COUNTIFS($A$2:$A2142,$A2142,$E$2:$E2142,"ANNULE")),""))</f>
        <v/>
      </c>
    </row>
    <row r="2143">
      <c r="A2143">
        <f>IF(ISBLANK('ENGAGEMENTS 2026'!C2143),"",IF('ENGAGEMENTS 2026'!C2143="DTSI","DCT",'ENGAGEMENTS 2026'!C2143))</f>
        <v/>
      </c>
      <c r="B2143">
        <f>IF(ISBLANK('ENGAGEMENTS 2026'!C2143),"",'ENGAGEMENTS 2026'!D2143)</f>
        <v/>
      </c>
      <c r="C2143">
        <f>IF(ISBLANK('ENGAGEMENTS 2026'!C2143),"",'ENGAGEMENTS 2026'!E2143)</f>
        <v/>
      </c>
      <c r="D2143">
        <f>IF(ISBLANK('ENGAGEMENTS 2026'!C2143),"",'ENGAGEMENTS 2026'!G2143)</f>
        <v/>
      </c>
      <c r="E2143">
        <f>IF(ISBLANK('ENGAGEMENTS 2026'!C2143),"",'ENGAGEMENTS 2026'!I2143)</f>
        <v/>
      </c>
      <c r="F2143">
        <f>IF(ISBLANK('ENGAGEMENTS 2026'!C2143),"",'ENGAGEMENTS 2026'!J2143)</f>
        <v/>
      </c>
      <c r="G2143">
        <f>IF(ISBLANK('ENGAGEMENTS 2026'!C2143),"",'ENGAGEMENTS 2026'!M2143)</f>
        <v/>
      </c>
      <c r="H2143">
        <f>IF(ISBLANK('ENGAGEMENTS 2026'!C2143),"",'ENGAGEMENTS 2026'!AF2143)</f>
        <v/>
      </c>
      <c r="I2143">
        <f>IF(ISBLANK('ENGAGEMENTS 2026'!C2143),"",'ENGAGEMENTS 2026'!H2143)</f>
        <v/>
      </c>
      <c r="J2143" s="275">
        <f>IF(ISBLANK('ENGAGEMENTS 2026'!C2143),"",IF(AND(OR($E2143="INFRUCTUEUX",$E2143="ANNULE"),$C2143="AOO-M"),'ENGAGEMENTS 2026'!P2143,IF($H2143="EN COURS DE PREENGAGEMENT",'ENGAGEMENTS 2026'!O2143,IF($H2143="PREENGAGE",IF($E2143="ATTRIBUE",'ENGAGEMENTS 2026'!AE2143,'ENGAGEMENTS 2026'!O2143),'ENGAGEMENTS 2026'!AE2143))))</f>
        <v/>
      </c>
      <c r="K2143" s="604">
        <f>IF(ISBLANK('ENGAGEMENTS 2026'!W2143),"",'ENGAGEMENTS 2026'!W2143)</f>
        <v/>
      </c>
      <c r="L2143" s="276">
        <f>IF($K2143="","",TODAY()-$K2143)</f>
        <v/>
      </c>
      <c r="M2143">
        <f>IF($A2143="","",IF($H2143="ENGAGE","Engagé",IF(AND($H2143="NON ENGAGE",OR($I2143="INFRUCTUEUX",$I2143="ANNULE")),"Clôturé sans suite","En cours")))</f>
        <v/>
      </c>
      <c r="N2143">
        <f>IF(ISBLANK('ENGAGEMENTS 2026'!C2143),"",'ENGAGEMENTS 2026'!L2143)</f>
        <v/>
      </c>
      <c r="O2143">
        <f>IF(ISBLANK('ENGAGEMENTS 2026'!C2143),"",'ENGAGEMENTS 2026'!M2143)</f>
        <v/>
      </c>
      <c r="P2143">
        <f>IF(ISBLANK('ENGAGEMENTS 2026'!C2143),"",'ENGAGEMENTS 2026'!K2143)</f>
        <v/>
      </c>
      <c r="Q2143">
        <f>IF($A2143="","",IF(OR($E2143="INFRUCTUEUX",$E2143="ANNULE"),$A2143&amp;"|"&amp;(COUNTIFS($A$2:$A2143,$A2143,$E$2:$E2143,"INFRUCTUEUX")+COUNTIFS($A$2:$A2143,$A2143,$E$2:$E2143,"ANNULE")),""))</f>
        <v/>
      </c>
    </row>
    <row r="2144">
      <c r="A2144">
        <f>IF(ISBLANK('ENGAGEMENTS 2026'!C2144),"",IF('ENGAGEMENTS 2026'!C2144="DTSI","DCT",'ENGAGEMENTS 2026'!C2144))</f>
        <v/>
      </c>
      <c r="B2144">
        <f>IF(ISBLANK('ENGAGEMENTS 2026'!C2144),"",'ENGAGEMENTS 2026'!D2144)</f>
        <v/>
      </c>
      <c r="C2144">
        <f>IF(ISBLANK('ENGAGEMENTS 2026'!C2144),"",'ENGAGEMENTS 2026'!E2144)</f>
        <v/>
      </c>
      <c r="D2144">
        <f>IF(ISBLANK('ENGAGEMENTS 2026'!C2144),"",'ENGAGEMENTS 2026'!G2144)</f>
        <v/>
      </c>
      <c r="E2144">
        <f>IF(ISBLANK('ENGAGEMENTS 2026'!C2144),"",'ENGAGEMENTS 2026'!I2144)</f>
        <v/>
      </c>
      <c r="F2144">
        <f>IF(ISBLANK('ENGAGEMENTS 2026'!C2144),"",'ENGAGEMENTS 2026'!J2144)</f>
        <v/>
      </c>
      <c r="G2144">
        <f>IF(ISBLANK('ENGAGEMENTS 2026'!C2144),"",'ENGAGEMENTS 2026'!M2144)</f>
        <v/>
      </c>
      <c r="H2144">
        <f>IF(ISBLANK('ENGAGEMENTS 2026'!C2144),"",'ENGAGEMENTS 2026'!AF2144)</f>
        <v/>
      </c>
      <c r="I2144">
        <f>IF(ISBLANK('ENGAGEMENTS 2026'!C2144),"",'ENGAGEMENTS 2026'!H2144)</f>
        <v/>
      </c>
      <c r="J2144" s="275">
        <f>IF(ISBLANK('ENGAGEMENTS 2026'!C2144),"",IF(AND(OR($E2144="INFRUCTUEUX",$E2144="ANNULE"),$C2144="AOO-M"),'ENGAGEMENTS 2026'!P2144,IF($H2144="EN COURS DE PREENGAGEMENT",'ENGAGEMENTS 2026'!O2144,IF($H2144="PREENGAGE",IF($E2144="ATTRIBUE",'ENGAGEMENTS 2026'!AE2144,'ENGAGEMENTS 2026'!O2144),'ENGAGEMENTS 2026'!AE2144))))</f>
        <v/>
      </c>
      <c r="K2144" s="604">
        <f>IF(ISBLANK('ENGAGEMENTS 2026'!W2144),"",'ENGAGEMENTS 2026'!W2144)</f>
        <v/>
      </c>
      <c r="L2144" s="276">
        <f>IF($K2144="","",TODAY()-$K2144)</f>
        <v/>
      </c>
      <c r="M2144">
        <f>IF($A2144="","",IF($H2144="ENGAGE","Engagé",IF(AND($H2144="NON ENGAGE",OR($I2144="INFRUCTUEUX",$I2144="ANNULE")),"Clôturé sans suite","En cours")))</f>
        <v/>
      </c>
      <c r="N2144">
        <f>IF(ISBLANK('ENGAGEMENTS 2026'!C2144),"",'ENGAGEMENTS 2026'!L2144)</f>
        <v/>
      </c>
      <c r="O2144">
        <f>IF(ISBLANK('ENGAGEMENTS 2026'!C2144),"",'ENGAGEMENTS 2026'!M2144)</f>
        <v/>
      </c>
      <c r="P2144">
        <f>IF(ISBLANK('ENGAGEMENTS 2026'!C2144),"",'ENGAGEMENTS 2026'!K2144)</f>
        <v/>
      </c>
      <c r="Q2144">
        <f>IF($A2144="","",IF(OR($E2144="INFRUCTUEUX",$E2144="ANNULE"),$A2144&amp;"|"&amp;(COUNTIFS($A$2:$A2144,$A2144,$E$2:$E2144,"INFRUCTUEUX")+COUNTIFS($A$2:$A2144,$A2144,$E$2:$E2144,"ANNULE")),""))</f>
        <v/>
      </c>
    </row>
    <row r="2145">
      <c r="A2145">
        <f>IF(ISBLANK('ENGAGEMENTS 2026'!C2145),"",IF('ENGAGEMENTS 2026'!C2145="DTSI","DCT",'ENGAGEMENTS 2026'!C2145))</f>
        <v/>
      </c>
      <c r="B2145">
        <f>IF(ISBLANK('ENGAGEMENTS 2026'!C2145),"",'ENGAGEMENTS 2026'!D2145)</f>
        <v/>
      </c>
      <c r="C2145">
        <f>IF(ISBLANK('ENGAGEMENTS 2026'!C2145),"",'ENGAGEMENTS 2026'!E2145)</f>
        <v/>
      </c>
      <c r="D2145">
        <f>IF(ISBLANK('ENGAGEMENTS 2026'!C2145),"",'ENGAGEMENTS 2026'!G2145)</f>
        <v/>
      </c>
      <c r="E2145">
        <f>IF(ISBLANK('ENGAGEMENTS 2026'!C2145),"",'ENGAGEMENTS 2026'!I2145)</f>
        <v/>
      </c>
      <c r="F2145">
        <f>IF(ISBLANK('ENGAGEMENTS 2026'!C2145),"",'ENGAGEMENTS 2026'!J2145)</f>
        <v/>
      </c>
      <c r="G2145">
        <f>IF(ISBLANK('ENGAGEMENTS 2026'!C2145),"",'ENGAGEMENTS 2026'!M2145)</f>
        <v/>
      </c>
      <c r="H2145">
        <f>IF(ISBLANK('ENGAGEMENTS 2026'!C2145),"",'ENGAGEMENTS 2026'!AF2145)</f>
        <v/>
      </c>
      <c r="I2145">
        <f>IF(ISBLANK('ENGAGEMENTS 2026'!C2145),"",'ENGAGEMENTS 2026'!H2145)</f>
        <v/>
      </c>
      <c r="J2145" s="275">
        <f>IF(ISBLANK('ENGAGEMENTS 2026'!C2145),"",IF(AND(OR($E2145="INFRUCTUEUX",$E2145="ANNULE"),$C2145="AOO-M"),'ENGAGEMENTS 2026'!P2145,IF($H2145="EN COURS DE PREENGAGEMENT",'ENGAGEMENTS 2026'!O2145,IF($H2145="PREENGAGE",IF($E2145="ATTRIBUE",'ENGAGEMENTS 2026'!AE2145,'ENGAGEMENTS 2026'!O2145),'ENGAGEMENTS 2026'!AE2145))))</f>
        <v/>
      </c>
      <c r="K2145" s="604">
        <f>IF(ISBLANK('ENGAGEMENTS 2026'!W2145),"",'ENGAGEMENTS 2026'!W2145)</f>
        <v/>
      </c>
      <c r="L2145" s="276">
        <f>IF($K2145="","",TODAY()-$K2145)</f>
        <v/>
      </c>
      <c r="M2145">
        <f>IF($A2145="","",IF($H2145="ENGAGE","Engagé",IF(AND($H2145="NON ENGAGE",OR($I2145="INFRUCTUEUX",$I2145="ANNULE")),"Clôturé sans suite","En cours")))</f>
        <v/>
      </c>
      <c r="N2145">
        <f>IF(ISBLANK('ENGAGEMENTS 2026'!C2145),"",'ENGAGEMENTS 2026'!L2145)</f>
        <v/>
      </c>
      <c r="O2145">
        <f>IF(ISBLANK('ENGAGEMENTS 2026'!C2145),"",'ENGAGEMENTS 2026'!M2145)</f>
        <v/>
      </c>
      <c r="P2145">
        <f>IF(ISBLANK('ENGAGEMENTS 2026'!C2145),"",'ENGAGEMENTS 2026'!K2145)</f>
        <v/>
      </c>
      <c r="Q2145">
        <f>IF($A2145="","",IF(OR($E2145="INFRUCTUEUX",$E2145="ANNULE"),$A2145&amp;"|"&amp;(COUNTIFS($A$2:$A2145,$A2145,$E$2:$E2145,"INFRUCTUEUX")+COUNTIFS($A$2:$A2145,$A2145,$E$2:$E2145,"ANNULE")),""))</f>
        <v/>
      </c>
    </row>
    <row r="2146">
      <c r="A2146">
        <f>IF(ISBLANK('ENGAGEMENTS 2026'!C2146),"",IF('ENGAGEMENTS 2026'!C2146="DTSI","DCT",'ENGAGEMENTS 2026'!C2146))</f>
        <v/>
      </c>
      <c r="B2146">
        <f>IF(ISBLANK('ENGAGEMENTS 2026'!C2146),"",'ENGAGEMENTS 2026'!D2146)</f>
        <v/>
      </c>
      <c r="C2146">
        <f>IF(ISBLANK('ENGAGEMENTS 2026'!C2146),"",'ENGAGEMENTS 2026'!E2146)</f>
        <v/>
      </c>
      <c r="D2146">
        <f>IF(ISBLANK('ENGAGEMENTS 2026'!C2146),"",'ENGAGEMENTS 2026'!G2146)</f>
        <v/>
      </c>
      <c r="E2146">
        <f>IF(ISBLANK('ENGAGEMENTS 2026'!C2146),"",'ENGAGEMENTS 2026'!I2146)</f>
        <v/>
      </c>
      <c r="F2146">
        <f>IF(ISBLANK('ENGAGEMENTS 2026'!C2146),"",'ENGAGEMENTS 2026'!J2146)</f>
        <v/>
      </c>
      <c r="G2146">
        <f>IF(ISBLANK('ENGAGEMENTS 2026'!C2146),"",'ENGAGEMENTS 2026'!M2146)</f>
        <v/>
      </c>
      <c r="H2146">
        <f>IF(ISBLANK('ENGAGEMENTS 2026'!C2146),"",'ENGAGEMENTS 2026'!AF2146)</f>
        <v/>
      </c>
      <c r="I2146">
        <f>IF(ISBLANK('ENGAGEMENTS 2026'!C2146),"",'ENGAGEMENTS 2026'!H2146)</f>
        <v/>
      </c>
      <c r="J2146" s="275">
        <f>IF(ISBLANK('ENGAGEMENTS 2026'!C2146),"",IF(AND(OR($E2146="INFRUCTUEUX",$E2146="ANNULE"),$C2146="AOO-M"),'ENGAGEMENTS 2026'!P2146,IF($H2146="EN COURS DE PREENGAGEMENT",'ENGAGEMENTS 2026'!O2146,IF($H2146="PREENGAGE",IF($E2146="ATTRIBUE",'ENGAGEMENTS 2026'!AE2146,'ENGAGEMENTS 2026'!O2146),'ENGAGEMENTS 2026'!AE2146))))</f>
        <v/>
      </c>
      <c r="K2146" s="604">
        <f>IF(ISBLANK('ENGAGEMENTS 2026'!W2146),"",'ENGAGEMENTS 2026'!W2146)</f>
        <v/>
      </c>
      <c r="L2146" s="276">
        <f>IF($K2146="","",TODAY()-$K2146)</f>
        <v/>
      </c>
      <c r="M2146">
        <f>IF($A2146="","",IF($H2146="ENGAGE","Engagé",IF(AND($H2146="NON ENGAGE",OR($I2146="INFRUCTUEUX",$I2146="ANNULE")),"Clôturé sans suite","En cours")))</f>
        <v/>
      </c>
      <c r="N2146">
        <f>IF(ISBLANK('ENGAGEMENTS 2026'!C2146),"",'ENGAGEMENTS 2026'!L2146)</f>
        <v/>
      </c>
      <c r="O2146">
        <f>IF(ISBLANK('ENGAGEMENTS 2026'!C2146),"",'ENGAGEMENTS 2026'!M2146)</f>
        <v/>
      </c>
      <c r="P2146">
        <f>IF(ISBLANK('ENGAGEMENTS 2026'!C2146),"",'ENGAGEMENTS 2026'!K2146)</f>
        <v/>
      </c>
      <c r="Q2146">
        <f>IF($A2146="","",IF(OR($E2146="INFRUCTUEUX",$E2146="ANNULE"),$A2146&amp;"|"&amp;(COUNTIFS($A$2:$A2146,$A2146,$E$2:$E2146,"INFRUCTUEUX")+COUNTIFS($A$2:$A2146,$A2146,$E$2:$E2146,"ANNULE")),""))</f>
        <v/>
      </c>
    </row>
    <row r="2147">
      <c r="A2147">
        <f>IF(ISBLANK('ENGAGEMENTS 2026'!C2147),"",IF('ENGAGEMENTS 2026'!C2147="DTSI","DCT",'ENGAGEMENTS 2026'!C2147))</f>
        <v/>
      </c>
      <c r="B2147">
        <f>IF(ISBLANK('ENGAGEMENTS 2026'!C2147),"",'ENGAGEMENTS 2026'!D2147)</f>
        <v/>
      </c>
      <c r="C2147">
        <f>IF(ISBLANK('ENGAGEMENTS 2026'!C2147),"",'ENGAGEMENTS 2026'!E2147)</f>
        <v/>
      </c>
      <c r="D2147">
        <f>IF(ISBLANK('ENGAGEMENTS 2026'!C2147),"",'ENGAGEMENTS 2026'!G2147)</f>
        <v/>
      </c>
      <c r="E2147">
        <f>IF(ISBLANK('ENGAGEMENTS 2026'!C2147),"",'ENGAGEMENTS 2026'!I2147)</f>
        <v/>
      </c>
      <c r="F2147">
        <f>IF(ISBLANK('ENGAGEMENTS 2026'!C2147),"",'ENGAGEMENTS 2026'!J2147)</f>
        <v/>
      </c>
      <c r="G2147">
        <f>IF(ISBLANK('ENGAGEMENTS 2026'!C2147),"",'ENGAGEMENTS 2026'!M2147)</f>
        <v/>
      </c>
      <c r="H2147">
        <f>IF(ISBLANK('ENGAGEMENTS 2026'!C2147),"",'ENGAGEMENTS 2026'!AF2147)</f>
        <v/>
      </c>
      <c r="I2147">
        <f>IF(ISBLANK('ENGAGEMENTS 2026'!C2147),"",'ENGAGEMENTS 2026'!H2147)</f>
        <v/>
      </c>
      <c r="J2147" s="275">
        <f>IF(ISBLANK('ENGAGEMENTS 2026'!C2147),"",IF(AND(OR($E2147="INFRUCTUEUX",$E2147="ANNULE"),$C2147="AOO-M"),'ENGAGEMENTS 2026'!P2147,IF($H2147="EN COURS DE PREENGAGEMENT",'ENGAGEMENTS 2026'!O2147,IF($H2147="PREENGAGE",IF($E2147="ATTRIBUE",'ENGAGEMENTS 2026'!AE2147,'ENGAGEMENTS 2026'!O2147),'ENGAGEMENTS 2026'!AE2147))))</f>
        <v/>
      </c>
      <c r="K2147" s="604">
        <f>IF(ISBLANK('ENGAGEMENTS 2026'!W2147),"",'ENGAGEMENTS 2026'!W2147)</f>
        <v/>
      </c>
      <c r="L2147" s="276">
        <f>IF($K2147="","",TODAY()-$K2147)</f>
        <v/>
      </c>
      <c r="M2147">
        <f>IF($A2147="","",IF($H2147="ENGAGE","Engagé",IF(AND($H2147="NON ENGAGE",OR($I2147="INFRUCTUEUX",$I2147="ANNULE")),"Clôturé sans suite","En cours")))</f>
        <v/>
      </c>
      <c r="N2147">
        <f>IF(ISBLANK('ENGAGEMENTS 2026'!C2147),"",'ENGAGEMENTS 2026'!L2147)</f>
        <v/>
      </c>
      <c r="O2147">
        <f>IF(ISBLANK('ENGAGEMENTS 2026'!C2147),"",'ENGAGEMENTS 2026'!M2147)</f>
        <v/>
      </c>
      <c r="P2147">
        <f>IF(ISBLANK('ENGAGEMENTS 2026'!C2147),"",'ENGAGEMENTS 2026'!K2147)</f>
        <v/>
      </c>
      <c r="Q2147">
        <f>IF($A2147="","",IF(OR($E2147="INFRUCTUEUX",$E2147="ANNULE"),$A2147&amp;"|"&amp;(COUNTIFS($A$2:$A2147,$A2147,$E$2:$E2147,"INFRUCTUEUX")+COUNTIFS($A$2:$A2147,$A2147,$E$2:$E2147,"ANNULE")),""))</f>
        <v/>
      </c>
    </row>
    <row r="2148">
      <c r="A2148">
        <f>IF(ISBLANK('ENGAGEMENTS 2026'!C2148),"",IF('ENGAGEMENTS 2026'!C2148="DTSI","DCT",'ENGAGEMENTS 2026'!C2148))</f>
        <v/>
      </c>
      <c r="B2148">
        <f>IF(ISBLANK('ENGAGEMENTS 2026'!C2148),"",'ENGAGEMENTS 2026'!D2148)</f>
        <v/>
      </c>
      <c r="C2148">
        <f>IF(ISBLANK('ENGAGEMENTS 2026'!C2148),"",'ENGAGEMENTS 2026'!E2148)</f>
        <v/>
      </c>
      <c r="D2148">
        <f>IF(ISBLANK('ENGAGEMENTS 2026'!C2148),"",'ENGAGEMENTS 2026'!G2148)</f>
        <v/>
      </c>
      <c r="E2148">
        <f>IF(ISBLANK('ENGAGEMENTS 2026'!C2148),"",'ENGAGEMENTS 2026'!I2148)</f>
        <v/>
      </c>
      <c r="F2148">
        <f>IF(ISBLANK('ENGAGEMENTS 2026'!C2148),"",'ENGAGEMENTS 2026'!J2148)</f>
        <v/>
      </c>
      <c r="G2148">
        <f>IF(ISBLANK('ENGAGEMENTS 2026'!C2148),"",'ENGAGEMENTS 2026'!M2148)</f>
        <v/>
      </c>
      <c r="H2148">
        <f>IF(ISBLANK('ENGAGEMENTS 2026'!C2148),"",'ENGAGEMENTS 2026'!AF2148)</f>
        <v/>
      </c>
      <c r="I2148">
        <f>IF(ISBLANK('ENGAGEMENTS 2026'!C2148),"",'ENGAGEMENTS 2026'!H2148)</f>
        <v/>
      </c>
      <c r="J2148" s="275">
        <f>IF(ISBLANK('ENGAGEMENTS 2026'!C2148),"",IF(AND(OR($E2148="INFRUCTUEUX",$E2148="ANNULE"),$C2148="AOO-M"),'ENGAGEMENTS 2026'!P2148,IF($H2148="EN COURS DE PREENGAGEMENT",'ENGAGEMENTS 2026'!O2148,IF($H2148="PREENGAGE",IF($E2148="ATTRIBUE",'ENGAGEMENTS 2026'!AE2148,'ENGAGEMENTS 2026'!O2148),'ENGAGEMENTS 2026'!AE2148))))</f>
        <v/>
      </c>
      <c r="K2148" s="604">
        <f>IF(ISBLANK('ENGAGEMENTS 2026'!W2148),"",'ENGAGEMENTS 2026'!W2148)</f>
        <v/>
      </c>
      <c r="L2148" s="276">
        <f>IF($K2148="","",TODAY()-$K2148)</f>
        <v/>
      </c>
      <c r="M2148">
        <f>IF($A2148="","",IF($H2148="ENGAGE","Engagé",IF(AND($H2148="NON ENGAGE",OR($I2148="INFRUCTUEUX",$I2148="ANNULE")),"Clôturé sans suite","En cours")))</f>
        <v/>
      </c>
      <c r="N2148">
        <f>IF(ISBLANK('ENGAGEMENTS 2026'!C2148),"",'ENGAGEMENTS 2026'!L2148)</f>
        <v/>
      </c>
      <c r="O2148">
        <f>IF(ISBLANK('ENGAGEMENTS 2026'!C2148),"",'ENGAGEMENTS 2026'!M2148)</f>
        <v/>
      </c>
      <c r="P2148">
        <f>IF(ISBLANK('ENGAGEMENTS 2026'!C2148),"",'ENGAGEMENTS 2026'!K2148)</f>
        <v/>
      </c>
      <c r="Q2148">
        <f>IF($A2148="","",IF(OR($E2148="INFRUCTUEUX",$E2148="ANNULE"),$A2148&amp;"|"&amp;(COUNTIFS($A$2:$A2148,$A2148,$E$2:$E2148,"INFRUCTUEUX")+COUNTIFS($A$2:$A2148,$A2148,$E$2:$E2148,"ANNULE")),""))</f>
        <v/>
      </c>
    </row>
    <row r="2149">
      <c r="A2149">
        <f>IF(ISBLANK('ENGAGEMENTS 2026'!C2149),"",IF('ENGAGEMENTS 2026'!C2149="DTSI","DCT",'ENGAGEMENTS 2026'!C2149))</f>
        <v/>
      </c>
      <c r="B2149">
        <f>IF(ISBLANK('ENGAGEMENTS 2026'!C2149),"",'ENGAGEMENTS 2026'!D2149)</f>
        <v/>
      </c>
      <c r="C2149">
        <f>IF(ISBLANK('ENGAGEMENTS 2026'!C2149),"",'ENGAGEMENTS 2026'!E2149)</f>
        <v/>
      </c>
      <c r="D2149">
        <f>IF(ISBLANK('ENGAGEMENTS 2026'!C2149),"",'ENGAGEMENTS 2026'!G2149)</f>
        <v/>
      </c>
      <c r="E2149">
        <f>IF(ISBLANK('ENGAGEMENTS 2026'!C2149),"",'ENGAGEMENTS 2026'!I2149)</f>
        <v/>
      </c>
      <c r="F2149">
        <f>IF(ISBLANK('ENGAGEMENTS 2026'!C2149),"",'ENGAGEMENTS 2026'!J2149)</f>
        <v/>
      </c>
      <c r="G2149">
        <f>IF(ISBLANK('ENGAGEMENTS 2026'!C2149),"",'ENGAGEMENTS 2026'!M2149)</f>
        <v/>
      </c>
      <c r="H2149">
        <f>IF(ISBLANK('ENGAGEMENTS 2026'!C2149),"",'ENGAGEMENTS 2026'!AF2149)</f>
        <v/>
      </c>
      <c r="I2149">
        <f>IF(ISBLANK('ENGAGEMENTS 2026'!C2149),"",'ENGAGEMENTS 2026'!H2149)</f>
        <v/>
      </c>
      <c r="J2149" s="275">
        <f>IF(ISBLANK('ENGAGEMENTS 2026'!C2149),"",IF(AND(OR($E2149="INFRUCTUEUX",$E2149="ANNULE"),$C2149="AOO-M"),'ENGAGEMENTS 2026'!P2149,IF($H2149="EN COURS DE PREENGAGEMENT",'ENGAGEMENTS 2026'!O2149,IF($H2149="PREENGAGE",IF($E2149="ATTRIBUE",'ENGAGEMENTS 2026'!AE2149,'ENGAGEMENTS 2026'!O2149),'ENGAGEMENTS 2026'!AE2149))))</f>
        <v/>
      </c>
      <c r="K2149" s="604">
        <f>IF(ISBLANK('ENGAGEMENTS 2026'!W2149),"",'ENGAGEMENTS 2026'!W2149)</f>
        <v/>
      </c>
      <c r="L2149" s="276">
        <f>IF($K2149="","",TODAY()-$K2149)</f>
        <v/>
      </c>
      <c r="M2149">
        <f>IF($A2149="","",IF($H2149="ENGAGE","Engagé",IF(AND($H2149="NON ENGAGE",OR($I2149="INFRUCTUEUX",$I2149="ANNULE")),"Clôturé sans suite","En cours")))</f>
        <v/>
      </c>
      <c r="N2149">
        <f>IF(ISBLANK('ENGAGEMENTS 2026'!C2149),"",'ENGAGEMENTS 2026'!L2149)</f>
        <v/>
      </c>
      <c r="O2149">
        <f>IF(ISBLANK('ENGAGEMENTS 2026'!C2149),"",'ENGAGEMENTS 2026'!M2149)</f>
        <v/>
      </c>
      <c r="P2149">
        <f>IF(ISBLANK('ENGAGEMENTS 2026'!C2149),"",'ENGAGEMENTS 2026'!K2149)</f>
        <v/>
      </c>
      <c r="Q2149">
        <f>IF($A2149="","",IF(OR($E2149="INFRUCTUEUX",$E2149="ANNULE"),$A2149&amp;"|"&amp;(COUNTIFS($A$2:$A2149,$A2149,$E$2:$E2149,"INFRUCTUEUX")+COUNTIFS($A$2:$A2149,$A2149,$E$2:$E2149,"ANNULE")),""))</f>
        <v/>
      </c>
    </row>
    <row r="2150">
      <c r="A2150">
        <f>IF(ISBLANK('ENGAGEMENTS 2026'!C2150),"",IF('ENGAGEMENTS 2026'!C2150="DTSI","DCT",'ENGAGEMENTS 2026'!C2150))</f>
        <v/>
      </c>
      <c r="B2150">
        <f>IF(ISBLANK('ENGAGEMENTS 2026'!C2150),"",'ENGAGEMENTS 2026'!D2150)</f>
        <v/>
      </c>
      <c r="C2150">
        <f>IF(ISBLANK('ENGAGEMENTS 2026'!C2150),"",'ENGAGEMENTS 2026'!E2150)</f>
        <v/>
      </c>
      <c r="D2150">
        <f>IF(ISBLANK('ENGAGEMENTS 2026'!C2150),"",'ENGAGEMENTS 2026'!G2150)</f>
        <v/>
      </c>
      <c r="E2150">
        <f>IF(ISBLANK('ENGAGEMENTS 2026'!C2150),"",'ENGAGEMENTS 2026'!I2150)</f>
        <v/>
      </c>
      <c r="F2150">
        <f>IF(ISBLANK('ENGAGEMENTS 2026'!C2150),"",'ENGAGEMENTS 2026'!J2150)</f>
        <v/>
      </c>
      <c r="G2150">
        <f>IF(ISBLANK('ENGAGEMENTS 2026'!C2150),"",'ENGAGEMENTS 2026'!M2150)</f>
        <v/>
      </c>
      <c r="H2150">
        <f>IF(ISBLANK('ENGAGEMENTS 2026'!C2150),"",'ENGAGEMENTS 2026'!AF2150)</f>
        <v/>
      </c>
      <c r="I2150">
        <f>IF(ISBLANK('ENGAGEMENTS 2026'!C2150),"",'ENGAGEMENTS 2026'!H2150)</f>
        <v/>
      </c>
      <c r="J2150" s="275">
        <f>IF(ISBLANK('ENGAGEMENTS 2026'!C2150),"",IF(AND(OR($E2150="INFRUCTUEUX",$E2150="ANNULE"),$C2150="AOO-M"),'ENGAGEMENTS 2026'!P2150,IF($H2150="EN COURS DE PREENGAGEMENT",'ENGAGEMENTS 2026'!O2150,IF($H2150="PREENGAGE",IF($E2150="ATTRIBUE",'ENGAGEMENTS 2026'!AE2150,'ENGAGEMENTS 2026'!O2150),'ENGAGEMENTS 2026'!AE2150))))</f>
        <v/>
      </c>
      <c r="K2150" s="604">
        <f>IF(ISBLANK('ENGAGEMENTS 2026'!W2150),"",'ENGAGEMENTS 2026'!W2150)</f>
        <v/>
      </c>
      <c r="L2150" s="276">
        <f>IF($K2150="","",TODAY()-$K2150)</f>
        <v/>
      </c>
      <c r="M2150">
        <f>IF($A2150="","",IF($H2150="ENGAGE","Engagé",IF(AND($H2150="NON ENGAGE",OR($I2150="INFRUCTUEUX",$I2150="ANNULE")),"Clôturé sans suite","En cours")))</f>
        <v/>
      </c>
      <c r="N2150">
        <f>IF(ISBLANK('ENGAGEMENTS 2026'!C2150),"",'ENGAGEMENTS 2026'!L2150)</f>
        <v/>
      </c>
      <c r="O2150">
        <f>IF(ISBLANK('ENGAGEMENTS 2026'!C2150),"",'ENGAGEMENTS 2026'!M2150)</f>
        <v/>
      </c>
      <c r="P2150">
        <f>IF(ISBLANK('ENGAGEMENTS 2026'!C2150),"",'ENGAGEMENTS 2026'!K2150)</f>
        <v/>
      </c>
      <c r="Q2150">
        <f>IF($A2150="","",IF(OR($E2150="INFRUCTUEUX",$E2150="ANNULE"),$A2150&amp;"|"&amp;(COUNTIFS($A$2:$A2150,$A2150,$E$2:$E2150,"INFRUCTUEUX")+COUNTIFS($A$2:$A2150,$A2150,$E$2:$E2150,"ANNULE")),""))</f>
        <v/>
      </c>
    </row>
    <row r="2151">
      <c r="A2151">
        <f>IF(ISBLANK('ENGAGEMENTS 2026'!C2151),"",IF('ENGAGEMENTS 2026'!C2151="DTSI","DCT",'ENGAGEMENTS 2026'!C2151))</f>
        <v/>
      </c>
      <c r="B2151">
        <f>IF(ISBLANK('ENGAGEMENTS 2026'!C2151),"",'ENGAGEMENTS 2026'!D2151)</f>
        <v/>
      </c>
      <c r="C2151">
        <f>IF(ISBLANK('ENGAGEMENTS 2026'!C2151),"",'ENGAGEMENTS 2026'!E2151)</f>
        <v/>
      </c>
      <c r="D2151">
        <f>IF(ISBLANK('ENGAGEMENTS 2026'!C2151),"",'ENGAGEMENTS 2026'!G2151)</f>
        <v/>
      </c>
      <c r="E2151">
        <f>IF(ISBLANK('ENGAGEMENTS 2026'!C2151),"",'ENGAGEMENTS 2026'!I2151)</f>
        <v/>
      </c>
      <c r="F2151">
        <f>IF(ISBLANK('ENGAGEMENTS 2026'!C2151),"",'ENGAGEMENTS 2026'!J2151)</f>
        <v/>
      </c>
      <c r="G2151">
        <f>IF(ISBLANK('ENGAGEMENTS 2026'!C2151),"",'ENGAGEMENTS 2026'!M2151)</f>
        <v/>
      </c>
      <c r="H2151">
        <f>IF(ISBLANK('ENGAGEMENTS 2026'!C2151),"",'ENGAGEMENTS 2026'!AF2151)</f>
        <v/>
      </c>
      <c r="I2151">
        <f>IF(ISBLANK('ENGAGEMENTS 2026'!C2151),"",'ENGAGEMENTS 2026'!H2151)</f>
        <v/>
      </c>
      <c r="J2151" s="275">
        <f>IF(ISBLANK('ENGAGEMENTS 2026'!C2151),"",IF(AND(OR($E2151="INFRUCTUEUX",$E2151="ANNULE"),$C2151="AOO-M"),'ENGAGEMENTS 2026'!P2151,IF($H2151="EN COURS DE PREENGAGEMENT",'ENGAGEMENTS 2026'!O2151,IF($H2151="PREENGAGE",IF($E2151="ATTRIBUE",'ENGAGEMENTS 2026'!AE2151,'ENGAGEMENTS 2026'!O2151),'ENGAGEMENTS 2026'!AE2151))))</f>
        <v/>
      </c>
      <c r="K2151" s="604">
        <f>IF(ISBLANK('ENGAGEMENTS 2026'!W2151),"",'ENGAGEMENTS 2026'!W2151)</f>
        <v/>
      </c>
      <c r="L2151" s="276">
        <f>IF($K2151="","",TODAY()-$K2151)</f>
        <v/>
      </c>
      <c r="M2151">
        <f>IF($A2151="","",IF($H2151="ENGAGE","Engagé",IF(AND($H2151="NON ENGAGE",OR($I2151="INFRUCTUEUX",$I2151="ANNULE")),"Clôturé sans suite","En cours")))</f>
        <v/>
      </c>
      <c r="N2151">
        <f>IF(ISBLANK('ENGAGEMENTS 2026'!C2151),"",'ENGAGEMENTS 2026'!L2151)</f>
        <v/>
      </c>
      <c r="O2151">
        <f>IF(ISBLANK('ENGAGEMENTS 2026'!C2151),"",'ENGAGEMENTS 2026'!M2151)</f>
        <v/>
      </c>
      <c r="P2151">
        <f>IF(ISBLANK('ENGAGEMENTS 2026'!C2151),"",'ENGAGEMENTS 2026'!K2151)</f>
        <v/>
      </c>
      <c r="Q2151">
        <f>IF($A2151="","",IF(OR($E2151="INFRUCTUEUX",$E2151="ANNULE"),$A2151&amp;"|"&amp;(COUNTIFS($A$2:$A2151,$A2151,$E$2:$E2151,"INFRUCTUEUX")+COUNTIFS($A$2:$A2151,$A2151,$E$2:$E2151,"ANNULE")),""))</f>
        <v/>
      </c>
    </row>
    <row r="2152">
      <c r="A2152">
        <f>IF(ISBLANK('ENGAGEMENTS 2026'!C2152),"",IF('ENGAGEMENTS 2026'!C2152="DTSI","DCT",'ENGAGEMENTS 2026'!C2152))</f>
        <v/>
      </c>
      <c r="B2152">
        <f>IF(ISBLANK('ENGAGEMENTS 2026'!C2152),"",'ENGAGEMENTS 2026'!D2152)</f>
        <v/>
      </c>
      <c r="C2152">
        <f>IF(ISBLANK('ENGAGEMENTS 2026'!C2152),"",'ENGAGEMENTS 2026'!E2152)</f>
        <v/>
      </c>
      <c r="D2152">
        <f>IF(ISBLANK('ENGAGEMENTS 2026'!C2152),"",'ENGAGEMENTS 2026'!G2152)</f>
        <v/>
      </c>
      <c r="E2152">
        <f>IF(ISBLANK('ENGAGEMENTS 2026'!C2152),"",'ENGAGEMENTS 2026'!I2152)</f>
        <v/>
      </c>
      <c r="F2152">
        <f>IF(ISBLANK('ENGAGEMENTS 2026'!C2152),"",'ENGAGEMENTS 2026'!J2152)</f>
        <v/>
      </c>
      <c r="G2152">
        <f>IF(ISBLANK('ENGAGEMENTS 2026'!C2152),"",'ENGAGEMENTS 2026'!M2152)</f>
        <v/>
      </c>
      <c r="H2152">
        <f>IF(ISBLANK('ENGAGEMENTS 2026'!C2152),"",'ENGAGEMENTS 2026'!AF2152)</f>
        <v/>
      </c>
      <c r="I2152">
        <f>IF(ISBLANK('ENGAGEMENTS 2026'!C2152),"",'ENGAGEMENTS 2026'!H2152)</f>
        <v/>
      </c>
      <c r="J2152" s="275">
        <f>IF(ISBLANK('ENGAGEMENTS 2026'!C2152),"",IF(AND(OR($E2152="INFRUCTUEUX",$E2152="ANNULE"),$C2152="AOO-M"),'ENGAGEMENTS 2026'!P2152,IF($H2152="EN COURS DE PREENGAGEMENT",'ENGAGEMENTS 2026'!O2152,IF($H2152="PREENGAGE",IF($E2152="ATTRIBUE",'ENGAGEMENTS 2026'!AE2152,'ENGAGEMENTS 2026'!O2152),'ENGAGEMENTS 2026'!AE2152))))</f>
        <v/>
      </c>
      <c r="K2152" s="604">
        <f>IF(ISBLANK('ENGAGEMENTS 2026'!W2152),"",'ENGAGEMENTS 2026'!W2152)</f>
        <v/>
      </c>
      <c r="L2152" s="276">
        <f>IF($K2152="","",TODAY()-$K2152)</f>
        <v/>
      </c>
      <c r="M2152">
        <f>IF($A2152="","",IF($H2152="ENGAGE","Engagé",IF(AND($H2152="NON ENGAGE",OR($I2152="INFRUCTUEUX",$I2152="ANNULE")),"Clôturé sans suite","En cours")))</f>
        <v/>
      </c>
      <c r="N2152">
        <f>IF(ISBLANK('ENGAGEMENTS 2026'!C2152),"",'ENGAGEMENTS 2026'!L2152)</f>
        <v/>
      </c>
      <c r="O2152">
        <f>IF(ISBLANK('ENGAGEMENTS 2026'!C2152),"",'ENGAGEMENTS 2026'!M2152)</f>
        <v/>
      </c>
      <c r="P2152">
        <f>IF(ISBLANK('ENGAGEMENTS 2026'!C2152),"",'ENGAGEMENTS 2026'!K2152)</f>
        <v/>
      </c>
      <c r="Q2152">
        <f>IF($A2152="","",IF(OR($E2152="INFRUCTUEUX",$E2152="ANNULE"),$A2152&amp;"|"&amp;(COUNTIFS($A$2:$A2152,$A2152,$E$2:$E2152,"INFRUCTUEUX")+COUNTIFS($A$2:$A2152,$A2152,$E$2:$E2152,"ANNULE")),""))</f>
        <v/>
      </c>
    </row>
    <row r="2153">
      <c r="A2153">
        <f>IF(ISBLANK('ENGAGEMENTS 2026'!C2153),"",IF('ENGAGEMENTS 2026'!C2153="DTSI","DCT",'ENGAGEMENTS 2026'!C2153))</f>
        <v/>
      </c>
      <c r="B2153">
        <f>IF(ISBLANK('ENGAGEMENTS 2026'!C2153),"",'ENGAGEMENTS 2026'!D2153)</f>
        <v/>
      </c>
      <c r="C2153">
        <f>IF(ISBLANK('ENGAGEMENTS 2026'!C2153),"",'ENGAGEMENTS 2026'!E2153)</f>
        <v/>
      </c>
      <c r="D2153">
        <f>IF(ISBLANK('ENGAGEMENTS 2026'!C2153),"",'ENGAGEMENTS 2026'!G2153)</f>
        <v/>
      </c>
      <c r="E2153">
        <f>IF(ISBLANK('ENGAGEMENTS 2026'!C2153),"",'ENGAGEMENTS 2026'!I2153)</f>
        <v/>
      </c>
      <c r="F2153">
        <f>IF(ISBLANK('ENGAGEMENTS 2026'!C2153),"",'ENGAGEMENTS 2026'!J2153)</f>
        <v/>
      </c>
      <c r="G2153">
        <f>IF(ISBLANK('ENGAGEMENTS 2026'!C2153),"",'ENGAGEMENTS 2026'!M2153)</f>
        <v/>
      </c>
      <c r="H2153">
        <f>IF(ISBLANK('ENGAGEMENTS 2026'!C2153),"",'ENGAGEMENTS 2026'!AF2153)</f>
        <v/>
      </c>
      <c r="I2153">
        <f>IF(ISBLANK('ENGAGEMENTS 2026'!C2153),"",'ENGAGEMENTS 2026'!H2153)</f>
        <v/>
      </c>
      <c r="J2153" s="275">
        <f>IF(ISBLANK('ENGAGEMENTS 2026'!C2153),"",IF(AND(OR($E2153="INFRUCTUEUX",$E2153="ANNULE"),$C2153="AOO-M"),'ENGAGEMENTS 2026'!P2153,IF($H2153="EN COURS DE PREENGAGEMENT",'ENGAGEMENTS 2026'!O2153,IF($H2153="PREENGAGE",IF($E2153="ATTRIBUE",'ENGAGEMENTS 2026'!AE2153,'ENGAGEMENTS 2026'!O2153),'ENGAGEMENTS 2026'!AE2153))))</f>
        <v/>
      </c>
      <c r="K2153" s="604">
        <f>IF(ISBLANK('ENGAGEMENTS 2026'!W2153),"",'ENGAGEMENTS 2026'!W2153)</f>
        <v/>
      </c>
      <c r="L2153" s="276">
        <f>IF($K2153="","",TODAY()-$K2153)</f>
        <v/>
      </c>
      <c r="M2153">
        <f>IF($A2153="","",IF($H2153="ENGAGE","Engagé",IF(AND($H2153="NON ENGAGE",OR($I2153="INFRUCTUEUX",$I2153="ANNULE")),"Clôturé sans suite","En cours")))</f>
        <v/>
      </c>
      <c r="N2153">
        <f>IF(ISBLANK('ENGAGEMENTS 2026'!C2153),"",'ENGAGEMENTS 2026'!L2153)</f>
        <v/>
      </c>
      <c r="O2153">
        <f>IF(ISBLANK('ENGAGEMENTS 2026'!C2153),"",'ENGAGEMENTS 2026'!M2153)</f>
        <v/>
      </c>
      <c r="P2153">
        <f>IF(ISBLANK('ENGAGEMENTS 2026'!C2153),"",'ENGAGEMENTS 2026'!K2153)</f>
        <v/>
      </c>
      <c r="Q2153">
        <f>IF($A2153="","",IF(OR($E2153="INFRUCTUEUX",$E2153="ANNULE"),$A2153&amp;"|"&amp;(COUNTIFS($A$2:$A2153,$A2153,$E$2:$E2153,"INFRUCTUEUX")+COUNTIFS($A$2:$A2153,$A2153,$E$2:$E2153,"ANNULE")),""))</f>
        <v/>
      </c>
    </row>
    <row r="2154">
      <c r="A2154">
        <f>IF(ISBLANK('ENGAGEMENTS 2026'!C2154),"",IF('ENGAGEMENTS 2026'!C2154="DTSI","DCT",'ENGAGEMENTS 2026'!C2154))</f>
        <v/>
      </c>
      <c r="B2154">
        <f>IF(ISBLANK('ENGAGEMENTS 2026'!C2154),"",'ENGAGEMENTS 2026'!D2154)</f>
        <v/>
      </c>
      <c r="C2154">
        <f>IF(ISBLANK('ENGAGEMENTS 2026'!C2154),"",'ENGAGEMENTS 2026'!E2154)</f>
        <v/>
      </c>
      <c r="D2154">
        <f>IF(ISBLANK('ENGAGEMENTS 2026'!C2154),"",'ENGAGEMENTS 2026'!G2154)</f>
        <v/>
      </c>
      <c r="E2154">
        <f>IF(ISBLANK('ENGAGEMENTS 2026'!C2154),"",'ENGAGEMENTS 2026'!I2154)</f>
        <v/>
      </c>
      <c r="F2154">
        <f>IF(ISBLANK('ENGAGEMENTS 2026'!C2154),"",'ENGAGEMENTS 2026'!J2154)</f>
        <v/>
      </c>
      <c r="G2154">
        <f>IF(ISBLANK('ENGAGEMENTS 2026'!C2154),"",'ENGAGEMENTS 2026'!M2154)</f>
        <v/>
      </c>
      <c r="H2154">
        <f>IF(ISBLANK('ENGAGEMENTS 2026'!C2154),"",'ENGAGEMENTS 2026'!AF2154)</f>
        <v/>
      </c>
      <c r="I2154">
        <f>IF(ISBLANK('ENGAGEMENTS 2026'!C2154),"",'ENGAGEMENTS 2026'!H2154)</f>
        <v/>
      </c>
      <c r="J2154" s="275">
        <f>IF(ISBLANK('ENGAGEMENTS 2026'!C2154),"",IF(AND(OR($E2154="INFRUCTUEUX",$E2154="ANNULE"),$C2154="AOO-M"),'ENGAGEMENTS 2026'!P2154,IF($H2154="EN COURS DE PREENGAGEMENT",'ENGAGEMENTS 2026'!O2154,IF($H2154="PREENGAGE",IF($E2154="ATTRIBUE",'ENGAGEMENTS 2026'!AE2154,'ENGAGEMENTS 2026'!O2154),'ENGAGEMENTS 2026'!AE2154))))</f>
        <v/>
      </c>
      <c r="K2154" s="604">
        <f>IF(ISBLANK('ENGAGEMENTS 2026'!W2154),"",'ENGAGEMENTS 2026'!W2154)</f>
        <v/>
      </c>
      <c r="L2154" s="276">
        <f>IF($K2154="","",TODAY()-$K2154)</f>
        <v/>
      </c>
      <c r="M2154">
        <f>IF($A2154="","",IF($H2154="ENGAGE","Engagé",IF(AND($H2154="NON ENGAGE",OR($I2154="INFRUCTUEUX",$I2154="ANNULE")),"Clôturé sans suite","En cours")))</f>
        <v/>
      </c>
      <c r="N2154">
        <f>IF(ISBLANK('ENGAGEMENTS 2026'!C2154),"",'ENGAGEMENTS 2026'!L2154)</f>
        <v/>
      </c>
      <c r="O2154">
        <f>IF(ISBLANK('ENGAGEMENTS 2026'!C2154),"",'ENGAGEMENTS 2026'!M2154)</f>
        <v/>
      </c>
      <c r="P2154">
        <f>IF(ISBLANK('ENGAGEMENTS 2026'!C2154),"",'ENGAGEMENTS 2026'!K2154)</f>
        <v/>
      </c>
      <c r="Q2154">
        <f>IF($A2154="","",IF(OR($E2154="INFRUCTUEUX",$E2154="ANNULE"),$A2154&amp;"|"&amp;(COUNTIFS($A$2:$A2154,$A2154,$E$2:$E2154,"INFRUCTUEUX")+COUNTIFS($A$2:$A2154,$A2154,$E$2:$E2154,"ANNULE")),""))</f>
        <v/>
      </c>
    </row>
    <row r="2155">
      <c r="A2155">
        <f>IF(ISBLANK('ENGAGEMENTS 2026'!C2155),"",IF('ENGAGEMENTS 2026'!C2155="DTSI","DCT",'ENGAGEMENTS 2026'!C2155))</f>
        <v/>
      </c>
      <c r="B2155">
        <f>IF(ISBLANK('ENGAGEMENTS 2026'!C2155),"",'ENGAGEMENTS 2026'!D2155)</f>
        <v/>
      </c>
      <c r="C2155">
        <f>IF(ISBLANK('ENGAGEMENTS 2026'!C2155),"",'ENGAGEMENTS 2026'!E2155)</f>
        <v/>
      </c>
      <c r="D2155">
        <f>IF(ISBLANK('ENGAGEMENTS 2026'!C2155),"",'ENGAGEMENTS 2026'!G2155)</f>
        <v/>
      </c>
      <c r="E2155">
        <f>IF(ISBLANK('ENGAGEMENTS 2026'!C2155),"",'ENGAGEMENTS 2026'!I2155)</f>
        <v/>
      </c>
      <c r="F2155">
        <f>IF(ISBLANK('ENGAGEMENTS 2026'!C2155),"",'ENGAGEMENTS 2026'!J2155)</f>
        <v/>
      </c>
      <c r="G2155">
        <f>IF(ISBLANK('ENGAGEMENTS 2026'!C2155),"",'ENGAGEMENTS 2026'!M2155)</f>
        <v/>
      </c>
      <c r="H2155">
        <f>IF(ISBLANK('ENGAGEMENTS 2026'!C2155),"",'ENGAGEMENTS 2026'!AF2155)</f>
        <v/>
      </c>
      <c r="I2155">
        <f>IF(ISBLANK('ENGAGEMENTS 2026'!C2155),"",'ENGAGEMENTS 2026'!H2155)</f>
        <v/>
      </c>
      <c r="J2155" s="275">
        <f>IF(ISBLANK('ENGAGEMENTS 2026'!C2155),"",IF(AND(OR($E2155="INFRUCTUEUX",$E2155="ANNULE"),$C2155="AOO-M"),'ENGAGEMENTS 2026'!P2155,IF($H2155="EN COURS DE PREENGAGEMENT",'ENGAGEMENTS 2026'!O2155,IF($H2155="PREENGAGE",IF($E2155="ATTRIBUE",'ENGAGEMENTS 2026'!AE2155,'ENGAGEMENTS 2026'!O2155),'ENGAGEMENTS 2026'!AE2155))))</f>
        <v/>
      </c>
      <c r="K2155" s="604">
        <f>IF(ISBLANK('ENGAGEMENTS 2026'!W2155),"",'ENGAGEMENTS 2026'!W2155)</f>
        <v/>
      </c>
      <c r="L2155" s="276">
        <f>IF($K2155="","",TODAY()-$K2155)</f>
        <v/>
      </c>
      <c r="M2155">
        <f>IF($A2155="","",IF($H2155="ENGAGE","Engagé",IF(AND($H2155="NON ENGAGE",OR($I2155="INFRUCTUEUX",$I2155="ANNULE")),"Clôturé sans suite","En cours")))</f>
        <v/>
      </c>
      <c r="N2155">
        <f>IF(ISBLANK('ENGAGEMENTS 2026'!C2155),"",'ENGAGEMENTS 2026'!L2155)</f>
        <v/>
      </c>
      <c r="O2155">
        <f>IF(ISBLANK('ENGAGEMENTS 2026'!C2155),"",'ENGAGEMENTS 2026'!M2155)</f>
        <v/>
      </c>
      <c r="P2155">
        <f>IF(ISBLANK('ENGAGEMENTS 2026'!C2155),"",'ENGAGEMENTS 2026'!K2155)</f>
        <v/>
      </c>
      <c r="Q2155">
        <f>IF($A2155="","",IF(OR($E2155="INFRUCTUEUX",$E2155="ANNULE"),$A2155&amp;"|"&amp;(COUNTIFS($A$2:$A2155,$A2155,$E$2:$E2155,"INFRUCTUEUX")+COUNTIFS($A$2:$A2155,$A2155,$E$2:$E2155,"ANNULE")),""))</f>
        <v/>
      </c>
    </row>
    <row r="2156">
      <c r="A2156">
        <f>IF(ISBLANK('ENGAGEMENTS 2026'!C2156),"",IF('ENGAGEMENTS 2026'!C2156="DTSI","DCT",'ENGAGEMENTS 2026'!C2156))</f>
        <v/>
      </c>
      <c r="B2156">
        <f>IF(ISBLANK('ENGAGEMENTS 2026'!C2156),"",'ENGAGEMENTS 2026'!D2156)</f>
        <v/>
      </c>
      <c r="C2156">
        <f>IF(ISBLANK('ENGAGEMENTS 2026'!C2156),"",'ENGAGEMENTS 2026'!E2156)</f>
        <v/>
      </c>
      <c r="D2156">
        <f>IF(ISBLANK('ENGAGEMENTS 2026'!C2156),"",'ENGAGEMENTS 2026'!G2156)</f>
        <v/>
      </c>
      <c r="E2156">
        <f>IF(ISBLANK('ENGAGEMENTS 2026'!C2156),"",'ENGAGEMENTS 2026'!I2156)</f>
        <v/>
      </c>
      <c r="F2156">
        <f>IF(ISBLANK('ENGAGEMENTS 2026'!C2156),"",'ENGAGEMENTS 2026'!J2156)</f>
        <v/>
      </c>
      <c r="G2156">
        <f>IF(ISBLANK('ENGAGEMENTS 2026'!C2156),"",'ENGAGEMENTS 2026'!M2156)</f>
        <v/>
      </c>
      <c r="H2156">
        <f>IF(ISBLANK('ENGAGEMENTS 2026'!C2156),"",'ENGAGEMENTS 2026'!AF2156)</f>
        <v/>
      </c>
      <c r="I2156">
        <f>IF(ISBLANK('ENGAGEMENTS 2026'!C2156),"",'ENGAGEMENTS 2026'!H2156)</f>
        <v/>
      </c>
      <c r="J2156" s="275">
        <f>IF(ISBLANK('ENGAGEMENTS 2026'!C2156),"",IF(AND(OR($E2156="INFRUCTUEUX",$E2156="ANNULE"),$C2156="AOO-M"),'ENGAGEMENTS 2026'!P2156,IF($H2156="EN COURS DE PREENGAGEMENT",'ENGAGEMENTS 2026'!O2156,IF($H2156="PREENGAGE",IF($E2156="ATTRIBUE",'ENGAGEMENTS 2026'!AE2156,'ENGAGEMENTS 2026'!O2156),'ENGAGEMENTS 2026'!AE2156))))</f>
        <v/>
      </c>
      <c r="K2156" s="604">
        <f>IF(ISBLANK('ENGAGEMENTS 2026'!W2156),"",'ENGAGEMENTS 2026'!W2156)</f>
        <v/>
      </c>
      <c r="L2156" s="276">
        <f>IF($K2156="","",TODAY()-$K2156)</f>
        <v/>
      </c>
      <c r="M2156">
        <f>IF($A2156="","",IF($H2156="ENGAGE","Engagé",IF(AND($H2156="NON ENGAGE",OR($I2156="INFRUCTUEUX",$I2156="ANNULE")),"Clôturé sans suite","En cours")))</f>
        <v/>
      </c>
      <c r="N2156">
        <f>IF(ISBLANK('ENGAGEMENTS 2026'!C2156),"",'ENGAGEMENTS 2026'!L2156)</f>
        <v/>
      </c>
      <c r="O2156">
        <f>IF(ISBLANK('ENGAGEMENTS 2026'!C2156),"",'ENGAGEMENTS 2026'!M2156)</f>
        <v/>
      </c>
      <c r="P2156">
        <f>IF(ISBLANK('ENGAGEMENTS 2026'!C2156),"",'ENGAGEMENTS 2026'!K2156)</f>
        <v/>
      </c>
      <c r="Q2156">
        <f>IF($A2156="","",IF(OR($E2156="INFRUCTUEUX",$E2156="ANNULE"),$A2156&amp;"|"&amp;(COUNTIFS($A$2:$A2156,$A2156,$E$2:$E2156,"INFRUCTUEUX")+COUNTIFS($A$2:$A2156,$A2156,$E$2:$E2156,"ANNULE")),""))</f>
        <v/>
      </c>
    </row>
    <row r="2157">
      <c r="A2157">
        <f>IF(ISBLANK('ENGAGEMENTS 2026'!C2157),"",IF('ENGAGEMENTS 2026'!C2157="DTSI","DCT",'ENGAGEMENTS 2026'!C2157))</f>
        <v/>
      </c>
      <c r="B2157">
        <f>IF(ISBLANK('ENGAGEMENTS 2026'!C2157),"",'ENGAGEMENTS 2026'!D2157)</f>
        <v/>
      </c>
      <c r="C2157">
        <f>IF(ISBLANK('ENGAGEMENTS 2026'!C2157),"",'ENGAGEMENTS 2026'!E2157)</f>
        <v/>
      </c>
      <c r="D2157">
        <f>IF(ISBLANK('ENGAGEMENTS 2026'!C2157),"",'ENGAGEMENTS 2026'!G2157)</f>
        <v/>
      </c>
      <c r="E2157">
        <f>IF(ISBLANK('ENGAGEMENTS 2026'!C2157),"",'ENGAGEMENTS 2026'!I2157)</f>
        <v/>
      </c>
      <c r="F2157">
        <f>IF(ISBLANK('ENGAGEMENTS 2026'!C2157),"",'ENGAGEMENTS 2026'!J2157)</f>
        <v/>
      </c>
      <c r="G2157">
        <f>IF(ISBLANK('ENGAGEMENTS 2026'!C2157),"",'ENGAGEMENTS 2026'!M2157)</f>
        <v/>
      </c>
      <c r="H2157">
        <f>IF(ISBLANK('ENGAGEMENTS 2026'!C2157),"",'ENGAGEMENTS 2026'!AF2157)</f>
        <v/>
      </c>
      <c r="I2157">
        <f>IF(ISBLANK('ENGAGEMENTS 2026'!C2157),"",'ENGAGEMENTS 2026'!H2157)</f>
        <v/>
      </c>
      <c r="J2157" s="275">
        <f>IF(ISBLANK('ENGAGEMENTS 2026'!C2157),"",IF(AND(OR($E2157="INFRUCTUEUX",$E2157="ANNULE"),$C2157="AOO-M"),'ENGAGEMENTS 2026'!P2157,IF($H2157="EN COURS DE PREENGAGEMENT",'ENGAGEMENTS 2026'!O2157,IF($H2157="PREENGAGE",IF($E2157="ATTRIBUE",'ENGAGEMENTS 2026'!AE2157,'ENGAGEMENTS 2026'!O2157),'ENGAGEMENTS 2026'!AE2157))))</f>
        <v/>
      </c>
      <c r="K2157" s="604">
        <f>IF(ISBLANK('ENGAGEMENTS 2026'!W2157),"",'ENGAGEMENTS 2026'!W2157)</f>
        <v/>
      </c>
      <c r="L2157" s="276">
        <f>IF($K2157="","",TODAY()-$K2157)</f>
        <v/>
      </c>
      <c r="M2157">
        <f>IF($A2157="","",IF($H2157="ENGAGE","Engagé",IF(AND($H2157="NON ENGAGE",OR($I2157="INFRUCTUEUX",$I2157="ANNULE")),"Clôturé sans suite","En cours")))</f>
        <v/>
      </c>
      <c r="N2157">
        <f>IF(ISBLANK('ENGAGEMENTS 2026'!C2157),"",'ENGAGEMENTS 2026'!L2157)</f>
        <v/>
      </c>
      <c r="O2157">
        <f>IF(ISBLANK('ENGAGEMENTS 2026'!C2157),"",'ENGAGEMENTS 2026'!M2157)</f>
        <v/>
      </c>
      <c r="P2157">
        <f>IF(ISBLANK('ENGAGEMENTS 2026'!C2157),"",'ENGAGEMENTS 2026'!K2157)</f>
        <v/>
      </c>
      <c r="Q2157">
        <f>IF($A2157="","",IF(OR($E2157="INFRUCTUEUX",$E2157="ANNULE"),$A2157&amp;"|"&amp;(COUNTIFS($A$2:$A2157,$A2157,$E$2:$E2157,"INFRUCTUEUX")+COUNTIFS($A$2:$A2157,$A2157,$E$2:$E2157,"ANNULE")),""))</f>
        <v/>
      </c>
    </row>
    <row r="2158">
      <c r="A2158">
        <f>IF(ISBLANK('ENGAGEMENTS 2026'!C2158),"",IF('ENGAGEMENTS 2026'!C2158="DTSI","DCT",'ENGAGEMENTS 2026'!C2158))</f>
        <v/>
      </c>
      <c r="B2158">
        <f>IF(ISBLANK('ENGAGEMENTS 2026'!C2158),"",'ENGAGEMENTS 2026'!D2158)</f>
        <v/>
      </c>
      <c r="C2158">
        <f>IF(ISBLANK('ENGAGEMENTS 2026'!C2158),"",'ENGAGEMENTS 2026'!E2158)</f>
        <v/>
      </c>
      <c r="D2158">
        <f>IF(ISBLANK('ENGAGEMENTS 2026'!C2158),"",'ENGAGEMENTS 2026'!G2158)</f>
        <v/>
      </c>
      <c r="E2158">
        <f>IF(ISBLANK('ENGAGEMENTS 2026'!C2158),"",'ENGAGEMENTS 2026'!I2158)</f>
        <v/>
      </c>
      <c r="F2158">
        <f>IF(ISBLANK('ENGAGEMENTS 2026'!C2158),"",'ENGAGEMENTS 2026'!J2158)</f>
        <v/>
      </c>
      <c r="G2158">
        <f>IF(ISBLANK('ENGAGEMENTS 2026'!C2158),"",'ENGAGEMENTS 2026'!M2158)</f>
        <v/>
      </c>
      <c r="H2158">
        <f>IF(ISBLANK('ENGAGEMENTS 2026'!C2158),"",'ENGAGEMENTS 2026'!AF2158)</f>
        <v/>
      </c>
      <c r="I2158">
        <f>IF(ISBLANK('ENGAGEMENTS 2026'!C2158),"",'ENGAGEMENTS 2026'!H2158)</f>
        <v/>
      </c>
      <c r="J2158" s="275">
        <f>IF(ISBLANK('ENGAGEMENTS 2026'!C2158),"",IF(AND(OR($E2158="INFRUCTUEUX",$E2158="ANNULE"),$C2158="AOO-M"),'ENGAGEMENTS 2026'!P2158,IF($H2158="EN COURS DE PREENGAGEMENT",'ENGAGEMENTS 2026'!O2158,IF($H2158="PREENGAGE",IF($E2158="ATTRIBUE",'ENGAGEMENTS 2026'!AE2158,'ENGAGEMENTS 2026'!O2158),'ENGAGEMENTS 2026'!AE2158))))</f>
        <v/>
      </c>
      <c r="K2158" s="604">
        <f>IF(ISBLANK('ENGAGEMENTS 2026'!W2158),"",'ENGAGEMENTS 2026'!W2158)</f>
        <v/>
      </c>
      <c r="L2158" s="276">
        <f>IF($K2158="","",TODAY()-$K2158)</f>
        <v/>
      </c>
      <c r="M2158">
        <f>IF($A2158="","",IF($H2158="ENGAGE","Engagé",IF(AND($H2158="NON ENGAGE",OR($I2158="INFRUCTUEUX",$I2158="ANNULE")),"Clôturé sans suite","En cours")))</f>
        <v/>
      </c>
      <c r="N2158">
        <f>IF(ISBLANK('ENGAGEMENTS 2026'!C2158),"",'ENGAGEMENTS 2026'!L2158)</f>
        <v/>
      </c>
      <c r="O2158">
        <f>IF(ISBLANK('ENGAGEMENTS 2026'!C2158),"",'ENGAGEMENTS 2026'!M2158)</f>
        <v/>
      </c>
      <c r="P2158">
        <f>IF(ISBLANK('ENGAGEMENTS 2026'!C2158),"",'ENGAGEMENTS 2026'!K2158)</f>
        <v/>
      </c>
      <c r="Q2158">
        <f>IF($A2158="","",IF(OR($E2158="INFRUCTUEUX",$E2158="ANNULE"),$A2158&amp;"|"&amp;(COUNTIFS($A$2:$A2158,$A2158,$E$2:$E2158,"INFRUCTUEUX")+COUNTIFS($A$2:$A2158,$A2158,$E$2:$E2158,"ANNULE")),""))</f>
        <v/>
      </c>
    </row>
    <row r="2159">
      <c r="A2159">
        <f>IF(ISBLANK('ENGAGEMENTS 2026'!C2159),"",IF('ENGAGEMENTS 2026'!C2159="DTSI","DCT",'ENGAGEMENTS 2026'!C2159))</f>
        <v/>
      </c>
      <c r="B2159">
        <f>IF(ISBLANK('ENGAGEMENTS 2026'!C2159),"",'ENGAGEMENTS 2026'!D2159)</f>
        <v/>
      </c>
      <c r="C2159">
        <f>IF(ISBLANK('ENGAGEMENTS 2026'!C2159),"",'ENGAGEMENTS 2026'!E2159)</f>
        <v/>
      </c>
      <c r="D2159">
        <f>IF(ISBLANK('ENGAGEMENTS 2026'!C2159),"",'ENGAGEMENTS 2026'!G2159)</f>
        <v/>
      </c>
      <c r="E2159">
        <f>IF(ISBLANK('ENGAGEMENTS 2026'!C2159),"",'ENGAGEMENTS 2026'!I2159)</f>
        <v/>
      </c>
      <c r="F2159">
        <f>IF(ISBLANK('ENGAGEMENTS 2026'!C2159),"",'ENGAGEMENTS 2026'!J2159)</f>
        <v/>
      </c>
      <c r="G2159">
        <f>IF(ISBLANK('ENGAGEMENTS 2026'!C2159),"",'ENGAGEMENTS 2026'!M2159)</f>
        <v/>
      </c>
      <c r="H2159">
        <f>IF(ISBLANK('ENGAGEMENTS 2026'!C2159),"",'ENGAGEMENTS 2026'!AF2159)</f>
        <v/>
      </c>
      <c r="I2159">
        <f>IF(ISBLANK('ENGAGEMENTS 2026'!C2159),"",'ENGAGEMENTS 2026'!H2159)</f>
        <v/>
      </c>
      <c r="J2159" s="275">
        <f>IF(ISBLANK('ENGAGEMENTS 2026'!C2159),"",IF(AND(OR($E2159="INFRUCTUEUX",$E2159="ANNULE"),$C2159="AOO-M"),'ENGAGEMENTS 2026'!P2159,IF($H2159="EN COURS DE PREENGAGEMENT",'ENGAGEMENTS 2026'!O2159,IF($H2159="PREENGAGE",IF($E2159="ATTRIBUE",'ENGAGEMENTS 2026'!AE2159,'ENGAGEMENTS 2026'!O2159),'ENGAGEMENTS 2026'!AE2159))))</f>
        <v/>
      </c>
      <c r="K2159" s="604">
        <f>IF(ISBLANK('ENGAGEMENTS 2026'!W2159),"",'ENGAGEMENTS 2026'!W2159)</f>
        <v/>
      </c>
      <c r="L2159" s="276">
        <f>IF($K2159="","",TODAY()-$K2159)</f>
        <v/>
      </c>
      <c r="M2159">
        <f>IF($A2159="","",IF($H2159="ENGAGE","Engagé",IF(AND($H2159="NON ENGAGE",OR($I2159="INFRUCTUEUX",$I2159="ANNULE")),"Clôturé sans suite","En cours")))</f>
        <v/>
      </c>
      <c r="N2159">
        <f>IF(ISBLANK('ENGAGEMENTS 2026'!C2159),"",'ENGAGEMENTS 2026'!L2159)</f>
        <v/>
      </c>
      <c r="O2159">
        <f>IF(ISBLANK('ENGAGEMENTS 2026'!C2159),"",'ENGAGEMENTS 2026'!M2159)</f>
        <v/>
      </c>
      <c r="P2159">
        <f>IF(ISBLANK('ENGAGEMENTS 2026'!C2159),"",'ENGAGEMENTS 2026'!K2159)</f>
        <v/>
      </c>
      <c r="Q2159">
        <f>IF($A2159="","",IF(OR($E2159="INFRUCTUEUX",$E2159="ANNULE"),$A2159&amp;"|"&amp;(COUNTIFS($A$2:$A2159,$A2159,$E$2:$E2159,"INFRUCTUEUX")+COUNTIFS($A$2:$A2159,$A2159,$E$2:$E2159,"ANNULE")),""))</f>
        <v/>
      </c>
    </row>
    <row r="2160">
      <c r="A2160">
        <f>IF(ISBLANK('ENGAGEMENTS 2026'!C2160),"",IF('ENGAGEMENTS 2026'!C2160="DTSI","DCT",'ENGAGEMENTS 2026'!C2160))</f>
        <v/>
      </c>
      <c r="B2160">
        <f>IF(ISBLANK('ENGAGEMENTS 2026'!C2160),"",'ENGAGEMENTS 2026'!D2160)</f>
        <v/>
      </c>
      <c r="C2160">
        <f>IF(ISBLANK('ENGAGEMENTS 2026'!C2160),"",'ENGAGEMENTS 2026'!E2160)</f>
        <v/>
      </c>
      <c r="D2160">
        <f>IF(ISBLANK('ENGAGEMENTS 2026'!C2160),"",'ENGAGEMENTS 2026'!G2160)</f>
        <v/>
      </c>
      <c r="E2160">
        <f>IF(ISBLANK('ENGAGEMENTS 2026'!C2160),"",'ENGAGEMENTS 2026'!I2160)</f>
        <v/>
      </c>
      <c r="F2160">
        <f>IF(ISBLANK('ENGAGEMENTS 2026'!C2160),"",'ENGAGEMENTS 2026'!J2160)</f>
        <v/>
      </c>
      <c r="G2160">
        <f>IF(ISBLANK('ENGAGEMENTS 2026'!C2160),"",'ENGAGEMENTS 2026'!M2160)</f>
        <v/>
      </c>
      <c r="H2160">
        <f>IF(ISBLANK('ENGAGEMENTS 2026'!C2160),"",'ENGAGEMENTS 2026'!AF2160)</f>
        <v/>
      </c>
      <c r="I2160">
        <f>IF(ISBLANK('ENGAGEMENTS 2026'!C2160),"",'ENGAGEMENTS 2026'!H2160)</f>
        <v/>
      </c>
      <c r="J2160" s="275">
        <f>IF(ISBLANK('ENGAGEMENTS 2026'!C2160),"",IF(AND(OR($E2160="INFRUCTUEUX",$E2160="ANNULE"),$C2160="AOO-M"),'ENGAGEMENTS 2026'!P2160,IF($H2160="EN COURS DE PREENGAGEMENT",'ENGAGEMENTS 2026'!O2160,IF($H2160="PREENGAGE",IF($E2160="ATTRIBUE",'ENGAGEMENTS 2026'!AE2160,'ENGAGEMENTS 2026'!O2160),'ENGAGEMENTS 2026'!AE2160))))</f>
        <v/>
      </c>
      <c r="K2160" s="604">
        <f>IF(ISBLANK('ENGAGEMENTS 2026'!W2160),"",'ENGAGEMENTS 2026'!W2160)</f>
        <v/>
      </c>
      <c r="L2160" s="276">
        <f>IF($K2160="","",TODAY()-$K2160)</f>
        <v/>
      </c>
      <c r="M2160">
        <f>IF($A2160="","",IF($H2160="ENGAGE","Engagé",IF(AND($H2160="NON ENGAGE",OR($I2160="INFRUCTUEUX",$I2160="ANNULE")),"Clôturé sans suite","En cours")))</f>
        <v/>
      </c>
      <c r="N2160">
        <f>IF(ISBLANK('ENGAGEMENTS 2026'!C2160),"",'ENGAGEMENTS 2026'!L2160)</f>
        <v/>
      </c>
      <c r="O2160">
        <f>IF(ISBLANK('ENGAGEMENTS 2026'!C2160),"",'ENGAGEMENTS 2026'!M2160)</f>
        <v/>
      </c>
      <c r="P2160">
        <f>IF(ISBLANK('ENGAGEMENTS 2026'!C2160),"",'ENGAGEMENTS 2026'!K2160)</f>
        <v/>
      </c>
      <c r="Q2160">
        <f>IF($A2160="","",IF(OR($E2160="INFRUCTUEUX",$E2160="ANNULE"),$A2160&amp;"|"&amp;(COUNTIFS($A$2:$A2160,$A2160,$E$2:$E2160,"INFRUCTUEUX")+COUNTIFS($A$2:$A2160,$A2160,$E$2:$E2160,"ANNULE")),""))</f>
        <v/>
      </c>
    </row>
    <row r="2161">
      <c r="A2161">
        <f>IF(ISBLANK('ENGAGEMENTS 2026'!C2161),"",IF('ENGAGEMENTS 2026'!C2161="DTSI","DCT",'ENGAGEMENTS 2026'!C2161))</f>
        <v/>
      </c>
      <c r="B2161">
        <f>IF(ISBLANK('ENGAGEMENTS 2026'!C2161),"",'ENGAGEMENTS 2026'!D2161)</f>
        <v/>
      </c>
      <c r="C2161">
        <f>IF(ISBLANK('ENGAGEMENTS 2026'!C2161),"",'ENGAGEMENTS 2026'!E2161)</f>
        <v/>
      </c>
      <c r="D2161">
        <f>IF(ISBLANK('ENGAGEMENTS 2026'!C2161),"",'ENGAGEMENTS 2026'!G2161)</f>
        <v/>
      </c>
      <c r="E2161">
        <f>IF(ISBLANK('ENGAGEMENTS 2026'!C2161),"",'ENGAGEMENTS 2026'!I2161)</f>
        <v/>
      </c>
      <c r="F2161">
        <f>IF(ISBLANK('ENGAGEMENTS 2026'!C2161),"",'ENGAGEMENTS 2026'!J2161)</f>
        <v/>
      </c>
      <c r="G2161">
        <f>IF(ISBLANK('ENGAGEMENTS 2026'!C2161),"",'ENGAGEMENTS 2026'!M2161)</f>
        <v/>
      </c>
      <c r="H2161">
        <f>IF(ISBLANK('ENGAGEMENTS 2026'!C2161),"",'ENGAGEMENTS 2026'!AF2161)</f>
        <v/>
      </c>
      <c r="I2161">
        <f>IF(ISBLANK('ENGAGEMENTS 2026'!C2161),"",'ENGAGEMENTS 2026'!H2161)</f>
        <v/>
      </c>
      <c r="J2161" s="275">
        <f>IF(ISBLANK('ENGAGEMENTS 2026'!C2161),"",IF(AND(OR($E2161="INFRUCTUEUX",$E2161="ANNULE"),$C2161="AOO-M"),'ENGAGEMENTS 2026'!P2161,IF($H2161="EN COURS DE PREENGAGEMENT",'ENGAGEMENTS 2026'!O2161,IF($H2161="PREENGAGE",IF($E2161="ATTRIBUE",'ENGAGEMENTS 2026'!AE2161,'ENGAGEMENTS 2026'!O2161),'ENGAGEMENTS 2026'!AE2161))))</f>
        <v/>
      </c>
      <c r="K2161" s="604">
        <f>IF(ISBLANK('ENGAGEMENTS 2026'!W2161),"",'ENGAGEMENTS 2026'!W2161)</f>
        <v/>
      </c>
      <c r="L2161" s="276">
        <f>IF($K2161="","",TODAY()-$K2161)</f>
        <v/>
      </c>
      <c r="M2161">
        <f>IF($A2161="","",IF($H2161="ENGAGE","Engagé",IF(AND($H2161="NON ENGAGE",OR($I2161="INFRUCTUEUX",$I2161="ANNULE")),"Clôturé sans suite","En cours")))</f>
        <v/>
      </c>
      <c r="N2161">
        <f>IF(ISBLANK('ENGAGEMENTS 2026'!C2161),"",'ENGAGEMENTS 2026'!L2161)</f>
        <v/>
      </c>
      <c r="O2161">
        <f>IF(ISBLANK('ENGAGEMENTS 2026'!C2161),"",'ENGAGEMENTS 2026'!M2161)</f>
        <v/>
      </c>
      <c r="P2161">
        <f>IF(ISBLANK('ENGAGEMENTS 2026'!C2161),"",'ENGAGEMENTS 2026'!K2161)</f>
        <v/>
      </c>
      <c r="Q2161">
        <f>IF($A2161="","",IF(OR($E2161="INFRUCTUEUX",$E2161="ANNULE"),$A2161&amp;"|"&amp;(COUNTIFS($A$2:$A2161,$A2161,$E$2:$E2161,"INFRUCTUEUX")+COUNTIFS($A$2:$A2161,$A2161,$E$2:$E2161,"ANNULE")),""))</f>
        <v/>
      </c>
    </row>
    <row r="2162">
      <c r="A2162">
        <f>IF(ISBLANK('ENGAGEMENTS 2026'!C2162),"",IF('ENGAGEMENTS 2026'!C2162="DTSI","DCT",'ENGAGEMENTS 2026'!C2162))</f>
        <v/>
      </c>
      <c r="B2162">
        <f>IF(ISBLANK('ENGAGEMENTS 2026'!C2162),"",'ENGAGEMENTS 2026'!D2162)</f>
        <v/>
      </c>
      <c r="C2162">
        <f>IF(ISBLANK('ENGAGEMENTS 2026'!C2162),"",'ENGAGEMENTS 2026'!E2162)</f>
        <v/>
      </c>
      <c r="D2162">
        <f>IF(ISBLANK('ENGAGEMENTS 2026'!C2162),"",'ENGAGEMENTS 2026'!G2162)</f>
        <v/>
      </c>
      <c r="E2162">
        <f>IF(ISBLANK('ENGAGEMENTS 2026'!C2162),"",'ENGAGEMENTS 2026'!I2162)</f>
        <v/>
      </c>
      <c r="F2162">
        <f>IF(ISBLANK('ENGAGEMENTS 2026'!C2162),"",'ENGAGEMENTS 2026'!J2162)</f>
        <v/>
      </c>
      <c r="G2162">
        <f>IF(ISBLANK('ENGAGEMENTS 2026'!C2162),"",'ENGAGEMENTS 2026'!M2162)</f>
        <v/>
      </c>
      <c r="H2162">
        <f>IF(ISBLANK('ENGAGEMENTS 2026'!C2162),"",'ENGAGEMENTS 2026'!AF2162)</f>
        <v/>
      </c>
      <c r="I2162">
        <f>IF(ISBLANK('ENGAGEMENTS 2026'!C2162),"",'ENGAGEMENTS 2026'!H2162)</f>
        <v/>
      </c>
      <c r="J2162" s="275">
        <f>IF(ISBLANK('ENGAGEMENTS 2026'!C2162),"",IF(AND(OR($E2162="INFRUCTUEUX",$E2162="ANNULE"),$C2162="AOO-M"),'ENGAGEMENTS 2026'!P2162,IF($H2162="EN COURS DE PREENGAGEMENT",'ENGAGEMENTS 2026'!O2162,IF($H2162="PREENGAGE",IF($E2162="ATTRIBUE",'ENGAGEMENTS 2026'!AE2162,'ENGAGEMENTS 2026'!O2162),'ENGAGEMENTS 2026'!AE2162))))</f>
        <v/>
      </c>
      <c r="K2162" s="604">
        <f>IF(ISBLANK('ENGAGEMENTS 2026'!W2162),"",'ENGAGEMENTS 2026'!W2162)</f>
        <v/>
      </c>
      <c r="L2162" s="276">
        <f>IF($K2162="","",TODAY()-$K2162)</f>
        <v/>
      </c>
      <c r="M2162">
        <f>IF($A2162="","",IF($H2162="ENGAGE","Engagé",IF(AND($H2162="NON ENGAGE",OR($I2162="INFRUCTUEUX",$I2162="ANNULE")),"Clôturé sans suite","En cours")))</f>
        <v/>
      </c>
      <c r="N2162">
        <f>IF(ISBLANK('ENGAGEMENTS 2026'!C2162),"",'ENGAGEMENTS 2026'!L2162)</f>
        <v/>
      </c>
      <c r="O2162">
        <f>IF(ISBLANK('ENGAGEMENTS 2026'!C2162),"",'ENGAGEMENTS 2026'!M2162)</f>
        <v/>
      </c>
      <c r="P2162">
        <f>IF(ISBLANK('ENGAGEMENTS 2026'!C2162),"",'ENGAGEMENTS 2026'!K2162)</f>
        <v/>
      </c>
      <c r="Q2162">
        <f>IF($A2162="","",IF(OR($E2162="INFRUCTUEUX",$E2162="ANNULE"),$A2162&amp;"|"&amp;(COUNTIFS($A$2:$A2162,$A2162,$E$2:$E2162,"INFRUCTUEUX")+COUNTIFS($A$2:$A2162,$A2162,$E$2:$E2162,"ANNULE")),""))</f>
        <v/>
      </c>
    </row>
    <row r="2163">
      <c r="A2163">
        <f>IF(ISBLANK('ENGAGEMENTS 2026'!C2163),"",IF('ENGAGEMENTS 2026'!C2163="DTSI","DCT",'ENGAGEMENTS 2026'!C2163))</f>
        <v/>
      </c>
      <c r="B2163">
        <f>IF(ISBLANK('ENGAGEMENTS 2026'!C2163),"",'ENGAGEMENTS 2026'!D2163)</f>
        <v/>
      </c>
      <c r="C2163">
        <f>IF(ISBLANK('ENGAGEMENTS 2026'!C2163),"",'ENGAGEMENTS 2026'!E2163)</f>
        <v/>
      </c>
      <c r="D2163">
        <f>IF(ISBLANK('ENGAGEMENTS 2026'!C2163),"",'ENGAGEMENTS 2026'!G2163)</f>
        <v/>
      </c>
      <c r="E2163">
        <f>IF(ISBLANK('ENGAGEMENTS 2026'!C2163),"",'ENGAGEMENTS 2026'!I2163)</f>
        <v/>
      </c>
      <c r="F2163">
        <f>IF(ISBLANK('ENGAGEMENTS 2026'!C2163),"",'ENGAGEMENTS 2026'!J2163)</f>
        <v/>
      </c>
      <c r="G2163">
        <f>IF(ISBLANK('ENGAGEMENTS 2026'!C2163),"",'ENGAGEMENTS 2026'!M2163)</f>
        <v/>
      </c>
      <c r="H2163">
        <f>IF(ISBLANK('ENGAGEMENTS 2026'!C2163),"",'ENGAGEMENTS 2026'!AF2163)</f>
        <v/>
      </c>
      <c r="I2163">
        <f>IF(ISBLANK('ENGAGEMENTS 2026'!C2163),"",'ENGAGEMENTS 2026'!H2163)</f>
        <v/>
      </c>
      <c r="J2163" s="275">
        <f>IF(ISBLANK('ENGAGEMENTS 2026'!C2163),"",IF(AND(OR($E2163="INFRUCTUEUX",$E2163="ANNULE"),$C2163="AOO-M"),'ENGAGEMENTS 2026'!P2163,IF($H2163="EN COURS DE PREENGAGEMENT",'ENGAGEMENTS 2026'!O2163,IF($H2163="PREENGAGE",IF($E2163="ATTRIBUE",'ENGAGEMENTS 2026'!AE2163,'ENGAGEMENTS 2026'!O2163),'ENGAGEMENTS 2026'!AE2163))))</f>
        <v/>
      </c>
      <c r="K2163" s="604">
        <f>IF(ISBLANK('ENGAGEMENTS 2026'!W2163),"",'ENGAGEMENTS 2026'!W2163)</f>
        <v/>
      </c>
      <c r="L2163" s="276">
        <f>IF($K2163="","",TODAY()-$K2163)</f>
        <v/>
      </c>
      <c r="M2163">
        <f>IF($A2163="","",IF($H2163="ENGAGE","Engagé",IF(AND($H2163="NON ENGAGE",OR($I2163="INFRUCTUEUX",$I2163="ANNULE")),"Clôturé sans suite","En cours")))</f>
        <v/>
      </c>
      <c r="N2163">
        <f>IF(ISBLANK('ENGAGEMENTS 2026'!C2163),"",'ENGAGEMENTS 2026'!L2163)</f>
        <v/>
      </c>
      <c r="O2163">
        <f>IF(ISBLANK('ENGAGEMENTS 2026'!C2163),"",'ENGAGEMENTS 2026'!M2163)</f>
        <v/>
      </c>
      <c r="P2163">
        <f>IF(ISBLANK('ENGAGEMENTS 2026'!C2163),"",'ENGAGEMENTS 2026'!K2163)</f>
        <v/>
      </c>
      <c r="Q2163">
        <f>IF($A2163="","",IF(OR($E2163="INFRUCTUEUX",$E2163="ANNULE"),$A2163&amp;"|"&amp;(COUNTIFS($A$2:$A2163,$A2163,$E$2:$E2163,"INFRUCTUEUX")+COUNTIFS($A$2:$A2163,$A2163,$E$2:$E2163,"ANNULE")),""))</f>
        <v/>
      </c>
    </row>
    <row r="2164">
      <c r="A2164">
        <f>IF(ISBLANK('ENGAGEMENTS 2026'!C2164),"",IF('ENGAGEMENTS 2026'!C2164="DTSI","DCT",'ENGAGEMENTS 2026'!C2164))</f>
        <v/>
      </c>
      <c r="B2164">
        <f>IF(ISBLANK('ENGAGEMENTS 2026'!C2164),"",'ENGAGEMENTS 2026'!D2164)</f>
        <v/>
      </c>
      <c r="C2164">
        <f>IF(ISBLANK('ENGAGEMENTS 2026'!C2164),"",'ENGAGEMENTS 2026'!E2164)</f>
        <v/>
      </c>
      <c r="D2164">
        <f>IF(ISBLANK('ENGAGEMENTS 2026'!C2164),"",'ENGAGEMENTS 2026'!G2164)</f>
        <v/>
      </c>
      <c r="E2164">
        <f>IF(ISBLANK('ENGAGEMENTS 2026'!C2164),"",'ENGAGEMENTS 2026'!I2164)</f>
        <v/>
      </c>
      <c r="F2164">
        <f>IF(ISBLANK('ENGAGEMENTS 2026'!C2164),"",'ENGAGEMENTS 2026'!J2164)</f>
        <v/>
      </c>
      <c r="G2164">
        <f>IF(ISBLANK('ENGAGEMENTS 2026'!C2164),"",'ENGAGEMENTS 2026'!M2164)</f>
        <v/>
      </c>
      <c r="H2164">
        <f>IF(ISBLANK('ENGAGEMENTS 2026'!C2164),"",'ENGAGEMENTS 2026'!AF2164)</f>
        <v/>
      </c>
      <c r="I2164">
        <f>IF(ISBLANK('ENGAGEMENTS 2026'!C2164),"",'ENGAGEMENTS 2026'!H2164)</f>
        <v/>
      </c>
      <c r="J2164" s="275">
        <f>IF(ISBLANK('ENGAGEMENTS 2026'!C2164),"",IF(AND(OR($E2164="INFRUCTUEUX",$E2164="ANNULE"),$C2164="AOO-M"),'ENGAGEMENTS 2026'!P2164,IF($H2164="EN COURS DE PREENGAGEMENT",'ENGAGEMENTS 2026'!O2164,IF($H2164="PREENGAGE",IF($E2164="ATTRIBUE",'ENGAGEMENTS 2026'!AE2164,'ENGAGEMENTS 2026'!O2164),'ENGAGEMENTS 2026'!AE2164))))</f>
        <v/>
      </c>
      <c r="K2164" s="604">
        <f>IF(ISBLANK('ENGAGEMENTS 2026'!W2164),"",'ENGAGEMENTS 2026'!W2164)</f>
        <v/>
      </c>
      <c r="L2164" s="276">
        <f>IF($K2164="","",TODAY()-$K2164)</f>
        <v/>
      </c>
      <c r="M2164">
        <f>IF($A2164="","",IF($H2164="ENGAGE","Engagé",IF(AND($H2164="NON ENGAGE",OR($I2164="INFRUCTUEUX",$I2164="ANNULE")),"Clôturé sans suite","En cours")))</f>
        <v/>
      </c>
      <c r="N2164">
        <f>IF(ISBLANK('ENGAGEMENTS 2026'!C2164),"",'ENGAGEMENTS 2026'!L2164)</f>
        <v/>
      </c>
      <c r="O2164">
        <f>IF(ISBLANK('ENGAGEMENTS 2026'!C2164),"",'ENGAGEMENTS 2026'!M2164)</f>
        <v/>
      </c>
      <c r="P2164">
        <f>IF(ISBLANK('ENGAGEMENTS 2026'!C2164),"",'ENGAGEMENTS 2026'!K2164)</f>
        <v/>
      </c>
      <c r="Q2164">
        <f>IF($A2164="","",IF(OR($E2164="INFRUCTUEUX",$E2164="ANNULE"),$A2164&amp;"|"&amp;(COUNTIFS($A$2:$A2164,$A2164,$E$2:$E2164,"INFRUCTUEUX")+COUNTIFS($A$2:$A2164,$A2164,$E$2:$E2164,"ANNULE")),""))</f>
        <v/>
      </c>
    </row>
    <row r="2165">
      <c r="A2165">
        <f>IF(ISBLANK('ENGAGEMENTS 2026'!C2165),"",IF('ENGAGEMENTS 2026'!C2165="DTSI","DCT",'ENGAGEMENTS 2026'!C2165))</f>
        <v/>
      </c>
      <c r="B2165">
        <f>IF(ISBLANK('ENGAGEMENTS 2026'!C2165),"",'ENGAGEMENTS 2026'!D2165)</f>
        <v/>
      </c>
      <c r="C2165">
        <f>IF(ISBLANK('ENGAGEMENTS 2026'!C2165),"",'ENGAGEMENTS 2026'!E2165)</f>
        <v/>
      </c>
      <c r="D2165">
        <f>IF(ISBLANK('ENGAGEMENTS 2026'!C2165),"",'ENGAGEMENTS 2026'!G2165)</f>
        <v/>
      </c>
      <c r="E2165">
        <f>IF(ISBLANK('ENGAGEMENTS 2026'!C2165),"",'ENGAGEMENTS 2026'!I2165)</f>
        <v/>
      </c>
      <c r="F2165">
        <f>IF(ISBLANK('ENGAGEMENTS 2026'!C2165),"",'ENGAGEMENTS 2026'!J2165)</f>
        <v/>
      </c>
      <c r="G2165">
        <f>IF(ISBLANK('ENGAGEMENTS 2026'!C2165),"",'ENGAGEMENTS 2026'!M2165)</f>
        <v/>
      </c>
      <c r="H2165">
        <f>IF(ISBLANK('ENGAGEMENTS 2026'!C2165),"",'ENGAGEMENTS 2026'!AF2165)</f>
        <v/>
      </c>
      <c r="I2165">
        <f>IF(ISBLANK('ENGAGEMENTS 2026'!C2165),"",'ENGAGEMENTS 2026'!H2165)</f>
        <v/>
      </c>
      <c r="J2165" s="275">
        <f>IF(ISBLANK('ENGAGEMENTS 2026'!C2165),"",IF(AND(OR($E2165="INFRUCTUEUX",$E2165="ANNULE"),$C2165="AOO-M"),'ENGAGEMENTS 2026'!P2165,IF($H2165="EN COURS DE PREENGAGEMENT",'ENGAGEMENTS 2026'!O2165,IF($H2165="PREENGAGE",IF($E2165="ATTRIBUE",'ENGAGEMENTS 2026'!AE2165,'ENGAGEMENTS 2026'!O2165),'ENGAGEMENTS 2026'!AE2165))))</f>
        <v/>
      </c>
      <c r="K2165" s="604">
        <f>IF(ISBLANK('ENGAGEMENTS 2026'!W2165),"",'ENGAGEMENTS 2026'!W2165)</f>
        <v/>
      </c>
      <c r="L2165" s="276">
        <f>IF($K2165="","",TODAY()-$K2165)</f>
        <v/>
      </c>
      <c r="M2165">
        <f>IF($A2165="","",IF($H2165="ENGAGE","Engagé",IF(AND($H2165="NON ENGAGE",OR($I2165="INFRUCTUEUX",$I2165="ANNULE")),"Clôturé sans suite","En cours")))</f>
        <v/>
      </c>
      <c r="N2165">
        <f>IF(ISBLANK('ENGAGEMENTS 2026'!C2165),"",'ENGAGEMENTS 2026'!L2165)</f>
        <v/>
      </c>
      <c r="O2165">
        <f>IF(ISBLANK('ENGAGEMENTS 2026'!C2165),"",'ENGAGEMENTS 2026'!M2165)</f>
        <v/>
      </c>
      <c r="P2165">
        <f>IF(ISBLANK('ENGAGEMENTS 2026'!C2165),"",'ENGAGEMENTS 2026'!K2165)</f>
        <v/>
      </c>
      <c r="Q2165">
        <f>IF($A2165="","",IF(OR($E2165="INFRUCTUEUX",$E2165="ANNULE"),$A2165&amp;"|"&amp;(COUNTIFS($A$2:$A2165,$A2165,$E$2:$E2165,"INFRUCTUEUX")+COUNTIFS($A$2:$A2165,$A2165,$E$2:$E2165,"ANNULE")),""))</f>
        <v/>
      </c>
    </row>
    <row r="2166">
      <c r="A2166">
        <f>IF(ISBLANK('ENGAGEMENTS 2026'!C2166),"",IF('ENGAGEMENTS 2026'!C2166="DTSI","DCT",'ENGAGEMENTS 2026'!C2166))</f>
        <v/>
      </c>
      <c r="B2166">
        <f>IF(ISBLANK('ENGAGEMENTS 2026'!C2166),"",'ENGAGEMENTS 2026'!D2166)</f>
        <v/>
      </c>
      <c r="C2166">
        <f>IF(ISBLANK('ENGAGEMENTS 2026'!C2166),"",'ENGAGEMENTS 2026'!E2166)</f>
        <v/>
      </c>
      <c r="D2166">
        <f>IF(ISBLANK('ENGAGEMENTS 2026'!C2166),"",'ENGAGEMENTS 2026'!G2166)</f>
        <v/>
      </c>
      <c r="E2166">
        <f>IF(ISBLANK('ENGAGEMENTS 2026'!C2166),"",'ENGAGEMENTS 2026'!I2166)</f>
        <v/>
      </c>
      <c r="F2166">
        <f>IF(ISBLANK('ENGAGEMENTS 2026'!C2166),"",'ENGAGEMENTS 2026'!J2166)</f>
        <v/>
      </c>
      <c r="G2166">
        <f>IF(ISBLANK('ENGAGEMENTS 2026'!C2166),"",'ENGAGEMENTS 2026'!M2166)</f>
        <v/>
      </c>
      <c r="H2166">
        <f>IF(ISBLANK('ENGAGEMENTS 2026'!C2166),"",'ENGAGEMENTS 2026'!AF2166)</f>
        <v/>
      </c>
      <c r="I2166">
        <f>IF(ISBLANK('ENGAGEMENTS 2026'!C2166),"",'ENGAGEMENTS 2026'!H2166)</f>
        <v/>
      </c>
      <c r="J2166" s="275">
        <f>IF(ISBLANK('ENGAGEMENTS 2026'!C2166),"",IF(AND(OR($E2166="INFRUCTUEUX",$E2166="ANNULE"),$C2166="AOO-M"),'ENGAGEMENTS 2026'!P2166,IF($H2166="EN COURS DE PREENGAGEMENT",'ENGAGEMENTS 2026'!O2166,IF($H2166="PREENGAGE",IF($E2166="ATTRIBUE",'ENGAGEMENTS 2026'!AE2166,'ENGAGEMENTS 2026'!O2166),'ENGAGEMENTS 2026'!AE2166))))</f>
        <v/>
      </c>
      <c r="K2166" s="604">
        <f>IF(ISBLANK('ENGAGEMENTS 2026'!W2166),"",'ENGAGEMENTS 2026'!W2166)</f>
        <v/>
      </c>
      <c r="L2166" s="276">
        <f>IF($K2166="","",TODAY()-$K2166)</f>
        <v/>
      </c>
      <c r="M2166">
        <f>IF($A2166="","",IF($H2166="ENGAGE","Engagé",IF(AND($H2166="NON ENGAGE",OR($I2166="INFRUCTUEUX",$I2166="ANNULE")),"Clôturé sans suite","En cours")))</f>
        <v/>
      </c>
      <c r="N2166">
        <f>IF(ISBLANK('ENGAGEMENTS 2026'!C2166),"",'ENGAGEMENTS 2026'!L2166)</f>
        <v/>
      </c>
      <c r="O2166">
        <f>IF(ISBLANK('ENGAGEMENTS 2026'!C2166),"",'ENGAGEMENTS 2026'!M2166)</f>
        <v/>
      </c>
      <c r="P2166">
        <f>IF(ISBLANK('ENGAGEMENTS 2026'!C2166),"",'ENGAGEMENTS 2026'!K2166)</f>
        <v/>
      </c>
      <c r="Q2166">
        <f>IF($A2166="","",IF(OR($E2166="INFRUCTUEUX",$E2166="ANNULE"),$A2166&amp;"|"&amp;(COUNTIFS($A$2:$A2166,$A2166,$E$2:$E2166,"INFRUCTUEUX")+COUNTIFS($A$2:$A2166,$A2166,$E$2:$E2166,"ANNULE")),""))</f>
        <v/>
      </c>
    </row>
    <row r="2167">
      <c r="A2167">
        <f>IF(ISBLANK('ENGAGEMENTS 2026'!C2167),"",IF('ENGAGEMENTS 2026'!C2167="DTSI","DCT",'ENGAGEMENTS 2026'!C2167))</f>
        <v/>
      </c>
      <c r="B2167">
        <f>IF(ISBLANK('ENGAGEMENTS 2026'!C2167),"",'ENGAGEMENTS 2026'!D2167)</f>
        <v/>
      </c>
      <c r="C2167">
        <f>IF(ISBLANK('ENGAGEMENTS 2026'!C2167),"",'ENGAGEMENTS 2026'!E2167)</f>
        <v/>
      </c>
      <c r="D2167">
        <f>IF(ISBLANK('ENGAGEMENTS 2026'!C2167),"",'ENGAGEMENTS 2026'!G2167)</f>
        <v/>
      </c>
      <c r="E2167">
        <f>IF(ISBLANK('ENGAGEMENTS 2026'!C2167),"",'ENGAGEMENTS 2026'!I2167)</f>
        <v/>
      </c>
      <c r="F2167">
        <f>IF(ISBLANK('ENGAGEMENTS 2026'!C2167),"",'ENGAGEMENTS 2026'!J2167)</f>
        <v/>
      </c>
      <c r="G2167">
        <f>IF(ISBLANK('ENGAGEMENTS 2026'!C2167),"",'ENGAGEMENTS 2026'!M2167)</f>
        <v/>
      </c>
      <c r="H2167">
        <f>IF(ISBLANK('ENGAGEMENTS 2026'!C2167),"",'ENGAGEMENTS 2026'!AF2167)</f>
        <v/>
      </c>
      <c r="I2167">
        <f>IF(ISBLANK('ENGAGEMENTS 2026'!C2167),"",'ENGAGEMENTS 2026'!H2167)</f>
        <v/>
      </c>
      <c r="J2167" s="275">
        <f>IF(ISBLANK('ENGAGEMENTS 2026'!C2167),"",IF(AND(OR($E2167="INFRUCTUEUX",$E2167="ANNULE"),$C2167="AOO-M"),'ENGAGEMENTS 2026'!P2167,IF($H2167="EN COURS DE PREENGAGEMENT",'ENGAGEMENTS 2026'!O2167,IF($H2167="PREENGAGE",IF($E2167="ATTRIBUE",'ENGAGEMENTS 2026'!AE2167,'ENGAGEMENTS 2026'!O2167),'ENGAGEMENTS 2026'!AE2167))))</f>
        <v/>
      </c>
      <c r="K2167" s="604">
        <f>IF(ISBLANK('ENGAGEMENTS 2026'!W2167),"",'ENGAGEMENTS 2026'!W2167)</f>
        <v/>
      </c>
      <c r="L2167" s="276">
        <f>IF($K2167="","",TODAY()-$K2167)</f>
        <v/>
      </c>
      <c r="M2167">
        <f>IF($A2167="","",IF($H2167="ENGAGE","Engagé",IF(AND($H2167="NON ENGAGE",OR($I2167="INFRUCTUEUX",$I2167="ANNULE")),"Clôturé sans suite","En cours")))</f>
        <v/>
      </c>
      <c r="N2167">
        <f>IF(ISBLANK('ENGAGEMENTS 2026'!C2167),"",'ENGAGEMENTS 2026'!L2167)</f>
        <v/>
      </c>
      <c r="O2167">
        <f>IF(ISBLANK('ENGAGEMENTS 2026'!C2167),"",'ENGAGEMENTS 2026'!M2167)</f>
        <v/>
      </c>
      <c r="P2167">
        <f>IF(ISBLANK('ENGAGEMENTS 2026'!C2167),"",'ENGAGEMENTS 2026'!K2167)</f>
        <v/>
      </c>
      <c r="Q2167">
        <f>IF($A2167="","",IF(OR($E2167="INFRUCTUEUX",$E2167="ANNULE"),$A2167&amp;"|"&amp;(COUNTIFS($A$2:$A2167,$A2167,$E$2:$E2167,"INFRUCTUEUX")+COUNTIFS($A$2:$A2167,$A2167,$E$2:$E2167,"ANNULE")),""))</f>
        <v/>
      </c>
    </row>
    <row r="2168">
      <c r="A2168">
        <f>IF(ISBLANK('ENGAGEMENTS 2026'!C2168),"",IF('ENGAGEMENTS 2026'!C2168="DTSI","DCT",'ENGAGEMENTS 2026'!C2168))</f>
        <v/>
      </c>
      <c r="B2168">
        <f>IF(ISBLANK('ENGAGEMENTS 2026'!C2168),"",'ENGAGEMENTS 2026'!D2168)</f>
        <v/>
      </c>
      <c r="C2168">
        <f>IF(ISBLANK('ENGAGEMENTS 2026'!C2168),"",'ENGAGEMENTS 2026'!E2168)</f>
        <v/>
      </c>
      <c r="D2168">
        <f>IF(ISBLANK('ENGAGEMENTS 2026'!C2168),"",'ENGAGEMENTS 2026'!G2168)</f>
        <v/>
      </c>
      <c r="E2168">
        <f>IF(ISBLANK('ENGAGEMENTS 2026'!C2168),"",'ENGAGEMENTS 2026'!I2168)</f>
        <v/>
      </c>
      <c r="F2168">
        <f>IF(ISBLANK('ENGAGEMENTS 2026'!C2168),"",'ENGAGEMENTS 2026'!J2168)</f>
        <v/>
      </c>
      <c r="G2168">
        <f>IF(ISBLANK('ENGAGEMENTS 2026'!C2168),"",'ENGAGEMENTS 2026'!M2168)</f>
        <v/>
      </c>
      <c r="H2168">
        <f>IF(ISBLANK('ENGAGEMENTS 2026'!C2168),"",'ENGAGEMENTS 2026'!AF2168)</f>
        <v/>
      </c>
      <c r="I2168">
        <f>IF(ISBLANK('ENGAGEMENTS 2026'!C2168),"",'ENGAGEMENTS 2026'!H2168)</f>
        <v/>
      </c>
      <c r="J2168" s="275">
        <f>IF(ISBLANK('ENGAGEMENTS 2026'!C2168),"",IF(AND(OR($E2168="INFRUCTUEUX",$E2168="ANNULE"),$C2168="AOO-M"),'ENGAGEMENTS 2026'!P2168,IF($H2168="EN COURS DE PREENGAGEMENT",'ENGAGEMENTS 2026'!O2168,IF($H2168="PREENGAGE",IF($E2168="ATTRIBUE",'ENGAGEMENTS 2026'!AE2168,'ENGAGEMENTS 2026'!O2168),'ENGAGEMENTS 2026'!AE2168))))</f>
        <v/>
      </c>
      <c r="K2168" s="604">
        <f>IF(ISBLANK('ENGAGEMENTS 2026'!W2168),"",'ENGAGEMENTS 2026'!W2168)</f>
        <v/>
      </c>
      <c r="L2168" s="276">
        <f>IF($K2168="","",TODAY()-$K2168)</f>
        <v/>
      </c>
      <c r="M2168">
        <f>IF($A2168="","",IF($H2168="ENGAGE","Engagé",IF(AND($H2168="NON ENGAGE",OR($I2168="INFRUCTUEUX",$I2168="ANNULE")),"Clôturé sans suite","En cours")))</f>
        <v/>
      </c>
      <c r="N2168">
        <f>IF(ISBLANK('ENGAGEMENTS 2026'!C2168),"",'ENGAGEMENTS 2026'!L2168)</f>
        <v/>
      </c>
      <c r="O2168">
        <f>IF(ISBLANK('ENGAGEMENTS 2026'!C2168),"",'ENGAGEMENTS 2026'!M2168)</f>
        <v/>
      </c>
      <c r="P2168">
        <f>IF(ISBLANK('ENGAGEMENTS 2026'!C2168),"",'ENGAGEMENTS 2026'!K2168)</f>
        <v/>
      </c>
      <c r="Q2168">
        <f>IF($A2168="","",IF(OR($E2168="INFRUCTUEUX",$E2168="ANNULE"),$A2168&amp;"|"&amp;(COUNTIFS($A$2:$A2168,$A2168,$E$2:$E2168,"INFRUCTUEUX")+COUNTIFS($A$2:$A2168,$A2168,$E$2:$E2168,"ANNULE")),""))</f>
        <v/>
      </c>
    </row>
    <row r="2169">
      <c r="A2169">
        <f>IF(ISBLANK('ENGAGEMENTS 2026'!C2169),"",IF('ENGAGEMENTS 2026'!C2169="DTSI","DCT",'ENGAGEMENTS 2026'!C2169))</f>
        <v/>
      </c>
      <c r="B2169">
        <f>IF(ISBLANK('ENGAGEMENTS 2026'!C2169),"",'ENGAGEMENTS 2026'!D2169)</f>
        <v/>
      </c>
      <c r="C2169">
        <f>IF(ISBLANK('ENGAGEMENTS 2026'!C2169),"",'ENGAGEMENTS 2026'!E2169)</f>
        <v/>
      </c>
      <c r="D2169">
        <f>IF(ISBLANK('ENGAGEMENTS 2026'!C2169),"",'ENGAGEMENTS 2026'!G2169)</f>
        <v/>
      </c>
      <c r="E2169">
        <f>IF(ISBLANK('ENGAGEMENTS 2026'!C2169),"",'ENGAGEMENTS 2026'!I2169)</f>
        <v/>
      </c>
      <c r="F2169">
        <f>IF(ISBLANK('ENGAGEMENTS 2026'!C2169),"",'ENGAGEMENTS 2026'!J2169)</f>
        <v/>
      </c>
      <c r="G2169">
        <f>IF(ISBLANK('ENGAGEMENTS 2026'!C2169),"",'ENGAGEMENTS 2026'!M2169)</f>
        <v/>
      </c>
      <c r="H2169">
        <f>IF(ISBLANK('ENGAGEMENTS 2026'!C2169),"",'ENGAGEMENTS 2026'!AF2169)</f>
        <v/>
      </c>
      <c r="I2169">
        <f>IF(ISBLANK('ENGAGEMENTS 2026'!C2169),"",'ENGAGEMENTS 2026'!H2169)</f>
        <v/>
      </c>
      <c r="J2169" s="275">
        <f>IF(ISBLANK('ENGAGEMENTS 2026'!C2169),"",IF(AND(OR($E2169="INFRUCTUEUX",$E2169="ANNULE"),$C2169="AOO-M"),'ENGAGEMENTS 2026'!P2169,IF($H2169="EN COURS DE PREENGAGEMENT",'ENGAGEMENTS 2026'!O2169,IF($H2169="PREENGAGE",IF($E2169="ATTRIBUE",'ENGAGEMENTS 2026'!AE2169,'ENGAGEMENTS 2026'!O2169),'ENGAGEMENTS 2026'!AE2169))))</f>
        <v/>
      </c>
      <c r="K2169" s="604">
        <f>IF(ISBLANK('ENGAGEMENTS 2026'!W2169),"",'ENGAGEMENTS 2026'!W2169)</f>
        <v/>
      </c>
      <c r="L2169" s="276">
        <f>IF($K2169="","",TODAY()-$K2169)</f>
        <v/>
      </c>
      <c r="M2169">
        <f>IF($A2169="","",IF($H2169="ENGAGE","Engagé",IF(AND($H2169="NON ENGAGE",OR($I2169="INFRUCTUEUX",$I2169="ANNULE")),"Clôturé sans suite","En cours")))</f>
        <v/>
      </c>
      <c r="N2169">
        <f>IF(ISBLANK('ENGAGEMENTS 2026'!C2169),"",'ENGAGEMENTS 2026'!L2169)</f>
        <v/>
      </c>
      <c r="O2169">
        <f>IF(ISBLANK('ENGAGEMENTS 2026'!C2169),"",'ENGAGEMENTS 2026'!M2169)</f>
        <v/>
      </c>
      <c r="P2169">
        <f>IF(ISBLANK('ENGAGEMENTS 2026'!C2169),"",'ENGAGEMENTS 2026'!K2169)</f>
        <v/>
      </c>
      <c r="Q2169">
        <f>IF($A2169="","",IF(OR($E2169="INFRUCTUEUX",$E2169="ANNULE"),$A2169&amp;"|"&amp;(COUNTIFS($A$2:$A2169,$A2169,$E$2:$E2169,"INFRUCTUEUX")+COUNTIFS($A$2:$A2169,$A2169,$E$2:$E2169,"ANNULE")),""))</f>
        <v/>
      </c>
    </row>
    <row r="2170">
      <c r="A2170">
        <f>IF(ISBLANK('ENGAGEMENTS 2026'!C2170),"",IF('ENGAGEMENTS 2026'!C2170="DTSI","DCT",'ENGAGEMENTS 2026'!C2170))</f>
        <v/>
      </c>
      <c r="B2170">
        <f>IF(ISBLANK('ENGAGEMENTS 2026'!C2170),"",'ENGAGEMENTS 2026'!D2170)</f>
        <v/>
      </c>
      <c r="C2170">
        <f>IF(ISBLANK('ENGAGEMENTS 2026'!C2170),"",'ENGAGEMENTS 2026'!E2170)</f>
        <v/>
      </c>
      <c r="D2170">
        <f>IF(ISBLANK('ENGAGEMENTS 2026'!C2170),"",'ENGAGEMENTS 2026'!G2170)</f>
        <v/>
      </c>
      <c r="E2170">
        <f>IF(ISBLANK('ENGAGEMENTS 2026'!C2170),"",'ENGAGEMENTS 2026'!I2170)</f>
        <v/>
      </c>
      <c r="F2170">
        <f>IF(ISBLANK('ENGAGEMENTS 2026'!C2170),"",'ENGAGEMENTS 2026'!J2170)</f>
        <v/>
      </c>
      <c r="G2170">
        <f>IF(ISBLANK('ENGAGEMENTS 2026'!C2170),"",'ENGAGEMENTS 2026'!M2170)</f>
        <v/>
      </c>
      <c r="H2170">
        <f>IF(ISBLANK('ENGAGEMENTS 2026'!C2170),"",'ENGAGEMENTS 2026'!AF2170)</f>
        <v/>
      </c>
      <c r="I2170">
        <f>IF(ISBLANK('ENGAGEMENTS 2026'!C2170),"",'ENGAGEMENTS 2026'!H2170)</f>
        <v/>
      </c>
      <c r="J2170" s="275">
        <f>IF(ISBLANK('ENGAGEMENTS 2026'!C2170),"",IF(AND(OR($E2170="INFRUCTUEUX",$E2170="ANNULE"),$C2170="AOO-M"),'ENGAGEMENTS 2026'!P2170,IF($H2170="EN COURS DE PREENGAGEMENT",'ENGAGEMENTS 2026'!O2170,IF($H2170="PREENGAGE",IF($E2170="ATTRIBUE",'ENGAGEMENTS 2026'!AE2170,'ENGAGEMENTS 2026'!O2170),'ENGAGEMENTS 2026'!AE2170))))</f>
        <v/>
      </c>
      <c r="K2170" s="604">
        <f>IF(ISBLANK('ENGAGEMENTS 2026'!W2170),"",'ENGAGEMENTS 2026'!W2170)</f>
        <v/>
      </c>
      <c r="L2170" s="276">
        <f>IF($K2170="","",TODAY()-$K2170)</f>
        <v/>
      </c>
      <c r="M2170">
        <f>IF($A2170="","",IF($H2170="ENGAGE","Engagé",IF(AND($H2170="NON ENGAGE",OR($I2170="INFRUCTUEUX",$I2170="ANNULE")),"Clôturé sans suite","En cours")))</f>
        <v/>
      </c>
      <c r="N2170">
        <f>IF(ISBLANK('ENGAGEMENTS 2026'!C2170),"",'ENGAGEMENTS 2026'!L2170)</f>
        <v/>
      </c>
      <c r="O2170">
        <f>IF(ISBLANK('ENGAGEMENTS 2026'!C2170),"",'ENGAGEMENTS 2026'!M2170)</f>
        <v/>
      </c>
      <c r="P2170">
        <f>IF(ISBLANK('ENGAGEMENTS 2026'!C2170),"",'ENGAGEMENTS 2026'!K2170)</f>
        <v/>
      </c>
      <c r="Q2170">
        <f>IF($A2170="","",IF(OR($E2170="INFRUCTUEUX",$E2170="ANNULE"),$A2170&amp;"|"&amp;(COUNTIFS($A$2:$A2170,$A2170,$E$2:$E2170,"INFRUCTUEUX")+COUNTIFS($A$2:$A2170,$A2170,$E$2:$E2170,"ANNULE")),""))</f>
        <v/>
      </c>
    </row>
    <row r="2171">
      <c r="A2171">
        <f>IF(ISBLANK('ENGAGEMENTS 2026'!C2171),"",IF('ENGAGEMENTS 2026'!C2171="DTSI","DCT",'ENGAGEMENTS 2026'!C2171))</f>
        <v/>
      </c>
      <c r="B2171">
        <f>IF(ISBLANK('ENGAGEMENTS 2026'!C2171),"",'ENGAGEMENTS 2026'!D2171)</f>
        <v/>
      </c>
      <c r="C2171">
        <f>IF(ISBLANK('ENGAGEMENTS 2026'!C2171),"",'ENGAGEMENTS 2026'!E2171)</f>
        <v/>
      </c>
      <c r="D2171">
        <f>IF(ISBLANK('ENGAGEMENTS 2026'!C2171),"",'ENGAGEMENTS 2026'!G2171)</f>
        <v/>
      </c>
      <c r="E2171">
        <f>IF(ISBLANK('ENGAGEMENTS 2026'!C2171),"",'ENGAGEMENTS 2026'!I2171)</f>
        <v/>
      </c>
      <c r="F2171">
        <f>IF(ISBLANK('ENGAGEMENTS 2026'!C2171),"",'ENGAGEMENTS 2026'!J2171)</f>
        <v/>
      </c>
      <c r="G2171">
        <f>IF(ISBLANK('ENGAGEMENTS 2026'!C2171),"",'ENGAGEMENTS 2026'!M2171)</f>
        <v/>
      </c>
      <c r="H2171">
        <f>IF(ISBLANK('ENGAGEMENTS 2026'!C2171),"",'ENGAGEMENTS 2026'!AF2171)</f>
        <v/>
      </c>
      <c r="I2171">
        <f>IF(ISBLANK('ENGAGEMENTS 2026'!C2171),"",'ENGAGEMENTS 2026'!H2171)</f>
        <v/>
      </c>
      <c r="J2171" s="275">
        <f>IF(ISBLANK('ENGAGEMENTS 2026'!C2171),"",IF(AND(OR($E2171="INFRUCTUEUX",$E2171="ANNULE"),$C2171="AOO-M"),'ENGAGEMENTS 2026'!P2171,IF($H2171="EN COURS DE PREENGAGEMENT",'ENGAGEMENTS 2026'!O2171,IF($H2171="PREENGAGE",IF($E2171="ATTRIBUE",'ENGAGEMENTS 2026'!AE2171,'ENGAGEMENTS 2026'!O2171),'ENGAGEMENTS 2026'!AE2171))))</f>
        <v/>
      </c>
      <c r="K2171" s="604">
        <f>IF(ISBLANK('ENGAGEMENTS 2026'!W2171),"",'ENGAGEMENTS 2026'!W2171)</f>
        <v/>
      </c>
      <c r="L2171" s="276">
        <f>IF($K2171="","",TODAY()-$K2171)</f>
        <v/>
      </c>
      <c r="M2171">
        <f>IF($A2171="","",IF($H2171="ENGAGE","Engagé",IF(AND($H2171="NON ENGAGE",OR($I2171="INFRUCTUEUX",$I2171="ANNULE")),"Clôturé sans suite","En cours")))</f>
        <v/>
      </c>
      <c r="N2171">
        <f>IF(ISBLANK('ENGAGEMENTS 2026'!C2171),"",'ENGAGEMENTS 2026'!L2171)</f>
        <v/>
      </c>
      <c r="O2171">
        <f>IF(ISBLANK('ENGAGEMENTS 2026'!C2171),"",'ENGAGEMENTS 2026'!M2171)</f>
        <v/>
      </c>
      <c r="P2171">
        <f>IF(ISBLANK('ENGAGEMENTS 2026'!C2171),"",'ENGAGEMENTS 2026'!K2171)</f>
        <v/>
      </c>
      <c r="Q2171">
        <f>IF($A2171="","",IF(OR($E2171="INFRUCTUEUX",$E2171="ANNULE"),$A2171&amp;"|"&amp;(COUNTIFS($A$2:$A2171,$A2171,$E$2:$E2171,"INFRUCTUEUX")+COUNTIFS($A$2:$A2171,$A2171,$E$2:$E2171,"ANNULE")),""))</f>
        <v/>
      </c>
    </row>
    <row r="2172">
      <c r="A2172">
        <f>IF(ISBLANK('ENGAGEMENTS 2026'!C2172),"",IF('ENGAGEMENTS 2026'!C2172="DTSI","DCT",'ENGAGEMENTS 2026'!C2172))</f>
        <v/>
      </c>
      <c r="B2172">
        <f>IF(ISBLANK('ENGAGEMENTS 2026'!C2172),"",'ENGAGEMENTS 2026'!D2172)</f>
        <v/>
      </c>
      <c r="C2172">
        <f>IF(ISBLANK('ENGAGEMENTS 2026'!C2172),"",'ENGAGEMENTS 2026'!E2172)</f>
        <v/>
      </c>
      <c r="D2172">
        <f>IF(ISBLANK('ENGAGEMENTS 2026'!C2172),"",'ENGAGEMENTS 2026'!G2172)</f>
        <v/>
      </c>
      <c r="E2172">
        <f>IF(ISBLANK('ENGAGEMENTS 2026'!C2172),"",'ENGAGEMENTS 2026'!I2172)</f>
        <v/>
      </c>
      <c r="F2172">
        <f>IF(ISBLANK('ENGAGEMENTS 2026'!C2172),"",'ENGAGEMENTS 2026'!J2172)</f>
        <v/>
      </c>
      <c r="G2172">
        <f>IF(ISBLANK('ENGAGEMENTS 2026'!C2172),"",'ENGAGEMENTS 2026'!M2172)</f>
        <v/>
      </c>
      <c r="H2172">
        <f>IF(ISBLANK('ENGAGEMENTS 2026'!C2172),"",'ENGAGEMENTS 2026'!AF2172)</f>
        <v/>
      </c>
      <c r="I2172">
        <f>IF(ISBLANK('ENGAGEMENTS 2026'!C2172),"",'ENGAGEMENTS 2026'!H2172)</f>
        <v/>
      </c>
      <c r="J2172" s="275">
        <f>IF(ISBLANK('ENGAGEMENTS 2026'!C2172),"",IF(AND(OR($E2172="INFRUCTUEUX",$E2172="ANNULE"),$C2172="AOO-M"),'ENGAGEMENTS 2026'!P2172,IF($H2172="EN COURS DE PREENGAGEMENT",'ENGAGEMENTS 2026'!O2172,IF($H2172="PREENGAGE",IF($E2172="ATTRIBUE",'ENGAGEMENTS 2026'!AE2172,'ENGAGEMENTS 2026'!O2172),'ENGAGEMENTS 2026'!AE2172))))</f>
        <v/>
      </c>
      <c r="K2172" s="604">
        <f>IF(ISBLANK('ENGAGEMENTS 2026'!W2172),"",'ENGAGEMENTS 2026'!W2172)</f>
        <v/>
      </c>
      <c r="L2172" s="276">
        <f>IF($K2172="","",TODAY()-$K2172)</f>
        <v/>
      </c>
      <c r="M2172">
        <f>IF($A2172="","",IF($H2172="ENGAGE","Engagé",IF(AND($H2172="NON ENGAGE",OR($I2172="INFRUCTUEUX",$I2172="ANNULE")),"Clôturé sans suite","En cours")))</f>
        <v/>
      </c>
      <c r="N2172">
        <f>IF(ISBLANK('ENGAGEMENTS 2026'!C2172),"",'ENGAGEMENTS 2026'!L2172)</f>
        <v/>
      </c>
      <c r="O2172">
        <f>IF(ISBLANK('ENGAGEMENTS 2026'!C2172),"",'ENGAGEMENTS 2026'!M2172)</f>
        <v/>
      </c>
      <c r="P2172">
        <f>IF(ISBLANK('ENGAGEMENTS 2026'!C2172),"",'ENGAGEMENTS 2026'!K2172)</f>
        <v/>
      </c>
      <c r="Q2172">
        <f>IF($A2172="","",IF(OR($E2172="INFRUCTUEUX",$E2172="ANNULE"),$A2172&amp;"|"&amp;(COUNTIFS($A$2:$A2172,$A2172,$E$2:$E2172,"INFRUCTUEUX")+COUNTIFS($A$2:$A2172,$A2172,$E$2:$E2172,"ANNULE")),""))</f>
        <v/>
      </c>
    </row>
    <row r="2173">
      <c r="A2173">
        <f>IF(ISBLANK('ENGAGEMENTS 2026'!C2173),"",IF('ENGAGEMENTS 2026'!C2173="DTSI","DCT",'ENGAGEMENTS 2026'!C2173))</f>
        <v/>
      </c>
      <c r="B2173">
        <f>IF(ISBLANK('ENGAGEMENTS 2026'!C2173),"",'ENGAGEMENTS 2026'!D2173)</f>
        <v/>
      </c>
      <c r="C2173">
        <f>IF(ISBLANK('ENGAGEMENTS 2026'!C2173),"",'ENGAGEMENTS 2026'!E2173)</f>
        <v/>
      </c>
      <c r="D2173">
        <f>IF(ISBLANK('ENGAGEMENTS 2026'!C2173),"",'ENGAGEMENTS 2026'!G2173)</f>
        <v/>
      </c>
      <c r="E2173">
        <f>IF(ISBLANK('ENGAGEMENTS 2026'!C2173),"",'ENGAGEMENTS 2026'!I2173)</f>
        <v/>
      </c>
      <c r="F2173">
        <f>IF(ISBLANK('ENGAGEMENTS 2026'!C2173),"",'ENGAGEMENTS 2026'!J2173)</f>
        <v/>
      </c>
      <c r="G2173">
        <f>IF(ISBLANK('ENGAGEMENTS 2026'!C2173),"",'ENGAGEMENTS 2026'!M2173)</f>
        <v/>
      </c>
      <c r="H2173">
        <f>IF(ISBLANK('ENGAGEMENTS 2026'!C2173),"",'ENGAGEMENTS 2026'!AF2173)</f>
        <v/>
      </c>
      <c r="I2173">
        <f>IF(ISBLANK('ENGAGEMENTS 2026'!C2173),"",'ENGAGEMENTS 2026'!H2173)</f>
        <v/>
      </c>
      <c r="J2173" s="275">
        <f>IF(ISBLANK('ENGAGEMENTS 2026'!C2173),"",IF(AND(OR($E2173="INFRUCTUEUX",$E2173="ANNULE"),$C2173="AOO-M"),'ENGAGEMENTS 2026'!P2173,IF($H2173="EN COURS DE PREENGAGEMENT",'ENGAGEMENTS 2026'!O2173,IF($H2173="PREENGAGE",IF($E2173="ATTRIBUE",'ENGAGEMENTS 2026'!AE2173,'ENGAGEMENTS 2026'!O2173),'ENGAGEMENTS 2026'!AE2173))))</f>
        <v/>
      </c>
      <c r="K2173" s="604">
        <f>IF(ISBLANK('ENGAGEMENTS 2026'!W2173),"",'ENGAGEMENTS 2026'!W2173)</f>
        <v/>
      </c>
      <c r="L2173" s="276">
        <f>IF($K2173="","",TODAY()-$K2173)</f>
        <v/>
      </c>
      <c r="M2173">
        <f>IF($A2173="","",IF($H2173="ENGAGE","Engagé",IF(AND($H2173="NON ENGAGE",OR($I2173="INFRUCTUEUX",$I2173="ANNULE")),"Clôturé sans suite","En cours")))</f>
        <v/>
      </c>
      <c r="N2173">
        <f>IF(ISBLANK('ENGAGEMENTS 2026'!C2173),"",'ENGAGEMENTS 2026'!L2173)</f>
        <v/>
      </c>
      <c r="O2173">
        <f>IF(ISBLANK('ENGAGEMENTS 2026'!C2173),"",'ENGAGEMENTS 2026'!M2173)</f>
        <v/>
      </c>
      <c r="P2173">
        <f>IF(ISBLANK('ENGAGEMENTS 2026'!C2173),"",'ENGAGEMENTS 2026'!K2173)</f>
        <v/>
      </c>
      <c r="Q2173">
        <f>IF($A2173="","",IF(OR($E2173="INFRUCTUEUX",$E2173="ANNULE"),$A2173&amp;"|"&amp;(COUNTIFS($A$2:$A2173,$A2173,$E$2:$E2173,"INFRUCTUEUX")+COUNTIFS($A$2:$A2173,$A2173,$E$2:$E2173,"ANNULE")),""))</f>
        <v/>
      </c>
    </row>
    <row r="2174">
      <c r="A2174">
        <f>IF(ISBLANK('ENGAGEMENTS 2026'!C2174),"",IF('ENGAGEMENTS 2026'!C2174="DTSI","DCT",'ENGAGEMENTS 2026'!C2174))</f>
        <v/>
      </c>
      <c r="B2174">
        <f>IF(ISBLANK('ENGAGEMENTS 2026'!C2174),"",'ENGAGEMENTS 2026'!D2174)</f>
        <v/>
      </c>
      <c r="C2174">
        <f>IF(ISBLANK('ENGAGEMENTS 2026'!C2174),"",'ENGAGEMENTS 2026'!E2174)</f>
        <v/>
      </c>
      <c r="D2174">
        <f>IF(ISBLANK('ENGAGEMENTS 2026'!C2174),"",'ENGAGEMENTS 2026'!G2174)</f>
        <v/>
      </c>
      <c r="E2174">
        <f>IF(ISBLANK('ENGAGEMENTS 2026'!C2174),"",'ENGAGEMENTS 2026'!I2174)</f>
        <v/>
      </c>
      <c r="F2174">
        <f>IF(ISBLANK('ENGAGEMENTS 2026'!C2174),"",'ENGAGEMENTS 2026'!J2174)</f>
        <v/>
      </c>
      <c r="G2174">
        <f>IF(ISBLANK('ENGAGEMENTS 2026'!C2174),"",'ENGAGEMENTS 2026'!M2174)</f>
        <v/>
      </c>
      <c r="H2174">
        <f>IF(ISBLANK('ENGAGEMENTS 2026'!C2174),"",'ENGAGEMENTS 2026'!AF2174)</f>
        <v/>
      </c>
      <c r="I2174">
        <f>IF(ISBLANK('ENGAGEMENTS 2026'!C2174),"",'ENGAGEMENTS 2026'!H2174)</f>
        <v/>
      </c>
      <c r="J2174" s="275">
        <f>IF(ISBLANK('ENGAGEMENTS 2026'!C2174),"",IF(AND(OR($E2174="INFRUCTUEUX",$E2174="ANNULE"),$C2174="AOO-M"),'ENGAGEMENTS 2026'!P2174,IF($H2174="EN COURS DE PREENGAGEMENT",'ENGAGEMENTS 2026'!O2174,IF($H2174="PREENGAGE",IF($E2174="ATTRIBUE",'ENGAGEMENTS 2026'!AE2174,'ENGAGEMENTS 2026'!O2174),'ENGAGEMENTS 2026'!AE2174))))</f>
        <v/>
      </c>
      <c r="K2174" s="604">
        <f>IF(ISBLANK('ENGAGEMENTS 2026'!W2174),"",'ENGAGEMENTS 2026'!W2174)</f>
        <v/>
      </c>
      <c r="L2174" s="276">
        <f>IF($K2174="","",TODAY()-$K2174)</f>
        <v/>
      </c>
      <c r="M2174">
        <f>IF($A2174="","",IF($H2174="ENGAGE","Engagé",IF(AND($H2174="NON ENGAGE",OR($I2174="INFRUCTUEUX",$I2174="ANNULE")),"Clôturé sans suite","En cours")))</f>
        <v/>
      </c>
      <c r="N2174">
        <f>IF(ISBLANK('ENGAGEMENTS 2026'!C2174),"",'ENGAGEMENTS 2026'!L2174)</f>
        <v/>
      </c>
      <c r="O2174">
        <f>IF(ISBLANK('ENGAGEMENTS 2026'!C2174),"",'ENGAGEMENTS 2026'!M2174)</f>
        <v/>
      </c>
      <c r="P2174">
        <f>IF(ISBLANK('ENGAGEMENTS 2026'!C2174),"",'ENGAGEMENTS 2026'!K2174)</f>
        <v/>
      </c>
      <c r="Q2174">
        <f>IF($A2174="","",IF(OR($E2174="INFRUCTUEUX",$E2174="ANNULE"),$A2174&amp;"|"&amp;(COUNTIFS($A$2:$A2174,$A2174,$E$2:$E2174,"INFRUCTUEUX")+COUNTIFS($A$2:$A2174,$A2174,$E$2:$E2174,"ANNULE")),""))</f>
        <v/>
      </c>
    </row>
    <row r="2175">
      <c r="A2175">
        <f>IF(ISBLANK('ENGAGEMENTS 2026'!C2175),"",IF('ENGAGEMENTS 2026'!C2175="DTSI","DCT",'ENGAGEMENTS 2026'!C2175))</f>
        <v/>
      </c>
      <c r="B2175">
        <f>IF(ISBLANK('ENGAGEMENTS 2026'!C2175),"",'ENGAGEMENTS 2026'!D2175)</f>
        <v/>
      </c>
      <c r="C2175">
        <f>IF(ISBLANK('ENGAGEMENTS 2026'!C2175),"",'ENGAGEMENTS 2026'!E2175)</f>
        <v/>
      </c>
      <c r="D2175">
        <f>IF(ISBLANK('ENGAGEMENTS 2026'!C2175),"",'ENGAGEMENTS 2026'!G2175)</f>
        <v/>
      </c>
      <c r="E2175">
        <f>IF(ISBLANK('ENGAGEMENTS 2026'!C2175),"",'ENGAGEMENTS 2026'!I2175)</f>
        <v/>
      </c>
      <c r="F2175">
        <f>IF(ISBLANK('ENGAGEMENTS 2026'!C2175),"",'ENGAGEMENTS 2026'!J2175)</f>
        <v/>
      </c>
      <c r="G2175">
        <f>IF(ISBLANK('ENGAGEMENTS 2026'!C2175),"",'ENGAGEMENTS 2026'!M2175)</f>
        <v/>
      </c>
      <c r="H2175">
        <f>IF(ISBLANK('ENGAGEMENTS 2026'!C2175),"",'ENGAGEMENTS 2026'!AF2175)</f>
        <v/>
      </c>
      <c r="I2175">
        <f>IF(ISBLANK('ENGAGEMENTS 2026'!C2175),"",'ENGAGEMENTS 2026'!H2175)</f>
        <v/>
      </c>
      <c r="J2175" s="275">
        <f>IF(ISBLANK('ENGAGEMENTS 2026'!C2175),"",IF(AND(OR($E2175="INFRUCTUEUX",$E2175="ANNULE"),$C2175="AOO-M"),'ENGAGEMENTS 2026'!P2175,IF($H2175="EN COURS DE PREENGAGEMENT",'ENGAGEMENTS 2026'!O2175,IF($H2175="PREENGAGE",IF($E2175="ATTRIBUE",'ENGAGEMENTS 2026'!AE2175,'ENGAGEMENTS 2026'!O2175),'ENGAGEMENTS 2026'!AE2175))))</f>
        <v/>
      </c>
      <c r="K2175" s="604">
        <f>IF(ISBLANK('ENGAGEMENTS 2026'!W2175),"",'ENGAGEMENTS 2026'!W2175)</f>
        <v/>
      </c>
      <c r="L2175" s="276">
        <f>IF($K2175="","",TODAY()-$K2175)</f>
        <v/>
      </c>
      <c r="M2175">
        <f>IF($A2175="","",IF($H2175="ENGAGE","Engagé",IF(AND($H2175="NON ENGAGE",OR($I2175="INFRUCTUEUX",$I2175="ANNULE")),"Clôturé sans suite","En cours")))</f>
        <v/>
      </c>
      <c r="N2175">
        <f>IF(ISBLANK('ENGAGEMENTS 2026'!C2175),"",'ENGAGEMENTS 2026'!L2175)</f>
        <v/>
      </c>
      <c r="O2175">
        <f>IF(ISBLANK('ENGAGEMENTS 2026'!C2175),"",'ENGAGEMENTS 2026'!M2175)</f>
        <v/>
      </c>
      <c r="P2175">
        <f>IF(ISBLANK('ENGAGEMENTS 2026'!C2175),"",'ENGAGEMENTS 2026'!K2175)</f>
        <v/>
      </c>
      <c r="Q2175">
        <f>IF($A2175="","",IF(OR($E2175="INFRUCTUEUX",$E2175="ANNULE"),$A2175&amp;"|"&amp;(COUNTIFS($A$2:$A2175,$A2175,$E$2:$E2175,"INFRUCTUEUX")+COUNTIFS($A$2:$A2175,$A2175,$E$2:$E2175,"ANNULE")),""))</f>
        <v/>
      </c>
    </row>
    <row r="2176">
      <c r="A2176">
        <f>IF(ISBLANK('ENGAGEMENTS 2026'!C2176),"",IF('ENGAGEMENTS 2026'!C2176="DTSI","DCT",'ENGAGEMENTS 2026'!C2176))</f>
        <v/>
      </c>
      <c r="B2176">
        <f>IF(ISBLANK('ENGAGEMENTS 2026'!C2176),"",'ENGAGEMENTS 2026'!D2176)</f>
        <v/>
      </c>
      <c r="C2176">
        <f>IF(ISBLANK('ENGAGEMENTS 2026'!C2176),"",'ENGAGEMENTS 2026'!E2176)</f>
        <v/>
      </c>
      <c r="D2176">
        <f>IF(ISBLANK('ENGAGEMENTS 2026'!C2176),"",'ENGAGEMENTS 2026'!G2176)</f>
        <v/>
      </c>
      <c r="E2176">
        <f>IF(ISBLANK('ENGAGEMENTS 2026'!C2176),"",'ENGAGEMENTS 2026'!I2176)</f>
        <v/>
      </c>
      <c r="F2176">
        <f>IF(ISBLANK('ENGAGEMENTS 2026'!C2176),"",'ENGAGEMENTS 2026'!J2176)</f>
        <v/>
      </c>
      <c r="G2176">
        <f>IF(ISBLANK('ENGAGEMENTS 2026'!C2176),"",'ENGAGEMENTS 2026'!M2176)</f>
        <v/>
      </c>
      <c r="H2176">
        <f>IF(ISBLANK('ENGAGEMENTS 2026'!C2176),"",'ENGAGEMENTS 2026'!AF2176)</f>
        <v/>
      </c>
      <c r="I2176">
        <f>IF(ISBLANK('ENGAGEMENTS 2026'!C2176),"",'ENGAGEMENTS 2026'!H2176)</f>
        <v/>
      </c>
      <c r="J2176" s="275">
        <f>IF(ISBLANK('ENGAGEMENTS 2026'!C2176),"",IF(AND(OR($E2176="INFRUCTUEUX",$E2176="ANNULE"),$C2176="AOO-M"),'ENGAGEMENTS 2026'!P2176,IF($H2176="EN COURS DE PREENGAGEMENT",'ENGAGEMENTS 2026'!O2176,IF($H2176="PREENGAGE",IF($E2176="ATTRIBUE",'ENGAGEMENTS 2026'!AE2176,'ENGAGEMENTS 2026'!O2176),'ENGAGEMENTS 2026'!AE2176))))</f>
        <v/>
      </c>
      <c r="K2176" s="604">
        <f>IF(ISBLANK('ENGAGEMENTS 2026'!W2176),"",'ENGAGEMENTS 2026'!W2176)</f>
        <v/>
      </c>
      <c r="L2176" s="276">
        <f>IF($K2176="","",TODAY()-$K2176)</f>
        <v/>
      </c>
      <c r="M2176">
        <f>IF($A2176="","",IF($H2176="ENGAGE","Engagé",IF(AND($H2176="NON ENGAGE",OR($I2176="INFRUCTUEUX",$I2176="ANNULE")),"Clôturé sans suite","En cours")))</f>
        <v/>
      </c>
      <c r="N2176">
        <f>IF(ISBLANK('ENGAGEMENTS 2026'!C2176),"",'ENGAGEMENTS 2026'!L2176)</f>
        <v/>
      </c>
      <c r="O2176">
        <f>IF(ISBLANK('ENGAGEMENTS 2026'!C2176),"",'ENGAGEMENTS 2026'!M2176)</f>
        <v/>
      </c>
      <c r="P2176">
        <f>IF(ISBLANK('ENGAGEMENTS 2026'!C2176),"",'ENGAGEMENTS 2026'!K2176)</f>
        <v/>
      </c>
      <c r="Q2176">
        <f>IF($A2176="","",IF(OR($E2176="INFRUCTUEUX",$E2176="ANNULE"),$A2176&amp;"|"&amp;(COUNTIFS($A$2:$A2176,$A2176,$E$2:$E2176,"INFRUCTUEUX")+COUNTIFS($A$2:$A2176,$A2176,$E$2:$E2176,"ANNULE")),""))</f>
        <v/>
      </c>
    </row>
    <row r="2177">
      <c r="A2177">
        <f>IF(ISBLANK('ENGAGEMENTS 2026'!C2177),"",IF('ENGAGEMENTS 2026'!C2177="DTSI","DCT",'ENGAGEMENTS 2026'!C2177))</f>
        <v/>
      </c>
      <c r="B2177">
        <f>IF(ISBLANK('ENGAGEMENTS 2026'!C2177),"",'ENGAGEMENTS 2026'!D2177)</f>
        <v/>
      </c>
      <c r="C2177">
        <f>IF(ISBLANK('ENGAGEMENTS 2026'!C2177),"",'ENGAGEMENTS 2026'!E2177)</f>
        <v/>
      </c>
      <c r="D2177">
        <f>IF(ISBLANK('ENGAGEMENTS 2026'!C2177),"",'ENGAGEMENTS 2026'!G2177)</f>
        <v/>
      </c>
      <c r="E2177">
        <f>IF(ISBLANK('ENGAGEMENTS 2026'!C2177),"",'ENGAGEMENTS 2026'!I2177)</f>
        <v/>
      </c>
      <c r="F2177">
        <f>IF(ISBLANK('ENGAGEMENTS 2026'!C2177),"",'ENGAGEMENTS 2026'!J2177)</f>
        <v/>
      </c>
      <c r="G2177">
        <f>IF(ISBLANK('ENGAGEMENTS 2026'!C2177),"",'ENGAGEMENTS 2026'!M2177)</f>
        <v/>
      </c>
      <c r="H2177">
        <f>IF(ISBLANK('ENGAGEMENTS 2026'!C2177),"",'ENGAGEMENTS 2026'!AF2177)</f>
        <v/>
      </c>
      <c r="I2177">
        <f>IF(ISBLANK('ENGAGEMENTS 2026'!C2177),"",'ENGAGEMENTS 2026'!H2177)</f>
        <v/>
      </c>
      <c r="J2177" s="275">
        <f>IF(ISBLANK('ENGAGEMENTS 2026'!C2177),"",IF(AND(OR($E2177="INFRUCTUEUX",$E2177="ANNULE"),$C2177="AOO-M"),'ENGAGEMENTS 2026'!P2177,IF($H2177="EN COURS DE PREENGAGEMENT",'ENGAGEMENTS 2026'!O2177,IF($H2177="PREENGAGE",IF($E2177="ATTRIBUE",'ENGAGEMENTS 2026'!AE2177,'ENGAGEMENTS 2026'!O2177),'ENGAGEMENTS 2026'!AE2177))))</f>
        <v/>
      </c>
      <c r="K2177" s="604">
        <f>IF(ISBLANK('ENGAGEMENTS 2026'!W2177),"",'ENGAGEMENTS 2026'!W2177)</f>
        <v/>
      </c>
      <c r="L2177" s="276">
        <f>IF($K2177="","",TODAY()-$K2177)</f>
        <v/>
      </c>
      <c r="M2177">
        <f>IF($A2177="","",IF($H2177="ENGAGE","Engagé",IF(AND($H2177="NON ENGAGE",OR($I2177="INFRUCTUEUX",$I2177="ANNULE")),"Clôturé sans suite","En cours")))</f>
        <v/>
      </c>
      <c r="N2177">
        <f>IF(ISBLANK('ENGAGEMENTS 2026'!C2177),"",'ENGAGEMENTS 2026'!L2177)</f>
        <v/>
      </c>
      <c r="O2177">
        <f>IF(ISBLANK('ENGAGEMENTS 2026'!C2177),"",'ENGAGEMENTS 2026'!M2177)</f>
        <v/>
      </c>
      <c r="P2177">
        <f>IF(ISBLANK('ENGAGEMENTS 2026'!C2177),"",'ENGAGEMENTS 2026'!K2177)</f>
        <v/>
      </c>
      <c r="Q2177">
        <f>IF($A2177="","",IF(OR($E2177="INFRUCTUEUX",$E2177="ANNULE"),$A2177&amp;"|"&amp;(COUNTIFS($A$2:$A2177,$A2177,$E$2:$E2177,"INFRUCTUEUX")+COUNTIFS($A$2:$A2177,$A2177,$E$2:$E2177,"ANNULE")),""))</f>
        <v/>
      </c>
    </row>
    <row r="2178">
      <c r="A2178">
        <f>IF(ISBLANK('ENGAGEMENTS 2026'!C2178),"",IF('ENGAGEMENTS 2026'!C2178="DTSI","DCT",'ENGAGEMENTS 2026'!C2178))</f>
        <v/>
      </c>
      <c r="B2178">
        <f>IF(ISBLANK('ENGAGEMENTS 2026'!C2178),"",'ENGAGEMENTS 2026'!D2178)</f>
        <v/>
      </c>
      <c r="C2178">
        <f>IF(ISBLANK('ENGAGEMENTS 2026'!C2178),"",'ENGAGEMENTS 2026'!E2178)</f>
        <v/>
      </c>
      <c r="D2178">
        <f>IF(ISBLANK('ENGAGEMENTS 2026'!C2178),"",'ENGAGEMENTS 2026'!G2178)</f>
        <v/>
      </c>
      <c r="E2178">
        <f>IF(ISBLANK('ENGAGEMENTS 2026'!C2178),"",'ENGAGEMENTS 2026'!I2178)</f>
        <v/>
      </c>
      <c r="F2178">
        <f>IF(ISBLANK('ENGAGEMENTS 2026'!C2178),"",'ENGAGEMENTS 2026'!J2178)</f>
        <v/>
      </c>
      <c r="G2178">
        <f>IF(ISBLANK('ENGAGEMENTS 2026'!C2178),"",'ENGAGEMENTS 2026'!M2178)</f>
        <v/>
      </c>
      <c r="H2178">
        <f>IF(ISBLANK('ENGAGEMENTS 2026'!C2178),"",'ENGAGEMENTS 2026'!AF2178)</f>
        <v/>
      </c>
      <c r="I2178">
        <f>IF(ISBLANK('ENGAGEMENTS 2026'!C2178),"",'ENGAGEMENTS 2026'!H2178)</f>
        <v/>
      </c>
      <c r="J2178" s="275">
        <f>IF(ISBLANK('ENGAGEMENTS 2026'!C2178),"",IF(AND(OR($E2178="INFRUCTUEUX",$E2178="ANNULE"),$C2178="AOO-M"),'ENGAGEMENTS 2026'!P2178,IF($H2178="EN COURS DE PREENGAGEMENT",'ENGAGEMENTS 2026'!O2178,IF($H2178="PREENGAGE",IF($E2178="ATTRIBUE",'ENGAGEMENTS 2026'!AE2178,'ENGAGEMENTS 2026'!O2178),'ENGAGEMENTS 2026'!AE2178))))</f>
        <v/>
      </c>
      <c r="K2178" s="604">
        <f>IF(ISBLANK('ENGAGEMENTS 2026'!W2178),"",'ENGAGEMENTS 2026'!W2178)</f>
        <v/>
      </c>
      <c r="L2178" s="276">
        <f>IF($K2178="","",TODAY()-$K2178)</f>
        <v/>
      </c>
      <c r="M2178">
        <f>IF($A2178="","",IF($H2178="ENGAGE","Engagé",IF(AND($H2178="NON ENGAGE",OR($I2178="INFRUCTUEUX",$I2178="ANNULE")),"Clôturé sans suite","En cours")))</f>
        <v/>
      </c>
      <c r="N2178">
        <f>IF(ISBLANK('ENGAGEMENTS 2026'!C2178),"",'ENGAGEMENTS 2026'!L2178)</f>
        <v/>
      </c>
      <c r="O2178">
        <f>IF(ISBLANK('ENGAGEMENTS 2026'!C2178),"",'ENGAGEMENTS 2026'!M2178)</f>
        <v/>
      </c>
      <c r="P2178">
        <f>IF(ISBLANK('ENGAGEMENTS 2026'!C2178),"",'ENGAGEMENTS 2026'!K2178)</f>
        <v/>
      </c>
      <c r="Q2178">
        <f>IF($A2178="","",IF(OR($E2178="INFRUCTUEUX",$E2178="ANNULE"),$A2178&amp;"|"&amp;(COUNTIFS($A$2:$A2178,$A2178,$E$2:$E2178,"INFRUCTUEUX")+COUNTIFS($A$2:$A2178,$A2178,$E$2:$E2178,"ANNULE")),""))</f>
        <v/>
      </c>
    </row>
    <row r="2179">
      <c r="A2179">
        <f>IF(ISBLANK('ENGAGEMENTS 2026'!C2179),"",IF('ENGAGEMENTS 2026'!C2179="DTSI","DCT",'ENGAGEMENTS 2026'!C2179))</f>
        <v/>
      </c>
      <c r="B2179">
        <f>IF(ISBLANK('ENGAGEMENTS 2026'!C2179),"",'ENGAGEMENTS 2026'!D2179)</f>
        <v/>
      </c>
      <c r="C2179">
        <f>IF(ISBLANK('ENGAGEMENTS 2026'!C2179),"",'ENGAGEMENTS 2026'!E2179)</f>
        <v/>
      </c>
      <c r="D2179">
        <f>IF(ISBLANK('ENGAGEMENTS 2026'!C2179),"",'ENGAGEMENTS 2026'!G2179)</f>
        <v/>
      </c>
      <c r="E2179">
        <f>IF(ISBLANK('ENGAGEMENTS 2026'!C2179),"",'ENGAGEMENTS 2026'!I2179)</f>
        <v/>
      </c>
      <c r="F2179">
        <f>IF(ISBLANK('ENGAGEMENTS 2026'!C2179),"",'ENGAGEMENTS 2026'!J2179)</f>
        <v/>
      </c>
      <c r="G2179">
        <f>IF(ISBLANK('ENGAGEMENTS 2026'!C2179),"",'ENGAGEMENTS 2026'!M2179)</f>
        <v/>
      </c>
      <c r="H2179">
        <f>IF(ISBLANK('ENGAGEMENTS 2026'!C2179),"",'ENGAGEMENTS 2026'!AF2179)</f>
        <v/>
      </c>
      <c r="I2179">
        <f>IF(ISBLANK('ENGAGEMENTS 2026'!C2179),"",'ENGAGEMENTS 2026'!H2179)</f>
        <v/>
      </c>
      <c r="J2179" s="275">
        <f>IF(ISBLANK('ENGAGEMENTS 2026'!C2179),"",IF(AND(OR($E2179="INFRUCTUEUX",$E2179="ANNULE"),$C2179="AOO-M"),'ENGAGEMENTS 2026'!P2179,IF($H2179="EN COURS DE PREENGAGEMENT",'ENGAGEMENTS 2026'!O2179,IF($H2179="PREENGAGE",IF($E2179="ATTRIBUE",'ENGAGEMENTS 2026'!AE2179,'ENGAGEMENTS 2026'!O2179),'ENGAGEMENTS 2026'!AE2179))))</f>
        <v/>
      </c>
      <c r="K2179" s="604">
        <f>IF(ISBLANK('ENGAGEMENTS 2026'!W2179),"",'ENGAGEMENTS 2026'!W2179)</f>
        <v/>
      </c>
      <c r="L2179" s="276">
        <f>IF($K2179="","",TODAY()-$K2179)</f>
        <v/>
      </c>
      <c r="M2179">
        <f>IF($A2179="","",IF($H2179="ENGAGE","Engagé",IF(AND($H2179="NON ENGAGE",OR($I2179="INFRUCTUEUX",$I2179="ANNULE")),"Clôturé sans suite","En cours")))</f>
        <v/>
      </c>
      <c r="N2179">
        <f>IF(ISBLANK('ENGAGEMENTS 2026'!C2179),"",'ENGAGEMENTS 2026'!L2179)</f>
        <v/>
      </c>
      <c r="O2179">
        <f>IF(ISBLANK('ENGAGEMENTS 2026'!C2179),"",'ENGAGEMENTS 2026'!M2179)</f>
        <v/>
      </c>
      <c r="P2179">
        <f>IF(ISBLANK('ENGAGEMENTS 2026'!C2179),"",'ENGAGEMENTS 2026'!K2179)</f>
        <v/>
      </c>
      <c r="Q2179">
        <f>IF($A2179="","",IF(OR($E2179="INFRUCTUEUX",$E2179="ANNULE"),$A2179&amp;"|"&amp;(COUNTIFS($A$2:$A2179,$A2179,$E$2:$E2179,"INFRUCTUEUX")+COUNTIFS($A$2:$A2179,$A2179,$E$2:$E2179,"ANNULE")),""))</f>
        <v/>
      </c>
    </row>
    <row r="2180">
      <c r="A2180">
        <f>IF(ISBLANK('ENGAGEMENTS 2026'!C2180),"",IF('ENGAGEMENTS 2026'!C2180="DTSI","DCT",'ENGAGEMENTS 2026'!C2180))</f>
        <v/>
      </c>
      <c r="B2180">
        <f>IF(ISBLANK('ENGAGEMENTS 2026'!C2180),"",'ENGAGEMENTS 2026'!D2180)</f>
        <v/>
      </c>
      <c r="C2180">
        <f>IF(ISBLANK('ENGAGEMENTS 2026'!C2180),"",'ENGAGEMENTS 2026'!E2180)</f>
        <v/>
      </c>
      <c r="D2180">
        <f>IF(ISBLANK('ENGAGEMENTS 2026'!C2180),"",'ENGAGEMENTS 2026'!G2180)</f>
        <v/>
      </c>
      <c r="E2180">
        <f>IF(ISBLANK('ENGAGEMENTS 2026'!C2180),"",'ENGAGEMENTS 2026'!I2180)</f>
        <v/>
      </c>
      <c r="F2180">
        <f>IF(ISBLANK('ENGAGEMENTS 2026'!C2180),"",'ENGAGEMENTS 2026'!J2180)</f>
        <v/>
      </c>
      <c r="G2180">
        <f>IF(ISBLANK('ENGAGEMENTS 2026'!C2180),"",'ENGAGEMENTS 2026'!M2180)</f>
        <v/>
      </c>
      <c r="H2180">
        <f>IF(ISBLANK('ENGAGEMENTS 2026'!C2180),"",'ENGAGEMENTS 2026'!AF2180)</f>
        <v/>
      </c>
      <c r="I2180">
        <f>IF(ISBLANK('ENGAGEMENTS 2026'!C2180),"",'ENGAGEMENTS 2026'!H2180)</f>
        <v/>
      </c>
      <c r="J2180" s="275">
        <f>IF(ISBLANK('ENGAGEMENTS 2026'!C2180),"",IF(AND(OR($E2180="INFRUCTUEUX",$E2180="ANNULE"),$C2180="AOO-M"),'ENGAGEMENTS 2026'!P2180,IF($H2180="EN COURS DE PREENGAGEMENT",'ENGAGEMENTS 2026'!O2180,IF($H2180="PREENGAGE",IF($E2180="ATTRIBUE",'ENGAGEMENTS 2026'!AE2180,'ENGAGEMENTS 2026'!O2180),'ENGAGEMENTS 2026'!AE2180))))</f>
        <v/>
      </c>
      <c r="K2180" s="604">
        <f>IF(ISBLANK('ENGAGEMENTS 2026'!W2180),"",'ENGAGEMENTS 2026'!W2180)</f>
        <v/>
      </c>
      <c r="L2180" s="276">
        <f>IF($K2180="","",TODAY()-$K2180)</f>
        <v/>
      </c>
      <c r="M2180">
        <f>IF($A2180="","",IF($H2180="ENGAGE","Engagé",IF(AND($H2180="NON ENGAGE",OR($I2180="INFRUCTUEUX",$I2180="ANNULE")),"Clôturé sans suite","En cours")))</f>
        <v/>
      </c>
      <c r="N2180">
        <f>IF(ISBLANK('ENGAGEMENTS 2026'!C2180),"",'ENGAGEMENTS 2026'!L2180)</f>
        <v/>
      </c>
      <c r="O2180">
        <f>IF(ISBLANK('ENGAGEMENTS 2026'!C2180),"",'ENGAGEMENTS 2026'!M2180)</f>
        <v/>
      </c>
      <c r="P2180">
        <f>IF(ISBLANK('ENGAGEMENTS 2026'!C2180),"",'ENGAGEMENTS 2026'!K2180)</f>
        <v/>
      </c>
      <c r="Q2180">
        <f>IF($A2180="","",IF(OR($E2180="INFRUCTUEUX",$E2180="ANNULE"),$A2180&amp;"|"&amp;(COUNTIFS($A$2:$A2180,$A2180,$E$2:$E2180,"INFRUCTUEUX")+COUNTIFS($A$2:$A2180,$A2180,$E$2:$E2180,"ANNULE")),""))</f>
        <v/>
      </c>
    </row>
    <row r="2181">
      <c r="A2181">
        <f>IF(ISBLANK('ENGAGEMENTS 2026'!C2181),"",IF('ENGAGEMENTS 2026'!C2181="DTSI","DCT",'ENGAGEMENTS 2026'!C2181))</f>
        <v/>
      </c>
      <c r="B2181">
        <f>IF(ISBLANK('ENGAGEMENTS 2026'!C2181),"",'ENGAGEMENTS 2026'!D2181)</f>
        <v/>
      </c>
      <c r="C2181">
        <f>IF(ISBLANK('ENGAGEMENTS 2026'!C2181),"",'ENGAGEMENTS 2026'!E2181)</f>
        <v/>
      </c>
      <c r="D2181">
        <f>IF(ISBLANK('ENGAGEMENTS 2026'!C2181),"",'ENGAGEMENTS 2026'!G2181)</f>
        <v/>
      </c>
      <c r="E2181">
        <f>IF(ISBLANK('ENGAGEMENTS 2026'!C2181),"",'ENGAGEMENTS 2026'!I2181)</f>
        <v/>
      </c>
      <c r="F2181">
        <f>IF(ISBLANK('ENGAGEMENTS 2026'!C2181),"",'ENGAGEMENTS 2026'!J2181)</f>
        <v/>
      </c>
      <c r="G2181">
        <f>IF(ISBLANK('ENGAGEMENTS 2026'!C2181),"",'ENGAGEMENTS 2026'!M2181)</f>
        <v/>
      </c>
      <c r="H2181">
        <f>IF(ISBLANK('ENGAGEMENTS 2026'!C2181),"",'ENGAGEMENTS 2026'!AF2181)</f>
        <v/>
      </c>
      <c r="I2181">
        <f>IF(ISBLANK('ENGAGEMENTS 2026'!C2181),"",'ENGAGEMENTS 2026'!H2181)</f>
        <v/>
      </c>
      <c r="J2181" s="275">
        <f>IF(ISBLANK('ENGAGEMENTS 2026'!C2181),"",IF(AND(OR($E2181="INFRUCTUEUX",$E2181="ANNULE"),$C2181="AOO-M"),'ENGAGEMENTS 2026'!P2181,IF($H2181="EN COURS DE PREENGAGEMENT",'ENGAGEMENTS 2026'!O2181,IF($H2181="PREENGAGE",IF($E2181="ATTRIBUE",'ENGAGEMENTS 2026'!AE2181,'ENGAGEMENTS 2026'!O2181),'ENGAGEMENTS 2026'!AE2181))))</f>
        <v/>
      </c>
      <c r="K2181" s="604">
        <f>IF(ISBLANK('ENGAGEMENTS 2026'!W2181),"",'ENGAGEMENTS 2026'!W2181)</f>
        <v/>
      </c>
      <c r="L2181" s="276">
        <f>IF($K2181="","",TODAY()-$K2181)</f>
        <v/>
      </c>
      <c r="M2181">
        <f>IF($A2181="","",IF($H2181="ENGAGE","Engagé",IF(AND($H2181="NON ENGAGE",OR($I2181="INFRUCTUEUX",$I2181="ANNULE")),"Clôturé sans suite","En cours")))</f>
        <v/>
      </c>
      <c r="N2181">
        <f>IF(ISBLANK('ENGAGEMENTS 2026'!C2181),"",'ENGAGEMENTS 2026'!L2181)</f>
        <v/>
      </c>
      <c r="O2181">
        <f>IF(ISBLANK('ENGAGEMENTS 2026'!C2181),"",'ENGAGEMENTS 2026'!M2181)</f>
        <v/>
      </c>
      <c r="P2181">
        <f>IF(ISBLANK('ENGAGEMENTS 2026'!C2181),"",'ENGAGEMENTS 2026'!K2181)</f>
        <v/>
      </c>
      <c r="Q2181">
        <f>IF($A2181="","",IF(OR($E2181="INFRUCTUEUX",$E2181="ANNULE"),$A2181&amp;"|"&amp;(COUNTIFS($A$2:$A2181,$A2181,$E$2:$E2181,"INFRUCTUEUX")+COUNTIFS($A$2:$A2181,$A2181,$E$2:$E2181,"ANNULE")),""))</f>
        <v/>
      </c>
    </row>
    <row r="2182">
      <c r="A2182">
        <f>IF(ISBLANK('ENGAGEMENTS 2026'!C2182),"",IF('ENGAGEMENTS 2026'!C2182="DTSI","DCT",'ENGAGEMENTS 2026'!C2182))</f>
        <v/>
      </c>
      <c r="B2182">
        <f>IF(ISBLANK('ENGAGEMENTS 2026'!C2182),"",'ENGAGEMENTS 2026'!D2182)</f>
        <v/>
      </c>
      <c r="C2182">
        <f>IF(ISBLANK('ENGAGEMENTS 2026'!C2182),"",'ENGAGEMENTS 2026'!E2182)</f>
        <v/>
      </c>
      <c r="D2182">
        <f>IF(ISBLANK('ENGAGEMENTS 2026'!C2182),"",'ENGAGEMENTS 2026'!G2182)</f>
        <v/>
      </c>
      <c r="E2182">
        <f>IF(ISBLANK('ENGAGEMENTS 2026'!C2182),"",'ENGAGEMENTS 2026'!I2182)</f>
        <v/>
      </c>
      <c r="F2182">
        <f>IF(ISBLANK('ENGAGEMENTS 2026'!C2182),"",'ENGAGEMENTS 2026'!J2182)</f>
        <v/>
      </c>
      <c r="G2182">
        <f>IF(ISBLANK('ENGAGEMENTS 2026'!C2182),"",'ENGAGEMENTS 2026'!M2182)</f>
        <v/>
      </c>
      <c r="H2182">
        <f>IF(ISBLANK('ENGAGEMENTS 2026'!C2182),"",'ENGAGEMENTS 2026'!AF2182)</f>
        <v/>
      </c>
      <c r="I2182">
        <f>IF(ISBLANK('ENGAGEMENTS 2026'!C2182),"",'ENGAGEMENTS 2026'!H2182)</f>
        <v/>
      </c>
      <c r="J2182" s="275">
        <f>IF(ISBLANK('ENGAGEMENTS 2026'!C2182),"",IF(AND(OR($E2182="INFRUCTUEUX",$E2182="ANNULE"),$C2182="AOO-M"),'ENGAGEMENTS 2026'!P2182,IF($H2182="EN COURS DE PREENGAGEMENT",'ENGAGEMENTS 2026'!O2182,IF($H2182="PREENGAGE",IF($E2182="ATTRIBUE",'ENGAGEMENTS 2026'!AE2182,'ENGAGEMENTS 2026'!O2182),'ENGAGEMENTS 2026'!AE2182))))</f>
        <v/>
      </c>
      <c r="K2182" s="604">
        <f>IF(ISBLANK('ENGAGEMENTS 2026'!W2182),"",'ENGAGEMENTS 2026'!W2182)</f>
        <v/>
      </c>
      <c r="L2182" s="276">
        <f>IF($K2182="","",TODAY()-$K2182)</f>
        <v/>
      </c>
      <c r="M2182">
        <f>IF($A2182="","",IF($H2182="ENGAGE","Engagé",IF(AND($H2182="NON ENGAGE",OR($I2182="INFRUCTUEUX",$I2182="ANNULE")),"Clôturé sans suite","En cours")))</f>
        <v/>
      </c>
      <c r="N2182">
        <f>IF(ISBLANK('ENGAGEMENTS 2026'!C2182),"",'ENGAGEMENTS 2026'!L2182)</f>
        <v/>
      </c>
      <c r="O2182">
        <f>IF(ISBLANK('ENGAGEMENTS 2026'!C2182),"",'ENGAGEMENTS 2026'!M2182)</f>
        <v/>
      </c>
      <c r="P2182">
        <f>IF(ISBLANK('ENGAGEMENTS 2026'!C2182),"",'ENGAGEMENTS 2026'!K2182)</f>
        <v/>
      </c>
      <c r="Q2182">
        <f>IF($A2182="","",IF(OR($E2182="INFRUCTUEUX",$E2182="ANNULE"),$A2182&amp;"|"&amp;(COUNTIFS($A$2:$A2182,$A2182,$E$2:$E2182,"INFRUCTUEUX")+COUNTIFS($A$2:$A2182,$A2182,$E$2:$E2182,"ANNULE")),""))</f>
        <v/>
      </c>
    </row>
    <row r="2183">
      <c r="A2183">
        <f>IF(ISBLANK('ENGAGEMENTS 2026'!C2183),"",IF('ENGAGEMENTS 2026'!C2183="DTSI","DCT",'ENGAGEMENTS 2026'!C2183))</f>
        <v/>
      </c>
      <c r="B2183">
        <f>IF(ISBLANK('ENGAGEMENTS 2026'!C2183),"",'ENGAGEMENTS 2026'!D2183)</f>
        <v/>
      </c>
      <c r="C2183">
        <f>IF(ISBLANK('ENGAGEMENTS 2026'!C2183),"",'ENGAGEMENTS 2026'!E2183)</f>
        <v/>
      </c>
      <c r="D2183">
        <f>IF(ISBLANK('ENGAGEMENTS 2026'!C2183),"",'ENGAGEMENTS 2026'!G2183)</f>
        <v/>
      </c>
      <c r="E2183">
        <f>IF(ISBLANK('ENGAGEMENTS 2026'!C2183),"",'ENGAGEMENTS 2026'!I2183)</f>
        <v/>
      </c>
      <c r="F2183">
        <f>IF(ISBLANK('ENGAGEMENTS 2026'!C2183),"",'ENGAGEMENTS 2026'!J2183)</f>
        <v/>
      </c>
      <c r="G2183">
        <f>IF(ISBLANK('ENGAGEMENTS 2026'!C2183),"",'ENGAGEMENTS 2026'!M2183)</f>
        <v/>
      </c>
      <c r="H2183">
        <f>IF(ISBLANK('ENGAGEMENTS 2026'!C2183),"",'ENGAGEMENTS 2026'!AF2183)</f>
        <v/>
      </c>
      <c r="I2183">
        <f>IF(ISBLANK('ENGAGEMENTS 2026'!C2183),"",'ENGAGEMENTS 2026'!H2183)</f>
        <v/>
      </c>
      <c r="J2183" s="275">
        <f>IF(ISBLANK('ENGAGEMENTS 2026'!C2183),"",IF(AND(OR($E2183="INFRUCTUEUX",$E2183="ANNULE"),$C2183="AOO-M"),'ENGAGEMENTS 2026'!P2183,IF($H2183="EN COURS DE PREENGAGEMENT",'ENGAGEMENTS 2026'!O2183,IF($H2183="PREENGAGE",IF($E2183="ATTRIBUE",'ENGAGEMENTS 2026'!AE2183,'ENGAGEMENTS 2026'!O2183),'ENGAGEMENTS 2026'!AE2183))))</f>
        <v/>
      </c>
      <c r="K2183" s="604">
        <f>IF(ISBLANK('ENGAGEMENTS 2026'!W2183),"",'ENGAGEMENTS 2026'!W2183)</f>
        <v/>
      </c>
      <c r="L2183" s="276">
        <f>IF($K2183="","",TODAY()-$K2183)</f>
        <v/>
      </c>
      <c r="M2183">
        <f>IF($A2183="","",IF($H2183="ENGAGE","Engagé",IF(AND($H2183="NON ENGAGE",OR($I2183="INFRUCTUEUX",$I2183="ANNULE")),"Clôturé sans suite","En cours")))</f>
        <v/>
      </c>
      <c r="N2183">
        <f>IF(ISBLANK('ENGAGEMENTS 2026'!C2183),"",'ENGAGEMENTS 2026'!L2183)</f>
        <v/>
      </c>
      <c r="O2183">
        <f>IF(ISBLANK('ENGAGEMENTS 2026'!C2183),"",'ENGAGEMENTS 2026'!M2183)</f>
        <v/>
      </c>
      <c r="P2183">
        <f>IF(ISBLANK('ENGAGEMENTS 2026'!C2183),"",'ENGAGEMENTS 2026'!K2183)</f>
        <v/>
      </c>
      <c r="Q2183">
        <f>IF($A2183="","",IF(OR($E2183="INFRUCTUEUX",$E2183="ANNULE"),$A2183&amp;"|"&amp;(COUNTIFS($A$2:$A2183,$A2183,$E$2:$E2183,"INFRUCTUEUX")+COUNTIFS($A$2:$A2183,$A2183,$E$2:$E2183,"ANNULE")),""))</f>
        <v/>
      </c>
    </row>
    <row r="2184">
      <c r="A2184">
        <f>IF(ISBLANK('ENGAGEMENTS 2026'!C2184),"",IF('ENGAGEMENTS 2026'!C2184="DTSI","DCT",'ENGAGEMENTS 2026'!C2184))</f>
        <v/>
      </c>
      <c r="B2184">
        <f>IF(ISBLANK('ENGAGEMENTS 2026'!C2184),"",'ENGAGEMENTS 2026'!D2184)</f>
        <v/>
      </c>
      <c r="C2184">
        <f>IF(ISBLANK('ENGAGEMENTS 2026'!C2184),"",'ENGAGEMENTS 2026'!E2184)</f>
        <v/>
      </c>
      <c r="D2184">
        <f>IF(ISBLANK('ENGAGEMENTS 2026'!C2184),"",'ENGAGEMENTS 2026'!G2184)</f>
        <v/>
      </c>
      <c r="E2184">
        <f>IF(ISBLANK('ENGAGEMENTS 2026'!C2184),"",'ENGAGEMENTS 2026'!I2184)</f>
        <v/>
      </c>
      <c r="F2184">
        <f>IF(ISBLANK('ENGAGEMENTS 2026'!C2184),"",'ENGAGEMENTS 2026'!J2184)</f>
        <v/>
      </c>
      <c r="G2184">
        <f>IF(ISBLANK('ENGAGEMENTS 2026'!C2184),"",'ENGAGEMENTS 2026'!M2184)</f>
        <v/>
      </c>
      <c r="H2184">
        <f>IF(ISBLANK('ENGAGEMENTS 2026'!C2184),"",'ENGAGEMENTS 2026'!AF2184)</f>
        <v/>
      </c>
      <c r="I2184">
        <f>IF(ISBLANK('ENGAGEMENTS 2026'!C2184),"",'ENGAGEMENTS 2026'!H2184)</f>
        <v/>
      </c>
      <c r="J2184" s="275">
        <f>IF(ISBLANK('ENGAGEMENTS 2026'!C2184),"",IF(AND(OR($E2184="INFRUCTUEUX",$E2184="ANNULE"),$C2184="AOO-M"),'ENGAGEMENTS 2026'!P2184,IF($H2184="EN COURS DE PREENGAGEMENT",'ENGAGEMENTS 2026'!O2184,IF($H2184="PREENGAGE",IF($E2184="ATTRIBUE",'ENGAGEMENTS 2026'!AE2184,'ENGAGEMENTS 2026'!O2184),'ENGAGEMENTS 2026'!AE2184))))</f>
        <v/>
      </c>
      <c r="K2184" s="604">
        <f>IF(ISBLANK('ENGAGEMENTS 2026'!W2184),"",'ENGAGEMENTS 2026'!W2184)</f>
        <v/>
      </c>
      <c r="L2184" s="276">
        <f>IF($K2184="","",TODAY()-$K2184)</f>
        <v/>
      </c>
      <c r="M2184">
        <f>IF($A2184="","",IF($H2184="ENGAGE","Engagé",IF(AND($H2184="NON ENGAGE",OR($I2184="INFRUCTUEUX",$I2184="ANNULE")),"Clôturé sans suite","En cours")))</f>
        <v/>
      </c>
      <c r="N2184">
        <f>IF(ISBLANK('ENGAGEMENTS 2026'!C2184),"",'ENGAGEMENTS 2026'!L2184)</f>
        <v/>
      </c>
      <c r="O2184">
        <f>IF(ISBLANK('ENGAGEMENTS 2026'!C2184),"",'ENGAGEMENTS 2026'!M2184)</f>
        <v/>
      </c>
      <c r="P2184">
        <f>IF(ISBLANK('ENGAGEMENTS 2026'!C2184),"",'ENGAGEMENTS 2026'!K2184)</f>
        <v/>
      </c>
      <c r="Q2184">
        <f>IF($A2184="","",IF(OR($E2184="INFRUCTUEUX",$E2184="ANNULE"),$A2184&amp;"|"&amp;(COUNTIFS($A$2:$A2184,$A2184,$E$2:$E2184,"INFRUCTUEUX")+COUNTIFS($A$2:$A2184,$A2184,$E$2:$E2184,"ANNULE")),""))</f>
        <v/>
      </c>
    </row>
    <row r="2185">
      <c r="A2185">
        <f>IF(ISBLANK('ENGAGEMENTS 2026'!C2185),"",IF('ENGAGEMENTS 2026'!C2185="DTSI","DCT",'ENGAGEMENTS 2026'!C2185))</f>
        <v/>
      </c>
      <c r="B2185">
        <f>IF(ISBLANK('ENGAGEMENTS 2026'!C2185),"",'ENGAGEMENTS 2026'!D2185)</f>
        <v/>
      </c>
      <c r="C2185">
        <f>IF(ISBLANK('ENGAGEMENTS 2026'!C2185),"",'ENGAGEMENTS 2026'!E2185)</f>
        <v/>
      </c>
      <c r="D2185">
        <f>IF(ISBLANK('ENGAGEMENTS 2026'!C2185),"",'ENGAGEMENTS 2026'!G2185)</f>
        <v/>
      </c>
      <c r="E2185">
        <f>IF(ISBLANK('ENGAGEMENTS 2026'!C2185),"",'ENGAGEMENTS 2026'!I2185)</f>
        <v/>
      </c>
      <c r="F2185">
        <f>IF(ISBLANK('ENGAGEMENTS 2026'!C2185),"",'ENGAGEMENTS 2026'!J2185)</f>
        <v/>
      </c>
      <c r="G2185">
        <f>IF(ISBLANK('ENGAGEMENTS 2026'!C2185),"",'ENGAGEMENTS 2026'!M2185)</f>
        <v/>
      </c>
      <c r="H2185">
        <f>IF(ISBLANK('ENGAGEMENTS 2026'!C2185),"",'ENGAGEMENTS 2026'!AF2185)</f>
        <v/>
      </c>
      <c r="I2185">
        <f>IF(ISBLANK('ENGAGEMENTS 2026'!C2185),"",'ENGAGEMENTS 2026'!H2185)</f>
        <v/>
      </c>
      <c r="J2185" s="275">
        <f>IF(ISBLANK('ENGAGEMENTS 2026'!C2185),"",IF(AND(OR($E2185="INFRUCTUEUX",$E2185="ANNULE"),$C2185="AOO-M"),'ENGAGEMENTS 2026'!P2185,IF($H2185="EN COURS DE PREENGAGEMENT",'ENGAGEMENTS 2026'!O2185,IF($H2185="PREENGAGE",IF($E2185="ATTRIBUE",'ENGAGEMENTS 2026'!AE2185,'ENGAGEMENTS 2026'!O2185),'ENGAGEMENTS 2026'!AE2185))))</f>
        <v/>
      </c>
      <c r="K2185" s="604">
        <f>IF(ISBLANK('ENGAGEMENTS 2026'!W2185),"",'ENGAGEMENTS 2026'!W2185)</f>
        <v/>
      </c>
      <c r="L2185" s="276">
        <f>IF($K2185="","",TODAY()-$K2185)</f>
        <v/>
      </c>
      <c r="M2185">
        <f>IF($A2185="","",IF($H2185="ENGAGE","Engagé",IF(AND($H2185="NON ENGAGE",OR($I2185="INFRUCTUEUX",$I2185="ANNULE")),"Clôturé sans suite","En cours")))</f>
        <v/>
      </c>
      <c r="N2185">
        <f>IF(ISBLANK('ENGAGEMENTS 2026'!C2185),"",'ENGAGEMENTS 2026'!L2185)</f>
        <v/>
      </c>
      <c r="O2185">
        <f>IF(ISBLANK('ENGAGEMENTS 2026'!C2185),"",'ENGAGEMENTS 2026'!M2185)</f>
        <v/>
      </c>
      <c r="P2185">
        <f>IF(ISBLANK('ENGAGEMENTS 2026'!C2185),"",'ENGAGEMENTS 2026'!K2185)</f>
        <v/>
      </c>
      <c r="Q2185">
        <f>IF($A2185="","",IF(OR($E2185="INFRUCTUEUX",$E2185="ANNULE"),$A2185&amp;"|"&amp;(COUNTIFS($A$2:$A2185,$A2185,$E$2:$E2185,"INFRUCTUEUX")+COUNTIFS($A$2:$A2185,$A2185,$E$2:$E2185,"ANNULE")),""))</f>
        <v/>
      </c>
    </row>
    <row r="2186">
      <c r="A2186">
        <f>IF(ISBLANK('ENGAGEMENTS 2026'!C2186),"",IF('ENGAGEMENTS 2026'!C2186="DTSI","DCT",'ENGAGEMENTS 2026'!C2186))</f>
        <v/>
      </c>
      <c r="B2186">
        <f>IF(ISBLANK('ENGAGEMENTS 2026'!C2186),"",'ENGAGEMENTS 2026'!D2186)</f>
        <v/>
      </c>
      <c r="C2186">
        <f>IF(ISBLANK('ENGAGEMENTS 2026'!C2186),"",'ENGAGEMENTS 2026'!E2186)</f>
        <v/>
      </c>
      <c r="D2186">
        <f>IF(ISBLANK('ENGAGEMENTS 2026'!C2186),"",'ENGAGEMENTS 2026'!G2186)</f>
        <v/>
      </c>
      <c r="E2186">
        <f>IF(ISBLANK('ENGAGEMENTS 2026'!C2186),"",'ENGAGEMENTS 2026'!I2186)</f>
        <v/>
      </c>
      <c r="F2186">
        <f>IF(ISBLANK('ENGAGEMENTS 2026'!C2186),"",'ENGAGEMENTS 2026'!J2186)</f>
        <v/>
      </c>
      <c r="G2186">
        <f>IF(ISBLANK('ENGAGEMENTS 2026'!C2186),"",'ENGAGEMENTS 2026'!M2186)</f>
        <v/>
      </c>
      <c r="H2186">
        <f>IF(ISBLANK('ENGAGEMENTS 2026'!C2186),"",'ENGAGEMENTS 2026'!AF2186)</f>
        <v/>
      </c>
      <c r="I2186">
        <f>IF(ISBLANK('ENGAGEMENTS 2026'!C2186),"",'ENGAGEMENTS 2026'!H2186)</f>
        <v/>
      </c>
      <c r="J2186" s="275">
        <f>IF(ISBLANK('ENGAGEMENTS 2026'!C2186),"",IF(AND(OR($E2186="INFRUCTUEUX",$E2186="ANNULE"),$C2186="AOO-M"),'ENGAGEMENTS 2026'!P2186,IF($H2186="EN COURS DE PREENGAGEMENT",'ENGAGEMENTS 2026'!O2186,IF($H2186="PREENGAGE",IF($E2186="ATTRIBUE",'ENGAGEMENTS 2026'!AE2186,'ENGAGEMENTS 2026'!O2186),'ENGAGEMENTS 2026'!AE2186))))</f>
        <v/>
      </c>
      <c r="K2186" s="604">
        <f>IF(ISBLANK('ENGAGEMENTS 2026'!W2186),"",'ENGAGEMENTS 2026'!W2186)</f>
        <v/>
      </c>
      <c r="L2186" s="276">
        <f>IF($K2186="","",TODAY()-$K2186)</f>
        <v/>
      </c>
      <c r="M2186">
        <f>IF($A2186="","",IF($H2186="ENGAGE","Engagé",IF(AND($H2186="NON ENGAGE",OR($I2186="INFRUCTUEUX",$I2186="ANNULE")),"Clôturé sans suite","En cours")))</f>
        <v/>
      </c>
      <c r="N2186">
        <f>IF(ISBLANK('ENGAGEMENTS 2026'!C2186),"",'ENGAGEMENTS 2026'!L2186)</f>
        <v/>
      </c>
      <c r="O2186">
        <f>IF(ISBLANK('ENGAGEMENTS 2026'!C2186),"",'ENGAGEMENTS 2026'!M2186)</f>
        <v/>
      </c>
      <c r="P2186">
        <f>IF(ISBLANK('ENGAGEMENTS 2026'!C2186),"",'ENGAGEMENTS 2026'!K2186)</f>
        <v/>
      </c>
      <c r="Q2186">
        <f>IF($A2186="","",IF(OR($E2186="INFRUCTUEUX",$E2186="ANNULE"),$A2186&amp;"|"&amp;(COUNTIFS($A$2:$A2186,$A2186,$E$2:$E2186,"INFRUCTUEUX")+COUNTIFS($A$2:$A2186,$A2186,$E$2:$E2186,"ANNULE")),""))</f>
        <v/>
      </c>
    </row>
    <row r="2187">
      <c r="A2187">
        <f>IF(ISBLANK('ENGAGEMENTS 2026'!C2187),"",IF('ENGAGEMENTS 2026'!C2187="DTSI","DCT",'ENGAGEMENTS 2026'!C2187))</f>
        <v/>
      </c>
      <c r="B2187">
        <f>IF(ISBLANK('ENGAGEMENTS 2026'!C2187),"",'ENGAGEMENTS 2026'!D2187)</f>
        <v/>
      </c>
      <c r="C2187">
        <f>IF(ISBLANK('ENGAGEMENTS 2026'!C2187),"",'ENGAGEMENTS 2026'!E2187)</f>
        <v/>
      </c>
      <c r="D2187">
        <f>IF(ISBLANK('ENGAGEMENTS 2026'!C2187),"",'ENGAGEMENTS 2026'!G2187)</f>
        <v/>
      </c>
      <c r="E2187">
        <f>IF(ISBLANK('ENGAGEMENTS 2026'!C2187),"",'ENGAGEMENTS 2026'!I2187)</f>
        <v/>
      </c>
      <c r="F2187">
        <f>IF(ISBLANK('ENGAGEMENTS 2026'!C2187),"",'ENGAGEMENTS 2026'!J2187)</f>
        <v/>
      </c>
      <c r="G2187">
        <f>IF(ISBLANK('ENGAGEMENTS 2026'!C2187),"",'ENGAGEMENTS 2026'!M2187)</f>
        <v/>
      </c>
      <c r="H2187">
        <f>IF(ISBLANK('ENGAGEMENTS 2026'!C2187),"",'ENGAGEMENTS 2026'!AF2187)</f>
        <v/>
      </c>
      <c r="I2187">
        <f>IF(ISBLANK('ENGAGEMENTS 2026'!C2187),"",'ENGAGEMENTS 2026'!H2187)</f>
        <v/>
      </c>
      <c r="J2187" s="275">
        <f>IF(ISBLANK('ENGAGEMENTS 2026'!C2187),"",IF(AND(OR($E2187="INFRUCTUEUX",$E2187="ANNULE"),$C2187="AOO-M"),'ENGAGEMENTS 2026'!P2187,IF($H2187="EN COURS DE PREENGAGEMENT",'ENGAGEMENTS 2026'!O2187,IF($H2187="PREENGAGE",IF($E2187="ATTRIBUE",'ENGAGEMENTS 2026'!AE2187,'ENGAGEMENTS 2026'!O2187),'ENGAGEMENTS 2026'!AE2187))))</f>
        <v/>
      </c>
      <c r="K2187" s="604">
        <f>IF(ISBLANK('ENGAGEMENTS 2026'!W2187),"",'ENGAGEMENTS 2026'!W2187)</f>
        <v/>
      </c>
      <c r="L2187" s="276">
        <f>IF($K2187="","",TODAY()-$K2187)</f>
        <v/>
      </c>
      <c r="M2187">
        <f>IF($A2187="","",IF($H2187="ENGAGE","Engagé",IF(AND($H2187="NON ENGAGE",OR($I2187="INFRUCTUEUX",$I2187="ANNULE")),"Clôturé sans suite","En cours")))</f>
        <v/>
      </c>
      <c r="N2187">
        <f>IF(ISBLANK('ENGAGEMENTS 2026'!C2187),"",'ENGAGEMENTS 2026'!L2187)</f>
        <v/>
      </c>
      <c r="O2187">
        <f>IF(ISBLANK('ENGAGEMENTS 2026'!C2187),"",'ENGAGEMENTS 2026'!M2187)</f>
        <v/>
      </c>
      <c r="P2187">
        <f>IF(ISBLANK('ENGAGEMENTS 2026'!C2187),"",'ENGAGEMENTS 2026'!K2187)</f>
        <v/>
      </c>
      <c r="Q2187">
        <f>IF($A2187="","",IF(OR($E2187="INFRUCTUEUX",$E2187="ANNULE"),$A2187&amp;"|"&amp;(COUNTIFS($A$2:$A2187,$A2187,$E$2:$E2187,"INFRUCTUEUX")+COUNTIFS($A$2:$A2187,$A2187,$E$2:$E2187,"ANNULE")),""))</f>
        <v/>
      </c>
    </row>
    <row r="2188">
      <c r="A2188">
        <f>IF(ISBLANK('ENGAGEMENTS 2026'!C2188),"",IF('ENGAGEMENTS 2026'!C2188="DTSI","DCT",'ENGAGEMENTS 2026'!C2188))</f>
        <v/>
      </c>
      <c r="B2188">
        <f>IF(ISBLANK('ENGAGEMENTS 2026'!C2188),"",'ENGAGEMENTS 2026'!D2188)</f>
        <v/>
      </c>
      <c r="C2188">
        <f>IF(ISBLANK('ENGAGEMENTS 2026'!C2188),"",'ENGAGEMENTS 2026'!E2188)</f>
        <v/>
      </c>
      <c r="D2188">
        <f>IF(ISBLANK('ENGAGEMENTS 2026'!C2188),"",'ENGAGEMENTS 2026'!G2188)</f>
        <v/>
      </c>
      <c r="E2188">
        <f>IF(ISBLANK('ENGAGEMENTS 2026'!C2188),"",'ENGAGEMENTS 2026'!I2188)</f>
        <v/>
      </c>
      <c r="F2188">
        <f>IF(ISBLANK('ENGAGEMENTS 2026'!C2188),"",'ENGAGEMENTS 2026'!J2188)</f>
        <v/>
      </c>
      <c r="G2188">
        <f>IF(ISBLANK('ENGAGEMENTS 2026'!C2188),"",'ENGAGEMENTS 2026'!M2188)</f>
        <v/>
      </c>
      <c r="H2188">
        <f>IF(ISBLANK('ENGAGEMENTS 2026'!C2188),"",'ENGAGEMENTS 2026'!AF2188)</f>
        <v/>
      </c>
      <c r="I2188">
        <f>IF(ISBLANK('ENGAGEMENTS 2026'!C2188),"",'ENGAGEMENTS 2026'!H2188)</f>
        <v/>
      </c>
      <c r="J2188" s="275">
        <f>IF(ISBLANK('ENGAGEMENTS 2026'!C2188),"",IF(AND(OR($E2188="INFRUCTUEUX",$E2188="ANNULE"),$C2188="AOO-M"),'ENGAGEMENTS 2026'!P2188,IF($H2188="EN COURS DE PREENGAGEMENT",'ENGAGEMENTS 2026'!O2188,IF($H2188="PREENGAGE",IF($E2188="ATTRIBUE",'ENGAGEMENTS 2026'!AE2188,'ENGAGEMENTS 2026'!O2188),'ENGAGEMENTS 2026'!AE2188))))</f>
        <v/>
      </c>
      <c r="K2188" s="604">
        <f>IF(ISBLANK('ENGAGEMENTS 2026'!W2188),"",'ENGAGEMENTS 2026'!W2188)</f>
        <v/>
      </c>
      <c r="L2188" s="276">
        <f>IF($K2188="","",TODAY()-$K2188)</f>
        <v/>
      </c>
      <c r="M2188">
        <f>IF($A2188="","",IF($H2188="ENGAGE","Engagé",IF(AND($H2188="NON ENGAGE",OR($I2188="INFRUCTUEUX",$I2188="ANNULE")),"Clôturé sans suite","En cours")))</f>
        <v/>
      </c>
      <c r="N2188">
        <f>IF(ISBLANK('ENGAGEMENTS 2026'!C2188),"",'ENGAGEMENTS 2026'!L2188)</f>
        <v/>
      </c>
      <c r="O2188">
        <f>IF(ISBLANK('ENGAGEMENTS 2026'!C2188),"",'ENGAGEMENTS 2026'!M2188)</f>
        <v/>
      </c>
      <c r="P2188">
        <f>IF(ISBLANK('ENGAGEMENTS 2026'!C2188),"",'ENGAGEMENTS 2026'!K2188)</f>
        <v/>
      </c>
      <c r="Q2188">
        <f>IF($A2188="","",IF(OR($E2188="INFRUCTUEUX",$E2188="ANNULE"),$A2188&amp;"|"&amp;(COUNTIFS($A$2:$A2188,$A2188,$E$2:$E2188,"INFRUCTUEUX")+COUNTIFS($A$2:$A2188,$A2188,$E$2:$E2188,"ANNULE")),""))</f>
        <v/>
      </c>
    </row>
    <row r="2189">
      <c r="A2189">
        <f>IF(ISBLANK('ENGAGEMENTS 2026'!C2189),"",IF('ENGAGEMENTS 2026'!C2189="DTSI","DCT",'ENGAGEMENTS 2026'!C2189))</f>
        <v/>
      </c>
      <c r="B2189">
        <f>IF(ISBLANK('ENGAGEMENTS 2026'!C2189),"",'ENGAGEMENTS 2026'!D2189)</f>
        <v/>
      </c>
      <c r="C2189">
        <f>IF(ISBLANK('ENGAGEMENTS 2026'!C2189),"",'ENGAGEMENTS 2026'!E2189)</f>
        <v/>
      </c>
      <c r="D2189">
        <f>IF(ISBLANK('ENGAGEMENTS 2026'!C2189),"",'ENGAGEMENTS 2026'!G2189)</f>
        <v/>
      </c>
      <c r="E2189">
        <f>IF(ISBLANK('ENGAGEMENTS 2026'!C2189),"",'ENGAGEMENTS 2026'!I2189)</f>
        <v/>
      </c>
      <c r="F2189">
        <f>IF(ISBLANK('ENGAGEMENTS 2026'!C2189),"",'ENGAGEMENTS 2026'!J2189)</f>
        <v/>
      </c>
      <c r="G2189">
        <f>IF(ISBLANK('ENGAGEMENTS 2026'!C2189),"",'ENGAGEMENTS 2026'!M2189)</f>
        <v/>
      </c>
      <c r="H2189">
        <f>IF(ISBLANK('ENGAGEMENTS 2026'!C2189),"",'ENGAGEMENTS 2026'!AF2189)</f>
        <v/>
      </c>
      <c r="I2189">
        <f>IF(ISBLANK('ENGAGEMENTS 2026'!C2189),"",'ENGAGEMENTS 2026'!H2189)</f>
        <v/>
      </c>
      <c r="J2189" s="275">
        <f>IF(ISBLANK('ENGAGEMENTS 2026'!C2189),"",IF(AND(OR($E2189="INFRUCTUEUX",$E2189="ANNULE"),$C2189="AOO-M"),'ENGAGEMENTS 2026'!P2189,IF($H2189="EN COURS DE PREENGAGEMENT",'ENGAGEMENTS 2026'!O2189,IF($H2189="PREENGAGE",IF($E2189="ATTRIBUE",'ENGAGEMENTS 2026'!AE2189,'ENGAGEMENTS 2026'!O2189),'ENGAGEMENTS 2026'!AE2189))))</f>
        <v/>
      </c>
      <c r="K2189" s="604">
        <f>IF(ISBLANK('ENGAGEMENTS 2026'!W2189),"",'ENGAGEMENTS 2026'!W2189)</f>
        <v/>
      </c>
      <c r="L2189" s="276">
        <f>IF($K2189="","",TODAY()-$K2189)</f>
        <v/>
      </c>
      <c r="M2189">
        <f>IF($A2189="","",IF($H2189="ENGAGE","Engagé",IF(AND($H2189="NON ENGAGE",OR($I2189="INFRUCTUEUX",$I2189="ANNULE")),"Clôturé sans suite","En cours")))</f>
        <v/>
      </c>
      <c r="N2189">
        <f>IF(ISBLANK('ENGAGEMENTS 2026'!C2189),"",'ENGAGEMENTS 2026'!L2189)</f>
        <v/>
      </c>
      <c r="O2189">
        <f>IF(ISBLANK('ENGAGEMENTS 2026'!C2189),"",'ENGAGEMENTS 2026'!M2189)</f>
        <v/>
      </c>
      <c r="P2189">
        <f>IF(ISBLANK('ENGAGEMENTS 2026'!C2189),"",'ENGAGEMENTS 2026'!K2189)</f>
        <v/>
      </c>
      <c r="Q2189">
        <f>IF($A2189="","",IF(OR($E2189="INFRUCTUEUX",$E2189="ANNULE"),$A2189&amp;"|"&amp;(COUNTIFS($A$2:$A2189,$A2189,$E$2:$E2189,"INFRUCTUEUX")+COUNTIFS($A$2:$A2189,$A2189,$E$2:$E2189,"ANNULE")),""))</f>
        <v/>
      </c>
    </row>
    <row r="2190">
      <c r="A2190">
        <f>IF(ISBLANK('ENGAGEMENTS 2026'!C2190),"",IF('ENGAGEMENTS 2026'!C2190="DTSI","DCT",'ENGAGEMENTS 2026'!C2190))</f>
        <v/>
      </c>
      <c r="B2190">
        <f>IF(ISBLANK('ENGAGEMENTS 2026'!C2190),"",'ENGAGEMENTS 2026'!D2190)</f>
        <v/>
      </c>
      <c r="C2190">
        <f>IF(ISBLANK('ENGAGEMENTS 2026'!C2190),"",'ENGAGEMENTS 2026'!E2190)</f>
        <v/>
      </c>
      <c r="D2190">
        <f>IF(ISBLANK('ENGAGEMENTS 2026'!C2190),"",'ENGAGEMENTS 2026'!G2190)</f>
        <v/>
      </c>
      <c r="E2190">
        <f>IF(ISBLANK('ENGAGEMENTS 2026'!C2190),"",'ENGAGEMENTS 2026'!I2190)</f>
        <v/>
      </c>
      <c r="F2190">
        <f>IF(ISBLANK('ENGAGEMENTS 2026'!C2190),"",'ENGAGEMENTS 2026'!J2190)</f>
        <v/>
      </c>
      <c r="G2190">
        <f>IF(ISBLANK('ENGAGEMENTS 2026'!C2190),"",'ENGAGEMENTS 2026'!M2190)</f>
        <v/>
      </c>
      <c r="H2190">
        <f>IF(ISBLANK('ENGAGEMENTS 2026'!C2190),"",'ENGAGEMENTS 2026'!AF2190)</f>
        <v/>
      </c>
      <c r="I2190">
        <f>IF(ISBLANK('ENGAGEMENTS 2026'!C2190),"",'ENGAGEMENTS 2026'!H2190)</f>
        <v/>
      </c>
      <c r="J2190" s="275">
        <f>IF(ISBLANK('ENGAGEMENTS 2026'!C2190),"",IF(AND(OR($E2190="INFRUCTUEUX",$E2190="ANNULE"),$C2190="AOO-M"),'ENGAGEMENTS 2026'!P2190,IF($H2190="EN COURS DE PREENGAGEMENT",'ENGAGEMENTS 2026'!O2190,IF($H2190="PREENGAGE",IF($E2190="ATTRIBUE",'ENGAGEMENTS 2026'!AE2190,'ENGAGEMENTS 2026'!O2190),'ENGAGEMENTS 2026'!AE2190))))</f>
        <v/>
      </c>
      <c r="K2190" s="604">
        <f>IF(ISBLANK('ENGAGEMENTS 2026'!W2190),"",'ENGAGEMENTS 2026'!W2190)</f>
        <v/>
      </c>
      <c r="L2190" s="276">
        <f>IF($K2190="","",TODAY()-$K2190)</f>
        <v/>
      </c>
      <c r="M2190">
        <f>IF($A2190="","",IF($H2190="ENGAGE","Engagé",IF(AND($H2190="NON ENGAGE",OR($I2190="INFRUCTUEUX",$I2190="ANNULE")),"Clôturé sans suite","En cours")))</f>
        <v/>
      </c>
      <c r="N2190">
        <f>IF(ISBLANK('ENGAGEMENTS 2026'!C2190),"",'ENGAGEMENTS 2026'!L2190)</f>
        <v/>
      </c>
      <c r="O2190">
        <f>IF(ISBLANK('ENGAGEMENTS 2026'!C2190),"",'ENGAGEMENTS 2026'!M2190)</f>
        <v/>
      </c>
      <c r="P2190">
        <f>IF(ISBLANK('ENGAGEMENTS 2026'!C2190),"",'ENGAGEMENTS 2026'!K2190)</f>
        <v/>
      </c>
      <c r="Q2190">
        <f>IF($A2190="","",IF(OR($E2190="INFRUCTUEUX",$E2190="ANNULE"),$A2190&amp;"|"&amp;(COUNTIFS($A$2:$A2190,$A2190,$E$2:$E2190,"INFRUCTUEUX")+COUNTIFS($A$2:$A2190,$A2190,$E$2:$E2190,"ANNULE")),""))</f>
        <v/>
      </c>
    </row>
    <row r="2191">
      <c r="A2191">
        <f>IF(ISBLANK('ENGAGEMENTS 2026'!C2191),"",IF('ENGAGEMENTS 2026'!C2191="DTSI","DCT",'ENGAGEMENTS 2026'!C2191))</f>
        <v/>
      </c>
      <c r="B2191">
        <f>IF(ISBLANK('ENGAGEMENTS 2026'!C2191),"",'ENGAGEMENTS 2026'!D2191)</f>
        <v/>
      </c>
      <c r="C2191">
        <f>IF(ISBLANK('ENGAGEMENTS 2026'!C2191),"",'ENGAGEMENTS 2026'!E2191)</f>
        <v/>
      </c>
      <c r="D2191">
        <f>IF(ISBLANK('ENGAGEMENTS 2026'!C2191),"",'ENGAGEMENTS 2026'!G2191)</f>
        <v/>
      </c>
      <c r="E2191">
        <f>IF(ISBLANK('ENGAGEMENTS 2026'!C2191),"",'ENGAGEMENTS 2026'!I2191)</f>
        <v/>
      </c>
      <c r="F2191">
        <f>IF(ISBLANK('ENGAGEMENTS 2026'!C2191),"",'ENGAGEMENTS 2026'!J2191)</f>
        <v/>
      </c>
      <c r="G2191">
        <f>IF(ISBLANK('ENGAGEMENTS 2026'!C2191),"",'ENGAGEMENTS 2026'!M2191)</f>
        <v/>
      </c>
      <c r="H2191">
        <f>IF(ISBLANK('ENGAGEMENTS 2026'!C2191),"",'ENGAGEMENTS 2026'!AF2191)</f>
        <v/>
      </c>
      <c r="I2191">
        <f>IF(ISBLANK('ENGAGEMENTS 2026'!C2191),"",'ENGAGEMENTS 2026'!H2191)</f>
        <v/>
      </c>
      <c r="J2191" s="275">
        <f>IF(ISBLANK('ENGAGEMENTS 2026'!C2191),"",IF(AND(OR($E2191="INFRUCTUEUX",$E2191="ANNULE"),$C2191="AOO-M"),'ENGAGEMENTS 2026'!P2191,IF($H2191="EN COURS DE PREENGAGEMENT",'ENGAGEMENTS 2026'!O2191,IF($H2191="PREENGAGE",IF($E2191="ATTRIBUE",'ENGAGEMENTS 2026'!AE2191,'ENGAGEMENTS 2026'!O2191),'ENGAGEMENTS 2026'!AE2191))))</f>
        <v/>
      </c>
      <c r="K2191" s="604">
        <f>IF(ISBLANK('ENGAGEMENTS 2026'!W2191),"",'ENGAGEMENTS 2026'!W2191)</f>
        <v/>
      </c>
      <c r="L2191" s="276">
        <f>IF($K2191="","",TODAY()-$K2191)</f>
        <v/>
      </c>
      <c r="M2191">
        <f>IF($A2191="","",IF($H2191="ENGAGE","Engagé",IF(AND($H2191="NON ENGAGE",OR($I2191="INFRUCTUEUX",$I2191="ANNULE")),"Clôturé sans suite","En cours")))</f>
        <v/>
      </c>
      <c r="N2191">
        <f>IF(ISBLANK('ENGAGEMENTS 2026'!C2191),"",'ENGAGEMENTS 2026'!L2191)</f>
        <v/>
      </c>
      <c r="O2191">
        <f>IF(ISBLANK('ENGAGEMENTS 2026'!C2191),"",'ENGAGEMENTS 2026'!M2191)</f>
        <v/>
      </c>
      <c r="P2191">
        <f>IF(ISBLANK('ENGAGEMENTS 2026'!C2191),"",'ENGAGEMENTS 2026'!K2191)</f>
        <v/>
      </c>
      <c r="Q2191">
        <f>IF($A2191="","",IF(OR($E2191="INFRUCTUEUX",$E2191="ANNULE"),$A2191&amp;"|"&amp;(COUNTIFS($A$2:$A2191,$A2191,$E$2:$E2191,"INFRUCTUEUX")+COUNTIFS($A$2:$A2191,$A2191,$E$2:$E2191,"ANNULE")),""))</f>
        <v/>
      </c>
    </row>
    <row r="2192">
      <c r="A2192">
        <f>IF(ISBLANK('ENGAGEMENTS 2026'!C2192),"",IF('ENGAGEMENTS 2026'!C2192="DTSI","DCT",'ENGAGEMENTS 2026'!C2192))</f>
        <v/>
      </c>
      <c r="B2192">
        <f>IF(ISBLANK('ENGAGEMENTS 2026'!C2192),"",'ENGAGEMENTS 2026'!D2192)</f>
        <v/>
      </c>
      <c r="C2192">
        <f>IF(ISBLANK('ENGAGEMENTS 2026'!C2192),"",'ENGAGEMENTS 2026'!E2192)</f>
        <v/>
      </c>
      <c r="D2192">
        <f>IF(ISBLANK('ENGAGEMENTS 2026'!C2192),"",'ENGAGEMENTS 2026'!G2192)</f>
        <v/>
      </c>
      <c r="E2192">
        <f>IF(ISBLANK('ENGAGEMENTS 2026'!C2192),"",'ENGAGEMENTS 2026'!I2192)</f>
        <v/>
      </c>
      <c r="F2192">
        <f>IF(ISBLANK('ENGAGEMENTS 2026'!C2192),"",'ENGAGEMENTS 2026'!J2192)</f>
        <v/>
      </c>
      <c r="G2192">
        <f>IF(ISBLANK('ENGAGEMENTS 2026'!C2192),"",'ENGAGEMENTS 2026'!M2192)</f>
        <v/>
      </c>
      <c r="H2192">
        <f>IF(ISBLANK('ENGAGEMENTS 2026'!C2192),"",'ENGAGEMENTS 2026'!AF2192)</f>
        <v/>
      </c>
      <c r="I2192">
        <f>IF(ISBLANK('ENGAGEMENTS 2026'!C2192),"",'ENGAGEMENTS 2026'!H2192)</f>
        <v/>
      </c>
      <c r="J2192" s="275">
        <f>IF(ISBLANK('ENGAGEMENTS 2026'!C2192),"",IF(AND(OR($E2192="INFRUCTUEUX",$E2192="ANNULE"),$C2192="AOO-M"),'ENGAGEMENTS 2026'!P2192,IF($H2192="EN COURS DE PREENGAGEMENT",'ENGAGEMENTS 2026'!O2192,IF($H2192="PREENGAGE",IF($E2192="ATTRIBUE",'ENGAGEMENTS 2026'!AE2192,'ENGAGEMENTS 2026'!O2192),'ENGAGEMENTS 2026'!AE2192))))</f>
        <v/>
      </c>
      <c r="K2192" s="604">
        <f>IF(ISBLANK('ENGAGEMENTS 2026'!W2192),"",'ENGAGEMENTS 2026'!W2192)</f>
        <v/>
      </c>
      <c r="L2192" s="276">
        <f>IF($K2192="","",TODAY()-$K2192)</f>
        <v/>
      </c>
      <c r="M2192">
        <f>IF($A2192="","",IF($H2192="ENGAGE","Engagé",IF(AND($H2192="NON ENGAGE",OR($I2192="INFRUCTUEUX",$I2192="ANNULE")),"Clôturé sans suite","En cours")))</f>
        <v/>
      </c>
      <c r="N2192">
        <f>IF(ISBLANK('ENGAGEMENTS 2026'!C2192),"",'ENGAGEMENTS 2026'!L2192)</f>
        <v/>
      </c>
      <c r="O2192">
        <f>IF(ISBLANK('ENGAGEMENTS 2026'!C2192),"",'ENGAGEMENTS 2026'!M2192)</f>
        <v/>
      </c>
      <c r="P2192">
        <f>IF(ISBLANK('ENGAGEMENTS 2026'!C2192),"",'ENGAGEMENTS 2026'!K2192)</f>
        <v/>
      </c>
      <c r="Q2192">
        <f>IF($A2192="","",IF(OR($E2192="INFRUCTUEUX",$E2192="ANNULE"),$A2192&amp;"|"&amp;(COUNTIFS($A$2:$A2192,$A2192,$E$2:$E2192,"INFRUCTUEUX")+COUNTIFS($A$2:$A2192,$A2192,$E$2:$E2192,"ANNULE")),""))</f>
        <v/>
      </c>
    </row>
    <row r="2193">
      <c r="A2193">
        <f>IF(ISBLANK('ENGAGEMENTS 2026'!C2193),"",IF('ENGAGEMENTS 2026'!C2193="DTSI","DCT",'ENGAGEMENTS 2026'!C2193))</f>
        <v/>
      </c>
      <c r="B2193">
        <f>IF(ISBLANK('ENGAGEMENTS 2026'!C2193),"",'ENGAGEMENTS 2026'!D2193)</f>
        <v/>
      </c>
      <c r="C2193">
        <f>IF(ISBLANK('ENGAGEMENTS 2026'!C2193),"",'ENGAGEMENTS 2026'!E2193)</f>
        <v/>
      </c>
      <c r="D2193">
        <f>IF(ISBLANK('ENGAGEMENTS 2026'!C2193),"",'ENGAGEMENTS 2026'!G2193)</f>
        <v/>
      </c>
      <c r="E2193">
        <f>IF(ISBLANK('ENGAGEMENTS 2026'!C2193),"",'ENGAGEMENTS 2026'!I2193)</f>
        <v/>
      </c>
      <c r="F2193">
        <f>IF(ISBLANK('ENGAGEMENTS 2026'!C2193),"",'ENGAGEMENTS 2026'!J2193)</f>
        <v/>
      </c>
      <c r="G2193">
        <f>IF(ISBLANK('ENGAGEMENTS 2026'!C2193),"",'ENGAGEMENTS 2026'!M2193)</f>
        <v/>
      </c>
      <c r="H2193">
        <f>IF(ISBLANK('ENGAGEMENTS 2026'!C2193),"",'ENGAGEMENTS 2026'!AF2193)</f>
        <v/>
      </c>
      <c r="I2193">
        <f>IF(ISBLANK('ENGAGEMENTS 2026'!C2193),"",'ENGAGEMENTS 2026'!H2193)</f>
        <v/>
      </c>
      <c r="J2193" s="275">
        <f>IF(ISBLANK('ENGAGEMENTS 2026'!C2193),"",IF(AND(OR($E2193="INFRUCTUEUX",$E2193="ANNULE"),$C2193="AOO-M"),'ENGAGEMENTS 2026'!P2193,IF($H2193="EN COURS DE PREENGAGEMENT",'ENGAGEMENTS 2026'!O2193,IF($H2193="PREENGAGE",IF($E2193="ATTRIBUE",'ENGAGEMENTS 2026'!AE2193,'ENGAGEMENTS 2026'!O2193),'ENGAGEMENTS 2026'!AE2193))))</f>
        <v/>
      </c>
      <c r="K2193" s="604">
        <f>IF(ISBLANK('ENGAGEMENTS 2026'!W2193),"",'ENGAGEMENTS 2026'!W2193)</f>
        <v/>
      </c>
      <c r="L2193" s="276">
        <f>IF($K2193="","",TODAY()-$K2193)</f>
        <v/>
      </c>
      <c r="M2193">
        <f>IF($A2193="","",IF($H2193="ENGAGE","Engagé",IF(AND($H2193="NON ENGAGE",OR($I2193="INFRUCTUEUX",$I2193="ANNULE")),"Clôturé sans suite","En cours")))</f>
        <v/>
      </c>
      <c r="N2193">
        <f>IF(ISBLANK('ENGAGEMENTS 2026'!C2193),"",'ENGAGEMENTS 2026'!L2193)</f>
        <v/>
      </c>
      <c r="O2193">
        <f>IF(ISBLANK('ENGAGEMENTS 2026'!C2193),"",'ENGAGEMENTS 2026'!M2193)</f>
        <v/>
      </c>
      <c r="P2193">
        <f>IF(ISBLANK('ENGAGEMENTS 2026'!C2193),"",'ENGAGEMENTS 2026'!K2193)</f>
        <v/>
      </c>
      <c r="Q2193">
        <f>IF($A2193="","",IF(OR($E2193="INFRUCTUEUX",$E2193="ANNULE"),$A2193&amp;"|"&amp;(COUNTIFS($A$2:$A2193,$A2193,$E$2:$E2193,"INFRUCTUEUX")+COUNTIFS($A$2:$A2193,$A2193,$E$2:$E2193,"ANNULE")),""))</f>
        <v/>
      </c>
    </row>
    <row r="2194">
      <c r="A2194">
        <f>IF(ISBLANK('ENGAGEMENTS 2026'!C2194),"",IF('ENGAGEMENTS 2026'!C2194="DTSI","DCT",'ENGAGEMENTS 2026'!C2194))</f>
        <v/>
      </c>
      <c r="B2194">
        <f>IF(ISBLANK('ENGAGEMENTS 2026'!C2194),"",'ENGAGEMENTS 2026'!D2194)</f>
        <v/>
      </c>
      <c r="C2194">
        <f>IF(ISBLANK('ENGAGEMENTS 2026'!C2194),"",'ENGAGEMENTS 2026'!E2194)</f>
        <v/>
      </c>
      <c r="D2194">
        <f>IF(ISBLANK('ENGAGEMENTS 2026'!C2194),"",'ENGAGEMENTS 2026'!G2194)</f>
        <v/>
      </c>
      <c r="E2194">
        <f>IF(ISBLANK('ENGAGEMENTS 2026'!C2194),"",'ENGAGEMENTS 2026'!I2194)</f>
        <v/>
      </c>
      <c r="F2194">
        <f>IF(ISBLANK('ENGAGEMENTS 2026'!C2194),"",'ENGAGEMENTS 2026'!J2194)</f>
        <v/>
      </c>
      <c r="G2194">
        <f>IF(ISBLANK('ENGAGEMENTS 2026'!C2194),"",'ENGAGEMENTS 2026'!M2194)</f>
        <v/>
      </c>
      <c r="H2194">
        <f>IF(ISBLANK('ENGAGEMENTS 2026'!C2194),"",'ENGAGEMENTS 2026'!AF2194)</f>
        <v/>
      </c>
      <c r="I2194">
        <f>IF(ISBLANK('ENGAGEMENTS 2026'!C2194),"",'ENGAGEMENTS 2026'!H2194)</f>
        <v/>
      </c>
      <c r="J2194" s="275">
        <f>IF(ISBLANK('ENGAGEMENTS 2026'!C2194),"",IF(AND(OR($E2194="INFRUCTUEUX",$E2194="ANNULE"),$C2194="AOO-M"),'ENGAGEMENTS 2026'!P2194,IF($H2194="EN COURS DE PREENGAGEMENT",'ENGAGEMENTS 2026'!O2194,IF($H2194="PREENGAGE",IF($E2194="ATTRIBUE",'ENGAGEMENTS 2026'!AE2194,'ENGAGEMENTS 2026'!O2194),'ENGAGEMENTS 2026'!AE2194))))</f>
        <v/>
      </c>
      <c r="K2194" s="604">
        <f>IF(ISBLANK('ENGAGEMENTS 2026'!W2194),"",'ENGAGEMENTS 2026'!W2194)</f>
        <v/>
      </c>
      <c r="L2194" s="276">
        <f>IF($K2194="","",TODAY()-$K2194)</f>
        <v/>
      </c>
      <c r="M2194">
        <f>IF($A2194="","",IF($H2194="ENGAGE","Engagé",IF(AND($H2194="NON ENGAGE",OR($I2194="INFRUCTUEUX",$I2194="ANNULE")),"Clôturé sans suite","En cours")))</f>
        <v/>
      </c>
      <c r="N2194">
        <f>IF(ISBLANK('ENGAGEMENTS 2026'!C2194),"",'ENGAGEMENTS 2026'!L2194)</f>
        <v/>
      </c>
      <c r="O2194">
        <f>IF(ISBLANK('ENGAGEMENTS 2026'!C2194),"",'ENGAGEMENTS 2026'!M2194)</f>
        <v/>
      </c>
      <c r="P2194">
        <f>IF(ISBLANK('ENGAGEMENTS 2026'!C2194),"",'ENGAGEMENTS 2026'!K2194)</f>
        <v/>
      </c>
      <c r="Q2194">
        <f>IF($A2194="","",IF(OR($E2194="INFRUCTUEUX",$E2194="ANNULE"),$A2194&amp;"|"&amp;(COUNTIFS($A$2:$A2194,$A2194,$E$2:$E2194,"INFRUCTUEUX")+COUNTIFS($A$2:$A2194,$A2194,$E$2:$E2194,"ANNULE")),""))</f>
        <v/>
      </c>
    </row>
    <row r="2195">
      <c r="A2195">
        <f>IF(ISBLANK('ENGAGEMENTS 2026'!C2195),"",IF('ENGAGEMENTS 2026'!C2195="DTSI","DCT",'ENGAGEMENTS 2026'!C2195))</f>
        <v/>
      </c>
      <c r="B2195">
        <f>IF(ISBLANK('ENGAGEMENTS 2026'!C2195),"",'ENGAGEMENTS 2026'!D2195)</f>
        <v/>
      </c>
      <c r="C2195">
        <f>IF(ISBLANK('ENGAGEMENTS 2026'!C2195),"",'ENGAGEMENTS 2026'!E2195)</f>
        <v/>
      </c>
      <c r="D2195">
        <f>IF(ISBLANK('ENGAGEMENTS 2026'!C2195),"",'ENGAGEMENTS 2026'!G2195)</f>
        <v/>
      </c>
      <c r="E2195">
        <f>IF(ISBLANK('ENGAGEMENTS 2026'!C2195),"",'ENGAGEMENTS 2026'!I2195)</f>
        <v/>
      </c>
      <c r="F2195">
        <f>IF(ISBLANK('ENGAGEMENTS 2026'!C2195),"",'ENGAGEMENTS 2026'!J2195)</f>
        <v/>
      </c>
      <c r="G2195">
        <f>IF(ISBLANK('ENGAGEMENTS 2026'!C2195),"",'ENGAGEMENTS 2026'!M2195)</f>
        <v/>
      </c>
      <c r="H2195">
        <f>IF(ISBLANK('ENGAGEMENTS 2026'!C2195),"",'ENGAGEMENTS 2026'!AF2195)</f>
        <v/>
      </c>
      <c r="I2195">
        <f>IF(ISBLANK('ENGAGEMENTS 2026'!C2195),"",'ENGAGEMENTS 2026'!H2195)</f>
        <v/>
      </c>
      <c r="J2195" s="275">
        <f>IF(ISBLANK('ENGAGEMENTS 2026'!C2195),"",IF(AND(OR($E2195="INFRUCTUEUX",$E2195="ANNULE"),$C2195="AOO-M"),'ENGAGEMENTS 2026'!P2195,IF($H2195="EN COURS DE PREENGAGEMENT",'ENGAGEMENTS 2026'!O2195,IF($H2195="PREENGAGE",IF($E2195="ATTRIBUE",'ENGAGEMENTS 2026'!AE2195,'ENGAGEMENTS 2026'!O2195),'ENGAGEMENTS 2026'!AE2195))))</f>
        <v/>
      </c>
      <c r="K2195" s="604">
        <f>IF(ISBLANK('ENGAGEMENTS 2026'!W2195),"",'ENGAGEMENTS 2026'!W2195)</f>
        <v/>
      </c>
      <c r="L2195" s="276">
        <f>IF($K2195="","",TODAY()-$K2195)</f>
        <v/>
      </c>
      <c r="M2195">
        <f>IF($A2195="","",IF($H2195="ENGAGE","Engagé",IF(AND($H2195="NON ENGAGE",OR($I2195="INFRUCTUEUX",$I2195="ANNULE")),"Clôturé sans suite","En cours")))</f>
        <v/>
      </c>
      <c r="N2195">
        <f>IF(ISBLANK('ENGAGEMENTS 2026'!C2195),"",'ENGAGEMENTS 2026'!L2195)</f>
        <v/>
      </c>
      <c r="O2195">
        <f>IF(ISBLANK('ENGAGEMENTS 2026'!C2195),"",'ENGAGEMENTS 2026'!M2195)</f>
        <v/>
      </c>
      <c r="P2195">
        <f>IF(ISBLANK('ENGAGEMENTS 2026'!C2195),"",'ENGAGEMENTS 2026'!K2195)</f>
        <v/>
      </c>
      <c r="Q2195">
        <f>IF($A2195="","",IF(OR($E2195="INFRUCTUEUX",$E2195="ANNULE"),$A2195&amp;"|"&amp;(COUNTIFS($A$2:$A2195,$A2195,$E$2:$E2195,"INFRUCTUEUX")+COUNTIFS($A$2:$A2195,$A2195,$E$2:$E2195,"ANNULE")),""))</f>
        <v/>
      </c>
    </row>
    <row r="2196">
      <c r="A2196">
        <f>IF(ISBLANK('ENGAGEMENTS 2026'!C2196),"",IF('ENGAGEMENTS 2026'!C2196="DTSI","DCT",'ENGAGEMENTS 2026'!C2196))</f>
        <v/>
      </c>
      <c r="B2196">
        <f>IF(ISBLANK('ENGAGEMENTS 2026'!C2196),"",'ENGAGEMENTS 2026'!D2196)</f>
        <v/>
      </c>
      <c r="C2196">
        <f>IF(ISBLANK('ENGAGEMENTS 2026'!C2196),"",'ENGAGEMENTS 2026'!E2196)</f>
        <v/>
      </c>
      <c r="D2196">
        <f>IF(ISBLANK('ENGAGEMENTS 2026'!C2196),"",'ENGAGEMENTS 2026'!G2196)</f>
        <v/>
      </c>
      <c r="E2196">
        <f>IF(ISBLANK('ENGAGEMENTS 2026'!C2196),"",'ENGAGEMENTS 2026'!I2196)</f>
        <v/>
      </c>
      <c r="F2196">
        <f>IF(ISBLANK('ENGAGEMENTS 2026'!C2196),"",'ENGAGEMENTS 2026'!J2196)</f>
        <v/>
      </c>
      <c r="G2196">
        <f>IF(ISBLANK('ENGAGEMENTS 2026'!C2196),"",'ENGAGEMENTS 2026'!M2196)</f>
        <v/>
      </c>
      <c r="H2196">
        <f>IF(ISBLANK('ENGAGEMENTS 2026'!C2196),"",'ENGAGEMENTS 2026'!AF2196)</f>
        <v/>
      </c>
      <c r="I2196">
        <f>IF(ISBLANK('ENGAGEMENTS 2026'!C2196),"",'ENGAGEMENTS 2026'!H2196)</f>
        <v/>
      </c>
      <c r="J2196" s="275">
        <f>IF(ISBLANK('ENGAGEMENTS 2026'!C2196),"",IF(AND(OR($E2196="INFRUCTUEUX",$E2196="ANNULE"),$C2196="AOO-M"),'ENGAGEMENTS 2026'!P2196,IF($H2196="EN COURS DE PREENGAGEMENT",'ENGAGEMENTS 2026'!O2196,IF($H2196="PREENGAGE",IF($E2196="ATTRIBUE",'ENGAGEMENTS 2026'!AE2196,'ENGAGEMENTS 2026'!O2196),'ENGAGEMENTS 2026'!AE2196))))</f>
        <v/>
      </c>
      <c r="K2196" s="604">
        <f>IF(ISBLANK('ENGAGEMENTS 2026'!W2196),"",'ENGAGEMENTS 2026'!W2196)</f>
        <v/>
      </c>
      <c r="L2196" s="276">
        <f>IF($K2196="","",TODAY()-$K2196)</f>
        <v/>
      </c>
      <c r="M2196">
        <f>IF($A2196="","",IF($H2196="ENGAGE","Engagé",IF(AND($H2196="NON ENGAGE",OR($I2196="INFRUCTUEUX",$I2196="ANNULE")),"Clôturé sans suite","En cours")))</f>
        <v/>
      </c>
      <c r="N2196">
        <f>IF(ISBLANK('ENGAGEMENTS 2026'!C2196),"",'ENGAGEMENTS 2026'!L2196)</f>
        <v/>
      </c>
      <c r="O2196">
        <f>IF(ISBLANK('ENGAGEMENTS 2026'!C2196),"",'ENGAGEMENTS 2026'!M2196)</f>
        <v/>
      </c>
      <c r="P2196">
        <f>IF(ISBLANK('ENGAGEMENTS 2026'!C2196),"",'ENGAGEMENTS 2026'!K2196)</f>
        <v/>
      </c>
      <c r="Q2196">
        <f>IF($A2196="","",IF(OR($E2196="INFRUCTUEUX",$E2196="ANNULE"),$A2196&amp;"|"&amp;(COUNTIFS($A$2:$A2196,$A2196,$E$2:$E2196,"INFRUCTUEUX")+COUNTIFS($A$2:$A2196,$A2196,$E$2:$E2196,"ANNULE")),""))</f>
        <v/>
      </c>
    </row>
    <row r="2197">
      <c r="A2197">
        <f>IF(ISBLANK('ENGAGEMENTS 2026'!C2197),"",IF('ENGAGEMENTS 2026'!C2197="DTSI","DCT",'ENGAGEMENTS 2026'!C2197))</f>
        <v/>
      </c>
      <c r="B2197">
        <f>IF(ISBLANK('ENGAGEMENTS 2026'!C2197),"",'ENGAGEMENTS 2026'!D2197)</f>
        <v/>
      </c>
      <c r="C2197">
        <f>IF(ISBLANK('ENGAGEMENTS 2026'!C2197),"",'ENGAGEMENTS 2026'!E2197)</f>
        <v/>
      </c>
      <c r="D2197">
        <f>IF(ISBLANK('ENGAGEMENTS 2026'!C2197),"",'ENGAGEMENTS 2026'!G2197)</f>
        <v/>
      </c>
      <c r="E2197">
        <f>IF(ISBLANK('ENGAGEMENTS 2026'!C2197),"",'ENGAGEMENTS 2026'!I2197)</f>
        <v/>
      </c>
      <c r="F2197">
        <f>IF(ISBLANK('ENGAGEMENTS 2026'!C2197),"",'ENGAGEMENTS 2026'!J2197)</f>
        <v/>
      </c>
      <c r="G2197">
        <f>IF(ISBLANK('ENGAGEMENTS 2026'!C2197),"",'ENGAGEMENTS 2026'!M2197)</f>
        <v/>
      </c>
      <c r="H2197">
        <f>IF(ISBLANK('ENGAGEMENTS 2026'!C2197),"",'ENGAGEMENTS 2026'!AF2197)</f>
        <v/>
      </c>
      <c r="I2197">
        <f>IF(ISBLANK('ENGAGEMENTS 2026'!C2197),"",'ENGAGEMENTS 2026'!H2197)</f>
        <v/>
      </c>
      <c r="J2197" s="275">
        <f>IF(ISBLANK('ENGAGEMENTS 2026'!C2197),"",IF(AND(OR($E2197="INFRUCTUEUX",$E2197="ANNULE"),$C2197="AOO-M"),'ENGAGEMENTS 2026'!P2197,IF($H2197="EN COURS DE PREENGAGEMENT",'ENGAGEMENTS 2026'!O2197,IF($H2197="PREENGAGE",IF($E2197="ATTRIBUE",'ENGAGEMENTS 2026'!AE2197,'ENGAGEMENTS 2026'!O2197),'ENGAGEMENTS 2026'!AE2197))))</f>
        <v/>
      </c>
      <c r="K2197" s="604">
        <f>IF(ISBLANK('ENGAGEMENTS 2026'!W2197),"",'ENGAGEMENTS 2026'!W2197)</f>
        <v/>
      </c>
      <c r="L2197" s="276">
        <f>IF($K2197="","",TODAY()-$K2197)</f>
        <v/>
      </c>
      <c r="M2197">
        <f>IF($A2197="","",IF($H2197="ENGAGE","Engagé",IF(AND($H2197="NON ENGAGE",OR($I2197="INFRUCTUEUX",$I2197="ANNULE")),"Clôturé sans suite","En cours")))</f>
        <v/>
      </c>
      <c r="N2197">
        <f>IF(ISBLANK('ENGAGEMENTS 2026'!C2197),"",'ENGAGEMENTS 2026'!L2197)</f>
        <v/>
      </c>
      <c r="O2197">
        <f>IF(ISBLANK('ENGAGEMENTS 2026'!C2197),"",'ENGAGEMENTS 2026'!M2197)</f>
        <v/>
      </c>
      <c r="P2197">
        <f>IF(ISBLANK('ENGAGEMENTS 2026'!C2197),"",'ENGAGEMENTS 2026'!K2197)</f>
        <v/>
      </c>
      <c r="Q2197">
        <f>IF($A2197="","",IF(OR($E2197="INFRUCTUEUX",$E2197="ANNULE"),$A2197&amp;"|"&amp;(COUNTIFS($A$2:$A2197,$A2197,$E$2:$E2197,"INFRUCTUEUX")+COUNTIFS($A$2:$A2197,$A2197,$E$2:$E2197,"ANNULE")),""))</f>
        <v/>
      </c>
    </row>
    <row r="2198">
      <c r="A2198">
        <f>IF(ISBLANK('ENGAGEMENTS 2026'!C2198),"",IF('ENGAGEMENTS 2026'!C2198="DTSI","DCT",'ENGAGEMENTS 2026'!C2198))</f>
        <v/>
      </c>
      <c r="B2198">
        <f>IF(ISBLANK('ENGAGEMENTS 2026'!C2198),"",'ENGAGEMENTS 2026'!D2198)</f>
        <v/>
      </c>
      <c r="C2198">
        <f>IF(ISBLANK('ENGAGEMENTS 2026'!C2198),"",'ENGAGEMENTS 2026'!E2198)</f>
        <v/>
      </c>
      <c r="D2198">
        <f>IF(ISBLANK('ENGAGEMENTS 2026'!C2198),"",'ENGAGEMENTS 2026'!G2198)</f>
        <v/>
      </c>
      <c r="E2198">
        <f>IF(ISBLANK('ENGAGEMENTS 2026'!C2198),"",'ENGAGEMENTS 2026'!I2198)</f>
        <v/>
      </c>
      <c r="F2198">
        <f>IF(ISBLANK('ENGAGEMENTS 2026'!C2198),"",'ENGAGEMENTS 2026'!J2198)</f>
        <v/>
      </c>
      <c r="G2198">
        <f>IF(ISBLANK('ENGAGEMENTS 2026'!C2198),"",'ENGAGEMENTS 2026'!M2198)</f>
        <v/>
      </c>
      <c r="H2198">
        <f>IF(ISBLANK('ENGAGEMENTS 2026'!C2198),"",'ENGAGEMENTS 2026'!AF2198)</f>
        <v/>
      </c>
      <c r="I2198">
        <f>IF(ISBLANK('ENGAGEMENTS 2026'!C2198),"",'ENGAGEMENTS 2026'!H2198)</f>
        <v/>
      </c>
      <c r="J2198" s="275">
        <f>IF(ISBLANK('ENGAGEMENTS 2026'!C2198),"",IF(AND(OR($E2198="INFRUCTUEUX",$E2198="ANNULE"),$C2198="AOO-M"),'ENGAGEMENTS 2026'!P2198,IF($H2198="EN COURS DE PREENGAGEMENT",'ENGAGEMENTS 2026'!O2198,IF($H2198="PREENGAGE",IF($E2198="ATTRIBUE",'ENGAGEMENTS 2026'!AE2198,'ENGAGEMENTS 2026'!O2198),'ENGAGEMENTS 2026'!AE2198))))</f>
        <v/>
      </c>
      <c r="K2198" s="604">
        <f>IF(ISBLANK('ENGAGEMENTS 2026'!W2198),"",'ENGAGEMENTS 2026'!W2198)</f>
        <v/>
      </c>
      <c r="L2198" s="276">
        <f>IF($K2198="","",TODAY()-$K2198)</f>
        <v/>
      </c>
      <c r="M2198">
        <f>IF($A2198="","",IF($H2198="ENGAGE","Engagé",IF(AND($H2198="NON ENGAGE",OR($I2198="INFRUCTUEUX",$I2198="ANNULE")),"Clôturé sans suite","En cours")))</f>
        <v/>
      </c>
      <c r="N2198">
        <f>IF(ISBLANK('ENGAGEMENTS 2026'!C2198),"",'ENGAGEMENTS 2026'!L2198)</f>
        <v/>
      </c>
      <c r="O2198">
        <f>IF(ISBLANK('ENGAGEMENTS 2026'!C2198),"",'ENGAGEMENTS 2026'!M2198)</f>
        <v/>
      </c>
      <c r="P2198">
        <f>IF(ISBLANK('ENGAGEMENTS 2026'!C2198),"",'ENGAGEMENTS 2026'!K2198)</f>
        <v/>
      </c>
      <c r="Q2198">
        <f>IF($A2198="","",IF(OR($E2198="INFRUCTUEUX",$E2198="ANNULE"),$A2198&amp;"|"&amp;(COUNTIFS($A$2:$A2198,$A2198,$E$2:$E2198,"INFRUCTUEUX")+COUNTIFS($A$2:$A2198,$A2198,$E$2:$E2198,"ANNULE")),""))</f>
        <v/>
      </c>
    </row>
    <row r="2199">
      <c r="A2199">
        <f>IF(ISBLANK('ENGAGEMENTS 2026'!C2199),"",IF('ENGAGEMENTS 2026'!C2199="DTSI","DCT",'ENGAGEMENTS 2026'!C2199))</f>
        <v/>
      </c>
      <c r="B2199">
        <f>IF(ISBLANK('ENGAGEMENTS 2026'!C2199),"",'ENGAGEMENTS 2026'!D2199)</f>
        <v/>
      </c>
      <c r="C2199">
        <f>IF(ISBLANK('ENGAGEMENTS 2026'!C2199),"",'ENGAGEMENTS 2026'!E2199)</f>
        <v/>
      </c>
      <c r="D2199">
        <f>IF(ISBLANK('ENGAGEMENTS 2026'!C2199),"",'ENGAGEMENTS 2026'!G2199)</f>
        <v/>
      </c>
      <c r="E2199">
        <f>IF(ISBLANK('ENGAGEMENTS 2026'!C2199),"",'ENGAGEMENTS 2026'!I2199)</f>
        <v/>
      </c>
      <c r="F2199">
        <f>IF(ISBLANK('ENGAGEMENTS 2026'!C2199),"",'ENGAGEMENTS 2026'!J2199)</f>
        <v/>
      </c>
      <c r="G2199">
        <f>IF(ISBLANK('ENGAGEMENTS 2026'!C2199),"",'ENGAGEMENTS 2026'!M2199)</f>
        <v/>
      </c>
      <c r="H2199">
        <f>IF(ISBLANK('ENGAGEMENTS 2026'!C2199),"",'ENGAGEMENTS 2026'!AF2199)</f>
        <v/>
      </c>
      <c r="I2199">
        <f>IF(ISBLANK('ENGAGEMENTS 2026'!C2199),"",'ENGAGEMENTS 2026'!H2199)</f>
        <v/>
      </c>
      <c r="J2199" s="275">
        <f>IF(ISBLANK('ENGAGEMENTS 2026'!C2199),"",IF(AND(OR($E2199="INFRUCTUEUX",$E2199="ANNULE"),$C2199="AOO-M"),'ENGAGEMENTS 2026'!P2199,IF($H2199="EN COURS DE PREENGAGEMENT",'ENGAGEMENTS 2026'!O2199,IF($H2199="PREENGAGE",IF($E2199="ATTRIBUE",'ENGAGEMENTS 2026'!AE2199,'ENGAGEMENTS 2026'!O2199),'ENGAGEMENTS 2026'!AE2199))))</f>
        <v/>
      </c>
      <c r="K2199" s="604">
        <f>IF(ISBLANK('ENGAGEMENTS 2026'!W2199),"",'ENGAGEMENTS 2026'!W2199)</f>
        <v/>
      </c>
      <c r="L2199" s="276">
        <f>IF($K2199="","",TODAY()-$K2199)</f>
        <v/>
      </c>
      <c r="M2199">
        <f>IF($A2199="","",IF($H2199="ENGAGE","Engagé",IF(AND($H2199="NON ENGAGE",OR($I2199="INFRUCTUEUX",$I2199="ANNULE")),"Clôturé sans suite","En cours")))</f>
        <v/>
      </c>
      <c r="N2199">
        <f>IF(ISBLANK('ENGAGEMENTS 2026'!C2199),"",'ENGAGEMENTS 2026'!L2199)</f>
        <v/>
      </c>
      <c r="O2199">
        <f>IF(ISBLANK('ENGAGEMENTS 2026'!C2199),"",'ENGAGEMENTS 2026'!M2199)</f>
        <v/>
      </c>
      <c r="P2199">
        <f>IF(ISBLANK('ENGAGEMENTS 2026'!C2199),"",'ENGAGEMENTS 2026'!K2199)</f>
        <v/>
      </c>
      <c r="Q2199">
        <f>IF($A2199="","",IF(OR($E2199="INFRUCTUEUX",$E2199="ANNULE"),$A2199&amp;"|"&amp;(COUNTIFS($A$2:$A2199,$A2199,$E$2:$E2199,"INFRUCTUEUX")+COUNTIFS($A$2:$A2199,$A2199,$E$2:$E2199,"ANNULE")),""))</f>
        <v/>
      </c>
    </row>
    <row r="2200">
      <c r="A2200">
        <f>IF(ISBLANK('ENGAGEMENTS 2026'!C2200),"",IF('ENGAGEMENTS 2026'!C2200="DTSI","DCT",'ENGAGEMENTS 2026'!C2200))</f>
        <v/>
      </c>
      <c r="B2200">
        <f>IF(ISBLANK('ENGAGEMENTS 2026'!C2200),"",'ENGAGEMENTS 2026'!D2200)</f>
        <v/>
      </c>
      <c r="C2200">
        <f>IF(ISBLANK('ENGAGEMENTS 2026'!C2200),"",'ENGAGEMENTS 2026'!E2200)</f>
        <v/>
      </c>
      <c r="D2200">
        <f>IF(ISBLANK('ENGAGEMENTS 2026'!C2200),"",'ENGAGEMENTS 2026'!G2200)</f>
        <v/>
      </c>
      <c r="E2200">
        <f>IF(ISBLANK('ENGAGEMENTS 2026'!C2200),"",'ENGAGEMENTS 2026'!I2200)</f>
        <v/>
      </c>
      <c r="F2200">
        <f>IF(ISBLANK('ENGAGEMENTS 2026'!C2200),"",'ENGAGEMENTS 2026'!J2200)</f>
        <v/>
      </c>
      <c r="G2200">
        <f>IF(ISBLANK('ENGAGEMENTS 2026'!C2200),"",'ENGAGEMENTS 2026'!M2200)</f>
        <v/>
      </c>
      <c r="H2200">
        <f>IF(ISBLANK('ENGAGEMENTS 2026'!C2200),"",'ENGAGEMENTS 2026'!AF2200)</f>
        <v/>
      </c>
      <c r="I2200">
        <f>IF(ISBLANK('ENGAGEMENTS 2026'!C2200),"",'ENGAGEMENTS 2026'!H2200)</f>
        <v/>
      </c>
      <c r="J2200" s="275">
        <f>IF(ISBLANK('ENGAGEMENTS 2026'!C2200),"",IF(AND(OR($E2200="INFRUCTUEUX",$E2200="ANNULE"),$C2200="AOO-M"),'ENGAGEMENTS 2026'!P2200,IF($H2200="EN COURS DE PREENGAGEMENT",'ENGAGEMENTS 2026'!O2200,IF($H2200="PREENGAGE",IF($E2200="ATTRIBUE",'ENGAGEMENTS 2026'!AE2200,'ENGAGEMENTS 2026'!O2200),'ENGAGEMENTS 2026'!AE2200))))</f>
        <v/>
      </c>
      <c r="K2200" s="604">
        <f>IF(ISBLANK('ENGAGEMENTS 2026'!W2200),"",'ENGAGEMENTS 2026'!W2200)</f>
        <v/>
      </c>
      <c r="L2200" s="276">
        <f>IF($K2200="","",TODAY()-$K2200)</f>
        <v/>
      </c>
      <c r="M2200">
        <f>IF($A2200="","",IF($H2200="ENGAGE","Engagé",IF(AND($H2200="NON ENGAGE",OR($I2200="INFRUCTUEUX",$I2200="ANNULE")),"Clôturé sans suite","En cours")))</f>
        <v/>
      </c>
      <c r="N2200">
        <f>IF(ISBLANK('ENGAGEMENTS 2026'!C2200),"",'ENGAGEMENTS 2026'!L2200)</f>
        <v/>
      </c>
      <c r="O2200">
        <f>IF(ISBLANK('ENGAGEMENTS 2026'!C2200),"",'ENGAGEMENTS 2026'!M2200)</f>
        <v/>
      </c>
      <c r="P2200">
        <f>IF(ISBLANK('ENGAGEMENTS 2026'!C2200),"",'ENGAGEMENTS 2026'!K2200)</f>
        <v/>
      </c>
      <c r="Q2200">
        <f>IF($A2200="","",IF(OR($E2200="INFRUCTUEUX",$E2200="ANNULE"),$A2200&amp;"|"&amp;(COUNTIFS($A$2:$A2200,$A2200,$E$2:$E2200,"INFRUCTUEUX")+COUNTIFS($A$2:$A2200,$A2200,$E$2:$E2200,"ANNULE")),""))</f>
        <v/>
      </c>
    </row>
    <row r="2201">
      <c r="A2201">
        <f>IF(ISBLANK('ENGAGEMENTS 2026'!C2201),"",IF('ENGAGEMENTS 2026'!C2201="DTSI","DCT",'ENGAGEMENTS 2026'!C2201))</f>
        <v/>
      </c>
      <c r="B2201">
        <f>IF(ISBLANK('ENGAGEMENTS 2026'!C2201),"",'ENGAGEMENTS 2026'!D2201)</f>
        <v/>
      </c>
      <c r="C2201">
        <f>IF(ISBLANK('ENGAGEMENTS 2026'!C2201),"",'ENGAGEMENTS 2026'!E2201)</f>
        <v/>
      </c>
      <c r="D2201">
        <f>IF(ISBLANK('ENGAGEMENTS 2026'!C2201),"",'ENGAGEMENTS 2026'!G2201)</f>
        <v/>
      </c>
      <c r="E2201">
        <f>IF(ISBLANK('ENGAGEMENTS 2026'!C2201),"",'ENGAGEMENTS 2026'!I2201)</f>
        <v/>
      </c>
      <c r="F2201">
        <f>IF(ISBLANK('ENGAGEMENTS 2026'!C2201),"",'ENGAGEMENTS 2026'!J2201)</f>
        <v/>
      </c>
      <c r="G2201">
        <f>IF(ISBLANK('ENGAGEMENTS 2026'!C2201),"",'ENGAGEMENTS 2026'!M2201)</f>
        <v/>
      </c>
      <c r="H2201">
        <f>IF(ISBLANK('ENGAGEMENTS 2026'!C2201),"",'ENGAGEMENTS 2026'!AF2201)</f>
        <v/>
      </c>
      <c r="I2201">
        <f>IF(ISBLANK('ENGAGEMENTS 2026'!C2201),"",'ENGAGEMENTS 2026'!H2201)</f>
        <v/>
      </c>
      <c r="J2201" s="275">
        <f>IF(ISBLANK('ENGAGEMENTS 2026'!C2201),"",IF(AND(OR($E2201="INFRUCTUEUX",$E2201="ANNULE"),$C2201="AOO-M"),'ENGAGEMENTS 2026'!P2201,IF($H2201="EN COURS DE PREENGAGEMENT",'ENGAGEMENTS 2026'!O2201,IF($H2201="PREENGAGE",IF($E2201="ATTRIBUE",'ENGAGEMENTS 2026'!AE2201,'ENGAGEMENTS 2026'!O2201),'ENGAGEMENTS 2026'!AE2201))))</f>
        <v/>
      </c>
      <c r="K2201" s="604">
        <f>IF(ISBLANK('ENGAGEMENTS 2026'!W2201),"",'ENGAGEMENTS 2026'!W2201)</f>
        <v/>
      </c>
      <c r="L2201" s="276">
        <f>IF($K2201="","",TODAY()-$K2201)</f>
        <v/>
      </c>
      <c r="M2201">
        <f>IF($A2201="","",IF($H2201="ENGAGE","Engagé",IF(AND($H2201="NON ENGAGE",OR($I2201="INFRUCTUEUX",$I2201="ANNULE")),"Clôturé sans suite","En cours")))</f>
        <v/>
      </c>
      <c r="N2201">
        <f>IF(ISBLANK('ENGAGEMENTS 2026'!C2201),"",'ENGAGEMENTS 2026'!L2201)</f>
        <v/>
      </c>
      <c r="O2201">
        <f>IF(ISBLANK('ENGAGEMENTS 2026'!C2201),"",'ENGAGEMENTS 2026'!M2201)</f>
        <v/>
      </c>
      <c r="P2201">
        <f>IF(ISBLANK('ENGAGEMENTS 2026'!C2201),"",'ENGAGEMENTS 2026'!K2201)</f>
        <v/>
      </c>
      <c r="Q2201">
        <f>IF($A2201="","",IF(OR($E2201="INFRUCTUEUX",$E2201="ANNULE"),$A2201&amp;"|"&amp;(COUNTIFS($A$2:$A2201,$A2201,$E$2:$E2201,"INFRUCTUEUX")+COUNTIFS($A$2:$A2201,$A2201,$E$2:$E2201,"ANNULE")),""))</f>
        <v/>
      </c>
    </row>
    <row r="2202">
      <c r="A2202">
        <f>IF(ISBLANK('ENGAGEMENTS 2026'!C2202),"",IF('ENGAGEMENTS 2026'!C2202="DTSI","DCT",'ENGAGEMENTS 2026'!C2202))</f>
        <v/>
      </c>
      <c r="B2202">
        <f>IF(ISBLANK('ENGAGEMENTS 2026'!C2202),"",'ENGAGEMENTS 2026'!D2202)</f>
        <v/>
      </c>
      <c r="C2202">
        <f>IF(ISBLANK('ENGAGEMENTS 2026'!C2202),"",'ENGAGEMENTS 2026'!E2202)</f>
        <v/>
      </c>
      <c r="D2202">
        <f>IF(ISBLANK('ENGAGEMENTS 2026'!C2202),"",'ENGAGEMENTS 2026'!G2202)</f>
        <v/>
      </c>
      <c r="E2202">
        <f>IF(ISBLANK('ENGAGEMENTS 2026'!C2202),"",'ENGAGEMENTS 2026'!I2202)</f>
        <v/>
      </c>
      <c r="F2202">
        <f>IF(ISBLANK('ENGAGEMENTS 2026'!C2202),"",'ENGAGEMENTS 2026'!J2202)</f>
        <v/>
      </c>
      <c r="G2202">
        <f>IF(ISBLANK('ENGAGEMENTS 2026'!C2202),"",'ENGAGEMENTS 2026'!M2202)</f>
        <v/>
      </c>
      <c r="H2202">
        <f>IF(ISBLANK('ENGAGEMENTS 2026'!C2202),"",'ENGAGEMENTS 2026'!AF2202)</f>
        <v/>
      </c>
      <c r="I2202">
        <f>IF(ISBLANK('ENGAGEMENTS 2026'!C2202),"",'ENGAGEMENTS 2026'!H2202)</f>
        <v/>
      </c>
      <c r="J2202" s="275">
        <f>IF(ISBLANK('ENGAGEMENTS 2026'!C2202),"",IF(AND(OR($E2202="INFRUCTUEUX",$E2202="ANNULE"),$C2202="AOO-M"),'ENGAGEMENTS 2026'!P2202,IF($H2202="EN COURS DE PREENGAGEMENT",'ENGAGEMENTS 2026'!O2202,IF($H2202="PREENGAGE",IF($E2202="ATTRIBUE",'ENGAGEMENTS 2026'!AE2202,'ENGAGEMENTS 2026'!O2202),'ENGAGEMENTS 2026'!AE2202))))</f>
        <v/>
      </c>
      <c r="K2202" s="604">
        <f>IF(ISBLANK('ENGAGEMENTS 2026'!W2202),"",'ENGAGEMENTS 2026'!W2202)</f>
        <v/>
      </c>
      <c r="L2202" s="276">
        <f>IF($K2202="","",TODAY()-$K2202)</f>
        <v/>
      </c>
      <c r="M2202">
        <f>IF($A2202="","",IF($H2202="ENGAGE","Engagé",IF(AND($H2202="NON ENGAGE",OR($I2202="INFRUCTUEUX",$I2202="ANNULE")),"Clôturé sans suite","En cours")))</f>
        <v/>
      </c>
      <c r="N2202">
        <f>IF(ISBLANK('ENGAGEMENTS 2026'!C2202),"",'ENGAGEMENTS 2026'!L2202)</f>
        <v/>
      </c>
      <c r="O2202">
        <f>IF(ISBLANK('ENGAGEMENTS 2026'!C2202),"",'ENGAGEMENTS 2026'!M2202)</f>
        <v/>
      </c>
      <c r="P2202">
        <f>IF(ISBLANK('ENGAGEMENTS 2026'!C2202),"",'ENGAGEMENTS 2026'!K2202)</f>
        <v/>
      </c>
      <c r="Q2202">
        <f>IF($A2202="","",IF(OR($E2202="INFRUCTUEUX",$E2202="ANNULE"),$A2202&amp;"|"&amp;(COUNTIFS($A$2:$A2202,$A2202,$E$2:$E2202,"INFRUCTUEUX")+COUNTIFS($A$2:$A2202,$A2202,$E$2:$E2202,"ANNULE")),""))</f>
        <v/>
      </c>
    </row>
    <row r="2203">
      <c r="A2203">
        <f>IF(ISBLANK('ENGAGEMENTS 2026'!C2203),"",IF('ENGAGEMENTS 2026'!C2203="DTSI","DCT",'ENGAGEMENTS 2026'!C2203))</f>
        <v/>
      </c>
      <c r="B2203">
        <f>IF(ISBLANK('ENGAGEMENTS 2026'!C2203),"",'ENGAGEMENTS 2026'!D2203)</f>
        <v/>
      </c>
      <c r="C2203">
        <f>IF(ISBLANK('ENGAGEMENTS 2026'!C2203),"",'ENGAGEMENTS 2026'!E2203)</f>
        <v/>
      </c>
      <c r="D2203">
        <f>IF(ISBLANK('ENGAGEMENTS 2026'!C2203),"",'ENGAGEMENTS 2026'!G2203)</f>
        <v/>
      </c>
      <c r="E2203">
        <f>IF(ISBLANK('ENGAGEMENTS 2026'!C2203),"",'ENGAGEMENTS 2026'!I2203)</f>
        <v/>
      </c>
      <c r="F2203">
        <f>IF(ISBLANK('ENGAGEMENTS 2026'!C2203),"",'ENGAGEMENTS 2026'!J2203)</f>
        <v/>
      </c>
      <c r="G2203">
        <f>IF(ISBLANK('ENGAGEMENTS 2026'!C2203),"",'ENGAGEMENTS 2026'!M2203)</f>
        <v/>
      </c>
      <c r="H2203">
        <f>IF(ISBLANK('ENGAGEMENTS 2026'!C2203),"",'ENGAGEMENTS 2026'!AF2203)</f>
        <v/>
      </c>
      <c r="I2203">
        <f>IF(ISBLANK('ENGAGEMENTS 2026'!C2203),"",'ENGAGEMENTS 2026'!H2203)</f>
        <v/>
      </c>
      <c r="J2203" s="275">
        <f>IF(ISBLANK('ENGAGEMENTS 2026'!C2203),"",IF(AND(OR($E2203="INFRUCTUEUX",$E2203="ANNULE"),$C2203="AOO-M"),'ENGAGEMENTS 2026'!P2203,IF($H2203="EN COURS DE PREENGAGEMENT",'ENGAGEMENTS 2026'!O2203,IF($H2203="PREENGAGE",IF($E2203="ATTRIBUE",'ENGAGEMENTS 2026'!AE2203,'ENGAGEMENTS 2026'!O2203),'ENGAGEMENTS 2026'!AE2203))))</f>
        <v/>
      </c>
      <c r="K2203" s="604">
        <f>IF(ISBLANK('ENGAGEMENTS 2026'!W2203),"",'ENGAGEMENTS 2026'!W2203)</f>
        <v/>
      </c>
      <c r="L2203" s="276">
        <f>IF($K2203="","",TODAY()-$K2203)</f>
        <v/>
      </c>
      <c r="M2203">
        <f>IF($A2203="","",IF($H2203="ENGAGE","Engagé",IF(AND($H2203="NON ENGAGE",OR($I2203="INFRUCTUEUX",$I2203="ANNULE")),"Clôturé sans suite","En cours")))</f>
        <v/>
      </c>
      <c r="N2203">
        <f>IF(ISBLANK('ENGAGEMENTS 2026'!C2203),"",'ENGAGEMENTS 2026'!L2203)</f>
        <v/>
      </c>
      <c r="O2203">
        <f>IF(ISBLANK('ENGAGEMENTS 2026'!C2203),"",'ENGAGEMENTS 2026'!M2203)</f>
        <v/>
      </c>
      <c r="P2203">
        <f>IF(ISBLANK('ENGAGEMENTS 2026'!C2203),"",'ENGAGEMENTS 2026'!K2203)</f>
        <v/>
      </c>
      <c r="Q2203">
        <f>IF($A2203="","",IF(OR($E2203="INFRUCTUEUX",$E2203="ANNULE"),$A2203&amp;"|"&amp;(COUNTIFS($A$2:$A2203,$A2203,$E$2:$E2203,"INFRUCTUEUX")+COUNTIFS($A$2:$A2203,$A2203,$E$2:$E2203,"ANNULE")),""))</f>
        <v/>
      </c>
    </row>
    <row r="2204">
      <c r="A2204">
        <f>IF(ISBLANK('ENGAGEMENTS 2026'!C2204),"",IF('ENGAGEMENTS 2026'!C2204="DTSI","DCT",'ENGAGEMENTS 2026'!C2204))</f>
        <v/>
      </c>
      <c r="B2204">
        <f>IF(ISBLANK('ENGAGEMENTS 2026'!C2204),"",'ENGAGEMENTS 2026'!D2204)</f>
        <v/>
      </c>
      <c r="C2204">
        <f>IF(ISBLANK('ENGAGEMENTS 2026'!C2204),"",'ENGAGEMENTS 2026'!E2204)</f>
        <v/>
      </c>
      <c r="D2204">
        <f>IF(ISBLANK('ENGAGEMENTS 2026'!C2204),"",'ENGAGEMENTS 2026'!G2204)</f>
        <v/>
      </c>
      <c r="E2204">
        <f>IF(ISBLANK('ENGAGEMENTS 2026'!C2204),"",'ENGAGEMENTS 2026'!I2204)</f>
        <v/>
      </c>
      <c r="F2204">
        <f>IF(ISBLANK('ENGAGEMENTS 2026'!C2204),"",'ENGAGEMENTS 2026'!J2204)</f>
        <v/>
      </c>
      <c r="G2204">
        <f>IF(ISBLANK('ENGAGEMENTS 2026'!C2204),"",'ENGAGEMENTS 2026'!M2204)</f>
        <v/>
      </c>
      <c r="H2204">
        <f>IF(ISBLANK('ENGAGEMENTS 2026'!C2204),"",'ENGAGEMENTS 2026'!AF2204)</f>
        <v/>
      </c>
      <c r="I2204">
        <f>IF(ISBLANK('ENGAGEMENTS 2026'!C2204),"",'ENGAGEMENTS 2026'!H2204)</f>
        <v/>
      </c>
      <c r="J2204" s="275">
        <f>IF(ISBLANK('ENGAGEMENTS 2026'!C2204),"",IF(AND(OR($E2204="INFRUCTUEUX",$E2204="ANNULE"),$C2204="AOO-M"),'ENGAGEMENTS 2026'!P2204,IF($H2204="EN COURS DE PREENGAGEMENT",'ENGAGEMENTS 2026'!O2204,IF($H2204="PREENGAGE",IF($E2204="ATTRIBUE",'ENGAGEMENTS 2026'!AE2204,'ENGAGEMENTS 2026'!O2204),'ENGAGEMENTS 2026'!AE2204))))</f>
        <v/>
      </c>
      <c r="K2204" s="604">
        <f>IF(ISBLANK('ENGAGEMENTS 2026'!W2204),"",'ENGAGEMENTS 2026'!W2204)</f>
        <v/>
      </c>
      <c r="L2204" s="276">
        <f>IF($K2204="","",TODAY()-$K2204)</f>
        <v/>
      </c>
      <c r="M2204">
        <f>IF($A2204="","",IF($H2204="ENGAGE","Engagé",IF(AND($H2204="NON ENGAGE",OR($I2204="INFRUCTUEUX",$I2204="ANNULE")),"Clôturé sans suite","En cours")))</f>
        <v/>
      </c>
      <c r="N2204">
        <f>IF(ISBLANK('ENGAGEMENTS 2026'!C2204),"",'ENGAGEMENTS 2026'!L2204)</f>
        <v/>
      </c>
      <c r="O2204">
        <f>IF(ISBLANK('ENGAGEMENTS 2026'!C2204),"",'ENGAGEMENTS 2026'!M2204)</f>
        <v/>
      </c>
      <c r="P2204">
        <f>IF(ISBLANK('ENGAGEMENTS 2026'!C2204),"",'ENGAGEMENTS 2026'!K2204)</f>
        <v/>
      </c>
      <c r="Q2204">
        <f>IF($A2204="","",IF(OR($E2204="INFRUCTUEUX",$E2204="ANNULE"),$A2204&amp;"|"&amp;(COUNTIFS($A$2:$A2204,$A2204,$E$2:$E2204,"INFRUCTUEUX")+COUNTIFS($A$2:$A2204,$A2204,$E$2:$E2204,"ANNULE")),""))</f>
        <v/>
      </c>
    </row>
    <row r="2205">
      <c r="A2205">
        <f>IF(ISBLANK('ENGAGEMENTS 2026'!C2205),"",IF('ENGAGEMENTS 2026'!C2205="DTSI","DCT",'ENGAGEMENTS 2026'!C2205))</f>
        <v/>
      </c>
      <c r="B2205">
        <f>IF(ISBLANK('ENGAGEMENTS 2026'!C2205),"",'ENGAGEMENTS 2026'!D2205)</f>
        <v/>
      </c>
      <c r="C2205">
        <f>IF(ISBLANK('ENGAGEMENTS 2026'!C2205),"",'ENGAGEMENTS 2026'!E2205)</f>
        <v/>
      </c>
      <c r="D2205">
        <f>IF(ISBLANK('ENGAGEMENTS 2026'!C2205),"",'ENGAGEMENTS 2026'!G2205)</f>
        <v/>
      </c>
      <c r="E2205">
        <f>IF(ISBLANK('ENGAGEMENTS 2026'!C2205),"",'ENGAGEMENTS 2026'!I2205)</f>
        <v/>
      </c>
      <c r="F2205">
        <f>IF(ISBLANK('ENGAGEMENTS 2026'!C2205),"",'ENGAGEMENTS 2026'!J2205)</f>
        <v/>
      </c>
      <c r="G2205">
        <f>IF(ISBLANK('ENGAGEMENTS 2026'!C2205),"",'ENGAGEMENTS 2026'!M2205)</f>
        <v/>
      </c>
      <c r="H2205">
        <f>IF(ISBLANK('ENGAGEMENTS 2026'!C2205),"",'ENGAGEMENTS 2026'!AF2205)</f>
        <v/>
      </c>
      <c r="I2205">
        <f>IF(ISBLANK('ENGAGEMENTS 2026'!C2205),"",'ENGAGEMENTS 2026'!H2205)</f>
        <v/>
      </c>
      <c r="J2205" s="275">
        <f>IF(ISBLANK('ENGAGEMENTS 2026'!C2205),"",IF(AND(OR($E2205="INFRUCTUEUX",$E2205="ANNULE"),$C2205="AOO-M"),'ENGAGEMENTS 2026'!P2205,IF($H2205="EN COURS DE PREENGAGEMENT",'ENGAGEMENTS 2026'!O2205,IF($H2205="PREENGAGE",IF($E2205="ATTRIBUE",'ENGAGEMENTS 2026'!AE2205,'ENGAGEMENTS 2026'!O2205),'ENGAGEMENTS 2026'!AE2205))))</f>
        <v/>
      </c>
      <c r="K2205" s="604">
        <f>IF(ISBLANK('ENGAGEMENTS 2026'!W2205),"",'ENGAGEMENTS 2026'!W2205)</f>
        <v/>
      </c>
      <c r="L2205" s="276">
        <f>IF($K2205="","",TODAY()-$K2205)</f>
        <v/>
      </c>
      <c r="M2205">
        <f>IF($A2205="","",IF($H2205="ENGAGE","Engagé",IF(AND($H2205="NON ENGAGE",OR($I2205="INFRUCTUEUX",$I2205="ANNULE")),"Clôturé sans suite","En cours")))</f>
        <v/>
      </c>
      <c r="N2205">
        <f>IF(ISBLANK('ENGAGEMENTS 2026'!C2205),"",'ENGAGEMENTS 2026'!L2205)</f>
        <v/>
      </c>
      <c r="O2205">
        <f>IF(ISBLANK('ENGAGEMENTS 2026'!C2205),"",'ENGAGEMENTS 2026'!M2205)</f>
        <v/>
      </c>
      <c r="P2205">
        <f>IF(ISBLANK('ENGAGEMENTS 2026'!C2205),"",'ENGAGEMENTS 2026'!K2205)</f>
        <v/>
      </c>
      <c r="Q2205">
        <f>IF($A2205="","",IF(OR($E2205="INFRUCTUEUX",$E2205="ANNULE"),$A2205&amp;"|"&amp;(COUNTIFS($A$2:$A2205,$A2205,$E$2:$E2205,"INFRUCTUEUX")+COUNTIFS($A$2:$A2205,$A2205,$E$2:$E2205,"ANNULE")),""))</f>
        <v/>
      </c>
    </row>
    <row r="2206">
      <c r="A2206">
        <f>IF(ISBLANK('ENGAGEMENTS 2026'!C2206),"",IF('ENGAGEMENTS 2026'!C2206="DTSI","DCT",'ENGAGEMENTS 2026'!C2206))</f>
        <v/>
      </c>
      <c r="B2206">
        <f>IF(ISBLANK('ENGAGEMENTS 2026'!C2206),"",'ENGAGEMENTS 2026'!D2206)</f>
        <v/>
      </c>
      <c r="C2206">
        <f>IF(ISBLANK('ENGAGEMENTS 2026'!C2206),"",'ENGAGEMENTS 2026'!E2206)</f>
        <v/>
      </c>
      <c r="D2206">
        <f>IF(ISBLANK('ENGAGEMENTS 2026'!C2206),"",'ENGAGEMENTS 2026'!G2206)</f>
        <v/>
      </c>
      <c r="E2206">
        <f>IF(ISBLANK('ENGAGEMENTS 2026'!C2206),"",'ENGAGEMENTS 2026'!I2206)</f>
        <v/>
      </c>
      <c r="F2206">
        <f>IF(ISBLANK('ENGAGEMENTS 2026'!C2206),"",'ENGAGEMENTS 2026'!J2206)</f>
        <v/>
      </c>
      <c r="G2206">
        <f>IF(ISBLANK('ENGAGEMENTS 2026'!C2206),"",'ENGAGEMENTS 2026'!M2206)</f>
        <v/>
      </c>
      <c r="H2206">
        <f>IF(ISBLANK('ENGAGEMENTS 2026'!C2206),"",'ENGAGEMENTS 2026'!AF2206)</f>
        <v/>
      </c>
      <c r="I2206">
        <f>IF(ISBLANK('ENGAGEMENTS 2026'!C2206),"",'ENGAGEMENTS 2026'!H2206)</f>
        <v/>
      </c>
      <c r="J2206" s="275">
        <f>IF(ISBLANK('ENGAGEMENTS 2026'!C2206),"",IF(AND(OR($E2206="INFRUCTUEUX",$E2206="ANNULE"),$C2206="AOO-M"),'ENGAGEMENTS 2026'!P2206,IF($H2206="EN COURS DE PREENGAGEMENT",'ENGAGEMENTS 2026'!O2206,IF($H2206="PREENGAGE",IF($E2206="ATTRIBUE",'ENGAGEMENTS 2026'!AE2206,'ENGAGEMENTS 2026'!O2206),'ENGAGEMENTS 2026'!AE2206))))</f>
        <v/>
      </c>
      <c r="K2206" s="604">
        <f>IF(ISBLANK('ENGAGEMENTS 2026'!W2206),"",'ENGAGEMENTS 2026'!W2206)</f>
        <v/>
      </c>
      <c r="L2206" s="276">
        <f>IF($K2206="","",TODAY()-$K2206)</f>
        <v/>
      </c>
      <c r="M2206">
        <f>IF($A2206="","",IF($H2206="ENGAGE","Engagé",IF(AND($H2206="NON ENGAGE",OR($I2206="INFRUCTUEUX",$I2206="ANNULE")),"Clôturé sans suite","En cours")))</f>
        <v/>
      </c>
      <c r="N2206">
        <f>IF(ISBLANK('ENGAGEMENTS 2026'!C2206),"",'ENGAGEMENTS 2026'!L2206)</f>
        <v/>
      </c>
      <c r="O2206">
        <f>IF(ISBLANK('ENGAGEMENTS 2026'!C2206),"",'ENGAGEMENTS 2026'!M2206)</f>
        <v/>
      </c>
      <c r="P2206">
        <f>IF(ISBLANK('ENGAGEMENTS 2026'!C2206),"",'ENGAGEMENTS 2026'!K2206)</f>
        <v/>
      </c>
      <c r="Q2206">
        <f>IF($A2206="","",IF(OR($E2206="INFRUCTUEUX",$E2206="ANNULE"),$A2206&amp;"|"&amp;(COUNTIFS($A$2:$A2206,$A2206,$E$2:$E2206,"INFRUCTUEUX")+COUNTIFS($A$2:$A2206,$A2206,$E$2:$E2206,"ANNULE")),""))</f>
        <v/>
      </c>
    </row>
    <row r="2207">
      <c r="A2207">
        <f>IF(ISBLANK('ENGAGEMENTS 2026'!C2207),"",IF('ENGAGEMENTS 2026'!C2207="DTSI","DCT",'ENGAGEMENTS 2026'!C2207))</f>
        <v/>
      </c>
      <c r="B2207">
        <f>IF(ISBLANK('ENGAGEMENTS 2026'!C2207),"",'ENGAGEMENTS 2026'!D2207)</f>
        <v/>
      </c>
      <c r="C2207">
        <f>IF(ISBLANK('ENGAGEMENTS 2026'!C2207),"",'ENGAGEMENTS 2026'!E2207)</f>
        <v/>
      </c>
      <c r="D2207">
        <f>IF(ISBLANK('ENGAGEMENTS 2026'!C2207),"",'ENGAGEMENTS 2026'!G2207)</f>
        <v/>
      </c>
      <c r="E2207">
        <f>IF(ISBLANK('ENGAGEMENTS 2026'!C2207),"",'ENGAGEMENTS 2026'!I2207)</f>
        <v/>
      </c>
      <c r="F2207">
        <f>IF(ISBLANK('ENGAGEMENTS 2026'!C2207),"",'ENGAGEMENTS 2026'!J2207)</f>
        <v/>
      </c>
      <c r="G2207">
        <f>IF(ISBLANK('ENGAGEMENTS 2026'!C2207),"",'ENGAGEMENTS 2026'!M2207)</f>
        <v/>
      </c>
      <c r="H2207">
        <f>IF(ISBLANK('ENGAGEMENTS 2026'!C2207),"",'ENGAGEMENTS 2026'!AF2207)</f>
        <v/>
      </c>
      <c r="I2207">
        <f>IF(ISBLANK('ENGAGEMENTS 2026'!C2207),"",'ENGAGEMENTS 2026'!H2207)</f>
        <v/>
      </c>
      <c r="J2207" s="275">
        <f>IF(ISBLANK('ENGAGEMENTS 2026'!C2207),"",IF(AND(OR($E2207="INFRUCTUEUX",$E2207="ANNULE"),$C2207="AOO-M"),'ENGAGEMENTS 2026'!P2207,IF($H2207="EN COURS DE PREENGAGEMENT",'ENGAGEMENTS 2026'!O2207,IF($H2207="PREENGAGE",IF($E2207="ATTRIBUE",'ENGAGEMENTS 2026'!AE2207,'ENGAGEMENTS 2026'!O2207),'ENGAGEMENTS 2026'!AE2207))))</f>
        <v/>
      </c>
      <c r="K2207" s="604">
        <f>IF(ISBLANK('ENGAGEMENTS 2026'!W2207),"",'ENGAGEMENTS 2026'!W2207)</f>
        <v/>
      </c>
      <c r="L2207" s="276">
        <f>IF($K2207="","",TODAY()-$K2207)</f>
        <v/>
      </c>
      <c r="M2207">
        <f>IF($A2207="","",IF($H2207="ENGAGE","Engagé",IF(AND($H2207="NON ENGAGE",OR($I2207="INFRUCTUEUX",$I2207="ANNULE")),"Clôturé sans suite","En cours")))</f>
        <v/>
      </c>
      <c r="N2207">
        <f>IF(ISBLANK('ENGAGEMENTS 2026'!C2207),"",'ENGAGEMENTS 2026'!L2207)</f>
        <v/>
      </c>
      <c r="O2207">
        <f>IF(ISBLANK('ENGAGEMENTS 2026'!C2207),"",'ENGAGEMENTS 2026'!M2207)</f>
        <v/>
      </c>
      <c r="P2207">
        <f>IF(ISBLANK('ENGAGEMENTS 2026'!C2207),"",'ENGAGEMENTS 2026'!K2207)</f>
        <v/>
      </c>
      <c r="Q2207">
        <f>IF($A2207="","",IF(OR($E2207="INFRUCTUEUX",$E2207="ANNULE"),$A2207&amp;"|"&amp;(COUNTIFS($A$2:$A2207,$A2207,$E$2:$E2207,"INFRUCTUEUX")+COUNTIFS($A$2:$A2207,$A2207,$E$2:$E2207,"ANNULE")),""))</f>
        <v/>
      </c>
    </row>
    <row r="2208">
      <c r="A2208">
        <f>IF(ISBLANK('ENGAGEMENTS 2026'!C2208),"",IF('ENGAGEMENTS 2026'!C2208="DTSI","DCT",'ENGAGEMENTS 2026'!C2208))</f>
        <v/>
      </c>
      <c r="B2208">
        <f>IF(ISBLANK('ENGAGEMENTS 2026'!C2208),"",'ENGAGEMENTS 2026'!D2208)</f>
        <v/>
      </c>
      <c r="C2208">
        <f>IF(ISBLANK('ENGAGEMENTS 2026'!C2208),"",'ENGAGEMENTS 2026'!E2208)</f>
        <v/>
      </c>
      <c r="D2208">
        <f>IF(ISBLANK('ENGAGEMENTS 2026'!C2208),"",'ENGAGEMENTS 2026'!G2208)</f>
        <v/>
      </c>
      <c r="E2208">
        <f>IF(ISBLANK('ENGAGEMENTS 2026'!C2208),"",'ENGAGEMENTS 2026'!I2208)</f>
        <v/>
      </c>
      <c r="F2208">
        <f>IF(ISBLANK('ENGAGEMENTS 2026'!C2208),"",'ENGAGEMENTS 2026'!J2208)</f>
        <v/>
      </c>
      <c r="G2208">
        <f>IF(ISBLANK('ENGAGEMENTS 2026'!C2208),"",'ENGAGEMENTS 2026'!M2208)</f>
        <v/>
      </c>
      <c r="H2208">
        <f>IF(ISBLANK('ENGAGEMENTS 2026'!C2208),"",'ENGAGEMENTS 2026'!AF2208)</f>
        <v/>
      </c>
      <c r="I2208">
        <f>IF(ISBLANK('ENGAGEMENTS 2026'!C2208),"",'ENGAGEMENTS 2026'!H2208)</f>
        <v/>
      </c>
      <c r="J2208" s="275">
        <f>IF(ISBLANK('ENGAGEMENTS 2026'!C2208),"",IF(AND(OR($E2208="INFRUCTUEUX",$E2208="ANNULE"),$C2208="AOO-M"),'ENGAGEMENTS 2026'!P2208,IF($H2208="EN COURS DE PREENGAGEMENT",'ENGAGEMENTS 2026'!O2208,IF($H2208="PREENGAGE",IF($E2208="ATTRIBUE",'ENGAGEMENTS 2026'!AE2208,'ENGAGEMENTS 2026'!O2208),'ENGAGEMENTS 2026'!AE2208))))</f>
        <v/>
      </c>
      <c r="K2208" s="604">
        <f>IF(ISBLANK('ENGAGEMENTS 2026'!W2208),"",'ENGAGEMENTS 2026'!W2208)</f>
        <v/>
      </c>
      <c r="L2208" s="276">
        <f>IF($K2208="","",TODAY()-$K2208)</f>
        <v/>
      </c>
      <c r="M2208">
        <f>IF($A2208="","",IF($H2208="ENGAGE","Engagé",IF(AND($H2208="NON ENGAGE",OR($I2208="INFRUCTUEUX",$I2208="ANNULE")),"Clôturé sans suite","En cours")))</f>
        <v/>
      </c>
      <c r="N2208">
        <f>IF(ISBLANK('ENGAGEMENTS 2026'!C2208),"",'ENGAGEMENTS 2026'!L2208)</f>
        <v/>
      </c>
      <c r="O2208">
        <f>IF(ISBLANK('ENGAGEMENTS 2026'!C2208),"",'ENGAGEMENTS 2026'!M2208)</f>
        <v/>
      </c>
      <c r="P2208">
        <f>IF(ISBLANK('ENGAGEMENTS 2026'!C2208),"",'ENGAGEMENTS 2026'!K2208)</f>
        <v/>
      </c>
      <c r="Q2208">
        <f>IF($A2208="","",IF(OR($E2208="INFRUCTUEUX",$E2208="ANNULE"),$A2208&amp;"|"&amp;(COUNTIFS($A$2:$A2208,$A2208,$E$2:$E2208,"INFRUCTUEUX")+COUNTIFS($A$2:$A2208,$A2208,$E$2:$E2208,"ANNULE")),""))</f>
        <v/>
      </c>
    </row>
    <row r="2209">
      <c r="A2209">
        <f>IF(ISBLANK('ENGAGEMENTS 2026'!C2209),"",IF('ENGAGEMENTS 2026'!C2209="DTSI","DCT",'ENGAGEMENTS 2026'!C2209))</f>
        <v/>
      </c>
      <c r="B2209">
        <f>IF(ISBLANK('ENGAGEMENTS 2026'!C2209),"",'ENGAGEMENTS 2026'!D2209)</f>
        <v/>
      </c>
      <c r="C2209">
        <f>IF(ISBLANK('ENGAGEMENTS 2026'!C2209),"",'ENGAGEMENTS 2026'!E2209)</f>
        <v/>
      </c>
      <c r="D2209">
        <f>IF(ISBLANK('ENGAGEMENTS 2026'!C2209),"",'ENGAGEMENTS 2026'!G2209)</f>
        <v/>
      </c>
      <c r="E2209">
        <f>IF(ISBLANK('ENGAGEMENTS 2026'!C2209),"",'ENGAGEMENTS 2026'!I2209)</f>
        <v/>
      </c>
      <c r="F2209">
        <f>IF(ISBLANK('ENGAGEMENTS 2026'!C2209),"",'ENGAGEMENTS 2026'!J2209)</f>
        <v/>
      </c>
      <c r="G2209">
        <f>IF(ISBLANK('ENGAGEMENTS 2026'!C2209),"",'ENGAGEMENTS 2026'!M2209)</f>
        <v/>
      </c>
      <c r="H2209">
        <f>IF(ISBLANK('ENGAGEMENTS 2026'!C2209),"",'ENGAGEMENTS 2026'!AF2209)</f>
        <v/>
      </c>
      <c r="I2209">
        <f>IF(ISBLANK('ENGAGEMENTS 2026'!C2209),"",'ENGAGEMENTS 2026'!H2209)</f>
        <v/>
      </c>
      <c r="J2209" s="275">
        <f>IF(ISBLANK('ENGAGEMENTS 2026'!C2209),"",IF(AND(OR($E2209="INFRUCTUEUX",$E2209="ANNULE"),$C2209="AOO-M"),'ENGAGEMENTS 2026'!P2209,IF($H2209="EN COURS DE PREENGAGEMENT",'ENGAGEMENTS 2026'!O2209,IF($H2209="PREENGAGE",IF($E2209="ATTRIBUE",'ENGAGEMENTS 2026'!AE2209,'ENGAGEMENTS 2026'!O2209),'ENGAGEMENTS 2026'!AE2209))))</f>
        <v/>
      </c>
      <c r="K2209" s="604">
        <f>IF(ISBLANK('ENGAGEMENTS 2026'!W2209),"",'ENGAGEMENTS 2026'!W2209)</f>
        <v/>
      </c>
      <c r="L2209" s="276">
        <f>IF($K2209="","",TODAY()-$K2209)</f>
        <v/>
      </c>
      <c r="M2209">
        <f>IF($A2209="","",IF($H2209="ENGAGE","Engagé",IF(AND($H2209="NON ENGAGE",OR($I2209="INFRUCTUEUX",$I2209="ANNULE")),"Clôturé sans suite","En cours")))</f>
        <v/>
      </c>
      <c r="N2209">
        <f>IF(ISBLANK('ENGAGEMENTS 2026'!C2209),"",'ENGAGEMENTS 2026'!L2209)</f>
        <v/>
      </c>
      <c r="O2209">
        <f>IF(ISBLANK('ENGAGEMENTS 2026'!C2209),"",'ENGAGEMENTS 2026'!M2209)</f>
        <v/>
      </c>
      <c r="P2209">
        <f>IF(ISBLANK('ENGAGEMENTS 2026'!C2209),"",'ENGAGEMENTS 2026'!K2209)</f>
        <v/>
      </c>
      <c r="Q2209">
        <f>IF($A2209="","",IF(OR($E2209="INFRUCTUEUX",$E2209="ANNULE"),$A2209&amp;"|"&amp;(COUNTIFS($A$2:$A2209,$A2209,$E$2:$E2209,"INFRUCTUEUX")+COUNTIFS($A$2:$A2209,$A2209,$E$2:$E2209,"ANNULE")),""))</f>
        <v/>
      </c>
    </row>
    <row r="2210">
      <c r="A2210">
        <f>IF(ISBLANK('ENGAGEMENTS 2026'!C2210),"",IF('ENGAGEMENTS 2026'!C2210="DTSI","DCT",'ENGAGEMENTS 2026'!C2210))</f>
        <v/>
      </c>
      <c r="B2210">
        <f>IF(ISBLANK('ENGAGEMENTS 2026'!C2210),"",'ENGAGEMENTS 2026'!D2210)</f>
        <v/>
      </c>
      <c r="C2210">
        <f>IF(ISBLANK('ENGAGEMENTS 2026'!C2210),"",'ENGAGEMENTS 2026'!E2210)</f>
        <v/>
      </c>
      <c r="D2210">
        <f>IF(ISBLANK('ENGAGEMENTS 2026'!C2210),"",'ENGAGEMENTS 2026'!G2210)</f>
        <v/>
      </c>
      <c r="E2210">
        <f>IF(ISBLANK('ENGAGEMENTS 2026'!C2210),"",'ENGAGEMENTS 2026'!I2210)</f>
        <v/>
      </c>
      <c r="F2210">
        <f>IF(ISBLANK('ENGAGEMENTS 2026'!C2210),"",'ENGAGEMENTS 2026'!J2210)</f>
        <v/>
      </c>
      <c r="G2210">
        <f>IF(ISBLANK('ENGAGEMENTS 2026'!C2210),"",'ENGAGEMENTS 2026'!M2210)</f>
        <v/>
      </c>
      <c r="H2210">
        <f>IF(ISBLANK('ENGAGEMENTS 2026'!C2210),"",'ENGAGEMENTS 2026'!AF2210)</f>
        <v/>
      </c>
      <c r="I2210">
        <f>IF(ISBLANK('ENGAGEMENTS 2026'!C2210),"",'ENGAGEMENTS 2026'!H2210)</f>
        <v/>
      </c>
      <c r="J2210" s="275">
        <f>IF(ISBLANK('ENGAGEMENTS 2026'!C2210),"",IF(AND(OR($E2210="INFRUCTUEUX",$E2210="ANNULE"),$C2210="AOO-M"),'ENGAGEMENTS 2026'!P2210,IF($H2210="EN COURS DE PREENGAGEMENT",'ENGAGEMENTS 2026'!O2210,IF($H2210="PREENGAGE",IF($E2210="ATTRIBUE",'ENGAGEMENTS 2026'!AE2210,'ENGAGEMENTS 2026'!O2210),'ENGAGEMENTS 2026'!AE2210))))</f>
        <v/>
      </c>
      <c r="K2210" s="604">
        <f>IF(ISBLANK('ENGAGEMENTS 2026'!W2210),"",'ENGAGEMENTS 2026'!W2210)</f>
        <v/>
      </c>
      <c r="L2210" s="276">
        <f>IF($K2210="","",TODAY()-$K2210)</f>
        <v/>
      </c>
      <c r="M2210">
        <f>IF($A2210="","",IF($H2210="ENGAGE","Engagé",IF(AND($H2210="NON ENGAGE",OR($I2210="INFRUCTUEUX",$I2210="ANNULE")),"Clôturé sans suite","En cours")))</f>
        <v/>
      </c>
      <c r="N2210">
        <f>IF(ISBLANK('ENGAGEMENTS 2026'!C2210),"",'ENGAGEMENTS 2026'!L2210)</f>
        <v/>
      </c>
      <c r="O2210">
        <f>IF(ISBLANK('ENGAGEMENTS 2026'!C2210),"",'ENGAGEMENTS 2026'!M2210)</f>
        <v/>
      </c>
      <c r="P2210">
        <f>IF(ISBLANK('ENGAGEMENTS 2026'!C2210),"",'ENGAGEMENTS 2026'!K2210)</f>
        <v/>
      </c>
      <c r="Q2210">
        <f>IF($A2210="","",IF(OR($E2210="INFRUCTUEUX",$E2210="ANNULE"),$A2210&amp;"|"&amp;(COUNTIFS($A$2:$A2210,$A2210,$E$2:$E2210,"INFRUCTUEUX")+COUNTIFS($A$2:$A2210,$A2210,$E$2:$E2210,"ANNULE")),""))</f>
        <v/>
      </c>
    </row>
    <row r="2211">
      <c r="A2211">
        <f>IF(ISBLANK('ENGAGEMENTS 2026'!C2211),"",IF('ENGAGEMENTS 2026'!C2211="DTSI","DCT",'ENGAGEMENTS 2026'!C2211))</f>
        <v/>
      </c>
      <c r="B2211">
        <f>IF(ISBLANK('ENGAGEMENTS 2026'!C2211),"",'ENGAGEMENTS 2026'!D2211)</f>
        <v/>
      </c>
      <c r="C2211">
        <f>IF(ISBLANK('ENGAGEMENTS 2026'!C2211),"",'ENGAGEMENTS 2026'!E2211)</f>
        <v/>
      </c>
      <c r="D2211">
        <f>IF(ISBLANK('ENGAGEMENTS 2026'!C2211),"",'ENGAGEMENTS 2026'!G2211)</f>
        <v/>
      </c>
      <c r="E2211">
        <f>IF(ISBLANK('ENGAGEMENTS 2026'!C2211),"",'ENGAGEMENTS 2026'!I2211)</f>
        <v/>
      </c>
      <c r="F2211">
        <f>IF(ISBLANK('ENGAGEMENTS 2026'!C2211),"",'ENGAGEMENTS 2026'!J2211)</f>
        <v/>
      </c>
      <c r="G2211">
        <f>IF(ISBLANK('ENGAGEMENTS 2026'!C2211),"",'ENGAGEMENTS 2026'!M2211)</f>
        <v/>
      </c>
      <c r="H2211">
        <f>IF(ISBLANK('ENGAGEMENTS 2026'!C2211),"",'ENGAGEMENTS 2026'!AF2211)</f>
        <v/>
      </c>
      <c r="I2211">
        <f>IF(ISBLANK('ENGAGEMENTS 2026'!C2211),"",'ENGAGEMENTS 2026'!H2211)</f>
        <v/>
      </c>
      <c r="J2211" s="275">
        <f>IF(ISBLANK('ENGAGEMENTS 2026'!C2211),"",IF(AND(OR($E2211="INFRUCTUEUX",$E2211="ANNULE"),$C2211="AOO-M"),'ENGAGEMENTS 2026'!P2211,IF($H2211="EN COURS DE PREENGAGEMENT",'ENGAGEMENTS 2026'!O2211,IF($H2211="PREENGAGE",IF($E2211="ATTRIBUE",'ENGAGEMENTS 2026'!AE2211,'ENGAGEMENTS 2026'!O2211),'ENGAGEMENTS 2026'!AE2211))))</f>
        <v/>
      </c>
      <c r="K2211" s="604">
        <f>IF(ISBLANK('ENGAGEMENTS 2026'!W2211),"",'ENGAGEMENTS 2026'!W2211)</f>
        <v/>
      </c>
      <c r="L2211" s="276">
        <f>IF($K2211="","",TODAY()-$K2211)</f>
        <v/>
      </c>
      <c r="M2211">
        <f>IF($A2211="","",IF($H2211="ENGAGE","Engagé",IF(AND($H2211="NON ENGAGE",OR($I2211="INFRUCTUEUX",$I2211="ANNULE")),"Clôturé sans suite","En cours")))</f>
        <v/>
      </c>
      <c r="N2211">
        <f>IF(ISBLANK('ENGAGEMENTS 2026'!C2211),"",'ENGAGEMENTS 2026'!L2211)</f>
        <v/>
      </c>
      <c r="O2211">
        <f>IF(ISBLANK('ENGAGEMENTS 2026'!C2211),"",'ENGAGEMENTS 2026'!M2211)</f>
        <v/>
      </c>
      <c r="P2211">
        <f>IF(ISBLANK('ENGAGEMENTS 2026'!C2211),"",'ENGAGEMENTS 2026'!K2211)</f>
        <v/>
      </c>
      <c r="Q2211">
        <f>IF($A2211="","",IF(OR($E2211="INFRUCTUEUX",$E2211="ANNULE"),$A2211&amp;"|"&amp;(COUNTIFS($A$2:$A2211,$A2211,$E$2:$E2211,"INFRUCTUEUX")+COUNTIFS($A$2:$A2211,$A2211,$E$2:$E2211,"ANNULE")),""))</f>
        <v/>
      </c>
    </row>
    <row r="2212">
      <c r="A2212">
        <f>IF(ISBLANK('ENGAGEMENTS 2026'!C2212),"",IF('ENGAGEMENTS 2026'!C2212="DTSI","DCT",'ENGAGEMENTS 2026'!C2212))</f>
        <v/>
      </c>
      <c r="B2212">
        <f>IF(ISBLANK('ENGAGEMENTS 2026'!C2212),"",'ENGAGEMENTS 2026'!D2212)</f>
        <v/>
      </c>
      <c r="C2212">
        <f>IF(ISBLANK('ENGAGEMENTS 2026'!C2212),"",'ENGAGEMENTS 2026'!E2212)</f>
        <v/>
      </c>
      <c r="D2212">
        <f>IF(ISBLANK('ENGAGEMENTS 2026'!C2212),"",'ENGAGEMENTS 2026'!G2212)</f>
        <v/>
      </c>
      <c r="E2212">
        <f>IF(ISBLANK('ENGAGEMENTS 2026'!C2212),"",'ENGAGEMENTS 2026'!I2212)</f>
        <v/>
      </c>
      <c r="F2212">
        <f>IF(ISBLANK('ENGAGEMENTS 2026'!C2212),"",'ENGAGEMENTS 2026'!J2212)</f>
        <v/>
      </c>
      <c r="G2212">
        <f>IF(ISBLANK('ENGAGEMENTS 2026'!C2212),"",'ENGAGEMENTS 2026'!M2212)</f>
        <v/>
      </c>
      <c r="H2212">
        <f>IF(ISBLANK('ENGAGEMENTS 2026'!C2212),"",'ENGAGEMENTS 2026'!AF2212)</f>
        <v/>
      </c>
      <c r="I2212">
        <f>IF(ISBLANK('ENGAGEMENTS 2026'!C2212),"",'ENGAGEMENTS 2026'!H2212)</f>
        <v/>
      </c>
      <c r="J2212" s="275">
        <f>IF(ISBLANK('ENGAGEMENTS 2026'!C2212),"",IF(AND(OR($E2212="INFRUCTUEUX",$E2212="ANNULE"),$C2212="AOO-M"),'ENGAGEMENTS 2026'!P2212,IF($H2212="EN COURS DE PREENGAGEMENT",'ENGAGEMENTS 2026'!O2212,IF($H2212="PREENGAGE",IF($E2212="ATTRIBUE",'ENGAGEMENTS 2026'!AE2212,'ENGAGEMENTS 2026'!O2212),'ENGAGEMENTS 2026'!AE2212))))</f>
        <v/>
      </c>
      <c r="K2212" s="604">
        <f>IF(ISBLANK('ENGAGEMENTS 2026'!W2212),"",'ENGAGEMENTS 2026'!W2212)</f>
        <v/>
      </c>
      <c r="L2212" s="276">
        <f>IF($K2212="","",TODAY()-$K2212)</f>
        <v/>
      </c>
      <c r="M2212">
        <f>IF($A2212="","",IF($H2212="ENGAGE","Engagé",IF(AND($H2212="NON ENGAGE",OR($I2212="INFRUCTUEUX",$I2212="ANNULE")),"Clôturé sans suite","En cours")))</f>
        <v/>
      </c>
      <c r="N2212">
        <f>IF(ISBLANK('ENGAGEMENTS 2026'!C2212),"",'ENGAGEMENTS 2026'!L2212)</f>
        <v/>
      </c>
      <c r="O2212">
        <f>IF(ISBLANK('ENGAGEMENTS 2026'!C2212),"",'ENGAGEMENTS 2026'!M2212)</f>
        <v/>
      </c>
      <c r="P2212">
        <f>IF(ISBLANK('ENGAGEMENTS 2026'!C2212),"",'ENGAGEMENTS 2026'!K2212)</f>
        <v/>
      </c>
      <c r="Q2212">
        <f>IF($A2212="","",IF(OR($E2212="INFRUCTUEUX",$E2212="ANNULE"),$A2212&amp;"|"&amp;(COUNTIFS($A$2:$A2212,$A2212,$E$2:$E2212,"INFRUCTUEUX")+COUNTIFS($A$2:$A2212,$A2212,$E$2:$E2212,"ANNULE")),""))</f>
        <v/>
      </c>
    </row>
    <row r="2213">
      <c r="A2213">
        <f>IF(ISBLANK('ENGAGEMENTS 2026'!C2213),"",IF('ENGAGEMENTS 2026'!C2213="DTSI","DCT",'ENGAGEMENTS 2026'!C2213))</f>
        <v/>
      </c>
      <c r="B2213">
        <f>IF(ISBLANK('ENGAGEMENTS 2026'!C2213),"",'ENGAGEMENTS 2026'!D2213)</f>
        <v/>
      </c>
      <c r="C2213">
        <f>IF(ISBLANK('ENGAGEMENTS 2026'!C2213),"",'ENGAGEMENTS 2026'!E2213)</f>
        <v/>
      </c>
      <c r="D2213">
        <f>IF(ISBLANK('ENGAGEMENTS 2026'!C2213),"",'ENGAGEMENTS 2026'!G2213)</f>
        <v/>
      </c>
      <c r="E2213">
        <f>IF(ISBLANK('ENGAGEMENTS 2026'!C2213),"",'ENGAGEMENTS 2026'!I2213)</f>
        <v/>
      </c>
      <c r="F2213">
        <f>IF(ISBLANK('ENGAGEMENTS 2026'!C2213),"",'ENGAGEMENTS 2026'!J2213)</f>
        <v/>
      </c>
      <c r="G2213">
        <f>IF(ISBLANK('ENGAGEMENTS 2026'!C2213),"",'ENGAGEMENTS 2026'!M2213)</f>
        <v/>
      </c>
      <c r="H2213">
        <f>IF(ISBLANK('ENGAGEMENTS 2026'!C2213),"",'ENGAGEMENTS 2026'!AF2213)</f>
        <v/>
      </c>
      <c r="I2213">
        <f>IF(ISBLANK('ENGAGEMENTS 2026'!C2213),"",'ENGAGEMENTS 2026'!H2213)</f>
        <v/>
      </c>
      <c r="J2213" s="275">
        <f>IF(ISBLANK('ENGAGEMENTS 2026'!C2213),"",IF(AND(OR($E2213="INFRUCTUEUX",$E2213="ANNULE"),$C2213="AOO-M"),'ENGAGEMENTS 2026'!P2213,IF($H2213="EN COURS DE PREENGAGEMENT",'ENGAGEMENTS 2026'!O2213,IF($H2213="PREENGAGE",IF($E2213="ATTRIBUE",'ENGAGEMENTS 2026'!AE2213,'ENGAGEMENTS 2026'!O2213),'ENGAGEMENTS 2026'!AE2213))))</f>
        <v/>
      </c>
      <c r="K2213" s="604">
        <f>IF(ISBLANK('ENGAGEMENTS 2026'!W2213),"",'ENGAGEMENTS 2026'!W2213)</f>
        <v/>
      </c>
      <c r="L2213" s="276">
        <f>IF($K2213="","",TODAY()-$K2213)</f>
        <v/>
      </c>
      <c r="M2213">
        <f>IF($A2213="","",IF($H2213="ENGAGE","Engagé",IF(AND($H2213="NON ENGAGE",OR($I2213="INFRUCTUEUX",$I2213="ANNULE")),"Clôturé sans suite","En cours")))</f>
        <v/>
      </c>
      <c r="N2213">
        <f>IF(ISBLANK('ENGAGEMENTS 2026'!C2213),"",'ENGAGEMENTS 2026'!L2213)</f>
        <v/>
      </c>
      <c r="O2213">
        <f>IF(ISBLANK('ENGAGEMENTS 2026'!C2213),"",'ENGAGEMENTS 2026'!M2213)</f>
        <v/>
      </c>
      <c r="P2213">
        <f>IF(ISBLANK('ENGAGEMENTS 2026'!C2213),"",'ENGAGEMENTS 2026'!K2213)</f>
        <v/>
      </c>
      <c r="Q2213">
        <f>IF($A2213="","",IF(OR($E2213="INFRUCTUEUX",$E2213="ANNULE"),$A2213&amp;"|"&amp;(COUNTIFS($A$2:$A2213,$A2213,$E$2:$E2213,"INFRUCTUEUX")+COUNTIFS($A$2:$A2213,$A2213,$E$2:$E2213,"ANNULE")),""))</f>
        <v/>
      </c>
    </row>
    <row r="2214">
      <c r="A2214">
        <f>IF(ISBLANK('ENGAGEMENTS 2026'!C2214),"",IF('ENGAGEMENTS 2026'!C2214="DTSI","DCT",'ENGAGEMENTS 2026'!C2214))</f>
        <v/>
      </c>
      <c r="B2214">
        <f>IF(ISBLANK('ENGAGEMENTS 2026'!C2214),"",'ENGAGEMENTS 2026'!D2214)</f>
        <v/>
      </c>
      <c r="C2214">
        <f>IF(ISBLANK('ENGAGEMENTS 2026'!C2214),"",'ENGAGEMENTS 2026'!E2214)</f>
        <v/>
      </c>
      <c r="D2214">
        <f>IF(ISBLANK('ENGAGEMENTS 2026'!C2214),"",'ENGAGEMENTS 2026'!G2214)</f>
        <v/>
      </c>
      <c r="E2214">
        <f>IF(ISBLANK('ENGAGEMENTS 2026'!C2214),"",'ENGAGEMENTS 2026'!I2214)</f>
        <v/>
      </c>
      <c r="F2214">
        <f>IF(ISBLANK('ENGAGEMENTS 2026'!C2214),"",'ENGAGEMENTS 2026'!J2214)</f>
        <v/>
      </c>
      <c r="G2214">
        <f>IF(ISBLANK('ENGAGEMENTS 2026'!C2214),"",'ENGAGEMENTS 2026'!M2214)</f>
        <v/>
      </c>
      <c r="H2214">
        <f>IF(ISBLANK('ENGAGEMENTS 2026'!C2214),"",'ENGAGEMENTS 2026'!AF2214)</f>
        <v/>
      </c>
      <c r="I2214">
        <f>IF(ISBLANK('ENGAGEMENTS 2026'!C2214),"",'ENGAGEMENTS 2026'!H2214)</f>
        <v/>
      </c>
      <c r="J2214" s="275">
        <f>IF(ISBLANK('ENGAGEMENTS 2026'!C2214),"",IF(AND(OR($E2214="INFRUCTUEUX",$E2214="ANNULE"),$C2214="AOO-M"),'ENGAGEMENTS 2026'!P2214,IF($H2214="EN COURS DE PREENGAGEMENT",'ENGAGEMENTS 2026'!O2214,IF($H2214="PREENGAGE",IF($E2214="ATTRIBUE",'ENGAGEMENTS 2026'!AE2214,'ENGAGEMENTS 2026'!O2214),'ENGAGEMENTS 2026'!AE2214))))</f>
        <v/>
      </c>
      <c r="K2214" s="604">
        <f>IF(ISBLANK('ENGAGEMENTS 2026'!W2214),"",'ENGAGEMENTS 2026'!W2214)</f>
        <v/>
      </c>
      <c r="L2214" s="276">
        <f>IF($K2214="","",TODAY()-$K2214)</f>
        <v/>
      </c>
      <c r="M2214">
        <f>IF($A2214="","",IF($H2214="ENGAGE","Engagé",IF(AND($H2214="NON ENGAGE",OR($I2214="INFRUCTUEUX",$I2214="ANNULE")),"Clôturé sans suite","En cours")))</f>
        <v/>
      </c>
      <c r="N2214">
        <f>IF(ISBLANK('ENGAGEMENTS 2026'!C2214),"",'ENGAGEMENTS 2026'!L2214)</f>
        <v/>
      </c>
      <c r="O2214">
        <f>IF(ISBLANK('ENGAGEMENTS 2026'!C2214),"",'ENGAGEMENTS 2026'!M2214)</f>
        <v/>
      </c>
      <c r="P2214">
        <f>IF(ISBLANK('ENGAGEMENTS 2026'!C2214),"",'ENGAGEMENTS 2026'!K2214)</f>
        <v/>
      </c>
      <c r="Q2214">
        <f>IF($A2214="","",IF(OR($E2214="INFRUCTUEUX",$E2214="ANNULE"),$A2214&amp;"|"&amp;(COUNTIFS($A$2:$A2214,$A2214,$E$2:$E2214,"INFRUCTUEUX")+COUNTIFS($A$2:$A2214,$A2214,$E$2:$E2214,"ANNULE")),""))</f>
        <v/>
      </c>
    </row>
    <row r="2215">
      <c r="A2215">
        <f>IF(ISBLANK('ENGAGEMENTS 2026'!C2215),"",IF('ENGAGEMENTS 2026'!C2215="DTSI","DCT",'ENGAGEMENTS 2026'!C2215))</f>
        <v/>
      </c>
      <c r="B2215">
        <f>IF(ISBLANK('ENGAGEMENTS 2026'!C2215),"",'ENGAGEMENTS 2026'!D2215)</f>
        <v/>
      </c>
      <c r="C2215">
        <f>IF(ISBLANK('ENGAGEMENTS 2026'!C2215),"",'ENGAGEMENTS 2026'!E2215)</f>
        <v/>
      </c>
      <c r="D2215">
        <f>IF(ISBLANK('ENGAGEMENTS 2026'!C2215),"",'ENGAGEMENTS 2026'!G2215)</f>
        <v/>
      </c>
      <c r="E2215">
        <f>IF(ISBLANK('ENGAGEMENTS 2026'!C2215),"",'ENGAGEMENTS 2026'!I2215)</f>
        <v/>
      </c>
      <c r="F2215">
        <f>IF(ISBLANK('ENGAGEMENTS 2026'!C2215),"",'ENGAGEMENTS 2026'!J2215)</f>
        <v/>
      </c>
      <c r="G2215">
        <f>IF(ISBLANK('ENGAGEMENTS 2026'!C2215),"",'ENGAGEMENTS 2026'!M2215)</f>
        <v/>
      </c>
      <c r="H2215">
        <f>IF(ISBLANK('ENGAGEMENTS 2026'!C2215),"",'ENGAGEMENTS 2026'!AF2215)</f>
        <v/>
      </c>
      <c r="I2215">
        <f>IF(ISBLANK('ENGAGEMENTS 2026'!C2215),"",'ENGAGEMENTS 2026'!H2215)</f>
        <v/>
      </c>
      <c r="J2215" s="275">
        <f>IF(ISBLANK('ENGAGEMENTS 2026'!C2215),"",IF(AND(OR($E2215="INFRUCTUEUX",$E2215="ANNULE"),$C2215="AOO-M"),'ENGAGEMENTS 2026'!P2215,IF($H2215="EN COURS DE PREENGAGEMENT",'ENGAGEMENTS 2026'!O2215,IF($H2215="PREENGAGE",IF($E2215="ATTRIBUE",'ENGAGEMENTS 2026'!AE2215,'ENGAGEMENTS 2026'!O2215),'ENGAGEMENTS 2026'!AE2215))))</f>
        <v/>
      </c>
      <c r="K2215" s="604">
        <f>IF(ISBLANK('ENGAGEMENTS 2026'!W2215),"",'ENGAGEMENTS 2026'!W2215)</f>
        <v/>
      </c>
      <c r="L2215" s="276">
        <f>IF($K2215="","",TODAY()-$K2215)</f>
        <v/>
      </c>
      <c r="M2215">
        <f>IF($A2215="","",IF($H2215="ENGAGE","Engagé",IF(AND($H2215="NON ENGAGE",OR($I2215="INFRUCTUEUX",$I2215="ANNULE")),"Clôturé sans suite","En cours")))</f>
        <v/>
      </c>
      <c r="N2215">
        <f>IF(ISBLANK('ENGAGEMENTS 2026'!C2215),"",'ENGAGEMENTS 2026'!L2215)</f>
        <v/>
      </c>
      <c r="O2215">
        <f>IF(ISBLANK('ENGAGEMENTS 2026'!C2215),"",'ENGAGEMENTS 2026'!M2215)</f>
        <v/>
      </c>
      <c r="P2215">
        <f>IF(ISBLANK('ENGAGEMENTS 2026'!C2215),"",'ENGAGEMENTS 2026'!K2215)</f>
        <v/>
      </c>
      <c r="Q2215">
        <f>IF($A2215="","",IF(OR($E2215="INFRUCTUEUX",$E2215="ANNULE"),$A2215&amp;"|"&amp;(COUNTIFS($A$2:$A2215,$A2215,$E$2:$E2215,"INFRUCTUEUX")+COUNTIFS($A$2:$A2215,$A2215,$E$2:$E2215,"ANNULE")),""))</f>
        <v/>
      </c>
    </row>
    <row r="2216">
      <c r="A2216">
        <f>IF(ISBLANK('ENGAGEMENTS 2026'!C2216),"",IF('ENGAGEMENTS 2026'!C2216="DTSI","DCT",'ENGAGEMENTS 2026'!C2216))</f>
        <v/>
      </c>
      <c r="B2216">
        <f>IF(ISBLANK('ENGAGEMENTS 2026'!C2216),"",'ENGAGEMENTS 2026'!D2216)</f>
        <v/>
      </c>
      <c r="C2216">
        <f>IF(ISBLANK('ENGAGEMENTS 2026'!C2216),"",'ENGAGEMENTS 2026'!E2216)</f>
        <v/>
      </c>
      <c r="D2216">
        <f>IF(ISBLANK('ENGAGEMENTS 2026'!C2216),"",'ENGAGEMENTS 2026'!G2216)</f>
        <v/>
      </c>
      <c r="E2216">
        <f>IF(ISBLANK('ENGAGEMENTS 2026'!C2216),"",'ENGAGEMENTS 2026'!I2216)</f>
        <v/>
      </c>
      <c r="F2216">
        <f>IF(ISBLANK('ENGAGEMENTS 2026'!C2216),"",'ENGAGEMENTS 2026'!J2216)</f>
        <v/>
      </c>
      <c r="G2216">
        <f>IF(ISBLANK('ENGAGEMENTS 2026'!C2216),"",'ENGAGEMENTS 2026'!M2216)</f>
        <v/>
      </c>
      <c r="H2216">
        <f>IF(ISBLANK('ENGAGEMENTS 2026'!C2216),"",'ENGAGEMENTS 2026'!AF2216)</f>
        <v/>
      </c>
      <c r="I2216">
        <f>IF(ISBLANK('ENGAGEMENTS 2026'!C2216),"",'ENGAGEMENTS 2026'!H2216)</f>
        <v/>
      </c>
      <c r="J2216" s="275">
        <f>IF(ISBLANK('ENGAGEMENTS 2026'!C2216),"",IF(AND(OR($E2216="INFRUCTUEUX",$E2216="ANNULE"),$C2216="AOO-M"),'ENGAGEMENTS 2026'!P2216,IF($H2216="EN COURS DE PREENGAGEMENT",'ENGAGEMENTS 2026'!O2216,IF($H2216="PREENGAGE",IF($E2216="ATTRIBUE",'ENGAGEMENTS 2026'!AE2216,'ENGAGEMENTS 2026'!O2216),'ENGAGEMENTS 2026'!AE2216))))</f>
        <v/>
      </c>
      <c r="K2216" s="604">
        <f>IF(ISBLANK('ENGAGEMENTS 2026'!W2216),"",'ENGAGEMENTS 2026'!W2216)</f>
        <v/>
      </c>
      <c r="L2216" s="276">
        <f>IF($K2216="","",TODAY()-$K2216)</f>
        <v/>
      </c>
      <c r="M2216">
        <f>IF($A2216="","",IF($H2216="ENGAGE","Engagé",IF(AND($H2216="NON ENGAGE",OR($I2216="INFRUCTUEUX",$I2216="ANNULE")),"Clôturé sans suite","En cours")))</f>
        <v/>
      </c>
      <c r="N2216">
        <f>IF(ISBLANK('ENGAGEMENTS 2026'!C2216),"",'ENGAGEMENTS 2026'!L2216)</f>
        <v/>
      </c>
      <c r="O2216">
        <f>IF(ISBLANK('ENGAGEMENTS 2026'!C2216),"",'ENGAGEMENTS 2026'!M2216)</f>
        <v/>
      </c>
      <c r="P2216">
        <f>IF(ISBLANK('ENGAGEMENTS 2026'!C2216),"",'ENGAGEMENTS 2026'!K2216)</f>
        <v/>
      </c>
      <c r="Q2216">
        <f>IF($A2216="","",IF(OR($E2216="INFRUCTUEUX",$E2216="ANNULE"),$A2216&amp;"|"&amp;(COUNTIFS($A$2:$A2216,$A2216,$E$2:$E2216,"INFRUCTUEUX")+COUNTIFS($A$2:$A2216,$A2216,$E$2:$E2216,"ANNULE")),""))</f>
        <v/>
      </c>
    </row>
    <row r="2217">
      <c r="A2217">
        <f>IF(ISBLANK('ENGAGEMENTS 2026'!C2217),"",IF('ENGAGEMENTS 2026'!C2217="DTSI","DCT",'ENGAGEMENTS 2026'!C2217))</f>
        <v/>
      </c>
      <c r="B2217">
        <f>IF(ISBLANK('ENGAGEMENTS 2026'!C2217),"",'ENGAGEMENTS 2026'!D2217)</f>
        <v/>
      </c>
      <c r="C2217">
        <f>IF(ISBLANK('ENGAGEMENTS 2026'!C2217),"",'ENGAGEMENTS 2026'!E2217)</f>
        <v/>
      </c>
      <c r="D2217">
        <f>IF(ISBLANK('ENGAGEMENTS 2026'!C2217),"",'ENGAGEMENTS 2026'!G2217)</f>
        <v/>
      </c>
      <c r="E2217">
        <f>IF(ISBLANK('ENGAGEMENTS 2026'!C2217),"",'ENGAGEMENTS 2026'!I2217)</f>
        <v/>
      </c>
      <c r="F2217">
        <f>IF(ISBLANK('ENGAGEMENTS 2026'!C2217),"",'ENGAGEMENTS 2026'!J2217)</f>
        <v/>
      </c>
      <c r="G2217">
        <f>IF(ISBLANK('ENGAGEMENTS 2026'!C2217),"",'ENGAGEMENTS 2026'!M2217)</f>
        <v/>
      </c>
      <c r="H2217">
        <f>IF(ISBLANK('ENGAGEMENTS 2026'!C2217),"",'ENGAGEMENTS 2026'!AF2217)</f>
        <v/>
      </c>
      <c r="I2217">
        <f>IF(ISBLANK('ENGAGEMENTS 2026'!C2217),"",'ENGAGEMENTS 2026'!H2217)</f>
        <v/>
      </c>
      <c r="J2217" s="275">
        <f>IF(ISBLANK('ENGAGEMENTS 2026'!C2217),"",IF(AND(OR($E2217="INFRUCTUEUX",$E2217="ANNULE"),$C2217="AOO-M"),'ENGAGEMENTS 2026'!P2217,IF($H2217="EN COURS DE PREENGAGEMENT",'ENGAGEMENTS 2026'!O2217,IF($H2217="PREENGAGE",IF($E2217="ATTRIBUE",'ENGAGEMENTS 2026'!AE2217,'ENGAGEMENTS 2026'!O2217),'ENGAGEMENTS 2026'!AE2217))))</f>
        <v/>
      </c>
      <c r="K2217" s="604">
        <f>IF(ISBLANK('ENGAGEMENTS 2026'!W2217),"",'ENGAGEMENTS 2026'!W2217)</f>
        <v/>
      </c>
      <c r="L2217" s="276">
        <f>IF($K2217="","",TODAY()-$K2217)</f>
        <v/>
      </c>
      <c r="M2217">
        <f>IF($A2217="","",IF($H2217="ENGAGE","Engagé",IF(AND($H2217="NON ENGAGE",OR($I2217="INFRUCTUEUX",$I2217="ANNULE")),"Clôturé sans suite","En cours")))</f>
        <v/>
      </c>
      <c r="N2217">
        <f>IF(ISBLANK('ENGAGEMENTS 2026'!C2217),"",'ENGAGEMENTS 2026'!L2217)</f>
        <v/>
      </c>
      <c r="O2217">
        <f>IF(ISBLANK('ENGAGEMENTS 2026'!C2217),"",'ENGAGEMENTS 2026'!M2217)</f>
        <v/>
      </c>
      <c r="P2217">
        <f>IF(ISBLANK('ENGAGEMENTS 2026'!C2217),"",'ENGAGEMENTS 2026'!K2217)</f>
        <v/>
      </c>
      <c r="Q2217">
        <f>IF($A2217="","",IF(OR($E2217="INFRUCTUEUX",$E2217="ANNULE"),$A2217&amp;"|"&amp;(COUNTIFS($A$2:$A2217,$A2217,$E$2:$E2217,"INFRUCTUEUX")+COUNTIFS($A$2:$A2217,$A2217,$E$2:$E2217,"ANNULE")),""))</f>
        <v/>
      </c>
    </row>
    <row r="2218">
      <c r="A2218">
        <f>IF(ISBLANK('ENGAGEMENTS 2026'!C2218),"",IF('ENGAGEMENTS 2026'!C2218="DTSI","DCT",'ENGAGEMENTS 2026'!C2218))</f>
        <v/>
      </c>
      <c r="B2218">
        <f>IF(ISBLANK('ENGAGEMENTS 2026'!C2218),"",'ENGAGEMENTS 2026'!D2218)</f>
        <v/>
      </c>
      <c r="C2218">
        <f>IF(ISBLANK('ENGAGEMENTS 2026'!C2218),"",'ENGAGEMENTS 2026'!E2218)</f>
        <v/>
      </c>
      <c r="D2218">
        <f>IF(ISBLANK('ENGAGEMENTS 2026'!C2218),"",'ENGAGEMENTS 2026'!G2218)</f>
        <v/>
      </c>
      <c r="E2218">
        <f>IF(ISBLANK('ENGAGEMENTS 2026'!C2218),"",'ENGAGEMENTS 2026'!I2218)</f>
        <v/>
      </c>
      <c r="F2218">
        <f>IF(ISBLANK('ENGAGEMENTS 2026'!C2218),"",'ENGAGEMENTS 2026'!J2218)</f>
        <v/>
      </c>
      <c r="G2218">
        <f>IF(ISBLANK('ENGAGEMENTS 2026'!C2218),"",'ENGAGEMENTS 2026'!M2218)</f>
        <v/>
      </c>
      <c r="H2218">
        <f>IF(ISBLANK('ENGAGEMENTS 2026'!C2218),"",'ENGAGEMENTS 2026'!AF2218)</f>
        <v/>
      </c>
      <c r="I2218">
        <f>IF(ISBLANK('ENGAGEMENTS 2026'!C2218),"",'ENGAGEMENTS 2026'!H2218)</f>
        <v/>
      </c>
      <c r="J2218" s="275">
        <f>IF(ISBLANK('ENGAGEMENTS 2026'!C2218),"",IF(AND(OR($E2218="INFRUCTUEUX",$E2218="ANNULE"),$C2218="AOO-M"),'ENGAGEMENTS 2026'!P2218,IF($H2218="EN COURS DE PREENGAGEMENT",'ENGAGEMENTS 2026'!O2218,IF($H2218="PREENGAGE",IF($E2218="ATTRIBUE",'ENGAGEMENTS 2026'!AE2218,'ENGAGEMENTS 2026'!O2218),'ENGAGEMENTS 2026'!AE2218))))</f>
        <v/>
      </c>
      <c r="K2218" s="604">
        <f>IF(ISBLANK('ENGAGEMENTS 2026'!W2218),"",'ENGAGEMENTS 2026'!W2218)</f>
        <v/>
      </c>
      <c r="L2218" s="276">
        <f>IF($K2218="","",TODAY()-$K2218)</f>
        <v/>
      </c>
      <c r="M2218">
        <f>IF($A2218="","",IF($H2218="ENGAGE","Engagé",IF(AND($H2218="NON ENGAGE",OR($I2218="INFRUCTUEUX",$I2218="ANNULE")),"Clôturé sans suite","En cours")))</f>
        <v/>
      </c>
      <c r="N2218">
        <f>IF(ISBLANK('ENGAGEMENTS 2026'!C2218),"",'ENGAGEMENTS 2026'!L2218)</f>
        <v/>
      </c>
      <c r="O2218">
        <f>IF(ISBLANK('ENGAGEMENTS 2026'!C2218),"",'ENGAGEMENTS 2026'!M2218)</f>
        <v/>
      </c>
      <c r="P2218">
        <f>IF(ISBLANK('ENGAGEMENTS 2026'!C2218),"",'ENGAGEMENTS 2026'!K2218)</f>
        <v/>
      </c>
      <c r="Q2218">
        <f>IF($A2218="","",IF(OR($E2218="INFRUCTUEUX",$E2218="ANNULE"),$A2218&amp;"|"&amp;(COUNTIFS($A$2:$A2218,$A2218,$E$2:$E2218,"INFRUCTUEUX")+COUNTIFS($A$2:$A2218,$A2218,$E$2:$E2218,"ANNULE")),""))</f>
        <v/>
      </c>
    </row>
    <row r="2219">
      <c r="A2219">
        <f>IF(ISBLANK('ENGAGEMENTS 2026'!C2219),"",IF('ENGAGEMENTS 2026'!C2219="DTSI","DCT",'ENGAGEMENTS 2026'!C2219))</f>
        <v/>
      </c>
      <c r="B2219">
        <f>IF(ISBLANK('ENGAGEMENTS 2026'!C2219),"",'ENGAGEMENTS 2026'!D2219)</f>
        <v/>
      </c>
      <c r="C2219">
        <f>IF(ISBLANK('ENGAGEMENTS 2026'!C2219),"",'ENGAGEMENTS 2026'!E2219)</f>
        <v/>
      </c>
      <c r="D2219">
        <f>IF(ISBLANK('ENGAGEMENTS 2026'!C2219),"",'ENGAGEMENTS 2026'!G2219)</f>
        <v/>
      </c>
      <c r="E2219">
        <f>IF(ISBLANK('ENGAGEMENTS 2026'!C2219),"",'ENGAGEMENTS 2026'!I2219)</f>
        <v/>
      </c>
      <c r="F2219">
        <f>IF(ISBLANK('ENGAGEMENTS 2026'!C2219),"",'ENGAGEMENTS 2026'!J2219)</f>
        <v/>
      </c>
      <c r="G2219">
        <f>IF(ISBLANK('ENGAGEMENTS 2026'!C2219),"",'ENGAGEMENTS 2026'!M2219)</f>
        <v/>
      </c>
      <c r="H2219">
        <f>IF(ISBLANK('ENGAGEMENTS 2026'!C2219),"",'ENGAGEMENTS 2026'!AF2219)</f>
        <v/>
      </c>
      <c r="I2219">
        <f>IF(ISBLANK('ENGAGEMENTS 2026'!C2219),"",'ENGAGEMENTS 2026'!H2219)</f>
        <v/>
      </c>
      <c r="J2219" s="275">
        <f>IF(ISBLANK('ENGAGEMENTS 2026'!C2219),"",IF(AND(OR($E2219="INFRUCTUEUX",$E2219="ANNULE"),$C2219="AOO-M"),'ENGAGEMENTS 2026'!P2219,IF($H2219="EN COURS DE PREENGAGEMENT",'ENGAGEMENTS 2026'!O2219,IF($H2219="PREENGAGE",IF($E2219="ATTRIBUE",'ENGAGEMENTS 2026'!AE2219,'ENGAGEMENTS 2026'!O2219),'ENGAGEMENTS 2026'!AE2219))))</f>
        <v/>
      </c>
      <c r="K2219" s="604">
        <f>IF(ISBLANK('ENGAGEMENTS 2026'!W2219),"",'ENGAGEMENTS 2026'!W2219)</f>
        <v/>
      </c>
      <c r="L2219" s="276">
        <f>IF($K2219="","",TODAY()-$K2219)</f>
        <v/>
      </c>
      <c r="M2219">
        <f>IF($A2219="","",IF($H2219="ENGAGE","Engagé",IF(AND($H2219="NON ENGAGE",OR($I2219="INFRUCTUEUX",$I2219="ANNULE")),"Clôturé sans suite","En cours")))</f>
        <v/>
      </c>
      <c r="N2219">
        <f>IF(ISBLANK('ENGAGEMENTS 2026'!C2219),"",'ENGAGEMENTS 2026'!L2219)</f>
        <v/>
      </c>
      <c r="O2219">
        <f>IF(ISBLANK('ENGAGEMENTS 2026'!C2219),"",'ENGAGEMENTS 2026'!M2219)</f>
        <v/>
      </c>
      <c r="P2219">
        <f>IF(ISBLANK('ENGAGEMENTS 2026'!C2219),"",'ENGAGEMENTS 2026'!K2219)</f>
        <v/>
      </c>
      <c r="Q2219">
        <f>IF($A2219="","",IF(OR($E2219="INFRUCTUEUX",$E2219="ANNULE"),$A2219&amp;"|"&amp;(COUNTIFS($A$2:$A2219,$A2219,$E$2:$E2219,"INFRUCTUEUX")+COUNTIFS($A$2:$A2219,$A2219,$E$2:$E2219,"ANNULE")),""))</f>
        <v/>
      </c>
    </row>
    <row r="2220">
      <c r="A2220">
        <f>IF(ISBLANK('ENGAGEMENTS 2026'!C2220),"",IF('ENGAGEMENTS 2026'!C2220="DTSI","DCT",'ENGAGEMENTS 2026'!C2220))</f>
        <v/>
      </c>
      <c r="B2220">
        <f>IF(ISBLANK('ENGAGEMENTS 2026'!C2220),"",'ENGAGEMENTS 2026'!D2220)</f>
        <v/>
      </c>
      <c r="C2220">
        <f>IF(ISBLANK('ENGAGEMENTS 2026'!C2220),"",'ENGAGEMENTS 2026'!E2220)</f>
        <v/>
      </c>
      <c r="D2220">
        <f>IF(ISBLANK('ENGAGEMENTS 2026'!C2220),"",'ENGAGEMENTS 2026'!G2220)</f>
        <v/>
      </c>
      <c r="E2220">
        <f>IF(ISBLANK('ENGAGEMENTS 2026'!C2220),"",'ENGAGEMENTS 2026'!I2220)</f>
        <v/>
      </c>
      <c r="F2220">
        <f>IF(ISBLANK('ENGAGEMENTS 2026'!C2220),"",'ENGAGEMENTS 2026'!J2220)</f>
        <v/>
      </c>
      <c r="G2220">
        <f>IF(ISBLANK('ENGAGEMENTS 2026'!C2220),"",'ENGAGEMENTS 2026'!M2220)</f>
        <v/>
      </c>
      <c r="H2220">
        <f>IF(ISBLANK('ENGAGEMENTS 2026'!C2220),"",'ENGAGEMENTS 2026'!AF2220)</f>
        <v/>
      </c>
      <c r="I2220">
        <f>IF(ISBLANK('ENGAGEMENTS 2026'!C2220),"",'ENGAGEMENTS 2026'!H2220)</f>
        <v/>
      </c>
      <c r="J2220" s="275">
        <f>IF(ISBLANK('ENGAGEMENTS 2026'!C2220),"",IF(AND(OR($E2220="INFRUCTUEUX",$E2220="ANNULE"),$C2220="AOO-M"),'ENGAGEMENTS 2026'!P2220,IF($H2220="EN COURS DE PREENGAGEMENT",'ENGAGEMENTS 2026'!O2220,IF($H2220="PREENGAGE",IF($E2220="ATTRIBUE",'ENGAGEMENTS 2026'!AE2220,'ENGAGEMENTS 2026'!O2220),'ENGAGEMENTS 2026'!AE2220))))</f>
        <v/>
      </c>
      <c r="K2220" s="604">
        <f>IF(ISBLANK('ENGAGEMENTS 2026'!W2220),"",'ENGAGEMENTS 2026'!W2220)</f>
        <v/>
      </c>
      <c r="L2220" s="276">
        <f>IF($K2220="","",TODAY()-$K2220)</f>
        <v/>
      </c>
      <c r="M2220">
        <f>IF($A2220="","",IF($H2220="ENGAGE","Engagé",IF(AND($H2220="NON ENGAGE",OR($I2220="INFRUCTUEUX",$I2220="ANNULE")),"Clôturé sans suite","En cours")))</f>
        <v/>
      </c>
      <c r="N2220">
        <f>IF(ISBLANK('ENGAGEMENTS 2026'!C2220),"",'ENGAGEMENTS 2026'!L2220)</f>
        <v/>
      </c>
      <c r="O2220">
        <f>IF(ISBLANK('ENGAGEMENTS 2026'!C2220),"",'ENGAGEMENTS 2026'!M2220)</f>
        <v/>
      </c>
      <c r="P2220">
        <f>IF(ISBLANK('ENGAGEMENTS 2026'!C2220),"",'ENGAGEMENTS 2026'!K2220)</f>
        <v/>
      </c>
      <c r="Q2220">
        <f>IF($A2220="","",IF(OR($E2220="INFRUCTUEUX",$E2220="ANNULE"),$A2220&amp;"|"&amp;(COUNTIFS($A$2:$A2220,$A2220,$E$2:$E2220,"INFRUCTUEUX")+COUNTIFS($A$2:$A2220,$A2220,$E$2:$E2220,"ANNULE")),""))</f>
        <v/>
      </c>
    </row>
    <row r="2221">
      <c r="A2221">
        <f>IF(ISBLANK('ENGAGEMENTS 2026'!C2221),"",IF('ENGAGEMENTS 2026'!C2221="DTSI","DCT",'ENGAGEMENTS 2026'!C2221))</f>
        <v/>
      </c>
      <c r="B2221">
        <f>IF(ISBLANK('ENGAGEMENTS 2026'!C2221),"",'ENGAGEMENTS 2026'!D2221)</f>
        <v/>
      </c>
      <c r="C2221">
        <f>IF(ISBLANK('ENGAGEMENTS 2026'!C2221),"",'ENGAGEMENTS 2026'!E2221)</f>
        <v/>
      </c>
      <c r="D2221">
        <f>IF(ISBLANK('ENGAGEMENTS 2026'!C2221),"",'ENGAGEMENTS 2026'!G2221)</f>
        <v/>
      </c>
      <c r="E2221">
        <f>IF(ISBLANK('ENGAGEMENTS 2026'!C2221),"",'ENGAGEMENTS 2026'!I2221)</f>
        <v/>
      </c>
      <c r="F2221">
        <f>IF(ISBLANK('ENGAGEMENTS 2026'!C2221),"",'ENGAGEMENTS 2026'!J2221)</f>
        <v/>
      </c>
      <c r="G2221">
        <f>IF(ISBLANK('ENGAGEMENTS 2026'!C2221),"",'ENGAGEMENTS 2026'!M2221)</f>
        <v/>
      </c>
      <c r="H2221">
        <f>IF(ISBLANK('ENGAGEMENTS 2026'!C2221),"",'ENGAGEMENTS 2026'!AF2221)</f>
        <v/>
      </c>
      <c r="I2221">
        <f>IF(ISBLANK('ENGAGEMENTS 2026'!C2221),"",'ENGAGEMENTS 2026'!H2221)</f>
        <v/>
      </c>
      <c r="J2221" s="275">
        <f>IF(ISBLANK('ENGAGEMENTS 2026'!C2221),"",IF(AND(OR($E2221="INFRUCTUEUX",$E2221="ANNULE"),$C2221="AOO-M"),'ENGAGEMENTS 2026'!P2221,IF($H2221="EN COURS DE PREENGAGEMENT",'ENGAGEMENTS 2026'!O2221,IF($H2221="PREENGAGE",IF($E2221="ATTRIBUE",'ENGAGEMENTS 2026'!AE2221,'ENGAGEMENTS 2026'!O2221),'ENGAGEMENTS 2026'!AE2221))))</f>
        <v/>
      </c>
      <c r="K2221" s="604">
        <f>IF(ISBLANK('ENGAGEMENTS 2026'!W2221),"",'ENGAGEMENTS 2026'!W2221)</f>
        <v/>
      </c>
      <c r="L2221" s="276">
        <f>IF($K2221="","",TODAY()-$K2221)</f>
        <v/>
      </c>
      <c r="M2221">
        <f>IF($A2221="","",IF($H2221="ENGAGE","Engagé",IF(AND($H2221="NON ENGAGE",OR($I2221="INFRUCTUEUX",$I2221="ANNULE")),"Clôturé sans suite","En cours")))</f>
        <v/>
      </c>
      <c r="N2221">
        <f>IF(ISBLANK('ENGAGEMENTS 2026'!C2221),"",'ENGAGEMENTS 2026'!L2221)</f>
        <v/>
      </c>
      <c r="O2221">
        <f>IF(ISBLANK('ENGAGEMENTS 2026'!C2221),"",'ENGAGEMENTS 2026'!M2221)</f>
        <v/>
      </c>
      <c r="P2221">
        <f>IF(ISBLANK('ENGAGEMENTS 2026'!C2221),"",'ENGAGEMENTS 2026'!K2221)</f>
        <v/>
      </c>
      <c r="Q2221">
        <f>IF($A2221="","",IF(OR($E2221="INFRUCTUEUX",$E2221="ANNULE"),$A2221&amp;"|"&amp;(COUNTIFS($A$2:$A2221,$A2221,$E$2:$E2221,"INFRUCTUEUX")+COUNTIFS($A$2:$A2221,$A2221,$E$2:$E2221,"ANNULE")),""))</f>
        <v/>
      </c>
    </row>
    <row r="2222">
      <c r="A2222">
        <f>IF(ISBLANK('ENGAGEMENTS 2026'!C2222),"",IF('ENGAGEMENTS 2026'!C2222="DTSI","DCT",'ENGAGEMENTS 2026'!C2222))</f>
        <v/>
      </c>
      <c r="B2222">
        <f>IF(ISBLANK('ENGAGEMENTS 2026'!C2222),"",'ENGAGEMENTS 2026'!D2222)</f>
        <v/>
      </c>
      <c r="C2222">
        <f>IF(ISBLANK('ENGAGEMENTS 2026'!C2222),"",'ENGAGEMENTS 2026'!E2222)</f>
        <v/>
      </c>
      <c r="D2222">
        <f>IF(ISBLANK('ENGAGEMENTS 2026'!C2222),"",'ENGAGEMENTS 2026'!G2222)</f>
        <v/>
      </c>
      <c r="E2222">
        <f>IF(ISBLANK('ENGAGEMENTS 2026'!C2222),"",'ENGAGEMENTS 2026'!I2222)</f>
        <v/>
      </c>
      <c r="F2222">
        <f>IF(ISBLANK('ENGAGEMENTS 2026'!C2222),"",'ENGAGEMENTS 2026'!J2222)</f>
        <v/>
      </c>
      <c r="G2222">
        <f>IF(ISBLANK('ENGAGEMENTS 2026'!C2222),"",'ENGAGEMENTS 2026'!M2222)</f>
        <v/>
      </c>
      <c r="H2222">
        <f>IF(ISBLANK('ENGAGEMENTS 2026'!C2222),"",'ENGAGEMENTS 2026'!AF2222)</f>
        <v/>
      </c>
      <c r="I2222">
        <f>IF(ISBLANK('ENGAGEMENTS 2026'!C2222),"",'ENGAGEMENTS 2026'!H2222)</f>
        <v/>
      </c>
      <c r="J2222" s="275">
        <f>IF(ISBLANK('ENGAGEMENTS 2026'!C2222),"",IF(AND(OR($E2222="INFRUCTUEUX",$E2222="ANNULE"),$C2222="AOO-M"),'ENGAGEMENTS 2026'!P2222,IF($H2222="EN COURS DE PREENGAGEMENT",'ENGAGEMENTS 2026'!O2222,IF($H2222="PREENGAGE",IF($E2222="ATTRIBUE",'ENGAGEMENTS 2026'!AE2222,'ENGAGEMENTS 2026'!O2222),'ENGAGEMENTS 2026'!AE2222))))</f>
        <v/>
      </c>
      <c r="K2222" s="604">
        <f>IF(ISBLANK('ENGAGEMENTS 2026'!W2222),"",'ENGAGEMENTS 2026'!W2222)</f>
        <v/>
      </c>
      <c r="L2222" s="276">
        <f>IF($K2222="","",TODAY()-$K2222)</f>
        <v/>
      </c>
      <c r="M2222">
        <f>IF($A2222="","",IF($H2222="ENGAGE","Engagé",IF(AND($H2222="NON ENGAGE",OR($I2222="INFRUCTUEUX",$I2222="ANNULE")),"Clôturé sans suite","En cours")))</f>
        <v/>
      </c>
      <c r="N2222">
        <f>IF(ISBLANK('ENGAGEMENTS 2026'!C2222),"",'ENGAGEMENTS 2026'!L2222)</f>
        <v/>
      </c>
      <c r="O2222">
        <f>IF(ISBLANK('ENGAGEMENTS 2026'!C2222),"",'ENGAGEMENTS 2026'!M2222)</f>
        <v/>
      </c>
      <c r="P2222">
        <f>IF(ISBLANK('ENGAGEMENTS 2026'!C2222),"",'ENGAGEMENTS 2026'!K2222)</f>
        <v/>
      </c>
      <c r="Q2222">
        <f>IF($A2222="","",IF(OR($E2222="INFRUCTUEUX",$E2222="ANNULE"),$A2222&amp;"|"&amp;(COUNTIFS($A$2:$A2222,$A2222,$E$2:$E2222,"INFRUCTUEUX")+COUNTIFS($A$2:$A2222,$A2222,$E$2:$E2222,"ANNULE")),""))</f>
        <v/>
      </c>
    </row>
    <row r="2223">
      <c r="A2223">
        <f>IF(ISBLANK('ENGAGEMENTS 2026'!C2223),"",IF('ENGAGEMENTS 2026'!C2223="DTSI","DCT",'ENGAGEMENTS 2026'!C2223))</f>
        <v/>
      </c>
      <c r="B2223">
        <f>IF(ISBLANK('ENGAGEMENTS 2026'!C2223),"",'ENGAGEMENTS 2026'!D2223)</f>
        <v/>
      </c>
      <c r="C2223">
        <f>IF(ISBLANK('ENGAGEMENTS 2026'!C2223),"",'ENGAGEMENTS 2026'!E2223)</f>
        <v/>
      </c>
      <c r="D2223">
        <f>IF(ISBLANK('ENGAGEMENTS 2026'!C2223),"",'ENGAGEMENTS 2026'!G2223)</f>
        <v/>
      </c>
      <c r="E2223">
        <f>IF(ISBLANK('ENGAGEMENTS 2026'!C2223),"",'ENGAGEMENTS 2026'!I2223)</f>
        <v/>
      </c>
      <c r="F2223">
        <f>IF(ISBLANK('ENGAGEMENTS 2026'!C2223),"",'ENGAGEMENTS 2026'!J2223)</f>
        <v/>
      </c>
      <c r="G2223">
        <f>IF(ISBLANK('ENGAGEMENTS 2026'!C2223),"",'ENGAGEMENTS 2026'!M2223)</f>
        <v/>
      </c>
      <c r="H2223">
        <f>IF(ISBLANK('ENGAGEMENTS 2026'!C2223),"",'ENGAGEMENTS 2026'!AF2223)</f>
        <v/>
      </c>
      <c r="I2223">
        <f>IF(ISBLANK('ENGAGEMENTS 2026'!C2223),"",'ENGAGEMENTS 2026'!H2223)</f>
        <v/>
      </c>
      <c r="J2223" s="275">
        <f>IF(ISBLANK('ENGAGEMENTS 2026'!C2223),"",IF(AND(OR($E2223="INFRUCTUEUX",$E2223="ANNULE"),$C2223="AOO-M"),'ENGAGEMENTS 2026'!P2223,IF($H2223="EN COURS DE PREENGAGEMENT",'ENGAGEMENTS 2026'!O2223,IF($H2223="PREENGAGE",IF($E2223="ATTRIBUE",'ENGAGEMENTS 2026'!AE2223,'ENGAGEMENTS 2026'!O2223),'ENGAGEMENTS 2026'!AE2223))))</f>
        <v/>
      </c>
      <c r="K2223" s="604">
        <f>IF(ISBLANK('ENGAGEMENTS 2026'!W2223),"",'ENGAGEMENTS 2026'!W2223)</f>
        <v/>
      </c>
      <c r="L2223" s="276">
        <f>IF($K2223="","",TODAY()-$K2223)</f>
        <v/>
      </c>
      <c r="M2223">
        <f>IF($A2223="","",IF($H2223="ENGAGE","Engagé",IF(AND($H2223="NON ENGAGE",OR($I2223="INFRUCTUEUX",$I2223="ANNULE")),"Clôturé sans suite","En cours")))</f>
        <v/>
      </c>
      <c r="N2223">
        <f>IF(ISBLANK('ENGAGEMENTS 2026'!C2223),"",'ENGAGEMENTS 2026'!L2223)</f>
        <v/>
      </c>
      <c r="O2223">
        <f>IF(ISBLANK('ENGAGEMENTS 2026'!C2223),"",'ENGAGEMENTS 2026'!M2223)</f>
        <v/>
      </c>
      <c r="P2223">
        <f>IF(ISBLANK('ENGAGEMENTS 2026'!C2223),"",'ENGAGEMENTS 2026'!K2223)</f>
        <v/>
      </c>
      <c r="Q2223">
        <f>IF($A2223="","",IF(OR($E2223="INFRUCTUEUX",$E2223="ANNULE"),$A2223&amp;"|"&amp;(COUNTIFS($A$2:$A2223,$A2223,$E$2:$E2223,"INFRUCTUEUX")+COUNTIFS($A$2:$A2223,$A2223,$E$2:$E2223,"ANNULE")),""))</f>
        <v/>
      </c>
    </row>
    <row r="2224">
      <c r="A2224">
        <f>IF(ISBLANK('ENGAGEMENTS 2026'!C2224),"",IF('ENGAGEMENTS 2026'!C2224="DTSI","DCT",'ENGAGEMENTS 2026'!C2224))</f>
        <v/>
      </c>
      <c r="B2224">
        <f>IF(ISBLANK('ENGAGEMENTS 2026'!C2224),"",'ENGAGEMENTS 2026'!D2224)</f>
        <v/>
      </c>
      <c r="C2224">
        <f>IF(ISBLANK('ENGAGEMENTS 2026'!C2224),"",'ENGAGEMENTS 2026'!E2224)</f>
        <v/>
      </c>
      <c r="D2224">
        <f>IF(ISBLANK('ENGAGEMENTS 2026'!C2224),"",'ENGAGEMENTS 2026'!G2224)</f>
        <v/>
      </c>
      <c r="E2224">
        <f>IF(ISBLANK('ENGAGEMENTS 2026'!C2224),"",'ENGAGEMENTS 2026'!I2224)</f>
        <v/>
      </c>
      <c r="F2224">
        <f>IF(ISBLANK('ENGAGEMENTS 2026'!C2224),"",'ENGAGEMENTS 2026'!J2224)</f>
        <v/>
      </c>
      <c r="G2224">
        <f>IF(ISBLANK('ENGAGEMENTS 2026'!C2224),"",'ENGAGEMENTS 2026'!M2224)</f>
        <v/>
      </c>
      <c r="H2224">
        <f>IF(ISBLANK('ENGAGEMENTS 2026'!C2224),"",'ENGAGEMENTS 2026'!AF2224)</f>
        <v/>
      </c>
      <c r="I2224">
        <f>IF(ISBLANK('ENGAGEMENTS 2026'!C2224),"",'ENGAGEMENTS 2026'!H2224)</f>
        <v/>
      </c>
      <c r="J2224" s="275">
        <f>IF(ISBLANK('ENGAGEMENTS 2026'!C2224),"",IF(AND(OR($E2224="INFRUCTUEUX",$E2224="ANNULE"),$C2224="AOO-M"),'ENGAGEMENTS 2026'!P2224,IF($H2224="EN COURS DE PREENGAGEMENT",'ENGAGEMENTS 2026'!O2224,IF($H2224="PREENGAGE",IF($E2224="ATTRIBUE",'ENGAGEMENTS 2026'!AE2224,'ENGAGEMENTS 2026'!O2224),'ENGAGEMENTS 2026'!AE2224))))</f>
        <v/>
      </c>
      <c r="K2224" s="604">
        <f>IF(ISBLANK('ENGAGEMENTS 2026'!W2224),"",'ENGAGEMENTS 2026'!W2224)</f>
        <v/>
      </c>
      <c r="L2224" s="276">
        <f>IF($K2224="","",TODAY()-$K2224)</f>
        <v/>
      </c>
      <c r="M2224">
        <f>IF($A2224="","",IF($H2224="ENGAGE","Engagé",IF(AND($H2224="NON ENGAGE",OR($I2224="INFRUCTUEUX",$I2224="ANNULE")),"Clôturé sans suite","En cours")))</f>
        <v/>
      </c>
      <c r="N2224">
        <f>IF(ISBLANK('ENGAGEMENTS 2026'!C2224),"",'ENGAGEMENTS 2026'!L2224)</f>
        <v/>
      </c>
      <c r="O2224">
        <f>IF(ISBLANK('ENGAGEMENTS 2026'!C2224),"",'ENGAGEMENTS 2026'!M2224)</f>
        <v/>
      </c>
      <c r="P2224">
        <f>IF(ISBLANK('ENGAGEMENTS 2026'!C2224),"",'ENGAGEMENTS 2026'!K2224)</f>
        <v/>
      </c>
      <c r="Q2224">
        <f>IF($A2224="","",IF(OR($E2224="INFRUCTUEUX",$E2224="ANNULE"),$A2224&amp;"|"&amp;(COUNTIFS($A$2:$A2224,$A2224,$E$2:$E2224,"INFRUCTUEUX")+COUNTIFS($A$2:$A2224,$A2224,$E$2:$E2224,"ANNULE")),""))</f>
        <v/>
      </c>
    </row>
    <row r="2225">
      <c r="A2225">
        <f>IF(ISBLANK('ENGAGEMENTS 2026'!C2225),"",IF('ENGAGEMENTS 2026'!C2225="DTSI","DCT",'ENGAGEMENTS 2026'!C2225))</f>
        <v/>
      </c>
      <c r="B2225">
        <f>IF(ISBLANK('ENGAGEMENTS 2026'!C2225),"",'ENGAGEMENTS 2026'!D2225)</f>
        <v/>
      </c>
      <c r="C2225">
        <f>IF(ISBLANK('ENGAGEMENTS 2026'!C2225),"",'ENGAGEMENTS 2026'!E2225)</f>
        <v/>
      </c>
      <c r="D2225">
        <f>IF(ISBLANK('ENGAGEMENTS 2026'!C2225),"",'ENGAGEMENTS 2026'!G2225)</f>
        <v/>
      </c>
      <c r="E2225">
        <f>IF(ISBLANK('ENGAGEMENTS 2026'!C2225),"",'ENGAGEMENTS 2026'!I2225)</f>
        <v/>
      </c>
      <c r="F2225">
        <f>IF(ISBLANK('ENGAGEMENTS 2026'!C2225),"",'ENGAGEMENTS 2026'!J2225)</f>
        <v/>
      </c>
      <c r="G2225">
        <f>IF(ISBLANK('ENGAGEMENTS 2026'!C2225),"",'ENGAGEMENTS 2026'!M2225)</f>
        <v/>
      </c>
      <c r="H2225">
        <f>IF(ISBLANK('ENGAGEMENTS 2026'!C2225),"",'ENGAGEMENTS 2026'!AF2225)</f>
        <v/>
      </c>
      <c r="I2225">
        <f>IF(ISBLANK('ENGAGEMENTS 2026'!C2225),"",'ENGAGEMENTS 2026'!H2225)</f>
        <v/>
      </c>
      <c r="J2225" s="275">
        <f>IF(ISBLANK('ENGAGEMENTS 2026'!C2225),"",IF(AND(OR($E2225="INFRUCTUEUX",$E2225="ANNULE"),$C2225="AOO-M"),'ENGAGEMENTS 2026'!P2225,IF($H2225="EN COURS DE PREENGAGEMENT",'ENGAGEMENTS 2026'!O2225,IF($H2225="PREENGAGE",IF($E2225="ATTRIBUE",'ENGAGEMENTS 2026'!AE2225,'ENGAGEMENTS 2026'!O2225),'ENGAGEMENTS 2026'!AE2225))))</f>
        <v/>
      </c>
      <c r="K2225" s="604">
        <f>IF(ISBLANK('ENGAGEMENTS 2026'!W2225),"",'ENGAGEMENTS 2026'!W2225)</f>
        <v/>
      </c>
      <c r="L2225" s="276">
        <f>IF($K2225="","",TODAY()-$K2225)</f>
        <v/>
      </c>
      <c r="M2225">
        <f>IF($A2225="","",IF($H2225="ENGAGE","Engagé",IF(AND($H2225="NON ENGAGE",OR($I2225="INFRUCTUEUX",$I2225="ANNULE")),"Clôturé sans suite","En cours")))</f>
        <v/>
      </c>
      <c r="N2225">
        <f>IF(ISBLANK('ENGAGEMENTS 2026'!C2225),"",'ENGAGEMENTS 2026'!L2225)</f>
        <v/>
      </c>
      <c r="O2225">
        <f>IF(ISBLANK('ENGAGEMENTS 2026'!C2225),"",'ENGAGEMENTS 2026'!M2225)</f>
        <v/>
      </c>
      <c r="P2225">
        <f>IF(ISBLANK('ENGAGEMENTS 2026'!C2225),"",'ENGAGEMENTS 2026'!K2225)</f>
        <v/>
      </c>
      <c r="Q2225">
        <f>IF($A2225="","",IF(OR($E2225="INFRUCTUEUX",$E2225="ANNULE"),$A2225&amp;"|"&amp;(COUNTIFS($A$2:$A2225,$A2225,$E$2:$E2225,"INFRUCTUEUX")+COUNTIFS($A$2:$A2225,$A2225,$E$2:$E2225,"ANNULE")),""))</f>
        <v/>
      </c>
    </row>
    <row r="2226">
      <c r="A2226">
        <f>IF(ISBLANK('ENGAGEMENTS 2026'!C2226),"",IF('ENGAGEMENTS 2026'!C2226="DTSI","DCT",'ENGAGEMENTS 2026'!C2226))</f>
        <v/>
      </c>
      <c r="B2226">
        <f>IF(ISBLANK('ENGAGEMENTS 2026'!C2226),"",'ENGAGEMENTS 2026'!D2226)</f>
        <v/>
      </c>
      <c r="C2226">
        <f>IF(ISBLANK('ENGAGEMENTS 2026'!C2226),"",'ENGAGEMENTS 2026'!E2226)</f>
        <v/>
      </c>
      <c r="D2226">
        <f>IF(ISBLANK('ENGAGEMENTS 2026'!C2226),"",'ENGAGEMENTS 2026'!G2226)</f>
        <v/>
      </c>
      <c r="E2226">
        <f>IF(ISBLANK('ENGAGEMENTS 2026'!C2226),"",'ENGAGEMENTS 2026'!I2226)</f>
        <v/>
      </c>
      <c r="F2226">
        <f>IF(ISBLANK('ENGAGEMENTS 2026'!C2226),"",'ENGAGEMENTS 2026'!J2226)</f>
        <v/>
      </c>
      <c r="G2226">
        <f>IF(ISBLANK('ENGAGEMENTS 2026'!C2226),"",'ENGAGEMENTS 2026'!M2226)</f>
        <v/>
      </c>
      <c r="H2226">
        <f>IF(ISBLANK('ENGAGEMENTS 2026'!C2226),"",'ENGAGEMENTS 2026'!AF2226)</f>
        <v/>
      </c>
      <c r="I2226">
        <f>IF(ISBLANK('ENGAGEMENTS 2026'!C2226),"",'ENGAGEMENTS 2026'!H2226)</f>
        <v/>
      </c>
      <c r="J2226" s="275">
        <f>IF(ISBLANK('ENGAGEMENTS 2026'!C2226),"",IF(AND(OR($E2226="INFRUCTUEUX",$E2226="ANNULE"),$C2226="AOO-M"),'ENGAGEMENTS 2026'!P2226,IF($H2226="EN COURS DE PREENGAGEMENT",'ENGAGEMENTS 2026'!O2226,IF($H2226="PREENGAGE",IF($E2226="ATTRIBUE",'ENGAGEMENTS 2026'!AE2226,'ENGAGEMENTS 2026'!O2226),'ENGAGEMENTS 2026'!AE2226))))</f>
        <v/>
      </c>
      <c r="K2226" s="604">
        <f>IF(ISBLANK('ENGAGEMENTS 2026'!W2226),"",'ENGAGEMENTS 2026'!W2226)</f>
        <v/>
      </c>
      <c r="L2226" s="276">
        <f>IF($K2226="","",TODAY()-$K2226)</f>
        <v/>
      </c>
      <c r="M2226">
        <f>IF($A2226="","",IF($H2226="ENGAGE","Engagé",IF(AND($H2226="NON ENGAGE",OR($I2226="INFRUCTUEUX",$I2226="ANNULE")),"Clôturé sans suite","En cours")))</f>
        <v/>
      </c>
      <c r="N2226">
        <f>IF(ISBLANK('ENGAGEMENTS 2026'!C2226),"",'ENGAGEMENTS 2026'!L2226)</f>
        <v/>
      </c>
      <c r="O2226">
        <f>IF(ISBLANK('ENGAGEMENTS 2026'!C2226),"",'ENGAGEMENTS 2026'!M2226)</f>
        <v/>
      </c>
      <c r="P2226">
        <f>IF(ISBLANK('ENGAGEMENTS 2026'!C2226),"",'ENGAGEMENTS 2026'!K2226)</f>
        <v/>
      </c>
      <c r="Q2226">
        <f>IF($A2226="","",IF(OR($E2226="INFRUCTUEUX",$E2226="ANNULE"),$A2226&amp;"|"&amp;(COUNTIFS($A$2:$A2226,$A2226,$E$2:$E2226,"INFRUCTUEUX")+COUNTIFS($A$2:$A2226,$A2226,$E$2:$E2226,"ANNULE")),""))</f>
        <v/>
      </c>
    </row>
    <row r="2227">
      <c r="A2227">
        <f>IF(ISBLANK('ENGAGEMENTS 2026'!C2227),"",IF('ENGAGEMENTS 2026'!C2227="DTSI","DCT",'ENGAGEMENTS 2026'!C2227))</f>
        <v/>
      </c>
      <c r="B2227">
        <f>IF(ISBLANK('ENGAGEMENTS 2026'!C2227),"",'ENGAGEMENTS 2026'!D2227)</f>
        <v/>
      </c>
      <c r="C2227">
        <f>IF(ISBLANK('ENGAGEMENTS 2026'!C2227),"",'ENGAGEMENTS 2026'!E2227)</f>
        <v/>
      </c>
      <c r="D2227">
        <f>IF(ISBLANK('ENGAGEMENTS 2026'!C2227),"",'ENGAGEMENTS 2026'!G2227)</f>
        <v/>
      </c>
      <c r="E2227">
        <f>IF(ISBLANK('ENGAGEMENTS 2026'!C2227),"",'ENGAGEMENTS 2026'!I2227)</f>
        <v/>
      </c>
      <c r="F2227">
        <f>IF(ISBLANK('ENGAGEMENTS 2026'!C2227),"",'ENGAGEMENTS 2026'!J2227)</f>
        <v/>
      </c>
      <c r="G2227">
        <f>IF(ISBLANK('ENGAGEMENTS 2026'!C2227),"",'ENGAGEMENTS 2026'!M2227)</f>
        <v/>
      </c>
      <c r="H2227">
        <f>IF(ISBLANK('ENGAGEMENTS 2026'!C2227),"",'ENGAGEMENTS 2026'!AF2227)</f>
        <v/>
      </c>
      <c r="I2227">
        <f>IF(ISBLANK('ENGAGEMENTS 2026'!C2227),"",'ENGAGEMENTS 2026'!H2227)</f>
        <v/>
      </c>
      <c r="J2227" s="275">
        <f>IF(ISBLANK('ENGAGEMENTS 2026'!C2227),"",IF(AND(OR($E2227="INFRUCTUEUX",$E2227="ANNULE"),$C2227="AOO-M"),'ENGAGEMENTS 2026'!P2227,IF($H2227="EN COURS DE PREENGAGEMENT",'ENGAGEMENTS 2026'!O2227,IF($H2227="PREENGAGE",IF($E2227="ATTRIBUE",'ENGAGEMENTS 2026'!AE2227,'ENGAGEMENTS 2026'!O2227),'ENGAGEMENTS 2026'!AE2227))))</f>
        <v/>
      </c>
      <c r="K2227" s="604">
        <f>IF(ISBLANK('ENGAGEMENTS 2026'!W2227),"",'ENGAGEMENTS 2026'!W2227)</f>
        <v/>
      </c>
      <c r="L2227" s="276">
        <f>IF($K2227="","",TODAY()-$K2227)</f>
        <v/>
      </c>
      <c r="M2227">
        <f>IF($A2227="","",IF($H2227="ENGAGE","Engagé",IF(AND($H2227="NON ENGAGE",OR($I2227="INFRUCTUEUX",$I2227="ANNULE")),"Clôturé sans suite","En cours")))</f>
        <v/>
      </c>
      <c r="N2227">
        <f>IF(ISBLANK('ENGAGEMENTS 2026'!C2227),"",'ENGAGEMENTS 2026'!L2227)</f>
        <v/>
      </c>
      <c r="O2227">
        <f>IF(ISBLANK('ENGAGEMENTS 2026'!C2227),"",'ENGAGEMENTS 2026'!M2227)</f>
        <v/>
      </c>
      <c r="P2227">
        <f>IF(ISBLANK('ENGAGEMENTS 2026'!C2227),"",'ENGAGEMENTS 2026'!K2227)</f>
        <v/>
      </c>
      <c r="Q2227">
        <f>IF($A2227="","",IF(OR($E2227="INFRUCTUEUX",$E2227="ANNULE"),$A2227&amp;"|"&amp;(COUNTIFS($A$2:$A2227,$A2227,$E$2:$E2227,"INFRUCTUEUX")+COUNTIFS($A$2:$A2227,$A2227,$E$2:$E2227,"ANNULE")),""))</f>
        <v/>
      </c>
    </row>
    <row r="2228">
      <c r="A2228">
        <f>IF(ISBLANK('ENGAGEMENTS 2026'!C2228),"",IF('ENGAGEMENTS 2026'!C2228="DTSI","DCT",'ENGAGEMENTS 2026'!C2228))</f>
        <v/>
      </c>
      <c r="B2228">
        <f>IF(ISBLANK('ENGAGEMENTS 2026'!C2228),"",'ENGAGEMENTS 2026'!D2228)</f>
        <v/>
      </c>
      <c r="C2228">
        <f>IF(ISBLANK('ENGAGEMENTS 2026'!C2228),"",'ENGAGEMENTS 2026'!E2228)</f>
        <v/>
      </c>
      <c r="D2228">
        <f>IF(ISBLANK('ENGAGEMENTS 2026'!C2228),"",'ENGAGEMENTS 2026'!G2228)</f>
        <v/>
      </c>
      <c r="E2228">
        <f>IF(ISBLANK('ENGAGEMENTS 2026'!C2228),"",'ENGAGEMENTS 2026'!I2228)</f>
        <v/>
      </c>
      <c r="F2228">
        <f>IF(ISBLANK('ENGAGEMENTS 2026'!C2228),"",'ENGAGEMENTS 2026'!J2228)</f>
        <v/>
      </c>
      <c r="G2228">
        <f>IF(ISBLANK('ENGAGEMENTS 2026'!C2228),"",'ENGAGEMENTS 2026'!M2228)</f>
        <v/>
      </c>
      <c r="H2228">
        <f>IF(ISBLANK('ENGAGEMENTS 2026'!C2228),"",'ENGAGEMENTS 2026'!AF2228)</f>
        <v/>
      </c>
      <c r="I2228">
        <f>IF(ISBLANK('ENGAGEMENTS 2026'!C2228),"",'ENGAGEMENTS 2026'!H2228)</f>
        <v/>
      </c>
      <c r="J2228" s="275">
        <f>IF(ISBLANK('ENGAGEMENTS 2026'!C2228),"",IF(AND(OR($E2228="INFRUCTUEUX",$E2228="ANNULE"),$C2228="AOO-M"),'ENGAGEMENTS 2026'!P2228,IF($H2228="EN COURS DE PREENGAGEMENT",'ENGAGEMENTS 2026'!O2228,IF($H2228="PREENGAGE",IF($E2228="ATTRIBUE",'ENGAGEMENTS 2026'!AE2228,'ENGAGEMENTS 2026'!O2228),'ENGAGEMENTS 2026'!AE2228))))</f>
        <v/>
      </c>
      <c r="K2228" s="604">
        <f>IF(ISBLANK('ENGAGEMENTS 2026'!W2228),"",'ENGAGEMENTS 2026'!W2228)</f>
        <v/>
      </c>
      <c r="L2228" s="276">
        <f>IF($K2228="","",TODAY()-$K2228)</f>
        <v/>
      </c>
      <c r="M2228">
        <f>IF($A2228="","",IF($H2228="ENGAGE","Engagé",IF(AND($H2228="NON ENGAGE",OR($I2228="INFRUCTUEUX",$I2228="ANNULE")),"Clôturé sans suite","En cours")))</f>
        <v/>
      </c>
      <c r="N2228">
        <f>IF(ISBLANK('ENGAGEMENTS 2026'!C2228),"",'ENGAGEMENTS 2026'!L2228)</f>
        <v/>
      </c>
      <c r="O2228">
        <f>IF(ISBLANK('ENGAGEMENTS 2026'!C2228),"",'ENGAGEMENTS 2026'!M2228)</f>
        <v/>
      </c>
      <c r="P2228">
        <f>IF(ISBLANK('ENGAGEMENTS 2026'!C2228),"",'ENGAGEMENTS 2026'!K2228)</f>
        <v/>
      </c>
      <c r="Q2228">
        <f>IF($A2228="","",IF(OR($E2228="INFRUCTUEUX",$E2228="ANNULE"),$A2228&amp;"|"&amp;(COUNTIFS($A$2:$A2228,$A2228,$E$2:$E2228,"INFRUCTUEUX")+COUNTIFS($A$2:$A2228,$A2228,$E$2:$E2228,"ANNULE")),""))</f>
        <v/>
      </c>
    </row>
    <row r="2229">
      <c r="A2229">
        <f>IF(ISBLANK('ENGAGEMENTS 2026'!C2229),"",IF('ENGAGEMENTS 2026'!C2229="DTSI","DCT",'ENGAGEMENTS 2026'!C2229))</f>
        <v/>
      </c>
      <c r="B2229">
        <f>IF(ISBLANK('ENGAGEMENTS 2026'!C2229),"",'ENGAGEMENTS 2026'!D2229)</f>
        <v/>
      </c>
      <c r="C2229">
        <f>IF(ISBLANK('ENGAGEMENTS 2026'!C2229),"",'ENGAGEMENTS 2026'!E2229)</f>
        <v/>
      </c>
      <c r="D2229">
        <f>IF(ISBLANK('ENGAGEMENTS 2026'!C2229),"",'ENGAGEMENTS 2026'!G2229)</f>
        <v/>
      </c>
      <c r="E2229">
        <f>IF(ISBLANK('ENGAGEMENTS 2026'!C2229),"",'ENGAGEMENTS 2026'!I2229)</f>
        <v/>
      </c>
      <c r="F2229">
        <f>IF(ISBLANK('ENGAGEMENTS 2026'!C2229),"",'ENGAGEMENTS 2026'!J2229)</f>
        <v/>
      </c>
      <c r="G2229">
        <f>IF(ISBLANK('ENGAGEMENTS 2026'!C2229),"",'ENGAGEMENTS 2026'!M2229)</f>
        <v/>
      </c>
      <c r="H2229">
        <f>IF(ISBLANK('ENGAGEMENTS 2026'!C2229),"",'ENGAGEMENTS 2026'!AF2229)</f>
        <v/>
      </c>
      <c r="I2229">
        <f>IF(ISBLANK('ENGAGEMENTS 2026'!C2229),"",'ENGAGEMENTS 2026'!H2229)</f>
        <v/>
      </c>
      <c r="J2229" s="275">
        <f>IF(ISBLANK('ENGAGEMENTS 2026'!C2229),"",IF(AND(OR($E2229="INFRUCTUEUX",$E2229="ANNULE"),$C2229="AOO-M"),'ENGAGEMENTS 2026'!P2229,IF($H2229="EN COURS DE PREENGAGEMENT",'ENGAGEMENTS 2026'!O2229,IF($H2229="PREENGAGE",IF($E2229="ATTRIBUE",'ENGAGEMENTS 2026'!AE2229,'ENGAGEMENTS 2026'!O2229),'ENGAGEMENTS 2026'!AE2229))))</f>
        <v/>
      </c>
      <c r="K2229" s="604">
        <f>IF(ISBLANK('ENGAGEMENTS 2026'!W2229),"",'ENGAGEMENTS 2026'!W2229)</f>
        <v/>
      </c>
      <c r="L2229" s="276">
        <f>IF($K2229="","",TODAY()-$K2229)</f>
        <v/>
      </c>
      <c r="M2229">
        <f>IF($A2229="","",IF($H2229="ENGAGE","Engagé",IF(AND($H2229="NON ENGAGE",OR($I2229="INFRUCTUEUX",$I2229="ANNULE")),"Clôturé sans suite","En cours")))</f>
        <v/>
      </c>
      <c r="N2229">
        <f>IF(ISBLANK('ENGAGEMENTS 2026'!C2229),"",'ENGAGEMENTS 2026'!L2229)</f>
        <v/>
      </c>
      <c r="O2229">
        <f>IF(ISBLANK('ENGAGEMENTS 2026'!C2229),"",'ENGAGEMENTS 2026'!M2229)</f>
        <v/>
      </c>
      <c r="P2229">
        <f>IF(ISBLANK('ENGAGEMENTS 2026'!C2229),"",'ENGAGEMENTS 2026'!K2229)</f>
        <v/>
      </c>
      <c r="Q2229">
        <f>IF($A2229="","",IF(OR($E2229="INFRUCTUEUX",$E2229="ANNULE"),$A2229&amp;"|"&amp;(COUNTIFS($A$2:$A2229,$A2229,$E$2:$E2229,"INFRUCTUEUX")+COUNTIFS($A$2:$A2229,$A2229,$E$2:$E2229,"ANNULE")),""))</f>
        <v/>
      </c>
    </row>
    <row r="2230">
      <c r="A2230">
        <f>IF(ISBLANK('ENGAGEMENTS 2026'!C2230),"",IF('ENGAGEMENTS 2026'!C2230="DTSI","DCT",'ENGAGEMENTS 2026'!C2230))</f>
        <v/>
      </c>
      <c r="B2230">
        <f>IF(ISBLANK('ENGAGEMENTS 2026'!C2230),"",'ENGAGEMENTS 2026'!D2230)</f>
        <v/>
      </c>
      <c r="C2230">
        <f>IF(ISBLANK('ENGAGEMENTS 2026'!C2230),"",'ENGAGEMENTS 2026'!E2230)</f>
        <v/>
      </c>
      <c r="D2230">
        <f>IF(ISBLANK('ENGAGEMENTS 2026'!C2230),"",'ENGAGEMENTS 2026'!G2230)</f>
        <v/>
      </c>
      <c r="E2230">
        <f>IF(ISBLANK('ENGAGEMENTS 2026'!C2230),"",'ENGAGEMENTS 2026'!I2230)</f>
        <v/>
      </c>
      <c r="F2230">
        <f>IF(ISBLANK('ENGAGEMENTS 2026'!C2230),"",'ENGAGEMENTS 2026'!J2230)</f>
        <v/>
      </c>
      <c r="G2230">
        <f>IF(ISBLANK('ENGAGEMENTS 2026'!C2230),"",'ENGAGEMENTS 2026'!M2230)</f>
        <v/>
      </c>
      <c r="H2230">
        <f>IF(ISBLANK('ENGAGEMENTS 2026'!C2230),"",'ENGAGEMENTS 2026'!AF2230)</f>
        <v/>
      </c>
      <c r="I2230">
        <f>IF(ISBLANK('ENGAGEMENTS 2026'!C2230),"",'ENGAGEMENTS 2026'!H2230)</f>
        <v/>
      </c>
      <c r="J2230" s="275">
        <f>IF(ISBLANK('ENGAGEMENTS 2026'!C2230),"",IF(AND(OR($E2230="INFRUCTUEUX",$E2230="ANNULE"),$C2230="AOO-M"),'ENGAGEMENTS 2026'!P2230,IF($H2230="EN COURS DE PREENGAGEMENT",'ENGAGEMENTS 2026'!O2230,IF($H2230="PREENGAGE",IF($E2230="ATTRIBUE",'ENGAGEMENTS 2026'!AE2230,'ENGAGEMENTS 2026'!O2230),'ENGAGEMENTS 2026'!AE2230))))</f>
        <v/>
      </c>
      <c r="K2230" s="604">
        <f>IF(ISBLANK('ENGAGEMENTS 2026'!W2230),"",'ENGAGEMENTS 2026'!W2230)</f>
        <v/>
      </c>
      <c r="L2230" s="276">
        <f>IF($K2230="","",TODAY()-$K2230)</f>
        <v/>
      </c>
      <c r="M2230">
        <f>IF($A2230="","",IF($H2230="ENGAGE","Engagé",IF(AND($H2230="NON ENGAGE",OR($I2230="INFRUCTUEUX",$I2230="ANNULE")),"Clôturé sans suite","En cours")))</f>
        <v/>
      </c>
      <c r="N2230">
        <f>IF(ISBLANK('ENGAGEMENTS 2026'!C2230),"",'ENGAGEMENTS 2026'!L2230)</f>
        <v/>
      </c>
      <c r="O2230">
        <f>IF(ISBLANK('ENGAGEMENTS 2026'!C2230),"",'ENGAGEMENTS 2026'!M2230)</f>
        <v/>
      </c>
      <c r="P2230">
        <f>IF(ISBLANK('ENGAGEMENTS 2026'!C2230),"",'ENGAGEMENTS 2026'!K2230)</f>
        <v/>
      </c>
      <c r="Q2230">
        <f>IF($A2230="","",IF(OR($E2230="INFRUCTUEUX",$E2230="ANNULE"),$A2230&amp;"|"&amp;(COUNTIFS($A$2:$A2230,$A2230,$E$2:$E2230,"INFRUCTUEUX")+COUNTIFS($A$2:$A2230,$A2230,$E$2:$E2230,"ANNULE")),""))</f>
        <v/>
      </c>
    </row>
    <row r="2231">
      <c r="A2231">
        <f>IF(ISBLANK('ENGAGEMENTS 2026'!C2231),"",IF('ENGAGEMENTS 2026'!C2231="DTSI","DCT",'ENGAGEMENTS 2026'!C2231))</f>
        <v/>
      </c>
      <c r="B2231">
        <f>IF(ISBLANK('ENGAGEMENTS 2026'!C2231),"",'ENGAGEMENTS 2026'!D2231)</f>
        <v/>
      </c>
      <c r="C2231">
        <f>IF(ISBLANK('ENGAGEMENTS 2026'!C2231),"",'ENGAGEMENTS 2026'!E2231)</f>
        <v/>
      </c>
      <c r="D2231">
        <f>IF(ISBLANK('ENGAGEMENTS 2026'!C2231),"",'ENGAGEMENTS 2026'!G2231)</f>
        <v/>
      </c>
      <c r="E2231">
        <f>IF(ISBLANK('ENGAGEMENTS 2026'!C2231),"",'ENGAGEMENTS 2026'!I2231)</f>
        <v/>
      </c>
      <c r="F2231">
        <f>IF(ISBLANK('ENGAGEMENTS 2026'!C2231),"",'ENGAGEMENTS 2026'!J2231)</f>
        <v/>
      </c>
      <c r="G2231">
        <f>IF(ISBLANK('ENGAGEMENTS 2026'!C2231),"",'ENGAGEMENTS 2026'!M2231)</f>
        <v/>
      </c>
      <c r="H2231">
        <f>IF(ISBLANK('ENGAGEMENTS 2026'!C2231),"",'ENGAGEMENTS 2026'!AF2231)</f>
        <v/>
      </c>
      <c r="I2231">
        <f>IF(ISBLANK('ENGAGEMENTS 2026'!C2231),"",'ENGAGEMENTS 2026'!H2231)</f>
        <v/>
      </c>
      <c r="J2231" s="275">
        <f>IF(ISBLANK('ENGAGEMENTS 2026'!C2231),"",IF(AND(OR($E2231="INFRUCTUEUX",$E2231="ANNULE"),$C2231="AOO-M"),'ENGAGEMENTS 2026'!P2231,IF($H2231="EN COURS DE PREENGAGEMENT",'ENGAGEMENTS 2026'!O2231,IF($H2231="PREENGAGE",IF($E2231="ATTRIBUE",'ENGAGEMENTS 2026'!AE2231,'ENGAGEMENTS 2026'!O2231),'ENGAGEMENTS 2026'!AE2231))))</f>
        <v/>
      </c>
      <c r="K2231" s="604">
        <f>IF(ISBLANK('ENGAGEMENTS 2026'!W2231),"",'ENGAGEMENTS 2026'!W2231)</f>
        <v/>
      </c>
      <c r="L2231" s="276">
        <f>IF($K2231="","",TODAY()-$K2231)</f>
        <v/>
      </c>
      <c r="M2231">
        <f>IF($A2231="","",IF($H2231="ENGAGE","Engagé",IF(AND($H2231="NON ENGAGE",OR($I2231="INFRUCTUEUX",$I2231="ANNULE")),"Clôturé sans suite","En cours")))</f>
        <v/>
      </c>
      <c r="N2231">
        <f>IF(ISBLANK('ENGAGEMENTS 2026'!C2231),"",'ENGAGEMENTS 2026'!L2231)</f>
        <v/>
      </c>
      <c r="O2231">
        <f>IF(ISBLANK('ENGAGEMENTS 2026'!C2231),"",'ENGAGEMENTS 2026'!M2231)</f>
        <v/>
      </c>
      <c r="P2231">
        <f>IF(ISBLANK('ENGAGEMENTS 2026'!C2231),"",'ENGAGEMENTS 2026'!K2231)</f>
        <v/>
      </c>
      <c r="Q2231">
        <f>IF($A2231="","",IF(OR($E2231="INFRUCTUEUX",$E2231="ANNULE"),$A2231&amp;"|"&amp;(COUNTIFS($A$2:$A2231,$A2231,$E$2:$E2231,"INFRUCTUEUX")+COUNTIFS($A$2:$A2231,$A2231,$E$2:$E2231,"ANNULE")),""))</f>
        <v/>
      </c>
    </row>
    <row r="2232">
      <c r="A2232">
        <f>IF(ISBLANK('ENGAGEMENTS 2026'!C2232),"",IF('ENGAGEMENTS 2026'!C2232="DTSI","DCT",'ENGAGEMENTS 2026'!C2232))</f>
        <v/>
      </c>
      <c r="B2232">
        <f>IF(ISBLANK('ENGAGEMENTS 2026'!C2232),"",'ENGAGEMENTS 2026'!D2232)</f>
        <v/>
      </c>
      <c r="C2232">
        <f>IF(ISBLANK('ENGAGEMENTS 2026'!C2232),"",'ENGAGEMENTS 2026'!E2232)</f>
        <v/>
      </c>
      <c r="D2232">
        <f>IF(ISBLANK('ENGAGEMENTS 2026'!C2232),"",'ENGAGEMENTS 2026'!G2232)</f>
        <v/>
      </c>
      <c r="E2232">
        <f>IF(ISBLANK('ENGAGEMENTS 2026'!C2232),"",'ENGAGEMENTS 2026'!I2232)</f>
        <v/>
      </c>
      <c r="F2232">
        <f>IF(ISBLANK('ENGAGEMENTS 2026'!C2232),"",'ENGAGEMENTS 2026'!J2232)</f>
        <v/>
      </c>
      <c r="G2232">
        <f>IF(ISBLANK('ENGAGEMENTS 2026'!C2232),"",'ENGAGEMENTS 2026'!M2232)</f>
        <v/>
      </c>
      <c r="H2232">
        <f>IF(ISBLANK('ENGAGEMENTS 2026'!C2232),"",'ENGAGEMENTS 2026'!AF2232)</f>
        <v/>
      </c>
      <c r="I2232">
        <f>IF(ISBLANK('ENGAGEMENTS 2026'!C2232),"",'ENGAGEMENTS 2026'!H2232)</f>
        <v/>
      </c>
      <c r="J2232" s="275">
        <f>IF(ISBLANK('ENGAGEMENTS 2026'!C2232),"",IF(AND(OR($E2232="INFRUCTUEUX",$E2232="ANNULE"),$C2232="AOO-M"),'ENGAGEMENTS 2026'!P2232,IF($H2232="EN COURS DE PREENGAGEMENT",'ENGAGEMENTS 2026'!O2232,IF($H2232="PREENGAGE",IF($E2232="ATTRIBUE",'ENGAGEMENTS 2026'!AE2232,'ENGAGEMENTS 2026'!O2232),'ENGAGEMENTS 2026'!AE2232))))</f>
        <v/>
      </c>
      <c r="K2232" s="604">
        <f>IF(ISBLANK('ENGAGEMENTS 2026'!W2232),"",'ENGAGEMENTS 2026'!W2232)</f>
        <v/>
      </c>
      <c r="L2232" s="276">
        <f>IF($K2232="","",TODAY()-$K2232)</f>
        <v/>
      </c>
      <c r="M2232">
        <f>IF($A2232="","",IF($H2232="ENGAGE","Engagé",IF(AND($H2232="NON ENGAGE",OR($I2232="INFRUCTUEUX",$I2232="ANNULE")),"Clôturé sans suite","En cours")))</f>
        <v/>
      </c>
      <c r="N2232">
        <f>IF(ISBLANK('ENGAGEMENTS 2026'!C2232),"",'ENGAGEMENTS 2026'!L2232)</f>
        <v/>
      </c>
      <c r="O2232">
        <f>IF(ISBLANK('ENGAGEMENTS 2026'!C2232),"",'ENGAGEMENTS 2026'!M2232)</f>
        <v/>
      </c>
      <c r="P2232">
        <f>IF(ISBLANK('ENGAGEMENTS 2026'!C2232),"",'ENGAGEMENTS 2026'!K2232)</f>
        <v/>
      </c>
      <c r="Q2232">
        <f>IF($A2232="","",IF(OR($E2232="INFRUCTUEUX",$E2232="ANNULE"),$A2232&amp;"|"&amp;(COUNTIFS($A$2:$A2232,$A2232,$E$2:$E2232,"INFRUCTUEUX")+COUNTIFS($A$2:$A2232,$A2232,$E$2:$E2232,"ANNULE")),""))</f>
        <v/>
      </c>
    </row>
    <row r="2233">
      <c r="A2233">
        <f>IF(ISBLANK('ENGAGEMENTS 2026'!C2233),"",IF('ENGAGEMENTS 2026'!C2233="DTSI","DCT",'ENGAGEMENTS 2026'!C2233))</f>
        <v/>
      </c>
      <c r="B2233">
        <f>IF(ISBLANK('ENGAGEMENTS 2026'!C2233),"",'ENGAGEMENTS 2026'!D2233)</f>
        <v/>
      </c>
      <c r="C2233">
        <f>IF(ISBLANK('ENGAGEMENTS 2026'!C2233),"",'ENGAGEMENTS 2026'!E2233)</f>
        <v/>
      </c>
      <c r="D2233">
        <f>IF(ISBLANK('ENGAGEMENTS 2026'!C2233),"",'ENGAGEMENTS 2026'!G2233)</f>
        <v/>
      </c>
      <c r="E2233">
        <f>IF(ISBLANK('ENGAGEMENTS 2026'!C2233),"",'ENGAGEMENTS 2026'!I2233)</f>
        <v/>
      </c>
      <c r="F2233">
        <f>IF(ISBLANK('ENGAGEMENTS 2026'!C2233),"",'ENGAGEMENTS 2026'!J2233)</f>
        <v/>
      </c>
      <c r="G2233">
        <f>IF(ISBLANK('ENGAGEMENTS 2026'!C2233),"",'ENGAGEMENTS 2026'!M2233)</f>
        <v/>
      </c>
      <c r="H2233">
        <f>IF(ISBLANK('ENGAGEMENTS 2026'!C2233),"",'ENGAGEMENTS 2026'!AF2233)</f>
        <v/>
      </c>
      <c r="I2233">
        <f>IF(ISBLANK('ENGAGEMENTS 2026'!C2233),"",'ENGAGEMENTS 2026'!H2233)</f>
        <v/>
      </c>
      <c r="J2233" s="275">
        <f>IF(ISBLANK('ENGAGEMENTS 2026'!C2233),"",IF(AND(OR($E2233="INFRUCTUEUX",$E2233="ANNULE"),$C2233="AOO-M"),'ENGAGEMENTS 2026'!P2233,IF($H2233="EN COURS DE PREENGAGEMENT",'ENGAGEMENTS 2026'!O2233,IF($H2233="PREENGAGE",IF($E2233="ATTRIBUE",'ENGAGEMENTS 2026'!AE2233,'ENGAGEMENTS 2026'!O2233),'ENGAGEMENTS 2026'!AE2233))))</f>
        <v/>
      </c>
      <c r="K2233" s="604">
        <f>IF(ISBLANK('ENGAGEMENTS 2026'!W2233),"",'ENGAGEMENTS 2026'!W2233)</f>
        <v/>
      </c>
      <c r="L2233" s="276">
        <f>IF($K2233="","",TODAY()-$K2233)</f>
        <v/>
      </c>
      <c r="M2233">
        <f>IF($A2233="","",IF($H2233="ENGAGE","Engagé",IF(AND($H2233="NON ENGAGE",OR($I2233="INFRUCTUEUX",$I2233="ANNULE")),"Clôturé sans suite","En cours")))</f>
        <v/>
      </c>
      <c r="N2233">
        <f>IF(ISBLANK('ENGAGEMENTS 2026'!C2233),"",'ENGAGEMENTS 2026'!L2233)</f>
        <v/>
      </c>
      <c r="O2233">
        <f>IF(ISBLANK('ENGAGEMENTS 2026'!C2233),"",'ENGAGEMENTS 2026'!M2233)</f>
        <v/>
      </c>
      <c r="P2233">
        <f>IF(ISBLANK('ENGAGEMENTS 2026'!C2233),"",'ENGAGEMENTS 2026'!K2233)</f>
        <v/>
      </c>
      <c r="Q2233">
        <f>IF($A2233="","",IF(OR($E2233="INFRUCTUEUX",$E2233="ANNULE"),$A2233&amp;"|"&amp;(COUNTIFS($A$2:$A2233,$A2233,$E$2:$E2233,"INFRUCTUEUX")+COUNTIFS($A$2:$A2233,$A2233,$E$2:$E2233,"ANNULE")),""))</f>
        <v/>
      </c>
    </row>
    <row r="2234">
      <c r="A2234">
        <f>IF(ISBLANK('ENGAGEMENTS 2026'!C2234),"",IF('ENGAGEMENTS 2026'!C2234="DTSI","DCT",'ENGAGEMENTS 2026'!C2234))</f>
        <v/>
      </c>
      <c r="B2234">
        <f>IF(ISBLANK('ENGAGEMENTS 2026'!C2234),"",'ENGAGEMENTS 2026'!D2234)</f>
        <v/>
      </c>
      <c r="C2234">
        <f>IF(ISBLANK('ENGAGEMENTS 2026'!C2234),"",'ENGAGEMENTS 2026'!E2234)</f>
        <v/>
      </c>
      <c r="D2234">
        <f>IF(ISBLANK('ENGAGEMENTS 2026'!C2234),"",'ENGAGEMENTS 2026'!G2234)</f>
        <v/>
      </c>
      <c r="E2234">
        <f>IF(ISBLANK('ENGAGEMENTS 2026'!C2234),"",'ENGAGEMENTS 2026'!I2234)</f>
        <v/>
      </c>
      <c r="F2234">
        <f>IF(ISBLANK('ENGAGEMENTS 2026'!C2234),"",'ENGAGEMENTS 2026'!J2234)</f>
        <v/>
      </c>
      <c r="G2234">
        <f>IF(ISBLANK('ENGAGEMENTS 2026'!C2234),"",'ENGAGEMENTS 2026'!M2234)</f>
        <v/>
      </c>
      <c r="H2234">
        <f>IF(ISBLANK('ENGAGEMENTS 2026'!C2234),"",'ENGAGEMENTS 2026'!AF2234)</f>
        <v/>
      </c>
      <c r="I2234">
        <f>IF(ISBLANK('ENGAGEMENTS 2026'!C2234),"",'ENGAGEMENTS 2026'!H2234)</f>
        <v/>
      </c>
      <c r="J2234" s="275">
        <f>IF(ISBLANK('ENGAGEMENTS 2026'!C2234),"",IF(AND(OR($E2234="INFRUCTUEUX",$E2234="ANNULE"),$C2234="AOO-M"),'ENGAGEMENTS 2026'!P2234,IF($H2234="EN COURS DE PREENGAGEMENT",'ENGAGEMENTS 2026'!O2234,IF($H2234="PREENGAGE",IF($E2234="ATTRIBUE",'ENGAGEMENTS 2026'!AE2234,'ENGAGEMENTS 2026'!O2234),'ENGAGEMENTS 2026'!AE2234))))</f>
        <v/>
      </c>
      <c r="K2234" s="604">
        <f>IF(ISBLANK('ENGAGEMENTS 2026'!W2234),"",'ENGAGEMENTS 2026'!W2234)</f>
        <v/>
      </c>
      <c r="L2234" s="276">
        <f>IF($K2234="","",TODAY()-$K2234)</f>
        <v/>
      </c>
      <c r="M2234">
        <f>IF($A2234="","",IF($H2234="ENGAGE","Engagé",IF(AND($H2234="NON ENGAGE",OR($I2234="INFRUCTUEUX",$I2234="ANNULE")),"Clôturé sans suite","En cours")))</f>
        <v/>
      </c>
      <c r="N2234">
        <f>IF(ISBLANK('ENGAGEMENTS 2026'!C2234),"",'ENGAGEMENTS 2026'!L2234)</f>
        <v/>
      </c>
      <c r="O2234">
        <f>IF(ISBLANK('ENGAGEMENTS 2026'!C2234),"",'ENGAGEMENTS 2026'!M2234)</f>
        <v/>
      </c>
      <c r="P2234">
        <f>IF(ISBLANK('ENGAGEMENTS 2026'!C2234),"",'ENGAGEMENTS 2026'!K2234)</f>
        <v/>
      </c>
      <c r="Q2234">
        <f>IF($A2234="","",IF(OR($E2234="INFRUCTUEUX",$E2234="ANNULE"),$A2234&amp;"|"&amp;(COUNTIFS($A$2:$A2234,$A2234,$E$2:$E2234,"INFRUCTUEUX")+COUNTIFS($A$2:$A2234,$A2234,$E$2:$E2234,"ANNULE")),""))</f>
        <v/>
      </c>
    </row>
    <row r="2235">
      <c r="A2235">
        <f>IF(ISBLANK('ENGAGEMENTS 2026'!C2235),"",IF('ENGAGEMENTS 2026'!C2235="DTSI","DCT",'ENGAGEMENTS 2026'!C2235))</f>
        <v/>
      </c>
      <c r="B2235">
        <f>IF(ISBLANK('ENGAGEMENTS 2026'!C2235),"",'ENGAGEMENTS 2026'!D2235)</f>
        <v/>
      </c>
      <c r="C2235">
        <f>IF(ISBLANK('ENGAGEMENTS 2026'!C2235),"",'ENGAGEMENTS 2026'!E2235)</f>
        <v/>
      </c>
      <c r="D2235">
        <f>IF(ISBLANK('ENGAGEMENTS 2026'!C2235),"",'ENGAGEMENTS 2026'!G2235)</f>
        <v/>
      </c>
      <c r="E2235">
        <f>IF(ISBLANK('ENGAGEMENTS 2026'!C2235),"",'ENGAGEMENTS 2026'!I2235)</f>
        <v/>
      </c>
      <c r="F2235">
        <f>IF(ISBLANK('ENGAGEMENTS 2026'!C2235),"",'ENGAGEMENTS 2026'!J2235)</f>
        <v/>
      </c>
      <c r="G2235">
        <f>IF(ISBLANK('ENGAGEMENTS 2026'!C2235),"",'ENGAGEMENTS 2026'!M2235)</f>
        <v/>
      </c>
      <c r="H2235">
        <f>IF(ISBLANK('ENGAGEMENTS 2026'!C2235),"",'ENGAGEMENTS 2026'!AF2235)</f>
        <v/>
      </c>
      <c r="I2235">
        <f>IF(ISBLANK('ENGAGEMENTS 2026'!C2235),"",'ENGAGEMENTS 2026'!H2235)</f>
        <v/>
      </c>
      <c r="J2235" s="275">
        <f>IF(ISBLANK('ENGAGEMENTS 2026'!C2235),"",IF(AND(OR($E2235="INFRUCTUEUX",$E2235="ANNULE"),$C2235="AOO-M"),'ENGAGEMENTS 2026'!P2235,IF($H2235="EN COURS DE PREENGAGEMENT",'ENGAGEMENTS 2026'!O2235,IF($H2235="PREENGAGE",IF($E2235="ATTRIBUE",'ENGAGEMENTS 2026'!AE2235,'ENGAGEMENTS 2026'!O2235),'ENGAGEMENTS 2026'!AE2235))))</f>
        <v/>
      </c>
      <c r="K2235" s="604">
        <f>IF(ISBLANK('ENGAGEMENTS 2026'!W2235),"",'ENGAGEMENTS 2026'!W2235)</f>
        <v/>
      </c>
      <c r="L2235" s="276">
        <f>IF($K2235="","",TODAY()-$K2235)</f>
        <v/>
      </c>
      <c r="M2235">
        <f>IF($A2235="","",IF($H2235="ENGAGE","Engagé",IF(AND($H2235="NON ENGAGE",OR($I2235="INFRUCTUEUX",$I2235="ANNULE")),"Clôturé sans suite","En cours")))</f>
        <v/>
      </c>
      <c r="N2235">
        <f>IF(ISBLANK('ENGAGEMENTS 2026'!C2235),"",'ENGAGEMENTS 2026'!L2235)</f>
        <v/>
      </c>
      <c r="O2235">
        <f>IF(ISBLANK('ENGAGEMENTS 2026'!C2235),"",'ENGAGEMENTS 2026'!M2235)</f>
        <v/>
      </c>
      <c r="P2235">
        <f>IF(ISBLANK('ENGAGEMENTS 2026'!C2235),"",'ENGAGEMENTS 2026'!K2235)</f>
        <v/>
      </c>
      <c r="Q2235">
        <f>IF($A2235="","",IF(OR($E2235="INFRUCTUEUX",$E2235="ANNULE"),$A2235&amp;"|"&amp;(COUNTIFS($A$2:$A2235,$A2235,$E$2:$E2235,"INFRUCTUEUX")+COUNTIFS($A$2:$A2235,$A2235,$E$2:$E2235,"ANNULE")),""))</f>
        <v/>
      </c>
    </row>
    <row r="2236">
      <c r="A2236">
        <f>IF(ISBLANK('ENGAGEMENTS 2026'!C2236),"",IF('ENGAGEMENTS 2026'!C2236="DTSI","DCT",'ENGAGEMENTS 2026'!C2236))</f>
        <v/>
      </c>
      <c r="B2236">
        <f>IF(ISBLANK('ENGAGEMENTS 2026'!C2236),"",'ENGAGEMENTS 2026'!D2236)</f>
        <v/>
      </c>
      <c r="C2236">
        <f>IF(ISBLANK('ENGAGEMENTS 2026'!C2236),"",'ENGAGEMENTS 2026'!E2236)</f>
        <v/>
      </c>
      <c r="D2236">
        <f>IF(ISBLANK('ENGAGEMENTS 2026'!C2236),"",'ENGAGEMENTS 2026'!G2236)</f>
        <v/>
      </c>
      <c r="E2236">
        <f>IF(ISBLANK('ENGAGEMENTS 2026'!C2236),"",'ENGAGEMENTS 2026'!I2236)</f>
        <v/>
      </c>
      <c r="F2236">
        <f>IF(ISBLANK('ENGAGEMENTS 2026'!C2236),"",'ENGAGEMENTS 2026'!J2236)</f>
        <v/>
      </c>
      <c r="G2236">
        <f>IF(ISBLANK('ENGAGEMENTS 2026'!C2236),"",'ENGAGEMENTS 2026'!M2236)</f>
        <v/>
      </c>
      <c r="H2236">
        <f>IF(ISBLANK('ENGAGEMENTS 2026'!C2236),"",'ENGAGEMENTS 2026'!AF2236)</f>
        <v/>
      </c>
      <c r="I2236">
        <f>IF(ISBLANK('ENGAGEMENTS 2026'!C2236),"",'ENGAGEMENTS 2026'!H2236)</f>
        <v/>
      </c>
      <c r="J2236" s="275">
        <f>IF(ISBLANK('ENGAGEMENTS 2026'!C2236),"",IF(AND(OR($E2236="INFRUCTUEUX",$E2236="ANNULE"),$C2236="AOO-M"),'ENGAGEMENTS 2026'!P2236,IF($H2236="EN COURS DE PREENGAGEMENT",'ENGAGEMENTS 2026'!O2236,IF($H2236="PREENGAGE",IF($E2236="ATTRIBUE",'ENGAGEMENTS 2026'!AE2236,'ENGAGEMENTS 2026'!O2236),'ENGAGEMENTS 2026'!AE2236))))</f>
        <v/>
      </c>
      <c r="K2236" s="604">
        <f>IF(ISBLANK('ENGAGEMENTS 2026'!W2236),"",'ENGAGEMENTS 2026'!W2236)</f>
        <v/>
      </c>
      <c r="L2236" s="276">
        <f>IF($K2236="","",TODAY()-$K2236)</f>
        <v/>
      </c>
      <c r="M2236">
        <f>IF($A2236="","",IF($H2236="ENGAGE","Engagé",IF(AND($H2236="NON ENGAGE",OR($I2236="INFRUCTUEUX",$I2236="ANNULE")),"Clôturé sans suite","En cours")))</f>
        <v/>
      </c>
      <c r="N2236">
        <f>IF(ISBLANK('ENGAGEMENTS 2026'!C2236),"",'ENGAGEMENTS 2026'!L2236)</f>
        <v/>
      </c>
      <c r="O2236">
        <f>IF(ISBLANK('ENGAGEMENTS 2026'!C2236),"",'ENGAGEMENTS 2026'!M2236)</f>
        <v/>
      </c>
      <c r="P2236">
        <f>IF(ISBLANK('ENGAGEMENTS 2026'!C2236),"",'ENGAGEMENTS 2026'!K2236)</f>
        <v/>
      </c>
      <c r="Q2236">
        <f>IF($A2236="","",IF(OR($E2236="INFRUCTUEUX",$E2236="ANNULE"),$A2236&amp;"|"&amp;(COUNTIFS($A$2:$A2236,$A2236,$E$2:$E2236,"INFRUCTUEUX")+COUNTIFS($A$2:$A2236,$A2236,$E$2:$E2236,"ANNULE")),""))</f>
        <v/>
      </c>
    </row>
    <row r="2237">
      <c r="A2237">
        <f>IF(ISBLANK('ENGAGEMENTS 2026'!C2237),"",IF('ENGAGEMENTS 2026'!C2237="DTSI","DCT",'ENGAGEMENTS 2026'!C2237))</f>
        <v/>
      </c>
      <c r="B2237">
        <f>IF(ISBLANK('ENGAGEMENTS 2026'!C2237),"",'ENGAGEMENTS 2026'!D2237)</f>
        <v/>
      </c>
      <c r="C2237">
        <f>IF(ISBLANK('ENGAGEMENTS 2026'!C2237),"",'ENGAGEMENTS 2026'!E2237)</f>
        <v/>
      </c>
      <c r="D2237">
        <f>IF(ISBLANK('ENGAGEMENTS 2026'!C2237),"",'ENGAGEMENTS 2026'!G2237)</f>
        <v/>
      </c>
      <c r="E2237">
        <f>IF(ISBLANK('ENGAGEMENTS 2026'!C2237),"",'ENGAGEMENTS 2026'!I2237)</f>
        <v/>
      </c>
      <c r="F2237">
        <f>IF(ISBLANK('ENGAGEMENTS 2026'!C2237),"",'ENGAGEMENTS 2026'!J2237)</f>
        <v/>
      </c>
      <c r="G2237">
        <f>IF(ISBLANK('ENGAGEMENTS 2026'!C2237),"",'ENGAGEMENTS 2026'!M2237)</f>
        <v/>
      </c>
      <c r="H2237">
        <f>IF(ISBLANK('ENGAGEMENTS 2026'!C2237),"",'ENGAGEMENTS 2026'!AF2237)</f>
        <v/>
      </c>
      <c r="I2237">
        <f>IF(ISBLANK('ENGAGEMENTS 2026'!C2237),"",'ENGAGEMENTS 2026'!H2237)</f>
        <v/>
      </c>
      <c r="J2237" s="275">
        <f>IF(ISBLANK('ENGAGEMENTS 2026'!C2237),"",IF(AND(OR($E2237="INFRUCTUEUX",$E2237="ANNULE"),$C2237="AOO-M"),'ENGAGEMENTS 2026'!P2237,IF($H2237="EN COURS DE PREENGAGEMENT",'ENGAGEMENTS 2026'!O2237,IF($H2237="PREENGAGE",IF($E2237="ATTRIBUE",'ENGAGEMENTS 2026'!AE2237,'ENGAGEMENTS 2026'!O2237),'ENGAGEMENTS 2026'!AE2237))))</f>
        <v/>
      </c>
      <c r="K2237" s="604">
        <f>IF(ISBLANK('ENGAGEMENTS 2026'!W2237),"",'ENGAGEMENTS 2026'!W2237)</f>
        <v/>
      </c>
      <c r="L2237" s="276">
        <f>IF($K2237="","",TODAY()-$K2237)</f>
        <v/>
      </c>
      <c r="M2237">
        <f>IF($A2237="","",IF($H2237="ENGAGE","Engagé",IF(AND($H2237="NON ENGAGE",OR($I2237="INFRUCTUEUX",$I2237="ANNULE")),"Clôturé sans suite","En cours")))</f>
        <v/>
      </c>
      <c r="N2237">
        <f>IF(ISBLANK('ENGAGEMENTS 2026'!C2237),"",'ENGAGEMENTS 2026'!L2237)</f>
        <v/>
      </c>
      <c r="O2237">
        <f>IF(ISBLANK('ENGAGEMENTS 2026'!C2237),"",'ENGAGEMENTS 2026'!M2237)</f>
        <v/>
      </c>
      <c r="P2237">
        <f>IF(ISBLANK('ENGAGEMENTS 2026'!C2237),"",'ENGAGEMENTS 2026'!K2237)</f>
        <v/>
      </c>
      <c r="Q2237">
        <f>IF($A2237="","",IF(OR($E2237="INFRUCTUEUX",$E2237="ANNULE"),$A2237&amp;"|"&amp;(COUNTIFS($A$2:$A2237,$A2237,$E$2:$E2237,"INFRUCTUEUX")+COUNTIFS($A$2:$A2237,$A2237,$E$2:$E2237,"ANNULE")),""))</f>
        <v/>
      </c>
    </row>
    <row r="2238">
      <c r="A2238">
        <f>IF(ISBLANK('ENGAGEMENTS 2026'!C2238),"",IF('ENGAGEMENTS 2026'!C2238="DTSI","DCT",'ENGAGEMENTS 2026'!C2238))</f>
        <v/>
      </c>
      <c r="B2238">
        <f>IF(ISBLANK('ENGAGEMENTS 2026'!C2238),"",'ENGAGEMENTS 2026'!D2238)</f>
        <v/>
      </c>
      <c r="C2238">
        <f>IF(ISBLANK('ENGAGEMENTS 2026'!C2238),"",'ENGAGEMENTS 2026'!E2238)</f>
        <v/>
      </c>
      <c r="D2238">
        <f>IF(ISBLANK('ENGAGEMENTS 2026'!C2238),"",'ENGAGEMENTS 2026'!G2238)</f>
        <v/>
      </c>
      <c r="E2238">
        <f>IF(ISBLANK('ENGAGEMENTS 2026'!C2238),"",'ENGAGEMENTS 2026'!I2238)</f>
        <v/>
      </c>
      <c r="F2238">
        <f>IF(ISBLANK('ENGAGEMENTS 2026'!C2238),"",'ENGAGEMENTS 2026'!J2238)</f>
        <v/>
      </c>
      <c r="G2238">
        <f>IF(ISBLANK('ENGAGEMENTS 2026'!C2238),"",'ENGAGEMENTS 2026'!M2238)</f>
        <v/>
      </c>
      <c r="H2238">
        <f>IF(ISBLANK('ENGAGEMENTS 2026'!C2238),"",'ENGAGEMENTS 2026'!AF2238)</f>
        <v/>
      </c>
      <c r="I2238">
        <f>IF(ISBLANK('ENGAGEMENTS 2026'!C2238),"",'ENGAGEMENTS 2026'!H2238)</f>
        <v/>
      </c>
      <c r="J2238" s="275">
        <f>IF(ISBLANK('ENGAGEMENTS 2026'!C2238),"",IF(AND(OR($E2238="INFRUCTUEUX",$E2238="ANNULE"),$C2238="AOO-M"),'ENGAGEMENTS 2026'!P2238,IF($H2238="EN COURS DE PREENGAGEMENT",'ENGAGEMENTS 2026'!O2238,IF($H2238="PREENGAGE",IF($E2238="ATTRIBUE",'ENGAGEMENTS 2026'!AE2238,'ENGAGEMENTS 2026'!O2238),'ENGAGEMENTS 2026'!AE2238))))</f>
        <v/>
      </c>
      <c r="K2238" s="604">
        <f>IF(ISBLANK('ENGAGEMENTS 2026'!W2238),"",'ENGAGEMENTS 2026'!W2238)</f>
        <v/>
      </c>
      <c r="L2238" s="276">
        <f>IF($K2238="","",TODAY()-$K2238)</f>
        <v/>
      </c>
      <c r="M2238">
        <f>IF($A2238="","",IF($H2238="ENGAGE","Engagé",IF(AND($H2238="NON ENGAGE",OR($I2238="INFRUCTUEUX",$I2238="ANNULE")),"Clôturé sans suite","En cours")))</f>
        <v/>
      </c>
      <c r="N2238">
        <f>IF(ISBLANK('ENGAGEMENTS 2026'!C2238),"",'ENGAGEMENTS 2026'!L2238)</f>
        <v/>
      </c>
      <c r="O2238">
        <f>IF(ISBLANK('ENGAGEMENTS 2026'!C2238),"",'ENGAGEMENTS 2026'!M2238)</f>
        <v/>
      </c>
      <c r="P2238">
        <f>IF(ISBLANK('ENGAGEMENTS 2026'!C2238),"",'ENGAGEMENTS 2026'!K2238)</f>
        <v/>
      </c>
      <c r="Q2238">
        <f>IF($A2238="","",IF(OR($E2238="INFRUCTUEUX",$E2238="ANNULE"),$A2238&amp;"|"&amp;(COUNTIFS($A$2:$A2238,$A2238,$E$2:$E2238,"INFRUCTUEUX")+COUNTIFS($A$2:$A2238,$A2238,$E$2:$E2238,"ANNULE")),""))</f>
        <v/>
      </c>
    </row>
    <row r="2239">
      <c r="A2239">
        <f>IF(ISBLANK('ENGAGEMENTS 2026'!C2239),"",IF('ENGAGEMENTS 2026'!C2239="DTSI","DCT",'ENGAGEMENTS 2026'!C2239))</f>
        <v/>
      </c>
      <c r="B2239">
        <f>IF(ISBLANK('ENGAGEMENTS 2026'!C2239),"",'ENGAGEMENTS 2026'!D2239)</f>
        <v/>
      </c>
      <c r="C2239">
        <f>IF(ISBLANK('ENGAGEMENTS 2026'!C2239),"",'ENGAGEMENTS 2026'!E2239)</f>
        <v/>
      </c>
      <c r="D2239">
        <f>IF(ISBLANK('ENGAGEMENTS 2026'!C2239),"",'ENGAGEMENTS 2026'!G2239)</f>
        <v/>
      </c>
      <c r="E2239">
        <f>IF(ISBLANK('ENGAGEMENTS 2026'!C2239),"",'ENGAGEMENTS 2026'!I2239)</f>
        <v/>
      </c>
      <c r="F2239">
        <f>IF(ISBLANK('ENGAGEMENTS 2026'!C2239),"",'ENGAGEMENTS 2026'!J2239)</f>
        <v/>
      </c>
      <c r="G2239">
        <f>IF(ISBLANK('ENGAGEMENTS 2026'!C2239),"",'ENGAGEMENTS 2026'!M2239)</f>
        <v/>
      </c>
      <c r="H2239">
        <f>IF(ISBLANK('ENGAGEMENTS 2026'!C2239),"",'ENGAGEMENTS 2026'!AF2239)</f>
        <v/>
      </c>
      <c r="I2239">
        <f>IF(ISBLANK('ENGAGEMENTS 2026'!C2239),"",'ENGAGEMENTS 2026'!H2239)</f>
        <v/>
      </c>
      <c r="J2239" s="275">
        <f>IF(ISBLANK('ENGAGEMENTS 2026'!C2239),"",IF(AND(OR($E2239="INFRUCTUEUX",$E2239="ANNULE"),$C2239="AOO-M"),'ENGAGEMENTS 2026'!P2239,IF($H2239="EN COURS DE PREENGAGEMENT",'ENGAGEMENTS 2026'!O2239,IF($H2239="PREENGAGE",IF($E2239="ATTRIBUE",'ENGAGEMENTS 2026'!AE2239,'ENGAGEMENTS 2026'!O2239),'ENGAGEMENTS 2026'!AE2239))))</f>
        <v/>
      </c>
      <c r="K2239" s="604">
        <f>IF(ISBLANK('ENGAGEMENTS 2026'!W2239),"",'ENGAGEMENTS 2026'!W2239)</f>
        <v/>
      </c>
      <c r="L2239" s="276">
        <f>IF($K2239="","",TODAY()-$K2239)</f>
        <v/>
      </c>
      <c r="M2239">
        <f>IF($A2239="","",IF($H2239="ENGAGE","Engagé",IF(AND($H2239="NON ENGAGE",OR($I2239="INFRUCTUEUX",$I2239="ANNULE")),"Clôturé sans suite","En cours")))</f>
        <v/>
      </c>
      <c r="N2239">
        <f>IF(ISBLANK('ENGAGEMENTS 2026'!C2239),"",'ENGAGEMENTS 2026'!L2239)</f>
        <v/>
      </c>
      <c r="O2239">
        <f>IF(ISBLANK('ENGAGEMENTS 2026'!C2239),"",'ENGAGEMENTS 2026'!M2239)</f>
        <v/>
      </c>
      <c r="P2239">
        <f>IF(ISBLANK('ENGAGEMENTS 2026'!C2239),"",'ENGAGEMENTS 2026'!K2239)</f>
        <v/>
      </c>
      <c r="Q2239">
        <f>IF($A2239="","",IF(OR($E2239="INFRUCTUEUX",$E2239="ANNULE"),$A2239&amp;"|"&amp;(COUNTIFS($A$2:$A2239,$A2239,$E$2:$E2239,"INFRUCTUEUX")+COUNTIFS($A$2:$A2239,$A2239,$E$2:$E2239,"ANNULE")),""))</f>
        <v/>
      </c>
    </row>
    <row r="2240">
      <c r="A2240">
        <f>IF(ISBLANK('ENGAGEMENTS 2026'!C2240),"",IF('ENGAGEMENTS 2026'!C2240="DTSI","DCT",'ENGAGEMENTS 2026'!C2240))</f>
        <v/>
      </c>
      <c r="B2240">
        <f>IF(ISBLANK('ENGAGEMENTS 2026'!C2240),"",'ENGAGEMENTS 2026'!D2240)</f>
        <v/>
      </c>
      <c r="C2240">
        <f>IF(ISBLANK('ENGAGEMENTS 2026'!C2240),"",'ENGAGEMENTS 2026'!E2240)</f>
        <v/>
      </c>
      <c r="D2240">
        <f>IF(ISBLANK('ENGAGEMENTS 2026'!C2240),"",'ENGAGEMENTS 2026'!G2240)</f>
        <v/>
      </c>
      <c r="E2240">
        <f>IF(ISBLANK('ENGAGEMENTS 2026'!C2240),"",'ENGAGEMENTS 2026'!I2240)</f>
        <v/>
      </c>
      <c r="F2240">
        <f>IF(ISBLANK('ENGAGEMENTS 2026'!C2240),"",'ENGAGEMENTS 2026'!J2240)</f>
        <v/>
      </c>
      <c r="G2240">
        <f>IF(ISBLANK('ENGAGEMENTS 2026'!C2240),"",'ENGAGEMENTS 2026'!M2240)</f>
        <v/>
      </c>
      <c r="H2240">
        <f>IF(ISBLANK('ENGAGEMENTS 2026'!C2240),"",'ENGAGEMENTS 2026'!AF2240)</f>
        <v/>
      </c>
      <c r="I2240">
        <f>IF(ISBLANK('ENGAGEMENTS 2026'!C2240),"",'ENGAGEMENTS 2026'!H2240)</f>
        <v/>
      </c>
      <c r="J2240" s="275">
        <f>IF(ISBLANK('ENGAGEMENTS 2026'!C2240),"",IF(AND(OR($E2240="INFRUCTUEUX",$E2240="ANNULE"),$C2240="AOO-M"),'ENGAGEMENTS 2026'!P2240,IF($H2240="EN COURS DE PREENGAGEMENT",'ENGAGEMENTS 2026'!O2240,IF($H2240="PREENGAGE",IF($E2240="ATTRIBUE",'ENGAGEMENTS 2026'!AE2240,'ENGAGEMENTS 2026'!O2240),'ENGAGEMENTS 2026'!AE2240))))</f>
        <v/>
      </c>
      <c r="K2240" s="604">
        <f>IF(ISBLANK('ENGAGEMENTS 2026'!W2240),"",'ENGAGEMENTS 2026'!W2240)</f>
        <v/>
      </c>
      <c r="L2240" s="276">
        <f>IF($K2240="","",TODAY()-$K2240)</f>
        <v/>
      </c>
      <c r="M2240">
        <f>IF($A2240="","",IF($H2240="ENGAGE","Engagé",IF(AND($H2240="NON ENGAGE",OR($I2240="INFRUCTUEUX",$I2240="ANNULE")),"Clôturé sans suite","En cours")))</f>
        <v/>
      </c>
      <c r="N2240">
        <f>IF(ISBLANK('ENGAGEMENTS 2026'!C2240),"",'ENGAGEMENTS 2026'!L2240)</f>
        <v/>
      </c>
      <c r="O2240">
        <f>IF(ISBLANK('ENGAGEMENTS 2026'!C2240),"",'ENGAGEMENTS 2026'!M2240)</f>
        <v/>
      </c>
      <c r="P2240">
        <f>IF(ISBLANK('ENGAGEMENTS 2026'!C2240),"",'ENGAGEMENTS 2026'!K2240)</f>
        <v/>
      </c>
      <c r="Q2240">
        <f>IF($A2240="","",IF(OR($E2240="INFRUCTUEUX",$E2240="ANNULE"),$A2240&amp;"|"&amp;(COUNTIFS($A$2:$A2240,$A2240,$E$2:$E2240,"INFRUCTUEUX")+COUNTIFS($A$2:$A2240,$A2240,$E$2:$E2240,"ANNULE")),""))</f>
        <v/>
      </c>
    </row>
    <row r="2241">
      <c r="A2241">
        <f>IF(ISBLANK('ENGAGEMENTS 2026'!C2241),"",IF('ENGAGEMENTS 2026'!C2241="DTSI","DCT",'ENGAGEMENTS 2026'!C2241))</f>
        <v/>
      </c>
      <c r="B2241">
        <f>IF(ISBLANK('ENGAGEMENTS 2026'!C2241),"",'ENGAGEMENTS 2026'!D2241)</f>
        <v/>
      </c>
      <c r="C2241">
        <f>IF(ISBLANK('ENGAGEMENTS 2026'!C2241),"",'ENGAGEMENTS 2026'!E2241)</f>
        <v/>
      </c>
      <c r="D2241">
        <f>IF(ISBLANK('ENGAGEMENTS 2026'!C2241),"",'ENGAGEMENTS 2026'!G2241)</f>
        <v/>
      </c>
      <c r="E2241">
        <f>IF(ISBLANK('ENGAGEMENTS 2026'!C2241),"",'ENGAGEMENTS 2026'!I2241)</f>
        <v/>
      </c>
      <c r="F2241">
        <f>IF(ISBLANK('ENGAGEMENTS 2026'!C2241),"",'ENGAGEMENTS 2026'!J2241)</f>
        <v/>
      </c>
      <c r="G2241">
        <f>IF(ISBLANK('ENGAGEMENTS 2026'!C2241),"",'ENGAGEMENTS 2026'!M2241)</f>
        <v/>
      </c>
      <c r="H2241">
        <f>IF(ISBLANK('ENGAGEMENTS 2026'!C2241),"",'ENGAGEMENTS 2026'!AF2241)</f>
        <v/>
      </c>
      <c r="I2241">
        <f>IF(ISBLANK('ENGAGEMENTS 2026'!C2241),"",'ENGAGEMENTS 2026'!H2241)</f>
        <v/>
      </c>
      <c r="J2241" s="275">
        <f>IF(ISBLANK('ENGAGEMENTS 2026'!C2241),"",IF(AND(OR($E2241="INFRUCTUEUX",$E2241="ANNULE"),$C2241="AOO-M"),'ENGAGEMENTS 2026'!P2241,IF($H2241="EN COURS DE PREENGAGEMENT",'ENGAGEMENTS 2026'!O2241,IF($H2241="PREENGAGE",IF($E2241="ATTRIBUE",'ENGAGEMENTS 2026'!AE2241,'ENGAGEMENTS 2026'!O2241),'ENGAGEMENTS 2026'!AE2241))))</f>
        <v/>
      </c>
      <c r="K2241" s="604">
        <f>IF(ISBLANK('ENGAGEMENTS 2026'!W2241),"",'ENGAGEMENTS 2026'!W2241)</f>
        <v/>
      </c>
      <c r="L2241" s="276">
        <f>IF($K2241="","",TODAY()-$K2241)</f>
        <v/>
      </c>
      <c r="M2241">
        <f>IF($A2241="","",IF($H2241="ENGAGE","Engagé",IF(AND($H2241="NON ENGAGE",OR($I2241="INFRUCTUEUX",$I2241="ANNULE")),"Clôturé sans suite","En cours")))</f>
        <v/>
      </c>
      <c r="N2241">
        <f>IF(ISBLANK('ENGAGEMENTS 2026'!C2241),"",'ENGAGEMENTS 2026'!L2241)</f>
        <v/>
      </c>
      <c r="O2241">
        <f>IF(ISBLANK('ENGAGEMENTS 2026'!C2241),"",'ENGAGEMENTS 2026'!M2241)</f>
        <v/>
      </c>
      <c r="P2241">
        <f>IF(ISBLANK('ENGAGEMENTS 2026'!C2241),"",'ENGAGEMENTS 2026'!K2241)</f>
        <v/>
      </c>
      <c r="Q2241">
        <f>IF($A2241="","",IF(OR($E2241="INFRUCTUEUX",$E2241="ANNULE"),$A2241&amp;"|"&amp;(COUNTIFS($A$2:$A2241,$A2241,$E$2:$E2241,"INFRUCTUEUX")+COUNTIFS($A$2:$A2241,$A2241,$E$2:$E2241,"ANNULE")),""))</f>
        <v/>
      </c>
    </row>
    <row r="2242">
      <c r="A2242">
        <f>IF(ISBLANK('ENGAGEMENTS 2026'!C2242),"",IF('ENGAGEMENTS 2026'!C2242="DTSI","DCT",'ENGAGEMENTS 2026'!C2242))</f>
        <v/>
      </c>
      <c r="B2242">
        <f>IF(ISBLANK('ENGAGEMENTS 2026'!C2242),"",'ENGAGEMENTS 2026'!D2242)</f>
        <v/>
      </c>
      <c r="C2242">
        <f>IF(ISBLANK('ENGAGEMENTS 2026'!C2242),"",'ENGAGEMENTS 2026'!E2242)</f>
        <v/>
      </c>
      <c r="D2242">
        <f>IF(ISBLANK('ENGAGEMENTS 2026'!C2242),"",'ENGAGEMENTS 2026'!G2242)</f>
        <v/>
      </c>
      <c r="E2242">
        <f>IF(ISBLANK('ENGAGEMENTS 2026'!C2242),"",'ENGAGEMENTS 2026'!I2242)</f>
        <v/>
      </c>
      <c r="F2242">
        <f>IF(ISBLANK('ENGAGEMENTS 2026'!C2242),"",'ENGAGEMENTS 2026'!J2242)</f>
        <v/>
      </c>
      <c r="G2242">
        <f>IF(ISBLANK('ENGAGEMENTS 2026'!C2242),"",'ENGAGEMENTS 2026'!M2242)</f>
        <v/>
      </c>
      <c r="H2242">
        <f>IF(ISBLANK('ENGAGEMENTS 2026'!C2242),"",'ENGAGEMENTS 2026'!AF2242)</f>
        <v/>
      </c>
      <c r="I2242">
        <f>IF(ISBLANK('ENGAGEMENTS 2026'!C2242),"",'ENGAGEMENTS 2026'!H2242)</f>
        <v/>
      </c>
      <c r="J2242" s="275">
        <f>IF(ISBLANK('ENGAGEMENTS 2026'!C2242),"",IF(AND(OR($E2242="INFRUCTUEUX",$E2242="ANNULE"),$C2242="AOO-M"),'ENGAGEMENTS 2026'!P2242,IF($H2242="EN COURS DE PREENGAGEMENT",'ENGAGEMENTS 2026'!O2242,IF($H2242="PREENGAGE",IF($E2242="ATTRIBUE",'ENGAGEMENTS 2026'!AE2242,'ENGAGEMENTS 2026'!O2242),'ENGAGEMENTS 2026'!AE2242))))</f>
        <v/>
      </c>
      <c r="K2242" s="604">
        <f>IF(ISBLANK('ENGAGEMENTS 2026'!W2242),"",'ENGAGEMENTS 2026'!W2242)</f>
        <v/>
      </c>
      <c r="L2242" s="276">
        <f>IF($K2242="","",TODAY()-$K2242)</f>
        <v/>
      </c>
      <c r="M2242">
        <f>IF($A2242="","",IF($H2242="ENGAGE","Engagé",IF(AND($H2242="NON ENGAGE",OR($I2242="INFRUCTUEUX",$I2242="ANNULE")),"Clôturé sans suite","En cours")))</f>
        <v/>
      </c>
      <c r="N2242">
        <f>IF(ISBLANK('ENGAGEMENTS 2026'!C2242),"",'ENGAGEMENTS 2026'!L2242)</f>
        <v/>
      </c>
      <c r="O2242">
        <f>IF(ISBLANK('ENGAGEMENTS 2026'!C2242),"",'ENGAGEMENTS 2026'!M2242)</f>
        <v/>
      </c>
      <c r="P2242">
        <f>IF(ISBLANK('ENGAGEMENTS 2026'!C2242),"",'ENGAGEMENTS 2026'!K2242)</f>
        <v/>
      </c>
      <c r="Q2242">
        <f>IF($A2242="","",IF(OR($E2242="INFRUCTUEUX",$E2242="ANNULE"),$A2242&amp;"|"&amp;(COUNTIFS($A$2:$A2242,$A2242,$E$2:$E2242,"INFRUCTUEUX")+COUNTIFS($A$2:$A2242,$A2242,$E$2:$E2242,"ANNULE")),""))</f>
        <v/>
      </c>
    </row>
    <row r="2243">
      <c r="A2243">
        <f>IF(ISBLANK('ENGAGEMENTS 2026'!C2243),"",IF('ENGAGEMENTS 2026'!C2243="DTSI","DCT",'ENGAGEMENTS 2026'!C2243))</f>
        <v/>
      </c>
      <c r="B2243">
        <f>IF(ISBLANK('ENGAGEMENTS 2026'!C2243),"",'ENGAGEMENTS 2026'!D2243)</f>
        <v/>
      </c>
      <c r="C2243">
        <f>IF(ISBLANK('ENGAGEMENTS 2026'!C2243),"",'ENGAGEMENTS 2026'!E2243)</f>
        <v/>
      </c>
      <c r="D2243">
        <f>IF(ISBLANK('ENGAGEMENTS 2026'!C2243),"",'ENGAGEMENTS 2026'!G2243)</f>
        <v/>
      </c>
      <c r="E2243">
        <f>IF(ISBLANK('ENGAGEMENTS 2026'!C2243),"",'ENGAGEMENTS 2026'!I2243)</f>
        <v/>
      </c>
      <c r="F2243">
        <f>IF(ISBLANK('ENGAGEMENTS 2026'!C2243),"",'ENGAGEMENTS 2026'!J2243)</f>
        <v/>
      </c>
      <c r="G2243">
        <f>IF(ISBLANK('ENGAGEMENTS 2026'!C2243),"",'ENGAGEMENTS 2026'!M2243)</f>
        <v/>
      </c>
      <c r="H2243">
        <f>IF(ISBLANK('ENGAGEMENTS 2026'!C2243),"",'ENGAGEMENTS 2026'!AF2243)</f>
        <v/>
      </c>
      <c r="I2243">
        <f>IF(ISBLANK('ENGAGEMENTS 2026'!C2243),"",'ENGAGEMENTS 2026'!H2243)</f>
        <v/>
      </c>
      <c r="J2243" s="275">
        <f>IF(ISBLANK('ENGAGEMENTS 2026'!C2243),"",IF(AND(OR($E2243="INFRUCTUEUX",$E2243="ANNULE"),$C2243="AOO-M"),'ENGAGEMENTS 2026'!P2243,IF($H2243="EN COURS DE PREENGAGEMENT",'ENGAGEMENTS 2026'!O2243,IF($H2243="PREENGAGE",IF($E2243="ATTRIBUE",'ENGAGEMENTS 2026'!AE2243,'ENGAGEMENTS 2026'!O2243),'ENGAGEMENTS 2026'!AE2243))))</f>
        <v/>
      </c>
      <c r="K2243" s="604">
        <f>IF(ISBLANK('ENGAGEMENTS 2026'!W2243),"",'ENGAGEMENTS 2026'!W2243)</f>
        <v/>
      </c>
      <c r="L2243" s="276">
        <f>IF($K2243="","",TODAY()-$K2243)</f>
        <v/>
      </c>
      <c r="M2243">
        <f>IF($A2243="","",IF($H2243="ENGAGE","Engagé",IF(AND($H2243="NON ENGAGE",OR($I2243="INFRUCTUEUX",$I2243="ANNULE")),"Clôturé sans suite","En cours")))</f>
        <v/>
      </c>
      <c r="N2243">
        <f>IF(ISBLANK('ENGAGEMENTS 2026'!C2243),"",'ENGAGEMENTS 2026'!L2243)</f>
        <v/>
      </c>
      <c r="O2243">
        <f>IF(ISBLANK('ENGAGEMENTS 2026'!C2243),"",'ENGAGEMENTS 2026'!M2243)</f>
        <v/>
      </c>
      <c r="P2243">
        <f>IF(ISBLANK('ENGAGEMENTS 2026'!C2243),"",'ENGAGEMENTS 2026'!K2243)</f>
        <v/>
      </c>
      <c r="Q2243">
        <f>IF($A2243="","",IF(OR($E2243="INFRUCTUEUX",$E2243="ANNULE"),$A2243&amp;"|"&amp;(COUNTIFS($A$2:$A2243,$A2243,$E$2:$E2243,"INFRUCTUEUX")+COUNTIFS($A$2:$A2243,$A2243,$E$2:$E2243,"ANNULE")),""))</f>
        <v/>
      </c>
    </row>
    <row r="2244">
      <c r="A2244">
        <f>IF(ISBLANK('ENGAGEMENTS 2026'!C2244),"",IF('ENGAGEMENTS 2026'!C2244="DTSI","DCT",'ENGAGEMENTS 2026'!C2244))</f>
        <v/>
      </c>
      <c r="B2244">
        <f>IF(ISBLANK('ENGAGEMENTS 2026'!C2244),"",'ENGAGEMENTS 2026'!D2244)</f>
        <v/>
      </c>
      <c r="C2244">
        <f>IF(ISBLANK('ENGAGEMENTS 2026'!C2244),"",'ENGAGEMENTS 2026'!E2244)</f>
        <v/>
      </c>
      <c r="D2244">
        <f>IF(ISBLANK('ENGAGEMENTS 2026'!C2244),"",'ENGAGEMENTS 2026'!G2244)</f>
        <v/>
      </c>
      <c r="E2244">
        <f>IF(ISBLANK('ENGAGEMENTS 2026'!C2244),"",'ENGAGEMENTS 2026'!I2244)</f>
        <v/>
      </c>
      <c r="F2244">
        <f>IF(ISBLANK('ENGAGEMENTS 2026'!C2244),"",'ENGAGEMENTS 2026'!J2244)</f>
        <v/>
      </c>
      <c r="G2244">
        <f>IF(ISBLANK('ENGAGEMENTS 2026'!C2244),"",'ENGAGEMENTS 2026'!M2244)</f>
        <v/>
      </c>
      <c r="H2244">
        <f>IF(ISBLANK('ENGAGEMENTS 2026'!C2244),"",'ENGAGEMENTS 2026'!AF2244)</f>
        <v/>
      </c>
      <c r="I2244">
        <f>IF(ISBLANK('ENGAGEMENTS 2026'!C2244),"",'ENGAGEMENTS 2026'!H2244)</f>
        <v/>
      </c>
      <c r="J2244" s="275">
        <f>IF(ISBLANK('ENGAGEMENTS 2026'!C2244),"",IF(AND(OR($E2244="INFRUCTUEUX",$E2244="ANNULE"),$C2244="AOO-M"),'ENGAGEMENTS 2026'!P2244,IF($H2244="EN COURS DE PREENGAGEMENT",'ENGAGEMENTS 2026'!O2244,IF($H2244="PREENGAGE",IF($E2244="ATTRIBUE",'ENGAGEMENTS 2026'!AE2244,'ENGAGEMENTS 2026'!O2244),'ENGAGEMENTS 2026'!AE2244))))</f>
        <v/>
      </c>
      <c r="K2244" s="604">
        <f>IF(ISBLANK('ENGAGEMENTS 2026'!W2244),"",'ENGAGEMENTS 2026'!W2244)</f>
        <v/>
      </c>
      <c r="L2244" s="276">
        <f>IF($K2244="","",TODAY()-$K2244)</f>
        <v/>
      </c>
      <c r="M2244">
        <f>IF($A2244="","",IF($H2244="ENGAGE","Engagé",IF(AND($H2244="NON ENGAGE",OR($I2244="INFRUCTUEUX",$I2244="ANNULE")),"Clôturé sans suite","En cours")))</f>
        <v/>
      </c>
      <c r="N2244">
        <f>IF(ISBLANK('ENGAGEMENTS 2026'!C2244),"",'ENGAGEMENTS 2026'!L2244)</f>
        <v/>
      </c>
      <c r="O2244">
        <f>IF(ISBLANK('ENGAGEMENTS 2026'!C2244),"",'ENGAGEMENTS 2026'!M2244)</f>
        <v/>
      </c>
      <c r="P2244">
        <f>IF(ISBLANK('ENGAGEMENTS 2026'!C2244),"",'ENGAGEMENTS 2026'!K2244)</f>
        <v/>
      </c>
      <c r="Q2244">
        <f>IF($A2244="","",IF(OR($E2244="INFRUCTUEUX",$E2244="ANNULE"),$A2244&amp;"|"&amp;(COUNTIFS($A$2:$A2244,$A2244,$E$2:$E2244,"INFRUCTUEUX")+COUNTIFS($A$2:$A2244,$A2244,$E$2:$E2244,"ANNULE")),""))</f>
        <v/>
      </c>
    </row>
    <row r="2245">
      <c r="A2245">
        <f>IF(ISBLANK('ENGAGEMENTS 2026'!C2245),"",IF('ENGAGEMENTS 2026'!C2245="DTSI","DCT",'ENGAGEMENTS 2026'!C2245))</f>
        <v/>
      </c>
      <c r="B2245">
        <f>IF(ISBLANK('ENGAGEMENTS 2026'!C2245),"",'ENGAGEMENTS 2026'!D2245)</f>
        <v/>
      </c>
      <c r="C2245">
        <f>IF(ISBLANK('ENGAGEMENTS 2026'!C2245),"",'ENGAGEMENTS 2026'!E2245)</f>
        <v/>
      </c>
      <c r="D2245">
        <f>IF(ISBLANK('ENGAGEMENTS 2026'!C2245),"",'ENGAGEMENTS 2026'!G2245)</f>
        <v/>
      </c>
      <c r="E2245">
        <f>IF(ISBLANK('ENGAGEMENTS 2026'!C2245),"",'ENGAGEMENTS 2026'!I2245)</f>
        <v/>
      </c>
      <c r="F2245">
        <f>IF(ISBLANK('ENGAGEMENTS 2026'!C2245),"",'ENGAGEMENTS 2026'!J2245)</f>
        <v/>
      </c>
      <c r="G2245">
        <f>IF(ISBLANK('ENGAGEMENTS 2026'!C2245),"",'ENGAGEMENTS 2026'!M2245)</f>
        <v/>
      </c>
      <c r="H2245">
        <f>IF(ISBLANK('ENGAGEMENTS 2026'!C2245),"",'ENGAGEMENTS 2026'!AF2245)</f>
        <v/>
      </c>
      <c r="I2245">
        <f>IF(ISBLANK('ENGAGEMENTS 2026'!C2245),"",'ENGAGEMENTS 2026'!H2245)</f>
        <v/>
      </c>
      <c r="J2245" s="275">
        <f>IF(ISBLANK('ENGAGEMENTS 2026'!C2245),"",IF(AND(OR($E2245="INFRUCTUEUX",$E2245="ANNULE"),$C2245="AOO-M"),'ENGAGEMENTS 2026'!P2245,IF($H2245="EN COURS DE PREENGAGEMENT",'ENGAGEMENTS 2026'!O2245,IF($H2245="PREENGAGE",IF($E2245="ATTRIBUE",'ENGAGEMENTS 2026'!AE2245,'ENGAGEMENTS 2026'!O2245),'ENGAGEMENTS 2026'!AE2245))))</f>
        <v/>
      </c>
      <c r="K2245" s="604">
        <f>IF(ISBLANK('ENGAGEMENTS 2026'!W2245),"",'ENGAGEMENTS 2026'!W2245)</f>
        <v/>
      </c>
      <c r="L2245" s="276">
        <f>IF($K2245="","",TODAY()-$K2245)</f>
        <v/>
      </c>
      <c r="M2245">
        <f>IF($A2245="","",IF($H2245="ENGAGE","Engagé",IF(AND($H2245="NON ENGAGE",OR($I2245="INFRUCTUEUX",$I2245="ANNULE")),"Clôturé sans suite","En cours")))</f>
        <v/>
      </c>
      <c r="N2245">
        <f>IF(ISBLANK('ENGAGEMENTS 2026'!C2245),"",'ENGAGEMENTS 2026'!L2245)</f>
        <v/>
      </c>
      <c r="O2245">
        <f>IF(ISBLANK('ENGAGEMENTS 2026'!C2245),"",'ENGAGEMENTS 2026'!M2245)</f>
        <v/>
      </c>
      <c r="P2245">
        <f>IF(ISBLANK('ENGAGEMENTS 2026'!C2245),"",'ENGAGEMENTS 2026'!K2245)</f>
        <v/>
      </c>
      <c r="Q2245">
        <f>IF($A2245="","",IF(OR($E2245="INFRUCTUEUX",$E2245="ANNULE"),$A2245&amp;"|"&amp;(COUNTIFS($A$2:$A2245,$A2245,$E$2:$E2245,"INFRUCTUEUX")+COUNTIFS($A$2:$A2245,$A2245,$E$2:$E2245,"ANNULE")),""))</f>
        <v/>
      </c>
    </row>
    <row r="2246">
      <c r="A2246">
        <f>IF(ISBLANK('ENGAGEMENTS 2026'!C2246),"",IF('ENGAGEMENTS 2026'!C2246="DTSI","DCT",'ENGAGEMENTS 2026'!C2246))</f>
        <v/>
      </c>
      <c r="B2246">
        <f>IF(ISBLANK('ENGAGEMENTS 2026'!C2246),"",'ENGAGEMENTS 2026'!D2246)</f>
        <v/>
      </c>
      <c r="C2246">
        <f>IF(ISBLANK('ENGAGEMENTS 2026'!C2246),"",'ENGAGEMENTS 2026'!E2246)</f>
        <v/>
      </c>
      <c r="D2246">
        <f>IF(ISBLANK('ENGAGEMENTS 2026'!C2246),"",'ENGAGEMENTS 2026'!G2246)</f>
        <v/>
      </c>
      <c r="E2246">
        <f>IF(ISBLANK('ENGAGEMENTS 2026'!C2246),"",'ENGAGEMENTS 2026'!I2246)</f>
        <v/>
      </c>
      <c r="F2246">
        <f>IF(ISBLANK('ENGAGEMENTS 2026'!C2246),"",'ENGAGEMENTS 2026'!J2246)</f>
        <v/>
      </c>
      <c r="G2246">
        <f>IF(ISBLANK('ENGAGEMENTS 2026'!C2246),"",'ENGAGEMENTS 2026'!M2246)</f>
        <v/>
      </c>
      <c r="H2246">
        <f>IF(ISBLANK('ENGAGEMENTS 2026'!C2246),"",'ENGAGEMENTS 2026'!AF2246)</f>
        <v/>
      </c>
      <c r="I2246">
        <f>IF(ISBLANK('ENGAGEMENTS 2026'!C2246),"",'ENGAGEMENTS 2026'!H2246)</f>
        <v/>
      </c>
      <c r="J2246" s="275">
        <f>IF(ISBLANK('ENGAGEMENTS 2026'!C2246),"",IF(AND(OR($E2246="INFRUCTUEUX",$E2246="ANNULE"),$C2246="AOO-M"),'ENGAGEMENTS 2026'!P2246,IF($H2246="EN COURS DE PREENGAGEMENT",'ENGAGEMENTS 2026'!O2246,IF($H2246="PREENGAGE",IF($E2246="ATTRIBUE",'ENGAGEMENTS 2026'!AE2246,'ENGAGEMENTS 2026'!O2246),'ENGAGEMENTS 2026'!AE2246))))</f>
        <v/>
      </c>
      <c r="K2246" s="604">
        <f>IF(ISBLANK('ENGAGEMENTS 2026'!W2246),"",'ENGAGEMENTS 2026'!W2246)</f>
        <v/>
      </c>
      <c r="L2246" s="276">
        <f>IF($K2246="","",TODAY()-$K2246)</f>
        <v/>
      </c>
      <c r="M2246">
        <f>IF($A2246="","",IF($H2246="ENGAGE","Engagé",IF(AND($H2246="NON ENGAGE",OR($I2246="INFRUCTUEUX",$I2246="ANNULE")),"Clôturé sans suite","En cours")))</f>
        <v/>
      </c>
      <c r="N2246">
        <f>IF(ISBLANK('ENGAGEMENTS 2026'!C2246),"",'ENGAGEMENTS 2026'!L2246)</f>
        <v/>
      </c>
      <c r="O2246">
        <f>IF(ISBLANK('ENGAGEMENTS 2026'!C2246),"",'ENGAGEMENTS 2026'!M2246)</f>
        <v/>
      </c>
      <c r="P2246">
        <f>IF(ISBLANK('ENGAGEMENTS 2026'!C2246),"",'ENGAGEMENTS 2026'!K2246)</f>
        <v/>
      </c>
      <c r="Q2246">
        <f>IF($A2246="","",IF(OR($E2246="INFRUCTUEUX",$E2246="ANNULE"),$A2246&amp;"|"&amp;(COUNTIFS($A$2:$A2246,$A2246,$E$2:$E2246,"INFRUCTUEUX")+COUNTIFS($A$2:$A2246,$A2246,$E$2:$E2246,"ANNULE")),""))</f>
        <v/>
      </c>
    </row>
    <row r="2247">
      <c r="A2247">
        <f>IF(ISBLANK('ENGAGEMENTS 2026'!C2247),"",IF('ENGAGEMENTS 2026'!C2247="DTSI","DCT",'ENGAGEMENTS 2026'!C2247))</f>
        <v/>
      </c>
      <c r="B2247">
        <f>IF(ISBLANK('ENGAGEMENTS 2026'!C2247),"",'ENGAGEMENTS 2026'!D2247)</f>
        <v/>
      </c>
      <c r="C2247">
        <f>IF(ISBLANK('ENGAGEMENTS 2026'!C2247),"",'ENGAGEMENTS 2026'!E2247)</f>
        <v/>
      </c>
      <c r="D2247">
        <f>IF(ISBLANK('ENGAGEMENTS 2026'!C2247),"",'ENGAGEMENTS 2026'!G2247)</f>
        <v/>
      </c>
      <c r="E2247">
        <f>IF(ISBLANK('ENGAGEMENTS 2026'!C2247),"",'ENGAGEMENTS 2026'!I2247)</f>
        <v/>
      </c>
      <c r="F2247">
        <f>IF(ISBLANK('ENGAGEMENTS 2026'!C2247),"",'ENGAGEMENTS 2026'!J2247)</f>
        <v/>
      </c>
      <c r="G2247">
        <f>IF(ISBLANK('ENGAGEMENTS 2026'!C2247),"",'ENGAGEMENTS 2026'!M2247)</f>
        <v/>
      </c>
      <c r="H2247">
        <f>IF(ISBLANK('ENGAGEMENTS 2026'!C2247),"",'ENGAGEMENTS 2026'!AF2247)</f>
        <v/>
      </c>
      <c r="I2247">
        <f>IF(ISBLANK('ENGAGEMENTS 2026'!C2247),"",'ENGAGEMENTS 2026'!H2247)</f>
        <v/>
      </c>
      <c r="J2247" s="275">
        <f>IF(ISBLANK('ENGAGEMENTS 2026'!C2247),"",IF(AND(OR($E2247="INFRUCTUEUX",$E2247="ANNULE"),$C2247="AOO-M"),'ENGAGEMENTS 2026'!P2247,IF($H2247="EN COURS DE PREENGAGEMENT",'ENGAGEMENTS 2026'!O2247,IF($H2247="PREENGAGE",IF($E2247="ATTRIBUE",'ENGAGEMENTS 2026'!AE2247,'ENGAGEMENTS 2026'!O2247),'ENGAGEMENTS 2026'!AE2247))))</f>
        <v/>
      </c>
      <c r="K2247" s="604">
        <f>IF(ISBLANK('ENGAGEMENTS 2026'!W2247),"",'ENGAGEMENTS 2026'!W2247)</f>
        <v/>
      </c>
      <c r="L2247" s="276">
        <f>IF($K2247="","",TODAY()-$K2247)</f>
        <v/>
      </c>
      <c r="M2247">
        <f>IF($A2247="","",IF($H2247="ENGAGE","Engagé",IF(AND($H2247="NON ENGAGE",OR($I2247="INFRUCTUEUX",$I2247="ANNULE")),"Clôturé sans suite","En cours")))</f>
        <v/>
      </c>
      <c r="N2247">
        <f>IF(ISBLANK('ENGAGEMENTS 2026'!C2247),"",'ENGAGEMENTS 2026'!L2247)</f>
        <v/>
      </c>
      <c r="O2247">
        <f>IF(ISBLANK('ENGAGEMENTS 2026'!C2247),"",'ENGAGEMENTS 2026'!M2247)</f>
        <v/>
      </c>
      <c r="P2247">
        <f>IF(ISBLANK('ENGAGEMENTS 2026'!C2247),"",'ENGAGEMENTS 2026'!K2247)</f>
        <v/>
      </c>
      <c r="Q2247">
        <f>IF($A2247="","",IF(OR($E2247="INFRUCTUEUX",$E2247="ANNULE"),$A2247&amp;"|"&amp;(COUNTIFS($A$2:$A2247,$A2247,$E$2:$E2247,"INFRUCTUEUX")+COUNTIFS($A$2:$A2247,$A2247,$E$2:$E2247,"ANNULE")),""))</f>
        <v/>
      </c>
    </row>
    <row r="2248">
      <c r="A2248">
        <f>IF(ISBLANK('ENGAGEMENTS 2026'!C2248),"",IF('ENGAGEMENTS 2026'!C2248="DTSI","DCT",'ENGAGEMENTS 2026'!C2248))</f>
        <v/>
      </c>
      <c r="B2248">
        <f>IF(ISBLANK('ENGAGEMENTS 2026'!C2248),"",'ENGAGEMENTS 2026'!D2248)</f>
        <v/>
      </c>
      <c r="C2248">
        <f>IF(ISBLANK('ENGAGEMENTS 2026'!C2248),"",'ENGAGEMENTS 2026'!E2248)</f>
        <v/>
      </c>
      <c r="D2248">
        <f>IF(ISBLANK('ENGAGEMENTS 2026'!C2248),"",'ENGAGEMENTS 2026'!G2248)</f>
        <v/>
      </c>
      <c r="E2248">
        <f>IF(ISBLANK('ENGAGEMENTS 2026'!C2248),"",'ENGAGEMENTS 2026'!I2248)</f>
        <v/>
      </c>
      <c r="F2248">
        <f>IF(ISBLANK('ENGAGEMENTS 2026'!C2248),"",'ENGAGEMENTS 2026'!J2248)</f>
        <v/>
      </c>
      <c r="G2248">
        <f>IF(ISBLANK('ENGAGEMENTS 2026'!C2248),"",'ENGAGEMENTS 2026'!M2248)</f>
        <v/>
      </c>
      <c r="H2248">
        <f>IF(ISBLANK('ENGAGEMENTS 2026'!C2248),"",'ENGAGEMENTS 2026'!AF2248)</f>
        <v/>
      </c>
      <c r="I2248">
        <f>IF(ISBLANK('ENGAGEMENTS 2026'!C2248),"",'ENGAGEMENTS 2026'!H2248)</f>
        <v/>
      </c>
      <c r="J2248" s="275">
        <f>IF(ISBLANK('ENGAGEMENTS 2026'!C2248),"",IF(AND(OR($E2248="INFRUCTUEUX",$E2248="ANNULE"),$C2248="AOO-M"),'ENGAGEMENTS 2026'!P2248,IF($H2248="EN COURS DE PREENGAGEMENT",'ENGAGEMENTS 2026'!O2248,IF($H2248="PREENGAGE",IF($E2248="ATTRIBUE",'ENGAGEMENTS 2026'!AE2248,'ENGAGEMENTS 2026'!O2248),'ENGAGEMENTS 2026'!AE2248))))</f>
        <v/>
      </c>
      <c r="K2248" s="604">
        <f>IF(ISBLANK('ENGAGEMENTS 2026'!W2248),"",'ENGAGEMENTS 2026'!W2248)</f>
        <v/>
      </c>
      <c r="L2248" s="276">
        <f>IF($K2248="","",TODAY()-$K2248)</f>
        <v/>
      </c>
      <c r="M2248">
        <f>IF($A2248="","",IF($H2248="ENGAGE","Engagé",IF(AND($H2248="NON ENGAGE",OR($I2248="INFRUCTUEUX",$I2248="ANNULE")),"Clôturé sans suite","En cours")))</f>
        <v/>
      </c>
      <c r="N2248">
        <f>IF(ISBLANK('ENGAGEMENTS 2026'!C2248),"",'ENGAGEMENTS 2026'!L2248)</f>
        <v/>
      </c>
      <c r="O2248">
        <f>IF(ISBLANK('ENGAGEMENTS 2026'!C2248),"",'ENGAGEMENTS 2026'!M2248)</f>
        <v/>
      </c>
      <c r="P2248">
        <f>IF(ISBLANK('ENGAGEMENTS 2026'!C2248),"",'ENGAGEMENTS 2026'!K2248)</f>
        <v/>
      </c>
      <c r="Q2248">
        <f>IF($A2248="","",IF(OR($E2248="INFRUCTUEUX",$E2248="ANNULE"),$A2248&amp;"|"&amp;(COUNTIFS($A$2:$A2248,$A2248,$E$2:$E2248,"INFRUCTUEUX")+COUNTIFS($A$2:$A2248,$A2248,$E$2:$E2248,"ANNULE")),""))</f>
        <v/>
      </c>
    </row>
    <row r="2249">
      <c r="A2249">
        <f>IF(ISBLANK('ENGAGEMENTS 2026'!C2249),"",IF('ENGAGEMENTS 2026'!C2249="DTSI","DCT",'ENGAGEMENTS 2026'!C2249))</f>
        <v/>
      </c>
      <c r="B2249">
        <f>IF(ISBLANK('ENGAGEMENTS 2026'!C2249),"",'ENGAGEMENTS 2026'!D2249)</f>
        <v/>
      </c>
      <c r="C2249">
        <f>IF(ISBLANK('ENGAGEMENTS 2026'!C2249),"",'ENGAGEMENTS 2026'!E2249)</f>
        <v/>
      </c>
      <c r="D2249">
        <f>IF(ISBLANK('ENGAGEMENTS 2026'!C2249),"",'ENGAGEMENTS 2026'!G2249)</f>
        <v/>
      </c>
      <c r="E2249">
        <f>IF(ISBLANK('ENGAGEMENTS 2026'!C2249),"",'ENGAGEMENTS 2026'!I2249)</f>
        <v/>
      </c>
      <c r="F2249">
        <f>IF(ISBLANK('ENGAGEMENTS 2026'!C2249),"",'ENGAGEMENTS 2026'!J2249)</f>
        <v/>
      </c>
      <c r="G2249">
        <f>IF(ISBLANK('ENGAGEMENTS 2026'!C2249),"",'ENGAGEMENTS 2026'!M2249)</f>
        <v/>
      </c>
      <c r="H2249">
        <f>IF(ISBLANK('ENGAGEMENTS 2026'!C2249),"",'ENGAGEMENTS 2026'!AF2249)</f>
        <v/>
      </c>
      <c r="I2249">
        <f>IF(ISBLANK('ENGAGEMENTS 2026'!C2249),"",'ENGAGEMENTS 2026'!H2249)</f>
        <v/>
      </c>
      <c r="J2249" s="275">
        <f>IF(ISBLANK('ENGAGEMENTS 2026'!C2249),"",IF(AND(OR($E2249="INFRUCTUEUX",$E2249="ANNULE"),$C2249="AOO-M"),'ENGAGEMENTS 2026'!P2249,IF($H2249="EN COURS DE PREENGAGEMENT",'ENGAGEMENTS 2026'!O2249,IF($H2249="PREENGAGE",IF($E2249="ATTRIBUE",'ENGAGEMENTS 2026'!AE2249,'ENGAGEMENTS 2026'!O2249),'ENGAGEMENTS 2026'!AE2249))))</f>
        <v/>
      </c>
      <c r="K2249" s="604">
        <f>IF(ISBLANK('ENGAGEMENTS 2026'!W2249),"",'ENGAGEMENTS 2026'!W2249)</f>
        <v/>
      </c>
      <c r="L2249" s="276">
        <f>IF($K2249="","",TODAY()-$K2249)</f>
        <v/>
      </c>
      <c r="M2249">
        <f>IF($A2249="","",IF($H2249="ENGAGE","Engagé",IF(AND($H2249="NON ENGAGE",OR($I2249="INFRUCTUEUX",$I2249="ANNULE")),"Clôturé sans suite","En cours")))</f>
        <v/>
      </c>
      <c r="N2249">
        <f>IF(ISBLANK('ENGAGEMENTS 2026'!C2249),"",'ENGAGEMENTS 2026'!L2249)</f>
        <v/>
      </c>
      <c r="O2249">
        <f>IF(ISBLANK('ENGAGEMENTS 2026'!C2249),"",'ENGAGEMENTS 2026'!M2249)</f>
        <v/>
      </c>
      <c r="P2249">
        <f>IF(ISBLANK('ENGAGEMENTS 2026'!C2249),"",'ENGAGEMENTS 2026'!K2249)</f>
        <v/>
      </c>
      <c r="Q2249">
        <f>IF($A2249="","",IF(OR($E2249="INFRUCTUEUX",$E2249="ANNULE"),$A2249&amp;"|"&amp;(COUNTIFS($A$2:$A2249,$A2249,$E$2:$E2249,"INFRUCTUEUX")+COUNTIFS($A$2:$A2249,$A2249,$E$2:$E2249,"ANNULE")),""))</f>
        <v/>
      </c>
    </row>
    <row r="2250">
      <c r="A2250">
        <f>IF(ISBLANK('ENGAGEMENTS 2026'!C2250),"",IF('ENGAGEMENTS 2026'!C2250="DTSI","DCT",'ENGAGEMENTS 2026'!C2250))</f>
        <v/>
      </c>
      <c r="B2250">
        <f>IF(ISBLANK('ENGAGEMENTS 2026'!C2250),"",'ENGAGEMENTS 2026'!D2250)</f>
        <v/>
      </c>
      <c r="C2250">
        <f>IF(ISBLANK('ENGAGEMENTS 2026'!C2250),"",'ENGAGEMENTS 2026'!E2250)</f>
        <v/>
      </c>
      <c r="D2250">
        <f>IF(ISBLANK('ENGAGEMENTS 2026'!C2250),"",'ENGAGEMENTS 2026'!G2250)</f>
        <v/>
      </c>
      <c r="E2250">
        <f>IF(ISBLANK('ENGAGEMENTS 2026'!C2250),"",'ENGAGEMENTS 2026'!I2250)</f>
        <v/>
      </c>
      <c r="F2250">
        <f>IF(ISBLANK('ENGAGEMENTS 2026'!C2250),"",'ENGAGEMENTS 2026'!J2250)</f>
        <v/>
      </c>
      <c r="G2250">
        <f>IF(ISBLANK('ENGAGEMENTS 2026'!C2250),"",'ENGAGEMENTS 2026'!M2250)</f>
        <v/>
      </c>
      <c r="H2250">
        <f>IF(ISBLANK('ENGAGEMENTS 2026'!C2250),"",'ENGAGEMENTS 2026'!AF2250)</f>
        <v/>
      </c>
      <c r="I2250">
        <f>IF(ISBLANK('ENGAGEMENTS 2026'!C2250),"",'ENGAGEMENTS 2026'!H2250)</f>
        <v/>
      </c>
      <c r="J2250" s="275">
        <f>IF(ISBLANK('ENGAGEMENTS 2026'!C2250),"",IF(AND(OR($E2250="INFRUCTUEUX",$E2250="ANNULE"),$C2250="AOO-M"),'ENGAGEMENTS 2026'!P2250,IF($H2250="EN COURS DE PREENGAGEMENT",'ENGAGEMENTS 2026'!O2250,IF($H2250="PREENGAGE",IF($E2250="ATTRIBUE",'ENGAGEMENTS 2026'!AE2250,'ENGAGEMENTS 2026'!O2250),'ENGAGEMENTS 2026'!AE2250))))</f>
        <v/>
      </c>
      <c r="K2250" s="604">
        <f>IF(ISBLANK('ENGAGEMENTS 2026'!W2250),"",'ENGAGEMENTS 2026'!W2250)</f>
        <v/>
      </c>
      <c r="L2250" s="276">
        <f>IF($K2250="","",TODAY()-$K2250)</f>
        <v/>
      </c>
      <c r="M2250">
        <f>IF($A2250="","",IF($H2250="ENGAGE","Engagé",IF(AND($H2250="NON ENGAGE",OR($I2250="INFRUCTUEUX",$I2250="ANNULE")),"Clôturé sans suite","En cours")))</f>
        <v/>
      </c>
      <c r="N2250">
        <f>IF(ISBLANK('ENGAGEMENTS 2026'!C2250),"",'ENGAGEMENTS 2026'!L2250)</f>
        <v/>
      </c>
      <c r="O2250">
        <f>IF(ISBLANK('ENGAGEMENTS 2026'!C2250),"",'ENGAGEMENTS 2026'!M2250)</f>
        <v/>
      </c>
      <c r="P2250">
        <f>IF(ISBLANK('ENGAGEMENTS 2026'!C2250),"",'ENGAGEMENTS 2026'!K2250)</f>
        <v/>
      </c>
      <c r="Q2250">
        <f>IF($A2250="","",IF(OR($E2250="INFRUCTUEUX",$E2250="ANNULE"),$A2250&amp;"|"&amp;(COUNTIFS($A$2:$A2250,$A2250,$E$2:$E2250,"INFRUCTUEUX")+COUNTIFS($A$2:$A2250,$A2250,$E$2:$E2250,"ANNULE")),""))</f>
        <v/>
      </c>
    </row>
    <row r="2251">
      <c r="A2251">
        <f>IF(ISBLANK('ENGAGEMENTS 2026'!C2251),"",IF('ENGAGEMENTS 2026'!C2251="DTSI","DCT",'ENGAGEMENTS 2026'!C2251))</f>
        <v/>
      </c>
      <c r="B2251">
        <f>IF(ISBLANK('ENGAGEMENTS 2026'!C2251),"",'ENGAGEMENTS 2026'!D2251)</f>
        <v/>
      </c>
      <c r="C2251">
        <f>IF(ISBLANK('ENGAGEMENTS 2026'!C2251),"",'ENGAGEMENTS 2026'!E2251)</f>
        <v/>
      </c>
      <c r="D2251">
        <f>IF(ISBLANK('ENGAGEMENTS 2026'!C2251),"",'ENGAGEMENTS 2026'!G2251)</f>
        <v/>
      </c>
      <c r="E2251">
        <f>IF(ISBLANK('ENGAGEMENTS 2026'!C2251),"",'ENGAGEMENTS 2026'!I2251)</f>
        <v/>
      </c>
      <c r="F2251">
        <f>IF(ISBLANK('ENGAGEMENTS 2026'!C2251),"",'ENGAGEMENTS 2026'!J2251)</f>
        <v/>
      </c>
      <c r="G2251">
        <f>IF(ISBLANK('ENGAGEMENTS 2026'!C2251),"",'ENGAGEMENTS 2026'!M2251)</f>
        <v/>
      </c>
      <c r="H2251">
        <f>IF(ISBLANK('ENGAGEMENTS 2026'!C2251),"",'ENGAGEMENTS 2026'!AF2251)</f>
        <v/>
      </c>
      <c r="I2251">
        <f>IF(ISBLANK('ENGAGEMENTS 2026'!C2251),"",'ENGAGEMENTS 2026'!H2251)</f>
        <v/>
      </c>
      <c r="J2251" s="275">
        <f>IF(ISBLANK('ENGAGEMENTS 2026'!C2251),"",IF(AND(OR($E2251="INFRUCTUEUX",$E2251="ANNULE"),$C2251="AOO-M"),'ENGAGEMENTS 2026'!P2251,IF($H2251="EN COURS DE PREENGAGEMENT",'ENGAGEMENTS 2026'!O2251,IF($H2251="PREENGAGE",IF($E2251="ATTRIBUE",'ENGAGEMENTS 2026'!AE2251,'ENGAGEMENTS 2026'!O2251),'ENGAGEMENTS 2026'!AE2251))))</f>
        <v/>
      </c>
      <c r="K2251" s="604">
        <f>IF(ISBLANK('ENGAGEMENTS 2026'!W2251),"",'ENGAGEMENTS 2026'!W2251)</f>
        <v/>
      </c>
      <c r="L2251" s="276">
        <f>IF($K2251="","",TODAY()-$K2251)</f>
        <v/>
      </c>
      <c r="M2251">
        <f>IF($A2251="","",IF($H2251="ENGAGE","Engagé",IF(AND($H2251="NON ENGAGE",OR($I2251="INFRUCTUEUX",$I2251="ANNULE")),"Clôturé sans suite","En cours")))</f>
        <v/>
      </c>
      <c r="N2251">
        <f>IF(ISBLANK('ENGAGEMENTS 2026'!C2251),"",'ENGAGEMENTS 2026'!L2251)</f>
        <v/>
      </c>
      <c r="O2251">
        <f>IF(ISBLANK('ENGAGEMENTS 2026'!C2251),"",'ENGAGEMENTS 2026'!M2251)</f>
        <v/>
      </c>
      <c r="P2251">
        <f>IF(ISBLANK('ENGAGEMENTS 2026'!C2251),"",'ENGAGEMENTS 2026'!K2251)</f>
        <v/>
      </c>
      <c r="Q2251">
        <f>IF($A2251="","",IF(OR($E2251="INFRUCTUEUX",$E2251="ANNULE"),$A2251&amp;"|"&amp;(COUNTIFS($A$2:$A2251,$A2251,$E$2:$E2251,"INFRUCTUEUX")+COUNTIFS($A$2:$A2251,$A2251,$E$2:$E2251,"ANNULE")),""))</f>
        <v/>
      </c>
    </row>
    <row r="2252">
      <c r="A2252">
        <f>IF(ISBLANK('ENGAGEMENTS 2026'!C2252),"",IF('ENGAGEMENTS 2026'!C2252="DTSI","DCT",'ENGAGEMENTS 2026'!C2252))</f>
        <v/>
      </c>
      <c r="B2252">
        <f>IF(ISBLANK('ENGAGEMENTS 2026'!C2252),"",'ENGAGEMENTS 2026'!D2252)</f>
        <v/>
      </c>
      <c r="C2252">
        <f>IF(ISBLANK('ENGAGEMENTS 2026'!C2252),"",'ENGAGEMENTS 2026'!E2252)</f>
        <v/>
      </c>
      <c r="D2252">
        <f>IF(ISBLANK('ENGAGEMENTS 2026'!C2252),"",'ENGAGEMENTS 2026'!G2252)</f>
        <v/>
      </c>
      <c r="E2252">
        <f>IF(ISBLANK('ENGAGEMENTS 2026'!C2252),"",'ENGAGEMENTS 2026'!I2252)</f>
        <v/>
      </c>
      <c r="F2252">
        <f>IF(ISBLANK('ENGAGEMENTS 2026'!C2252),"",'ENGAGEMENTS 2026'!J2252)</f>
        <v/>
      </c>
      <c r="G2252">
        <f>IF(ISBLANK('ENGAGEMENTS 2026'!C2252),"",'ENGAGEMENTS 2026'!M2252)</f>
        <v/>
      </c>
      <c r="H2252">
        <f>IF(ISBLANK('ENGAGEMENTS 2026'!C2252),"",'ENGAGEMENTS 2026'!AF2252)</f>
        <v/>
      </c>
      <c r="I2252">
        <f>IF(ISBLANK('ENGAGEMENTS 2026'!C2252),"",'ENGAGEMENTS 2026'!H2252)</f>
        <v/>
      </c>
      <c r="J2252" s="275">
        <f>IF(ISBLANK('ENGAGEMENTS 2026'!C2252),"",IF(AND(OR($E2252="INFRUCTUEUX",$E2252="ANNULE"),$C2252="AOO-M"),'ENGAGEMENTS 2026'!P2252,IF($H2252="EN COURS DE PREENGAGEMENT",'ENGAGEMENTS 2026'!O2252,IF($H2252="PREENGAGE",IF($E2252="ATTRIBUE",'ENGAGEMENTS 2026'!AE2252,'ENGAGEMENTS 2026'!O2252),'ENGAGEMENTS 2026'!AE2252))))</f>
        <v/>
      </c>
      <c r="K2252" s="604">
        <f>IF(ISBLANK('ENGAGEMENTS 2026'!W2252),"",'ENGAGEMENTS 2026'!W2252)</f>
        <v/>
      </c>
      <c r="L2252" s="276">
        <f>IF($K2252="","",TODAY()-$K2252)</f>
        <v/>
      </c>
      <c r="M2252">
        <f>IF($A2252="","",IF($H2252="ENGAGE","Engagé",IF(AND($H2252="NON ENGAGE",OR($I2252="INFRUCTUEUX",$I2252="ANNULE")),"Clôturé sans suite","En cours")))</f>
        <v/>
      </c>
      <c r="N2252">
        <f>IF(ISBLANK('ENGAGEMENTS 2026'!C2252),"",'ENGAGEMENTS 2026'!L2252)</f>
        <v/>
      </c>
      <c r="O2252">
        <f>IF(ISBLANK('ENGAGEMENTS 2026'!C2252),"",'ENGAGEMENTS 2026'!M2252)</f>
        <v/>
      </c>
      <c r="P2252">
        <f>IF(ISBLANK('ENGAGEMENTS 2026'!C2252),"",'ENGAGEMENTS 2026'!K2252)</f>
        <v/>
      </c>
      <c r="Q2252">
        <f>IF($A2252="","",IF(OR($E2252="INFRUCTUEUX",$E2252="ANNULE"),$A2252&amp;"|"&amp;(COUNTIFS($A$2:$A2252,$A2252,$E$2:$E2252,"INFRUCTUEUX")+COUNTIFS($A$2:$A2252,$A2252,$E$2:$E2252,"ANNULE")),""))</f>
        <v/>
      </c>
    </row>
    <row r="2253">
      <c r="A2253">
        <f>IF(ISBLANK('ENGAGEMENTS 2026'!C2253),"",IF('ENGAGEMENTS 2026'!C2253="DTSI","DCT",'ENGAGEMENTS 2026'!C2253))</f>
        <v/>
      </c>
      <c r="B2253">
        <f>IF(ISBLANK('ENGAGEMENTS 2026'!C2253),"",'ENGAGEMENTS 2026'!D2253)</f>
        <v/>
      </c>
      <c r="C2253">
        <f>IF(ISBLANK('ENGAGEMENTS 2026'!C2253),"",'ENGAGEMENTS 2026'!E2253)</f>
        <v/>
      </c>
      <c r="D2253">
        <f>IF(ISBLANK('ENGAGEMENTS 2026'!C2253),"",'ENGAGEMENTS 2026'!G2253)</f>
        <v/>
      </c>
      <c r="E2253">
        <f>IF(ISBLANK('ENGAGEMENTS 2026'!C2253),"",'ENGAGEMENTS 2026'!I2253)</f>
        <v/>
      </c>
      <c r="F2253">
        <f>IF(ISBLANK('ENGAGEMENTS 2026'!C2253),"",'ENGAGEMENTS 2026'!J2253)</f>
        <v/>
      </c>
      <c r="G2253">
        <f>IF(ISBLANK('ENGAGEMENTS 2026'!C2253),"",'ENGAGEMENTS 2026'!M2253)</f>
        <v/>
      </c>
      <c r="H2253">
        <f>IF(ISBLANK('ENGAGEMENTS 2026'!C2253),"",'ENGAGEMENTS 2026'!AF2253)</f>
        <v/>
      </c>
      <c r="I2253">
        <f>IF(ISBLANK('ENGAGEMENTS 2026'!C2253),"",'ENGAGEMENTS 2026'!H2253)</f>
        <v/>
      </c>
      <c r="J2253" s="275">
        <f>IF(ISBLANK('ENGAGEMENTS 2026'!C2253),"",IF(AND(OR($E2253="INFRUCTUEUX",$E2253="ANNULE"),$C2253="AOO-M"),'ENGAGEMENTS 2026'!P2253,IF($H2253="EN COURS DE PREENGAGEMENT",'ENGAGEMENTS 2026'!O2253,IF($H2253="PREENGAGE",IF($E2253="ATTRIBUE",'ENGAGEMENTS 2026'!AE2253,'ENGAGEMENTS 2026'!O2253),'ENGAGEMENTS 2026'!AE2253))))</f>
        <v/>
      </c>
      <c r="K2253" s="604">
        <f>IF(ISBLANK('ENGAGEMENTS 2026'!W2253),"",'ENGAGEMENTS 2026'!W2253)</f>
        <v/>
      </c>
      <c r="L2253" s="276">
        <f>IF($K2253="","",TODAY()-$K2253)</f>
        <v/>
      </c>
      <c r="M2253">
        <f>IF($A2253="","",IF($H2253="ENGAGE","Engagé",IF(AND($H2253="NON ENGAGE",OR($I2253="INFRUCTUEUX",$I2253="ANNULE")),"Clôturé sans suite","En cours")))</f>
        <v/>
      </c>
      <c r="N2253">
        <f>IF(ISBLANK('ENGAGEMENTS 2026'!C2253),"",'ENGAGEMENTS 2026'!L2253)</f>
        <v/>
      </c>
      <c r="O2253">
        <f>IF(ISBLANK('ENGAGEMENTS 2026'!C2253),"",'ENGAGEMENTS 2026'!M2253)</f>
        <v/>
      </c>
      <c r="P2253">
        <f>IF(ISBLANK('ENGAGEMENTS 2026'!C2253),"",'ENGAGEMENTS 2026'!K2253)</f>
        <v/>
      </c>
      <c r="Q2253">
        <f>IF($A2253="","",IF(OR($E2253="INFRUCTUEUX",$E2253="ANNULE"),$A2253&amp;"|"&amp;(COUNTIFS($A$2:$A2253,$A2253,$E$2:$E2253,"INFRUCTUEUX")+COUNTIFS($A$2:$A2253,$A2253,$E$2:$E2253,"ANNULE")),""))</f>
        <v/>
      </c>
    </row>
    <row r="2254">
      <c r="A2254">
        <f>IF(ISBLANK('ENGAGEMENTS 2026'!C2254),"",IF('ENGAGEMENTS 2026'!C2254="DTSI","DCT",'ENGAGEMENTS 2026'!C2254))</f>
        <v/>
      </c>
      <c r="B2254">
        <f>IF(ISBLANK('ENGAGEMENTS 2026'!C2254),"",'ENGAGEMENTS 2026'!D2254)</f>
        <v/>
      </c>
      <c r="C2254">
        <f>IF(ISBLANK('ENGAGEMENTS 2026'!C2254),"",'ENGAGEMENTS 2026'!E2254)</f>
        <v/>
      </c>
      <c r="D2254">
        <f>IF(ISBLANK('ENGAGEMENTS 2026'!C2254),"",'ENGAGEMENTS 2026'!G2254)</f>
        <v/>
      </c>
      <c r="E2254">
        <f>IF(ISBLANK('ENGAGEMENTS 2026'!C2254),"",'ENGAGEMENTS 2026'!I2254)</f>
        <v/>
      </c>
      <c r="F2254">
        <f>IF(ISBLANK('ENGAGEMENTS 2026'!C2254),"",'ENGAGEMENTS 2026'!J2254)</f>
        <v/>
      </c>
      <c r="G2254">
        <f>IF(ISBLANK('ENGAGEMENTS 2026'!C2254),"",'ENGAGEMENTS 2026'!M2254)</f>
        <v/>
      </c>
      <c r="H2254">
        <f>IF(ISBLANK('ENGAGEMENTS 2026'!C2254),"",'ENGAGEMENTS 2026'!AF2254)</f>
        <v/>
      </c>
      <c r="I2254">
        <f>IF(ISBLANK('ENGAGEMENTS 2026'!C2254),"",'ENGAGEMENTS 2026'!H2254)</f>
        <v/>
      </c>
      <c r="J2254" s="275">
        <f>IF(ISBLANK('ENGAGEMENTS 2026'!C2254),"",IF(AND(OR($E2254="INFRUCTUEUX",$E2254="ANNULE"),$C2254="AOO-M"),'ENGAGEMENTS 2026'!P2254,IF($H2254="EN COURS DE PREENGAGEMENT",'ENGAGEMENTS 2026'!O2254,IF($H2254="PREENGAGE",IF($E2254="ATTRIBUE",'ENGAGEMENTS 2026'!AE2254,'ENGAGEMENTS 2026'!O2254),'ENGAGEMENTS 2026'!AE2254))))</f>
        <v/>
      </c>
      <c r="K2254" s="604">
        <f>IF(ISBLANK('ENGAGEMENTS 2026'!W2254),"",'ENGAGEMENTS 2026'!W2254)</f>
        <v/>
      </c>
      <c r="L2254" s="276">
        <f>IF($K2254="","",TODAY()-$K2254)</f>
        <v/>
      </c>
      <c r="M2254">
        <f>IF($A2254="","",IF($H2254="ENGAGE","Engagé",IF(AND($H2254="NON ENGAGE",OR($I2254="INFRUCTUEUX",$I2254="ANNULE")),"Clôturé sans suite","En cours")))</f>
        <v/>
      </c>
      <c r="N2254">
        <f>IF(ISBLANK('ENGAGEMENTS 2026'!C2254),"",'ENGAGEMENTS 2026'!L2254)</f>
        <v/>
      </c>
      <c r="O2254">
        <f>IF(ISBLANK('ENGAGEMENTS 2026'!C2254),"",'ENGAGEMENTS 2026'!M2254)</f>
        <v/>
      </c>
      <c r="P2254">
        <f>IF(ISBLANK('ENGAGEMENTS 2026'!C2254),"",'ENGAGEMENTS 2026'!K2254)</f>
        <v/>
      </c>
      <c r="Q2254">
        <f>IF($A2254="","",IF(OR($E2254="INFRUCTUEUX",$E2254="ANNULE"),$A2254&amp;"|"&amp;(COUNTIFS($A$2:$A2254,$A2254,$E$2:$E2254,"INFRUCTUEUX")+COUNTIFS($A$2:$A2254,$A2254,$E$2:$E2254,"ANNULE")),""))</f>
        <v/>
      </c>
    </row>
    <row r="2255">
      <c r="A2255">
        <f>IF(ISBLANK('ENGAGEMENTS 2026'!C2255),"",IF('ENGAGEMENTS 2026'!C2255="DTSI","DCT",'ENGAGEMENTS 2026'!C2255))</f>
        <v/>
      </c>
      <c r="B2255">
        <f>IF(ISBLANK('ENGAGEMENTS 2026'!C2255),"",'ENGAGEMENTS 2026'!D2255)</f>
        <v/>
      </c>
      <c r="C2255">
        <f>IF(ISBLANK('ENGAGEMENTS 2026'!C2255),"",'ENGAGEMENTS 2026'!E2255)</f>
        <v/>
      </c>
      <c r="D2255">
        <f>IF(ISBLANK('ENGAGEMENTS 2026'!C2255),"",'ENGAGEMENTS 2026'!G2255)</f>
        <v/>
      </c>
      <c r="E2255">
        <f>IF(ISBLANK('ENGAGEMENTS 2026'!C2255),"",'ENGAGEMENTS 2026'!I2255)</f>
        <v/>
      </c>
      <c r="F2255">
        <f>IF(ISBLANK('ENGAGEMENTS 2026'!C2255),"",'ENGAGEMENTS 2026'!J2255)</f>
        <v/>
      </c>
      <c r="G2255">
        <f>IF(ISBLANK('ENGAGEMENTS 2026'!C2255),"",'ENGAGEMENTS 2026'!M2255)</f>
        <v/>
      </c>
      <c r="H2255">
        <f>IF(ISBLANK('ENGAGEMENTS 2026'!C2255),"",'ENGAGEMENTS 2026'!AF2255)</f>
        <v/>
      </c>
      <c r="I2255">
        <f>IF(ISBLANK('ENGAGEMENTS 2026'!C2255),"",'ENGAGEMENTS 2026'!H2255)</f>
        <v/>
      </c>
      <c r="J2255" s="275">
        <f>IF(ISBLANK('ENGAGEMENTS 2026'!C2255),"",IF(AND(OR($E2255="INFRUCTUEUX",$E2255="ANNULE"),$C2255="AOO-M"),'ENGAGEMENTS 2026'!P2255,IF($H2255="EN COURS DE PREENGAGEMENT",'ENGAGEMENTS 2026'!O2255,IF($H2255="PREENGAGE",IF($E2255="ATTRIBUE",'ENGAGEMENTS 2026'!AE2255,'ENGAGEMENTS 2026'!O2255),'ENGAGEMENTS 2026'!AE2255))))</f>
        <v/>
      </c>
      <c r="K2255" s="604">
        <f>IF(ISBLANK('ENGAGEMENTS 2026'!W2255),"",'ENGAGEMENTS 2026'!W2255)</f>
        <v/>
      </c>
      <c r="L2255" s="276">
        <f>IF($K2255="","",TODAY()-$K2255)</f>
        <v/>
      </c>
      <c r="M2255">
        <f>IF($A2255="","",IF($H2255="ENGAGE","Engagé",IF(AND($H2255="NON ENGAGE",OR($I2255="INFRUCTUEUX",$I2255="ANNULE")),"Clôturé sans suite","En cours")))</f>
        <v/>
      </c>
      <c r="N2255">
        <f>IF(ISBLANK('ENGAGEMENTS 2026'!C2255),"",'ENGAGEMENTS 2026'!L2255)</f>
        <v/>
      </c>
      <c r="O2255">
        <f>IF(ISBLANK('ENGAGEMENTS 2026'!C2255),"",'ENGAGEMENTS 2026'!M2255)</f>
        <v/>
      </c>
      <c r="P2255">
        <f>IF(ISBLANK('ENGAGEMENTS 2026'!C2255),"",'ENGAGEMENTS 2026'!K2255)</f>
        <v/>
      </c>
      <c r="Q2255">
        <f>IF($A2255="","",IF(OR($E2255="INFRUCTUEUX",$E2255="ANNULE"),$A2255&amp;"|"&amp;(COUNTIFS($A$2:$A2255,$A2255,$E$2:$E2255,"INFRUCTUEUX")+COUNTIFS($A$2:$A2255,$A2255,$E$2:$E2255,"ANNULE")),""))</f>
        <v/>
      </c>
    </row>
    <row r="2256">
      <c r="A2256">
        <f>IF(ISBLANK('ENGAGEMENTS 2026'!C2256),"",IF('ENGAGEMENTS 2026'!C2256="DTSI","DCT",'ENGAGEMENTS 2026'!C2256))</f>
        <v/>
      </c>
      <c r="B2256">
        <f>IF(ISBLANK('ENGAGEMENTS 2026'!C2256),"",'ENGAGEMENTS 2026'!D2256)</f>
        <v/>
      </c>
      <c r="C2256">
        <f>IF(ISBLANK('ENGAGEMENTS 2026'!C2256),"",'ENGAGEMENTS 2026'!E2256)</f>
        <v/>
      </c>
      <c r="D2256">
        <f>IF(ISBLANK('ENGAGEMENTS 2026'!C2256),"",'ENGAGEMENTS 2026'!G2256)</f>
        <v/>
      </c>
      <c r="E2256">
        <f>IF(ISBLANK('ENGAGEMENTS 2026'!C2256),"",'ENGAGEMENTS 2026'!I2256)</f>
        <v/>
      </c>
      <c r="F2256">
        <f>IF(ISBLANK('ENGAGEMENTS 2026'!C2256),"",'ENGAGEMENTS 2026'!J2256)</f>
        <v/>
      </c>
      <c r="G2256">
        <f>IF(ISBLANK('ENGAGEMENTS 2026'!C2256),"",'ENGAGEMENTS 2026'!M2256)</f>
        <v/>
      </c>
      <c r="H2256">
        <f>IF(ISBLANK('ENGAGEMENTS 2026'!C2256),"",'ENGAGEMENTS 2026'!AF2256)</f>
        <v/>
      </c>
      <c r="I2256">
        <f>IF(ISBLANK('ENGAGEMENTS 2026'!C2256),"",'ENGAGEMENTS 2026'!H2256)</f>
        <v/>
      </c>
      <c r="J2256" s="275">
        <f>IF(ISBLANK('ENGAGEMENTS 2026'!C2256),"",IF(AND(OR($E2256="INFRUCTUEUX",$E2256="ANNULE"),$C2256="AOO-M"),'ENGAGEMENTS 2026'!P2256,IF($H2256="EN COURS DE PREENGAGEMENT",'ENGAGEMENTS 2026'!O2256,IF($H2256="PREENGAGE",IF($E2256="ATTRIBUE",'ENGAGEMENTS 2026'!AE2256,'ENGAGEMENTS 2026'!O2256),'ENGAGEMENTS 2026'!AE2256))))</f>
        <v/>
      </c>
      <c r="K2256" s="604">
        <f>IF(ISBLANK('ENGAGEMENTS 2026'!W2256),"",'ENGAGEMENTS 2026'!W2256)</f>
        <v/>
      </c>
      <c r="L2256" s="276">
        <f>IF($K2256="","",TODAY()-$K2256)</f>
        <v/>
      </c>
      <c r="M2256">
        <f>IF($A2256="","",IF($H2256="ENGAGE","Engagé",IF(AND($H2256="NON ENGAGE",OR($I2256="INFRUCTUEUX",$I2256="ANNULE")),"Clôturé sans suite","En cours")))</f>
        <v/>
      </c>
      <c r="N2256">
        <f>IF(ISBLANK('ENGAGEMENTS 2026'!C2256),"",'ENGAGEMENTS 2026'!L2256)</f>
        <v/>
      </c>
      <c r="O2256">
        <f>IF(ISBLANK('ENGAGEMENTS 2026'!C2256),"",'ENGAGEMENTS 2026'!M2256)</f>
        <v/>
      </c>
      <c r="P2256">
        <f>IF(ISBLANK('ENGAGEMENTS 2026'!C2256),"",'ENGAGEMENTS 2026'!K2256)</f>
        <v/>
      </c>
      <c r="Q2256">
        <f>IF($A2256="","",IF(OR($E2256="INFRUCTUEUX",$E2256="ANNULE"),$A2256&amp;"|"&amp;(COUNTIFS($A$2:$A2256,$A2256,$E$2:$E2256,"INFRUCTUEUX")+COUNTIFS($A$2:$A2256,$A2256,$E$2:$E2256,"ANNULE")),""))</f>
        <v/>
      </c>
    </row>
    <row r="2257">
      <c r="A2257">
        <f>IF(ISBLANK('ENGAGEMENTS 2026'!C2257),"",IF('ENGAGEMENTS 2026'!C2257="DTSI","DCT",'ENGAGEMENTS 2026'!C2257))</f>
        <v/>
      </c>
      <c r="B2257">
        <f>IF(ISBLANK('ENGAGEMENTS 2026'!C2257),"",'ENGAGEMENTS 2026'!D2257)</f>
        <v/>
      </c>
      <c r="C2257">
        <f>IF(ISBLANK('ENGAGEMENTS 2026'!C2257),"",'ENGAGEMENTS 2026'!E2257)</f>
        <v/>
      </c>
      <c r="D2257">
        <f>IF(ISBLANK('ENGAGEMENTS 2026'!C2257),"",'ENGAGEMENTS 2026'!G2257)</f>
        <v/>
      </c>
      <c r="E2257">
        <f>IF(ISBLANK('ENGAGEMENTS 2026'!C2257),"",'ENGAGEMENTS 2026'!I2257)</f>
        <v/>
      </c>
      <c r="F2257">
        <f>IF(ISBLANK('ENGAGEMENTS 2026'!C2257),"",'ENGAGEMENTS 2026'!J2257)</f>
        <v/>
      </c>
      <c r="G2257">
        <f>IF(ISBLANK('ENGAGEMENTS 2026'!C2257),"",'ENGAGEMENTS 2026'!M2257)</f>
        <v/>
      </c>
      <c r="H2257">
        <f>IF(ISBLANK('ENGAGEMENTS 2026'!C2257),"",'ENGAGEMENTS 2026'!AF2257)</f>
        <v/>
      </c>
      <c r="I2257">
        <f>IF(ISBLANK('ENGAGEMENTS 2026'!C2257),"",'ENGAGEMENTS 2026'!H2257)</f>
        <v/>
      </c>
      <c r="J2257" s="275">
        <f>IF(ISBLANK('ENGAGEMENTS 2026'!C2257),"",IF(AND(OR($E2257="INFRUCTUEUX",$E2257="ANNULE"),$C2257="AOO-M"),'ENGAGEMENTS 2026'!P2257,IF($H2257="EN COURS DE PREENGAGEMENT",'ENGAGEMENTS 2026'!O2257,IF($H2257="PREENGAGE",IF($E2257="ATTRIBUE",'ENGAGEMENTS 2026'!AE2257,'ENGAGEMENTS 2026'!O2257),'ENGAGEMENTS 2026'!AE2257))))</f>
        <v/>
      </c>
      <c r="K2257" s="604">
        <f>IF(ISBLANK('ENGAGEMENTS 2026'!W2257),"",'ENGAGEMENTS 2026'!W2257)</f>
        <v/>
      </c>
      <c r="L2257" s="276">
        <f>IF($K2257="","",TODAY()-$K2257)</f>
        <v/>
      </c>
      <c r="M2257">
        <f>IF($A2257="","",IF($H2257="ENGAGE","Engagé",IF(AND($H2257="NON ENGAGE",OR($I2257="INFRUCTUEUX",$I2257="ANNULE")),"Clôturé sans suite","En cours")))</f>
        <v/>
      </c>
      <c r="N2257">
        <f>IF(ISBLANK('ENGAGEMENTS 2026'!C2257),"",'ENGAGEMENTS 2026'!L2257)</f>
        <v/>
      </c>
      <c r="O2257">
        <f>IF(ISBLANK('ENGAGEMENTS 2026'!C2257),"",'ENGAGEMENTS 2026'!M2257)</f>
        <v/>
      </c>
      <c r="P2257">
        <f>IF(ISBLANK('ENGAGEMENTS 2026'!C2257),"",'ENGAGEMENTS 2026'!K2257)</f>
        <v/>
      </c>
      <c r="Q2257">
        <f>IF($A2257="","",IF(OR($E2257="INFRUCTUEUX",$E2257="ANNULE"),$A2257&amp;"|"&amp;(COUNTIFS($A$2:$A2257,$A2257,$E$2:$E2257,"INFRUCTUEUX")+COUNTIFS($A$2:$A2257,$A2257,$E$2:$E2257,"ANNULE")),""))</f>
        <v/>
      </c>
    </row>
    <row r="2258">
      <c r="A2258">
        <f>IF(ISBLANK('ENGAGEMENTS 2026'!C2258),"",IF('ENGAGEMENTS 2026'!C2258="DTSI","DCT",'ENGAGEMENTS 2026'!C2258))</f>
        <v/>
      </c>
      <c r="B2258">
        <f>IF(ISBLANK('ENGAGEMENTS 2026'!C2258),"",'ENGAGEMENTS 2026'!D2258)</f>
        <v/>
      </c>
      <c r="C2258">
        <f>IF(ISBLANK('ENGAGEMENTS 2026'!C2258),"",'ENGAGEMENTS 2026'!E2258)</f>
        <v/>
      </c>
      <c r="D2258">
        <f>IF(ISBLANK('ENGAGEMENTS 2026'!C2258),"",'ENGAGEMENTS 2026'!G2258)</f>
        <v/>
      </c>
      <c r="E2258">
        <f>IF(ISBLANK('ENGAGEMENTS 2026'!C2258),"",'ENGAGEMENTS 2026'!I2258)</f>
        <v/>
      </c>
      <c r="F2258">
        <f>IF(ISBLANK('ENGAGEMENTS 2026'!C2258),"",'ENGAGEMENTS 2026'!J2258)</f>
        <v/>
      </c>
      <c r="G2258">
        <f>IF(ISBLANK('ENGAGEMENTS 2026'!C2258),"",'ENGAGEMENTS 2026'!M2258)</f>
        <v/>
      </c>
      <c r="H2258">
        <f>IF(ISBLANK('ENGAGEMENTS 2026'!C2258),"",'ENGAGEMENTS 2026'!AF2258)</f>
        <v/>
      </c>
      <c r="I2258">
        <f>IF(ISBLANK('ENGAGEMENTS 2026'!C2258),"",'ENGAGEMENTS 2026'!H2258)</f>
        <v/>
      </c>
      <c r="J2258" s="275">
        <f>IF(ISBLANK('ENGAGEMENTS 2026'!C2258),"",IF(AND(OR($E2258="INFRUCTUEUX",$E2258="ANNULE"),$C2258="AOO-M"),'ENGAGEMENTS 2026'!P2258,IF($H2258="EN COURS DE PREENGAGEMENT",'ENGAGEMENTS 2026'!O2258,IF($H2258="PREENGAGE",IF($E2258="ATTRIBUE",'ENGAGEMENTS 2026'!AE2258,'ENGAGEMENTS 2026'!O2258),'ENGAGEMENTS 2026'!AE2258))))</f>
        <v/>
      </c>
      <c r="K2258" s="604">
        <f>IF(ISBLANK('ENGAGEMENTS 2026'!W2258),"",'ENGAGEMENTS 2026'!W2258)</f>
        <v/>
      </c>
      <c r="L2258" s="276">
        <f>IF($K2258="","",TODAY()-$K2258)</f>
        <v/>
      </c>
      <c r="M2258">
        <f>IF($A2258="","",IF($H2258="ENGAGE","Engagé",IF(AND($H2258="NON ENGAGE",OR($I2258="INFRUCTUEUX",$I2258="ANNULE")),"Clôturé sans suite","En cours")))</f>
        <v/>
      </c>
      <c r="N2258">
        <f>IF(ISBLANK('ENGAGEMENTS 2026'!C2258),"",'ENGAGEMENTS 2026'!L2258)</f>
        <v/>
      </c>
      <c r="O2258">
        <f>IF(ISBLANK('ENGAGEMENTS 2026'!C2258),"",'ENGAGEMENTS 2026'!M2258)</f>
        <v/>
      </c>
      <c r="P2258">
        <f>IF(ISBLANK('ENGAGEMENTS 2026'!C2258),"",'ENGAGEMENTS 2026'!K2258)</f>
        <v/>
      </c>
      <c r="Q2258">
        <f>IF($A2258="","",IF(OR($E2258="INFRUCTUEUX",$E2258="ANNULE"),$A2258&amp;"|"&amp;(COUNTIFS($A$2:$A2258,$A2258,$E$2:$E2258,"INFRUCTUEUX")+COUNTIFS($A$2:$A2258,$A2258,$E$2:$E2258,"ANNULE")),""))</f>
        <v/>
      </c>
    </row>
    <row r="2259">
      <c r="A2259">
        <f>IF(ISBLANK('ENGAGEMENTS 2026'!C2259),"",IF('ENGAGEMENTS 2026'!C2259="DTSI","DCT",'ENGAGEMENTS 2026'!C2259))</f>
        <v/>
      </c>
      <c r="B2259">
        <f>IF(ISBLANK('ENGAGEMENTS 2026'!C2259),"",'ENGAGEMENTS 2026'!D2259)</f>
        <v/>
      </c>
      <c r="C2259">
        <f>IF(ISBLANK('ENGAGEMENTS 2026'!C2259),"",'ENGAGEMENTS 2026'!E2259)</f>
        <v/>
      </c>
      <c r="D2259">
        <f>IF(ISBLANK('ENGAGEMENTS 2026'!C2259),"",'ENGAGEMENTS 2026'!G2259)</f>
        <v/>
      </c>
      <c r="E2259">
        <f>IF(ISBLANK('ENGAGEMENTS 2026'!C2259),"",'ENGAGEMENTS 2026'!I2259)</f>
        <v/>
      </c>
      <c r="F2259">
        <f>IF(ISBLANK('ENGAGEMENTS 2026'!C2259),"",'ENGAGEMENTS 2026'!J2259)</f>
        <v/>
      </c>
      <c r="G2259">
        <f>IF(ISBLANK('ENGAGEMENTS 2026'!C2259),"",'ENGAGEMENTS 2026'!M2259)</f>
        <v/>
      </c>
      <c r="H2259">
        <f>IF(ISBLANK('ENGAGEMENTS 2026'!C2259),"",'ENGAGEMENTS 2026'!AF2259)</f>
        <v/>
      </c>
      <c r="I2259">
        <f>IF(ISBLANK('ENGAGEMENTS 2026'!C2259),"",'ENGAGEMENTS 2026'!H2259)</f>
        <v/>
      </c>
      <c r="J2259" s="275">
        <f>IF(ISBLANK('ENGAGEMENTS 2026'!C2259),"",IF(AND(OR($E2259="INFRUCTUEUX",$E2259="ANNULE"),$C2259="AOO-M"),'ENGAGEMENTS 2026'!P2259,IF($H2259="EN COURS DE PREENGAGEMENT",'ENGAGEMENTS 2026'!O2259,IF($H2259="PREENGAGE",IF($E2259="ATTRIBUE",'ENGAGEMENTS 2026'!AE2259,'ENGAGEMENTS 2026'!O2259),'ENGAGEMENTS 2026'!AE2259))))</f>
        <v/>
      </c>
      <c r="K2259" s="604">
        <f>IF(ISBLANK('ENGAGEMENTS 2026'!W2259),"",'ENGAGEMENTS 2026'!W2259)</f>
        <v/>
      </c>
      <c r="L2259" s="276">
        <f>IF($K2259="","",TODAY()-$K2259)</f>
        <v/>
      </c>
      <c r="M2259">
        <f>IF($A2259="","",IF($H2259="ENGAGE","Engagé",IF(AND($H2259="NON ENGAGE",OR($I2259="INFRUCTUEUX",$I2259="ANNULE")),"Clôturé sans suite","En cours")))</f>
        <v/>
      </c>
      <c r="N2259">
        <f>IF(ISBLANK('ENGAGEMENTS 2026'!C2259),"",'ENGAGEMENTS 2026'!L2259)</f>
        <v/>
      </c>
      <c r="O2259">
        <f>IF(ISBLANK('ENGAGEMENTS 2026'!C2259),"",'ENGAGEMENTS 2026'!M2259)</f>
        <v/>
      </c>
      <c r="P2259">
        <f>IF(ISBLANK('ENGAGEMENTS 2026'!C2259),"",'ENGAGEMENTS 2026'!K2259)</f>
        <v/>
      </c>
      <c r="Q2259">
        <f>IF($A2259="","",IF(OR($E2259="INFRUCTUEUX",$E2259="ANNULE"),$A2259&amp;"|"&amp;(COUNTIFS($A$2:$A2259,$A2259,$E$2:$E2259,"INFRUCTUEUX")+COUNTIFS($A$2:$A2259,$A2259,$E$2:$E2259,"ANNULE")),""))</f>
        <v/>
      </c>
    </row>
    <row r="2260">
      <c r="A2260">
        <f>IF(ISBLANK('ENGAGEMENTS 2026'!C2260),"",IF('ENGAGEMENTS 2026'!C2260="DTSI","DCT",'ENGAGEMENTS 2026'!C2260))</f>
        <v/>
      </c>
      <c r="B2260">
        <f>IF(ISBLANK('ENGAGEMENTS 2026'!C2260),"",'ENGAGEMENTS 2026'!D2260)</f>
        <v/>
      </c>
      <c r="C2260">
        <f>IF(ISBLANK('ENGAGEMENTS 2026'!C2260),"",'ENGAGEMENTS 2026'!E2260)</f>
        <v/>
      </c>
      <c r="D2260">
        <f>IF(ISBLANK('ENGAGEMENTS 2026'!C2260),"",'ENGAGEMENTS 2026'!G2260)</f>
        <v/>
      </c>
      <c r="E2260">
        <f>IF(ISBLANK('ENGAGEMENTS 2026'!C2260),"",'ENGAGEMENTS 2026'!I2260)</f>
        <v/>
      </c>
      <c r="F2260">
        <f>IF(ISBLANK('ENGAGEMENTS 2026'!C2260),"",'ENGAGEMENTS 2026'!J2260)</f>
        <v/>
      </c>
      <c r="G2260">
        <f>IF(ISBLANK('ENGAGEMENTS 2026'!C2260),"",'ENGAGEMENTS 2026'!M2260)</f>
        <v/>
      </c>
      <c r="H2260">
        <f>IF(ISBLANK('ENGAGEMENTS 2026'!C2260),"",'ENGAGEMENTS 2026'!AF2260)</f>
        <v/>
      </c>
      <c r="I2260">
        <f>IF(ISBLANK('ENGAGEMENTS 2026'!C2260),"",'ENGAGEMENTS 2026'!H2260)</f>
        <v/>
      </c>
      <c r="J2260" s="275">
        <f>IF(ISBLANK('ENGAGEMENTS 2026'!C2260),"",IF(AND(OR($E2260="INFRUCTUEUX",$E2260="ANNULE"),$C2260="AOO-M"),'ENGAGEMENTS 2026'!P2260,IF($H2260="EN COURS DE PREENGAGEMENT",'ENGAGEMENTS 2026'!O2260,IF($H2260="PREENGAGE",IF($E2260="ATTRIBUE",'ENGAGEMENTS 2026'!AE2260,'ENGAGEMENTS 2026'!O2260),'ENGAGEMENTS 2026'!AE2260))))</f>
        <v/>
      </c>
      <c r="K2260" s="604">
        <f>IF(ISBLANK('ENGAGEMENTS 2026'!W2260),"",'ENGAGEMENTS 2026'!W2260)</f>
        <v/>
      </c>
      <c r="L2260" s="276">
        <f>IF($K2260="","",TODAY()-$K2260)</f>
        <v/>
      </c>
      <c r="M2260">
        <f>IF($A2260="","",IF($H2260="ENGAGE","Engagé",IF(AND($H2260="NON ENGAGE",OR($I2260="INFRUCTUEUX",$I2260="ANNULE")),"Clôturé sans suite","En cours")))</f>
        <v/>
      </c>
      <c r="N2260">
        <f>IF(ISBLANK('ENGAGEMENTS 2026'!C2260),"",'ENGAGEMENTS 2026'!L2260)</f>
        <v/>
      </c>
      <c r="O2260">
        <f>IF(ISBLANK('ENGAGEMENTS 2026'!C2260),"",'ENGAGEMENTS 2026'!M2260)</f>
        <v/>
      </c>
      <c r="P2260">
        <f>IF(ISBLANK('ENGAGEMENTS 2026'!C2260),"",'ENGAGEMENTS 2026'!K2260)</f>
        <v/>
      </c>
      <c r="Q2260">
        <f>IF($A2260="","",IF(OR($E2260="INFRUCTUEUX",$E2260="ANNULE"),$A2260&amp;"|"&amp;(COUNTIFS($A$2:$A2260,$A2260,$E$2:$E2260,"INFRUCTUEUX")+COUNTIFS($A$2:$A2260,$A2260,$E$2:$E2260,"ANNULE")),""))</f>
        <v/>
      </c>
    </row>
    <row r="2261">
      <c r="A2261">
        <f>IF(ISBLANK('ENGAGEMENTS 2026'!C2261),"",IF('ENGAGEMENTS 2026'!C2261="DTSI","DCT",'ENGAGEMENTS 2026'!C2261))</f>
        <v/>
      </c>
      <c r="B2261">
        <f>IF(ISBLANK('ENGAGEMENTS 2026'!C2261),"",'ENGAGEMENTS 2026'!D2261)</f>
        <v/>
      </c>
      <c r="C2261">
        <f>IF(ISBLANK('ENGAGEMENTS 2026'!C2261),"",'ENGAGEMENTS 2026'!E2261)</f>
        <v/>
      </c>
      <c r="D2261">
        <f>IF(ISBLANK('ENGAGEMENTS 2026'!C2261),"",'ENGAGEMENTS 2026'!G2261)</f>
        <v/>
      </c>
      <c r="E2261">
        <f>IF(ISBLANK('ENGAGEMENTS 2026'!C2261),"",'ENGAGEMENTS 2026'!I2261)</f>
        <v/>
      </c>
      <c r="F2261">
        <f>IF(ISBLANK('ENGAGEMENTS 2026'!C2261),"",'ENGAGEMENTS 2026'!J2261)</f>
        <v/>
      </c>
      <c r="G2261">
        <f>IF(ISBLANK('ENGAGEMENTS 2026'!C2261),"",'ENGAGEMENTS 2026'!M2261)</f>
        <v/>
      </c>
      <c r="H2261">
        <f>IF(ISBLANK('ENGAGEMENTS 2026'!C2261),"",'ENGAGEMENTS 2026'!AF2261)</f>
        <v/>
      </c>
      <c r="I2261">
        <f>IF(ISBLANK('ENGAGEMENTS 2026'!C2261),"",'ENGAGEMENTS 2026'!H2261)</f>
        <v/>
      </c>
      <c r="J2261" s="275">
        <f>IF(ISBLANK('ENGAGEMENTS 2026'!C2261),"",IF(AND(OR($E2261="INFRUCTUEUX",$E2261="ANNULE"),$C2261="AOO-M"),'ENGAGEMENTS 2026'!P2261,IF($H2261="EN COURS DE PREENGAGEMENT",'ENGAGEMENTS 2026'!O2261,IF($H2261="PREENGAGE",IF($E2261="ATTRIBUE",'ENGAGEMENTS 2026'!AE2261,'ENGAGEMENTS 2026'!O2261),'ENGAGEMENTS 2026'!AE2261))))</f>
        <v/>
      </c>
      <c r="K2261" s="604">
        <f>IF(ISBLANK('ENGAGEMENTS 2026'!W2261),"",'ENGAGEMENTS 2026'!W2261)</f>
        <v/>
      </c>
      <c r="L2261" s="276">
        <f>IF($K2261="","",TODAY()-$K2261)</f>
        <v/>
      </c>
      <c r="M2261">
        <f>IF($A2261="","",IF($H2261="ENGAGE","Engagé",IF(AND($H2261="NON ENGAGE",OR($I2261="INFRUCTUEUX",$I2261="ANNULE")),"Clôturé sans suite","En cours")))</f>
        <v/>
      </c>
      <c r="N2261">
        <f>IF(ISBLANK('ENGAGEMENTS 2026'!C2261),"",'ENGAGEMENTS 2026'!L2261)</f>
        <v/>
      </c>
      <c r="O2261">
        <f>IF(ISBLANK('ENGAGEMENTS 2026'!C2261),"",'ENGAGEMENTS 2026'!M2261)</f>
        <v/>
      </c>
      <c r="P2261">
        <f>IF(ISBLANK('ENGAGEMENTS 2026'!C2261),"",'ENGAGEMENTS 2026'!K2261)</f>
        <v/>
      </c>
      <c r="Q2261">
        <f>IF($A2261="","",IF(OR($E2261="INFRUCTUEUX",$E2261="ANNULE"),$A2261&amp;"|"&amp;(COUNTIFS($A$2:$A2261,$A2261,$E$2:$E2261,"INFRUCTUEUX")+COUNTIFS($A$2:$A2261,$A2261,$E$2:$E2261,"ANNULE")),""))</f>
        <v/>
      </c>
    </row>
    <row r="2262">
      <c r="A2262">
        <f>IF(ISBLANK('ENGAGEMENTS 2026'!C2262),"",IF('ENGAGEMENTS 2026'!C2262="DTSI","DCT",'ENGAGEMENTS 2026'!C2262))</f>
        <v/>
      </c>
      <c r="B2262">
        <f>IF(ISBLANK('ENGAGEMENTS 2026'!C2262),"",'ENGAGEMENTS 2026'!D2262)</f>
        <v/>
      </c>
      <c r="C2262">
        <f>IF(ISBLANK('ENGAGEMENTS 2026'!C2262),"",'ENGAGEMENTS 2026'!E2262)</f>
        <v/>
      </c>
      <c r="D2262">
        <f>IF(ISBLANK('ENGAGEMENTS 2026'!C2262),"",'ENGAGEMENTS 2026'!G2262)</f>
        <v/>
      </c>
      <c r="E2262">
        <f>IF(ISBLANK('ENGAGEMENTS 2026'!C2262),"",'ENGAGEMENTS 2026'!I2262)</f>
        <v/>
      </c>
      <c r="F2262">
        <f>IF(ISBLANK('ENGAGEMENTS 2026'!C2262),"",'ENGAGEMENTS 2026'!J2262)</f>
        <v/>
      </c>
      <c r="G2262">
        <f>IF(ISBLANK('ENGAGEMENTS 2026'!C2262),"",'ENGAGEMENTS 2026'!M2262)</f>
        <v/>
      </c>
      <c r="H2262">
        <f>IF(ISBLANK('ENGAGEMENTS 2026'!C2262),"",'ENGAGEMENTS 2026'!AF2262)</f>
        <v/>
      </c>
      <c r="I2262">
        <f>IF(ISBLANK('ENGAGEMENTS 2026'!C2262),"",'ENGAGEMENTS 2026'!H2262)</f>
        <v/>
      </c>
      <c r="J2262" s="275">
        <f>IF(ISBLANK('ENGAGEMENTS 2026'!C2262),"",IF(AND(OR($E2262="INFRUCTUEUX",$E2262="ANNULE"),$C2262="AOO-M"),'ENGAGEMENTS 2026'!P2262,IF($H2262="EN COURS DE PREENGAGEMENT",'ENGAGEMENTS 2026'!O2262,IF($H2262="PREENGAGE",IF($E2262="ATTRIBUE",'ENGAGEMENTS 2026'!AE2262,'ENGAGEMENTS 2026'!O2262),'ENGAGEMENTS 2026'!AE2262))))</f>
        <v/>
      </c>
      <c r="K2262" s="604">
        <f>IF(ISBLANK('ENGAGEMENTS 2026'!W2262),"",'ENGAGEMENTS 2026'!W2262)</f>
        <v/>
      </c>
      <c r="L2262" s="276">
        <f>IF($K2262="","",TODAY()-$K2262)</f>
        <v/>
      </c>
      <c r="M2262">
        <f>IF($A2262="","",IF($H2262="ENGAGE","Engagé",IF(AND($H2262="NON ENGAGE",OR($I2262="INFRUCTUEUX",$I2262="ANNULE")),"Clôturé sans suite","En cours")))</f>
        <v/>
      </c>
      <c r="N2262">
        <f>IF(ISBLANK('ENGAGEMENTS 2026'!C2262),"",'ENGAGEMENTS 2026'!L2262)</f>
        <v/>
      </c>
      <c r="O2262">
        <f>IF(ISBLANK('ENGAGEMENTS 2026'!C2262),"",'ENGAGEMENTS 2026'!M2262)</f>
        <v/>
      </c>
      <c r="P2262">
        <f>IF(ISBLANK('ENGAGEMENTS 2026'!C2262),"",'ENGAGEMENTS 2026'!K2262)</f>
        <v/>
      </c>
      <c r="Q2262">
        <f>IF($A2262="","",IF(OR($E2262="INFRUCTUEUX",$E2262="ANNULE"),$A2262&amp;"|"&amp;(COUNTIFS($A$2:$A2262,$A2262,$E$2:$E2262,"INFRUCTUEUX")+COUNTIFS($A$2:$A2262,$A2262,$E$2:$E2262,"ANNULE")),""))</f>
        <v/>
      </c>
    </row>
    <row r="2263">
      <c r="A2263">
        <f>IF(ISBLANK('ENGAGEMENTS 2026'!C2263),"",IF('ENGAGEMENTS 2026'!C2263="DTSI","DCT",'ENGAGEMENTS 2026'!C2263))</f>
        <v/>
      </c>
      <c r="B2263">
        <f>IF(ISBLANK('ENGAGEMENTS 2026'!C2263),"",'ENGAGEMENTS 2026'!D2263)</f>
        <v/>
      </c>
      <c r="C2263">
        <f>IF(ISBLANK('ENGAGEMENTS 2026'!C2263),"",'ENGAGEMENTS 2026'!E2263)</f>
        <v/>
      </c>
      <c r="D2263">
        <f>IF(ISBLANK('ENGAGEMENTS 2026'!C2263),"",'ENGAGEMENTS 2026'!G2263)</f>
        <v/>
      </c>
      <c r="E2263">
        <f>IF(ISBLANK('ENGAGEMENTS 2026'!C2263),"",'ENGAGEMENTS 2026'!I2263)</f>
        <v/>
      </c>
      <c r="F2263">
        <f>IF(ISBLANK('ENGAGEMENTS 2026'!C2263),"",'ENGAGEMENTS 2026'!J2263)</f>
        <v/>
      </c>
      <c r="G2263">
        <f>IF(ISBLANK('ENGAGEMENTS 2026'!C2263),"",'ENGAGEMENTS 2026'!M2263)</f>
        <v/>
      </c>
      <c r="H2263">
        <f>IF(ISBLANK('ENGAGEMENTS 2026'!C2263),"",'ENGAGEMENTS 2026'!AF2263)</f>
        <v/>
      </c>
      <c r="I2263">
        <f>IF(ISBLANK('ENGAGEMENTS 2026'!C2263),"",'ENGAGEMENTS 2026'!H2263)</f>
        <v/>
      </c>
      <c r="J2263" s="275">
        <f>IF(ISBLANK('ENGAGEMENTS 2026'!C2263),"",IF(AND(OR($E2263="INFRUCTUEUX",$E2263="ANNULE"),$C2263="AOO-M"),'ENGAGEMENTS 2026'!P2263,IF($H2263="EN COURS DE PREENGAGEMENT",'ENGAGEMENTS 2026'!O2263,IF($H2263="PREENGAGE",IF($E2263="ATTRIBUE",'ENGAGEMENTS 2026'!AE2263,'ENGAGEMENTS 2026'!O2263),'ENGAGEMENTS 2026'!AE2263))))</f>
        <v/>
      </c>
      <c r="K2263" s="604">
        <f>IF(ISBLANK('ENGAGEMENTS 2026'!W2263),"",'ENGAGEMENTS 2026'!W2263)</f>
        <v/>
      </c>
      <c r="L2263" s="276">
        <f>IF($K2263="","",TODAY()-$K2263)</f>
        <v/>
      </c>
      <c r="M2263">
        <f>IF($A2263="","",IF($H2263="ENGAGE","Engagé",IF(AND($H2263="NON ENGAGE",OR($I2263="INFRUCTUEUX",$I2263="ANNULE")),"Clôturé sans suite","En cours")))</f>
        <v/>
      </c>
      <c r="N2263">
        <f>IF(ISBLANK('ENGAGEMENTS 2026'!C2263),"",'ENGAGEMENTS 2026'!L2263)</f>
        <v/>
      </c>
      <c r="O2263">
        <f>IF(ISBLANK('ENGAGEMENTS 2026'!C2263),"",'ENGAGEMENTS 2026'!M2263)</f>
        <v/>
      </c>
      <c r="P2263">
        <f>IF(ISBLANK('ENGAGEMENTS 2026'!C2263),"",'ENGAGEMENTS 2026'!K2263)</f>
        <v/>
      </c>
      <c r="Q2263">
        <f>IF($A2263="","",IF(OR($E2263="INFRUCTUEUX",$E2263="ANNULE"),$A2263&amp;"|"&amp;(COUNTIFS($A$2:$A2263,$A2263,$E$2:$E2263,"INFRUCTUEUX")+COUNTIFS($A$2:$A2263,$A2263,$E$2:$E2263,"ANNULE")),""))</f>
        <v/>
      </c>
    </row>
    <row r="2264">
      <c r="A2264">
        <f>IF(ISBLANK('ENGAGEMENTS 2026'!C2264),"",IF('ENGAGEMENTS 2026'!C2264="DTSI","DCT",'ENGAGEMENTS 2026'!C2264))</f>
        <v/>
      </c>
      <c r="B2264">
        <f>IF(ISBLANK('ENGAGEMENTS 2026'!C2264),"",'ENGAGEMENTS 2026'!D2264)</f>
        <v/>
      </c>
      <c r="C2264">
        <f>IF(ISBLANK('ENGAGEMENTS 2026'!C2264),"",'ENGAGEMENTS 2026'!E2264)</f>
        <v/>
      </c>
      <c r="D2264">
        <f>IF(ISBLANK('ENGAGEMENTS 2026'!C2264),"",'ENGAGEMENTS 2026'!G2264)</f>
        <v/>
      </c>
      <c r="E2264">
        <f>IF(ISBLANK('ENGAGEMENTS 2026'!C2264),"",'ENGAGEMENTS 2026'!I2264)</f>
        <v/>
      </c>
      <c r="F2264">
        <f>IF(ISBLANK('ENGAGEMENTS 2026'!C2264),"",'ENGAGEMENTS 2026'!J2264)</f>
        <v/>
      </c>
      <c r="G2264">
        <f>IF(ISBLANK('ENGAGEMENTS 2026'!C2264),"",'ENGAGEMENTS 2026'!M2264)</f>
        <v/>
      </c>
      <c r="H2264">
        <f>IF(ISBLANK('ENGAGEMENTS 2026'!C2264),"",'ENGAGEMENTS 2026'!AF2264)</f>
        <v/>
      </c>
      <c r="I2264">
        <f>IF(ISBLANK('ENGAGEMENTS 2026'!C2264),"",'ENGAGEMENTS 2026'!H2264)</f>
        <v/>
      </c>
      <c r="J2264" s="275">
        <f>IF(ISBLANK('ENGAGEMENTS 2026'!C2264),"",IF(AND(OR($E2264="INFRUCTUEUX",$E2264="ANNULE"),$C2264="AOO-M"),'ENGAGEMENTS 2026'!P2264,IF($H2264="EN COURS DE PREENGAGEMENT",'ENGAGEMENTS 2026'!O2264,IF($H2264="PREENGAGE",IF($E2264="ATTRIBUE",'ENGAGEMENTS 2026'!AE2264,'ENGAGEMENTS 2026'!O2264),'ENGAGEMENTS 2026'!AE2264))))</f>
        <v/>
      </c>
      <c r="K2264" s="604">
        <f>IF(ISBLANK('ENGAGEMENTS 2026'!W2264),"",'ENGAGEMENTS 2026'!W2264)</f>
        <v/>
      </c>
      <c r="L2264" s="276">
        <f>IF($K2264="","",TODAY()-$K2264)</f>
        <v/>
      </c>
      <c r="M2264">
        <f>IF($A2264="","",IF($H2264="ENGAGE","Engagé",IF(AND($H2264="NON ENGAGE",OR($I2264="INFRUCTUEUX",$I2264="ANNULE")),"Clôturé sans suite","En cours")))</f>
        <v/>
      </c>
      <c r="N2264">
        <f>IF(ISBLANK('ENGAGEMENTS 2026'!C2264),"",'ENGAGEMENTS 2026'!L2264)</f>
        <v/>
      </c>
      <c r="O2264">
        <f>IF(ISBLANK('ENGAGEMENTS 2026'!C2264),"",'ENGAGEMENTS 2026'!M2264)</f>
        <v/>
      </c>
      <c r="P2264">
        <f>IF(ISBLANK('ENGAGEMENTS 2026'!C2264),"",'ENGAGEMENTS 2026'!K2264)</f>
        <v/>
      </c>
      <c r="Q2264">
        <f>IF($A2264="","",IF(OR($E2264="INFRUCTUEUX",$E2264="ANNULE"),$A2264&amp;"|"&amp;(COUNTIFS($A$2:$A2264,$A2264,$E$2:$E2264,"INFRUCTUEUX")+COUNTIFS($A$2:$A2264,$A2264,$E$2:$E2264,"ANNULE")),""))</f>
        <v/>
      </c>
    </row>
    <row r="2265">
      <c r="A2265">
        <f>IF(ISBLANK('ENGAGEMENTS 2026'!C2265),"",IF('ENGAGEMENTS 2026'!C2265="DTSI","DCT",'ENGAGEMENTS 2026'!C2265))</f>
        <v/>
      </c>
      <c r="B2265">
        <f>IF(ISBLANK('ENGAGEMENTS 2026'!C2265),"",'ENGAGEMENTS 2026'!D2265)</f>
        <v/>
      </c>
      <c r="C2265">
        <f>IF(ISBLANK('ENGAGEMENTS 2026'!C2265),"",'ENGAGEMENTS 2026'!E2265)</f>
        <v/>
      </c>
      <c r="D2265">
        <f>IF(ISBLANK('ENGAGEMENTS 2026'!C2265),"",'ENGAGEMENTS 2026'!G2265)</f>
        <v/>
      </c>
      <c r="E2265">
        <f>IF(ISBLANK('ENGAGEMENTS 2026'!C2265),"",'ENGAGEMENTS 2026'!I2265)</f>
        <v/>
      </c>
      <c r="F2265">
        <f>IF(ISBLANK('ENGAGEMENTS 2026'!C2265),"",'ENGAGEMENTS 2026'!J2265)</f>
        <v/>
      </c>
      <c r="G2265">
        <f>IF(ISBLANK('ENGAGEMENTS 2026'!C2265),"",'ENGAGEMENTS 2026'!M2265)</f>
        <v/>
      </c>
      <c r="H2265">
        <f>IF(ISBLANK('ENGAGEMENTS 2026'!C2265),"",'ENGAGEMENTS 2026'!AF2265)</f>
        <v/>
      </c>
      <c r="I2265">
        <f>IF(ISBLANK('ENGAGEMENTS 2026'!C2265),"",'ENGAGEMENTS 2026'!H2265)</f>
        <v/>
      </c>
      <c r="J2265" s="275">
        <f>IF(ISBLANK('ENGAGEMENTS 2026'!C2265),"",IF(AND(OR($E2265="INFRUCTUEUX",$E2265="ANNULE"),$C2265="AOO-M"),'ENGAGEMENTS 2026'!P2265,IF($H2265="EN COURS DE PREENGAGEMENT",'ENGAGEMENTS 2026'!O2265,IF($H2265="PREENGAGE",IF($E2265="ATTRIBUE",'ENGAGEMENTS 2026'!AE2265,'ENGAGEMENTS 2026'!O2265),'ENGAGEMENTS 2026'!AE2265))))</f>
        <v/>
      </c>
      <c r="K2265" s="604">
        <f>IF(ISBLANK('ENGAGEMENTS 2026'!W2265),"",'ENGAGEMENTS 2026'!W2265)</f>
        <v/>
      </c>
      <c r="L2265" s="276">
        <f>IF($K2265="","",TODAY()-$K2265)</f>
        <v/>
      </c>
      <c r="M2265">
        <f>IF($A2265="","",IF($H2265="ENGAGE","Engagé",IF(AND($H2265="NON ENGAGE",OR($I2265="INFRUCTUEUX",$I2265="ANNULE")),"Clôturé sans suite","En cours")))</f>
        <v/>
      </c>
      <c r="N2265">
        <f>IF(ISBLANK('ENGAGEMENTS 2026'!C2265),"",'ENGAGEMENTS 2026'!L2265)</f>
        <v/>
      </c>
      <c r="O2265">
        <f>IF(ISBLANK('ENGAGEMENTS 2026'!C2265),"",'ENGAGEMENTS 2026'!M2265)</f>
        <v/>
      </c>
      <c r="P2265">
        <f>IF(ISBLANK('ENGAGEMENTS 2026'!C2265),"",'ENGAGEMENTS 2026'!K2265)</f>
        <v/>
      </c>
      <c r="Q2265">
        <f>IF($A2265="","",IF(OR($E2265="INFRUCTUEUX",$E2265="ANNULE"),$A2265&amp;"|"&amp;(COUNTIFS($A$2:$A2265,$A2265,$E$2:$E2265,"INFRUCTUEUX")+COUNTIFS($A$2:$A2265,$A2265,$E$2:$E2265,"ANNULE")),""))</f>
        <v/>
      </c>
    </row>
    <row r="2266">
      <c r="A2266">
        <f>IF(ISBLANK('ENGAGEMENTS 2026'!C2266),"",IF('ENGAGEMENTS 2026'!C2266="DTSI","DCT",'ENGAGEMENTS 2026'!C2266))</f>
        <v/>
      </c>
      <c r="B2266">
        <f>IF(ISBLANK('ENGAGEMENTS 2026'!C2266),"",'ENGAGEMENTS 2026'!D2266)</f>
        <v/>
      </c>
      <c r="C2266">
        <f>IF(ISBLANK('ENGAGEMENTS 2026'!C2266),"",'ENGAGEMENTS 2026'!E2266)</f>
        <v/>
      </c>
      <c r="D2266">
        <f>IF(ISBLANK('ENGAGEMENTS 2026'!C2266),"",'ENGAGEMENTS 2026'!G2266)</f>
        <v/>
      </c>
      <c r="E2266">
        <f>IF(ISBLANK('ENGAGEMENTS 2026'!C2266),"",'ENGAGEMENTS 2026'!I2266)</f>
        <v/>
      </c>
      <c r="F2266">
        <f>IF(ISBLANK('ENGAGEMENTS 2026'!C2266),"",'ENGAGEMENTS 2026'!J2266)</f>
        <v/>
      </c>
      <c r="G2266">
        <f>IF(ISBLANK('ENGAGEMENTS 2026'!C2266),"",'ENGAGEMENTS 2026'!M2266)</f>
        <v/>
      </c>
      <c r="H2266">
        <f>IF(ISBLANK('ENGAGEMENTS 2026'!C2266),"",'ENGAGEMENTS 2026'!AF2266)</f>
        <v/>
      </c>
      <c r="I2266">
        <f>IF(ISBLANK('ENGAGEMENTS 2026'!C2266),"",'ENGAGEMENTS 2026'!H2266)</f>
        <v/>
      </c>
      <c r="J2266" s="275">
        <f>IF(ISBLANK('ENGAGEMENTS 2026'!C2266),"",IF(AND(OR($E2266="INFRUCTUEUX",$E2266="ANNULE"),$C2266="AOO-M"),'ENGAGEMENTS 2026'!P2266,IF($H2266="EN COURS DE PREENGAGEMENT",'ENGAGEMENTS 2026'!O2266,IF($H2266="PREENGAGE",IF($E2266="ATTRIBUE",'ENGAGEMENTS 2026'!AE2266,'ENGAGEMENTS 2026'!O2266),'ENGAGEMENTS 2026'!AE2266))))</f>
        <v/>
      </c>
      <c r="K2266" s="604">
        <f>IF(ISBLANK('ENGAGEMENTS 2026'!W2266),"",'ENGAGEMENTS 2026'!W2266)</f>
        <v/>
      </c>
      <c r="L2266" s="276">
        <f>IF($K2266="","",TODAY()-$K2266)</f>
        <v/>
      </c>
      <c r="M2266">
        <f>IF($A2266="","",IF($H2266="ENGAGE","Engagé",IF(AND($H2266="NON ENGAGE",OR($I2266="INFRUCTUEUX",$I2266="ANNULE")),"Clôturé sans suite","En cours")))</f>
        <v/>
      </c>
      <c r="N2266">
        <f>IF(ISBLANK('ENGAGEMENTS 2026'!C2266),"",'ENGAGEMENTS 2026'!L2266)</f>
        <v/>
      </c>
      <c r="O2266">
        <f>IF(ISBLANK('ENGAGEMENTS 2026'!C2266),"",'ENGAGEMENTS 2026'!M2266)</f>
        <v/>
      </c>
      <c r="P2266">
        <f>IF(ISBLANK('ENGAGEMENTS 2026'!C2266),"",'ENGAGEMENTS 2026'!K2266)</f>
        <v/>
      </c>
      <c r="Q2266">
        <f>IF($A2266="","",IF(OR($E2266="INFRUCTUEUX",$E2266="ANNULE"),$A2266&amp;"|"&amp;(COUNTIFS($A$2:$A2266,$A2266,$E$2:$E2266,"INFRUCTUEUX")+COUNTIFS($A$2:$A2266,$A2266,$E$2:$E2266,"ANNULE")),""))</f>
        <v/>
      </c>
    </row>
    <row r="2267">
      <c r="A2267">
        <f>IF(ISBLANK('ENGAGEMENTS 2026'!C2267),"",IF('ENGAGEMENTS 2026'!C2267="DTSI","DCT",'ENGAGEMENTS 2026'!C2267))</f>
        <v/>
      </c>
      <c r="B2267">
        <f>IF(ISBLANK('ENGAGEMENTS 2026'!C2267),"",'ENGAGEMENTS 2026'!D2267)</f>
        <v/>
      </c>
      <c r="C2267">
        <f>IF(ISBLANK('ENGAGEMENTS 2026'!C2267),"",'ENGAGEMENTS 2026'!E2267)</f>
        <v/>
      </c>
      <c r="D2267">
        <f>IF(ISBLANK('ENGAGEMENTS 2026'!C2267),"",'ENGAGEMENTS 2026'!G2267)</f>
        <v/>
      </c>
      <c r="E2267">
        <f>IF(ISBLANK('ENGAGEMENTS 2026'!C2267),"",'ENGAGEMENTS 2026'!I2267)</f>
        <v/>
      </c>
      <c r="F2267">
        <f>IF(ISBLANK('ENGAGEMENTS 2026'!C2267),"",'ENGAGEMENTS 2026'!J2267)</f>
        <v/>
      </c>
      <c r="G2267">
        <f>IF(ISBLANK('ENGAGEMENTS 2026'!C2267),"",'ENGAGEMENTS 2026'!M2267)</f>
        <v/>
      </c>
      <c r="H2267">
        <f>IF(ISBLANK('ENGAGEMENTS 2026'!C2267),"",'ENGAGEMENTS 2026'!AF2267)</f>
        <v/>
      </c>
      <c r="I2267">
        <f>IF(ISBLANK('ENGAGEMENTS 2026'!C2267),"",'ENGAGEMENTS 2026'!H2267)</f>
        <v/>
      </c>
      <c r="J2267" s="275">
        <f>IF(ISBLANK('ENGAGEMENTS 2026'!C2267),"",IF(AND(OR($E2267="INFRUCTUEUX",$E2267="ANNULE"),$C2267="AOO-M"),'ENGAGEMENTS 2026'!P2267,IF($H2267="EN COURS DE PREENGAGEMENT",'ENGAGEMENTS 2026'!O2267,IF($H2267="PREENGAGE",IF($E2267="ATTRIBUE",'ENGAGEMENTS 2026'!AE2267,'ENGAGEMENTS 2026'!O2267),'ENGAGEMENTS 2026'!AE2267))))</f>
        <v/>
      </c>
      <c r="K2267" s="604">
        <f>IF(ISBLANK('ENGAGEMENTS 2026'!W2267),"",'ENGAGEMENTS 2026'!W2267)</f>
        <v/>
      </c>
      <c r="L2267" s="276">
        <f>IF($K2267="","",TODAY()-$K2267)</f>
        <v/>
      </c>
      <c r="M2267">
        <f>IF($A2267="","",IF($H2267="ENGAGE","Engagé",IF(AND($H2267="NON ENGAGE",OR($I2267="INFRUCTUEUX",$I2267="ANNULE")),"Clôturé sans suite","En cours")))</f>
        <v/>
      </c>
      <c r="N2267">
        <f>IF(ISBLANK('ENGAGEMENTS 2026'!C2267),"",'ENGAGEMENTS 2026'!L2267)</f>
        <v/>
      </c>
      <c r="O2267">
        <f>IF(ISBLANK('ENGAGEMENTS 2026'!C2267),"",'ENGAGEMENTS 2026'!M2267)</f>
        <v/>
      </c>
      <c r="P2267">
        <f>IF(ISBLANK('ENGAGEMENTS 2026'!C2267),"",'ENGAGEMENTS 2026'!K2267)</f>
        <v/>
      </c>
      <c r="Q2267">
        <f>IF($A2267="","",IF(OR($E2267="INFRUCTUEUX",$E2267="ANNULE"),$A2267&amp;"|"&amp;(COUNTIFS($A$2:$A2267,$A2267,$E$2:$E2267,"INFRUCTUEUX")+COUNTIFS($A$2:$A2267,$A2267,$E$2:$E2267,"ANNULE")),""))</f>
        <v/>
      </c>
    </row>
    <row r="2268">
      <c r="A2268">
        <f>IF(ISBLANK('ENGAGEMENTS 2026'!C2268),"",IF('ENGAGEMENTS 2026'!C2268="DTSI","DCT",'ENGAGEMENTS 2026'!C2268))</f>
        <v/>
      </c>
      <c r="B2268">
        <f>IF(ISBLANK('ENGAGEMENTS 2026'!C2268),"",'ENGAGEMENTS 2026'!D2268)</f>
        <v/>
      </c>
      <c r="C2268">
        <f>IF(ISBLANK('ENGAGEMENTS 2026'!C2268),"",'ENGAGEMENTS 2026'!E2268)</f>
        <v/>
      </c>
      <c r="D2268">
        <f>IF(ISBLANK('ENGAGEMENTS 2026'!C2268),"",'ENGAGEMENTS 2026'!G2268)</f>
        <v/>
      </c>
      <c r="E2268">
        <f>IF(ISBLANK('ENGAGEMENTS 2026'!C2268),"",'ENGAGEMENTS 2026'!I2268)</f>
        <v/>
      </c>
      <c r="F2268">
        <f>IF(ISBLANK('ENGAGEMENTS 2026'!C2268),"",'ENGAGEMENTS 2026'!J2268)</f>
        <v/>
      </c>
      <c r="G2268">
        <f>IF(ISBLANK('ENGAGEMENTS 2026'!C2268),"",'ENGAGEMENTS 2026'!M2268)</f>
        <v/>
      </c>
      <c r="H2268">
        <f>IF(ISBLANK('ENGAGEMENTS 2026'!C2268),"",'ENGAGEMENTS 2026'!AF2268)</f>
        <v/>
      </c>
      <c r="I2268">
        <f>IF(ISBLANK('ENGAGEMENTS 2026'!C2268),"",'ENGAGEMENTS 2026'!H2268)</f>
        <v/>
      </c>
      <c r="J2268" s="275">
        <f>IF(ISBLANK('ENGAGEMENTS 2026'!C2268),"",IF(AND(OR($E2268="INFRUCTUEUX",$E2268="ANNULE"),$C2268="AOO-M"),'ENGAGEMENTS 2026'!P2268,IF($H2268="EN COURS DE PREENGAGEMENT",'ENGAGEMENTS 2026'!O2268,IF($H2268="PREENGAGE",IF($E2268="ATTRIBUE",'ENGAGEMENTS 2026'!AE2268,'ENGAGEMENTS 2026'!O2268),'ENGAGEMENTS 2026'!AE2268))))</f>
        <v/>
      </c>
      <c r="K2268" s="604">
        <f>IF(ISBLANK('ENGAGEMENTS 2026'!W2268),"",'ENGAGEMENTS 2026'!W2268)</f>
        <v/>
      </c>
      <c r="L2268" s="276">
        <f>IF($K2268="","",TODAY()-$K2268)</f>
        <v/>
      </c>
      <c r="M2268">
        <f>IF($A2268="","",IF($H2268="ENGAGE","Engagé",IF(AND($H2268="NON ENGAGE",OR($I2268="INFRUCTUEUX",$I2268="ANNULE")),"Clôturé sans suite","En cours")))</f>
        <v/>
      </c>
      <c r="N2268">
        <f>IF(ISBLANK('ENGAGEMENTS 2026'!C2268),"",'ENGAGEMENTS 2026'!L2268)</f>
        <v/>
      </c>
      <c r="O2268">
        <f>IF(ISBLANK('ENGAGEMENTS 2026'!C2268),"",'ENGAGEMENTS 2026'!M2268)</f>
        <v/>
      </c>
      <c r="P2268">
        <f>IF(ISBLANK('ENGAGEMENTS 2026'!C2268),"",'ENGAGEMENTS 2026'!K2268)</f>
        <v/>
      </c>
      <c r="Q2268">
        <f>IF($A2268="","",IF(OR($E2268="INFRUCTUEUX",$E2268="ANNULE"),$A2268&amp;"|"&amp;(COUNTIFS($A$2:$A2268,$A2268,$E$2:$E2268,"INFRUCTUEUX")+COUNTIFS($A$2:$A2268,$A2268,$E$2:$E2268,"ANNULE")),""))</f>
        <v/>
      </c>
    </row>
    <row r="2269">
      <c r="A2269">
        <f>IF(ISBLANK('ENGAGEMENTS 2026'!C2269),"",IF('ENGAGEMENTS 2026'!C2269="DTSI","DCT",'ENGAGEMENTS 2026'!C2269))</f>
        <v/>
      </c>
      <c r="B2269">
        <f>IF(ISBLANK('ENGAGEMENTS 2026'!C2269),"",'ENGAGEMENTS 2026'!D2269)</f>
        <v/>
      </c>
      <c r="C2269">
        <f>IF(ISBLANK('ENGAGEMENTS 2026'!C2269),"",'ENGAGEMENTS 2026'!E2269)</f>
        <v/>
      </c>
      <c r="D2269">
        <f>IF(ISBLANK('ENGAGEMENTS 2026'!C2269),"",'ENGAGEMENTS 2026'!G2269)</f>
        <v/>
      </c>
      <c r="E2269">
        <f>IF(ISBLANK('ENGAGEMENTS 2026'!C2269),"",'ENGAGEMENTS 2026'!I2269)</f>
        <v/>
      </c>
      <c r="F2269">
        <f>IF(ISBLANK('ENGAGEMENTS 2026'!C2269),"",'ENGAGEMENTS 2026'!J2269)</f>
        <v/>
      </c>
      <c r="G2269">
        <f>IF(ISBLANK('ENGAGEMENTS 2026'!C2269),"",'ENGAGEMENTS 2026'!M2269)</f>
        <v/>
      </c>
      <c r="H2269">
        <f>IF(ISBLANK('ENGAGEMENTS 2026'!C2269),"",'ENGAGEMENTS 2026'!AF2269)</f>
        <v/>
      </c>
      <c r="I2269">
        <f>IF(ISBLANK('ENGAGEMENTS 2026'!C2269),"",'ENGAGEMENTS 2026'!H2269)</f>
        <v/>
      </c>
      <c r="J2269" s="275">
        <f>IF(ISBLANK('ENGAGEMENTS 2026'!C2269),"",IF(AND(OR($E2269="INFRUCTUEUX",$E2269="ANNULE"),$C2269="AOO-M"),'ENGAGEMENTS 2026'!P2269,IF($H2269="EN COURS DE PREENGAGEMENT",'ENGAGEMENTS 2026'!O2269,IF($H2269="PREENGAGE",IF($E2269="ATTRIBUE",'ENGAGEMENTS 2026'!AE2269,'ENGAGEMENTS 2026'!O2269),'ENGAGEMENTS 2026'!AE2269))))</f>
        <v/>
      </c>
      <c r="K2269" s="604">
        <f>IF(ISBLANK('ENGAGEMENTS 2026'!W2269),"",'ENGAGEMENTS 2026'!W2269)</f>
        <v/>
      </c>
      <c r="L2269" s="276">
        <f>IF($K2269="","",TODAY()-$K2269)</f>
        <v/>
      </c>
      <c r="M2269">
        <f>IF($A2269="","",IF($H2269="ENGAGE","Engagé",IF(AND($H2269="NON ENGAGE",OR($I2269="INFRUCTUEUX",$I2269="ANNULE")),"Clôturé sans suite","En cours")))</f>
        <v/>
      </c>
      <c r="N2269">
        <f>IF(ISBLANK('ENGAGEMENTS 2026'!C2269),"",'ENGAGEMENTS 2026'!L2269)</f>
        <v/>
      </c>
      <c r="O2269">
        <f>IF(ISBLANK('ENGAGEMENTS 2026'!C2269),"",'ENGAGEMENTS 2026'!M2269)</f>
        <v/>
      </c>
      <c r="P2269">
        <f>IF(ISBLANK('ENGAGEMENTS 2026'!C2269),"",'ENGAGEMENTS 2026'!K2269)</f>
        <v/>
      </c>
      <c r="Q2269">
        <f>IF($A2269="","",IF(OR($E2269="INFRUCTUEUX",$E2269="ANNULE"),$A2269&amp;"|"&amp;(COUNTIFS($A$2:$A2269,$A2269,$E$2:$E2269,"INFRUCTUEUX")+COUNTIFS($A$2:$A2269,$A2269,$E$2:$E2269,"ANNULE")),""))</f>
        <v/>
      </c>
    </row>
    <row r="2270">
      <c r="A2270">
        <f>IF(ISBLANK('ENGAGEMENTS 2026'!C2270),"",IF('ENGAGEMENTS 2026'!C2270="DTSI","DCT",'ENGAGEMENTS 2026'!C2270))</f>
        <v/>
      </c>
      <c r="B2270">
        <f>IF(ISBLANK('ENGAGEMENTS 2026'!C2270),"",'ENGAGEMENTS 2026'!D2270)</f>
        <v/>
      </c>
      <c r="C2270">
        <f>IF(ISBLANK('ENGAGEMENTS 2026'!C2270),"",'ENGAGEMENTS 2026'!E2270)</f>
        <v/>
      </c>
      <c r="D2270">
        <f>IF(ISBLANK('ENGAGEMENTS 2026'!C2270),"",'ENGAGEMENTS 2026'!G2270)</f>
        <v/>
      </c>
      <c r="E2270">
        <f>IF(ISBLANK('ENGAGEMENTS 2026'!C2270),"",'ENGAGEMENTS 2026'!I2270)</f>
        <v/>
      </c>
      <c r="F2270">
        <f>IF(ISBLANK('ENGAGEMENTS 2026'!C2270),"",'ENGAGEMENTS 2026'!J2270)</f>
        <v/>
      </c>
      <c r="G2270">
        <f>IF(ISBLANK('ENGAGEMENTS 2026'!C2270),"",'ENGAGEMENTS 2026'!M2270)</f>
        <v/>
      </c>
      <c r="H2270">
        <f>IF(ISBLANK('ENGAGEMENTS 2026'!C2270),"",'ENGAGEMENTS 2026'!AF2270)</f>
        <v/>
      </c>
      <c r="I2270">
        <f>IF(ISBLANK('ENGAGEMENTS 2026'!C2270),"",'ENGAGEMENTS 2026'!H2270)</f>
        <v/>
      </c>
      <c r="J2270" s="275">
        <f>IF(ISBLANK('ENGAGEMENTS 2026'!C2270),"",IF(AND(OR($E2270="INFRUCTUEUX",$E2270="ANNULE"),$C2270="AOO-M"),'ENGAGEMENTS 2026'!P2270,IF($H2270="EN COURS DE PREENGAGEMENT",'ENGAGEMENTS 2026'!O2270,IF($H2270="PREENGAGE",IF($E2270="ATTRIBUE",'ENGAGEMENTS 2026'!AE2270,'ENGAGEMENTS 2026'!O2270),'ENGAGEMENTS 2026'!AE2270))))</f>
        <v/>
      </c>
      <c r="K2270" s="604">
        <f>IF(ISBLANK('ENGAGEMENTS 2026'!W2270),"",'ENGAGEMENTS 2026'!W2270)</f>
        <v/>
      </c>
      <c r="L2270" s="276">
        <f>IF($K2270="","",TODAY()-$K2270)</f>
        <v/>
      </c>
      <c r="M2270">
        <f>IF($A2270="","",IF($H2270="ENGAGE","Engagé",IF(AND($H2270="NON ENGAGE",OR($I2270="INFRUCTUEUX",$I2270="ANNULE")),"Clôturé sans suite","En cours")))</f>
        <v/>
      </c>
      <c r="N2270">
        <f>IF(ISBLANK('ENGAGEMENTS 2026'!C2270),"",'ENGAGEMENTS 2026'!L2270)</f>
        <v/>
      </c>
      <c r="O2270">
        <f>IF(ISBLANK('ENGAGEMENTS 2026'!C2270),"",'ENGAGEMENTS 2026'!M2270)</f>
        <v/>
      </c>
      <c r="P2270">
        <f>IF(ISBLANK('ENGAGEMENTS 2026'!C2270),"",'ENGAGEMENTS 2026'!K2270)</f>
        <v/>
      </c>
      <c r="Q2270">
        <f>IF($A2270="","",IF(OR($E2270="INFRUCTUEUX",$E2270="ANNULE"),$A2270&amp;"|"&amp;(COUNTIFS($A$2:$A2270,$A2270,$E$2:$E2270,"INFRUCTUEUX")+COUNTIFS($A$2:$A2270,$A2270,$E$2:$E2270,"ANNULE")),""))</f>
        <v/>
      </c>
    </row>
    <row r="2271">
      <c r="A2271">
        <f>IF(ISBLANK('ENGAGEMENTS 2026'!C2271),"",IF('ENGAGEMENTS 2026'!C2271="DTSI","DCT",'ENGAGEMENTS 2026'!C2271))</f>
        <v/>
      </c>
      <c r="B2271">
        <f>IF(ISBLANK('ENGAGEMENTS 2026'!C2271),"",'ENGAGEMENTS 2026'!D2271)</f>
        <v/>
      </c>
      <c r="C2271">
        <f>IF(ISBLANK('ENGAGEMENTS 2026'!C2271),"",'ENGAGEMENTS 2026'!E2271)</f>
        <v/>
      </c>
      <c r="D2271">
        <f>IF(ISBLANK('ENGAGEMENTS 2026'!C2271),"",'ENGAGEMENTS 2026'!G2271)</f>
        <v/>
      </c>
      <c r="E2271">
        <f>IF(ISBLANK('ENGAGEMENTS 2026'!C2271),"",'ENGAGEMENTS 2026'!I2271)</f>
        <v/>
      </c>
      <c r="F2271">
        <f>IF(ISBLANK('ENGAGEMENTS 2026'!C2271),"",'ENGAGEMENTS 2026'!J2271)</f>
        <v/>
      </c>
      <c r="G2271">
        <f>IF(ISBLANK('ENGAGEMENTS 2026'!C2271),"",'ENGAGEMENTS 2026'!M2271)</f>
        <v/>
      </c>
      <c r="H2271">
        <f>IF(ISBLANK('ENGAGEMENTS 2026'!C2271),"",'ENGAGEMENTS 2026'!AF2271)</f>
        <v/>
      </c>
      <c r="I2271">
        <f>IF(ISBLANK('ENGAGEMENTS 2026'!C2271),"",'ENGAGEMENTS 2026'!H2271)</f>
        <v/>
      </c>
      <c r="J2271" s="275">
        <f>IF(ISBLANK('ENGAGEMENTS 2026'!C2271),"",IF(AND(OR($E2271="INFRUCTUEUX",$E2271="ANNULE"),$C2271="AOO-M"),'ENGAGEMENTS 2026'!P2271,IF($H2271="EN COURS DE PREENGAGEMENT",'ENGAGEMENTS 2026'!O2271,IF($H2271="PREENGAGE",IF($E2271="ATTRIBUE",'ENGAGEMENTS 2026'!AE2271,'ENGAGEMENTS 2026'!O2271),'ENGAGEMENTS 2026'!AE2271))))</f>
        <v/>
      </c>
      <c r="K2271" s="604">
        <f>IF(ISBLANK('ENGAGEMENTS 2026'!W2271),"",'ENGAGEMENTS 2026'!W2271)</f>
        <v/>
      </c>
      <c r="L2271" s="276">
        <f>IF($K2271="","",TODAY()-$K2271)</f>
        <v/>
      </c>
      <c r="M2271">
        <f>IF($A2271="","",IF($H2271="ENGAGE","Engagé",IF(AND($H2271="NON ENGAGE",OR($I2271="INFRUCTUEUX",$I2271="ANNULE")),"Clôturé sans suite","En cours")))</f>
        <v/>
      </c>
      <c r="N2271">
        <f>IF(ISBLANK('ENGAGEMENTS 2026'!C2271),"",'ENGAGEMENTS 2026'!L2271)</f>
        <v/>
      </c>
      <c r="O2271">
        <f>IF(ISBLANK('ENGAGEMENTS 2026'!C2271),"",'ENGAGEMENTS 2026'!M2271)</f>
        <v/>
      </c>
      <c r="P2271">
        <f>IF(ISBLANK('ENGAGEMENTS 2026'!C2271),"",'ENGAGEMENTS 2026'!K2271)</f>
        <v/>
      </c>
      <c r="Q2271">
        <f>IF($A2271="","",IF(OR($E2271="INFRUCTUEUX",$E2271="ANNULE"),$A2271&amp;"|"&amp;(COUNTIFS($A$2:$A2271,$A2271,$E$2:$E2271,"INFRUCTUEUX")+COUNTIFS($A$2:$A2271,$A2271,$E$2:$E2271,"ANNULE")),""))</f>
        <v/>
      </c>
    </row>
    <row r="2272">
      <c r="A2272">
        <f>IF(ISBLANK('ENGAGEMENTS 2026'!C2272),"",IF('ENGAGEMENTS 2026'!C2272="DTSI","DCT",'ENGAGEMENTS 2026'!C2272))</f>
        <v/>
      </c>
      <c r="B2272">
        <f>IF(ISBLANK('ENGAGEMENTS 2026'!C2272),"",'ENGAGEMENTS 2026'!D2272)</f>
        <v/>
      </c>
      <c r="C2272">
        <f>IF(ISBLANK('ENGAGEMENTS 2026'!C2272),"",'ENGAGEMENTS 2026'!E2272)</f>
        <v/>
      </c>
      <c r="D2272">
        <f>IF(ISBLANK('ENGAGEMENTS 2026'!C2272),"",'ENGAGEMENTS 2026'!G2272)</f>
        <v/>
      </c>
      <c r="E2272">
        <f>IF(ISBLANK('ENGAGEMENTS 2026'!C2272),"",'ENGAGEMENTS 2026'!I2272)</f>
        <v/>
      </c>
      <c r="F2272">
        <f>IF(ISBLANK('ENGAGEMENTS 2026'!C2272),"",'ENGAGEMENTS 2026'!J2272)</f>
        <v/>
      </c>
      <c r="G2272">
        <f>IF(ISBLANK('ENGAGEMENTS 2026'!C2272),"",'ENGAGEMENTS 2026'!M2272)</f>
        <v/>
      </c>
      <c r="H2272">
        <f>IF(ISBLANK('ENGAGEMENTS 2026'!C2272),"",'ENGAGEMENTS 2026'!AF2272)</f>
        <v/>
      </c>
      <c r="I2272">
        <f>IF(ISBLANK('ENGAGEMENTS 2026'!C2272),"",'ENGAGEMENTS 2026'!H2272)</f>
        <v/>
      </c>
      <c r="J2272" s="275">
        <f>IF(ISBLANK('ENGAGEMENTS 2026'!C2272),"",IF(AND(OR($E2272="INFRUCTUEUX",$E2272="ANNULE"),$C2272="AOO-M"),'ENGAGEMENTS 2026'!P2272,IF($H2272="EN COURS DE PREENGAGEMENT",'ENGAGEMENTS 2026'!O2272,IF($H2272="PREENGAGE",IF($E2272="ATTRIBUE",'ENGAGEMENTS 2026'!AE2272,'ENGAGEMENTS 2026'!O2272),'ENGAGEMENTS 2026'!AE2272))))</f>
        <v/>
      </c>
      <c r="K2272" s="604">
        <f>IF(ISBLANK('ENGAGEMENTS 2026'!W2272),"",'ENGAGEMENTS 2026'!W2272)</f>
        <v/>
      </c>
      <c r="L2272" s="276">
        <f>IF($K2272="","",TODAY()-$K2272)</f>
        <v/>
      </c>
      <c r="M2272">
        <f>IF($A2272="","",IF($H2272="ENGAGE","Engagé",IF(AND($H2272="NON ENGAGE",OR($I2272="INFRUCTUEUX",$I2272="ANNULE")),"Clôturé sans suite","En cours")))</f>
        <v/>
      </c>
      <c r="N2272">
        <f>IF(ISBLANK('ENGAGEMENTS 2026'!C2272),"",'ENGAGEMENTS 2026'!L2272)</f>
        <v/>
      </c>
      <c r="O2272">
        <f>IF(ISBLANK('ENGAGEMENTS 2026'!C2272),"",'ENGAGEMENTS 2026'!M2272)</f>
        <v/>
      </c>
      <c r="P2272">
        <f>IF(ISBLANK('ENGAGEMENTS 2026'!C2272),"",'ENGAGEMENTS 2026'!K2272)</f>
        <v/>
      </c>
      <c r="Q2272">
        <f>IF($A2272="","",IF(OR($E2272="INFRUCTUEUX",$E2272="ANNULE"),$A2272&amp;"|"&amp;(COUNTIFS($A$2:$A2272,$A2272,$E$2:$E2272,"INFRUCTUEUX")+COUNTIFS($A$2:$A2272,$A2272,$E$2:$E2272,"ANNULE")),""))</f>
        <v/>
      </c>
    </row>
    <row r="2273">
      <c r="A2273">
        <f>IF(ISBLANK('ENGAGEMENTS 2026'!C2273),"",IF('ENGAGEMENTS 2026'!C2273="DTSI","DCT",'ENGAGEMENTS 2026'!C2273))</f>
        <v/>
      </c>
      <c r="B2273">
        <f>IF(ISBLANK('ENGAGEMENTS 2026'!C2273),"",'ENGAGEMENTS 2026'!D2273)</f>
        <v/>
      </c>
      <c r="C2273">
        <f>IF(ISBLANK('ENGAGEMENTS 2026'!C2273),"",'ENGAGEMENTS 2026'!E2273)</f>
        <v/>
      </c>
      <c r="D2273">
        <f>IF(ISBLANK('ENGAGEMENTS 2026'!C2273),"",'ENGAGEMENTS 2026'!G2273)</f>
        <v/>
      </c>
      <c r="E2273">
        <f>IF(ISBLANK('ENGAGEMENTS 2026'!C2273),"",'ENGAGEMENTS 2026'!I2273)</f>
        <v/>
      </c>
      <c r="F2273">
        <f>IF(ISBLANK('ENGAGEMENTS 2026'!C2273),"",'ENGAGEMENTS 2026'!J2273)</f>
        <v/>
      </c>
      <c r="G2273">
        <f>IF(ISBLANK('ENGAGEMENTS 2026'!C2273),"",'ENGAGEMENTS 2026'!M2273)</f>
        <v/>
      </c>
      <c r="H2273">
        <f>IF(ISBLANK('ENGAGEMENTS 2026'!C2273),"",'ENGAGEMENTS 2026'!AF2273)</f>
        <v/>
      </c>
      <c r="I2273">
        <f>IF(ISBLANK('ENGAGEMENTS 2026'!C2273),"",'ENGAGEMENTS 2026'!H2273)</f>
        <v/>
      </c>
      <c r="J2273" s="275">
        <f>IF(ISBLANK('ENGAGEMENTS 2026'!C2273),"",IF(AND(OR($E2273="INFRUCTUEUX",$E2273="ANNULE"),$C2273="AOO-M"),'ENGAGEMENTS 2026'!P2273,IF($H2273="EN COURS DE PREENGAGEMENT",'ENGAGEMENTS 2026'!O2273,IF($H2273="PREENGAGE",IF($E2273="ATTRIBUE",'ENGAGEMENTS 2026'!AE2273,'ENGAGEMENTS 2026'!O2273),'ENGAGEMENTS 2026'!AE2273))))</f>
        <v/>
      </c>
      <c r="K2273" s="604">
        <f>IF(ISBLANK('ENGAGEMENTS 2026'!W2273),"",'ENGAGEMENTS 2026'!W2273)</f>
        <v/>
      </c>
      <c r="L2273" s="276">
        <f>IF($K2273="","",TODAY()-$K2273)</f>
        <v/>
      </c>
      <c r="M2273">
        <f>IF($A2273="","",IF($H2273="ENGAGE","Engagé",IF(AND($H2273="NON ENGAGE",OR($I2273="INFRUCTUEUX",$I2273="ANNULE")),"Clôturé sans suite","En cours")))</f>
        <v/>
      </c>
      <c r="N2273">
        <f>IF(ISBLANK('ENGAGEMENTS 2026'!C2273),"",'ENGAGEMENTS 2026'!L2273)</f>
        <v/>
      </c>
      <c r="O2273">
        <f>IF(ISBLANK('ENGAGEMENTS 2026'!C2273),"",'ENGAGEMENTS 2026'!M2273)</f>
        <v/>
      </c>
      <c r="P2273">
        <f>IF(ISBLANK('ENGAGEMENTS 2026'!C2273),"",'ENGAGEMENTS 2026'!K2273)</f>
        <v/>
      </c>
      <c r="Q2273">
        <f>IF($A2273="","",IF(OR($E2273="INFRUCTUEUX",$E2273="ANNULE"),$A2273&amp;"|"&amp;(COUNTIFS($A$2:$A2273,$A2273,$E$2:$E2273,"INFRUCTUEUX")+COUNTIFS($A$2:$A2273,$A2273,$E$2:$E2273,"ANNULE")),""))</f>
        <v/>
      </c>
    </row>
    <row r="2274">
      <c r="A2274">
        <f>IF(ISBLANK('ENGAGEMENTS 2026'!C2274),"",IF('ENGAGEMENTS 2026'!C2274="DTSI","DCT",'ENGAGEMENTS 2026'!C2274))</f>
        <v/>
      </c>
      <c r="B2274">
        <f>IF(ISBLANK('ENGAGEMENTS 2026'!C2274),"",'ENGAGEMENTS 2026'!D2274)</f>
        <v/>
      </c>
      <c r="C2274">
        <f>IF(ISBLANK('ENGAGEMENTS 2026'!C2274),"",'ENGAGEMENTS 2026'!E2274)</f>
        <v/>
      </c>
      <c r="D2274">
        <f>IF(ISBLANK('ENGAGEMENTS 2026'!C2274),"",'ENGAGEMENTS 2026'!G2274)</f>
        <v/>
      </c>
      <c r="E2274">
        <f>IF(ISBLANK('ENGAGEMENTS 2026'!C2274),"",'ENGAGEMENTS 2026'!I2274)</f>
        <v/>
      </c>
      <c r="F2274">
        <f>IF(ISBLANK('ENGAGEMENTS 2026'!C2274),"",'ENGAGEMENTS 2026'!J2274)</f>
        <v/>
      </c>
      <c r="G2274">
        <f>IF(ISBLANK('ENGAGEMENTS 2026'!C2274),"",'ENGAGEMENTS 2026'!M2274)</f>
        <v/>
      </c>
      <c r="H2274">
        <f>IF(ISBLANK('ENGAGEMENTS 2026'!C2274),"",'ENGAGEMENTS 2026'!AF2274)</f>
        <v/>
      </c>
      <c r="I2274">
        <f>IF(ISBLANK('ENGAGEMENTS 2026'!C2274),"",'ENGAGEMENTS 2026'!H2274)</f>
        <v/>
      </c>
      <c r="J2274" s="275">
        <f>IF(ISBLANK('ENGAGEMENTS 2026'!C2274),"",IF(AND(OR($E2274="INFRUCTUEUX",$E2274="ANNULE"),$C2274="AOO-M"),'ENGAGEMENTS 2026'!P2274,IF($H2274="EN COURS DE PREENGAGEMENT",'ENGAGEMENTS 2026'!O2274,IF($H2274="PREENGAGE",IF($E2274="ATTRIBUE",'ENGAGEMENTS 2026'!AE2274,'ENGAGEMENTS 2026'!O2274),'ENGAGEMENTS 2026'!AE2274))))</f>
        <v/>
      </c>
      <c r="K2274" s="604">
        <f>IF(ISBLANK('ENGAGEMENTS 2026'!W2274),"",'ENGAGEMENTS 2026'!W2274)</f>
        <v/>
      </c>
      <c r="L2274" s="276">
        <f>IF($K2274="","",TODAY()-$K2274)</f>
        <v/>
      </c>
      <c r="M2274">
        <f>IF($A2274="","",IF($H2274="ENGAGE","Engagé",IF(AND($H2274="NON ENGAGE",OR($I2274="INFRUCTUEUX",$I2274="ANNULE")),"Clôturé sans suite","En cours")))</f>
        <v/>
      </c>
      <c r="N2274">
        <f>IF(ISBLANK('ENGAGEMENTS 2026'!C2274),"",'ENGAGEMENTS 2026'!L2274)</f>
        <v/>
      </c>
      <c r="O2274">
        <f>IF(ISBLANK('ENGAGEMENTS 2026'!C2274),"",'ENGAGEMENTS 2026'!M2274)</f>
        <v/>
      </c>
      <c r="P2274">
        <f>IF(ISBLANK('ENGAGEMENTS 2026'!C2274),"",'ENGAGEMENTS 2026'!K2274)</f>
        <v/>
      </c>
      <c r="Q2274">
        <f>IF($A2274="","",IF(OR($E2274="INFRUCTUEUX",$E2274="ANNULE"),$A2274&amp;"|"&amp;(COUNTIFS($A$2:$A2274,$A2274,$E$2:$E2274,"INFRUCTUEUX")+COUNTIFS($A$2:$A2274,$A2274,$E$2:$E2274,"ANNULE")),""))</f>
        <v/>
      </c>
    </row>
    <row r="2275">
      <c r="A2275">
        <f>IF(ISBLANK('ENGAGEMENTS 2026'!C2275),"",IF('ENGAGEMENTS 2026'!C2275="DTSI","DCT",'ENGAGEMENTS 2026'!C2275))</f>
        <v/>
      </c>
      <c r="B2275">
        <f>IF(ISBLANK('ENGAGEMENTS 2026'!C2275),"",'ENGAGEMENTS 2026'!D2275)</f>
        <v/>
      </c>
      <c r="C2275">
        <f>IF(ISBLANK('ENGAGEMENTS 2026'!C2275),"",'ENGAGEMENTS 2026'!E2275)</f>
        <v/>
      </c>
      <c r="D2275">
        <f>IF(ISBLANK('ENGAGEMENTS 2026'!C2275),"",'ENGAGEMENTS 2026'!G2275)</f>
        <v/>
      </c>
      <c r="E2275">
        <f>IF(ISBLANK('ENGAGEMENTS 2026'!C2275),"",'ENGAGEMENTS 2026'!I2275)</f>
        <v/>
      </c>
      <c r="F2275">
        <f>IF(ISBLANK('ENGAGEMENTS 2026'!C2275),"",'ENGAGEMENTS 2026'!J2275)</f>
        <v/>
      </c>
      <c r="G2275">
        <f>IF(ISBLANK('ENGAGEMENTS 2026'!C2275),"",'ENGAGEMENTS 2026'!M2275)</f>
        <v/>
      </c>
      <c r="H2275">
        <f>IF(ISBLANK('ENGAGEMENTS 2026'!C2275),"",'ENGAGEMENTS 2026'!AF2275)</f>
        <v/>
      </c>
      <c r="I2275">
        <f>IF(ISBLANK('ENGAGEMENTS 2026'!C2275),"",'ENGAGEMENTS 2026'!H2275)</f>
        <v/>
      </c>
      <c r="J2275" s="275">
        <f>IF(ISBLANK('ENGAGEMENTS 2026'!C2275),"",IF(AND(OR($E2275="INFRUCTUEUX",$E2275="ANNULE"),$C2275="AOO-M"),'ENGAGEMENTS 2026'!P2275,IF($H2275="EN COURS DE PREENGAGEMENT",'ENGAGEMENTS 2026'!O2275,IF($H2275="PREENGAGE",IF($E2275="ATTRIBUE",'ENGAGEMENTS 2026'!AE2275,'ENGAGEMENTS 2026'!O2275),'ENGAGEMENTS 2026'!AE2275))))</f>
        <v/>
      </c>
      <c r="K2275" s="604">
        <f>IF(ISBLANK('ENGAGEMENTS 2026'!W2275),"",'ENGAGEMENTS 2026'!W2275)</f>
        <v/>
      </c>
      <c r="L2275" s="276">
        <f>IF($K2275="","",TODAY()-$K2275)</f>
        <v/>
      </c>
      <c r="M2275">
        <f>IF($A2275="","",IF($H2275="ENGAGE","Engagé",IF(AND($H2275="NON ENGAGE",OR($I2275="INFRUCTUEUX",$I2275="ANNULE")),"Clôturé sans suite","En cours")))</f>
        <v/>
      </c>
      <c r="N2275">
        <f>IF(ISBLANK('ENGAGEMENTS 2026'!C2275),"",'ENGAGEMENTS 2026'!L2275)</f>
        <v/>
      </c>
      <c r="O2275">
        <f>IF(ISBLANK('ENGAGEMENTS 2026'!C2275),"",'ENGAGEMENTS 2026'!M2275)</f>
        <v/>
      </c>
      <c r="P2275">
        <f>IF(ISBLANK('ENGAGEMENTS 2026'!C2275),"",'ENGAGEMENTS 2026'!K2275)</f>
        <v/>
      </c>
      <c r="Q2275">
        <f>IF($A2275="","",IF(OR($E2275="INFRUCTUEUX",$E2275="ANNULE"),$A2275&amp;"|"&amp;(COUNTIFS($A$2:$A2275,$A2275,$E$2:$E2275,"INFRUCTUEUX")+COUNTIFS($A$2:$A2275,$A2275,$E$2:$E2275,"ANNULE")),""))</f>
        <v/>
      </c>
    </row>
    <row r="2276">
      <c r="A2276">
        <f>IF(ISBLANK('ENGAGEMENTS 2026'!C2276),"",IF('ENGAGEMENTS 2026'!C2276="DTSI","DCT",'ENGAGEMENTS 2026'!C2276))</f>
        <v/>
      </c>
      <c r="B2276">
        <f>IF(ISBLANK('ENGAGEMENTS 2026'!C2276),"",'ENGAGEMENTS 2026'!D2276)</f>
        <v/>
      </c>
      <c r="C2276">
        <f>IF(ISBLANK('ENGAGEMENTS 2026'!C2276),"",'ENGAGEMENTS 2026'!E2276)</f>
        <v/>
      </c>
      <c r="D2276">
        <f>IF(ISBLANK('ENGAGEMENTS 2026'!C2276),"",'ENGAGEMENTS 2026'!G2276)</f>
        <v/>
      </c>
      <c r="E2276">
        <f>IF(ISBLANK('ENGAGEMENTS 2026'!C2276),"",'ENGAGEMENTS 2026'!I2276)</f>
        <v/>
      </c>
      <c r="F2276">
        <f>IF(ISBLANK('ENGAGEMENTS 2026'!C2276),"",'ENGAGEMENTS 2026'!J2276)</f>
        <v/>
      </c>
      <c r="G2276">
        <f>IF(ISBLANK('ENGAGEMENTS 2026'!C2276),"",'ENGAGEMENTS 2026'!M2276)</f>
        <v/>
      </c>
      <c r="H2276">
        <f>IF(ISBLANK('ENGAGEMENTS 2026'!C2276),"",'ENGAGEMENTS 2026'!AF2276)</f>
        <v/>
      </c>
      <c r="I2276">
        <f>IF(ISBLANK('ENGAGEMENTS 2026'!C2276),"",'ENGAGEMENTS 2026'!H2276)</f>
        <v/>
      </c>
      <c r="J2276" s="275">
        <f>IF(ISBLANK('ENGAGEMENTS 2026'!C2276),"",IF(AND(OR($E2276="INFRUCTUEUX",$E2276="ANNULE"),$C2276="AOO-M"),'ENGAGEMENTS 2026'!P2276,IF($H2276="EN COURS DE PREENGAGEMENT",'ENGAGEMENTS 2026'!O2276,IF($H2276="PREENGAGE",IF($E2276="ATTRIBUE",'ENGAGEMENTS 2026'!AE2276,'ENGAGEMENTS 2026'!O2276),'ENGAGEMENTS 2026'!AE2276))))</f>
        <v/>
      </c>
      <c r="K2276" s="604">
        <f>IF(ISBLANK('ENGAGEMENTS 2026'!W2276),"",'ENGAGEMENTS 2026'!W2276)</f>
        <v/>
      </c>
      <c r="L2276" s="276">
        <f>IF($K2276="","",TODAY()-$K2276)</f>
        <v/>
      </c>
      <c r="M2276">
        <f>IF($A2276="","",IF($H2276="ENGAGE","Engagé",IF(AND($H2276="NON ENGAGE",OR($I2276="INFRUCTUEUX",$I2276="ANNULE")),"Clôturé sans suite","En cours")))</f>
        <v/>
      </c>
      <c r="N2276">
        <f>IF(ISBLANK('ENGAGEMENTS 2026'!C2276),"",'ENGAGEMENTS 2026'!L2276)</f>
        <v/>
      </c>
      <c r="O2276">
        <f>IF(ISBLANK('ENGAGEMENTS 2026'!C2276),"",'ENGAGEMENTS 2026'!M2276)</f>
        <v/>
      </c>
      <c r="P2276">
        <f>IF(ISBLANK('ENGAGEMENTS 2026'!C2276),"",'ENGAGEMENTS 2026'!K2276)</f>
        <v/>
      </c>
      <c r="Q2276">
        <f>IF($A2276="","",IF(OR($E2276="INFRUCTUEUX",$E2276="ANNULE"),$A2276&amp;"|"&amp;(COUNTIFS($A$2:$A2276,$A2276,$E$2:$E2276,"INFRUCTUEUX")+COUNTIFS($A$2:$A2276,$A2276,$E$2:$E2276,"ANNULE")),""))</f>
        <v/>
      </c>
    </row>
    <row r="2277">
      <c r="A2277">
        <f>IF(ISBLANK('ENGAGEMENTS 2026'!C2277),"",IF('ENGAGEMENTS 2026'!C2277="DTSI","DCT",'ENGAGEMENTS 2026'!C2277))</f>
        <v/>
      </c>
      <c r="B2277">
        <f>IF(ISBLANK('ENGAGEMENTS 2026'!C2277),"",'ENGAGEMENTS 2026'!D2277)</f>
        <v/>
      </c>
      <c r="C2277">
        <f>IF(ISBLANK('ENGAGEMENTS 2026'!C2277),"",'ENGAGEMENTS 2026'!E2277)</f>
        <v/>
      </c>
      <c r="D2277">
        <f>IF(ISBLANK('ENGAGEMENTS 2026'!C2277),"",'ENGAGEMENTS 2026'!G2277)</f>
        <v/>
      </c>
      <c r="E2277">
        <f>IF(ISBLANK('ENGAGEMENTS 2026'!C2277),"",'ENGAGEMENTS 2026'!I2277)</f>
        <v/>
      </c>
      <c r="F2277">
        <f>IF(ISBLANK('ENGAGEMENTS 2026'!C2277),"",'ENGAGEMENTS 2026'!J2277)</f>
        <v/>
      </c>
      <c r="G2277">
        <f>IF(ISBLANK('ENGAGEMENTS 2026'!C2277),"",'ENGAGEMENTS 2026'!M2277)</f>
        <v/>
      </c>
      <c r="H2277">
        <f>IF(ISBLANK('ENGAGEMENTS 2026'!C2277),"",'ENGAGEMENTS 2026'!AF2277)</f>
        <v/>
      </c>
      <c r="I2277">
        <f>IF(ISBLANK('ENGAGEMENTS 2026'!C2277),"",'ENGAGEMENTS 2026'!H2277)</f>
        <v/>
      </c>
      <c r="J2277" s="275">
        <f>IF(ISBLANK('ENGAGEMENTS 2026'!C2277),"",IF(AND(OR($E2277="INFRUCTUEUX",$E2277="ANNULE"),$C2277="AOO-M"),'ENGAGEMENTS 2026'!P2277,IF($H2277="EN COURS DE PREENGAGEMENT",'ENGAGEMENTS 2026'!O2277,IF($H2277="PREENGAGE",IF($E2277="ATTRIBUE",'ENGAGEMENTS 2026'!AE2277,'ENGAGEMENTS 2026'!O2277),'ENGAGEMENTS 2026'!AE2277))))</f>
        <v/>
      </c>
      <c r="K2277" s="604">
        <f>IF(ISBLANK('ENGAGEMENTS 2026'!W2277),"",'ENGAGEMENTS 2026'!W2277)</f>
        <v/>
      </c>
      <c r="L2277" s="276">
        <f>IF($K2277="","",TODAY()-$K2277)</f>
        <v/>
      </c>
      <c r="M2277">
        <f>IF($A2277="","",IF($H2277="ENGAGE","Engagé",IF(AND($H2277="NON ENGAGE",OR($I2277="INFRUCTUEUX",$I2277="ANNULE")),"Clôturé sans suite","En cours")))</f>
        <v/>
      </c>
      <c r="N2277">
        <f>IF(ISBLANK('ENGAGEMENTS 2026'!C2277),"",'ENGAGEMENTS 2026'!L2277)</f>
        <v/>
      </c>
      <c r="O2277">
        <f>IF(ISBLANK('ENGAGEMENTS 2026'!C2277),"",'ENGAGEMENTS 2026'!M2277)</f>
        <v/>
      </c>
      <c r="P2277">
        <f>IF(ISBLANK('ENGAGEMENTS 2026'!C2277),"",'ENGAGEMENTS 2026'!K2277)</f>
        <v/>
      </c>
      <c r="Q2277">
        <f>IF($A2277="","",IF(OR($E2277="INFRUCTUEUX",$E2277="ANNULE"),$A2277&amp;"|"&amp;(COUNTIFS($A$2:$A2277,$A2277,$E$2:$E2277,"INFRUCTUEUX")+COUNTIFS($A$2:$A2277,$A2277,$E$2:$E2277,"ANNULE")),""))</f>
        <v/>
      </c>
    </row>
    <row r="2278">
      <c r="A2278">
        <f>IF(ISBLANK('ENGAGEMENTS 2026'!C2278),"",IF('ENGAGEMENTS 2026'!C2278="DTSI","DCT",'ENGAGEMENTS 2026'!C2278))</f>
        <v/>
      </c>
      <c r="B2278">
        <f>IF(ISBLANK('ENGAGEMENTS 2026'!C2278),"",'ENGAGEMENTS 2026'!D2278)</f>
        <v/>
      </c>
      <c r="C2278">
        <f>IF(ISBLANK('ENGAGEMENTS 2026'!C2278),"",'ENGAGEMENTS 2026'!E2278)</f>
        <v/>
      </c>
      <c r="D2278">
        <f>IF(ISBLANK('ENGAGEMENTS 2026'!C2278),"",'ENGAGEMENTS 2026'!G2278)</f>
        <v/>
      </c>
      <c r="E2278">
        <f>IF(ISBLANK('ENGAGEMENTS 2026'!C2278),"",'ENGAGEMENTS 2026'!I2278)</f>
        <v/>
      </c>
      <c r="F2278">
        <f>IF(ISBLANK('ENGAGEMENTS 2026'!C2278),"",'ENGAGEMENTS 2026'!J2278)</f>
        <v/>
      </c>
      <c r="G2278">
        <f>IF(ISBLANK('ENGAGEMENTS 2026'!C2278),"",'ENGAGEMENTS 2026'!M2278)</f>
        <v/>
      </c>
      <c r="H2278">
        <f>IF(ISBLANK('ENGAGEMENTS 2026'!C2278),"",'ENGAGEMENTS 2026'!AF2278)</f>
        <v/>
      </c>
      <c r="I2278">
        <f>IF(ISBLANK('ENGAGEMENTS 2026'!C2278),"",'ENGAGEMENTS 2026'!H2278)</f>
        <v/>
      </c>
      <c r="J2278" s="275">
        <f>IF(ISBLANK('ENGAGEMENTS 2026'!C2278),"",IF(AND(OR($E2278="INFRUCTUEUX",$E2278="ANNULE"),$C2278="AOO-M"),'ENGAGEMENTS 2026'!P2278,IF($H2278="EN COURS DE PREENGAGEMENT",'ENGAGEMENTS 2026'!O2278,IF($H2278="PREENGAGE",IF($E2278="ATTRIBUE",'ENGAGEMENTS 2026'!AE2278,'ENGAGEMENTS 2026'!O2278),'ENGAGEMENTS 2026'!AE2278))))</f>
        <v/>
      </c>
      <c r="K2278" s="604">
        <f>IF(ISBLANK('ENGAGEMENTS 2026'!W2278),"",'ENGAGEMENTS 2026'!W2278)</f>
        <v/>
      </c>
      <c r="L2278" s="276">
        <f>IF($K2278="","",TODAY()-$K2278)</f>
        <v/>
      </c>
      <c r="M2278">
        <f>IF($A2278="","",IF($H2278="ENGAGE","Engagé",IF(AND($H2278="NON ENGAGE",OR($I2278="INFRUCTUEUX",$I2278="ANNULE")),"Clôturé sans suite","En cours")))</f>
        <v/>
      </c>
      <c r="N2278">
        <f>IF(ISBLANK('ENGAGEMENTS 2026'!C2278),"",'ENGAGEMENTS 2026'!L2278)</f>
        <v/>
      </c>
      <c r="O2278">
        <f>IF(ISBLANK('ENGAGEMENTS 2026'!C2278),"",'ENGAGEMENTS 2026'!M2278)</f>
        <v/>
      </c>
      <c r="P2278">
        <f>IF(ISBLANK('ENGAGEMENTS 2026'!C2278),"",'ENGAGEMENTS 2026'!K2278)</f>
        <v/>
      </c>
      <c r="Q2278">
        <f>IF($A2278="","",IF(OR($E2278="INFRUCTUEUX",$E2278="ANNULE"),$A2278&amp;"|"&amp;(COUNTIFS($A$2:$A2278,$A2278,$E$2:$E2278,"INFRUCTUEUX")+COUNTIFS($A$2:$A2278,$A2278,$E$2:$E2278,"ANNULE")),""))</f>
        <v/>
      </c>
    </row>
    <row r="2279">
      <c r="A2279">
        <f>IF(ISBLANK('ENGAGEMENTS 2026'!C2279),"",IF('ENGAGEMENTS 2026'!C2279="DTSI","DCT",'ENGAGEMENTS 2026'!C2279))</f>
        <v/>
      </c>
      <c r="B2279">
        <f>IF(ISBLANK('ENGAGEMENTS 2026'!C2279),"",'ENGAGEMENTS 2026'!D2279)</f>
        <v/>
      </c>
      <c r="C2279">
        <f>IF(ISBLANK('ENGAGEMENTS 2026'!C2279),"",'ENGAGEMENTS 2026'!E2279)</f>
        <v/>
      </c>
      <c r="D2279">
        <f>IF(ISBLANK('ENGAGEMENTS 2026'!C2279),"",'ENGAGEMENTS 2026'!G2279)</f>
        <v/>
      </c>
      <c r="E2279">
        <f>IF(ISBLANK('ENGAGEMENTS 2026'!C2279),"",'ENGAGEMENTS 2026'!I2279)</f>
        <v/>
      </c>
      <c r="F2279">
        <f>IF(ISBLANK('ENGAGEMENTS 2026'!C2279),"",'ENGAGEMENTS 2026'!J2279)</f>
        <v/>
      </c>
      <c r="G2279">
        <f>IF(ISBLANK('ENGAGEMENTS 2026'!C2279),"",'ENGAGEMENTS 2026'!M2279)</f>
        <v/>
      </c>
      <c r="H2279">
        <f>IF(ISBLANK('ENGAGEMENTS 2026'!C2279),"",'ENGAGEMENTS 2026'!AF2279)</f>
        <v/>
      </c>
      <c r="I2279">
        <f>IF(ISBLANK('ENGAGEMENTS 2026'!C2279),"",'ENGAGEMENTS 2026'!H2279)</f>
        <v/>
      </c>
      <c r="J2279" s="275">
        <f>IF(ISBLANK('ENGAGEMENTS 2026'!C2279),"",IF(AND(OR($E2279="INFRUCTUEUX",$E2279="ANNULE"),$C2279="AOO-M"),'ENGAGEMENTS 2026'!P2279,IF($H2279="EN COURS DE PREENGAGEMENT",'ENGAGEMENTS 2026'!O2279,IF($H2279="PREENGAGE",IF($E2279="ATTRIBUE",'ENGAGEMENTS 2026'!AE2279,'ENGAGEMENTS 2026'!O2279),'ENGAGEMENTS 2026'!AE2279))))</f>
        <v/>
      </c>
      <c r="K2279" s="604">
        <f>IF(ISBLANK('ENGAGEMENTS 2026'!W2279),"",'ENGAGEMENTS 2026'!W2279)</f>
        <v/>
      </c>
      <c r="L2279" s="276">
        <f>IF($K2279="","",TODAY()-$K2279)</f>
        <v/>
      </c>
      <c r="M2279">
        <f>IF($A2279="","",IF($H2279="ENGAGE","Engagé",IF(AND($H2279="NON ENGAGE",OR($I2279="INFRUCTUEUX",$I2279="ANNULE")),"Clôturé sans suite","En cours")))</f>
        <v/>
      </c>
      <c r="N2279">
        <f>IF(ISBLANK('ENGAGEMENTS 2026'!C2279),"",'ENGAGEMENTS 2026'!L2279)</f>
        <v/>
      </c>
      <c r="O2279">
        <f>IF(ISBLANK('ENGAGEMENTS 2026'!C2279),"",'ENGAGEMENTS 2026'!M2279)</f>
        <v/>
      </c>
      <c r="P2279">
        <f>IF(ISBLANK('ENGAGEMENTS 2026'!C2279),"",'ENGAGEMENTS 2026'!K2279)</f>
        <v/>
      </c>
      <c r="Q2279">
        <f>IF($A2279="","",IF(OR($E2279="INFRUCTUEUX",$E2279="ANNULE"),$A2279&amp;"|"&amp;(COUNTIFS($A$2:$A2279,$A2279,$E$2:$E2279,"INFRUCTUEUX")+COUNTIFS($A$2:$A2279,$A2279,$E$2:$E2279,"ANNULE")),""))</f>
        <v/>
      </c>
    </row>
    <row r="2280">
      <c r="A2280">
        <f>IF(ISBLANK('ENGAGEMENTS 2026'!C2280),"",IF('ENGAGEMENTS 2026'!C2280="DTSI","DCT",'ENGAGEMENTS 2026'!C2280))</f>
        <v/>
      </c>
      <c r="B2280">
        <f>IF(ISBLANK('ENGAGEMENTS 2026'!C2280),"",'ENGAGEMENTS 2026'!D2280)</f>
        <v/>
      </c>
      <c r="C2280">
        <f>IF(ISBLANK('ENGAGEMENTS 2026'!C2280),"",'ENGAGEMENTS 2026'!E2280)</f>
        <v/>
      </c>
      <c r="D2280">
        <f>IF(ISBLANK('ENGAGEMENTS 2026'!C2280),"",'ENGAGEMENTS 2026'!G2280)</f>
        <v/>
      </c>
      <c r="E2280">
        <f>IF(ISBLANK('ENGAGEMENTS 2026'!C2280),"",'ENGAGEMENTS 2026'!I2280)</f>
        <v/>
      </c>
      <c r="F2280">
        <f>IF(ISBLANK('ENGAGEMENTS 2026'!C2280),"",'ENGAGEMENTS 2026'!J2280)</f>
        <v/>
      </c>
      <c r="G2280">
        <f>IF(ISBLANK('ENGAGEMENTS 2026'!C2280),"",'ENGAGEMENTS 2026'!M2280)</f>
        <v/>
      </c>
      <c r="H2280">
        <f>IF(ISBLANK('ENGAGEMENTS 2026'!C2280),"",'ENGAGEMENTS 2026'!AF2280)</f>
        <v/>
      </c>
      <c r="I2280">
        <f>IF(ISBLANK('ENGAGEMENTS 2026'!C2280),"",'ENGAGEMENTS 2026'!H2280)</f>
        <v/>
      </c>
      <c r="J2280" s="275">
        <f>IF(ISBLANK('ENGAGEMENTS 2026'!C2280),"",IF(AND(OR($E2280="INFRUCTUEUX",$E2280="ANNULE"),$C2280="AOO-M"),'ENGAGEMENTS 2026'!P2280,IF($H2280="EN COURS DE PREENGAGEMENT",'ENGAGEMENTS 2026'!O2280,IF($H2280="PREENGAGE",IF($E2280="ATTRIBUE",'ENGAGEMENTS 2026'!AE2280,'ENGAGEMENTS 2026'!O2280),'ENGAGEMENTS 2026'!AE2280))))</f>
        <v/>
      </c>
      <c r="K2280" s="604">
        <f>IF(ISBLANK('ENGAGEMENTS 2026'!W2280),"",'ENGAGEMENTS 2026'!W2280)</f>
        <v/>
      </c>
      <c r="L2280" s="276">
        <f>IF($K2280="","",TODAY()-$K2280)</f>
        <v/>
      </c>
      <c r="M2280">
        <f>IF($A2280="","",IF($H2280="ENGAGE","Engagé",IF(AND($H2280="NON ENGAGE",OR($I2280="INFRUCTUEUX",$I2280="ANNULE")),"Clôturé sans suite","En cours")))</f>
        <v/>
      </c>
      <c r="N2280">
        <f>IF(ISBLANK('ENGAGEMENTS 2026'!C2280),"",'ENGAGEMENTS 2026'!L2280)</f>
        <v/>
      </c>
      <c r="O2280">
        <f>IF(ISBLANK('ENGAGEMENTS 2026'!C2280),"",'ENGAGEMENTS 2026'!M2280)</f>
        <v/>
      </c>
      <c r="P2280">
        <f>IF(ISBLANK('ENGAGEMENTS 2026'!C2280),"",'ENGAGEMENTS 2026'!K2280)</f>
        <v/>
      </c>
      <c r="Q2280">
        <f>IF($A2280="","",IF(OR($E2280="INFRUCTUEUX",$E2280="ANNULE"),$A2280&amp;"|"&amp;(COUNTIFS($A$2:$A2280,$A2280,$E$2:$E2280,"INFRUCTUEUX")+COUNTIFS($A$2:$A2280,$A2280,$E$2:$E2280,"ANNULE")),""))</f>
        <v/>
      </c>
    </row>
    <row r="2281">
      <c r="A2281">
        <f>IF(ISBLANK('ENGAGEMENTS 2026'!C2281),"",IF('ENGAGEMENTS 2026'!C2281="DTSI","DCT",'ENGAGEMENTS 2026'!C2281))</f>
        <v/>
      </c>
      <c r="B2281">
        <f>IF(ISBLANK('ENGAGEMENTS 2026'!C2281),"",'ENGAGEMENTS 2026'!D2281)</f>
        <v/>
      </c>
      <c r="C2281">
        <f>IF(ISBLANK('ENGAGEMENTS 2026'!C2281),"",'ENGAGEMENTS 2026'!E2281)</f>
        <v/>
      </c>
      <c r="D2281">
        <f>IF(ISBLANK('ENGAGEMENTS 2026'!C2281),"",'ENGAGEMENTS 2026'!G2281)</f>
        <v/>
      </c>
      <c r="E2281">
        <f>IF(ISBLANK('ENGAGEMENTS 2026'!C2281),"",'ENGAGEMENTS 2026'!I2281)</f>
        <v/>
      </c>
      <c r="F2281">
        <f>IF(ISBLANK('ENGAGEMENTS 2026'!C2281),"",'ENGAGEMENTS 2026'!J2281)</f>
        <v/>
      </c>
      <c r="G2281">
        <f>IF(ISBLANK('ENGAGEMENTS 2026'!C2281),"",'ENGAGEMENTS 2026'!M2281)</f>
        <v/>
      </c>
      <c r="H2281">
        <f>IF(ISBLANK('ENGAGEMENTS 2026'!C2281),"",'ENGAGEMENTS 2026'!AF2281)</f>
        <v/>
      </c>
      <c r="I2281">
        <f>IF(ISBLANK('ENGAGEMENTS 2026'!C2281),"",'ENGAGEMENTS 2026'!H2281)</f>
        <v/>
      </c>
      <c r="J2281" s="275">
        <f>IF(ISBLANK('ENGAGEMENTS 2026'!C2281),"",IF(AND(OR($E2281="INFRUCTUEUX",$E2281="ANNULE"),$C2281="AOO-M"),'ENGAGEMENTS 2026'!P2281,IF($H2281="EN COURS DE PREENGAGEMENT",'ENGAGEMENTS 2026'!O2281,IF($H2281="PREENGAGE",IF($E2281="ATTRIBUE",'ENGAGEMENTS 2026'!AE2281,'ENGAGEMENTS 2026'!O2281),'ENGAGEMENTS 2026'!AE2281))))</f>
        <v/>
      </c>
      <c r="K2281" s="604">
        <f>IF(ISBLANK('ENGAGEMENTS 2026'!W2281),"",'ENGAGEMENTS 2026'!W2281)</f>
        <v/>
      </c>
      <c r="L2281" s="276">
        <f>IF($K2281="","",TODAY()-$K2281)</f>
        <v/>
      </c>
      <c r="M2281">
        <f>IF($A2281="","",IF($H2281="ENGAGE","Engagé",IF(AND($H2281="NON ENGAGE",OR($I2281="INFRUCTUEUX",$I2281="ANNULE")),"Clôturé sans suite","En cours")))</f>
        <v/>
      </c>
      <c r="N2281">
        <f>IF(ISBLANK('ENGAGEMENTS 2026'!C2281),"",'ENGAGEMENTS 2026'!L2281)</f>
        <v/>
      </c>
      <c r="O2281">
        <f>IF(ISBLANK('ENGAGEMENTS 2026'!C2281),"",'ENGAGEMENTS 2026'!M2281)</f>
        <v/>
      </c>
      <c r="P2281">
        <f>IF(ISBLANK('ENGAGEMENTS 2026'!C2281),"",'ENGAGEMENTS 2026'!K2281)</f>
        <v/>
      </c>
      <c r="Q2281">
        <f>IF($A2281="","",IF(OR($E2281="INFRUCTUEUX",$E2281="ANNULE"),$A2281&amp;"|"&amp;(COUNTIFS($A$2:$A2281,$A2281,$E$2:$E2281,"INFRUCTUEUX")+COUNTIFS($A$2:$A2281,$A2281,$E$2:$E2281,"ANNULE")),""))</f>
        <v/>
      </c>
    </row>
    <row r="2282">
      <c r="A2282">
        <f>IF(ISBLANK('ENGAGEMENTS 2026'!C2282),"",IF('ENGAGEMENTS 2026'!C2282="DTSI","DCT",'ENGAGEMENTS 2026'!C2282))</f>
        <v/>
      </c>
      <c r="B2282">
        <f>IF(ISBLANK('ENGAGEMENTS 2026'!C2282),"",'ENGAGEMENTS 2026'!D2282)</f>
        <v/>
      </c>
      <c r="C2282">
        <f>IF(ISBLANK('ENGAGEMENTS 2026'!C2282),"",'ENGAGEMENTS 2026'!E2282)</f>
        <v/>
      </c>
      <c r="D2282">
        <f>IF(ISBLANK('ENGAGEMENTS 2026'!C2282),"",'ENGAGEMENTS 2026'!G2282)</f>
        <v/>
      </c>
      <c r="E2282">
        <f>IF(ISBLANK('ENGAGEMENTS 2026'!C2282),"",'ENGAGEMENTS 2026'!I2282)</f>
        <v/>
      </c>
      <c r="F2282">
        <f>IF(ISBLANK('ENGAGEMENTS 2026'!C2282),"",'ENGAGEMENTS 2026'!J2282)</f>
        <v/>
      </c>
      <c r="G2282">
        <f>IF(ISBLANK('ENGAGEMENTS 2026'!C2282),"",'ENGAGEMENTS 2026'!M2282)</f>
        <v/>
      </c>
      <c r="H2282">
        <f>IF(ISBLANK('ENGAGEMENTS 2026'!C2282),"",'ENGAGEMENTS 2026'!AF2282)</f>
        <v/>
      </c>
      <c r="I2282">
        <f>IF(ISBLANK('ENGAGEMENTS 2026'!C2282),"",'ENGAGEMENTS 2026'!H2282)</f>
        <v/>
      </c>
      <c r="J2282" s="275">
        <f>IF(ISBLANK('ENGAGEMENTS 2026'!C2282),"",IF(AND(OR($E2282="INFRUCTUEUX",$E2282="ANNULE"),$C2282="AOO-M"),'ENGAGEMENTS 2026'!P2282,IF($H2282="EN COURS DE PREENGAGEMENT",'ENGAGEMENTS 2026'!O2282,IF($H2282="PREENGAGE",IF($E2282="ATTRIBUE",'ENGAGEMENTS 2026'!AE2282,'ENGAGEMENTS 2026'!O2282),'ENGAGEMENTS 2026'!AE2282))))</f>
        <v/>
      </c>
      <c r="K2282" s="604">
        <f>IF(ISBLANK('ENGAGEMENTS 2026'!W2282),"",'ENGAGEMENTS 2026'!W2282)</f>
        <v/>
      </c>
      <c r="L2282" s="276">
        <f>IF($K2282="","",TODAY()-$K2282)</f>
        <v/>
      </c>
      <c r="M2282">
        <f>IF($A2282="","",IF($H2282="ENGAGE","Engagé",IF(AND($H2282="NON ENGAGE",OR($I2282="INFRUCTUEUX",$I2282="ANNULE")),"Clôturé sans suite","En cours")))</f>
        <v/>
      </c>
      <c r="N2282">
        <f>IF(ISBLANK('ENGAGEMENTS 2026'!C2282),"",'ENGAGEMENTS 2026'!L2282)</f>
        <v/>
      </c>
      <c r="O2282">
        <f>IF(ISBLANK('ENGAGEMENTS 2026'!C2282),"",'ENGAGEMENTS 2026'!M2282)</f>
        <v/>
      </c>
      <c r="P2282">
        <f>IF(ISBLANK('ENGAGEMENTS 2026'!C2282),"",'ENGAGEMENTS 2026'!K2282)</f>
        <v/>
      </c>
      <c r="Q2282">
        <f>IF($A2282="","",IF(OR($E2282="INFRUCTUEUX",$E2282="ANNULE"),$A2282&amp;"|"&amp;(COUNTIFS($A$2:$A2282,$A2282,$E$2:$E2282,"INFRUCTUEUX")+COUNTIFS($A$2:$A2282,$A2282,$E$2:$E2282,"ANNULE")),""))</f>
        <v/>
      </c>
    </row>
    <row r="2283">
      <c r="A2283">
        <f>IF(ISBLANK('ENGAGEMENTS 2026'!C2283),"",IF('ENGAGEMENTS 2026'!C2283="DTSI","DCT",'ENGAGEMENTS 2026'!C2283))</f>
        <v/>
      </c>
      <c r="B2283">
        <f>IF(ISBLANK('ENGAGEMENTS 2026'!C2283),"",'ENGAGEMENTS 2026'!D2283)</f>
        <v/>
      </c>
      <c r="C2283">
        <f>IF(ISBLANK('ENGAGEMENTS 2026'!C2283),"",'ENGAGEMENTS 2026'!E2283)</f>
        <v/>
      </c>
      <c r="D2283">
        <f>IF(ISBLANK('ENGAGEMENTS 2026'!C2283),"",'ENGAGEMENTS 2026'!G2283)</f>
        <v/>
      </c>
      <c r="E2283">
        <f>IF(ISBLANK('ENGAGEMENTS 2026'!C2283),"",'ENGAGEMENTS 2026'!I2283)</f>
        <v/>
      </c>
      <c r="F2283">
        <f>IF(ISBLANK('ENGAGEMENTS 2026'!C2283),"",'ENGAGEMENTS 2026'!J2283)</f>
        <v/>
      </c>
      <c r="G2283">
        <f>IF(ISBLANK('ENGAGEMENTS 2026'!C2283),"",'ENGAGEMENTS 2026'!M2283)</f>
        <v/>
      </c>
      <c r="H2283">
        <f>IF(ISBLANK('ENGAGEMENTS 2026'!C2283),"",'ENGAGEMENTS 2026'!AF2283)</f>
        <v/>
      </c>
      <c r="I2283">
        <f>IF(ISBLANK('ENGAGEMENTS 2026'!C2283),"",'ENGAGEMENTS 2026'!H2283)</f>
        <v/>
      </c>
      <c r="J2283" s="275">
        <f>IF(ISBLANK('ENGAGEMENTS 2026'!C2283),"",IF(AND(OR($E2283="INFRUCTUEUX",$E2283="ANNULE"),$C2283="AOO-M"),'ENGAGEMENTS 2026'!P2283,IF($H2283="EN COURS DE PREENGAGEMENT",'ENGAGEMENTS 2026'!O2283,IF($H2283="PREENGAGE",IF($E2283="ATTRIBUE",'ENGAGEMENTS 2026'!AE2283,'ENGAGEMENTS 2026'!O2283),'ENGAGEMENTS 2026'!AE2283))))</f>
        <v/>
      </c>
      <c r="K2283" s="604">
        <f>IF(ISBLANK('ENGAGEMENTS 2026'!W2283),"",'ENGAGEMENTS 2026'!W2283)</f>
        <v/>
      </c>
      <c r="L2283" s="276">
        <f>IF($K2283="","",TODAY()-$K2283)</f>
        <v/>
      </c>
      <c r="M2283">
        <f>IF($A2283="","",IF($H2283="ENGAGE","Engagé",IF(AND($H2283="NON ENGAGE",OR($I2283="INFRUCTUEUX",$I2283="ANNULE")),"Clôturé sans suite","En cours")))</f>
        <v/>
      </c>
      <c r="N2283">
        <f>IF(ISBLANK('ENGAGEMENTS 2026'!C2283),"",'ENGAGEMENTS 2026'!L2283)</f>
        <v/>
      </c>
      <c r="O2283">
        <f>IF(ISBLANK('ENGAGEMENTS 2026'!C2283),"",'ENGAGEMENTS 2026'!M2283)</f>
        <v/>
      </c>
      <c r="P2283">
        <f>IF(ISBLANK('ENGAGEMENTS 2026'!C2283),"",'ENGAGEMENTS 2026'!K2283)</f>
        <v/>
      </c>
      <c r="Q2283">
        <f>IF($A2283="","",IF(OR($E2283="INFRUCTUEUX",$E2283="ANNULE"),$A2283&amp;"|"&amp;(COUNTIFS($A$2:$A2283,$A2283,$E$2:$E2283,"INFRUCTUEUX")+COUNTIFS($A$2:$A2283,$A2283,$E$2:$E2283,"ANNULE")),""))</f>
        <v/>
      </c>
    </row>
    <row r="2284">
      <c r="A2284">
        <f>IF(ISBLANK('ENGAGEMENTS 2026'!C2284),"",IF('ENGAGEMENTS 2026'!C2284="DTSI","DCT",'ENGAGEMENTS 2026'!C2284))</f>
        <v/>
      </c>
      <c r="B2284">
        <f>IF(ISBLANK('ENGAGEMENTS 2026'!C2284),"",'ENGAGEMENTS 2026'!D2284)</f>
        <v/>
      </c>
      <c r="C2284">
        <f>IF(ISBLANK('ENGAGEMENTS 2026'!C2284),"",'ENGAGEMENTS 2026'!E2284)</f>
        <v/>
      </c>
      <c r="D2284">
        <f>IF(ISBLANK('ENGAGEMENTS 2026'!C2284),"",'ENGAGEMENTS 2026'!G2284)</f>
        <v/>
      </c>
      <c r="E2284">
        <f>IF(ISBLANK('ENGAGEMENTS 2026'!C2284),"",'ENGAGEMENTS 2026'!I2284)</f>
        <v/>
      </c>
      <c r="F2284">
        <f>IF(ISBLANK('ENGAGEMENTS 2026'!C2284),"",'ENGAGEMENTS 2026'!J2284)</f>
        <v/>
      </c>
      <c r="G2284">
        <f>IF(ISBLANK('ENGAGEMENTS 2026'!C2284),"",'ENGAGEMENTS 2026'!M2284)</f>
        <v/>
      </c>
      <c r="H2284">
        <f>IF(ISBLANK('ENGAGEMENTS 2026'!C2284),"",'ENGAGEMENTS 2026'!AF2284)</f>
        <v/>
      </c>
      <c r="I2284">
        <f>IF(ISBLANK('ENGAGEMENTS 2026'!C2284),"",'ENGAGEMENTS 2026'!H2284)</f>
        <v/>
      </c>
      <c r="J2284" s="275">
        <f>IF(ISBLANK('ENGAGEMENTS 2026'!C2284),"",IF(AND(OR($E2284="INFRUCTUEUX",$E2284="ANNULE"),$C2284="AOO-M"),'ENGAGEMENTS 2026'!P2284,IF($H2284="EN COURS DE PREENGAGEMENT",'ENGAGEMENTS 2026'!O2284,IF($H2284="PREENGAGE",IF($E2284="ATTRIBUE",'ENGAGEMENTS 2026'!AE2284,'ENGAGEMENTS 2026'!O2284),'ENGAGEMENTS 2026'!AE2284))))</f>
        <v/>
      </c>
      <c r="K2284" s="604">
        <f>IF(ISBLANK('ENGAGEMENTS 2026'!W2284),"",'ENGAGEMENTS 2026'!W2284)</f>
        <v/>
      </c>
      <c r="L2284" s="276">
        <f>IF($K2284="","",TODAY()-$K2284)</f>
        <v/>
      </c>
      <c r="M2284">
        <f>IF($A2284="","",IF($H2284="ENGAGE","Engagé",IF(AND($H2284="NON ENGAGE",OR($I2284="INFRUCTUEUX",$I2284="ANNULE")),"Clôturé sans suite","En cours")))</f>
        <v/>
      </c>
      <c r="N2284">
        <f>IF(ISBLANK('ENGAGEMENTS 2026'!C2284),"",'ENGAGEMENTS 2026'!L2284)</f>
        <v/>
      </c>
      <c r="O2284">
        <f>IF(ISBLANK('ENGAGEMENTS 2026'!C2284),"",'ENGAGEMENTS 2026'!M2284)</f>
        <v/>
      </c>
      <c r="P2284">
        <f>IF(ISBLANK('ENGAGEMENTS 2026'!C2284),"",'ENGAGEMENTS 2026'!K2284)</f>
        <v/>
      </c>
      <c r="Q2284">
        <f>IF($A2284="","",IF(OR($E2284="INFRUCTUEUX",$E2284="ANNULE"),$A2284&amp;"|"&amp;(COUNTIFS($A$2:$A2284,$A2284,$E$2:$E2284,"INFRUCTUEUX")+COUNTIFS($A$2:$A2284,$A2284,$E$2:$E2284,"ANNULE")),""))</f>
        <v/>
      </c>
    </row>
    <row r="2285">
      <c r="A2285">
        <f>IF(ISBLANK('ENGAGEMENTS 2026'!C2285),"",IF('ENGAGEMENTS 2026'!C2285="DTSI","DCT",'ENGAGEMENTS 2026'!C2285))</f>
        <v/>
      </c>
      <c r="B2285">
        <f>IF(ISBLANK('ENGAGEMENTS 2026'!C2285),"",'ENGAGEMENTS 2026'!D2285)</f>
        <v/>
      </c>
      <c r="C2285">
        <f>IF(ISBLANK('ENGAGEMENTS 2026'!C2285),"",'ENGAGEMENTS 2026'!E2285)</f>
        <v/>
      </c>
      <c r="D2285">
        <f>IF(ISBLANK('ENGAGEMENTS 2026'!C2285),"",'ENGAGEMENTS 2026'!G2285)</f>
        <v/>
      </c>
      <c r="E2285">
        <f>IF(ISBLANK('ENGAGEMENTS 2026'!C2285),"",'ENGAGEMENTS 2026'!I2285)</f>
        <v/>
      </c>
      <c r="F2285">
        <f>IF(ISBLANK('ENGAGEMENTS 2026'!C2285),"",'ENGAGEMENTS 2026'!J2285)</f>
        <v/>
      </c>
      <c r="G2285">
        <f>IF(ISBLANK('ENGAGEMENTS 2026'!C2285),"",'ENGAGEMENTS 2026'!M2285)</f>
        <v/>
      </c>
      <c r="H2285">
        <f>IF(ISBLANK('ENGAGEMENTS 2026'!C2285),"",'ENGAGEMENTS 2026'!AF2285)</f>
        <v/>
      </c>
      <c r="I2285">
        <f>IF(ISBLANK('ENGAGEMENTS 2026'!C2285),"",'ENGAGEMENTS 2026'!H2285)</f>
        <v/>
      </c>
      <c r="J2285" s="275">
        <f>IF(ISBLANK('ENGAGEMENTS 2026'!C2285),"",IF(AND(OR($E2285="INFRUCTUEUX",$E2285="ANNULE"),$C2285="AOO-M"),'ENGAGEMENTS 2026'!P2285,IF($H2285="EN COURS DE PREENGAGEMENT",'ENGAGEMENTS 2026'!O2285,IF($H2285="PREENGAGE",IF($E2285="ATTRIBUE",'ENGAGEMENTS 2026'!AE2285,'ENGAGEMENTS 2026'!O2285),'ENGAGEMENTS 2026'!AE2285))))</f>
        <v/>
      </c>
      <c r="K2285" s="604">
        <f>IF(ISBLANK('ENGAGEMENTS 2026'!W2285),"",'ENGAGEMENTS 2026'!W2285)</f>
        <v/>
      </c>
      <c r="L2285" s="276">
        <f>IF($K2285="","",TODAY()-$K2285)</f>
        <v/>
      </c>
      <c r="M2285">
        <f>IF($A2285="","",IF($H2285="ENGAGE","Engagé",IF(AND($H2285="NON ENGAGE",OR($I2285="INFRUCTUEUX",$I2285="ANNULE")),"Clôturé sans suite","En cours")))</f>
        <v/>
      </c>
      <c r="N2285">
        <f>IF(ISBLANK('ENGAGEMENTS 2026'!C2285),"",'ENGAGEMENTS 2026'!L2285)</f>
        <v/>
      </c>
      <c r="O2285">
        <f>IF(ISBLANK('ENGAGEMENTS 2026'!C2285),"",'ENGAGEMENTS 2026'!M2285)</f>
        <v/>
      </c>
      <c r="P2285">
        <f>IF(ISBLANK('ENGAGEMENTS 2026'!C2285),"",'ENGAGEMENTS 2026'!K2285)</f>
        <v/>
      </c>
      <c r="Q2285">
        <f>IF($A2285="","",IF(OR($E2285="INFRUCTUEUX",$E2285="ANNULE"),$A2285&amp;"|"&amp;(COUNTIFS($A$2:$A2285,$A2285,$E$2:$E2285,"INFRUCTUEUX")+COUNTIFS($A$2:$A2285,$A2285,$E$2:$E2285,"ANNULE")),""))</f>
        <v/>
      </c>
    </row>
    <row r="2286">
      <c r="A2286">
        <f>IF(ISBLANK('ENGAGEMENTS 2026'!C2286),"",IF('ENGAGEMENTS 2026'!C2286="DTSI","DCT",'ENGAGEMENTS 2026'!C2286))</f>
        <v/>
      </c>
      <c r="B2286">
        <f>IF(ISBLANK('ENGAGEMENTS 2026'!C2286),"",'ENGAGEMENTS 2026'!D2286)</f>
        <v/>
      </c>
      <c r="C2286">
        <f>IF(ISBLANK('ENGAGEMENTS 2026'!C2286),"",'ENGAGEMENTS 2026'!E2286)</f>
        <v/>
      </c>
      <c r="D2286">
        <f>IF(ISBLANK('ENGAGEMENTS 2026'!C2286),"",'ENGAGEMENTS 2026'!G2286)</f>
        <v/>
      </c>
      <c r="E2286">
        <f>IF(ISBLANK('ENGAGEMENTS 2026'!C2286),"",'ENGAGEMENTS 2026'!I2286)</f>
        <v/>
      </c>
      <c r="F2286">
        <f>IF(ISBLANK('ENGAGEMENTS 2026'!C2286),"",'ENGAGEMENTS 2026'!J2286)</f>
        <v/>
      </c>
      <c r="G2286">
        <f>IF(ISBLANK('ENGAGEMENTS 2026'!C2286),"",'ENGAGEMENTS 2026'!M2286)</f>
        <v/>
      </c>
      <c r="H2286">
        <f>IF(ISBLANK('ENGAGEMENTS 2026'!C2286),"",'ENGAGEMENTS 2026'!AF2286)</f>
        <v/>
      </c>
      <c r="I2286">
        <f>IF(ISBLANK('ENGAGEMENTS 2026'!C2286),"",'ENGAGEMENTS 2026'!H2286)</f>
        <v/>
      </c>
      <c r="J2286" s="275">
        <f>IF(ISBLANK('ENGAGEMENTS 2026'!C2286),"",IF(AND(OR($E2286="INFRUCTUEUX",$E2286="ANNULE"),$C2286="AOO-M"),'ENGAGEMENTS 2026'!P2286,IF($H2286="EN COURS DE PREENGAGEMENT",'ENGAGEMENTS 2026'!O2286,IF($H2286="PREENGAGE",IF($E2286="ATTRIBUE",'ENGAGEMENTS 2026'!AE2286,'ENGAGEMENTS 2026'!O2286),'ENGAGEMENTS 2026'!AE2286))))</f>
        <v/>
      </c>
      <c r="K2286" s="604">
        <f>IF(ISBLANK('ENGAGEMENTS 2026'!W2286),"",'ENGAGEMENTS 2026'!W2286)</f>
        <v/>
      </c>
      <c r="L2286" s="276">
        <f>IF($K2286="","",TODAY()-$K2286)</f>
        <v/>
      </c>
      <c r="M2286">
        <f>IF($A2286="","",IF($H2286="ENGAGE","Engagé",IF(AND($H2286="NON ENGAGE",OR($I2286="INFRUCTUEUX",$I2286="ANNULE")),"Clôturé sans suite","En cours")))</f>
        <v/>
      </c>
      <c r="N2286">
        <f>IF(ISBLANK('ENGAGEMENTS 2026'!C2286),"",'ENGAGEMENTS 2026'!L2286)</f>
        <v/>
      </c>
      <c r="O2286">
        <f>IF(ISBLANK('ENGAGEMENTS 2026'!C2286),"",'ENGAGEMENTS 2026'!M2286)</f>
        <v/>
      </c>
      <c r="P2286">
        <f>IF(ISBLANK('ENGAGEMENTS 2026'!C2286),"",'ENGAGEMENTS 2026'!K2286)</f>
        <v/>
      </c>
      <c r="Q2286">
        <f>IF($A2286="","",IF(OR($E2286="INFRUCTUEUX",$E2286="ANNULE"),$A2286&amp;"|"&amp;(COUNTIFS($A$2:$A2286,$A2286,$E$2:$E2286,"INFRUCTUEUX")+COUNTIFS($A$2:$A2286,$A2286,$E$2:$E2286,"ANNULE")),""))</f>
        <v/>
      </c>
    </row>
    <row r="2287">
      <c r="A2287">
        <f>IF(ISBLANK('ENGAGEMENTS 2026'!C2287),"",IF('ENGAGEMENTS 2026'!C2287="DTSI","DCT",'ENGAGEMENTS 2026'!C2287))</f>
        <v/>
      </c>
      <c r="B2287">
        <f>IF(ISBLANK('ENGAGEMENTS 2026'!C2287),"",'ENGAGEMENTS 2026'!D2287)</f>
        <v/>
      </c>
      <c r="C2287">
        <f>IF(ISBLANK('ENGAGEMENTS 2026'!C2287),"",'ENGAGEMENTS 2026'!E2287)</f>
        <v/>
      </c>
      <c r="D2287">
        <f>IF(ISBLANK('ENGAGEMENTS 2026'!C2287),"",'ENGAGEMENTS 2026'!G2287)</f>
        <v/>
      </c>
      <c r="E2287">
        <f>IF(ISBLANK('ENGAGEMENTS 2026'!C2287),"",'ENGAGEMENTS 2026'!I2287)</f>
        <v/>
      </c>
      <c r="F2287">
        <f>IF(ISBLANK('ENGAGEMENTS 2026'!C2287),"",'ENGAGEMENTS 2026'!J2287)</f>
        <v/>
      </c>
      <c r="G2287">
        <f>IF(ISBLANK('ENGAGEMENTS 2026'!C2287),"",'ENGAGEMENTS 2026'!M2287)</f>
        <v/>
      </c>
      <c r="H2287">
        <f>IF(ISBLANK('ENGAGEMENTS 2026'!C2287),"",'ENGAGEMENTS 2026'!AF2287)</f>
        <v/>
      </c>
      <c r="I2287">
        <f>IF(ISBLANK('ENGAGEMENTS 2026'!C2287),"",'ENGAGEMENTS 2026'!H2287)</f>
        <v/>
      </c>
      <c r="J2287" s="275">
        <f>IF(ISBLANK('ENGAGEMENTS 2026'!C2287),"",IF(AND(OR($E2287="INFRUCTUEUX",$E2287="ANNULE"),$C2287="AOO-M"),'ENGAGEMENTS 2026'!P2287,IF($H2287="EN COURS DE PREENGAGEMENT",'ENGAGEMENTS 2026'!O2287,IF($H2287="PREENGAGE",IF($E2287="ATTRIBUE",'ENGAGEMENTS 2026'!AE2287,'ENGAGEMENTS 2026'!O2287),'ENGAGEMENTS 2026'!AE2287))))</f>
        <v/>
      </c>
      <c r="K2287" s="604">
        <f>IF(ISBLANK('ENGAGEMENTS 2026'!W2287),"",'ENGAGEMENTS 2026'!W2287)</f>
        <v/>
      </c>
      <c r="L2287" s="276">
        <f>IF($K2287="","",TODAY()-$K2287)</f>
        <v/>
      </c>
      <c r="M2287">
        <f>IF($A2287="","",IF($H2287="ENGAGE","Engagé",IF(AND($H2287="NON ENGAGE",OR($I2287="INFRUCTUEUX",$I2287="ANNULE")),"Clôturé sans suite","En cours")))</f>
        <v/>
      </c>
      <c r="N2287">
        <f>IF(ISBLANK('ENGAGEMENTS 2026'!C2287),"",'ENGAGEMENTS 2026'!L2287)</f>
        <v/>
      </c>
      <c r="O2287">
        <f>IF(ISBLANK('ENGAGEMENTS 2026'!C2287),"",'ENGAGEMENTS 2026'!M2287)</f>
        <v/>
      </c>
      <c r="P2287">
        <f>IF(ISBLANK('ENGAGEMENTS 2026'!C2287),"",'ENGAGEMENTS 2026'!K2287)</f>
        <v/>
      </c>
      <c r="Q2287">
        <f>IF($A2287="","",IF(OR($E2287="INFRUCTUEUX",$E2287="ANNULE"),$A2287&amp;"|"&amp;(COUNTIFS($A$2:$A2287,$A2287,$E$2:$E2287,"INFRUCTUEUX")+COUNTIFS($A$2:$A2287,$A2287,$E$2:$E2287,"ANNULE")),""))</f>
        <v/>
      </c>
    </row>
    <row r="2288">
      <c r="A2288">
        <f>IF(ISBLANK('ENGAGEMENTS 2026'!C2288),"",IF('ENGAGEMENTS 2026'!C2288="DTSI","DCT",'ENGAGEMENTS 2026'!C2288))</f>
        <v/>
      </c>
      <c r="B2288">
        <f>IF(ISBLANK('ENGAGEMENTS 2026'!C2288),"",'ENGAGEMENTS 2026'!D2288)</f>
        <v/>
      </c>
      <c r="C2288">
        <f>IF(ISBLANK('ENGAGEMENTS 2026'!C2288),"",'ENGAGEMENTS 2026'!E2288)</f>
        <v/>
      </c>
      <c r="D2288">
        <f>IF(ISBLANK('ENGAGEMENTS 2026'!C2288),"",'ENGAGEMENTS 2026'!G2288)</f>
        <v/>
      </c>
      <c r="E2288">
        <f>IF(ISBLANK('ENGAGEMENTS 2026'!C2288),"",'ENGAGEMENTS 2026'!I2288)</f>
        <v/>
      </c>
      <c r="F2288">
        <f>IF(ISBLANK('ENGAGEMENTS 2026'!C2288),"",'ENGAGEMENTS 2026'!J2288)</f>
        <v/>
      </c>
      <c r="G2288">
        <f>IF(ISBLANK('ENGAGEMENTS 2026'!C2288),"",'ENGAGEMENTS 2026'!M2288)</f>
        <v/>
      </c>
      <c r="H2288">
        <f>IF(ISBLANK('ENGAGEMENTS 2026'!C2288),"",'ENGAGEMENTS 2026'!AF2288)</f>
        <v/>
      </c>
      <c r="I2288">
        <f>IF(ISBLANK('ENGAGEMENTS 2026'!C2288),"",'ENGAGEMENTS 2026'!H2288)</f>
        <v/>
      </c>
      <c r="J2288" s="275">
        <f>IF(ISBLANK('ENGAGEMENTS 2026'!C2288),"",IF(AND(OR($E2288="INFRUCTUEUX",$E2288="ANNULE"),$C2288="AOO-M"),'ENGAGEMENTS 2026'!P2288,IF($H2288="EN COURS DE PREENGAGEMENT",'ENGAGEMENTS 2026'!O2288,IF($H2288="PREENGAGE",IF($E2288="ATTRIBUE",'ENGAGEMENTS 2026'!AE2288,'ENGAGEMENTS 2026'!O2288),'ENGAGEMENTS 2026'!AE2288))))</f>
        <v/>
      </c>
      <c r="K2288" s="604">
        <f>IF(ISBLANK('ENGAGEMENTS 2026'!W2288),"",'ENGAGEMENTS 2026'!W2288)</f>
        <v/>
      </c>
      <c r="L2288" s="276">
        <f>IF($K2288="","",TODAY()-$K2288)</f>
        <v/>
      </c>
      <c r="M2288">
        <f>IF($A2288="","",IF($H2288="ENGAGE","Engagé",IF(AND($H2288="NON ENGAGE",OR($I2288="INFRUCTUEUX",$I2288="ANNULE")),"Clôturé sans suite","En cours")))</f>
        <v/>
      </c>
      <c r="N2288">
        <f>IF(ISBLANK('ENGAGEMENTS 2026'!C2288),"",'ENGAGEMENTS 2026'!L2288)</f>
        <v/>
      </c>
      <c r="O2288">
        <f>IF(ISBLANK('ENGAGEMENTS 2026'!C2288),"",'ENGAGEMENTS 2026'!M2288)</f>
        <v/>
      </c>
      <c r="P2288">
        <f>IF(ISBLANK('ENGAGEMENTS 2026'!C2288),"",'ENGAGEMENTS 2026'!K2288)</f>
        <v/>
      </c>
      <c r="Q2288">
        <f>IF($A2288="","",IF(OR($E2288="INFRUCTUEUX",$E2288="ANNULE"),$A2288&amp;"|"&amp;(COUNTIFS($A$2:$A2288,$A2288,$E$2:$E2288,"INFRUCTUEUX")+COUNTIFS($A$2:$A2288,$A2288,$E$2:$E2288,"ANNULE")),""))</f>
        <v/>
      </c>
    </row>
    <row r="2289">
      <c r="A2289">
        <f>IF(ISBLANK('ENGAGEMENTS 2026'!C2289),"",IF('ENGAGEMENTS 2026'!C2289="DTSI","DCT",'ENGAGEMENTS 2026'!C2289))</f>
        <v/>
      </c>
      <c r="B2289">
        <f>IF(ISBLANK('ENGAGEMENTS 2026'!C2289),"",'ENGAGEMENTS 2026'!D2289)</f>
        <v/>
      </c>
      <c r="C2289">
        <f>IF(ISBLANK('ENGAGEMENTS 2026'!C2289),"",'ENGAGEMENTS 2026'!E2289)</f>
        <v/>
      </c>
      <c r="D2289">
        <f>IF(ISBLANK('ENGAGEMENTS 2026'!C2289),"",'ENGAGEMENTS 2026'!G2289)</f>
        <v/>
      </c>
      <c r="E2289">
        <f>IF(ISBLANK('ENGAGEMENTS 2026'!C2289),"",'ENGAGEMENTS 2026'!I2289)</f>
        <v/>
      </c>
      <c r="F2289">
        <f>IF(ISBLANK('ENGAGEMENTS 2026'!C2289),"",'ENGAGEMENTS 2026'!J2289)</f>
        <v/>
      </c>
      <c r="G2289">
        <f>IF(ISBLANK('ENGAGEMENTS 2026'!C2289),"",'ENGAGEMENTS 2026'!M2289)</f>
        <v/>
      </c>
      <c r="H2289">
        <f>IF(ISBLANK('ENGAGEMENTS 2026'!C2289),"",'ENGAGEMENTS 2026'!AF2289)</f>
        <v/>
      </c>
      <c r="I2289">
        <f>IF(ISBLANK('ENGAGEMENTS 2026'!C2289),"",'ENGAGEMENTS 2026'!H2289)</f>
        <v/>
      </c>
      <c r="J2289" s="275">
        <f>IF(ISBLANK('ENGAGEMENTS 2026'!C2289),"",IF(AND(OR($E2289="INFRUCTUEUX",$E2289="ANNULE"),$C2289="AOO-M"),'ENGAGEMENTS 2026'!P2289,IF($H2289="EN COURS DE PREENGAGEMENT",'ENGAGEMENTS 2026'!O2289,IF($H2289="PREENGAGE",IF($E2289="ATTRIBUE",'ENGAGEMENTS 2026'!AE2289,'ENGAGEMENTS 2026'!O2289),'ENGAGEMENTS 2026'!AE2289))))</f>
        <v/>
      </c>
      <c r="K2289" s="604">
        <f>IF(ISBLANK('ENGAGEMENTS 2026'!W2289),"",'ENGAGEMENTS 2026'!W2289)</f>
        <v/>
      </c>
      <c r="L2289" s="276">
        <f>IF($K2289="","",TODAY()-$K2289)</f>
        <v/>
      </c>
      <c r="M2289">
        <f>IF($A2289="","",IF($H2289="ENGAGE","Engagé",IF(AND($H2289="NON ENGAGE",OR($I2289="INFRUCTUEUX",$I2289="ANNULE")),"Clôturé sans suite","En cours")))</f>
        <v/>
      </c>
      <c r="N2289">
        <f>IF(ISBLANK('ENGAGEMENTS 2026'!C2289),"",'ENGAGEMENTS 2026'!L2289)</f>
        <v/>
      </c>
      <c r="O2289">
        <f>IF(ISBLANK('ENGAGEMENTS 2026'!C2289),"",'ENGAGEMENTS 2026'!M2289)</f>
        <v/>
      </c>
      <c r="P2289">
        <f>IF(ISBLANK('ENGAGEMENTS 2026'!C2289),"",'ENGAGEMENTS 2026'!K2289)</f>
        <v/>
      </c>
      <c r="Q2289">
        <f>IF($A2289="","",IF(OR($E2289="INFRUCTUEUX",$E2289="ANNULE"),$A2289&amp;"|"&amp;(COUNTIFS($A$2:$A2289,$A2289,$E$2:$E2289,"INFRUCTUEUX")+COUNTIFS($A$2:$A2289,$A2289,$E$2:$E2289,"ANNULE")),""))</f>
        <v/>
      </c>
    </row>
    <row r="2290">
      <c r="A2290">
        <f>IF(ISBLANK('ENGAGEMENTS 2026'!C2290),"",IF('ENGAGEMENTS 2026'!C2290="DTSI","DCT",'ENGAGEMENTS 2026'!C2290))</f>
        <v/>
      </c>
      <c r="B2290">
        <f>IF(ISBLANK('ENGAGEMENTS 2026'!C2290),"",'ENGAGEMENTS 2026'!D2290)</f>
        <v/>
      </c>
      <c r="C2290">
        <f>IF(ISBLANK('ENGAGEMENTS 2026'!C2290),"",'ENGAGEMENTS 2026'!E2290)</f>
        <v/>
      </c>
      <c r="D2290">
        <f>IF(ISBLANK('ENGAGEMENTS 2026'!C2290),"",'ENGAGEMENTS 2026'!G2290)</f>
        <v/>
      </c>
      <c r="E2290">
        <f>IF(ISBLANK('ENGAGEMENTS 2026'!C2290),"",'ENGAGEMENTS 2026'!I2290)</f>
        <v/>
      </c>
      <c r="F2290">
        <f>IF(ISBLANK('ENGAGEMENTS 2026'!C2290),"",'ENGAGEMENTS 2026'!J2290)</f>
        <v/>
      </c>
      <c r="G2290">
        <f>IF(ISBLANK('ENGAGEMENTS 2026'!C2290),"",'ENGAGEMENTS 2026'!M2290)</f>
        <v/>
      </c>
      <c r="H2290">
        <f>IF(ISBLANK('ENGAGEMENTS 2026'!C2290),"",'ENGAGEMENTS 2026'!AF2290)</f>
        <v/>
      </c>
      <c r="I2290">
        <f>IF(ISBLANK('ENGAGEMENTS 2026'!C2290),"",'ENGAGEMENTS 2026'!H2290)</f>
        <v/>
      </c>
      <c r="J2290" s="275">
        <f>IF(ISBLANK('ENGAGEMENTS 2026'!C2290),"",IF(AND(OR($E2290="INFRUCTUEUX",$E2290="ANNULE"),$C2290="AOO-M"),'ENGAGEMENTS 2026'!P2290,IF($H2290="EN COURS DE PREENGAGEMENT",'ENGAGEMENTS 2026'!O2290,IF($H2290="PREENGAGE",IF($E2290="ATTRIBUE",'ENGAGEMENTS 2026'!AE2290,'ENGAGEMENTS 2026'!O2290),'ENGAGEMENTS 2026'!AE2290))))</f>
        <v/>
      </c>
      <c r="K2290" s="604">
        <f>IF(ISBLANK('ENGAGEMENTS 2026'!W2290),"",'ENGAGEMENTS 2026'!W2290)</f>
        <v/>
      </c>
      <c r="L2290" s="276">
        <f>IF($K2290="","",TODAY()-$K2290)</f>
        <v/>
      </c>
      <c r="M2290">
        <f>IF($A2290="","",IF($H2290="ENGAGE","Engagé",IF(AND($H2290="NON ENGAGE",OR($I2290="INFRUCTUEUX",$I2290="ANNULE")),"Clôturé sans suite","En cours")))</f>
        <v/>
      </c>
      <c r="N2290">
        <f>IF(ISBLANK('ENGAGEMENTS 2026'!C2290),"",'ENGAGEMENTS 2026'!L2290)</f>
        <v/>
      </c>
      <c r="O2290">
        <f>IF(ISBLANK('ENGAGEMENTS 2026'!C2290),"",'ENGAGEMENTS 2026'!M2290)</f>
        <v/>
      </c>
      <c r="P2290">
        <f>IF(ISBLANK('ENGAGEMENTS 2026'!C2290),"",'ENGAGEMENTS 2026'!K2290)</f>
        <v/>
      </c>
      <c r="Q2290">
        <f>IF($A2290="","",IF(OR($E2290="INFRUCTUEUX",$E2290="ANNULE"),$A2290&amp;"|"&amp;(COUNTIFS($A$2:$A2290,$A2290,$E$2:$E2290,"INFRUCTUEUX")+COUNTIFS($A$2:$A2290,$A2290,$E$2:$E2290,"ANNULE")),""))</f>
        <v/>
      </c>
    </row>
    <row r="2291">
      <c r="A2291">
        <f>IF(ISBLANK('ENGAGEMENTS 2026'!C2291),"",IF('ENGAGEMENTS 2026'!C2291="DTSI","DCT",'ENGAGEMENTS 2026'!C2291))</f>
        <v/>
      </c>
      <c r="B2291">
        <f>IF(ISBLANK('ENGAGEMENTS 2026'!C2291),"",'ENGAGEMENTS 2026'!D2291)</f>
        <v/>
      </c>
      <c r="C2291">
        <f>IF(ISBLANK('ENGAGEMENTS 2026'!C2291),"",'ENGAGEMENTS 2026'!E2291)</f>
        <v/>
      </c>
      <c r="D2291">
        <f>IF(ISBLANK('ENGAGEMENTS 2026'!C2291),"",'ENGAGEMENTS 2026'!G2291)</f>
        <v/>
      </c>
      <c r="E2291">
        <f>IF(ISBLANK('ENGAGEMENTS 2026'!C2291),"",'ENGAGEMENTS 2026'!I2291)</f>
        <v/>
      </c>
      <c r="F2291">
        <f>IF(ISBLANK('ENGAGEMENTS 2026'!C2291),"",'ENGAGEMENTS 2026'!J2291)</f>
        <v/>
      </c>
      <c r="G2291">
        <f>IF(ISBLANK('ENGAGEMENTS 2026'!C2291),"",'ENGAGEMENTS 2026'!M2291)</f>
        <v/>
      </c>
      <c r="H2291">
        <f>IF(ISBLANK('ENGAGEMENTS 2026'!C2291),"",'ENGAGEMENTS 2026'!AF2291)</f>
        <v/>
      </c>
      <c r="I2291">
        <f>IF(ISBLANK('ENGAGEMENTS 2026'!C2291),"",'ENGAGEMENTS 2026'!H2291)</f>
        <v/>
      </c>
      <c r="J2291" s="275">
        <f>IF(ISBLANK('ENGAGEMENTS 2026'!C2291),"",IF(AND(OR($E2291="INFRUCTUEUX",$E2291="ANNULE"),$C2291="AOO-M"),'ENGAGEMENTS 2026'!P2291,IF($H2291="EN COURS DE PREENGAGEMENT",'ENGAGEMENTS 2026'!O2291,IF($H2291="PREENGAGE",IF($E2291="ATTRIBUE",'ENGAGEMENTS 2026'!AE2291,'ENGAGEMENTS 2026'!O2291),'ENGAGEMENTS 2026'!AE2291))))</f>
        <v/>
      </c>
      <c r="K2291" s="604">
        <f>IF(ISBLANK('ENGAGEMENTS 2026'!W2291),"",'ENGAGEMENTS 2026'!W2291)</f>
        <v/>
      </c>
      <c r="L2291" s="276">
        <f>IF($K2291="","",TODAY()-$K2291)</f>
        <v/>
      </c>
      <c r="M2291">
        <f>IF($A2291="","",IF($H2291="ENGAGE","Engagé",IF(AND($H2291="NON ENGAGE",OR($I2291="INFRUCTUEUX",$I2291="ANNULE")),"Clôturé sans suite","En cours")))</f>
        <v/>
      </c>
      <c r="N2291">
        <f>IF(ISBLANK('ENGAGEMENTS 2026'!C2291),"",'ENGAGEMENTS 2026'!L2291)</f>
        <v/>
      </c>
      <c r="O2291">
        <f>IF(ISBLANK('ENGAGEMENTS 2026'!C2291),"",'ENGAGEMENTS 2026'!M2291)</f>
        <v/>
      </c>
      <c r="P2291">
        <f>IF(ISBLANK('ENGAGEMENTS 2026'!C2291),"",'ENGAGEMENTS 2026'!K2291)</f>
        <v/>
      </c>
      <c r="Q2291">
        <f>IF($A2291="","",IF(OR($E2291="INFRUCTUEUX",$E2291="ANNULE"),$A2291&amp;"|"&amp;(COUNTIFS($A$2:$A2291,$A2291,$E$2:$E2291,"INFRUCTUEUX")+COUNTIFS($A$2:$A2291,$A2291,$E$2:$E2291,"ANNULE")),""))</f>
        <v/>
      </c>
    </row>
    <row r="2292">
      <c r="A2292">
        <f>IF(ISBLANK('ENGAGEMENTS 2026'!C2292),"",IF('ENGAGEMENTS 2026'!C2292="DTSI","DCT",'ENGAGEMENTS 2026'!C2292))</f>
        <v/>
      </c>
      <c r="B2292">
        <f>IF(ISBLANK('ENGAGEMENTS 2026'!C2292),"",'ENGAGEMENTS 2026'!D2292)</f>
        <v/>
      </c>
      <c r="C2292">
        <f>IF(ISBLANK('ENGAGEMENTS 2026'!C2292),"",'ENGAGEMENTS 2026'!E2292)</f>
        <v/>
      </c>
      <c r="D2292">
        <f>IF(ISBLANK('ENGAGEMENTS 2026'!C2292),"",'ENGAGEMENTS 2026'!G2292)</f>
        <v/>
      </c>
      <c r="E2292">
        <f>IF(ISBLANK('ENGAGEMENTS 2026'!C2292),"",'ENGAGEMENTS 2026'!I2292)</f>
        <v/>
      </c>
      <c r="F2292">
        <f>IF(ISBLANK('ENGAGEMENTS 2026'!C2292),"",'ENGAGEMENTS 2026'!J2292)</f>
        <v/>
      </c>
      <c r="G2292">
        <f>IF(ISBLANK('ENGAGEMENTS 2026'!C2292),"",'ENGAGEMENTS 2026'!M2292)</f>
        <v/>
      </c>
      <c r="H2292">
        <f>IF(ISBLANK('ENGAGEMENTS 2026'!C2292),"",'ENGAGEMENTS 2026'!AF2292)</f>
        <v/>
      </c>
      <c r="I2292">
        <f>IF(ISBLANK('ENGAGEMENTS 2026'!C2292),"",'ENGAGEMENTS 2026'!H2292)</f>
        <v/>
      </c>
      <c r="J2292" s="275">
        <f>IF(ISBLANK('ENGAGEMENTS 2026'!C2292),"",IF(AND(OR($E2292="INFRUCTUEUX",$E2292="ANNULE"),$C2292="AOO-M"),'ENGAGEMENTS 2026'!P2292,IF($H2292="EN COURS DE PREENGAGEMENT",'ENGAGEMENTS 2026'!O2292,IF($H2292="PREENGAGE",IF($E2292="ATTRIBUE",'ENGAGEMENTS 2026'!AE2292,'ENGAGEMENTS 2026'!O2292),'ENGAGEMENTS 2026'!AE2292))))</f>
        <v/>
      </c>
      <c r="K2292" s="604">
        <f>IF(ISBLANK('ENGAGEMENTS 2026'!W2292),"",'ENGAGEMENTS 2026'!W2292)</f>
        <v/>
      </c>
      <c r="L2292" s="276">
        <f>IF($K2292="","",TODAY()-$K2292)</f>
        <v/>
      </c>
      <c r="M2292">
        <f>IF($A2292="","",IF($H2292="ENGAGE","Engagé",IF(AND($H2292="NON ENGAGE",OR($I2292="INFRUCTUEUX",$I2292="ANNULE")),"Clôturé sans suite","En cours")))</f>
        <v/>
      </c>
      <c r="N2292">
        <f>IF(ISBLANK('ENGAGEMENTS 2026'!C2292),"",'ENGAGEMENTS 2026'!L2292)</f>
        <v/>
      </c>
      <c r="O2292">
        <f>IF(ISBLANK('ENGAGEMENTS 2026'!C2292),"",'ENGAGEMENTS 2026'!M2292)</f>
        <v/>
      </c>
      <c r="P2292">
        <f>IF(ISBLANK('ENGAGEMENTS 2026'!C2292),"",'ENGAGEMENTS 2026'!K2292)</f>
        <v/>
      </c>
      <c r="Q2292">
        <f>IF($A2292="","",IF(OR($E2292="INFRUCTUEUX",$E2292="ANNULE"),$A2292&amp;"|"&amp;(COUNTIFS($A$2:$A2292,$A2292,$E$2:$E2292,"INFRUCTUEUX")+COUNTIFS($A$2:$A2292,$A2292,$E$2:$E2292,"ANNULE")),""))</f>
        <v/>
      </c>
    </row>
    <row r="2293">
      <c r="A2293">
        <f>IF(ISBLANK('ENGAGEMENTS 2026'!C2293),"",IF('ENGAGEMENTS 2026'!C2293="DTSI","DCT",'ENGAGEMENTS 2026'!C2293))</f>
        <v/>
      </c>
      <c r="B2293">
        <f>IF(ISBLANK('ENGAGEMENTS 2026'!C2293),"",'ENGAGEMENTS 2026'!D2293)</f>
        <v/>
      </c>
      <c r="C2293">
        <f>IF(ISBLANK('ENGAGEMENTS 2026'!C2293),"",'ENGAGEMENTS 2026'!E2293)</f>
        <v/>
      </c>
      <c r="D2293">
        <f>IF(ISBLANK('ENGAGEMENTS 2026'!C2293),"",'ENGAGEMENTS 2026'!G2293)</f>
        <v/>
      </c>
      <c r="E2293">
        <f>IF(ISBLANK('ENGAGEMENTS 2026'!C2293),"",'ENGAGEMENTS 2026'!I2293)</f>
        <v/>
      </c>
      <c r="F2293">
        <f>IF(ISBLANK('ENGAGEMENTS 2026'!C2293),"",'ENGAGEMENTS 2026'!J2293)</f>
        <v/>
      </c>
      <c r="G2293">
        <f>IF(ISBLANK('ENGAGEMENTS 2026'!C2293),"",'ENGAGEMENTS 2026'!M2293)</f>
        <v/>
      </c>
      <c r="H2293">
        <f>IF(ISBLANK('ENGAGEMENTS 2026'!C2293),"",'ENGAGEMENTS 2026'!AF2293)</f>
        <v/>
      </c>
      <c r="I2293">
        <f>IF(ISBLANK('ENGAGEMENTS 2026'!C2293),"",'ENGAGEMENTS 2026'!H2293)</f>
        <v/>
      </c>
      <c r="J2293" s="275">
        <f>IF(ISBLANK('ENGAGEMENTS 2026'!C2293),"",IF(AND(OR($E2293="INFRUCTUEUX",$E2293="ANNULE"),$C2293="AOO-M"),'ENGAGEMENTS 2026'!P2293,IF($H2293="EN COURS DE PREENGAGEMENT",'ENGAGEMENTS 2026'!O2293,IF($H2293="PREENGAGE",IF($E2293="ATTRIBUE",'ENGAGEMENTS 2026'!AE2293,'ENGAGEMENTS 2026'!O2293),'ENGAGEMENTS 2026'!AE2293))))</f>
        <v/>
      </c>
      <c r="K2293" s="604">
        <f>IF(ISBLANK('ENGAGEMENTS 2026'!W2293),"",'ENGAGEMENTS 2026'!W2293)</f>
        <v/>
      </c>
      <c r="L2293" s="276">
        <f>IF($K2293="","",TODAY()-$K2293)</f>
        <v/>
      </c>
      <c r="M2293">
        <f>IF($A2293="","",IF($H2293="ENGAGE","Engagé",IF(AND($H2293="NON ENGAGE",OR($I2293="INFRUCTUEUX",$I2293="ANNULE")),"Clôturé sans suite","En cours")))</f>
        <v/>
      </c>
      <c r="N2293">
        <f>IF(ISBLANK('ENGAGEMENTS 2026'!C2293),"",'ENGAGEMENTS 2026'!L2293)</f>
        <v/>
      </c>
      <c r="O2293">
        <f>IF(ISBLANK('ENGAGEMENTS 2026'!C2293),"",'ENGAGEMENTS 2026'!M2293)</f>
        <v/>
      </c>
      <c r="P2293">
        <f>IF(ISBLANK('ENGAGEMENTS 2026'!C2293),"",'ENGAGEMENTS 2026'!K2293)</f>
        <v/>
      </c>
      <c r="Q2293">
        <f>IF($A2293="","",IF(OR($E2293="INFRUCTUEUX",$E2293="ANNULE"),$A2293&amp;"|"&amp;(COUNTIFS($A$2:$A2293,$A2293,$E$2:$E2293,"INFRUCTUEUX")+COUNTIFS($A$2:$A2293,$A2293,$E$2:$E2293,"ANNULE")),""))</f>
        <v/>
      </c>
    </row>
    <row r="2294">
      <c r="A2294">
        <f>IF(ISBLANK('ENGAGEMENTS 2026'!C2294),"",IF('ENGAGEMENTS 2026'!C2294="DTSI","DCT",'ENGAGEMENTS 2026'!C2294))</f>
        <v/>
      </c>
      <c r="B2294">
        <f>IF(ISBLANK('ENGAGEMENTS 2026'!C2294),"",'ENGAGEMENTS 2026'!D2294)</f>
        <v/>
      </c>
      <c r="C2294">
        <f>IF(ISBLANK('ENGAGEMENTS 2026'!C2294),"",'ENGAGEMENTS 2026'!E2294)</f>
        <v/>
      </c>
      <c r="D2294">
        <f>IF(ISBLANK('ENGAGEMENTS 2026'!C2294),"",'ENGAGEMENTS 2026'!G2294)</f>
        <v/>
      </c>
      <c r="E2294">
        <f>IF(ISBLANK('ENGAGEMENTS 2026'!C2294),"",'ENGAGEMENTS 2026'!I2294)</f>
        <v/>
      </c>
      <c r="F2294">
        <f>IF(ISBLANK('ENGAGEMENTS 2026'!C2294),"",'ENGAGEMENTS 2026'!J2294)</f>
        <v/>
      </c>
      <c r="G2294">
        <f>IF(ISBLANK('ENGAGEMENTS 2026'!C2294),"",'ENGAGEMENTS 2026'!M2294)</f>
        <v/>
      </c>
      <c r="H2294">
        <f>IF(ISBLANK('ENGAGEMENTS 2026'!C2294),"",'ENGAGEMENTS 2026'!AF2294)</f>
        <v/>
      </c>
      <c r="I2294">
        <f>IF(ISBLANK('ENGAGEMENTS 2026'!C2294),"",'ENGAGEMENTS 2026'!H2294)</f>
        <v/>
      </c>
      <c r="J2294" s="275">
        <f>IF(ISBLANK('ENGAGEMENTS 2026'!C2294),"",IF(AND(OR($E2294="INFRUCTUEUX",$E2294="ANNULE"),$C2294="AOO-M"),'ENGAGEMENTS 2026'!P2294,IF($H2294="EN COURS DE PREENGAGEMENT",'ENGAGEMENTS 2026'!O2294,IF($H2294="PREENGAGE",IF($E2294="ATTRIBUE",'ENGAGEMENTS 2026'!AE2294,'ENGAGEMENTS 2026'!O2294),'ENGAGEMENTS 2026'!AE2294))))</f>
        <v/>
      </c>
      <c r="K2294" s="604">
        <f>IF(ISBLANK('ENGAGEMENTS 2026'!W2294),"",'ENGAGEMENTS 2026'!W2294)</f>
        <v/>
      </c>
      <c r="L2294" s="276">
        <f>IF($K2294="","",TODAY()-$K2294)</f>
        <v/>
      </c>
      <c r="M2294">
        <f>IF($A2294="","",IF($H2294="ENGAGE","Engagé",IF(AND($H2294="NON ENGAGE",OR($I2294="INFRUCTUEUX",$I2294="ANNULE")),"Clôturé sans suite","En cours")))</f>
        <v/>
      </c>
      <c r="N2294">
        <f>IF(ISBLANK('ENGAGEMENTS 2026'!C2294),"",'ENGAGEMENTS 2026'!L2294)</f>
        <v/>
      </c>
      <c r="O2294">
        <f>IF(ISBLANK('ENGAGEMENTS 2026'!C2294),"",'ENGAGEMENTS 2026'!M2294)</f>
        <v/>
      </c>
      <c r="P2294">
        <f>IF(ISBLANK('ENGAGEMENTS 2026'!C2294),"",'ENGAGEMENTS 2026'!K2294)</f>
        <v/>
      </c>
      <c r="Q2294">
        <f>IF($A2294="","",IF(OR($E2294="INFRUCTUEUX",$E2294="ANNULE"),$A2294&amp;"|"&amp;(COUNTIFS($A$2:$A2294,$A2294,$E$2:$E2294,"INFRUCTUEUX")+COUNTIFS($A$2:$A2294,$A2294,$E$2:$E2294,"ANNULE")),""))</f>
        <v/>
      </c>
    </row>
    <row r="2295">
      <c r="A2295">
        <f>IF(ISBLANK('ENGAGEMENTS 2026'!C2295),"",IF('ENGAGEMENTS 2026'!C2295="DTSI","DCT",'ENGAGEMENTS 2026'!C2295))</f>
        <v/>
      </c>
      <c r="B2295">
        <f>IF(ISBLANK('ENGAGEMENTS 2026'!C2295),"",'ENGAGEMENTS 2026'!D2295)</f>
        <v/>
      </c>
      <c r="C2295">
        <f>IF(ISBLANK('ENGAGEMENTS 2026'!C2295),"",'ENGAGEMENTS 2026'!E2295)</f>
        <v/>
      </c>
      <c r="D2295">
        <f>IF(ISBLANK('ENGAGEMENTS 2026'!C2295),"",'ENGAGEMENTS 2026'!G2295)</f>
        <v/>
      </c>
      <c r="E2295">
        <f>IF(ISBLANK('ENGAGEMENTS 2026'!C2295),"",'ENGAGEMENTS 2026'!I2295)</f>
        <v/>
      </c>
      <c r="F2295">
        <f>IF(ISBLANK('ENGAGEMENTS 2026'!C2295),"",'ENGAGEMENTS 2026'!J2295)</f>
        <v/>
      </c>
      <c r="G2295">
        <f>IF(ISBLANK('ENGAGEMENTS 2026'!C2295),"",'ENGAGEMENTS 2026'!M2295)</f>
        <v/>
      </c>
      <c r="H2295">
        <f>IF(ISBLANK('ENGAGEMENTS 2026'!C2295),"",'ENGAGEMENTS 2026'!AF2295)</f>
        <v/>
      </c>
      <c r="I2295">
        <f>IF(ISBLANK('ENGAGEMENTS 2026'!C2295),"",'ENGAGEMENTS 2026'!H2295)</f>
        <v/>
      </c>
      <c r="J2295" s="275">
        <f>IF(ISBLANK('ENGAGEMENTS 2026'!C2295),"",IF(AND(OR($E2295="INFRUCTUEUX",$E2295="ANNULE"),$C2295="AOO-M"),'ENGAGEMENTS 2026'!P2295,IF($H2295="EN COURS DE PREENGAGEMENT",'ENGAGEMENTS 2026'!O2295,IF($H2295="PREENGAGE",IF($E2295="ATTRIBUE",'ENGAGEMENTS 2026'!AE2295,'ENGAGEMENTS 2026'!O2295),'ENGAGEMENTS 2026'!AE2295))))</f>
        <v/>
      </c>
      <c r="K2295" s="604">
        <f>IF(ISBLANK('ENGAGEMENTS 2026'!W2295),"",'ENGAGEMENTS 2026'!W2295)</f>
        <v/>
      </c>
      <c r="L2295" s="276">
        <f>IF($K2295="","",TODAY()-$K2295)</f>
        <v/>
      </c>
      <c r="M2295">
        <f>IF($A2295="","",IF($H2295="ENGAGE","Engagé",IF(AND($H2295="NON ENGAGE",OR($I2295="INFRUCTUEUX",$I2295="ANNULE")),"Clôturé sans suite","En cours")))</f>
        <v/>
      </c>
      <c r="N2295">
        <f>IF(ISBLANK('ENGAGEMENTS 2026'!C2295),"",'ENGAGEMENTS 2026'!L2295)</f>
        <v/>
      </c>
      <c r="O2295">
        <f>IF(ISBLANK('ENGAGEMENTS 2026'!C2295),"",'ENGAGEMENTS 2026'!M2295)</f>
        <v/>
      </c>
      <c r="P2295">
        <f>IF(ISBLANK('ENGAGEMENTS 2026'!C2295),"",'ENGAGEMENTS 2026'!K2295)</f>
        <v/>
      </c>
      <c r="Q2295">
        <f>IF($A2295="","",IF(OR($E2295="INFRUCTUEUX",$E2295="ANNULE"),$A2295&amp;"|"&amp;(COUNTIFS($A$2:$A2295,$A2295,$E$2:$E2295,"INFRUCTUEUX")+COUNTIFS($A$2:$A2295,$A2295,$E$2:$E2295,"ANNULE")),""))</f>
        <v/>
      </c>
    </row>
    <row r="2296">
      <c r="A2296">
        <f>IF(ISBLANK('ENGAGEMENTS 2026'!C2296),"",IF('ENGAGEMENTS 2026'!C2296="DTSI","DCT",'ENGAGEMENTS 2026'!C2296))</f>
        <v/>
      </c>
      <c r="B2296">
        <f>IF(ISBLANK('ENGAGEMENTS 2026'!C2296),"",'ENGAGEMENTS 2026'!D2296)</f>
        <v/>
      </c>
      <c r="C2296">
        <f>IF(ISBLANK('ENGAGEMENTS 2026'!C2296),"",'ENGAGEMENTS 2026'!E2296)</f>
        <v/>
      </c>
      <c r="D2296">
        <f>IF(ISBLANK('ENGAGEMENTS 2026'!C2296),"",'ENGAGEMENTS 2026'!G2296)</f>
        <v/>
      </c>
      <c r="E2296">
        <f>IF(ISBLANK('ENGAGEMENTS 2026'!C2296),"",'ENGAGEMENTS 2026'!I2296)</f>
        <v/>
      </c>
      <c r="F2296">
        <f>IF(ISBLANK('ENGAGEMENTS 2026'!C2296),"",'ENGAGEMENTS 2026'!J2296)</f>
        <v/>
      </c>
      <c r="G2296">
        <f>IF(ISBLANK('ENGAGEMENTS 2026'!C2296),"",'ENGAGEMENTS 2026'!M2296)</f>
        <v/>
      </c>
      <c r="H2296">
        <f>IF(ISBLANK('ENGAGEMENTS 2026'!C2296),"",'ENGAGEMENTS 2026'!AF2296)</f>
        <v/>
      </c>
      <c r="I2296">
        <f>IF(ISBLANK('ENGAGEMENTS 2026'!C2296),"",'ENGAGEMENTS 2026'!H2296)</f>
        <v/>
      </c>
      <c r="J2296" s="275">
        <f>IF(ISBLANK('ENGAGEMENTS 2026'!C2296),"",IF(AND(OR($E2296="INFRUCTUEUX",$E2296="ANNULE"),$C2296="AOO-M"),'ENGAGEMENTS 2026'!P2296,IF($H2296="EN COURS DE PREENGAGEMENT",'ENGAGEMENTS 2026'!O2296,IF($H2296="PREENGAGE",IF($E2296="ATTRIBUE",'ENGAGEMENTS 2026'!AE2296,'ENGAGEMENTS 2026'!O2296),'ENGAGEMENTS 2026'!AE2296))))</f>
        <v/>
      </c>
      <c r="K2296" s="604">
        <f>IF(ISBLANK('ENGAGEMENTS 2026'!W2296),"",'ENGAGEMENTS 2026'!W2296)</f>
        <v/>
      </c>
      <c r="L2296" s="276">
        <f>IF($K2296="","",TODAY()-$K2296)</f>
        <v/>
      </c>
      <c r="M2296">
        <f>IF($A2296="","",IF($H2296="ENGAGE","Engagé",IF(AND($H2296="NON ENGAGE",OR($I2296="INFRUCTUEUX",$I2296="ANNULE")),"Clôturé sans suite","En cours")))</f>
        <v/>
      </c>
      <c r="N2296">
        <f>IF(ISBLANK('ENGAGEMENTS 2026'!C2296),"",'ENGAGEMENTS 2026'!L2296)</f>
        <v/>
      </c>
      <c r="O2296">
        <f>IF(ISBLANK('ENGAGEMENTS 2026'!C2296),"",'ENGAGEMENTS 2026'!M2296)</f>
        <v/>
      </c>
      <c r="P2296">
        <f>IF(ISBLANK('ENGAGEMENTS 2026'!C2296),"",'ENGAGEMENTS 2026'!K2296)</f>
        <v/>
      </c>
      <c r="Q2296">
        <f>IF($A2296="","",IF(OR($E2296="INFRUCTUEUX",$E2296="ANNULE"),$A2296&amp;"|"&amp;(COUNTIFS($A$2:$A2296,$A2296,$E$2:$E2296,"INFRUCTUEUX")+COUNTIFS($A$2:$A2296,$A2296,$E$2:$E2296,"ANNULE")),""))</f>
        <v/>
      </c>
    </row>
    <row r="2297">
      <c r="A2297">
        <f>IF(ISBLANK('ENGAGEMENTS 2026'!C2297),"",IF('ENGAGEMENTS 2026'!C2297="DTSI","DCT",'ENGAGEMENTS 2026'!C2297))</f>
        <v/>
      </c>
      <c r="B2297">
        <f>IF(ISBLANK('ENGAGEMENTS 2026'!C2297),"",'ENGAGEMENTS 2026'!D2297)</f>
        <v/>
      </c>
      <c r="C2297">
        <f>IF(ISBLANK('ENGAGEMENTS 2026'!C2297),"",'ENGAGEMENTS 2026'!E2297)</f>
        <v/>
      </c>
      <c r="D2297">
        <f>IF(ISBLANK('ENGAGEMENTS 2026'!C2297),"",'ENGAGEMENTS 2026'!G2297)</f>
        <v/>
      </c>
      <c r="E2297">
        <f>IF(ISBLANK('ENGAGEMENTS 2026'!C2297),"",'ENGAGEMENTS 2026'!I2297)</f>
        <v/>
      </c>
      <c r="F2297">
        <f>IF(ISBLANK('ENGAGEMENTS 2026'!C2297),"",'ENGAGEMENTS 2026'!J2297)</f>
        <v/>
      </c>
      <c r="G2297">
        <f>IF(ISBLANK('ENGAGEMENTS 2026'!C2297),"",'ENGAGEMENTS 2026'!M2297)</f>
        <v/>
      </c>
      <c r="H2297">
        <f>IF(ISBLANK('ENGAGEMENTS 2026'!C2297),"",'ENGAGEMENTS 2026'!AF2297)</f>
        <v/>
      </c>
      <c r="I2297">
        <f>IF(ISBLANK('ENGAGEMENTS 2026'!C2297),"",'ENGAGEMENTS 2026'!H2297)</f>
        <v/>
      </c>
      <c r="J2297" s="275">
        <f>IF(ISBLANK('ENGAGEMENTS 2026'!C2297),"",IF(AND(OR($E2297="INFRUCTUEUX",$E2297="ANNULE"),$C2297="AOO-M"),'ENGAGEMENTS 2026'!P2297,IF($H2297="EN COURS DE PREENGAGEMENT",'ENGAGEMENTS 2026'!O2297,IF($H2297="PREENGAGE",IF($E2297="ATTRIBUE",'ENGAGEMENTS 2026'!AE2297,'ENGAGEMENTS 2026'!O2297),'ENGAGEMENTS 2026'!AE2297))))</f>
        <v/>
      </c>
      <c r="K2297" s="604">
        <f>IF(ISBLANK('ENGAGEMENTS 2026'!W2297),"",'ENGAGEMENTS 2026'!W2297)</f>
        <v/>
      </c>
      <c r="L2297" s="276">
        <f>IF($K2297="","",TODAY()-$K2297)</f>
        <v/>
      </c>
      <c r="M2297">
        <f>IF($A2297="","",IF($H2297="ENGAGE","Engagé",IF(AND($H2297="NON ENGAGE",OR($I2297="INFRUCTUEUX",$I2297="ANNULE")),"Clôturé sans suite","En cours")))</f>
        <v/>
      </c>
      <c r="N2297">
        <f>IF(ISBLANK('ENGAGEMENTS 2026'!C2297),"",'ENGAGEMENTS 2026'!L2297)</f>
        <v/>
      </c>
      <c r="O2297">
        <f>IF(ISBLANK('ENGAGEMENTS 2026'!C2297),"",'ENGAGEMENTS 2026'!M2297)</f>
        <v/>
      </c>
      <c r="P2297">
        <f>IF(ISBLANK('ENGAGEMENTS 2026'!C2297),"",'ENGAGEMENTS 2026'!K2297)</f>
        <v/>
      </c>
      <c r="Q2297">
        <f>IF($A2297="","",IF(OR($E2297="INFRUCTUEUX",$E2297="ANNULE"),$A2297&amp;"|"&amp;(COUNTIFS($A$2:$A2297,$A2297,$E$2:$E2297,"INFRUCTUEUX")+COUNTIFS($A$2:$A2297,$A2297,$E$2:$E2297,"ANNULE")),""))</f>
        <v/>
      </c>
    </row>
    <row r="2298">
      <c r="A2298">
        <f>IF(ISBLANK('ENGAGEMENTS 2026'!C2298),"",IF('ENGAGEMENTS 2026'!C2298="DTSI","DCT",'ENGAGEMENTS 2026'!C2298))</f>
        <v/>
      </c>
      <c r="B2298">
        <f>IF(ISBLANK('ENGAGEMENTS 2026'!C2298),"",'ENGAGEMENTS 2026'!D2298)</f>
        <v/>
      </c>
      <c r="C2298">
        <f>IF(ISBLANK('ENGAGEMENTS 2026'!C2298),"",'ENGAGEMENTS 2026'!E2298)</f>
        <v/>
      </c>
      <c r="D2298">
        <f>IF(ISBLANK('ENGAGEMENTS 2026'!C2298),"",'ENGAGEMENTS 2026'!G2298)</f>
        <v/>
      </c>
      <c r="E2298">
        <f>IF(ISBLANK('ENGAGEMENTS 2026'!C2298),"",'ENGAGEMENTS 2026'!I2298)</f>
        <v/>
      </c>
      <c r="F2298">
        <f>IF(ISBLANK('ENGAGEMENTS 2026'!C2298),"",'ENGAGEMENTS 2026'!J2298)</f>
        <v/>
      </c>
      <c r="G2298">
        <f>IF(ISBLANK('ENGAGEMENTS 2026'!C2298),"",'ENGAGEMENTS 2026'!M2298)</f>
        <v/>
      </c>
      <c r="H2298">
        <f>IF(ISBLANK('ENGAGEMENTS 2026'!C2298),"",'ENGAGEMENTS 2026'!AF2298)</f>
        <v/>
      </c>
      <c r="I2298">
        <f>IF(ISBLANK('ENGAGEMENTS 2026'!C2298),"",'ENGAGEMENTS 2026'!H2298)</f>
        <v/>
      </c>
      <c r="J2298" s="275">
        <f>IF(ISBLANK('ENGAGEMENTS 2026'!C2298),"",IF(AND(OR($E2298="INFRUCTUEUX",$E2298="ANNULE"),$C2298="AOO-M"),'ENGAGEMENTS 2026'!P2298,IF($H2298="EN COURS DE PREENGAGEMENT",'ENGAGEMENTS 2026'!O2298,IF($H2298="PREENGAGE",IF($E2298="ATTRIBUE",'ENGAGEMENTS 2026'!AE2298,'ENGAGEMENTS 2026'!O2298),'ENGAGEMENTS 2026'!AE2298))))</f>
        <v/>
      </c>
      <c r="K2298" s="604">
        <f>IF(ISBLANK('ENGAGEMENTS 2026'!W2298),"",'ENGAGEMENTS 2026'!W2298)</f>
        <v/>
      </c>
      <c r="L2298" s="276">
        <f>IF($K2298="","",TODAY()-$K2298)</f>
        <v/>
      </c>
      <c r="M2298">
        <f>IF($A2298="","",IF($H2298="ENGAGE","Engagé",IF(AND($H2298="NON ENGAGE",OR($I2298="INFRUCTUEUX",$I2298="ANNULE")),"Clôturé sans suite","En cours")))</f>
        <v/>
      </c>
      <c r="N2298">
        <f>IF(ISBLANK('ENGAGEMENTS 2026'!C2298),"",'ENGAGEMENTS 2026'!L2298)</f>
        <v/>
      </c>
      <c r="O2298">
        <f>IF(ISBLANK('ENGAGEMENTS 2026'!C2298),"",'ENGAGEMENTS 2026'!M2298)</f>
        <v/>
      </c>
      <c r="P2298">
        <f>IF(ISBLANK('ENGAGEMENTS 2026'!C2298),"",'ENGAGEMENTS 2026'!K2298)</f>
        <v/>
      </c>
      <c r="Q2298">
        <f>IF($A2298="","",IF(OR($E2298="INFRUCTUEUX",$E2298="ANNULE"),$A2298&amp;"|"&amp;(COUNTIFS($A$2:$A2298,$A2298,$E$2:$E2298,"INFRUCTUEUX")+COUNTIFS($A$2:$A2298,$A2298,$E$2:$E2298,"ANNULE")),""))</f>
        <v/>
      </c>
    </row>
    <row r="2299">
      <c r="A2299">
        <f>IF(ISBLANK('ENGAGEMENTS 2026'!C2299),"",IF('ENGAGEMENTS 2026'!C2299="DTSI","DCT",'ENGAGEMENTS 2026'!C2299))</f>
        <v/>
      </c>
      <c r="B2299">
        <f>IF(ISBLANK('ENGAGEMENTS 2026'!C2299),"",'ENGAGEMENTS 2026'!D2299)</f>
        <v/>
      </c>
      <c r="C2299">
        <f>IF(ISBLANK('ENGAGEMENTS 2026'!C2299),"",'ENGAGEMENTS 2026'!E2299)</f>
        <v/>
      </c>
      <c r="D2299">
        <f>IF(ISBLANK('ENGAGEMENTS 2026'!C2299),"",'ENGAGEMENTS 2026'!G2299)</f>
        <v/>
      </c>
      <c r="E2299">
        <f>IF(ISBLANK('ENGAGEMENTS 2026'!C2299),"",'ENGAGEMENTS 2026'!I2299)</f>
        <v/>
      </c>
      <c r="F2299">
        <f>IF(ISBLANK('ENGAGEMENTS 2026'!C2299),"",'ENGAGEMENTS 2026'!J2299)</f>
        <v/>
      </c>
      <c r="G2299">
        <f>IF(ISBLANK('ENGAGEMENTS 2026'!C2299),"",'ENGAGEMENTS 2026'!M2299)</f>
        <v/>
      </c>
      <c r="H2299">
        <f>IF(ISBLANK('ENGAGEMENTS 2026'!C2299),"",'ENGAGEMENTS 2026'!AF2299)</f>
        <v/>
      </c>
      <c r="I2299">
        <f>IF(ISBLANK('ENGAGEMENTS 2026'!C2299),"",'ENGAGEMENTS 2026'!H2299)</f>
        <v/>
      </c>
      <c r="J2299" s="275">
        <f>IF(ISBLANK('ENGAGEMENTS 2026'!C2299),"",IF(AND(OR($E2299="INFRUCTUEUX",$E2299="ANNULE"),$C2299="AOO-M"),'ENGAGEMENTS 2026'!P2299,IF($H2299="EN COURS DE PREENGAGEMENT",'ENGAGEMENTS 2026'!O2299,IF($H2299="PREENGAGE",IF($E2299="ATTRIBUE",'ENGAGEMENTS 2026'!AE2299,'ENGAGEMENTS 2026'!O2299),'ENGAGEMENTS 2026'!AE2299))))</f>
        <v/>
      </c>
      <c r="K2299" s="604">
        <f>IF(ISBLANK('ENGAGEMENTS 2026'!W2299),"",'ENGAGEMENTS 2026'!W2299)</f>
        <v/>
      </c>
      <c r="L2299" s="276">
        <f>IF($K2299="","",TODAY()-$K2299)</f>
        <v/>
      </c>
      <c r="M2299">
        <f>IF($A2299="","",IF($H2299="ENGAGE","Engagé",IF(AND($H2299="NON ENGAGE",OR($I2299="INFRUCTUEUX",$I2299="ANNULE")),"Clôturé sans suite","En cours")))</f>
        <v/>
      </c>
      <c r="N2299">
        <f>IF(ISBLANK('ENGAGEMENTS 2026'!C2299),"",'ENGAGEMENTS 2026'!L2299)</f>
        <v/>
      </c>
      <c r="O2299">
        <f>IF(ISBLANK('ENGAGEMENTS 2026'!C2299),"",'ENGAGEMENTS 2026'!M2299)</f>
        <v/>
      </c>
      <c r="P2299">
        <f>IF(ISBLANK('ENGAGEMENTS 2026'!C2299),"",'ENGAGEMENTS 2026'!K2299)</f>
        <v/>
      </c>
      <c r="Q2299">
        <f>IF($A2299="","",IF(OR($E2299="INFRUCTUEUX",$E2299="ANNULE"),$A2299&amp;"|"&amp;(COUNTIFS($A$2:$A2299,$A2299,$E$2:$E2299,"INFRUCTUEUX")+COUNTIFS($A$2:$A2299,$A2299,$E$2:$E2299,"ANNULE")),""))</f>
        <v/>
      </c>
    </row>
    <row r="2300">
      <c r="A2300">
        <f>IF(ISBLANK('ENGAGEMENTS 2026'!C2300),"",IF('ENGAGEMENTS 2026'!C2300="DTSI","DCT",'ENGAGEMENTS 2026'!C2300))</f>
        <v/>
      </c>
      <c r="B2300">
        <f>IF(ISBLANK('ENGAGEMENTS 2026'!C2300),"",'ENGAGEMENTS 2026'!D2300)</f>
        <v/>
      </c>
      <c r="C2300">
        <f>IF(ISBLANK('ENGAGEMENTS 2026'!C2300),"",'ENGAGEMENTS 2026'!E2300)</f>
        <v/>
      </c>
      <c r="D2300">
        <f>IF(ISBLANK('ENGAGEMENTS 2026'!C2300),"",'ENGAGEMENTS 2026'!G2300)</f>
        <v/>
      </c>
      <c r="E2300">
        <f>IF(ISBLANK('ENGAGEMENTS 2026'!C2300),"",'ENGAGEMENTS 2026'!I2300)</f>
        <v/>
      </c>
      <c r="F2300">
        <f>IF(ISBLANK('ENGAGEMENTS 2026'!C2300),"",'ENGAGEMENTS 2026'!J2300)</f>
        <v/>
      </c>
      <c r="G2300">
        <f>IF(ISBLANK('ENGAGEMENTS 2026'!C2300),"",'ENGAGEMENTS 2026'!M2300)</f>
        <v/>
      </c>
      <c r="H2300">
        <f>IF(ISBLANK('ENGAGEMENTS 2026'!C2300),"",'ENGAGEMENTS 2026'!AF2300)</f>
        <v/>
      </c>
      <c r="I2300">
        <f>IF(ISBLANK('ENGAGEMENTS 2026'!C2300),"",'ENGAGEMENTS 2026'!H2300)</f>
        <v/>
      </c>
      <c r="J2300" s="275">
        <f>IF(ISBLANK('ENGAGEMENTS 2026'!C2300),"",IF(AND(OR($E2300="INFRUCTUEUX",$E2300="ANNULE"),$C2300="AOO-M"),'ENGAGEMENTS 2026'!P2300,IF($H2300="EN COURS DE PREENGAGEMENT",'ENGAGEMENTS 2026'!O2300,IF($H2300="PREENGAGE",IF($E2300="ATTRIBUE",'ENGAGEMENTS 2026'!AE2300,'ENGAGEMENTS 2026'!O2300),'ENGAGEMENTS 2026'!AE2300))))</f>
        <v/>
      </c>
      <c r="K2300" s="604">
        <f>IF(ISBLANK('ENGAGEMENTS 2026'!W2300),"",'ENGAGEMENTS 2026'!W2300)</f>
        <v/>
      </c>
      <c r="L2300" s="276">
        <f>IF($K2300="","",TODAY()-$K2300)</f>
        <v/>
      </c>
      <c r="M2300">
        <f>IF($A2300="","",IF($H2300="ENGAGE","Engagé",IF(AND($H2300="NON ENGAGE",OR($I2300="INFRUCTUEUX",$I2300="ANNULE")),"Clôturé sans suite","En cours")))</f>
        <v/>
      </c>
      <c r="N2300">
        <f>IF(ISBLANK('ENGAGEMENTS 2026'!C2300),"",'ENGAGEMENTS 2026'!L2300)</f>
        <v/>
      </c>
      <c r="O2300">
        <f>IF(ISBLANK('ENGAGEMENTS 2026'!C2300),"",'ENGAGEMENTS 2026'!M2300)</f>
        <v/>
      </c>
      <c r="P2300">
        <f>IF(ISBLANK('ENGAGEMENTS 2026'!C2300),"",'ENGAGEMENTS 2026'!K2300)</f>
        <v/>
      </c>
      <c r="Q2300">
        <f>IF($A2300="","",IF(OR($E2300="INFRUCTUEUX",$E2300="ANNULE"),$A2300&amp;"|"&amp;(COUNTIFS($A$2:$A2300,$A2300,$E$2:$E2300,"INFRUCTUEUX")+COUNTIFS($A$2:$A2300,$A2300,$E$2:$E2300,"ANNULE")),""))</f>
        <v/>
      </c>
    </row>
    <row r="2301">
      <c r="A2301">
        <f>IF(ISBLANK('ENGAGEMENTS 2026'!C2301),"",IF('ENGAGEMENTS 2026'!C2301="DTSI","DCT",'ENGAGEMENTS 2026'!C2301))</f>
        <v/>
      </c>
      <c r="B2301">
        <f>IF(ISBLANK('ENGAGEMENTS 2026'!C2301),"",'ENGAGEMENTS 2026'!D2301)</f>
        <v/>
      </c>
      <c r="C2301">
        <f>IF(ISBLANK('ENGAGEMENTS 2026'!C2301),"",'ENGAGEMENTS 2026'!E2301)</f>
        <v/>
      </c>
      <c r="D2301">
        <f>IF(ISBLANK('ENGAGEMENTS 2026'!C2301),"",'ENGAGEMENTS 2026'!G2301)</f>
        <v/>
      </c>
      <c r="E2301">
        <f>IF(ISBLANK('ENGAGEMENTS 2026'!C2301),"",'ENGAGEMENTS 2026'!I2301)</f>
        <v/>
      </c>
      <c r="F2301">
        <f>IF(ISBLANK('ENGAGEMENTS 2026'!C2301),"",'ENGAGEMENTS 2026'!J2301)</f>
        <v/>
      </c>
      <c r="G2301">
        <f>IF(ISBLANK('ENGAGEMENTS 2026'!C2301),"",'ENGAGEMENTS 2026'!M2301)</f>
        <v/>
      </c>
      <c r="H2301">
        <f>IF(ISBLANK('ENGAGEMENTS 2026'!C2301),"",'ENGAGEMENTS 2026'!AF2301)</f>
        <v/>
      </c>
      <c r="I2301">
        <f>IF(ISBLANK('ENGAGEMENTS 2026'!C2301),"",'ENGAGEMENTS 2026'!H2301)</f>
        <v/>
      </c>
      <c r="J2301" s="275">
        <f>IF(ISBLANK('ENGAGEMENTS 2026'!C2301),"",IF(AND(OR($E2301="INFRUCTUEUX",$E2301="ANNULE"),$C2301="AOO-M"),'ENGAGEMENTS 2026'!P2301,IF($H2301="EN COURS DE PREENGAGEMENT",'ENGAGEMENTS 2026'!O2301,IF($H2301="PREENGAGE",IF($E2301="ATTRIBUE",'ENGAGEMENTS 2026'!AE2301,'ENGAGEMENTS 2026'!O2301),'ENGAGEMENTS 2026'!AE2301))))</f>
        <v/>
      </c>
      <c r="K2301" s="604">
        <f>IF(ISBLANK('ENGAGEMENTS 2026'!W2301),"",'ENGAGEMENTS 2026'!W2301)</f>
        <v/>
      </c>
      <c r="L2301" s="276">
        <f>IF($K2301="","",TODAY()-$K2301)</f>
        <v/>
      </c>
      <c r="M2301">
        <f>IF($A2301="","",IF($H2301="ENGAGE","Engagé",IF(AND($H2301="NON ENGAGE",OR($I2301="INFRUCTUEUX",$I2301="ANNULE")),"Clôturé sans suite","En cours")))</f>
        <v/>
      </c>
      <c r="N2301">
        <f>IF(ISBLANK('ENGAGEMENTS 2026'!C2301),"",'ENGAGEMENTS 2026'!L2301)</f>
        <v/>
      </c>
      <c r="O2301">
        <f>IF(ISBLANK('ENGAGEMENTS 2026'!C2301),"",'ENGAGEMENTS 2026'!M2301)</f>
        <v/>
      </c>
      <c r="P2301">
        <f>IF(ISBLANK('ENGAGEMENTS 2026'!C2301),"",'ENGAGEMENTS 2026'!K2301)</f>
        <v/>
      </c>
      <c r="Q2301">
        <f>IF($A2301="","",IF(OR($E2301="INFRUCTUEUX",$E2301="ANNULE"),$A2301&amp;"|"&amp;(COUNTIFS($A$2:$A2301,$A2301,$E$2:$E2301,"INFRUCTUEUX")+COUNTIFS($A$2:$A2301,$A2301,$E$2:$E2301,"ANNULE")),""))</f>
        <v/>
      </c>
    </row>
    <row r="2302">
      <c r="A2302">
        <f>IF(ISBLANK('ENGAGEMENTS 2026'!C2302),"",IF('ENGAGEMENTS 2026'!C2302="DTSI","DCT",'ENGAGEMENTS 2026'!C2302))</f>
        <v/>
      </c>
      <c r="B2302">
        <f>IF(ISBLANK('ENGAGEMENTS 2026'!C2302),"",'ENGAGEMENTS 2026'!D2302)</f>
        <v/>
      </c>
      <c r="C2302">
        <f>IF(ISBLANK('ENGAGEMENTS 2026'!C2302),"",'ENGAGEMENTS 2026'!E2302)</f>
        <v/>
      </c>
      <c r="D2302">
        <f>IF(ISBLANK('ENGAGEMENTS 2026'!C2302),"",'ENGAGEMENTS 2026'!G2302)</f>
        <v/>
      </c>
      <c r="E2302">
        <f>IF(ISBLANK('ENGAGEMENTS 2026'!C2302),"",'ENGAGEMENTS 2026'!I2302)</f>
        <v/>
      </c>
      <c r="F2302">
        <f>IF(ISBLANK('ENGAGEMENTS 2026'!C2302),"",'ENGAGEMENTS 2026'!J2302)</f>
        <v/>
      </c>
      <c r="G2302">
        <f>IF(ISBLANK('ENGAGEMENTS 2026'!C2302),"",'ENGAGEMENTS 2026'!M2302)</f>
        <v/>
      </c>
      <c r="H2302">
        <f>IF(ISBLANK('ENGAGEMENTS 2026'!C2302),"",'ENGAGEMENTS 2026'!AF2302)</f>
        <v/>
      </c>
      <c r="I2302">
        <f>IF(ISBLANK('ENGAGEMENTS 2026'!C2302),"",'ENGAGEMENTS 2026'!H2302)</f>
        <v/>
      </c>
      <c r="J2302" s="275">
        <f>IF(ISBLANK('ENGAGEMENTS 2026'!C2302),"",IF(AND(OR($E2302="INFRUCTUEUX",$E2302="ANNULE"),$C2302="AOO-M"),'ENGAGEMENTS 2026'!P2302,IF($H2302="EN COURS DE PREENGAGEMENT",'ENGAGEMENTS 2026'!O2302,IF($H2302="PREENGAGE",IF($E2302="ATTRIBUE",'ENGAGEMENTS 2026'!AE2302,'ENGAGEMENTS 2026'!O2302),'ENGAGEMENTS 2026'!AE2302))))</f>
        <v/>
      </c>
      <c r="K2302" s="604">
        <f>IF(ISBLANK('ENGAGEMENTS 2026'!W2302),"",'ENGAGEMENTS 2026'!W2302)</f>
        <v/>
      </c>
      <c r="L2302" s="276">
        <f>IF($K2302="","",TODAY()-$K2302)</f>
        <v/>
      </c>
      <c r="M2302">
        <f>IF($A2302="","",IF($H2302="ENGAGE","Engagé",IF(AND($H2302="NON ENGAGE",OR($I2302="INFRUCTUEUX",$I2302="ANNULE")),"Clôturé sans suite","En cours")))</f>
        <v/>
      </c>
      <c r="N2302">
        <f>IF(ISBLANK('ENGAGEMENTS 2026'!C2302),"",'ENGAGEMENTS 2026'!L2302)</f>
        <v/>
      </c>
      <c r="O2302">
        <f>IF(ISBLANK('ENGAGEMENTS 2026'!C2302),"",'ENGAGEMENTS 2026'!M2302)</f>
        <v/>
      </c>
      <c r="P2302">
        <f>IF(ISBLANK('ENGAGEMENTS 2026'!C2302),"",'ENGAGEMENTS 2026'!K2302)</f>
        <v/>
      </c>
      <c r="Q2302">
        <f>IF($A2302="","",IF(OR($E2302="INFRUCTUEUX",$E2302="ANNULE"),$A2302&amp;"|"&amp;(COUNTIFS($A$2:$A2302,$A2302,$E$2:$E2302,"INFRUCTUEUX")+COUNTIFS($A$2:$A2302,$A2302,$E$2:$E2302,"ANNULE")),""))</f>
        <v/>
      </c>
    </row>
    <row r="2303">
      <c r="A2303">
        <f>IF(ISBLANK('ENGAGEMENTS 2026'!C2303),"",IF('ENGAGEMENTS 2026'!C2303="DTSI","DCT",'ENGAGEMENTS 2026'!C2303))</f>
        <v/>
      </c>
      <c r="B2303">
        <f>IF(ISBLANK('ENGAGEMENTS 2026'!C2303),"",'ENGAGEMENTS 2026'!D2303)</f>
        <v/>
      </c>
      <c r="C2303">
        <f>IF(ISBLANK('ENGAGEMENTS 2026'!C2303),"",'ENGAGEMENTS 2026'!E2303)</f>
        <v/>
      </c>
      <c r="D2303">
        <f>IF(ISBLANK('ENGAGEMENTS 2026'!C2303),"",'ENGAGEMENTS 2026'!G2303)</f>
        <v/>
      </c>
      <c r="E2303">
        <f>IF(ISBLANK('ENGAGEMENTS 2026'!C2303),"",'ENGAGEMENTS 2026'!I2303)</f>
        <v/>
      </c>
      <c r="F2303">
        <f>IF(ISBLANK('ENGAGEMENTS 2026'!C2303),"",'ENGAGEMENTS 2026'!J2303)</f>
        <v/>
      </c>
      <c r="G2303">
        <f>IF(ISBLANK('ENGAGEMENTS 2026'!C2303),"",'ENGAGEMENTS 2026'!M2303)</f>
        <v/>
      </c>
      <c r="H2303">
        <f>IF(ISBLANK('ENGAGEMENTS 2026'!C2303),"",'ENGAGEMENTS 2026'!AF2303)</f>
        <v/>
      </c>
      <c r="I2303">
        <f>IF(ISBLANK('ENGAGEMENTS 2026'!C2303),"",'ENGAGEMENTS 2026'!H2303)</f>
        <v/>
      </c>
      <c r="J2303" s="275">
        <f>IF(ISBLANK('ENGAGEMENTS 2026'!C2303),"",IF(AND(OR($E2303="INFRUCTUEUX",$E2303="ANNULE"),$C2303="AOO-M"),'ENGAGEMENTS 2026'!P2303,IF($H2303="EN COURS DE PREENGAGEMENT",'ENGAGEMENTS 2026'!O2303,IF($H2303="PREENGAGE",IF($E2303="ATTRIBUE",'ENGAGEMENTS 2026'!AE2303,'ENGAGEMENTS 2026'!O2303),'ENGAGEMENTS 2026'!AE2303))))</f>
        <v/>
      </c>
      <c r="K2303" s="604">
        <f>IF(ISBLANK('ENGAGEMENTS 2026'!W2303),"",'ENGAGEMENTS 2026'!W2303)</f>
        <v/>
      </c>
      <c r="L2303" s="276">
        <f>IF($K2303="","",TODAY()-$K2303)</f>
        <v/>
      </c>
      <c r="M2303">
        <f>IF($A2303="","",IF($H2303="ENGAGE","Engagé",IF(AND($H2303="NON ENGAGE",OR($I2303="INFRUCTUEUX",$I2303="ANNULE")),"Clôturé sans suite","En cours")))</f>
        <v/>
      </c>
      <c r="N2303">
        <f>IF(ISBLANK('ENGAGEMENTS 2026'!C2303),"",'ENGAGEMENTS 2026'!L2303)</f>
        <v/>
      </c>
      <c r="O2303">
        <f>IF(ISBLANK('ENGAGEMENTS 2026'!C2303),"",'ENGAGEMENTS 2026'!M2303)</f>
        <v/>
      </c>
      <c r="P2303">
        <f>IF(ISBLANK('ENGAGEMENTS 2026'!C2303),"",'ENGAGEMENTS 2026'!K2303)</f>
        <v/>
      </c>
      <c r="Q2303">
        <f>IF($A2303="","",IF(OR($E2303="INFRUCTUEUX",$E2303="ANNULE"),$A2303&amp;"|"&amp;(COUNTIFS($A$2:$A2303,$A2303,$E$2:$E2303,"INFRUCTUEUX")+COUNTIFS($A$2:$A2303,$A2303,$E$2:$E2303,"ANNULE")),""))</f>
        <v/>
      </c>
    </row>
    <row r="2304">
      <c r="A2304">
        <f>IF(ISBLANK('ENGAGEMENTS 2026'!C2304),"",IF('ENGAGEMENTS 2026'!C2304="DTSI","DCT",'ENGAGEMENTS 2026'!C2304))</f>
        <v/>
      </c>
      <c r="B2304">
        <f>IF(ISBLANK('ENGAGEMENTS 2026'!C2304),"",'ENGAGEMENTS 2026'!D2304)</f>
        <v/>
      </c>
      <c r="C2304">
        <f>IF(ISBLANK('ENGAGEMENTS 2026'!C2304),"",'ENGAGEMENTS 2026'!E2304)</f>
        <v/>
      </c>
      <c r="D2304">
        <f>IF(ISBLANK('ENGAGEMENTS 2026'!C2304),"",'ENGAGEMENTS 2026'!G2304)</f>
        <v/>
      </c>
      <c r="E2304">
        <f>IF(ISBLANK('ENGAGEMENTS 2026'!C2304),"",'ENGAGEMENTS 2026'!I2304)</f>
        <v/>
      </c>
      <c r="F2304">
        <f>IF(ISBLANK('ENGAGEMENTS 2026'!C2304),"",'ENGAGEMENTS 2026'!J2304)</f>
        <v/>
      </c>
      <c r="G2304">
        <f>IF(ISBLANK('ENGAGEMENTS 2026'!C2304),"",'ENGAGEMENTS 2026'!M2304)</f>
        <v/>
      </c>
      <c r="H2304">
        <f>IF(ISBLANK('ENGAGEMENTS 2026'!C2304),"",'ENGAGEMENTS 2026'!AF2304)</f>
        <v/>
      </c>
      <c r="I2304">
        <f>IF(ISBLANK('ENGAGEMENTS 2026'!C2304),"",'ENGAGEMENTS 2026'!H2304)</f>
        <v/>
      </c>
      <c r="J2304" s="275">
        <f>IF(ISBLANK('ENGAGEMENTS 2026'!C2304),"",IF(AND(OR($E2304="INFRUCTUEUX",$E2304="ANNULE"),$C2304="AOO-M"),'ENGAGEMENTS 2026'!P2304,IF($H2304="EN COURS DE PREENGAGEMENT",'ENGAGEMENTS 2026'!O2304,IF($H2304="PREENGAGE",IF($E2304="ATTRIBUE",'ENGAGEMENTS 2026'!AE2304,'ENGAGEMENTS 2026'!O2304),'ENGAGEMENTS 2026'!AE2304))))</f>
        <v/>
      </c>
      <c r="K2304" s="604">
        <f>IF(ISBLANK('ENGAGEMENTS 2026'!W2304),"",'ENGAGEMENTS 2026'!W2304)</f>
        <v/>
      </c>
      <c r="L2304" s="276">
        <f>IF($K2304="","",TODAY()-$K2304)</f>
        <v/>
      </c>
      <c r="M2304">
        <f>IF($A2304="","",IF($H2304="ENGAGE","Engagé",IF(AND($H2304="NON ENGAGE",OR($I2304="INFRUCTUEUX",$I2304="ANNULE")),"Clôturé sans suite","En cours")))</f>
        <v/>
      </c>
      <c r="N2304">
        <f>IF(ISBLANK('ENGAGEMENTS 2026'!C2304),"",'ENGAGEMENTS 2026'!L2304)</f>
        <v/>
      </c>
      <c r="O2304">
        <f>IF(ISBLANK('ENGAGEMENTS 2026'!C2304),"",'ENGAGEMENTS 2026'!M2304)</f>
        <v/>
      </c>
      <c r="P2304">
        <f>IF(ISBLANK('ENGAGEMENTS 2026'!C2304),"",'ENGAGEMENTS 2026'!K2304)</f>
        <v/>
      </c>
      <c r="Q2304">
        <f>IF($A2304="","",IF(OR($E2304="INFRUCTUEUX",$E2304="ANNULE"),$A2304&amp;"|"&amp;(COUNTIFS($A$2:$A2304,$A2304,$E$2:$E2304,"INFRUCTUEUX")+COUNTIFS($A$2:$A2304,$A2304,$E$2:$E2304,"ANNULE")),""))</f>
        <v/>
      </c>
    </row>
    <row r="2305">
      <c r="A2305">
        <f>IF(ISBLANK('ENGAGEMENTS 2026'!C2305),"",IF('ENGAGEMENTS 2026'!C2305="DTSI","DCT",'ENGAGEMENTS 2026'!C2305))</f>
        <v/>
      </c>
      <c r="B2305">
        <f>IF(ISBLANK('ENGAGEMENTS 2026'!C2305),"",'ENGAGEMENTS 2026'!D2305)</f>
        <v/>
      </c>
      <c r="C2305">
        <f>IF(ISBLANK('ENGAGEMENTS 2026'!C2305),"",'ENGAGEMENTS 2026'!E2305)</f>
        <v/>
      </c>
      <c r="D2305">
        <f>IF(ISBLANK('ENGAGEMENTS 2026'!C2305),"",'ENGAGEMENTS 2026'!G2305)</f>
        <v/>
      </c>
      <c r="E2305">
        <f>IF(ISBLANK('ENGAGEMENTS 2026'!C2305),"",'ENGAGEMENTS 2026'!I2305)</f>
        <v/>
      </c>
      <c r="F2305">
        <f>IF(ISBLANK('ENGAGEMENTS 2026'!C2305),"",'ENGAGEMENTS 2026'!J2305)</f>
        <v/>
      </c>
      <c r="G2305">
        <f>IF(ISBLANK('ENGAGEMENTS 2026'!C2305),"",'ENGAGEMENTS 2026'!M2305)</f>
        <v/>
      </c>
      <c r="H2305">
        <f>IF(ISBLANK('ENGAGEMENTS 2026'!C2305),"",'ENGAGEMENTS 2026'!AF2305)</f>
        <v/>
      </c>
      <c r="I2305">
        <f>IF(ISBLANK('ENGAGEMENTS 2026'!C2305),"",'ENGAGEMENTS 2026'!H2305)</f>
        <v/>
      </c>
      <c r="J2305" s="275">
        <f>IF(ISBLANK('ENGAGEMENTS 2026'!C2305),"",IF(AND(OR($E2305="INFRUCTUEUX",$E2305="ANNULE"),$C2305="AOO-M"),'ENGAGEMENTS 2026'!P2305,IF($H2305="EN COURS DE PREENGAGEMENT",'ENGAGEMENTS 2026'!O2305,IF($H2305="PREENGAGE",IF($E2305="ATTRIBUE",'ENGAGEMENTS 2026'!AE2305,'ENGAGEMENTS 2026'!O2305),'ENGAGEMENTS 2026'!AE2305))))</f>
        <v/>
      </c>
      <c r="K2305" s="604">
        <f>IF(ISBLANK('ENGAGEMENTS 2026'!W2305),"",'ENGAGEMENTS 2026'!W2305)</f>
        <v/>
      </c>
      <c r="L2305" s="276">
        <f>IF($K2305="","",TODAY()-$K2305)</f>
        <v/>
      </c>
      <c r="M2305">
        <f>IF($A2305="","",IF($H2305="ENGAGE","Engagé",IF(AND($H2305="NON ENGAGE",OR($I2305="INFRUCTUEUX",$I2305="ANNULE")),"Clôturé sans suite","En cours")))</f>
        <v/>
      </c>
      <c r="N2305">
        <f>IF(ISBLANK('ENGAGEMENTS 2026'!C2305),"",'ENGAGEMENTS 2026'!L2305)</f>
        <v/>
      </c>
      <c r="O2305">
        <f>IF(ISBLANK('ENGAGEMENTS 2026'!C2305),"",'ENGAGEMENTS 2026'!M2305)</f>
        <v/>
      </c>
      <c r="P2305">
        <f>IF(ISBLANK('ENGAGEMENTS 2026'!C2305),"",'ENGAGEMENTS 2026'!K2305)</f>
        <v/>
      </c>
      <c r="Q2305">
        <f>IF($A2305="","",IF(OR($E2305="INFRUCTUEUX",$E2305="ANNULE"),$A2305&amp;"|"&amp;(COUNTIFS($A$2:$A2305,$A2305,$E$2:$E2305,"INFRUCTUEUX")+COUNTIFS($A$2:$A2305,$A2305,$E$2:$E2305,"ANNULE")),""))</f>
        <v/>
      </c>
    </row>
    <row r="2306">
      <c r="A2306">
        <f>IF(ISBLANK('ENGAGEMENTS 2026'!C2306),"",IF('ENGAGEMENTS 2026'!C2306="DTSI","DCT",'ENGAGEMENTS 2026'!C2306))</f>
        <v/>
      </c>
      <c r="B2306">
        <f>IF(ISBLANK('ENGAGEMENTS 2026'!C2306),"",'ENGAGEMENTS 2026'!D2306)</f>
        <v/>
      </c>
      <c r="C2306">
        <f>IF(ISBLANK('ENGAGEMENTS 2026'!C2306),"",'ENGAGEMENTS 2026'!E2306)</f>
        <v/>
      </c>
      <c r="D2306">
        <f>IF(ISBLANK('ENGAGEMENTS 2026'!C2306),"",'ENGAGEMENTS 2026'!G2306)</f>
        <v/>
      </c>
      <c r="E2306">
        <f>IF(ISBLANK('ENGAGEMENTS 2026'!C2306),"",'ENGAGEMENTS 2026'!I2306)</f>
        <v/>
      </c>
      <c r="F2306">
        <f>IF(ISBLANK('ENGAGEMENTS 2026'!C2306),"",'ENGAGEMENTS 2026'!J2306)</f>
        <v/>
      </c>
      <c r="G2306">
        <f>IF(ISBLANK('ENGAGEMENTS 2026'!C2306),"",'ENGAGEMENTS 2026'!M2306)</f>
        <v/>
      </c>
      <c r="H2306">
        <f>IF(ISBLANK('ENGAGEMENTS 2026'!C2306),"",'ENGAGEMENTS 2026'!AF2306)</f>
        <v/>
      </c>
      <c r="I2306">
        <f>IF(ISBLANK('ENGAGEMENTS 2026'!C2306),"",'ENGAGEMENTS 2026'!H2306)</f>
        <v/>
      </c>
      <c r="J2306" s="275">
        <f>IF(ISBLANK('ENGAGEMENTS 2026'!C2306),"",IF(AND(OR($E2306="INFRUCTUEUX",$E2306="ANNULE"),$C2306="AOO-M"),'ENGAGEMENTS 2026'!P2306,IF($H2306="EN COURS DE PREENGAGEMENT",'ENGAGEMENTS 2026'!O2306,IF($H2306="PREENGAGE",IF($E2306="ATTRIBUE",'ENGAGEMENTS 2026'!AE2306,'ENGAGEMENTS 2026'!O2306),'ENGAGEMENTS 2026'!AE2306))))</f>
        <v/>
      </c>
      <c r="K2306" s="604">
        <f>IF(ISBLANK('ENGAGEMENTS 2026'!W2306),"",'ENGAGEMENTS 2026'!W2306)</f>
        <v/>
      </c>
      <c r="L2306" s="276">
        <f>IF($K2306="","",TODAY()-$K2306)</f>
        <v/>
      </c>
      <c r="M2306">
        <f>IF($A2306="","",IF($H2306="ENGAGE","Engagé",IF(AND($H2306="NON ENGAGE",OR($I2306="INFRUCTUEUX",$I2306="ANNULE")),"Clôturé sans suite","En cours")))</f>
        <v/>
      </c>
      <c r="N2306">
        <f>IF(ISBLANK('ENGAGEMENTS 2026'!C2306),"",'ENGAGEMENTS 2026'!L2306)</f>
        <v/>
      </c>
      <c r="O2306">
        <f>IF(ISBLANK('ENGAGEMENTS 2026'!C2306),"",'ENGAGEMENTS 2026'!M2306)</f>
        <v/>
      </c>
      <c r="P2306">
        <f>IF(ISBLANK('ENGAGEMENTS 2026'!C2306),"",'ENGAGEMENTS 2026'!K2306)</f>
        <v/>
      </c>
      <c r="Q2306">
        <f>IF($A2306="","",IF(OR($E2306="INFRUCTUEUX",$E2306="ANNULE"),$A2306&amp;"|"&amp;(COUNTIFS($A$2:$A2306,$A2306,$E$2:$E2306,"INFRUCTUEUX")+COUNTIFS($A$2:$A2306,$A2306,$E$2:$E2306,"ANNULE")),""))</f>
        <v/>
      </c>
    </row>
    <row r="2307">
      <c r="A2307">
        <f>IF(ISBLANK('ENGAGEMENTS 2026'!C2307),"",IF('ENGAGEMENTS 2026'!C2307="DTSI","DCT",'ENGAGEMENTS 2026'!C2307))</f>
        <v/>
      </c>
      <c r="B2307">
        <f>IF(ISBLANK('ENGAGEMENTS 2026'!C2307),"",'ENGAGEMENTS 2026'!D2307)</f>
        <v/>
      </c>
      <c r="C2307">
        <f>IF(ISBLANK('ENGAGEMENTS 2026'!C2307),"",'ENGAGEMENTS 2026'!E2307)</f>
        <v/>
      </c>
      <c r="D2307">
        <f>IF(ISBLANK('ENGAGEMENTS 2026'!C2307),"",'ENGAGEMENTS 2026'!G2307)</f>
        <v/>
      </c>
      <c r="E2307">
        <f>IF(ISBLANK('ENGAGEMENTS 2026'!C2307),"",'ENGAGEMENTS 2026'!I2307)</f>
        <v/>
      </c>
      <c r="F2307">
        <f>IF(ISBLANK('ENGAGEMENTS 2026'!C2307),"",'ENGAGEMENTS 2026'!J2307)</f>
        <v/>
      </c>
      <c r="G2307">
        <f>IF(ISBLANK('ENGAGEMENTS 2026'!C2307),"",'ENGAGEMENTS 2026'!M2307)</f>
        <v/>
      </c>
      <c r="H2307">
        <f>IF(ISBLANK('ENGAGEMENTS 2026'!C2307),"",'ENGAGEMENTS 2026'!AF2307)</f>
        <v/>
      </c>
      <c r="I2307">
        <f>IF(ISBLANK('ENGAGEMENTS 2026'!C2307),"",'ENGAGEMENTS 2026'!H2307)</f>
        <v/>
      </c>
      <c r="J2307" s="275">
        <f>IF(ISBLANK('ENGAGEMENTS 2026'!C2307),"",IF(AND(OR($E2307="INFRUCTUEUX",$E2307="ANNULE"),$C2307="AOO-M"),'ENGAGEMENTS 2026'!P2307,IF($H2307="EN COURS DE PREENGAGEMENT",'ENGAGEMENTS 2026'!O2307,IF($H2307="PREENGAGE",IF($E2307="ATTRIBUE",'ENGAGEMENTS 2026'!AE2307,'ENGAGEMENTS 2026'!O2307),'ENGAGEMENTS 2026'!AE2307))))</f>
        <v/>
      </c>
      <c r="K2307" s="604">
        <f>IF(ISBLANK('ENGAGEMENTS 2026'!W2307),"",'ENGAGEMENTS 2026'!W2307)</f>
        <v/>
      </c>
      <c r="L2307" s="276">
        <f>IF($K2307="","",TODAY()-$K2307)</f>
        <v/>
      </c>
      <c r="M2307">
        <f>IF($A2307="","",IF($H2307="ENGAGE","Engagé",IF(AND($H2307="NON ENGAGE",OR($I2307="INFRUCTUEUX",$I2307="ANNULE")),"Clôturé sans suite","En cours")))</f>
        <v/>
      </c>
      <c r="N2307">
        <f>IF(ISBLANK('ENGAGEMENTS 2026'!C2307),"",'ENGAGEMENTS 2026'!L2307)</f>
        <v/>
      </c>
      <c r="O2307">
        <f>IF(ISBLANK('ENGAGEMENTS 2026'!C2307),"",'ENGAGEMENTS 2026'!M2307)</f>
        <v/>
      </c>
      <c r="P2307">
        <f>IF(ISBLANK('ENGAGEMENTS 2026'!C2307),"",'ENGAGEMENTS 2026'!K2307)</f>
        <v/>
      </c>
      <c r="Q2307">
        <f>IF($A2307="","",IF(OR($E2307="INFRUCTUEUX",$E2307="ANNULE"),$A2307&amp;"|"&amp;(COUNTIFS($A$2:$A2307,$A2307,$E$2:$E2307,"INFRUCTUEUX")+COUNTIFS($A$2:$A2307,$A2307,$E$2:$E2307,"ANNULE")),""))</f>
        <v/>
      </c>
    </row>
    <row r="2308">
      <c r="A2308">
        <f>IF(ISBLANK('ENGAGEMENTS 2026'!C2308),"",IF('ENGAGEMENTS 2026'!C2308="DTSI","DCT",'ENGAGEMENTS 2026'!C2308))</f>
        <v/>
      </c>
      <c r="B2308">
        <f>IF(ISBLANK('ENGAGEMENTS 2026'!C2308),"",'ENGAGEMENTS 2026'!D2308)</f>
        <v/>
      </c>
      <c r="C2308">
        <f>IF(ISBLANK('ENGAGEMENTS 2026'!C2308),"",'ENGAGEMENTS 2026'!E2308)</f>
        <v/>
      </c>
      <c r="D2308">
        <f>IF(ISBLANK('ENGAGEMENTS 2026'!C2308),"",'ENGAGEMENTS 2026'!G2308)</f>
        <v/>
      </c>
      <c r="E2308">
        <f>IF(ISBLANK('ENGAGEMENTS 2026'!C2308),"",'ENGAGEMENTS 2026'!I2308)</f>
        <v/>
      </c>
      <c r="F2308">
        <f>IF(ISBLANK('ENGAGEMENTS 2026'!C2308),"",'ENGAGEMENTS 2026'!J2308)</f>
        <v/>
      </c>
      <c r="G2308">
        <f>IF(ISBLANK('ENGAGEMENTS 2026'!C2308),"",'ENGAGEMENTS 2026'!M2308)</f>
        <v/>
      </c>
      <c r="H2308">
        <f>IF(ISBLANK('ENGAGEMENTS 2026'!C2308),"",'ENGAGEMENTS 2026'!AF2308)</f>
        <v/>
      </c>
      <c r="I2308">
        <f>IF(ISBLANK('ENGAGEMENTS 2026'!C2308),"",'ENGAGEMENTS 2026'!H2308)</f>
        <v/>
      </c>
      <c r="J2308" s="275">
        <f>IF(ISBLANK('ENGAGEMENTS 2026'!C2308),"",IF(AND(OR($E2308="INFRUCTUEUX",$E2308="ANNULE"),$C2308="AOO-M"),'ENGAGEMENTS 2026'!P2308,IF($H2308="EN COURS DE PREENGAGEMENT",'ENGAGEMENTS 2026'!O2308,IF($H2308="PREENGAGE",IF($E2308="ATTRIBUE",'ENGAGEMENTS 2026'!AE2308,'ENGAGEMENTS 2026'!O2308),'ENGAGEMENTS 2026'!AE2308))))</f>
        <v/>
      </c>
      <c r="K2308" s="604">
        <f>IF(ISBLANK('ENGAGEMENTS 2026'!W2308),"",'ENGAGEMENTS 2026'!W2308)</f>
        <v/>
      </c>
      <c r="L2308" s="276">
        <f>IF($K2308="","",TODAY()-$K2308)</f>
        <v/>
      </c>
      <c r="M2308">
        <f>IF($A2308="","",IF($H2308="ENGAGE","Engagé",IF(AND($H2308="NON ENGAGE",OR($I2308="INFRUCTUEUX",$I2308="ANNULE")),"Clôturé sans suite","En cours")))</f>
        <v/>
      </c>
      <c r="N2308">
        <f>IF(ISBLANK('ENGAGEMENTS 2026'!C2308),"",'ENGAGEMENTS 2026'!L2308)</f>
        <v/>
      </c>
      <c r="O2308">
        <f>IF(ISBLANK('ENGAGEMENTS 2026'!C2308),"",'ENGAGEMENTS 2026'!M2308)</f>
        <v/>
      </c>
      <c r="P2308">
        <f>IF(ISBLANK('ENGAGEMENTS 2026'!C2308),"",'ENGAGEMENTS 2026'!K2308)</f>
        <v/>
      </c>
      <c r="Q2308">
        <f>IF($A2308="","",IF(OR($E2308="INFRUCTUEUX",$E2308="ANNULE"),$A2308&amp;"|"&amp;(COUNTIFS($A$2:$A2308,$A2308,$E$2:$E2308,"INFRUCTUEUX")+COUNTIFS($A$2:$A2308,$A2308,$E$2:$E2308,"ANNULE")),""))</f>
        <v/>
      </c>
    </row>
    <row r="2309">
      <c r="A2309">
        <f>IF(ISBLANK('ENGAGEMENTS 2026'!C2309),"",IF('ENGAGEMENTS 2026'!C2309="DTSI","DCT",'ENGAGEMENTS 2026'!C2309))</f>
        <v/>
      </c>
      <c r="B2309">
        <f>IF(ISBLANK('ENGAGEMENTS 2026'!C2309),"",'ENGAGEMENTS 2026'!D2309)</f>
        <v/>
      </c>
      <c r="C2309">
        <f>IF(ISBLANK('ENGAGEMENTS 2026'!C2309),"",'ENGAGEMENTS 2026'!E2309)</f>
        <v/>
      </c>
      <c r="D2309">
        <f>IF(ISBLANK('ENGAGEMENTS 2026'!C2309),"",'ENGAGEMENTS 2026'!G2309)</f>
        <v/>
      </c>
      <c r="E2309">
        <f>IF(ISBLANK('ENGAGEMENTS 2026'!C2309),"",'ENGAGEMENTS 2026'!I2309)</f>
        <v/>
      </c>
      <c r="F2309">
        <f>IF(ISBLANK('ENGAGEMENTS 2026'!C2309),"",'ENGAGEMENTS 2026'!J2309)</f>
        <v/>
      </c>
      <c r="G2309">
        <f>IF(ISBLANK('ENGAGEMENTS 2026'!C2309),"",'ENGAGEMENTS 2026'!M2309)</f>
        <v/>
      </c>
      <c r="H2309">
        <f>IF(ISBLANK('ENGAGEMENTS 2026'!C2309),"",'ENGAGEMENTS 2026'!AF2309)</f>
        <v/>
      </c>
      <c r="I2309">
        <f>IF(ISBLANK('ENGAGEMENTS 2026'!C2309),"",'ENGAGEMENTS 2026'!H2309)</f>
        <v/>
      </c>
      <c r="J2309" s="275">
        <f>IF(ISBLANK('ENGAGEMENTS 2026'!C2309),"",IF(AND(OR($E2309="INFRUCTUEUX",$E2309="ANNULE"),$C2309="AOO-M"),'ENGAGEMENTS 2026'!P2309,IF($H2309="EN COURS DE PREENGAGEMENT",'ENGAGEMENTS 2026'!O2309,IF($H2309="PREENGAGE",IF($E2309="ATTRIBUE",'ENGAGEMENTS 2026'!AE2309,'ENGAGEMENTS 2026'!O2309),'ENGAGEMENTS 2026'!AE2309))))</f>
        <v/>
      </c>
      <c r="K2309" s="604">
        <f>IF(ISBLANK('ENGAGEMENTS 2026'!W2309),"",'ENGAGEMENTS 2026'!W2309)</f>
        <v/>
      </c>
      <c r="L2309" s="276">
        <f>IF($K2309="","",TODAY()-$K2309)</f>
        <v/>
      </c>
      <c r="M2309">
        <f>IF($A2309="","",IF($H2309="ENGAGE","Engagé",IF(AND($H2309="NON ENGAGE",OR($I2309="INFRUCTUEUX",$I2309="ANNULE")),"Clôturé sans suite","En cours")))</f>
        <v/>
      </c>
      <c r="N2309">
        <f>IF(ISBLANK('ENGAGEMENTS 2026'!C2309),"",'ENGAGEMENTS 2026'!L2309)</f>
        <v/>
      </c>
      <c r="O2309">
        <f>IF(ISBLANK('ENGAGEMENTS 2026'!C2309),"",'ENGAGEMENTS 2026'!M2309)</f>
        <v/>
      </c>
      <c r="P2309">
        <f>IF(ISBLANK('ENGAGEMENTS 2026'!C2309),"",'ENGAGEMENTS 2026'!K2309)</f>
        <v/>
      </c>
      <c r="Q2309">
        <f>IF($A2309="","",IF(OR($E2309="INFRUCTUEUX",$E2309="ANNULE"),$A2309&amp;"|"&amp;(COUNTIFS($A$2:$A2309,$A2309,$E$2:$E2309,"INFRUCTUEUX")+COUNTIFS($A$2:$A2309,$A2309,$E$2:$E2309,"ANNULE")),""))</f>
        <v/>
      </c>
    </row>
    <row r="2310">
      <c r="A2310">
        <f>IF(ISBLANK('ENGAGEMENTS 2026'!C2310),"",IF('ENGAGEMENTS 2026'!C2310="DTSI","DCT",'ENGAGEMENTS 2026'!C2310))</f>
        <v/>
      </c>
      <c r="B2310">
        <f>IF(ISBLANK('ENGAGEMENTS 2026'!C2310),"",'ENGAGEMENTS 2026'!D2310)</f>
        <v/>
      </c>
      <c r="C2310">
        <f>IF(ISBLANK('ENGAGEMENTS 2026'!C2310),"",'ENGAGEMENTS 2026'!E2310)</f>
        <v/>
      </c>
      <c r="D2310">
        <f>IF(ISBLANK('ENGAGEMENTS 2026'!C2310),"",'ENGAGEMENTS 2026'!G2310)</f>
        <v/>
      </c>
      <c r="E2310">
        <f>IF(ISBLANK('ENGAGEMENTS 2026'!C2310),"",'ENGAGEMENTS 2026'!I2310)</f>
        <v/>
      </c>
      <c r="F2310">
        <f>IF(ISBLANK('ENGAGEMENTS 2026'!C2310),"",'ENGAGEMENTS 2026'!J2310)</f>
        <v/>
      </c>
      <c r="G2310">
        <f>IF(ISBLANK('ENGAGEMENTS 2026'!C2310),"",'ENGAGEMENTS 2026'!M2310)</f>
        <v/>
      </c>
      <c r="H2310">
        <f>IF(ISBLANK('ENGAGEMENTS 2026'!C2310),"",'ENGAGEMENTS 2026'!AF2310)</f>
        <v/>
      </c>
      <c r="I2310">
        <f>IF(ISBLANK('ENGAGEMENTS 2026'!C2310),"",'ENGAGEMENTS 2026'!H2310)</f>
        <v/>
      </c>
      <c r="J2310" s="275">
        <f>IF(ISBLANK('ENGAGEMENTS 2026'!C2310),"",IF(AND(OR($E2310="INFRUCTUEUX",$E2310="ANNULE"),$C2310="AOO-M"),'ENGAGEMENTS 2026'!P2310,IF($H2310="EN COURS DE PREENGAGEMENT",'ENGAGEMENTS 2026'!O2310,IF($H2310="PREENGAGE",IF($E2310="ATTRIBUE",'ENGAGEMENTS 2026'!AE2310,'ENGAGEMENTS 2026'!O2310),'ENGAGEMENTS 2026'!AE2310))))</f>
        <v/>
      </c>
      <c r="K2310" s="604">
        <f>IF(ISBLANK('ENGAGEMENTS 2026'!W2310),"",'ENGAGEMENTS 2026'!W2310)</f>
        <v/>
      </c>
      <c r="L2310" s="276">
        <f>IF($K2310="","",TODAY()-$K2310)</f>
        <v/>
      </c>
      <c r="M2310">
        <f>IF($A2310="","",IF($H2310="ENGAGE","Engagé",IF(AND($H2310="NON ENGAGE",OR($I2310="INFRUCTUEUX",$I2310="ANNULE")),"Clôturé sans suite","En cours")))</f>
        <v/>
      </c>
      <c r="N2310">
        <f>IF(ISBLANK('ENGAGEMENTS 2026'!C2310),"",'ENGAGEMENTS 2026'!L2310)</f>
        <v/>
      </c>
      <c r="O2310">
        <f>IF(ISBLANK('ENGAGEMENTS 2026'!C2310),"",'ENGAGEMENTS 2026'!M2310)</f>
        <v/>
      </c>
      <c r="P2310">
        <f>IF(ISBLANK('ENGAGEMENTS 2026'!C2310),"",'ENGAGEMENTS 2026'!K2310)</f>
        <v/>
      </c>
      <c r="Q2310">
        <f>IF($A2310="","",IF(OR($E2310="INFRUCTUEUX",$E2310="ANNULE"),$A2310&amp;"|"&amp;(COUNTIFS($A$2:$A2310,$A2310,$E$2:$E2310,"INFRUCTUEUX")+COUNTIFS($A$2:$A2310,$A2310,$E$2:$E2310,"ANNULE")),""))</f>
        <v/>
      </c>
    </row>
    <row r="2311">
      <c r="A2311">
        <f>IF(ISBLANK('ENGAGEMENTS 2026'!C2311),"",IF('ENGAGEMENTS 2026'!C2311="DTSI","DCT",'ENGAGEMENTS 2026'!C2311))</f>
        <v/>
      </c>
      <c r="B2311">
        <f>IF(ISBLANK('ENGAGEMENTS 2026'!C2311),"",'ENGAGEMENTS 2026'!D2311)</f>
        <v/>
      </c>
      <c r="C2311">
        <f>IF(ISBLANK('ENGAGEMENTS 2026'!C2311),"",'ENGAGEMENTS 2026'!E2311)</f>
        <v/>
      </c>
      <c r="D2311">
        <f>IF(ISBLANK('ENGAGEMENTS 2026'!C2311),"",'ENGAGEMENTS 2026'!G2311)</f>
        <v/>
      </c>
      <c r="E2311">
        <f>IF(ISBLANK('ENGAGEMENTS 2026'!C2311),"",'ENGAGEMENTS 2026'!I2311)</f>
        <v/>
      </c>
      <c r="F2311">
        <f>IF(ISBLANK('ENGAGEMENTS 2026'!C2311),"",'ENGAGEMENTS 2026'!J2311)</f>
        <v/>
      </c>
      <c r="G2311">
        <f>IF(ISBLANK('ENGAGEMENTS 2026'!C2311),"",'ENGAGEMENTS 2026'!M2311)</f>
        <v/>
      </c>
      <c r="H2311">
        <f>IF(ISBLANK('ENGAGEMENTS 2026'!C2311),"",'ENGAGEMENTS 2026'!AF2311)</f>
        <v/>
      </c>
      <c r="I2311">
        <f>IF(ISBLANK('ENGAGEMENTS 2026'!C2311),"",'ENGAGEMENTS 2026'!H2311)</f>
        <v/>
      </c>
      <c r="J2311" s="275">
        <f>IF(ISBLANK('ENGAGEMENTS 2026'!C2311),"",IF(AND(OR($E2311="INFRUCTUEUX",$E2311="ANNULE"),$C2311="AOO-M"),'ENGAGEMENTS 2026'!P2311,IF($H2311="EN COURS DE PREENGAGEMENT",'ENGAGEMENTS 2026'!O2311,IF($H2311="PREENGAGE",IF($E2311="ATTRIBUE",'ENGAGEMENTS 2026'!AE2311,'ENGAGEMENTS 2026'!O2311),'ENGAGEMENTS 2026'!AE2311))))</f>
        <v/>
      </c>
      <c r="K2311" s="604">
        <f>IF(ISBLANK('ENGAGEMENTS 2026'!W2311),"",'ENGAGEMENTS 2026'!W2311)</f>
        <v/>
      </c>
      <c r="L2311" s="276">
        <f>IF($K2311="","",TODAY()-$K2311)</f>
        <v/>
      </c>
      <c r="M2311">
        <f>IF($A2311="","",IF($H2311="ENGAGE","Engagé",IF(AND($H2311="NON ENGAGE",OR($I2311="INFRUCTUEUX",$I2311="ANNULE")),"Clôturé sans suite","En cours")))</f>
        <v/>
      </c>
      <c r="N2311">
        <f>IF(ISBLANK('ENGAGEMENTS 2026'!C2311),"",'ENGAGEMENTS 2026'!L2311)</f>
        <v/>
      </c>
      <c r="O2311">
        <f>IF(ISBLANK('ENGAGEMENTS 2026'!C2311),"",'ENGAGEMENTS 2026'!M2311)</f>
        <v/>
      </c>
      <c r="P2311">
        <f>IF(ISBLANK('ENGAGEMENTS 2026'!C2311),"",'ENGAGEMENTS 2026'!K2311)</f>
        <v/>
      </c>
      <c r="Q2311">
        <f>IF($A2311="","",IF(OR($E2311="INFRUCTUEUX",$E2311="ANNULE"),$A2311&amp;"|"&amp;(COUNTIFS($A$2:$A2311,$A2311,$E$2:$E2311,"INFRUCTUEUX")+COUNTIFS($A$2:$A2311,$A2311,$E$2:$E2311,"ANNULE")),""))</f>
        <v/>
      </c>
    </row>
    <row r="2312">
      <c r="A2312">
        <f>IF(ISBLANK('ENGAGEMENTS 2026'!C2312),"",IF('ENGAGEMENTS 2026'!C2312="DTSI","DCT",'ENGAGEMENTS 2026'!C2312))</f>
        <v/>
      </c>
      <c r="B2312">
        <f>IF(ISBLANK('ENGAGEMENTS 2026'!C2312),"",'ENGAGEMENTS 2026'!D2312)</f>
        <v/>
      </c>
      <c r="C2312">
        <f>IF(ISBLANK('ENGAGEMENTS 2026'!C2312),"",'ENGAGEMENTS 2026'!E2312)</f>
        <v/>
      </c>
      <c r="D2312">
        <f>IF(ISBLANK('ENGAGEMENTS 2026'!C2312),"",'ENGAGEMENTS 2026'!G2312)</f>
        <v/>
      </c>
      <c r="E2312">
        <f>IF(ISBLANK('ENGAGEMENTS 2026'!C2312),"",'ENGAGEMENTS 2026'!I2312)</f>
        <v/>
      </c>
      <c r="F2312">
        <f>IF(ISBLANK('ENGAGEMENTS 2026'!C2312),"",'ENGAGEMENTS 2026'!J2312)</f>
        <v/>
      </c>
      <c r="G2312">
        <f>IF(ISBLANK('ENGAGEMENTS 2026'!C2312),"",'ENGAGEMENTS 2026'!M2312)</f>
        <v/>
      </c>
      <c r="H2312">
        <f>IF(ISBLANK('ENGAGEMENTS 2026'!C2312),"",'ENGAGEMENTS 2026'!AF2312)</f>
        <v/>
      </c>
      <c r="I2312">
        <f>IF(ISBLANK('ENGAGEMENTS 2026'!C2312),"",'ENGAGEMENTS 2026'!H2312)</f>
        <v/>
      </c>
      <c r="J2312" s="275">
        <f>IF(ISBLANK('ENGAGEMENTS 2026'!C2312),"",IF(AND(OR($E2312="INFRUCTUEUX",$E2312="ANNULE"),$C2312="AOO-M"),'ENGAGEMENTS 2026'!P2312,IF($H2312="EN COURS DE PREENGAGEMENT",'ENGAGEMENTS 2026'!O2312,IF($H2312="PREENGAGE",IF($E2312="ATTRIBUE",'ENGAGEMENTS 2026'!AE2312,'ENGAGEMENTS 2026'!O2312),'ENGAGEMENTS 2026'!AE2312))))</f>
        <v/>
      </c>
      <c r="K2312" s="604">
        <f>IF(ISBLANK('ENGAGEMENTS 2026'!W2312),"",'ENGAGEMENTS 2026'!W2312)</f>
        <v/>
      </c>
      <c r="L2312" s="276">
        <f>IF($K2312="","",TODAY()-$K2312)</f>
        <v/>
      </c>
      <c r="M2312">
        <f>IF($A2312="","",IF($H2312="ENGAGE","Engagé",IF(AND($H2312="NON ENGAGE",OR($I2312="INFRUCTUEUX",$I2312="ANNULE")),"Clôturé sans suite","En cours")))</f>
        <v/>
      </c>
      <c r="N2312">
        <f>IF(ISBLANK('ENGAGEMENTS 2026'!C2312),"",'ENGAGEMENTS 2026'!L2312)</f>
        <v/>
      </c>
      <c r="O2312">
        <f>IF(ISBLANK('ENGAGEMENTS 2026'!C2312),"",'ENGAGEMENTS 2026'!M2312)</f>
        <v/>
      </c>
      <c r="P2312">
        <f>IF(ISBLANK('ENGAGEMENTS 2026'!C2312),"",'ENGAGEMENTS 2026'!K2312)</f>
        <v/>
      </c>
      <c r="Q2312">
        <f>IF($A2312="","",IF(OR($E2312="INFRUCTUEUX",$E2312="ANNULE"),$A2312&amp;"|"&amp;(COUNTIFS($A$2:$A2312,$A2312,$E$2:$E2312,"INFRUCTUEUX")+COUNTIFS($A$2:$A2312,$A2312,$E$2:$E2312,"ANNULE")),""))</f>
        <v/>
      </c>
    </row>
    <row r="2313">
      <c r="A2313">
        <f>IF(ISBLANK('ENGAGEMENTS 2026'!C2313),"",IF('ENGAGEMENTS 2026'!C2313="DTSI","DCT",'ENGAGEMENTS 2026'!C2313))</f>
        <v/>
      </c>
      <c r="B2313">
        <f>IF(ISBLANK('ENGAGEMENTS 2026'!C2313),"",'ENGAGEMENTS 2026'!D2313)</f>
        <v/>
      </c>
      <c r="C2313">
        <f>IF(ISBLANK('ENGAGEMENTS 2026'!C2313),"",'ENGAGEMENTS 2026'!E2313)</f>
        <v/>
      </c>
      <c r="D2313">
        <f>IF(ISBLANK('ENGAGEMENTS 2026'!C2313),"",'ENGAGEMENTS 2026'!G2313)</f>
        <v/>
      </c>
      <c r="E2313">
        <f>IF(ISBLANK('ENGAGEMENTS 2026'!C2313),"",'ENGAGEMENTS 2026'!I2313)</f>
        <v/>
      </c>
      <c r="F2313">
        <f>IF(ISBLANK('ENGAGEMENTS 2026'!C2313),"",'ENGAGEMENTS 2026'!J2313)</f>
        <v/>
      </c>
      <c r="G2313">
        <f>IF(ISBLANK('ENGAGEMENTS 2026'!C2313),"",'ENGAGEMENTS 2026'!M2313)</f>
        <v/>
      </c>
      <c r="H2313">
        <f>IF(ISBLANK('ENGAGEMENTS 2026'!C2313),"",'ENGAGEMENTS 2026'!AF2313)</f>
        <v/>
      </c>
      <c r="I2313">
        <f>IF(ISBLANK('ENGAGEMENTS 2026'!C2313),"",'ENGAGEMENTS 2026'!H2313)</f>
        <v/>
      </c>
      <c r="J2313" s="275">
        <f>IF(ISBLANK('ENGAGEMENTS 2026'!C2313),"",IF(AND(OR($E2313="INFRUCTUEUX",$E2313="ANNULE"),$C2313="AOO-M"),'ENGAGEMENTS 2026'!P2313,IF($H2313="EN COURS DE PREENGAGEMENT",'ENGAGEMENTS 2026'!O2313,IF($H2313="PREENGAGE",IF($E2313="ATTRIBUE",'ENGAGEMENTS 2026'!AE2313,'ENGAGEMENTS 2026'!O2313),'ENGAGEMENTS 2026'!AE2313))))</f>
        <v/>
      </c>
      <c r="K2313" s="604">
        <f>IF(ISBLANK('ENGAGEMENTS 2026'!W2313),"",'ENGAGEMENTS 2026'!W2313)</f>
        <v/>
      </c>
      <c r="L2313" s="276">
        <f>IF($K2313="","",TODAY()-$K2313)</f>
        <v/>
      </c>
      <c r="M2313">
        <f>IF($A2313="","",IF($H2313="ENGAGE","Engagé",IF(AND($H2313="NON ENGAGE",OR($I2313="INFRUCTUEUX",$I2313="ANNULE")),"Clôturé sans suite","En cours")))</f>
        <v/>
      </c>
      <c r="N2313">
        <f>IF(ISBLANK('ENGAGEMENTS 2026'!C2313),"",'ENGAGEMENTS 2026'!L2313)</f>
        <v/>
      </c>
      <c r="O2313">
        <f>IF(ISBLANK('ENGAGEMENTS 2026'!C2313),"",'ENGAGEMENTS 2026'!M2313)</f>
        <v/>
      </c>
      <c r="P2313">
        <f>IF(ISBLANK('ENGAGEMENTS 2026'!C2313),"",'ENGAGEMENTS 2026'!K2313)</f>
        <v/>
      </c>
      <c r="Q2313">
        <f>IF($A2313="","",IF(OR($E2313="INFRUCTUEUX",$E2313="ANNULE"),$A2313&amp;"|"&amp;(COUNTIFS($A$2:$A2313,$A2313,$E$2:$E2313,"INFRUCTUEUX")+COUNTIFS($A$2:$A2313,$A2313,$E$2:$E2313,"ANNULE")),""))</f>
        <v/>
      </c>
    </row>
    <row r="2314">
      <c r="A2314">
        <f>IF(ISBLANK('ENGAGEMENTS 2026'!C2314),"",IF('ENGAGEMENTS 2026'!C2314="DTSI","DCT",'ENGAGEMENTS 2026'!C2314))</f>
        <v/>
      </c>
      <c r="B2314">
        <f>IF(ISBLANK('ENGAGEMENTS 2026'!C2314),"",'ENGAGEMENTS 2026'!D2314)</f>
        <v/>
      </c>
      <c r="C2314">
        <f>IF(ISBLANK('ENGAGEMENTS 2026'!C2314),"",'ENGAGEMENTS 2026'!E2314)</f>
        <v/>
      </c>
      <c r="D2314">
        <f>IF(ISBLANK('ENGAGEMENTS 2026'!C2314),"",'ENGAGEMENTS 2026'!G2314)</f>
        <v/>
      </c>
      <c r="E2314">
        <f>IF(ISBLANK('ENGAGEMENTS 2026'!C2314),"",'ENGAGEMENTS 2026'!I2314)</f>
        <v/>
      </c>
      <c r="F2314">
        <f>IF(ISBLANK('ENGAGEMENTS 2026'!C2314),"",'ENGAGEMENTS 2026'!J2314)</f>
        <v/>
      </c>
      <c r="G2314">
        <f>IF(ISBLANK('ENGAGEMENTS 2026'!C2314),"",'ENGAGEMENTS 2026'!M2314)</f>
        <v/>
      </c>
      <c r="H2314">
        <f>IF(ISBLANK('ENGAGEMENTS 2026'!C2314),"",'ENGAGEMENTS 2026'!AF2314)</f>
        <v/>
      </c>
      <c r="I2314">
        <f>IF(ISBLANK('ENGAGEMENTS 2026'!C2314),"",'ENGAGEMENTS 2026'!H2314)</f>
        <v/>
      </c>
      <c r="J2314" s="275">
        <f>IF(ISBLANK('ENGAGEMENTS 2026'!C2314),"",IF(AND(OR($E2314="INFRUCTUEUX",$E2314="ANNULE"),$C2314="AOO-M"),'ENGAGEMENTS 2026'!P2314,IF($H2314="EN COURS DE PREENGAGEMENT",'ENGAGEMENTS 2026'!O2314,IF($H2314="PREENGAGE",IF($E2314="ATTRIBUE",'ENGAGEMENTS 2026'!AE2314,'ENGAGEMENTS 2026'!O2314),'ENGAGEMENTS 2026'!AE2314))))</f>
        <v/>
      </c>
      <c r="K2314" s="604">
        <f>IF(ISBLANK('ENGAGEMENTS 2026'!W2314),"",'ENGAGEMENTS 2026'!W2314)</f>
        <v/>
      </c>
      <c r="L2314" s="276">
        <f>IF($K2314="","",TODAY()-$K2314)</f>
        <v/>
      </c>
      <c r="M2314">
        <f>IF($A2314="","",IF($H2314="ENGAGE","Engagé",IF(AND($H2314="NON ENGAGE",OR($I2314="INFRUCTUEUX",$I2314="ANNULE")),"Clôturé sans suite","En cours")))</f>
        <v/>
      </c>
      <c r="N2314">
        <f>IF(ISBLANK('ENGAGEMENTS 2026'!C2314),"",'ENGAGEMENTS 2026'!L2314)</f>
        <v/>
      </c>
      <c r="O2314">
        <f>IF(ISBLANK('ENGAGEMENTS 2026'!C2314),"",'ENGAGEMENTS 2026'!M2314)</f>
        <v/>
      </c>
      <c r="P2314">
        <f>IF(ISBLANK('ENGAGEMENTS 2026'!C2314),"",'ENGAGEMENTS 2026'!K2314)</f>
        <v/>
      </c>
      <c r="Q2314">
        <f>IF($A2314="","",IF(OR($E2314="INFRUCTUEUX",$E2314="ANNULE"),$A2314&amp;"|"&amp;(COUNTIFS($A$2:$A2314,$A2314,$E$2:$E2314,"INFRUCTUEUX")+COUNTIFS($A$2:$A2314,$A2314,$E$2:$E2314,"ANNULE")),""))</f>
        <v/>
      </c>
    </row>
    <row r="2315">
      <c r="A2315">
        <f>IF(ISBLANK('ENGAGEMENTS 2026'!C2315),"",IF('ENGAGEMENTS 2026'!C2315="DTSI","DCT",'ENGAGEMENTS 2026'!C2315))</f>
        <v/>
      </c>
      <c r="B2315">
        <f>IF(ISBLANK('ENGAGEMENTS 2026'!C2315),"",'ENGAGEMENTS 2026'!D2315)</f>
        <v/>
      </c>
      <c r="C2315">
        <f>IF(ISBLANK('ENGAGEMENTS 2026'!C2315),"",'ENGAGEMENTS 2026'!E2315)</f>
        <v/>
      </c>
      <c r="D2315">
        <f>IF(ISBLANK('ENGAGEMENTS 2026'!C2315),"",'ENGAGEMENTS 2026'!G2315)</f>
        <v/>
      </c>
      <c r="E2315">
        <f>IF(ISBLANK('ENGAGEMENTS 2026'!C2315),"",'ENGAGEMENTS 2026'!I2315)</f>
        <v/>
      </c>
      <c r="F2315">
        <f>IF(ISBLANK('ENGAGEMENTS 2026'!C2315),"",'ENGAGEMENTS 2026'!J2315)</f>
        <v/>
      </c>
      <c r="G2315">
        <f>IF(ISBLANK('ENGAGEMENTS 2026'!C2315),"",'ENGAGEMENTS 2026'!M2315)</f>
        <v/>
      </c>
      <c r="H2315">
        <f>IF(ISBLANK('ENGAGEMENTS 2026'!C2315),"",'ENGAGEMENTS 2026'!AF2315)</f>
        <v/>
      </c>
      <c r="I2315">
        <f>IF(ISBLANK('ENGAGEMENTS 2026'!C2315),"",'ENGAGEMENTS 2026'!H2315)</f>
        <v/>
      </c>
      <c r="J2315" s="275">
        <f>IF(ISBLANK('ENGAGEMENTS 2026'!C2315),"",IF(AND(OR($E2315="INFRUCTUEUX",$E2315="ANNULE"),$C2315="AOO-M"),'ENGAGEMENTS 2026'!P2315,IF($H2315="EN COURS DE PREENGAGEMENT",'ENGAGEMENTS 2026'!O2315,IF($H2315="PREENGAGE",IF($E2315="ATTRIBUE",'ENGAGEMENTS 2026'!AE2315,'ENGAGEMENTS 2026'!O2315),'ENGAGEMENTS 2026'!AE2315))))</f>
        <v/>
      </c>
      <c r="K2315" s="604">
        <f>IF(ISBLANK('ENGAGEMENTS 2026'!W2315),"",'ENGAGEMENTS 2026'!W2315)</f>
        <v/>
      </c>
      <c r="L2315" s="276">
        <f>IF($K2315="","",TODAY()-$K2315)</f>
        <v/>
      </c>
      <c r="M2315">
        <f>IF($A2315="","",IF($H2315="ENGAGE","Engagé",IF(AND($H2315="NON ENGAGE",OR($I2315="INFRUCTUEUX",$I2315="ANNULE")),"Clôturé sans suite","En cours")))</f>
        <v/>
      </c>
      <c r="N2315">
        <f>IF(ISBLANK('ENGAGEMENTS 2026'!C2315),"",'ENGAGEMENTS 2026'!L2315)</f>
        <v/>
      </c>
      <c r="O2315">
        <f>IF(ISBLANK('ENGAGEMENTS 2026'!C2315),"",'ENGAGEMENTS 2026'!M2315)</f>
        <v/>
      </c>
      <c r="P2315">
        <f>IF(ISBLANK('ENGAGEMENTS 2026'!C2315),"",'ENGAGEMENTS 2026'!K2315)</f>
        <v/>
      </c>
      <c r="Q2315">
        <f>IF($A2315="","",IF(OR($E2315="INFRUCTUEUX",$E2315="ANNULE"),$A2315&amp;"|"&amp;(COUNTIFS($A$2:$A2315,$A2315,$E$2:$E2315,"INFRUCTUEUX")+COUNTIFS($A$2:$A2315,$A2315,$E$2:$E2315,"ANNULE")),""))</f>
        <v/>
      </c>
    </row>
    <row r="2316">
      <c r="A2316">
        <f>IF(ISBLANK('ENGAGEMENTS 2026'!C2316),"",IF('ENGAGEMENTS 2026'!C2316="DTSI","DCT",'ENGAGEMENTS 2026'!C2316))</f>
        <v/>
      </c>
      <c r="B2316">
        <f>IF(ISBLANK('ENGAGEMENTS 2026'!C2316),"",'ENGAGEMENTS 2026'!D2316)</f>
        <v/>
      </c>
      <c r="C2316">
        <f>IF(ISBLANK('ENGAGEMENTS 2026'!C2316),"",'ENGAGEMENTS 2026'!E2316)</f>
        <v/>
      </c>
      <c r="D2316">
        <f>IF(ISBLANK('ENGAGEMENTS 2026'!C2316),"",'ENGAGEMENTS 2026'!G2316)</f>
        <v/>
      </c>
      <c r="E2316">
        <f>IF(ISBLANK('ENGAGEMENTS 2026'!C2316),"",'ENGAGEMENTS 2026'!I2316)</f>
        <v/>
      </c>
      <c r="F2316">
        <f>IF(ISBLANK('ENGAGEMENTS 2026'!C2316),"",'ENGAGEMENTS 2026'!J2316)</f>
        <v/>
      </c>
      <c r="G2316">
        <f>IF(ISBLANK('ENGAGEMENTS 2026'!C2316),"",'ENGAGEMENTS 2026'!M2316)</f>
        <v/>
      </c>
      <c r="H2316">
        <f>IF(ISBLANK('ENGAGEMENTS 2026'!C2316),"",'ENGAGEMENTS 2026'!AF2316)</f>
        <v/>
      </c>
      <c r="I2316">
        <f>IF(ISBLANK('ENGAGEMENTS 2026'!C2316),"",'ENGAGEMENTS 2026'!H2316)</f>
        <v/>
      </c>
      <c r="J2316" s="275">
        <f>IF(ISBLANK('ENGAGEMENTS 2026'!C2316),"",IF(AND(OR($E2316="INFRUCTUEUX",$E2316="ANNULE"),$C2316="AOO-M"),'ENGAGEMENTS 2026'!P2316,IF($H2316="EN COURS DE PREENGAGEMENT",'ENGAGEMENTS 2026'!O2316,IF($H2316="PREENGAGE",IF($E2316="ATTRIBUE",'ENGAGEMENTS 2026'!AE2316,'ENGAGEMENTS 2026'!O2316),'ENGAGEMENTS 2026'!AE2316))))</f>
        <v/>
      </c>
      <c r="K2316" s="604">
        <f>IF(ISBLANK('ENGAGEMENTS 2026'!W2316),"",'ENGAGEMENTS 2026'!W2316)</f>
        <v/>
      </c>
      <c r="L2316" s="276">
        <f>IF($K2316="","",TODAY()-$K2316)</f>
        <v/>
      </c>
      <c r="M2316">
        <f>IF($A2316="","",IF($H2316="ENGAGE","Engagé",IF(AND($H2316="NON ENGAGE",OR($I2316="INFRUCTUEUX",$I2316="ANNULE")),"Clôturé sans suite","En cours")))</f>
        <v/>
      </c>
      <c r="N2316">
        <f>IF(ISBLANK('ENGAGEMENTS 2026'!C2316),"",'ENGAGEMENTS 2026'!L2316)</f>
        <v/>
      </c>
      <c r="O2316">
        <f>IF(ISBLANK('ENGAGEMENTS 2026'!C2316),"",'ENGAGEMENTS 2026'!M2316)</f>
        <v/>
      </c>
      <c r="P2316">
        <f>IF(ISBLANK('ENGAGEMENTS 2026'!C2316),"",'ENGAGEMENTS 2026'!K2316)</f>
        <v/>
      </c>
      <c r="Q2316">
        <f>IF($A2316="","",IF(OR($E2316="INFRUCTUEUX",$E2316="ANNULE"),$A2316&amp;"|"&amp;(COUNTIFS($A$2:$A2316,$A2316,$E$2:$E2316,"INFRUCTUEUX")+COUNTIFS($A$2:$A2316,$A2316,$E$2:$E2316,"ANNULE")),""))</f>
        <v/>
      </c>
    </row>
    <row r="2317">
      <c r="A2317">
        <f>IF(ISBLANK('ENGAGEMENTS 2026'!C2317),"",IF('ENGAGEMENTS 2026'!C2317="DTSI","DCT",'ENGAGEMENTS 2026'!C2317))</f>
        <v/>
      </c>
      <c r="B2317">
        <f>IF(ISBLANK('ENGAGEMENTS 2026'!C2317),"",'ENGAGEMENTS 2026'!D2317)</f>
        <v/>
      </c>
      <c r="C2317">
        <f>IF(ISBLANK('ENGAGEMENTS 2026'!C2317),"",'ENGAGEMENTS 2026'!E2317)</f>
        <v/>
      </c>
      <c r="D2317">
        <f>IF(ISBLANK('ENGAGEMENTS 2026'!C2317),"",'ENGAGEMENTS 2026'!G2317)</f>
        <v/>
      </c>
      <c r="E2317">
        <f>IF(ISBLANK('ENGAGEMENTS 2026'!C2317),"",'ENGAGEMENTS 2026'!I2317)</f>
        <v/>
      </c>
      <c r="F2317">
        <f>IF(ISBLANK('ENGAGEMENTS 2026'!C2317),"",'ENGAGEMENTS 2026'!J2317)</f>
        <v/>
      </c>
      <c r="G2317">
        <f>IF(ISBLANK('ENGAGEMENTS 2026'!C2317),"",'ENGAGEMENTS 2026'!M2317)</f>
        <v/>
      </c>
      <c r="H2317">
        <f>IF(ISBLANK('ENGAGEMENTS 2026'!C2317),"",'ENGAGEMENTS 2026'!AF2317)</f>
        <v/>
      </c>
      <c r="I2317">
        <f>IF(ISBLANK('ENGAGEMENTS 2026'!C2317),"",'ENGAGEMENTS 2026'!H2317)</f>
        <v/>
      </c>
      <c r="J2317" s="275">
        <f>IF(ISBLANK('ENGAGEMENTS 2026'!C2317),"",IF(AND(OR($E2317="INFRUCTUEUX",$E2317="ANNULE"),$C2317="AOO-M"),'ENGAGEMENTS 2026'!P2317,IF($H2317="EN COURS DE PREENGAGEMENT",'ENGAGEMENTS 2026'!O2317,IF($H2317="PREENGAGE",IF($E2317="ATTRIBUE",'ENGAGEMENTS 2026'!AE2317,'ENGAGEMENTS 2026'!O2317),'ENGAGEMENTS 2026'!AE2317))))</f>
        <v/>
      </c>
      <c r="K2317" s="604">
        <f>IF(ISBLANK('ENGAGEMENTS 2026'!W2317),"",'ENGAGEMENTS 2026'!W2317)</f>
        <v/>
      </c>
      <c r="L2317" s="276">
        <f>IF($K2317="","",TODAY()-$K2317)</f>
        <v/>
      </c>
      <c r="M2317">
        <f>IF($A2317="","",IF($H2317="ENGAGE","Engagé",IF(AND($H2317="NON ENGAGE",OR($I2317="INFRUCTUEUX",$I2317="ANNULE")),"Clôturé sans suite","En cours")))</f>
        <v/>
      </c>
      <c r="N2317">
        <f>IF(ISBLANK('ENGAGEMENTS 2026'!C2317),"",'ENGAGEMENTS 2026'!L2317)</f>
        <v/>
      </c>
      <c r="O2317">
        <f>IF(ISBLANK('ENGAGEMENTS 2026'!C2317),"",'ENGAGEMENTS 2026'!M2317)</f>
        <v/>
      </c>
      <c r="P2317">
        <f>IF(ISBLANK('ENGAGEMENTS 2026'!C2317),"",'ENGAGEMENTS 2026'!K2317)</f>
        <v/>
      </c>
      <c r="Q2317">
        <f>IF($A2317="","",IF(OR($E2317="INFRUCTUEUX",$E2317="ANNULE"),$A2317&amp;"|"&amp;(COUNTIFS($A$2:$A2317,$A2317,$E$2:$E2317,"INFRUCTUEUX")+COUNTIFS($A$2:$A2317,$A2317,$E$2:$E2317,"ANNULE")),""))</f>
        <v/>
      </c>
    </row>
    <row r="2318">
      <c r="A2318">
        <f>IF(ISBLANK('ENGAGEMENTS 2026'!C2318),"",IF('ENGAGEMENTS 2026'!C2318="DTSI","DCT",'ENGAGEMENTS 2026'!C2318))</f>
        <v/>
      </c>
      <c r="B2318">
        <f>IF(ISBLANK('ENGAGEMENTS 2026'!C2318),"",'ENGAGEMENTS 2026'!D2318)</f>
        <v/>
      </c>
      <c r="C2318">
        <f>IF(ISBLANK('ENGAGEMENTS 2026'!C2318),"",'ENGAGEMENTS 2026'!E2318)</f>
        <v/>
      </c>
      <c r="D2318">
        <f>IF(ISBLANK('ENGAGEMENTS 2026'!C2318),"",'ENGAGEMENTS 2026'!G2318)</f>
        <v/>
      </c>
      <c r="E2318">
        <f>IF(ISBLANK('ENGAGEMENTS 2026'!C2318),"",'ENGAGEMENTS 2026'!I2318)</f>
        <v/>
      </c>
      <c r="F2318">
        <f>IF(ISBLANK('ENGAGEMENTS 2026'!C2318),"",'ENGAGEMENTS 2026'!J2318)</f>
        <v/>
      </c>
      <c r="G2318">
        <f>IF(ISBLANK('ENGAGEMENTS 2026'!C2318),"",'ENGAGEMENTS 2026'!M2318)</f>
        <v/>
      </c>
      <c r="H2318">
        <f>IF(ISBLANK('ENGAGEMENTS 2026'!C2318),"",'ENGAGEMENTS 2026'!AF2318)</f>
        <v/>
      </c>
      <c r="I2318">
        <f>IF(ISBLANK('ENGAGEMENTS 2026'!C2318),"",'ENGAGEMENTS 2026'!H2318)</f>
        <v/>
      </c>
      <c r="J2318" s="275">
        <f>IF(ISBLANK('ENGAGEMENTS 2026'!C2318),"",IF(AND(OR($E2318="INFRUCTUEUX",$E2318="ANNULE"),$C2318="AOO-M"),'ENGAGEMENTS 2026'!P2318,IF($H2318="EN COURS DE PREENGAGEMENT",'ENGAGEMENTS 2026'!O2318,IF($H2318="PREENGAGE",IF($E2318="ATTRIBUE",'ENGAGEMENTS 2026'!AE2318,'ENGAGEMENTS 2026'!O2318),'ENGAGEMENTS 2026'!AE2318))))</f>
        <v/>
      </c>
      <c r="K2318" s="604">
        <f>IF(ISBLANK('ENGAGEMENTS 2026'!W2318),"",'ENGAGEMENTS 2026'!W2318)</f>
        <v/>
      </c>
      <c r="L2318" s="276">
        <f>IF($K2318="","",TODAY()-$K2318)</f>
        <v/>
      </c>
      <c r="M2318">
        <f>IF($A2318="","",IF($H2318="ENGAGE","Engagé",IF(AND($H2318="NON ENGAGE",OR($I2318="INFRUCTUEUX",$I2318="ANNULE")),"Clôturé sans suite","En cours")))</f>
        <v/>
      </c>
      <c r="N2318">
        <f>IF(ISBLANK('ENGAGEMENTS 2026'!C2318),"",'ENGAGEMENTS 2026'!L2318)</f>
        <v/>
      </c>
      <c r="O2318">
        <f>IF(ISBLANK('ENGAGEMENTS 2026'!C2318),"",'ENGAGEMENTS 2026'!M2318)</f>
        <v/>
      </c>
      <c r="P2318">
        <f>IF(ISBLANK('ENGAGEMENTS 2026'!C2318),"",'ENGAGEMENTS 2026'!K2318)</f>
        <v/>
      </c>
      <c r="Q2318">
        <f>IF($A2318="","",IF(OR($E2318="INFRUCTUEUX",$E2318="ANNULE"),$A2318&amp;"|"&amp;(COUNTIFS($A$2:$A2318,$A2318,$E$2:$E2318,"INFRUCTUEUX")+COUNTIFS($A$2:$A2318,$A2318,$E$2:$E2318,"ANNULE")),""))</f>
        <v/>
      </c>
    </row>
    <row r="2319">
      <c r="A2319">
        <f>IF(ISBLANK('ENGAGEMENTS 2026'!C2319),"",IF('ENGAGEMENTS 2026'!C2319="DTSI","DCT",'ENGAGEMENTS 2026'!C2319))</f>
        <v/>
      </c>
      <c r="B2319">
        <f>IF(ISBLANK('ENGAGEMENTS 2026'!C2319),"",'ENGAGEMENTS 2026'!D2319)</f>
        <v/>
      </c>
      <c r="C2319">
        <f>IF(ISBLANK('ENGAGEMENTS 2026'!C2319),"",'ENGAGEMENTS 2026'!E2319)</f>
        <v/>
      </c>
      <c r="D2319">
        <f>IF(ISBLANK('ENGAGEMENTS 2026'!C2319),"",'ENGAGEMENTS 2026'!G2319)</f>
        <v/>
      </c>
      <c r="E2319">
        <f>IF(ISBLANK('ENGAGEMENTS 2026'!C2319),"",'ENGAGEMENTS 2026'!I2319)</f>
        <v/>
      </c>
      <c r="F2319">
        <f>IF(ISBLANK('ENGAGEMENTS 2026'!C2319),"",'ENGAGEMENTS 2026'!J2319)</f>
        <v/>
      </c>
      <c r="G2319">
        <f>IF(ISBLANK('ENGAGEMENTS 2026'!C2319),"",'ENGAGEMENTS 2026'!M2319)</f>
        <v/>
      </c>
      <c r="H2319">
        <f>IF(ISBLANK('ENGAGEMENTS 2026'!C2319),"",'ENGAGEMENTS 2026'!AF2319)</f>
        <v/>
      </c>
      <c r="I2319">
        <f>IF(ISBLANK('ENGAGEMENTS 2026'!C2319),"",'ENGAGEMENTS 2026'!H2319)</f>
        <v/>
      </c>
      <c r="J2319" s="275">
        <f>IF(ISBLANK('ENGAGEMENTS 2026'!C2319),"",IF(AND(OR($E2319="INFRUCTUEUX",$E2319="ANNULE"),$C2319="AOO-M"),'ENGAGEMENTS 2026'!P2319,IF($H2319="EN COURS DE PREENGAGEMENT",'ENGAGEMENTS 2026'!O2319,IF($H2319="PREENGAGE",IF($E2319="ATTRIBUE",'ENGAGEMENTS 2026'!AE2319,'ENGAGEMENTS 2026'!O2319),'ENGAGEMENTS 2026'!AE2319))))</f>
        <v/>
      </c>
      <c r="K2319" s="604">
        <f>IF(ISBLANK('ENGAGEMENTS 2026'!W2319),"",'ENGAGEMENTS 2026'!W2319)</f>
        <v/>
      </c>
      <c r="L2319" s="276">
        <f>IF($K2319="","",TODAY()-$K2319)</f>
        <v/>
      </c>
      <c r="M2319">
        <f>IF($A2319="","",IF($H2319="ENGAGE","Engagé",IF(AND($H2319="NON ENGAGE",OR($I2319="INFRUCTUEUX",$I2319="ANNULE")),"Clôturé sans suite","En cours")))</f>
        <v/>
      </c>
      <c r="N2319">
        <f>IF(ISBLANK('ENGAGEMENTS 2026'!C2319),"",'ENGAGEMENTS 2026'!L2319)</f>
        <v/>
      </c>
      <c r="O2319">
        <f>IF(ISBLANK('ENGAGEMENTS 2026'!C2319),"",'ENGAGEMENTS 2026'!M2319)</f>
        <v/>
      </c>
      <c r="P2319">
        <f>IF(ISBLANK('ENGAGEMENTS 2026'!C2319),"",'ENGAGEMENTS 2026'!K2319)</f>
        <v/>
      </c>
      <c r="Q2319">
        <f>IF($A2319="","",IF(OR($E2319="INFRUCTUEUX",$E2319="ANNULE"),$A2319&amp;"|"&amp;(COUNTIFS($A$2:$A2319,$A2319,$E$2:$E2319,"INFRUCTUEUX")+COUNTIFS($A$2:$A2319,$A2319,$E$2:$E2319,"ANNULE")),""))</f>
        <v/>
      </c>
    </row>
    <row r="2320">
      <c r="A2320">
        <f>IF(ISBLANK('ENGAGEMENTS 2026'!C2320),"",IF('ENGAGEMENTS 2026'!C2320="DTSI","DCT",'ENGAGEMENTS 2026'!C2320))</f>
        <v/>
      </c>
      <c r="B2320">
        <f>IF(ISBLANK('ENGAGEMENTS 2026'!C2320),"",'ENGAGEMENTS 2026'!D2320)</f>
        <v/>
      </c>
      <c r="C2320">
        <f>IF(ISBLANK('ENGAGEMENTS 2026'!C2320),"",'ENGAGEMENTS 2026'!E2320)</f>
        <v/>
      </c>
      <c r="D2320">
        <f>IF(ISBLANK('ENGAGEMENTS 2026'!C2320),"",'ENGAGEMENTS 2026'!G2320)</f>
        <v/>
      </c>
      <c r="E2320">
        <f>IF(ISBLANK('ENGAGEMENTS 2026'!C2320),"",'ENGAGEMENTS 2026'!I2320)</f>
        <v/>
      </c>
      <c r="F2320">
        <f>IF(ISBLANK('ENGAGEMENTS 2026'!C2320),"",'ENGAGEMENTS 2026'!J2320)</f>
        <v/>
      </c>
      <c r="G2320">
        <f>IF(ISBLANK('ENGAGEMENTS 2026'!C2320),"",'ENGAGEMENTS 2026'!M2320)</f>
        <v/>
      </c>
      <c r="H2320">
        <f>IF(ISBLANK('ENGAGEMENTS 2026'!C2320),"",'ENGAGEMENTS 2026'!AF2320)</f>
        <v/>
      </c>
      <c r="I2320">
        <f>IF(ISBLANK('ENGAGEMENTS 2026'!C2320),"",'ENGAGEMENTS 2026'!H2320)</f>
        <v/>
      </c>
      <c r="J2320" s="275">
        <f>IF(ISBLANK('ENGAGEMENTS 2026'!C2320),"",IF(AND(OR($E2320="INFRUCTUEUX",$E2320="ANNULE"),$C2320="AOO-M"),'ENGAGEMENTS 2026'!P2320,IF($H2320="EN COURS DE PREENGAGEMENT",'ENGAGEMENTS 2026'!O2320,IF($H2320="PREENGAGE",IF($E2320="ATTRIBUE",'ENGAGEMENTS 2026'!AE2320,'ENGAGEMENTS 2026'!O2320),'ENGAGEMENTS 2026'!AE2320))))</f>
        <v/>
      </c>
      <c r="K2320" s="604">
        <f>IF(ISBLANK('ENGAGEMENTS 2026'!W2320),"",'ENGAGEMENTS 2026'!W2320)</f>
        <v/>
      </c>
      <c r="L2320" s="276">
        <f>IF($K2320="","",TODAY()-$K2320)</f>
        <v/>
      </c>
      <c r="M2320">
        <f>IF($A2320="","",IF($H2320="ENGAGE","Engagé",IF(AND($H2320="NON ENGAGE",OR($I2320="INFRUCTUEUX",$I2320="ANNULE")),"Clôturé sans suite","En cours")))</f>
        <v/>
      </c>
      <c r="N2320">
        <f>IF(ISBLANK('ENGAGEMENTS 2026'!C2320),"",'ENGAGEMENTS 2026'!L2320)</f>
        <v/>
      </c>
      <c r="O2320">
        <f>IF(ISBLANK('ENGAGEMENTS 2026'!C2320),"",'ENGAGEMENTS 2026'!M2320)</f>
        <v/>
      </c>
      <c r="P2320">
        <f>IF(ISBLANK('ENGAGEMENTS 2026'!C2320),"",'ENGAGEMENTS 2026'!K2320)</f>
        <v/>
      </c>
      <c r="Q2320">
        <f>IF($A2320="","",IF(OR($E2320="INFRUCTUEUX",$E2320="ANNULE"),$A2320&amp;"|"&amp;(COUNTIFS($A$2:$A2320,$A2320,$E$2:$E2320,"INFRUCTUEUX")+COUNTIFS($A$2:$A2320,$A2320,$E$2:$E2320,"ANNULE")),""))</f>
        <v/>
      </c>
    </row>
    <row r="2321">
      <c r="A2321">
        <f>IF(ISBLANK('ENGAGEMENTS 2026'!C2321),"",IF('ENGAGEMENTS 2026'!C2321="DTSI","DCT",'ENGAGEMENTS 2026'!C2321))</f>
        <v/>
      </c>
      <c r="B2321">
        <f>IF(ISBLANK('ENGAGEMENTS 2026'!C2321),"",'ENGAGEMENTS 2026'!D2321)</f>
        <v/>
      </c>
      <c r="C2321">
        <f>IF(ISBLANK('ENGAGEMENTS 2026'!C2321),"",'ENGAGEMENTS 2026'!E2321)</f>
        <v/>
      </c>
      <c r="D2321">
        <f>IF(ISBLANK('ENGAGEMENTS 2026'!C2321),"",'ENGAGEMENTS 2026'!G2321)</f>
        <v/>
      </c>
      <c r="E2321">
        <f>IF(ISBLANK('ENGAGEMENTS 2026'!C2321),"",'ENGAGEMENTS 2026'!I2321)</f>
        <v/>
      </c>
      <c r="F2321">
        <f>IF(ISBLANK('ENGAGEMENTS 2026'!C2321),"",'ENGAGEMENTS 2026'!J2321)</f>
        <v/>
      </c>
      <c r="G2321">
        <f>IF(ISBLANK('ENGAGEMENTS 2026'!C2321),"",'ENGAGEMENTS 2026'!M2321)</f>
        <v/>
      </c>
      <c r="H2321">
        <f>IF(ISBLANK('ENGAGEMENTS 2026'!C2321),"",'ENGAGEMENTS 2026'!AF2321)</f>
        <v/>
      </c>
      <c r="I2321">
        <f>IF(ISBLANK('ENGAGEMENTS 2026'!C2321),"",'ENGAGEMENTS 2026'!H2321)</f>
        <v/>
      </c>
      <c r="J2321" s="275">
        <f>IF(ISBLANK('ENGAGEMENTS 2026'!C2321),"",IF(AND(OR($E2321="INFRUCTUEUX",$E2321="ANNULE"),$C2321="AOO-M"),'ENGAGEMENTS 2026'!P2321,IF($H2321="EN COURS DE PREENGAGEMENT",'ENGAGEMENTS 2026'!O2321,IF($H2321="PREENGAGE",IF($E2321="ATTRIBUE",'ENGAGEMENTS 2026'!AE2321,'ENGAGEMENTS 2026'!O2321),'ENGAGEMENTS 2026'!AE2321))))</f>
        <v/>
      </c>
      <c r="K2321" s="604">
        <f>IF(ISBLANK('ENGAGEMENTS 2026'!W2321),"",'ENGAGEMENTS 2026'!W2321)</f>
        <v/>
      </c>
      <c r="L2321" s="276">
        <f>IF($K2321="","",TODAY()-$K2321)</f>
        <v/>
      </c>
      <c r="M2321">
        <f>IF($A2321="","",IF($H2321="ENGAGE","Engagé",IF(AND($H2321="NON ENGAGE",OR($I2321="INFRUCTUEUX",$I2321="ANNULE")),"Clôturé sans suite","En cours")))</f>
        <v/>
      </c>
      <c r="N2321">
        <f>IF(ISBLANK('ENGAGEMENTS 2026'!C2321),"",'ENGAGEMENTS 2026'!L2321)</f>
        <v/>
      </c>
      <c r="O2321">
        <f>IF(ISBLANK('ENGAGEMENTS 2026'!C2321),"",'ENGAGEMENTS 2026'!M2321)</f>
        <v/>
      </c>
      <c r="P2321">
        <f>IF(ISBLANK('ENGAGEMENTS 2026'!C2321),"",'ENGAGEMENTS 2026'!K2321)</f>
        <v/>
      </c>
      <c r="Q2321">
        <f>IF($A2321="","",IF(OR($E2321="INFRUCTUEUX",$E2321="ANNULE"),$A2321&amp;"|"&amp;(COUNTIFS($A$2:$A2321,$A2321,$E$2:$E2321,"INFRUCTUEUX")+COUNTIFS($A$2:$A2321,$A2321,$E$2:$E2321,"ANNULE")),""))</f>
        <v/>
      </c>
    </row>
    <row r="2322">
      <c r="A2322">
        <f>IF(ISBLANK('ENGAGEMENTS 2026'!C2322),"",IF('ENGAGEMENTS 2026'!C2322="DTSI","DCT",'ENGAGEMENTS 2026'!C2322))</f>
        <v/>
      </c>
      <c r="B2322">
        <f>IF(ISBLANK('ENGAGEMENTS 2026'!C2322),"",'ENGAGEMENTS 2026'!D2322)</f>
        <v/>
      </c>
      <c r="C2322">
        <f>IF(ISBLANK('ENGAGEMENTS 2026'!C2322),"",'ENGAGEMENTS 2026'!E2322)</f>
        <v/>
      </c>
      <c r="D2322">
        <f>IF(ISBLANK('ENGAGEMENTS 2026'!C2322),"",'ENGAGEMENTS 2026'!G2322)</f>
        <v/>
      </c>
      <c r="E2322">
        <f>IF(ISBLANK('ENGAGEMENTS 2026'!C2322),"",'ENGAGEMENTS 2026'!I2322)</f>
        <v/>
      </c>
      <c r="F2322">
        <f>IF(ISBLANK('ENGAGEMENTS 2026'!C2322),"",'ENGAGEMENTS 2026'!J2322)</f>
        <v/>
      </c>
      <c r="G2322">
        <f>IF(ISBLANK('ENGAGEMENTS 2026'!C2322),"",'ENGAGEMENTS 2026'!M2322)</f>
        <v/>
      </c>
      <c r="H2322">
        <f>IF(ISBLANK('ENGAGEMENTS 2026'!C2322),"",'ENGAGEMENTS 2026'!AF2322)</f>
        <v/>
      </c>
      <c r="I2322">
        <f>IF(ISBLANK('ENGAGEMENTS 2026'!C2322),"",'ENGAGEMENTS 2026'!H2322)</f>
        <v/>
      </c>
      <c r="J2322" s="275">
        <f>IF(ISBLANK('ENGAGEMENTS 2026'!C2322),"",IF(AND(OR($E2322="INFRUCTUEUX",$E2322="ANNULE"),$C2322="AOO-M"),'ENGAGEMENTS 2026'!P2322,IF($H2322="EN COURS DE PREENGAGEMENT",'ENGAGEMENTS 2026'!O2322,IF($H2322="PREENGAGE",IF($E2322="ATTRIBUE",'ENGAGEMENTS 2026'!AE2322,'ENGAGEMENTS 2026'!O2322),'ENGAGEMENTS 2026'!AE2322))))</f>
        <v/>
      </c>
      <c r="K2322" s="604">
        <f>IF(ISBLANK('ENGAGEMENTS 2026'!W2322),"",'ENGAGEMENTS 2026'!W2322)</f>
        <v/>
      </c>
      <c r="L2322" s="276">
        <f>IF($K2322="","",TODAY()-$K2322)</f>
        <v/>
      </c>
      <c r="M2322">
        <f>IF($A2322="","",IF($H2322="ENGAGE","Engagé",IF(AND($H2322="NON ENGAGE",OR($I2322="INFRUCTUEUX",$I2322="ANNULE")),"Clôturé sans suite","En cours")))</f>
        <v/>
      </c>
      <c r="N2322">
        <f>IF(ISBLANK('ENGAGEMENTS 2026'!C2322),"",'ENGAGEMENTS 2026'!L2322)</f>
        <v/>
      </c>
      <c r="O2322">
        <f>IF(ISBLANK('ENGAGEMENTS 2026'!C2322),"",'ENGAGEMENTS 2026'!M2322)</f>
        <v/>
      </c>
      <c r="P2322">
        <f>IF(ISBLANK('ENGAGEMENTS 2026'!C2322),"",'ENGAGEMENTS 2026'!K2322)</f>
        <v/>
      </c>
      <c r="Q2322">
        <f>IF($A2322="","",IF(OR($E2322="INFRUCTUEUX",$E2322="ANNULE"),$A2322&amp;"|"&amp;(COUNTIFS($A$2:$A2322,$A2322,$E$2:$E2322,"INFRUCTUEUX")+COUNTIFS($A$2:$A2322,$A2322,$E$2:$E2322,"ANNULE")),""))</f>
        <v/>
      </c>
    </row>
    <row r="2323">
      <c r="A2323">
        <f>IF(ISBLANK('ENGAGEMENTS 2026'!C2323),"",IF('ENGAGEMENTS 2026'!C2323="DTSI","DCT",'ENGAGEMENTS 2026'!C2323))</f>
        <v/>
      </c>
      <c r="B2323">
        <f>IF(ISBLANK('ENGAGEMENTS 2026'!C2323),"",'ENGAGEMENTS 2026'!D2323)</f>
        <v/>
      </c>
      <c r="C2323">
        <f>IF(ISBLANK('ENGAGEMENTS 2026'!C2323),"",'ENGAGEMENTS 2026'!E2323)</f>
        <v/>
      </c>
      <c r="D2323">
        <f>IF(ISBLANK('ENGAGEMENTS 2026'!C2323),"",'ENGAGEMENTS 2026'!G2323)</f>
        <v/>
      </c>
      <c r="E2323">
        <f>IF(ISBLANK('ENGAGEMENTS 2026'!C2323),"",'ENGAGEMENTS 2026'!I2323)</f>
        <v/>
      </c>
      <c r="F2323">
        <f>IF(ISBLANK('ENGAGEMENTS 2026'!C2323),"",'ENGAGEMENTS 2026'!J2323)</f>
        <v/>
      </c>
      <c r="G2323">
        <f>IF(ISBLANK('ENGAGEMENTS 2026'!C2323),"",'ENGAGEMENTS 2026'!M2323)</f>
        <v/>
      </c>
      <c r="H2323">
        <f>IF(ISBLANK('ENGAGEMENTS 2026'!C2323),"",'ENGAGEMENTS 2026'!AF2323)</f>
        <v/>
      </c>
      <c r="I2323">
        <f>IF(ISBLANK('ENGAGEMENTS 2026'!C2323),"",'ENGAGEMENTS 2026'!H2323)</f>
        <v/>
      </c>
      <c r="J2323" s="275">
        <f>IF(ISBLANK('ENGAGEMENTS 2026'!C2323),"",IF(AND(OR($E2323="INFRUCTUEUX",$E2323="ANNULE"),$C2323="AOO-M"),'ENGAGEMENTS 2026'!P2323,IF($H2323="EN COURS DE PREENGAGEMENT",'ENGAGEMENTS 2026'!O2323,IF($H2323="PREENGAGE",IF($E2323="ATTRIBUE",'ENGAGEMENTS 2026'!AE2323,'ENGAGEMENTS 2026'!O2323),'ENGAGEMENTS 2026'!AE2323))))</f>
        <v/>
      </c>
      <c r="K2323" s="604">
        <f>IF(ISBLANK('ENGAGEMENTS 2026'!W2323),"",'ENGAGEMENTS 2026'!W2323)</f>
        <v/>
      </c>
      <c r="L2323" s="276">
        <f>IF($K2323="","",TODAY()-$K2323)</f>
        <v/>
      </c>
      <c r="M2323">
        <f>IF($A2323="","",IF($H2323="ENGAGE","Engagé",IF(AND($H2323="NON ENGAGE",OR($I2323="INFRUCTUEUX",$I2323="ANNULE")),"Clôturé sans suite","En cours")))</f>
        <v/>
      </c>
      <c r="N2323">
        <f>IF(ISBLANK('ENGAGEMENTS 2026'!C2323),"",'ENGAGEMENTS 2026'!L2323)</f>
        <v/>
      </c>
      <c r="O2323">
        <f>IF(ISBLANK('ENGAGEMENTS 2026'!C2323),"",'ENGAGEMENTS 2026'!M2323)</f>
        <v/>
      </c>
      <c r="P2323">
        <f>IF(ISBLANK('ENGAGEMENTS 2026'!C2323),"",'ENGAGEMENTS 2026'!K2323)</f>
        <v/>
      </c>
      <c r="Q2323">
        <f>IF($A2323="","",IF(OR($E2323="INFRUCTUEUX",$E2323="ANNULE"),$A2323&amp;"|"&amp;(COUNTIFS($A$2:$A2323,$A2323,$E$2:$E2323,"INFRUCTUEUX")+COUNTIFS($A$2:$A2323,$A2323,$E$2:$E2323,"ANNULE")),""))</f>
        <v/>
      </c>
    </row>
    <row r="2324">
      <c r="A2324">
        <f>IF(ISBLANK('ENGAGEMENTS 2026'!C2324),"",IF('ENGAGEMENTS 2026'!C2324="DTSI","DCT",'ENGAGEMENTS 2026'!C2324))</f>
        <v/>
      </c>
      <c r="B2324">
        <f>IF(ISBLANK('ENGAGEMENTS 2026'!C2324),"",'ENGAGEMENTS 2026'!D2324)</f>
        <v/>
      </c>
      <c r="C2324">
        <f>IF(ISBLANK('ENGAGEMENTS 2026'!C2324),"",'ENGAGEMENTS 2026'!E2324)</f>
        <v/>
      </c>
      <c r="D2324">
        <f>IF(ISBLANK('ENGAGEMENTS 2026'!C2324),"",'ENGAGEMENTS 2026'!G2324)</f>
        <v/>
      </c>
      <c r="E2324">
        <f>IF(ISBLANK('ENGAGEMENTS 2026'!C2324),"",'ENGAGEMENTS 2026'!I2324)</f>
        <v/>
      </c>
      <c r="F2324">
        <f>IF(ISBLANK('ENGAGEMENTS 2026'!C2324),"",'ENGAGEMENTS 2026'!J2324)</f>
        <v/>
      </c>
      <c r="G2324">
        <f>IF(ISBLANK('ENGAGEMENTS 2026'!C2324),"",'ENGAGEMENTS 2026'!M2324)</f>
        <v/>
      </c>
      <c r="H2324">
        <f>IF(ISBLANK('ENGAGEMENTS 2026'!C2324),"",'ENGAGEMENTS 2026'!AF2324)</f>
        <v/>
      </c>
      <c r="I2324">
        <f>IF(ISBLANK('ENGAGEMENTS 2026'!C2324),"",'ENGAGEMENTS 2026'!H2324)</f>
        <v/>
      </c>
      <c r="J2324" s="275">
        <f>IF(ISBLANK('ENGAGEMENTS 2026'!C2324),"",IF(AND(OR($E2324="INFRUCTUEUX",$E2324="ANNULE"),$C2324="AOO-M"),'ENGAGEMENTS 2026'!P2324,IF($H2324="EN COURS DE PREENGAGEMENT",'ENGAGEMENTS 2026'!O2324,IF($H2324="PREENGAGE",IF($E2324="ATTRIBUE",'ENGAGEMENTS 2026'!AE2324,'ENGAGEMENTS 2026'!O2324),'ENGAGEMENTS 2026'!AE2324))))</f>
        <v/>
      </c>
      <c r="K2324" s="604">
        <f>IF(ISBLANK('ENGAGEMENTS 2026'!W2324),"",'ENGAGEMENTS 2026'!W2324)</f>
        <v/>
      </c>
      <c r="L2324" s="276">
        <f>IF($K2324="","",TODAY()-$K2324)</f>
        <v/>
      </c>
      <c r="M2324">
        <f>IF($A2324="","",IF($H2324="ENGAGE","Engagé",IF(AND($H2324="NON ENGAGE",OR($I2324="INFRUCTUEUX",$I2324="ANNULE")),"Clôturé sans suite","En cours")))</f>
        <v/>
      </c>
      <c r="N2324">
        <f>IF(ISBLANK('ENGAGEMENTS 2026'!C2324),"",'ENGAGEMENTS 2026'!L2324)</f>
        <v/>
      </c>
      <c r="O2324">
        <f>IF(ISBLANK('ENGAGEMENTS 2026'!C2324),"",'ENGAGEMENTS 2026'!M2324)</f>
        <v/>
      </c>
      <c r="P2324">
        <f>IF(ISBLANK('ENGAGEMENTS 2026'!C2324),"",'ENGAGEMENTS 2026'!K2324)</f>
        <v/>
      </c>
      <c r="Q2324">
        <f>IF($A2324="","",IF(OR($E2324="INFRUCTUEUX",$E2324="ANNULE"),$A2324&amp;"|"&amp;(COUNTIFS($A$2:$A2324,$A2324,$E$2:$E2324,"INFRUCTUEUX")+COUNTIFS($A$2:$A2324,$A2324,$E$2:$E2324,"ANNULE")),""))</f>
        <v/>
      </c>
    </row>
    <row r="2325">
      <c r="A2325">
        <f>IF(ISBLANK('ENGAGEMENTS 2026'!C2325),"",IF('ENGAGEMENTS 2026'!C2325="DTSI","DCT",'ENGAGEMENTS 2026'!C2325))</f>
        <v/>
      </c>
      <c r="B2325">
        <f>IF(ISBLANK('ENGAGEMENTS 2026'!C2325),"",'ENGAGEMENTS 2026'!D2325)</f>
        <v/>
      </c>
      <c r="C2325">
        <f>IF(ISBLANK('ENGAGEMENTS 2026'!C2325),"",'ENGAGEMENTS 2026'!E2325)</f>
        <v/>
      </c>
      <c r="D2325">
        <f>IF(ISBLANK('ENGAGEMENTS 2026'!C2325),"",'ENGAGEMENTS 2026'!G2325)</f>
        <v/>
      </c>
      <c r="E2325">
        <f>IF(ISBLANK('ENGAGEMENTS 2026'!C2325),"",'ENGAGEMENTS 2026'!I2325)</f>
        <v/>
      </c>
      <c r="F2325">
        <f>IF(ISBLANK('ENGAGEMENTS 2026'!C2325),"",'ENGAGEMENTS 2026'!J2325)</f>
        <v/>
      </c>
      <c r="G2325">
        <f>IF(ISBLANK('ENGAGEMENTS 2026'!C2325),"",'ENGAGEMENTS 2026'!M2325)</f>
        <v/>
      </c>
      <c r="H2325">
        <f>IF(ISBLANK('ENGAGEMENTS 2026'!C2325),"",'ENGAGEMENTS 2026'!AF2325)</f>
        <v/>
      </c>
      <c r="I2325">
        <f>IF(ISBLANK('ENGAGEMENTS 2026'!C2325),"",'ENGAGEMENTS 2026'!H2325)</f>
        <v/>
      </c>
      <c r="J2325" s="275">
        <f>IF(ISBLANK('ENGAGEMENTS 2026'!C2325),"",IF(AND(OR($E2325="INFRUCTUEUX",$E2325="ANNULE"),$C2325="AOO-M"),'ENGAGEMENTS 2026'!P2325,IF($H2325="EN COURS DE PREENGAGEMENT",'ENGAGEMENTS 2026'!O2325,IF($H2325="PREENGAGE",IF($E2325="ATTRIBUE",'ENGAGEMENTS 2026'!AE2325,'ENGAGEMENTS 2026'!O2325),'ENGAGEMENTS 2026'!AE2325))))</f>
        <v/>
      </c>
      <c r="K2325" s="604">
        <f>IF(ISBLANK('ENGAGEMENTS 2026'!W2325),"",'ENGAGEMENTS 2026'!W2325)</f>
        <v/>
      </c>
      <c r="L2325" s="276">
        <f>IF($K2325="","",TODAY()-$K2325)</f>
        <v/>
      </c>
      <c r="M2325">
        <f>IF($A2325="","",IF($H2325="ENGAGE","Engagé",IF(AND($H2325="NON ENGAGE",OR($I2325="INFRUCTUEUX",$I2325="ANNULE")),"Clôturé sans suite","En cours")))</f>
        <v/>
      </c>
      <c r="N2325">
        <f>IF(ISBLANK('ENGAGEMENTS 2026'!C2325),"",'ENGAGEMENTS 2026'!L2325)</f>
        <v/>
      </c>
      <c r="O2325">
        <f>IF(ISBLANK('ENGAGEMENTS 2026'!C2325),"",'ENGAGEMENTS 2026'!M2325)</f>
        <v/>
      </c>
      <c r="P2325">
        <f>IF(ISBLANK('ENGAGEMENTS 2026'!C2325),"",'ENGAGEMENTS 2026'!K2325)</f>
        <v/>
      </c>
      <c r="Q2325">
        <f>IF($A2325="","",IF(OR($E2325="INFRUCTUEUX",$E2325="ANNULE"),$A2325&amp;"|"&amp;(COUNTIFS($A$2:$A2325,$A2325,$E$2:$E2325,"INFRUCTUEUX")+COUNTIFS($A$2:$A2325,$A2325,$E$2:$E2325,"ANNULE")),""))</f>
        <v/>
      </c>
    </row>
    <row r="2326">
      <c r="A2326">
        <f>IF(ISBLANK('ENGAGEMENTS 2026'!C2326),"",IF('ENGAGEMENTS 2026'!C2326="DTSI","DCT",'ENGAGEMENTS 2026'!C2326))</f>
        <v/>
      </c>
      <c r="B2326">
        <f>IF(ISBLANK('ENGAGEMENTS 2026'!C2326),"",'ENGAGEMENTS 2026'!D2326)</f>
        <v/>
      </c>
      <c r="C2326">
        <f>IF(ISBLANK('ENGAGEMENTS 2026'!C2326),"",'ENGAGEMENTS 2026'!E2326)</f>
        <v/>
      </c>
      <c r="D2326">
        <f>IF(ISBLANK('ENGAGEMENTS 2026'!C2326),"",'ENGAGEMENTS 2026'!G2326)</f>
        <v/>
      </c>
      <c r="E2326">
        <f>IF(ISBLANK('ENGAGEMENTS 2026'!C2326),"",'ENGAGEMENTS 2026'!I2326)</f>
        <v/>
      </c>
      <c r="F2326">
        <f>IF(ISBLANK('ENGAGEMENTS 2026'!C2326),"",'ENGAGEMENTS 2026'!J2326)</f>
        <v/>
      </c>
      <c r="G2326">
        <f>IF(ISBLANK('ENGAGEMENTS 2026'!C2326),"",'ENGAGEMENTS 2026'!M2326)</f>
        <v/>
      </c>
      <c r="H2326">
        <f>IF(ISBLANK('ENGAGEMENTS 2026'!C2326),"",'ENGAGEMENTS 2026'!AF2326)</f>
        <v/>
      </c>
      <c r="I2326">
        <f>IF(ISBLANK('ENGAGEMENTS 2026'!C2326),"",'ENGAGEMENTS 2026'!H2326)</f>
        <v/>
      </c>
      <c r="J2326" s="275">
        <f>IF(ISBLANK('ENGAGEMENTS 2026'!C2326),"",IF(AND(OR($E2326="INFRUCTUEUX",$E2326="ANNULE"),$C2326="AOO-M"),'ENGAGEMENTS 2026'!P2326,IF($H2326="EN COURS DE PREENGAGEMENT",'ENGAGEMENTS 2026'!O2326,IF($H2326="PREENGAGE",IF($E2326="ATTRIBUE",'ENGAGEMENTS 2026'!AE2326,'ENGAGEMENTS 2026'!O2326),'ENGAGEMENTS 2026'!AE2326))))</f>
        <v/>
      </c>
      <c r="K2326" s="604">
        <f>IF(ISBLANK('ENGAGEMENTS 2026'!W2326),"",'ENGAGEMENTS 2026'!W2326)</f>
        <v/>
      </c>
      <c r="L2326" s="276">
        <f>IF($K2326="","",TODAY()-$K2326)</f>
        <v/>
      </c>
      <c r="M2326">
        <f>IF($A2326="","",IF($H2326="ENGAGE","Engagé",IF(AND($H2326="NON ENGAGE",OR($I2326="INFRUCTUEUX",$I2326="ANNULE")),"Clôturé sans suite","En cours")))</f>
        <v/>
      </c>
      <c r="N2326">
        <f>IF(ISBLANK('ENGAGEMENTS 2026'!C2326),"",'ENGAGEMENTS 2026'!L2326)</f>
        <v/>
      </c>
      <c r="O2326">
        <f>IF(ISBLANK('ENGAGEMENTS 2026'!C2326),"",'ENGAGEMENTS 2026'!M2326)</f>
        <v/>
      </c>
      <c r="P2326">
        <f>IF(ISBLANK('ENGAGEMENTS 2026'!C2326),"",'ENGAGEMENTS 2026'!K2326)</f>
        <v/>
      </c>
      <c r="Q2326">
        <f>IF($A2326="","",IF(OR($E2326="INFRUCTUEUX",$E2326="ANNULE"),$A2326&amp;"|"&amp;(COUNTIFS($A$2:$A2326,$A2326,$E$2:$E2326,"INFRUCTUEUX")+COUNTIFS($A$2:$A2326,$A2326,$E$2:$E2326,"ANNULE")),""))</f>
        <v/>
      </c>
    </row>
    <row r="2327">
      <c r="A2327">
        <f>IF(ISBLANK('ENGAGEMENTS 2026'!C2327),"",IF('ENGAGEMENTS 2026'!C2327="DTSI","DCT",'ENGAGEMENTS 2026'!C2327))</f>
        <v/>
      </c>
      <c r="B2327">
        <f>IF(ISBLANK('ENGAGEMENTS 2026'!C2327),"",'ENGAGEMENTS 2026'!D2327)</f>
        <v/>
      </c>
      <c r="C2327">
        <f>IF(ISBLANK('ENGAGEMENTS 2026'!C2327),"",'ENGAGEMENTS 2026'!E2327)</f>
        <v/>
      </c>
      <c r="D2327">
        <f>IF(ISBLANK('ENGAGEMENTS 2026'!C2327),"",'ENGAGEMENTS 2026'!G2327)</f>
        <v/>
      </c>
      <c r="E2327">
        <f>IF(ISBLANK('ENGAGEMENTS 2026'!C2327),"",'ENGAGEMENTS 2026'!I2327)</f>
        <v/>
      </c>
      <c r="F2327">
        <f>IF(ISBLANK('ENGAGEMENTS 2026'!C2327),"",'ENGAGEMENTS 2026'!J2327)</f>
        <v/>
      </c>
      <c r="G2327">
        <f>IF(ISBLANK('ENGAGEMENTS 2026'!C2327),"",'ENGAGEMENTS 2026'!M2327)</f>
        <v/>
      </c>
      <c r="H2327">
        <f>IF(ISBLANK('ENGAGEMENTS 2026'!C2327),"",'ENGAGEMENTS 2026'!AF2327)</f>
        <v/>
      </c>
      <c r="I2327">
        <f>IF(ISBLANK('ENGAGEMENTS 2026'!C2327),"",'ENGAGEMENTS 2026'!H2327)</f>
        <v/>
      </c>
      <c r="J2327" s="275">
        <f>IF(ISBLANK('ENGAGEMENTS 2026'!C2327),"",IF(AND(OR($E2327="INFRUCTUEUX",$E2327="ANNULE"),$C2327="AOO-M"),'ENGAGEMENTS 2026'!P2327,IF($H2327="EN COURS DE PREENGAGEMENT",'ENGAGEMENTS 2026'!O2327,IF($H2327="PREENGAGE",IF($E2327="ATTRIBUE",'ENGAGEMENTS 2026'!AE2327,'ENGAGEMENTS 2026'!O2327),'ENGAGEMENTS 2026'!AE2327))))</f>
        <v/>
      </c>
      <c r="K2327" s="604">
        <f>IF(ISBLANK('ENGAGEMENTS 2026'!W2327),"",'ENGAGEMENTS 2026'!W2327)</f>
        <v/>
      </c>
      <c r="L2327" s="276">
        <f>IF($K2327="","",TODAY()-$K2327)</f>
        <v/>
      </c>
      <c r="M2327">
        <f>IF($A2327="","",IF($H2327="ENGAGE","Engagé",IF(AND($H2327="NON ENGAGE",OR($I2327="INFRUCTUEUX",$I2327="ANNULE")),"Clôturé sans suite","En cours")))</f>
        <v/>
      </c>
      <c r="N2327">
        <f>IF(ISBLANK('ENGAGEMENTS 2026'!C2327),"",'ENGAGEMENTS 2026'!L2327)</f>
        <v/>
      </c>
      <c r="O2327">
        <f>IF(ISBLANK('ENGAGEMENTS 2026'!C2327),"",'ENGAGEMENTS 2026'!M2327)</f>
        <v/>
      </c>
      <c r="P2327">
        <f>IF(ISBLANK('ENGAGEMENTS 2026'!C2327),"",'ENGAGEMENTS 2026'!K2327)</f>
        <v/>
      </c>
      <c r="Q2327">
        <f>IF($A2327="","",IF(OR($E2327="INFRUCTUEUX",$E2327="ANNULE"),$A2327&amp;"|"&amp;(COUNTIFS($A$2:$A2327,$A2327,$E$2:$E2327,"INFRUCTUEUX")+COUNTIFS($A$2:$A2327,$A2327,$E$2:$E2327,"ANNULE")),""))</f>
        <v/>
      </c>
    </row>
    <row r="2328">
      <c r="A2328">
        <f>IF(ISBLANK('ENGAGEMENTS 2026'!C2328),"",IF('ENGAGEMENTS 2026'!C2328="DTSI","DCT",'ENGAGEMENTS 2026'!C2328))</f>
        <v/>
      </c>
      <c r="B2328">
        <f>IF(ISBLANK('ENGAGEMENTS 2026'!C2328),"",'ENGAGEMENTS 2026'!D2328)</f>
        <v/>
      </c>
      <c r="C2328">
        <f>IF(ISBLANK('ENGAGEMENTS 2026'!C2328),"",'ENGAGEMENTS 2026'!E2328)</f>
        <v/>
      </c>
      <c r="D2328">
        <f>IF(ISBLANK('ENGAGEMENTS 2026'!C2328),"",'ENGAGEMENTS 2026'!G2328)</f>
        <v/>
      </c>
      <c r="E2328">
        <f>IF(ISBLANK('ENGAGEMENTS 2026'!C2328),"",'ENGAGEMENTS 2026'!I2328)</f>
        <v/>
      </c>
      <c r="F2328">
        <f>IF(ISBLANK('ENGAGEMENTS 2026'!C2328),"",'ENGAGEMENTS 2026'!J2328)</f>
        <v/>
      </c>
      <c r="G2328">
        <f>IF(ISBLANK('ENGAGEMENTS 2026'!C2328),"",'ENGAGEMENTS 2026'!M2328)</f>
        <v/>
      </c>
      <c r="H2328">
        <f>IF(ISBLANK('ENGAGEMENTS 2026'!C2328),"",'ENGAGEMENTS 2026'!AF2328)</f>
        <v/>
      </c>
      <c r="I2328">
        <f>IF(ISBLANK('ENGAGEMENTS 2026'!C2328),"",'ENGAGEMENTS 2026'!H2328)</f>
        <v/>
      </c>
      <c r="J2328" s="275">
        <f>IF(ISBLANK('ENGAGEMENTS 2026'!C2328),"",IF(AND(OR($E2328="INFRUCTUEUX",$E2328="ANNULE"),$C2328="AOO-M"),'ENGAGEMENTS 2026'!P2328,IF($H2328="EN COURS DE PREENGAGEMENT",'ENGAGEMENTS 2026'!O2328,IF($H2328="PREENGAGE",IF($E2328="ATTRIBUE",'ENGAGEMENTS 2026'!AE2328,'ENGAGEMENTS 2026'!O2328),'ENGAGEMENTS 2026'!AE2328))))</f>
        <v/>
      </c>
      <c r="K2328" s="604">
        <f>IF(ISBLANK('ENGAGEMENTS 2026'!W2328),"",'ENGAGEMENTS 2026'!W2328)</f>
        <v/>
      </c>
      <c r="L2328" s="276">
        <f>IF($K2328="","",TODAY()-$K2328)</f>
        <v/>
      </c>
      <c r="M2328">
        <f>IF($A2328="","",IF($H2328="ENGAGE","Engagé",IF(AND($H2328="NON ENGAGE",OR($I2328="INFRUCTUEUX",$I2328="ANNULE")),"Clôturé sans suite","En cours")))</f>
        <v/>
      </c>
      <c r="N2328">
        <f>IF(ISBLANK('ENGAGEMENTS 2026'!C2328),"",'ENGAGEMENTS 2026'!L2328)</f>
        <v/>
      </c>
      <c r="O2328">
        <f>IF(ISBLANK('ENGAGEMENTS 2026'!C2328),"",'ENGAGEMENTS 2026'!M2328)</f>
        <v/>
      </c>
      <c r="P2328">
        <f>IF(ISBLANK('ENGAGEMENTS 2026'!C2328),"",'ENGAGEMENTS 2026'!K2328)</f>
        <v/>
      </c>
      <c r="Q2328">
        <f>IF($A2328="","",IF(OR($E2328="INFRUCTUEUX",$E2328="ANNULE"),$A2328&amp;"|"&amp;(COUNTIFS($A$2:$A2328,$A2328,$E$2:$E2328,"INFRUCTUEUX")+COUNTIFS($A$2:$A2328,$A2328,$E$2:$E2328,"ANNULE")),""))</f>
        <v/>
      </c>
    </row>
    <row r="2329">
      <c r="A2329">
        <f>IF(ISBLANK('ENGAGEMENTS 2026'!C2329),"",IF('ENGAGEMENTS 2026'!C2329="DTSI","DCT",'ENGAGEMENTS 2026'!C2329))</f>
        <v/>
      </c>
      <c r="B2329">
        <f>IF(ISBLANK('ENGAGEMENTS 2026'!C2329),"",'ENGAGEMENTS 2026'!D2329)</f>
        <v/>
      </c>
      <c r="C2329">
        <f>IF(ISBLANK('ENGAGEMENTS 2026'!C2329),"",'ENGAGEMENTS 2026'!E2329)</f>
        <v/>
      </c>
      <c r="D2329">
        <f>IF(ISBLANK('ENGAGEMENTS 2026'!C2329),"",'ENGAGEMENTS 2026'!G2329)</f>
        <v/>
      </c>
      <c r="E2329">
        <f>IF(ISBLANK('ENGAGEMENTS 2026'!C2329),"",'ENGAGEMENTS 2026'!I2329)</f>
        <v/>
      </c>
      <c r="F2329">
        <f>IF(ISBLANK('ENGAGEMENTS 2026'!C2329),"",'ENGAGEMENTS 2026'!J2329)</f>
        <v/>
      </c>
      <c r="G2329">
        <f>IF(ISBLANK('ENGAGEMENTS 2026'!C2329),"",'ENGAGEMENTS 2026'!M2329)</f>
        <v/>
      </c>
      <c r="H2329">
        <f>IF(ISBLANK('ENGAGEMENTS 2026'!C2329),"",'ENGAGEMENTS 2026'!AF2329)</f>
        <v/>
      </c>
      <c r="I2329">
        <f>IF(ISBLANK('ENGAGEMENTS 2026'!C2329),"",'ENGAGEMENTS 2026'!H2329)</f>
        <v/>
      </c>
      <c r="J2329" s="275">
        <f>IF(ISBLANK('ENGAGEMENTS 2026'!C2329),"",IF(AND(OR($E2329="INFRUCTUEUX",$E2329="ANNULE"),$C2329="AOO-M"),'ENGAGEMENTS 2026'!P2329,IF($H2329="EN COURS DE PREENGAGEMENT",'ENGAGEMENTS 2026'!O2329,IF($H2329="PREENGAGE",IF($E2329="ATTRIBUE",'ENGAGEMENTS 2026'!AE2329,'ENGAGEMENTS 2026'!O2329),'ENGAGEMENTS 2026'!AE2329))))</f>
        <v/>
      </c>
      <c r="K2329" s="604">
        <f>IF(ISBLANK('ENGAGEMENTS 2026'!W2329),"",'ENGAGEMENTS 2026'!W2329)</f>
        <v/>
      </c>
      <c r="L2329" s="276">
        <f>IF($K2329="","",TODAY()-$K2329)</f>
        <v/>
      </c>
      <c r="M2329">
        <f>IF($A2329="","",IF($H2329="ENGAGE","Engagé",IF(AND($H2329="NON ENGAGE",OR($I2329="INFRUCTUEUX",$I2329="ANNULE")),"Clôturé sans suite","En cours")))</f>
        <v/>
      </c>
      <c r="N2329">
        <f>IF(ISBLANK('ENGAGEMENTS 2026'!C2329),"",'ENGAGEMENTS 2026'!L2329)</f>
        <v/>
      </c>
      <c r="O2329">
        <f>IF(ISBLANK('ENGAGEMENTS 2026'!C2329),"",'ENGAGEMENTS 2026'!M2329)</f>
        <v/>
      </c>
      <c r="P2329">
        <f>IF(ISBLANK('ENGAGEMENTS 2026'!C2329),"",'ENGAGEMENTS 2026'!K2329)</f>
        <v/>
      </c>
      <c r="Q2329">
        <f>IF($A2329="","",IF(OR($E2329="INFRUCTUEUX",$E2329="ANNULE"),$A2329&amp;"|"&amp;(COUNTIFS($A$2:$A2329,$A2329,$E$2:$E2329,"INFRUCTUEUX")+COUNTIFS($A$2:$A2329,$A2329,$E$2:$E2329,"ANNULE")),""))</f>
        <v/>
      </c>
    </row>
    <row r="2330">
      <c r="A2330">
        <f>IF(ISBLANK('ENGAGEMENTS 2026'!C2330),"",IF('ENGAGEMENTS 2026'!C2330="DTSI","DCT",'ENGAGEMENTS 2026'!C2330))</f>
        <v/>
      </c>
      <c r="B2330">
        <f>IF(ISBLANK('ENGAGEMENTS 2026'!C2330),"",'ENGAGEMENTS 2026'!D2330)</f>
        <v/>
      </c>
      <c r="C2330">
        <f>IF(ISBLANK('ENGAGEMENTS 2026'!C2330),"",'ENGAGEMENTS 2026'!E2330)</f>
        <v/>
      </c>
      <c r="D2330">
        <f>IF(ISBLANK('ENGAGEMENTS 2026'!C2330),"",'ENGAGEMENTS 2026'!G2330)</f>
        <v/>
      </c>
      <c r="E2330">
        <f>IF(ISBLANK('ENGAGEMENTS 2026'!C2330),"",'ENGAGEMENTS 2026'!I2330)</f>
        <v/>
      </c>
      <c r="F2330">
        <f>IF(ISBLANK('ENGAGEMENTS 2026'!C2330),"",'ENGAGEMENTS 2026'!J2330)</f>
        <v/>
      </c>
      <c r="G2330">
        <f>IF(ISBLANK('ENGAGEMENTS 2026'!C2330),"",'ENGAGEMENTS 2026'!M2330)</f>
        <v/>
      </c>
      <c r="H2330">
        <f>IF(ISBLANK('ENGAGEMENTS 2026'!C2330),"",'ENGAGEMENTS 2026'!AF2330)</f>
        <v/>
      </c>
      <c r="I2330">
        <f>IF(ISBLANK('ENGAGEMENTS 2026'!C2330),"",'ENGAGEMENTS 2026'!H2330)</f>
        <v/>
      </c>
      <c r="J2330" s="275">
        <f>IF(ISBLANK('ENGAGEMENTS 2026'!C2330),"",IF(AND(OR($E2330="INFRUCTUEUX",$E2330="ANNULE"),$C2330="AOO-M"),'ENGAGEMENTS 2026'!P2330,IF($H2330="EN COURS DE PREENGAGEMENT",'ENGAGEMENTS 2026'!O2330,IF($H2330="PREENGAGE",IF($E2330="ATTRIBUE",'ENGAGEMENTS 2026'!AE2330,'ENGAGEMENTS 2026'!O2330),'ENGAGEMENTS 2026'!AE2330))))</f>
        <v/>
      </c>
      <c r="K2330" s="604">
        <f>IF(ISBLANK('ENGAGEMENTS 2026'!W2330),"",'ENGAGEMENTS 2026'!W2330)</f>
        <v/>
      </c>
      <c r="L2330" s="276">
        <f>IF($K2330="","",TODAY()-$K2330)</f>
        <v/>
      </c>
      <c r="M2330">
        <f>IF($A2330="","",IF($H2330="ENGAGE","Engagé",IF(AND($H2330="NON ENGAGE",OR($I2330="INFRUCTUEUX",$I2330="ANNULE")),"Clôturé sans suite","En cours")))</f>
        <v/>
      </c>
      <c r="N2330">
        <f>IF(ISBLANK('ENGAGEMENTS 2026'!C2330),"",'ENGAGEMENTS 2026'!L2330)</f>
        <v/>
      </c>
      <c r="O2330">
        <f>IF(ISBLANK('ENGAGEMENTS 2026'!C2330),"",'ENGAGEMENTS 2026'!M2330)</f>
        <v/>
      </c>
      <c r="P2330">
        <f>IF(ISBLANK('ENGAGEMENTS 2026'!C2330),"",'ENGAGEMENTS 2026'!K2330)</f>
        <v/>
      </c>
      <c r="Q2330">
        <f>IF($A2330="","",IF(OR($E2330="INFRUCTUEUX",$E2330="ANNULE"),$A2330&amp;"|"&amp;(COUNTIFS($A$2:$A2330,$A2330,$E$2:$E2330,"INFRUCTUEUX")+COUNTIFS($A$2:$A2330,$A2330,$E$2:$E2330,"ANNULE")),""))</f>
        <v/>
      </c>
    </row>
    <row r="2331">
      <c r="A2331">
        <f>IF(ISBLANK('ENGAGEMENTS 2026'!C2331),"",IF('ENGAGEMENTS 2026'!C2331="DTSI","DCT",'ENGAGEMENTS 2026'!C2331))</f>
        <v/>
      </c>
      <c r="B2331">
        <f>IF(ISBLANK('ENGAGEMENTS 2026'!C2331),"",'ENGAGEMENTS 2026'!D2331)</f>
        <v/>
      </c>
      <c r="C2331">
        <f>IF(ISBLANK('ENGAGEMENTS 2026'!C2331),"",'ENGAGEMENTS 2026'!E2331)</f>
        <v/>
      </c>
      <c r="D2331">
        <f>IF(ISBLANK('ENGAGEMENTS 2026'!C2331),"",'ENGAGEMENTS 2026'!G2331)</f>
        <v/>
      </c>
      <c r="E2331">
        <f>IF(ISBLANK('ENGAGEMENTS 2026'!C2331),"",'ENGAGEMENTS 2026'!I2331)</f>
        <v/>
      </c>
      <c r="F2331">
        <f>IF(ISBLANK('ENGAGEMENTS 2026'!C2331),"",'ENGAGEMENTS 2026'!J2331)</f>
        <v/>
      </c>
      <c r="G2331">
        <f>IF(ISBLANK('ENGAGEMENTS 2026'!C2331),"",'ENGAGEMENTS 2026'!M2331)</f>
        <v/>
      </c>
      <c r="H2331">
        <f>IF(ISBLANK('ENGAGEMENTS 2026'!C2331),"",'ENGAGEMENTS 2026'!AF2331)</f>
        <v/>
      </c>
      <c r="I2331">
        <f>IF(ISBLANK('ENGAGEMENTS 2026'!C2331),"",'ENGAGEMENTS 2026'!H2331)</f>
        <v/>
      </c>
      <c r="J2331" s="275">
        <f>IF(ISBLANK('ENGAGEMENTS 2026'!C2331),"",IF(AND(OR($E2331="INFRUCTUEUX",$E2331="ANNULE"),$C2331="AOO-M"),'ENGAGEMENTS 2026'!P2331,IF($H2331="EN COURS DE PREENGAGEMENT",'ENGAGEMENTS 2026'!O2331,IF($H2331="PREENGAGE",IF($E2331="ATTRIBUE",'ENGAGEMENTS 2026'!AE2331,'ENGAGEMENTS 2026'!O2331),'ENGAGEMENTS 2026'!AE2331))))</f>
        <v/>
      </c>
      <c r="K2331" s="604">
        <f>IF(ISBLANK('ENGAGEMENTS 2026'!W2331),"",'ENGAGEMENTS 2026'!W2331)</f>
        <v/>
      </c>
      <c r="L2331" s="276">
        <f>IF($K2331="","",TODAY()-$K2331)</f>
        <v/>
      </c>
      <c r="M2331">
        <f>IF($A2331="","",IF($H2331="ENGAGE","Engagé",IF(AND($H2331="NON ENGAGE",OR($I2331="INFRUCTUEUX",$I2331="ANNULE")),"Clôturé sans suite","En cours")))</f>
        <v/>
      </c>
      <c r="N2331">
        <f>IF(ISBLANK('ENGAGEMENTS 2026'!C2331),"",'ENGAGEMENTS 2026'!L2331)</f>
        <v/>
      </c>
      <c r="O2331">
        <f>IF(ISBLANK('ENGAGEMENTS 2026'!C2331),"",'ENGAGEMENTS 2026'!M2331)</f>
        <v/>
      </c>
      <c r="P2331">
        <f>IF(ISBLANK('ENGAGEMENTS 2026'!C2331),"",'ENGAGEMENTS 2026'!K2331)</f>
        <v/>
      </c>
      <c r="Q2331">
        <f>IF($A2331="","",IF(OR($E2331="INFRUCTUEUX",$E2331="ANNULE"),$A2331&amp;"|"&amp;(COUNTIFS($A$2:$A2331,$A2331,$E$2:$E2331,"INFRUCTUEUX")+COUNTIFS($A$2:$A2331,$A2331,$E$2:$E2331,"ANNULE")),""))</f>
        <v/>
      </c>
    </row>
    <row r="2332">
      <c r="A2332">
        <f>IF(ISBLANK('ENGAGEMENTS 2026'!C2332),"",IF('ENGAGEMENTS 2026'!C2332="DTSI","DCT",'ENGAGEMENTS 2026'!C2332))</f>
        <v/>
      </c>
      <c r="B2332">
        <f>IF(ISBLANK('ENGAGEMENTS 2026'!C2332),"",'ENGAGEMENTS 2026'!D2332)</f>
        <v/>
      </c>
      <c r="C2332">
        <f>IF(ISBLANK('ENGAGEMENTS 2026'!C2332),"",'ENGAGEMENTS 2026'!E2332)</f>
        <v/>
      </c>
      <c r="D2332">
        <f>IF(ISBLANK('ENGAGEMENTS 2026'!C2332),"",'ENGAGEMENTS 2026'!G2332)</f>
        <v/>
      </c>
      <c r="E2332">
        <f>IF(ISBLANK('ENGAGEMENTS 2026'!C2332),"",'ENGAGEMENTS 2026'!I2332)</f>
        <v/>
      </c>
      <c r="F2332">
        <f>IF(ISBLANK('ENGAGEMENTS 2026'!C2332),"",'ENGAGEMENTS 2026'!J2332)</f>
        <v/>
      </c>
      <c r="G2332">
        <f>IF(ISBLANK('ENGAGEMENTS 2026'!C2332),"",'ENGAGEMENTS 2026'!M2332)</f>
        <v/>
      </c>
      <c r="H2332">
        <f>IF(ISBLANK('ENGAGEMENTS 2026'!C2332),"",'ENGAGEMENTS 2026'!AF2332)</f>
        <v/>
      </c>
      <c r="I2332">
        <f>IF(ISBLANK('ENGAGEMENTS 2026'!C2332),"",'ENGAGEMENTS 2026'!H2332)</f>
        <v/>
      </c>
      <c r="J2332" s="275">
        <f>IF(ISBLANK('ENGAGEMENTS 2026'!C2332),"",IF(AND(OR($E2332="INFRUCTUEUX",$E2332="ANNULE"),$C2332="AOO-M"),'ENGAGEMENTS 2026'!P2332,IF($H2332="EN COURS DE PREENGAGEMENT",'ENGAGEMENTS 2026'!O2332,IF($H2332="PREENGAGE",IF($E2332="ATTRIBUE",'ENGAGEMENTS 2026'!AE2332,'ENGAGEMENTS 2026'!O2332),'ENGAGEMENTS 2026'!AE2332))))</f>
        <v/>
      </c>
      <c r="K2332" s="604">
        <f>IF(ISBLANK('ENGAGEMENTS 2026'!W2332),"",'ENGAGEMENTS 2026'!W2332)</f>
        <v/>
      </c>
      <c r="L2332" s="276">
        <f>IF($K2332="","",TODAY()-$K2332)</f>
        <v/>
      </c>
      <c r="M2332">
        <f>IF($A2332="","",IF($H2332="ENGAGE","Engagé",IF(AND($H2332="NON ENGAGE",OR($I2332="INFRUCTUEUX",$I2332="ANNULE")),"Clôturé sans suite","En cours")))</f>
        <v/>
      </c>
      <c r="N2332">
        <f>IF(ISBLANK('ENGAGEMENTS 2026'!C2332),"",'ENGAGEMENTS 2026'!L2332)</f>
        <v/>
      </c>
      <c r="O2332">
        <f>IF(ISBLANK('ENGAGEMENTS 2026'!C2332),"",'ENGAGEMENTS 2026'!M2332)</f>
        <v/>
      </c>
      <c r="P2332">
        <f>IF(ISBLANK('ENGAGEMENTS 2026'!C2332),"",'ENGAGEMENTS 2026'!K2332)</f>
        <v/>
      </c>
      <c r="Q2332">
        <f>IF($A2332="","",IF(OR($E2332="INFRUCTUEUX",$E2332="ANNULE"),$A2332&amp;"|"&amp;(COUNTIFS($A$2:$A2332,$A2332,$E$2:$E2332,"INFRUCTUEUX")+COUNTIFS($A$2:$A2332,$A2332,$E$2:$E2332,"ANNULE")),""))</f>
        <v/>
      </c>
    </row>
    <row r="2333">
      <c r="A2333">
        <f>IF(ISBLANK('ENGAGEMENTS 2026'!C2333),"",IF('ENGAGEMENTS 2026'!C2333="DTSI","DCT",'ENGAGEMENTS 2026'!C2333))</f>
        <v/>
      </c>
      <c r="B2333">
        <f>IF(ISBLANK('ENGAGEMENTS 2026'!C2333),"",'ENGAGEMENTS 2026'!D2333)</f>
        <v/>
      </c>
      <c r="C2333">
        <f>IF(ISBLANK('ENGAGEMENTS 2026'!C2333),"",'ENGAGEMENTS 2026'!E2333)</f>
        <v/>
      </c>
      <c r="D2333">
        <f>IF(ISBLANK('ENGAGEMENTS 2026'!C2333),"",'ENGAGEMENTS 2026'!G2333)</f>
        <v/>
      </c>
      <c r="E2333">
        <f>IF(ISBLANK('ENGAGEMENTS 2026'!C2333),"",'ENGAGEMENTS 2026'!I2333)</f>
        <v/>
      </c>
      <c r="F2333">
        <f>IF(ISBLANK('ENGAGEMENTS 2026'!C2333),"",'ENGAGEMENTS 2026'!J2333)</f>
        <v/>
      </c>
      <c r="G2333">
        <f>IF(ISBLANK('ENGAGEMENTS 2026'!C2333),"",'ENGAGEMENTS 2026'!M2333)</f>
        <v/>
      </c>
      <c r="H2333">
        <f>IF(ISBLANK('ENGAGEMENTS 2026'!C2333),"",'ENGAGEMENTS 2026'!AF2333)</f>
        <v/>
      </c>
      <c r="I2333">
        <f>IF(ISBLANK('ENGAGEMENTS 2026'!C2333),"",'ENGAGEMENTS 2026'!H2333)</f>
        <v/>
      </c>
      <c r="J2333" s="275">
        <f>IF(ISBLANK('ENGAGEMENTS 2026'!C2333),"",IF(AND(OR($E2333="INFRUCTUEUX",$E2333="ANNULE"),$C2333="AOO-M"),'ENGAGEMENTS 2026'!P2333,IF($H2333="EN COURS DE PREENGAGEMENT",'ENGAGEMENTS 2026'!O2333,IF($H2333="PREENGAGE",IF($E2333="ATTRIBUE",'ENGAGEMENTS 2026'!AE2333,'ENGAGEMENTS 2026'!O2333),'ENGAGEMENTS 2026'!AE2333))))</f>
        <v/>
      </c>
      <c r="K2333" s="604">
        <f>IF(ISBLANK('ENGAGEMENTS 2026'!W2333),"",'ENGAGEMENTS 2026'!W2333)</f>
        <v/>
      </c>
      <c r="L2333" s="276">
        <f>IF($K2333="","",TODAY()-$K2333)</f>
        <v/>
      </c>
      <c r="M2333">
        <f>IF($A2333="","",IF($H2333="ENGAGE","Engagé",IF(AND($H2333="NON ENGAGE",OR($I2333="INFRUCTUEUX",$I2333="ANNULE")),"Clôturé sans suite","En cours")))</f>
        <v/>
      </c>
      <c r="N2333">
        <f>IF(ISBLANK('ENGAGEMENTS 2026'!C2333),"",'ENGAGEMENTS 2026'!L2333)</f>
        <v/>
      </c>
      <c r="O2333">
        <f>IF(ISBLANK('ENGAGEMENTS 2026'!C2333),"",'ENGAGEMENTS 2026'!M2333)</f>
        <v/>
      </c>
      <c r="P2333">
        <f>IF(ISBLANK('ENGAGEMENTS 2026'!C2333),"",'ENGAGEMENTS 2026'!K2333)</f>
        <v/>
      </c>
      <c r="Q2333">
        <f>IF($A2333="","",IF(OR($E2333="INFRUCTUEUX",$E2333="ANNULE"),$A2333&amp;"|"&amp;(COUNTIFS($A$2:$A2333,$A2333,$E$2:$E2333,"INFRUCTUEUX")+COUNTIFS($A$2:$A2333,$A2333,$E$2:$E2333,"ANNULE")),""))</f>
        <v/>
      </c>
    </row>
    <row r="2334">
      <c r="A2334">
        <f>IF(ISBLANK('ENGAGEMENTS 2026'!C2334),"",IF('ENGAGEMENTS 2026'!C2334="DTSI","DCT",'ENGAGEMENTS 2026'!C2334))</f>
        <v/>
      </c>
      <c r="B2334">
        <f>IF(ISBLANK('ENGAGEMENTS 2026'!C2334),"",'ENGAGEMENTS 2026'!D2334)</f>
        <v/>
      </c>
      <c r="C2334">
        <f>IF(ISBLANK('ENGAGEMENTS 2026'!C2334),"",'ENGAGEMENTS 2026'!E2334)</f>
        <v/>
      </c>
      <c r="D2334">
        <f>IF(ISBLANK('ENGAGEMENTS 2026'!C2334),"",'ENGAGEMENTS 2026'!G2334)</f>
        <v/>
      </c>
      <c r="E2334">
        <f>IF(ISBLANK('ENGAGEMENTS 2026'!C2334),"",'ENGAGEMENTS 2026'!I2334)</f>
        <v/>
      </c>
      <c r="F2334">
        <f>IF(ISBLANK('ENGAGEMENTS 2026'!C2334),"",'ENGAGEMENTS 2026'!J2334)</f>
        <v/>
      </c>
      <c r="G2334">
        <f>IF(ISBLANK('ENGAGEMENTS 2026'!C2334),"",'ENGAGEMENTS 2026'!M2334)</f>
        <v/>
      </c>
      <c r="H2334">
        <f>IF(ISBLANK('ENGAGEMENTS 2026'!C2334),"",'ENGAGEMENTS 2026'!AF2334)</f>
        <v/>
      </c>
      <c r="I2334">
        <f>IF(ISBLANK('ENGAGEMENTS 2026'!C2334),"",'ENGAGEMENTS 2026'!H2334)</f>
        <v/>
      </c>
      <c r="J2334" s="275">
        <f>IF(ISBLANK('ENGAGEMENTS 2026'!C2334),"",IF(AND(OR($E2334="INFRUCTUEUX",$E2334="ANNULE"),$C2334="AOO-M"),'ENGAGEMENTS 2026'!P2334,IF($H2334="EN COURS DE PREENGAGEMENT",'ENGAGEMENTS 2026'!O2334,IF($H2334="PREENGAGE",IF($E2334="ATTRIBUE",'ENGAGEMENTS 2026'!AE2334,'ENGAGEMENTS 2026'!O2334),'ENGAGEMENTS 2026'!AE2334))))</f>
        <v/>
      </c>
      <c r="K2334" s="604">
        <f>IF(ISBLANK('ENGAGEMENTS 2026'!W2334),"",'ENGAGEMENTS 2026'!W2334)</f>
        <v/>
      </c>
      <c r="L2334" s="276">
        <f>IF($K2334="","",TODAY()-$K2334)</f>
        <v/>
      </c>
      <c r="M2334">
        <f>IF($A2334="","",IF($H2334="ENGAGE","Engagé",IF(AND($H2334="NON ENGAGE",OR($I2334="INFRUCTUEUX",$I2334="ANNULE")),"Clôturé sans suite","En cours")))</f>
        <v/>
      </c>
      <c r="N2334">
        <f>IF(ISBLANK('ENGAGEMENTS 2026'!C2334),"",'ENGAGEMENTS 2026'!L2334)</f>
        <v/>
      </c>
      <c r="O2334">
        <f>IF(ISBLANK('ENGAGEMENTS 2026'!C2334),"",'ENGAGEMENTS 2026'!M2334)</f>
        <v/>
      </c>
      <c r="P2334">
        <f>IF(ISBLANK('ENGAGEMENTS 2026'!C2334),"",'ENGAGEMENTS 2026'!K2334)</f>
        <v/>
      </c>
      <c r="Q2334">
        <f>IF($A2334="","",IF(OR($E2334="INFRUCTUEUX",$E2334="ANNULE"),$A2334&amp;"|"&amp;(COUNTIFS($A$2:$A2334,$A2334,$E$2:$E2334,"INFRUCTUEUX")+COUNTIFS($A$2:$A2334,$A2334,$E$2:$E2334,"ANNULE")),""))</f>
        <v/>
      </c>
    </row>
    <row r="2335">
      <c r="A2335">
        <f>IF(ISBLANK('ENGAGEMENTS 2026'!C2335),"",IF('ENGAGEMENTS 2026'!C2335="DTSI","DCT",'ENGAGEMENTS 2026'!C2335))</f>
        <v/>
      </c>
      <c r="B2335">
        <f>IF(ISBLANK('ENGAGEMENTS 2026'!C2335),"",'ENGAGEMENTS 2026'!D2335)</f>
        <v/>
      </c>
      <c r="C2335">
        <f>IF(ISBLANK('ENGAGEMENTS 2026'!C2335),"",'ENGAGEMENTS 2026'!E2335)</f>
        <v/>
      </c>
      <c r="D2335">
        <f>IF(ISBLANK('ENGAGEMENTS 2026'!C2335),"",'ENGAGEMENTS 2026'!G2335)</f>
        <v/>
      </c>
      <c r="E2335">
        <f>IF(ISBLANK('ENGAGEMENTS 2026'!C2335),"",'ENGAGEMENTS 2026'!I2335)</f>
        <v/>
      </c>
      <c r="F2335">
        <f>IF(ISBLANK('ENGAGEMENTS 2026'!C2335),"",'ENGAGEMENTS 2026'!J2335)</f>
        <v/>
      </c>
      <c r="G2335">
        <f>IF(ISBLANK('ENGAGEMENTS 2026'!C2335),"",'ENGAGEMENTS 2026'!M2335)</f>
        <v/>
      </c>
      <c r="H2335">
        <f>IF(ISBLANK('ENGAGEMENTS 2026'!C2335),"",'ENGAGEMENTS 2026'!AF2335)</f>
        <v/>
      </c>
      <c r="I2335">
        <f>IF(ISBLANK('ENGAGEMENTS 2026'!C2335),"",'ENGAGEMENTS 2026'!H2335)</f>
        <v/>
      </c>
      <c r="J2335" s="275">
        <f>IF(ISBLANK('ENGAGEMENTS 2026'!C2335),"",IF(AND(OR($E2335="INFRUCTUEUX",$E2335="ANNULE"),$C2335="AOO-M"),'ENGAGEMENTS 2026'!P2335,IF($H2335="EN COURS DE PREENGAGEMENT",'ENGAGEMENTS 2026'!O2335,IF($H2335="PREENGAGE",IF($E2335="ATTRIBUE",'ENGAGEMENTS 2026'!AE2335,'ENGAGEMENTS 2026'!O2335),'ENGAGEMENTS 2026'!AE2335))))</f>
        <v/>
      </c>
      <c r="K2335" s="604">
        <f>IF(ISBLANK('ENGAGEMENTS 2026'!W2335),"",'ENGAGEMENTS 2026'!W2335)</f>
        <v/>
      </c>
      <c r="L2335" s="276">
        <f>IF($K2335="","",TODAY()-$K2335)</f>
        <v/>
      </c>
      <c r="M2335">
        <f>IF($A2335="","",IF($H2335="ENGAGE","Engagé",IF(AND($H2335="NON ENGAGE",OR($I2335="INFRUCTUEUX",$I2335="ANNULE")),"Clôturé sans suite","En cours")))</f>
        <v/>
      </c>
      <c r="N2335">
        <f>IF(ISBLANK('ENGAGEMENTS 2026'!C2335),"",'ENGAGEMENTS 2026'!L2335)</f>
        <v/>
      </c>
      <c r="O2335">
        <f>IF(ISBLANK('ENGAGEMENTS 2026'!C2335),"",'ENGAGEMENTS 2026'!M2335)</f>
        <v/>
      </c>
      <c r="P2335">
        <f>IF(ISBLANK('ENGAGEMENTS 2026'!C2335),"",'ENGAGEMENTS 2026'!K2335)</f>
        <v/>
      </c>
      <c r="Q2335">
        <f>IF($A2335="","",IF(OR($E2335="INFRUCTUEUX",$E2335="ANNULE"),$A2335&amp;"|"&amp;(COUNTIFS($A$2:$A2335,$A2335,$E$2:$E2335,"INFRUCTUEUX")+COUNTIFS($A$2:$A2335,$A2335,$E$2:$E2335,"ANNULE")),""))</f>
        <v/>
      </c>
    </row>
    <row r="2336">
      <c r="A2336">
        <f>IF(ISBLANK('ENGAGEMENTS 2026'!C2336),"",IF('ENGAGEMENTS 2026'!C2336="DTSI","DCT",'ENGAGEMENTS 2026'!C2336))</f>
        <v/>
      </c>
      <c r="B2336">
        <f>IF(ISBLANK('ENGAGEMENTS 2026'!C2336),"",'ENGAGEMENTS 2026'!D2336)</f>
        <v/>
      </c>
      <c r="C2336">
        <f>IF(ISBLANK('ENGAGEMENTS 2026'!C2336),"",'ENGAGEMENTS 2026'!E2336)</f>
        <v/>
      </c>
      <c r="D2336">
        <f>IF(ISBLANK('ENGAGEMENTS 2026'!C2336),"",'ENGAGEMENTS 2026'!G2336)</f>
        <v/>
      </c>
      <c r="E2336">
        <f>IF(ISBLANK('ENGAGEMENTS 2026'!C2336),"",'ENGAGEMENTS 2026'!I2336)</f>
        <v/>
      </c>
      <c r="F2336">
        <f>IF(ISBLANK('ENGAGEMENTS 2026'!C2336),"",'ENGAGEMENTS 2026'!J2336)</f>
        <v/>
      </c>
      <c r="G2336">
        <f>IF(ISBLANK('ENGAGEMENTS 2026'!C2336),"",'ENGAGEMENTS 2026'!M2336)</f>
        <v/>
      </c>
      <c r="H2336">
        <f>IF(ISBLANK('ENGAGEMENTS 2026'!C2336),"",'ENGAGEMENTS 2026'!AF2336)</f>
        <v/>
      </c>
      <c r="I2336">
        <f>IF(ISBLANK('ENGAGEMENTS 2026'!C2336),"",'ENGAGEMENTS 2026'!H2336)</f>
        <v/>
      </c>
      <c r="J2336" s="275">
        <f>IF(ISBLANK('ENGAGEMENTS 2026'!C2336),"",IF(AND(OR($E2336="INFRUCTUEUX",$E2336="ANNULE"),$C2336="AOO-M"),'ENGAGEMENTS 2026'!P2336,IF($H2336="EN COURS DE PREENGAGEMENT",'ENGAGEMENTS 2026'!O2336,IF($H2336="PREENGAGE",IF($E2336="ATTRIBUE",'ENGAGEMENTS 2026'!AE2336,'ENGAGEMENTS 2026'!O2336),'ENGAGEMENTS 2026'!AE2336))))</f>
        <v/>
      </c>
      <c r="K2336" s="604">
        <f>IF(ISBLANK('ENGAGEMENTS 2026'!W2336),"",'ENGAGEMENTS 2026'!W2336)</f>
        <v/>
      </c>
      <c r="L2336" s="276">
        <f>IF($K2336="","",TODAY()-$K2336)</f>
        <v/>
      </c>
      <c r="M2336">
        <f>IF($A2336="","",IF($H2336="ENGAGE","Engagé",IF(AND($H2336="NON ENGAGE",OR($I2336="INFRUCTUEUX",$I2336="ANNULE")),"Clôturé sans suite","En cours")))</f>
        <v/>
      </c>
      <c r="N2336">
        <f>IF(ISBLANK('ENGAGEMENTS 2026'!C2336),"",'ENGAGEMENTS 2026'!L2336)</f>
        <v/>
      </c>
      <c r="O2336">
        <f>IF(ISBLANK('ENGAGEMENTS 2026'!C2336),"",'ENGAGEMENTS 2026'!M2336)</f>
        <v/>
      </c>
      <c r="P2336">
        <f>IF(ISBLANK('ENGAGEMENTS 2026'!C2336),"",'ENGAGEMENTS 2026'!K2336)</f>
        <v/>
      </c>
      <c r="Q2336">
        <f>IF($A2336="","",IF(OR($E2336="INFRUCTUEUX",$E2336="ANNULE"),$A2336&amp;"|"&amp;(COUNTIFS($A$2:$A2336,$A2336,$E$2:$E2336,"INFRUCTUEUX")+COUNTIFS($A$2:$A2336,$A2336,$E$2:$E2336,"ANNULE")),""))</f>
        <v/>
      </c>
    </row>
    <row r="2337">
      <c r="A2337">
        <f>IF(ISBLANK('ENGAGEMENTS 2026'!C2337),"",IF('ENGAGEMENTS 2026'!C2337="DTSI","DCT",'ENGAGEMENTS 2026'!C2337))</f>
        <v/>
      </c>
      <c r="B2337">
        <f>IF(ISBLANK('ENGAGEMENTS 2026'!C2337),"",'ENGAGEMENTS 2026'!D2337)</f>
        <v/>
      </c>
      <c r="C2337">
        <f>IF(ISBLANK('ENGAGEMENTS 2026'!C2337),"",'ENGAGEMENTS 2026'!E2337)</f>
        <v/>
      </c>
      <c r="D2337">
        <f>IF(ISBLANK('ENGAGEMENTS 2026'!C2337),"",'ENGAGEMENTS 2026'!G2337)</f>
        <v/>
      </c>
      <c r="E2337">
        <f>IF(ISBLANK('ENGAGEMENTS 2026'!C2337),"",'ENGAGEMENTS 2026'!I2337)</f>
        <v/>
      </c>
      <c r="F2337">
        <f>IF(ISBLANK('ENGAGEMENTS 2026'!C2337),"",'ENGAGEMENTS 2026'!J2337)</f>
        <v/>
      </c>
      <c r="G2337">
        <f>IF(ISBLANK('ENGAGEMENTS 2026'!C2337),"",'ENGAGEMENTS 2026'!M2337)</f>
        <v/>
      </c>
      <c r="H2337">
        <f>IF(ISBLANK('ENGAGEMENTS 2026'!C2337),"",'ENGAGEMENTS 2026'!AF2337)</f>
        <v/>
      </c>
      <c r="I2337">
        <f>IF(ISBLANK('ENGAGEMENTS 2026'!C2337),"",'ENGAGEMENTS 2026'!H2337)</f>
        <v/>
      </c>
      <c r="J2337" s="275">
        <f>IF(ISBLANK('ENGAGEMENTS 2026'!C2337),"",IF(AND(OR($E2337="INFRUCTUEUX",$E2337="ANNULE"),$C2337="AOO-M"),'ENGAGEMENTS 2026'!P2337,IF($H2337="EN COURS DE PREENGAGEMENT",'ENGAGEMENTS 2026'!O2337,IF($H2337="PREENGAGE",IF($E2337="ATTRIBUE",'ENGAGEMENTS 2026'!AE2337,'ENGAGEMENTS 2026'!O2337),'ENGAGEMENTS 2026'!AE2337))))</f>
        <v/>
      </c>
      <c r="K2337" s="604">
        <f>IF(ISBLANK('ENGAGEMENTS 2026'!W2337),"",'ENGAGEMENTS 2026'!W2337)</f>
        <v/>
      </c>
      <c r="L2337" s="276">
        <f>IF($K2337="","",TODAY()-$K2337)</f>
        <v/>
      </c>
      <c r="M2337">
        <f>IF($A2337="","",IF($H2337="ENGAGE","Engagé",IF(AND($H2337="NON ENGAGE",OR($I2337="INFRUCTUEUX",$I2337="ANNULE")),"Clôturé sans suite","En cours")))</f>
        <v/>
      </c>
      <c r="N2337">
        <f>IF(ISBLANK('ENGAGEMENTS 2026'!C2337),"",'ENGAGEMENTS 2026'!L2337)</f>
        <v/>
      </c>
      <c r="O2337">
        <f>IF(ISBLANK('ENGAGEMENTS 2026'!C2337),"",'ENGAGEMENTS 2026'!M2337)</f>
        <v/>
      </c>
      <c r="P2337">
        <f>IF(ISBLANK('ENGAGEMENTS 2026'!C2337),"",'ENGAGEMENTS 2026'!K2337)</f>
        <v/>
      </c>
      <c r="Q2337">
        <f>IF($A2337="","",IF(OR($E2337="INFRUCTUEUX",$E2337="ANNULE"),$A2337&amp;"|"&amp;(COUNTIFS($A$2:$A2337,$A2337,$E$2:$E2337,"INFRUCTUEUX")+COUNTIFS($A$2:$A2337,$A2337,$E$2:$E2337,"ANNULE")),""))</f>
        <v/>
      </c>
    </row>
    <row r="2338">
      <c r="A2338">
        <f>IF(ISBLANK('ENGAGEMENTS 2026'!C2338),"",IF('ENGAGEMENTS 2026'!C2338="DTSI","DCT",'ENGAGEMENTS 2026'!C2338))</f>
        <v/>
      </c>
      <c r="B2338">
        <f>IF(ISBLANK('ENGAGEMENTS 2026'!C2338),"",'ENGAGEMENTS 2026'!D2338)</f>
        <v/>
      </c>
      <c r="C2338">
        <f>IF(ISBLANK('ENGAGEMENTS 2026'!C2338),"",'ENGAGEMENTS 2026'!E2338)</f>
        <v/>
      </c>
      <c r="D2338">
        <f>IF(ISBLANK('ENGAGEMENTS 2026'!C2338),"",'ENGAGEMENTS 2026'!G2338)</f>
        <v/>
      </c>
      <c r="E2338">
        <f>IF(ISBLANK('ENGAGEMENTS 2026'!C2338),"",'ENGAGEMENTS 2026'!I2338)</f>
        <v/>
      </c>
      <c r="F2338">
        <f>IF(ISBLANK('ENGAGEMENTS 2026'!C2338),"",'ENGAGEMENTS 2026'!J2338)</f>
        <v/>
      </c>
      <c r="G2338">
        <f>IF(ISBLANK('ENGAGEMENTS 2026'!C2338),"",'ENGAGEMENTS 2026'!M2338)</f>
        <v/>
      </c>
      <c r="H2338">
        <f>IF(ISBLANK('ENGAGEMENTS 2026'!C2338),"",'ENGAGEMENTS 2026'!AF2338)</f>
        <v/>
      </c>
      <c r="I2338">
        <f>IF(ISBLANK('ENGAGEMENTS 2026'!C2338),"",'ENGAGEMENTS 2026'!H2338)</f>
        <v/>
      </c>
      <c r="J2338" s="275">
        <f>IF(ISBLANK('ENGAGEMENTS 2026'!C2338),"",IF(AND(OR($E2338="INFRUCTUEUX",$E2338="ANNULE"),$C2338="AOO-M"),'ENGAGEMENTS 2026'!P2338,IF($H2338="EN COURS DE PREENGAGEMENT",'ENGAGEMENTS 2026'!O2338,IF($H2338="PREENGAGE",IF($E2338="ATTRIBUE",'ENGAGEMENTS 2026'!AE2338,'ENGAGEMENTS 2026'!O2338),'ENGAGEMENTS 2026'!AE2338))))</f>
        <v/>
      </c>
      <c r="K2338" s="604">
        <f>IF(ISBLANK('ENGAGEMENTS 2026'!W2338),"",'ENGAGEMENTS 2026'!W2338)</f>
        <v/>
      </c>
      <c r="L2338" s="276">
        <f>IF($K2338="","",TODAY()-$K2338)</f>
        <v/>
      </c>
      <c r="M2338">
        <f>IF($A2338="","",IF($H2338="ENGAGE","Engagé",IF(AND($H2338="NON ENGAGE",OR($I2338="INFRUCTUEUX",$I2338="ANNULE")),"Clôturé sans suite","En cours")))</f>
        <v/>
      </c>
      <c r="N2338">
        <f>IF(ISBLANK('ENGAGEMENTS 2026'!C2338),"",'ENGAGEMENTS 2026'!L2338)</f>
        <v/>
      </c>
      <c r="O2338">
        <f>IF(ISBLANK('ENGAGEMENTS 2026'!C2338),"",'ENGAGEMENTS 2026'!M2338)</f>
        <v/>
      </c>
      <c r="P2338">
        <f>IF(ISBLANK('ENGAGEMENTS 2026'!C2338),"",'ENGAGEMENTS 2026'!K2338)</f>
        <v/>
      </c>
      <c r="Q2338">
        <f>IF($A2338="","",IF(OR($E2338="INFRUCTUEUX",$E2338="ANNULE"),$A2338&amp;"|"&amp;(COUNTIFS($A$2:$A2338,$A2338,$E$2:$E2338,"INFRUCTUEUX")+COUNTIFS($A$2:$A2338,$A2338,$E$2:$E2338,"ANNULE")),""))</f>
        <v/>
      </c>
    </row>
    <row r="2339">
      <c r="A2339">
        <f>IF(ISBLANK('ENGAGEMENTS 2026'!C2339),"",IF('ENGAGEMENTS 2026'!C2339="DTSI","DCT",'ENGAGEMENTS 2026'!C2339))</f>
        <v/>
      </c>
      <c r="B2339">
        <f>IF(ISBLANK('ENGAGEMENTS 2026'!C2339),"",'ENGAGEMENTS 2026'!D2339)</f>
        <v/>
      </c>
      <c r="C2339">
        <f>IF(ISBLANK('ENGAGEMENTS 2026'!C2339),"",'ENGAGEMENTS 2026'!E2339)</f>
        <v/>
      </c>
      <c r="D2339">
        <f>IF(ISBLANK('ENGAGEMENTS 2026'!C2339),"",'ENGAGEMENTS 2026'!G2339)</f>
        <v/>
      </c>
      <c r="E2339">
        <f>IF(ISBLANK('ENGAGEMENTS 2026'!C2339),"",'ENGAGEMENTS 2026'!I2339)</f>
        <v/>
      </c>
      <c r="F2339">
        <f>IF(ISBLANK('ENGAGEMENTS 2026'!C2339),"",'ENGAGEMENTS 2026'!J2339)</f>
        <v/>
      </c>
      <c r="G2339">
        <f>IF(ISBLANK('ENGAGEMENTS 2026'!C2339),"",'ENGAGEMENTS 2026'!M2339)</f>
        <v/>
      </c>
      <c r="H2339">
        <f>IF(ISBLANK('ENGAGEMENTS 2026'!C2339),"",'ENGAGEMENTS 2026'!AF2339)</f>
        <v/>
      </c>
      <c r="I2339">
        <f>IF(ISBLANK('ENGAGEMENTS 2026'!C2339),"",'ENGAGEMENTS 2026'!H2339)</f>
        <v/>
      </c>
      <c r="J2339" s="275">
        <f>IF(ISBLANK('ENGAGEMENTS 2026'!C2339),"",IF(AND(OR($E2339="INFRUCTUEUX",$E2339="ANNULE"),$C2339="AOO-M"),'ENGAGEMENTS 2026'!P2339,IF($H2339="EN COURS DE PREENGAGEMENT",'ENGAGEMENTS 2026'!O2339,IF($H2339="PREENGAGE",IF($E2339="ATTRIBUE",'ENGAGEMENTS 2026'!AE2339,'ENGAGEMENTS 2026'!O2339),'ENGAGEMENTS 2026'!AE2339))))</f>
        <v/>
      </c>
      <c r="K2339" s="604">
        <f>IF(ISBLANK('ENGAGEMENTS 2026'!W2339),"",'ENGAGEMENTS 2026'!W2339)</f>
        <v/>
      </c>
      <c r="L2339" s="276">
        <f>IF($K2339="","",TODAY()-$K2339)</f>
        <v/>
      </c>
      <c r="M2339">
        <f>IF($A2339="","",IF($H2339="ENGAGE","Engagé",IF(AND($H2339="NON ENGAGE",OR($I2339="INFRUCTUEUX",$I2339="ANNULE")),"Clôturé sans suite","En cours")))</f>
        <v/>
      </c>
      <c r="N2339">
        <f>IF(ISBLANK('ENGAGEMENTS 2026'!C2339),"",'ENGAGEMENTS 2026'!L2339)</f>
        <v/>
      </c>
      <c r="O2339">
        <f>IF(ISBLANK('ENGAGEMENTS 2026'!C2339),"",'ENGAGEMENTS 2026'!M2339)</f>
        <v/>
      </c>
      <c r="P2339">
        <f>IF(ISBLANK('ENGAGEMENTS 2026'!C2339),"",'ENGAGEMENTS 2026'!K2339)</f>
        <v/>
      </c>
      <c r="Q2339">
        <f>IF($A2339="","",IF(OR($E2339="INFRUCTUEUX",$E2339="ANNULE"),$A2339&amp;"|"&amp;(COUNTIFS($A$2:$A2339,$A2339,$E$2:$E2339,"INFRUCTUEUX")+COUNTIFS($A$2:$A2339,$A2339,$E$2:$E2339,"ANNULE")),""))</f>
        <v/>
      </c>
    </row>
    <row r="2340">
      <c r="A2340">
        <f>IF(ISBLANK('ENGAGEMENTS 2026'!C2340),"",IF('ENGAGEMENTS 2026'!C2340="DTSI","DCT",'ENGAGEMENTS 2026'!C2340))</f>
        <v/>
      </c>
      <c r="B2340">
        <f>IF(ISBLANK('ENGAGEMENTS 2026'!C2340),"",'ENGAGEMENTS 2026'!D2340)</f>
        <v/>
      </c>
      <c r="C2340">
        <f>IF(ISBLANK('ENGAGEMENTS 2026'!C2340),"",'ENGAGEMENTS 2026'!E2340)</f>
        <v/>
      </c>
      <c r="D2340">
        <f>IF(ISBLANK('ENGAGEMENTS 2026'!C2340),"",'ENGAGEMENTS 2026'!G2340)</f>
        <v/>
      </c>
      <c r="E2340">
        <f>IF(ISBLANK('ENGAGEMENTS 2026'!C2340),"",'ENGAGEMENTS 2026'!I2340)</f>
        <v/>
      </c>
      <c r="F2340">
        <f>IF(ISBLANK('ENGAGEMENTS 2026'!C2340),"",'ENGAGEMENTS 2026'!J2340)</f>
        <v/>
      </c>
      <c r="G2340">
        <f>IF(ISBLANK('ENGAGEMENTS 2026'!C2340),"",'ENGAGEMENTS 2026'!M2340)</f>
        <v/>
      </c>
      <c r="H2340">
        <f>IF(ISBLANK('ENGAGEMENTS 2026'!C2340),"",'ENGAGEMENTS 2026'!AF2340)</f>
        <v/>
      </c>
      <c r="I2340">
        <f>IF(ISBLANK('ENGAGEMENTS 2026'!C2340),"",'ENGAGEMENTS 2026'!H2340)</f>
        <v/>
      </c>
      <c r="J2340" s="275">
        <f>IF(ISBLANK('ENGAGEMENTS 2026'!C2340),"",IF(AND(OR($E2340="INFRUCTUEUX",$E2340="ANNULE"),$C2340="AOO-M"),'ENGAGEMENTS 2026'!P2340,IF($H2340="EN COURS DE PREENGAGEMENT",'ENGAGEMENTS 2026'!O2340,IF($H2340="PREENGAGE",IF($E2340="ATTRIBUE",'ENGAGEMENTS 2026'!AE2340,'ENGAGEMENTS 2026'!O2340),'ENGAGEMENTS 2026'!AE2340))))</f>
        <v/>
      </c>
      <c r="K2340" s="604">
        <f>IF(ISBLANK('ENGAGEMENTS 2026'!W2340),"",'ENGAGEMENTS 2026'!W2340)</f>
        <v/>
      </c>
      <c r="L2340" s="276">
        <f>IF($K2340="","",TODAY()-$K2340)</f>
        <v/>
      </c>
      <c r="M2340">
        <f>IF($A2340="","",IF($H2340="ENGAGE","Engagé",IF(AND($H2340="NON ENGAGE",OR($I2340="INFRUCTUEUX",$I2340="ANNULE")),"Clôturé sans suite","En cours")))</f>
        <v/>
      </c>
      <c r="N2340">
        <f>IF(ISBLANK('ENGAGEMENTS 2026'!C2340),"",'ENGAGEMENTS 2026'!L2340)</f>
        <v/>
      </c>
      <c r="O2340">
        <f>IF(ISBLANK('ENGAGEMENTS 2026'!C2340),"",'ENGAGEMENTS 2026'!M2340)</f>
        <v/>
      </c>
      <c r="P2340">
        <f>IF(ISBLANK('ENGAGEMENTS 2026'!C2340),"",'ENGAGEMENTS 2026'!K2340)</f>
        <v/>
      </c>
      <c r="Q2340">
        <f>IF($A2340="","",IF(OR($E2340="INFRUCTUEUX",$E2340="ANNULE"),$A2340&amp;"|"&amp;(COUNTIFS($A$2:$A2340,$A2340,$E$2:$E2340,"INFRUCTUEUX")+COUNTIFS($A$2:$A2340,$A2340,$E$2:$E2340,"ANNULE")),""))</f>
        <v/>
      </c>
    </row>
    <row r="2341">
      <c r="A2341">
        <f>IF(ISBLANK('ENGAGEMENTS 2026'!C2341),"",IF('ENGAGEMENTS 2026'!C2341="DTSI","DCT",'ENGAGEMENTS 2026'!C2341))</f>
        <v/>
      </c>
      <c r="B2341">
        <f>IF(ISBLANK('ENGAGEMENTS 2026'!C2341),"",'ENGAGEMENTS 2026'!D2341)</f>
        <v/>
      </c>
      <c r="C2341">
        <f>IF(ISBLANK('ENGAGEMENTS 2026'!C2341),"",'ENGAGEMENTS 2026'!E2341)</f>
        <v/>
      </c>
      <c r="D2341">
        <f>IF(ISBLANK('ENGAGEMENTS 2026'!C2341),"",'ENGAGEMENTS 2026'!G2341)</f>
        <v/>
      </c>
      <c r="E2341">
        <f>IF(ISBLANK('ENGAGEMENTS 2026'!C2341),"",'ENGAGEMENTS 2026'!I2341)</f>
        <v/>
      </c>
      <c r="F2341">
        <f>IF(ISBLANK('ENGAGEMENTS 2026'!C2341),"",'ENGAGEMENTS 2026'!J2341)</f>
        <v/>
      </c>
      <c r="G2341">
        <f>IF(ISBLANK('ENGAGEMENTS 2026'!C2341),"",'ENGAGEMENTS 2026'!M2341)</f>
        <v/>
      </c>
      <c r="H2341">
        <f>IF(ISBLANK('ENGAGEMENTS 2026'!C2341),"",'ENGAGEMENTS 2026'!AF2341)</f>
        <v/>
      </c>
      <c r="I2341">
        <f>IF(ISBLANK('ENGAGEMENTS 2026'!C2341),"",'ENGAGEMENTS 2026'!H2341)</f>
        <v/>
      </c>
      <c r="J2341" s="275">
        <f>IF(ISBLANK('ENGAGEMENTS 2026'!C2341),"",IF(AND(OR($E2341="INFRUCTUEUX",$E2341="ANNULE"),$C2341="AOO-M"),'ENGAGEMENTS 2026'!P2341,IF($H2341="EN COURS DE PREENGAGEMENT",'ENGAGEMENTS 2026'!O2341,IF($H2341="PREENGAGE",IF($E2341="ATTRIBUE",'ENGAGEMENTS 2026'!AE2341,'ENGAGEMENTS 2026'!O2341),'ENGAGEMENTS 2026'!AE2341))))</f>
        <v/>
      </c>
      <c r="K2341" s="604">
        <f>IF(ISBLANK('ENGAGEMENTS 2026'!W2341),"",'ENGAGEMENTS 2026'!W2341)</f>
        <v/>
      </c>
      <c r="L2341" s="276">
        <f>IF($K2341="","",TODAY()-$K2341)</f>
        <v/>
      </c>
      <c r="M2341">
        <f>IF($A2341="","",IF($H2341="ENGAGE","Engagé",IF(AND($H2341="NON ENGAGE",OR($I2341="INFRUCTUEUX",$I2341="ANNULE")),"Clôturé sans suite","En cours")))</f>
        <v/>
      </c>
      <c r="N2341">
        <f>IF(ISBLANK('ENGAGEMENTS 2026'!C2341),"",'ENGAGEMENTS 2026'!L2341)</f>
        <v/>
      </c>
      <c r="O2341">
        <f>IF(ISBLANK('ENGAGEMENTS 2026'!C2341),"",'ENGAGEMENTS 2026'!M2341)</f>
        <v/>
      </c>
      <c r="P2341">
        <f>IF(ISBLANK('ENGAGEMENTS 2026'!C2341),"",'ENGAGEMENTS 2026'!K2341)</f>
        <v/>
      </c>
      <c r="Q2341">
        <f>IF($A2341="","",IF(OR($E2341="INFRUCTUEUX",$E2341="ANNULE"),$A2341&amp;"|"&amp;(COUNTIFS($A$2:$A2341,$A2341,$E$2:$E2341,"INFRUCTUEUX")+COUNTIFS($A$2:$A2341,$A2341,$E$2:$E2341,"ANNULE")),""))</f>
        <v/>
      </c>
    </row>
    <row r="2342">
      <c r="A2342">
        <f>IF(ISBLANK('ENGAGEMENTS 2026'!C2342),"",IF('ENGAGEMENTS 2026'!C2342="DTSI","DCT",'ENGAGEMENTS 2026'!C2342))</f>
        <v/>
      </c>
      <c r="B2342">
        <f>IF(ISBLANK('ENGAGEMENTS 2026'!C2342),"",'ENGAGEMENTS 2026'!D2342)</f>
        <v/>
      </c>
      <c r="C2342">
        <f>IF(ISBLANK('ENGAGEMENTS 2026'!C2342),"",'ENGAGEMENTS 2026'!E2342)</f>
        <v/>
      </c>
      <c r="D2342">
        <f>IF(ISBLANK('ENGAGEMENTS 2026'!C2342),"",'ENGAGEMENTS 2026'!G2342)</f>
        <v/>
      </c>
      <c r="E2342">
        <f>IF(ISBLANK('ENGAGEMENTS 2026'!C2342),"",'ENGAGEMENTS 2026'!I2342)</f>
        <v/>
      </c>
      <c r="F2342">
        <f>IF(ISBLANK('ENGAGEMENTS 2026'!C2342),"",'ENGAGEMENTS 2026'!J2342)</f>
        <v/>
      </c>
      <c r="G2342">
        <f>IF(ISBLANK('ENGAGEMENTS 2026'!C2342),"",'ENGAGEMENTS 2026'!M2342)</f>
        <v/>
      </c>
      <c r="H2342">
        <f>IF(ISBLANK('ENGAGEMENTS 2026'!C2342),"",'ENGAGEMENTS 2026'!AF2342)</f>
        <v/>
      </c>
      <c r="I2342">
        <f>IF(ISBLANK('ENGAGEMENTS 2026'!C2342),"",'ENGAGEMENTS 2026'!H2342)</f>
        <v/>
      </c>
      <c r="J2342" s="275">
        <f>IF(ISBLANK('ENGAGEMENTS 2026'!C2342),"",IF(AND(OR($E2342="INFRUCTUEUX",$E2342="ANNULE"),$C2342="AOO-M"),'ENGAGEMENTS 2026'!P2342,IF($H2342="EN COURS DE PREENGAGEMENT",'ENGAGEMENTS 2026'!O2342,IF($H2342="PREENGAGE",IF($E2342="ATTRIBUE",'ENGAGEMENTS 2026'!AE2342,'ENGAGEMENTS 2026'!O2342),'ENGAGEMENTS 2026'!AE2342))))</f>
        <v/>
      </c>
      <c r="K2342" s="604">
        <f>IF(ISBLANK('ENGAGEMENTS 2026'!W2342),"",'ENGAGEMENTS 2026'!W2342)</f>
        <v/>
      </c>
      <c r="L2342" s="276">
        <f>IF($K2342="","",TODAY()-$K2342)</f>
        <v/>
      </c>
      <c r="M2342">
        <f>IF($A2342="","",IF($H2342="ENGAGE","Engagé",IF(AND($H2342="NON ENGAGE",OR($I2342="INFRUCTUEUX",$I2342="ANNULE")),"Clôturé sans suite","En cours")))</f>
        <v/>
      </c>
      <c r="N2342">
        <f>IF(ISBLANK('ENGAGEMENTS 2026'!C2342),"",'ENGAGEMENTS 2026'!L2342)</f>
        <v/>
      </c>
      <c r="O2342">
        <f>IF(ISBLANK('ENGAGEMENTS 2026'!C2342),"",'ENGAGEMENTS 2026'!M2342)</f>
        <v/>
      </c>
      <c r="P2342">
        <f>IF(ISBLANK('ENGAGEMENTS 2026'!C2342),"",'ENGAGEMENTS 2026'!K2342)</f>
        <v/>
      </c>
      <c r="Q2342">
        <f>IF($A2342="","",IF(OR($E2342="INFRUCTUEUX",$E2342="ANNULE"),$A2342&amp;"|"&amp;(COUNTIFS($A$2:$A2342,$A2342,$E$2:$E2342,"INFRUCTUEUX")+COUNTIFS($A$2:$A2342,$A2342,$E$2:$E2342,"ANNULE")),""))</f>
        <v/>
      </c>
    </row>
    <row r="2343">
      <c r="A2343">
        <f>IF(ISBLANK('ENGAGEMENTS 2026'!C2343),"",IF('ENGAGEMENTS 2026'!C2343="DTSI","DCT",'ENGAGEMENTS 2026'!C2343))</f>
        <v/>
      </c>
      <c r="B2343">
        <f>IF(ISBLANK('ENGAGEMENTS 2026'!C2343),"",'ENGAGEMENTS 2026'!D2343)</f>
        <v/>
      </c>
      <c r="C2343">
        <f>IF(ISBLANK('ENGAGEMENTS 2026'!C2343),"",'ENGAGEMENTS 2026'!E2343)</f>
        <v/>
      </c>
      <c r="D2343">
        <f>IF(ISBLANK('ENGAGEMENTS 2026'!C2343),"",'ENGAGEMENTS 2026'!G2343)</f>
        <v/>
      </c>
      <c r="E2343">
        <f>IF(ISBLANK('ENGAGEMENTS 2026'!C2343),"",'ENGAGEMENTS 2026'!I2343)</f>
        <v/>
      </c>
      <c r="F2343">
        <f>IF(ISBLANK('ENGAGEMENTS 2026'!C2343),"",'ENGAGEMENTS 2026'!J2343)</f>
        <v/>
      </c>
      <c r="G2343">
        <f>IF(ISBLANK('ENGAGEMENTS 2026'!C2343),"",'ENGAGEMENTS 2026'!M2343)</f>
        <v/>
      </c>
      <c r="H2343">
        <f>IF(ISBLANK('ENGAGEMENTS 2026'!C2343),"",'ENGAGEMENTS 2026'!AF2343)</f>
        <v/>
      </c>
      <c r="I2343">
        <f>IF(ISBLANK('ENGAGEMENTS 2026'!C2343),"",'ENGAGEMENTS 2026'!H2343)</f>
        <v/>
      </c>
      <c r="J2343" s="275">
        <f>IF(ISBLANK('ENGAGEMENTS 2026'!C2343),"",IF(AND(OR($E2343="INFRUCTUEUX",$E2343="ANNULE"),$C2343="AOO-M"),'ENGAGEMENTS 2026'!P2343,IF($H2343="EN COURS DE PREENGAGEMENT",'ENGAGEMENTS 2026'!O2343,IF($H2343="PREENGAGE",IF($E2343="ATTRIBUE",'ENGAGEMENTS 2026'!AE2343,'ENGAGEMENTS 2026'!O2343),'ENGAGEMENTS 2026'!AE2343))))</f>
        <v/>
      </c>
      <c r="K2343" s="604">
        <f>IF(ISBLANK('ENGAGEMENTS 2026'!W2343),"",'ENGAGEMENTS 2026'!W2343)</f>
        <v/>
      </c>
      <c r="L2343" s="276">
        <f>IF($K2343="","",TODAY()-$K2343)</f>
        <v/>
      </c>
      <c r="M2343">
        <f>IF($A2343="","",IF($H2343="ENGAGE","Engagé",IF(AND($H2343="NON ENGAGE",OR($I2343="INFRUCTUEUX",$I2343="ANNULE")),"Clôturé sans suite","En cours")))</f>
        <v/>
      </c>
      <c r="N2343">
        <f>IF(ISBLANK('ENGAGEMENTS 2026'!C2343),"",'ENGAGEMENTS 2026'!L2343)</f>
        <v/>
      </c>
      <c r="O2343">
        <f>IF(ISBLANK('ENGAGEMENTS 2026'!C2343),"",'ENGAGEMENTS 2026'!M2343)</f>
        <v/>
      </c>
      <c r="P2343">
        <f>IF(ISBLANK('ENGAGEMENTS 2026'!C2343),"",'ENGAGEMENTS 2026'!K2343)</f>
        <v/>
      </c>
      <c r="Q2343">
        <f>IF($A2343="","",IF(OR($E2343="INFRUCTUEUX",$E2343="ANNULE"),$A2343&amp;"|"&amp;(COUNTIFS($A$2:$A2343,$A2343,$E$2:$E2343,"INFRUCTUEUX")+COUNTIFS($A$2:$A2343,$A2343,$E$2:$E2343,"ANNULE")),""))</f>
        <v/>
      </c>
    </row>
    <row r="2344">
      <c r="A2344">
        <f>IF(ISBLANK('ENGAGEMENTS 2026'!C2344),"",IF('ENGAGEMENTS 2026'!C2344="DTSI","DCT",'ENGAGEMENTS 2026'!C2344))</f>
        <v/>
      </c>
      <c r="B2344">
        <f>IF(ISBLANK('ENGAGEMENTS 2026'!C2344),"",'ENGAGEMENTS 2026'!D2344)</f>
        <v/>
      </c>
      <c r="C2344">
        <f>IF(ISBLANK('ENGAGEMENTS 2026'!C2344),"",'ENGAGEMENTS 2026'!E2344)</f>
        <v/>
      </c>
      <c r="D2344">
        <f>IF(ISBLANK('ENGAGEMENTS 2026'!C2344),"",'ENGAGEMENTS 2026'!G2344)</f>
        <v/>
      </c>
      <c r="E2344">
        <f>IF(ISBLANK('ENGAGEMENTS 2026'!C2344),"",'ENGAGEMENTS 2026'!I2344)</f>
        <v/>
      </c>
      <c r="F2344">
        <f>IF(ISBLANK('ENGAGEMENTS 2026'!C2344),"",'ENGAGEMENTS 2026'!J2344)</f>
        <v/>
      </c>
      <c r="G2344">
        <f>IF(ISBLANK('ENGAGEMENTS 2026'!C2344),"",'ENGAGEMENTS 2026'!M2344)</f>
        <v/>
      </c>
      <c r="H2344">
        <f>IF(ISBLANK('ENGAGEMENTS 2026'!C2344),"",'ENGAGEMENTS 2026'!AF2344)</f>
        <v/>
      </c>
      <c r="I2344">
        <f>IF(ISBLANK('ENGAGEMENTS 2026'!C2344),"",'ENGAGEMENTS 2026'!H2344)</f>
        <v/>
      </c>
      <c r="J2344" s="275">
        <f>IF(ISBLANK('ENGAGEMENTS 2026'!C2344),"",IF(AND(OR($E2344="INFRUCTUEUX",$E2344="ANNULE"),$C2344="AOO-M"),'ENGAGEMENTS 2026'!P2344,IF($H2344="EN COURS DE PREENGAGEMENT",'ENGAGEMENTS 2026'!O2344,IF($H2344="PREENGAGE",IF($E2344="ATTRIBUE",'ENGAGEMENTS 2026'!AE2344,'ENGAGEMENTS 2026'!O2344),'ENGAGEMENTS 2026'!AE2344))))</f>
        <v/>
      </c>
      <c r="K2344" s="604">
        <f>IF(ISBLANK('ENGAGEMENTS 2026'!W2344),"",'ENGAGEMENTS 2026'!W2344)</f>
        <v/>
      </c>
      <c r="L2344" s="276">
        <f>IF($K2344="","",TODAY()-$K2344)</f>
        <v/>
      </c>
      <c r="M2344">
        <f>IF($A2344="","",IF($H2344="ENGAGE","Engagé",IF(AND($H2344="NON ENGAGE",OR($I2344="INFRUCTUEUX",$I2344="ANNULE")),"Clôturé sans suite","En cours")))</f>
        <v/>
      </c>
      <c r="N2344">
        <f>IF(ISBLANK('ENGAGEMENTS 2026'!C2344),"",'ENGAGEMENTS 2026'!L2344)</f>
        <v/>
      </c>
      <c r="O2344">
        <f>IF(ISBLANK('ENGAGEMENTS 2026'!C2344),"",'ENGAGEMENTS 2026'!M2344)</f>
        <v/>
      </c>
      <c r="P2344">
        <f>IF(ISBLANK('ENGAGEMENTS 2026'!C2344),"",'ENGAGEMENTS 2026'!K2344)</f>
        <v/>
      </c>
      <c r="Q2344">
        <f>IF($A2344="","",IF(OR($E2344="INFRUCTUEUX",$E2344="ANNULE"),$A2344&amp;"|"&amp;(COUNTIFS($A$2:$A2344,$A2344,$E$2:$E2344,"INFRUCTUEUX")+COUNTIFS($A$2:$A2344,$A2344,$E$2:$E2344,"ANNULE")),""))</f>
        <v/>
      </c>
    </row>
    <row r="2345">
      <c r="A2345">
        <f>IF(ISBLANK('ENGAGEMENTS 2026'!C2345),"",IF('ENGAGEMENTS 2026'!C2345="DTSI","DCT",'ENGAGEMENTS 2026'!C2345))</f>
        <v/>
      </c>
      <c r="B2345">
        <f>IF(ISBLANK('ENGAGEMENTS 2026'!C2345),"",'ENGAGEMENTS 2026'!D2345)</f>
        <v/>
      </c>
      <c r="C2345">
        <f>IF(ISBLANK('ENGAGEMENTS 2026'!C2345),"",'ENGAGEMENTS 2026'!E2345)</f>
        <v/>
      </c>
      <c r="D2345">
        <f>IF(ISBLANK('ENGAGEMENTS 2026'!C2345),"",'ENGAGEMENTS 2026'!G2345)</f>
        <v/>
      </c>
      <c r="E2345">
        <f>IF(ISBLANK('ENGAGEMENTS 2026'!C2345),"",'ENGAGEMENTS 2026'!I2345)</f>
        <v/>
      </c>
      <c r="F2345">
        <f>IF(ISBLANK('ENGAGEMENTS 2026'!C2345),"",'ENGAGEMENTS 2026'!J2345)</f>
        <v/>
      </c>
      <c r="G2345">
        <f>IF(ISBLANK('ENGAGEMENTS 2026'!C2345),"",'ENGAGEMENTS 2026'!M2345)</f>
        <v/>
      </c>
      <c r="H2345">
        <f>IF(ISBLANK('ENGAGEMENTS 2026'!C2345),"",'ENGAGEMENTS 2026'!AF2345)</f>
        <v/>
      </c>
      <c r="I2345">
        <f>IF(ISBLANK('ENGAGEMENTS 2026'!C2345),"",'ENGAGEMENTS 2026'!H2345)</f>
        <v/>
      </c>
      <c r="J2345" s="275">
        <f>IF(ISBLANK('ENGAGEMENTS 2026'!C2345),"",IF(AND(OR($E2345="INFRUCTUEUX",$E2345="ANNULE"),$C2345="AOO-M"),'ENGAGEMENTS 2026'!P2345,IF($H2345="EN COURS DE PREENGAGEMENT",'ENGAGEMENTS 2026'!O2345,IF($H2345="PREENGAGE",IF($E2345="ATTRIBUE",'ENGAGEMENTS 2026'!AE2345,'ENGAGEMENTS 2026'!O2345),'ENGAGEMENTS 2026'!AE2345))))</f>
        <v/>
      </c>
      <c r="K2345" s="604">
        <f>IF(ISBLANK('ENGAGEMENTS 2026'!W2345),"",'ENGAGEMENTS 2026'!W2345)</f>
        <v/>
      </c>
      <c r="L2345" s="276">
        <f>IF($K2345="","",TODAY()-$K2345)</f>
        <v/>
      </c>
      <c r="M2345">
        <f>IF($A2345="","",IF($H2345="ENGAGE","Engagé",IF(AND($H2345="NON ENGAGE",OR($I2345="INFRUCTUEUX",$I2345="ANNULE")),"Clôturé sans suite","En cours")))</f>
        <v/>
      </c>
      <c r="N2345">
        <f>IF(ISBLANK('ENGAGEMENTS 2026'!C2345),"",'ENGAGEMENTS 2026'!L2345)</f>
        <v/>
      </c>
      <c r="O2345">
        <f>IF(ISBLANK('ENGAGEMENTS 2026'!C2345),"",'ENGAGEMENTS 2026'!M2345)</f>
        <v/>
      </c>
      <c r="P2345">
        <f>IF(ISBLANK('ENGAGEMENTS 2026'!C2345),"",'ENGAGEMENTS 2026'!K2345)</f>
        <v/>
      </c>
      <c r="Q2345">
        <f>IF($A2345="","",IF(OR($E2345="INFRUCTUEUX",$E2345="ANNULE"),$A2345&amp;"|"&amp;(COUNTIFS($A$2:$A2345,$A2345,$E$2:$E2345,"INFRUCTUEUX")+COUNTIFS($A$2:$A2345,$A2345,$E$2:$E2345,"ANNULE")),""))</f>
        <v/>
      </c>
    </row>
    <row r="2346">
      <c r="A2346">
        <f>IF(ISBLANK('ENGAGEMENTS 2026'!C2346),"",IF('ENGAGEMENTS 2026'!C2346="DTSI","DCT",'ENGAGEMENTS 2026'!C2346))</f>
        <v/>
      </c>
      <c r="B2346">
        <f>IF(ISBLANK('ENGAGEMENTS 2026'!C2346),"",'ENGAGEMENTS 2026'!D2346)</f>
        <v/>
      </c>
      <c r="C2346">
        <f>IF(ISBLANK('ENGAGEMENTS 2026'!C2346),"",'ENGAGEMENTS 2026'!E2346)</f>
        <v/>
      </c>
      <c r="D2346">
        <f>IF(ISBLANK('ENGAGEMENTS 2026'!C2346),"",'ENGAGEMENTS 2026'!G2346)</f>
        <v/>
      </c>
      <c r="E2346">
        <f>IF(ISBLANK('ENGAGEMENTS 2026'!C2346),"",'ENGAGEMENTS 2026'!I2346)</f>
        <v/>
      </c>
      <c r="F2346">
        <f>IF(ISBLANK('ENGAGEMENTS 2026'!C2346),"",'ENGAGEMENTS 2026'!J2346)</f>
        <v/>
      </c>
      <c r="G2346">
        <f>IF(ISBLANK('ENGAGEMENTS 2026'!C2346),"",'ENGAGEMENTS 2026'!M2346)</f>
        <v/>
      </c>
      <c r="H2346">
        <f>IF(ISBLANK('ENGAGEMENTS 2026'!C2346),"",'ENGAGEMENTS 2026'!AF2346)</f>
        <v/>
      </c>
      <c r="I2346">
        <f>IF(ISBLANK('ENGAGEMENTS 2026'!C2346),"",'ENGAGEMENTS 2026'!H2346)</f>
        <v/>
      </c>
      <c r="J2346" s="275">
        <f>IF(ISBLANK('ENGAGEMENTS 2026'!C2346),"",IF(AND(OR($E2346="INFRUCTUEUX",$E2346="ANNULE"),$C2346="AOO-M"),'ENGAGEMENTS 2026'!P2346,IF($H2346="EN COURS DE PREENGAGEMENT",'ENGAGEMENTS 2026'!O2346,IF($H2346="PREENGAGE",IF($E2346="ATTRIBUE",'ENGAGEMENTS 2026'!AE2346,'ENGAGEMENTS 2026'!O2346),'ENGAGEMENTS 2026'!AE2346))))</f>
        <v/>
      </c>
      <c r="K2346" s="604">
        <f>IF(ISBLANK('ENGAGEMENTS 2026'!W2346),"",'ENGAGEMENTS 2026'!W2346)</f>
        <v/>
      </c>
      <c r="L2346" s="276">
        <f>IF($K2346="","",TODAY()-$K2346)</f>
        <v/>
      </c>
      <c r="M2346">
        <f>IF($A2346="","",IF($H2346="ENGAGE","Engagé",IF(AND($H2346="NON ENGAGE",OR($I2346="INFRUCTUEUX",$I2346="ANNULE")),"Clôturé sans suite","En cours")))</f>
        <v/>
      </c>
      <c r="N2346">
        <f>IF(ISBLANK('ENGAGEMENTS 2026'!C2346),"",'ENGAGEMENTS 2026'!L2346)</f>
        <v/>
      </c>
      <c r="O2346">
        <f>IF(ISBLANK('ENGAGEMENTS 2026'!C2346),"",'ENGAGEMENTS 2026'!M2346)</f>
        <v/>
      </c>
      <c r="P2346">
        <f>IF(ISBLANK('ENGAGEMENTS 2026'!C2346),"",'ENGAGEMENTS 2026'!K2346)</f>
        <v/>
      </c>
      <c r="Q2346">
        <f>IF($A2346="","",IF(OR($E2346="INFRUCTUEUX",$E2346="ANNULE"),$A2346&amp;"|"&amp;(COUNTIFS($A$2:$A2346,$A2346,$E$2:$E2346,"INFRUCTUEUX")+COUNTIFS($A$2:$A2346,$A2346,$E$2:$E2346,"ANNULE")),""))</f>
        <v/>
      </c>
    </row>
    <row r="2347">
      <c r="A2347">
        <f>IF(ISBLANK('ENGAGEMENTS 2026'!C2347),"",IF('ENGAGEMENTS 2026'!C2347="DTSI","DCT",'ENGAGEMENTS 2026'!C2347))</f>
        <v/>
      </c>
      <c r="B2347">
        <f>IF(ISBLANK('ENGAGEMENTS 2026'!C2347),"",'ENGAGEMENTS 2026'!D2347)</f>
        <v/>
      </c>
      <c r="C2347">
        <f>IF(ISBLANK('ENGAGEMENTS 2026'!C2347),"",'ENGAGEMENTS 2026'!E2347)</f>
        <v/>
      </c>
      <c r="D2347">
        <f>IF(ISBLANK('ENGAGEMENTS 2026'!C2347),"",'ENGAGEMENTS 2026'!G2347)</f>
        <v/>
      </c>
      <c r="E2347">
        <f>IF(ISBLANK('ENGAGEMENTS 2026'!C2347),"",'ENGAGEMENTS 2026'!I2347)</f>
        <v/>
      </c>
      <c r="F2347">
        <f>IF(ISBLANK('ENGAGEMENTS 2026'!C2347),"",'ENGAGEMENTS 2026'!J2347)</f>
        <v/>
      </c>
      <c r="G2347">
        <f>IF(ISBLANK('ENGAGEMENTS 2026'!C2347),"",'ENGAGEMENTS 2026'!M2347)</f>
        <v/>
      </c>
      <c r="H2347">
        <f>IF(ISBLANK('ENGAGEMENTS 2026'!C2347),"",'ENGAGEMENTS 2026'!AF2347)</f>
        <v/>
      </c>
      <c r="I2347">
        <f>IF(ISBLANK('ENGAGEMENTS 2026'!C2347),"",'ENGAGEMENTS 2026'!H2347)</f>
        <v/>
      </c>
      <c r="J2347" s="275">
        <f>IF(ISBLANK('ENGAGEMENTS 2026'!C2347),"",IF(AND(OR($E2347="INFRUCTUEUX",$E2347="ANNULE"),$C2347="AOO-M"),'ENGAGEMENTS 2026'!P2347,IF($H2347="EN COURS DE PREENGAGEMENT",'ENGAGEMENTS 2026'!O2347,IF($H2347="PREENGAGE",IF($E2347="ATTRIBUE",'ENGAGEMENTS 2026'!AE2347,'ENGAGEMENTS 2026'!O2347),'ENGAGEMENTS 2026'!AE2347))))</f>
        <v/>
      </c>
      <c r="K2347" s="604">
        <f>IF(ISBLANK('ENGAGEMENTS 2026'!W2347),"",'ENGAGEMENTS 2026'!W2347)</f>
        <v/>
      </c>
      <c r="L2347" s="276">
        <f>IF($K2347="","",TODAY()-$K2347)</f>
        <v/>
      </c>
      <c r="M2347">
        <f>IF($A2347="","",IF($H2347="ENGAGE","Engagé",IF(AND($H2347="NON ENGAGE",OR($I2347="INFRUCTUEUX",$I2347="ANNULE")),"Clôturé sans suite","En cours")))</f>
        <v/>
      </c>
      <c r="N2347">
        <f>IF(ISBLANK('ENGAGEMENTS 2026'!C2347),"",'ENGAGEMENTS 2026'!L2347)</f>
        <v/>
      </c>
      <c r="O2347">
        <f>IF(ISBLANK('ENGAGEMENTS 2026'!C2347),"",'ENGAGEMENTS 2026'!M2347)</f>
        <v/>
      </c>
      <c r="P2347">
        <f>IF(ISBLANK('ENGAGEMENTS 2026'!C2347),"",'ENGAGEMENTS 2026'!K2347)</f>
        <v/>
      </c>
      <c r="Q2347">
        <f>IF($A2347="","",IF(OR($E2347="INFRUCTUEUX",$E2347="ANNULE"),$A2347&amp;"|"&amp;(COUNTIFS($A$2:$A2347,$A2347,$E$2:$E2347,"INFRUCTUEUX")+COUNTIFS($A$2:$A2347,$A2347,$E$2:$E2347,"ANNULE")),""))</f>
        <v/>
      </c>
    </row>
    <row r="2348">
      <c r="A2348">
        <f>IF(ISBLANK('ENGAGEMENTS 2026'!C2348),"",IF('ENGAGEMENTS 2026'!C2348="DTSI","DCT",'ENGAGEMENTS 2026'!C2348))</f>
        <v/>
      </c>
      <c r="B2348">
        <f>IF(ISBLANK('ENGAGEMENTS 2026'!C2348),"",'ENGAGEMENTS 2026'!D2348)</f>
        <v/>
      </c>
      <c r="C2348">
        <f>IF(ISBLANK('ENGAGEMENTS 2026'!C2348),"",'ENGAGEMENTS 2026'!E2348)</f>
        <v/>
      </c>
      <c r="D2348">
        <f>IF(ISBLANK('ENGAGEMENTS 2026'!C2348),"",'ENGAGEMENTS 2026'!G2348)</f>
        <v/>
      </c>
      <c r="E2348">
        <f>IF(ISBLANK('ENGAGEMENTS 2026'!C2348),"",'ENGAGEMENTS 2026'!I2348)</f>
        <v/>
      </c>
      <c r="F2348">
        <f>IF(ISBLANK('ENGAGEMENTS 2026'!C2348),"",'ENGAGEMENTS 2026'!J2348)</f>
        <v/>
      </c>
      <c r="G2348">
        <f>IF(ISBLANK('ENGAGEMENTS 2026'!C2348),"",'ENGAGEMENTS 2026'!M2348)</f>
        <v/>
      </c>
      <c r="H2348">
        <f>IF(ISBLANK('ENGAGEMENTS 2026'!C2348),"",'ENGAGEMENTS 2026'!AF2348)</f>
        <v/>
      </c>
      <c r="I2348">
        <f>IF(ISBLANK('ENGAGEMENTS 2026'!C2348),"",'ENGAGEMENTS 2026'!H2348)</f>
        <v/>
      </c>
      <c r="J2348" s="275">
        <f>IF(ISBLANK('ENGAGEMENTS 2026'!C2348),"",IF(AND(OR($E2348="INFRUCTUEUX",$E2348="ANNULE"),$C2348="AOO-M"),'ENGAGEMENTS 2026'!P2348,IF($H2348="EN COURS DE PREENGAGEMENT",'ENGAGEMENTS 2026'!O2348,IF($H2348="PREENGAGE",IF($E2348="ATTRIBUE",'ENGAGEMENTS 2026'!AE2348,'ENGAGEMENTS 2026'!O2348),'ENGAGEMENTS 2026'!AE2348))))</f>
        <v/>
      </c>
      <c r="K2348" s="604">
        <f>IF(ISBLANK('ENGAGEMENTS 2026'!W2348),"",'ENGAGEMENTS 2026'!W2348)</f>
        <v/>
      </c>
      <c r="L2348" s="276">
        <f>IF($K2348="","",TODAY()-$K2348)</f>
        <v/>
      </c>
      <c r="M2348">
        <f>IF($A2348="","",IF($H2348="ENGAGE","Engagé",IF(AND($H2348="NON ENGAGE",OR($I2348="INFRUCTUEUX",$I2348="ANNULE")),"Clôturé sans suite","En cours")))</f>
        <v/>
      </c>
      <c r="N2348">
        <f>IF(ISBLANK('ENGAGEMENTS 2026'!C2348),"",'ENGAGEMENTS 2026'!L2348)</f>
        <v/>
      </c>
      <c r="O2348">
        <f>IF(ISBLANK('ENGAGEMENTS 2026'!C2348),"",'ENGAGEMENTS 2026'!M2348)</f>
        <v/>
      </c>
      <c r="P2348">
        <f>IF(ISBLANK('ENGAGEMENTS 2026'!C2348),"",'ENGAGEMENTS 2026'!K2348)</f>
        <v/>
      </c>
      <c r="Q2348">
        <f>IF($A2348="","",IF(OR($E2348="INFRUCTUEUX",$E2348="ANNULE"),$A2348&amp;"|"&amp;(COUNTIFS($A$2:$A2348,$A2348,$E$2:$E2348,"INFRUCTUEUX")+COUNTIFS($A$2:$A2348,$A2348,$E$2:$E2348,"ANNULE")),""))</f>
        <v/>
      </c>
    </row>
    <row r="2349">
      <c r="A2349">
        <f>IF(ISBLANK('ENGAGEMENTS 2026'!C2349),"",IF('ENGAGEMENTS 2026'!C2349="DTSI","DCT",'ENGAGEMENTS 2026'!C2349))</f>
        <v/>
      </c>
      <c r="B2349">
        <f>IF(ISBLANK('ENGAGEMENTS 2026'!C2349),"",'ENGAGEMENTS 2026'!D2349)</f>
        <v/>
      </c>
      <c r="C2349">
        <f>IF(ISBLANK('ENGAGEMENTS 2026'!C2349),"",'ENGAGEMENTS 2026'!E2349)</f>
        <v/>
      </c>
      <c r="D2349">
        <f>IF(ISBLANK('ENGAGEMENTS 2026'!C2349),"",'ENGAGEMENTS 2026'!G2349)</f>
        <v/>
      </c>
      <c r="E2349">
        <f>IF(ISBLANK('ENGAGEMENTS 2026'!C2349),"",'ENGAGEMENTS 2026'!I2349)</f>
        <v/>
      </c>
      <c r="F2349">
        <f>IF(ISBLANK('ENGAGEMENTS 2026'!C2349),"",'ENGAGEMENTS 2026'!J2349)</f>
        <v/>
      </c>
      <c r="G2349">
        <f>IF(ISBLANK('ENGAGEMENTS 2026'!C2349),"",'ENGAGEMENTS 2026'!M2349)</f>
        <v/>
      </c>
      <c r="H2349">
        <f>IF(ISBLANK('ENGAGEMENTS 2026'!C2349),"",'ENGAGEMENTS 2026'!AF2349)</f>
        <v/>
      </c>
      <c r="I2349">
        <f>IF(ISBLANK('ENGAGEMENTS 2026'!C2349),"",'ENGAGEMENTS 2026'!H2349)</f>
        <v/>
      </c>
      <c r="J2349" s="275">
        <f>IF(ISBLANK('ENGAGEMENTS 2026'!C2349),"",IF(AND(OR($E2349="INFRUCTUEUX",$E2349="ANNULE"),$C2349="AOO-M"),'ENGAGEMENTS 2026'!P2349,IF($H2349="EN COURS DE PREENGAGEMENT",'ENGAGEMENTS 2026'!O2349,IF($H2349="PREENGAGE",IF($E2349="ATTRIBUE",'ENGAGEMENTS 2026'!AE2349,'ENGAGEMENTS 2026'!O2349),'ENGAGEMENTS 2026'!AE2349))))</f>
        <v/>
      </c>
      <c r="K2349" s="604">
        <f>IF(ISBLANK('ENGAGEMENTS 2026'!W2349),"",'ENGAGEMENTS 2026'!W2349)</f>
        <v/>
      </c>
      <c r="L2349" s="276">
        <f>IF($K2349="","",TODAY()-$K2349)</f>
        <v/>
      </c>
      <c r="M2349">
        <f>IF($A2349="","",IF($H2349="ENGAGE","Engagé",IF(AND($H2349="NON ENGAGE",OR($I2349="INFRUCTUEUX",$I2349="ANNULE")),"Clôturé sans suite","En cours")))</f>
        <v/>
      </c>
      <c r="N2349">
        <f>IF(ISBLANK('ENGAGEMENTS 2026'!C2349),"",'ENGAGEMENTS 2026'!L2349)</f>
        <v/>
      </c>
      <c r="O2349">
        <f>IF(ISBLANK('ENGAGEMENTS 2026'!C2349),"",'ENGAGEMENTS 2026'!M2349)</f>
        <v/>
      </c>
      <c r="P2349">
        <f>IF(ISBLANK('ENGAGEMENTS 2026'!C2349),"",'ENGAGEMENTS 2026'!K2349)</f>
        <v/>
      </c>
      <c r="Q2349">
        <f>IF($A2349="","",IF(OR($E2349="INFRUCTUEUX",$E2349="ANNULE"),$A2349&amp;"|"&amp;(COUNTIFS($A$2:$A2349,$A2349,$E$2:$E2349,"INFRUCTUEUX")+COUNTIFS($A$2:$A2349,$A2349,$E$2:$E2349,"ANNULE")),""))</f>
        <v/>
      </c>
    </row>
    <row r="2350">
      <c r="A2350">
        <f>IF(ISBLANK('ENGAGEMENTS 2026'!C2350),"",IF('ENGAGEMENTS 2026'!C2350="DTSI","DCT",'ENGAGEMENTS 2026'!C2350))</f>
        <v/>
      </c>
      <c r="B2350">
        <f>IF(ISBLANK('ENGAGEMENTS 2026'!C2350),"",'ENGAGEMENTS 2026'!D2350)</f>
        <v/>
      </c>
      <c r="C2350">
        <f>IF(ISBLANK('ENGAGEMENTS 2026'!C2350),"",'ENGAGEMENTS 2026'!E2350)</f>
        <v/>
      </c>
      <c r="D2350">
        <f>IF(ISBLANK('ENGAGEMENTS 2026'!C2350),"",'ENGAGEMENTS 2026'!G2350)</f>
        <v/>
      </c>
      <c r="E2350">
        <f>IF(ISBLANK('ENGAGEMENTS 2026'!C2350),"",'ENGAGEMENTS 2026'!I2350)</f>
        <v/>
      </c>
      <c r="F2350">
        <f>IF(ISBLANK('ENGAGEMENTS 2026'!C2350),"",'ENGAGEMENTS 2026'!J2350)</f>
        <v/>
      </c>
      <c r="G2350">
        <f>IF(ISBLANK('ENGAGEMENTS 2026'!C2350),"",'ENGAGEMENTS 2026'!M2350)</f>
        <v/>
      </c>
      <c r="H2350">
        <f>IF(ISBLANK('ENGAGEMENTS 2026'!C2350),"",'ENGAGEMENTS 2026'!AF2350)</f>
        <v/>
      </c>
      <c r="I2350">
        <f>IF(ISBLANK('ENGAGEMENTS 2026'!C2350),"",'ENGAGEMENTS 2026'!H2350)</f>
        <v/>
      </c>
      <c r="J2350" s="275">
        <f>IF(ISBLANK('ENGAGEMENTS 2026'!C2350),"",IF(AND(OR($E2350="INFRUCTUEUX",$E2350="ANNULE"),$C2350="AOO-M"),'ENGAGEMENTS 2026'!P2350,IF($H2350="EN COURS DE PREENGAGEMENT",'ENGAGEMENTS 2026'!O2350,IF($H2350="PREENGAGE",IF($E2350="ATTRIBUE",'ENGAGEMENTS 2026'!AE2350,'ENGAGEMENTS 2026'!O2350),'ENGAGEMENTS 2026'!AE2350))))</f>
        <v/>
      </c>
      <c r="K2350" s="604">
        <f>IF(ISBLANK('ENGAGEMENTS 2026'!W2350),"",'ENGAGEMENTS 2026'!W2350)</f>
        <v/>
      </c>
      <c r="L2350" s="276">
        <f>IF($K2350="","",TODAY()-$K2350)</f>
        <v/>
      </c>
      <c r="M2350">
        <f>IF($A2350="","",IF($H2350="ENGAGE","Engagé",IF(AND($H2350="NON ENGAGE",OR($I2350="INFRUCTUEUX",$I2350="ANNULE")),"Clôturé sans suite","En cours")))</f>
        <v/>
      </c>
      <c r="N2350">
        <f>IF(ISBLANK('ENGAGEMENTS 2026'!C2350),"",'ENGAGEMENTS 2026'!L2350)</f>
        <v/>
      </c>
      <c r="O2350">
        <f>IF(ISBLANK('ENGAGEMENTS 2026'!C2350),"",'ENGAGEMENTS 2026'!M2350)</f>
        <v/>
      </c>
      <c r="P2350">
        <f>IF(ISBLANK('ENGAGEMENTS 2026'!C2350),"",'ENGAGEMENTS 2026'!K2350)</f>
        <v/>
      </c>
      <c r="Q2350">
        <f>IF($A2350="","",IF(OR($E2350="INFRUCTUEUX",$E2350="ANNULE"),$A2350&amp;"|"&amp;(COUNTIFS($A$2:$A2350,$A2350,$E$2:$E2350,"INFRUCTUEUX")+COUNTIFS($A$2:$A2350,$A2350,$E$2:$E2350,"ANNULE")),""))</f>
        <v/>
      </c>
    </row>
    <row r="2351">
      <c r="A2351">
        <f>IF(ISBLANK('ENGAGEMENTS 2026'!C2351),"",IF('ENGAGEMENTS 2026'!C2351="DTSI","DCT",'ENGAGEMENTS 2026'!C2351))</f>
        <v/>
      </c>
      <c r="B2351">
        <f>IF(ISBLANK('ENGAGEMENTS 2026'!C2351),"",'ENGAGEMENTS 2026'!D2351)</f>
        <v/>
      </c>
      <c r="C2351">
        <f>IF(ISBLANK('ENGAGEMENTS 2026'!C2351),"",'ENGAGEMENTS 2026'!E2351)</f>
        <v/>
      </c>
      <c r="D2351">
        <f>IF(ISBLANK('ENGAGEMENTS 2026'!C2351),"",'ENGAGEMENTS 2026'!G2351)</f>
        <v/>
      </c>
      <c r="E2351">
        <f>IF(ISBLANK('ENGAGEMENTS 2026'!C2351),"",'ENGAGEMENTS 2026'!I2351)</f>
        <v/>
      </c>
      <c r="F2351">
        <f>IF(ISBLANK('ENGAGEMENTS 2026'!C2351),"",'ENGAGEMENTS 2026'!J2351)</f>
        <v/>
      </c>
      <c r="G2351">
        <f>IF(ISBLANK('ENGAGEMENTS 2026'!C2351),"",'ENGAGEMENTS 2026'!M2351)</f>
        <v/>
      </c>
      <c r="H2351">
        <f>IF(ISBLANK('ENGAGEMENTS 2026'!C2351),"",'ENGAGEMENTS 2026'!AF2351)</f>
        <v/>
      </c>
      <c r="I2351">
        <f>IF(ISBLANK('ENGAGEMENTS 2026'!C2351),"",'ENGAGEMENTS 2026'!H2351)</f>
        <v/>
      </c>
      <c r="J2351" s="275">
        <f>IF(ISBLANK('ENGAGEMENTS 2026'!C2351),"",IF(AND(OR($E2351="INFRUCTUEUX",$E2351="ANNULE"),$C2351="AOO-M"),'ENGAGEMENTS 2026'!P2351,IF($H2351="EN COURS DE PREENGAGEMENT",'ENGAGEMENTS 2026'!O2351,IF($H2351="PREENGAGE",IF($E2351="ATTRIBUE",'ENGAGEMENTS 2026'!AE2351,'ENGAGEMENTS 2026'!O2351),'ENGAGEMENTS 2026'!AE2351))))</f>
        <v/>
      </c>
      <c r="K2351" s="604">
        <f>IF(ISBLANK('ENGAGEMENTS 2026'!W2351),"",'ENGAGEMENTS 2026'!W2351)</f>
        <v/>
      </c>
      <c r="L2351" s="276">
        <f>IF($K2351="","",TODAY()-$K2351)</f>
        <v/>
      </c>
      <c r="M2351">
        <f>IF($A2351="","",IF($H2351="ENGAGE","Engagé",IF(AND($H2351="NON ENGAGE",OR($I2351="INFRUCTUEUX",$I2351="ANNULE")),"Clôturé sans suite","En cours")))</f>
        <v/>
      </c>
      <c r="N2351">
        <f>IF(ISBLANK('ENGAGEMENTS 2026'!C2351),"",'ENGAGEMENTS 2026'!L2351)</f>
        <v/>
      </c>
      <c r="O2351">
        <f>IF(ISBLANK('ENGAGEMENTS 2026'!C2351),"",'ENGAGEMENTS 2026'!M2351)</f>
        <v/>
      </c>
      <c r="P2351">
        <f>IF(ISBLANK('ENGAGEMENTS 2026'!C2351),"",'ENGAGEMENTS 2026'!K2351)</f>
        <v/>
      </c>
      <c r="Q2351">
        <f>IF($A2351="","",IF(OR($E2351="INFRUCTUEUX",$E2351="ANNULE"),$A2351&amp;"|"&amp;(COUNTIFS($A$2:$A2351,$A2351,$E$2:$E2351,"INFRUCTUEUX")+COUNTIFS($A$2:$A2351,$A2351,$E$2:$E2351,"ANNULE")),""))</f>
        <v/>
      </c>
    </row>
    <row r="2352">
      <c r="A2352">
        <f>IF(ISBLANK('ENGAGEMENTS 2026'!C2352),"",IF('ENGAGEMENTS 2026'!C2352="DTSI","DCT",'ENGAGEMENTS 2026'!C2352))</f>
        <v/>
      </c>
      <c r="B2352">
        <f>IF(ISBLANK('ENGAGEMENTS 2026'!C2352),"",'ENGAGEMENTS 2026'!D2352)</f>
        <v/>
      </c>
      <c r="C2352">
        <f>IF(ISBLANK('ENGAGEMENTS 2026'!C2352),"",'ENGAGEMENTS 2026'!E2352)</f>
        <v/>
      </c>
      <c r="D2352">
        <f>IF(ISBLANK('ENGAGEMENTS 2026'!C2352),"",'ENGAGEMENTS 2026'!G2352)</f>
        <v/>
      </c>
      <c r="E2352">
        <f>IF(ISBLANK('ENGAGEMENTS 2026'!C2352),"",'ENGAGEMENTS 2026'!I2352)</f>
        <v/>
      </c>
      <c r="F2352">
        <f>IF(ISBLANK('ENGAGEMENTS 2026'!C2352),"",'ENGAGEMENTS 2026'!J2352)</f>
        <v/>
      </c>
      <c r="G2352">
        <f>IF(ISBLANK('ENGAGEMENTS 2026'!C2352),"",'ENGAGEMENTS 2026'!M2352)</f>
        <v/>
      </c>
      <c r="H2352">
        <f>IF(ISBLANK('ENGAGEMENTS 2026'!C2352),"",'ENGAGEMENTS 2026'!AF2352)</f>
        <v/>
      </c>
      <c r="I2352">
        <f>IF(ISBLANK('ENGAGEMENTS 2026'!C2352),"",'ENGAGEMENTS 2026'!H2352)</f>
        <v/>
      </c>
      <c r="J2352" s="275">
        <f>IF(ISBLANK('ENGAGEMENTS 2026'!C2352),"",IF(AND(OR($E2352="INFRUCTUEUX",$E2352="ANNULE"),$C2352="AOO-M"),'ENGAGEMENTS 2026'!P2352,IF($H2352="EN COURS DE PREENGAGEMENT",'ENGAGEMENTS 2026'!O2352,IF($H2352="PREENGAGE",IF($E2352="ATTRIBUE",'ENGAGEMENTS 2026'!AE2352,'ENGAGEMENTS 2026'!O2352),'ENGAGEMENTS 2026'!AE2352))))</f>
        <v/>
      </c>
      <c r="K2352" s="604">
        <f>IF(ISBLANK('ENGAGEMENTS 2026'!W2352),"",'ENGAGEMENTS 2026'!W2352)</f>
        <v/>
      </c>
      <c r="L2352" s="276">
        <f>IF($K2352="","",TODAY()-$K2352)</f>
        <v/>
      </c>
      <c r="M2352">
        <f>IF($A2352="","",IF($H2352="ENGAGE","Engagé",IF(AND($H2352="NON ENGAGE",OR($I2352="INFRUCTUEUX",$I2352="ANNULE")),"Clôturé sans suite","En cours")))</f>
        <v/>
      </c>
      <c r="N2352">
        <f>IF(ISBLANK('ENGAGEMENTS 2026'!C2352),"",'ENGAGEMENTS 2026'!L2352)</f>
        <v/>
      </c>
      <c r="O2352">
        <f>IF(ISBLANK('ENGAGEMENTS 2026'!C2352),"",'ENGAGEMENTS 2026'!M2352)</f>
        <v/>
      </c>
      <c r="P2352">
        <f>IF(ISBLANK('ENGAGEMENTS 2026'!C2352),"",'ENGAGEMENTS 2026'!K2352)</f>
        <v/>
      </c>
      <c r="Q2352">
        <f>IF($A2352="","",IF(OR($E2352="INFRUCTUEUX",$E2352="ANNULE"),$A2352&amp;"|"&amp;(COUNTIFS($A$2:$A2352,$A2352,$E$2:$E2352,"INFRUCTUEUX")+COUNTIFS($A$2:$A2352,$A2352,$E$2:$E2352,"ANNULE")),""))</f>
        <v/>
      </c>
    </row>
    <row r="2353">
      <c r="A2353">
        <f>IF(ISBLANK('ENGAGEMENTS 2026'!C2353),"",IF('ENGAGEMENTS 2026'!C2353="DTSI","DCT",'ENGAGEMENTS 2026'!C2353))</f>
        <v/>
      </c>
      <c r="B2353">
        <f>IF(ISBLANK('ENGAGEMENTS 2026'!C2353),"",'ENGAGEMENTS 2026'!D2353)</f>
        <v/>
      </c>
      <c r="C2353">
        <f>IF(ISBLANK('ENGAGEMENTS 2026'!C2353),"",'ENGAGEMENTS 2026'!E2353)</f>
        <v/>
      </c>
      <c r="D2353">
        <f>IF(ISBLANK('ENGAGEMENTS 2026'!C2353),"",'ENGAGEMENTS 2026'!G2353)</f>
        <v/>
      </c>
      <c r="E2353">
        <f>IF(ISBLANK('ENGAGEMENTS 2026'!C2353),"",'ENGAGEMENTS 2026'!I2353)</f>
        <v/>
      </c>
      <c r="F2353">
        <f>IF(ISBLANK('ENGAGEMENTS 2026'!C2353),"",'ENGAGEMENTS 2026'!J2353)</f>
        <v/>
      </c>
      <c r="G2353">
        <f>IF(ISBLANK('ENGAGEMENTS 2026'!C2353),"",'ENGAGEMENTS 2026'!M2353)</f>
        <v/>
      </c>
      <c r="H2353">
        <f>IF(ISBLANK('ENGAGEMENTS 2026'!C2353),"",'ENGAGEMENTS 2026'!AF2353)</f>
        <v/>
      </c>
      <c r="I2353">
        <f>IF(ISBLANK('ENGAGEMENTS 2026'!C2353),"",'ENGAGEMENTS 2026'!H2353)</f>
        <v/>
      </c>
      <c r="J2353" s="275">
        <f>IF(ISBLANK('ENGAGEMENTS 2026'!C2353),"",IF(AND(OR($E2353="INFRUCTUEUX",$E2353="ANNULE"),$C2353="AOO-M"),'ENGAGEMENTS 2026'!P2353,IF($H2353="EN COURS DE PREENGAGEMENT",'ENGAGEMENTS 2026'!O2353,IF($H2353="PREENGAGE",IF($E2353="ATTRIBUE",'ENGAGEMENTS 2026'!AE2353,'ENGAGEMENTS 2026'!O2353),'ENGAGEMENTS 2026'!AE2353))))</f>
        <v/>
      </c>
      <c r="K2353" s="604">
        <f>IF(ISBLANK('ENGAGEMENTS 2026'!W2353),"",'ENGAGEMENTS 2026'!W2353)</f>
        <v/>
      </c>
      <c r="L2353" s="276">
        <f>IF($K2353="","",TODAY()-$K2353)</f>
        <v/>
      </c>
      <c r="M2353">
        <f>IF($A2353="","",IF($H2353="ENGAGE","Engagé",IF(AND($H2353="NON ENGAGE",OR($I2353="INFRUCTUEUX",$I2353="ANNULE")),"Clôturé sans suite","En cours")))</f>
        <v/>
      </c>
      <c r="N2353">
        <f>IF(ISBLANK('ENGAGEMENTS 2026'!C2353),"",'ENGAGEMENTS 2026'!L2353)</f>
        <v/>
      </c>
      <c r="O2353">
        <f>IF(ISBLANK('ENGAGEMENTS 2026'!C2353),"",'ENGAGEMENTS 2026'!M2353)</f>
        <v/>
      </c>
      <c r="P2353">
        <f>IF(ISBLANK('ENGAGEMENTS 2026'!C2353),"",'ENGAGEMENTS 2026'!K2353)</f>
        <v/>
      </c>
      <c r="Q2353">
        <f>IF($A2353="","",IF(OR($E2353="INFRUCTUEUX",$E2353="ANNULE"),$A2353&amp;"|"&amp;(COUNTIFS($A$2:$A2353,$A2353,$E$2:$E2353,"INFRUCTUEUX")+COUNTIFS($A$2:$A2353,$A2353,$E$2:$E2353,"ANNULE")),""))</f>
        <v/>
      </c>
    </row>
    <row r="2354">
      <c r="A2354">
        <f>IF(ISBLANK('ENGAGEMENTS 2026'!C2354),"",IF('ENGAGEMENTS 2026'!C2354="DTSI","DCT",'ENGAGEMENTS 2026'!C2354))</f>
        <v/>
      </c>
      <c r="B2354">
        <f>IF(ISBLANK('ENGAGEMENTS 2026'!C2354),"",'ENGAGEMENTS 2026'!D2354)</f>
        <v/>
      </c>
      <c r="C2354">
        <f>IF(ISBLANK('ENGAGEMENTS 2026'!C2354),"",'ENGAGEMENTS 2026'!E2354)</f>
        <v/>
      </c>
      <c r="D2354">
        <f>IF(ISBLANK('ENGAGEMENTS 2026'!C2354),"",'ENGAGEMENTS 2026'!G2354)</f>
        <v/>
      </c>
      <c r="E2354">
        <f>IF(ISBLANK('ENGAGEMENTS 2026'!C2354),"",'ENGAGEMENTS 2026'!I2354)</f>
        <v/>
      </c>
      <c r="F2354">
        <f>IF(ISBLANK('ENGAGEMENTS 2026'!C2354),"",'ENGAGEMENTS 2026'!J2354)</f>
        <v/>
      </c>
      <c r="G2354">
        <f>IF(ISBLANK('ENGAGEMENTS 2026'!C2354),"",'ENGAGEMENTS 2026'!M2354)</f>
        <v/>
      </c>
      <c r="H2354">
        <f>IF(ISBLANK('ENGAGEMENTS 2026'!C2354),"",'ENGAGEMENTS 2026'!AF2354)</f>
        <v/>
      </c>
      <c r="I2354">
        <f>IF(ISBLANK('ENGAGEMENTS 2026'!C2354),"",'ENGAGEMENTS 2026'!H2354)</f>
        <v/>
      </c>
      <c r="J2354" s="275">
        <f>IF(ISBLANK('ENGAGEMENTS 2026'!C2354),"",IF(AND(OR($E2354="INFRUCTUEUX",$E2354="ANNULE"),$C2354="AOO-M"),'ENGAGEMENTS 2026'!P2354,IF($H2354="EN COURS DE PREENGAGEMENT",'ENGAGEMENTS 2026'!O2354,IF($H2354="PREENGAGE",IF($E2354="ATTRIBUE",'ENGAGEMENTS 2026'!AE2354,'ENGAGEMENTS 2026'!O2354),'ENGAGEMENTS 2026'!AE2354))))</f>
        <v/>
      </c>
      <c r="K2354" s="604">
        <f>IF(ISBLANK('ENGAGEMENTS 2026'!W2354),"",'ENGAGEMENTS 2026'!W2354)</f>
        <v/>
      </c>
      <c r="L2354" s="276">
        <f>IF($K2354="","",TODAY()-$K2354)</f>
        <v/>
      </c>
      <c r="M2354">
        <f>IF($A2354="","",IF($H2354="ENGAGE","Engagé",IF(AND($H2354="NON ENGAGE",OR($I2354="INFRUCTUEUX",$I2354="ANNULE")),"Clôturé sans suite","En cours")))</f>
        <v/>
      </c>
      <c r="N2354">
        <f>IF(ISBLANK('ENGAGEMENTS 2026'!C2354),"",'ENGAGEMENTS 2026'!L2354)</f>
        <v/>
      </c>
      <c r="O2354">
        <f>IF(ISBLANK('ENGAGEMENTS 2026'!C2354),"",'ENGAGEMENTS 2026'!M2354)</f>
        <v/>
      </c>
      <c r="P2354">
        <f>IF(ISBLANK('ENGAGEMENTS 2026'!C2354),"",'ENGAGEMENTS 2026'!K2354)</f>
        <v/>
      </c>
      <c r="Q2354">
        <f>IF($A2354="","",IF(OR($E2354="INFRUCTUEUX",$E2354="ANNULE"),$A2354&amp;"|"&amp;(COUNTIFS($A$2:$A2354,$A2354,$E$2:$E2354,"INFRUCTUEUX")+COUNTIFS($A$2:$A2354,$A2354,$E$2:$E2354,"ANNULE")),""))</f>
        <v/>
      </c>
    </row>
    <row r="2355">
      <c r="A2355">
        <f>IF(ISBLANK('ENGAGEMENTS 2026'!C2355),"",IF('ENGAGEMENTS 2026'!C2355="DTSI","DCT",'ENGAGEMENTS 2026'!C2355))</f>
        <v/>
      </c>
      <c r="B2355">
        <f>IF(ISBLANK('ENGAGEMENTS 2026'!C2355),"",'ENGAGEMENTS 2026'!D2355)</f>
        <v/>
      </c>
      <c r="C2355">
        <f>IF(ISBLANK('ENGAGEMENTS 2026'!C2355),"",'ENGAGEMENTS 2026'!E2355)</f>
        <v/>
      </c>
      <c r="D2355">
        <f>IF(ISBLANK('ENGAGEMENTS 2026'!C2355),"",'ENGAGEMENTS 2026'!G2355)</f>
        <v/>
      </c>
      <c r="E2355">
        <f>IF(ISBLANK('ENGAGEMENTS 2026'!C2355),"",'ENGAGEMENTS 2026'!I2355)</f>
        <v/>
      </c>
      <c r="F2355">
        <f>IF(ISBLANK('ENGAGEMENTS 2026'!C2355),"",'ENGAGEMENTS 2026'!J2355)</f>
        <v/>
      </c>
      <c r="G2355">
        <f>IF(ISBLANK('ENGAGEMENTS 2026'!C2355),"",'ENGAGEMENTS 2026'!M2355)</f>
        <v/>
      </c>
      <c r="H2355">
        <f>IF(ISBLANK('ENGAGEMENTS 2026'!C2355),"",'ENGAGEMENTS 2026'!AF2355)</f>
        <v/>
      </c>
      <c r="I2355">
        <f>IF(ISBLANK('ENGAGEMENTS 2026'!C2355),"",'ENGAGEMENTS 2026'!H2355)</f>
        <v/>
      </c>
      <c r="J2355" s="275">
        <f>IF(ISBLANK('ENGAGEMENTS 2026'!C2355),"",IF(AND(OR($E2355="INFRUCTUEUX",$E2355="ANNULE"),$C2355="AOO-M"),'ENGAGEMENTS 2026'!P2355,IF($H2355="EN COURS DE PREENGAGEMENT",'ENGAGEMENTS 2026'!O2355,IF($H2355="PREENGAGE",IF($E2355="ATTRIBUE",'ENGAGEMENTS 2026'!AE2355,'ENGAGEMENTS 2026'!O2355),'ENGAGEMENTS 2026'!AE2355))))</f>
        <v/>
      </c>
      <c r="K2355" s="604">
        <f>IF(ISBLANK('ENGAGEMENTS 2026'!W2355),"",'ENGAGEMENTS 2026'!W2355)</f>
        <v/>
      </c>
      <c r="L2355" s="276">
        <f>IF($K2355="","",TODAY()-$K2355)</f>
        <v/>
      </c>
      <c r="M2355">
        <f>IF($A2355="","",IF($H2355="ENGAGE","Engagé",IF(AND($H2355="NON ENGAGE",OR($I2355="INFRUCTUEUX",$I2355="ANNULE")),"Clôturé sans suite","En cours")))</f>
        <v/>
      </c>
      <c r="N2355">
        <f>IF(ISBLANK('ENGAGEMENTS 2026'!C2355),"",'ENGAGEMENTS 2026'!L2355)</f>
        <v/>
      </c>
      <c r="O2355">
        <f>IF(ISBLANK('ENGAGEMENTS 2026'!C2355),"",'ENGAGEMENTS 2026'!M2355)</f>
        <v/>
      </c>
      <c r="P2355">
        <f>IF(ISBLANK('ENGAGEMENTS 2026'!C2355),"",'ENGAGEMENTS 2026'!K2355)</f>
        <v/>
      </c>
      <c r="Q2355">
        <f>IF($A2355="","",IF(OR($E2355="INFRUCTUEUX",$E2355="ANNULE"),$A2355&amp;"|"&amp;(COUNTIFS($A$2:$A2355,$A2355,$E$2:$E2355,"INFRUCTUEUX")+COUNTIFS($A$2:$A2355,$A2355,$E$2:$E2355,"ANNULE")),""))</f>
        <v/>
      </c>
    </row>
    <row r="2356">
      <c r="A2356">
        <f>IF(ISBLANK('ENGAGEMENTS 2026'!C2356),"",IF('ENGAGEMENTS 2026'!C2356="DTSI","DCT",'ENGAGEMENTS 2026'!C2356))</f>
        <v/>
      </c>
      <c r="B2356">
        <f>IF(ISBLANK('ENGAGEMENTS 2026'!C2356),"",'ENGAGEMENTS 2026'!D2356)</f>
        <v/>
      </c>
      <c r="C2356">
        <f>IF(ISBLANK('ENGAGEMENTS 2026'!C2356),"",'ENGAGEMENTS 2026'!E2356)</f>
        <v/>
      </c>
      <c r="D2356">
        <f>IF(ISBLANK('ENGAGEMENTS 2026'!C2356),"",'ENGAGEMENTS 2026'!G2356)</f>
        <v/>
      </c>
      <c r="E2356">
        <f>IF(ISBLANK('ENGAGEMENTS 2026'!C2356),"",'ENGAGEMENTS 2026'!I2356)</f>
        <v/>
      </c>
      <c r="F2356">
        <f>IF(ISBLANK('ENGAGEMENTS 2026'!C2356),"",'ENGAGEMENTS 2026'!J2356)</f>
        <v/>
      </c>
      <c r="G2356">
        <f>IF(ISBLANK('ENGAGEMENTS 2026'!C2356),"",'ENGAGEMENTS 2026'!M2356)</f>
        <v/>
      </c>
      <c r="H2356">
        <f>IF(ISBLANK('ENGAGEMENTS 2026'!C2356),"",'ENGAGEMENTS 2026'!AF2356)</f>
        <v/>
      </c>
      <c r="I2356">
        <f>IF(ISBLANK('ENGAGEMENTS 2026'!C2356),"",'ENGAGEMENTS 2026'!H2356)</f>
        <v/>
      </c>
      <c r="J2356" s="275">
        <f>IF(ISBLANK('ENGAGEMENTS 2026'!C2356),"",IF(AND(OR($E2356="INFRUCTUEUX",$E2356="ANNULE"),$C2356="AOO-M"),'ENGAGEMENTS 2026'!P2356,IF($H2356="EN COURS DE PREENGAGEMENT",'ENGAGEMENTS 2026'!O2356,IF($H2356="PREENGAGE",IF($E2356="ATTRIBUE",'ENGAGEMENTS 2026'!AE2356,'ENGAGEMENTS 2026'!O2356),'ENGAGEMENTS 2026'!AE2356))))</f>
        <v/>
      </c>
      <c r="K2356" s="604">
        <f>IF(ISBLANK('ENGAGEMENTS 2026'!W2356),"",'ENGAGEMENTS 2026'!W2356)</f>
        <v/>
      </c>
      <c r="L2356" s="276">
        <f>IF($K2356="","",TODAY()-$K2356)</f>
        <v/>
      </c>
      <c r="M2356">
        <f>IF($A2356="","",IF($H2356="ENGAGE","Engagé",IF(AND($H2356="NON ENGAGE",OR($I2356="INFRUCTUEUX",$I2356="ANNULE")),"Clôturé sans suite","En cours")))</f>
        <v/>
      </c>
      <c r="N2356">
        <f>IF(ISBLANK('ENGAGEMENTS 2026'!C2356),"",'ENGAGEMENTS 2026'!L2356)</f>
        <v/>
      </c>
      <c r="O2356">
        <f>IF(ISBLANK('ENGAGEMENTS 2026'!C2356),"",'ENGAGEMENTS 2026'!M2356)</f>
        <v/>
      </c>
      <c r="P2356">
        <f>IF(ISBLANK('ENGAGEMENTS 2026'!C2356),"",'ENGAGEMENTS 2026'!K2356)</f>
        <v/>
      </c>
      <c r="Q2356">
        <f>IF($A2356="","",IF(OR($E2356="INFRUCTUEUX",$E2356="ANNULE"),$A2356&amp;"|"&amp;(COUNTIFS($A$2:$A2356,$A2356,$E$2:$E2356,"INFRUCTUEUX")+COUNTIFS($A$2:$A2356,$A2356,$E$2:$E2356,"ANNULE")),""))</f>
        <v/>
      </c>
    </row>
    <row r="2357">
      <c r="A2357">
        <f>IF(ISBLANK('ENGAGEMENTS 2026'!C2357),"",IF('ENGAGEMENTS 2026'!C2357="DTSI","DCT",'ENGAGEMENTS 2026'!C2357))</f>
        <v/>
      </c>
      <c r="B2357">
        <f>IF(ISBLANK('ENGAGEMENTS 2026'!C2357),"",'ENGAGEMENTS 2026'!D2357)</f>
        <v/>
      </c>
      <c r="C2357">
        <f>IF(ISBLANK('ENGAGEMENTS 2026'!C2357),"",'ENGAGEMENTS 2026'!E2357)</f>
        <v/>
      </c>
      <c r="D2357">
        <f>IF(ISBLANK('ENGAGEMENTS 2026'!C2357),"",'ENGAGEMENTS 2026'!G2357)</f>
        <v/>
      </c>
      <c r="E2357">
        <f>IF(ISBLANK('ENGAGEMENTS 2026'!C2357),"",'ENGAGEMENTS 2026'!I2357)</f>
        <v/>
      </c>
      <c r="F2357">
        <f>IF(ISBLANK('ENGAGEMENTS 2026'!C2357),"",'ENGAGEMENTS 2026'!J2357)</f>
        <v/>
      </c>
      <c r="G2357">
        <f>IF(ISBLANK('ENGAGEMENTS 2026'!C2357),"",'ENGAGEMENTS 2026'!M2357)</f>
        <v/>
      </c>
      <c r="H2357">
        <f>IF(ISBLANK('ENGAGEMENTS 2026'!C2357),"",'ENGAGEMENTS 2026'!AF2357)</f>
        <v/>
      </c>
      <c r="I2357">
        <f>IF(ISBLANK('ENGAGEMENTS 2026'!C2357),"",'ENGAGEMENTS 2026'!H2357)</f>
        <v/>
      </c>
      <c r="J2357" s="275">
        <f>IF(ISBLANK('ENGAGEMENTS 2026'!C2357),"",IF(AND(OR($E2357="INFRUCTUEUX",$E2357="ANNULE"),$C2357="AOO-M"),'ENGAGEMENTS 2026'!P2357,IF($H2357="EN COURS DE PREENGAGEMENT",'ENGAGEMENTS 2026'!O2357,IF($H2357="PREENGAGE",IF($E2357="ATTRIBUE",'ENGAGEMENTS 2026'!AE2357,'ENGAGEMENTS 2026'!O2357),'ENGAGEMENTS 2026'!AE2357))))</f>
        <v/>
      </c>
      <c r="K2357" s="604">
        <f>IF(ISBLANK('ENGAGEMENTS 2026'!W2357),"",'ENGAGEMENTS 2026'!W2357)</f>
        <v/>
      </c>
      <c r="L2357" s="276">
        <f>IF($K2357="","",TODAY()-$K2357)</f>
        <v/>
      </c>
      <c r="M2357">
        <f>IF($A2357="","",IF($H2357="ENGAGE","Engagé",IF(AND($H2357="NON ENGAGE",OR($I2357="INFRUCTUEUX",$I2357="ANNULE")),"Clôturé sans suite","En cours")))</f>
        <v/>
      </c>
      <c r="N2357">
        <f>IF(ISBLANK('ENGAGEMENTS 2026'!C2357),"",'ENGAGEMENTS 2026'!L2357)</f>
        <v/>
      </c>
      <c r="O2357">
        <f>IF(ISBLANK('ENGAGEMENTS 2026'!C2357),"",'ENGAGEMENTS 2026'!M2357)</f>
        <v/>
      </c>
      <c r="P2357">
        <f>IF(ISBLANK('ENGAGEMENTS 2026'!C2357),"",'ENGAGEMENTS 2026'!K2357)</f>
        <v/>
      </c>
      <c r="Q2357">
        <f>IF($A2357="","",IF(OR($E2357="INFRUCTUEUX",$E2357="ANNULE"),$A2357&amp;"|"&amp;(COUNTIFS($A$2:$A2357,$A2357,$E$2:$E2357,"INFRUCTUEUX")+COUNTIFS($A$2:$A2357,$A2357,$E$2:$E2357,"ANNULE")),""))</f>
        <v/>
      </c>
    </row>
    <row r="2358">
      <c r="A2358">
        <f>IF(ISBLANK('ENGAGEMENTS 2026'!C2358),"",IF('ENGAGEMENTS 2026'!C2358="DTSI","DCT",'ENGAGEMENTS 2026'!C2358))</f>
        <v/>
      </c>
      <c r="B2358">
        <f>IF(ISBLANK('ENGAGEMENTS 2026'!C2358),"",'ENGAGEMENTS 2026'!D2358)</f>
        <v/>
      </c>
      <c r="C2358">
        <f>IF(ISBLANK('ENGAGEMENTS 2026'!C2358),"",'ENGAGEMENTS 2026'!E2358)</f>
        <v/>
      </c>
      <c r="D2358">
        <f>IF(ISBLANK('ENGAGEMENTS 2026'!C2358),"",'ENGAGEMENTS 2026'!G2358)</f>
        <v/>
      </c>
      <c r="E2358">
        <f>IF(ISBLANK('ENGAGEMENTS 2026'!C2358),"",'ENGAGEMENTS 2026'!I2358)</f>
        <v/>
      </c>
      <c r="F2358">
        <f>IF(ISBLANK('ENGAGEMENTS 2026'!C2358),"",'ENGAGEMENTS 2026'!J2358)</f>
        <v/>
      </c>
      <c r="G2358">
        <f>IF(ISBLANK('ENGAGEMENTS 2026'!C2358),"",'ENGAGEMENTS 2026'!M2358)</f>
        <v/>
      </c>
      <c r="H2358">
        <f>IF(ISBLANK('ENGAGEMENTS 2026'!C2358),"",'ENGAGEMENTS 2026'!AF2358)</f>
        <v/>
      </c>
      <c r="I2358">
        <f>IF(ISBLANK('ENGAGEMENTS 2026'!C2358),"",'ENGAGEMENTS 2026'!H2358)</f>
        <v/>
      </c>
      <c r="J2358" s="275">
        <f>IF(ISBLANK('ENGAGEMENTS 2026'!C2358),"",IF(AND(OR($E2358="INFRUCTUEUX",$E2358="ANNULE"),$C2358="AOO-M"),'ENGAGEMENTS 2026'!P2358,IF($H2358="EN COURS DE PREENGAGEMENT",'ENGAGEMENTS 2026'!O2358,IF($H2358="PREENGAGE",IF($E2358="ATTRIBUE",'ENGAGEMENTS 2026'!AE2358,'ENGAGEMENTS 2026'!O2358),'ENGAGEMENTS 2026'!AE2358))))</f>
        <v/>
      </c>
      <c r="K2358" s="604">
        <f>IF(ISBLANK('ENGAGEMENTS 2026'!W2358),"",'ENGAGEMENTS 2026'!W2358)</f>
        <v/>
      </c>
      <c r="L2358" s="276">
        <f>IF($K2358="","",TODAY()-$K2358)</f>
        <v/>
      </c>
      <c r="M2358">
        <f>IF($A2358="","",IF($H2358="ENGAGE","Engagé",IF(AND($H2358="NON ENGAGE",OR($I2358="INFRUCTUEUX",$I2358="ANNULE")),"Clôturé sans suite","En cours")))</f>
        <v/>
      </c>
      <c r="N2358">
        <f>IF(ISBLANK('ENGAGEMENTS 2026'!C2358),"",'ENGAGEMENTS 2026'!L2358)</f>
        <v/>
      </c>
      <c r="O2358">
        <f>IF(ISBLANK('ENGAGEMENTS 2026'!C2358),"",'ENGAGEMENTS 2026'!M2358)</f>
        <v/>
      </c>
      <c r="P2358">
        <f>IF(ISBLANK('ENGAGEMENTS 2026'!C2358),"",'ENGAGEMENTS 2026'!K2358)</f>
        <v/>
      </c>
      <c r="Q2358">
        <f>IF($A2358="","",IF(OR($E2358="INFRUCTUEUX",$E2358="ANNULE"),$A2358&amp;"|"&amp;(COUNTIFS($A$2:$A2358,$A2358,$E$2:$E2358,"INFRUCTUEUX")+COUNTIFS($A$2:$A2358,$A2358,$E$2:$E2358,"ANNULE")),""))</f>
        <v/>
      </c>
    </row>
    <row r="2359">
      <c r="A2359">
        <f>IF(ISBLANK('ENGAGEMENTS 2026'!C2359),"",IF('ENGAGEMENTS 2026'!C2359="DTSI","DCT",'ENGAGEMENTS 2026'!C2359))</f>
        <v/>
      </c>
      <c r="B2359">
        <f>IF(ISBLANK('ENGAGEMENTS 2026'!C2359),"",'ENGAGEMENTS 2026'!D2359)</f>
        <v/>
      </c>
      <c r="C2359">
        <f>IF(ISBLANK('ENGAGEMENTS 2026'!C2359),"",'ENGAGEMENTS 2026'!E2359)</f>
        <v/>
      </c>
      <c r="D2359">
        <f>IF(ISBLANK('ENGAGEMENTS 2026'!C2359),"",'ENGAGEMENTS 2026'!G2359)</f>
        <v/>
      </c>
      <c r="E2359">
        <f>IF(ISBLANK('ENGAGEMENTS 2026'!C2359),"",'ENGAGEMENTS 2026'!I2359)</f>
        <v/>
      </c>
      <c r="F2359">
        <f>IF(ISBLANK('ENGAGEMENTS 2026'!C2359),"",'ENGAGEMENTS 2026'!J2359)</f>
        <v/>
      </c>
      <c r="G2359">
        <f>IF(ISBLANK('ENGAGEMENTS 2026'!C2359),"",'ENGAGEMENTS 2026'!M2359)</f>
        <v/>
      </c>
      <c r="H2359">
        <f>IF(ISBLANK('ENGAGEMENTS 2026'!C2359),"",'ENGAGEMENTS 2026'!AF2359)</f>
        <v/>
      </c>
      <c r="I2359">
        <f>IF(ISBLANK('ENGAGEMENTS 2026'!C2359),"",'ENGAGEMENTS 2026'!H2359)</f>
        <v/>
      </c>
      <c r="J2359" s="275">
        <f>IF(ISBLANK('ENGAGEMENTS 2026'!C2359),"",IF(AND(OR($E2359="INFRUCTUEUX",$E2359="ANNULE"),$C2359="AOO-M"),'ENGAGEMENTS 2026'!P2359,IF($H2359="EN COURS DE PREENGAGEMENT",'ENGAGEMENTS 2026'!O2359,IF($H2359="PREENGAGE",IF($E2359="ATTRIBUE",'ENGAGEMENTS 2026'!AE2359,'ENGAGEMENTS 2026'!O2359),'ENGAGEMENTS 2026'!AE2359))))</f>
        <v/>
      </c>
      <c r="K2359" s="604">
        <f>IF(ISBLANK('ENGAGEMENTS 2026'!W2359),"",'ENGAGEMENTS 2026'!W2359)</f>
        <v/>
      </c>
      <c r="L2359" s="276">
        <f>IF($K2359="","",TODAY()-$K2359)</f>
        <v/>
      </c>
      <c r="M2359">
        <f>IF($A2359="","",IF($H2359="ENGAGE","Engagé",IF(AND($H2359="NON ENGAGE",OR($I2359="INFRUCTUEUX",$I2359="ANNULE")),"Clôturé sans suite","En cours")))</f>
        <v/>
      </c>
      <c r="N2359">
        <f>IF(ISBLANK('ENGAGEMENTS 2026'!C2359),"",'ENGAGEMENTS 2026'!L2359)</f>
        <v/>
      </c>
      <c r="O2359">
        <f>IF(ISBLANK('ENGAGEMENTS 2026'!C2359),"",'ENGAGEMENTS 2026'!M2359)</f>
        <v/>
      </c>
      <c r="P2359">
        <f>IF(ISBLANK('ENGAGEMENTS 2026'!C2359),"",'ENGAGEMENTS 2026'!K2359)</f>
        <v/>
      </c>
      <c r="Q2359">
        <f>IF($A2359="","",IF(OR($E2359="INFRUCTUEUX",$E2359="ANNULE"),$A2359&amp;"|"&amp;(COUNTIFS($A$2:$A2359,$A2359,$E$2:$E2359,"INFRUCTUEUX")+COUNTIFS($A$2:$A2359,$A2359,$E$2:$E2359,"ANNULE")),""))</f>
        <v/>
      </c>
    </row>
    <row r="2360">
      <c r="A2360">
        <f>IF(ISBLANK('ENGAGEMENTS 2026'!C2360),"",IF('ENGAGEMENTS 2026'!C2360="DTSI","DCT",'ENGAGEMENTS 2026'!C2360))</f>
        <v/>
      </c>
      <c r="B2360">
        <f>IF(ISBLANK('ENGAGEMENTS 2026'!C2360),"",'ENGAGEMENTS 2026'!D2360)</f>
        <v/>
      </c>
      <c r="C2360">
        <f>IF(ISBLANK('ENGAGEMENTS 2026'!C2360),"",'ENGAGEMENTS 2026'!E2360)</f>
        <v/>
      </c>
      <c r="D2360">
        <f>IF(ISBLANK('ENGAGEMENTS 2026'!C2360),"",'ENGAGEMENTS 2026'!G2360)</f>
        <v/>
      </c>
      <c r="E2360">
        <f>IF(ISBLANK('ENGAGEMENTS 2026'!C2360),"",'ENGAGEMENTS 2026'!I2360)</f>
        <v/>
      </c>
      <c r="F2360">
        <f>IF(ISBLANK('ENGAGEMENTS 2026'!C2360),"",'ENGAGEMENTS 2026'!J2360)</f>
        <v/>
      </c>
      <c r="G2360">
        <f>IF(ISBLANK('ENGAGEMENTS 2026'!C2360),"",'ENGAGEMENTS 2026'!M2360)</f>
        <v/>
      </c>
      <c r="H2360">
        <f>IF(ISBLANK('ENGAGEMENTS 2026'!C2360),"",'ENGAGEMENTS 2026'!AF2360)</f>
        <v/>
      </c>
      <c r="I2360">
        <f>IF(ISBLANK('ENGAGEMENTS 2026'!C2360),"",'ENGAGEMENTS 2026'!H2360)</f>
        <v/>
      </c>
      <c r="J2360" s="275">
        <f>IF(ISBLANK('ENGAGEMENTS 2026'!C2360),"",IF(AND(OR($E2360="INFRUCTUEUX",$E2360="ANNULE"),$C2360="AOO-M"),'ENGAGEMENTS 2026'!P2360,IF($H2360="EN COURS DE PREENGAGEMENT",'ENGAGEMENTS 2026'!O2360,IF($H2360="PREENGAGE",IF($E2360="ATTRIBUE",'ENGAGEMENTS 2026'!AE2360,'ENGAGEMENTS 2026'!O2360),'ENGAGEMENTS 2026'!AE2360))))</f>
        <v/>
      </c>
      <c r="K2360" s="604">
        <f>IF(ISBLANK('ENGAGEMENTS 2026'!W2360),"",'ENGAGEMENTS 2026'!W2360)</f>
        <v/>
      </c>
      <c r="L2360" s="276">
        <f>IF($K2360="","",TODAY()-$K2360)</f>
        <v/>
      </c>
      <c r="M2360">
        <f>IF($A2360="","",IF($H2360="ENGAGE","Engagé",IF(AND($H2360="NON ENGAGE",OR($I2360="INFRUCTUEUX",$I2360="ANNULE")),"Clôturé sans suite","En cours")))</f>
        <v/>
      </c>
      <c r="N2360">
        <f>IF(ISBLANK('ENGAGEMENTS 2026'!C2360),"",'ENGAGEMENTS 2026'!L2360)</f>
        <v/>
      </c>
      <c r="O2360">
        <f>IF(ISBLANK('ENGAGEMENTS 2026'!C2360),"",'ENGAGEMENTS 2026'!M2360)</f>
        <v/>
      </c>
      <c r="P2360">
        <f>IF(ISBLANK('ENGAGEMENTS 2026'!C2360),"",'ENGAGEMENTS 2026'!K2360)</f>
        <v/>
      </c>
      <c r="Q2360">
        <f>IF($A2360="","",IF(OR($E2360="INFRUCTUEUX",$E2360="ANNULE"),$A2360&amp;"|"&amp;(COUNTIFS($A$2:$A2360,$A2360,$E$2:$E2360,"INFRUCTUEUX")+COUNTIFS($A$2:$A2360,$A2360,$E$2:$E2360,"ANNULE")),""))</f>
        <v/>
      </c>
    </row>
    <row r="2361">
      <c r="A2361">
        <f>IF(ISBLANK('ENGAGEMENTS 2026'!C2361),"",IF('ENGAGEMENTS 2026'!C2361="DTSI","DCT",'ENGAGEMENTS 2026'!C2361))</f>
        <v/>
      </c>
      <c r="B2361">
        <f>IF(ISBLANK('ENGAGEMENTS 2026'!C2361),"",'ENGAGEMENTS 2026'!D2361)</f>
        <v/>
      </c>
      <c r="C2361">
        <f>IF(ISBLANK('ENGAGEMENTS 2026'!C2361),"",'ENGAGEMENTS 2026'!E2361)</f>
        <v/>
      </c>
      <c r="D2361">
        <f>IF(ISBLANK('ENGAGEMENTS 2026'!C2361),"",'ENGAGEMENTS 2026'!G2361)</f>
        <v/>
      </c>
      <c r="E2361">
        <f>IF(ISBLANK('ENGAGEMENTS 2026'!C2361),"",'ENGAGEMENTS 2026'!I2361)</f>
        <v/>
      </c>
      <c r="F2361">
        <f>IF(ISBLANK('ENGAGEMENTS 2026'!C2361),"",'ENGAGEMENTS 2026'!J2361)</f>
        <v/>
      </c>
      <c r="G2361">
        <f>IF(ISBLANK('ENGAGEMENTS 2026'!C2361),"",'ENGAGEMENTS 2026'!M2361)</f>
        <v/>
      </c>
      <c r="H2361">
        <f>IF(ISBLANK('ENGAGEMENTS 2026'!C2361),"",'ENGAGEMENTS 2026'!AF2361)</f>
        <v/>
      </c>
      <c r="I2361">
        <f>IF(ISBLANK('ENGAGEMENTS 2026'!C2361),"",'ENGAGEMENTS 2026'!H2361)</f>
        <v/>
      </c>
      <c r="J2361" s="275">
        <f>IF(ISBLANK('ENGAGEMENTS 2026'!C2361),"",IF(AND(OR($E2361="INFRUCTUEUX",$E2361="ANNULE"),$C2361="AOO-M"),'ENGAGEMENTS 2026'!P2361,IF($H2361="EN COURS DE PREENGAGEMENT",'ENGAGEMENTS 2026'!O2361,IF($H2361="PREENGAGE",IF($E2361="ATTRIBUE",'ENGAGEMENTS 2026'!AE2361,'ENGAGEMENTS 2026'!O2361),'ENGAGEMENTS 2026'!AE2361))))</f>
        <v/>
      </c>
      <c r="K2361" s="604">
        <f>IF(ISBLANK('ENGAGEMENTS 2026'!W2361),"",'ENGAGEMENTS 2026'!W2361)</f>
        <v/>
      </c>
      <c r="L2361" s="276">
        <f>IF($K2361="","",TODAY()-$K2361)</f>
        <v/>
      </c>
      <c r="M2361">
        <f>IF($A2361="","",IF($H2361="ENGAGE","Engagé",IF(AND($H2361="NON ENGAGE",OR($I2361="INFRUCTUEUX",$I2361="ANNULE")),"Clôturé sans suite","En cours")))</f>
        <v/>
      </c>
      <c r="N2361">
        <f>IF(ISBLANK('ENGAGEMENTS 2026'!C2361),"",'ENGAGEMENTS 2026'!L2361)</f>
        <v/>
      </c>
      <c r="O2361">
        <f>IF(ISBLANK('ENGAGEMENTS 2026'!C2361),"",'ENGAGEMENTS 2026'!M2361)</f>
        <v/>
      </c>
      <c r="P2361">
        <f>IF(ISBLANK('ENGAGEMENTS 2026'!C2361),"",'ENGAGEMENTS 2026'!K2361)</f>
        <v/>
      </c>
      <c r="Q2361">
        <f>IF($A2361="","",IF(OR($E2361="INFRUCTUEUX",$E2361="ANNULE"),$A2361&amp;"|"&amp;(COUNTIFS($A$2:$A2361,$A2361,$E$2:$E2361,"INFRUCTUEUX")+COUNTIFS($A$2:$A2361,$A2361,$E$2:$E2361,"ANNULE")),""))</f>
        <v/>
      </c>
    </row>
    <row r="2362">
      <c r="A2362">
        <f>IF(ISBLANK('ENGAGEMENTS 2026'!C2362),"",IF('ENGAGEMENTS 2026'!C2362="DTSI","DCT",'ENGAGEMENTS 2026'!C2362))</f>
        <v/>
      </c>
      <c r="B2362">
        <f>IF(ISBLANK('ENGAGEMENTS 2026'!C2362),"",'ENGAGEMENTS 2026'!D2362)</f>
        <v/>
      </c>
      <c r="C2362">
        <f>IF(ISBLANK('ENGAGEMENTS 2026'!C2362),"",'ENGAGEMENTS 2026'!E2362)</f>
        <v/>
      </c>
      <c r="D2362">
        <f>IF(ISBLANK('ENGAGEMENTS 2026'!C2362),"",'ENGAGEMENTS 2026'!G2362)</f>
        <v/>
      </c>
      <c r="E2362">
        <f>IF(ISBLANK('ENGAGEMENTS 2026'!C2362),"",'ENGAGEMENTS 2026'!I2362)</f>
        <v/>
      </c>
      <c r="F2362">
        <f>IF(ISBLANK('ENGAGEMENTS 2026'!C2362),"",'ENGAGEMENTS 2026'!J2362)</f>
        <v/>
      </c>
      <c r="G2362">
        <f>IF(ISBLANK('ENGAGEMENTS 2026'!C2362),"",'ENGAGEMENTS 2026'!M2362)</f>
        <v/>
      </c>
      <c r="H2362">
        <f>IF(ISBLANK('ENGAGEMENTS 2026'!C2362),"",'ENGAGEMENTS 2026'!AF2362)</f>
        <v/>
      </c>
      <c r="I2362">
        <f>IF(ISBLANK('ENGAGEMENTS 2026'!C2362),"",'ENGAGEMENTS 2026'!H2362)</f>
        <v/>
      </c>
      <c r="J2362" s="275">
        <f>IF(ISBLANK('ENGAGEMENTS 2026'!C2362),"",IF(AND(OR($E2362="INFRUCTUEUX",$E2362="ANNULE"),$C2362="AOO-M"),'ENGAGEMENTS 2026'!P2362,IF($H2362="EN COURS DE PREENGAGEMENT",'ENGAGEMENTS 2026'!O2362,IF($H2362="PREENGAGE",IF($E2362="ATTRIBUE",'ENGAGEMENTS 2026'!AE2362,'ENGAGEMENTS 2026'!O2362),'ENGAGEMENTS 2026'!AE2362))))</f>
        <v/>
      </c>
      <c r="K2362" s="604">
        <f>IF(ISBLANK('ENGAGEMENTS 2026'!W2362),"",'ENGAGEMENTS 2026'!W2362)</f>
        <v/>
      </c>
      <c r="L2362" s="276">
        <f>IF($K2362="","",TODAY()-$K2362)</f>
        <v/>
      </c>
      <c r="M2362">
        <f>IF($A2362="","",IF($H2362="ENGAGE","Engagé",IF(AND($H2362="NON ENGAGE",OR($I2362="INFRUCTUEUX",$I2362="ANNULE")),"Clôturé sans suite","En cours")))</f>
        <v/>
      </c>
      <c r="N2362">
        <f>IF(ISBLANK('ENGAGEMENTS 2026'!C2362),"",'ENGAGEMENTS 2026'!L2362)</f>
        <v/>
      </c>
      <c r="O2362">
        <f>IF(ISBLANK('ENGAGEMENTS 2026'!C2362),"",'ENGAGEMENTS 2026'!M2362)</f>
        <v/>
      </c>
      <c r="P2362">
        <f>IF(ISBLANK('ENGAGEMENTS 2026'!C2362),"",'ENGAGEMENTS 2026'!K2362)</f>
        <v/>
      </c>
      <c r="Q2362">
        <f>IF($A2362="","",IF(OR($E2362="INFRUCTUEUX",$E2362="ANNULE"),$A2362&amp;"|"&amp;(COUNTIFS($A$2:$A2362,$A2362,$E$2:$E2362,"INFRUCTUEUX")+COUNTIFS($A$2:$A2362,$A2362,$E$2:$E2362,"ANNULE")),""))</f>
        <v/>
      </c>
    </row>
    <row r="2363">
      <c r="A2363">
        <f>IF(ISBLANK('ENGAGEMENTS 2026'!C2363),"",IF('ENGAGEMENTS 2026'!C2363="DTSI","DCT",'ENGAGEMENTS 2026'!C2363))</f>
        <v/>
      </c>
      <c r="B2363">
        <f>IF(ISBLANK('ENGAGEMENTS 2026'!C2363),"",'ENGAGEMENTS 2026'!D2363)</f>
        <v/>
      </c>
      <c r="C2363">
        <f>IF(ISBLANK('ENGAGEMENTS 2026'!C2363),"",'ENGAGEMENTS 2026'!E2363)</f>
        <v/>
      </c>
      <c r="D2363">
        <f>IF(ISBLANK('ENGAGEMENTS 2026'!C2363),"",'ENGAGEMENTS 2026'!G2363)</f>
        <v/>
      </c>
      <c r="E2363">
        <f>IF(ISBLANK('ENGAGEMENTS 2026'!C2363),"",'ENGAGEMENTS 2026'!I2363)</f>
        <v/>
      </c>
      <c r="F2363">
        <f>IF(ISBLANK('ENGAGEMENTS 2026'!C2363),"",'ENGAGEMENTS 2026'!J2363)</f>
        <v/>
      </c>
      <c r="G2363">
        <f>IF(ISBLANK('ENGAGEMENTS 2026'!C2363),"",'ENGAGEMENTS 2026'!M2363)</f>
        <v/>
      </c>
      <c r="H2363">
        <f>IF(ISBLANK('ENGAGEMENTS 2026'!C2363),"",'ENGAGEMENTS 2026'!AF2363)</f>
        <v/>
      </c>
      <c r="I2363">
        <f>IF(ISBLANK('ENGAGEMENTS 2026'!C2363),"",'ENGAGEMENTS 2026'!H2363)</f>
        <v/>
      </c>
      <c r="J2363" s="275">
        <f>IF(ISBLANK('ENGAGEMENTS 2026'!C2363),"",IF(AND(OR($E2363="INFRUCTUEUX",$E2363="ANNULE"),$C2363="AOO-M"),'ENGAGEMENTS 2026'!P2363,IF($H2363="EN COURS DE PREENGAGEMENT",'ENGAGEMENTS 2026'!O2363,IF($H2363="PREENGAGE",IF($E2363="ATTRIBUE",'ENGAGEMENTS 2026'!AE2363,'ENGAGEMENTS 2026'!O2363),'ENGAGEMENTS 2026'!AE2363))))</f>
        <v/>
      </c>
      <c r="K2363" s="604">
        <f>IF(ISBLANK('ENGAGEMENTS 2026'!W2363),"",'ENGAGEMENTS 2026'!W2363)</f>
        <v/>
      </c>
      <c r="L2363" s="276">
        <f>IF($K2363="","",TODAY()-$K2363)</f>
        <v/>
      </c>
      <c r="M2363">
        <f>IF($A2363="","",IF($H2363="ENGAGE","Engagé",IF(AND($H2363="NON ENGAGE",OR($I2363="INFRUCTUEUX",$I2363="ANNULE")),"Clôturé sans suite","En cours")))</f>
        <v/>
      </c>
      <c r="N2363">
        <f>IF(ISBLANK('ENGAGEMENTS 2026'!C2363),"",'ENGAGEMENTS 2026'!L2363)</f>
        <v/>
      </c>
      <c r="O2363">
        <f>IF(ISBLANK('ENGAGEMENTS 2026'!C2363),"",'ENGAGEMENTS 2026'!M2363)</f>
        <v/>
      </c>
      <c r="P2363">
        <f>IF(ISBLANK('ENGAGEMENTS 2026'!C2363),"",'ENGAGEMENTS 2026'!K2363)</f>
        <v/>
      </c>
      <c r="Q2363">
        <f>IF($A2363="","",IF(OR($E2363="INFRUCTUEUX",$E2363="ANNULE"),$A2363&amp;"|"&amp;(COUNTIFS($A$2:$A2363,$A2363,$E$2:$E2363,"INFRUCTUEUX")+COUNTIFS($A$2:$A2363,$A2363,$E$2:$E2363,"ANNULE")),""))</f>
        <v/>
      </c>
    </row>
    <row r="2364">
      <c r="A2364">
        <f>IF(ISBLANK('ENGAGEMENTS 2026'!C2364),"",IF('ENGAGEMENTS 2026'!C2364="DTSI","DCT",'ENGAGEMENTS 2026'!C2364))</f>
        <v/>
      </c>
      <c r="B2364">
        <f>IF(ISBLANK('ENGAGEMENTS 2026'!C2364),"",'ENGAGEMENTS 2026'!D2364)</f>
        <v/>
      </c>
      <c r="C2364">
        <f>IF(ISBLANK('ENGAGEMENTS 2026'!C2364),"",'ENGAGEMENTS 2026'!E2364)</f>
        <v/>
      </c>
      <c r="D2364">
        <f>IF(ISBLANK('ENGAGEMENTS 2026'!C2364),"",'ENGAGEMENTS 2026'!G2364)</f>
        <v/>
      </c>
      <c r="E2364">
        <f>IF(ISBLANK('ENGAGEMENTS 2026'!C2364),"",'ENGAGEMENTS 2026'!I2364)</f>
        <v/>
      </c>
      <c r="F2364">
        <f>IF(ISBLANK('ENGAGEMENTS 2026'!C2364),"",'ENGAGEMENTS 2026'!J2364)</f>
        <v/>
      </c>
      <c r="G2364">
        <f>IF(ISBLANK('ENGAGEMENTS 2026'!C2364),"",'ENGAGEMENTS 2026'!M2364)</f>
        <v/>
      </c>
      <c r="H2364">
        <f>IF(ISBLANK('ENGAGEMENTS 2026'!C2364),"",'ENGAGEMENTS 2026'!AF2364)</f>
        <v/>
      </c>
      <c r="I2364">
        <f>IF(ISBLANK('ENGAGEMENTS 2026'!C2364),"",'ENGAGEMENTS 2026'!H2364)</f>
        <v/>
      </c>
      <c r="J2364" s="275">
        <f>IF(ISBLANK('ENGAGEMENTS 2026'!C2364),"",IF(AND(OR($E2364="INFRUCTUEUX",$E2364="ANNULE"),$C2364="AOO-M"),'ENGAGEMENTS 2026'!P2364,IF($H2364="EN COURS DE PREENGAGEMENT",'ENGAGEMENTS 2026'!O2364,IF($H2364="PREENGAGE",IF($E2364="ATTRIBUE",'ENGAGEMENTS 2026'!AE2364,'ENGAGEMENTS 2026'!O2364),'ENGAGEMENTS 2026'!AE2364))))</f>
        <v/>
      </c>
      <c r="K2364" s="604">
        <f>IF(ISBLANK('ENGAGEMENTS 2026'!W2364),"",'ENGAGEMENTS 2026'!W2364)</f>
        <v/>
      </c>
      <c r="L2364" s="276">
        <f>IF($K2364="","",TODAY()-$K2364)</f>
        <v/>
      </c>
      <c r="M2364">
        <f>IF($A2364="","",IF($H2364="ENGAGE","Engagé",IF(AND($H2364="NON ENGAGE",OR($I2364="INFRUCTUEUX",$I2364="ANNULE")),"Clôturé sans suite","En cours")))</f>
        <v/>
      </c>
      <c r="N2364">
        <f>IF(ISBLANK('ENGAGEMENTS 2026'!C2364),"",'ENGAGEMENTS 2026'!L2364)</f>
        <v/>
      </c>
      <c r="O2364">
        <f>IF(ISBLANK('ENGAGEMENTS 2026'!C2364),"",'ENGAGEMENTS 2026'!M2364)</f>
        <v/>
      </c>
      <c r="P2364">
        <f>IF(ISBLANK('ENGAGEMENTS 2026'!C2364),"",'ENGAGEMENTS 2026'!K2364)</f>
        <v/>
      </c>
      <c r="Q2364">
        <f>IF($A2364="","",IF(OR($E2364="INFRUCTUEUX",$E2364="ANNULE"),$A2364&amp;"|"&amp;(COUNTIFS($A$2:$A2364,$A2364,$E$2:$E2364,"INFRUCTUEUX")+COUNTIFS($A$2:$A2364,$A2364,$E$2:$E2364,"ANNULE")),""))</f>
        <v/>
      </c>
    </row>
    <row r="2365">
      <c r="A2365">
        <f>IF(ISBLANK('ENGAGEMENTS 2026'!C2365),"",IF('ENGAGEMENTS 2026'!C2365="DTSI","DCT",'ENGAGEMENTS 2026'!C2365))</f>
        <v/>
      </c>
      <c r="B2365">
        <f>IF(ISBLANK('ENGAGEMENTS 2026'!C2365),"",'ENGAGEMENTS 2026'!D2365)</f>
        <v/>
      </c>
      <c r="C2365">
        <f>IF(ISBLANK('ENGAGEMENTS 2026'!C2365),"",'ENGAGEMENTS 2026'!E2365)</f>
        <v/>
      </c>
      <c r="D2365">
        <f>IF(ISBLANK('ENGAGEMENTS 2026'!C2365),"",'ENGAGEMENTS 2026'!G2365)</f>
        <v/>
      </c>
      <c r="E2365">
        <f>IF(ISBLANK('ENGAGEMENTS 2026'!C2365),"",'ENGAGEMENTS 2026'!I2365)</f>
        <v/>
      </c>
      <c r="F2365">
        <f>IF(ISBLANK('ENGAGEMENTS 2026'!C2365),"",'ENGAGEMENTS 2026'!J2365)</f>
        <v/>
      </c>
      <c r="G2365">
        <f>IF(ISBLANK('ENGAGEMENTS 2026'!C2365),"",'ENGAGEMENTS 2026'!M2365)</f>
        <v/>
      </c>
      <c r="H2365">
        <f>IF(ISBLANK('ENGAGEMENTS 2026'!C2365),"",'ENGAGEMENTS 2026'!AF2365)</f>
        <v/>
      </c>
      <c r="I2365">
        <f>IF(ISBLANK('ENGAGEMENTS 2026'!C2365),"",'ENGAGEMENTS 2026'!H2365)</f>
        <v/>
      </c>
      <c r="J2365" s="275">
        <f>IF(ISBLANK('ENGAGEMENTS 2026'!C2365),"",IF(AND(OR($E2365="INFRUCTUEUX",$E2365="ANNULE"),$C2365="AOO-M"),'ENGAGEMENTS 2026'!P2365,IF($H2365="EN COURS DE PREENGAGEMENT",'ENGAGEMENTS 2026'!O2365,IF($H2365="PREENGAGE",IF($E2365="ATTRIBUE",'ENGAGEMENTS 2026'!AE2365,'ENGAGEMENTS 2026'!O2365),'ENGAGEMENTS 2026'!AE2365))))</f>
        <v/>
      </c>
      <c r="K2365" s="604">
        <f>IF(ISBLANK('ENGAGEMENTS 2026'!W2365),"",'ENGAGEMENTS 2026'!W2365)</f>
        <v/>
      </c>
      <c r="L2365" s="276">
        <f>IF($K2365="","",TODAY()-$K2365)</f>
        <v/>
      </c>
      <c r="M2365">
        <f>IF($A2365="","",IF($H2365="ENGAGE","Engagé",IF(AND($H2365="NON ENGAGE",OR($I2365="INFRUCTUEUX",$I2365="ANNULE")),"Clôturé sans suite","En cours")))</f>
        <v/>
      </c>
      <c r="N2365">
        <f>IF(ISBLANK('ENGAGEMENTS 2026'!C2365),"",'ENGAGEMENTS 2026'!L2365)</f>
        <v/>
      </c>
      <c r="O2365">
        <f>IF(ISBLANK('ENGAGEMENTS 2026'!C2365),"",'ENGAGEMENTS 2026'!M2365)</f>
        <v/>
      </c>
      <c r="P2365">
        <f>IF(ISBLANK('ENGAGEMENTS 2026'!C2365),"",'ENGAGEMENTS 2026'!K2365)</f>
        <v/>
      </c>
      <c r="Q2365">
        <f>IF($A2365="","",IF(OR($E2365="INFRUCTUEUX",$E2365="ANNULE"),$A2365&amp;"|"&amp;(COUNTIFS($A$2:$A2365,$A2365,$E$2:$E2365,"INFRUCTUEUX")+COUNTIFS($A$2:$A2365,$A2365,$E$2:$E2365,"ANNULE")),""))</f>
        <v/>
      </c>
    </row>
    <row r="2366">
      <c r="A2366">
        <f>IF(ISBLANK('ENGAGEMENTS 2026'!C2366),"",IF('ENGAGEMENTS 2026'!C2366="DTSI","DCT",'ENGAGEMENTS 2026'!C2366))</f>
        <v/>
      </c>
      <c r="B2366">
        <f>IF(ISBLANK('ENGAGEMENTS 2026'!C2366),"",'ENGAGEMENTS 2026'!D2366)</f>
        <v/>
      </c>
      <c r="C2366">
        <f>IF(ISBLANK('ENGAGEMENTS 2026'!C2366),"",'ENGAGEMENTS 2026'!E2366)</f>
        <v/>
      </c>
      <c r="D2366">
        <f>IF(ISBLANK('ENGAGEMENTS 2026'!C2366),"",'ENGAGEMENTS 2026'!G2366)</f>
        <v/>
      </c>
      <c r="E2366">
        <f>IF(ISBLANK('ENGAGEMENTS 2026'!C2366),"",'ENGAGEMENTS 2026'!I2366)</f>
        <v/>
      </c>
      <c r="F2366">
        <f>IF(ISBLANK('ENGAGEMENTS 2026'!C2366),"",'ENGAGEMENTS 2026'!J2366)</f>
        <v/>
      </c>
      <c r="G2366">
        <f>IF(ISBLANK('ENGAGEMENTS 2026'!C2366),"",'ENGAGEMENTS 2026'!M2366)</f>
        <v/>
      </c>
      <c r="H2366">
        <f>IF(ISBLANK('ENGAGEMENTS 2026'!C2366),"",'ENGAGEMENTS 2026'!AF2366)</f>
        <v/>
      </c>
      <c r="I2366">
        <f>IF(ISBLANK('ENGAGEMENTS 2026'!C2366),"",'ENGAGEMENTS 2026'!H2366)</f>
        <v/>
      </c>
      <c r="J2366" s="275">
        <f>IF(ISBLANK('ENGAGEMENTS 2026'!C2366),"",IF(AND(OR($E2366="INFRUCTUEUX",$E2366="ANNULE"),$C2366="AOO-M"),'ENGAGEMENTS 2026'!P2366,IF($H2366="EN COURS DE PREENGAGEMENT",'ENGAGEMENTS 2026'!O2366,IF($H2366="PREENGAGE",IF($E2366="ATTRIBUE",'ENGAGEMENTS 2026'!AE2366,'ENGAGEMENTS 2026'!O2366),'ENGAGEMENTS 2026'!AE2366))))</f>
        <v/>
      </c>
      <c r="K2366" s="604">
        <f>IF(ISBLANK('ENGAGEMENTS 2026'!W2366),"",'ENGAGEMENTS 2026'!W2366)</f>
        <v/>
      </c>
      <c r="L2366" s="276">
        <f>IF($K2366="","",TODAY()-$K2366)</f>
        <v/>
      </c>
      <c r="M2366">
        <f>IF($A2366="","",IF($H2366="ENGAGE","Engagé",IF(AND($H2366="NON ENGAGE",OR($I2366="INFRUCTUEUX",$I2366="ANNULE")),"Clôturé sans suite","En cours")))</f>
        <v/>
      </c>
      <c r="N2366">
        <f>IF(ISBLANK('ENGAGEMENTS 2026'!C2366),"",'ENGAGEMENTS 2026'!L2366)</f>
        <v/>
      </c>
      <c r="O2366">
        <f>IF(ISBLANK('ENGAGEMENTS 2026'!C2366),"",'ENGAGEMENTS 2026'!M2366)</f>
        <v/>
      </c>
      <c r="P2366">
        <f>IF(ISBLANK('ENGAGEMENTS 2026'!C2366),"",'ENGAGEMENTS 2026'!K2366)</f>
        <v/>
      </c>
      <c r="Q2366">
        <f>IF($A2366="","",IF(OR($E2366="INFRUCTUEUX",$E2366="ANNULE"),$A2366&amp;"|"&amp;(COUNTIFS($A$2:$A2366,$A2366,$E$2:$E2366,"INFRUCTUEUX")+COUNTIFS($A$2:$A2366,$A2366,$E$2:$E2366,"ANNULE")),""))</f>
        <v/>
      </c>
    </row>
    <row r="2367">
      <c r="A2367">
        <f>IF(ISBLANK('ENGAGEMENTS 2026'!C2367),"",IF('ENGAGEMENTS 2026'!C2367="DTSI","DCT",'ENGAGEMENTS 2026'!C2367))</f>
        <v/>
      </c>
      <c r="B2367">
        <f>IF(ISBLANK('ENGAGEMENTS 2026'!C2367),"",'ENGAGEMENTS 2026'!D2367)</f>
        <v/>
      </c>
      <c r="C2367">
        <f>IF(ISBLANK('ENGAGEMENTS 2026'!C2367),"",'ENGAGEMENTS 2026'!E2367)</f>
        <v/>
      </c>
      <c r="D2367">
        <f>IF(ISBLANK('ENGAGEMENTS 2026'!C2367),"",'ENGAGEMENTS 2026'!G2367)</f>
        <v/>
      </c>
      <c r="E2367">
        <f>IF(ISBLANK('ENGAGEMENTS 2026'!C2367),"",'ENGAGEMENTS 2026'!I2367)</f>
        <v/>
      </c>
      <c r="F2367">
        <f>IF(ISBLANK('ENGAGEMENTS 2026'!C2367),"",'ENGAGEMENTS 2026'!J2367)</f>
        <v/>
      </c>
      <c r="G2367">
        <f>IF(ISBLANK('ENGAGEMENTS 2026'!C2367),"",'ENGAGEMENTS 2026'!M2367)</f>
        <v/>
      </c>
      <c r="H2367">
        <f>IF(ISBLANK('ENGAGEMENTS 2026'!C2367),"",'ENGAGEMENTS 2026'!AF2367)</f>
        <v/>
      </c>
      <c r="I2367">
        <f>IF(ISBLANK('ENGAGEMENTS 2026'!C2367),"",'ENGAGEMENTS 2026'!H2367)</f>
        <v/>
      </c>
      <c r="J2367" s="275">
        <f>IF(ISBLANK('ENGAGEMENTS 2026'!C2367),"",IF(AND(OR($E2367="INFRUCTUEUX",$E2367="ANNULE"),$C2367="AOO-M"),'ENGAGEMENTS 2026'!P2367,IF($H2367="EN COURS DE PREENGAGEMENT",'ENGAGEMENTS 2026'!O2367,IF($H2367="PREENGAGE",IF($E2367="ATTRIBUE",'ENGAGEMENTS 2026'!AE2367,'ENGAGEMENTS 2026'!O2367),'ENGAGEMENTS 2026'!AE2367))))</f>
        <v/>
      </c>
      <c r="K2367" s="604">
        <f>IF(ISBLANK('ENGAGEMENTS 2026'!W2367),"",'ENGAGEMENTS 2026'!W2367)</f>
        <v/>
      </c>
      <c r="L2367" s="276">
        <f>IF($K2367="","",TODAY()-$K2367)</f>
        <v/>
      </c>
      <c r="M2367">
        <f>IF($A2367="","",IF($H2367="ENGAGE","Engagé",IF(AND($H2367="NON ENGAGE",OR($I2367="INFRUCTUEUX",$I2367="ANNULE")),"Clôturé sans suite","En cours")))</f>
        <v/>
      </c>
      <c r="N2367">
        <f>IF(ISBLANK('ENGAGEMENTS 2026'!C2367),"",'ENGAGEMENTS 2026'!L2367)</f>
        <v/>
      </c>
      <c r="O2367">
        <f>IF(ISBLANK('ENGAGEMENTS 2026'!C2367),"",'ENGAGEMENTS 2026'!M2367)</f>
        <v/>
      </c>
      <c r="P2367">
        <f>IF(ISBLANK('ENGAGEMENTS 2026'!C2367),"",'ENGAGEMENTS 2026'!K2367)</f>
        <v/>
      </c>
      <c r="Q2367">
        <f>IF($A2367="","",IF(OR($E2367="INFRUCTUEUX",$E2367="ANNULE"),$A2367&amp;"|"&amp;(COUNTIFS($A$2:$A2367,$A2367,$E$2:$E2367,"INFRUCTUEUX")+COUNTIFS($A$2:$A2367,$A2367,$E$2:$E2367,"ANNULE")),""))</f>
        <v/>
      </c>
    </row>
    <row r="2368">
      <c r="A2368">
        <f>IF(ISBLANK('ENGAGEMENTS 2026'!C2368),"",IF('ENGAGEMENTS 2026'!C2368="DTSI","DCT",'ENGAGEMENTS 2026'!C2368))</f>
        <v/>
      </c>
      <c r="B2368">
        <f>IF(ISBLANK('ENGAGEMENTS 2026'!C2368),"",'ENGAGEMENTS 2026'!D2368)</f>
        <v/>
      </c>
      <c r="C2368">
        <f>IF(ISBLANK('ENGAGEMENTS 2026'!C2368),"",'ENGAGEMENTS 2026'!E2368)</f>
        <v/>
      </c>
      <c r="D2368">
        <f>IF(ISBLANK('ENGAGEMENTS 2026'!C2368),"",'ENGAGEMENTS 2026'!G2368)</f>
        <v/>
      </c>
      <c r="E2368">
        <f>IF(ISBLANK('ENGAGEMENTS 2026'!C2368),"",'ENGAGEMENTS 2026'!I2368)</f>
        <v/>
      </c>
      <c r="F2368">
        <f>IF(ISBLANK('ENGAGEMENTS 2026'!C2368),"",'ENGAGEMENTS 2026'!J2368)</f>
        <v/>
      </c>
      <c r="G2368">
        <f>IF(ISBLANK('ENGAGEMENTS 2026'!C2368),"",'ENGAGEMENTS 2026'!M2368)</f>
        <v/>
      </c>
      <c r="H2368">
        <f>IF(ISBLANK('ENGAGEMENTS 2026'!C2368),"",'ENGAGEMENTS 2026'!AF2368)</f>
        <v/>
      </c>
      <c r="I2368">
        <f>IF(ISBLANK('ENGAGEMENTS 2026'!C2368),"",'ENGAGEMENTS 2026'!H2368)</f>
        <v/>
      </c>
      <c r="J2368" s="275">
        <f>IF(ISBLANK('ENGAGEMENTS 2026'!C2368),"",IF(AND(OR($E2368="INFRUCTUEUX",$E2368="ANNULE"),$C2368="AOO-M"),'ENGAGEMENTS 2026'!P2368,IF($H2368="EN COURS DE PREENGAGEMENT",'ENGAGEMENTS 2026'!O2368,IF($H2368="PREENGAGE",IF($E2368="ATTRIBUE",'ENGAGEMENTS 2026'!AE2368,'ENGAGEMENTS 2026'!O2368),'ENGAGEMENTS 2026'!AE2368))))</f>
        <v/>
      </c>
      <c r="K2368" s="604">
        <f>IF(ISBLANK('ENGAGEMENTS 2026'!W2368),"",'ENGAGEMENTS 2026'!W2368)</f>
        <v/>
      </c>
      <c r="L2368" s="276">
        <f>IF($K2368="","",TODAY()-$K2368)</f>
        <v/>
      </c>
      <c r="M2368">
        <f>IF($A2368="","",IF($H2368="ENGAGE","Engagé",IF(AND($H2368="NON ENGAGE",OR($I2368="INFRUCTUEUX",$I2368="ANNULE")),"Clôturé sans suite","En cours")))</f>
        <v/>
      </c>
      <c r="N2368">
        <f>IF(ISBLANK('ENGAGEMENTS 2026'!C2368),"",'ENGAGEMENTS 2026'!L2368)</f>
        <v/>
      </c>
      <c r="O2368">
        <f>IF(ISBLANK('ENGAGEMENTS 2026'!C2368),"",'ENGAGEMENTS 2026'!M2368)</f>
        <v/>
      </c>
      <c r="P2368">
        <f>IF(ISBLANK('ENGAGEMENTS 2026'!C2368),"",'ENGAGEMENTS 2026'!K2368)</f>
        <v/>
      </c>
      <c r="Q2368">
        <f>IF($A2368="","",IF(OR($E2368="INFRUCTUEUX",$E2368="ANNULE"),$A2368&amp;"|"&amp;(COUNTIFS($A$2:$A2368,$A2368,$E$2:$E2368,"INFRUCTUEUX")+COUNTIFS($A$2:$A2368,$A2368,$E$2:$E2368,"ANNULE")),""))</f>
        <v/>
      </c>
    </row>
    <row r="2369">
      <c r="A2369">
        <f>IF(ISBLANK('ENGAGEMENTS 2026'!C2369),"",IF('ENGAGEMENTS 2026'!C2369="DTSI","DCT",'ENGAGEMENTS 2026'!C2369))</f>
        <v/>
      </c>
      <c r="B2369">
        <f>IF(ISBLANK('ENGAGEMENTS 2026'!C2369),"",'ENGAGEMENTS 2026'!D2369)</f>
        <v/>
      </c>
      <c r="C2369">
        <f>IF(ISBLANK('ENGAGEMENTS 2026'!C2369),"",'ENGAGEMENTS 2026'!E2369)</f>
        <v/>
      </c>
      <c r="D2369">
        <f>IF(ISBLANK('ENGAGEMENTS 2026'!C2369),"",'ENGAGEMENTS 2026'!G2369)</f>
        <v/>
      </c>
      <c r="E2369">
        <f>IF(ISBLANK('ENGAGEMENTS 2026'!C2369),"",'ENGAGEMENTS 2026'!I2369)</f>
        <v/>
      </c>
      <c r="F2369">
        <f>IF(ISBLANK('ENGAGEMENTS 2026'!C2369),"",'ENGAGEMENTS 2026'!J2369)</f>
        <v/>
      </c>
      <c r="G2369">
        <f>IF(ISBLANK('ENGAGEMENTS 2026'!C2369),"",'ENGAGEMENTS 2026'!M2369)</f>
        <v/>
      </c>
      <c r="H2369">
        <f>IF(ISBLANK('ENGAGEMENTS 2026'!C2369),"",'ENGAGEMENTS 2026'!AF2369)</f>
        <v/>
      </c>
      <c r="I2369">
        <f>IF(ISBLANK('ENGAGEMENTS 2026'!C2369),"",'ENGAGEMENTS 2026'!H2369)</f>
        <v/>
      </c>
      <c r="J2369" s="275">
        <f>IF(ISBLANK('ENGAGEMENTS 2026'!C2369),"",IF(AND(OR($E2369="INFRUCTUEUX",$E2369="ANNULE"),$C2369="AOO-M"),'ENGAGEMENTS 2026'!P2369,IF($H2369="EN COURS DE PREENGAGEMENT",'ENGAGEMENTS 2026'!O2369,IF($H2369="PREENGAGE",IF($E2369="ATTRIBUE",'ENGAGEMENTS 2026'!AE2369,'ENGAGEMENTS 2026'!O2369),'ENGAGEMENTS 2026'!AE2369))))</f>
        <v/>
      </c>
      <c r="K2369" s="604">
        <f>IF(ISBLANK('ENGAGEMENTS 2026'!W2369),"",'ENGAGEMENTS 2026'!W2369)</f>
        <v/>
      </c>
      <c r="L2369" s="276">
        <f>IF($K2369="","",TODAY()-$K2369)</f>
        <v/>
      </c>
      <c r="M2369">
        <f>IF($A2369="","",IF($H2369="ENGAGE","Engagé",IF(AND($H2369="NON ENGAGE",OR($I2369="INFRUCTUEUX",$I2369="ANNULE")),"Clôturé sans suite","En cours")))</f>
        <v/>
      </c>
      <c r="N2369">
        <f>IF(ISBLANK('ENGAGEMENTS 2026'!C2369),"",'ENGAGEMENTS 2026'!L2369)</f>
        <v/>
      </c>
      <c r="O2369">
        <f>IF(ISBLANK('ENGAGEMENTS 2026'!C2369),"",'ENGAGEMENTS 2026'!M2369)</f>
        <v/>
      </c>
      <c r="P2369">
        <f>IF(ISBLANK('ENGAGEMENTS 2026'!C2369),"",'ENGAGEMENTS 2026'!K2369)</f>
        <v/>
      </c>
      <c r="Q2369">
        <f>IF($A2369="","",IF(OR($E2369="INFRUCTUEUX",$E2369="ANNULE"),$A2369&amp;"|"&amp;(COUNTIFS($A$2:$A2369,$A2369,$E$2:$E2369,"INFRUCTUEUX")+COUNTIFS($A$2:$A2369,$A2369,$E$2:$E2369,"ANNULE")),""))</f>
        <v/>
      </c>
    </row>
    <row r="2370">
      <c r="A2370">
        <f>IF(ISBLANK('ENGAGEMENTS 2026'!C2370),"",IF('ENGAGEMENTS 2026'!C2370="DTSI","DCT",'ENGAGEMENTS 2026'!C2370))</f>
        <v/>
      </c>
      <c r="B2370">
        <f>IF(ISBLANK('ENGAGEMENTS 2026'!C2370),"",'ENGAGEMENTS 2026'!D2370)</f>
        <v/>
      </c>
      <c r="C2370">
        <f>IF(ISBLANK('ENGAGEMENTS 2026'!C2370),"",'ENGAGEMENTS 2026'!E2370)</f>
        <v/>
      </c>
      <c r="D2370">
        <f>IF(ISBLANK('ENGAGEMENTS 2026'!C2370),"",'ENGAGEMENTS 2026'!G2370)</f>
        <v/>
      </c>
      <c r="E2370">
        <f>IF(ISBLANK('ENGAGEMENTS 2026'!C2370),"",'ENGAGEMENTS 2026'!I2370)</f>
        <v/>
      </c>
      <c r="F2370">
        <f>IF(ISBLANK('ENGAGEMENTS 2026'!C2370),"",'ENGAGEMENTS 2026'!J2370)</f>
        <v/>
      </c>
      <c r="G2370">
        <f>IF(ISBLANK('ENGAGEMENTS 2026'!C2370),"",'ENGAGEMENTS 2026'!M2370)</f>
        <v/>
      </c>
      <c r="H2370">
        <f>IF(ISBLANK('ENGAGEMENTS 2026'!C2370),"",'ENGAGEMENTS 2026'!AF2370)</f>
        <v/>
      </c>
      <c r="I2370">
        <f>IF(ISBLANK('ENGAGEMENTS 2026'!C2370),"",'ENGAGEMENTS 2026'!H2370)</f>
        <v/>
      </c>
      <c r="J2370" s="275">
        <f>IF(ISBLANK('ENGAGEMENTS 2026'!C2370),"",IF(AND(OR($E2370="INFRUCTUEUX",$E2370="ANNULE"),$C2370="AOO-M"),'ENGAGEMENTS 2026'!P2370,IF($H2370="EN COURS DE PREENGAGEMENT",'ENGAGEMENTS 2026'!O2370,IF($H2370="PREENGAGE",IF($E2370="ATTRIBUE",'ENGAGEMENTS 2026'!AE2370,'ENGAGEMENTS 2026'!O2370),'ENGAGEMENTS 2026'!AE2370))))</f>
        <v/>
      </c>
      <c r="K2370" s="604">
        <f>IF(ISBLANK('ENGAGEMENTS 2026'!W2370),"",'ENGAGEMENTS 2026'!W2370)</f>
        <v/>
      </c>
      <c r="L2370" s="276">
        <f>IF($K2370="","",TODAY()-$K2370)</f>
        <v/>
      </c>
      <c r="M2370">
        <f>IF($A2370="","",IF($H2370="ENGAGE","Engagé",IF(AND($H2370="NON ENGAGE",OR($I2370="INFRUCTUEUX",$I2370="ANNULE")),"Clôturé sans suite","En cours")))</f>
        <v/>
      </c>
      <c r="N2370">
        <f>IF(ISBLANK('ENGAGEMENTS 2026'!C2370),"",'ENGAGEMENTS 2026'!L2370)</f>
        <v/>
      </c>
      <c r="O2370">
        <f>IF(ISBLANK('ENGAGEMENTS 2026'!C2370),"",'ENGAGEMENTS 2026'!M2370)</f>
        <v/>
      </c>
      <c r="P2370">
        <f>IF(ISBLANK('ENGAGEMENTS 2026'!C2370),"",'ENGAGEMENTS 2026'!K2370)</f>
        <v/>
      </c>
      <c r="Q2370">
        <f>IF($A2370="","",IF(OR($E2370="INFRUCTUEUX",$E2370="ANNULE"),$A2370&amp;"|"&amp;(COUNTIFS($A$2:$A2370,$A2370,$E$2:$E2370,"INFRUCTUEUX")+COUNTIFS($A$2:$A2370,$A2370,$E$2:$E2370,"ANNULE")),""))</f>
        <v/>
      </c>
    </row>
    <row r="2371">
      <c r="A2371">
        <f>IF(ISBLANK('ENGAGEMENTS 2026'!C2371),"",IF('ENGAGEMENTS 2026'!C2371="DTSI","DCT",'ENGAGEMENTS 2026'!C2371))</f>
        <v/>
      </c>
      <c r="B2371">
        <f>IF(ISBLANK('ENGAGEMENTS 2026'!C2371),"",'ENGAGEMENTS 2026'!D2371)</f>
        <v/>
      </c>
      <c r="C2371">
        <f>IF(ISBLANK('ENGAGEMENTS 2026'!C2371),"",'ENGAGEMENTS 2026'!E2371)</f>
        <v/>
      </c>
      <c r="D2371">
        <f>IF(ISBLANK('ENGAGEMENTS 2026'!C2371),"",'ENGAGEMENTS 2026'!G2371)</f>
        <v/>
      </c>
      <c r="E2371">
        <f>IF(ISBLANK('ENGAGEMENTS 2026'!C2371),"",'ENGAGEMENTS 2026'!I2371)</f>
        <v/>
      </c>
      <c r="F2371">
        <f>IF(ISBLANK('ENGAGEMENTS 2026'!C2371),"",'ENGAGEMENTS 2026'!J2371)</f>
        <v/>
      </c>
      <c r="G2371">
        <f>IF(ISBLANK('ENGAGEMENTS 2026'!C2371),"",'ENGAGEMENTS 2026'!M2371)</f>
        <v/>
      </c>
      <c r="H2371">
        <f>IF(ISBLANK('ENGAGEMENTS 2026'!C2371),"",'ENGAGEMENTS 2026'!AF2371)</f>
        <v/>
      </c>
      <c r="I2371">
        <f>IF(ISBLANK('ENGAGEMENTS 2026'!C2371),"",'ENGAGEMENTS 2026'!H2371)</f>
        <v/>
      </c>
      <c r="J2371" s="275">
        <f>IF(ISBLANK('ENGAGEMENTS 2026'!C2371),"",IF(AND(OR($E2371="INFRUCTUEUX",$E2371="ANNULE"),$C2371="AOO-M"),'ENGAGEMENTS 2026'!P2371,IF($H2371="EN COURS DE PREENGAGEMENT",'ENGAGEMENTS 2026'!O2371,IF($H2371="PREENGAGE",IF($E2371="ATTRIBUE",'ENGAGEMENTS 2026'!AE2371,'ENGAGEMENTS 2026'!O2371),'ENGAGEMENTS 2026'!AE2371))))</f>
        <v/>
      </c>
      <c r="K2371" s="604">
        <f>IF(ISBLANK('ENGAGEMENTS 2026'!W2371),"",'ENGAGEMENTS 2026'!W2371)</f>
        <v/>
      </c>
      <c r="L2371" s="276">
        <f>IF($K2371="","",TODAY()-$K2371)</f>
        <v/>
      </c>
      <c r="M2371">
        <f>IF($A2371="","",IF($H2371="ENGAGE","Engagé",IF(AND($H2371="NON ENGAGE",OR($I2371="INFRUCTUEUX",$I2371="ANNULE")),"Clôturé sans suite","En cours")))</f>
        <v/>
      </c>
      <c r="N2371">
        <f>IF(ISBLANK('ENGAGEMENTS 2026'!C2371),"",'ENGAGEMENTS 2026'!L2371)</f>
        <v/>
      </c>
      <c r="O2371">
        <f>IF(ISBLANK('ENGAGEMENTS 2026'!C2371),"",'ENGAGEMENTS 2026'!M2371)</f>
        <v/>
      </c>
      <c r="P2371">
        <f>IF(ISBLANK('ENGAGEMENTS 2026'!C2371),"",'ENGAGEMENTS 2026'!K2371)</f>
        <v/>
      </c>
      <c r="Q2371">
        <f>IF($A2371="","",IF(OR($E2371="INFRUCTUEUX",$E2371="ANNULE"),$A2371&amp;"|"&amp;(COUNTIFS($A$2:$A2371,$A2371,$E$2:$E2371,"INFRUCTUEUX")+COUNTIFS($A$2:$A2371,$A2371,$E$2:$E2371,"ANNULE")),""))</f>
        <v/>
      </c>
    </row>
    <row r="2372">
      <c r="A2372">
        <f>IF(ISBLANK('ENGAGEMENTS 2026'!C2372),"",IF('ENGAGEMENTS 2026'!C2372="DTSI","DCT",'ENGAGEMENTS 2026'!C2372))</f>
        <v/>
      </c>
      <c r="B2372">
        <f>IF(ISBLANK('ENGAGEMENTS 2026'!C2372),"",'ENGAGEMENTS 2026'!D2372)</f>
        <v/>
      </c>
      <c r="C2372">
        <f>IF(ISBLANK('ENGAGEMENTS 2026'!C2372),"",'ENGAGEMENTS 2026'!E2372)</f>
        <v/>
      </c>
      <c r="D2372">
        <f>IF(ISBLANK('ENGAGEMENTS 2026'!C2372),"",'ENGAGEMENTS 2026'!G2372)</f>
        <v/>
      </c>
      <c r="E2372">
        <f>IF(ISBLANK('ENGAGEMENTS 2026'!C2372),"",'ENGAGEMENTS 2026'!I2372)</f>
        <v/>
      </c>
      <c r="F2372">
        <f>IF(ISBLANK('ENGAGEMENTS 2026'!C2372),"",'ENGAGEMENTS 2026'!J2372)</f>
        <v/>
      </c>
      <c r="G2372">
        <f>IF(ISBLANK('ENGAGEMENTS 2026'!C2372),"",'ENGAGEMENTS 2026'!M2372)</f>
        <v/>
      </c>
      <c r="H2372">
        <f>IF(ISBLANK('ENGAGEMENTS 2026'!C2372),"",'ENGAGEMENTS 2026'!AF2372)</f>
        <v/>
      </c>
      <c r="I2372">
        <f>IF(ISBLANK('ENGAGEMENTS 2026'!C2372),"",'ENGAGEMENTS 2026'!H2372)</f>
        <v/>
      </c>
      <c r="J2372" s="275">
        <f>IF(ISBLANK('ENGAGEMENTS 2026'!C2372),"",IF(AND(OR($E2372="INFRUCTUEUX",$E2372="ANNULE"),$C2372="AOO-M"),'ENGAGEMENTS 2026'!P2372,IF($H2372="EN COURS DE PREENGAGEMENT",'ENGAGEMENTS 2026'!O2372,IF($H2372="PREENGAGE",IF($E2372="ATTRIBUE",'ENGAGEMENTS 2026'!AE2372,'ENGAGEMENTS 2026'!O2372),'ENGAGEMENTS 2026'!AE2372))))</f>
        <v/>
      </c>
      <c r="K2372" s="604">
        <f>IF(ISBLANK('ENGAGEMENTS 2026'!W2372),"",'ENGAGEMENTS 2026'!W2372)</f>
        <v/>
      </c>
      <c r="L2372" s="276">
        <f>IF($K2372="","",TODAY()-$K2372)</f>
        <v/>
      </c>
      <c r="M2372">
        <f>IF($A2372="","",IF($H2372="ENGAGE","Engagé",IF(AND($H2372="NON ENGAGE",OR($I2372="INFRUCTUEUX",$I2372="ANNULE")),"Clôturé sans suite","En cours")))</f>
        <v/>
      </c>
      <c r="N2372">
        <f>IF(ISBLANK('ENGAGEMENTS 2026'!C2372),"",'ENGAGEMENTS 2026'!L2372)</f>
        <v/>
      </c>
      <c r="O2372">
        <f>IF(ISBLANK('ENGAGEMENTS 2026'!C2372),"",'ENGAGEMENTS 2026'!M2372)</f>
        <v/>
      </c>
      <c r="P2372">
        <f>IF(ISBLANK('ENGAGEMENTS 2026'!C2372),"",'ENGAGEMENTS 2026'!K2372)</f>
        <v/>
      </c>
      <c r="Q2372">
        <f>IF($A2372="","",IF(OR($E2372="INFRUCTUEUX",$E2372="ANNULE"),$A2372&amp;"|"&amp;(COUNTIFS($A$2:$A2372,$A2372,$E$2:$E2372,"INFRUCTUEUX")+COUNTIFS($A$2:$A2372,$A2372,$E$2:$E2372,"ANNULE")),""))</f>
        <v/>
      </c>
    </row>
    <row r="2373">
      <c r="A2373">
        <f>IF(ISBLANK('ENGAGEMENTS 2026'!C2373),"",IF('ENGAGEMENTS 2026'!C2373="DTSI","DCT",'ENGAGEMENTS 2026'!C2373))</f>
        <v/>
      </c>
      <c r="B2373">
        <f>IF(ISBLANK('ENGAGEMENTS 2026'!C2373),"",'ENGAGEMENTS 2026'!D2373)</f>
        <v/>
      </c>
      <c r="C2373">
        <f>IF(ISBLANK('ENGAGEMENTS 2026'!C2373),"",'ENGAGEMENTS 2026'!E2373)</f>
        <v/>
      </c>
      <c r="D2373">
        <f>IF(ISBLANK('ENGAGEMENTS 2026'!C2373),"",'ENGAGEMENTS 2026'!G2373)</f>
        <v/>
      </c>
      <c r="E2373">
        <f>IF(ISBLANK('ENGAGEMENTS 2026'!C2373),"",'ENGAGEMENTS 2026'!I2373)</f>
        <v/>
      </c>
      <c r="F2373">
        <f>IF(ISBLANK('ENGAGEMENTS 2026'!C2373),"",'ENGAGEMENTS 2026'!J2373)</f>
        <v/>
      </c>
      <c r="G2373">
        <f>IF(ISBLANK('ENGAGEMENTS 2026'!C2373),"",'ENGAGEMENTS 2026'!M2373)</f>
        <v/>
      </c>
      <c r="H2373">
        <f>IF(ISBLANK('ENGAGEMENTS 2026'!C2373),"",'ENGAGEMENTS 2026'!AF2373)</f>
        <v/>
      </c>
      <c r="I2373">
        <f>IF(ISBLANK('ENGAGEMENTS 2026'!C2373),"",'ENGAGEMENTS 2026'!H2373)</f>
        <v/>
      </c>
      <c r="J2373" s="275">
        <f>IF(ISBLANK('ENGAGEMENTS 2026'!C2373),"",IF(AND(OR($E2373="INFRUCTUEUX",$E2373="ANNULE"),$C2373="AOO-M"),'ENGAGEMENTS 2026'!P2373,IF($H2373="EN COURS DE PREENGAGEMENT",'ENGAGEMENTS 2026'!O2373,IF($H2373="PREENGAGE",IF($E2373="ATTRIBUE",'ENGAGEMENTS 2026'!AE2373,'ENGAGEMENTS 2026'!O2373),'ENGAGEMENTS 2026'!AE2373))))</f>
        <v/>
      </c>
      <c r="K2373" s="604">
        <f>IF(ISBLANK('ENGAGEMENTS 2026'!W2373),"",'ENGAGEMENTS 2026'!W2373)</f>
        <v/>
      </c>
      <c r="L2373" s="276">
        <f>IF($K2373="","",TODAY()-$K2373)</f>
        <v/>
      </c>
      <c r="M2373">
        <f>IF($A2373="","",IF($H2373="ENGAGE","Engagé",IF(AND($H2373="NON ENGAGE",OR($I2373="INFRUCTUEUX",$I2373="ANNULE")),"Clôturé sans suite","En cours")))</f>
        <v/>
      </c>
      <c r="N2373">
        <f>IF(ISBLANK('ENGAGEMENTS 2026'!C2373),"",'ENGAGEMENTS 2026'!L2373)</f>
        <v/>
      </c>
      <c r="O2373">
        <f>IF(ISBLANK('ENGAGEMENTS 2026'!C2373),"",'ENGAGEMENTS 2026'!M2373)</f>
        <v/>
      </c>
      <c r="P2373">
        <f>IF(ISBLANK('ENGAGEMENTS 2026'!C2373),"",'ENGAGEMENTS 2026'!K2373)</f>
        <v/>
      </c>
      <c r="Q2373">
        <f>IF($A2373="","",IF(OR($E2373="INFRUCTUEUX",$E2373="ANNULE"),$A2373&amp;"|"&amp;(COUNTIFS($A$2:$A2373,$A2373,$E$2:$E2373,"INFRUCTUEUX")+COUNTIFS($A$2:$A2373,$A2373,$E$2:$E2373,"ANNULE")),""))</f>
        <v/>
      </c>
    </row>
    <row r="2374">
      <c r="A2374">
        <f>IF(ISBLANK('ENGAGEMENTS 2026'!C2374),"",IF('ENGAGEMENTS 2026'!C2374="DTSI","DCT",'ENGAGEMENTS 2026'!C2374))</f>
        <v/>
      </c>
      <c r="B2374">
        <f>IF(ISBLANK('ENGAGEMENTS 2026'!C2374),"",'ENGAGEMENTS 2026'!D2374)</f>
        <v/>
      </c>
      <c r="C2374">
        <f>IF(ISBLANK('ENGAGEMENTS 2026'!C2374),"",'ENGAGEMENTS 2026'!E2374)</f>
        <v/>
      </c>
      <c r="D2374">
        <f>IF(ISBLANK('ENGAGEMENTS 2026'!C2374),"",'ENGAGEMENTS 2026'!G2374)</f>
        <v/>
      </c>
      <c r="E2374">
        <f>IF(ISBLANK('ENGAGEMENTS 2026'!C2374),"",'ENGAGEMENTS 2026'!I2374)</f>
        <v/>
      </c>
      <c r="F2374">
        <f>IF(ISBLANK('ENGAGEMENTS 2026'!C2374),"",'ENGAGEMENTS 2026'!J2374)</f>
        <v/>
      </c>
      <c r="G2374">
        <f>IF(ISBLANK('ENGAGEMENTS 2026'!C2374),"",'ENGAGEMENTS 2026'!M2374)</f>
        <v/>
      </c>
      <c r="H2374">
        <f>IF(ISBLANK('ENGAGEMENTS 2026'!C2374),"",'ENGAGEMENTS 2026'!AF2374)</f>
        <v/>
      </c>
      <c r="I2374">
        <f>IF(ISBLANK('ENGAGEMENTS 2026'!C2374),"",'ENGAGEMENTS 2026'!H2374)</f>
        <v/>
      </c>
      <c r="J2374" s="275">
        <f>IF(ISBLANK('ENGAGEMENTS 2026'!C2374),"",IF(AND(OR($E2374="INFRUCTUEUX",$E2374="ANNULE"),$C2374="AOO-M"),'ENGAGEMENTS 2026'!P2374,IF($H2374="EN COURS DE PREENGAGEMENT",'ENGAGEMENTS 2026'!O2374,IF($H2374="PREENGAGE",IF($E2374="ATTRIBUE",'ENGAGEMENTS 2026'!AE2374,'ENGAGEMENTS 2026'!O2374),'ENGAGEMENTS 2026'!AE2374))))</f>
        <v/>
      </c>
      <c r="K2374" s="604">
        <f>IF(ISBLANK('ENGAGEMENTS 2026'!W2374),"",'ENGAGEMENTS 2026'!W2374)</f>
        <v/>
      </c>
      <c r="L2374" s="276">
        <f>IF($K2374="","",TODAY()-$K2374)</f>
        <v/>
      </c>
      <c r="M2374">
        <f>IF($A2374="","",IF($H2374="ENGAGE","Engagé",IF(AND($H2374="NON ENGAGE",OR($I2374="INFRUCTUEUX",$I2374="ANNULE")),"Clôturé sans suite","En cours")))</f>
        <v/>
      </c>
      <c r="N2374">
        <f>IF(ISBLANK('ENGAGEMENTS 2026'!C2374),"",'ENGAGEMENTS 2026'!L2374)</f>
        <v/>
      </c>
      <c r="O2374">
        <f>IF(ISBLANK('ENGAGEMENTS 2026'!C2374),"",'ENGAGEMENTS 2026'!M2374)</f>
        <v/>
      </c>
      <c r="P2374">
        <f>IF(ISBLANK('ENGAGEMENTS 2026'!C2374),"",'ENGAGEMENTS 2026'!K2374)</f>
        <v/>
      </c>
      <c r="Q2374">
        <f>IF($A2374="","",IF(OR($E2374="INFRUCTUEUX",$E2374="ANNULE"),$A2374&amp;"|"&amp;(COUNTIFS($A$2:$A2374,$A2374,$E$2:$E2374,"INFRUCTUEUX")+COUNTIFS($A$2:$A2374,$A2374,$E$2:$E2374,"ANNULE")),""))</f>
        <v/>
      </c>
    </row>
    <row r="2375">
      <c r="A2375">
        <f>IF(ISBLANK('ENGAGEMENTS 2026'!C2375),"",IF('ENGAGEMENTS 2026'!C2375="DTSI","DCT",'ENGAGEMENTS 2026'!C2375))</f>
        <v/>
      </c>
      <c r="B2375">
        <f>IF(ISBLANK('ENGAGEMENTS 2026'!C2375),"",'ENGAGEMENTS 2026'!D2375)</f>
        <v/>
      </c>
      <c r="C2375">
        <f>IF(ISBLANK('ENGAGEMENTS 2026'!C2375),"",'ENGAGEMENTS 2026'!E2375)</f>
        <v/>
      </c>
      <c r="D2375">
        <f>IF(ISBLANK('ENGAGEMENTS 2026'!C2375),"",'ENGAGEMENTS 2026'!G2375)</f>
        <v/>
      </c>
      <c r="E2375">
        <f>IF(ISBLANK('ENGAGEMENTS 2026'!C2375),"",'ENGAGEMENTS 2026'!I2375)</f>
        <v/>
      </c>
      <c r="F2375">
        <f>IF(ISBLANK('ENGAGEMENTS 2026'!C2375),"",'ENGAGEMENTS 2026'!J2375)</f>
        <v/>
      </c>
      <c r="G2375">
        <f>IF(ISBLANK('ENGAGEMENTS 2026'!C2375),"",'ENGAGEMENTS 2026'!M2375)</f>
        <v/>
      </c>
      <c r="H2375">
        <f>IF(ISBLANK('ENGAGEMENTS 2026'!C2375),"",'ENGAGEMENTS 2026'!AF2375)</f>
        <v/>
      </c>
      <c r="I2375">
        <f>IF(ISBLANK('ENGAGEMENTS 2026'!C2375),"",'ENGAGEMENTS 2026'!H2375)</f>
        <v/>
      </c>
      <c r="J2375" s="275">
        <f>IF(ISBLANK('ENGAGEMENTS 2026'!C2375),"",IF(AND(OR($E2375="INFRUCTUEUX",$E2375="ANNULE"),$C2375="AOO-M"),'ENGAGEMENTS 2026'!P2375,IF($H2375="EN COURS DE PREENGAGEMENT",'ENGAGEMENTS 2026'!O2375,IF($H2375="PREENGAGE",IF($E2375="ATTRIBUE",'ENGAGEMENTS 2026'!AE2375,'ENGAGEMENTS 2026'!O2375),'ENGAGEMENTS 2026'!AE2375))))</f>
        <v/>
      </c>
      <c r="K2375" s="604">
        <f>IF(ISBLANK('ENGAGEMENTS 2026'!W2375),"",'ENGAGEMENTS 2026'!W2375)</f>
        <v/>
      </c>
      <c r="L2375" s="276">
        <f>IF($K2375="","",TODAY()-$K2375)</f>
        <v/>
      </c>
      <c r="M2375">
        <f>IF($A2375="","",IF($H2375="ENGAGE","Engagé",IF(AND($H2375="NON ENGAGE",OR($I2375="INFRUCTUEUX",$I2375="ANNULE")),"Clôturé sans suite","En cours")))</f>
        <v/>
      </c>
      <c r="N2375">
        <f>IF(ISBLANK('ENGAGEMENTS 2026'!C2375),"",'ENGAGEMENTS 2026'!L2375)</f>
        <v/>
      </c>
      <c r="O2375">
        <f>IF(ISBLANK('ENGAGEMENTS 2026'!C2375),"",'ENGAGEMENTS 2026'!M2375)</f>
        <v/>
      </c>
      <c r="P2375">
        <f>IF(ISBLANK('ENGAGEMENTS 2026'!C2375),"",'ENGAGEMENTS 2026'!K2375)</f>
        <v/>
      </c>
      <c r="Q2375">
        <f>IF($A2375="","",IF(OR($E2375="INFRUCTUEUX",$E2375="ANNULE"),$A2375&amp;"|"&amp;(COUNTIFS($A$2:$A2375,$A2375,$E$2:$E2375,"INFRUCTUEUX")+COUNTIFS($A$2:$A2375,$A2375,$E$2:$E2375,"ANNULE")),""))</f>
        <v/>
      </c>
    </row>
    <row r="2376">
      <c r="A2376">
        <f>IF(ISBLANK('ENGAGEMENTS 2026'!C2376),"",IF('ENGAGEMENTS 2026'!C2376="DTSI","DCT",'ENGAGEMENTS 2026'!C2376))</f>
        <v/>
      </c>
      <c r="B2376">
        <f>IF(ISBLANK('ENGAGEMENTS 2026'!C2376),"",'ENGAGEMENTS 2026'!D2376)</f>
        <v/>
      </c>
      <c r="C2376">
        <f>IF(ISBLANK('ENGAGEMENTS 2026'!C2376),"",'ENGAGEMENTS 2026'!E2376)</f>
        <v/>
      </c>
      <c r="D2376">
        <f>IF(ISBLANK('ENGAGEMENTS 2026'!C2376),"",'ENGAGEMENTS 2026'!G2376)</f>
        <v/>
      </c>
      <c r="E2376">
        <f>IF(ISBLANK('ENGAGEMENTS 2026'!C2376),"",'ENGAGEMENTS 2026'!I2376)</f>
        <v/>
      </c>
      <c r="F2376">
        <f>IF(ISBLANK('ENGAGEMENTS 2026'!C2376),"",'ENGAGEMENTS 2026'!J2376)</f>
        <v/>
      </c>
      <c r="G2376">
        <f>IF(ISBLANK('ENGAGEMENTS 2026'!C2376),"",'ENGAGEMENTS 2026'!M2376)</f>
        <v/>
      </c>
      <c r="H2376">
        <f>IF(ISBLANK('ENGAGEMENTS 2026'!C2376),"",'ENGAGEMENTS 2026'!AF2376)</f>
        <v/>
      </c>
      <c r="I2376">
        <f>IF(ISBLANK('ENGAGEMENTS 2026'!C2376),"",'ENGAGEMENTS 2026'!H2376)</f>
        <v/>
      </c>
      <c r="J2376" s="275">
        <f>IF(ISBLANK('ENGAGEMENTS 2026'!C2376),"",IF(AND(OR($E2376="INFRUCTUEUX",$E2376="ANNULE"),$C2376="AOO-M"),'ENGAGEMENTS 2026'!P2376,IF($H2376="EN COURS DE PREENGAGEMENT",'ENGAGEMENTS 2026'!O2376,IF($H2376="PREENGAGE",IF($E2376="ATTRIBUE",'ENGAGEMENTS 2026'!AE2376,'ENGAGEMENTS 2026'!O2376),'ENGAGEMENTS 2026'!AE2376))))</f>
        <v/>
      </c>
      <c r="K2376" s="604">
        <f>IF(ISBLANK('ENGAGEMENTS 2026'!W2376),"",'ENGAGEMENTS 2026'!W2376)</f>
        <v/>
      </c>
      <c r="L2376" s="276">
        <f>IF($K2376="","",TODAY()-$K2376)</f>
        <v/>
      </c>
      <c r="M2376">
        <f>IF($A2376="","",IF($H2376="ENGAGE","Engagé",IF(AND($H2376="NON ENGAGE",OR($I2376="INFRUCTUEUX",$I2376="ANNULE")),"Clôturé sans suite","En cours")))</f>
        <v/>
      </c>
      <c r="N2376">
        <f>IF(ISBLANK('ENGAGEMENTS 2026'!C2376),"",'ENGAGEMENTS 2026'!L2376)</f>
        <v/>
      </c>
      <c r="O2376">
        <f>IF(ISBLANK('ENGAGEMENTS 2026'!C2376),"",'ENGAGEMENTS 2026'!M2376)</f>
        <v/>
      </c>
      <c r="P2376">
        <f>IF(ISBLANK('ENGAGEMENTS 2026'!C2376),"",'ENGAGEMENTS 2026'!K2376)</f>
        <v/>
      </c>
      <c r="Q2376">
        <f>IF($A2376="","",IF(OR($E2376="INFRUCTUEUX",$E2376="ANNULE"),$A2376&amp;"|"&amp;(COUNTIFS($A$2:$A2376,$A2376,$E$2:$E2376,"INFRUCTUEUX")+COUNTIFS($A$2:$A2376,$A2376,$E$2:$E2376,"ANNULE")),""))</f>
        <v/>
      </c>
    </row>
    <row r="2377">
      <c r="A2377">
        <f>IF(ISBLANK('ENGAGEMENTS 2026'!C2377),"",IF('ENGAGEMENTS 2026'!C2377="DTSI","DCT",'ENGAGEMENTS 2026'!C2377))</f>
        <v/>
      </c>
      <c r="B2377">
        <f>IF(ISBLANK('ENGAGEMENTS 2026'!C2377),"",'ENGAGEMENTS 2026'!D2377)</f>
        <v/>
      </c>
      <c r="C2377">
        <f>IF(ISBLANK('ENGAGEMENTS 2026'!C2377),"",'ENGAGEMENTS 2026'!E2377)</f>
        <v/>
      </c>
      <c r="D2377">
        <f>IF(ISBLANK('ENGAGEMENTS 2026'!C2377),"",'ENGAGEMENTS 2026'!G2377)</f>
        <v/>
      </c>
      <c r="E2377">
        <f>IF(ISBLANK('ENGAGEMENTS 2026'!C2377),"",'ENGAGEMENTS 2026'!I2377)</f>
        <v/>
      </c>
      <c r="F2377">
        <f>IF(ISBLANK('ENGAGEMENTS 2026'!C2377),"",'ENGAGEMENTS 2026'!J2377)</f>
        <v/>
      </c>
      <c r="G2377">
        <f>IF(ISBLANK('ENGAGEMENTS 2026'!C2377),"",'ENGAGEMENTS 2026'!M2377)</f>
        <v/>
      </c>
      <c r="H2377">
        <f>IF(ISBLANK('ENGAGEMENTS 2026'!C2377),"",'ENGAGEMENTS 2026'!AF2377)</f>
        <v/>
      </c>
      <c r="I2377">
        <f>IF(ISBLANK('ENGAGEMENTS 2026'!C2377),"",'ENGAGEMENTS 2026'!H2377)</f>
        <v/>
      </c>
      <c r="J2377" s="275">
        <f>IF(ISBLANK('ENGAGEMENTS 2026'!C2377),"",IF(AND(OR($E2377="INFRUCTUEUX",$E2377="ANNULE"),$C2377="AOO-M"),'ENGAGEMENTS 2026'!P2377,IF($H2377="EN COURS DE PREENGAGEMENT",'ENGAGEMENTS 2026'!O2377,IF($H2377="PREENGAGE",IF($E2377="ATTRIBUE",'ENGAGEMENTS 2026'!AE2377,'ENGAGEMENTS 2026'!O2377),'ENGAGEMENTS 2026'!AE2377))))</f>
        <v/>
      </c>
      <c r="K2377" s="604">
        <f>IF(ISBLANK('ENGAGEMENTS 2026'!W2377),"",'ENGAGEMENTS 2026'!W2377)</f>
        <v/>
      </c>
      <c r="L2377" s="276">
        <f>IF($K2377="","",TODAY()-$K2377)</f>
        <v/>
      </c>
      <c r="M2377">
        <f>IF($A2377="","",IF($H2377="ENGAGE","Engagé",IF(AND($H2377="NON ENGAGE",OR($I2377="INFRUCTUEUX",$I2377="ANNULE")),"Clôturé sans suite","En cours")))</f>
        <v/>
      </c>
      <c r="N2377">
        <f>IF(ISBLANK('ENGAGEMENTS 2026'!C2377),"",'ENGAGEMENTS 2026'!L2377)</f>
        <v/>
      </c>
      <c r="O2377">
        <f>IF(ISBLANK('ENGAGEMENTS 2026'!C2377),"",'ENGAGEMENTS 2026'!M2377)</f>
        <v/>
      </c>
      <c r="P2377">
        <f>IF(ISBLANK('ENGAGEMENTS 2026'!C2377),"",'ENGAGEMENTS 2026'!K2377)</f>
        <v/>
      </c>
      <c r="Q2377">
        <f>IF($A2377="","",IF(OR($E2377="INFRUCTUEUX",$E2377="ANNULE"),$A2377&amp;"|"&amp;(COUNTIFS($A$2:$A2377,$A2377,$E$2:$E2377,"INFRUCTUEUX")+COUNTIFS($A$2:$A2377,$A2377,$E$2:$E2377,"ANNULE")),""))</f>
        <v/>
      </c>
    </row>
    <row r="2378">
      <c r="A2378">
        <f>IF(ISBLANK('ENGAGEMENTS 2026'!C2378),"",IF('ENGAGEMENTS 2026'!C2378="DTSI","DCT",'ENGAGEMENTS 2026'!C2378))</f>
        <v/>
      </c>
      <c r="B2378">
        <f>IF(ISBLANK('ENGAGEMENTS 2026'!C2378),"",'ENGAGEMENTS 2026'!D2378)</f>
        <v/>
      </c>
      <c r="C2378">
        <f>IF(ISBLANK('ENGAGEMENTS 2026'!C2378),"",'ENGAGEMENTS 2026'!E2378)</f>
        <v/>
      </c>
      <c r="D2378">
        <f>IF(ISBLANK('ENGAGEMENTS 2026'!C2378),"",'ENGAGEMENTS 2026'!G2378)</f>
        <v/>
      </c>
      <c r="E2378">
        <f>IF(ISBLANK('ENGAGEMENTS 2026'!C2378),"",'ENGAGEMENTS 2026'!I2378)</f>
        <v/>
      </c>
      <c r="F2378">
        <f>IF(ISBLANK('ENGAGEMENTS 2026'!C2378),"",'ENGAGEMENTS 2026'!J2378)</f>
        <v/>
      </c>
      <c r="G2378">
        <f>IF(ISBLANK('ENGAGEMENTS 2026'!C2378),"",'ENGAGEMENTS 2026'!M2378)</f>
        <v/>
      </c>
      <c r="H2378">
        <f>IF(ISBLANK('ENGAGEMENTS 2026'!C2378),"",'ENGAGEMENTS 2026'!AF2378)</f>
        <v/>
      </c>
      <c r="I2378">
        <f>IF(ISBLANK('ENGAGEMENTS 2026'!C2378),"",'ENGAGEMENTS 2026'!H2378)</f>
        <v/>
      </c>
      <c r="J2378" s="275">
        <f>IF(ISBLANK('ENGAGEMENTS 2026'!C2378),"",IF(AND(OR($E2378="INFRUCTUEUX",$E2378="ANNULE"),$C2378="AOO-M"),'ENGAGEMENTS 2026'!P2378,IF($H2378="EN COURS DE PREENGAGEMENT",'ENGAGEMENTS 2026'!O2378,IF($H2378="PREENGAGE",IF($E2378="ATTRIBUE",'ENGAGEMENTS 2026'!AE2378,'ENGAGEMENTS 2026'!O2378),'ENGAGEMENTS 2026'!AE2378))))</f>
        <v/>
      </c>
      <c r="K2378" s="604">
        <f>IF(ISBLANK('ENGAGEMENTS 2026'!W2378),"",'ENGAGEMENTS 2026'!W2378)</f>
        <v/>
      </c>
      <c r="L2378" s="276">
        <f>IF($K2378="","",TODAY()-$K2378)</f>
        <v/>
      </c>
      <c r="M2378">
        <f>IF($A2378="","",IF($H2378="ENGAGE","Engagé",IF(AND($H2378="NON ENGAGE",OR($I2378="INFRUCTUEUX",$I2378="ANNULE")),"Clôturé sans suite","En cours")))</f>
        <v/>
      </c>
      <c r="N2378">
        <f>IF(ISBLANK('ENGAGEMENTS 2026'!C2378),"",'ENGAGEMENTS 2026'!L2378)</f>
        <v/>
      </c>
      <c r="O2378">
        <f>IF(ISBLANK('ENGAGEMENTS 2026'!C2378),"",'ENGAGEMENTS 2026'!M2378)</f>
        <v/>
      </c>
      <c r="P2378">
        <f>IF(ISBLANK('ENGAGEMENTS 2026'!C2378),"",'ENGAGEMENTS 2026'!K2378)</f>
        <v/>
      </c>
      <c r="Q2378">
        <f>IF($A2378="","",IF(OR($E2378="INFRUCTUEUX",$E2378="ANNULE"),$A2378&amp;"|"&amp;(COUNTIFS($A$2:$A2378,$A2378,$E$2:$E2378,"INFRUCTUEUX")+COUNTIFS($A$2:$A2378,$A2378,$E$2:$E2378,"ANNULE")),""))</f>
        <v/>
      </c>
    </row>
    <row r="2379">
      <c r="A2379">
        <f>IF(ISBLANK('ENGAGEMENTS 2026'!C2379),"",IF('ENGAGEMENTS 2026'!C2379="DTSI","DCT",'ENGAGEMENTS 2026'!C2379))</f>
        <v/>
      </c>
      <c r="B2379">
        <f>IF(ISBLANK('ENGAGEMENTS 2026'!C2379),"",'ENGAGEMENTS 2026'!D2379)</f>
        <v/>
      </c>
      <c r="C2379">
        <f>IF(ISBLANK('ENGAGEMENTS 2026'!C2379),"",'ENGAGEMENTS 2026'!E2379)</f>
        <v/>
      </c>
      <c r="D2379">
        <f>IF(ISBLANK('ENGAGEMENTS 2026'!C2379),"",'ENGAGEMENTS 2026'!G2379)</f>
        <v/>
      </c>
      <c r="E2379">
        <f>IF(ISBLANK('ENGAGEMENTS 2026'!C2379),"",'ENGAGEMENTS 2026'!I2379)</f>
        <v/>
      </c>
      <c r="F2379">
        <f>IF(ISBLANK('ENGAGEMENTS 2026'!C2379),"",'ENGAGEMENTS 2026'!J2379)</f>
        <v/>
      </c>
      <c r="G2379">
        <f>IF(ISBLANK('ENGAGEMENTS 2026'!C2379),"",'ENGAGEMENTS 2026'!M2379)</f>
        <v/>
      </c>
      <c r="H2379">
        <f>IF(ISBLANK('ENGAGEMENTS 2026'!C2379),"",'ENGAGEMENTS 2026'!AF2379)</f>
        <v/>
      </c>
      <c r="I2379">
        <f>IF(ISBLANK('ENGAGEMENTS 2026'!C2379),"",'ENGAGEMENTS 2026'!H2379)</f>
        <v/>
      </c>
      <c r="J2379" s="275">
        <f>IF(ISBLANK('ENGAGEMENTS 2026'!C2379),"",IF(AND(OR($E2379="INFRUCTUEUX",$E2379="ANNULE"),$C2379="AOO-M"),'ENGAGEMENTS 2026'!P2379,IF($H2379="EN COURS DE PREENGAGEMENT",'ENGAGEMENTS 2026'!O2379,IF($H2379="PREENGAGE",IF($E2379="ATTRIBUE",'ENGAGEMENTS 2026'!AE2379,'ENGAGEMENTS 2026'!O2379),'ENGAGEMENTS 2026'!AE2379))))</f>
        <v/>
      </c>
      <c r="K2379" s="604">
        <f>IF(ISBLANK('ENGAGEMENTS 2026'!W2379),"",'ENGAGEMENTS 2026'!W2379)</f>
        <v/>
      </c>
      <c r="L2379" s="276">
        <f>IF($K2379="","",TODAY()-$K2379)</f>
        <v/>
      </c>
      <c r="M2379">
        <f>IF($A2379="","",IF($H2379="ENGAGE","Engagé",IF(AND($H2379="NON ENGAGE",OR($I2379="INFRUCTUEUX",$I2379="ANNULE")),"Clôturé sans suite","En cours")))</f>
        <v/>
      </c>
      <c r="N2379">
        <f>IF(ISBLANK('ENGAGEMENTS 2026'!C2379),"",'ENGAGEMENTS 2026'!L2379)</f>
        <v/>
      </c>
      <c r="O2379">
        <f>IF(ISBLANK('ENGAGEMENTS 2026'!C2379),"",'ENGAGEMENTS 2026'!M2379)</f>
        <v/>
      </c>
      <c r="P2379">
        <f>IF(ISBLANK('ENGAGEMENTS 2026'!C2379),"",'ENGAGEMENTS 2026'!K2379)</f>
        <v/>
      </c>
      <c r="Q2379">
        <f>IF($A2379="","",IF(OR($E2379="INFRUCTUEUX",$E2379="ANNULE"),$A2379&amp;"|"&amp;(COUNTIFS($A$2:$A2379,$A2379,$E$2:$E2379,"INFRUCTUEUX")+COUNTIFS($A$2:$A2379,$A2379,$E$2:$E2379,"ANNULE")),""))</f>
        <v/>
      </c>
    </row>
    <row r="2380">
      <c r="A2380">
        <f>IF(ISBLANK('ENGAGEMENTS 2026'!C2380),"",IF('ENGAGEMENTS 2026'!C2380="DTSI","DCT",'ENGAGEMENTS 2026'!C2380))</f>
        <v/>
      </c>
      <c r="B2380">
        <f>IF(ISBLANK('ENGAGEMENTS 2026'!C2380),"",'ENGAGEMENTS 2026'!D2380)</f>
        <v/>
      </c>
      <c r="C2380">
        <f>IF(ISBLANK('ENGAGEMENTS 2026'!C2380),"",'ENGAGEMENTS 2026'!E2380)</f>
        <v/>
      </c>
      <c r="D2380">
        <f>IF(ISBLANK('ENGAGEMENTS 2026'!C2380),"",'ENGAGEMENTS 2026'!G2380)</f>
        <v/>
      </c>
      <c r="E2380">
        <f>IF(ISBLANK('ENGAGEMENTS 2026'!C2380),"",'ENGAGEMENTS 2026'!I2380)</f>
        <v/>
      </c>
      <c r="F2380">
        <f>IF(ISBLANK('ENGAGEMENTS 2026'!C2380),"",'ENGAGEMENTS 2026'!J2380)</f>
        <v/>
      </c>
      <c r="G2380">
        <f>IF(ISBLANK('ENGAGEMENTS 2026'!C2380),"",'ENGAGEMENTS 2026'!M2380)</f>
        <v/>
      </c>
      <c r="H2380">
        <f>IF(ISBLANK('ENGAGEMENTS 2026'!C2380),"",'ENGAGEMENTS 2026'!AF2380)</f>
        <v/>
      </c>
      <c r="I2380">
        <f>IF(ISBLANK('ENGAGEMENTS 2026'!C2380),"",'ENGAGEMENTS 2026'!H2380)</f>
        <v/>
      </c>
      <c r="J2380" s="275">
        <f>IF(ISBLANK('ENGAGEMENTS 2026'!C2380),"",IF(AND(OR($E2380="INFRUCTUEUX",$E2380="ANNULE"),$C2380="AOO-M"),'ENGAGEMENTS 2026'!P2380,IF($H2380="EN COURS DE PREENGAGEMENT",'ENGAGEMENTS 2026'!O2380,IF($H2380="PREENGAGE",IF($E2380="ATTRIBUE",'ENGAGEMENTS 2026'!AE2380,'ENGAGEMENTS 2026'!O2380),'ENGAGEMENTS 2026'!AE2380))))</f>
        <v/>
      </c>
      <c r="K2380" s="604">
        <f>IF(ISBLANK('ENGAGEMENTS 2026'!W2380),"",'ENGAGEMENTS 2026'!W2380)</f>
        <v/>
      </c>
      <c r="L2380" s="276">
        <f>IF($K2380="","",TODAY()-$K2380)</f>
        <v/>
      </c>
      <c r="M2380">
        <f>IF($A2380="","",IF($H2380="ENGAGE","Engagé",IF(AND($H2380="NON ENGAGE",OR($I2380="INFRUCTUEUX",$I2380="ANNULE")),"Clôturé sans suite","En cours")))</f>
        <v/>
      </c>
      <c r="N2380">
        <f>IF(ISBLANK('ENGAGEMENTS 2026'!C2380),"",'ENGAGEMENTS 2026'!L2380)</f>
        <v/>
      </c>
      <c r="O2380">
        <f>IF(ISBLANK('ENGAGEMENTS 2026'!C2380),"",'ENGAGEMENTS 2026'!M2380)</f>
        <v/>
      </c>
      <c r="P2380">
        <f>IF(ISBLANK('ENGAGEMENTS 2026'!C2380),"",'ENGAGEMENTS 2026'!K2380)</f>
        <v/>
      </c>
      <c r="Q2380">
        <f>IF($A2380="","",IF(OR($E2380="INFRUCTUEUX",$E2380="ANNULE"),$A2380&amp;"|"&amp;(COUNTIFS($A$2:$A2380,$A2380,$E$2:$E2380,"INFRUCTUEUX")+COUNTIFS($A$2:$A2380,$A2380,$E$2:$E2380,"ANNULE")),""))</f>
        <v/>
      </c>
    </row>
    <row r="2381">
      <c r="A2381">
        <f>IF(ISBLANK('ENGAGEMENTS 2026'!C2381),"",IF('ENGAGEMENTS 2026'!C2381="DTSI","DCT",'ENGAGEMENTS 2026'!C2381))</f>
        <v/>
      </c>
      <c r="B2381">
        <f>IF(ISBLANK('ENGAGEMENTS 2026'!C2381),"",'ENGAGEMENTS 2026'!D2381)</f>
        <v/>
      </c>
      <c r="C2381">
        <f>IF(ISBLANK('ENGAGEMENTS 2026'!C2381),"",'ENGAGEMENTS 2026'!E2381)</f>
        <v/>
      </c>
      <c r="D2381">
        <f>IF(ISBLANK('ENGAGEMENTS 2026'!C2381),"",'ENGAGEMENTS 2026'!G2381)</f>
        <v/>
      </c>
      <c r="E2381">
        <f>IF(ISBLANK('ENGAGEMENTS 2026'!C2381),"",'ENGAGEMENTS 2026'!I2381)</f>
        <v/>
      </c>
      <c r="F2381">
        <f>IF(ISBLANK('ENGAGEMENTS 2026'!C2381),"",'ENGAGEMENTS 2026'!J2381)</f>
        <v/>
      </c>
      <c r="G2381">
        <f>IF(ISBLANK('ENGAGEMENTS 2026'!C2381),"",'ENGAGEMENTS 2026'!M2381)</f>
        <v/>
      </c>
      <c r="H2381">
        <f>IF(ISBLANK('ENGAGEMENTS 2026'!C2381),"",'ENGAGEMENTS 2026'!AF2381)</f>
        <v/>
      </c>
      <c r="I2381">
        <f>IF(ISBLANK('ENGAGEMENTS 2026'!C2381),"",'ENGAGEMENTS 2026'!H2381)</f>
        <v/>
      </c>
      <c r="J2381" s="275">
        <f>IF(ISBLANK('ENGAGEMENTS 2026'!C2381),"",IF(AND(OR($E2381="INFRUCTUEUX",$E2381="ANNULE"),$C2381="AOO-M"),'ENGAGEMENTS 2026'!P2381,IF($H2381="EN COURS DE PREENGAGEMENT",'ENGAGEMENTS 2026'!O2381,IF($H2381="PREENGAGE",IF($E2381="ATTRIBUE",'ENGAGEMENTS 2026'!AE2381,'ENGAGEMENTS 2026'!O2381),'ENGAGEMENTS 2026'!AE2381))))</f>
        <v/>
      </c>
      <c r="K2381" s="604">
        <f>IF(ISBLANK('ENGAGEMENTS 2026'!W2381),"",'ENGAGEMENTS 2026'!W2381)</f>
        <v/>
      </c>
      <c r="L2381" s="276">
        <f>IF($K2381="","",TODAY()-$K2381)</f>
        <v/>
      </c>
      <c r="M2381">
        <f>IF($A2381="","",IF($H2381="ENGAGE","Engagé",IF(AND($H2381="NON ENGAGE",OR($I2381="INFRUCTUEUX",$I2381="ANNULE")),"Clôturé sans suite","En cours")))</f>
        <v/>
      </c>
      <c r="N2381">
        <f>IF(ISBLANK('ENGAGEMENTS 2026'!C2381),"",'ENGAGEMENTS 2026'!L2381)</f>
        <v/>
      </c>
      <c r="O2381">
        <f>IF(ISBLANK('ENGAGEMENTS 2026'!C2381),"",'ENGAGEMENTS 2026'!M2381)</f>
        <v/>
      </c>
      <c r="P2381">
        <f>IF(ISBLANK('ENGAGEMENTS 2026'!C2381),"",'ENGAGEMENTS 2026'!K2381)</f>
        <v/>
      </c>
      <c r="Q2381">
        <f>IF($A2381="","",IF(OR($E2381="INFRUCTUEUX",$E2381="ANNULE"),$A2381&amp;"|"&amp;(COUNTIFS($A$2:$A2381,$A2381,$E$2:$E2381,"INFRUCTUEUX")+COUNTIFS($A$2:$A2381,$A2381,$E$2:$E2381,"ANNULE")),""))</f>
        <v/>
      </c>
    </row>
    <row r="2382">
      <c r="A2382">
        <f>IF(ISBLANK('ENGAGEMENTS 2026'!C2382),"",IF('ENGAGEMENTS 2026'!C2382="DTSI","DCT",'ENGAGEMENTS 2026'!C2382))</f>
        <v/>
      </c>
      <c r="B2382">
        <f>IF(ISBLANK('ENGAGEMENTS 2026'!C2382),"",'ENGAGEMENTS 2026'!D2382)</f>
        <v/>
      </c>
      <c r="C2382">
        <f>IF(ISBLANK('ENGAGEMENTS 2026'!C2382),"",'ENGAGEMENTS 2026'!E2382)</f>
        <v/>
      </c>
      <c r="D2382">
        <f>IF(ISBLANK('ENGAGEMENTS 2026'!C2382),"",'ENGAGEMENTS 2026'!G2382)</f>
        <v/>
      </c>
      <c r="E2382">
        <f>IF(ISBLANK('ENGAGEMENTS 2026'!C2382),"",'ENGAGEMENTS 2026'!I2382)</f>
        <v/>
      </c>
      <c r="F2382">
        <f>IF(ISBLANK('ENGAGEMENTS 2026'!C2382),"",'ENGAGEMENTS 2026'!J2382)</f>
        <v/>
      </c>
      <c r="G2382">
        <f>IF(ISBLANK('ENGAGEMENTS 2026'!C2382),"",'ENGAGEMENTS 2026'!M2382)</f>
        <v/>
      </c>
      <c r="H2382">
        <f>IF(ISBLANK('ENGAGEMENTS 2026'!C2382),"",'ENGAGEMENTS 2026'!AF2382)</f>
        <v/>
      </c>
      <c r="I2382">
        <f>IF(ISBLANK('ENGAGEMENTS 2026'!C2382),"",'ENGAGEMENTS 2026'!H2382)</f>
        <v/>
      </c>
      <c r="J2382" s="275">
        <f>IF(ISBLANK('ENGAGEMENTS 2026'!C2382),"",IF(AND(OR($E2382="INFRUCTUEUX",$E2382="ANNULE"),$C2382="AOO-M"),'ENGAGEMENTS 2026'!P2382,IF($H2382="EN COURS DE PREENGAGEMENT",'ENGAGEMENTS 2026'!O2382,IF($H2382="PREENGAGE",IF($E2382="ATTRIBUE",'ENGAGEMENTS 2026'!AE2382,'ENGAGEMENTS 2026'!O2382),'ENGAGEMENTS 2026'!AE2382))))</f>
        <v/>
      </c>
      <c r="K2382" s="604">
        <f>IF(ISBLANK('ENGAGEMENTS 2026'!W2382),"",'ENGAGEMENTS 2026'!W2382)</f>
        <v/>
      </c>
      <c r="L2382" s="276">
        <f>IF($K2382="","",TODAY()-$K2382)</f>
        <v/>
      </c>
      <c r="M2382">
        <f>IF($A2382="","",IF($H2382="ENGAGE","Engagé",IF(AND($H2382="NON ENGAGE",OR($I2382="INFRUCTUEUX",$I2382="ANNULE")),"Clôturé sans suite","En cours")))</f>
        <v/>
      </c>
      <c r="N2382">
        <f>IF(ISBLANK('ENGAGEMENTS 2026'!C2382),"",'ENGAGEMENTS 2026'!L2382)</f>
        <v/>
      </c>
      <c r="O2382">
        <f>IF(ISBLANK('ENGAGEMENTS 2026'!C2382),"",'ENGAGEMENTS 2026'!M2382)</f>
        <v/>
      </c>
      <c r="P2382">
        <f>IF(ISBLANK('ENGAGEMENTS 2026'!C2382),"",'ENGAGEMENTS 2026'!K2382)</f>
        <v/>
      </c>
      <c r="Q2382">
        <f>IF($A2382="","",IF(OR($E2382="INFRUCTUEUX",$E2382="ANNULE"),$A2382&amp;"|"&amp;(COUNTIFS($A$2:$A2382,$A2382,$E$2:$E2382,"INFRUCTUEUX")+COUNTIFS($A$2:$A2382,$A2382,$E$2:$E2382,"ANNULE")),""))</f>
        <v/>
      </c>
    </row>
    <row r="2383">
      <c r="A2383">
        <f>IF(ISBLANK('ENGAGEMENTS 2026'!C2383),"",IF('ENGAGEMENTS 2026'!C2383="DTSI","DCT",'ENGAGEMENTS 2026'!C2383))</f>
        <v/>
      </c>
      <c r="B2383">
        <f>IF(ISBLANK('ENGAGEMENTS 2026'!C2383),"",'ENGAGEMENTS 2026'!D2383)</f>
        <v/>
      </c>
      <c r="C2383">
        <f>IF(ISBLANK('ENGAGEMENTS 2026'!C2383),"",'ENGAGEMENTS 2026'!E2383)</f>
        <v/>
      </c>
      <c r="D2383">
        <f>IF(ISBLANK('ENGAGEMENTS 2026'!C2383),"",'ENGAGEMENTS 2026'!G2383)</f>
        <v/>
      </c>
      <c r="E2383">
        <f>IF(ISBLANK('ENGAGEMENTS 2026'!C2383),"",'ENGAGEMENTS 2026'!I2383)</f>
        <v/>
      </c>
      <c r="F2383">
        <f>IF(ISBLANK('ENGAGEMENTS 2026'!C2383),"",'ENGAGEMENTS 2026'!J2383)</f>
        <v/>
      </c>
      <c r="G2383">
        <f>IF(ISBLANK('ENGAGEMENTS 2026'!C2383),"",'ENGAGEMENTS 2026'!M2383)</f>
        <v/>
      </c>
      <c r="H2383">
        <f>IF(ISBLANK('ENGAGEMENTS 2026'!C2383),"",'ENGAGEMENTS 2026'!AF2383)</f>
        <v/>
      </c>
      <c r="I2383">
        <f>IF(ISBLANK('ENGAGEMENTS 2026'!C2383),"",'ENGAGEMENTS 2026'!H2383)</f>
        <v/>
      </c>
      <c r="J2383" s="275">
        <f>IF(ISBLANK('ENGAGEMENTS 2026'!C2383),"",IF(AND(OR($E2383="INFRUCTUEUX",$E2383="ANNULE"),$C2383="AOO-M"),'ENGAGEMENTS 2026'!P2383,IF($H2383="EN COURS DE PREENGAGEMENT",'ENGAGEMENTS 2026'!O2383,IF($H2383="PREENGAGE",IF($E2383="ATTRIBUE",'ENGAGEMENTS 2026'!AE2383,'ENGAGEMENTS 2026'!O2383),'ENGAGEMENTS 2026'!AE2383))))</f>
        <v/>
      </c>
      <c r="K2383" s="604">
        <f>IF(ISBLANK('ENGAGEMENTS 2026'!W2383),"",'ENGAGEMENTS 2026'!W2383)</f>
        <v/>
      </c>
      <c r="L2383" s="276">
        <f>IF($K2383="","",TODAY()-$K2383)</f>
        <v/>
      </c>
      <c r="M2383">
        <f>IF($A2383="","",IF($H2383="ENGAGE","Engagé",IF(AND($H2383="NON ENGAGE",OR($I2383="INFRUCTUEUX",$I2383="ANNULE")),"Clôturé sans suite","En cours")))</f>
        <v/>
      </c>
      <c r="N2383">
        <f>IF(ISBLANK('ENGAGEMENTS 2026'!C2383),"",'ENGAGEMENTS 2026'!L2383)</f>
        <v/>
      </c>
      <c r="O2383">
        <f>IF(ISBLANK('ENGAGEMENTS 2026'!C2383),"",'ENGAGEMENTS 2026'!M2383)</f>
        <v/>
      </c>
      <c r="P2383">
        <f>IF(ISBLANK('ENGAGEMENTS 2026'!C2383),"",'ENGAGEMENTS 2026'!K2383)</f>
        <v/>
      </c>
      <c r="Q2383">
        <f>IF($A2383="","",IF(OR($E2383="INFRUCTUEUX",$E2383="ANNULE"),$A2383&amp;"|"&amp;(COUNTIFS($A$2:$A2383,$A2383,$E$2:$E2383,"INFRUCTUEUX")+COUNTIFS($A$2:$A2383,$A2383,$E$2:$E2383,"ANNULE")),""))</f>
        <v/>
      </c>
    </row>
    <row r="2384">
      <c r="A2384">
        <f>IF(ISBLANK('ENGAGEMENTS 2026'!C2384),"",IF('ENGAGEMENTS 2026'!C2384="DTSI","DCT",'ENGAGEMENTS 2026'!C2384))</f>
        <v/>
      </c>
      <c r="B2384">
        <f>IF(ISBLANK('ENGAGEMENTS 2026'!C2384),"",'ENGAGEMENTS 2026'!D2384)</f>
        <v/>
      </c>
      <c r="C2384">
        <f>IF(ISBLANK('ENGAGEMENTS 2026'!C2384),"",'ENGAGEMENTS 2026'!E2384)</f>
        <v/>
      </c>
      <c r="D2384">
        <f>IF(ISBLANK('ENGAGEMENTS 2026'!C2384),"",'ENGAGEMENTS 2026'!G2384)</f>
        <v/>
      </c>
      <c r="E2384">
        <f>IF(ISBLANK('ENGAGEMENTS 2026'!C2384),"",'ENGAGEMENTS 2026'!I2384)</f>
        <v/>
      </c>
      <c r="F2384">
        <f>IF(ISBLANK('ENGAGEMENTS 2026'!C2384),"",'ENGAGEMENTS 2026'!J2384)</f>
        <v/>
      </c>
      <c r="G2384">
        <f>IF(ISBLANK('ENGAGEMENTS 2026'!C2384),"",'ENGAGEMENTS 2026'!M2384)</f>
        <v/>
      </c>
      <c r="H2384">
        <f>IF(ISBLANK('ENGAGEMENTS 2026'!C2384),"",'ENGAGEMENTS 2026'!AF2384)</f>
        <v/>
      </c>
      <c r="I2384">
        <f>IF(ISBLANK('ENGAGEMENTS 2026'!C2384),"",'ENGAGEMENTS 2026'!H2384)</f>
        <v/>
      </c>
      <c r="J2384" s="275">
        <f>IF(ISBLANK('ENGAGEMENTS 2026'!C2384),"",IF(AND(OR($E2384="INFRUCTUEUX",$E2384="ANNULE"),$C2384="AOO-M"),'ENGAGEMENTS 2026'!P2384,IF($H2384="EN COURS DE PREENGAGEMENT",'ENGAGEMENTS 2026'!O2384,IF($H2384="PREENGAGE",IF($E2384="ATTRIBUE",'ENGAGEMENTS 2026'!AE2384,'ENGAGEMENTS 2026'!O2384),'ENGAGEMENTS 2026'!AE2384))))</f>
        <v/>
      </c>
      <c r="K2384" s="604">
        <f>IF(ISBLANK('ENGAGEMENTS 2026'!W2384),"",'ENGAGEMENTS 2026'!W2384)</f>
        <v/>
      </c>
      <c r="L2384" s="276">
        <f>IF($K2384="","",TODAY()-$K2384)</f>
        <v/>
      </c>
      <c r="M2384">
        <f>IF($A2384="","",IF($H2384="ENGAGE","Engagé",IF(AND($H2384="NON ENGAGE",OR($I2384="INFRUCTUEUX",$I2384="ANNULE")),"Clôturé sans suite","En cours")))</f>
        <v/>
      </c>
      <c r="N2384">
        <f>IF(ISBLANK('ENGAGEMENTS 2026'!C2384),"",'ENGAGEMENTS 2026'!L2384)</f>
        <v/>
      </c>
      <c r="O2384">
        <f>IF(ISBLANK('ENGAGEMENTS 2026'!C2384),"",'ENGAGEMENTS 2026'!M2384)</f>
        <v/>
      </c>
      <c r="P2384">
        <f>IF(ISBLANK('ENGAGEMENTS 2026'!C2384),"",'ENGAGEMENTS 2026'!K2384)</f>
        <v/>
      </c>
      <c r="Q2384">
        <f>IF($A2384="","",IF(OR($E2384="INFRUCTUEUX",$E2384="ANNULE"),$A2384&amp;"|"&amp;(COUNTIFS($A$2:$A2384,$A2384,$E$2:$E2384,"INFRUCTUEUX")+COUNTIFS($A$2:$A2384,$A2384,$E$2:$E2384,"ANNULE")),""))</f>
        <v/>
      </c>
    </row>
    <row r="2385">
      <c r="A2385">
        <f>IF(ISBLANK('ENGAGEMENTS 2026'!C2385),"",IF('ENGAGEMENTS 2026'!C2385="DTSI","DCT",'ENGAGEMENTS 2026'!C2385))</f>
        <v/>
      </c>
      <c r="B2385">
        <f>IF(ISBLANK('ENGAGEMENTS 2026'!C2385),"",'ENGAGEMENTS 2026'!D2385)</f>
        <v/>
      </c>
      <c r="C2385">
        <f>IF(ISBLANK('ENGAGEMENTS 2026'!C2385),"",'ENGAGEMENTS 2026'!E2385)</f>
        <v/>
      </c>
      <c r="D2385">
        <f>IF(ISBLANK('ENGAGEMENTS 2026'!C2385),"",'ENGAGEMENTS 2026'!G2385)</f>
        <v/>
      </c>
      <c r="E2385">
        <f>IF(ISBLANK('ENGAGEMENTS 2026'!C2385),"",'ENGAGEMENTS 2026'!I2385)</f>
        <v/>
      </c>
      <c r="F2385">
        <f>IF(ISBLANK('ENGAGEMENTS 2026'!C2385),"",'ENGAGEMENTS 2026'!J2385)</f>
        <v/>
      </c>
      <c r="G2385">
        <f>IF(ISBLANK('ENGAGEMENTS 2026'!C2385),"",'ENGAGEMENTS 2026'!M2385)</f>
        <v/>
      </c>
      <c r="H2385">
        <f>IF(ISBLANK('ENGAGEMENTS 2026'!C2385),"",'ENGAGEMENTS 2026'!AF2385)</f>
        <v/>
      </c>
      <c r="I2385">
        <f>IF(ISBLANK('ENGAGEMENTS 2026'!C2385),"",'ENGAGEMENTS 2026'!H2385)</f>
        <v/>
      </c>
      <c r="J2385" s="275">
        <f>IF(ISBLANK('ENGAGEMENTS 2026'!C2385),"",IF(AND(OR($E2385="INFRUCTUEUX",$E2385="ANNULE"),$C2385="AOO-M"),'ENGAGEMENTS 2026'!P2385,IF($H2385="EN COURS DE PREENGAGEMENT",'ENGAGEMENTS 2026'!O2385,IF($H2385="PREENGAGE",IF($E2385="ATTRIBUE",'ENGAGEMENTS 2026'!AE2385,'ENGAGEMENTS 2026'!O2385),'ENGAGEMENTS 2026'!AE2385))))</f>
        <v/>
      </c>
      <c r="K2385" s="604">
        <f>IF(ISBLANK('ENGAGEMENTS 2026'!W2385),"",'ENGAGEMENTS 2026'!W2385)</f>
        <v/>
      </c>
      <c r="L2385" s="276">
        <f>IF($K2385="","",TODAY()-$K2385)</f>
        <v/>
      </c>
      <c r="M2385">
        <f>IF($A2385="","",IF($H2385="ENGAGE","Engagé",IF(AND($H2385="NON ENGAGE",OR($I2385="INFRUCTUEUX",$I2385="ANNULE")),"Clôturé sans suite","En cours")))</f>
        <v/>
      </c>
      <c r="N2385">
        <f>IF(ISBLANK('ENGAGEMENTS 2026'!C2385),"",'ENGAGEMENTS 2026'!L2385)</f>
        <v/>
      </c>
      <c r="O2385">
        <f>IF(ISBLANK('ENGAGEMENTS 2026'!C2385),"",'ENGAGEMENTS 2026'!M2385)</f>
        <v/>
      </c>
      <c r="P2385">
        <f>IF(ISBLANK('ENGAGEMENTS 2026'!C2385),"",'ENGAGEMENTS 2026'!K2385)</f>
        <v/>
      </c>
      <c r="Q2385">
        <f>IF($A2385="","",IF(OR($E2385="INFRUCTUEUX",$E2385="ANNULE"),$A2385&amp;"|"&amp;(COUNTIFS($A$2:$A2385,$A2385,$E$2:$E2385,"INFRUCTUEUX")+COUNTIFS($A$2:$A2385,$A2385,$E$2:$E2385,"ANNULE")),""))</f>
        <v/>
      </c>
    </row>
    <row r="2386">
      <c r="A2386">
        <f>IF(ISBLANK('ENGAGEMENTS 2026'!C2386),"",IF('ENGAGEMENTS 2026'!C2386="DTSI","DCT",'ENGAGEMENTS 2026'!C2386))</f>
        <v/>
      </c>
      <c r="B2386">
        <f>IF(ISBLANK('ENGAGEMENTS 2026'!C2386),"",'ENGAGEMENTS 2026'!D2386)</f>
        <v/>
      </c>
      <c r="C2386">
        <f>IF(ISBLANK('ENGAGEMENTS 2026'!C2386),"",'ENGAGEMENTS 2026'!E2386)</f>
        <v/>
      </c>
      <c r="D2386">
        <f>IF(ISBLANK('ENGAGEMENTS 2026'!C2386),"",'ENGAGEMENTS 2026'!G2386)</f>
        <v/>
      </c>
      <c r="E2386">
        <f>IF(ISBLANK('ENGAGEMENTS 2026'!C2386),"",'ENGAGEMENTS 2026'!I2386)</f>
        <v/>
      </c>
      <c r="F2386">
        <f>IF(ISBLANK('ENGAGEMENTS 2026'!C2386),"",'ENGAGEMENTS 2026'!J2386)</f>
        <v/>
      </c>
      <c r="G2386">
        <f>IF(ISBLANK('ENGAGEMENTS 2026'!C2386),"",'ENGAGEMENTS 2026'!M2386)</f>
        <v/>
      </c>
      <c r="H2386">
        <f>IF(ISBLANK('ENGAGEMENTS 2026'!C2386),"",'ENGAGEMENTS 2026'!AF2386)</f>
        <v/>
      </c>
      <c r="I2386">
        <f>IF(ISBLANK('ENGAGEMENTS 2026'!C2386),"",'ENGAGEMENTS 2026'!H2386)</f>
        <v/>
      </c>
      <c r="J2386" s="275">
        <f>IF(ISBLANK('ENGAGEMENTS 2026'!C2386),"",IF(AND(OR($E2386="INFRUCTUEUX",$E2386="ANNULE"),$C2386="AOO-M"),'ENGAGEMENTS 2026'!P2386,IF($H2386="EN COURS DE PREENGAGEMENT",'ENGAGEMENTS 2026'!O2386,IF($H2386="PREENGAGE",IF($E2386="ATTRIBUE",'ENGAGEMENTS 2026'!AE2386,'ENGAGEMENTS 2026'!O2386),'ENGAGEMENTS 2026'!AE2386))))</f>
        <v/>
      </c>
      <c r="K2386" s="604">
        <f>IF(ISBLANK('ENGAGEMENTS 2026'!W2386),"",'ENGAGEMENTS 2026'!W2386)</f>
        <v/>
      </c>
      <c r="L2386" s="276">
        <f>IF($K2386="","",TODAY()-$K2386)</f>
        <v/>
      </c>
      <c r="M2386">
        <f>IF($A2386="","",IF($H2386="ENGAGE","Engagé",IF(AND($H2386="NON ENGAGE",OR($I2386="INFRUCTUEUX",$I2386="ANNULE")),"Clôturé sans suite","En cours")))</f>
        <v/>
      </c>
      <c r="N2386">
        <f>IF(ISBLANK('ENGAGEMENTS 2026'!C2386),"",'ENGAGEMENTS 2026'!L2386)</f>
        <v/>
      </c>
      <c r="O2386">
        <f>IF(ISBLANK('ENGAGEMENTS 2026'!C2386),"",'ENGAGEMENTS 2026'!M2386)</f>
        <v/>
      </c>
      <c r="P2386">
        <f>IF(ISBLANK('ENGAGEMENTS 2026'!C2386),"",'ENGAGEMENTS 2026'!K2386)</f>
        <v/>
      </c>
      <c r="Q2386">
        <f>IF($A2386="","",IF(OR($E2386="INFRUCTUEUX",$E2386="ANNULE"),$A2386&amp;"|"&amp;(COUNTIFS($A$2:$A2386,$A2386,$E$2:$E2386,"INFRUCTUEUX")+COUNTIFS($A$2:$A2386,$A2386,$E$2:$E2386,"ANNULE")),""))</f>
        <v/>
      </c>
    </row>
    <row r="2387">
      <c r="A2387">
        <f>IF(ISBLANK('ENGAGEMENTS 2026'!C2387),"",IF('ENGAGEMENTS 2026'!C2387="DTSI","DCT",'ENGAGEMENTS 2026'!C2387))</f>
        <v/>
      </c>
      <c r="B2387">
        <f>IF(ISBLANK('ENGAGEMENTS 2026'!C2387),"",'ENGAGEMENTS 2026'!D2387)</f>
        <v/>
      </c>
      <c r="C2387">
        <f>IF(ISBLANK('ENGAGEMENTS 2026'!C2387),"",'ENGAGEMENTS 2026'!E2387)</f>
        <v/>
      </c>
      <c r="D2387">
        <f>IF(ISBLANK('ENGAGEMENTS 2026'!C2387),"",'ENGAGEMENTS 2026'!G2387)</f>
        <v/>
      </c>
      <c r="E2387">
        <f>IF(ISBLANK('ENGAGEMENTS 2026'!C2387),"",'ENGAGEMENTS 2026'!I2387)</f>
        <v/>
      </c>
      <c r="F2387">
        <f>IF(ISBLANK('ENGAGEMENTS 2026'!C2387),"",'ENGAGEMENTS 2026'!J2387)</f>
        <v/>
      </c>
      <c r="G2387">
        <f>IF(ISBLANK('ENGAGEMENTS 2026'!C2387),"",'ENGAGEMENTS 2026'!M2387)</f>
        <v/>
      </c>
      <c r="H2387">
        <f>IF(ISBLANK('ENGAGEMENTS 2026'!C2387),"",'ENGAGEMENTS 2026'!AF2387)</f>
        <v/>
      </c>
      <c r="I2387">
        <f>IF(ISBLANK('ENGAGEMENTS 2026'!C2387),"",'ENGAGEMENTS 2026'!H2387)</f>
        <v/>
      </c>
      <c r="J2387" s="275">
        <f>IF(ISBLANK('ENGAGEMENTS 2026'!C2387),"",IF(AND(OR($E2387="INFRUCTUEUX",$E2387="ANNULE"),$C2387="AOO-M"),'ENGAGEMENTS 2026'!P2387,IF($H2387="EN COURS DE PREENGAGEMENT",'ENGAGEMENTS 2026'!O2387,IF($H2387="PREENGAGE",IF($E2387="ATTRIBUE",'ENGAGEMENTS 2026'!AE2387,'ENGAGEMENTS 2026'!O2387),'ENGAGEMENTS 2026'!AE2387))))</f>
        <v/>
      </c>
      <c r="K2387" s="604">
        <f>IF(ISBLANK('ENGAGEMENTS 2026'!W2387),"",'ENGAGEMENTS 2026'!W2387)</f>
        <v/>
      </c>
      <c r="L2387" s="276">
        <f>IF($K2387="","",TODAY()-$K2387)</f>
        <v/>
      </c>
      <c r="M2387">
        <f>IF($A2387="","",IF($H2387="ENGAGE","Engagé",IF(AND($H2387="NON ENGAGE",OR($I2387="INFRUCTUEUX",$I2387="ANNULE")),"Clôturé sans suite","En cours")))</f>
        <v/>
      </c>
      <c r="N2387">
        <f>IF(ISBLANK('ENGAGEMENTS 2026'!C2387),"",'ENGAGEMENTS 2026'!L2387)</f>
        <v/>
      </c>
      <c r="O2387">
        <f>IF(ISBLANK('ENGAGEMENTS 2026'!C2387),"",'ENGAGEMENTS 2026'!M2387)</f>
        <v/>
      </c>
      <c r="P2387">
        <f>IF(ISBLANK('ENGAGEMENTS 2026'!C2387),"",'ENGAGEMENTS 2026'!K2387)</f>
        <v/>
      </c>
      <c r="Q2387">
        <f>IF($A2387="","",IF(OR($E2387="INFRUCTUEUX",$E2387="ANNULE"),$A2387&amp;"|"&amp;(COUNTIFS($A$2:$A2387,$A2387,$E$2:$E2387,"INFRUCTUEUX")+COUNTIFS($A$2:$A2387,$A2387,$E$2:$E2387,"ANNULE")),""))</f>
        <v/>
      </c>
    </row>
    <row r="2388">
      <c r="A2388">
        <f>IF(ISBLANK('ENGAGEMENTS 2026'!C2388),"",IF('ENGAGEMENTS 2026'!C2388="DTSI","DCT",'ENGAGEMENTS 2026'!C2388))</f>
        <v/>
      </c>
      <c r="B2388">
        <f>IF(ISBLANK('ENGAGEMENTS 2026'!C2388),"",'ENGAGEMENTS 2026'!D2388)</f>
        <v/>
      </c>
      <c r="C2388">
        <f>IF(ISBLANK('ENGAGEMENTS 2026'!C2388),"",'ENGAGEMENTS 2026'!E2388)</f>
        <v/>
      </c>
      <c r="D2388">
        <f>IF(ISBLANK('ENGAGEMENTS 2026'!C2388),"",'ENGAGEMENTS 2026'!G2388)</f>
        <v/>
      </c>
      <c r="E2388">
        <f>IF(ISBLANK('ENGAGEMENTS 2026'!C2388),"",'ENGAGEMENTS 2026'!I2388)</f>
        <v/>
      </c>
      <c r="F2388">
        <f>IF(ISBLANK('ENGAGEMENTS 2026'!C2388),"",'ENGAGEMENTS 2026'!J2388)</f>
        <v/>
      </c>
      <c r="G2388">
        <f>IF(ISBLANK('ENGAGEMENTS 2026'!C2388),"",'ENGAGEMENTS 2026'!M2388)</f>
        <v/>
      </c>
      <c r="H2388">
        <f>IF(ISBLANK('ENGAGEMENTS 2026'!C2388),"",'ENGAGEMENTS 2026'!AF2388)</f>
        <v/>
      </c>
      <c r="I2388">
        <f>IF(ISBLANK('ENGAGEMENTS 2026'!C2388),"",'ENGAGEMENTS 2026'!H2388)</f>
        <v/>
      </c>
      <c r="J2388" s="275">
        <f>IF(ISBLANK('ENGAGEMENTS 2026'!C2388),"",IF(AND(OR($E2388="INFRUCTUEUX",$E2388="ANNULE"),$C2388="AOO-M"),'ENGAGEMENTS 2026'!P2388,IF($H2388="EN COURS DE PREENGAGEMENT",'ENGAGEMENTS 2026'!O2388,IF($H2388="PREENGAGE",IF($E2388="ATTRIBUE",'ENGAGEMENTS 2026'!AE2388,'ENGAGEMENTS 2026'!O2388),'ENGAGEMENTS 2026'!AE2388))))</f>
        <v/>
      </c>
      <c r="K2388" s="604">
        <f>IF(ISBLANK('ENGAGEMENTS 2026'!W2388),"",'ENGAGEMENTS 2026'!W2388)</f>
        <v/>
      </c>
      <c r="L2388" s="276">
        <f>IF($K2388="","",TODAY()-$K2388)</f>
        <v/>
      </c>
      <c r="M2388">
        <f>IF($A2388="","",IF($H2388="ENGAGE","Engagé",IF(AND($H2388="NON ENGAGE",OR($I2388="INFRUCTUEUX",$I2388="ANNULE")),"Clôturé sans suite","En cours")))</f>
        <v/>
      </c>
      <c r="N2388">
        <f>IF(ISBLANK('ENGAGEMENTS 2026'!C2388),"",'ENGAGEMENTS 2026'!L2388)</f>
        <v/>
      </c>
      <c r="O2388">
        <f>IF(ISBLANK('ENGAGEMENTS 2026'!C2388),"",'ENGAGEMENTS 2026'!M2388)</f>
        <v/>
      </c>
      <c r="P2388">
        <f>IF(ISBLANK('ENGAGEMENTS 2026'!C2388),"",'ENGAGEMENTS 2026'!K2388)</f>
        <v/>
      </c>
      <c r="Q2388">
        <f>IF($A2388="","",IF(OR($E2388="INFRUCTUEUX",$E2388="ANNULE"),$A2388&amp;"|"&amp;(COUNTIFS($A$2:$A2388,$A2388,$E$2:$E2388,"INFRUCTUEUX")+COUNTIFS($A$2:$A2388,$A2388,$E$2:$E2388,"ANNULE")),""))</f>
        <v/>
      </c>
    </row>
    <row r="2389">
      <c r="A2389">
        <f>IF(ISBLANK('ENGAGEMENTS 2026'!C2389),"",IF('ENGAGEMENTS 2026'!C2389="DTSI","DCT",'ENGAGEMENTS 2026'!C2389))</f>
        <v/>
      </c>
      <c r="B2389">
        <f>IF(ISBLANK('ENGAGEMENTS 2026'!C2389),"",'ENGAGEMENTS 2026'!D2389)</f>
        <v/>
      </c>
      <c r="C2389">
        <f>IF(ISBLANK('ENGAGEMENTS 2026'!C2389),"",'ENGAGEMENTS 2026'!E2389)</f>
        <v/>
      </c>
      <c r="D2389">
        <f>IF(ISBLANK('ENGAGEMENTS 2026'!C2389),"",'ENGAGEMENTS 2026'!G2389)</f>
        <v/>
      </c>
      <c r="E2389">
        <f>IF(ISBLANK('ENGAGEMENTS 2026'!C2389),"",'ENGAGEMENTS 2026'!I2389)</f>
        <v/>
      </c>
      <c r="F2389">
        <f>IF(ISBLANK('ENGAGEMENTS 2026'!C2389),"",'ENGAGEMENTS 2026'!J2389)</f>
        <v/>
      </c>
      <c r="G2389">
        <f>IF(ISBLANK('ENGAGEMENTS 2026'!C2389),"",'ENGAGEMENTS 2026'!M2389)</f>
        <v/>
      </c>
      <c r="H2389">
        <f>IF(ISBLANK('ENGAGEMENTS 2026'!C2389),"",'ENGAGEMENTS 2026'!AF2389)</f>
        <v/>
      </c>
      <c r="I2389">
        <f>IF(ISBLANK('ENGAGEMENTS 2026'!C2389),"",'ENGAGEMENTS 2026'!H2389)</f>
        <v/>
      </c>
      <c r="J2389" s="275">
        <f>IF(ISBLANK('ENGAGEMENTS 2026'!C2389),"",IF(AND(OR($E2389="INFRUCTUEUX",$E2389="ANNULE"),$C2389="AOO-M"),'ENGAGEMENTS 2026'!P2389,IF($H2389="EN COURS DE PREENGAGEMENT",'ENGAGEMENTS 2026'!O2389,IF($H2389="PREENGAGE",IF($E2389="ATTRIBUE",'ENGAGEMENTS 2026'!AE2389,'ENGAGEMENTS 2026'!O2389),'ENGAGEMENTS 2026'!AE2389))))</f>
        <v/>
      </c>
      <c r="K2389" s="604">
        <f>IF(ISBLANK('ENGAGEMENTS 2026'!W2389),"",'ENGAGEMENTS 2026'!W2389)</f>
        <v/>
      </c>
      <c r="L2389" s="276">
        <f>IF($K2389="","",TODAY()-$K2389)</f>
        <v/>
      </c>
      <c r="M2389">
        <f>IF($A2389="","",IF($H2389="ENGAGE","Engagé",IF(AND($H2389="NON ENGAGE",OR($I2389="INFRUCTUEUX",$I2389="ANNULE")),"Clôturé sans suite","En cours")))</f>
        <v/>
      </c>
      <c r="N2389">
        <f>IF(ISBLANK('ENGAGEMENTS 2026'!C2389),"",'ENGAGEMENTS 2026'!L2389)</f>
        <v/>
      </c>
      <c r="O2389">
        <f>IF(ISBLANK('ENGAGEMENTS 2026'!C2389),"",'ENGAGEMENTS 2026'!M2389)</f>
        <v/>
      </c>
      <c r="P2389">
        <f>IF(ISBLANK('ENGAGEMENTS 2026'!C2389),"",'ENGAGEMENTS 2026'!K2389)</f>
        <v/>
      </c>
      <c r="Q2389">
        <f>IF($A2389="","",IF(OR($E2389="INFRUCTUEUX",$E2389="ANNULE"),$A2389&amp;"|"&amp;(COUNTIFS($A$2:$A2389,$A2389,$E$2:$E2389,"INFRUCTUEUX")+COUNTIFS($A$2:$A2389,$A2389,$E$2:$E2389,"ANNULE")),""))</f>
        <v/>
      </c>
    </row>
    <row r="2390">
      <c r="A2390">
        <f>IF(ISBLANK('ENGAGEMENTS 2026'!C2390),"",IF('ENGAGEMENTS 2026'!C2390="DTSI","DCT",'ENGAGEMENTS 2026'!C2390))</f>
        <v/>
      </c>
      <c r="B2390">
        <f>IF(ISBLANK('ENGAGEMENTS 2026'!C2390),"",'ENGAGEMENTS 2026'!D2390)</f>
        <v/>
      </c>
      <c r="C2390">
        <f>IF(ISBLANK('ENGAGEMENTS 2026'!C2390),"",'ENGAGEMENTS 2026'!E2390)</f>
        <v/>
      </c>
      <c r="D2390">
        <f>IF(ISBLANK('ENGAGEMENTS 2026'!C2390),"",'ENGAGEMENTS 2026'!G2390)</f>
        <v/>
      </c>
      <c r="E2390">
        <f>IF(ISBLANK('ENGAGEMENTS 2026'!C2390),"",'ENGAGEMENTS 2026'!I2390)</f>
        <v/>
      </c>
      <c r="F2390">
        <f>IF(ISBLANK('ENGAGEMENTS 2026'!C2390),"",'ENGAGEMENTS 2026'!J2390)</f>
        <v/>
      </c>
      <c r="G2390">
        <f>IF(ISBLANK('ENGAGEMENTS 2026'!C2390),"",'ENGAGEMENTS 2026'!M2390)</f>
        <v/>
      </c>
      <c r="H2390">
        <f>IF(ISBLANK('ENGAGEMENTS 2026'!C2390),"",'ENGAGEMENTS 2026'!AF2390)</f>
        <v/>
      </c>
      <c r="I2390">
        <f>IF(ISBLANK('ENGAGEMENTS 2026'!C2390),"",'ENGAGEMENTS 2026'!H2390)</f>
        <v/>
      </c>
      <c r="J2390" s="275">
        <f>IF(ISBLANK('ENGAGEMENTS 2026'!C2390),"",IF(AND(OR($E2390="INFRUCTUEUX",$E2390="ANNULE"),$C2390="AOO-M"),'ENGAGEMENTS 2026'!P2390,IF($H2390="EN COURS DE PREENGAGEMENT",'ENGAGEMENTS 2026'!O2390,IF($H2390="PREENGAGE",IF($E2390="ATTRIBUE",'ENGAGEMENTS 2026'!AE2390,'ENGAGEMENTS 2026'!O2390),'ENGAGEMENTS 2026'!AE2390))))</f>
        <v/>
      </c>
      <c r="K2390" s="604">
        <f>IF(ISBLANK('ENGAGEMENTS 2026'!W2390),"",'ENGAGEMENTS 2026'!W2390)</f>
        <v/>
      </c>
      <c r="L2390" s="276">
        <f>IF($K2390="","",TODAY()-$K2390)</f>
        <v/>
      </c>
      <c r="M2390">
        <f>IF($A2390="","",IF($H2390="ENGAGE","Engagé",IF(AND($H2390="NON ENGAGE",OR($I2390="INFRUCTUEUX",$I2390="ANNULE")),"Clôturé sans suite","En cours")))</f>
        <v/>
      </c>
      <c r="N2390">
        <f>IF(ISBLANK('ENGAGEMENTS 2026'!C2390),"",'ENGAGEMENTS 2026'!L2390)</f>
        <v/>
      </c>
      <c r="O2390">
        <f>IF(ISBLANK('ENGAGEMENTS 2026'!C2390),"",'ENGAGEMENTS 2026'!M2390)</f>
        <v/>
      </c>
      <c r="P2390">
        <f>IF(ISBLANK('ENGAGEMENTS 2026'!C2390),"",'ENGAGEMENTS 2026'!K2390)</f>
        <v/>
      </c>
      <c r="Q2390">
        <f>IF($A2390="","",IF(OR($E2390="INFRUCTUEUX",$E2390="ANNULE"),$A2390&amp;"|"&amp;(COUNTIFS($A$2:$A2390,$A2390,$E$2:$E2390,"INFRUCTUEUX")+COUNTIFS($A$2:$A2390,$A2390,$E$2:$E2390,"ANNULE")),""))</f>
        <v/>
      </c>
    </row>
    <row r="2391">
      <c r="A2391">
        <f>IF(ISBLANK('ENGAGEMENTS 2026'!C2391),"",IF('ENGAGEMENTS 2026'!C2391="DTSI","DCT",'ENGAGEMENTS 2026'!C2391))</f>
        <v/>
      </c>
      <c r="B2391">
        <f>IF(ISBLANK('ENGAGEMENTS 2026'!C2391),"",'ENGAGEMENTS 2026'!D2391)</f>
        <v/>
      </c>
      <c r="C2391">
        <f>IF(ISBLANK('ENGAGEMENTS 2026'!C2391),"",'ENGAGEMENTS 2026'!E2391)</f>
        <v/>
      </c>
      <c r="D2391">
        <f>IF(ISBLANK('ENGAGEMENTS 2026'!C2391),"",'ENGAGEMENTS 2026'!G2391)</f>
        <v/>
      </c>
      <c r="E2391">
        <f>IF(ISBLANK('ENGAGEMENTS 2026'!C2391),"",'ENGAGEMENTS 2026'!I2391)</f>
        <v/>
      </c>
      <c r="F2391">
        <f>IF(ISBLANK('ENGAGEMENTS 2026'!C2391),"",'ENGAGEMENTS 2026'!J2391)</f>
        <v/>
      </c>
      <c r="G2391">
        <f>IF(ISBLANK('ENGAGEMENTS 2026'!C2391),"",'ENGAGEMENTS 2026'!M2391)</f>
        <v/>
      </c>
      <c r="H2391">
        <f>IF(ISBLANK('ENGAGEMENTS 2026'!C2391),"",'ENGAGEMENTS 2026'!AF2391)</f>
        <v/>
      </c>
      <c r="I2391">
        <f>IF(ISBLANK('ENGAGEMENTS 2026'!C2391),"",'ENGAGEMENTS 2026'!H2391)</f>
        <v/>
      </c>
      <c r="J2391" s="275">
        <f>IF(ISBLANK('ENGAGEMENTS 2026'!C2391),"",IF(AND(OR($E2391="INFRUCTUEUX",$E2391="ANNULE"),$C2391="AOO-M"),'ENGAGEMENTS 2026'!P2391,IF($H2391="EN COURS DE PREENGAGEMENT",'ENGAGEMENTS 2026'!O2391,IF($H2391="PREENGAGE",IF($E2391="ATTRIBUE",'ENGAGEMENTS 2026'!AE2391,'ENGAGEMENTS 2026'!O2391),'ENGAGEMENTS 2026'!AE2391))))</f>
        <v/>
      </c>
      <c r="K2391" s="604">
        <f>IF(ISBLANK('ENGAGEMENTS 2026'!W2391),"",'ENGAGEMENTS 2026'!W2391)</f>
        <v/>
      </c>
      <c r="L2391" s="276">
        <f>IF($K2391="","",TODAY()-$K2391)</f>
        <v/>
      </c>
      <c r="M2391">
        <f>IF($A2391="","",IF($H2391="ENGAGE","Engagé",IF(AND($H2391="NON ENGAGE",OR($I2391="INFRUCTUEUX",$I2391="ANNULE")),"Clôturé sans suite","En cours")))</f>
        <v/>
      </c>
      <c r="N2391">
        <f>IF(ISBLANK('ENGAGEMENTS 2026'!C2391),"",'ENGAGEMENTS 2026'!L2391)</f>
        <v/>
      </c>
      <c r="O2391">
        <f>IF(ISBLANK('ENGAGEMENTS 2026'!C2391),"",'ENGAGEMENTS 2026'!M2391)</f>
        <v/>
      </c>
      <c r="P2391">
        <f>IF(ISBLANK('ENGAGEMENTS 2026'!C2391),"",'ENGAGEMENTS 2026'!K2391)</f>
        <v/>
      </c>
      <c r="Q2391">
        <f>IF($A2391="","",IF(OR($E2391="INFRUCTUEUX",$E2391="ANNULE"),$A2391&amp;"|"&amp;(COUNTIFS($A$2:$A2391,$A2391,$E$2:$E2391,"INFRUCTUEUX")+COUNTIFS($A$2:$A2391,$A2391,$E$2:$E2391,"ANNULE")),""))</f>
        <v/>
      </c>
    </row>
    <row r="2392">
      <c r="A2392">
        <f>IF(ISBLANK('ENGAGEMENTS 2026'!C2392),"",IF('ENGAGEMENTS 2026'!C2392="DTSI","DCT",'ENGAGEMENTS 2026'!C2392))</f>
        <v/>
      </c>
      <c r="B2392">
        <f>IF(ISBLANK('ENGAGEMENTS 2026'!C2392),"",'ENGAGEMENTS 2026'!D2392)</f>
        <v/>
      </c>
      <c r="C2392">
        <f>IF(ISBLANK('ENGAGEMENTS 2026'!C2392),"",'ENGAGEMENTS 2026'!E2392)</f>
        <v/>
      </c>
      <c r="D2392">
        <f>IF(ISBLANK('ENGAGEMENTS 2026'!C2392),"",'ENGAGEMENTS 2026'!G2392)</f>
        <v/>
      </c>
      <c r="E2392">
        <f>IF(ISBLANK('ENGAGEMENTS 2026'!C2392),"",'ENGAGEMENTS 2026'!I2392)</f>
        <v/>
      </c>
      <c r="F2392">
        <f>IF(ISBLANK('ENGAGEMENTS 2026'!C2392),"",'ENGAGEMENTS 2026'!J2392)</f>
        <v/>
      </c>
      <c r="G2392">
        <f>IF(ISBLANK('ENGAGEMENTS 2026'!C2392),"",'ENGAGEMENTS 2026'!M2392)</f>
        <v/>
      </c>
      <c r="H2392">
        <f>IF(ISBLANK('ENGAGEMENTS 2026'!C2392),"",'ENGAGEMENTS 2026'!AF2392)</f>
        <v/>
      </c>
      <c r="I2392">
        <f>IF(ISBLANK('ENGAGEMENTS 2026'!C2392),"",'ENGAGEMENTS 2026'!H2392)</f>
        <v/>
      </c>
      <c r="J2392" s="275">
        <f>IF(ISBLANK('ENGAGEMENTS 2026'!C2392),"",IF(AND(OR($E2392="INFRUCTUEUX",$E2392="ANNULE"),$C2392="AOO-M"),'ENGAGEMENTS 2026'!P2392,IF($H2392="EN COURS DE PREENGAGEMENT",'ENGAGEMENTS 2026'!O2392,IF($H2392="PREENGAGE",IF($E2392="ATTRIBUE",'ENGAGEMENTS 2026'!AE2392,'ENGAGEMENTS 2026'!O2392),'ENGAGEMENTS 2026'!AE2392))))</f>
        <v/>
      </c>
      <c r="K2392" s="604">
        <f>IF(ISBLANK('ENGAGEMENTS 2026'!W2392),"",'ENGAGEMENTS 2026'!W2392)</f>
        <v/>
      </c>
      <c r="L2392" s="276">
        <f>IF($K2392="","",TODAY()-$K2392)</f>
        <v/>
      </c>
      <c r="M2392">
        <f>IF($A2392="","",IF($H2392="ENGAGE","Engagé",IF(AND($H2392="NON ENGAGE",OR($I2392="INFRUCTUEUX",$I2392="ANNULE")),"Clôturé sans suite","En cours")))</f>
        <v/>
      </c>
      <c r="N2392">
        <f>IF(ISBLANK('ENGAGEMENTS 2026'!C2392),"",'ENGAGEMENTS 2026'!L2392)</f>
        <v/>
      </c>
      <c r="O2392">
        <f>IF(ISBLANK('ENGAGEMENTS 2026'!C2392),"",'ENGAGEMENTS 2026'!M2392)</f>
        <v/>
      </c>
      <c r="P2392">
        <f>IF(ISBLANK('ENGAGEMENTS 2026'!C2392),"",'ENGAGEMENTS 2026'!K2392)</f>
        <v/>
      </c>
      <c r="Q2392">
        <f>IF($A2392="","",IF(OR($E2392="INFRUCTUEUX",$E2392="ANNULE"),$A2392&amp;"|"&amp;(COUNTIFS($A$2:$A2392,$A2392,$E$2:$E2392,"INFRUCTUEUX")+COUNTIFS($A$2:$A2392,$A2392,$E$2:$E2392,"ANNULE")),""))</f>
        <v/>
      </c>
    </row>
    <row r="2393">
      <c r="A2393">
        <f>IF(ISBLANK('ENGAGEMENTS 2026'!C2393),"",IF('ENGAGEMENTS 2026'!C2393="DTSI","DCT",'ENGAGEMENTS 2026'!C2393))</f>
        <v/>
      </c>
      <c r="B2393">
        <f>IF(ISBLANK('ENGAGEMENTS 2026'!C2393),"",'ENGAGEMENTS 2026'!D2393)</f>
        <v/>
      </c>
      <c r="C2393">
        <f>IF(ISBLANK('ENGAGEMENTS 2026'!C2393),"",'ENGAGEMENTS 2026'!E2393)</f>
        <v/>
      </c>
      <c r="D2393">
        <f>IF(ISBLANK('ENGAGEMENTS 2026'!C2393),"",'ENGAGEMENTS 2026'!G2393)</f>
        <v/>
      </c>
      <c r="E2393">
        <f>IF(ISBLANK('ENGAGEMENTS 2026'!C2393),"",'ENGAGEMENTS 2026'!I2393)</f>
        <v/>
      </c>
      <c r="F2393">
        <f>IF(ISBLANK('ENGAGEMENTS 2026'!C2393),"",'ENGAGEMENTS 2026'!J2393)</f>
        <v/>
      </c>
      <c r="G2393">
        <f>IF(ISBLANK('ENGAGEMENTS 2026'!C2393),"",'ENGAGEMENTS 2026'!M2393)</f>
        <v/>
      </c>
      <c r="H2393">
        <f>IF(ISBLANK('ENGAGEMENTS 2026'!C2393),"",'ENGAGEMENTS 2026'!AF2393)</f>
        <v/>
      </c>
      <c r="I2393">
        <f>IF(ISBLANK('ENGAGEMENTS 2026'!C2393),"",'ENGAGEMENTS 2026'!H2393)</f>
        <v/>
      </c>
      <c r="J2393" s="275">
        <f>IF(ISBLANK('ENGAGEMENTS 2026'!C2393),"",IF(AND(OR($E2393="INFRUCTUEUX",$E2393="ANNULE"),$C2393="AOO-M"),'ENGAGEMENTS 2026'!P2393,IF($H2393="EN COURS DE PREENGAGEMENT",'ENGAGEMENTS 2026'!O2393,IF($H2393="PREENGAGE",IF($E2393="ATTRIBUE",'ENGAGEMENTS 2026'!AE2393,'ENGAGEMENTS 2026'!O2393),'ENGAGEMENTS 2026'!AE2393))))</f>
        <v/>
      </c>
      <c r="K2393" s="604">
        <f>IF(ISBLANK('ENGAGEMENTS 2026'!W2393),"",'ENGAGEMENTS 2026'!W2393)</f>
        <v/>
      </c>
      <c r="L2393" s="276">
        <f>IF($K2393="","",TODAY()-$K2393)</f>
        <v/>
      </c>
      <c r="M2393">
        <f>IF($A2393="","",IF($H2393="ENGAGE","Engagé",IF(AND($H2393="NON ENGAGE",OR($I2393="INFRUCTUEUX",$I2393="ANNULE")),"Clôturé sans suite","En cours")))</f>
        <v/>
      </c>
      <c r="N2393">
        <f>IF(ISBLANK('ENGAGEMENTS 2026'!C2393),"",'ENGAGEMENTS 2026'!L2393)</f>
        <v/>
      </c>
      <c r="O2393">
        <f>IF(ISBLANK('ENGAGEMENTS 2026'!C2393),"",'ENGAGEMENTS 2026'!M2393)</f>
        <v/>
      </c>
      <c r="P2393">
        <f>IF(ISBLANK('ENGAGEMENTS 2026'!C2393),"",'ENGAGEMENTS 2026'!K2393)</f>
        <v/>
      </c>
      <c r="Q2393">
        <f>IF($A2393="","",IF(OR($E2393="INFRUCTUEUX",$E2393="ANNULE"),$A2393&amp;"|"&amp;(COUNTIFS($A$2:$A2393,$A2393,$E$2:$E2393,"INFRUCTUEUX")+COUNTIFS($A$2:$A2393,$A2393,$E$2:$E2393,"ANNULE")),""))</f>
        <v/>
      </c>
    </row>
    <row r="2394">
      <c r="A2394">
        <f>IF(ISBLANK('ENGAGEMENTS 2026'!C2394),"",IF('ENGAGEMENTS 2026'!C2394="DTSI","DCT",'ENGAGEMENTS 2026'!C2394))</f>
        <v/>
      </c>
      <c r="B2394">
        <f>IF(ISBLANK('ENGAGEMENTS 2026'!C2394),"",'ENGAGEMENTS 2026'!D2394)</f>
        <v/>
      </c>
      <c r="C2394">
        <f>IF(ISBLANK('ENGAGEMENTS 2026'!C2394),"",'ENGAGEMENTS 2026'!E2394)</f>
        <v/>
      </c>
      <c r="D2394">
        <f>IF(ISBLANK('ENGAGEMENTS 2026'!C2394),"",'ENGAGEMENTS 2026'!G2394)</f>
        <v/>
      </c>
      <c r="E2394">
        <f>IF(ISBLANK('ENGAGEMENTS 2026'!C2394),"",'ENGAGEMENTS 2026'!I2394)</f>
        <v/>
      </c>
      <c r="F2394">
        <f>IF(ISBLANK('ENGAGEMENTS 2026'!C2394),"",'ENGAGEMENTS 2026'!J2394)</f>
        <v/>
      </c>
      <c r="G2394">
        <f>IF(ISBLANK('ENGAGEMENTS 2026'!C2394),"",'ENGAGEMENTS 2026'!M2394)</f>
        <v/>
      </c>
      <c r="H2394">
        <f>IF(ISBLANK('ENGAGEMENTS 2026'!C2394),"",'ENGAGEMENTS 2026'!AF2394)</f>
        <v/>
      </c>
      <c r="I2394">
        <f>IF(ISBLANK('ENGAGEMENTS 2026'!C2394),"",'ENGAGEMENTS 2026'!H2394)</f>
        <v/>
      </c>
      <c r="J2394" s="275">
        <f>IF(ISBLANK('ENGAGEMENTS 2026'!C2394),"",IF(AND(OR($E2394="INFRUCTUEUX",$E2394="ANNULE"),$C2394="AOO-M"),'ENGAGEMENTS 2026'!P2394,IF($H2394="EN COURS DE PREENGAGEMENT",'ENGAGEMENTS 2026'!O2394,IF($H2394="PREENGAGE",IF($E2394="ATTRIBUE",'ENGAGEMENTS 2026'!AE2394,'ENGAGEMENTS 2026'!O2394),'ENGAGEMENTS 2026'!AE2394))))</f>
        <v/>
      </c>
      <c r="K2394" s="604">
        <f>IF(ISBLANK('ENGAGEMENTS 2026'!W2394),"",'ENGAGEMENTS 2026'!W2394)</f>
        <v/>
      </c>
      <c r="L2394" s="276">
        <f>IF($K2394="","",TODAY()-$K2394)</f>
        <v/>
      </c>
      <c r="M2394">
        <f>IF($A2394="","",IF($H2394="ENGAGE","Engagé",IF(AND($H2394="NON ENGAGE",OR($I2394="INFRUCTUEUX",$I2394="ANNULE")),"Clôturé sans suite","En cours")))</f>
        <v/>
      </c>
      <c r="N2394">
        <f>IF(ISBLANK('ENGAGEMENTS 2026'!C2394),"",'ENGAGEMENTS 2026'!L2394)</f>
        <v/>
      </c>
      <c r="O2394">
        <f>IF(ISBLANK('ENGAGEMENTS 2026'!C2394),"",'ENGAGEMENTS 2026'!M2394)</f>
        <v/>
      </c>
      <c r="P2394">
        <f>IF(ISBLANK('ENGAGEMENTS 2026'!C2394),"",'ENGAGEMENTS 2026'!K2394)</f>
        <v/>
      </c>
      <c r="Q2394">
        <f>IF($A2394="","",IF(OR($E2394="INFRUCTUEUX",$E2394="ANNULE"),$A2394&amp;"|"&amp;(COUNTIFS($A$2:$A2394,$A2394,$E$2:$E2394,"INFRUCTUEUX")+COUNTIFS($A$2:$A2394,$A2394,$E$2:$E2394,"ANNULE")),""))</f>
        <v/>
      </c>
    </row>
    <row r="2395">
      <c r="A2395">
        <f>IF(ISBLANK('ENGAGEMENTS 2026'!C2395),"",IF('ENGAGEMENTS 2026'!C2395="DTSI","DCT",'ENGAGEMENTS 2026'!C2395))</f>
        <v/>
      </c>
      <c r="B2395">
        <f>IF(ISBLANK('ENGAGEMENTS 2026'!C2395),"",'ENGAGEMENTS 2026'!D2395)</f>
        <v/>
      </c>
      <c r="C2395">
        <f>IF(ISBLANK('ENGAGEMENTS 2026'!C2395),"",'ENGAGEMENTS 2026'!E2395)</f>
        <v/>
      </c>
      <c r="D2395">
        <f>IF(ISBLANK('ENGAGEMENTS 2026'!C2395),"",'ENGAGEMENTS 2026'!G2395)</f>
        <v/>
      </c>
      <c r="E2395">
        <f>IF(ISBLANK('ENGAGEMENTS 2026'!C2395),"",'ENGAGEMENTS 2026'!I2395)</f>
        <v/>
      </c>
      <c r="F2395">
        <f>IF(ISBLANK('ENGAGEMENTS 2026'!C2395),"",'ENGAGEMENTS 2026'!J2395)</f>
        <v/>
      </c>
      <c r="G2395">
        <f>IF(ISBLANK('ENGAGEMENTS 2026'!C2395),"",'ENGAGEMENTS 2026'!M2395)</f>
        <v/>
      </c>
      <c r="H2395">
        <f>IF(ISBLANK('ENGAGEMENTS 2026'!C2395),"",'ENGAGEMENTS 2026'!AF2395)</f>
        <v/>
      </c>
      <c r="I2395">
        <f>IF(ISBLANK('ENGAGEMENTS 2026'!C2395),"",'ENGAGEMENTS 2026'!H2395)</f>
        <v/>
      </c>
      <c r="J2395" s="275">
        <f>IF(ISBLANK('ENGAGEMENTS 2026'!C2395),"",IF(AND(OR($E2395="INFRUCTUEUX",$E2395="ANNULE"),$C2395="AOO-M"),'ENGAGEMENTS 2026'!P2395,IF($H2395="EN COURS DE PREENGAGEMENT",'ENGAGEMENTS 2026'!O2395,IF($H2395="PREENGAGE",IF($E2395="ATTRIBUE",'ENGAGEMENTS 2026'!AE2395,'ENGAGEMENTS 2026'!O2395),'ENGAGEMENTS 2026'!AE2395))))</f>
        <v/>
      </c>
      <c r="K2395" s="604">
        <f>IF(ISBLANK('ENGAGEMENTS 2026'!W2395),"",'ENGAGEMENTS 2026'!W2395)</f>
        <v/>
      </c>
      <c r="L2395" s="276">
        <f>IF($K2395="","",TODAY()-$K2395)</f>
        <v/>
      </c>
      <c r="M2395">
        <f>IF($A2395="","",IF($H2395="ENGAGE","Engagé",IF(AND($H2395="NON ENGAGE",OR($I2395="INFRUCTUEUX",$I2395="ANNULE")),"Clôturé sans suite","En cours")))</f>
        <v/>
      </c>
      <c r="N2395">
        <f>IF(ISBLANK('ENGAGEMENTS 2026'!C2395),"",'ENGAGEMENTS 2026'!L2395)</f>
        <v/>
      </c>
      <c r="O2395">
        <f>IF(ISBLANK('ENGAGEMENTS 2026'!C2395),"",'ENGAGEMENTS 2026'!M2395)</f>
        <v/>
      </c>
      <c r="P2395">
        <f>IF(ISBLANK('ENGAGEMENTS 2026'!C2395),"",'ENGAGEMENTS 2026'!K2395)</f>
        <v/>
      </c>
      <c r="Q2395">
        <f>IF($A2395="","",IF(OR($E2395="INFRUCTUEUX",$E2395="ANNULE"),$A2395&amp;"|"&amp;(COUNTIFS($A$2:$A2395,$A2395,$E$2:$E2395,"INFRUCTUEUX")+COUNTIFS($A$2:$A2395,$A2395,$E$2:$E2395,"ANNULE")),""))</f>
        <v/>
      </c>
    </row>
    <row r="2396">
      <c r="A2396">
        <f>IF(ISBLANK('ENGAGEMENTS 2026'!C2396),"",IF('ENGAGEMENTS 2026'!C2396="DTSI","DCT",'ENGAGEMENTS 2026'!C2396))</f>
        <v/>
      </c>
      <c r="B2396">
        <f>IF(ISBLANK('ENGAGEMENTS 2026'!C2396),"",'ENGAGEMENTS 2026'!D2396)</f>
        <v/>
      </c>
      <c r="C2396">
        <f>IF(ISBLANK('ENGAGEMENTS 2026'!C2396),"",'ENGAGEMENTS 2026'!E2396)</f>
        <v/>
      </c>
      <c r="D2396">
        <f>IF(ISBLANK('ENGAGEMENTS 2026'!C2396),"",'ENGAGEMENTS 2026'!G2396)</f>
        <v/>
      </c>
      <c r="E2396">
        <f>IF(ISBLANK('ENGAGEMENTS 2026'!C2396),"",'ENGAGEMENTS 2026'!I2396)</f>
        <v/>
      </c>
      <c r="F2396">
        <f>IF(ISBLANK('ENGAGEMENTS 2026'!C2396),"",'ENGAGEMENTS 2026'!J2396)</f>
        <v/>
      </c>
      <c r="G2396">
        <f>IF(ISBLANK('ENGAGEMENTS 2026'!C2396),"",'ENGAGEMENTS 2026'!M2396)</f>
        <v/>
      </c>
      <c r="H2396">
        <f>IF(ISBLANK('ENGAGEMENTS 2026'!C2396),"",'ENGAGEMENTS 2026'!AF2396)</f>
        <v/>
      </c>
      <c r="I2396">
        <f>IF(ISBLANK('ENGAGEMENTS 2026'!C2396),"",'ENGAGEMENTS 2026'!H2396)</f>
        <v/>
      </c>
      <c r="J2396" s="275">
        <f>IF(ISBLANK('ENGAGEMENTS 2026'!C2396),"",IF(AND(OR($E2396="INFRUCTUEUX",$E2396="ANNULE"),$C2396="AOO-M"),'ENGAGEMENTS 2026'!P2396,IF($H2396="EN COURS DE PREENGAGEMENT",'ENGAGEMENTS 2026'!O2396,IF($H2396="PREENGAGE",IF($E2396="ATTRIBUE",'ENGAGEMENTS 2026'!AE2396,'ENGAGEMENTS 2026'!O2396),'ENGAGEMENTS 2026'!AE2396))))</f>
        <v/>
      </c>
      <c r="K2396" s="604">
        <f>IF(ISBLANK('ENGAGEMENTS 2026'!W2396),"",'ENGAGEMENTS 2026'!W2396)</f>
        <v/>
      </c>
      <c r="L2396" s="276">
        <f>IF($K2396="","",TODAY()-$K2396)</f>
        <v/>
      </c>
      <c r="M2396">
        <f>IF($A2396="","",IF($H2396="ENGAGE","Engagé",IF(AND($H2396="NON ENGAGE",OR($I2396="INFRUCTUEUX",$I2396="ANNULE")),"Clôturé sans suite","En cours")))</f>
        <v/>
      </c>
      <c r="N2396">
        <f>IF(ISBLANK('ENGAGEMENTS 2026'!C2396),"",'ENGAGEMENTS 2026'!L2396)</f>
        <v/>
      </c>
      <c r="O2396">
        <f>IF(ISBLANK('ENGAGEMENTS 2026'!C2396),"",'ENGAGEMENTS 2026'!M2396)</f>
        <v/>
      </c>
      <c r="P2396">
        <f>IF(ISBLANK('ENGAGEMENTS 2026'!C2396),"",'ENGAGEMENTS 2026'!K2396)</f>
        <v/>
      </c>
      <c r="Q2396">
        <f>IF($A2396="","",IF(OR($E2396="INFRUCTUEUX",$E2396="ANNULE"),$A2396&amp;"|"&amp;(COUNTIFS($A$2:$A2396,$A2396,$E$2:$E2396,"INFRUCTUEUX")+COUNTIFS($A$2:$A2396,$A2396,$E$2:$E2396,"ANNULE")),""))</f>
        <v/>
      </c>
    </row>
    <row r="2397">
      <c r="A2397">
        <f>IF(ISBLANK('ENGAGEMENTS 2026'!C2397),"",IF('ENGAGEMENTS 2026'!C2397="DTSI","DCT",'ENGAGEMENTS 2026'!C2397))</f>
        <v/>
      </c>
      <c r="B2397">
        <f>IF(ISBLANK('ENGAGEMENTS 2026'!C2397),"",'ENGAGEMENTS 2026'!D2397)</f>
        <v/>
      </c>
      <c r="C2397">
        <f>IF(ISBLANK('ENGAGEMENTS 2026'!C2397),"",'ENGAGEMENTS 2026'!E2397)</f>
        <v/>
      </c>
      <c r="D2397">
        <f>IF(ISBLANK('ENGAGEMENTS 2026'!C2397),"",'ENGAGEMENTS 2026'!G2397)</f>
        <v/>
      </c>
      <c r="E2397">
        <f>IF(ISBLANK('ENGAGEMENTS 2026'!C2397),"",'ENGAGEMENTS 2026'!I2397)</f>
        <v/>
      </c>
      <c r="F2397">
        <f>IF(ISBLANK('ENGAGEMENTS 2026'!C2397),"",'ENGAGEMENTS 2026'!J2397)</f>
        <v/>
      </c>
      <c r="G2397">
        <f>IF(ISBLANK('ENGAGEMENTS 2026'!C2397),"",'ENGAGEMENTS 2026'!M2397)</f>
        <v/>
      </c>
      <c r="H2397">
        <f>IF(ISBLANK('ENGAGEMENTS 2026'!C2397),"",'ENGAGEMENTS 2026'!AF2397)</f>
        <v/>
      </c>
      <c r="I2397">
        <f>IF(ISBLANK('ENGAGEMENTS 2026'!C2397),"",'ENGAGEMENTS 2026'!H2397)</f>
        <v/>
      </c>
      <c r="J2397" s="275">
        <f>IF(ISBLANK('ENGAGEMENTS 2026'!C2397),"",IF(AND(OR($E2397="INFRUCTUEUX",$E2397="ANNULE"),$C2397="AOO-M"),'ENGAGEMENTS 2026'!P2397,IF($H2397="EN COURS DE PREENGAGEMENT",'ENGAGEMENTS 2026'!O2397,IF($H2397="PREENGAGE",IF($E2397="ATTRIBUE",'ENGAGEMENTS 2026'!AE2397,'ENGAGEMENTS 2026'!O2397),'ENGAGEMENTS 2026'!AE2397))))</f>
        <v/>
      </c>
      <c r="K2397" s="604">
        <f>IF(ISBLANK('ENGAGEMENTS 2026'!W2397),"",'ENGAGEMENTS 2026'!W2397)</f>
        <v/>
      </c>
      <c r="L2397" s="276">
        <f>IF($K2397="","",TODAY()-$K2397)</f>
        <v/>
      </c>
      <c r="M2397">
        <f>IF($A2397="","",IF($H2397="ENGAGE","Engagé",IF(AND($H2397="NON ENGAGE",OR($I2397="INFRUCTUEUX",$I2397="ANNULE")),"Clôturé sans suite","En cours")))</f>
        <v/>
      </c>
      <c r="N2397">
        <f>IF(ISBLANK('ENGAGEMENTS 2026'!C2397),"",'ENGAGEMENTS 2026'!L2397)</f>
        <v/>
      </c>
      <c r="O2397">
        <f>IF(ISBLANK('ENGAGEMENTS 2026'!C2397),"",'ENGAGEMENTS 2026'!M2397)</f>
        <v/>
      </c>
      <c r="P2397">
        <f>IF(ISBLANK('ENGAGEMENTS 2026'!C2397),"",'ENGAGEMENTS 2026'!K2397)</f>
        <v/>
      </c>
      <c r="Q2397">
        <f>IF($A2397="","",IF(OR($E2397="INFRUCTUEUX",$E2397="ANNULE"),$A2397&amp;"|"&amp;(COUNTIFS($A$2:$A2397,$A2397,$E$2:$E2397,"INFRUCTUEUX")+COUNTIFS($A$2:$A2397,$A2397,$E$2:$E2397,"ANNULE")),""))</f>
        <v/>
      </c>
    </row>
    <row r="2398">
      <c r="A2398">
        <f>IF(ISBLANK('ENGAGEMENTS 2026'!C2398),"",IF('ENGAGEMENTS 2026'!C2398="DTSI","DCT",'ENGAGEMENTS 2026'!C2398))</f>
        <v/>
      </c>
      <c r="B2398">
        <f>IF(ISBLANK('ENGAGEMENTS 2026'!C2398),"",'ENGAGEMENTS 2026'!D2398)</f>
        <v/>
      </c>
      <c r="C2398">
        <f>IF(ISBLANK('ENGAGEMENTS 2026'!C2398),"",'ENGAGEMENTS 2026'!E2398)</f>
        <v/>
      </c>
      <c r="D2398">
        <f>IF(ISBLANK('ENGAGEMENTS 2026'!C2398),"",'ENGAGEMENTS 2026'!G2398)</f>
        <v/>
      </c>
      <c r="E2398">
        <f>IF(ISBLANK('ENGAGEMENTS 2026'!C2398),"",'ENGAGEMENTS 2026'!I2398)</f>
        <v/>
      </c>
      <c r="F2398">
        <f>IF(ISBLANK('ENGAGEMENTS 2026'!C2398),"",'ENGAGEMENTS 2026'!J2398)</f>
        <v/>
      </c>
      <c r="G2398">
        <f>IF(ISBLANK('ENGAGEMENTS 2026'!C2398),"",'ENGAGEMENTS 2026'!M2398)</f>
        <v/>
      </c>
      <c r="H2398">
        <f>IF(ISBLANK('ENGAGEMENTS 2026'!C2398),"",'ENGAGEMENTS 2026'!AF2398)</f>
        <v/>
      </c>
      <c r="I2398">
        <f>IF(ISBLANK('ENGAGEMENTS 2026'!C2398),"",'ENGAGEMENTS 2026'!H2398)</f>
        <v/>
      </c>
      <c r="J2398" s="275">
        <f>IF(ISBLANK('ENGAGEMENTS 2026'!C2398),"",IF(AND(OR($E2398="INFRUCTUEUX",$E2398="ANNULE"),$C2398="AOO-M"),'ENGAGEMENTS 2026'!P2398,IF($H2398="EN COURS DE PREENGAGEMENT",'ENGAGEMENTS 2026'!O2398,IF($H2398="PREENGAGE",IF($E2398="ATTRIBUE",'ENGAGEMENTS 2026'!AE2398,'ENGAGEMENTS 2026'!O2398),'ENGAGEMENTS 2026'!AE2398))))</f>
        <v/>
      </c>
      <c r="K2398" s="604">
        <f>IF(ISBLANK('ENGAGEMENTS 2026'!W2398),"",'ENGAGEMENTS 2026'!W2398)</f>
        <v/>
      </c>
      <c r="L2398" s="276">
        <f>IF($K2398="","",TODAY()-$K2398)</f>
        <v/>
      </c>
      <c r="M2398">
        <f>IF($A2398="","",IF($H2398="ENGAGE","Engagé",IF(AND($H2398="NON ENGAGE",OR($I2398="INFRUCTUEUX",$I2398="ANNULE")),"Clôturé sans suite","En cours")))</f>
        <v/>
      </c>
      <c r="N2398">
        <f>IF(ISBLANK('ENGAGEMENTS 2026'!C2398),"",'ENGAGEMENTS 2026'!L2398)</f>
        <v/>
      </c>
      <c r="O2398">
        <f>IF(ISBLANK('ENGAGEMENTS 2026'!C2398),"",'ENGAGEMENTS 2026'!M2398)</f>
        <v/>
      </c>
      <c r="P2398">
        <f>IF(ISBLANK('ENGAGEMENTS 2026'!C2398),"",'ENGAGEMENTS 2026'!K2398)</f>
        <v/>
      </c>
      <c r="Q2398">
        <f>IF($A2398="","",IF(OR($E2398="INFRUCTUEUX",$E2398="ANNULE"),$A2398&amp;"|"&amp;(COUNTIFS($A$2:$A2398,$A2398,$E$2:$E2398,"INFRUCTUEUX")+COUNTIFS($A$2:$A2398,$A2398,$E$2:$E2398,"ANNULE")),""))</f>
        <v/>
      </c>
    </row>
    <row r="2399">
      <c r="A2399">
        <f>IF(ISBLANK('ENGAGEMENTS 2026'!C2399),"",IF('ENGAGEMENTS 2026'!C2399="DTSI","DCT",'ENGAGEMENTS 2026'!C2399))</f>
        <v/>
      </c>
      <c r="B2399">
        <f>IF(ISBLANK('ENGAGEMENTS 2026'!C2399),"",'ENGAGEMENTS 2026'!D2399)</f>
        <v/>
      </c>
      <c r="C2399">
        <f>IF(ISBLANK('ENGAGEMENTS 2026'!C2399),"",'ENGAGEMENTS 2026'!E2399)</f>
        <v/>
      </c>
      <c r="D2399">
        <f>IF(ISBLANK('ENGAGEMENTS 2026'!C2399),"",'ENGAGEMENTS 2026'!G2399)</f>
        <v/>
      </c>
      <c r="E2399">
        <f>IF(ISBLANK('ENGAGEMENTS 2026'!C2399),"",'ENGAGEMENTS 2026'!I2399)</f>
        <v/>
      </c>
      <c r="F2399">
        <f>IF(ISBLANK('ENGAGEMENTS 2026'!C2399),"",'ENGAGEMENTS 2026'!J2399)</f>
        <v/>
      </c>
      <c r="G2399">
        <f>IF(ISBLANK('ENGAGEMENTS 2026'!C2399),"",'ENGAGEMENTS 2026'!M2399)</f>
        <v/>
      </c>
      <c r="H2399">
        <f>IF(ISBLANK('ENGAGEMENTS 2026'!C2399),"",'ENGAGEMENTS 2026'!AF2399)</f>
        <v/>
      </c>
      <c r="I2399">
        <f>IF(ISBLANK('ENGAGEMENTS 2026'!C2399),"",'ENGAGEMENTS 2026'!H2399)</f>
        <v/>
      </c>
      <c r="J2399" s="275">
        <f>IF(ISBLANK('ENGAGEMENTS 2026'!C2399),"",IF(AND(OR($E2399="INFRUCTUEUX",$E2399="ANNULE"),$C2399="AOO-M"),'ENGAGEMENTS 2026'!P2399,IF($H2399="EN COURS DE PREENGAGEMENT",'ENGAGEMENTS 2026'!O2399,IF($H2399="PREENGAGE",IF($E2399="ATTRIBUE",'ENGAGEMENTS 2026'!AE2399,'ENGAGEMENTS 2026'!O2399),'ENGAGEMENTS 2026'!AE2399))))</f>
        <v/>
      </c>
      <c r="K2399" s="604">
        <f>IF(ISBLANK('ENGAGEMENTS 2026'!W2399),"",'ENGAGEMENTS 2026'!W2399)</f>
        <v/>
      </c>
      <c r="L2399" s="276">
        <f>IF($K2399="","",TODAY()-$K2399)</f>
        <v/>
      </c>
      <c r="M2399">
        <f>IF($A2399="","",IF($H2399="ENGAGE","Engagé",IF(AND($H2399="NON ENGAGE",OR($I2399="INFRUCTUEUX",$I2399="ANNULE")),"Clôturé sans suite","En cours")))</f>
        <v/>
      </c>
      <c r="N2399">
        <f>IF(ISBLANK('ENGAGEMENTS 2026'!C2399),"",'ENGAGEMENTS 2026'!L2399)</f>
        <v/>
      </c>
      <c r="O2399">
        <f>IF(ISBLANK('ENGAGEMENTS 2026'!C2399),"",'ENGAGEMENTS 2026'!M2399)</f>
        <v/>
      </c>
      <c r="P2399">
        <f>IF(ISBLANK('ENGAGEMENTS 2026'!C2399),"",'ENGAGEMENTS 2026'!K2399)</f>
        <v/>
      </c>
      <c r="Q2399">
        <f>IF($A2399="","",IF(OR($E2399="INFRUCTUEUX",$E2399="ANNULE"),$A2399&amp;"|"&amp;(COUNTIFS($A$2:$A2399,$A2399,$E$2:$E2399,"INFRUCTUEUX")+COUNTIFS($A$2:$A2399,$A2399,$E$2:$E2399,"ANNULE")),""))</f>
        <v/>
      </c>
    </row>
    <row r="2400">
      <c r="A2400">
        <f>IF(ISBLANK('ENGAGEMENTS 2026'!C2400),"",IF('ENGAGEMENTS 2026'!C2400="DTSI","DCT",'ENGAGEMENTS 2026'!C2400))</f>
        <v/>
      </c>
      <c r="B2400">
        <f>IF(ISBLANK('ENGAGEMENTS 2026'!C2400),"",'ENGAGEMENTS 2026'!D2400)</f>
        <v/>
      </c>
      <c r="C2400">
        <f>IF(ISBLANK('ENGAGEMENTS 2026'!C2400),"",'ENGAGEMENTS 2026'!E2400)</f>
        <v/>
      </c>
      <c r="D2400">
        <f>IF(ISBLANK('ENGAGEMENTS 2026'!C2400),"",'ENGAGEMENTS 2026'!G2400)</f>
        <v/>
      </c>
      <c r="E2400">
        <f>IF(ISBLANK('ENGAGEMENTS 2026'!C2400),"",'ENGAGEMENTS 2026'!I2400)</f>
        <v/>
      </c>
      <c r="F2400">
        <f>IF(ISBLANK('ENGAGEMENTS 2026'!C2400),"",'ENGAGEMENTS 2026'!J2400)</f>
        <v/>
      </c>
      <c r="G2400">
        <f>IF(ISBLANK('ENGAGEMENTS 2026'!C2400),"",'ENGAGEMENTS 2026'!M2400)</f>
        <v/>
      </c>
      <c r="H2400">
        <f>IF(ISBLANK('ENGAGEMENTS 2026'!C2400),"",'ENGAGEMENTS 2026'!AF2400)</f>
        <v/>
      </c>
      <c r="I2400">
        <f>IF(ISBLANK('ENGAGEMENTS 2026'!C2400),"",'ENGAGEMENTS 2026'!H2400)</f>
        <v/>
      </c>
      <c r="J2400" s="275">
        <f>IF(ISBLANK('ENGAGEMENTS 2026'!C2400),"",IF(AND(OR($E2400="INFRUCTUEUX",$E2400="ANNULE"),$C2400="AOO-M"),'ENGAGEMENTS 2026'!P2400,IF($H2400="EN COURS DE PREENGAGEMENT",'ENGAGEMENTS 2026'!O2400,IF($H2400="PREENGAGE",IF($E2400="ATTRIBUE",'ENGAGEMENTS 2026'!AE2400,'ENGAGEMENTS 2026'!O2400),'ENGAGEMENTS 2026'!AE2400))))</f>
        <v/>
      </c>
      <c r="K2400" s="604">
        <f>IF(ISBLANK('ENGAGEMENTS 2026'!W2400),"",'ENGAGEMENTS 2026'!W2400)</f>
        <v/>
      </c>
      <c r="L2400" s="276">
        <f>IF($K2400="","",TODAY()-$K2400)</f>
        <v/>
      </c>
      <c r="M2400">
        <f>IF($A2400="","",IF($H2400="ENGAGE","Engagé",IF(AND($H2400="NON ENGAGE",OR($I2400="INFRUCTUEUX",$I2400="ANNULE")),"Clôturé sans suite","En cours")))</f>
        <v/>
      </c>
      <c r="N2400">
        <f>IF(ISBLANK('ENGAGEMENTS 2026'!C2400),"",'ENGAGEMENTS 2026'!L2400)</f>
        <v/>
      </c>
      <c r="O2400">
        <f>IF(ISBLANK('ENGAGEMENTS 2026'!C2400),"",'ENGAGEMENTS 2026'!M2400)</f>
        <v/>
      </c>
      <c r="P2400">
        <f>IF(ISBLANK('ENGAGEMENTS 2026'!C2400),"",'ENGAGEMENTS 2026'!K2400)</f>
        <v/>
      </c>
      <c r="Q2400">
        <f>IF($A2400="","",IF(OR($E2400="INFRUCTUEUX",$E2400="ANNULE"),$A2400&amp;"|"&amp;(COUNTIFS($A$2:$A2400,$A2400,$E$2:$E2400,"INFRUCTUEUX")+COUNTIFS($A$2:$A2400,$A2400,$E$2:$E2400,"ANNULE")),""))</f>
        <v/>
      </c>
    </row>
    <row r="2401">
      <c r="A2401">
        <f>IF(ISBLANK('ENGAGEMENTS 2026'!C2401),"",IF('ENGAGEMENTS 2026'!C2401="DTSI","DCT",'ENGAGEMENTS 2026'!C2401))</f>
        <v/>
      </c>
      <c r="B2401">
        <f>IF(ISBLANK('ENGAGEMENTS 2026'!C2401),"",'ENGAGEMENTS 2026'!D2401)</f>
        <v/>
      </c>
      <c r="C2401">
        <f>IF(ISBLANK('ENGAGEMENTS 2026'!C2401),"",'ENGAGEMENTS 2026'!E2401)</f>
        <v/>
      </c>
      <c r="D2401">
        <f>IF(ISBLANK('ENGAGEMENTS 2026'!C2401),"",'ENGAGEMENTS 2026'!G2401)</f>
        <v/>
      </c>
      <c r="E2401">
        <f>IF(ISBLANK('ENGAGEMENTS 2026'!C2401),"",'ENGAGEMENTS 2026'!I2401)</f>
        <v/>
      </c>
      <c r="F2401">
        <f>IF(ISBLANK('ENGAGEMENTS 2026'!C2401),"",'ENGAGEMENTS 2026'!J2401)</f>
        <v/>
      </c>
      <c r="G2401">
        <f>IF(ISBLANK('ENGAGEMENTS 2026'!C2401),"",'ENGAGEMENTS 2026'!M2401)</f>
        <v/>
      </c>
      <c r="H2401">
        <f>IF(ISBLANK('ENGAGEMENTS 2026'!C2401),"",'ENGAGEMENTS 2026'!AF2401)</f>
        <v/>
      </c>
      <c r="I2401">
        <f>IF(ISBLANK('ENGAGEMENTS 2026'!C2401),"",'ENGAGEMENTS 2026'!H2401)</f>
        <v/>
      </c>
      <c r="J2401" s="275">
        <f>IF(ISBLANK('ENGAGEMENTS 2026'!C2401),"",IF(AND(OR($E2401="INFRUCTUEUX",$E2401="ANNULE"),$C2401="AOO-M"),'ENGAGEMENTS 2026'!P2401,IF($H2401="EN COURS DE PREENGAGEMENT",'ENGAGEMENTS 2026'!O2401,IF($H2401="PREENGAGE",IF($E2401="ATTRIBUE",'ENGAGEMENTS 2026'!AE2401,'ENGAGEMENTS 2026'!O2401),'ENGAGEMENTS 2026'!AE2401))))</f>
        <v/>
      </c>
      <c r="K2401" s="604">
        <f>IF(ISBLANK('ENGAGEMENTS 2026'!W2401),"",'ENGAGEMENTS 2026'!W2401)</f>
        <v/>
      </c>
      <c r="L2401" s="276">
        <f>IF($K2401="","",TODAY()-$K2401)</f>
        <v/>
      </c>
      <c r="M2401">
        <f>IF($A2401="","",IF($H2401="ENGAGE","Engagé",IF(AND($H2401="NON ENGAGE",OR($I2401="INFRUCTUEUX",$I2401="ANNULE")),"Clôturé sans suite","En cours")))</f>
        <v/>
      </c>
      <c r="N2401">
        <f>IF(ISBLANK('ENGAGEMENTS 2026'!C2401),"",'ENGAGEMENTS 2026'!L2401)</f>
        <v/>
      </c>
      <c r="O2401">
        <f>IF(ISBLANK('ENGAGEMENTS 2026'!C2401),"",'ENGAGEMENTS 2026'!M2401)</f>
        <v/>
      </c>
      <c r="P2401">
        <f>IF(ISBLANK('ENGAGEMENTS 2026'!C2401),"",'ENGAGEMENTS 2026'!K2401)</f>
        <v/>
      </c>
      <c r="Q2401">
        <f>IF($A2401="","",IF(OR($E2401="INFRUCTUEUX",$E2401="ANNULE"),$A2401&amp;"|"&amp;(COUNTIFS($A$2:$A2401,$A2401,$E$2:$E2401,"INFRUCTUEUX")+COUNTIFS($A$2:$A2401,$A2401,$E$2:$E2401,"ANNULE")),""))</f>
        <v/>
      </c>
    </row>
    <row r="2402">
      <c r="A2402">
        <f>IF(ISBLANK('ENGAGEMENTS 2026'!C2402),"",IF('ENGAGEMENTS 2026'!C2402="DTSI","DCT",'ENGAGEMENTS 2026'!C2402))</f>
        <v/>
      </c>
      <c r="B2402">
        <f>IF(ISBLANK('ENGAGEMENTS 2026'!C2402),"",'ENGAGEMENTS 2026'!D2402)</f>
        <v/>
      </c>
      <c r="C2402">
        <f>IF(ISBLANK('ENGAGEMENTS 2026'!C2402),"",'ENGAGEMENTS 2026'!E2402)</f>
        <v/>
      </c>
      <c r="D2402">
        <f>IF(ISBLANK('ENGAGEMENTS 2026'!C2402),"",'ENGAGEMENTS 2026'!G2402)</f>
        <v/>
      </c>
      <c r="E2402">
        <f>IF(ISBLANK('ENGAGEMENTS 2026'!C2402),"",'ENGAGEMENTS 2026'!I2402)</f>
        <v/>
      </c>
      <c r="F2402">
        <f>IF(ISBLANK('ENGAGEMENTS 2026'!C2402),"",'ENGAGEMENTS 2026'!J2402)</f>
        <v/>
      </c>
      <c r="G2402">
        <f>IF(ISBLANK('ENGAGEMENTS 2026'!C2402),"",'ENGAGEMENTS 2026'!M2402)</f>
        <v/>
      </c>
      <c r="H2402">
        <f>IF(ISBLANK('ENGAGEMENTS 2026'!C2402),"",'ENGAGEMENTS 2026'!AF2402)</f>
        <v/>
      </c>
      <c r="I2402">
        <f>IF(ISBLANK('ENGAGEMENTS 2026'!C2402),"",'ENGAGEMENTS 2026'!H2402)</f>
        <v/>
      </c>
      <c r="J2402" s="275">
        <f>IF(ISBLANK('ENGAGEMENTS 2026'!C2402),"",IF(AND(OR($E2402="INFRUCTUEUX",$E2402="ANNULE"),$C2402="AOO-M"),'ENGAGEMENTS 2026'!P2402,IF($H2402="EN COURS DE PREENGAGEMENT",'ENGAGEMENTS 2026'!O2402,IF($H2402="PREENGAGE",IF($E2402="ATTRIBUE",'ENGAGEMENTS 2026'!AE2402,'ENGAGEMENTS 2026'!O2402),'ENGAGEMENTS 2026'!AE2402))))</f>
        <v/>
      </c>
      <c r="K2402" s="604">
        <f>IF(ISBLANK('ENGAGEMENTS 2026'!W2402),"",'ENGAGEMENTS 2026'!W2402)</f>
        <v/>
      </c>
      <c r="L2402" s="276">
        <f>IF($K2402="","",TODAY()-$K2402)</f>
        <v/>
      </c>
      <c r="M2402">
        <f>IF($A2402="","",IF($H2402="ENGAGE","Engagé",IF(AND($H2402="NON ENGAGE",OR($I2402="INFRUCTUEUX",$I2402="ANNULE")),"Clôturé sans suite","En cours")))</f>
        <v/>
      </c>
      <c r="N2402">
        <f>IF(ISBLANK('ENGAGEMENTS 2026'!C2402),"",'ENGAGEMENTS 2026'!L2402)</f>
        <v/>
      </c>
      <c r="O2402">
        <f>IF(ISBLANK('ENGAGEMENTS 2026'!C2402),"",'ENGAGEMENTS 2026'!M2402)</f>
        <v/>
      </c>
      <c r="P2402">
        <f>IF(ISBLANK('ENGAGEMENTS 2026'!C2402),"",'ENGAGEMENTS 2026'!K2402)</f>
        <v/>
      </c>
      <c r="Q2402">
        <f>IF($A2402="","",IF(OR($E2402="INFRUCTUEUX",$E2402="ANNULE"),$A2402&amp;"|"&amp;(COUNTIFS($A$2:$A2402,$A2402,$E$2:$E2402,"INFRUCTUEUX")+COUNTIFS($A$2:$A2402,$A2402,$E$2:$E2402,"ANNULE")),""))</f>
        <v/>
      </c>
    </row>
    <row r="2403">
      <c r="A2403">
        <f>IF(ISBLANK('ENGAGEMENTS 2026'!C2403),"",IF('ENGAGEMENTS 2026'!C2403="DTSI","DCT",'ENGAGEMENTS 2026'!C2403))</f>
        <v/>
      </c>
      <c r="B2403">
        <f>IF(ISBLANK('ENGAGEMENTS 2026'!C2403),"",'ENGAGEMENTS 2026'!D2403)</f>
        <v/>
      </c>
      <c r="C2403">
        <f>IF(ISBLANK('ENGAGEMENTS 2026'!C2403),"",'ENGAGEMENTS 2026'!E2403)</f>
        <v/>
      </c>
      <c r="D2403">
        <f>IF(ISBLANK('ENGAGEMENTS 2026'!C2403),"",'ENGAGEMENTS 2026'!G2403)</f>
        <v/>
      </c>
      <c r="E2403">
        <f>IF(ISBLANK('ENGAGEMENTS 2026'!C2403),"",'ENGAGEMENTS 2026'!I2403)</f>
        <v/>
      </c>
      <c r="F2403">
        <f>IF(ISBLANK('ENGAGEMENTS 2026'!C2403),"",'ENGAGEMENTS 2026'!J2403)</f>
        <v/>
      </c>
      <c r="G2403">
        <f>IF(ISBLANK('ENGAGEMENTS 2026'!C2403),"",'ENGAGEMENTS 2026'!M2403)</f>
        <v/>
      </c>
      <c r="H2403">
        <f>IF(ISBLANK('ENGAGEMENTS 2026'!C2403),"",'ENGAGEMENTS 2026'!AF2403)</f>
        <v/>
      </c>
      <c r="I2403">
        <f>IF(ISBLANK('ENGAGEMENTS 2026'!C2403),"",'ENGAGEMENTS 2026'!H2403)</f>
        <v/>
      </c>
      <c r="J2403" s="275">
        <f>IF(ISBLANK('ENGAGEMENTS 2026'!C2403),"",IF(AND(OR($E2403="INFRUCTUEUX",$E2403="ANNULE"),$C2403="AOO-M"),'ENGAGEMENTS 2026'!P2403,IF($H2403="EN COURS DE PREENGAGEMENT",'ENGAGEMENTS 2026'!O2403,IF($H2403="PREENGAGE",IF($E2403="ATTRIBUE",'ENGAGEMENTS 2026'!AE2403,'ENGAGEMENTS 2026'!O2403),'ENGAGEMENTS 2026'!AE2403))))</f>
        <v/>
      </c>
      <c r="K2403" s="604">
        <f>IF(ISBLANK('ENGAGEMENTS 2026'!W2403),"",'ENGAGEMENTS 2026'!W2403)</f>
        <v/>
      </c>
      <c r="L2403" s="276">
        <f>IF($K2403="","",TODAY()-$K2403)</f>
        <v/>
      </c>
      <c r="M2403">
        <f>IF($A2403="","",IF($H2403="ENGAGE","Engagé",IF(AND($H2403="NON ENGAGE",OR($I2403="INFRUCTUEUX",$I2403="ANNULE")),"Clôturé sans suite","En cours")))</f>
        <v/>
      </c>
      <c r="N2403">
        <f>IF(ISBLANK('ENGAGEMENTS 2026'!C2403),"",'ENGAGEMENTS 2026'!L2403)</f>
        <v/>
      </c>
      <c r="O2403">
        <f>IF(ISBLANK('ENGAGEMENTS 2026'!C2403),"",'ENGAGEMENTS 2026'!M2403)</f>
        <v/>
      </c>
      <c r="P2403">
        <f>IF(ISBLANK('ENGAGEMENTS 2026'!C2403),"",'ENGAGEMENTS 2026'!K2403)</f>
        <v/>
      </c>
      <c r="Q2403">
        <f>IF($A2403="","",IF(OR($E2403="INFRUCTUEUX",$E2403="ANNULE"),$A2403&amp;"|"&amp;(COUNTIFS($A$2:$A2403,$A2403,$E$2:$E2403,"INFRUCTUEUX")+COUNTIFS($A$2:$A2403,$A2403,$E$2:$E2403,"ANNULE")),""))</f>
        <v/>
      </c>
    </row>
    <row r="2404">
      <c r="A2404">
        <f>IF(ISBLANK('ENGAGEMENTS 2026'!C2404),"",IF('ENGAGEMENTS 2026'!C2404="DTSI","DCT",'ENGAGEMENTS 2026'!C2404))</f>
        <v/>
      </c>
      <c r="B2404">
        <f>IF(ISBLANK('ENGAGEMENTS 2026'!C2404),"",'ENGAGEMENTS 2026'!D2404)</f>
        <v/>
      </c>
      <c r="C2404">
        <f>IF(ISBLANK('ENGAGEMENTS 2026'!C2404),"",'ENGAGEMENTS 2026'!E2404)</f>
        <v/>
      </c>
      <c r="D2404">
        <f>IF(ISBLANK('ENGAGEMENTS 2026'!C2404),"",'ENGAGEMENTS 2026'!G2404)</f>
        <v/>
      </c>
      <c r="E2404">
        <f>IF(ISBLANK('ENGAGEMENTS 2026'!C2404),"",'ENGAGEMENTS 2026'!I2404)</f>
        <v/>
      </c>
      <c r="F2404">
        <f>IF(ISBLANK('ENGAGEMENTS 2026'!C2404),"",'ENGAGEMENTS 2026'!J2404)</f>
        <v/>
      </c>
      <c r="G2404">
        <f>IF(ISBLANK('ENGAGEMENTS 2026'!C2404),"",'ENGAGEMENTS 2026'!M2404)</f>
        <v/>
      </c>
      <c r="H2404">
        <f>IF(ISBLANK('ENGAGEMENTS 2026'!C2404),"",'ENGAGEMENTS 2026'!AF2404)</f>
        <v/>
      </c>
      <c r="I2404">
        <f>IF(ISBLANK('ENGAGEMENTS 2026'!C2404),"",'ENGAGEMENTS 2026'!H2404)</f>
        <v/>
      </c>
      <c r="J2404" s="275">
        <f>IF(ISBLANK('ENGAGEMENTS 2026'!C2404),"",IF(AND(OR($E2404="INFRUCTUEUX",$E2404="ANNULE"),$C2404="AOO-M"),'ENGAGEMENTS 2026'!P2404,IF($H2404="EN COURS DE PREENGAGEMENT",'ENGAGEMENTS 2026'!O2404,IF($H2404="PREENGAGE",IF($E2404="ATTRIBUE",'ENGAGEMENTS 2026'!AE2404,'ENGAGEMENTS 2026'!O2404),'ENGAGEMENTS 2026'!AE2404))))</f>
        <v/>
      </c>
      <c r="K2404" s="604">
        <f>IF(ISBLANK('ENGAGEMENTS 2026'!W2404),"",'ENGAGEMENTS 2026'!W2404)</f>
        <v/>
      </c>
      <c r="L2404" s="276">
        <f>IF($K2404="","",TODAY()-$K2404)</f>
        <v/>
      </c>
      <c r="M2404">
        <f>IF($A2404="","",IF($H2404="ENGAGE","Engagé",IF(AND($H2404="NON ENGAGE",OR($I2404="INFRUCTUEUX",$I2404="ANNULE")),"Clôturé sans suite","En cours")))</f>
        <v/>
      </c>
      <c r="N2404">
        <f>IF(ISBLANK('ENGAGEMENTS 2026'!C2404),"",'ENGAGEMENTS 2026'!L2404)</f>
        <v/>
      </c>
      <c r="O2404">
        <f>IF(ISBLANK('ENGAGEMENTS 2026'!C2404),"",'ENGAGEMENTS 2026'!M2404)</f>
        <v/>
      </c>
      <c r="P2404">
        <f>IF(ISBLANK('ENGAGEMENTS 2026'!C2404),"",'ENGAGEMENTS 2026'!K2404)</f>
        <v/>
      </c>
      <c r="Q2404">
        <f>IF($A2404="","",IF(OR($E2404="INFRUCTUEUX",$E2404="ANNULE"),$A2404&amp;"|"&amp;(COUNTIFS($A$2:$A2404,$A2404,$E$2:$E2404,"INFRUCTUEUX")+COUNTIFS($A$2:$A2404,$A2404,$E$2:$E2404,"ANNULE")),""))</f>
        <v/>
      </c>
    </row>
    <row r="2405">
      <c r="A2405">
        <f>IF(ISBLANK('ENGAGEMENTS 2026'!C2405),"",IF('ENGAGEMENTS 2026'!C2405="DTSI","DCT",'ENGAGEMENTS 2026'!C2405))</f>
        <v/>
      </c>
      <c r="B2405">
        <f>IF(ISBLANK('ENGAGEMENTS 2026'!C2405),"",'ENGAGEMENTS 2026'!D2405)</f>
        <v/>
      </c>
      <c r="C2405">
        <f>IF(ISBLANK('ENGAGEMENTS 2026'!C2405),"",'ENGAGEMENTS 2026'!E2405)</f>
        <v/>
      </c>
      <c r="D2405">
        <f>IF(ISBLANK('ENGAGEMENTS 2026'!C2405),"",'ENGAGEMENTS 2026'!G2405)</f>
        <v/>
      </c>
      <c r="E2405">
        <f>IF(ISBLANK('ENGAGEMENTS 2026'!C2405),"",'ENGAGEMENTS 2026'!I2405)</f>
        <v/>
      </c>
      <c r="F2405">
        <f>IF(ISBLANK('ENGAGEMENTS 2026'!C2405),"",'ENGAGEMENTS 2026'!J2405)</f>
        <v/>
      </c>
      <c r="G2405">
        <f>IF(ISBLANK('ENGAGEMENTS 2026'!C2405),"",'ENGAGEMENTS 2026'!M2405)</f>
        <v/>
      </c>
      <c r="H2405">
        <f>IF(ISBLANK('ENGAGEMENTS 2026'!C2405),"",'ENGAGEMENTS 2026'!AF2405)</f>
        <v/>
      </c>
      <c r="I2405">
        <f>IF(ISBLANK('ENGAGEMENTS 2026'!C2405),"",'ENGAGEMENTS 2026'!H2405)</f>
        <v/>
      </c>
      <c r="J2405" s="275">
        <f>IF(ISBLANK('ENGAGEMENTS 2026'!C2405),"",IF(AND(OR($E2405="INFRUCTUEUX",$E2405="ANNULE"),$C2405="AOO-M"),'ENGAGEMENTS 2026'!P2405,IF($H2405="EN COURS DE PREENGAGEMENT",'ENGAGEMENTS 2026'!O2405,IF($H2405="PREENGAGE",IF($E2405="ATTRIBUE",'ENGAGEMENTS 2026'!AE2405,'ENGAGEMENTS 2026'!O2405),'ENGAGEMENTS 2026'!AE2405))))</f>
        <v/>
      </c>
      <c r="K2405" s="604">
        <f>IF(ISBLANK('ENGAGEMENTS 2026'!W2405),"",'ENGAGEMENTS 2026'!W2405)</f>
        <v/>
      </c>
      <c r="L2405" s="276">
        <f>IF($K2405="","",TODAY()-$K2405)</f>
        <v/>
      </c>
      <c r="M2405">
        <f>IF($A2405="","",IF($H2405="ENGAGE","Engagé",IF(AND($H2405="NON ENGAGE",OR($I2405="INFRUCTUEUX",$I2405="ANNULE")),"Clôturé sans suite","En cours")))</f>
        <v/>
      </c>
      <c r="N2405">
        <f>IF(ISBLANK('ENGAGEMENTS 2026'!C2405),"",'ENGAGEMENTS 2026'!L2405)</f>
        <v/>
      </c>
      <c r="O2405">
        <f>IF(ISBLANK('ENGAGEMENTS 2026'!C2405),"",'ENGAGEMENTS 2026'!M2405)</f>
        <v/>
      </c>
      <c r="P2405">
        <f>IF(ISBLANK('ENGAGEMENTS 2026'!C2405),"",'ENGAGEMENTS 2026'!K2405)</f>
        <v/>
      </c>
      <c r="Q2405">
        <f>IF($A2405="","",IF(OR($E2405="INFRUCTUEUX",$E2405="ANNULE"),$A2405&amp;"|"&amp;(COUNTIFS($A$2:$A2405,$A2405,$E$2:$E2405,"INFRUCTUEUX")+COUNTIFS($A$2:$A2405,$A2405,$E$2:$E2405,"ANNULE")),""))</f>
        <v/>
      </c>
    </row>
    <row r="2406">
      <c r="A2406">
        <f>IF(ISBLANK('ENGAGEMENTS 2026'!C2406),"",IF('ENGAGEMENTS 2026'!C2406="DTSI","DCT",'ENGAGEMENTS 2026'!C2406))</f>
        <v/>
      </c>
      <c r="B2406">
        <f>IF(ISBLANK('ENGAGEMENTS 2026'!C2406),"",'ENGAGEMENTS 2026'!D2406)</f>
        <v/>
      </c>
      <c r="C2406">
        <f>IF(ISBLANK('ENGAGEMENTS 2026'!C2406),"",'ENGAGEMENTS 2026'!E2406)</f>
        <v/>
      </c>
      <c r="D2406">
        <f>IF(ISBLANK('ENGAGEMENTS 2026'!C2406),"",'ENGAGEMENTS 2026'!G2406)</f>
        <v/>
      </c>
      <c r="E2406">
        <f>IF(ISBLANK('ENGAGEMENTS 2026'!C2406),"",'ENGAGEMENTS 2026'!I2406)</f>
        <v/>
      </c>
      <c r="F2406">
        <f>IF(ISBLANK('ENGAGEMENTS 2026'!C2406),"",'ENGAGEMENTS 2026'!J2406)</f>
        <v/>
      </c>
      <c r="G2406">
        <f>IF(ISBLANK('ENGAGEMENTS 2026'!C2406),"",'ENGAGEMENTS 2026'!M2406)</f>
        <v/>
      </c>
      <c r="H2406">
        <f>IF(ISBLANK('ENGAGEMENTS 2026'!C2406),"",'ENGAGEMENTS 2026'!AF2406)</f>
        <v/>
      </c>
      <c r="I2406">
        <f>IF(ISBLANK('ENGAGEMENTS 2026'!C2406),"",'ENGAGEMENTS 2026'!H2406)</f>
        <v/>
      </c>
      <c r="J2406" s="275">
        <f>IF(ISBLANK('ENGAGEMENTS 2026'!C2406),"",IF(AND(OR($E2406="INFRUCTUEUX",$E2406="ANNULE"),$C2406="AOO-M"),'ENGAGEMENTS 2026'!P2406,IF($H2406="EN COURS DE PREENGAGEMENT",'ENGAGEMENTS 2026'!O2406,IF($H2406="PREENGAGE",IF($E2406="ATTRIBUE",'ENGAGEMENTS 2026'!AE2406,'ENGAGEMENTS 2026'!O2406),'ENGAGEMENTS 2026'!AE2406))))</f>
        <v/>
      </c>
      <c r="K2406" s="604">
        <f>IF(ISBLANK('ENGAGEMENTS 2026'!W2406),"",'ENGAGEMENTS 2026'!W2406)</f>
        <v/>
      </c>
      <c r="L2406" s="276">
        <f>IF($K2406="","",TODAY()-$K2406)</f>
        <v/>
      </c>
      <c r="M2406">
        <f>IF($A2406="","",IF($H2406="ENGAGE","Engagé",IF(AND($H2406="NON ENGAGE",OR($I2406="INFRUCTUEUX",$I2406="ANNULE")),"Clôturé sans suite","En cours")))</f>
        <v/>
      </c>
      <c r="N2406">
        <f>IF(ISBLANK('ENGAGEMENTS 2026'!C2406),"",'ENGAGEMENTS 2026'!L2406)</f>
        <v/>
      </c>
      <c r="O2406">
        <f>IF(ISBLANK('ENGAGEMENTS 2026'!C2406),"",'ENGAGEMENTS 2026'!M2406)</f>
        <v/>
      </c>
      <c r="P2406">
        <f>IF(ISBLANK('ENGAGEMENTS 2026'!C2406),"",'ENGAGEMENTS 2026'!K2406)</f>
        <v/>
      </c>
      <c r="Q2406">
        <f>IF($A2406="","",IF(OR($E2406="INFRUCTUEUX",$E2406="ANNULE"),$A2406&amp;"|"&amp;(COUNTIFS($A$2:$A2406,$A2406,$E$2:$E2406,"INFRUCTUEUX")+COUNTIFS($A$2:$A2406,$A2406,$E$2:$E2406,"ANNULE")),""))</f>
        <v/>
      </c>
    </row>
    <row r="2407">
      <c r="A2407">
        <f>IF(ISBLANK('ENGAGEMENTS 2026'!C2407),"",IF('ENGAGEMENTS 2026'!C2407="DTSI","DCT",'ENGAGEMENTS 2026'!C2407))</f>
        <v/>
      </c>
      <c r="B2407">
        <f>IF(ISBLANK('ENGAGEMENTS 2026'!C2407),"",'ENGAGEMENTS 2026'!D2407)</f>
        <v/>
      </c>
      <c r="C2407">
        <f>IF(ISBLANK('ENGAGEMENTS 2026'!C2407),"",'ENGAGEMENTS 2026'!E2407)</f>
        <v/>
      </c>
      <c r="D2407">
        <f>IF(ISBLANK('ENGAGEMENTS 2026'!C2407),"",'ENGAGEMENTS 2026'!G2407)</f>
        <v/>
      </c>
      <c r="E2407">
        <f>IF(ISBLANK('ENGAGEMENTS 2026'!C2407),"",'ENGAGEMENTS 2026'!I2407)</f>
        <v/>
      </c>
      <c r="F2407">
        <f>IF(ISBLANK('ENGAGEMENTS 2026'!C2407),"",'ENGAGEMENTS 2026'!J2407)</f>
        <v/>
      </c>
      <c r="G2407">
        <f>IF(ISBLANK('ENGAGEMENTS 2026'!C2407),"",'ENGAGEMENTS 2026'!M2407)</f>
        <v/>
      </c>
      <c r="H2407">
        <f>IF(ISBLANK('ENGAGEMENTS 2026'!C2407),"",'ENGAGEMENTS 2026'!AF2407)</f>
        <v/>
      </c>
      <c r="I2407">
        <f>IF(ISBLANK('ENGAGEMENTS 2026'!C2407),"",'ENGAGEMENTS 2026'!H2407)</f>
        <v/>
      </c>
      <c r="J2407" s="275">
        <f>IF(ISBLANK('ENGAGEMENTS 2026'!C2407),"",IF(AND(OR($E2407="INFRUCTUEUX",$E2407="ANNULE"),$C2407="AOO-M"),'ENGAGEMENTS 2026'!P2407,IF($H2407="EN COURS DE PREENGAGEMENT",'ENGAGEMENTS 2026'!O2407,IF($H2407="PREENGAGE",IF($E2407="ATTRIBUE",'ENGAGEMENTS 2026'!AE2407,'ENGAGEMENTS 2026'!O2407),'ENGAGEMENTS 2026'!AE2407))))</f>
        <v/>
      </c>
      <c r="K2407" s="604">
        <f>IF(ISBLANK('ENGAGEMENTS 2026'!W2407),"",'ENGAGEMENTS 2026'!W2407)</f>
        <v/>
      </c>
      <c r="L2407" s="276">
        <f>IF($K2407="","",TODAY()-$K2407)</f>
        <v/>
      </c>
      <c r="M2407">
        <f>IF($A2407="","",IF($H2407="ENGAGE","Engagé",IF(AND($H2407="NON ENGAGE",OR($I2407="INFRUCTUEUX",$I2407="ANNULE")),"Clôturé sans suite","En cours")))</f>
        <v/>
      </c>
      <c r="N2407">
        <f>IF(ISBLANK('ENGAGEMENTS 2026'!C2407),"",'ENGAGEMENTS 2026'!L2407)</f>
        <v/>
      </c>
      <c r="O2407">
        <f>IF(ISBLANK('ENGAGEMENTS 2026'!C2407),"",'ENGAGEMENTS 2026'!M2407)</f>
        <v/>
      </c>
      <c r="P2407">
        <f>IF(ISBLANK('ENGAGEMENTS 2026'!C2407),"",'ENGAGEMENTS 2026'!K2407)</f>
        <v/>
      </c>
      <c r="Q2407">
        <f>IF($A2407="","",IF(OR($E2407="INFRUCTUEUX",$E2407="ANNULE"),$A2407&amp;"|"&amp;(COUNTIFS($A$2:$A2407,$A2407,$E$2:$E2407,"INFRUCTUEUX")+COUNTIFS($A$2:$A2407,$A2407,$E$2:$E2407,"ANNULE")),""))</f>
        <v/>
      </c>
    </row>
    <row r="2408">
      <c r="A2408">
        <f>IF(ISBLANK('ENGAGEMENTS 2026'!C2408),"",IF('ENGAGEMENTS 2026'!C2408="DTSI","DCT",'ENGAGEMENTS 2026'!C2408))</f>
        <v/>
      </c>
      <c r="B2408">
        <f>IF(ISBLANK('ENGAGEMENTS 2026'!C2408),"",'ENGAGEMENTS 2026'!D2408)</f>
        <v/>
      </c>
      <c r="C2408">
        <f>IF(ISBLANK('ENGAGEMENTS 2026'!C2408),"",'ENGAGEMENTS 2026'!E2408)</f>
        <v/>
      </c>
      <c r="D2408">
        <f>IF(ISBLANK('ENGAGEMENTS 2026'!C2408),"",'ENGAGEMENTS 2026'!G2408)</f>
        <v/>
      </c>
      <c r="E2408">
        <f>IF(ISBLANK('ENGAGEMENTS 2026'!C2408),"",'ENGAGEMENTS 2026'!I2408)</f>
        <v/>
      </c>
      <c r="F2408">
        <f>IF(ISBLANK('ENGAGEMENTS 2026'!C2408),"",'ENGAGEMENTS 2026'!J2408)</f>
        <v/>
      </c>
      <c r="G2408">
        <f>IF(ISBLANK('ENGAGEMENTS 2026'!C2408),"",'ENGAGEMENTS 2026'!M2408)</f>
        <v/>
      </c>
      <c r="H2408">
        <f>IF(ISBLANK('ENGAGEMENTS 2026'!C2408),"",'ENGAGEMENTS 2026'!AF2408)</f>
        <v/>
      </c>
      <c r="I2408">
        <f>IF(ISBLANK('ENGAGEMENTS 2026'!C2408),"",'ENGAGEMENTS 2026'!H2408)</f>
        <v/>
      </c>
      <c r="J2408" s="275">
        <f>IF(ISBLANK('ENGAGEMENTS 2026'!C2408),"",IF(AND(OR($E2408="INFRUCTUEUX",$E2408="ANNULE"),$C2408="AOO-M"),'ENGAGEMENTS 2026'!P2408,IF($H2408="EN COURS DE PREENGAGEMENT",'ENGAGEMENTS 2026'!O2408,IF($H2408="PREENGAGE",IF($E2408="ATTRIBUE",'ENGAGEMENTS 2026'!AE2408,'ENGAGEMENTS 2026'!O2408),'ENGAGEMENTS 2026'!AE2408))))</f>
        <v/>
      </c>
      <c r="K2408" s="604">
        <f>IF(ISBLANK('ENGAGEMENTS 2026'!W2408),"",'ENGAGEMENTS 2026'!W2408)</f>
        <v/>
      </c>
      <c r="L2408" s="276">
        <f>IF($K2408="","",TODAY()-$K2408)</f>
        <v/>
      </c>
      <c r="M2408">
        <f>IF($A2408="","",IF($H2408="ENGAGE","Engagé",IF(AND($H2408="NON ENGAGE",OR($I2408="INFRUCTUEUX",$I2408="ANNULE")),"Clôturé sans suite","En cours")))</f>
        <v/>
      </c>
      <c r="N2408">
        <f>IF(ISBLANK('ENGAGEMENTS 2026'!C2408),"",'ENGAGEMENTS 2026'!L2408)</f>
        <v/>
      </c>
      <c r="O2408">
        <f>IF(ISBLANK('ENGAGEMENTS 2026'!C2408),"",'ENGAGEMENTS 2026'!M2408)</f>
        <v/>
      </c>
      <c r="P2408">
        <f>IF(ISBLANK('ENGAGEMENTS 2026'!C2408),"",'ENGAGEMENTS 2026'!K2408)</f>
        <v/>
      </c>
      <c r="Q2408">
        <f>IF($A2408="","",IF(OR($E2408="INFRUCTUEUX",$E2408="ANNULE"),$A2408&amp;"|"&amp;(COUNTIFS($A$2:$A2408,$A2408,$E$2:$E2408,"INFRUCTUEUX")+COUNTIFS($A$2:$A2408,$A2408,$E$2:$E2408,"ANNULE")),""))</f>
        <v/>
      </c>
    </row>
    <row r="2409">
      <c r="A2409">
        <f>IF(ISBLANK('ENGAGEMENTS 2026'!C2409),"",IF('ENGAGEMENTS 2026'!C2409="DTSI","DCT",'ENGAGEMENTS 2026'!C2409))</f>
        <v/>
      </c>
      <c r="B2409">
        <f>IF(ISBLANK('ENGAGEMENTS 2026'!C2409),"",'ENGAGEMENTS 2026'!D2409)</f>
        <v/>
      </c>
      <c r="C2409">
        <f>IF(ISBLANK('ENGAGEMENTS 2026'!C2409),"",'ENGAGEMENTS 2026'!E2409)</f>
        <v/>
      </c>
      <c r="D2409">
        <f>IF(ISBLANK('ENGAGEMENTS 2026'!C2409),"",'ENGAGEMENTS 2026'!G2409)</f>
        <v/>
      </c>
      <c r="E2409">
        <f>IF(ISBLANK('ENGAGEMENTS 2026'!C2409),"",'ENGAGEMENTS 2026'!I2409)</f>
        <v/>
      </c>
      <c r="F2409">
        <f>IF(ISBLANK('ENGAGEMENTS 2026'!C2409),"",'ENGAGEMENTS 2026'!J2409)</f>
        <v/>
      </c>
      <c r="G2409">
        <f>IF(ISBLANK('ENGAGEMENTS 2026'!C2409),"",'ENGAGEMENTS 2026'!M2409)</f>
        <v/>
      </c>
      <c r="H2409">
        <f>IF(ISBLANK('ENGAGEMENTS 2026'!C2409),"",'ENGAGEMENTS 2026'!AF2409)</f>
        <v/>
      </c>
      <c r="I2409">
        <f>IF(ISBLANK('ENGAGEMENTS 2026'!C2409),"",'ENGAGEMENTS 2026'!H2409)</f>
        <v/>
      </c>
      <c r="J2409" s="275">
        <f>IF(ISBLANK('ENGAGEMENTS 2026'!C2409),"",IF(AND(OR($E2409="INFRUCTUEUX",$E2409="ANNULE"),$C2409="AOO-M"),'ENGAGEMENTS 2026'!P2409,IF($H2409="EN COURS DE PREENGAGEMENT",'ENGAGEMENTS 2026'!O2409,IF($H2409="PREENGAGE",IF($E2409="ATTRIBUE",'ENGAGEMENTS 2026'!AE2409,'ENGAGEMENTS 2026'!O2409),'ENGAGEMENTS 2026'!AE2409))))</f>
        <v/>
      </c>
      <c r="K2409" s="604">
        <f>IF(ISBLANK('ENGAGEMENTS 2026'!W2409),"",'ENGAGEMENTS 2026'!W2409)</f>
        <v/>
      </c>
      <c r="L2409" s="276">
        <f>IF($K2409="","",TODAY()-$K2409)</f>
        <v/>
      </c>
      <c r="M2409">
        <f>IF($A2409="","",IF($H2409="ENGAGE","Engagé",IF(AND($H2409="NON ENGAGE",OR($I2409="INFRUCTUEUX",$I2409="ANNULE")),"Clôturé sans suite","En cours")))</f>
        <v/>
      </c>
      <c r="N2409">
        <f>IF(ISBLANK('ENGAGEMENTS 2026'!C2409),"",'ENGAGEMENTS 2026'!L2409)</f>
        <v/>
      </c>
      <c r="O2409">
        <f>IF(ISBLANK('ENGAGEMENTS 2026'!C2409),"",'ENGAGEMENTS 2026'!M2409)</f>
        <v/>
      </c>
      <c r="P2409">
        <f>IF(ISBLANK('ENGAGEMENTS 2026'!C2409),"",'ENGAGEMENTS 2026'!K2409)</f>
        <v/>
      </c>
      <c r="Q2409">
        <f>IF($A2409="","",IF(OR($E2409="INFRUCTUEUX",$E2409="ANNULE"),$A2409&amp;"|"&amp;(COUNTIFS($A$2:$A2409,$A2409,$E$2:$E2409,"INFRUCTUEUX")+COUNTIFS($A$2:$A2409,$A2409,$E$2:$E2409,"ANNULE")),""))</f>
        <v/>
      </c>
    </row>
    <row r="2410">
      <c r="A2410">
        <f>IF(ISBLANK('ENGAGEMENTS 2026'!C2410),"",IF('ENGAGEMENTS 2026'!C2410="DTSI","DCT",'ENGAGEMENTS 2026'!C2410))</f>
        <v/>
      </c>
      <c r="B2410">
        <f>IF(ISBLANK('ENGAGEMENTS 2026'!C2410),"",'ENGAGEMENTS 2026'!D2410)</f>
        <v/>
      </c>
      <c r="C2410">
        <f>IF(ISBLANK('ENGAGEMENTS 2026'!C2410),"",'ENGAGEMENTS 2026'!E2410)</f>
        <v/>
      </c>
      <c r="D2410">
        <f>IF(ISBLANK('ENGAGEMENTS 2026'!C2410),"",'ENGAGEMENTS 2026'!G2410)</f>
        <v/>
      </c>
      <c r="E2410">
        <f>IF(ISBLANK('ENGAGEMENTS 2026'!C2410),"",'ENGAGEMENTS 2026'!I2410)</f>
        <v/>
      </c>
      <c r="F2410">
        <f>IF(ISBLANK('ENGAGEMENTS 2026'!C2410),"",'ENGAGEMENTS 2026'!J2410)</f>
        <v/>
      </c>
      <c r="G2410">
        <f>IF(ISBLANK('ENGAGEMENTS 2026'!C2410),"",'ENGAGEMENTS 2026'!M2410)</f>
        <v/>
      </c>
      <c r="H2410">
        <f>IF(ISBLANK('ENGAGEMENTS 2026'!C2410),"",'ENGAGEMENTS 2026'!AF2410)</f>
        <v/>
      </c>
      <c r="I2410">
        <f>IF(ISBLANK('ENGAGEMENTS 2026'!C2410),"",'ENGAGEMENTS 2026'!H2410)</f>
        <v/>
      </c>
      <c r="J2410" s="275">
        <f>IF(ISBLANK('ENGAGEMENTS 2026'!C2410),"",IF(AND(OR($E2410="INFRUCTUEUX",$E2410="ANNULE"),$C2410="AOO-M"),'ENGAGEMENTS 2026'!P2410,IF($H2410="EN COURS DE PREENGAGEMENT",'ENGAGEMENTS 2026'!O2410,IF($H2410="PREENGAGE",IF($E2410="ATTRIBUE",'ENGAGEMENTS 2026'!AE2410,'ENGAGEMENTS 2026'!O2410),'ENGAGEMENTS 2026'!AE2410))))</f>
        <v/>
      </c>
      <c r="K2410" s="604">
        <f>IF(ISBLANK('ENGAGEMENTS 2026'!W2410),"",'ENGAGEMENTS 2026'!W2410)</f>
        <v/>
      </c>
      <c r="L2410" s="276">
        <f>IF($K2410="","",TODAY()-$K2410)</f>
        <v/>
      </c>
      <c r="M2410">
        <f>IF($A2410="","",IF($H2410="ENGAGE","Engagé",IF(AND($H2410="NON ENGAGE",OR($I2410="INFRUCTUEUX",$I2410="ANNULE")),"Clôturé sans suite","En cours")))</f>
        <v/>
      </c>
      <c r="N2410">
        <f>IF(ISBLANK('ENGAGEMENTS 2026'!C2410),"",'ENGAGEMENTS 2026'!L2410)</f>
        <v/>
      </c>
      <c r="O2410">
        <f>IF(ISBLANK('ENGAGEMENTS 2026'!C2410),"",'ENGAGEMENTS 2026'!M2410)</f>
        <v/>
      </c>
      <c r="P2410">
        <f>IF(ISBLANK('ENGAGEMENTS 2026'!C2410),"",'ENGAGEMENTS 2026'!K2410)</f>
        <v/>
      </c>
      <c r="Q2410">
        <f>IF($A2410="","",IF(OR($E2410="INFRUCTUEUX",$E2410="ANNULE"),$A2410&amp;"|"&amp;(COUNTIFS($A$2:$A2410,$A2410,$E$2:$E2410,"INFRUCTUEUX")+COUNTIFS($A$2:$A2410,$A2410,$E$2:$E2410,"ANNULE")),""))</f>
        <v/>
      </c>
    </row>
    <row r="2411">
      <c r="A2411">
        <f>IF(ISBLANK('ENGAGEMENTS 2026'!C2411),"",IF('ENGAGEMENTS 2026'!C2411="DTSI","DCT",'ENGAGEMENTS 2026'!C2411))</f>
        <v/>
      </c>
      <c r="B2411">
        <f>IF(ISBLANK('ENGAGEMENTS 2026'!C2411),"",'ENGAGEMENTS 2026'!D2411)</f>
        <v/>
      </c>
      <c r="C2411">
        <f>IF(ISBLANK('ENGAGEMENTS 2026'!C2411),"",'ENGAGEMENTS 2026'!E2411)</f>
        <v/>
      </c>
      <c r="D2411">
        <f>IF(ISBLANK('ENGAGEMENTS 2026'!C2411),"",'ENGAGEMENTS 2026'!G2411)</f>
        <v/>
      </c>
      <c r="E2411">
        <f>IF(ISBLANK('ENGAGEMENTS 2026'!C2411),"",'ENGAGEMENTS 2026'!I2411)</f>
        <v/>
      </c>
      <c r="F2411">
        <f>IF(ISBLANK('ENGAGEMENTS 2026'!C2411),"",'ENGAGEMENTS 2026'!J2411)</f>
        <v/>
      </c>
      <c r="G2411">
        <f>IF(ISBLANK('ENGAGEMENTS 2026'!C2411),"",'ENGAGEMENTS 2026'!M2411)</f>
        <v/>
      </c>
      <c r="H2411">
        <f>IF(ISBLANK('ENGAGEMENTS 2026'!C2411),"",'ENGAGEMENTS 2026'!AF2411)</f>
        <v/>
      </c>
      <c r="I2411">
        <f>IF(ISBLANK('ENGAGEMENTS 2026'!C2411),"",'ENGAGEMENTS 2026'!H2411)</f>
        <v/>
      </c>
      <c r="J2411" s="275">
        <f>IF(ISBLANK('ENGAGEMENTS 2026'!C2411),"",IF(AND(OR($E2411="INFRUCTUEUX",$E2411="ANNULE"),$C2411="AOO-M"),'ENGAGEMENTS 2026'!P2411,IF($H2411="EN COURS DE PREENGAGEMENT",'ENGAGEMENTS 2026'!O2411,IF($H2411="PREENGAGE",IF($E2411="ATTRIBUE",'ENGAGEMENTS 2026'!AE2411,'ENGAGEMENTS 2026'!O2411),'ENGAGEMENTS 2026'!AE2411))))</f>
        <v/>
      </c>
      <c r="K2411" s="604">
        <f>IF(ISBLANK('ENGAGEMENTS 2026'!W2411),"",'ENGAGEMENTS 2026'!W2411)</f>
        <v/>
      </c>
      <c r="L2411" s="276">
        <f>IF($K2411="","",TODAY()-$K2411)</f>
        <v/>
      </c>
      <c r="M2411">
        <f>IF($A2411="","",IF($H2411="ENGAGE","Engagé",IF(AND($H2411="NON ENGAGE",OR($I2411="INFRUCTUEUX",$I2411="ANNULE")),"Clôturé sans suite","En cours")))</f>
        <v/>
      </c>
      <c r="N2411">
        <f>IF(ISBLANK('ENGAGEMENTS 2026'!C2411),"",'ENGAGEMENTS 2026'!L2411)</f>
        <v/>
      </c>
      <c r="O2411">
        <f>IF(ISBLANK('ENGAGEMENTS 2026'!C2411),"",'ENGAGEMENTS 2026'!M2411)</f>
        <v/>
      </c>
      <c r="P2411">
        <f>IF(ISBLANK('ENGAGEMENTS 2026'!C2411),"",'ENGAGEMENTS 2026'!K2411)</f>
        <v/>
      </c>
      <c r="Q2411">
        <f>IF($A2411="","",IF(OR($E2411="INFRUCTUEUX",$E2411="ANNULE"),$A2411&amp;"|"&amp;(COUNTIFS($A$2:$A2411,$A2411,$E$2:$E2411,"INFRUCTUEUX")+COUNTIFS($A$2:$A2411,$A2411,$E$2:$E2411,"ANNULE")),""))</f>
        <v/>
      </c>
    </row>
    <row r="2412">
      <c r="A2412">
        <f>IF(ISBLANK('ENGAGEMENTS 2026'!C2412),"",IF('ENGAGEMENTS 2026'!C2412="DTSI","DCT",'ENGAGEMENTS 2026'!C2412))</f>
        <v/>
      </c>
      <c r="B2412">
        <f>IF(ISBLANK('ENGAGEMENTS 2026'!C2412),"",'ENGAGEMENTS 2026'!D2412)</f>
        <v/>
      </c>
      <c r="C2412">
        <f>IF(ISBLANK('ENGAGEMENTS 2026'!C2412),"",'ENGAGEMENTS 2026'!E2412)</f>
        <v/>
      </c>
      <c r="D2412">
        <f>IF(ISBLANK('ENGAGEMENTS 2026'!C2412),"",'ENGAGEMENTS 2026'!G2412)</f>
        <v/>
      </c>
      <c r="E2412">
        <f>IF(ISBLANK('ENGAGEMENTS 2026'!C2412),"",'ENGAGEMENTS 2026'!I2412)</f>
        <v/>
      </c>
      <c r="F2412">
        <f>IF(ISBLANK('ENGAGEMENTS 2026'!C2412),"",'ENGAGEMENTS 2026'!J2412)</f>
        <v/>
      </c>
      <c r="G2412">
        <f>IF(ISBLANK('ENGAGEMENTS 2026'!C2412),"",'ENGAGEMENTS 2026'!M2412)</f>
        <v/>
      </c>
      <c r="H2412">
        <f>IF(ISBLANK('ENGAGEMENTS 2026'!C2412),"",'ENGAGEMENTS 2026'!AF2412)</f>
        <v/>
      </c>
      <c r="I2412">
        <f>IF(ISBLANK('ENGAGEMENTS 2026'!C2412),"",'ENGAGEMENTS 2026'!H2412)</f>
        <v/>
      </c>
      <c r="J2412" s="275">
        <f>IF(ISBLANK('ENGAGEMENTS 2026'!C2412),"",IF(AND(OR($E2412="INFRUCTUEUX",$E2412="ANNULE"),$C2412="AOO-M"),'ENGAGEMENTS 2026'!P2412,IF($H2412="EN COURS DE PREENGAGEMENT",'ENGAGEMENTS 2026'!O2412,IF($H2412="PREENGAGE",IF($E2412="ATTRIBUE",'ENGAGEMENTS 2026'!AE2412,'ENGAGEMENTS 2026'!O2412),'ENGAGEMENTS 2026'!AE2412))))</f>
        <v/>
      </c>
      <c r="K2412" s="604">
        <f>IF(ISBLANK('ENGAGEMENTS 2026'!W2412),"",'ENGAGEMENTS 2026'!W2412)</f>
        <v/>
      </c>
      <c r="L2412" s="276">
        <f>IF($K2412="","",TODAY()-$K2412)</f>
        <v/>
      </c>
      <c r="M2412">
        <f>IF($A2412="","",IF($H2412="ENGAGE","Engagé",IF(AND($H2412="NON ENGAGE",OR($I2412="INFRUCTUEUX",$I2412="ANNULE")),"Clôturé sans suite","En cours")))</f>
        <v/>
      </c>
      <c r="N2412">
        <f>IF(ISBLANK('ENGAGEMENTS 2026'!C2412),"",'ENGAGEMENTS 2026'!L2412)</f>
        <v/>
      </c>
      <c r="O2412">
        <f>IF(ISBLANK('ENGAGEMENTS 2026'!C2412),"",'ENGAGEMENTS 2026'!M2412)</f>
        <v/>
      </c>
      <c r="P2412">
        <f>IF(ISBLANK('ENGAGEMENTS 2026'!C2412),"",'ENGAGEMENTS 2026'!K2412)</f>
        <v/>
      </c>
      <c r="Q2412">
        <f>IF($A2412="","",IF(OR($E2412="INFRUCTUEUX",$E2412="ANNULE"),$A2412&amp;"|"&amp;(COUNTIFS($A$2:$A2412,$A2412,$E$2:$E2412,"INFRUCTUEUX")+COUNTIFS($A$2:$A2412,$A2412,$E$2:$E2412,"ANNULE")),""))</f>
        <v/>
      </c>
    </row>
    <row r="2413">
      <c r="A2413">
        <f>IF(ISBLANK('ENGAGEMENTS 2026'!C2413),"",IF('ENGAGEMENTS 2026'!C2413="DTSI","DCT",'ENGAGEMENTS 2026'!C2413))</f>
        <v/>
      </c>
      <c r="B2413">
        <f>IF(ISBLANK('ENGAGEMENTS 2026'!C2413),"",'ENGAGEMENTS 2026'!D2413)</f>
        <v/>
      </c>
      <c r="C2413">
        <f>IF(ISBLANK('ENGAGEMENTS 2026'!C2413),"",'ENGAGEMENTS 2026'!E2413)</f>
        <v/>
      </c>
      <c r="D2413">
        <f>IF(ISBLANK('ENGAGEMENTS 2026'!C2413),"",'ENGAGEMENTS 2026'!G2413)</f>
        <v/>
      </c>
      <c r="E2413">
        <f>IF(ISBLANK('ENGAGEMENTS 2026'!C2413),"",'ENGAGEMENTS 2026'!I2413)</f>
        <v/>
      </c>
      <c r="F2413">
        <f>IF(ISBLANK('ENGAGEMENTS 2026'!C2413),"",'ENGAGEMENTS 2026'!J2413)</f>
        <v/>
      </c>
      <c r="G2413">
        <f>IF(ISBLANK('ENGAGEMENTS 2026'!C2413),"",'ENGAGEMENTS 2026'!M2413)</f>
        <v/>
      </c>
      <c r="H2413">
        <f>IF(ISBLANK('ENGAGEMENTS 2026'!C2413),"",'ENGAGEMENTS 2026'!AF2413)</f>
        <v/>
      </c>
      <c r="I2413">
        <f>IF(ISBLANK('ENGAGEMENTS 2026'!C2413),"",'ENGAGEMENTS 2026'!H2413)</f>
        <v/>
      </c>
      <c r="J2413" s="275">
        <f>IF(ISBLANK('ENGAGEMENTS 2026'!C2413),"",IF(AND(OR($E2413="INFRUCTUEUX",$E2413="ANNULE"),$C2413="AOO-M"),'ENGAGEMENTS 2026'!P2413,IF($H2413="EN COURS DE PREENGAGEMENT",'ENGAGEMENTS 2026'!O2413,IF($H2413="PREENGAGE",IF($E2413="ATTRIBUE",'ENGAGEMENTS 2026'!AE2413,'ENGAGEMENTS 2026'!O2413),'ENGAGEMENTS 2026'!AE2413))))</f>
        <v/>
      </c>
      <c r="K2413" s="604">
        <f>IF(ISBLANK('ENGAGEMENTS 2026'!W2413),"",'ENGAGEMENTS 2026'!W2413)</f>
        <v/>
      </c>
      <c r="L2413" s="276">
        <f>IF($K2413="","",TODAY()-$K2413)</f>
        <v/>
      </c>
      <c r="M2413">
        <f>IF($A2413="","",IF($H2413="ENGAGE","Engagé",IF(AND($H2413="NON ENGAGE",OR($I2413="INFRUCTUEUX",$I2413="ANNULE")),"Clôturé sans suite","En cours")))</f>
        <v/>
      </c>
      <c r="N2413">
        <f>IF(ISBLANK('ENGAGEMENTS 2026'!C2413),"",'ENGAGEMENTS 2026'!L2413)</f>
        <v/>
      </c>
      <c r="O2413">
        <f>IF(ISBLANK('ENGAGEMENTS 2026'!C2413),"",'ENGAGEMENTS 2026'!M2413)</f>
        <v/>
      </c>
      <c r="P2413">
        <f>IF(ISBLANK('ENGAGEMENTS 2026'!C2413),"",'ENGAGEMENTS 2026'!K2413)</f>
        <v/>
      </c>
      <c r="Q2413">
        <f>IF($A2413="","",IF(OR($E2413="INFRUCTUEUX",$E2413="ANNULE"),$A2413&amp;"|"&amp;(COUNTIFS($A$2:$A2413,$A2413,$E$2:$E2413,"INFRUCTUEUX")+COUNTIFS($A$2:$A2413,$A2413,$E$2:$E2413,"ANNULE")),""))</f>
        <v/>
      </c>
    </row>
    <row r="2414">
      <c r="A2414">
        <f>IF(ISBLANK('ENGAGEMENTS 2026'!C2414),"",IF('ENGAGEMENTS 2026'!C2414="DTSI","DCT",'ENGAGEMENTS 2026'!C2414))</f>
        <v/>
      </c>
      <c r="B2414">
        <f>IF(ISBLANK('ENGAGEMENTS 2026'!C2414),"",'ENGAGEMENTS 2026'!D2414)</f>
        <v/>
      </c>
      <c r="C2414">
        <f>IF(ISBLANK('ENGAGEMENTS 2026'!C2414),"",'ENGAGEMENTS 2026'!E2414)</f>
        <v/>
      </c>
      <c r="D2414">
        <f>IF(ISBLANK('ENGAGEMENTS 2026'!C2414),"",'ENGAGEMENTS 2026'!G2414)</f>
        <v/>
      </c>
      <c r="E2414">
        <f>IF(ISBLANK('ENGAGEMENTS 2026'!C2414),"",'ENGAGEMENTS 2026'!I2414)</f>
        <v/>
      </c>
      <c r="F2414">
        <f>IF(ISBLANK('ENGAGEMENTS 2026'!C2414),"",'ENGAGEMENTS 2026'!J2414)</f>
        <v/>
      </c>
      <c r="G2414">
        <f>IF(ISBLANK('ENGAGEMENTS 2026'!C2414),"",'ENGAGEMENTS 2026'!M2414)</f>
        <v/>
      </c>
      <c r="H2414">
        <f>IF(ISBLANK('ENGAGEMENTS 2026'!C2414),"",'ENGAGEMENTS 2026'!AF2414)</f>
        <v/>
      </c>
      <c r="I2414">
        <f>IF(ISBLANK('ENGAGEMENTS 2026'!C2414),"",'ENGAGEMENTS 2026'!H2414)</f>
        <v/>
      </c>
      <c r="J2414" s="275">
        <f>IF(ISBLANK('ENGAGEMENTS 2026'!C2414),"",IF(AND(OR($E2414="INFRUCTUEUX",$E2414="ANNULE"),$C2414="AOO-M"),'ENGAGEMENTS 2026'!P2414,IF($H2414="EN COURS DE PREENGAGEMENT",'ENGAGEMENTS 2026'!O2414,IF($H2414="PREENGAGE",IF($E2414="ATTRIBUE",'ENGAGEMENTS 2026'!AE2414,'ENGAGEMENTS 2026'!O2414),'ENGAGEMENTS 2026'!AE2414))))</f>
        <v/>
      </c>
      <c r="K2414" s="604">
        <f>IF(ISBLANK('ENGAGEMENTS 2026'!W2414),"",'ENGAGEMENTS 2026'!W2414)</f>
        <v/>
      </c>
      <c r="L2414" s="276">
        <f>IF($K2414="","",TODAY()-$K2414)</f>
        <v/>
      </c>
      <c r="M2414">
        <f>IF($A2414="","",IF($H2414="ENGAGE","Engagé",IF(AND($H2414="NON ENGAGE",OR($I2414="INFRUCTUEUX",$I2414="ANNULE")),"Clôturé sans suite","En cours")))</f>
        <v/>
      </c>
      <c r="N2414">
        <f>IF(ISBLANK('ENGAGEMENTS 2026'!C2414),"",'ENGAGEMENTS 2026'!L2414)</f>
        <v/>
      </c>
      <c r="O2414">
        <f>IF(ISBLANK('ENGAGEMENTS 2026'!C2414),"",'ENGAGEMENTS 2026'!M2414)</f>
        <v/>
      </c>
      <c r="P2414">
        <f>IF(ISBLANK('ENGAGEMENTS 2026'!C2414),"",'ENGAGEMENTS 2026'!K2414)</f>
        <v/>
      </c>
      <c r="Q2414">
        <f>IF($A2414="","",IF(OR($E2414="INFRUCTUEUX",$E2414="ANNULE"),$A2414&amp;"|"&amp;(COUNTIFS($A$2:$A2414,$A2414,$E$2:$E2414,"INFRUCTUEUX")+COUNTIFS($A$2:$A2414,$A2414,$E$2:$E2414,"ANNULE")),""))</f>
        <v/>
      </c>
    </row>
    <row r="2415">
      <c r="A2415">
        <f>IF(ISBLANK('ENGAGEMENTS 2026'!C2415),"",IF('ENGAGEMENTS 2026'!C2415="DTSI","DCT",'ENGAGEMENTS 2026'!C2415))</f>
        <v/>
      </c>
      <c r="B2415">
        <f>IF(ISBLANK('ENGAGEMENTS 2026'!C2415),"",'ENGAGEMENTS 2026'!D2415)</f>
        <v/>
      </c>
      <c r="C2415">
        <f>IF(ISBLANK('ENGAGEMENTS 2026'!C2415),"",'ENGAGEMENTS 2026'!E2415)</f>
        <v/>
      </c>
      <c r="D2415">
        <f>IF(ISBLANK('ENGAGEMENTS 2026'!C2415),"",'ENGAGEMENTS 2026'!G2415)</f>
        <v/>
      </c>
      <c r="E2415">
        <f>IF(ISBLANK('ENGAGEMENTS 2026'!C2415),"",'ENGAGEMENTS 2026'!I2415)</f>
        <v/>
      </c>
      <c r="F2415">
        <f>IF(ISBLANK('ENGAGEMENTS 2026'!C2415),"",'ENGAGEMENTS 2026'!J2415)</f>
        <v/>
      </c>
      <c r="G2415">
        <f>IF(ISBLANK('ENGAGEMENTS 2026'!C2415),"",'ENGAGEMENTS 2026'!M2415)</f>
        <v/>
      </c>
      <c r="H2415">
        <f>IF(ISBLANK('ENGAGEMENTS 2026'!C2415),"",'ENGAGEMENTS 2026'!AF2415)</f>
        <v/>
      </c>
      <c r="I2415">
        <f>IF(ISBLANK('ENGAGEMENTS 2026'!C2415),"",'ENGAGEMENTS 2026'!H2415)</f>
        <v/>
      </c>
      <c r="J2415" s="275">
        <f>IF(ISBLANK('ENGAGEMENTS 2026'!C2415),"",IF(AND(OR($E2415="INFRUCTUEUX",$E2415="ANNULE"),$C2415="AOO-M"),'ENGAGEMENTS 2026'!P2415,IF($H2415="EN COURS DE PREENGAGEMENT",'ENGAGEMENTS 2026'!O2415,IF($H2415="PREENGAGE",IF($E2415="ATTRIBUE",'ENGAGEMENTS 2026'!AE2415,'ENGAGEMENTS 2026'!O2415),'ENGAGEMENTS 2026'!AE2415))))</f>
        <v/>
      </c>
      <c r="K2415" s="604">
        <f>IF(ISBLANK('ENGAGEMENTS 2026'!W2415),"",'ENGAGEMENTS 2026'!W2415)</f>
        <v/>
      </c>
      <c r="L2415" s="276">
        <f>IF($K2415="","",TODAY()-$K2415)</f>
        <v/>
      </c>
      <c r="M2415">
        <f>IF($A2415="","",IF($H2415="ENGAGE","Engagé",IF(AND($H2415="NON ENGAGE",OR($I2415="INFRUCTUEUX",$I2415="ANNULE")),"Clôturé sans suite","En cours")))</f>
        <v/>
      </c>
      <c r="N2415">
        <f>IF(ISBLANK('ENGAGEMENTS 2026'!C2415),"",'ENGAGEMENTS 2026'!L2415)</f>
        <v/>
      </c>
      <c r="O2415">
        <f>IF(ISBLANK('ENGAGEMENTS 2026'!C2415),"",'ENGAGEMENTS 2026'!M2415)</f>
        <v/>
      </c>
      <c r="P2415">
        <f>IF(ISBLANK('ENGAGEMENTS 2026'!C2415),"",'ENGAGEMENTS 2026'!K2415)</f>
        <v/>
      </c>
      <c r="Q2415">
        <f>IF($A2415="","",IF(OR($E2415="INFRUCTUEUX",$E2415="ANNULE"),$A2415&amp;"|"&amp;(COUNTIFS($A$2:$A2415,$A2415,$E$2:$E2415,"INFRUCTUEUX")+COUNTIFS($A$2:$A2415,$A2415,$E$2:$E2415,"ANNULE")),""))</f>
        <v/>
      </c>
    </row>
    <row r="2416">
      <c r="A2416">
        <f>IF(ISBLANK('ENGAGEMENTS 2026'!C2416),"",IF('ENGAGEMENTS 2026'!C2416="DTSI","DCT",'ENGAGEMENTS 2026'!C2416))</f>
        <v/>
      </c>
      <c r="B2416">
        <f>IF(ISBLANK('ENGAGEMENTS 2026'!C2416),"",'ENGAGEMENTS 2026'!D2416)</f>
        <v/>
      </c>
      <c r="C2416">
        <f>IF(ISBLANK('ENGAGEMENTS 2026'!C2416),"",'ENGAGEMENTS 2026'!E2416)</f>
        <v/>
      </c>
      <c r="D2416">
        <f>IF(ISBLANK('ENGAGEMENTS 2026'!C2416),"",'ENGAGEMENTS 2026'!G2416)</f>
        <v/>
      </c>
      <c r="E2416">
        <f>IF(ISBLANK('ENGAGEMENTS 2026'!C2416),"",'ENGAGEMENTS 2026'!I2416)</f>
        <v/>
      </c>
      <c r="F2416">
        <f>IF(ISBLANK('ENGAGEMENTS 2026'!C2416),"",'ENGAGEMENTS 2026'!J2416)</f>
        <v/>
      </c>
      <c r="G2416">
        <f>IF(ISBLANK('ENGAGEMENTS 2026'!C2416),"",'ENGAGEMENTS 2026'!M2416)</f>
        <v/>
      </c>
      <c r="H2416">
        <f>IF(ISBLANK('ENGAGEMENTS 2026'!C2416),"",'ENGAGEMENTS 2026'!AF2416)</f>
        <v/>
      </c>
      <c r="I2416">
        <f>IF(ISBLANK('ENGAGEMENTS 2026'!C2416),"",'ENGAGEMENTS 2026'!H2416)</f>
        <v/>
      </c>
      <c r="J2416" s="275">
        <f>IF(ISBLANK('ENGAGEMENTS 2026'!C2416),"",IF(AND(OR($E2416="INFRUCTUEUX",$E2416="ANNULE"),$C2416="AOO-M"),'ENGAGEMENTS 2026'!P2416,IF($H2416="EN COURS DE PREENGAGEMENT",'ENGAGEMENTS 2026'!O2416,IF($H2416="PREENGAGE",IF($E2416="ATTRIBUE",'ENGAGEMENTS 2026'!AE2416,'ENGAGEMENTS 2026'!O2416),'ENGAGEMENTS 2026'!AE2416))))</f>
        <v/>
      </c>
      <c r="K2416" s="604">
        <f>IF(ISBLANK('ENGAGEMENTS 2026'!W2416),"",'ENGAGEMENTS 2026'!W2416)</f>
        <v/>
      </c>
      <c r="L2416" s="276">
        <f>IF($K2416="","",TODAY()-$K2416)</f>
        <v/>
      </c>
      <c r="M2416">
        <f>IF($A2416="","",IF($H2416="ENGAGE","Engagé",IF(AND($H2416="NON ENGAGE",OR($I2416="INFRUCTUEUX",$I2416="ANNULE")),"Clôturé sans suite","En cours")))</f>
        <v/>
      </c>
      <c r="N2416">
        <f>IF(ISBLANK('ENGAGEMENTS 2026'!C2416),"",'ENGAGEMENTS 2026'!L2416)</f>
        <v/>
      </c>
      <c r="O2416">
        <f>IF(ISBLANK('ENGAGEMENTS 2026'!C2416),"",'ENGAGEMENTS 2026'!M2416)</f>
        <v/>
      </c>
      <c r="P2416">
        <f>IF(ISBLANK('ENGAGEMENTS 2026'!C2416),"",'ENGAGEMENTS 2026'!K2416)</f>
        <v/>
      </c>
      <c r="Q2416">
        <f>IF($A2416="","",IF(OR($E2416="INFRUCTUEUX",$E2416="ANNULE"),$A2416&amp;"|"&amp;(COUNTIFS($A$2:$A2416,$A2416,$E$2:$E2416,"INFRUCTUEUX")+COUNTIFS($A$2:$A2416,$A2416,$E$2:$E2416,"ANNULE")),""))</f>
        <v/>
      </c>
    </row>
    <row r="2417">
      <c r="A2417">
        <f>IF(ISBLANK('ENGAGEMENTS 2026'!C2417),"",IF('ENGAGEMENTS 2026'!C2417="DTSI","DCT",'ENGAGEMENTS 2026'!C2417))</f>
        <v/>
      </c>
      <c r="B2417">
        <f>IF(ISBLANK('ENGAGEMENTS 2026'!C2417),"",'ENGAGEMENTS 2026'!D2417)</f>
        <v/>
      </c>
      <c r="C2417">
        <f>IF(ISBLANK('ENGAGEMENTS 2026'!C2417),"",'ENGAGEMENTS 2026'!E2417)</f>
        <v/>
      </c>
      <c r="D2417">
        <f>IF(ISBLANK('ENGAGEMENTS 2026'!C2417),"",'ENGAGEMENTS 2026'!G2417)</f>
        <v/>
      </c>
      <c r="E2417">
        <f>IF(ISBLANK('ENGAGEMENTS 2026'!C2417),"",'ENGAGEMENTS 2026'!I2417)</f>
        <v/>
      </c>
      <c r="F2417">
        <f>IF(ISBLANK('ENGAGEMENTS 2026'!C2417),"",'ENGAGEMENTS 2026'!J2417)</f>
        <v/>
      </c>
      <c r="G2417">
        <f>IF(ISBLANK('ENGAGEMENTS 2026'!C2417),"",'ENGAGEMENTS 2026'!M2417)</f>
        <v/>
      </c>
      <c r="H2417">
        <f>IF(ISBLANK('ENGAGEMENTS 2026'!C2417),"",'ENGAGEMENTS 2026'!AF2417)</f>
        <v/>
      </c>
      <c r="I2417">
        <f>IF(ISBLANK('ENGAGEMENTS 2026'!C2417),"",'ENGAGEMENTS 2026'!H2417)</f>
        <v/>
      </c>
      <c r="J2417" s="275">
        <f>IF(ISBLANK('ENGAGEMENTS 2026'!C2417),"",IF(AND(OR($E2417="INFRUCTUEUX",$E2417="ANNULE"),$C2417="AOO-M"),'ENGAGEMENTS 2026'!P2417,IF($H2417="EN COURS DE PREENGAGEMENT",'ENGAGEMENTS 2026'!O2417,IF($H2417="PREENGAGE",IF($E2417="ATTRIBUE",'ENGAGEMENTS 2026'!AE2417,'ENGAGEMENTS 2026'!O2417),'ENGAGEMENTS 2026'!AE2417))))</f>
        <v/>
      </c>
      <c r="K2417" s="604">
        <f>IF(ISBLANK('ENGAGEMENTS 2026'!W2417),"",'ENGAGEMENTS 2026'!W2417)</f>
        <v/>
      </c>
      <c r="L2417" s="276">
        <f>IF($K2417="","",TODAY()-$K2417)</f>
        <v/>
      </c>
      <c r="M2417">
        <f>IF($A2417="","",IF($H2417="ENGAGE","Engagé",IF(AND($H2417="NON ENGAGE",OR($I2417="INFRUCTUEUX",$I2417="ANNULE")),"Clôturé sans suite","En cours")))</f>
        <v/>
      </c>
      <c r="N2417">
        <f>IF(ISBLANK('ENGAGEMENTS 2026'!C2417),"",'ENGAGEMENTS 2026'!L2417)</f>
        <v/>
      </c>
      <c r="O2417">
        <f>IF(ISBLANK('ENGAGEMENTS 2026'!C2417),"",'ENGAGEMENTS 2026'!M2417)</f>
        <v/>
      </c>
      <c r="P2417">
        <f>IF(ISBLANK('ENGAGEMENTS 2026'!C2417),"",'ENGAGEMENTS 2026'!K2417)</f>
        <v/>
      </c>
      <c r="Q2417">
        <f>IF($A2417="","",IF(OR($E2417="INFRUCTUEUX",$E2417="ANNULE"),$A2417&amp;"|"&amp;(COUNTIFS($A$2:$A2417,$A2417,$E$2:$E2417,"INFRUCTUEUX")+COUNTIFS($A$2:$A2417,$A2417,$E$2:$E2417,"ANNULE")),""))</f>
        <v/>
      </c>
    </row>
    <row r="2418">
      <c r="A2418">
        <f>IF(ISBLANK('ENGAGEMENTS 2026'!C2418),"",IF('ENGAGEMENTS 2026'!C2418="DTSI","DCT",'ENGAGEMENTS 2026'!C2418))</f>
        <v/>
      </c>
      <c r="B2418">
        <f>IF(ISBLANK('ENGAGEMENTS 2026'!C2418),"",'ENGAGEMENTS 2026'!D2418)</f>
        <v/>
      </c>
      <c r="C2418">
        <f>IF(ISBLANK('ENGAGEMENTS 2026'!C2418),"",'ENGAGEMENTS 2026'!E2418)</f>
        <v/>
      </c>
      <c r="D2418">
        <f>IF(ISBLANK('ENGAGEMENTS 2026'!C2418),"",'ENGAGEMENTS 2026'!G2418)</f>
        <v/>
      </c>
      <c r="E2418">
        <f>IF(ISBLANK('ENGAGEMENTS 2026'!C2418),"",'ENGAGEMENTS 2026'!I2418)</f>
        <v/>
      </c>
      <c r="F2418">
        <f>IF(ISBLANK('ENGAGEMENTS 2026'!C2418),"",'ENGAGEMENTS 2026'!J2418)</f>
        <v/>
      </c>
      <c r="G2418">
        <f>IF(ISBLANK('ENGAGEMENTS 2026'!C2418),"",'ENGAGEMENTS 2026'!M2418)</f>
        <v/>
      </c>
      <c r="H2418">
        <f>IF(ISBLANK('ENGAGEMENTS 2026'!C2418),"",'ENGAGEMENTS 2026'!AF2418)</f>
        <v/>
      </c>
      <c r="I2418">
        <f>IF(ISBLANK('ENGAGEMENTS 2026'!C2418),"",'ENGAGEMENTS 2026'!H2418)</f>
        <v/>
      </c>
      <c r="J2418" s="275">
        <f>IF(ISBLANK('ENGAGEMENTS 2026'!C2418),"",IF(AND(OR($E2418="INFRUCTUEUX",$E2418="ANNULE"),$C2418="AOO-M"),'ENGAGEMENTS 2026'!P2418,IF($H2418="EN COURS DE PREENGAGEMENT",'ENGAGEMENTS 2026'!O2418,IF($H2418="PREENGAGE",IF($E2418="ATTRIBUE",'ENGAGEMENTS 2026'!AE2418,'ENGAGEMENTS 2026'!O2418),'ENGAGEMENTS 2026'!AE2418))))</f>
        <v/>
      </c>
      <c r="K2418" s="604">
        <f>IF(ISBLANK('ENGAGEMENTS 2026'!W2418),"",'ENGAGEMENTS 2026'!W2418)</f>
        <v/>
      </c>
      <c r="L2418" s="276">
        <f>IF($K2418="","",TODAY()-$K2418)</f>
        <v/>
      </c>
      <c r="M2418">
        <f>IF($A2418="","",IF($H2418="ENGAGE","Engagé",IF(AND($H2418="NON ENGAGE",OR($I2418="INFRUCTUEUX",$I2418="ANNULE")),"Clôturé sans suite","En cours")))</f>
        <v/>
      </c>
      <c r="N2418">
        <f>IF(ISBLANK('ENGAGEMENTS 2026'!C2418),"",'ENGAGEMENTS 2026'!L2418)</f>
        <v/>
      </c>
      <c r="O2418">
        <f>IF(ISBLANK('ENGAGEMENTS 2026'!C2418),"",'ENGAGEMENTS 2026'!M2418)</f>
        <v/>
      </c>
      <c r="P2418">
        <f>IF(ISBLANK('ENGAGEMENTS 2026'!C2418),"",'ENGAGEMENTS 2026'!K2418)</f>
        <v/>
      </c>
      <c r="Q2418">
        <f>IF($A2418="","",IF(OR($E2418="INFRUCTUEUX",$E2418="ANNULE"),$A2418&amp;"|"&amp;(COUNTIFS($A$2:$A2418,$A2418,$E$2:$E2418,"INFRUCTUEUX")+COUNTIFS($A$2:$A2418,$A2418,$E$2:$E2418,"ANNULE")),""))</f>
        <v/>
      </c>
    </row>
    <row r="2419">
      <c r="A2419">
        <f>IF(ISBLANK('ENGAGEMENTS 2026'!C2419),"",IF('ENGAGEMENTS 2026'!C2419="DTSI","DCT",'ENGAGEMENTS 2026'!C2419))</f>
        <v/>
      </c>
      <c r="B2419">
        <f>IF(ISBLANK('ENGAGEMENTS 2026'!C2419),"",'ENGAGEMENTS 2026'!D2419)</f>
        <v/>
      </c>
      <c r="C2419">
        <f>IF(ISBLANK('ENGAGEMENTS 2026'!C2419),"",'ENGAGEMENTS 2026'!E2419)</f>
        <v/>
      </c>
      <c r="D2419">
        <f>IF(ISBLANK('ENGAGEMENTS 2026'!C2419),"",'ENGAGEMENTS 2026'!G2419)</f>
        <v/>
      </c>
      <c r="E2419">
        <f>IF(ISBLANK('ENGAGEMENTS 2026'!C2419),"",'ENGAGEMENTS 2026'!I2419)</f>
        <v/>
      </c>
      <c r="F2419">
        <f>IF(ISBLANK('ENGAGEMENTS 2026'!C2419),"",'ENGAGEMENTS 2026'!J2419)</f>
        <v/>
      </c>
      <c r="G2419">
        <f>IF(ISBLANK('ENGAGEMENTS 2026'!C2419),"",'ENGAGEMENTS 2026'!M2419)</f>
        <v/>
      </c>
      <c r="H2419">
        <f>IF(ISBLANK('ENGAGEMENTS 2026'!C2419),"",'ENGAGEMENTS 2026'!AF2419)</f>
        <v/>
      </c>
      <c r="I2419">
        <f>IF(ISBLANK('ENGAGEMENTS 2026'!C2419),"",'ENGAGEMENTS 2026'!H2419)</f>
        <v/>
      </c>
      <c r="J2419" s="275">
        <f>IF(ISBLANK('ENGAGEMENTS 2026'!C2419),"",IF(AND(OR($E2419="INFRUCTUEUX",$E2419="ANNULE"),$C2419="AOO-M"),'ENGAGEMENTS 2026'!P2419,IF($H2419="EN COURS DE PREENGAGEMENT",'ENGAGEMENTS 2026'!O2419,IF($H2419="PREENGAGE",IF($E2419="ATTRIBUE",'ENGAGEMENTS 2026'!AE2419,'ENGAGEMENTS 2026'!O2419),'ENGAGEMENTS 2026'!AE2419))))</f>
        <v/>
      </c>
      <c r="K2419" s="604">
        <f>IF(ISBLANK('ENGAGEMENTS 2026'!W2419),"",'ENGAGEMENTS 2026'!W2419)</f>
        <v/>
      </c>
      <c r="L2419" s="276">
        <f>IF($K2419="","",TODAY()-$K2419)</f>
        <v/>
      </c>
      <c r="M2419">
        <f>IF($A2419="","",IF($H2419="ENGAGE","Engagé",IF(AND($H2419="NON ENGAGE",OR($I2419="INFRUCTUEUX",$I2419="ANNULE")),"Clôturé sans suite","En cours")))</f>
        <v/>
      </c>
      <c r="N2419">
        <f>IF(ISBLANK('ENGAGEMENTS 2026'!C2419),"",'ENGAGEMENTS 2026'!L2419)</f>
        <v/>
      </c>
      <c r="O2419">
        <f>IF(ISBLANK('ENGAGEMENTS 2026'!C2419),"",'ENGAGEMENTS 2026'!M2419)</f>
        <v/>
      </c>
      <c r="P2419">
        <f>IF(ISBLANK('ENGAGEMENTS 2026'!C2419),"",'ENGAGEMENTS 2026'!K2419)</f>
        <v/>
      </c>
      <c r="Q2419">
        <f>IF($A2419="","",IF(OR($E2419="INFRUCTUEUX",$E2419="ANNULE"),$A2419&amp;"|"&amp;(COUNTIFS($A$2:$A2419,$A2419,$E$2:$E2419,"INFRUCTUEUX")+COUNTIFS($A$2:$A2419,$A2419,$E$2:$E2419,"ANNULE")),""))</f>
        <v/>
      </c>
    </row>
    <row r="2420">
      <c r="A2420">
        <f>IF(ISBLANK('ENGAGEMENTS 2026'!C2420),"",IF('ENGAGEMENTS 2026'!C2420="DTSI","DCT",'ENGAGEMENTS 2026'!C2420))</f>
        <v/>
      </c>
      <c r="B2420">
        <f>IF(ISBLANK('ENGAGEMENTS 2026'!C2420),"",'ENGAGEMENTS 2026'!D2420)</f>
        <v/>
      </c>
      <c r="C2420">
        <f>IF(ISBLANK('ENGAGEMENTS 2026'!C2420),"",'ENGAGEMENTS 2026'!E2420)</f>
        <v/>
      </c>
      <c r="D2420">
        <f>IF(ISBLANK('ENGAGEMENTS 2026'!C2420),"",'ENGAGEMENTS 2026'!G2420)</f>
        <v/>
      </c>
      <c r="E2420">
        <f>IF(ISBLANK('ENGAGEMENTS 2026'!C2420),"",'ENGAGEMENTS 2026'!I2420)</f>
        <v/>
      </c>
      <c r="F2420">
        <f>IF(ISBLANK('ENGAGEMENTS 2026'!C2420),"",'ENGAGEMENTS 2026'!J2420)</f>
        <v/>
      </c>
      <c r="G2420">
        <f>IF(ISBLANK('ENGAGEMENTS 2026'!C2420),"",'ENGAGEMENTS 2026'!M2420)</f>
        <v/>
      </c>
      <c r="H2420">
        <f>IF(ISBLANK('ENGAGEMENTS 2026'!C2420),"",'ENGAGEMENTS 2026'!AF2420)</f>
        <v/>
      </c>
      <c r="I2420">
        <f>IF(ISBLANK('ENGAGEMENTS 2026'!C2420),"",'ENGAGEMENTS 2026'!H2420)</f>
        <v/>
      </c>
      <c r="J2420" s="275">
        <f>IF(ISBLANK('ENGAGEMENTS 2026'!C2420),"",IF(AND(OR($E2420="INFRUCTUEUX",$E2420="ANNULE"),$C2420="AOO-M"),'ENGAGEMENTS 2026'!P2420,IF($H2420="EN COURS DE PREENGAGEMENT",'ENGAGEMENTS 2026'!O2420,IF($H2420="PREENGAGE",IF($E2420="ATTRIBUE",'ENGAGEMENTS 2026'!AE2420,'ENGAGEMENTS 2026'!O2420),'ENGAGEMENTS 2026'!AE2420))))</f>
        <v/>
      </c>
      <c r="K2420" s="604">
        <f>IF(ISBLANK('ENGAGEMENTS 2026'!W2420),"",'ENGAGEMENTS 2026'!W2420)</f>
        <v/>
      </c>
      <c r="L2420" s="276">
        <f>IF($K2420="","",TODAY()-$K2420)</f>
        <v/>
      </c>
      <c r="M2420">
        <f>IF($A2420="","",IF($H2420="ENGAGE","Engagé",IF(AND($H2420="NON ENGAGE",OR($I2420="INFRUCTUEUX",$I2420="ANNULE")),"Clôturé sans suite","En cours")))</f>
        <v/>
      </c>
      <c r="N2420">
        <f>IF(ISBLANK('ENGAGEMENTS 2026'!C2420),"",'ENGAGEMENTS 2026'!L2420)</f>
        <v/>
      </c>
      <c r="O2420">
        <f>IF(ISBLANK('ENGAGEMENTS 2026'!C2420),"",'ENGAGEMENTS 2026'!M2420)</f>
        <v/>
      </c>
      <c r="P2420">
        <f>IF(ISBLANK('ENGAGEMENTS 2026'!C2420),"",'ENGAGEMENTS 2026'!K2420)</f>
        <v/>
      </c>
      <c r="Q2420">
        <f>IF($A2420="","",IF(OR($E2420="INFRUCTUEUX",$E2420="ANNULE"),$A2420&amp;"|"&amp;(COUNTIFS($A$2:$A2420,$A2420,$E$2:$E2420,"INFRUCTUEUX")+COUNTIFS($A$2:$A2420,$A2420,$E$2:$E2420,"ANNULE")),""))</f>
        <v/>
      </c>
    </row>
    <row r="2421">
      <c r="A2421">
        <f>IF(ISBLANK('ENGAGEMENTS 2026'!C2421),"",IF('ENGAGEMENTS 2026'!C2421="DTSI","DCT",'ENGAGEMENTS 2026'!C2421))</f>
        <v/>
      </c>
      <c r="B2421">
        <f>IF(ISBLANK('ENGAGEMENTS 2026'!C2421),"",'ENGAGEMENTS 2026'!D2421)</f>
        <v/>
      </c>
      <c r="C2421">
        <f>IF(ISBLANK('ENGAGEMENTS 2026'!C2421),"",'ENGAGEMENTS 2026'!E2421)</f>
        <v/>
      </c>
      <c r="D2421">
        <f>IF(ISBLANK('ENGAGEMENTS 2026'!C2421),"",'ENGAGEMENTS 2026'!G2421)</f>
        <v/>
      </c>
      <c r="E2421">
        <f>IF(ISBLANK('ENGAGEMENTS 2026'!C2421),"",'ENGAGEMENTS 2026'!I2421)</f>
        <v/>
      </c>
      <c r="F2421">
        <f>IF(ISBLANK('ENGAGEMENTS 2026'!C2421),"",'ENGAGEMENTS 2026'!J2421)</f>
        <v/>
      </c>
      <c r="G2421">
        <f>IF(ISBLANK('ENGAGEMENTS 2026'!C2421),"",'ENGAGEMENTS 2026'!M2421)</f>
        <v/>
      </c>
      <c r="H2421">
        <f>IF(ISBLANK('ENGAGEMENTS 2026'!C2421),"",'ENGAGEMENTS 2026'!AF2421)</f>
        <v/>
      </c>
      <c r="I2421">
        <f>IF(ISBLANK('ENGAGEMENTS 2026'!C2421),"",'ENGAGEMENTS 2026'!H2421)</f>
        <v/>
      </c>
      <c r="J2421" s="275">
        <f>IF(ISBLANK('ENGAGEMENTS 2026'!C2421),"",IF(AND(OR($E2421="INFRUCTUEUX",$E2421="ANNULE"),$C2421="AOO-M"),'ENGAGEMENTS 2026'!P2421,IF($H2421="EN COURS DE PREENGAGEMENT",'ENGAGEMENTS 2026'!O2421,IF($H2421="PREENGAGE",IF($E2421="ATTRIBUE",'ENGAGEMENTS 2026'!AE2421,'ENGAGEMENTS 2026'!O2421),'ENGAGEMENTS 2026'!AE2421))))</f>
        <v/>
      </c>
      <c r="K2421" s="604">
        <f>IF(ISBLANK('ENGAGEMENTS 2026'!W2421),"",'ENGAGEMENTS 2026'!W2421)</f>
        <v/>
      </c>
      <c r="L2421" s="276">
        <f>IF($K2421="","",TODAY()-$K2421)</f>
        <v/>
      </c>
      <c r="M2421">
        <f>IF($A2421="","",IF($H2421="ENGAGE","Engagé",IF(AND($H2421="NON ENGAGE",OR($I2421="INFRUCTUEUX",$I2421="ANNULE")),"Clôturé sans suite","En cours")))</f>
        <v/>
      </c>
      <c r="N2421">
        <f>IF(ISBLANK('ENGAGEMENTS 2026'!C2421),"",'ENGAGEMENTS 2026'!L2421)</f>
        <v/>
      </c>
      <c r="O2421">
        <f>IF(ISBLANK('ENGAGEMENTS 2026'!C2421),"",'ENGAGEMENTS 2026'!M2421)</f>
        <v/>
      </c>
      <c r="P2421">
        <f>IF(ISBLANK('ENGAGEMENTS 2026'!C2421),"",'ENGAGEMENTS 2026'!K2421)</f>
        <v/>
      </c>
      <c r="Q2421">
        <f>IF($A2421="","",IF(OR($E2421="INFRUCTUEUX",$E2421="ANNULE"),$A2421&amp;"|"&amp;(COUNTIFS($A$2:$A2421,$A2421,$E$2:$E2421,"INFRUCTUEUX")+COUNTIFS($A$2:$A2421,$A2421,$E$2:$E2421,"ANNULE")),""))</f>
        <v/>
      </c>
    </row>
    <row r="2422">
      <c r="A2422">
        <f>IF(ISBLANK('ENGAGEMENTS 2026'!C2422),"",IF('ENGAGEMENTS 2026'!C2422="DTSI","DCT",'ENGAGEMENTS 2026'!C2422))</f>
        <v/>
      </c>
      <c r="B2422">
        <f>IF(ISBLANK('ENGAGEMENTS 2026'!C2422),"",'ENGAGEMENTS 2026'!D2422)</f>
        <v/>
      </c>
      <c r="C2422">
        <f>IF(ISBLANK('ENGAGEMENTS 2026'!C2422),"",'ENGAGEMENTS 2026'!E2422)</f>
        <v/>
      </c>
      <c r="D2422">
        <f>IF(ISBLANK('ENGAGEMENTS 2026'!C2422),"",'ENGAGEMENTS 2026'!G2422)</f>
        <v/>
      </c>
      <c r="E2422">
        <f>IF(ISBLANK('ENGAGEMENTS 2026'!C2422),"",'ENGAGEMENTS 2026'!I2422)</f>
        <v/>
      </c>
      <c r="F2422">
        <f>IF(ISBLANK('ENGAGEMENTS 2026'!C2422),"",'ENGAGEMENTS 2026'!J2422)</f>
        <v/>
      </c>
      <c r="G2422">
        <f>IF(ISBLANK('ENGAGEMENTS 2026'!C2422),"",'ENGAGEMENTS 2026'!M2422)</f>
        <v/>
      </c>
      <c r="H2422">
        <f>IF(ISBLANK('ENGAGEMENTS 2026'!C2422),"",'ENGAGEMENTS 2026'!AF2422)</f>
        <v/>
      </c>
      <c r="I2422">
        <f>IF(ISBLANK('ENGAGEMENTS 2026'!C2422),"",'ENGAGEMENTS 2026'!H2422)</f>
        <v/>
      </c>
      <c r="J2422" s="275">
        <f>IF(ISBLANK('ENGAGEMENTS 2026'!C2422),"",IF(AND(OR($E2422="INFRUCTUEUX",$E2422="ANNULE"),$C2422="AOO-M"),'ENGAGEMENTS 2026'!P2422,IF($H2422="EN COURS DE PREENGAGEMENT",'ENGAGEMENTS 2026'!O2422,IF($H2422="PREENGAGE",IF($E2422="ATTRIBUE",'ENGAGEMENTS 2026'!AE2422,'ENGAGEMENTS 2026'!O2422),'ENGAGEMENTS 2026'!AE2422))))</f>
        <v/>
      </c>
      <c r="K2422" s="604">
        <f>IF(ISBLANK('ENGAGEMENTS 2026'!W2422),"",'ENGAGEMENTS 2026'!W2422)</f>
        <v/>
      </c>
      <c r="L2422" s="276">
        <f>IF($K2422="","",TODAY()-$K2422)</f>
        <v/>
      </c>
      <c r="M2422">
        <f>IF($A2422="","",IF($H2422="ENGAGE","Engagé",IF(AND($H2422="NON ENGAGE",OR($I2422="INFRUCTUEUX",$I2422="ANNULE")),"Clôturé sans suite","En cours")))</f>
        <v/>
      </c>
      <c r="N2422">
        <f>IF(ISBLANK('ENGAGEMENTS 2026'!C2422),"",'ENGAGEMENTS 2026'!L2422)</f>
        <v/>
      </c>
      <c r="O2422">
        <f>IF(ISBLANK('ENGAGEMENTS 2026'!C2422),"",'ENGAGEMENTS 2026'!M2422)</f>
        <v/>
      </c>
      <c r="P2422">
        <f>IF(ISBLANK('ENGAGEMENTS 2026'!C2422),"",'ENGAGEMENTS 2026'!K2422)</f>
        <v/>
      </c>
      <c r="Q2422">
        <f>IF($A2422="","",IF(OR($E2422="INFRUCTUEUX",$E2422="ANNULE"),$A2422&amp;"|"&amp;(COUNTIFS($A$2:$A2422,$A2422,$E$2:$E2422,"INFRUCTUEUX")+COUNTIFS($A$2:$A2422,$A2422,$E$2:$E2422,"ANNULE")),""))</f>
        <v/>
      </c>
    </row>
    <row r="2423">
      <c r="A2423">
        <f>IF(ISBLANK('ENGAGEMENTS 2026'!C2423),"",IF('ENGAGEMENTS 2026'!C2423="DTSI","DCT",'ENGAGEMENTS 2026'!C2423))</f>
        <v/>
      </c>
      <c r="B2423">
        <f>IF(ISBLANK('ENGAGEMENTS 2026'!C2423),"",'ENGAGEMENTS 2026'!D2423)</f>
        <v/>
      </c>
      <c r="C2423">
        <f>IF(ISBLANK('ENGAGEMENTS 2026'!C2423),"",'ENGAGEMENTS 2026'!E2423)</f>
        <v/>
      </c>
      <c r="D2423">
        <f>IF(ISBLANK('ENGAGEMENTS 2026'!C2423),"",'ENGAGEMENTS 2026'!G2423)</f>
        <v/>
      </c>
      <c r="E2423">
        <f>IF(ISBLANK('ENGAGEMENTS 2026'!C2423),"",'ENGAGEMENTS 2026'!I2423)</f>
        <v/>
      </c>
      <c r="F2423">
        <f>IF(ISBLANK('ENGAGEMENTS 2026'!C2423),"",'ENGAGEMENTS 2026'!J2423)</f>
        <v/>
      </c>
      <c r="G2423">
        <f>IF(ISBLANK('ENGAGEMENTS 2026'!C2423),"",'ENGAGEMENTS 2026'!M2423)</f>
        <v/>
      </c>
      <c r="H2423">
        <f>IF(ISBLANK('ENGAGEMENTS 2026'!C2423),"",'ENGAGEMENTS 2026'!AF2423)</f>
        <v/>
      </c>
      <c r="I2423">
        <f>IF(ISBLANK('ENGAGEMENTS 2026'!C2423),"",'ENGAGEMENTS 2026'!H2423)</f>
        <v/>
      </c>
      <c r="J2423" s="275">
        <f>IF(ISBLANK('ENGAGEMENTS 2026'!C2423),"",IF(AND(OR($E2423="INFRUCTUEUX",$E2423="ANNULE"),$C2423="AOO-M"),'ENGAGEMENTS 2026'!P2423,IF($H2423="EN COURS DE PREENGAGEMENT",'ENGAGEMENTS 2026'!O2423,IF($H2423="PREENGAGE",IF($E2423="ATTRIBUE",'ENGAGEMENTS 2026'!AE2423,'ENGAGEMENTS 2026'!O2423),'ENGAGEMENTS 2026'!AE2423))))</f>
        <v/>
      </c>
      <c r="K2423" s="604">
        <f>IF(ISBLANK('ENGAGEMENTS 2026'!W2423),"",'ENGAGEMENTS 2026'!W2423)</f>
        <v/>
      </c>
      <c r="L2423" s="276">
        <f>IF($K2423="","",TODAY()-$K2423)</f>
        <v/>
      </c>
      <c r="M2423">
        <f>IF($A2423="","",IF($H2423="ENGAGE","Engagé",IF(AND($H2423="NON ENGAGE",OR($I2423="INFRUCTUEUX",$I2423="ANNULE")),"Clôturé sans suite","En cours")))</f>
        <v/>
      </c>
      <c r="N2423">
        <f>IF(ISBLANK('ENGAGEMENTS 2026'!C2423),"",'ENGAGEMENTS 2026'!L2423)</f>
        <v/>
      </c>
      <c r="O2423">
        <f>IF(ISBLANK('ENGAGEMENTS 2026'!C2423),"",'ENGAGEMENTS 2026'!M2423)</f>
        <v/>
      </c>
      <c r="P2423">
        <f>IF(ISBLANK('ENGAGEMENTS 2026'!C2423),"",'ENGAGEMENTS 2026'!K2423)</f>
        <v/>
      </c>
      <c r="Q2423">
        <f>IF($A2423="","",IF(OR($E2423="INFRUCTUEUX",$E2423="ANNULE"),$A2423&amp;"|"&amp;(COUNTIFS($A$2:$A2423,$A2423,$E$2:$E2423,"INFRUCTUEUX")+COUNTIFS($A$2:$A2423,$A2423,$E$2:$E2423,"ANNULE")),""))</f>
        <v/>
      </c>
    </row>
    <row r="2424">
      <c r="A2424">
        <f>IF(ISBLANK('ENGAGEMENTS 2026'!C2424),"",IF('ENGAGEMENTS 2026'!C2424="DTSI","DCT",'ENGAGEMENTS 2026'!C2424))</f>
        <v/>
      </c>
      <c r="B2424">
        <f>IF(ISBLANK('ENGAGEMENTS 2026'!C2424),"",'ENGAGEMENTS 2026'!D2424)</f>
        <v/>
      </c>
      <c r="C2424">
        <f>IF(ISBLANK('ENGAGEMENTS 2026'!C2424),"",'ENGAGEMENTS 2026'!E2424)</f>
        <v/>
      </c>
      <c r="D2424">
        <f>IF(ISBLANK('ENGAGEMENTS 2026'!C2424),"",'ENGAGEMENTS 2026'!G2424)</f>
        <v/>
      </c>
      <c r="E2424">
        <f>IF(ISBLANK('ENGAGEMENTS 2026'!C2424),"",'ENGAGEMENTS 2026'!I2424)</f>
        <v/>
      </c>
      <c r="F2424">
        <f>IF(ISBLANK('ENGAGEMENTS 2026'!C2424),"",'ENGAGEMENTS 2026'!J2424)</f>
        <v/>
      </c>
      <c r="G2424">
        <f>IF(ISBLANK('ENGAGEMENTS 2026'!C2424),"",'ENGAGEMENTS 2026'!M2424)</f>
        <v/>
      </c>
      <c r="H2424">
        <f>IF(ISBLANK('ENGAGEMENTS 2026'!C2424),"",'ENGAGEMENTS 2026'!AF2424)</f>
        <v/>
      </c>
      <c r="I2424">
        <f>IF(ISBLANK('ENGAGEMENTS 2026'!C2424),"",'ENGAGEMENTS 2026'!H2424)</f>
        <v/>
      </c>
      <c r="J2424" s="275">
        <f>IF(ISBLANK('ENGAGEMENTS 2026'!C2424),"",IF(AND(OR($E2424="INFRUCTUEUX",$E2424="ANNULE"),$C2424="AOO-M"),'ENGAGEMENTS 2026'!P2424,IF($H2424="EN COURS DE PREENGAGEMENT",'ENGAGEMENTS 2026'!O2424,IF($H2424="PREENGAGE",IF($E2424="ATTRIBUE",'ENGAGEMENTS 2026'!AE2424,'ENGAGEMENTS 2026'!O2424),'ENGAGEMENTS 2026'!AE2424))))</f>
        <v/>
      </c>
      <c r="K2424" s="604">
        <f>IF(ISBLANK('ENGAGEMENTS 2026'!W2424),"",'ENGAGEMENTS 2026'!W2424)</f>
        <v/>
      </c>
      <c r="L2424" s="276">
        <f>IF($K2424="","",TODAY()-$K2424)</f>
        <v/>
      </c>
      <c r="M2424">
        <f>IF($A2424="","",IF($H2424="ENGAGE","Engagé",IF(AND($H2424="NON ENGAGE",OR($I2424="INFRUCTUEUX",$I2424="ANNULE")),"Clôturé sans suite","En cours")))</f>
        <v/>
      </c>
      <c r="N2424">
        <f>IF(ISBLANK('ENGAGEMENTS 2026'!C2424),"",'ENGAGEMENTS 2026'!L2424)</f>
        <v/>
      </c>
      <c r="O2424">
        <f>IF(ISBLANK('ENGAGEMENTS 2026'!C2424),"",'ENGAGEMENTS 2026'!M2424)</f>
        <v/>
      </c>
      <c r="P2424">
        <f>IF(ISBLANK('ENGAGEMENTS 2026'!C2424),"",'ENGAGEMENTS 2026'!K2424)</f>
        <v/>
      </c>
      <c r="Q2424">
        <f>IF($A2424="","",IF(OR($E2424="INFRUCTUEUX",$E2424="ANNULE"),$A2424&amp;"|"&amp;(COUNTIFS($A$2:$A2424,$A2424,$E$2:$E2424,"INFRUCTUEUX")+COUNTIFS($A$2:$A2424,$A2424,$E$2:$E2424,"ANNULE")),""))</f>
        <v/>
      </c>
    </row>
    <row r="2425">
      <c r="A2425">
        <f>IF(ISBLANK('ENGAGEMENTS 2026'!C2425),"",IF('ENGAGEMENTS 2026'!C2425="DTSI","DCT",'ENGAGEMENTS 2026'!C2425))</f>
        <v/>
      </c>
      <c r="B2425">
        <f>IF(ISBLANK('ENGAGEMENTS 2026'!C2425),"",'ENGAGEMENTS 2026'!D2425)</f>
        <v/>
      </c>
      <c r="C2425">
        <f>IF(ISBLANK('ENGAGEMENTS 2026'!C2425),"",'ENGAGEMENTS 2026'!E2425)</f>
        <v/>
      </c>
      <c r="D2425">
        <f>IF(ISBLANK('ENGAGEMENTS 2026'!C2425),"",'ENGAGEMENTS 2026'!G2425)</f>
        <v/>
      </c>
      <c r="E2425">
        <f>IF(ISBLANK('ENGAGEMENTS 2026'!C2425),"",'ENGAGEMENTS 2026'!I2425)</f>
        <v/>
      </c>
      <c r="F2425">
        <f>IF(ISBLANK('ENGAGEMENTS 2026'!C2425),"",'ENGAGEMENTS 2026'!J2425)</f>
        <v/>
      </c>
      <c r="G2425">
        <f>IF(ISBLANK('ENGAGEMENTS 2026'!C2425),"",'ENGAGEMENTS 2026'!M2425)</f>
        <v/>
      </c>
      <c r="H2425">
        <f>IF(ISBLANK('ENGAGEMENTS 2026'!C2425),"",'ENGAGEMENTS 2026'!AF2425)</f>
        <v/>
      </c>
      <c r="I2425">
        <f>IF(ISBLANK('ENGAGEMENTS 2026'!C2425),"",'ENGAGEMENTS 2026'!H2425)</f>
        <v/>
      </c>
      <c r="J2425" s="275">
        <f>IF(ISBLANK('ENGAGEMENTS 2026'!C2425),"",IF(AND(OR($E2425="INFRUCTUEUX",$E2425="ANNULE"),$C2425="AOO-M"),'ENGAGEMENTS 2026'!P2425,IF($H2425="EN COURS DE PREENGAGEMENT",'ENGAGEMENTS 2026'!O2425,IF($H2425="PREENGAGE",IF($E2425="ATTRIBUE",'ENGAGEMENTS 2026'!AE2425,'ENGAGEMENTS 2026'!O2425),'ENGAGEMENTS 2026'!AE2425))))</f>
        <v/>
      </c>
      <c r="K2425" s="604">
        <f>IF(ISBLANK('ENGAGEMENTS 2026'!W2425),"",'ENGAGEMENTS 2026'!W2425)</f>
        <v/>
      </c>
      <c r="L2425" s="276">
        <f>IF($K2425="","",TODAY()-$K2425)</f>
        <v/>
      </c>
      <c r="M2425">
        <f>IF($A2425="","",IF($H2425="ENGAGE","Engagé",IF(AND($H2425="NON ENGAGE",OR($I2425="INFRUCTUEUX",$I2425="ANNULE")),"Clôturé sans suite","En cours")))</f>
        <v/>
      </c>
      <c r="N2425">
        <f>IF(ISBLANK('ENGAGEMENTS 2026'!C2425),"",'ENGAGEMENTS 2026'!L2425)</f>
        <v/>
      </c>
      <c r="O2425">
        <f>IF(ISBLANK('ENGAGEMENTS 2026'!C2425),"",'ENGAGEMENTS 2026'!M2425)</f>
        <v/>
      </c>
      <c r="P2425">
        <f>IF(ISBLANK('ENGAGEMENTS 2026'!C2425),"",'ENGAGEMENTS 2026'!K2425)</f>
        <v/>
      </c>
      <c r="Q2425">
        <f>IF($A2425="","",IF(OR($E2425="INFRUCTUEUX",$E2425="ANNULE"),$A2425&amp;"|"&amp;(COUNTIFS($A$2:$A2425,$A2425,$E$2:$E2425,"INFRUCTUEUX")+COUNTIFS($A$2:$A2425,$A2425,$E$2:$E2425,"ANNULE")),""))</f>
        <v/>
      </c>
    </row>
    <row r="2426">
      <c r="A2426">
        <f>IF(ISBLANK('ENGAGEMENTS 2026'!C2426),"",IF('ENGAGEMENTS 2026'!C2426="DTSI","DCT",'ENGAGEMENTS 2026'!C2426))</f>
        <v/>
      </c>
      <c r="B2426">
        <f>IF(ISBLANK('ENGAGEMENTS 2026'!C2426),"",'ENGAGEMENTS 2026'!D2426)</f>
        <v/>
      </c>
      <c r="C2426">
        <f>IF(ISBLANK('ENGAGEMENTS 2026'!C2426),"",'ENGAGEMENTS 2026'!E2426)</f>
        <v/>
      </c>
      <c r="D2426">
        <f>IF(ISBLANK('ENGAGEMENTS 2026'!C2426),"",'ENGAGEMENTS 2026'!G2426)</f>
        <v/>
      </c>
      <c r="E2426">
        <f>IF(ISBLANK('ENGAGEMENTS 2026'!C2426),"",'ENGAGEMENTS 2026'!I2426)</f>
        <v/>
      </c>
      <c r="F2426">
        <f>IF(ISBLANK('ENGAGEMENTS 2026'!C2426),"",'ENGAGEMENTS 2026'!J2426)</f>
        <v/>
      </c>
      <c r="G2426">
        <f>IF(ISBLANK('ENGAGEMENTS 2026'!C2426),"",'ENGAGEMENTS 2026'!M2426)</f>
        <v/>
      </c>
      <c r="H2426">
        <f>IF(ISBLANK('ENGAGEMENTS 2026'!C2426),"",'ENGAGEMENTS 2026'!AF2426)</f>
        <v/>
      </c>
      <c r="I2426">
        <f>IF(ISBLANK('ENGAGEMENTS 2026'!C2426),"",'ENGAGEMENTS 2026'!H2426)</f>
        <v/>
      </c>
      <c r="J2426" s="275">
        <f>IF(ISBLANK('ENGAGEMENTS 2026'!C2426),"",IF(AND(OR($E2426="INFRUCTUEUX",$E2426="ANNULE"),$C2426="AOO-M"),'ENGAGEMENTS 2026'!P2426,IF($H2426="EN COURS DE PREENGAGEMENT",'ENGAGEMENTS 2026'!O2426,IF($H2426="PREENGAGE",IF($E2426="ATTRIBUE",'ENGAGEMENTS 2026'!AE2426,'ENGAGEMENTS 2026'!O2426),'ENGAGEMENTS 2026'!AE2426))))</f>
        <v/>
      </c>
      <c r="K2426" s="604">
        <f>IF(ISBLANK('ENGAGEMENTS 2026'!W2426),"",'ENGAGEMENTS 2026'!W2426)</f>
        <v/>
      </c>
      <c r="L2426" s="276">
        <f>IF($K2426="","",TODAY()-$K2426)</f>
        <v/>
      </c>
      <c r="M2426">
        <f>IF($A2426="","",IF($H2426="ENGAGE","Engagé",IF(AND($H2426="NON ENGAGE",OR($I2426="INFRUCTUEUX",$I2426="ANNULE")),"Clôturé sans suite","En cours")))</f>
        <v/>
      </c>
      <c r="N2426">
        <f>IF(ISBLANK('ENGAGEMENTS 2026'!C2426),"",'ENGAGEMENTS 2026'!L2426)</f>
        <v/>
      </c>
      <c r="O2426">
        <f>IF(ISBLANK('ENGAGEMENTS 2026'!C2426),"",'ENGAGEMENTS 2026'!M2426)</f>
        <v/>
      </c>
      <c r="P2426">
        <f>IF(ISBLANK('ENGAGEMENTS 2026'!C2426),"",'ENGAGEMENTS 2026'!K2426)</f>
        <v/>
      </c>
      <c r="Q2426">
        <f>IF($A2426="","",IF(OR($E2426="INFRUCTUEUX",$E2426="ANNULE"),$A2426&amp;"|"&amp;(COUNTIFS($A$2:$A2426,$A2426,$E$2:$E2426,"INFRUCTUEUX")+COUNTIFS($A$2:$A2426,$A2426,$E$2:$E2426,"ANNULE")),""))</f>
        <v/>
      </c>
    </row>
    <row r="2427">
      <c r="A2427">
        <f>IF(ISBLANK('ENGAGEMENTS 2026'!C2427),"",IF('ENGAGEMENTS 2026'!C2427="DTSI","DCT",'ENGAGEMENTS 2026'!C2427))</f>
        <v/>
      </c>
      <c r="B2427">
        <f>IF(ISBLANK('ENGAGEMENTS 2026'!C2427),"",'ENGAGEMENTS 2026'!D2427)</f>
        <v/>
      </c>
      <c r="C2427">
        <f>IF(ISBLANK('ENGAGEMENTS 2026'!C2427),"",'ENGAGEMENTS 2026'!E2427)</f>
        <v/>
      </c>
      <c r="D2427">
        <f>IF(ISBLANK('ENGAGEMENTS 2026'!C2427),"",'ENGAGEMENTS 2026'!G2427)</f>
        <v/>
      </c>
      <c r="E2427">
        <f>IF(ISBLANK('ENGAGEMENTS 2026'!C2427),"",'ENGAGEMENTS 2026'!I2427)</f>
        <v/>
      </c>
      <c r="F2427">
        <f>IF(ISBLANK('ENGAGEMENTS 2026'!C2427),"",'ENGAGEMENTS 2026'!J2427)</f>
        <v/>
      </c>
      <c r="G2427">
        <f>IF(ISBLANK('ENGAGEMENTS 2026'!C2427),"",'ENGAGEMENTS 2026'!M2427)</f>
        <v/>
      </c>
      <c r="H2427">
        <f>IF(ISBLANK('ENGAGEMENTS 2026'!C2427),"",'ENGAGEMENTS 2026'!AF2427)</f>
        <v/>
      </c>
      <c r="I2427">
        <f>IF(ISBLANK('ENGAGEMENTS 2026'!C2427),"",'ENGAGEMENTS 2026'!H2427)</f>
        <v/>
      </c>
      <c r="J2427" s="275">
        <f>IF(ISBLANK('ENGAGEMENTS 2026'!C2427),"",IF(AND(OR($E2427="INFRUCTUEUX",$E2427="ANNULE"),$C2427="AOO-M"),'ENGAGEMENTS 2026'!P2427,IF($H2427="EN COURS DE PREENGAGEMENT",'ENGAGEMENTS 2026'!O2427,IF($H2427="PREENGAGE",IF($E2427="ATTRIBUE",'ENGAGEMENTS 2026'!AE2427,'ENGAGEMENTS 2026'!O2427),'ENGAGEMENTS 2026'!AE2427))))</f>
        <v/>
      </c>
      <c r="K2427" s="604">
        <f>IF(ISBLANK('ENGAGEMENTS 2026'!W2427),"",'ENGAGEMENTS 2026'!W2427)</f>
        <v/>
      </c>
      <c r="L2427" s="276">
        <f>IF($K2427="","",TODAY()-$K2427)</f>
        <v/>
      </c>
      <c r="M2427">
        <f>IF($A2427="","",IF($H2427="ENGAGE","Engagé",IF(AND($H2427="NON ENGAGE",OR($I2427="INFRUCTUEUX",$I2427="ANNULE")),"Clôturé sans suite","En cours")))</f>
        <v/>
      </c>
      <c r="N2427">
        <f>IF(ISBLANK('ENGAGEMENTS 2026'!C2427),"",'ENGAGEMENTS 2026'!L2427)</f>
        <v/>
      </c>
      <c r="O2427">
        <f>IF(ISBLANK('ENGAGEMENTS 2026'!C2427),"",'ENGAGEMENTS 2026'!M2427)</f>
        <v/>
      </c>
      <c r="P2427">
        <f>IF(ISBLANK('ENGAGEMENTS 2026'!C2427),"",'ENGAGEMENTS 2026'!K2427)</f>
        <v/>
      </c>
      <c r="Q2427">
        <f>IF($A2427="","",IF(OR($E2427="INFRUCTUEUX",$E2427="ANNULE"),$A2427&amp;"|"&amp;(COUNTIFS($A$2:$A2427,$A2427,$E$2:$E2427,"INFRUCTUEUX")+COUNTIFS($A$2:$A2427,$A2427,$E$2:$E2427,"ANNULE")),""))</f>
        <v/>
      </c>
    </row>
    <row r="2428">
      <c r="A2428">
        <f>IF(ISBLANK('ENGAGEMENTS 2026'!C2428),"",IF('ENGAGEMENTS 2026'!C2428="DTSI","DCT",'ENGAGEMENTS 2026'!C2428))</f>
        <v/>
      </c>
      <c r="B2428">
        <f>IF(ISBLANK('ENGAGEMENTS 2026'!C2428),"",'ENGAGEMENTS 2026'!D2428)</f>
        <v/>
      </c>
      <c r="C2428">
        <f>IF(ISBLANK('ENGAGEMENTS 2026'!C2428),"",'ENGAGEMENTS 2026'!E2428)</f>
        <v/>
      </c>
      <c r="D2428">
        <f>IF(ISBLANK('ENGAGEMENTS 2026'!C2428),"",'ENGAGEMENTS 2026'!G2428)</f>
        <v/>
      </c>
      <c r="E2428">
        <f>IF(ISBLANK('ENGAGEMENTS 2026'!C2428),"",'ENGAGEMENTS 2026'!I2428)</f>
        <v/>
      </c>
      <c r="F2428">
        <f>IF(ISBLANK('ENGAGEMENTS 2026'!C2428),"",'ENGAGEMENTS 2026'!J2428)</f>
        <v/>
      </c>
      <c r="G2428">
        <f>IF(ISBLANK('ENGAGEMENTS 2026'!C2428),"",'ENGAGEMENTS 2026'!M2428)</f>
        <v/>
      </c>
      <c r="H2428">
        <f>IF(ISBLANK('ENGAGEMENTS 2026'!C2428),"",'ENGAGEMENTS 2026'!AF2428)</f>
        <v/>
      </c>
      <c r="I2428">
        <f>IF(ISBLANK('ENGAGEMENTS 2026'!C2428),"",'ENGAGEMENTS 2026'!H2428)</f>
        <v/>
      </c>
      <c r="J2428" s="275">
        <f>IF(ISBLANK('ENGAGEMENTS 2026'!C2428),"",IF(AND(OR($E2428="INFRUCTUEUX",$E2428="ANNULE"),$C2428="AOO-M"),'ENGAGEMENTS 2026'!P2428,IF($H2428="EN COURS DE PREENGAGEMENT",'ENGAGEMENTS 2026'!O2428,IF($H2428="PREENGAGE",IF($E2428="ATTRIBUE",'ENGAGEMENTS 2026'!AE2428,'ENGAGEMENTS 2026'!O2428),'ENGAGEMENTS 2026'!AE2428))))</f>
        <v/>
      </c>
      <c r="K2428" s="604">
        <f>IF(ISBLANK('ENGAGEMENTS 2026'!W2428),"",'ENGAGEMENTS 2026'!W2428)</f>
        <v/>
      </c>
      <c r="L2428" s="276">
        <f>IF($K2428="","",TODAY()-$K2428)</f>
        <v/>
      </c>
      <c r="M2428">
        <f>IF($A2428="","",IF($H2428="ENGAGE","Engagé",IF(AND($H2428="NON ENGAGE",OR($I2428="INFRUCTUEUX",$I2428="ANNULE")),"Clôturé sans suite","En cours")))</f>
        <v/>
      </c>
      <c r="N2428">
        <f>IF(ISBLANK('ENGAGEMENTS 2026'!C2428),"",'ENGAGEMENTS 2026'!L2428)</f>
        <v/>
      </c>
      <c r="O2428">
        <f>IF(ISBLANK('ENGAGEMENTS 2026'!C2428),"",'ENGAGEMENTS 2026'!M2428)</f>
        <v/>
      </c>
      <c r="P2428">
        <f>IF(ISBLANK('ENGAGEMENTS 2026'!C2428),"",'ENGAGEMENTS 2026'!K2428)</f>
        <v/>
      </c>
      <c r="Q2428">
        <f>IF($A2428="","",IF(OR($E2428="INFRUCTUEUX",$E2428="ANNULE"),$A2428&amp;"|"&amp;(COUNTIFS($A$2:$A2428,$A2428,$E$2:$E2428,"INFRUCTUEUX")+COUNTIFS($A$2:$A2428,$A2428,$E$2:$E2428,"ANNULE")),""))</f>
        <v/>
      </c>
    </row>
    <row r="2429">
      <c r="A2429">
        <f>IF(ISBLANK('ENGAGEMENTS 2026'!C2429),"",IF('ENGAGEMENTS 2026'!C2429="DTSI","DCT",'ENGAGEMENTS 2026'!C2429))</f>
        <v/>
      </c>
      <c r="B2429">
        <f>IF(ISBLANK('ENGAGEMENTS 2026'!C2429),"",'ENGAGEMENTS 2026'!D2429)</f>
        <v/>
      </c>
      <c r="C2429">
        <f>IF(ISBLANK('ENGAGEMENTS 2026'!C2429),"",'ENGAGEMENTS 2026'!E2429)</f>
        <v/>
      </c>
      <c r="D2429">
        <f>IF(ISBLANK('ENGAGEMENTS 2026'!C2429),"",'ENGAGEMENTS 2026'!G2429)</f>
        <v/>
      </c>
      <c r="E2429">
        <f>IF(ISBLANK('ENGAGEMENTS 2026'!C2429),"",'ENGAGEMENTS 2026'!I2429)</f>
        <v/>
      </c>
      <c r="F2429">
        <f>IF(ISBLANK('ENGAGEMENTS 2026'!C2429),"",'ENGAGEMENTS 2026'!J2429)</f>
        <v/>
      </c>
      <c r="G2429">
        <f>IF(ISBLANK('ENGAGEMENTS 2026'!C2429),"",'ENGAGEMENTS 2026'!M2429)</f>
        <v/>
      </c>
      <c r="H2429">
        <f>IF(ISBLANK('ENGAGEMENTS 2026'!C2429),"",'ENGAGEMENTS 2026'!AF2429)</f>
        <v/>
      </c>
      <c r="I2429">
        <f>IF(ISBLANK('ENGAGEMENTS 2026'!C2429),"",'ENGAGEMENTS 2026'!H2429)</f>
        <v/>
      </c>
      <c r="J2429" s="275">
        <f>IF(ISBLANK('ENGAGEMENTS 2026'!C2429),"",IF(AND(OR($E2429="INFRUCTUEUX",$E2429="ANNULE"),$C2429="AOO-M"),'ENGAGEMENTS 2026'!P2429,IF($H2429="EN COURS DE PREENGAGEMENT",'ENGAGEMENTS 2026'!O2429,IF($H2429="PREENGAGE",IF($E2429="ATTRIBUE",'ENGAGEMENTS 2026'!AE2429,'ENGAGEMENTS 2026'!O2429),'ENGAGEMENTS 2026'!AE2429))))</f>
        <v/>
      </c>
      <c r="K2429" s="604">
        <f>IF(ISBLANK('ENGAGEMENTS 2026'!W2429),"",'ENGAGEMENTS 2026'!W2429)</f>
        <v/>
      </c>
      <c r="L2429" s="276">
        <f>IF($K2429="","",TODAY()-$K2429)</f>
        <v/>
      </c>
      <c r="M2429">
        <f>IF($A2429="","",IF($H2429="ENGAGE","Engagé",IF(AND($H2429="NON ENGAGE",OR($I2429="INFRUCTUEUX",$I2429="ANNULE")),"Clôturé sans suite","En cours")))</f>
        <v/>
      </c>
      <c r="N2429">
        <f>IF(ISBLANK('ENGAGEMENTS 2026'!C2429),"",'ENGAGEMENTS 2026'!L2429)</f>
        <v/>
      </c>
      <c r="O2429">
        <f>IF(ISBLANK('ENGAGEMENTS 2026'!C2429),"",'ENGAGEMENTS 2026'!M2429)</f>
        <v/>
      </c>
      <c r="P2429">
        <f>IF(ISBLANK('ENGAGEMENTS 2026'!C2429),"",'ENGAGEMENTS 2026'!K2429)</f>
        <v/>
      </c>
      <c r="Q2429">
        <f>IF($A2429="","",IF(OR($E2429="INFRUCTUEUX",$E2429="ANNULE"),$A2429&amp;"|"&amp;(COUNTIFS($A$2:$A2429,$A2429,$E$2:$E2429,"INFRUCTUEUX")+COUNTIFS($A$2:$A2429,$A2429,$E$2:$E2429,"ANNULE")),""))</f>
        <v/>
      </c>
    </row>
    <row r="2430">
      <c r="A2430">
        <f>IF(ISBLANK('ENGAGEMENTS 2026'!C2430),"",IF('ENGAGEMENTS 2026'!C2430="DTSI","DCT",'ENGAGEMENTS 2026'!C2430))</f>
        <v/>
      </c>
      <c r="B2430">
        <f>IF(ISBLANK('ENGAGEMENTS 2026'!C2430),"",'ENGAGEMENTS 2026'!D2430)</f>
        <v/>
      </c>
      <c r="C2430">
        <f>IF(ISBLANK('ENGAGEMENTS 2026'!C2430),"",'ENGAGEMENTS 2026'!E2430)</f>
        <v/>
      </c>
      <c r="D2430">
        <f>IF(ISBLANK('ENGAGEMENTS 2026'!C2430),"",'ENGAGEMENTS 2026'!G2430)</f>
        <v/>
      </c>
      <c r="E2430">
        <f>IF(ISBLANK('ENGAGEMENTS 2026'!C2430),"",'ENGAGEMENTS 2026'!I2430)</f>
        <v/>
      </c>
      <c r="F2430">
        <f>IF(ISBLANK('ENGAGEMENTS 2026'!C2430),"",'ENGAGEMENTS 2026'!J2430)</f>
        <v/>
      </c>
      <c r="G2430">
        <f>IF(ISBLANK('ENGAGEMENTS 2026'!C2430),"",'ENGAGEMENTS 2026'!M2430)</f>
        <v/>
      </c>
      <c r="H2430">
        <f>IF(ISBLANK('ENGAGEMENTS 2026'!C2430),"",'ENGAGEMENTS 2026'!AF2430)</f>
        <v/>
      </c>
      <c r="I2430">
        <f>IF(ISBLANK('ENGAGEMENTS 2026'!C2430),"",'ENGAGEMENTS 2026'!H2430)</f>
        <v/>
      </c>
      <c r="J2430" s="275">
        <f>IF(ISBLANK('ENGAGEMENTS 2026'!C2430),"",IF(AND(OR($E2430="INFRUCTUEUX",$E2430="ANNULE"),$C2430="AOO-M"),'ENGAGEMENTS 2026'!P2430,IF($H2430="EN COURS DE PREENGAGEMENT",'ENGAGEMENTS 2026'!O2430,IF($H2430="PREENGAGE",IF($E2430="ATTRIBUE",'ENGAGEMENTS 2026'!AE2430,'ENGAGEMENTS 2026'!O2430),'ENGAGEMENTS 2026'!AE2430))))</f>
        <v/>
      </c>
      <c r="K2430" s="604">
        <f>IF(ISBLANK('ENGAGEMENTS 2026'!W2430),"",'ENGAGEMENTS 2026'!W2430)</f>
        <v/>
      </c>
      <c r="L2430" s="276">
        <f>IF($K2430="","",TODAY()-$K2430)</f>
        <v/>
      </c>
      <c r="M2430">
        <f>IF($A2430="","",IF($H2430="ENGAGE","Engagé",IF(AND($H2430="NON ENGAGE",OR($I2430="INFRUCTUEUX",$I2430="ANNULE")),"Clôturé sans suite","En cours")))</f>
        <v/>
      </c>
      <c r="N2430">
        <f>IF(ISBLANK('ENGAGEMENTS 2026'!C2430),"",'ENGAGEMENTS 2026'!L2430)</f>
        <v/>
      </c>
      <c r="O2430">
        <f>IF(ISBLANK('ENGAGEMENTS 2026'!C2430),"",'ENGAGEMENTS 2026'!M2430)</f>
        <v/>
      </c>
      <c r="P2430">
        <f>IF(ISBLANK('ENGAGEMENTS 2026'!C2430),"",'ENGAGEMENTS 2026'!K2430)</f>
        <v/>
      </c>
      <c r="Q2430">
        <f>IF($A2430="","",IF(OR($E2430="INFRUCTUEUX",$E2430="ANNULE"),$A2430&amp;"|"&amp;(COUNTIFS($A$2:$A2430,$A2430,$E$2:$E2430,"INFRUCTUEUX")+COUNTIFS($A$2:$A2430,$A2430,$E$2:$E2430,"ANNULE")),""))</f>
        <v/>
      </c>
    </row>
    <row r="2431">
      <c r="A2431">
        <f>IF(ISBLANK('ENGAGEMENTS 2026'!C2431),"",IF('ENGAGEMENTS 2026'!C2431="DTSI","DCT",'ENGAGEMENTS 2026'!C2431))</f>
        <v/>
      </c>
      <c r="B2431">
        <f>IF(ISBLANK('ENGAGEMENTS 2026'!C2431),"",'ENGAGEMENTS 2026'!D2431)</f>
        <v/>
      </c>
      <c r="C2431">
        <f>IF(ISBLANK('ENGAGEMENTS 2026'!C2431),"",'ENGAGEMENTS 2026'!E2431)</f>
        <v/>
      </c>
      <c r="D2431">
        <f>IF(ISBLANK('ENGAGEMENTS 2026'!C2431),"",'ENGAGEMENTS 2026'!G2431)</f>
        <v/>
      </c>
      <c r="E2431">
        <f>IF(ISBLANK('ENGAGEMENTS 2026'!C2431),"",'ENGAGEMENTS 2026'!I2431)</f>
        <v/>
      </c>
      <c r="F2431">
        <f>IF(ISBLANK('ENGAGEMENTS 2026'!C2431),"",'ENGAGEMENTS 2026'!J2431)</f>
        <v/>
      </c>
      <c r="G2431">
        <f>IF(ISBLANK('ENGAGEMENTS 2026'!C2431),"",'ENGAGEMENTS 2026'!M2431)</f>
        <v/>
      </c>
      <c r="H2431">
        <f>IF(ISBLANK('ENGAGEMENTS 2026'!C2431),"",'ENGAGEMENTS 2026'!AF2431)</f>
        <v/>
      </c>
      <c r="I2431">
        <f>IF(ISBLANK('ENGAGEMENTS 2026'!C2431),"",'ENGAGEMENTS 2026'!H2431)</f>
        <v/>
      </c>
      <c r="J2431" s="275">
        <f>IF(ISBLANK('ENGAGEMENTS 2026'!C2431),"",IF(AND(OR($E2431="INFRUCTUEUX",$E2431="ANNULE"),$C2431="AOO-M"),'ENGAGEMENTS 2026'!P2431,IF($H2431="EN COURS DE PREENGAGEMENT",'ENGAGEMENTS 2026'!O2431,IF($H2431="PREENGAGE",IF($E2431="ATTRIBUE",'ENGAGEMENTS 2026'!AE2431,'ENGAGEMENTS 2026'!O2431),'ENGAGEMENTS 2026'!AE2431))))</f>
        <v/>
      </c>
      <c r="K2431" s="604">
        <f>IF(ISBLANK('ENGAGEMENTS 2026'!W2431),"",'ENGAGEMENTS 2026'!W2431)</f>
        <v/>
      </c>
      <c r="L2431" s="276">
        <f>IF($K2431="","",TODAY()-$K2431)</f>
        <v/>
      </c>
      <c r="M2431">
        <f>IF($A2431="","",IF($H2431="ENGAGE","Engagé",IF(AND($H2431="NON ENGAGE",OR($I2431="INFRUCTUEUX",$I2431="ANNULE")),"Clôturé sans suite","En cours")))</f>
        <v/>
      </c>
      <c r="N2431">
        <f>IF(ISBLANK('ENGAGEMENTS 2026'!C2431),"",'ENGAGEMENTS 2026'!L2431)</f>
        <v/>
      </c>
      <c r="O2431">
        <f>IF(ISBLANK('ENGAGEMENTS 2026'!C2431),"",'ENGAGEMENTS 2026'!M2431)</f>
        <v/>
      </c>
      <c r="P2431">
        <f>IF(ISBLANK('ENGAGEMENTS 2026'!C2431),"",'ENGAGEMENTS 2026'!K2431)</f>
        <v/>
      </c>
      <c r="Q2431">
        <f>IF($A2431="","",IF(OR($E2431="INFRUCTUEUX",$E2431="ANNULE"),$A2431&amp;"|"&amp;(COUNTIFS($A$2:$A2431,$A2431,$E$2:$E2431,"INFRUCTUEUX")+COUNTIFS($A$2:$A2431,$A2431,$E$2:$E2431,"ANNULE")),""))</f>
        <v/>
      </c>
    </row>
    <row r="2432">
      <c r="A2432">
        <f>IF(ISBLANK('ENGAGEMENTS 2026'!C2432),"",IF('ENGAGEMENTS 2026'!C2432="DTSI","DCT",'ENGAGEMENTS 2026'!C2432))</f>
        <v/>
      </c>
      <c r="B2432">
        <f>IF(ISBLANK('ENGAGEMENTS 2026'!C2432),"",'ENGAGEMENTS 2026'!D2432)</f>
        <v/>
      </c>
      <c r="C2432">
        <f>IF(ISBLANK('ENGAGEMENTS 2026'!C2432),"",'ENGAGEMENTS 2026'!E2432)</f>
        <v/>
      </c>
      <c r="D2432">
        <f>IF(ISBLANK('ENGAGEMENTS 2026'!C2432),"",'ENGAGEMENTS 2026'!G2432)</f>
        <v/>
      </c>
      <c r="E2432">
        <f>IF(ISBLANK('ENGAGEMENTS 2026'!C2432),"",'ENGAGEMENTS 2026'!I2432)</f>
        <v/>
      </c>
      <c r="F2432">
        <f>IF(ISBLANK('ENGAGEMENTS 2026'!C2432),"",'ENGAGEMENTS 2026'!J2432)</f>
        <v/>
      </c>
      <c r="G2432">
        <f>IF(ISBLANK('ENGAGEMENTS 2026'!C2432),"",'ENGAGEMENTS 2026'!M2432)</f>
        <v/>
      </c>
      <c r="H2432">
        <f>IF(ISBLANK('ENGAGEMENTS 2026'!C2432),"",'ENGAGEMENTS 2026'!AF2432)</f>
        <v/>
      </c>
      <c r="I2432">
        <f>IF(ISBLANK('ENGAGEMENTS 2026'!C2432),"",'ENGAGEMENTS 2026'!H2432)</f>
        <v/>
      </c>
      <c r="J2432" s="275">
        <f>IF(ISBLANK('ENGAGEMENTS 2026'!C2432),"",IF(AND(OR($E2432="INFRUCTUEUX",$E2432="ANNULE"),$C2432="AOO-M"),'ENGAGEMENTS 2026'!P2432,IF($H2432="EN COURS DE PREENGAGEMENT",'ENGAGEMENTS 2026'!O2432,IF($H2432="PREENGAGE",IF($E2432="ATTRIBUE",'ENGAGEMENTS 2026'!AE2432,'ENGAGEMENTS 2026'!O2432),'ENGAGEMENTS 2026'!AE2432))))</f>
        <v/>
      </c>
      <c r="K2432" s="604">
        <f>IF(ISBLANK('ENGAGEMENTS 2026'!W2432),"",'ENGAGEMENTS 2026'!W2432)</f>
        <v/>
      </c>
      <c r="L2432" s="276">
        <f>IF($K2432="","",TODAY()-$K2432)</f>
        <v/>
      </c>
      <c r="M2432">
        <f>IF($A2432="","",IF($H2432="ENGAGE","Engagé",IF(AND($H2432="NON ENGAGE",OR($I2432="INFRUCTUEUX",$I2432="ANNULE")),"Clôturé sans suite","En cours")))</f>
        <v/>
      </c>
      <c r="N2432">
        <f>IF(ISBLANK('ENGAGEMENTS 2026'!C2432),"",'ENGAGEMENTS 2026'!L2432)</f>
        <v/>
      </c>
      <c r="O2432">
        <f>IF(ISBLANK('ENGAGEMENTS 2026'!C2432),"",'ENGAGEMENTS 2026'!M2432)</f>
        <v/>
      </c>
      <c r="P2432">
        <f>IF(ISBLANK('ENGAGEMENTS 2026'!C2432),"",'ENGAGEMENTS 2026'!K2432)</f>
        <v/>
      </c>
      <c r="Q2432">
        <f>IF($A2432="","",IF(OR($E2432="INFRUCTUEUX",$E2432="ANNULE"),$A2432&amp;"|"&amp;(COUNTIFS($A$2:$A2432,$A2432,$E$2:$E2432,"INFRUCTUEUX")+COUNTIFS($A$2:$A2432,$A2432,$E$2:$E2432,"ANNULE")),""))</f>
        <v/>
      </c>
    </row>
    <row r="2433">
      <c r="A2433">
        <f>IF(ISBLANK('ENGAGEMENTS 2026'!C2433),"",IF('ENGAGEMENTS 2026'!C2433="DTSI","DCT",'ENGAGEMENTS 2026'!C2433))</f>
        <v/>
      </c>
      <c r="B2433">
        <f>IF(ISBLANK('ENGAGEMENTS 2026'!C2433),"",'ENGAGEMENTS 2026'!D2433)</f>
        <v/>
      </c>
      <c r="C2433">
        <f>IF(ISBLANK('ENGAGEMENTS 2026'!C2433),"",'ENGAGEMENTS 2026'!E2433)</f>
        <v/>
      </c>
      <c r="D2433">
        <f>IF(ISBLANK('ENGAGEMENTS 2026'!C2433),"",'ENGAGEMENTS 2026'!G2433)</f>
        <v/>
      </c>
      <c r="E2433">
        <f>IF(ISBLANK('ENGAGEMENTS 2026'!C2433),"",'ENGAGEMENTS 2026'!I2433)</f>
        <v/>
      </c>
      <c r="F2433">
        <f>IF(ISBLANK('ENGAGEMENTS 2026'!C2433),"",'ENGAGEMENTS 2026'!J2433)</f>
        <v/>
      </c>
      <c r="G2433">
        <f>IF(ISBLANK('ENGAGEMENTS 2026'!C2433),"",'ENGAGEMENTS 2026'!M2433)</f>
        <v/>
      </c>
      <c r="H2433">
        <f>IF(ISBLANK('ENGAGEMENTS 2026'!C2433),"",'ENGAGEMENTS 2026'!AF2433)</f>
        <v/>
      </c>
      <c r="I2433">
        <f>IF(ISBLANK('ENGAGEMENTS 2026'!C2433),"",'ENGAGEMENTS 2026'!H2433)</f>
        <v/>
      </c>
      <c r="J2433" s="275">
        <f>IF(ISBLANK('ENGAGEMENTS 2026'!C2433),"",IF(AND(OR($E2433="INFRUCTUEUX",$E2433="ANNULE"),$C2433="AOO-M"),'ENGAGEMENTS 2026'!P2433,IF($H2433="EN COURS DE PREENGAGEMENT",'ENGAGEMENTS 2026'!O2433,IF($H2433="PREENGAGE",IF($E2433="ATTRIBUE",'ENGAGEMENTS 2026'!AE2433,'ENGAGEMENTS 2026'!O2433),'ENGAGEMENTS 2026'!AE2433))))</f>
        <v/>
      </c>
      <c r="K2433" s="604">
        <f>IF(ISBLANK('ENGAGEMENTS 2026'!W2433),"",'ENGAGEMENTS 2026'!W2433)</f>
        <v/>
      </c>
      <c r="L2433" s="276">
        <f>IF($K2433="","",TODAY()-$K2433)</f>
        <v/>
      </c>
      <c r="M2433">
        <f>IF($A2433="","",IF($H2433="ENGAGE","Engagé",IF(AND($H2433="NON ENGAGE",OR($I2433="INFRUCTUEUX",$I2433="ANNULE")),"Clôturé sans suite","En cours")))</f>
        <v/>
      </c>
      <c r="N2433">
        <f>IF(ISBLANK('ENGAGEMENTS 2026'!C2433),"",'ENGAGEMENTS 2026'!L2433)</f>
        <v/>
      </c>
      <c r="O2433">
        <f>IF(ISBLANK('ENGAGEMENTS 2026'!C2433),"",'ENGAGEMENTS 2026'!M2433)</f>
        <v/>
      </c>
      <c r="P2433">
        <f>IF(ISBLANK('ENGAGEMENTS 2026'!C2433),"",'ENGAGEMENTS 2026'!K2433)</f>
        <v/>
      </c>
      <c r="Q2433">
        <f>IF($A2433="","",IF(OR($E2433="INFRUCTUEUX",$E2433="ANNULE"),$A2433&amp;"|"&amp;(COUNTIFS($A$2:$A2433,$A2433,$E$2:$E2433,"INFRUCTUEUX")+COUNTIFS($A$2:$A2433,$A2433,$E$2:$E2433,"ANNULE")),""))</f>
        <v/>
      </c>
    </row>
    <row r="2434">
      <c r="A2434">
        <f>IF(ISBLANK('ENGAGEMENTS 2026'!C2434),"",IF('ENGAGEMENTS 2026'!C2434="DTSI","DCT",'ENGAGEMENTS 2026'!C2434))</f>
        <v/>
      </c>
      <c r="B2434">
        <f>IF(ISBLANK('ENGAGEMENTS 2026'!C2434),"",'ENGAGEMENTS 2026'!D2434)</f>
        <v/>
      </c>
      <c r="C2434">
        <f>IF(ISBLANK('ENGAGEMENTS 2026'!C2434),"",'ENGAGEMENTS 2026'!E2434)</f>
        <v/>
      </c>
      <c r="D2434">
        <f>IF(ISBLANK('ENGAGEMENTS 2026'!C2434),"",'ENGAGEMENTS 2026'!G2434)</f>
        <v/>
      </c>
      <c r="E2434">
        <f>IF(ISBLANK('ENGAGEMENTS 2026'!C2434),"",'ENGAGEMENTS 2026'!I2434)</f>
        <v/>
      </c>
      <c r="F2434">
        <f>IF(ISBLANK('ENGAGEMENTS 2026'!C2434),"",'ENGAGEMENTS 2026'!J2434)</f>
        <v/>
      </c>
      <c r="G2434">
        <f>IF(ISBLANK('ENGAGEMENTS 2026'!C2434),"",'ENGAGEMENTS 2026'!M2434)</f>
        <v/>
      </c>
      <c r="H2434">
        <f>IF(ISBLANK('ENGAGEMENTS 2026'!C2434),"",'ENGAGEMENTS 2026'!AF2434)</f>
        <v/>
      </c>
      <c r="I2434">
        <f>IF(ISBLANK('ENGAGEMENTS 2026'!C2434),"",'ENGAGEMENTS 2026'!H2434)</f>
        <v/>
      </c>
      <c r="J2434" s="275">
        <f>IF(ISBLANK('ENGAGEMENTS 2026'!C2434),"",IF(AND(OR($E2434="INFRUCTUEUX",$E2434="ANNULE"),$C2434="AOO-M"),'ENGAGEMENTS 2026'!P2434,IF($H2434="EN COURS DE PREENGAGEMENT",'ENGAGEMENTS 2026'!O2434,IF($H2434="PREENGAGE",IF($E2434="ATTRIBUE",'ENGAGEMENTS 2026'!AE2434,'ENGAGEMENTS 2026'!O2434),'ENGAGEMENTS 2026'!AE2434))))</f>
        <v/>
      </c>
      <c r="K2434" s="604">
        <f>IF(ISBLANK('ENGAGEMENTS 2026'!W2434),"",'ENGAGEMENTS 2026'!W2434)</f>
        <v/>
      </c>
      <c r="L2434" s="276">
        <f>IF($K2434="","",TODAY()-$K2434)</f>
        <v/>
      </c>
      <c r="M2434">
        <f>IF($A2434="","",IF($H2434="ENGAGE","Engagé",IF(AND($H2434="NON ENGAGE",OR($I2434="INFRUCTUEUX",$I2434="ANNULE")),"Clôturé sans suite","En cours")))</f>
        <v/>
      </c>
      <c r="N2434">
        <f>IF(ISBLANK('ENGAGEMENTS 2026'!C2434),"",'ENGAGEMENTS 2026'!L2434)</f>
        <v/>
      </c>
      <c r="O2434">
        <f>IF(ISBLANK('ENGAGEMENTS 2026'!C2434),"",'ENGAGEMENTS 2026'!M2434)</f>
        <v/>
      </c>
      <c r="P2434">
        <f>IF(ISBLANK('ENGAGEMENTS 2026'!C2434),"",'ENGAGEMENTS 2026'!K2434)</f>
        <v/>
      </c>
      <c r="Q2434">
        <f>IF($A2434="","",IF(OR($E2434="INFRUCTUEUX",$E2434="ANNULE"),$A2434&amp;"|"&amp;(COUNTIFS($A$2:$A2434,$A2434,$E$2:$E2434,"INFRUCTUEUX")+COUNTIFS($A$2:$A2434,$A2434,$E$2:$E2434,"ANNULE")),""))</f>
        <v/>
      </c>
    </row>
    <row r="2435">
      <c r="A2435">
        <f>IF(ISBLANK('ENGAGEMENTS 2026'!C2435),"",IF('ENGAGEMENTS 2026'!C2435="DTSI","DCT",'ENGAGEMENTS 2026'!C2435))</f>
        <v/>
      </c>
      <c r="B2435">
        <f>IF(ISBLANK('ENGAGEMENTS 2026'!C2435),"",'ENGAGEMENTS 2026'!D2435)</f>
        <v/>
      </c>
      <c r="C2435">
        <f>IF(ISBLANK('ENGAGEMENTS 2026'!C2435),"",'ENGAGEMENTS 2026'!E2435)</f>
        <v/>
      </c>
      <c r="D2435">
        <f>IF(ISBLANK('ENGAGEMENTS 2026'!C2435),"",'ENGAGEMENTS 2026'!G2435)</f>
        <v/>
      </c>
      <c r="E2435">
        <f>IF(ISBLANK('ENGAGEMENTS 2026'!C2435),"",'ENGAGEMENTS 2026'!I2435)</f>
        <v/>
      </c>
      <c r="F2435">
        <f>IF(ISBLANK('ENGAGEMENTS 2026'!C2435),"",'ENGAGEMENTS 2026'!J2435)</f>
        <v/>
      </c>
      <c r="G2435">
        <f>IF(ISBLANK('ENGAGEMENTS 2026'!C2435),"",'ENGAGEMENTS 2026'!M2435)</f>
        <v/>
      </c>
      <c r="H2435">
        <f>IF(ISBLANK('ENGAGEMENTS 2026'!C2435),"",'ENGAGEMENTS 2026'!AF2435)</f>
        <v/>
      </c>
      <c r="I2435">
        <f>IF(ISBLANK('ENGAGEMENTS 2026'!C2435),"",'ENGAGEMENTS 2026'!H2435)</f>
        <v/>
      </c>
      <c r="J2435" s="275">
        <f>IF(ISBLANK('ENGAGEMENTS 2026'!C2435),"",IF(AND(OR($E2435="INFRUCTUEUX",$E2435="ANNULE"),$C2435="AOO-M"),'ENGAGEMENTS 2026'!P2435,IF($H2435="EN COURS DE PREENGAGEMENT",'ENGAGEMENTS 2026'!O2435,IF($H2435="PREENGAGE",IF($E2435="ATTRIBUE",'ENGAGEMENTS 2026'!AE2435,'ENGAGEMENTS 2026'!O2435),'ENGAGEMENTS 2026'!AE2435))))</f>
        <v/>
      </c>
      <c r="K2435" s="604">
        <f>IF(ISBLANK('ENGAGEMENTS 2026'!W2435),"",'ENGAGEMENTS 2026'!W2435)</f>
        <v/>
      </c>
      <c r="L2435" s="276">
        <f>IF($K2435="","",TODAY()-$K2435)</f>
        <v/>
      </c>
      <c r="M2435">
        <f>IF($A2435="","",IF($H2435="ENGAGE","Engagé",IF(AND($H2435="NON ENGAGE",OR($I2435="INFRUCTUEUX",$I2435="ANNULE")),"Clôturé sans suite","En cours")))</f>
        <v/>
      </c>
      <c r="N2435">
        <f>IF(ISBLANK('ENGAGEMENTS 2026'!C2435),"",'ENGAGEMENTS 2026'!L2435)</f>
        <v/>
      </c>
      <c r="O2435">
        <f>IF(ISBLANK('ENGAGEMENTS 2026'!C2435),"",'ENGAGEMENTS 2026'!M2435)</f>
        <v/>
      </c>
      <c r="P2435">
        <f>IF(ISBLANK('ENGAGEMENTS 2026'!C2435),"",'ENGAGEMENTS 2026'!K2435)</f>
        <v/>
      </c>
      <c r="Q2435">
        <f>IF($A2435="","",IF(OR($E2435="INFRUCTUEUX",$E2435="ANNULE"),$A2435&amp;"|"&amp;(COUNTIFS($A$2:$A2435,$A2435,$E$2:$E2435,"INFRUCTUEUX")+COUNTIFS($A$2:$A2435,$A2435,$E$2:$E2435,"ANNULE")),""))</f>
        <v/>
      </c>
    </row>
    <row r="2436">
      <c r="A2436">
        <f>IF(ISBLANK('ENGAGEMENTS 2026'!C2436),"",IF('ENGAGEMENTS 2026'!C2436="DTSI","DCT",'ENGAGEMENTS 2026'!C2436))</f>
        <v/>
      </c>
      <c r="B2436">
        <f>IF(ISBLANK('ENGAGEMENTS 2026'!C2436),"",'ENGAGEMENTS 2026'!D2436)</f>
        <v/>
      </c>
      <c r="C2436">
        <f>IF(ISBLANK('ENGAGEMENTS 2026'!C2436),"",'ENGAGEMENTS 2026'!E2436)</f>
        <v/>
      </c>
      <c r="D2436">
        <f>IF(ISBLANK('ENGAGEMENTS 2026'!C2436),"",'ENGAGEMENTS 2026'!G2436)</f>
        <v/>
      </c>
      <c r="E2436">
        <f>IF(ISBLANK('ENGAGEMENTS 2026'!C2436),"",'ENGAGEMENTS 2026'!I2436)</f>
        <v/>
      </c>
      <c r="F2436">
        <f>IF(ISBLANK('ENGAGEMENTS 2026'!C2436),"",'ENGAGEMENTS 2026'!J2436)</f>
        <v/>
      </c>
      <c r="G2436">
        <f>IF(ISBLANK('ENGAGEMENTS 2026'!C2436),"",'ENGAGEMENTS 2026'!M2436)</f>
        <v/>
      </c>
      <c r="H2436">
        <f>IF(ISBLANK('ENGAGEMENTS 2026'!C2436),"",'ENGAGEMENTS 2026'!AF2436)</f>
        <v/>
      </c>
      <c r="I2436">
        <f>IF(ISBLANK('ENGAGEMENTS 2026'!C2436),"",'ENGAGEMENTS 2026'!H2436)</f>
        <v/>
      </c>
      <c r="J2436" s="275">
        <f>IF(ISBLANK('ENGAGEMENTS 2026'!C2436),"",IF(AND(OR($E2436="INFRUCTUEUX",$E2436="ANNULE"),$C2436="AOO-M"),'ENGAGEMENTS 2026'!P2436,IF($H2436="EN COURS DE PREENGAGEMENT",'ENGAGEMENTS 2026'!O2436,IF($H2436="PREENGAGE",IF($E2436="ATTRIBUE",'ENGAGEMENTS 2026'!AE2436,'ENGAGEMENTS 2026'!O2436),'ENGAGEMENTS 2026'!AE2436))))</f>
        <v/>
      </c>
      <c r="K2436" s="604">
        <f>IF(ISBLANK('ENGAGEMENTS 2026'!W2436),"",'ENGAGEMENTS 2026'!W2436)</f>
        <v/>
      </c>
      <c r="L2436" s="276">
        <f>IF($K2436="","",TODAY()-$K2436)</f>
        <v/>
      </c>
      <c r="M2436">
        <f>IF($A2436="","",IF($H2436="ENGAGE","Engagé",IF(AND($H2436="NON ENGAGE",OR($I2436="INFRUCTUEUX",$I2436="ANNULE")),"Clôturé sans suite","En cours")))</f>
        <v/>
      </c>
      <c r="N2436">
        <f>IF(ISBLANK('ENGAGEMENTS 2026'!C2436),"",'ENGAGEMENTS 2026'!L2436)</f>
        <v/>
      </c>
      <c r="O2436">
        <f>IF(ISBLANK('ENGAGEMENTS 2026'!C2436),"",'ENGAGEMENTS 2026'!M2436)</f>
        <v/>
      </c>
      <c r="P2436">
        <f>IF(ISBLANK('ENGAGEMENTS 2026'!C2436),"",'ENGAGEMENTS 2026'!K2436)</f>
        <v/>
      </c>
      <c r="Q2436">
        <f>IF($A2436="","",IF(OR($E2436="INFRUCTUEUX",$E2436="ANNULE"),$A2436&amp;"|"&amp;(COUNTIFS($A$2:$A2436,$A2436,$E$2:$E2436,"INFRUCTUEUX")+COUNTIFS($A$2:$A2436,$A2436,$E$2:$E2436,"ANNULE")),""))</f>
        <v/>
      </c>
    </row>
    <row r="2437">
      <c r="A2437">
        <f>IF(ISBLANK('ENGAGEMENTS 2026'!C2437),"",IF('ENGAGEMENTS 2026'!C2437="DTSI","DCT",'ENGAGEMENTS 2026'!C2437))</f>
        <v/>
      </c>
      <c r="B2437">
        <f>IF(ISBLANK('ENGAGEMENTS 2026'!C2437),"",'ENGAGEMENTS 2026'!D2437)</f>
        <v/>
      </c>
      <c r="C2437">
        <f>IF(ISBLANK('ENGAGEMENTS 2026'!C2437),"",'ENGAGEMENTS 2026'!E2437)</f>
        <v/>
      </c>
      <c r="D2437">
        <f>IF(ISBLANK('ENGAGEMENTS 2026'!C2437),"",'ENGAGEMENTS 2026'!G2437)</f>
        <v/>
      </c>
      <c r="E2437">
        <f>IF(ISBLANK('ENGAGEMENTS 2026'!C2437),"",'ENGAGEMENTS 2026'!I2437)</f>
        <v/>
      </c>
      <c r="F2437">
        <f>IF(ISBLANK('ENGAGEMENTS 2026'!C2437),"",'ENGAGEMENTS 2026'!J2437)</f>
        <v/>
      </c>
      <c r="G2437">
        <f>IF(ISBLANK('ENGAGEMENTS 2026'!C2437),"",'ENGAGEMENTS 2026'!M2437)</f>
        <v/>
      </c>
      <c r="H2437">
        <f>IF(ISBLANK('ENGAGEMENTS 2026'!C2437),"",'ENGAGEMENTS 2026'!AF2437)</f>
        <v/>
      </c>
      <c r="I2437">
        <f>IF(ISBLANK('ENGAGEMENTS 2026'!C2437),"",'ENGAGEMENTS 2026'!H2437)</f>
        <v/>
      </c>
      <c r="J2437" s="275">
        <f>IF(ISBLANK('ENGAGEMENTS 2026'!C2437),"",IF(AND(OR($E2437="INFRUCTUEUX",$E2437="ANNULE"),$C2437="AOO-M"),'ENGAGEMENTS 2026'!P2437,IF($H2437="EN COURS DE PREENGAGEMENT",'ENGAGEMENTS 2026'!O2437,IF($H2437="PREENGAGE",IF($E2437="ATTRIBUE",'ENGAGEMENTS 2026'!AE2437,'ENGAGEMENTS 2026'!O2437),'ENGAGEMENTS 2026'!AE2437))))</f>
        <v/>
      </c>
      <c r="K2437" s="604">
        <f>IF(ISBLANK('ENGAGEMENTS 2026'!W2437),"",'ENGAGEMENTS 2026'!W2437)</f>
        <v/>
      </c>
      <c r="L2437" s="276">
        <f>IF($K2437="","",TODAY()-$K2437)</f>
        <v/>
      </c>
      <c r="M2437">
        <f>IF($A2437="","",IF($H2437="ENGAGE","Engagé",IF(AND($H2437="NON ENGAGE",OR($I2437="INFRUCTUEUX",$I2437="ANNULE")),"Clôturé sans suite","En cours")))</f>
        <v/>
      </c>
      <c r="N2437">
        <f>IF(ISBLANK('ENGAGEMENTS 2026'!C2437),"",'ENGAGEMENTS 2026'!L2437)</f>
        <v/>
      </c>
      <c r="O2437">
        <f>IF(ISBLANK('ENGAGEMENTS 2026'!C2437),"",'ENGAGEMENTS 2026'!M2437)</f>
        <v/>
      </c>
      <c r="P2437">
        <f>IF(ISBLANK('ENGAGEMENTS 2026'!C2437),"",'ENGAGEMENTS 2026'!K2437)</f>
        <v/>
      </c>
      <c r="Q2437">
        <f>IF($A2437="","",IF(OR($E2437="INFRUCTUEUX",$E2437="ANNULE"),$A2437&amp;"|"&amp;(COUNTIFS($A$2:$A2437,$A2437,$E$2:$E2437,"INFRUCTUEUX")+COUNTIFS($A$2:$A2437,$A2437,$E$2:$E2437,"ANNULE")),""))</f>
        <v/>
      </c>
    </row>
    <row r="2438">
      <c r="A2438">
        <f>IF(ISBLANK('ENGAGEMENTS 2026'!C2438),"",IF('ENGAGEMENTS 2026'!C2438="DTSI","DCT",'ENGAGEMENTS 2026'!C2438))</f>
        <v/>
      </c>
      <c r="B2438">
        <f>IF(ISBLANK('ENGAGEMENTS 2026'!C2438),"",'ENGAGEMENTS 2026'!D2438)</f>
        <v/>
      </c>
      <c r="C2438">
        <f>IF(ISBLANK('ENGAGEMENTS 2026'!C2438),"",'ENGAGEMENTS 2026'!E2438)</f>
        <v/>
      </c>
      <c r="D2438">
        <f>IF(ISBLANK('ENGAGEMENTS 2026'!C2438),"",'ENGAGEMENTS 2026'!G2438)</f>
        <v/>
      </c>
      <c r="E2438">
        <f>IF(ISBLANK('ENGAGEMENTS 2026'!C2438),"",'ENGAGEMENTS 2026'!I2438)</f>
        <v/>
      </c>
      <c r="F2438">
        <f>IF(ISBLANK('ENGAGEMENTS 2026'!C2438),"",'ENGAGEMENTS 2026'!J2438)</f>
        <v/>
      </c>
      <c r="G2438">
        <f>IF(ISBLANK('ENGAGEMENTS 2026'!C2438),"",'ENGAGEMENTS 2026'!M2438)</f>
        <v/>
      </c>
      <c r="H2438">
        <f>IF(ISBLANK('ENGAGEMENTS 2026'!C2438),"",'ENGAGEMENTS 2026'!AF2438)</f>
        <v/>
      </c>
      <c r="I2438">
        <f>IF(ISBLANK('ENGAGEMENTS 2026'!C2438),"",'ENGAGEMENTS 2026'!H2438)</f>
        <v/>
      </c>
      <c r="J2438" s="275">
        <f>IF(ISBLANK('ENGAGEMENTS 2026'!C2438),"",IF(AND(OR($E2438="INFRUCTUEUX",$E2438="ANNULE"),$C2438="AOO-M"),'ENGAGEMENTS 2026'!P2438,IF($H2438="EN COURS DE PREENGAGEMENT",'ENGAGEMENTS 2026'!O2438,IF($H2438="PREENGAGE",IF($E2438="ATTRIBUE",'ENGAGEMENTS 2026'!AE2438,'ENGAGEMENTS 2026'!O2438),'ENGAGEMENTS 2026'!AE2438))))</f>
        <v/>
      </c>
      <c r="K2438" s="604">
        <f>IF(ISBLANK('ENGAGEMENTS 2026'!W2438),"",'ENGAGEMENTS 2026'!W2438)</f>
        <v/>
      </c>
      <c r="L2438" s="276">
        <f>IF($K2438="","",TODAY()-$K2438)</f>
        <v/>
      </c>
      <c r="M2438">
        <f>IF($A2438="","",IF($H2438="ENGAGE","Engagé",IF(AND($H2438="NON ENGAGE",OR($I2438="INFRUCTUEUX",$I2438="ANNULE")),"Clôturé sans suite","En cours")))</f>
        <v/>
      </c>
      <c r="N2438">
        <f>IF(ISBLANK('ENGAGEMENTS 2026'!C2438),"",'ENGAGEMENTS 2026'!L2438)</f>
        <v/>
      </c>
      <c r="O2438">
        <f>IF(ISBLANK('ENGAGEMENTS 2026'!C2438),"",'ENGAGEMENTS 2026'!M2438)</f>
        <v/>
      </c>
      <c r="P2438">
        <f>IF(ISBLANK('ENGAGEMENTS 2026'!C2438),"",'ENGAGEMENTS 2026'!K2438)</f>
        <v/>
      </c>
      <c r="Q2438">
        <f>IF($A2438="","",IF(OR($E2438="INFRUCTUEUX",$E2438="ANNULE"),$A2438&amp;"|"&amp;(COUNTIFS($A$2:$A2438,$A2438,$E$2:$E2438,"INFRUCTUEUX")+COUNTIFS($A$2:$A2438,$A2438,$E$2:$E2438,"ANNULE")),""))</f>
        <v/>
      </c>
    </row>
    <row r="2439">
      <c r="A2439">
        <f>IF(ISBLANK('ENGAGEMENTS 2026'!C2439),"",IF('ENGAGEMENTS 2026'!C2439="DTSI","DCT",'ENGAGEMENTS 2026'!C2439))</f>
        <v/>
      </c>
      <c r="B2439">
        <f>IF(ISBLANK('ENGAGEMENTS 2026'!C2439),"",'ENGAGEMENTS 2026'!D2439)</f>
        <v/>
      </c>
      <c r="C2439">
        <f>IF(ISBLANK('ENGAGEMENTS 2026'!C2439),"",'ENGAGEMENTS 2026'!E2439)</f>
        <v/>
      </c>
      <c r="D2439">
        <f>IF(ISBLANK('ENGAGEMENTS 2026'!C2439),"",'ENGAGEMENTS 2026'!G2439)</f>
        <v/>
      </c>
      <c r="E2439">
        <f>IF(ISBLANK('ENGAGEMENTS 2026'!C2439),"",'ENGAGEMENTS 2026'!I2439)</f>
        <v/>
      </c>
      <c r="F2439">
        <f>IF(ISBLANK('ENGAGEMENTS 2026'!C2439),"",'ENGAGEMENTS 2026'!J2439)</f>
        <v/>
      </c>
      <c r="G2439">
        <f>IF(ISBLANK('ENGAGEMENTS 2026'!C2439),"",'ENGAGEMENTS 2026'!M2439)</f>
        <v/>
      </c>
      <c r="H2439">
        <f>IF(ISBLANK('ENGAGEMENTS 2026'!C2439),"",'ENGAGEMENTS 2026'!AF2439)</f>
        <v/>
      </c>
      <c r="I2439">
        <f>IF(ISBLANK('ENGAGEMENTS 2026'!C2439),"",'ENGAGEMENTS 2026'!H2439)</f>
        <v/>
      </c>
      <c r="J2439" s="275">
        <f>IF(ISBLANK('ENGAGEMENTS 2026'!C2439),"",IF(AND(OR($E2439="INFRUCTUEUX",$E2439="ANNULE"),$C2439="AOO-M"),'ENGAGEMENTS 2026'!P2439,IF($H2439="EN COURS DE PREENGAGEMENT",'ENGAGEMENTS 2026'!O2439,IF($H2439="PREENGAGE",IF($E2439="ATTRIBUE",'ENGAGEMENTS 2026'!AE2439,'ENGAGEMENTS 2026'!O2439),'ENGAGEMENTS 2026'!AE2439))))</f>
        <v/>
      </c>
      <c r="K2439" s="604">
        <f>IF(ISBLANK('ENGAGEMENTS 2026'!W2439),"",'ENGAGEMENTS 2026'!W2439)</f>
        <v/>
      </c>
      <c r="L2439" s="276">
        <f>IF($K2439="","",TODAY()-$K2439)</f>
        <v/>
      </c>
      <c r="M2439">
        <f>IF($A2439="","",IF($H2439="ENGAGE","Engagé",IF(AND($H2439="NON ENGAGE",OR($I2439="INFRUCTUEUX",$I2439="ANNULE")),"Clôturé sans suite","En cours")))</f>
        <v/>
      </c>
      <c r="N2439">
        <f>IF(ISBLANK('ENGAGEMENTS 2026'!C2439),"",'ENGAGEMENTS 2026'!L2439)</f>
        <v/>
      </c>
      <c r="O2439">
        <f>IF(ISBLANK('ENGAGEMENTS 2026'!C2439),"",'ENGAGEMENTS 2026'!M2439)</f>
        <v/>
      </c>
      <c r="P2439">
        <f>IF(ISBLANK('ENGAGEMENTS 2026'!C2439),"",'ENGAGEMENTS 2026'!K2439)</f>
        <v/>
      </c>
      <c r="Q2439">
        <f>IF($A2439="","",IF(OR($E2439="INFRUCTUEUX",$E2439="ANNULE"),$A2439&amp;"|"&amp;(COUNTIFS($A$2:$A2439,$A2439,$E$2:$E2439,"INFRUCTUEUX")+COUNTIFS($A$2:$A2439,$A2439,$E$2:$E2439,"ANNULE")),""))</f>
        <v/>
      </c>
    </row>
    <row r="2440">
      <c r="A2440">
        <f>IF(ISBLANK('ENGAGEMENTS 2026'!C2440),"",IF('ENGAGEMENTS 2026'!C2440="DTSI","DCT",'ENGAGEMENTS 2026'!C2440))</f>
        <v/>
      </c>
      <c r="B2440">
        <f>IF(ISBLANK('ENGAGEMENTS 2026'!C2440),"",'ENGAGEMENTS 2026'!D2440)</f>
        <v/>
      </c>
      <c r="C2440">
        <f>IF(ISBLANK('ENGAGEMENTS 2026'!C2440),"",'ENGAGEMENTS 2026'!E2440)</f>
        <v/>
      </c>
      <c r="D2440">
        <f>IF(ISBLANK('ENGAGEMENTS 2026'!C2440),"",'ENGAGEMENTS 2026'!G2440)</f>
        <v/>
      </c>
      <c r="E2440">
        <f>IF(ISBLANK('ENGAGEMENTS 2026'!C2440),"",'ENGAGEMENTS 2026'!I2440)</f>
        <v/>
      </c>
      <c r="F2440">
        <f>IF(ISBLANK('ENGAGEMENTS 2026'!C2440),"",'ENGAGEMENTS 2026'!J2440)</f>
        <v/>
      </c>
      <c r="G2440">
        <f>IF(ISBLANK('ENGAGEMENTS 2026'!C2440),"",'ENGAGEMENTS 2026'!M2440)</f>
        <v/>
      </c>
      <c r="H2440">
        <f>IF(ISBLANK('ENGAGEMENTS 2026'!C2440),"",'ENGAGEMENTS 2026'!AF2440)</f>
        <v/>
      </c>
      <c r="I2440">
        <f>IF(ISBLANK('ENGAGEMENTS 2026'!C2440),"",'ENGAGEMENTS 2026'!H2440)</f>
        <v/>
      </c>
      <c r="J2440" s="275">
        <f>IF(ISBLANK('ENGAGEMENTS 2026'!C2440),"",IF(AND(OR($E2440="INFRUCTUEUX",$E2440="ANNULE"),$C2440="AOO-M"),'ENGAGEMENTS 2026'!P2440,IF($H2440="EN COURS DE PREENGAGEMENT",'ENGAGEMENTS 2026'!O2440,IF($H2440="PREENGAGE",IF($E2440="ATTRIBUE",'ENGAGEMENTS 2026'!AE2440,'ENGAGEMENTS 2026'!O2440),'ENGAGEMENTS 2026'!AE2440))))</f>
        <v/>
      </c>
      <c r="K2440" s="604">
        <f>IF(ISBLANK('ENGAGEMENTS 2026'!W2440),"",'ENGAGEMENTS 2026'!W2440)</f>
        <v/>
      </c>
      <c r="L2440" s="276">
        <f>IF($K2440="","",TODAY()-$K2440)</f>
        <v/>
      </c>
      <c r="M2440">
        <f>IF($A2440="","",IF($H2440="ENGAGE","Engagé",IF(AND($H2440="NON ENGAGE",OR($I2440="INFRUCTUEUX",$I2440="ANNULE")),"Clôturé sans suite","En cours")))</f>
        <v/>
      </c>
      <c r="N2440">
        <f>IF(ISBLANK('ENGAGEMENTS 2026'!C2440),"",'ENGAGEMENTS 2026'!L2440)</f>
        <v/>
      </c>
      <c r="O2440">
        <f>IF(ISBLANK('ENGAGEMENTS 2026'!C2440),"",'ENGAGEMENTS 2026'!M2440)</f>
        <v/>
      </c>
      <c r="P2440">
        <f>IF(ISBLANK('ENGAGEMENTS 2026'!C2440),"",'ENGAGEMENTS 2026'!K2440)</f>
        <v/>
      </c>
      <c r="Q2440">
        <f>IF($A2440="","",IF(OR($E2440="INFRUCTUEUX",$E2440="ANNULE"),$A2440&amp;"|"&amp;(COUNTIFS($A$2:$A2440,$A2440,$E$2:$E2440,"INFRUCTUEUX")+COUNTIFS($A$2:$A2440,$A2440,$E$2:$E2440,"ANNULE")),""))</f>
        <v/>
      </c>
    </row>
    <row r="2441">
      <c r="A2441">
        <f>IF(ISBLANK('ENGAGEMENTS 2026'!C2441),"",IF('ENGAGEMENTS 2026'!C2441="DTSI","DCT",'ENGAGEMENTS 2026'!C2441))</f>
        <v/>
      </c>
      <c r="B2441">
        <f>IF(ISBLANK('ENGAGEMENTS 2026'!C2441),"",'ENGAGEMENTS 2026'!D2441)</f>
        <v/>
      </c>
      <c r="C2441">
        <f>IF(ISBLANK('ENGAGEMENTS 2026'!C2441),"",'ENGAGEMENTS 2026'!E2441)</f>
        <v/>
      </c>
      <c r="D2441">
        <f>IF(ISBLANK('ENGAGEMENTS 2026'!C2441),"",'ENGAGEMENTS 2026'!G2441)</f>
        <v/>
      </c>
      <c r="E2441">
        <f>IF(ISBLANK('ENGAGEMENTS 2026'!C2441),"",'ENGAGEMENTS 2026'!I2441)</f>
        <v/>
      </c>
      <c r="F2441">
        <f>IF(ISBLANK('ENGAGEMENTS 2026'!C2441),"",'ENGAGEMENTS 2026'!J2441)</f>
        <v/>
      </c>
      <c r="G2441">
        <f>IF(ISBLANK('ENGAGEMENTS 2026'!C2441),"",'ENGAGEMENTS 2026'!M2441)</f>
        <v/>
      </c>
      <c r="H2441">
        <f>IF(ISBLANK('ENGAGEMENTS 2026'!C2441),"",'ENGAGEMENTS 2026'!AF2441)</f>
        <v/>
      </c>
      <c r="I2441">
        <f>IF(ISBLANK('ENGAGEMENTS 2026'!C2441),"",'ENGAGEMENTS 2026'!H2441)</f>
        <v/>
      </c>
      <c r="J2441" s="275">
        <f>IF(ISBLANK('ENGAGEMENTS 2026'!C2441),"",IF(AND(OR($E2441="INFRUCTUEUX",$E2441="ANNULE"),$C2441="AOO-M"),'ENGAGEMENTS 2026'!P2441,IF($H2441="EN COURS DE PREENGAGEMENT",'ENGAGEMENTS 2026'!O2441,IF($H2441="PREENGAGE",IF($E2441="ATTRIBUE",'ENGAGEMENTS 2026'!AE2441,'ENGAGEMENTS 2026'!O2441),'ENGAGEMENTS 2026'!AE2441))))</f>
        <v/>
      </c>
      <c r="K2441" s="604">
        <f>IF(ISBLANK('ENGAGEMENTS 2026'!W2441),"",'ENGAGEMENTS 2026'!W2441)</f>
        <v/>
      </c>
      <c r="L2441" s="276">
        <f>IF($K2441="","",TODAY()-$K2441)</f>
        <v/>
      </c>
      <c r="M2441">
        <f>IF($A2441="","",IF($H2441="ENGAGE","Engagé",IF(AND($H2441="NON ENGAGE",OR($I2441="INFRUCTUEUX",$I2441="ANNULE")),"Clôturé sans suite","En cours")))</f>
        <v/>
      </c>
      <c r="N2441">
        <f>IF(ISBLANK('ENGAGEMENTS 2026'!C2441),"",'ENGAGEMENTS 2026'!L2441)</f>
        <v/>
      </c>
      <c r="O2441">
        <f>IF(ISBLANK('ENGAGEMENTS 2026'!C2441),"",'ENGAGEMENTS 2026'!M2441)</f>
        <v/>
      </c>
      <c r="P2441">
        <f>IF(ISBLANK('ENGAGEMENTS 2026'!C2441),"",'ENGAGEMENTS 2026'!K2441)</f>
        <v/>
      </c>
      <c r="Q2441">
        <f>IF($A2441="","",IF(OR($E2441="INFRUCTUEUX",$E2441="ANNULE"),$A2441&amp;"|"&amp;(COUNTIFS($A$2:$A2441,$A2441,$E$2:$E2441,"INFRUCTUEUX")+COUNTIFS($A$2:$A2441,$A2441,$E$2:$E2441,"ANNULE")),""))</f>
        <v/>
      </c>
    </row>
    <row r="2442">
      <c r="A2442">
        <f>IF(ISBLANK('ENGAGEMENTS 2026'!C2442),"",IF('ENGAGEMENTS 2026'!C2442="DTSI","DCT",'ENGAGEMENTS 2026'!C2442))</f>
        <v/>
      </c>
      <c r="B2442">
        <f>IF(ISBLANK('ENGAGEMENTS 2026'!C2442),"",'ENGAGEMENTS 2026'!D2442)</f>
        <v/>
      </c>
      <c r="C2442">
        <f>IF(ISBLANK('ENGAGEMENTS 2026'!C2442),"",'ENGAGEMENTS 2026'!E2442)</f>
        <v/>
      </c>
      <c r="D2442">
        <f>IF(ISBLANK('ENGAGEMENTS 2026'!C2442),"",'ENGAGEMENTS 2026'!G2442)</f>
        <v/>
      </c>
      <c r="E2442">
        <f>IF(ISBLANK('ENGAGEMENTS 2026'!C2442),"",'ENGAGEMENTS 2026'!I2442)</f>
        <v/>
      </c>
      <c r="F2442">
        <f>IF(ISBLANK('ENGAGEMENTS 2026'!C2442),"",'ENGAGEMENTS 2026'!J2442)</f>
        <v/>
      </c>
      <c r="G2442">
        <f>IF(ISBLANK('ENGAGEMENTS 2026'!C2442),"",'ENGAGEMENTS 2026'!M2442)</f>
        <v/>
      </c>
      <c r="H2442">
        <f>IF(ISBLANK('ENGAGEMENTS 2026'!C2442),"",'ENGAGEMENTS 2026'!AF2442)</f>
        <v/>
      </c>
      <c r="I2442">
        <f>IF(ISBLANK('ENGAGEMENTS 2026'!C2442),"",'ENGAGEMENTS 2026'!H2442)</f>
        <v/>
      </c>
      <c r="J2442" s="275">
        <f>IF(ISBLANK('ENGAGEMENTS 2026'!C2442),"",IF(AND(OR($E2442="INFRUCTUEUX",$E2442="ANNULE"),$C2442="AOO-M"),'ENGAGEMENTS 2026'!P2442,IF($H2442="EN COURS DE PREENGAGEMENT",'ENGAGEMENTS 2026'!O2442,IF($H2442="PREENGAGE",IF($E2442="ATTRIBUE",'ENGAGEMENTS 2026'!AE2442,'ENGAGEMENTS 2026'!O2442),'ENGAGEMENTS 2026'!AE2442))))</f>
        <v/>
      </c>
      <c r="K2442" s="604">
        <f>IF(ISBLANK('ENGAGEMENTS 2026'!W2442),"",'ENGAGEMENTS 2026'!W2442)</f>
        <v/>
      </c>
      <c r="L2442" s="276">
        <f>IF($K2442="","",TODAY()-$K2442)</f>
        <v/>
      </c>
      <c r="M2442">
        <f>IF($A2442="","",IF($H2442="ENGAGE","Engagé",IF(AND($H2442="NON ENGAGE",OR($I2442="INFRUCTUEUX",$I2442="ANNULE")),"Clôturé sans suite","En cours")))</f>
        <v/>
      </c>
      <c r="N2442">
        <f>IF(ISBLANK('ENGAGEMENTS 2026'!C2442),"",'ENGAGEMENTS 2026'!L2442)</f>
        <v/>
      </c>
      <c r="O2442">
        <f>IF(ISBLANK('ENGAGEMENTS 2026'!C2442),"",'ENGAGEMENTS 2026'!M2442)</f>
        <v/>
      </c>
      <c r="P2442">
        <f>IF(ISBLANK('ENGAGEMENTS 2026'!C2442),"",'ENGAGEMENTS 2026'!K2442)</f>
        <v/>
      </c>
      <c r="Q2442">
        <f>IF($A2442="","",IF(OR($E2442="INFRUCTUEUX",$E2442="ANNULE"),$A2442&amp;"|"&amp;(COUNTIFS($A$2:$A2442,$A2442,$E$2:$E2442,"INFRUCTUEUX")+COUNTIFS($A$2:$A2442,$A2442,$E$2:$E2442,"ANNULE")),""))</f>
        <v/>
      </c>
    </row>
    <row r="2443">
      <c r="A2443">
        <f>IF(ISBLANK('ENGAGEMENTS 2026'!C2443),"",IF('ENGAGEMENTS 2026'!C2443="DTSI","DCT",'ENGAGEMENTS 2026'!C2443))</f>
        <v/>
      </c>
      <c r="B2443">
        <f>IF(ISBLANK('ENGAGEMENTS 2026'!C2443),"",'ENGAGEMENTS 2026'!D2443)</f>
        <v/>
      </c>
      <c r="C2443">
        <f>IF(ISBLANK('ENGAGEMENTS 2026'!C2443),"",'ENGAGEMENTS 2026'!E2443)</f>
        <v/>
      </c>
      <c r="D2443">
        <f>IF(ISBLANK('ENGAGEMENTS 2026'!C2443),"",'ENGAGEMENTS 2026'!G2443)</f>
        <v/>
      </c>
      <c r="E2443">
        <f>IF(ISBLANK('ENGAGEMENTS 2026'!C2443),"",'ENGAGEMENTS 2026'!I2443)</f>
        <v/>
      </c>
      <c r="F2443">
        <f>IF(ISBLANK('ENGAGEMENTS 2026'!C2443),"",'ENGAGEMENTS 2026'!J2443)</f>
        <v/>
      </c>
      <c r="G2443">
        <f>IF(ISBLANK('ENGAGEMENTS 2026'!C2443),"",'ENGAGEMENTS 2026'!M2443)</f>
        <v/>
      </c>
      <c r="H2443">
        <f>IF(ISBLANK('ENGAGEMENTS 2026'!C2443),"",'ENGAGEMENTS 2026'!AF2443)</f>
        <v/>
      </c>
      <c r="I2443">
        <f>IF(ISBLANK('ENGAGEMENTS 2026'!C2443),"",'ENGAGEMENTS 2026'!H2443)</f>
        <v/>
      </c>
      <c r="J2443" s="275">
        <f>IF(ISBLANK('ENGAGEMENTS 2026'!C2443),"",IF(AND(OR($E2443="INFRUCTUEUX",$E2443="ANNULE"),$C2443="AOO-M"),'ENGAGEMENTS 2026'!P2443,IF($H2443="EN COURS DE PREENGAGEMENT",'ENGAGEMENTS 2026'!O2443,IF($H2443="PREENGAGE",IF($E2443="ATTRIBUE",'ENGAGEMENTS 2026'!AE2443,'ENGAGEMENTS 2026'!O2443),'ENGAGEMENTS 2026'!AE2443))))</f>
        <v/>
      </c>
      <c r="K2443" s="604">
        <f>IF(ISBLANK('ENGAGEMENTS 2026'!W2443),"",'ENGAGEMENTS 2026'!W2443)</f>
        <v/>
      </c>
      <c r="L2443" s="276">
        <f>IF($K2443="","",TODAY()-$K2443)</f>
        <v/>
      </c>
      <c r="M2443">
        <f>IF($A2443="","",IF($H2443="ENGAGE","Engagé",IF(AND($H2443="NON ENGAGE",OR($I2443="INFRUCTUEUX",$I2443="ANNULE")),"Clôturé sans suite","En cours")))</f>
        <v/>
      </c>
      <c r="N2443">
        <f>IF(ISBLANK('ENGAGEMENTS 2026'!C2443),"",'ENGAGEMENTS 2026'!L2443)</f>
        <v/>
      </c>
      <c r="O2443">
        <f>IF(ISBLANK('ENGAGEMENTS 2026'!C2443),"",'ENGAGEMENTS 2026'!M2443)</f>
        <v/>
      </c>
      <c r="P2443">
        <f>IF(ISBLANK('ENGAGEMENTS 2026'!C2443),"",'ENGAGEMENTS 2026'!K2443)</f>
        <v/>
      </c>
      <c r="Q2443">
        <f>IF($A2443="","",IF(OR($E2443="INFRUCTUEUX",$E2443="ANNULE"),$A2443&amp;"|"&amp;(COUNTIFS($A$2:$A2443,$A2443,$E$2:$E2443,"INFRUCTUEUX")+COUNTIFS($A$2:$A2443,$A2443,$E$2:$E2443,"ANNULE")),""))</f>
        <v/>
      </c>
    </row>
    <row r="2444">
      <c r="A2444">
        <f>IF(ISBLANK('ENGAGEMENTS 2026'!C2444),"",IF('ENGAGEMENTS 2026'!C2444="DTSI","DCT",'ENGAGEMENTS 2026'!C2444))</f>
        <v/>
      </c>
      <c r="B2444">
        <f>IF(ISBLANK('ENGAGEMENTS 2026'!C2444),"",'ENGAGEMENTS 2026'!D2444)</f>
        <v/>
      </c>
      <c r="C2444">
        <f>IF(ISBLANK('ENGAGEMENTS 2026'!C2444),"",'ENGAGEMENTS 2026'!E2444)</f>
        <v/>
      </c>
      <c r="D2444">
        <f>IF(ISBLANK('ENGAGEMENTS 2026'!C2444),"",'ENGAGEMENTS 2026'!G2444)</f>
        <v/>
      </c>
      <c r="E2444">
        <f>IF(ISBLANK('ENGAGEMENTS 2026'!C2444),"",'ENGAGEMENTS 2026'!I2444)</f>
        <v/>
      </c>
      <c r="F2444">
        <f>IF(ISBLANK('ENGAGEMENTS 2026'!C2444),"",'ENGAGEMENTS 2026'!J2444)</f>
        <v/>
      </c>
      <c r="G2444">
        <f>IF(ISBLANK('ENGAGEMENTS 2026'!C2444),"",'ENGAGEMENTS 2026'!M2444)</f>
        <v/>
      </c>
      <c r="H2444">
        <f>IF(ISBLANK('ENGAGEMENTS 2026'!C2444),"",'ENGAGEMENTS 2026'!AF2444)</f>
        <v/>
      </c>
      <c r="I2444">
        <f>IF(ISBLANK('ENGAGEMENTS 2026'!C2444),"",'ENGAGEMENTS 2026'!H2444)</f>
        <v/>
      </c>
      <c r="J2444" s="275">
        <f>IF(ISBLANK('ENGAGEMENTS 2026'!C2444),"",IF(AND(OR($E2444="INFRUCTUEUX",$E2444="ANNULE"),$C2444="AOO-M"),'ENGAGEMENTS 2026'!P2444,IF($H2444="EN COURS DE PREENGAGEMENT",'ENGAGEMENTS 2026'!O2444,IF($H2444="PREENGAGE",IF($E2444="ATTRIBUE",'ENGAGEMENTS 2026'!AE2444,'ENGAGEMENTS 2026'!O2444),'ENGAGEMENTS 2026'!AE2444))))</f>
        <v/>
      </c>
      <c r="K2444" s="604">
        <f>IF(ISBLANK('ENGAGEMENTS 2026'!W2444),"",'ENGAGEMENTS 2026'!W2444)</f>
        <v/>
      </c>
      <c r="L2444" s="276">
        <f>IF($K2444="","",TODAY()-$K2444)</f>
        <v/>
      </c>
      <c r="M2444">
        <f>IF($A2444="","",IF($H2444="ENGAGE","Engagé",IF(AND($H2444="NON ENGAGE",OR($I2444="INFRUCTUEUX",$I2444="ANNULE")),"Clôturé sans suite","En cours")))</f>
        <v/>
      </c>
      <c r="N2444">
        <f>IF(ISBLANK('ENGAGEMENTS 2026'!C2444),"",'ENGAGEMENTS 2026'!L2444)</f>
        <v/>
      </c>
      <c r="O2444">
        <f>IF(ISBLANK('ENGAGEMENTS 2026'!C2444),"",'ENGAGEMENTS 2026'!M2444)</f>
        <v/>
      </c>
      <c r="P2444">
        <f>IF(ISBLANK('ENGAGEMENTS 2026'!C2444),"",'ENGAGEMENTS 2026'!K2444)</f>
        <v/>
      </c>
      <c r="Q2444">
        <f>IF($A2444="","",IF(OR($E2444="INFRUCTUEUX",$E2444="ANNULE"),$A2444&amp;"|"&amp;(COUNTIFS($A$2:$A2444,$A2444,$E$2:$E2444,"INFRUCTUEUX")+COUNTIFS($A$2:$A2444,$A2444,$E$2:$E2444,"ANNULE")),""))</f>
        <v/>
      </c>
    </row>
    <row r="2445">
      <c r="A2445">
        <f>IF(ISBLANK('ENGAGEMENTS 2026'!C2445),"",IF('ENGAGEMENTS 2026'!C2445="DTSI","DCT",'ENGAGEMENTS 2026'!C2445))</f>
        <v/>
      </c>
      <c r="B2445">
        <f>IF(ISBLANK('ENGAGEMENTS 2026'!C2445),"",'ENGAGEMENTS 2026'!D2445)</f>
        <v/>
      </c>
      <c r="C2445">
        <f>IF(ISBLANK('ENGAGEMENTS 2026'!C2445),"",'ENGAGEMENTS 2026'!E2445)</f>
        <v/>
      </c>
      <c r="D2445">
        <f>IF(ISBLANK('ENGAGEMENTS 2026'!C2445),"",'ENGAGEMENTS 2026'!G2445)</f>
        <v/>
      </c>
      <c r="E2445">
        <f>IF(ISBLANK('ENGAGEMENTS 2026'!C2445),"",'ENGAGEMENTS 2026'!I2445)</f>
        <v/>
      </c>
      <c r="F2445">
        <f>IF(ISBLANK('ENGAGEMENTS 2026'!C2445),"",'ENGAGEMENTS 2026'!J2445)</f>
        <v/>
      </c>
      <c r="G2445">
        <f>IF(ISBLANK('ENGAGEMENTS 2026'!C2445),"",'ENGAGEMENTS 2026'!M2445)</f>
        <v/>
      </c>
      <c r="H2445">
        <f>IF(ISBLANK('ENGAGEMENTS 2026'!C2445),"",'ENGAGEMENTS 2026'!AF2445)</f>
        <v/>
      </c>
      <c r="I2445">
        <f>IF(ISBLANK('ENGAGEMENTS 2026'!C2445),"",'ENGAGEMENTS 2026'!H2445)</f>
        <v/>
      </c>
      <c r="J2445" s="275">
        <f>IF(ISBLANK('ENGAGEMENTS 2026'!C2445),"",IF(AND(OR($E2445="INFRUCTUEUX",$E2445="ANNULE"),$C2445="AOO-M"),'ENGAGEMENTS 2026'!P2445,IF($H2445="EN COURS DE PREENGAGEMENT",'ENGAGEMENTS 2026'!O2445,IF($H2445="PREENGAGE",IF($E2445="ATTRIBUE",'ENGAGEMENTS 2026'!AE2445,'ENGAGEMENTS 2026'!O2445),'ENGAGEMENTS 2026'!AE2445))))</f>
        <v/>
      </c>
      <c r="K2445" s="604">
        <f>IF(ISBLANK('ENGAGEMENTS 2026'!W2445),"",'ENGAGEMENTS 2026'!W2445)</f>
        <v/>
      </c>
      <c r="L2445" s="276">
        <f>IF($K2445="","",TODAY()-$K2445)</f>
        <v/>
      </c>
      <c r="M2445">
        <f>IF($A2445="","",IF($H2445="ENGAGE","Engagé",IF(AND($H2445="NON ENGAGE",OR($I2445="INFRUCTUEUX",$I2445="ANNULE")),"Clôturé sans suite","En cours")))</f>
        <v/>
      </c>
      <c r="N2445">
        <f>IF(ISBLANK('ENGAGEMENTS 2026'!C2445),"",'ENGAGEMENTS 2026'!L2445)</f>
        <v/>
      </c>
      <c r="O2445">
        <f>IF(ISBLANK('ENGAGEMENTS 2026'!C2445),"",'ENGAGEMENTS 2026'!M2445)</f>
        <v/>
      </c>
      <c r="P2445">
        <f>IF(ISBLANK('ENGAGEMENTS 2026'!C2445),"",'ENGAGEMENTS 2026'!K2445)</f>
        <v/>
      </c>
      <c r="Q2445">
        <f>IF($A2445="","",IF(OR($E2445="INFRUCTUEUX",$E2445="ANNULE"),$A2445&amp;"|"&amp;(COUNTIFS($A$2:$A2445,$A2445,$E$2:$E2445,"INFRUCTUEUX")+COUNTIFS($A$2:$A2445,$A2445,$E$2:$E2445,"ANNULE")),""))</f>
        <v/>
      </c>
    </row>
    <row r="2446">
      <c r="A2446">
        <f>IF(ISBLANK('ENGAGEMENTS 2026'!C2446),"",IF('ENGAGEMENTS 2026'!C2446="DTSI","DCT",'ENGAGEMENTS 2026'!C2446))</f>
        <v/>
      </c>
      <c r="B2446">
        <f>IF(ISBLANK('ENGAGEMENTS 2026'!C2446),"",'ENGAGEMENTS 2026'!D2446)</f>
        <v/>
      </c>
      <c r="C2446">
        <f>IF(ISBLANK('ENGAGEMENTS 2026'!C2446),"",'ENGAGEMENTS 2026'!E2446)</f>
        <v/>
      </c>
      <c r="D2446">
        <f>IF(ISBLANK('ENGAGEMENTS 2026'!C2446),"",'ENGAGEMENTS 2026'!G2446)</f>
        <v/>
      </c>
      <c r="E2446">
        <f>IF(ISBLANK('ENGAGEMENTS 2026'!C2446),"",'ENGAGEMENTS 2026'!I2446)</f>
        <v/>
      </c>
      <c r="F2446">
        <f>IF(ISBLANK('ENGAGEMENTS 2026'!C2446),"",'ENGAGEMENTS 2026'!J2446)</f>
        <v/>
      </c>
      <c r="G2446">
        <f>IF(ISBLANK('ENGAGEMENTS 2026'!C2446),"",'ENGAGEMENTS 2026'!M2446)</f>
        <v/>
      </c>
      <c r="H2446">
        <f>IF(ISBLANK('ENGAGEMENTS 2026'!C2446),"",'ENGAGEMENTS 2026'!AF2446)</f>
        <v/>
      </c>
      <c r="I2446">
        <f>IF(ISBLANK('ENGAGEMENTS 2026'!C2446),"",'ENGAGEMENTS 2026'!H2446)</f>
        <v/>
      </c>
      <c r="J2446" s="275">
        <f>IF(ISBLANK('ENGAGEMENTS 2026'!C2446),"",IF(AND(OR($E2446="INFRUCTUEUX",$E2446="ANNULE"),$C2446="AOO-M"),'ENGAGEMENTS 2026'!P2446,IF($H2446="EN COURS DE PREENGAGEMENT",'ENGAGEMENTS 2026'!O2446,IF($H2446="PREENGAGE",IF($E2446="ATTRIBUE",'ENGAGEMENTS 2026'!AE2446,'ENGAGEMENTS 2026'!O2446),'ENGAGEMENTS 2026'!AE2446))))</f>
        <v/>
      </c>
      <c r="K2446" s="604">
        <f>IF(ISBLANK('ENGAGEMENTS 2026'!W2446),"",'ENGAGEMENTS 2026'!W2446)</f>
        <v/>
      </c>
      <c r="L2446" s="276">
        <f>IF($K2446="","",TODAY()-$K2446)</f>
        <v/>
      </c>
      <c r="M2446">
        <f>IF($A2446="","",IF($H2446="ENGAGE","Engagé",IF(AND($H2446="NON ENGAGE",OR($I2446="INFRUCTUEUX",$I2446="ANNULE")),"Clôturé sans suite","En cours")))</f>
        <v/>
      </c>
      <c r="N2446">
        <f>IF(ISBLANK('ENGAGEMENTS 2026'!C2446),"",'ENGAGEMENTS 2026'!L2446)</f>
        <v/>
      </c>
      <c r="O2446">
        <f>IF(ISBLANK('ENGAGEMENTS 2026'!C2446),"",'ENGAGEMENTS 2026'!M2446)</f>
        <v/>
      </c>
      <c r="P2446">
        <f>IF(ISBLANK('ENGAGEMENTS 2026'!C2446),"",'ENGAGEMENTS 2026'!K2446)</f>
        <v/>
      </c>
      <c r="Q2446">
        <f>IF($A2446="","",IF(OR($E2446="INFRUCTUEUX",$E2446="ANNULE"),$A2446&amp;"|"&amp;(COUNTIFS($A$2:$A2446,$A2446,$E$2:$E2446,"INFRUCTUEUX")+COUNTIFS($A$2:$A2446,$A2446,$E$2:$E2446,"ANNULE")),""))</f>
        <v/>
      </c>
    </row>
    <row r="2447">
      <c r="A2447">
        <f>IF(ISBLANK('ENGAGEMENTS 2026'!C2447),"",IF('ENGAGEMENTS 2026'!C2447="DTSI","DCT",'ENGAGEMENTS 2026'!C2447))</f>
        <v/>
      </c>
      <c r="B2447">
        <f>IF(ISBLANK('ENGAGEMENTS 2026'!C2447),"",'ENGAGEMENTS 2026'!D2447)</f>
        <v/>
      </c>
      <c r="C2447">
        <f>IF(ISBLANK('ENGAGEMENTS 2026'!C2447),"",'ENGAGEMENTS 2026'!E2447)</f>
        <v/>
      </c>
      <c r="D2447">
        <f>IF(ISBLANK('ENGAGEMENTS 2026'!C2447),"",'ENGAGEMENTS 2026'!G2447)</f>
        <v/>
      </c>
      <c r="E2447">
        <f>IF(ISBLANK('ENGAGEMENTS 2026'!C2447),"",'ENGAGEMENTS 2026'!I2447)</f>
        <v/>
      </c>
      <c r="F2447">
        <f>IF(ISBLANK('ENGAGEMENTS 2026'!C2447),"",'ENGAGEMENTS 2026'!J2447)</f>
        <v/>
      </c>
      <c r="G2447">
        <f>IF(ISBLANK('ENGAGEMENTS 2026'!C2447),"",'ENGAGEMENTS 2026'!M2447)</f>
        <v/>
      </c>
      <c r="H2447">
        <f>IF(ISBLANK('ENGAGEMENTS 2026'!C2447),"",'ENGAGEMENTS 2026'!AF2447)</f>
        <v/>
      </c>
      <c r="I2447">
        <f>IF(ISBLANK('ENGAGEMENTS 2026'!C2447),"",'ENGAGEMENTS 2026'!H2447)</f>
        <v/>
      </c>
      <c r="J2447" s="275">
        <f>IF(ISBLANK('ENGAGEMENTS 2026'!C2447),"",IF(AND(OR($E2447="INFRUCTUEUX",$E2447="ANNULE"),$C2447="AOO-M"),'ENGAGEMENTS 2026'!P2447,IF($H2447="EN COURS DE PREENGAGEMENT",'ENGAGEMENTS 2026'!O2447,IF($H2447="PREENGAGE",IF($E2447="ATTRIBUE",'ENGAGEMENTS 2026'!AE2447,'ENGAGEMENTS 2026'!O2447),'ENGAGEMENTS 2026'!AE2447))))</f>
        <v/>
      </c>
      <c r="K2447" s="604">
        <f>IF(ISBLANK('ENGAGEMENTS 2026'!W2447),"",'ENGAGEMENTS 2026'!W2447)</f>
        <v/>
      </c>
      <c r="L2447" s="276">
        <f>IF($K2447="","",TODAY()-$K2447)</f>
        <v/>
      </c>
      <c r="M2447">
        <f>IF($A2447="","",IF($H2447="ENGAGE","Engagé",IF(AND($H2447="NON ENGAGE",OR($I2447="INFRUCTUEUX",$I2447="ANNULE")),"Clôturé sans suite","En cours")))</f>
        <v/>
      </c>
      <c r="N2447">
        <f>IF(ISBLANK('ENGAGEMENTS 2026'!C2447),"",'ENGAGEMENTS 2026'!L2447)</f>
        <v/>
      </c>
      <c r="O2447">
        <f>IF(ISBLANK('ENGAGEMENTS 2026'!C2447),"",'ENGAGEMENTS 2026'!M2447)</f>
        <v/>
      </c>
      <c r="P2447">
        <f>IF(ISBLANK('ENGAGEMENTS 2026'!C2447),"",'ENGAGEMENTS 2026'!K2447)</f>
        <v/>
      </c>
      <c r="Q2447">
        <f>IF($A2447="","",IF(OR($E2447="INFRUCTUEUX",$E2447="ANNULE"),$A2447&amp;"|"&amp;(COUNTIFS($A$2:$A2447,$A2447,$E$2:$E2447,"INFRUCTUEUX")+COUNTIFS($A$2:$A2447,$A2447,$E$2:$E2447,"ANNULE")),""))</f>
        <v/>
      </c>
    </row>
    <row r="2448">
      <c r="A2448">
        <f>IF(ISBLANK('ENGAGEMENTS 2026'!C2448),"",IF('ENGAGEMENTS 2026'!C2448="DTSI","DCT",'ENGAGEMENTS 2026'!C2448))</f>
        <v/>
      </c>
      <c r="B2448">
        <f>IF(ISBLANK('ENGAGEMENTS 2026'!C2448),"",'ENGAGEMENTS 2026'!D2448)</f>
        <v/>
      </c>
      <c r="C2448">
        <f>IF(ISBLANK('ENGAGEMENTS 2026'!C2448),"",'ENGAGEMENTS 2026'!E2448)</f>
        <v/>
      </c>
      <c r="D2448">
        <f>IF(ISBLANK('ENGAGEMENTS 2026'!C2448),"",'ENGAGEMENTS 2026'!G2448)</f>
        <v/>
      </c>
      <c r="E2448">
        <f>IF(ISBLANK('ENGAGEMENTS 2026'!C2448),"",'ENGAGEMENTS 2026'!I2448)</f>
        <v/>
      </c>
      <c r="F2448">
        <f>IF(ISBLANK('ENGAGEMENTS 2026'!C2448),"",'ENGAGEMENTS 2026'!J2448)</f>
        <v/>
      </c>
      <c r="G2448">
        <f>IF(ISBLANK('ENGAGEMENTS 2026'!C2448),"",'ENGAGEMENTS 2026'!M2448)</f>
        <v/>
      </c>
      <c r="H2448">
        <f>IF(ISBLANK('ENGAGEMENTS 2026'!C2448),"",'ENGAGEMENTS 2026'!AF2448)</f>
        <v/>
      </c>
      <c r="I2448">
        <f>IF(ISBLANK('ENGAGEMENTS 2026'!C2448),"",'ENGAGEMENTS 2026'!H2448)</f>
        <v/>
      </c>
      <c r="J2448" s="275">
        <f>IF(ISBLANK('ENGAGEMENTS 2026'!C2448),"",IF(AND(OR($E2448="INFRUCTUEUX",$E2448="ANNULE"),$C2448="AOO-M"),'ENGAGEMENTS 2026'!P2448,IF($H2448="EN COURS DE PREENGAGEMENT",'ENGAGEMENTS 2026'!O2448,IF($H2448="PREENGAGE",IF($E2448="ATTRIBUE",'ENGAGEMENTS 2026'!AE2448,'ENGAGEMENTS 2026'!O2448),'ENGAGEMENTS 2026'!AE2448))))</f>
        <v/>
      </c>
      <c r="K2448" s="604">
        <f>IF(ISBLANK('ENGAGEMENTS 2026'!W2448),"",'ENGAGEMENTS 2026'!W2448)</f>
        <v/>
      </c>
      <c r="L2448" s="276">
        <f>IF($K2448="","",TODAY()-$K2448)</f>
        <v/>
      </c>
      <c r="M2448">
        <f>IF($A2448="","",IF($H2448="ENGAGE","Engagé",IF(AND($H2448="NON ENGAGE",OR($I2448="INFRUCTUEUX",$I2448="ANNULE")),"Clôturé sans suite","En cours")))</f>
        <v/>
      </c>
      <c r="N2448">
        <f>IF(ISBLANK('ENGAGEMENTS 2026'!C2448),"",'ENGAGEMENTS 2026'!L2448)</f>
        <v/>
      </c>
      <c r="O2448">
        <f>IF(ISBLANK('ENGAGEMENTS 2026'!C2448),"",'ENGAGEMENTS 2026'!M2448)</f>
        <v/>
      </c>
      <c r="P2448">
        <f>IF(ISBLANK('ENGAGEMENTS 2026'!C2448),"",'ENGAGEMENTS 2026'!K2448)</f>
        <v/>
      </c>
      <c r="Q2448">
        <f>IF($A2448="","",IF(OR($E2448="INFRUCTUEUX",$E2448="ANNULE"),$A2448&amp;"|"&amp;(COUNTIFS($A$2:$A2448,$A2448,$E$2:$E2448,"INFRUCTUEUX")+COUNTIFS($A$2:$A2448,$A2448,$E$2:$E2448,"ANNULE")),""))</f>
        <v/>
      </c>
    </row>
    <row r="2449">
      <c r="A2449">
        <f>IF(ISBLANK('ENGAGEMENTS 2026'!C2449),"",IF('ENGAGEMENTS 2026'!C2449="DTSI","DCT",'ENGAGEMENTS 2026'!C2449))</f>
        <v/>
      </c>
      <c r="B2449">
        <f>IF(ISBLANK('ENGAGEMENTS 2026'!C2449),"",'ENGAGEMENTS 2026'!D2449)</f>
        <v/>
      </c>
      <c r="C2449">
        <f>IF(ISBLANK('ENGAGEMENTS 2026'!C2449),"",'ENGAGEMENTS 2026'!E2449)</f>
        <v/>
      </c>
      <c r="D2449">
        <f>IF(ISBLANK('ENGAGEMENTS 2026'!C2449),"",'ENGAGEMENTS 2026'!G2449)</f>
        <v/>
      </c>
      <c r="E2449">
        <f>IF(ISBLANK('ENGAGEMENTS 2026'!C2449),"",'ENGAGEMENTS 2026'!I2449)</f>
        <v/>
      </c>
      <c r="F2449">
        <f>IF(ISBLANK('ENGAGEMENTS 2026'!C2449),"",'ENGAGEMENTS 2026'!J2449)</f>
        <v/>
      </c>
      <c r="G2449">
        <f>IF(ISBLANK('ENGAGEMENTS 2026'!C2449),"",'ENGAGEMENTS 2026'!M2449)</f>
        <v/>
      </c>
      <c r="H2449">
        <f>IF(ISBLANK('ENGAGEMENTS 2026'!C2449),"",'ENGAGEMENTS 2026'!AF2449)</f>
        <v/>
      </c>
      <c r="I2449">
        <f>IF(ISBLANK('ENGAGEMENTS 2026'!C2449),"",'ENGAGEMENTS 2026'!H2449)</f>
        <v/>
      </c>
      <c r="J2449" s="275">
        <f>IF(ISBLANK('ENGAGEMENTS 2026'!C2449),"",IF(AND(OR($E2449="INFRUCTUEUX",$E2449="ANNULE"),$C2449="AOO-M"),'ENGAGEMENTS 2026'!P2449,IF($H2449="EN COURS DE PREENGAGEMENT",'ENGAGEMENTS 2026'!O2449,IF($H2449="PREENGAGE",IF($E2449="ATTRIBUE",'ENGAGEMENTS 2026'!AE2449,'ENGAGEMENTS 2026'!O2449),'ENGAGEMENTS 2026'!AE2449))))</f>
        <v/>
      </c>
      <c r="K2449" s="604">
        <f>IF(ISBLANK('ENGAGEMENTS 2026'!W2449),"",'ENGAGEMENTS 2026'!W2449)</f>
        <v/>
      </c>
      <c r="L2449" s="276">
        <f>IF($K2449="","",TODAY()-$K2449)</f>
        <v/>
      </c>
      <c r="M2449">
        <f>IF($A2449="","",IF($H2449="ENGAGE","Engagé",IF(AND($H2449="NON ENGAGE",OR($I2449="INFRUCTUEUX",$I2449="ANNULE")),"Clôturé sans suite","En cours")))</f>
        <v/>
      </c>
      <c r="N2449">
        <f>IF(ISBLANK('ENGAGEMENTS 2026'!C2449),"",'ENGAGEMENTS 2026'!L2449)</f>
        <v/>
      </c>
      <c r="O2449">
        <f>IF(ISBLANK('ENGAGEMENTS 2026'!C2449),"",'ENGAGEMENTS 2026'!M2449)</f>
        <v/>
      </c>
      <c r="P2449">
        <f>IF(ISBLANK('ENGAGEMENTS 2026'!C2449),"",'ENGAGEMENTS 2026'!K2449)</f>
        <v/>
      </c>
      <c r="Q2449">
        <f>IF($A2449="","",IF(OR($E2449="INFRUCTUEUX",$E2449="ANNULE"),$A2449&amp;"|"&amp;(COUNTIFS($A$2:$A2449,$A2449,$E$2:$E2449,"INFRUCTUEUX")+COUNTIFS($A$2:$A2449,$A2449,$E$2:$E2449,"ANNULE")),""))</f>
        <v/>
      </c>
    </row>
    <row r="2450">
      <c r="A2450">
        <f>IF(ISBLANK('ENGAGEMENTS 2026'!C2450),"",IF('ENGAGEMENTS 2026'!C2450="DTSI","DCT",'ENGAGEMENTS 2026'!C2450))</f>
        <v/>
      </c>
      <c r="B2450">
        <f>IF(ISBLANK('ENGAGEMENTS 2026'!C2450),"",'ENGAGEMENTS 2026'!D2450)</f>
        <v/>
      </c>
      <c r="C2450">
        <f>IF(ISBLANK('ENGAGEMENTS 2026'!C2450),"",'ENGAGEMENTS 2026'!E2450)</f>
        <v/>
      </c>
      <c r="D2450">
        <f>IF(ISBLANK('ENGAGEMENTS 2026'!C2450),"",'ENGAGEMENTS 2026'!G2450)</f>
        <v/>
      </c>
      <c r="E2450">
        <f>IF(ISBLANK('ENGAGEMENTS 2026'!C2450),"",'ENGAGEMENTS 2026'!I2450)</f>
        <v/>
      </c>
      <c r="F2450">
        <f>IF(ISBLANK('ENGAGEMENTS 2026'!C2450),"",'ENGAGEMENTS 2026'!J2450)</f>
        <v/>
      </c>
      <c r="G2450">
        <f>IF(ISBLANK('ENGAGEMENTS 2026'!C2450),"",'ENGAGEMENTS 2026'!M2450)</f>
        <v/>
      </c>
      <c r="H2450">
        <f>IF(ISBLANK('ENGAGEMENTS 2026'!C2450),"",'ENGAGEMENTS 2026'!AF2450)</f>
        <v/>
      </c>
      <c r="I2450">
        <f>IF(ISBLANK('ENGAGEMENTS 2026'!C2450),"",'ENGAGEMENTS 2026'!H2450)</f>
        <v/>
      </c>
      <c r="J2450" s="275">
        <f>IF(ISBLANK('ENGAGEMENTS 2026'!C2450),"",IF(AND(OR($E2450="INFRUCTUEUX",$E2450="ANNULE"),$C2450="AOO-M"),'ENGAGEMENTS 2026'!P2450,IF($H2450="EN COURS DE PREENGAGEMENT",'ENGAGEMENTS 2026'!O2450,IF($H2450="PREENGAGE",IF($E2450="ATTRIBUE",'ENGAGEMENTS 2026'!AE2450,'ENGAGEMENTS 2026'!O2450),'ENGAGEMENTS 2026'!AE2450))))</f>
        <v/>
      </c>
      <c r="K2450" s="604">
        <f>IF(ISBLANK('ENGAGEMENTS 2026'!W2450),"",'ENGAGEMENTS 2026'!W2450)</f>
        <v/>
      </c>
      <c r="L2450" s="276">
        <f>IF($K2450="","",TODAY()-$K2450)</f>
        <v/>
      </c>
      <c r="M2450">
        <f>IF($A2450="","",IF($H2450="ENGAGE","Engagé",IF(AND($H2450="NON ENGAGE",OR($I2450="INFRUCTUEUX",$I2450="ANNULE")),"Clôturé sans suite","En cours")))</f>
        <v/>
      </c>
      <c r="N2450">
        <f>IF(ISBLANK('ENGAGEMENTS 2026'!C2450),"",'ENGAGEMENTS 2026'!L2450)</f>
        <v/>
      </c>
      <c r="O2450">
        <f>IF(ISBLANK('ENGAGEMENTS 2026'!C2450),"",'ENGAGEMENTS 2026'!M2450)</f>
        <v/>
      </c>
      <c r="P2450">
        <f>IF(ISBLANK('ENGAGEMENTS 2026'!C2450),"",'ENGAGEMENTS 2026'!K2450)</f>
        <v/>
      </c>
      <c r="Q2450">
        <f>IF($A2450="","",IF(OR($E2450="INFRUCTUEUX",$E2450="ANNULE"),$A2450&amp;"|"&amp;(COUNTIFS($A$2:$A2450,$A2450,$E$2:$E2450,"INFRUCTUEUX")+COUNTIFS($A$2:$A2450,$A2450,$E$2:$E2450,"ANNULE")),""))</f>
        <v/>
      </c>
    </row>
    <row r="2451">
      <c r="A2451">
        <f>IF(ISBLANK('ENGAGEMENTS 2026'!C2451),"",IF('ENGAGEMENTS 2026'!C2451="DTSI","DCT",'ENGAGEMENTS 2026'!C2451))</f>
        <v/>
      </c>
      <c r="B2451">
        <f>IF(ISBLANK('ENGAGEMENTS 2026'!C2451),"",'ENGAGEMENTS 2026'!D2451)</f>
        <v/>
      </c>
      <c r="C2451">
        <f>IF(ISBLANK('ENGAGEMENTS 2026'!C2451),"",'ENGAGEMENTS 2026'!E2451)</f>
        <v/>
      </c>
      <c r="D2451">
        <f>IF(ISBLANK('ENGAGEMENTS 2026'!C2451),"",'ENGAGEMENTS 2026'!G2451)</f>
        <v/>
      </c>
      <c r="E2451">
        <f>IF(ISBLANK('ENGAGEMENTS 2026'!C2451),"",'ENGAGEMENTS 2026'!I2451)</f>
        <v/>
      </c>
      <c r="F2451">
        <f>IF(ISBLANK('ENGAGEMENTS 2026'!C2451),"",'ENGAGEMENTS 2026'!J2451)</f>
        <v/>
      </c>
      <c r="G2451">
        <f>IF(ISBLANK('ENGAGEMENTS 2026'!C2451),"",'ENGAGEMENTS 2026'!M2451)</f>
        <v/>
      </c>
      <c r="H2451">
        <f>IF(ISBLANK('ENGAGEMENTS 2026'!C2451),"",'ENGAGEMENTS 2026'!AF2451)</f>
        <v/>
      </c>
      <c r="I2451">
        <f>IF(ISBLANK('ENGAGEMENTS 2026'!C2451),"",'ENGAGEMENTS 2026'!H2451)</f>
        <v/>
      </c>
      <c r="J2451" s="275">
        <f>IF(ISBLANK('ENGAGEMENTS 2026'!C2451),"",IF(AND(OR($E2451="INFRUCTUEUX",$E2451="ANNULE"),$C2451="AOO-M"),'ENGAGEMENTS 2026'!P2451,IF($H2451="EN COURS DE PREENGAGEMENT",'ENGAGEMENTS 2026'!O2451,IF($H2451="PREENGAGE",IF($E2451="ATTRIBUE",'ENGAGEMENTS 2026'!AE2451,'ENGAGEMENTS 2026'!O2451),'ENGAGEMENTS 2026'!AE2451))))</f>
        <v/>
      </c>
      <c r="K2451" s="604">
        <f>IF(ISBLANK('ENGAGEMENTS 2026'!W2451),"",'ENGAGEMENTS 2026'!W2451)</f>
        <v/>
      </c>
      <c r="L2451" s="276">
        <f>IF($K2451="","",TODAY()-$K2451)</f>
        <v/>
      </c>
      <c r="M2451">
        <f>IF($A2451="","",IF($H2451="ENGAGE","Engagé",IF(AND($H2451="NON ENGAGE",OR($I2451="INFRUCTUEUX",$I2451="ANNULE")),"Clôturé sans suite","En cours")))</f>
        <v/>
      </c>
      <c r="N2451">
        <f>IF(ISBLANK('ENGAGEMENTS 2026'!C2451),"",'ENGAGEMENTS 2026'!L2451)</f>
        <v/>
      </c>
      <c r="O2451">
        <f>IF(ISBLANK('ENGAGEMENTS 2026'!C2451),"",'ENGAGEMENTS 2026'!M2451)</f>
        <v/>
      </c>
      <c r="P2451">
        <f>IF(ISBLANK('ENGAGEMENTS 2026'!C2451),"",'ENGAGEMENTS 2026'!K2451)</f>
        <v/>
      </c>
      <c r="Q2451">
        <f>IF($A2451="","",IF(OR($E2451="INFRUCTUEUX",$E2451="ANNULE"),$A2451&amp;"|"&amp;(COUNTIFS($A$2:$A2451,$A2451,$E$2:$E2451,"INFRUCTUEUX")+COUNTIFS($A$2:$A2451,$A2451,$E$2:$E2451,"ANNULE")),""))</f>
        <v/>
      </c>
    </row>
    <row r="2452">
      <c r="A2452">
        <f>IF(ISBLANK('ENGAGEMENTS 2026'!C2452),"",IF('ENGAGEMENTS 2026'!C2452="DTSI","DCT",'ENGAGEMENTS 2026'!C2452))</f>
        <v/>
      </c>
      <c r="B2452">
        <f>IF(ISBLANK('ENGAGEMENTS 2026'!C2452),"",'ENGAGEMENTS 2026'!D2452)</f>
        <v/>
      </c>
      <c r="C2452">
        <f>IF(ISBLANK('ENGAGEMENTS 2026'!C2452),"",'ENGAGEMENTS 2026'!E2452)</f>
        <v/>
      </c>
      <c r="D2452">
        <f>IF(ISBLANK('ENGAGEMENTS 2026'!C2452),"",'ENGAGEMENTS 2026'!G2452)</f>
        <v/>
      </c>
      <c r="E2452">
        <f>IF(ISBLANK('ENGAGEMENTS 2026'!C2452),"",'ENGAGEMENTS 2026'!I2452)</f>
        <v/>
      </c>
      <c r="F2452">
        <f>IF(ISBLANK('ENGAGEMENTS 2026'!C2452),"",'ENGAGEMENTS 2026'!J2452)</f>
        <v/>
      </c>
      <c r="G2452">
        <f>IF(ISBLANK('ENGAGEMENTS 2026'!C2452),"",'ENGAGEMENTS 2026'!M2452)</f>
        <v/>
      </c>
      <c r="H2452">
        <f>IF(ISBLANK('ENGAGEMENTS 2026'!C2452),"",'ENGAGEMENTS 2026'!AF2452)</f>
        <v/>
      </c>
      <c r="I2452">
        <f>IF(ISBLANK('ENGAGEMENTS 2026'!C2452),"",'ENGAGEMENTS 2026'!H2452)</f>
        <v/>
      </c>
      <c r="J2452" s="275">
        <f>IF(ISBLANK('ENGAGEMENTS 2026'!C2452),"",IF(AND(OR($E2452="INFRUCTUEUX",$E2452="ANNULE"),$C2452="AOO-M"),'ENGAGEMENTS 2026'!P2452,IF($H2452="EN COURS DE PREENGAGEMENT",'ENGAGEMENTS 2026'!O2452,IF($H2452="PREENGAGE",IF($E2452="ATTRIBUE",'ENGAGEMENTS 2026'!AE2452,'ENGAGEMENTS 2026'!O2452),'ENGAGEMENTS 2026'!AE2452))))</f>
        <v/>
      </c>
      <c r="K2452" s="604">
        <f>IF(ISBLANK('ENGAGEMENTS 2026'!W2452),"",'ENGAGEMENTS 2026'!W2452)</f>
        <v/>
      </c>
      <c r="L2452" s="276">
        <f>IF($K2452="","",TODAY()-$K2452)</f>
        <v/>
      </c>
      <c r="M2452">
        <f>IF($A2452="","",IF($H2452="ENGAGE","Engagé",IF(AND($H2452="NON ENGAGE",OR($I2452="INFRUCTUEUX",$I2452="ANNULE")),"Clôturé sans suite","En cours")))</f>
        <v/>
      </c>
      <c r="N2452">
        <f>IF(ISBLANK('ENGAGEMENTS 2026'!C2452),"",'ENGAGEMENTS 2026'!L2452)</f>
        <v/>
      </c>
      <c r="O2452">
        <f>IF(ISBLANK('ENGAGEMENTS 2026'!C2452),"",'ENGAGEMENTS 2026'!M2452)</f>
        <v/>
      </c>
      <c r="P2452">
        <f>IF(ISBLANK('ENGAGEMENTS 2026'!C2452),"",'ENGAGEMENTS 2026'!K2452)</f>
        <v/>
      </c>
      <c r="Q2452">
        <f>IF($A2452="","",IF(OR($E2452="INFRUCTUEUX",$E2452="ANNULE"),$A2452&amp;"|"&amp;(COUNTIFS($A$2:$A2452,$A2452,$E$2:$E2452,"INFRUCTUEUX")+COUNTIFS($A$2:$A2452,$A2452,$E$2:$E2452,"ANNULE")),""))</f>
        <v/>
      </c>
    </row>
    <row r="2453">
      <c r="A2453">
        <f>IF(ISBLANK('ENGAGEMENTS 2026'!C2453),"",IF('ENGAGEMENTS 2026'!C2453="DTSI","DCT",'ENGAGEMENTS 2026'!C2453))</f>
        <v/>
      </c>
      <c r="B2453">
        <f>IF(ISBLANK('ENGAGEMENTS 2026'!C2453),"",'ENGAGEMENTS 2026'!D2453)</f>
        <v/>
      </c>
      <c r="C2453">
        <f>IF(ISBLANK('ENGAGEMENTS 2026'!C2453),"",'ENGAGEMENTS 2026'!E2453)</f>
        <v/>
      </c>
      <c r="D2453">
        <f>IF(ISBLANK('ENGAGEMENTS 2026'!C2453),"",'ENGAGEMENTS 2026'!G2453)</f>
        <v/>
      </c>
      <c r="E2453">
        <f>IF(ISBLANK('ENGAGEMENTS 2026'!C2453),"",'ENGAGEMENTS 2026'!I2453)</f>
        <v/>
      </c>
      <c r="F2453">
        <f>IF(ISBLANK('ENGAGEMENTS 2026'!C2453),"",'ENGAGEMENTS 2026'!J2453)</f>
        <v/>
      </c>
      <c r="G2453">
        <f>IF(ISBLANK('ENGAGEMENTS 2026'!C2453),"",'ENGAGEMENTS 2026'!M2453)</f>
        <v/>
      </c>
      <c r="H2453">
        <f>IF(ISBLANK('ENGAGEMENTS 2026'!C2453),"",'ENGAGEMENTS 2026'!AF2453)</f>
        <v/>
      </c>
      <c r="I2453">
        <f>IF(ISBLANK('ENGAGEMENTS 2026'!C2453),"",'ENGAGEMENTS 2026'!H2453)</f>
        <v/>
      </c>
      <c r="J2453" s="275">
        <f>IF(ISBLANK('ENGAGEMENTS 2026'!C2453),"",IF(AND(OR($E2453="INFRUCTUEUX",$E2453="ANNULE"),$C2453="AOO-M"),'ENGAGEMENTS 2026'!P2453,IF($H2453="EN COURS DE PREENGAGEMENT",'ENGAGEMENTS 2026'!O2453,IF($H2453="PREENGAGE",IF($E2453="ATTRIBUE",'ENGAGEMENTS 2026'!AE2453,'ENGAGEMENTS 2026'!O2453),'ENGAGEMENTS 2026'!AE2453))))</f>
        <v/>
      </c>
      <c r="K2453" s="604">
        <f>IF(ISBLANK('ENGAGEMENTS 2026'!W2453),"",'ENGAGEMENTS 2026'!W2453)</f>
        <v/>
      </c>
      <c r="L2453" s="276">
        <f>IF($K2453="","",TODAY()-$K2453)</f>
        <v/>
      </c>
      <c r="M2453">
        <f>IF($A2453="","",IF($H2453="ENGAGE","Engagé",IF(AND($H2453="NON ENGAGE",OR($I2453="INFRUCTUEUX",$I2453="ANNULE")),"Clôturé sans suite","En cours")))</f>
        <v/>
      </c>
      <c r="N2453">
        <f>IF(ISBLANK('ENGAGEMENTS 2026'!C2453),"",'ENGAGEMENTS 2026'!L2453)</f>
        <v/>
      </c>
      <c r="O2453">
        <f>IF(ISBLANK('ENGAGEMENTS 2026'!C2453),"",'ENGAGEMENTS 2026'!M2453)</f>
        <v/>
      </c>
      <c r="P2453">
        <f>IF(ISBLANK('ENGAGEMENTS 2026'!C2453),"",'ENGAGEMENTS 2026'!K2453)</f>
        <v/>
      </c>
      <c r="Q2453">
        <f>IF($A2453="","",IF(OR($E2453="INFRUCTUEUX",$E2453="ANNULE"),$A2453&amp;"|"&amp;(COUNTIFS($A$2:$A2453,$A2453,$E$2:$E2453,"INFRUCTUEUX")+COUNTIFS($A$2:$A2453,$A2453,$E$2:$E2453,"ANNULE")),""))</f>
        <v/>
      </c>
    </row>
    <row r="2454">
      <c r="A2454">
        <f>IF(ISBLANK('ENGAGEMENTS 2026'!C2454),"",IF('ENGAGEMENTS 2026'!C2454="DTSI","DCT",'ENGAGEMENTS 2026'!C2454))</f>
        <v/>
      </c>
      <c r="B2454">
        <f>IF(ISBLANK('ENGAGEMENTS 2026'!C2454),"",'ENGAGEMENTS 2026'!D2454)</f>
        <v/>
      </c>
      <c r="C2454">
        <f>IF(ISBLANK('ENGAGEMENTS 2026'!C2454),"",'ENGAGEMENTS 2026'!E2454)</f>
        <v/>
      </c>
      <c r="D2454">
        <f>IF(ISBLANK('ENGAGEMENTS 2026'!C2454),"",'ENGAGEMENTS 2026'!G2454)</f>
        <v/>
      </c>
      <c r="E2454">
        <f>IF(ISBLANK('ENGAGEMENTS 2026'!C2454),"",'ENGAGEMENTS 2026'!I2454)</f>
        <v/>
      </c>
      <c r="F2454">
        <f>IF(ISBLANK('ENGAGEMENTS 2026'!C2454),"",'ENGAGEMENTS 2026'!J2454)</f>
        <v/>
      </c>
      <c r="G2454">
        <f>IF(ISBLANK('ENGAGEMENTS 2026'!C2454),"",'ENGAGEMENTS 2026'!M2454)</f>
        <v/>
      </c>
      <c r="H2454">
        <f>IF(ISBLANK('ENGAGEMENTS 2026'!C2454),"",'ENGAGEMENTS 2026'!AF2454)</f>
        <v/>
      </c>
      <c r="I2454">
        <f>IF(ISBLANK('ENGAGEMENTS 2026'!C2454),"",'ENGAGEMENTS 2026'!H2454)</f>
        <v/>
      </c>
      <c r="J2454" s="275">
        <f>IF(ISBLANK('ENGAGEMENTS 2026'!C2454),"",IF(AND(OR($E2454="INFRUCTUEUX",$E2454="ANNULE"),$C2454="AOO-M"),'ENGAGEMENTS 2026'!P2454,IF($H2454="EN COURS DE PREENGAGEMENT",'ENGAGEMENTS 2026'!O2454,IF($H2454="PREENGAGE",IF($E2454="ATTRIBUE",'ENGAGEMENTS 2026'!AE2454,'ENGAGEMENTS 2026'!O2454),'ENGAGEMENTS 2026'!AE2454))))</f>
        <v/>
      </c>
      <c r="K2454" s="604">
        <f>IF(ISBLANK('ENGAGEMENTS 2026'!W2454),"",'ENGAGEMENTS 2026'!W2454)</f>
        <v/>
      </c>
      <c r="L2454" s="276">
        <f>IF($K2454="","",TODAY()-$K2454)</f>
        <v/>
      </c>
      <c r="M2454">
        <f>IF($A2454="","",IF($H2454="ENGAGE","Engagé",IF(AND($H2454="NON ENGAGE",OR($I2454="INFRUCTUEUX",$I2454="ANNULE")),"Clôturé sans suite","En cours")))</f>
        <v/>
      </c>
      <c r="N2454">
        <f>IF(ISBLANK('ENGAGEMENTS 2026'!C2454),"",'ENGAGEMENTS 2026'!L2454)</f>
        <v/>
      </c>
      <c r="O2454">
        <f>IF(ISBLANK('ENGAGEMENTS 2026'!C2454),"",'ENGAGEMENTS 2026'!M2454)</f>
        <v/>
      </c>
      <c r="P2454">
        <f>IF(ISBLANK('ENGAGEMENTS 2026'!C2454),"",'ENGAGEMENTS 2026'!K2454)</f>
        <v/>
      </c>
      <c r="Q2454">
        <f>IF($A2454="","",IF(OR($E2454="INFRUCTUEUX",$E2454="ANNULE"),$A2454&amp;"|"&amp;(COUNTIFS($A$2:$A2454,$A2454,$E$2:$E2454,"INFRUCTUEUX")+COUNTIFS($A$2:$A2454,$A2454,$E$2:$E2454,"ANNULE")),""))</f>
        <v/>
      </c>
    </row>
    <row r="2455">
      <c r="A2455">
        <f>IF(ISBLANK('ENGAGEMENTS 2026'!C2455),"",IF('ENGAGEMENTS 2026'!C2455="DTSI","DCT",'ENGAGEMENTS 2026'!C2455))</f>
        <v/>
      </c>
      <c r="B2455">
        <f>IF(ISBLANK('ENGAGEMENTS 2026'!C2455),"",'ENGAGEMENTS 2026'!D2455)</f>
        <v/>
      </c>
      <c r="C2455">
        <f>IF(ISBLANK('ENGAGEMENTS 2026'!C2455),"",'ENGAGEMENTS 2026'!E2455)</f>
        <v/>
      </c>
      <c r="D2455">
        <f>IF(ISBLANK('ENGAGEMENTS 2026'!C2455),"",'ENGAGEMENTS 2026'!G2455)</f>
        <v/>
      </c>
      <c r="E2455">
        <f>IF(ISBLANK('ENGAGEMENTS 2026'!C2455),"",'ENGAGEMENTS 2026'!I2455)</f>
        <v/>
      </c>
      <c r="F2455">
        <f>IF(ISBLANK('ENGAGEMENTS 2026'!C2455),"",'ENGAGEMENTS 2026'!J2455)</f>
        <v/>
      </c>
      <c r="G2455">
        <f>IF(ISBLANK('ENGAGEMENTS 2026'!C2455),"",'ENGAGEMENTS 2026'!M2455)</f>
        <v/>
      </c>
      <c r="H2455">
        <f>IF(ISBLANK('ENGAGEMENTS 2026'!C2455),"",'ENGAGEMENTS 2026'!AF2455)</f>
        <v/>
      </c>
      <c r="I2455">
        <f>IF(ISBLANK('ENGAGEMENTS 2026'!C2455),"",'ENGAGEMENTS 2026'!H2455)</f>
        <v/>
      </c>
      <c r="J2455" s="275">
        <f>IF(ISBLANK('ENGAGEMENTS 2026'!C2455),"",IF(AND(OR($E2455="INFRUCTUEUX",$E2455="ANNULE"),$C2455="AOO-M"),'ENGAGEMENTS 2026'!P2455,IF($H2455="EN COURS DE PREENGAGEMENT",'ENGAGEMENTS 2026'!O2455,IF($H2455="PREENGAGE",IF($E2455="ATTRIBUE",'ENGAGEMENTS 2026'!AE2455,'ENGAGEMENTS 2026'!O2455),'ENGAGEMENTS 2026'!AE2455))))</f>
        <v/>
      </c>
      <c r="K2455" s="604">
        <f>IF(ISBLANK('ENGAGEMENTS 2026'!W2455),"",'ENGAGEMENTS 2026'!W2455)</f>
        <v/>
      </c>
      <c r="L2455" s="276">
        <f>IF($K2455="","",TODAY()-$K2455)</f>
        <v/>
      </c>
      <c r="M2455">
        <f>IF($A2455="","",IF($H2455="ENGAGE","Engagé",IF(AND($H2455="NON ENGAGE",OR($I2455="INFRUCTUEUX",$I2455="ANNULE")),"Clôturé sans suite","En cours")))</f>
        <v/>
      </c>
      <c r="N2455">
        <f>IF(ISBLANK('ENGAGEMENTS 2026'!C2455),"",'ENGAGEMENTS 2026'!L2455)</f>
        <v/>
      </c>
      <c r="O2455">
        <f>IF(ISBLANK('ENGAGEMENTS 2026'!C2455),"",'ENGAGEMENTS 2026'!M2455)</f>
        <v/>
      </c>
      <c r="P2455">
        <f>IF(ISBLANK('ENGAGEMENTS 2026'!C2455),"",'ENGAGEMENTS 2026'!K2455)</f>
        <v/>
      </c>
      <c r="Q2455">
        <f>IF($A2455="","",IF(OR($E2455="INFRUCTUEUX",$E2455="ANNULE"),$A2455&amp;"|"&amp;(COUNTIFS($A$2:$A2455,$A2455,$E$2:$E2455,"INFRUCTUEUX")+COUNTIFS($A$2:$A2455,$A2455,$E$2:$E2455,"ANNULE")),""))</f>
        <v/>
      </c>
    </row>
    <row r="2456">
      <c r="A2456">
        <f>IF(ISBLANK('ENGAGEMENTS 2026'!C2456),"",IF('ENGAGEMENTS 2026'!C2456="DTSI","DCT",'ENGAGEMENTS 2026'!C2456))</f>
        <v/>
      </c>
      <c r="B2456">
        <f>IF(ISBLANK('ENGAGEMENTS 2026'!C2456),"",'ENGAGEMENTS 2026'!D2456)</f>
        <v/>
      </c>
      <c r="C2456">
        <f>IF(ISBLANK('ENGAGEMENTS 2026'!C2456),"",'ENGAGEMENTS 2026'!E2456)</f>
        <v/>
      </c>
      <c r="D2456">
        <f>IF(ISBLANK('ENGAGEMENTS 2026'!C2456),"",'ENGAGEMENTS 2026'!G2456)</f>
        <v/>
      </c>
      <c r="E2456">
        <f>IF(ISBLANK('ENGAGEMENTS 2026'!C2456),"",'ENGAGEMENTS 2026'!I2456)</f>
        <v/>
      </c>
      <c r="F2456">
        <f>IF(ISBLANK('ENGAGEMENTS 2026'!C2456),"",'ENGAGEMENTS 2026'!J2456)</f>
        <v/>
      </c>
      <c r="G2456">
        <f>IF(ISBLANK('ENGAGEMENTS 2026'!C2456),"",'ENGAGEMENTS 2026'!M2456)</f>
        <v/>
      </c>
      <c r="H2456">
        <f>IF(ISBLANK('ENGAGEMENTS 2026'!C2456),"",'ENGAGEMENTS 2026'!AF2456)</f>
        <v/>
      </c>
      <c r="I2456">
        <f>IF(ISBLANK('ENGAGEMENTS 2026'!C2456),"",'ENGAGEMENTS 2026'!H2456)</f>
        <v/>
      </c>
      <c r="J2456" s="275">
        <f>IF(ISBLANK('ENGAGEMENTS 2026'!C2456),"",IF(AND(OR($E2456="INFRUCTUEUX",$E2456="ANNULE"),$C2456="AOO-M"),'ENGAGEMENTS 2026'!P2456,IF($H2456="EN COURS DE PREENGAGEMENT",'ENGAGEMENTS 2026'!O2456,IF($H2456="PREENGAGE",IF($E2456="ATTRIBUE",'ENGAGEMENTS 2026'!AE2456,'ENGAGEMENTS 2026'!O2456),'ENGAGEMENTS 2026'!AE2456))))</f>
        <v/>
      </c>
      <c r="K2456" s="604">
        <f>IF(ISBLANK('ENGAGEMENTS 2026'!W2456),"",'ENGAGEMENTS 2026'!W2456)</f>
        <v/>
      </c>
      <c r="L2456" s="276">
        <f>IF($K2456="","",TODAY()-$K2456)</f>
        <v/>
      </c>
      <c r="M2456">
        <f>IF($A2456="","",IF($H2456="ENGAGE","Engagé",IF(AND($H2456="NON ENGAGE",OR($I2456="INFRUCTUEUX",$I2456="ANNULE")),"Clôturé sans suite","En cours")))</f>
        <v/>
      </c>
      <c r="N2456">
        <f>IF(ISBLANK('ENGAGEMENTS 2026'!C2456),"",'ENGAGEMENTS 2026'!L2456)</f>
        <v/>
      </c>
      <c r="O2456">
        <f>IF(ISBLANK('ENGAGEMENTS 2026'!C2456),"",'ENGAGEMENTS 2026'!M2456)</f>
        <v/>
      </c>
      <c r="P2456">
        <f>IF(ISBLANK('ENGAGEMENTS 2026'!C2456),"",'ENGAGEMENTS 2026'!K2456)</f>
        <v/>
      </c>
      <c r="Q2456">
        <f>IF($A2456="","",IF(OR($E2456="INFRUCTUEUX",$E2456="ANNULE"),$A2456&amp;"|"&amp;(COUNTIFS($A$2:$A2456,$A2456,$E$2:$E2456,"INFRUCTUEUX")+COUNTIFS($A$2:$A2456,$A2456,$E$2:$E2456,"ANNULE")),""))</f>
        <v/>
      </c>
    </row>
    <row r="2457">
      <c r="A2457">
        <f>IF(ISBLANK('ENGAGEMENTS 2026'!C2457),"",IF('ENGAGEMENTS 2026'!C2457="DTSI","DCT",'ENGAGEMENTS 2026'!C2457))</f>
        <v/>
      </c>
      <c r="B2457">
        <f>IF(ISBLANK('ENGAGEMENTS 2026'!C2457),"",'ENGAGEMENTS 2026'!D2457)</f>
        <v/>
      </c>
      <c r="C2457">
        <f>IF(ISBLANK('ENGAGEMENTS 2026'!C2457),"",'ENGAGEMENTS 2026'!E2457)</f>
        <v/>
      </c>
      <c r="D2457">
        <f>IF(ISBLANK('ENGAGEMENTS 2026'!C2457),"",'ENGAGEMENTS 2026'!G2457)</f>
        <v/>
      </c>
      <c r="E2457">
        <f>IF(ISBLANK('ENGAGEMENTS 2026'!C2457),"",'ENGAGEMENTS 2026'!I2457)</f>
        <v/>
      </c>
      <c r="F2457">
        <f>IF(ISBLANK('ENGAGEMENTS 2026'!C2457),"",'ENGAGEMENTS 2026'!J2457)</f>
        <v/>
      </c>
      <c r="G2457">
        <f>IF(ISBLANK('ENGAGEMENTS 2026'!C2457),"",'ENGAGEMENTS 2026'!M2457)</f>
        <v/>
      </c>
      <c r="H2457">
        <f>IF(ISBLANK('ENGAGEMENTS 2026'!C2457),"",'ENGAGEMENTS 2026'!AF2457)</f>
        <v/>
      </c>
      <c r="I2457">
        <f>IF(ISBLANK('ENGAGEMENTS 2026'!C2457),"",'ENGAGEMENTS 2026'!H2457)</f>
        <v/>
      </c>
      <c r="J2457" s="275">
        <f>IF(ISBLANK('ENGAGEMENTS 2026'!C2457),"",IF(AND(OR($E2457="INFRUCTUEUX",$E2457="ANNULE"),$C2457="AOO-M"),'ENGAGEMENTS 2026'!P2457,IF($H2457="EN COURS DE PREENGAGEMENT",'ENGAGEMENTS 2026'!O2457,IF($H2457="PREENGAGE",IF($E2457="ATTRIBUE",'ENGAGEMENTS 2026'!AE2457,'ENGAGEMENTS 2026'!O2457),'ENGAGEMENTS 2026'!AE2457))))</f>
        <v/>
      </c>
      <c r="K2457" s="604">
        <f>IF(ISBLANK('ENGAGEMENTS 2026'!W2457),"",'ENGAGEMENTS 2026'!W2457)</f>
        <v/>
      </c>
      <c r="L2457" s="276">
        <f>IF($K2457="","",TODAY()-$K2457)</f>
        <v/>
      </c>
      <c r="M2457">
        <f>IF($A2457="","",IF($H2457="ENGAGE","Engagé",IF(AND($H2457="NON ENGAGE",OR($I2457="INFRUCTUEUX",$I2457="ANNULE")),"Clôturé sans suite","En cours")))</f>
        <v/>
      </c>
      <c r="N2457">
        <f>IF(ISBLANK('ENGAGEMENTS 2026'!C2457),"",'ENGAGEMENTS 2026'!L2457)</f>
        <v/>
      </c>
      <c r="O2457">
        <f>IF(ISBLANK('ENGAGEMENTS 2026'!C2457),"",'ENGAGEMENTS 2026'!M2457)</f>
        <v/>
      </c>
      <c r="P2457">
        <f>IF(ISBLANK('ENGAGEMENTS 2026'!C2457),"",'ENGAGEMENTS 2026'!K2457)</f>
        <v/>
      </c>
      <c r="Q2457">
        <f>IF($A2457="","",IF(OR($E2457="INFRUCTUEUX",$E2457="ANNULE"),$A2457&amp;"|"&amp;(COUNTIFS($A$2:$A2457,$A2457,$E$2:$E2457,"INFRUCTUEUX")+COUNTIFS($A$2:$A2457,$A2457,$E$2:$E2457,"ANNULE")),""))</f>
        <v/>
      </c>
    </row>
    <row r="2458">
      <c r="A2458">
        <f>IF(ISBLANK('ENGAGEMENTS 2026'!C2458),"",IF('ENGAGEMENTS 2026'!C2458="DTSI","DCT",'ENGAGEMENTS 2026'!C2458))</f>
        <v/>
      </c>
      <c r="B2458">
        <f>IF(ISBLANK('ENGAGEMENTS 2026'!C2458),"",'ENGAGEMENTS 2026'!D2458)</f>
        <v/>
      </c>
      <c r="C2458">
        <f>IF(ISBLANK('ENGAGEMENTS 2026'!C2458),"",'ENGAGEMENTS 2026'!E2458)</f>
        <v/>
      </c>
      <c r="D2458">
        <f>IF(ISBLANK('ENGAGEMENTS 2026'!C2458),"",'ENGAGEMENTS 2026'!G2458)</f>
        <v/>
      </c>
      <c r="E2458">
        <f>IF(ISBLANK('ENGAGEMENTS 2026'!C2458),"",'ENGAGEMENTS 2026'!I2458)</f>
        <v/>
      </c>
      <c r="F2458">
        <f>IF(ISBLANK('ENGAGEMENTS 2026'!C2458),"",'ENGAGEMENTS 2026'!J2458)</f>
        <v/>
      </c>
      <c r="G2458">
        <f>IF(ISBLANK('ENGAGEMENTS 2026'!C2458),"",'ENGAGEMENTS 2026'!M2458)</f>
        <v/>
      </c>
      <c r="H2458">
        <f>IF(ISBLANK('ENGAGEMENTS 2026'!C2458),"",'ENGAGEMENTS 2026'!AF2458)</f>
        <v/>
      </c>
      <c r="I2458">
        <f>IF(ISBLANK('ENGAGEMENTS 2026'!C2458),"",'ENGAGEMENTS 2026'!H2458)</f>
        <v/>
      </c>
      <c r="J2458" s="275">
        <f>IF(ISBLANK('ENGAGEMENTS 2026'!C2458),"",IF(AND(OR($E2458="INFRUCTUEUX",$E2458="ANNULE"),$C2458="AOO-M"),'ENGAGEMENTS 2026'!P2458,IF($H2458="EN COURS DE PREENGAGEMENT",'ENGAGEMENTS 2026'!O2458,IF($H2458="PREENGAGE",IF($E2458="ATTRIBUE",'ENGAGEMENTS 2026'!AE2458,'ENGAGEMENTS 2026'!O2458),'ENGAGEMENTS 2026'!AE2458))))</f>
        <v/>
      </c>
      <c r="K2458" s="604">
        <f>IF(ISBLANK('ENGAGEMENTS 2026'!W2458),"",'ENGAGEMENTS 2026'!W2458)</f>
        <v/>
      </c>
      <c r="L2458" s="276">
        <f>IF($K2458="","",TODAY()-$K2458)</f>
        <v/>
      </c>
      <c r="M2458">
        <f>IF($A2458="","",IF($H2458="ENGAGE","Engagé",IF(AND($H2458="NON ENGAGE",OR($I2458="INFRUCTUEUX",$I2458="ANNULE")),"Clôturé sans suite","En cours")))</f>
        <v/>
      </c>
      <c r="N2458">
        <f>IF(ISBLANK('ENGAGEMENTS 2026'!C2458),"",'ENGAGEMENTS 2026'!L2458)</f>
        <v/>
      </c>
      <c r="O2458">
        <f>IF(ISBLANK('ENGAGEMENTS 2026'!C2458),"",'ENGAGEMENTS 2026'!M2458)</f>
        <v/>
      </c>
      <c r="P2458">
        <f>IF(ISBLANK('ENGAGEMENTS 2026'!C2458),"",'ENGAGEMENTS 2026'!K2458)</f>
        <v/>
      </c>
      <c r="Q2458">
        <f>IF($A2458="","",IF(OR($E2458="INFRUCTUEUX",$E2458="ANNULE"),$A2458&amp;"|"&amp;(COUNTIFS($A$2:$A2458,$A2458,$E$2:$E2458,"INFRUCTUEUX")+COUNTIFS($A$2:$A2458,$A2458,$E$2:$E2458,"ANNULE")),""))</f>
        <v/>
      </c>
    </row>
    <row r="2459">
      <c r="A2459">
        <f>IF(ISBLANK('ENGAGEMENTS 2026'!C2459),"",IF('ENGAGEMENTS 2026'!C2459="DTSI","DCT",'ENGAGEMENTS 2026'!C2459))</f>
        <v/>
      </c>
      <c r="B2459">
        <f>IF(ISBLANK('ENGAGEMENTS 2026'!C2459),"",'ENGAGEMENTS 2026'!D2459)</f>
        <v/>
      </c>
      <c r="C2459">
        <f>IF(ISBLANK('ENGAGEMENTS 2026'!C2459),"",'ENGAGEMENTS 2026'!E2459)</f>
        <v/>
      </c>
      <c r="D2459">
        <f>IF(ISBLANK('ENGAGEMENTS 2026'!C2459),"",'ENGAGEMENTS 2026'!G2459)</f>
        <v/>
      </c>
      <c r="E2459">
        <f>IF(ISBLANK('ENGAGEMENTS 2026'!C2459),"",'ENGAGEMENTS 2026'!I2459)</f>
        <v/>
      </c>
      <c r="F2459">
        <f>IF(ISBLANK('ENGAGEMENTS 2026'!C2459),"",'ENGAGEMENTS 2026'!J2459)</f>
        <v/>
      </c>
      <c r="G2459">
        <f>IF(ISBLANK('ENGAGEMENTS 2026'!C2459),"",'ENGAGEMENTS 2026'!M2459)</f>
        <v/>
      </c>
      <c r="H2459">
        <f>IF(ISBLANK('ENGAGEMENTS 2026'!C2459),"",'ENGAGEMENTS 2026'!AF2459)</f>
        <v/>
      </c>
      <c r="I2459">
        <f>IF(ISBLANK('ENGAGEMENTS 2026'!C2459),"",'ENGAGEMENTS 2026'!H2459)</f>
        <v/>
      </c>
      <c r="J2459" s="275">
        <f>IF(ISBLANK('ENGAGEMENTS 2026'!C2459),"",IF(AND(OR($E2459="INFRUCTUEUX",$E2459="ANNULE"),$C2459="AOO-M"),'ENGAGEMENTS 2026'!P2459,IF($H2459="EN COURS DE PREENGAGEMENT",'ENGAGEMENTS 2026'!O2459,IF($H2459="PREENGAGE",IF($E2459="ATTRIBUE",'ENGAGEMENTS 2026'!AE2459,'ENGAGEMENTS 2026'!O2459),'ENGAGEMENTS 2026'!AE2459))))</f>
        <v/>
      </c>
      <c r="K2459" s="604">
        <f>IF(ISBLANK('ENGAGEMENTS 2026'!W2459),"",'ENGAGEMENTS 2026'!W2459)</f>
        <v/>
      </c>
      <c r="L2459" s="276">
        <f>IF($K2459="","",TODAY()-$K2459)</f>
        <v/>
      </c>
      <c r="M2459">
        <f>IF($A2459="","",IF($H2459="ENGAGE","Engagé",IF(AND($H2459="NON ENGAGE",OR($I2459="INFRUCTUEUX",$I2459="ANNULE")),"Clôturé sans suite","En cours")))</f>
        <v/>
      </c>
      <c r="N2459">
        <f>IF(ISBLANK('ENGAGEMENTS 2026'!C2459),"",'ENGAGEMENTS 2026'!L2459)</f>
        <v/>
      </c>
      <c r="O2459">
        <f>IF(ISBLANK('ENGAGEMENTS 2026'!C2459),"",'ENGAGEMENTS 2026'!M2459)</f>
        <v/>
      </c>
      <c r="P2459">
        <f>IF(ISBLANK('ENGAGEMENTS 2026'!C2459),"",'ENGAGEMENTS 2026'!K2459)</f>
        <v/>
      </c>
      <c r="Q2459">
        <f>IF($A2459="","",IF(OR($E2459="INFRUCTUEUX",$E2459="ANNULE"),$A2459&amp;"|"&amp;(COUNTIFS($A$2:$A2459,$A2459,$E$2:$E2459,"INFRUCTUEUX")+COUNTIFS($A$2:$A2459,$A2459,$E$2:$E2459,"ANNULE")),""))</f>
        <v/>
      </c>
    </row>
    <row r="2460">
      <c r="A2460">
        <f>IF(ISBLANK('ENGAGEMENTS 2026'!C2460),"",IF('ENGAGEMENTS 2026'!C2460="DTSI","DCT",'ENGAGEMENTS 2026'!C2460))</f>
        <v/>
      </c>
      <c r="B2460">
        <f>IF(ISBLANK('ENGAGEMENTS 2026'!C2460),"",'ENGAGEMENTS 2026'!D2460)</f>
        <v/>
      </c>
      <c r="C2460">
        <f>IF(ISBLANK('ENGAGEMENTS 2026'!C2460),"",'ENGAGEMENTS 2026'!E2460)</f>
        <v/>
      </c>
      <c r="D2460">
        <f>IF(ISBLANK('ENGAGEMENTS 2026'!C2460),"",'ENGAGEMENTS 2026'!G2460)</f>
        <v/>
      </c>
      <c r="E2460">
        <f>IF(ISBLANK('ENGAGEMENTS 2026'!C2460),"",'ENGAGEMENTS 2026'!I2460)</f>
        <v/>
      </c>
      <c r="F2460">
        <f>IF(ISBLANK('ENGAGEMENTS 2026'!C2460),"",'ENGAGEMENTS 2026'!J2460)</f>
        <v/>
      </c>
      <c r="G2460">
        <f>IF(ISBLANK('ENGAGEMENTS 2026'!C2460),"",'ENGAGEMENTS 2026'!M2460)</f>
        <v/>
      </c>
      <c r="H2460">
        <f>IF(ISBLANK('ENGAGEMENTS 2026'!C2460),"",'ENGAGEMENTS 2026'!AF2460)</f>
        <v/>
      </c>
      <c r="I2460">
        <f>IF(ISBLANK('ENGAGEMENTS 2026'!C2460),"",'ENGAGEMENTS 2026'!H2460)</f>
        <v/>
      </c>
      <c r="J2460" s="275">
        <f>IF(ISBLANK('ENGAGEMENTS 2026'!C2460),"",IF(AND(OR($E2460="INFRUCTUEUX",$E2460="ANNULE"),$C2460="AOO-M"),'ENGAGEMENTS 2026'!P2460,IF($H2460="EN COURS DE PREENGAGEMENT",'ENGAGEMENTS 2026'!O2460,IF($H2460="PREENGAGE",IF($E2460="ATTRIBUE",'ENGAGEMENTS 2026'!AE2460,'ENGAGEMENTS 2026'!O2460),'ENGAGEMENTS 2026'!AE2460))))</f>
        <v/>
      </c>
      <c r="K2460" s="604">
        <f>IF(ISBLANK('ENGAGEMENTS 2026'!W2460),"",'ENGAGEMENTS 2026'!W2460)</f>
        <v/>
      </c>
      <c r="L2460" s="276">
        <f>IF($K2460="","",TODAY()-$K2460)</f>
        <v/>
      </c>
      <c r="M2460">
        <f>IF($A2460="","",IF($H2460="ENGAGE","Engagé",IF(AND($H2460="NON ENGAGE",OR($I2460="INFRUCTUEUX",$I2460="ANNULE")),"Clôturé sans suite","En cours")))</f>
        <v/>
      </c>
      <c r="N2460">
        <f>IF(ISBLANK('ENGAGEMENTS 2026'!C2460),"",'ENGAGEMENTS 2026'!L2460)</f>
        <v/>
      </c>
      <c r="O2460">
        <f>IF(ISBLANK('ENGAGEMENTS 2026'!C2460),"",'ENGAGEMENTS 2026'!M2460)</f>
        <v/>
      </c>
      <c r="P2460">
        <f>IF(ISBLANK('ENGAGEMENTS 2026'!C2460),"",'ENGAGEMENTS 2026'!K2460)</f>
        <v/>
      </c>
      <c r="Q2460">
        <f>IF($A2460="","",IF(OR($E2460="INFRUCTUEUX",$E2460="ANNULE"),$A2460&amp;"|"&amp;(COUNTIFS($A$2:$A2460,$A2460,$E$2:$E2460,"INFRUCTUEUX")+COUNTIFS($A$2:$A2460,$A2460,$E$2:$E2460,"ANNULE")),""))</f>
        <v/>
      </c>
    </row>
    <row r="2461">
      <c r="A2461">
        <f>IF(ISBLANK('ENGAGEMENTS 2026'!C2461),"",IF('ENGAGEMENTS 2026'!C2461="DTSI","DCT",'ENGAGEMENTS 2026'!C2461))</f>
        <v/>
      </c>
      <c r="B2461">
        <f>IF(ISBLANK('ENGAGEMENTS 2026'!C2461),"",'ENGAGEMENTS 2026'!D2461)</f>
        <v/>
      </c>
      <c r="C2461">
        <f>IF(ISBLANK('ENGAGEMENTS 2026'!C2461),"",'ENGAGEMENTS 2026'!E2461)</f>
        <v/>
      </c>
      <c r="D2461">
        <f>IF(ISBLANK('ENGAGEMENTS 2026'!C2461),"",'ENGAGEMENTS 2026'!G2461)</f>
        <v/>
      </c>
      <c r="E2461">
        <f>IF(ISBLANK('ENGAGEMENTS 2026'!C2461),"",'ENGAGEMENTS 2026'!I2461)</f>
        <v/>
      </c>
      <c r="F2461">
        <f>IF(ISBLANK('ENGAGEMENTS 2026'!C2461),"",'ENGAGEMENTS 2026'!J2461)</f>
        <v/>
      </c>
      <c r="G2461">
        <f>IF(ISBLANK('ENGAGEMENTS 2026'!C2461),"",'ENGAGEMENTS 2026'!M2461)</f>
        <v/>
      </c>
      <c r="H2461">
        <f>IF(ISBLANK('ENGAGEMENTS 2026'!C2461),"",'ENGAGEMENTS 2026'!AF2461)</f>
        <v/>
      </c>
      <c r="I2461">
        <f>IF(ISBLANK('ENGAGEMENTS 2026'!C2461),"",'ENGAGEMENTS 2026'!H2461)</f>
        <v/>
      </c>
      <c r="J2461" s="275">
        <f>IF(ISBLANK('ENGAGEMENTS 2026'!C2461),"",IF(AND(OR($E2461="INFRUCTUEUX",$E2461="ANNULE"),$C2461="AOO-M"),'ENGAGEMENTS 2026'!P2461,IF($H2461="EN COURS DE PREENGAGEMENT",'ENGAGEMENTS 2026'!O2461,IF($H2461="PREENGAGE",IF($E2461="ATTRIBUE",'ENGAGEMENTS 2026'!AE2461,'ENGAGEMENTS 2026'!O2461),'ENGAGEMENTS 2026'!AE2461))))</f>
        <v/>
      </c>
      <c r="K2461" s="604">
        <f>IF(ISBLANK('ENGAGEMENTS 2026'!W2461),"",'ENGAGEMENTS 2026'!W2461)</f>
        <v/>
      </c>
      <c r="L2461" s="276">
        <f>IF($K2461="","",TODAY()-$K2461)</f>
        <v/>
      </c>
      <c r="M2461">
        <f>IF($A2461="","",IF($H2461="ENGAGE","Engagé",IF(AND($H2461="NON ENGAGE",OR($I2461="INFRUCTUEUX",$I2461="ANNULE")),"Clôturé sans suite","En cours")))</f>
        <v/>
      </c>
      <c r="N2461">
        <f>IF(ISBLANK('ENGAGEMENTS 2026'!C2461),"",'ENGAGEMENTS 2026'!L2461)</f>
        <v/>
      </c>
      <c r="O2461">
        <f>IF(ISBLANK('ENGAGEMENTS 2026'!C2461),"",'ENGAGEMENTS 2026'!M2461)</f>
        <v/>
      </c>
      <c r="P2461">
        <f>IF(ISBLANK('ENGAGEMENTS 2026'!C2461),"",'ENGAGEMENTS 2026'!K2461)</f>
        <v/>
      </c>
      <c r="Q2461">
        <f>IF($A2461="","",IF(OR($E2461="INFRUCTUEUX",$E2461="ANNULE"),$A2461&amp;"|"&amp;(COUNTIFS($A$2:$A2461,$A2461,$E$2:$E2461,"INFRUCTUEUX")+COUNTIFS($A$2:$A2461,$A2461,$E$2:$E2461,"ANNULE")),""))</f>
        <v/>
      </c>
    </row>
    <row r="2462">
      <c r="A2462">
        <f>IF(ISBLANK('ENGAGEMENTS 2026'!C2462),"",IF('ENGAGEMENTS 2026'!C2462="DTSI","DCT",'ENGAGEMENTS 2026'!C2462))</f>
        <v/>
      </c>
      <c r="B2462">
        <f>IF(ISBLANK('ENGAGEMENTS 2026'!C2462),"",'ENGAGEMENTS 2026'!D2462)</f>
        <v/>
      </c>
      <c r="C2462">
        <f>IF(ISBLANK('ENGAGEMENTS 2026'!C2462),"",'ENGAGEMENTS 2026'!E2462)</f>
        <v/>
      </c>
      <c r="D2462">
        <f>IF(ISBLANK('ENGAGEMENTS 2026'!C2462),"",'ENGAGEMENTS 2026'!G2462)</f>
        <v/>
      </c>
      <c r="E2462">
        <f>IF(ISBLANK('ENGAGEMENTS 2026'!C2462),"",'ENGAGEMENTS 2026'!I2462)</f>
        <v/>
      </c>
      <c r="F2462">
        <f>IF(ISBLANK('ENGAGEMENTS 2026'!C2462),"",'ENGAGEMENTS 2026'!J2462)</f>
        <v/>
      </c>
      <c r="G2462">
        <f>IF(ISBLANK('ENGAGEMENTS 2026'!C2462),"",'ENGAGEMENTS 2026'!M2462)</f>
        <v/>
      </c>
      <c r="H2462">
        <f>IF(ISBLANK('ENGAGEMENTS 2026'!C2462),"",'ENGAGEMENTS 2026'!AF2462)</f>
        <v/>
      </c>
      <c r="I2462">
        <f>IF(ISBLANK('ENGAGEMENTS 2026'!C2462),"",'ENGAGEMENTS 2026'!H2462)</f>
        <v/>
      </c>
      <c r="J2462" s="275">
        <f>IF(ISBLANK('ENGAGEMENTS 2026'!C2462),"",IF(AND(OR($E2462="INFRUCTUEUX",$E2462="ANNULE"),$C2462="AOO-M"),'ENGAGEMENTS 2026'!P2462,IF($H2462="EN COURS DE PREENGAGEMENT",'ENGAGEMENTS 2026'!O2462,IF($H2462="PREENGAGE",IF($E2462="ATTRIBUE",'ENGAGEMENTS 2026'!AE2462,'ENGAGEMENTS 2026'!O2462),'ENGAGEMENTS 2026'!AE2462))))</f>
        <v/>
      </c>
      <c r="K2462" s="604">
        <f>IF(ISBLANK('ENGAGEMENTS 2026'!W2462),"",'ENGAGEMENTS 2026'!W2462)</f>
        <v/>
      </c>
      <c r="L2462" s="276">
        <f>IF($K2462="","",TODAY()-$K2462)</f>
        <v/>
      </c>
      <c r="M2462">
        <f>IF($A2462="","",IF($H2462="ENGAGE","Engagé",IF(AND($H2462="NON ENGAGE",OR($I2462="INFRUCTUEUX",$I2462="ANNULE")),"Clôturé sans suite","En cours")))</f>
        <v/>
      </c>
      <c r="N2462">
        <f>IF(ISBLANK('ENGAGEMENTS 2026'!C2462),"",'ENGAGEMENTS 2026'!L2462)</f>
        <v/>
      </c>
      <c r="O2462">
        <f>IF(ISBLANK('ENGAGEMENTS 2026'!C2462),"",'ENGAGEMENTS 2026'!M2462)</f>
        <v/>
      </c>
      <c r="P2462">
        <f>IF(ISBLANK('ENGAGEMENTS 2026'!C2462),"",'ENGAGEMENTS 2026'!K2462)</f>
        <v/>
      </c>
      <c r="Q2462">
        <f>IF($A2462="","",IF(OR($E2462="INFRUCTUEUX",$E2462="ANNULE"),$A2462&amp;"|"&amp;(COUNTIFS($A$2:$A2462,$A2462,$E$2:$E2462,"INFRUCTUEUX")+COUNTIFS($A$2:$A2462,$A2462,$E$2:$E2462,"ANNULE")),""))</f>
        <v/>
      </c>
    </row>
    <row r="2463">
      <c r="A2463">
        <f>IF(ISBLANK('ENGAGEMENTS 2026'!C2463),"",IF('ENGAGEMENTS 2026'!C2463="DTSI","DCT",'ENGAGEMENTS 2026'!C2463))</f>
        <v/>
      </c>
      <c r="B2463">
        <f>IF(ISBLANK('ENGAGEMENTS 2026'!C2463),"",'ENGAGEMENTS 2026'!D2463)</f>
        <v/>
      </c>
      <c r="C2463">
        <f>IF(ISBLANK('ENGAGEMENTS 2026'!C2463),"",'ENGAGEMENTS 2026'!E2463)</f>
        <v/>
      </c>
      <c r="D2463">
        <f>IF(ISBLANK('ENGAGEMENTS 2026'!C2463),"",'ENGAGEMENTS 2026'!G2463)</f>
        <v/>
      </c>
      <c r="E2463">
        <f>IF(ISBLANK('ENGAGEMENTS 2026'!C2463),"",'ENGAGEMENTS 2026'!I2463)</f>
        <v/>
      </c>
      <c r="F2463">
        <f>IF(ISBLANK('ENGAGEMENTS 2026'!C2463),"",'ENGAGEMENTS 2026'!J2463)</f>
        <v/>
      </c>
      <c r="G2463">
        <f>IF(ISBLANK('ENGAGEMENTS 2026'!C2463),"",'ENGAGEMENTS 2026'!M2463)</f>
        <v/>
      </c>
      <c r="H2463">
        <f>IF(ISBLANK('ENGAGEMENTS 2026'!C2463),"",'ENGAGEMENTS 2026'!AF2463)</f>
        <v/>
      </c>
      <c r="I2463">
        <f>IF(ISBLANK('ENGAGEMENTS 2026'!C2463),"",'ENGAGEMENTS 2026'!H2463)</f>
        <v/>
      </c>
      <c r="J2463" s="275">
        <f>IF(ISBLANK('ENGAGEMENTS 2026'!C2463),"",IF(AND(OR($E2463="INFRUCTUEUX",$E2463="ANNULE"),$C2463="AOO-M"),'ENGAGEMENTS 2026'!P2463,IF($H2463="EN COURS DE PREENGAGEMENT",'ENGAGEMENTS 2026'!O2463,IF($H2463="PREENGAGE",IF($E2463="ATTRIBUE",'ENGAGEMENTS 2026'!AE2463,'ENGAGEMENTS 2026'!O2463),'ENGAGEMENTS 2026'!AE2463))))</f>
        <v/>
      </c>
      <c r="K2463" s="604">
        <f>IF(ISBLANK('ENGAGEMENTS 2026'!W2463),"",'ENGAGEMENTS 2026'!W2463)</f>
        <v/>
      </c>
      <c r="L2463" s="276">
        <f>IF($K2463="","",TODAY()-$K2463)</f>
        <v/>
      </c>
      <c r="M2463">
        <f>IF($A2463="","",IF($H2463="ENGAGE","Engagé",IF(AND($H2463="NON ENGAGE",OR($I2463="INFRUCTUEUX",$I2463="ANNULE")),"Clôturé sans suite","En cours")))</f>
        <v/>
      </c>
      <c r="N2463">
        <f>IF(ISBLANK('ENGAGEMENTS 2026'!C2463),"",'ENGAGEMENTS 2026'!L2463)</f>
        <v/>
      </c>
      <c r="O2463">
        <f>IF(ISBLANK('ENGAGEMENTS 2026'!C2463),"",'ENGAGEMENTS 2026'!M2463)</f>
        <v/>
      </c>
      <c r="P2463">
        <f>IF(ISBLANK('ENGAGEMENTS 2026'!C2463),"",'ENGAGEMENTS 2026'!K2463)</f>
        <v/>
      </c>
      <c r="Q2463">
        <f>IF($A2463="","",IF(OR($E2463="INFRUCTUEUX",$E2463="ANNULE"),$A2463&amp;"|"&amp;(COUNTIFS($A$2:$A2463,$A2463,$E$2:$E2463,"INFRUCTUEUX")+COUNTIFS($A$2:$A2463,$A2463,$E$2:$E2463,"ANNULE")),""))</f>
        <v/>
      </c>
    </row>
    <row r="2464">
      <c r="A2464">
        <f>IF(ISBLANK('ENGAGEMENTS 2026'!C2464),"",IF('ENGAGEMENTS 2026'!C2464="DTSI","DCT",'ENGAGEMENTS 2026'!C2464))</f>
        <v/>
      </c>
      <c r="B2464">
        <f>IF(ISBLANK('ENGAGEMENTS 2026'!C2464),"",'ENGAGEMENTS 2026'!D2464)</f>
        <v/>
      </c>
      <c r="C2464">
        <f>IF(ISBLANK('ENGAGEMENTS 2026'!C2464),"",'ENGAGEMENTS 2026'!E2464)</f>
        <v/>
      </c>
      <c r="D2464">
        <f>IF(ISBLANK('ENGAGEMENTS 2026'!C2464),"",'ENGAGEMENTS 2026'!G2464)</f>
        <v/>
      </c>
      <c r="E2464">
        <f>IF(ISBLANK('ENGAGEMENTS 2026'!C2464),"",'ENGAGEMENTS 2026'!I2464)</f>
        <v/>
      </c>
      <c r="F2464">
        <f>IF(ISBLANK('ENGAGEMENTS 2026'!C2464),"",'ENGAGEMENTS 2026'!J2464)</f>
        <v/>
      </c>
      <c r="G2464">
        <f>IF(ISBLANK('ENGAGEMENTS 2026'!C2464),"",'ENGAGEMENTS 2026'!M2464)</f>
        <v/>
      </c>
      <c r="H2464">
        <f>IF(ISBLANK('ENGAGEMENTS 2026'!C2464),"",'ENGAGEMENTS 2026'!AF2464)</f>
        <v/>
      </c>
      <c r="I2464">
        <f>IF(ISBLANK('ENGAGEMENTS 2026'!C2464),"",'ENGAGEMENTS 2026'!H2464)</f>
        <v/>
      </c>
      <c r="J2464" s="275">
        <f>IF(ISBLANK('ENGAGEMENTS 2026'!C2464),"",IF(AND(OR($E2464="INFRUCTUEUX",$E2464="ANNULE"),$C2464="AOO-M"),'ENGAGEMENTS 2026'!P2464,IF($H2464="EN COURS DE PREENGAGEMENT",'ENGAGEMENTS 2026'!O2464,IF($H2464="PREENGAGE",IF($E2464="ATTRIBUE",'ENGAGEMENTS 2026'!AE2464,'ENGAGEMENTS 2026'!O2464),'ENGAGEMENTS 2026'!AE2464))))</f>
        <v/>
      </c>
      <c r="K2464" s="604">
        <f>IF(ISBLANK('ENGAGEMENTS 2026'!W2464),"",'ENGAGEMENTS 2026'!W2464)</f>
        <v/>
      </c>
      <c r="L2464" s="276">
        <f>IF($K2464="","",TODAY()-$K2464)</f>
        <v/>
      </c>
      <c r="M2464">
        <f>IF($A2464="","",IF($H2464="ENGAGE","Engagé",IF(AND($H2464="NON ENGAGE",OR($I2464="INFRUCTUEUX",$I2464="ANNULE")),"Clôturé sans suite","En cours")))</f>
        <v/>
      </c>
      <c r="N2464">
        <f>IF(ISBLANK('ENGAGEMENTS 2026'!C2464),"",'ENGAGEMENTS 2026'!L2464)</f>
        <v/>
      </c>
      <c r="O2464">
        <f>IF(ISBLANK('ENGAGEMENTS 2026'!C2464),"",'ENGAGEMENTS 2026'!M2464)</f>
        <v/>
      </c>
      <c r="P2464">
        <f>IF(ISBLANK('ENGAGEMENTS 2026'!C2464),"",'ENGAGEMENTS 2026'!K2464)</f>
        <v/>
      </c>
      <c r="Q2464">
        <f>IF($A2464="","",IF(OR($E2464="INFRUCTUEUX",$E2464="ANNULE"),$A2464&amp;"|"&amp;(COUNTIFS($A$2:$A2464,$A2464,$E$2:$E2464,"INFRUCTUEUX")+COUNTIFS($A$2:$A2464,$A2464,$E$2:$E2464,"ANNULE")),""))</f>
        <v/>
      </c>
    </row>
    <row r="2465">
      <c r="A2465">
        <f>IF(ISBLANK('ENGAGEMENTS 2026'!C2465),"",IF('ENGAGEMENTS 2026'!C2465="DTSI","DCT",'ENGAGEMENTS 2026'!C2465))</f>
        <v/>
      </c>
      <c r="B2465">
        <f>IF(ISBLANK('ENGAGEMENTS 2026'!C2465),"",'ENGAGEMENTS 2026'!D2465)</f>
        <v/>
      </c>
      <c r="C2465">
        <f>IF(ISBLANK('ENGAGEMENTS 2026'!C2465),"",'ENGAGEMENTS 2026'!E2465)</f>
        <v/>
      </c>
      <c r="D2465">
        <f>IF(ISBLANK('ENGAGEMENTS 2026'!C2465),"",'ENGAGEMENTS 2026'!G2465)</f>
        <v/>
      </c>
      <c r="E2465">
        <f>IF(ISBLANK('ENGAGEMENTS 2026'!C2465),"",'ENGAGEMENTS 2026'!I2465)</f>
        <v/>
      </c>
      <c r="F2465">
        <f>IF(ISBLANK('ENGAGEMENTS 2026'!C2465),"",'ENGAGEMENTS 2026'!J2465)</f>
        <v/>
      </c>
      <c r="G2465">
        <f>IF(ISBLANK('ENGAGEMENTS 2026'!C2465),"",'ENGAGEMENTS 2026'!M2465)</f>
        <v/>
      </c>
      <c r="H2465">
        <f>IF(ISBLANK('ENGAGEMENTS 2026'!C2465),"",'ENGAGEMENTS 2026'!AF2465)</f>
        <v/>
      </c>
      <c r="I2465">
        <f>IF(ISBLANK('ENGAGEMENTS 2026'!C2465),"",'ENGAGEMENTS 2026'!H2465)</f>
        <v/>
      </c>
      <c r="J2465" s="275">
        <f>IF(ISBLANK('ENGAGEMENTS 2026'!C2465),"",IF(AND(OR($E2465="INFRUCTUEUX",$E2465="ANNULE"),$C2465="AOO-M"),'ENGAGEMENTS 2026'!P2465,IF($H2465="EN COURS DE PREENGAGEMENT",'ENGAGEMENTS 2026'!O2465,IF($H2465="PREENGAGE",IF($E2465="ATTRIBUE",'ENGAGEMENTS 2026'!AE2465,'ENGAGEMENTS 2026'!O2465),'ENGAGEMENTS 2026'!AE2465))))</f>
        <v/>
      </c>
      <c r="K2465" s="604">
        <f>IF(ISBLANK('ENGAGEMENTS 2026'!W2465),"",'ENGAGEMENTS 2026'!W2465)</f>
        <v/>
      </c>
      <c r="L2465" s="276">
        <f>IF($K2465="","",TODAY()-$K2465)</f>
        <v/>
      </c>
      <c r="M2465">
        <f>IF($A2465="","",IF($H2465="ENGAGE","Engagé",IF(AND($H2465="NON ENGAGE",OR($I2465="INFRUCTUEUX",$I2465="ANNULE")),"Clôturé sans suite","En cours")))</f>
        <v/>
      </c>
      <c r="N2465">
        <f>IF(ISBLANK('ENGAGEMENTS 2026'!C2465),"",'ENGAGEMENTS 2026'!L2465)</f>
        <v/>
      </c>
      <c r="O2465">
        <f>IF(ISBLANK('ENGAGEMENTS 2026'!C2465),"",'ENGAGEMENTS 2026'!M2465)</f>
        <v/>
      </c>
      <c r="P2465">
        <f>IF(ISBLANK('ENGAGEMENTS 2026'!C2465),"",'ENGAGEMENTS 2026'!K2465)</f>
        <v/>
      </c>
      <c r="Q2465">
        <f>IF($A2465="","",IF(OR($E2465="INFRUCTUEUX",$E2465="ANNULE"),$A2465&amp;"|"&amp;(COUNTIFS($A$2:$A2465,$A2465,$E$2:$E2465,"INFRUCTUEUX")+COUNTIFS($A$2:$A2465,$A2465,$E$2:$E2465,"ANNULE")),""))</f>
        <v/>
      </c>
    </row>
    <row r="2466">
      <c r="A2466">
        <f>IF(ISBLANK('ENGAGEMENTS 2026'!C2466),"",IF('ENGAGEMENTS 2026'!C2466="DTSI","DCT",'ENGAGEMENTS 2026'!C2466))</f>
        <v/>
      </c>
      <c r="B2466">
        <f>IF(ISBLANK('ENGAGEMENTS 2026'!C2466),"",'ENGAGEMENTS 2026'!D2466)</f>
        <v/>
      </c>
      <c r="C2466">
        <f>IF(ISBLANK('ENGAGEMENTS 2026'!C2466),"",'ENGAGEMENTS 2026'!E2466)</f>
        <v/>
      </c>
      <c r="D2466">
        <f>IF(ISBLANK('ENGAGEMENTS 2026'!C2466),"",'ENGAGEMENTS 2026'!G2466)</f>
        <v/>
      </c>
      <c r="E2466">
        <f>IF(ISBLANK('ENGAGEMENTS 2026'!C2466),"",'ENGAGEMENTS 2026'!I2466)</f>
        <v/>
      </c>
      <c r="F2466">
        <f>IF(ISBLANK('ENGAGEMENTS 2026'!C2466),"",'ENGAGEMENTS 2026'!J2466)</f>
        <v/>
      </c>
      <c r="G2466">
        <f>IF(ISBLANK('ENGAGEMENTS 2026'!C2466),"",'ENGAGEMENTS 2026'!M2466)</f>
        <v/>
      </c>
      <c r="H2466">
        <f>IF(ISBLANK('ENGAGEMENTS 2026'!C2466),"",'ENGAGEMENTS 2026'!AF2466)</f>
        <v/>
      </c>
      <c r="I2466">
        <f>IF(ISBLANK('ENGAGEMENTS 2026'!C2466),"",'ENGAGEMENTS 2026'!H2466)</f>
        <v/>
      </c>
      <c r="J2466" s="275">
        <f>IF(ISBLANK('ENGAGEMENTS 2026'!C2466),"",IF(AND(OR($E2466="INFRUCTUEUX",$E2466="ANNULE"),$C2466="AOO-M"),'ENGAGEMENTS 2026'!P2466,IF($H2466="EN COURS DE PREENGAGEMENT",'ENGAGEMENTS 2026'!O2466,IF($H2466="PREENGAGE",IF($E2466="ATTRIBUE",'ENGAGEMENTS 2026'!AE2466,'ENGAGEMENTS 2026'!O2466),'ENGAGEMENTS 2026'!AE2466))))</f>
        <v/>
      </c>
      <c r="K2466" s="604">
        <f>IF(ISBLANK('ENGAGEMENTS 2026'!W2466),"",'ENGAGEMENTS 2026'!W2466)</f>
        <v/>
      </c>
      <c r="L2466" s="276">
        <f>IF($K2466="","",TODAY()-$K2466)</f>
        <v/>
      </c>
      <c r="M2466">
        <f>IF($A2466="","",IF($H2466="ENGAGE","Engagé",IF(AND($H2466="NON ENGAGE",OR($I2466="INFRUCTUEUX",$I2466="ANNULE")),"Clôturé sans suite","En cours")))</f>
        <v/>
      </c>
      <c r="N2466">
        <f>IF(ISBLANK('ENGAGEMENTS 2026'!C2466),"",'ENGAGEMENTS 2026'!L2466)</f>
        <v/>
      </c>
      <c r="O2466">
        <f>IF(ISBLANK('ENGAGEMENTS 2026'!C2466),"",'ENGAGEMENTS 2026'!M2466)</f>
        <v/>
      </c>
      <c r="P2466">
        <f>IF(ISBLANK('ENGAGEMENTS 2026'!C2466),"",'ENGAGEMENTS 2026'!K2466)</f>
        <v/>
      </c>
      <c r="Q2466">
        <f>IF($A2466="","",IF(OR($E2466="INFRUCTUEUX",$E2466="ANNULE"),$A2466&amp;"|"&amp;(COUNTIFS($A$2:$A2466,$A2466,$E$2:$E2466,"INFRUCTUEUX")+COUNTIFS($A$2:$A2466,$A2466,$E$2:$E2466,"ANNULE")),""))</f>
        <v/>
      </c>
    </row>
    <row r="2467">
      <c r="A2467">
        <f>IF(ISBLANK('ENGAGEMENTS 2026'!C2467),"",IF('ENGAGEMENTS 2026'!C2467="DTSI","DCT",'ENGAGEMENTS 2026'!C2467))</f>
        <v/>
      </c>
      <c r="B2467">
        <f>IF(ISBLANK('ENGAGEMENTS 2026'!C2467),"",'ENGAGEMENTS 2026'!D2467)</f>
        <v/>
      </c>
      <c r="C2467">
        <f>IF(ISBLANK('ENGAGEMENTS 2026'!C2467),"",'ENGAGEMENTS 2026'!E2467)</f>
        <v/>
      </c>
      <c r="D2467">
        <f>IF(ISBLANK('ENGAGEMENTS 2026'!C2467),"",'ENGAGEMENTS 2026'!G2467)</f>
        <v/>
      </c>
      <c r="E2467">
        <f>IF(ISBLANK('ENGAGEMENTS 2026'!C2467),"",'ENGAGEMENTS 2026'!I2467)</f>
        <v/>
      </c>
      <c r="F2467">
        <f>IF(ISBLANK('ENGAGEMENTS 2026'!C2467),"",'ENGAGEMENTS 2026'!J2467)</f>
        <v/>
      </c>
      <c r="G2467">
        <f>IF(ISBLANK('ENGAGEMENTS 2026'!C2467),"",'ENGAGEMENTS 2026'!M2467)</f>
        <v/>
      </c>
      <c r="H2467">
        <f>IF(ISBLANK('ENGAGEMENTS 2026'!C2467),"",'ENGAGEMENTS 2026'!AF2467)</f>
        <v/>
      </c>
      <c r="I2467">
        <f>IF(ISBLANK('ENGAGEMENTS 2026'!C2467),"",'ENGAGEMENTS 2026'!H2467)</f>
        <v/>
      </c>
      <c r="J2467" s="275">
        <f>IF(ISBLANK('ENGAGEMENTS 2026'!C2467),"",IF(AND(OR($E2467="INFRUCTUEUX",$E2467="ANNULE"),$C2467="AOO-M"),'ENGAGEMENTS 2026'!P2467,IF($H2467="EN COURS DE PREENGAGEMENT",'ENGAGEMENTS 2026'!O2467,IF($H2467="PREENGAGE",IF($E2467="ATTRIBUE",'ENGAGEMENTS 2026'!AE2467,'ENGAGEMENTS 2026'!O2467),'ENGAGEMENTS 2026'!AE2467))))</f>
        <v/>
      </c>
      <c r="K2467" s="604">
        <f>IF(ISBLANK('ENGAGEMENTS 2026'!W2467),"",'ENGAGEMENTS 2026'!W2467)</f>
        <v/>
      </c>
      <c r="L2467" s="276">
        <f>IF($K2467="","",TODAY()-$K2467)</f>
        <v/>
      </c>
      <c r="M2467">
        <f>IF($A2467="","",IF($H2467="ENGAGE","Engagé",IF(AND($H2467="NON ENGAGE",OR($I2467="INFRUCTUEUX",$I2467="ANNULE")),"Clôturé sans suite","En cours")))</f>
        <v/>
      </c>
      <c r="N2467">
        <f>IF(ISBLANK('ENGAGEMENTS 2026'!C2467),"",'ENGAGEMENTS 2026'!L2467)</f>
        <v/>
      </c>
      <c r="O2467">
        <f>IF(ISBLANK('ENGAGEMENTS 2026'!C2467),"",'ENGAGEMENTS 2026'!M2467)</f>
        <v/>
      </c>
      <c r="P2467">
        <f>IF(ISBLANK('ENGAGEMENTS 2026'!C2467),"",'ENGAGEMENTS 2026'!K2467)</f>
        <v/>
      </c>
      <c r="Q2467">
        <f>IF($A2467="","",IF(OR($E2467="INFRUCTUEUX",$E2467="ANNULE"),$A2467&amp;"|"&amp;(COUNTIFS($A$2:$A2467,$A2467,$E$2:$E2467,"INFRUCTUEUX")+COUNTIFS($A$2:$A2467,$A2467,$E$2:$E2467,"ANNULE")),""))</f>
        <v/>
      </c>
    </row>
    <row r="2468">
      <c r="A2468">
        <f>IF(ISBLANK('ENGAGEMENTS 2026'!C2468),"",IF('ENGAGEMENTS 2026'!C2468="DTSI","DCT",'ENGAGEMENTS 2026'!C2468))</f>
        <v/>
      </c>
      <c r="B2468">
        <f>IF(ISBLANK('ENGAGEMENTS 2026'!C2468),"",'ENGAGEMENTS 2026'!D2468)</f>
        <v/>
      </c>
      <c r="C2468">
        <f>IF(ISBLANK('ENGAGEMENTS 2026'!C2468),"",'ENGAGEMENTS 2026'!E2468)</f>
        <v/>
      </c>
      <c r="D2468">
        <f>IF(ISBLANK('ENGAGEMENTS 2026'!C2468),"",'ENGAGEMENTS 2026'!G2468)</f>
        <v/>
      </c>
      <c r="E2468">
        <f>IF(ISBLANK('ENGAGEMENTS 2026'!C2468),"",'ENGAGEMENTS 2026'!I2468)</f>
        <v/>
      </c>
      <c r="F2468">
        <f>IF(ISBLANK('ENGAGEMENTS 2026'!C2468),"",'ENGAGEMENTS 2026'!J2468)</f>
        <v/>
      </c>
      <c r="G2468">
        <f>IF(ISBLANK('ENGAGEMENTS 2026'!C2468),"",'ENGAGEMENTS 2026'!M2468)</f>
        <v/>
      </c>
      <c r="H2468">
        <f>IF(ISBLANK('ENGAGEMENTS 2026'!C2468),"",'ENGAGEMENTS 2026'!AF2468)</f>
        <v/>
      </c>
      <c r="I2468">
        <f>IF(ISBLANK('ENGAGEMENTS 2026'!C2468),"",'ENGAGEMENTS 2026'!H2468)</f>
        <v/>
      </c>
      <c r="J2468" s="275">
        <f>IF(ISBLANK('ENGAGEMENTS 2026'!C2468),"",IF(AND(OR($E2468="INFRUCTUEUX",$E2468="ANNULE"),$C2468="AOO-M"),'ENGAGEMENTS 2026'!P2468,IF($H2468="EN COURS DE PREENGAGEMENT",'ENGAGEMENTS 2026'!O2468,IF($H2468="PREENGAGE",IF($E2468="ATTRIBUE",'ENGAGEMENTS 2026'!AE2468,'ENGAGEMENTS 2026'!O2468),'ENGAGEMENTS 2026'!AE2468))))</f>
        <v/>
      </c>
      <c r="K2468" s="604">
        <f>IF(ISBLANK('ENGAGEMENTS 2026'!W2468),"",'ENGAGEMENTS 2026'!W2468)</f>
        <v/>
      </c>
      <c r="L2468" s="276">
        <f>IF($K2468="","",TODAY()-$K2468)</f>
        <v/>
      </c>
      <c r="M2468">
        <f>IF($A2468="","",IF($H2468="ENGAGE","Engagé",IF(AND($H2468="NON ENGAGE",OR($I2468="INFRUCTUEUX",$I2468="ANNULE")),"Clôturé sans suite","En cours")))</f>
        <v/>
      </c>
      <c r="N2468">
        <f>IF(ISBLANK('ENGAGEMENTS 2026'!C2468),"",'ENGAGEMENTS 2026'!L2468)</f>
        <v/>
      </c>
      <c r="O2468">
        <f>IF(ISBLANK('ENGAGEMENTS 2026'!C2468),"",'ENGAGEMENTS 2026'!M2468)</f>
        <v/>
      </c>
      <c r="P2468">
        <f>IF(ISBLANK('ENGAGEMENTS 2026'!C2468),"",'ENGAGEMENTS 2026'!K2468)</f>
        <v/>
      </c>
      <c r="Q2468">
        <f>IF($A2468="","",IF(OR($E2468="INFRUCTUEUX",$E2468="ANNULE"),$A2468&amp;"|"&amp;(COUNTIFS($A$2:$A2468,$A2468,$E$2:$E2468,"INFRUCTUEUX")+COUNTIFS($A$2:$A2468,$A2468,$E$2:$E2468,"ANNULE")),""))</f>
        <v/>
      </c>
    </row>
    <row r="2469">
      <c r="A2469">
        <f>IF(ISBLANK('ENGAGEMENTS 2026'!C2469),"",IF('ENGAGEMENTS 2026'!C2469="DTSI","DCT",'ENGAGEMENTS 2026'!C2469))</f>
        <v/>
      </c>
      <c r="B2469">
        <f>IF(ISBLANK('ENGAGEMENTS 2026'!C2469),"",'ENGAGEMENTS 2026'!D2469)</f>
        <v/>
      </c>
      <c r="C2469">
        <f>IF(ISBLANK('ENGAGEMENTS 2026'!C2469),"",'ENGAGEMENTS 2026'!E2469)</f>
        <v/>
      </c>
      <c r="D2469">
        <f>IF(ISBLANK('ENGAGEMENTS 2026'!C2469),"",'ENGAGEMENTS 2026'!G2469)</f>
        <v/>
      </c>
      <c r="E2469">
        <f>IF(ISBLANK('ENGAGEMENTS 2026'!C2469),"",'ENGAGEMENTS 2026'!I2469)</f>
        <v/>
      </c>
      <c r="F2469">
        <f>IF(ISBLANK('ENGAGEMENTS 2026'!C2469),"",'ENGAGEMENTS 2026'!J2469)</f>
        <v/>
      </c>
      <c r="G2469">
        <f>IF(ISBLANK('ENGAGEMENTS 2026'!C2469),"",'ENGAGEMENTS 2026'!M2469)</f>
        <v/>
      </c>
      <c r="H2469">
        <f>IF(ISBLANK('ENGAGEMENTS 2026'!C2469),"",'ENGAGEMENTS 2026'!AF2469)</f>
        <v/>
      </c>
      <c r="I2469">
        <f>IF(ISBLANK('ENGAGEMENTS 2026'!C2469),"",'ENGAGEMENTS 2026'!H2469)</f>
        <v/>
      </c>
      <c r="J2469" s="275">
        <f>IF(ISBLANK('ENGAGEMENTS 2026'!C2469),"",IF(AND(OR($E2469="INFRUCTUEUX",$E2469="ANNULE"),$C2469="AOO-M"),'ENGAGEMENTS 2026'!P2469,IF($H2469="EN COURS DE PREENGAGEMENT",'ENGAGEMENTS 2026'!O2469,IF($H2469="PREENGAGE",IF($E2469="ATTRIBUE",'ENGAGEMENTS 2026'!AE2469,'ENGAGEMENTS 2026'!O2469),'ENGAGEMENTS 2026'!AE2469))))</f>
        <v/>
      </c>
      <c r="K2469" s="604">
        <f>IF(ISBLANK('ENGAGEMENTS 2026'!W2469),"",'ENGAGEMENTS 2026'!W2469)</f>
        <v/>
      </c>
      <c r="L2469" s="276">
        <f>IF($K2469="","",TODAY()-$K2469)</f>
        <v/>
      </c>
      <c r="M2469">
        <f>IF($A2469="","",IF($H2469="ENGAGE","Engagé",IF(AND($H2469="NON ENGAGE",OR($I2469="INFRUCTUEUX",$I2469="ANNULE")),"Clôturé sans suite","En cours")))</f>
        <v/>
      </c>
      <c r="N2469">
        <f>IF(ISBLANK('ENGAGEMENTS 2026'!C2469),"",'ENGAGEMENTS 2026'!L2469)</f>
        <v/>
      </c>
      <c r="O2469">
        <f>IF(ISBLANK('ENGAGEMENTS 2026'!C2469),"",'ENGAGEMENTS 2026'!M2469)</f>
        <v/>
      </c>
      <c r="P2469">
        <f>IF(ISBLANK('ENGAGEMENTS 2026'!C2469),"",'ENGAGEMENTS 2026'!K2469)</f>
        <v/>
      </c>
      <c r="Q2469">
        <f>IF($A2469="","",IF(OR($E2469="INFRUCTUEUX",$E2469="ANNULE"),$A2469&amp;"|"&amp;(COUNTIFS($A$2:$A2469,$A2469,$E$2:$E2469,"INFRUCTUEUX")+COUNTIFS($A$2:$A2469,$A2469,$E$2:$E2469,"ANNULE")),""))</f>
        <v/>
      </c>
    </row>
    <row r="2470">
      <c r="A2470">
        <f>IF(ISBLANK('ENGAGEMENTS 2026'!C2470),"",IF('ENGAGEMENTS 2026'!C2470="DTSI","DCT",'ENGAGEMENTS 2026'!C2470))</f>
        <v/>
      </c>
      <c r="B2470">
        <f>IF(ISBLANK('ENGAGEMENTS 2026'!C2470),"",'ENGAGEMENTS 2026'!D2470)</f>
        <v/>
      </c>
      <c r="C2470">
        <f>IF(ISBLANK('ENGAGEMENTS 2026'!C2470),"",'ENGAGEMENTS 2026'!E2470)</f>
        <v/>
      </c>
      <c r="D2470">
        <f>IF(ISBLANK('ENGAGEMENTS 2026'!C2470),"",'ENGAGEMENTS 2026'!G2470)</f>
        <v/>
      </c>
      <c r="E2470">
        <f>IF(ISBLANK('ENGAGEMENTS 2026'!C2470),"",'ENGAGEMENTS 2026'!I2470)</f>
        <v/>
      </c>
      <c r="F2470">
        <f>IF(ISBLANK('ENGAGEMENTS 2026'!C2470),"",'ENGAGEMENTS 2026'!J2470)</f>
        <v/>
      </c>
      <c r="G2470">
        <f>IF(ISBLANK('ENGAGEMENTS 2026'!C2470),"",'ENGAGEMENTS 2026'!M2470)</f>
        <v/>
      </c>
      <c r="H2470">
        <f>IF(ISBLANK('ENGAGEMENTS 2026'!C2470),"",'ENGAGEMENTS 2026'!AF2470)</f>
        <v/>
      </c>
      <c r="I2470">
        <f>IF(ISBLANK('ENGAGEMENTS 2026'!C2470),"",'ENGAGEMENTS 2026'!H2470)</f>
        <v/>
      </c>
      <c r="J2470" s="275">
        <f>IF(ISBLANK('ENGAGEMENTS 2026'!C2470),"",IF(AND(OR($E2470="INFRUCTUEUX",$E2470="ANNULE"),$C2470="AOO-M"),'ENGAGEMENTS 2026'!P2470,IF($H2470="EN COURS DE PREENGAGEMENT",'ENGAGEMENTS 2026'!O2470,IF($H2470="PREENGAGE",IF($E2470="ATTRIBUE",'ENGAGEMENTS 2026'!AE2470,'ENGAGEMENTS 2026'!O2470),'ENGAGEMENTS 2026'!AE2470))))</f>
        <v/>
      </c>
      <c r="K2470" s="604">
        <f>IF(ISBLANK('ENGAGEMENTS 2026'!W2470),"",'ENGAGEMENTS 2026'!W2470)</f>
        <v/>
      </c>
      <c r="L2470" s="276">
        <f>IF($K2470="","",TODAY()-$K2470)</f>
        <v/>
      </c>
      <c r="M2470">
        <f>IF($A2470="","",IF($H2470="ENGAGE","Engagé",IF(AND($H2470="NON ENGAGE",OR($I2470="INFRUCTUEUX",$I2470="ANNULE")),"Clôturé sans suite","En cours")))</f>
        <v/>
      </c>
      <c r="N2470">
        <f>IF(ISBLANK('ENGAGEMENTS 2026'!C2470),"",'ENGAGEMENTS 2026'!L2470)</f>
        <v/>
      </c>
      <c r="O2470">
        <f>IF(ISBLANK('ENGAGEMENTS 2026'!C2470),"",'ENGAGEMENTS 2026'!M2470)</f>
        <v/>
      </c>
      <c r="P2470">
        <f>IF(ISBLANK('ENGAGEMENTS 2026'!C2470),"",'ENGAGEMENTS 2026'!K2470)</f>
        <v/>
      </c>
      <c r="Q2470">
        <f>IF($A2470="","",IF(OR($E2470="INFRUCTUEUX",$E2470="ANNULE"),$A2470&amp;"|"&amp;(COUNTIFS($A$2:$A2470,$A2470,$E$2:$E2470,"INFRUCTUEUX")+COUNTIFS($A$2:$A2470,$A2470,$E$2:$E2470,"ANNULE")),""))</f>
        <v/>
      </c>
    </row>
    <row r="2471">
      <c r="A2471">
        <f>IF(ISBLANK('ENGAGEMENTS 2026'!C2471),"",IF('ENGAGEMENTS 2026'!C2471="DTSI","DCT",'ENGAGEMENTS 2026'!C2471))</f>
        <v/>
      </c>
      <c r="B2471">
        <f>IF(ISBLANK('ENGAGEMENTS 2026'!C2471),"",'ENGAGEMENTS 2026'!D2471)</f>
        <v/>
      </c>
      <c r="C2471">
        <f>IF(ISBLANK('ENGAGEMENTS 2026'!C2471),"",'ENGAGEMENTS 2026'!E2471)</f>
        <v/>
      </c>
      <c r="D2471">
        <f>IF(ISBLANK('ENGAGEMENTS 2026'!C2471),"",'ENGAGEMENTS 2026'!G2471)</f>
        <v/>
      </c>
      <c r="E2471">
        <f>IF(ISBLANK('ENGAGEMENTS 2026'!C2471),"",'ENGAGEMENTS 2026'!I2471)</f>
        <v/>
      </c>
      <c r="F2471">
        <f>IF(ISBLANK('ENGAGEMENTS 2026'!C2471),"",'ENGAGEMENTS 2026'!J2471)</f>
        <v/>
      </c>
      <c r="G2471">
        <f>IF(ISBLANK('ENGAGEMENTS 2026'!C2471),"",'ENGAGEMENTS 2026'!M2471)</f>
        <v/>
      </c>
      <c r="H2471">
        <f>IF(ISBLANK('ENGAGEMENTS 2026'!C2471),"",'ENGAGEMENTS 2026'!AF2471)</f>
        <v/>
      </c>
      <c r="I2471">
        <f>IF(ISBLANK('ENGAGEMENTS 2026'!C2471),"",'ENGAGEMENTS 2026'!H2471)</f>
        <v/>
      </c>
      <c r="J2471" s="275">
        <f>IF(ISBLANK('ENGAGEMENTS 2026'!C2471),"",IF(AND(OR($E2471="INFRUCTUEUX",$E2471="ANNULE"),$C2471="AOO-M"),'ENGAGEMENTS 2026'!P2471,IF($H2471="EN COURS DE PREENGAGEMENT",'ENGAGEMENTS 2026'!O2471,IF($H2471="PREENGAGE",IF($E2471="ATTRIBUE",'ENGAGEMENTS 2026'!AE2471,'ENGAGEMENTS 2026'!O2471),'ENGAGEMENTS 2026'!AE2471))))</f>
        <v/>
      </c>
      <c r="K2471" s="604">
        <f>IF(ISBLANK('ENGAGEMENTS 2026'!W2471),"",'ENGAGEMENTS 2026'!W2471)</f>
        <v/>
      </c>
      <c r="L2471" s="276">
        <f>IF($K2471="","",TODAY()-$K2471)</f>
        <v/>
      </c>
      <c r="M2471">
        <f>IF($A2471="","",IF($H2471="ENGAGE","Engagé",IF(AND($H2471="NON ENGAGE",OR($I2471="INFRUCTUEUX",$I2471="ANNULE")),"Clôturé sans suite","En cours")))</f>
        <v/>
      </c>
      <c r="N2471">
        <f>IF(ISBLANK('ENGAGEMENTS 2026'!C2471),"",'ENGAGEMENTS 2026'!L2471)</f>
        <v/>
      </c>
      <c r="O2471">
        <f>IF(ISBLANK('ENGAGEMENTS 2026'!C2471),"",'ENGAGEMENTS 2026'!M2471)</f>
        <v/>
      </c>
      <c r="P2471">
        <f>IF(ISBLANK('ENGAGEMENTS 2026'!C2471),"",'ENGAGEMENTS 2026'!K2471)</f>
        <v/>
      </c>
      <c r="Q2471">
        <f>IF($A2471="","",IF(OR($E2471="INFRUCTUEUX",$E2471="ANNULE"),$A2471&amp;"|"&amp;(COUNTIFS($A$2:$A2471,$A2471,$E$2:$E2471,"INFRUCTUEUX")+COUNTIFS($A$2:$A2471,$A2471,$E$2:$E2471,"ANNULE")),""))</f>
        <v/>
      </c>
    </row>
    <row r="2472">
      <c r="A2472">
        <f>IF(ISBLANK('ENGAGEMENTS 2026'!C2472),"",IF('ENGAGEMENTS 2026'!C2472="DTSI","DCT",'ENGAGEMENTS 2026'!C2472))</f>
        <v/>
      </c>
      <c r="B2472">
        <f>IF(ISBLANK('ENGAGEMENTS 2026'!C2472),"",'ENGAGEMENTS 2026'!D2472)</f>
        <v/>
      </c>
      <c r="C2472">
        <f>IF(ISBLANK('ENGAGEMENTS 2026'!C2472),"",'ENGAGEMENTS 2026'!E2472)</f>
        <v/>
      </c>
      <c r="D2472">
        <f>IF(ISBLANK('ENGAGEMENTS 2026'!C2472),"",'ENGAGEMENTS 2026'!G2472)</f>
        <v/>
      </c>
      <c r="E2472">
        <f>IF(ISBLANK('ENGAGEMENTS 2026'!C2472),"",'ENGAGEMENTS 2026'!I2472)</f>
        <v/>
      </c>
      <c r="F2472">
        <f>IF(ISBLANK('ENGAGEMENTS 2026'!C2472),"",'ENGAGEMENTS 2026'!J2472)</f>
        <v/>
      </c>
      <c r="G2472">
        <f>IF(ISBLANK('ENGAGEMENTS 2026'!C2472),"",'ENGAGEMENTS 2026'!M2472)</f>
        <v/>
      </c>
      <c r="H2472">
        <f>IF(ISBLANK('ENGAGEMENTS 2026'!C2472),"",'ENGAGEMENTS 2026'!AF2472)</f>
        <v/>
      </c>
      <c r="I2472">
        <f>IF(ISBLANK('ENGAGEMENTS 2026'!C2472),"",'ENGAGEMENTS 2026'!H2472)</f>
        <v/>
      </c>
      <c r="J2472" s="275">
        <f>IF(ISBLANK('ENGAGEMENTS 2026'!C2472),"",IF(AND(OR($E2472="INFRUCTUEUX",$E2472="ANNULE"),$C2472="AOO-M"),'ENGAGEMENTS 2026'!P2472,IF($H2472="EN COURS DE PREENGAGEMENT",'ENGAGEMENTS 2026'!O2472,IF($H2472="PREENGAGE",IF($E2472="ATTRIBUE",'ENGAGEMENTS 2026'!AE2472,'ENGAGEMENTS 2026'!O2472),'ENGAGEMENTS 2026'!AE2472))))</f>
        <v/>
      </c>
      <c r="K2472" s="604">
        <f>IF(ISBLANK('ENGAGEMENTS 2026'!W2472),"",'ENGAGEMENTS 2026'!W2472)</f>
        <v/>
      </c>
      <c r="L2472" s="276">
        <f>IF($K2472="","",TODAY()-$K2472)</f>
        <v/>
      </c>
      <c r="M2472">
        <f>IF($A2472="","",IF($H2472="ENGAGE","Engagé",IF(AND($H2472="NON ENGAGE",OR($I2472="INFRUCTUEUX",$I2472="ANNULE")),"Clôturé sans suite","En cours")))</f>
        <v/>
      </c>
      <c r="N2472">
        <f>IF(ISBLANK('ENGAGEMENTS 2026'!C2472),"",'ENGAGEMENTS 2026'!L2472)</f>
        <v/>
      </c>
      <c r="O2472">
        <f>IF(ISBLANK('ENGAGEMENTS 2026'!C2472),"",'ENGAGEMENTS 2026'!M2472)</f>
        <v/>
      </c>
      <c r="P2472">
        <f>IF(ISBLANK('ENGAGEMENTS 2026'!C2472),"",'ENGAGEMENTS 2026'!K2472)</f>
        <v/>
      </c>
      <c r="Q2472">
        <f>IF($A2472="","",IF(OR($E2472="INFRUCTUEUX",$E2472="ANNULE"),$A2472&amp;"|"&amp;(COUNTIFS($A$2:$A2472,$A2472,$E$2:$E2472,"INFRUCTUEUX")+COUNTIFS($A$2:$A2472,$A2472,$E$2:$E2472,"ANNULE")),""))</f>
        <v/>
      </c>
    </row>
    <row r="2473">
      <c r="A2473">
        <f>IF(ISBLANK('ENGAGEMENTS 2026'!C2473),"",IF('ENGAGEMENTS 2026'!C2473="DTSI","DCT",'ENGAGEMENTS 2026'!C2473))</f>
        <v/>
      </c>
      <c r="B2473">
        <f>IF(ISBLANK('ENGAGEMENTS 2026'!C2473),"",'ENGAGEMENTS 2026'!D2473)</f>
        <v/>
      </c>
      <c r="C2473">
        <f>IF(ISBLANK('ENGAGEMENTS 2026'!C2473),"",'ENGAGEMENTS 2026'!E2473)</f>
        <v/>
      </c>
      <c r="D2473">
        <f>IF(ISBLANK('ENGAGEMENTS 2026'!C2473),"",'ENGAGEMENTS 2026'!G2473)</f>
        <v/>
      </c>
      <c r="E2473">
        <f>IF(ISBLANK('ENGAGEMENTS 2026'!C2473),"",'ENGAGEMENTS 2026'!I2473)</f>
        <v/>
      </c>
      <c r="F2473">
        <f>IF(ISBLANK('ENGAGEMENTS 2026'!C2473),"",'ENGAGEMENTS 2026'!J2473)</f>
        <v/>
      </c>
      <c r="G2473">
        <f>IF(ISBLANK('ENGAGEMENTS 2026'!C2473),"",'ENGAGEMENTS 2026'!M2473)</f>
        <v/>
      </c>
      <c r="H2473">
        <f>IF(ISBLANK('ENGAGEMENTS 2026'!C2473),"",'ENGAGEMENTS 2026'!AF2473)</f>
        <v/>
      </c>
      <c r="I2473">
        <f>IF(ISBLANK('ENGAGEMENTS 2026'!C2473),"",'ENGAGEMENTS 2026'!H2473)</f>
        <v/>
      </c>
      <c r="J2473" s="275">
        <f>IF(ISBLANK('ENGAGEMENTS 2026'!C2473),"",IF(AND(OR($E2473="INFRUCTUEUX",$E2473="ANNULE"),$C2473="AOO-M"),'ENGAGEMENTS 2026'!P2473,IF($H2473="EN COURS DE PREENGAGEMENT",'ENGAGEMENTS 2026'!O2473,IF($H2473="PREENGAGE",IF($E2473="ATTRIBUE",'ENGAGEMENTS 2026'!AE2473,'ENGAGEMENTS 2026'!O2473),'ENGAGEMENTS 2026'!AE2473))))</f>
        <v/>
      </c>
      <c r="K2473" s="604">
        <f>IF(ISBLANK('ENGAGEMENTS 2026'!W2473),"",'ENGAGEMENTS 2026'!W2473)</f>
        <v/>
      </c>
      <c r="L2473" s="276">
        <f>IF($K2473="","",TODAY()-$K2473)</f>
        <v/>
      </c>
      <c r="M2473">
        <f>IF($A2473="","",IF($H2473="ENGAGE","Engagé",IF(AND($H2473="NON ENGAGE",OR($I2473="INFRUCTUEUX",$I2473="ANNULE")),"Clôturé sans suite","En cours")))</f>
        <v/>
      </c>
      <c r="N2473">
        <f>IF(ISBLANK('ENGAGEMENTS 2026'!C2473),"",'ENGAGEMENTS 2026'!L2473)</f>
        <v/>
      </c>
      <c r="O2473">
        <f>IF(ISBLANK('ENGAGEMENTS 2026'!C2473),"",'ENGAGEMENTS 2026'!M2473)</f>
        <v/>
      </c>
      <c r="P2473">
        <f>IF(ISBLANK('ENGAGEMENTS 2026'!C2473),"",'ENGAGEMENTS 2026'!K2473)</f>
        <v/>
      </c>
      <c r="Q2473">
        <f>IF($A2473="","",IF(OR($E2473="INFRUCTUEUX",$E2473="ANNULE"),$A2473&amp;"|"&amp;(COUNTIFS($A$2:$A2473,$A2473,$E$2:$E2473,"INFRUCTUEUX")+COUNTIFS($A$2:$A2473,$A2473,$E$2:$E2473,"ANNULE")),""))</f>
        <v/>
      </c>
    </row>
    <row r="2474">
      <c r="A2474">
        <f>IF(ISBLANK('ENGAGEMENTS 2026'!C2474),"",IF('ENGAGEMENTS 2026'!C2474="DTSI","DCT",'ENGAGEMENTS 2026'!C2474))</f>
        <v/>
      </c>
      <c r="B2474">
        <f>IF(ISBLANK('ENGAGEMENTS 2026'!C2474),"",'ENGAGEMENTS 2026'!D2474)</f>
        <v/>
      </c>
      <c r="C2474">
        <f>IF(ISBLANK('ENGAGEMENTS 2026'!C2474),"",'ENGAGEMENTS 2026'!E2474)</f>
        <v/>
      </c>
      <c r="D2474">
        <f>IF(ISBLANK('ENGAGEMENTS 2026'!C2474),"",'ENGAGEMENTS 2026'!G2474)</f>
        <v/>
      </c>
      <c r="E2474">
        <f>IF(ISBLANK('ENGAGEMENTS 2026'!C2474),"",'ENGAGEMENTS 2026'!I2474)</f>
        <v/>
      </c>
      <c r="F2474">
        <f>IF(ISBLANK('ENGAGEMENTS 2026'!C2474),"",'ENGAGEMENTS 2026'!J2474)</f>
        <v/>
      </c>
      <c r="G2474">
        <f>IF(ISBLANK('ENGAGEMENTS 2026'!C2474),"",'ENGAGEMENTS 2026'!M2474)</f>
        <v/>
      </c>
      <c r="H2474">
        <f>IF(ISBLANK('ENGAGEMENTS 2026'!C2474),"",'ENGAGEMENTS 2026'!AF2474)</f>
        <v/>
      </c>
      <c r="I2474">
        <f>IF(ISBLANK('ENGAGEMENTS 2026'!C2474),"",'ENGAGEMENTS 2026'!H2474)</f>
        <v/>
      </c>
      <c r="J2474" s="275">
        <f>IF(ISBLANK('ENGAGEMENTS 2026'!C2474),"",IF(AND(OR($E2474="INFRUCTUEUX",$E2474="ANNULE"),$C2474="AOO-M"),'ENGAGEMENTS 2026'!P2474,IF($H2474="EN COURS DE PREENGAGEMENT",'ENGAGEMENTS 2026'!O2474,IF($H2474="PREENGAGE",IF($E2474="ATTRIBUE",'ENGAGEMENTS 2026'!AE2474,'ENGAGEMENTS 2026'!O2474),'ENGAGEMENTS 2026'!AE2474))))</f>
        <v/>
      </c>
      <c r="K2474" s="604">
        <f>IF(ISBLANK('ENGAGEMENTS 2026'!W2474),"",'ENGAGEMENTS 2026'!W2474)</f>
        <v/>
      </c>
      <c r="L2474" s="276">
        <f>IF($K2474="","",TODAY()-$K2474)</f>
        <v/>
      </c>
      <c r="M2474">
        <f>IF($A2474="","",IF($H2474="ENGAGE","Engagé",IF(AND($H2474="NON ENGAGE",OR($I2474="INFRUCTUEUX",$I2474="ANNULE")),"Clôturé sans suite","En cours")))</f>
        <v/>
      </c>
      <c r="N2474">
        <f>IF(ISBLANK('ENGAGEMENTS 2026'!C2474),"",'ENGAGEMENTS 2026'!L2474)</f>
        <v/>
      </c>
      <c r="O2474">
        <f>IF(ISBLANK('ENGAGEMENTS 2026'!C2474),"",'ENGAGEMENTS 2026'!M2474)</f>
        <v/>
      </c>
      <c r="P2474">
        <f>IF(ISBLANK('ENGAGEMENTS 2026'!C2474),"",'ENGAGEMENTS 2026'!K2474)</f>
        <v/>
      </c>
      <c r="Q2474">
        <f>IF($A2474="","",IF(OR($E2474="INFRUCTUEUX",$E2474="ANNULE"),$A2474&amp;"|"&amp;(COUNTIFS($A$2:$A2474,$A2474,$E$2:$E2474,"INFRUCTUEUX")+COUNTIFS($A$2:$A2474,$A2474,$E$2:$E2474,"ANNULE")),""))</f>
        <v/>
      </c>
    </row>
    <row r="2475">
      <c r="A2475">
        <f>IF(ISBLANK('ENGAGEMENTS 2026'!C2475),"",IF('ENGAGEMENTS 2026'!C2475="DTSI","DCT",'ENGAGEMENTS 2026'!C2475))</f>
        <v/>
      </c>
      <c r="B2475">
        <f>IF(ISBLANK('ENGAGEMENTS 2026'!C2475),"",'ENGAGEMENTS 2026'!D2475)</f>
        <v/>
      </c>
      <c r="C2475">
        <f>IF(ISBLANK('ENGAGEMENTS 2026'!C2475),"",'ENGAGEMENTS 2026'!E2475)</f>
        <v/>
      </c>
      <c r="D2475">
        <f>IF(ISBLANK('ENGAGEMENTS 2026'!C2475),"",'ENGAGEMENTS 2026'!G2475)</f>
        <v/>
      </c>
      <c r="E2475">
        <f>IF(ISBLANK('ENGAGEMENTS 2026'!C2475),"",'ENGAGEMENTS 2026'!I2475)</f>
        <v/>
      </c>
      <c r="F2475">
        <f>IF(ISBLANK('ENGAGEMENTS 2026'!C2475),"",'ENGAGEMENTS 2026'!J2475)</f>
        <v/>
      </c>
      <c r="G2475">
        <f>IF(ISBLANK('ENGAGEMENTS 2026'!C2475),"",'ENGAGEMENTS 2026'!M2475)</f>
        <v/>
      </c>
      <c r="H2475">
        <f>IF(ISBLANK('ENGAGEMENTS 2026'!C2475),"",'ENGAGEMENTS 2026'!AF2475)</f>
        <v/>
      </c>
      <c r="I2475">
        <f>IF(ISBLANK('ENGAGEMENTS 2026'!C2475),"",'ENGAGEMENTS 2026'!H2475)</f>
        <v/>
      </c>
      <c r="J2475" s="275">
        <f>IF(ISBLANK('ENGAGEMENTS 2026'!C2475),"",IF(AND(OR($E2475="INFRUCTUEUX",$E2475="ANNULE"),$C2475="AOO-M"),'ENGAGEMENTS 2026'!P2475,IF($H2475="EN COURS DE PREENGAGEMENT",'ENGAGEMENTS 2026'!O2475,IF($H2475="PREENGAGE",IF($E2475="ATTRIBUE",'ENGAGEMENTS 2026'!AE2475,'ENGAGEMENTS 2026'!O2475),'ENGAGEMENTS 2026'!AE2475))))</f>
        <v/>
      </c>
      <c r="K2475" s="604">
        <f>IF(ISBLANK('ENGAGEMENTS 2026'!W2475),"",'ENGAGEMENTS 2026'!W2475)</f>
        <v/>
      </c>
      <c r="L2475" s="276">
        <f>IF($K2475="","",TODAY()-$K2475)</f>
        <v/>
      </c>
      <c r="M2475">
        <f>IF($A2475="","",IF($H2475="ENGAGE","Engagé",IF(AND($H2475="NON ENGAGE",OR($I2475="INFRUCTUEUX",$I2475="ANNULE")),"Clôturé sans suite","En cours")))</f>
        <v/>
      </c>
      <c r="N2475">
        <f>IF(ISBLANK('ENGAGEMENTS 2026'!C2475),"",'ENGAGEMENTS 2026'!L2475)</f>
        <v/>
      </c>
      <c r="O2475">
        <f>IF(ISBLANK('ENGAGEMENTS 2026'!C2475),"",'ENGAGEMENTS 2026'!M2475)</f>
        <v/>
      </c>
      <c r="P2475">
        <f>IF(ISBLANK('ENGAGEMENTS 2026'!C2475),"",'ENGAGEMENTS 2026'!K2475)</f>
        <v/>
      </c>
      <c r="Q2475">
        <f>IF($A2475="","",IF(OR($E2475="INFRUCTUEUX",$E2475="ANNULE"),$A2475&amp;"|"&amp;(COUNTIFS($A$2:$A2475,$A2475,$E$2:$E2475,"INFRUCTUEUX")+COUNTIFS($A$2:$A2475,$A2475,$E$2:$E2475,"ANNULE")),""))</f>
        <v/>
      </c>
    </row>
    <row r="2476">
      <c r="A2476">
        <f>IF(ISBLANK('ENGAGEMENTS 2026'!C2476),"",IF('ENGAGEMENTS 2026'!C2476="DTSI","DCT",'ENGAGEMENTS 2026'!C2476))</f>
        <v/>
      </c>
      <c r="B2476">
        <f>IF(ISBLANK('ENGAGEMENTS 2026'!C2476),"",'ENGAGEMENTS 2026'!D2476)</f>
        <v/>
      </c>
      <c r="C2476">
        <f>IF(ISBLANK('ENGAGEMENTS 2026'!C2476),"",'ENGAGEMENTS 2026'!E2476)</f>
        <v/>
      </c>
      <c r="D2476">
        <f>IF(ISBLANK('ENGAGEMENTS 2026'!C2476),"",'ENGAGEMENTS 2026'!G2476)</f>
        <v/>
      </c>
      <c r="E2476">
        <f>IF(ISBLANK('ENGAGEMENTS 2026'!C2476),"",'ENGAGEMENTS 2026'!I2476)</f>
        <v/>
      </c>
      <c r="F2476">
        <f>IF(ISBLANK('ENGAGEMENTS 2026'!C2476),"",'ENGAGEMENTS 2026'!J2476)</f>
        <v/>
      </c>
      <c r="G2476">
        <f>IF(ISBLANK('ENGAGEMENTS 2026'!C2476),"",'ENGAGEMENTS 2026'!M2476)</f>
        <v/>
      </c>
      <c r="H2476">
        <f>IF(ISBLANK('ENGAGEMENTS 2026'!C2476),"",'ENGAGEMENTS 2026'!AF2476)</f>
        <v/>
      </c>
      <c r="I2476">
        <f>IF(ISBLANK('ENGAGEMENTS 2026'!C2476),"",'ENGAGEMENTS 2026'!H2476)</f>
        <v/>
      </c>
      <c r="J2476" s="275">
        <f>IF(ISBLANK('ENGAGEMENTS 2026'!C2476),"",IF(AND(OR($E2476="INFRUCTUEUX",$E2476="ANNULE"),$C2476="AOO-M"),'ENGAGEMENTS 2026'!P2476,IF($H2476="EN COURS DE PREENGAGEMENT",'ENGAGEMENTS 2026'!O2476,IF($H2476="PREENGAGE",IF($E2476="ATTRIBUE",'ENGAGEMENTS 2026'!AE2476,'ENGAGEMENTS 2026'!O2476),'ENGAGEMENTS 2026'!AE2476))))</f>
        <v/>
      </c>
      <c r="K2476" s="604">
        <f>IF(ISBLANK('ENGAGEMENTS 2026'!W2476),"",'ENGAGEMENTS 2026'!W2476)</f>
        <v/>
      </c>
      <c r="L2476" s="276">
        <f>IF($K2476="","",TODAY()-$K2476)</f>
        <v/>
      </c>
      <c r="M2476">
        <f>IF($A2476="","",IF($H2476="ENGAGE","Engagé",IF(AND($H2476="NON ENGAGE",OR($I2476="INFRUCTUEUX",$I2476="ANNULE")),"Clôturé sans suite","En cours")))</f>
        <v/>
      </c>
      <c r="N2476">
        <f>IF(ISBLANK('ENGAGEMENTS 2026'!C2476),"",'ENGAGEMENTS 2026'!L2476)</f>
        <v/>
      </c>
      <c r="O2476">
        <f>IF(ISBLANK('ENGAGEMENTS 2026'!C2476),"",'ENGAGEMENTS 2026'!M2476)</f>
        <v/>
      </c>
      <c r="P2476">
        <f>IF(ISBLANK('ENGAGEMENTS 2026'!C2476),"",'ENGAGEMENTS 2026'!K2476)</f>
        <v/>
      </c>
      <c r="Q2476">
        <f>IF($A2476="","",IF(OR($E2476="INFRUCTUEUX",$E2476="ANNULE"),$A2476&amp;"|"&amp;(COUNTIFS($A$2:$A2476,$A2476,$E$2:$E2476,"INFRUCTUEUX")+COUNTIFS($A$2:$A2476,$A2476,$E$2:$E2476,"ANNULE")),""))</f>
        <v/>
      </c>
    </row>
    <row r="2477">
      <c r="A2477">
        <f>IF(ISBLANK('ENGAGEMENTS 2026'!C2477),"",IF('ENGAGEMENTS 2026'!C2477="DTSI","DCT",'ENGAGEMENTS 2026'!C2477))</f>
        <v/>
      </c>
      <c r="B2477">
        <f>IF(ISBLANK('ENGAGEMENTS 2026'!C2477),"",'ENGAGEMENTS 2026'!D2477)</f>
        <v/>
      </c>
      <c r="C2477">
        <f>IF(ISBLANK('ENGAGEMENTS 2026'!C2477),"",'ENGAGEMENTS 2026'!E2477)</f>
        <v/>
      </c>
      <c r="D2477">
        <f>IF(ISBLANK('ENGAGEMENTS 2026'!C2477),"",'ENGAGEMENTS 2026'!G2477)</f>
        <v/>
      </c>
      <c r="E2477">
        <f>IF(ISBLANK('ENGAGEMENTS 2026'!C2477),"",'ENGAGEMENTS 2026'!I2477)</f>
        <v/>
      </c>
      <c r="F2477">
        <f>IF(ISBLANK('ENGAGEMENTS 2026'!C2477),"",'ENGAGEMENTS 2026'!J2477)</f>
        <v/>
      </c>
      <c r="G2477">
        <f>IF(ISBLANK('ENGAGEMENTS 2026'!C2477),"",'ENGAGEMENTS 2026'!M2477)</f>
        <v/>
      </c>
      <c r="H2477">
        <f>IF(ISBLANK('ENGAGEMENTS 2026'!C2477),"",'ENGAGEMENTS 2026'!AF2477)</f>
        <v/>
      </c>
      <c r="I2477">
        <f>IF(ISBLANK('ENGAGEMENTS 2026'!C2477),"",'ENGAGEMENTS 2026'!H2477)</f>
        <v/>
      </c>
      <c r="J2477" s="275">
        <f>IF(ISBLANK('ENGAGEMENTS 2026'!C2477),"",IF(AND(OR($E2477="INFRUCTUEUX",$E2477="ANNULE"),$C2477="AOO-M"),'ENGAGEMENTS 2026'!P2477,IF($H2477="EN COURS DE PREENGAGEMENT",'ENGAGEMENTS 2026'!O2477,IF($H2477="PREENGAGE",IF($E2477="ATTRIBUE",'ENGAGEMENTS 2026'!AE2477,'ENGAGEMENTS 2026'!O2477),'ENGAGEMENTS 2026'!AE2477))))</f>
        <v/>
      </c>
      <c r="K2477" s="604">
        <f>IF(ISBLANK('ENGAGEMENTS 2026'!W2477),"",'ENGAGEMENTS 2026'!W2477)</f>
        <v/>
      </c>
      <c r="L2477" s="276">
        <f>IF($K2477="","",TODAY()-$K2477)</f>
        <v/>
      </c>
      <c r="M2477">
        <f>IF($A2477="","",IF($H2477="ENGAGE","Engagé",IF(AND($H2477="NON ENGAGE",OR($I2477="INFRUCTUEUX",$I2477="ANNULE")),"Clôturé sans suite","En cours")))</f>
        <v/>
      </c>
      <c r="N2477">
        <f>IF(ISBLANK('ENGAGEMENTS 2026'!C2477),"",'ENGAGEMENTS 2026'!L2477)</f>
        <v/>
      </c>
      <c r="O2477">
        <f>IF(ISBLANK('ENGAGEMENTS 2026'!C2477),"",'ENGAGEMENTS 2026'!M2477)</f>
        <v/>
      </c>
      <c r="P2477">
        <f>IF(ISBLANK('ENGAGEMENTS 2026'!C2477),"",'ENGAGEMENTS 2026'!K2477)</f>
        <v/>
      </c>
      <c r="Q2477">
        <f>IF($A2477="","",IF(OR($E2477="INFRUCTUEUX",$E2477="ANNULE"),$A2477&amp;"|"&amp;(COUNTIFS($A$2:$A2477,$A2477,$E$2:$E2477,"INFRUCTUEUX")+COUNTIFS($A$2:$A2477,$A2477,$E$2:$E2477,"ANNULE")),""))</f>
        <v/>
      </c>
    </row>
    <row r="2478">
      <c r="A2478">
        <f>IF(ISBLANK('ENGAGEMENTS 2026'!C2478),"",IF('ENGAGEMENTS 2026'!C2478="DTSI","DCT",'ENGAGEMENTS 2026'!C2478))</f>
        <v/>
      </c>
      <c r="B2478">
        <f>IF(ISBLANK('ENGAGEMENTS 2026'!C2478),"",'ENGAGEMENTS 2026'!D2478)</f>
        <v/>
      </c>
      <c r="C2478">
        <f>IF(ISBLANK('ENGAGEMENTS 2026'!C2478),"",'ENGAGEMENTS 2026'!E2478)</f>
        <v/>
      </c>
      <c r="D2478">
        <f>IF(ISBLANK('ENGAGEMENTS 2026'!C2478),"",'ENGAGEMENTS 2026'!G2478)</f>
        <v/>
      </c>
      <c r="E2478">
        <f>IF(ISBLANK('ENGAGEMENTS 2026'!C2478),"",'ENGAGEMENTS 2026'!I2478)</f>
        <v/>
      </c>
      <c r="F2478">
        <f>IF(ISBLANK('ENGAGEMENTS 2026'!C2478),"",'ENGAGEMENTS 2026'!J2478)</f>
        <v/>
      </c>
      <c r="G2478">
        <f>IF(ISBLANK('ENGAGEMENTS 2026'!C2478),"",'ENGAGEMENTS 2026'!M2478)</f>
        <v/>
      </c>
      <c r="H2478">
        <f>IF(ISBLANK('ENGAGEMENTS 2026'!C2478),"",'ENGAGEMENTS 2026'!AF2478)</f>
        <v/>
      </c>
      <c r="I2478">
        <f>IF(ISBLANK('ENGAGEMENTS 2026'!C2478),"",'ENGAGEMENTS 2026'!H2478)</f>
        <v/>
      </c>
      <c r="J2478" s="275">
        <f>IF(ISBLANK('ENGAGEMENTS 2026'!C2478),"",IF(AND(OR($E2478="INFRUCTUEUX",$E2478="ANNULE"),$C2478="AOO-M"),'ENGAGEMENTS 2026'!P2478,IF($H2478="EN COURS DE PREENGAGEMENT",'ENGAGEMENTS 2026'!O2478,IF($H2478="PREENGAGE",IF($E2478="ATTRIBUE",'ENGAGEMENTS 2026'!AE2478,'ENGAGEMENTS 2026'!O2478),'ENGAGEMENTS 2026'!AE2478))))</f>
        <v/>
      </c>
      <c r="K2478" s="604">
        <f>IF(ISBLANK('ENGAGEMENTS 2026'!W2478),"",'ENGAGEMENTS 2026'!W2478)</f>
        <v/>
      </c>
      <c r="L2478" s="276">
        <f>IF($K2478="","",TODAY()-$K2478)</f>
        <v/>
      </c>
      <c r="M2478">
        <f>IF($A2478="","",IF($H2478="ENGAGE","Engagé",IF(AND($H2478="NON ENGAGE",OR($I2478="INFRUCTUEUX",$I2478="ANNULE")),"Clôturé sans suite","En cours")))</f>
        <v/>
      </c>
      <c r="N2478">
        <f>IF(ISBLANK('ENGAGEMENTS 2026'!C2478),"",'ENGAGEMENTS 2026'!L2478)</f>
        <v/>
      </c>
      <c r="O2478">
        <f>IF(ISBLANK('ENGAGEMENTS 2026'!C2478),"",'ENGAGEMENTS 2026'!M2478)</f>
        <v/>
      </c>
      <c r="P2478">
        <f>IF(ISBLANK('ENGAGEMENTS 2026'!C2478),"",'ENGAGEMENTS 2026'!K2478)</f>
        <v/>
      </c>
      <c r="Q2478">
        <f>IF($A2478="","",IF(OR($E2478="INFRUCTUEUX",$E2478="ANNULE"),$A2478&amp;"|"&amp;(COUNTIFS($A$2:$A2478,$A2478,$E$2:$E2478,"INFRUCTUEUX")+COUNTIFS($A$2:$A2478,$A2478,$E$2:$E2478,"ANNULE")),""))</f>
        <v/>
      </c>
    </row>
    <row r="2479">
      <c r="A2479">
        <f>IF(ISBLANK('ENGAGEMENTS 2026'!C2479),"",IF('ENGAGEMENTS 2026'!C2479="DTSI","DCT",'ENGAGEMENTS 2026'!C2479))</f>
        <v/>
      </c>
      <c r="B2479">
        <f>IF(ISBLANK('ENGAGEMENTS 2026'!C2479),"",'ENGAGEMENTS 2026'!D2479)</f>
        <v/>
      </c>
      <c r="C2479">
        <f>IF(ISBLANK('ENGAGEMENTS 2026'!C2479),"",'ENGAGEMENTS 2026'!E2479)</f>
        <v/>
      </c>
      <c r="D2479">
        <f>IF(ISBLANK('ENGAGEMENTS 2026'!C2479),"",'ENGAGEMENTS 2026'!G2479)</f>
        <v/>
      </c>
      <c r="E2479">
        <f>IF(ISBLANK('ENGAGEMENTS 2026'!C2479),"",'ENGAGEMENTS 2026'!I2479)</f>
        <v/>
      </c>
      <c r="F2479">
        <f>IF(ISBLANK('ENGAGEMENTS 2026'!C2479),"",'ENGAGEMENTS 2026'!J2479)</f>
        <v/>
      </c>
      <c r="G2479">
        <f>IF(ISBLANK('ENGAGEMENTS 2026'!C2479),"",'ENGAGEMENTS 2026'!M2479)</f>
        <v/>
      </c>
      <c r="H2479">
        <f>IF(ISBLANK('ENGAGEMENTS 2026'!C2479),"",'ENGAGEMENTS 2026'!AF2479)</f>
        <v/>
      </c>
      <c r="I2479">
        <f>IF(ISBLANK('ENGAGEMENTS 2026'!C2479),"",'ENGAGEMENTS 2026'!H2479)</f>
        <v/>
      </c>
      <c r="J2479" s="275">
        <f>IF(ISBLANK('ENGAGEMENTS 2026'!C2479),"",IF(AND(OR($E2479="INFRUCTUEUX",$E2479="ANNULE"),$C2479="AOO-M"),'ENGAGEMENTS 2026'!P2479,IF($H2479="EN COURS DE PREENGAGEMENT",'ENGAGEMENTS 2026'!O2479,IF($H2479="PREENGAGE",IF($E2479="ATTRIBUE",'ENGAGEMENTS 2026'!AE2479,'ENGAGEMENTS 2026'!O2479),'ENGAGEMENTS 2026'!AE2479))))</f>
        <v/>
      </c>
      <c r="K2479" s="604">
        <f>IF(ISBLANK('ENGAGEMENTS 2026'!W2479),"",'ENGAGEMENTS 2026'!W2479)</f>
        <v/>
      </c>
      <c r="L2479" s="276">
        <f>IF($K2479="","",TODAY()-$K2479)</f>
        <v/>
      </c>
      <c r="M2479">
        <f>IF($A2479="","",IF($H2479="ENGAGE","Engagé",IF(AND($H2479="NON ENGAGE",OR($I2479="INFRUCTUEUX",$I2479="ANNULE")),"Clôturé sans suite","En cours")))</f>
        <v/>
      </c>
      <c r="N2479">
        <f>IF(ISBLANK('ENGAGEMENTS 2026'!C2479),"",'ENGAGEMENTS 2026'!L2479)</f>
        <v/>
      </c>
      <c r="O2479">
        <f>IF(ISBLANK('ENGAGEMENTS 2026'!C2479),"",'ENGAGEMENTS 2026'!M2479)</f>
        <v/>
      </c>
      <c r="P2479">
        <f>IF(ISBLANK('ENGAGEMENTS 2026'!C2479),"",'ENGAGEMENTS 2026'!K2479)</f>
        <v/>
      </c>
      <c r="Q2479">
        <f>IF($A2479="","",IF(OR($E2479="INFRUCTUEUX",$E2479="ANNULE"),$A2479&amp;"|"&amp;(COUNTIFS($A$2:$A2479,$A2479,$E$2:$E2479,"INFRUCTUEUX")+COUNTIFS($A$2:$A2479,$A2479,$E$2:$E2479,"ANNULE")),""))</f>
        <v/>
      </c>
    </row>
    <row r="2480">
      <c r="A2480">
        <f>IF(ISBLANK('ENGAGEMENTS 2026'!C2480),"",IF('ENGAGEMENTS 2026'!C2480="DTSI","DCT",'ENGAGEMENTS 2026'!C2480))</f>
        <v/>
      </c>
      <c r="B2480">
        <f>IF(ISBLANK('ENGAGEMENTS 2026'!C2480),"",'ENGAGEMENTS 2026'!D2480)</f>
        <v/>
      </c>
      <c r="C2480">
        <f>IF(ISBLANK('ENGAGEMENTS 2026'!C2480),"",'ENGAGEMENTS 2026'!E2480)</f>
        <v/>
      </c>
      <c r="D2480">
        <f>IF(ISBLANK('ENGAGEMENTS 2026'!C2480),"",'ENGAGEMENTS 2026'!G2480)</f>
        <v/>
      </c>
      <c r="E2480">
        <f>IF(ISBLANK('ENGAGEMENTS 2026'!C2480),"",'ENGAGEMENTS 2026'!I2480)</f>
        <v/>
      </c>
      <c r="F2480">
        <f>IF(ISBLANK('ENGAGEMENTS 2026'!C2480),"",'ENGAGEMENTS 2026'!J2480)</f>
        <v/>
      </c>
      <c r="G2480">
        <f>IF(ISBLANK('ENGAGEMENTS 2026'!C2480),"",'ENGAGEMENTS 2026'!M2480)</f>
        <v/>
      </c>
      <c r="H2480">
        <f>IF(ISBLANK('ENGAGEMENTS 2026'!C2480),"",'ENGAGEMENTS 2026'!AF2480)</f>
        <v/>
      </c>
      <c r="I2480">
        <f>IF(ISBLANK('ENGAGEMENTS 2026'!C2480),"",'ENGAGEMENTS 2026'!H2480)</f>
        <v/>
      </c>
      <c r="J2480" s="275">
        <f>IF(ISBLANK('ENGAGEMENTS 2026'!C2480),"",IF(AND(OR($E2480="INFRUCTUEUX",$E2480="ANNULE"),$C2480="AOO-M"),'ENGAGEMENTS 2026'!P2480,IF($H2480="EN COURS DE PREENGAGEMENT",'ENGAGEMENTS 2026'!O2480,IF($H2480="PREENGAGE",IF($E2480="ATTRIBUE",'ENGAGEMENTS 2026'!AE2480,'ENGAGEMENTS 2026'!O2480),'ENGAGEMENTS 2026'!AE2480))))</f>
        <v/>
      </c>
      <c r="K2480" s="604">
        <f>IF(ISBLANK('ENGAGEMENTS 2026'!W2480),"",'ENGAGEMENTS 2026'!W2480)</f>
        <v/>
      </c>
      <c r="L2480" s="276">
        <f>IF($K2480="","",TODAY()-$K2480)</f>
        <v/>
      </c>
      <c r="M2480">
        <f>IF($A2480="","",IF($H2480="ENGAGE","Engagé",IF(AND($H2480="NON ENGAGE",OR($I2480="INFRUCTUEUX",$I2480="ANNULE")),"Clôturé sans suite","En cours")))</f>
        <v/>
      </c>
      <c r="N2480">
        <f>IF(ISBLANK('ENGAGEMENTS 2026'!C2480),"",'ENGAGEMENTS 2026'!L2480)</f>
        <v/>
      </c>
      <c r="O2480">
        <f>IF(ISBLANK('ENGAGEMENTS 2026'!C2480),"",'ENGAGEMENTS 2026'!M2480)</f>
        <v/>
      </c>
      <c r="P2480">
        <f>IF(ISBLANK('ENGAGEMENTS 2026'!C2480),"",'ENGAGEMENTS 2026'!K2480)</f>
        <v/>
      </c>
      <c r="Q2480">
        <f>IF($A2480="","",IF(OR($E2480="INFRUCTUEUX",$E2480="ANNULE"),$A2480&amp;"|"&amp;(COUNTIFS($A$2:$A2480,$A2480,$E$2:$E2480,"INFRUCTUEUX")+COUNTIFS($A$2:$A2480,$A2480,$E$2:$E2480,"ANNULE")),""))</f>
        <v/>
      </c>
    </row>
    <row r="2481">
      <c r="A2481">
        <f>IF(ISBLANK('ENGAGEMENTS 2026'!C2481),"",IF('ENGAGEMENTS 2026'!C2481="DTSI","DCT",'ENGAGEMENTS 2026'!C2481))</f>
        <v/>
      </c>
      <c r="B2481">
        <f>IF(ISBLANK('ENGAGEMENTS 2026'!C2481),"",'ENGAGEMENTS 2026'!D2481)</f>
        <v/>
      </c>
      <c r="C2481">
        <f>IF(ISBLANK('ENGAGEMENTS 2026'!C2481),"",'ENGAGEMENTS 2026'!E2481)</f>
        <v/>
      </c>
      <c r="D2481">
        <f>IF(ISBLANK('ENGAGEMENTS 2026'!C2481),"",'ENGAGEMENTS 2026'!G2481)</f>
        <v/>
      </c>
      <c r="E2481">
        <f>IF(ISBLANK('ENGAGEMENTS 2026'!C2481),"",'ENGAGEMENTS 2026'!I2481)</f>
        <v/>
      </c>
      <c r="F2481">
        <f>IF(ISBLANK('ENGAGEMENTS 2026'!C2481),"",'ENGAGEMENTS 2026'!J2481)</f>
        <v/>
      </c>
      <c r="G2481">
        <f>IF(ISBLANK('ENGAGEMENTS 2026'!C2481),"",'ENGAGEMENTS 2026'!M2481)</f>
        <v/>
      </c>
      <c r="H2481">
        <f>IF(ISBLANK('ENGAGEMENTS 2026'!C2481),"",'ENGAGEMENTS 2026'!AF2481)</f>
        <v/>
      </c>
      <c r="I2481">
        <f>IF(ISBLANK('ENGAGEMENTS 2026'!C2481),"",'ENGAGEMENTS 2026'!H2481)</f>
        <v/>
      </c>
      <c r="J2481" s="275">
        <f>IF(ISBLANK('ENGAGEMENTS 2026'!C2481),"",IF(AND(OR($E2481="INFRUCTUEUX",$E2481="ANNULE"),$C2481="AOO-M"),'ENGAGEMENTS 2026'!P2481,IF($H2481="EN COURS DE PREENGAGEMENT",'ENGAGEMENTS 2026'!O2481,IF($H2481="PREENGAGE",IF($E2481="ATTRIBUE",'ENGAGEMENTS 2026'!AE2481,'ENGAGEMENTS 2026'!O2481),'ENGAGEMENTS 2026'!AE2481))))</f>
        <v/>
      </c>
      <c r="K2481" s="604">
        <f>IF(ISBLANK('ENGAGEMENTS 2026'!W2481),"",'ENGAGEMENTS 2026'!W2481)</f>
        <v/>
      </c>
      <c r="L2481" s="276">
        <f>IF($K2481="","",TODAY()-$K2481)</f>
        <v/>
      </c>
      <c r="M2481">
        <f>IF($A2481="","",IF($H2481="ENGAGE","Engagé",IF(AND($H2481="NON ENGAGE",OR($I2481="INFRUCTUEUX",$I2481="ANNULE")),"Clôturé sans suite","En cours")))</f>
        <v/>
      </c>
      <c r="N2481">
        <f>IF(ISBLANK('ENGAGEMENTS 2026'!C2481),"",'ENGAGEMENTS 2026'!L2481)</f>
        <v/>
      </c>
      <c r="O2481">
        <f>IF(ISBLANK('ENGAGEMENTS 2026'!C2481),"",'ENGAGEMENTS 2026'!M2481)</f>
        <v/>
      </c>
      <c r="P2481">
        <f>IF(ISBLANK('ENGAGEMENTS 2026'!C2481),"",'ENGAGEMENTS 2026'!K2481)</f>
        <v/>
      </c>
      <c r="Q2481">
        <f>IF($A2481="","",IF(OR($E2481="INFRUCTUEUX",$E2481="ANNULE"),$A2481&amp;"|"&amp;(COUNTIFS($A$2:$A2481,$A2481,$E$2:$E2481,"INFRUCTUEUX")+COUNTIFS($A$2:$A2481,$A2481,$E$2:$E2481,"ANNULE")),""))</f>
        <v/>
      </c>
    </row>
    <row r="2482">
      <c r="A2482">
        <f>IF(ISBLANK('ENGAGEMENTS 2026'!C2482),"",IF('ENGAGEMENTS 2026'!C2482="DTSI","DCT",'ENGAGEMENTS 2026'!C2482))</f>
        <v/>
      </c>
      <c r="B2482">
        <f>IF(ISBLANK('ENGAGEMENTS 2026'!C2482),"",'ENGAGEMENTS 2026'!D2482)</f>
        <v/>
      </c>
      <c r="C2482">
        <f>IF(ISBLANK('ENGAGEMENTS 2026'!C2482),"",'ENGAGEMENTS 2026'!E2482)</f>
        <v/>
      </c>
      <c r="D2482">
        <f>IF(ISBLANK('ENGAGEMENTS 2026'!C2482),"",'ENGAGEMENTS 2026'!G2482)</f>
        <v/>
      </c>
      <c r="E2482">
        <f>IF(ISBLANK('ENGAGEMENTS 2026'!C2482),"",'ENGAGEMENTS 2026'!I2482)</f>
        <v/>
      </c>
      <c r="F2482">
        <f>IF(ISBLANK('ENGAGEMENTS 2026'!C2482),"",'ENGAGEMENTS 2026'!J2482)</f>
        <v/>
      </c>
      <c r="G2482">
        <f>IF(ISBLANK('ENGAGEMENTS 2026'!C2482),"",'ENGAGEMENTS 2026'!M2482)</f>
        <v/>
      </c>
      <c r="H2482">
        <f>IF(ISBLANK('ENGAGEMENTS 2026'!C2482),"",'ENGAGEMENTS 2026'!AF2482)</f>
        <v/>
      </c>
      <c r="I2482">
        <f>IF(ISBLANK('ENGAGEMENTS 2026'!C2482),"",'ENGAGEMENTS 2026'!H2482)</f>
        <v/>
      </c>
      <c r="J2482" s="275">
        <f>IF(ISBLANK('ENGAGEMENTS 2026'!C2482),"",IF(AND(OR($E2482="INFRUCTUEUX",$E2482="ANNULE"),$C2482="AOO-M"),'ENGAGEMENTS 2026'!P2482,IF($H2482="EN COURS DE PREENGAGEMENT",'ENGAGEMENTS 2026'!O2482,IF($H2482="PREENGAGE",IF($E2482="ATTRIBUE",'ENGAGEMENTS 2026'!AE2482,'ENGAGEMENTS 2026'!O2482),'ENGAGEMENTS 2026'!AE2482))))</f>
        <v/>
      </c>
      <c r="K2482" s="604">
        <f>IF(ISBLANK('ENGAGEMENTS 2026'!W2482),"",'ENGAGEMENTS 2026'!W2482)</f>
        <v/>
      </c>
      <c r="L2482" s="276">
        <f>IF($K2482="","",TODAY()-$K2482)</f>
        <v/>
      </c>
      <c r="M2482">
        <f>IF($A2482="","",IF($H2482="ENGAGE","Engagé",IF(AND($H2482="NON ENGAGE",OR($I2482="INFRUCTUEUX",$I2482="ANNULE")),"Clôturé sans suite","En cours")))</f>
        <v/>
      </c>
      <c r="N2482">
        <f>IF(ISBLANK('ENGAGEMENTS 2026'!C2482),"",'ENGAGEMENTS 2026'!L2482)</f>
        <v/>
      </c>
      <c r="O2482">
        <f>IF(ISBLANK('ENGAGEMENTS 2026'!C2482),"",'ENGAGEMENTS 2026'!M2482)</f>
        <v/>
      </c>
      <c r="P2482">
        <f>IF(ISBLANK('ENGAGEMENTS 2026'!C2482),"",'ENGAGEMENTS 2026'!K2482)</f>
        <v/>
      </c>
      <c r="Q2482">
        <f>IF($A2482="","",IF(OR($E2482="INFRUCTUEUX",$E2482="ANNULE"),$A2482&amp;"|"&amp;(COUNTIFS($A$2:$A2482,$A2482,$E$2:$E2482,"INFRUCTUEUX")+COUNTIFS($A$2:$A2482,$A2482,$E$2:$E2482,"ANNULE")),""))</f>
        <v/>
      </c>
    </row>
    <row r="2483">
      <c r="A2483">
        <f>IF(ISBLANK('ENGAGEMENTS 2026'!C2483),"",IF('ENGAGEMENTS 2026'!C2483="DTSI","DCT",'ENGAGEMENTS 2026'!C2483))</f>
        <v/>
      </c>
      <c r="B2483">
        <f>IF(ISBLANK('ENGAGEMENTS 2026'!C2483),"",'ENGAGEMENTS 2026'!D2483)</f>
        <v/>
      </c>
      <c r="C2483">
        <f>IF(ISBLANK('ENGAGEMENTS 2026'!C2483),"",'ENGAGEMENTS 2026'!E2483)</f>
        <v/>
      </c>
      <c r="D2483">
        <f>IF(ISBLANK('ENGAGEMENTS 2026'!C2483),"",'ENGAGEMENTS 2026'!G2483)</f>
        <v/>
      </c>
      <c r="E2483">
        <f>IF(ISBLANK('ENGAGEMENTS 2026'!C2483),"",'ENGAGEMENTS 2026'!I2483)</f>
        <v/>
      </c>
      <c r="F2483">
        <f>IF(ISBLANK('ENGAGEMENTS 2026'!C2483),"",'ENGAGEMENTS 2026'!J2483)</f>
        <v/>
      </c>
      <c r="G2483">
        <f>IF(ISBLANK('ENGAGEMENTS 2026'!C2483),"",'ENGAGEMENTS 2026'!M2483)</f>
        <v/>
      </c>
      <c r="H2483">
        <f>IF(ISBLANK('ENGAGEMENTS 2026'!C2483),"",'ENGAGEMENTS 2026'!AF2483)</f>
        <v/>
      </c>
      <c r="I2483">
        <f>IF(ISBLANK('ENGAGEMENTS 2026'!C2483),"",'ENGAGEMENTS 2026'!H2483)</f>
        <v/>
      </c>
      <c r="J2483" s="275">
        <f>IF(ISBLANK('ENGAGEMENTS 2026'!C2483),"",IF(AND(OR($E2483="INFRUCTUEUX",$E2483="ANNULE"),$C2483="AOO-M"),'ENGAGEMENTS 2026'!P2483,IF($H2483="EN COURS DE PREENGAGEMENT",'ENGAGEMENTS 2026'!O2483,IF($H2483="PREENGAGE",IF($E2483="ATTRIBUE",'ENGAGEMENTS 2026'!AE2483,'ENGAGEMENTS 2026'!O2483),'ENGAGEMENTS 2026'!AE2483))))</f>
        <v/>
      </c>
      <c r="K2483" s="604">
        <f>IF(ISBLANK('ENGAGEMENTS 2026'!W2483),"",'ENGAGEMENTS 2026'!W2483)</f>
        <v/>
      </c>
      <c r="L2483" s="276">
        <f>IF($K2483="","",TODAY()-$K2483)</f>
        <v/>
      </c>
      <c r="M2483">
        <f>IF($A2483="","",IF($H2483="ENGAGE","Engagé",IF(AND($H2483="NON ENGAGE",OR($I2483="INFRUCTUEUX",$I2483="ANNULE")),"Clôturé sans suite","En cours")))</f>
        <v/>
      </c>
      <c r="N2483">
        <f>IF(ISBLANK('ENGAGEMENTS 2026'!C2483),"",'ENGAGEMENTS 2026'!L2483)</f>
        <v/>
      </c>
      <c r="O2483">
        <f>IF(ISBLANK('ENGAGEMENTS 2026'!C2483),"",'ENGAGEMENTS 2026'!M2483)</f>
        <v/>
      </c>
      <c r="P2483">
        <f>IF(ISBLANK('ENGAGEMENTS 2026'!C2483),"",'ENGAGEMENTS 2026'!K2483)</f>
        <v/>
      </c>
      <c r="Q2483">
        <f>IF($A2483="","",IF(OR($E2483="INFRUCTUEUX",$E2483="ANNULE"),$A2483&amp;"|"&amp;(COUNTIFS($A$2:$A2483,$A2483,$E$2:$E2483,"INFRUCTUEUX")+COUNTIFS($A$2:$A2483,$A2483,$E$2:$E2483,"ANNULE")),""))</f>
        <v/>
      </c>
    </row>
    <row r="2484">
      <c r="A2484">
        <f>IF(ISBLANK('ENGAGEMENTS 2026'!C2484),"",IF('ENGAGEMENTS 2026'!C2484="DTSI","DCT",'ENGAGEMENTS 2026'!C2484))</f>
        <v/>
      </c>
      <c r="B2484">
        <f>IF(ISBLANK('ENGAGEMENTS 2026'!C2484),"",'ENGAGEMENTS 2026'!D2484)</f>
        <v/>
      </c>
      <c r="C2484">
        <f>IF(ISBLANK('ENGAGEMENTS 2026'!C2484),"",'ENGAGEMENTS 2026'!E2484)</f>
        <v/>
      </c>
      <c r="D2484">
        <f>IF(ISBLANK('ENGAGEMENTS 2026'!C2484),"",'ENGAGEMENTS 2026'!G2484)</f>
        <v/>
      </c>
      <c r="E2484">
        <f>IF(ISBLANK('ENGAGEMENTS 2026'!C2484),"",'ENGAGEMENTS 2026'!I2484)</f>
        <v/>
      </c>
      <c r="F2484">
        <f>IF(ISBLANK('ENGAGEMENTS 2026'!C2484),"",'ENGAGEMENTS 2026'!J2484)</f>
        <v/>
      </c>
      <c r="G2484">
        <f>IF(ISBLANK('ENGAGEMENTS 2026'!C2484),"",'ENGAGEMENTS 2026'!M2484)</f>
        <v/>
      </c>
      <c r="H2484">
        <f>IF(ISBLANK('ENGAGEMENTS 2026'!C2484),"",'ENGAGEMENTS 2026'!AF2484)</f>
        <v/>
      </c>
      <c r="I2484">
        <f>IF(ISBLANK('ENGAGEMENTS 2026'!C2484),"",'ENGAGEMENTS 2026'!H2484)</f>
        <v/>
      </c>
      <c r="J2484" s="275">
        <f>IF(ISBLANK('ENGAGEMENTS 2026'!C2484),"",IF(AND(OR($E2484="INFRUCTUEUX",$E2484="ANNULE"),$C2484="AOO-M"),'ENGAGEMENTS 2026'!P2484,IF($H2484="EN COURS DE PREENGAGEMENT",'ENGAGEMENTS 2026'!O2484,IF($H2484="PREENGAGE",IF($E2484="ATTRIBUE",'ENGAGEMENTS 2026'!AE2484,'ENGAGEMENTS 2026'!O2484),'ENGAGEMENTS 2026'!AE2484))))</f>
        <v/>
      </c>
      <c r="K2484" s="604">
        <f>IF(ISBLANK('ENGAGEMENTS 2026'!W2484),"",'ENGAGEMENTS 2026'!W2484)</f>
        <v/>
      </c>
      <c r="L2484" s="276">
        <f>IF($K2484="","",TODAY()-$K2484)</f>
        <v/>
      </c>
      <c r="M2484">
        <f>IF($A2484="","",IF($H2484="ENGAGE","Engagé",IF(AND($H2484="NON ENGAGE",OR($I2484="INFRUCTUEUX",$I2484="ANNULE")),"Clôturé sans suite","En cours")))</f>
        <v/>
      </c>
      <c r="N2484">
        <f>IF(ISBLANK('ENGAGEMENTS 2026'!C2484),"",'ENGAGEMENTS 2026'!L2484)</f>
        <v/>
      </c>
      <c r="O2484">
        <f>IF(ISBLANK('ENGAGEMENTS 2026'!C2484),"",'ENGAGEMENTS 2026'!M2484)</f>
        <v/>
      </c>
      <c r="P2484">
        <f>IF(ISBLANK('ENGAGEMENTS 2026'!C2484),"",'ENGAGEMENTS 2026'!K2484)</f>
        <v/>
      </c>
      <c r="Q2484">
        <f>IF($A2484="","",IF(OR($E2484="INFRUCTUEUX",$E2484="ANNULE"),$A2484&amp;"|"&amp;(COUNTIFS($A$2:$A2484,$A2484,$E$2:$E2484,"INFRUCTUEUX")+COUNTIFS($A$2:$A2484,$A2484,$E$2:$E2484,"ANNULE")),""))</f>
        <v/>
      </c>
    </row>
    <row r="2485">
      <c r="A2485">
        <f>IF(ISBLANK('ENGAGEMENTS 2026'!C2485),"",IF('ENGAGEMENTS 2026'!C2485="DTSI","DCT",'ENGAGEMENTS 2026'!C2485))</f>
        <v/>
      </c>
      <c r="B2485">
        <f>IF(ISBLANK('ENGAGEMENTS 2026'!C2485),"",'ENGAGEMENTS 2026'!D2485)</f>
        <v/>
      </c>
      <c r="C2485">
        <f>IF(ISBLANK('ENGAGEMENTS 2026'!C2485),"",'ENGAGEMENTS 2026'!E2485)</f>
        <v/>
      </c>
      <c r="D2485">
        <f>IF(ISBLANK('ENGAGEMENTS 2026'!C2485),"",'ENGAGEMENTS 2026'!G2485)</f>
        <v/>
      </c>
      <c r="E2485">
        <f>IF(ISBLANK('ENGAGEMENTS 2026'!C2485),"",'ENGAGEMENTS 2026'!I2485)</f>
        <v/>
      </c>
      <c r="F2485">
        <f>IF(ISBLANK('ENGAGEMENTS 2026'!C2485),"",'ENGAGEMENTS 2026'!J2485)</f>
        <v/>
      </c>
      <c r="G2485">
        <f>IF(ISBLANK('ENGAGEMENTS 2026'!C2485),"",'ENGAGEMENTS 2026'!M2485)</f>
        <v/>
      </c>
      <c r="H2485">
        <f>IF(ISBLANK('ENGAGEMENTS 2026'!C2485),"",'ENGAGEMENTS 2026'!AF2485)</f>
        <v/>
      </c>
      <c r="I2485">
        <f>IF(ISBLANK('ENGAGEMENTS 2026'!C2485),"",'ENGAGEMENTS 2026'!H2485)</f>
        <v/>
      </c>
      <c r="J2485" s="275">
        <f>IF(ISBLANK('ENGAGEMENTS 2026'!C2485),"",IF(AND(OR($E2485="INFRUCTUEUX",$E2485="ANNULE"),$C2485="AOO-M"),'ENGAGEMENTS 2026'!P2485,IF($H2485="EN COURS DE PREENGAGEMENT",'ENGAGEMENTS 2026'!O2485,IF($H2485="PREENGAGE",IF($E2485="ATTRIBUE",'ENGAGEMENTS 2026'!AE2485,'ENGAGEMENTS 2026'!O2485),'ENGAGEMENTS 2026'!AE2485))))</f>
        <v/>
      </c>
      <c r="K2485" s="604">
        <f>IF(ISBLANK('ENGAGEMENTS 2026'!W2485),"",'ENGAGEMENTS 2026'!W2485)</f>
        <v/>
      </c>
      <c r="L2485" s="276">
        <f>IF($K2485="","",TODAY()-$K2485)</f>
        <v/>
      </c>
      <c r="M2485">
        <f>IF($A2485="","",IF($H2485="ENGAGE","Engagé",IF(AND($H2485="NON ENGAGE",OR($I2485="INFRUCTUEUX",$I2485="ANNULE")),"Clôturé sans suite","En cours")))</f>
        <v/>
      </c>
      <c r="N2485">
        <f>IF(ISBLANK('ENGAGEMENTS 2026'!C2485),"",'ENGAGEMENTS 2026'!L2485)</f>
        <v/>
      </c>
      <c r="O2485">
        <f>IF(ISBLANK('ENGAGEMENTS 2026'!C2485),"",'ENGAGEMENTS 2026'!M2485)</f>
        <v/>
      </c>
      <c r="P2485">
        <f>IF(ISBLANK('ENGAGEMENTS 2026'!C2485),"",'ENGAGEMENTS 2026'!K2485)</f>
        <v/>
      </c>
      <c r="Q2485">
        <f>IF($A2485="","",IF(OR($E2485="INFRUCTUEUX",$E2485="ANNULE"),$A2485&amp;"|"&amp;(COUNTIFS($A$2:$A2485,$A2485,$E$2:$E2485,"INFRUCTUEUX")+COUNTIFS($A$2:$A2485,$A2485,$E$2:$E2485,"ANNULE")),""))</f>
        <v/>
      </c>
    </row>
    <row r="2486">
      <c r="A2486">
        <f>IF(ISBLANK('ENGAGEMENTS 2026'!C2486),"",IF('ENGAGEMENTS 2026'!C2486="DTSI","DCT",'ENGAGEMENTS 2026'!C2486))</f>
        <v/>
      </c>
      <c r="B2486">
        <f>IF(ISBLANK('ENGAGEMENTS 2026'!C2486),"",'ENGAGEMENTS 2026'!D2486)</f>
        <v/>
      </c>
      <c r="C2486">
        <f>IF(ISBLANK('ENGAGEMENTS 2026'!C2486),"",'ENGAGEMENTS 2026'!E2486)</f>
        <v/>
      </c>
      <c r="D2486">
        <f>IF(ISBLANK('ENGAGEMENTS 2026'!C2486),"",'ENGAGEMENTS 2026'!G2486)</f>
        <v/>
      </c>
      <c r="E2486">
        <f>IF(ISBLANK('ENGAGEMENTS 2026'!C2486),"",'ENGAGEMENTS 2026'!I2486)</f>
        <v/>
      </c>
      <c r="F2486">
        <f>IF(ISBLANK('ENGAGEMENTS 2026'!C2486),"",'ENGAGEMENTS 2026'!J2486)</f>
        <v/>
      </c>
      <c r="G2486">
        <f>IF(ISBLANK('ENGAGEMENTS 2026'!C2486),"",'ENGAGEMENTS 2026'!M2486)</f>
        <v/>
      </c>
      <c r="H2486">
        <f>IF(ISBLANK('ENGAGEMENTS 2026'!C2486),"",'ENGAGEMENTS 2026'!AF2486)</f>
        <v/>
      </c>
      <c r="I2486">
        <f>IF(ISBLANK('ENGAGEMENTS 2026'!C2486),"",'ENGAGEMENTS 2026'!H2486)</f>
        <v/>
      </c>
      <c r="J2486" s="275">
        <f>IF(ISBLANK('ENGAGEMENTS 2026'!C2486),"",IF(AND(OR($E2486="INFRUCTUEUX",$E2486="ANNULE"),$C2486="AOO-M"),'ENGAGEMENTS 2026'!P2486,IF($H2486="EN COURS DE PREENGAGEMENT",'ENGAGEMENTS 2026'!O2486,IF($H2486="PREENGAGE",IF($E2486="ATTRIBUE",'ENGAGEMENTS 2026'!AE2486,'ENGAGEMENTS 2026'!O2486),'ENGAGEMENTS 2026'!AE2486))))</f>
        <v/>
      </c>
      <c r="K2486" s="604">
        <f>IF(ISBLANK('ENGAGEMENTS 2026'!W2486),"",'ENGAGEMENTS 2026'!W2486)</f>
        <v/>
      </c>
      <c r="L2486" s="276">
        <f>IF($K2486="","",TODAY()-$K2486)</f>
        <v/>
      </c>
      <c r="M2486">
        <f>IF($A2486="","",IF($H2486="ENGAGE","Engagé",IF(AND($H2486="NON ENGAGE",OR($I2486="INFRUCTUEUX",$I2486="ANNULE")),"Clôturé sans suite","En cours")))</f>
        <v/>
      </c>
      <c r="N2486">
        <f>IF(ISBLANK('ENGAGEMENTS 2026'!C2486),"",'ENGAGEMENTS 2026'!L2486)</f>
        <v/>
      </c>
      <c r="O2486">
        <f>IF(ISBLANK('ENGAGEMENTS 2026'!C2486),"",'ENGAGEMENTS 2026'!M2486)</f>
        <v/>
      </c>
      <c r="P2486">
        <f>IF(ISBLANK('ENGAGEMENTS 2026'!C2486),"",'ENGAGEMENTS 2026'!K2486)</f>
        <v/>
      </c>
      <c r="Q2486">
        <f>IF($A2486="","",IF(OR($E2486="INFRUCTUEUX",$E2486="ANNULE"),$A2486&amp;"|"&amp;(COUNTIFS($A$2:$A2486,$A2486,$E$2:$E2486,"INFRUCTUEUX")+COUNTIFS($A$2:$A2486,$A2486,$E$2:$E2486,"ANNULE")),""))</f>
        <v/>
      </c>
    </row>
    <row r="2487">
      <c r="A2487">
        <f>IF(ISBLANK('ENGAGEMENTS 2026'!C2487),"",IF('ENGAGEMENTS 2026'!C2487="DTSI","DCT",'ENGAGEMENTS 2026'!C2487))</f>
        <v/>
      </c>
      <c r="B2487">
        <f>IF(ISBLANK('ENGAGEMENTS 2026'!C2487),"",'ENGAGEMENTS 2026'!D2487)</f>
        <v/>
      </c>
      <c r="C2487">
        <f>IF(ISBLANK('ENGAGEMENTS 2026'!C2487),"",'ENGAGEMENTS 2026'!E2487)</f>
        <v/>
      </c>
      <c r="D2487">
        <f>IF(ISBLANK('ENGAGEMENTS 2026'!C2487),"",'ENGAGEMENTS 2026'!G2487)</f>
        <v/>
      </c>
      <c r="E2487">
        <f>IF(ISBLANK('ENGAGEMENTS 2026'!C2487),"",'ENGAGEMENTS 2026'!I2487)</f>
        <v/>
      </c>
      <c r="F2487">
        <f>IF(ISBLANK('ENGAGEMENTS 2026'!C2487),"",'ENGAGEMENTS 2026'!J2487)</f>
        <v/>
      </c>
      <c r="G2487">
        <f>IF(ISBLANK('ENGAGEMENTS 2026'!C2487),"",'ENGAGEMENTS 2026'!M2487)</f>
        <v/>
      </c>
      <c r="H2487">
        <f>IF(ISBLANK('ENGAGEMENTS 2026'!C2487),"",'ENGAGEMENTS 2026'!AF2487)</f>
        <v/>
      </c>
      <c r="I2487">
        <f>IF(ISBLANK('ENGAGEMENTS 2026'!C2487),"",'ENGAGEMENTS 2026'!H2487)</f>
        <v/>
      </c>
      <c r="J2487" s="275">
        <f>IF(ISBLANK('ENGAGEMENTS 2026'!C2487),"",IF(AND(OR($E2487="INFRUCTUEUX",$E2487="ANNULE"),$C2487="AOO-M"),'ENGAGEMENTS 2026'!P2487,IF($H2487="EN COURS DE PREENGAGEMENT",'ENGAGEMENTS 2026'!O2487,IF($H2487="PREENGAGE",IF($E2487="ATTRIBUE",'ENGAGEMENTS 2026'!AE2487,'ENGAGEMENTS 2026'!O2487),'ENGAGEMENTS 2026'!AE2487))))</f>
        <v/>
      </c>
      <c r="K2487" s="604">
        <f>IF(ISBLANK('ENGAGEMENTS 2026'!W2487),"",'ENGAGEMENTS 2026'!W2487)</f>
        <v/>
      </c>
      <c r="L2487" s="276">
        <f>IF($K2487="","",TODAY()-$K2487)</f>
        <v/>
      </c>
      <c r="M2487">
        <f>IF($A2487="","",IF($H2487="ENGAGE","Engagé",IF(AND($H2487="NON ENGAGE",OR($I2487="INFRUCTUEUX",$I2487="ANNULE")),"Clôturé sans suite","En cours")))</f>
        <v/>
      </c>
      <c r="N2487">
        <f>IF(ISBLANK('ENGAGEMENTS 2026'!C2487),"",'ENGAGEMENTS 2026'!L2487)</f>
        <v/>
      </c>
      <c r="O2487">
        <f>IF(ISBLANK('ENGAGEMENTS 2026'!C2487),"",'ENGAGEMENTS 2026'!M2487)</f>
        <v/>
      </c>
      <c r="P2487">
        <f>IF(ISBLANK('ENGAGEMENTS 2026'!C2487),"",'ENGAGEMENTS 2026'!K2487)</f>
        <v/>
      </c>
      <c r="Q2487">
        <f>IF($A2487="","",IF(OR($E2487="INFRUCTUEUX",$E2487="ANNULE"),$A2487&amp;"|"&amp;(COUNTIFS($A$2:$A2487,$A2487,$E$2:$E2487,"INFRUCTUEUX")+COUNTIFS($A$2:$A2487,$A2487,$E$2:$E2487,"ANNULE")),""))</f>
        <v/>
      </c>
    </row>
    <row r="2488">
      <c r="A2488">
        <f>IF(ISBLANK('ENGAGEMENTS 2026'!C2488),"",IF('ENGAGEMENTS 2026'!C2488="DTSI","DCT",'ENGAGEMENTS 2026'!C2488))</f>
        <v/>
      </c>
      <c r="B2488">
        <f>IF(ISBLANK('ENGAGEMENTS 2026'!C2488),"",'ENGAGEMENTS 2026'!D2488)</f>
        <v/>
      </c>
      <c r="C2488">
        <f>IF(ISBLANK('ENGAGEMENTS 2026'!C2488),"",'ENGAGEMENTS 2026'!E2488)</f>
        <v/>
      </c>
      <c r="D2488">
        <f>IF(ISBLANK('ENGAGEMENTS 2026'!C2488),"",'ENGAGEMENTS 2026'!G2488)</f>
        <v/>
      </c>
      <c r="E2488">
        <f>IF(ISBLANK('ENGAGEMENTS 2026'!C2488),"",'ENGAGEMENTS 2026'!I2488)</f>
        <v/>
      </c>
      <c r="F2488">
        <f>IF(ISBLANK('ENGAGEMENTS 2026'!C2488),"",'ENGAGEMENTS 2026'!J2488)</f>
        <v/>
      </c>
      <c r="G2488">
        <f>IF(ISBLANK('ENGAGEMENTS 2026'!C2488),"",'ENGAGEMENTS 2026'!M2488)</f>
        <v/>
      </c>
      <c r="H2488">
        <f>IF(ISBLANK('ENGAGEMENTS 2026'!C2488),"",'ENGAGEMENTS 2026'!AF2488)</f>
        <v/>
      </c>
      <c r="I2488">
        <f>IF(ISBLANK('ENGAGEMENTS 2026'!C2488),"",'ENGAGEMENTS 2026'!H2488)</f>
        <v/>
      </c>
      <c r="J2488" s="275">
        <f>IF(ISBLANK('ENGAGEMENTS 2026'!C2488),"",IF(AND(OR($E2488="INFRUCTUEUX",$E2488="ANNULE"),$C2488="AOO-M"),'ENGAGEMENTS 2026'!P2488,IF($H2488="EN COURS DE PREENGAGEMENT",'ENGAGEMENTS 2026'!O2488,IF($H2488="PREENGAGE",IF($E2488="ATTRIBUE",'ENGAGEMENTS 2026'!AE2488,'ENGAGEMENTS 2026'!O2488),'ENGAGEMENTS 2026'!AE2488))))</f>
        <v/>
      </c>
      <c r="K2488" s="604">
        <f>IF(ISBLANK('ENGAGEMENTS 2026'!W2488),"",'ENGAGEMENTS 2026'!W2488)</f>
        <v/>
      </c>
      <c r="L2488" s="276">
        <f>IF($K2488="","",TODAY()-$K2488)</f>
        <v/>
      </c>
      <c r="M2488">
        <f>IF($A2488="","",IF($H2488="ENGAGE","Engagé",IF(AND($H2488="NON ENGAGE",OR($I2488="INFRUCTUEUX",$I2488="ANNULE")),"Clôturé sans suite","En cours")))</f>
        <v/>
      </c>
      <c r="N2488">
        <f>IF(ISBLANK('ENGAGEMENTS 2026'!C2488),"",'ENGAGEMENTS 2026'!L2488)</f>
        <v/>
      </c>
      <c r="O2488">
        <f>IF(ISBLANK('ENGAGEMENTS 2026'!C2488),"",'ENGAGEMENTS 2026'!M2488)</f>
        <v/>
      </c>
      <c r="P2488">
        <f>IF(ISBLANK('ENGAGEMENTS 2026'!C2488),"",'ENGAGEMENTS 2026'!K2488)</f>
        <v/>
      </c>
      <c r="Q2488">
        <f>IF($A2488="","",IF(OR($E2488="INFRUCTUEUX",$E2488="ANNULE"),$A2488&amp;"|"&amp;(COUNTIFS($A$2:$A2488,$A2488,$E$2:$E2488,"INFRUCTUEUX")+COUNTIFS($A$2:$A2488,$A2488,$E$2:$E2488,"ANNULE")),""))</f>
        <v/>
      </c>
    </row>
    <row r="2489">
      <c r="A2489">
        <f>IF(ISBLANK('ENGAGEMENTS 2026'!C2489),"",IF('ENGAGEMENTS 2026'!C2489="DTSI","DCT",'ENGAGEMENTS 2026'!C2489))</f>
        <v/>
      </c>
      <c r="B2489">
        <f>IF(ISBLANK('ENGAGEMENTS 2026'!C2489),"",'ENGAGEMENTS 2026'!D2489)</f>
        <v/>
      </c>
      <c r="C2489">
        <f>IF(ISBLANK('ENGAGEMENTS 2026'!C2489),"",'ENGAGEMENTS 2026'!E2489)</f>
        <v/>
      </c>
      <c r="D2489">
        <f>IF(ISBLANK('ENGAGEMENTS 2026'!C2489),"",'ENGAGEMENTS 2026'!G2489)</f>
        <v/>
      </c>
      <c r="E2489">
        <f>IF(ISBLANK('ENGAGEMENTS 2026'!C2489),"",'ENGAGEMENTS 2026'!I2489)</f>
        <v/>
      </c>
      <c r="F2489">
        <f>IF(ISBLANK('ENGAGEMENTS 2026'!C2489),"",'ENGAGEMENTS 2026'!J2489)</f>
        <v/>
      </c>
      <c r="G2489">
        <f>IF(ISBLANK('ENGAGEMENTS 2026'!C2489),"",'ENGAGEMENTS 2026'!M2489)</f>
        <v/>
      </c>
      <c r="H2489">
        <f>IF(ISBLANK('ENGAGEMENTS 2026'!C2489),"",'ENGAGEMENTS 2026'!AF2489)</f>
        <v/>
      </c>
      <c r="I2489">
        <f>IF(ISBLANK('ENGAGEMENTS 2026'!C2489),"",'ENGAGEMENTS 2026'!H2489)</f>
        <v/>
      </c>
      <c r="J2489" s="275">
        <f>IF(ISBLANK('ENGAGEMENTS 2026'!C2489),"",IF(AND(OR($E2489="INFRUCTUEUX",$E2489="ANNULE"),$C2489="AOO-M"),'ENGAGEMENTS 2026'!P2489,IF($H2489="EN COURS DE PREENGAGEMENT",'ENGAGEMENTS 2026'!O2489,IF($H2489="PREENGAGE",IF($E2489="ATTRIBUE",'ENGAGEMENTS 2026'!AE2489,'ENGAGEMENTS 2026'!O2489),'ENGAGEMENTS 2026'!AE2489))))</f>
        <v/>
      </c>
      <c r="K2489" s="604">
        <f>IF(ISBLANK('ENGAGEMENTS 2026'!W2489),"",'ENGAGEMENTS 2026'!W2489)</f>
        <v/>
      </c>
      <c r="L2489" s="276">
        <f>IF($K2489="","",TODAY()-$K2489)</f>
        <v/>
      </c>
      <c r="M2489">
        <f>IF($A2489="","",IF($H2489="ENGAGE","Engagé",IF(AND($H2489="NON ENGAGE",OR($I2489="INFRUCTUEUX",$I2489="ANNULE")),"Clôturé sans suite","En cours")))</f>
        <v/>
      </c>
      <c r="N2489">
        <f>IF(ISBLANK('ENGAGEMENTS 2026'!C2489),"",'ENGAGEMENTS 2026'!L2489)</f>
        <v/>
      </c>
      <c r="O2489">
        <f>IF(ISBLANK('ENGAGEMENTS 2026'!C2489),"",'ENGAGEMENTS 2026'!M2489)</f>
        <v/>
      </c>
      <c r="P2489">
        <f>IF(ISBLANK('ENGAGEMENTS 2026'!C2489),"",'ENGAGEMENTS 2026'!K2489)</f>
        <v/>
      </c>
      <c r="Q2489">
        <f>IF($A2489="","",IF(OR($E2489="INFRUCTUEUX",$E2489="ANNULE"),$A2489&amp;"|"&amp;(COUNTIFS($A$2:$A2489,$A2489,$E$2:$E2489,"INFRUCTUEUX")+COUNTIFS($A$2:$A2489,$A2489,$E$2:$E2489,"ANNULE")),""))</f>
        <v/>
      </c>
    </row>
    <row r="2490">
      <c r="A2490">
        <f>IF(ISBLANK('ENGAGEMENTS 2026'!C2490),"",IF('ENGAGEMENTS 2026'!C2490="DTSI","DCT",'ENGAGEMENTS 2026'!C2490))</f>
        <v/>
      </c>
      <c r="B2490">
        <f>IF(ISBLANK('ENGAGEMENTS 2026'!C2490),"",'ENGAGEMENTS 2026'!D2490)</f>
        <v/>
      </c>
      <c r="C2490">
        <f>IF(ISBLANK('ENGAGEMENTS 2026'!C2490),"",'ENGAGEMENTS 2026'!E2490)</f>
        <v/>
      </c>
      <c r="D2490">
        <f>IF(ISBLANK('ENGAGEMENTS 2026'!C2490),"",'ENGAGEMENTS 2026'!G2490)</f>
        <v/>
      </c>
      <c r="E2490">
        <f>IF(ISBLANK('ENGAGEMENTS 2026'!C2490),"",'ENGAGEMENTS 2026'!I2490)</f>
        <v/>
      </c>
      <c r="F2490">
        <f>IF(ISBLANK('ENGAGEMENTS 2026'!C2490),"",'ENGAGEMENTS 2026'!J2490)</f>
        <v/>
      </c>
      <c r="G2490">
        <f>IF(ISBLANK('ENGAGEMENTS 2026'!C2490),"",'ENGAGEMENTS 2026'!M2490)</f>
        <v/>
      </c>
      <c r="H2490">
        <f>IF(ISBLANK('ENGAGEMENTS 2026'!C2490),"",'ENGAGEMENTS 2026'!AF2490)</f>
        <v/>
      </c>
      <c r="I2490">
        <f>IF(ISBLANK('ENGAGEMENTS 2026'!C2490),"",'ENGAGEMENTS 2026'!H2490)</f>
        <v/>
      </c>
      <c r="J2490" s="275">
        <f>IF(ISBLANK('ENGAGEMENTS 2026'!C2490),"",IF(AND(OR($E2490="INFRUCTUEUX",$E2490="ANNULE"),$C2490="AOO-M"),'ENGAGEMENTS 2026'!P2490,IF($H2490="EN COURS DE PREENGAGEMENT",'ENGAGEMENTS 2026'!O2490,IF($H2490="PREENGAGE",IF($E2490="ATTRIBUE",'ENGAGEMENTS 2026'!AE2490,'ENGAGEMENTS 2026'!O2490),'ENGAGEMENTS 2026'!AE2490))))</f>
        <v/>
      </c>
      <c r="K2490" s="604">
        <f>IF(ISBLANK('ENGAGEMENTS 2026'!W2490),"",'ENGAGEMENTS 2026'!W2490)</f>
        <v/>
      </c>
      <c r="L2490" s="276">
        <f>IF($K2490="","",TODAY()-$K2490)</f>
        <v/>
      </c>
      <c r="M2490">
        <f>IF($A2490="","",IF($H2490="ENGAGE","Engagé",IF(AND($H2490="NON ENGAGE",OR($I2490="INFRUCTUEUX",$I2490="ANNULE")),"Clôturé sans suite","En cours")))</f>
        <v/>
      </c>
      <c r="N2490">
        <f>IF(ISBLANK('ENGAGEMENTS 2026'!C2490),"",'ENGAGEMENTS 2026'!L2490)</f>
        <v/>
      </c>
      <c r="O2490">
        <f>IF(ISBLANK('ENGAGEMENTS 2026'!C2490),"",'ENGAGEMENTS 2026'!M2490)</f>
        <v/>
      </c>
      <c r="P2490">
        <f>IF(ISBLANK('ENGAGEMENTS 2026'!C2490),"",'ENGAGEMENTS 2026'!K2490)</f>
        <v/>
      </c>
      <c r="Q2490">
        <f>IF($A2490="","",IF(OR($E2490="INFRUCTUEUX",$E2490="ANNULE"),$A2490&amp;"|"&amp;(COUNTIFS($A$2:$A2490,$A2490,$E$2:$E2490,"INFRUCTUEUX")+COUNTIFS($A$2:$A2490,$A2490,$E$2:$E2490,"ANNULE")),""))</f>
        <v/>
      </c>
    </row>
    <row r="2491">
      <c r="A2491">
        <f>IF(ISBLANK('ENGAGEMENTS 2026'!C2491),"",IF('ENGAGEMENTS 2026'!C2491="DTSI","DCT",'ENGAGEMENTS 2026'!C2491))</f>
        <v/>
      </c>
      <c r="B2491">
        <f>IF(ISBLANK('ENGAGEMENTS 2026'!C2491),"",'ENGAGEMENTS 2026'!D2491)</f>
        <v/>
      </c>
      <c r="C2491">
        <f>IF(ISBLANK('ENGAGEMENTS 2026'!C2491),"",'ENGAGEMENTS 2026'!E2491)</f>
        <v/>
      </c>
      <c r="D2491">
        <f>IF(ISBLANK('ENGAGEMENTS 2026'!C2491),"",'ENGAGEMENTS 2026'!G2491)</f>
        <v/>
      </c>
      <c r="E2491">
        <f>IF(ISBLANK('ENGAGEMENTS 2026'!C2491),"",'ENGAGEMENTS 2026'!I2491)</f>
        <v/>
      </c>
      <c r="F2491">
        <f>IF(ISBLANK('ENGAGEMENTS 2026'!C2491),"",'ENGAGEMENTS 2026'!J2491)</f>
        <v/>
      </c>
      <c r="G2491">
        <f>IF(ISBLANK('ENGAGEMENTS 2026'!C2491),"",'ENGAGEMENTS 2026'!M2491)</f>
        <v/>
      </c>
      <c r="H2491">
        <f>IF(ISBLANK('ENGAGEMENTS 2026'!C2491),"",'ENGAGEMENTS 2026'!AF2491)</f>
        <v/>
      </c>
      <c r="I2491">
        <f>IF(ISBLANK('ENGAGEMENTS 2026'!C2491),"",'ENGAGEMENTS 2026'!H2491)</f>
        <v/>
      </c>
      <c r="J2491" s="275">
        <f>IF(ISBLANK('ENGAGEMENTS 2026'!C2491),"",IF(AND(OR($E2491="INFRUCTUEUX",$E2491="ANNULE"),$C2491="AOO-M"),'ENGAGEMENTS 2026'!P2491,IF($H2491="EN COURS DE PREENGAGEMENT",'ENGAGEMENTS 2026'!O2491,IF($H2491="PREENGAGE",IF($E2491="ATTRIBUE",'ENGAGEMENTS 2026'!AE2491,'ENGAGEMENTS 2026'!O2491),'ENGAGEMENTS 2026'!AE2491))))</f>
        <v/>
      </c>
      <c r="K2491" s="604">
        <f>IF(ISBLANK('ENGAGEMENTS 2026'!W2491),"",'ENGAGEMENTS 2026'!W2491)</f>
        <v/>
      </c>
      <c r="L2491" s="276">
        <f>IF($K2491="","",TODAY()-$K2491)</f>
        <v/>
      </c>
      <c r="M2491">
        <f>IF($A2491="","",IF($H2491="ENGAGE","Engagé",IF(AND($H2491="NON ENGAGE",OR($I2491="INFRUCTUEUX",$I2491="ANNULE")),"Clôturé sans suite","En cours")))</f>
        <v/>
      </c>
      <c r="N2491">
        <f>IF(ISBLANK('ENGAGEMENTS 2026'!C2491),"",'ENGAGEMENTS 2026'!L2491)</f>
        <v/>
      </c>
      <c r="O2491">
        <f>IF(ISBLANK('ENGAGEMENTS 2026'!C2491),"",'ENGAGEMENTS 2026'!M2491)</f>
        <v/>
      </c>
      <c r="P2491">
        <f>IF(ISBLANK('ENGAGEMENTS 2026'!C2491),"",'ENGAGEMENTS 2026'!K2491)</f>
        <v/>
      </c>
      <c r="Q2491">
        <f>IF($A2491="","",IF(OR($E2491="INFRUCTUEUX",$E2491="ANNULE"),$A2491&amp;"|"&amp;(COUNTIFS($A$2:$A2491,$A2491,$E$2:$E2491,"INFRUCTUEUX")+COUNTIFS($A$2:$A2491,$A2491,$E$2:$E2491,"ANNULE")),""))</f>
        <v/>
      </c>
    </row>
    <row r="2492">
      <c r="A2492">
        <f>IF(ISBLANK('ENGAGEMENTS 2026'!C2492),"",IF('ENGAGEMENTS 2026'!C2492="DTSI","DCT",'ENGAGEMENTS 2026'!C2492))</f>
        <v/>
      </c>
      <c r="B2492">
        <f>IF(ISBLANK('ENGAGEMENTS 2026'!C2492),"",'ENGAGEMENTS 2026'!D2492)</f>
        <v/>
      </c>
      <c r="C2492">
        <f>IF(ISBLANK('ENGAGEMENTS 2026'!C2492),"",'ENGAGEMENTS 2026'!E2492)</f>
        <v/>
      </c>
      <c r="D2492">
        <f>IF(ISBLANK('ENGAGEMENTS 2026'!C2492),"",'ENGAGEMENTS 2026'!G2492)</f>
        <v/>
      </c>
      <c r="E2492">
        <f>IF(ISBLANK('ENGAGEMENTS 2026'!C2492),"",'ENGAGEMENTS 2026'!I2492)</f>
        <v/>
      </c>
      <c r="F2492">
        <f>IF(ISBLANK('ENGAGEMENTS 2026'!C2492),"",'ENGAGEMENTS 2026'!J2492)</f>
        <v/>
      </c>
      <c r="G2492">
        <f>IF(ISBLANK('ENGAGEMENTS 2026'!C2492),"",'ENGAGEMENTS 2026'!M2492)</f>
        <v/>
      </c>
      <c r="H2492">
        <f>IF(ISBLANK('ENGAGEMENTS 2026'!C2492),"",'ENGAGEMENTS 2026'!AF2492)</f>
        <v/>
      </c>
      <c r="I2492">
        <f>IF(ISBLANK('ENGAGEMENTS 2026'!C2492),"",'ENGAGEMENTS 2026'!H2492)</f>
        <v/>
      </c>
      <c r="J2492" s="275">
        <f>IF(ISBLANK('ENGAGEMENTS 2026'!C2492),"",IF(AND(OR($E2492="INFRUCTUEUX",$E2492="ANNULE"),$C2492="AOO-M"),'ENGAGEMENTS 2026'!P2492,IF($H2492="EN COURS DE PREENGAGEMENT",'ENGAGEMENTS 2026'!O2492,IF($H2492="PREENGAGE",IF($E2492="ATTRIBUE",'ENGAGEMENTS 2026'!AE2492,'ENGAGEMENTS 2026'!O2492),'ENGAGEMENTS 2026'!AE2492))))</f>
        <v/>
      </c>
      <c r="K2492" s="604">
        <f>IF(ISBLANK('ENGAGEMENTS 2026'!W2492),"",'ENGAGEMENTS 2026'!W2492)</f>
        <v/>
      </c>
      <c r="L2492" s="276">
        <f>IF($K2492="","",TODAY()-$K2492)</f>
        <v/>
      </c>
      <c r="M2492">
        <f>IF($A2492="","",IF($H2492="ENGAGE","Engagé",IF(AND($H2492="NON ENGAGE",OR($I2492="INFRUCTUEUX",$I2492="ANNULE")),"Clôturé sans suite","En cours")))</f>
        <v/>
      </c>
      <c r="N2492">
        <f>IF(ISBLANK('ENGAGEMENTS 2026'!C2492),"",'ENGAGEMENTS 2026'!L2492)</f>
        <v/>
      </c>
      <c r="O2492">
        <f>IF(ISBLANK('ENGAGEMENTS 2026'!C2492),"",'ENGAGEMENTS 2026'!M2492)</f>
        <v/>
      </c>
      <c r="P2492">
        <f>IF(ISBLANK('ENGAGEMENTS 2026'!C2492),"",'ENGAGEMENTS 2026'!K2492)</f>
        <v/>
      </c>
      <c r="Q2492">
        <f>IF($A2492="","",IF(OR($E2492="INFRUCTUEUX",$E2492="ANNULE"),$A2492&amp;"|"&amp;(COUNTIFS($A$2:$A2492,$A2492,$E$2:$E2492,"INFRUCTUEUX")+COUNTIFS($A$2:$A2492,$A2492,$E$2:$E2492,"ANNULE")),""))</f>
        <v/>
      </c>
    </row>
    <row r="2493">
      <c r="A2493">
        <f>IF(ISBLANK('ENGAGEMENTS 2026'!C2493),"",IF('ENGAGEMENTS 2026'!C2493="DTSI","DCT",'ENGAGEMENTS 2026'!C2493))</f>
        <v/>
      </c>
      <c r="B2493">
        <f>IF(ISBLANK('ENGAGEMENTS 2026'!C2493),"",'ENGAGEMENTS 2026'!D2493)</f>
        <v/>
      </c>
      <c r="C2493">
        <f>IF(ISBLANK('ENGAGEMENTS 2026'!C2493),"",'ENGAGEMENTS 2026'!E2493)</f>
        <v/>
      </c>
      <c r="D2493">
        <f>IF(ISBLANK('ENGAGEMENTS 2026'!C2493),"",'ENGAGEMENTS 2026'!G2493)</f>
        <v/>
      </c>
      <c r="E2493">
        <f>IF(ISBLANK('ENGAGEMENTS 2026'!C2493),"",'ENGAGEMENTS 2026'!I2493)</f>
        <v/>
      </c>
      <c r="F2493">
        <f>IF(ISBLANK('ENGAGEMENTS 2026'!C2493),"",'ENGAGEMENTS 2026'!J2493)</f>
        <v/>
      </c>
      <c r="G2493">
        <f>IF(ISBLANK('ENGAGEMENTS 2026'!C2493),"",'ENGAGEMENTS 2026'!M2493)</f>
        <v/>
      </c>
      <c r="H2493">
        <f>IF(ISBLANK('ENGAGEMENTS 2026'!C2493),"",'ENGAGEMENTS 2026'!AF2493)</f>
        <v/>
      </c>
      <c r="I2493">
        <f>IF(ISBLANK('ENGAGEMENTS 2026'!C2493),"",'ENGAGEMENTS 2026'!H2493)</f>
        <v/>
      </c>
      <c r="J2493" s="275">
        <f>IF(ISBLANK('ENGAGEMENTS 2026'!C2493),"",IF(AND(OR($E2493="INFRUCTUEUX",$E2493="ANNULE"),$C2493="AOO-M"),'ENGAGEMENTS 2026'!P2493,IF($H2493="EN COURS DE PREENGAGEMENT",'ENGAGEMENTS 2026'!O2493,IF($H2493="PREENGAGE",IF($E2493="ATTRIBUE",'ENGAGEMENTS 2026'!AE2493,'ENGAGEMENTS 2026'!O2493),'ENGAGEMENTS 2026'!AE2493))))</f>
        <v/>
      </c>
      <c r="K2493" s="604">
        <f>IF(ISBLANK('ENGAGEMENTS 2026'!W2493),"",'ENGAGEMENTS 2026'!W2493)</f>
        <v/>
      </c>
      <c r="L2493" s="276">
        <f>IF($K2493="","",TODAY()-$K2493)</f>
        <v/>
      </c>
      <c r="M2493">
        <f>IF($A2493="","",IF($H2493="ENGAGE","Engagé",IF(AND($H2493="NON ENGAGE",OR($I2493="INFRUCTUEUX",$I2493="ANNULE")),"Clôturé sans suite","En cours")))</f>
        <v/>
      </c>
      <c r="N2493">
        <f>IF(ISBLANK('ENGAGEMENTS 2026'!C2493),"",'ENGAGEMENTS 2026'!L2493)</f>
        <v/>
      </c>
      <c r="O2493">
        <f>IF(ISBLANK('ENGAGEMENTS 2026'!C2493),"",'ENGAGEMENTS 2026'!M2493)</f>
        <v/>
      </c>
      <c r="P2493">
        <f>IF(ISBLANK('ENGAGEMENTS 2026'!C2493),"",'ENGAGEMENTS 2026'!K2493)</f>
        <v/>
      </c>
      <c r="Q2493">
        <f>IF($A2493="","",IF(OR($E2493="INFRUCTUEUX",$E2493="ANNULE"),$A2493&amp;"|"&amp;(COUNTIFS($A$2:$A2493,$A2493,$E$2:$E2493,"INFRUCTUEUX")+COUNTIFS($A$2:$A2493,$A2493,$E$2:$E2493,"ANNULE")),""))</f>
        <v/>
      </c>
    </row>
    <row r="2494">
      <c r="A2494">
        <f>IF(ISBLANK('ENGAGEMENTS 2026'!C2494),"",IF('ENGAGEMENTS 2026'!C2494="DTSI","DCT",'ENGAGEMENTS 2026'!C2494))</f>
        <v/>
      </c>
      <c r="B2494">
        <f>IF(ISBLANK('ENGAGEMENTS 2026'!C2494),"",'ENGAGEMENTS 2026'!D2494)</f>
        <v/>
      </c>
      <c r="C2494">
        <f>IF(ISBLANK('ENGAGEMENTS 2026'!C2494),"",'ENGAGEMENTS 2026'!E2494)</f>
        <v/>
      </c>
      <c r="D2494">
        <f>IF(ISBLANK('ENGAGEMENTS 2026'!C2494),"",'ENGAGEMENTS 2026'!G2494)</f>
        <v/>
      </c>
      <c r="E2494">
        <f>IF(ISBLANK('ENGAGEMENTS 2026'!C2494),"",'ENGAGEMENTS 2026'!I2494)</f>
        <v/>
      </c>
      <c r="F2494">
        <f>IF(ISBLANK('ENGAGEMENTS 2026'!C2494),"",'ENGAGEMENTS 2026'!J2494)</f>
        <v/>
      </c>
      <c r="G2494">
        <f>IF(ISBLANK('ENGAGEMENTS 2026'!C2494),"",'ENGAGEMENTS 2026'!M2494)</f>
        <v/>
      </c>
      <c r="H2494">
        <f>IF(ISBLANK('ENGAGEMENTS 2026'!C2494),"",'ENGAGEMENTS 2026'!AF2494)</f>
        <v/>
      </c>
      <c r="I2494">
        <f>IF(ISBLANK('ENGAGEMENTS 2026'!C2494),"",'ENGAGEMENTS 2026'!H2494)</f>
        <v/>
      </c>
      <c r="J2494" s="275">
        <f>IF(ISBLANK('ENGAGEMENTS 2026'!C2494),"",IF(AND(OR($E2494="INFRUCTUEUX",$E2494="ANNULE"),$C2494="AOO-M"),'ENGAGEMENTS 2026'!P2494,IF($H2494="EN COURS DE PREENGAGEMENT",'ENGAGEMENTS 2026'!O2494,IF($H2494="PREENGAGE",IF($E2494="ATTRIBUE",'ENGAGEMENTS 2026'!AE2494,'ENGAGEMENTS 2026'!O2494),'ENGAGEMENTS 2026'!AE2494))))</f>
        <v/>
      </c>
      <c r="K2494" s="604">
        <f>IF(ISBLANK('ENGAGEMENTS 2026'!W2494),"",'ENGAGEMENTS 2026'!W2494)</f>
        <v/>
      </c>
      <c r="L2494" s="276">
        <f>IF($K2494="","",TODAY()-$K2494)</f>
        <v/>
      </c>
      <c r="M2494">
        <f>IF($A2494="","",IF($H2494="ENGAGE","Engagé",IF(AND($H2494="NON ENGAGE",OR($I2494="INFRUCTUEUX",$I2494="ANNULE")),"Clôturé sans suite","En cours")))</f>
        <v/>
      </c>
      <c r="N2494">
        <f>IF(ISBLANK('ENGAGEMENTS 2026'!C2494),"",'ENGAGEMENTS 2026'!L2494)</f>
        <v/>
      </c>
      <c r="O2494">
        <f>IF(ISBLANK('ENGAGEMENTS 2026'!C2494),"",'ENGAGEMENTS 2026'!M2494)</f>
        <v/>
      </c>
      <c r="P2494">
        <f>IF(ISBLANK('ENGAGEMENTS 2026'!C2494),"",'ENGAGEMENTS 2026'!K2494)</f>
        <v/>
      </c>
      <c r="Q2494">
        <f>IF($A2494="","",IF(OR($E2494="INFRUCTUEUX",$E2494="ANNULE"),$A2494&amp;"|"&amp;(COUNTIFS($A$2:$A2494,$A2494,$E$2:$E2494,"INFRUCTUEUX")+COUNTIFS($A$2:$A2494,$A2494,$E$2:$E2494,"ANNULE")),""))</f>
        <v/>
      </c>
    </row>
    <row r="2495">
      <c r="A2495">
        <f>IF(ISBLANK('ENGAGEMENTS 2026'!C2495),"",IF('ENGAGEMENTS 2026'!C2495="DTSI","DCT",'ENGAGEMENTS 2026'!C2495))</f>
        <v/>
      </c>
      <c r="B2495">
        <f>IF(ISBLANK('ENGAGEMENTS 2026'!C2495),"",'ENGAGEMENTS 2026'!D2495)</f>
        <v/>
      </c>
      <c r="C2495">
        <f>IF(ISBLANK('ENGAGEMENTS 2026'!C2495),"",'ENGAGEMENTS 2026'!E2495)</f>
        <v/>
      </c>
      <c r="D2495">
        <f>IF(ISBLANK('ENGAGEMENTS 2026'!C2495),"",'ENGAGEMENTS 2026'!G2495)</f>
        <v/>
      </c>
      <c r="E2495">
        <f>IF(ISBLANK('ENGAGEMENTS 2026'!C2495),"",'ENGAGEMENTS 2026'!I2495)</f>
        <v/>
      </c>
      <c r="F2495">
        <f>IF(ISBLANK('ENGAGEMENTS 2026'!C2495),"",'ENGAGEMENTS 2026'!J2495)</f>
        <v/>
      </c>
      <c r="G2495">
        <f>IF(ISBLANK('ENGAGEMENTS 2026'!C2495),"",'ENGAGEMENTS 2026'!M2495)</f>
        <v/>
      </c>
      <c r="H2495">
        <f>IF(ISBLANK('ENGAGEMENTS 2026'!C2495),"",'ENGAGEMENTS 2026'!AF2495)</f>
        <v/>
      </c>
      <c r="I2495">
        <f>IF(ISBLANK('ENGAGEMENTS 2026'!C2495),"",'ENGAGEMENTS 2026'!H2495)</f>
        <v/>
      </c>
      <c r="J2495" s="275">
        <f>IF(ISBLANK('ENGAGEMENTS 2026'!C2495),"",IF(AND(OR($E2495="INFRUCTUEUX",$E2495="ANNULE"),$C2495="AOO-M"),'ENGAGEMENTS 2026'!P2495,IF($H2495="EN COURS DE PREENGAGEMENT",'ENGAGEMENTS 2026'!O2495,IF($H2495="PREENGAGE",IF($E2495="ATTRIBUE",'ENGAGEMENTS 2026'!AE2495,'ENGAGEMENTS 2026'!O2495),'ENGAGEMENTS 2026'!AE2495))))</f>
        <v/>
      </c>
      <c r="K2495" s="604">
        <f>IF(ISBLANK('ENGAGEMENTS 2026'!W2495),"",'ENGAGEMENTS 2026'!W2495)</f>
        <v/>
      </c>
      <c r="L2495" s="276">
        <f>IF($K2495="","",TODAY()-$K2495)</f>
        <v/>
      </c>
      <c r="M2495">
        <f>IF($A2495="","",IF($H2495="ENGAGE","Engagé",IF(AND($H2495="NON ENGAGE",OR($I2495="INFRUCTUEUX",$I2495="ANNULE")),"Clôturé sans suite","En cours")))</f>
        <v/>
      </c>
      <c r="N2495">
        <f>IF(ISBLANK('ENGAGEMENTS 2026'!C2495),"",'ENGAGEMENTS 2026'!L2495)</f>
        <v/>
      </c>
      <c r="O2495">
        <f>IF(ISBLANK('ENGAGEMENTS 2026'!C2495),"",'ENGAGEMENTS 2026'!M2495)</f>
        <v/>
      </c>
      <c r="P2495">
        <f>IF(ISBLANK('ENGAGEMENTS 2026'!C2495),"",'ENGAGEMENTS 2026'!K2495)</f>
        <v/>
      </c>
      <c r="Q2495">
        <f>IF($A2495="","",IF(OR($E2495="INFRUCTUEUX",$E2495="ANNULE"),$A2495&amp;"|"&amp;(COUNTIFS($A$2:$A2495,$A2495,$E$2:$E2495,"INFRUCTUEUX")+COUNTIFS($A$2:$A2495,$A2495,$E$2:$E2495,"ANNULE")),""))</f>
        <v/>
      </c>
    </row>
    <row r="2496">
      <c r="A2496">
        <f>IF(ISBLANK('ENGAGEMENTS 2026'!C2496),"",IF('ENGAGEMENTS 2026'!C2496="DTSI","DCT",'ENGAGEMENTS 2026'!C2496))</f>
        <v/>
      </c>
      <c r="B2496">
        <f>IF(ISBLANK('ENGAGEMENTS 2026'!C2496),"",'ENGAGEMENTS 2026'!D2496)</f>
        <v/>
      </c>
      <c r="C2496">
        <f>IF(ISBLANK('ENGAGEMENTS 2026'!C2496),"",'ENGAGEMENTS 2026'!E2496)</f>
        <v/>
      </c>
      <c r="D2496">
        <f>IF(ISBLANK('ENGAGEMENTS 2026'!C2496),"",'ENGAGEMENTS 2026'!G2496)</f>
        <v/>
      </c>
      <c r="E2496">
        <f>IF(ISBLANK('ENGAGEMENTS 2026'!C2496),"",'ENGAGEMENTS 2026'!I2496)</f>
        <v/>
      </c>
      <c r="F2496">
        <f>IF(ISBLANK('ENGAGEMENTS 2026'!C2496),"",'ENGAGEMENTS 2026'!J2496)</f>
        <v/>
      </c>
      <c r="G2496">
        <f>IF(ISBLANK('ENGAGEMENTS 2026'!C2496),"",'ENGAGEMENTS 2026'!M2496)</f>
        <v/>
      </c>
      <c r="H2496">
        <f>IF(ISBLANK('ENGAGEMENTS 2026'!C2496),"",'ENGAGEMENTS 2026'!AF2496)</f>
        <v/>
      </c>
      <c r="I2496">
        <f>IF(ISBLANK('ENGAGEMENTS 2026'!C2496),"",'ENGAGEMENTS 2026'!H2496)</f>
        <v/>
      </c>
      <c r="J2496" s="275">
        <f>IF(ISBLANK('ENGAGEMENTS 2026'!C2496),"",IF(AND(OR($E2496="INFRUCTUEUX",$E2496="ANNULE"),$C2496="AOO-M"),'ENGAGEMENTS 2026'!P2496,IF($H2496="EN COURS DE PREENGAGEMENT",'ENGAGEMENTS 2026'!O2496,IF($H2496="PREENGAGE",IF($E2496="ATTRIBUE",'ENGAGEMENTS 2026'!AE2496,'ENGAGEMENTS 2026'!O2496),'ENGAGEMENTS 2026'!AE2496))))</f>
        <v/>
      </c>
      <c r="K2496" s="604">
        <f>IF(ISBLANK('ENGAGEMENTS 2026'!W2496),"",'ENGAGEMENTS 2026'!W2496)</f>
        <v/>
      </c>
      <c r="L2496" s="276">
        <f>IF($K2496="","",TODAY()-$K2496)</f>
        <v/>
      </c>
      <c r="M2496">
        <f>IF($A2496="","",IF($H2496="ENGAGE","Engagé",IF(AND($H2496="NON ENGAGE",OR($I2496="INFRUCTUEUX",$I2496="ANNULE")),"Clôturé sans suite","En cours")))</f>
        <v/>
      </c>
      <c r="N2496">
        <f>IF(ISBLANK('ENGAGEMENTS 2026'!C2496),"",'ENGAGEMENTS 2026'!L2496)</f>
        <v/>
      </c>
      <c r="O2496">
        <f>IF(ISBLANK('ENGAGEMENTS 2026'!C2496),"",'ENGAGEMENTS 2026'!M2496)</f>
        <v/>
      </c>
      <c r="P2496">
        <f>IF(ISBLANK('ENGAGEMENTS 2026'!C2496),"",'ENGAGEMENTS 2026'!K2496)</f>
        <v/>
      </c>
      <c r="Q2496">
        <f>IF($A2496="","",IF(OR($E2496="INFRUCTUEUX",$E2496="ANNULE"),$A2496&amp;"|"&amp;(COUNTIFS($A$2:$A2496,$A2496,$E$2:$E2496,"INFRUCTUEUX")+COUNTIFS($A$2:$A2496,$A2496,$E$2:$E2496,"ANNULE")),""))</f>
        <v/>
      </c>
    </row>
    <row r="2497">
      <c r="A2497">
        <f>IF(ISBLANK('ENGAGEMENTS 2026'!C2497),"",IF('ENGAGEMENTS 2026'!C2497="DTSI","DCT",'ENGAGEMENTS 2026'!C2497))</f>
        <v/>
      </c>
      <c r="B2497">
        <f>IF(ISBLANK('ENGAGEMENTS 2026'!C2497),"",'ENGAGEMENTS 2026'!D2497)</f>
        <v/>
      </c>
      <c r="C2497">
        <f>IF(ISBLANK('ENGAGEMENTS 2026'!C2497),"",'ENGAGEMENTS 2026'!E2497)</f>
        <v/>
      </c>
      <c r="D2497">
        <f>IF(ISBLANK('ENGAGEMENTS 2026'!C2497),"",'ENGAGEMENTS 2026'!G2497)</f>
        <v/>
      </c>
      <c r="E2497">
        <f>IF(ISBLANK('ENGAGEMENTS 2026'!C2497),"",'ENGAGEMENTS 2026'!I2497)</f>
        <v/>
      </c>
      <c r="F2497">
        <f>IF(ISBLANK('ENGAGEMENTS 2026'!C2497),"",'ENGAGEMENTS 2026'!J2497)</f>
        <v/>
      </c>
      <c r="G2497">
        <f>IF(ISBLANK('ENGAGEMENTS 2026'!C2497),"",'ENGAGEMENTS 2026'!M2497)</f>
        <v/>
      </c>
      <c r="H2497">
        <f>IF(ISBLANK('ENGAGEMENTS 2026'!C2497),"",'ENGAGEMENTS 2026'!AF2497)</f>
        <v/>
      </c>
      <c r="I2497">
        <f>IF(ISBLANK('ENGAGEMENTS 2026'!C2497),"",'ENGAGEMENTS 2026'!H2497)</f>
        <v/>
      </c>
      <c r="J2497" s="275">
        <f>IF(ISBLANK('ENGAGEMENTS 2026'!C2497),"",IF(AND(OR($E2497="INFRUCTUEUX",$E2497="ANNULE"),$C2497="AOO-M"),'ENGAGEMENTS 2026'!P2497,IF($H2497="EN COURS DE PREENGAGEMENT",'ENGAGEMENTS 2026'!O2497,IF($H2497="PREENGAGE",IF($E2497="ATTRIBUE",'ENGAGEMENTS 2026'!AE2497,'ENGAGEMENTS 2026'!O2497),'ENGAGEMENTS 2026'!AE2497))))</f>
        <v/>
      </c>
      <c r="K2497" s="604">
        <f>IF(ISBLANK('ENGAGEMENTS 2026'!W2497),"",'ENGAGEMENTS 2026'!W2497)</f>
        <v/>
      </c>
      <c r="L2497" s="276">
        <f>IF($K2497="","",TODAY()-$K2497)</f>
        <v/>
      </c>
      <c r="M2497">
        <f>IF($A2497="","",IF($H2497="ENGAGE","Engagé",IF(AND($H2497="NON ENGAGE",OR($I2497="INFRUCTUEUX",$I2497="ANNULE")),"Clôturé sans suite","En cours")))</f>
        <v/>
      </c>
      <c r="N2497">
        <f>IF(ISBLANK('ENGAGEMENTS 2026'!C2497),"",'ENGAGEMENTS 2026'!L2497)</f>
        <v/>
      </c>
      <c r="O2497">
        <f>IF(ISBLANK('ENGAGEMENTS 2026'!C2497),"",'ENGAGEMENTS 2026'!M2497)</f>
        <v/>
      </c>
      <c r="P2497">
        <f>IF(ISBLANK('ENGAGEMENTS 2026'!C2497),"",'ENGAGEMENTS 2026'!K2497)</f>
        <v/>
      </c>
      <c r="Q2497">
        <f>IF($A2497="","",IF(OR($E2497="INFRUCTUEUX",$E2497="ANNULE"),$A2497&amp;"|"&amp;(COUNTIFS($A$2:$A2497,$A2497,$E$2:$E2497,"INFRUCTUEUX")+COUNTIFS($A$2:$A2497,$A2497,$E$2:$E2497,"ANNULE")),""))</f>
        <v/>
      </c>
    </row>
    <row r="2498">
      <c r="A2498">
        <f>IF(ISBLANK('ENGAGEMENTS 2026'!C2498),"",IF('ENGAGEMENTS 2026'!C2498="DTSI","DCT",'ENGAGEMENTS 2026'!C2498))</f>
        <v/>
      </c>
      <c r="B2498">
        <f>IF(ISBLANK('ENGAGEMENTS 2026'!C2498),"",'ENGAGEMENTS 2026'!D2498)</f>
        <v/>
      </c>
      <c r="C2498">
        <f>IF(ISBLANK('ENGAGEMENTS 2026'!C2498),"",'ENGAGEMENTS 2026'!E2498)</f>
        <v/>
      </c>
      <c r="D2498">
        <f>IF(ISBLANK('ENGAGEMENTS 2026'!C2498),"",'ENGAGEMENTS 2026'!G2498)</f>
        <v/>
      </c>
      <c r="E2498">
        <f>IF(ISBLANK('ENGAGEMENTS 2026'!C2498),"",'ENGAGEMENTS 2026'!I2498)</f>
        <v/>
      </c>
      <c r="F2498">
        <f>IF(ISBLANK('ENGAGEMENTS 2026'!C2498),"",'ENGAGEMENTS 2026'!J2498)</f>
        <v/>
      </c>
      <c r="G2498">
        <f>IF(ISBLANK('ENGAGEMENTS 2026'!C2498),"",'ENGAGEMENTS 2026'!M2498)</f>
        <v/>
      </c>
      <c r="H2498">
        <f>IF(ISBLANK('ENGAGEMENTS 2026'!C2498),"",'ENGAGEMENTS 2026'!AF2498)</f>
        <v/>
      </c>
      <c r="I2498">
        <f>IF(ISBLANK('ENGAGEMENTS 2026'!C2498),"",'ENGAGEMENTS 2026'!H2498)</f>
        <v/>
      </c>
      <c r="J2498" s="275">
        <f>IF(ISBLANK('ENGAGEMENTS 2026'!C2498),"",IF(AND(OR($E2498="INFRUCTUEUX",$E2498="ANNULE"),$C2498="AOO-M"),'ENGAGEMENTS 2026'!P2498,IF($H2498="EN COURS DE PREENGAGEMENT",'ENGAGEMENTS 2026'!O2498,IF($H2498="PREENGAGE",IF($E2498="ATTRIBUE",'ENGAGEMENTS 2026'!AE2498,'ENGAGEMENTS 2026'!O2498),'ENGAGEMENTS 2026'!AE2498))))</f>
        <v/>
      </c>
      <c r="K2498" s="604">
        <f>IF(ISBLANK('ENGAGEMENTS 2026'!W2498),"",'ENGAGEMENTS 2026'!W2498)</f>
        <v/>
      </c>
      <c r="L2498" s="276">
        <f>IF($K2498="","",TODAY()-$K2498)</f>
        <v/>
      </c>
      <c r="M2498">
        <f>IF($A2498="","",IF($H2498="ENGAGE","Engagé",IF(AND($H2498="NON ENGAGE",OR($I2498="INFRUCTUEUX",$I2498="ANNULE")),"Clôturé sans suite","En cours")))</f>
        <v/>
      </c>
      <c r="N2498">
        <f>IF(ISBLANK('ENGAGEMENTS 2026'!C2498),"",'ENGAGEMENTS 2026'!L2498)</f>
        <v/>
      </c>
      <c r="O2498">
        <f>IF(ISBLANK('ENGAGEMENTS 2026'!C2498),"",'ENGAGEMENTS 2026'!M2498)</f>
        <v/>
      </c>
      <c r="P2498">
        <f>IF(ISBLANK('ENGAGEMENTS 2026'!C2498),"",'ENGAGEMENTS 2026'!K2498)</f>
        <v/>
      </c>
      <c r="Q2498">
        <f>IF($A2498="","",IF(OR($E2498="INFRUCTUEUX",$E2498="ANNULE"),$A2498&amp;"|"&amp;(COUNTIFS($A$2:$A2498,$A2498,$E$2:$E2498,"INFRUCTUEUX")+COUNTIFS($A$2:$A2498,$A2498,$E$2:$E2498,"ANNULE")),""))</f>
        <v/>
      </c>
    </row>
    <row r="2499">
      <c r="A2499">
        <f>IF(ISBLANK('ENGAGEMENTS 2026'!C2499),"",IF('ENGAGEMENTS 2026'!C2499="DTSI","DCT",'ENGAGEMENTS 2026'!C2499))</f>
        <v/>
      </c>
      <c r="B2499">
        <f>IF(ISBLANK('ENGAGEMENTS 2026'!C2499),"",'ENGAGEMENTS 2026'!D2499)</f>
        <v/>
      </c>
      <c r="C2499">
        <f>IF(ISBLANK('ENGAGEMENTS 2026'!C2499),"",'ENGAGEMENTS 2026'!E2499)</f>
        <v/>
      </c>
      <c r="D2499">
        <f>IF(ISBLANK('ENGAGEMENTS 2026'!C2499),"",'ENGAGEMENTS 2026'!G2499)</f>
        <v/>
      </c>
      <c r="E2499">
        <f>IF(ISBLANK('ENGAGEMENTS 2026'!C2499),"",'ENGAGEMENTS 2026'!I2499)</f>
        <v/>
      </c>
      <c r="F2499">
        <f>IF(ISBLANK('ENGAGEMENTS 2026'!C2499),"",'ENGAGEMENTS 2026'!J2499)</f>
        <v/>
      </c>
      <c r="G2499">
        <f>IF(ISBLANK('ENGAGEMENTS 2026'!C2499),"",'ENGAGEMENTS 2026'!M2499)</f>
        <v/>
      </c>
      <c r="H2499">
        <f>IF(ISBLANK('ENGAGEMENTS 2026'!C2499),"",'ENGAGEMENTS 2026'!AF2499)</f>
        <v/>
      </c>
      <c r="I2499">
        <f>IF(ISBLANK('ENGAGEMENTS 2026'!C2499),"",'ENGAGEMENTS 2026'!H2499)</f>
        <v/>
      </c>
      <c r="J2499" s="275">
        <f>IF(ISBLANK('ENGAGEMENTS 2026'!C2499),"",IF(AND(OR($E2499="INFRUCTUEUX",$E2499="ANNULE"),$C2499="AOO-M"),'ENGAGEMENTS 2026'!P2499,IF($H2499="EN COURS DE PREENGAGEMENT",'ENGAGEMENTS 2026'!O2499,IF($H2499="PREENGAGE",IF($E2499="ATTRIBUE",'ENGAGEMENTS 2026'!AE2499,'ENGAGEMENTS 2026'!O2499),'ENGAGEMENTS 2026'!AE2499))))</f>
        <v/>
      </c>
      <c r="K2499" s="604">
        <f>IF(ISBLANK('ENGAGEMENTS 2026'!W2499),"",'ENGAGEMENTS 2026'!W2499)</f>
        <v/>
      </c>
      <c r="L2499" s="276">
        <f>IF($K2499="","",TODAY()-$K2499)</f>
        <v/>
      </c>
      <c r="M2499">
        <f>IF($A2499="","",IF($H2499="ENGAGE","Engagé",IF(AND($H2499="NON ENGAGE",OR($I2499="INFRUCTUEUX",$I2499="ANNULE")),"Clôturé sans suite","En cours")))</f>
        <v/>
      </c>
      <c r="N2499">
        <f>IF(ISBLANK('ENGAGEMENTS 2026'!C2499),"",'ENGAGEMENTS 2026'!L2499)</f>
        <v/>
      </c>
      <c r="O2499">
        <f>IF(ISBLANK('ENGAGEMENTS 2026'!C2499),"",'ENGAGEMENTS 2026'!M2499)</f>
        <v/>
      </c>
      <c r="P2499">
        <f>IF(ISBLANK('ENGAGEMENTS 2026'!C2499),"",'ENGAGEMENTS 2026'!K2499)</f>
        <v/>
      </c>
      <c r="Q2499">
        <f>IF($A2499="","",IF(OR($E2499="INFRUCTUEUX",$E2499="ANNULE"),$A2499&amp;"|"&amp;(COUNTIFS($A$2:$A2499,$A2499,$E$2:$E2499,"INFRUCTUEUX")+COUNTIFS($A$2:$A2499,$A2499,$E$2:$E2499,"ANNULE")),""))</f>
        <v/>
      </c>
    </row>
    <row r="2500">
      <c r="A2500">
        <f>IF(ISBLANK('ENGAGEMENTS 2026'!C2500),"",IF('ENGAGEMENTS 2026'!C2500="DTSI","DCT",'ENGAGEMENTS 2026'!C2500))</f>
        <v/>
      </c>
      <c r="B2500">
        <f>IF(ISBLANK('ENGAGEMENTS 2026'!C2500),"",'ENGAGEMENTS 2026'!D2500)</f>
        <v/>
      </c>
      <c r="C2500">
        <f>IF(ISBLANK('ENGAGEMENTS 2026'!C2500),"",'ENGAGEMENTS 2026'!E2500)</f>
        <v/>
      </c>
      <c r="D2500">
        <f>IF(ISBLANK('ENGAGEMENTS 2026'!C2500),"",'ENGAGEMENTS 2026'!G2500)</f>
        <v/>
      </c>
      <c r="E2500">
        <f>IF(ISBLANK('ENGAGEMENTS 2026'!C2500),"",'ENGAGEMENTS 2026'!I2500)</f>
        <v/>
      </c>
      <c r="F2500">
        <f>IF(ISBLANK('ENGAGEMENTS 2026'!C2500),"",'ENGAGEMENTS 2026'!J2500)</f>
        <v/>
      </c>
      <c r="G2500">
        <f>IF(ISBLANK('ENGAGEMENTS 2026'!C2500),"",'ENGAGEMENTS 2026'!M2500)</f>
        <v/>
      </c>
      <c r="H2500">
        <f>IF(ISBLANK('ENGAGEMENTS 2026'!C2500),"",'ENGAGEMENTS 2026'!AF2500)</f>
        <v/>
      </c>
      <c r="I2500">
        <f>IF(ISBLANK('ENGAGEMENTS 2026'!C2500),"",'ENGAGEMENTS 2026'!H2500)</f>
        <v/>
      </c>
      <c r="J2500" s="275">
        <f>IF(ISBLANK('ENGAGEMENTS 2026'!C2500),"",IF(AND(OR($E2500="INFRUCTUEUX",$E2500="ANNULE"),$C2500="AOO-M"),'ENGAGEMENTS 2026'!P2500,IF($H2500="EN COURS DE PREENGAGEMENT",'ENGAGEMENTS 2026'!O2500,IF($H2500="PREENGAGE",IF($E2500="ATTRIBUE",'ENGAGEMENTS 2026'!AE2500,'ENGAGEMENTS 2026'!O2500),'ENGAGEMENTS 2026'!AE2500))))</f>
        <v/>
      </c>
      <c r="K2500" s="604">
        <f>IF(ISBLANK('ENGAGEMENTS 2026'!W2500),"",'ENGAGEMENTS 2026'!W2500)</f>
        <v/>
      </c>
      <c r="L2500" s="276">
        <f>IF($K2500="","",TODAY()-$K2500)</f>
        <v/>
      </c>
      <c r="M2500">
        <f>IF($A2500="","",IF($H2500="ENGAGE","Engagé",IF(AND($H2500="NON ENGAGE",OR($I2500="INFRUCTUEUX",$I2500="ANNULE")),"Clôturé sans suite","En cours")))</f>
        <v/>
      </c>
      <c r="N2500">
        <f>IF(ISBLANK('ENGAGEMENTS 2026'!C2500),"",'ENGAGEMENTS 2026'!L2500)</f>
        <v/>
      </c>
      <c r="O2500">
        <f>IF(ISBLANK('ENGAGEMENTS 2026'!C2500),"",'ENGAGEMENTS 2026'!M2500)</f>
        <v/>
      </c>
      <c r="P2500">
        <f>IF(ISBLANK('ENGAGEMENTS 2026'!C2500),"",'ENGAGEMENTS 2026'!K2500)</f>
        <v/>
      </c>
      <c r="Q2500">
        <f>IF($A2500="","",IF(OR($E2500="INFRUCTUEUX",$E2500="ANNULE"),$A2500&amp;"|"&amp;(COUNTIFS($A$2:$A2500,$A2500,$E$2:$E2500,"INFRUCTUEUX")+COUNTIFS($A$2:$A2500,$A2500,$E$2:$E2500,"ANNULE")),""))</f>
        <v/>
      </c>
    </row>
    <row r="2501">
      <c r="A2501">
        <f>IF(ISBLANK('ENGAGEMENTS 2026'!C2501),"",IF('ENGAGEMENTS 2026'!C2501="DTSI","DCT",'ENGAGEMENTS 2026'!C2501))</f>
        <v/>
      </c>
      <c r="B2501">
        <f>IF(ISBLANK('ENGAGEMENTS 2026'!C2501),"",'ENGAGEMENTS 2026'!D2501)</f>
        <v/>
      </c>
      <c r="C2501">
        <f>IF(ISBLANK('ENGAGEMENTS 2026'!C2501),"",'ENGAGEMENTS 2026'!E2501)</f>
        <v/>
      </c>
      <c r="D2501">
        <f>IF(ISBLANK('ENGAGEMENTS 2026'!C2501),"",'ENGAGEMENTS 2026'!G2501)</f>
        <v/>
      </c>
      <c r="E2501">
        <f>IF(ISBLANK('ENGAGEMENTS 2026'!C2501),"",'ENGAGEMENTS 2026'!I2501)</f>
        <v/>
      </c>
      <c r="F2501">
        <f>IF(ISBLANK('ENGAGEMENTS 2026'!C2501),"",'ENGAGEMENTS 2026'!J2501)</f>
        <v/>
      </c>
      <c r="G2501">
        <f>IF(ISBLANK('ENGAGEMENTS 2026'!C2501),"",'ENGAGEMENTS 2026'!M2501)</f>
        <v/>
      </c>
      <c r="H2501">
        <f>IF(ISBLANK('ENGAGEMENTS 2026'!C2501),"",'ENGAGEMENTS 2026'!AF2501)</f>
        <v/>
      </c>
      <c r="I2501">
        <f>IF(ISBLANK('ENGAGEMENTS 2026'!C2501),"",'ENGAGEMENTS 2026'!H2501)</f>
        <v/>
      </c>
      <c r="J2501" s="275">
        <f>IF(ISBLANK('ENGAGEMENTS 2026'!C2501),"",IF(AND(OR($E2501="INFRUCTUEUX",$E2501="ANNULE"),$C2501="AOO-M"),'ENGAGEMENTS 2026'!P2501,IF($H2501="EN COURS DE PREENGAGEMENT",'ENGAGEMENTS 2026'!O2501,IF($H2501="PREENGAGE",IF($E2501="ATTRIBUE",'ENGAGEMENTS 2026'!AE2501,'ENGAGEMENTS 2026'!O2501),'ENGAGEMENTS 2026'!AE2501))))</f>
        <v/>
      </c>
      <c r="K2501" s="604">
        <f>IF(ISBLANK('ENGAGEMENTS 2026'!W2501),"",'ENGAGEMENTS 2026'!W2501)</f>
        <v/>
      </c>
      <c r="L2501" s="276">
        <f>IF($K2501="","",TODAY()-$K2501)</f>
        <v/>
      </c>
      <c r="M2501">
        <f>IF($A2501="","",IF($H2501="ENGAGE","Engagé",IF(AND($H2501="NON ENGAGE",OR($I2501="INFRUCTUEUX",$I2501="ANNULE")),"Clôturé sans suite","En cours")))</f>
        <v/>
      </c>
      <c r="N2501">
        <f>IF(ISBLANK('ENGAGEMENTS 2026'!C2501),"",'ENGAGEMENTS 2026'!L2501)</f>
        <v/>
      </c>
      <c r="O2501">
        <f>IF(ISBLANK('ENGAGEMENTS 2026'!C2501),"",'ENGAGEMENTS 2026'!M2501)</f>
        <v/>
      </c>
      <c r="P2501">
        <f>IF(ISBLANK('ENGAGEMENTS 2026'!C2501),"",'ENGAGEMENTS 2026'!K2501)</f>
        <v/>
      </c>
      <c r="Q2501">
        <f>IF($A2501="","",IF(OR($E2501="INFRUCTUEUX",$E2501="ANNULE"),$A2501&amp;"|"&amp;(COUNTIFS($A$2:$A2501,$A2501,$E$2:$E2501,"INFRUCTUEUX")+COUNTIFS($A$2:$A2501,$A2501,$E$2:$E2501,"ANNULE")),""))</f>
        <v/>
      </c>
    </row>
    <row r="2502">
      <c r="A2502">
        <f>IF(ISBLANK('ENGAGEMENTS 2026'!C2502),"",IF('ENGAGEMENTS 2026'!C2502="DTSI","DCT",'ENGAGEMENTS 2026'!C2502))</f>
        <v/>
      </c>
      <c r="B2502">
        <f>IF(ISBLANK('ENGAGEMENTS 2026'!C2502),"",'ENGAGEMENTS 2026'!D2502)</f>
        <v/>
      </c>
      <c r="C2502">
        <f>IF(ISBLANK('ENGAGEMENTS 2026'!C2502),"",'ENGAGEMENTS 2026'!E2502)</f>
        <v/>
      </c>
      <c r="D2502">
        <f>IF(ISBLANK('ENGAGEMENTS 2026'!C2502),"",'ENGAGEMENTS 2026'!G2502)</f>
        <v/>
      </c>
      <c r="E2502">
        <f>IF(ISBLANK('ENGAGEMENTS 2026'!C2502),"",'ENGAGEMENTS 2026'!I2502)</f>
        <v/>
      </c>
      <c r="F2502">
        <f>IF(ISBLANK('ENGAGEMENTS 2026'!C2502),"",'ENGAGEMENTS 2026'!J2502)</f>
        <v/>
      </c>
      <c r="G2502">
        <f>IF(ISBLANK('ENGAGEMENTS 2026'!C2502),"",'ENGAGEMENTS 2026'!M2502)</f>
        <v/>
      </c>
      <c r="H2502">
        <f>IF(ISBLANK('ENGAGEMENTS 2026'!C2502),"",'ENGAGEMENTS 2026'!AF2502)</f>
        <v/>
      </c>
      <c r="I2502">
        <f>IF(ISBLANK('ENGAGEMENTS 2026'!C2502),"",'ENGAGEMENTS 2026'!H2502)</f>
        <v/>
      </c>
      <c r="J2502" s="275">
        <f>IF(ISBLANK('ENGAGEMENTS 2026'!C2502),"",IF(AND(OR($E2502="INFRUCTUEUX",$E2502="ANNULE"),$C2502="AOO-M"),'ENGAGEMENTS 2026'!P2502,IF($H2502="EN COURS DE PREENGAGEMENT",'ENGAGEMENTS 2026'!O2502,IF($H2502="PREENGAGE",IF($E2502="ATTRIBUE",'ENGAGEMENTS 2026'!AE2502,'ENGAGEMENTS 2026'!O2502),'ENGAGEMENTS 2026'!AE2502))))</f>
        <v/>
      </c>
      <c r="K2502" s="604">
        <f>IF(ISBLANK('ENGAGEMENTS 2026'!W2502),"",'ENGAGEMENTS 2026'!W2502)</f>
        <v/>
      </c>
      <c r="L2502" s="276">
        <f>IF($K2502="","",TODAY()-$K2502)</f>
        <v/>
      </c>
      <c r="M2502">
        <f>IF($A2502="","",IF($H2502="ENGAGE","Engagé",IF(AND($H2502="NON ENGAGE",OR($I2502="INFRUCTUEUX",$I2502="ANNULE")),"Clôturé sans suite","En cours")))</f>
        <v/>
      </c>
      <c r="N2502">
        <f>IF(ISBLANK('ENGAGEMENTS 2026'!C2502),"",'ENGAGEMENTS 2026'!L2502)</f>
        <v/>
      </c>
      <c r="O2502">
        <f>IF(ISBLANK('ENGAGEMENTS 2026'!C2502),"",'ENGAGEMENTS 2026'!M2502)</f>
        <v/>
      </c>
      <c r="P2502">
        <f>IF(ISBLANK('ENGAGEMENTS 2026'!C2502),"",'ENGAGEMENTS 2026'!K2502)</f>
        <v/>
      </c>
      <c r="Q2502">
        <f>IF($A2502="","",IF(OR($E2502="INFRUCTUEUX",$E2502="ANNULE"),$A2502&amp;"|"&amp;(COUNTIFS($A$2:$A2502,$A2502,$E$2:$E2502,"INFRUCTUEUX")+COUNTIFS($A$2:$A2502,$A2502,$E$2:$E2502,"ANNULE")),""))</f>
        <v/>
      </c>
    </row>
    <row r="2503">
      <c r="A2503">
        <f>IF(ISBLANK('ENGAGEMENTS 2026'!C2503),"",IF('ENGAGEMENTS 2026'!C2503="DTSI","DCT",'ENGAGEMENTS 2026'!C2503))</f>
        <v/>
      </c>
      <c r="B2503">
        <f>IF(ISBLANK('ENGAGEMENTS 2026'!C2503),"",'ENGAGEMENTS 2026'!D2503)</f>
        <v/>
      </c>
      <c r="C2503">
        <f>IF(ISBLANK('ENGAGEMENTS 2026'!C2503),"",'ENGAGEMENTS 2026'!E2503)</f>
        <v/>
      </c>
      <c r="D2503">
        <f>IF(ISBLANK('ENGAGEMENTS 2026'!C2503),"",'ENGAGEMENTS 2026'!G2503)</f>
        <v/>
      </c>
      <c r="E2503">
        <f>IF(ISBLANK('ENGAGEMENTS 2026'!C2503),"",'ENGAGEMENTS 2026'!I2503)</f>
        <v/>
      </c>
      <c r="F2503">
        <f>IF(ISBLANK('ENGAGEMENTS 2026'!C2503),"",'ENGAGEMENTS 2026'!J2503)</f>
        <v/>
      </c>
      <c r="G2503">
        <f>IF(ISBLANK('ENGAGEMENTS 2026'!C2503),"",'ENGAGEMENTS 2026'!M2503)</f>
        <v/>
      </c>
      <c r="H2503">
        <f>IF(ISBLANK('ENGAGEMENTS 2026'!C2503),"",'ENGAGEMENTS 2026'!AF2503)</f>
        <v/>
      </c>
      <c r="I2503">
        <f>IF(ISBLANK('ENGAGEMENTS 2026'!C2503),"",'ENGAGEMENTS 2026'!H2503)</f>
        <v/>
      </c>
      <c r="J2503" s="275">
        <f>IF(ISBLANK('ENGAGEMENTS 2026'!C2503),"",IF(AND(OR($E2503="INFRUCTUEUX",$E2503="ANNULE"),$C2503="AOO-M"),'ENGAGEMENTS 2026'!P2503,IF($H2503="EN COURS DE PREENGAGEMENT",'ENGAGEMENTS 2026'!O2503,IF($H2503="PREENGAGE",IF($E2503="ATTRIBUE",'ENGAGEMENTS 2026'!AE2503,'ENGAGEMENTS 2026'!O2503),'ENGAGEMENTS 2026'!AE2503))))</f>
        <v/>
      </c>
      <c r="K2503" s="604">
        <f>IF(ISBLANK('ENGAGEMENTS 2026'!W2503),"",'ENGAGEMENTS 2026'!W2503)</f>
        <v/>
      </c>
      <c r="L2503" s="276">
        <f>IF($K2503="","",TODAY()-$K2503)</f>
        <v/>
      </c>
      <c r="M2503">
        <f>IF($A2503="","",IF($H2503="ENGAGE","Engagé",IF(AND($H2503="NON ENGAGE",OR($I2503="INFRUCTUEUX",$I2503="ANNULE")),"Clôturé sans suite","En cours")))</f>
        <v/>
      </c>
      <c r="N2503">
        <f>IF(ISBLANK('ENGAGEMENTS 2026'!C2503),"",'ENGAGEMENTS 2026'!L2503)</f>
        <v/>
      </c>
      <c r="O2503">
        <f>IF(ISBLANK('ENGAGEMENTS 2026'!C2503),"",'ENGAGEMENTS 2026'!M2503)</f>
        <v/>
      </c>
      <c r="P2503">
        <f>IF(ISBLANK('ENGAGEMENTS 2026'!C2503),"",'ENGAGEMENTS 2026'!K2503)</f>
        <v/>
      </c>
      <c r="Q2503">
        <f>IF($A2503="","",IF(OR($E2503="INFRUCTUEUX",$E2503="ANNULE"),$A2503&amp;"|"&amp;(COUNTIFS($A$2:$A2503,$A2503,$E$2:$E2503,"INFRUCTUEUX")+COUNTIFS($A$2:$A2503,$A2503,$E$2:$E2503,"ANNULE")),""))</f>
        <v/>
      </c>
    </row>
    <row r="2504">
      <c r="A2504">
        <f>IF(ISBLANK('ENGAGEMENTS 2026'!C2504),"",IF('ENGAGEMENTS 2026'!C2504="DTSI","DCT",'ENGAGEMENTS 2026'!C2504))</f>
        <v/>
      </c>
      <c r="B2504">
        <f>IF(ISBLANK('ENGAGEMENTS 2026'!C2504),"",'ENGAGEMENTS 2026'!D2504)</f>
        <v/>
      </c>
      <c r="C2504">
        <f>IF(ISBLANK('ENGAGEMENTS 2026'!C2504),"",'ENGAGEMENTS 2026'!E2504)</f>
        <v/>
      </c>
      <c r="D2504">
        <f>IF(ISBLANK('ENGAGEMENTS 2026'!C2504),"",'ENGAGEMENTS 2026'!G2504)</f>
        <v/>
      </c>
      <c r="E2504">
        <f>IF(ISBLANK('ENGAGEMENTS 2026'!C2504),"",'ENGAGEMENTS 2026'!I2504)</f>
        <v/>
      </c>
      <c r="F2504">
        <f>IF(ISBLANK('ENGAGEMENTS 2026'!C2504),"",'ENGAGEMENTS 2026'!J2504)</f>
        <v/>
      </c>
      <c r="G2504">
        <f>IF(ISBLANK('ENGAGEMENTS 2026'!C2504),"",'ENGAGEMENTS 2026'!M2504)</f>
        <v/>
      </c>
      <c r="H2504">
        <f>IF(ISBLANK('ENGAGEMENTS 2026'!C2504),"",'ENGAGEMENTS 2026'!AF2504)</f>
        <v/>
      </c>
      <c r="I2504">
        <f>IF(ISBLANK('ENGAGEMENTS 2026'!C2504),"",'ENGAGEMENTS 2026'!H2504)</f>
        <v/>
      </c>
      <c r="J2504" s="275">
        <f>IF(ISBLANK('ENGAGEMENTS 2026'!C2504),"",IF(AND(OR($E2504="INFRUCTUEUX",$E2504="ANNULE"),$C2504="AOO-M"),'ENGAGEMENTS 2026'!P2504,IF($H2504="EN COURS DE PREENGAGEMENT",'ENGAGEMENTS 2026'!O2504,IF($H2504="PREENGAGE",IF($E2504="ATTRIBUE",'ENGAGEMENTS 2026'!AE2504,'ENGAGEMENTS 2026'!O2504),'ENGAGEMENTS 2026'!AE2504))))</f>
        <v/>
      </c>
      <c r="K2504" s="604">
        <f>IF(ISBLANK('ENGAGEMENTS 2026'!W2504),"",'ENGAGEMENTS 2026'!W2504)</f>
        <v/>
      </c>
      <c r="L2504" s="276">
        <f>IF($K2504="","",TODAY()-$K2504)</f>
        <v/>
      </c>
      <c r="M2504">
        <f>IF($A2504="","",IF($H2504="ENGAGE","Engagé",IF(AND($H2504="NON ENGAGE",OR($I2504="INFRUCTUEUX",$I2504="ANNULE")),"Clôturé sans suite","En cours")))</f>
        <v/>
      </c>
      <c r="N2504">
        <f>IF(ISBLANK('ENGAGEMENTS 2026'!C2504),"",'ENGAGEMENTS 2026'!L2504)</f>
        <v/>
      </c>
      <c r="O2504">
        <f>IF(ISBLANK('ENGAGEMENTS 2026'!C2504),"",'ENGAGEMENTS 2026'!M2504)</f>
        <v/>
      </c>
      <c r="P2504">
        <f>IF(ISBLANK('ENGAGEMENTS 2026'!C2504),"",'ENGAGEMENTS 2026'!K2504)</f>
        <v/>
      </c>
      <c r="Q2504">
        <f>IF($A2504="","",IF(OR($E2504="INFRUCTUEUX",$E2504="ANNULE"),$A2504&amp;"|"&amp;(COUNTIFS($A$2:$A2504,$A2504,$E$2:$E2504,"INFRUCTUEUX")+COUNTIFS($A$2:$A2504,$A2504,$E$2:$E2504,"ANNULE")),""))</f>
        <v/>
      </c>
    </row>
    <row r="2505">
      <c r="A2505">
        <f>IF(ISBLANK('ENGAGEMENTS 2026'!C2505),"",IF('ENGAGEMENTS 2026'!C2505="DTSI","DCT",'ENGAGEMENTS 2026'!C2505))</f>
        <v/>
      </c>
      <c r="B2505">
        <f>IF(ISBLANK('ENGAGEMENTS 2026'!C2505),"",'ENGAGEMENTS 2026'!D2505)</f>
        <v/>
      </c>
      <c r="C2505">
        <f>IF(ISBLANK('ENGAGEMENTS 2026'!C2505),"",'ENGAGEMENTS 2026'!E2505)</f>
        <v/>
      </c>
      <c r="D2505">
        <f>IF(ISBLANK('ENGAGEMENTS 2026'!C2505),"",'ENGAGEMENTS 2026'!G2505)</f>
        <v/>
      </c>
      <c r="E2505">
        <f>IF(ISBLANK('ENGAGEMENTS 2026'!C2505),"",'ENGAGEMENTS 2026'!I2505)</f>
        <v/>
      </c>
      <c r="F2505">
        <f>IF(ISBLANK('ENGAGEMENTS 2026'!C2505),"",'ENGAGEMENTS 2026'!J2505)</f>
        <v/>
      </c>
      <c r="G2505">
        <f>IF(ISBLANK('ENGAGEMENTS 2026'!C2505),"",'ENGAGEMENTS 2026'!M2505)</f>
        <v/>
      </c>
      <c r="H2505">
        <f>IF(ISBLANK('ENGAGEMENTS 2026'!C2505),"",'ENGAGEMENTS 2026'!AF2505)</f>
        <v/>
      </c>
      <c r="I2505">
        <f>IF(ISBLANK('ENGAGEMENTS 2026'!C2505),"",'ENGAGEMENTS 2026'!H2505)</f>
        <v/>
      </c>
      <c r="J2505" s="275">
        <f>IF(ISBLANK('ENGAGEMENTS 2026'!C2505),"",IF(AND(OR($E2505="INFRUCTUEUX",$E2505="ANNULE"),$C2505="AOO-M"),'ENGAGEMENTS 2026'!P2505,IF($H2505="EN COURS DE PREENGAGEMENT",'ENGAGEMENTS 2026'!O2505,IF($H2505="PREENGAGE",IF($E2505="ATTRIBUE",'ENGAGEMENTS 2026'!AE2505,'ENGAGEMENTS 2026'!O2505),'ENGAGEMENTS 2026'!AE2505))))</f>
        <v/>
      </c>
      <c r="K2505" s="604">
        <f>IF(ISBLANK('ENGAGEMENTS 2026'!W2505),"",'ENGAGEMENTS 2026'!W2505)</f>
        <v/>
      </c>
      <c r="L2505" s="276">
        <f>IF($K2505="","",TODAY()-$K2505)</f>
        <v/>
      </c>
      <c r="M2505">
        <f>IF($A2505="","",IF($H2505="ENGAGE","Engagé",IF(AND($H2505="NON ENGAGE",OR($I2505="INFRUCTUEUX",$I2505="ANNULE")),"Clôturé sans suite","En cours")))</f>
        <v/>
      </c>
      <c r="N2505">
        <f>IF(ISBLANK('ENGAGEMENTS 2026'!C2505),"",'ENGAGEMENTS 2026'!L2505)</f>
        <v/>
      </c>
      <c r="O2505">
        <f>IF(ISBLANK('ENGAGEMENTS 2026'!C2505),"",'ENGAGEMENTS 2026'!M2505)</f>
        <v/>
      </c>
      <c r="P2505">
        <f>IF(ISBLANK('ENGAGEMENTS 2026'!C2505),"",'ENGAGEMENTS 2026'!K2505)</f>
        <v/>
      </c>
      <c r="Q2505">
        <f>IF($A2505="","",IF(OR($E2505="INFRUCTUEUX",$E2505="ANNULE"),$A2505&amp;"|"&amp;(COUNTIFS($A$2:$A2505,$A2505,$E$2:$E2505,"INFRUCTUEUX")+COUNTIFS($A$2:$A2505,$A2505,$E$2:$E2505,"ANNULE")),""))</f>
        <v/>
      </c>
    </row>
    <row r="2506">
      <c r="A2506">
        <f>IF(ISBLANK('ENGAGEMENTS 2026'!C2506),"",IF('ENGAGEMENTS 2026'!C2506="DTSI","DCT",'ENGAGEMENTS 2026'!C2506))</f>
        <v/>
      </c>
      <c r="B2506">
        <f>IF(ISBLANK('ENGAGEMENTS 2026'!C2506),"",'ENGAGEMENTS 2026'!D2506)</f>
        <v/>
      </c>
      <c r="C2506">
        <f>IF(ISBLANK('ENGAGEMENTS 2026'!C2506),"",'ENGAGEMENTS 2026'!E2506)</f>
        <v/>
      </c>
      <c r="D2506">
        <f>IF(ISBLANK('ENGAGEMENTS 2026'!C2506),"",'ENGAGEMENTS 2026'!G2506)</f>
        <v/>
      </c>
      <c r="E2506">
        <f>IF(ISBLANK('ENGAGEMENTS 2026'!C2506),"",'ENGAGEMENTS 2026'!I2506)</f>
        <v/>
      </c>
      <c r="F2506">
        <f>IF(ISBLANK('ENGAGEMENTS 2026'!C2506),"",'ENGAGEMENTS 2026'!J2506)</f>
        <v/>
      </c>
      <c r="G2506">
        <f>IF(ISBLANK('ENGAGEMENTS 2026'!C2506),"",'ENGAGEMENTS 2026'!M2506)</f>
        <v/>
      </c>
      <c r="H2506">
        <f>IF(ISBLANK('ENGAGEMENTS 2026'!C2506),"",'ENGAGEMENTS 2026'!AF2506)</f>
        <v/>
      </c>
      <c r="I2506">
        <f>IF(ISBLANK('ENGAGEMENTS 2026'!C2506),"",'ENGAGEMENTS 2026'!H2506)</f>
        <v/>
      </c>
      <c r="J2506" s="275">
        <f>IF(ISBLANK('ENGAGEMENTS 2026'!C2506),"",IF(AND(OR($E2506="INFRUCTUEUX",$E2506="ANNULE"),$C2506="AOO-M"),'ENGAGEMENTS 2026'!P2506,IF($H2506="EN COURS DE PREENGAGEMENT",'ENGAGEMENTS 2026'!O2506,IF($H2506="PREENGAGE",IF($E2506="ATTRIBUE",'ENGAGEMENTS 2026'!AE2506,'ENGAGEMENTS 2026'!O2506),'ENGAGEMENTS 2026'!AE2506))))</f>
        <v/>
      </c>
      <c r="K2506" s="604">
        <f>IF(ISBLANK('ENGAGEMENTS 2026'!W2506),"",'ENGAGEMENTS 2026'!W2506)</f>
        <v/>
      </c>
      <c r="L2506" s="276">
        <f>IF($K2506="","",TODAY()-$K2506)</f>
        <v/>
      </c>
      <c r="M2506">
        <f>IF($A2506="","",IF($H2506="ENGAGE","Engagé",IF(AND($H2506="NON ENGAGE",OR($I2506="INFRUCTUEUX",$I2506="ANNULE")),"Clôturé sans suite","En cours")))</f>
        <v/>
      </c>
      <c r="N2506">
        <f>IF(ISBLANK('ENGAGEMENTS 2026'!C2506),"",'ENGAGEMENTS 2026'!L2506)</f>
        <v/>
      </c>
      <c r="O2506">
        <f>IF(ISBLANK('ENGAGEMENTS 2026'!C2506),"",'ENGAGEMENTS 2026'!M2506)</f>
        <v/>
      </c>
      <c r="P2506">
        <f>IF(ISBLANK('ENGAGEMENTS 2026'!C2506),"",'ENGAGEMENTS 2026'!K2506)</f>
        <v/>
      </c>
      <c r="Q2506">
        <f>IF($A2506="","",IF(OR($E2506="INFRUCTUEUX",$E2506="ANNULE"),$A2506&amp;"|"&amp;(COUNTIFS($A$2:$A2506,$A2506,$E$2:$E2506,"INFRUCTUEUX")+COUNTIFS($A$2:$A2506,$A2506,$E$2:$E2506,"ANNULE")),""))</f>
        <v/>
      </c>
    </row>
    <row r="2507">
      <c r="A2507">
        <f>IF(ISBLANK('ENGAGEMENTS 2026'!C2507),"",IF('ENGAGEMENTS 2026'!C2507="DTSI","DCT",'ENGAGEMENTS 2026'!C2507))</f>
        <v/>
      </c>
      <c r="B2507">
        <f>IF(ISBLANK('ENGAGEMENTS 2026'!C2507),"",'ENGAGEMENTS 2026'!D2507)</f>
        <v/>
      </c>
      <c r="C2507">
        <f>IF(ISBLANK('ENGAGEMENTS 2026'!C2507),"",'ENGAGEMENTS 2026'!E2507)</f>
        <v/>
      </c>
      <c r="D2507">
        <f>IF(ISBLANK('ENGAGEMENTS 2026'!C2507),"",'ENGAGEMENTS 2026'!G2507)</f>
        <v/>
      </c>
      <c r="E2507">
        <f>IF(ISBLANK('ENGAGEMENTS 2026'!C2507),"",'ENGAGEMENTS 2026'!I2507)</f>
        <v/>
      </c>
      <c r="F2507">
        <f>IF(ISBLANK('ENGAGEMENTS 2026'!C2507),"",'ENGAGEMENTS 2026'!J2507)</f>
        <v/>
      </c>
      <c r="G2507">
        <f>IF(ISBLANK('ENGAGEMENTS 2026'!C2507),"",'ENGAGEMENTS 2026'!M2507)</f>
        <v/>
      </c>
      <c r="H2507">
        <f>IF(ISBLANK('ENGAGEMENTS 2026'!C2507),"",'ENGAGEMENTS 2026'!AF2507)</f>
        <v/>
      </c>
      <c r="I2507">
        <f>IF(ISBLANK('ENGAGEMENTS 2026'!C2507),"",'ENGAGEMENTS 2026'!H2507)</f>
        <v/>
      </c>
      <c r="J2507" s="275">
        <f>IF(ISBLANK('ENGAGEMENTS 2026'!C2507),"",IF(AND(OR($E2507="INFRUCTUEUX",$E2507="ANNULE"),$C2507="AOO-M"),'ENGAGEMENTS 2026'!P2507,IF($H2507="EN COURS DE PREENGAGEMENT",'ENGAGEMENTS 2026'!O2507,IF($H2507="PREENGAGE",IF($E2507="ATTRIBUE",'ENGAGEMENTS 2026'!AE2507,'ENGAGEMENTS 2026'!O2507),'ENGAGEMENTS 2026'!AE2507))))</f>
        <v/>
      </c>
      <c r="K2507" s="604">
        <f>IF(ISBLANK('ENGAGEMENTS 2026'!W2507),"",'ENGAGEMENTS 2026'!W2507)</f>
        <v/>
      </c>
      <c r="L2507" s="276">
        <f>IF($K2507="","",TODAY()-$K2507)</f>
        <v/>
      </c>
      <c r="M2507">
        <f>IF($A2507="","",IF($H2507="ENGAGE","Engagé",IF(AND($H2507="NON ENGAGE",OR($I2507="INFRUCTUEUX",$I2507="ANNULE")),"Clôturé sans suite","En cours")))</f>
        <v/>
      </c>
      <c r="N2507">
        <f>IF(ISBLANK('ENGAGEMENTS 2026'!C2507),"",'ENGAGEMENTS 2026'!L2507)</f>
        <v/>
      </c>
      <c r="O2507">
        <f>IF(ISBLANK('ENGAGEMENTS 2026'!C2507),"",'ENGAGEMENTS 2026'!M2507)</f>
        <v/>
      </c>
      <c r="P2507">
        <f>IF(ISBLANK('ENGAGEMENTS 2026'!C2507),"",'ENGAGEMENTS 2026'!K2507)</f>
        <v/>
      </c>
      <c r="Q2507">
        <f>IF($A2507="","",IF(OR($E2507="INFRUCTUEUX",$E2507="ANNULE"),$A2507&amp;"|"&amp;(COUNTIFS($A$2:$A2507,$A2507,$E$2:$E2507,"INFRUCTUEUX")+COUNTIFS($A$2:$A2507,$A2507,$E$2:$E2507,"ANNULE")),""))</f>
        <v/>
      </c>
    </row>
    <row r="2508">
      <c r="A2508">
        <f>IF(ISBLANK('ENGAGEMENTS 2026'!C2508),"",IF('ENGAGEMENTS 2026'!C2508="DTSI","DCT",'ENGAGEMENTS 2026'!C2508))</f>
        <v/>
      </c>
      <c r="B2508">
        <f>IF(ISBLANK('ENGAGEMENTS 2026'!C2508),"",'ENGAGEMENTS 2026'!D2508)</f>
        <v/>
      </c>
      <c r="C2508">
        <f>IF(ISBLANK('ENGAGEMENTS 2026'!C2508),"",'ENGAGEMENTS 2026'!E2508)</f>
        <v/>
      </c>
      <c r="D2508">
        <f>IF(ISBLANK('ENGAGEMENTS 2026'!C2508),"",'ENGAGEMENTS 2026'!G2508)</f>
        <v/>
      </c>
      <c r="E2508">
        <f>IF(ISBLANK('ENGAGEMENTS 2026'!C2508),"",'ENGAGEMENTS 2026'!I2508)</f>
        <v/>
      </c>
      <c r="F2508">
        <f>IF(ISBLANK('ENGAGEMENTS 2026'!C2508),"",'ENGAGEMENTS 2026'!J2508)</f>
        <v/>
      </c>
      <c r="G2508">
        <f>IF(ISBLANK('ENGAGEMENTS 2026'!C2508),"",'ENGAGEMENTS 2026'!M2508)</f>
        <v/>
      </c>
      <c r="H2508">
        <f>IF(ISBLANK('ENGAGEMENTS 2026'!C2508),"",'ENGAGEMENTS 2026'!AF2508)</f>
        <v/>
      </c>
      <c r="I2508">
        <f>IF(ISBLANK('ENGAGEMENTS 2026'!C2508),"",'ENGAGEMENTS 2026'!H2508)</f>
        <v/>
      </c>
      <c r="J2508" s="275">
        <f>IF(ISBLANK('ENGAGEMENTS 2026'!C2508),"",IF(AND(OR($E2508="INFRUCTUEUX",$E2508="ANNULE"),$C2508="AOO-M"),'ENGAGEMENTS 2026'!P2508,IF($H2508="EN COURS DE PREENGAGEMENT",'ENGAGEMENTS 2026'!O2508,IF($H2508="PREENGAGE",IF($E2508="ATTRIBUE",'ENGAGEMENTS 2026'!AE2508,'ENGAGEMENTS 2026'!O2508),'ENGAGEMENTS 2026'!AE2508))))</f>
        <v/>
      </c>
      <c r="K2508" s="604">
        <f>IF(ISBLANK('ENGAGEMENTS 2026'!W2508),"",'ENGAGEMENTS 2026'!W2508)</f>
        <v/>
      </c>
      <c r="L2508" s="276">
        <f>IF($K2508="","",TODAY()-$K2508)</f>
        <v/>
      </c>
      <c r="M2508">
        <f>IF($A2508="","",IF($H2508="ENGAGE","Engagé",IF(AND($H2508="NON ENGAGE",OR($I2508="INFRUCTUEUX",$I2508="ANNULE")),"Clôturé sans suite","En cours")))</f>
        <v/>
      </c>
      <c r="N2508">
        <f>IF(ISBLANK('ENGAGEMENTS 2026'!C2508),"",'ENGAGEMENTS 2026'!L2508)</f>
        <v/>
      </c>
      <c r="O2508">
        <f>IF(ISBLANK('ENGAGEMENTS 2026'!C2508),"",'ENGAGEMENTS 2026'!M2508)</f>
        <v/>
      </c>
      <c r="P2508">
        <f>IF(ISBLANK('ENGAGEMENTS 2026'!C2508),"",'ENGAGEMENTS 2026'!K2508)</f>
        <v/>
      </c>
      <c r="Q2508">
        <f>IF($A2508="","",IF(OR($E2508="INFRUCTUEUX",$E2508="ANNULE"),$A2508&amp;"|"&amp;(COUNTIFS($A$2:$A2508,$A2508,$E$2:$E2508,"INFRUCTUEUX")+COUNTIFS($A$2:$A2508,$A2508,$E$2:$E2508,"ANNULE")),""))</f>
        <v/>
      </c>
    </row>
    <row r="2509">
      <c r="A2509">
        <f>IF(ISBLANK('ENGAGEMENTS 2026'!C2509),"",IF('ENGAGEMENTS 2026'!C2509="DTSI","DCT",'ENGAGEMENTS 2026'!C2509))</f>
        <v/>
      </c>
      <c r="B2509">
        <f>IF(ISBLANK('ENGAGEMENTS 2026'!C2509),"",'ENGAGEMENTS 2026'!D2509)</f>
        <v/>
      </c>
      <c r="C2509">
        <f>IF(ISBLANK('ENGAGEMENTS 2026'!C2509),"",'ENGAGEMENTS 2026'!E2509)</f>
        <v/>
      </c>
      <c r="D2509">
        <f>IF(ISBLANK('ENGAGEMENTS 2026'!C2509),"",'ENGAGEMENTS 2026'!G2509)</f>
        <v/>
      </c>
      <c r="E2509">
        <f>IF(ISBLANK('ENGAGEMENTS 2026'!C2509),"",'ENGAGEMENTS 2026'!I2509)</f>
        <v/>
      </c>
      <c r="F2509">
        <f>IF(ISBLANK('ENGAGEMENTS 2026'!C2509),"",'ENGAGEMENTS 2026'!J2509)</f>
        <v/>
      </c>
      <c r="G2509">
        <f>IF(ISBLANK('ENGAGEMENTS 2026'!C2509),"",'ENGAGEMENTS 2026'!M2509)</f>
        <v/>
      </c>
      <c r="H2509">
        <f>IF(ISBLANK('ENGAGEMENTS 2026'!C2509),"",'ENGAGEMENTS 2026'!AF2509)</f>
        <v/>
      </c>
      <c r="I2509">
        <f>IF(ISBLANK('ENGAGEMENTS 2026'!C2509),"",'ENGAGEMENTS 2026'!H2509)</f>
        <v/>
      </c>
      <c r="J2509" s="275">
        <f>IF(ISBLANK('ENGAGEMENTS 2026'!C2509),"",IF(AND(OR($E2509="INFRUCTUEUX",$E2509="ANNULE"),$C2509="AOO-M"),'ENGAGEMENTS 2026'!P2509,IF($H2509="EN COURS DE PREENGAGEMENT",'ENGAGEMENTS 2026'!O2509,IF($H2509="PREENGAGE",IF($E2509="ATTRIBUE",'ENGAGEMENTS 2026'!AE2509,'ENGAGEMENTS 2026'!O2509),'ENGAGEMENTS 2026'!AE2509))))</f>
        <v/>
      </c>
      <c r="K2509" s="604">
        <f>IF(ISBLANK('ENGAGEMENTS 2026'!W2509),"",'ENGAGEMENTS 2026'!W2509)</f>
        <v/>
      </c>
      <c r="L2509" s="276">
        <f>IF($K2509="","",TODAY()-$K2509)</f>
        <v/>
      </c>
      <c r="M2509">
        <f>IF($A2509="","",IF($H2509="ENGAGE","Engagé",IF(AND($H2509="NON ENGAGE",OR($I2509="INFRUCTUEUX",$I2509="ANNULE")),"Clôturé sans suite","En cours")))</f>
        <v/>
      </c>
      <c r="N2509">
        <f>IF(ISBLANK('ENGAGEMENTS 2026'!C2509),"",'ENGAGEMENTS 2026'!L2509)</f>
        <v/>
      </c>
      <c r="O2509">
        <f>IF(ISBLANK('ENGAGEMENTS 2026'!C2509),"",'ENGAGEMENTS 2026'!M2509)</f>
        <v/>
      </c>
      <c r="P2509">
        <f>IF(ISBLANK('ENGAGEMENTS 2026'!C2509),"",'ENGAGEMENTS 2026'!K2509)</f>
        <v/>
      </c>
      <c r="Q2509">
        <f>IF($A2509="","",IF(OR($E2509="INFRUCTUEUX",$E2509="ANNULE"),$A2509&amp;"|"&amp;(COUNTIFS($A$2:$A2509,$A2509,$E$2:$E2509,"INFRUCTUEUX")+COUNTIFS($A$2:$A2509,$A2509,$E$2:$E2509,"ANNULE")),""))</f>
        <v/>
      </c>
    </row>
    <row r="2510">
      <c r="A2510">
        <f>IF(ISBLANK('ENGAGEMENTS 2026'!C2510),"",IF('ENGAGEMENTS 2026'!C2510="DTSI","DCT",'ENGAGEMENTS 2026'!C2510))</f>
        <v/>
      </c>
      <c r="B2510">
        <f>IF(ISBLANK('ENGAGEMENTS 2026'!C2510),"",'ENGAGEMENTS 2026'!D2510)</f>
        <v/>
      </c>
      <c r="C2510">
        <f>IF(ISBLANK('ENGAGEMENTS 2026'!C2510),"",'ENGAGEMENTS 2026'!E2510)</f>
        <v/>
      </c>
      <c r="D2510">
        <f>IF(ISBLANK('ENGAGEMENTS 2026'!C2510),"",'ENGAGEMENTS 2026'!G2510)</f>
        <v/>
      </c>
      <c r="E2510">
        <f>IF(ISBLANK('ENGAGEMENTS 2026'!C2510),"",'ENGAGEMENTS 2026'!I2510)</f>
        <v/>
      </c>
      <c r="F2510">
        <f>IF(ISBLANK('ENGAGEMENTS 2026'!C2510),"",'ENGAGEMENTS 2026'!J2510)</f>
        <v/>
      </c>
      <c r="G2510">
        <f>IF(ISBLANK('ENGAGEMENTS 2026'!C2510),"",'ENGAGEMENTS 2026'!M2510)</f>
        <v/>
      </c>
      <c r="H2510">
        <f>IF(ISBLANK('ENGAGEMENTS 2026'!C2510),"",'ENGAGEMENTS 2026'!AF2510)</f>
        <v/>
      </c>
      <c r="I2510">
        <f>IF(ISBLANK('ENGAGEMENTS 2026'!C2510),"",'ENGAGEMENTS 2026'!H2510)</f>
        <v/>
      </c>
      <c r="J2510" s="275">
        <f>IF(ISBLANK('ENGAGEMENTS 2026'!C2510),"",IF(AND(OR($E2510="INFRUCTUEUX",$E2510="ANNULE"),$C2510="AOO-M"),'ENGAGEMENTS 2026'!P2510,IF($H2510="EN COURS DE PREENGAGEMENT",'ENGAGEMENTS 2026'!O2510,IF($H2510="PREENGAGE",IF($E2510="ATTRIBUE",'ENGAGEMENTS 2026'!AE2510,'ENGAGEMENTS 2026'!O2510),'ENGAGEMENTS 2026'!AE2510))))</f>
        <v/>
      </c>
      <c r="K2510" s="604">
        <f>IF(ISBLANK('ENGAGEMENTS 2026'!W2510),"",'ENGAGEMENTS 2026'!W2510)</f>
        <v/>
      </c>
      <c r="L2510" s="276">
        <f>IF($K2510="","",TODAY()-$K2510)</f>
        <v/>
      </c>
      <c r="M2510">
        <f>IF($A2510="","",IF($H2510="ENGAGE","Engagé",IF(AND($H2510="NON ENGAGE",OR($I2510="INFRUCTUEUX",$I2510="ANNULE")),"Clôturé sans suite","En cours")))</f>
        <v/>
      </c>
      <c r="N2510">
        <f>IF(ISBLANK('ENGAGEMENTS 2026'!C2510),"",'ENGAGEMENTS 2026'!L2510)</f>
        <v/>
      </c>
      <c r="O2510">
        <f>IF(ISBLANK('ENGAGEMENTS 2026'!C2510),"",'ENGAGEMENTS 2026'!M2510)</f>
        <v/>
      </c>
      <c r="P2510">
        <f>IF(ISBLANK('ENGAGEMENTS 2026'!C2510),"",'ENGAGEMENTS 2026'!K2510)</f>
        <v/>
      </c>
      <c r="Q2510">
        <f>IF($A2510="","",IF(OR($E2510="INFRUCTUEUX",$E2510="ANNULE"),$A2510&amp;"|"&amp;(COUNTIFS($A$2:$A2510,$A2510,$E$2:$E2510,"INFRUCTUEUX")+COUNTIFS($A$2:$A2510,$A2510,$E$2:$E2510,"ANNULE")),""))</f>
        <v/>
      </c>
    </row>
    <row r="2511">
      <c r="A2511">
        <f>IF(ISBLANK('ENGAGEMENTS 2026'!C2511),"",IF('ENGAGEMENTS 2026'!C2511="DTSI","DCT",'ENGAGEMENTS 2026'!C2511))</f>
        <v/>
      </c>
      <c r="B2511">
        <f>IF(ISBLANK('ENGAGEMENTS 2026'!C2511),"",'ENGAGEMENTS 2026'!D2511)</f>
        <v/>
      </c>
      <c r="C2511">
        <f>IF(ISBLANK('ENGAGEMENTS 2026'!C2511),"",'ENGAGEMENTS 2026'!E2511)</f>
        <v/>
      </c>
      <c r="D2511">
        <f>IF(ISBLANK('ENGAGEMENTS 2026'!C2511),"",'ENGAGEMENTS 2026'!G2511)</f>
        <v/>
      </c>
      <c r="E2511">
        <f>IF(ISBLANK('ENGAGEMENTS 2026'!C2511),"",'ENGAGEMENTS 2026'!I2511)</f>
        <v/>
      </c>
      <c r="F2511">
        <f>IF(ISBLANK('ENGAGEMENTS 2026'!C2511),"",'ENGAGEMENTS 2026'!J2511)</f>
        <v/>
      </c>
      <c r="G2511">
        <f>IF(ISBLANK('ENGAGEMENTS 2026'!C2511),"",'ENGAGEMENTS 2026'!M2511)</f>
        <v/>
      </c>
      <c r="H2511">
        <f>IF(ISBLANK('ENGAGEMENTS 2026'!C2511),"",'ENGAGEMENTS 2026'!AF2511)</f>
        <v/>
      </c>
      <c r="I2511">
        <f>IF(ISBLANK('ENGAGEMENTS 2026'!C2511),"",'ENGAGEMENTS 2026'!H2511)</f>
        <v/>
      </c>
      <c r="J2511" s="275">
        <f>IF(ISBLANK('ENGAGEMENTS 2026'!C2511),"",IF(AND(OR($E2511="INFRUCTUEUX",$E2511="ANNULE"),$C2511="AOO-M"),'ENGAGEMENTS 2026'!P2511,IF($H2511="EN COURS DE PREENGAGEMENT",'ENGAGEMENTS 2026'!O2511,IF($H2511="PREENGAGE",IF($E2511="ATTRIBUE",'ENGAGEMENTS 2026'!AE2511,'ENGAGEMENTS 2026'!O2511),'ENGAGEMENTS 2026'!AE2511))))</f>
        <v/>
      </c>
      <c r="K2511" s="604">
        <f>IF(ISBLANK('ENGAGEMENTS 2026'!W2511),"",'ENGAGEMENTS 2026'!W2511)</f>
        <v/>
      </c>
      <c r="L2511" s="276">
        <f>IF($K2511="","",TODAY()-$K2511)</f>
        <v/>
      </c>
      <c r="M2511">
        <f>IF($A2511="","",IF($H2511="ENGAGE","Engagé",IF(AND($H2511="NON ENGAGE",OR($I2511="INFRUCTUEUX",$I2511="ANNULE")),"Clôturé sans suite","En cours")))</f>
        <v/>
      </c>
      <c r="N2511">
        <f>IF(ISBLANK('ENGAGEMENTS 2026'!C2511),"",'ENGAGEMENTS 2026'!L2511)</f>
        <v/>
      </c>
      <c r="O2511">
        <f>IF(ISBLANK('ENGAGEMENTS 2026'!C2511),"",'ENGAGEMENTS 2026'!M2511)</f>
        <v/>
      </c>
      <c r="P2511">
        <f>IF(ISBLANK('ENGAGEMENTS 2026'!C2511),"",'ENGAGEMENTS 2026'!K2511)</f>
        <v/>
      </c>
      <c r="Q2511">
        <f>IF($A2511="","",IF(OR($E2511="INFRUCTUEUX",$E2511="ANNULE"),$A2511&amp;"|"&amp;(COUNTIFS($A$2:$A2511,$A2511,$E$2:$E2511,"INFRUCTUEUX")+COUNTIFS($A$2:$A2511,$A2511,$E$2:$E2511,"ANNULE")),""))</f>
        <v/>
      </c>
    </row>
    <row r="2512">
      <c r="A2512">
        <f>IF(ISBLANK('ENGAGEMENTS 2026'!C2512),"",IF('ENGAGEMENTS 2026'!C2512="DTSI","DCT",'ENGAGEMENTS 2026'!C2512))</f>
        <v/>
      </c>
      <c r="B2512">
        <f>IF(ISBLANK('ENGAGEMENTS 2026'!C2512),"",'ENGAGEMENTS 2026'!D2512)</f>
        <v/>
      </c>
      <c r="C2512">
        <f>IF(ISBLANK('ENGAGEMENTS 2026'!C2512),"",'ENGAGEMENTS 2026'!E2512)</f>
        <v/>
      </c>
      <c r="D2512">
        <f>IF(ISBLANK('ENGAGEMENTS 2026'!C2512),"",'ENGAGEMENTS 2026'!G2512)</f>
        <v/>
      </c>
      <c r="E2512">
        <f>IF(ISBLANK('ENGAGEMENTS 2026'!C2512),"",'ENGAGEMENTS 2026'!I2512)</f>
        <v/>
      </c>
      <c r="F2512">
        <f>IF(ISBLANK('ENGAGEMENTS 2026'!C2512),"",'ENGAGEMENTS 2026'!J2512)</f>
        <v/>
      </c>
      <c r="G2512">
        <f>IF(ISBLANK('ENGAGEMENTS 2026'!C2512),"",'ENGAGEMENTS 2026'!M2512)</f>
        <v/>
      </c>
      <c r="H2512">
        <f>IF(ISBLANK('ENGAGEMENTS 2026'!C2512),"",'ENGAGEMENTS 2026'!AF2512)</f>
        <v/>
      </c>
      <c r="I2512">
        <f>IF(ISBLANK('ENGAGEMENTS 2026'!C2512),"",'ENGAGEMENTS 2026'!H2512)</f>
        <v/>
      </c>
      <c r="J2512" s="275">
        <f>IF(ISBLANK('ENGAGEMENTS 2026'!C2512),"",IF(AND(OR($E2512="INFRUCTUEUX",$E2512="ANNULE"),$C2512="AOO-M"),'ENGAGEMENTS 2026'!P2512,IF($H2512="EN COURS DE PREENGAGEMENT",'ENGAGEMENTS 2026'!O2512,IF($H2512="PREENGAGE",IF($E2512="ATTRIBUE",'ENGAGEMENTS 2026'!AE2512,'ENGAGEMENTS 2026'!O2512),'ENGAGEMENTS 2026'!AE2512))))</f>
        <v/>
      </c>
      <c r="K2512" s="604">
        <f>IF(ISBLANK('ENGAGEMENTS 2026'!W2512),"",'ENGAGEMENTS 2026'!W2512)</f>
        <v/>
      </c>
      <c r="L2512" s="276">
        <f>IF($K2512="","",TODAY()-$K2512)</f>
        <v/>
      </c>
      <c r="M2512">
        <f>IF($A2512="","",IF($H2512="ENGAGE","Engagé",IF(AND($H2512="NON ENGAGE",OR($I2512="INFRUCTUEUX",$I2512="ANNULE")),"Clôturé sans suite","En cours")))</f>
        <v/>
      </c>
      <c r="N2512">
        <f>IF(ISBLANK('ENGAGEMENTS 2026'!C2512),"",'ENGAGEMENTS 2026'!L2512)</f>
        <v/>
      </c>
      <c r="O2512">
        <f>IF(ISBLANK('ENGAGEMENTS 2026'!C2512),"",'ENGAGEMENTS 2026'!M2512)</f>
        <v/>
      </c>
      <c r="P2512">
        <f>IF(ISBLANK('ENGAGEMENTS 2026'!C2512),"",'ENGAGEMENTS 2026'!K2512)</f>
        <v/>
      </c>
      <c r="Q2512">
        <f>IF($A2512="","",IF(OR($E2512="INFRUCTUEUX",$E2512="ANNULE"),$A2512&amp;"|"&amp;(COUNTIFS($A$2:$A2512,$A2512,$E$2:$E2512,"INFRUCTUEUX")+COUNTIFS($A$2:$A2512,$A2512,$E$2:$E2512,"ANNULE")),""))</f>
        <v/>
      </c>
    </row>
    <row r="2513">
      <c r="A2513">
        <f>IF(ISBLANK('ENGAGEMENTS 2026'!C2513),"",IF('ENGAGEMENTS 2026'!C2513="DTSI","DCT",'ENGAGEMENTS 2026'!C2513))</f>
        <v/>
      </c>
      <c r="B2513">
        <f>IF(ISBLANK('ENGAGEMENTS 2026'!C2513),"",'ENGAGEMENTS 2026'!D2513)</f>
        <v/>
      </c>
      <c r="C2513">
        <f>IF(ISBLANK('ENGAGEMENTS 2026'!C2513),"",'ENGAGEMENTS 2026'!E2513)</f>
        <v/>
      </c>
      <c r="D2513">
        <f>IF(ISBLANK('ENGAGEMENTS 2026'!C2513),"",'ENGAGEMENTS 2026'!G2513)</f>
        <v/>
      </c>
      <c r="E2513">
        <f>IF(ISBLANK('ENGAGEMENTS 2026'!C2513),"",'ENGAGEMENTS 2026'!I2513)</f>
        <v/>
      </c>
      <c r="F2513">
        <f>IF(ISBLANK('ENGAGEMENTS 2026'!C2513),"",'ENGAGEMENTS 2026'!J2513)</f>
        <v/>
      </c>
      <c r="G2513">
        <f>IF(ISBLANK('ENGAGEMENTS 2026'!C2513),"",'ENGAGEMENTS 2026'!M2513)</f>
        <v/>
      </c>
      <c r="H2513">
        <f>IF(ISBLANK('ENGAGEMENTS 2026'!C2513),"",'ENGAGEMENTS 2026'!AF2513)</f>
        <v/>
      </c>
      <c r="I2513">
        <f>IF(ISBLANK('ENGAGEMENTS 2026'!C2513),"",'ENGAGEMENTS 2026'!H2513)</f>
        <v/>
      </c>
      <c r="J2513" s="275">
        <f>IF(ISBLANK('ENGAGEMENTS 2026'!C2513),"",IF(AND(OR($E2513="INFRUCTUEUX",$E2513="ANNULE"),$C2513="AOO-M"),'ENGAGEMENTS 2026'!P2513,IF($H2513="EN COURS DE PREENGAGEMENT",'ENGAGEMENTS 2026'!O2513,IF($H2513="PREENGAGE",IF($E2513="ATTRIBUE",'ENGAGEMENTS 2026'!AE2513,'ENGAGEMENTS 2026'!O2513),'ENGAGEMENTS 2026'!AE2513))))</f>
        <v/>
      </c>
      <c r="K2513" s="604">
        <f>IF(ISBLANK('ENGAGEMENTS 2026'!W2513),"",'ENGAGEMENTS 2026'!W2513)</f>
        <v/>
      </c>
      <c r="L2513" s="276">
        <f>IF($K2513="","",TODAY()-$K2513)</f>
        <v/>
      </c>
      <c r="M2513">
        <f>IF($A2513="","",IF($H2513="ENGAGE","Engagé",IF(AND($H2513="NON ENGAGE",OR($I2513="INFRUCTUEUX",$I2513="ANNULE")),"Clôturé sans suite","En cours")))</f>
        <v/>
      </c>
      <c r="N2513">
        <f>IF(ISBLANK('ENGAGEMENTS 2026'!C2513),"",'ENGAGEMENTS 2026'!L2513)</f>
        <v/>
      </c>
      <c r="O2513">
        <f>IF(ISBLANK('ENGAGEMENTS 2026'!C2513),"",'ENGAGEMENTS 2026'!M2513)</f>
        <v/>
      </c>
      <c r="P2513">
        <f>IF(ISBLANK('ENGAGEMENTS 2026'!C2513),"",'ENGAGEMENTS 2026'!K2513)</f>
        <v/>
      </c>
      <c r="Q2513">
        <f>IF($A2513="","",IF(OR($E2513="INFRUCTUEUX",$E2513="ANNULE"),$A2513&amp;"|"&amp;(COUNTIFS($A$2:$A2513,$A2513,$E$2:$E2513,"INFRUCTUEUX")+COUNTIFS($A$2:$A2513,$A2513,$E$2:$E2513,"ANNULE")),""))</f>
        <v/>
      </c>
    </row>
    <row r="2514">
      <c r="A2514">
        <f>IF(ISBLANK('ENGAGEMENTS 2026'!C2514),"",IF('ENGAGEMENTS 2026'!C2514="DTSI","DCT",'ENGAGEMENTS 2026'!C2514))</f>
        <v/>
      </c>
      <c r="B2514">
        <f>IF(ISBLANK('ENGAGEMENTS 2026'!C2514),"",'ENGAGEMENTS 2026'!D2514)</f>
        <v/>
      </c>
      <c r="C2514">
        <f>IF(ISBLANK('ENGAGEMENTS 2026'!C2514),"",'ENGAGEMENTS 2026'!E2514)</f>
        <v/>
      </c>
      <c r="D2514">
        <f>IF(ISBLANK('ENGAGEMENTS 2026'!C2514),"",'ENGAGEMENTS 2026'!G2514)</f>
        <v/>
      </c>
      <c r="E2514">
        <f>IF(ISBLANK('ENGAGEMENTS 2026'!C2514),"",'ENGAGEMENTS 2026'!I2514)</f>
        <v/>
      </c>
      <c r="F2514">
        <f>IF(ISBLANK('ENGAGEMENTS 2026'!C2514),"",'ENGAGEMENTS 2026'!J2514)</f>
        <v/>
      </c>
      <c r="G2514">
        <f>IF(ISBLANK('ENGAGEMENTS 2026'!C2514),"",'ENGAGEMENTS 2026'!M2514)</f>
        <v/>
      </c>
      <c r="H2514">
        <f>IF(ISBLANK('ENGAGEMENTS 2026'!C2514),"",'ENGAGEMENTS 2026'!AF2514)</f>
        <v/>
      </c>
      <c r="I2514">
        <f>IF(ISBLANK('ENGAGEMENTS 2026'!C2514),"",'ENGAGEMENTS 2026'!H2514)</f>
        <v/>
      </c>
      <c r="J2514" s="275">
        <f>IF(ISBLANK('ENGAGEMENTS 2026'!C2514),"",IF(AND(OR($E2514="INFRUCTUEUX",$E2514="ANNULE"),$C2514="AOO-M"),'ENGAGEMENTS 2026'!P2514,IF($H2514="EN COURS DE PREENGAGEMENT",'ENGAGEMENTS 2026'!O2514,IF($H2514="PREENGAGE",IF($E2514="ATTRIBUE",'ENGAGEMENTS 2026'!AE2514,'ENGAGEMENTS 2026'!O2514),'ENGAGEMENTS 2026'!AE2514))))</f>
        <v/>
      </c>
      <c r="K2514" s="604">
        <f>IF(ISBLANK('ENGAGEMENTS 2026'!W2514),"",'ENGAGEMENTS 2026'!W2514)</f>
        <v/>
      </c>
      <c r="L2514" s="276">
        <f>IF($K2514="","",TODAY()-$K2514)</f>
        <v/>
      </c>
      <c r="M2514">
        <f>IF($A2514="","",IF($H2514="ENGAGE","Engagé",IF(AND($H2514="NON ENGAGE",OR($I2514="INFRUCTUEUX",$I2514="ANNULE")),"Clôturé sans suite","En cours")))</f>
        <v/>
      </c>
      <c r="N2514">
        <f>IF(ISBLANK('ENGAGEMENTS 2026'!C2514),"",'ENGAGEMENTS 2026'!L2514)</f>
        <v/>
      </c>
      <c r="O2514">
        <f>IF(ISBLANK('ENGAGEMENTS 2026'!C2514),"",'ENGAGEMENTS 2026'!M2514)</f>
        <v/>
      </c>
      <c r="P2514">
        <f>IF(ISBLANK('ENGAGEMENTS 2026'!C2514),"",'ENGAGEMENTS 2026'!K2514)</f>
        <v/>
      </c>
      <c r="Q2514">
        <f>IF($A2514="","",IF(OR($E2514="INFRUCTUEUX",$E2514="ANNULE"),$A2514&amp;"|"&amp;(COUNTIFS($A$2:$A2514,$A2514,$E$2:$E2514,"INFRUCTUEUX")+COUNTIFS($A$2:$A2514,$A2514,$E$2:$E2514,"ANNULE")),""))</f>
        <v/>
      </c>
    </row>
    <row r="2515">
      <c r="A2515">
        <f>IF(ISBLANK('ENGAGEMENTS 2026'!C2515),"",IF('ENGAGEMENTS 2026'!C2515="DTSI","DCT",'ENGAGEMENTS 2026'!C2515))</f>
        <v/>
      </c>
      <c r="B2515">
        <f>IF(ISBLANK('ENGAGEMENTS 2026'!C2515),"",'ENGAGEMENTS 2026'!D2515)</f>
        <v/>
      </c>
      <c r="C2515">
        <f>IF(ISBLANK('ENGAGEMENTS 2026'!C2515),"",'ENGAGEMENTS 2026'!E2515)</f>
        <v/>
      </c>
      <c r="D2515">
        <f>IF(ISBLANK('ENGAGEMENTS 2026'!C2515),"",'ENGAGEMENTS 2026'!G2515)</f>
        <v/>
      </c>
      <c r="E2515">
        <f>IF(ISBLANK('ENGAGEMENTS 2026'!C2515),"",'ENGAGEMENTS 2026'!I2515)</f>
        <v/>
      </c>
      <c r="F2515">
        <f>IF(ISBLANK('ENGAGEMENTS 2026'!C2515),"",'ENGAGEMENTS 2026'!J2515)</f>
        <v/>
      </c>
      <c r="G2515">
        <f>IF(ISBLANK('ENGAGEMENTS 2026'!C2515),"",'ENGAGEMENTS 2026'!M2515)</f>
        <v/>
      </c>
      <c r="H2515">
        <f>IF(ISBLANK('ENGAGEMENTS 2026'!C2515),"",'ENGAGEMENTS 2026'!AF2515)</f>
        <v/>
      </c>
      <c r="I2515">
        <f>IF(ISBLANK('ENGAGEMENTS 2026'!C2515),"",'ENGAGEMENTS 2026'!H2515)</f>
        <v/>
      </c>
      <c r="J2515" s="275">
        <f>IF(ISBLANK('ENGAGEMENTS 2026'!C2515),"",IF(AND(OR($E2515="INFRUCTUEUX",$E2515="ANNULE"),$C2515="AOO-M"),'ENGAGEMENTS 2026'!P2515,IF($H2515="EN COURS DE PREENGAGEMENT",'ENGAGEMENTS 2026'!O2515,IF($H2515="PREENGAGE",IF($E2515="ATTRIBUE",'ENGAGEMENTS 2026'!AE2515,'ENGAGEMENTS 2026'!O2515),'ENGAGEMENTS 2026'!AE2515))))</f>
        <v/>
      </c>
      <c r="K2515" s="604">
        <f>IF(ISBLANK('ENGAGEMENTS 2026'!W2515),"",'ENGAGEMENTS 2026'!W2515)</f>
        <v/>
      </c>
      <c r="L2515" s="276">
        <f>IF($K2515="","",TODAY()-$K2515)</f>
        <v/>
      </c>
      <c r="M2515">
        <f>IF($A2515="","",IF($H2515="ENGAGE","Engagé",IF(AND($H2515="NON ENGAGE",OR($I2515="INFRUCTUEUX",$I2515="ANNULE")),"Clôturé sans suite","En cours")))</f>
        <v/>
      </c>
      <c r="N2515">
        <f>IF(ISBLANK('ENGAGEMENTS 2026'!C2515),"",'ENGAGEMENTS 2026'!L2515)</f>
        <v/>
      </c>
      <c r="O2515">
        <f>IF(ISBLANK('ENGAGEMENTS 2026'!C2515),"",'ENGAGEMENTS 2026'!M2515)</f>
        <v/>
      </c>
      <c r="P2515">
        <f>IF(ISBLANK('ENGAGEMENTS 2026'!C2515),"",'ENGAGEMENTS 2026'!K2515)</f>
        <v/>
      </c>
      <c r="Q2515">
        <f>IF($A2515="","",IF(OR($E2515="INFRUCTUEUX",$E2515="ANNULE"),$A2515&amp;"|"&amp;(COUNTIFS($A$2:$A2515,$A2515,$E$2:$E2515,"INFRUCTUEUX")+COUNTIFS($A$2:$A2515,$A2515,$E$2:$E2515,"ANNULE")),""))</f>
        <v/>
      </c>
    </row>
    <row r="2516">
      <c r="A2516">
        <f>IF(ISBLANK('ENGAGEMENTS 2026'!C2516),"",IF('ENGAGEMENTS 2026'!C2516="DTSI","DCT",'ENGAGEMENTS 2026'!C2516))</f>
        <v/>
      </c>
      <c r="B2516">
        <f>IF(ISBLANK('ENGAGEMENTS 2026'!C2516),"",'ENGAGEMENTS 2026'!D2516)</f>
        <v/>
      </c>
      <c r="C2516">
        <f>IF(ISBLANK('ENGAGEMENTS 2026'!C2516),"",'ENGAGEMENTS 2026'!E2516)</f>
        <v/>
      </c>
      <c r="D2516">
        <f>IF(ISBLANK('ENGAGEMENTS 2026'!C2516),"",'ENGAGEMENTS 2026'!G2516)</f>
        <v/>
      </c>
      <c r="E2516">
        <f>IF(ISBLANK('ENGAGEMENTS 2026'!C2516),"",'ENGAGEMENTS 2026'!I2516)</f>
        <v/>
      </c>
      <c r="F2516">
        <f>IF(ISBLANK('ENGAGEMENTS 2026'!C2516),"",'ENGAGEMENTS 2026'!J2516)</f>
        <v/>
      </c>
      <c r="G2516">
        <f>IF(ISBLANK('ENGAGEMENTS 2026'!C2516),"",'ENGAGEMENTS 2026'!M2516)</f>
        <v/>
      </c>
      <c r="H2516">
        <f>IF(ISBLANK('ENGAGEMENTS 2026'!C2516),"",'ENGAGEMENTS 2026'!AF2516)</f>
        <v/>
      </c>
      <c r="I2516">
        <f>IF(ISBLANK('ENGAGEMENTS 2026'!C2516),"",'ENGAGEMENTS 2026'!H2516)</f>
        <v/>
      </c>
      <c r="J2516" s="275">
        <f>IF(ISBLANK('ENGAGEMENTS 2026'!C2516),"",IF(AND(OR($E2516="INFRUCTUEUX",$E2516="ANNULE"),$C2516="AOO-M"),'ENGAGEMENTS 2026'!P2516,IF($H2516="EN COURS DE PREENGAGEMENT",'ENGAGEMENTS 2026'!O2516,IF($H2516="PREENGAGE",IF($E2516="ATTRIBUE",'ENGAGEMENTS 2026'!AE2516,'ENGAGEMENTS 2026'!O2516),'ENGAGEMENTS 2026'!AE2516))))</f>
        <v/>
      </c>
      <c r="K2516" s="604">
        <f>IF(ISBLANK('ENGAGEMENTS 2026'!W2516),"",'ENGAGEMENTS 2026'!W2516)</f>
        <v/>
      </c>
      <c r="L2516" s="276">
        <f>IF($K2516="","",TODAY()-$K2516)</f>
        <v/>
      </c>
      <c r="M2516">
        <f>IF($A2516="","",IF($H2516="ENGAGE","Engagé",IF(AND($H2516="NON ENGAGE",OR($I2516="INFRUCTUEUX",$I2516="ANNULE")),"Clôturé sans suite","En cours")))</f>
        <v/>
      </c>
      <c r="N2516">
        <f>IF(ISBLANK('ENGAGEMENTS 2026'!C2516),"",'ENGAGEMENTS 2026'!L2516)</f>
        <v/>
      </c>
      <c r="O2516">
        <f>IF(ISBLANK('ENGAGEMENTS 2026'!C2516),"",'ENGAGEMENTS 2026'!M2516)</f>
        <v/>
      </c>
      <c r="P2516">
        <f>IF(ISBLANK('ENGAGEMENTS 2026'!C2516),"",'ENGAGEMENTS 2026'!K2516)</f>
        <v/>
      </c>
      <c r="Q2516">
        <f>IF($A2516="","",IF(OR($E2516="INFRUCTUEUX",$E2516="ANNULE"),$A2516&amp;"|"&amp;(COUNTIFS($A$2:$A2516,$A2516,$E$2:$E2516,"INFRUCTUEUX")+COUNTIFS($A$2:$A2516,$A2516,$E$2:$E2516,"ANNULE")),""))</f>
        <v/>
      </c>
    </row>
    <row r="2517">
      <c r="A2517">
        <f>IF(ISBLANK('ENGAGEMENTS 2026'!C2517),"",IF('ENGAGEMENTS 2026'!C2517="DTSI","DCT",'ENGAGEMENTS 2026'!C2517))</f>
        <v/>
      </c>
      <c r="B2517">
        <f>IF(ISBLANK('ENGAGEMENTS 2026'!C2517),"",'ENGAGEMENTS 2026'!D2517)</f>
        <v/>
      </c>
      <c r="C2517">
        <f>IF(ISBLANK('ENGAGEMENTS 2026'!C2517),"",'ENGAGEMENTS 2026'!E2517)</f>
        <v/>
      </c>
      <c r="D2517">
        <f>IF(ISBLANK('ENGAGEMENTS 2026'!C2517),"",'ENGAGEMENTS 2026'!G2517)</f>
        <v/>
      </c>
      <c r="E2517">
        <f>IF(ISBLANK('ENGAGEMENTS 2026'!C2517),"",'ENGAGEMENTS 2026'!I2517)</f>
        <v/>
      </c>
      <c r="F2517">
        <f>IF(ISBLANK('ENGAGEMENTS 2026'!C2517),"",'ENGAGEMENTS 2026'!J2517)</f>
        <v/>
      </c>
      <c r="G2517">
        <f>IF(ISBLANK('ENGAGEMENTS 2026'!C2517),"",'ENGAGEMENTS 2026'!M2517)</f>
        <v/>
      </c>
      <c r="H2517">
        <f>IF(ISBLANK('ENGAGEMENTS 2026'!C2517),"",'ENGAGEMENTS 2026'!AF2517)</f>
        <v/>
      </c>
      <c r="I2517">
        <f>IF(ISBLANK('ENGAGEMENTS 2026'!C2517),"",'ENGAGEMENTS 2026'!H2517)</f>
        <v/>
      </c>
      <c r="J2517" s="275">
        <f>IF(ISBLANK('ENGAGEMENTS 2026'!C2517),"",IF(AND(OR($E2517="INFRUCTUEUX",$E2517="ANNULE"),$C2517="AOO-M"),'ENGAGEMENTS 2026'!P2517,IF($H2517="EN COURS DE PREENGAGEMENT",'ENGAGEMENTS 2026'!O2517,IF($H2517="PREENGAGE",IF($E2517="ATTRIBUE",'ENGAGEMENTS 2026'!AE2517,'ENGAGEMENTS 2026'!O2517),'ENGAGEMENTS 2026'!AE2517))))</f>
        <v/>
      </c>
      <c r="K2517" s="604">
        <f>IF(ISBLANK('ENGAGEMENTS 2026'!W2517),"",'ENGAGEMENTS 2026'!W2517)</f>
        <v/>
      </c>
      <c r="L2517" s="276">
        <f>IF($K2517="","",TODAY()-$K2517)</f>
        <v/>
      </c>
      <c r="M2517">
        <f>IF($A2517="","",IF($H2517="ENGAGE","Engagé",IF(AND($H2517="NON ENGAGE",OR($I2517="INFRUCTUEUX",$I2517="ANNULE")),"Clôturé sans suite","En cours")))</f>
        <v/>
      </c>
      <c r="N2517">
        <f>IF(ISBLANK('ENGAGEMENTS 2026'!C2517),"",'ENGAGEMENTS 2026'!L2517)</f>
        <v/>
      </c>
      <c r="O2517">
        <f>IF(ISBLANK('ENGAGEMENTS 2026'!C2517),"",'ENGAGEMENTS 2026'!M2517)</f>
        <v/>
      </c>
      <c r="P2517">
        <f>IF(ISBLANK('ENGAGEMENTS 2026'!C2517),"",'ENGAGEMENTS 2026'!K2517)</f>
        <v/>
      </c>
      <c r="Q2517">
        <f>IF($A2517="","",IF(OR($E2517="INFRUCTUEUX",$E2517="ANNULE"),$A2517&amp;"|"&amp;(COUNTIFS($A$2:$A2517,$A2517,$E$2:$E2517,"INFRUCTUEUX")+COUNTIFS($A$2:$A2517,$A2517,$E$2:$E2517,"ANNULE")),""))</f>
        <v/>
      </c>
    </row>
    <row r="2518">
      <c r="A2518">
        <f>IF(ISBLANK('ENGAGEMENTS 2026'!C2518),"",IF('ENGAGEMENTS 2026'!C2518="DTSI","DCT",'ENGAGEMENTS 2026'!C2518))</f>
        <v/>
      </c>
      <c r="B2518">
        <f>IF(ISBLANK('ENGAGEMENTS 2026'!C2518),"",'ENGAGEMENTS 2026'!D2518)</f>
        <v/>
      </c>
      <c r="C2518">
        <f>IF(ISBLANK('ENGAGEMENTS 2026'!C2518),"",'ENGAGEMENTS 2026'!E2518)</f>
        <v/>
      </c>
      <c r="D2518">
        <f>IF(ISBLANK('ENGAGEMENTS 2026'!C2518),"",'ENGAGEMENTS 2026'!G2518)</f>
        <v/>
      </c>
      <c r="E2518">
        <f>IF(ISBLANK('ENGAGEMENTS 2026'!C2518),"",'ENGAGEMENTS 2026'!I2518)</f>
        <v/>
      </c>
      <c r="F2518">
        <f>IF(ISBLANK('ENGAGEMENTS 2026'!C2518),"",'ENGAGEMENTS 2026'!J2518)</f>
        <v/>
      </c>
      <c r="G2518">
        <f>IF(ISBLANK('ENGAGEMENTS 2026'!C2518),"",'ENGAGEMENTS 2026'!M2518)</f>
        <v/>
      </c>
      <c r="H2518">
        <f>IF(ISBLANK('ENGAGEMENTS 2026'!C2518),"",'ENGAGEMENTS 2026'!AF2518)</f>
        <v/>
      </c>
      <c r="I2518">
        <f>IF(ISBLANK('ENGAGEMENTS 2026'!C2518),"",'ENGAGEMENTS 2026'!H2518)</f>
        <v/>
      </c>
      <c r="J2518" s="275">
        <f>IF(ISBLANK('ENGAGEMENTS 2026'!C2518),"",IF(AND(OR($E2518="INFRUCTUEUX",$E2518="ANNULE"),$C2518="AOO-M"),'ENGAGEMENTS 2026'!P2518,IF($H2518="EN COURS DE PREENGAGEMENT",'ENGAGEMENTS 2026'!O2518,IF($H2518="PREENGAGE",IF($E2518="ATTRIBUE",'ENGAGEMENTS 2026'!AE2518,'ENGAGEMENTS 2026'!O2518),'ENGAGEMENTS 2026'!AE2518))))</f>
        <v/>
      </c>
      <c r="K2518" s="604">
        <f>IF(ISBLANK('ENGAGEMENTS 2026'!W2518),"",'ENGAGEMENTS 2026'!W2518)</f>
        <v/>
      </c>
      <c r="L2518" s="276">
        <f>IF($K2518="","",TODAY()-$K2518)</f>
        <v/>
      </c>
      <c r="M2518">
        <f>IF($A2518="","",IF($H2518="ENGAGE","Engagé",IF(AND($H2518="NON ENGAGE",OR($I2518="INFRUCTUEUX",$I2518="ANNULE")),"Clôturé sans suite","En cours")))</f>
        <v/>
      </c>
      <c r="N2518">
        <f>IF(ISBLANK('ENGAGEMENTS 2026'!C2518),"",'ENGAGEMENTS 2026'!L2518)</f>
        <v/>
      </c>
      <c r="O2518">
        <f>IF(ISBLANK('ENGAGEMENTS 2026'!C2518),"",'ENGAGEMENTS 2026'!M2518)</f>
        <v/>
      </c>
      <c r="P2518">
        <f>IF(ISBLANK('ENGAGEMENTS 2026'!C2518),"",'ENGAGEMENTS 2026'!K2518)</f>
        <v/>
      </c>
      <c r="Q2518">
        <f>IF($A2518="","",IF(OR($E2518="INFRUCTUEUX",$E2518="ANNULE"),$A2518&amp;"|"&amp;(COUNTIFS($A$2:$A2518,$A2518,$E$2:$E2518,"INFRUCTUEUX")+COUNTIFS($A$2:$A2518,$A2518,$E$2:$E2518,"ANNULE")),""))</f>
        <v/>
      </c>
    </row>
    <row r="2519">
      <c r="A2519">
        <f>IF(ISBLANK('ENGAGEMENTS 2026'!C2519),"",IF('ENGAGEMENTS 2026'!C2519="DTSI","DCT",'ENGAGEMENTS 2026'!C2519))</f>
        <v/>
      </c>
      <c r="B2519">
        <f>IF(ISBLANK('ENGAGEMENTS 2026'!C2519),"",'ENGAGEMENTS 2026'!D2519)</f>
        <v/>
      </c>
      <c r="C2519">
        <f>IF(ISBLANK('ENGAGEMENTS 2026'!C2519),"",'ENGAGEMENTS 2026'!E2519)</f>
        <v/>
      </c>
      <c r="D2519">
        <f>IF(ISBLANK('ENGAGEMENTS 2026'!C2519),"",'ENGAGEMENTS 2026'!G2519)</f>
        <v/>
      </c>
      <c r="E2519">
        <f>IF(ISBLANK('ENGAGEMENTS 2026'!C2519),"",'ENGAGEMENTS 2026'!I2519)</f>
        <v/>
      </c>
      <c r="F2519">
        <f>IF(ISBLANK('ENGAGEMENTS 2026'!C2519),"",'ENGAGEMENTS 2026'!J2519)</f>
        <v/>
      </c>
      <c r="G2519">
        <f>IF(ISBLANK('ENGAGEMENTS 2026'!C2519),"",'ENGAGEMENTS 2026'!M2519)</f>
        <v/>
      </c>
      <c r="H2519">
        <f>IF(ISBLANK('ENGAGEMENTS 2026'!C2519),"",'ENGAGEMENTS 2026'!AF2519)</f>
        <v/>
      </c>
      <c r="I2519">
        <f>IF(ISBLANK('ENGAGEMENTS 2026'!C2519),"",'ENGAGEMENTS 2026'!H2519)</f>
        <v/>
      </c>
      <c r="J2519" s="275">
        <f>IF(ISBLANK('ENGAGEMENTS 2026'!C2519),"",IF(AND(OR($E2519="INFRUCTUEUX",$E2519="ANNULE"),$C2519="AOO-M"),'ENGAGEMENTS 2026'!P2519,IF($H2519="EN COURS DE PREENGAGEMENT",'ENGAGEMENTS 2026'!O2519,IF($H2519="PREENGAGE",IF($E2519="ATTRIBUE",'ENGAGEMENTS 2026'!AE2519,'ENGAGEMENTS 2026'!O2519),'ENGAGEMENTS 2026'!AE2519))))</f>
        <v/>
      </c>
      <c r="K2519" s="604">
        <f>IF(ISBLANK('ENGAGEMENTS 2026'!W2519),"",'ENGAGEMENTS 2026'!W2519)</f>
        <v/>
      </c>
      <c r="L2519" s="276">
        <f>IF($K2519="","",TODAY()-$K2519)</f>
        <v/>
      </c>
      <c r="M2519">
        <f>IF($A2519="","",IF($H2519="ENGAGE","Engagé",IF(AND($H2519="NON ENGAGE",OR($I2519="INFRUCTUEUX",$I2519="ANNULE")),"Clôturé sans suite","En cours")))</f>
        <v/>
      </c>
      <c r="N2519">
        <f>IF(ISBLANK('ENGAGEMENTS 2026'!C2519),"",'ENGAGEMENTS 2026'!L2519)</f>
        <v/>
      </c>
      <c r="O2519">
        <f>IF(ISBLANK('ENGAGEMENTS 2026'!C2519),"",'ENGAGEMENTS 2026'!M2519)</f>
        <v/>
      </c>
      <c r="P2519">
        <f>IF(ISBLANK('ENGAGEMENTS 2026'!C2519),"",'ENGAGEMENTS 2026'!K2519)</f>
        <v/>
      </c>
      <c r="Q2519">
        <f>IF($A2519="","",IF(OR($E2519="INFRUCTUEUX",$E2519="ANNULE"),$A2519&amp;"|"&amp;(COUNTIFS($A$2:$A2519,$A2519,$E$2:$E2519,"INFRUCTUEUX")+COUNTIFS($A$2:$A2519,$A2519,$E$2:$E2519,"ANNULE")),""))</f>
        <v/>
      </c>
    </row>
    <row r="2520">
      <c r="A2520">
        <f>IF(ISBLANK('ENGAGEMENTS 2026'!C2520),"",IF('ENGAGEMENTS 2026'!C2520="DTSI","DCT",'ENGAGEMENTS 2026'!C2520))</f>
        <v/>
      </c>
      <c r="B2520">
        <f>IF(ISBLANK('ENGAGEMENTS 2026'!C2520),"",'ENGAGEMENTS 2026'!D2520)</f>
        <v/>
      </c>
      <c r="C2520">
        <f>IF(ISBLANK('ENGAGEMENTS 2026'!C2520),"",'ENGAGEMENTS 2026'!E2520)</f>
        <v/>
      </c>
      <c r="D2520">
        <f>IF(ISBLANK('ENGAGEMENTS 2026'!C2520),"",'ENGAGEMENTS 2026'!G2520)</f>
        <v/>
      </c>
      <c r="E2520">
        <f>IF(ISBLANK('ENGAGEMENTS 2026'!C2520),"",'ENGAGEMENTS 2026'!I2520)</f>
        <v/>
      </c>
      <c r="F2520">
        <f>IF(ISBLANK('ENGAGEMENTS 2026'!C2520),"",'ENGAGEMENTS 2026'!J2520)</f>
        <v/>
      </c>
      <c r="G2520">
        <f>IF(ISBLANK('ENGAGEMENTS 2026'!C2520),"",'ENGAGEMENTS 2026'!M2520)</f>
        <v/>
      </c>
      <c r="H2520">
        <f>IF(ISBLANK('ENGAGEMENTS 2026'!C2520),"",'ENGAGEMENTS 2026'!AF2520)</f>
        <v/>
      </c>
      <c r="I2520">
        <f>IF(ISBLANK('ENGAGEMENTS 2026'!C2520),"",'ENGAGEMENTS 2026'!H2520)</f>
        <v/>
      </c>
      <c r="J2520" s="275">
        <f>IF(ISBLANK('ENGAGEMENTS 2026'!C2520),"",IF(AND(OR($E2520="INFRUCTUEUX",$E2520="ANNULE"),$C2520="AOO-M"),'ENGAGEMENTS 2026'!P2520,IF($H2520="EN COURS DE PREENGAGEMENT",'ENGAGEMENTS 2026'!O2520,IF($H2520="PREENGAGE",IF($E2520="ATTRIBUE",'ENGAGEMENTS 2026'!AE2520,'ENGAGEMENTS 2026'!O2520),'ENGAGEMENTS 2026'!AE2520))))</f>
        <v/>
      </c>
      <c r="K2520" s="604">
        <f>IF(ISBLANK('ENGAGEMENTS 2026'!W2520),"",'ENGAGEMENTS 2026'!W2520)</f>
        <v/>
      </c>
      <c r="L2520" s="276">
        <f>IF($K2520="","",TODAY()-$K2520)</f>
        <v/>
      </c>
      <c r="M2520">
        <f>IF($A2520="","",IF($H2520="ENGAGE","Engagé",IF(AND($H2520="NON ENGAGE",OR($I2520="INFRUCTUEUX",$I2520="ANNULE")),"Clôturé sans suite","En cours")))</f>
        <v/>
      </c>
      <c r="N2520">
        <f>IF(ISBLANK('ENGAGEMENTS 2026'!C2520),"",'ENGAGEMENTS 2026'!L2520)</f>
        <v/>
      </c>
      <c r="O2520">
        <f>IF(ISBLANK('ENGAGEMENTS 2026'!C2520),"",'ENGAGEMENTS 2026'!M2520)</f>
        <v/>
      </c>
      <c r="P2520">
        <f>IF(ISBLANK('ENGAGEMENTS 2026'!C2520),"",'ENGAGEMENTS 2026'!K2520)</f>
        <v/>
      </c>
      <c r="Q2520">
        <f>IF($A2520="","",IF(OR($E2520="INFRUCTUEUX",$E2520="ANNULE"),$A2520&amp;"|"&amp;(COUNTIFS($A$2:$A2520,$A2520,$E$2:$E2520,"INFRUCTUEUX")+COUNTIFS($A$2:$A2520,$A2520,$E$2:$E2520,"ANNULE")),""))</f>
        <v/>
      </c>
    </row>
    <row r="2521">
      <c r="A2521">
        <f>IF(ISBLANK('ENGAGEMENTS 2026'!C2521),"",IF('ENGAGEMENTS 2026'!C2521="DTSI","DCT",'ENGAGEMENTS 2026'!C2521))</f>
        <v/>
      </c>
      <c r="B2521">
        <f>IF(ISBLANK('ENGAGEMENTS 2026'!C2521),"",'ENGAGEMENTS 2026'!D2521)</f>
        <v/>
      </c>
      <c r="C2521">
        <f>IF(ISBLANK('ENGAGEMENTS 2026'!C2521),"",'ENGAGEMENTS 2026'!E2521)</f>
        <v/>
      </c>
      <c r="D2521">
        <f>IF(ISBLANK('ENGAGEMENTS 2026'!C2521),"",'ENGAGEMENTS 2026'!G2521)</f>
        <v/>
      </c>
      <c r="E2521">
        <f>IF(ISBLANK('ENGAGEMENTS 2026'!C2521),"",'ENGAGEMENTS 2026'!I2521)</f>
        <v/>
      </c>
      <c r="F2521">
        <f>IF(ISBLANK('ENGAGEMENTS 2026'!C2521),"",'ENGAGEMENTS 2026'!J2521)</f>
        <v/>
      </c>
      <c r="G2521">
        <f>IF(ISBLANK('ENGAGEMENTS 2026'!C2521),"",'ENGAGEMENTS 2026'!M2521)</f>
        <v/>
      </c>
      <c r="H2521">
        <f>IF(ISBLANK('ENGAGEMENTS 2026'!C2521),"",'ENGAGEMENTS 2026'!AF2521)</f>
        <v/>
      </c>
      <c r="I2521">
        <f>IF(ISBLANK('ENGAGEMENTS 2026'!C2521),"",'ENGAGEMENTS 2026'!H2521)</f>
        <v/>
      </c>
      <c r="J2521" s="275">
        <f>IF(ISBLANK('ENGAGEMENTS 2026'!C2521),"",IF(AND(OR($E2521="INFRUCTUEUX",$E2521="ANNULE"),$C2521="AOO-M"),'ENGAGEMENTS 2026'!P2521,IF($H2521="EN COURS DE PREENGAGEMENT",'ENGAGEMENTS 2026'!O2521,IF($H2521="PREENGAGE",IF($E2521="ATTRIBUE",'ENGAGEMENTS 2026'!AE2521,'ENGAGEMENTS 2026'!O2521),'ENGAGEMENTS 2026'!AE2521))))</f>
        <v/>
      </c>
      <c r="K2521" s="604">
        <f>IF(ISBLANK('ENGAGEMENTS 2026'!W2521),"",'ENGAGEMENTS 2026'!W2521)</f>
        <v/>
      </c>
      <c r="L2521" s="276">
        <f>IF($K2521="","",TODAY()-$K2521)</f>
        <v/>
      </c>
      <c r="M2521">
        <f>IF($A2521="","",IF($H2521="ENGAGE","Engagé",IF(AND($H2521="NON ENGAGE",OR($I2521="INFRUCTUEUX",$I2521="ANNULE")),"Clôturé sans suite","En cours")))</f>
        <v/>
      </c>
      <c r="N2521">
        <f>IF(ISBLANK('ENGAGEMENTS 2026'!C2521),"",'ENGAGEMENTS 2026'!L2521)</f>
        <v/>
      </c>
      <c r="O2521">
        <f>IF(ISBLANK('ENGAGEMENTS 2026'!C2521),"",'ENGAGEMENTS 2026'!M2521)</f>
        <v/>
      </c>
      <c r="P2521">
        <f>IF(ISBLANK('ENGAGEMENTS 2026'!C2521),"",'ENGAGEMENTS 2026'!K2521)</f>
        <v/>
      </c>
      <c r="Q2521">
        <f>IF($A2521="","",IF(OR($E2521="INFRUCTUEUX",$E2521="ANNULE"),$A2521&amp;"|"&amp;(COUNTIFS($A$2:$A2521,$A2521,$E$2:$E2521,"INFRUCTUEUX")+COUNTIFS($A$2:$A2521,$A2521,$E$2:$E2521,"ANNULE")),""))</f>
        <v/>
      </c>
    </row>
    <row r="2522">
      <c r="A2522">
        <f>IF(ISBLANK('ENGAGEMENTS 2026'!C2522),"",IF('ENGAGEMENTS 2026'!C2522="DTSI","DCT",'ENGAGEMENTS 2026'!C2522))</f>
        <v/>
      </c>
      <c r="B2522">
        <f>IF(ISBLANK('ENGAGEMENTS 2026'!C2522),"",'ENGAGEMENTS 2026'!D2522)</f>
        <v/>
      </c>
      <c r="C2522">
        <f>IF(ISBLANK('ENGAGEMENTS 2026'!C2522),"",'ENGAGEMENTS 2026'!E2522)</f>
        <v/>
      </c>
      <c r="D2522">
        <f>IF(ISBLANK('ENGAGEMENTS 2026'!C2522),"",'ENGAGEMENTS 2026'!G2522)</f>
        <v/>
      </c>
      <c r="E2522">
        <f>IF(ISBLANK('ENGAGEMENTS 2026'!C2522),"",'ENGAGEMENTS 2026'!I2522)</f>
        <v/>
      </c>
      <c r="F2522">
        <f>IF(ISBLANK('ENGAGEMENTS 2026'!C2522),"",'ENGAGEMENTS 2026'!J2522)</f>
        <v/>
      </c>
      <c r="G2522">
        <f>IF(ISBLANK('ENGAGEMENTS 2026'!C2522),"",'ENGAGEMENTS 2026'!M2522)</f>
        <v/>
      </c>
      <c r="H2522">
        <f>IF(ISBLANK('ENGAGEMENTS 2026'!C2522),"",'ENGAGEMENTS 2026'!AF2522)</f>
        <v/>
      </c>
      <c r="I2522">
        <f>IF(ISBLANK('ENGAGEMENTS 2026'!C2522),"",'ENGAGEMENTS 2026'!H2522)</f>
        <v/>
      </c>
      <c r="J2522" s="275">
        <f>IF(ISBLANK('ENGAGEMENTS 2026'!C2522),"",IF(AND(OR($E2522="INFRUCTUEUX",$E2522="ANNULE"),$C2522="AOO-M"),'ENGAGEMENTS 2026'!P2522,IF($H2522="EN COURS DE PREENGAGEMENT",'ENGAGEMENTS 2026'!O2522,IF($H2522="PREENGAGE",IF($E2522="ATTRIBUE",'ENGAGEMENTS 2026'!AE2522,'ENGAGEMENTS 2026'!O2522),'ENGAGEMENTS 2026'!AE2522))))</f>
        <v/>
      </c>
      <c r="K2522" s="604">
        <f>IF(ISBLANK('ENGAGEMENTS 2026'!W2522),"",'ENGAGEMENTS 2026'!W2522)</f>
        <v/>
      </c>
      <c r="L2522" s="276">
        <f>IF($K2522="","",TODAY()-$K2522)</f>
        <v/>
      </c>
      <c r="M2522">
        <f>IF($A2522="","",IF($H2522="ENGAGE","Engagé",IF(AND($H2522="NON ENGAGE",OR($I2522="INFRUCTUEUX",$I2522="ANNULE")),"Clôturé sans suite","En cours")))</f>
        <v/>
      </c>
      <c r="N2522">
        <f>IF(ISBLANK('ENGAGEMENTS 2026'!C2522),"",'ENGAGEMENTS 2026'!L2522)</f>
        <v/>
      </c>
      <c r="O2522">
        <f>IF(ISBLANK('ENGAGEMENTS 2026'!C2522),"",'ENGAGEMENTS 2026'!M2522)</f>
        <v/>
      </c>
      <c r="P2522">
        <f>IF(ISBLANK('ENGAGEMENTS 2026'!C2522),"",'ENGAGEMENTS 2026'!K2522)</f>
        <v/>
      </c>
      <c r="Q2522">
        <f>IF($A2522="","",IF(OR($E2522="INFRUCTUEUX",$E2522="ANNULE"),$A2522&amp;"|"&amp;(COUNTIFS($A$2:$A2522,$A2522,$E$2:$E2522,"INFRUCTUEUX")+COUNTIFS($A$2:$A2522,$A2522,$E$2:$E2522,"ANNULE")),""))</f>
        <v/>
      </c>
    </row>
    <row r="2523">
      <c r="A2523">
        <f>IF(ISBLANK('ENGAGEMENTS 2026'!C2523),"",IF('ENGAGEMENTS 2026'!C2523="DTSI","DCT",'ENGAGEMENTS 2026'!C2523))</f>
        <v/>
      </c>
      <c r="B2523">
        <f>IF(ISBLANK('ENGAGEMENTS 2026'!C2523),"",'ENGAGEMENTS 2026'!D2523)</f>
        <v/>
      </c>
      <c r="C2523">
        <f>IF(ISBLANK('ENGAGEMENTS 2026'!C2523),"",'ENGAGEMENTS 2026'!E2523)</f>
        <v/>
      </c>
      <c r="D2523">
        <f>IF(ISBLANK('ENGAGEMENTS 2026'!C2523),"",'ENGAGEMENTS 2026'!G2523)</f>
        <v/>
      </c>
      <c r="E2523">
        <f>IF(ISBLANK('ENGAGEMENTS 2026'!C2523),"",'ENGAGEMENTS 2026'!I2523)</f>
        <v/>
      </c>
      <c r="F2523">
        <f>IF(ISBLANK('ENGAGEMENTS 2026'!C2523),"",'ENGAGEMENTS 2026'!J2523)</f>
        <v/>
      </c>
      <c r="G2523">
        <f>IF(ISBLANK('ENGAGEMENTS 2026'!C2523),"",'ENGAGEMENTS 2026'!M2523)</f>
        <v/>
      </c>
      <c r="H2523">
        <f>IF(ISBLANK('ENGAGEMENTS 2026'!C2523),"",'ENGAGEMENTS 2026'!AF2523)</f>
        <v/>
      </c>
      <c r="I2523">
        <f>IF(ISBLANK('ENGAGEMENTS 2026'!C2523),"",'ENGAGEMENTS 2026'!H2523)</f>
        <v/>
      </c>
      <c r="J2523" s="275">
        <f>IF(ISBLANK('ENGAGEMENTS 2026'!C2523),"",IF(AND(OR($E2523="INFRUCTUEUX",$E2523="ANNULE"),$C2523="AOO-M"),'ENGAGEMENTS 2026'!P2523,IF($H2523="EN COURS DE PREENGAGEMENT",'ENGAGEMENTS 2026'!O2523,IF($H2523="PREENGAGE",IF($E2523="ATTRIBUE",'ENGAGEMENTS 2026'!AE2523,'ENGAGEMENTS 2026'!O2523),'ENGAGEMENTS 2026'!AE2523))))</f>
        <v/>
      </c>
      <c r="K2523" s="604">
        <f>IF(ISBLANK('ENGAGEMENTS 2026'!W2523),"",'ENGAGEMENTS 2026'!W2523)</f>
        <v/>
      </c>
      <c r="L2523" s="276">
        <f>IF($K2523="","",TODAY()-$K2523)</f>
        <v/>
      </c>
      <c r="M2523">
        <f>IF($A2523="","",IF($H2523="ENGAGE","Engagé",IF(AND($H2523="NON ENGAGE",OR($I2523="INFRUCTUEUX",$I2523="ANNULE")),"Clôturé sans suite","En cours")))</f>
        <v/>
      </c>
      <c r="N2523">
        <f>IF(ISBLANK('ENGAGEMENTS 2026'!C2523),"",'ENGAGEMENTS 2026'!L2523)</f>
        <v/>
      </c>
      <c r="O2523">
        <f>IF(ISBLANK('ENGAGEMENTS 2026'!C2523),"",'ENGAGEMENTS 2026'!M2523)</f>
        <v/>
      </c>
      <c r="P2523">
        <f>IF(ISBLANK('ENGAGEMENTS 2026'!C2523),"",'ENGAGEMENTS 2026'!K2523)</f>
        <v/>
      </c>
      <c r="Q2523">
        <f>IF($A2523="","",IF(OR($E2523="INFRUCTUEUX",$E2523="ANNULE"),$A2523&amp;"|"&amp;(COUNTIFS($A$2:$A2523,$A2523,$E$2:$E2523,"INFRUCTUEUX")+COUNTIFS($A$2:$A2523,$A2523,$E$2:$E2523,"ANNULE")),""))</f>
        <v/>
      </c>
    </row>
    <row r="2524">
      <c r="A2524">
        <f>IF(ISBLANK('ENGAGEMENTS 2026'!C2524),"",IF('ENGAGEMENTS 2026'!C2524="DTSI","DCT",'ENGAGEMENTS 2026'!C2524))</f>
        <v/>
      </c>
      <c r="B2524">
        <f>IF(ISBLANK('ENGAGEMENTS 2026'!C2524),"",'ENGAGEMENTS 2026'!D2524)</f>
        <v/>
      </c>
      <c r="C2524">
        <f>IF(ISBLANK('ENGAGEMENTS 2026'!C2524),"",'ENGAGEMENTS 2026'!E2524)</f>
        <v/>
      </c>
      <c r="D2524">
        <f>IF(ISBLANK('ENGAGEMENTS 2026'!C2524),"",'ENGAGEMENTS 2026'!G2524)</f>
        <v/>
      </c>
      <c r="E2524">
        <f>IF(ISBLANK('ENGAGEMENTS 2026'!C2524),"",'ENGAGEMENTS 2026'!I2524)</f>
        <v/>
      </c>
      <c r="F2524">
        <f>IF(ISBLANK('ENGAGEMENTS 2026'!C2524),"",'ENGAGEMENTS 2026'!J2524)</f>
        <v/>
      </c>
      <c r="G2524">
        <f>IF(ISBLANK('ENGAGEMENTS 2026'!C2524),"",'ENGAGEMENTS 2026'!M2524)</f>
        <v/>
      </c>
      <c r="H2524">
        <f>IF(ISBLANK('ENGAGEMENTS 2026'!C2524),"",'ENGAGEMENTS 2026'!AF2524)</f>
        <v/>
      </c>
      <c r="I2524">
        <f>IF(ISBLANK('ENGAGEMENTS 2026'!C2524),"",'ENGAGEMENTS 2026'!H2524)</f>
        <v/>
      </c>
      <c r="J2524" s="275">
        <f>IF(ISBLANK('ENGAGEMENTS 2026'!C2524),"",IF(AND(OR($E2524="INFRUCTUEUX",$E2524="ANNULE"),$C2524="AOO-M"),'ENGAGEMENTS 2026'!P2524,IF($H2524="EN COURS DE PREENGAGEMENT",'ENGAGEMENTS 2026'!O2524,IF($H2524="PREENGAGE",IF($E2524="ATTRIBUE",'ENGAGEMENTS 2026'!AE2524,'ENGAGEMENTS 2026'!O2524),'ENGAGEMENTS 2026'!AE2524))))</f>
        <v/>
      </c>
      <c r="K2524" s="604">
        <f>IF(ISBLANK('ENGAGEMENTS 2026'!W2524),"",'ENGAGEMENTS 2026'!W2524)</f>
        <v/>
      </c>
      <c r="L2524" s="276">
        <f>IF($K2524="","",TODAY()-$K2524)</f>
        <v/>
      </c>
      <c r="M2524">
        <f>IF($A2524="","",IF($H2524="ENGAGE","Engagé",IF(AND($H2524="NON ENGAGE",OR($I2524="INFRUCTUEUX",$I2524="ANNULE")),"Clôturé sans suite","En cours")))</f>
        <v/>
      </c>
      <c r="N2524">
        <f>IF(ISBLANK('ENGAGEMENTS 2026'!C2524),"",'ENGAGEMENTS 2026'!L2524)</f>
        <v/>
      </c>
      <c r="O2524">
        <f>IF(ISBLANK('ENGAGEMENTS 2026'!C2524),"",'ENGAGEMENTS 2026'!M2524)</f>
        <v/>
      </c>
      <c r="P2524">
        <f>IF(ISBLANK('ENGAGEMENTS 2026'!C2524),"",'ENGAGEMENTS 2026'!K2524)</f>
        <v/>
      </c>
      <c r="Q2524">
        <f>IF($A2524="","",IF(OR($E2524="INFRUCTUEUX",$E2524="ANNULE"),$A2524&amp;"|"&amp;(COUNTIFS($A$2:$A2524,$A2524,$E$2:$E2524,"INFRUCTUEUX")+COUNTIFS($A$2:$A2524,$A2524,$E$2:$E2524,"ANNULE")),""))</f>
        <v/>
      </c>
    </row>
    <row r="2525">
      <c r="A2525">
        <f>IF(ISBLANK('ENGAGEMENTS 2026'!C2525),"",IF('ENGAGEMENTS 2026'!C2525="DTSI","DCT",'ENGAGEMENTS 2026'!C2525))</f>
        <v/>
      </c>
      <c r="B2525">
        <f>IF(ISBLANK('ENGAGEMENTS 2026'!C2525),"",'ENGAGEMENTS 2026'!D2525)</f>
        <v/>
      </c>
      <c r="C2525">
        <f>IF(ISBLANK('ENGAGEMENTS 2026'!C2525),"",'ENGAGEMENTS 2026'!E2525)</f>
        <v/>
      </c>
      <c r="D2525">
        <f>IF(ISBLANK('ENGAGEMENTS 2026'!C2525),"",'ENGAGEMENTS 2026'!G2525)</f>
        <v/>
      </c>
      <c r="E2525">
        <f>IF(ISBLANK('ENGAGEMENTS 2026'!C2525),"",'ENGAGEMENTS 2026'!I2525)</f>
        <v/>
      </c>
      <c r="F2525">
        <f>IF(ISBLANK('ENGAGEMENTS 2026'!C2525),"",'ENGAGEMENTS 2026'!J2525)</f>
        <v/>
      </c>
      <c r="G2525">
        <f>IF(ISBLANK('ENGAGEMENTS 2026'!C2525),"",'ENGAGEMENTS 2026'!M2525)</f>
        <v/>
      </c>
      <c r="H2525">
        <f>IF(ISBLANK('ENGAGEMENTS 2026'!C2525),"",'ENGAGEMENTS 2026'!AF2525)</f>
        <v/>
      </c>
      <c r="I2525">
        <f>IF(ISBLANK('ENGAGEMENTS 2026'!C2525),"",'ENGAGEMENTS 2026'!H2525)</f>
        <v/>
      </c>
      <c r="J2525" s="275">
        <f>IF(ISBLANK('ENGAGEMENTS 2026'!C2525),"",IF(AND(OR($E2525="INFRUCTUEUX",$E2525="ANNULE"),$C2525="AOO-M"),'ENGAGEMENTS 2026'!P2525,IF($H2525="EN COURS DE PREENGAGEMENT",'ENGAGEMENTS 2026'!O2525,IF($H2525="PREENGAGE",IF($E2525="ATTRIBUE",'ENGAGEMENTS 2026'!AE2525,'ENGAGEMENTS 2026'!O2525),'ENGAGEMENTS 2026'!AE2525))))</f>
        <v/>
      </c>
      <c r="K2525" s="604">
        <f>IF(ISBLANK('ENGAGEMENTS 2026'!W2525),"",'ENGAGEMENTS 2026'!W2525)</f>
        <v/>
      </c>
      <c r="L2525" s="276">
        <f>IF($K2525="","",TODAY()-$K2525)</f>
        <v/>
      </c>
      <c r="M2525">
        <f>IF($A2525="","",IF($H2525="ENGAGE","Engagé",IF(AND($H2525="NON ENGAGE",OR($I2525="INFRUCTUEUX",$I2525="ANNULE")),"Clôturé sans suite","En cours")))</f>
        <v/>
      </c>
      <c r="N2525">
        <f>IF(ISBLANK('ENGAGEMENTS 2026'!C2525),"",'ENGAGEMENTS 2026'!L2525)</f>
        <v/>
      </c>
      <c r="O2525">
        <f>IF(ISBLANK('ENGAGEMENTS 2026'!C2525),"",'ENGAGEMENTS 2026'!M2525)</f>
        <v/>
      </c>
      <c r="P2525">
        <f>IF(ISBLANK('ENGAGEMENTS 2026'!C2525),"",'ENGAGEMENTS 2026'!K2525)</f>
        <v/>
      </c>
      <c r="Q2525">
        <f>IF($A2525="","",IF(OR($E2525="INFRUCTUEUX",$E2525="ANNULE"),$A2525&amp;"|"&amp;(COUNTIFS($A$2:$A2525,$A2525,$E$2:$E2525,"INFRUCTUEUX")+COUNTIFS($A$2:$A2525,$A2525,$E$2:$E2525,"ANNULE")),""))</f>
        <v/>
      </c>
    </row>
    <row r="2526">
      <c r="A2526">
        <f>IF(ISBLANK('ENGAGEMENTS 2026'!C2526),"",IF('ENGAGEMENTS 2026'!C2526="DTSI","DCT",'ENGAGEMENTS 2026'!C2526))</f>
        <v/>
      </c>
      <c r="B2526">
        <f>IF(ISBLANK('ENGAGEMENTS 2026'!C2526),"",'ENGAGEMENTS 2026'!D2526)</f>
        <v/>
      </c>
      <c r="C2526">
        <f>IF(ISBLANK('ENGAGEMENTS 2026'!C2526),"",'ENGAGEMENTS 2026'!E2526)</f>
        <v/>
      </c>
      <c r="D2526">
        <f>IF(ISBLANK('ENGAGEMENTS 2026'!C2526),"",'ENGAGEMENTS 2026'!G2526)</f>
        <v/>
      </c>
      <c r="E2526">
        <f>IF(ISBLANK('ENGAGEMENTS 2026'!C2526),"",'ENGAGEMENTS 2026'!I2526)</f>
        <v/>
      </c>
      <c r="F2526">
        <f>IF(ISBLANK('ENGAGEMENTS 2026'!C2526),"",'ENGAGEMENTS 2026'!J2526)</f>
        <v/>
      </c>
      <c r="G2526">
        <f>IF(ISBLANK('ENGAGEMENTS 2026'!C2526),"",'ENGAGEMENTS 2026'!M2526)</f>
        <v/>
      </c>
      <c r="H2526">
        <f>IF(ISBLANK('ENGAGEMENTS 2026'!C2526),"",'ENGAGEMENTS 2026'!AF2526)</f>
        <v/>
      </c>
      <c r="I2526">
        <f>IF(ISBLANK('ENGAGEMENTS 2026'!C2526),"",'ENGAGEMENTS 2026'!H2526)</f>
        <v/>
      </c>
      <c r="J2526" s="275">
        <f>IF(ISBLANK('ENGAGEMENTS 2026'!C2526),"",IF(AND(OR($E2526="INFRUCTUEUX",$E2526="ANNULE"),$C2526="AOO-M"),'ENGAGEMENTS 2026'!P2526,IF($H2526="EN COURS DE PREENGAGEMENT",'ENGAGEMENTS 2026'!O2526,IF($H2526="PREENGAGE",IF($E2526="ATTRIBUE",'ENGAGEMENTS 2026'!AE2526,'ENGAGEMENTS 2026'!O2526),'ENGAGEMENTS 2026'!AE2526))))</f>
        <v/>
      </c>
      <c r="K2526" s="604">
        <f>IF(ISBLANK('ENGAGEMENTS 2026'!W2526),"",'ENGAGEMENTS 2026'!W2526)</f>
        <v/>
      </c>
      <c r="L2526" s="276">
        <f>IF($K2526="","",TODAY()-$K2526)</f>
        <v/>
      </c>
      <c r="M2526">
        <f>IF($A2526="","",IF($H2526="ENGAGE","Engagé",IF(AND($H2526="NON ENGAGE",OR($I2526="INFRUCTUEUX",$I2526="ANNULE")),"Clôturé sans suite","En cours")))</f>
        <v/>
      </c>
      <c r="N2526">
        <f>IF(ISBLANK('ENGAGEMENTS 2026'!C2526),"",'ENGAGEMENTS 2026'!L2526)</f>
        <v/>
      </c>
      <c r="O2526">
        <f>IF(ISBLANK('ENGAGEMENTS 2026'!C2526),"",'ENGAGEMENTS 2026'!M2526)</f>
        <v/>
      </c>
      <c r="P2526">
        <f>IF(ISBLANK('ENGAGEMENTS 2026'!C2526),"",'ENGAGEMENTS 2026'!K2526)</f>
        <v/>
      </c>
      <c r="Q2526">
        <f>IF($A2526="","",IF(OR($E2526="INFRUCTUEUX",$E2526="ANNULE"),$A2526&amp;"|"&amp;(COUNTIFS($A$2:$A2526,$A2526,$E$2:$E2526,"INFRUCTUEUX")+COUNTIFS($A$2:$A2526,$A2526,$E$2:$E2526,"ANNULE")),""))</f>
        <v/>
      </c>
    </row>
    <row r="2527">
      <c r="A2527">
        <f>IF(ISBLANK('ENGAGEMENTS 2026'!C2527),"",IF('ENGAGEMENTS 2026'!C2527="DTSI","DCT",'ENGAGEMENTS 2026'!C2527))</f>
        <v/>
      </c>
      <c r="B2527">
        <f>IF(ISBLANK('ENGAGEMENTS 2026'!C2527),"",'ENGAGEMENTS 2026'!D2527)</f>
        <v/>
      </c>
      <c r="C2527">
        <f>IF(ISBLANK('ENGAGEMENTS 2026'!C2527),"",'ENGAGEMENTS 2026'!E2527)</f>
        <v/>
      </c>
      <c r="D2527">
        <f>IF(ISBLANK('ENGAGEMENTS 2026'!C2527),"",'ENGAGEMENTS 2026'!G2527)</f>
        <v/>
      </c>
      <c r="E2527">
        <f>IF(ISBLANK('ENGAGEMENTS 2026'!C2527),"",'ENGAGEMENTS 2026'!I2527)</f>
        <v/>
      </c>
      <c r="F2527">
        <f>IF(ISBLANK('ENGAGEMENTS 2026'!C2527),"",'ENGAGEMENTS 2026'!J2527)</f>
        <v/>
      </c>
      <c r="G2527">
        <f>IF(ISBLANK('ENGAGEMENTS 2026'!C2527),"",'ENGAGEMENTS 2026'!M2527)</f>
        <v/>
      </c>
      <c r="H2527">
        <f>IF(ISBLANK('ENGAGEMENTS 2026'!C2527),"",'ENGAGEMENTS 2026'!AF2527)</f>
        <v/>
      </c>
      <c r="I2527">
        <f>IF(ISBLANK('ENGAGEMENTS 2026'!C2527),"",'ENGAGEMENTS 2026'!H2527)</f>
        <v/>
      </c>
      <c r="J2527" s="275">
        <f>IF(ISBLANK('ENGAGEMENTS 2026'!C2527),"",IF(AND(OR($E2527="INFRUCTUEUX",$E2527="ANNULE"),$C2527="AOO-M"),'ENGAGEMENTS 2026'!P2527,IF($H2527="EN COURS DE PREENGAGEMENT",'ENGAGEMENTS 2026'!O2527,IF($H2527="PREENGAGE",IF($E2527="ATTRIBUE",'ENGAGEMENTS 2026'!AE2527,'ENGAGEMENTS 2026'!O2527),'ENGAGEMENTS 2026'!AE2527))))</f>
        <v/>
      </c>
      <c r="K2527" s="604">
        <f>IF(ISBLANK('ENGAGEMENTS 2026'!W2527),"",'ENGAGEMENTS 2026'!W2527)</f>
        <v/>
      </c>
      <c r="L2527" s="276">
        <f>IF($K2527="","",TODAY()-$K2527)</f>
        <v/>
      </c>
      <c r="M2527">
        <f>IF($A2527="","",IF($H2527="ENGAGE","Engagé",IF(AND($H2527="NON ENGAGE",OR($I2527="INFRUCTUEUX",$I2527="ANNULE")),"Clôturé sans suite","En cours")))</f>
        <v/>
      </c>
      <c r="N2527">
        <f>IF(ISBLANK('ENGAGEMENTS 2026'!C2527),"",'ENGAGEMENTS 2026'!L2527)</f>
        <v/>
      </c>
      <c r="O2527">
        <f>IF(ISBLANK('ENGAGEMENTS 2026'!C2527),"",'ENGAGEMENTS 2026'!M2527)</f>
        <v/>
      </c>
      <c r="P2527">
        <f>IF(ISBLANK('ENGAGEMENTS 2026'!C2527),"",'ENGAGEMENTS 2026'!K2527)</f>
        <v/>
      </c>
      <c r="Q2527">
        <f>IF($A2527="","",IF(OR($E2527="INFRUCTUEUX",$E2527="ANNULE"),$A2527&amp;"|"&amp;(COUNTIFS($A$2:$A2527,$A2527,$E$2:$E2527,"INFRUCTUEUX")+COUNTIFS($A$2:$A2527,$A2527,$E$2:$E2527,"ANNULE")),""))</f>
        <v/>
      </c>
    </row>
    <row r="2528">
      <c r="A2528">
        <f>IF(ISBLANK('ENGAGEMENTS 2026'!C2528),"",IF('ENGAGEMENTS 2026'!C2528="DTSI","DCT",'ENGAGEMENTS 2026'!C2528))</f>
        <v/>
      </c>
      <c r="B2528">
        <f>IF(ISBLANK('ENGAGEMENTS 2026'!C2528),"",'ENGAGEMENTS 2026'!D2528)</f>
        <v/>
      </c>
      <c r="C2528">
        <f>IF(ISBLANK('ENGAGEMENTS 2026'!C2528),"",'ENGAGEMENTS 2026'!E2528)</f>
        <v/>
      </c>
      <c r="D2528">
        <f>IF(ISBLANK('ENGAGEMENTS 2026'!C2528),"",'ENGAGEMENTS 2026'!G2528)</f>
        <v/>
      </c>
      <c r="E2528">
        <f>IF(ISBLANK('ENGAGEMENTS 2026'!C2528),"",'ENGAGEMENTS 2026'!I2528)</f>
        <v/>
      </c>
      <c r="F2528">
        <f>IF(ISBLANK('ENGAGEMENTS 2026'!C2528),"",'ENGAGEMENTS 2026'!J2528)</f>
        <v/>
      </c>
      <c r="G2528">
        <f>IF(ISBLANK('ENGAGEMENTS 2026'!C2528),"",'ENGAGEMENTS 2026'!M2528)</f>
        <v/>
      </c>
      <c r="H2528">
        <f>IF(ISBLANK('ENGAGEMENTS 2026'!C2528),"",'ENGAGEMENTS 2026'!AF2528)</f>
        <v/>
      </c>
      <c r="I2528">
        <f>IF(ISBLANK('ENGAGEMENTS 2026'!C2528),"",'ENGAGEMENTS 2026'!H2528)</f>
        <v/>
      </c>
      <c r="J2528" s="275">
        <f>IF(ISBLANK('ENGAGEMENTS 2026'!C2528),"",IF(AND(OR($E2528="INFRUCTUEUX",$E2528="ANNULE"),$C2528="AOO-M"),'ENGAGEMENTS 2026'!P2528,IF($H2528="EN COURS DE PREENGAGEMENT",'ENGAGEMENTS 2026'!O2528,IF($H2528="PREENGAGE",IF($E2528="ATTRIBUE",'ENGAGEMENTS 2026'!AE2528,'ENGAGEMENTS 2026'!O2528),'ENGAGEMENTS 2026'!AE2528))))</f>
        <v/>
      </c>
      <c r="K2528" s="604">
        <f>IF(ISBLANK('ENGAGEMENTS 2026'!W2528),"",'ENGAGEMENTS 2026'!W2528)</f>
        <v/>
      </c>
      <c r="L2528" s="276">
        <f>IF($K2528="","",TODAY()-$K2528)</f>
        <v/>
      </c>
      <c r="M2528">
        <f>IF($A2528="","",IF($H2528="ENGAGE","Engagé",IF(AND($H2528="NON ENGAGE",OR($I2528="INFRUCTUEUX",$I2528="ANNULE")),"Clôturé sans suite","En cours")))</f>
        <v/>
      </c>
      <c r="N2528">
        <f>IF(ISBLANK('ENGAGEMENTS 2026'!C2528),"",'ENGAGEMENTS 2026'!L2528)</f>
        <v/>
      </c>
      <c r="O2528">
        <f>IF(ISBLANK('ENGAGEMENTS 2026'!C2528),"",'ENGAGEMENTS 2026'!M2528)</f>
        <v/>
      </c>
      <c r="P2528">
        <f>IF(ISBLANK('ENGAGEMENTS 2026'!C2528),"",'ENGAGEMENTS 2026'!K2528)</f>
        <v/>
      </c>
      <c r="Q2528">
        <f>IF($A2528="","",IF(OR($E2528="INFRUCTUEUX",$E2528="ANNULE"),$A2528&amp;"|"&amp;(COUNTIFS($A$2:$A2528,$A2528,$E$2:$E2528,"INFRUCTUEUX")+COUNTIFS($A$2:$A2528,$A2528,$E$2:$E2528,"ANNULE")),""))</f>
        <v/>
      </c>
    </row>
    <row r="2529">
      <c r="A2529">
        <f>IF(ISBLANK('ENGAGEMENTS 2026'!C2529),"",IF('ENGAGEMENTS 2026'!C2529="DTSI","DCT",'ENGAGEMENTS 2026'!C2529))</f>
        <v/>
      </c>
      <c r="B2529">
        <f>IF(ISBLANK('ENGAGEMENTS 2026'!C2529),"",'ENGAGEMENTS 2026'!D2529)</f>
        <v/>
      </c>
      <c r="C2529">
        <f>IF(ISBLANK('ENGAGEMENTS 2026'!C2529),"",'ENGAGEMENTS 2026'!E2529)</f>
        <v/>
      </c>
      <c r="D2529">
        <f>IF(ISBLANK('ENGAGEMENTS 2026'!C2529),"",'ENGAGEMENTS 2026'!G2529)</f>
        <v/>
      </c>
      <c r="E2529">
        <f>IF(ISBLANK('ENGAGEMENTS 2026'!C2529),"",'ENGAGEMENTS 2026'!I2529)</f>
        <v/>
      </c>
      <c r="F2529">
        <f>IF(ISBLANK('ENGAGEMENTS 2026'!C2529),"",'ENGAGEMENTS 2026'!J2529)</f>
        <v/>
      </c>
      <c r="G2529">
        <f>IF(ISBLANK('ENGAGEMENTS 2026'!C2529),"",'ENGAGEMENTS 2026'!M2529)</f>
        <v/>
      </c>
      <c r="H2529">
        <f>IF(ISBLANK('ENGAGEMENTS 2026'!C2529),"",'ENGAGEMENTS 2026'!AF2529)</f>
        <v/>
      </c>
      <c r="I2529">
        <f>IF(ISBLANK('ENGAGEMENTS 2026'!C2529),"",'ENGAGEMENTS 2026'!H2529)</f>
        <v/>
      </c>
      <c r="J2529" s="275">
        <f>IF(ISBLANK('ENGAGEMENTS 2026'!C2529),"",IF(AND(OR($E2529="INFRUCTUEUX",$E2529="ANNULE"),$C2529="AOO-M"),'ENGAGEMENTS 2026'!P2529,IF($H2529="EN COURS DE PREENGAGEMENT",'ENGAGEMENTS 2026'!O2529,IF($H2529="PREENGAGE",IF($E2529="ATTRIBUE",'ENGAGEMENTS 2026'!AE2529,'ENGAGEMENTS 2026'!O2529),'ENGAGEMENTS 2026'!AE2529))))</f>
        <v/>
      </c>
      <c r="K2529" s="604">
        <f>IF(ISBLANK('ENGAGEMENTS 2026'!W2529),"",'ENGAGEMENTS 2026'!W2529)</f>
        <v/>
      </c>
      <c r="L2529" s="276">
        <f>IF($K2529="","",TODAY()-$K2529)</f>
        <v/>
      </c>
      <c r="M2529">
        <f>IF($A2529="","",IF($H2529="ENGAGE","Engagé",IF(AND($H2529="NON ENGAGE",OR($I2529="INFRUCTUEUX",$I2529="ANNULE")),"Clôturé sans suite","En cours")))</f>
        <v/>
      </c>
      <c r="N2529">
        <f>IF(ISBLANK('ENGAGEMENTS 2026'!C2529),"",'ENGAGEMENTS 2026'!L2529)</f>
        <v/>
      </c>
      <c r="O2529">
        <f>IF(ISBLANK('ENGAGEMENTS 2026'!C2529),"",'ENGAGEMENTS 2026'!M2529)</f>
        <v/>
      </c>
      <c r="P2529">
        <f>IF(ISBLANK('ENGAGEMENTS 2026'!C2529),"",'ENGAGEMENTS 2026'!K2529)</f>
        <v/>
      </c>
      <c r="Q2529">
        <f>IF($A2529="","",IF(OR($E2529="INFRUCTUEUX",$E2529="ANNULE"),$A2529&amp;"|"&amp;(COUNTIFS($A$2:$A2529,$A2529,$E$2:$E2529,"INFRUCTUEUX")+COUNTIFS($A$2:$A2529,$A2529,$E$2:$E2529,"ANNULE")),""))</f>
        <v/>
      </c>
    </row>
    <row r="2530">
      <c r="A2530">
        <f>IF(ISBLANK('ENGAGEMENTS 2026'!C2530),"",IF('ENGAGEMENTS 2026'!C2530="DTSI","DCT",'ENGAGEMENTS 2026'!C2530))</f>
        <v/>
      </c>
      <c r="B2530">
        <f>IF(ISBLANK('ENGAGEMENTS 2026'!C2530),"",'ENGAGEMENTS 2026'!D2530)</f>
        <v/>
      </c>
      <c r="C2530">
        <f>IF(ISBLANK('ENGAGEMENTS 2026'!C2530),"",'ENGAGEMENTS 2026'!E2530)</f>
        <v/>
      </c>
      <c r="D2530">
        <f>IF(ISBLANK('ENGAGEMENTS 2026'!C2530),"",'ENGAGEMENTS 2026'!G2530)</f>
        <v/>
      </c>
      <c r="E2530">
        <f>IF(ISBLANK('ENGAGEMENTS 2026'!C2530),"",'ENGAGEMENTS 2026'!I2530)</f>
        <v/>
      </c>
      <c r="F2530">
        <f>IF(ISBLANK('ENGAGEMENTS 2026'!C2530),"",'ENGAGEMENTS 2026'!J2530)</f>
        <v/>
      </c>
      <c r="G2530">
        <f>IF(ISBLANK('ENGAGEMENTS 2026'!C2530),"",'ENGAGEMENTS 2026'!M2530)</f>
        <v/>
      </c>
      <c r="H2530">
        <f>IF(ISBLANK('ENGAGEMENTS 2026'!C2530),"",'ENGAGEMENTS 2026'!AF2530)</f>
        <v/>
      </c>
      <c r="I2530">
        <f>IF(ISBLANK('ENGAGEMENTS 2026'!C2530),"",'ENGAGEMENTS 2026'!H2530)</f>
        <v/>
      </c>
      <c r="J2530" s="275">
        <f>IF(ISBLANK('ENGAGEMENTS 2026'!C2530),"",IF(AND(OR($E2530="INFRUCTUEUX",$E2530="ANNULE"),$C2530="AOO-M"),'ENGAGEMENTS 2026'!P2530,IF($H2530="EN COURS DE PREENGAGEMENT",'ENGAGEMENTS 2026'!O2530,IF($H2530="PREENGAGE",IF($E2530="ATTRIBUE",'ENGAGEMENTS 2026'!AE2530,'ENGAGEMENTS 2026'!O2530),'ENGAGEMENTS 2026'!AE2530))))</f>
        <v/>
      </c>
      <c r="K2530" s="604">
        <f>IF(ISBLANK('ENGAGEMENTS 2026'!W2530),"",'ENGAGEMENTS 2026'!W2530)</f>
        <v/>
      </c>
      <c r="L2530" s="276">
        <f>IF($K2530="","",TODAY()-$K2530)</f>
        <v/>
      </c>
      <c r="M2530">
        <f>IF($A2530="","",IF($H2530="ENGAGE","Engagé",IF(AND($H2530="NON ENGAGE",OR($I2530="INFRUCTUEUX",$I2530="ANNULE")),"Clôturé sans suite","En cours")))</f>
        <v/>
      </c>
      <c r="N2530">
        <f>IF(ISBLANK('ENGAGEMENTS 2026'!C2530),"",'ENGAGEMENTS 2026'!L2530)</f>
        <v/>
      </c>
      <c r="O2530">
        <f>IF(ISBLANK('ENGAGEMENTS 2026'!C2530),"",'ENGAGEMENTS 2026'!M2530)</f>
        <v/>
      </c>
      <c r="P2530">
        <f>IF(ISBLANK('ENGAGEMENTS 2026'!C2530),"",'ENGAGEMENTS 2026'!K2530)</f>
        <v/>
      </c>
      <c r="Q2530">
        <f>IF($A2530="","",IF(OR($E2530="INFRUCTUEUX",$E2530="ANNULE"),$A2530&amp;"|"&amp;(COUNTIFS($A$2:$A2530,$A2530,$E$2:$E2530,"INFRUCTUEUX")+COUNTIFS($A$2:$A2530,$A2530,$E$2:$E2530,"ANNULE")),""))</f>
        <v/>
      </c>
    </row>
    <row r="2531">
      <c r="A2531">
        <f>IF(ISBLANK('ENGAGEMENTS 2026'!C2531),"",IF('ENGAGEMENTS 2026'!C2531="DTSI","DCT",'ENGAGEMENTS 2026'!C2531))</f>
        <v/>
      </c>
      <c r="B2531">
        <f>IF(ISBLANK('ENGAGEMENTS 2026'!C2531),"",'ENGAGEMENTS 2026'!D2531)</f>
        <v/>
      </c>
      <c r="C2531">
        <f>IF(ISBLANK('ENGAGEMENTS 2026'!C2531),"",'ENGAGEMENTS 2026'!E2531)</f>
        <v/>
      </c>
      <c r="D2531">
        <f>IF(ISBLANK('ENGAGEMENTS 2026'!C2531),"",'ENGAGEMENTS 2026'!G2531)</f>
        <v/>
      </c>
      <c r="E2531">
        <f>IF(ISBLANK('ENGAGEMENTS 2026'!C2531),"",'ENGAGEMENTS 2026'!I2531)</f>
        <v/>
      </c>
      <c r="F2531">
        <f>IF(ISBLANK('ENGAGEMENTS 2026'!C2531),"",'ENGAGEMENTS 2026'!J2531)</f>
        <v/>
      </c>
      <c r="G2531">
        <f>IF(ISBLANK('ENGAGEMENTS 2026'!C2531),"",'ENGAGEMENTS 2026'!M2531)</f>
        <v/>
      </c>
      <c r="H2531">
        <f>IF(ISBLANK('ENGAGEMENTS 2026'!C2531),"",'ENGAGEMENTS 2026'!AF2531)</f>
        <v/>
      </c>
      <c r="I2531">
        <f>IF(ISBLANK('ENGAGEMENTS 2026'!C2531),"",'ENGAGEMENTS 2026'!H2531)</f>
        <v/>
      </c>
      <c r="J2531" s="275">
        <f>IF(ISBLANK('ENGAGEMENTS 2026'!C2531),"",IF(AND(OR($E2531="INFRUCTUEUX",$E2531="ANNULE"),$C2531="AOO-M"),'ENGAGEMENTS 2026'!P2531,IF($H2531="EN COURS DE PREENGAGEMENT",'ENGAGEMENTS 2026'!O2531,IF($H2531="PREENGAGE",IF($E2531="ATTRIBUE",'ENGAGEMENTS 2026'!AE2531,'ENGAGEMENTS 2026'!O2531),'ENGAGEMENTS 2026'!AE2531))))</f>
        <v/>
      </c>
      <c r="K2531" s="604">
        <f>IF(ISBLANK('ENGAGEMENTS 2026'!W2531),"",'ENGAGEMENTS 2026'!W2531)</f>
        <v/>
      </c>
      <c r="L2531" s="276">
        <f>IF($K2531="","",TODAY()-$K2531)</f>
        <v/>
      </c>
      <c r="M2531">
        <f>IF($A2531="","",IF($H2531="ENGAGE","Engagé",IF(AND($H2531="NON ENGAGE",OR($I2531="INFRUCTUEUX",$I2531="ANNULE")),"Clôturé sans suite","En cours")))</f>
        <v/>
      </c>
      <c r="N2531">
        <f>IF(ISBLANK('ENGAGEMENTS 2026'!C2531),"",'ENGAGEMENTS 2026'!L2531)</f>
        <v/>
      </c>
      <c r="O2531">
        <f>IF(ISBLANK('ENGAGEMENTS 2026'!C2531),"",'ENGAGEMENTS 2026'!M2531)</f>
        <v/>
      </c>
      <c r="P2531">
        <f>IF(ISBLANK('ENGAGEMENTS 2026'!C2531),"",'ENGAGEMENTS 2026'!K2531)</f>
        <v/>
      </c>
      <c r="Q2531">
        <f>IF($A2531="","",IF(OR($E2531="INFRUCTUEUX",$E2531="ANNULE"),$A2531&amp;"|"&amp;(COUNTIFS($A$2:$A2531,$A2531,$E$2:$E2531,"INFRUCTUEUX")+COUNTIFS($A$2:$A2531,$A2531,$E$2:$E2531,"ANNULE")),""))</f>
        <v/>
      </c>
    </row>
    <row r="2532">
      <c r="A2532">
        <f>IF(ISBLANK('ENGAGEMENTS 2026'!C2532),"",IF('ENGAGEMENTS 2026'!C2532="DTSI","DCT",'ENGAGEMENTS 2026'!C2532))</f>
        <v/>
      </c>
      <c r="B2532">
        <f>IF(ISBLANK('ENGAGEMENTS 2026'!C2532),"",'ENGAGEMENTS 2026'!D2532)</f>
        <v/>
      </c>
      <c r="C2532">
        <f>IF(ISBLANK('ENGAGEMENTS 2026'!C2532),"",'ENGAGEMENTS 2026'!E2532)</f>
        <v/>
      </c>
      <c r="D2532">
        <f>IF(ISBLANK('ENGAGEMENTS 2026'!C2532),"",'ENGAGEMENTS 2026'!G2532)</f>
        <v/>
      </c>
      <c r="E2532">
        <f>IF(ISBLANK('ENGAGEMENTS 2026'!C2532),"",'ENGAGEMENTS 2026'!I2532)</f>
        <v/>
      </c>
      <c r="F2532">
        <f>IF(ISBLANK('ENGAGEMENTS 2026'!C2532),"",'ENGAGEMENTS 2026'!J2532)</f>
        <v/>
      </c>
      <c r="G2532">
        <f>IF(ISBLANK('ENGAGEMENTS 2026'!C2532),"",'ENGAGEMENTS 2026'!M2532)</f>
        <v/>
      </c>
      <c r="H2532">
        <f>IF(ISBLANK('ENGAGEMENTS 2026'!C2532),"",'ENGAGEMENTS 2026'!AF2532)</f>
        <v/>
      </c>
      <c r="I2532">
        <f>IF(ISBLANK('ENGAGEMENTS 2026'!C2532),"",'ENGAGEMENTS 2026'!H2532)</f>
        <v/>
      </c>
      <c r="J2532" s="275">
        <f>IF(ISBLANK('ENGAGEMENTS 2026'!C2532),"",IF(AND(OR($E2532="INFRUCTUEUX",$E2532="ANNULE"),$C2532="AOO-M"),'ENGAGEMENTS 2026'!P2532,IF($H2532="EN COURS DE PREENGAGEMENT",'ENGAGEMENTS 2026'!O2532,IF($H2532="PREENGAGE",IF($E2532="ATTRIBUE",'ENGAGEMENTS 2026'!AE2532,'ENGAGEMENTS 2026'!O2532),'ENGAGEMENTS 2026'!AE2532))))</f>
        <v/>
      </c>
      <c r="K2532" s="604">
        <f>IF(ISBLANK('ENGAGEMENTS 2026'!W2532),"",'ENGAGEMENTS 2026'!W2532)</f>
        <v/>
      </c>
      <c r="L2532" s="276">
        <f>IF($K2532="","",TODAY()-$K2532)</f>
        <v/>
      </c>
      <c r="M2532">
        <f>IF($A2532="","",IF($H2532="ENGAGE","Engagé",IF(AND($H2532="NON ENGAGE",OR($I2532="INFRUCTUEUX",$I2532="ANNULE")),"Clôturé sans suite","En cours")))</f>
        <v/>
      </c>
      <c r="N2532">
        <f>IF(ISBLANK('ENGAGEMENTS 2026'!C2532),"",'ENGAGEMENTS 2026'!L2532)</f>
        <v/>
      </c>
      <c r="O2532">
        <f>IF(ISBLANK('ENGAGEMENTS 2026'!C2532),"",'ENGAGEMENTS 2026'!M2532)</f>
        <v/>
      </c>
      <c r="P2532">
        <f>IF(ISBLANK('ENGAGEMENTS 2026'!C2532),"",'ENGAGEMENTS 2026'!K2532)</f>
        <v/>
      </c>
      <c r="Q2532">
        <f>IF($A2532="","",IF(OR($E2532="INFRUCTUEUX",$E2532="ANNULE"),$A2532&amp;"|"&amp;(COUNTIFS($A$2:$A2532,$A2532,$E$2:$E2532,"INFRUCTUEUX")+COUNTIFS($A$2:$A2532,$A2532,$E$2:$E2532,"ANNULE")),""))</f>
        <v/>
      </c>
    </row>
    <row r="2533">
      <c r="A2533">
        <f>IF(ISBLANK('ENGAGEMENTS 2026'!C2533),"",IF('ENGAGEMENTS 2026'!C2533="DTSI","DCT",'ENGAGEMENTS 2026'!C2533))</f>
        <v/>
      </c>
      <c r="B2533">
        <f>IF(ISBLANK('ENGAGEMENTS 2026'!C2533),"",'ENGAGEMENTS 2026'!D2533)</f>
        <v/>
      </c>
      <c r="C2533">
        <f>IF(ISBLANK('ENGAGEMENTS 2026'!C2533),"",'ENGAGEMENTS 2026'!E2533)</f>
        <v/>
      </c>
      <c r="D2533">
        <f>IF(ISBLANK('ENGAGEMENTS 2026'!C2533),"",'ENGAGEMENTS 2026'!G2533)</f>
        <v/>
      </c>
      <c r="E2533">
        <f>IF(ISBLANK('ENGAGEMENTS 2026'!C2533),"",'ENGAGEMENTS 2026'!I2533)</f>
        <v/>
      </c>
      <c r="F2533">
        <f>IF(ISBLANK('ENGAGEMENTS 2026'!C2533),"",'ENGAGEMENTS 2026'!J2533)</f>
        <v/>
      </c>
      <c r="G2533">
        <f>IF(ISBLANK('ENGAGEMENTS 2026'!C2533),"",'ENGAGEMENTS 2026'!M2533)</f>
        <v/>
      </c>
      <c r="H2533">
        <f>IF(ISBLANK('ENGAGEMENTS 2026'!C2533),"",'ENGAGEMENTS 2026'!AF2533)</f>
        <v/>
      </c>
      <c r="I2533">
        <f>IF(ISBLANK('ENGAGEMENTS 2026'!C2533),"",'ENGAGEMENTS 2026'!H2533)</f>
        <v/>
      </c>
      <c r="J2533" s="275">
        <f>IF(ISBLANK('ENGAGEMENTS 2026'!C2533),"",IF(AND(OR($E2533="INFRUCTUEUX",$E2533="ANNULE"),$C2533="AOO-M"),'ENGAGEMENTS 2026'!P2533,IF($H2533="EN COURS DE PREENGAGEMENT",'ENGAGEMENTS 2026'!O2533,IF($H2533="PREENGAGE",IF($E2533="ATTRIBUE",'ENGAGEMENTS 2026'!AE2533,'ENGAGEMENTS 2026'!O2533),'ENGAGEMENTS 2026'!AE2533))))</f>
        <v/>
      </c>
      <c r="K2533" s="604">
        <f>IF(ISBLANK('ENGAGEMENTS 2026'!W2533),"",'ENGAGEMENTS 2026'!W2533)</f>
        <v/>
      </c>
      <c r="L2533" s="276">
        <f>IF($K2533="","",TODAY()-$K2533)</f>
        <v/>
      </c>
      <c r="M2533">
        <f>IF($A2533="","",IF($H2533="ENGAGE","Engagé",IF(AND($H2533="NON ENGAGE",OR($I2533="INFRUCTUEUX",$I2533="ANNULE")),"Clôturé sans suite","En cours")))</f>
        <v/>
      </c>
      <c r="N2533">
        <f>IF(ISBLANK('ENGAGEMENTS 2026'!C2533),"",'ENGAGEMENTS 2026'!L2533)</f>
        <v/>
      </c>
      <c r="O2533">
        <f>IF(ISBLANK('ENGAGEMENTS 2026'!C2533),"",'ENGAGEMENTS 2026'!M2533)</f>
        <v/>
      </c>
      <c r="P2533">
        <f>IF(ISBLANK('ENGAGEMENTS 2026'!C2533),"",'ENGAGEMENTS 2026'!K2533)</f>
        <v/>
      </c>
      <c r="Q2533">
        <f>IF($A2533="","",IF(OR($E2533="INFRUCTUEUX",$E2533="ANNULE"),$A2533&amp;"|"&amp;(COUNTIFS($A$2:$A2533,$A2533,$E$2:$E2533,"INFRUCTUEUX")+COUNTIFS($A$2:$A2533,$A2533,$E$2:$E2533,"ANNULE")),""))</f>
        <v/>
      </c>
    </row>
    <row r="2534">
      <c r="A2534">
        <f>IF(ISBLANK('ENGAGEMENTS 2026'!C2534),"",IF('ENGAGEMENTS 2026'!C2534="DTSI","DCT",'ENGAGEMENTS 2026'!C2534))</f>
        <v/>
      </c>
      <c r="B2534">
        <f>IF(ISBLANK('ENGAGEMENTS 2026'!C2534),"",'ENGAGEMENTS 2026'!D2534)</f>
        <v/>
      </c>
      <c r="C2534">
        <f>IF(ISBLANK('ENGAGEMENTS 2026'!C2534),"",'ENGAGEMENTS 2026'!E2534)</f>
        <v/>
      </c>
      <c r="D2534">
        <f>IF(ISBLANK('ENGAGEMENTS 2026'!C2534),"",'ENGAGEMENTS 2026'!G2534)</f>
        <v/>
      </c>
      <c r="E2534">
        <f>IF(ISBLANK('ENGAGEMENTS 2026'!C2534),"",'ENGAGEMENTS 2026'!I2534)</f>
        <v/>
      </c>
      <c r="F2534">
        <f>IF(ISBLANK('ENGAGEMENTS 2026'!C2534),"",'ENGAGEMENTS 2026'!J2534)</f>
        <v/>
      </c>
      <c r="G2534">
        <f>IF(ISBLANK('ENGAGEMENTS 2026'!C2534),"",'ENGAGEMENTS 2026'!M2534)</f>
        <v/>
      </c>
      <c r="H2534">
        <f>IF(ISBLANK('ENGAGEMENTS 2026'!C2534),"",'ENGAGEMENTS 2026'!AF2534)</f>
        <v/>
      </c>
      <c r="I2534">
        <f>IF(ISBLANK('ENGAGEMENTS 2026'!C2534),"",'ENGAGEMENTS 2026'!H2534)</f>
        <v/>
      </c>
      <c r="J2534" s="275">
        <f>IF(ISBLANK('ENGAGEMENTS 2026'!C2534),"",IF(AND(OR($E2534="INFRUCTUEUX",$E2534="ANNULE"),$C2534="AOO-M"),'ENGAGEMENTS 2026'!P2534,IF($H2534="EN COURS DE PREENGAGEMENT",'ENGAGEMENTS 2026'!O2534,IF($H2534="PREENGAGE",IF($E2534="ATTRIBUE",'ENGAGEMENTS 2026'!AE2534,'ENGAGEMENTS 2026'!O2534),'ENGAGEMENTS 2026'!AE2534))))</f>
        <v/>
      </c>
      <c r="K2534" s="604">
        <f>IF(ISBLANK('ENGAGEMENTS 2026'!W2534),"",'ENGAGEMENTS 2026'!W2534)</f>
        <v/>
      </c>
      <c r="L2534" s="276">
        <f>IF($K2534="","",TODAY()-$K2534)</f>
        <v/>
      </c>
      <c r="M2534">
        <f>IF($A2534="","",IF($H2534="ENGAGE","Engagé",IF(AND($H2534="NON ENGAGE",OR($I2534="INFRUCTUEUX",$I2534="ANNULE")),"Clôturé sans suite","En cours")))</f>
        <v/>
      </c>
      <c r="N2534">
        <f>IF(ISBLANK('ENGAGEMENTS 2026'!C2534),"",'ENGAGEMENTS 2026'!L2534)</f>
        <v/>
      </c>
      <c r="O2534">
        <f>IF(ISBLANK('ENGAGEMENTS 2026'!C2534),"",'ENGAGEMENTS 2026'!M2534)</f>
        <v/>
      </c>
      <c r="P2534">
        <f>IF(ISBLANK('ENGAGEMENTS 2026'!C2534),"",'ENGAGEMENTS 2026'!K2534)</f>
        <v/>
      </c>
      <c r="Q2534">
        <f>IF($A2534="","",IF(OR($E2534="INFRUCTUEUX",$E2534="ANNULE"),$A2534&amp;"|"&amp;(COUNTIFS($A$2:$A2534,$A2534,$E$2:$E2534,"INFRUCTUEUX")+COUNTIFS($A$2:$A2534,$A2534,$E$2:$E2534,"ANNULE")),""))</f>
        <v/>
      </c>
    </row>
    <row r="2535">
      <c r="A2535">
        <f>IF(ISBLANK('ENGAGEMENTS 2026'!C2535),"",IF('ENGAGEMENTS 2026'!C2535="DTSI","DCT",'ENGAGEMENTS 2026'!C2535))</f>
        <v/>
      </c>
      <c r="B2535">
        <f>IF(ISBLANK('ENGAGEMENTS 2026'!C2535),"",'ENGAGEMENTS 2026'!D2535)</f>
        <v/>
      </c>
      <c r="C2535">
        <f>IF(ISBLANK('ENGAGEMENTS 2026'!C2535),"",'ENGAGEMENTS 2026'!E2535)</f>
        <v/>
      </c>
      <c r="D2535">
        <f>IF(ISBLANK('ENGAGEMENTS 2026'!C2535),"",'ENGAGEMENTS 2026'!G2535)</f>
        <v/>
      </c>
      <c r="E2535">
        <f>IF(ISBLANK('ENGAGEMENTS 2026'!C2535),"",'ENGAGEMENTS 2026'!I2535)</f>
        <v/>
      </c>
      <c r="F2535">
        <f>IF(ISBLANK('ENGAGEMENTS 2026'!C2535),"",'ENGAGEMENTS 2026'!J2535)</f>
        <v/>
      </c>
      <c r="G2535">
        <f>IF(ISBLANK('ENGAGEMENTS 2026'!C2535),"",'ENGAGEMENTS 2026'!M2535)</f>
        <v/>
      </c>
      <c r="H2535">
        <f>IF(ISBLANK('ENGAGEMENTS 2026'!C2535),"",'ENGAGEMENTS 2026'!AF2535)</f>
        <v/>
      </c>
      <c r="I2535">
        <f>IF(ISBLANK('ENGAGEMENTS 2026'!C2535),"",'ENGAGEMENTS 2026'!H2535)</f>
        <v/>
      </c>
      <c r="J2535" s="275">
        <f>IF(ISBLANK('ENGAGEMENTS 2026'!C2535),"",IF(AND(OR($E2535="INFRUCTUEUX",$E2535="ANNULE"),$C2535="AOO-M"),'ENGAGEMENTS 2026'!P2535,IF($H2535="EN COURS DE PREENGAGEMENT",'ENGAGEMENTS 2026'!O2535,IF($H2535="PREENGAGE",IF($E2535="ATTRIBUE",'ENGAGEMENTS 2026'!AE2535,'ENGAGEMENTS 2026'!O2535),'ENGAGEMENTS 2026'!AE2535))))</f>
        <v/>
      </c>
      <c r="K2535" s="604">
        <f>IF(ISBLANK('ENGAGEMENTS 2026'!W2535),"",'ENGAGEMENTS 2026'!W2535)</f>
        <v/>
      </c>
      <c r="L2535" s="276">
        <f>IF($K2535="","",TODAY()-$K2535)</f>
        <v/>
      </c>
      <c r="M2535">
        <f>IF($A2535="","",IF($H2535="ENGAGE","Engagé",IF(AND($H2535="NON ENGAGE",OR($I2535="INFRUCTUEUX",$I2535="ANNULE")),"Clôturé sans suite","En cours")))</f>
        <v/>
      </c>
      <c r="N2535">
        <f>IF(ISBLANK('ENGAGEMENTS 2026'!C2535),"",'ENGAGEMENTS 2026'!L2535)</f>
        <v/>
      </c>
      <c r="O2535">
        <f>IF(ISBLANK('ENGAGEMENTS 2026'!C2535),"",'ENGAGEMENTS 2026'!M2535)</f>
        <v/>
      </c>
      <c r="P2535">
        <f>IF(ISBLANK('ENGAGEMENTS 2026'!C2535),"",'ENGAGEMENTS 2026'!K2535)</f>
        <v/>
      </c>
      <c r="Q2535">
        <f>IF($A2535="","",IF(OR($E2535="INFRUCTUEUX",$E2535="ANNULE"),$A2535&amp;"|"&amp;(COUNTIFS($A$2:$A2535,$A2535,$E$2:$E2535,"INFRUCTUEUX")+COUNTIFS($A$2:$A2535,$A2535,$E$2:$E2535,"ANNULE")),""))</f>
        <v/>
      </c>
    </row>
    <row r="2536">
      <c r="A2536">
        <f>IF(ISBLANK('ENGAGEMENTS 2026'!C2536),"",IF('ENGAGEMENTS 2026'!C2536="DTSI","DCT",'ENGAGEMENTS 2026'!C2536))</f>
        <v/>
      </c>
      <c r="B2536">
        <f>IF(ISBLANK('ENGAGEMENTS 2026'!C2536),"",'ENGAGEMENTS 2026'!D2536)</f>
        <v/>
      </c>
      <c r="C2536">
        <f>IF(ISBLANK('ENGAGEMENTS 2026'!C2536),"",'ENGAGEMENTS 2026'!E2536)</f>
        <v/>
      </c>
      <c r="D2536">
        <f>IF(ISBLANK('ENGAGEMENTS 2026'!C2536),"",'ENGAGEMENTS 2026'!G2536)</f>
        <v/>
      </c>
      <c r="E2536">
        <f>IF(ISBLANK('ENGAGEMENTS 2026'!C2536),"",'ENGAGEMENTS 2026'!I2536)</f>
        <v/>
      </c>
      <c r="F2536">
        <f>IF(ISBLANK('ENGAGEMENTS 2026'!C2536),"",'ENGAGEMENTS 2026'!J2536)</f>
        <v/>
      </c>
      <c r="G2536">
        <f>IF(ISBLANK('ENGAGEMENTS 2026'!C2536),"",'ENGAGEMENTS 2026'!M2536)</f>
        <v/>
      </c>
      <c r="H2536">
        <f>IF(ISBLANK('ENGAGEMENTS 2026'!C2536),"",'ENGAGEMENTS 2026'!AF2536)</f>
        <v/>
      </c>
      <c r="I2536">
        <f>IF(ISBLANK('ENGAGEMENTS 2026'!C2536),"",'ENGAGEMENTS 2026'!H2536)</f>
        <v/>
      </c>
      <c r="J2536" s="275">
        <f>IF(ISBLANK('ENGAGEMENTS 2026'!C2536),"",IF(AND(OR($E2536="INFRUCTUEUX",$E2536="ANNULE"),$C2536="AOO-M"),'ENGAGEMENTS 2026'!P2536,IF($H2536="EN COURS DE PREENGAGEMENT",'ENGAGEMENTS 2026'!O2536,IF($H2536="PREENGAGE",IF($E2536="ATTRIBUE",'ENGAGEMENTS 2026'!AE2536,'ENGAGEMENTS 2026'!O2536),'ENGAGEMENTS 2026'!AE2536))))</f>
        <v/>
      </c>
      <c r="K2536" s="604">
        <f>IF(ISBLANK('ENGAGEMENTS 2026'!W2536),"",'ENGAGEMENTS 2026'!W2536)</f>
        <v/>
      </c>
      <c r="L2536" s="276">
        <f>IF($K2536="","",TODAY()-$K2536)</f>
        <v/>
      </c>
      <c r="M2536">
        <f>IF($A2536="","",IF($H2536="ENGAGE","Engagé",IF(AND($H2536="NON ENGAGE",OR($I2536="INFRUCTUEUX",$I2536="ANNULE")),"Clôturé sans suite","En cours")))</f>
        <v/>
      </c>
      <c r="N2536">
        <f>IF(ISBLANK('ENGAGEMENTS 2026'!C2536),"",'ENGAGEMENTS 2026'!L2536)</f>
        <v/>
      </c>
      <c r="O2536">
        <f>IF(ISBLANK('ENGAGEMENTS 2026'!C2536),"",'ENGAGEMENTS 2026'!M2536)</f>
        <v/>
      </c>
      <c r="P2536">
        <f>IF(ISBLANK('ENGAGEMENTS 2026'!C2536),"",'ENGAGEMENTS 2026'!K2536)</f>
        <v/>
      </c>
      <c r="Q2536">
        <f>IF($A2536="","",IF(OR($E2536="INFRUCTUEUX",$E2536="ANNULE"),$A2536&amp;"|"&amp;(COUNTIFS($A$2:$A2536,$A2536,$E$2:$E2536,"INFRUCTUEUX")+COUNTIFS($A$2:$A2536,$A2536,$E$2:$E2536,"ANNULE")),""))</f>
        <v/>
      </c>
    </row>
    <row r="2537">
      <c r="A2537">
        <f>IF(ISBLANK('ENGAGEMENTS 2026'!C2537),"",IF('ENGAGEMENTS 2026'!C2537="DTSI","DCT",'ENGAGEMENTS 2026'!C2537))</f>
        <v/>
      </c>
      <c r="B2537">
        <f>IF(ISBLANK('ENGAGEMENTS 2026'!C2537),"",'ENGAGEMENTS 2026'!D2537)</f>
        <v/>
      </c>
      <c r="C2537">
        <f>IF(ISBLANK('ENGAGEMENTS 2026'!C2537),"",'ENGAGEMENTS 2026'!E2537)</f>
        <v/>
      </c>
      <c r="D2537">
        <f>IF(ISBLANK('ENGAGEMENTS 2026'!C2537),"",'ENGAGEMENTS 2026'!G2537)</f>
        <v/>
      </c>
      <c r="E2537">
        <f>IF(ISBLANK('ENGAGEMENTS 2026'!C2537),"",'ENGAGEMENTS 2026'!I2537)</f>
        <v/>
      </c>
      <c r="F2537">
        <f>IF(ISBLANK('ENGAGEMENTS 2026'!C2537),"",'ENGAGEMENTS 2026'!J2537)</f>
        <v/>
      </c>
      <c r="G2537">
        <f>IF(ISBLANK('ENGAGEMENTS 2026'!C2537),"",'ENGAGEMENTS 2026'!M2537)</f>
        <v/>
      </c>
      <c r="H2537">
        <f>IF(ISBLANK('ENGAGEMENTS 2026'!C2537),"",'ENGAGEMENTS 2026'!AF2537)</f>
        <v/>
      </c>
      <c r="I2537">
        <f>IF(ISBLANK('ENGAGEMENTS 2026'!C2537),"",'ENGAGEMENTS 2026'!H2537)</f>
        <v/>
      </c>
      <c r="J2537" s="275">
        <f>IF(ISBLANK('ENGAGEMENTS 2026'!C2537),"",IF(AND(OR($E2537="INFRUCTUEUX",$E2537="ANNULE"),$C2537="AOO-M"),'ENGAGEMENTS 2026'!P2537,IF($H2537="EN COURS DE PREENGAGEMENT",'ENGAGEMENTS 2026'!O2537,IF($H2537="PREENGAGE",IF($E2537="ATTRIBUE",'ENGAGEMENTS 2026'!AE2537,'ENGAGEMENTS 2026'!O2537),'ENGAGEMENTS 2026'!AE2537))))</f>
        <v/>
      </c>
      <c r="K2537" s="604">
        <f>IF(ISBLANK('ENGAGEMENTS 2026'!W2537),"",'ENGAGEMENTS 2026'!W2537)</f>
        <v/>
      </c>
      <c r="L2537" s="276">
        <f>IF($K2537="","",TODAY()-$K2537)</f>
        <v/>
      </c>
      <c r="M2537">
        <f>IF($A2537="","",IF($H2537="ENGAGE","Engagé",IF(AND($H2537="NON ENGAGE",OR($I2537="INFRUCTUEUX",$I2537="ANNULE")),"Clôturé sans suite","En cours")))</f>
        <v/>
      </c>
      <c r="N2537">
        <f>IF(ISBLANK('ENGAGEMENTS 2026'!C2537),"",'ENGAGEMENTS 2026'!L2537)</f>
        <v/>
      </c>
      <c r="O2537">
        <f>IF(ISBLANK('ENGAGEMENTS 2026'!C2537),"",'ENGAGEMENTS 2026'!M2537)</f>
        <v/>
      </c>
      <c r="P2537">
        <f>IF(ISBLANK('ENGAGEMENTS 2026'!C2537),"",'ENGAGEMENTS 2026'!K2537)</f>
        <v/>
      </c>
      <c r="Q2537">
        <f>IF($A2537="","",IF(OR($E2537="INFRUCTUEUX",$E2537="ANNULE"),$A2537&amp;"|"&amp;(COUNTIFS($A$2:$A2537,$A2537,$E$2:$E2537,"INFRUCTUEUX")+COUNTIFS($A$2:$A2537,$A2537,$E$2:$E2537,"ANNULE")),""))</f>
        <v/>
      </c>
    </row>
    <row r="2538">
      <c r="A2538">
        <f>IF(ISBLANK('ENGAGEMENTS 2026'!C2538),"",IF('ENGAGEMENTS 2026'!C2538="DTSI","DCT",'ENGAGEMENTS 2026'!C2538))</f>
        <v/>
      </c>
      <c r="B2538">
        <f>IF(ISBLANK('ENGAGEMENTS 2026'!C2538),"",'ENGAGEMENTS 2026'!D2538)</f>
        <v/>
      </c>
      <c r="C2538">
        <f>IF(ISBLANK('ENGAGEMENTS 2026'!C2538),"",'ENGAGEMENTS 2026'!E2538)</f>
        <v/>
      </c>
      <c r="D2538">
        <f>IF(ISBLANK('ENGAGEMENTS 2026'!C2538),"",'ENGAGEMENTS 2026'!G2538)</f>
        <v/>
      </c>
      <c r="E2538">
        <f>IF(ISBLANK('ENGAGEMENTS 2026'!C2538),"",'ENGAGEMENTS 2026'!I2538)</f>
        <v/>
      </c>
      <c r="F2538">
        <f>IF(ISBLANK('ENGAGEMENTS 2026'!C2538),"",'ENGAGEMENTS 2026'!J2538)</f>
        <v/>
      </c>
      <c r="G2538">
        <f>IF(ISBLANK('ENGAGEMENTS 2026'!C2538),"",'ENGAGEMENTS 2026'!M2538)</f>
        <v/>
      </c>
      <c r="H2538">
        <f>IF(ISBLANK('ENGAGEMENTS 2026'!C2538),"",'ENGAGEMENTS 2026'!AF2538)</f>
        <v/>
      </c>
      <c r="I2538">
        <f>IF(ISBLANK('ENGAGEMENTS 2026'!C2538),"",'ENGAGEMENTS 2026'!H2538)</f>
        <v/>
      </c>
      <c r="J2538" s="275">
        <f>IF(ISBLANK('ENGAGEMENTS 2026'!C2538),"",IF(AND(OR($E2538="INFRUCTUEUX",$E2538="ANNULE"),$C2538="AOO-M"),'ENGAGEMENTS 2026'!P2538,IF($H2538="EN COURS DE PREENGAGEMENT",'ENGAGEMENTS 2026'!O2538,IF($H2538="PREENGAGE",IF($E2538="ATTRIBUE",'ENGAGEMENTS 2026'!AE2538,'ENGAGEMENTS 2026'!O2538),'ENGAGEMENTS 2026'!AE2538))))</f>
        <v/>
      </c>
      <c r="K2538" s="604">
        <f>IF(ISBLANK('ENGAGEMENTS 2026'!W2538),"",'ENGAGEMENTS 2026'!W2538)</f>
        <v/>
      </c>
      <c r="L2538" s="276">
        <f>IF($K2538="","",TODAY()-$K2538)</f>
        <v/>
      </c>
      <c r="M2538">
        <f>IF($A2538="","",IF($H2538="ENGAGE","Engagé",IF(AND($H2538="NON ENGAGE",OR($I2538="INFRUCTUEUX",$I2538="ANNULE")),"Clôturé sans suite","En cours")))</f>
        <v/>
      </c>
      <c r="N2538">
        <f>IF(ISBLANK('ENGAGEMENTS 2026'!C2538),"",'ENGAGEMENTS 2026'!L2538)</f>
        <v/>
      </c>
      <c r="O2538">
        <f>IF(ISBLANK('ENGAGEMENTS 2026'!C2538),"",'ENGAGEMENTS 2026'!M2538)</f>
        <v/>
      </c>
      <c r="P2538">
        <f>IF(ISBLANK('ENGAGEMENTS 2026'!C2538),"",'ENGAGEMENTS 2026'!K2538)</f>
        <v/>
      </c>
      <c r="Q2538">
        <f>IF($A2538="","",IF(OR($E2538="INFRUCTUEUX",$E2538="ANNULE"),$A2538&amp;"|"&amp;(COUNTIFS($A$2:$A2538,$A2538,$E$2:$E2538,"INFRUCTUEUX")+COUNTIFS($A$2:$A2538,$A2538,$E$2:$E2538,"ANNULE")),""))</f>
        <v/>
      </c>
    </row>
    <row r="2539">
      <c r="A2539">
        <f>IF(ISBLANK('ENGAGEMENTS 2026'!C2539),"",IF('ENGAGEMENTS 2026'!C2539="DTSI","DCT",'ENGAGEMENTS 2026'!C2539))</f>
        <v/>
      </c>
      <c r="B2539">
        <f>IF(ISBLANK('ENGAGEMENTS 2026'!C2539),"",'ENGAGEMENTS 2026'!D2539)</f>
        <v/>
      </c>
      <c r="C2539">
        <f>IF(ISBLANK('ENGAGEMENTS 2026'!C2539),"",'ENGAGEMENTS 2026'!E2539)</f>
        <v/>
      </c>
      <c r="D2539">
        <f>IF(ISBLANK('ENGAGEMENTS 2026'!C2539),"",'ENGAGEMENTS 2026'!G2539)</f>
        <v/>
      </c>
      <c r="E2539">
        <f>IF(ISBLANK('ENGAGEMENTS 2026'!C2539),"",'ENGAGEMENTS 2026'!I2539)</f>
        <v/>
      </c>
      <c r="F2539">
        <f>IF(ISBLANK('ENGAGEMENTS 2026'!C2539),"",'ENGAGEMENTS 2026'!J2539)</f>
        <v/>
      </c>
      <c r="G2539">
        <f>IF(ISBLANK('ENGAGEMENTS 2026'!C2539),"",'ENGAGEMENTS 2026'!M2539)</f>
        <v/>
      </c>
      <c r="H2539">
        <f>IF(ISBLANK('ENGAGEMENTS 2026'!C2539),"",'ENGAGEMENTS 2026'!AF2539)</f>
        <v/>
      </c>
      <c r="I2539">
        <f>IF(ISBLANK('ENGAGEMENTS 2026'!C2539),"",'ENGAGEMENTS 2026'!H2539)</f>
        <v/>
      </c>
      <c r="J2539" s="275">
        <f>IF(ISBLANK('ENGAGEMENTS 2026'!C2539),"",IF(AND(OR($E2539="INFRUCTUEUX",$E2539="ANNULE"),$C2539="AOO-M"),'ENGAGEMENTS 2026'!P2539,IF($H2539="EN COURS DE PREENGAGEMENT",'ENGAGEMENTS 2026'!O2539,IF($H2539="PREENGAGE",IF($E2539="ATTRIBUE",'ENGAGEMENTS 2026'!AE2539,'ENGAGEMENTS 2026'!O2539),'ENGAGEMENTS 2026'!AE2539))))</f>
        <v/>
      </c>
      <c r="K2539" s="604">
        <f>IF(ISBLANK('ENGAGEMENTS 2026'!W2539),"",'ENGAGEMENTS 2026'!W2539)</f>
        <v/>
      </c>
      <c r="L2539" s="276">
        <f>IF($K2539="","",TODAY()-$K2539)</f>
        <v/>
      </c>
      <c r="M2539">
        <f>IF($A2539="","",IF($H2539="ENGAGE","Engagé",IF(AND($H2539="NON ENGAGE",OR($I2539="INFRUCTUEUX",$I2539="ANNULE")),"Clôturé sans suite","En cours")))</f>
        <v/>
      </c>
      <c r="N2539">
        <f>IF(ISBLANK('ENGAGEMENTS 2026'!C2539),"",'ENGAGEMENTS 2026'!L2539)</f>
        <v/>
      </c>
      <c r="O2539">
        <f>IF(ISBLANK('ENGAGEMENTS 2026'!C2539),"",'ENGAGEMENTS 2026'!M2539)</f>
        <v/>
      </c>
      <c r="P2539">
        <f>IF(ISBLANK('ENGAGEMENTS 2026'!C2539),"",'ENGAGEMENTS 2026'!K2539)</f>
        <v/>
      </c>
      <c r="Q2539">
        <f>IF($A2539="","",IF(OR($E2539="INFRUCTUEUX",$E2539="ANNULE"),$A2539&amp;"|"&amp;(COUNTIFS($A$2:$A2539,$A2539,$E$2:$E2539,"INFRUCTUEUX")+COUNTIFS($A$2:$A2539,$A2539,$E$2:$E2539,"ANNULE")),""))</f>
        <v/>
      </c>
    </row>
    <row r="2540">
      <c r="A2540">
        <f>IF(ISBLANK('ENGAGEMENTS 2026'!C2540),"",IF('ENGAGEMENTS 2026'!C2540="DTSI","DCT",'ENGAGEMENTS 2026'!C2540))</f>
        <v/>
      </c>
      <c r="B2540">
        <f>IF(ISBLANK('ENGAGEMENTS 2026'!C2540),"",'ENGAGEMENTS 2026'!D2540)</f>
        <v/>
      </c>
      <c r="C2540">
        <f>IF(ISBLANK('ENGAGEMENTS 2026'!C2540),"",'ENGAGEMENTS 2026'!E2540)</f>
        <v/>
      </c>
      <c r="D2540">
        <f>IF(ISBLANK('ENGAGEMENTS 2026'!C2540),"",'ENGAGEMENTS 2026'!G2540)</f>
        <v/>
      </c>
      <c r="E2540">
        <f>IF(ISBLANK('ENGAGEMENTS 2026'!C2540),"",'ENGAGEMENTS 2026'!I2540)</f>
        <v/>
      </c>
      <c r="F2540">
        <f>IF(ISBLANK('ENGAGEMENTS 2026'!C2540),"",'ENGAGEMENTS 2026'!J2540)</f>
        <v/>
      </c>
      <c r="G2540">
        <f>IF(ISBLANK('ENGAGEMENTS 2026'!C2540),"",'ENGAGEMENTS 2026'!M2540)</f>
        <v/>
      </c>
      <c r="H2540">
        <f>IF(ISBLANK('ENGAGEMENTS 2026'!C2540),"",'ENGAGEMENTS 2026'!AF2540)</f>
        <v/>
      </c>
      <c r="I2540">
        <f>IF(ISBLANK('ENGAGEMENTS 2026'!C2540),"",'ENGAGEMENTS 2026'!H2540)</f>
        <v/>
      </c>
      <c r="J2540" s="275">
        <f>IF(ISBLANK('ENGAGEMENTS 2026'!C2540),"",IF(AND(OR($E2540="INFRUCTUEUX",$E2540="ANNULE"),$C2540="AOO-M"),'ENGAGEMENTS 2026'!P2540,IF($H2540="EN COURS DE PREENGAGEMENT",'ENGAGEMENTS 2026'!O2540,IF($H2540="PREENGAGE",IF($E2540="ATTRIBUE",'ENGAGEMENTS 2026'!AE2540,'ENGAGEMENTS 2026'!O2540),'ENGAGEMENTS 2026'!AE2540))))</f>
        <v/>
      </c>
      <c r="K2540" s="604">
        <f>IF(ISBLANK('ENGAGEMENTS 2026'!W2540),"",'ENGAGEMENTS 2026'!W2540)</f>
        <v/>
      </c>
      <c r="L2540" s="276">
        <f>IF($K2540="","",TODAY()-$K2540)</f>
        <v/>
      </c>
      <c r="M2540">
        <f>IF($A2540="","",IF($H2540="ENGAGE","Engagé",IF(AND($H2540="NON ENGAGE",OR($I2540="INFRUCTUEUX",$I2540="ANNULE")),"Clôturé sans suite","En cours")))</f>
        <v/>
      </c>
      <c r="N2540">
        <f>IF(ISBLANK('ENGAGEMENTS 2026'!C2540),"",'ENGAGEMENTS 2026'!L2540)</f>
        <v/>
      </c>
      <c r="O2540">
        <f>IF(ISBLANK('ENGAGEMENTS 2026'!C2540),"",'ENGAGEMENTS 2026'!M2540)</f>
        <v/>
      </c>
      <c r="P2540">
        <f>IF(ISBLANK('ENGAGEMENTS 2026'!C2540),"",'ENGAGEMENTS 2026'!K2540)</f>
        <v/>
      </c>
      <c r="Q2540">
        <f>IF($A2540="","",IF(OR($E2540="INFRUCTUEUX",$E2540="ANNULE"),$A2540&amp;"|"&amp;(COUNTIFS($A$2:$A2540,$A2540,$E$2:$E2540,"INFRUCTUEUX")+COUNTIFS($A$2:$A2540,$A2540,$E$2:$E2540,"ANNULE")),""))</f>
        <v/>
      </c>
    </row>
    <row r="2541">
      <c r="A2541">
        <f>IF(ISBLANK('ENGAGEMENTS 2026'!C2541),"",IF('ENGAGEMENTS 2026'!C2541="DTSI","DCT",'ENGAGEMENTS 2026'!C2541))</f>
        <v/>
      </c>
      <c r="B2541">
        <f>IF(ISBLANK('ENGAGEMENTS 2026'!C2541),"",'ENGAGEMENTS 2026'!D2541)</f>
        <v/>
      </c>
      <c r="C2541">
        <f>IF(ISBLANK('ENGAGEMENTS 2026'!C2541),"",'ENGAGEMENTS 2026'!E2541)</f>
        <v/>
      </c>
      <c r="D2541">
        <f>IF(ISBLANK('ENGAGEMENTS 2026'!C2541),"",'ENGAGEMENTS 2026'!G2541)</f>
        <v/>
      </c>
      <c r="E2541">
        <f>IF(ISBLANK('ENGAGEMENTS 2026'!C2541),"",'ENGAGEMENTS 2026'!I2541)</f>
        <v/>
      </c>
      <c r="F2541">
        <f>IF(ISBLANK('ENGAGEMENTS 2026'!C2541),"",'ENGAGEMENTS 2026'!J2541)</f>
        <v/>
      </c>
      <c r="G2541">
        <f>IF(ISBLANK('ENGAGEMENTS 2026'!C2541),"",'ENGAGEMENTS 2026'!M2541)</f>
        <v/>
      </c>
      <c r="H2541">
        <f>IF(ISBLANK('ENGAGEMENTS 2026'!C2541),"",'ENGAGEMENTS 2026'!AF2541)</f>
        <v/>
      </c>
      <c r="I2541">
        <f>IF(ISBLANK('ENGAGEMENTS 2026'!C2541),"",'ENGAGEMENTS 2026'!H2541)</f>
        <v/>
      </c>
      <c r="J2541" s="275">
        <f>IF(ISBLANK('ENGAGEMENTS 2026'!C2541),"",IF(AND(OR($E2541="INFRUCTUEUX",$E2541="ANNULE"),$C2541="AOO-M"),'ENGAGEMENTS 2026'!P2541,IF($H2541="EN COURS DE PREENGAGEMENT",'ENGAGEMENTS 2026'!O2541,IF($H2541="PREENGAGE",IF($E2541="ATTRIBUE",'ENGAGEMENTS 2026'!AE2541,'ENGAGEMENTS 2026'!O2541),'ENGAGEMENTS 2026'!AE2541))))</f>
        <v/>
      </c>
      <c r="K2541" s="604">
        <f>IF(ISBLANK('ENGAGEMENTS 2026'!W2541),"",'ENGAGEMENTS 2026'!W2541)</f>
        <v/>
      </c>
      <c r="L2541" s="276">
        <f>IF($K2541="","",TODAY()-$K2541)</f>
        <v/>
      </c>
      <c r="M2541">
        <f>IF($A2541="","",IF($H2541="ENGAGE","Engagé",IF(AND($H2541="NON ENGAGE",OR($I2541="INFRUCTUEUX",$I2541="ANNULE")),"Clôturé sans suite","En cours")))</f>
        <v/>
      </c>
      <c r="N2541">
        <f>IF(ISBLANK('ENGAGEMENTS 2026'!C2541),"",'ENGAGEMENTS 2026'!L2541)</f>
        <v/>
      </c>
      <c r="O2541">
        <f>IF(ISBLANK('ENGAGEMENTS 2026'!C2541),"",'ENGAGEMENTS 2026'!M2541)</f>
        <v/>
      </c>
      <c r="P2541">
        <f>IF(ISBLANK('ENGAGEMENTS 2026'!C2541),"",'ENGAGEMENTS 2026'!K2541)</f>
        <v/>
      </c>
      <c r="Q2541">
        <f>IF($A2541="","",IF(OR($E2541="INFRUCTUEUX",$E2541="ANNULE"),$A2541&amp;"|"&amp;(COUNTIFS($A$2:$A2541,$A2541,$E$2:$E2541,"INFRUCTUEUX")+COUNTIFS($A$2:$A2541,$A2541,$E$2:$E2541,"ANNULE")),""))</f>
        <v/>
      </c>
    </row>
    <row r="2542">
      <c r="A2542">
        <f>IF(ISBLANK('ENGAGEMENTS 2026'!C2542),"",IF('ENGAGEMENTS 2026'!C2542="DTSI","DCT",'ENGAGEMENTS 2026'!C2542))</f>
        <v/>
      </c>
      <c r="B2542">
        <f>IF(ISBLANK('ENGAGEMENTS 2026'!C2542),"",'ENGAGEMENTS 2026'!D2542)</f>
        <v/>
      </c>
      <c r="C2542">
        <f>IF(ISBLANK('ENGAGEMENTS 2026'!C2542),"",'ENGAGEMENTS 2026'!E2542)</f>
        <v/>
      </c>
      <c r="D2542">
        <f>IF(ISBLANK('ENGAGEMENTS 2026'!C2542),"",'ENGAGEMENTS 2026'!G2542)</f>
        <v/>
      </c>
      <c r="E2542">
        <f>IF(ISBLANK('ENGAGEMENTS 2026'!C2542),"",'ENGAGEMENTS 2026'!I2542)</f>
        <v/>
      </c>
      <c r="F2542">
        <f>IF(ISBLANK('ENGAGEMENTS 2026'!C2542),"",'ENGAGEMENTS 2026'!J2542)</f>
        <v/>
      </c>
      <c r="G2542">
        <f>IF(ISBLANK('ENGAGEMENTS 2026'!C2542),"",'ENGAGEMENTS 2026'!M2542)</f>
        <v/>
      </c>
      <c r="H2542">
        <f>IF(ISBLANK('ENGAGEMENTS 2026'!C2542),"",'ENGAGEMENTS 2026'!AF2542)</f>
        <v/>
      </c>
      <c r="I2542">
        <f>IF(ISBLANK('ENGAGEMENTS 2026'!C2542),"",'ENGAGEMENTS 2026'!H2542)</f>
        <v/>
      </c>
      <c r="J2542" s="275">
        <f>IF(ISBLANK('ENGAGEMENTS 2026'!C2542),"",IF(AND(OR($E2542="INFRUCTUEUX",$E2542="ANNULE"),$C2542="AOO-M"),'ENGAGEMENTS 2026'!P2542,IF($H2542="EN COURS DE PREENGAGEMENT",'ENGAGEMENTS 2026'!O2542,IF($H2542="PREENGAGE",IF($E2542="ATTRIBUE",'ENGAGEMENTS 2026'!AE2542,'ENGAGEMENTS 2026'!O2542),'ENGAGEMENTS 2026'!AE2542))))</f>
        <v/>
      </c>
      <c r="K2542" s="604">
        <f>IF(ISBLANK('ENGAGEMENTS 2026'!W2542),"",'ENGAGEMENTS 2026'!W2542)</f>
        <v/>
      </c>
      <c r="L2542" s="276">
        <f>IF($K2542="","",TODAY()-$K2542)</f>
        <v/>
      </c>
      <c r="M2542">
        <f>IF($A2542="","",IF($H2542="ENGAGE","Engagé",IF(AND($H2542="NON ENGAGE",OR($I2542="INFRUCTUEUX",$I2542="ANNULE")),"Clôturé sans suite","En cours")))</f>
        <v/>
      </c>
      <c r="N2542">
        <f>IF(ISBLANK('ENGAGEMENTS 2026'!C2542),"",'ENGAGEMENTS 2026'!L2542)</f>
        <v/>
      </c>
      <c r="O2542">
        <f>IF(ISBLANK('ENGAGEMENTS 2026'!C2542),"",'ENGAGEMENTS 2026'!M2542)</f>
        <v/>
      </c>
      <c r="P2542">
        <f>IF(ISBLANK('ENGAGEMENTS 2026'!C2542),"",'ENGAGEMENTS 2026'!K2542)</f>
        <v/>
      </c>
      <c r="Q2542">
        <f>IF($A2542="","",IF(OR($E2542="INFRUCTUEUX",$E2542="ANNULE"),$A2542&amp;"|"&amp;(COUNTIFS($A$2:$A2542,$A2542,$E$2:$E2542,"INFRUCTUEUX")+COUNTIFS($A$2:$A2542,$A2542,$E$2:$E2542,"ANNULE")),""))</f>
        <v/>
      </c>
    </row>
    <row r="2543">
      <c r="A2543">
        <f>IF(ISBLANK('ENGAGEMENTS 2026'!C2543),"",IF('ENGAGEMENTS 2026'!C2543="DTSI","DCT",'ENGAGEMENTS 2026'!C2543))</f>
        <v/>
      </c>
      <c r="B2543">
        <f>IF(ISBLANK('ENGAGEMENTS 2026'!C2543),"",'ENGAGEMENTS 2026'!D2543)</f>
        <v/>
      </c>
      <c r="C2543">
        <f>IF(ISBLANK('ENGAGEMENTS 2026'!C2543),"",'ENGAGEMENTS 2026'!E2543)</f>
        <v/>
      </c>
      <c r="D2543">
        <f>IF(ISBLANK('ENGAGEMENTS 2026'!C2543),"",'ENGAGEMENTS 2026'!G2543)</f>
        <v/>
      </c>
      <c r="E2543">
        <f>IF(ISBLANK('ENGAGEMENTS 2026'!C2543),"",'ENGAGEMENTS 2026'!I2543)</f>
        <v/>
      </c>
      <c r="F2543">
        <f>IF(ISBLANK('ENGAGEMENTS 2026'!C2543),"",'ENGAGEMENTS 2026'!J2543)</f>
        <v/>
      </c>
      <c r="G2543">
        <f>IF(ISBLANK('ENGAGEMENTS 2026'!C2543),"",'ENGAGEMENTS 2026'!M2543)</f>
        <v/>
      </c>
      <c r="H2543">
        <f>IF(ISBLANK('ENGAGEMENTS 2026'!C2543),"",'ENGAGEMENTS 2026'!AF2543)</f>
        <v/>
      </c>
      <c r="I2543">
        <f>IF(ISBLANK('ENGAGEMENTS 2026'!C2543),"",'ENGAGEMENTS 2026'!H2543)</f>
        <v/>
      </c>
      <c r="J2543" s="275">
        <f>IF(ISBLANK('ENGAGEMENTS 2026'!C2543),"",IF(AND(OR($E2543="INFRUCTUEUX",$E2543="ANNULE"),$C2543="AOO-M"),'ENGAGEMENTS 2026'!P2543,IF($H2543="EN COURS DE PREENGAGEMENT",'ENGAGEMENTS 2026'!O2543,IF($H2543="PREENGAGE",IF($E2543="ATTRIBUE",'ENGAGEMENTS 2026'!AE2543,'ENGAGEMENTS 2026'!O2543),'ENGAGEMENTS 2026'!AE2543))))</f>
        <v/>
      </c>
      <c r="K2543" s="604">
        <f>IF(ISBLANK('ENGAGEMENTS 2026'!W2543),"",'ENGAGEMENTS 2026'!W2543)</f>
        <v/>
      </c>
      <c r="L2543" s="276">
        <f>IF($K2543="","",TODAY()-$K2543)</f>
        <v/>
      </c>
      <c r="M2543">
        <f>IF($A2543="","",IF($H2543="ENGAGE","Engagé",IF(AND($H2543="NON ENGAGE",OR($I2543="INFRUCTUEUX",$I2543="ANNULE")),"Clôturé sans suite","En cours")))</f>
        <v/>
      </c>
      <c r="N2543">
        <f>IF(ISBLANK('ENGAGEMENTS 2026'!C2543),"",'ENGAGEMENTS 2026'!L2543)</f>
        <v/>
      </c>
      <c r="O2543">
        <f>IF(ISBLANK('ENGAGEMENTS 2026'!C2543),"",'ENGAGEMENTS 2026'!M2543)</f>
        <v/>
      </c>
      <c r="P2543">
        <f>IF(ISBLANK('ENGAGEMENTS 2026'!C2543),"",'ENGAGEMENTS 2026'!K2543)</f>
        <v/>
      </c>
      <c r="Q2543">
        <f>IF($A2543="","",IF(OR($E2543="INFRUCTUEUX",$E2543="ANNULE"),$A2543&amp;"|"&amp;(COUNTIFS($A$2:$A2543,$A2543,$E$2:$E2543,"INFRUCTUEUX")+COUNTIFS($A$2:$A2543,$A2543,$E$2:$E2543,"ANNULE")),""))</f>
        <v/>
      </c>
    </row>
    <row r="2544">
      <c r="A2544">
        <f>IF(ISBLANK('ENGAGEMENTS 2026'!C2544),"",IF('ENGAGEMENTS 2026'!C2544="DTSI","DCT",'ENGAGEMENTS 2026'!C2544))</f>
        <v/>
      </c>
      <c r="B2544">
        <f>IF(ISBLANK('ENGAGEMENTS 2026'!C2544),"",'ENGAGEMENTS 2026'!D2544)</f>
        <v/>
      </c>
      <c r="C2544">
        <f>IF(ISBLANK('ENGAGEMENTS 2026'!C2544),"",'ENGAGEMENTS 2026'!E2544)</f>
        <v/>
      </c>
      <c r="D2544">
        <f>IF(ISBLANK('ENGAGEMENTS 2026'!C2544),"",'ENGAGEMENTS 2026'!G2544)</f>
        <v/>
      </c>
      <c r="E2544">
        <f>IF(ISBLANK('ENGAGEMENTS 2026'!C2544),"",'ENGAGEMENTS 2026'!I2544)</f>
        <v/>
      </c>
      <c r="F2544">
        <f>IF(ISBLANK('ENGAGEMENTS 2026'!C2544),"",'ENGAGEMENTS 2026'!J2544)</f>
        <v/>
      </c>
      <c r="G2544">
        <f>IF(ISBLANK('ENGAGEMENTS 2026'!C2544),"",'ENGAGEMENTS 2026'!M2544)</f>
        <v/>
      </c>
      <c r="H2544">
        <f>IF(ISBLANK('ENGAGEMENTS 2026'!C2544),"",'ENGAGEMENTS 2026'!AF2544)</f>
        <v/>
      </c>
      <c r="I2544">
        <f>IF(ISBLANK('ENGAGEMENTS 2026'!C2544),"",'ENGAGEMENTS 2026'!H2544)</f>
        <v/>
      </c>
      <c r="J2544" s="275">
        <f>IF(ISBLANK('ENGAGEMENTS 2026'!C2544),"",IF(AND(OR($E2544="INFRUCTUEUX",$E2544="ANNULE"),$C2544="AOO-M"),'ENGAGEMENTS 2026'!P2544,IF($H2544="EN COURS DE PREENGAGEMENT",'ENGAGEMENTS 2026'!O2544,IF($H2544="PREENGAGE",IF($E2544="ATTRIBUE",'ENGAGEMENTS 2026'!AE2544,'ENGAGEMENTS 2026'!O2544),'ENGAGEMENTS 2026'!AE2544))))</f>
        <v/>
      </c>
      <c r="K2544" s="604">
        <f>IF(ISBLANK('ENGAGEMENTS 2026'!W2544),"",'ENGAGEMENTS 2026'!W2544)</f>
        <v/>
      </c>
      <c r="L2544" s="276">
        <f>IF($K2544="","",TODAY()-$K2544)</f>
        <v/>
      </c>
      <c r="M2544">
        <f>IF($A2544="","",IF($H2544="ENGAGE","Engagé",IF(AND($H2544="NON ENGAGE",OR($I2544="INFRUCTUEUX",$I2544="ANNULE")),"Clôturé sans suite","En cours")))</f>
        <v/>
      </c>
      <c r="N2544">
        <f>IF(ISBLANK('ENGAGEMENTS 2026'!C2544),"",'ENGAGEMENTS 2026'!L2544)</f>
        <v/>
      </c>
      <c r="O2544">
        <f>IF(ISBLANK('ENGAGEMENTS 2026'!C2544),"",'ENGAGEMENTS 2026'!M2544)</f>
        <v/>
      </c>
      <c r="P2544">
        <f>IF(ISBLANK('ENGAGEMENTS 2026'!C2544),"",'ENGAGEMENTS 2026'!K2544)</f>
        <v/>
      </c>
      <c r="Q2544">
        <f>IF($A2544="","",IF(OR($E2544="INFRUCTUEUX",$E2544="ANNULE"),$A2544&amp;"|"&amp;(COUNTIFS($A$2:$A2544,$A2544,$E$2:$E2544,"INFRUCTUEUX")+COUNTIFS($A$2:$A2544,$A2544,$E$2:$E2544,"ANNULE")),""))</f>
        <v/>
      </c>
    </row>
    <row r="2545">
      <c r="A2545">
        <f>IF(ISBLANK('ENGAGEMENTS 2026'!C2545),"",IF('ENGAGEMENTS 2026'!C2545="DTSI","DCT",'ENGAGEMENTS 2026'!C2545))</f>
        <v/>
      </c>
      <c r="B2545">
        <f>IF(ISBLANK('ENGAGEMENTS 2026'!C2545),"",'ENGAGEMENTS 2026'!D2545)</f>
        <v/>
      </c>
      <c r="C2545">
        <f>IF(ISBLANK('ENGAGEMENTS 2026'!C2545),"",'ENGAGEMENTS 2026'!E2545)</f>
        <v/>
      </c>
      <c r="D2545">
        <f>IF(ISBLANK('ENGAGEMENTS 2026'!C2545),"",'ENGAGEMENTS 2026'!G2545)</f>
        <v/>
      </c>
      <c r="E2545">
        <f>IF(ISBLANK('ENGAGEMENTS 2026'!C2545),"",'ENGAGEMENTS 2026'!I2545)</f>
        <v/>
      </c>
      <c r="F2545">
        <f>IF(ISBLANK('ENGAGEMENTS 2026'!C2545),"",'ENGAGEMENTS 2026'!J2545)</f>
        <v/>
      </c>
      <c r="G2545">
        <f>IF(ISBLANK('ENGAGEMENTS 2026'!C2545),"",'ENGAGEMENTS 2026'!M2545)</f>
        <v/>
      </c>
      <c r="H2545">
        <f>IF(ISBLANK('ENGAGEMENTS 2026'!C2545),"",'ENGAGEMENTS 2026'!AF2545)</f>
        <v/>
      </c>
      <c r="I2545">
        <f>IF(ISBLANK('ENGAGEMENTS 2026'!C2545),"",'ENGAGEMENTS 2026'!H2545)</f>
        <v/>
      </c>
      <c r="J2545" s="275">
        <f>IF(ISBLANK('ENGAGEMENTS 2026'!C2545),"",IF(AND(OR($E2545="INFRUCTUEUX",$E2545="ANNULE"),$C2545="AOO-M"),'ENGAGEMENTS 2026'!P2545,IF($H2545="EN COURS DE PREENGAGEMENT",'ENGAGEMENTS 2026'!O2545,IF($H2545="PREENGAGE",IF($E2545="ATTRIBUE",'ENGAGEMENTS 2026'!AE2545,'ENGAGEMENTS 2026'!O2545),'ENGAGEMENTS 2026'!AE2545))))</f>
        <v/>
      </c>
      <c r="K2545" s="604">
        <f>IF(ISBLANK('ENGAGEMENTS 2026'!W2545),"",'ENGAGEMENTS 2026'!W2545)</f>
        <v/>
      </c>
      <c r="L2545" s="276">
        <f>IF($K2545="","",TODAY()-$K2545)</f>
        <v/>
      </c>
      <c r="M2545">
        <f>IF($A2545="","",IF($H2545="ENGAGE","Engagé",IF(AND($H2545="NON ENGAGE",OR($I2545="INFRUCTUEUX",$I2545="ANNULE")),"Clôturé sans suite","En cours")))</f>
        <v/>
      </c>
      <c r="N2545">
        <f>IF(ISBLANK('ENGAGEMENTS 2026'!C2545),"",'ENGAGEMENTS 2026'!L2545)</f>
        <v/>
      </c>
      <c r="O2545">
        <f>IF(ISBLANK('ENGAGEMENTS 2026'!C2545),"",'ENGAGEMENTS 2026'!M2545)</f>
        <v/>
      </c>
      <c r="P2545">
        <f>IF(ISBLANK('ENGAGEMENTS 2026'!C2545),"",'ENGAGEMENTS 2026'!K2545)</f>
        <v/>
      </c>
      <c r="Q2545">
        <f>IF($A2545="","",IF(OR($E2545="INFRUCTUEUX",$E2545="ANNULE"),$A2545&amp;"|"&amp;(COUNTIFS($A$2:$A2545,$A2545,$E$2:$E2545,"INFRUCTUEUX")+COUNTIFS($A$2:$A2545,$A2545,$E$2:$E2545,"ANNULE")),""))</f>
        <v/>
      </c>
    </row>
    <row r="2546">
      <c r="A2546">
        <f>IF(ISBLANK('ENGAGEMENTS 2026'!C2546),"",IF('ENGAGEMENTS 2026'!C2546="DTSI","DCT",'ENGAGEMENTS 2026'!C2546))</f>
        <v/>
      </c>
      <c r="B2546">
        <f>IF(ISBLANK('ENGAGEMENTS 2026'!C2546),"",'ENGAGEMENTS 2026'!D2546)</f>
        <v/>
      </c>
      <c r="C2546">
        <f>IF(ISBLANK('ENGAGEMENTS 2026'!C2546),"",'ENGAGEMENTS 2026'!E2546)</f>
        <v/>
      </c>
      <c r="D2546">
        <f>IF(ISBLANK('ENGAGEMENTS 2026'!C2546),"",'ENGAGEMENTS 2026'!G2546)</f>
        <v/>
      </c>
      <c r="E2546">
        <f>IF(ISBLANK('ENGAGEMENTS 2026'!C2546),"",'ENGAGEMENTS 2026'!I2546)</f>
        <v/>
      </c>
      <c r="F2546">
        <f>IF(ISBLANK('ENGAGEMENTS 2026'!C2546),"",'ENGAGEMENTS 2026'!J2546)</f>
        <v/>
      </c>
      <c r="G2546">
        <f>IF(ISBLANK('ENGAGEMENTS 2026'!C2546),"",'ENGAGEMENTS 2026'!M2546)</f>
        <v/>
      </c>
      <c r="H2546">
        <f>IF(ISBLANK('ENGAGEMENTS 2026'!C2546),"",'ENGAGEMENTS 2026'!AF2546)</f>
        <v/>
      </c>
      <c r="I2546">
        <f>IF(ISBLANK('ENGAGEMENTS 2026'!C2546),"",'ENGAGEMENTS 2026'!H2546)</f>
        <v/>
      </c>
      <c r="J2546" s="275">
        <f>IF(ISBLANK('ENGAGEMENTS 2026'!C2546),"",IF(AND(OR($E2546="INFRUCTUEUX",$E2546="ANNULE"),$C2546="AOO-M"),'ENGAGEMENTS 2026'!P2546,IF($H2546="EN COURS DE PREENGAGEMENT",'ENGAGEMENTS 2026'!O2546,IF($H2546="PREENGAGE",IF($E2546="ATTRIBUE",'ENGAGEMENTS 2026'!AE2546,'ENGAGEMENTS 2026'!O2546),'ENGAGEMENTS 2026'!AE2546))))</f>
        <v/>
      </c>
      <c r="K2546" s="604">
        <f>IF(ISBLANK('ENGAGEMENTS 2026'!W2546),"",'ENGAGEMENTS 2026'!W2546)</f>
        <v/>
      </c>
      <c r="L2546" s="276">
        <f>IF($K2546="","",TODAY()-$K2546)</f>
        <v/>
      </c>
      <c r="M2546">
        <f>IF($A2546="","",IF($H2546="ENGAGE","Engagé",IF(AND($H2546="NON ENGAGE",OR($I2546="INFRUCTUEUX",$I2546="ANNULE")),"Clôturé sans suite","En cours")))</f>
        <v/>
      </c>
      <c r="N2546">
        <f>IF(ISBLANK('ENGAGEMENTS 2026'!C2546),"",'ENGAGEMENTS 2026'!L2546)</f>
        <v/>
      </c>
      <c r="O2546">
        <f>IF(ISBLANK('ENGAGEMENTS 2026'!C2546),"",'ENGAGEMENTS 2026'!M2546)</f>
        <v/>
      </c>
      <c r="P2546">
        <f>IF(ISBLANK('ENGAGEMENTS 2026'!C2546),"",'ENGAGEMENTS 2026'!K2546)</f>
        <v/>
      </c>
      <c r="Q2546">
        <f>IF($A2546="","",IF(OR($E2546="INFRUCTUEUX",$E2546="ANNULE"),$A2546&amp;"|"&amp;(COUNTIFS($A$2:$A2546,$A2546,$E$2:$E2546,"INFRUCTUEUX")+COUNTIFS($A$2:$A2546,$A2546,$E$2:$E2546,"ANNULE")),""))</f>
        <v/>
      </c>
    </row>
    <row r="2547">
      <c r="A2547">
        <f>IF(ISBLANK('ENGAGEMENTS 2026'!C2547),"",IF('ENGAGEMENTS 2026'!C2547="DTSI","DCT",'ENGAGEMENTS 2026'!C2547))</f>
        <v/>
      </c>
      <c r="B2547">
        <f>IF(ISBLANK('ENGAGEMENTS 2026'!C2547),"",'ENGAGEMENTS 2026'!D2547)</f>
        <v/>
      </c>
      <c r="C2547">
        <f>IF(ISBLANK('ENGAGEMENTS 2026'!C2547),"",'ENGAGEMENTS 2026'!E2547)</f>
        <v/>
      </c>
      <c r="D2547">
        <f>IF(ISBLANK('ENGAGEMENTS 2026'!C2547),"",'ENGAGEMENTS 2026'!G2547)</f>
        <v/>
      </c>
      <c r="E2547">
        <f>IF(ISBLANK('ENGAGEMENTS 2026'!C2547),"",'ENGAGEMENTS 2026'!I2547)</f>
        <v/>
      </c>
      <c r="F2547">
        <f>IF(ISBLANK('ENGAGEMENTS 2026'!C2547),"",'ENGAGEMENTS 2026'!J2547)</f>
        <v/>
      </c>
      <c r="G2547">
        <f>IF(ISBLANK('ENGAGEMENTS 2026'!C2547),"",'ENGAGEMENTS 2026'!M2547)</f>
        <v/>
      </c>
      <c r="H2547">
        <f>IF(ISBLANK('ENGAGEMENTS 2026'!C2547),"",'ENGAGEMENTS 2026'!AF2547)</f>
        <v/>
      </c>
      <c r="I2547">
        <f>IF(ISBLANK('ENGAGEMENTS 2026'!C2547),"",'ENGAGEMENTS 2026'!H2547)</f>
        <v/>
      </c>
      <c r="J2547" s="275">
        <f>IF(ISBLANK('ENGAGEMENTS 2026'!C2547),"",IF(AND(OR($E2547="INFRUCTUEUX",$E2547="ANNULE"),$C2547="AOO-M"),'ENGAGEMENTS 2026'!P2547,IF($H2547="EN COURS DE PREENGAGEMENT",'ENGAGEMENTS 2026'!O2547,IF($H2547="PREENGAGE",IF($E2547="ATTRIBUE",'ENGAGEMENTS 2026'!AE2547,'ENGAGEMENTS 2026'!O2547),'ENGAGEMENTS 2026'!AE2547))))</f>
        <v/>
      </c>
      <c r="K2547" s="604">
        <f>IF(ISBLANK('ENGAGEMENTS 2026'!W2547),"",'ENGAGEMENTS 2026'!W2547)</f>
        <v/>
      </c>
      <c r="L2547" s="276">
        <f>IF($K2547="","",TODAY()-$K2547)</f>
        <v/>
      </c>
      <c r="M2547">
        <f>IF($A2547="","",IF($H2547="ENGAGE","Engagé",IF(AND($H2547="NON ENGAGE",OR($I2547="INFRUCTUEUX",$I2547="ANNULE")),"Clôturé sans suite","En cours")))</f>
        <v/>
      </c>
      <c r="N2547">
        <f>IF(ISBLANK('ENGAGEMENTS 2026'!C2547),"",'ENGAGEMENTS 2026'!L2547)</f>
        <v/>
      </c>
      <c r="O2547">
        <f>IF(ISBLANK('ENGAGEMENTS 2026'!C2547),"",'ENGAGEMENTS 2026'!M2547)</f>
        <v/>
      </c>
      <c r="P2547">
        <f>IF(ISBLANK('ENGAGEMENTS 2026'!C2547),"",'ENGAGEMENTS 2026'!K2547)</f>
        <v/>
      </c>
      <c r="Q2547">
        <f>IF($A2547="","",IF(OR($E2547="INFRUCTUEUX",$E2547="ANNULE"),$A2547&amp;"|"&amp;(COUNTIFS($A$2:$A2547,$A2547,$E$2:$E2547,"INFRUCTUEUX")+COUNTIFS($A$2:$A2547,$A2547,$E$2:$E2547,"ANNULE")),""))</f>
        <v/>
      </c>
    </row>
    <row r="2548">
      <c r="A2548">
        <f>IF(ISBLANK('ENGAGEMENTS 2026'!C2548),"",IF('ENGAGEMENTS 2026'!C2548="DTSI","DCT",'ENGAGEMENTS 2026'!C2548))</f>
        <v/>
      </c>
      <c r="B2548">
        <f>IF(ISBLANK('ENGAGEMENTS 2026'!C2548),"",'ENGAGEMENTS 2026'!D2548)</f>
        <v/>
      </c>
      <c r="C2548">
        <f>IF(ISBLANK('ENGAGEMENTS 2026'!C2548),"",'ENGAGEMENTS 2026'!E2548)</f>
        <v/>
      </c>
      <c r="D2548">
        <f>IF(ISBLANK('ENGAGEMENTS 2026'!C2548),"",'ENGAGEMENTS 2026'!G2548)</f>
        <v/>
      </c>
      <c r="E2548">
        <f>IF(ISBLANK('ENGAGEMENTS 2026'!C2548),"",'ENGAGEMENTS 2026'!I2548)</f>
        <v/>
      </c>
      <c r="F2548">
        <f>IF(ISBLANK('ENGAGEMENTS 2026'!C2548),"",'ENGAGEMENTS 2026'!J2548)</f>
        <v/>
      </c>
      <c r="G2548">
        <f>IF(ISBLANK('ENGAGEMENTS 2026'!C2548),"",'ENGAGEMENTS 2026'!M2548)</f>
        <v/>
      </c>
      <c r="H2548">
        <f>IF(ISBLANK('ENGAGEMENTS 2026'!C2548),"",'ENGAGEMENTS 2026'!AF2548)</f>
        <v/>
      </c>
      <c r="I2548">
        <f>IF(ISBLANK('ENGAGEMENTS 2026'!C2548),"",'ENGAGEMENTS 2026'!H2548)</f>
        <v/>
      </c>
      <c r="J2548" s="275">
        <f>IF(ISBLANK('ENGAGEMENTS 2026'!C2548),"",IF(AND(OR($E2548="INFRUCTUEUX",$E2548="ANNULE"),$C2548="AOO-M"),'ENGAGEMENTS 2026'!P2548,IF($H2548="EN COURS DE PREENGAGEMENT",'ENGAGEMENTS 2026'!O2548,IF($H2548="PREENGAGE",IF($E2548="ATTRIBUE",'ENGAGEMENTS 2026'!AE2548,'ENGAGEMENTS 2026'!O2548),'ENGAGEMENTS 2026'!AE2548))))</f>
        <v/>
      </c>
      <c r="K2548" s="604">
        <f>IF(ISBLANK('ENGAGEMENTS 2026'!W2548),"",'ENGAGEMENTS 2026'!W2548)</f>
        <v/>
      </c>
      <c r="L2548" s="276">
        <f>IF($K2548="","",TODAY()-$K2548)</f>
        <v/>
      </c>
      <c r="M2548">
        <f>IF($A2548="","",IF($H2548="ENGAGE","Engagé",IF(AND($H2548="NON ENGAGE",OR($I2548="INFRUCTUEUX",$I2548="ANNULE")),"Clôturé sans suite","En cours")))</f>
        <v/>
      </c>
      <c r="N2548">
        <f>IF(ISBLANK('ENGAGEMENTS 2026'!C2548),"",'ENGAGEMENTS 2026'!L2548)</f>
        <v/>
      </c>
      <c r="O2548">
        <f>IF(ISBLANK('ENGAGEMENTS 2026'!C2548),"",'ENGAGEMENTS 2026'!M2548)</f>
        <v/>
      </c>
      <c r="P2548">
        <f>IF(ISBLANK('ENGAGEMENTS 2026'!C2548),"",'ENGAGEMENTS 2026'!K2548)</f>
        <v/>
      </c>
      <c r="Q2548">
        <f>IF($A2548="","",IF(OR($E2548="INFRUCTUEUX",$E2548="ANNULE"),$A2548&amp;"|"&amp;(COUNTIFS($A$2:$A2548,$A2548,$E$2:$E2548,"INFRUCTUEUX")+COUNTIFS($A$2:$A2548,$A2548,$E$2:$E2548,"ANNULE")),""))</f>
        <v/>
      </c>
    </row>
    <row r="2549">
      <c r="A2549">
        <f>IF(ISBLANK('ENGAGEMENTS 2026'!C2549),"",IF('ENGAGEMENTS 2026'!C2549="DTSI","DCT",'ENGAGEMENTS 2026'!C2549))</f>
        <v/>
      </c>
      <c r="B2549">
        <f>IF(ISBLANK('ENGAGEMENTS 2026'!C2549),"",'ENGAGEMENTS 2026'!D2549)</f>
        <v/>
      </c>
      <c r="C2549">
        <f>IF(ISBLANK('ENGAGEMENTS 2026'!C2549),"",'ENGAGEMENTS 2026'!E2549)</f>
        <v/>
      </c>
      <c r="D2549">
        <f>IF(ISBLANK('ENGAGEMENTS 2026'!C2549),"",'ENGAGEMENTS 2026'!G2549)</f>
        <v/>
      </c>
      <c r="E2549">
        <f>IF(ISBLANK('ENGAGEMENTS 2026'!C2549),"",'ENGAGEMENTS 2026'!I2549)</f>
        <v/>
      </c>
      <c r="F2549">
        <f>IF(ISBLANK('ENGAGEMENTS 2026'!C2549),"",'ENGAGEMENTS 2026'!J2549)</f>
        <v/>
      </c>
      <c r="G2549">
        <f>IF(ISBLANK('ENGAGEMENTS 2026'!C2549),"",'ENGAGEMENTS 2026'!M2549)</f>
        <v/>
      </c>
      <c r="H2549">
        <f>IF(ISBLANK('ENGAGEMENTS 2026'!C2549),"",'ENGAGEMENTS 2026'!AF2549)</f>
        <v/>
      </c>
      <c r="I2549">
        <f>IF(ISBLANK('ENGAGEMENTS 2026'!C2549),"",'ENGAGEMENTS 2026'!H2549)</f>
        <v/>
      </c>
      <c r="J2549" s="275">
        <f>IF(ISBLANK('ENGAGEMENTS 2026'!C2549),"",IF(AND(OR($E2549="INFRUCTUEUX",$E2549="ANNULE"),$C2549="AOO-M"),'ENGAGEMENTS 2026'!P2549,IF($H2549="EN COURS DE PREENGAGEMENT",'ENGAGEMENTS 2026'!O2549,IF($H2549="PREENGAGE",IF($E2549="ATTRIBUE",'ENGAGEMENTS 2026'!AE2549,'ENGAGEMENTS 2026'!O2549),'ENGAGEMENTS 2026'!AE2549))))</f>
        <v/>
      </c>
      <c r="K2549" s="604">
        <f>IF(ISBLANK('ENGAGEMENTS 2026'!W2549),"",'ENGAGEMENTS 2026'!W2549)</f>
        <v/>
      </c>
      <c r="L2549" s="276">
        <f>IF($K2549="","",TODAY()-$K2549)</f>
        <v/>
      </c>
      <c r="M2549">
        <f>IF($A2549="","",IF($H2549="ENGAGE","Engagé",IF(AND($H2549="NON ENGAGE",OR($I2549="INFRUCTUEUX",$I2549="ANNULE")),"Clôturé sans suite","En cours")))</f>
        <v/>
      </c>
      <c r="N2549">
        <f>IF(ISBLANK('ENGAGEMENTS 2026'!C2549),"",'ENGAGEMENTS 2026'!L2549)</f>
        <v/>
      </c>
      <c r="O2549">
        <f>IF(ISBLANK('ENGAGEMENTS 2026'!C2549),"",'ENGAGEMENTS 2026'!M2549)</f>
        <v/>
      </c>
      <c r="P2549">
        <f>IF(ISBLANK('ENGAGEMENTS 2026'!C2549),"",'ENGAGEMENTS 2026'!K2549)</f>
        <v/>
      </c>
      <c r="Q2549">
        <f>IF($A2549="","",IF(OR($E2549="INFRUCTUEUX",$E2549="ANNULE"),$A2549&amp;"|"&amp;(COUNTIFS($A$2:$A2549,$A2549,$E$2:$E2549,"INFRUCTUEUX")+COUNTIFS($A$2:$A2549,$A2549,$E$2:$E2549,"ANNULE")),""))</f>
        <v/>
      </c>
    </row>
    <row r="2550">
      <c r="A2550">
        <f>IF(ISBLANK('ENGAGEMENTS 2026'!C2550),"",IF('ENGAGEMENTS 2026'!C2550="DTSI","DCT",'ENGAGEMENTS 2026'!C2550))</f>
        <v/>
      </c>
      <c r="B2550">
        <f>IF(ISBLANK('ENGAGEMENTS 2026'!C2550),"",'ENGAGEMENTS 2026'!D2550)</f>
        <v/>
      </c>
      <c r="C2550">
        <f>IF(ISBLANK('ENGAGEMENTS 2026'!C2550),"",'ENGAGEMENTS 2026'!E2550)</f>
        <v/>
      </c>
      <c r="D2550">
        <f>IF(ISBLANK('ENGAGEMENTS 2026'!C2550),"",'ENGAGEMENTS 2026'!G2550)</f>
        <v/>
      </c>
      <c r="E2550">
        <f>IF(ISBLANK('ENGAGEMENTS 2026'!C2550),"",'ENGAGEMENTS 2026'!I2550)</f>
        <v/>
      </c>
      <c r="F2550">
        <f>IF(ISBLANK('ENGAGEMENTS 2026'!C2550),"",'ENGAGEMENTS 2026'!J2550)</f>
        <v/>
      </c>
      <c r="G2550">
        <f>IF(ISBLANK('ENGAGEMENTS 2026'!C2550),"",'ENGAGEMENTS 2026'!M2550)</f>
        <v/>
      </c>
      <c r="H2550">
        <f>IF(ISBLANK('ENGAGEMENTS 2026'!C2550),"",'ENGAGEMENTS 2026'!AF2550)</f>
        <v/>
      </c>
      <c r="I2550">
        <f>IF(ISBLANK('ENGAGEMENTS 2026'!C2550),"",'ENGAGEMENTS 2026'!H2550)</f>
        <v/>
      </c>
      <c r="J2550" s="275">
        <f>IF(ISBLANK('ENGAGEMENTS 2026'!C2550),"",IF(AND(OR($E2550="INFRUCTUEUX",$E2550="ANNULE"),$C2550="AOO-M"),'ENGAGEMENTS 2026'!P2550,IF($H2550="EN COURS DE PREENGAGEMENT",'ENGAGEMENTS 2026'!O2550,IF($H2550="PREENGAGE",IF($E2550="ATTRIBUE",'ENGAGEMENTS 2026'!AE2550,'ENGAGEMENTS 2026'!O2550),'ENGAGEMENTS 2026'!AE2550))))</f>
        <v/>
      </c>
      <c r="K2550" s="604">
        <f>IF(ISBLANK('ENGAGEMENTS 2026'!W2550),"",'ENGAGEMENTS 2026'!W2550)</f>
        <v/>
      </c>
      <c r="L2550" s="276">
        <f>IF($K2550="","",TODAY()-$K2550)</f>
        <v/>
      </c>
      <c r="M2550">
        <f>IF($A2550="","",IF($H2550="ENGAGE","Engagé",IF(AND($H2550="NON ENGAGE",OR($I2550="INFRUCTUEUX",$I2550="ANNULE")),"Clôturé sans suite","En cours")))</f>
        <v/>
      </c>
      <c r="N2550">
        <f>IF(ISBLANK('ENGAGEMENTS 2026'!C2550),"",'ENGAGEMENTS 2026'!L2550)</f>
        <v/>
      </c>
      <c r="O2550">
        <f>IF(ISBLANK('ENGAGEMENTS 2026'!C2550),"",'ENGAGEMENTS 2026'!M2550)</f>
        <v/>
      </c>
      <c r="P2550">
        <f>IF(ISBLANK('ENGAGEMENTS 2026'!C2550),"",'ENGAGEMENTS 2026'!K2550)</f>
        <v/>
      </c>
      <c r="Q2550">
        <f>IF($A2550="","",IF(OR($E2550="INFRUCTUEUX",$E2550="ANNULE"),$A2550&amp;"|"&amp;(COUNTIFS($A$2:$A2550,$A2550,$E$2:$E2550,"INFRUCTUEUX")+COUNTIFS($A$2:$A2550,$A2550,$E$2:$E2550,"ANNULE")),""))</f>
        <v/>
      </c>
    </row>
    <row r="2551">
      <c r="A2551">
        <f>IF(ISBLANK('ENGAGEMENTS 2026'!C2551),"",IF('ENGAGEMENTS 2026'!C2551="DTSI","DCT",'ENGAGEMENTS 2026'!C2551))</f>
        <v/>
      </c>
      <c r="B2551">
        <f>IF(ISBLANK('ENGAGEMENTS 2026'!C2551),"",'ENGAGEMENTS 2026'!D2551)</f>
        <v/>
      </c>
      <c r="C2551">
        <f>IF(ISBLANK('ENGAGEMENTS 2026'!C2551),"",'ENGAGEMENTS 2026'!E2551)</f>
        <v/>
      </c>
      <c r="D2551">
        <f>IF(ISBLANK('ENGAGEMENTS 2026'!C2551),"",'ENGAGEMENTS 2026'!G2551)</f>
        <v/>
      </c>
      <c r="E2551">
        <f>IF(ISBLANK('ENGAGEMENTS 2026'!C2551),"",'ENGAGEMENTS 2026'!I2551)</f>
        <v/>
      </c>
      <c r="F2551">
        <f>IF(ISBLANK('ENGAGEMENTS 2026'!C2551),"",'ENGAGEMENTS 2026'!J2551)</f>
        <v/>
      </c>
      <c r="G2551">
        <f>IF(ISBLANK('ENGAGEMENTS 2026'!C2551),"",'ENGAGEMENTS 2026'!M2551)</f>
        <v/>
      </c>
      <c r="H2551">
        <f>IF(ISBLANK('ENGAGEMENTS 2026'!C2551),"",'ENGAGEMENTS 2026'!AF2551)</f>
        <v/>
      </c>
      <c r="I2551">
        <f>IF(ISBLANK('ENGAGEMENTS 2026'!C2551),"",'ENGAGEMENTS 2026'!H2551)</f>
        <v/>
      </c>
      <c r="J2551" s="275">
        <f>IF(ISBLANK('ENGAGEMENTS 2026'!C2551),"",IF(AND(OR($E2551="INFRUCTUEUX",$E2551="ANNULE"),$C2551="AOO-M"),'ENGAGEMENTS 2026'!P2551,IF($H2551="EN COURS DE PREENGAGEMENT",'ENGAGEMENTS 2026'!O2551,IF($H2551="PREENGAGE",IF($E2551="ATTRIBUE",'ENGAGEMENTS 2026'!AE2551,'ENGAGEMENTS 2026'!O2551),'ENGAGEMENTS 2026'!AE2551))))</f>
        <v/>
      </c>
      <c r="K2551" s="604">
        <f>IF(ISBLANK('ENGAGEMENTS 2026'!W2551),"",'ENGAGEMENTS 2026'!W2551)</f>
        <v/>
      </c>
      <c r="L2551" s="276">
        <f>IF($K2551="","",TODAY()-$K2551)</f>
        <v/>
      </c>
      <c r="M2551">
        <f>IF($A2551="","",IF($H2551="ENGAGE","Engagé",IF(AND($H2551="NON ENGAGE",OR($I2551="INFRUCTUEUX",$I2551="ANNULE")),"Clôturé sans suite","En cours")))</f>
        <v/>
      </c>
      <c r="N2551">
        <f>IF(ISBLANK('ENGAGEMENTS 2026'!C2551),"",'ENGAGEMENTS 2026'!L2551)</f>
        <v/>
      </c>
      <c r="O2551">
        <f>IF(ISBLANK('ENGAGEMENTS 2026'!C2551),"",'ENGAGEMENTS 2026'!M2551)</f>
        <v/>
      </c>
      <c r="P2551">
        <f>IF(ISBLANK('ENGAGEMENTS 2026'!C2551),"",'ENGAGEMENTS 2026'!K2551)</f>
        <v/>
      </c>
      <c r="Q2551">
        <f>IF($A2551="","",IF(OR($E2551="INFRUCTUEUX",$E2551="ANNULE"),$A2551&amp;"|"&amp;(COUNTIFS($A$2:$A2551,$A2551,$E$2:$E2551,"INFRUCTUEUX")+COUNTIFS($A$2:$A2551,$A2551,$E$2:$E2551,"ANNULE")),""))</f>
        <v/>
      </c>
    </row>
    <row r="2552">
      <c r="A2552">
        <f>IF(ISBLANK('ENGAGEMENTS 2026'!C2552),"",IF('ENGAGEMENTS 2026'!C2552="DTSI","DCT",'ENGAGEMENTS 2026'!C2552))</f>
        <v/>
      </c>
      <c r="B2552">
        <f>IF(ISBLANK('ENGAGEMENTS 2026'!C2552),"",'ENGAGEMENTS 2026'!D2552)</f>
        <v/>
      </c>
      <c r="C2552">
        <f>IF(ISBLANK('ENGAGEMENTS 2026'!C2552),"",'ENGAGEMENTS 2026'!E2552)</f>
        <v/>
      </c>
      <c r="D2552">
        <f>IF(ISBLANK('ENGAGEMENTS 2026'!C2552),"",'ENGAGEMENTS 2026'!G2552)</f>
        <v/>
      </c>
      <c r="E2552">
        <f>IF(ISBLANK('ENGAGEMENTS 2026'!C2552),"",'ENGAGEMENTS 2026'!I2552)</f>
        <v/>
      </c>
      <c r="F2552">
        <f>IF(ISBLANK('ENGAGEMENTS 2026'!C2552),"",'ENGAGEMENTS 2026'!J2552)</f>
        <v/>
      </c>
      <c r="G2552">
        <f>IF(ISBLANK('ENGAGEMENTS 2026'!C2552),"",'ENGAGEMENTS 2026'!M2552)</f>
        <v/>
      </c>
      <c r="H2552">
        <f>IF(ISBLANK('ENGAGEMENTS 2026'!C2552),"",'ENGAGEMENTS 2026'!AF2552)</f>
        <v/>
      </c>
      <c r="I2552">
        <f>IF(ISBLANK('ENGAGEMENTS 2026'!C2552),"",'ENGAGEMENTS 2026'!H2552)</f>
        <v/>
      </c>
      <c r="J2552" s="275">
        <f>IF(ISBLANK('ENGAGEMENTS 2026'!C2552),"",IF(AND(OR($E2552="INFRUCTUEUX",$E2552="ANNULE"),$C2552="AOO-M"),'ENGAGEMENTS 2026'!P2552,IF($H2552="EN COURS DE PREENGAGEMENT",'ENGAGEMENTS 2026'!O2552,IF($H2552="PREENGAGE",IF($E2552="ATTRIBUE",'ENGAGEMENTS 2026'!AE2552,'ENGAGEMENTS 2026'!O2552),'ENGAGEMENTS 2026'!AE2552))))</f>
        <v/>
      </c>
      <c r="K2552" s="604">
        <f>IF(ISBLANK('ENGAGEMENTS 2026'!W2552),"",'ENGAGEMENTS 2026'!W2552)</f>
        <v/>
      </c>
      <c r="L2552" s="276">
        <f>IF($K2552="","",TODAY()-$K2552)</f>
        <v/>
      </c>
      <c r="M2552">
        <f>IF($A2552="","",IF($H2552="ENGAGE","Engagé",IF(AND($H2552="NON ENGAGE",OR($I2552="INFRUCTUEUX",$I2552="ANNULE")),"Clôturé sans suite","En cours")))</f>
        <v/>
      </c>
      <c r="N2552">
        <f>IF(ISBLANK('ENGAGEMENTS 2026'!C2552),"",'ENGAGEMENTS 2026'!L2552)</f>
        <v/>
      </c>
      <c r="O2552">
        <f>IF(ISBLANK('ENGAGEMENTS 2026'!C2552),"",'ENGAGEMENTS 2026'!M2552)</f>
        <v/>
      </c>
      <c r="P2552">
        <f>IF(ISBLANK('ENGAGEMENTS 2026'!C2552),"",'ENGAGEMENTS 2026'!K2552)</f>
        <v/>
      </c>
      <c r="Q2552">
        <f>IF($A2552="","",IF(OR($E2552="INFRUCTUEUX",$E2552="ANNULE"),$A2552&amp;"|"&amp;(COUNTIFS($A$2:$A2552,$A2552,$E$2:$E2552,"INFRUCTUEUX")+COUNTIFS($A$2:$A2552,$A2552,$E$2:$E2552,"ANNULE")),""))</f>
        <v/>
      </c>
    </row>
    <row r="2553">
      <c r="A2553">
        <f>IF(ISBLANK('ENGAGEMENTS 2026'!C2553),"",IF('ENGAGEMENTS 2026'!C2553="DTSI","DCT",'ENGAGEMENTS 2026'!C2553))</f>
        <v/>
      </c>
      <c r="B2553">
        <f>IF(ISBLANK('ENGAGEMENTS 2026'!C2553),"",'ENGAGEMENTS 2026'!D2553)</f>
        <v/>
      </c>
      <c r="C2553">
        <f>IF(ISBLANK('ENGAGEMENTS 2026'!C2553),"",'ENGAGEMENTS 2026'!E2553)</f>
        <v/>
      </c>
      <c r="D2553">
        <f>IF(ISBLANK('ENGAGEMENTS 2026'!C2553),"",'ENGAGEMENTS 2026'!G2553)</f>
        <v/>
      </c>
      <c r="E2553">
        <f>IF(ISBLANK('ENGAGEMENTS 2026'!C2553),"",'ENGAGEMENTS 2026'!I2553)</f>
        <v/>
      </c>
      <c r="F2553">
        <f>IF(ISBLANK('ENGAGEMENTS 2026'!C2553),"",'ENGAGEMENTS 2026'!J2553)</f>
        <v/>
      </c>
      <c r="G2553">
        <f>IF(ISBLANK('ENGAGEMENTS 2026'!C2553),"",'ENGAGEMENTS 2026'!M2553)</f>
        <v/>
      </c>
      <c r="H2553">
        <f>IF(ISBLANK('ENGAGEMENTS 2026'!C2553),"",'ENGAGEMENTS 2026'!AF2553)</f>
        <v/>
      </c>
      <c r="I2553">
        <f>IF(ISBLANK('ENGAGEMENTS 2026'!C2553),"",'ENGAGEMENTS 2026'!H2553)</f>
        <v/>
      </c>
      <c r="J2553" s="275">
        <f>IF(ISBLANK('ENGAGEMENTS 2026'!C2553),"",IF(AND(OR($E2553="INFRUCTUEUX",$E2553="ANNULE"),$C2553="AOO-M"),'ENGAGEMENTS 2026'!P2553,IF($H2553="EN COURS DE PREENGAGEMENT",'ENGAGEMENTS 2026'!O2553,IF($H2553="PREENGAGE",IF($E2553="ATTRIBUE",'ENGAGEMENTS 2026'!AE2553,'ENGAGEMENTS 2026'!O2553),'ENGAGEMENTS 2026'!AE2553))))</f>
        <v/>
      </c>
      <c r="K2553" s="604">
        <f>IF(ISBLANK('ENGAGEMENTS 2026'!W2553),"",'ENGAGEMENTS 2026'!W2553)</f>
        <v/>
      </c>
      <c r="L2553" s="276">
        <f>IF($K2553="","",TODAY()-$K2553)</f>
        <v/>
      </c>
      <c r="M2553">
        <f>IF($A2553="","",IF($H2553="ENGAGE","Engagé",IF(AND($H2553="NON ENGAGE",OR($I2553="INFRUCTUEUX",$I2553="ANNULE")),"Clôturé sans suite","En cours")))</f>
        <v/>
      </c>
      <c r="N2553">
        <f>IF(ISBLANK('ENGAGEMENTS 2026'!C2553),"",'ENGAGEMENTS 2026'!L2553)</f>
        <v/>
      </c>
      <c r="O2553">
        <f>IF(ISBLANK('ENGAGEMENTS 2026'!C2553),"",'ENGAGEMENTS 2026'!M2553)</f>
        <v/>
      </c>
      <c r="P2553">
        <f>IF(ISBLANK('ENGAGEMENTS 2026'!C2553),"",'ENGAGEMENTS 2026'!K2553)</f>
        <v/>
      </c>
      <c r="Q2553">
        <f>IF($A2553="","",IF(OR($E2553="INFRUCTUEUX",$E2553="ANNULE"),$A2553&amp;"|"&amp;(COUNTIFS($A$2:$A2553,$A2553,$E$2:$E2553,"INFRUCTUEUX")+COUNTIFS($A$2:$A2553,$A2553,$E$2:$E2553,"ANNULE")),""))</f>
        <v/>
      </c>
    </row>
    <row r="2554">
      <c r="A2554">
        <f>IF(ISBLANK('ENGAGEMENTS 2026'!C2554),"",IF('ENGAGEMENTS 2026'!C2554="DTSI","DCT",'ENGAGEMENTS 2026'!C2554))</f>
        <v/>
      </c>
      <c r="B2554">
        <f>IF(ISBLANK('ENGAGEMENTS 2026'!C2554),"",'ENGAGEMENTS 2026'!D2554)</f>
        <v/>
      </c>
      <c r="C2554">
        <f>IF(ISBLANK('ENGAGEMENTS 2026'!C2554),"",'ENGAGEMENTS 2026'!E2554)</f>
        <v/>
      </c>
      <c r="D2554">
        <f>IF(ISBLANK('ENGAGEMENTS 2026'!C2554),"",'ENGAGEMENTS 2026'!G2554)</f>
        <v/>
      </c>
      <c r="E2554">
        <f>IF(ISBLANK('ENGAGEMENTS 2026'!C2554),"",'ENGAGEMENTS 2026'!I2554)</f>
        <v/>
      </c>
      <c r="F2554">
        <f>IF(ISBLANK('ENGAGEMENTS 2026'!C2554),"",'ENGAGEMENTS 2026'!J2554)</f>
        <v/>
      </c>
      <c r="G2554">
        <f>IF(ISBLANK('ENGAGEMENTS 2026'!C2554),"",'ENGAGEMENTS 2026'!M2554)</f>
        <v/>
      </c>
      <c r="H2554">
        <f>IF(ISBLANK('ENGAGEMENTS 2026'!C2554),"",'ENGAGEMENTS 2026'!AF2554)</f>
        <v/>
      </c>
      <c r="I2554">
        <f>IF(ISBLANK('ENGAGEMENTS 2026'!C2554),"",'ENGAGEMENTS 2026'!H2554)</f>
        <v/>
      </c>
      <c r="J2554" s="275">
        <f>IF(ISBLANK('ENGAGEMENTS 2026'!C2554),"",IF(AND(OR($E2554="INFRUCTUEUX",$E2554="ANNULE"),$C2554="AOO-M"),'ENGAGEMENTS 2026'!P2554,IF($H2554="EN COURS DE PREENGAGEMENT",'ENGAGEMENTS 2026'!O2554,IF($H2554="PREENGAGE",IF($E2554="ATTRIBUE",'ENGAGEMENTS 2026'!AE2554,'ENGAGEMENTS 2026'!O2554),'ENGAGEMENTS 2026'!AE2554))))</f>
        <v/>
      </c>
      <c r="K2554" s="604">
        <f>IF(ISBLANK('ENGAGEMENTS 2026'!W2554),"",'ENGAGEMENTS 2026'!W2554)</f>
        <v/>
      </c>
      <c r="L2554" s="276">
        <f>IF($K2554="","",TODAY()-$K2554)</f>
        <v/>
      </c>
      <c r="M2554">
        <f>IF($A2554="","",IF($H2554="ENGAGE","Engagé",IF(AND($H2554="NON ENGAGE",OR($I2554="INFRUCTUEUX",$I2554="ANNULE")),"Clôturé sans suite","En cours")))</f>
        <v/>
      </c>
      <c r="N2554">
        <f>IF(ISBLANK('ENGAGEMENTS 2026'!C2554),"",'ENGAGEMENTS 2026'!L2554)</f>
        <v/>
      </c>
      <c r="O2554">
        <f>IF(ISBLANK('ENGAGEMENTS 2026'!C2554),"",'ENGAGEMENTS 2026'!M2554)</f>
        <v/>
      </c>
      <c r="P2554">
        <f>IF(ISBLANK('ENGAGEMENTS 2026'!C2554),"",'ENGAGEMENTS 2026'!K2554)</f>
        <v/>
      </c>
      <c r="Q2554">
        <f>IF($A2554="","",IF(OR($E2554="INFRUCTUEUX",$E2554="ANNULE"),$A2554&amp;"|"&amp;(COUNTIFS($A$2:$A2554,$A2554,$E$2:$E2554,"INFRUCTUEUX")+COUNTIFS($A$2:$A2554,$A2554,$E$2:$E2554,"ANNULE")),""))</f>
        <v/>
      </c>
    </row>
    <row r="2555">
      <c r="A2555">
        <f>IF(ISBLANK('ENGAGEMENTS 2026'!C2555),"",IF('ENGAGEMENTS 2026'!C2555="DTSI","DCT",'ENGAGEMENTS 2026'!C2555))</f>
        <v/>
      </c>
      <c r="B2555">
        <f>IF(ISBLANK('ENGAGEMENTS 2026'!C2555),"",'ENGAGEMENTS 2026'!D2555)</f>
        <v/>
      </c>
      <c r="C2555">
        <f>IF(ISBLANK('ENGAGEMENTS 2026'!C2555),"",'ENGAGEMENTS 2026'!E2555)</f>
        <v/>
      </c>
      <c r="D2555">
        <f>IF(ISBLANK('ENGAGEMENTS 2026'!C2555),"",'ENGAGEMENTS 2026'!G2555)</f>
        <v/>
      </c>
      <c r="E2555">
        <f>IF(ISBLANK('ENGAGEMENTS 2026'!C2555),"",'ENGAGEMENTS 2026'!I2555)</f>
        <v/>
      </c>
      <c r="F2555">
        <f>IF(ISBLANK('ENGAGEMENTS 2026'!C2555),"",'ENGAGEMENTS 2026'!J2555)</f>
        <v/>
      </c>
      <c r="G2555">
        <f>IF(ISBLANK('ENGAGEMENTS 2026'!C2555),"",'ENGAGEMENTS 2026'!M2555)</f>
        <v/>
      </c>
      <c r="H2555">
        <f>IF(ISBLANK('ENGAGEMENTS 2026'!C2555),"",'ENGAGEMENTS 2026'!AF2555)</f>
        <v/>
      </c>
      <c r="I2555">
        <f>IF(ISBLANK('ENGAGEMENTS 2026'!C2555),"",'ENGAGEMENTS 2026'!H2555)</f>
        <v/>
      </c>
      <c r="J2555" s="275">
        <f>IF(ISBLANK('ENGAGEMENTS 2026'!C2555),"",IF(AND(OR($E2555="INFRUCTUEUX",$E2555="ANNULE"),$C2555="AOO-M"),'ENGAGEMENTS 2026'!P2555,IF($H2555="EN COURS DE PREENGAGEMENT",'ENGAGEMENTS 2026'!O2555,IF($H2555="PREENGAGE",IF($E2555="ATTRIBUE",'ENGAGEMENTS 2026'!AE2555,'ENGAGEMENTS 2026'!O2555),'ENGAGEMENTS 2026'!AE2555))))</f>
        <v/>
      </c>
      <c r="K2555" s="604">
        <f>IF(ISBLANK('ENGAGEMENTS 2026'!W2555),"",'ENGAGEMENTS 2026'!W2555)</f>
        <v/>
      </c>
      <c r="L2555" s="276">
        <f>IF($K2555="","",TODAY()-$K2555)</f>
        <v/>
      </c>
      <c r="M2555">
        <f>IF($A2555="","",IF($H2555="ENGAGE","Engagé",IF(AND($H2555="NON ENGAGE",OR($I2555="INFRUCTUEUX",$I2555="ANNULE")),"Clôturé sans suite","En cours")))</f>
        <v/>
      </c>
      <c r="N2555">
        <f>IF(ISBLANK('ENGAGEMENTS 2026'!C2555),"",'ENGAGEMENTS 2026'!L2555)</f>
        <v/>
      </c>
      <c r="O2555">
        <f>IF(ISBLANK('ENGAGEMENTS 2026'!C2555),"",'ENGAGEMENTS 2026'!M2555)</f>
        <v/>
      </c>
      <c r="P2555">
        <f>IF(ISBLANK('ENGAGEMENTS 2026'!C2555),"",'ENGAGEMENTS 2026'!K2555)</f>
        <v/>
      </c>
      <c r="Q2555">
        <f>IF($A2555="","",IF(OR($E2555="INFRUCTUEUX",$E2555="ANNULE"),$A2555&amp;"|"&amp;(COUNTIFS($A$2:$A2555,$A2555,$E$2:$E2555,"INFRUCTUEUX")+COUNTIFS($A$2:$A2555,$A2555,$E$2:$E2555,"ANNULE")),""))</f>
        <v/>
      </c>
    </row>
    <row r="2556">
      <c r="A2556">
        <f>IF(ISBLANK('ENGAGEMENTS 2026'!C2556),"",IF('ENGAGEMENTS 2026'!C2556="DTSI","DCT",'ENGAGEMENTS 2026'!C2556))</f>
        <v/>
      </c>
      <c r="B2556">
        <f>IF(ISBLANK('ENGAGEMENTS 2026'!C2556),"",'ENGAGEMENTS 2026'!D2556)</f>
        <v/>
      </c>
      <c r="C2556">
        <f>IF(ISBLANK('ENGAGEMENTS 2026'!C2556),"",'ENGAGEMENTS 2026'!E2556)</f>
        <v/>
      </c>
      <c r="D2556">
        <f>IF(ISBLANK('ENGAGEMENTS 2026'!C2556),"",'ENGAGEMENTS 2026'!G2556)</f>
        <v/>
      </c>
      <c r="E2556">
        <f>IF(ISBLANK('ENGAGEMENTS 2026'!C2556),"",'ENGAGEMENTS 2026'!I2556)</f>
        <v/>
      </c>
      <c r="F2556">
        <f>IF(ISBLANK('ENGAGEMENTS 2026'!C2556),"",'ENGAGEMENTS 2026'!J2556)</f>
        <v/>
      </c>
      <c r="G2556">
        <f>IF(ISBLANK('ENGAGEMENTS 2026'!C2556),"",'ENGAGEMENTS 2026'!M2556)</f>
        <v/>
      </c>
      <c r="H2556">
        <f>IF(ISBLANK('ENGAGEMENTS 2026'!C2556),"",'ENGAGEMENTS 2026'!AF2556)</f>
        <v/>
      </c>
      <c r="I2556">
        <f>IF(ISBLANK('ENGAGEMENTS 2026'!C2556),"",'ENGAGEMENTS 2026'!H2556)</f>
        <v/>
      </c>
      <c r="J2556" s="275">
        <f>IF(ISBLANK('ENGAGEMENTS 2026'!C2556),"",IF(AND(OR($E2556="INFRUCTUEUX",$E2556="ANNULE"),$C2556="AOO-M"),'ENGAGEMENTS 2026'!P2556,IF($H2556="EN COURS DE PREENGAGEMENT",'ENGAGEMENTS 2026'!O2556,IF($H2556="PREENGAGE",IF($E2556="ATTRIBUE",'ENGAGEMENTS 2026'!AE2556,'ENGAGEMENTS 2026'!O2556),'ENGAGEMENTS 2026'!AE2556))))</f>
        <v/>
      </c>
      <c r="K2556" s="604">
        <f>IF(ISBLANK('ENGAGEMENTS 2026'!W2556),"",'ENGAGEMENTS 2026'!W2556)</f>
        <v/>
      </c>
      <c r="L2556" s="276">
        <f>IF($K2556="","",TODAY()-$K2556)</f>
        <v/>
      </c>
      <c r="M2556">
        <f>IF($A2556="","",IF($H2556="ENGAGE","Engagé",IF(AND($H2556="NON ENGAGE",OR($I2556="INFRUCTUEUX",$I2556="ANNULE")),"Clôturé sans suite","En cours")))</f>
        <v/>
      </c>
      <c r="N2556">
        <f>IF(ISBLANK('ENGAGEMENTS 2026'!C2556),"",'ENGAGEMENTS 2026'!L2556)</f>
        <v/>
      </c>
      <c r="O2556">
        <f>IF(ISBLANK('ENGAGEMENTS 2026'!C2556),"",'ENGAGEMENTS 2026'!M2556)</f>
        <v/>
      </c>
      <c r="P2556">
        <f>IF(ISBLANK('ENGAGEMENTS 2026'!C2556),"",'ENGAGEMENTS 2026'!K2556)</f>
        <v/>
      </c>
      <c r="Q2556">
        <f>IF($A2556="","",IF(OR($E2556="INFRUCTUEUX",$E2556="ANNULE"),$A2556&amp;"|"&amp;(COUNTIFS($A$2:$A2556,$A2556,$E$2:$E2556,"INFRUCTUEUX")+COUNTIFS($A$2:$A2556,$A2556,$E$2:$E2556,"ANNULE")),""))</f>
        <v/>
      </c>
    </row>
    <row r="2557">
      <c r="A2557">
        <f>IF(ISBLANK('ENGAGEMENTS 2026'!C2557),"",IF('ENGAGEMENTS 2026'!C2557="DTSI","DCT",'ENGAGEMENTS 2026'!C2557))</f>
        <v/>
      </c>
      <c r="B2557">
        <f>IF(ISBLANK('ENGAGEMENTS 2026'!C2557),"",'ENGAGEMENTS 2026'!D2557)</f>
        <v/>
      </c>
      <c r="C2557">
        <f>IF(ISBLANK('ENGAGEMENTS 2026'!C2557),"",'ENGAGEMENTS 2026'!E2557)</f>
        <v/>
      </c>
      <c r="D2557">
        <f>IF(ISBLANK('ENGAGEMENTS 2026'!C2557),"",'ENGAGEMENTS 2026'!G2557)</f>
        <v/>
      </c>
      <c r="E2557">
        <f>IF(ISBLANK('ENGAGEMENTS 2026'!C2557),"",'ENGAGEMENTS 2026'!I2557)</f>
        <v/>
      </c>
      <c r="F2557">
        <f>IF(ISBLANK('ENGAGEMENTS 2026'!C2557),"",'ENGAGEMENTS 2026'!J2557)</f>
        <v/>
      </c>
      <c r="G2557">
        <f>IF(ISBLANK('ENGAGEMENTS 2026'!C2557),"",'ENGAGEMENTS 2026'!M2557)</f>
        <v/>
      </c>
      <c r="H2557">
        <f>IF(ISBLANK('ENGAGEMENTS 2026'!C2557),"",'ENGAGEMENTS 2026'!AF2557)</f>
        <v/>
      </c>
      <c r="I2557">
        <f>IF(ISBLANK('ENGAGEMENTS 2026'!C2557),"",'ENGAGEMENTS 2026'!H2557)</f>
        <v/>
      </c>
      <c r="J2557" s="275">
        <f>IF(ISBLANK('ENGAGEMENTS 2026'!C2557),"",IF(AND(OR($E2557="INFRUCTUEUX",$E2557="ANNULE"),$C2557="AOO-M"),'ENGAGEMENTS 2026'!P2557,IF($H2557="EN COURS DE PREENGAGEMENT",'ENGAGEMENTS 2026'!O2557,IF($H2557="PREENGAGE",IF($E2557="ATTRIBUE",'ENGAGEMENTS 2026'!AE2557,'ENGAGEMENTS 2026'!O2557),'ENGAGEMENTS 2026'!AE2557))))</f>
        <v/>
      </c>
      <c r="K2557" s="604">
        <f>IF(ISBLANK('ENGAGEMENTS 2026'!W2557),"",'ENGAGEMENTS 2026'!W2557)</f>
        <v/>
      </c>
      <c r="L2557" s="276">
        <f>IF($K2557="","",TODAY()-$K2557)</f>
        <v/>
      </c>
      <c r="M2557">
        <f>IF($A2557="","",IF($H2557="ENGAGE","Engagé",IF(AND($H2557="NON ENGAGE",OR($I2557="INFRUCTUEUX",$I2557="ANNULE")),"Clôturé sans suite","En cours")))</f>
        <v/>
      </c>
      <c r="N2557">
        <f>IF(ISBLANK('ENGAGEMENTS 2026'!C2557),"",'ENGAGEMENTS 2026'!L2557)</f>
        <v/>
      </c>
      <c r="O2557">
        <f>IF(ISBLANK('ENGAGEMENTS 2026'!C2557),"",'ENGAGEMENTS 2026'!M2557)</f>
        <v/>
      </c>
      <c r="P2557">
        <f>IF(ISBLANK('ENGAGEMENTS 2026'!C2557),"",'ENGAGEMENTS 2026'!K2557)</f>
        <v/>
      </c>
      <c r="Q2557">
        <f>IF($A2557="","",IF(OR($E2557="INFRUCTUEUX",$E2557="ANNULE"),$A2557&amp;"|"&amp;(COUNTIFS($A$2:$A2557,$A2557,$E$2:$E2557,"INFRUCTUEUX")+COUNTIFS($A$2:$A2557,$A2557,$E$2:$E2557,"ANNULE")),""))</f>
        <v/>
      </c>
    </row>
    <row r="2558">
      <c r="A2558">
        <f>IF(ISBLANK('ENGAGEMENTS 2026'!C2558),"",IF('ENGAGEMENTS 2026'!C2558="DTSI","DCT",'ENGAGEMENTS 2026'!C2558))</f>
        <v/>
      </c>
      <c r="B2558">
        <f>IF(ISBLANK('ENGAGEMENTS 2026'!C2558),"",'ENGAGEMENTS 2026'!D2558)</f>
        <v/>
      </c>
      <c r="C2558">
        <f>IF(ISBLANK('ENGAGEMENTS 2026'!C2558),"",'ENGAGEMENTS 2026'!E2558)</f>
        <v/>
      </c>
      <c r="D2558">
        <f>IF(ISBLANK('ENGAGEMENTS 2026'!C2558),"",'ENGAGEMENTS 2026'!G2558)</f>
        <v/>
      </c>
      <c r="E2558">
        <f>IF(ISBLANK('ENGAGEMENTS 2026'!C2558),"",'ENGAGEMENTS 2026'!I2558)</f>
        <v/>
      </c>
      <c r="F2558">
        <f>IF(ISBLANK('ENGAGEMENTS 2026'!C2558),"",'ENGAGEMENTS 2026'!J2558)</f>
        <v/>
      </c>
      <c r="G2558">
        <f>IF(ISBLANK('ENGAGEMENTS 2026'!C2558),"",'ENGAGEMENTS 2026'!M2558)</f>
        <v/>
      </c>
      <c r="H2558">
        <f>IF(ISBLANK('ENGAGEMENTS 2026'!C2558),"",'ENGAGEMENTS 2026'!AF2558)</f>
        <v/>
      </c>
      <c r="I2558">
        <f>IF(ISBLANK('ENGAGEMENTS 2026'!C2558),"",'ENGAGEMENTS 2026'!H2558)</f>
        <v/>
      </c>
      <c r="J2558" s="275">
        <f>IF(ISBLANK('ENGAGEMENTS 2026'!C2558),"",IF(AND(OR($E2558="INFRUCTUEUX",$E2558="ANNULE"),$C2558="AOO-M"),'ENGAGEMENTS 2026'!P2558,IF($H2558="EN COURS DE PREENGAGEMENT",'ENGAGEMENTS 2026'!O2558,IF($H2558="PREENGAGE",IF($E2558="ATTRIBUE",'ENGAGEMENTS 2026'!AE2558,'ENGAGEMENTS 2026'!O2558),'ENGAGEMENTS 2026'!AE2558))))</f>
        <v/>
      </c>
      <c r="K2558" s="604">
        <f>IF(ISBLANK('ENGAGEMENTS 2026'!W2558),"",'ENGAGEMENTS 2026'!W2558)</f>
        <v/>
      </c>
      <c r="L2558" s="276">
        <f>IF($K2558="","",TODAY()-$K2558)</f>
        <v/>
      </c>
      <c r="M2558">
        <f>IF($A2558="","",IF($H2558="ENGAGE","Engagé",IF(AND($H2558="NON ENGAGE",OR($I2558="INFRUCTUEUX",$I2558="ANNULE")),"Clôturé sans suite","En cours")))</f>
        <v/>
      </c>
      <c r="N2558">
        <f>IF(ISBLANK('ENGAGEMENTS 2026'!C2558),"",'ENGAGEMENTS 2026'!L2558)</f>
        <v/>
      </c>
      <c r="O2558">
        <f>IF(ISBLANK('ENGAGEMENTS 2026'!C2558),"",'ENGAGEMENTS 2026'!M2558)</f>
        <v/>
      </c>
      <c r="P2558">
        <f>IF(ISBLANK('ENGAGEMENTS 2026'!C2558),"",'ENGAGEMENTS 2026'!K2558)</f>
        <v/>
      </c>
      <c r="Q2558">
        <f>IF($A2558="","",IF(OR($E2558="INFRUCTUEUX",$E2558="ANNULE"),$A2558&amp;"|"&amp;(COUNTIFS($A$2:$A2558,$A2558,$E$2:$E2558,"INFRUCTUEUX")+COUNTIFS($A$2:$A2558,$A2558,$E$2:$E2558,"ANNULE")),""))</f>
        <v/>
      </c>
    </row>
    <row r="2559">
      <c r="A2559">
        <f>IF(ISBLANK('ENGAGEMENTS 2026'!C2559),"",IF('ENGAGEMENTS 2026'!C2559="DTSI","DCT",'ENGAGEMENTS 2026'!C2559))</f>
        <v/>
      </c>
      <c r="B2559">
        <f>IF(ISBLANK('ENGAGEMENTS 2026'!C2559),"",'ENGAGEMENTS 2026'!D2559)</f>
        <v/>
      </c>
      <c r="C2559">
        <f>IF(ISBLANK('ENGAGEMENTS 2026'!C2559),"",'ENGAGEMENTS 2026'!E2559)</f>
        <v/>
      </c>
      <c r="D2559">
        <f>IF(ISBLANK('ENGAGEMENTS 2026'!C2559),"",'ENGAGEMENTS 2026'!G2559)</f>
        <v/>
      </c>
      <c r="E2559">
        <f>IF(ISBLANK('ENGAGEMENTS 2026'!C2559),"",'ENGAGEMENTS 2026'!I2559)</f>
        <v/>
      </c>
      <c r="F2559">
        <f>IF(ISBLANK('ENGAGEMENTS 2026'!C2559),"",'ENGAGEMENTS 2026'!J2559)</f>
        <v/>
      </c>
      <c r="G2559">
        <f>IF(ISBLANK('ENGAGEMENTS 2026'!C2559),"",'ENGAGEMENTS 2026'!M2559)</f>
        <v/>
      </c>
      <c r="H2559">
        <f>IF(ISBLANK('ENGAGEMENTS 2026'!C2559),"",'ENGAGEMENTS 2026'!AF2559)</f>
        <v/>
      </c>
      <c r="I2559">
        <f>IF(ISBLANK('ENGAGEMENTS 2026'!C2559),"",'ENGAGEMENTS 2026'!H2559)</f>
        <v/>
      </c>
      <c r="J2559" s="275">
        <f>IF(ISBLANK('ENGAGEMENTS 2026'!C2559),"",IF(AND(OR($E2559="INFRUCTUEUX",$E2559="ANNULE"),$C2559="AOO-M"),'ENGAGEMENTS 2026'!P2559,IF($H2559="EN COURS DE PREENGAGEMENT",'ENGAGEMENTS 2026'!O2559,IF($H2559="PREENGAGE",IF($E2559="ATTRIBUE",'ENGAGEMENTS 2026'!AE2559,'ENGAGEMENTS 2026'!O2559),'ENGAGEMENTS 2026'!AE2559))))</f>
        <v/>
      </c>
      <c r="K2559" s="604">
        <f>IF(ISBLANK('ENGAGEMENTS 2026'!W2559),"",'ENGAGEMENTS 2026'!W2559)</f>
        <v/>
      </c>
      <c r="L2559" s="276">
        <f>IF($K2559="","",TODAY()-$K2559)</f>
        <v/>
      </c>
      <c r="M2559">
        <f>IF($A2559="","",IF($H2559="ENGAGE","Engagé",IF(AND($H2559="NON ENGAGE",OR($I2559="INFRUCTUEUX",$I2559="ANNULE")),"Clôturé sans suite","En cours")))</f>
        <v/>
      </c>
      <c r="N2559">
        <f>IF(ISBLANK('ENGAGEMENTS 2026'!C2559),"",'ENGAGEMENTS 2026'!L2559)</f>
        <v/>
      </c>
      <c r="O2559">
        <f>IF(ISBLANK('ENGAGEMENTS 2026'!C2559),"",'ENGAGEMENTS 2026'!M2559)</f>
        <v/>
      </c>
      <c r="P2559">
        <f>IF(ISBLANK('ENGAGEMENTS 2026'!C2559),"",'ENGAGEMENTS 2026'!K2559)</f>
        <v/>
      </c>
      <c r="Q2559">
        <f>IF($A2559="","",IF(OR($E2559="INFRUCTUEUX",$E2559="ANNULE"),$A2559&amp;"|"&amp;(COUNTIFS($A$2:$A2559,$A2559,$E$2:$E2559,"INFRUCTUEUX")+COUNTIFS($A$2:$A2559,$A2559,$E$2:$E2559,"ANNULE")),""))</f>
        <v/>
      </c>
    </row>
    <row r="2560">
      <c r="A2560">
        <f>IF(ISBLANK('ENGAGEMENTS 2026'!C2560),"",IF('ENGAGEMENTS 2026'!C2560="DTSI","DCT",'ENGAGEMENTS 2026'!C2560))</f>
        <v/>
      </c>
      <c r="B2560">
        <f>IF(ISBLANK('ENGAGEMENTS 2026'!C2560),"",'ENGAGEMENTS 2026'!D2560)</f>
        <v/>
      </c>
      <c r="C2560">
        <f>IF(ISBLANK('ENGAGEMENTS 2026'!C2560),"",'ENGAGEMENTS 2026'!E2560)</f>
        <v/>
      </c>
      <c r="D2560">
        <f>IF(ISBLANK('ENGAGEMENTS 2026'!C2560),"",'ENGAGEMENTS 2026'!G2560)</f>
        <v/>
      </c>
      <c r="E2560">
        <f>IF(ISBLANK('ENGAGEMENTS 2026'!C2560),"",'ENGAGEMENTS 2026'!I2560)</f>
        <v/>
      </c>
      <c r="F2560">
        <f>IF(ISBLANK('ENGAGEMENTS 2026'!C2560),"",'ENGAGEMENTS 2026'!J2560)</f>
        <v/>
      </c>
      <c r="G2560">
        <f>IF(ISBLANK('ENGAGEMENTS 2026'!C2560),"",'ENGAGEMENTS 2026'!M2560)</f>
        <v/>
      </c>
      <c r="H2560">
        <f>IF(ISBLANK('ENGAGEMENTS 2026'!C2560),"",'ENGAGEMENTS 2026'!AF2560)</f>
        <v/>
      </c>
      <c r="I2560">
        <f>IF(ISBLANK('ENGAGEMENTS 2026'!C2560),"",'ENGAGEMENTS 2026'!H2560)</f>
        <v/>
      </c>
      <c r="J2560" s="275">
        <f>IF(ISBLANK('ENGAGEMENTS 2026'!C2560),"",IF(AND(OR($E2560="INFRUCTUEUX",$E2560="ANNULE"),$C2560="AOO-M"),'ENGAGEMENTS 2026'!P2560,IF($H2560="EN COURS DE PREENGAGEMENT",'ENGAGEMENTS 2026'!O2560,IF($H2560="PREENGAGE",IF($E2560="ATTRIBUE",'ENGAGEMENTS 2026'!AE2560,'ENGAGEMENTS 2026'!O2560),'ENGAGEMENTS 2026'!AE2560))))</f>
        <v/>
      </c>
      <c r="K2560" s="604">
        <f>IF(ISBLANK('ENGAGEMENTS 2026'!W2560),"",'ENGAGEMENTS 2026'!W2560)</f>
        <v/>
      </c>
      <c r="L2560" s="276">
        <f>IF($K2560="","",TODAY()-$K2560)</f>
        <v/>
      </c>
      <c r="M2560">
        <f>IF($A2560="","",IF($H2560="ENGAGE","Engagé",IF(AND($H2560="NON ENGAGE",OR($I2560="INFRUCTUEUX",$I2560="ANNULE")),"Clôturé sans suite","En cours")))</f>
        <v/>
      </c>
      <c r="N2560">
        <f>IF(ISBLANK('ENGAGEMENTS 2026'!C2560),"",'ENGAGEMENTS 2026'!L2560)</f>
        <v/>
      </c>
      <c r="O2560">
        <f>IF(ISBLANK('ENGAGEMENTS 2026'!C2560),"",'ENGAGEMENTS 2026'!M2560)</f>
        <v/>
      </c>
      <c r="P2560">
        <f>IF(ISBLANK('ENGAGEMENTS 2026'!C2560),"",'ENGAGEMENTS 2026'!K2560)</f>
        <v/>
      </c>
      <c r="Q2560">
        <f>IF($A2560="","",IF(OR($E2560="INFRUCTUEUX",$E2560="ANNULE"),$A2560&amp;"|"&amp;(COUNTIFS($A$2:$A2560,$A2560,$E$2:$E2560,"INFRUCTUEUX")+COUNTIFS($A$2:$A2560,$A2560,$E$2:$E2560,"ANNULE")),""))</f>
        <v/>
      </c>
    </row>
    <row r="2561">
      <c r="A2561">
        <f>IF(ISBLANK('ENGAGEMENTS 2026'!C2561),"",IF('ENGAGEMENTS 2026'!C2561="DTSI","DCT",'ENGAGEMENTS 2026'!C2561))</f>
        <v/>
      </c>
      <c r="B2561">
        <f>IF(ISBLANK('ENGAGEMENTS 2026'!C2561),"",'ENGAGEMENTS 2026'!D2561)</f>
        <v/>
      </c>
      <c r="C2561">
        <f>IF(ISBLANK('ENGAGEMENTS 2026'!C2561),"",'ENGAGEMENTS 2026'!E2561)</f>
        <v/>
      </c>
      <c r="D2561">
        <f>IF(ISBLANK('ENGAGEMENTS 2026'!C2561),"",'ENGAGEMENTS 2026'!G2561)</f>
        <v/>
      </c>
      <c r="E2561">
        <f>IF(ISBLANK('ENGAGEMENTS 2026'!C2561),"",'ENGAGEMENTS 2026'!I2561)</f>
        <v/>
      </c>
      <c r="F2561">
        <f>IF(ISBLANK('ENGAGEMENTS 2026'!C2561),"",'ENGAGEMENTS 2026'!J2561)</f>
        <v/>
      </c>
      <c r="G2561">
        <f>IF(ISBLANK('ENGAGEMENTS 2026'!C2561),"",'ENGAGEMENTS 2026'!M2561)</f>
        <v/>
      </c>
      <c r="H2561">
        <f>IF(ISBLANK('ENGAGEMENTS 2026'!C2561),"",'ENGAGEMENTS 2026'!AF2561)</f>
        <v/>
      </c>
      <c r="I2561">
        <f>IF(ISBLANK('ENGAGEMENTS 2026'!C2561),"",'ENGAGEMENTS 2026'!H2561)</f>
        <v/>
      </c>
      <c r="J2561" s="275">
        <f>IF(ISBLANK('ENGAGEMENTS 2026'!C2561),"",IF(AND(OR($E2561="INFRUCTUEUX",$E2561="ANNULE"),$C2561="AOO-M"),'ENGAGEMENTS 2026'!P2561,IF($H2561="EN COURS DE PREENGAGEMENT",'ENGAGEMENTS 2026'!O2561,IF($H2561="PREENGAGE",IF($E2561="ATTRIBUE",'ENGAGEMENTS 2026'!AE2561,'ENGAGEMENTS 2026'!O2561),'ENGAGEMENTS 2026'!AE2561))))</f>
        <v/>
      </c>
      <c r="K2561" s="604">
        <f>IF(ISBLANK('ENGAGEMENTS 2026'!W2561),"",'ENGAGEMENTS 2026'!W2561)</f>
        <v/>
      </c>
      <c r="L2561" s="276">
        <f>IF($K2561="","",TODAY()-$K2561)</f>
        <v/>
      </c>
      <c r="M2561">
        <f>IF($A2561="","",IF($H2561="ENGAGE","Engagé",IF(AND($H2561="NON ENGAGE",OR($I2561="INFRUCTUEUX",$I2561="ANNULE")),"Clôturé sans suite","En cours")))</f>
        <v/>
      </c>
      <c r="N2561">
        <f>IF(ISBLANK('ENGAGEMENTS 2026'!C2561),"",'ENGAGEMENTS 2026'!L2561)</f>
        <v/>
      </c>
      <c r="O2561">
        <f>IF(ISBLANK('ENGAGEMENTS 2026'!C2561),"",'ENGAGEMENTS 2026'!M2561)</f>
        <v/>
      </c>
      <c r="P2561">
        <f>IF(ISBLANK('ENGAGEMENTS 2026'!C2561),"",'ENGAGEMENTS 2026'!K2561)</f>
        <v/>
      </c>
      <c r="Q2561">
        <f>IF($A2561="","",IF(OR($E2561="INFRUCTUEUX",$E2561="ANNULE"),$A2561&amp;"|"&amp;(COUNTIFS($A$2:$A2561,$A2561,$E$2:$E2561,"INFRUCTUEUX")+COUNTIFS($A$2:$A2561,$A2561,$E$2:$E2561,"ANNULE")),""))</f>
        <v/>
      </c>
    </row>
    <row r="2562">
      <c r="A2562">
        <f>IF(ISBLANK('ENGAGEMENTS 2026'!C2562),"",IF('ENGAGEMENTS 2026'!C2562="DTSI","DCT",'ENGAGEMENTS 2026'!C2562))</f>
        <v/>
      </c>
      <c r="B2562">
        <f>IF(ISBLANK('ENGAGEMENTS 2026'!C2562),"",'ENGAGEMENTS 2026'!D2562)</f>
        <v/>
      </c>
      <c r="C2562">
        <f>IF(ISBLANK('ENGAGEMENTS 2026'!C2562),"",'ENGAGEMENTS 2026'!E2562)</f>
        <v/>
      </c>
      <c r="D2562">
        <f>IF(ISBLANK('ENGAGEMENTS 2026'!C2562),"",'ENGAGEMENTS 2026'!G2562)</f>
        <v/>
      </c>
      <c r="E2562">
        <f>IF(ISBLANK('ENGAGEMENTS 2026'!C2562),"",'ENGAGEMENTS 2026'!I2562)</f>
        <v/>
      </c>
      <c r="F2562">
        <f>IF(ISBLANK('ENGAGEMENTS 2026'!C2562),"",'ENGAGEMENTS 2026'!J2562)</f>
        <v/>
      </c>
      <c r="G2562">
        <f>IF(ISBLANK('ENGAGEMENTS 2026'!C2562),"",'ENGAGEMENTS 2026'!M2562)</f>
        <v/>
      </c>
      <c r="H2562">
        <f>IF(ISBLANK('ENGAGEMENTS 2026'!C2562),"",'ENGAGEMENTS 2026'!AF2562)</f>
        <v/>
      </c>
      <c r="I2562">
        <f>IF(ISBLANK('ENGAGEMENTS 2026'!C2562),"",'ENGAGEMENTS 2026'!H2562)</f>
        <v/>
      </c>
      <c r="J2562" s="275">
        <f>IF(ISBLANK('ENGAGEMENTS 2026'!C2562),"",IF(AND(OR($E2562="INFRUCTUEUX",$E2562="ANNULE"),$C2562="AOO-M"),'ENGAGEMENTS 2026'!P2562,IF($H2562="EN COURS DE PREENGAGEMENT",'ENGAGEMENTS 2026'!O2562,IF($H2562="PREENGAGE",IF($E2562="ATTRIBUE",'ENGAGEMENTS 2026'!AE2562,'ENGAGEMENTS 2026'!O2562),'ENGAGEMENTS 2026'!AE2562))))</f>
        <v/>
      </c>
      <c r="K2562" s="604">
        <f>IF(ISBLANK('ENGAGEMENTS 2026'!W2562),"",'ENGAGEMENTS 2026'!W2562)</f>
        <v/>
      </c>
      <c r="L2562" s="276">
        <f>IF($K2562="","",TODAY()-$K2562)</f>
        <v/>
      </c>
      <c r="M2562">
        <f>IF($A2562="","",IF($H2562="ENGAGE","Engagé",IF(AND($H2562="NON ENGAGE",OR($I2562="INFRUCTUEUX",$I2562="ANNULE")),"Clôturé sans suite","En cours")))</f>
        <v/>
      </c>
      <c r="N2562">
        <f>IF(ISBLANK('ENGAGEMENTS 2026'!C2562),"",'ENGAGEMENTS 2026'!L2562)</f>
        <v/>
      </c>
      <c r="O2562">
        <f>IF(ISBLANK('ENGAGEMENTS 2026'!C2562),"",'ENGAGEMENTS 2026'!M2562)</f>
        <v/>
      </c>
      <c r="P2562">
        <f>IF(ISBLANK('ENGAGEMENTS 2026'!C2562),"",'ENGAGEMENTS 2026'!K2562)</f>
        <v/>
      </c>
      <c r="Q2562">
        <f>IF($A2562="","",IF(OR($E2562="INFRUCTUEUX",$E2562="ANNULE"),$A2562&amp;"|"&amp;(COUNTIFS($A$2:$A2562,$A2562,$E$2:$E2562,"INFRUCTUEUX")+COUNTIFS($A$2:$A2562,$A2562,$E$2:$E2562,"ANNULE")),""))</f>
        <v/>
      </c>
    </row>
    <row r="2563">
      <c r="A2563">
        <f>IF(ISBLANK('ENGAGEMENTS 2026'!C2563),"",IF('ENGAGEMENTS 2026'!C2563="DTSI","DCT",'ENGAGEMENTS 2026'!C2563))</f>
        <v/>
      </c>
      <c r="B2563">
        <f>IF(ISBLANK('ENGAGEMENTS 2026'!C2563),"",'ENGAGEMENTS 2026'!D2563)</f>
        <v/>
      </c>
      <c r="C2563">
        <f>IF(ISBLANK('ENGAGEMENTS 2026'!C2563),"",'ENGAGEMENTS 2026'!E2563)</f>
        <v/>
      </c>
      <c r="D2563">
        <f>IF(ISBLANK('ENGAGEMENTS 2026'!C2563),"",'ENGAGEMENTS 2026'!G2563)</f>
        <v/>
      </c>
      <c r="E2563">
        <f>IF(ISBLANK('ENGAGEMENTS 2026'!C2563),"",'ENGAGEMENTS 2026'!I2563)</f>
        <v/>
      </c>
      <c r="F2563">
        <f>IF(ISBLANK('ENGAGEMENTS 2026'!C2563),"",'ENGAGEMENTS 2026'!J2563)</f>
        <v/>
      </c>
      <c r="G2563">
        <f>IF(ISBLANK('ENGAGEMENTS 2026'!C2563),"",'ENGAGEMENTS 2026'!M2563)</f>
        <v/>
      </c>
      <c r="H2563">
        <f>IF(ISBLANK('ENGAGEMENTS 2026'!C2563),"",'ENGAGEMENTS 2026'!AF2563)</f>
        <v/>
      </c>
      <c r="I2563">
        <f>IF(ISBLANK('ENGAGEMENTS 2026'!C2563),"",'ENGAGEMENTS 2026'!H2563)</f>
        <v/>
      </c>
      <c r="J2563" s="275">
        <f>IF(ISBLANK('ENGAGEMENTS 2026'!C2563),"",IF(AND(OR($E2563="INFRUCTUEUX",$E2563="ANNULE"),$C2563="AOO-M"),'ENGAGEMENTS 2026'!P2563,IF($H2563="EN COURS DE PREENGAGEMENT",'ENGAGEMENTS 2026'!O2563,IF($H2563="PREENGAGE",IF($E2563="ATTRIBUE",'ENGAGEMENTS 2026'!AE2563,'ENGAGEMENTS 2026'!O2563),'ENGAGEMENTS 2026'!AE2563))))</f>
        <v/>
      </c>
      <c r="K2563" s="604">
        <f>IF(ISBLANK('ENGAGEMENTS 2026'!W2563),"",'ENGAGEMENTS 2026'!W2563)</f>
        <v/>
      </c>
      <c r="L2563" s="276">
        <f>IF($K2563="","",TODAY()-$K2563)</f>
        <v/>
      </c>
      <c r="M2563">
        <f>IF($A2563="","",IF($H2563="ENGAGE","Engagé",IF(AND($H2563="NON ENGAGE",OR($I2563="INFRUCTUEUX",$I2563="ANNULE")),"Clôturé sans suite","En cours")))</f>
        <v/>
      </c>
      <c r="N2563">
        <f>IF(ISBLANK('ENGAGEMENTS 2026'!C2563),"",'ENGAGEMENTS 2026'!L2563)</f>
        <v/>
      </c>
      <c r="O2563">
        <f>IF(ISBLANK('ENGAGEMENTS 2026'!C2563),"",'ENGAGEMENTS 2026'!M2563)</f>
        <v/>
      </c>
      <c r="P2563">
        <f>IF(ISBLANK('ENGAGEMENTS 2026'!C2563),"",'ENGAGEMENTS 2026'!K2563)</f>
        <v/>
      </c>
      <c r="Q2563">
        <f>IF($A2563="","",IF(OR($E2563="INFRUCTUEUX",$E2563="ANNULE"),$A2563&amp;"|"&amp;(COUNTIFS($A$2:$A2563,$A2563,$E$2:$E2563,"INFRUCTUEUX")+COUNTIFS($A$2:$A2563,$A2563,$E$2:$E2563,"ANNULE")),""))</f>
        <v/>
      </c>
    </row>
    <row r="2564">
      <c r="A2564">
        <f>IF(ISBLANK('ENGAGEMENTS 2026'!C2564),"",IF('ENGAGEMENTS 2026'!C2564="DTSI","DCT",'ENGAGEMENTS 2026'!C2564))</f>
        <v/>
      </c>
      <c r="B2564">
        <f>IF(ISBLANK('ENGAGEMENTS 2026'!C2564),"",'ENGAGEMENTS 2026'!D2564)</f>
        <v/>
      </c>
      <c r="C2564">
        <f>IF(ISBLANK('ENGAGEMENTS 2026'!C2564),"",'ENGAGEMENTS 2026'!E2564)</f>
        <v/>
      </c>
      <c r="D2564">
        <f>IF(ISBLANK('ENGAGEMENTS 2026'!C2564),"",'ENGAGEMENTS 2026'!G2564)</f>
        <v/>
      </c>
      <c r="E2564">
        <f>IF(ISBLANK('ENGAGEMENTS 2026'!C2564),"",'ENGAGEMENTS 2026'!I2564)</f>
        <v/>
      </c>
      <c r="F2564">
        <f>IF(ISBLANK('ENGAGEMENTS 2026'!C2564),"",'ENGAGEMENTS 2026'!J2564)</f>
        <v/>
      </c>
      <c r="G2564">
        <f>IF(ISBLANK('ENGAGEMENTS 2026'!C2564),"",'ENGAGEMENTS 2026'!M2564)</f>
        <v/>
      </c>
      <c r="H2564">
        <f>IF(ISBLANK('ENGAGEMENTS 2026'!C2564),"",'ENGAGEMENTS 2026'!AF2564)</f>
        <v/>
      </c>
      <c r="I2564">
        <f>IF(ISBLANK('ENGAGEMENTS 2026'!C2564),"",'ENGAGEMENTS 2026'!H2564)</f>
        <v/>
      </c>
      <c r="J2564" s="275">
        <f>IF(ISBLANK('ENGAGEMENTS 2026'!C2564),"",IF(AND(OR($E2564="INFRUCTUEUX",$E2564="ANNULE"),$C2564="AOO-M"),'ENGAGEMENTS 2026'!P2564,IF($H2564="EN COURS DE PREENGAGEMENT",'ENGAGEMENTS 2026'!O2564,IF($H2564="PREENGAGE",IF($E2564="ATTRIBUE",'ENGAGEMENTS 2026'!AE2564,'ENGAGEMENTS 2026'!O2564),'ENGAGEMENTS 2026'!AE2564))))</f>
        <v/>
      </c>
      <c r="K2564" s="604">
        <f>IF(ISBLANK('ENGAGEMENTS 2026'!W2564),"",'ENGAGEMENTS 2026'!W2564)</f>
        <v/>
      </c>
      <c r="L2564" s="276">
        <f>IF($K2564="","",TODAY()-$K2564)</f>
        <v/>
      </c>
      <c r="M2564">
        <f>IF($A2564="","",IF($H2564="ENGAGE","Engagé",IF(AND($H2564="NON ENGAGE",OR($I2564="INFRUCTUEUX",$I2564="ANNULE")),"Clôturé sans suite","En cours")))</f>
        <v/>
      </c>
      <c r="N2564">
        <f>IF(ISBLANK('ENGAGEMENTS 2026'!C2564),"",'ENGAGEMENTS 2026'!L2564)</f>
        <v/>
      </c>
      <c r="O2564">
        <f>IF(ISBLANK('ENGAGEMENTS 2026'!C2564),"",'ENGAGEMENTS 2026'!M2564)</f>
        <v/>
      </c>
      <c r="P2564">
        <f>IF(ISBLANK('ENGAGEMENTS 2026'!C2564),"",'ENGAGEMENTS 2026'!K2564)</f>
        <v/>
      </c>
      <c r="Q2564">
        <f>IF($A2564="","",IF(OR($E2564="INFRUCTUEUX",$E2564="ANNULE"),$A2564&amp;"|"&amp;(COUNTIFS($A$2:$A2564,$A2564,$E$2:$E2564,"INFRUCTUEUX")+COUNTIFS($A$2:$A2564,$A2564,$E$2:$E2564,"ANNULE")),""))</f>
        <v/>
      </c>
    </row>
    <row r="2565">
      <c r="A2565">
        <f>IF(ISBLANK('ENGAGEMENTS 2026'!C2565),"",IF('ENGAGEMENTS 2026'!C2565="DTSI","DCT",'ENGAGEMENTS 2026'!C2565))</f>
        <v/>
      </c>
      <c r="B2565">
        <f>IF(ISBLANK('ENGAGEMENTS 2026'!C2565),"",'ENGAGEMENTS 2026'!D2565)</f>
        <v/>
      </c>
      <c r="C2565">
        <f>IF(ISBLANK('ENGAGEMENTS 2026'!C2565),"",'ENGAGEMENTS 2026'!E2565)</f>
        <v/>
      </c>
      <c r="D2565">
        <f>IF(ISBLANK('ENGAGEMENTS 2026'!C2565),"",'ENGAGEMENTS 2026'!G2565)</f>
        <v/>
      </c>
      <c r="E2565">
        <f>IF(ISBLANK('ENGAGEMENTS 2026'!C2565),"",'ENGAGEMENTS 2026'!I2565)</f>
        <v/>
      </c>
      <c r="F2565">
        <f>IF(ISBLANK('ENGAGEMENTS 2026'!C2565),"",'ENGAGEMENTS 2026'!J2565)</f>
        <v/>
      </c>
      <c r="G2565">
        <f>IF(ISBLANK('ENGAGEMENTS 2026'!C2565),"",'ENGAGEMENTS 2026'!M2565)</f>
        <v/>
      </c>
      <c r="H2565">
        <f>IF(ISBLANK('ENGAGEMENTS 2026'!C2565),"",'ENGAGEMENTS 2026'!AF2565)</f>
        <v/>
      </c>
      <c r="I2565">
        <f>IF(ISBLANK('ENGAGEMENTS 2026'!C2565),"",'ENGAGEMENTS 2026'!H2565)</f>
        <v/>
      </c>
      <c r="J2565" s="275">
        <f>IF(ISBLANK('ENGAGEMENTS 2026'!C2565),"",IF(AND(OR($E2565="INFRUCTUEUX",$E2565="ANNULE"),$C2565="AOO-M"),'ENGAGEMENTS 2026'!P2565,IF($H2565="EN COURS DE PREENGAGEMENT",'ENGAGEMENTS 2026'!O2565,IF($H2565="PREENGAGE",IF($E2565="ATTRIBUE",'ENGAGEMENTS 2026'!AE2565,'ENGAGEMENTS 2026'!O2565),'ENGAGEMENTS 2026'!AE2565))))</f>
        <v/>
      </c>
      <c r="K2565" s="604">
        <f>IF(ISBLANK('ENGAGEMENTS 2026'!W2565),"",'ENGAGEMENTS 2026'!W2565)</f>
        <v/>
      </c>
      <c r="L2565" s="276">
        <f>IF($K2565="","",TODAY()-$K2565)</f>
        <v/>
      </c>
      <c r="M2565">
        <f>IF($A2565="","",IF($H2565="ENGAGE","Engagé",IF(AND($H2565="NON ENGAGE",OR($I2565="INFRUCTUEUX",$I2565="ANNULE")),"Clôturé sans suite","En cours")))</f>
        <v/>
      </c>
      <c r="N2565">
        <f>IF(ISBLANK('ENGAGEMENTS 2026'!C2565),"",'ENGAGEMENTS 2026'!L2565)</f>
        <v/>
      </c>
      <c r="O2565">
        <f>IF(ISBLANK('ENGAGEMENTS 2026'!C2565),"",'ENGAGEMENTS 2026'!M2565)</f>
        <v/>
      </c>
      <c r="P2565">
        <f>IF(ISBLANK('ENGAGEMENTS 2026'!C2565),"",'ENGAGEMENTS 2026'!K2565)</f>
        <v/>
      </c>
      <c r="Q2565">
        <f>IF($A2565="","",IF(OR($E2565="INFRUCTUEUX",$E2565="ANNULE"),$A2565&amp;"|"&amp;(COUNTIFS($A$2:$A2565,$A2565,$E$2:$E2565,"INFRUCTUEUX")+COUNTIFS($A$2:$A2565,$A2565,$E$2:$E2565,"ANNULE")),""))</f>
        <v/>
      </c>
    </row>
    <row r="2566">
      <c r="A2566">
        <f>IF(ISBLANK('ENGAGEMENTS 2026'!C2566),"",IF('ENGAGEMENTS 2026'!C2566="DTSI","DCT",'ENGAGEMENTS 2026'!C2566))</f>
        <v/>
      </c>
      <c r="B2566">
        <f>IF(ISBLANK('ENGAGEMENTS 2026'!C2566),"",'ENGAGEMENTS 2026'!D2566)</f>
        <v/>
      </c>
      <c r="C2566">
        <f>IF(ISBLANK('ENGAGEMENTS 2026'!C2566),"",'ENGAGEMENTS 2026'!E2566)</f>
        <v/>
      </c>
      <c r="D2566">
        <f>IF(ISBLANK('ENGAGEMENTS 2026'!C2566),"",'ENGAGEMENTS 2026'!G2566)</f>
        <v/>
      </c>
      <c r="E2566">
        <f>IF(ISBLANK('ENGAGEMENTS 2026'!C2566),"",'ENGAGEMENTS 2026'!I2566)</f>
        <v/>
      </c>
      <c r="F2566">
        <f>IF(ISBLANK('ENGAGEMENTS 2026'!C2566),"",'ENGAGEMENTS 2026'!J2566)</f>
        <v/>
      </c>
      <c r="G2566">
        <f>IF(ISBLANK('ENGAGEMENTS 2026'!C2566),"",'ENGAGEMENTS 2026'!M2566)</f>
        <v/>
      </c>
      <c r="H2566">
        <f>IF(ISBLANK('ENGAGEMENTS 2026'!C2566),"",'ENGAGEMENTS 2026'!AF2566)</f>
        <v/>
      </c>
      <c r="I2566">
        <f>IF(ISBLANK('ENGAGEMENTS 2026'!C2566),"",'ENGAGEMENTS 2026'!H2566)</f>
        <v/>
      </c>
      <c r="J2566" s="275">
        <f>IF(ISBLANK('ENGAGEMENTS 2026'!C2566),"",IF(AND(OR($E2566="INFRUCTUEUX",$E2566="ANNULE"),$C2566="AOO-M"),'ENGAGEMENTS 2026'!P2566,IF($H2566="EN COURS DE PREENGAGEMENT",'ENGAGEMENTS 2026'!O2566,IF($H2566="PREENGAGE",IF($E2566="ATTRIBUE",'ENGAGEMENTS 2026'!AE2566,'ENGAGEMENTS 2026'!O2566),'ENGAGEMENTS 2026'!AE2566))))</f>
        <v/>
      </c>
      <c r="K2566" s="604">
        <f>IF(ISBLANK('ENGAGEMENTS 2026'!W2566),"",'ENGAGEMENTS 2026'!W2566)</f>
        <v/>
      </c>
      <c r="L2566" s="276">
        <f>IF($K2566="","",TODAY()-$K2566)</f>
        <v/>
      </c>
      <c r="M2566">
        <f>IF($A2566="","",IF($H2566="ENGAGE","Engagé",IF(AND($H2566="NON ENGAGE",OR($I2566="INFRUCTUEUX",$I2566="ANNULE")),"Clôturé sans suite","En cours")))</f>
        <v/>
      </c>
      <c r="N2566">
        <f>IF(ISBLANK('ENGAGEMENTS 2026'!C2566),"",'ENGAGEMENTS 2026'!L2566)</f>
        <v/>
      </c>
      <c r="O2566">
        <f>IF(ISBLANK('ENGAGEMENTS 2026'!C2566),"",'ENGAGEMENTS 2026'!M2566)</f>
        <v/>
      </c>
      <c r="P2566">
        <f>IF(ISBLANK('ENGAGEMENTS 2026'!C2566),"",'ENGAGEMENTS 2026'!K2566)</f>
        <v/>
      </c>
      <c r="Q2566">
        <f>IF($A2566="","",IF(OR($E2566="INFRUCTUEUX",$E2566="ANNULE"),$A2566&amp;"|"&amp;(COUNTIFS($A$2:$A2566,$A2566,$E$2:$E2566,"INFRUCTUEUX")+COUNTIFS($A$2:$A2566,$A2566,$E$2:$E2566,"ANNULE")),""))</f>
        <v/>
      </c>
    </row>
    <row r="2567">
      <c r="A2567">
        <f>IF(ISBLANK('ENGAGEMENTS 2026'!C2567),"",IF('ENGAGEMENTS 2026'!C2567="DTSI","DCT",'ENGAGEMENTS 2026'!C2567))</f>
        <v/>
      </c>
      <c r="B2567">
        <f>IF(ISBLANK('ENGAGEMENTS 2026'!C2567),"",'ENGAGEMENTS 2026'!D2567)</f>
        <v/>
      </c>
      <c r="C2567">
        <f>IF(ISBLANK('ENGAGEMENTS 2026'!C2567),"",'ENGAGEMENTS 2026'!E2567)</f>
        <v/>
      </c>
      <c r="D2567">
        <f>IF(ISBLANK('ENGAGEMENTS 2026'!C2567),"",'ENGAGEMENTS 2026'!G2567)</f>
        <v/>
      </c>
      <c r="E2567">
        <f>IF(ISBLANK('ENGAGEMENTS 2026'!C2567),"",'ENGAGEMENTS 2026'!I2567)</f>
        <v/>
      </c>
      <c r="F2567">
        <f>IF(ISBLANK('ENGAGEMENTS 2026'!C2567),"",'ENGAGEMENTS 2026'!J2567)</f>
        <v/>
      </c>
      <c r="G2567">
        <f>IF(ISBLANK('ENGAGEMENTS 2026'!C2567),"",'ENGAGEMENTS 2026'!M2567)</f>
        <v/>
      </c>
      <c r="H2567">
        <f>IF(ISBLANK('ENGAGEMENTS 2026'!C2567),"",'ENGAGEMENTS 2026'!AF2567)</f>
        <v/>
      </c>
      <c r="I2567">
        <f>IF(ISBLANK('ENGAGEMENTS 2026'!C2567),"",'ENGAGEMENTS 2026'!H2567)</f>
        <v/>
      </c>
      <c r="J2567" s="275">
        <f>IF(ISBLANK('ENGAGEMENTS 2026'!C2567),"",IF(AND(OR($E2567="INFRUCTUEUX",$E2567="ANNULE"),$C2567="AOO-M"),'ENGAGEMENTS 2026'!P2567,IF($H2567="EN COURS DE PREENGAGEMENT",'ENGAGEMENTS 2026'!O2567,IF($H2567="PREENGAGE",IF($E2567="ATTRIBUE",'ENGAGEMENTS 2026'!AE2567,'ENGAGEMENTS 2026'!O2567),'ENGAGEMENTS 2026'!AE2567))))</f>
        <v/>
      </c>
      <c r="K2567" s="604">
        <f>IF(ISBLANK('ENGAGEMENTS 2026'!W2567),"",'ENGAGEMENTS 2026'!W2567)</f>
        <v/>
      </c>
      <c r="L2567" s="276">
        <f>IF($K2567="","",TODAY()-$K2567)</f>
        <v/>
      </c>
      <c r="M2567">
        <f>IF($A2567="","",IF($H2567="ENGAGE","Engagé",IF(AND($H2567="NON ENGAGE",OR($I2567="INFRUCTUEUX",$I2567="ANNULE")),"Clôturé sans suite","En cours")))</f>
        <v/>
      </c>
      <c r="N2567">
        <f>IF(ISBLANK('ENGAGEMENTS 2026'!C2567),"",'ENGAGEMENTS 2026'!L2567)</f>
        <v/>
      </c>
      <c r="O2567">
        <f>IF(ISBLANK('ENGAGEMENTS 2026'!C2567),"",'ENGAGEMENTS 2026'!M2567)</f>
        <v/>
      </c>
      <c r="P2567">
        <f>IF(ISBLANK('ENGAGEMENTS 2026'!C2567),"",'ENGAGEMENTS 2026'!K2567)</f>
        <v/>
      </c>
      <c r="Q2567">
        <f>IF($A2567="","",IF(OR($E2567="INFRUCTUEUX",$E2567="ANNULE"),$A2567&amp;"|"&amp;(COUNTIFS($A$2:$A2567,$A2567,$E$2:$E2567,"INFRUCTUEUX")+COUNTIFS($A$2:$A2567,$A2567,$E$2:$E2567,"ANNULE")),""))</f>
        <v/>
      </c>
    </row>
    <row r="2568">
      <c r="A2568">
        <f>IF(ISBLANK('ENGAGEMENTS 2026'!C2568),"",IF('ENGAGEMENTS 2026'!C2568="DTSI","DCT",'ENGAGEMENTS 2026'!C2568))</f>
        <v/>
      </c>
      <c r="B2568">
        <f>IF(ISBLANK('ENGAGEMENTS 2026'!C2568),"",'ENGAGEMENTS 2026'!D2568)</f>
        <v/>
      </c>
      <c r="C2568">
        <f>IF(ISBLANK('ENGAGEMENTS 2026'!C2568),"",'ENGAGEMENTS 2026'!E2568)</f>
        <v/>
      </c>
      <c r="D2568">
        <f>IF(ISBLANK('ENGAGEMENTS 2026'!C2568),"",'ENGAGEMENTS 2026'!G2568)</f>
        <v/>
      </c>
      <c r="E2568">
        <f>IF(ISBLANK('ENGAGEMENTS 2026'!C2568),"",'ENGAGEMENTS 2026'!I2568)</f>
        <v/>
      </c>
      <c r="F2568">
        <f>IF(ISBLANK('ENGAGEMENTS 2026'!C2568),"",'ENGAGEMENTS 2026'!J2568)</f>
        <v/>
      </c>
      <c r="G2568">
        <f>IF(ISBLANK('ENGAGEMENTS 2026'!C2568),"",'ENGAGEMENTS 2026'!M2568)</f>
        <v/>
      </c>
      <c r="H2568">
        <f>IF(ISBLANK('ENGAGEMENTS 2026'!C2568),"",'ENGAGEMENTS 2026'!AF2568)</f>
        <v/>
      </c>
      <c r="I2568">
        <f>IF(ISBLANK('ENGAGEMENTS 2026'!C2568),"",'ENGAGEMENTS 2026'!H2568)</f>
        <v/>
      </c>
      <c r="J2568" s="275">
        <f>IF(ISBLANK('ENGAGEMENTS 2026'!C2568),"",IF(AND(OR($E2568="INFRUCTUEUX",$E2568="ANNULE"),$C2568="AOO-M"),'ENGAGEMENTS 2026'!P2568,IF($H2568="EN COURS DE PREENGAGEMENT",'ENGAGEMENTS 2026'!O2568,IF($H2568="PREENGAGE",IF($E2568="ATTRIBUE",'ENGAGEMENTS 2026'!AE2568,'ENGAGEMENTS 2026'!O2568),'ENGAGEMENTS 2026'!AE2568))))</f>
        <v/>
      </c>
      <c r="K2568" s="604">
        <f>IF(ISBLANK('ENGAGEMENTS 2026'!W2568),"",'ENGAGEMENTS 2026'!W2568)</f>
        <v/>
      </c>
      <c r="L2568" s="276">
        <f>IF($K2568="","",TODAY()-$K2568)</f>
        <v/>
      </c>
      <c r="M2568">
        <f>IF($A2568="","",IF($H2568="ENGAGE","Engagé",IF(AND($H2568="NON ENGAGE",OR($I2568="INFRUCTUEUX",$I2568="ANNULE")),"Clôturé sans suite","En cours")))</f>
        <v/>
      </c>
      <c r="N2568">
        <f>IF(ISBLANK('ENGAGEMENTS 2026'!C2568),"",'ENGAGEMENTS 2026'!L2568)</f>
        <v/>
      </c>
      <c r="O2568">
        <f>IF(ISBLANK('ENGAGEMENTS 2026'!C2568),"",'ENGAGEMENTS 2026'!M2568)</f>
        <v/>
      </c>
      <c r="P2568">
        <f>IF(ISBLANK('ENGAGEMENTS 2026'!C2568),"",'ENGAGEMENTS 2026'!K2568)</f>
        <v/>
      </c>
      <c r="Q2568">
        <f>IF($A2568="","",IF(OR($E2568="INFRUCTUEUX",$E2568="ANNULE"),$A2568&amp;"|"&amp;(COUNTIFS($A$2:$A2568,$A2568,$E$2:$E2568,"INFRUCTUEUX")+COUNTIFS($A$2:$A2568,$A2568,$E$2:$E2568,"ANNULE")),""))</f>
        <v/>
      </c>
    </row>
    <row r="2569">
      <c r="A2569">
        <f>IF(ISBLANK('ENGAGEMENTS 2026'!C2569),"",IF('ENGAGEMENTS 2026'!C2569="DTSI","DCT",'ENGAGEMENTS 2026'!C2569))</f>
        <v/>
      </c>
      <c r="B2569">
        <f>IF(ISBLANK('ENGAGEMENTS 2026'!C2569),"",'ENGAGEMENTS 2026'!D2569)</f>
        <v/>
      </c>
      <c r="C2569">
        <f>IF(ISBLANK('ENGAGEMENTS 2026'!C2569),"",'ENGAGEMENTS 2026'!E2569)</f>
        <v/>
      </c>
      <c r="D2569">
        <f>IF(ISBLANK('ENGAGEMENTS 2026'!C2569),"",'ENGAGEMENTS 2026'!G2569)</f>
        <v/>
      </c>
      <c r="E2569">
        <f>IF(ISBLANK('ENGAGEMENTS 2026'!C2569),"",'ENGAGEMENTS 2026'!I2569)</f>
        <v/>
      </c>
      <c r="F2569">
        <f>IF(ISBLANK('ENGAGEMENTS 2026'!C2569),"",'ENGAGEMENTS 2026'!J2569)</f>
        <v/>
      </c>
      <c r="G2569">
        <f>IF(ISBLANK('ENGAGEMENTS 2026'!C2569),"",'ENGAGEMENTS 2026'!M2569)</f>
        <v/>
      </c>
      <c r="H2569">
        <f>IF(ISBLANK('ENGAGEMENTS 2026'!C2569),"",'ENGAGEMENTS 2026'!AF2569)</f>
        <v/>
      </c>
      <c r="I2569">
        <f>IF(ISBLANK('ENGAGEMENTS 2026'!C2569),"",'ENGAGEMENTS 2026'!H2569)</f>
        <v/>
      </c>
      <c r="J2569" s="275">
        <f>IF(ISBLANK('ENGAGEMENTS 2026'!C2569),"",IF(AND(OR($E2569="INFRUCTUEUX",$E2569="ANNULE"),$C2569="AOO-M"),'ENGAGEMENTS 2026'!P2569,IF($H2569="EN COURS DE PREENGAGEMENT",'ENGAGEMENTS 2026'!O2569,IF($H2569="PREENGAGE",IF($E2569="ATTRIBUE",'ENGAGEMENTS 2026'!AE2569,'ENGAGEMENTS 2026'!O2569),'ENGAGEMENTS 2026'!AE2569))))</f>
        <v/>
      </c>
      <c r="K2569" s="604">
        <f>IF(ISBLANK('ENGAGEMENTS 2026'!W2569),"",'ENGAGEMENTS 2026'!W2569)</f>
        <v/>
      </c>
      <c r="L2569" s="276">
        <f>IF($K2569="","",TODAY()-$K2569)</f>
        <v/>
      </c>
      <c r="M2569">
        <f>IF($A2569="","",IF($H2569="ENGAGE","Engagé",IF(AND($H2569="NON ENGAGE",OR($I2569="INFRUCTUEUX",$I2569="ANNULE")),"Clôturé sans suite","En cours")))</f>
        <v/>
      </c>
      <c r="N2569">
        <f>IF(ISBLANK('ENGAGEMENTS 2026'!C2569),"",'ENGAGEMENTS 2026'!L2569)</f>
        <v/>
      </c>
      <c r="O2569">
        <f>IF(ISBLANK('ENGAGEMENTS 2026'!C2569),"",'ENGAGEMENTS 2026'!M2569)</f>
        <v/>
      </c>
      <c r="P2569">
        <f>IF(ISBLANK('ENGAGEMENTS 2026'!C2569),"",'ENGAGEMENTS 2026'!K2569)</f>
        <v/>
      </c>
      <c r="Q2569">
        <f>IF($A2569="","",IF(OR($E2569="INFRUCTUEUX",$E2569="ANNULE"),$A2569&amp;"|"&amp;(COUNTIFS($A$2:$A2569,$A2569,$E$2:$E2569,"INFRUCTUEUX")+COUNTIFS($A$2:$A2569,$A2569,$E$2:$E2569,"ANNULE")),""))</f>
        <v/>
      </c>
    </row>
    <row r="2570">
      <c r="A2570">
        <f>IF(ISBLANK('ENGAGEMENTS 2026'!C2570),"",IF('ENGAGEMENTS 2026'!C2570="DTSI","DCT",'ENGAGEMENTS 2026'!C2570))</f>
        <v/>
      </c>
      <c r="B2570">
        <f>IF(ISBLANK('ENGAGEMENTS 2026'!C2570),"",'ENGAGEMENTS 2026'!D2570)</f>
        <v/>
      </c>
      <c r="C2570">
        <f>IF(ISBLANK('ENGAGEMENTS 2026'!C2570),"",'ENGAGEMENTS 2026'!E2570)</f>
        <v/>
      </c>
      <c r="D2570">
        <f>IF(ISBLANK('ENGAGEMENTS 2026'!C2570),"",'ENGAGEMENTS 2026'!G2570)</f>
        <v/>
      </c>
      <c r="E2570">
        <f>IF(ISBLANK('ENGAGEMENTS 2026'!C2570),"",'ENGAGEMENTS 2026'!I2570)</f>
        <v/>
      </c>
      <c r="F2570">
        <f>IF(ISBLANK('ENGAGEMENTS 2026'!C2570),"",'ENGAGEMENTS 2026'!J2570)</f>
        <v/>
      </c>
      <c r="G2570">
        <f>IF(ISBLANK('ENGAGEMENTS 2026'!C2570),"",'ENGAGEMENTS 2026'!M2570)</f>
        <v/>
      </c>
      <c r="H2570">
        <f>IF(ISBLANK('ENGAGEMENTS 2026'!C2570),"",'ENGAGEMENTS 2026'!AF2570)</f>
        <v/>
      </c>
      <c r="I2570">
        <f>IF(ISBLANK('ENGAGEMENTS 2026'!C2570),"",'ENGAGEMENTS 2026'!H2570)</f>
        <v/>
      </c>
      <c r="J2570" s="275">
        <f>IF(ISBLANK('ENGAGEMENTS 2026'!C2570),"",IF(AND(OR($E2570="INFRUCTUEUX",$E2570="ANNULE"),$C2570="AOO-M"),'ENGAGEMENTS 2026'!P2570,IF($H2570="EN COURS DE PREENGAGEMENT",'ENGAGEMENTS 2026'!O2570,IF($H2570="PREENGAGE",IF($E2570="ATTRIBUE",'ENGAGEMENTS 2026'!AE2570,'ENGAGEMENTS 2026'!O2570),'ENGAGEMENTS 2026'!AE2570))))</f>
        <v/>
      </c>
      <c r="K2570" s="604">
        <f>IF(ISBLANK('ENGAGEMENTS 2026'!W2570),"",'ENGAGEMENTS 2026'!W2570)</f>
        <v/>
      </c>
      <c r="L2570" s="276">
        <f>IF($K2570="","",TODAY()-$K2570)</f>
        <v/>
      </c>
      <c r="M2570">
        <f>IF($A2570="","",IF($H2570="ENGAGE","Engagé",IF(AND($H2570="NON ENGAGE",OR($I2570="INFRUCTUEUX",$I2570="ANNULE")),"Clôturé sans suite","En cours")))</f>
        <v/>
      </c>
      <c r="N2570">
        <f>IF(ISBLANK('ENGAGEMENTS 2026'!C2570),"",'ENGAGEMENTS 2026'!L2570)</f>
        <v/>
      </c>
      <c r="O2570">
        <f>IF(ISBLANK('ENGAGEMENTS 2026'!C2570),"",'ENGAGEMENTS 2026'!M2570)</f>
        <v/>
      </c>
      <c r="P2570">
        <f>IF(ISBLANK('ENGAGEMENTS 2026'!C2570),"",'ENGAGEMENTS 2026'!K2570)</f>
        <v/>
      </c>
      <c r="Q2570">
        <f>IF($A2570="","",IF(OR($E2570="INFRUCTUEUX",$E2570="ANNULE"),$A2570&amp;"|"&amp;(COUNTIFS($A$2:$A2570,$A2570,$E$2:$E2570,"INFRUCTUEUX")+COUNTIFS($A$2:$A2570,$A2570,$E$2:$E2570,"ANNULE")),""))</f>
        <v/>
      </c>
    </row>
    <row r="2571">
      <c r="A2571">
        <f>IF(ISBLANK('ENGAGEMENTS 2026'!C2571),"",IF('ENGAGEMENTS 2026'!C2571="DTSI","DCT",'ENGAGEMENTS 2026'!C2571))</f>
        <v/>
      </c>
      <c r="B2571">
        <f>IF(ISBLANK('ENGAGEMENTS 2026'!C2571),"",'ENGAGEMENTS 2026'!D2571)</f>
        <v/>
      </c>
      <c r="C2571">
        <f>IF(ISBLANK('ENGAGEMENTS 2026'!C2571),"",'ENGAGEMENTS 2026'!E2571)</f>
        <v/>
      </c>
      <c r="D2571">
        <f>IF(ISBLANK('ENGAGEMENTS 2026'!C2571),"",'ENGAGEMENTS 2026'!G2571)</f>
        <v/>
      </c>
      <c r="E2571">
        <f>IF(ISBLANK('ENGAGEMENTS 2026'!C2571),"",'ENGAGEMENTS 2026'!I2571)</f>
        <v/>
      </c>
      <c r="F2571">
        <f>IF(ISBLANK('ENGAGEMENTS 2026'!C2571),"",'ENGAGEMENTS 2026'!J2571)</f>
        <v/>
      </c>
      <c r="G2571">
        <f>IF(ISBLANK('ENGAGEMENTS 2026'!C2571),"",'ENGAGEMENTS 2026'!M2571)</f>
        <v/>
      </c>
      <c r="H2571">
        <f>IF(ISBLANK('ENGAGEMENTS 2026'!C2571),"",'ENGAGEMENTS 2026'!AF2571)</f>
        <v/>
      </c>
      <c r="I2571">
        <f>IF(ISBLANK('ENGAGEMENTS 2026'!C2571),"",'ENGAGEMENTS 2026'!H2571)</f>
        <v/>
      </c>
      <c r="J2571" s="275">
        <f>IF(ISBLANK('ENGAGEMENTS 2026'!C2571),"",IF(AND(OR($E2571="INFRUCTUEUX",$E2571="ANNULE"),$C2571="AOO-M"),'ENGAGEMENTS 2026'!P2571,IF($H2571="EN COURS DE PREENGAGEMENT",'ENGAGEMENTS 2026'!O2571,IF($H2571="PREENGAGE",IF($E2571="ATTRIBUE",'ENGAGEMENTS 2026'!AE2571,'ENGAGEMENTS 2026'!O2571),'ENGAGEMENTS 2026'!AE2571))))</f>
        <v/>
      </c>
      <c r="K2571" s="604">
        <f>IF(ISBLANK('ENGAGEMENTS 2026'!W2571),"",'ENGAGEMENTS 2026'!W2571)</f>
        <v/>
      </c>
      <c r="L2571" s="276">
        <f>IF($K2571="","",TODAY()-$K2571)</f>
        <v/>
      </c>
      <c r="M2571">
        <f>IF($A2571="","",IF($H2571="ENGAGE","Engagé",IF(AND($H2571="NON ENGAGE",OR($I2571="INFRUCTUEUX",$I2571="ANNULE")),"Clôturé sans suite","En cours")))</f>
        <v/>
      </c>
      <c r="N2571">
        <f>IF(ISBLANK('ENGAGEMENTS 2026'!C2571),"",'ENGAGEMENTS 2026'!L2571)</f>
        <v/>
      </c>
      <c r="O2571">
        <f>IF(ISBLANK('ENGAGEMENTS 2026'!C2571),"",'ENGAGEMENTS 2026'!M2571)</f>
        <v/>
      </c>
      <c r="P2571">
        <f>IF(ISBLANK('ENGAGEMENTS 2026'!C2571),"",'ENGAGEMENTS 2026'!K2571)</f>
        <v/>
      </c>
      <c r="Q2571">
        <f>IF($A2571="","",IF(OR($E2571="INFRUCTUEUX",$E2571="ANNULE"),$A2571&amp;"|"&amp;(COUNTIFS($A$2:$A2571,$A2571,$E$2:$E2571,"INFRUCTUEUX")+COUNTIFS($A$2:$A2571,$A2571,$E$2:$E2571,"ANNULE")),""))</f>
        <v/>
      </c>
    </row>
    <row r="2572">
      <c r="A2572">
        <f>IF(ISBLANK('ENGAGEMENTS 2026'!C2572),"",IF('ENGAGEMENTS 2026'!C2572="DTSI","DCT",'ENGAGEMENTS 2026'!C2572))</f>
        <v/>
      </c>
      <c r="B2572">
        <f>IF(ISBLANK('ENGAGEMENTS 2026'!C2572),"",'ENGAGEMENTS 2026'!D2572)</f>
        <v/>
      </c>
      <c r="C2572">
        <f>IF(ISBLANK('ENGAGEMENTS 2026'!C2572),"",'ENGAGEMENTS 2026'!E2572)</f>
        <v/>
      </c>
      <c r="D2572">
        <f>IF(ISBLANK('ENGAGEMENTS 2026'!C2572),"",'ENGAGEMENTS 2026'!G2572)</f>
        <v/>
      </c>
      <c r="E2572">
        <f>IF(ISBLANK('ENGAGEMENTS 2026'!C2572),"",'ENGAGEMENTS 2026'!I2572)</f>
        <v/>
      </c>
      <c r="F2572">
        <f>IF(ISBLANK('ENGAGEMENTS 2026'!C2572),"",'ENGAGEMENTS 2026'!J2572)</f>
        <v/>
      </c>
      <c r="G2572">
        <f>IF(ISBLANK('ENGAGEMENTS 2026'!C2572),"",'ENGAGEMENTS 2026'!M2572)</f>
        <v/>
      </c>
      <c r="H2572">
        <f>IF(ISBLANK('ENGAGEMENTS 2026'!C2572),"",'ENGAGEMENTS 2026'!AF2572)</f>
        <v/>
      </c>
      <c r="I2572">
        <f>IF(ISBLANK('ENGAGEMENTS 2026'!C2572),"",'ENGAGEMENTS 2026'!H2572)</f>
        <v/>
      </c>
      <c r="J2572" s="275">
        <f>IF(ISBLANK('ENGAGEMENTS 2026'!C2572),"",IF(AND(OR($E2572="INFRUCTUEUX",$E2572="ANNULE"),$C2572="AOO-M"),'ENGAGEMENTS 2026'!P2572,IF($H2572="EN COURS DE PREENGAGEMENT",'ENGAGEMENTS 2026'!O2572,IF($H2572="PREENGAGE",IF($E2572="ATTRIBUE",'ENGAGEMENTS 2026'!AE2572,'ENGAGEMENTS 2026'!O2572),'ENGAGEMENTS 2026'!AE2572))))</f>
        <v/>
      </c>
      <c r="K2572" s="604">
        <f>IF(ISBLANK('ENGAGEMENTS 2026'!W2572),"",'ENGAGEMENTS 2026'!W2572)</f>
        <v/>
      </c>
      <c r="L2572" s="276">
        <f>IF($K2572="","",TODAY()-$K2572)</f>
        <v/>
      </c>
      <c r="M2572">
        <f>IF($A2572="","",IF($H2572="ENGAGE","Engagé",IF(AND($H2572="NON ENGAGE",OR($I2572="INFRUCTUEUX",$I2572="ANNULE")),"Clôturé sans suite","En cours")))</f>
        <v/>
      </c>
      <c r="N2572">
        <f>IF(ISBLANK('ENGAGEMENTS 2026'!C2572),"",'ENGAGEMENTS 2026'!L2572)</f>
        <v/>
      </c>
      <c r="O2572">
        <f>IF(ISBLANK('ENGAGEMENTS 2026'!C2572),"",'ENGAGEMENTS 2026'!M2572)</f>
        <v/>
      </c>
      <c r="P2572">
        <f>IF(ISBLANK('ENGAGEMENTS 2026'!C2572),"",'ENGAGEMENTS 2026'!K2572)</f>
        <v/>
      </c>
      <c r="Q2572">
        <f>IF($A2572="","",IF(OR($E2572="INFRUCTUEUX",$E2572="ANNULE"),$A2572&amp;"|"&amp;(COUNTIFS($A$2:$A2572,$A2572,$E$2:$E2572,"INFRUCTUEUX")+COUNTIFS($A$2:$A2572,$A2572,$E$2:$E2572,"ANNULE")),""))</f>
        <v/>
      </c>
    </row>
    <row r="2573">
      <c r="A2573">
        <f>IF(ISBLANK('ENGAGEMENTS 2026'!C2573),"",IF('ENGAGEMENTS 2026'!C2573="DTSI","DCT",'ENGAGEMENTS 2026'!C2573))</f>
        <v/>
      </c>
      <c r="B2573">
        <f>IF(ISBLANK('ENGAGEMENTS 2026'!C2573),"",'ENGAGEMENTS 2026'!D2573)</f>
        <v/>
      </c>
      <c r="C2573">
        <f>IF(ISBLANK('ENGAGEMENTS 2026'!C2573),"",'ENGAGEMENTS 2026'!E2573)</f>
        <v/>
      </c>
      <c r="D2573">
        <f>IF(ISBLANK('ENGAGEMENTS 2026'!C2573),"",'ENGAGEMENTS 2026'!G2573)</f>
        <v/>
      </c>
      <c r="E2573">
        <f>IF(ISBLANK('ENGAGEMENTS 2026'!C2573),"",'ENGAGEMENTS 2026'!I2573)</f>
        <v/>
      </c>
      <c r="F2573">
        <f>IF(ISBLANK('ENGAGEMENTS 2026'!C2573),"",'ENGAGEMENTS 2026'!J2573)</f>
        <v/>
      </c>
      <c r="G2573">
        <f>IF(ISBLANK('ENGAGEMENTS 2026'!C2573),"",'ENGAGEMENTS 2026'!M2573)</f>
        <v/>
      </c>
      <c r="H2573">
        <f>IF(ISBLANK('ENGAGEMENTS 2026'!C2573),"",'ENGAGEMENTS 2026'!AF2573)</f>
        <v/>
      </c>
      <c r="I2573">
        <f>IF(ISBLANK('ENGAGEMENTS 2026'!C2573),"",'ENGAGEMENTS 2026'!H2573)</f>
        <v/>
      </c>
      <c r="J2573" s="275">
        <f>IF(ISBLANK('ENGAGEMENTS 2026'!C2573),"",IF(AND(OR($E2573="INFRUCTUEUX",$E2573="ANNULE"),$C2573="AOO-M"),'ENGAGEMENTS 2026'!P2573,IF($H2573="EN COURS DE PREENGAGEMENT",'ENGAGEMENTS 2026'!O2573,IF($H2573="PREENGAGE",IF($E2573="ATTRIBUE",'ENGAGEMENTS 2026'!AE2573,'ENGAGEMENTS 2026'!O2573),'ENGAGEMENTS 2026'!AE2573))))</f>
        <v/>
      </c>
      <c r="K2573" s="604">
        <f>IF(ISBLANK('ENGAGEMENTS 2026'!W2573),"",'ENGAGEMENTS 2026'!W2573)</f>
        <v/>
      </c>
      <c r="L2573" s="276">
        <f>IF($K2573="","",TODAY()-$K2573)</f>
        <v/>
      </c>
      <c r="M2573">
        <f>IF($A2573="","",IF($H2573="ENGAGE","Engagé",IF(AND($H2573="NON ENGAGE",OR($I2573="INFRUCTUEUX",$I2573="ANNULE")),"Clôturé sans suite","En cours")))</f>
        <v/>
      </c>
      <c r="N2573">
        <f>IF(ISBLANK('ENGAGEMENTS 2026'!C2573),"",'ENGAGEMENTS 2026'!L2573)</f>
        <v/>
      </c>
      <c r="O2573">
        <f>IF(ISBLANK('ENGAGEMENTS 2026'!C2573),"",'ENGAGEMENTS 2026'!M2573)</f>
        <v/>
      </c>
      <c r="P2573">
        <f>IF(ISBLANK('ENGAGEMENTS 2026'!C2573),"",'ENGAGEMENTS 2026'!K2573)</f>
        <v/>
      </c>
      <c r="Q2573">
        <f>IF($A2573="","",IF(OR($E2573="INFRUCTUEUX",$E2573="ANNULE"),$A2573&amp;"|"&amp;(COUNTIFS($A$2:$A2573,$A2573,$E$2:$E2573,"INFRUCTUEUX")+COUNTIFS($A$2:$A2573,$A2573,$E$2:$E2573,"ANNULE")),""))</f>
        <v/>
      </c>
    </row>
    <row r="2574">
      <c r="A2574">
        <f>IF(ISBLANK('ENGAGEMENTS 2026'!C2574),"",IF('ENGAGEMENTS 2026'!C2574="DTSI","DCT",'ENGAGEMENTS 2026'!C2574))</f>
        <v/>
      </c>
      <c r="B2574">
        <f>IF(ISBLANK('ENGAGEMENTS 2026'!C2574),"",'ENGAGEMENTS 2026'!D2574)</f>
        <v/>
      </c>
      <c r="C2574">
        <f>IF(ISBLANK('ENGAGEMENTS 2026'!C2574),"",'ENGAGEMENTS 2026'!E2574)</f>
        <v/>
      </c>
      <c r="D2574">
        <f>IF(ISBLANK('ENGAGEMENTS 2026'!C2574),"",'ENGAGEMENTS 2026'!G2574)</f>
        <v/>
      </c>
      <c r="E2574">
        <f>IF(ISBLANK('ENGAGEMENTS 2026'!C2574),"",'ENGAGEMENTS 2026'!I2574)</f>
        <v/>
      </c>
      <c r="F2574">
        <f>IF(ISBLANK('ENGAGEMENTS 2026'!C2574),"",'ENGAGEMENTS 2026'!J2574)</f>
        <v/>
      </c>
      <c r="G2574">
        <f>IF(ISBLANK('ENGAGEMENTS 2026'!C2574),"",'ENGAGEMENTS 2026'!M2574)</f>
        <v/>
      </c>
      <c r="H2574">
        <f>IF(ISBLANK('ENGAGEMENTS 2026'!C2574),"",'ENGAGEMENTS 2026'!AF2574)</f>
        <v/>
      </c>
      <c r="I2574">
        <f>IF(ISBLANK('ENGAGEMENTS 2026'!C2574),"",'ENGAGEMENTS 2026'!H2574)</f>
        <v/>
      </c>
      <c r="J2574" s="275">
        <f>IF(ISBLANK('ENGAGEMENTS 2026'!C2574),"",IF(AND(OR($E2574="INFRUCTUEUX",$E2574="ANNULE"),$C2574="AOO-M"),'ENGAGEMENTS 2026'!P2574,IF($H2574="EN COURS DE PREENGAGEMENT",'ENGAGEMENTS 2026'!O2574,IF($H2574="PREENGAGE",IF($E2574="ATTRIBUE",'ENGAGEMENTS 2026'!AE2574,'ENGAGEMENTS 2026'!O2574),'ENGAGEMENTS 2026'!AE2574))))</f>
        <v/>
      </c>
      <c r="K2574" s="604">
        <f>IF(ISBLANK('ENGAGEMENTS 2026'!W2574),"",'ENGAGEMENTS 2026'!W2574)</f>
        <v/>
      </c>
      <c r="L2574" s="276">
        <f>IF($K2574="","",TODAY()-$K2574)</f>
        <v/>
      </c>
      <c r="M2574">
        <f>IF($A2574="","",IF($H2574="ENGAGE","Engagé",IF(AND($H2574="NON ENGAGE",OR($I2574="INFRUCTUEUX",$I2574="ANNULE")),"Clôturé sans suite","En cours")))</f>
        <v/>
      </c>
      <c r="N2574">
        <f>IF(ISBLANK('ENGAGEMENTS 2026'!C2574),"",'ENGAGEMENTS 2026'!L2574)</f>
        <v/>
      </c>
      <c r="O2574">
        <f>IF(ISBLANK('ENGAGEMENTS 2026'!C2574),"",'ENGAGEMENTS 2026'!M2574)</f>
        <v/>
      </c>
      <c r="P2574">
        <f>IF(ISBLANK('ENGAGEMENTS 2026'!C2574),"",'ENGAGEMENTS 2026'!K2574)</f>
        <v/>
      </c>
      <c r="Q2574">
        <f>IF($A2574="","",IF(OR($E2574="INFRUCTUEUX",$E2574="ANNULE"),$A2574&amp;"|"&amp;(COUNTIFS($A$2:$A2574,$A2574,$E$2:$E2574,"INFRUCTUEUX")+COUNTIFS($A$2:$A2574,$A2574,$E$2:$E2574,"ANNULE")),""))</f>
        <v/>
      </c>
    </row>
    <row r="2575">
      <c r="A2575">
        <f>IF(ISBLANK('ENGAGEMENTS 2026'!C2575),"",IF('ENGAGEMENTS 2026'!C2575="DTSI","DCT",'ENGAGEMENTS 2026'!C2575))</f>
        <v/>
      </c>
      <c r="B2575">
        <f>IF(ISBLANK('ENGAGEMENTS 2026'!C2575),"",'ENGAGEMENTS 2026'!D2575)</f>
        <v/>
      </c>
      <c r="C2575">
        <f>IF(ISBLANK('ENGAGEMENTS 2026'!C2575),"",'ENGAGEMENTS 2026'!E2575)</f>
        <v/>
      </c>
      <c r="D2575">
        <f>IF(ISBLANK('ENGAGEMENTS 2026'!C2575),"",'ENGAGEMENTS 2026'!G2575)</f>
        <v/>
      </c>
      <c r="E2575">
        <f>IF(ISBLANK('ENGAGEMENTS 2026'!C2575),"",'ENGAGEMENTS 2026'!I2575)</f>
        <v/>
      </c>
      <c r="F2575">
        <f>IF(ISBLANK('ENGAGEMENTS 2026'!C2575),"",'ENGAGEMENTS 2026'!J2575)</f>
        <v/>
      </c>
      <c r="G2575">
        <f>IF(ISBLANK('ENGAGEMENTS 2026'!C2575),"",'ENGAGEMENTS 2026'!M2575)</f>
        <v/>
      </c>
      <c r="H2575">
        <f>IF(ISBLANK('ENGAGEMENTS 2026'!C2575),"",'ENGAGEMENTS 2026'!AF2575)</f>
        <v/>
      </c>
      <c r="I2575">
        <f>IF(ISBLANK('ENGAGEMENTS 2026'!C2575),"",'ENGAGEMENTS 2026'!H2575)</f>
        <v/>
      </c>
      <c r="J2575" s="275">
        <f>IF(ISBLANK('ENGAGEMENTS 2026'!C2575),"",IF(AND(OR($E2575="INFRUCTUEUX",$E2575="ANNULE"),$C2575="AOO-M"),'ENGAGEMENTS 2026'!P2575,IF($H2575="EN COURS DE PREENGAGEMENT",'ENGAGEMENTS 2026'!O2575,IF($H2575="PREENGAGE",IF($E2575="ATTRIBUE",'ENGAGEMENTS 2026'!AE2575,'ENGAGEMENTS 2026'!O2575),'ENGAGEMENTS 2026'!AE2575))))</f>
        <v/>
      </c>
      <c r="K2575" s="604">
        <f>IF(ISBLANK('ENGAGEMENTS 2026'!W2575),"",'ENGAGEMENTS 2026'!W2575)</f>
        <v/>
      </c>
      <c r="L2575" s="276">
        <f>IF($K2575="","",TODAY()-$K2575)</f>
        <v/>
      </c>
      <c r="M2575">
        <f>IF($A2575="","",IF($H2575="ENGAGE","Engagé",IF(AND($H2575="NON ENGAGE",OR($I2575="INFRUCTUEUX",$I2575="ANNULE")),"Clôturé sans suite","En cours")))</f>
        <v/>
      </c>
      <c r="N2575">
        <f>IF(ISBLANK('ENGAGEMENTS 2026'!C2575),"",'ENGAGEMENTS 2026'!L2575)</f>
        <v/>
      </c>
      <c r="O2575">
        <f>IF(ISBLANK('ENGAGEMENTS 2026'!C2575),"",'ENGAGEMENTS 2026'!M2575)</f>
        <v/>
      </c>
      <c r="P2575">
        <f>IF(ISBLANK('ENGAGEMENTS 2026'!C2575),"",'ENGAGEMENTS 2026'!K2575)</f>
        <v/>
      </c>
      <c r="Q2575">
        <f>IF($A2575="","",IF(OR($E2575="INFRUCTUEUX",$E2575="ANNULE"),$A2575&amp;"|"&amp;(COUNTIFS($A$2:$A2575,$A2575,$E$2:$E2575,"INFRUCTUEUX")+COUNTIFS($A$2:$A2575,$A2575,$E$2:$E2575,"ANNULE")),""))</f>
        <v/>
      </c>
    </row>
    <row r="2576">
      <c r="A2576">
        <f>IF(ISBLANK('ENGAGEMENTS 2026'!C2576),"",IF('ENGAGEMENTS 2026'!C2576="DTSI","DCT",'ENGAGEMENTS 2026'!C2576))</f>
        <v/>
      </c>
      <c r="B2576">
        <f>IF(ISBLANK('ENGAGEMENTS 2026'!C2576),"",'ENGAGEMENTS 2026'!D2576)</f>
        <v/>
      </c>
      <c r="C2576">
        <f>IF(ISBLANK('ENGAGEMENTS 2026'!C2576),"",'ENGAGEMENTS 2026'!E2576)</f>
        <v/>
      </c>
      <c r="D2576">
        <f>IF(ISBLANK('ENGAGEMENTS 2026'!C2576),"",'ENGAGEMENTS 2026'!G2576)</f>
        <v/>
      </c>
      <c r="E2576">
        <f>IF(ISBLANK('ENGAGEMENTS 2026'!C2576),"",'ENGAGEMENTS 2026'!I2576)</f>
        <v/>
      </c>
      <c r="F2576">
        <f>IF(ISBLANK('ENGAGEMENTS 2026'!C2576),"",'ENGAGEMENTS 2026'!J2576)</f>
        <v/>
      </c>
      <c r="G2576">
        <f>IF(ISBLANK('ENGAGEMENTS 2026'!C2576),"",'ENGAGEMENTS 2026'!M2576)</f>
        <v/>
      </c>
      <c r="H2576">
        <f>IF(ISBLANK('ENGAGEMENTS 2026'!C2576),"",'ENGAGEMENTS 2026'!AF2576)</f>
        <v/>
      </c>
      <c r="I2576">
        <f>IF(ISBLANK('ENGAGEMENTS 2026'!C2576),"",'ENGAGEMENTS 2026'!H2576)</f>
        <v/>
      </c>
      <c r="J2576" s="275">
        <f>IF(ISBLANK('ENGAGEMENTS 2026'!C2576),"",IF(AND(OR($E2576="INFRUCTUEUX",$E2576="ANNULE"),$C2576="AOO-M"),'ENGAGEMENTS 2026'!P2576,IF($H2576="EN COURS DE PREENGAGEMENT",'ENGAGEMENTS 2026'!O2576,IF($H2576="PREENGAGE",IF($E2576="ATTRIBUE",'ENGAGEMENTS 2026'!AE2576,'ENGAGEMENTS 2026'!O2576),'ENGAGEMENTS 2026'!AE2576))))</f>
        <v/>
      </c>
      <c r="K2576" s="604">
        <f>IF(ISBLANK('ENGAGEMENTS 2026'!W2576),"",'ENGAGEMENTS 2026'!W2576)</f>
        <v/>
      </c>
      <c r="L2576" s="276">
        <f>IF($K2576="","",TODAY()-$K2576)</f>
        <v/>
      </c>
      <c r="M2576">
        <f>IF($A2576="","",IF($H2576="ENGAGE","Engagé",IF(AND($H2576="NON ENGAGE",OR($I2576="INFRUCTUEUX",$I2576="ANNULE")),"Clôturé sans suite","En cours")))</f>
        <v/>
      </c>
      <c r="N2576">
        <f>IF(ISBLANK('ENGAGEMENTS 2026'!C2576),"",'ENGAGEMENTS 2026'!L2576)</f>
        <v/>
      </c>
      <c r="O2576">
        <f>IF(ISBLANK('ENGAGEMENTS 2026'!C2576),"",'ENGAGEMENTS 2026'!M2576)</f>
        <v/>
      </c>
      <c r="P2576">
        <f>IF(ISBLANK('ENGAGEMENTS 2026'!C2576),"",'ENGAGEMENTS 2026'!K2576)</f>
        <v/>
      </c>
      <c r="Q2576">
        <f>IF($A2576="","",IF(OR($E2576="INFRUCTUEUX",$E2576="ANNULE"),$A2576&amp;"|"&amp;(COUNTIFS($A$2:$A2576,$A2576,$E$2:$E2576,"INFRUCTUEUX")+COUNTIFS($A$2:$A2576,$A2576,$E$2:$E2576,"ANNULE")),""))</f>
        <v/>
      </c>
    </row>
    <row r="2577">
      <c r="A2577">
        <f>IF(ISBLANK('ENGAGEMENTS 2026'!C2577),"",IF('ENGAGEMENTS 2026'!C2577="DTSI","DCT",'ENGAGEMENTS 2026'!C2577))</f>
        <v/>
      </c>
      <c r="B2577">
        <f>IF(ISBLANK('ENGAGEMENTS 2026'!C2577),"",'ENGAGEMENTS 2026'!D2577)</f>
        <v/>
      </c>
      <c r="C2577">
        <f>IF(ISBLANK('ENGAGEMENTS 2026'!C2577),"",'ENGAGEMENTS 2026'!E2577)</f>
        <v/>
      </c>
      <c r="D2577">
        <f>IF(ISBLANK('ENGAGEMENTS 2026'!C2577),"",'ENGAGEMENTS 2026'!G2577)</f>
        <v/>
      </c>
      <c r="E2577">
        <f>IF(ISBLANK('ENGAGEMENTS 2026'!C2577),"",'ENGAGEMENTS 2026'!I2577)</f>
        <v/>
      </c>
      <c r="F2577">
        <f>IF(ISBLANK('ENGAGEMENTS 2026'!C2577),"",'ENGAGEMENTS 2026'!J2577)</f>
        <v/>
      </c>
      <c r="G2577">
        <f>IF(ISBLANK('ENGAGEMENTS 2026'!C2577),"",'ENGAGEMENTS 2026'!M2577)</f>
        <v/>
      </c>
      <c r="H2577">
        <f>IF(ISBLANK('ENGAGEMENTS 2026'!C2577),"",'ENGAGEMENTS 2026'!AF2577)</f>
        <v/>
      </c>
      <c r="I2577">
        <f>IF(ISBLANK('ENGAGEMENTS 2026'!C2577),"",'ENGAGEMENTS 2026'!H2577)</f>
        <v/>
      </c>
      <c r="J2577" s="275">
        <f>IF(ISBLANK('ENGAGEMENTS 2026'!C2577),"",IF(AND(OR($E2577="INFRUCTUEUX",$E2577="ANNULE"),$C2577="AOO-M"),'ENGAGEMENTS 2026'!P2577,IF($H2577="EN COURS DE PREENGAGEMENT",'ENGAGEMENTS 2026'!O2577,IF($H2577="PREENGAGE",IF($E2577="ATTRIBUE",'ENGAGEMENTS 2026'!AE2577,'ENGAGEMENTS 2026'!O2577),'ENGAGEMENTS 2026'!AE2577))))</f>
        <v/>
      </c>
      <c r="K2577" s="604">
        <f>IF(ISBLANK('ENGAGEMENTS 2026'!W2577),"",'ENGAGEMENTS 2026'!W2577)</f>
        <v/>
      </c>
      <c r="L2577" s="276">
        <f>IF($K2577="","",TODAY()-$K2577)</f>
        <v/>
      </c>
      <c r="M2577">
        <f>IF($A2577="","",IF($H2577="ENGAGE","Engagé",IF(AND($H2577="NON ENGAGE",OR($I2577="INFRUCTUEUX",$I2577="ANNULE")),"Clôturé sans suite","En cours")))</f>
        <v/>
      </c>
      <c r="N2577">
        <f>IF(ISBLANK('ENGAGEMENTS 2026'!C2577),"",'ENGAGEMENTS 2026'!L2577)</f>
        <v/>
      </c>
      <c r="O2577">
        <f>IF(ISBLANK('ENGAGEMENTS 2026'!C2577),"",'ENGAGEMENTS 2026'!M2577)</f>
        <v/>
      </c>
      <c r="P2577">
        <f>IF(ISBLANK('ENGAGEMENTS 2026'!C2577),"",'ENGAGEMENTS 2026'!K2577)</f>
        <v/>
      </c>
      <c r="Q2577">
        <f>IF($A2577="","",IF(OR($E2577="INFRUCTUEUX",$E2577="ANNULE"),$A2577&amp;"|"&amp;(COUNTIFS($A$2:$A2577,$A2577,$E$2:$E2577,"INFRUCTUEUX")+COUNTIFS($A$2:$A2577,$A2577,$E$2:$E2577,"ANNULE")),""))</f>
        <v/>
      </c>
    </row>
    <row r="2578">
      <c r="A2578">
        <f>IF(ISBLANK('ENGAGEMENTS 2026'!C2578),"",IF('ENGAGEMENTS 2026'!C2578="DTSI","DCT",'ENGAGEMENTS 2026'!C2578))</f>
        <v/>
      </c>
      <c r="B2578">
        <f>IF(ISBLANK('ENGAGEMENTS 2026'!C2578),"",'ENGAGEMENTS 2026'!D2578)</f>
        <v/>
      </c>
      <c r="C2578">
        <f>IF(ISBLANK('ENGAGEMENTS 2026'!C2578),"",'ENGAGEMENTS 2026'!E2578)</f>
        <v/>
      </c>
      <c r="D2578">
        <f>IF(ISBLANK('ENGAGEMENTS 2026'!C2578),"",'ENGAGEMENTS 2026'!G2578)</f>
        <v/>
      </c>
      <c r="E2578">
        <f>IF(ISBLANK('ENGAGEMENTS 2026'!C2578),"",'ENGAGEMENTS 2026'!I2578)</f>
        <v/>
      </c>
      <c r="F2578">
        <f>IF(ISBLANK('ENGAGEMENTS 2026'!C2578),"",'ENGAGEMENTS 2026'!J2578)</f>
        <v/>
      </c>
      <c r="G2578">
        <f>IF(ISBLANK('ENGAGEMENTS 2026'!C2578),"",'ENGAGEMENTS 2026'!M2578)</f>
        <v/>
      </c>
      <c r="H2578">
        <f>IF(ISBLANK('ENGAGEMENTS 2026'!C2578),"",'ENGAGEMENTS 2026'!AF2578)</f>
        <v/>
      </c>
      <c r="I2578">
        <f>IF(ISBLANK('ENGAGEMENTS 2026'!C2578),"",'ENGAGEMENTS 2026'!H2578)</f>
        <v/>
      </c>
      <c r="J2578" s="275">
        <f>IF(ISBLANK('ENGAGEMENTS 2026'!C2578),"",IF(AND(OR($E2578="INFRUCTUEUX",$E2578="ANNULE"),$C2578="AOO-M"),'ENGAGEMENTS 2026'!P2578,IF($H2578="EN COURS DE PREENGAGEMENT",'ENGAGEMENTS 2026'!O2578,IF($H2578="PREENGAGE",IF($E2578="ATTRIBUE",'ENGAGEMENTS 2026'!AE2578,'ENGAGEMENTS 2026'!O2578),'ENGAGEMENTS 2026'!AE2578))))</f>
        <v/>
      </c>
      <c r="K2578" s="604">
        <f>IF(ISBLANK('ENGAGEMENTS 2026'!W2578),"",'ENGAGEMENTS 2026'!W2578)</f>
        <v/>
      </c>
      <c r="L2578" s="276">
        <f>IF($K2578="","",TODAY()-$K2578)</f>
        <v/>
      </c>
      <c r="M2578">
        <f>IF($A2578="","",IF($H2578="ENGAGE","Engagé",IF(AND($H2578="NON ENGAGE",OR($I2578="INFRUCTUEUX",$I2578="ANNULE")),"Clôturé sans suite","En cours")))</f>
        <v/>
      </c>
      <c r="N2578">
        <f>IF(ISBLANK('ENGAGEMENTS 2026'!C2578),"",'ENGAGEMENTS 2026'!L2578)</f>
        <v/>
      </c>
      <c r="O2578">
        <f>IF(ISBLANK('ENGAGEMENTS 2026'!C2578),"",'ENGAGEMENTS 2026'!M2578)</f>
        <v/>
      </c>
      <c r="P2578">
        <f>IF(ISBLANK('ENGAGEMENTS 2026'!C2578),"",'ENGAGEMENTS 2026'!K2578)</f>
        <v/>
      </c>
      <c r="Q2578">
        <f>IF($A2578="","",IF(OR($E2578="INFRUCTUEUX",$E2578="ANNULE"),$A2578&amp;"|"&amp;(COUNTIFS($A$2:$A2578,$A2578,$E$2:$E2578,"INFRUCTUEUX")+COUNTIFS($A$2:$A2578,$A2578,$E$2:$E2578,"ANNULE")),""))</f>
        <v/>
      </c>
    </row>
    <row r="2579">
      <c r="A2579">
        <f>IF(ISBLANK('ENGAGEMENTS 2026'!C2579),"",IF('ENGAGEMENTS 2026'!C2579="DTSI","DCT",'ENGAGEMENTS 2026'!C2579))</f>
        <v/>
      </c>
      <c r="B2579">
        <f>IF(ISBLANK('ENGAGEMENTS 2026'!C2579),"",'ENGAGEMENTS 2026'!D2579)</f>
        <v/>
      </c>
      <c r="C2579">
        <f>IF(ISBLANK('ENGAGEMENTS 2026'!C2579),"",'ENGAGEMENTS 2026'!E2579)</f>
        <v/>
      </c>
      <c r="D2579">
        <f>IF(ISBLANK('ENGAGEMENTS 2026'!C2579),"",'ENGAGEMENTS 2026'!G2579)</f>
        <v/>
      </c>
      <c r="E2579">
        <f>IF(ISBLANK('ENGAGEMENTS 2026'!C2579),"",'ENGAGEMENTS 2026'!I2579)</f>
        <v/>
      </c>
      <c r="F2579">
        <f>IF(ISBLANK('ENGAGEMENTS 2026'!C2579),"",'ENGAGEMENTS 2026'!J2579)</f>
        <v/>
      </c>
      <c r="G2579">
        <f>IF(ISBLANK('ENGAGEMENTS 2026'!C2579),"",'ENGAGEMENTS 2026'!M2579)</f>
        <v/>
      </c>
      <c r="H2579">
        <f>IF(ISBLANK('ENGAGEMENTS 2026'!C2579),"",'ENGAGEMENTS 2026'!AF2579)</f>
        <v/>
      </c>
      <c r="I2579">
        <f>IF(ISBLANK('ENGAGEMENTS 2026'!C2579),"",'ENGAGEMENTS 2026'!H2579)</f>
        <v/>
      </c>
      <c r="J2579" s="275">
        <f>IF(ISBLANK('ENGAGEMENTS 2026'!C2579),"",IF(AND(OR($E2579="INFRUCTUEUX",$E2579="ANNULE"),$C2579="AOO-M"),'ENGAGEMENTS 2026'!P2579,IF($H2579="EN COURS DE PREENGAGEMENT",'ENGAGEMENTS 2026'!O2579,IF($H2579="PREENGAGE",IF($E2579="ATTRIBUE",'ENGAGEMENTS 2026'!AE2579,'ENGAGEMENTS 2026'!O2579),'ENGAGEMENTS 2026'!AE2579))))</f>
        <v/>
      </c>
      <c r="K2579" s="604">
        <f>IF(ISBLANK('ENGAGEMENTS 2026'!W2579),"",'ENGAGEMENTS 2026'!W2579)</f>
        <v/>
      </c>
      <c r="L2579" s="276">
        <f>IF($K2579="","",TODAY()-$K2579)</f>
        <v/>
      </c>
      <c r="M2579">
        <f>IF($A2579="","",IF($H2579="ENGAGE","Engagé",IF(AND($H2579="NON ENGAGE",OR($I2579="INFRUCTUEUX",$I2579="ANNULE")),"Clôturé sans suite","En cours")))</f>
        <v/>
      </c>
      <c r="N2579">
        <f>IF(ISBLANK('ENGAGEMENTS 2026'!C2579),"",'ENGAGEMENTS 2026'!L2579)</f>
        <v/>
      </c>
      <c r="O2579">
        <f>IF(ISBLANK('ENGAGEMENTS 2026'!C2579),"",'ENGAGEMENTS 2026'!M2579)</f>
        <v/>
      </c>
      <c r="P2579">
        <f>IF(ISBLANK('ENGAGEMENTS 2026'!C2579),"",'ENGAGEMENTS 2026'!K2579)</f>
        <v/>
      </c>
      <c r="Q2579">
        <f>IF($A2579="","",IF(OR($E2579="INFRUCTUEUX",$E2579="ANNULE"),$A2579&amp;"|"&amp;(COUNTIFS($A$2:$A2579,$A2579,$E$2:$E2579,"INFRUCTUEUX")+COUNTIFS($A$2:$A2579,$A2579,$E$2:$E2579,"ANNULE")),""))</f>
        <v/>
      </c>
    </row>
    <row r="2580">
      <c r="A2580">
        <f>IF(ISBLANK('ENGAGEMENTS 2026'!C2580),"",IF('ENGAGEMENTS 2026'!C2580="DTSI","DCT",'ENGAGEMENTS 2026'!C2580))</f>
        <v/>
      </c>
      <c r="B2580">
        <f>IF(ISBLANK('ENGAGEMENTS 2026'!C2580),"",'ENGAGEMENTS 2026'!D2580)</f>
        <v/>
      </c>
      <c r="C2580">
        <f>IF(ISBLANK('ENGAGEMENTS 2026'!C2580),"",'ENGAGEMENTS 2026'!E2580)</f>
        <v/>
      </c>
      <c r="D2580">
        <f>IF(ISBLANK('ENGAGEMENTS 2026'!C2580),"",'ENGAGEMENTS 2026'!G2580)</f>
        <v/>
      </c>
      <c r="E2580">
        <f>IF(ISBLANK('ENGAGEMENTS 2026'!C2580),"",'ENGAGEMENTS 2026'!I2580)</f>
        <v/>
      </c>
      <c r="F2580">
        <f>IF(ISBLANK('ENGAGEMENTS 2026'!C2580),"",'ENGAGEMENTS 2026'!J2580)</f>
        <v/>
      </c>
      <c r="G2580">
        <f>IF(ISBLANK('ENGAGEMENTS 2026'!C2580),"",'ENGAGEMENTS 2026'!M2580)</f>
        <v/>
      </c>
      <c r="H2580">
        <f>IF(ISBLANK('ENGAGEMENTS 2026'!C2580),"",'ENGAGEMENTS 2026'!AF2580)</f>
        <v/>
      </c>
      <c r="I2580">
        <f>IF(ISBLANK('ENGAGEMENTS 2026'!C2580),"",'ENGAGEMENTS 2026'!H2580)</f>
        <v/>
      </c>
      <c r="J2580" s="275">
        <f>IF(ISBLANK('ENGAGEMENTS 2026'!C2580),"",IF(AND(OR($E2580="INFRUCTUEUX",$E2580="ANNULE"),$C2580="AOO-M"),'ENGAGEMENTS 2026'!P2580,IF($H2580="EN COURS DE PREENGAGEMENT",'ENGAGEMENTS 2026'!O2580,IF($H2580="PREENGAGE",IF($E2580="ATTRIBUE",'ENGAGEMENTS 2026'!AE2580,'ENGAGEMENTS 2026'!O2580),'ENGAGEMENTS 2026'!AE2580))))</f>
        <v/>
      </c>
      <c r="K2580" s="604">
        <f>IF(ISBLANK('ENGAGEMENTS 2026'!W2580),"",'ENGAGEMENTS 2026'!W2580)</f>
        <v/>
      </c>
      <c r="L2580" s="276">
        <f>IF($K2580="","",TODAY()-$K2580)</f>
        <v/>
      </c>
      <c r="M2580">
        <f>IF($A2580="","",IF($H2580="ENGAGE","Engagé",IF(AND($H2580="NON ENGAGE",OR($I2580="INFRUCTUEUX",$I2580="ANNULE")),"Clôturé sans suite","En cours")))</f>
        <v/>
      </c>
      <c r="N2580">
        <f>IF(ISBLANK('ENGAGEMENTS 2026'!C2580),"",'ENGAGEMENTS 2026'!L2580)</f>
        <v/>
      </c>
      <c r="O2580">
        <f>IF(ISBLANK('ENGAGEMENTS 2026'!C2580),"",'ENGAGEMENTS 2026'!M2580)</f>
        <v/>
      </c>
      <c r="P2580">
        <f>IF(ISBLANK('ENGAGEMENTS 2026'!C2580),"",'ENGAGEMENTS 2026'!K2580)</f>
        <v/>
      </c>
      <c r="Q2580">
        <f>IF($A2580="","",IF(OR($E2580="INFRUCTUEUX",$E2580="ANNULE"),$A2580&amp;"|"&amp;(COUNTIFS($A$2:$A2580,$A2580,$E$2:$E2580,"INFRUCTUEUX")+COUNTIFS($A$2:$A2580,$A2580,$E$2:$E2580,"ANNULE")),""))</f>
        <v/>
      </c>
    </row>
    <row r="2581">
      <c r="A2581">
        <f>IF(ISBLANK('ENGAGEMENTS 2026'!C2581),"",IF('ENGAGEMENTS 2026'!C2581="DTSI","DCT",'ENGAGEMENTS 2026'!C2581))</f>
        <v/>
      </c>
      <c r="B2581">
        <f>IF(ISBLANK('ENGAGEMENTS 2026'!C2581),"",'ENGAGEMENTS 2026'!D2581)</f>
        <v/>
      </c>
      <c r="C2581">
        <f>IF(ISBLANK('ENGAGEMENTS 2026'!C2581),"",'ENGAGEMENTS 2026'!E2581)</f>
        <v/>
      </c>
      <c r="D2581">
        <f>IF(ISBLANK('ENGAGEMENTS 2026'!C2581),"",'ENGAGEMENTS 2026'!G2581)</f>
        <v/>
      </c>
      <c r="E2581">
        <f>IF(ISBLANK('ENGAGEMENTS 2026'!C2581),"",'ENGAGEMENTS 2026'!I2581)</f>
        <v/>
      </c>
      <c r="F2581">
        <f>IF(ISBLANK('ENGAGEMENTS 2026'!C2581),"",'ENGAGEMENTS 2026'!J2581)</f>
        <v/>
      </c>
      <c r="G2581">
        <f>IF(ISBLANK('ENGAGEMENTS 2026'!C2581),"",'ENGAGEMENTS 2026'!M2581)</f>
        <v/>
      </c>
      <c r="H2581">
        <f>IF(ISBLANK('ENGAGEMENTS 2026'!C2581),"",'ENGAGEMENTS 2026'!AF2581)</f>
        <v/>
      </c>
      <c r="I2581">
        <f>IF(ISBLANK('ENGAGEMENTS 2026'!C2581),"",'ENGAGEMENTS 2026'!H2581)</f>
        <v/>
      </c>
      <c r="J2581" s="275">
        <f>IF(ISBLANK('ENGAGEMENTS 2026'!C2581),"",IF(AND(OR($E2581="INFRUCTUEUX",$E2581="ANNULE"),$C2581="AOO-M"),'ENGAGEMENTS 2026'!P2581,IF($H2581="EN COURS DE PREENGAGEMENT",'ENGAGEMENTS 2026'!O2581,IF($H2581="PREENGAGE",IF($E2581="ATTRIBUE",'ENGAGEMENTS 2026'!AE2581,'ENGAGEMENTS 2026'!O2581),'ENGAGEMENTS 2026'!AE2581))))</f>
        <v/>
      </c>
      <c r="K2581" s="604">
        <f>IF(ISBLANK('ENGAGEMENTS 2026'!W2581),"",'ENGAGEMENTS 2026'!W2581)</f>
        <v/>
      </c>
      <c r="L2581" s="276">
        <f>IF($K2581="","",TODAY()-$K2581)</f>
        <v/>
      </c>
      <c r="M2581">
        <f>IF($A2581="","",IF($H2581="ENGAGE","Engagé",IF(AND($H2581="NON ENGAGE",OR($I2581="INFRUCTUEUX",$I2581="ANNULE")),"Clôturé sans suite","En cours")))</f>
        <v/>
      </c>
      <c r="N2581">
        <f>IF(ISBLANK('ENGAGEMENTS 2026'!C2581),"",'ENGAGEMENTS 2026'!L2581)</f>
        <v/>
      </c>
      <c r="O2581">
        <f>IF(ISBLANK('ENGAGEMENTS 2026'!C2581),"",'ENGAGEMENTS 2026'!M2581)</f>
        <v/>
      </c>
      <c r="P2581">
        <f>IF(ISBLANK('ENGAGEMENTS 2026'!C2581),"",'ENGAGEMENTS 2026'!K2581)</f>
        <v/>
      </c>
      <c r="Q2581">
        <f>IF($A2581="","",IF(OR($E2581="INFRUCTUEUX",$E2581="ANNULE"),$A2581&amp;"|"&amp;(COUNTIFS($A$2:$A2581,$A2581,$E$2:$E2581,"INFRUCTUEUX")+COUNTIFS($A$2:$A2581,$A2581,$E$2:$E2581,"ANNULE")),""))</f>
        <v/>
      </c>
    </row>
    <row r="2582">
      <c r="A2582">
        <f>IF(ISBLANK('ENGAGEMENTS 2026'!C2582),"",IF('ENGAGEMENTS 2026'!C2582="DTSI","DCT",'ENGAGEMENTS 2026'!C2582))</f>
        <v/>
      </c>
      <c r="B2582">
        <f>IF(ISBLANK('ENGAGEMENTS 2026'!C2582),"",'ENGAGEMENTS 2026'!D2582)</f>
        <v/>
      </c>
      <c r="C2582">
        <f>IF(ISBLANK('ENGAGEMENTS 2026'!C2582),"",'ENGAGEMENTS 2026'!E2582)</f>
        <v/>
      </c>
      <c r="D2582">
        <f>IF(ISBLANK('ENGAGEMENTS 2026'!C2582),"",'ENGAGEMENTS 2026'!G2582)</f>
        <v/>
      </c>
      <c r="E2582">
        <f>IF(ISBLANK('ENGAGEMENTS 2026'!C2582),"",'ENGAGEMENTS 2026'!I2582)</f>
        <v/>
      </c>
      <c r="F2582">
        <f>IF(ISBLANK('ENGAGEMENTS 2026'!C2582),"",'ENGAGEMENTS 2026'!J2582)</f>
        <v/>
      </c>
      <c r="G2582">
        <f>IF(ISBLANK('ENGAGEMENTS 2026'!C2582),"",'ENGAGEMENTS 2026'!M2582)</f>
        <v/>
      </c>
      <c r="H2582">
        <f>IF(ISBLANK('ENGAGEMENTS 2026'!C2582),"",'ENGAGEMENTS 2026'!AF2582)</f>
        <v/>
      </c>
      <c r="I2582">
        <f>IF(ISBLANK('ENGAGEMENTS 2026'!C2582),"",'ENGAGEMENTS 2026'!H2582)</f>
        <v/>
      </c>
      <c r="J2582" s="275">
        <f>IF(ISBLANK('ENGAGEMENTS 2026'!C2582),"",IF(AND(OR($E2582="INFRUCTUEUX",$E2582="ANNULE"),$C2582="AOO-M"),'ENGAGEMENTS 2026'!P2582,IF($H2582="EN COURS DE PREENGAGEMENT",'ENGAGEMENTS 2026'!O2582,IF($H2582="PREENGAGE",IF($E2582="ATTRIBUE",'ENGAGEMENTS 2026'!AE2582,'ENGAGEMENTS 2026'!O2582),'ENGAGEMENTS 2026'!AE2582))))</f>
        <v/>
      </c>
      <c r="K2582" s="604">
        <f>IF(ISBLANK('ENGAGEMENTS 2026'!W2582),"",'ENGAGEMENTS 2026'!W2582)</f>
        <v/>
      </c>
      <c r="L2582" s="276">
        <f>IF($K2582="","",TODAY()-$K2582)</f>
        <v/>
      </c>
      <c r="M2582">
        <f>IF($A2582="","",IF($H2582="ENGAGE","Engagé",IF(AND($H2582="NON ENGAGE",OR($I2582="INFRUCTUEUX",$I2582="ANNULE")),"Clôturé sans suite","En cours")))</f>
        <v/>
      </c>
      <c r="N2582">
        <f>IF(ISBLANK('ENGAGEMENTS 2026'!C2582),"",'ENGAGEMENTS 2026'!L2582)</f>
        <v/>
      </c>
      <c r="O2582">
        <f>IF(ISBLANK('ENGAGEMENTS 2026'!C2582),"",'ENGAGEMENTS 2026'!M2582)</f>
        <v/>
      </c>
      <c r="P2582">
        <f>IF(ISBLANK('ENGAGEMENTS 2026'!C2582),"",'ENGAGEMENTS 2026'!K2582)</f>
        <v/>
      </c>
      <c r="Q2582">
        <f>IF($A2582="","",IF(OR($E2582="INFRUCTUEUX",$E2582="ANNULE"),$A2582&amp;"|"&amp;(COUNTIFS($A$2:$A2582,$A2582,$E$2:$E2582,"INFRUCTUEUX")+COUNTIFS($A$2:$A2582,$A2582,$E$2:$E2582,"ANNULE")),""))</f>
        <v/>
      </c>
    </row>
    <row r="2583">
      <c r="A2583">
        <f>IF(ISBLANK('ENGAGEMENTS 2026'!C2583),"",IF('ENGAGEMENTS 2026'!C2583="DTSI","DCT",'ENGAGEMENTS 2026'!C2583))</f>
        <v/>
      </c>
      <c r="B2583">
        <f>IF(ISBLANK('ENGAGEMENTS 2026'!C2583),"",'ENGAGEMENTS 2026'!D2583)</f>
        <v/>
      </c>
      <c r="C2583">
        <f>IF(ISBLANK('ENGAGEMENTS 2026'!C2583),"",'ENGAGEMENTS 2026'!E2583)</f>
        <v/>
      </c>
      <c r="D2583">
        <f>IF(ISBLANK('ENGAGEMENTS 2026'!C2583),"",'ENGAGEMENTS 2026'!G2583)</f>
        <v/>
      </c>
      <c r="E2583">
        <f>IF(ISBLANK('ENGAGEMENTS 2026'!C2583),"",'ENGAGEMENTS 2026'!I2583)</f>
        <v/>
      </c>
      <c r="F2583">
        <f>IF(ISBLANK('ENGAGEMENTS 2026'!C2583),"",'ENGAGEMENTS 2026'!J2583)</f>
        <v/>
      </c>
      <c r="G2583">
        <f>IF(ISBLANK('ENGAGEMENTS 2026'!C2583),"",'ENGAGEMENTS 2026'!M2583)</f>
        <v/>
      </c>
      <c r="H2583">
        <f>IF(ISBLANK('ENGAGEMENTS 2026'!C2583),"",'ENGAGEMENTS 2026'!AF2583)</f>
        <v/>
      </c>
      <c r="I2583">
        <f>IF(ISBLANK('ENGAGEMENTS 2026'!C2583),"",'ENGAGEMENTS 2026'!H2583)</f>
        <v/>
      </c>
      <c r="J2583" s="275">
        <f>IF(ISBLANK('ENGAGEMENTS 2026'!C2583),"",IF(AND(OR($E2583="INFRUCTUEUX",$E2583="ANNULE"),$C2583="AOO-M"),'ENGAGEMENTS 2026'!P2583,IF($H2583="EN COURS DE PREENGAGEMENT",'ENGAGEMENTS 2026'!O2583,IF($H2583="PREENGAGE",IF($E2583="ATTRIBUE",'ENGAGEMENTS 2026'!AE2583,'ENGAGEMENTS 2026'!O2583),'ENGAGEMENTS 2026'!AE2583))))</f>
        <v/>
      </c>
      <c r="K2583" s="604">
        <f>IF(ISBLANK('ENGAGEMENTS 2026'!W2583),"",'ENGAGEMENTS 2026'!W2583)</f>
        <v/>
      </c>
      <c r="L2583" s="276">
        <f>IF($K2583="","",TODAY()-$K2583)</f>
        <v/>
      </c>
      <c r="M2583">
        <f>IF($A2583="","",IF($H2583="ENGAGE","Engagé",IF(AND($H2583="NON ENGAGE",OR($I2583="INFRUCTUEUX",$I2583="ANNULE")),"Clôturé sans suite","En cours")))</f>
        <v/>
      </c>
      <c r="N2583">
        <f>IF(ISBLANK('ENGAGEMENTS 2026'!C2583),"",'ENGAGEMENTS 2026'!L2583)</f>
        <v/>
      </c>
      <c r="O2583">
        <f>IF(ISBLANK('ENGAGEMENTS 2026'!C2583),"",'ENGAGEMENTS 2026'!M2583)</f>
        <v/>
      </c>
      <c r="P2583">
        <f>IF(ISBLANK('ENGAGEMENTS 2026'!C2583),"",'ENGAGEMENTS 2026'!K2583)</f>
        <v/>
      </c>
      <c r="Q2583">
        <f>IF($A2583="","",IF(OR($E2583="INFRUCTUEUX",$E2583="ANNULE"),$A2583&amp;"|"&amp;(COUNTIFS($A$2:$A2583,$A2583,$E$2:$E2583,"INFRUCTUEUX")+COUNTIFS($A$2:$A2583,$A2583,$E$2:$E2583,"ANNULE")),""))</f>
        <v/>
      </c>
    </row>
    <row r="2584">
      <c r="A2584">
        <f>IF(ISBLANK('ENGAGEMENTS 2026'!C2584),"",IF('ENGAGEMENTS 2026'!C2584="DTSI","DCT",'ENGAGEMENTS 2026'!C2584))</f>
        <v/>
      </c>
      <c r="B2584">
        <f>IF(ISBLANK('ENGAGEMENTS 2026'!C2584),"",'ENGAGEMENTS 2026'!D2584)</f>
        <v/>
      </c>
      <c r="C2584">
        <f>IF(ISBLANK('ENGAGEMENTS 2026'!C2584),"",'ENGAGEMENTS 2026'!E2584)</f>
        <v/>
      </c>
      <c r="D2584">
        <f>IF(ISBLANK('ENGAGEMENTS 2026'!C2584),"",'ENGAGEMENTS 2026'!G2584)</f>
        <v/>
      </c>
      <c r="E2584">
        <f>IF(ISBLANK('ENGAGEMENTS 2026'!C2584),"",'ENGAGEMENTS 2026'!I2584)</f>
        <v/>
      </c>
      <c r="F2584">
        <f>IF(ISBLANK('ENGAGEMENTS 2026'!C2584),"",'ENGAGEMENTS 2026'!J2584)</f>
        <v/>
      </c>
      <c r="G2584">
        <f>IF(ISBLANK('ENGAGEMENTS 2026'!C2584),"",'ENGAGEMENTS 2026'!M2584)</f>
        <v/>
      </c>
      <c r="H2584">
        <f>IF(ISBLANK('ENGAGEMENTS 2026'!C2584),"",'ENGAGEMENTS 2026'!AF2584)</f>
        <v/>
      </c>
      <c r="I2584">
        <f>IF(ISBLANK('ENGAGEMENTS 2026'!C2584),"",'ENGAGEMENTS 2026'!H2584)</f>
        <v/>
      </c>
      <c r="J2584" s="275">
        <f>IF(ISBLANK('ENGAGEMENTS 2026'!C2584),"",IF(AND(OR($E2584="INFRUCTUEUX",$E2584="ANNULE"),$C2584="AOO-M"),'ENGAGEMENTS 2026'!P2584,IF($H2584="EN COURS DE PREENGAGEMENT",'ENGAGEMENTS 2026'!O2584,IF($H2584="PREENGAGE",IF($E2584="ATTRIBUE",'ENGAGEMENTS 2026'!AE2584,'ENGAGEMENTS 2026'!O2584),'ENGAGEMENTS 2026'!AE2584))))</f>
        <v/>
      </c>
      <c r="K2584" s="604">
        <f>IF(ISBLANK('ENGAGEMENTS 2026'!W2584),"",'ENGAGEMENTS 2026'!W2584)</f>
        <v/>
      </c>
      <c r="L2584" s="276">
        <f>IF($K2584="","",TODAY()-$K2584)</f>
        <v/>
      </c>
      <c r="M2584">
        <f>IF($A2584="","",IF($H2584="ENGAGE","Engagé",IF(AND($H2584="NON ENGAGE",OR($I2584="INFRUCTUEUX",$I2584="ANNULE")),"Clôturé sans suite","En cours")))</f>
        <v/>
      </c>
      <c r="N2584">
        <f>IF(ISBLANK('ENGAGEMENTS 2026'!C2584),"",'ENGAGEMENTS 2026'!L2584)</f>
        <v/>
      </c>
      <c r="O2584">
        <f>IF(ISBLANK('ENGAGEMENTS 2026'!C2584),"",'ENGAGEMENTS 2026'!M2584)</f>
        <v/>
      </c>
      <c r="P2584">
        <f>IF(ISBLANK('ENGAGEMENTS 2026'!C2584),"",'ENGAGEMENTS 2026'!K2584)</f>
        <v/>
      </c>
      <c r="Q2584">
        <f>IF($A2584="","",IF(OR($E2584="INFRUCTUEUX",$E2584="ANNULE"),$A2584&amp;"|"&amp;(COUNTIFS($A$2:$A2584,$A2584,$E$2:$E2584,"INFRUCTUEUX")+COUNTIFS($A$2:$A2584,$A2584,$E$2:$E2584,"ANNULE")),""))</f>
        <v/>
      </c>
    </row>
    <row r="2585">
      <c r="A2585">
        <f>IF(ISBLANK('ENGAGEMENTS 2026'!C2585),"",IF('ENGAGEMENTS 2026'!C2585="DTSI","DCT",'ENGAGEMENTS 2026'!C2585))</f>
        <v/>
      </c>
      <c r="B2585">
        <f>IF(ISBLANK('ENGAGEMENTS 2026'!C2585),"",'ENGAGEMENTS 2026'!D2585)</f>
        <v/>
      </c>
      <c r="C2585">
        <f>IF(ISBLANK('ENGAGEMENTS 2026'!C2585),"",'ENGAGEMENTS 2026'!E2585)</f>
        <v/>
      </c>
      <c r="D2585">
        <f>IF(ISBLANK('ENGAGEMENTS 2026'!C2585),"",'ENGAGEMENTS 2026'!G2585)</f>
        <v/>
      </c>
      <c r="E2585">
        <f>IF(ISBLANK('ENGAGEMENTS 2026'!C2585),"",'ENGAGEMENTS 2026'!I2585)</f>
        <v/>
      </c>
      <c r="F2585">
        <f>IF(ISBLANK('ENGAGEMENTS 2026'!C2585),"",'ENGAGEMENTS 2026'!J2585)</f>
        <v/>
      </c>
      <c r="G2585">
        <f>IF(ISBLANK('ENGAGEMENTS 2026'!C2585),"",'ENGAGEMENTS 2026'!M2585)</f>
        <v/>
      </c>
      <c r="H2585">
        <f>IF(ISBLANK('ENGAGEMENTS 2026'!C2585),"",'ENGAGEMENTS 2026'!AF2585)</f>
        <v/>
      </c>
      <c r="I2585">
        <f>IF(ISBLANK('ENGAGEMENTS 2026'!C2585),"",'ENGAGEMENTS 2026'!H2585)</f>
        <v/>
      </c>
      <c r="J2585" s="275">
        <f>IF(ISBLANK('ENGAGEMENTS 2026'!C2585),"",IF(AND(OR($E2585="INFRUCTUEUX",$E2585="ANNULE"),$C2585="AOO-M"),'ENGAGEMENTS 2026'!P2585,IF($H2585="EN COURS DE PREENGAGEMENT",'ENGAGEMENTS 2026'!O2585,IF($H2585="PREENGAGE",IF($E2585="ATTRIBUE",'ENGAGEMENTS 2026'!AE2585,'ENGAGEMENTS 2026'!O2585),'ENGAGEMENTS 2026'!AE2585))))</f>
        <v/>
      </c>
      <c r="K2585" s="604">
        <f>IF(ISBLANK('ENGAGEMENTS 2026'!W2585),"",'ENGAGEMENTS 2026'!W2585)</f>
        <v/>
      </c>
      <c r="L2585" s="276">
        <f>IF($K2585="","",TODAY()-$K2585)</f>
        <v/>
      </c>
      <c r="M2585">
        <f>IF($A2585="","",IF($H2585="ENGAGE","Engagé",IF(AND($H2585="NON ENGAGE",OR($I2585="INFRUCTUEUX",$I2585="ANNULE")),"Clôturé sans suite","En cours")))</f>
        <v/>
      </c>
      <c r="N2585">
        <f>IF(ISBLANK('ENGAGEMENTS 2026'!C2585),"",'ENGAGEMENTS 2026'!L2585)</f>
        <v/>
      </c>
      <c r="O2585">
        <f>IF(ISBLANK('ENGAGEMENTS 2026'!C2585),"",'ENGAGEMENTS 2026'!M2585)</f>
        <v/>
      </c>
      <c r="P2585">
        <f>IF(ISBLANK('ENGAGEMENTS 2026'!C2585),"",'ENGAGEMENTS 2026'!K2585)</f>
        <v/>
      </c>
      <c r="Q2585">
        <f>IF($A2585="","",IF(OR($E2585="INFRUCTUEUX",$E2585="ANNULE"),$A2585&amp;"|"&amp;(COUNTIFS($A$2:$A2585,$A2585,$E$2:$E2585,"INFRUCTUEUX")+COUNTIFS($A$2:$A2585,$A2585,$E$2:$E2585,"ANNULE")),""))</f>
        <v/>
      </c>
    </row>
    <row r="2586">
      <c r="A2586">
        <f>IF(ISBLANK('ENGAGEMENTS 2026'!C2586),"",IF('ENGAGEMENTS 2026'!C2586="DTSI","DCT",'ENGAGEMENTS 2026'!C2586))</f>
        <v/>
      </c>
      <c r="B2586">
        <f>IF(ISBLANK('ENGAGEMENTS 2026'!C2586),"",'ENGAGEMENTS 2026'!D2586)</f>
        <v/>
      </c>
      <c r="C2586">
        <f>IF(ISBLANK('ENGAGEMENTS 2026'!C2586),"",'ENGAGEMENTS 2026'!E2586)</f>
        <v/>
      </c>
      <c r="D2586">
        <f>IF(ISBLANK('ENGAGEMENTS 2026'!C2586),"",'ENGAGEMENTS 2026'!G2586)</f>
        <v/>
      </c>
      <c r="E2586">
        <f>IF(ISBLANK('ENGAGEMENTS 2026'!C2586),"",'ENGAGEMENTS 2026'!I2586)</f>
        <v/>
      </c>
      <c r="F2586">
        <f>IF(ISBLANK('ENGAGEMENTS 2026'!C2586),"",'ENGAGEMENTS 2026'!J2586)</f>
        <v/>
      </c>
      <c r="G2586">
        <f>IF(ISBLANK('ENGAGEMENTS 2026'!C2586),"",'ENGAGEMENTS 2026'!M2586)</f>
        <v/>
      </c>
      <c r="H2586">
        <f>IF(ISBLANK('ENGAGEMENTS 2026'!C2586),"",'ENGAGEMENTS 2026'!AF2586)</f>
        <v/>
      </c>
      <c r="I2586">
        <f>IF(ISBLANK('ENGAGEMENTS 2026'!C2586),"",'ENGAGEMENTS 2026'!H2586)</f>
        <v/>
      </c>
      <c r="J2586" s="275">
        <f>IF(ISBLANK('ENGAGEMENTS 2026'!C2586),"",IF(AND(OR($E2586="INFRUCTUEUX",$E2586="ANNULE"),$C2586="AOO-M"),'ENGAGEMENTS 2026'!P2586,IF($H2586="EN COURS DE PREENGAGEMENT",'ENGAGEMENTS 2026'!O2586,IF($H2586="PREENGAGE",IF($E2586="ATTRIBUE",'ENGAGEMENTS 2026'!AE2586,'ENGAGEMENTS 2026'!O2586),'ENGAGEMENTS 2026'!AE2586))))</f>
        <v/>
      </c>
      <c r="K2586" s="604">
        <f>IF(ISBLANK('ENGAGEMENTS 2026'!W2586),"",'ENGAGEMENTS 2026'!W2586)</f>
        <v/>
      </c>
      <c r="L2586" s="276">
        <f>IF($K2586="","",TODAY()-$K2586)</f>
        <v/>
      </c>
      <c r="M2586">
        <f>IF($A2586="","",IF($H2586="ENGAGE","Engagé",IF(AND($H2586="NON ENGAGE",OR($I2586="INFRUCTUEUX",$I2586="ANNULE")),"Clôturé sans suite","En cours")))</f>
        <v/>
      </c>
      <c r="N2586">
        <f>IF(ISBLANK('ENGAGEMENTS 2026'!C2586),"",'ENGAGEMENTS 2026'!L2586)</f>
        <v/>
      </c>
      <c r="O2586">
        <f>IF(ISBLANK('ENGAGEMENTS 2026'!C2586),"",'ENGAGEMENTS 2026'!M2586)</f>
        <v/>
      </c>
      <c r="P2586">
        <f>IF(ISBLANK('ENGAGEMENTS 2026'!C2586),"",'ENGAGEMENTS 2026'!K2586)</f>
        <v/>
      </c>
      <c r="Q2586">
        <f>IF($A2586="","",IF(OR($E2586="INFRUCTUEUX",$E2586="ANNULE"),$A2586&amp;"|"&amp;(COUNTIFS($A$2:$A2586,$A2586,$E$2:$E2586,"INFRUCTUEUX")+COUNTIFS($A$2:$A2586,$A2586,$E$2:$E2586,"ANNULE")),""))</f>
        <v/>
      </c>
    </row>
    <row r="2587">
      <c r="A2587">
        <f>IF(ISBLANK('ENGAGEMENTS 2026'!C2587),"",IF('ENGAGEMENTS 2026'!C2587="DTSI","DCT",'ENGAGEMENTS 2026'!C2587))</f>
        <v/>
      </c>
      <c r="B2587">
        <f>IF(ISBLANK('ENGAGEMENTS 2026'!C2587),"",'ENGAGEMENTS 2026'!D2587)</f>
        <v/>
      </c>
      <c r="C2587">
        <f>IF(ISBLANK('ENGAGEMENTS 2026'!C2587),"",'ENGAGEMENTS 2026'!E2587)</f>
        <v/>
      </c>
      <c r="D2587">
        <f>IF(ISBLANK('ENGAGEMENTS 2026'!C2587),"",'ENGAGEMENTS 2026'!G2587)</f>
        <v/>
      </c>
      <c r="E2587">
        <f>IF(ISBLANK('ENGAGEMENTS 2026'!C2587),"",'ENGAGEMENTS 2026'!I2587)</f>
        <v/>
      </c>
      <c r="F2587">
        <f>IF(ISBLANK('ENGAGEMENTS 2026'!C2587),"",'ENGAGEMENTS 2026'!J2587)</f>
        <v/>
      </c>
      <c r="G2587">
        <f>IF(ISBLANK('ENGAGEMENTS 2026'!C2587),"",'ENGAGEMENTS 2026'!M2587)</f>
        <v/>
      </c>
      <c r="H2587">
        <f>IF(ISBLANK('ENGAGEMENTS 2026'!C2587),"",'ENGAGEMENTS 2026'!AF2587)</f>
        <v/>
      </c>
      <c r="I2587">
        <f>IF(ISBLANK('ENGAGEMENTS 2026'!C2587),"",'ENGAGEMENTS 2026'!H2587)</f>
        <v/>
      </c>
      <c r="J2587" s="275">
        <f>IF(ISBLANK('ENGAGEMENTS 2026'!C2587),"",IF(AND(OR($E2587="INFRUCTUEUX",$E2587="ANNULE"),$C2587="AOO-M"),'ENGAGEMENTS 2026'!P2587,IF($H2587="EN COURS DE PREENGAGEMENT",'ENGAGEMENTS 2026'!O2587,IF($H2587="PREENGAGE",IF($E2587="ATTRIBUE",'ENGAGEMENTS 2026'!AE2587,'ENGAGEMENTS 2026'!O2587),'ENGAGEMENTS 2026'!AE2587))))</f>
        <v/>
      </c>
      <c r="K2587" s="604">
        <f>IF(ISBLANK('ENGAGEMENTS 2026'!W2587),"",'ENGAGEMENTS 2026'!W2587)</f>
        <v/>
      </c>
      <c r="L2587" s="276">
        <f>IF($K2587="","",TODAY()-$K2587)</f>
        <v/>
      </c>
      <c r="M2587">
        <f>IF($A2587="","",IF($H2587="ENGAGE","Engagé",IF(AND($H2587="NON ENGAGE",OR($I2587="INFRUCTUEUX",$I2587="ANNULE")),"Clôturé sans suite","En cours")))</f>
        <v/>
      </c>
      <c r="N2587">
        <f>IF(ISBLANK('ENGAGEMENTS 2026'!C2587),"",'ENGAGEMENTS 2026'!L2587)</f>
        <v/>
      </c>
      <c r="O2587">
        <f>IF(ISBLANK('ENGAGEMENTS 2026'!C2587),"",'ENGAGEMENTS 2026'!M2587)</f>
        <v/>
      </c>
      <c r="P2587">
        <f>IF(ISBLANK('ENGAGEMENTS 2026'!C2587),"",'ENGAGEMENTS 2026'!K2587)</f>
        <v/>
      </c>
      <c r="Q2587">
        <f>IF($A2587="","",IF(OR($E2587="INFRUCTUEUX",$E2587="ANNULE"),$A2587&amp;"|"&amp;(COUNTIFS($A$2:$A2587,$A2587,$E$2:$E2587,"INFRUCTUEUX")+COUNTIFS($A$2:$A2587,$A2587,$E$2:$E2587,"ANNULE")),""))</f>
        <v/>
      </c>
    </row>
    <row r="2588">
      <c r="A2588">
        <f>IF(ISBLANK('ENGAGEMENTS 2026'!C2588),"",IF('ENGAGEMENTS 2026'!C2588="DTSI","DCT",'ENGAGEMENTS 2026'!C2588))</f>
        <v/>
      </c>
      <c r="B2588">
        <f>IF(ISBLANK('ENGAGEMENTS 2026'!C2588),"",'ENGAGEMENTS 2026'!D2588)</f>
        <v/>
      </c>
      <c r="C2588">
        <f>IF(ISBLANK('ENGAGEMENTS 2026'!C2588),"",'ENGAGEMENTS 2026'!E2588)</f>
        <v/>
      </c>
      <c r="D2588">
        <f>IF(ISBLANK('ENGAGEMENTS 2026'!C2588),"",'ENGAGEMENTS 2026'!G2588)</f>
        <v/>
      </c>
      <c r="E2588">
        <f>IF(ISBLANK('ENGAGEMENTS 2026'!C2588),"",'ENGAGEMENTS 2026'!I2588)</f>
        <v/>
      </c>
      <c r="F2588">
        <f>IF(ISBLANK('ENGAGEMENTS 2026'!C2588),"",'ENGAGEMENTS 2026'!J2588)</f>
        <v/>
      </c>
      <c r="G2588">
        <f>IF(ISBLANK('ENGAGEMENTS 2026'!C2588),"",'ENGAGEMENTS 2026'!M2588)</f>
        <v/>
      </c>
      <c r="H2588">
        <f>IF(ISBLANK('ENGAGEMENTS 2026'!C2588),"",'ENGAGEMENTS 2026'!AF2588)</f>
        <v/>
      </c>
      <c r="I2588">
        <f>IF(ISBLANK('ENGAGEMENTS 2026'!C2588),"",'ENGAGEMENTS 2026'!H2588)</f>
        <v/>
      </c>
      <c r="J2588" s="275">
        <f>IF(ISBLANK('ENGAGEMENTS 2026'!C2588),"",IF(AND(OR($E2588="INFRUCTUEUX",$E2588="ANNULE"),$C2588="AOO-M"),'ENGAGEMENTS 2026'!P2588,IF($H2588="EN COURS DE PREENGAGEMENT",'ENGAGEMENTS 2026'!O2588,IF($H2588="PREENGAGE",IF($E2588="ATTRIBUE",'ENGAGEMENTS 2026'!AE2588,'ENGAGEMENTS 2026'!O2588),'ENGAGEMENTS 2026'!AE2588))))</f>
        <v/>
      </c>
      <c r="K2588" s="604">
        <f>IF(ISBLANK('ENGAGEMENTS 2026'!W2588),"",'ENGAGEMENTS 2026'!W2588)</f>
        <v/>
      </c>
      <c r="L2588" s="276">
        <f>IF($K2588="","",TODAY()-$K2588)</f>
        <v/>
      </c>
      <c r="M2588">
        <f>IF($A2588="","",IF($H2588="ENGAGE","Engagé",IF(AND($H2588="NON ENGAGE",OR($I2588="INFRUCTUEUX",$I2588="ANNULE")),"Clôturé sans suite","En cours")))</f>
        <v/>
      </c>
      <c r="N2588">
        <f>IF(ISBLANK('ENGAGEMENTS 2026'!C2588),"",'ENGAGEMENTS 2026'!L2588)</f>
        <v/>
      </c>
      <c r="O2588">
        <f>IF(ISBLANK('ENGAGEMENTS 2026'!C2588),"",'ENGAGEMENTS 2026'!M2588)</f>
        <v/>
      </c>
      <c r="P2588">
        <f>IF(ISBLANK('ENGAGEMENTS 2026'!C2588),"",'ENGAGEMENTS 2026'!K2588)</f>
        <v/>
      </c>
      <c r="Q2588">
        <f>IF($A2588="","",IF(OR($E2588="INFRUCTUEUX",$E2588="ANNULE"),$A2588&amp;"|"&amp;(COUNTIFS($A$2:$A2588,$A2588,$E$2:$E2588,"INFRUCTUEUX")+COUNTIFS($A$2:$A2588,$A2588,$E$2:$E2588,"ANNULE")),""))</f>
        <v/>
      </c>
    </row>
    <row r="2589">
      <c r="A2589">
        <f>IF(ISBLANK('ENGAGEMENTS 2026'!C2589),"",IF('ENGAGEMENTS 2026'!C2589="DTSI","DCT",'ENGAGEMENTS 2026'!C2589))</f>
        <v/>
      </c>
      <c r="B2589">
        <f>IF(ISBLANK('ENGAGEMENTS 2026'!C2589),"",'ENGAGEMENTS 2026'!D2589)</f>
        <v/>
      </c>
      <c r="C2589">
        <f>IF(ISBLANK('ENGAGEMENTS 2026'!C2589),"",'ENGAGEMENTS 2026'!E2589)</f>
        <v/>
      </c>
      <c r="D2589">
        <f>IF(ISBLANK('ENGAGEMENTS 2026'!C2589),"",'ENGAGEMENTS 2026'!G2589)</f>
        <v/>
      </c>
      <c r="E2589">
        <f>IF(ISBLANK('ENGAGEMENTS 2026'!C2589),"",'ENGAGEMENTS 2026'!I2589)</f>
        <v/>
      </c>
      <c r="F2589">
        <f>IF(ISBLANK('ENGAGEMENTS 2026'!C2589),"",'ENGAGEMENTS 2026'!J2589)</f>
        <v/>
      </c>
      <c r="G2589">
        <f>IF(ISBLANK('ENGAGEMENTS 2026'!C2589),"",'ENGAGEMENTS 2026'!M2589)</f>
        <v/>
      </c>
      <c r="H2589">
        <f>IF(ISBLANK('ENGAGEMENTS 2026'!C2589),"",'ENGAGEMENTS 2026'!AF2589)</f>
        <v/>
      </c>
      <c r="I2589">
        <f>IF(ISBLANK('ENGAGEMENTS 2026'!C2589),"",'ENGAGEMENTS 2026'!H2589)</f>
        <v/>
      </c>
      <c r="J2589" s="275">
        <f>IF(ISBLANK('ENGAGEMENTS 2026'!C2589),"",IF(AND(OR($E2589="INFRUCTUEUX",$E2589="ANNULE"),$C2589="AOO-M"),'ENGAGEMENTS 2026'!P2589,IF($H2589="EN COURS DE PREENGAGEMENT",'ENGAGEMENTS 2026'!O2589,IF($H2589="PREENGAGE",IF($E2589="ATTRIBUE",'ENGAGEMENTS 2026'!AE2589,'ENGAGEMENTS 2026'!O2589),'ENGAGEMENTS 2026'!AE2589))))</f>
        <v/>
      </c>
      <c r="K2589" s="604">
        <f>IF(ISBLANK('ENGAGEMENTS 2026'!W2589),"",'ENGAGEMENTS 2026'!W2589)</f>
        <v/>
      </c>
      <c r="L2589" s="276">
        <f>IF($K2589="","",TODAY()-$K2589)</f>
        <v/>
      </c>
      <c r="M2589">
        <f>IF($A2589="","",IF($H2589="ENGAGE","Engagé",IF(AND($H2589="NON ENGAGE",OR($I2589="INFRUCTUEUX",$I2589="ANNULE")),"Clôturé sans suite","En cours")))</f>
        <v/>
      </c>
      <c r="N2589">
        <f>IF(ISBLANK('ENGAGEMENTS 2026'!C2589),"",'ENGAGEMENTS 2026'!L2589)</f>
        <v/>
      </c>
      <c r="O2589">
        <f>IF(ISBLANK('ENGAGEMENTS 2026'!C2589),"",'ENGAGEMENTS 2026'!M2589)</f>
        <v/>
      </c>
      <c r="P2589">
        <f>IF(ISBLANK('ENGAGEMENTS 2026'!C2589),"",'ENGAGEMENTS 2026'!K2589)</f>
        <v/>
      </c>
      <c r="Q2589">
        <f>IF($A2589="","",IF(OR($E2589="INFRUCTUEUX",$E2589="ANNULE"),$A2589&amp;"|"&amp;(COUNTIFS($A$2:$A2589,$A2589,$E$2:$E2589,"INFRUCTUEUX")+COUNTIFS($A$2:$A2589,$A2589,$E$2:$E2589,"ANNULE")),""))</f>
        <v/>
      </c>
    </row>
    <row r="2590">
      <c r="A2590">
        <f>IF(ISBLANK('ENGAGEMENTS 2026'!C2590),"",IF('ENGAGEMENTS 2026'!C2590="DTSI","DCT",'ENGAGEMENTS 2026'!C2590))</f>
        <v/>
      </c>
      <c r="B2590">
        <f>IF(ISBLANK('ENGAGEMENTS 2026'!C2590),"",'ENGAGEMENTS 2026'!D2590)</f>
        <v/>
      </c>
      <c r="C2590">
        <f>IF(ISBLANK('ENGAGEMENTS 2026'!C2590),"",'ENGAGEMENTS 2026'!E2590)</f>
        <v/>
      </c>
      <c r="D2590">
        <f>IF(ISBLANK('ENGAGEMENTS 2026'!C2590),"",'ENGAGEMENTS 2026'!G2590)</f>
        <v/>
      </c>
      <c r="E2590">
        <f>IF(ISBLANK('ENGAGEMENTS 2026'!C2590),"",'ENGAGEMENTS 2026'!I2590)</f>
        <v/>
      </c>
      <c r="F2590">
        <f>IF(ISBLANK('ENGAGEMENTS 2026'!C2590),"",'ENGAGEMENTS 2026'!J2590)</f>
        <v/>
      </c>
      <c r="G2590">
        <f>IF(ISBLANK('ENGAGEMENTS 2026'!C2590),"",'ENGAGEMENTS 2026'!M2590)</f>
        <v/>
      </c>
      <c r="H2590">
        <f>IF(ISBLANK('ENGAGEMENTS 2026'!C2590),"",'ENGAGEMENTS 2026'!AF2590)</f>
        <v/>
      </c>
      <c r="I2590">
        <f>IF(ISBLANK('ENGAGEMENTS 2026'!C2590),"",'ENGAGEMENTS 2026'!H2590)</f>
        <v/>
      </c>
      <c r="J2590" s="275">
        <f>IF(ISBLANK('ENGAGEMENTS 2026'!C2590),"",IF(AND(OR($E2590="INFRUCTUEUX",$E2590="ANNULE"),$C2590="AOO-M"),'ENGAGEMENTS 2026'!P2590,IF($H2590="EN COURS DE PREENGAGEMENT",'ENGAGEMENTS 2026'!O2590,IF($H2590="PREENGAGE",IF($E2590="ATTRIBUE",'ENGAGEMENTS 2026'!AE2590,'ENGAGEMENTS 2026'!O2590),'ENGAGEMENTS 2026'!AE2590))))</f>
        <v/>
      </c>
      <c r="K2590" s="604">
        <f>IF(ISBLANK('ENGAGEMENTS 2026'!W2590),"",'ENGAGEMENTS 2026'!W2590)</f>
        <v/>
      </c>
      <c r="L2590" s="276">
        <f>IF($K2590="","",TODAY()-$K2590)</f>
        <v/>
      </c>
      <c r="M2590">
        <f>IF($A2590="","",IF($H2590="ENGAGE","Engagé",IF(AND($H2590="NON ENGAGE",OR($I2590="INFRUCTUEUX",$I2590="ANNULE")),"Clôturé sans suite","En cours")))</f>
        <v/>
      </c>
      <c r="N2590">
        <f>IF(ISBLANK('ENGAGEMENTS 2026'!C2590),"",'ENGAGEMENTS 2026'!L2590)</f>
        <v/>
      </c>
      <c r="O2590">
        <f>IF(ISBLANK('ENGAGEMENTS 2026'!C2590),"",'ENGAGEMENTS 2026'!M2590)</f>
        <v/>
      </c>
      <c r="P2590">
        <f>IF(ISBLANK('ENGAGEMENTS 2026'!C2590),"",'ENGAGEMENTS 2026'!K2590)</f>
        <v/>
      </c>
      <c r="Q2590">
        <f>IF($A2590="","",IF(OR($E2590="INFRUCTUEUX",$E2590="ANNULE"),$A2590&amp;"|"&amp;(COUNTIFS($A$2:$A2590,$A2590,$E$2:$E2590,"INFRUCTUEUX")+COUNTIFS($A$2:$A2590,$A2590,$E$2:$E2590,"ANNULE")),""))</f>
        <v/>
      </c>
    </row>
    <row r="2591">
      <c r="A2591">
        <f>IF(ISBLANK('ENGAGEMENTS 2026'!C2591),"",IF('ENGAGEMENTS 2026'!C2591="DTSI","DCT",'ENGAGEMENTS 2026'!C2591))</f>
        <v/>
      </c>
      <c r="B2591">
        <f>IF(ISBLANK('ENGAGEMENTS 2026'!C2591),"",'ENGAGEMENTS 2026'!D2591)</f>
        <v/>
      </c>
      <c r="C2591">
        <f>IF(ISBLANK('ENGAGEMENTS 2026'!C2591),"",'ENGAGEMENTS 2026'!E2591)</f>
        <v/>
      </c>
      <c r="D2591">
        <f>IF(ISBLANK('ENGAGEMENTS 2026'!C2591),"",'ENGAGEMENTS 2026'!G2591)</f>
        <v/>
      </c>
      <c r="E2591">
        <f>IF(ISBLANK('ENGAGEMENTS 2026'!C2591),"",'ENGAGEMENTS 2026'!I2591)</f>
        <v/>
      </c>
      <c r="F2591">
        <f>IF(ISBLANK('ENGAGEMENTS 2026'!C2591),"",'ENGAGEMENTS 2026'!J2591)</f>
        <v/>
      </c>
      <c r="G2591">
        <f>IF(ISBLANK('ENGAGEMENTS 2026'!C2591),"",'ENGAGEMENTS 2026'!M2591)</f>
        <v/>
      </c>
      <c r="H2591">
        <f>IF(ISBLANK('ENGAGEMENTS 2026'!C2591),"",'ENGAGEMENTS 2026'!AF2591)</f>
        <v/>
      </c>
      <c r="I2591">
        <f>IF(ISBLANK('ENGAGEMENTS 2026'!C2591),"",'ENGAGEMENTS 2026'!H2591)</f>
        <v/>
      </c>
      <c r="J2591" s="275">
        <f>IF(ISBLANK('ENGAGEMENTS 2026'!C2591),"",IF(AND(OR($E2591="INFRUCTUEUX",$E2591="ANNULE"),$C2591="AOO-M"),'ENGAGEMENTS 2026'!P2591,IF($H2591="EN COURS DE PREENGAGEMENT",'ENGAGEMENTS 2026'!O2591,IF($H2591="PREENGAGE",IF($E2591="ATTRIBUE",'ENGAGEMENTS 2026'!AE2591,'ENGAGEMENTS 2026'!O2591),'ENGAGEMENTS 2026'!AE2591))))</f>
        <v/>
      </c>
      <c r="K2591" s="604">
        <f>IF(ISBLANK('ENGAGEMENTS 2026'!W2591),"",'ENGAGEMENTS 2026'!W2591)</f>
        <v/>
      </c>
      <c r="L2591" s="276">
        <f>IF($K2591="","",TODAY()-$K2591)</f>
        <v/>
      </c>
      <c r="M2591">
        <f>IF($A2591="","",IF($H2591="ENGAGE","Engagé",IF(AND($H2591="NON ENGAGE",OR($I2591="INFRUCTUEUX",$I2591="ANNULE")),"Clôturé sans suite","En cours")))</f>
        <v/>
      </c>
      <c r="N2591">
        <f>IF(ISBLANK('ENGAGEMENTS 2026'!C2591),"",'ENGAGEMENTS 2026'!L2591)</f>
        <v/>
      </c>
      <c r="O2591">
        <f>IF(ISBLANK('ENGAGEMENTS 2026'!C2591),"",'ENGAGEMENTS 2026'!M2591)</f>
        <v/>
      </c>
      <c r="P2591">
        <f>IF(ISBLANK('ENGAGEMENTS 2026'!C2591),"",'ENGAGEMENTS 2026'!K2591)</f>
        <v/>
      </c>
      <c r="Q2591">
        <f>IF($A2591="","",IF(OR($E2591="INFRUCTUEUX",$E2591="ANNULE"),$A2591&amp;"|"&amp;(COUNTIFS($A$2:$A2591,$A2591,$E$2:$E2591,"INFRUCTUEUX")+COUNTIFS($A$2:$A2591,$A2591,$E$2:$E2591,"ANNULE")),""))</f>
        <v/>
      </c>
    </row>
    <row r="2592">
      <c r="A2592">
        <f>IF(ISBLANK('ENGAGEMENTS 2026'!C2592),"",IF('ENGAGEMENTS 2026'!C2592="DTSI","DCT",'ENGAGEMENTS 2026'!C2592))</f>
        <v/>
      </c>
      <c r="B2592">
        <f>IF(ISBLANK('ENGAGEMENTS 2026'!C2592),"",'ENGAGEMENTS 2026'!D2592)</f>
        <v/>
      </c>
      <c r="C2592">
        <f>IF(ISBLANK('ENGAGEMENTS 2026'!C2592),"",'ENGAGEMENTS 2026'!E2592)</f>
        <v/>
      </c>
      <c r="D2592">
        <f>IF(ISBLANK('ENGAGEMENTS 2026'!C2592),"",'ENGAGEMENTS 2026'!G2592)</f>
        <v/>
      </c>
      <c r="E2592">
        <f>IF(ISBLANK('ENGAGEMENTS 2026'!C2592),"",'ENGAGEMENTS 2026'!I2592)</f>
        <v/>
      </c>
      <c r="F2592">
        <f>IF(ISBLANK('ENGAGEMENTS 2026'!C2592),"",'ENGAGEMENTS 2026'!J2592)</f>
        <v/>
      </c>
      <c r="G2592">
        <f>IF(ISBLANK('ENGAGEMENTS 2026'!C2592),"",'ENGAGEMENTS 2026'!M2592)</f>
        <v/>
      </c>
      <c r="H2592">
        <f>IF(ISBLANK('ENGAGEMENTS 2026'!C2592),"",'ENGAGEMENTS 2026'!AF2592)</f>
        <v/>
      </c>
      <c r="I2592">
        <f>IF(ISBLANK('ENGAGEMENTS 2026'!C2592),"",'ENGAGEMENTS 2026'!H2592)</f>
        <v/>
      </c>
      <c r="J2592" s="275">
        <f>IF(ISBLANK('ENGAGEMENTS 2026'!C2592),"",IF(AND(OR($E2592="INFRUCTUEUX",$E2592="ANNULE"),$C2592="AOO-M"),'ENGAGEMENTS 2026'!P2592,IF($H2592="EN COURS DE PREENGAGEMENT",'ENGAGEMENTS 2026'!O2592,IF($H2592="PREENGAGE",IF($E2592="ATTRIBUE",'ENGAGEMENTS 2026'!AE2592,'ENGAGEMENTS 2026'!O2592),'ENGAGEMENTS 2026'!AE2592))))</f>
        <v/>
      </c>
      <c r="K2592" s="604">
        <f>IF(ISBLANK('ENGAGEMENTS 2026'!W2592),"",'ENGAGEMENTS 2026'!W2592)</f>
        <v/>
      </c>
      <c r="L2592" s="276">
        <f>IF($K2592="","",TODAY()-$K2592)</f>
        <v/>
      </c>
      <c r="M2592">
        <f>IF($A2592="","",IF($H2592="ENGAGE","Engagé",IF(AND($H2592="NON ENGAGE",OR($I2592="INFRUCTUEUX",$I2592="ANNULE")),"Clôturé sans suite","En cours")))</f>
        <v/>
      </c>
      <c r="N2592">
        <f>IF(ISBLANK('ENGAGEMENTS 2026'!C2592),"",'ENGAGEMENTS 2026'!L2592)</f>
        <v/>
      </c>
      <c r="O2592">
        <f>IF(ISBLANK('ENGAGEMENTS 2026'!C2592),"",'ENGAGEMENTS 2026'!M2592)</f>
        <v/>
      </c>
      <c r="P2592">
        <f>IF(ISBLANK('ENGAGEMENTS 2026'!C2592),"",'ENGAGEMENTS 2026'!K2592)</f>
        <v/>
      </c>
      <c r="Q2592">
        <f>IF($A2592="","",IF(OR($E2592="INFRUCTUEUX",$E2592="ANNULE"),$A2592&amp;"|"&amp;(COUNTIFS($A$2:$A2592,$A2592,$E$2:$E2592,"INFRUCTUEUX")+COUNTIFS($A$2:$A2592,$A2592,$E$2:$E2592,"ANNULE")),""))</f>
        <v/>
      </c>
    </row>
    <row r="2593">
      <c r="A2593">
        <f>IF(ISBLANK('ENGAGEMENTS 2026'!C2593),"",IF('ENGAGEMENTS 2026'!C2593="DTSI","DCT",'ENGAGEMENTS 2026'!C2593))</f>
        <v/>
      </c>
      <c r="B2593">
        <f>IF(ISBLANK('ENGAGEMENTS 2026'!C2593),"",'ENGAGEMENTS 2026'!D2593)</f>
        <v/>
      </c>
      <c r="C2593">
        <f>IF(ISBLANK('ENGAGEMENTS 2026'!C2593),"",'ENGAGEMENTS 2026'!E2593)</f>
        <v/>
      </c>
      <c r="D2593">
        <f>IF(ISBLANK('ENGAGEMENTS 2026'!C2593),"",'ENGAGEMENTS 2026'!G2593)</f>
        <v/>
      </c>
      <c r="E2593">
        <f>IF(ISBLANK('ENGAGEMENTS 2026'!C2593),"",'ENGAGEMENTS 2026'!I2593)</f>
        <v/>
      </c>
      <c r="F2593">
        <f>IF(ISBLANK('ENGAGEMENTS 2026'!C2593),"",'ENGAGEMENTS 2026'!J2593)</f>
        <v/>
      </c>
      <c r="G2593">
        <f>IF(ISBLANK('ENGAGEMENTS 2026'!C2593),"",'ENGAGEMENTS 2026'!M2593)</f>
        <v/>
      </c>
      <c r="H2593">
        <f>IF(ISBLANK('ENGAGEMENTS 2026'!C2593),"",'ENGAGEMENTS 2026'!AF2593)</f>
        <v/>
      </c>
      <c r="I2593">
        <f>IF(ISBLANK('ENGAGEMENTS 2026'!C2593),"",'ENGAGEMENTS 2026'!H2593)</f>
        <v/>
      </c>
      <c r="J2593" s="275">
        <f>IF(ISBLANK('ENGAGEMENTS 2026'!C2593),"",IF(AND(OR($E2593="INFRUCTUEUX",$E2593="ANNULE"),$C2593="AOO-M"),'ENGAGEMENTS 2026'!P2593,IF($H2593="EN COURS DE PREENGAGEMENT",'ENGAGEMENTS 2026'!O2593,IF($H2593="PREENGAGE",IF($E2593="ATTRIBUE",'ENGAGEMENTS 2026'!AE2593,'ENGAGEMENTS 2026'!O2593),'ENGAGEMENTS 2026'!AE2593))))</f>
        <v/>
      </c>
      <c r="K2593" s="604">
        <f>IF(ISBLANK('ENGAGEMENTS 2026'!W2593),"",'ENGAGEMENTS 2026'!W2593)</f>
        <v/>
      </c>
      <c r="L2593" s="276">
        <f>IF($K2593="","",TODAY()-$K2593)</f>
        <v/>
      </c>
      <c r="M2593">
        <f>IF($A2593="","",IF($H2593="ENGAGE","Engagé",IF(AND($H2593="NON ENGAGE",OR($I2593="INFRUCTUEUX",$I2593="ANNULE")),"Clôturé sans suite","En cours")))</f>
        <v/>
      </c>
      <c r="N2593">
        <f>IF(ISBLANK('ENGAGEMENTS 2026'!C2593),"",'ENGAGEMENTS 2026'!L2593)</f>
        <v/>
      </c>
      <c r="O2593">
        <f>IF(ISBLANK('ENGAGEMENTS 2026'!C2593),"",'ENGAGEMENTS 2026'!M2593)</f>
        <v/>
      </c>
      <c r="P2593">
        <f>IF(ISBLANK('ENGAGEMENTS 2026'!C2593),"",'ENGAGEMENTS 2026'!K2593)</f>
        <v/>
      </c>
      <c r="Q2593">
        <f>IF($A2593="","",IF(OR($E2593="INFRUCTUEUX",$E2593="ANNULE"),$A2593&amp;"|"&amp;(COUNTIFS($A$2:$A2593,$A2593,$E$2:$E2593,"INFRUCTUEUX")+COUNTIFS($A$2:$A2593,$A2593,$E$2:$E2593,"ANNULE")),""))</f>
        <v/>
      </c>
    </row>
    <row r="2594">
      <c r="A2594">
        <f>IF(ISBLANK('ENGAGEMENTS 2026'!C2594),"",IF('ENGAGEMENTS 2026'!C2594="DTSI","DCT",'ENGAGEMENTS 2026'!C2594))</f>
        <v/>
      </c>
      <c r="B2594">
        <f>IF(ISBLANK('ENGAGEMENTS 2026'!C2594),"",'ENGAGEMENTS 2026'!D2594)</f>
        <v/>
      </c>
      <c r="C2594">
        <f>IF(ISBLANK('ENGAGEMENTS 2026'!C2594),"",'ENGAGEMENTS 2026'!E2594)</f>
        <v/>
      </c>
      <c r="D2594">
        <f>IF(ISBLANK('ENGAGEMENTS 2026'!C2594),"",'ENGAGEMENTS 2026'!G2594)</f>
        <v/>
      </c>
      <c r="E2594">
        <f>IF(ISBLANK('ENGAGEMENTS 2026'!C2594),"",'ENGAGEMENTS 2026'!I2594)</f>
        <v/>
      </c>
      <c r="F2594">
        <f>IF(ISBLANK('ENGAGEMENTS 2026'!C2594),"",'ENGAGEMENTS 2026'!J2594)</f>
        <v/>
      </c>
      <c r="G2594">
        <f>IF(ISBLANK('ENGAGEMENTS 2026'!C2594),"",'ENGAGEMENTS 2026'!M2594)</f>
        <v/>
      </c>
      <c r="H2594">
        <f>IF(ISBLANK('ENGAGEMENTS 2026'!C2594),"",'ENGAGEMENTS 2026'!AF2594)</f>
        <v/>
      </c>
      <c r="I2594">
        <f>IF(ISBLANK('ENGAGEMENTS 2026'!C2594),"",'ENGAGEMENTS 2026'!H2594)</f>
        <v/>
      </c>
      <c r="J2594" s="275">
        <f>IF(ISBLANK('ENGAGEMENTS 2026'!C2594),"",IF(AND(OR($E2594="INFRUCTUEUX",$E2594="ANNULE"),$C2594="AOO-M"),'ENGAGEMENTS 2026'!P2594,IF($H2594="EN COURS DE PREENGAGEMENT",'ENGAGEMENTS 2026'!O2594,IF($H2594="PREENGAGE",IF($E2594="ATTRIBUE",'ENGAGEMENTS 2026'!AE2594,'ENGAGEMENTS 2026'!O2594),'ENGAGEMENTS 2026'!AE2594))))</f>
        <v/>
      </c>
      <c r="K2594" s="604">
        <f>IF(ISBLANK('ENGAGEMENTS 2026'!W2594),"",'ENGAGEMENTS 2026'!W2594)</f>
        <v/>
      </c>
      <c r="L2594" s="276">
        <f>IF($K2594="","",TODAY()-$K2594)</f>
        <v/>
      </c>
      <c r="M2594">
        <f>IF($A2594="","",IF($H2594="ENGAGE","Engagé",IF(AND($H2594="NON ENGAGE",OR($I2594="INFRUCTUEUX",$I2594="ANNULE")),"Clôturé sans suite","En cours")))</f>
        <v/>
      </c>
      <c r="N2594">
        <f>IF(ISBLANK('ENGAGEMENTS 2026'!C2594),"",'ENGAGEMENTS 2026'!L2594)</f>
        <v/>
      </c>
      <c r="O2594">
        <f>IF(ISBLANK('ENGAGEMENTS 2026'!C2594),"",'ENGAGEMENTS 2026'!M2594)</f>
        <v/>
      </c>
      <c r="P2594">
        <f>IF(ISBLANK('ENGAGEMENTS 2026'!C2594),"",'ENGAGEMENTS 2026'!K2594)</f>
        <v/>
      </c>
      <c r="Q2594">
        <f>IF($A2594="","",IF(OR($E2594="INFRUCTUEUX",$E2594="ANNULE"),$A2594&amp;"|"&amp;(COUNTIFS($A$2:$A2594,$A2594,$E$2:$E2594,"INFRUCTUEUX")+COUNTIFS($A$2:$A2594,$A2594,$E$2:$E2594,"ANNULE")),""))</f>
        <v/>
      </c>
    </row>
    <row r="2595">
      <c r="A2595">
        <f>IF(ISBLANK('ENGAGEMENTS 2026'!C2595),"",IF('ENGAGEMENTS 2026'!C2595="DTSI","DCT",'ENGAGEMENTS 2026'!C2595))</f>
        <v/>
      </c>
      <c r="B2595">
        <f>IF(ISBLANK('ENGAGEMENTS 2026'!C2595),"",'ENGAGEMENTS 2026'!D2595)</f>
        <v/>
      </c>
      <c r="C2595">
        <f>IF(ISBLANK('ENGAGEMENTS 2026'!C2595),"",'ENGAGEMENTS 2026'!E2595)</f>
        <v/>
      </c>
      <c r="D2595">
        <f>IF(ISBLANK('ENGAGEMENTS 2026'!C2595),"",'ENGAGEMENTS 2026'!G2595)</f>
        <v/>
      </c>
      <c r="E2595">
        <f>IF(ISBLANK('ENGAGEMENTS 2026'!C2595),"",'ENGAGEMENTS 2026'!I2595)</f>
        <v/>
      </c>
      <c r="F2595">
        <f>IF(ISBLANK('ENGAGEMENTS 2026'!C2595),"",'ENGAGEMENTS 2026'!J2595)</f>
        <v/>
      </c>
      <c r="G2595">
        <f>IF(ISBLANK('ENGAGEMENTS 2026'!C2595),"",'ENGAGEMENTS 2026'!M2595)</f>
        <v/>
      </c>
      <c r="H2595">
        <f>IF(ISBLANK('ENGAGEMENTS 2026'!C2595),"",'ENGAGEMENTS 2026'!AF2595)</f>
        <v/>
      </c>
      <c r="I2595">
        <f>IF(ISBLANK('ENGAGEMENTS 2026'!C2595),"",'ENGAGEMENTS 2026'!H2595)</f>
        <v/>
      </c>
      <c r="J2595" s="275">
        <f>IF(ISBLANK('ENGAGEMENTS 2026'!C2595),"",IF(AND(OR($E2595="INFRUCTUEUX",$E2595="ANNULE"),$C2595="AOO-M"),'ENGAGEMENTS 2026'!P2595,IF($H2595="EN COURS DE PREENGAGEMENT",'ENGAGEMENTS 2026'!O2595,IF($H2595="PREENGAGE",IF($E2595="ATTRIBUE",'ENGAGEMENTS 2026'!AE2595,'ENGAGEMENTS 2026'!O2595),'ENGAGEMENTS 2026'!AE2595))))</f>
        <v/>
      </c>
      <c r="K2595" s="604">
        <f>IF(ISBLANK('ENGAGEMENTS 2026'!W2595),"",'ENGAGEMENTS 2026'!W2595)</f>
        <v/>
      </c>
      <c r="L2595" s="276">
        <f>IF($K2595="","",TODAY()-$K2595)</f>
        <v/>
      </c>
      <c r="M2595">
        <f>IF($A2595="","",IF($H2595="ENGAGE","Engagé",IF(AND($H2595="NON ENGAGE",OR($I2595="INFRUCTUEUX",$I2595="ANNULE")),"Clôturé sans suite","En cours")))</f>
        <v/>
      </c>
      <c r="N2595">
        <f>IF(ISBLANK('ENGAGEMENTS 2026'!C2595),"",'ENGAGEMENTS 2026'!L2595)</f>
        <v/>
      </c>
      <c r="O2595">
        <f>IF(ISBLANK('ENGAGEMENTS 2026'!C2595),"",'ENGAGEMENTS 2026'!M2595)</f>
        <v/>
      </c>
      <c r="P2595">
        <f>IF(ISBLANK('ENGAGEMENTS 2026'!C2595),"",'ENGAGEMENTS 2026'!K2595)</f>
        <v/>
      </c>
      <c r="Q2595">
        <f>IF($A2595="","",IF(OR($E2595="INFRUCTUEUX",$E2595="ANNULE"),$A2595&amp;"|"&amp;(COUNTIFS($A$2:$A2595,$A2595,$E$2:$E2595,"INFRUCTUEUX")+COUNTIFS($A$2:$A2595,$A2595,$E$2:$E2595,"ANNULE")),""))</f>
        <v/>
      </c>
    </row>
    <row r="2596">
      <c r="A2596">
        <f>IF(ISBLANK('ENGAGEMENTS 2026'!C2596),"",IF('ENGAGEMENTS 2026'!C2596="DTSI","DCT",'ENGAGEMENTS 2026'!C2596))</f>
        <v/>
      </c>
      <c r="B2596">
        <f>IF(ISBLANK('ENGAGEMENTS 2026'!C2596),"",'ENGAGEMENTS 2026'!D2596)</f>
        <v/>
      </c>
      <c r="C2596">
        <f>IF(ISBLANK('ENGAGEMENTS 2026'!C2596),"",'ENGAGEMENTS 2026'!E2596)</f>
        <v/>
      </c>
      <c r="D2596">
        <f>IF(ISBLANK('ENGAGEMENTS 2026'!C2596),"",'ENGAGEMENTS 2026'!G2596)</f>
        <v/>
      </c>
      <c r="E2596">
        <f>IF(ISBLANK('ENGAGEMENTS 2026'!C2596),"",'ENGAGEMENTS 2026'!I2596)</f>
        <v/>
      </c>
      <c r="F2596">
        <f>IF(ISBLANK('ENGAGEMENTS 2026'!C2596),"",'ENGAGEMENTS 2026'!J2596)</f>
        <v/>
      </c>
      <c r="G2596">
        <f>IF(ISBLANK('ENGAGEMENTS 2026'!C2596),"",'ENGAGEMENTS 2026'!M2596)</f>
        <v/>
      </c>
      <c r="H2596">
        <f>IF(ISBLANK('ENGAGEMENTS 2026'!C2596),"",'ENGAGEMENTS 2026'!AF2596)</f>
        <v/>
      </c>
      <c r="I2596">
        <f>IF(ISBLANK('ENGAGEMENTS 2026'!C2596),"",'ENGAGEMENTS 2026'!H2596)</f>
        <v/>
      </c>
      <c r="J2596" s="275">
        <f>IF(ISBLANK('ENGAGEMENTS 2026'!C2596),"",IF(AND(OR($E2596="INFRUCTUEUX",$E2596="ANNULE"),$C2596="AOO-M"),'ENGAGEMENTS 2026'!P2596,IF($H2596="EN COURS DE PREENGAGEMENT",'ENGAGEMENTS 2026'!O2596,IF($H2596="PREENGAGE",IF($E2596="ATTRIBUE",'ENGAGEMENTS 2026'!AE2596,'ENGAGEMENTS 2026'!O2596),'ENGAGEMENTS 2026'!AE2596))))</f>
        <v/>
      </c>
      <c r="K2596" s="604">
        <f>IF(ISBLANK('ENGAGEMENTS 2026'!W2596),"",'ENGAGEMENTS 2026'!W2596)</f>
        <v/>
      </c>
      <c r="L2596" s="276">
        <f>IF($K2596="","",TODAY()-$K2596)</f>
        <v/>
      </c>
      <c r="M2596">
        <f>IF($A2596="","",IF($H2596="ENGAGE","Engagé",IF(AND($H2596="NON ENGAGE",OR($I2596="INFRUCTUEUX",$I2596="ANNULE")),"Clôturé sans suite","En cours")))</f>
        <v/>
      </c>
      <c r="N2596">
        <f>IF(ISBLANK('ENGAGEMENTS 2026'!C2596),"",'ENGAGEMENTS 2026'!L2596)</f>
        <v/>
      </c>
      <c r="O2596">
        <f>IF(ISBLANK('ENGAGEMENTS 2026'!C2596),"",'ENGAGEMENTS 2026'!M2596)</f>
        <v/>
      </c>
      <c r="P2596">
        <f>IF(ISBLANK('ENGAGEMENTS 2026'!C2596),"",'ENGAGEMENTS 2026'!K2596)</f>
        <v/>
      </c>
      <c r="Q2596">
        <f>IF($A2596="","",IF(OR($E2596="INFRUCTUEUX",$E2596="ANNULE"),$A2596&amp;"|"&amp;(COUNTIFS($A$2:$A2596,$A2596,$E$2:$E2596,"INFRUCTUEUX")+COUNTIFS($A$2:$A2596,$A2596,$E$2:$E2596,"ANNULE")),""))</f>
        <v/>
      </c>
    </row>
    <row r="2597">
      <c r="A2597">
        <f>IF(ISBLANK('ENGAGEMENTS 2026'!C2597),"",IF('ENGAGEMENTS 2026'!C2597="DTSI","DCT",'ENGAGEMENTS 2026'!C2597))</f>
        <v/>
      </c>
      <c r="B2597">
        <f>IF(ISBLANK('ENGAGEMENTS 2026'!C2597),"",'ENGAGEMENTS 2026'!D2597)</f>
        <v/>
      </c>
      <c r="C2597">
        <f>IF(ISBLANK('ENGAGEMENTS 2026'!C2597),"",'ENGAGEMENTS 2026'!E2597)</f>
        <v/>
      </c>
      <c r="D2597">
        <f>IF(ISBLANK('ENGAGEMENTS 2026'!C2597),"",'ENGAGEMENTS 2026'!G2597)</f>
        <v/>
      </c>
      <c r="E2597">
        <f>IF(ISBLANK('ENGAGEMENTS 2026'!C2597),"",'ENGAGEMENTS 2026'!I2597)</f>
        <v/>
      </c>
      <c r="F2597">
        <f>IF(ISBLANK('ENGAGEMENTS 2026'!C2597),"",'ENGAGEMENTS 2026'!J2597)</f>
        <v/>
      </c>
      <c r="G2597">
        <f>IF(ISBLANK('ENGAGEMENTS 2026'!C2597),"",'ENGAGEMENTS 2026'!M2597)</f>
        <v/>
      </c>
      <c r="H2597">
        <f>IF(ISBLANK('ENGAGEMENTS 2026'!C2597),"",'ENGAGEMENTS 2026'!AF2597)</f>
        <v/>
      </c>
      <c r="I2597">
        <f>IF(ISBLANK('ENGAGEMENTS 2026'!C2597),"",'ENGAGEMENTS 2026'!H2597)</f>
        <v/>
      </c>
      <c r="J2597" s="275">
        <f>IF(ISBLANK('ENGAGEMENTS 2026'!C2597),"",IF(AND(OR($E2597="INFRUCTUEUX",$E2597="ANNULE"),$C2597="AOO-M"),'ENGAGEMENTS 2026'!P2597,IF($H2597="EN COURS DE PREENGAGEMENT",'ENGAGEMENTS 2026'!O2597,IF($H2597="PREENGAGE",IF($E2597="ATTRIBUE",'ENGAGEMENTS 2026'!AE2597,'ENGAGEMENTS 2026'!O2597),'ENGAGEMENTS 2026'!AE2597))))</f>
        <v/>
      </c>
      <c r="K2597" s="604">
        <f>IF(ISBLANK('ENGAGEMENTS 2026'!W2597),"",'ENGAGEMENTS 2026'!W2597)</f>
        <v/>
      </c>
      <c r="L2597" s="276">
        <f>IF($K2597="","",TODAY()-$K2597)</f>
        <v/>
      </c>
      <c r="M2597">
        <f>IF($A2597="","",IF($H2597="ENGAGE","Engagé",IF(AND($H2597="NON ENGAGE",OR($I2597="INFRUCTUEUX",$I2597="ANNULE")),"Clôturé sans suite","En cours")))</f>
        <v/>
      </c>
      <c r="N2597">
        <f>IF(ISBLANK('ENGAGEMENTS 2026'!C2597),"",'ENGAGEMENTS 2026'!L2597)</f>
        <v/>
      </c>
      <c r="O2597">
        <f>IF(ISBLANK('ENGAGEMENTS 2026'!C2597),"",'ENGAGEMENTS 2026'!M2597)</f>
        <v/>
      </c>
      <c r="P2597">
        <f>IF(ISBLANK('ENGAGEMENTS 2026'!C2597),"",'ENGAGEMENTS 2026'!K2597)</f>
        <v/>
      </c>
      <c r="Q2597">
        <f>IF($A2597="","",IF(OR($E2597="INFRUCTUEUX",$E2597="ANNULE"),$A2597&amp;"|"&amp;(COUNTIFS($A$2:$A2597,$A2597,$E$2:$E2597,"INFRUCTUEUX")+COUNTIFS($A$2:$A2597,$A2597,$E$2:$E2597,"ANNULE")),""))</f>
        <v/>
      </c>
    </row>
    <row r="2598">
      <c r="A2598">
        <f>IF(ISBLANK('ENGAGEMENTS 2026'!C2598),"",IF('ENGAGEMENTS 2026'!C2598="DTSI","DCT",'ENGAGEMENTS 2026'!C2598))</f>
        <v/>
      </c>
      <c r="B2598">
        <f>IF(ISBLANK('ENGAGEMENTS 2026'!C2598),"",'ENGAGEMENTS 2026'!D2598)</f>
        <v/>
      </c>
      <c r="C2598">
        <f>IF(ISBLANK('ENGAGEMENTS 2026'!C2598),"",'ENGAGEMENTS 2026'!E2598)</f>
        <v/>
      </c>
      <c r="D2598">
        <f>IF(ISBLANK('ENGAGEMENTS 2026'!C2598),"",'ENGAGEMENTS 2026'!G2598)</f>
        <v/>
      </c>
      <c r="E2598">
        <f>IF(ISBLANK('ENGAGEMENTS 2026'!C2598),"",'ENGAGEMENTS 2026'!I2598)</f>
        <v/>
      </c>
      <c r="F2598">
        <f>IF(ISBLANK('ENGAGEMENTS 2026'!C2598),"",'ENGAGEMENTS 2026'!J2598)</f>
        <v/>
      </c>
      <c r="G2598">
        <f>IF(ISBLANK('ENGAGEMENTS 2026'!C2598),"",'ENGAGEMENTS 2026'!M2598)</f>
        <v/>
      </c>
      <c r="H2598">
        <f>IF(ISBLANK('ENGAGEMENTS 2026'!C2598),"",'ENGAGEMENTS 2026'!AF2598)</f>
        <v/>
      </c>
      <c r="I2598">
        <f>IF(ISBLANK('ENGAGEMENTS 2026'!C2598),"",'ENGAGEMENTS 2026'!H2598)</f>
        <v/>
      </c>
      <c r="J2598" s="275">
        <f>IF(ISBLANK('ENGAGEMENTS 2026'!C2598),"",IF(AND(OR($E2598="INFRUCTUEUX",$E2598="ANNULE"),$C2598="AOO-M"),'ENGAGEMENTS 2026'!P2598,IF($H2598="EN COURS DE PREENGAGEMENT",'ENGAGEMENTS 2026'!O2598,IF($H2598="PREENGAGE",IF($E2598="ATTRIBUE",'ENGAGEMENTS 2026'!AE2598,'ENGAGEMENTS 2026'!O2598),'ENGAGEMENTS 2026'!AE2598))))</f>
        <v/>
      </c>
      <c r="K2598" s="604">
        <f>IF(ISBLANK('ENGAGEMENTS 2026'!W2598),"",'ENGAGEMENTS 2026'!W2598)</f>
        <v/>
      </c>
      <c r="L2598" s="276">
        <f>IF($K2598="","",TODAY()-$K2598)</f>
        <v/>
      </c>
      <c r="M2598">
        <f>IF($A2598="","",IF($H2598="ENGAGE","Engagé",IF(AND($H2598="NON ENGAGE",OR($I2598="INFRUCTUEUX",$I2598="ANNULE")),"Clôturé sans suite","En cours")))</f>
        <v/>
      </c>
      <c r="N2598">
        <f>IF(ISBLANK('ENGAGEMENTS 2026'!C2598),"",'ENGAGEMENTS 2026'!L2598)</f>
        <v/>
      </c>
      <c r="O2598">
        <f>IF(ISBLANK('ENGAGEMENTS 2026'!C2598),"",'ENGAGEMENTS 2026'!M2598)</f>
        <v/>
      </c>
      <c r="P2598">
        <f>IF(ISBLANK('ENGAGEMENTS 2026'!C2598),"",'ENGAGEMENTS 2026'!K2598)</f>
        <v/>
      </c>
      <c r="Q2598">
        <f>IF($A2598="","",IF(OR($E2598="INFRUCTUEUX",$E2598="ANNULE"),$A2598&amp;"|"&amp;(COUNTIFS($A$2:$A2598,$A2598,$E$2:$E2598,"INFRUCTUEUX")+COUNTIFS($A$2:$A2598,$A2598,$E$2:$E2598,"ANNULE")),""))</f>
        <v/>
      </c>
    </row>
    <row r="2599">
      <c r="A2599">
        <f>IF(ISBLANK('ENGAGEMENTS 2026'!C2599),"",IF('ENGAGEMENTS 2026'!C2599="DTSI","DCT",'ENGAGEMENTS 2026'!C2599))</f>
        <v/>
      </c>
      <c r="B2599">
        <f>IF(ISBLANK('ENGAGEMENTS 2026'!C2599),"",'ENGAGEMENTS 2026'!D2599)</f>
        <v/>
      </c>
      <c r="C2599">
        <f>IF(ISBLANK('ENGAGEMENTS 2026'!C2599),"",'ENGAGEMENTS 2026'!E2599)</f>
        <v/>
      </c>
      <c r="D2599">
        <f>IF(ISBLANK('ENGAGEMENTS 2026'!C2599),"",'ENGAGEMENTS 2026'!G2599)</f>
        <v/>
      </c>
      <c r="E2599">
        <f>IF(ISBLANK('ENGAGEMENTS 2026'!C2599),"",'ENGAGEMENTS 2026'!I2599)</f>
        <v/>
      </c>
      <c r="F2599">
        <f>IF(ISBLANK('ENGAGEMENTS 2026'!C2599),"",'ENGAGEMENTS 2026'!J2599)</f>
        <v/>
      </c>
      <c r="G2599">
        <f>IF(ISBLANK('ENGAGEMENTS 2026'!C2599),"",'ENGAGEMENTS 2026'!M2599)</f>
        <v/>
      </c>
      <c r="H2599">
        <f>IF(ISBLANK('ENGAGEMENTS 2026'!C2599),"",'ENGAGEMENTS 2026'!AF2599)</f>
        <v/>
      </c>
      <c r="I2599">
        <f>IF(ISBLANK('ENGAGEMENTS 2026'!C2599),"",'ENGAGEMENTS 2026'!H2599)</f>
        <v/>
      </c>
      <c r="J2599" s="275">
        <f>IF(ISBLANK('ENGAGEMENTS 2026'!C2599),"",IF(AND(OR($E2599="INFRUCTUEUX",$E2599="ANNULE"),$C2599="AOO-M"),'ENGAGEMENTS 2026'!P2599,IF($H2599="EN COURS DE PREENGAGEMENT",'ENGAGEMENTS 2026'!O2599,IF($H2599="PREENGAGE",IF($E2599="ATTRIBUE",'ENGAGEMENTS 2026'!AE2599,'ENGAGEMENTS 2026'!O2599),'ENGAGEMENTS 2026'!AE2599))))</f>
        <v/>
      </c>
      <c r="K2599" s="604">
        <f>IF(ISBLANK('ENGAGEMENTS 2026'!W2599),"",'ENGAGEMENTS 2026'!W2599)</f>
        <v/>
      </c>
      <c r="L2599" s="276">
        <f>IF($K2599="","",TODAY()-$K2599)</f>
        <v/>
      </c>
      <c r="M2599">
        <f>IF($A2599="","",IF($H2599="ENGAGE","Engagé",IF(AND($H2599="NON ENGAGE",OR($I2599="INFRUCTUEUX",$I2599="ANNULE")),"Clôturé sans suite","En cours")))</f>
        <v/>
      </c>
      <c r="N2599">
        <f>IF(ISBLANK('ENGAGEMENTS 2026'!C2599),"",'ENGAGEMENTS 2026'!L2599)</f>
        <v/>
      </c>
      <c r="O2599">
        <f>IF(ISBLANK('ENGAGEMENTS 2026'!C2599),"",'ENGAGEMENTS 2026'!M2599)</f>
        <v/>
      </c>
      <c r="P2599">
        <f>IF(ISBLANK('ENGAGEMENTS 2026'!C2599),"",'ENGAGEMENTS 2026'!K2599)</f>
        <v/>
      </c>
      <c r="Q2599">
        <f>IF($A2599="","",IF(OR($E2599="INFRUCTUEUX",$E2599="ANNULE"),$A2599&amp;"|"&amp;(COUNTIFS($A$2:$A2599,$A2599,$E$2:$E2599,"INFRUCTUEUX")+COUNTIFS($A$2:$A2599,$A2599,$E$2:$E2599,"ANNULE")),""))</f>
        <v/>
      </c>
    </row>
    <row r="2600">
      <c r="A2600">
        <f>IF(ISBLANK('ENGAGEMENTS 2026'!C2600),"",IF('ENGAGEMENTS 2026'!C2600="DTSI","DCT",'ENGAGEMENTS 2026'!C2600))</f>
        <v/>
      </c>
      <c r="B2600">
        <f>IF(ISBLANK('ENGAGEMENTS 2026'!C2600),"",'ENGAGEMENTS 2026'!D2600)</f>
        <v/>
      </c>
      <c r="C2600">
        <f>IF(ISBLANK('ENGAGEMENTS 2026'!C2600),"",'ENGAGEMENTS 2026'!E2600)</f>
        <v/>
      </c>
      <c r="D2600">
        <f>IF(ISBLANK('ENGAGEMENTS 2026'!C2600),"",'ENGAGEMENTS 2026'!G2600)</f>
        <v/>
      </c>
      <c r="E2600">
        <f>IF(ISBLANK('ENGAGEMENTS 2026'!C2600),"",'ENGAGEMENTS 2026'!I2600)</f>
        <v/>
      </c>
      <c r="F2600">
        <f>IF(ISBLANK('ENGAGEMENTS 2026'!C2600),"",'ENGAGEMENTS 2026'!J2600)</f>
        <v/>
      </c>
      <c r="G2600">
        <f>IF(ISBLANK('ENGAGEMENTS 2026'!C2600),"",'ENGAGEMENTS 2026'!M2600)</f>
        <v/>
      </c>
      <c r="H2600">
        <f>IF(ISBLANK('ENGAGEMENTS 2026'!C2600),"",'ENGAGEMENTS 2026'!AF2600)</f>
        <v/>
      </c>
      <c r="I2600">
        <f>IF(ISBLANK('ENGAGEMENTS 2026'!C2600),"",'ENGAGEMENTS 2026'!H2600)</f>
        <v/>
      </c>
      <c r="J2600" s="275">
        <f>IF(ISBLANK('ENGAGEMENTS 2026'!C2600),"",IF(AND(OR($E2600="INFRUCTUEUX",$E2600="ANNULE"),$C2600="AOO-M"),'ENGAGEMENTS 2026'!P2600,IF($H2600="EN COURS DE PREENGAGEMENT",'ENGAGEMENTS 2026'!O2600,IF($H2600="PREENGAGE",IF($E2600="ATTRIBUE",'ENGAGEMENTS 2026'!AE2600,'ENGAGEMENTS 2026'!O2600),'ENGAGEMENTS 2026'!AE2600))))</f>
        <v/>
      </c>
      <c r="K2600" s="604">
        <f>IF(ISBLANK('ENGAGEMENTS 2026'!W2600),"",'ENGAGEMENTS 2026'!W2600)</f>
        <v/>
      </c>
      <c r="L2600" s="276">
        <f>IF($K2600="","",TODAY()-$K2600)</f>
        <v/>
      </c>
      <c r="M2600">
        <f>IF($A2600="","",IF($H2600="ENGAGE","Engagé",IF(AND($H2600="NON ENGAGE",OR($I2600="INFRUCTUEUX",$I2600="ANNULE")),"Clôturé sans suite","En cours")))</f>
        <v/>
      </c>
      <c r="N2600">
        <f>IF(ISBLANK('ENGAGEMENTS 2026'!C2600),"",'ENGAGEMENTS 2026'!L2600)</f>
        <v/>
      </c>
      <c r="O2600">
        <f>IF(ISBLANK('ENGAGEMENTS 2026'!C2600),"",'ENGAGEMENTS 2026'!M2600)</f>
        <v/>
      </c>
      <c r="P2600">
        <f>IF(ISBLANK('ENGAGEMENTS 2026'!C2600),"",'ENGAGEMENTS 2026'!K2600)</f>
        <v/>
      </c>
      <c r="Q2600">
        <f>IF($A2600="","",IF(OR($E2600="INFRUCTUEUX",$E2600="ANNULE"),$A2600&amp;"|"&amp;(COUNTIFS($A$2:$A2600,$A2600,$E$2:$E2600,"INFRUCTUEUX")+COUNTIFS($A$2:$A2600,$A2600,$E$2:$E2600,"ANNULE")),""))</f>
        <v/>
      </c>
    </row>
    <row r="2601">
      <c r="A2601">
        <f>IF(ISBLANK('ENGAGEMENTS 2026'!C2601),"",IF('ENGAGEMENTS 2026'!C2601="DTSI","DCT",'ENGAGEMENTS 2026'!C2601))</f>
        <v/>
      </c>
      <c r="B2601">
        <f>IF(ISBLANK('ENGAGEMENTS 2026'!C2601),"",'ENGAGEMENTS 2026'!D2601)</f>
        <v/>
      </c>
      <c r="C2601">
        <f>IF(ISBLANK('ENGAGEMENTS 2026'!C2601),"",'ENGAGEMENTS 2026'!E2601)</f>
        <v/>
      </c>
      <c r="D2601">
        <f>IF(ISBLANK('ENGAGEMENTS 2026'!C2601),"",'ENGAGEMENTS 2026'!G2601)</f>
        <v/>
      </c>
      <c r="E2601">
        <f>IF(ISBLANK('ENGAGEMENTS 2026'!C2601),"",'ENGAGEMENTS 2026'!I2601)</f>
        <v/>
      </c>
      <c r="F2601">
        <f>IF(ISBLANK('ENGAGEMENTS 2026'!C2601),"",'ENGAGEMENTS 2026'!J2601)</f>
        <v/>
      </c>
      <c r="G2601">
        <f>IF(ISBLANK('ENGAGEMENTS 2026'!C2601),"",'ENGAGEMENTS 2026'!M2601)</f>
        <v/>
      </c>
      <c r="H2601">
        <f>IF(ISBLANK('ENGAGEMENTS 2026'!C2601),"",'ENGAGEMENTS 2026'!AF2601)</f>
        <v/>
      </c>
      <c r="I2601">
        <f>IF(ISBLANK('ENGAGEMENTS 2026'!C2601),"",'ENGAGEMENTS 2026'!H2601)</f>
        <v/>
      </c>
      <c r="J2601" s="275">
        <f>IF(ISBLANK('ENGAGEMENTS 2026'!C2601),"",IF(AND(OR($E2601="INFRUCTUEUX",$E2601="ANNULE"),$C2601="AOO-M"),'ENGAGEMENTS 2026'!P2601,IF($H2601="EN COURS DE PREENGAGEMENT",'ENGAGEMENTS 2026'!O2601,IF($H2601="PREENGAGE",IF($E2601="ATTRIBUE",'ENGAGEMENTS 2026'!AE2601,'ENGAGEMENTS 2026'!O2601),'ENGAGEMENTS 2026'!AE2601))))</f>
        <v/>
      </c>
      <c r="K2601" s="604">
        <f>IF(ISBLANK('ENGAGEMENTS 2026'!W2601),"",'ENGAGEMENTS 2026'!W2601)</f>
        <v/>
      </c>
      <c r="L2601" s="276">
        <f>IF($K2601="","",TODAY()-$K2601)</f>
        <v/>
      </c>
      <c r="M2601">
        <f>IF($A2601="","",IF($H2601="ENGAGE","Engagé",IF(AND($H2601="NON ENGAGE",OR($I2601="INFRUCTUEUX",$I2601="ANNULE")),"Clôturé sans suite","En cours")))</f>
        <v/>
      </c>
      <c r="N2601">
        <f>IF(ISBLANK('ENGAGEMENTS 2026'!C2601),"",'ENGAGEMENTS 2026'!L2601)</f>
        <v/>
      </c>
      <c r="O2601">
        <f>IF(ISBLANK('ENGAGEMENTS 2026'!C2601),"",'ENGAGEMENTS 2026'!M2601)</f>
        <v/>
      </c>
      <c r="P2601">
        <f>IF(ISBLANK('ENGAGEMENTS 2026'!C2601),"",'ENGAGEMENTS 2026'!K2601)</f>
        <v/>
      </c>
      <c r="Q2601">
        <f>IF($A2601="","",IF(OR($E2601="INFRUCTUEUX",$E2601="ANNULE"),$A2601&amp;"|"&amp;(COUNTIFS($A$2:$A2601,$A2601,$E$2:$E2601,"INFRUCTUEUX")+COUNTIFS($A$2:$A2601,$A2601,$E$2:$E2601,"ANNULE")),""))</f>
        <v/>
      </c>
    </row>
    <row r="2602">
      <c r="A2602">
        <f>IF(ISBLANK('ENGAGEMENTS 2026'!C2602),"",IF('ENGAGEMENTS 2026'!C2602="DTSI","DCT",'ENGAGEMENTS 2026'!C2602))</f>
        <v/>
      </c>
      <c r="B2602">
        <f>IF(ISBLANK('ENGAGEMENTS 2026'!C2602),"",'ENGAGEMENTS 2026'!D2602)</f>
        <v/>
      </c>
      <c r="C2602">
        <f>IF(ISBLANK('ENGAGEMENTS 2026'!C2602),"",'ENGAGEMENTS 2026'!E2602)</f>
        <v/>
      </c>
      <c r="D2602">
        <f>IF(ISBLANK('ENGAGEMENTS 2026'!C2602),"",'ENGAGEMENTS 2026'!G2602)</f>
        <v/>
      </c>
      <c r="E2602">
        <f>IF(ISBLANK('ENGAGEMENTS 2026'!C2602),"",'ENGAGEMENTS 2026'!I2602)</f>
        <v/>
      </c>
      <c r="F2602">
        <f>IF(ISBLANK('ENGAGEMENTS 2026'!C2602),"",'ENGAGEMENTS 2026'!J2602)</f>
        <v/>
      </c>
      <c r="G2602">
        <f>IF(ISBLANK('ENGAGEMENTS 2026'!C2602),"",'ENGAGEMENTS 2026'!M2602)</f>
        <v/>
      </c>
      <c r="H2602">
        <f>IF(ISBLANK('ENGAGEMENTS 2026'!C2602),"",'ENGAGEMENTS 2026'!AF2602)</f>
        <v/>
      </c>
      <c r="I2602">
        <f>IF(ISBLANK('ENGAGEMENTS 2026'!C2602),"",'ENGAGEMENTS 2026'!H2602)</f>
        <v/>
      </c>
      <c r="J2602" s="275">
        <f>IF(ISBLANK('ENGAGEMENTS 2026'!C2602),"",IF(AND(OR($E2602="INFRUCTUEUX",$E2602="ANNULE"),$C2602="AOO-M"),'ENGAGEMENTS 2026'!P2602,IF($H2602="EN COURS DE PREENGAGEMENT",'ENGAGEMENTS 2026'!O2602,IF($H2602="PREENGAGE",IF($E2602="ATTRIBUE",'ENGAGEMENTS 2026'!AE2602,'ENGAGEMENTS 2026'!O2602),'ENGAGEMENTS 2026'!AE2602))))</f>
        <v/>
      </c>
      <c r="K2602" s="604">
        <f>IF(ISBLANK('ENGAGEMENTS 2026'!W2602),"",'ENGAGEMENTS 2026'!W2602)</f>
        <v/>
      </c>
      <c r="L2602" s="276">
        <f>IF($K2602="","",TODAY()-$K2602)</f>
        <v/>
      </c>
      <c r="M2602">
        <f>IF($A2602="","",IF($H2602="ENGAGE","Engagé",IF(AND($H2602="NON ENGAGE",OR($I2602="INFRUCTUEUX",$I2602="ANNULE")),"Clôturé sans suite","En cours")))</f>
        <v/>
      </c>
      <c r="N2602">
        <f>IF(ISBLANK('ENGAGEMENTS 2026'!C2602),"",'ENGAGEMENTS 2026'!L2602)</f>
        <v/>
      </c>
      <c r="O2602">
        <f>IF(ISBLANK('ENGAGEMENTS 2026'!C2602),"",'ENGAGEMENTS 2026'!M2602)</f>
        <v/>
      </c>
      <c r="P2602">
        <f>IF(ISBLANK('ENGAGEMENTS 2026'!C2602),"",'ENGAGEMENTS 2026'!K2602)</f>
        <v/>
      </c>
      <c r="Q2602">
        <f>IF($A2602="","",IF(OR($E2602="INFRUCTUEUX",$E2602="ANNULE"),$A2602&amp;"|"&amp;(COUNTIFS($A$2:$A2602,$A2602,$E$2:$E2602,"INFRUCTUEUX")+COUNTIFS($A$2:$A2602,$A2602,$E$2:$E2602,"ANNULE")),""))</f>
        <v/>
      </c>
    </row>
    <row r="2603">
      <c r="A2603">
        <f>IF(ISBLANK('ENGAGEMENTS 2026'!C2603),"",IF('ENGAGEMENTS 2026'!C2603="DTSI","DCT",'ENGAGEMENTS 2026'!C2603))</f>
        <v/>
      </c>
      <c r="B2603">
        <f>IF(ISBLANK('ENGAGEMENTS 2026'!C2603),"",'ENGAGEMENTS 2026'!D2603)</f>
        <v/>
      </c>
      <c r="C2603">
        <f>IF(ISBLANK('ENGAGEMENTS 2026'!C2603),"",'ENGAGEMENTS 2026'!E2603)</f>
        <v/>
      </c>
      <c r="D2603">
        <f>IF(ISBLANK('ENGAGEMENTS 2026'!C2603),"",'ENGAGEMENTS 2026'!G2603)</f>
        <v/>
      </c>
      <c r="E2603">
        <f>IF(ISBLANK('ENGAGEMENTS 2026'!C2603),"",'ENGAGEMENTS 2026'!I2603)</f>
        <v/>
      </c>
      <c r="F2603">
        <f>IF(ISBLANK('ENGAGEMENTS 2026'!C2603),"",'ENGAGEMENTS 2026'!J2603)</f>
        <v/>
      </c>
      <c r="G2603">
        <f>IF(ISBLANK('ENGAGEMENTS 2026'!C2603),"",'ENGAGEMENTS 2026'!M2603)</f>
        <v/>
      </c>
      <c r="H2603">
        <f>IF(ISBLANK('ENGAGEMENTS 2026'!C2603),"",'ENGAGEMENTS 2026'!AF2603)</f>
        <v/>
      </c>
      <c r="I2603">
        <f>IF(ISBLANK('ENGAGEMENTS 2026'!C2603),"",'ENGAGEMENTS 2026'!H2603)</f>
        <v/>
      </c>
      <c r="J2603" s="275">
        <f>IF(ISBLANK('ENGAGEMENTS 2026'!C2603),"",IF(AND(OR($E2603="INFRUCTUEUX",$E2603="ANNULE"),$C2603="AOO-M"),'ENGAGEMENTS 2026'!P2603,IF($H2603="EN COURS DE PREENGAGEMENT",'ENGAGEMENTS 2026'!O2603,IF($H2603="PREENGAGE",IF($E2603="ATTRIBUE",'ENGAGEMENTS 2026'!AE2603,'ENGAGEMENTS 2026'!O2603),'ENGAGEMENTS 2026'!AE2603))))</f>
        <v/>
      </c>
      <c r="K2603" s="604">
        <f>IF(ISBLANK('ENGAGEMENTS 2026'!W2603),"",'ENGAGEMENTS 2026'!W2603)</f>
        <v/>
      </c>
      <c r="L2603" s="276">
        <f>IF($K2603="","",TODAY()-$K2603)</f>
        <v/>
      </c>
      <c r="M2603">
        <f>IF($A2603="","",IF($H2603="ENGAGE","Engagé",IF(AND($H2603="NON ENGAGE",OR($I2603="INFRUCTUEUX",$I2603="ANNULE")),"Clôturé sans suite","En cours")))</f>
        <v/>
      </c>
      <c r="N2603">
        <f>IF(ISBLANK('ENGAGEMENTS 2026'!C2603),"",'ENGAGEMENTS 2026'!L2603)</f>
        <v/>
      </c>
      <c r="O2603">
        <f>IF(ISBLANK('ENGAGEMENTS 2026'!C2603),"",'ENGAGEMENTS 2026'!M2603)</f>
        <v/>
      </c>
      <c r="P2603">
        <f>IF(ISBLANK('ENGAGEMENTS 2026'!C2603),"",'ENGAGEMENTS 2026'!K2603)</f>
        <v/>
      </c>
      <c r="Q2603">
        <f>IF($A2603="","",IF(OR($E2603="INFRUCTUEUX",$E2603="ANNULE"),$A2603&amp;"|"&amp;(COUNTIFS($A$2:$A2603,$A2603,$E$2:$E2603,"INFRUCTUEUX")+COUNTIFS($A$2:$A2603,$A2603,$E$2:$E2603,"ANNULE")),""))</f>
        <v/>
      </c>
    </row>
    <row r="2604">
      <c r="A2604">
        <f>IF(ISBLANK('ENGAGEMENTS 2026'!C2604),"",IF('ENGAGEMENTS 2026'!C2604="DTSI","DCT",'ENGAGEMENTS 2026'!C2604))</f>
        <v/>
      </c>
      <c r="B2604">
        <f>IF(ISBLANK('ENGAGEMENTS 2026'!C2604),"",'ENGAGEMENTS 2026'!D2604)</f>
        <v/>
      </c>
      <c r="C2604">
        <f>IF(ISBLANK('ENGAGEMENTS 2026'!C2604),"",'ENGAGEMENTS 2026'!E2604)</f>
        <v/>
      </c>
      <c r="D2604">
        <f>IF(ISBLANK('ENGAGEMENTS 2026'!C2604),"",'ENGAGEMENTS 2026'!G2604)</f>
        <v/>
      </c>
      <c r="E2604">
        <f>IF(ISBLANK('ENGAGEMENTS 2026'!C2604),"",'ENGAGEMENTS 2026'!I2604)</f>
        <v/>
      </c>
      <c r="F2604">
        <f>IF(ISBLANK('ENGAGEMENTS 2026'!C2604),"",'ENGAGEMENTS 2026'!J2604)</f>
        <v/>
      </c>
      <c r="G2604">
        <f>IF(ISBLANK('ENGAGEMENTS 2026'!C2604),"",'ENGAGEMENTS 2026'!M2604)</f>
        <v/>
      </c>
      <c r="H2604">
        <f>IF(ISBLANK('ENGAGEMENTS 2026'!C2604),"",'ENGAGEMENTS 2026'!AF2604)</f>
        <v/>
      </c>
      <c r="I2604">
        <f>IF(ISBLANK('ENGAGEMENTS 2026'!C2604),"",'ENGAGEMENTS 2026'!H2604)</f>
        <v/>
      </c>
      <c r="J2604" s="275">
        <f>IF(ISBLANK('ENGAGEMENTS 2026'!C2604),"",IF(AND(OR($E2604="INFRUCTUEUX",$E2604="ANNULE"),$C2604="AOO-M"),'ENGAGEMENTS 2026'!P2604,IF($H2604="EN COURS DE PREENGAGEMENT",'ENGAGEMENTS 2026'!O2604,IF($H2604="PREENGAGE",IF($E2604="ATTRIBUE",'ENGAGEMENTS 2026'!AE2604,'ENGAGEMENTS 2026'!O2604),'ENGAGEMENTS 2026'!AE2604))))</f>
        <v/>
      </c>
      <c r="K2604" s="604">
        <f>IF(ISBLANK('ENGAGEMENTS 2026'!W2604),"",'ENGAGEMENTS 2026'!W2604)</f>
        <v/>
      </c>
      <c r="L2604" s="276">
        <f>IF($K2604="","",TODAY()-$K2604)</f>
        <v/>
      </c>
      <c r="M2604">
        <f>IF($A2604="","",IF($H2604="ENGAGE","Engagé",IF(AND($H2604="NON ENGAGE",OR($I2604="INFRUCTUEUX",$I2604="ANNULE")),"Clôturé sans suite","En cours")))</f>
        <v/>
      </c>
      <c r="N2604">
        <f>IF(ISBLANK('ENGAGEMENTS 2026'!C2604),"",'ENGAGEMENTS 2026'!L2604)</f>
        <v/>
      </c>
      <c r="O2604">
        <f>IF(ISBLANK('ENGAGEMENTS 2026'!C2604),"",'ENGAGEMENTS 2026'!M2604)</f>
        <v/>
      </c>
      <c r="P2604">
        <f>IF(ISBLANK('ENGAGEMENTS 2026'!C2604),"",'ENGAGEMENTS 2026'!K2604)</f>
        <v/>
      </c>
      <c r="Q2604">
        <f>IF($A2604="","",IF(OR($E2604="INFRUCTUEUX",$E2604="ANNULE"),$A2604&amp;"|"&amp;(COUNTIFS($A$2:$A2604,$A2604,$E$2:$E2604,"INFRUCTUEUX")+COUNTIFS($A$2:$A2604,$A2604,$E$2:$E2604,"ANNULE")),""))</f>
        <v/>
      </c>
    </row>
    <row r="2605">
      <c r="A2605">
        <f>IF(ISBLANK('ENGAGEMENTS 2026'!C2605),"",IF('ENGAGEMENTS 2026'!C2605="DTSI","DCT",'ENGAGEMENTS 2026'!C2605))</f>
        <v/>
      </c>
      <c r="B2605">
        <f>IF(ISBLANK('ENGAGEMENTS 2026'!C2605),"",'ENGAGEMENTS 2026'!D2605)</f>
        <v/>
      </c>
      <c r="C2605">
        <f>IF(ISBLANK('ENGAGEMENTS 2026'!C2605),"",'ENGAGEMENTS 2026'!E2605)</f>
        <v/>
      </c>
      <c r="D2605">
        <f>IF(ISBLANK('ENGAGEMENTS 2026'!C2605),"",'ENGAGEMENTS 2026'!G2605)</f>
        <v/>
      </c>
      <c r="E2605">
        <f>IF(ISBLANK('ENGAGEMENTS 2026'!C2605),"",'ENGAGEMENTS 2026'!I2605)</f>
        <v/>
      </c>
      <c r="F2605">
        <f>IF(ISBLANK('ENGAGEMENTS 2026'!C2605),"",'ENGAGEMENTS 2026'!J2605)</f>
        <v/>
      </c>
      <c r="G2605">
        <f>IF(ISBLANK('ENGAGEMENTS 2026'!C2605),"",'ENGAGEMENTS 2026'!M2605)</f>
        <v/>
      </c>
      <c r="H2605">
        <f>IF(ISBLANK('ENGAGEMENTS 2026'!C2605),"",'ENGAGEMENTS 2026'!AF2605)</f>
        <v/>
      </c>
      <c r="I2605">
        <f>IF(ISBLANK('ENGAGEMENTS 2026'!C2605),"",'ENGAGEMENTS 2026'!H2605)</f>
        <v/>
      </c>
      <c r="J2605" s="275">
        <f>IF(ISBLANK('ENGAGEMENTS 2026'!C2605),"",IF(AND(OR($E2605="INFRUCTUEUX",$E2605="ANNULE"),$C2605="AOO-M"),'ENGAGEMENTS 2026'!P2605,IF($H2605="EN COURS DE PREENGAGEMENT",'ENGAGEMENTS 2026'!O2605,IF($H2605="PREENGAGE",IF($E2605="ATTRIBUE",'ENGAGEMENTS 2026'!AE2605,'ENGAGEMENTS 2026'!O2605),'ENGAGEMENTS 2026'!AE2605))))</f>
        <v/>
      </c>
      <c r="K2605" s="604">
        <f>IF(ISBLANK('ENGAGEMENTS 2026'!W2605),"",'ENGAGEMENTS 2026'!W2605)</f>
        <v/>
      </c>
      <c r="L2605" s="276">
        <f>IF($K2605="","",TODAY()-$K2605)</f>
        <v/>
      </c>
      <c r="M2605">
        <f>IF($A2605="","",IF($H2605="ENGAGE","Engagé",IF(AND($H2605="NON ENGAGE",OR($I2605="INFRUCTUEUX",$I2605="ANNULE")),"Clôturé sans suite","En cours")))</f>
        <v/>
      </c>
      <c r="N2605">
        <f>IF(ISBLANK('ENGAGEMENTS 2026'!C2605),"",'ENGAGEMENTS 2026'!L2605)</f>
        <v/>
      </c>
      <c r="O2605">
        <f>IF(ISBLANK('ENGAGEMENTS 2026'!C2605),"",'ENGAGEMENTS 2026'!M2605)</f>
        <v/>
      </c>
      <c r="P2605">
        <f>IF(ISBLANK('ENGAGEMENTS 2026'!C2605),"",'ENGAGEMENTS 2026'!K2605)</f>
        <v/>
      </c>
      <c r="Q2605">
        <f>IF($A2605="","",IF(OR($E2605="INFRUCTUEUX",$E2605="ANNULE"),$A2605&amp;"|"&amp;(COUNTIFS($A$2:$A2605,$A2605,$E$2:$E2605,"INFRUCTUEUX")+COUNTIFS($A$2:$A2605,$A2605,$E$2:$E2605,"ANNULE")),""))</f>
        <v/>
      </c>
    </row>
    <row r="2606">
      <c r="A2606">
        <f>IF(ISBLANK('ENGAGEMENTS 2026'!C2606),"",IF('ENGAGEMENTS 2026'!C2606="DTSI","DCT",'ENGAGEMENTS 2026'!C2606))</f>
        <v/>
      </c>
      <c r="B2606">
        <f>IF(ISBLANK('ENGAGEMENTS 2026'!C2606),"",'ENGAGEMENTS 2026'!D2606)</f>
        <v/>
      </c>
      <c r="C2606">
        <f>IF(ISBLANK('ENGAGEMENTS 2026'!C2606),"",'ENGAGEMENTS 2026'!E2606)</f>
        <v/>
      </c>
      <c r="D2606">
        <f>IF(ISBLANK('ENGAGEMENTS 2026'!C2606),"",'ENGAGEMENTS 2026'!G2606)</f>
        <v/>
      </c>
      <c r="E2606">
        <f>IF(ISBLANK('ENGAGEMENTS 2026'!C2606),"",'ENGAGEMENTS 2026'!I2606)</f>
        <v/>
      </c>
      <c r="F2606">
        <f>IF(ISBLANK('ENGAGEMENTS 2026'!C2606),"",'ENGAGEMENTS 2026'!J2606)</f>
        <v/>
      </c>
      <c r="G2606">
        <f>IF(ISBLANK('ENGAGEMENTS 2026'!C2606),"",'ENGAGEMENTS 2026'!M2606)</f>
        <v/>
      </c>
      <c r="H2606">
        <f>IF(ISBLANK('ENGAGEMENTS 2026'!C2606),"",'ENGAGEMENTS 2026'!AF2606)</f>
        <v/>
      </c>
      <c r="I2606">
        <f>IF(ISBLANK('ENGAGEMENTS 2026'!C2606),"",'ENGAGEMENTS 2026'!H2606)</f>
        <v/>
      </c>
      <c r="J2606" s="275">
        <f>IF(ISBLANK('ENGAGEMENTS 2026'!C2606),"",IF(AND(OR($E2606="INFRUCTUEUX",$E2606="ANNULE"),$C2606="AOO-M"),'ENGAGEMENTS 2026'!P2606,IF($H2606="EN COURS DE PREENGAGEMENT",'ENGAGEMENTS 2026'!O2606,IF($H2606="PREENGAGE",IF($E2606="ATTRIBUE",'ENGAGEMENTS 2026'!AE2606,'ENGAGEMENTS 2026'!O2606),'ENGAGEMENTS 2026'!AE2606))))</f>
        <v/>
      </c>
      <c r="K2606" s="604">
        <f>IF(ISBLANK('ENGAGEMENTS 2026'!W2606),"",'ENGAGEMENTS 2026'!W2606)</f>
        <v/>
      </c>
      <c r="L2606" s="276">
        <f>IF($K2606="","",TODAY()-$K2606)</f>
        <v/>
      </c>
      <c r="M2606">
        <f>IF($A2606="","",IF($H2606="ENGAGE","Engagé",IF(AND($H2606="NON ENGAGE",OR($I2606="INFRUCTUEUX",$I2606="ANNULE")),"Clôturé sans suite","En cours")))</f>
        <v/>
      </c>
      <c r="N2606">
        <f>IF(ISBLANK('ENGAGEMENTS 2026'!C2606),"",'ENGAGEMENTS 2026'!L2606)</f>
        <v/>
      </c>
      <c r="O2606">
        <f>IF(ISBLANK('ENGAGEMENTS 2026'!C2606),"",'ENGAGEMENTS 2026'!M2606)</f>
        <v/>
      </c>
      <c r="P2606">
        <f>IF(ISBLANK('ENGAGEMENTS 2026'!C2606),"",'ENGAGEMENTS 2026'!K2606)</f>
        <v/>
      </c>
      <c r="Q2606">
        <f>IF($A2606="","",IF(OR($E2606="INFRUCTUEUX",$E2606="ANNULE"),$A2606&amp;"|"&amp;(COUNTIFS($A$2:$A2606,$A2606,$E$2:$E2606,"INFRUCTUEUX")+COUNTIFS($A$2:$A2606,$A2606,$E$2:$E2606,"ANNULE")),""))</f>
        <v/>
      </c>
    </row>
    <row r="2607">
      <c r="A2607">
        <f>IF(ISBLANK('ENGAGEMENTS 2026'!C2607),"",IF('ENGAGEMENTS 2026'!C2607="DTSI","DCT",'ENGAGEMENTS 2026'!C2607))</f>
        <v/>
      </c>
      <c r="B2607">
        <f>IF(ISBLANK('ENGAGEMENTS 2026'!C2607),"",'ENGAGEMENTS 2026'!D2607)</f>
        <v/>
      </c>
      <c r="C2607">
        <f>IF(ISBLANK('ENGAGEMENTS 2026'!C2607),"",'ENGAGEMENTS 2026'!E2607)</f>
        <v/>
      </c>
      <c r="D2607">
        <f>IF(ISBLANK('ENGAGEMENTS 2026'!C2607),"",'ENGAGEMENTS 2026'!G2607)</f>
        <v/>
      </c>
      <c r="E2607">
        <f>IF(ISBLANK('ENGAGEMENTS 2026'!C2607),"",'ENGAGEMENTS 2026'!I2607)</f>
        <v/>
      </c>
      <c r="F2607">
        <f>IF(ISBLANK('ENGAGEMENTS 2026'!C2607),"",'ENGAGEMENTS 2026'!J2607)</f>
        <v/>
      </c>
      <c r="G2607">
        <f>IF(ISBLANK('ENGAGEMENTS 2026'!C2607),"",'ENGAGEMENTS 2026'!M2607)</f>
        <v/>
      </c>
      <c r="H2607">
        <f>IF(ISBLANK('ENGAGEMENTS 2026'!C2607),"",'ENGAGEMENTS 2026'!AF2607)</f>
        <v/>
      </c>
      <c r="I2607">
        <f>IF(ISBLANK('ENGAGEMENTS 2026'!C2607),"",'ENGAGEMENTS 2026'!H2607)</f>
        <v/>
      </c>
      <c r="J2607" s="275">
        <f>IF(ISBLANK('ENGAGEMENTS 2026'!C2607),"",IF(AND(OR($E2607="INFRUCTUEUX",$E2607="ANNULE"),$C2607="AOO-M"),'ENGAGEMENTS 2026'!P2607,IF($H2607="EN COURS DE PREENGAGEMENT",'ENGAGEMENTS 2026'!O2607,IF($H2607="PREENGAGE",IF($E2607="ATTRIBUE",'ENGAGEMENTS 2026'!AE2607,'ENGAGEMENTS 2026'!O2607),'ENGAGEMENTS 2026'!AE2607))))</f>
        <v/>
      </c>
      <c r="K2607" s="604">
        <f>IF(ISBLANK('ENGAGEMENTS 2026'!W2607),"",'ENGAGEMENTS 2026'!W2607)</f>
        <v/>
      </c>
      <c r="L2607" s="276">
        <f>IF($K2607="","",TODAY()-$K2607)</f>
        <v/>
      </c>
      <c r="M2607">
        <f>IF($A2607="","",IF($H2607="ENGAGE","Engagé",IF(AND($H2607="NON ENGAGE",OR($I2607="INFRUCTUEUX",$I2607="ANNULE")),"Clôturé sans suite","En cours")))</f>
        <v/>
      </c>
      <c r="N2607">
        <f>IF(ISBLANK('ENGAGEMENTS 2026'!C2607),"",'ENGAGEMENTS 2026'!L2607)</f>
        <v/>
      </c>
      <c r="O2607">
        <f>IF(ISBLANK('ENGAGEMENTS 2026'!C2607),"",'ENGAGEMENTS 2026'!M2607)</f>
        <v/>
      </c>
      <c r="P2607">
        <f>IF(ISBLANK('ENGAGEMENTS 2026'!C2607),"",'ENGAGEMENTS 2026'!K2607)</f>
        <v/>
      </c>
      <c r="Q2607">
        <f>IF($A2607="","",IF(OR($E2607="INFRUCTUEUX",$E2607="ANNULE"),$A2607&amp;"|"&amp;(COUNTIFS($A$2:$A2607,$A2607,$E$2:$E2607,"INFRUCTUEUX")+COUNTIFS($A$2:$A2607,$A2607,$E$2:$E2607,"ANNULE")),""))</f>
        <v/>
      </c>
    </row>
    <row r="2608">
      <c r="A2608">
        <f>IF(ISBLANK('ENGAGEMENTS 2026'!C2608),"",IF('ENGAGEMENTS 2026'!C2608="DTSI","DCT",'ENGAGEMENTS 2026'!C2608))</f>
        <v/>
      </c>
      <c r="B2608">
        <f>IF(ISBLANK('ENGAGEMENTS 2026'!C2608),"",'ENGAGEMENTS 2026'!D2608)</f>
        <v/>
      </c>
      <c r="C2608">
        <f>IF(ISBLANK('ENGAGEMENTS 2026'!C2608),"",'ENGAGEMENTS 2026'!E2608)</f>
        <v/>
      </c>
      <c r="D2608">
        <f>IF(ISBLANK('ENGAGEMENTS 2026'!C2608),"",'ENGAGEMENTS 2026'!G2608)</f>
        <v/>
      </c>
      <c r="E2608">
        <f>IF(ISBLANK('ENGAGEMENTS 2026'!C2608),"",'ENGAGEMENTS 2026'!I2608)</f>
        <v/>
      </c>
      <c r="F2608">
        <f>IF(ISBLANK('ENGAGEMENTS 2026'!C2608),"",'ENGAGEMENTS 2026'!J2608)</f>
        <v/>
      </c>
      <c r="G2608">
        <f>IF(ISBLANK('ENGAGEMENTS 2026'!C2608),"",'ENGAGEMENTS 2026'!M2608)</f>
        <v/>
      </c>
      <c r="H2608">
        <f>IF(ISBLANK('ENGAGEMENTS 2026'!C2608),"",'ENGAGEMENTS 2026'!AF2608)</f>
        <v/>
      </c>
      <c r="I2608">
        <f>IF(ISBLANK('ENGAGEMENTS 2026'!C2608),"",'ENGAGEMENTS 2026'!H2608)</f>
        <v/>
      </c>
      <c r="J2608" s="275">
        <f>IF(ISBLANK('ENGAGEMENTS 2026'!C2608),"",IF(AND(OR($E2608="INFRUCTUEUX",$E2608="ANNULE"),$C2608="AOO-M"),'ENGAGEMENTS 2026'!P2608,IF($H2608="EN COURS DE PREENGAGEMENT",'ENGAGEMENTS 2026'!O2608,IF($H2608="PREENGAGE",IF($E2608="ATTRIBUE",'ENGAGEMENTS 2026'!AE2608,'ENGAGEMENTS 2026'!O2608),'ENGAGEMENTS 2026'!AE2608))))</f>
        <v/>
      </c>
      <c r="K2608" s="604">
        <f>IF(ISBLANK('ENGAGEMENTS 2026'!W2608),"",'ENGAGEMENTS 2026'!W2608)</f>
        <v/>
      </c>
      <c r="L2608" s="276">
        <f>IF($K2608="","",TODAY()-$K2608)</f>
        <v/>
      </c>
      <c r="M2608">
        <f>IF($A2608="","",IF($H2608="ENGAGE","Engagé",IF(AND($H2608="NON ENGAGE",OR($I2608="INFRUCTUEUX",$I2608="ANNULE")),"Clôturé sans suite","En cours")))</f>
        <v/>
      </c>
      <c r="N2608">
        <f>IF(ISBLANK('ENGAGEMENTS 2026'!C2608),"",'ENGAGEMENTS 2026'!L2608)</f>
        <v/>
      </c>
      <c r="O2608">
        <f>IF(ISBLANK('ENGAGEMENTS 2026'!C2608),"",'ENGAGEMENTS 2026'!M2608)</f>
        <v/>
      </c>
      <c r="P2608">
        <f>IF(ISBLANK('ENGAGEMENTS 2026'!C2608),"",'ENGAGEMENTS 2026'!K2608)</f>
        <v/>
      </c>
      <c r="Q2608">
        <f>IF($A2608="","",IF(OR($E2608="INFRUCTUEUX",$E2608="ANNULE"),$A2608&amp;"|"&amp;(COUNTIFS($A$2:$A2608,$A2608,$E$2:$E2608,"INFRUCTUEUX")+COUNTIFS($A$2:$A2608,$A2608,$E$2:$E2608,"ANNULE")),""))</f>
        <v/>
      </c>
    </row>
    <row r="2609">
      <c r="A2609">
        <f>IF(ISBLANK('ENGAGEMENTS 2026'!C2609),"",IF('ENGAGEMENTS 2026'!C2609="DTSI","DCT",'ENGAGEMENTS 2026'!C2609))</f>
        <v/>
      </c>
      <c r="B2609">
        <f>IF(ISBLANK('ENGAGEMENTS 2026'!C2609),"",'ENGAGEMENTS 2026'!D2609)</f>
        <v/>
      </c>
      <c r="C2609">
        <f>IF(ISBLANK('ENGAGEMENTS 2026'!C2609),"",'ENGAGEMENTS 2026'!E2609)</f>
        <v/>
      </c>
      <c r="D2609">
        <f>IF(ISBLANK('ENGAGEMENTS 2026'!C2609),"",'ENGAGEMENTS 2026'!G2609)</f>
        <v/>
      </c>
      <c r="E2609">
        <f>IF(ISBLANK('ENGAGEMENTS 2026'!C2609),"",'ENGAGEMENTS 2026'!I2609)</f>
        <v/>
      </c>
      <c r="F2609">
        <f>IF(ISBLANK('ENGAGEMENTS 2026'!C2609),"",'ENGAGEMENTS 2026'!J2609)</f>
        <v/>
      </c>
      <c r="G2609">
        <f>IF(ISBLANK('ENGAGEMENTS 2026'!C2609),"",'ENGAGEMENTS 2026'!M2609)</f>
        <v/>
      </c>
      <c r="H2609">
        <f>IF(ISBLANK('ENGAGEMENTS 2026'!C2609),"",'ENGAGEMENTS 2026'!AF2609)</f>
        <v/>
      </c>
      <c r="I2609">
        <f>IF(ISBLANK('ENGAGEMENTS 2026'!C2609),"",'ENGAGEMENTS 2026'!H2609)</f>
        <v/>
      </c>
      <c r="J2609" s="275">
        <f>IF(ISBLANK('ENGAGEMENTS 2026'!C2609),"",IF(AND(OR($E2609="INFRUCTUEUX",$E2609="ANNULE"),$C2609="AOO-M"),'ENGAGEMENTS 2026'!P2609,IF($H2609="EN COURS DE PREENGAGEMENT",'ENGAGEMENTS 2026'!O2609,IF($H2609="PREENGAGE",IF($E2609="ATTRIBUE",'ENGAGEMENTS 2026'!AE2609,'ENGAGEMENTS 2026'!O2609),'ENGAGEMENTS 2026'!AE2609))))</f>
        <v/>
      </c>
      <c r="K2609" s="604">
        <f>IF(ISBLANK('ENGAGEMENTS 2026'!W2609),"",'ENGAGEMENTS 2026'!W2609)</f>
        <v/>
      </c>
      <c r="L2609" s="276">
        <f>IF($K2609="","",TODAY()-$K2609)</f>
        <v/>
      </c>
      <c r="M2609">
        <f>IF($A2609="","",IF($H2609="ENGAGE","Engagé",IF(AND($H2609="NON ENGAGE",OR($I2609="INFRUCTUEUX",$I2609="ANNULE")),"Clôturé sans suite","En cours")))</f>
        <v/>
      </c>
      <c r="N2609">
        <f>IF(ISBLANK('ENGAGEMENTS 2026'!C2609),"",'ENGAGEMENTS 2026'!L2609)</f>
        <v/>
      </c>
      <c r="O2609">
        <f>IF(ISBLANK('ENGAGEMENTS 2026'!C2609),"",'ENGAGEMENTS 2026'!M2609)</f>
        <v/>
      </c>
      <c r="P2609">
        <f>IF(ISBLANK('ENGAGEMENTS 2026'!C2609),"",'ENGAGEMENTS 2026'!K2609)</f>
        <v/>
      </c>
      <c r="Q2609">
        <f>IF($A2609="","",IF(OR($E2609="INFRUCTUEUX",$E2609="ANNULE"),$A2609&amp;"|"&amp;(COUNTIFS($A$2:$A2609,$A2609,$E$2:$E2609,"INFRUCTUEUX")+COUNTIFS($A$2:$A2609,$A2609,$E$2:$E2609,"ANNULE")),""))</f>
        <v/>
      </c>
    </row>
    <row r="2610">
      <c r="A2610">
        <f>IF(ISBLANK('ENGAGEMENTS 2026'!C2610),"",IF('ENGAGEMENTS 2026'!C2610="DTSI","DCT",'ENGAGEMENTS 2026'!C2610))</f>
        <v/>
      </c>
      <c r="B2610">
        <f>IF(ISBLANK('ENGAGEMENTS 2026'!C2610),"",'ENGAGEMENTS 2026'!D2610)</f>
        <v/>
      </c>
      <c r="C2610">
        <f>IF(ISBLANK('ENGAGEMENTS 2026'!C2610),"",'ENGAGEMENTS 2026'!E2610)</f>
        <v/>
      </c>
      <c r="D2610">
        <f>IF(ISBLANK('ENGAGEMENTS 2026'!C2610),"",'ENGAGEMENTS 2026'!G2610)</f>
        <v/>
      </c>
      <c r="E2610">
        <f>IF(ISBLANK('ENGAGEMENTS 2026'!C2610),"",'ENGAGEMENTS 2026'!I2610)</f>
        <v/>
      </c>
      <c r="F2610">
        <f>IF(ISBLANK('ENGAGEMENTS 2026'!C2610),"",'ENGAGEMENTS 2026'!J2610)</f>
        <v/>
      </c>
      <c r="G2610">
        <f>IF(ISBLANK('ENGAGEMENTS 2026'!C2610),"",'ENGAGEMENTS 2026'!M2610)</f>
        <v/>
      </c>
      <c r="H2610">
        <f>IF(ISBLANK('ENGAGEMENTS 2026'!C2610),"",'ENGAGEMENTS 2026'!AF2610)</f>
        <v/>
      </c>
      <c r="I2610">
        <f>IF(ISBLANK('ENGAGEMENTS 2026'!C2610),"",'ENGAGEMENTS 2026'!H2610)</f>
        <v/>
      </c>
      <c r="J2610" s="275">
        <f>IF(ISBLANK('ENGAGEMENTS 2026'!C2610),"",IF(AND(OR($E2610="INFRUCTUEUX",$E2610="ANNULE"),$C2610="AOO-M"),'ENGAGEMENTS 2026'!P2610,IF($H2610="EN COURS DE PREENGAGEMENT",'ENGAGEMENTS 2026'!O2610,IF($H2610="PREENGAGE",IF($E2610="ATTRIBUE",'ENGAGEMENTS 2026'!AE2610,'ENGAGEMENTS 2026'!O2610),'ENGAGEMENTS 2026'!AE2610))))</f>
        <v/>
      </c>
      <c r="K2610" s="604">
        <f>IF(ISBLANK('ENGAGEMENTS 2026'!W2610),"",'ENGAGEMENTS 2026'!W2610)</f>
        <v/>
      </c>
      <c r="L2610" s="276">
        <f>IF($K2610="","",TODAY()-$K2610)</f>
        <v/>
      </c>
      <c r="M2610">
        <f>IF($A2610="","",IF($H2610="ENGAGE","Engagé",IF(AND($H2610="NON ENGAGE",OR($I2610="INFRUCTUEUX",$I2610="ANNULE")),"Clôturé sans suite","En cours")))</f>
        <v/>
      </c>
      <c r="N2610">
        <f>IF(ISBLANK('ENGAGEMENTS 2026'!C2610),"",'ENGAGEMENTS 2026'!L2610)</f>
        <v/>
      </c>
      <c r="O2610">
        <f>IF(ISBLANK('ENGAGEMENTS 2026'!C2610),"",'ENGAGEMENTS 2026'!M2610)</f>
        <v/>
      </c>
      <c r="P2610">
        <f>IF(ISBLANK('ENGAGEMENTS 2026'!C2610),"",'ENGAGEMENTS 2026'!K2610)</f>
        <v/>
      </c>
      <c r="Q2610">
        <f>IF($A2610="","",IF(OR($E2610="INFRUCTUEUX",$E2610="ANNULE"),$A2610&amp;"|"&amp;(COUNTIFS($A$2:$A2610,$A2610,$E$2:$E2610,"INFRUCTUEUX")+COUNTIFS($A$2:$A2610,$A2610,$E$2:$E2610,"ANNULE")),""))</f>
        <v/>
      </c>
    </row>
    <row r="2611">
      <c r="A2611">
        <f>IF(ISBLANK('ENGAGEMENTS 2026'!C2611),"",IF('ENGAGEMENTS 2026'!C2611="DTSI","DCT",'ENGAGEMENTS 2026'!C2611))</f>
        <v/>
      </c>
      <c r="B2611">
        <f>IF(ISBLANK('ENGAGEMENTS 2026'!C2611),"",'ENGAGEMENTS 2026'!D2611)</f>
        <v/>
      </c>
      <c r="C2611">
        <f>IF(ISBLANK('ENGAGEMENTS 2026'!C2611),"",'ENGAGEMENTS 2026'!E2611)</f>
        <v/>
      </c>
      <c r="D2611">
        <f>IF(ISBLANK('ENGAGEMENTS 2026'!C2611),"",'ENGAGEMENTS 2026'!G2611)</f>
        <v/>
      </c>
      <c r="E2611">
        <f>IF(ISBLANK('ENGAGEMENTS 2026'!C2611),"",'ENGAGEMENTS 2026'!I2611)</f>
        <v/>
      </c>
      <c r="F2611">
        <f>IF(ISBLANK('ENGAGEMENTS 2026'!C2611),"",'ENGAGEMENTS 2026'!J2611)</f>
        <v/>
      </c>
      <c r="G2611">
        <f>IF(ISBLANK('ENGAGEMENTS 2026'!C2611),"",'ENGAGEMENTS 2026'!M2611)</f>
        <v/>
      </c>
      <c r="H2611">
        <f>IF(ISBLANK('ENGAGEMENTS 2026'!C2611),"",'ENGAGEMENTS 2026'!AF2611)</f>
        <v/>
      </c>
      <c r="I2611">
        <f>IF(ISBLANK('ENGAGEMENTS 2026'!C2611),"",'ENGAGEMENTS 2026'!H2611)</f>
        <v/>
      </c>
      <c r="J2611" s="275">
        <f>IF(ISBLANK('ENGAGEMENTS 2026'!C2611),"",IF(AND(OR($E2611="INFRUCTUEUX",$E2611="ANNULE"),$C2611="AOO-M"),'ENGAGEMENTS 2026'!P2611,IF($H2611="EN COURS DE PREENGAGEMENT",'ENGAGEMENTS 2026'!O2611,IF($H2611="PREENGAGE",IF($E2611="ATTRIBUE",'ENGAGEMENTS 2026'!AE2611,'ENGAGEMENTS 2026'!O2611),'ENGAGEMENTS 2026'!AE2611))))</f>
        <v/>
      </c>
      <c r="K2611" s="604">
        <f>IF(ISBLANK('ENGAGEMENTS 2026'!W2611),"",'ENGAGEMENTS 2026'!W2611)</f>
        <v/>
      </c>
      <c r="L2611" s="276">
        <f>IF($K2611="","",TODAY()-$K2611)</f>
        <v/>
      </c>
      <c r="M2611">
        <f>IF($A2611="","",IF($H2611="ENGAGE","Engagé",IF(AND($H2611="NON ENGAGE",OR($I2611="INFRUCTUEUX",$I2611="ANNULE")),"Clôturé sans suite","En cours")))</f>
        <v/>
      </c>
      <c r="N2611">
        <f>IF(ISBLANK('ENGAGEMENTS 2026'!C2611),"",'ENGAGEMENTS 2026'!L2611)</f>
        <v/>
      </c>
      <c r="O2611">
        <f>IF(ISBLANK('ENGAGEMENTS 2026'!C2611),"",'ENGAGEMENTS 2026'!M2611)</f>
        <v/>
      </c>
      <c r="P2611">
        <f>IF(ISBLANK('ENGAGEMENTS 2026'!C2611),"",'ENGAGEMENTS 2026'!K2611)</f>
        <v/>
      </c>
      <c r="Q2611">
        <f>IF($A2611="","",IF(OR($E2611="INFRUCTUEUX",$E2611="ANNULE"),$A2611&amp;"|"&amp;(COUNTIFS($A$2:$A2611,$A2611,$E$2:$E2611,"INFRUCTUEUX")+COUNTIFS($A$2:$A2611,$A2611,$E$2:$E2611,"ANNULE")),""))</f>
        <v/>
      </c>
    </row>
    <row r="2612">
      <c r="A2612">
        <f>IF(ISBLANK('ENGAGEMENTS 2026'!C2612),"",IF('ENGAGEMENTS 2026'!C2612="DTSI","DCT",'ENGAGEMENTS 2026'!C2612))</f>
        <v/>
      </c>
      <c r="B2612">
        <f>IF(ISBLANK('ENGAGEMENTS 2026'!C2612),"",'ENGAGEMENTS 2026'!D2612)</f>
        <v/>
      </c>
      <c r="C2612">
        <f>IF(ISBLANK('ENGAGEMENTS 2026'!C2612),"",'ENGAGEMENTS 2026'!E2612)</f>
        <v/>
      </c>
      <c r="D2612">
        <f>IF(ISBLANK('ENGAGEMENTS 2026'!C2612),"",'ENGAGEMENTS 2026'!G2612)</f>
        <v/>
      </c>
      <c r="E2612">
        <f>IF(ISBLANK('ENGAGEMENTS 2026'!C2612),"",'ENGAGEMENTS 2026'!I2612)</f>
        <v/>
      </c>
      <c r="F2612">
        <f>IF(ISBLANK('ENGAGEMENTS 2026'!C2612),"",'ENGAGEMENTS 2026'!J2612)</f>
        <v/>
      </c>
      <c r="G2612">
        <f>IF(ISBLANK('ENGAGEMENTS 2026'!C2612),"",'ENGAGEMENTS 2026'!M2612)</f>
        <v/>
      </c>
      <c r="H2612">
        <f>IF(ISBLANK('ENGAGEMENTS 2026'!C2612),"",'ENGAGEMENTS 2026'!AF2612)</f>
        <v/>
      </c>
      <c r="I2612">
        <f>IF(ISBLANK('ENGAGEMENTS 2026'!C2612),"",'ENGAGEMENTS 2026'!H2612)</f>
        <v/>
      </c>
      <c r="J2612" s="275">
        <f>IF(ISBLANK('ENGAGEMENTS 2026'!C2612),"",IF(AND(OR($E2612="INFRUCTUEUX",$E2612="ANNULE"),$C2612="AOO-M"),'ENGAGEMENTS 2026'!P2612,IF($H2612="EN COURS DE PREENGAGEMENT",'ENGAGEMENTS 2026'!O2612,IF($H2612="PREENGAGE",IF($E2612="ATTRIBUE",'ENGAGEMENTS 2026'!AE2612,'ENGAGEMENTS 2026'!O2612),'ENGAGEMENTS 2026'!AE2612))))</f>
        <v/>
      </c>
      <c r="K2612" s="604">
        <f>IF(ISBLANK('ENGAGEMENTS 2026'!W2612),"",'ENGAGEMENTS 2026'!W2612)</f>
        <v/>
      </c>
      <c r="L2612" s="276">
        <f>IF($K2612="","",TODAY()-$K2612)</f>
        <v/>
      </c>
      <c r="M2612">
        <f>IF($A2612="","",IF($H2612="ENGAGE","Engagé",IF(AND($H2612="NON ENGAGE",OR($I2612="INFRUCTUEUX",$I2612="ANNULE")),"Clôturé sans suite","En cours")))</f>
        <v/>
      </c>
      <c r="N2612">
        <f>IF(ISBLANK('ENGAGEMENTS 2026'!C2612),"",'ENGAGEMENTS 2026'!L2612)</f>
        <v/>
      </c>
      <c r="O2612">
        <f>IF(ISBLANK('ENGAGEMENTS 2026'!C2612),"",'ENGAGEMENTS 2026'!M2612)</f>
        <v/>
      </c>
      <c r="P2612">
        <f>IF(ISBLANK('ENGAGEMENTS 2026'!C2612),"",'ENGAGEMENTS 2026'!K2612)</f>
        <v/>
      </c>
      <c r="Q2612">
        <f>IF($A2612="","",IF(OR($E2612="INFRUCTUEUX",$E2612="ANNULE"),$A2612&amp;"|"&amp;(COUNTIFS($A$2:$A2612,$A2612,$E$2:$E2612,"INFRUCTUEUX")+COUNTIFS($A$2:$A2612,$A2612,$E$2:$E2612,"ANNULE")),""))</f>
        <v/>
      </c>
    </row>
    <row r="2613">
      <c r="A2613">
        <f>IF(ISBLANK('ENGAGEMENTS 2026'!C2613),"",IF('ENGAGEMENTS 2026'!C2613="DTSI","DCT",'ENGAGEMENTS 2026'!C2613))</f>
        <v/>
      </c>
      <c r="B2613">
        <f>IF(ISBLANK('ENGAGEMENTS 2026'!C2613),"",'ENGAGEMENTS 2026'!D2613)</f>
        <v/>
      </c>
      <c r="C2613">
        <f>IF(ISBLANK('ENGAGEMENTS 2026'!C2613),"",'ENGAGEMENTS 2026'!E2613)</f>
        <v/>
      </c>
      <c r="D2613">
        <f>IF(ISBLANK('ENGAGEMENTS 2026'!C2613),"",'ENGAGEMENTS 2026'!G2613)</f>
        <v/>
      </c>
      <c r="E2613">
        <f>IF(ISBLANK('ENGAGEMENTS 2026'!C2613),"",'ENGAGEMENTS 2026'!I2613)</f>
        <v/>
      </c>
      <c r="F2613">
        <f>IF(ISBLANK('ENGAGEMENTS 2026'!C2613),"",'ENGAGEMENTS 2026'!J2613)</f>
        <v/>
      </c>
      <c r="G2613">
        <f>IF(ISBLANK('ENGAGEMENTS 2026'!C2613),"",'ENGAGEMENTS 2026'!M2613)</f>
        <v/>
      </c>
      <c r="H2613">
        <f>IF(ISBLANK('ENGAGEMENTS 2026'!C2613),"",'ENGAGEMENTS 2026'!AF2613)</f>
        <v/>
      </c>
      <c r="I2613">
        <f>IF(ISBLANK('ENGAGEMENTS 2026'!C2613),"",'ENGAGEMENTS 2026'!H2613)</f>
        <v/>
      </c>
      <c r="J2613" s="275">
        <f>IF(ISBLANK('ENGAGEMENTS 2026'!C2613),"",IF(AND(OR($E2613="INFRUCTUEUX",$E2613="ANNULE"),$C2613="AOO-M"),'ENGAGEMENTS 2026'!P2613,IF($H2613="EN COURS DE PREENGAGEMENT",'ENGAGEMENTS 2026'!O2613,IF($H2613="PREENGAGE",IF($E2613="ATTRIBUE",'ENGAGEMENTS 2026'!AE2613,'ENGAGEMENTS 2026'!O2613),'ENGAGEMENTS 2026'!AE2613))))</f>
        <v/>
      </c>
      <c r="K2613" s="604">
        <f>IF(ISBLANK('ENGAGEMENTS 2026'!W2613),"",'ENGAGEMENTS 2026'!W2613)</f>
        <v/>
      </c>
      <c r="L2613" s="276">
        <f>IF($K2613="","",TODAY()-$K2613)</f>
        <v/>
      </c>
      <c r="M2613">
        <f>IF($A2613="","",IF($H2613="ENGAGE","Engagé",IF(AND($H2613="NON ENGAGE",OR($I2613="INFRUCTUEUX",$I2613="ANNULE")),"Clôturé sans suite","En cours")))</f>
        <v/>
      </c>
      <c r="N2613">
        <f>IF(ISBLANK('ENGAGEMENTS 2026'!C2613),"",'ENGAGEMENTS 2026'!L2613)</f>
        <v/>
      </c>
      <c r="O2613">
        <f>IF(ISBLANK('ENGAGEMENTS 2026'!C2613),"",'ENGAGEMENTS 2026'!M2613)</f>
        <v/>
      </c>
      <c r="P2613">
        <f>IF(ISBLANK('ENGAGEMENTS 2026'!C2613),"",'ENGAGEMENTS 2026'!K2613)</f>
        <v/>
      </c>
      <c r="Q2613">
        <f>IF($A2613="","",IF(OR($E2613="INFRUCTUEUX",$E2613="ANNULE"),$A2613&amp;"|"&amp;(COUNTIFS($A$2:$A2613,$A2613,$E$2:$E2613,"INFRUCTUEUX")+COUNTIFS($A$2:$A2613,$A2613,$E$2:$E2613,"ANNULE")),""))</f>
        <v/>
      </c>
    </row>
    <row r="2614">
      <c r="A2614">
        <f>IF(ISBLANK('ENGAGEMENTS 2026'!C2614),"",IF('ENGAGEMENTS 2026'!C2614="DTSI","DCT",'ENGAGEMENTS 2026'!C2614))</f>
        <v/>
      </c>
      <c r="B2614">
        <f>IF(ISBLANK('ENGAGEMENTS 2026'!C2614),"",'ENGAGEMENTS 2026'!D2614)</f>
        <v/>
      </c>
      <c r="C2614">
        <f>IF(ISBLANK('ENGAGEMENTS 2026'!C2614),"",'ENGAGEMENTS 2026'!E2614)</f>
        <v/>
      </c>
      <c r="D2614">
        <f>IF(ISBLANK('ENGAGEMENTS 2026'!C2614),"",'ENGAGEMENTS 2026'!G2614)</f>
        <v/>
      </c>
      <c r="E2614">
        <f>IF(ISBLANK('ENGAGEMENTS 2026'!C2614),"",'ENGAGEMENTS 2026'!I2614)</f>
        <v/>
      </c>
      <c r="F2614">
        <f>IF(ISBLANK('ENGAGEMENTS 2026'!C2614),"",'ENGAGEMENTS 2026'!J2614)</f>
        <v/>
      </c>
      <c r="G2614">
        <f>IF(ISBLANK('ENGAGEMENTS 2026'!C2614),"",'ENGAGEMENTS 2026'!M2614)</f>
        <v/>
      </c>
      <c r="H2614">
        <f>IF(ISBLANK('ENGAGEMENTS 2026'!C2614),"",'ENGAGEMENTS 2026'!AF2614)</f>
        <v/>
      </c>
      <c r="I2614">
        <f>IF(ISBLANK('ENGAGEMENTS 2026'!C2614),"",'ENGAGEMENTS 2026'!H2614)</f>
        <v/>
      </c>
      <c r="J2614" s="275">
        <f>IF(ISBLANK('ENGAGEMENTS 2026'!C2614),"",IF(AND(OR($E2614="INFRUCTUEUX",$E2614="ANNULE"),$C2614="AOO-M"),'ENGAGEMENTS 2026'!P2614,IF($H2614="EN COURS DE PREENGAGEMENT",'ENGAGEMENTS 2026'!O2614,IF($H2614="PREENGAGE",IF($E2614="ATTRIBUE",'ENGAGEMENTS 2026'!AE2614,'ENGAGEMENTS 2026'!O2614),'ENGAGEMENTS 2026'!AE2614))))</f>
        <v/>
      </c>
      <c r="K2614" s="604">
        <f>IF(ISBLANK('ENGAGEMENTS 2026'!W2614),"",'ENGAGEMENTS 2026'!W2614)</f>
        <v/>
      </c>
      <c r="L2614" s="276">
        <f>IF($K2614="","",TODAY()-$K2614)</f>
        <v/>
      </c>
      <c r="M2614">
        <f>IF($A2614="","",IF($H2614="ENGAGE","Engagé",IF(AND($H2614="NON ENGAGE",OR($I2614="INFRUCTUEUX",$I2614="ANNULE")),"Clôturé sans suite","En cours")))</f>
        <v/>
      </c>
      <c r="N2614">
        <f>IF(ISBLANK('ENGAGEMENTS 2026'!C2614),"",'ENGAGEMENTS 2026'!L2614)</f>
        <v/>
      </c>
      <c r="O2614">
        <f>IF(ISBLANK('ENGAGEMENTS 2026'!C2614),"",'ENGAGEMENTS 2026'!M2614)</f>
        <v/>
      </c>
      <c r="P2614">
        <f>IF(ISBLANK('ENGAGEMENTS 2026'!C2614),"",'ENGAGEMENTS 2026'!K2614)</f>
        <v/>
      </c>
      <c r="Q2614">
        <f>IF($A2614="","",IF(OR($E2614="INFRUCTUEUX",$E2614="ANNULE"),$A2614&amp;"|"&amp;(COUNTIFS($A$2:$A2614,$A2614,$E$2:$E2614,"INFRUCTUEUX")+COUNTIFS($A$2:$A2614,$A2614,$E$2:$E2614,"ANNULE")),""))</f>
        <v/>
      </c>
    </row>
    <row r="2615">
      <c r="A2615">
        <f>IF(ISBLANK('ENGAGEMENTS 2026'!C2615),"",IF('ENGAGEMENTS 2026'!C2615="DTSI","DCT",'ENGAGEMENTS 2026'!C2615))</f>
        <v/>
      </c>
      <c r="B2615">
        <f>IF(ISBLANK('ENGAGEMENTS 2026'!C2615),"",'ENGAGEMENTS 2026'!D2615)</f>
        <v/>
      </c>
      <c r="C2615">
        <f>IF(ISBLANK('ENGAGEMENTS 2026'!C2615),"",'ENGAGEMENTS 2026'!E2615)</f>
        <v/>
      </c>
      <c r="D2615">
        <f>IF(ISBLANK('ENGAGEMENTS 2026'!C2615),"",'ENGAGEMENTS 2026'!G2615)</f>
        <v/>
      </c>
      <c r="E2615">
        <f>IF(ISBLANK('ENGAGEMENTS 2026'!C2615),"",'ENGAGEMENTS 2026'!I2615)</f>
        <v/>
      </c>
      <c r="F2615">
        <f>IF(ISBLANK('ENGAGEMENTS 2026'!C2615),"",'ENGAGEMENTS 2026'!J2615)</f>
        <v/>
      </c>
      <c r="G2615">
        <f>IF(ISBLANK('ENGAGEMENTS 2026'!C2615),"",'ENGAGEMENTS 2026'!M2615)</f>
        <v/>
      </c>
      <c r="H2615">
        <f>IF(ISBLANK('ENGAGEMENTS 2026'!C2615),"",'ENGAGEMENTS 2026'!AF2615)</f>
        <v/>
      </c>
      <c r="I2615">
        <f>IF(ISBLANK('ENGAGEMENTS 2026'!C2615),"",'ENGAGEMENTS 2026'!H2615)</f>
        <v/>
      </c>
      <c r="J2615" s="275">
        <f>IF(ISBLANK('ENGAGEMENTS 2026'!C2615),"",IF(AND(OR($E2615="INFRUCTUEUX",$E2615="ANNULE"),$C2615="AOO-M"),'ENGAGEMENTS 2026'!P2615,IF($H2615="EN COURS DE PREENGAGEMENT",'ENGAGEMENTS 2026'!O2615,IF($H2615="PREENGAGE",IF($E2615="ATTRIBUE",'ENGAGEMENTS 2026'!AE2615,'ENGAGEMENTS 2026'!O2615),'ENGAGEMENTS 2026'!AE2615))))</f>
        <v/>
      </c>
      <c r="K2615" s="604">
        <f>IF(ISBLANK('ENGAGEMENTS 2026'!W2615),"",'ENGAGEMENTS 2026'!W2615)</f>
        <v/>
      </c>
      <c r="L2615" s="276">
        <f>IF($K2615="","",TODAY()-$K2615)</f>
        <v/>
      </c>
      <c r="M2615">
        <f>IF($A2615="","",IF($H2615="ENGAGE","Engagé",IF(AND($H2615="NON ENGAGE",OR($I2615="INFRUCTUEUX",$I2615="ANNULE")),"Clôturé sans suite","En cours")))</f>
        <v/>
      </c>
      <c r="N2615">
        <f>IF(ISBLANK('ENGAGEMENTS 2026'!C2615),"",'ENGAGEMENTS 2026'!L2615)</f>
        <v/>
      </c>
      <c r="O2615">
        <f>IF(ISBLANK('ENGAGEMENTS 2026'!C2615),"",'ENGAGEMENTS 2026'!M2615)</f>
        <v/>
      </c>
      <c r="P2615">
        <f>IF(ISBLANK('ENGAGEMENTS 2026'!C2615),"",'ENGAGEMENTS 2026'!K2615)</f>
        <v/>
      </c>
      <c r="Q2615">
        <f>IF($A2615="","",IF(OR($E2615="INFRUCTUEUX",$E2615="ANNULE"),$A2615&amp;"|"&amp;(COUNTIFS($A$2:$A2615,$A2615,$E$2:$E2615,"INFRUCTUEUX")+COUNTIFS($A$2:$A2615,$A2615,$E$2:$E2615,"ANNULE")),""))</f>
        <v/>
      </c>
    </row>
    <row r="2616">
      <c r="A2616">
        <f>IF(ISBLANK('ENGAGEMENTS 2026'!C2616),"",IF('ENGAGEMENTS 2026'!C2616="DTSI","DCT",'ENGAGEMENTS 2026'!C2616))</f>
        <v/>
      </c>
      <c r="B2616">
        <f>IF(ISBLANK('ENGAGEMENTS 2026'!C2616),"",'ENGAGEMENTS 2026'!D2616)</f>
        <v/>
      </c>
      <c r="C2616">
        <f>IF(ISBLANK('ENGAGEMENTS 2026'!C2616),"",'ENGAGEMENTS 2026'!E2616)</f>
        <v/>
      </c>
      <c r="D2616">
        <f>IF(ISBLANK('ENGAGEMENTS 2026'!C2616),"",'ENGAGEMENTS 2026'!G2616)</f>
        <v/>
      </c>
      <c r="E2616">
        <f>IF(ISBLANK('ENGAGEMENTS 2026'!C2616),"",'ENGAGEMENTS 2026'!I2616)</f>
        <v/>
      </c>
      <c r="F2616">
        <f>IF(ISBLANK('ENGAGEMENTS 2026'!C2616),"",'ENGAGEMENTS 2026'!J2616)</f>
        <v/>
      </c>
      <c r="G2616">
        <f>IF(ISBLANK('ENGAGEMENTS 2026'!C2616),"",'ENGAGEMENTS 2026'!M2616)</f>
        <v/>
      </c>
      <c r="H2616">
        <f>IF(ISBLANK('ENGAGEMENTS 2026'!C2616),"",'ENGAGEMENTS 2026'!AF2616)</f>
        <v/>
      </c>
      <c r="I2616">
        <f>IF(ISBLANK('ENGAGEMENTS 2026'!C2616),"",'ENGAGEMENTS 2026'!H2616)</f>
        <v/>
      </c>
      <c r="J2616" s="275">
        <f>IF(ISBLANK('ENGAGEMENTS 2026'!C2616),"",IF(AND(OR($E2616="INFRUCTUEUX",$E2616="ANNULE"),$C2616="AOO-M"),'ENGAGEMENTS 2026'!P2616,IF($H2616="EN COURS DE PREENGAGEMENT",'ENGAGEMENTS 2026'!O2616,IF($H2616="PREENGAGE",IF($E2616="ATTRIBUE",'ENGAGEMENTS 2026'!AE2616,'ENGAGEMENTS 2026'!O2616),'ENGAGEMENTS 2026'!AE2616))))</f>
        <v/>
      </c>
      <c r="K2616" s="604">
        <f>IF(ISBLANK('ENGAGEMENTS 2026'!W2616),"",'ENGAGEMENTS 2026'!W2616)</f>
        <v/>
      </c>
      <c r="L2616" s="276">
        <f>IF($K2616="","",TODAY()-$K2616)</f>
        <v/>
      </c>
      <c r="M2616">
        <f>IF($A2616="","",IF($H2616="ENGAGE","Engagé",IF(AND($H2616="NON ENGAGE",OR($I2616="INFRUCTUEUX",$I2616="ANNULE")),"Clôturé sans suite","En cours")))</f>
        <v/>
      </c>
      <c r="N2616">
        <f>IF(ISBLANK('ENGAGEMENTS 2026'!C2616),"",'ENGAGEMENTS 2026'!L2616)</f>
        <v/>
      </c>
      <c r="O2616">
        <f>IF(ISBLANK('ENGAGEMENTS 2026'!C2616),"",'ENGAGEMENTS 2026'!M2616)</f>
        <v/>
      </c>
      <c r="P2616">
        <f>IF(ISBLANK('ENGAGEMENTS 2026'!C2616),"",'ENGAGEMENTS 2026'!K2616)</f>
        <v/>
      </c>
      <c r="Q2616">
        <f>IF($A2616="","",IF(OR($E2616="INFRUCTUEUX",$E2616="ANNULE"),$A2616&amp;"|"&amp;(COUNTIFS($A$2:$A2616,$A2616,$E$2:$E2616,"INFRUCTUEUX")+COUNTIFS($A$2:$A2616,$A2616,$E$2:$E2616,"ANNULE")),""))</f>
        <v/>
      </c>
    </row>
    <row r="2617">
      <c r="A2617">
        <f>IF(ISBLANK('ENGAGEMENTS 2026'!C2617),"",IF('ENGAGEMENTS 2026'!C2617="DTSI","DCT",'ENGAGEMENTS 2026'!C2617))</f>
        <v/>
      </c>
      <c r="B2617">
        <f>IF(ISBLANK('ENGAGEMENTS 2026'!C2617),"",'ENGAGEMENTS 2026'!D2617)</f>
        <v/>
      </c>
      <c r="C2617">
        <f>IF(ISBLANK('ENGAGEMENTS 2026'!C2617),"",'ENGAGEMENTS 2026'!E2617)</f>
        <v/>
      </c>
      <c r="D2617">
        <f>IF(ISBLANK('ENGAGEMENTS 2026'!C2617),"",'ENGAGEMENTS 2026'!G2617)</f>
        <v/>
      </c>
      <c r="E2617">
        <f>IF(ISBLANK('ENGAGEMENTS 2026'!C2617),"",'ENGAGEMENTS 2026'!I2617)</f>
        <v/>
      </c>
      <c r="F2617">
        <f>IF(ISBLANK('ENGAGEMENTS 2026'!C2617),"",'ENGAGEMENTS 2026'!J2617)</f>
        <v/>
      </c>
      <c r="G2617">
        <f>IF(ISBLANK('ENGAGEMENTS 2026'!C2617),"",'ENGAGEMENTS 2026'!M2617)</f>
        <v/>
      </c>
      <c r="H2617">
        <f>IF(ISBLANK('ENGAGEMENTS 2026'!C2617),"",'ENGAGEMENTS 2026'!AF2617)</f>
        <v/>
      </c>
      <c r="I2617">
        <f>IF(ISBLANK('ENGAGEMENTS 2026'!C2617),"",'ENGAGEMENTS 2026'!H2617)</f>
        <v/>
      </c>
      <c r="J2617" s="275">
        <f>IF(ISBLANK('ENGAGEMENTS 2026'!C2617),"",IF(AND(OR($E2617="INFRUCTUEUX",$E2617="ANNULE"),$C2617="AOO-M"),'ENGAGEMENTS 2026'!P2617,IF($H2617="EN COURS DE PREENGAGEMENT",'ENGAGEMENTS 2026'!O2617,IF($H2617="PREENGAGE",IF($E2617="ATTRIBUE",'ENGAGEMENTS 2026'!AE2617,'ENGAGEMENTS 2026'!O2617),'ENGAGEMENTS 2026'!AE2617))))</f>
        <v/>
      </c>
      <c r="K2617" s="604">
        <f>IF(ISBLANK('ENGAGEMENTS 2026'!W2617),"",'ENGAGEMENTS 2026'!W2617)</f>
        <v/>
      </c>
      <c r="L2617" s="276">
        <f>IF($K2617="","",TODAY()-$K2617)</f>
        <v/>
      </c>
      <c r="M2617">
        <f>IF($A2617="","",IF($H2617="ENGAGE","Engagé",IF(AND($H2617="NON ENGAGE",OR($I2617="INFRUCTUEUX",$I2617="ANNULE")),"Clôturé sans suite","En cours")))</f>
        <v/>
      </c>
      <c r="N2617">
        <f>IF(ISBLANK('ENGAGEMENTS 2026'!C2617),"",'ENGAGEMENTS 2026'!L2617)</f>
        <v/>
      </c>
      <c r="O2617">
        <f>IF(ISBLANK('ENGAGEMENTS 2026'!C2617),"",'ENGAGEMENTS 2026'!M2617)</f>
        <v/>
      </c>
      <c r="P2617">
        <f>IF(ISBLANK('ENGAGEMENTS 2026'!C2617),"",'ENGAGEMENTS 2026'!K2617)</f>
        <v/>
      </c>
      <c r="Q2617">
        <f>IF($A2617="","",IF(OR($E2617="INFRUCTUEUX",$E2617="ANNULE"),$A2617&amp;"|"&amp;(COUNTIFS($A$2:$A2617,$A2617,$E$2:$E2617,"INFRUCTUEUX")+COUNTIFS($A$2:$A2617,$A2617,$E$2:$E2617,"ANNULE")),""))</f>
        <v/>
      </c>
    </row>
    <row r="2618">
      <c r="A2618">
        <f>IF(ISBLANK('ENGAGEMENTS 2026'!C2618),"",IF('ENGAGEMENTS 2026'!C2618="DTSI","DCT",'ENGAGEMENTS 2026'!C2618))</f>
        <v/>
      </c>
      <c r="B2618">
        <f>IF(ISBLANK('ENGAGEMENTS 2026'!C2618),"",'ENGAGEMENTS 2026'!D2618)</f>
        <v/>
      </c>
      <c r="C2618">
        <f>IF(ISBLANK('ENGAGEMENTS 2026'!C2618),"",'ENGAGEMENTS 2026'!E2618)</f>
        <v/>
      </c>
      <c r="D2618">
        <f>IF(ISBLANK('ENGAGEMENTS 2026'!C2618),"",'ENGAGEMENTS 2026'!G2618)</f>
        <v/>
      </c>
      <c r="E2618">
        <f>IF(ISBLANK('ENGAGEMENTS 2026'!C2618),"",'ENGAGEMENTS 2026'!I2618)</f>
        <v/>
      </c>
      <c r="F2618">
        <f>IF(ISBLANK('ENGAGEMENTS 2026'!C2618),"",'ENGAGEMENTS 2026'!J2618)</f>
        <v/>
      </c>
      <c r="G2618">
        <f>IF(ISBLANK('ENGAGEMENTS 2026'!C2618),"",'ENGAGEMENTS 2026'!M2618)</f>
        <v/>
      </c>
      <c r="H2618">
        <f>IF(ISBLANK('ENGAGEMENTS 2026'!C2618),"",'ENGAGEMENTS 2026'!AF2618)</f>
        <v/>
      </c>
      <c r="I2618">
        <f>IF(ISBLANK('ENGAGEMENTS 2026'!C2618),"",'ENGAGEMENTS 2026'!H2618)</f>
        <v/>
      </c>
      <c r="J2618" s="275">
        <f>IF(ISBLANK('ENGAGEMENTS 2026'!C2618),"",IF(AND(OR($E2618="INFRUCTUEUX",$E2618="ANNULE"),$C2618="AOO-M"),'ENGAGEMENTS 2026'!P2618,IF($H2618="EN COURS DE PREENGAGEMENT",'ENGAGEMENTS 2026'!O2618,IF($H2618="PREENGAGE",IF($E2618="ATTRIBUE",'ENGAGEMENTS 2026'!AE2618,'ENGAGEMENTS 2026'!O2618),'ENGAGEMENTS 2026'!AE2618))))</f>
        <v/>
      </c>
      <c r="K2618" s="604">
        <f>IF(ISBLANK('ENGAGEMENTS 2026'!W2618),"",'ENGAGEMENTS 2026'!W2618)</f>
        <v/>
      </c>
      <c r="L2618" s="276">
        <f>IF($K2618="","",TODAY()-$K2618)</f>
        <v/>
      </c>
      <c r="M2618">
        <f>IF($A2618="","",IF($H2618="ENGAGE","Engagé",IF(AND($H2618="NON ENGAGE",OR($I2618="INFRUCTUEUX",$I2618="ANNULE")),"Clôturé sans suite","En cours")))</f>
        <v/>
      </c>
      <c r="N2618">
        <f>IF(ISBLANK('ENGAGEMENTS 2026'!C2618),"",'ENGAGEMENTS 2026'!L2618)</f>
        <v/>
      </c>
      <c r="O2618">
        <f>IF(ISBLANK('ENGAGEMENTS 2026'!C2618),"",'ENGAGEMENTS 2026'!M2618)</f>
        <v/>
      </c>
      <c r="P2618">
        <f>IF(ISBLANK('ENGAGEMENTS 2026'!C2618),"",'ENGAGEMENTS 2026'!K2618)</f>
        <v/>
      </c>
      <c r="Q2618">
        <f>IF($A2618="","",IF(OR($E2618="INFRUCTUEUX",$E2618="ANNULE"),$A2618&amp;"|"&amp;(COUNTIFS($A$2:$A2618,$A2618,$E$2:$E2618,"INFRUCTUEUX")+COUNTIFS($A$2:$A2618,$A2618,$E$2:$E2618,"ANNULE")),""))</f>
        <v/>
      </c>
    </row>
    <row r="2619">
      <c r="A2619">
        <f>IF(ISBLANK('ENGAGEMENTS 2026'!C2619),"",IF('ENGAGEMENTS 2026'!C2619="DTSI","DCT",'ENGAGEMENTS 2026'!C2619))</f>
        <v/>
      </c>
      <c r="B2619">
        <f>IF(ISBLANK('ENGAGEMENTS 2026'!C2619),"",'ENGAGEMENTS 2026'!D2619)</f>
        <v/>
      </c>
      <c r="C2619">
        <f>IF(ISBLANK('ENGAGEMENTS 2026'!C2619),"",'ENGAGEMENTS 2026'!E2619)</f>
        <v/>
      </c>
      <c r="D2619">
        <f>IF(ISBLANK('ENGAGEMENTS 2026'!C2619),"",'ENGAGEMENTS 2026'!G2619)</f>
        <v/>
      </c>
      <c r="E2619">
        <f>IF(ISBLANK('ENGAGEMENTS 2026'!C2619),"",'ENGAGEMENTS 2026'!I2619)</f>
        <v/>
      </c>
      <c r="F2619">
        <f>IF(ISBLANK('ENGAGEMENTS 2026'!C2619),"",'ENGAGEMENTS 2026'!J2619)</f>
        <v/>
      </c>
      <c r="G2619">
        <f>IF(ISBLANK('ENGAGEMENTS 2026'!C2619),"",'ENGAGEMENTS 2026'!M2619)</f>
        <v/>
      </c>
      <c r="H2619">
        <f>IF(ISBLANK('ENGAGEMENTS 2026'!C2619),"",'ENGAGEMENTS 2026'!AF2619)</f>
        <v/>
      </c>
      <c r="I2619">
        <f>IF(ISBLANK('ENGAGEMENTS 2026'!C2619),"",'ENGAGEMENTS 2026'!H2619)</f>
        <v/>
      </c>
      <c r="J2619" s="275">
        <f>IF(ISBLANK('ENGAGEMENTS 2026'!C2619),"",IF(AND(OR($E2619="INFRUCTUEUX",$E2619="ANNULE"),$C2619="AOO-M"),'ENGAGEMENTS 2026'!P2619,IF($H2619="EN COURS DE PREENGAGEMENT",'ENGAGEMENTS 2026'!O2619,IF($H2619="PREENGAGE",IF($E2619="ATTRIBUE",'ENGAGEMENTS 2026'!AE2619,'ENGAGEMENTS 2026'!O2619),'ENGAGEMENTS 2026'!AE2619))))</f>
        <v/>
      </c>
      <c r="K2619" s="604">
        <f>IF(ISBLANK('ENGAGEMENTS 2026'!W2619),"",'ENGAGEMENTS 2026'!W2619)</f>
        <v/>
      </c>
      <c r="L2619" s="276">
        <f>IF($K2619="","",TODAY()-$K2619)</f>
        <v/>
      </c>
      <c r="M2619">
        <f>IF($A2619="","",IF($H2619="ENGAGE","Engagé",IF(AND($H2619="NON ENGAGE",OR($I2619="INFRUCTUEUX",$I2619="ANNULE")),"Clôturé sans suite","En cours")))</f>
        <v/>
      </c>
      <c r="N2619">
        <f>IF(ISBLANK('ENGAGEMENTS 2026'!C2619),"",'ENGAGEMENTS 2026'!L2619)</f>
        <v/>
      </c>
      <c r="O2619">
        <f>IF(ISBLANK('ENGAGEMENTS 2026'!C2619),"",'ENGAGEMENTS 2026'!M2619)</f>
        <v/>
      </c>
      <c r="P2619">
        <f>IF(ISBLANK('ENGAGEMENTS 2026'!C2619),"",'ENGAGEMENTS 2026'!K2619)</f>
        <v/>
      </c>
      <c r="Q2619">
        <f>IF($A2619="","",IF(OR($E2619="INFRUCTUEUX",$E2619="ANNULE"),$A2619&amp;"|"&amp;(COUNTIFS($A$2:$A2619,$A2619,$E$2:$E2619,"INFRUCTUEUX")+COUNTIFS($A$2:$A2619,$A2619,$E$2:$E2619,"ANNULE")),""))</f>
        <v/>
      </c>
    </row>
    <row r="2620">
      <c r="A2620">
        <f>IF(ISBLANK('ENGAGEMENTS 2026'!C2620),"",IF('ENGAGEMENTS 2026'!C2620="DTSI","DCT",'ENGAGEMENTS 2026'!C2620))</f>
        <v/>
      </c>
      <c r="B2620">
        <f>IF(ISBLANK('ENGAGEMENTS 2026'!C2620),"",'ENGAGEMENTS 2026'!D2620)</f>
        <v/>
      </c>
      <c r="C2620">
        <f>IF(ISBLANK('ENGAGEMENTS 2026'!C2620),"",'ENGAGEMENTS 2026'!E2620)</f>
        <v/>
      </c>
      <c r="D2620">
        <f>IF(ISBLANK('ENGAGEMENTS 2026'!C2620),"",'ENGAGEMENTS 2026'!G2620)</f>
        <v/>
      </c>
      <c r="E2620">
        <f>IF(ISBLANK('ENGAGEMENTS 2026'!C2620),"",'ENGAGEMENTS 2026'!I2620)</f>
        <v/>
      </c>
      <c r="F2620">
        <f>IF(ISBLANK('ENGAGEMENTS 2026'!C2620),"",'ENGAGEMENTS 2026'!J2620)</f>
        <v/>
      </c>
      <c r="G2620">
        <f>IF(ISBLANK('ENGAGEMENTS 2026'!C2620),"",'ENGAGEMENTS 2026'!M2620)</f>
        <v/>
      </c>
      <c r="H2620">
        <f>IF(ISBLANK('ENGAGEMENTS 2026'!C2620),"",'ENGAGEMENTS 2026'!AF2620)</f>
        <v/>
      </c>
      <c r="I2620">
        <f>IF(ISBLANK('ENGAGEMENTS 2026'!C2620),"",'ENGAGEMENTS 2026'!H2620)</f>
        <v/>
      </c>
      <c r="J2620" s="275">
        <f>IF(ISBLANK('ENGAGEMENTS 2026'!C2620),"",IF(AND(OR($E2620="INFRUCTUEUX",$E2620="ANNULE"),$C2620="AOO-M"),'ENGAGEMENTS 2026'!P2620,IF($H2620="EN COURS DE PREENGAGEMENT",'ENGAGEMENTS 2026'!O2620,IF($H2620="PREENGAGE",IF($E2620="ATTRIBUE",'ENGAGEMENTS 2026'!AE2620,'ENGAGEMENTS 2026'!O2620),'ENGAGEMENTS 2026'!AE2620))))</f>
        <v/>
      </c>
      <c r="K2620" s="604">
        <f>IF(ISBLANK('ENGAGEMENTS 2026'!W2620),"",'ENGAGEMENTS 2026'!W2620)</f>
        <v/>
      </c>
      <c r="L2620" s="276">
        <f>IF($K2620="","",TODAY()-$K2620)</f>
        <v/>
      </c>
      <c r="M2620">
        <f>IF($A2620="","",IF($H2620="ENGAGE","Engagé",IF(AND($H2620="NON ENGAGE",OR($I2620="INFRUCTUEUX",$I2620="ANNULE")),"Clôturé sans suite","En cours")))</f>
        <v/>
      </c>
      <c r="N2620">
        <f>IF(ISBLANK('ENGAGEMENTS 2026'!C2620),"",'ENGAGEMENTS 2026'!L2620)</f>
        <v/>
      </c>
      <c r="O2620">
        <f>IF(ISBLANK('ENGAGEMENTS 2026'!C2620),"",'ENGAGEMENTS 2026'!M2620)</f>
        <v/>
      </c>
      <c r="P2620">
        <f>IF(ISBLANK('ENGAGEMENTS 2026'!C2620),"",'ENGAGEMENTS 2026'!K2620)</f>
        <v/>
      </c>
      <c r="Q2620">
        <f>IF($A2620="","",IF(OR($E2620="INFRUCTUEUX",$E2620="ANNULE"),$A2620&amp;"|"&amp;(COUNTIFS($A$2:$A2620,$A2620,$E$2:$E2620,"INFRUCTUEUX")+COUNTIFS($A$2:$A2620,$A2620,$E$2:$E2620,"ANNULE")),""))</f>
        <v/>
      </c>
    </row>
    <row r="2621">
      <c r="A2621">
        <f>IF(ISBLANK('ENGAGEMENTS 2026'!C2621),"",IF('ENGAGEMENTS 2026'!C2621="DTSI","DCT",'ENGAGEMENTS 2026'!C2621))</f>
        <v/>
      </c>
      <c r="B2621">
        <f>IF(ISBLANK('ENGAGEMENTS 2026'!C2621),"",'ENGAGEMENTS 2026'!D2621)</f>
        <v/>
      </c>
      <c r="C2621">
        <f>IF(ISBLANK('ENGAGEMENTS 2026'!C2621),"",'ENGAGEMENTS 2026'!E2621)</f>
        <v/>
      </c>
      <c r="D2621">
        <f>IF(ISBLANK('ENGAGEMENTS 2026'!C2621),"",'ENGAGEMENTS 2026'!G2621)</f>
        <v/>
      </c>
      <c r="E2621">
        <f>IF(ISBLANK('ENGAGEMENTS 2026'!C2621),"",'ENGAGEMENTS 2026'!I2621)</f>
        <v/>
      </c>
      <c r="F2621">
        <f>IF(ISBLANK('ENGAGEMENTS 2026'!C2621),"",'ENGAGEMENTS 2026'!J2621)</f>
        <v/>
      </c>
      <c r="G2621">
        <f>IF(ISBLANK('ENGAGEMENTS 2026'!C2621),"",'ENGAGEMENTS 2026'!M2621)</f>
        <v/>
      </c>
      <c r="H2621">
        <f>IF(ISBLANK('ENGAGEMENTS 2026'!C2621),"",'ENGAGEMENTS 2026'!AF2621)</f>
        <v/>
      </c>
      <c r="I2621">
        <f>IF(ISBLANK('ENGAGEMENTS 2026'!C2621),"",'ENGAGEMENTS 2026'!H2621)</f>
        <v/>
      </c>
      <c r="J2621" s="275">
        <f>IF(ISBLANK('ENGAGEMENTS 2026'!C2621),"",IF(AND(OR($E2621="INFRUCTUEUX",$E2621="ANNULE"),$C2621="AOO-M"),'ENGAGEMENTS 2026'!P2621,IF($H2621="EN COURS DE PREENGAGEMENT",'ENGAGEMENTS 2026'!O2621,IF($H2621="PREENGAGE",IF($E2621="ATTRIBUE",'ENGAGEMENTS 2026'!AE2621,'ENGAGEMENTS 2026'!O2621),'ENGAGEMENTS 2026'!AE2621))))</f>
        <v/>
      </c>
      <c r="K2621" s="604">
        <f>IF(ISBLANK('ENGAGEMENTS 2026'!W2621),"",'ENGAGEMENTS 2026'!W2621)</f>
        <v/>
      </c>
      <c r="L2621" s="276">
        <f>IF($K2621="","",TODAY()-$K2621)</f>
        <v/>
      </c>
      <c r="M2621">
        <f>IF($A2621="","",IF($H2621="ENGAGE","Engagé",IF(AND($H2621="NON ENGAGE",OR($I2621="INFRUCTUEUX",$I2621="ANNULE")),"Clôturé sans suite","En cours")))</f>
        <v/>
      </c>
      <c r="N2621">
        <f>IF(ISBLANK('ENGAGEMENTS 2026'!C2621),"",'ENGAGEMENTS 2026'!L2621)</f>
        <v/>
      </c>
      <c r="O2621">
        <f>IF(ISBLANK('ENGAGEMENTS 2026'!C2621),"",'ENGAGEMENTS 2026'!M2621)</f>
        <v/>
      </c>
      <c r="P2621">
        <f>IF(ISBLANK('ENGAGEMENTS 2026'!C2621),"",'ENGAGEMENTS 2026'!K2621)</f>
        <v/>
      </c>
      <c r="Q2621">
        <f>IF($A2621="","",IF(OR($E2621="INFRUCTUEUX",$E2621="ANNULE"),$A2621&amp;"|"&amp;(COUNTIFS($A$2:$A2621,$A2621,$E$2:$E2621,"INFRUCTUEUX")+COUNTIFS($A$2:$A2621,$A2621,$E$2:$E2621,"ANNULE")),""))</f>
        <v/>
      </c>
    </row>
    <row r="2622">
      <c r="A2622">
        <f>IF(ISBLANK('ENGAGEMENTS 2026'!C2622),"",IF('ENGAGEMENTS 2026'!C2622="DTSI","DCT",'ENGAGEMENTS 2026'!C2622))</f>
        <v/>
      </c>
      <c r="B2622">
        <f>IF(ISBLANK('ENGAGEMENTS 2026'!C2622),"",'ENGAGEMENTS 2026'!D2622)</f>
        <v/>
      </c>
      <c r="C2622">
        <f>IF(ISBLANK('ENGAGEMENTS 2026'!C2622),"",'ENGAGEMENTS 2026'!E2622)</f>
        <v/>
      </c>
      <c r="D2622">
        <f>IF(ISBLANK('ENGAGEMENTS 2026'!C2622),"",'ENGAGEMENTS 2026'!G2622)</f>
        <v/>
      </c>
      <c r="E2622">
        <f>IF(ISBLANK('ENGAGEMENTS 2026'!C2622),"",'ENGAGEMENTS 2026'!I2622)</f>
        <v/>
      </c>
      <c r="F2622">
        <f>IF(ISBLANK('ENGAGEMENTS 2026'!C2622),"",'ENGAGEMENTS 2026'!J2622)</f>
        <v/>
      </c>
      <c r="G2622">
        <f>IF(ISBLANK('ENGAGEMENTS 2026'!C2622),"",'ENGAGEMENTS 2026'!M2622)</f>
        <v/>
      </c>
      <c r="H2622">
        <f>IF(ISBLANK('ENGAGEMENTS 2026'!C2622),"",'ENGAGEMENTS 2026'!AF2622)</f>
        <v/>
      </c>
      <c r="I2622">
        <f>IF(ISBLANK('ENGAGEMENTS 2026'!C2622),"",'ENGAGEMENTS 2026'!H2622)</f>
        <v/>
      </c>
      <c r="J2622" s="275">
        <f>IF(ISBLANK('ENGAGEMENTS 2026'!C2622),"",IF(AND(OR($E2622="INFRUCTUEUX",$E2622="ANNULE"),$C2622="AOO-M"),'ENGAGEMENTS 2026'!P2622,IF($H2622="EN COURS DE PREENGAGEMENT",'ENGAGEMENTS 2026'!O2622,IF($H2622="PREENGAGE",IF($E2622="ATTRIBUE",'ENGAGEMENTS 2026'!AE2622,'ENGAGEMENTS 2026'!O2622),'ENGAGEMENTS 2026'!AE2622))))</f>
        <v/>
      </c>
      <c r="K2622" s="604">
        <f>IF(ISBLANK('ENGAGEMENTS 2026'!W2622),"",'ENGAGEMENTS 2026'!W2622)</f>
        <v/>
      </c>
      <c r="L2622" s="276">
        <f>IF($K2622="","",TODAY()-$K2622)</f>
        <v/>
      </c>
      <c r="M2622">
        <f>IF($A2622="","",IF($H2622="ENGAGE","Engagé",IF(AND($H2622="NON ENGAGE",OR($I2622="INFRUCTUEUX",$I2622="ANNULE")),"Clôturé sans suite","En cours")))</f>
        <v/>
      </c>
      <c r="N2622">
        <f>IF(ISBLANK('ENGAGEMENTS 2026'!C2622),"",'ENGAGEMENTS 2026'!L2622)</f>
        <v/>
      </c>
      <c r="O2622">
        <f>IF(ISBLANK('ENGAGEMENTS 2026'!C2622),"",'ENGAGEMENTS 2026'!M2622)</f>
        <v/>
      </c>
      <c r="P2622">
        <f>IF(ISBLANK('ENGAGEMENTS 2026'!C2622),"",'ENGAGEMENTS 2026'!K2622)</f>
        <v/>
      </c>
      <c r="Q2622">
        <f>IF($A2622="","",IF(OR($E2622="INFRUCTUEUX",$E2622="ANNULE"),$A2622&amp;"|"&amp;(COUNTIFS($A$2:$A2622,$A2622,$E$2:$E2622,"INFRUCTUEUX")+COUNTIFS($A$2:$A2622,$A2622,$E$2:$E2622,"ANNULE")),""))</f>
        <v/>
      </c>
    </row>
    <row r="2623">
      <c r="A2623">
        <f>IF(ISBLANK('ENGAGEMENTS 2026'!C2623),"",IF('ENGAGEMENTS 2026'!C2623="DTSI","DCT",'ENGAGEMENTS 2026'!C2623))</f>
        <v/>
      </c>
      <c r="B2623">
        <f>IF(ISBLANK('ENGAGEMENTS 2026'!C2623),"",'ENGAGEMENTS 2026'!D2623)</f>
        <v/>
      </c>
      <c r="C2623">
        <f>IF(ISBLANK('ENGAGEMENTS 2026'!C2623),"",'ENGAGEMENTS 2026'!E2623)</f>
        <v/>
      </c>
      <c r="D2623">
        <f>IF(ISBLANK('ENGAGEMENTS 2026'!C2623),"",'ENGAGEMENTS 2026'!G2623)</f>
        <v/>
      </c>
      <c r="E2623">
        <f>IF(ISBLANK('ENGAGEMENTS 2026'!C2623),"",'ENGAGEMENTS 2026'!I2623)</f>
        <v/>
      </c>
      <c r="F2623">
        <f>IF(ISBLANK('ENGAGEMENTS 2026'!C2623),"",'ENGAGEMENTS 2026'!J2623)</f>
        <v/>
      </c>
      <c r="G2623">
        <f>IF(ISBLANK('ENGAGEMENTS 2026'!C2623),"",'ENGAGEMENTS 2026'!M2623)</f>
        <v/>
      </c>
      <c r="H2623">
        <f>IF(ISBLANK('ENGAGEMENTS 2026'!C2623),"",'ENGAGEMENTS 2026'!AF2623)</f>
        <v/>
      </c>
      <c r="I2623">
        <f>IF(ISBLANK('ENGAGEMENTS 2026'!C2623),"",'ENGAGEMENTS 2026'!H2623)</f>
        <v/>
      </c>
      <c r="J2623" s="275">
        <f>IF(ISBLANK('ENGAGEMENTS 2026'!C2623),"",IF(AND(OR($E2623="INFRUCTUEUX",$E2623="ANNULE"),$C2623="AOO-M"),'ENGAGEMENTS 2026'!P2623,IF($H2623="EN COURS DE PREENGAGEMENT",'ENGAGEMENTS 2026'!O2623,IF($H2623="PREENGAGE",IF($E2623="ATTRIBUE",'ENGAGEMENTS 2026'!AE2623,'ENGAGEMENTS 2026'!O2623),'ENGAGEMENTS 2026'!AE2623))))</f>
        <v/>
      </c>
      <c r="K2623" s="604">
        <f>IF(ISBLANK('ENGAGEMENTS 2026'!W2623),"",'ENGAGEMENTS 2026'!W2623)</f>
        <v/>
      </c>
      <c r="L2623" s="276">
        <f>IF($K2623="","",TODAY()-$K2623)</f>
        <v/>
      </c>
      <c r="M2623">
        <f>IF($A2623="","",IF($H2623="ENGAGE","Engagé",IF(AND($H2623="NON ENGAGE",OR($I2623="INFRUCTUEUX",$I2623="ANNULE")),"Clôturé sans suite","En cours")))</f>
        <v/>
      </c>
      <c r="N2623">
        <f>IF(ISBLANK('ENGAGEMENTS 2026'!C2623),"",'ENGAGEMENTS 2026'!L2623)</f>
        <v/>
      </c>
      <c r="O2623">
        <f>IF(ISBLANK('ENGAGEMENTS 2026'!C2623),"",'ENGAGEMENTS 2026'!M2623)</f>
        <v/>
      </c>
      <c r="P2623">
        <f>IF(ISBLANK('ENGAGEMENTS 2026'!C2623),"",'ENGAGEMENTS 2026'!K2623)</f>
        <v/>
      </c>
      <c r="Q2623">
        <f>IF($A2623="","",IF(OR($E2623="INFRUCTUEUX",$E2623="ANNULE"),$A2623&amp;"|"&amp;(COUNTIFS($A$2:$A2623,$A2623,$E$2:$E2623,"INFRUCTUEUX")+COUNTIFS($A$2:$A2623,$A2623,$E$2:$E2623,"ANNULE")),""))</f>
        <v/>
      </c>
    </row>
    <row r="2624">
      <c r="A2624">
        <f>IF(ISBLANK('ENGAGEMENTS 2026'!C2624),"",IF('ENGAGEMENTS 2026'!C2624="DTSI","DCT",'ENGAGEMENTS 2026'!C2624))</f>
        <v/>
      </c>
      <c r="B2624">
        <f>IF(ISBLANK('ENGAGEMENTS 2026'!C2624),"",'ENGAGEMENTS 2026'!D2624)</f>
        <v/>
      </c>
      <c r="C2624">
        <f>IF(ISBLANK('ENGAGEMENTS 2026'!C2624),"",'ENGAGEMENTS 2026'!E2624)</f>
        <v/>
      </c>
      <c r="D2624">
        <f>IF(ISBLANK('ENGAGEMENTS 2026'!C2624),"",'ENGAGEMENTS 2026'!G2624)</f>
        <v/>
      </c>
      <c r="E2624">
        <f>IF(ISBLANK('ENGAGEMENTS 2026'!C2624),"",'ENGAGEMENTS 2026'!I2624)</f>
        <v/>
      </c>
      <c r="F2624">
        <f>IF(ISBLANK('ENGAGEMENTS 2026'!C2624),"",'ENGAGEMENTS 2026'!J2624)</f>
        <v/>
      </c>
      <c r="G2624">
        <f>IF(ISBLANK('ENGAGEMENTS 2026'!C2624),"",'ENGAGEMENTS 2026'!M2624)</f>
        <v/>
      </c>
      <c r="H2624">
        <f>IF(ISBLANK('ENGAGEMENTS 2026'!C2624),"",'ENGAGEMENTS 2026'!AF2624)</f>
        <v/>
      </c>
      <c r="I2624">
        <f>IF(ISBLANK('ENGAGEMENTS 2026'!C2624),"",'ENGAGEMENTS 2026'!H2624)</f>
        <v/>
      </c>
      <c r="J2624" s="275">
        <f>IF(ISBLANK('ENGAGEMENTS 2026'!C2624),"",IF(AND(OR($E2624="INFRUCTUEUX",$E2624="ANNULE"),$C2624="AOO-M"),'ENGAGEMENTS 2026'!P2624,IF($H2624="EN COURS DE PREENGAGEMENT",'ENGAGEMENTS 2026'!O2624,IF($H2624="PREENGAGE",IF($E2624="ATTRIBUE",'ENGAGEMENTS 2026'!AE2624,'ENGAGEMENTS 2026'!O2624),'ENGAGEMENTS 2026'!AE2624))))</f>
        <v/>
      </c>
      <c r="K2624" s="604">
        <f>IF(ISBLANK('ENGAGEMENTS 2026'!W2624),"",'ENGAGEMENTS 2026'!W2624)</f>
        <v/>
      </c>
      <c r="L2624" s="276">
        <f>IF($K2624="","",TODAY()-$K2624)</f>
        <v/>
      </c>
      <c r="M2624">
        <f>IF($A2624="","",IF($H2624="ENGAGE","Engagé",IF(AND($H2624="NON ENGAGE",OR($I2624="INFRUCTUEUX",$I2624="ANNULE")),"Clôturé sans suite","En cours")))</f>
        <v/>
      </c>
      <c r="N2624">
        <f>IF(ISBLANK('ENGAGEMENTS 2026'!C2624),"",'ENGAGEMENTS 2026'!L2624)</f>
        <v/>
      </c>
      <c r="O2624">
        <f>IF(ISBLANK('ENGAGEMENTS 2026'!C2624),"",'ENGAGEMENTS 2026'!M2624)</f>
        <v/>
      </c>
      <c r="P2624">
        <f>IF(ISBLANK('ENGAGEMENTS 2026'!C2624),"",'ENGAGEMENTS 2026'!K2624)</f>
        <v/>
      </c>
      <c r="Q2624">
        <f>IF($A2624="","",IF(OR($E2624="INFRUCTUEUX",$E2624="ANNULE"),$A2624&amp;"|"&amp;(COUNTIFS($A$2:$A2624,$A2624,$E$2:$E2624,"INFRUCTUEUX")+COUNTIFS($A$2:$A2624,$A2624,$E$2:$E2624,"ANNULE")),""))</f>
        <v/>
      </c>
    </row>
    <row r="2625">
      <c r="A2625">
        <f>IF(ISBLANK('ENGAGEMENTS 2026'!C2625),"",IF('ENGAGEMENTS 2026'!C2625="DTSI","DCT",'ENGAGEMENTS 2026'!C2625))</f>
        <v/>
      </c>
      <c r="B2625">
        <f>IF(ISBLANK('ENGAGEMENTS 2026'!C2625),"",'ENGAGEMENTS 2026'!D2625)</f>
        <v/>
      </c>
      <c r="C2625">
        <f>IF(ISBLANK('ENGAGEMENTS 2026'!C2625),"",'ENGAGEMENTS 2026'!E2625)</f>
        <v/>
      </c>
      <c r="D2625">
        <f>IF(ISBLANK('ENGAGEMENTS 2026'!C2625),"",'ENGAGEMENTS 2026'!G2625)</f>
        <v/>
      </c>
      <c r="E2625">
        <f>IF(ISBLANK('ENGAGEMENTS 2026'!C2625),"",'ENGAGEMENTS 2026'!I2625)</f>
        <v/>
      </c>
      <c r="F2625">
        <f>IF(ISBLANK('ENGAGEMENTS 2026'!C2625),"",'ENGAGEMENTS 2026'!J2625)</f>
        <v/>
      </c>
      <c r="G2625">
        <f>IF(ISBLANK('ENGAGEMENTS 2026'!C2625),"",'ENGAGEMENTS 2026'!M2625)</f>
        <v/>
      </c>
      <c r="H2625">
        <f>IF(ISBLANK('ENGAGEMENTS 2026'!C2625),"",'ENGAGEMENTS 2026'!AF2625)</f>
        <v/>
      </c>
      <c r="I2625">
        <f>IF(ISBLANK('ENGAGEMENTS 2026'!C2625),"",'ENGAGEMENTS 2026'!H2625)</f>
        <v/>
      </c>
      <c r="J2625" s="275">
        <f>IF(ISBLANK('ENGAGEMENTS 2026'!C2625),"",IF(AND(OR($E2625="INFRUCTUEUX",$E2625="ANNULE"),$C2625="AOO-M"),'ENGAGEMENTS 2026'!P2625,IF($H2625="EN COURS DE PREENGAGEMENT",'ENGAGEMENTS 2026'!O2625,IF($H2625="PREENGAGE",IF($E2625="ATTRIBUE",'ENGAGEMENTS 2026'!AE2625,'ENGAGEMENTS 2026'!O2625),'ENGAGEMENTS 2026'!AE2625))))</f>
        <v/>
      </c>
      <c r="K2625" s="604">
        <f>IF(ISBLANK('ENGAGEMENTS 2026'!W2625),"",'ENGAGEMENTS 2026'!W2625)</f>
        <v/>
      </c>
      <c r="L2625" s="276">
        <f>IF($K2625="","",TODAY()-$K2625)</f>
        <v/>
      </c>
      <c r="M2625">
        <f>IF($A2625="","",IF($H2625="ENGAGE","Engagé",IF(AND($H2625="NON ENGAGE",OR($I2625="INFRUCTUEUX",$I2625="ANNULE")),"Clôturé sans suite","En cours")))</f>
        <v/>
      </c>
      <c r="N2625">
        <f>IF(ISBLANK('ENGAGEMENTS 2026'!C2625),"",'ENGAGEMENTS 2026'!L2625)</f>
        <v/>
      </c>
      <c r="O2625">
        <f>IF(ISBLANK('ENGAGEMENTS 2026'!C2625),"",'ENGAGEMENTS 2026'!M2625)</f>
        <v/>
      </c>
      <c r="P2625">
        <f>IF(ISBLANK('ENGAGEMENTS 2026'!C2625),"",'ENGAGEMENTS 2026'!K2625)</f>
        <v/>
      </c>
      <c r="Q2625">
        <f>IF($A2625="","",IF(OR($E2625="INFRUCTUEUX",$E2625="ANNULE"),$A2625&amp;"|"&amp;(COUNTIFS($A$2:$A2625,$A2625,$E$2:$E2625,"INFRUCTUEUX")+COUNTIFS($A$2:$A2625,$A2625,$E$2:$E2625,"ANNULE")),""))</f>
        <v/>
      </c>
    </row>
    <row r="2626">
      <c r="A2626">
        <f>IF(ISBLANK('ENGAGEMENTS 2026'!C2626),"",IF('ENGAGEMENTS 2026'!C2626="DTSI","DCT",'ENGAGEMENTS 2026'!C2626))</f>
        <v/>
      </c>
      <c r="B2626">
        <f>IF(ISBLANK('ENGAGEMENTS 2026'!C2626),"",'ENGAGEMENTS 2026'!D2626)</f>
        <v/>
      </c>
      <c r="C2626">
        <f>IF(ISBLANK('ENGAGEMENTS 2026'!C2626),"",'ENGAGEMENTS 2026'!E2626)</f>
        <v/>
      </c>
      <c r="D2626">
        <f>IF(ISBLANK('ENGAGEMENTS 2026'!C2626),"",'ENGAGEMENTS 2026'!G2626)</f>
        <v/>
      </c>
      <c r="E2626">
        <f>IF(ISBLANK('ENGAGEMENTS 2026'!C2626),"",'ENGAGEMENTS 2026'!I2626)</f>
        <v/>
      </c>
      <c r="F2626">
        <f>IF(ISBLANK('ENGAGEMENTS 2026'!C2626),"",'ENGAGEMENTS 2026'!J2626)</f>
        <v/>
      </c>
      <c r="G2626">
        <f>IF(ISBLANK('ENGAGEMENTS 2026'!C2626),"",'ENGAGEMENTS 2026'!M2626)</f>
        <v/>
      </c>
      <c r="H2626">
        <f>IF(ISBLANK('ENGAGEMENTS 2026'!C2626),"",'ENGAGEMENTS 2026'!AF2626)</f>
        <v/>
      </c>
      <c r="I2626">
        <f>IF(ISBLANK('ENGAGEMENTS 2026'!C2626),"",'ENGAGEMENTS 2026'!H2626)</f>
        <v/>
      </c>
      <c r="J2626" s="275">
        <f>IF(ISBLANK('ENGAGEMENTS 2026'!C2626),"",IF(AND(OR($E2626="INFRUCTUEUX",$E2626="ANNULE"),$C2626="AOO-M"),'ENGAGEMENTS 2026'!P2626,IF($H2626="EN COURS DE PREENGAGEMENT",'ENGAGEMENTS 2026'!O2626,IF($H2626="PREENGAGE",IF($E2626="ATTRIBUE",'ENGAGEMENTS 2026'!AE2626,'ENGAGEMENTS 2026'!O2626),'ENGAGEMENTS 2026'!AE2626))))</f>
        <v/>
      </c>
      <c r="K2626" s="604">
        <f>IF(ISBLANK('ENGAGEMENTS 2026'!W2626),"",'ENGAGEMENTS 2026'!W2626)</f>
        <v/>
      </c>
      <c r="L2626" s="276">
        <f>IF($K2626="","",TODAY()-$K2626)</f>
        <v/>
      </c>
      <c r="M2626">
        <f>IF($A2626="","",IF($H2626="ENGAGE","Engagé",IF(AND($H2626="NON ENGAGE",OR($I2626="INFRUCTUEUX",$I2626="ANNULE")),"Clôturé sans suite","En cours")))</f>
        <v/>
      </c>
      <c r="N2626">
        <f>IF(ISBLANK('ENGAGEMENTS 2026'!C2626),"",'ENGAGEMENTS 2026'!L2626)</f>
        <v/>
      </c>
      <c r="O2626">
        <f>IF(ISBLANK('ENGAGEMENTS 2026'!C2626),"",'ENGAGEMENTS 2026'!M2626)</f>
        <v/>
      </c>
      <c r="P2626">
        <f>IF(ISBLANK('ENGAGEMENTS 2026'!C2626),"",'ENGAGEMENTS 2026'!K2626)</f>
        <v/>
      </c>
      <c r="Q2626">
        <f>IF($A2626="","",IF(OR($E2626="INFRUCTUEUX",$E2626="ANNULE"),$A2626&amp;"|"&amp;(COUNTIFS($A$2:$A2626,$A2626,$E$2:$E2626,"INFRUCTUEUX")+COUNTIFS($A$2:$A2626,$A2626,$E$2:$E2626,"ANNULE")),""))</f>
        <v/>
      </c>
    </row>
    <row r="2627">
      <c r="A2627">
        <f>IF(ISBLANK('ENGAGEMENTS 2026'!C2627),"",IF('ENGAGEMENTS 2026'!C2627="DTSI","DCT",'ENGAGEMENTS 2026'!C2627))</f>
        <v/>
      </c>
      <c r="B2627">
        <f>IF(ISBLANK('ENGAGEMENTS 2026'!C2627),"",'ENGAGEMENTS 2026'!D2627)</f>
        <v/>
      </c>
      <c r="C2627">
        <f>IF(ISBLANK('ENGAGEMENTS 2026'!C2627),"",'ENGAGEMENTS 2026'!E2627)</f>
        <v/>
      </c>
      <c r="D2627">
        <f>IF(ISBLANK('ENGAGEMENTS 2026'!C2627),"",'ENGAGEMENTS 2026'!G2627)</f>
        <v/>
      </c>
      <c r="E2627">
        <f>IF(ISBLANK('ENGAGEMENTS 2026'!C2627),"",'ENGAGEMENTS 2026'!I2627)</f>
        <v/>
      </c>
      <c r="F2627">
        <f>IF(ISBLANK('ENGAGEMENTS 2026'!C2627),"",'ENGAGEMENTS 2026'!J2627)</f>
        <v/>
      </c>
      <c r="G2627">
        <f>IF(ISBLANK('ENGAGEMENTS 2026'!C2627),"",'ENGAGEMENTS 2026'!M2627)</f>
        <v/>
      </c>
      <c r="H2627">
        <f>IF(ISBLANK('ENGAGEMENTS 2026'!C2627),"",'ENGAGEMENTS 2026'!AF2627)</f>
        <v/>
      </c>
      <c r="I2627">
        <f>IF(ISBLANK('ENGAGEMENTS 2026'!C2627),"",'ENGAGEMENTS 2026'!H2627)</f>
        <v/>
      </c>
      <c r="J2627" s="275">
        <f>IF(ISBLANK('ENGAGEMENTS 2026'!C2627),"",IF(AND(OR($E2627="INFRUCTUEUX",$E2627="ANNULE"),$C2627="AOO-M"),'ENGAGEMENTS 2026'!P2627,IF($H2627="EN COURS DE PREENGAGEMENT",'ENGAGEMENTS 2026'!O2627,IF($H2627="PREENGAGE",IF($E2627="ATTRIBUE",'ENGAGEMENTS 2026'!AE2627,'ENGAGEMENTS 2026'!O2627),'ENGAGEMENTS 2026'!AE2627))))</f>
        <v/>
      </c>
      <c r="K2627" s="604">
        <f>IF(ISBLANK('ENGAGEMENTS 2026'!W2627),"",'ENGAGEMENTS 2026'!W2627)</f>
        <v/>
      </c>
      <c r="L2627" s="276">
        <f>IF($K2627="","",TODAY()-$K2627)</f>
        <v/>
      </c>
      <c r="M2627">
        <f>IF($A2627="","",IF($H2627="ENGAGE","Engagé",IF(AND($H2627="NON ENGAGE",OR($I2627="INFRUCTUEUX",$I2627="ANNULE")),"Clôturé sans suite","En cours")))</f>
        <v/>
      </c>
      <c r="N2627">
        <f>IF(ISBLANK('ENGAGEMENTS 2026'!C2627),"",'ENGAGEMENTS 2026'!L2627)</f>
        <v/>
      </c>
      <c r="O2627">
        <f>IF(ISBLANK('ENGAGEMENTS 2026'!C2627),"",'ENGAGEMENTS 2026'!M2627)</f>
        <v/>
      </c>
      <c r="P2627">
        <f>IF(ISBLANK('ENGAGEMENTS 2026'!C2627),"",'ENGAGEMENTS 2026'!K2627)</f>
        <v/>
      </c>
      <c r="Q2627">
        <f>IF($A2627="","",IF(OR($E2627="INFRUCTUEUX",$E2627="ANNULE"),$A2627&amp;"|"&amp;(COUNTIFS($A$2:$A2627,$A2627,$E$2:$E2627,"INFRUCTUEUX")+COUNTIFS($A$2:$A2627,$A2627,$E$2:$E2627,"ANNULE")),""))</f>
        <v/>
      </c>
    </row>
    <row r="2628">
      <c r="A2628">
        <f>IF(ISBLANK('ENGAGEMENTS 2026'!C2628),"",IF('ENGAGEMENTS 2026'!C2628="DTSI","DCT",'ENGAGEMENTS 2026'!C2628))</f>
        <v/>
      </c>
      <c r="B2628">
        <f>IF(ISBLANK('ENGAGEMENTS 2026'!C2628),"",'ENGAGEMENTS 2026'!D2628)</f>
        <v/>
      </c>
      <c r="C2628">
        <f>IF(ISBLANK('ENGAGEMENTS 2026'!C2628),"",'ENGAGEMENTS 2026'!E2628)</f>
        <v/>
      </c>
      <c r="D2628">
        <f>IF(ISBLANK('ENGAGEMENTS 2026'!C2628),"",'ENGAGEMENTS 2026'!G2628)</f>
        <v/>
      </c>
      <c r="E2628">
        <f>IF(ISBLANK('ENGAGEMENTS 2026'!C2628),"",'ENGAGEMENTS 2026'!I2628)</f>
        <v/>
      </c>
      <c r="F2628">
        <f>IF(ISBLANK('ENGAGEMENTS 2026'!C2628),"",'ENGAGEMENTS 2026'!J2628)</f>
        <v/>
      </c>
      <c r="G2628">
        <f>IF(ISBLANK('ENGAGEMENTS 2026'!C2628),"",'ENGAGEMENTS 2026'!M2628)</f>
        <v/>
      </c>
      <c r="H2628">
        <f>IF(ISBLANK('ENGAGEMENTS 2026'!C2628),"",'ENGAGEMENTS 2026'!AF2628)</f>
        <v/>
      </c>
      <c r="I2628">
        <f>IF(ISBLANK('ENGAGEMENTS 2026'!C2628),"",'ENGAGEMENTS 2026'!H2628)</f>
        <v/>
      </c>
      <c r="J2628" s="275">
        <f>IF(ISBLANK('ENGAGEMENTS 2026'!C2628),"",IF(AND(OR($E2628="INFRUCTUEUX",$E2628="ANNULE"),$C2628="AOO-M"),'ENGAGEMENTS 2026'!P2628,IF($H2628="EN COURS DE PREENGAGEMENT",'ENGAGEMENTS 2026'!O2628,IF($H2628="PREENGAGE",IF($E2628="ATTRIBUE",'ENGAGEMENTS 2026'!AE2628,'ENGAGEMENTS 2026'!O2628),'ENGAGEMENTS 2026'!AE2628))))</f>
        <v/>
      </c>
      <c r="K2628" s="604">
        <f>IF(ISBLANK('ENGAGEMENTS 2026'!W2628),"",'ENGAGEMENTS 2026'!W2628)</f>
        <v/>
      </c>
      <c r="L2628" s="276">
        <f>IF($K2628="","",TODAY()-$K2628)</f>
        <v/>
      </c>
      <c r="M2628">
        <f>IF($A2628="","",IF($H2628="ENGAGE","Engagé",IF(AND($H2628="NON ENGAGE",OR($I2628="INFRUCTUEUX",$I2628="ANNULE")),"Clôturé sans suite","En cours")))</f>
        <v/>
      </c>
      <c r="N2628">
        <f>IF(ISBLANK('ENGAGEMENTS 2026'!C2628),"",'ENGAGEMENTS 2026'!L2628)</f>
        <v/>
      </c>
      <c r="O2628">
        <f>IF(ISBLANK('ENGAGEMENTS 2026'!C2628),"",'ENGAGEMENTS 2026'!M2628)</f>
        <v/>
      </c>
      <c r="P2628">
        <f>IF(ISBLANK('ENGAGEMENTS 2026'!C2628),"",'ENGAGEMENTS 2026'!K2628)</f>
        <v/>
      </c>
      <c r="Q2628">
        <f>IF($A2628="","",IF(OR($E2628="INFRUCTUEUX",$E2628="ANNULE"),$A2628&amp;"|"&amp;(COUNTIFS($A$2:$A2628,$A2628,$E$2:$E2628,"INFRUCTUEUX")+COUNTIFS($A$2:$A2628,$A2628,$E$2:$E2628,"ANNULE")),""))</f>
        <v/>
      </c>
    </row>
    <row r="2629">
      <c r="A2629">
        <f>IF(ISBLANK('ENGAGEMENTS 2026'!C2629),"",IF('ENGAGEMENTS 2026'!C2629="DTSI","DCT",'ENGAGEMENTS 2026'!C2629))</f>
        <v/>
      </c>
      <c r="B2629">
        <f>IF(ISBLANK('ENGAGEMENTS 2026'!C2629),"",'ENGAGEMENTS 2026'!D2629)</f>
        <v/>
      </c>
      <c r="C2629">
        <f>IF(ISBLANK('ENGAGEMENTS 2026'!C2629),"",'ENGAGEMENTS 2026'!E2629)</f>
        <v/>
      </c>
      <c r="D2629">
        <f>IF(ISBLANK('ENGAGEMENTS 2026'!C2629),"",'ENGAGEMENTS 2026'!G2629)</f>
        <v/>
      </c>
      <c r="E2629">
        <f>IF(ISBLANK('ENGAGEMENTS 2026'!C2629),"",'ENGAGEMENTS 2026'!I2629)</f>
        <v/>
      </c>
      <c r="F2629">
        <f>IF(ISBLANK('ENGAGEMENTS 2026'!C2629),"",'ENGAGEMENTS 2026'!J2629)</f>
        <v/>
      </c>
      <c r="G2629">
        <f>IF(ISBLANK('ENGAGEMENTS 2026'!C2629),"",'ENGAGEMENTS 2026'!M2629)</f>
        <v/>
      </c>
      <c r="H2629">
        <f>IF(ISBLANK('ENGAGEMENTS 2026'!C2629),"",'ENGAGEMENTS 2026'!AF2629)</f>
        <v/>
      </c>
      <c r="I2629">
        <f>IF(ISBLANK('ENGAGEMENTS 2026'!C2629),"",'ENGAGEMENTS 2026'!H2629)</f>
        <v/>
      </c>
      <c r="J2629" s="275">
        <f>IF(ISBLANK('ENGAGEMENTS 2026'!C2629),"",IF(AND(OR($E2629="INFRUCTUEUX",$E2629="ANNULE"),$C2629="AOO-M"),'ENGAGEMENTS 2026'!P2629,IF($H2629="EN COURS DE PREENGAGEMENT",'ENGAGEMENTS 2026'!O2629,IF($H2629="PREENGAGE",IF($E2629="ATTRIBUE",'ENGAGEMENTS 2026'!AE2629,'ENGAGEMENTS 2026'!O2629),'ENGAGEMENTS 2026'!AE2629))))</f>
        <v/>
      </c>
      <c r="K2629" s="604">
        <f>IF(ISBLANK('ENGAGEMENTS 2026'!W2629),"",'ENGAGEMENTS 2026'!W2629)</f>
        <v/>
      </c>
      <c r="L2629" s="276">
        <f>IF($K2629="","",TODAY()-$K2629)</f>
        <v/>
      </c>
      <c r="M2629">
        <f>IF($A2629="","",IF($H2629="ENGAGE","Engagé",IF(AND($H2629="NON ENGAGE",OR($I2629="INFRUCTUEUX",$I2629="ANNULE")),"Clôturé sans suite","En cours")))</f>
        <v/>
      </c>
      <c r="N2629">
        <f>IF(ISBLANK('ENGAGEMENTS 2026'!C2629),"",'ENGAGEMENTS 2026'!L2629)</f>
        <v/>
      </c>
      <c r="O2629">
        <f>IF(ISBLANK('ENGAGEMENTS 2026'!C2629),"",'ENGAGEMENTS 2026'!M2629)</f>
        <v/>
      </c>
      <c r="P2629">
        <f>IF(ISBLANK('ENGAGEMENTS 2026'!C2629),"",'ENGAGEMENTS 2026'!K2629)</f>
        <v/>
      </c>
      <c r="Q2629">
        <f>IF($A2629="","",IF(OR($E2629="INFRUCTUEUX",$E2629="ANNULE"),$A2629&amp;"|"&amp;(COUNTIFS($A$2:$A2629,$A2629,$E$2:$E2629,"INFRUCTUEUX")+COUNTIFS($A$2:$A2629,$A2629,$E$2:$E2629,"ANNULE")),""))</f>
        <v/>
      </c>
    </row>
    <row r="2630">
      <c r="A2630">
        <f>IF(ISBLANK('ENGAGEMENTS 2026'!C2630),"",IF('ENGAGEMENTS 2026'!C2630="DTSI","DCT",'ENGAGEMENTS 2026'!C2630))</f>
        <v/>
      </c>
      <c r="B2630">
        <f>IF(ISBLANK('ENGAGEMENTS 2026'!C2630),"",'ENGAGEMENTS 2026'!D2630)</f>
        <v/>
      </c>
      <c r="C2630">
        <f>IF(ISBLANK('ENGAGEMENTS 2026'!C2630),"",'ENGAGEMENTS 2026'!E2630)</f>
        <v/>
      </c>
      <c r="D2630">
        <f>IF(ISBLANK('ENGAGEMENTS 2026'!C2630),"",'ENGAGEMENTS 2026'!G2630)</f>
        <v/>
      </c>
      <c r="E2630">
        <f>IF(ISBLANK('ENGAGEMENTS 2026'!C2630),"",'ENGAGEMENTS 2026'!I2630)</f>
        <v/>
      </c>
      <c r="F2630">
        <f>IF(ISBLANK('ENGAGEMENTS 2026'!C2630),"",'ENGAGEMENTS 2026'!J2630)</f>
        <v/>
      </c>
      <c r="G2630">
        <f>IF(ISBLANK('ENGAGEMENTS 2026'!C2630),"",'ENGAGEMENTS 2026'!M2630)</f>
        <v/>
      </c>
      <c r="H2630">
        <f>IF(ISBLANK('ENGAGEMENTS 2026'!C2630),"",'ENGAGEMENTS 2026'!AF2630)</f>
        <v/>
      </c>
      <c r="I2630">
        <f>IF(ISBLANK('ENGAGEMENTS 2026'!C2630),"",'ENGAGEMENTS 2026'!H2630)</f>
        <v/>
      </c>
      <c r="J2630" s="275">
        <f>IF(ISBLANK('ENGAGEMENTS 2026'!C2630),"",IF(AND(OR($E2630="INFRUCTUEUX",$E2630="ANNULE"),$C2630="AOO-M"),'ENGAGEMENTS 2026'!P2630,IF($H2630="EN COURS DE PREENGAGEMENT",'ENGAGEMENTS 2026'!O2630,IF($H2630="PREENGAGE",IF($E2630="ATTRIBUE",'ENGAGEMENTS 2026'!AE2630,'ENGAGEMENTS 2026'!O2630),'ENGAGEMENTS 2026'!AE2630))))</f>
        <v/>
      </c>
      <c r="K2630" s="604">
        <f>IF(ISBLANK('ENGAGEMENTS 2026'!W2630),"",'ENGAGEMENTS 2026'!W2630)</f>
        <v/>
      </c>
      <c r="L2630" s="276">
        <f>IF($K2630="","",TODAY()-$K2630)</f>
        <v/>
      </c>
      <c r="M2630">
        <f>IF($A2630="","",IF($H2630="ENGAGE","Engagé",IF(AND($H2630="NON ENGAGE",OR($I2630="INFRUCTUEUX",$I2630="ANNULE")),"Clôturé sans suite","En cours")))</f>
        <v/>
      </c>
      <c r="N2630">
        <f>IF(ISBLANK('ENGAGEMENTS 2026'!C2630),"",'ENGAGEMENTS 2026'!L2630)</f>
        <v/>
      </c>
      <c r="O2630">
        <f>IF(ISBLANK('ENGAGEMENTS 2026'!C2630),"",'ENGAGEMENTS 2026'!M2630)</f>
        <v/>
      </c>
      <c r="P2630">
        <f>IF(ISBLANK('ENGAGEMENTS 2026'!C2630),"",'ENGAGEMENTS 2026'!K2630)</f>
        <v/>
      </c>
      <c r="Q2630">
        <f>IF($A2630="","",IF(OR($E2630="INFRUCTUEUX",$E2630="ANNULE"),$A2630&amp;"|"&amp;(COUNTIFS($A$2:$A2630,$A2630,$E$2:$E2630,"INFRUCTUEUX")+COUNTIFS($A$2:$A2630,$A2630,$E$2:$E2630,"ANNULE")),""))</f>
        <v/>
      </c>
    </row>
    <row r="2631">
      <c r="A2631">
        <f>IF(ISBLANK('ENGAGEMENTS 2026'!C2631),"",IF('ENGAGEMENTS 2026'!C2631="DTSI","DCT",'ENGAGEMENTS 2026'!C2631))</f>
        <v/>
      </c>
      <c r="B2631">
        <f>IF(ISBLANK('ENGAGEMENTS 2026'!C2631),"",'ENGAGEMENTS 2026'!D2631)</f>
        <v/>
      </c>
      <c r="C2631">
        <f>IF(ISBLANK('ENGAGEMENTS 2026'!C2631),"",'ENGAGEMENTS 2026'!E2631)</f>
        <v/>
      </c>
      <c r="D2631">
        <f>IF(ISBLANK('ENGAGEMENTS 2026'!C2631),"",'ENGAGEMENTS 2026'!G2631)</f>
        <v/>
      </c>
      <c r="E2631">
        <f>IF(ISBLANK('ENGAGEMENTS 2026'!C2631),"",'ENGAGEMENTS 2026'!I2631)</f>
        <v/>
      </c>
      <c r="F2631">
        <f>IF(ISBLANK('ENGAGEMENTS 2026'!C2631),"",'ENGAGEMENTS 2026'!J2631)</f>
        <v/>
      </c>
      <c r="G2631">
        <f>IF(ISBLANK('ENGAGEMENTS 2026'!C2631),"",'ENGAGEMENTS 2026'!M2631)</f>
        <v/>
      </c>
      <c r="H2631">
        <f>IF(ISBLANK('ENGAGEMENTS 2026'!C2631),"",'ENGAGEMENTS 2026'!AF2631)</f>
        <v/>
      </c>
      <c r="I2631">
        <f>IF(ISBLANK('ENGAGEMENTS 2026'!C2631),"",'ENGAGEMENTS 2026'!H2631)</f>
        <v/>
      </c>
      <c r="J2631" s="275">
        <f>IF(ISBLANK('ENGAGEMENTS 2026'!C2631),"",IF(AND(OR($E2631="INFRUCTUEUX",$E2631="ANNULE"),$C2631="AOO-M"),'ENGAGEMENTS 2026'!P2631,IF($H2631="EN COURS DE PREENGAGEMENT",'ENGAGEMENTS 2026'!O2631,IF($H2631="PREENGAGE",IF($E2631="ATTRIBUE",'ENGAGEMENTS 2026'!AE2631,'ENGAGEMENTS 2026'!O2631),'ENGAGEMENTS 2026'!AE2631))))</f>
        <v/>
      </c>
      <c r="K2631" s="604">
        <f>IF(ISBLANK('ENGAGEMENTS 2026'!W2631),"",'ENGAGEMENTS 2026'!W2631)</f>
        <v/>
      </c>
      <c r="L2631" s="276">
        <f>IF($K2631="","",TODAY()-$K2631)</f>
        <v/>
      </c>
      <c r="M2631">
        <f>IF($A2631="","",IF($H2631="ENGAGE","Engagé",IF(AND($H2631="NON ENGAGE",OR($I2631="INFRUCTUEUX",$I2631="ANNULE")),"Clôturé sans suite","En cours")))</f>
        <v/>
      </c>
      <c r="N2631">
        <f>IF(ISBLANK('ENGAGEMENTS 2026'!C2631),"",'ENGAGEMENTS 2026'!L2631)</f>
        <v/>
      </c>
      <c r="O2631">
        <f>IF(ISBLANK('ENGAGEMENTS 2026'!C2631),"",'ENGAGEMENTS 2026'!M2631)</f>
        <v/>
      </c>
      <c r="P2631">
        <f>IF(ISBLANK('ENGAGEMENTS 2026'!C2631),"",'ENGAGEMENTS 2026'!K2631)</f>
        <v/>
      </c>
      <c r="Q2631">
        <f>IF($A2631="","",IF(OR($E2631="INFRUCTUEUX",$E2631="ANNULE"),$A2631&amp;"|"&amp;(COUNTIFS($A$2:$A2631,$A2631,$E$2:$E2631,"INFRUCTUEUX")+COUNTIFS($A$2:$A2631,$A2631,$E$2:$E2631,"ANNULE")),""))</f>
        <v/>
      </c>
    </row>
    <row r="2632">
      <c r="A2632">
        <f>IF(ISBLANK('ENGAGEMENTS 2026'!C2632),"",IF('ENGAGEMENTS 2026'!C2632="DTSI","DCT",'ENGAGEMENTS 2026'!C2632))</f>
        <v/>
      </c>
      <c r="B2632">
        <f>IF(ISBLANK('ENGAGEMENTS 2026'!C2632),"",'ENGAGEMENTS 2026'!D2632)</f>
        <v/>
      </c>
      <c r="C2632">
        <f>IF(ISBLANK('ENGAGEMENTS 2026'!C2632),"",'ENGAGEMENTS 2026'!E2632)</f>
        <v/>
      </c>
      <c r="D2632">
        <f>IF(ISBLANK('ENGAGEMENTS 2026'!C2632),"",'ENGAGEMENTS 2026'!G2632)</f>
        <v/>
      </c>
      <c r="E2632">
        <f>IF(ISBLANK('ENGAGEMENTS 2026'!C2632),"",'ENGAGEMENTS 2026'!I2632)</f>
        <v/>
      </c>
      <c r="F2632">
        <f>IF(ISBLANK('ENGAGEMENTS 2026'!C2632),"",'ENGAGEMENTS 2026'!J2632)</f>
        <v/>
      </c>
      <c r="G2632">
        <f>IF(ISBLANK('ENGAGEMENTS 2026'!C2632),"",'ENGAGEMENTS 2026'!M2632)</f>
        <v/>
      </c>
      <c r="H2632">
        <f>IF(ISBLANK('ENGAGEMENTS 2026'!C2632),"",'ENGAGEMENTS 2026'!AF2632)</f>
        <v/>
      </c>
      <c r="I2632">
        <f>IF(ISBLANK('ENGAGEMENTS 2026'!C2632),"",'ENGAGEMENTS 2026'!H2632)</f>
        <v/>
      </c>
      <c r="J2632" s="275">
        <f>IF(ISBLANK('ENGAGEMENTS 2026'!C2632),"",IF(AND(OR($E2632="INFRUCTUEUX",$E2632="ANNULE"),$C2632="AOO-M"),'ENGAGEMENTS 2026'!P2632,IF($H2632="EN COURS DE PREENGAGEMENT",'ENGAGEMENTS 2026'!O2632,IF($H2632="PREENGAGE",IF($E2632="ATTRIBUE",'ENGAGEMENTS 2026'!AE2632,'ENGAGEMENTS 2026'!O2632),'ENGAGEMENTS 2026'!AE2632))))</f>
        <v/>
      </c>
      <c r="K2632" s="604">
        <f>IF(ISBLANK('ENGAGEMENTS 2026'!W2632),"",'ENGAGEMENTS 2026'!W2632)</f>
        <v/>
      </c>
      <c r="L2632" s="276">
        <f>IF($K2632="","",TODAY()-$K2632)</f>
        <v/>
      </c>
      <c r="M2632">
        <f>IF($A2632="","",IF($H2632="ENGAGE","Engagé",IF(AND($H2632="NON ENGAGE",OR($I2632="INFRUCTUEUX",$I2632="ANNULE")),"Clôturé sans suite","En cours")))</f>
        <v/>
      </c>
      <c r="N2632">
        <f>IF(ISBLANK('ENGAGEMENTS 2026'!C2632),"",'ENGAGEMENTS 2026'!L2632)</f>
        <v/>
      </c>
      <c r="O2632">
        <f>IF(ISBLANK('ENGAGEMENTS 2026'!C2632),"",'ENGAGEMENTS 2026'!M2632)</f>
        <v/>
      </c>
      <c r="P2632">
        <f>IF(ISBLANK('ENGAGEMENTS 2026'!C2632),"",'ENGAGEMENTS 2026'!K2632)</f>
        <v/>
      </c>
      <c r="Q2632">
        <f>IF($A2632="","",IF(OR($E2632="INFRUCTUEUX",$E2632="ANNULE"),$A2632&amp;"|"&amp;(COUNTIFS($A$2:$A2632,$A2632,$E$2:$E2632,"INFRUCTUEUX")+COUNTIFS($A$2:$A2632,$A2632,$E$2:$E2632,"ANNULE")),""))</f>
        <v/>
      </c>
    </row>
    <row r="2633">
      <c r="A2633">
        <f>IF(ISBLANK('ENGAGEMENTS 2026'!C2633),"",IF('ENGAGEMENTS 2026'!C2633="DTSI","DCT",'ENGAGEMENTS 2026'!C2633))</f>
        <v/>
      </c>
      <c r="B2633">
        <f>IF(ISBLANK('ENGAGEMENTS 2026'!C2633),"",'ENGAGEMENTS 2026'!D2633)</f>
        <v/>
      </c>
      <c r="C2633">
        <f>IF(ISBLANK('ENGAGEMENTS 2026'!C2633),"",'ENGAGEMENTS 2026'!E2633)</f>
        <v/>
      </c>
      <c r="D2633">
        <f>IF(ISBLANK('ENGAGEMENTS 2026'!C2633),"",'ENGAGEMENTS 2026'!G2633)</f>
        <v/>
      </c>
      <c r="E2633">
        <f>IF(ISBLANK('ENGAGEMENTS 2026'!C2633),"",'ENGAGEMENTS 2026'!I2633)</f>
        <v/>
      </c>
      <c r="F2633">
        <f>IF(ISBLANK('ENGAGEMENTS 2026'!C2633),"",'ENGAGEMENTS 2026'!J2633)</f>
        <v/>
      </c>
      <c r="G2633">
        <f>IF(ISBLANK('ENGAGEMENTS 2026'!C2633),"",'ENGAGEMENTS 2026'!M2633)</f>
        <v/>
      </c>
      <c r="H2633">
        <f>IF(ISBLANK('ENGAGEMENTS 2026'!C2633),"",'ENGAGEMENTS 2026'!AF2633)</f>
        <v/>
      </c>
      <c r="I2633">
        <f>IF(ISBLANK('ENGAGEMENTS 2026'!C2633),"",'ENGAGEMENTS 2026'!H2633)</f>
        <v/>
      </c>
      <c r="J2633" s="275">
        <f>IF(ISBLANK('ENGAGEMENTS 2026'!C2633),"",IF(AND(OR($E2633="INFRUCTUEUX",$E2633="ANNULE"),$C2633="AOO-M"),'ENGAGEMENTS 2026'!P2633,IF($H2633="EN COURS DE PREENGAGEMENT",'ENGAGEMENTS 2026'!O2633,IF($H2633="PREENGAGE",IF($E2633="ATTRIBUE",'ENGAGEMENTS 2026'!AE2633,'ENGAGEMENTS 2026'!O2633),'ENGAGEMENTS 2026'!AE2633))))</f>
        <v/>
      </c>
      <c r="K2633" s="604">
        <f>IF(ISBLANK('ENGAGEMENTS 2026'!W2633),"",'ENGAGEMENTS 2026'!W2633)</f>
        <v/>
      </c>
      <c r="L2633" s="276">
        <f>IF($K2633="","",TODAY()-$K2633)</f>
        <v/>
      </c>
      <c r="M2633">
        <f>IF($A2633="","",IF($H2633="ENGAGE","Engagé",IF(AND($H2633="NON ENGAGE",OR($I2633="INFRUCTUEUX",$I2633="ANNULE")),"Clôturé sans suite","En cours")))</f>
        <v/>
      </c>
      <c r="N2633">
        <f>IF(ISBLANK('ENGAGEMENTS 2026'!C2633),"",'ENGAGEMENTS 2026'!L2633)</f>
        <v/>
      </c>
      <c r="O2633">
        <f>IF(ISBLANK('ENGAGEMENTS 2026'!C2633),"",'ENGAGEMENTS 2026'!M2633)</f>
        <v/>
      </c>
      <c r="P2633">
        <f>IF(ISBLANK('ENGAGEMENTS 2026'!C2633),"",'ENGAGEMENTS 2026'!K2633)</f>
        <v/>
      </c>
      <c r="Q2633">
        <f>IF($A2633="","",IF(OR($E2633="INFRUCTUEUX",$E2633="ANNULE"),$A2633&amp;"|"&amp;(COUNTIFS($A$2:$A2633,$A2633,$E$2:$E2633,"INFRUCTUEUX")+COUNTIFS($A$2:$A2633,$A2633,$E$2:$E2633,"ANNULE")),""))</f>
        <v/>
      </c>
    </row>
    <row r="2634">
      <c r="A2634">
        <f>IF(ISBLANK('ENGAGEMENTS 2026'!C2634),"",IF('ENGAGEMENTS 2026'!C2634="DTSI","DCT",'ENGAGEMENTS 2026'!C2634))</f>
        <v/>
      </c>
      <c r="B2634">
        <f>IF(ISBLANK('ENGAGEMENTS 2026'!C2634),"",'ENGAGEMENTS 2026'!D2634)</f>
        <v/>
      </c>
      <c r="C2634">
        <f>IF(ISBLANK('ENGAGEMENTS 2026'!C2634),"",'ENGAGEMENTS 2026'!E2634)</f>
        <v/>
      </c>
      <c r="D2634">
        <f>IF(ISBLANK('ENGAGEMENTS 2026'!C2634),"",'ENGAGEMENTS 2026'!G2634)</f>
        <v/>
      </c>
      <c r="E2634">
        <f>IF(ISBLANK('ENGAGEMENTS 2026'!C2634),"",'ENGAGEMENTS 2026'!I2634)</f>
        <v/>
      </c>
      <c r="F2634">
        <f>IF(ISBLANK('ENGAGEMENTS 2026'!C2634),"",'ENGAGEMENTS 2026'!J2634)</f>
        <v/>
      </c>
      <c r="G2634">
        <f>IF(ISBLANK('ENGAGEMENTS 2026'!C2634),"",'ENGAGEMENTS 2026'!M2634)</f>
        <v/>
      </c>
      <c r="H2634">
        <f>IF(ISBLANK('ENGAGEMENTS 2026'!C2634),"",'ENGAGEMENTS 2026'!AF2634)</f>
        <v/>
      </c>
      <c r="I2634">
        <f>IF(ISBLANK('ENGAGEMENTS 2026'!C2634),"",'ENGAGEMENTS 2026'!H2634)</f>
        <v/>
      </c>
      <c r="J2634" s="275">
        <f>IF(ISBLANK('ENGAGEMENTS 2026'!C2634),"",IF(AND(OR($E2634="INFRUCTUEUX",$E2634="ANNULE"),$C2634="AOO-M"),'ENGAGEMENTS 2026'!P2634,IF($H2634="EN COURS DE PREENGAGEMENT",'ENGAGEMENTS 2026'!O2634,IF($H2634="PREENGAGE",IF($E2634="ATTRIBUE",'ENGAGEMENTS 2026'!AE2634,'ENGAGEMENTS 2026'!O2634),'ENGAGEMENTS 2026'!AE2634))))</f>
        <v/>
      </c>
      <c r="K2634" s="604">
        <f>IF(ISBLANK('ENGAGEMENTS 2026'!W2634),"",'ENGAGEMENTS 2026'!W2634)</f>
        <v/>
      </c>
      <c r="L2634" s="276">
        <f>IF($K2634="","",TODAY()-$K2634)</f>
        <v/>
      </c>
      <c r="M2634">
        <f>IF($A2634="","",IF($H2634="ENGAGE","Engagé",IF(AND($H2634="NON ENGAGE",OR($I2634="INFRUCTUEUX",$I2634="ANNULE")),"Clôturé sans suite","En cours")))</f>
        <v/>
      </c>
      <c r="N2634">
        <f>IF(ISBLANK('ENGAGEMENTS 2026'!C2634),"",'ENGAGEMENTS 2026'!L2634)</f>
        <v/>
      </c>
      <c r="O2634">
        <f>IF(ISBLANK('ENGAGEMENTS 2026'!C2634),"",'ENGAGEMENTS 2026'!M2634)</f>
        <v/>
      </c>
      <c r="P2634">
        <f>IF(ISBLANK('ENGAGEMENTS 2026'!C2634),"",'ENGAGEMENTS 2026'!K2634)</f>
        <v/>
      </c>
      <c r="Q2634">
        <f>IF($A2634="","",IF(OR($E2634="INFRUCTUEUX",$E2634="ANNULE"),$A2634&amp;"|"&amp;(COUNTIFS($A$2:$A2634,$A2634,$E$2:$E2634,"INFRUCTUEUX")+COUNTIFS($A$2:$A2634,$A2634,$E$2:$E2634,"ANNULE")),""))</f>
        <v/>
      </c>
    </row>
    <row r="2635">
      <c r="A2635">
        <f>IF(ISBLANK('ENGAGEMENTS 2026'!C2635),"",IF('ENGAGEMENTS 2026'!C2635="DTSI","DCT",'ENGAGEMENTS 2026'!C2635))</f>
        <v/>
      </c>
      <c r="B2635">
        <f>IF(ISBLANK('ENGAGEMENTS 2026'!C2635),"",'ENGAGEMENTS 2026'!D2635)</f>
        <v/>
      </c>
      <c r="C2635">
        <f>IF(ISBLANK('ENGAGEMENTS 2026'!C2635),"",'ENGAGEMENTS 2026'!E2635)</f>
        <v/>
      </c>
      <c r="D2635">
        <f>IF(ISBLANK('ENGAGEMENTS 2026'!C2635),"",'ENGAGEMENTS 2026'!G2635)</f>
        <v/>
      </c>
      <c r="E2635">
        <f>IF(ISBLANK('ENGAGEMENTS 2026'!C2635),"",'ENGAGEMENTS 2026'!I2635)</f>
        <v/>
      </c>
      <c r="F2635">
        <f>IF(ISBLANK('ENGAGEMENTS 2026'!C2635),"",'ENGAGEMENTS 2026'!J2635)</f>
        <v/>
      </c>
      <c r="G2635">
        <f>IF(ISBLANK('ENGAGEMENTS 2026'!C2635),"",'ENGAGEMENTS 2026'!M2635)</f>
        <v/>
      </c>
      <c r="H2635">
        <f>IF(ISBLANK('ENGAGEMENTS 2026'!C2635),"",'ENGAGEMENTS 2026'!AF2635)</f>
        <v/>
      </c>
      <c r="I2635">
        <f>IF(ISBLANK('ENGAGEMENTS 2026'!C2635),"",'ENGAGEMENTS 2026'!H2635)</f>
        <v/>
      </c>
      <c r="J2635" s="275">
        <f>IF(ISBLANK('ENGAGEMENTS 2026'!C2635),"",IF(AND(OR($E2635="INFRUCTUEUX",$E2635="ANNULE"),$C2635="AOO-M"),'ENGAGEMENTS 2026'!P2635,IF($H2635="EN COURS DE PREENGAGEMENT",'ENGAGEMENTS 2026'!O2635,IF($H2635="PREENGAGE",IF($E2635="ATTRIBUE",'ENGAGEMENTS 2026'!AE2635,'ENGAGEMENTS 2026'!O2635),'ENGAGEMENTS 2026'!AE2635))))</f>
        <v/>
      </c>
      <c r="K2635" s="604">
        <f>IF(ISBLANK('ENGAGEMENTS 2026'!W2635),"",'ENGAGEMENTS 2026'!W2635)</f>
        <v/>
      </c>
      <c r="L2635" s="276">
        <f>IF($K2635="","",TODAY()-$K2635)</f>
        <v/>
      </c>
      <c r="M2635">
        <f>IF($A2635="","",IF($H2635="ENGAGE","Engagé",IF(AND($H2635="NON ENGAGE",OR($I2635="INFRUCTUEUX",$I2635="ANNULE")),"Clôturé sans suite","En cours")))</f>
        <v/>
      </c>
      <c r="N2635">
        <f>IF(ISBLANK('ENGAGEMENTS 2026'!C2635),"",'ENGAGEMENTS 2026'!L2635)</f>
        <v/>
      </c>
      <c r="O2635">
        <f>IF(ISBLANK('ENGAGEMENTS 2026'!C2635),"",'ENGAGEMENTS 2026'!M2635)</f>
        <v/>
      </c>
      <c r="P2635">
        <f>IF(ISBLANK('ENGAGEMENTS 2026'!C2635),"",'ENGAGEMENTS 2026'!K2635)</f>
        <v/>
      </c>
      <c r="Q2635">
        <f>IF($A2635="","",IF(OR($E2635="INFRUCTUEUX",$E2635="ANNULE"),$A2635&amp;"|"&amp;(COUNTIFS($A$2:$A2635,$A2635,$E$2:$E2635,"INFRUCTUEUX")+COUNTIFS($A$2:$A2635,$A2635,$E$2:$E2635,"ANNULE")),""))</f>
        <v/>
      </c>
    </row>
    <row r="2636">
      <c r="A2636">
        <f>IF(ISBLANK('ENGAGEMENTS 2026'!C2636),"",IF('ENGAGEMENTS 2026'!C2636="DTSI","DCT",'ENGAGEMENTS 2026'!C2636))</f>
        <v/>
      </c>
      <c r="B2636">
        <f>IF(ISBLANK('ENGAGEMENTS 2026'!C2636),"",'ENGAGEMENTS 2026'!D2636)</f>
        <v/>
      </c>
      <c r="C2636">
        <f>IF(ISBLANK('ENGAGEMENTS 2026'!C2636),"",'ENGAGEMENTS 2026'!E2636)</f>
        <v/>
      </c>
      <c r="D2636">
        <f>IF(ISBLANK('ENGAGEMENTS 2026'!C2636),"",'ENGAGEMENTS 2026'!G2636)</f>
        <v/>
      </c>
      <c r="E2636">
        <f>IF(ISBLANK('ENGAGEMENTS 2026'!C2636),"",'ENGAGEMENTS 2026'!I2636)</f>
        <v/>
      </c>
      <c r="F2636">
        <f>IF(ISBLANK('ENGAGEMENTS 2026'!C2636),"",'ENGAGEMENTS 2026'!J2636)</f>
        <v/>
      </c>
      <c r="G2636">
        <f>IF(ISBLANK('ENGAGEMENTS 2026'!C2636),"",'ENGAGEMENTS 2026'!M2636)</f>
        <v/>
      </c>
      <c r="H2636">
        <f>IF(ISBLANK('ENGAGEMENTS 2026'!C2636),"",'ENGAGEMENTS 2026'!AF2636)</f>
        <v/>
      </c>
      <c r="I2636">
        <f>IF(ISBLANK('ENGAGEMENTS 2026'!C2636),"",'ENGAGEMENTS 2026'!H2636)</f>
        <v/>
      </c>
      <c r="J2636" s="275">
        <f>IF(ISBLANK('ENGAGEMENTS 2026'!C2636),"",IF(AND(OR($E2636="INFRUCTUEUX",$E2636="ANNULE"),$C2636="AOO-M"),'ENGAGEMENTS 2026'!P2636,IF($H2636="EN COURS DE PREENGAGEMENT",'ENGAGEMENTS 2026'!O2636,IF($H2636="PREENGAGE",IF($E2636="ATTRIBUE",'ENGAGEMENTS 2026'!AE2636,'ENGAGEMENTS 2026'!O2636),'ENGAGEMENTS 2026'!AE2636))))</f>
        <v/>
      </c>
      <c r="K2636" s="604">
        <f>IF(ISBLANK('ENGAGEMENTS 2026'!W2636),"",'ENGAGEMENTS 2026'!W2636)</f>
        <v/>
      </c>
      <c r="L2636" s="276">
        <f>IF($K2636="","",TODAY()-$K2636)</f>
        <v/>
      </c>
      <c r="M2636">
        <f>IF($A2636="","",IF($H2636="ENGAGE","Engagé",IF(AND($H2636="NON ENGAGE",OR($I2636="INFRUCTUEUX",$I2636="ANNULE")),"Clôturé sans suite","En cours")))</f>
        <v/>
      </c>
      <c r="N2636">
        <f>IF(ISBLANK('ENGAGEMENTS 2026'!C2636),"",'ENGAGEMENTS 2026'!L2636)</f>
        <v/>
      </c>
      <c r="O2636">
        <f>IF(ISBLANK('ENGAGEMENTS 2026'!C2636),"",'ENGAGEMENTS 2026'!M2636)</f>
        <v/>
      </c>
      <c r="P2636">
        <f>IF(ISBLANK('ENGAGEMENTS 2026'!C2636),"",'ENGAGEMENTS 2026'!K2636)</f>
        <v/>
      </c>
      <c r="Q2636">
        <f>IF($A2636="","",IF(OR($E2636="INFRUCTUEUX",$E2636="ANNULE"),$A2636&amp;"|"&amp;(COUNTIFS($A$2:$A2636,$A2636,$E$2:$E2636,"INFRUCTUEUX")+COUNTIFS($A$2:$A2636,$A2636,$E$2:$E2636,"ANNULE")),""))</f>
        <v/>
      </c>
    </row>
    <row r="2637">
      <c r="A2637">
        <f>IF(ISBLANK('ENGAGEMENTS 2026'!C2637),"",IF('ENGAGEMENTS 2026'!C2637="DTSI","DCT",'ENGAGEMENTS 2026'!C2637))</f>
        <v/>
      </c>
      <c r="B2637">
        <f>IF(ISBLANK('ENGAGEMENTS 2026'!C2637),"",'ENGAGEMENTS 2026'!D2637)</f>
        <v/>
      </c>
      <c r="C2637">
        <f>IF(ISBLANK('ENGAGEMENTS 2026'!C2637),"",'ENGAGEMENTS 2026'!E2637)</f>
        <v/>
      </c>
      <c r="D2637">
        <f>IF(ISBLANK('ENGAGEMENTS 2026'!C2637),"",'ENGAGEMENTS 2026'!G2637)</f>
        <v/>
      </c>
      <c r="E2637">
        <f>IF(ISBLANK('ENGAGEMENTS 2026'!C2637),"",'ENGAGEMENTS 2026'!I2637)</f>
        <v/>
      </c>
      <c r="F2637">
        <f>IF(ISBLANK('ENGAGEMENTS 2026'!C2637),"",'ENGAGEMENTS 2026'!J2637)</f>
        <v/>
      </c>
      <c r="G2637">
        <f>IF(ISBLANK('ENGAGEMENTS 2026'!C2637),"",'ENGAGEMENTS 2026'!M2637)</f>
        <v/>
      </c>
      <c r="H2637">
        <f>IF(ISBLANK('ENGAGEMENTS 2026'!C2637),"",'ENGAGEMENTS 2026'!AF2637)</f>
        <v/>
      </c>
      <c r="I2637">
        <f>IF(ISBLANK('ENGAGEMENTS 2026'!C2637),"",'ENGAGEMENTS 2026'!H2637)</f>
        <v/>
      </c>
      <c r="J2637" s="275">
        <f>IF(ISBLANK('ENGAGEMENTS 2026'!C2637),"",IF(AND(OR($E2637="INFRUCTUEUX",$E2637="ANNULE"),$C2637="AOO-M"),'ENGAGEMENTS 2026'!P2637,IF($H2637="EN COURS DE PREENGAGEMENT",'ENGAGEMENTS 2026'!O2637,IF($H2637="PREENGAGE",IF($E2637="ATTRIBUE",'ENGAGEMENTS 2026'!AE2637,'ENGAGEMENTS 2026'!O2637),'ENGAGEMENTS 2026'!AE2637))))</f>
        <v/>
      </c>
      <c r="K2637" s="604">
        <f>IF(ISBLANK('ENGAGEMENTS 2026'!W2637),"",'ENGAGEMENTS 2026'!W2637)</f>
        <v/>
      </c>
      <c r="L2637" s="276">
        <f>IF($K2637="","",TODAY()-$K2637)</f>
        <v/>
      </c>
      <c r="M2637">
        <f>IF($A2637="","",IF($H2637="ENGAGE","Engagé",IF(AND($H2637="NON ENGAGE",OR($I2637="INFRUCTUEUX",$I2637="ANNULE")),"Clôturé sans suite","En cours")))</f>
        <v/>
      </c>
      <c r="N2637">
        <f>IF(ISBLANK('ENGAGEMENTS 2026'!C2637),"",'ENGAGEMENTS 2026'!L2637)</f>
        <v/>
      </c>
      <c r="O2637">
        <f>IF(ISBLANK('ENGAGEMENTS 2026'!C2637),"",'ENGAGEMENTS 2026'!M2637)</f>
        <v/>
      </c>
      <c r="P2637">
        <f>IF(ISBLANK('ENGAGEMENTS 2026'!C2637),"",'ENGAGEMENTS 2026'!K2637)</f>
        <v/>
      </c>
      <c r="Q2637">
        <f>IF($A2637="","",IF(OR($E2637="INFRUCTUEUX",$E2637="ANNULE"),$A2637&amp;"|"&amp;(COUNTIFS($A$2:$A2637,$A2637,$E$2:$E2637,"INFRUCTUEUX")+COUNTIFS($A$2:$A2637,$A2637,$E$2:$E2637,"ANNULE")),""))</f>
        <v/>
      </c>
    </row>
    <row r="2638">
      <c r="A2638">
        <f>IF(ISBLANK('ENGAGEMENTS 2026'!C2638),"",IF('ENGAGEMENTS 2026'!C2638="DTSI","DCT",'ENGAGEMENTS 2026'!C2638))</f>
        <v/>
      </c>
      <c r="B2638">
        <f>IF(ISBLANK('ENGAGEMENTS 2026'!C2638),"",'ENGAGEMENTS 2026'!D2638)</f>
        <v/>
      </c>
      <c r="C2638">
        <f>IF(ISBLANK('ENGAGEMENTS 2026'!C2638),"",'ENGAGEMENTS 2026'!E2638)</f>
        <v/>
      </c>
      <c r="D2638">
        <f>IF(ISBLANK('ENGAGEMENTS 2026'!C2638),"",'ENGAGEMENTS 2026'!G2638)</f>
        <v/>
      </c>
      <c r="E2638">
        <f>IF(ISBLANK('ENGAGEMENTS 2026'!C2638),"",'ENGAGEMENTS 2026'!I2638)</f>
        <v/>
      </c>
      <c r="F2638">
        <f>IF(ISBLANK('ENGAGEMENTS 2026'!C2638),"",'ENGAGEMENTS 2026'!J2638)</f>
        <v/>
      </c>
      <c r="G2638">
        <f>IF(ISBLANK('ENGAGEMENTS 2026'!C2638),"",'ENGAGEMENTS 2026'!M2638)</f>
        <v/>
      </c>
      <c r="H2638">
        <f>IF(ISBLANK('ENGAGEMENTS 2026'!C2638),"",'ENGAGEMENTS 2026'!AF2638)</f>
        <v/>
      </c>
      <c r="I2638">
        <f>IF(ISBLANK('ENGAGEMENTS 2026'!C2638),"",'ENGAGEMENTS 2026'!H2638)</f>
        <v/>
      </c>
      <c r="J2638" s="275">
        <f>IF(ISBLANK('ENGAGEMENTS 2026'!C2638),"",IF(AND(OR($E2638="INFRUCTUEUX",$E2638="ANNULE"),$C2638="AOO-M"),'ENGAGEMENTS 2026'!P2638,IF($H2638="EN COURS DE PREENGAGEMENT",'ENGAGEMENTS 2026'!O2638,IF($H2638="PREENGAGE",IF($E2638="ATTRIBUE",'ENGAGEMENTS 2026'!AE2638,'ENGAGEMENTS 2026'!O2638),'ENGAGEMENTS 2026'!AE2638))))</f>
        <v/>
      </c>
      <c r="K2638" s="604">
        <f>IF(ISBLANK('ENGAGEMENTS 2026'!W2638),"",'ENGAGEMENTS 2026'!W2638)</f>
        <v/>
      </c>
      <c r="L2638" s="276">
        <f>IF($K2638="","",TODAY()-$K2638)</f>
        <v/>
      </c>
      <c r="M2638">
        <f>IF($A2638="","",IF($H2638="ENGAGE","Engagé",IF(AND($H2638="NON ENGAGE",OR($I2638="INFRUCTUEUX",$I2638="ANNULE")),"Clôturé sans suite","En cours")))</f>
        <v/>
      </c>
      <c r="N2638">
        <f>IF(ISBLANK('ENGAGEMENTS 2026'!C2638),"",'ENGAGEMENTS 2026'!L2638)</f>
        <v/>
      </c>
      <c r="O2638">
        <f>IF(ISBLANK('ENGAGEMENTS 2026'!C2638),"",'ENGAGEMENTS 2026'!M2638)</f>
        <v/>
      </c>
      <c r="P2638">
        <f>IF(ISBLANK('ENGAGEMENTS 2026'!C2638),"",'ENGAGEMENTS 2026'!K2638)</f>
        <v/>
      </c>
      <c r="Q2638">
        <f>IF($A2638="","",IF(OR($E2638="INFRUCTUEUX",$E2638="ANNULE"),$A2638&amp;"|"&amp;(COUNTIFS($A$2:$A2638,$A2638,$E$2:$E2638,"INFRUCTUEUX")+COUNTIFS($A$2:$A2638,$A2638,$E$2:$E2638,"ANNULE")),""))</f>
        <v/>
      </c>
    </row>
    <row r="2639">
      <c r="A2639">
        <f>IF(ISBLANK('ENGAGEMENTS 2026'!C2639),"",IF('ENGAGEMENTS 2026'!C2639="DTSI","DCT",'ENGAGEMENTS 2026'!C2639))</f>
        <v/>
      </c>
      <c r="B2639">
        <f>IF(ISBLANK('ENGAGEMENTS 2026'!C2639),"",'ENGAGEMENTS 2026'!D2639)</f>
        <v/>
      </c>
      <c r="C2639">
        <f>IF(ISBLANK('ENGAGEMENTS 2026'!C2639),"",'ENGAGEMENTS 2026'!E2639)</f>
        <v/>
      </c>
      <c r="D2639">
        <f>IF(ISBLANK('ENGAGEMENTS 2026'!C2639),"",'ENGAGEMENTS 2026'!G2639)</f>
        <v/>
      </c>
      <c r="E2639">
        <f>IF(ISBLANK('ENGAGEMENTS 2026'!C2639),"",'ENGAGEMENTS 2026'!I2639)</f>
        <v/>
      </c>
      <c r="F2639">
        <f>IF(ISBLANK('ENGAGEMENTS 2026'!C2639),"",'ENGAGEMENTS 2026'!J2639)</f>
        <v/>
      </c>
      <c r="G2639">
        <f>IF(ISBLANK('ENGAGEMENTS 2026'!C2639),"",'ENGAGEMENTS 2026'!M2639)</f>
        <v/>
      </c>
      <c r="H2639">
        <f>IF(ISBLANK('ENGAGEMENTS 2026'!C2639),"",'ENGAGEMENTS 2026'!AF2639)</f>
        <v/>
      </c>
      <c r="I2639">
        <f>IF(ISBLANK('ENGAGEMENTS 2026'!C2639),"",'ENGAGEMENTS 2026'!H2639)</f>
        <v/>
      </c>
      <c r="J2639" s="275">
        <f>IF(ISBLANK('ENGAGEMENTS 2026'!C2639),"",IF(AND(OR($E2639="INFRUCTUEUX",$E2639="ANNULE"),$C2639="AOO-M"),'ENGAGEMENTS 2026'!P2639,IF($H2639="EN COURS DE PREENGAGEMENT",'ENGAGEMENTS 2026'!O2639,IF($H2639="PREENGAGE",IF($E2639="ATTRIBUE",'ENGAGEMENTS 2026'!AE2639,'ENGAGEMENTS 2026'!O2639),'ENGAGEMENTS 2026'!AE2639))))</f>
        <v/>
      </c>
      <c r="K2639" s="604">
        <f>IF(ISBLANK('ENGAGEMENTS 2026'!W2639),"",'ENGAGEMENTS 2026'!W2639)</f>
        <v/>
      </c>
      <c r="L2639" s="276">
        <f>IF($K2639="","",TODAY()-$K2639)</f>
        <v/>
      </c>
      <c r="M2639">
        <f>IF($A2639="","",IF($H2639="ENGAGE","Engagé",IF(AND($H2639="NON ENGAGE",OR($I2639="INFRUCTUEUX",$I2639="ANNULE")),"Clôturé sans suite","En cours")))</f>
        <v/>
      </c>
      <c r="N2639">
        <f>IF(ISBLANK('ENGAGEMENTS 2026'!C2639),"",'ENGAGEMENTS 2026'!L2639)</f>
        <v/>
      </c>
      <c r="O2639">
        <f>IF(ISBLANK('ENGAGEMENTS 2026'!C2639),"",'ENGAGEMENTS 2026'!M2639)</f>
        <v/>
      </c>
      <c r="P2639">
        <f>IF(ISBLANK('ENGAGEMENTS 2026'!C2639),"",'ENGAGEMENTS 2026'!K2639)</f>
        <v/>
      </c>
      <c r="Q2639">
        <f>IF($A2639="","",IF(OR($E2639="INFRUCTUEUX",$E2639="ANNULE"),$A2639&amp;"|"&amp;(COUNTIFS($A$2:$A2639,$A2639,$E$2:$E2639,"INFRUCTUEUX")+COUNTIFS($A$2:$A2639,$A2639,$E$2:$E2639,"ANNULE")),""))</f>
        <v/>
      </c>
    </row>
    <row r="2640">
      <c r="A2640">
        <f>IF(ISBLANK('ENGAGEMENTS 2026'!C2640),"",IF('ENGAGEMENTS 2026'!C2640="DTSI","DCT",'ENGAGEMENTS 2026'!C2640))</f>
        <v/>
      </c>
      <c r="B2640">
        <f>IF(ISBLANK('ENGAGEMENTS 2026'!C2640),"",'ENGAGEMENTS 2026'!D2640)</f>
        <v/>
      </c>
      <c r="C2640">
        <f>IF(ISBLANK('ENGAGEMENTS 2026'!C2640),"",'ENGAGEMENTS 2026'!E2640)</f>
        <v/>
      </c>
      <c r="D2640">
        <f>IF(ISBLANK('ENGAGEMENTS 2026'!C2640),"",'ENGAGEMENTS 2026'!G2640)</f>
        <v/>
      </c>
      <c r="E2640">
        <f>IF(ISBLANK('ENGAGEMENTS 2026'!C2640),"",'ENGAGEMENTS 2026'!I2640)</f>
        <v/>
      </c>
      <c r="F2640">
        <f>IF(ISBLANK('ENGAGEMENTS 2026'!C2640),"",'ENGAGEMENTS 2026'!J2640)</f>
        <v/>
      </c>
      <c r="G2640">
        <f>IF(ISBLANK('ENGAGEMENTS 2026'!C2640),"",'ENGAGEMENTS 2026'!M2640)</f>
        <v/>
      </c>
      <c r="H2640">
        <f>IF(ISBLANK('ENGAGEMENTS 2026'!C2640),"",'ENGAGEMENTS 2026'!AF2640)</f>
        <v/>
      </c>
      <c r="I2640">
        <f>IF(ISBLANK('ENGAGEMENTS 2026'!C2640),"",'ENGAGEMENTS 2026'!H2640)</f>
        <v/>
      </c>
      <c r="J2640" s="275">
        <f>IF(ISBLANK('ENGAGEMENTS 2026'!C2640),"",IF(AND(OR($E2640="INFRUCTUEUX",$E2640="ANNULE"),$C2640="AOO-M"),'ENGAGEMENTS 2026'!P2640,IF($H2640="EN COURS DE PREENGAGEMENT",'ENGAGEMENTS 2026'!O2640,IF($H2640="PREENGAGE",IF($E2640="ATTRIBUE",'ENGAGEMENTS 2026'!AE2640,'ENGAGEMENTS 2026'!O2640),'ENGAGEMENTS 2026'!AE2640))))</f>
        <v/>
      </c>
      <c r="K2640" s="604">
        <f>IF(ISBLANK('ENGAGEMENTS 2026'!W2640),"",'ENGAGEMENTS 2026'!W2640)</f>
        <v/>
      </c>
      <c r="L2640" s="276">
        <f>IF($K2640="","",TODAY()-$K2640)</f>
        <v/>
      </c>
      <c r="M2640">
        <f>IF($A2640="","",IF($H2640="ENGAGE","Engagé",IF(AND($H2640="NON ENGAGE",OR($I2640="INFRUCTUEUX",$I2640="ANNULE")),"Clôturé sans suite","En cours")))</f>
        <v/>
      </c>
      <c r="N2640">
        <f>IF(ISBLANK('ENGAGEMENTS 2026'!C2640),"",'ENGAGEMENTS 2026'!L2640)</f>
        <v/>
      </c>
      <c r="O2640">
        <f>IF(ISBLANK('ENGAGEMENTS 2026'!C2640),"",'ENGAGEMENTS 2026'!M2640)</f>
        <v/>
      </c>
      <c r="P2640">
        <f>IF(ISBLANK('ENGAGEMENTS 2026'!C2640),"",'ENGAGEMENTS 2026'!K2640)</f>
        <v/>
      </c>
      <c r="Q2640">
        <f>IF($A2640="","",IF(OR($E2640="INFRUCTUEUX",$E2640="ANNULE"),$A2640&amp;"|"&amp;(COUNTIFS($A$2:$A2640,$A2640,$E$2:$E2640,"INFRUCTUEUX")+COUNTIFS($A$2:$A2640,$A2640,$E$2:$E2640,"ANNULE")),""))</f>
        <v/>
      </c>
    </row>
    <row r="2641">
      <c r="A2641">
        <f>IF(ISBLANK('ENGAGEMENTS 2026'!C2641),"",IF('ENGAGEMENTS 2026'!C2641="DTSI","DCT",'ENGAGEMENTS 2026'!C2641))</f>
        <v/>
      </c>
      <c r="B2641">
        <f>IF(ISBLANK('ENGAGEMENTS 2026'!C2641),"",'ENGAGEMENTS 2026'!D2641)</f>
        <v/>
      </c>
      <c r="C2641">
        <f>IF(ISBLANK('ENGAGEMENTS 2026'!C2641),"",'ENGAGEMENTS 2026'!E2641)</f>
        <v/>
      </c>
      <c r="D2641">
        <f>IF(ISBLANK('ENGAGEMENTS 2026'!C2641),"",'ENGAGEMENTS 2026'!G2641)</f>
        <v/>
      </c>
      <c r="E2641">
        <f>IF(ISBLANK('ENGAGEMENTS 2026'!C2641),"",'ENGAGEMENTS 2026'!I2641)</f>
        <v/>
      </c>
      <c r="F2641">
        <f>IF(ISBLANK('ENGAGEMENTS 2026'!C2641),"",'ENGAGEMENTS 2026'!J2641)</f>
        <v/>
      </c>
      <c r="G2641">
        <f>IF(ISBLANK('ENGAGEMENTS 2026'!C2641),"",'ENGAGEMENTS 2026'!M2641)</f>
        <v/>
      </c>
      <c r="H2641">
        <f>IF(ISBLANK('ENGAGEMENTS 2026'!C2641),"",'ENGAGEMENTS 2026'!AF2641)</f>
        <v/>
      </c>
      <c r="I2641">
        <f>IF(ISBLANK('ENGAGEMENTS 2026'!C2641),"",'ENGAGEMENTS 2026'!H2641)</f>
        <v/>
      </c>
      <c r="J2641" s="275">
        <f>IF(ISBLANK('ENGAGEMENTS 2026'!C2641),"",IF(AND(OR($E2641="INFRUCTUEUX",$E2641="ANNULE"),$C2641="AOO-M"),'ENGAGEMENTS 2026'!P2641,IF($H2641="EN COURS DE PREENGAGEMENT",'ENGAGEMENTS 2026'!O2641,IF($H2641="PREENGAGE",IF($E2641="ATTRIBUE",'ENGAGEMENTS 2026'!AE2641,'ENGAGEMENTS 2026'!O2641),'ENGAGEMENTS 2026'!AE2641))))</f>
        <v/>
      </c>
      <c r="K2641" s="604">
        <f>IF(ISBLANK('ENGAGEMENTS 2026'!W2641),"",'ENGAGEMENTS 2026'!W2641)</f>
        <v/>
      </c>
      <c r="L2641" s="276">
        <f>IF($K2641="","",TODAY()-$K2641)</f>
        <v/>
      </c>
      <c r="M2641">
        <f>IF($A2641="","",IF($H2641="ENGAGE","Engagé",IF(AND($H2641="NON ENGAGE",OR($I2641="INFRUCTUEUX",$I2641="ANNULE")),"Clôturé sans suite","En cours")))</f>
        <v/>
      </c>
      <c r="N2641">
        <f>IF(ISBLANK('ENGAGEMENTS 2026'!C2641),"",'ENGAGEMENTS 2026'!L2641)</f>
        <v/>
      </c>
      <c r="O2641">
        <f>IF(ISBLANK('ENGAGEMENTS 2026'!C2641),"",'ENGAGEMENTS 2026'!M2641)</f>
        <v/>
      </c>
      <c r="P2641">
        <f>IF(ISBLANK('ENGAGEMENTS 2026'!C2641),"",'ENGAGEMENTS 2026'!K2641)</f>
        <v/>
      </c>
      <c r="Q2641">
        <f>IF($A2641="","",IF(OR($E2641="INFRUCTUEUX",$E2641="ANNULE"),$A2641&amp;"|"&amp;(COUNTIFS($A$2:$A2641,$A2641,$E$2:$E2641,"INFRUCTUEUX")+COUNTIFS($A$2:$A2641,$A2641,$E$2:$E2641,"ANNULE")),""))</f>
        <v/>
      </c>
    </row>
    <row r="2642">
      <c r="A2642">
        <f>IF(ISBLANK('ENGAGEMENTS 2026'!C2642),"",IF('ENGAGEMENTS 2026'!C2642="DTSI","DCT",'ENGAGEMENTS 2026'!C2642))</f>
        <v/>
      </c>
      <c r="B2642">
        <f>IF(ISBLANK('ENGAGEMENTS 2026'!C2642),"",'ENGAGEMENTS 2026'!D2642)</f>
        <v/>
      </c>
      <c r="C2642">
        <f>IF(ISBLANK('ENGAGEMENTS 2026'!C2642),"",'ENGAGEMENTS 2026'!E2642)</f>
        <v/>
      </c>
      <c r="D2642">
        <f>IF(ISBLANK('ENGAGEMENTS 2026'!C2642),"",'ENGAGEMENTS 2026'!G2642)</f>
        <v/>
      </c>
      <c r="E2642">
        <f>IF(ISBLANK('ENGAGEMENTS 2026'!C2642),"",'ENGAGEMENTS 2026'!I2642)</f>
        <v/>
      </c>
      <c r="F2642">
        <f>IF(ISBLANK('ENGAGEMENTS 2026'!C2642),"",'ENGAGEMENTS 2026'!J2642)</f>
        <v/>
      </c>
      <c r="G2642">
        <f>IF(ISBLANK('ENGAGEMENTS 2026'!C2642),"",'ENGAGEMENTS 2026'!M2642)</f>
        <v/>
      </c>
      <c r="H2642">
        <f>IF(ISBLANK('ENGAGEMENTS 2026'!C2642),"",'ENGAGEMENTS 2026'!AF2642)</f>
        <v/>
      </c>
      <c r="I2642">
        <f>IF(ISBLANK('ENGAGEMENTS 2026'!C2642),"",'ENGAGEMENTS 2026'!H2642)</f>
        <v/>
      </c>
      <c r="J2642" s="275">
        <f>IF(ISBLANK('ENGAGEMENTS 2026'!C2642),"",IF(AND(OR($E2642="INFRUCTUEUX",$E2642="ANNULE"),$C2642="AOO-M"),'ENGAGEMENTS 2026'!P2642,IF($H2642="EN COURS DE PREENGAGEMENT",'ENGAGEMENTS 2026'!O2642,IF($H2642="PREENGAGE",IF($E2642="ATTRIBUE",'ENGAGEMENTS 2026'!AE2642,'ENGAGEMENTS 2026'!O2642),'ENGAGEMENTS 2026'!AE2642))))</f>
        <v/>
      </c>
      <c r="K2642" s="604">
        <f>IF(ISBLANK('ENGAGEMENTS 2026'!W2642),"",'ENGAGEMENTS 2026'!W2642)</f>
        <v/>
      </c>
      <c r="L2642" s="276">
        <f>IF($K2642="","",TODAY()-$K2642)</f>
        <v/>
      </c>
      <c r="M2642">
        <f>IF($A2642="","",IF($H2642="ENGAGE","Engagé",IF(AND($H2642="NON ENGAGE",OR($I2642="INFRUCTUEUX",$I2642="ANNULE")),"Clôturé sans suite","En cours")))</f>
        <v/>
      </c>
      <c r="N2642">
        <f>IF(ISBLANK('ENGAGEMENTS 2026'!C2642),"",'ENGAGEMENTS 2026'!L2642)</f>
        <v/>
      </c>
      <c r="O2642">
        <f>IF(ISBLANK('ENGAGEMENTS 2026'!C2642),"",'ENGAGEMENTS 2026'!M2642)</f>
        <v/>
      </c>
      <c r="P2642">
        <f>IF(ISBLANK('ENGAGEMENTS 2026'!C2642),"",'ENGAGEMENTS 2026'!K2642)</f>
        <v/>
      </c>
      <c r="Q2642">
        <f>IF($A2642="","",IF(OR($E2642="INFRUCTUEUX",$E2642="ANNULE"),$A2642&amp;"|"&amp;(COUNTIFS($A$2:$A2642,$A2642,$E$2:$E2642,"INFRUCTUEUX")+COUNTIFS($A$2:$A2642,$A2642,$E$2:$E2642,"ANNULE")),""))</f>
        <v/>
      </c>
    </row>
    <row r="2643">
      <c r="A2643">
        <f>IF(ISBLANK('ENGAGEMENTS 2026'!C2643),"",IF('ENGAGEMENTS 2026'!C2643="DTSI","DCT",'ENGAGEMENTS 2026'!C2643))</f>
        <v/>
      </c>
      <c r="B2643">
        <f>IF(ISBLANK('ENGAGEMENTS 2026'!C2643),"",'ENGAGEMENTS 2026'!D2643)</f>
        <v/>
      </c>
      <c r="C2643">
        <f>IF(ISBLANK('ENGAGEMENTS 2026'!C2643),"",'ENGAGEMENTS 2026'!E2643)</f>
        <v/>
      </c>
      <c r="D2643">
        <f>IF(ISBLANK('ENGAGEMENTS 2026'!C2643),"",'ENGAGEMENTS 2026'!G2643)</f>
        <v/>
      </c>
      <c r="E2643">
        <f>IF(ISBLANK('ENGAGEMENTS 2026'!C2643),"",'ENGAGEMENTS 2026'!I2643)</f>
        <v/>
      </c>
      <c r="F2643">
        <f>IF(ISBLANK('ENGAGEMENTS 2026'!C2643),"",'ENGAGEMENTS 2026'!J2643)</f>
        <v/>
      </c>
      <c r="G2643">
        <f>IF(ISBLANK('ENGAGEMENTS 2026'!C2643),"",'ENGAGEMENTS 2026'!M2643)</f>
        <v/>
      </c>
      <c r="H2643">
        <f>IF(ISBLANK('ENGAGEMENTS 2026'!C2643),"",'ENGAGEMENTS 2026'!AF2643)</f>
        <v/>
      </c>
      <c r="I2643">
        <f>IF(ISBLANK('ENGAGEMENTS 2026'!C2643),"",'ENGAGEMENTS 2026'!H2643)</f>
        <v/>
      </c>
      <c r="J2643" s="275">
        <f>IF(ISBLANK('ENGAGEMENTS 2026'!C2643),"",IF(AND(OR($E2643="INFRUCTUEUX",$E2643="ANNULE"),$C2643="AOO-M"),'ENGAGEMENTS 2026'!P2643,IF($H2643="EN COURS DE PREENGAGEMENT",'ENGAGEMENTS 2026'!O2643,IF($H2643="PREENGAGE",IF($E2643="ATTRIBUE",'ENGAGEMENTS 2026'!AE2643,'ENGAGEMENTS 2026'!O2643),'ENGAGEMENTS 2026'!AE2643))))</f>
        <v/>
      </c>
      <c r="K2643" s="604">
        <f>IF(ISBLANK('ENGAGEMENTS 2026'!W2643),"",'ENGAGEMENTS 2026'!W2643)</f>
        <v/>
      </c>
      <c r="L2643" s="276">
        <f>IF($K2643="","",TODAY()-$K2643)</f>
        <v/>
      </c>
      <c r="M2643">
        <f>IF($A2643="","",IF($H2643="ENGAGE","Engagé",IF(AND($H2643="NON ENGAGE",OR($I2643="INFRUCTUEUX",$I2643="ANNULE")),"Clôturé sans suite","En cours")))</f>
        <v/>
      </c>
      <c r="N2643">
        <f>IF(ISBLANK('ENGAGEMENTS 2026'!C2643),"",'ENGAGEMENTS 2026'!L2643)</f>
        <v/>
      </c>
      <c r="O2643">
        <f>IF(ISBLANK('ENGAGEMENTS 2026'!C2643),"",'ENGAGEMENTS 2026'!M2643)</f>
        <v/>
      </c>
      <c r="P2643">
        <f>IF(ISBLANK('ENGAGEMENTS 2026'!C2643),"",'ENGAGEMENTS 2026'!K2643)</f>
        <v/>
      </c>
      <c r="Q2643">
        <f>IF($A2643="","",IF(OR($E2643="INFRUCTUEUX",$E2643="ANNULE"),$A2643&amp;"|"&amp;(COUNTIFS($A$2:$A2643,$A2643,$E$2:$E2643,"INFRUCTUEUX")+COUNTIFS($A$2:$A2643,$A2643,$E$2:$E2643,"ANNULE")),""))</f>
        <v/>
      </c>
    </row>
    <row r="2644">
      <c r="A2644">
        <f>IF(ISBLANK('ENGAGEMENTS 2026'!C2644),"",IF('ENGAGEMENTS 2026'!C2644="DTSI","DCT",'ENGAGEMENTS 2026'!C2644))</f>
        <v/>
      </c>
      <c r="B2644">
        <f>IF(ISBLANK('ENGAGEMENTS 2026'!C2644),"",'ENGAGEMENTS 2026'!D2644)</f>
        <v/>
      </c>
      <c r="C2644">
        <f>IF(ISBLANK('ENGAGEMENTS 2026'!C2644),"",'ENGAGEMENTS 2026'!E2644)</f>
        <v/>
      </c>
      <c r="D2644">
        <f>IF(ISBLANK('ENGAGEMENTS 2026'!C2644),"",'ENGAGEMENTS 2026'!G2644)</f>
        <v/>
      </c>
      <c r="E2644">
        <f>IF(ISBLANK('ENGAGEMENTS 2026'!C2644),"",'ENGAGEMENTS 2026'!I2644)</f>
        <v/>
      </c>
      <c r="F2644">
        <f>IF(ISBLANK('ENGAGEMENTS 2026'!C2644),"",'ENGAGEMENTS 2026'!J2644)</f>
        <v/>
      </c>
      <c r="G2644">
        <f>IF(ISBLANK('ENGAGEMENTS 2026'!C2644),"",'ENGAGEMENTS 2026'!M2644)</f>
        <v/>
      </c>
      <c r="H2644">
        <f>IF(ISBLANK('ENGAGEMENTS 2026'!C2644),"",'ENGAGEMENTS 2026'!AF2644)</f>
        <v/>
      </c>
      <c r="I2644">
        <f>IF(ISBLANK('ENGAGEMENTS 2026'!C2644),"",'ENGAGEMENTS 2026'!H2644)</f>
        <v/>
      </c>
      <c r="J2644" s="275">
        <f>IF(ISBLANK('ENGAGEMENTS 2026'!C2644),"",IF(AND(OR($E2644="INFRUCTUEUX",$E2644="ANNULE"),$C2644="AOO-M"),'ENGAGEMENTS 2026'!P2644,IF($H2644="EN COURS DE PREENGAGEMENT",'ENGAGEMENTS 2026'!O2644,IF($H2644="PREENGAGE",IF($E2644="ATTRIBUE",'ENGAGEMENTS 2026'!AE2644,'ENGAGEMENTS 2026'!O2644),'ENGAGEMENTS 2026'!AE2644))))</f>
        <v/>
      </c>
      <c r="K2644" s="604">
        <f>IF(ISBLANK('ENGAGEMENTS 2026'!W2644),"",'ENGAGEMENTS 2026'!W2644)</f>
        <v/>
      </c>
      <c r="L2644" s="276">
        <f>IF($K2644="","",TODAY()-$K2644)</f>
        <v/>
      </c>
      <c r="M2644">
        <f>IF($A2644="","",IF($H2644="ENGAGE","Engagé",IF(AND($H2644="NON ENGAGE",OR($I2644="INFRUCTUEUX",$I2644="ANNULE")),"Clôturé sans suite","En cours")))</f>
        <v/>
      </c>
      <c r="N2644">
        <f>IF(ISBLANK('ENGAGEMENTS 2026'!C2644),"",'ENGAGEMENTS 2026'!L2644)</f>
        <v/>
      </c>
      <c r="O2644">
        <f>IF(ISBLANK('ENGAGEMENTS 2026'!C2644),"",'ENGAGEMENTS 2026'!M2644)</f>
        <v/>
      </c>
      <c r="P2644">
        <f>IF(ISBLANK('ENGAGEMENTS 2026'!C2644),"",'ENGAGEMENTS 2026'!K2644)</f>
        <v/>
      </c>
      <c r="Q2644">
        <f>IF($A2644="","",IF(OR($E2644="INFRUCTUEUX",$E2644="ANNULE"),$A2644&amp;"|"&amp;(COUNTIFS($A$2:$A2644,$A2644,$E$2:$E2644,"INFRUCTUEUX")+COUNTIFS($A$2:$A2644,$A2644,$E$2:$E2644,"ANNULE")),""))</f>
        <v/>
      </c>
    </row>
    <row r="2645">
      <c r="A2645">
        <f>IF(ISBLANK('ENGAGEMENTS 2026'!C2645),"",IF('ENGAGEMENTS 2026'!C2645="DTSI","DCT",'ENGAGEMENTS 2026'!C2645))</f>
        <v/>
      </c>
      <c r="B2645">
        <f>IF(ISBLANK('ENGAGEMENTS 2026'!C2645),"",'ENGAGEMENTS 2026'!D2645)</f>
        <v/>
      </c>
      <c r="C2645">
        <f>IF(ISBLANK('ENGAGEMENTS 2026'!C2645),"",'ENGAGEMENTS 2026'!E2645)</f>
        <v/>
      </c>
      <c r="D2645">
        <f>IF(ISBLANK('ENGAGEMENTS 2026'!C2645),"",'ENGAGEMENTS 2026'!G2645)</f>
        <v/>
      </c>
      <c r="E2645">
        <f>IF(ISBLANK('ENGAGEMENTS 2026'!C2645),"",'ENGAGEMENTS 2026'!I2645)</f>
        <v/>
      </c>
      <c r="F2645">
        <f>IF(ISBLANK('ENGAGEMENTS 2026'!C2645),"",'ENGAGEMENTS 2026'!J2645)</f>
        <v/>
      </c>
      <c r="G2645">
        <f>IF(ISBLANK('ENGAGEMENTS 2026'!C2645),"",'ENGAGEMENTS 2026'!M2645)</f>
        <v/>
      </c>
      <c r="H2645">
        <f>IF(ISBLANK('ENGAGEMENTS 2026'!C2645),"",'ENGAGEMENTS 2026'!AF2645)</f>
        <v/>
      </c>
      <c r="I2645">
        <f>IF(ISBLANK('ENGAGEMENTS 2026'!C2645),"",'ENGAGEMENTS 2026'!H2645)</f>
        <v/>
      </c>
      <c r="J2645" s="275">
        <f>IF(ISBLANK('ENGAGEMENTS 2026'!C2645),"",IF(AND(OR($E2645="INFRUCTUEUX",$E2645="ANNULE"),$C2645="AOO-M"),'ENGAGEMENTS 2026'!P2645,IF($H2645="EN COURS DE PREENGAGEMENT",'ENGAGEMENTS 2026'!O2645,IF($H2645="PREENGAGE",IF($E2645="ATTRIBUE",'ENGAGEMENTS 2026'!AE2645,'ENGAGEMENTS 2026'!O2645),'ENGAGEMENTS 2026'!AE2645))))</f>
        <v/>
      </c>
      <c r="K2645" s="604">
        <f>IF(ISBLANK('ENGAGEMENTS 2026'!W2645),"",'ENGAGEMENTS 2026'!W2645)</f>
        <v/>
      </c>
      <c r="L2645" s="276">
        <f>IF($K2645="","",TODAY()-$K2645)</f>
        <v/>
      </c>
      <c r="M2645">
        <f>IF($A2645="","",IF($H2645="ENGAGE","Engagé",IF(AND($H2645="NON ENGAGE",OR($I2645="INFRUCTUEUX",$I2645="ANNULE")),"Clôturé sans suite","En cours")))</f>
        <v/>
      </c>
      <c r="N2645">
        <f>IF(ISBLANK('ENGAGEMENTS 2026'!C2645),"",'ENGAGEMENTS 2026'!L2645)</f>
        <v/>
      </c>
      <c r="O2645">
        <f>IF(ISBLANK('ENGAGEMENTS 2026'!C2645),"",'ENGAGEMENTS 2026'!M2645)</f>
        <v/>
      </c>
      <c r="P2645">
        <f>IF(ISBLANK('ENGAGEMENTS 2026'!C2645),"",'ENGAGEMENTS 2026'!K2645)</f>
        <v/>
      </c>
      <c r="Q2645">
        <f>IF($A2645="","",IF(OR($E2645="INFRUCTUEUX",$E2645="ANNULE"),$A2645&amp;"|"&amp;(COUNTIFS($A$2:$A2645,$A2645,$E$2:$E2645,"INFRUCTUEUX")+COUNTIFS($A$2:$A2645,$A2645,$E$2:$E2645,"ANNULE")),""))</f>
        <v/>
      </c>
    </row>
    <row r="2646">
      <c r="A2646">
        <f>IF(ISBLANK('ENGAGEMENTS 2026'!C2646),"",IF('ENGAGEMENTS 2026'!C2646="DTSI","DCT",'ENGAGEMENTS 2026'!C2646))</f>
        <v/>
      </c>
      <c r="B2646">
        <f>IF(ISBLANK('ENGAGEMENTS 2026'!C2646),"",'ENGAGEMENTS 2026'!D2646)</f>
        <v/>
      </c>
      <c r="C2646">
        <f>IF(ISBLANK('ENGAGEMENTS 2026'!C2646),"",'ENGAGEMENTS 2026'!E2646)</f>
        <v/>
      </c>
      <c r="D2646">
        <f>IF(ISBLANK('ENGAGEMENTS 2026'!C2646),"",'ENGAGEMENTS 2026'!G2646)</f>
        <v/>
      </c>
      <c r="E2646">
        <f>IF(ISBLANK('ENGAGEMENTS 2026'!C2646),"",'ENGAGEMENTS 2026'!I2646)</f>
        <v/>
      </c>
      <c r="F2646">
        <f>IF(ISBLANK('ENGAGEMENTS 2026'!C2646),"",'ENGAGEMENTS 2026'!J2646)</f>
        <v/>
      </c>
      <c r="G2646">
        <f>IF(ISBLANK('ENGAGEMENTS 2026'!C2646),"",'ENGAGEMENTS 2026'!M2646)</f>
        <v/>
      </c>
      <c r="H2646">
        <f>IF(ISBLANK('ENGAGEMENTS 2026'!C2646),"",'ENGAGEMENTS 2026'!AF2646)</f>
        <v/>
      </c>
      <c r="I2646">
        <f>IF(ISBLANK('ENGAGEMENTS 2026'!C2646),"",'ENGAGEMENTS 2026'!H2646)</f>
        <v/>
      </c>
      <c r="J2646" s="275">
        <f>IF(ISBLANK('ENGAGEMENTS 2026'!C2646),"",IF(AND(OR($E2646="INFRUCTUEUX",$E2646="ANNULE"),$C2646="AOO-M"),'ENGAGEMENTS 2026'!P2646,IF($H2646="EN COURS DE PREENGAGEMENT",'ENGAGEMENTS 2026'!O2646,IF($H2646="PREENGAGE",IF($E2646="ATTRIBUE",'ENGAGEMENTS 2026'!AE2646,'ENGAGEMENTS 2026'!O2646),'ENGAGEMENTS 2026'!AE2646))))</f>
        <v/>
      </c>
      <c r="K2646" s="604">
        <f>IF(ISBLANK('ENGAGEMENTS 2026'!W2646),"",'ENGAGEMENTS 2026'!W2646)</f>
        <v/>
      </c>
      <c r="L2646" s="276">
        <f>IF($K2646="","",TODAY()-$K2646)</f>
        <v/>
      </c>
      <c r="M2646">
        <f>IF($A2646="","",IF($H2646="ENGAGE","Engagé",IF(AND($H2646="NON ENGAGE",OR($I2646="INFRUCTUEUX",$I2646="ANNULE")),"Clôturé sans suite","En cours")))</f>
        <v/>
      </c>
      <c r="N2646">
        <f>IF(ISBLANK('ENGAGEMENTS 2026'!C2646),"",'ENGAGEMENTS 2026'!L2646)</f>
        <v/>
      </c>
      <c r="O2646">
        <f>IF(ISBLANK('ENGAGEMENTS 2026'!C2646),"",'ENGAGEMENTS 2026'!M2646)</f>
        <v/>
      </c>
      <c r="P2646">
        <f>IF(ISBLANK('ENGAGEMENTS 2026'!C2646),"",'ENGAGEMENTS 2026'!K2646)</f>
        <v/>
      </c>
      <c r="Q2646">
        <f>IF($A2646="","",IF(OR($E2646="INFRUCTUEUX",$E2646="ANNULE"),$A2646&amp;"|"&amp;(COUNTIFS($A$2:$A2646,$A2646,$E$2:$E2646,"INFRUCTUEUX")+COUNTIFS($A$2:$A2646,$A2646,$E$2:$E2646,"ANNULE")),""))</f>
        <v/>
      </c>
    </row>
    <row r="2647">
      <c r="A2647">
        <f>IF(ISBLANK('ENGAGEMENTS 2026'!C2647),"",IF('ENGAGEMENTS 2026'!C2647="DTSI","DCT",'ENGAGEMENTS 2026'!C2647))</f>
        <v/>
      </c>
      <c r="B2647">
        <f>IF(ISBLANK('ENGAGEMENTS 2026'!C2647),"",'ENGAGEMENTS 2026'!D2647)</f>
        <v/>
      </c>
      <c r="C2647">
        <f>IF(ISBLANK('ENGAGEMENTS 2026'!C2647),"",'ENGAGEMENTS 2026'!E2647)</f>
        <v/>
      </c>
      <c r="D2647">
        <f>IF(ISBLANK('ENGAGEMENTS 2026'!C2647),"",'ENGAGEMENTS 2026'!G2647)</f>
        <v/>
      </c>
      <c r="E2647">
        <f>IF(ISBLANK('ENGAGEMENTS 2026'!C2647),"",'ENGAGEMENTS 2026'!I2647)</f>
        <v/>
      </c>
      <c r="F2647">
        <f>IF(ISBLANK('ENGAGEMENTS 2026'!C2647),"",'ENGAGEMENTS 2026'!J2647)</f>
        <v/>
      </c>
      <c r="G2647">
        <f>IF(ISBLANK('ENGAGEMENTS 2026'!C2647),"",'ENGAGEMENTS 2026'!M2647)</f>
        <v/>
      </c>
      <c r="H2647">
        <f>IF(ISBLANK('ENGAGEMENTS 2026'!C2647),"",'ENGAGEMENTS 2026'!AF2647)</f>
        <v/>
      </c>
      <c r="I2647">
        <f>IF(ISBLANK('ENGAGEMENTS 2026'!C2647),"",'ENGAGEMENTS 2026'!H2647)</f>
        <v/>
      </c>
      <c r="J2647" s="275">
        <f>IF(ISBLANK('ENGAGEMENTS 2026'!C2647),"",IF(AND(OR($E2647="INFRUCTUEUX",$E2647="ANNULE"),$C2647="AOO-M"),'ENGAGEMENTS 2026'!P2647,IF($H2647="EN COURS DE PREENGAGEMENT",'ENGAGEMENTS 2026'!O2647,IF($H2647="PREENGAGE",IF($E2647="ATTRIBUE",'ENGAGEMENTS 2026'!AE2647,'ENGAGEMENTS 2026'!O2647),'ENGAGEMENTS 2026'!AE2647))))</f>
        <v/>
      </c>
      <c r="K2647" s="604">
        <f>IF(ISBLANK('ENGAGEMENTS 2026'!W2647),"",'ENGAGEMENTS 2026'!W2647)</f>
        <v/>
      </c>
      <c r="L2647" s="276">
        <f>IF($K2647="","",TODAY()-$K2647)</f>
        <v/>
      </c>
      <c r="M2647">
        <f>IF($A2647="","",IF($H2647="ENGAGE","Engagé",IF(AND($H2647="NON ENGAGE",OR($I2647="INFRUCTUEUX",$I2647="ANNULE")),"Clôturé sans suite","En cours")))</f>
        <v/>
      </c>
      <c r="N2647">
        <f>IF(ISBLANK('ENGAGEMENTS 2026'!C2647),"",'ENGAGEMENTS 2026'!L2647)</f>
        <v/>
      </c>
      <c r="O2647">
        <f>IF(ISBLANK('ENGAGEMENTS 2026'!C2647),"",'ENGAGEMENTS 2026'!M2647)</f>
        <v/>
      </c>
      <c r="P2647">
        <f>IF(ISBLANK('ENGAGEMENTS 2026'!C2647),"",'ENGAGEMENTS 2026'!K2647)</f>
        <v/>
      </c>
      <c r="Q2647">
        <f>IF($A2647="","",IF(OR($E2647="INFRUCTUEUX",$E2647="ANNULE"),$A2647&amp;"|"&amp;(COUNTIFS($A$2:$A2647,$A2647,$E$2:$E2647,"INFRUCTUEUX")+COUNTIFS($A$2:$A2647,$A2647,$E$2:$E2647,"ANNULE")),""))</f>
        <v/>
      </c>
    </row>
    <row r="2648">
      <c r="A2648">
        <f>IF(ISBLANK('ENGAGEMENTS 2026'!C2648),"",IF('ENGAGEMENTS 2026'!C2648="DTSI","DCT",'ENGAGEMENTS 2026'!C2648))</f>
        <v/>
      </c>
      <c r="B2648">
        <f>IF(ISBLANK('ENGAGEMENTS 2026'!C2648),"",'ENGAGEMENTS 2026'!D2648)</f>
        <v/>
      </c>
      <c r="C2648">
        <f>IF(ISBLANK('ENGAGEMENTS 2026'!C2648),"",'ENGAGEMENTS 2026'!E2648)</f>
        <v/>
      </c>
      <c r="D2648">
        <f>IF(ISBLANK('ENGAGEMENTS 2026'!C2648),"",'ENGAGEMENTS 2026'!G2648)</f>
        <v/>
      </c>
      <c r="E2648">
        <f>IF(ISBLANK('ENGAGEMENTS 2026'!C2648),"",'ENGAGEMENTS 2026'!I2648)</f>
        <v/>
      </c>
      <c r="F2648">
        <f>IF(ISBLANK('ENGAGEMENTS 2026'!C2648),"",'ENGAGEMENTS 2026'!J2648)</f>
        <v/>
      </c>
      <c r="G2648">
        <f>IF(ISBLANK('ENGAGEMENTS 2026'!C2648),"",'ENGAGEMENTS 2026'!M2648)</f>
        <v/>
      </c>
      <c r="H2648">
        <f>IF(ISBLANK('ENGAGEMENTS 2026'!C2648),"",'ENGAGEMENTS 2026'!AF2648)</f>
        <v/>
      </c>
      <c r="I2648">
        <f>IF(ISBLANK('ENGAGEMENTS 2026'!C2648),"",'ENGAGEMENTS 2026'!H2648)</f>
        <v/>
      </c>
      <c r="J2648" s="275">
        <f>IF(ISBLANK('ENGAGEMENTS 2026'!C2648),"",IF(AND(OR($E2648="INFRUCTUEUX",$E2648="ANNULE"),$C2648="AOO-M"),'ENGAGEMENTS 2026'!P2648,IF($H2648="EN COURS DE PREENGAGEMENT",'ENGAGEMENTS 2026'!O2648,IF($H2648="PREENGAGE",IF($E2648="ATTRIBUE",'ENGAGEMENTS 2026'!AE2648,'ENGAGEMENTS 2026'!O2648),'ENGAGEMENTS 2026'!AE2648))))</f>
        <v/>
      </c>
      <c r="K2648" s="604">
        <f>IF(ISBLANK('ENGAGEMENTS 2026'!W2648),"",'ENGAGEMENTS 2026'!W2648)</f>
        <v/>
      </c>
      <c r="L2648" s="276">
        <f>IF($K2648="","",TODAY()-$K2648)</f>
        <v/>
      </c>
      <c r="M2648">
        <f>IF($A2648="","",IF($H2648="ENGAGE","Engagé",IF(AND($H2648="NON ENGAGE",OR($I2648="INFRUCTUEUX",$I2648="ANNULE")),"Clôturé sans suite","En cours")))</f>
        <v/>
      </c>
      <c r="N2648">
        <f>IF(ISBLANK('ENGAGEMENTS 2026'!C2648),"",'ENGAGEMENTS 2026'!L2648)</f>
        <v/>
      </c>
      <c r="O2648">
        <f>IF(ISBLANK('ENGAGEMENTS 2026'!C2648),"",'ENGAGEMENTS 2026'!M2648)</f>
        <v/>
      </c>
      <c r="P2648">
        <f>IF(ISBLANK('ENGAGEMENTS 2026'!C2648),"",'ENGAGEMENTS 2026'!K2648)</f>
        <v/>
      </c>
      <c r="Q2648">
        <f>IF($A2648="","",IF(OR($E2648="INFRUCTUEUX",$E2648="ANNULE"),$A2648&amp;"|"&amp;(COUNTIFS($A$2:$A2648,$A2648,$E$2:$E2648,"INFRUCTUEUX")+COUNTIFS($A$2:$A2648,$A2648,$E$2:$E2648,"ANNULE")),""))</f>
        <v/>
      </c>
    </row>
    <row r="2649">
      <c r="A2649">
        <f>IF(ISBLANK('ENGAGEMENTS 2026'!C2649),"",IF('ENGAGEMENTS 2026'!C2649="DTSI","DCT",'ENGAGEMENTS 2026'!C2649))</f>
        <v/>
      </c>
      <c r="B2649">
        <f>IF(ISBLANK('ENGAGEMENTS 2026'!C2649),"",'ENGAGEMENTS 2026'!D2649)</f>
        <v/>
      </c>
      <c r="C2649">
        <f>IF(ISBLANK('ENGAGEMENTS 2026'!C2649),"",'ENGAGEMENTS 2026'!E2649)</f>
        <v/>
      </c>
      <c r="D2649">
        <f>IF(ISBLANK('ENGAGEMENTS 2026'!C2649),"",'ENGAGEMENTS 2026'!G2649)</f>
        <v/>
      </c>
      <c r="E2649">
        <f>IF(ISBLANK('ENGAGEMENTS 2026'!C2649),"",'ENGAGEMENTS 2026'!I2649)</f>
        <v/>
      </c>
      <c r="F2649">
        <f>IF(ISBLANK('ENGAGEMENTS 2026'!C2649),"",'ENGAGEMENTS 2026'!J2649)</f>
        <v/>
      </c>
      <c r="G2649">
        <f>IF(ISBLANK('ENGAGEMENTS 2026'!C2649),"",'ENGAGEMENTS 2026'!M2649)</f>
        <v/>
      </c>
      <c r="H2649">
        <f>IF(ISBLANK('ENGAGEMENTS 2026'!C2649),"",'ENGAGEMENTS 2026'!AF2649)</f>
        <v/>
      </c>
      <c r="I2649">
        <f>IF(ISBLANK('ENGAGEMENTS 2026'!C2649),"",'ENGAGEMENTS 2026'!H2649)</f>
        <v/>
      </c>
      <c r="J2649" s="275">
        <f>IF(ISBLANK('ENGAGEMENTS 2026'!C2649),"",IF(AND(OR($E2649="INFRUCTUEUX",$E2649="ANNULE"),$C2649="AOO-M"),'ENGAGEMENTS 2026'!P2649,IF($H2649="EN COURS DE PREENGAGEMENT",'ENGAGEMENTS 2026'!O2649,IF($H2649="PREENGAGE",IF($E2649="ATTRIBUE",'ENGAGEMENTS 2026'!AE2649,'ENGAGEMENTS 2026'!O2649),'ENGAGEMENTS 2026'!AE2649))))</f>
        <v/>
      </c>
      <c r="K2649" s="604">
        <f>IF(ISBLANK('ENGAGEMENTS 2026'!W2649),"",'ENGAGEMENTS 2026'!W2649)</f>
        <v/>
      </c>
      <c r="L2649" s="276">
        <f>IF($K2649="","",TODAY()-$K2649)</f>
        <v/>
      </c>
      <c r="M2649">
        <f>IF($A2649="","",IF($H2649="ENGAGE","Engagé",IF(AND($H2649="NON ENGAGE",OR($I2649="INFRUCTUEUX",$I2649="ANNULE")),"Clôturé sans suite","En cours")))</f>
        <v/>
      </c>
      <c r="N2649">
        <f>IF(ISBLANK('ENGAGEMENTS 2026'!C2649),"",'ENGAGEMENTS 2026'!L2649)</f>
        <v/>
      </c>
      <c r="O2649">
        <f>IF(ISBLANK('ENGAGEMENTS 2026'!C2649),"",'ENGAGEMENTS 2026'!M2649)</f>
        <v/>
      </c>
      <c r="P2649">
        <f>IF(ISBLANK('ENGAGEMENTS 2026'!C2649),"",'ENGAGEMENTS 2026'!K2649)</f>
        <v/>
      </c>
      <c r="Q2649">
        <f>IF($A2649="","",IF(OR($E2649="INFRUCTUEUX",$E2649="ANNULE"),$A2649&amp;"|"&amp;(COUNTIFS($A$2:$A2649,$A2649,$E$2:$E2649,"INFRUCTUEUX")+COUNTIFS($A$2:$A2649,$A2649,$E$2:$E2649,"ANNULE")),""))</f>
        <v/>
      </c>
    </row>
    <row r="2650">
      <c r="A2650">
        <f>IF(ISBLANK('ENGAGEMENTS 2026'!C2650),"",IF('ENGAGEMENTS 2026'!C2650="DTSI","DCT",'ENGAGEMENTS 2026'!C2650))</f>
        <v/>
      </c>
      <c r="B2650">
        <f>IF(ISBLANK('ENGAGEMENTS 2026'!C2650),"",'ENGAGEMENTS 2026'!D2650)</f>
        <v/>
      </c>
      <c r="C2650">
        <f>IF(ISBLANK('ENGAGEMENTS 2026'!C2650),"",'ENGAGEMENTS 2026'!E2650)</f>
        <v/>
      </c>
      <c r="D2650">
        <f>IF(ISBLANK('ENGAGEMENTS 2026'!C2650),"",'ENGAGEMENTS 2026'!G2650)</f>
        <v/>
      </c>
      <c r="E2650">
        <f>IF(ISBLANK('ENGAGEMENTS 2026'!C2650),"",'ENGAGEMENTS 2026'!I2650)</f>
        <v/>
      </c>
      <c r="F2650">
        <f>IF(ISBLANK('ENGAGEMENTS 2026'!C2650),"",'ENGAGEMENTS 2026'!J2650)</f>
        <v/>
      </c>
      <c r="G2650">
        <f>IF(ISBLANK('ENGAGEMENTS 2026'!C2650),"",'ENGAGEMENTS 2026'!M2650)</f>
        <v/>
      </c>
      <c r="H2650">
        <f>IF(ISBLANK('ENGAGEMENTS 2026'!C2650),"",'ENGAGEMENTS 2026'!AF2650)</f>
        <v/>
      </c>
      <c r="I2650">
        <f>IF(ISBLANK('ENGAGEMENTS 2026'!C2650),"",'ENGAGEMENTS 2026'!H2650)</f>
        <v/>
      </c>
      <c r="J2650" s="275">
        <f>IF(ISBLANK('ENGAGEMENTS 2026'!C2650),"",IF(AND(OR($E2650="INFRUCTUEUX",$E2650="ANNULE"),$C2650="AOO-M"),'ENGAGEMENTS 2026'!P2650,IF($H2650="EN COURS DE PREENGAGEMENT",'ENGAGEMENTS 2026'!O2650,IF($H2650="PREENGAGE",IF($E2650="ATTRIBUE",'ENGAGEMENTS 2026'!AE2650,'ENGAGEMENTS 2026'!O2650),'ENGAGEMENTS 2026'!AE2650))))</f>
        <v/>
      </c>
      <c r="K2650" s="604">
        <f>IF(ISBLANK('ENGAGEMENTS 2026'!W2650),"",'ENGAGEMENTS 2026'!W2650)</f>
        <v/>
      </c>
      <c r="L2650" s="276">
        <f>IF($K2650="","",TODAY()-$K2650)</f>
        <v/>
      </c>
      <c r="M2650">
        <f>IF($A2650="","",IF($H2650="ENGAGE","Engagé",IF(AND($H2650="NON ENGAGE",OR($I2650="INFRUCTUEUX",$I2650="ANNULE")),"Clôturé sans suite","En cours")))</f>
        <v/>
      </c>
      <c r="N2650">
        <f>IF(ISBLANK('ENGAGEMENTS 2026'!C2650),"",'ENGAGEMENTS 2026'!L2650)</f>
        <v/>
      </c>
      <c r="O2650">
        <f>IF(ISBLANK('ENGAGEMENTS 2026'!C2650),"",'ENGAGEMENTS 2026'!M2650)</f>
        <v/>
      </c>
      <c r="P2650">
        <f>IF(ISBLANK('ENGAGEMENTS 2026'!C2650),"",'ENGAGEMENTS 2026'!K2650)</f>
        <v/>
      </c>
      <c r="Q2650">
        <f>IF($A2650="","",IF(OR($E2650="INFRUCTUEUX",$E2650="ANNULE"),$A2650&amp;"|"&amp;(COUNTIFS($A$2:$A2650,$A2650,$E$2:$E2650,"INFRUCTUEUX")+COUNTIFS($A$2:$A2650,$A2650,$E$2:$E2650,"ANNULE")),""))</f>
        <v/>
      </c>
    </row>
    <row r="2651">
      <c r="A2651">
        <f>IF(ISBLANK('ENGAGEMENTS 2026'!C2651),"",IF('ENGAGEMENTS 2026'!C2651="DTSI","DCT",'ENGAGEMENTS 2026'!C2651))</f>
        <v/>
      </c>
      <c r="B2651">
        <f>IF(ISBLANK('ENGAGEMENTS 2026'!C2651),"",'ENGAGEMENTS 2026'!D2651)</f>
        <v/>
      </c>
      <c r="C2651">
        <f>IF(ISBLANK('ENGAGEMENTS 2026'!C2651),"",'ENGAGEMENTS 2026'!E2651)</f>
        <v/>
      </c>
      <c r="D2651">
        <f>IF(ISBLANK('ENGAGEMENTS 2026'!C2651),"",'ENGAGEMENTS 2026'!G2651)</f>
        <v/>
      </c>
      <c r="E2651">
        <f>IF(ISBLANK('ENGAGEMENTS 2026'!C2651),"",'ENGAGEMENTS 2026'!I2651)</f>
        <v/>
      </c>
      <c r="F2651">
        <f>IF(ISBLANK('ENGAGEMENTS 2026'!C2651),"",'ENGAGEMENTS 2026'!J2651)</f>
        <v/>
      </c>
      <c r="G2651">
        <f>IF(ISBLANK('ENGAGEMENTS 2026'!C2651),"",'ENGAGEMENTS 2026'!M2651)</f>
        <v/>
      </c>
      <c r="H2651">
        <f>IF(ISBLANK('ENGAGEMENTS 2026'!C2651),"",'ENGAGEMENTS 2026'!AF2651)</f>
        <v/>
      </c>
      <c r="I2651">
        <f>IF(ISBLANK('ENGAGEMENTS 2026'!C2651),"",'ENGAGEMENTS 2026'!H2651)</f>
        <v/>
      </c>
      <c r="J2651" s="275">
        <f>IF(ISBLANK('ENGAGEMENTS 2026'!C2651),"",IF(AND(OR($E2651="INFRUCTUEUX",$E2651="ANNULE"),$C2651="AOO-M"),'ENGAGEMENTS 2026'!P2651,IF($H2651="EN COURS DE PREENGAGEMENT",'ENGAGEMENTS 2026'!O2651,IF($H2651="PREENGAGE",IF($E2651="ATTRIBUE",'ENGAGEMENTS 2026'!AE2651,'ENGAGEMENTS 2026'!O2651),'ENGAGEMENTS 2026'!AE2651))))</f>
        <v/>
      </c>
      <c r="K2651" s="604">
        <f>IF(ISBLANK('ENGAGEMENTS 2026'!W2651),"",'ENGAGEMENTS 2026'!W2651)</f>
        <v/>
      </c>
      <c r="L2651" s="276">
        <f>IF($K2651="","",TODAY()-$K2651)</f>
        <v/>
      </c>
      <c r="M2651">
        <f>IF($A2651="","",IF($H2651="ENGAGE","Engagé",IF(AND($H2651="NON ENGAGE",OR($I2651="INFRUCTUEUX",$I2651="ANNULE")),"Clôturé sans suite","En cours")))</f>
        <v/>
      </c>
      <c r="N2651">
        <f>IF(ISBLANK('ENGAGEMENTS 2026'!C2651),"",'ENGAGEMENTS 2026'!L2651)</f>
        <v/>
      </c>
      <c r="O2651">
        <f>IF(ISBLANK('ENGAGEMENTS 2026'!C2651),"",'ENGAGEMENTS 2026'!M2651)</f>
        <v/>
      </c>
      <c r="P2651">
        <f>IF(ISBLANK('ENGAGEMENTS 2026'!C2651),"",'ENGAGEMENTS 2026'!K2651)</f>
        <v/>
      </c>
      <c r="Q2651">
        <f>IF($A2651="","",IF(OR($E2651="INFRUCTUEUX",$E2651="ANNULE"),$A2651&amp;"|"&amp;(COUNTIFS($A$2:$A2651,$A2651,$E$2:$E2651,"INFRUCTUEUX")+COUNTIFS($A$2:$A2651,$A2651,$E$2:$E2651,"ANNULE")),""))</f>
        <v/>
      </c>
    </row>
    <row r="2652">
      <c r="A2652">
        <f>IF(ISBLANK('ENGAGEMENTS 2026'!C2652),"",IF('ENGAGEMENTS 2026'!C2652="DTSI","DCT",'ENGAGEMENTS 2026'!C2652))</f>
        <v/>
      </c>
      <c r="B2652">
        <f>IF(ISBLANK('ENGAGEMENTS 2026'!C2652),"",'ENGAGEMENTS 2026'!D2652)</f>
        <v/>
      </c>
      <c r="C2652">
        <f>IF(ISBLANK('ENGAGEMENTS 2026'!C2652),"",'ENGAGEMENTS 2026'!E2652)</f>
        <v/>
      </c>
      <c r="D2652">
        <f>IF(ISBLANK('ENGAGEMENTS 2026'!C2652),"",'ENGAGEMENTS 2026'!G2652)</f>
        <v/>
      </c>
      <c r="E2652">
        <f>IF(ISBLANK('ENGAGEMENTS 2026'!C2652),"",'ENGAGEMENTS 2026'!I2652)</f>
        <v/>
      </c>
      <c r="F2652">
        <f>IF(ISBLANK('ENGAGEMENTS 2026'!C2652),"",'ENGAGEMENTS 2026'!J2652)</f>
        <v/>
      </c>
      <c r="G2652">
        <f>IF(ISBLANK('ENGAGEMENTS 2026'!C2652),"",'ENGAGEMENTS 2026'!M2652)</f>
        <v/>
      </c>
      <c r="H2652">
        <f>IF(ISBLANK('ENGAGEMENTS 2026'!C2652),"",'ENGAGEMENTS 2026'!AF2652)</f>
        <v/>
      </c>
      <c r="I2652">
        <f>IF(ISBLANK('ENGAGEMENTS 2026'!C2652),"",'ENGAGEMENTS 2026'!H2652)</f>
        <v/>
      </c>
      <c r="J2652" s="275">
        <f>IF(ISBLANK('ENGAGEMENTS 2026'!C2652),"",IF(AND(OR($E2652="INFRUCTUEUX",$E2652="ANNULE"),$C2652="AOO-M"),'ENGAGEMENTS 2026'!P2652,IF($H2652="EN COURS DE PREENGAGEMENT",'ENGAGEMENTS 2026'!O2652,IF($H2652="PREENGAGE",IF($E2652="ATTRIBUE",'ENGAGEMENTS 2026'!AE2652,'ENGAGEMENTS 2026'!O2652),'ENGAGEMENTS 2026'!AE2652))))</f>
        <v/>
      </c>
      <c r="K2652" s="604">
        <f>IF(ISBLANK('ENGAGEMENTS 2026'!W2652),"",'ENGAGEMENTS 2026'!W2652)</f>
        <v/>
      </c>
      <c r="L2652" s="276">
        <f>IF($K2652="","",TODAY()-$K2652)</f>
        <v/>
      </c>
      <c r="M2652">
        <f>IF($A2652="","",IF($H2652="ENGAGE","Engagé",IF(AND($H2652="NON ENGAGE",OR($I2652="INFRUCTUEUX",$I2652="ANNULE")),"Clôturé sans suite","En cours")))</f>
        <v/>
      </c>
      <c r="N2652">
        <f>IF(ISBLANK('ENGAGEMENTS 2026'!C2652),"",'ENGAGEMENTS 2026'!L2652)</f>
        <v/>
      </c>
      <c r="O2652">
        <f>IF(ISBLANK('ENGAGEMENTS 2026'!C2652),"",'ENGAGEMENTS 2026'!M2652)</f>
        <v/>
      </c>
      <c r="P2652">
        <f>IF(ISBLANK('ENGAGEMENTS 2026'!C2652),"",'ENGAGEMENTS 2026'!K2652)</f>
        <v/>
      </c>
      <c r="Q2652">
        <f>IF($A2652="","",IF(OR($E2652="INFRUCTUEUX",$E2652="ANNULE"),$A2652&amp;"|"&amp;(COUNTIFS($A$2:$A2652,$A2652,$E$2:$E2652,"INFRUCTUEUX")+COUNTIFS($A$2:$A2652,$A2652,$E$2:$E2652,"ANNULE")),""))</f>
        <v/>
      </c>
    </row>
    <row r="2653">
      <c r="A2653">
        <f>IF(ISBLANK('ENGAGEMENTS 2026'!C2653),"",IF('ENGAGEMENTS 2026'!C2653="DTSI","DCT",'ENGAGEMENTS 2026'!C2653))</f>
        <v/>
      </c>
      <c r="B2653">
        <f>IF(ISBLANK('ENGAGEMENTS 2026'!C2653),"",'ENGAGEMENTS 2026'!D2653)</f>
        <v/>
      </c>
      <c r="C2653">
        <f>IF(ISBLANK('ENGAGEMENTS 2026'!C2653),"",'ENGAGEMENTS 2026'!E2653)</f>
        <v/>
      </c>
      <c r="D2653">
        <f>IF(ISBLANK('ENGAGEMENTS 2026'!C2653),"",'ENGAGEMENTS 2026'!G2653)</f>
        <v/>
      </c>
      <c r="E2653">
        <f>IF(ISBLANK('ENGAGEMENTS 2026'!C2653),"",'ENGAGEMENTS 2026'!I2653)</f>
        <v/>
      </c>
      <c r="F2653">
        <f>IF(ISBLANK('ENGAGEMENTS 2026'!C2653),"",'ENGAGEMENTS 2026'!J2653)</f>
        <v/>
      </c>
      <c r="G2653">
        <f>IF(ISBLANK('ENGAGEMENTS 2026'!C2653),"",'ENGAGEMENTS 2026'!M2653)</f>
        <v/>
      </c>
      <c r="H2653">
        <f>IF(ISBLANK('ENGAGEMENTS 2026'!C2653),"",'ENGAGEMENTS 2026'!AF2653)</f>
        <v/>
      </c>
      <c r="I2653">
        <f>IF(ISBLANK('ENGAGEMENTS 2026'!C2653),"",'ENGAGEMENTS 2026'!H2653)</f>
        <v/>
      </c>
      <c r="J2653" s="275">
        <f>IF(ISBLANK('ENGAGEMENTS 2026'!C2653),"",IF(AND(OR($E2653="INFRUCTUEUX",$E2653="ANNULE"),$C2653="AOO-M"),'ENGAGEMENTS 2026'!P2653,IF($H2653="EN COURS DE PREENGAGEMENT",'ENGAGEMENTS 2026'!O2653,IF($H2653="PREENGAGE",IF($E2653="ATTRIBUE",'ENGAGEMENTS 2026'!AE2653,'ENGAGEMENTS 2026'!O2653),'ENGAGEMENTS 2026'!AE2653))))</f>
        <v/>
      </c>
      <c r="K2653" s="604">
        <f>IF(ISBLANK('ENGAGEMENTS 2026'!W2653),"",'ENGAGEMENTS 2026'!W2653)</f>
        <v/>
      </c>
      <c r="L2653" s="276">
        <f>IF($K2653="","",TODAY()-$K2653)</f>
        <v/>
      </c>
      <c r="M2653">
        <f>IF($A2653="","",IF($H2653="ENGAGE","Engagé",IF(AND($H2653="NON ENGAGE",OR($I2653="INFRUCTUEUX",$I2653="ANNULE")),"Clôturé sans suite","En cours")))</f>
        <v/>
      </c>
      <c r="N2653">
        <f>IF(ISBLANK('ENGAGEMENTS 2026'!C2653),"",'ENGAGEMENTS 2026'!L2653)</f>
        <v/>
      </c>
      <c r="O2653">
        <f>IF(ISBLANK('ENGAGEMENTS 2026'!C2653),"",'ENGAGEMENTS 2026'!M2653)</f>
        <v/>
      </c>
      <c r="P2653">
        <f>IF(ISBLANK('ENGAGEMENTS 2026'!C2653),"",'ENGAGEMENTS 2026'!K2653)</f>
        <v/>
      </c>
      <c r="Q2653">
        <f>IF($A2653="","",IF(OR($E2653="INFRUCTUEUX",$E2653="ANNULE"),$A2653&amp;"|"&amp;(COUNTIFS($A$2:$A2653,$A2653,$E$2:$E2653,"INFRUCTUEUX")+COUNTIFS($A$2:$A2653,$A2653,$E$2:$E2653,"ANNULE")),""))</f>
        <v/>
      </c>
    </row>
    <row r="2654">
      <c r="A2654">
        <f>IF(ISBLANK('ENGAGEMENTS 2026'!C2654),"",IF('ENGAGEMENTS 2026'!C2654="DTSI","DCT",'ENGAGEMENTS 2026'!C2654))</f>
        <v/>
      </c>
      <c r="B2654">
        <f>IF(ISBLANK('ENGAGEMENTS 2026'!C2654),"",'ENGAGEMENTS 2026'!D2654)</f>
        <v/>
      </c>
      <c r="C2654">
        <f>IF(ISBLANK('ENGAGEMENTS 2026'!C2654),"",'ENGAGEMENTS 2026'!E2654)</f>
        <v/>
      </c>
      <c r="D2654">
        <f>IF(ISBLANK('ENGAGEMENTS 2026'!C2654),"",'ENGAGEMENTS 2026'!G2654)</f>
        <v/>
      </c>
      <c r="E2654">
        <f>IF(ISBLANK('ENGAGEMENTS 2026'!C2654),"",'ENGAGEMENTS 2026'!I2654)</f>
        <v/>
      </c>
      <c r="F2654">
        <f>IF(ISBLANK('ENGAGEMENTS 2026'!C2654),"",'ENGAGEMENTS 2026'!J2654)</f>
        <v/>
      </c>
      <c r="G2654">
        <f>IF(ISBLANK('ENGAGEMENTS 2026'!C2654),"",'ENGAGEMENTS 2026'!M2654)</f>
        <v/>
      </c>
      <c r="H2654">
        <f>IF(ISBLANK('ENGAGEMENTS 2026'!C2654),"",'ENGAGEMENTS 2026'!AF2654)</f>
        <v/>
      </c>
      <c r="I2654">
        <f>IF(ISBLANK('ENGAGEMENTS 2026'!C2654),"",'ENGAGEMENTS 2026'!H2654)</f>
        <v/>
      </c>
      <c r="J2654" s="275">
        <f>IF(ISBLANK('ENGAGEMENTS 2026'!C2654),"",IF(AND(OR($E2654="INFRUCTUEUX",$E2654="ANNULE"),$C2654="AOO-M"),'ENGAGEMENTS 2026'!P2654,IF($H2654="EN COURS DE PREENGAGEMENT",'ENGAGEMENTS 2026'!O2654,IF($H2654="PREENGAGE",IF($E2654="ATTRIBUE",'ENGAGEMENTS 2026'!AE2654,'ENGAGEMENTS 2026'!O2654),'ENGAGEMENTS 2026'!AE2654))))</f>
        <v/>
      </c>
      <c r="K2654" s="604">
        <f>IF(ISBLANK('ENGAGEMENTS 2026'!W2654),"",'ENGAGEMENTS 2026'!W2654)</f>
        <v/>
      </c>
      <c r="L2654" s="276">
        <f>IF($K2654="","",TODAY()-$K2654)</f>
        <v/>
      </c>
      <c r="M2654">
        <f>IF($A2654="","",IF($H2654="ENGAGE","Engagé",IF(AND($H2654="NON ENGAGE",OR($I2654="INFRUCTUEUX",$I2654="ANNULE")),"Clôturé sans suite","En cours")))</f>
        <v/>
      </c>
      <c r="N2654">
        <f>IF(ISBLANK('ENGAGEMENTS 2026'!C2654),"",'ENGAGEMENTS 2026'!L2654)</f>
        <v/>
      </c>
      <c r="O2654">
        <f>IF(ISBLANK('ENGAGEMENTS 2026'!C2654),"",'ENGAGEMENTS 2026'!M2654)</f>
        <v/>
      </c>
      <c r="P2654">
        <f>IF(ISBLANK('ENGAGEMENTS 2026'!C2654),"",'ENGAGEMENTS 2026'!K2654)</f>
        <v/>
      </c>
      <c r="Q2654">
        <f>IF($A2654="","",IF(OR($E2654="INFRUCTUEUX",$E2654="ANNULE"),$A2654&amp;"|"&amp;(COUNTIFS($A$2:$A2654,$A2654,$E$2:$E2654,"INFRUCTUEUX")+COUNTIFS($A$2:$A2654,$A2654,$E$2:$E2654,"ANNULE")),""))</f>
        <v/>
      </c>
    </row>
    <row r="2655">
      <c r="A2655">
        <f>IF(ISBLANK('ENGAGEMENTS 2026'!C2655),"",IF('ENGAGEMENTS 2026'!C2655="DTSI","DCT",'ENGAGEMENTS 2026'!C2655))</f>
        <v/>
      </c>
      <c r="B2655">
        <f>IF(ISBLANK('ENGAGEMENTS 2026'!C2655),"",'ENGAGEMENTS 2026'!D2655)</f>
        <v/>
      </c>
      <c r="C2655">
        <f>IF(ISBLANK('ENGAGEMENTS 2026'!C2655),"",'ENGAGEMENTS 2026'!E2655)</f>
        <v/>
      </c>
      <c r="D2655">
        <f>IF(ISBLANK('ENGAGEMENTS 2026'!C2655),"",'ENGAGEMENTS 2026'!G2655)</f>
        <v/>
      </c>
      <c r="E2655">
        <f>IF(ISBLANK('ENGAGEMENTS 2026'!C2655),"",'ENGAGEMENTS 2026'!I2655)</f>
        <v/>
      </c>
      <c r="F2655">
        <f>IF(ISBLANK('ENGAGEMENTS 2026'!C2655),"",'ENGAGEMENTS 2026'!J2655)</f>
        <v/>
      </c>
      <c r="G2655">
        <f>IF(ISBLANK('ENGAGEMENTS 2026'!C2655),"",'ENGAGEMENTS 2026'!M2655)</f>
        <v/>
      </c>
      <c r="H2655">
        <f>IF(ISBLANK('ENGAGEMENTS 2026'!C2655),"",'ENGAGEMENTS 2026'!AF2655)</f>
        <v/>
      </c>
      <c r="I2655">
        <f>IF(ISBLANK('ENGAGEMENTS 2026'!C2655),"",'ENGAGEMENTS 2026'!H2655)</f>
        <v/>
      </c>
      <c r="J2655" s="275">
        <f>IF(ISBLANK('ENGAGEMENTS 2026'!C2655),"",IF(AND(OR($E2655="INFRUCTUEUX",$E2655="ANNULE"),$C2655="AOO-M"),'ENGAGEMENTS 2026'!P2655,IF($H2655="EN COURS DE PREENGAGEMENT",'ENGAGEMENTS 2026'!O2655,IF($H2655="PREENGAGE",IF($E2655="ATTRIBUE",'ENGAGEMENTS 2026'!AE2655,'ENGAGEMENTS 2026'!O2655),'ENGAGEMENTS 2026'!AE2655))))</f>
        <v/>
      </c>
      <c r="K2655" s="604">
        <f>IF(ISBLANK('ENGAGEMENTS 2026'!W2655),"",'ENGAGEMENTS 2026'!W2655)</f>
        <v/>
      </c>
      <c r="L2655" s="276">
        <f>IF($K2655="","",TODAY()-$K2655)</f>
        <v/>
      </c>
      <c r="M2655">
        <f>IF($A2655="","",IF($H2655="ENGAGE","Engagé",IF(AND($H2655="NON ENGAGE",OR($I2655="INFRUCTUEUX",$I2655="ANNULE")),"Clôturé sans suite","En cours")))</f>
        <v/>
      </c>
      <c r="N2655">
        <f>IF(ISBLANK('ENGAGEMENTS 2026'!C2655),"",'ENGAGEMENTS 2026'!L2655)</f>
        <v/>
      </c>
      <c r="O2655">
        <f>IF(ISBLANK('ENGAGEMENTS 2026'!C2655),"",'ENGAGEMENTS 2026'!M2655)</f>
        <v/>
      </c>
      <c r="P2655">
        <f>IF(ISBLANK('ENGAGEMENTS 2026'!C2655),"",'ENGAGEMENTS 2026'!K2655)</f>
        <v/>
      </c>
      <c r="Q2655">
        <f>IF($A2655="","",IF(OR($E2655="INFRUCTUEUX",$E2655="ANNULE"),$A2655&amp;"|"&amp;(COUNTIFS($A$2:$A2655,$A2655,$E$2:$E2655,"INFRUCTUEUX")+COUNTIFS($A$2:$A2655,$A2655,$E$2:$E2655,"ANNULE")),""))</f>
        <v/>
      </c>
    </row>
    <row r="2656">
      <c r="A2656">
        <f>IF(ISBLANK('ENGAGEMENTS 2026'!C2656),"",IF('ENGAGEMENTS 2026'!C2656="DTSI","DCT",'ENGAGEMENTS 2026'!C2656))</f>
        <v/>
      </c>
      <c r="B2656">
        <f>IF(ISBLANK('ENGAGEMENTS 2026'!C2656),"",'ENGAGEMENTS 2026'!D2656)</f>
        <v/>
      </c>
      <c r="C2656">
        <f>IF(ISBLANK('ENGAGEMENTS 2026'!C2656),"",'ENGAGEMENTS 2026'!E2656)</f>
        <v/>
      </c>
      <c r="D2656">
        <f>IF(ISBLANK('ENGAGEMENTS 2026'!C2656),"",'ENGAGEMENTS 2026'!G2656)</f>
        <v/>
      </c>
      <c r="E2656">
        <f>IF(ISBLANK('ENGAGEMENTS 2026'!C2656),"",'ENGAGEMENTS 2026'!I2656)</f>
        <v/>
      </c>
      <c r="F2656">
        <f>IF(ISBLANK('ENGAGEMENTS 2026'!C2656),"",'ENGAGEMENTS 2026'!J2656)</f>
        <v/>
      </c>
      <c r="G2656">
        <f>IF(ISBLANK('ENGAGEMENTS 2026'!C2656),"",'ENGAGEMENTS 2026'!M2656)</f>
        <v/>
      </c>
      <c r="H2656">
        <f>IF(ISBLANK('ENGAGEMENTS 2026'!C2656),"",'ENGAGEMENTS 2026'!AF2656)</f>
        <v/>
      </c>
      <c r="I2656">
        <f>IF(ISBLANK('ENGAGEMENTS 2026'!C2656),"",'ENGAGEMENTS 2026'!H2656)</f>
        <v/>
      </c>
      <c r="J2656" s="275">
        <f>IF(ISBLANK('ENGAGEMENTS 2026'!C2656),"",IF(AND(OR($E2656="INFRUCTUEUX",$E2656="ANNULE"),$C2656="AOO-M"),'ENGAGEMENTS 2026'!P2656,IF($H2656="EN COURS DE PREENGAGEMENT",'ENGAGEMENTS 2026'!O2656,IF($H2656="PREENGAGE",IF($E2656="ATTRIBUE",'ENGAGEMENTS 2026'!AE2656,'ENGAGEMENTS 2026'!O2656),'ENGAGEMENTS 2026'!AE2656))))</f>
        <v/>
      </c>
      <c r="K2656" s="604">
        <f>IF(ISBLANK('ENGAGEMENTS 2026'!W2656),"",'ENGAGEMENTS 2026'!W2656)</f>
        <v/>
      </c>
      <c r="L2656" s="276">
        <f>IF($K2656="","",TODAY()-$K2656)</f>
        <v/>
      </c>
      <c r="M2656">
        <f>IF($A2656="","",IF($H2656="ENGAGE","Engagé",IF(AND($H2656="NON ENGAGE",OR($I2656="INFRUCTUEUX",$I2656="ANNULE")),"Clôturé sans suite","En cours")))</f>
        <v/>
      </c>
      <c r="N2656">
        <f>IF(ISBLANK('ENGAGEMENTS 2026'!C2656),"",'ENGAGEMENTS 2026'!L2656)</f>
        <v/>
      </c>
      <c r="O2656">
        <f>IF(ISBLANK('ENGAGEMENTS 2026'!C2656),"",'ENGAGEMENTS 2026'!M2656)</f>
        <v/>
      </c>
      <c r="P2656">
        <f>IF(ISBLANK('ENGAGEMENTS 2026'!C2656),"",'ENGAGEMENTS 2026'!K2656)</f>
        <v/>
      </c>
      <c r="Q2656">
        <f>IF($A2656="","",IF(OR($E2656="INFRUCTUEUX",$E2656="ANNULE"),$A2656&amp;"|"&amp;(COUNTIFS($A$2:$A2656,$A2656,$E$2:$E2656,"INFRUCTUEUX")+COUNTIFS($A$2:$A2656,$A2656,$E$2:$E2656,"ANNULE")),""))</f>
        <v/>
      </c>
    </row>
    <row r="2657">
      <c r="A2657">
        <f>IF(ISBLANK('ENGAGEMENTS 2026'!C2657),"",IF('ENGAGEMENTS 2026'!C2657="DTSI","DCT",'ENGAGEMENTS 2026'!C2657))</f>
        <v/>
      </c>
      <c r="B2657">
        <f>IF(ISBLANK('ENGAGEMENTS 2026'!C2657),"",'ENGAGEMENTS 2026'!D2657)</f>
        <v/>
      </c>
      <c r="C2657">
        <f>IF(ISBLANK('ENGAGEMENTS 2026'!C2657),"",'ENGAGEMENTS 2026'!E2657)</f>
        <v/>
      </c>
      <c r="D2657">
        <f>IF(ISBLANK('ENGAGEMENTS 2026'!C2657),"",'ENGAGEMENTS 2026'!G2657)</f>
        <v/>
      </c>
      <c r="E2657">
        <f>IF(ISBLANK('ENGAGEMENTS 2026'!C2657),"",'ENGAGEMENTS 2026'!I2657)</f>
        <v/>
      </c>
      <c r="F2657">
        <f>IF(ISBLANK('ENGAGEMENTS 2026'!C2657),"",'ENGAGEMENTS 2026'!J2657)</f>
        <v/>
      </c>
      <c r="G2657">
        <f>IF(ISBLANK('ENGAGEMENTS 2026'!C2657),"",'ENGAGEMENTS 2026'!M2657)</f>
        <v/>
      </c>
      <c r="H2657">
        <f>IF(ISBLANK('ENGAGEMENTS 2026'!C2657),"",'ENGAGEMENTS 2026'!AF2657)</f>
        <v/>
      </c>
      <c r="I2657">
        <f>IF(ISBLANK('ENGAGEMENTS 2026'!C2657),"",'ENGAGEMENTS 2026'!H2657)</f>
        <v/>
      </c>
      <c r="J2657" s="275">
        <f>IF(ISBLANK('ENGAGEMENTS 2026'!C2657),"",IF(AND(OR($E2657="INFRUCTUEUX",$E2657="ANNULE"),$C2657="AOO-M"),'ENGAGEMENTS 2026'!P2657,IF($H2657="EN COURS DE PREENGAGEMENT",'ENGAGEMENTS 2026'!O2657,IF($H2657="PREENGAGE",IF($E2657="ATTRIBUE",'ENGAGEMENTS 2026'!AE2657,'ENGAGEMENTS 2026'!O2657),'ENGAGEMENTS 2026'!AE2657))))</f>
        <v/>
      </c>
      <c r="K2657" s="604">
        <f>IF(ISBLANK('ENGAGEMENTS 2026'!W2657),"",'ENGAGEMENTS 2026'!W2657)</f>
        <v/>
      </c>
      <c r="L2657" s="276">
        <f>IF($K2657="","",TODAY()-$K2657)</f>
        <v/>
      </c>
      <c r="M2657">
        <f>IF($A2657="","",IF($H2657="ENGAGE","Engagé",IF(AND($H2657="NON ENGAGE",OR($I2657="INFRUCTUEUX",$I2657="ANNULE")),"Clôturé sans suite","En cours")))</f>
        <v/>
      </c>
      <c r="N2657">
        <f>IF(ISBLANK('ENGAGEMENTS 2026'!C2657),"",'ENGAGEMENTS 2026'!L2657)</f>
        <v/>
      </c>
      <c r="O2657">
        <f>IF(ISBLANK('ENGAGEMENTS 2026'!C2657),"",'ENGAGEMENTS 2026'!M2657)</f>
        <v/>
      </c>
      <c r="P2657">
        <f>IF(ISBLANK('ENGAGEMENTS 2026'!C2657),"",'ENGAGEMENTS 2026'!K2657)</f>
        <v/>
      </c>
      <c r="Q2657">
        <f>IF($A2657="","",IF(OR($E2657="INFRUCTUEUX",$E2657="ANNULE"),$A2657&amp;"|"&amp;(COUNTIFS($A$2:$A2657,$A2657,$E$2:$E2657,"INFRUCTUEUX")+COUNTIFS($A$2:$A2657,$A2657,$E$2:$E2657,"ANNULE")),""))</f>
        <v/>
      </c>
    </row>
    <row r="2658">
      <c r="A2658">
        <f>IF(ISBLANK('ENGAGEMENTS 2026'!C2658),"",IF('ENGAGEMENTS 2026'!C2658="DTSI","DCT",'ENGAGEMENTS 2026'!C2658))</f>
        <v/>
      </c>
      <c r="B2658">
        <f>IF(ISBLANK('ENGAGEMENTS 2026'!C2658),"",'ENGAGEMENTS 2026'!D2658)</f>
        <v/>
      </c>
      <c r="C2658">
        <f>IF(ISBLANK('ENGAGEMENTS 2026'!C2658),"",'ENGAGEMENTS 2026'!E2658)</f>
        <v/>
      </c>
      <c r="D2658">
        <f>IF(ISBLANK('ENGAGEMENTS 2026'!C2658),"",'ENGAGEMENTS 2026'!G2658)</f>
        <v/>
      </c>
      <c r="E2658">
        <f>IF(ISBLANK('ENGAGEMENTS 2026'!C2658),"",'ENGAGEMENTS 2026'!I2658)</f>
        <v/>
      </c>
      <c r="F2658">
        <f>IF(ISBLANK('ENGAGEMENTS 2026'!C2658),"",'ENGAGEMENTS 2026'!J2658)</f>
        <v/>
      </c>
      <c r="G2658">
        <f>IF(ISBLANK('ENGAGEMENTS 2026'!C2658),"",'ENGAGEMENTS 2026'!M2658)</f>
        <v/>
      </c>
      <c r="H2658">
        <f>IF(ISBLANK('ENGAGEMENTS 2026'!C2658),"",'ENGAGEMENTS 2026'!AF2658)</f>
        <v/>
      </c>
      <c r="I2658">
        <f>IF(ISBLANK('ENGAGEMENTS 2026'!C2658),"",'ENGAGEMENTS 2026'!H2658)</f>
        <v/>
      </c>
      <c r="J2658" s="275">
        <f>IF(ISBLANK('ENGAGEMENTS 2026'!C2658),"",IF(AND(OR($E2658="INFRUCTUEUX",$E2658="ANNULE"),$C2658="AOO-M"),'ENGAGEMENTS 2026'!P2658,IF($H2658="EN COURS DE PREENGAGEMENT",'ENGAGEMENTS 2026'!O2658,IF($H2658="PREENGAGE",IF($E2658="ATTRIBUE",'ENGAGEMENTS 2026'!AE2658,'ENGAGEMENTS 2026'!O2658),'ENGAGEMENTS 2026'!AE2658))))</f>
        <v/>
      </c>
      <c r="K2658" s="604">
        <f>IF(ISBLANK('ENGAGEMENTS 2026'!W2658),"",'ENGAGEMENTS 2026'!W2658)</f>
        <v/>
      </c>
      <c r="L2658" s="276">
        <f>IF($K2658="","",TODAY()-$K2658)</f>
        <v/>
      </c>
      <c r="M2658">
        <f>IF($A2658="","",IF($H2658="ENGAGE","Engagé",IF(AND($H2658="NON ENGAGE",OR($I2658="INFRUCTUEUX",$I2658="ANNULE")),"Clôturé sans suite","En cours")))</f>
        <v/>
      </c>
      <c r="N2658">
        <f>IF(ISBLANK('ENGAGEMENTS 2026'!C2658),"",'ENGAGEMENTS 2026'!L2658)</f>
        <v/>
      </c>
      <c r="O2658">
        <f>IF(ISBLANK('ENGAGEMENTS 2026'!C2658),"",'ENGAGEMENTS 2026'!M2658)</f>
        <v/>
      </c>
      <c r="P2658">
        <f>IF(ISBLANK('ENGAGEMENTS 2026'!C2658),"",'ENGAGEMENTS 2026'!K2658)</f>
        <v/>
      </c>
      <c r="Q2658">
        <f>IF($A2658="","",IF(OR($E2658="INFRUCTUEUX",$E2658="ANNULE"),$A2658&amp;"|"&amp;(COUNTIFS($A$2:$A2658,$A2658,$E$2:$E2658,"INFRUCTUEUX")+COUNTIFS($A$2:$A2658,$A2658,$E$2:$E2658,"ANNULE")),""))</f>
        <v/>
      </c>
    </row>
    <row r="2659">
      <c r="A2659">
        <f>IF(ISBLANK('ENGAGEMENTS 2026'!C2659),"",IF('ENGAGEMENTS 2026'!C2659="DTSI","DCT",'ENGAGEMENTS 2026'!C2659))</f>
        <v/>
      </c>
      <c r="B2659">
        <f>IF(ISBLANK('ENGAGEMENTS 2026'!C2659),"",'ENGAGEMENTS 2026'!D2659)</f>
        <v/>
      </c>
      <c r="C2659">
        <f>IF(ISBLANK('ENGAGEMENTS 2026'!C2659),"",'ENGAGEMENTS 2026'!E2659)</f>
        <v/>
      </c>
      <c r="D2659">
        <f>IF(ISBLANK('ENGAGEMENTS 2026'!C2659),"",'ENGAGEMENTS 2026'!G2659)</f>
        <v/>
      </c>
      <c r="E2659">
        <f>IF(ISBLANK('ENGAGEMENTS 2026'!C2659),"",'ENGAGEMENTS 2026'!I2659)</f>
        <v/>
      </c>
      <c r="F2659">
        <f>IF(ISBLANK('ENGAGEMENTS 2026'!C2659),"",'ENGAGEMENTS 2026'!J2659)</f>
        <v/>
      </c>
      <c r="G2659">
        <f>IF(ISBLANK('ENGAGEMENTS 2026'!C2659),"",'ENGAGEMENTS 2026'!M2659)</f>
        <v/>
      </c>
      <c r="H2659">
        <f>IF(ISBLANK('ENGAGEMENTS 2026'!C2659),"",'ENGAGEMENTS 2026'!AF2659)</f>
        <v/>
      </c>
      <c r="I2659">
        <f>IF(ISBLANK('ENGAGEMENTS 2026'!C2659),"",'ENGAGEMENTS 2026'!H2659)</f>
        <v/>
      </c>
      <c r="J2659" s="275">
        <f>IF(ISBLANK('ENGAGEMENTS 2026'!C2659),"",IF(AND(OR($E2659="INFRUCTUEUX",$E2659="ANNULE"),$C2659="AOO-M"),'ENGAGEMENTS 2026'!P2659,IF($H2659="EN COURS DE PREENGAGEMENT",'ENGAGEMENTS 2026'!O2659,IF($H2659="PREENGAGE",IF($E2659="ATTRIBUE",'ENGAGEMENTS 2026'!AE2659,'ENGAGEMENTS 2026'!O2659),'ENGAGEMENTS 2026'!AE2659))))</f>
        <v/>
      </c>
      <c r="K2659" s="604">
        <f>IF(ISBLANK('ENGAGEMENTS 2026'!W2659),"",'ENGAGEMENTS 2026'!W2659)</f>
        <v/>
      </c>
      <c r="L2659" s="276">
        <f>IF($K2659="","",TODAY()-$K2659)</f>
        <v/>
      </c>
      <c r="M2659">
        <f>IF($A2659="","",IF($H2659="ENGAGE","Engagé",IF(AND($H2659="NON ENGAGE",OR($I2659="INFRUCTUEUX",$I2659="ANNULE")),"Clôturé sans suite","En cours")))</f>
        <v/>
      </c>
      <c r="N2659">
        <f>IF(ISBLANK('ENGAGEMENTS 2026'!C2659),"",'ENGAGEMENTS 2026'!L2659)</f>
        <v/>
      </c>
      <c r="O2659">
        <f>IF(ISBLANK('ENGAGEMENTS 2026'!C2659),"",'ENGAGEMENTS 2026'!M2659)</f>
        <v/>
      </c>
      <c r="P2659">
        <f>IF(ISBLANK('ENGAGEMENTS 2026'!C2659),"",'ENGAGEMENTS 2026'!K2659)</f>
        <v/>
      </c>
      <c r="Q2659">
        <f>IF($A2659="","",IF(OR($E2659="INFRUCTUEUX",$E2659="ANNULE"),$A2659&amp;"|"&amp;(COUNTIFS($A$2:$A2659,$A2659,$E$2:$E2659,"INFRUCTUEUX")+COUNTIFS($A$2:$A2659,$A2659,$E$2:$E2659,"ANNULE")),""))</f>
        <v/>
      </c>
    </row>
    <row r="2660">
      <c r="A2660">
        <f>IF(ISBLANK('ENGAGEMENTS 2026'!C2660),"",IF('ENGAGEMENTS 2026'!C2660="DTSI","DCT",'ENGAGEMENTS 2026'!C2660))</f>
        <v/>
      </c>
      <c r="B2660">
        <f>IF(ISBLANK('ENGAGEMENTS 2026'!C2660),"",'ENGAGEMENTS 2026'!D2660)</f>
        <v/>
      </c>
      <c r="C2660">
        <f>IF(ISBLANK('ENGAGEMENTS 2026'!C2660),"",'ENGAGEMENTS 2026'!E2660)</f>
        <v/>
      </c>
      <c r="D2660">
        <f>IF(ISBLANK('ENGAGEMENTS 2026'!C2660),"",'ENGAGEMENTS 2026'!G2660)</f>
        <v/>
      </c>
      <c r="E2660">
        <f>IF(ISBLANK('ENGAGEMENTS 2026'!C2660),"",'ENGAGEMENTS 2026'!I2660)</f>
        <v/>
      </c>
      <c r="F2660">
        <f>IF(ISBLANK('ENGAGEMENTS 2026'!C2660),"",'ENGAGEMENTS 2026'!J2660)</f>
        <v/>
      </c>
      <c r="G2660">
        <f>IF(ISBLANK('ENGAGEMENTS 2026'!C2660),"",'ENGAGEMENTS 2026'!M2660)</f>
        <v/>
      </c>
      <c r="H2660">
        <f>IF(ISBLANK('ENGAGEMENTS 2026'!C2660),"",'ENGAGEMENTS 2026'!AF2660)</f>
        <v/>
      </c>
      <c r="I2660">
        <f>IF(ISBLANK('ENGAGEMENTS 2026'!C2660),"",'ENGAGEMENTS 2026'!H2660)</f>
        <v/>
      </c>
      <c r="J2660" s="275">
        <f>IF(ISBLANK('ENGAGEMENTS 2026'!C2660),"",IF(AND(OR($E2660="INFRUCTUEUX",$E2660="ANNULE"),$C2660="AOO-M"),'ENGAGEMENTS 2026'!P2660,IF($H2660="EN COURS DE PREENGAGEMENT",'ENGAGEMENTS 2026'!O2660,IF($H2660="PREENGAGE",IF($E2660="ATTRIBUE",'ENGAGEMENTS 2026'!AE2660,'ENGAGEMENTS 2026'!O2660),'ENGAGEMENTS 2026'!AE2660))))</f>
        <v/>
      </c>
      <c r="K2660" s="604">
        <f>IF(ISBLANK('ENGAGEMENTS 2026'!W2660),"",'ENGAGEMENTS 2026'!W2660)</f>
        <v/>
      </c>
      <c r="L2660" s="276">
        <f>IF($K2660="","",TODAY()-$K2660)</f>
        <v/>
      </c>
      <c r="M2660">
        <f>IF($A2660="","",IF($H2660="ENGAGE","Engagé",IF(AND($H2660="NON ENGAGE",OR($I2660="INFRUCTUEUX",$I2660="ANNULE")),"Clôturé sans suite","En cours")))</f>
        <v/>
      </c>
      <c r="N2660">
        <f>IF(ISBLANK('ENGAGEMENTS 2026'!C2660),"",'ENGAGEMENTS 2026'!L2660)</f>
        <v/>
      </c>
      <c r="O2660">
        <f>IF(ISBLANK('ENGAGEMENTS 2026'!C2660),"",'ENGAGEMENTS 2026'!M2660)</f>
        <v/>
      </c>
      <c r="P2660">
        <f>IF(ISBLANK('ENGAGEMENTS 2026'!C2660),"",'ENGAGEMENTS 2026'!K2660)</f>
        <v/>
      </c>
      <c r="Q2660">
        <f>IF($A2660="","",IF(OR($E2660="INFRUCTUEUX",$E2660="ANNULE"),$A2660&amp;"|"&amp;(COUNTIFS($A$2:$A2660,$A2660,$E$2:$E2660,"INFRUCTUEUX")+COUNTIFS($A$2:$A2660,$A2660,$E$2:$E2660,"ANNULE")),""))</f>
        <v/>
      </c>
    </row>
    <row r="2661">
      <c r="A2661">
        <f>IF(ISBLANK('ENGAGEMENTS 2026'!C2661),"",IF('ENGAGEMENTS 2026'!C2661="DTSI","DCT",'ENGAGEMENTS 2026'!C2661))</f>
        <v/>
      </c>
      <c r="B2661">
        <f>IF(ISBLANK('ENGAGEMENTS 2026'!C2661),"",'ENGAGEMENTS 2026'!D2661)</f>
        <v/>
      </c>
      <c r="C2661">
        <f>IF(ISBLANK('ENGAGEMENTS 2026'!C2661),"",'ENGAGEMENTS 2026'!E2661)</f>
        <v/>
      </c>
      <c r="D2661">
        <f>IF(ISBLANK('ENGAGEMENTS 2026'!C2661),"",'ENGAGEMENTS 2026'!G2661)</f>
        <v/>
      </c>
      <c r="E2661">
        <f>IF(ISBLANK('ENGAGEMENTS 2026'!C2661),"",'ENGAGEMENTS 2026'!I2661)</f>
        <v/>
      </c>
      <c r="F2661">
        <f>IF(ISBLANK('ENGAGEMENTS 2026'!C2661),"",'ENGAGEMENTS 2026'!J2661)</f>
        <v/>
      </c>
      <c r="G2661">
        <f>IF(ISBLANK('ENGAGEMENTS 2026'!C2661),"",'ENGAGEMENTS 2026'!M2661)</f>
        <v/>
      </c>
      <c r="H2661">
        <f>IF(ISBLANK('ENGAGEMENTS 2026'!C2661),"",'ENGAGEMENTS 2026'!AF2661)</f>
        <v/>
      </c>
      <c r="I2661">
        <f>IF(ISBLANK('ENGAGEMENTS 2026'!C2661),"",'ENGAGEMENTS 2026'!H2661)</f>
        <v/>
      </c>
      <c r="J2661" s="275">
        <f>IF(ISBLANK('ENGAGEMENTS 2026'!C2661),"",IF(AND(OR($E2661="INFRUCTUEUX",$E2661="ANNULE"),$C2661="AOO-M"),'ENGAGEMENTS 2026'!P2661,IF($H2661="EN COURS DE PREENGAGEMENT",'ENGAGEMENTS 2026'!O2661,IF($H2661="PREENGAGE",IF($E2661="ATTRIBUE",'ENGAGEMENTS 2026'!AE2661,'ENGAGEMENTS 2026'!O2661),'ENGAGEMENTS 2026'!AE2661))))</f>
        <v/>
      </c>
      <c r="K2661" s="604">
        <f>IF(ISBLANK('ENGAGEMENTS 2026'!W2661),"",'ENGAGEMENTS 2026'!W2661)</f>
        <v/>
      </c>
      <c r="L2661" s="276">
        <f>IF($K2661="","",TODAY()-$K2661)</f>
        <v/>
      </c>
      <c r="M2661">
        <f>IF($A2661="","",IF($H2661="ENGAGE","Engagé",IF(AND($H2661="NON ENGAGE",OR($I2661="INFRUCTUEUX",$I2661="ANNULE")),"Clôturé sans suite","En cours")))</f>
        <v/>
      </c>
      <c r="N2661">
        <f>IF(ISBLANK('ENGAGEMENTS 2026'!C2661),"",'ENGAGEMENTS 2026'!L2661)</f>
        <v/>
      </c>
      <c r="O2661">
        <f>IF(ISBLANK('ENGAGEMENTS 2026'!C2661),"",'ENGAGEMENTS 2026'!M2661)</f>
        <v/>
      </c>
      <c r="P2661">
        <f>IF(ISBLANK('ENGAGEMENTS 2026'!C2661),"",'ENGAGEMENTS 2026'!K2661)</f>
        <v/>
      </c>
      <c r="Q2661">
        <f>IF($A2661="","",IF(OR($E2661="INFRUCTUEUX",$E2661="ANNULE"),$A2661&amp;"|"&amp;(COUNTIFS($A$2:$A2661,$A2661,$E$2:$E2661,"INFRUCTUEUX")+COUNTIFS($A$2:$A2661,$A2661,$E$2:$E2661,"ANNULE")),""))</f>
        <v/>
      </c>
    </row>
    <row r="2662">
      <c r="A2662">
        <f>IF(ISBLANK('ENGAGEMENTS 2026'!C2662),"",IF('ENGAGEMENTS 2026'!C2662="DTSI","DCT",'ENGAGEMENTS 2026'!C2662))</f>
        <v/>
      </c>
      <c r="B2662">
        <f>IF(ISBLANK('ENGAGEMENTS 2026'!C2662),"",'ENGAGEMENTS 2026'!D2662)</f>
        <v/>
      </c>
      <c r="C2662">
        <f>IF(ISBLANK('ENGAGEMENTS 2026'!C2662),"",'ENGAGEMENTS 2026'!E2662)</f>
        <v/>
      </c>
      <c r="D2662">
        <f>IF(ISBLANK('ENGAGEMENTS 2026'!C2662),"",'ENGAGEMENTS 2026'!G2662)</f>
        <v/>
      </c>
      <c r="E2662">
        <f>IF(ISBLANK('ENGAGEMENTS 2026'!C2662),"",'ENGAGEMENTS 2026'!I2662)</f>
        <v/>
      </c>
      <c r="F2662">
        <f>IF(ISBLANK('ENGAGEMENTS 2026'!C2662),"",'ENGAGEMENTS 2026'!J2662)</f>
        <v/>
      </c>
      <c r="G2662">
        <f>IF(ISBLANK('ENGAGEMENTS 2026'!C2662),"",'ENGAGEMENTS 2026'!M2662)</f>
        <v/>
      </c>
      <c r="H2662">
        <f>IF(ISBLANK('ENGAGEMENTS 2026'!C2662),"",'ENGAGEMENTS 2026'!AF2662)</f>
        <v/>
      </c>
      <c r="I2662">
        <f>IF(ISBLANK('ENGAGEMENTS 2026'!C2662),"",'ENGAGEMENTS 2026'!H2662)</f>
        <v/>
      </c>
      <c r="J2662" s="275">
        <f>IF(ISBLANK('ENGAGEMENTS 2026'!C2662),"",IF(AND(OR($E2662="INFRUCTUEUX",$E2662="ANNULE"),$C2662="AOO-M"),'ENGAGEMENTS 2026'!P2662,IF($H2662="EN COURS DE PREENGAGEMENT",'ENGAGEMENTS 2026'!O2662,IF($H2662="PREENGAGE",IF($E2662="ATTRIBUE",'ENGAGEMENTS 2026'!AE2662,'ENGAGEMENTS 2026'!O2662),'ENGAGEMENTS 2026'!AE2662))))</f>
        <v/>
      </c>
      <c r="K2662" s="604">
        <f>IF(ISBLANK('ENGAGEMENTS 2026'!W2662),"",'ENGAGEMENTS 2026'!W2662)</f>
        <v/>
      </c>
      <c r="L2662" s="276">
        <f>IF($K2662="","",TODAY()-$K2662)</f>
        <v/>
      </c>
      <c r="M2662">
        <f>IF($A2662="","",IF($H2662="ENGAGE","Engagé",IF(AND($H2662="NON ENGAGE",OR($I2662="INFRUCTUEUX",$I2662="ANNULE")),"Clôturé sans suite","En cours")))</f>
        <v/>
      </c>
      <c r="N2662">
        <f>IF(ISBLANK('ENGAGEMENTS 2026'!C2662),"",'ENGAGEMENTS 2026'!L2662)</f>
        <v/>
      </c>
      <c r="O2662">
        <f>IF(ISBLANK('ENGAGEMENTS 2026'!C2662),"",'ENGAGEMENTS 2026'!M2662)</f>
        <v/>
      </c>
      <c r="P2662">
        <f>IF(ISBLANK('ENGAGEMENTS 2026'!C2662),"",'ENGAGEMENTS 2026'!K2662)</f>
        <v/>
      </c>
      <c r="Q2662">
        <f>IF($A2662="","",IF(OR($E2662="INFRUCTUEUX",$E2662="ANNULE"),$A2662&amp;"|"&amp;(COUNTIFS($A$2:$A2662,$A2662,$E$2:$E2662,"INFRUCTUEUX")+COUNTIFS($A$2:$A2662,$A2662,$E$2:$E2662,"ANNULE")),""))</f>
        <v/>
      </c>
    </row>
    <row r="2663">
      <c r="A2663">
        <f>IF(ISBLANK('ENGAGEMENTS 2026'!C2663),"",IF('ENGAGEMENTS 2026'!C2663="DTSI","DCT",'ENGAGEMENTS 2026'!C2663))</f>
        <v/>
      </c>
      <c r="B2663">
        <f>IF(ISBLANK('ENGAGEMENTS 2026'!C2663),"",'ENGAGEMENTS 2026'!D2663)</f>
        <v/>
      </c>
      <c r="C2663">
        <f>IF(ISBLANK('ENGAGEMENTS 2026'!C2663),"",'ENGAGEMENTS 2026'!E2663)</f>
        <v/>
      </c>
      <c r="D2663">
        <f>IF(ISBLANK('ENGAGEMENTS 2026'!C2663),"",'ENGAGEMENTS 2026'!G2663)</f>
        <v/>
      </c>
      <c r="E2663">
        <f>IF(ISBLANK('ENGAGEMENTS 2026'!C2663),"",'ENGAGEMENTS 2026'!I2663)</f>
        <v/>
      </c>
      <c r="F2663">
        <f>IF(ISBLANK('ENGAGEMENTS 2026'!C2663),"",'ENGAGEMENTS 2026'!J2663)</f>
        <v/>
      </c>
      <c r="G2663">
        <f>IF(ISBLANK('ENGAGEMENTS 2026'!C2663),"",'ENGAGEMENTS 2026'!M2663)</f>
        <v/>
      </c>
      <c r="H2663">
        <f>IF(ISBLANK('ENGAGEMENTS 2026'!C2663),"",'ENGAGEMENTS 2026'!AF2663)</f>
        <v/>
      </c>
      <c r="I2663">
        <f>IF(ISBLANK('ENGAGEMENTS 2026'!C2663),"",'ENGAGEMENTS 2026'!H2663)</f>
        <v/>
      </c>
      <c r="J2663" s="275">
        <f>IF(ISBLANK('ENGAGEMENTS 2026'!C2663),"",IF(AND(OR($E2663="INFRUCTUEUX",$E2663="ANNULE"),$C2663="AOO-M"),'ENGAGEMENTS 2026'!P2663,IF($H2663="EN COURS DE PREENGAGEMENT",'ENGAGEMENTS 2026'!O2663,IF($H2663="PREENGAGE",IF($E2663="ATTRIBUE",'ENGAGEMENTS 2026'!AE2663,'ENGAGEMENTS 2026'!O2663),'ENGAGEMENTS 2026'!AE2663))))</f>
        <v/>
      </c>
      <c r="K2663" s="604">
        <f>IF(ISBLANK('ENGAGEMENTS 2026'!W2663),"",'ENGAGEMENTS 2026'!W2663)</f>
        <v/>
      </c>
      <c r="L2663" s="276">
        <f>IF($K2663="","",TODAY()-$K2663)</f>
        <v/>
      </c>
      <c r="M2663">
        <f>IF($A2663="","",IF($H2663="ENGAGE","Engagé",IF(AND($H2663="NON ENGAGE",OR($I2663="INFRUCTUEUX",$I2663="ANNULE")),"Clôturé sans suite","En cours")))</f>
        <v/>
      </c>
      <c r="N2663">
        <f>IF(ISBLANK('ENGAGEMENTS 2026'!C2663),"",'ENGAGEMENTS 2026'!L2663)</f>
        <v/>
      </c>
      <c r="O2663">
        <f>IF(ISBLANK('ENGAGEMENTS 2026'!C2663),"",'ENGAGEMENTS 2026'!M2663)</f>
        <v/>
      </c>
      <c r="P2663">
        <f>IF(ISBLANK('ENGAGEMENTS 2026'!C2663),"",'ENGAGEMENTS 2026'!K2663)</f>
        <v/>
      </c>
      <c r="Q2663">
        <f>IF($A2663="","",IF(OR($E2663="INFRUCTUEUX",$E2663="ANNULE"),$A2663&amp;"|"&amp;(COUNTIFS($A$2:$A2663,$A2663,$E$2:$E2663,"INFRUCTUEUX")+COUNTIFS($A$2:$A2663,$A2663,$E$2:$E2663,"ANNULE")),""))</f>
        <v/>
      </c>
    </row>
    <row r="2664">
      <c r="A2664">
        <f>IF(ISBLANK('ENGAGEMENTS 2026'!C2664),"",IF('ENGAGEMENTS 2026'!C2664="DTSI","DCT",'ENGAGEMENTS 2026'!C2664))</f>
        <v/>
      </c>
      <c r="B2664">
        <f>IF(ISBLANK('ENGAGEMENTS 2026'!C2664),"",'ENGAGEMENTS 2026'!D2664)</f>
        <v/>
      </c>
      <c r="C2664">
        <f>IF(ISBLANK('ENGAGEMENTS 2026'!C2664),"",'ENGAGEMENTS 2026'!E2664)</f>
        <v/>
      </c>
      <c r="D2664">
        <f>IF(ISBLANK('ENGAGEMENTS 2026'!C2664),"",'ENGAGEMENTS 2026'!G2664)</f>
        <v/>
      </c>
      <c r="E2664">
        <f>IF(ISBLANK('ENGAGEMENTS 2026'!C2664),"",'ENGAGEMENTS 2026'!I2664)</f>
        <v/>
      </c>
      <c r="F2664">
        <f>IF(ISBLANK('ENGAGEMENTS 2026'!C2664),"",'ENGAGEMENTS 2026'!J2664)</f>
        <v/>
      </c>
      <c r="G2664">
        <f>IF(ISBLANK('ENGAGEMENTS 2026'!C2664),"",'ENGAGEMENTS 2026'!M2664)</f>
        <v/>
      </c>
      <c r="H2664">
        <f>IF(ISBLANK('ENGAGEMENTS 2026'!C2664),"",'ENGAGEMENTS 2026'!AF2664)</f>
        <v/>
      </c>
      <c r="I2664">
        <f>IF(ISBLANK('ENGAGEMENTS 2026'!C2664),"",'ENGAGEMENTS 2026'!H2664)</f>
        <v/>
      </c>
      <c r="J2664" s="275">
        <f>IF(ISBLANK('ENGAGEMENTS 2026'!C2664),"",IF(AND(OR($E2664="INFRUCTUEUX",$E2664="ANNULE"),$C2664="AOO-M"),'ENGAGEMENTS 2026'!P2664,IF($H2664="EN COURS DE PREENGAGEMENT",'ENGAGEMENTS 2026'!O2664,IF($H2664="PREENGAGE",IF($E2664="ATTRIBUE",'ENGAGEMENTS 2026'!AE2664,'ENGAGEMENTS 2026'!O2664),'ENGAGEMENTS 2026'!AE2664))))</f>
        <v/>
      </c>
      <c r="K2664" s="604">
        <f>IF(ISBLANK('ENGAGEMENTS 2026'!W2664),"",'ENGAGEMENTS 2026'!W2664)</f>
        <v/>
      </c>
      <c r="L2664" s="276">
        <f>IF($K2664="","",TODAY()-$K2664)</f>
        <v/>
      </c>
      <c r="M2664">
        <f>IF($A2664="","",IF($H2664="ENGAGE","Engagé",IF(AND($H2664="NON ENGAGE",OR($I2664="INFRUCTUEUX",$I2664="ANNULE")),"Clôturé sans suite","En cours")))</f>
        <v/>
      </c>
      <c r="N2664">
        <f>IF(ISBLANK('ENGAGEMENTS 2026'!C2664),"",'ENGAGEMENTS 2026'!L2664)</f>
        <v/>
      </c>
      <c r="O2664">
        <f>IF(ISBLANK('ENGAGEMENTS 2026'!C2664),"",'ENGAGEMENTS 2026'!M2664)</f>
        <v/>
      </c>
      <c r="P2664">
        <f>IF(ISBLANK('ENGAGEMENTS 2026'!C2664),"",'ENGAGEMENTS 2026'!K2664)</f>
        <v/>
      </c>
      <c r="Q2664">
        <f>IF($A2664="","",IF(OR($E2664="INFRUCTUEUX",$E2664="ANNULE"),$A2664&amp;"|"&amp;(COUNTIFS($A$2:$A2664,$A2664,$E$2:$E2664,"INFRUCTUEUX")+COUNTIFS($A$2:$A2664,$A2664,$E$2:$E2664,"ANNULE")),""))</f>
        <v/>
      </c>
    </row>
    <row r="2665">
      <c r="A2665">
        <f>IF(ISBLANK('ENGAGEMENTS 2026'!C2665),"",IF('ENGAGEMENTS 2026'!C2665="DTSI","DCT",'ENGAGEMENTS 2026'!C2665))</f>
        <v/>
      </c>
      <c r="B2665">
        <f>IF(ISBLANK('ENGAGEMENTS 2026'!C2665),"",'ENGAGEMENTS 2026'!D2665)</f>
        <v/>
      </c>
      <c r="C2665">
        <f>IF(ISBLANK('ENGAGEMENTS 2026'!C2665),"",'ENGAGEMENTS 2026'!E2665)</f>
        <v/>
      </c>
      <c r="D2665">
        <f>IF(ISBLANK('ENGAGEMENTS 2026'!C2665),"",'ENGAGEMENTS 2026'!G2665)</f>
        <v/>
      </c>
      <c r="E2665">
        <f>IF(ISBLANK('ENGAGEMENTS 2026'!C2665),"",'ENGAGEMENTS 2026'!I2665)</f>
        <v/>
      </c>
      <c r="F2665">
        <f>IF(ISBLANK('ENGAGEMENTS 2026'!C2665),"",'ENGAGEMENTS 2026'!J2665)</f>
        <v/>
      </c>
      <c r="G2665">
        <f>IF(ISBLANK('ENGAGEMENTS 2026'!C2665),"",'ENGAGEMENTS 2026'!M2665)</f>
        <v/>
      </c>
      <c r="H2665">
        <f>IF(ISBLANK('ENGAGEMENTS 2026'!C2665),"",'ENGAGEMENTS 2026'!AF2665)</f>
        <v/>
      </c>
      <c r="I2665">
        <f>IF(ISBLANK('ENGAGEMENTS 2026'!C2665),"",'ENGAGEMENTS 2026'!H2665)</f>
        <v/>
      </c>
      <c r="J2665" s="275">
        <f>IF(ISBLANK('ENGAGEMENTS 2026'!C2665),"",IF(AND(OR($E2665="INFRUCTUEUX",$E2665="ANNULE"),$C2665="AOO-M"),'ENGAGEMENTS 2026'!P2665,IF($H2665="EN COURS DE PREENGAGEMENT",'ENGAGEMENTS 2026'!O2665,IF($H2665="PREENGAGE",IF($E2665="ATTRIBUE",'ENGAGEMENTS 2026'!AE2665,'ENGAGEMENTS 2026'!O2665),'ENGAGEMENTS 2026'!AE2665))))</f>
        <v/>
      </c>
      <c r="K2665" s="604">
        <f>IF(ISBLANK('ENGAGEMENTS 2026'!W2665),"",'ENGAGEMENTS 2026'!W2665)</f>
        <v/>
      </c>
      <c r="L2665" s="276">
        <f>IF($K2665="","",TODAY()-$K2665)</f>
        <v/>
      </c>
      <c r="M2665">
        <f>IF($A2665="","",IF($H2665="ENGAGE","Engagé",IF(AND($H2665="NON ENGAGE",OR($I2665="INFRUCTUEUX",$I2665="ANNULE")),"Clôturé sans suite","En cours")))</f>
        <v/>
      </c>
      <c r="N2665">
        <f>IF(ISBLANK('ENGAGEMENTS 2026'!C2665),"",'ENGAGEMENTS 2026'!L2665)</f>
        <v/>
      </c>
      <c r="O2665">
        <f>IF(ISBLANK('ENGAGEMENTS 2026'!C2665),"",'ENGAGEMENTS 2026'!M2665)</f>
        <v/>
      </c>
      <c r="P2665">
        <f>IF(ISBLANK('ENGAGEMENTS 2026'!C2665),"",'ENGAGEMENTS 2026'!K2665)</f>
        <v/>
      </c>
      <c r="Q2665">
        <f>IF($A2665="","",IF(OR($E2665="INFRUCTUEUX",$E2665="ANNULE"),$A2665&amp;"|"&amp;(COUNTIFS($A$2:$A2665,$A2665,$E$2:$E2665,"INFRUCTUEUX")+COUNTIFS($A$2:$A2665,$A2665,$E$2:$E2665,"ANNULE")),""))</f>
        <v/>
      </c>
    </row>
    <row r="2666">
      <c r="A2666">
        <f>IF(ISBLANK('ENGAGEMENTS 2026'!C2666),"",IF('ENGAGEMENTS 2026'!C2666="DTSI","DCT",'ENGAGEMENTS 2026'!C2666))</f>
        <v/>
      </c>
      <c r="B2666">
        <f>IF(ISBLANK('ENGAGEMENTS 2026'!C2666),"",'ENGAGEMENTS 2026'!D2666)</f>
        <v/>
      </c>
      <c r="C2666">
        <f>IF(ISBLANK('ENGAGEMENTS 2026'!C2666),"",'ENGAGEMENTS 2026'!E2666)</f>
        <v/>
      </c>
      <c r="D2666">
        <f>IF(ISBLANK('ENGAGEMENTS 2026'!C2666),"",'ENGAGEMENTS 2026'!G2666)</f>
        <v/>
      </c>
      <c r="E2666">
        <f>IF(ISBLANK('ENGAGEMENTS 2026'!C2666),"",'ENGAGEMENTS 2026'!I2666)</f>
        <v/>
      </c>
      <c r="F2666">
        <f>IF(ISBLANK('ENGAGEMENTS 2026'!C2666),"",'ENGAGEMENTS 2026'!J2666)</f>
        <v/>
      </c>
      <c r="G2666">
        <f>IF(ISBLANK('ENGAGEMENTS 2026'!C2666),"",'ENGAGEMENTS 2026'!M2666)</f>
        <v/>
      </c>
      <c r="H2666">
        <f>IF(ISBLANK('ENGAGEMENTS 2026'!C2666),"",'ENGAGEMENTS 2026'!AF2666)</f>
        <v/>
      </c>
      <c r="I2666">
        <f>IF(ISBLANK('ENGAGEMENTS 2026'!C2666),"",'ENGAGEMENTS 2026'!H2666)</f>
        <v/>
      </c>
      <c r="J2666" s="275">
        <f>IF(ISBLANK('ENGAGEMENTS 2026'!C2666),"",IF(AND(OR($E2666="INFRUCTUEUX",$E2666="ANNULE"),$C2666="AOO-M"),'ENGAGEMENTS 2026'!P2666,IF($H2666="EN COURS DE PREENGAGEMENT",'ENGAGEMENTS 2026'!O2666,IF($H2666="PREENGAGE",IF($E2666="ATTRIBUE",'ENGAGEMENTS 2026'!AE2666,'ENGAGEMENTS 2026'!O2666),'ENGAGEMENTS 2026'!AE2666))))</f>
        <v/>
      </c>
      <c r="K2666" s="604">
        <f>IF(ISBLANK('ENGAGEMENTS 2026'!W2666),"",'ENGAGEMENTS 2026'!W2666)</f>
        <v/>
      </c>
      <c r="L2666" s="276">
        <f>IF($K2666="","",TODAY()-$K2666)</f>
        <v/>
      </c>
      <c r="M2666">
        <f>IF($A2666="","",IF($H2666="ENGAGE","Engagé",IF(AND($H2666="NON ENGAGE",OR($I2666="INFRUCTUEUX",$I2666="ANNULE")),"Clôturé sans suite","En cours")))</f>
        <v/>
      </c>
      <c r="N2666">
        <f>IF(ISBLANK('ENGAGEMENTS 2026'!C2666),"",'ENGAGEMENTS 2026'!L2666)</f>
        <v/>
      </c>
      <c r="O2666">
        <f>IF(ISBLANK('ENGAGEMENTS 2026'!C2666),"",'ENGAGEMENTS 2026'!M2666)</f>
        <v/>
      </c>
      <c r="P2666">
        <f>IF(ISBLANK('ENGAGEMENTS 2026'!C2666),"",'ENGAGEMENTS 2026'!K2666)</f>
        <v/>
      </c>
      <c r="Q2666">
        <f>IF($A2666="","",IF(OR($E2666="INFRUCTUEUX",$E2666="ANNULE"),$A2666&amp;"|"&amp;(COUNTIFS($A$2:$A2666,$A2666,$E$2:$E2666,"INFRUCTUEUX")+COUNTIFS($A$2:$A2666,$A2666,$E$2:$E2666,"ANNULE")),""))</f>
        <v/>
      </c>
    </row>
    <row r="2667">
      <c r="A2667">
        <f>IF(ISBLANK('ENGAGEMENTS 2026'!C2667),"",IF('ENGAGEMENTS 2026'!C2667="DTSI","DCT",'ENGAGEMENTS 2026'!C2667))</f>
        <v/>
      </c>
      <c r="B2667">
        <f>IF(ISBLANK('ENGAGEMENTS 2026'!C2667),"",'ENGAGEMENTS 2026'!D2667)</f>
        <v/>
      </c>
      <c r="C2667">
        <f>IF(ISBLANK('ENGAGEMENTS 2026'!C2667),"",'ENGAGEMENTS 2026'!E2667)</f>
        <v/>
      </c>
      <c r="D2667">
        <f>IF(ISBLANK('ENGAGEMENTS 2026'!C2667),"",'ENGAGEMENTS 2026'!G2667)</f>
        <v/>
      </c>
      <c r="E2667">
        <f>IF(ISBLANK('ENGAGEMENTS 2026'!C2667),"",'ENGAGEMENTS 2026'!I2667)</f>
        <v/>
      </c>
      <c r="F2667">
        <f>IF(ISBLANK('ENGAGEMENTS 2026'!C2667),"",'ENGAGEMENTS 2026'!J2667)</f>
        <v/>
      </c>
      <c r="G2667">
        <f>IF(ISBLANK('ENGAGEMENTS 2026'!C2667),"",'ENGAGEMENTS 2026'!M2667)</f>
        <v/>
      </c>
      <c r="H2667">
        <f>IF(ISBLANK('ENGAGEMENTS 2026'!C2667),"",'ENGAGEMENTS 2026'!AF2667)</f>
        <v/>
      </c>
      <c r="I2667">
        <f>IF(ISBLANK('ENGAGEMENTS 2026'!C2667),"",'ENGAGEMENTS 2026'!H2667)</f>
        <v/>
      </c>
      <c r="J2667" s="275">
        <f>IF(ISBLANK('ENGAGEMENTS 2026'!C2667),"",IF(AND(OR($E2667="INFRUCTUEUX",$E2667="ANNULE"),$C2667="AOO-M"),'ENGAGEMENTS 2026'!P2667,IF($H2667="EN COURS DE PREENGAGEMENT",'ENGAGEMENTS 2026'!O2667,IF($H2667="PREENGAGE",IF($E2667="ATTRIBUE",'ENGAGEMENTS 2026'!AE2667,'ENGAGEMENTS 2026'!O2667),'ENGAGEMENTS 2026'!AE2667))))</f>
        <v/>
      </c>
      <c r="K2667" s="604">
        <f>IF(ISBLANK('ENGAGEMENTS 2026'!W2667),"",'ENGAGEMENTS 2026'!W2667)</f>
        <v/>
      </c>
      <c r="L2667" s="276">
        <f>IF($K2667="","",TODAY()-$K2667)</f>
        <v/>
      </c>
      <c r="M2667">
        <f>IF($A2667="","",IF($H2667="ENGAGE","Engagé",IF(AND($H2667="NON ENGAGE",OR($I2667="INFRUCTUEUX",$I2667="ANNULE")),"Clôturé sans suite","En cours")))</f>
        <v/>
      </c>
      <c r="N2667">
        <f>IF(ISBLANK('ENGAGEMENTS 2026'!C2667),"",'ENGAGEMENTS 2026'!L2667)</f>
        <v/>
      </c>
      <c r="O2667">
        <f>IF(ISBLANK('ENGAGEMENTS 2026'!C2667),"",'ENGAGEMENTS 2026'!M2667)</f>
        <v/>
      </c>
      <c r="P2667">
        <f>IF(ISBLANK('ENGAGEMENTS 2026'!C2667),"",'ENGAGEMENTS 2026'!K2667)</f>
        <v/>
      </c>
      <c r="Q2667">
        <f>IF($A2667="","",IF(OR($E2667="INFRUCTUEUX",$E2667="ANNULE"),$A2667&amp;"|"&amp;(COUNTIFS($A$2:$A2667,$A2667,$E$2:$E2667,"INFRUCTUEUX")+COUNTIFS($A$2:$A2667,$A2667,$E$2:$E2667,"ANNULE")),""))</f>
        <v/>
      </c>
    </row>
    <row r="2668">
      <c r="A2668">
        <f>IF(ISBLANK('ENGAGEMENTS 2026'!C2668),"",IF('ENGAGEMENTS 2026'!C2668="DTSI","DCT",'ENGAGEMENTS 2026'!C2668))</f>
        <v/>
      </c>
      <c r="B2668">
        <f>IF(ISBLANK('ENGAGEMENTS 2026'!C2668),"",'ENGAGEMENTS 2026'!D2668)</f>
        <v/>
      </c>
      <c r="C2668">
        <f>IF(ISBLANK('ENGAGEMENTS 2026'!C2668),"",'ENGAGEMENTS 2026'!E2668)</f>
        <v/>
      </c>
      <c r="D2668">
        <f>IF(ISBLANK('ENGAGEMENTS 2026'!C2668),"",'ENGAGEMENTS 2026'!G2668)</f>
        <v/>
      </c>
      <c r="E2668">
        <f>IF(ISBLANK('ENGAGEMENTS 2026'!C2668),"",'ENGAGEMENTS 2026'!I2668)</f>
        <v/>
      </c>
      <c r="F2668">
        <f>IF(ISBLANK('ENGAGEMENTS 2026'!C2668),"",'ENGAGEMENTS 2026'!J2668)</f>
        <v/>
      </c>
      <c r="G2668">
        <f>IF(ISBLANK('ENGAGEMENTS 2026'!C2668),"",'ENGAGEMENTS 2026'!M2668)</f>
        <v/>
      </c>
      <c r="H2668">
        <f>IF(ISBLANK('ENGAGEMENTS 2026'!C2668),"",'ENGAGEMENTS 2026'!AF2668)</f>
        <v/>
      </c>
      <c r="I2668">
        <f>IF(ISBLANK('ENGAGEMENTS 2026'!C2668),"",'ENGAGEMENTS 2026'!H2668)</f>
        <v/>
      </c>
      <c r="J2668" s="275">
        <f>IF(ISBLANK('ENGAGEMENTS 2026'!C2668),"",IF(AND(OR($E2668="INFRUCTUEUX",$E2668="ANNULE"),$C2668="AOO-M"),'ENGAGEMENTS 2026'!P2668,IF($H2668="EN COURS DE PREENGAGEMENT",'ENGAGEMENTS 2026'!O2668,IF($H2668="PREENGAGE",IF($E2668="ATTRIBUE",'ENGAGEMENTS 2026'!AE2668,'ENGAGEMENTS 2026'!O2668),'ENGAGEMENTS 2026'!AE2668))))</f>
        <v/>
      </c>
      <c r="K2668" s="604">
        <f>IF(ISBLANK('ENGAGEMENTS 2026'!W2668),"",'ENGAGEMENTS 2026'!W2668)</f>
        <v/>
      </c>
      <c r="L2668" s="276">
        <f>IF($K2668="","",TODAY()-$K2668)</f>
        <v/>
      </c>
      <c r="M2668">
        <f>IF($A2668="","",IF($H2668="ENGAGE","Engagé",IF(AND($H2668="NON ENGAGE",OR($I2668="INFRUCTUEUX",$I2668="ANNULE")),"Clôturé sans suite","En cours")))</f>
        <v/>
      </c>
      <c r="N2668">
        <f>IF(ISBLANK('ENGAGEMENTS 2026'!C2668),"",'ENGAGEMENTS 2026'!L2668)</f>
        <v/>
      </c>
      <c r="O2668">
        <f>IF(ISBLANK('ENGAGEMENTS 2026'!C2668),"",'ENGAGEMENTS 2026'!M2668)</f>
        <v/>
      </c>
      <c r="P2668">
        <f>IF(ISBLANK('ENGAGEMENTS 2026'!C2668),"",'ENGAGEMENTS 2026'!K2668)</f>
        <v/>
      </c>
      <c r="Q2668">
        <f>IF($A2668="","",IF(OR($E2668="INFRUCTUEUX",$E2668="ANNULE"),$A2668&amp;"|"&amp;(COUNTIFS($A$2:$A2668,$A2668,$E$2:$E2668,"INFRUCTUEUX")+COUNTIFS($A$2:$A2668,$A2668,$E$2:$E2668,"ANNULE")),""))</f>
        <v/>
      </c>
    </row>
    <row r="2669">
      <c r="A2669">
        <f>IF(ISBLANK('ENGAGEMENTS 2026'!C2669),"",IF('ENGAGEMENTS 2026'!C2669="DTSI","DCT",'ENGAGEMENTS 2026'!C2669))</f>
        <v/>
      </c>
      <c r="B2669">
        <f>IF(ISBLANK('ENGAGEMENTS 2026'!C2669),"",'ENGAGEMENTS 2026'!D2669)</f>
        <v/>
      </c>
      <c r="C2669">
        <f>IF(ISBLANK('ENGAGEMENTS 2026'!C2669),"",'ENGAGEMENTS 2026'!E2669)</f>
        <v/>
      </c>
      <c r="D2669">
        <f>IF(ISBLANK('ENGAGEMENTS 2026'!C2669),"",'ENGAGEMENTS 2026'!G2669)</f>
        <v/>
      </c>
      <c r="E2669">
        <f>IF(ISBLANK('ENGAGEMENTS 2026'!C2669),"",'ENGAGEMENTS 2026'!I2669)</f>
        <v/>
      </c>
      <c r="F2669">
        <f>IF(ISBLANK('ENGAGEMENTS 2026'!C2669),"",'ENGAGEMENTS 2026'!J2669)</f>
        <v/>
      </c>
      <c r="G2669">
        <f>IF(ISBLANK('ENGAGEMENTS 2026'!C2669),"",'ENGAGEMENTS 2026'!M2669)</f>
        <v/>
      </c>
      <c r="H2669">
        <f>IF(ISBLANK('ENGAGEMENTS 2026'!C2669),"",'ENGAGEMENTS 2026'!AF2669)</f>
        <v/>
      </c>
      <c r="I2669">
        <f>IF(ISBLANK('ENGAGEMENTS 2026'!C2669),"",'ENGAGEMENTS 2026'!H2669)</f>
        <v/>
      </c>
      <c r="J2669" s="275">
        <f>IF(ISBLANK('ENGAGEMENTS 2026'!C2669),"",IF(AND(OR($E2669="INFRUCTUEUX",$E2669="ANNULE"),$C2669="AOO-M"),'ENGAGEMENTS 2026'!P2669,IF($H2669="EN COURS DE PREENGAGEMENT",'ENGAGEMENTS 2026'!O2669,IF($H2669="PREENGAGE",IF($E2669="ATTRIBUE",'ENGAGEMENTS 2026'!AE2669,'ENGAGEMENTS 2026'!O2669),'ENGAGEMENTS 2026'!AE2669))))</f>
        <v/>
      </c>
      <c r="K2669" s="604">
        <f>IF(ISBLANK('ENGAGEMENTS 2026'!W2669),"",'ENGAGEMENTS 2026'!W2669)</f>
        <v/>
      </c>
      <c r="L2669" s="276">
        <f>IF($K2669="","",TODAY()-$K2669)</f>
        <v/>
      </c>
      <c r="M2669">
        <f>IF($A2669="","",IF($H2669="ENGAGE","Engagé",IF(AND($H2669="NON ENGAGE",OR($I2669="INFRUCTUEUX",$I2669="ANNULE")),"Clôturé sans suite","En cours")))</f>
        <v/>
      </c>
      <c r="N2669">
        <f>IF(ISBLANK('ENGAGEMENTS 2026'!C2669),"",'ENGAGEMENTS 2026'!L2669)</f>
        <v/>
      </c>
      <c r="O2669">
        <f>IF(ISBLANK('ENGAGEMENTS 2026'!C2669),"",'ENGAGEMENTS 2026'!M2669)</f>
        <v/>
      </c>
      <c r="P2669">
        <f>IF(ISBLANK('ENGAGEMENTS 2026'!C2669),"",'ENGAGEMENTS 2026'!K2669)</f>
        <v/>
      </c>
      <c r="Q2669">
        <f>IF($A2669="","",IF(OR($E2669="INFRUCTUEUX",$E2669="ANNULE"),$A2669&amp;"|"&amp;(COUNTIFS($A$2:$A2669,$A2669,$E$2:$E2669,"INFRUCTUEUX")+COUNTIFS($A$2:$A2669,$A2669,$E$2:$E2669,"ANNULE")),""))</f>
        <v/>
      </c>
    </row>
    <row r="2670">
      <c r="A2670">
        <f>IF(ISBLANK('ENGAGEMENTS 2026'!C2670),"",IF('ENGAGEMENTS 2026'!C2670="DTSI","DCT",'ENGAGEMENTS 2026'!C2670))</f>
        <v/>
      </c>
      <c r="B2670">
        <f>IF(ISBLANK('ENGAGEMENTS 2026'!C2670),"",'ENGAGEMENTS 2026'!D2670)</f>
        <v/>
      </c>
      <c r="C2670">
        <f>IF(ISBLANK('ENGAGEMENTS 2026'!C2670),"",'ENGAGEMENTS 2026'!E2670)</f>
        <v/>
      </c>
      <c r="D2670">
        <f>IF(ISBLANK('ENGAGEMENTS 2026'!C2670),"",'ENGAGEMENTS 2026'!G2670)</f>
        <v/>
      </c>
      <c r="E2670">
        <f>IF(ISBLANK('ENGAGEMENTS 2026'!C2670),"",'ENGAGEMENTS 2026'!I2670)</f>
        <v/>
      </c>
      <c r="F2670">
        <f>IF(ISBLANK('ENGAGEMENTS 2026'!C2670),"",'ENGAGEMENTS 2026'!J2670)</f>
        <v/>
      </c>
      <c r="G2670">
        <f>IF(ISBLANK('ENGAGEMENTS 2026'!C2670),"",'ENGAGEMENTS 2026'!M2670)</f>
        <v/>
      </c>
      <c r="H2670">
        <f>IF(ISBLANK('ENGAGEMENTS 2026'!C2670),"",'ENGAGEMENTS 2026'!AF2670)</f>
        <v/>
      </c>
      <c r="I2670">
        <f>IF(ISBLANK('ENGAGEMENTS 2026'!C2670),"",'ENGAGEMENTS 2026'!H2670)</f>
        <v/>
      </c>
      <c r="J2670" s="275">
        <f>IF(ISBLANK('ENGAGEMENTS 2026'!C2670),"",IF(AND(OR($E2670="INFRUCTUEUX",$E2670="ANNULE"),$C2670="AOO-M"),'ENGAGEMENTS 2026'!P2670,IF($H2670="EN COURS DE PREENGAGEMENT",'ENGAGEMENTS 2026'!O2670,IF($H2670="PREENGAGE",IF($E2670="ATTRIBUE",'ENGAGEMENTS 2026'!AE2670,'ENGAGEMENTS 2026'!O2670),'ENGAGEMENTS 2026'!AE2670))))</f>
        <v/>
      </c>
      <c r="K2670" s="604">
        <f>IF(ISBLANK('ENGAGEMENTS 2026'!W2670),"",'ENGAGEMENTS 2026'!W2670)</f>
        <v/>
      </c>
      <c r="L2670" s="276">
        <f>IF($K2670="","",TODAY()-$K2670)</f>
        <v/>
      </c>
      <c r="M2670">
        <f>IF($A2670="","",IF($H2670="ENGAGE","Engagé",IF(AND($H2670="NON ENGAGE",OR($I2670="INFRUCTUEUX",$I2670="ANNULE")),"Clôturé sans suite","En cours")))</f>
        <v/>
      </c>
      <c r="N2670">
        <f>IF(ISBLANK('ENGAGEMENTS 2026'!C2670),"",'ENGAGEMENTS 2026'!L2670)</f>
        <v/>
      </c>
      <c r="O2670">
        <f>IF(ISBLANK('ENGAGEMENTS 2026'!C2670),"",'ENGAGEMENTS 2026'!M2670)</f>
        <v/>
      </c>
      <c r="P2670">
        <f>IF(ISBLANK('ENGAGEMENTS 2026'!C2670),"",'ENGAGEMENTS 2026'!K2670)</f>
        <v/>
      </c>
      <c r="Q2670">
        <f>IF($A2670="","",IF(OR($E2670="INFRUCTUEUX",$E2670="ANNULE"),$A2670&amp;"|"&amp;(COUNTIFS($A$2:$A2670,$A2670,$E$2:$E2670,"INFRUCTUEUX")+COUNTIFS($A$2:$A2670,$A2670,$E$2:$E2670,"ANNULE")),""))</f>
        <v/>
      </c>
    </row>
    <row r="2671">
      <c r="A2671">
        <f>IF(ISBLANK('ENGAGEMENTS 2026'!C2671),"",IF('ENGAGEMENTS 2026'!C2671="DTSI","DCT",'ENGAGEMENTS 2026'!C2671))</f>
        <v/>
      </c>
      <c r="B2671">
        <f>IF(ISBLANK('ENGAGEMENTS 2026'!C2671),"",'ENGAGEMENTS 2026'!D2671)</f>
        <v/>
      </c>
      <c r="C2671">
        <f>IF(ISBLANK('ENGAGEMENTS 2026'!C2671),"",'ENGAGEMENTS 2026'!E2671)</f>
        <v/>
      </c>
      <c r="D2671">
        <f>IF(ISBLANK('ENGAGEMENTS 2026'!C2671),"",'ENGAGEMENTS 2026'!G2671)</f>
        <v/>
      </c>
      <c r="E2671">
        <f>IF(ISBLANK('ENGAGEMENTS 2026'!C2671),"",'ENGAGEMENTS 2026'!I2671)</f>
        <v/>
      </c>
      <c r="F2671">
        <f>IF(ISBLANK('ENGAGEMENTS 2026'!C2671),"",'ENGAGEMENTS 2026'!J2671)</f>
        <v/>
      </c>
      <c r="G2671">
        <f>IF(ISBLANK('ENGAGEMENTS 2026'!C2671),"",'ENGAGEMENTS 2026'!M2671)</f>
        <v/>
      </c>
      <c r="H2671">
        <f>IF(ISBLANK('ENGAGEMENTS 2026'!C2671),"",'ENGAGEMENTS 2026'!AF2671)</f>
        <v/>
      </c>
      <c r="I2671">
        <f>IF(ISBLANK('ENGAGEMENTS 2026'!C2671),"",'ENGAGEMENTS 2026'!H2671)</f>
        <v/>
      </c>
      <c r="J2671" s="275">
        <f>IF(ISBLANK('ENGAGEMENTS 2026'!C2671),"",IF(AND(OR($E2671="INFRUCTUEUX",$E2671="ANNULE"),$C2671="AOO-M"),'ENGAGEMENTS 2026'!P2671,IF($H2671="EN COURS DE PREENGAGEMENT",'ENGAGEMENTS 2026'!O2671,IF($H2671="PREENGAGE",IF($E2671="ATTRIBUE",'ENGAGEMENTS 2026'!AE2671,'ENGAGEMENTS 2026'!O2671),'ENGAGEMENTS 2026'!AE2671))))</f>
        <v/>
      </c>
      <c r="K2671" s="604">
        <f>IF(ISBLANK('ENGAGEMENTS 2026'!W2671),"",'ENGAGEMENTS 2026'!W2671)</f>
        <v/>
      </c>
      <c r="L2671" s="276">
        <f>IF($K2671="","",TODAY()-$K2671)</f>
        <v/>
      </c>
      <c r="M2671">
        <f>IF($A2671="","",IF($H2671="ENGAGE","Engagé",IF(AND($H2671="NON ENGAGE",OR($I2671="INFRUCTUEUX",$I2671="ANNULE")),"Clôturé sans suite","En cours")))</f>
        <v/>
      </c>
      <c r="N2671">
        <f>IF(ISBLANK('ENGAGEMENTS 2026'!C2671),"",'ENGAGEMENTS 2026'!L2671)</f>
        <v/>
      </c>
      <c r="O2671">
        <f>IF(ISBLANK('ENGAGEMENTS 2026'!C2671),"",'ENGAGEMENTS 2026'!M2671)</f>
        <v/>
      </c>
      <c r="P2671">
        <f>IF(ISBLANK('ENGAGEMENTS 2026'!C2671),"",'ENGAGEMENTS 2026'!K2671)</f>
        <v/>
      </c>
      <c r="Q2671">
        <f>IF($A2671="","",IF(OR($E2671="INFRUCTUEUX",$E2671="ANNULE"),$A2671&amp;"|"&amp;(COUNTIFS($A$2:$A2671,$A2671,$E$2:$E2671,"INFRUCTUEUX")+COUNTIFS($A$2:$A2671,$A2671,$E$2:$E2671,"ANNULE")),""))</f>
        <v/>
      </c>
    </row>
    <row r="2672">
      <c r="A2672">
        <f>IF(ISBLANK('ENGAGEMENTS 2026'!C2672),"",IF('ENGAGEMENTS 2026'!C2672="DTSI","DCT",'ENGAGEMENTS 2026'!C2672))</f>
        <v/>
      </c>
      <c r="B2672">
        <f>IF(ISBLANK('ENGAGEMENTS 2026'!C2672),"",'ENGAGEMENTS 2026'!D2672)</f>
        <v/>
      </c>
      <c r="C2672">
        <f>IF(ISBLANK('ENGAGEMENTS 2026'!C2672),"",'ENGAGEMENTS 2026'!E2672)</f>
        <v/>
      </c>
      <c r="D2672">
        <f>IF(ISBLANK('ENGAGEMENTS 2026'!C2672),"",'ENGAGEMENTS 2026'!G2672)</f>
        <v/>
      </c>
      <c r="E2672">
        <f>IF(ISBLANK('ENGAGEMENTS 2026'!C2672),"",'ENGAGEMENTS 2026'!I2672)</f>
        <v/>
      </c>
      <c r="F2672">
        <f>IF(ISBLANK('ENGAGEMENTS 2026'!C2672),"",'ENGAGEMENTS 2026'!J2672)</f>
        <v/>
      </c>
      <c r="G2672">
        <f>IF(ISBLANK('ENGAGEMENTS 2026'!C2672),"",'ENGAGEMENTS 2026'!M2672)</f>
        <v/>
      </c>
      <c r="H2672">
        <f>IF(ISBLANK('ENGAGEMENTS 2026'!C2672),"",'ENGAGEMENTS 2026'!AF2672)</f>
        <v/>
      </c>
      <c r="I2672">
        <f>IF(ISBLANK('ENGAGEMENTS 2026'!C2672),"",'ENGAGEMENTS 2026'!H2672)</f>
        <v/>
      </c>
      <c r="J2672" s="275">
        <f>IF(ISBLANK('ENGAGEMENTS 2026'!C2672),"",IF(AND(OR($E2672="INFRUCTUEUX",$E2672="ANNULE"),$C2672="AOO-M"),'ENGAGEMENTS 2026'!P2672,IF($H2672="EN COURS DE PREENGAGEMENT",'ENGAGEMENTS 2026'!O2672,IF($H2672="PREENGAGE",IF($E2672="ATTRIBUE",'ENGAGEMENTS 2026'!AE2672,'ENGAGEMENTS 2026'!O2672),'ENGAGEMENTS 2026'!AE2672))))</f>
        <v/>
      </c>
      <c r="K2672" s="604">
        <f>IF(ISBLANK('ENGAGEMENTS 2026'!W2672),"",'ENGAGEMENTS 2026'!W2672)</f>
        <v/>
      </c>
      <c r="L2672" s="276">
        <f>IF($K2672="","",TODAY()-$K2672)</f>
        <v/>
      </c>
      <c r="M2672">
        <f>IF($A2672="","",IF($H2672="ENGAGE","Engagé",IF(AND($H2672="NON ENGAGE",OR($I2672="INFRUCTUEUX",$I2672="ANNULE")),"Clôturé sans suite","En cours")))</f>
        <v/>
      </c>
      <c r="N2672">
        <f>IF(ISBLANK('ENGAGEMENTS 2026'!C2672),"",'ENGAGEMENTS 2026'!L2672)</f>
        <v/>
      </c>
      <c r="O2672">
        <f>IF(ISBLANK('ENGAGEMENTS 2026'!C2672),"",'ENGAGEMENTS 2026'!M2672)</f>
        <v/>
      </c>
      <c r="P2672">
        <f>IF(ISBLANK('ENGAGEMENTS 2026'!C2672),"",'ENGAGEMENTS 2026'!K2672)</f>
        <v/>
      </c>
      <c r="Q2672">
        <f>IF($A2672="","",IF(OR($E2672="INFRUCTUEUX",$E2672="ANNULE"),$A2672&amp;"|"&amp;(COUNTIFS($A$2:$A2672,$A2672,$E$2:$E2672,"INFRUCTUEUX")+COUNTIFS($A$2:$A2672,$A2672,$E$2:$E2672,"ANNULE")),""))</f>
        <v/>
      </c>
    </row>
    <row r="2673">
      <c r="A2673">
        <f>IF(ISBLANK('ENGAGEMENTS 2026'!C2673),"",IF('ENGAGEMENTS 2026'!C2673="DTSI","DCT",'ENGAGEMENTS 2026'!C2673))</f>
        <v/>
      </c>
      <c r="B2673">
        <f>IF(ISBLANK('ENGAGEMENTS 2026'!C2673),"",'ENGAGEMENTS 2026'!D2673)</f>
        <v/>
      </c>
      <c r="C2673">
        <f>IF(ISBLANK('ENGAGEMENTS 2026'!C2673),"",'ENGAGEMENTS 2026'!E2673)</f>
        <v/>
      </c>
      <c r="D2673">
        <f>IF(ISBLANK('ENGAGEMENTS 2026'!C2673),"",'ENGAGEMENTS 2026'!G2673)</f>
        <v/>
      </c>
      <c r="E2673">
        <f>IF(ISBLANK('ENGAGEMENTS 2026'!C2673),"",'ENGAGEMENTS 2026'!I2673)</f>
        <v/>
      </c>
      <c r="F2673">
        <f>IF(ISBLANK('ENGAGEMENTS 2026'!C2673),"",'ENGAGEMENTS 2026'!J2673)</f>
        <v/>
      </c>
      <c r="G2673">
        <f>IF(ISBLANK('ENGAGEMENTS 2026'!C2673),"",'ENGAGEMENTS 2026'!M2673)</f>
        <v/>
      </c>
      <c r="H2673">
        <f>IF(ISBLANK('ENGAGEMENTS 2026'!C2673),"",'ENGAGEMENTS 2026'!AF2673)</f>
        <v/>
      </c>
      <c r="I2673">
        <f>IF(ISBLANK('ENGAGEMENTS 2026'!C2673),"",'ENGAGEMENTS 2026'!H2673)</f>
        <v/>
      </c>
      <c r="J2673" s="275">
        <f>IF(ISBLANK('ENGAGEMENTS 2026'!C2673),"",IF(AND(OR($E2673="INFRUCTUEUX",$E2673="ANNULE"),$C2673="AOO-M"),'ENGAGEMENTS 2026'!P2673,IF($H2673="EN COURS DE PREENGAGEMENT",'ENGAGEMENTS 2026'!O2673,IF($H2673="PREENGAGE",IF($E2673="ATTRIBUE",'ENGAGEMENTS 2026'!AE2673,'ENGAGEMENTS 2026'!O2673),'ENGAGEMENTS 2026'!AE2673))))</f>
        <v/>
      </c>
      <c r="K2673" s="604">
        <f>IF(ISBLANK('ENGAGEMENTS 2026'!W2673),"",'ENGAGEMENTS 2026'!W2673)</f>
        <v/>
      </c>
      <c r="L2673" s="276">
        <f>IF($K2673="","",TODAY()-$K2673)</f>
        <v/>
      </c>
      <c r="M2673">
        <f>IF($A2673="","",IF($H2673="ENGAGE","Engagé",IF(AND($H2673="NON ENGAGE",OR($I2673="INFRUCTUEUX",$I2673="ANNULE")),"Clôturé sans suite","En cours")))</f>
        <v/>
      </c>
      <c r="N2673">
        <f>IF(ISBLANK('ENGAGEMENTS 2026'!C2673),"",'ENGAGEMENTS 2026'!L2673)</f>
        <v/>
      </c>
      <c r="O2673">
        <f>IF(ISBLANK('ENGAGEMENTS 2026'!C2673),"",'ENGAGEMENTS 2026'!M2673)</f>
        <v/>
      </c>
      <c r="P2673">
        <f>IF(ISBLANK('ENGAGEMENTS 2026'!C2673),"",'ENGAGEMENTS 2026'!K2673)</f>
        <v/>
      </c>
      <c r="Q2673">
        <f>IF($A2673="","",IF(OR($E2673="INFRUCTUEUX",$E2673="ANNULE"),$A2673&amp;"|"&amp;(COUNTIFS($A$2:$A2673,$A2673,$E$2:$E2673,"INFRUCTUEUX")+COUNTIFS($A$2:$A2673,$A2673,$E$2:$E2673,"ANNULE")),""))</f>
        <v/>
      </c>
    </row>
    <row r="2674">
      <c r="A2674">
        <f>IF(ISBLANK('ENGAGEMENTS 2026'!C2674),"",IF('ENGAGEMENTS 2026'!C2674="DTSI","DCT",'ENGAGEMENTS 2026'!C2674))</f>
        <v/>
      </c>
      <c r="B2674">
        <f>IF(ISBLANK('ENGAGEMENTS 2026'!C2674),"",'ENGAGEMENTS 2026'!D2674)</f>
        <v/>
      </c>
      <c r="C2674">
        <f>IF(ISBLANK('ENGAGEMENTS 2026'!C2674),"",'ENGAGEMENTS 2026'!E2674)</f>
        <v/>
      </c>
      <c r="D2674">
        <f>IF(ISBLANK('ENGAGEMENTS 2026'!C2674),"",'ENGAGEMENTS 2026'!G2674)</f>
        <v/>
      </c>
      <c r="E2674">
        <f>IF(ISBLANK('ENGAGEMENTS 2026'!C2674),"",'ENGAGEMENTS 2026'!I2674)</f>
        <v/>
      </c>
      <c r="F2674">
        <f>IF(ISBLANK('ENGAGEMENTS 2026'!C2674),"",'ENGAGEMENTS 2026'!J2674)</f>
        <v/>
      </c>
      <c r="G2674">
        <f>IF(ISBLANK('ENGAGEMENTS 2026'!C2674),"",'ENGAGEMENTS 2026'!M2674)</f>
        <v/>
      </c>
      <c r="H2674">
        <f>IF(ISBLANK('ENGAGEMENTS 2026'!C2674),"",'ENGAGEMENTS 2026'!AF2674)</f>
        <v/>
      </c>
      <c r="I2674">
        <f>IF(ISBLANK('ENGAGEMENTS 2026'!C2674),"",'ENGAGEMENTS 2026'!H2674)</f>
        <v/>
      </c>
      <c r="J2674" s="275">
        <f>IF(ISBLANK('ENGAGEMENTS 2026'!C2674),"",IF(AND(OR($E2674="INFRUCTUEUX",$E2674="ANNULE"),$C2674="AOO-M"),'ENGAGEMENTS 2026'!P2674,IF($H2674="EN COURS DE PREENGAGEMENT",'ENGAGEMENTS 2026'!O2674,IF($H2674="PREENGAGE",IF($E2674="ATTRIBUE",'ENGAGEMENTS 2026'!AE2674,'ENGAGEMENTS 2026'!O2674),'ENGAGEMENTS 2026'!AE2674))))</f>
        <v/>
      </c>
      <c r="K2674" s="604">
        <f>IF(ISBLANK('ENGAGEMENTS 2026'!W2674),"",'ENGAGEMENTS 2026'!W2674)</f>
        <v/>
      </c>
      <c r="L2674" s="276">
        <f>IF($K2674="","",TODAY()-$K2674)</f>
        <v/>
      </c>
      <c r="M2674">
        <f>IF($A2674="","",IF($H2674="ENGAGE","Engagé",IF(AND($H2674="NON ENGAGE",OR($I2674="INFRUCTUEUX",$I2674="ANNULE")),"Clôturé sans suite","En cours")))</f>
        <v/>
      </c>
      <c r="N2674">
        <f>IF(ISBLANK('ENGAGEMENTS 2026'!C2674),"",'ENGAGEMENTS 2026'!L2674)</f>
        <v/>
      </c>
      <c r="O2674">
        <f>IF(ISBLANK('ENGAGEMENTS 2026'!C2674),"",'ENGAGEMENTS 2026'!M2674)</f>
        <v/>
      </c>
      <c r="P2674">
        <f>IF(ISBLANK('ENGAGEMENTS 2026'!C2674),"",'ENGAGEMENTS 2026'!K2674)</f>
        <v/>
      </c>
      <c r="Q2674">
        <f>IF($A2674="","",IF(OR($E2674="INFRUCTUEUX",$E2674="ANNULE"),$A2674&amp;"|"&amp;(COUNTIFS($A$2:$A2674,$A2674,$E$2:$E2674,"INFRUCTUEUX")+COUNTIFS($A$2:$A2674,$A2674,$E$2:$E2674,"ANNULE")),""))</f>
        <v/>
      </c>
    </row>
    <row r="2675">
      <c r="A2675">
        <f>IF(ISBLANK('ENGAGEMENTS 2026'!C2675),"",IF('ENGAGEMENTS 2026'!C2675="DTSI","DCT",'ENGAGEMENTS 2026'!C2675))</f>
        <v/>
      </c>
      <c r="B2675">
        <f>IF(ISBLANK('ENGAGEMENTS 2026'!C2675),"",'ENGAGEMENTS 2026'!D2675)</f>
        <v/>
      </c>
      <c r="C2675">
        <f>IF(ISBLANK('ENGAGEMENTS 2026'!C2675),"",'ENGAGEMENTS 2026'!E2675)</f>
        <v/>
      </c>
      <c r="D2675">
        <f>IF(ISBLANK('ENGAGEMENTS 2026'!C2675),"",'ENGAGEMENTS 2026'!G2675)</f>
        <v/>
      </c>
      <c r="E2675">
        <f>IF(ISBLANK('ENGAGEMENTS 2026'!C2675),"",'ENGAGEMENTS 2026'!I2675)</f>
        <v/>
      </c>
      <c r="F2675">
        <f>IF(ISBLANK('ENGAGEMENTS 2026'!C2675),"",'ENGAGEMENTS 2026'!J2675)</f>
        <v/>
      </c>
      <c r="G2675">
        <f>IF(ISBLANK('ENGAGEMENTS 2026'!C2675),"",'ENGAGEMENTS 2026'!M2675)</f>
        <v/>
      </c>
      <c r="H2675">
        <f>IF(ISBLANK('ENGAGEMENTS 2026'!C2675),"",'ENGAGEMENTS 2026'!AF2675)</f>
        <v/>
      </c>
      <c r="I2675">
        <f>IF(ISBLANK('ENGAGEMENTS 2026'!C2675),"",'ENGAGEMENTS 2026'!H2675)</f>
        <v/>
      </c>
      <c r="J2675" s="275">
        <f>IF(ISBLANK('ENGAGEMENTS 2026'!C2675),"",IF(AND(OR($E2675="INFRUCTUEUX",$E2675="ANNULE"),$C2675="AOO-M"),'ENGAGEMENTS 2026'!P2675,IF($H2675="EN COURS DE PREENGAGEMENT",'ENGAGEMENTS 2026'!O2675,IF($H2675="PREENGAGE",IF($E2675="ATTRIBUE",'ENGAGEMENTS 2026'!AE2675,'ENGAGEMENTS 2026'!O2675),'ENGAGEMENTS 2026'!AE2675))))</f>
        <v/>
      </c>
      <c r="K2675" s="604">
        <f>IF(ISBLANK('ENGAGEMENTS 2026'!W2675),"",'ENGAGEMENTS 2026'!W2675)</f>
        <v/>
      </c>
      <c r="L2675" s="276">
        <f>IF($K2675="","",TODAY()-$K2675)</f>
        <v/>
      </c>
      <c r="M2675">
        <f>IF($A2675="","",IF($H2675="ENGAGE","Engagé",IF(AND($H2675="NON ENGAGE",OR($I2675="INFRUCTUEUX",$I2675="ANNULE")),"Clôturé sans suite","En cours")))</f>
        <v/>
      </c>
      <c r="N2675">
        <f>IF(ISBLANK('ENGAGEMENTS 2026'!C2675),"",'ENGAGEMENTS 2026'!L2675)</f>
        <v/>
      </c>
      <c r="O2675">
        <f>IF(ISBLANK('ENGAGEMENTS 2026'!C2675),"",'ENGAGEMENTS 2026'!M2675)</f>
        <v/>
      </c>
      <c r="P2675">
        <f>IF(ISBLANK('ENGAGEMENTS 2026'!C2675),"",'ENGAGEMENTS 2026'!K2675)</f>
        <v/>
      </c>
      <c r="Q2675">
        <f>IF($A2675="","",IF(OR($E2675="INFRUCTUEUX",$E2675="ANNULE"),$A2675&amp;"|"&amp;(COUNTIFS($A$2:$A2675,$A2675,$E$2:$E2675,"INFRUCTUEUX")+COUNTIFS($A$2:$A2675,$A2675,$E$2:$E2675,"ANNULE")),""))</f>
        <v/>
      </c>
    </row>
    <row r="2676">
      <c r="A2676">
        <f>IF(ISBLANK('ENGAGEMENTS 2026'!C2676),"",IF('ENGAGEMENTS 2026'!C2676="DTSI","DCT",'ENGAGEMENTS 2026'!C2676))</f>
        <v/>
      </c>
      <c r="B2676">
        <f>IF(ISBLANK('ENGAGEMENTS 2026'!C2676),"",'ENGAGEMENTS 2026'!D2676)</f>
        <v/>
      </c>
      <c r="C2676">
        <f>IF(ISBLANK('ENGAGEMENTS 2026'!C2676),"",'ENGAGEMENTS 2026'!E2676)</f>
        <v/>
      </c>
      <c r="D2676">
        <f>IF(ISBLANK('ENGAGEMENTS 2026'!C2676),"",'ENGAGEMENTS 2026'!G2676)</f>
        <v/>
      </c>
      <c r="E2676">
        <f>IF(ISBLANK('ENGAGEMENTS 2026'!C2676),"",'ENGAGEMENTS 2026'!I2676)</f>
        <v/>
      </c>
      <c r="F2676">
        <f>IF(ISBLANK('ENGAGEMENTS 2026'!C2676),"",'ENGAGEMENTS 2026'!J2676)</f>
        <v/>
      </c>
      <c r="G2676">
        <f>IF(ISBLANK('ENGAGEMENTS 2026'!C2676),"",'ENGAGEMENTS 2026'!M2676)</f>
        <v/>
      </c>
      <c r="H2676">
        <f>IF(ISBLANK('ENGAGEMENTS 2026'!C2676),"",'ENGAGEMENTS 2026'!AF2676)</f>
        <v/>
      </c>
      <c r="I2676">
        <f>IF(ISBLANK('ENGAGEMENTS 2026'!C2676),"",'ENGAGEMENTS 2026'!H2676)</f>
        <v/>
      </c>
      <c r="J2676" s="275">
        <f>IF(ISBLANK('ENGAGEMENTS 2026'!C2676),"",IF(AND(OR($E2676="INFRUCTUEUX",$E2676="ANNULE"),$C2676="AOO-M"),'ENGAGEMENTS 2026'!P2676,IF($H2676="EN COURS DE PREENGAGEMENT",'ENGAGEMENTS 2026'!O2676,IF($H2676="PREENGAGE",IF($E2676="ATTRIBUE",'ENGAGEMENTS 2026'!AE2676,'ENGAGEMENTS 2026'!O2676),'ENGAGEMENTS 2026'!AE2676))))</f>
        <v/>
      </c>
      <c r="K2676" s="604">
        <f>IF(ISBLANK('ENGAGEMENTS 2026'!W2676),"",'ENGAGEMENTS 2026'!W2676)</f>
        <v/>
      </c>
      <c r="L2676" s="276">
        <f>IF($K2676="","",TODAY()-$K2676)</f>
        <v/>
      </c>
      <c r="M2676">
        <f>IF($A2676="","",IF($H2676="ENGAGE","Engagé",IF(AND($H2676="NON ENGAGE",OR($I2676="INFRUCTUEUX",$I2676="ANNULE")),"Clôturé sans suite","En cours")))</f>
        <v/>
      </c>
      <c r="N2676">
        <f>IF(ISBLANK('ENGAGEMENTS 2026'!C2676),"",'ENGAGEMENTS 2026'!L2676)</f>
        <v/>
      </c>
      <c r="O2676">
        <f>IF(ISBLANK('ENGAGEMENTS 2026'!C2676),"",'ENGAGEMENTS 2026'!M2676)</f>
        <v/>
      </c>
      <c r="P2676">
        <f>IF(ISBLANK('ENGAGEMENTS 2026'!C2676),"",'ENGAGEMENTS 2026'!K2676)</f>
        <v/>
      </c>
      <c r="Q2676">
        <f>IF($A2676="","",IF(OR($E2676="INFRUCTUEUX",$E2676="ANNULE"),$A2676&amp;"|"&amp;(COUNTIFS($A$2:$A2676,$A2676,$E$2:$E2676,"INFRUCTUEUX")+COUNTIFS($A$2:$A2676,$A2676,$E$2:$E2676,"ANNULE")),""))</f>
        <v/>
      </c>
    </row>
    <row r="2677">
      <c r="A2677">
        <f>IF(ISBLANK('ENGAGEMENTS 2026'!C2677),"",IF('ENGAGEMENTS 2026'!C2677="DTSI","DCT",'ENGAGEMENTS 2026'!C2677))</f>
        <v/>
      </c>
      <c r="B2677">
        <f>IF(ISBLANK('ENGAGEMENTS 2026'!C2677),"",'ENGAGEMENTS 2026'!D2677)</f>
        <v/>
      </c>
      <c r="C2677">
        <f>IF(ISBLANK('ENGAGEMENTS 2026'!C2677),"",'ENGAGEMENTS 2026'!E2677)</f>
        <v/>
      </c>
      <c r="D2677">
        <f>IF(ISBLANK('ENGAGEMENTS 2026'!C2677),"",'ENGAGEMENTS 2026'!G2677)</f>
        <v/>
      </c>
      <c r="E2677">
        <f>IF(ISBLANK('ENGAGEMENTS 2026'!C2677),"",'ENGAGEMENTS 2026'!I2677)</f>
        <v/>
      </c>
      <c r="F2677">
        <f>IF(ISBLANK('ENGAGEMENTS 2026'!C2677),"",'ENGAGEMENTS 2026'!J2677)</f>
        <v/>
      </c>
      <c r="G2677">
        <f>IF(ISBLANK('ENGAGEMENTS 2026'!C2677),"",'ENGAGEMENTS 2026'!M2677)</f>
        <v/>
      </c>
      <c r="H2677">
        <f>IF(ISBLANK('ENGAGEMENTS 2026'!C2677),"",'ENGAGEMENTS 2026'!AF2677)</f>
        <v/>
      </c>
      <c r="I2677">
        <f>IF(ISBLANK('ENGAGEMENTS 2026'!C2677),"",'ENGAGEMENTS 2026'!H2677)</f>
        <v/>
      </c>
      <c r="J2677" s="275">
        <f>IF(ISBLANK('ENGAGEMENTS 2026'!C2677),"",IF(AND(OR($E2677="INFRUCTUEUX",$E2677="ANNULE"),$C2677="AOO-M"),'ENGAGEMENTS 2026'!P2677,IF($H2677="EN COURS DE PREENGAGEMENT",'ENGAGEMENTS 2026'!O2677,IF($H2677="PREENGAGE",IF($E2677="ATTRIBUE",'ENGAGEMENTS 2026'!AE2677,'ENGAGEMENTS 2026'!O2677),'ENGAGEMENTS 2026'!AE2677))))</f>
        <v/>
      </c>
      <c r="K2677" s="604">
        <f>IF(ISBLANK('ENGAGEMENTS 2026'!W2677),"",'ENGAGEMENTS 2026'!W2677)</f>
        <v/>
      </c>
      <c r="L2677" s="276">
        <f>IF($K2677="","",TODAY()-$K2677)</f>
        <v/>
      </c>
      <c r="M2677">
        <f>IF($A2677="","",IF($H2677="ENGAGE","Engagé",IF(AND($H2677="NON ENGAGE",OR($I2677="INFRUCTUEUX",$I2677="ANNULE")),"Clôturé sans suite","En cours")))</f>
        <v/>
      </c>
      <c r="N2677">
        <f>IF(ISBLANK('ENGAGEMENTS 2026'!C2677),"",'ENGAGEMENTS 2026'!L2677)</f>
        <v/>
      </c>
      <c r="O2677">
        <f>IF(ISBLANK('ENGAGEMENTS 2026'!C2677),"",'ENGAGEMENTS 2026'!M2677)</f>
        <v/>
      </c>
      <c r="P2677">
        <f>IF(ISBLANK('ENGAGEMENTS 2026'!C2677),"",'ENGAGEMENTS 2026'!K2677)</f>
        <v/>
      </c>
      <c r="Q2677">
        <f>IF($A2677="","",IF(OR($E2677="INFRUCTUEUX",$E2677="ANNULE"),$A2677&amp;"|"&amp;(COUNTIFS($A$2:$A2677,$A2677,$E$2:$E2677,"INFRUCTUEUX")+COUNTIFS($A$2:$A2677,$A2677,$E$2:$E2677,"ANNULE")),""))</f>
        <v/>
      </c>
    </row>
    <row r="2678">
      <c r="A2678">
        <f>IF(ISBLANK('ENGAGEMENTS 2026'!C2678),"",IF('ENGAGEMENTS 2026'!C2678="DTSI","DCT",'ENGAGEMENTS 2026'!C2678))</f>
        <v/>
      </c>
      <c r="B2678">
        <f>IF(ISBLANK('ENGAGEMENTS 2026'!C2678),"",'ENGAGEMENTS 2026'!D2678)</f>
        <v/>
      </c>
      <c r="C2678">
        <f>IF(ISBLANK('ENGAGEMENTS 2026'!C2678),"",'ENGAGEMENTS 2026'!E2678)</f>
        <v/>
      </c>
      <c r="D2678">
        <f>IF(ISBLANK('ENGAGEMENTS 2026'!C2678),"",'ENGAGEMENTS 2026'!G2678)</f>
        <v/>
      </c>
      <c r="E2678">
        <f>IF(ISBLANK('ENGAGEMENTS 2026'!C2678),"",'ENGAGEMENTS 2026'!I2678)</f>
        <v/>
      </c>
      <c r="F2678">
        <f>IF(ISBLANK('ENGAGEMENTS 2026'!C2678),"",'ENGAGEMENTS 2026'!J2678)</f>
        <v/>
      </c>
      <c r="G2678">
        <f>IF(ISBLANK('ENGAGEMENTS 2026'!C2678),"",'ENGAGEMENTS 2026'!M2678)</f>
        <v/>
      </c>
      <c r="H2678">
        <f>IF(ISBLANK('ENGAGEMENTS 2026'!C2678),"",'ENGAGEMENTS 2026'!AF2678)</f>
        <v/>
      </c>
      <c r="I2678">
        <f>IF(ISBLANK('ENGAGEMENTS 2026'!C2678),"",'ENGAGEMENTS 2026'!H2678)</f>
        <v/>
      </c>
      <c r="J2678" s="275">
        <f>IF(ISBLANK('ENGAGEMENTS 2026'!C2678),"",IF(AND(OR($E2678="INFRUCTUEUX",$E2678="ANNULE"),$C2678="AOO-M"),'ENGAGEMENTS 2026'!P2678,IF($H2678="EN COURS DE PREENGAGEMENT",'ENGAGEMENTS 2026'!O2678,IF($H2678="PREENGAGE",IF($E2678="ATTRIBUE",'ENGAGEMENTS 2026'!AE2678,'ENGAGEMENTS 2026'!O2678),'ENGAGEMENTS 2026'!AE2678))))</f>
        <v/>
      </c>
      <c r="K2678" s="604">
        <f>IF(ISBLANK('ENGAGEMENTS 2026'!W2678),"",'ENGAGEMENTS 2026'!W2678)</f>
        <v/>
      </c>
      <c r="L2678" s="276">
        <f>IF($K2678="","",TODAY()-$K2678)</f>
        <v/>
      </c>
      <c r="M2678">
        <f>IF($A2678="","",IF($H2678="ENGAGE","Engagé",IF(AND($H2678="NON ENGAGE",OR($I2678="INFRUCTUEUX",$I2678="ANNULE")),"Clôturé sans suite","En cours")))</f>
        <v/>
      </c>
      <c r="N2678">
        <f>IF(ISBLANK('ENGAGEMENTS 2026'!C2678),"",'ENGAGEMENTS 2026'!L2678)</f>
        <v/>
      </c>
      <c r="O2678">
        <f>IF(ISBLANK('ENGAGEMENTS 2026'!C2678),"",'ENGAGEMENTS 2026'!M2678)</f>
        <v/>
      </c>
      <c r="P2678">
        <f>IF(ISBLANK('ENGAGEMENTS 2026'!C2678),"",'ENGAGEMENTS 2026'!K2678)</f>
        <v/>
      </c>
      <c r="Q2678">
        <f>IF($A2678="","",IF(OR($E2678="INFRUCTUEUX",$E2678="ANNULE"),$A2678&amp;"|"&amp;(COUNTIFS($A$2:$A2678,$A2678,$E$2:$E2678,"INFRUCTUEUX")+COUNTIFS($A$2:$A2678,$A2678,$E$2:$E2678,"ANNULE")),""))</f>
        <v/>
      </c>
    </row>
    <row r="2679">
      <c r="A2679">
        <f>IF(ISBLANK('ENGAGEMENTS 2026'!C2679),"",IF('ENGAGEMENTS 2026'!C2679="DTSI","DCT",'ENGAGEMENTS 2026'!C2679))</f>
        <v/>
      </c>
      <c r="B2679">
        <f>IF(ISBLANK('ENGAGEMENTS 2026'!C2679),"",'ENGAGEMENTS 2026'!D2679)</f>
        <v/>
      </c>
      <c r="C2679">
        <f>IF(ISBLANK('ENGAGEMENTS 2026'!C2679),"",'ENGAGEMENTS 2026'!E2679)</f>
        <v/>
      </c>
      <c r="D2679">
        <f>IF(ISBLANK('ENGAGEMENTS 2026'!C2679),"",'ENGAGEMENTS 2026'!G2679)</f>
        <v/>
      </c>
      <c r="E2679">
        <f>IF(ISBLANK('ENGAGEMENTS 2026'!C2679),"",'ENGAGEMENTS 2026'!I2679)</f>
        <v/>
      </c>
      <c r="F2679">
        <f>IF(ISBLANK('ENGAGEMENTS 2026'!C2679),"",'ENGAGEMENTS 2026'!J2679)</f>
        <v/>
      </c>
      <c r="G2679">
        <f>IF(ISBLANK('ENGAGEMENTS 2026'!C2679),"",'ENGAGEMENTS 2026'!M2679)</f>
        <v/>
      </c>
      <c r="H2679">
        <f>IF(ISBLANK('ENGAGEMENTS 2026'!C2679),"",'ENGAGEMENTS 2026'!AF2679)</f>
        <v/>
      </c>
      <c r="I2679">
        <f>IF(ISBLANK('ENGAGEMENTS 2026'!C2679),"",'ENGAGEMENTS 2026'!H2679)</f>
        <v/>
      </c>
      <c r="J2679" s="275">
        <f>IF(ISBLANK('ENGAGEMENTS 2026'!C2679),"",IF(AND(OR($E2679="INFRUCTUEUX",$E2679="ANNULE"),$C2679="AOO-M"),'ENGAGEMENTS 2026'!P2679,IF($H2679="EN COURS DE PREENGAGEMENT",'ENGAGEMENTS 2026'!O2679,IF($H2679="PREENGAGE",IF($E2679="ATTRIBUE",'ENGAGEMENTS 2026'!AE2679,'ENGAGEMENTS 2026'!O2679),'ENGAGEMENTS 2026'!AE2679))))</f>
        <v/>
      </c>
      <c r="K2679" s="604">
        <f>IF(ISBLANK('ENGAGEMENTS 2026'!W2679),"",'ENGAGEMENTS 2026'!W2679)</f>
        <v/>
      </c>
      <c r="L2679" s="276">
        <f>IF($K2679="","",TODAY()-$K2679)</f>
        <v/>
      </c>
      <c r="M2679">
        <f>IF($A2679="","",IF($H2679="ENGAGE","Engagé",IF(AND($H2679="NON ENGAGE",OR($I2679="INFRUCTUEUX",$I2679="ANNULE")),"Clôturé sans suite","En cours")))</f>
        <v/>
      </c>
      <c r="N2679">
        <f>IF(ISBLANK('ENGAGEMENTS 2026'!C2679),"",'ENGAGEMENTS 2026'!L2679)</f>
        <v/>
      </c>
      <c r="O2679">
        <f>IF(ISBLANK('ENGAGEMENTS 2026'!C2679),"",'ENGAGEMENTS 2026'!M2679)</f>
        <v/>
      </c>
      <c r="P2679">
        <f>IF(ISBLANK('ENGAGEMENTS 2026'!C2679),"",'ENGAGEMENTS 2026'!K2679)</f>
        <v/>
      </c>
      <c r="Q2679">
        <f>IF($A2679="","",IF(OR($E2679="INFRUCTUEUX",$E2679="ANNULE"),$A2679&amp;"|"&amp;(COUNTIFS($A$2:$A2679,$A2679,$E$2:$E2679,"INFRUCTUEUX")+COUNTIFS($A$2:$A2679,$A2679,$E$2:$E2679,"ANNULE")),""))</f>
        <v/>
      </c>
    </row>
    <row r="2680">
      <c r="A2680">
        <f>IF(ISBLANK('ENGAGEMENTS 2026'!C2680),"",IF('ENGAGEMENTS 2026'!C2680="DTSI","DCT",'ENGAGEMENTS 2026'!C2680))</f>
        <v/>
      </c>
      <c r="B2680">
        <f>IF(ISBLANK('ENGAGEMENTS 2026'!C2680),"",'ENGAGEMENTS 2026'!D2680)</f>
        <v/>
      </c>
      <c r="C2680">
        <f>IF(ISBLANK('ENGAGEMENTS 2026'!C2680),"",'ENGAGEMENTS 2026'!E2680)</f>
        <v/>
      </c>
      <c r="D2680">
        <f>IF(ISBLANK('ENGAGEMENTS 2026'!C2680),"",'ENGAGEMENTS 2026'!G2680)</f>
        <v/>
      </c>
      <c r="E2680">
        <f>IF(ISBLANK('ENGAGEMENTS 2026'!C2680),"",'ENGAGEMENTS 2026'!I2680)</f>
        <v/>
      </c>
      <c r="F2680">
        <f>IF(ISBLANK('ENGAGEMENTS 2026'!C2680),"",'ENGAGEMENTS 2026'!J2680)</f>
        <v/>
      </c>
      <c r="G2680">
        <f>IF(ISBLANK('ENGAGEMENTS 2026'!C2680),"",'ENGAGEMENTS 2026'!M2680)</f>
        <v/>
      </c>
      <c r="H2680">
        <f>IF(ISBLANK('ENGAGEMENTS 2026'!C2680),"",'ENGAGEMENTS 2026'!AF2680)</f>
        <v/>
      </c>
      <c r="I2680">
        <f>IF(ISBLANK('ENGAGEMENTS 2026'!C2680),"",'ENGAGEMENTS 2026'!H2680)</f>
        <v/>
      </c>
      <c r="J2680" s="275">
        <f>IF(ISBLANK('ENGAGEMENTS 2026'!C2680),"",IF(AND(OR($E2680="INFRUCTUEUX",$E2680="ANNULE"),$C2680="AOO-M"),'ENGAGEMENTS 2026'!P2680,IF($H2680="EN COURS DE PREENGAGEMENT",'ENGAGEMENTS 2026'!O2680,IF($H2680="PREENGAGE",IF($E2680="ATTRIBUE",'ENGAGEMENTS 2026'!AE2680,'ENGAGEMENTS 2026'!O2680),'ENGAGEMENTS 2026'!AE2680))))</f>
        <v/>
      </c>
      <c r="K2680" s="604">
        <f>IF(ISBLANK('ENGAGEMENTS 2026'!W2680),"",'ENGAGEMENTS 2026'!W2680)</f>
        <v/>
      </c>
      <c r="L2680" s="276">
        <f>IF($K2680="","",TODAY()-$K2680)</f>
        <v/>
      </c>
      <c r="M2680">
        <f>IF($A2680="","",IF($H2680="ENGAGE","Engagé",IF(AND($H2680="NON ENGAGE",OR($I2680="INFRUCTUEUX",$I2680="ANNULE")),"Clôturé sans suite","En cours")))</f>
        <v/>
      </c>
      <c r="N2680">
        <f>IF(ISBLANK('ENGAGEMENTS 2026'!C2680),"",'ENGAGEMENTS 2026'!L2680)</f>
        <v/>
      </c>
      <c r="O2680">
        <f>IF(ISBLANK('ENGAGEMENTS 2026'!C2680),"",'ENGAGEMENTS 2026'!M2680)</f>
        <v/>
      </c>
      <c r="P2680">
        <f>IF(ISBLANK('ENGAGEMENTS 2026'!C2680),"",'ENGAGEMENTS 2026'!K2680)</f>
        <v/>
      </c>
      <c r="Q2680">
        <f>IF($A2680="","",IF(OR($E2680="INFRUCTUEUX",$E2680="ANNULE"),$A2680&amp;"|"&amp;(COUNTIFS($A$2:$A2680,$A2680,$E$2:$E2680,"INFRUCTUEUX")+COUNTIFS($A$2:$A2680,$A2680,$E$2:$E2680,"ANNULE")),""))</f>
        <v/>
      </c>
    </row>
    <row r="2681">
      <c r="A2681">
        <f>IF(ISBLANK('ENGAGEMENTS 2026'!C2681),"",IF('ENGAGEMENTS 2026'!C2681="DTSI","DCT",'ENGAGEMENTS 2026'!C2681))</f>
        <v/>
      </c>
      <c r="B2681">
        <f>IF(ISBLANK('ENGAGEMENTS 2026'!C2681),"",'ENGAGEMENTS 2026'!D2681)</f>
        <v/>
      </c>
      <c r="C2681">
        <f>IF(ISBLANK('ENGAGEMENTS 2026'!C2681),"",'ENGAGEMENTS 2026'!E2681)</f>
        <v/>
      </c>
      <c r="D2681">
        <f>IF(ISBLANK('ENGAGEMENTS 2026'!C2681),"",'ENGAGEMENTS 2026'!G2681)</f>
        <v/>
      </c>
      <c r="E2681">
        <f>IF(ISBLANK('ENGAGEMENTS 2026'!C2681),"",'ENGAGEMENTS 2026'!I2681)</f>
        <v/>
      </c>
      <c r="F2681">
        <f>IF(ISBLANK('ENGAGEMENTS 2026'!C2681),"",'ENGAGEMENTS 2026'!J2681)</f>
        <v/>
      </c>
      <c r="G2681">
        <f>IF(ISBLANK('ENGAGEMENTS 2026'!C2681),"",'ENGAGEMENTS 2026'!M2681)</f>
        <v/>
      </c>
      <c r="H2681">
        <f>IF(ISBLANK('ENGAGEMENTS 2026'!C2681),"",'ENGAGEMENTS 2026'!AF2681)</f>
        <v/>
      </c>
      <c r="I2681">
        <f>IF(ISBLANK('ENGAGEMENTS 2026'!C2681),"",'ENGAGEMENTS 2026'!H2681)</f>
        <v/>
      </c>
      <c r="J2681" s="275">
        <f>IF(ISBLANK('ENGAGEMENTS 2026'!C2681),"",IF(AND(OR($E2681="INFRUCTUEUX",$E2681="ANNULE"),$C2681="AOO-M"),'ENGAGEMENTS 2026'!P2681,IF($H2681="EN COURS DE PREENGAGEMENT",'ENGAGEMENTS 2026'!O2681,IF($H2681="PREENGAGE",IF($E2681="ATTRIBUE",'ENGAGEMENTS 2026'!AE2681,'ENGAGEMENTS 2026'!O2681),'ENGAGEMENTS 2026'!AE2681))))</f>
        <v/>
      </c>
      <c r="K2681" s="604">
        <f>IF(ISBLANK('ENGAGEMENTS 2026'!W2681),"",'ENGAGEMENTS 2026'!W2681)</f>
        <v/>
      </c>
      <c r="L2681" s="276">
        <f>IF($K2681="","",TODAY()-$K2681)</f>
        <v/>
      </c>
      <c r="M2681">
        <f>IF($A2681="","",IF($H2681="ENGAGE","Engagé",IF(AND($H2681="NON ENGAGE",OR($I2681="INFRUCTUEUX",$I2681="ANNULE")),"Clôturé sans suite","En cours")))</f>
        <v/>
      </c>
      <c r="N2681">
        <f>IF(ISBLANK('ENGAGEMENTS 2026'!C2681),"",'ENGAGEMENTS 2026'!L2681)</f>
        <v/>
      </c>
      <c r="O2681">
        <f>IF(ISBLANK('ENGAGEMENTS 2026'!C2681),"",'ENGAGEMENTS 2026'!M2681)</f>
        <v/>
      </c>
      <c r="P2681">
        <f>IF(ISBLANK('ENGAGEMENTS 2026'!C2681),"",'ENGAGEMENTS 2026'!K2681)</f>
        <v/>
      </c>
      <c r="Q2681">
        <f>IF($A2681="","",IF(OR($E2681="INFRUCTUEUX",$E2681="ANNULE"),$A2681&amp;"|"&amp;(COUNTIFS($A$2:$A2681,$A2681,$E$2:$E2681,"INFRUCTUEUX")+COUNTIFS($A$2:$A2681,$A2681,$E$2:$E2681,"ANNULE")),""))</f>
        <v/>
      </c>
    </row>
    <row r="2682">
      <c r="A2682">
        <f>IF(ISBLANK('ENGAGEMENTS 2026'!C2682),"",IF('ENGAGEMENTS 2026'!C2682="DTSI","DCT",'ENGAGEMENTS 2026'!C2682))</f>
        <v/>
      </c>
      <c r="B2682">
        <f>IF(ISBLANK('ENGAGEMENTS 2026'!C2682),"",'ENGAGEMENTS 2026'!D2682)</f>
        <v/>
      </c>
      <c r="C2682">
        <f>IF(ISBLANK('ENGAGEMENTS 2026'!C2682),"",'ENGAGEMENTS 2026'!E2682)</f>
        <v/>
      </c>
      <c r="D2682">
        <f>IF(ISBLANK('ENGAGEMENTS 2026'!C2682),"",'ENGAGEMENTS 2026'!G2682)</f>
        <v/>
      </c>
      <c r="E2682">
        <f>IF(ISBLANK('ENGAGEMENTS 2026'!C2682),"",'ENGAGEMENTS 2026'!I2682)</f>
        <v/>
      </c>
      <c r="F2682">
        <f>IF(ISBLANK('ENGAGEMENTS 2026'!C2682),"",'ENGAGEMENTS 2026'!J2682)</f>
        <v/>
      </c>
      <c r="G2682">
        <f>IF(ISBLANK('ENGAGEMENTS 2026'!C2682),"",'ENGAGEMENTS 2026'!M2682)</f>
        <v/>
      </c>
      <c r="H2682">
        <f>IF(ISBLANK('ENGAGEMENTS 2026'!C2682),"",'ENGAGEMENTS 2026'!AF2682)</f>
        <v/>
      </c>
      <c r="I2682">
        <f>IF(ISBLANK('ENGAGEMENTS 2026'!C2682),"",'ENGAGEMENTS 2026'!H2682)</f>
        <v/>
      </c>
      <c r="J2682" s="275">
        <f>IF(ISBLANK('ENGAGEMENTS 2026'!C2682),"",IF(AND(OR($E2682="INFRUCTUEUX",$E2682="ANNULE"),$C2682="AOO-M"),'ENGAGEMENTS 2026'!P2682,IF($H2682="EN COURS DE PREENGAGEMENT",'ENGAGEMENTS 2026'!O2682,IF($H2682="PREENGAGE",IF($E2682="ATTRIBUE",'ENGAGEMENTS 2026'!AE2682,'ENGAGEMENTS 2026'!O2682),'ENGAGEMENTS 2026'!AE2682))))</f>
        <v/>
      </c>
      <c r="K2682" s="604">
        <f>IF(ISBLANK('ENGAGEMENTS 2026'!W2682),"",'ENGAGEMENTS 2026'!W2682)</f>
        <v/>
      </c>
      <c r="L2682" s="276">
        <f>IF($K2682="","",TODAY()-$K2682)</f>
        <v/>
      </c>
      <c r="M2682">
        <f>IF($A2682="","",IF($H2682="ENGAGE","Engagé",IF(AND($H2682="NON ENGAGE",OR($I2682="INFRUCTUEUX",$I2682="ANNULE")),"Clôturé sans suite","En cours")))</f>
        <v/>
      </c>
      <c r="N2682">
        <f>IF(ISBLANK('ENGAGEMENTS 2026'!C2682),"",'ENGAGEMENTS 2026'!L2682)</f>
        <v/>
      </c>
      <c r="O2682">
        <f>IF(ISBLANK('ENGAGEMENTS 2026'!C2682),"",'ENGAGEMENTS 2026'!M2682)</f>
        <v/>
      </c>
      <c r="P2682">
        <f>IF(ISBLANK('ENGAGEMENTS 2026'!C2682),"",'ENGAGEMENTS 2026'!K2682)</f>
        <v/>
      </c>
      <c r="Q2682">
        <f>IF($A2682="","",IF(OR($E2682="INFRUCTUEUX",$E2682="ANNULE"),$A2682&amp;"|"&amp;(COUNTIFS($A$2:$A2682,$A2682,$E$2:$E2682,"INFRUCTUEUX")+COUNTIFS($A$2:$A2682,$A2682,$E$2:$E2682,"ANNULE")),""))</f>
        <v/>
      </c>
    </row>
    <row r="2683">
      <c r="A2683">
        <f>IF(ISBLANK('ENGAGEMENTS 2026'!C2683),"",IF('ENGAGEMENTS 2026'!C2683="DTSI","DCT",'ENGAGEMENTS 2026'!C2683))</f>
        <v/>
      </c>
      <c r="B2683">
        <f>IF(ISBLANK('ENGAGEMENTS 2026'!C2683),"",'ENGAGEMENTS 2026'!D2683)</f>
        <v/>
      </c>
      <c r="C2683">
        <f>IF(ISBLANK('ENGAGEMENTS 2026'!C2683),"",'ENGAGEMENTS 2026'!E2683)</f>
        <v/>
      </c>
      <c r="D2683">
        <f>IF(ISBLANK('ENGAGEMENTS 2026'!C2683),"",'ENGAGEMENTS 2026'!G2683)</f>
        <v/>
      </c>
      <c r="E2683">
        <f>IF(ISBLANK('ENGAGEMENTS 2026'!C2683),"",'ENGAGEMENTS 2026'!I2683)</f>
        <v/>
      </c>
      <c r="F2683">
        <f>IF(ISBLANK('ENGAGEMENTS 2026'!C2683),"",'ENGAGEMENTS 2026'!J2683)</f>
        <v/>
      </c>
      <c r="G2683">
        <f>IF(ISBLANK('ENGAGEMENTS 2026'!C2683),"",'ENGAGEMENTS 2026'!M2683)</f>
        <v/>
      </c>
      <c r="H2683">
        <f>IF(ISBLANK('ENGAGEMENTS 2026'!C2683),"",'ENGAGEMENTS 2026'!AF2683)</f>
        <v/>
      </c>
      <c r="I2683">
        <f>IF(ISBLANK('ENGAGEMENTS 2026'!C2683),"",'ENGAGEMENTS 2026'!H2683)</f>
        <v/>
      </c>
      <c r="J2683" s="275">
        <f>IF(ISBLANK('ENGAGEMENTS 2026'!C2683),"",IF(AND(OR($E2683="INFRUCTUEUX",$E2683="ANNULE"),$C2683="AOO-M"),'ENGAGEMENTS 2026'!P2683,IF($H2683="EN COURS DE PREENGAGEMENT",'ENGAGEMENTS 2026'!O2683,IF($H2683="PREENGAGE",IF($E2683="ATTRIBUE",'ENGAGEMENTS 2026'!AE2683,'ENGAGEMENTS 2026'!O2683),'ENGAGEMENTS 2026'!AE2683))))</f>
        <v/>
      </c>
      <c r="K2683" s="604">
        <f>IF(ISBLANK('ENGAGEMENTS 2026'!W2683),"",'ENGAGEMENTS 2026'!W2683)</f>
        <v/>
      </c>
      <c r="L2683" s="276">
        <f>IF($K2683="","",TODAY()-$K2683)</f>
        <v/>
      </c>
      <c r="M2683">
        <f>IF($A2683="","",IF($H2683="ENGAGE","Engagé",IF(AND($H2683="NON ENGAGE",OR($I2683="INFRUCTUEUX",$I2683="ANNULE")),"Clôturé sans suite","En cours")))</f>
        <v/>
      </c>
      <c r="N2683">
        <f>IF(ISBLANK('ENGAGEMENTS 2026'!C2683),"",'ENGAGEMENTS 2026'!L2683)</f>
        <v/>
      </c>
      <c r="O2683">
        <f>IF(ISBLANK('ENGAGEMENTS 2026'!C2683),"",'ENGAGEMENTS 2026'!M2683)</f>
        <v/>
      </c>
      <c r="P2683">
        <f>IF(ISBLANK('ENGAGEMENTS 2026'!C2683),"",'ENGAGEMENTS 2026'!K2683)</f>
        <v/>
      </c>
      <c r="Q2683">
        <f>IF($A2683="","",IF(OR($E2683="INFRUCTUEUX",$E2683="ANNULE"),$A2683&amp;"|"&amp;(COUNTIFS($A$2:$A2683,$A2683,$E$2:$E2683,"INFRUCTUEUX")+COUNTIFS($A$2:$A2683,$A2683,$E$2:$E2683,"ANNULE")),""))</f>
        <v/>
      </c>
    </row>
    <row r="2684">
      <c r="A2684">
        <f>IF(ISBLANK('ENGAGEMENTS 2026'!C2684),"",IF('ENGAGEMENTS 2026'!C2684="DTSI","DCT",'ENGAGEMENTS 2026'!C2684))</f>
        <v/>
      </c>
      <c r="B2684">
        <f>IF(ISBLANK('ENGAGEMENTS 2026'!C2684),"",'ENGAGEMENTS 2026'!D2684)</f>
        <v/>
      </c>
      <c r="C2684">
        <f>IF(ISBLANK('ENGAGEMENTS 2026'!C2684),"",'ENGAGEMENTS 2026'!E2684)</f>
        <v/>
      </c>
      <c r="D2684">
        <f>IF(ISBLANK('ENGAGEMENTS 2026'!C2684),"",'ENGAGEMENTS 2026'!G2684)</f>
        <v/>
      </c>
      <c r="E2684">
        <f>IF(ISBLANK('ENGAGEMENTS 2026'!C2684),"",'ENGAGEMENTS 2026'!I2684)</f>
        <v/>
      </c>
      <c r="F2684">
        <f>IF(ISBLANK('ENGAGEMENTS 2026'!C2684),"",'ENGAGEMENTS 2026'!J2684)</f>
        <v/>
      </c>
      <c r="G2684">
        <f>IF(ISBLANK('ENGAGEMENTS 2026'!C2684),"",'ENGAGEMENTS 2026'!M2684)</f>
        <v/>
      </c>
      <c r="H2684">
        <f>IF(ISBLANK('ENGAGEMENTS 2026'!C2684),"",'ENGAGEMENTS 2026'!AF2684)</f>
        <v/>
      </c>
      <c r="I2684">
        <f>IF(ISBLANK('ENGAGEMENTS 2026'!C2684),"",'ENGAGEMENTS 2026'!H2684)</f>
        <v/>
      </c>
      <c r="J2684" s="275">
        <f>IF(ISBLANK('ENGAGEMENTS 2026'!C2684),"",IF(AND(OR($E2684="INFRUCTUEUX",$E2684="ANNULE"),$C2684="AOO-M"),'ENGAGEMENTS 2026'!P2684,IF($H2684="EN COURS DE PREENGAGEMENT",'ENGAGEMENTS 2026'!O2684,IF($H2684="PREENGAGE",IF($E2684="ATTRIBUE",'ENGAGEMENTS 2026'!AE2684,'ENGAGEMENTS 2026'!O2684),'ENGAGEMENTS 2026'!AE2684))))</f>
        <v/>
      </c>
      <c r="K2684" s="604">
        <f>IF(ISBLANK('ENGAGEMENTS 2026'!W2684),"",'ENGAGEMENTS 2026'!W2684)</f>
        <v/>
      </c>
      <c r="L2684" s="276">
        <f>IF($K2684="","",TODAY()-$K2684)</f>
        <v/>
      </c>
      <c r="M2684">
        <f>IF($A2684="","",IF($H2684="ENGAGE","Engagé",IF(AND($H2684="NON ENGAGE",OR($I2684="INFRUCTUEUX",$I2684="ANNULE")),"Clôturé sans suite","En cours")))</f>
        <v/>
      </c>
      <c r="N2684">
        <f>IF(ISBLANK('ENGAGEMENTS 2026'!C2684),"",'ENGAGEMENTS 2026'!L2684)</f>
        <v/>
      </c>
      <c r="O2684">
        <f>IF(ISBLANK('ENGAGEMENTS 2026'!C2684),"",'ENGAGEMENTS 2026'!M2684)</f>
        <v/>
      </c>
      <c r="P2684">
        <f>IF(ISBLANK('ENGAGEMENTS 2026'!C2684),"",'ENGAGEMENTS 2026'!K2684)</f>
        <v/>
      </c>
      <c r="Q2684">
        <f>IF($A2684="","",IF(OR($E2684="INFRUCTUEUX",$E2684="ANNULE"),$A2684&amp;"|"&amp;(COUNTIFS($A$2:$A2684,$A2684,$E$2:$E2684,"INFRUCTUEUX")+COUNTIFS($A$2:$A2684,$A2684,$E$2:$E2684,"ANNULE")),""))</f>
        <v/>
      </c>
    </row>
    <row r="2685">
      <c r="A2685">
        <f>IF(ISBLANK('ENGAGEMENTS 2026'!C2685),"",IF('ENGAGEMENTS 2026'!C2685="DTSI","DCT",'ENGAGEMENTS 2026'!C2685))</f>
        <v/>
      </c>
      <c r="B2685">
        <f>IF(ISBLANK('ENGAGEMENTS 2026'!C2685),"",'ENGAGEMENTS 2026'!D2685)</f>
        <v/>
      </c>
      <c r="C2685">
        <f>IF(ISBLANK('ENGAGEMENTS 2026'!C2685),"",'ENGAGEMENTS 2026'!E2685)</f>
        <v/>
      </c>
      <c r="D2685">
        <f>IF(ISBLANK('ENGAGEMENTS 2026'!C2685),"",'ENGAGEMENTS 2026'!G2685)</f>
        <v/>
      </c>
      <c r="E2685">
        <f>IF(ISBLANK('ENGAGEMENTS 2026'!C2685),"",'ENGAGEMENTS 2026'!I2685)</f>
        <v/>
      </c>
      <c r="F2685">
        <f>IF(ISBLANK('ENGAGEMENTS 2026'!C2685),"",'ENGAGEMENTS 2026'!J2685)</f>
        <v/>
      </c>
      <c r="G2685">
        <f>IF(ISBLANK('ENGAGEMENTS 2026'!C2685),"",'ENGAGEMENTS 2026'!M2685)</f>
        <v/>
      </c>
      <c r="H2685">
        <f>IF(ISBLANK('ENGAGEMENTS 2026'!C2685),"",'ENGAGEMENTS 2026'!AF2685)</f>
        <v/>
      </c>
      <c r="I2685">
        <f>IF(ISBLANK('ENGAGEMENTS 2026'!C2685),"",'ENGAGEMENTS 2026'!H2685)</f>
        <v/>
      </c>
      <c r="J2685" s="275">
        <f>IF(ISBLANK('ENGAGEMENTS 2026'!C2685),"",IF(AND(OR($E2685="INFRUCTUEUX",$E2685="ANNULE"),$C2685="AOO-M"),'ENGAGEMENTS 2026'!P2685,IF($H2685="EN COURS DE PREENGAGEMENT",'ENGAGEMENTS 2026'!O2685,IF($H2685="PREENGAGE",IF($E2685="ATTRIBUE",'ENGAGEMENTS 2026'!AE2685,'ENGAGEMENTS 2026'!O2685),'ENGAGEMENTS 2026'!AE2685))))</f>
        <v/>
      </c>
      <c r="K2685" s="604">
        <f>IF(ISBLANK('ENGAGEMENTS 2026'!W2685),"",'ENGAGEMENTS 2026'!W2685)</f>
        <v/>
      </c>
      <c r="L2685" s="276">
        <f>IF($K2685="","",TODAY()-$K2685)</f>
        <v/>
      </c>
      <c r="M2685">
        <f>IF($A2685="","",IF($H2685="ENGAGE","Engagé",IF(AND($H2685="NON ENGAGE",OR($I2685="INFRUCTUEUX",$I2685="ANNULE")),"Clôturé sans suite","En cours")))</f>
        <v/>
      </c>
      <c r="N2685">
        <f>IF(ISBLANK('ENGAGEMENTS 2026'!C2685),"",'ENGAGEMENTS 2026'!L2685)</f>
        <v/>
      </c>
      <c r="O2685">
        <f>IF(ISBLANK('ENGAGEMENTS 2026'!C2685),"",'ENGAGEMENTS 2026'!M2685)</f>
        <v/>
      </c>
      <c r="P2685">
        <f>IF(ISBLANK('ENGAGEMENTS 2026'!C2685),"",'ENGAGEMENTS 2026'!K2685)</f>
        <v/>
      </c>
      <c r="Q2685">
        <f>IF($A2685="","",IF(OR($E2685="INFRUCTUEUX",$E2685="ANNULE"),$A2685&amp;"|"&amp;(COUNTIFS($A$2:$A2685,$A2685,$E$2:$E2685,"INFRUCTUEUX")+COUNTIFS($A$2:$A2685,$A2685,$E$2:$E2685,"ANNULE")),""))</f>
        <v/>
      </c>
    </row>
    <row r="2686">
      <c r="A2686">
        <f>IF(ISBLANK('ENGAGEMENTS 2026'!C2686),"",IF('ENGAGEMENTS 2026'!C2686="DTSI","DCT",'ENGAGEMENTS 2026'!C2686))</f>
        <v/>
      </c>
      <c r="B2686">
        <f>IF(ISBLANK('ENGAGEMENTS 2026'!C2686),"",'ENGAGEMENTS 2026'!D2686)</f>
        <v/>
      </c>
      <c r="C2686">
        <f>IF(ISBLANK('ENGAGEMENTS 2026'!C2686),"",'ENGAGEMENTS 2026'!E2686)</f>
        <v/>
      </c>
      <c r="D2686">
        <f>IF(ISBLANK('ENGAGEMENTS 2026'!C2686),"",'ENGAGEMENTS 2026'!G2686)</f>
        <v/>
      </c>
      <c r="E2686">
        <f>IF(ISBLANK('ENGAGEMENTS 2026'!C2686),"",'ENGAGEMENTS 2026'!I2686)</f>
        <v/>
      </c>
      <c r="F2686">
        <f>IF(ISBLANK('ENGAGEMENTS 2026'!C2686),"",'ENGAGEMENTS 2026'!J2686)</f>
        <v/>
      </c>
      <c r="G2686">
        <f>IF(ISBLANK('ENGAGEMENTS 2026'!C2686),"",'ENGAGEMENTS 2026'!M2686)</f>
        <v/>
      </c>
      <c r="H2686">
        <f>IF(ISBLANK('ENGAGEMENTS 2026'!C2686),"",'ENGAGEMENTS 2026'!AF2686)</f>
        <v/>
      </c>
      <c r="I2686">
        <f>IF(ISBLANK('ENGAGEMENTS 2026'!C2686),"",'ENGAGEMENTS 2026'!H2686)</f>
        <v/>
      </c>
      <c r="J2686" s="275">
        <f>IF(ISBLANK('ENGAGEMENTS 2026'!C2686),"",IF(AND(OR($E2686="INFRUCTUEUX",$E2686="ANNULE"),$C2686="AOO-M"),'ENGAGEMENTS 2026'!P2686,IF($H2686="EN COURS DE PREENGAGEMENT",'ENGAGEMENTS 2026'!O2686,IF($H2686="PREENGAGE",IF($E2686="ATTRIBUE",'ENGAGEMENTS 2026'!AE2686,'ENGAGEMENTS 2026'!O2686),'ENGAGEMENTS 2026'!AE2686))))</f>
        <v/>
      </c>
      <c r="K2686" s="604">
        <f>IF(ISBLANK('ENGAGEMENTS 2026'!W2686),"",'ENGAGEMENTS 2026'!W2686)</f>
        <v/>
      </c>
      <c r="L2686" s="276">
        <f>IF($K2686="","",TODAY()-$K2686)</f>
        <v/>
      </c>
      <c r="M2686">
        <f>IF($A2686="","",IF($H2686="ENGAGE","Engagé",IF(AND($H2686="NON ENGAGE",OR($I2686="INFRUCTUEUX",$I2686="ANNULE")),"Clôturé sans suite","En cours")))</f>
        <v/>
      </c>
      <c r="N2686">
        <f>IF(ISBLANK('ENGAGEMENTS 2026'!C2686),"",'ENGAGEMENTS 2026'!L2686)</f>
        <v/>
      </c>
      <c r="O2686">
        <f>IF(ISBLANK('ENGAGEMENTS 2026'!C2686),"",'ENGAGEMENTS 2026'!M2686)</f>
        <v/>
      </c>
      <c r="P2686">
        <f>IF(ISBLANK('ENGAGEMENTS 2026'!C2686),"",'ENGAGEMENTS 2026'!K2686)</f>
        <v/>
      </c>
      <c r="Q2686">
        <f>IF($A2686="","",IF(OR($E2686="INFRUCTUEUX",$E2686="ANNULE"),$A2686&amp;"|"&amp;(COUNTIFS($A$2:$A2686,$A2686,$E$2:$E2686,"INFRUCTUEUX")+COUNTIFS($A$2:$A2686,$A2686,$E$2:$E2686,"ANNULE")),""))</f>
        <v/>
      </c>
    </row>
    <row r="2687">
      <c r="A2687">
        <f>IF(ISBLANK('ENGAGEMENTS 2026'!C2687),"",IF('ENGAGEMENTS 2026'!C2687="DTSI","DCT",'ENGAGEMENTS 2026'!C2687))</f>
        <v/>
      </c>
      <c r="B2687">
        <f>IF(ISBLANK('ENGAGEMENTS 2026'!C2687),"",'ENGAGEMENTS 2026'!D2687)</f>
        <v/>
      </c>
      <c r="C2687">
        <f>IF(ISBLANK('ENGAGEMENTS 2026'!C2687),"",'ENGAGEMENTS 2026'!E2687)</f>
        <v/>
      </c>
      <c r="D2687">
        <f>IF(ISBLANK('ENGAGEMENTS 2026'!C2687),"",'ENGAGEMENTS 2026'!G2687)</f>
        <v/>
      </c>
      <c r="E2687">
        <f>IF(ISBLANK('ENGAGEMENTS 2026'!C2687),"",'ENGAGEMENTS 2026'!I2687)</f>
        <v/>
      </c>
      <c r="F2687">
        <f>IF(ISBLANK('ENGAGEMENTS 2026'!C2687),"",'ENGAGEMENTS 2026'!J2687)</f>
        <v/>
      </c>
      <c r="G2687">
        <f>IF(ISBLANK('ENGAGEMENTS 2026'!C2687),"",'ENGAGEMENTS 2026'!M2687)</f>
        <v/>
      </c>
      <c r="H2687">
        <f>IF(ISBLANK('ENGAGEMENTS 2026'!C2687),"",'ENGAGEMENTS 2026'!AF2687)</f>
        <v/>
      </c>
      <c r="I2687">
        <f>IF(ISBLANK('ENGAGEMENTS 2026'!C2687),"",'ENGAGEMENTS 2026'!H2687)</f>
        <v/>
      </c>
      <c r="J2687" s="275">
        <f>IF(ISBLANK('ENGAGEMENTS 2026'!C2687),"",IF(AND(OR($E2687="INFRUCTUEUX",$E2687="ANNULE"),$C2687="AOO-M"),'ENGAGEMENTS 2026'!P2687,IF($H2687="EN COURS DE PREENGAGEMENT",'ENGAGEMENTS 2026'!O2687,IF($H2687="PREENGAGE",IF($E2687="ATTRIBUE",'ENGAGEMENTS 2026'!AE2687,'ENGAGEMENTS 2026'!O2687),'ENGAGEMENTS 2026'!AE2687))))</f>
        <v/>
      </c>
      <c r="K2687" s="604">
        <f>IF(ISBLANK('ENGAGEMENTS 2026'!W2687),"",'ENGAGEMENTS 2026'!W2687)</f>
        <v/>
      </c>
      <c r="L2687" s="276">
        <f>IF($K2687="","",TODAY()-$K2687)</f>
        <v/>
      </c>
      <c r="M2687">
        <f>IF($A2687="","",IF($H2687="ENGAGE","Engagé",IF(AND($H2687="NON ENGAGE",OR($I2687="INFRUCTUEUX",$I2687="ANNULE")),"Clôturé sans suite","En cours")))</f>
        <v/>
      </c>
      <c r="N2687">
        <f>IF(ISBLANK('ENGAGEMENTS 2026'!C2687),"",'ENGAGEMENTS 2026'!L2687)</f>
        <v/>
      </c>
      <c r="O2687">
        <f>IF(ISBLANK('ENGAGEMENTS 2026'!C2687),"",'ENGAGEMENTS 2026'!M2687)</f>
        <v/>
      </c>
      <c r="P2687">
        <f>IF(ISBLANK('ENGAGEMENTS 2026'!C2687),"",'ENGAGEMENTS 2026'!K2687)</f>
        <v/>
      </c>
      <c r="Q2687">
        <f>IF($A2687="","",IF(OR($E2687="INFRUCTUEUX",$E2687="ANNULE"),$A2687&amp;"|"&amp;(COUNTIFS($A$2:$A2687,$A2687,$E$2:$E2687,"INFRUCTUEUX")+COUNTIFS($A$2:$A2687,$A2687,$E$2:$E2687,"ANNULE")),""))</f>
        <v/>
      </c>
    </row>
    <row r="2688">
      <c r="A2688">
        <f>IF(ISBLANK('ENGAGEMENTS 2026'!C2688),"",IF('ENGAGEMENTS 2026'!C2688="DTSI","DCT",'ENGAGEMENTS 2026'!C2688))</f>
        <v/>
      </c>
      <c r="B2688">
        <f>IF(ISBLANK('ENGAGEMENTS 2026'!C2688),"",'ENGAGEMENTS 2026'!D2688)</f>
        <v/>
      </c>
      <c r="C2688">
        <f>IF(ISBLANK('ENGAGEMENTS 2026'!C2688),"",'ENGAGEMENTS 2026'!E2688)</f>
        <v/>
      </c>
      <c r="D2688">
        <f>IF(ISBLANK('ENGAGEMENTS 2026'!C2688),"",'ENGAGEMENTS 2026'!G2688)</f>
        <v/>
      </c>
      <c r="E2688">
        <f>IF(ISBLANK('ENGAGEMENTS 2026'!C2688),"",'ENGAGEMENTS 2026'!I2688)</f>
        <v/>
      </c>
      <c r="F2688">
        <f>IF(ISBLANK('ENGAGEMENTS 2026'!C2688),"",'ENGAGEMENTS 2026'!J2688)</f>
        <v/>
      </c>
      <c r="G2688">
        <f>IF(ISBLANK('ENGAGEMENTS 2026'!C2688),"",'ENGAGEMENTS 2026'!M2688)</f>
        <v/>
      </c>
      <c r="H2688">
        <f>IF(ISBLANK('ENGAGEMENTS 2026'!C2688),"",'ENGAGEMENTS 2026'!AF2688)</f>
        <v/>
      </c>
      <c r="I2688">
        <f>IF(ISBLANK('ENGAGEMENTS 2026'!C2688),"",'ENGAGEMENTS 2026'!H2688)</f>
        <v/>
      </c>
      <c r="J2688" s="275">
        <f>IF(ISBLANK('ENGAGEMENTS 2026'!C2688),"",IF(AND(OR($E2688="INFRUCTUEUX",$E2688="ANNULE"),$C2688="AOO-M"),'ENGAGEMENTS 2026'!P2688,IF($H2688="EN COURS DE PREENGAGEMENT",'ENGAGEMENTS 2026'!O2688,IF($H2688="PREENGAGE",IF($E2688="ATTRIBUE",'ENGAGEMENTS 2026'!AE2688,'ENGAGEMENTS 2026'!O2688),'ENGAGEMENTS 2026'!AE2688))))</f>
        <v/>
      </c>
      <c r="K2688" s="604">
        <f>IF(ISBLANK('ENGAGEMENTS 2026'!W2688),"",'ENGAGEMENTS 2026'!W2688)</f>
        <v/>
      </c>
      <c r="L2688" s="276">
        <f>IF($K2688="","",TODAY()-$K2688)</f>
        <v/>
      </c>
      <c r="M2688">
        <f>IF($A2688="","",IF($H2688="ENGAGE","Engagé",IF(AND($H2688="NON ENGAGE",OR($I2688="INFRUCTUEUX",$I2688="ANNULE")),"Clôturé sans suite","En cours")))</f>
        <v/>
      </c>
      <c r="N2688">
        <f>IF(ISBLANK('ENGAGEMENTS 2026'!C2688),"",'ENGAGEMENTS 2026'!L2688)</f>
        <v/>
      </c>
      <c r="O2688">
        <f>IF(ISBLANK('ENGAGEMENTS 2026'!C2688),"",'ENGAGEMENTS 2026'!M2688)</f>
        <v/>
      </c>
      <c r="P2688">
        <f>IF(ISBLANK('ENGAGEMENTS 2026'!C2688),"",'ENGAGEMENTS 2026'!K2688)</f>
        <v/>
      </c>
      <c r="Q2688">
        <f>IF($A2688="","",IF(OR($E2688="INFRUCTUEUX",$E2688="ANNULE"),$A2688&amp;"|"&amp;(COUNTIFS($A$2:$A2688,$A2688,$E$2:$E2688,"INFRUCTUEUX")+COUNTIFS($A$2:$A2688,$A2688,$E$2:$E2688,"ANNULE")),""))</f>
        <v/>
      </c>
    </row>
    <row r="2689">
      <c r="A2689">
        <f>IF(ISBLANK('ENGAGEMENTS 2026'!C2689),"",IF('ENGAGEMENTS 2026'!C2689="DTSI","DCT",'ENGAGEMENTS 2026'!C2689))</f>
        <v/>
      </c>
      <c r="B2689">
        <f>IF(ISBLANK('ENGAGEMENTS 2026'!C2689),"",'ENGAGEMENTS 2026'!D2689)</f>
        <v/>
      </c>
      <c r="C2689">
        <f>IF(ISBLANK('ENGAGEMENTS 2026'!C2689),"",'ENGAGEMENTS 2026'!E2689)</f>
        <v/>
      </c>
      <c r="D2689">
        <f>IF(ISBLANK('ENGAGEMENTS 2026'!C2689),"",'ENGAGEMENTS 2026'!G2689)</f>
        <v/>
      </c>
      <c r="E2689">
        <f>IF(ISBLANK('ENGAGEMENTS 2026'!C2689),"",'ENGAGEMENTS 2026'!I2689)</f>
        <v/>
      </c>
      <c r="F2689">
        <f>IF(ISBLANK('ENGAGEMENTS 2026'!C2689),"",'ENGAGEMENTS 2026'!J2689)</f>
        <v/>
      </c>
      <c r="G2689">
        <f>IF(ISBLANK('ENGAGEMENTS 2026'!C2689),"",'ENGAGEMENTS 2026'!M2689)</f>
        <v/>
      </c>
      <c r="H2689">
        <f>IF(ISBLANK('ENGAGEMENTS 2026'!C2689),"",'ENGAGEMENTS 2026'!AF2689)</f>
        <v/>
      </c>
      <c r="I2689">
        <f>IF(ISBLANK('ENGAGEMENTS 2026'!C2689),"",'ENGAGEMENTS 2026'!H2689)</f>
        <v/>
      </c>
      <c r="J2689" s="275">
        <f>IF(ISBLANK('ENGAGEMENTS 2026'!C2689),"",IF(AND(OR($E2689="INFRUCTUEUX",$E2689="ANNULE"),$C2689="AOO-M"),'ENGAGEMENTS 2026'!P2689,IF($H2689="EN COURS DE PREENGAGEMENT",'ENGAGEMENTS 2026'!O2689,IF($H2689="PREENGAGE",IF($E2689="ATTRIBUE",'ENGAGEMENTS 2026'!AE2689,'ENGAGEMENTS 2026'!O2689),'ENGAGEMENTS 2026'!AE2689))))</f>
        <v/>
      </c>
      <c r="K2689" s="604">
        <f>IF(ISBLANK('ENGAGEMENTS 2026'!W2689),"",'ENGAGEMENTS 2026'!W2689)</f>
        <v/>
      </c>
      <c r="L2689" s="276">
        <f>IF($K2689="","",TODAY()-$K2689)</f>
        <v/>
      </c>
      <c r="M2689">
        <f>IF($A2689="","",IF($H2689="ENGAGE","Engagé",IF(AND($H2689="NON ENGAGE",OR($I2689="INFRUCTUEUX",$I2689="ANNULE")),"Clôturé sans suite","En cours")))</f>
        <v/>
      </c>
      <c r="N2689">
        <f>IF(ISBLANK('ENGAGEMENTS 2026'!C2689),"",'ENGAGEMENTS 2026'!L2689)</f>
        <v/>
      </c>
      <c r="O2689">
        <f>IF(ISBLANK('ENGAGEMENTS 2026'!C2689),"",'ENGAGEMENTS 2026'!M2689)</f>
        <v/>
      </c>
      <c r="P2689">
        <f>IF(ISBLANK('ENGAGEMENTS 2026'!C2689),"",'ENGAGEMENTS 2026'!K2689)</f>
        <v/>
      </c>
      <c r="Q2689">
        <f>IF($A2689="","",IF(OR($E2689="INFRUCTUEUX",$E2689="ANNULE"),$A2689&amp;"|"&amp;(COUNTIFS($A$2:$A2689,$A2689,$E$2:$E2689,"INFRUCTUEUX")+COUNTIFS($A$2:$A2689,$A2689,$E$2:$E2689,"ANNULE")),""))</f>
        <v/>
      </c>
    </row>
    <row r="2690">
      <c r="A2690">
        <f>IF(ISBLANK('ENGAGEMENTS 2026'!C2690),"",IF('ENGAGEMENTS 2026'!C2690="DTSI","DCT",'ENGAGEMENTS 2026'!C2690))</f>
        <v/>
      </c>
      <c r="B2690">
        <f>IF(ISBLANK('ENGAGEMENTS 2026'!C2690),"",'ENGAGEMENTS 2026'!D2690)</f>
        <v/>
      </c>
      <c r="C2690">
        <f>IF(ISBLANK('ENGAGEMENTS 2026'!C2690),"",'ENGAGEMENTS 2026'!E2690)</f>
        <v/>
      </c>
      <c r="D2690">
        <f>IF(ISBLANK('ENGAGEMENTS 2026'!C2690),"",'ENGAGEMENTS 2026'!G2690)</f>
        <v/>
      </c>
      <c r="E2690">
        <f>IF(ISBLANK('ENGAGEMENTS 2026'!C2690),"",'ENGAGEMENTS 2026'!I2690)</f>
        <v/>
      </c>
      <c r="F2690">
        <f>IF(ISBLANK('ENGAGEMENTS 2026'!C2690),"",'ENGAGEMENTS 2026'!J2690)</f>
        <v/>
      </c>
      <c r="G2690">
        <f>IF(ISBLANK('ENGAGEMENTS 2026'!C2690),"",'ENGAGEMENTS 2026'!M2690)</f>
        <v/>
      </c>
      <c r="H2690">
        <f>IF(ISBLANK('ENGAGEMENTS 2026'!C2690),"",'ENGAGEMENTS 2026'!AF2690)</f>
        <v/>
      </c>
      <c r="I2690">
        <f>IF(ISBLANK('ENGAGEMENTS 2026'!C2690),"",'ENGAGEMENTS 2026'!H2690)</f>
        <v/>
      </c>
      <c r="J2690" s="275">
        <f>IF(ISBLANK('ENGAGEMENTS 2026'!C2690),"",IF(AND(OR($E2690="INFRUCTUEUX",$E2690="ANNULE"),$C2690="AOO-M"),'ENGAGEMENTS 2026'!P2690,IF($H2690="EN COURS DE PREENGAGEMENT",'ENGAGEMENTS 2026'!O2690,IF($H2690="PREENGAGE",IF($E2690="ATTRIBUE",'ENGAGEMENTS 2026'!AE2690,'ENGAGEMENTS 2026'!O2690),'ENGAGEMENTS 2026'!AE2690))))</f>
        <v/>
      </c>
      <c r="K2690" s="604">
        <f>IF(ISBLANK('ENGAGEMENTS 2026'!W2690),"",'ENGAGEMENTS 2026'!W2690)</f>
        <v/>
      </c>
      <c r="L2690" s="276">
        <f>IF($K2690="","",TODAY()-$K2690)</f>
        <v/>
      </c>
      <c r="M2690">
        <f>IF($A2690="","",IF($H2690="ENGAGE","Engagé",IF(AND($H2690="NON ENGAGE",OR($I2690="INFRUCTUEUX",$I2690="ANNULE")),"Clôturé sans suite","En cours")))</f>
        <v/>
      </c>
      <c r="N2690">
        <f>IF(ISBLANK('ENGAGEMENTS 2026'!C2690),"",'ENGAGEMENTS 2026'!L2690)</f>
        <v/>
      </c>
      <c r="O2690">
        <f>IF(ISBLANK('ENGAGEMENTS 2026'!C2690),"",'ENGAGEMENTS 2026'!M2690)</f>
        <v/>
      </c>
      <c r="P2690">
        <f>IF(ISBLANK('ENGAGEMENTS 2026'!C2690),"",'ENGAGEMENTS 2026'!K2690)</f>
        <v/>
      </c>
      <c r="Q2690">
        <f>IF($A2690="","",IF(OR($E2690="INFRUCTUEUX",$E2690="ANNULE"),$A2690&amp;"|"&amp;(COUNTIFS($A$2:$A2690,$A2690,$E$2:$E2690,"INFRUCTUEUX")+COUNTIFS($A$2:$A2690,$A2690,$E$2:$E2690,"ANNULE")),""))</f>
        <v/>
      </c>
    </row>
    <row r="2691">
      <c r="A2691">
        <f>IF(ISBLANK('ENGAGEMENTS 2026'!C2691),"",IF('ENGAGEMENTS 2026'!C2691="DTSI","DCT",'ENGAGEMENTS 2026'!C2691))</f>
        <v/>
      </c>
      <c r="B2691">
        <f>IF(ISBLANK('ENGAGEMENTS 2026'!C2691),"",'ENGAGEMENTS 2026'!D2691)</f>
        <v/>
      </c>
      <c r="C2691">
        <f>IF(ISBLANK('ENGAGEMENTS 2026'!C2691),"",'ENGAGEMENTS 2026'!E2691)</f>
        <v/>
      </c>
      <c r="D2691">
        <f>IF(ISBLANK('ENGAGEMENTS 2026'!C2691),"",'ENGAGEMENTS 2026'!G2691)</f>
        <v/>
      </c>
      <c r="E2691">
        <f>IF(ISBLANK('ENGAGEMENTS 2026'!C2691),"",'ENGAGEMENTS 2026'!I2691)</f>
        <v/>
      </c>
      <c r="F2691">
        <f>IF(ISBLANK('ENGAGEMENTS 2026'!C2691),"",'ENGAGEMENTS 2026'!J2691)</f>
        <v/>
      </c>
      <c r="G2691">
        <f>IF(ISBLANK('ENGAGEMENTS 2026'!C2691),"",'ENGAGEMENTS 2026'!M2691)</f>
        <v/>
      </c>
      <c r="H2691">
        <f>IF(ISBLANK('ENGAGEMENTS 2026'!C2691),"",'ENGAGEMENTS 2026'!AF2691)</f>
        <v/>
      </c>
      <c r="I2691">
        <f>IF(ISBLANK('ENGAGEMENTS 2026'!C2691),"",'ENGAGEMENTS 2026'!H2691)</f>
        <v/>
      </c>
      <c r="J2691" s="275">
        <f>IF(ISBLANK('ENGAGEMENTS 2026'!C2691),"",IF(AND(OR($E2691="INFRUCTUEUX",$E2691="ANNULE"),$C2691="AOO-M"),'ENGAGEMENTS 2026'!P2691,IF($H2691="EN COURS DE PREENGAGEMENT",'ENGAGEMENTS 2026'!O2691,IF($H2691="PREENGAGE",IF($E2691="ATTRIBUE",'ENGAGEMENTS 2026'!AE2691,'ENGAGEMENTS 2026'!O2691),'ENGAGEMENTS 2026'!AE2691))))</f>
        <v/>
      </c>
      <c r="K2691" s="604">
        <f>IF(ISBLANK('ENGAGEMENTS 2026'!W2691),"",'ENGAGEMENTS 2026'!W2691)</f>
        <v/>
      </c>
      <c r="L2691" s="276">
        <f>IF($K2691="","",TODAY()-$K2691)</f>
        <v/>
      </c>
      <c r="M2691">
        <f>IF($A2691="","",IF($H2691="ENGAGE","Engagé",IF(AND($H2691="NON ENGAGE",OR($I2691="INFRUCTUEUX",$I2691="ANNULE")),"Clôturé sans suite","En cours")))</f>
        <v/>
      </c>
      <c r="N2691">
        <f>IF(ISBLANK('ENGAGEMENTS 2026'!C2691),"",'ENGAGEMENTS 2026'!L2691)</f>
        <v/>
      </c>
      <c r="O2691">
        <f>IF(ISBLANK('ENGAGEMENTS 2026'!C2691),"",'ENGAGEMENTS 2026'!M2691)</f>
        <v/>
      </c>
      <c r="P2691">
        <f>IF(ISBLANK('ENGAGEMENTS 2026'!C2691),"",'ENGAGEMENTS 2026'!K2691)</f>
        <v/>
      </c>
      <c r="Q2691">
        <f>IF($A2691="","",IF(OR($E2691="INFRUCTUEUX",$E2691="ANNULE"),$A2691&amp;"|"&amp;(COUNTIFS($A$2:$A2691,$A2691,$E$2:$E2691,"INFRUCTUEUX")+COUNTIFS($A$2:$A2691,$A2691,$E$2:$E2691,"ANNULE")),""))</f>
        <v/>
      </c>
    </row>
    <row r="2692">
      <c r="A2692">
        <f>IF(ISBLANK('ENGAGEMENTS 2026'!C2692),"",IF('ENGAGEMENTS 2026'!C2692="DTSI","DCT",'ENGAGEMENTS 2026'!C2692))</f>
        <v/>
      </c>
      <c r="B2692">
        <f>IF(ISBLANK('ENGAGEMENTS 2026'!C2692),"",'ENGAGEMENTS 2026'!D2692)</f>
        <v/>
      </c>
      <c r="C2692">
        <f>IF(ISBLANK('ENGAGEMENTS 2026'!C2692),"",'ENGAGEMENTS 2026'!E2692)</f>
        <v/>
      </c>
      <c r="D2692">
        <f>IF(ISBLANK('ENGAGEMENTS 2026'!C2692),"",'ENGAGEMENTS 2026'!G2692)</f>
        <v/>
      </c>
      <c r="E2692">
        <f>IF(ISBLANK('ENGAGEMENTS 2026'!C2692),"",'ENGAGEMENTS 2026'!I2692)</f>
        <v/>
      </c>
      <c r="F2692">
        <f>IF(ISBLANK('ENGAGEMENTS 2026'!C2692),"",'ENGAGEMENTS 2026'!J2692)</f>
        <v/>
      </c>
      <c r="G2692">
        <f>IF(ISBLANK('ENGAGEMENTS 2026'!C2692),"",'ENGAGEMENTS 2026'!M2692)</f>
        <v/>
      </c>
      <c r="H2692">
        <f>IF(ISBLANK('ENGAGEMENTS 2026'!C2692),"",'ENGAGEMENTS 2026'!AF2692)</f>
        <v/>
      </c>
      <c r="I2692">
        <f>IF(ISBLANK('ENGAGEMENTS 2026'!C2692),"",'ENGAGEMENTS 2026'!H2692)</f>
        <v/>
      </c>
      <c r="J2692" s="275">
        <f>IF(ISBLANK('ENGAGEMENTS 2026'!C2692),"",IF(AND(OR($E2692="INFRUCTUEUX",$E2692="ANNULE"),$C2692="AOO-M"),'ENGAGEMENTS 2026'!P2692,IF($H2692="EN COURS DE PREENGAGEMENT",'ENGAGEMENTS 2026'!O2692,IF($H2692="PREENGAGE",IF($E2692="ATTRIBUE",'ENGAGEMENTS 2026'!AE2692,'ENGAGEMENTS 2026'!O2692),'ENGAGEMENTS 2026'!AE2692))))</f>
        <v/>
      </c>
      <c r="K2692" s="604">
        <f>IF(ISBLANK('ENGAGEMENTS 2026'!W2692),"",'ENGAGEMENTS 2026'!W2692)</f>
        <v/>
      </c>
      <c r="L2692" s="276">
        <f>IF($K2692="","",TODAY()-$K2692)</f>
        <v/>
      </c>
      <c r="M2692">
        <f>IF($A2692="","",IF($H2692="ENGAGE","Engagé",IF(AND($H2692="NON ENGAGE",OR($I2692="INFRUCTUEUX",$I2692="ANNULE")),"Clôturé sans suite","En cours")))</f>
        <v/>
      </c>
      <c r="N2692">
        <f>IF(ISBLANK('ENGAGEMENTS 2026'!C2692),"",'ENGAGEMENTS 2026'!L2692)</f>
        <v/>
      </c>
      <c r="O2692">
        <f>IF(ISBLANK('ENGAGEMENTS 2026'!C2692),"",'ENGAGEMENTS 2026'!M2692)</f>
        <v/>
      </c>
      <c r="P2692">
        <f>IF(ISBLANK('ENGAGEMENTS 2026'!C2692),"",'ENGAGEMENTS 2026'!K2692)</f>
        <v/>
      </c>
      <c r="Q2692">
        <f>IF($A2692="","",IF(OR($E2692="INFRUCTUEUX",$E2692="ANNULE"),$A2692&amp;"|"&amp;(COUNTIFS($A$2:$A2692,$A2692,$E$2:$E2692,"INFRUCTUEUX")+COUNTIFS($A$2:$A2692,$A2692,$E$2:$E2692,"ANNULE")),""))</f>
        <v/>
      </c>
    </row>
    <row r="2693">
      <c r="A2693">
        <f>IF(ISBLANK('ENGAGEMENTS 2026'!C2693),"",IF('ENGAGEMENTS 2026'!C2693="DTSI","DCT",'ENGAGEMENTS 2026'!C2693))</f>
        <v/>
      </c>
      <c r="B2693">
        <f>IF(ISBLANK('ENGAGEMENTS 2026'!C2693),"",'ENGAGEMENTS 2026'!D2693)</f>
        <v/>
      </c>
      <c r="C2693">
        <f>IF(ISBLANK('ENGAGEMENTS 2026'!C2693),"",'ENGAGEMENTS 2026'!E2693)</f>
        <v/>
      </c>
      <c r="D2693">
        <f>IF(ISBLANK('ENGAGEMENTS 2026'!C2693),"",'ENGAGEMENTS 2026'!G2693)</f>
        <v/>
      </c>
      <c r="E2693">
        <f>IF(ISBLANK('ENGAGEMENTS 2026'!C2693),"",'ENGAGEMENTS 2026'!I2693)</f>
        <v/>
      </c>
      <c r="F2693">
        <f>IF(ISBLANK('ENGAGEMENTS 2026'!C2693),"",'ENGAGEMENTS 2026'!J2693)</f>
        <v/>
      </c>
      <c r="G2693">
        <f>IF(ISBLANK('ENGAGEMENTS 2026'!C2693),"",'ENGAGEMENTS 2026'!M2693)</f>
        <v/>
      </c>
      <c r="H2693">
        <f>IF(ISBLANK('ENGAGEMENTS 2026'!C2693),"",'ENGAGEMENTS 2026'!AF2693)</f>
        <v/>
      </c>
      <c r="I2693">
        <f>IF(ISBLANK('ENGAGEMENTS 2026'!C2693),"",'ENGAGEMENTS 2026'!H2693)</f>
        <v/>
      </c>
      <c r="J2693" s="275">
        <f>IF(ISBLANK('ENGAGEMENTS 2026'!C2693),"",IF(AND(OR($E2693="INFRUCTUEUX",$E2693="ANNULE"),$C2693="AOO-M"),'ENGAGEMENTS 2026'!P2693,IF($H2693="EN COURS DE PREENGAGEMENT",'ENGAGEMENTS 2026'!O2693,IF($H2693="PREENGAGE",IF($E2693="ATTRIBUE",'ENGAGEMENTS 2026'!AE2693,'ENGAGEMENTS 2026'!O2693),'ENGAGEMENTS 2026'!AE2693))))</f>
        <v/>
      </c>
      <c r="K2693" s="604">
        <f>IF(ISBLANK('ENGAGEMENTS 2026'!W2693),"",'ENGAGEMENTS 2026'!W2693)</f>
        <v/>
      </c>
      <c r="L2693" s="276">
        <f>IF($K2693="","",TODAY()-$K2693)</f>
        <v/>
      </c>
      <c r="M2693">
        <f>IF($A2693="","",IF($H2693="ENGAGE","Engagé",IF(AND($H2693="NON ENGAGE",OR($I2693="INFRUCTUEUX",$I2693="ANNULE")),"Clôturé sans suite","En cours")))</f>
        <v/>
      </c>
      <c r="N2693">
        <f>IF(ISBLANK('ENGAGEMENTS 2026'!C2693),"",'ENGAGEMENTS 2026'!L2693)</f>
        <v/>
      </c>
      <c r="O2693">
        <f>IF(ISBLANK('ENGAGEMENTS 2026'!C2693),"",'ENGAGEMENTS 2026'!M2693)</f>
        <v/>
      </c>
      <c r="P2693">
        <f>IF(ISBLANK('ENGAGEMENTS 2026'!C2693),"",'ENGAGEMENTS 2026'!K2693)</f>
        <v/>
      </c>
      <c r="Q2693">
        <f>IF($A2693="","",IF(OR($E2693="INFRUCTUEUX",$E2693="ANNULE"),$A2693&amp;"|"&amp;(COUNTIFS($A$2:$A2693,$A2693,$E$2:$E2693,"INFRUCTUEUX")+COUNTIFS($A$2:$A2693,$A2693,$E$2:$E2693,"ANNULE")),""))</f>
        <v/>
      </c>
    </row>
    <row r="2694">
      <c r="A2694">
        <f>IF(ISBLANK('ENGAGEMENTS 2026'!C2694),"",IF('ENGAGEMENTS 2026'!C2694="DTSI","DCT",'ENGAGEMENTS 2026'!C2694))</f>
        <v/>
      </c>
      <c r="B2694">
        <f>IF(ISBLANK('ENGAGEMENTS 2026'!C2694),"",'ENGAGEMENTS 2026'!D2694)</f>
        <v/>
      </c>
      <c r="C2694">
        <f>IF(ISBLANK('ENGAGEMENTS 2026'!C2694),"",'ENGAGEMENTS 2026'!E2694)</f>
        <v/>
      </c>
      <c r="D2694">
        <f>IF(ISBLANK('ENGAGEMENTS 2026'!C2694),"",'ENGAGEMENTS 2026'!G2694)</f>
        <v/>
      </c>
      <c r="E2694">
        <f>IF(ISBLANK('ENGAGEMENTS 2026'!C2694),"",'ENGAGEMENTS 2026'!I2694)</f>
        <v/>
      </c>
      <c r="F2694">
        <f>IF(ISBLANK('ENGAGEMENTS 2026'!C2694),"",'ENGAGEMENTS 2026'!J2694)</f>
        <v/>
      </c>
      <c r="G2694">
        <f>IF(ISBLANK('ENGAGEMENTS 2026'!C2694),"",'ENGAGEMENTS 2026'!M2694)</f>
        <v/>
      </c>
      <c r="H2694">
        <f>IF(ISBLANK('ENGAGEMENTS 2026'!C2694),"",'ENGAGEMENTS 2026'!AF2694)</f>
        <v/>
      </c>
      <c r="I2694">
        <f>IF(ISBLANK('ENGAGEMENTS 2026'!C2694),"",'ENGAGEMENTS 2026'!H2694)</f>
        <v/>
      </c>
      <c r="J2694" s="275">
        <f>IF(ISBLANK('ENGAGEMENTS 2026'!C2694),"",IF(AND(OR($E2694="INFRUCTUEUX",$E2694="ANNULE"),$C2694="AOO-M"),'ENGAGEMENTS 2026'!P2694,IF($H2694="EN COURS DE PREENGAGEMENT",'ENGAGEMENTS 2026'!O2694,IF($H2694="PREENGAGE",IF($E2694="ATTRIBUE",'ENGAGEMENTS 2026'!AE2694,'ENGAGEMENTS 2026'!O2694),'ENGAGEMENTS 2026'!AE2694))))</f>
        <v/>
      </c>
      <c r="K2694" s="604">
        <f>IF(ISBLANK('ENGAGEMENTS 2026'!W2694),"",'ENGAGEMENTS 2026'!W2694)</f>
        <v/>
      </c>
      <c r="L2694" s="276">
        <f>IF($K2694="","",TODAY()-$K2694)</f>
        <v/>
      </c>
      <c r="M2694">
        <f>IF($A2694="","",IF($H2694="ENGAGE","Engagé",IF(AND($H2694="NON ENGAGE",OR($I2694="INFRUCTUEUX",$I2694="ANNULE")),"Clôturé sans suite","En cours")))</f>
        <v/>
      </c>
      <c r="N2694">
        <f>IF(ISBLANK('ENGAGEMENTS 2026'!C2694),"",'ENGAGEMENTS 2026'!L2694)</f>
        <v/>
      </c>
      <c r="O2694">
        <f>IF(ISBLANK('ENGAGEMENTS 2026'!C2694),"",'ENGAGEMENTS 2026'!M2694)</f>
        <v/>
      </c>
      <c r="P2694">
        <f>IF(ISBLANK('ENGAGEMENTS 2026'!C2694),"",'ENGAGEMENTS 2026'!K2694)</f>
        <v/>
      </c>
      <c r="Q2694">
        <f>IF($A2694="","",IF(OR($E2694="INFRUCTUEUX",$E2694="ANNULE"),$A2694&amp;"|"&amp;(COUNTIFS($A$2:$A2694,$A2694,$E$2:$E2694,"INFRUCTUEUX")+COUNTIFS($A$2:$A2694,$A2694,$E$2:$E2694,"ANNULE")),""))</f>
        <v/>
      </c>
    </row>
    <row r="2695">
      <c r="A2695">
        <f>IF(ISBLANK('ENGAGEMENTS 2026'!C2695),"",IF('ENGAGEMENTS 2026'!C2695="DTSI","DCT",'ENGAGEMENTS 2026'!C2695))</f>
        <v/>
      </c>
      <c r="B2695">
        <f>IF(ISBLANK('ENGAGEMENTS 2026'!C2695),"",'ENGAGEMENTS 2026'!D2695)</f>
        <v/>
      </c>
      <c r="C2695">
        <f>IF(ISBLANK('ENGAGEMENTS 2026'!C2695),"",'ENGAGEMENTS 2026'!E2695)</f>
        <v/>
      </c>
      <c r="D2695">
        <f>IF(ISBLANK('ENGAGEMENTS 2026'!C2695),"",'ENGAGEMENTS 2026'!G2695)</f>
        <v/>
      </c>
      <c r="E2695">
        <f>IF(ISBLANK('ENGAGEMENTS 2026'!C2695),"",'ENGAGEMENTS 2026'!I2695)</f>
        <v/>
      </c>
      <c r="F2695">
        <f>IF(ISBLANK('ENGAGEMENTS 2026'!C2695),"",'ENGAGEMENTS 2026'!J2695)</f>
        <v/>
      </c>
      <c r="G2695">
        <f>IF(ISBLANK('ENGAGEMENTS 2026'!C2695),"",'ENGAGEMENTS 2026'!M2695)</f>
        <v/>
      </c>
      <c r="H2695">
        <f>IF(ISBLANK('ENGAGEMENTS 2026'!C2695),"",'ENGAGEMENTS 2026'!AF2695)</f>
        <v/>
      </c>
      <c r="I2695">
        <f>IF(ISBLANK('ENGAGEMENTS 2026'!C2695),"",'ENGAGEMENTS 2026'!H2695)</f>
        <v/>
      </c>
      <c r="J2695" s="275">
        <f>IF(ISBLANK('ENGAGEMENTS 2026'!C2695),"",IF(AND(OR($E2695="INFRUCTUEUX",$E2695="ANNULE"),$C2695="AOO-M"),'ENGAGEMENTS 2026'!P2695,IF($H2695="EN COURS DE PREENGAGEMENT",'ENGAGEMENTS 2026'!O2695,IF($H2695="PREENGAGE",IF($E2695="ATTRIBUE",'ENGAGEMENTS 2026'!AE2695,'ENGAGEMENTS 2026'!O2695),'ENGAGEMENTS 2026'!AE2695))))</f>
        <v/>
      </c>
      <c r="K2695" s="604">
        <f>IF(ISBLANK('ENGAGEMENTS 2026'!W2695),"",'ENGAGEMENTS 2026'!W2695)</f>
        <v/>
      </c>
      <c r="L2695" s="276">
        <f>IF($K2695="","",TODAY()-$K2695)</f>
        <v/>
      </c>
      <c r="M2695">
        <f>IF($A2695="","",IF($H2695="ENGAGE","Engagé",IF(AND($H2695="NON ENGAGE",OR($I2695="INFRUCTUEUX",$I2695="ANNULE")),"Clôturé sans suite","En cours")))</f>
        <v/>
      </c>
      <c r="N2695">
        <f>IF(ISBLANK('ENGAGEMENTS 2026'!C2695),"",'ENGAGEMENTS 2026'!L2695)</f>
        <v/>
      </c>
      <c r="O2695">
        <f>IF(ISBLANK('ENGAGEMENTS 2026'!C2695),"",'ENGAGEMENTS 2026'!M2695)</f>
        <v/>
      </c>
      <c r="P2695">
        <f>IF(ISBLANK('ENGAGEMENTS 2026'!C2695),"",'ENGAGEMENTS 2026'!K2695)</f>
        <v/>
      </c>
      <c r="Q2695">
        <f>IF($A2695="","",IF(OR($E2695="INFRUCTUEUX",$E2695="ANNULE"),$A2695&amp;"|"&amp;(COUNTIFS($A$2:$A2695,$A2695,$E$2:$E2695,"INFRUCTUEUX")+COUNTIFS($A$2:$A2695,$A2695,$E$2:$E2695,"ANNULE")),""))</f>
        <v/>
      </c>
    </row>
    <row r="2696">
      <c r="A2696">
        <f>IF(ISBLANK('ENGAGEMENTS 2026'!C2696),"",IF('ENGAGEMENTS 2026'!C2696="DTSI","DCT",'ENGAGEMENTS 2026'!C2696))</f>
        <v/>
      </c>
      <c r="B2696">
        <f>IF(ISBLANK('ENGAGEMENTS 2026'!C2696),"",'ENGAGEMENTS 2026'!D2696)</f>
        <v/>
      </c>
      <c r="C2696">
        <f>IF(ISBLANK('ENGAGEMENTS 2026'!C2696),"",'ENGAGEMENTS 2026'!E2696)</f>
        <v/>
      </c>
      <c r="D2696">
        <f>IF(ISBLANK('ENGAGEMENTS 2026'!C2696),"",'ENGAGEMENTS 2026'!G2696)</f>
        <v/>
      </c>
      <c r="E2696">
        <f>IF(ISBLANK('ENGAGEMENTS 2026'!C2696),"",'ENGAGEMENTS 2026'!I2696)</f>
        <v/>
      </c>
      <c r="F2696">
        <f>IF(ISBLANK('ENGAGEMENTS 2026'!C2696),"",'ENGAGEMENTS 2026'!J2696)</f>
        <v/>
      </c>
      <c r="G2696">
        <f>IF(ISBLANK('ENGAGEMENTS 2026'!C2696),"",'ENGAGEMENTS 2026'!M2696)</f>
        <v/>
      </c>
      <c r="H2696">
        <f>IF(ISBLANK('ENGAGEMENTS 2026'!C2696),"",'ENGAGEMENTS 2026'!AF2696)</f>
        <v/>
      </c>
      <c r="I2696">
        <f>IF(ISBLANK('ENGAGEMENTS 2026'!C2696),"",'ENGAGEMENTS 2026'!H2696)</f>
        <v/>
      </c>
      <c r="J2696" s="275">
        <f>IF(ISBLANK('ENGAGEMENTS 2026'!C2696),"",IF(AND(OR($E2696="INFRUCTUEUX",$E2696="ANNULE"),$C2696="AOO-M"),'ENGAGEMENTS 2026'!P2696,IF($H2696="EN COURS DE PREENGAGEMENT",'ENGAGEMENTS 2026'!O2696,IF($H2696="PREENGAGE",IF($E2696="ATTRIBUE",'ENGAGEMENTS 2026'!AE2696,'ENGAGEMENTS 2026'!O2696),'ENGAGEMENTS 2026'!AE2696))))</f>
        <v/>
      </c>
      <c r="K2696" s="604">
        <f>IF(ISBLANK('ENGAGEMENTS 2026'!W2696),"",'ENGAGEMENTS 2026'!W2696)</f>
        <v/>
      </c>
      <c r="L2696" s="276">
        <f>IF($K2696="","",TODAY()-$K2696)</f>
        <v/>
      </c>
      <c r="M2696">
        <f>IF($A2696="","",IF($H2696="ENGAGE","Engagé",IF(AND($H2696="NON ENGAGE",OR($I2696="INFRUCTUEUX",$I2696="ANNULE")),"Clôturé sans suite","En cours")))</f>
        <v/>
      </c>
      <c r="N2696">
        <f>IF(ISBLANK('ENGAGEMENTS 2026'!C2696),"",'ENGAGEMENTS 2026'!L2696)</f>
        <v/>
      </c>
      <c r="O2696">
        <f>IF(ISBLANK('ENGAGEMENTS 2026'!C2696),"",'ENGAGEMENTS 2026'!M2696)</f>
        <v/>
      </c>
      <c r="P2696">
        <f>IF(ISBLANK('ENGAGEMENTS 2026'!C2696),"",'ENGAGEMENTS 2026'!K2696)</f>
        <v/>
      </c>
      <c r="Q2696">
        <f>IF($A2696="","",IF(OR($E2696="INFRUCTUEUX",$E2696="ANNULE"),$A2696&amp;"|"&amp;(COUNTIFS($A$2:$A2696,$A2696,$E$2:$E2696,"INFRUCTUEUX")+COUNTIFS($A$2:$A2696,$A2696,$E$2:$E2696,"ANNULE")),""))</f>
        <v/>
      </c>
    </row>
    <row r="2697">
      <c r="A2697">
        <f>IF(ISBLANK('ENGAGEMENTS 2026'!C2697),"",IF('ENGAGEMENTS 2026'!C2697="DTSI","DCT",'ENGAGEMENTS 2026'!C2697))</f>
        <v/>
      </c>
      <c r="B2697">
        <f>IF(ISBLANK('ENGAGEMENTS 2026'!C2697),"",'ENGAGEMENTS 2026'!D2697)</f>
        <v/>
      </c>
      <c r="C2697">
        <f>IF(ISBLANK('ENGAGEMENTS 2026'!C2697),"",'ENGAGEMENTS 2026'!E2697)</f>
        <v/>
      </c>
      <c r="D2697">
        <f>IF(ISBLANK('ENGAGEMENTS 2026'!C2697),"",'ENGAGEMENTS 2026'!G2697)</f>
        <v/>
      </c>
      <c r="E2697">
        <f>IF(ISBLANK('ENGAGEMENTS 2026'!C2697),"",'ENGAGEMENTS 2026'!I2697)</f>
        <v/>
      </c>
      <c r="F2697">
        <f>IF(ISBLANK('ENGAGEMENTS 2026'!C2697),"",'ENGAGEMENTS 2026'!J2697)</f>
        <v/>
      </c>
      <c r="G2697">
        <f>IF(ISBLANK('ENGAGEMENTS 2026'!C2697),"",'ENGAGEMENTS 2026'!M2697)</f>
        <v/>
      </c>
      <c r="H2697">
        <f>IF(ISBLANK('ENGAGEMENTS 2026'!C2697),"",'ENGAGEMENTS 2026'!AF2697)</f>
        <v/>
      </c>
      <c r="I2697">
        <f>IF(ISBLANK('ENGAGEMENTS 2026'!C2697),"",'ENGAGEMENTS 2026'!H2697)</f>
        <v/>
      </c>
      <c r="J2697" s="275">
        <f>IF(ISBLANK('ENGAGEMENTS 2026'!C2697),"",IF(AND(OR($E2697="INFRUCTUEUX",$E2697="ANNULE"),$C2697="AOO-M"),'ENGAGEMENTS 2026'!P2697,IF($H2697="EN COURS DE PREENGAGEMENT",'ENGAGEMENTS 2026'!O2697,IF($H2697="PREENGAGE",IF($E2697="ATTRIBUE",'ENGAGEMENTS 2026'!AE2697,'ENGAGEMENTS 2026'!O2697),'ENGAGEMENTS 2026'!AE2697))))</f>
        <v/>
      </c>
      <c r="K2697" s="604">
        <f>IF(ISBLANK('ENGAGEMENTS 2026'!W2697),"",'ENGAGEMENTS 2026'!W2697)</f>
        <v/>
      </c>
      <c r="L2697" s="276">
        <f>IF($K2697="","",TODAY()-$K2697)</f>
        <v/>
      </c>
      <c r="M2697">
        <f>IF($A2697="","",IF($H2697="ENGAGE","Engagé",IF(AND($H2697="NON ENGAGE",OR($I2697="INFRUCTUEUX",$I2697="ANNULE")),"Clôturé sans suite","En cours")))</f>
        <v/>
      </c>
      <c r="N2697">
        <f>IF(ISBLANK('ENGAGEMENTS 2026'!C2697),"",'ENGAGEMENTS 2026'!L2697)</f>
        <v/>
      </c>
      <c r="O2697">
        <f>IF(ISBLANK('ENGAGEMENTS 2026'!C2697),"",'ENGAGEMENTS 2026'!M2697)</f>
        <v/>
      </c>
      <c r="P2697">
        <f>IF(ISBLANK('ENGAGEMENTS 2026'!C2697),"",'ENGAGEMENTS 2026'!K2697)</f>
        <v/>
      </c>
      <c r="Q2697">
        <f>IF($A2697="","",IF(OR($E2697="INFRUCTUEUX",$E2697="ANNULE"),$A2697&amp;"|"&amp;(COUNTIFS($A$2:$A2697,$A2697,$E$2:$E2697,"INFRUCTUEUX")+COUNTIFS($A$2:$A2697,$A2697,$E$2:$E2697,"ANNULE")),""))</f>
        <v/>
      </c>
    </row>
    <row r="2698">
      <c r="A2698">
        <f>IF(ISBLANK('ENGAGEMENTS 2026'!C2698),"",IF('ENGAGEMENTS 2026'!C2698="DTSI","DCT",'ENGAGEMENTS 2026'!C2698))</f>
        <v/>
      </c>
      <c r="B2698">
        <f>IF(ISBLANK('ENGAGEMENTS 2026'!C2698),"",'ENGAGEMENTS 2026'!D2698)</f>
        <v/>
      </c>
      <c r="C2698">
        <f>IF(ISBLANK('ENGAGEMENTS 2026'!C2698),"",'ENGAGEMENTS 2026'!E2698)</f>
        <v/>
      </c>
      <c r="D2698">
        <f>IF(ISBLANK('ENGAGEMENTS 2026'!C2698),"",'ENGAGEMENTS 2026'!G2698)</f>
        <v/>
      </c>
      <c r="E2698">
        <f>IF(ISBLANK('ENGAGEMENTS 2026'!C2698),"",'ENGAGEMENTS 2026'!I2698)</f>
        <v/>
      </c>
      <c r="F2698">
        <f>IF(ISBLANK('ENGAGEMENTS 2026'!C2698),"",'ENGAGEMENTS 2026'!J2698)</f>
        <v/>
      </c>
      <c r="G2698">
        <f>IF(ISBLANK('ENGAGEMENTS 2026'!C2698),"",'ENGAGEMENTS 2026'!M2698)</f>
        <v/>
      </c>
      <c r="H2698">
        <f>IF(ISBLANK('ENGAGEMENTS 2026'!C2698),"",'ENGAGEMENTS 2026'!AF2698)</f>
        <v/>
      </c>
      <c r="I2698">
        <f>IF(ISBLANK('ENGAGEMENTS 2026'!C2698),"",'ENGAGEMENTS 2026'!H2698)</f>
        <v/>
      </c>
      <c r="J2698" s="275">
        <f>IF(ISBLANK('ENGAGEMENTS 2026'!C2698),"",IF(AND(OR($E2698="INFRUCTUEUX",$E2698="ANNULE"),$C2698="AOO-M"),'ENGAGEMENTS 2026'!P2698,IF($H2698="EN COURS DE PREENGAGEMENT",'ENGAGEMENTS 2026'!O2698,IF($H2698="PREENGAGE",IF($E2698="ATTRIBUE",'ENGAGEMENTS 2026'!AE2698,'ENGAGEMENTS 2026'!O2698),'ENGAGEMENTS 2026'!AE2698))))</f>
        <v/>
      </c>
      <c r="K2698" s="604">
        <f>IF(ISBLANK('ENGAGEMENTS 2026'!W2698),"",'ENGAGEMENTS 2026'!W2698)</f>
        <v/>
      </c>
      <c r="L2698" s="276">
        <f>IF($K2698="","",TODAY()-$K2698)</f>
        <v/>
      </c>
      <c r="M2698">
        <f>IF($A2698="","",IF($H2698="ENGAGE","Engagé",IF(AND($H2698="NON ENGAGE",OR($I2698="INFRUCTUEUX",$I2698="ANNULE")),"Clôturé sans suite","En cours")))</f>
        <v/>
      </c>
      <c r="N2698">
        <f>IF(ISBLANK('ENGAGEMENTS 2026'!C2698),"",'ENGAGEMENTS 2026'!L2698)</f>
        <v/>
      </c>
      <c r="O2698">
        <f>IF(ISBLANK('ENGAGEMENTS 2026'!C2698),"",'ENGAGEMENTS 2026'!M2698)</f>
        <v/>
      </c>
      <c r="P2698">
        <f>IF(ISBLANK('ENGAGEMENTS 2026'!C2698),"",'ENGAGEMENTS 2026'!K2698)</f>
        <v/>
      </c>
      <c r="Q2698">
        <f>IF($A2698="","",IF(OR($E2698="INFRUCTUEUX",$E2698="ANNULE"),$A2698&amp;"|"&amp;(COUNTIFS($A$2:$A2698,$A2698,$E$2:$E2698,"INFRUCTUEUX")+COUNTIFS($A$2:$A2698,$A2698,$E$2:$E2698,"ANNULE")),""))</f>
        <v/>
      </c>
    </row>
    <row r="2699">
      <c r="A2699">
        <f>IF(ISBLANK('ENGAGEMENTS 2026'!C2699),"",IF('ENGAGEMENTS 2026'!C2699="DTSI","DCT",'ENGAGEMENTS 2026'!C2699))</f>
        <v/>
      </c>
      <c r="B2699">
        <f>IF(ISBLANK('ENGAGEMENTS 2026'!C2699),"",'ENGAGEMENTS 2026'!D2699)</f>
        <v/>
      </c>
      <c r="C2699">
        <f>IF(ISBLANK('ENGAGEMENTS 2026'!C2699),"",'ENGAGEMENTS 2026'!E2699)</f>
        <v/>
      </c>
      <c r="D2699">
        <f>IF(ISBLANK('ENGAGEMENTS 2026'!C2699),"",'ENGAGEMENTS 2026'!G2699)</f>
        <v/>
      </c>
      <c r="E2699">
        <f>IF(ISBLANK('ENGAGEMENTS 2026'!C2699),"",'ENGAGEMENTS 2026'!I2699)</f>
        <v/>
      </c>
      <c r="F2699">
        <f>IF(ISBLANK('ENGAGEMENTS 2026'!C2699),"",'ENGAGEMENTS 2026'!J2699)</f>
        <v/>
      </c>
      <c r="G2699">
        <f>IF(ISBLANK('ENGAGEMENTS 2026'!C2699),"",'ENGAGEMENTS 2026'!M2699)</f>
        <v/>
      </c>
      <c r="H2699">
        <f>IF(ISBLANK('ENGAGEMENTS 2026'!C2699),"",'ENGAGEMENTS 2026'!AF2699)</f>
        <v/>
      </c>
      <c r="I2699">
        <f>IF(ISBLANK('ENGAGEMENTS 2026'!C2699),"",'ENGAGEMENTS 2026'!H2699)</f>
        <v/>
      </c>
      <c r="J2699" s="275">
        <f>IF(ISBLANK('ENGAGEMENTS 2026'!C2699),"",IF(AND(OR($E2699="INFRUCTUEUX",$E2699="ANNULE"),$C2699="AOO-M"),'ENGAGEMENTS 2026'!P2699,IF($H2699="EN COURS DE PREENGAGEMENT",'ENGAGEMENTS 2026'!O2699,IF($H2699="PREENGAGE",IF($E2699="ATTRIBUE",'ENGAGEMENTS 2026'!AE2699,'ENGAGEMENTS 2026'!O2699),'ENGAGEMENTS 2026'!AE2699))))</f>
        <v/>
      </c>
      <c r="K2699" s="604">
        <f>IF(ISBLANK('ENGAGEMENTS 2026'!W2699),"",'ENGAGEMENTS 2026'!W2699)</f>
        <v/>
      </c>
      <c r="L2699" s="276">
        <f>IF($K2699="","",TODAY()-$K2699)</f>
        <v/>
      </c>
      <c r="M2699">
        <f>IF($A2699="","",IF($H2699="ENGAGE","Engagé",IF(AND($H2699="NON ENGAGE",OR($I2699="INFRUCTUEUX",$I2699="ANNULE")),"Clôturé sans suite","En cours")))</f>
        <v/>
      </c>
      <c r="N2699">
        <f>IF(ISBLANK('ENGAGEMENTS 2026'!C2699),"",'ENGAGEMENTS 2026'!L2699)</f>
        <v/>
      </c>
      <c r="O2699">
        <f>IF(ISBLANK('ENGAGEMENTS 2026'!C2699),"",'ENGAGEMENTS 2026'!M2699)</f>
        <v/>
      </c>
      <c r="P2699">
        <f>IF(ISBLANK('ENGAGEMENTS 2026'!C2699),"",'ENGAGEMENTS 2026'!K2699)</f>
        <v/>
      </c>
      <c r="Q2699">
        <f>IF($A2699="","",IF(OR($E2699="INFRUCTUEUX",$E2699="ANNULE"),$A2699&amp;"|"&amp;(COUNTIFS($A$2:$A2699,$A2699,$E$2:$E2699,"INFRUCTUEUX")+COUNTIFS($A$2:$A2699,$A2699,$E$2:$E2699,"ANNULE")),""))</f>
        <v/>
      </c>
    </row>
    <row r="2700">
      <c r="A2700">
        <f>IF(ISBLANK('ENGAGEMENTS 2026'!C2700),"",IF('ENGAGEMENTS 2026'!C2700="DTSI","DCT",'ENGAGEMENTS 2026'!C2700))</f>
        <v/>
      </c>
      <c r="B2700">
        <f>IF(ISBLANK('ENGAGEMENTS 2026'!C2700),"",'ENGAGEMENTS 2026'!D2700)</f>
        <v/>
      </c>
      <c r="C2700">
        <f>IF(ISBLANK('ENGAGEMENTS 2026'!C2700),"",'ENGAGEMENTS 2026'!E2700)</f>
        <v/>
      </c>
      <c r="D2700">
        <f>IF(ISBLANK('ENGAGEMENTS 2026'!C2700),"",'ENGAGEMENTS 2026'!G2700)</f>
        <v/>
      </c>
      <c r="E2700">
        <f>IF(ISBLANK('ENGAGEMENTS 2026'!C2700),"",'ENGAGEMENTS 2026'!I2700)</f>
        <v/>
      </c>
      <c r="F2700">
        <f>IF(ISBLANK('ENGAGEMENTS 2026'!C2700),"",'ENGAGEMENTS 2026'!J2700)</f>
        <v/>
      </c>
      <c r="G2700">
        <f>IF(ISBLANK('ENGAGEMENTS 2026'!C2700),"",'ENGAGEMENTS 2026'!M2700)</f>
        <v/>
      </c>
      <c r="H2700">
        <f>IF(ISBLANK('ENGAGEMENTS 2026'!C2700),"",'ENGAGEMENTS 2026'!AF2700)</f>
        <v/>
      </c>
      <c r="I2700">
        <f>IF(ISBLANK('ENGAGEMENTS 2026'!C2700),"",'ENGAGEMENTS 2026'!H2700)</f>
        <v/>
      </c>
      <c r="J2700" s="275">
        <f>IF(ISBLANK('ENGAGEMENTS 2026'!C2700),"",IF(AND(OR($E2700="INFRUCTUEUX",$E2700="ANNULE"),$C2700="AOO-M"),'ENGAGEMENTS 2026'!P2700,IF($H2700="EN COURS DE PREENGAGEMENT",'ENGAGEMENTS 2026'!O2700,IF($H2700="PREENGAGE",IF($E2700="ATTRIBUE",'ENGAGEMENTS 2026'!AE2700,'ENGAGEMENTS 2026'!O2700),'ENGAGEMENTS 2026'!AE2700))))</f>
        <v/>
      </c>
      <c r="K2700" s="604">
        <f>IF(ISBLANK('ENGAGEMENTS 2026'!W2700),"",'ENGAGEMENTS 2026'!W2700)</f>
        <v/>
      </c>
      <c r="L2700" s="276">
        <f>IF($K2700="","",TODAY()-$K2700)</f>
        <v/>
      </c>
      <c r="M2700">
        <f>IF($A2700="","",IF($H2700="ENGAGE","Engagé",IF(AND($H2700="NON ENGAGE",OR($I2700="INFRUCTUEUX",$I2700="ANNULE")),"Clôturé sans suite","En cours")))</f>
        <v/>
      </c>
      <c r="N2700">
        <f>IF(ISBLANK('ENGAGEMENTS 2026'!C2700),"",'ENGAGEMENTS 2026'!L2700)</f>
        <v/>
      </c>
      <c r="O2700">
        <f>IF(ISBLANK('ENGAGEMENTS 2026'!C2700),"",'ENGAGEMENTS 2026'!M2700)</f>
        <v/>
      </c>
      <c r="P2700">
        <f>IF(ISBLANK('ENGAGEMENTS 2026'!C2700),"",'ENGAGEMENTS 2026'!K2700)</f>
        <v/>
      </c>
      <c r="Q2700">
        <f>IF($A2700="","",IF(OR($E2700="INFRUCTUEUX",$E2700="ANNULE"),$A2700&amp;"|"&amp;(COUNTIFS($A$2:$A2700,$A2700,$E$2:$E2700,"INFRUCTUEUX")+COUNTIFS($A$2:$A2700,$A2700,$E$2:$E2700,"ANNULE")),""))</f>
        <v/>
      </c>
    </row>
    <row r="2701">
      <c r="A2701">
        <f>IF(ISBLANK('ENGAGEMENTS 2026'!C2701),"",IF('ENGAGEMENTS 2026'!C2701="DTSI","DCT",'ENGAGEMENTS 2026'!C2701))</f>
        <v/>
      </c>
      <c r="B2701">
        <f>IF(ISBLANK('ENGAGEMENTS 2026'!C2701),"",'ENGAGEMENTS 2026'!D2701)</f>
        <v/>
      </c>
      <c r="C2701">
        <f>IF(ISBLANK('ENGAGEMENTS 2026'!C2701),"",'ENGAGEMENTS 2026'!E2701)</f>
        <v/>
      </c>
      <c r="D2701">
        <f>IF(ISBLANK('ENGAGEMENTS 2026'!C2701),"",'ENGAGEMENTS 2026'!G2701)</f>
        <v/>
      </c>
      <c r="E2701">
        <f>IF(ISBLANK('ENGAGEMENTS 2026'!C2701),"",'ENGAGEMENTS 2026'!I2701)</f>
        <v/>
      </c>
      <c r="F2701">
        <f>IF(ISBLANK('ENGAGEMENTS 2026'!C2701),"",'ENGAGEMENTS 2026'!J2701)</f>
        <v/>
      </c>
      <c r="G2701">
        <f>IF(ISBLANK('ENGAGEMENTS 2026'!C2701),"",'ENGAGEMENTS 2026'!M2701)</f>
        <v/>
      </c>
      <c r="H2701">
        <f>IF(ISBLANK('ENGAGEMENTS 2026'!C2701),"",'ENGAGEMENTS 2026'!AF2701)</f>
        <v/>
      </c>
      <c r="I2701">
        <f>IF(ISBLANK('ENGAGEMENTS 2026'!C2701),"",'ENGAGEMENTS 2026'!H2701)</f>
        <v/>
      </c>
      <c r="J2701" s="275">
        <f>IF(ISBLANK('ENGAGEMENTS 2026'!C2701),"",IF(AND(OR($E2701="INFRUCTUEUX",$E2701="ANNULE"),$C2701="AOO-M"),'ENGAGEMENTS 2026'!P2701,IF($H2701="EN COURS DE PREENGAGEMENT",'ENGAGEMENTS 2026'!O2701,IF($H2701="PREENGAGE",IF($E2701="ATTRIBUE",'ENGAGEMENTS 2026'!AE2701,'ENGAGEMENTS 2026'!O2701),'ENGAGEMENTS 2026'!AE2701))))</f>
        <v/>
      </c>
      <c r="K2701" s="604">
        <f>IF(ISBLANK('ENGAGEMENTS 2026'!W2701),"",'ENGAGEMENTS 2026'!W2701)</f>
        <v/>
      </c>
      <c r="L2701" s="276">
        <f>IF($K2701="","",TODAY()-$K2701)</f>
        <v/>
      </c>
      <c r="M2701">
        <f>IF($A2701="","",IF($H2701="ENGAGE","Engagé",IF(AND($H2701="NON ENGAGE",OR($I2701="INFRUCTUEUX",$I2701="ANNULE")),"Clôturé sans suite","En cours")))</f>
        <v/>
      </c>
      <c r="N2701">
        <f>IF(ISBLANK('ENGAGEMENTS 2026'!C2701),"",'ENGAGEMENTS 2026'!L2701)</f>
        <v/>
      </c>
      <c r="O2701">
        <f>IF(ISBLANK('ENGAGEMENTS 2026'!C2701),"",'ENGAGEMENTS 2026'!M2701)</f>
        <v/>
      </c>
      <c r="P2701">
        <f>IF(ISBLANK('ENGAGEMENTS 2026'!C2701),"",'ENGAGEMENTS 2026'!K2701)</f>
        <v/>
      </c>
      <c r="Q2701">
        <f>IF($A2701="","",IF(OR($E2701="INFRUCTUEUX",$E2701="ANNULE"),$A2701&amp;"|"&amp;(COUNTIFS($A$2:$A2701,$A2701,$E$2:$E2701,"INFRUCTUEUX")+COUNTIFS($A$2:$A2701,$A2701,$E$2:$E2701,"ANNULE")),""))</f>
        <v/>
      </c>
    </row>
    <row r="2702">
      <c r="A2702">
        <f>IF(ISBLANK('ENGAGEMENTS 2026'!C2702),"",IF('ENGAGEMENTS 2026'!C2702="DTSI","DCT",'ENGAGEMENTS 2026'!C2702))</f>
        <v/>
      </c>
      <c r="B2702">
        <f>IF(ISBLANK('ENGAGEMENTS 2026'!C2702),"",'ENGAGEMENTS 2026'!D2702)</f>
        <v/>
      </c>
      <c r="C2702">
        <f>IF(ISBLANK('ENGAGEMENTS 2026'!C2702),"",'ENGAGEMENTS 2026'!E2702)</f>
        <v/>
      </c>
      <c r="D2702">
        <f>IF(ISBLANK('ENGAGEMENTS 2026'!C2702),"",'ENGAGEMENTS 2026'!G2702)</f>
        <v/>
      </c>
      <c r="E2702">
        <f>IF(ISBLANK('ENGAGEMENTS 2026'!C2702),"",'ENGAGEMENTS 2026'!I2702)</f>
        <v/>
      </c>
      <c r="F2702">
        <f>IF(ISBLANK('ENGAGEMENTS 2026'!C2702),"",'ENGAGEMENTS 2026'!J2702)</f>
        <v/>
      </c>
      <c r="G2702">
        <f>IF(ISBLANK('ENGAGEMENTS 2026'!C2702),"",'ENGAGEMENTS 2026'!M2702)</f>
        <v/>
      </c>
      <c r="H2702">
        <f>IF(ISBLANK('ENGAGEMENTS 2026'!C2702),"",'ENGAGEMENTS 2026'!AF2702)</f>
        <v/>
      </c>
      <c r="I2702">
        <f>IF(ISBLANK('ENGAGEMENTS 2026'!C2702),"",'ENGAGEMENTS 2026'!H2702)</f>
        <v/>
      </c>
      <c r="J2702" s="275">
        <f>IF(ISBLANK('ENGAGEMENTS 2026'!C2702),"",IF(AND(OR($E2702="INFRUCTUEUX",$E2702="ANNULE"),$C2702="AOO-M"),'ENGAGEMENTS 2026'!P2702,IF($H2702="EN COURS DE PREENGAGEMENT",'ENGAGEMENTS 2026'!O2702,IF($H2702="PREENGAGE",IF($E2702="ATTRIBUE",'ENGAGEMENTS 2026'!AE2702,'ENGAGEMENTS 2026'!O2702),'ENGAGEMENTS 2026'!AE2702))))</f>
        <v/>
      </c>
      <c r="K2702" s="604">
        <f>IF(ISBLANK('ENGAGEMENTS 2026'!W2702),"",'ENGAGEMENTS 2026'!W2702)</f>
        <v/>
      </c>
      <c r="L2702" s="276">
        <f>IF($K2702="","",TODAY()-$K2702)</f>
        <v/>
      </c>
      <c r="M2702">
        <f>IF($A2702="","",IF($H2702="ENGAGE","Engagé",IF(AND($H2702="NON ENGAGE",OR($I2702="INFRUCTUEUX",$I2702="ANNULE")),"Clôturé sans suite","En cours")))</f>
        <v/>
      </c>
      <c r="N2702">
        <f>IF(ISBLANK('ENGAGEMENTS 2026'!C2702),"",'ENGAGEMENTS 2026'!L2702)</f>
        <v/>
      </c>
      <c r="O2702">
        <f>IF(ISBLANK('ENGAGEMENTS 2026'!C2702),"",'ENGAGEMENTS 2026'!M2702)</f>
        <v/>
      </c>
      <c r="P2702">
        <f>IF(ISBLANK('ENGAGEMENTS 2026'!C2702),"",'ENGAGEMENTS 2026'!K2702)</f>
        <v/>
      </c>
      <c r="Q2702">
        <f>IF($A2702="","",IF(OR($E2702="INFRUCTUEUX",$E2702="ANNULE"),$A2702&amp;"|"&amp;(COUNTIFS($A$2:$A2702,$A2702,$E$2:$E2702,"INFRUCTUEUX")+COUNTIFS($A$2:$A2702,$A2702,$E$2:$E2702,"ANNULE")),""))</f>
        <v/>
      </c>
    </row>
    <row r="2703">
      <c r="A2703">
        <f>IF(ISBLANK('ENGAGEMENTS 2026'!C2703),"",IF('ENGAGEMENTS 2026'!C2703="DTSI","DCT",'ENGAGEMENTS 2026'!C2703))</f>
        <v/>
      </c>
      <c r="B2703">
        <f>IF(ISBLANK('ENGAGEMENTS 2026'!C2703),"",'ENGAGEMENTS 2026'!D2703)</f>
        <v/>
      </c>
      <c r="C2703">
        <f>IF(ISBLANK('ENGAGEMENTS 2026'!C2703),"",'ENGAGEMENTS 2026'!E2703)</f>
        <v/>
      </c>
      <c r="D2703">
        <f>IF(ISBLANK('ENGAGEMENTS 2026'!C2703),"",'ENGAGEMENTS 2026'!G2703)</f>
        <v/>
      </c>
      <c r="E2703">
        <f>IF(ISBLANK('ENGAGEMENTS 2026'!C2703),"",'ENGAGEMENTS 2026'!I2703)</f>
        <v/>
      </c>
      <c r="F2703">
        <f>IF(ISBLANK('ENGAGEMENTS 2026'!C2703),"",'ENGAGEMENTS 2026'!J2703)</f>
        <v/>
      </c>
      <c r="G2703">
        <f>IF(ISBLANK('ENGAGEMENTS 2026'!C2703),"",'ENGAGEMENTS 2026'!M2703)</f>
        <v/>
      </c>
      <c r="H2703">
        <f>IF(ISBLANK('ENGAGEMENTS 2026'!C2703),"",'ENGAGEMENTS 2026'!AF2703)</f>
        <v/>
      </c>
      <c r="I2703">
        <f>IF(ISBLANK('ENGAGEMENTS 2026'!C2703),"",'ENGAGEMENTS 2026'!H2703)</f>
        <v/>
      </c>
      <c r="J2703" s="275">
        <f>IF(ISBLANK('ENGAGEMENTS 2026'!C2703),"",IF(AND(OR($E2703="INFRUCTUEUX",$E2703="ANNULE"),$C2703="AOO-M"),'ENGAGEMENTS 2026'!P2703,IF($H2703="EN COURS DE PREENGAGEMENT",'ENGAGEMENTS 2026'!O2703,IF($H2703="PREENGAGE",IF($E2703="ATTRIBUE",'ENGAGEMENTS 2026'!AE2703,'ENGAGEMENTS 2026'!O2703),'ENGAGEMENTS 2026'!AE2703))))</f>
        <v/>
      </c>
      <c r="K2703" s="604">
        <f>IF(ISBLANK('ENGAGEMENTS 2026'!W2703),"",'ENGAGEMENTS 2026'!W2703)</f>
        <v/>
      </c>
      <c r="L2703" s="276">
        <f>IF($K2703="","",TODAY()-$K2703)</f>
        <v/>
      </c>
      <c r="M2703">
        <f>IF($A2703="","",IF($H2703="ENGAGE","Engagé",IF(AND($H2703="NON ENGAGE",OR($I2703="INFRUCTUEUX",$I2703="ANNULE")),"Clôturé sans suite","En cours")))</f>
        <v/>
      </c>
      <c r="N2703">
        <f>IF(ISBLANK('ENGAGEMENTS 2026'!C2703),"",'ENGAGEMENTS 2026'!L2703)</f>
        <v/>
      </c>
      <c r="O2703">
        <f>IF(ISBLANK('ENGAGEMENTS 2026'!C2703),"",'ENGAGEMENTS 2026'!M2703)</f>
        <v/>
      </c>
      <c r="P2703">
        <f>IF(ISBLANK('ENGAGEMENTS 2026'!C2703),"",'ENGAGEMENTS 2026'!K2703)</f>
        <v/>
      </c>
      <c r="Q2703">
        <f>IF($A2703="","",IF(OR($E2703="INFRUCTUEUX",$E2703="ANNULE"),$A2703&amp;"|"&amp;(COUNTIFS($A$2:$A2703,$A2703,$E$2:$E2703,"INFRUCTUEUX")+COUNTIFS($A$2:$A2703,$A2703,$E$2:$E2703,"ANNULE")),""))</f>
        <v/>
      </c>
    </row>
    <row r="2704">
      <c r="A2704">
        <f>IF(ISBLANK('ENGAGEMENTS 2026'!C2704),"",IF('ENGAGEMENTS 2026'!C2704="DTSI","DCT",'ENGAGEMENTS 2026'!C2704))</f>
        <v/>
      </c>
      <c r="B2704">
        <f>IF(ISBLANK('ENGAGEMENTS 2026'!C2704),"",'ENGAGEMENTS 2026'!D2704)</f>
        <v/>
      </c>
      <c r="C2704">
        <f>IF(ISBLANK('ENGAGEMENTS 2026'!C2704),"",'ENGAGEMENTS 2026'!E2704)</f>
        <v/>
      </c>
      <c r="D2704">
        <f>IF(ISBLANK('ENGAGEMENTS 2026'!C2704),"",'ENGAGEMENTS 2026'!G2704)</f>
        <v/>
      </c>
      <c r="E2704">
        <f>IF(ISBLANK('ENGAGEMENTS 2026'!C2704),"",'ENGAGEMENTS 2026'!I2704)</f>
        <v/>
      </c>
      <c r="F2704">
        <f>IF(ISBLANK('ENGAGEMENTS 2026'!C2704),"",'ENGAGEMENTS 2026'!J2704)</f>
        <v/>
      </c>
      <c r="G2704">
        <f>IF(ISBLANK('ENGAGEMENTS 2026'!C2704),"",'ENGAGEMENTS 2026'!M2704)</f>
        <v/>
      </c>
      <c r="H2704">
        <f>IF(ISBLANK('ENGAGEMENTS 2026'!C2704),"",'ENGAGEMENTS 2026'!AF2704)</f>
        <v/>
      </c>
      <c r="I2704">
        <f>IF(ISBLANK('ENGAGEMENTS 2026'!C2704),"",'ENGAGEMENTS 2026'!H2704)</f>
        <v/>
      </c>
      <c r="J2704" s="275">
        <f>IF(ISBLANK('ENGAGEMENTS 2026'!C2704),"",IF(AND(OR($E2704="INFRUCTUEUX",$E2704="ANNULE"),$C2704="AOO-M"),'ENGAGEMENTS 2026'!P2704,IF($H2704="EN COURS DE PREENGAGEMENT",'ENGAGEMENTS 2026'!O2704,IF($H2704="PREENGAGE",IF($E2704="ATTRIBUE",'ENGAGEMENTS 2026'!AE2704,'ENGAGEMENTS 2026'!O2704),'ENGAGEMENTS 2026'!AE2704))))</f>
        <v/>
      </c>
      <c r="K2704" s="604">
        <f>IF(ISBLANK('ENGAGEMENTS 2026'!W2704),"",'ENGAGEMENTS 2026'!W2704)</f>
        <v/>
      </c>
      <c r="L2704" s="276">
        <f>IF($K2704="","",TODAY()-$K2704)</f>
        <v/>
      </c>
      <c r="M2704">
        <f>IF($A2704="","",IF($H2704="ENGAGE","Engagé",IF(AND($H2704="NON ENGAGE",OR($I2704="INFRUCTUEUX",$I2704="ANNULE")),"Clôturé sans suite","En cours")))</f>
        <v/>
      </c>
      <c r="N2704">
        <f>IF(ISBLANK('ENGAGEMENTS 2026'!C2704),"",'ENGAGEMENTS 2026'!L2704)</f>
        <v/>
      </c>
      <c r="O2704">
        <f>IF(ISBLANK('ENGAGEMENTS 2026'!C2704),"",'ENGAGEMENTS 2026'!M2704)</f>
        <v/>
      </c>
      <c r="P2704">
        <f>IF(ISBLANK('ENGAGEMENTS 2026'!C2704),"",'ENGAGEMENTS 2026'!K2704)</f>
        <v/>
      </c>
      <c r="Q2704">
        <f>IF($A2704="","",IF(OR($E2704="INFRUCTUEUX",$E2704="ANNULE"),$A2704&amp;"|"&amp;(COUNTIFS($A$2:$A2704,$A2704,$E$2:$E2704,"INFRUCTUEUX")+COUNTIFS($A$2:$A2704,$A2704,$E$2:$E2704,"ANNULE")),""))</f>
        <v/>
      </c>
    </row>
    <row r="2705">
      <c r="A2705">
        <f>IF(ISBLANK('ENGAGEMENTS 2026'!C2705),"",IF('ENGAGEMENTS 2026'!C2705="DTSI","DCT",'ENGAGEMENTS 2026'!C2705))</f>
        <v/>
      </c>
      <c r="B2705">
        <f>IF(ISBLANK('ENGAGEMENTS 2026'!C2705),"",'ENGAGEMENTS 2026'!D2705)</f>
        <v/>
      </c>
      <c r="C2705">
        <f>IF(ISBLANK('ENGAGEMENTS 2026'!C2705),"",'ENGAGEMENTS 2026'!E2705)</f>
        <v/>
      </c>
      <c r="D2705">
        <f>IF(ISBLANK('ENGAGEMENTS 2026'!C2705),"",'ENGAGEMENTS 2026'!G2705)</f>
        <v/>
      </c>
      <c r="E2705">
        <f>IF(ISBLANK('ENGAGEMENTS 2026'!C2705),"",'ENGAGEMENTS 2026'!I2705)</f>
        <v/>
      </c>
      <c r="F2705">
        <f>IF(ISBLANK('ENGAGEMENTS 2026'!C2705),"",'ENGAGEMENTS 2026'!J2705)</f>
        <v/>
      </c>
      <c r="G2705">
        <f>IF(ISBLANK('ENGAGEMENTS 2026'!C2705),"",'ENGAGEMENTS 2026'!M2705)</f>
        <v/>
      </c>
      <c r="H2705">
        <f>IF(ISBLANK('ENGAGEMENTS 2026'!C2705),"",'ENGAGEMENTS 2026'!AF2705)</f>
        <v/>
      </c>
      <c r="I2705">
        <f>IF(ISBLANK('ENGAGEMENTS 2026'!C2705),"",'ENGAGEMENTS 2026'!H2705)</f>
        <v/>
      </c>
      <c r="J2705" s="275">
        <f>IF(ISBLANK('ENGAGEMENTS 2026'!C2705),"",IF(AND(OR($E2705="INFRUCTUEUX",$E2705="ANNULE"),$C2705="AOO-M"),'ENGAGEMENTS 2026'!P2705,IF($H2705="EN COURS DE PREENGAGEMENT",'ENGAGEMENTS 2026'!O2705,IF($H2705="PREENGAGE",IF($E2705="ATTRIBUE",'ENGAGEMENTS 2026'!AE2705,'ENGAGEMENTS 2026'!O2705),'ENGAGEMENTS 2026'!AE2705))))</f>
        <v/>
      </c>
      <c r="K2705" s="604">
        <f>IF(ISBLANK('ENGAGEMENTS 2026'!W2705),"",'ENGAGEMENTS 2026'!W2705)</f>
        <v/>
      </c>
      <c r="L2705" s="276">
        <f>IF($K2705="","",TODAY()-$K2705)</f>
        <v/>
      </c>
      <c r="M2705">
        <f>IF($A2705="","",IF($H2705="ENGAGE","Engagé",IF(AND($H2705="NON ENGAGE",OR($I2705="INFRUCTUEUX",$I2705="ANNULE")),"Clôturé sans suite","En cours")))</f>
        <v/>
      </c>
      <c r="N2705">
        <f>IF(ISBLANK('ENGAGEMENTS 2026'!C2705),"",'ENGAGEMENTS 2026'!L2705)</f>
        <v/>
      </c>
      <c r="O2705">
        <f>IF(ISBLANK('ENGAGEMENTS 2026'!C2705),"",'ENGAGEMENTS 2026'!M2705)</f>
        <v/>
      </c>
      <c r="P2705">
        <f>IF(ISBLANK('ENGAGEMENTS 2026'!C2705),"",'ENGAGEMENTS 2026'!K2705)</f>
        <v/>
      </c>
      <c r="Q2705">
        <f>IF($A2705="","",IF(OR($E2705="INFRUCTUEUX",$E2705="ANNULE"),$A2705&amp;"|"&amp;(COUNTIFS($A$2:$A2705,$A2705,$E$2:$E2705,"INFRUCTUEUX")+COUNTIFS($A$2:$A2705,$A2705,$E$2:$E2705,"ANNULE")),""))</f>
        <v/>
      </c>
    </row>
    <row r="2706">
      <c r="A2706">
        <f>IF(ISBLANK('ENGAGEMENTS 2026'!C2706),"",IF('ENGAGEMENTS 2026'!C2706="DTSI","DCT",'ENGAGEMENTS 2026'!C2706))</f>
        <v/>
      </c>
      <c r="B2706">
        <f>IF(ISBLANK('ENGAGEMENTS 2026'!C2706),"",'ENGAGEMENTS 2026'!D2706)</f>
        <v/>
      </c>
      <c r="C2706">
        <f>IF(ISBLANK('ENGAGEMENTS 2026'!C2706),"",'ENGAGEMENTS 2026'!E2706)</f>
        <v/>
      </c>
      <c r="D2706">
        <f>IF(ISBLANK('ENGAGEMENTS 2026'!C2706),"",'ENGAGEMENTS 2026'!G2706)</f>
        <v/>
      </c>
      <c r="E2706">
        <f>IF(ISBLANK('ENGAGEMENTS 2026'!C2706),"",'ENGAGEMENTS 2026'!I2706)</f>
        <v/>
      </c>
      <c r="F2706">
        <f>IF(ISBLANK('ENGAGEMENTS 2026'!C2706),"",'ENGAGEMENTS 2026'!J2706)</f>
        <v/>
      </c>
      <c r="G2706">
        <f>IF(ISBLANK('ENGAGEMENTS 2026'!C2706),"",'ENGAGEMENTS 2026'!M2706)</f>
        <v/>
      </c>
      <c r="H2706">
        <f>IF(ISBLANK('ENGAGEMENTS 2026'!C2706),"",'ENGAGEMENTS 2026'!AF2706)</f>
        <v/>
      </c>
      <c r="I2706">
        <f>IF(ISBLANK('ENGAGEMENTS 2026'!C2706),"",'ENGAGEMENTS 2026'!H2706)</f>
        <v/>
      </c>
      <c r="J2706" s="275">
        <f>IF(ISBLANK('ENGAGEMENTS 2026'!C2706),"",IF(AND(OR($E2706="INFRUCTUEUX",$E2706="ANNULE"),$C2706="AOO-M"),'ENGAGEMENTS 2026'!P2706,IF($H2706="EN COURS DE PREENGAGEMENT",'ENGAGEMENTS 2026'!O2706,IF($H2706="PREENGAGE",IF($E2706="ATTRIBUE",'ENGAGEMENTS 2026'!AE2706,'ENGAGEMENTS 2026'!O2706),'ENGAGEMENTS 2026'!AE2706))))</f>
        <v/>
      </c>
      <c r="K2706" s="604">
        <f>IF(ISBLANK('ENGAGEMENTS 2026'!W2706),"",'ENGAGEMENTS 2026'!W2706)</f>
        <v/>
      </c>
      <c r="L2706" s="276">
        <f>IF($K2706="","",TODAY()-$K2706)</f>
        <v/>
      </c>
      <c r="M2706">
        <f>IF($A2706="","",IF($H2706="ENGAGE","Engagé",IF(AND($H2706="NON ENGAGE",OR($I2706="INFRUCTUEUX",$I2706="ANNULE")),"Clôturé sans suite","En cours")))</f>
        <v/>
      </c>
      <c r="N2706">
        <f>IF(ISBLANK('ENGAGEMENTS 2026'!C2706),"",'ENGAGEMENTS 2026'!L2706)</f>
        <v/>
      </c>
      <c r="O2706">
        <f>IF(ISBLANK('ENGAGEMENTS 2026'!C2706),"",'ENGAGEMENTS 2026'!M2706)</f>
        <v/>
      </c>
      <c r="P2706">
        <f>IF(ISBLANK('ENGAGEMENTS 2026'!C2706),"",'ENGAGEMENTS 2026'!K2706)</f>
        <v/>
      </c>
      <c r="Q2706">
        <f>IF($A2706="","",IF(OR($E2706="INFRUCTUEUX",$E2706="ANNULE"),$A2706&amp;"|"&amp;(COUNTIFS($A$2:$A2706,$A2706,$E$2:$E2706,"INFRUCTUEUX")+COUNTIFS($A$2:$A2706,$A2706,$E$2:$E2706,"ANNULE")),""))</f>
        <v/>
      </c>
    </row>
    <row r="2707">
      <c r="A2707">
        <f>IF(ISBLANK('ENGAGEMENTS 2026'!C2707),"",IF('ENGAGEMENTS 2026'!C2707="DTSI","DCT",'ENGAGEMENTS 2026'!C2707))</f>
        <v/>
      </c>
      <c r="B2707">
        <f>IF(ISBLANK('ENGAGEMENTS 2026'!C2707),"",'ENGAGEMENTS 2026'!D2707)</f>
        <v/>
      </c>
      <c r="C2707">
        <f>IF(ISBLANK('ENGAGEMENTS 2026'!C2707),"",'ENGAGEMENTS 2026'!E2707)</f>
        <v/>
      </c>
      <c r="D2707">
        <f>IF(ISBLANK('ENGAGEMENTS 2026'!C2707),"",'ENGAGEMENTS 2026'!G2707)</f>
        <v/>
      </c>
      <c r="E2707">
        <f>IF(ISBLANK('ENGAGEMENTS 2026'!C2707),"",'ENGAGEMENTS 2026'!I2707)</f>
        <v/>
      </c>
      <c r="F2707">
        <f>IF(ISBLANK('ENGAGEMENTS 2026'!C2707),"",'ENGAGEMENTS 2026'!J2707)</f>
        <v/>
      </c>
      <c r="G2707">
        <f>IF(ISBLANK('ENGAGEMENTS 2026'!C2707),"",'ENGAGEMENTS 2026'!M2707)</f>
        <v/>
      </c>
      <c r="H2707">
        <f>IF(ISBLANK('ENGAGEMENTS 2026'!C2707),"",'ENGAGEMENTS 2026'!AF2707)</f>
        <v/>
      </c>
      <c r="I2707">
        <f>IF(ISBLANK('ENGAGEMENTS 2026'!C2707),"",'ENGAGEMENTS 2026'!H2707)</f>
        <v/>
      </c>
      <c r="J2707" s="275">
        <f>IF(ISBLANK('ENGAGEMENTS 2026'!C2707),"",IF(AND(OR($E2707="INFRUCTUEUX",$E2707="ANNULE"),$C2707="AOO-M"),'ENGAGEMENTS 2026'!P2707,IF($H2707="EN COURS DE PREENGAGEMENT",'ENGAGEMENTS 2026'!O2707,IF($H2707="PREENGAGE",IF($E2707="ATTRIBUE",'ENGAGEMENTS 2026'!AE2707,'ENGAGEMENTS 2026'!O2707),'ENGAGEMENTS 2026'!AE2707))))</f>
        <v/>
      </c>
      <c r="K2707" s="604">
        <f>IF(ISBLANK('ENGAGEMENTS 2026'!W2707),"",'ENGAGEMENTS 2026'!W2707)</f>
        <v/>
      </c>
      <c r="L2707" s="276">
        <f>IF($K2707="","",TODAY()-$K2707)</f>
        <v/>
      </c>
      <c r="M2707">
        <f>IF($A2707="","",IF($H2707="ENGAGE","Engagé",IF(AND($H2707="NON ENGAGE",OR($I2707="INFRUCTUEUX",$I2707="ANNULE")),"Clôturé sans suite","En cours")))</f>
        <v/>
      </c>
      <c r="N2707">
        <f>IF(ISBLANK('ENGAGEMENTS 2026'!C2707),"",'ENGAGEMENTS 2026'!L2707)</f>
        <v/>
      </c>
      <c r="O2707">
        <f>IF(ISBLANK('ENGAGEMENTS 2026'!C2707),"",'ENGAGEMENTS 2026'!M2707)</f>
        <v/>
      </c>
      <c r="P2707">
        <f>IF(ISBLANK('ENGAGEMENTS 2026'!C2707),"",'ENGAGEMENTS 2026'!K2707)</f>
        <v/>
      </c>
      <c r="Q2707">
        <f>IF($A2707="","",IF(OR($E2707="INFRUCTUEUX",$E2707="ANNULE"),$A2707&amp;"|"&amp;(COUNTIFS($A$2:$A2707,$A2707,$E$2:$E2707,"INFRUCTUEUX")+COUNTIFS($A$2:$A2707,$A2707,$E$2:$E2707,"ANNULE")),""))</f>
        <v/>
      </c>
    </row>
    <row r="2708">
      <c r="A2708">
        <f>IF(ISBLANK('ENGAGEMENTS 2026'!C2708),"",IF('ENGAGEMENTS 2026'!C2708="DTSI","DCT",'ENGAGEMENTS 2026'!C2708))</f>
        <v/>
      </c>
      <c r="B2708">
        <f>IF(ISBLANK('ENGAGEMENTS 2026'!C2708),"",'ENGAGEMENTS 2026'!D2708)</f>
        <v/>
      </c>
      <c r="C2708">
        <f>IF(ISBLANK('ENGAGEMENTS 2026'!C2708),"",'ENGAGEMENTS 2026'!E2708)</f>
        <v/>
      </c>
      <c r="D2708">
        <f>IF(ISBLANK('ENGAGEMENTS 2026'!C2708),"",'ENGAGEMENTS 2026'!G2708)</f>
        <v/>
      </c>
      <c r="E2708">
        <f>IF(ISBLANK('ENGAGEMENTS 2026'!C2708),"",'ENGAGEMENTS 2026'!I2708)</f>
        <v/>
      </c>
      <c r="F2708">
        <f>IF(ISBLANK('ENGAGEMENTS 2026'!C2708),"",'ENGAGEMENTS 2026'!J2708)</f>
        <v/>
      </c>
      <c r="G2708">
        <f>IF(ISBLANK('ENGAGEMENTS 2026'!C2708),"",'ENGAGEMENTS 2026'!M2708)</f>
        <v/>
      </c>
      <c r="H2708">
        <f>IF(ISBLANK('ENGAGEMENTS 2026'!C2708),"",'ENGAGEMENTS 2026'!AF2708)</f>
        <v/>
      </c>
      <c r="I2708">
        <f>IF(ISBLANK('ENGAGEMENTS 2026'!C2708),"",'ENGAGEMENTS 2026'!H2708)</f>
        <v/>
      </c>
      <c r="J2708" s="275">
        <f>IF(ISBLANK('ENGAGEMENTS 2026'!C2708),"",IF(AND(OR($E2708="INFRUCTUEUX",$E2708="ANNULE"),$C2708="AOO-M"),'ENGAGEMENTS 2026'!P2708,IF($H2708="EN COURS DE PREENGAGEMENT",'ENGAGEMENTS 2026'!O2708,IF($H2708="PREENGAGE",IF($E2708="ATTRIBUE",'ENGAGEMENTS 2026'!AE2708,'ENGAGEMENTS 2026'!O2708),'ENGAGEMENTS 2026'!AE2708))))</f>
        <v/>
      </c>
      <c r="K2708" s="604">
        <f>IF(ISBLANK('ENGAGEMENTS 2026'!W2708),"",'ENGAGEMENTS 2026'!W2708)</f>
        <v/>
      </c>
      <c r="L2708" s="276">
        <f>IF($K2708="","",TODAY()-$K2708)</f>
        <v/>
      </c>
      <c r="M2708">
        <f>IF($A2708="","",IF($H2708="ENGAGE","Engagé",IF(AND($H2708="NON ENGAGE",OR($I2708="INFRUCTUEUX",$I2708="ANNULE")),"Clôturé sans suite","En cours")))</f>
        <v/>
      </c>
      <c r="N2708">
        <f>IF(ISBLANK('ENGAGEMENTS 2026'!C2708),"",'ENGAGEMENTS 2026'!L2708)</f>
        <v/>
      </c>
      <c r="O2708">
        <f>IF(ISBLANK('ENGAGEMENTS 2026'!C2708),"",'ENGAGEMENTS 2026'!M2708)</f>
        <v/>
      </c>
      <c r="P2708">
        <f>IF(ISBLANK('ENGAGEMENTS 2026'!C2708),"",'ENGAGEMENTS 2026'!K2708)</f>
        <v/>
      </c>
      <c r="Q2708">
        <f>IF($A2708="","",IF(OR($E2708="INFRUCTUEUX",$E2708="ANNULE"),$A2708&amp;"|"&amp;(COUNTIFS($A$2:$A2708,$A2708,$E$2:$E2708,"INFRUCTUEUX")+COUNTIFS($A$2:$A2708,$A2708,$E$2:$E2708,"ANNULE")),""))</f>
        <v/>
      </c>
    </row>
    <row r="2709">
      <c r="A2709">
        <f>IF(ISBLANK('ENGAGEMENTS 2026'!C2709),"",IF('ENGAGEMENTS 2026'!C2709="DTSI","DCT",'ENGAGEMENTS 2026'!C2709))</f>
        <v/>
      </c>
      <c r="B2709">
        <f>IF(ISBLANK('ENGAGEMENTS 2026'!C2709),"",'ENGAGEMENTS 2026'!D2709)</f>
        <v/>
      </c>
      <c r="C2709">
        <f>IF(ISBLANK('ENGAGEMENTS 2026'!C2709),"",'ENGAGEMENTS 2026'!E2709)</f>
        <v/>
      </c>
      <c r="D2709">
        <f>IF(ISBLANK('ENGAGEMENTS 2026'!C2709),"",'ENGAGEMENTS 2026'!G2709)</f>
        <v/>
      </c>
      <c r="E2709">
        <f>IF(ISBLANK('ENGAGEMENTS 2026'!C2709),"",'ENGAGEMENTS 2026'!I2709)</f>
        <v/>
      </c>
      <c r="F2709">
        <f>IF(ISBLANK('ENGAGEMENTS 2026'!C2709),"",'ENGAGEMENTS 2026'!J2709)</f>
        <v/>
      </c>
      <c r="G2709">
        <f>IF(ISBLANK('ENGAGEMENTS 2026'!C2709),"",'ENGAGEMENTS 2026'!M2709)</f>
        <v/>
      </c>
      <c r="H2709">
        <f>IF(ISBLANK('ENGAGEMENTS 2026'!C2709),"",'ENGAGEMENTS 2026'!AF2709)</f>
        <v/>
      </c>
      <c r="I2709">
        <f>IF(ISBLANK('ENGAGEMENTS 2026'!C2709),"",'ENGAGEMENTS 2026'!H2709)</f>
        <v/>
      </c>
      <c r="J2709" s="275">
        <f>IF(ISBLANK('ENGAGEMENTS 2026'!C2709),"",IF(AND(OR($E2709="INFRUCTUEUX",$E2709="ANNULE"),$C2709="AOO-M"),'ENGAGEMENTS 2026'!P2709,IF($H2709="EN COURS DE PREENGAGEMENT",'ENGAGEMENTS 2026'!O2709,IF($H2709="PREENGAGE",IF($E2709="ATTRIBUE",'ENGAGEMENTS 2026'!AE2709,'ENGAGEMENTS 2026'!O2709),'ENGAGEMENTS 2026'!AE2709))))</f>
        <v/>
      </c>
      <c r="K2709" s="604">
        <f>IF(ISBLANK('ENGAGEMENTS 2026'!W2709),"",'ENGAGEMENTS 2026'!W2709)</f>
        <v/>
      </c>
      <c r="L2709" s="276">
        <f>IF($K2709="","",TODAY()-$K2709)</f>
        <v/>
      </c>
      <c r="M2709">
        <f>IF($A2709="","",IF($H2709="ENGAGE","Engagé",IF(AND($H2709="NON ENGAGE",OR($I2709="INFRUCTUEUX",$I2709="ANNULE")),"Clôturé sans suite","En cours")))</f>
        <v/>
      </c>
      <c r="N2709">
        <f>IF(ISBLANK('ENGAGEMENTS 2026'!C2709),"",'ENGAGEMENTS 2026'!L2709)</f>
        <v/>
      </c>
      <c r="O2709">
        <f>IF(ISBLANK('ENGAGEMENTS 2026'!C2709),"",'ENGAGEMENTS 2026'!M2709)</f>
        <v/>
      </c>
      <c r="P2709">
        <f>IF(ISBLANK('ENGAGEMENTS 2026'!C2709),"",'ENGAGEMENTS 2026'!K2709)</f>
        <v/>
      </c>
      <c r="Q2709">
        <f>IF($A2709="","",IF(OR($E2709="INFRUCTUEUX",$E2709="ANNULE"),$A2709&amp;"|"&amp;(COUNTIFS($A$2:$A2709,$A2709,$E$2:$E2709,"INFRUCTUEUX")+COUNTIFS($A$2:$A2709,$A2709,$E$2:$E2709,"ANNULE")),""))</f>
        <v/>
      </c>
    </row>
    <row r="2710">
      <c r="A2710">
        <f>IF(ISBLANK('ENGAGEMENTS 2026'!C2710),"",IF('ENGAGEMENTS 2026'!C2710="DTSI","DCT",'ENGAGEMENTS 2026'!C2710))</f>
        <v/>
      </c>
      <c r="B2710">
        <f>IF(ISBLANK('ENGAGEMENTS 2026'!C2710),"",'ENGAGEMENTS 2026'!D2710)</f>
        <v/>
      </c>
      <c r="C2710">
        <f>IF(ISBLANK('ENGAGEMENTS 2026'!C2710),"",'ENGAGEMENTS 2026'!E2710)</f>
        <v/>
      </c>
      <c r="D2710">
        <f>IF(ISBLANK('ENGAGEMENTS 2026'!C2710),"",'ENGAGEMENTS 2026'!G2710)</f>
        <v/>
      </c>
      <c r="E2710">
        <f>IF(ISBLANK('ENGAGEMENTS 2026'!C2710),"",'ENGAGEMENTS 2026'!I2710)</f>
        <v/>
      </c>
      <c r="F2710">
        <f>IF(ISBLANK('ENGAGEMENTS 2026'!C2710),"",'ENGAGEMENTS 2026'!J2710)</f>
        <v/>
      </c>
      <c r="G2710">
        <f>IF(ISBLANK('ENGAGEMENTS 2026'!C2710),"",'ENGAGEMENTS 2026'!M2710)</f>
        <v/>
      </c>
      <c r="H2710">
        <f>IF(ISBLANK('ENGAGEMENTS 2026'!C2710),"",'ENGAGEMENTS 2026'!AF2710)</f>
        <v/>
      </c>
      <c r="I2710">
        <f>IF(ISBLANK('ENGAGEMENTS 2026'!C2710),"",'ENGAGEMENTS 2026'!H2710)</f>
        <v/>
      </c>
      <c r="J2710" s="275">
        <f>IF(ISBLANK('ENGAGEMENTS 2026'!C2710),"",IF(AND(OR($E2710="INFRUCTUEUX",$E2710="ANNULE"),$C2710="AOO-M"),'ENGAGEMENTS 2026'!P2710,IF($H2710="EN COURS DE PREENGAGEMENT",'ENGAGEMENTS 2026'!O2710,IF($H2710="PREENGAGE",IF($E2710="ATTRIBUE",'ENGAGEMENTS 2026'!AE2710,'ENGAGEMENTS 2026'!O2710),'ENGAGEMENTS 2026'!AE2710))))</f>
        <v/>
      </c>
      <c r="K2710" s="604">
        <f>IF(ISBLANK('ENGAGEMENTS 2026'!W2710),"",'ENGAGEMENTS 2026'!W2710)</f>
        <v/>
      </c>
      <c r="L2710" s="276">
        <f>IF($K2710="","",TODAY()-$K2710)</f>
        <v/>
      </c>
      <c r="M2710">
        <f>IF($A2710="","",IF($H2710="ENGAGE","Engagé",IF(AND($H2710="NON ENGAGE",OR($I2710="INFRUCTUEUX",$I2710="ANNULE")),"Clôturé sans suite","En cours")))</f>
        <v/>
      </c>
      <c r="N2710">
        <f>IF(ISBLANK('ENGAGEMENTS 2026'!C2710),"",'ENGAGEMENTS 2026'!L2710)</f>
        <v/>
      </c>
      <c r="O2710">
        <f>IF(ISBLANK('ENGAGEMENTS 2026'!C2710),"",'ENGAGEMENTS 2026'!M2710)</f>
        <v/>
      </c>
      <c r="P2710">
        <f>IF(ISBLANK('ENGAGEMENTS 2026'!C2710),"",'ENGAGEMENTS 2026'!K2710)</f>
        <v/>
      </c>
      <c r="Q2710">
        <f>IF($A2710="","",IF(OR($E2710="INFRUCTUEUX",$E2710="ANNULE"),$A2710&amp;"|"&amp;(COUNTIFS($A$2:$A2710,$A2710,$E$2:$E2710,"INFRUCTUEUX")+COUNTIFS($A$2:$A2710,$A2710,$E$2:$E2710,"ANNULE")),""))</f>
        <v/>
      </c>
    </row>
    <row r="2711">
      <c r="A2711">
        <f>IF(ISBLANK('ENGAGEMENTS 2026'!C2711),"",IF('ENGAGEMENTS 2026'!C2711="DTSI","DCT",'ENGAGEMENTS 2026'!C2711))</f>
        <v/>
      </c>
      <c r="B2711">
        <f>IF(ISBLANK('ENGAGEMENTS 2026'!C2711),"",'ENGAGEMENTS 2026'!D2711)</f>
        <v/>
      </c>
      <c r="C2711">
        <f>IF(ISBLANK('ENGAGEMENTS 2026'!C2711),"",'ENGAGEMENTS 2026'!E2711)</f>
        <v/>
      </c>
      <c r="D2711">
        <f>IF(ISBLANK('ENGAGEMENTS 2026'!C2711),"",'ENGAGEMENTS 2026'!G2711)</f>
        <v/>
      </c>
      <c r="E2711">
        <f>IF(ISBLANK('ENGAGEMENTS 2026'!C2711),"",'ENGAGEMENTS 2026'!I2711)</f>
        <v/>
      </c>
      <c r="F2711">
        <f>IF(ISBLANK('ENGAGEMENTS 2026'!C2711),"",'ENGAGEMENTS 2026'!J2711)</f>
        <v/>
      </c>
      <c r="G2711">
        <f>IF(ISBLANK('ENGAGEMENTS 2026'!C2711),"",'ENGAGEMENTS 2026'!M2711)</f>
        <v/>
      </c>
      <c r="H2711">
        <f>IF(ISBLANK('ENGAGEMENTS 2026'!C2711),"",'ENGAGEMENTS 2026'!AF2711)</f>
        <v/>
      </c>
      <c r="I2711">
        <f>IF(ISBLANK('ENGAGEMENTS 2026'!C2711),"",'ENGAGEMENTS 2026'!H2711)</f>
        <v/>
      </c>
      <c r="J2711" s="275">
        <f>IF(ISBLANK('ENGAGEMENTS 2026'!C2711),"",IF(AND(OR($E2711="INFRUCTUEUX",$E2711="ANNULE"),$C2711="AOO-M"),'ENGAGEMENTS 2026'!P2711,IF($H2711="EN COURS DE PREENGAGEMENT",'ENGAGEMENTS 2026'!O2711,IF($H2711="PREENGAGE",IF($E2711="ATTRIBUE",'ENGAGEMENTS 2026'!AE2711,'ENGAGEMENTS 2026'!O2711),'ENGAGEMENTS 2026'!AE2711))))</f>
        <v/>
      </c>
      <c r="K2711" s="604">
        <f>IF(ISBLANK('ENGAGEMENTS 2026'!W2711),"",'ENGAGEMENTS 2026'!W2711)</f>
        <v/>
      </c>
      <c r="L2711" s="276">
        <f>IF($K2711="","",TODAY()-$K2711)</f>
        <v/>
      </c>
      <c r="M2711">
        <f>IF($A2711="","",IF($H2711="ENGAGE","Engagé",IF(AND($H2711="NON ENGAGE",OR($I2711="INFRUCTUEUX",$I2711="ANNULE")),"Clôturé sans suite","En cours")))</f>
        <v/>
      </c>
      <c r="N2711">
        <f>IF(ISBLANK('ENGAGEMENTS 2026'!C2711),"",'ENGAGEMENTS 2026'!L2711)</f>
        <v/>
      </c>
      <c r="O2711">
        <f>IF(ISBLANK('ENGAGEMENTS 2026'!C2711),"",'ENGAGEMENTS 2026'!M2711)</f>
        <v/>
      </c>
      <c r="P2711">
        <f>IF(ISBLANK('ENGAGEMENTS 2026'!C2711),"",'ENGAGEMENTS 2026'!K2711)</f>
        <v/>
      </c>
      <c r="Q2711">
        <f>IF($A2711="","",IF(OR($E2711="INFRUCTUEUX",$E2711="ANNULE"),$A2711&amp;"|"&amp;(COUNTIFS($A$2:$A2711,$A2711,$E$2:$E2711,"INFRUCTUEUX")+COUNTIFS($A$2:$A2711,$A2711,$E$2:$E2711,"ANNULE")),""))</f>
        <v/>
      </c>
    </row>
    <row r="2712">
      <c r="A2712">
        <f>IF(ISBLANK('ENGAGEMENTS 2026'!C2712),"",IF('ENGAGEMENTS 2026'!C2712="DTSI","DCT",'ENGAGEMENTS 2026'!C2712))</f>
        <v/>
      </c>
      <c r="B2712">
        <f>IF(ISBLANK('ENGAGEMENTS 2026'!C2712),"",'ENGAGEMENTS 2026'!D2712)</f>
        <v/>
      </c>
      <c r="C2712">
        <f>IF(ISBLANK('ENGAGEMENTS 2026'!C2712),"",'ENGAGEMENTS 2026'!E2712)</f>
        <v/>
      </c>
      <c r="D2712">
        <f>IF(ISBLANK('ENGAGEMENTS 2026'!C2712),"",'ENGAGEMENTS 2026'!G2712)</f>
        <v/>
      </c>
      <c r="E2712">
        <f>IF(ISBLANK('ENGAGEMENTS 2026'!C2712),"",'ENGAGEMENTS 2026'!I2712)</f>
        <v/>
      </c>
      <c r="F2712">
        <f>IF(ISBLANK('ENGAGEMENTS 2026'!C2712),"",'ENGAGEMENTS 2026'!J2712)</f>
        <v/>
      </c>
      <c r="G2712">
        <f>IF(ISBLANK('ENGAGEMENTS 2026'!C2712),"",'ENGAGEMENTS 2026'!M2712)</f>
        <v/>
      </c>
      <c r="H2712">
        <f>IF(ISBLANK('ENGAGEMENTS 2026'!C2712),"",'ENGAGEMENTS 2026'!AF2712)</f>
        <v/>
      </c>
      <c r="I2712">
        <f>IF(ISBLANK('ENGAGEMENTS 2026'!C2712),"",'ENGAGEMENTS 2026'!H2712)</f>
        <v/>
      </c>
      <c r="J2712" s="275">
        <f>IF(ISBLANK('ENGAGEMENTS 2026'!C2712),"",IF(AND(OR($E2712="INFRUCTUEUX",$E2712="ANNULE"),$C2712="AOO-M"),'ENGAGEMENTS 2026'!P2712,IF($H2712="EN COURS DE PREENGAGEMENT",'ENGAGEMENTS 2026'!O2712,IF($H2712="PREENGAGE",IF($E2712="ATTRIBUE",'ENGAGEMENTS 2026'!AE2712,'ENGAGEMENTS 2026'!O2712),'ENGAGEMENTS 2026'!AE2712))))</f>
        <v/>
      </c>
      <c r="K2712" s="604">
        <f>IF(ISBLANK('ENGAGEMENTS 2026'!W2712),"",'ENGAGEMENTS 2026'!W2712)</f>
        <v/>
      </c>
      <c r="L2712" s="276">
        <f>IF($K2712="","",TODAY()-$K2712)</f>
        <v/>
      </c>
      <c r="M2712">
        <f>IF($A2712="","",IF($H2712="ENGAGE","Engagé",IF(AND($H2712="NON ENGAGE",OR($I2712="INFRUCTUEUX",$I2712="ANNULE")),"Clôturé sans suite","En cours")))</f>
        <v/>
      </c>
      <c r="N2712">
        <f>IF(ISBLANK('ENGAGEMENTS 2026'!C2712),"",'ENGAGEMENTS 2026'!L2712)</f>
        <v/>
      </c>
      <c r="O2712">
        <f>IF(ISBLANK('ENGAGEMENTS 2026'!C2712),"",'ENGAGEMENTS 2026'!M2712)</f>
        <v/>
      </c>
      <c r="P2712">
        <f>IF(ISBLANK('ENGAGEMENTS 2026'!C2712),"",'ENGAGEMENTS 2026'!K2712)</f>
        <v/>
      </c>
      <c r="Q2712">
        <f>IF($A2712="","",IF(OR($E2712="INFRUCTUEUX",$E2712="ANNULE"),$A2712&amp;"|"&amp;(COUNTIFS($A$2:$A2712,$A2712,$E$2:$E2712,"INFRUCTUEUX")+COUNTIFS($A$2:$A2712,$A2712,$E$2:$E2712,"ANNULE")),""))</f>
        <v/>
      </c>
    </row>
    <row r="2713">
      <c r="A2713">
        <f>IF(ISBLANK('ENGAGEMENTS 2026'!C2713),"",IF('ENGAGEMENTS 2026'!C2713="DTSI","DCT",'ENGAGEMENTS 2026'!C2713))</f>
        <v/>
      </c>
      <c r="B2713">
        <f>IF(ISBLANK('ENGAGEMENTS 2026'!C2713),"",'ENGAGEMENTS 2026'!D2713)</f>
        <v/>
      </c>
      <c r="C2713">
        <f>IF(ISBLANK('ENGAGEMENTS 2026'!C2713),"",'ENGAGEMENTS 2026'!E2713)</f>
        <v/>
      </c>
      <c r="D2713">
        <f>IF(ISBLANK('ENGAGEMENTS 2026'!C2713),"",'ENGAGEMENTS 2026'!G2713)</f>
        <v/>
      </c>
      <c r="E2713">
        <f>IF(ISBLANK('ENGAGEMENTS 2026'!C2713),"",'ENGAGEMENTS 2026'!I2713)</f>
        <v/>
      </c>
      <c r="F2713">
        <f>IF(ISBLANK('ENGAGEMENTS 2026'!C2713),"",'ENGAGEMENTS 2026'!J2713)</f>
        <v/>
      </c>
      <c r="G2713">
        <f>IF(ISBLANK('ENGAGEMENTS 2026'!C2713),"",'ENGAGEMENTS 2026'!M2713)</f>
        <v/>
      </c>
      <c r="H2713">
        <f>IF(ISBLANK('ENGAGEMENTS 2026'!C2713),"",'ENGAGEMENTS 2026'!AF2713)</f>
        <v/>
      </c>
      <c r="I2713">
        <f>IF(ISBLANK('ENGAGEMENTS 2026'!C2713),"",'ENGAGEMENTS 2026'!H2713)</f>
        <v/>
      </c>
      <c r="J2713" s="275">
        <f>IF(ISBLANK('ENGAGEMENTS 2026'!C2713),"",IF(AND(OR($E2713="INFRUCTUEUX",$E2713="ANNULE"),$C2713="AOO-M"),'ENGAGEMENTS 2026'!P2713,IF($H2713="EN COURS DE PREENGAGEMENT",'ENGAGEMENTS 2026'!O2713,IF($H2713="PREENGAGE",IF($E2713="ATTRIBUE",'ENGAGEMENTS 2026'!AE2713,'ENGAGEMENTS 2026'!O2713),'ENGAGEMENTS 2026'!AE2713))))</f>
        <v/>
      </c>
      <c r="K2713" s="604">
        <f>IF(ISBLANK('ENGAGEMENTS 2026'!W2713),"",'ENGAGEMENTS 2026'!W2713)</f>
        <v/>
      </c>
      <c r="L2713" s="276">
        <f>IF($K2713="","",TODAY()-$K2713)</f>
        <v/>
      </c>
      <c r="M2713">
        <f>IF($A2713="","",IF($H2713="ENGAGE","Engagé",IF(AND($H2713="NON ENGAGE",OR($I2713="INFRUCTUEUX",$I2713="ANNULE")),"Clôturé sans suite","En cours")))</f>
        <v/>
      </c>
      <c r="N2713">
        <f>IF(ISBLANK('ENGAGEMENTS 2026'!C2713),"",'ENGAGEMENTS 2026'!L2713)</f>
        <v/>
      </c>
      <c r="O2713">
        <f>IF(ISBLANK('ENGAGEMENTS 2026'!C2713),"",'ENGAGEMENTS 2026'!M2713)</f>
        <v/>
      </c>
      <c r="P2713">
        <f>IF(ISBLANK('ENGAGEMENTS 2026'!C2713),"",'ENGAGEMENTS 2026'!K2713)</f>
        <v/>
      </c>
      <c r="Q2713">
        <f>IF($A2713="","",IF(OR($E2713="INFRUCTUEUX",$E2713="ANNULE"),$A2713&amp;"|"&amp;(COUNTIFS($A$2:$A2713,$A2713,$E$2:$E2713,"INFRUCTUEUX")+COUNTIFS($A$2:$A2713,$A2713,$E$2:$E2713,"ANNULE")),""))</f>
        <v/>
      </c>
    </row>
    <row r="2714">
      <c r="A2714">
        <f>IF(ISBLANK('ENGAGEMENTS 2026'!C2714),"",IF('ENGAGEMENTS 2026'!C2714="DTSI","DCT",'ENGAGEMENTS 2026'!C2714))</f>
        <v/>
      </c>
      <c r="B2714">
        <f>IF(ISBLANK('ENGAGEMENTS 2026'!C2714),"",'ENGAGEMENTS 2026'!D2714)</f>
        <v/>
      </c>
      <c r="C2714">
        <f>IF(ISBLANK('ENGAGEMENTS 2026'!C2714),"",'ENGAGEMENTS 2026'!E2714)</f>
        <v/>
      </c>
      <c r="D2714">
        <f>IF(ISBLANK('ENGAGEMENTS 2026'!C2714),"",'ENGAGEMENTS 2026'!G2714)</f>
        <v/>
      </c>
      <c r="E2714">
        <f>IF(ISBLANK('ENGAGEMENTS 2026'!C2714),"",'ENGAGEMENTS 2026'!I2714)</f>
        <v/>
      </c>
      <c r="F2714">
        <f>IF(ISBLANK('ENGAGEMENTS 2026'!C2714),"",'ENGAGEMENTS 2026'!J2714)</f>
        <v/>
      </c>
      <c r="G2714">
        <f>IF(ISBLANK('ENGAGEMENTS 2026'!C2714),"",'ENGAGEMENTS 2026'!M2714)</f>
        <v/>
      </c>
      <c r="H2714">
        <f>IF(ISBLANK('ENGAGEMENTS 2026'!C2714),"",'ENGAGEMENTS 2026'!AF2714)</f>
        <v/>
      </c>
      <c r="I2714">
        <f>IF(ISBLANK('ENGAGEMENTS 2026'!C2714),"",'ENGAGEMENTS 2026'!H2714)</f>
        <v/>
      </c>
      <c r="J2714" s="275">
        <f>IF(ISBLANK('ENGAGEMENTS 2026'!C2714),"",IF(AND(OR($E2714="INFRUCTUEUX",$E2714="ANNULE"),$C2714="AOO-M"),'ENGAGEMENTS 2026'!P2714,IF($H2714="EN COURS DE PREENGAGEMENT",'ENGAGEMENTS 2026'!O2714,IF($H2714="PREENGAGE",IF($E2714="ATTRIBUE",'ENGAGEMENTS 2026'!AE2714,'ENGAGEMENTS 2026'!O2714),'ENGAGEMENTS 2026'!AE2714))))</f>
        <v/>
      </c>
      <c r="K2714" s="604">
        <f>IF(ISBLANK('ENGAGEMENTS 2026'!W2714),"",'ENGAGEMENTS 2026'!W2714)</f>
        <v/>
      </c>
      <c r="L2714" s="276">
        <f>IF($K2714="","",TODAY()-$K2714)</f>
        <v/>
      </c>
      <c r="M2714">
        <f>IF($A2714="","",IF($H2714="ENGAGE","Engagé",IF(AND($H2714="NON ENGAGE",OR($I2714="INFRUCTUEUX",$I2714="ANNULE")),"Clôturé sans suite","En cours")))</f>
        <v/>
      </c>
      <c r="N2714">
        <f>IF(ISBLANK('ENGAGEMENTS 2026'!C2714),"",'ENGAGEMENTS 2026'!L2714)</f>
        <v/>
      </c>
      <c r="O2714">
        <f>IF(ISBLANK('ENGAGEMENTS 2026'!C2714),"",'ENGAGEMENTS 2026'!M2714)</f>
        <v/>
      </c>
      <c r="P2714">
        <f>IF(ISBLANK('ENGAGEMENTS 2026'!C2714),"",'ENGAGEMENTS 2026'!K2714)</f>
        <v/>
      </c>
      <c r="Q2714">
        <f>IF($A2714="","",IF(OR($E2714="INFRUCTUEUX",$E2714="ANNULE"),$A2714&amp;"|"&amp;(COUNTIFS($A$2:$A2714,$A2714,$E$2:$E2714,"INFRUCTUEUX")+COUNTIFS($A$2:$A2714,$A2714,$E$2:$E2714,"ANNULE")),""))</f>
        <v/>
      </c>
    </row>
    <row r="2715">
      <c r="A2715">
        <f>IF(ISBLANK('ENGAGEMENTS 2026'!C2715),"",IF('ENGAGEMENTS 2026'!C2715="DTSI","DCT",'ENGAGEMENTS 2026'!C2715))</f>
        <v/>
      </c>
      <c r="B2715">
        <f>IF(ISBLANK('ENGAGEMENTS 2026'!C2715),"",'ENGAGEMENTS 2026'!D2715)</f>
        <v/>
      </c>
      <c r="C2715">
        <f>IF(ISBLANK('ENGAGEMENTS 2026'!C2715),"",'ENGAGEMENTS 2026'!E2715)</f>
        <v/>
      </c>
      <c r="D2715">
        <f>IF(ISBLANK('ENGAGEMENTS 2026'!C2715),"",'ENGAGEMENTS 2026'!G2715)</f>
        <v/>
      </c>
      <c r="E2715">
        <f>IF(ISBLANK('ENGAGEMENTS 2026'!C2715),"",'ENGAGEMENTS 2026'!I2715)</f>
        <v/>
      </c>
      <c r="F2715">
        <f>IF(ISBLANK('ENGAGEMENTS 2026'!C2715),"",'ENGAGEMENTS 2026'!J2715)</f>
        <v/>
      </c>
      <c r="G2715">
        <f>IF(ISBLANK('ENGAGEMENTS 2026'!C2715),"",'ENGAGEMENTS 2026'!M2715)</f>
        <v/>
      </c>
      <c r="H2715">
        <f>IF(ISBLANK('ENGAGEMENTS 2026'!C2715),"",'ENGAGEMENTS 2026'!AF2715)</f>
        <v/>
      </c>
      <c r="I2715">
        <f>IF(ISBLANK('ENGAGEMENTS 2026'!C2715),"",'ENGAGEMENTS 2026'!H2715)</f>
        <v/>
      </c>
      <c r="J2715" s="275">
        <f>IF(ISBLANK('ENGAGEMENTS 2026'!C2715),"",IF(AND(OR($E2715="INFRUCTUEUX",$E2715="ANNULE"),$C2715="AOO-M"),'ENGAGEMENTS 2026'!P2715,IF($H2715="EN COURS DE PREENGAGEMENT",'ENGAGEMENTS 2026'!O2715,IF($H2715="PREENGAGE",IF($E2715="ATTRIBUE",'ENGAGEMENTS 2026'!AE2715,'ENGAGEMENTS 2026'!O2715),'ENGAGEMENTS 2026'!AE2715))))</f>
        <v/>
      </c>
      <c r="K2715" s="604">
        <f>IF(ISBLANK('ENGAGEMENTS 2026'!W2715),"",'ENGAGEMENTS 2026'!W2715)</f>
        <v/>
      </c>
      <c r="L2715" s="276">
        <f>IF($K2715="","",TODAY()-$K2715)</f>
        <v/>
      </c>
      <c r="M2715">
        <f>IF($A2715="","",IF($H2715="ENGAGE","Engagé",IF(AND($H2715="NON ENGAGE",OR($I2715="INFRUCTUEUX",$I2715="ANNULE")),"Clôturé sans suite","En cours")))</f>
        <v/>
      </c>
      <c r="N2715">
        <f>IF(ISBLANK('ENGAGEMENTS 2026'!C2715),"",'ENGAGEMENTS 2026'!L2715)</f>
        <v/>
      </c>
      <c r="O2715">
        <f>IF(ISBLANK('ENGAGEMENTS 2026'!C2715),"",'ENGAGEMENTS 2026'!M2715)</f>
        <v/>
      </c>
      <c r="P2715">
        <f>IF(ISBLANK('ENGAGEMENTS 2026'!C2715),"",'ENGAGEMENTS 2026'!K2715)</f>
        <v/>
      </c>
      <c r="Q2715">
        <f>IF($A2715="","",IF(OR($E2715="INFRUCTUEUX",$E2715="ANNULE"),$A2715&amp;"|"&amp;(COUNTIFS($A$2:$A2715,$A2715,$E$2:$E2715,"INFRUCTUEUX")+COUNTIFS($A$2:$A2715,$A2715,$E$2:$E2715,"ANNULE")),""))</f>
        <v/>
      </c>
    </row>
    <row r="2716">
      <c r="A2716">
        <f>IF(ISBLANK('ENGAGEMENTS 2026'!C2716),"",IF('ENGAGEMENTS 2026'!C2716="DTSI","DCT",'ENGAGEMENTS 2026'!C2716))</f>
        <v/>
      </c>
      <c r="B2716">
        <f>IF(ISBLANK('ENGAGEMENTS 2026'!C2716),"",'ENGAGEMENTS 2026'!D2716)</f>
        <v/>
      </c>
      <c r="C2716">
        <f>IF(ISBLANK('ENGAGEMENTS 2026'!C2716),"",'ENGAGEMENTS 2026'!E2716)</f>
        <v/>
      </c>
      <c r="D2716">
        <f>IF(ISBLANK('ENGAGEMENTS 2026'!C2716),"",'ENGAGEMENTS 2026'!G2716)</f>
        <v/>
      </c>
      <c r="E2716">
        <f>IF(ISBLANK('ENGAGEMENTS 2026'!C2716),"",'ENGAGEMENTS 2026'!I2716)</f>
        <v/>
      </c>
      <c r="F2716">
        <f>IF(ISBLANK('ENGAGEMENTS 2026'!C2716),"",'ENGAGEMENTS 2026'!J2716)</f>
        <v/>
      </c>
      <c r="G2716">
        <f>IF(ISBLANK('ENGAGEMENTS 2026'!C2716),"",'ENGAGEMENTS 2026'!M2716)</f>
        <v/>
      </c>
      <c r="H2716">
        <f>IF(ISBLANK('ENGAGEMENTS 2026'!C2716),"",'ENGAGEMENTS 2026'!AF2716)</f>
        <v/>
      </c>
      <c r="I2716">
        <f>IF(ISBLANK('ENGAGEMENTS 2026'!C2716),"",'ENGAGEMENTS 2026'!H2716)</f>
        <v/>
      </c>
      <c r="J2716" s="275">
        <f>IF(ISBLANK('ENGAGEMENTS 2026'!C2716),"",IF(AND(OR($E2716="INFRUCTUEUX",$E2716="ANNULE"),$C2716="AOO-M"),'ENGAGEMENTS 2026'!P2716,IF($H2716="EN COURS DE PREENGAGEMENT",'ENGAGEMENTS 2026'!O2716,IF($H2716="PREENGAGE",IF($E2716="ATTRIBUE",'ENGAGEMENTS 2026'!AE2716,'ENGAGEMENTS 2026'!O2716),'ENGAGEMENTS 2026'!AE2716))))</f>
        <v/>
      </c>
      <c r="K2716" s="604">
        <f>IF(ISBLANK('ENGAGEMENTS 2026'!W2716),"",'ENGAGEMENTS 2026'!W2716)</f>
        <v/>
      </c>
      <c r="L2716" s="276">
        <f>IF($K2716="","",TODAY()-$K2716)</f>
        <v/>
      </c>
      <c r="M2716">
        <f>IF($A2716="","",IF($H2716="ENGAGE","Engagé",IF(AND($H2716="NON ENGAGE",OR($I2716="INFRUCTUEUX",$I2716="ANNULE")),"Clôturé sans suite","En cours")))</f>
        <v/>
      </c>
      <c r="N2716">
        <f>IF(ISBLANK('ENGAGEMENTS 2026'!C2716),"",'ENGAGEMENTS 2026'!L2716)</f>
        <v/>
      </c>
      <c r="O2716">
        <f>IF(ISBLANK('ENGAGEMENTS 2026'!C2716),"",'ENGAGEMENTS 2026'!M2716)</f>
        <v/>
      </c>
      <c r="P2716">
        <f>IF(ISBLANK('ENGAGEMENTS 2026'!C2716),"",'ENGAGEMENTS 2026'!K2716)</f>
        <v/>
      </c>
      <c r="Q2716">
        <f>IF($A2716="","",IF(OR($E2716="INFRUCTUEUX",$E2716="ANNULE"),$A2716&amp;"|"&amp;(COUNTIFS($A$2:$A2716,$A2716,$E$2:$E2716,"INFRUCTUEUX")+COUNTIFS($A$2:$A2716,$A2716,$E$2:$E2716,"ANNULE")),""))</f>
        <v/>
      </c>
    </row>
    <row r="2717">
      <c r="A2717">
        <f>IF(ISBLANK('ENGAGEMENTS 2026'!C2717),"",IF('ENGAGEMENTS 2026'!C2717="DTSI","DCT",'ENGAGEMENTS 2026'!C2717))</f>
        <v/>
      </c>
      <c r="B2717">
        <f>IF(ISBLANK('ENGAGEMENTS 2026'!C2717),"",'ENGAGEMENTS 2026'!D2717)</f>
        <v/>
      </c>
      <c r="C2717">
        <f>IF(ISBLANK('ENGAGEMENTS 2026'!C2717),"",'ENGAGEMENTS 2026'!E2717)</f>
        <v/>
      </c>
      <c r="D2717">
        <f>IF(ISBLANK('ENGAGEMENTS 2026'!C2717),"",'ENGAGEMENTS 2026'!G2717)</f>
        <v/>
      </c>
      <c r="E2717">
        <f>IF(ISBLANK('ENGAGEMENTS 2026'!C2717),"",'ENGAGEMENTS 2026'!I2717)</f>
        <v/>
      </c>
      <c r="F2717">
        <f>IF(ISBLANK('ENGAGEMENTS 2026'!C2717),"",'ENGAGEMENTS 2026'!J2717)</f>
        <v/>
      </c>
      <c r="G2717">
        <f>IF(ISBLANK('ENGAGEMENTS 2026'!C2717),"",'ENGAGEMENTS 2026'!M2717)</f>
        <v/>
      </c>
      <c r="H2717">
        <f>IF(ISBLANK('ENGAGEMENTS 2026'!C2717),"",'ENGAGEMENTS 2026'!AF2717)</f>
        <v/>
      </c>
      <c r="I2717">
        <f>IF(ISBLANK('ENGAGEMENTS 2026'!C2717),"",'ENGAGEMENTS 2026'!H2717)</f>
        <v/>
      </c>
      <c r="J2717" s="275">
        <f>IF(ISBLANK('ENGAGEMENTS 2026'!C2717),"",IF(AND(OR($E2717="INFRUCTUEUX",$E2717="ANNULE"),$C2717="AOO-M"),'ENGAGEMENTS 2026'!P2717,IF($H2717="EN COURS DE PREENGAGEMENT",'ENGAGEMENTS 2026'!O2717,IF($H2717="PREENGAGE",IF($E2717="ATTRIBUE",'ENGAGEMENTS 2026'!AE2717,'ENGAGEMENTS 2026'!O2717),'ENGAGEMENTS 2026'!AE2717))))</f>
        <v/>
      </c>
      <c r="K2717" s="604">
        <f>IF(ISBLANK('ENGAGEMENTS 2026'!W2717),"",'ENGAGEMENTS 2026'!W2717)</f>
        <v/>
      </c>
      <c r="L2717" s="276">
        <f>IF($K2717="","",TODAY()-$K2717)</f>
        <v/>
      </c>
      <c r="M2717">
        <f>IF($A2717="","",IF($H2717="ENGAGE","Engagé",IF(AND($H2717="NON ENGAGE",OR($I2717="INFRUCTUEUX",$I2717="ANNULE")),"Clôturé sans suite","En cours")))</f>
        <v/>
      </c>
      <c r="N2717">
        <f>IF(ISBLANK('ENGAGEMENTS 2026'!C2717),"",'ENGAGEMENTS 2026'!L2717)</f>
        <v/>
      </c>
      <c r="O2717">
        <f>IF(ISBLANK('ENGAGEMENTS 2026'!C2717),"",'ENGAGEMENTS 2026'!M2717)</f>
        <v/>
      </c>
      <c r="P2717">
        <f>IF(ISBLANK('ENGAGEMENTS 2026'!C2717),"",'ENGAGEMENTS 2026'!K2717)</f>
        <v/>
      </c>
      <c r="Q2717">
        <f>IF($A2717="","",IF(OR($E2717="INFRUCTUEUX",$E2717="ANNULE"),$A2717&amp;"|"&amp;(COUNTIFS($A$2:$A2717,$A2717,$E$2:$E2717,"INFRUCTUEUX")+COUNTIFS($A$2:$A2717,$A2717,$E$2:$E2717,"ANNULE")),""))</f>
        <v/>
      </c>
    </row>
    <row r="2718">
      <c r="A2718">
        <f>IF(ISBLANK('ENGAGEMENTS 2026'!C2718),"",IF('ENGAGEMENTS 2026'!C2718="DTSI","DCT",'ENGAGEMENTS 2026'!C2718))</f>
        <v/>
      </c>
      <c r="B2718">
        <f>IF(ISBLANK('ENGAGEMENTS 2026'!C2718),"",'ENGAGEMENTS 2026'!D2718)</f>
        <v/>
      </c>
      <c r="C2718">
        <f>IF(ISBLANK('ENGAGEMENTS 2026'!C2718),"",'ENGAGEMENTS 2026'!E2718)</f>
        <v/>
      </c>
      <c r="D2718">
        <f>IF(ISBLANK('ENGAGEMENTS 2026'!C2718),"",'ENGAGEMENTS 2026'!G2718)</f>
        <v/>
      </c>
      <c r="E2718">
        <f>IF(ISBLANK('ENGAGEMENTS 2026'!C2718),"",'ENGAGEMENTS 2026'!I2718)</f>
        <v/>
      </c>
      <c r="F2718">
        <f>IF(ISBLANK('ENGAGEMENTS 2026'!C2718),"",'ENGAGEMENTS 2026'!J2718)</f>
        <v/>
      </c>
      <c r="G2718">
        <f>IF(ISBLANK('ENGAGEMENTS 2026'!C2718),"",'ENGAGEMENTS 2026'!M2718)</f>
        <v/>
      </c>
      <c r="H2718">
        <f>IF(ISBLANK('ENGAGEMENTS 2026'!C2718),"",'ENGAGEMENTS 2026'!AF2718)</f>
        <v/>
      </c>
      <c r="I2718">
        <f>IF(ISBLANK('ENGAGEMENTS 2026'!C2718),"",'ENGAGEMENTS 2026'!H2718)</f>
        <v/>
      </c>
      <c r="J2718" s="275">
        <f>IF(ISBLANK('ENGAGEMENTS 2026'!C2718),"",IF(AND(OR($E2718="INFRUCTUEUX",$E2718="ANNULE"),$C2718="AOO-M"),'ENGAGEMENTS 2026'!P2718,IF($H2718="EN COURS DE PREENGAGEMENT",'ENGAGEMENTS 2026'!O2718,IF($H2718="PREENGAGE",IF($E2718="ATTRIBUE",'ENGAGEMENTS 2026'!AE2718,'ENGAGEMENTS 2026'!O2718),'ENGAGEMENTS 2026'!AE2718))))</f>
        <v/>
      </c>
      <c r="K2718" s="604">
        <f>IF(ISBLANK('ENGAGEMENTS 2026'!W2718),"",'ENGAGEMENTS 2026'!W2718)</f>
        <v/>
      </c>
      <c r="L2718" s="276">
        <f>IF($K2718="","",TODAY()-$K2718)</f>
        <v/>
      </c>
      <c r="M2718">
        <f>IF($A2718="","",IF($H2718="ENGAGE","Engagé",IF(AND($H2718="NON ENGAGE",OR($I2718="INFRUCTUEUX",$I2718="ANNULE")),"Clôturé sans suite","En cours")))</f>
        <v/>
      </c>
      <c r="N2718">
        <f>IF(ISBLANK('ENGAGEMENTS 2026'!C2718),"",'ENGAGEMENTS 2026'!L2718)</f>
        <v/>
      </c>
      <c r="O2718">
        <f>IF(ISBLANK('ENGAGEMENTS 2026'!C2718),"",'ENGAGEMENTS 2026'!M2718)</f>
        <v/>
      </c>
      <c r="P2718">
        <f>IF(ISBLANK('ENGAGEMENTS 2026'!C2718),"",'ENGAGEMENTS 2026'!K2718)</f>
        <v/>
      </c>
      <c r="Q2718">
        <f>IF($A2718="","",IF(OR($E2718="INFRUCTUEUX",$E2718="ANNULE"),$A2718&amp;"|"&amp;(COUNTIFS($A$2:$A2718,$A2718,$E$2:$E2718,"INFRUCTUEUX")+COUNTIFS($A$2:$A2718,$A2718,$E$2:$E2718,"ANNULE")),""))</f>
        <v/>
      </c>
    </row>
    <row r="2719">
      <c r="A2719">
        <f>IF(ISBLANK('ENGAGEMENTS 2026'!C2719),"",IF('ENGAGEMENTS 2026'!C2719="DTSI","DCT",'ENGAGEMENTS 2026'!C2719))</f>
        <v/>
      </c>
      <c r="B2719">
        <f>IF(ISBLANK('ENGAGEMENTS 2026'!C2719),"",'ENGAGEMENTS 2026'!D2719)</f>
        <v/>
      </c>
      <c r="C2719">
        <f>IF(ISBLANK('ENGAGEMENTS 2026'!C2719),"",'ENGAGEMENTS 2026'!E2719)</f>
        <v/>
      </c>
      <c r="D2719">
        <f>IF(ISBLANK('ENGAGEMENTS 2026'!C2719),"",'ENGAGEMENTS 2026'!G2719)</f>
        <v/>
      </c>
      <c r="E2719">
        <f>IF(ISBLANK('ENGAGEMENTS 2026'!C2719),"",'ENGAGEMENTS 2026'!I2719)</f>
        <v/>
      </c>
      <c r="F2719">
        <f>IF(ISBLANK('ENGAGEMENTS 2026'!C2719),"",'ENGAGEMENTS 2026'!J2719)</f>
        <v/>
      </c>
      <c r="G2719">
        <f>IF(ISBLANK('ENGAGEMENTS 2026'!C2719),"",'ENGAGEMENTS 2026'!M2719)</f>
        <v/>
      </c>
      <c r="H2719">
        <f>IF(ISBLANK('ENGAGEMENTS 2026'!C2719),"",'ENGAGEMENTS 2026'!AF2719)</f>
        <v/>
      </c>
      <c r="I2719">
        <f>IF(ISBLANK('ENGAGEMENTS 2026'!C2719),"",'ENGAGEMENTS 2026'!H2719)</f>
        <v/>
      </c>
      <c r="J2719" s="275">
        <f>IF(ISBLANK('ENGAGEMENTS 2026'!C2719),"",IF(AND(OR($E2719="INFRUCTUEUX",$E2719="ANNULE"),$C2719="AOO-M"),'ENGAGEMENTS 2026'!P2719,IF($H2719="EN COURS DE PREENGAGEMENT",'ENGAGEMENTS 2026'!O2719,IF($H2719="PREENGAGE",IF($E2719="ATTRIBUE",'ENGAGEMENTS 2026'!AE2719,'ENGAGEMENTS 2026'!O2719),'ENGAGEMENTS 2026'!AE2719))))</f>
        <v/>
      </c>
      <c r="K2719" s="604">
        <f>IF(ISBLANK('ENGAGEMENTS 2026'!W2719),"",'ENGAGEMENTS 2026'!W2719)</f>
        <v/>
      </c>
      <c r="L2719" s="276">
        <f>IF($K2719="","",TODAY()-$K2719)</f>
        <v/>
      </c>
      <c r="M2719">
        <f>IF($A2719="","",IF($H2719="ENGAGE","Engagé",IF(AND($H2719="NON ENGAGE",OR($I2719="INFRUCTUEUX",$I2719="ANNULE")),"Clôturé sans suite","En cours")))</f>
        <v/>
      </c>
      <c r="N2719">
        <f>IF(ISBLANK('ENGAGEMENTS 2026'!C2719),"",'ENGAGEMENTS 2026'!L2719)</f>
        <v/>
      </c>
      <c r="O2719">
        <f>IF(ISBLANK('ENGAGEMENTS 2026'!C2719),"",'ENGAGEMENTS 2026'!M2719)</f>
        <v/>
      </c>
      <c r="P2719">
        <f>IF(ISBLANK('ENGAGEMENTS 2026'!C2719),"",'ENGAGEMENTS 2026'!K2719)</f>
        <v/>
      </c>
      <c r="Q2719">
        <f>IF($A2719="","",IF(OR($E2719="INFRUCTUEUX",$E2719="ANNULE"),$A2719&amp;"|"&amp;(COUNTIFS($A$2:$A2719,$A2719,$E$2:$E2719,"INFRUCTUEUX")+COUNTIFS($A$2:$A2719,$A2719,$E$2:$E2719,"ANNULE")),""))</f>
        <v/>
      </c>
    </row>
    <row r="2720">
      <c r="A2720">
        <f>IF(ISBLANK('ENGAGEMENTS 2026'!C2720),"",IF('ENGAGEMENTS 2026'!C2720="DTSI","DCT",'ENGAGEMENTS 2026'!C2720))</f>
        <v/>
      </c>
      <c r="B2720">
        <f>IF(ISBLANK('ENGAGEMENTS 2026'!C2720),"",'ENGAGEMENTS 2026'!D2720)</f>
        <v/>
      </c>
      <c r="C2720">
        <f>IF(ISBLANK('ENGAGEMENTS 2026'!C2720),"",'ENGAGEMENTS 2026'!E2720)</f>
        <v/>
      </c>
      <c r="D2720">
        <f>IF(ISBLANK('ENGAGEMENTS 2026'!C2720),"",'ENGAGEMENTS 2026'!G2720)</f>
        <v/>
      </c>
      <c r="E2720">
        <f>IF(ISBLANK('ENGAGEMENTS 2026'!C2720),"",'ENGAGEMENTS 2026'!I2720)</f>
        <v/>
      </c>
      <c r="F2720">
        <f>IF(ISBLANK('ENGAGEMENTS 2026'!C2720),"",'ENGAGEMENTS 2026'!J2720)</f>
        <v/>
      </c>
      <c r="G2720">
        <f>IF(ISBLANK('ENGAGEMENTS 2026'!C2720),"",'ENGAGEMENTS 2026'!M2720)</f>
        <v/>
      </c>
      <c r="H2720">
        <f>IF(ISBLANK('ENGAGEMENTS 2026'!C2720),"",'ENGAGEMENTS 2026'!AF2720)</f>
        <v/>
      </c>
      <c r="I2720">
        <f>IF(ISBLANK('ENGAGEMENTS 2026'!C2720),"",'ENGAGEMENTS 2026'!H2720)</f>
        <v/>
      </c>
      <c r="J2720" s="275">
        <f>IF(ISBLANK('ENGAGEMENTS 2026'!C2720),"",IF(AND(OR($E2720="INFRUCTUEUX",$E2720="ANNULE"),$C2720="AOO-M"),'ENGAGEMENTS 2026'!P2720,IF($H2720="EN COURS DE PREENGAGEMENT",'ENGAGEMENTS 2026'!O2720,IF($H2720="PREENGAGE",IF($E2720="ATTRIBUE",'ENGAGEMENTS 2026'!AE2720,'ENGAGEMENTS 2026'!O2720),'ENGAGEMENTS 2026'!AE2720))))</f>
        <v/>
      </c>
      <c r="K2720" s="604">
        <f>IF(ISBLANK('ENGAGEMENTS 2026'!W2720),"",'ENGAGEMENTS 2026'!W2720)</f>
        <v/>
      </c>
      <c r="L2720" s="276">
        <f>IF($K2720="","",TODAY()-$K2720)</f>
        <v/>
      </c>
      <c r="M2720">
        <f>IF($A2720="","",IF($H2720="ENGAGE","Engagé",IF(AND($H2720="NON ENGAGE",OR($I2720="INFRUCTUEUX",$I2720="ANNULE")),"Clôturé sans suite","En cours")))</f>
        <v/>
      </c>
      <c r="N2720">
        <f>IF(ISBLANK('ENGAGEMENTS 2026'!C2720),"",'ENGAGEMENTS 2026'!L2720)</f>
        <v/>
      </c>
      <c r="O2720">
        <f>IF(ISBLANK('ENGAGEMENTS 2026'!C2720),"",'ENGAGEMENTS 2026'!M2720)</f>
        <v/>
      </c>
      <c r="P2720">
        <f>IF(ISBLANK('ENGAGEMENTS 2026'!C2720),"",'ENGAGEMENTS 2026'!K2720)</f>
        <v/>
      </c>
      <c r="Q2720">
        <f>IF($A2720="","",IF(OR($E2720="INFRUCTUEUX",$E2720="ANNULE"),$A2720&amp;"|"&amp;(COUNTIFS($A$2:$A2720,$A2720,$E$2:$E2720,"INFRUCTUEUX")+COUNTIFS($A$2:$A2720,$A2720,$E$2:$E2720,"ANNULE")),""))</f>
        <v/>
      </c>
    </row>
    <row r="2721">
      <c r="A2721">
        <f>IF(ISBLANK('ENGAGEMENTS 2026'!C2721),"",IF('ENGAGEMENTS 2026'!C2721="DTSI","DCT",'ENGAGEMENTS 2026'!C2721))</f>
        <v/>
      </c>
      <c r="B2721">
        <f>IF(ISBLANK('ENGAGEMENTS 2026'!C2721),"",'ENGAGEMENTS 2026'!D2721)</f>
        <v/>
      </c>
      <c r="C2721">
        <f>IF(ISBLANK('ENGAGEMENTS 2026'!C2721),"",'ENGAGEMENTS 2026'!E2721)</f>
        <v/>
      </c>
      <c r="D2721">
        <f>IF(ISBLANK('ENGAGEMENTS 2026'!C2721),"",'ENGAGEMENTS 2026'!G2721)</f>
        <v/>
      </c>
      <c r="E2721">
        <f>IF(ISBLANK('ENGAGEMENTS 2026'!C2721),"",'ENGAGEMENTS 2026'!I2721)</f>
        <v/>
      </c>
      <c r="F2721">
        <f>IF(ISBLANK('ENGAGEMENTS 2026'!C2721),"",'ENGAGEMENTS 2026'!J2721)</f>
        <v/>
      </c>
      <c r="G2721">
        <f>IF(ISBLANK('ENGAGEMENTS 2026'!C2721),"",'ENGAGEMENTS 2026'!M2721)</f>
        <v/>
      </c>
      <c r="H2721">
        <f>IF(ISBLANK('ENGAGEMENTS 2026'!C2721),"",'ENGAGEMENTS 2026'!AF2721)</f>
        <v/>
      </c>
      <c r="I2721">
        <f>IF(ISBLANK('ENGAGEMENTS 2026'!C2721),"",'ENGAGEMENTS 2026'!H2721)</f>
        <v/>
      </c>
      <c r="J2721" s="275">
        <f>IF(ISBLANK('ENGAGEMENTS 2026'!C2721),"",IF(AND(OR($E2721="INFRUCTUEUX",$E2721="ANNULE"),$C2721="AOO-M"),'ENGAGEMENTS 2026'!P2721,IF($H2721="EN COURS DE PREENGAGEMENT",'ENGAGEMENTS 2026'!O2721,IF($H2721="PREENGAGE",IF($E2721="ATTRIBUE",'ENGAGEMENTS 2026'!AE2721,'ENGAGEMENTS 2026'!O2721),'ENGAGEMENTS 2026'!AE2721))))</f>
        <v/>
      </c>
      <c r="K2721" s="604">
        <f>IF(ISBLANK('ENGAGEMENTS 2026'!W2721),"",'ENGAGEMENTS 2026'!W2721)</f>
        <v/>
      </c>
      <c r="L2721" s="276">
        <f>IF($K2721="","",TODAY()-$K2721)</f>
        <v/>
      </c>
      <c r="M2721">
        <f>IF($A2721="","",IF($H2721="ENGAGE","Engagé",IF(AND($H2721="NON ENGAGE",OR($I2721="INFRUCTUEUX",$I2721="ANNULE")),"Clôturé sans suite","En cours")))</f>
        <v/>
      </c>
      <c r="N2721">
        <f>IF(ISBLANK('ENGAGEMENTS 2026'!C2721),"",'ENGAGEMENTS 2026'!L2721)</f>
        <v/>
      </c>
      <c r="O2721">
        <f>IF(ISBLANK('ENGAGEMENTS 2026'!C2721),"",'ENGAGEMENTS 2026'!M2721)</f>
        <v/>
      </c>
      <c r="P2721">
        <f>IF(ISBLANK('ENGAGEMENTS 2026'!C2721),"",'ENGAGEMENTS 2026'!K2721)</f>
        <v/>
      </c>
      <c r="Q2721">
        <f>IF($A2721="","",IF(OR($E2721="INFRUCTUEUX",$E2721="ANNULE"),$A2721&amp;"|"&amp;(COUNTIFS($A$2:$A2721,$A2721,$E$2:$E2721,"INFRUCTUEUX")+COUNTIFS($A$2:$A2721,$A2721,$E$2:$E2721,"ANNULE")),""))</f>
        <v/>
      </c>
    </row>
    <row r="2722">
      <c r="A2722">
        <f>IF(ISBLANK('ENGAGEMENTS 2026'!C2722),"",IF('ENGAGEMENTS 2026'!C2722="DTSI","DCT",'ENGAGEMENTS 2026'!C2722))</f>
        <v/>
      </c>
      <c r="B2722">
        <f>IF(ISBLANK('ENGAGEMENTS 2026'!C2722),"",'ENGAGEMENTS 2026'!D2722)</f>
        <v/>
      </c>
      <c r="C2722">
        <f>IF(ISBLANK('ENGAGEMENTS 2026'!C2722),"",'ENGAGEMENTS 2026'!E2722)</f>
        <v/>
      </c>
      <c r="D2722">
        <f>IF(ISBLANK('ENGAGEMENTS 2026'!C2722),"",'ENGAGEMENTS 2026'!G2722)</f>
        <v/>
      </c>
      <c r="E2722">
        <f>IF(ISBLANK('ENGAGEMENTS 2026'!C2722),"",'ENGAGEMENTS 2026'!I2722)</f>
        <v/>
      </c>
      <c r="F2722">
        <f>IF(ISBLANK('ENGAGEMENTS 2026'!C2722),"",'ENGAGEMENTS 2026'!J2722)</f>
        <v/>
      </c>
      <c r="G2722">
        <f>IF(ISBLANK('ENGAGEMENTS 2026'!C2722),"",'ENGAGEMENTS 2026'!M2722)</f>
        <v/>
      </c>
      <c r="H2722">
        <f>IF(ISBLANK('ENGAGEMENTS 2026'!C2722),"",'ENGAGEMENTS 2026'!AF2722)</f>
        <v/>
      </c>
      <c r="I2722">
        <f>IF(ISBLANK('ENGAGEMENTS 2026'!C2722),"",'ENGAGEMENTS 2026'!H2722)</f>
        <v/>
      </c>
      <c r="J2722" s="275">
        <f>IF(ISBLANK('ENGAGEMENTS 2026'!C2722),"",IF(AND(OR($E2722="INFRUCTUEUX",$E2722="ANNULE"),$C2722="AOO-M"),'ENGAGEMENTS 2026'!P2722,IF($H2722="EN COURS DE PREENGAGEMENT",'ENGAGEMENTS 2026'!O2722,IF($H2722="PREENGAGE",IF($E2722="ATTRIBUE",'ENGAGEMENTS 2026'!AE2722,'ENGAGEMENTS 2026'!O2722),'ENGAGEMENTS 2026'!AE2722))))</f>
        <v/>
      </c>
      <c r="K2722" s="604">
        <f>IF(ISBLANK('ENGAGEMENTS 2026'!W2722),"",'ENGAGEMENTS 2026'!W2722)</f>
        <v/>
      </c>
      <c r="L2722" s="276">
        <f>IF($K2722="","",TODAY()-$K2722)</f>
        <v/>
      </c>
      <c r="M2722">
        <f>IF($A2722="","",IF($H2722="ENGAGE","Engagé",IF(AND($H2722="NON ENGAGE",OR($I2722="INFRUCTUEUX",$I2722="ANNULE")),"Clôturé sans suite","En cours")))</f>
        <v/>
      </c>
      <c r="N2722">
        <f>IF(ISBLANK('ENGAGEMENTS 2026'!C2722),"",'ENGAGEMENTS 2026'!L2722)</f>
        <v/>
      </c>
      <c r="O2722">
        <f>IF(ISBLANK('ENGAGEMENTS 2026'!C2722),"",'ENGAGEMENTS 2026'!M2722)</f>
        <v/>
      </c>
      <c r="P2722">
        <f>IF(ISBLANK('ENGAGEMENTS 2026'!C2722),"",'ENGAGEMENTS 2026'!K2722)</f>
        <v/>
      </c>
      <c r="Q2722">
        <f>IF($A2722="","",IF(OR($E2722="INFRUCTUEUX",$E2722="ANNULE"),$A2722&amp;"|"&amp;(COUNTIFS($A$2:$A2722,$A2722,$E$2:$E2722,"INFRUCTUEUX")+COUNTIFS($A$2:$A2722,$A2722,$E$2:$E2722,"ANNULE")),""))</f>
        <v/>
      </c>
    </row>
    <row r="2723">
      <c r="A2723">
        <f>IF(ISBLANK('ENGAGEMENTS 2026'!C2723),"",IF('ENGAGEMENTS 2026'!C2723="DTSI","DCT",'ENGAGEMENTS 2026'!C2723))</f>
        <v/>
      </c>
      <c r="B2723">
        <f>IF(ISBLANK('ENGAGEMENTS 2026'!C2723),"",'ENGAGEMENTS 2026'!D2723)</f>
        <v/>
      </c>
      <c r="C2723">
        <f>IF(ISBLANK('ENGAGEMENTS 2026'!C2723),"",'ENGAGEMENTS 2026'!E2723)</f>
        <v/>
      </c>
      <c r="D2723">
        <f>IF(ISBLANK('ENGAGEMENTS 2026'!C2723),"",'ENGAGEMENTS 2026'!G2723)</f>
        <v/>
      </c>
      <c r="E2723">
        <f>IF(ISBLANK('ENGAGEMENTS 2026'!C2723),"",'ENGAGEMENTS 2026'!I2723)</f>
        <v/>
      </c>
      <c r="F2723">
        <f>IF(ISBLANK('ENGAGEMENTS 2026'!C2723),"",'ENGAGEMENTS 2026'!J2723)</f>
        <v/>
      </c>
      <c r="G2723">
        <f>IF(ISBLANK('ENGAGEMENTS 2026'!C2723),"",'ENGAGEMENTS 2026'!M2723)</f>
        <v/>
      </c>
      <c r="H2723">
        <f>IF(ISBLANK('ENGAGEMENTS 2026'!C2723),"",'ENGAGEMENTS 2026'!AF2723)</f>
        <v/>
      </c>
      <c r="I2723">
        <f>IF(ISBLANK('ENGAGEMENTS 2026'!C2723),"",'ENGAGEMENTS 2026'!H2723)</f>
        <v/>
      </c>
      <c r="J2723" s="275">
        <f>IF(ISBLANK('ENGAGEMENTS 2026'!C2723),"",IF(AND(OR($E2723="INFRUCTUEUX",$E2723="ANNULE"),$C2723="AOO-M"),'ENGAGEMENTS 2026'!P2723,IF($H2723="EN COURS DE PREENGAGEMENT",'ENGAGEMENTS 2026'!O2723,IF($H2723="PREENGAGE",IF($E2723="ATTRIBUE",'ENGAGEMENTS 2026'!AE2723,'ENGAGEMENTS 2026'!O2723),'ENGAGEMENTS 2026'!AE2723))))</f>
        <v/>
      </c>
      <c r="K2723" s="604">
        <f>IF(ISBLANK('ENGAGEMENTS 2026'!W2723),"",'ENGAGEMENTS 2026'!W2723)</f>
        <v/>
      </c>
      <c r="L2723" s="276">
        <f>IF($K2723="","",TODAY()-$K2723)</f>
        <v/>
      </c>
      <c r="M2723">
        <f>IF($A2723="","",IF($H2723="ENGAGE","Engagé",IF(AND($H2723="NON ENGAGE",OR($I2723="INFRUCTUEUX",$I2723="ANNULE")),"Clôturé sans suite","En cours")))</f>
        <v/>
      </c>
      <c r="N2723">
        <f>IF(ISBLANK('ENGAGEMENTS 2026'!C2723),"",'ENGAGEMENTS 2026'!L2723)</f>
        <v/>
      </c>
      <c r="O2723">
        <f>IF(ISBLANK('ENGAGEMENTS 2026'!C2723),"",'ENGAGEMENTS 2026'!M2723)</f>
        <v/>
      </c>
      <c r="P2723">
        <f>IF(ISBLANK('ENGAGEMENTS 2026'!C2723),"",'ENGAGEMENTS 2026'!K2723)</f>
        <v/>
      </c>
      <c r="Q2723">
        <f>IF($A2723="","",IF(OR($E2723="INFRUCTUEUX",$E2723="ANNULE"),$A2723&amp;"|"&amp;(COUNTIFS($A$2:$A2723,$A2723,$E$2:$E2723,"INFRUCTUEUX")+COUNTIFS($A$2:$A2723,$A2723,$E$2:$E2723,"ANNULE")),""))</f>
        <v/>
      </c>
    </row>
    <row r="2724">
      <c r="A2724">
        <f>IF(ISBLANK('ENGAGEMENTS 2026'!C2724),"",IF('ENGAGEMENTS 2026'!C2724="DTSI","DCT",'ENGAGEMENTS 2026'!C2724))</f>
        <v/>
      </c>
      <c r="B2724">
        <f>IF(ISBLANK('ENGAGEMENTS 2026'!C2724),"",'ENGAGEMENTS 2026'!D2724)</f>
        <v/>
      </c>
      <c r="C2724">
        <f>IF(ISBLANK('ENGAGEMENTS 2026'!C2724),"",'ENGAGEMENTS 2026'!E2724)</f>
        <v/>
      </c>
      <c r="D2724">
        <f>IF(ISBLANK('ENGAGEMENTS 2026'!C2724),"",'ENGAGEMENTS 2026'!G2724)</f>
        <v/>
      </c>
      <c r="E2724">
        <f>IF(ISBLANK('ENGAGEMENTS 2026'!C2724),"",'ENGAGEMENTS 2026'!I2724)</f>
        <v/>
      </c>
      <c r="F2724">
        <f>IF(ISBLANK('ENGAGEMENTS 2026'!C2724),"",'ENGAGEMENTS 2026'!J2724)</f>
        <v/>
      </c>
      <c r="G2724">
        <f>IF(ISBLANK('ENGAGEMENTS 2026'!C2724),"",'ENGAGEMENTS 2026'!M2724)</f>
        <v/>
      </c>
      <c r="H2724">
        <f>IF(ISBLANK('ENGAGEMENTS 2026'!C2724),"",'ENGAGEMENTS 2026'!AF2724)</f>
        <v/>
      </c>
      <c r="I2724">
        <f>IF(ISBLANK('ENGAGEMENTS 2026'!C2724),"",'ENGAGEMENTS 2026'!H2724)</f>
        <v/>
      </c>
      <c r="J2724" s="275">
        <f>IF(ISBLANK('ENGAGEMENTS 2026'!C2724),"",IF(AND(OR($E2724="INFRUCTUEUX",$E2724="ANNULE"),$C2724="AOO-M"),'ENGAGEMENTS 2026'!P2724,IF($H2724="EN COURS DE PREENGAGEMENT",'ENGAGEMENTS 2026'!O2724,IF($H2724="PREENGAGE",IF($E2724="ATTRIBUE",'ENGAGEMENTS 2026'!AE2724,'ENGAGEMENTS 2026'!O2724),'ENGAGEMENTS 2026'!AE2724))))</f>
        <v/>
      </c>
      <c r="K2724" s="604">
        <f>IF(ISBLANK('ENGAGEMENTS 2026'!W2724),"",'ENGAGEMENTS 2026'!W2724)</f>
        <v/>
      </c>
      <c r="L2724" s="276">
        <f>IF($K2724="","",TODAY()-$K2724)</f>
        <v/>
      </c>
      <c r="M2724">
        <f>IF($A2724="","",IF($H2724="ENGAGE","Engagé",IF(AND($H2724="NON ENGAGE",OR($I2724="INFRUCTUEUX",$I2724="ANNULE")),"Clôturé sans suite","En cours")))</f>
        <v/>
      </c>
      <c r="N2724">
        <f>IF(ISBLANK('ENGAGEMENTS 2026'!C2724),"",'ENGAGEMENTS 2026'!L2724)</f>
        <v/>
      </c>
      <c r="O2724">
        <f>IF(ISBLANK('ENGAGEMENTS 2026'!C2724),"",'ENGAGEMENTS 2026'!M2724)</f>
        <v/>
      </c>
      <c r="P2724">
        <f>IF(ISBLANK('ENGAGEMENTS 2026'!C2724),"",'ENGAGEMENTS 2026'!K2724)</f>
        <v/>
      </c>
      <c r="Q2724">
        <f>IF($A2724="","",IF(OR($E2724="INFRUCTUEUX",$E2724="ANNULE"),$A2724&amp;"|"&amp;(COUNTIFS($A$2:$A2724,$A2724,$E$2:$E2724,"INFRUCTUEUX")+COUNTIFS($A$2:$A2724,$A2724,$E$2:$E2724,"ANNULE")),""))</f>
        <v/>
      </c>
    </row>
    <row r="2725">
      <c r="A2725">
        <f>IF(ISBLANK('ENGAGEMENTS 2026'!C2725),"",IF('ENGAGEMENTS 2026'!C2725="DTSI","DCT",'ENGAGEMENTS 2026'!C2725))</f>
        <v/>
      </c>
      <c r="B2725">
        <f>IF(ISBLANK('ENGAGEMENTS 2026'!C2725),"",'ENGAGEMENTS 2026'!D2725)</f>
        <v/>
      </c>
      <c r="C2725">
        <f>IF(ISBLANK('ENGAGEMENTS 2026'!C2725),"",'ENGAGEMENTS 2026'!E2725)</f>
        <v/>
      </c>
      <c r="D2725">
        <f>IF(ISBLANK('ENGAGEMENTS 2026'!C2725),"",'ENGAGEMENTS 2026'!G2725)</f>
        <v/>
      </c>
      <c r="E2725">
        <f>IF(ISBLANK('ENGAGEMENTS 2026'!C2725),"",'ENGAGEMENTS 2026'!I2725)</f>
        <v/>
      </c>
      <c r="F2725">
        <f>IF(ISBLANK('ENGAGEMENTS 2026'!C2725),"",'ENGAGEMENTS 2026'!J2725)</f>
        <v/>
      </c>
      <c r="G2725">
        <f>IF(ISBLANK('ENGAGEMENTS 2026'!C2725),"",'ENGAGEMENTS 2026'!M2725)</f>
        <v/>
      </c>
      <c r="H2725">
        <f>IF(ISBLANK('ENGAGEMENTS 2026'!C2725),"",'ENGAGEMENTS 2026'!AF2725)</f>
        <v/>
      </c>
      <c r="I2725">
        <f>IF(ISBLANK('ENGAGEMENTS 2026'!C2725),"",'ENGAGEMENTS 2026'!H2725)</f>
        <v/>
      </c>
      <c r="J2725" s="275">
        <f>IF(ISBLANK('ENGAGEMENTS 2026'!C2725),"",IF(AND(OR($E2725="INFRUCTUEUX",$E2725="ANNULE"),$C2725="AOO-M"),'ENGAGEMENTS 2026'!P2725,IF($H2725="EN COURS DE PREENGAGEMENT",'ENGAGEMENTS 2026'!O2725,IF($H2725="PREENGAGE",IF($E2725="ATTRIBUE",'ENGAGEMENTS 2026'!AE2725,'ENGAGEMENTS 2026'!O2725),'ENGAGEMENTS 2026'!AE2725))))</f>
        <v/>
      </c>
      <c r="K2725" s="604">
        <f>IF(ISBLANK('ENGAGEMENTS 2026'!W2725),"",'ENGAGEMENTS 2026'!W2725)</f>
        <v/>
      </c>
      <c r="L2725" s="276">
        <f>IF($K2725="","",TODAY()-$K2725)</f>
        <v/>
      </c>
      <c r="M2725">
        <f>IF($A2725="","",IF($H2725="ENGAGE","Engagé",IF(AND($H2725="NON ENGAGE",OR($I2725="INFRUCTUEUX",$I2725="ANNULE")),"Clôturé sans suite","En cours")))</f>
        <v/>
      </c>
      <c r="N2725">
        <f>IF(ISBLANK('ENGAGEMENTS 2026'!C2725),"",'ENGAGEMENTS 2026'!L2725)</f>
        <v/>
      </c>
      <c r="O2725">
        <f>IF(ISBLANK('ENGAGEMENTS 2026'!C2725),"",'ENGAGEMENTS 2026'!M2725)</f>
        <v/>
      </c>
      <c r="P2725">
        <f>IF(ISBLANK('ENGAGEMENTS 2026'!C2725),"",'ENGAGEMENTS 2026'!K2725)</f>
        <v/>
      </c>
      <c r="Q2725">
        <f>IF($A2725="","",IF(OR($E2725="INFRUCTUEUX",$E2725="ANNULE"),$A2725&amp;"|"&amp;(COUNTIFS($A$2:$A2725,$A2725,$E$2:$E2725,"INFRUCTUEUX")+COUNTIFS($A$2:$A2725,$A2725,$E$2:$E2725,"ANNULE")),""))</f>
        <v/>
      </c>
    </row>
    <row r="2726">
      <c r="A2726">
        <f>IF(ISBLANK('ENGAGEMENTS 2026'!C2726),"",IF('ENGAGEMENTS 2026'!C2726="DTSI","DCT",'ENGAGEMENTS 2026'!C2726))</f>
        <v/>
      </c>
      <c r="B2726">
        <f>IF(ISBLANK('ENGAGEMENTS 2026'!C2726),"",'ENGAGEMENTS 2026'!D2726)</f>
        <v/>
      </c>
      <c r="C2726">
        <f>IF(ISBLANK('ENGAGEMENTS 2026'!C2726),"",'ENGAGEMENTS 2026'!E2726)</f>
        <v/>
      </c>
      <c r="D2726">
        <f>IF(ISBLANK('ENGAGEMENTS 2026'!C2726),"",'ENGAGEMENTS 2026'!G2726)</f>
        <v/>
      </c>
      <c r="E2726">
        <f>IF(ISBLANK('ENGAGEMENTS 2026'!C2726),"",'ENGAGEMENTS 2026'!I2726)</f>
        <v/>
      </c>
      <c r="F2726">
        <f>IF(ISBLANK('ENGAGEMENTS 2026'!C2726),"",'ENGAGEMENTS 2026'!J2726)</f>
        <v/>
      </c>
      <c r="G2726">
        <f>IF(ISBLANK('ENGAGEMENTS 2026'!C2726),"",'ENGAGEMENTS 2026'!M2726)</f>
        <v/>
      </c>
      <c r="H2726">
        <f>IF(ISBLANK('ENGAGEMENTS 2026'!C2726),"",'ENGAGEMENTS 2026'!AF2726)</f>
        <v/>
      </c>
      <c r="I2726">
        <f>IF(ISBLANK('ENGAGEMENTS 2026'!C2726),"",'ENGAGEMENTS 2026'!H2726)</f>
        <v/>
      </c>
      <c r="J2726" s="275">
        <f>IF(ISBLANK('ENGAGEMENTS 2026'!C2726),"",IF(AND(OR($E2726="INFRUCTUEUX",$E2726="ANNULE"),$C2726="AOO-M"),'ENGAGEMENTS 2026'!P2726,IF($H2726="EN COURS DE PREENGAGEMENT",'ENGAGEMENTS 2026'!O2726,IF($H2726="PREENGAGE",IF($E2726="ATTRIBUE",'ENGAGEMENTS 2026'!AE2726,'ENGAGEMENTS 2026'!O2726),'ENGAGEMENTS 2026'!AE2726))))</f>
        <v/>
      </c>
      <c r="K2726" s="604">
        <f>IF(ISBLANK('ENGAGEMENTS 2026'!W2726),"",'ENGAGEMENTS 2026'!W2726)</f>
        <v/>
      </c>
      <c r="L2726" s="276">
        <f>IF($K2726="","",TODAY()-$K2726)</f>
        <v/>
      </c>
      <c r="M2726">
        <f>IF($A2726="","",IF($H2726="ENGAGE","Engagé",IF(AND($H2726="NON ENGAGE",OR($I2726="INFRUCTUEUX",$I2726="ANNULE")),"Clôturé sans suite","En cours")))</f>
        <v/>
      </c>
      <c r="N2726">
        <f>IF(ISBLANK('ENGAGEMENTS 2026'!C2726),"",'ENGAGEMENTS 2026'!L2726)</f>
        <v/>
      </c>
      <c r="O2726">
        <f>IF(ISBLANK('ENGAGEMENTS 2026'!C2726),"",'ENGAGEMENTS 2026'!M2726)</f>
        <v/>
      </c>
      <c r="P2726">
        <f>IF(ISBLANK('ENGAGEMENTS 2026'!C2726),"",'ENGAGEMENTS 2026'!K2726)</f>
        <v/>
      </c>
      <c r="Q2726">
        <f>IF($A2726="","",IF(OR($E2726="INFRUCTUEUX",$E2726="ANNULE"),$A2726&amp;"|"&amp;(COUNTIFS($A$2:$A2726,$A2726,$E$2:$E2726,"INFRUCTUEUX")+COUNTIFS($A$2:$A2726,$A2726,$E$2:$E2726,"ANNULE")),""))</f>
        <v/>
      </c>
    </row>
    <row r="2727">
      <c r="A2727">
        <f>IF(ISBLANK('ENGAGEMENTS 2026'!C2727),"",IF('ENGAGEMENTS 2026'!C2727="DTSI","DCT",'ENGAGEMENTS 2026'!C2727))</f>
        <v/>
      </c>
      <c r="B2727">
        <f>IF(ISBLANK('ENGAGEMENTS 2026'!C2727),"",'ENGAGEMENTS 2026'!D2727)</f>
        <v/>
      </c>
      <c r="C2727">
        <f>IF(ISBLANK('ENGAGEMENTS 2026'!C2727),"",'ENGAGEMENTS 2026'!E2727)</f>
        <v/>
      </c>
      <c r="D2727">
        <f>IF(ISBLANK('ENGAGEMENTS 2026'!C2727),"",'ENGAGEMENTS 2026'!G2727)</f>
        <v/>
      </c>
      <c r="E2727">
        <f>IF(ISBLANK('ENGAGEMENTS 2026'!C2727),"",'ENGAGEMENTS 2026'!I2727)</f>
        <v/>
      </c>
      <c r="F2727">
        <f>IF(ISBLANK('ENGAGEMENTS 2026'!C2727),"",'ENGAGEMENTS 2026'!J2727)</f>
        <v/>
      </c>
      <c r="G2727">
        <f>IF(ISBLANK('ENGAGEMENTS 2026'!C2727),"",'ENGAGEMENTS 2026'!M2727)</f>
        <v/>
      </c>
      <c r="H2727">
        <f>IF(ISBLANK('ENGAGEMENTS 2026'!C2727),"",'ENGAGEMENTS 2026'!AF2727)</f>
        <v/>
      </c>
      <c r="I2727">
        <f>IF(ISBLANK('ENGAGEMENTS 2026'!C2727),"",'ENGAGEMENTS 2026'!H2727)</f>
        <v/>
      </c>
      <c r="J2727" s="275">
        <f>IF(ISBLANK('ENGAGEMENTS 2026'!C2727),"",IF(AND(OR($E2727="INFRUCTUEUX",$E2727="ANNULE"),$C2727="AOO-M"),'ENGAGEMENTS 2026'!P2727,IF($H2727="EN COURS DE PREENGAGEMENT",'ENGAGEMENTS 2026'!O2727,IF($H2727="PREENGAGE",IF($E2727="ATTRIBUE",'ENGAGEMENTS 2026'!AE2727,'ENGAGEMENTS 2026'!O2727),'ENGAGEMENTS 2026'!AE2727))))</f>
        <v/>
      </c>
      <c r="K2727" s="604">
        <f>IF(ISBLANK('ENGAGEMENTS 2026'!W2727),"",'ENGAGEMENTS 2026'!W2727)</f>
        <v/>
      </c>
      <c r="L2727" s="276">
        <f>IF($K2727="","",TODAY()-$K2727)</f>
        <v/>
      </c>
      <c r="M2727">
        <f>IF($A2727="","",IF($H2727="ENGAGE","Engagé",IF(AND($H2727="NON ENGAGE",OR($I2727="INFRUCTUEUX",$I2727="ANNULE")),"Clôturé sans suite","En cours")))</f>
        <v/>
      </c>
      <c r="N2727">
        <f>IF(ISBLANK('ENGAGEMENTS 2026'!C2727),"",'ENGAGEMENTS 2026'!L2727)</f>
        <v/>
      </c>
      <c r="O2727">
        <f>IF(ISBLANK('ENGAGEMENTS 2026'!C2727),"",'ENGAGEMENTS 2026'!M2727)</f>
        <v/>
      </c>
      <c r="P2727">
        <f>IF(ISBLANK('ENGAGEMENTS 2026'!C2727),"",'ENGAGEMENTS 2026'!K2727)</f>
        <v/>
      </c>
      <c r="Q2727">
        <f>IF($A2727="","",IF(OR($E2727="INFRUCTUEUX",$E2727="ANNULE"),$A2727&amp;"|"&amp;(COUNTIFS($A$2:$A2727,$A2727,$E$2:$E2727,"INFRUCTUEUX")+COUNTIFS($A$2:$A2727,$A2727,$E$2:$E2727,"ANNULE")),""))</f>
        <v/>
      </c>
    </row>
    <row r="2728">
      <c r="A2728">
        <f>IF(ISBLANK('ENGAGEMENTS 2026'!C2728),"",IF('ENGAGEMENTS 2026'!C2728="DTSI","DCT",'ENGAGEMENTS 2026'!C2728))</f>
        <v/>
      </c>
      <c r="B2728">
        <f>IF(ISBLANK('ENGAGEMENTS 2026'!C2728),"",'ENGAGEMENTS 2026'!D2728)</f>
        <v/>
      </c>
      <c r="C2728">
        <f>IF(ISBLANK('ENGAGEMENTS 2026'!C2728),"",'ENGAGEMENTS 2026'!E2728)</f>
        <v/>
      </c>
      <c r="D2728">
        <f>IF(ISBLANK('ENGAGEMENTS 2026'!C2728),"",'ENGAGEMENTS 2026'!G2728)</f>
        <v/>
      </c>
      <c r="E2728">
        <f>IF(ISBLANK('ENGAGEMENTS 2026'!C2728),"",'ENGAGEMENTS 2026'!I2728)</f>
        <v/>
      </c>
      <c r="F2728">
        <f>IF(ISBLANK('ENGAGEMENTS 2026'!C2728),"",'ENGAGEMENTS 2026'!J2728)</f>
        <v/>
      </c>
      <c r="G2728">
        <f>IF(ISBLANK('ENGAGEMENTS 2026'!C2728),"",'ENGAGEMENTS 2026'!M2728)</f>
        <v/>
      </c>
      <c r="H2728">
        <f>IF(ISBLANK('ENGAGEMENTS 2026'!C2728),"",'ENGAGEMENTS 2026'!AF2728)</f>
        <v/>
      </c>
      <c r="I2728">
        <f>IF(ISBLANK('ENGAGEMENTS 2026'!C2728),"",'ENGAGEMENTS 2026'!H2728)</f>
        <v/>
      </c>
      <c r="J2728" s="275">
        <f>IF(ISBLANK('ENGAGEMENTS 2026'!C2728),"",IF(AND(OR($E2728="INFRUCTUEUX",$E2728="ANNULE"),$C2728="AOO-M"),'ENGAGEMENTS 2026'!P2728,IF($H2728="EN COURS DE PREENGAGEMENT",'ENGAGEMENTS 2026'!O2728,IF($H2728="PREENGAGE",IF($E2728="ATTRIBUE",'ENGAGEMENTS 2026'!AE2728,'ENGAGEMENTS 2026'!O2728),'ENGAGEMENTS 2026'!AE2728))))</f>
        <v/>
      </c>
      <c r="K2728" s="604">
        <f>IF(ISBLANK('ENGAGEMENTS 2026'!W2728),"",'ENGAGEMENTS 2026'!W2728)</f>
        <v/>
      </c>
      <c r="L2728" s="276">
        <f>IF($K2728="","",TODAY()-$K2728)</f>
        <v/>
      </c>
      <c r="M2728">
        <f>IF($A2728="","",IF($H2728="ENGAGE","Engagé",IF(AND($H2728="NON ENGAGE",OR($I2728="INFRUCTUEUX",$I2728="ANNULE")),"Clôturé sans suite","En cours")))</f>
        <v/>
      </c>
      <c r="N2728">
        <f>IF(ISBLANK('ENGAGEMENTS 2026'!C2728),"",'ENGAGEMENTS 2026'!L2728)</f>
        <v/>
      </c>
      <c r="O2728">
        <f>IF(ISBLANK('ENGAGEMENTS 2026'!C2728),"",'ENGAGEMENTS 2026'!M2728)</f>
        <v/>
      </c>
      <c r="P2728">
        <f>IF(ISBLANK('ENGAGEMENTS 2026'!C2728),"",'ENGAGEMENTS 2026'!K2728)</f>
        <v/>
      </c>
      <c r="Q2728">
        <f>IF($A2728="","",IF(OR($E2728="INFRUCTUEUX",$E2728="ANNULE"),$A2728&amp;"|"&amp;(COUNTIFS($A$2:$A2728,$A2728,$E$2:$E2728,"INFRUCTUEUX")+COUNTIFS($A$2:$A2728,$A2728,$E$2:$E2728,"ANNULE")),""))</f>
        <v/>
      </c>
    </row>
    <row r="2729">
      <c r="A2729">
        <f>IF(ISBLANK('ENGAGEMENTS 2026'!C2729),"",IF('ENGAGEMENTS 2026'!C2729="DTSI","DCT",'ENGAGEMENTS 2026'!C2729))</f>
        <v/>
      </c>
      <c r="B2729">
        <f>IF(ISBLANK('ENGAGEMENTS 2026'!C2729),"",'ENGAGEMENTS 2026'!D2729)</f>
        <v/>
      </c>
      <c r="C2729">
        <f>IF(ISBLANK('ENGAGEMENTS 2026'!C2729),"",'ENGAGEMENTS 2026'!E2729)</f>
        <v/>
      </c>
      <c r="D2729">
        <f>IF(ISBLANK('ENGAGEMENTS 2026'!C2729),"",'ENGAGEMENTS 2026'!G2729)</f>
        <v/>
      </c>
      <c r="E2729">
        <f>IF(ISBLANK('ENGAGEMENTS 2026'!C2729),"",'ENGAGEMENTS 2026'!I2729)</f>
        <v/>
      </c>
      <c r="F2729">
        <f>IF(ISBLANK('ENGAGEMENTS 2026'!C2729),"",'ENGAGEMENTS 2026'!J2729)</f>
        <v/>
      </c>
      <c r="G2729">
        <f>IF(ISBLANK('ENGAGEMENTS 2026'!C2729),"",'ENGAGEMENTS 2026'!M2729)</f>
        <v/>
      </c>
      <c r="H2729">
        <f>IF(ISBLANK('ENGAGEMENTS 2026'!C2729),"",'ENGAGEMENTS 2026'!AF2729)</f>
        <v/>
      </c>
      <c r="I2729">
        <f>IF(ISBLANK('ENGAGEMENTS 2026'!C2729),"",'ENGAGEMENTS 2026'!H2729)</f>
        <v/>
      </c>
      <c r="J2729" s="275">
        <f>IF(ISBLANK('ENGAGEMENTS 2026'!C2729),"",IF(AND(OR($E2729="INFRUCTUEUX",$E2729="ANNULE"),$C2729="AOO-M"),'ENGAGEMENTS 2026'!P2729,IF($H2729="EN COURS DE PREENGAGEMENT",'ENGAGEMENTS 2026'!O2729,IF($H2729="PREENGAGE",IF($E2729="ATTRIBUE",'ENGAGEMENTS 2026'!AE2729,'ENGAGEMENTS 2026'!O2729),'ENGAGEMENTS 2026'!AE2729))))</f>
        <v/>
      </c>
      <c r="K2729" s="604">
        <f>IF(ISBLANK('ENGAGEMENTS 2026'!W2729),"",'ENGAGEMENTS 2026'!W2729)</f>
        <v/>
      </c>
      <c r="L2729" s="276">
        <f>IF($K2729="","",TODAY()-$K2729)</f>
        <v/>
      </c>
      <c r="M2729">
        <f>IF($A2729="","",IF($H2729="ENGAGE","Engagé",IF(AND($H2729="NON ENGAGE",OR($I2729="INFRUCTUEUX",$I2729="ANNULE")),"Clôturé sans suite","En cours")))</f>
        <v/>
      </c>
      <c r="N2729">
        <f>IF(ISBLANK('ENGAGEMENTS 2026'!C2729),"",'ENGAGEMENTS 2026'!L2729)</f>
        <v/>
      </c>
      <c r="O2729">
        <f>IF(ISBLANK('ENGAGEMENTS 2026'!C2729),"",'ENGAGEMENTS 2026'!M2729)</f>
        <v/>
      </c>
      <c r="P2729">
        <f>IF(ISBLANK('ENGAGEMENTS 2026'!C2729),"",'ENGAGEMENTS 2026'!K2729)</f>
        <v/>
      </c>
      <c r="Q2729">
        <f>IF($A2729="","",IF(OR($E2729="INFRUCTUEUX",$E2729="ANNULE"),$A2729&amp;"|"&amp;(COUNTIFS($A$2:$A2729,$A2729,$E$2:$E2729,"INFRUCTUEUX")+COUNTIFS($A$2:$A2729,$A2729,$E$2:$E2729,"ANNULE")),""))</f>
        <v/>
      </c>
    </row>
    <row r="2730">
      <c r="A2730">
        <f>IF(ISBLANK('ENGAGEMENTS 2026'!C2730),"",IF('ENGAGEMENTS 2026'!C2730="DTSI","DCT",'ENGAGEMENTS 2026'!C2730))</f>
        <v/>
      </c>
      <c r="B2730">
        <f>IF(ISBLANK('ENGAGEMENTS 2026'!C2730),"",'ENGAGEMENTS 2026'!D2730)</f>
        <v/>
      </c>
      <c r="C2730">
        <f>IF(ISBLANK('ENGAGEMENTS 2026'!C2730),"",'ENGAGEMENTS 2026'!E2730)</f>
        <v/>
      </c>
      <c r="D2730">
        <f>IF(ISBLANK('ENGAGEMENTS 2026'!C2730),"",'ENGAGEMENTS 2026'!G2730)</f>
        <v/>
      </c>
      <c r="E2730">
        <f>IF(ISBLANK('ENGAGEMENTS 2026'!C2730),"",'ENGAGEMENTS 2026'!I2730)</f>
        <v/>
      </c>
      <c r="F2730">
        <f>IF(ISBLANK('ENGAGEMENTS 2026'!C2730),"",'ENGAGEMENTS 2026'!J2730)</f>
        <v/>
      </c>
      <c r="G2730">
        <f>IF(ISBLANK('ENGAGEMENTS 2026'!C2730),"",'ENGAGEMENTS 2026'!M2730)</f>
        <v/>
      </c>
      <c r="H2730">
        <f>IF(ISBLANK('ENGAGEMENTS 2026'!C2730),"",'ENGAGEMENTS 2026'!AF2730)</f>
        <v/>
      </c>
      <c r="I2730">
        <f>IF(ISBLANK('ENGAGEMENTS 2026'!C2730),"",'ENGAGEMENTS 2026'!H2730)</f>
        <v/>
      </c>
      <c r="J2730" s="275">
        <f>IF(ISBLANK('ENGAGEMENTS 2026'!C2730),"",IF(AND(OR($E2730="INFRUCTUEUX",$E2730="ANNULE"),$C2730="AOO-M"),'ENGAGEMENTS 2026'!P2730,IF($H2730="EN COURS DE PREENGAGEMENT",'ENGAGEMENTS 2026'!O2730,IF($H2730="PREENGAGE",IF($E2730="ATTRIBUE",'ENGAGEMENTS 2026'!AE2730,'ENGAGEMENTS 2026'!O2730),'ENGAGEMENTS 2026'!AE2730))))</f>
        <v/>
      </c>
      <c r="K2730" s="604">
        <f>IF(ISBLANK('ENGAGEMENTS 2026'!W2730),"",'ENGAGEMENTS 2026'!W2730)</f>
        <v/>
      </c>
      <c r="L2730" s="276">
        <f>IF($K2730="","",TODAY()-$K2730)</f>
        <v/>
      </c>
      <c r="M2730">
        <f>IF($A2730="","",IF($H2730="ENGAGE","Engagé",IF(AND($H2730="NON ENGAGE",OR($I2730="INFRUCTUEUX",$I2730="ANNULE")),"Clôturé sans suite","En cours")))</f>
        <v/>
      </c>
      <c r="N2730">
        <f>IF(ISBLANK('ENGAGEMENTS 2026'!C2730),"",'ENGAGEMENTS 2026'!L2730)</f>
        <v/>
      </c>
      <c r="O2730">
        <f>IF(ISBLANK('ENGAGEMENTS 2026'!C2730),"",'ENGAGEMENTS 2026'!M2730)</f>
        <v/>
      </c>
      <c r="P2730">
        <f>IF(ISBLANK('ENGAGEMENTS 2026'!C2730),"",'ENGAGEMENTS 2026'!K2730)</f>
        <v/>
      </c>
      <c r="Q2730">
        <f>IF($A2730="","",IF(OR($E2730="INFRUCTUEUX",$E2730="ANNULE"),$A2730&amp;"|"&amp;(COUNTIFS($A$2:$A2730,$A2730,$E$2:$E2730,"INFRUCTUEUX")+COUNTIFS($A$2:$A2730,$A2730,$E$2:$E2730,"ANNULE")),""))</f>
        <v/>
      </c>
    </row>
    <row r="2731">
      <c r="A2731">
        <f>IF(ISBLANK('ENGAGEMENTS 2026'!C2731),"",IF('ENGAGEMENTS 2026'!C2731="DTSI","DCT",'ENGAGEMENTS 2026'!C2731))</f>
        <v/>
      </c>
      <c r="B2731">
        <f>IF(ISBLANK('ENGAGEMENTS 2026'!C2731),"",'ENGAGEMENTS 2026'!D2731)</f>
        <v/>
      </c>
      <c r="C2731">
        <f>IF(ISBLANK('ENGAGEMENTS 2026'!C2731),"",'ENGAGEMENTS 2026'!E2731)</f>
        <v/>
      </c>
      <c r="D2731">
        <f>IF(ISBLANK('ENGAGEMENTS 2026'!C2731),"",'ENGAGEMENTS 2026'!G2731)</f>
        <v/>
      </c>
      <c r="E2731">
        <f>IF(ISBLANK('ENGAGEMENTS 2026'!C2731),"",'ENGAGEMENTS 2026'!I2731)</f>
        <v/>
      </c>
      <c r="F2731">
        <f>IF(ISBLANK('ENGAGEMENTS 2026'!C2731),"",'ENGAGEMENTS 2026'!J2731)</f>
        <v/>
      </c>
      <c r="G2731">
        <f>IF(ISBLANK('ENGAGEMENTS 2026'!C2731),"",'ENGAGEMENTS 2026'!M2731)</f>
        <v/>
      </c>
      <c r="H2731">
        <f>IF(ISBLANK('ENGAGEMENTS 2026'!C2731),"",'ENGAGEMENTS 2026'!AF2731)</f>
        <v/>
      </c>
      <c r="I2731">
        <f>IF(ISBLANK('ENGAGEMENTS 2026'!C2731),"",'ENGAGEMENTS 2026'!H2731)</f>
        <v/>
      </c>
      <c r="J2731" s="275">
        <f>IF(ISBLANK('ENGAGEMENTS 2026'!C2731),"",IF(AND(OR($E2731="INFRUCTUEUX",$E2731="ANNULE"),$C2731="AOO-M"),'ENGAGEMENTS 2026'!P2731,IF($H2731="EN COURS DE PREENGAGEMENT",'ENGAGEMENTS 2026'!O2731,IF($H2731="PREENGAGE",IF($E2731="ATTRIBUE",'ENGAGEMENTS 2026'!AE2731,'ENGAGEMENTS 2026'!O2731),'ENGAGEMENTS 2026'!AE2731))))</f>
        <v/>
      </c>
      <c r="K2731" s="604">
        <f>IF(ISBLANK('ENGAGEMENTS 2026'!W2731),"",'ENGAGEMENTS 2026'!W2731)</f>
        <v/>
      </c>
      <c r="L2731" s="276">
        <f>IF($K2731="","",TODAY()-$K2731)</f>
        <v/>
      </c>
      <c r="M2731">
        <f>IF($A2731="","",IF($H2731="ENGAGE","Engagé",IF(AND($H2731="NON ENGAGE",OR($I2731="INFRUCTUEUX",$I2731="ANNULE")),"Clôturé sans suite","En cours")))</f>
        <v/>
      </c>
      <c r="N2731">
        <f>IF(ISBLANK('ENGAGEMENTS 2026'!C2731),"",'ENGAGEMENTS 2026'!L2731)</f>
        <v/>
      </c>
      <c r="O2731">
        <f>IF(ISBLANK('ENGAGEMENTS 2026'!C2731),"",'ENGAGEMENTS 2026'!M2731)</f>
        <v/>
      </c>
      <c r="P2731">
        <f>IF(ISBLANK('ENGAGEMENTS 2026'!C2731),"",'ENGAGEMENTS 2026'!K2731)</f>
        <v/>
      </c>
      <c r="Q2731">
        <f>IF($A2731="","",IF(OR($E2731="INFRUCTUEUX",$E2731="ANNULE"),$A2731&amp;"|"&amp;(COUNTIFS($A$2:$A2731,$A2731,$E$2:$E2731,"INFRUCTUEUX")+COUNTIFS($A$2:$A2731,$A2731,$E$2:$E2731,"ANNULE")),""))</f>
        <v/>
      </c>
    </row>
    <row r="2732">
      <c r="A2732">
        <f>IF(ISBLANK('ENGAGEMENTS 2026'!C2732),"",IF('ENGAGEMENTS 2026'!C2732="DTSI","DCT",'ENGAGEMENTS 2026'!C2732))</f>
        <v/>
      </c>
      <c r="B2732">
        <f>IF(ISBLANK('ENGAGEMENTS 2026'!C2732),"",'ENGAGEMENTS 2026'!D2732)</f>
        <v/>
      </c>
      <c r="C2732">
        <f>IF(ISBLANK('ENGAGEMENTS 2026'!C2732),"",'ENGAGEMENTS 2026'!E2732)</f>
        <v/>
      </c>
      <c r="D2732">
        <f>IF(ISBLANK('ENGAGEMENTS 2026'!C2732),"",'ENGAGEMENTS 2026'!G2732)</f>
        <v/>
      </c>
      <c r="E2732">
        <f>IF(ISBLANK('ENGAGEMENTS 2026'!C2732),"",'ENGAGEMENTS 2026'!I2732)</f>
        <v/>
      </c>
      <c r="F2732">
        <f>IF(ISBLANK('ENGAGEMENTS 2026'!C2732),"",'ENGAGEMENTS 2026'!J2732)</f>
        <v/>
      </c>
      <c r="G2732">
        <f>IF(ISBLANK('ENGAGEMENTS 2026'!C2732),"",'ENGAGEMENTS 2026'!M2732)</f>
        <v/>
      </c>
      <c r="H2732">
        <f>IF(ISBLANK('ENGAGEMENTS 2026'!C2732),"",'ENGAGEMENTS 2026'!AF2732)</f>
        <v/>
      </c>
      <c r="I2732">
        <f>IF(ISBLANK('ENGAGEMENTS 2026'!C2732),"",'ENGAGEMENTS 2026'!H2732)</f>
        <v/>
      </c>
      <c r="J2732" s="275">
        <f>IF(ISBLANK('ENGAGEMENTS 2026'!C2732),"",IF(AND(OR($E2732="INFRUCTUEUX",$E2732="ANNULE"),$C2732="AOO-M"),'ENGAGEMENTS 2026'!P2732,IF($H2732="EN COURS DE PREENGAGEMENT",'ENGAGEMENTS 2026'!O2732,IF($H2732="PREENGAGE",IF($E2732="ATTRIBUE",'ENGAGEMENTS 2026'!AE2732,'ENGAGEMENTS 2026'!O2732),'ENGAGEMENTS 2026'!AE2732))))</f>
        <v/>
      </c>
      <c r="K2732" s="604">
        <f>IF(ISBLANK('ENGAGEMENTS 2026'!W2732),"",'ENGAGEMENTS 2026'!W2732)</f>
        <v/>
      </c>
      <c r="L2732" s="276">
        <f>IF($K2732="","",TODAY()-$K2732)</f>
        <v/>
      </c>
      <c r="M2732">
        <f>IF($A2732="","",IF($H2732="ENGAGE","Engagé",IF(AND($H2732="NON ENGAGE",OR($I2732="INFRUCTUEUX",$I2732="ANNULE")),"Clôturé sans suite","En cours")))</f>
        <v/>
      </c>
      <c r="N2732">
        <f>IF(ISBLANK('ENGAGEMENTS 2026'!C2732),"",'ENGAGEMENTS 2026'!L2732)</f>
        <v/>
      </c>
      <c r="O2732">
        <f>IF(ISBLANK('ENGAGEMENTS 2026'!C2732),"",'ENGAGEMENTS 2026'!M2732)</f>
        <v/>
      </c>
      <c r="P2732">
        <f>IF(ISBLANK('ENGAGEMENTS 2026'!C2732),"",'ENGAGEMENTS 2026'!K2732)</f>
        <v/>
      </c>
      <c r="Q2732">
        <f>IF($A2732="","",IF(OR($E2732="INFRUCTUEUX",$E2732="ANNULE"),$A2732&amp;"|"&amp;(COUNTIFS($A$2:$A2732,$A2732,$E$2:$E2732,"INFRUCTUEUX")+COUNTIFS($A$2:$A2732,$A2732,$E$2:$E2732,"ANNULE")),""))</f>
        <v/>
      </c>
    </row>
    <row r="2733">
      <c r="A2733">
        <f>IF(ISBLANK('ENGAGEMENTS 2026'!C2733),"",IF('ENGAGEMENTS 2026'!C2733="DTSI","DCT",'ENGAGEMENTS 2026'!C2733))</f>
        <v/>
      </c>
      <c r="B2733">
        <f>IF(ISBLANK('ENGAGEMENTS 2026'!C2733),"",'ENGAGEMENTS 2026'!D2733)</f>
        <v/>
      </c>
      <c r="C2733">
        <f>IF(ISBLANK('ENGAGEMENTS 2026'!C2733),"",'ENGAGEMENTS 2026'!E2733)</f>
        <v/>
      </c>
      <c r="D2733">
        <f>IF(ISBLANK('ENGAGEMENTS 2026'!C2733),"",'ENGAGEMENTS 2026'!G2733)</f>
        <v/>
      </c>
      <c r="E2733">
        <f>IF(ISBLANK('ENGAGEMENTS 2026'!C2733),"",'ENGAGEMENTS 2026'!I2733)</f>
        <v/>
      </c>
      <c r="F2733">
        <f>IF(ISBLANK('ENGAGEMENTS 2026'!C2733),"",'ENGAGEMENTS 2026'!J2733)</f>
        <v/>
      </c>
      <c r="G2733">
        <f>IF(ISBLANK('ENGAGEMENTS 2026'!C2733),"",'ENGAGEMENTS 2026'!M2733)</f>
        <v/>
      </c>
      <c r="H2733">
        <f>IF(ISBLANK('ENGAGEMENTS 2026'!C2733),"",'ENGAGEMENTS 2026'!AF2733)</f>
        <v/>
      </c>
      <c r="I2733">
        <f>IF(ISBLANK('ENGAGEMENTS 2026'!C2733),"",'ENGAGEMENTS 2026'!H2733)</f>
        <v/>
      </c>
      <c r="J2733" s="275">
        <f>IF(ISBLANK('ENGAGEMENTS 2026'!C2733),"",IF(AND(OR($E2733="INFRUCTUEUX",$E2733="ANNULE"),$C2733="AOO-M"),'ENGAGEMENTS 2026'!P2733,IF($H2733="EN COURS DE PREENGAGEMENT",'ENGAGEMENTS 2026'!O2733,IF($H2733="PREENGAGE",IF($E2733="ATTRIBUE",'ENGAGEMENTS 2026'!AE2733,'ENGAGEMENTS 2026'!O2733),'ENGAGEMENTS 2026'!AE2733))))</f>
        <v/>
      </c>
      <c r="K2733" s="604">
        <f>IF(ISBLANK('ENGAGEMENTS 2026'!W2733),"",'ENGAGEMENTS 2026'!W2733)</f>
        <v/>
      </c>
      <c r="L2733" s="276">
        <f>IF($K2733="","",TODAY()-$K2733)</f>
        <v/>
      </c>
      <c r="M2733">
        <f>IF($A2733="","",IF($H2733="ENGAGE","Engagé",IF(AND($H2733="NON ENGAGE",OR($I2733="INFRUCTUEUX",$I2733="ANNULE")),"Clôturé sans suite","En cours")))</f>
        <v/>
      </c>
      <c r="N2733">
        <f>IF(ISBLANK('ENGAGEMENTS 2026'!C2733),"",'ENGAGEMENTS 2026'!L2733)</f>
        <v/>
      </c>
      <c r="O2733">
        <f>IF(ISBLANK('ENGAGEMENTS 2026'!C2733),"",'ENGAGEMENTS 2026'!M2733)</f>
        <v/>
      </c>
      <c r="P2733">
        <f>IF(ISBLANK('ENGAGEMENTS 2026'!C2733),"",'ENGAGEMENTS 2026'!K2733)</f>
        <v/>
      </c>
      <c r="Q2733">
        <f>IF($A2733="","",IF(OR($E2733="INFRUCTUEUX",$E2733="ANNULE"),$A2733&amp;"|"&amp;(COUNTIFS($A$2:$A2733,$A2733,$E$2:$E2733,"INFRUCTUEUX")+COUNTIFS($A$2:$A2733,$A2733,$E$2:$E2733,"ANNULE")),""))</f>
        <v/>
      </c>
    </row>
    <row r="2734">
      <c r="A2734">
        <f>IF(ISBLANK('ENGAGEMENTS 2026'!C2734),"",IF('ENGAGEMENTS 2026'!C2734="DTSI","DCT",'ENGAGEMENTS 2026'!C2734))</f>
        <v/>
      </c>
      <c r="B2734">
        <f>IF(ISBLANK('ENGAGEMENTS 2026'!C2734),"",'ENGAGEMENTS 2026'!D2734)</f>
        <v/>
      </c>
      <c r="C2734">
        <f>IF(ISBLANK('ENGAGEMENTS 2026'!C2734),"",'ENGAGEMENTS 2026'!E2734)</f>
        <v/>
      </c>
      <c r="D2734">
        <f>IF(ISBLANK('ENGAGEMENTS 2026'!C2734),"",'ENGAGEMENTS 2026'!G2734)</f>
        <v/>
      </c>
      <c r="E2734">
        <f>IF(ISBLANK('ENGAGEMENTS 2026'!C2734),"",'ENGAGEMENTS 2026'!I2734)</f>
        <v/>
      </c>
      <c r="F2734">
        <f>IF(ISBLANK('ENGAGEMENTS 2026'!C2734),"",'ENGAGEMENTS 2026'!J2734)</f>
        <v/>
      </c>
      <c r="G2734">
        <f>IF(ISBLANK('ENGAGEMENTS 2026'!C2734),"",'ENGAGEMENTS 2026'!M2734)</f>
        <v/>
      </c>
      <c r="H2734">
        <f>IF(ISBLANK('ENGAGEMENTS 2026'!C2734),"",'ENGAGEMENTS 2026'!AF2734)</f>
        <v/>
      </c>
      <c r="I2734">
        <f>IF(ISBLANK('ENGAGEMENTS 2026'!C2734),"",'ENGAGEMENTS 2026'!H2734)</f>
        <v/>
      </c>
      <c r="J2734" s="275">
        <f>IF(ISBLANK('ENGAGEMENTS 2026'!C2734),"",IF(AND(OR($E2734="INFRUCTUEUX",$E2734="ANNULE"),$C2734="AOO-M"),'ENGAGEMENTS 2026'!P2734,IF($H2734="EN COURS DE PREENGAGEMENT",'ENGAGEMENTS 2026'!O2734,IF($H2734="PREENGAGE",IF($E2734="ATTRIBUE",'ENGAGEMENTS 2026'!AE2734,'ENGAGEMENTS 2026'!O2734),'ENGAGEMENTS 2026'!AE2734))))</f>
        <v/>
      </c>
      <c r="K2734" s="604">
        <f>IF(ISBLANK('ENGAGEMENTS 2026'!W2734),"",'ENGAGEMENTS 2026'!W2734)</f>
        <v/>
      </c>
      <c r="L2734" s="276">
        <f>IF($K2734="","",TODAY()-$K2734)</f>
        <v/>
      </c>
      <c r="M2734">
        <f>IF($A2734="","",IF($H2734="ENGAGE","Engagé",IF(AND($H2734="NON ENGAGE",OR($I2734="INFRUCTUEUX",$I2734="ANNULE")),"Clôturé sans suite","En cours")))</f>
        <v/>
      </c>
      <c r="N2734">
        <f>IF(ISBLANK('ENGAGEMENTS 2026'!C2734),"",'ENGAGEMENTS 2026'!L2734)</f>
        <v/>
      </c>
      <c r="O2734">
        <f>IF(ISBLANK('ENGAGEMENTS 2026'!C2734),"",'ENGAGEMENTS 2026'!M2734)</f>
        <v/>
      </c>
      <c r="P2734">
        <f>IF(ISBLANK('ENGAGEMENTS 2026'!C2734),"",'ENGAGEMENTS 2026'!K2734)</f>
        <v/>
      </c>
      <c r="Q2734">
        <f>IF($A2734="","",IF(OR($E2734="INFRUCTUEUX",$E2734="ANNULE"),$A2734&amp;"|"&amp;(COUNTIFS($A$2:$A2734,$A2734,$E$2:$E2734,"INFRUCTUEUX")+COUNTIFS($A$2:$A2734,$A2734,$E$2:$E2734,"ANNULE")),""))</f>
        <v/>
      </c>
    </row>
    <row r="2735">
      <c r="A2735">
        <f>IF(ISBLANK('ENGAGEMENTS 2026'!C2735),"",IF('ENGAGEMENTS 2026'!C2735="DTSI","DCT",'ENGAGEMENTS 2026'!C2735))</f>
        <v/>
      </c>
      <c r="B2735">
        <f>IF(ISBLANK('ENGAGEMENTS 2026'!C2735),"",'ENGAGEMENTS 2026'!D2735)</f>
        <v/>
      </c>
      <c r="C2735">
        <f>IF(ISBLANK('ENGAGEMENTS 2026'!C2735),"",'ENGAGEMENTS 2026'!E2735)</f>
        <v/>
      </c>
      <c r="D2735">
        <f>IF(ISBLANK('ENGAGEMENTS 2026'!C2735),"",'ENGAGEMENTS 2026'!G2735)</f>
        <v/>
      </c>
      <c r="E2735">
        <f>IF(ISBLANK('ENGAGEMENTS 2026'!C2735),"",'ENGAGEMENTS 2026'!I2735)</f>
        <v/>
      </c>
      <c r="F2735">
        <f>IF(ISBLANK('ENGAGEMENTS 2026'!C2735),"",'ENGAGEMENTS 2026'!J2735)</f>
        <v/>
      </c>
      <c r="G2735">
        <f>IF(ISBLANK('ENGAGEMENTS 2026'!C2735),"",'ENGAGEMENTS 2026'!M2735)</f>
        <v/>
      </c>
      <c r="H2735">
        <f>IF(ISBLANK('ENGAGEMENTS 2026'!C2735),"",'ENGAGEMENTS 2026'!AF2735)</f>
        <v/>
      </c>
      <c r="I2735">
        <f>IF(ISBLANK('ENGAGEMENTS 2026'!C2735),"",'ENGAGEMENTS 2026'!H2735)</f>
        <v/>
      </c>
      <c r="J2735" s="275">
        <f>IF(ISBLANK('ENGAGEMENTS 2026'!C2735),"",IF(AND(OR($E2735="INFRUCTUEUX",$E2735="ANNULE"),$C2735="AOO-M"),'ENGAGEMENTS 2026'!P2735,IF($H2735="EN COURS DE PREENGAGEMENT",'ENGAGEMENTS 2026'!O2735,IF($H2735="PREENGAGE",IF($E2735="ATTRIBUE",'ENGAGEMENTS 2026'!AE2735,'ENGAGEMENTS 2026'!O2735),'ENGAGEMENTS 2026'!AE2735))))</f>
        <v/>
      </c>
      <c r="K2735" s="604">
        <f>IF(ISBLANK('ENGAGEMENTS 2026'!W2735),"",'ENGAGEMENTS 2026'!W2735)</f>
        <v/>
      </c>
      <c r="L2735" s="276">
        <f>IF($K2735="","",TODAY()-$K2735)</f>
        <v/>
      </c>
      <c r="M2735">
        <f>IF($A2735="","",IF($H2735="ENGAGE","Engagé",IF(AND($H2735="NON ENGAGE",OR($I2735="INFRUCTUEUX",$I2735="ANNULE")),"Clôturé sans suite","En cours")))</f>
        <v/>
      </c>
      <c r="N2735">
        <f>IF(ISBLANK('ENGAGEMENTS 2026'!C2735),"",'ENGAGEMENTS 2026'!L2735)</f>
        <v/>
      </c>
      <c r="O2735">
        <f>IF(ISBLANK('ENGAGEMENTS 2026'!C2735),"",'ENGAGEMENTS 2026'!M2735)</f>
        <v/>
      </c>
      <c r="P2735">
        <f>IF(ISBLANK('ENGAGEMENTS 2026'!C2735),"",'ENGAGEMENTS 2026'!K2735)</f>
        <v/>
      </c>
      <c r="Q2735">
        <f>IF($A2735="","",IF(OR($E2735="INFRUCTUEUX",$E2735="ANNULE"),$A2735&amp;"|"&amp;(COUNTIFS($A$2:$A2735,$A2735,$E$2:$E2735,"INFRUCTUEUX")+COUNTIFS($A$2:$A2735,$A2735,$E$2:$E2735,"ANNULE")),""))</f>
        <v/>
      </c>
    </row>
    <row r="2736">
      <c r="A2736">
        <f>IF(ISBLANK('ENGAGEMENTS 2026'!C2736),"",IF('ENGAGEMENTS 2026'!C2736="DTSI","DCT",'ENGAGEMENTS 2026'!C2736))</f>
        <v/>
      </c>
      <c r="B2736">
        <f>IF(ISBLANK('ENGAGEMENTS 2026'!C2736),"",'ENGAGEMENTS 2026'!D2736)</f>
        <v/>
      </c>
      <c r="C2736">
        <f>IF(ISBLANK('ENGAGEMENTS 2026'!C2736),"",'ENGAGEMENTS 2026'!E2736)</f>
        <v/>
      </c>
      <c r="D2736">
        <f>IF(ISBLANK('ENGAGEMENTS 2026'!C2736),"",'ENGAGEMENTS 2026'!G2736)</f>
        <v/>
      </c>
      <c r="E2736">
        <f>IF(ISBLANK('ENGAGEMENTS 2026'!C2736),"",'ENGAGEMENTS 2026'!I2736)</f>
        <v/>
      </c>
      <c r="F2736">
        <f>IF(ISBLANK('ENGAGEMENTS 2026'!C2736),"",'ENGAGEMENTS 2026'!J2736)</f>
        <v/>
      </c>
      <c r="G2736">
        <f>IF(ISBLANK('ENGAGEMENTS 2026'!C2736),"",'ENGAGEMENTS 2026'!M2736)</f>
        <v/>
      </c>
      <c r="H2736">
        <f>IF(ISBLANK('ENGAGEMENTS 2026'!C2736),"",'ENGAGEMENTS 2026'!AF2736)</f>
        <v/>
      </c>
      <c r="I2736">
        <f>IF(ISBLANK('ENGAGEMENTS 2026'!C2736),"",'ENGAGEMENTS 2026'!H2736)</f>
        <v/>
      </c>
      <c r="J2736" s="275">
        <f>IF(ISBLANK('ENGAGEMENTS 2026'!C2736),"",IF(AND(OR($E2736="INFRUCTUEUX",$E2736="ANNULE"),$C2736="AOO-M"),'ENGAGEMENTS 2026'!P2736,IF($H2736="EN COURS DE PREENGAGEMENT",'ENGAGEMENTS 2026'!O2736,IF($H2736="PREENGAGE",IF($E2736="ATTRIBUE",'ENGAGEMENTS 2026'!AE2736,'ENGAGEMENTS 2026'!O2736),'ENGAGEMENTS 2026'!AE2736))))</f>
        <v/>
      </c>
      <c r="K2736" s="604">
        <f>IF(ISBLANK('ENGAGEMENTS 2026'!W2736),"",'ENGAGEMENTS 2026'!W2736)</f>
        <v/>
      </c>
      <c r="L2736" s="276">
        <f>IF($K2736="","",TODAY()-$K2736)</f>
        <v/>
      </c>
      <c r="M2736">
        <f>IF($A2736="","",IF($H2736="ENGAGE","Engagé",IF(AND($H2736="NON ENGAGE",OR($I2736="INFRUCTUEUX",$I2736="ANNULE")),"Clôturé sans suite","En cours")))</f>
        <v/>
      </c>
      <c r="N2736">
        <f>IF(ISBLANK('ENGAGEMENTS 2026'!C2736),"",'ENGAGEMENTS 2026'!L2736)</f>
        <v/>
      </c>
      <c r="O2736">
        <f>IF(ISBLANK('ENGAGEMENTS 2026'!C2736),"",'ENGAGEMENTS 2026'!M2736)</f>
        <v/>
      </c>
      <c r="P2736">
        <f>IF(ISBLANK('ENGAGEMENTS 2026'!C2736),"",'ENGAGEMENTS 2026'!K2736)</f>
        <v/>
      </c>
      <c r="Q2736">
        <f>IF($A2736="","",IF(OR($E2736="INFRUCTUEUX",$E2736="ANNULE"),$A2736&amp;"|"&amp;(COUNTIFS($A$2:$A2736,$A2736,$E$2:$E2736,"INFRUCTUEUX")+COUNTIFS($A$2:$A2736,$A2736,$E$2:$E2736,"ANNULE")),""))</f>
        <v/>
      </c>
    </row>
    <row r="2737">
      <c r="A2737">
        <f>IF(ISBLANK('ENGAGEMENTS 2026'!C2737),"",IF('ENGAGEMENTS 2026'!C2737="DTSI","DCT",'ENGAGEMENTS 2026'!C2737))</f>
        <v/>
      </c>
      <c r="B2737">
        <f>IF(ISBLANK('ENGAGEMENTS 2026'!C2737),"",'ENGAGEMENTS 2026'!D2737)</f>
        <v/>
      </c>
      <c r="C2737">
        <f>IF(ISBLANK('ENGAGEMENTS 2026'!C2737),"",'ENGAGEMENTS 2026'!E2737)</f>
        <v/>
      </c>
      <c r="D2737">
        <f>IF(ISBLANK('ENGAGEMENTS 2026'!C2737),"",'ENGAGEMENTS 2026'!G2737)</f>
        <v/>
      </c>
      <c r="E2737">
        <f>IF(ISBLANK('ENGAGEMENTS 2026'!C2737),"",'ENGAGEMENTS 2026'!I2737)</f>
        <v/>
      </c>
      <c r="F2737">
        <f>IF(ISBLANK('ENGAGEMENTS 2026'!C2737),"",'ENGAGEMENTS 2026'!J2737)</f>
        <v/>
      </c>
      <c r="G2737">
        <f>IF(ISBLANK('ENGAGEMENTS 2026'!C2737),"",'ENGAGEMENTS 2026'!M2737)</f>
        <v/>
      </c>
      <c r="H2737">
        <f>IF(ISBLANK('ENGAGEMENTS 2026'!C2737),"",'ENGAGEMENTS 2026'!AF2737)</f>
        <v/>
      </c>
      <c r="I2737">
        <f>IF(ISBLANK('ENGAGEMENTS 2026'!C2737),"",'ENGAGEMENTS 2026'!H2737)</f>
        <v/>
      </c>
      <c r="J2737" s="275">
        <f>IF(ISBLANK('ENGAGEMENTS 2026'!C2737),"",IF(AND(OR($E2737="INFRUCTUEUX",$E2737="ANNULE"),$C2737="AOO-M"),'ENGAGEMENTS 2026'!P2737,IF($H2737="EN COURS DE PREENGAGEMENT",'ENGAGEMENTS 2026'!O2737,IF($H2737="PREENGAGE",IF($E2737="ATTRIBUE",'ENGAGEMENTS 2026'!AE2737,'ENGAGEMENTS 2026'!O2737),'ENGAGEMENTS 2026'!AE2737))))</f>
        <v/>
      </c>
      <c r="K2737" s="604">
        <f>IF(ISBLANK('ENGAGEMENTS 2026'!W2737),"",'ENGAGEMENTS 2026'!W2737)</f>
        <v/>
      </c>
      <c r="L2737" s="276">
        <f>IF($K2737="","",TODAY()-$K2737)</f>
        <v/>
      </c>
      <c r="M2737">
        <f>IF($A2737="","",IF($H2737="ENGAGE","Engagé",IF(AND($H2737="NON ENGAGE",OR($I2737="INFRUCTUEUX",$I2737="ANNULE")),"Clôturé sans suite","En cours")))</f>
        <v/>
      </c>
      <c r="N2737">
        <f>IF(ISBLANK('ENGAGEMENTS 2026'!C2737),"",'ENGAGEMENTS 2026'!L2737)</f>
        <v/>
      </c>
      <c r="O2737">
        <f>IF(ISBLANK('ENGAGEMENTS 2026'!C2737),"",'ENGAGEMENTS 2026'!M2737)</f>
        <v/>
      </c>
      <c r="P2737">
        <f>IF(ISBLANK('ENGAGEMENTS 2026'!C2737),"",'ENGAGEMENTS 2026'!K2737)</f>
        <v/>
      </c>
      <c r="Q2737">
        <f>IF($A2737="","",IF(OR($E2737="INFRUCTUEUX",$E2737="ANNULE"),$A2737&amp;"|"&amp;(COUNTIFS($A$2:$A2737,$A2737,$E$2:$E2737,"INFRUCTUEUX")+COUNTIFS($A$2:$A2737,$A2737,$E$2:$E2737,"ANNULE")),""))</f>
        <v/>
      </c>
    </row>
    <row r="2738">
      <c r="A2738">
        <f>IF(ISBLANK('ENGAGEMENTS 2026'!C2738),"",IF('ENGAGEMENTS 2026'!C2738="DTSI","DCT",'ENGAGEMENTS 2026'!C2738))</f>
        <v/>
      </c>
      <c r="B2738">
        <f>IF(ISBLANK('ENGAGEMENTS 2026'!C2738),"",'ENGAGEMENTS 2026'!D2738)</f>
        <v/>
      </c>
      <c r="C2738">
        <f>IF(ISBLANK('ENGAGEMENTS 2026'!C2738),"",'ENGAGEMENTS 2026'!E2738)</f>
        <v/>
      </c>
      <c r="D2738">
        <f>IF(ISBLANK('ENGAGEMENTS 2026'!C2738),"",'ENGAGEMENTS 2026'!G2738)</f>
        <v/>
      </c>
      <c r="E2738">
        <f>IF(ISBLANK('ENGAGEMENTS 2026'!C2738),"",'ENGAGEMENTS 2026'!I2738)</f>
        <v/>
      </c>
      <c r="F2738">
        <f>IF(ISBLANK('ENGAGEMENTS 2026'!C2738),"",'ENGAGEMENTS 2026'!J2738)</f>
        <v/>
      </c>
      <c r="G2738">
        <f>IF(ISBLANK('ENGAGEMENTS 2026'!C2738),"",'ENGAGEMENTS 2026'!M2738)</f>
        <v/>
      </c>
      <c r="H2738">
        <f>IF(ISBLANK('ENGAGEMENTS 2026'!C2738),"",'ENGAGEMENTS 2026'!AF2738)</f>
        <v/>
      </c>
      <c r="I2738">
        <f>IF(ISBLANK('ENGAGEMENTS 2026'!C2738),"",'ENGAGEMENTS 2026'!H2738)</f>
        <v/>
      </c>
      <c r="J2738" s="275">
        <f>IF(ISBLANK('ENGAGEMENTS 2026'!C2738),"",IF(AND(OR($E2738="INFRUCTUEUX",$E2738="ANNULE"),$C2738="AOO-M"),'ENGAGEMENTS 2026'!P2738,IF($H2738="EN COURS DE PREENGAGEMENT",'ENGAGEMENTS 2026'!O2738,IF($H2738="PREENGAGE",IF($E2738="ATTRIBUE",'ENGAGEMENTS 2026'!AE2738,'ENGAGEMENTS 2026'!O2738),'ENGAGEMENTS 2026'!AE2738))))</f>
        <v/>
      </c>
      <c r="K2738" s="604">
        <f>IF(ISBLANK('ENGAGEMENTS 2026'!W2738),"",'ENGAGEMENTS 2026'!W2738)</f>
        <v/>
      </c>
      <c r="L2738" s="276">
        <f>IF($K2738="","",TODAY()-$K2738)</f>
        <v/>
      </c>
      <c r="M2738">
        <f>IF($A2738="","",IF($H2738="ENGAGE","Engagé",IF(AND($H2738="NON ENGAGE",OR($I2738="INFRUCTUEUX",$I2738="ANNULE")),"Clôturé sans suite","En cours")))</f>
        <v/>
      </c>
      <c r="N2738">
        <f>IF(ISBLANK('ENGAGEMENTS 2026'!C2738),"",'ENGAGEMENTS 2026'!L2738)</f>
        <v/>
      </c>
      <c r="O2738">
        <f>IF(ISBLANK('ENGAGEMENTS 2026'!C2738),"",'ENGAGEMENTS 2026'!M2738)</f>
        <v/>
      </c>
      <c r="P2738">
        <f>IF(ISBLANK('ENGAGEMENTS 2026'!C2738),"",'ENGAGEMENTS 2026'!K2738)</f>
        <v/>
      </c>
      <c r="Q2738">
        <f>IF($A2738="","",IF(OR($E2738="INFRUCTUEUX",$E2738="ANNULE"),$A2738&amp;"|"&amp;(COUNTIFS($A$2:$A2738,$A2738,$E$2:$E2738,"INFRUCTUEUX")+COUNTIFS($A$2:$A2738,$A2738,$E$2:$E2738,"ANNULE")),""))</f>
        <v/>
      </c>
    </row>
    <row r="2739">
      <c r="A2739">
        <f>IF(ISBLANK('ENGAGEMENTS 2026'!C2739),"",IF('ENGAGEMENTS 2026'!C2739="DTSI","DCT",'ENGAGEMENTS 2026'!C2739))</f>
        <v/>
      </c>
      <c r="B2739">
        <f>IF(ISBLANK('ENGAGEMENTS 2026'!C2739),"",'ENGAGEMENTS 2026'!D2739)</f>
        <v/>
      </c>
      <c r="C2739">
        <f>IF(ISBLANK('ENGAGEMENTS 2026'!C2739),"",'ENGAGEMENTS 2026'!E2739)</f>
        <v/>
      </c>
      <c r="D2739">
        <f>IF(ISBLANK('ENGAGEMENTS 2026'!C2739),"",'ENGAGEMENTS 2026'!G2739)</f>
        <v/>
      </c>
      <c r="E2739">
        <f>IF(ISBLANK('ENGAGEMENTS 2026'!C2739),"",'ENGAGEMENTS 2026'!I2739)</f>
        <v/>
      </c>
      <c r="F2739">
        <f>IF(ISBLANK('ENGAGEMENTS 2026'!C2739),"",'ENGAGEMENTS 2026'!J2739)</f>
        <v/>
      </c>
      <c r="G2739">
        <f>IF(ISBLANK('ENGAGEMENTS 2026'!C2739),"",'ENGAGEMENTS 2026'!M2739)</f>
        <v/>
      </c>
      <c r="H2739">
        <f>IF(ISBLANK('ENGAGEMENTS 2026'!C2739),"",'ENGAGEMENTS 2026'!AF2739)</f>
        <v/>
      </c>
      <c r="I2739">
        <f>IF(ISBLANK('ENGAGEMENTS 2026'!C2739),"",'ENGAGEMENTS 2026'!H2739)</f>
        <v/>
      </c>
      <c r="J2739" s="275">
        <f>IF(ISBLANK('ENGAGEMENTS 2026'!C2739),"",IF(AND(OR($E2739="INFRUCTUEUX",$E2739="ANNULE"),$C2739="AOO-M"),'ENGAGEMENTS 2026'!P2739,IF($H2739="EN COURS DE PREENGAGEMENT",'ENGAGEMENTS 2026'!O2739,IF($H2739="PREENGAGE",IF($E2739="ATTRIBUE",'ENGAGEMENTS 2026'!AE2739,'ENGAGEMENTS 2026'!O2739),'ENGAGEMENTS 2026'!AE2739))))</f>
        <v/>
      </c>
      <c r="K2739" s="604">
        <f>IF(ISBLANK('ENGAGEMENTS 2026'!W2739),"",'ENGAGEMENTS 2026'!W2739)</f>
        <v/>
      </c>
      <c r="L2739" s="276">
        <f>IF($K2739="","",TODAY()-$K2739)</f>
        <v/>
      </c>
      <c r="M2739">
        <f>IF($A2739="","",IF($H2739="ENGAGE","Engagé",IF(AND($H2739="NON ENGAGE",OR($I2739="INFRUCTUEUX",$I2739="ANNULE")),"Clôturé sans suite","En cours")))</f>
        <v/>
      </c>
      <c r="N2739">
        <f>IF(ISBLANK('ENGAGEMENTS 2026'!C2739),"",'ENGAGEMENTS 2026'!L2739)</f>
        <v/>
      </c>
      <c r="O2739">
        <f>IF(ISBLANK('ENGAGEMENTS 2026'!C2739),"",'ENGAGEMENTS 2026'!M2739)</f>
        <v/>
      </c>
      <c r="P2739">
        <f>IF(ISBLANK('ENGAGEMENTS 2026'!C2739),"",'ENGAGEMENTS 2026'!K2739)</f>
        <v/>
      </c>
      <c r="Q2739">
        <f>IF($A2739="","",IF(OR($E2739="INFRUCTUEUX",$E2739="ANNULE"),$A2739&amp;"|"&amp;(COUNTIFS($A$2:$A2739,$A2739,$E$2:$E2739,"INFRUCTUEUX")+COUNTIFS($A$2:$A2739,$A2739,$E$2:$E2739,"ANNULE")),""))</f>
        <v/>
      </c>
    </row>
    <row r="2740">
      <c r="A2740">
        <f>IF(ISBLANK('ENGAGEMENTS 2026'!C2740),"",IF('ENGAGEMENTS 2026'!C2740="DTSI","DCT",'ENGAGEMENTS 2026'!C2740))</f>
        <v/>
      </c>
      <c r="B2740">
        <f>IF(ISBLANK('ENGAGEMENTS 2026'!C2740),"",'ENGAGEMENTS 2026'!D2740)</f>
        <v/>
      </c>
      <c r="C2740">
        <f>IF(ISBLANK('ENGAGEMENTS 2026'!C2740),"",'ENGAGEMENTS 2026'!E2740)</f>
        <v/>
      </c>
      <c r="D2740">
        <f>IF(ISBLANK('ENGAGEMENTS 2026'!C2740),"",'ENGAGEMENTS 2026'!G2740)</f>
        <v/>
      </c>
      <c r="E2740">
        <f>IF(ISBLANK('ENGAGEMENTS 2026'!C2740),"",'ENGAGEMENTS 2026'!I2740)</f>
        <v/>
      </c>
      <c r="F2740">
        <f>IF(ISBLANK('ENGAGEMENTS 2026'!C2740),"",'ENGAGEMENTS 2026'!J2740)</f>
        <v/>
      </c>
      <c r="G2740">
        <f>IF(ISBLANK('ENGAGEMENTS 2026'!C2740),"",'ENGAGEMENTS 2026'!M2740)</f>
        <v/>
      </c>
      <c r="H2740">
        <f>IF(ISBLANK('ENGAGEMENTS 2026'!C2740),"",'ENGAGEMENTS 2026'!AF2740)</f>
        <v/>
      </c>
      <c r="I2740">
        <f>IF(ISBLANK('ENGAGEMENTS 2026'!C2740),"",'ENGAGEMENTS 2026'!H2740)</f>
        <v/>
      </c>
      <c r="J2740" s="275">
        <f>IF(ISBLANK('ENGAGEMENTS 2026'!C2740),"",IF(AND(OR($E2740="INFRUCTUEUX",$E2740="ANNULE"),$C2740="AOO-M"),'ENGAGEMENTS 2026'!P2740,IF($H2740="EN COURS DE PREENGAGEMENT",'ENGAGEMENTS 2026'!O2740,IF($H2740="PREENGAGE",IF($E2740="ATTRIBUE",'ENGAGEMENTS 2026'!AE2740,'ENGAGEMENTS 2026'!O2740),'ENGAGEMENTS 2026'!AE2740))))</f>
        <v/>
      </c>
      <c r="K2740" s="604">
        <f>IF(ISBLANK('ENGAGEMENTS 2026'!W2740),"",'ENGAGEMENTS 2026'!W2740)</f>
        <v/>
      </c>
      <c r="L2740" s="276">
        <f>IF($K2740="","",TODAY()-$K2740)</f>
        <v/>
      </c>
      <c r="M2740">
        <f>IF($A2740="","",IF($H2740="ENGAGE","Engagé",IF(AND($H2740="NON ENGAGE",OR($I2740="INFRUCTUEUX",$I2740="ANNULE")),"Clôturé sans suite","En cours")))</f>
        <v/>
      </c>
      <c r="N2740">
        <f>IF(ISBLANK('ENGAGEMENTS 2026'!C2740),"",'ENGAGEMENTS 2026'!L2740)</f>
        <v/>
      </c>
      <c r="O2740">
        <f>IF(ISBLANK('ENGAGEMENTS 2026'!C2740),"",'ENGAGEMENTS 2026'!M2740)</f>
        <v/>
      </c>
      <c r="P2740">
        <f>IF(ISBLANK('ENGAGEMENTS 2026'!C2740),"",'ENGAGEMENTS 2026'!K2740)</f>
        <v/>
      </c>
      <c r="Q2740">
        <f>IF($A2740="","",IF(OR($E2740="INFRUCTUEUX",$E2740="ANNULE"),$A2740&amp;"|"&amp;(COUNTIFS($A$2:$A2740,$A2740,$E$2:$E2740,"INFRUCTUEUX")+COUNTIFS($A$2:$A2740,$A2740,$E$2:$E2740,"ANNULE")),""))</f>
        <v/>
      </c>
    </row>
    <row r="2741">
      <c r="A2741">
        <f>IF(ISBLANK('ENGAGEMENTS 2026'!C2741),"",IF('ENGAGEMENTS 2026'!C2741="DTSI","DCT",'ENGAGEMENTS 2026'!C2741))</f>
        <v/>
      </c>
      <c r="B2741">
        <f>IF(ISBLANK('ENGAGEMENTS 2026'!C2741),"",'ENGAGEMENTS 2026'!D2741)</f>
        <v/>
      </c>
      <c r="C2741">
        <f>IF(ISBLANK('ENGAGEMENTS 2026'!C2741),"",'ENGAGEMENTS 2026'!E2741)</f>
        <v/>
      </c>
      <c r="D2741">
        <f>IF(ISBLANK('ENGAGEMENTS 2026'!C2741),"",'ENGAGEMENTS 2026'!G2741)</f>
        <v/>
      </c>
      <c r="E2741">
        <f>IF(ISBLANK('ENGAGEMENTS 2026'!C2741),"",'ENGAGEMENTS 2026'!I2741)</f>
        <v/>
      </c>
      <c r="F2741">
        <f>IF(ISBLANK('ENGAGEMENTS 2026'!C2741),"",'ENGAGEMENTS 2026'!J2741)</f>
        <v/>
      </c>
      <c r="G2741">
        <f>IF(ISBLANK('ENGAGEMENTS 2026'!C2741),"",'ENGAGEMENTS 2026'!M2741)</f>
        <v/>
      </c>
      <c r="H2741">
        <f>IF(ISBLANK('ENGAGEMENTS 2026'!C2741),"",'ENGAGEMENTS 2026'!AF2741)</f>
        <v/>
      </c>
      <c r="I2741">
        <f>IF(ISBLANK('ENGAGEMENTS 2026'!C2741),"",'ENGAGEMENTS 2026'!H2741)</f>
        <v/>
      </c>
      <c r="J2741" s="275">
        <f>IF(ISBLANK('ENGAGEMENTS 2026'!C2741),"",IF(AND(OR($E2741="INFRUCTUEUX",$E2741="ANNULE"),$C2741="AOO-M"),'ENGAGEMENTS 2026'!P2741,IF($H2741="EN COURS DE PREENGAGEMENT",'ENGAGEMENTS 2026'!O2741,IF($H2741="PREENGAGE",IF($E2741="ATTRIBUE",'ENGAGEMENTS 2026'!AE2741,'ENGAGEMENTS 2026'!O2741),'ENGAGEMENTS 2026'!AE2741))))</f>
        <v/>
      </c>
      <c r="K2741" s="604">
        <f>IF(ISBLANK('ENGAGEMENTS 2026'!W2741),"",'ENGAGEMENTS 2026'!W2741)</f>
        <v/>
      </c>
      <c r="L2741" s="276">
        <f>IF($K2741="","",TODAY()-$K2741)</f>
        <v/>
      </c>
      <c r="M2741">
        <f>IF($A2741="","",IF($H2741="ENGAGE","Engagé",IF(AND($H2741="NON ENGAGE",OR($I2741="INFRUCTUEUX",$I2741="ANNULE")),"Clôturé sans suite","En cours")))</f>
        <v/>
      </c>
      <c r="N2741">
        <f>IF(ISBLANK('ENGAGEMENTS 2026'!C2741),"",'ENGAGEMENTS 2026'!L2741)</f>
        <v/>
      </c>
      <c r="O2741">
        <f>IF(ISBLANK('ENGAGEMENTS 2026'!C2741),"",'ENGAGEMENTS 2026'!M2741)</f>
        <v/>
      </c>
      <c r="P2741">
        <f>IF(ISBLANK('ENGAGEMENTS 2026'!C2741),"",'ENGAGEMENTS 2026'!K2741)</f>
        <v/>
      </c>
      <c r="Q2741">
        <f>IF($A2741="","",IF(OR($E2741="INFRUCTUEUX",$E2741="ANNULE"),$A2741&amp;"|"&amp;(COUNTIFS($A$2:$A2741,$A2741,$E$2:$E2741,"INFRUCTUEUX")+COUNTIFS($A$2:$A2741,$A2741,$E$2:$E2741,"ANNULE")),""))</f>
        <v/>
      </c>
    </row>
    <row r="2742">
      <c r="A2742">
        <f>IF(ISBLANK('ENGAGEMENTS 2026'!C2742),"",IF('ENGAGEMENTS 2026'!C2742="DTSI","DCT",'ENGAGEMENTS 2026'!C2742))</f>
        <v/>
      </c>
      <c r="B2742">
        <f>IF(ISBLANK('ENGAGEMENTS 2026'!C2742),"",'ENGAGEMENTS 2026'!D2742)</f>
        <v/>
      </c>
      <c r="C2742">
        <f>IF(ISBLANK('ENGAGEMENTS 2026'!C2742),"",'ENGAGEMENTS 2026'!E2742)</f>
        <v/>
      </c>
      <c r="D2742">
        <f>IF(ISBLANK('ENGAGEMENTS 2026'!C2742),"",'ENGAGEMENTS 2026'!G2742)</f>
        <v/>
      </c>
      <c r="E2742">
        <f>IF(ISBLANK('ENGAGEMENTS 2026'!C2742),"",'ENGAGEMENTS 2026'!I2742)</f>
        <v/>
      </c>
      <c r="F2742">
        <f>IF(ISBLANK('ENGAGEMENTS 2026'!C2742),"",'ENGAGEMENTS 2026'!J2742)</f>
        <v/>
      </c>
      <c r="G2742">
        <f>IF(ISBLANK('ENGAGEMENTS 2026'!C2742),"",'ENGAGEMENTS 2026'!M2742)</f>
        <v/>
      </c>
      <c r="H2742">
        <f>IF(ISBLANK('ENGAGEMENTS 2026'!C2742),"",'ENGAGEMENTS 2026'!AF2742)</f>
        <v/>
      </c>
      <c r="I2742">
        <f>IF(ISBLANK('ENGAGEMENTS 2026'!C2742),"",'ENGAGEMENTS 2026'!H2742)</f>
        <v/>
      </c>
      <c r="J2742" s="275">
        <f>IF(ISBLANK('ENGAGEMENTS 2026'!C2742),"",IF(AND(OR($E2742="INFRUCTUEUX",$E2742="ANNULE"),$C2742="AOO-M"),'ENGAGEMENTS 2026'!P2742,IF($H2742="EN COURS DE PREENGAGEMENT",'ENGAGEMENTS 2026'!O2742,IF($H2742="PREENGAGE",IF($E2742="ATTRIBUE",'ENGAGEMENTS 2026'!AE2742,'ENGAGEMENTS 2026'!O2742),'ENGAGEMENTS 2026'!AE2742))))</f>
        <v/>
      </c>
      <c r="K2742" s="604">
        <f>IF(ISBLANK('ENGAGEMENTS 2026'!W2742),"",'ENGAGEMENTS 2026'!W2742)</f>
        <v/>
      </c>
      <c r="L2742" s="276">
        <f>IF($K2742="","",TODAY()-$K2742)</f>
        <v/>
      </c>
      <c r="M2742">
        <f>IF($A2742="","",IF($H2742="ENGAGE","Engagé",IF(AND($H2742="NON ENGAGE",OR($I2742="INFRUCTUEUX",$I2742="ANNULE")),"Clôturé sans suite","En cours")))</f>
        <v/>
      </c>
      <c r="N2742">
        <f>IF(ISBLANK('ENGAGEMENTS 2026'!C2742),"",'ENGAGEMENTS 2026'!L2742)</f>
        <v/>
      </c>
      <c r="O2742">
        <f>IF(ISBLANK('ENGAGEMENTS 2026'!C2742),"",'ENGAGEMENTS 2026'!M2742)</f>
        <v/>
      </c>
      <c r="P2742">
        <f>IF(ISBLANK('ENGAGEMENTS 2026'!C2742),"",'ENGAGEMENTS 2026'!K2742)</f>
        <v/>
      </c>
      <c r="Q2742">
        <f>IF($A2742="","",IF(OR($E2742="INFRUCTUEUX",$E2742="ANNULE"),$A2742&amp;"|"&amp;(COUNTIFS($A$2:$A2742,$A2742,$E$2:$E2742,"INFRUCTUEUX")+COUNTIFS($A$2:$A2742,$A2742,$E$2:$E2742,"ANNULE")),""))</f>
        <v/>
      </c>
    </row>
    <row r="2743">
      <c r="A2743">
        <f>IF(ISBLANK('ENGAGEMENTS 2026'!C2743),"",IF('ENGAGEMENTS 2026'!C2743="DTSI","DCT",'ENGAGEMENTS 2026'!C2743))</f>
        <v/>
      </c>
      <c r="B2743">
        <f>IF(ISBLANK('ENGAGEMENTS 2026'!C2743),"",'ENGAGEMENTS 2026'!D2743)</f>
        <v/>
      </c>
      <c r="C2743">
        <f>IF(ISBLANK('ENGAGEMENTS 2026'!C2743),"",'ENGAGEMENTS 2026'!E2743)</f>
        <v/>
      </c>
      <c r="D2743">
        <f>IF(ISBLANK('ENGAGEMENTS 2026'!C2743),"",'ENGAGEMENTS 2026'!G2743)</f>
        <v/>
      </c>
      <c r="E2743">
        <f>IF(ISBLANK('ENGAGEMENTS 2026'!C2743),"",'ENGAGEMENTS 2026'!I2743)</f>
        <v/>
      </c>
      <c r="F2743">
        <f>IF(ISBLANK('ENGAGEMENTS 2026'!C2743),"",'ENGAGEMENTS 2026'!J2743)</f>
        <v/>
      </c>
      <c r="G2743">
        <f>IF(ISBLANK('ENGAGEMENTS 2026'!C2743),"",'ENGAGEMENTS 2026'!M2743)</f>
        <v/>
      </c>
      <c r="H2743">
        <f>IF(ISBLANK('ENGAGEMENTS 2026'!C2743),"",'ENGAGEMENTS 2026'!AF2743)</f>
        <v/>
      </c>
      <c r="I2743">
        <f>IF(ISBLANK('ENGAGEMENTS 2026'!C2743),"",'ENGAGEMENTS 2026'!H2743)</f>
        <v/>
      </c>
      <c r="J2743" s="275">
        <f>IF(ISBLANK('ENGAGEMENTS 2026'!C2743),"",IF(AND(OR($E2743="INFRUCTUEUX",$E2743="ANNULE"),$C2743="AOO-M"),'ENGAGEMENTS 2026'!P2743,IF($H2743="EN COURS DE PREENGAGEMENT",'ENGAGEMENTS 2026'!O2743,IF($H2743="PREENGAGE",IF($E2743="ATTRIBUE",'ENGAGEMENTS 2026'!AE2743,'ENGAGEMENTS 2026'!O2743),'ENGAGEMENTS 2026'!AE2743))))</f>
        <v/>
      </c>
      <c r="K2743" s="604">
        <f>IF(ISBLANK('ENGAGEMENTS 2026'!W2743),"",'ENGAGEMENTS 2026'!W2743)</f>
        <v/>
      </c>
      <c r="L2743" s="276">
        <f>IF($K2743="","",TODAY()-$K2743)</f>
        <v/>
      </c>
      <c r="M2743">
        <f>IF($A2743="","",IF($H2743="ENGAGE","Engagé",IF(AND($H2743="NON ENGAGE",OR($I2743="INFRUCTUEUX",$I2743="ANNULE")),"Clôturé sans suite","En cours")))</f>
        <v/>
      </c>
      <c r="N2743">
        <f>IF(ISBLANK('ENGAGEMENTS 2026'!C2743),"",'ENGAGEMENTS 2026'!L2743)</f>
        <v/>
      </c>
      <c r="O2743">
        <f>IF(ISBLANK('ENGAGEMENTS 2026'!C2743),"",'ENGAGEMENTS 2026'!M2743)</f>
        <v/>
      </c>
      <c r="P2743">
        <f>IF(ISBLANK('ENGAGEMENTS 2026'!C2743),"",'ENGAGEMENTS 2026'!K2743)</f>
        <v/>
      </c>
      <c r="Q2743">
        <f>IF($A2743="","",IF(OR($E2743="INFRUCTUEUX",$E2743="ANNULE"),$A2743&amp;"|"&amp;(COUNTIFS($A$2:$A2743,$A2743,$E$2:$E2743,"INFRUCTUEUX")+COUNTIFS($A$2:$A2743,$A2743,$E$2:$E2743,"ANNULE")),""))</f>
        <v/>
      </c>
    </row>
    <row r="2744">
      <c r="A2744">
        <f>IF(ISBLANK('ENGAGEMENTS 2026'!C2744),"",IF('ENGAGEMENTS 2026'!C2744="DTSI","DCT",'ENGAGEMENTS 2026'!C2744))</f>
        <v/>
      </c>
      <c r="B2744">
        <f>IF(ISBLANK('ENGAGEMENTS 2026'!C2744),"",'ENGAGEMENTS 2026'!D2744)</f>
        <v/>
      </c>
      <c r="C2744">
        <f>IF(ISBLANK('ENGAGEMENTS 2026'!C2744),"",'ENGAGEMENTS 2026'!E2744)</f>
        <v/>
      </c>
      <c r="D2744">
        <f>IF(ISBLANK('ENGAGEMENTS 2026'!C2744),"",'ENGAGEMENTS 2026'!G2744)</f>
        <v/>
      </c>
      <c r="E2744">
        <f>IF(ISBLANK('ENGAGEMENTS 2026'!C2744),"",'ENGAGEMENTS 2026'!I2744)</f>
        <v/>
      </c>
      <c r="F2744">
        <f>IF(ISBLANK('ENGAGEMENTS 2026'!C2744),"",'ENGAGEMENTS 2026'!J2744)</f>
        <v/>
      </c>
      <c r="G2744">
        <f>IF(ISBLANK('ENGAGEMENTS 2026'!C2744),"",'ENGAGEMENTS 2026'!M2744)</f>
        <v/>
      </c>
      <c r="H2744">
        <f>IF(ISBLANK('ENGAGEMENTS 2026'!C2744),"",'ENGAGEMENTS 2026'!AF2744)</f>
        <v/>
      </c>
      <c r="I2744">
        <f>IF(ISBLANK('ENGAGEMENTS 2026'!C2744),"",'ENGAGEMENTS 2026'!H2744)</f>
        <v/>
      </c>
      <c r="J2744" s="275">
        <f>IF(ISBLANK('ENGAGEMENTS 2026'!C2744),"",IF(AND(OR($E2744="INFRUCTUEUX",$E2744="ANNULE"),$C2744="AOO-M"),'ENGAGEMENTS 2026'!P2744,IF($H2744="EN COURS DE PREENGAGEMENT",'ENGAGEMENTS 2026'!O2744,IF($H2744="PREENGAGE",IF($E2744="ATTRIBUE",'ENGAGEMENTS 2026'!AE2744,'ENGAGEMENTS 2026'!O2744),'ENGAGEMENTS 2026'!AE2744))))</f>
        <v/>
      </c>
      <c r="K2744" s="604">
        <f>IF(ISBLANK('ENGAGEMENTS 2026'!W2744),"",'ENGAGEMENTS 2026'!W2744)</f>
        <v/>
      </c>
      <c r="L2744" s="276">
        <f>IF($K2744="","",TODAY()-$K2744)</f>
        <v/>
      </c>
      <c r="M2744">
        <f>IF($A2744="","",IF($H2744="ENGAGE","Engagé",IF(AND($H2744="NON ENGAGE",OR($I2744="INFRUCTUEUX",$I2744="ANNULE")),"Clôturé sans suite","En cours")))</f>
        <v/>
      </c>
      <c r="N2744">
        <f>IF(ISBLANK('ENGAGEMENTS 2026'!C2744),"",'ENGAGEMENTS 2026'!L2744)</f>
        <v/>
      </c>
      <c r="O2744">
        <f>IF(ISBLANK('ENGAGEMENTS 2026'!C2744),"",'ENGAGEMENTS 2026'!M2744)</f>
        <v/>
      </c>
      <c r="P2744">
        <f>IF(ISBLANK('ENGAGEMENTS 2026'!C2744),"",'ENGAGEMENTS 2026'!K2744)</f>
        <v/>
      </c>
      <c r="Q2744">
        <f>IF($A2744="","",IF(OR($E2744="INFRUCTUEUX",$E2744="ANNULE"),$A2744&amp;"|"&amp;(COUNTIFS($A$2:$A2744,$A2744,$E$2:$E2744,"INFRUCTUEUX")+COUNTIFS($A$2:$A2744,$A2744,$E$2:$E2744,"ANNULE")),""))</f>
        <v/>
      </c>
    </row>
    <row r="2745">
      <c r="A2745">
        <f>IF(ISBLANK('ENGAGEMENTS 2026'!C2745),"",IF('ENGAGEMENTS 2026'!C2745="DTSI","DCT",'ENGAGEMENTS 2026'!C2745))</f>
        <v/>
      </c>
      <c r="B2745">
        <f>IF(ISBLANK('ENGAGEMENTS 2026'!C2745),"",'ENGAGEMENTS 2026'!D2745)</f>
        <v/>
      </c>
      <c r="C2745">
        <f>IF(ISBLANK('ENGAGEMENTS 2026'!C2745),"",'ENGAGEMENTS 2026'!E2745)</f>
        <v/>
      </c>
      <c r="D2745">
        <f>IF(ISBLANK('ENGAGEMENTS 2026'!C2745),"",'ENGAGEMENTS 2026'!G2745)</f>
        <v/>
      </c>
      <c r="E2745">
        <f>IF(ISBLANK('ENGAGEMENTS 2026'!C2745),"",'ENGAGEMENTS 2026'!I2745)</f>
        <v/>
      </c>
      <c r="F2745">
        <f>IF(ISBLANK('ENGAGEMENTS 2026'!C2745),"",'ENGAGEMENTS 2026'!J2745)</f>
        <v/>
      </c>
      <c r="G2745">
        <f>IF(ISBLANK('ENGAGEMENTS 2026'!C2745),"",'ENGAGEMENTS 2026'!M2745)</f>
        <v/>
      </c>
      <c r="H2745">
        <f>IF(ISBLANK('ENGAGEMENTS 2026'!C2745),"",'ENGAGEMENTS 2026'!AF2745)</f>
        <v/>
      </c>
      <c r="I2745">
        <f>IF(ISBLANK('ENGAGEMENTS 2026'!C2745),"",'ENGAGEMENTS 2026'!H2745)</f>
        <v/>
      </c>
      <c r="J2745" s="275">
        <f>IF(ISBLANK('ENGAGEMENTS 2026'!C2745),"",IF(AND(OR($E2745="INFRUCTUEUX",$E2745="ANNULE"),$C2745="AOO-M"),'ENGAGEMENTS 2026'!P2745,IF($H2745="EN COURS DE PREENGAGEMENT",'ENGAGEMENTS 2026'!O2745,IF($H2745="PREENGAGE",IF($E2745="ATTRIBUE",'ENGAGEMENTS 2026'!AE2745,'ENGAGEMENTS 2026'!O2745),'ENGAGEMENTS 2026'!AE2745))))</f>
        <v/>
      </c>
      <c r="K2745" s="604">
        <f>IF(ISBLANK('ENGAGEMENTS 2026'!W2745),"",'ENGAGEMENTS 2026'!W2745)</f>
        <v/>
      </c>
      <c r="L2745" s="276">
        <f>IF($K2745="","",TODAY()-$K2745)</f>
        <v/>
      </c>
      <c r="M2745">
        <f>IF($A2745="","",IF($H2745="ENGAGE","Engagé",IF(AND($H2745="NON ENGAGE",OR($I2745="INFRUCTUEUX",$I2745="ANNULE")),"Clôturé sans suite","En cours")))</f>
        <v/>
      </c>
      <c r="N2745">
        <f>IF(ISBLANK('ENGAGEMENTS 2026'!C2745),"",'ENGAGEMENTS 2026'!L2745)</f>
        <v/>
      </c>
      <c r="O2745">
        <f>IF(ISBLANK('ENGAGEMENTS 2026'!C2745),"",'ENGAGEMENTS 2026'!M2745)</f>
        <v/>
      </c>
      <c r="P2745">
        <f>IF(ISBLANK('ENGAGEMENTS 2026'!C2745),"",'ENGAGEMENTS 2026'!K2745)</f>
        <v/>
      </c>
      <c r="Q2745">
        <f>IF($A2745="","",IF(OR($E2745="INFRUCTUEUX",$E2745="ANNULE"),$A2745&amp;"|"&amp;(COUNTIFS($A$2:$A2745,$A2745,$E$2:$E2745,"INFRUCTUEUX")+COUNTIFS($A$2:$A2745,$A2745,$E$2:$E2745,"ANNULE")),""))</f>
        <v/>
      </c>
    </row>
    <row r="2746">
      <c r="A2746">
        <f>IF(ISBLANK('ENGAGEMENTS 2026'!C2746),"",IF('ENGAGEMENTS 2026'!C2746="DTSI","DCT",'ENGAGEMENTS 2026'!C2746))</f>
        <v/>
      </c>
      <c r="B2746">
        <f>IF(ISBLANK('ENGAGEMENTS 2026'!C2746),"",'ENGAGEMENTS 2026'!D2746)</f>
        <v/>
      </c>
      <c r="C2746">
        <f>IF(ISBLANK('ENGAGEMENTS 2026'!C2746),"",'ENGAGEMENTS 2026'!E2746)</f>
        <v/>
      </c>
      <c r="D2746">
        <f>IF(ISBLANK('ENGAGEMENTS 2026'!C2746),"",'ENGAGEMENTS 2026'!G2746)</f>
        <v/>
      </c>
      <c r="E2746">
        <f>IF(ISBLANK('ENGAGEMENTS 2026'!C2746),"",'ENGAGEMENTS 2026'!I2746)</f>
        <v/>
      </c>
      <c r="F2746">
        <f>IF(ISBLANK('ENGAGEMENTS 2026'!C2746),"",'ENGAGEMENTS 2026'!J2746)</f>
        <v/>
      </c>
      <c r="G2746">
        <f>IF(ISBLANK('ENGAGEMENTS 2026'!C2746),"",'ENGAGEMENTS 2026'!M2746)</f>
        <v/>
      </c>
      <c r="H2746">
        <f>IF(ISBLANK('ENGAGEMENTS 2026'!C2746),"",'ENGAGEMENTS 2026'!AF2746)</f>
        <v/>
      </c>
      <c r="I2746">
        <f>IF(ISBLANK('ENGAGEMENTS 2026'!C2746),"",'ENGAGEMENTS 2026'!H2746)</f>
        <v/>
      </c>
      <c r="J2746" s="275">
        <f>IF(ISBLANK('ENGAGEMENTS 2026'!C2746),"",IF(AND(OR($E2746="INFRUCTUEUX",$E2746="ANNULE"),$C2746="AOO-M"),'ENGAGEMENTS 2026'!P2746,IF($H2746="EN COURS DE PREENGAGEMENT",'ENGAGEMENTS 2026'!O2746,IF($H2746="PREENGAGE",IF($E2746="ATTRIBUE",'ENGAGEMENTS 2026'!AE2746,'ENGAGEMENTS 2026'!O2746),'ENGAGEMENTS 2026'!AE2746))))</f>
        <v/>
      </c>
      <c r="K2746" s="604">
        <f>IF(ISBLANK('ENGAGEMENTS 2026'!W2746),"",'ENGAGEMENTS 2026'!W2746)</f>
        <v/>
      </c>
      <c r="L2746" s="276">
        <f>IF($K2746="","",TODAY()-$K2746)</f>
        <v/>
      </c>
      <c r="M2746">
        <f>IF($A2746="","",IF($H2746="ENGAGE","Engagé",IF(AND($H2746="NON ENGAGE",OR($I2746="INFRUCTUEUX",$I2746="ANNULE")),"Clôturé sans suite","En cours")))</f>
        <v/>
      </c>
      <c r="N2746">
        <f>IF(ISBLANK('ENGAGEMENTS 2026'!C2746),"",'ENGAGEMENTS 2026'!L2746)</f>
        <v/>
      </c>
      <c r="O2746">
        <f>IF(ISBLANK('ENGAGEMENTS 2026'!C2746),"",'ENGAGEMENTS 2026'!M2746)</f>
        <v/>
      </c>
      <c r="P2746">
        <f>IF(ISBLANK('ENGAGEMENTS 2026'!C2746),"",'ENGAGEMENTS 2026'!K2746)</f>
        <v/>
      </c>
      <c r="Q2746">
        <f>IF($A2746="","",IF(OR($E2746="INFRUCTUEUX",$E2746="ANNULE"),$A2746&amp;"|"&amp;(COUNTIFS($A$2:$A2746,$A2746,$E$2:$E2746,"INFRUCTUEUX")+COUNTIFS($A$2:$A2746,$A2746,$E$2:$E2746,"ANNULE")),""))</f>
        <v/>
      </c>
    </row>
    <row r="2747">
      <c r="A2747">
        <f>IF(ISBLANK('ENGAGEMENTS 2026'!C2747),"",IF('ENGAGEMENTS 2026'!C2747="DTSI","DCT",'ENGAGEMENTS 2026'!C2747))</f>
        <v/>
      </c>
      <c r="B2747">
        <f>IF(ISBLANK('ENGAGEMENTS 2026'!C2747),"",'ENGAGEMENTS 2026'!D2747)</f>
        <v/>
      </c>
      <c r="C2747">
        <f>IF(ISBLANK('ENGAGEMENTS 2026'!C2747),"",'ENGAGEMENTS 2026'!E2747)</f>
        <v/>
      </c>
      <c r="D2747">
        <f>IF(ISBLANK('ENGAGEMENTS 2026'!C2747),"",'ENGAGEMENTS 2026'!G2747)</f>
        <v/>
      </c>
      <c r="E2747">
        <f>IF(ISBLANK('ENGAGEMENTS 2026'!C2747),"",'ENGAGEMENTS 2026'!I2747)</f>
        <v/>
      </c>
      <c r="F2747">
        <f>IF(ISBLANK('ENGAGEMENTS 2026'!C2747),"",'ENGAGEMENTS 2026'!J2747)</f>
        <v/>
      </c>
      <c r="G2747">
        <f>IF(ISBLANK('ENGAGEMENTS 2026'!C2747),"",'ENGAGEMENTS 2026'!M2747)</f>
        <v/>
      </c>
      <c r="H2747">
        <f>IF(ISBLANK('ENGAGEMENTS 2026'!C2747),"",'ENGAGEMENTS 2026'!AF2747)</f>
        <v/>
      </c>
      <c r="I2747">
        <f>IF(ISBLANK('ENGAGEMENTS 2026'!C2747),"",'ENGAGEMENTS 2026'!H2747)</f>
        <v/>
      </c>
      <c r="J2747" s="275">
        <f>IF(ISBLANK('ENGAGEMENTS 2026'!C2747),"",IF(AND(OR($E2747="INFRUCTUEUX",$E2747="ANNULE"),$C2747="AOO-M"),'ENGAGEMENTS 2026'!P2747,IF($H2747="EN COURS DE PREENGAGEMENT",'ENGAGEMENTS 2026'!O2747,IF($H2747="PREENGAGE",IF($E2747="ATTRIBUE",'ENGAGEMENTS 2026'!AE2747,'ENGAGEMENTS 2026'!O2747),'ENGAGEMENTS 2026'!AE2747))))</f>
        <v/>
      </c>
      <c r="K2747" s="604">
        <f>IF(ISBLANK('ENGAGEMENTS 2026'!W2747),"",'ENGAGEMENTS 2026'!W2747)</f>
        <v/>
      </c>
      <c r="L2747" s="276">
        <f>IF($K2747="","",TODAY()-$K2747)</f>
        <v/>
      </c>
      <c r="M2747">
        <f>IF($A2747="","",IF($H2747="ENGAGE","Engagé",IF(AND($H2747="NON ENGAGE",OR($I2747="INFRUCTUEUX",$I2747="ANNULE")),"Clôturé sans suite","En cours")))</f>
        <v/>
      </c>
      <c r="N2747">
        <f>IF(ISBLANK('ENGAGEMENTS 2026'!C2747),"",'ENGAGEMENTS 2026'!L2747)</f>
        <v/>
      </c>
      <c r="O2747">
        <f>IF(ISBLANK('ENGAGEMENTS 2026'!C2747),"",'ENGAGEMENTS 2026'!M2747)</f>
        <v/>
      </c>
      <c r="P2747">
        <f>IF(ISBLANK('ENGAGEMENTS 2026'!C2747),"",'ENGAGEMENTS 2026'!K2747)</f>
        <v/>
      </c>
      <c r="Q2747">
        <f>IF($A2747="","",IF(OR($E2747="INFRUCTUEUX",$E2747="ANNULE"),$A2747&amp;"|"&amp;(COUNTIFS($A$2:$A2747,$A2747,$E$2:$E2747,"INFRUCTUEUX")+COUNTIFS($A$2:$A2747,$A2747,$E$2:$E2747,"ANNULE")),""))</f>
        <v/>
      </c>
    </row>
    <row r="2748">
      <c r="A2748">
        <f>IF(ISBLANK('ENGAGEMENTS 2026'!C2748),"",IF('ENGAGEMENTS 2026'!C2748="DTSI","DCT",'ENGAGEMENTS 2026'!C2748))</f>
        <v/>
      </c>
      <c r="B2748">
        <f>IF(ISBLANK('ENGAGEMENTS 2026'!C2748),"",'ENGAGEMENTS 2026'!D2748)</f>
        <v/>
      </c>
      <c r="C2748">
        <f>IF(ISBLANK('ENGAGEMENTS 2026'!C2748),"",'ENGAGEMENTS 2026'!E2748)</f>
        <v/>
      </c>
      <c r="D2748">
        <f>IF(ISBLANK('ENGAGEMENTS 2026'!C2748),"",'ENGAGEMENTS 2026'!G2748)</f>
        <v/>
      </c>
      <c r="E2748">
        <f>IF(ISBLANK('ENGAGEMENTS 2026'!C2748),"",'ENGAGEMENTS 2026'!I2748)</f>
        <v/>
      </c>
      <c r="F2748">
        <f>IF(ISBLANK('ENGAGEMENTS 2026'!C2748),"",'ENGAGEMENTS 2026'!J2748)</f>
        <v/>
      </c>
      <c r="G2748">
        <f>IF(ISBLANK('ENGAGEMENTS 2026'!C2748),"",'ENGAGEMENTS 2026'!M2748)</f>
        <v/>
      </c>
      <c r="H2748">
        <f>IF(ISBLANK('ENGAGEMENTS 2026'!C2748),"",'ENGAGEMENTS 2026'!AF2748)</f>
        <v/>
      </c>
      <c r="I2748">
        <f>IF(ISBLANK('ENGAGEMENTS 2026'!C2748),"",'ENGAGEMENTS 2026'!H2748)</f>
        <v/>
      </c>
      <c r="J2748" s="275">
        <f>IF(ISBLANK('ENGAGEMENTS 2026'!C2748),"",IF(AND(OR($E2748="INFRUCTUEUX",$E2748="ANNULE"),$C2748="AOO-M"),'ENGAGEMENTS 2026'!P2748,IF($H2748="EN COURS DE PREENGAGEMENT",'ENGAGEMENTS 2026'!O2748,IF($H2748="PREENGAGE",IF($E2748="ATTRIBUE",'ENGAGEMENTS 2026'!AE2748,'ENGAGEMENTS 2026'!O2748),'ENGAGEMENTS 2026'!AE2748))))</f>
        <v/>
      </c>
      <c r="K2748" s="604">
        <f>IF(ISBLANK('ENGAGEMENTS 2026'!W2748),"",'ENGAGEMENTS 2026'!W2748)</f>
        <v/>
      </c>
      <c r="L2748" s="276">
        <f>IF($K2748="","",TODAY()-$K2748)</f>
        <v/>
      </c>
      <c r="M2748">
        <f>IF($A2748="","",IF($H2748="ENGAGE","Engagé",IF(AND($H2748="NON ENGAGE",OR($I2748="INFRUCTUEUX",$I2748="ANNULE")),"Clôturé sans suite","En cours")))</f>
        <v/>
      </c>
      <c r="N2748">
        <f>IF(ISBLANK('ENGAGEMENTS 2026'!C2748),"",'ENGAGEMENTS 2026'!L2748)</f>
        <v/>
      </c>
      <c r="O2748">
        <f>IF(ISBLANK('ENGAGEMENTS 2026'!C2748),"",'ENGAGEMENTS 2026'!M2748)</f>
        <v/>
      </c>
      <c r="P2748">
        <f>IF(ISBLANK('ENGAGEMENTS 2026'!C2748),"",'ENGAGEMENTS 2026'!K2748)</f>
        <v/>
      </c>
      <c r="Q2748">
        <f>IF($A2748="","",IF(OR($E2748="INFRUCTUEUX",$E2748="ANNULE"),$A2748&amp;"|"&amp;(COUNTIFS($A$2:$A2748,$A2748,$E$2:$E2748,"INFRUCTUEUX")+COUNTIFS($A$2:$A2748,$A2748,$E$2:$E2748,"ANNULE")),""))</f>
        <v/>
      </c>
    </row>
    <row r="2749">
      <c r="A2749">
        <f>IF(ISBLANK('ENGAGEMENTS 2026'!C2749),"",IF('ENGAGEMENTS 2026'!C2749="DTSI","DCT",'ENGAGEMENTS 2026'!C2749))</f>
        <v/>
      </c>
      <c r="B2749">
        <f>IF(ISBLANK('ENGAGEMENTS 2026'!C2749),"",'ENGAGEMENTS 2026'!D2749)</f>
        <v/>
      </c>
      <c r="C2749">
        <f>IF(ISBLANK('ENGAGEMENTS 2026'!C2749),"",'ENGAGEMENTS 2026'!E2749)</f>
        <v/>
      </c>
      <c r="D2749">
        <f>IF(ISBLANK('ENGAGEMENTS 2026'!C2749),"",'ENGAGEMENTS 2026'!G2749)</f>
        <v/>
      </c>
      <c r="E2749">
        <f>IF(ISBLANK('ENGAGEMENTS 2026'!C2749),"",'ENGAGEMENTS 2026'!I2749)</f>
        <v/>
      </c>
      <c r="F2749">
        <f>IF(ISBLANK('ENGAGEMENTS 2026'!C2749),"",'ENGAGEMENTS 2026'!J2749)</f>
        <v/>
      </c>
      <c r="G2749">
        <f>IF(ISBLANK('ENGAGEMENTS 2026'!C2749),"",'ENGAGEMENTS 2026'!M2749)</f>
        <v/>
      </c>
      <c r="H2749">
        <f>IF(ISBLANK('ENGAGEMENTS 2026'!C2749),"",'ENGAGEMENTS 2026'!AF2749)</f>
        <v/>
      </c>
      <c r="I2749">
        <f>IF(ISBLANK('ENGAGEMENTS 2026'!C2749),"",'ENGAGEMENTS 2026'!H2749)</f>
        <v/>
      </c>
      <c r="J2749" s="275">
        <f>IF(ISBLANK('ENGAGEMENTS 2026'!C2749),"",IF(AND(OR($E2749="INFRUCTUEUX",$E2749="ANNULE"),$C2749="AOO-M"),'ENGAGEMENTS 2026'!P2749,IF($H2749="EN COURS DE PREENGAGEMENT",'ENGAGEMENTS 2026'!O2749,IF($H2749="PREENGAGE",IF($E2749="ATTRIBUE",'ENGAGEMENTS 2026'!AE2749,'ENGAGEMENTS 2026'!O2749),'ENGAGEMENTS 2026'!AE2749))))</f>
        <v/>
      </c>
      <c r="K2749" s="604">
        <f>IF(ISBLANK('ENGAGEMENTS 2026'!W2749),"",'ENGAGEMENTS 2026'!W2749)</f>
        <v/>
      </c>
      <c r="L2749" s="276">
        <f>IF($K2749="","",TODAY()-$K2749)</f>
        <v/>
      </c>
      <c r="M2749">
        <f>IF($A2749="","",IF($H2749="ENGAGE","Engagé",IF(AND($H2749="NON ENGAGE",OR($I2749="INFRUCTUEUX",$I2749="ANNULE")),"Clôturé sans suite","En cours")))</f>
        <v/>
      </c>
      <c r="N2749">
        <f>IF(ISBLANK('ENGAGEMENTS 2026'!C2749),"",'ENGAGEMENTS 2026'!L2749)</f>
        <v/>
      </c>
      <c r="O2749">
        <f>IF(ISBLANK('ENGAGEMENTS 2026'!C2749),"",'ENGAGEMENTS 2026'!M2749)</f>
        <v/>
      </c>
      <c r="P2749">
        <f>IF(ISBLANK('ENGAGEMENTS 2026'!C2749),"",'ENGAGEMENTS 2026'!K2749)</f>
        <v/>
      </c>
      <c r="Q2749">
        <f>IF($A2749="","",IF(OR($E2749="INFRUCTUEUX",$E2749="ANNULE"),$A2749&amp;"|"&amp;(COUNTIFS($A$2:$A2749,$A2749,$E$2:$E2749,"INFRUCTUEUX")+COUNTIFS($A$2:$A2749,$A2749,$E$2:$E2749,"ANNULE")),""))</f>
        <v/>
      </c>
    </row>
    <row r="2750">
      <c r="A2750">
        <f>IF(ISBLANK('ENGAGEMENTS 2026'!C2750),"",IF('ENGAGEMENTS 2026'!C2750="DTSI","DCT",'ENGAGEMENTS 2026'!C2750))</f>
        <v/>
      </c>
      <c r="B2750">
        <f>IF(ISBLANK('ENGAGEMENTS 2026'!C2750),"",'ENGAGEMENTS 2026'!D2750)</f>
        <v/>
      </c>
      <c r="C2750">
        <f>IF(ISBLANK('ENGAGEMENTS 2026'!C2750),"",'ENGAGEMENTS 2026'!E2750)</f>
        <v/>
      </c>
      <c r="D2750">
        <f>IF(ISBLANK('ENGAGEMENTS 2026'!C2750),"",'ENGAGEMENTS 2026'!G2750)</f>
        <v/>
      </c>
      <c r="E2750">
        <f>IF(ISBLANK('ENGAGEMENTS 2026'!C2750),"",'ENGAGEMENTS 2026'!I2750)</f>
        <v/>
      </c>
      <c r="F2750">
        <f>IF(ISBLANK('ENGAGEMENTS 2026'!C2750),"",'ENGAGEMENTS 2026'!J2750)</f>
        <v/>
      </c>
      <c r="G2750">
        <f>IF(ISBLANK('ENGAGEMENTS 2026'!C2750),"",'ENGAGEMENTS 2026'!M2750)</f>
        <v/>
      </c>
      <c r="H2750">
        <f>IF(ISBLANK('ENGAGEMENTS 2026'!C2750),"",'ENGAGEMENTS 2026'!AF2750)</f>
        <v/>
      </c>
      <c r="I2750">
        <f>IF(ISBLANK('ENGAGEMENTS 2026'!C2750),"",'ENGAGEMENTS 2026'!H2750)</f>
        <v/>
      </c>
      <c r="J2750" s="275">
        <f>IF(ISBLANK('ENGAGEMENTS 2026'!C2750),"",IF(AND(OR($E2750="INFRUCTUEUX",$E2750="ANNULE"),$C2750="AOO-M"),'ENGAGEMENTS 2026'!P2750,IF($H2750="EN COURS DE PREENGAGEMENT",'ENGAGEMENTS 2026'!O2750,IF($H2750="PREENGAGE",IF($E2750="ATTRIBUE",'ENGAGEMENTS 2026'!AE2750,'ENGAGEMENTS 2026'!O2750),'ENGAGEMENTS 2026'!AE2750))))</f>
        <v/>
      </c>
      <c r="K2750" s="604">
        <f>IF(ISBLANK('ENGAGEMENTS 2026'!W2750),"",'ENGAGEMENTS 2026'!W2750)</f>
        <v/>
      </c>
      <c r="L2750" s="276">
        <f>IF($K2750="","",TODAY()-$K2750)</f>
        <v/>
      </c>
      <c r="M2750">
        <f>IF($A2750="","",IF($H2750="ENGAGE","Engagé",IF(AND($H2750="NON ENGAGE",OR($I2750="INFRUCTUEUX",$I2750="ANNULE")),"Clôturé sans suite","En cours")))</f>
        <v/>
      </c>
      <c r="N2750">
        <f>IF(ISBLANK('ENGAGEMENTS 2026'!C2750),"",'ENGAGEMENTS 2026'!L2750)</f>
        <v/>
      </c>
      <c r="O2750">
        <f>IF(ISBLANK('ENGAGEMENTS 2026'!C2750),"",'ENGAGEMENTS 2026'!M2750)</f>
        <v/>
      </c>
      <c r="P2750">
        <f>IF(ISBLANK('ENGAGEMENTS 2026'!C2750),"",'ENGAGEMENTS 2026'!K2750)</f>
        <v/>
      </c>
      <c r="Q2750">
        <f>IF($A2750="","",IF(OR($E2750="INFRUCTUEUX",$E2750="ANNULE"),$A2750&amp;"|"&amp;(COUNTIFS($A$2:$A2750,$A2750,$E$2:$E2750,"INFRUCTUEUX")+COUNTIFS($A$2:$A2750,$A2750,$E$2:$E2750,"ANNULE")),""))</f>
        <v/>
      </c>
    </row>
    <row r="2751">
      <c r="A2751">
        <f>IF(ISBLANK('ENGAGEMENTS 2026'!C2751),"",IF('ENGAGEMENTS 2026'!C2751="DTSI","DCT",'ENGAGEMENTS 2026'!C2751))</f>
        <v/>
      </c>
      <c r="B2751">
        <f>IF(ISBLANK('ENGAGEMENTS 2026'!C2751),"",'ENGAGEMENTS 2026'!D2751)</f>
        <v/>
      </c>
      <c r="C2751">
        <f>IF(ISBLANK('ENGAGEMENTS 2026'!C2751),"",'ENGAGEMENTS 2026'!E2751)</f>
        <v/>
      </c>
      <c r="D2751">
        <f>IF(ISBLANK('ENGAGEMENTS 2026'!C2751),"",'ENGAGEMENTS 2026'!G2751)</f>
        <v/>
      </c>
      <c r="E2751">
        <f>IF(ISBLANK('ENGAGEMENTS 2026'!C2751),"",'ENGAGEMENTS 2026'!I2751)</f>
        <v/>
      </c>
      <c r="F2751">
        <f>IF(ISBLANK('ENGAGEMENTS 2026'!C2751),"",'ENGAGEMENTS 2026'!J2751)</f>
        <v/>
      </c>
      <c r="G2751">
        <f>IF(ISBLANK('ENGAGEMENTS 2026'!C2751),"",'ENGAGEMENTS 2026'!M2751)</f>
        <v/>
      </c>
      <c r="H2751">
        <f>IF(ISBLANK('ENGAGEMENTS 2026'!C2751),"",'ENGAGEMENTS 2026'!AF2751)</f>
        <v/>
      </c>
      <c r="I2751">
        <f>IF(ISBLANK('ENGAGEMENTS 2026'!C2751),"",'ENGAGEMENTS 2026'!H2751)</f>
        <v/>
      </c>
      <c r="J2751" s="275">
        <f>IF(ISBLANK('ENGAGEMENTS 2026'!C2751),"",IF(AND(OR($E2751="INFRUCTUEUX",$E2751="ANNULE"),$C2751="AOO-M"),'ENGAGEMENTS 2026'!P2751,IF($H2751="EN COURS DE PREENGAGEMENT",'ENGAGEMENTS 2026'!O2751,IF($H2751="PREENGAGE",IF($E2751="ATTRIBUE",'ENGAGEMENTS 2026'!AE2751,'ENGAGEMENTS 2026'!O2751),'ENGAGEMENTS 2026'!AE2751))))</f>
        <v/>
      </c>
      <c r="K2751" s="604">
        <f>IF(ISBLANK('ENGAGEMENTS 2026'!W2751),"",'ENGAGEMENTS 2026'!W2751)</f>
        <v/>
      </c>
      <c r="L2751" s="276">
        <f>IF($K2751="","",TODAY()-$K2751)</f>
        <v/>
      </c>
      <c r="M2751">
        <f>IF($A2751="","",IF($H2751="ENGAGE","Engagé",IF(AND($H2751="NON ENGAGE",OR($I2751="INFRUCTUEUX",$I2751="ANNULE")),"Clôturé sans suite","En cours")))</f>
        <v/>
      </c>
      <c r="N2751">
        <f>IF(ISBLANK('ENGAGEMENTS 2026'!C2751),"",'ENGAGEMENTS 2026'!L2751)</f>
        <v/>
      </c>
      <c r="O2751">
        <f>IF(ISBLANK('ENGAGEMENTS 2026'!C2751),"",'ENGAGEMENTS 2026'!M2751)</f>
        <v/>
      </c>
      <c r="P2751">
        <f>IF(ISBLANK('ENGAGEMENTS 2026'!C2751),"",'ENGAGEMENTS 2026'!K2751)</f>
        <v/>
      </c>
      <c r="Q2751">
        <f>IF($A2751="","",IF(OR($E2751="INFRUCTUEUX",$E2751="ANNULE"),$A2751&amp;"|"&amp;(COUNTIFS($A$2:$A2751,$A2751,$E$2:$E2751,"INFRUCTUEUX")+COUNTIFS($A$2:$A2751,$A2751,$E$2:$E2751,"ANNULE")),""))</f>
        <v/>
      </c>
    </row>
    <row r="2752">
      <c r="A2752">
        <f>IF(ISBLANK('ENGAGEMENTS 2026'!C2752),"",IF('ENGAGEMENTS 2026'!C2752="DTSI","DCT",'ENGAGEMENTS 2026'!C2752))</f>
        <v/>
      </c>
      <c r="B2752">
        <f>IF(ISBLANK('ENGAGEMENTS 2026'!C2752),"",'ENGAGEMENTS 2026'!D2752)</f>
        <v/>
      </c>
      <c r="C2752">
        <f>IF(ISBLANK('ENGAGEMENTS 2026'!C2752),"",'ENGAGEMENTS 2026'!E2752)</f>
        <v/>
      </c>
      <c r="D2752">
        <f>IF(ISBLANK('ENGAGEMENTS 2026'!C2752),"",'ENGAGEMENTS 2026'!G2752)</f>
        <v/>
      </c>
      <c r="E2752">
        <f>IF(ISBLANK('ENGAGEMENTS 2026'!C2752),"",'ENGAGEMENTS 2026'!I2752)</f>
        <v/>
      </c>
      <c r="F2752">
        <f>IF(ISBLANK('ENGAGEMENTS 2026'!C2752),"",'ENGAGEMENTS 2026'!J2752)</f>
        <v/>
      </c>
      <c r="G2752">
        <f>IF(ISBLANK('ENGAGEMENTS 2026'!C2752),"",'ENGAGEMENTS 2026'!M2752)</f>
        <v/>
      </c>
      <c r="H2752">
        <f>IF(ISBLANK('ENGAGEMENTS 2026'!C2752),"",'ENGAGEMENTS 2026'!AF2752)</f>
        <v/>
      </c>
      <c r="I2752">
        <f>IF(ISBLANK('ENGAGEMENTS 2026'!C2752),"",'ENGAGEMENTS 2026'!H2752)</f>
        <v/>
      </c>
      <c r="J2752" s="275">
        <f>IF(ISBLANK('ENGAGEMENTS 2026'!C2752),"",IF(AND(OR($E2752="INFRUCTUEUX",$E2752="ANNULE"),$C2752="AOO-M"),'ENGAGEMENTS 2026'!P2752,IF($H2752="EN COURS DE PREENGAGEMENT",'ENGAGEMENTS 2026'!O2752,IF($H2752="PREENGAGE",IF($E2752="ATTRIBUE",'ENGAGEMENTS 2026'!AE2752,'ENGAGEMENTS 2026'!O2752),'ENGAGEMENTS 2026'!AE2752))))</f>
        <v/>
      </c>
      <c r="K2752" s="604">
        <f>IF(ISBLANK('ENGAGEMENTS 2026'!W2752),"",'ENGAGEMENTS 2026'!W2752)</f>
        <v/>
      </c>
      <c r="L2752" s="276">
        <f>IF($K2752="","",TODAY()-$K2752)</f>
        <v/>
      </c>
      <c r="M2752">
        <f>IF($A2752="","",IF($H2752="ENGAGE","Engagé",IF(AND($H2752="NON ENGAGE",OR($I2752="INFRUCTUEUX",$I2752="ANNULE")),"Clôturé sans suite","En cours")))</f>
        <v/>
      </c>
      <c r="N2752">
        <f>IF(ISBLANK('ENGAGEMENTS 2026'!C2752),"",'ENGAGEMENTS 2026'!L2752)</f>
        <v/>
      </c>
      <c r="O2752">
        <f>IF(ISBLANK('ENGAGEMENTS 2026'!C2752),"",'ENGAGEMENTS 2026'!M2752)</f>
        <v/>
      </c>
      <c r="P2752">
        <f>IF(ISBLANK('ENGAGEMENTS 2026'!C2752),"",'ENGAGEMENTS 2026'!K2752)</f>
        <v/>
      </c>
      <c r="Q2752">
        <f>IF($A2752="","",IF(OR($E2752="INFRUCTUEUX",$E2752="ANNULE"),$A2752&amp;"|"&amp;(COUNTIFS($A$2:$A2752,$A2752,$E$2:$E2752,"INFRUCTUEUX")+COUNTIFS($A$2:$A2752,$A2752,$E$2:$E2752,"ANNULE")),""))</f>
        <v/>
      </c>
    </row>
    <row r="2753">
      <c r="A2753">
        <f>IF(ISBLANK('ENGAGEMENTS 2026'!C2753),"",IF('ENGAGEMENTS 2026'!C2753="DTSI","DCT",'ENGAGEMENTS 2026'!C2753))</f>
        <v/>
      </c>
      <c r="B2753">
        <f>IF(ISBLANK('ENGAGEMENTS 2026'!C2753),"",'ENGAGEMENTS 2026'!D2753)</f>
        <v/>
      </c>
      <c r="C2753">
        <f>IF(ISBLANK('ENGAGEMENTS 2026'!C2753),"",'ENGAGEMENTS 2026'!E2753)</f>
        <v/>
      </c>
      <c r="D2753">
        <f>IF(ISBLANK('ENGAGEMENTS 2026'!C2753),"",'ENGAGEMENTS 2026'!G2753)</f>
        <v/>
      </c>
      <c r="E2753">
        <f>IF(ISBLANK('ENGAGEMENTS 2026'!C2753),"",'ENGAGEMENTS 2026'!I2753)</f>
        <v/>
      </c>
      <c r="F2753">
        <f>IF(ISBLANK('ENGAGEMENTS 2026'!C2753),"",'ENGAGEMENTS 2026'!J2753)</f>
        <v/>
      </c>
      <c r="G2753">
        <f>IF(ISBLANK('ENGAGEMENTS 2026'!C2753),"",'ENGAGEMENTS 2026'!M2753)</f>
        <v/>
      </c>
      <c r="H2753">
        <f>IF(ISBLANK('ENGAGEMENTS 2026'!C2753),"",'ENGAGEMENTS 2026'!AF2753)</f>
        <v/>
      </c>
      <c r="I2753">
        <f>IF(ISBLANK('ENGAGEMENTS 2026'!C2753),"",'ENGAGEMENTS 2026'!H2753)</f>
        <v/>
      </c>
      <c r="J2753" s="275">
        <f>IF(ISBLANK('ENGAGEMENTS 2026'!C2753),"",IF(AND(OR($E2753="INFRUCTUEUX",$E2753="ANNULE"),$C2753="AOO-M"),'ENGAGEMENTS 2026'!P2753,IF($H2753="EN COURS DE PREENGAGEMENT",'ENGAGEMENTS 2026'!O2753,IF($H2753="PREENGAGE",IF($E2753="ATTRIBUE",'ENGAGEMENTS 2026'!AE2753,'ENGAGEMENTS 2026'!O2753),'ENGAGEMENTS 2026'!AE2753))))</f>
        <v/>
      </c>
      <c r="K2753" s="604">
        <f>IF(ISBLANK('ENGAGEMENTS 2026'!W2753),"",'ENGAGEMENTS 2026'!W2753)</f>
        <v/>
      </c>
      <c r="L2753" s="276">
        <f>IF($K2753="","",TODAY()-$K2753)</f>
        <v/>
      </c>
      <c r="M2753">
        <f>IF($A2753="","",IF($H2753="ENGAGE","Engagé",IF(AND($H2753="NON ENGAGE",OR($I2753="INFRUCTUEUX",$I2753="ANNULE")),"Clôturé sans suite","En cours")))</f>
        <v/>
      </c>
      <c r="N2753">
        <f>IF(ISBLANK('ENGAGEMENTS 2026'!C2753),"",'ENGAGEMENTS 2026'!L2753)</f>
        <v/>
      </c>
      <c r="O2753">
        <f>IF(ISBLANK('ENGAGEMENTS 2026'!C2753),"",'ENGAGEMENTS 2026'!M2753)</f>
        <v/>
      </c>
      <c r="P2753">
        <f>IF(ISBLANK('ENGAGEMENTS 2026'!C2753),"",'ENGAGEMENTS 2026'!K2753)</f>
        <v/>
      </c>
      <c r="Q2753">
        <f>IF($A2753="","",IF(OR($E2753="INFRUCTUEUX",$E2753="ANNULE"),$A2753&amp;"|"&amp;(COUNTIFS($A$2:$A2753,$A2753,$E$2:$E2753,"INFRUCTUEUX")+COUNTIFS($A$2:$A2753,$A2753,$E$2:$E2753,"ANNULE")),""))</f>
        <v/>
      </c>
    </row>
    <row r="2754">
      <c r="A2754">
        <f>IF(ISBLANK('ENGAGEMENTS 2026'!C2754),"",IF('ENGAGEMENTS 2026'!C2754="DTSI","DCT",'ENGAGEMENTS 2026'!C2754))</f>
        <v/>
      </c>
      <c r="B2754">
        <f>IF(ISBLANK('ENGAGEMENTS 2026'!C2754),"",'ENGAGEMENTS 2026'!D2754)</f>
        <v/>
      </c>
      <c r="C2754">
        <f>IF(ISBLANK('ENGAGEMENTS 2026'!C2754),"",'ENGAGEMENTS 2026'!E2754)</f>
        <v/>
      </c>
      <c r="D2754">
        <f>IF(ISBLANK('ENGAGEMENTS 2026'!C2754),"",'ENGAGEMENTS 2026'!G2754)</f>
        <v/>
      </c>
      <c r="E2754">
        <f>IF(ISBLANK('ENGAGEMENTS 2026'!C2754),"",'ENGAGEMENTS 2026'!I2754)</f>
        <v/>
      </c>
      <c r="F2754">
        <f>IF(ISBLANK('ENGAGEMENTS 2026'!C2754),"",'ENGAGEMENTS 2026'!J2754)</f>
        <v/>
      </c>
      <c r="G2754">
        <f>IF(ISBLANK('ENGAGEMENTS 2026'!C2754),"",'ENGAGEMENTS 2026'!M2754)</f>
        <v/>
      </c>
      <c r="H2754">
        <f>IF(ISBLANK('ENGAGEMENTS 2026'!C2754),"",'ENGAGEMENTS 2026'!AF2754)</f>
        <v/>
      </c>
      <c r="I2754">
        <f>IF(ISBLANK('ENGAGEMENTS 2026'!C2754),"",'ENGAGEMENTS 2026'!H2754)</f>
        <v/>
      </c>
      <c r="J2754" s="275">
        <f>IF(ISBLANK('ENGAGEMENTS 2026'!C2754),"",IF(AND(OR($E2754="INFRUCTUEUX",$E2754="ANNULE"),$C2754="AOO-M"),'ENGAGEMENTS 2026'!P2754,IF($H2754="EN COURS DE PREENGAGEMENT",'ENGAGEMENTS 2026'!O2754,IF($H2754="PREENGAGE",IF($E2754="ATTRIBUE",'ENGAGEMENTS 2026'!AE2754,'ENGAGEMENTS 2026'!O2754),'ENGAGEMENTS 2026'!AE2754))))</f>
        <v/>
      </c>
      <c r="K2754" s="604">
        <f>IF(ISBLANK('ENGAGEMENTS 2026'!W2754),"",'ENGAGEMENTS 2026'!W2754)</f>
        <v/>
      </c>
      <c r="L2754" s="276">
        <f>IF($K2754="","",TODAY()-$K2754)</f>
        <v/>
      </c>
      <c r="M2754">
        <f>IF($A2754="","",IF($H2754="ENGAGE","Engagé",IF(AND($H2754="NON ENGAGE",OR($I2754="INFRUCTUEUX",$I2754="ANNULE")),"Clôturé sans suite","En cours")))</f>
        <v/>
      </c>
      <c r="N2754">
        <f>IF(ISBLANK('ENGAGEMENTS 2026'!C2754),"",'ENGAGEMENTS 2026'!L2754)</f>
        <v/>
      </c>
      <c r="O2754">
        <f>IF(ISBLANK('ENGAGEMENTS 2026'!C2754),"",'ENGAGEMENTS 2026'!M2754)</f>
        <v/>
      </c>
      <c r="P2754">
        <f>IF(ISBLANK('ENGAGEMENTS 2026'!C2754),"",'ENGAGEMENTS 2026'!K2754)</f>
        <v/>
      </c>
      <c r="Q2754">
        <f>IF($A2754="","",IF(OR($E2754="INFRUCTUEUX",$E2754="ANNULE"),$A2754&amp;"|"&amp;(COUNTIFS($A$2:$A2754,$A2754,$E$2:$E2754,"INFRUCTUEUX")+COUNTIFS($A$2:$A2754,$A2754,$E$2:$E2754,"ANNULE")),""))</f>
        <v/>
      </c>
    </row>
    <row r="2755">
      <c r="A2755">
        <f>IF(ISBLANK('ENGAGEMENTS 2026'!C2755),"",IF('ENGAGEMENTS 2026'!C2755="DTSI","DCT",'ENGAGEMENTS 2026'!C2755))</f>
        <v/>
      </c>
      <c r="B2755">
        <f>IF(ISBLANK('ENGAGEMENTS 2026'!C2755),"",'ENGAGEMENTS 2026'!D2755)</f>
        <v/>
      </c>
      <c r="C2755">
        <f>IF(ISBLANK('ENGAGEMENTS 2026'!C2755),"",'ENGAGEMENTS 2026'!E2755)</f>
        <v/>
      </c>
      <c r="D2755">
        <f>IF(ISBLANK('ENGAGEMENTS 2026'!C2755),"",'ENGAGEMENTS 2026'!G2755)</f>
        <v/>
      </c>
      <c r="E2755">
        <f>IF(ISBLANK('ENGAGEMENTS 2026'!C2755),"",'ENGAGEMENTS 2026'!I2755)</f>
        <v/>
      </c>
      <c r="F2755">
        <f>IF(ISBLANK('ENGAGEMENTS 2026'!C2755),"",'ENGAGEMENTS 2026'!J2755)</f>
        <v/>
      </c>
      <c r="G2755">
        <f>IF(ISBLANK('ENGAGEMENTS 2026'!C2755),"",'ENGAGEMENTS 2026'!M2755)</f>
        <v/>
      </c>
      <c r="H2755">
        <f>IF(ISBLANK('ENGAGEMENTS 2026'!C2755),"",'ENGAGEMENTS 2026'!AF2755)</f>
        <v/>
      </c>
      <c r="I2755">
        <f>IF(ISBLANK('ENGAGEMENTS 2026'!C2755),"",'ENGAGEMENTS 2026'!H2755)</f>
        <v/>
      </c>
      <c r="J2755" s="275">
        <f>IF(ISBLANK('ENGAGEMENTS 2026'!C2755),"",IF(AND(OR($E2755="INFRUCTUEUX",$E2755="ANNULE"),$C2755="AOO-M"),'ENGAGEMENTS 2026'!P2755,IF($H2755="EN COURS DE PREENGAGEMENT",'ENGAGEMENTS 2026'!O2755,IF($H2755="PREENGAGE",IF($E2755="ATTRIBUE",'ENGAGEMENTS 2026'!AE2755,'ENGAGEMENTS 2026'!O2755),'ENGAGEMENTS 2026'!AE2755))))</f>
        <v/>
      </c>
      <c r="K2755" s="604">
        <f>IF(ISBLANK('ENGAGEMENTS 2026'!W2755),"",'ENGAGEMENTS 2026'!W2755)</f>
        <v/>
      </c>
      <c r="L2755" s="276">
        <f>IF($K2755="","",TODAY()-$K2755)</f>
        <v/>
      </c>
      <c r="M2755">
        <f>IF($A2755="","",IF($H2755="ENGAGE","Engagé",IF(AND($H2755="NON ENGAGE",OR($I2755="INFRUCTUEUX",$I2755="ANNULE")),"Clôturé sans suite","En cours")))</f>
        <v/>
      </c>
      <c r="N2755">
        <f>IF(ISBLANK('ENGAGEMENTS 2026'!C2755),"",'ENGAGEMENTS 2026'!L2755)</f>
        <v/>
      </c>
      <c r="O2755">
        <f>IF(ISBLANK('ENGAGEMENTS 2026'!C2755),"",'ENGAGEMENTS 2026'!M2755)</f>
        <v/>
      </c>
      <c r="P2755">
        <f>IF(ISBLANK('ENGAGEMENTS 2026'!C2755),"",'ENGAGEMENTS 2026'!K2755)</f>
        <v/>
      </c>
      <c r="Q2755">
        <f>IF($A2755="","",IF(OR($E2755="INFRUCTUEUX",$E2755="ANNULE"),$A2755&amp;"|"&amp;(COUNTIFS($A$2:$A2755,$A2755,$E$2:$E2755,"INFRUCTUEUX")+COUNTIFS($A$2:$A2755,$A2755,$E$2:$E2755,"ANNULE")),""))</f>
        <v/>
      </c>
    </row>
    <row r="2756">
      <c r="A2756">
        <f>IF(ISBLANK('ENGAGEMENTS 2026'!C2756),"",IF('ENGAGEMENTS 2026'!C2756="DTSI","DCT",'ENGAGEMENTS 2026'!C2756))</f>
        <v/>
      </c>
      <c r="B2756">
        <f>IF(ISBLANK('ENGAGEMENTS 2026'!C2756),"",'ENGAGEMENTS 2026'!D2756)</f>
        <v/>
      </c>
      <c r="C2756">
        <f>IF(ISBLANK('ENGAGEMENTS 2026'!C2756),"",'ENGAGEMENTS 2026'!E2756)</f>
        <v/>
      </c>
      <c r="D2756">
        <f>IF(ISBLANK('ENGAGEMENTS 2026'!C2756),"",'ENGAGEMENTS 2026'!G2756)</f>
        <v/>
      </c>
      <c r="E2756">
        <f>IF(ISBLANK('ENGAGEMENTS 2026'!C2756),"",'ENGAGEMENTS 2026'!I2756)</f>
        <v/>
      </c>
      <c r="F2756">
        <f>IF(ISBLANK('ENGAGEMENTS 2026'!C2756),"",'ENGAGEMENTS 2026'!J2756)</f>
        <v/>
      </c>
      <c r="G2756">
        <f>IF(ISBLANK('ENGAGEMENTS 2026'!C2756),"",'ENGAGEMENTS 2026'!M2756)</f>
        <v/>
      </c>
      <c r="H2756">
        <f>IF(ISBLANK('ENGAGEMENTS 2026'!C2756),"",'ENGAGEMENTS 2026'!AF2756)</f>
        <v/>
      </c>
      <c r="I2756">
        <f>IF(ISBLANK('ENGAGEMENTS 2026'!C2756),"",'ENGAGEMENTS 2026'!H2756)</f>
        <v/>
      </c>
      <c r="J2756" s="275">
        <f>IF(ISBLANK('ENGAGEMENTS 2026'!C2756),"",IF(AND(OR($E2756="INFRUCTUEUX",$E2756="ANNULE"),$C2756="AOO-M"),'ENGAGEMENTS 2026'!P2756,IF($H2756="EN COURS DE PREENGAGEMENT",'ENGAGEMENTS 2026'!O2756,IF($H2756="PREENGAGE",IF($E2756="ATTRIBUE",'ENGAGEMENTS 2026'!AE2756,'ENGAGEMENTS 2026'!O2756),'ENGAGEMENTS 2026'!AE2756))))</f>
        <v/>
      </c>
      <c r="K2756" s="604">
        <f>IF(ISBLANK('ENGAGEMENTS 2026'!W2756),"",'ENGAGEMENTS 2026'!W2756)</f>
        <v/>
      </c>
      <c r="L2756" s="276">
        <f>IF($K2756="","",TODAY()-$K2756)</f>
        <v/>
      </c>
      <c r="M2756">
        <f>IF($A2756="","",IF($H2756="ENGAGE","Engagé",IF(AND($H2756="NON ENGAGE",OR($I2756="INFRUCTUEUX",$I2756="ANNULE")),"Clôturé sans suite","En cours")))</f>
        <v/>
      </c>
      <c r="N2756">
        <f>IF(ISBLANK('ENGAGEMENTS 2026'!C2756),"",'ENGAGEMENTS 2026'!L2756)</f>
        <v/>
      </c>
      <c r="O2756">
        <f>IF(ISBLANK('ENGAGEMENTS 2026'!C2756),"",'ENGAGEMENTS 2026'!M2756)</f>
        <v/>
      </c>
      <c r="P2756">
        <f>IF(ISBLANK('ENGAGEMENTS 2026'!C2756),"",'ENGAGEMENTS 2026'!K2756)</f>
        <v/>
      </c>
      <c r="Q2756">
        <f>IF($A2756="","",IF(OR($E2756="INFRUCTUEUX",$E2756="ANNULE"),$A2756&amp;"|"&amp;(COUNTIFS($A$2:$A2756,$A2756,$E$2:$E2756,"INFRUCTUEUX")+COUNTIFS($A$2:$A2756,$A2756,$E$2:$E2756,"ANNULE")),""))</f>
        <v/>
      </c>
    </row>
    <row r="2757">
      <c r="A2757">
        <f>IF(ISBLANK('ENGAGEMENTS 2026'!C2757),"",IF('ENGAGEMENTS 2026'!C2757="DTSI","DCT",'ENGAGEMENTS 2026'!C2757))</f>
        <v/>
      </c>
      <c r="B2757">
        <f>IF(ISBLANK('ENGAGEMENTS 2026'!C2757),"",'ENGAGEMENTS 2026'!D2757)</f>
        <v/>
      </c>
      <c r="C2757">
        <f>IF(ISBLANK('ENGAGEMENTS 2026'!C2757),"",'ENGAGEMENTS 2026'!E2757)</f>
        <v/>
      </c>
      <c r="D2757">
        <f>IF(ISBLANK('ENGAGEMENTS 2026'!C2757),"",'ENGAGEMENTS 2026'!G2757)</f>
        <v/>
      </c>
      <c r="E2757">
        <f>IF(ISBLANK('ENGAGEMENTS 2026'!C2757),"",'ENGAGEMENTS 2026'!I2757)</f>
        <v/>
      </c>
      <c r="F2757">
        <f>IF(ISBLANK('ENGAGEMENTS 2026'!C2757),"",'ENGAGEMENTS 2026'!J2757)</f>
        <v/>
      </c>
      <c r="G2757">
        <f>IF(ISBLANK('ENGAGEMENTS 2026'!C2757),"",'ENGAGEMENTS 2026'!M2757)</f>
        <v/>
      </c>
      <c r="H2757">
        <f>IF(ISBLANK('ENGAGEMENTS 2026'!C2757),"",'ENGAGEMENTS 2026'!AF2757)</f>
        <v/>
      </c>
      <c r="I2757">
        <f>IF(ISBLANK('ENGAGEMENTS 2026'!C2757),"",'ENGAGEMENTS 2026'!H2757)</f>
        <v/>
      </c>
      <c r="J2757" s="275">
        <f>IF(ISBLANK('ENGAGEMENTS 2026'!C2757),"",IF(AND(OR($E2757="INFRUCTUEUX",$E2757="ANNULE"),$C2757="AOO-M"),'ENGAGEMENTS 2026'!P2757,IF($H2757="EN COURS DE PREENGAGEMENT",'ENGAGEMENTS 2026'!O2757,IF($H2757="PREENGAGE",IF($E2757="ATTRIBUE",'ENGAGEMENTS 2026'!AE2757,'ENGAGEMENTS 2026'!O2757),'ENGAGEMENTS 2026'!AE2757))))</f>
        <v/>
      </c>
      <c r="K2757" s="604">
        <f>IF(ISBLANK('ENGAGEMENTS 2026'!W2757),"",'ENGAGEMENTS 2026'!W2757)</f>
        <v/>
      </c>
      <c r="L2757" s="276">
        <f>IF($K2757="","",TODAY()-$K2757)</f>
        <v/>
      </c>
      <c r="M2757">
        <f>IF($A2757="","",IF($H2757="ENGAGE","Engagé",IF(AND($H2757="NON ENGAGE",OR($I2757="INFRUCTUEUX",$I2757="ANNULE")),"Clôturé sans suite","En cours")))</f>
        <v/>
      </c>
      <c r="N2757">
        <f>IF(ISBLANK('ENGAGEMENTS 2026'!C2757),"",'ENGAGEMENTS 2026'!L2757)</f>
        <v/>
      </c>
      <c r="O2757">
        <f>IF(ISBLANK('ENGAGEMENTS 2026'!C2757),"",'ENGAGEMENTS 2026'!M2757)</f>
        <v/>
      </c>
      <c r="P2757">
        <f>IF(ISBLANK('ENGAGEMENTS 2026'!C2757),"",'ENGAGEMENTS 2026'!K2757)</f>
        <v/>
      </c>
      <c r="Q2757">
        <f>IF($A2757="","",IF(OR($E2757="INFRUCTUEUX",$E2757="ANNULE"),$A2757&amp;"|"&amp;(COUNTIFS($A$2:$A2757,$A2757,$E$2:$E2757,"INFRUCTUEUX")+COUNTIFS($A$2:$A2757,$A2757,$E$2:$E2757,"ANNULE")),""))</f>
        <v/>
      </c>
    </row>
    <row r="2758">
      <c r="A2758">
        <f>IF(ISBLANK('ENGAGEMENTS 2026'!C2758),"",IF('ENGAGEMENTS 2026'!C2758="DTSI","DCT",'ENGAGEMENTS 2026'!C2758))</f>
        <v/>
      </c>
      <c r="B2758">
        <f>IF(ISBLANK('ENGAGEMENTS 2026'!C2758),"",'ENGAGEMENTS 2026'!D2758)</f>
        <v/>
      </c>
      <c r="C2758">
        <f>IF(ISBLANK('ENGAGEMENTS 2026'!C2758),"",'ENGAGEMENTS 2026'!E2758)</f>
        <v/>
      </c>
      <c r="D2758">
        <f>IF(ISBLANK('ENGAGEMENTS 2026'!C2758),"",'ENGAGEMENTS 2026'!G2758)</f>
        <v/>
      </c>
      <c r="E2758">
        <f>IF(ISBLANK('ENGAGEMENTS 2026'!C2758),"",'ENGAGEMENTS 2026'!I2758)</f>
        <v/>
      </c>
      <c r="F2758">
        <f>IF(ISBLANK('ENGAGEMENTS 2026'!C2758),"",'ENGAGEMENTS 2026'!J2758)</f>
        <v/>
      </c>
      <c r="G2758">
        <f>IF(ISBLANK('ENGAGEMENTS 2026'!C2758),"",'ENGAGEMENTS 2026'!M2758)</f>
        <v/>
      </c>
      <c r="H2758">
        <f>IF(ISBLANK('ENGAGEMENTS 2026'!C2758),"",'ENGAGEMENTS 2026'!AF2758)</f>
        <v/>
      </c>
      <c r="I2758">
        <f>IF(ISBLANK('ENGAGEMENTS 2026'!C2758),"",'ENGAGEMENTS 2026'!H2758)</f>
        <v/>
      </c>
      <c r="J2758" s="275">
        <f>IF(ISBLANK('ENGAGEMENTS 2026'!C2758),"",IF(AND(OR($E2758="INFRUCTUEUX",$E2758="ANNULE"),$C2758="AOO-M"),'ENGAGEMENTS 2026'!P2758,IF($H2758="EN COURS DE PREENGAGEMENT",'ENGAGEMENTS 2026'!O2758,IF($H2758="PREENGAGE",IF($E2758="ATTRIBUE",'ENGAGEMENTS 2026'!AE2758,'ENGAGEMENTS 2026'!O2758),'ENGAGEMENTS 2026'!AE2758))))</f>
        <v/>
      </c>
      <c r="K2758" s="604">
        <f>IF(ISBLANK('ENGAGEMENTS 2026'!W2758),"",'ENGAGEMENTS 2026'!W2758)</f>
        <v/>
      </c>
      <c r="L2758" s="276">
        <f>IF($K2758="","",TODAY()-$K2758)</f>
        <v/>
      </c>
      <c r="M2758">
        <f>IF($A2758="","",IF($H2758="ENGAGE","Engagé",IF(AND($H2758="NON ENGAGE",OR($I2758="INFRUCTUEUX",$I2758="ANNULE")),"Clôturé sans suite","En cours")))</f>
        <v/>
      </c>
      <c r="N2758">
        <f>IF(ISBLANK('ENGAGEMENTS 2026'!C2758),"",'ENGAGEMENTS 2026'!L2758)</f>
        <v/>
      </c>
      <c r="O2758">
        <f>IF(ISBLANK('ENGAGEMENTS 2026'!C2758),"",'ENGAGEMENTS 2026'!M2758)</f>
        <v/>
      </c>
      <c r="P2758">
        <f>IF(ISBLANK('ENGAGEMENTS 2026'!C2758),"",'ENGAGEMENTS 2026'!K2758)</f>
        <v/>
      </c>
      <c r="Q2758">
        <f>IF($A2758="","",IF(OR($E2758="INFRUCTUEUX",$E2758="ANNULE"),$A2758&amp;"|"&amp;(COUNTIFS($A$2:$A2758,$A2758,$E$2:$E2758,"INFRUCTUEUX")+COUNTIFS($A$2:$A2758,$A2758,$E$2:$E2758,"ANNULE")),""))</f>
        <v/>
      </c>
    </row>
    <row r="2759">
      <c r="A2759">
        <f>IF(ISBLANK('ENGAGEMENTS 2026'!C2759),"",IF('ENGAGEMENTS 2026'!C2759="DTSI","DCT",'ENGAGEMENTS 2026'!C2759))</f>
        <v/>
      </c>
      <c r="B2759">
        <f>IF(ISBLANK('ENGAGEMENTS 2026'!C2759),"",'ENGAGEMENTS 2026'!D2759)</f>
        <v/>
      </c>
      <c r="C2759">
        <f>IF(ISBLANK('ENGAGEMENTS 2026'!C2759),"",'ENGAGEMENTS 2026'!E2759)</f>
        <v/>
      </c>
      <c r="D2759">
        <f>IF(ISBLANK('ENGAGEMENTS 2026'!C2759),"",'ENGAGEMENTS 2026'!G2759)</f>
        <v/>
      </c>
      <c r="E2759">
        <f>IF(ISBLANK('ENGAGEMENTS 2026'!C2759),"",'ENGAGEMENTS 2026'!I2759)</f>
        <v/>
      </c>
      <c r="F2759">
        <f>IF(ISBLANK('ENGAGEMENTS 2026'!C2759),"",'ENGAGEMENTS 2026'!J2759)</f>
        <v/>
      </c>
      <c r="G2759">
        <f>IF(ISBLANK('ENGAGEMENTS 2026'!C2759),"",'ENGAGEMENTS 2026'!M2759)</f>
        <v/>
      </c>
      <c r="H2759">
        <f>IF(ISBLANK('ENGAGEMENTS 2026'!C2759),"",'ENGAGEMENTS 2026'!AF2759)</f>
        <v/>
      </c>
      <c r="I2759">
        <f>IF(ISBLANK('ENGAGEMENTS 2026'!C2759),"",'ENGAGEMENTS 2026'!H2759)</f>
        <v/>
      </c>
      <c r="J2759" s="275">
        <f>IF(ISBLANK('ENGAGEMENTS 2026'!C2759),"",IF(AND(OR($E2759="INFRUCTUEUX",$E2759="ANNULE"),$C2759="AOO-M"),'ENGAGEMENTS 2026'!P2759,IF($H2759="EN COURS DE PREENGAGEMENT",'ENGAGEMENTS 2026'!O2759,IF($H2759="PREENGAGE",IF($E2759="ATTRIBUE",'ENGAGEMENTS 2026'!AE2759,'ENGAGEMENTS 2026'!O2759),'ENGAGEMENTS 2026'!AE2759))))</f>
        <v/>
      </c>
      <c r="K2759" s="604">
        <f>IF(ISBLANK('ENGAGEMENTS 2026'!W2759),"",'ENGAGEMENTS 2026'!W2759)</f>
        <v/>
      </c>
      <c r="L2759" s="276">
        <f>IF($K2759="","",TODAY()-$K2759)</f>
        <v/>
      </c>
      <c r="M2759">
        <f>IF($A2759="","",IF($H2759="ENGAGE","Engagé",IF(AND($H2759="NON ENGAGE",OR($I2759="INFRUCTUEUX",$I2759="ANNULE")),"Clôturé sans suite","En cours")))</f>
        <v/>
      </c>
      <c r="N2759">
        <f>IF(ISBLANK('ENGAGEMENTS 2026'!C2759),"",'ENGAGEMENTS 2026'!L2759)</f>
        <v/>
      </c>
      <c r="O2759">
        <f>IF(ISBLANK('ENGAGEMENTS 2026'!C2759),"",'ENGAGEMENTS 2026'!M2759)</f>
        <v/>
      </c>
      <c r="P2759">
        <f>IF(ISBLANK('ENGAGEMENTS 2026'!C2759),"",'ENGAGEMENTS 2026'!K2759)</f>
        <v/>
      </c>
      <c r="Q2759">
        <f>IF($A2759="","",IF(OR($E2759="INFRUCTUEUX",$E2759="ANNULE"),$A2759&amp;"|"&amp;(COUNTIFS($A$2:$A2759,$A2759,$E$2:$E2759,"INFRUCTUEUX")+COUNTIFS($A$2:$A2759,$A2759,$E$2:$E2759,"ANNULE")),""))</f>
        <v/>
      </c>
    </row>
    <row r="2760">
      <c r="A2760">
        <f>IF(ISBLANK('ENGAGEMENTS 2026'!C2760),"",IF('ENGAGEMENTS 2026'!C2760="DTSI","DCT",'ENGAGEMENTS 2026'!C2760))</f>
        <v/>
      </c>
      <c r="B2760">
        <f>IF(ISBLANK('ENGAGEMENTS 2026'!C2760),"",'ENGAGEMENTS 2026'!D2760)</f>
        <v/>
      </c>
      <c r="C2760">
        <f>IF(ISBLANK('ENGAGEMENTS 2026'!C2760),"",'ENGAGEMENTS 2026'!E2760)</f>
        <v/>
      </c>
      <c r="D2760">
        <f>IF(ISBLANK('ENGAGEMENTS 2026'!C2760),"",'ENGAGEMENTS 2026'!G2760)</f>
        <v/>
      </c>
      <c r="E2760">
        <f>IF(ISBLANK('ENGAGEMENTS 2026'!C2760),"",'ENGAGEMENTS 2026'!I2760)</f>
        <v/>
      </c>
      <c r="F2760">
        <f>IF(ISBLANK('ENGAGEMENTS 2026'!C2760),"",'ENGAGEMENTS 2026'!J2760)</f>
        <v/>
      </c>
      <c r="G2760">
        <f>IF(ISBLANK('ENGAGEMENTS 2026'!C2760),"",'ENGAGEMENTS 2026'!M2760)</f>
        <v/>
      </c>
      <c r="H2760">
        <f>IF(ISBLANK('ENGAGEMENTS 2026'!C2760),"",'ENGAGEMENTS 2026'!AF2760)</f>
        <v/>
      </c>
      <c r="I2760">
        <f>IF(ISBLANK('ENGAGEMENTS 2026'!C2760),"",'ENGAGEMENTS 2026'!H2760)</f>
        <v/>
      </c>
      <c r="J2760" s="275">
        <f>IF(ISBLANK('ENGAGEMENTS 2026'!C2760),"",IF(AND(OR($E2760="INFRUCTUEUX",$E2760="ANNULE"),$C2760="AOO-M"),'ENGAGEMENTS 2026'!P2760,IF($H2760="EN COURS DE PREENGAGEMENT",'ENGAGEMENTS 2026'!O2760,IF($H2760="PREENGAGE",IF($E2760="ATTRIBUE",'ENGAGEMENTS 2026'!AE2760,'ENGAGEMENTS 2026'!O2760),'ENGAGEMENTS 2026'!AE2760))))</f>
        <v/>
      </c>
      <c r="K2760" s="604">
        <f>IF(ISBLANK('ENGAGEMENTS 2026'!W2760),"",'ENGAGEMENTS 2026'!W2760)</f>
        <v/>
      </c>
      <c r="L2760" s="276">
        <f>IF($K2760="","",TODAY()-$K2760)</f>
        <v/>
      </c>
      <c r="M2760">
        <f>IF($A2760="","",IF($H2760="ENGAGE","Engagé",IF(AND($H2760="NON ENGAGE",OR($I2760="INFRUCTUEUX",$I2760="ANNULE")),"Clôturé sans suite","En cours")))</f>
        <v/>
      </c>
      <c r="N2760">
        <f>IF(ISBLANK('ENGAGEMENTS 2026'!C2760),"",'ENGAGEMENTS 2026'!L2760)</f>
        <v/>
      </c>
      <c r="O2760">
        <f>IF(ISBLANK('ENGAGEMENTS 2026'!C2760),"",'ENGAGEMENTS 2026'!M2760)</f>
        <v/>
      </c>
      <c r="P2760">
        <f>IF(ISBLANK('ENGAGEMENTS 2026'!C2760),"",'ENGAGEMENTS 2026'!K2760)</f>
        <v/>
      </c>
      <c r="Q2760">
        <f>IF($A2760="","",IF(OR($E2760="INFRUCTUEUX",$E2760="ANNULE"),$A2760&amp;"|"&amp;(COUNTIFS($A$2:$A2760,$A2760,$E$2:$E2760,"INFRUCTUEUX")+COUNTIFS($A$2:$A2760,$A2760,$E$2:$E2760,"ANNULE")),""))</f>
        <v/>
      </c>
    </row>
    <row r="2761">
      <c r="A2761">
        <f>IF(ISBLANK('ENGAGEMENTS 2026'!C2761),"",IF('ENGAGEMENTS 2026'!C2761="DTSI","DCT",'ENGAGEMENTS 2026'!C2761))</f>
        <v/>
      </c>
      <c r="B2761">
        <f>IF(ISBLANK('ENGAGEMENTS 2026'!C2761),"",'ENGAGEMENTS 2026'!D2761)</f>
        <v/>
      </c>
      <c r="C2761">
        <f>IF(ISBLANK('ENGAGEMENTS 2026'!C2761),"",'ENGAGEMENTS 2026'!E2761)</f>
        <v/>
      </c>
      <c r="D2761">
        <f>IF(ISBLANK('ENGAGEMENTS 2026'!C2761),"",'ENGAGEMENTS 2026'!G2761)</f>
        <v/>
      </c>
      <c r="E2761">
        <f>IF(ISBLANK('ENGAGEMENTS 2026'!C2761),"",'ENGAGEMENTS 2026'!I2761)</f>
        <v/>
      </c>
      <c r="F2761">
        <f>IF(ISBLANK('ENGAGEMENTS 2026'!C2761),"",'ENGAGEMENTS 2026'!J2761)</f>
        <v/>
      </c>
      <c r="G2761">
        <f>IF(ISBLANK('ENGAGEMENTS 2026'!C2761),"",'ENGAGEMENTS 2026'!M2761)</f>
        <v/>
      </c>
      <c r="H2761">
        <f>IF(ISBLANK('ENGAGEMENTS 2026'!C2761),"",'ENGAGEMENTS 2026'!AF2761)</f>
        <v/>
      </c>
      <c r="I2761">
        <f>IF(ISBLANK('ENGAGEMENTS 2026'!C2761),"",'ENGAGEMENTS 2026'!H2761)</f>
        <v/>
      </c>
      <c r="J2761" s="275">
        <f>IF(ISBLANK('ENGAGEMENTS 2026'!C2761),"",IF(AND(OR($E2761="INFRUCTUEUX",$E2761="ANNULE"),$C2761="AOO-M"),'ENGAGEMENTS 2026'!P2761,IF($H2761="EN COURS DE PREENGAGEMENT",'ENGAGEMENTS 2026'!O2761,IF($H2761="PREENGAGE",IF($E2761="ATTRIBUE",'ENGAGEMENTS 2026'!AE2761,'ENGAGEMENTS 2026'!O2761),'ENGAGEMENTS 2026'!AE2761))))</f>
        <v/>
      </c>
      <c r="K2761" s="604">
        <f>IF(ISBLANK('ENGAGEMENTS 2026'!W2761),"",'ENGAGEMENTS 2026'!W2761)</f>
        <v/>
      </c>
      <c r="L2761" s="276">
        <f>IF($K2761="","",TODAY()-$K2761)</f>
        <v/>
      </c>
      <c r="M2761">
        <f>IF($A2761="","",IF($H2761="ENGAGE","Engagé",IF(AND($H2761="NON ENGAGE",OR($I2761="INFRUCTUEUX",$I2761="ANNULE")),"Clôturé sans suite","En cours")))</f>
        <v/>
      </c>
      <c r="N2761">
        <f>IF(ISBLANK('ENGAGEMENTS 2026'!C2761),"",'ENGAGEMENTS 2026'!L2761)</f>
        <v/>
      </c>
      <c r="O2761">
        <f>IF(ISBLANK('ENGAGEMENTS 2026'!C2761),"",'ENGAGEMENTS 2026'!M2761)</f>
        <v/>
      </c>
      <c r="P2761">
        <f>IF(ISBLANK('ENGAGEMENTS 2026'!C2761),"",'ENGAGEMENTS 2026'!K2761)</f>
        <v/>
      </c>
      <c r="Q2761">
        <f>IF($A2761="","",IF(OR($E2761="INFRUCTUEUX",$E2761="ANNULE"),$A2761&amp;"|"&amp;(COUNTIFS($A$2:$A2761,$A2761,$E$2:$E2761,"INFRUCTUEUX")+COUNTIFS($A$2:$A2761,$A2761,$E$2:$E2761,"ANNULE")),""))</f>
        <v/>
      </c>
    </row>
    <row r="2762">
      <c r="A2762">
        <f>IF(ISBLANK('ENGAGEMENTS 2026'!C2762),"",IF('ENGAGEMENTS 2026'!C2762="DTSI","DCT",'ENGAGEMENTS 2026'!C2762))</f>
        <v/>
      </c>
      <c r="B2762">
        <f>IF(ISBLANK('ENGAGEMENTS 2026'!C2762),"",'ENGAGEMENTS 2026'!D2762)</f>
        <v/>
      </c>
      <c r="C2762">
        <f>IF(ISBLANK('ENGAGEMENTS 2026'!C2762),"",'ENGAGEMENTS 2026'!E2762)</f>
        <v/>
      </c>
      <c r="D2762">
        <f>IF(ISBLANK('ENGAGEMENTS 2026'!C2762),"",'ENGAGEMENTS 2026'!G2762)</f>
        <v/>
      </c>
      <c r="E2762">
        <f>IF(ISBLANK('ENGAGEMENTS 2026'!C2762),"",'ENGAGEMENTS 2026'!I2762)</f>
        <v/>
      </c>
      <c r="F2762">
        <f>IF(ISBLANK('ENGAGEMENTS 2026'!C2762),"",'ENGAGEMENTS 2026'!J2762)</f>
        <v/>
      </c>
      <c r="G2762">
        <f>IF(ISBLANK('ENGAGEMENTS 2026'!C2762),"",'ENGAGEMENTS 2026'!M2762)</f>
        <v/>
      </c>
      <c r="H2762">
        <f>IF(ISBLANK('ENGAGEMENTS 2026'!C2762),"",'ENGAGEMENTS 2026'!AF2762)</f>
        <v/>
      </c>
      <c r="I2762">
        <f>IF(ISBLANK('ENGAGEMENTS 2026'!C2762),"",'ENGAGEMENTS 2026'!H2762)</f>
        <v/>
      </c>
      <c r="J2762" s="275">
        <f>IF(ISBLANK('ENGAGEMENTS 2026'!C2762),"",IF(AND(OR($E2762="INFRUCTUEUX",$E2762="ANNULE"),$C2762="AOO-M"),'ENGAGEMENTS 2026'!P2762,IF($H2762="EN COURS DE PREENGAGEMENT",'ENGAGEMENTS 2026'!O2762,IF($H2762="PREENGAGE",IF($E2762="ATTRIBUE",'ENGAGEMENTS 2026'!AE2762,'ENGAGEMENTS 2026'!O2762),'ENGAGEMENTS 2026'!AE2762))))</f>
        <v/>
      </c>
      <c r="K2762" s="604">
        <f>IF(ISBLANK('ENGAGEMENTS 2026'!W2762),"",'ENGAGEMENTS 2026'!W2762)</f>
        <v/>
      </c>
      <c r="L2762" s="276">
        <f>IF($K2762="","",TODAY()-$K2762)</f>
        <v/>
      </c>
      <c r="M2762">
        <f>IF($A2762="","",IF($H2762="ENGAGE","Engagé",IF(AND($H2762="NON ENGAGE",OR($I2762="INFRUCTUEUX",$I2762="ANNULE")),"Clôturé sans suite","En cours")))</f>
        <v/>
      </c>
      <c r="N2762">
        <f>IF(ISBLANK('ENGAGEMENTS 2026'!C2762),"",'ENGAGEMENTS 2026'!L2762)</f>
        <v/>
      </c>
      <c r="O2762">
        <f>IF(ISBLANK('ENGAGEMENTS 2026'!C2762),"",'ENGAGEMENTS 2026'!M2762)</f>
        <v/>
      </c>
      <c r="P2762">
        <f>IF(ISBLANK('ENGAGEMENTS 2026'!C2762),"",'ENGAGEMENTS 2026'!K2762)</f>
        <v/>
      </c>
      <c r="Q2762">
        <f>IF($A2762="","",IF(OR($E2762="INFRUCTUEUX",$E2762="ANNULE"),$A2762&amp;"|"&amp;(COUNTIFS($A$2:$A2762,$A2762,$E$2:$E2762,"INFRUCTUEUX")+COUNTIFS($A$2:$A2762,$A2762,$E$2:$E2762,"ANNULE")),""))</f>
        <v/>
      </c>
    </row>
    <row r="2763">
      <c r="A2763">
        <f>IF(ISBLANK('ENGAGEMENTS 2026'!C2763),"",IF('ENGAGEMENTS 2026'!C2763="DTSI","DCT",'ENGAGEMENTS 2026'!C2763))</f>
        <v/>
      </c>
      <c r="B2763">
        <f>IF(ISBLANK('ENGAGEMENTS 2026'!C2763),"",'ENGAGEMENTS 2026'!D2763)</f>
        <v/>
      </c>
      <c r="C2763">
        <f>IF(ISBLANK('ENGAGEMENTS 2026'!C2763),"",'ENGAGEMENTS 2026'!E2763)</f>
        <v/>
      </c>
      <c r="D2763">
        <f>IF(ISBLANK('ENGAGEMENTS 2026'!C2763),"",'ENGAGEMENTS 2026'!G2763)</f>
        <v/>
      </c>
      <c r="E2763">
        <f>IF(ISBLANK('ENGAGEMENTS 2026'!C2763),"",'ENGAGEMENTS 2026'!I2763)</f>
        <v/>
      </c>
      <c r="F2763">
        <f>IF(ISBLANK('ENGAGEMENTS 2026'!C2763),"",'ENGAGEMENTS 2026'!J2763)</f>
        <v/>
      </c>
      <c r="G2763">
        <f>IF(ISBLANK('ENGAGEMENTS 2026'!C2763),"",'ENGAGEMENTS 2026'!M2763)</f>
        <v/>
      </c>
      <c r="H2763">
        <f>IF(ISBLANK('ENGAGEMENTS 2026'!C2763),"",'ENGAGEMENTS 2026'!AF2763)</f>
        <v/>
      </c>
      <c r="I2763">
        <f>IF(ISBLANK('ENGAGEMENTS 2026'!C2763),"",'ENGAGEMENTS 2026'!H2763)</f>
        <v/>
      </c>
      <c r="J2763" s="275">
        <f>IF(ISBLANK('ENGAGEMENTS 2026'!C2763),"",IF(AND(OR($E2763="INFRUCTUEUX",$E2763="ANNULE"),$C2763="AOO-M"),'ENGAGEMENTS 2026'!P2763,IF($H2763="EN COURS DE PREENGAGEMENT",'ENGAGEMENTS 2026'!O2763,IF($H2763="PREENGAGE",IF($E2763="ATTRIBUE",'ENGAGEMENTS 2026'!AE2763,'ENGAGEMENTS 2026'!O2763),'ENGAGEMENTS 2026'!AE2763))))</f>
        <v/>
      </c>
      <c r="K2763" s="604">
        <f>IF(ISBLANK('ENGAGEMENTS 2026'!W2763),"",'ENGAGEMENTS 2026'!W2763)</f>
        <v/>
      </c>
      <c r="L2763" s="276">
        <f>IF($K2763="","",TODAY()-$K2763)</f>
        <v/>
      </c>
      <c r="M2763">
        <f>IF($A2763="","",IF($H2763="ENGAGE","Engagé",IF(AND($H2763="NON ENGAGE",OR($I2763="INFRUCTUEUX",$I2763="ANNULE")),"Clôturé sans suite","En cours")))</f>
        <v/>
      </c>
      <c r="N2763">
        <f>IF(ISBLANK('ENGAGEMENTS 2026'!C2763),"",'ENGAGEMENTS 2026'!L2763)</f>
        <v/>
      </c>
      <c r="O2763">
        <f>IF(ISBLANK('ENGAGEMENTS 2026'!C2763),"",'ENGAGEMENTS 2026'!M2763)</f>
        <v/>
      </c>
      <c r="P2763">
        <f>IF(ISBLANK('ENGAGEMENTS 2026'!C2763),"",'ENGAGEMENTS 2026'!K2763)</f>
        <v/>
      </c>
      <c r="Q2763">
        <f>IF($A2763="","",IF(OR($E2763="INFRUCTUEUX",$E2763="ANNULE"),$A2763&amp;"|"&amp;(COUNTIFS($A$2:$A2763,$A2763,$E$2:$E2763,"INFRUCTUEUX")+COUNTIFS($A$2:$A2763,$A2763,$E$2:$E2763,"ANNULE")),""))</f>
        <v/>
      </c>
    </row>
    <row r="2764">
      <c r="A2764">
        <f>IF(ISBLANK('ENGAGEMENTS 2026'!C2764),"",IF('ENGAGEMENTS 2026'!C2764="DTSI","DCT",'ENGAGEMENTS 2026'!C2764))</f>
        <v/>
      </c>
      <c r="B2764">
        <f>IF(ISBLANK('ENGAGEMENTS 2026'!C2764),"",'ENGAGEMENTS 2026'!D2764)</f>
        <v/>
      </c>
      <c r="C2764">
        <f>IF(ISBLANK('ENGAGEMENTS 2026'!C2764),"",'ENGAGEMENTS 2026'!E2764)</f>
        <v/>
      </c>
      <c r="D2764">
        <f>IF(ISBLANK('ENGAGEMENTS 2026'!C2764),"",'ENGAGEMENTS 2026'!G2764)</f>
        <v/>
      </c>
      <c r="E2764">
        <f>IF(ISBLANK('ENGAGEMENTS 2026'!C2764),"",'ENGAGEMENTS 2026'!I2764)</f>
        <v/>
      </c>
      <c r="F2764">
        <f>IF(ISBLANK('ENGAGEMENTS 2026'!C2764),"",'ENGAGEMENTS 2026'!J2764)</f>
        <v/>
      </c>
      <c r="G2764">
        <f>IF(ISBLANK('ENGAGEMENTS 2026'!C2764),"",'ENGAGEMENTS 2026'!M2764)</f>
        <v/>
      </c>
      <c r="H2764">
        <f>IF(ISBLANK('ENGAGEMENTS 2026'!C2764),"",'ENGAGEMENTS 2026'!AF2764)</f>
        <v/>
      </c>
      <c r="I2764">
        <f>IF(ISBLANK('ENGAGEMENTS 2026'!C2764),"",'ENGAGEMENTS 2026'!H2764)</f>
        <v/>
      </c>
      <c r="J2764" s="275">
        <f>IF(ISBLANK('ENGAGEMENTS 2026'!C2764),"",IF(AND(OR($E2764="INFRUCTUEUX",$E2764="ANNULE"),$C2764="AOO-M"),'ENGAGEMENTS 2026'!P2764,IF($H2764="EN COURS DE PREENGAGEMENT",'ENGAGEMENTS 2026'!O2764,IF($H2764="PREENGAGE",IF($E2764="ATTRIBUE",'ENGAGEMENTS 2026'!AE2764,'ENGAGEMENTS 2026'!O2764),'ENGAGEMENTS 2026'!AE2764))))</f>
        <v/>
      </c>
      <c r="K2764" s="604">
        <f>IF(ISBLANK('ENGAGEMENTS 2026'!W2764),"",'ENGAGEMENTS 2026'!W2764)</f>
        <v/>
      </c>
      <c r="L2764" s="276">
        <f>IF($K2764="","",TODAY()-$K2764)</f>
        <v/>
      </c>
      <c r="M2764">
        <f>IF($A2764="","",IF($H2764="ENGAGE","Engagé",IF(AND($H2764="NON ENGAGE",OR($I2764="INFRUCTUEUX",$I2764="ANNULE")),"Clôturé sans suite","En cours")))</f>
        <v/>
      </c>
      <c r="N2764">
        <f>IF(ISBLANK('ENGAGEMENTS 2026'!C2764),"",'ENGAGEMENTS 2026'!L2764)</f>
        <v/>
      </c>
      <c r="O2764">
        <f>IF(ISBLANK('ENGAGEMENTS 2026'!C2764),"",'ENGAGEMENTS 2026'!M2764)</f>
        <v/>
      </c>
      <c r="P2764">
        <f>IF(ISBLANK('ENGAGEMENTS 2026'!C2764),"",'ENGAGEMENTS 2026'!K2764)</f>
        <v/>
      </c>
      <c r="Q2764">
        <f>IF($A2764="","",IF(OR($E2764="INFRUCTUEUX",$E2764="ANNULE"),$A2764&amp;"|"&amp;(COUNTIFS($A$2:$A2764,$A2764,$E$2:$E2764,"INFRUCTUEUX")+COUNTIFS($A$2:$A2764,$A2764,$E$2:$E2764,"ANNULE")),""))</f>
        <v/>
      </c>
    </row>
    <row r="2765">
      <c r="A2765">
        <f>IF(ISBLANK('ENGAGEMENTS 2026'!C2765),"",IF('ENGAGEMENTS 2026'!C2765="DTSI","DCT",'ENGAGEMENTS 2026'!C2765))</f>
        <v/>
      </c>
      <c r="B2765">
        <f>IF(ISBLANK('ENGAGEMENTS 2026'!C2765),"",'ENGAGEMENTS 2026'!D2765)</f>
        <v/>
      </c>
      <c r="C2765">
        <f>IF(ISBLANK('ENGAGEMENTS 2026'!C2765),"",'ENGAGEMENTS 2026'!E2765)</f>
        <v/>
      </c>
      <c r="D2765">
        <f>IF(ISBLANK('ENGAGEMENTS 2026'!C2765),"",'ENGAGEMENTS 2026'!G2765)</f>
        <v/>
      </c>
      <c r="E2765">
        <f>IF(ISBLANK('ENGAGEMENTS 2026'!C2765),"",'ENGAGEMENTS 2026'!I2765)</f>
        <v/>
      </c>
      <c r="F2765">
        <f>IF(ISBLANK('ENGAGEMENTS 2026'!C2765),"",'ENGAGEMENTS 2026'!J2765)</f>
        <v/>
      </c>
      <c r="G2765">
        <f>IF(ISBLANK('ENGAGEMENTS 2026'!C2765),"",'ENGAGEMENTS 2026'!M2765)</f>
        <v/>
      </c>
      <c r="H2765">
        <f>IF(ISBLANK('ENGAGEMENTS 2026'!C2765),"",'ENGAGEMENTS 2026'!AF2765)</f>
        <v/>
      </c>
      <c r="I2765">
        <f>IF(ISBLANK('ENGAGEMENTS 2026'!C2765),"",'ENGAGEMENTS 2026'!H2765)</f>
        <v/>
      </c>
      <c r="J2765" s="275">
        <f>IF(ISBLANK('ENGAGEMENTS 2026'!C2765),"",IF(AND(OR($E2765="INFRUCTUEUX",$E2765="ANNULE"),$C2765="AOO-M"),'ENGAGEMENTS 2026'!P2765,IF($H2765="EN COURS DE PREENGAGEMENT",'ENGAGEMENTS 2026'!O2765,IF($H2765="PREENGAGE",IF($E2765="ATTRIBUE",'ENGAGEMENTS 2026'!AE2765,'ENGAGEMENTS 2026'!O2765),'ENGAGEMENTS 2026'!AE2765))))</f>
        <v/>
      </c>
      <c r="K2765" s="604">
        <f>IF(ISBLANK('ENGAGEMENTS 2026'!W2765),"",'ENGAGEMENTS 2026'!W2765)</f>
        <v/>
      </c>
      <c r="L2765" s="276">
        <f>IF($K2765="","",TODAY()-$K2765)</f>
        <v/>
      </c>
      <c r="M2765">
        <f>IF($A2765="","",IF($H2765="ENGAGE","Engagé",IF(AND($H2765="NON ENGAGE",OR($I2765="INFRUCTUEUX",$I2765="ANNULE")),"Clôturé sans suite","En cours")))</f>
        <v/>
      </c>
      <c r="N2765">
        <f>IF(ISBLANK('ENGAGEMENTS 2026'!C2765),"",'ENGAGEMENTS 2026'!L2765)</f>
        <v/>
      </c>
      <c r="O2765">
        <f>IF(ISBLANK('ENGAGEMENTS 2026'!C2765),"",'ENGAGEMENTS 2026'!M2765)</f>
        <v/>
      </c>
      <c r="P2765">
        <f>IF(ISBLANK('ENGAGEMENTS 2026'!C2765),"",'ENGAGEMENTS 2026'!K2765)</f>
        <v/>
      </c>
      <c r="Q2765">
        <f>IF($A2765="","",IF(OR($E2765="INFRUCTUEUX",$E2765="ANNULE"),$A2765&amp;"|"&amp;(COUNTIFS($A$2:$A2765,$A2765,$E$2:$E2765,"INFRUCTUEUX")+COUNTIFS($A$2:$A2765,$A2765,$E$2:$E2765,"ANNULE")),""))</f>
        <v/>
      </c>
    </row>
    <row r="2766">
      <c r="A2766">
        <f>IF(ISBLANK('ENGAGEMENTS 2026'!C2766),"",IF('ENGAGEMENTS 2026'!C2766="DTSI","DCT",'ENGAGEMENTS 2026'!C2766))</f>
        <v/>
      </c>
      <c r="B2766">
        <f>IF(ISBLANK('ENGAGEMENTS 2026'!C2766),"",'ENGAGEMENTS 2026'!D2766)</f>
        <v/>
      </c>
      <c r="C2766">
        <f>IF(ISBLANK('ENGAGEMENTS 2026'!C2766),"",'ENGAGEMENTS 2026'!E2766)</f>
        <v/>
      </c>
      <c r="D2766">
        <f>IF(ISBLANK('ENGAGEMENTS 2026'!C2766),"",'ENGAGEMENTS 2026'!G2766)</f>
        <v/>
      </c>
      <c r="E2766">
        <f>IF(ISBLANK('ENGAGEMENTS 2026'!C2766),"",'ENGAGEMENTS 2026'!I2766)</f>
        <v/>
      </c>
      <c r="F2766">
        <f>IF(ISBLANK('ENGAGEMENTS 2026'!C2766),"",'ENGAGEMENTS 2026'!J2766)</f>
        <v/>
      </c>
      <c r="G2766">
        <f>IF(ISBLANK('ENGAGEMENTS 2026'!C2766),"",'ENGAGEMENTS 2026'!M2766)</f>
        <v/>
      </c>
      <c r="H2766">
        <f>IF(ISBLANK('ENGAGEMENTS 2026'!C2766),"",'ENGAGEMENTS 2026'!AF2766)</f>
        <v/>
      </c>
      <c r="I2766">
        <f>IF(ISBLANK('ENGAGEMENTS 2026'!C2766),"",'ENGAGEMENTS 2026'!H2766)</f>
        <v/>
      </c>
      <c r="J2766" s="275">
        <f>IF(ISBLANK('ENGAGEMENTS 2026'!C2766),"",IF(AND(OR($E2766="INFRUCTUEUX",$E2766="ANNULE"),$C2766="AOO-M"),'ENGAGEMENTS 2026'!P2766,IF($H2766="EN COURS DE PREENGAGEMENT",'ENGAGEMENTS 2026'!O2766,IF($H2766="PREENGAGE",IF($E2766="ATTRIBUE",'ENGAGEMENTS 2026'!AE2766,'ENGAGEMENTS 2026'!O2766),'ENGAGEMENTS 2026'!AE2766))))</f>
        <v/>
      </c>
      <c r="K2766" s="604">
        <f>IF(ISBLANK('ENGAGEMENTS 2026'!W2766),"",'ENGAGEMENTS 2026'!W2766)</f>
        <v/>
      </c>
      <c r="L2766" s="276">
        <f>IF($K2766="","",TODAY()-$K2766)</f>
        <v/>
      </c>
      <c r="M2766">
        <f>IF($A2766="","",IF($H2766="ENGAGE","Engagé",IF(AND($H2766="NON ENGAGE",OR($I2766="INFRUCTUEUX",$I2766="ANNULE")),"Clôturé sans suite","En cours")))</f>
        <v/>
      </c>
      <c r="N2766">
        <f>IF(ISBLANK('ENGAGEMENTS 2026'!C2766),"",'ENGAGEMENTS 2026'!L2766)</f>
        <v/>
      </c>
      <c r="O2766">
        <f>IF(ISBLANK('ENGAGEMENTS 2026'!C2766),"",'ENGAGEMENTS 2026'!M2766)</f>
        <v/>
      </c>
      <c r="P2766">
        <f>IF(ISBLANK('ENGAGEMENTS 2026'!C2766),"",'ENGAGEMENTS 2026'!K2766)</f>
        <v/>
      </c>
      <c r="Q2766">
        <f>IF($A2766="","",IF(OR($E2766="INFRUCTUEUX",$E2766="ANNULE"),$A2766&amp;"|"&amp;(COUNTIFS($A$2:$A2766,$A2766,$E$2:$E2766,"INFRUCTUEUX")+COUNTIFS($A$2:$A2766,$A2766,$E$2:$E2766,"ANNULE")),""))</f>
        <v/>
      </c>
    </row>
    <row r="2767">
      <c r="A2767">
        <f>IF(ISBLANK('ENGAGEMENTS 2026'!C2767),"",IF('ENGAGEMENTS 2026'!C2767="DTSI","DCT",'ENGAGEMENTS 2026'!C2767))</f>
        <v/>
      </c>
      <c r="B2767">
        <f>IF(ISBLANK('ENGAGEMENTS 2026'!C2767),"",'ENGAGEMENTS 2026'!D2767)</f>
        <v/>
      </c>
      <c r="C2767">
        <f>IF(ISBLANK('ENGAGEMENTS 2026'!C2767),"",'ENGAGEMENTS 2026'!E2767)</f>
        <v/>
      </c>
      <c r="D2767">
        <f>IF(ISBLANK('ENGAGEMENTS 2026'!C2767),"",'ENGAGEMENTS 2026'!G2767)</f>
        <v/>
      </c>
      <c r="E2767">
        <f>IF(ISBLANK('ENGAGEMENTS 2026'!C2767),"",'ENGAGEMENTS 2026'!I2767)</f>
        <v/>
      </c>
      <c r="F2767">
        <f>IF(ISBLANK('ENGAGEMENTS 2026'!C2767),"",'ENGAGEMENTS 2026'!J2767)</f>
        <v/>
      </c>
      <c r="G2767">
        <f>IF(ISBLANK('ENGAGEMENTS 2026'!C2767),"",'ENGAGEMENTS 2026'!M2767)</f>
        <v/>
      </c>
      <c r="H2767">
        <f>IF(ISBLANK('ENGAGEMENTS 2026'!C2767),"",'ENGAGEMENTS 2026'!AF2767)</f>
        <v/>
      </c>
      <c r="I2767">
        <f>IF(ISBLANK('ENGAGEMENTS 2026'!C2767),"",'ENGAGEMENTS 2026'!H2767)</f>
        <v/>
      </c>
      <c r="J2767" s="275">
        <f>IF(ISBLANK('ENGAGEMENTS 2026'!C2767),"",IF(AND(OR($E2767="INFRUCTUEUX",$E2767="ANNULE"),$C2767="AOO-M"),'ENGAGEMENTS 2026'!P2767,IF($H2767="EN COURS DE PREENGAGEMENT",'ENGAGEMENTS 2026'!O2767,IF($H2767="PREENGAGE",IF($E2767="ATTRIBUE",'ENGAGEMENTS 2026'!AE2767,'ENGAGEMENTS 2026'!O2767),'ENGAGEMENTS 2026'!AE2767))))</f>
        <v/>
      </c>
      <c r="K2767" s="604">
        <f>IF(ISBLANK('ENGAGEMENTS 2026'!W2767),"",'ENGAGEMENTS 2026'!W2767)</f>
        <v/>
      </c>
      <c r="L2767" s="276">
        <f>IF($K2767="","",TODAY()-$K2767)</f>
        <v/>
      </c>
      <c r="M2767">
        <f>IF($A2767="","",IF($H2767="ENGAGE","Engagé",IF(AND($H2767="NON ENGAGE",OR($I2767="INFRUCTUEUX",$I2767="ANNULE")),"Clôturé sans suite","En cours")))</f>
        <v/>
      </c>
      <c r="N2767">
        <f>IF(ISBLANK('ENGAGEMENTS 2026'!C2767),"",'ENGAGEMENTS 2026'!L2767)</f>
        <v/>
      </c>
      <c r="O2767">
        <f>IF(ISBLANK('ENGAGEMENTS 2026'!C2767),"",'ENGAGEMENTS 2026'!M2767)</f>
        <v/>
      </c>
      <c r="P2767">
        <f>IF(ISBLANK('ENGAGEMENTS 2026'!C2767),"",'ENGAGEMENTS 2026'!K2767)</f>
        <v/>
      </c>
      <c r="Q2767">
        <f>IF($A2767="","",IF(OR($E2767="INFRUCTUEUX",$E2767="ANNULE"),$A2767&amp;"|"&amp;(COUNTIFS($A$2:$A2767,$A2767,$E$2:$E2767,"INFRUCTUEUX")+COUNTIFS($A$2:$A2767,$A2767,$E$2:$E2767,"ANNULE")),""))</f>
        <v/>
      </c>
    </row>
    <row r="2768">
      <c r="A2768">
        <f>IF(ISBLANK('ENGAGEMENTS 2026'!C2768),"",IF('ENGAGEMENTS 2026'!C2768="DTSI","DCT",'ENGAGEMENTS 2026'!C2768))</f>
        <v/>
      </c>
      <c r="B2768">
        <f>IF(ISBLANK('ENGAGEMENTS 2026'!C2768),"",'ENGAGEMENTS 2026'!D2768)</f>
        <v/>
      </c>
      <c r="C2768">
        <f>IF(ISBLANK('ENGAGEMENTS 2026'!C2768),"",'ENGAGEMENTS 2026'!E2768)</f>
        <v/>
      </c>
      <c r="D2768">
        <f>IF(ISBLANK('ENGAGEMENTS 2026'!C2768),"",'ENGAGEMENTS 2026'!G2768)</f>
        <v/>
      </c>
      <c r="E2768">
        <f>IF(ISBLANK('ENGAGEMENTS 2026'!C2768),"",'ENGAGEMENTS 2026'!I2768)</f>
        <v/>
      </c>
      <c r="F2768">
        <f>IF(ISBLANK('ENGAGEMENTS 2026'!C2768),"",'ENGAGEMENTS 2026'!J2768)</f>
        <v/>
      </c>
      <c r="G2768">
        <f>IF(ISBLANK('ENGAGEMENTS 2026'!C2768),"",'ENGAGEMENTS 2026'!M2768)</f>
        <v/>
      </c>
      <c r="H2768">
        <f>IF(ISBLANK('ENGAGEMENTS 2026'!C2768),"",'ENGAGEMENTS 2026'!AF2768)</f>
        <v/>
      </c>
      <c r="I2768">
        <f>IF(ISBLANK('ENGAGEMENTS 2026'!C2768),"",'ENGAGEMENTS 2026'!H2768)</f>
        <v/>
      </c>
      <c r="J2768" s="275">
        <f>IF(ISBLANK('ENGAGEMENTS 2026'!C2768),"",IF(AND(OR($E2768="INFRUCTUEUX",$E2768="ANNULE"),$C2768="AOO-M"),'ENGAGEMENTS 2026'!P2768,IF($H2768="EN COURS DE PREENGAGEMENT",'ENGAGEMENTS 2026'!O2768,IF($H2768="PREENGAGE",IF($E2768="ATTRIBUE",'ENGAGEMENTS 2026'!AE2768,'ENGAGEMENTS 2026'!O2768),'ENGAGEMENTS 2026'!AE2768))))</f>
        <v/>
      </c>
      <c r="K2768" s="604">
        <f>IF(ISBLANK('ENGAGEMENTS 2026'!W2768),"",'ENGAGEMENTS 2026'!W2768)</f>
        <v/>
      </c>
      <c r="L2768" s="276">
        <f>IF($K2768="","",TODAY()-$K2768)</f>
        <v/>
      </c>
      <c r="M2768">
        <f>IF($A2768="","",IF($H2768="ENGAGE","Engagé",IF(AND($H2768="NON ENGAGE",OR($I2768="INFRUCTUEUX",$I2768="ANNULE")),"Clôturé sans suite","En cours")))</f>
        <v/>
      </c>
      <c r="N2768">
        <f>IF(ISBLANK('ENGAGEMENTS 2026'!C2768),"",'ENGAGEMENTS 2026'!L2768)</f>
        <v/>
      </c>
      <c r="O2768">
        <f>IF(ISBLANK('ENGAGEMENTS 2026'!C2768),"",'ENGAGEMENTS 2026'!M2768)</f>
        <v/>
      </c>
      <c r="P2768">
        <f>IF(ISBLANK('ENGAGEMENTS 2026'!C2768),"",'ENGAGEMENTS 2026'!K2768)</f>
        <v/>
      </c>
      <c r="Q2768">
        <f>IF($A2768="","",IF(OR($E2768="INFRUCTUEUX",$E2768="ANNULE"),$A2768&amp;"|"&amp;(COUNTIFS($A$2:$A2768,$A2768,$E$2:$E2768,"INFRUCTUEUX")+COUNTIFS($A$2:$A2768,$A2768,$E$2:$E2768,"ANNULE")),""))</f>
        <v/>
      </c>
    </row>
    <row r="2769">
      <c r="A2769">
        <f>IF(ISBLANK('ENGAGEMENTS 2026'!C2769),"",IF('ENGAGEMENTS 2026'!C2769="DTSI","DCT",'ENGAGEMENTS 2026'!C2769))</f>
        <v/>
      </c>
      <c r="B2769">
        <f>IF(ISBLANK('ENGAGEMENTS 2026'!C2769),"",'ENGAGEMENTS 2026'!D2769)</f>
        <v/>
      </c>
      <c r="C2769">
        <f>IF(ISBLANK('ENGAGEMENTS 2026'!C2769),"",'ENGAGEMENTS 2026'!E2769)</f>
        <v/>
      </c>
      <c r="D2769">
        <f>IF(ISBLANK('ENGAGEMENTS 2026'!C2769),"",'ENGAGEMENTS 2026'!G2769)</f>
        <v/>
      </c>
      <c r="E2769">
        <f>IF(ISBLANK('ENGAGEMENTS 2026'!C2769),"",'ENGAGEMENTS 2026'!I2769)</f>
        <v/>
      </c>
      <c r="F2769">
        <f>IF(ISBLANK('ENGAGEMENTS 2026'!C2769),"",'ENGAGEMENTS 2026'!J2769)</f>
        <v/>
      </c>
      <c r="G2769">
        <f>IF(ISBLANK('ENGAGEMENTS 2026'!C2769),"",'ENGAGEMENTS 2026'!M2769)</f>
        <v/>
      </c>
      <c r="H2769">
        <f>IF(ISBLANK('ENGAGEMENTS 2026'!C2769),"",'ENGAGEMENTS 2026'!AF2769)</f>
        <v/>
      </c>
      <c r="I2769">
        <f>IF(ISBLANK('ENGAGEMENTS 2026'!C2769),"",'ENGAGEMENTS 2026'!H2769)</f>
        <v/>
      </c>
      <c r="J2769" s="275">
        <f>IF(ISBLANK('ENGAGEMENTS 2026'!C2769),"",IF(AND(OR($E2769="INFRUCTUEUX",$E2769="ANNULE"),$C2769="AOO-M"),'ENGAGEMENTS 2026'!P2769,IF($H2769="EN COURS DE PREENGAGEMENT",'ENGAGEMENTS 2026'!O2769,IF($H2769="PREENGAGE",IF($E2769="ATTRIBUE",'ENGAGEMENTS 2026'!AE2769,'ENGAGEMENTS 2026'!O2769),'ENGAGEMENTS 2026'!AE2769))))</f>
        <v/>
      </c>
      <c r="K2769" s="604">
        <f>IF(ISBLANK('ENGAGEMENTS 2026'!W2769),"",'ENGAGEMENTS 2026'!W2769)</f>
        <v/>
      </c>
      <c r="L2769" s="276">
        <f>IF($K2769="","",TODAY()-$K2769)</f>
        <v/>
      </c>
      <c r="M2769">
        <f>IF($A2769="","",IF($H2769="ENGAGE","Engagé",IF(AND($H2769="NON ENGAGE",OR($I2769="INFRUCTUEUX",$I2769="ANNULE")),"Clôturé sans suite","En cours")))</f>
        <v/>
      </c>
      <c r="N2769">
        <f>IF(ISBLANK('ENGAGEMENTS 2026'!C2769),"",'ENGAGEMENTS 2026'!L2769)</f>
        <v/>
      </c>
      <c r="O2769">
        <f>IF(ISBLANK('ENGAGEMENTS 2026'!C2769),"",'ENGAGEMENTS 2026'!M2769)</f>
        <v/>
      </c>
      <c r="P2769">
        <f>IF(ISBLANK('ENGAGEMENTS 2026'!C2769),"",'ENGAGEMENTS 2026'!K2769)</f>
        <v/>
      </c>
      <c r="Q2769">
        <f>IF($A2769="","",IF(OR($E2769="INFRUCTUEUX",$E2769="ANNULE"),$A2769&amp;"|"&amp;(COUNTIFS($A$2:$A2769,$A2769,$E$2:$E2769,"INFRUCTUEUX")+COUNTIFS($A$2:$A2769,$A2769,$E$2:$E2769,"ANNULE")),""))</f>
        <v/>
      </c>
    </row>
    <row r="2770">
      <c r="A2770">
        <f>IF(ISBLANK('ENGAGEMENTS 2026'!C2770),"",IF('ENGAGEMENTS 2026'!C2770="DTSI","DCT",'ENGAGEMENTS 2026'!C2770))</f>
        <v/>
      </c>
      <c r="B2770">
        <f>IF(ISBLANK('ENGAGEMENTS 2026'!C2770),"",'ENGAGEMENTS 2026'!D2770)</f>
        <v/>
      </c>
      <c r="C2770">
        <f>IF(ISBLANK('ENGAGEMENTS 2026'!C2770),"",'ENGAGEMENTS 2026'!E2770)</f>
        <v/>
      </c>
      <c r="D2770">
        <f>IF(ISBLANK('ENGAGEMENTS 2026'!C2770),"",'ENGAGEMENTS 2026'!G2770)</f>
        <v/>
      </c>
      <c r="E2770">
        <f>IF(ISBLANK('ENGAGEMENTS 2026'!C2770),"",'ENGAGEMENTS 2026'!I2770)</f>
        <v/>
      </c>
      <c r="F2770">
        <f>IF(ISBLANK('ENGAGEMENTS 2026'!C2770),"",'ENGAGEMENTS 2026'!J2770)</f>
        <v/>
      </c>
      <c r="G2770">
        <f>IF(ISBLANK('ENGAGEMENTS 2026'!C2770),"",'ENGAGEMENTS 2026'!M2770)</f>
        <v/>
      </c>
      <c r="H2770">
        <f>IF(ISBLANK('ENGAGEMENTS 2026'!C2770),"",'ENGAGEMENTS 2026'!AF2770)</f>
        <v/>
      </c>
      <c r="I2770">
        <f>IF(ISBLANK('ENGAGEMENTS 2026'!C2770),"",'ENGAGEMENTS 2026'!H2770)</f>
        <v/>
      </c>
      <c r="J2770" s="275">
        <f>IF(ISBLANK('ENGAGEMENTS 2026'!C2770),"",IF(AND(OR($E2770="INFRUCTUEUX",$E2770="ANNULE"),$C2770="AOO-M"),'ENGAGEMENTS 2026'!P2770,IF($H2770="EN COURS DE PREENGAGEMENT",'ENGAGEMENTS 2026'!O2770,IF($H2770="PREENGAGE",IF($E2770="ATTRIBUE",'ENGAGEMENTS 2026'!AE2770,'ENGAGEMENTS 2026'!O2770),'ENGAGEMENTS 2026'!AE2770))))</f>
        <v/>
      </c>
      <c r="K2770" s="604">
        <f>IF(ISBLANK('ENGAGEMENTS 2026'!W2770),"",'ENGAGEMENTS 2026'!W2770)</f>
        <v/>
      </c>
      <c r="L2770" s="276">
        <f>IF($K2770="","",TODAY()-$K2770)</f>
        <v/>
      </c>
      <c r="M2770">
        <f>IF($A2770="","",IF($H2770="ENGAGE","Engagé",IF(AND($H2770="NON ENGAGE",OR($I2770="INFRUCTUEUX",$I2770="ANNULE")),"Clôturé sans suite","En cours")))</f>
        <v/>
      </c>
      <c r="N2770">
        <f>IF(ISBLANK('ENGAGEMENTS 2026'!C2770),"",'ENGAGEMENTS 2026'!L2770)</f>
        <v/>
      </c>
      <c r="O2770">
        <f>IF(ISBLANK('ENGAGEMENTS 2026'!C2770),"",'ENGAGEMENTS 2026'!M2770)</f>
        <v/>
      </c>
      <c r="P2770">
        <f>IF(ISBLANK('ENGAGEMENTS 2026'!C2770),"",'ENGAGEMENTS 2026'!K2770)</f>
        <v/>
      </c>
      <c r="Q2770">
        <f>IF($A2770="","",IF(OR($E2770="INFRUCTUEUX",$E2770="ANNULE"),$A2770&amp;"|"&amp;(COUNTIFS($A$2:$A2770,$A2770,$E$2:$E2770,"INFRUCTUEUX")+COUNTIFS($A$2:$A2770,$A2770,$E$2:$E2770,"ANNULE")),""))</f>
        <v/>
      </c>
    </row>
    <row r="2771">
      <c r="A2771">
        <f>IF(ISBLANK('ENGAGEMENTS 2026'!C2771),"",IF('ENGAGEMENTS 2026'!C2771="DTSI","DCT",'ENGAGEMENTS 2026'!C2771))</f>
        <v/>
      </c>
      <c r="B2771">
        <f>IF(ISBLANK('ENGAGEMENTS 2026'!C2771),"",'ENGAGEMENTS 2026'!D2771)</f>
        <v/>
      </c>
      <c r="C2771">
        <f>IF(ISBLANK('ENGAGEMENTS 2026'!C2771),"",'ENGAGEMENTS 2026'!E2771)</f>
        <v/>
      </c>
      <c r="D2771">
        <f>IF(ISBLANK('ENGAGEMENTS 2026'!C2771),"",'ENGAGEMENTS 2026'!G2771)</f>
        <v/>
      </c>
      <c r="E2771">
        <f>IF(ISBLANK('ENGAGEMENTS 2026'!C2771),"",'ENGAGEMENTS 2026'!I2771)</f>
        <v/>
      </c>
      <c r="F2771">
        <f>IF(ISBLANK('ENGAGEMENTS 2026'!C2771),"",'ENGAGEMENTS 2026'!J2771)</f>
        <v/>
      </c>
      <c r="G2771">
        <f>IF(ISBLANK('ENGAGEMENTS 2026'!C2771),"",'ENGAGEMENTS 2026'!M2771)</f>
        <v/>
      </c>
      <c r="H2771">
        <f>IF(ISBLANK('ENGAGEMENTS 2026'!C2771),"",'ENGAGEMENTS 2026'!AF2771)</f>
        <v/>
      </c>
      <c r="I2771">
        <f>IF(ISBLANK('ENGAGEMENTS 2026'!C2771),"",'ENGAGEMENTS 2026'!H2771)</f>
        <v/>
      </c>
      <c r="J2771" s="275">
        <f>IF(ISBLANK('ENGAGEMENTS 2026'!C2771),"",IF(AND(OR($E2771="INFRUCTUEUX",$E2771="ANNULE"),$C2771="AOO-M"),'ENGAGEMENTS 2026'!P2771,IF($H2771="EN COURS DE PREENGAGEMENT",'ENGAGEMENTS 2026'!O2771,IF($H2771="PREENGAGE",IF($E2771="ATTRIBUE",'ENGAGEMENTS 2026'!AE2771,'ENGAGEMENTS 2026'!O2771),'ENGAGEMENTS 2026'!AE2771))))</f>
        <v/>
      </c>
      <c r="K2771" s="604">
        <f>IF(ISBLANK('ENGAGEMENTS 2026'!W2771),"",'ENGAGEMENTS 2026'!W2771)</f>
        <v/>
      </c>
      <c r="L2771" s="276">
        <f>IF($K2771="","",TODAY()-$K2771)</f>
        <v/>
      </c>
      <c r="M2771">
        <f>IF($A2771="","",IF($H2771="ENGAGE","Engagé",IF(AND($H2771="NON ENGAGE",OR($I2771="INFRUCTUEUX",$I2771="ANNULE")),"Clôturé sans suite","En cours")))</f>
        <v/>
      </c>
      <c r="N2771">
        <f>IF(ISBLANK('ENGAGEMENTS 2026'!C2771),"",'ENGAGEMENTS 2026'!L2771)</f>
        <v/>
      </c>
      <c r="O2771">
        <f>IF(ISBLANK('ENGAGEMENTS 2026'!C2771),"",'ENGAGEMENTS 2026'!M2771)</f>
        <v/>
      </c>
      <c r="P2771">
        <f>IF(ISBLANK('ENGAGEMENTS 2026'!C2771),"",'ENGAGEMENTS 2026'!K2771)</f>
        <v/>
      </c>
      <c r="Q2771">
        <f>IF($A2771="","",IF(OR($E2771="INFRUCTUEUX",$E2771="ANNULE"),$A2771&amp;"|"&amp;(COUNTIFS($A$2:$A2771,$A2771,$E$2:$E2771,"INFRUCTUEUX")+COUNTIFS($A$2:$A2771,$A2771,$E$2:$E2771,"ANNULE")),""))</f>
        <v/>
      </c>
    </row>
    <row r="2772">
      <c r="A2772">
        <f>IF(ISBLANK('ENGAGEMENTS 2026'!C2772),"",IF('ENGAGEMENTS 2026'!C2772="DTSI","DCT",'ENGAGEMENTS 2026'!C2772))</f>
        <v/>
      </c>
      <c r="B2772">
        <f>IF(ISBLANK('ENGAGEMENTS 2026'!C2772),"",'ENGAGEMENTS 2026'!D2772)</f>
        <v/>
      </c>
      <c r="C2772">
        <f>IF(ISBLANK('ENGAGEMENTS 2026'!C2772),"",'ENGAGEMENTS 2026'!E2772)</f>
        <v/>
      </c>
      <c r="D2772">
        <f>IF(ISBLANK('ENGAGEMENTS 2026'!C2772),"",'ENGAGEMENTS 2026'!G2772)</f>
        <v/>
      </c>
      <c r="E2772">
        <f>IF(ISBLANK('ENGAGEMENTS 2026'!C2772),"",'ENGAGEMENTS 2026'!I2772)</f>
        <v/>
      </c>
      <c r="F2772">
        <f>IF(ISBLANK('ENGAGEMENTS 2026'!C2772),"",'ENGAGEMENTS 2026'!J2772)</f>
        <v/>
      </c>
      <c r="G2772">
        <f>IF(ISBLANK('ENGAGEMENTS 2026'!C2772),"",'ENGAGEMENTS 2026'!M2772)</f>
        <v/>
      </c>
      <c r="H2772">
        <f>IF(ISBLANK('ENGAGEMENTS 2026'!C2772),"",'ENGAGEMENTS 2026'!AF2772)</f>
        <v/>
      </c>
      <c r="I2772">
        <f>IF(ISBLANK('ENGAGEMENTS 2026'!C2772),"",'ENGAGEMENTS 2026'!H2772)</f>
        <v/>
      </c>
      <c r="J2772" s="275">
        <f>IF(ISBLANK('ENGAGEMENTS 2026'!C2772),"",IF(AND(OR($E2772="INFRUCTUEUX",$E2772="ANNULE"),$C2772="AOO-M"),'ENGAGEMENTS 2026'!P2772,IF($H2772="EN COURS DE PREENGAGEMENT",'ENGAGEMENTS 2026'!O2772,IF($H2772="PREENGAGE",IF($E2772="ATTRIBUE",'ENGAGEMENTS 2026'!AE2772,'ENGAGEMENTS 2026'!O2772),'ENGAGEMENTS 2026'!AE2772))))</f>
        <v/>
      </c>
      <c r="K2772" s="604">
        <f>IF(ISBLANK('ENGAGEMENTS 2026'!W2772),"",'ENGAGEMENTS 2026'!W2772)</f>
        <v/>
      </c>
      <c r="L2772" s="276">
        <f>IF($K2772="","",TODAY()-$K2772)</f>
        <v/>
      </c>
      <c r="M2772">
        <f>IF($A2772="","",IF($H2772="ENGAGE","Engagé",IF(AND($H2772="NON ENGAGE",OR($I2772="INFRUCTUEUX",$I2772="ANNULE")),"Clôturé sans suite","En cours")))</f>
        <v/>
      </c>
      <c r="N2772">
        <f>IF(ISBLANK('ENGAGEMENTS 2026'!C2772),"",'ENGAGEMENTS 2026'!L2772)</f>
        <v/>
      </c>
      <c r="O2772">
        <f>IF(ISBLANK('ENGAGEMENTS 2026'!C2772),"",'ENGAGEMENTS 2026'!M2772)</f>
        <v/>
      </c>
      <c r="P2772">
        <f>IF(ISBLANK('ENGAGEMENTS 2026'!C2772),"",'ENGAGEMENTS 2026'!K2772)</f>
        <v/>
      </c>
      <c r="Q2772">
        <f>IF($A2772="","",IF(OR($E2772="INFRUCTUEUX",$E2772="ANNULE"),$A2772&amp;"|"&amp;(COUNTIFS($A$2:$A2772,$A2772,$E$2:$E2772,"INFRUCTUEUX")+COUNTIFS($A$2:$A2772,$A2772,$E$2:$E2772,"ANNULE")),""))</f>
        <v/>
      </c>
    </row>
    <row r="2773">
      <c r="A2773">
        <f>IF(ISBLANK('ENGAGEMENTS 2026'!C2773),"",IF('ENGAGEMENTS 2026'!C2773="DTSI","DCT",'ENGAGEMENTS 2026'!C2773))</f>
        <v/>
      </c>
      <c r="B2773">
        <f>IF(ISBLANK('ENGAGEMENTS 2026'!C2773),"",'ENGAGEMENTS 2026'!D2773)</f>
        <v/>
      </c>
      <c r="C2773">
        <f>IF(ISBLANK('ENGAGEMENTS 2026'!C2773),"",'ENGAGEMENTS 2026'!E2773)</f>
        <v/>
      </c>
      <c r="D2773">
        <f>IF(ISBLANK('ENGAGEMENTS 2026'!C2773),"",'ENGAGEMENTS 2026'!G2773)</f>
        <v/>
      </c>
      <c r="E2773">
        <f>IF(ISBLANK('ENGAGEMENTS 2026'!C2773),"",'ENGAGEMENTS 2026'!I2773)</f>
        <v/>
      </c>
      <c r="F2773">
        <f>IF(ISBLANK('ENGAGEMENTS 2026'!C2773),"",'ENGAGEMENTS 2026'!J2773)</f>
        <v/>
      </c>
      <c r="G2773">
        <f>IF(ISBLANK('ENGAGEMENTS 2026'!C2773),"",'ENGAGEMENTS 2026'!M2773)</f>
        <v/>
      </c>
      <c r="H2773">
        <f>IF(ISBLANK('ENGAGEMENTS 2026'!C2773),"",'ENGAGEMENTS 2026'!AF2773)</f>
        <v/>
      </c>
      <c r="I2773">
        <f>IF(ISBLANK('ENGAGEMENTS 2026'!C2773),"",'ENGAGEMENTS 2026'!H2773)</f>
        <v/>
      </c>
      <c r="J2773" s="275">
        <f>IF(ISBLANK('ENGAGEMENTS 2026'!C2773),"",IF(AND(OR($E2773="INFRUCTUEUX",$E2773="ANNULE"),$C2773="AOO-M"),'ENGAGEMENTS 2026'!P2773,IF($H2773="EN COURS DE PREENGAGEMENT",'ENGAGEMENTS 2026'!O2773,IF($H2773="PREENGAGE",IF($E2773="ATTRIBUE",'ENGAGEMENTS 2026'!AE2773,'ENGAGEMENTS 2026'!O2773),'ENGAGEMENTS 2026'!AE2773))))</f>
        <v/>
      </c>
      <c r="K2773" s="604">
        <f>IF(ISBLANK('ENGAGEMENTS 2026'!W2773),"",'ENGAGEMENTS 2026'!W2773)</f>
        <v/>
      </c>
      <c r="L2773" s="276">
        <f>IF($K2773="","",TODAY()-$K2773)</f>
        <v/>
      </c>
      <c r="M2773">
        <f>IF($A2773="","",IF($H2773="ENGAGE","Engagé",IF(AND($H2773="NON ENGAGE",OR($I2773="INFRUCTUEUX",$I2773="ANNULE")),"Clôturé sans suite","En cours")))</f>
        <v/>
      </c>
      <c r="N2773">
        <f>IF(ISBLANK('ENGAGEMENTS 2026'!C2773),"",'ENGAGEMENTS 2026'!L2773)</f>
        <v/>
      </c>
      <c r="O2773">
        <f>IF(ISBLANK('ENGAGEMENTS 2026'!C2773),"",'ENGAGEMENTS 2026'!M2773)</f>
        <v/>
      </c>
      <c r="P2773">
        <f>IF(ISBLANK('ENGAGEMENTS 2026'!C2773),"",'ENGAGEMENTS 2026'!K2773)</f>
        <v/>
      </c>
      <c r="Q2773">
        <f>IF($A2773="","",IF(OR($E2773="INFRUCTUEUX",$E2773="ANNULE"),$A2773&amp;"|"&amp;(COUNTIFS($A$2:$A2773,$A2773,$E$2:$E2773,"INFRUCTUEUX")+COUNTIFS($A$2:$A2773,$A2773,$E$2:$E2773,"ANNULE")),""))</f>
        <v/>
      </c>
    </row>
    <row r="2774">
      <c r="A2774">
        <f>IF(ISBLANK('ENGAGEMENTS 2026'!C2774),"",IF('ENGAGEMENTS 2026'!C2774="DTSI","DCT",'ENGAGEMENTS 2026'!C2774))</f>
        <v/>
      </c>
      <c r="B2774">
        <f>IF(ISBLANK('ENGAGEMENTS 2026'!C2774),"",'ENGAGEMENTS 2026'!D2774)</f>
        <v/>
      </c>
      <c r="C2774">
        <f>IF(ISBLANK('ENGAGEMENTS 2026'!C2774),"",'ENGAGEMENTS 2026'!E2774)</f>
        <v/>
      </c>
      <c r="D2774">
        <f>IF(ISBLANK('ENGAGEMENTS 2026'!C2774),"",'ENGAGEMENTS 2026'!G2774)</f>
        <v/>
      </c>
      <c r="E2774">
        <f>IF(ISBLANK('ENGAGEMENTS 2026'!C2774),"",'ENGAGEMENTS 2026'!I2774)</f>
        <v/>
      </c>
      <c r="F2774">
        <f>IF(ISBLANK('ENGAGEMENTS 2026'!C2774),"",'ENGAGEMENTS 2026'!J2774)</f>
        <v/>
      </c>
      <c r="G2774">
        <f>IF(ISBLANK('ENGAGEMENTS 2026'!C2774),"",'ENGAGEMENTS 2026'!M2774)</f>
        <v/>
      </c>
      <c r="H2774">
        <f>IF(ISBLANK('ENGAGEMENTS 2026'!C2774),"",'ENGAGEMENTS 2026'!AF2774)</f>
        <v/>
      </c>
      <c r="I2774">
        <f>IF(ISBLANK('ENGAGEMENTS 2026'!C2774),"",'ENGAGEMENTS 2026'!H2774)</f>
        <v/>
      </c>
      <c r="J2774" s="275">
        <f>IF(ISBLANK('ENGAGEMENTS 2026'!C2774),"",IF(AND(OR($E2774="INFRUCTUEUX",$E2774="ANNULE"),$C2774="AOO-M"),'ENGAGEMENTS 2026'!P2774,IF($H2774="EN COURS DE PREENGAGEMENT",'ENGAGEMENTS 2026'!O2774,IF($H2774="PREENGAGE",IF($E2774="ATTRIBUE",'ENGAGEMENTS 2026'!AE2774,'ENGAGEMENTS 2026'!O2774),'ENGAGEMENTS 2026'!AE2774))))</f>
        <v/>
      </c>
      <c r="K2774" s="604">
        <f>IF(ISBLANK('ENGAGEMENTS 2026'!W2774),"",'ENGAGEMENTS 2026'!W2774)</f>
        <v/>
      </c>
      <c r="L2774" s="276">
        <f>IF($K2774="","",TODAY()-$K2774)</f>
        <v/>
      </c>
      <c r="M2774">
        <f>IF($A2774="","",IF($H2774="ENGAGE","Engagé",IF(AND($H2774="NON ENGAGE",OR($I2774="INFRUCTUEUX",$I2774="ANNULE")),"Clôturé sans suite","En cours")))</f>
        <v/>
      </c>
      <c r="N2774">
        <f>IF(ISBLANK('ENGAGEMENTS 2026'!C2774),"",'ENGAGEMENTS 2026'!L2774)</f>
        <v/>
      </c>
      <c r="O2774">
        <f>IF(ISBLANK('ENGAGEMENTS 2026'!C2774),"",'ENGAGEMENTS 2026'!M2774)</f>
        <v/>
      </c>
      <c r="P2774">
        <f>IF(ISBLANK('ENGAGEMENTS 2026'!C2774),"",'ENGAGEMENTS 2026'!K2774)</f>
        <v/>
      </c>
      <c r="Q2774">
        <f>IF($A2774="","",IF(OR($E2774="INFRUCTUEUX",$E2774="ANNULE"),$A2774&amp;"|"&amp;(COUNTIFS($A$2:$A2774,$A2774,$E$2:$E2774,"INFRUCTUEUX")+COUNTIFS($A$2:$A2774,$A2774,$E$2:$E2774,"ANNULE")),""))</f>
        <v/>
      </c>
    </row>
    <row r="2775">
      <c r="A2775">
        <f>IF(ISBLANK('ENGAGEMENTS 2026'!C2775),"",IF('ENGAGEMENTS 2026'!C2775="DTSI","DCT",'ENGAGEMENTS 2026'!C2775))</f>
        <v/>
      </c>
      <c r="B2775">
        <f>IF(ISBLANK('ENGAGEMENTS 2026'!C2775),"",'ENGAGEMENTS 2026'!D2775)</f>
        <v/>
      </c>
      <c r="C2775">
        <f>IF(ISBLANK('ENGAGEMENTS 2026'!C2775),"",'ENGAGEMENTS 2026'!E2775)</f>
        <v/>
      </c>
      <c r="D2775">
        <f>IF(ISBLANK('ENGAGEMENTS 2026'!C2775),"",'ENGAGEMENTS 2026'!G2775)</f>
        <v/>
      </c>
      <c r="E2775">
        <f>IF(ISBLANK('ENGAGEMENTS 2026'!C2775),"",'ENGAGEMENTS 2026'!I2775)</f>
        <v/>
      </c>
      <c r="F2775">
        <f>IF(ISBLANK('ENGAGEMENTS 2026'!C2775),"",'ENGAGEMENTS 2026'!J2775)</f>
        <v/>
      </c>
      <c r="G2775">
        <f>IF(ISBLANK('ENGAGEMENTS 2026'!C2775),"",'ENGAGEMENTS 2026'!M2775)</f>
        <v/>
      </c>
      <c r="H2775">
        <f>IF(ISBLANK('ENGAGEMENTS 2026'!C2775),"",'ENGAGEMENTS 2026'!AF2775)</f>
        <v/>
      </c>
      <c r="I2775">
        <f>IF(ISBLANK('ENGAGEMENTS 2026'!C2775),"",'ENGAGEMENTS 2026'!H2775)</f>
        <v/>
      </c>
      <c r="J2775" s="275">
        <f>IF(ISBLANK('ENGAGEMENTS 2026'!C2775),"",IF(AND(OR($E2775="INFRUCTUEUX",$E2775="ANNULE"),$C2775="AOO-M"),'ENGAGEMENTS 2026'!P2775,IF($H2775="EN COURS DE PREENGAGEMENT",'ENGAGEMENTS 2026'!O2775,IF($H2775="PREENGAGE",IF($E2775="ATTRIBUE",'ENGAGEMENTS 2026'!AE2775,'ENGAGEMENTS 2026'!O2775),'ENGAGEMENTS 2026'!AE2775))))</f>
        <v/>
      </c>
      <c r="K2775" s="604">
        <f>IF(ISBLANK('ENGAGEMENTS 2026'!W2775),"",'ENGAGEMENTS 2026'!W2775)</f>
        <v/>
      </c>
      <c r="L2775" s="276">
        <f>IF($K2775="","",TODAY()-$K2775)</f>
        <v/>
      </c>
      <c r="M2775">
        <f>IF($A2775="","",IF($H2775="ENGAGE","Engagé",IF(AND($H2775="NON ENGAGE",OR($I2775="INFRUCTUEUX",$I2775="ANNULE")),"Clôturé sans suite","En cours")))</f>
        <v/>
      </c>
      <c r="N2775">
        <f>IF(ISBLANK('ENGAGEMENTS 2026'!C2775),"",'ENGAGEMENTS 2026'!L2775)</f>
        <v/>
      </c>
      <c r="O2775">
        <f>IF(ISBLANK('ENGAGEMENTS 2026'!C2775),"",'ENGAGEMENTS 2026'!M2775)</f>
        <v/>
      </c>
      <c r="P2775">
        <f>IF(ISBLANK('ENGAGEMENTS 2026'!C2775),"",'ENGAGEMENTS 2026'!K2775)</f>
        <v/>
      </c>
      <c r="Q2775">
        <f>IF($A2775="","",IF(OR($E2775="INFRUCTUEUX",$E2775="ANNULE"),$A2775&amp;"|"&amp;(COUNTIFS($A$2:$A2775,$A2775,$E$2:$E2775,"INFRUCTUEUX")+COUNTIFS($A$2:$A2775,$A2775,$E$2:$E2775,"ANNULE")),""))</f>
        <v/>
      </c>
    </row>
    <row r="2776">
      <c r="A2776">
        <f>IF(ISBLANK('ENGAGEMENTS 2026'!C2776),"",IF('ENGAGEMENTS 2026'!C2776="DTSI","DCT",'ENGAGEMENTS 2026'!C2776))</f>
        <v/>
      </c>
      <c r="B2776">
        <f>IF(ISBLANK('ENGAGEMENTS 2026'!C2776),"",'ENGAGEMENTS 2026'!D2776)</f>
        <v/>
      </c>
      <c r="C2776">
        <f>IF(ISBLANK('ENGAGEMENTS 2026'!C2776),"",'ENGAGEMENTS 2026'!E2776)</f>
        <v/>
      </c>
      <c r="D2776">
        <f>IF(ISBLANK('ENGAGEMENTS 2026'!C2776),"",'ENGAGEMENTS 2026'!G2776)</f>
        <v/>
      </c>
      <c r="E2776">
        <f>IF(ISBLANK('ENGAGEMENTS 2026'!C2776),"",'ENGAGEMENTS 2026'!I2776)</f>
        <v/>
      </c>
      <c r="F2776">
        <f>IF(ISBLANK('ENGAGEMENTS 2026'!C2776),"",'ENGAGEMENTS 2026'!J2776)</f>
        <v/>
      </c>
      <c r="G2776">
        <f>IF(ISBLANK('ENGAGEMENTS 2026'!C2776),"",'ENGAGEMENTS 2026'!M2776)</f>
        <v/>
      </c>
      <c r="H2776">
        <f>IF(ISBLANK('ENGAGEMENTS 2026'!C2776),"",'ENGAGEMENTS 2026'!AF2776)</f>
        <v/>
      </c>
      <c r="I2776">
        <f>IF(ISBLANK('ENGAGEMENTS 2026'!C2776),"",'ENGAGEMENTS 2026'!H2776)</f>
        <v/>
      </c>
      <c r="J2776" s="275">
        <f>IF(ISBLANK('ENGAGEMENTS 2026'!C2776),"",IF(AND(OR($E2776="INFRUCTUEUX",$E2776="ANNULE"),$C2776="AOO-M"),'ENGAGEMENTS 2026'!P2776,IF($H2776="EN COURS DE PREENGAGEMENT",'ENGAGEMENTS 2026'!O2776,IF($H2776="PREENGAGE",IF($E2776="ATTRIBUE",'ENGAGEMENTS 2026'!AE2776,'ENGAGEMENTS 2026'!O2776),'ENGAGEMENTS 2026'!AE2776))))</f>
        <v/>
      </c>
      <c r="K2776" s="604">
        <f>IF(ISBLANK('ENGAGEMENTS 2026'!W2776),"",'ENGAGEMENTS 2026'!W2776)</f>
        <v/>
      </c>
      <c r="L2776" s="276">
        <f>IF($K2776="","",TODAY()-$K2776)</f>
        <v/>
      </c>
      <c r="M2776">
        <f>IF($A2776="","",IF($H2776="ENGAGE","Engagé",IF(AND($H2776="NON ENGAGE",OR($I2776="INFRUCTUEUX",$I2776="ANNULE")),"Clôturé sans suite","En cours")))</f>
        <v/>
      </c>
      <c r="N2776">
        <f>IF(ISBLANK('ENGAGEMENTS 2026'!C2776),"",'ENGAGEMENTS 2026'!L2776)</f>
        <v/>
      </c>
      <c r="O2776">
        <f>IF(ISBLANK('ENGAGEMENTS 2026'!C2776),"",'ENGAGEMENTS 2026'!M2776)</f>
        <v/>
      </c>
      <c r="P2776">
        <f>IF(ISBLANK('ENGAGEMENTS 2026'!C2776),"",'ENGAGEMENTS 2026'!K2776)</f>
        <v/>
      </c>
      <c r="Q2776">
        <f>IF($A2776="","",IF(OR($E2776="INFRUCTUEUX",$E2776="ANNULE"),$A2776&amp;"|"&amp;(COUNTIFS($A$2:$A2776,$A2776,$E$2:$E2776,"INFRUCTUEUX")+COUNTIFS($A$2:$A2776,$A2776,$E$2:$E2776,"ANNULE")),""))</f>
        <v/>
      </c>
    </row>
    <row r="2777">
      <c r="A2777">
        <f>IF(ISBLANK('ENGAGEMENTS 2026'!C2777),"",IF('ENGAGEMENTS 2026'!C2777="DTSI","DCT",'ENGAGEMENTS 2026'!C2777))</f>
        <v/>
      </c>
      <c r="B2777">
        <f>IF(ISBLANK('ENGAGEMENTS 2026'!C2777),"",'ENGAGEMENTS 2026'!D2777)</f>
        <v/>
      </c>
      <c r="C2777">
        <f>IF(ISBLANK('ENGAGEMENTS 2026'!C2777),"",'ENGAGEMENTS 2026'!E2777)</f>
        <v/>
      </c>
      <c r="D2777">
        <f>IF(ISBLANK('ENGAGEMENTS 2026'!C2777),"",'ENGAGEMENTS 2026'!G2777)</f>
        <v/>
      </c>
      <c r="E2777">
        <f>IF(ISBLANK('ENGAGEMENTS 2026'!C2777),"",'ENGAGEMENTS 2026'!I2777)</f>
        <v/>
      </c>
      <c r="F2777">
        <f>IF(ISBLANK('ENGAGEMENTS 2026'!C2777),"",'ENGAGEMENTS 2026'!J2777)</f>
        <v/>
      </c>
      <c r="G2777">
        <f>IF(ISBLANK('ENGAGEMENTS 2026'!C2777),"",'ENGAGEMENTS 2026'!M2777)</f>
        <v/>
      </c>
      <c r="H2777">
        <f>IF(ISBLANK('ENGAGEMENTS 2026'!C2777),"",'ENGAGEMENTS 2026'!AF2777)</f>
        <v/>
      </c>
      <c r="I2777">
        <f>IF(ISBLANK('ENGAGEMENTS 2026'!C2777),"",'ENGAGEMENTS 2026'!H2777)</f>
        <v/>
      </c>
      <c r="J2777" s="275">
        <f>IF(ISBLANK('ENGAGEMENTS 2026'!C2777),"",IF(AND(OR($E2777="INFRUCTUEUX",$E2777="ANNULE"),$C2777="AOO-M"),'ENGAGEMENTS 2026'!P2777,IF($H2777="EN COURS DE PREENGAGEMENT",'ENGAGEMENTS 2026'!O2777,IF($H2777="PREENGAGE",IF($E2777="ATTRIBUE",'ENGAGEMENTS 2026'!AE2777,'ENGAGEMENTS 2026'!O2777),'ENGAGEMENTS 2026'!AE2777))))</f>
        <v/>
      </c>
      <c r="K2777" s="604">
        <f>IF(ISBLANK('ENGAGEMENTS 2026'!W2777),"",'ENGAGEMENTS 2026'!W2777)</f>
        <v/>
      </c>
      <c r="L2777" s="276">
        <f>IF($K2777="","",TODAY()-$K2777)</f>
        <v/>
      </c>
      <c r="M2777">
        <f>IF($A2777="","",IF($H2777="ENGAGE","Engagé",IF(AND($H2777="NON ENGAGE",OR($I2777="INFRUCTUEUX",$I2777="ANNULE")),"Clôturé sans suite","En cours")))</f>
        <v/>
      </c>
      <c r="N2777">
        <f>IF(ISBLANK('ENGAGEMENTS 2026'!C2777),"",'ENGAGEMENTS 2026'!L2777)</f>
        <v/>
      </c>
      <c r="O2777">
        <f>IF(ISBLANK('ENGAGEMENTS 2026'!C2777),"",'ENGAGEMENTS 2026'!M2777)</f>
        <v/>
      </c>
      <c r="P2777">
        <f>IF(ISBLANK('ENGAGEMENTS 2026'!C2777),"",'ENGAGEMENTS 2026'!K2777)</f>
        <v/>
      </c>
      <c r="Q2777">
        <f>IF($A2777="","",IF(OR($E2777="INFRUCTUEUX",$E2777="ANNULE"),$A2777&amp;"|"&amp;(COUNTIFS($A$2:$A2777,$A2777,$E$2:$E2777,"INFRUCTUEUX")+COUNTIFS($A$2:$A2777,$A2777,$E$2:$E2777,"ANNULE")),""))</f>
        <v/>
      </c>
    </row>
    <row r="2778">
      <c r="A2778">
        <f>IF(ISBLANK('ENGAGEMENTS 2026'!C2778),"",IF('ENGAGEMENTS 2026'!C2778="DTSI","DCT",'ENGAGEMENTS 2026'!C2778))</f>
        <v/>
      </c>
      <c r="B2778">
        <f>IF(ISBLANK('ENGAGEMENTS 2026'!C2778),"",'ENGAGEMENTS 2026'!D2778)</f>
        <v/>
      </c>
      <c r="C2778">
        <f>IF(ISBLANK('ENGAGEMENTS 2026'!C2778),"",'ENGAGEMENTS 2026'!E2778)</f>
        <v/>
      </c>
      <c r="D2778">
        <f>IF(ISBLANK('ENGAGEMENTS 2026'!C2778),"",'ENGAGEMENTS 2026'!G2778)</f>
        <v/>
      </c>
      <c r="E2778">
        <f>IF(ISBLANK('ENGAGEMENTS 2026'!C2778),"",'ENGAGEMENTS 2026'!I2778)</f>
        <v/>
      </c>
      <c r="F2778">
        <f>IF(ISBLANK('ENGAGEMENTS 2026'!C2778),"",'ENGAGEMENTS 2026'!J2778)</f>
        <v/>
      </c>
      <c r="G2778">
        <f>IF(ISBLANK('ENGAGEMENTS 2026'!C2778),"",'ENGAGEMENTS 2026'!M2778)</f>
        <v/>
      </c>
      <c r="H2778">
        <f>IF(ISBLANK('ENGAGEMENTS 2026'!C2778),"",'ENGAGEMENTS 2026'!AF2778)</f>
        <v/>
      </c>
      <c r="I2778">
        <f>IF(ISBLANK('ENGAGEMENTS 2026'!C2778),"",'ENGAGEMENTS 2026'!H2778)</f>
        <v/>
      </c>
      <c r="J2778" s="275">
        <f>IF(ISBLANK('ENGAGEMENTS 2026'!C2778),"",IF(AND(OR($E2778="INFRUCTUEUX",$E2778="ANNULE"),$C2778="AOO-M"),'ENGAGEMENTS 2026'!P2778,IF($H2778="EN COURS DE PREENGAGEMENT",'ENGAGEMENTS 2026'!O2778,IF($H2778="PREENGAGE",IF($E2778="ATTRIBUE",'ENGAGEMENTS 2026'!AE2778,'ENGAGEMENTS 2026'!O2778),'ENGAGEMENTS 2026'!AE2778))))</f>
        <v/>
      </c>
      <c r="K2778" s="604">
        <f>IF(ISBLANK('ENGAGEMENTS 2026'!W2778),"",'ENGAGEMENTS 2026'!W2778)</f>
        <v/>
      </c>
      <c r="L2778" s="276">
        <f>IF($K2778="","",TODAY()-$K2778)</f>
        <v/>
      </c>
      <c r="M2778">
        <f>IF($A2778="","",IF($H2778="ENGAGE","Engagé",IF(AND($H2778="NON ENGAGE",OR($I2778="INFRUCTUEUX",$I2778="ANNULE")),"Clôturé sans suite","En cours")))</f>
        <v/>
      </c>
      <c r="N2778">
        <f>IF(ISBLANK('ENGAGEMENTS 2026'!C2778),"",'ENGAGEMENTS 2026'!L2778)</f>
        <v/>
      </c>
      <c r="O2778">
        <f>IF(ISBLANK('ENGAGEMENTS 2026'!C2778),"",'ENGAGEMENTS 2026'!M2778)</f>
        <v/>
      </c>
      <c r="P2778">
        <f>IF(ISBLANK('ENGAGEMENTS 2026'!C2778),"",'ENGAGEMENTS 2026'!K2778)</f>
        <v/>
      </c>
      <c r="Q2778">
        <f>IF($A2778="","",IF(OR($E2778="INFRUCTUEUX",$E2778="ANNULE"),$A2778&amp;"|"&amp;(COUNTIFS($A$2:$A2778,$A2778,$E$2:$E2778,"INFRUCTUEUX")+COUNTIFS($A$2:$A2778,$A2778,$E$2:$E2778,"ANNULE")),""))</f>
        <v/>
      </c>
    </row>
    <row r="2779">
      <c r="A2779">
        <f>IF(ISBLANK('ENGAGEMENTS 2026'!C2779),"",IF('ENGAGEMENTS 2026'!C2779="DTSI","DCT",'ENGAGEMENTS 2026'!C2779))</f>
        <v/>
      </c>
      <c r="B2779">
        <f>IF(ISBLANK('ENGAGEMENTS 2026'!C2779),"",'ENGAGEMENTS 2026'!D2779)</f>
        <v/>
      </c>
      <c r="C2779">
        <f>IF(ISBLANK('ENGAGEMENTS 2026'!C2779),"",'ENGAGEMENTS 2026'!E2779)</f>
        <v/>
      </c>
      <c r="D2779">
        <f>IF(ISBLANK('ENGAGEMENTS 2026'!C2779),"",'ENGAGEMENTS 2026'!G2779)</f>
        <v/>
      </c>
      <c r="E2779">
        <f>IF(ISBLANK('ENGAGEMENTS 2026'!C2779),"",'ENGAGEMENTS 2026'!I2779)</f>
        <v/>
      </c>
      <c r="F2779">
        <f>IF(ISBLANK('ENGAGEMENTS 2026'!C2779),"",'ENGAGEMENTS 2026'!J2779)</f>
        <v/>
      </c>
      <c r="G2779">
        <f>IF(ISBLANK('ENGAGEMENTS 2026'!C2779),"",'ENGAGEMENTS 2026'!M2779)</f>
        <v/>
      </c>
      <c r="H2779">
        <f>IF(ISBLANK('ENGAGEMENTS 2026'!C2779),"",'ENGAGEMENTS 2026'!AF2779)</f>
        <v/>
      </c>
      <c r="I2779">
        <f>IF(ISBLANK('ENGAGEMENTS 2026'!C2779),"",'ENGAGEMENTS 2026'!H2779)</f>
        <v/>
      </c>
      <c r="J2779" s="275">
        <f>IF(ISBLANK('ENGAGEMENTS 2026'!C2779),"",IF(AND(OR($E2779="INFRUCTUEUX",$E2779="ANNULE"),$C2779="AOO-M"),'ENGAGEMENTS 2026'!P2779,IF($H2779="EN COURS DE PREENGAGEMENT",'ENGAGEMENTS 2026'!O2779,IF($H2779="PREENGAGE",IF($E2779="ATTRIBUE",'ENGAGEMENTS 2026'!AE2779,'ENGAGEMENTS 2026'!O2779),'ENGAGEMENTS 2026'!AE2779))))</f>
        <v/>
      </c>
      <c r="K2779" s="604">
        <f>IF(ISBLANK('ENGAGEMENTS 2026'!W2779),"",'ENGAGEMENTS 2026'!W2779)</f>
        <v/>
      </c>
      <c r="L2779" s="276">
        <f>IF($K2779="","",TODAY()-$K2779)</f>
        <v/>
      </c>
      <c r="M2779">
        <f>IF($A2779="","",IF($H2779="ENGAGE","Engagé",IF(AND($H2779="NON ENGAGE",OR($I2779="INFRUCTUEUX",$I2779="ANNULE")),"Clôturé sans suite","En cours")))</f>
        <v/>
      </c>
      <c r="N2779">
        <f>IF(ISBLANK('ENGAGEMENTS 2026'!C2779),"",'ENGAGEMENTS 2026'!L2779)</f>
        <v/>
      </c>
      <c r="O2779">
        <f>IF(ISBLANK('ENGAGEMENTS 2026'!C2779),"",'ENGAGEMENTS 2026'!M2779)</f>
        <v/>
      </c>
      <c r="P2779">
        <f>IF(ISBLANK('ENGAGEMENTS 2026'!C2779),"",'ENGAGEMENTS 2026'!K2779)</f>
        <v/>
      </c>
      <c r="Q2779">
        <f>IF($A2779="","",IF(OR($E2779="INFRUCTUEUX",$E2779="ANNULE"),$A2779&amp;"|"&amp;(COUNTIFS($A$2:$A2779,$A2779,$E$2:$E2779,"INFRUCTUEUX")+COUNTIFS($A$2:$A2779,$A2779,$E$2:$E2779,"ANNULE")),""))</f>
        <v/>
      </c>
    </row>
    <row r="2780">
      <c r="A2780">
        <f>IF(ISBLANK('ENGAGEMENTS 2026'!C2780),"",IF('ENGAGEMENTS 2026'!C2780="DTSI","DCT",'ENGAGEMENTS 2026'!C2780))</f>
        <v/>
      </c>
      <c r="B2780">
        <f>IF(ISBLANK('ENGAGEMENTS 2026'!C2780),"",'ENGAGEMENTS 2026'!D2780)</f>
        <v/>
      </c>
      <c r="C2780">
        <f>IF(ISBLANK('ENGAGEMENTS 2026'!C2780),"",'ENGAGEMENTS 2026'!E2780)</f>
        <v/>
      </c>
      <c r="D2780">
        <f>IF(ISBLANK('ENGAGEMENTS 2026'!C2780),"",'ENGAGEMENTS 2026'!G2780)</f>
        <v/>
      </c>
      <c r="E2780">
        <f>IF(ISBLANK('ENGAGEMENTS 2026'!C2780),"",'ENGAGEMENTS 2026'!I2780)</f>
        <v/>
      </c>
      <c r="F2780">
        <f>IF(ISBLANK('ENGAGEMENTS 2026'!C2780),"",'ENGAGEMENTS 2026'!J2780)</f>
        <v/>
      </c>
      <c r="G2780">
        <f>IF(ISBLANK('ENGAGEMENTS 2026'!C2780),"",'ENGAGEMENTS 2026'!M2780)</f>
        <v/>
      </c>
      <c r="H2780">
        <f>IF(ISBLANK('ENGAGEMENTS 2026'!C2780),"",'ENGAGEMENTS 2026'!AF2780)</f>
        <v/>
      </c>
      <c r="I2780">
        <f>IF(ISBLANK('ENGAGEMENTS 2026'!C2780),"",'ENGAGEMENTS 2026'!H2780)</f>
        <v/>
      </c>
      <c r="J2780" s="275">
        <f>IF(ISBLANK('ENGAGEMENTS 2026'!C2780),"",IF(AND(OR($E2780="INFRUCTUEUX",$E2780="ANNULE"),$C2780="AOO-M"),'ENGAGEMENTS 2026'!P2780,IF($H2780="EN COURS DE PREENGAGEMENT",'ENGAGEMENTS 2026'!O2780,IF($H2780="PREENGAGE",IF($E2780="ATTRIBUE",'ENGAGEMENTS 2026'!AE2780,'ENGAGEMENTS 2026'!O2780),'ENGAGEMENTS 2026'!AE2780))))</f>
        <v/>
      </c>
      <c r="K2780" s="604">
        <f>IF(ISBLANK('ENGAGEMENTS 2026'!W2780),"",'ENGAGEMENTS 2026'!W2780)</f>
        <v/>
      </c>
      <c r="L2780" s="276">
        <f>IF($K2780="","",TODAY()-$K2780)</f>
        <v/>
      </c>
      <c r="M2780">
        <f>IF($A2780="","",IF($H2780="ENGAGE","Engagé",IF(AND($H2780="NON ENGAGE",OR($I2780="INFRUCTUEUX",$I2780="ANNULE")),"Clôturé sans suite","En cours")))</f>
        <v/>
      </c>
      <c r="N2780">
        <f>IF(ISBLANK('ENGAGEMENTS 2026'!C2780),"",'ENGAGEMENTS 2026'!L2780)</f>
        <v/>
      </c>
      <c r="O2780">
        <f>IF(ISBLANK('ENGAGEMENTS 2026'!C2780),"",'ENGAGEMENTS 2026'!M2780)</f>
        <v/>
      </c>
      <c r="P2780">
        <f>IF(ISBLANK('ENGAGEMENTS 2026'!C2780),"",'ENGAGEMENTS 2026'!K2780)</f>
        <v/>
      </c>
      <c r="Q2780">
        <f>IF($A2780="","",IF(OR($E2780="INFRUCTUEUX",$E2780="ANNULE"),$A2780&amp;"|"&amp;(COUNTIFS($A$2:$A2780,$A2780,$E$2:$E2780,"INFRUCTUEUX")+COUNTIFS($A$2:$A2780,$A2780,$E$2:$E2780,"ANNULE")),""))</f>
        <v/>
      </c>
    </row>
    <row r="2781">
      <c r="A2781">
        <f>IF(ISBLANK('ENGAGEMENTS 2026'!C2781),"",IF('ENGAGEMENTS 2026'!C2781="DTSI","DCT",'ENGAGEMENTS 2026'!C2781))</f>
        <v/>
      </c>
      <c r="B2781">
        <f>IF(ISBLANK('ENGAGEMENTS 2026'!C2781),"",'ENGAGEMENTS 2026'!D2781)</f>
        <v/>
      </c>
      <c r="C2781">
        <f>IF(ISBLANK('ENGAGEMENTS 2026'!C2781),"",'ENGAGEMENTS 2026'!E2781)</f>
        <v/>
      </c>
      <c r="D2781">
        <f>IF(ISBLANK('ENGAGEMENTS 2026'!C2781),"",'ENGAGEMENTS 2026'!G2781)</f>
        <v/>
      </c>
      <c r="E2781">
        <f>IF(ISBLANK('ENGAGEMENTS 2026'!C2781),"",'ENGAGEMENTS 2026'!I2781)</f>
        <v/>
      </c>
      <c r="F2781">
        <f>IF(ISBLANK('ENGAGEMENTS 2026'!C2781),"",'ENGAGEMENTS 2026'!J2781)</f>
        <v/>
      </c>
      <c r="G2781">
        <f>IF(ISBLANK('ENGAGEMENTS 2026'!C2781),"",'ENGAGEMENTS 2026'!M2781)</f>
        <v/>
      </c>
      <c r="H2781">
        <f>IF(ISBLANK('ENGAGEMENTS 2026'!C2781),"",'ENGAGEMENTS 2026'!AF2781)</f>
        <v/>
      </c>
      <c r="I2781">
        <f>IF(ISBLANK('ENGAGEMENTS 2026'!C2781),"",'ENGAGEMENTS 2026'!H2781)</f>
        <v/>
      </c>
      <c r="J2781" s="275">
        <f>IF(ISBLANK('ENGAGEMENTS 2026'!C2781),"",IF(AND(OR($E2781="INFRUCTUEUX",$E2781="ANNULE"),$C2781="AOO-M"),'ENGAGEMENTS 2026'!P2781,IF($H2781="EN COURS DE PREENGAGEMENT",'ENGAGEMENTS 2026'!O2781,IF($H2781="PREENGAGE",IF($E2781="ATTRIBUE",'ENGAGEMENTS 2026'!AE2781,'ENGAGEMENTS 2026'!O2781),'ENGAGEMENTS 2026'!AE2781))))</f>
        <v/>
      </c>
      <c r="K2781" s="604">
        <f>IF(ISBLANK('ENGAGEMENTS 2026'!W2781),"",'ENGAGEMENTS 2026'!W2781)</f>
        <v/>
      </c>
      <c r="L2781" s="276">
        <f>IF($K2781="","",TODAY()-$K2781)</f>
        <v/>
      </c>
      <c r="M2781">
        <f>IF($A2781="","",IF($H2781="ENGAGE","Engagé",IF(AND($H2781="NON ENGAGE",OR($I2781="INFRUCTUEUX",$I2781="ANNULE")),"Clôturé sans suite","En cours")))</f>
        <v/>
      </c>
      <c r="N2781">
        <f>IF(ISBLANK('ENGAGEMENTS 2026'!C2781),"",'ENGAGEMENTS 2026'!L2781)</f>
        <v/>
      </c>
      <c r="O2781">
        <f>IF(ISBLANK('ENGAGEMENTS 2026'!C2781),"",'ENGAGEMENTS 2026'!M2781)</f>
        <v/>
      </c>
      <c r="P2781">
        <f>IF(ISBLANK('ENGAGEMENTS 2026'!C2781),"",'ENGAGEMENTS 2026'!K2781)</f>
        <v/>
      </c>
      <c r="Q2781">
        <f>IF($A2781="","",IF(OR($E2781="INFRUCTUEUX",$E2781="ANNULE"),$A2781&amp;"|"&amp;(COUNTIFS($A$2:$A2781,$A2781,$E$2:$E2781,"INFRUCTUEUX")+COUNTIFS($A$2:$A2781,$A2781,$E$2:$E2781,"ANNULE")),""))</f>
        <v/>
      </c>
    </row>
    <row r="2782">
      <c r="A2782">
        <f>IF(ISBLANK('ENGAGEMENTS 2026'!C2782),"",IF('ENGAGEMENTS 2026'!C2782="DTSI","DCT",'ENGAGEMENTS 2026'!C2782))</f>
        <v/>
      </c>
      <c r="B2782">
        <f>IF(ISBLANK('ENGAGEMENTS 2026'!C2782),"",'ENGAGEMENTS 2026'!D2782)</f>
        <v/>
      </c>
      <c r="C2782">
        <f>IF(ISBLANK('ENGAGEMENTS 2026'!C2782),"",'ENGAGEMENTS 2026'!E2782)</f>
        <v/>
      </c>
      <c r="D2782">
        <f>IF(ISBLANK('ENGAGEMENTS 2026'!C2782),"",'ENGAGEMENTS 2026'!G2782)</f>
        <v/>
      </c>
      <c r="E2782">
        <f>IF(ISBLANK('ENGAGEMENTS 2026'!C2782),"",'ENGAGEMENTS 2026'!I2782)</f>
        <v/>
      </c>
      <c r="F2782">
        <f>IF(ISBLANK('ENGAGEMENTS 2026'!C2782),"",'ENGAGEMENTS 2026'!J2782)</f>
        <v/>
      </c>
      <c r="G2782">
        <f>IF(ISBLANK('ENGAGEMENTS 2026'!C2782),"",'ENGAGEMENTS 2026'!M2782)</f>
        <v/>
      </c>
      <c r="H2782">
        <f>IF(ISBLANK('ENGAGEMENTS 2026'!C2782),"",'ENGAGEMENTS 2026'!AF2782)</f>
        <v/>
      </c>
      <c r="I2782">
        <f>IF(ISBLANK('ENGAGEMENTS 2026'!C2782),"",'ENGAGEMENTS 2026'!H2782)</f>
        <v/>
      </c>
      <c r="J2782" s="275">
        <f>IF(ISBLANK('ENGAGEMENTS 2026'!C2782),"",IF(AND(OR($E2782="INFRUCTUEUX",$E2782="ANNULE"),$C2782="AOO-M"),'ENGAGEMENTS 2026'!P2782,IF($H2782="EN COURS DE PREENGAGEMENT",'ENGAGEMENTS 2026'!O2782,IF($H2782="PREENGAGE",IF($E2782="ATTRIBUE",'ENGAGEMENTS 2026'!AE2782,'ENGAGEMENTS 2026'!O2782),'ENGAGEMENTS 2026'!AE2782))))</f>
        <v/>
      </c>
      <c r="K2782" s="604">
        <f>IF(ISBLANK('ENGAGEMENTS 2026'!W2782),"",'ENGAGEMENTS 2026'!W2782)</f>
        <v/>
      </c>
      <c r="L2782" s="276">
        <f>IF($K2782="","",TODAY()-$K2782)</f>
        <v/>
      </c>
      <c r="M2782">
        <f>IF($A2782="","",IF($H2782="ENGAGE","Engagé",IF(AND($H2782="NON ENGAGE",OR($I2782="INFRUCTUEUX",$I2782="ANNULE")),"Clôturé sans suite","En cours")))</f>
        <v/>
      </c>
      <c r="N2782">
        <f>IF(ISBLANK('ENGAGEMENTS 2026'!C2782),"",'ENGAGEMENTS 2026'!L2782)</f>
        <v/>
      </c>
      <c r="O2782">
        <f>IF(ISBLANK('ENGAGEMENTS 2026'!C2782),"",'ENGAGEMENTS 2026'!M2782)</f>
        <v/>
      </c>
      <c r="P2782">
        <f>IF(ISBLANK('ENGAGEMENTS 2026'!C2782),"",'ENGAGEMENTS 2026'!K2782)</f>
        <v/>
      </c>
      <c r="Q2782">
        <f>IF($A2782="","",IF(OR($E2782="INFRUCTUEUX",$E2782="ANNULE"),$A2782&amp;"|"&amp;(COUNTIFS($A$2:$A2782,$A2782,$E$2:$E2782,"INFRUCTUEUX")+COUNTIFS($A$2:$A2782,$A2782,$E$2:$E2782,"ANNULE")),""))</f>
        <v/>
      </c>
    </row>
    <row r="2783">
      <c r="A2783">
        <f>IF(ISBLANK('ENGAGEMENTS 2026'!C2783),"",IF('ENGAGEMENTS 2026'!C2783="DTSI","DCT",'ENGAGEMENTS 2026'!C2783))</f>
        <v/>
      </c>
      <c r="B2783">
        <f>IF(ISBLANK('ENGAGEMENTS 2026'!C2783),"",'ENGAGEMENTS 2026'!D2783)</f>
        <v/>
      </c>
      <c r="C2783">
        <f>IF(ISBLANK('ENGAGEMENTS 2026'!C2783),"",'ENGAGEMENTS 2026'!E2783)</f>
        <v/>
      </c>
      <c r="D2783">
        <f>IF(ISBLANK('ENGAGEMENTS 2026'!C2783),"",'ENGAGEMENTS 2026'!G2783)</f>
        <v/>
      </c>
      <c r="E2783">
        <f>IF(ISBLANK('ENGAGEMENTS 2026'!C2783),"",'ENGAGEMENTS 2026'!I2783)</f>
        <v/>
      </c>
      <c r="F2783">
        <f>IF(ISBLANK('ENGAGEMENTS 2026'!C2783),"",'ENGAGEMENTS 2026'!J2783)</f>
        <v/>
      </c>
      <c r="G2783">
        <f>IF(ISBLANK('ENGAGEMENTS 2026'!C2783),"",'ENGAGEMENTS 2026'!M2783)</f>
        <v/>
      </c>
      <c r="H2783">
        <f>IF(ISBLANK('ENGAGEMENTS 2026'!C2783),"",'ENGAGEMENTS 2026'!AF2783)</f>
        <v/>
      </c>
      <c r="I2783">
        <f>IF(ISBLANK('ENGAGEMENTS 2026'!C2783),"",'ENGAGEMENTS 2026'!H2783)</f>
        <v/>
      </c>
      <c r="J2783" s="275">
        <f>IF(ISBLANK('ENGAGEMENTS 2026'!C2783),"",IF(AND(OR($E2783="INFRUCTUEUX",$E2783="ANNULE"),$C2783="AOO-M"),'ENGAGEMENTS 2026'!P2783,IF($H2783="EN COURS DE PREENGAGEMENT",'ENGAGEMENTS 2026'!O2783,IF($H2783="PREENGAGE",IF($E2783="ATTRIBUE",'ENGAGEMENTS 2026'!AE2783,'ENGAGEMENTS 2026'!O2783),'ENGAGEMENTS 2026'!AE2783))))</f>
        <v/>
      </c>
      <c r="K2783" s="604">
        <f>IF(ISBLANK('ENGAGEMENTS 2026'!W2783),"",'ENGAGEMENTS 2026'!W2783)</f>
        <v/>
      </c>
      <c r="L2783" s="276">
        <f>IF($K2783="","",TODAY()-$K2783)</f>
        <v/>
      </c>
      <c r="M2783">
        <f>IF($A2783="","",IF($H2783="ENGAGE","Engagé",IF(AND($H2783="NON ENGAGE",OR($I2783="INFRUCTUEUX",$I2783="ANNULE")),"Clôturé sans suite","En cours")))</f>
        <v/>
      </c>
      <c r="N2783">
        <f>IF(ISBLANK('ENGAGEMENTS 2026'!C2783),"",'ENGAGEMENTS 2026'!L2783)</f>
        <v/>
      </c>
      <c r="O2783">
        <f>IF(ISBLANK('ENGAGEMENTS 2026'!C2783),"",'ENGAGEMENTS 2026'!M2783)</f>
        <v/>
      </c>
      <c r="P2783">
        <f>IF(ISBLANK('ENGAGEMENTS 2026'!C2783),"",'ENGAGEMENTS 2026'!K2783)</f>
        <v/>
      </c>
      <c r="Q2783">
        <f>IF($A2783="","",IF(OR($E2783="INFRUCTUEUX",$E2783="ANNULE"),$A2783&amp;"|"&amp;(COUNTIFS($A$2:$A2783,$A2783,$E$2:$E2783,"INFRUCTUEUX")+COUNTIFS($A$2:$A2783,$A2783,$E$2:$E2783,"ANNULE")),""))</f>
        <v/>
      </c>
    </row>
    <row r="2784">
      <c r="A2784">
        <f>IF(ISBLANK('ENGAGEMENTS 2026'!C2784),"",IF('ENGAGEMENTS 2026'!C2784="DTSI","DCT",'ENGAGEMENTS 2026'!C2784))</f>
        <v/>
      </c>
      <c r="B2784">
        <f>IF(ISBLANK('ENGAGEMENTS 2026'!C2784),"",'ENGAGEMENTS 2026'!D2784)</f>
        <v/>
      </c>
      <c r="C2784">
        <f>IF(ISBLANK('ENGAGEMENTS 2026'!C2784),"",'ENGAGEMENTS 2026'!E2784)</f>
        <v/>
      </c>
      <c r="D2784">
        <f>IF(ISBLANK('ENGAGEMENTS 2026'!C2784),"",'ENGAGEMENTS 2026'!G2784)</f>
        <v/>
      </c>
      <c r="E2784">
        <f>IF(ISBLANK('ENGAGEMENTS 2026'!C2784),"",'ENGAGEMENTS 2026'!I2784)</f>
        <v/>
      </c>
      <c r="F2784">
        <f>IF(ISBLANK('ENGAGEMENTS 2026'!C2784),"",'ENGAGEMENTS 2026'!J2784)</f>
        <v/>
      </c>
      <c r="G2784">
        <f>IF(ISBLANK('ENGAGEMENTS 2026'!C2784),"",'ENGAGEMENTS 2026'!M2784)</f>
        <v/>
      </c>
      <c r="H2784">
        <f>IF(ISBLANK('ENGAGEMENTS 2026'!C2784),"",'ENGAGEMENTS 2026'!AF2784)</f>
        <v/>
      </c>
      <c r="I2784">
        <f>IF(ISBLANK('ENGAGEMENTS 2026'!C2784),"",'ENGAGEMENTS 2026'!H2784)</f>
        <v/>
      </c>
      <c r="J2784" s="275">
        <f>IF(ISBLANK('ENGAGEMENTS 2026'!C2784),"",IF(AND(OR($E2784="INFRUCTUEUX",$E2784="ANNULE"),$C2784="AOO-M"),'ENGAGEMENTS 2026'!P2784,IF($H2784="EN COURS DE PREENGAGEMENT",'ENGAGEMENTS 2026'!O2784,IF($H2784="PREENGAGE",IF($E2784="ATTRIBUE",'ENGAGEMENTS 2026'!AE2784,'ENGAGEMENTS 2026'!O2784),'ENGAGEMENTS 2026'!AE2784))))</f>
        <v/>
      </c>
      <c r="K2784" s="604">
        <f>IF(ISBLANK('ENGAGEMENTS 2026'!W2784),"",'ENGAGEMENTS 2026'!W2784)</f>
        <v/>
      </c>
      <c r="L2784" s="276">
        <f>IF($K2784="","",TODAY()-$K2784)</f>
        <v/>
      </c>
      <c r="M2784">
        <f>IF($A2784="","",IF($H2784="ENGAGE","Engagé",IF(AND($H2784="NON ENGAGE",OR($I2784="INFRUCTUEUX",$I2784="ANNULE")),"Clôturé sans suite","En cours")))</f>
        <v/>
      </c>
      <c r="N2784">
        <f>IF(ISBLANK('ENGAGEMENTS 2026'!C2784),"",'ENGAGEMENTS 2026'!L2784)</f>
        <v/>
      </c>
      <c r="O2784">
        <f>IF(ISBLANK('ENGAGEMENTS 2026'!C2784),"",'ENGAGEMENTS 2026'!M2784)</f>
        <v/>
      </c>
      <c r="P2784">
        <f>IF(ISBLANK('ENGAGEMENTS 2026'!C2784),"",'ENGAGEMENTS 2026'!K2784)</f>
        <v/>
      </c>
      <c r="Q2784">
        <f>IF($A2784="","",IF(OR($E2784="INFRUCTUEUX",$E2784="ANNULE"),$A2784&amp;"|"&amp;(COUNTIFS($A$2:$A2784,$A2784,$E$2:$E2784,"INFRUCTUEUX")+COUNTIFS($A$2:$A2784,$A2784,$E$2:$E2784,"ANNULE")),""))</f>
        <v/>
      </c>
    </row>
    <row r="2785">
      <c r="A2785">
        <f>IF(ISBLANK('ENGAGEMENTS 2026'!C2785),"",IF('ENGAGEMENTS 2026'!C2785="DTSI","DCT",'ENGAGEMENTS 2026'!C2785))</f>
        <v/>
      </c>
      <c r="B2785">
        <f>IF(ISBLANK('ENGAGEMENTS 2026'!C2785),"",'ENGAGEMENTS 2026'!D2785)</f>
        <v/>
      </c>
      <c r="C2785">
        <f>IF(ISBLANK('ENGAGEMENTS 2026'!C2785),"",'ENGAGEMENTS 2026'!E2785)</f>
        <v/>
      </c>
      <c r="D2785">
        <f>IF(ISBLANK('ENGAGEMENTS 2026'!C2785),"",'ENGAGEMENTS 2026'!G2785)</f>
        <v/>
      </c>
      <c r="E2785">
        <f>IF(ISBLANK('ENGAGEMENTS 2026'!C2785),"",'ENGAGEMENTS 2026'!I2785)</f>
        <v/>
      </c>
      <c r="F2785">
        <f>IF(ISBLANK('ENGAGEMENTS 2026'!C2785),"",'ENGAGEMENTS 2026'!J2785)</f>
        <v/>
      </c>
      <c r="G2785">
        <f>IF(ISBLANK('ENGAGEMENTS 2026'!C2785),"",'ENGAGEMENTS 2026'!M2785)</f>
        <v/>
      </c>
      <c r="H2785">
        <f>IF(ISBLANK('ENGAGEMENTS 2026'!C2785),"",'ENGAGEMENTS 2026'!AF2785)</f>
        <v/>
      </c>
      <c r="I2785">
        <f>IF(ISBLANK('ENGAGEMENTS 2026'!C2785),"",'ENGAGEMENTS 2026'!H2785)</f>
        <v/>
      </c>
      <c r="J2785" s="275">
        <f>IF(ISBLANK('ENGAGEMENTS 2026'!C2785),"",IF(AND(OR($E2785="INFRUCTUEUX",$E2785="ANNULE"),$C2785="AOO-M"),'ENGAGEMENTS 2026'!P2785,IF($H2785="EN COURS DE PREENGAGEMENT",'ENGAGEMENTS 2026'!O2785,IF($H2785="PREENGAGE",IF($E2785="ATTRIBUE",'ENGAGEMENTS 2026'!AE2785,'ENGAGEMENTS 2026'!O2785),'ENGAGEMENTS 2026'!AE2785))))</f>
        <v/>
      </c>
      <c r="K2785" s="604">
        <f>IF(ISBLANK('ENGAGEMENTS 2026'!W2785),"",'ENGAGEMENTS 2026'!W2785)</f>
        <v/>
      </c>
      <c r="L2785" s="276">
        <f>IF($K2785="","",TODAY()-$K2785)</f>
        <v/>
      </c>
      <c r="M2785">
        <f>IF($A2785="","",IF($H2785="ENGAGE","Engagé",IF(AND($H2785="NON ENGAGE",OR($I2785="INFRUCTUEUX",$I2785="ANNULE")),"Clôturé sans suite","En cours")))</f>
        <v/>
      </c>
      <c r="N2785">
        <f>IF(ISBLANK('ENGAGEMENTS 2026'!C2785),"",'ENGAGEMENTS 2026'!L2785)</f>
        <v/>
      </c>
      <c r="O2785">
        <f>IF(ISBLANK('ENGAGEMENTS 2026'!C2785),"",'ENGAGEMENTS 2026'!M2785)</f>
        <v/>
      </c>
      <c r="P2785">
        <f>IF(ISBLANK('ENGAGEMENTS 2026'!C2785),"",'ENGAGEMENTS 2026'!K2785)</f>
        <v/>
      </c>
      <c r="Q2785">
        <f>IF($A2785="","",IF(OR($E2785="INFRUCTUEUX",$E2785="ANNULE"),$A2785&amp;"|"&amp;(COUNTIFS($A$2:$A2785,$A2785,$E$2:$E2785,"INFRUCTUEUX")+COUNTIFS($A$2:$A2785,$A2785,$E$2:$E2785,"ANNULE")),""))</f>
        <v/>
      </c>
    </row>
    <row r="2786">
      <c r="A2786">
        <f>IF(ISBLANK('ENGAGEMENTS 2026'!C2786),"",IF('ENGAGEMENTS 2026'!C2786="DTSI","DCT",'ENGAGEMENTS 2026'!C2786))</f>
        <v/>
      </c>
      <c r="B2786">
        <f>IF(ISBLANK('ENGAGEMENTS 2026'!C2786),"",'ENGAGEMENTS 2026'!D2786)</f>
        <v/>
      </c>
      <c r="C2786">
        <f>IF(ISBLANK('ENGAGEMENTS 2026'!C2786),"",'ENGAGEMENTS 2026'!E2786)</f>
        <v/>
      </c>
      <c r="D2786">
        <f>IF(ISBLANK('ENGAGEMENTS 2026'!C2786),"",'ENGAGEMENTS 2026'!G2786)</f>
        <v/>
      </c>
      <c r="E2786">
        <f>IF(ISBLANK('ENGAGEMENTS 2026'!C2786),"",'ENGAGEMENTS 2026'!I2786)</f>
        <v/>
      </c>
      <c r="F2786">
        <f>IF(ISBLANK('ENGAGEMENTS 2026'!C2786),"",'ENGAGEMENTS 2026'!J2786)</f>
        <v/>
      </c>
      <c r="G2786">
        <f>IF(ISBLANK('ENGAGEMENTS 2026'!C2786),"",'ENGAGEMENTS 2026'!M2786)</f>
        <v/>
      </c>
      <c r="H2786">
        <f>IF(ISBLANK('ENGAGEMENTS 2026'!C2786),"",'ENGAGEMENTS 2026'!AF2786)</f>
        <v/>
      </c>
      <c r="I2786">
        <f>IF(ISBLANK('ENGAGEMENTS 2026'!C2786),"",'ENGAGEMENTS 2026'!H2786)</f>
        <v/>
      </c>
      <c r="J2786" s="275">
        <f>IF(ISBLANK('ENGAGEMENTS 2026'!C2786),"",IF(AND(OR($E2786="INFRUCTUEUX",$E2786="ANNULE"),$C2786="AOO-M"),'ENGAGEMENTS 2026'!P2786,IF($H2786="EN COURS DE PREENGAGEMENT",'ENGAGEMENTS 2026'!O2786,IF($H2786="PREENGAGE",IF($E2786="ATTRIBUE",'ENGAGEMENTS 2026'!AE2786,'ENGAGEMENTS 2026'!O2786),'ENGAGEMENTS 2026'!AE2786))))</f>
        <v/>
      </c>
      <c r="K2786" s="604">
        <f>IF(ISBLANK('ENGAGEMENTS 2026'!W2786),"",'ENGAGEMENTS 2026'!W2786)</f>
        <v/>
      </c>
      <c r="L2786" s="276">
        <f>IF($K2786="","",TODAY()-$K2786)</f>
        <v/>
      </c>
      <c r="M2786">
        <f>IF($A2786="","",IF($H2786="ENGAGE","Engagé",IF(AND($H2786="NON ENGAGE",OR($I2786="INFRUCTUEUX",$I2786="ANNULE")),"Clôturé sans suite","En cours")))</f>
        <v/>
      </c>
      <c r="N2786">
        <f>IF(ISBLANK('ENGAGEMENTS 2026'!C2786),"",'ENGAGEMENTS 2026'!L2786)</f>
        <v/>
      </c>
      <c r="O2786">
        <f>IF(ISBLANK('ENGAGEMENTS 2026'!C2786),"",'ENGAGEMENTS 2026'!M2786)</f>
        <v/>
      </c>
      <c r="P2786">
        <f>IF(ISBLANK('ENGAGEMENTS 2026'!C2786),"",'ENGAGEMENTS 2026'!K2786)</f>
        <v/>
      </c>
      <c r="Q2786">
        <f>IF($A2786="","",IF(OR($E2786="INFRUCTUEUX",$E2786="ANNULE"),$A2786&amp;"|"&amp;(COUNTIFS($A$2:$A2786,$A2786,$E$2:$E2786,"INFRUCTUEUX")+COUNTIFS($A$2:$A2786,$A2786,$E$2:$E2786,"ANNULE")),""))</f>
        <v/>
      </c>
    </row>
    <row r="2787">
      <c r="A2787">
        <f>IF(ISBLANK('ENGAGEMENTS 2026'!C2787),"",IF('ENGAGEMENTS 2026'!C2787="DTSI","DCT",'ENGAGEMENTS 2026'!C2787))</f>
        <v/>
      </c>
      <c r="B2787">
        <f>IF(ISBLANK('ENGAGEMENTS 2026'!C2787),"",'ENGAGEMENTS 2026'!D2787)</f>
        <v/>
      </c>
      <c r="C2787">
        <f>IF(ISBLANK('ENGAGEMENTS 2026'!C2787),"",'ENGAGEMENTS 2026'!E2787)</f>
        <v/>
      </c>
      <c r="D2787">
        <f>IF(ISBLANK('ENGAGEMENTS 2026'!C2787),"",'ENGAGEMENTS 2026'!G2787)</f>
        <v/>
      </c>
      <c r="E2787">
        <f>IF(ISBLANK('ENGAGEMENTS 2026'!C2787),"",'ENGAGEMENTS 2026'!I2787)</f>
        <v/>
      </c>
      <c r="F2787">
        <f>IF(ISBLANK('ENGAGEMENTS 2026'!C2787),"",'ENGAGEMENTS 2026'!J2787)</f>
        <v/>
      </c>
      <c r="G2787">
        <f>IF(ISBLANK('ENGAGEMENTS 2026'!C2787),"",'ENGAGEMENTS 2026'!M2787)</f>
        <v/>
      </c>
      <c r="H2787">
        <f>IF(ISBLANK('ENGAGEMENTS 2026'!C2787),"",'ENGAGEMENTS 2026'!AF2787)</f>
        <v/>
      </c>
      <c r="I2787">
        <f>IF(ISBLANK('ENGAGEMENTS 2026'!C2787),"",'ENGAGEMENTS 2026'!H2787)</f>
        <v/>
      </c>
      <c r="J2787" s="275">
        <f>IF(ISBLANK('ENGAGEMENTS 2026'!C2787),"",IF(AND(OR($E2787="INFRUCTUEUX",$E2787="ANNULE"),$C2787="AOO-M"),'ENGAGEMENTS 2026'!P2787,IF($H2787="EN COURS DE PREENGAGEMENT",'ENGAGEMENTS 2026'!O2787,IF($H2787="PREENGAGE",IF($E2787="ATTRIBUE",'ENGAGEMENTS 2026'!AE2787,'ENGAGEMENTS 2026'!O2787),'ENGAGEMENTS 2026'!AE2787))))</f>
        <v/>
      </c>
      <c r="K2787" s="604">
        <f>IF(ISBLANK('ENGAGEMENTS 2026'!W2787),"",'ENGAGEMENTS 2026'!W2787)</f>
        <v/>
      </c>
      <c r="L2787" s="276">
        <f>IF($K2787="","",TODAY()-$K2787)</f>
        <v/>
      </c>
      <c r="M2787">
        <f>IF($A2787="","",IF($H2787="ENGAGE","Engagé",IF(AND($H2787="NON ENGAGE",OR($I2787="INFRUCTUEUX",$I2787="ANNULE")),"Clôturé sans suite","En cours")))</f>
        <v/>
      </c>
      <c r="N2787">
        <f>IF(ISBLANK('ENGAGEMENTS 2026'!C2787),"",'ENGAGEMENTS 2026'!L2787)</f>
        <v/>
      </c>
      <c r="O2787">
        <f>IF(ISBLANK('ENGAGEMENTS 2026'!C2787),"",'ENGAGEMENTS 2026'!M2787)</f>
        <v/>
      </c>
      <c r="P2787">
        <f>IF(ISBLANK('ENGAGEMENTS 2026'!C2787),"",'ENGAGEMENTS 2026'!K2787)</f>
        <v/>
      </c>
      <c r="Q2787">
        <f>IF($A2787="","",IF(OR($E2787="INFRUCTUEUX",$E2787="ANNULE"),$A2787&amp;"|"&amp;(COUNTIFS($A$2:$A2787,$A2787,$E$2:$E2787,"INFRUCTUEUX")+COUNTIFS($A$2:$A2787,$A2787,$E$2:$E2787,"ANNULE")),""))</f>
        <v/>
      </c>
    </row>
    <row r="2788">
      <c r="A2788">
        <f>IF(ISBLANK('ENGAGEMENTS 2026'!C2788),"",IF('ENGAGEMENTS 2026'!C2788="DTSI","DCT",'ENGAGEMENTS 2026'!C2788))</f>
        <v/>
      </c>
      <c r="B2788">
        <f>IF(ISBLANK('ENGAGEMENTS 2026'!C2788),"",'ENGAGEMENTS 2026'!D2788)</f>
        <v/>
      </c>
      <c r="C2788">
        <f>IF(ISBLANK('ENGAGEMENTS 2026'!C2788),"",'ENGAGEMENTS 2026'!E2788)</f>
        <v/>
      </c>
      <c r="D2788">
        <f>IF(ISBLANK('ENGAGEMENTS 2026'!C2788),"",'ENGAGEMENTS 2026'!G2788)</f>
        <v/>
      </c>
      <c r="E2788">
        <f>IF(ISBLANK('ENGAGEMENTS 2026'!C2788),"",'ENGAGEMENTS 2026'!I2788)</f>
        <v/>
      </c>
      <c r="F2788">
        <f>IF(ISBLANK('ENGAGEMENTS 2026'!C2788),"",'ENGAGEMENTS 2026'!J2788)</f>
        <v/>
      </c>
      <c r="G2788">
        <f>IF(ISBLANK('ENGAGEMENTS 2026'!C2788),"",'ENGAGEMENTS 2026'!M2788)</f>
        <v/>
      </c>
      <c r="H2788">
        <f>IF(ISBLANK('ENGAGEMENTS 2026'!C2788),"",'ENGAGEMENTS 2026'!AF2788)</f>
        <v/>
      </c>
      <c r="I2788">
        <f>IF(ISBLANK('ENGAGEMENTS 2026'!C2788),"",'ENGAGEMENTS 2026'!H2788)</f>
        <v/>
      </c>
      <c r="J2788" s="275">
        <f>IF(ISBLANK('ENGAGEMENTS 2026'!C2788),"",IF(AND(OR($E2788="INFRUCTUEUX",$E2788="ANNULE"),$C2788="AOO-M"),'ENGAGEMENTS 2026'!P2788,IF($H2788="EN COURS DE PREENGAGEMENT",'ENGAGEMENTS 2026'!O2788,IF($H2788="PREENGAGE",IF($E2788="ATTRIBUE",'ENGAGEMENTS 2026'!AE2788,'ENGAGEMENTS 2026'!O2788),'ENGAGEMENTS 2026'!AE2788))))</f>
        <v/>
      </c>
      <c r="K2788" s="604">
        <f>IF(ISBLANK('ENGAGEMENTS 2026'!W2788),"",'ENGAGEMENTS 2026'!W2788)</f>
        <v/>
      </c>
      <c r="L2788" s="276">
        <f>IF($K2788="","",TODAY()-$K2788)</f>
        <v/>
      </c>
      <c r="M2788">
        <f>IF($A2788="","",IF($H2788="ENGAGE","Engagé",IF(AND($H2788="NON ENGAGE",OR($I2788="INFRUCTUEUX",$I2788="ANNULE")),"Clôturé sans suite","En cours")))</f>
        <v/>
      </c>
      <c r="N2788">
        <f>IF(ISBLANK('ENGAGEMENTS 2026'!C2788),"",'ENGAGEMENTS 2026'!L2788)</f>
        <v/>
      </c>
      <c r="O2788">
        <f>IF(ISBLANK('ENGAGEMENTS 2026'!C2788),"",'ENGAGEMENTS 2026'!M2788)</f>
        <v/>
      </c>
      <c r="P2788">
        <f>IF(ISBLANK('ENGAGEMENTS 2026'!C2788),"",'ENGAGEMENTS 2026'!K2788)</f>
        <v/>
      </c>
      <c r="Q2788">
        <f>IF($A2788="","",IF(OR($E2788="INFRUCTUEUX",$E2788="ANNULE"),$A2788&amp;"|"&amp;(COUNTIFS($A$2:$A2788,$A2788,$E$2:$E2788,"INFRUCTUEUX")+COUNTIFS($A$2:$A2788,$A2788,$E$2:$E2788,"ANNULE")),""))</f>
        <v/>
      </c>
    </row>
    <row r="2789">
      <c r="A2789">
        <f>IF(ISBLANK('ENGAGEMENTS 2026'!C2789),"",IF('ENGAGEMENTS 2026'!C2789="DTSI","DCT",'ENGAGEMENTS 2026'!C2789))</f>
        <v/>
      </c>
      <c r="B2789">
        <f>IF(ISBLANK('ENGAGEMENTS 2026'!C2789),"",'ENGAGEMENTS 2026'!D2789)</f>
        <v/>
      </c>
      <c r="C2789">
        <f>IF(ISBLANK('ENGAGEMENTS 2026'!C2789),"",'ENGAGEMENTS 2026'!E2789)</f>
        <v/>
      </c>
      <c r="D2789">
        <f>IF(ISBLANK('ENGAGEMENTS 2026'!C2789),"",'ENGAGEMENTS 2026'!G2789)</f>
        <v/>
      </c>
      <c r="E2789">
        <f>IF(ISBLANK('ENGAGEMENTS 2026'!C2789),"",'ENGAGEMENTS 2026'!I2789)</f>
        <v/>
      </c>
      <c r="F2789">
        <f>IF(ISBLANK('ENGAGEMENTS 2026'!C2789),"",'ENGAGEMENTS 2026'!J2789)</f>
        <v/>
      </c>
      <c r="G2789">
        <f>IF(ISBLANK('ENGAGEMENTS 2026'!C2789),"",'ENGAGEMENTS 2026'!M2789)</f>
        <v/>
      </c>
      <c r="H2789">
        <f>IF(ISBLANK('ENGAGEMENTS 2026'!C2789),"",'ENGAGEMENTS 2026'!AF2789)</f>
        <v/>
      </c>
      <c r="I2789">
        <f>IF(ISBLANK('ENGAGEMENTS 2026'!C2789),"",'ENGAGEMENTS 2026'!H2789)</f>
        <v/>
      </c>
      <c r="J2789" s="275">
        <f>IF(ISBLANK('ENGAGEMENTS 2026'!C2789),"",IF(AND(OR($E2789="INFRUCTUEUX",$E2789="ANNULE"),$C2789="AOO-M"),'ENGAGEMENTS 2026'!P2789,IF($H2789="EN COURS DE PREENGAGEMENT",'ENGAGEMENTS 2026'!O2789,IF($H2789="PREENGAGE",IF($E2789="ATTRIBUE",'ENGAGEMENTS 2026'!AE2789,'ENGAGEMENTS 2026'!O2789),'ENGAGEMENTS 2026'!AE2789))))</f>
        <v/>
      </c>
      <c r="K2789" s="604">
        <f>IF(ISBLANK('ENGAGEMENTS 2026'!W2789),"",'ENGAGEMENTS 2026'!W2789)</f>
        <v/>
      </c>
      <c r="L2789" s="276">
        <f>IF($K2789="","",TODAY()-$K2789)</f>
        <v/>
      </c>
      <c r="M2789">
        <f>IF($A2789="","",IF($H2789="ENGAGE","Engagé",IF(AND($H2789="NON ENGAGE",OR($I2789="INFRUCTUEUX",$I2789="ANNULE")),"Clôturé sans suite","En cours")))</f>
        <v/>
      </c>
      <c r="N2789">
        <f>IF(ISBLANK('ENGAGEMENTS 2026'!C2789),"",'ENGAGEMENTS 2026'!L2789)</f>
        <v/>
      </c>
      <c r="O2789">
        <f>IF(ISBLANK('ENGAGEMENTS 2026'!C2789),"",'ENGAGEMENTS 2026'!M2789)</f>
        <v/>
      </c>
      <c r="P2789">
        <f>IF(ISBLANK('ENGAGEMENTS 2026'!C2789),"",'ENGAGEMENTS 2026'!K2789)</f>
        <v/>
      </c>
      <c r="Q2789">
        <f>IF($A2789="","",IF(OR($E2789="INFRUCTUEUX",$E2789="ANNULE"),$A2789&amp;"|"&amp;(COUNTIFS($A$2:$A2789,$A2789,$E$2:$E2789,"INFRUCTUEUX")+COUNTIFS($A$2:$A2789,$A2789,$E$2:$E2789,"ANNULE")),""))</f>
        <v/>
      </c>
    </row>
    <row r="2790">
      <c r="A2790">
        <f>IF(ISBLANK('ENGAGEMENTS 2026'!C2790),"",IF('ENGAGEMENTS 2026'!C2790="DTSI","DCT",'ENGAGEMENTS 2026'!C2790))</f>
        <v/>
      </c>
      <c r="B2790">
        <f>IF(ISBLANK('ENGAGEMENTS 2026'!C2790),"",'ENGAGEMENTS 2026'!D2790)</f>
        <v/>
      </c>
      <c r="C2790">
        <f>IF(ISBLANK('ENGAGEMENTS 2026'!C2790),"",'ENGAGEMENTS 2026'!E2790)</f>
        <v/>
      </c>
      <c r="D2790">
        <f>IF(ISBLANK('ENGAGEMENTS 2026'!C2790),"",'ENGAGEMENTS 2026'!G2790)</f>
        <v/>
      </c>
      <c r="E2790">
        <f>IF(ISBLANK('ENGAGEMENTS 2026'!C2790),"",'ENGAGEMENTS 2026'!I2790)</f>
        <v/>
      </c>
      <c r="F2790">
        <f>IF(ISBLANK('ENGAGEMENTS 2026'!C2790),"",'ENGAGEMENTS 2026'!J2790)</f>
        <v/>
      </c>
      <c r="G2790">
        <f>IF(ISBLANK('ENGAGEMENTS 2026'!C2790),"",'ENGAGEMENTS 2026'!M2790)</f>
        <v/>
      </c>
      <c r="H2790">
        <f>IF(ISBLANK('ENGAGEMENTS 2026'!C2790),"",'ENGAGEMENTS 2026'!AF2790)</f>
        <v/>
      </c>
      <c r="I2790">
        <f>IF(ISBLANK('ENGAGEMENTS 2026'!C2790),"",'ENGAGEMENTS 2026'!H2790)</f>
        <v/>
      </c>
      <c r="J2790" s="275">
        <f>IF(ISBLANK('ENGAGEMENTS 2026'!C2790),"",IF(AND(OR($E2790="INFRUCTUEUX",$E2790="ANNULE"),$C2790="AOO-M"),'ENGAGEMENTS 2026'!P2790,IF($H2790="EN COURS DE PREENGAGEMENT",'ENGAGEMENTS 2026'!O2790,IF($H2790="PREENGAGE",IF($E2790="ATTRIBUE",'ENGAGEMENTS 2026'!AE2790,'ENGAGEMENTS 2026'!O2790),'ENGAGEMENTS 2026'!AE2790))))</f>
        <v/>
      </c>
      <c r="K2790" s="604">
        <f>IF(ISBLANK('ENGAGEMENTS 2026'!W2790),"",'ENGAGEMENTS 2026'!W2790)</f>
        <v/>
      </c>
      <c r="L2790" s="276">
        <f>IF($K2790="","",TODAY()-$K2790)</f>
        <v/>
      </c>
      <c r="M2790">
        <f>IF($A2790="","",IF($H2790="ENGAGE","Engagé",IF(AND($H2790="NON ENGAGE",OR($I2790="INFRUCTUEUX",$I2790="ANNULE")),"Clôturé sans suite","En cours")))</f>
        <v/>
      </c>
      <c r="N2790">
        <f>IF(ISBLANK('ENGAGEMENTS 2026'!C2790),"",'ENGAGEMENTS 2026'!L2790)</f>
        <v/>
      </c>
      <c r="O2790">
        <f>IF(ISBLANK('ENGAGEMENTS 2026'!C2790),"",'ENGAGEMENTS 2026'!M2790)</f>
        <v/>
      </c>
      <c r="P2790">
        <f>IF(ISBLANK('ENGAGEMENTS 2026'!C2790),"",'ENGAGEMENTS 2026'!K2790)</f>
        <v/>
      </c>
      <c r="Q2790">
        <f>IF($A2790="","",IF(OR($E2790="INFRUCTUEUX",$E2790="ANNULE"),$A2790&amp;"|"&amp;(COUNTIFS($A$2:$A2790,$A2790,$E$2:$E2790,"INFRUCTUEUX")+COUNTIFS($A$2:$A2790,$A2790,$E$2:$E2790,"ANNULE")),""))</f>
        <v/>
      </c>
    </row>
    <row r="2791">
      <c r="A2791">
        <f>IF(ISBLANK('ENGAGEMENTS 2026'!C2791),"",IF('ENGAGEMENTS 2026'!C2791="DTSI","DCT",'ENGAGEMENTS 2026'!C2791))</f>
        <v/>
      </c>
      <c r="B2791">
        <f>IF(ISBLANK('ENGAGEMENTS 2026'!C2791),"",'ENGAGEMENTS 2026'!D2791)</f>
        <v/>
      </c>
      <c r="C2791">
        <f>IF(ISBLANK('ENGAGEMENTS 2026'!C2791),"",'ENGAGEMENTS 2026'!E2791)</f>
        <v/>
      </c>
      <c r="D2791">
        <f>IF(ISBLANK('ENGAGEMENTS 2026'!C2791),"",'ENGAGEMENTS 2026'!G2791)</f>
        <v/>
      </c>
      <c r="E2791">
        <f>IF(ISBLANK('ENGAGEMENTS 2026'!C2791),"",'ENGAGEMENTS 2026'!I2791)</f>
        <v/>
      </c>
      <c r="F2791">
        <f>IF(ISBLANK('ENGAGEMENTS 2026'!C2791),"",'ENGAGEMENTS 2026'!J2791)</f>
        <v/>
      </c>
      <c r="G2791">
        <f>IF(ISBLANK('ENGAGEMENTS 2026'!C2791),"",'ENGAGEMENTS 2026'!M2791)</f>
        <v/>
      </c>
      <c r="H2791">
        <f>IF(ISBLANK('ENGAGEMENTS 2026'!C2791),"",'ENGAGEMENTS 2026'!AF2791)</f>
        <v/>
      </c>
      <c r="I2791">
        <f>IF(ISBLANK('ENGAGEMENTS 2026'!C2791),"",'ENGAGEMENTS 2026'!H2791)</f>
        <v/>
      </c>
      <c r="J2791" s="275">
        <f>IF(ISBLANK('ENGAGEMENTS 2026'!C2791),"",IF(AND(OR($E2791="INFRUCTUEUX",$E2791="ANNULE"),$C2791="AOO-M"),'ENGAGEMENTS 2026'!P2791,IF($H2791="EN COURS DE PREENGAGEMENT",'ENGAGEMENTS 2026'!O2791,IF($H2791="PREENGAGE",IF($E2791="ATTRIBUE",'ENGAGEMENTS 2026'!AE2791,'ENGAGEMENTS 2026'!O2791),'ENGAGEMENTS 2026'!AE2791))))</f>
        <v/>
      </c>
      <c r="K2791" s="604">
        <f>IF(ISBLANK('ENGAGEMENTS 2026'!W2791),"",'ENGAGEMENTS 2026'!W2791)</f>
        <v/>
      </c>
      <c r="L2791" s="276">
        <f>IF($K2791="","",TODAY()-$K2791)</f>
        <v/>
      </c>
      <c r="M2791">
        <f>IF($A2791="","",IF($H2791="ENGAGE","Engagé",IF(AND($H2791="NON ENGAGE",OR($I2791="INFRUCTUEUX",$I2791="ANNULE")),"Clôturé sans suite","En cours")))</f>
        <v/>
      </c>
      <c r="N2791">
        <f>IF(ISBLANK('ENGAGEMENTS 2026'!C2791),"",'ENGAGEMENTS 2026'!L2791)</f>
        <v/>
      </c>
      <c r="O2791">
        <f>IF(ISBLANK('ENGAGEMENTS 2026'!C2791),"",'ENGAGEMENTS 2026'!M2791)</f>
        <v/>
      </c>
      <c r="P2791">
        <f>IF(ISBLANK('ENGAGEMENTS 2026'!C2791),"",'ENGAGEMENTS 2026'!K2791)</f>
        <v/>
      </c>
      <c r="Q2791">
        <f>IF($A2791="","",IF(OR($E2791="INFRUCTUEUX",$E2791="ANNULE"),$A2791&amp;"|"&amp;(COUNTIFS($A$2:$A2791,$A2791,$E$2:$E2791,"INFRUCTUEUX")+COUNTIFS($A$2:$A2791,$A2791,$E$2:$E2791,"ANNULE")),""))</f>
        <v/>
      </c>
    </row>
    <row r="2792">
      <c r="A2792">
        <f>IF(ISBLANK('ENGAGEMENTS 2026'!C2792),"",IF('ENGAGEMENTS 2026'!C2792="DTSI","DCT",'ENGAGEMENTS 2026'!C2792))</f>
        <v/>
      </c>
      <c r="B2792">
        <f>IF(ISBLANK('ENGAGEMENTS 2026'!C2792),"",'ENGAGEMENTS 2026'!D2792)</f>
        <v/>
      </c>
      <c r="C2792">
        <f>IF(ISBLANK('ENGAGEMENTS 2026'!C2792),"",'ENGAGEMENTS 2026'!E2792)</f>
        <v/>
      </c>
      <c r="D2792">
        <f>IF(ISBLANK('ENGAGEMENTS 2026'!C2792),"",'ENGAGEMENTS 2026'!G2792)</f>
        <v/>
      </c>
      <c r="E2792">
        <f>IF(ISBLANK('ENGAGEMENTS 2026'!C2792),"",'ENGAGEMENTS 2026'!I2792)</f>
        <v/>
      </c>
      <c r="F2792">
        <f>IF(ISBLANK('ENGAGEMENTS 2026'!C2792),"",'ENGAGEMENTS 2026'!J2792)</f>
        <v/>
      </c>
      <c r="G2792">
        <f>IF(ISBLANK('ENGAGEMENTS 2026'!C2792),"",'ENGAGEMENTS 2026'!M2792)</f>
        <v/>
      </c>
      <c r="H2792">
        <f>IF(ISBLANK('ENGAGEMENTS 2026'!C2792),"",'ENGAGEMENTS 2026'!AF2792)</f>
        <v/>
      </c>
      <c r="I2792">
        <f>IF(ISBLANK('ENGAGEMENTS 2026'!C2792),"",'ENGAGEMENTS 2026'!H2792)</f>
        <v/>
      </c>
      <c r="J2792" s="275">
        <f>IF(ISBLANK('ENGAGEMENTS 2026'!C2792),"",IF(AND(OR($E2792="INFRUCTUEUX",$E2792="ANNULE"),$C2792="AOO-M"),'ENGAGEMENTS 2026'!P2792,IF($H2792="EN COURS DE PREENGAGEMENT",'ENGAGEMENTS 2026'!O2792,IF($H2792="PREENGAGE",IF($E2792="ATTRIBUE",'ENGAGEMENTS 2026'!AE2792,'ENGAGEMENTS 2026'!O2792),'ENGAGEMENTS 2026'!AE2792))))</f>
        <v/>
      </c>
      <c r="K2792" s="604">
        <f>IF(ISBLANK('ENGAGEMENTS 2026'!W2792),"",'ENGAGEMENTS 2026'!W2792)</f>
        <v/>
      </c>
      <c r="L2792" s="276">
        <f>IF($K2792="","",TODAY()-$K2792)</f>
        <v/>
      </c>
      <c r="M2792">
        <f>IF($A2792="","",IF($H2792="ENGAGE","Engagé",IF(AND($H2792="NON ENGAGE",OR($I2792="INFRUCTUEUX",$I2792="ANNULE")),"Clôturé sans suite","En cours")))</f>
        <v/>
      </c>
      <c r="N2792">
        <f>IF(ISBLANK('ENGAGEMENTS 2026'!C2792),"",'ENGAGEMENTS 2026'!L2792)</f>
        <v/>
      </c>
      <c r="O2792">
        <f>IF(ISBLANK('ENGAGEMENTS 2026'!C2792),"",'ENGAGEMENTS 2026'!M2792)</f>
        <v/>
      </c>
      <c r="P2792">
        <f>IF(ISBLANK('ENGAGEMENTS 2026'!C2792),"",'ENGAGEMENTS 2026'!K2792)</f>
        <v/>
      </c>
      <c r="Q2792">
        <f>IF($A2792="","",IF(OR($E2792="INFRUCTUEUX",$E2792="ANNULE"),$A2792&amp;"|"&amp;(COUNTIFS($A$2:$A2792,$A2792,$E$2:$E2792,"INFRUCTUEUX")+COUNTIFS($A$2:$A2792,$A2792,$E$2:$E2792,"ANNULE")),""))</f>
        <v/>
      </c>
    </row>
    <row r="2793">
      <c r="A2793">
        <f>IF(ISBLANK('ENGAGEMENTS 2026'!C2793),"",IF('ENGAGEMENTS 2026'!C2793="DTSI","DCT",'ENGAGEMENTS 2026'!C2793))</f>
        <v/>
      </c>
      <c r="B2793">
        <f>IF(ISBLANK('ENGAGEMENTS 2026'!C2793),"",'ENGAGEMENTS 2026'!D2793)</f>
        <v/>
      </c>
      <c r="C2793">
        <f>IF(ISBLANK('ENGAGEMENTS 2026'!C2793),"",'ENGAGEMENTS 2026'!E2793)</f>
        <v/>
      </c>
      <c r="D2793">
        <f>IF(ISBLANK('ENGAGEMENTS 2026'!C2793),"",'ENGAGEMENTS 2026'!G2793)</f>
        <v/>
      </c>
      <c r="E2793">
        <f>IF(ISBLANK('ENGAGEMENTS 2026'!C2793),"",'ENGAGEMENTS 2026'!I2793)</f>
        <v/>
      </c>
      <c r="F2793">
        <f>IF(ISBLANK('ENGAGEMENTS 2026'!C2793),"",'ENGAGEMENTS 2026'!J2793)</f>
        <v/>
      </c>
      <c r="G2793">
        <f>IF(ISBLANK('ENGAGEMENTS 2026'!C2793),"",'ENGAGEMENTS 2026'!M2793)</f>
        <v/>
      </c>
      <c r="H2793">
        <f>IF(ISBLANK('ENGAGEMENTS 2026'!C2793),"",'ENGAGEMENTS 2026'!AF2793)</f>
        <v/>
      </c>
      <c r="I2793">
        <f>IF(ISBLANK('ENGAGEMENTS 2026'!C2793),"",'ENGAGEMENTS 2026'!H2793)</f>
        <v/>
      </c>
      <c r="J2793" s="275">
        <f>IF(ISBLANK('ENGAGEMENTS 2026'!C2793),"",IF(AND(OR($E2793="INFRUCTUEUX",$E2793="ANNULE"),$C2793="AOO-M"),'ENGAGEMENTS 2026'!P2793,IF($H2793="EN COURS DE PREENGAGEMENT",'ENGAGEMENTS 2026'!O2793,IF($H2793="PREENGAGE",IF($E2793="ATTRIBUE",'ENGAGEMENTS 2026'!AE2793,'ENGAGEMENTS 2026'!O2793),'ENGAGEMENTS 2026'!AE2793))))</f>
        <v/>
      </c>
      <c r="K2793" s="604">
        <f>IF(ISBLANK('ENGAGEMENTS 2026'!W2793),"",'ENGAGEMENTS 2026'!W2793)</f>
        <v/>
      </c>
      <c r="L2793" s="276">
        <f>IF($K2793="","",TODAY()-$K2793)</f>
        <v/>
      </c>
      <c r="M2793">
        <f>IF($A2793="","",IF($H2793="ENGAGE","Engagé",IF(AND($H2793="NON ENGAGE",OR($I2793="INFRUCTUEUX",$I2793="ANNULE")),"Clôturé sans suite","En cours")))</f>
        <v/>
      </c>
      <c r="N2793">
        <f>IF(ISBLANK('ENGAGEMENTS 2026'!C2793),"",'ENGAGEMENTS 2026'!L2793)</f>
        <v/>
      </c>
      <c r="O2793">
        <f>IF(ISBLANK('ENGAGEMENTS 2026'!C2793),"",'ENGAGEMENTS 2026'!M2793)</f>
        <v/>
      </c>
      <c r="P2793">
        <f>IF(ISBLANK('ENGAGEMENTS 2026'!C2793),"",'ENGAGEMENTS 2026'!K2793)</f>
        <v/>
      </c>
      <c r="Q2793">
        <f>IF($A2793="","",IF(OR($E2793="INFRUCTUEUX",$E2793="ANNULE"),$A2793&amp;"|"&amp;(COUNTIFS($A$2:$A2793,$A2793,$E$2:$E2793,"INFRUCTUEUX")+COUNTIFS($A$2:$A2793,$A2793,$E$2:$E2793,"ANNULE")),""))</f>
        <v/>
      </c>
    </row>
    <row r="2794">
      <c r="A2794">
        <f>IF(ISBLANK('ENGAGEMENTS 2026'!C2794),"",IF('ENGAGEMENTS 2026'!C2794="DTSI","DCT",'ENGAGEMENTS 2026'!C2794))</f>
        <v/>
      </c>
      <c r="B2794">
        <f>IF(ISBLANK('ENGAGEMENTS 2026'!C2794),"",'ENGAGEMENTS 2026'!D2794)</f>
        <v/>
      </c>
      <c r="C2794">
        <f>IF(ISBLANK('ENGAGEMENTS 2026'!C2794),"",'ENGAGEMENTS 2026'!E2794)</f>
        <v/>
      </c>
      <c r="D2794">
        <f>IF(ISBLANK('ENGAGEMENTS 2026'!C2794),"",'ENGAGEMENTS 2026'!G2794)</f>
        <v/>
      </c>
      <c r="E2794">
        <f>IF(ISBLANK('ENGAGEMENTS 2026'!C2794),"",'ENGAGEMENTS 2026'!I2794)</f>
        <v/>
      </c>
      <c r="F2794">
        <f>IF(ISBLANK('ENGAGEMENTS 2026'!C2794),"",'ENGAGEMENTS 2026'!J2794)</f>
        <v/>
      </c>
      <c r="G2794">
        <f>IF(ISBLANK('ENGAGEMENTS 2026'!C2794),"",'ENGAGEMENTS 2026'!M2794)</f>
        <v/>
      </c>
      <c r="H2794">
        <f>IF(ISBLANK('ENGAGEMENTS 2026'!C2794),"",'ENGAGEMENTS 2026'!AF2794)</f>
        <v/>
      </c>
      <c r="I2794">
        <f>IF(ISBLANK('ENGAGEMENTS 2026'!C2794),"",'ENGAGEMENTS 2026'!H2794)</f>
        <v/>
      </c>
      <c r="J2794" s="275">
        <f>IF(ISBLANK('ENGAGEMENTS 2026'!C2794),"",IF(AND(OR($E2794="INFRUCTUEUX",$E2794="ANNULE"),$C2794="AOO-M"),'ENGAGEMENTS 2026'!P2794,IF($H2794="EN COURS DE PREENGAGEMENT",'ENGAGEMENTS 2026'!O2794,IF($H2794="PREENGAGE",IF($E2794="ATTRIBUE",'ENGAGEMENTS 2026'!AE2794,'ENGAGEMENTS 2026'!O2794),'ENGAGEMENTS 2026'!AE2794))))</f>
        <v/>
      </c>
      <c r="K2794" s="604">
        <f>IF(ISBLANK('ENGAGEMENTS 2026'!W2794),"",'ENGAGEMENTS 2026'!W2794)</f>
        <v/>
      </c>
      <c r="L2794" s="276">
        <f>IF($K2794="","",TODAY()-$K2794)</f>
        <v/>
      </c>
      <c r="M2794">
        <f>IF($A2794="","",IF($H2794="ENGAGE","Engagé",IF(AND($H2794="NON ENGAGE",OR($I2794="INFRUCTUEUX",$I2794="ANNULE")),"Clôturé sans suite","En cours")))</f>
        <v/>
      </c>
      <c r="N2794">
        <f>IF(ISBLANK('ENGAGEMENTS 2026'!C2794),"",'ENGAGEMENTS 2026'!L2794)</f>
        <v/>
      </c>
      <c r="O2794">
        <f>IF(ISBLANK('ENGAGEMENTS 2026'!C2794),"",'ENGAGEMENTS 2026'!M2794)</f>
        <v/>
      </c>
      <c r="P2794">
        <f>IF(ISBLANK('ENGAGEMENTS 2026'!C2794),"",'ENGAGEMENTS 2026'!K2794)</f>
        <v/>
      </c>
      <c r="Q2794">
        <f>IF($A2794="","",IF(OR($E2794="INFRUCTUEUX",$E2794="ANNULE"),$A2794&amp;"|"&amp;(COUNTIFS($A$2:$A2794,$A2794,$E$2:$E2794,"INFRUCTUEUX")+COUNTIFS($A$2:$A2794,$A2794,$E$2:$E2794,"ANNULE")),""))</f>
        <v/>
      </c>
    </row>
    <row r="2795">
      <c r="A2795">
        <f>IF(ISBLANK('ENGAGEMENTS 2026'!C2795),"",IF('ENGAGEMENTS 2026'!C2795="DTSI","DCT",'ENGAGEMENTS 2026'!C2795))</f>
        <v/>
      </c>
      <c r="B2795">
        <f>IF(ISBLANK('ENGAGEMENTS 2026'!C2795),"",'ENGAGEMENTS 2026'!D2795)</f>
        <v/>
      </c>
      <c r="C2795">
        <f>IF(ISBLANK('ENGAGEMENTS 2026'!C2795),"",'ENGAGEMENTS 2026'!E2795)</f>
        <v/>
      </c>
      <c r="D2795">
        <f>IF(ISBLANK('ENGAGEMENTS 2026'!C2795),"",'ENGAGEMENTS 2026'!G2795)</f>
        <v/>
      </c>
      <c r="E2795">
        <f>IF(ISBLANK('ENGAGEMENTS 2026'!C2795),"",'ENGAGEMENTS 2026'!I2795)</f>
        <v/>
      </c>
      <c r="F2795">
        <f>IF(ISBLANK('ENGAGEMENTS 2026'!C2795),"",'ENGAGEMENTS 2026'!J2795)</f>
        <v/>
      </c>
      <c r="G2795">
        <f>IF(ISBLANK('ENGAGEMENTS 2026'!C2795),"",'ENGAGEMENTS 2026'!M2795)</f>
        <v/>
      </c>
      <c r="H2795">
        <f>IF(ISBLANK('ENGAGEMENTS 2026'!C2795),"",'ENGAGEMENTS 2026'!AF2795)</f>
        <v/>
      </c>
      <c r="I2795">
        <f>IF(ISBLANK('ENGAGEMENTS 2026'!C2795),"",'ENGAGEMENTS 2026'!H2795)</f>
        <v/>
      </c>
      <c r="J2795" s="275">
        <f>IF(ISBLANK('ENGAGEMENTS 2026'!C2795),"",IF(AND(OR($E2795="INFRUCTUEUX",$E2795="ANNULE"),$C2795="AOO-M"),'ENGAGEMENTS 2026'!P2795,IF($H2795="EN COURS DE PREENGAGEMENT",'ENGAGEMENTS 2026'!O2795,IF($H2795="PREENGAGE",IF($E2795="ATTRIBUE",'ENGAGEMENTS 2026'!AE2795,'ENGAGEMENTS 2026'!O2795),'ENGAGEMENTS 2026'!AE2795))))</f>
        <v/>
      </c>
      <c r="K2795" s="604">
        <f>IF(ISBLANK('ENGAGEMENTS 2026'!W2795),"",'ENGAGEMENTS 2026'!W2795)</f>
        <v/>
      </c>
      <c r="L2795" s="276">
        <f>IF($K2795="","",TODAY()-$K2795)</f>
        <v/>
      </c>
      <c r="M2795">
        <f>IF($A2795="","",IF($H2795="ENGAGE","Engagé",IF(AND($H2795="NON ENGAGE",OR($I2795="INFRUCTUEUX",$I2795="ANNULE")),"Clôturé sans suite","En cours")))</f>
        <v/>
      </c>
      <c r="N2795">
        <f>IF(ISBLANK('ENGAGEMENTS 2026'!C2795),"",'ENGAGEMENTS 2026'!L2795)</f>
        <v/>
      </c>
      <c r="O2795">
        <f>IF(ISBLANK('ENGAGEMENTS 2026'!C2795),"",'ENGAGEMENTS 2026'!M2795)</f>
        <v/>
      </c>
      <c r="P2795">
        <f>IF(ISBLANK('ENGAGEMENTS 2026'!C2795),"",'ENGAGEMENTS 2026'!K2795)</f>
        <v/>
      </c>
      <c r="Q2795">
        <f>IF($A2795="","",IF(OR($E2795="INFRUCTUEUX",$E2795="ANNULE"),$A2795&amp;"|"&amp;(COUNTIFS($A$2:$A2795,$A2795,$E$2:$E2795,"INFRUCTUEUX")+COUNTIFS($A$2:$A2795,$A2795,$E$2:$E2795,"ANNULE")),""))</f>
        <v/>
      </c>
    </row>
    <row r="2796">
      <c r="A2796">
        <f>IF(ISBLANK('ENGAGEMENTS 2026'!C2796),"",IF('ENGAGEMENTS 2026'!C2796="DTSI","DCT",'ENGAGEMENTS 2026'!C2796))</f>
        <v/>
      </c>
      <c r="B2796">
        <f>IF(ISBLANK('ENGAGEMENTS 2026'!C2796),"",'ENGAGEMENTS 2026'!D2796)</f>
        <v/>
      </c>
      <c r="C2796">
        <f>IF(ISBLANK('ENGAGEMENTS 2026'!C2796),"",'ENGAGEMENTS 2026'!E2796)</f>
        <v/>
      </c>
      <c r="D2796">
        <f>IF(ISBLANK('ENGAGEMENTS 2026'!C2796),"",'ENGAGEMENTS 2026'!G2796)</f>
        <v/>
      </c>
      <c r="E2796">
        <f>IF(ISBLANK('ENGAGEMENTS 2026'!C2796),"",'ENGAGEMENTS 2026'!I2796)</f>
        <v/>
      </c>
      <c r="F2796">
        <f>IF(ISBLANK('ENGAGEMENTS 2026'!C2796),"",'ENGAGEMENTS 2026'!J2796)</f>
        <v/>
      </c>
      <c r="G2796">
        <f>IF(ISBLANK('ENGAGEMENTS 2026'!C2796),"",'ENGAGEMENTS 2026'!M2796)</f>
        <v/>
      </c>
      <c r="H2796">
        <f>IF(ISBLANK('ENGAGEMENTS 2026'!C2796),"",'ENGAGEMENTS 2026'!AF2796)</f>
        <v/>
      </c>
      <c r="I2796">
        <f>IF(ISBLANK('ENGAGEMENTS 2026'!C2796),"",'ENGAGEMENTS 2026'!H2796)</f>
        <v/>
      </c>
      <c r="J2796" s="275">
        <f>IF(ISBLANK('ENGAGEMENTS 2026'!C2796),"",IF(AND(OR($E2796="INFRUCTUEUX",$E2796="ANNULE"),$C2796="AOO-M"),'ENGAGEMENTS 2026'!P2796,IF($H2796="EN COURS DE PREENGAGEMENT",'ENGAGEMENTS 2026'!O2796,IF($H2796="PREENGAGE",IF($E2796="ATTRIBUE",'ENGAGEMENTS 2026'!AE2796,'ENGAGEMENTS 2026'!O2796),'ENGAGEMENTS 2026'!AE2796))))</f>
        <v/>
      </c>
      <c r="K2796" s="604">
        <f>IF(ISBLANK('ENGAGEMENTS 2026'!W2796),"",'ENGAGEMENTS 2026'!W2796)</f>
        <v/>
      </c>
      <c r="L2796" s="276">
        <f>IF($K2796="","",TODAY()-$K2796)</f>
        <v/>
      </c>
      <c r="M2796">
        <f>IF($A2796="","",IF($H2796="ENGAGE","Engagé",IF(AND($H2796="NON ENGAGE",OR($I2796="INFRUCTUEUX",$I2796="ANNULE")),"Clôturé sans suite","En cours")))</f>
        <v/>
      </c>
      <c r="N2796">
        <f>IF(ISBLANK('ENGAGEMENTS 2026'!C2796),"",'ENGAGEMENTS 2026'!L2796)</f>
        <v/>
      </c>
      <c r="O2796">
        <f>IF(ISBLANK('ENGAGEMENTS 2026'!C2796),"",'ENGAGEMENTS 2026'!M2796)</f>
        <v/>
      </c>
      <c r="P2796">
        <f>IF(ISBLANK('ENGAGEMENTS 2026'!C2796),"",'ENGAGEMENTS 2026'!K2796)</f>
        <v/>
      </c>
      <c r="Q2796">
        <f>IF($A2796="","",IF(OR($E2796="INFRUCTUEUX",$E2796="ANNULE"),$A2796&amp;"|"&amp;(COUNTIFS($A$2:$A2796,$A2796,$E$2:$E2796,"INFRUCTUEUX")+COUNTIFS($A$2:$A2796,$A2796,$E$2:$E2796,"ANNULE")),""))</f>
        <v/>
      </c>
    </row>
    <row r="2797">
      <c r="A2797">
        <f>IF(ISBLANK('ENGAGEMENTS 2026'!C2797),"",IF('ENGAGEMENTS 2026'!C2797="DTSI","DCT",'ENGAGEMENTS 2026'!C2797))</f>
        <v/>
      </c>
      <c r="B2797">
        <f>IF(ISBLANK('ENGAGEMENTS 2026'!C2797),"",'ENGAGEMENTS 2026'!D2797)</f>
        <v/>
      </c>
      <c r="C2797">
        <f>IF(ISBLANK('ENGAGEMENTS 2026'!C2797),"",'ENGAGEMENTS 2026'!E2797)</f>
        <v/>
      </c>
      <c r="D2797">
        <f>IF(ISBLANK('ENGAGEMENTS 2026'!C2797),"",'ENGAGEMENTS 2026'!G2797)</f>
        <v/>
      </c>
      <c r="E2797">
        <f>IF(ISBLANK('ENGAGEMENTS 2026'!C2797),"",'ENGAGEMENTS 2026'!I2797)</f>
        <v/>
      </c>
      <c r="F2797">
        <f>IF(ISBLANK('ENGAGEMENTS 2026'!C2797),"",'ENGAGEMENTS 2026'!J2797)</f>
        <v/>
      </c>
      <c r="G2797">
        <f>IF(ISBLANK('ENGAGEMENTS 2026'!C2797),"",'ENGAGEMENTS 2026'!M2797)</f>
        <v/>
      </c>
      <c r="H2797">
        <f>IF(ISBLANK('ENGAGEMENTS 2026'!C2797),"",'ENGAGEMENTS 2026'!AF2797)</f>
        <v/>
      </c>
      <c r="I2797">
        <f>IF(ISBLANK('ENGAGEMENTS 2026'!C2797),"",'ENGAGEMENTS 2026'!H2797)</f>
        <v/>
      </c>
      <c r="J2797" s="275">
        <f>IF(ISBLANK('ENGAGEMENTS 2026'!C2797),"",IF(AND(OR($E2797="INFRUCTUEUX",$E2797="ANNULE"),$C2797="AOO-M"),'ENGAGEMENTS 2026'!P2797,IF($H2797="EN COURS DE PREENGAGEMENT",'ENGAGEMENTS 2026'!O2797,IF($H2797="PREENGAGE",IF($E2797="ATTRIBUE",'ENGAGEMENTS 2026'!AE2797,'ENGAGEMENTS 2026'!O2797),'ENGAGEMENTS 2026'!AE2797))))</f>
        <v/>
      </c>
      <c r="K2797" s="604">
        <f>IF(ISBLANK('ENGAGEMENTS 2026'!W2797),"",'ENGAGEMENTS 2026'!W2797)</f>
        <v/>
      </c>
      <c r="L2797" s="276">
        <f>IF($K2797="","",TODAY()-$K2797)</f>
        <v/>
      </c>
      <c r="M2797">
        <f>IF($A2797="","",IF($H2797="ENGAGE","Engagé",IF(AND($H2797="NON ENGAGE",OR($I2797="INFRUCTUEUX",$I2797="ANNULE")),"Clôturé sans suite","En cours")))</f>
        <v/>
      </c>
      <c r="N2797">
        <f>IF(ISBLANK('ENGAGEMENTS 2026'!C2797),"",'ENGAGEMENTS 2026'!L2797)</f>
        <v/>
      </c>
      <c r="O2797">
        <f>IF(ISBLANK('ENGAGEMENTS 2026'!C2797),"",'ENGAGEMENTS 2026'!M2797)</f>
        <v/>
      </c>
      <c r="P2797">
        <f>IF(ISBLANK('ENGAGEMENTS 2026'!C2797),"",'ENGAGEMENTS 2026'!K2797)</f>
        <v/>
      </c>
      <c r="Q2797">
        <f>IF($A2797="","",IF(OR($E2797="INFRUCTUEUX",$E2797="ANNULE"),$A2797&amp;"|"&amp;(COUNTIFS($A$2:$A2797,$A2797,$E$2:$E2797,"INFRUCTUEUX")+COUNTIFS($A$2:$A2797,$A2797,$E$2:$E2797,"ANNULE")),""))</f>
        <v/>
      </c>
    </row>
    <row r="2798">
      <c r="A2798">
        <f>IF(ISBLANK('ENGAGEMENTS 2026'!C2798),"",IF('ENGAGEMENTS 2026'!C2798="DTSI","DCT",'ENGAGEMENTS 2026'!C2798))</f>
        <v/>
      </c>
      <c r="B2798">
        <f>IF(ISBLANK('ENGAGEMENTS 2026'!C2798),"",'ENGAGEMENTS 2026'!D2798)</f>
        <v/>
      </c>
      <c r="C2798">
        <f>IF(ISBLANK('ENGAGEMENTS 2026'!C2798),"",'ENGAGEMENTS 2026'!E2798)</f>
        <v/>
      </c>
      <c r="D2798">
        <f>IF(ISBLANK('ENGAGEMENTS 2026'!C2798),"",'ENGAGEMENTS 2026'!G2798)</f>
        <v/>
      </c>
      <c r="E2798">
        <f>IF(ISBLANK('ENGAGEMENTS 2026'!C2798),"",'ENGAGEMENTS 2026'!I2798)</f>
        <v/>
      </c>
      <c r="F2798">
        <f>IF(ISBLANK('ENGAGEMENTS 2026'!C2798),"",'ENGAGEMENTS 2026'!J2798)</f>
        <v/>
      </c>
      <c r="G2798">
        <f>IF(ISBLANK('ENGAGEMENTS 2026'!C2798),"",'ENGAGEMENTS 2026'!M2798)</f>
        <v/>
      </c>
      <c r="H2798">
        <f>IF(ISBLANK('ENGAGEMENTS 2026'!C2798),"",'ENGAGEMENTS 2026'!AF2798)</f>
        <v/>
      </c>
      <c r="I2798">
        <f>IF(ISBLANK('ENGAGEMENTS 2026'!C2798),"",'ENGAGEMENTS 2026'!H2798)</f>
        <v/>
      </c>
      <c r="J2798" s="275">
        <f>IF(ISBLANK('ENGAGEMENTS 2026'!C2798),"",IF(AND(OR($E2798="INFRUCTUEUX",$E2798="ANNULE"),$C2798="AOO-M"),'ENGAGEMENTS 2026'!P2798,IF($H2798="EN COURS DE PREENGAGEMENT",'ENGAGEMENTS 2026'!O2798,IF($H2798="PREENGAGE",IF($E2798="ATTRIBUE",'ENGAGEMENTS 2026'!AE2798,'ENGAGEMENTS 2026'!O2798),'ENGAGEMENTS 2026'!AE2798))))</f>
        <v/>
      </c>
      <c r="K2798" s="604">
        <f>IF(ISBLANK('ENGAGEMENTS 2026'!W2798),"",'ENGAGEMENTS 2026'!W2798)</f>
        <v/>
      </c>
      <c r="L2798" s="276">
        <f>IF($K2798="","",TODAY()-$K2798)</f>
        <v/>
      </c>
      <c r="M2798">
        <f>IF($A2798="","",IF($H2798="ENGAGE","Engagé",IF(AND($H2798="NON ENGAGE",OR($I2798="INFRUCTUEUX",$I2798="ANNULE")),"Clôturé sans suite","En cours")))</f>
        <v/>
      </c>
      <c r="N2798">
        <f>IF(ISBLANK('ENGAGEMENTS 2026'!C2798),"",'ENGAGEMENTS 2026'!L2798)</f>
        <v/>
      </c>
      <c r="O2798">
        <f>IF(ISBLANK('ENGAGEMENTS 2026'!C2798),"",'ENGAGEMENTS 2026'!M2798)</f>
        <v/>
      </c>
      <c r="P2798">
        <f>IF(ISBLANK('ENGAGEMENTS 2026'!C2798),"",'ENGAGEMENTS 2026'!K2798)</f>
        <v/>
      </c>
      <c r="Q2798">
        <f>IF($A2798="","",IF(OR($E2798="INFRUCTUEUX",$E2798="ANNULE"),$A2798&amp;"|"&amp;(COUNTIFS($A$2:$A2798,$A2798,$E$2:$E2798,"INFRUCTUEUX")+COUNTIFS($A$2:$A2798,$A2798,$E$2:$E2798,"ANNULE")),""))</f>
        <v/>
      </c>
    </row>
    <row r="2799">
      <c r="A2799">
        <f>IF(ISBLANK('ENGAGEMENTS 2026'!C2799),"",IF('ENGAGEMENTS 2026'!C2799="DTSI","DCT",'ENGAGEMENTS 2026'!C2799))</f>
        <v/>
      </c>
      <c r="B2799">
        <f>IF(ISBLANK('ENGAGEMENTS 2026'!C2799),"",'ENGAGEMENTS 2026'!D2799)</f>
        <v/>
      </c>
      <c r="C2799">
        <f>IF(ISBLANK('ENGAGEMENTS 2026'!C2799),"",'ENGAGEMENTS 2026'!E2799)</f>
        <v/>
      </c>
      <c r="D2799">
        <f>IF(ISBLANK('ENGAGEMENTS 2026'!C2799),"",'ENGAGEMENTS 2026'!G2799)</f>
        <v/>
      </c>
      <c r="E2799">
        <f>IF(ISBLANK('ENGAGEMENTS 2026'!C2799),"",'ENGAGEMENTS 2026'!I2799)</f>
        <v/>
      </c>
      <c r="F2799">
        <f>IF(ISBLANK('ENGAGEMENTS 2026'!C2799),"",'ENGAGEMENTS 2026'!J2799)</f>
        <v/>
      </c>
      <c r="G2799">
        <f>IF(ISBLANK('ENGAGEMENTS 2026'!C2799),"",'ENGAGEMENTS 2026'!M2799)</f>
        <v/>
      </c>
      <c r="H2799">
        <f>IF(ISBLANK('ENGAGEMENTS 2026'!C2799),"",'ENGAGEMENTS 2026'!AF2799)</f>
        <v/>
      </c>
      <c r="I2799">
        <f>IF(ISBLANK('ENGAGEMENTS 2026'!C2799),"",'ENGAGEMENTS 2026'!H2799)</f>
        <v/>
      </c>
      <c r="J2799" s="275">
        <f>IF(ISBLANK('ENGAGEMENTS 2026'!C2799),"",IF(AND(OR($E2799="INFRUCTUEUX",$E2799="ANNULE"),$C2799="AOO-M"),'ENGAGEMENTS 2026'!P2799,IF($H2799="EN COURS DE PREENGAGEMENT",'ENGAGEMENTS 2026'!O2799,IF($H2799="PREENGAGE",IF($E2799="ATTRIBUE",'ENGAGEMENTS 2026'!AE2799,'ENGAGEMENTS 2026'!O2799),'ENGAGEMENTS 2026'!AE2799))))</f>
        <v/>
      </c>
      <c r="K2799" s="604">
        <f>IF(ISBLANK('ENGAGEMENTS 2026'!W2799),"",'ENGAGEMENTS 2026'!W2799)</f>
        <v/>
      </c>
      <c r="L2799" s="276">
        <f>IF($K2799="","",TODAY()-$K2799)</f>
        <v/>
      </c>
      <c r="M2799">
        <f>IF($A2799="","",IF($H2799="ENGAGE","Engagé",IF(AND($H2799="NON ENGAGE",OR($I2799="INFRUCTUEUX",$I2799="ANNULE")),"Clôturé sans suite","En cours")))</f>
        <v/>
      </c>
      <c r="N2799">
        <f>IF(ISBLANK('ENGAGEMENTS 2026'!C2799),"",'ENGAGEMENTS 2026'!L2799)</f>
        <v/>
      </c>
      <c r="O2799">
        <f>IF(ISBLANK('ENGAGEMENTS 2026'!C2799),"",'ENGAGEMENTS 2026'!M2799)</f>
        <v/>
      </c>
      <c r="P2799">
        <f>IF(ISBLANK('ENGAGEMENTS 2026'!C2799),"",'ENGAGEMENTS 2026'!K2799)</f>
        <v/>
      </c>
      <c r="Q2799">
        <f>IF($A2799="","",IF(OR($E2799="INFRUCTUEUX",$E2799="ANNULE"),$A2799&amp;"|"&amp;(COUNTIFS($A$2:$A2799,$A2799,$E$2:$E2799,"INFRUCTUEUX")+COUNTIFS($A$2:$A2799,$A2799,$E$2:$E2799,"ANNULE")),""))</f>
        <v/>
      </c>
    </row>
    <row r="2800">
      <c r="A2800">
        <f>IF(ISBLANK('ENGAGEMENTS 2026'!C2800),"",IF('ENGAGEMENTS 2026'!C2800="DTSI","DCT",'ENGAGEMENTS 2026'!C2800))</f>
        <v/>
      </c>
      <c r="B2800">
        <f>IF(ISBLANK('ENGAGEMENTS 2026'!C2800),"",'ENGAGEMENTS 2026'!D2800)</f>
        <v/>
      </c>
      <c r="C2800">
        <f>IF(ISBLANK('ENGAGEMENTS 2026'!C2800),"",'ENGAGEMENTS 2026'!E2800)</f>
        <v/>
      </c>
      <c r="D2800">
        <f>IF(ISBLANK('ENGAGEMENTS 2026'!C2800),"",'ENGAGEMENTS 2026'!G2800)</f>
        <v/>
      </c>
      <c r="E2800">
        <f>IF(ISBLANK('ENGAGEMENTS 2026'!C2800),"",'ENGAGEMENTS 2026'!I2800)</f>
        <v/>
      </c>
      <c r="F2800">
        <f>IF(ISBLANK('ENGAGEMENTS 2026'!C2800),"",'ENGAGEMENTS 2026'!J2800)</f>
        <v/>
      </c>
      <c r="G2800">
        <f>IF(ISBLANK('ENGAGEMENTS 2026'!C2800),"",'ENGAGEMENTS 2026'!M2800)</f>
        <v/>
      </c>
      <c r="H2800">
        <f>IF(ISBLANK('ENGAGEMENTS 2026'!C2800),"",'ENGAGEMENTS 2026'!AF2800)</f>
        <v/>
      </c>
      <c r="I2800">
        <f>IF(ISBLANK('ENGAGEMENTS 2026'!C2800),"",'ENGAGEMENTS 2026'!H2800)</f>
        <v/>
      </c>
      <c r="J2800" s="275">
        <f>IF(ISBLANK('ENGAGEMENTS 2026'!C2800),"",IF(AND(OR($E2800="INFRUCTUEUX",$E2800="ANNULE"),$C2800="AOO-M"),'ENGAGEMENTS 2026'!P2800,IF($H2800="EN COURS DE PREENGAGEMENT",'ENGAGEMENTS 2026'!O2800,IF($H2800="PREENGAGE",IF($E2800="ATTRIBUE",'ENGAGEMENTS 2026'!AE2800,'ENGAGEMENTS 2026'!O2800),'ENGAGEMENTS 2026'!AE2800))))</f>
        <v/>
      </c>
      <c r="K2800" s="604">
        <f>IF(ISBLANK('ENGAGEMENTS 2026'!W2800),"",'ENGAGEMENTS 2026'!W2800)</f>
        <v/>
      </c>
      <c r="L2800" s="276">
        <f>IF($K2800="","",TODAY()-$K2800)</f>
        <v/>
      </c>
      <c r="M2800">
        <f>IF($A2800="","",IF($H2800="ENGAGE","Engagé",IF(AND($H2800="NON ENGAGE",OR($I2800="INFRUCTUEUX",$I2800="ANNULE")),"Clôturé sans suite","En cours")))</f>
        <v/>
      </c>
      <c r="N2800">
        <f>IF(ISBLANK('ENGAGEMENTS 2026'!C2800),"",'ENGAGEMENTS 2026'!L2800)</f>
        <v/>
      </c>
      <c r="O2800">
        <f>IF(ISBLANK('ENGAGEMENTS 2026'!C2800),"",'ENGAGEMENTS 2026'!M2800)</f>
        <v/>
      </c>
      <c r="P2800">
        <f>IF(ISBLANK('ENGAGEMENTS 2026'!C2800),"",'ENGAGEMENTS 2026'!K2800)</f>
        <v/>
      </c>
      <c r="Q2800">
        <f>IF($A2800="","",IF(OR($E2800="INFRUCTUEUX",$E2800="ANNULE"),$A2800&amp;"|"&amp;(COUNTIFS($A$2:$A2800,$A2800,$E$2:$E2800,"INFRUCTUEUX")+COUNTIFS($A$2:$A2800,$A2800,$E$2:$E2800,"ANNULE")),""))</f>
        <v/>
      </c>
    </row>
    <row r="2801">
      <c r="A2801">
        <f>IF(ISBLANK('ENGAGEMENTS 2026'!C2801),"",IF('ENGAGEMENTS 2026'!C2801="DTSI","DCT",'ENGAGEMENTS 2026'!C2801))</f>
        <v/>
      </c>
      <c r="B2801">
        <f>IF(ISBLANK('ENGAGEMENTS 2026'!C2801),"",'ENGAGEMENTS 2026'!D2801)</f>
        <v/>
      </c>
      <c r="C2801">
        <f>IF(ISBLANK('ENGAGEMENTS 2026'!C2801),"",'ENGAGEMENTS 2026'!E2801)</f>
        <v/>
      </c>
      <c r="D2801">
        <f>IF(ISBLANK('ENGAGEMENTS 2026'!C2801),"",'ENGAGEMENTS 2026'!G2801)</f>
        <v/>
      </c>
      <c r="E2801">
        <f>IF(ISBLANK('ENGAGEMENTS 2026'!C2801),"",'ENGAGEMENTS 2026'!I2801)</f>
        <v/>
      </c>
      <c r="F2801">
        <f>IF(ISBLANK('ENGAGEMENTS 2026'!C2801),"",'ENGAGEMENTS 2026'!J2801)</f>
        <v/>
      </c>
      <c r="G2801">
        <f>IF(ISBLANK('ENGAGEMENTS 2026'!C2801),"",'ENGAGEMENTS 2026'!M2801)</f>
        <v/>
      </c>
      <c r="H2801">
        <f>IF(ISBLANK('ENGAGEMENTS 2026'!C2801),"",'ENGAGEMENTS 2026'!AF2801)</f>
        <v/>
      </c>
      <c r="I2801">
        <f>IF(ISBLANK('ENGAGEMENTS 2026'!C2801),"",'ENGAGEMENTS 2026'!H2801)</f>
        <v/>
      </c>
      <c r="J2801" s="275">
        <f>IF(ISBLANK('ENGAGEMENTS 2026'!C2801),"",IF(AND(OR($E2801="INFRUCTUEUX",$E2801="ANNULE"),$C2801="AOO-M"),'ENGAGEMENTS 2026'!P2801,IF($H2801="EN COURS DE PREENGAGEMENT",'ENGAGEMENTS 2026'!O2801,IF($H2801="PREENGAGE",IF($E2801="ATTRIBUE",'ENGAGEMENTS 2026'!AE2801,'ENGAGEMENTS 2026'!O2801),'ENGAGEMENTS 2026'!AE2801))))</f>
        <v/>
      </c>
      <c r="K2801" s="604">
        <f>IF(ISBLANK('ENGAGEMENTS 2026'!W2801),"",'ENGAGEMENTS 2026'!W2801)</f>
        <v/>
      </c>
      <c r="L2801" s="276">
        <f>IF($K2801="","",TODAY()-$K2801)</f>
        <v/>
      </c>
      <c r="M2801">
        <f>IF($A2801="","",IF($H2801="ENGAGE","Engagé",IF(AND($H2801="NON ENGAGE",OR($I2801="INFRUCTUEUX",$I2801="ANNULE")),"Clôturé sans suite","En cours")))</f>
        <v/>
      </c>
      <c r="N2801">
        <f>IF(ISBLANK('ENGAGEMENTS 2026'!C2801),"",'ENGAGEMENTS 2026'!L2801)</f>
        <v/>
      </c>
      <c r="O2801">
        <f>IF(ISBLANK('ENGAGEMENTS 2026'!C2801),"",'ENGAGEMENTS 2026'!M2801)</f>
        <v/>
      </c>
      <c r="P2801">
        <f>IF(ISBLANK('ENGAGEMENTS 2026'!C2801),"",'ENGAGEMENTS 2026'!K2801)</f>
        <v/>
      </c>
      <c r="Q2801">
        <f>IF($A2801="","",IF(OR($E2801="INFRUCTUEUX",$E2801="ANNULE"),$A2801&amp;"|"&amp;(COUNTIFS($A$2:$A2801,$A2801,$E$2:$E2801,"INFRUCTUEUX")+COUNTIFS($A$2:$A2801,$A2801,$E$2:$E2801,"ANNULE")),""))</f>
        <v/>
      </c>
    </row>
    <row r="2802">
      <c r="A2802">
        <f>IF(ISBLANK('ENGAGEMENTS 2026'!C2802),"",IF('ENGAGEMENTS 2026'!C2802="DTSI","DCT",'ENGAGEMENTS 2026'!C2802))</f>
        <v/>
      </c>
      <c r="B2802">
        <f>IF(ISBLANK('ENGAGEMENTS 2026'!C2802),"",'ENGAGEMENTS 2026'!D2802)</f>
        <v/>
      </c>
      <c r="C2802">
        <f>IF(ISBLANK('ENGAGEMENTS 2026'!C2802),"",'ENGAGEMENTS 2026'!E2802)</f>
        <v/>
      </c>
      <c r="D2802">
        <f>IF(ISBLANK('ENGAGEMENTS 2026'!C2802),"",'ENGAGEMENTS 2026'!G2802)</f>
        <v/>
      </c>
      <c r="E2802">
        <f>IF(ISBLANK('ENGAGEMENTS 2026'!C2802),"",'ENGAGEMENTS 2026'!I2802)</f>
        <v/>
      </c>
      <c r="F2802">
        <f>IF(ISBLANK('ENGAGEMENTS 2026'!C2802),"",'ENGAGEMENTS 2026'!J2802)</f>
        <v/>
      </c>
      <c r="G2802">
        <f>IF(ISBLANK('ENGAGEMENTS 2026'!C2802),"",'ENGAGEMENTS 2026'!M2802)</f>
        <v/>
      </c>
      <c r="H2802">
        <f>IF(ISBLANK('ENGAGEMENTS 2026'!C2802),"",'ENGAGEMENTS 2026'!AF2802)</f>
        <v/>
      </c>
      <c r="I2802">
        <f>IF(ISBLANK('ENGAGEMENTS 2026'!C2802),"",'ENGAGEMENTS 2026'!H2802)</f>
        <v/>
      </c>
      <c r="J2802" s="275">
        <f>IF(ISBLANK('ENGAGEMENTS 2026'!C2802),"",IF(AND(OR($E2802="INFRUCTUEUX",$E2802="ANNULE"),$C2802="AOO-M"),'ENGAGEMENTS 2026'!P2802,IF($H2802="EN COURS DE PREENGAGEMENT",'ENGAGEMENTS 2026'!O2802,IF($H2802="PREENGAGE",IF($E2802="ATTRIBUE",'ENGAGEMENTS 2026'!AE2802,'ENGAGEMENTS 2026'!O2802),'ENGAGEMENTS 2026'!AE2802))))</f>
        <v/>
      </c>
      <c r="K2802" s="604">
        <f>IF(ISBLANK('ENGAGEMENTS 2026'!W2802),"",'ENGAGEMENTS 2026'!W2802)</f>
        <v/>
      </c>
      <c r="L2802" s="276">
        <f>IF($K2802="","",TODAY()-$K2802)</f>
        <v/>
      </c>
      <c r="M2802">
        <f>IF($A2802="","",IF($H2802="ENGAGE","Engagé",IF(AND($H2802="NON ENGAGE",OR($I2802="INFRUCTUEUX",$I2802="ANNULE")),"Clôturé sans suite","En cours")))</f>
        <v/>
      </c>
      <c r="N2802">
        <f>IF(ISBLANK('ENGAGEMENTS 2026'!C2802),"",'ENGAGEMENTS 2026'!L2802)</f>
        <v/>
      </c>
      <c r="O2802">
        <f>IF(ISBLANK('ENGAGEMENTS 2026'!C2802),"",'ENGAGEMENTS 2026'!M2802)</f>
        <v/>
      </c>
      <c r="P2802">
        <f>IF(ISBLANK('ENGAGEMENTS 2026'!C2802),"",'ENGAGEMENTS 2026'!K2802)</f>
        <v/>
      </c>
      <c r="Q2802">
        <f>IF($A2802="","",IF(OR($E2802="INFRUCTUEUX",$E2802="ANNULE"),$A2802&amp;"|"&amp;(COUNTIFS($A$2:$A2802,$A2802,$E$2:$E2802,"INFRUCTUEUX")+COUNTIFS($A$2:$A2802,$A2802,$E$2:$E2802,"ANNULE")),""))</f>
        <v/>
      </c>
    </row>
    <row r="2803">
      <c r="A2803">
        <f>IF(ISBLANK('ENGAGEMENTS 2026'!C2803),"",IF('ENGAGEMENTS 2026'!C2803="DTSI","DCT",'ENGAGEMENTS 2026'!C2803))</f>
        <v/>
      </c>
      <c r="B2803">
        <f>IF(ISBLANK('ENGAGEMENTS 2026'!C2803),"",'ENGAGEMENTS 2026'!D2803)</f>
        <v/>
      </c>
      <c r="C2803">
        <f>IF(ISBLANK('ENGAGEMENTS 2026'!C2803),"",'ENGAGEMENTS 2026'!E2803)</f>
        <v/>
      </c>
      <c r="D2803">
        <f>IF(ISBLANK('ENGAGEMENTS 2026'!C2803),"",'ENGAGEMENTS 2026'!G2803)</f>
        <v/>
      </c>
      <c r="E2803">
        <f>IF(ISBLANK('ENGAGEMENTS 2026'!C2803),"",'ENGAGEMENTS 2026'!I2803)</f>
        <v/>
      </c>
      <c r="F2803">
        <f>IF(ISBLANK('ENGAGEMENTS 2026'!C2803),"",'ENGAGEMENTS 2026'!J2803)</f>
        <v/>
      </c>
      <c r="G2803">
        <f>IF(ISBLANK('ENGAGEMENTS 2026'!C2803),"",'ENGAGEMENTS 2026'!M2803)</f>
        <v/>
      </c>
      <c r="H2803">
        <f>IF(ISBLANK('ENGAGEMENTS 2026'!C2803),"",'ENGAGEMENTS 2026'!AF2803)</f>
        <v/>
      </c>
      <c r="I2803">
        <f>IF(ISBLANK('ENGAGEMENTS 2026'!C2803),"",'ENGAGEMENTS 2026'!H2803)</f>
        <v/>
      </c>
      <c r="J2803" s="275">
        <f>IF(ISBLANK('ENGAGEMENTS 2026'!C2803),"",IF(AND(OR($E2803="INFRUCTUEUX",$E2803="ANNULE"),$C2803="AOO-M"),'ENGAGEMENTS 2026'!P2803,IF($H2803="EN COURS DE PREENGAGEMENT",'ENGAGEMENTS 2026'!O2803,IF($H2803="PREENGAGE",IF($E2803="ATTRIBUE",'ENGAGEMENTS 2026'!AE2803,'ENGAGEMENTS 2026'!O2803),'ENGAGEMENTS 2026'!AE2803))))</f>
        <v/>
      </c>
      <c r="K2803" s="604">
        <f>IF(ISBLANK('ENGAGEMENTS 2026'!W2803),"",'ENGAGEMENTS 2026'!W2803)</f>
        <v/>
      </c>
      <c r="L2803" s="276">
        <f>IF($K2803="","",TODAY()-$K2803)</f>
        <v/>
      </c>
      <c r="M2803">
        <f>IF($A2803="","",IF($H2803="ENGAGE","Engagé",IF(AND($H2803="NON ENGAGE",OR($I2803="INFRUCTUEUX",$I2803="ANNULE")),"Clôturé sans suite","En cours")))</f>
        <v/>
      </c>
      <c r="N2803">
        <f>IF(ISBLANK('ENGAGEMENTS 2026'!C2803),"",'ENGAGEMENTS 2026'!L2803)</f>
        <v/>
      </c>
      <c r="O2803">
        <f>IF(ISBLANK('ENGAGEMENTS 2026'!C2803),"",'ENGAGEMENTS 2026'!M2803)</f>
        <v/>
      </c>
      <c r="P2803">
        <f>IF(ISBLANK('ENGAGEMENTS 2026'!C2803),"",'ENGAGEMENTS 2026'!K2803)</f>
        <v/>
      </c>
      <c r="Q2803">
        <f>IF($A2803="","",IF(OR($E2803="INFRUCTUEUX",$E2803="ANNULE"),$A2803&amp;"|"&amp;(COUNTIFS($A$2:$A2803,$A2803,$E$2:$E2803,"INFRUCTUEUX")+COUNTIFS($A$2:$A2803,$A2803,$E$2:$E2803,"ANNULE")),""))</f>
        <v/>
      </c>
    </row>
    <row r="2804">
      <c r="A2804">
        <f>IF(ISBLANK('ENGAGEMENTS 2026'!C2804),"",IF('ENGAGEMENTS 2026'!C2804="DTSI","DCT",'ENGAGEMENTS 2026'!C2804))</f>
        <v/>
      </c>
      <c r="B2804">
        <f>IF(ISBLANK('ENGAGEMENTS 2026'!C2804),"",'ENGAGEMENTS 2026'!D2804)</f>
        <v/>
      </c>
      <c r="C2804">
        <f>IF(ISBLANK('ENGAGEMENTS 2026'!C2804),"",'ENGAGEMENTS 2026'!E2804)</f>
        <v/>
      </c>
      <c r="D2804">
        <f>IF(ISBLANK('ENGAGEMENTS 2026'!C2804),"",'ENGAGEMENTS 2026'!G2804)</f>
        <v/>
      </c>
      <c r="E2804">
        <f>IF(ISBLANK('ENGAGEMENTS 2026'!C2804),"",'ENGAGEMENTS 2026'!I2804)</f>
        <v/>
      </c>
      <c r="F2804">
        <f>IF(ISBLANK('ENGAGEMENTS 2026'!C2804),"",'ENGAGEMENTS 2026'!J2804)</f>
        <v/>
      </c>
      <c r="G2804">
        <f>IF(ISBLANK('ENGAGEMENTS 2026'!C2804),"",'ENGAGEMENTS 2026'!M2804)</f>
        <v/>
      </c>
      <c r="H2804">
        <f>IF(ISBLANK('ENGAGEMENTS 2026'!C2804),"",'ENGAGEMENTS 2026'!AF2804)</f>
        <v/>
      </c>
      <c r="I2804">
        <f>IF(ISBLANK('ENGAGEMENTS 2026'!C2804),"",'ENGAGEMENTS 2026'!H2804)</f>
        <v/>
      </c>
      <c r="J2804" s="275">
        <f>IF(ISBLANK('ENGAGEMENTS 2026'!C2804),"",IF(AND(OR($E2804="INFRUCTUEUX",$E2804="ANNULE"),$C2804="AOO-M"),'ENGAGEMENTS 2026'!P2804,IF($H2804="EN COURS DE PREENGAGEMENT",'ENGAGEMENTS 2026'!O2804,IF($H2804="PREENGAGE",IF($E2804="ATTRIBUE",'ENGAGEMENTS 2026'!AE2804,'ENGAGEMENTS 2026'!O2804),'ENGAGEMENTS 2026'!AE2804))))</f>
        <v/>
      </c>
      <c r="K2804" s="604">
        <f>IF(ISBLANK('ENGAGEMENTS 2026'!W2804),"",'ENGAGEMENTS 2026'!W2804)</f>
        <v/>
      </c>
      <c r="L2804" s="276">
        <f>IF($K2804="","",TODAY()-$K2804)</f>
        <v/>
      </c>
      <c r="M2804">
        <f>IF($A2804="","",IF($H2804="ENGAGE","Engagé",IF(AND($H2804="NON ENGAGE",OR($I2804="INFRUCTUEUX",$I2804="ANNULE")),"Clôturé sans suite","En cours")))</f>
        <v/>
      </c>
      <c r="N2804">
        <f>IF(ISBLANK('ENGAGEMENTS 2026'!C2804),"",'ENGAGEMENTS 2026'!L2804)</f>
        <v/>
      </c>
      <c r="O2804">
        <f>IF(ISBLANK('ENGAGEMENTS 2026'!C2804),"",'ENGAGEMENTS 2026'!M2804)</f>
        <v/>
      </c>
      <c r="P2804">
        <f>IF(ISBLANK('ENGAGEMENTS 2026'!C2804),"",'ENGAGEMENTS 2026'!K2804)</f>
        <v/>
      </c>
      <c r="Q2804">
        <f>IF($A2804="","",IF(OR($E2804="INFRUCTUEUX",$E2804="ANNULE"),$A2804&amp;"|"&amp;(COUNTIFS($A$2:$A2804,$A2804,$E$2:$E2804,"INFRUCTUEUX")+COUNTIFS($A$2:$A2804,$A2804,$E$2:$E2804,"ANNULE")),""))</f>
        <v/>
      </c>
    </row>
    <row r="2805">
      <c r="A2805">
        <f>IF(ISBLANK('ENGAGEMENTS 2026'!C2805),"",IF('ENGAGEMENTS 2026'!C2805="DTSI","DCT",'ENGAGEMENTS 2026'!C2805))</f>
        <v/>
      </c>
      <c r="B2805">
        <f>IF(ISBLANK('ENGAGEMENTS 2026'!C2805),"",'ENGAGEMENTS 2026'!D2805)</f>
        <v/>
      </c>
      <c r="C2805">
        <f>IF(ISBLANK('ENGAGEMENTS 2026'!C2805),"",'ENGAGEMENTS 2026'!E2805)</f>
        <v/>
      </c>
      <c r="D2805">
        <f>IF(ISBLANK('ENGAGEMENTS 2026'!C2805),"",'ENGAGEMENTS 2026'!G2805)</f>
        <v/>
      </c>
      <c r="E2805">
        <f>IF(ISBLANK('ENGAGEMENTS 2026'!C2805),"",'ENGAGEMENTS 2026'!I2805)</f>
        <v/>
      </c>
      <c r="F2805">
        <f>IF(ISBLANK('ENGAGEMENTS 2026'!C2805),"",'ENGAGEMENTS 2026'!J2805)</f>
        <v/>
      </c>
      <c r="G2805">
        <f>IF(ISBLANK('ENGAGEMENTS 2026'!C2805),"",'ENGAGEMENTS 2026'!M2805)</f>
        <v/>
      </c>
      <c r="H2805">
        <f>IF(ISBLANK('ENGAGEMENTS 2026'!C2805),"",'ENGAGEMENTS 2026'!AF2805)</f>
        <v/>
      </c>
      <c r="I2805">
        <f>IF(ISBLANK('ENGAGEMENTS 2026'!C2805),"",'ENGAGEMENTS 2026'!H2805)</f>
        <v/>
      </c>
      <c r="J2805" s="275">
        <f>IF(ISBLANK('ENGAGEMENTS 2026'!C2805),"",IF(AND(OR($E2805="INFRUCTUEUX",$E2805="ANNULE"),$C2805="AOO-M"),'ENGAGEMENTS 2026'!P2805,IF($H2805="EN COURS DE PREENGAGEMENT",'ENGAGEMENTS 2026'!O2805,IF($H2805="PREENGAGE",IF($E2805="ATTRIBUE",'ENGAGEMENTS 2026'!AE2805,'ENGAGEMENTS 2026'!O2805),'ENGAGEMENTS 2026'!AE2805))))</f>
        <v/>
      </c>
      <c r="K2805" s="604">
        <f>IF(ISBLANK('ENGAGEMENTS 2026'!W2805),"",'ENGAGEMENTS 2026'!W2805)</f>
        <v/>
      </c>
      <c r="L2805" s="276">
        <f>IF($K2805="","",TODAY()-$K2805)</f>
        <v/>
      </c>
      <c r="M2805">
        <f>IF($A2805="","",IF($H2805="ENGAGE","Engagé",IF(AND($H2805="NON ENGAGE",OR($I2805="INFRUCTUEUX",$I2805="ANNULE")),"Clôturé sans suite","En cours")))</f>
        <v/>
      </c>
      <c r="N2805">
        <f>IF(ISBLANK('ENGAGEMENTS 2026'!C2805),"",'ENGAGEMENTS 2026'!L2805)</f>
        <v/>
      </c>
      <c r="O2805">
        <f>IF(ISBLANK('ENGAGEMENTS 2026'!C2805),"",'ENGAGEMENTS 2026'!M2805)</f>
        <v/>
      </c>
      <c r="P2805">
        <f>IF(ISBLANK('ENGAGEMENTS 2026'!C2805),"",'ENGAGEMENTS 2026'!K2805)</f>
        <v/>
      </c>
      <c r="Q2805">
        <f>IF($A2805="","",IF(OR($E2805="INFRUCTUEUX",$E2805="ANNULE"),$A2805&amp;"|"&amp;(COUNTIFS($A$2:$A2805,$A2805,$E$2:$E2805,"INFRUCTUEUX")+COUNTIFS($A$2:$A2805,$A2805,$E$2:$E2805,"ANNULE")),""))</f>
        <v/>
      </c>
    </row>
    <row r="2806">
      <c r="A2806">
        <f>IF(ISBLANK('ENGAGEMENTS 2026'!C2806),"",IF('ENGAGEMENTS 2026'!C2806="DTSI","DCT",'ENGAGEMENTS 2026'!C2806))</f>
        <v/>
      </c>
      <c r="B2806">
        <f>IF(ISBLANK('ENGAGEMENTS 2026'!C2806),"",'ENGAGEMENTS 2026'!D2806)</f>
        <v/>
      </c>
      <c r="C2806">
        <f>IF(ISBLANK('ENGAGEMENTS 2026'!C2806),"",'ENGAGEMENTS 2026'!E2806)</f>
        <v/>
      </c>
      <c r="D2806">
        <f>IF(ISBLANK('ENGAGEMENTS 2026'!C2806),"",'ENGAGEMENTS 2026'!G2806)</f>
        <v/>
      </c>
      <c r="E2806">
        <f>IF(ISBLANK('ENGAGEMENTS 2026'!C2806),"",'ENGAGEMENTS 2026'!I2806)</f>
        <v/>
      </c>
      <c r="F2806">
        <f>IF(ISBLANK('ENGAGEMENTS 2026'!C2806),"",'ENGAGEMENTS 2026'!J2806)</f>
        <v/>
      </c>
      <c r="G2806">
        <f>IF(ISBLANK('ENGAGEMENTS 2026'!C2806),"",'ENGAGEMENTS 2026'!M2806)</f>
        <v/>
      </c>
      <c r="H2806">
        <f>IF(ISBLANK('ENGAGEMENTS 2026'!C2806),"",'ENGAGEMENTS 2026'!AF2806)</f>
        <v/>
      </c>
      <c r="I2806">
        <f>IF(ISBLANK('ENGAGEMENTS 2026'!C2806),"",'ENGAGEMENTS 2026'!H2806)</f>
        <v/>
      </c>
      <c r="J2806" s="275">
        <f>IF(ISBLANK('ENGAGEMENTS 2026'!C2806),"",IF(AND(OR($E2806="INFRUCTUEUX",$E2806="ANNULE"),$C2806="AOO-M"),'ENGAGEMENTS 2026'!P2806,IF($H2806="EN COURS DE PREENGAGEMENT",'ENGAGEMENTS 2026'!O2806,IF($H2806="PREENGAGE",IF($E2806="ATTRIBUE",'ENGAGEMENTS 2026'!AE2806,'ENGAGEMENTS 2026'!O2806),'ENGAGEMENTS 2026'!AE2806))))</f>
        <v/>
      </c>
      <c r="K2806" s="604">
        <f>IF(ISBLANK('ENGAGEMENTS 2026'!W2806),"",'ENGAGEMENTS 2026'!W2806)</f>
        <v/>
      </c>
      <c r="L2806" s="276">
        <f>IF($K2806="","",TODAY()-$K2806)</f>
        <v/>
      </c>
      <c r="M2806">
        <f>IF($A2806="","",IF($H2806="ENGAGE","Engagé",IF(AND($H2806="NON ENGAGE",OR($I2806="INFRUCTUEUX",$I2806="ANNULE")),"Clôturé sans suite","En cours")))</f>
        <v/>
      </c>
      <c r="N2806">
        <f>IF(ISBLANK('ENGAGEMENTS 2026'!C2806),"",'ENGAGEMENTS 2026'!L2806)</f>
        <v/>
      </c>
      <c r="O2806">
        <f>IF(ISBLANK('ENGAGEMENTS 2026'!C2806),"",'ENGAGEMENTS 2026'!M2806)</f>
        <v/>
      </c>
      <c r="P2806">
        <f>IF(ISBLANK('ENGAGEMENTS 2026'!C2806),"",'ENGAGEMENTS 2026'!K2806)</f>
        <v/>
      </c>
      <c r="Q2806">
        <f>IF($A2806="","",IF(OR($E2806="INFRUCTUEUX",$E2806="ANNULE"),$A2806&amp;"|"&amp;(COUNTIFS($A$2:$A2806,$A2806,$E$2:$E2806,"INFRUCTUEUX")+COUNTIFS($A$2:$A2806,$A2806,$E$2:$E2806,"ANNULE")),""))</f>
        <v/>
      </c>
    </row>
    <row r="2807">
      <c r="A2807">
        <f>IF(ISBLANK('ENGAGEMENTS 2026'!C2807),"",IF('ENGAGEMENTS 2026'!C2807="DTSI","DCT",'ENGAGEMENTS 2026'!C2807))</f>
        <v/>
      </c>
      <c r="B2807">
        <f>IF(ISBLANK('ENGAGEMENTS 2026'!C2807),"",'ENGAGEMENTS 2026'!D2807)</f>
        <v/>
      </c>
      <c r="C2807">
        <f>IF(ISBLANK('ENGAGEMENTS 2026'!C2807),"",'ENGAGEMENTS 2026'!E2807)</f>
        <v/>
      </c>
      <c r="D2807">
        <f>IF(ISBLANK('ENGAGEMENTS 2026'!C2807),"",'ENGAGEMENTS 2026'!G2807)</f>
        <v/>
      </c>
      <c r="E2807">
        <f>IF(ISBLANK('ENGAGEMENTS 2026'!C2807),"",'ENGAGEMENTS 2026'!I2807)</f>
        <v/>
      </c>
      <c r="F2807">
        <f>IF(ISBLANK('ENGAGEMENTS 2026'!C2807),"",'ENGAGEMENTS 2026'!J2807)</f>
        <v/>
      </c>
      <c r="G2807">
        <f>IF(ISBLANK('ENGAGEMENTS 2026'!C2807),"",'ENGAGEMENTS 2026'!M2807)</f>
        <v/>
      </c>
      <c r="H2807">
        <f>IF(ISBLANK('ENGAGEMENTS 2026'!C2807),"",'ENGAGEMENTS 2026'!AF2807)</f>
        <v/>
      </c>
      <c r="I2807">
        <f>IF(ISBLANK('ENGAGEMENTS 2026'!C2807),"",'ENGAGEMENTS 2026'!H2807)</f>
        <v/>
      </c>
      <c r="J2807" s="275">
        <f>IF(ISBLANK('ENGAGEMENTS 2026'!C2807),"",IF(AND(OR($E2807="INFRUCTUEUX",$E2807="ANNULE"),$C2807="AOO-M"),'ENGAGEMENTS 2026'!P2807,IF($H2807="EN COURS DE PREENGAGEMENT",'ENGAGEMENTS 2026'!O2807,IF($H2807="PREENGAGE",IF($E2807="ATTRIBUE",'ENGAGEMENTS 2026'!AE2807,'ENGAGEMENTS 2026'!O2807),'ENGAGEMENTS 2026'!AE2807))))</f>
        <v/>
      </c>
      <c r="K2807" s="604">
        <f>IF(ISBLANK('ENGAGEMENTS 2026'!W2807),"",'ENGAGEMENTS 2026'!W2807)</f>
        <v/>
      </c>
      <c r="L2807" s="276">
        <f>IF($K2807="","",TODAY()-$K2807)</f>
        <v/>
      </c>
      <c r="M2807">
        <f>IF($A2807="","",IF($H2807="ENGAGE","Engagé",IF(AND($H2807="NON ENGAGE",OR($I2807="INFRUCTUEUX",$I2807="ANNULE")),"Clôturé sans suite","En cours")))</f>
        <v/>
      </c>
      <c r="N2807">
        <f>IF(ISBLANK('ENGAGEMENTS 2026'!C2807),"",'ENGAGEMENTS 2026'!L2807)</f>
        <v/>
      </c>
      <c r="O2807">
        <f>IF(ISBLANK('ENGAGEMENTS 2026'!C2807),"",'ENGAGEMENTS 2026'!M2807)</f>
        <v/>
      </c>
      <c r="P2807">
        <f>IF(ISBLANK('ENGAGEMENTS 2026'!C2807),"",'ENGAGEMENTS 2026'!K2807)</f>
        <v/>
      </c>
      <c r="Q2807">
        <f>IF($A2807="","",IF(OR($E2807="INFRUCTUEUX",$E2807="ANNULE"),$A2807&amp;"|"&amp;(COUNTIFS($A$2:$A2807,$A2807,$E$2:$E2807,"INFRUCTUEUX")+COUNTIFS($A$2:$A2807,$A2807,$E$2:$E2807,"ANNULE")),""))</f>
        <v/>
      </c>
    </row>
    <row r="2808">
      <c r="A2808">
        <f>IF(ISBLANK('ENGAGEMENTS 2026'!C2808),"",IF('ENGAGEMENTS 2026'!C2808="DTSI","DCT",'ENGAGEMENTS 2026'!C2808))</f>
        <v/>
      </c>
      <c r="B2808">
        <f>IF(ISBLANK('ENGAGEMENTS 2026'!C2808),"",'ENGAGEMENTS 2026'!D2808)</f>
        <v/>
      </c>
      <c r="C2808">
        <f>IF(ISBLANK('ENGAGEMENTS 2026'!C2808),"",'ENGAGEMENTS 2026'!E2808)</f>
        <v/>
      </c>
      <c r="D2808">
        <f>IF(ISBLANK('ENGAGEMENTS 2026'!C2808),"",'ENGAGEMENTS 2026'!G2808)</f>
        <v/>
      </c>
      <c r="E2808">
        <f>IF(ISBLANK('ENGAGEMENTS 2026'!C2808),"",'ENGAGEMENTS 2026'!I2808)</f>
        <v/>
      </c>
      <c r="F2808">
        <f>IF(ISBLANK('ENGAGEMENTS 2026'!C2808),"",'ENGAGEMENTS 2026'!J2808)</f>
        <v/>
      </c>
      <c r="G2808">
        <f>IF(ISBLANK('ENGAGEMENTS 2026'!C2808),"",'ENGAGEMENTS 2026'!M2808)</f>
        <v/>
      </c>
      <c r="H2808">
        <f>IF(ISBLANK('ENGAGEMENTS 2026'!C2808),"",'ENGAGEMENTS 2026'!AF2808)</f>
        <v/>
      </c>
      <c r="I2808">
        <f>IF(ISBLANK('ENGAGEMENTS 2026'!C2808),"",'ENGAGEMENTS 2026'!H2808)</f>
        <v/>
      </c>
      <c r="J2808" s="275">
        <f>IF(ISBLANK('ENGAGEMENTS 2026'!C2808),"",IF(AND(OR($E2808="INFRUCTUEUX",$E2808="ANNULE"),$C2808="AOO-M"),'ENGAGEMENTS 2026'!P2808,IF($H2808="EN COURS DE PREENGAGEMENT",'ENGAGEMENTS 2026'!O2808,IF($H2808="PREENGAGE",IF($E2808="ATTRIBUE",'ENGAGEMENTS 2026'!AE2808,'ENGAGEMENTS 2026'!O2808),'ENGAGEMENTS 2026'!AE2808))))</f>
        <v/>
      </c>
      <c r="K2808" s="604">
        <f>IF(ISBLANK('ENGAGEMENTS 2026'!W2808),"",'ENGAGEMENTS 2026'!W2808)</f>
        <v/>
      </c>
      <c r="L2808" s="276">
        <f>IF($K2808="","",TODAY()-$K2808)</f>
        <v/>
      </c>
      <c r="M2808">
        <f>IF($A2808="","",IF($H2808="ENGAGE","Engagé",IF(AND($H2808="NON ENGAGE",OR($I2808="INFRUCTUEUX",$I2808="ANNULE")),"Clôturé sans suite","En cours")))</f>
        <v/>
      </c>
      <c r="N2808">
        <f>IF(ISBLANK('ENGAGEMENTS 2026'!C2808),"",'ENGAGEMENTS 2026'!L2808)</f>
        <v/>
      </c>
      <c r="O2808">
        <f>IF(ISBLANK('ENGAGEMENTS 2026'!C2808),"",'ENGAGEMENTS 2026'!M2808)</f>
        <v/>
      </c>
      <c r="P2808">
        <f>IF(ISBLANK('ENGAGEMENTS 2026'!C2808),"",'ENGAGEMENTS 2026'!K2808)</f>
        <v/>
      </c>
      <c r="Q2808">
        <f>IF($A2808="","",IF(OR($E2808="INFRUCTUEUX",$E2808="ANNULE"),$A2808&amp;"|"&amp;(COUNTIFS($A$2:$A2808,$A2808,$E$2:$E2808,"INFRUCTUEUX")+COUNTIFS($A$2:$A2808,$A2808,$E$2:$E2808,"ANNULE")),""))</f>
        <v/>
      </c>
    </row>
    <row r="2809">
      <c r="A2809">
        <f>IF(ISBLANK('ENGAGEMENTS 2026'!C2809),"",IF('ENGAGEMENTS 2026'!C2809="DTSI","DCT",'ENGAGEMENTS 2026'!C2809))</f>
        <v/>
      </c>
      <c r="B2809">
        <f>IF(ISBLANK('ENGAGEMENTS 2026'!C2809),"",'ENGAGEMENTS 2026'!D2809)</f>
        <v/>
      </c>
      <c r="C2809">
        <f>IF(ISBLANK('ENGAGEMENTS 2026'!C2809),"",'ENGAGEMENTS 2026'!E2809)</f>
        <v/>
      </c>
      <c r="D2809">
        <f>IF(ISBLANK('ENGAGEMENTS 2026'!C2809),"",'ENGAGEMENTS 2026'!G2809)</f>
        <v/>
      </c>
      <c r="E2809">
        <f>IF(ISBLANK('ENGAGEMENTS 2026'!C2809),"",'ENGAGEMENTS 2026'!I2809)</f>
        <v/>
      </c>
      <c r="F2809">
        <f>IF(ISBLANK('ENGAGEMENTS 2026'!C2809),"",'ENGAGEMENTS 2026'!J2809)</f>
        <v/>
      </c>
      <c r="G2809">
        <f>IF(ISBLANK('ENGAGEMENTS 2026'!C2809),"",'ENGAGEMENTS 2026'!M2809)</f>
        <v/>
      </c>
      <c r="H2809">
        <f>IF(ISBLANK('ENGAGEMENTS 2026'!C2809),"",'ENGAGEMENTS 2026'!AF2809)</f>
        <v/>
      </c>
      <c r="I2809">
        <f>IF(ISBLANK('ENGAGEMENTS 2026'!C2809),"",'ENGAGEMENTS 2026'!H2809)</f>
        <v/>
      </c>
      <c r="J2809" s="275">
        <f>IF(ISBLANK('ENGAGEMENTS 2026'!C2809),"",IF(AND(OR($E2809="INFRUCTUEUX",$E2809="ANNULE"),$C2809="AOO-M"),'ENGAGEMENTS 2026'!P2809,IF($H2809="EN COURS DE PREENGAGEMENT",'ENGAGEMENTS 2026'!O2809,IF($H2809="PREENGAGE",IF($E2809="ATTRIBUE",'ENGAGEMENTS 2026'!AE2809,'ENGAGEMENTS 2026'!O2809),'ENGAGEMENTS 2026'!AE2809))))</f>
        <v/>
      </c>
      <c r="K2809" s="604">
        <f>IF(ISBLANK('ENGAGEMENTS 2026'!W2809),"",'ENGAGEMENTS 2026'!W2809)</f>
        <v/>
      </c>
      <c r="L2809" s="276">
        <f>IF($K2809="","",TODAY()-$K2809)</f>
        <v/>
      </c>
      <c r="M2809">
        <f>IF($A2809="","",IF($H2809="ENGAGE","Engagé",IF(AND($H2809="NON ENGAGE",OR($I2809="INFRUCTUEUX",$I2809="ANNULE")),"Clôturé sans suite","En cours")))</f>
        <v/>
      </c>
      <c r="N2809">
        <f>IF(ISBLANK('ENGAGEMENTS 2026'!C2809),"",'ENGAGEMENTS 2026'!L2809)</f>
        <v/>
      </c>
      <c r="O2809">
        <f>IF(ISBLANK('ENGAGEMENTS 2026'!C2809),"",'ENGAGEMENTS 2026'!M2809)</f>
        <v/>
      </c>
      <c r="P2809">
        <f>IF(ISBLANK('ENGAGEMENTS 2026'!C2809),"",'ENGAGEMENTS 2026'!K2809)</f>
        <v/>
      </c>
      <c r="Q2809">
        <f>IF($A2809="","",IF(OR($E2809="INFRUCTUEUX",$E2809="ANNULE"),$A2809&amp;"|"&amp;(COUNTIFS($A$2:$A2809,$A2809,$E$2:$E2809,"INFRUCTUEUX")+COUNTIFS($A$2:$A2809,$A2809,$E$2:$E2809,"ANNULE")),""))</f>
        <v/>
      </c>
    </row>
    <row r="2810">
      <c r="A2810">
        <f>IF(ISBLANK('ENGAGEMENTS 2026'!C2810),"",IF('ENGAGEMENTS 2026'!C2810="DTSI","DCT",'ENGAGEMENTS 2026'!C2810))</f>
        <v/>
      </c>
      <c r="B2810">
        <f>IF(ISBLANK('ENGAGEMENTS 2026'!C2810),"",'ENGAGEMENTS 2026'!D2810)</f>
        <v/>
      </c>
      <c r="C2810">
        <f>IF(ISBLANK('ENGAGEMENTS 2026'!C2810),"",'ENGAGEMENTS 2026'!E2810)</f>
        <v/>
      </c>
      <c r="D2810">
        <f>IF(ISBLANK('ENGAGEMENTS 2026'!C2810),"",'ENGAGEMENTS 2026'!G2810)</f>
        <v/>
      </c>
      <c r="E2810">
        <f>IF(ISBLANK('ENGAGEMENTS 2026'!C2810),"",'ENGAGEMENTS 2026'!I2810)</f>
        <v/>
      </c>
      <c r="F2810">
        <f>IF(ISBLANK('ENGAGEMENTS 2026'!C2810),"",'ENGAGEMENTS 2026'!J2810)</f>
        <v/>
      </c>
      <c r="G2810">
        <f>IF(ISBLANK('ENGAGEMENTS 2026'!C2810),"",'ENGAGEMENTS 2026'!M2810)</f>
        <v/>
      </c>
      <c r="H2810">
        <f>IF(ISBLANK('ENGAGEMENTS 2026'!C2810),"",'ENGAGEMENTS 2026'!AF2810)</f>
        <v/>
      </c>
      <c r="I2810">
        <f>IF(ISBLANK('ENGAGEMENTS 2026'!C2810),"",'ENGAGEMENTS 2026'!H2810)</f>
        <v/>
      </c>
      <c r="J2810" s="275">
        <f>IF(ISBLANK('ENGAGEMENTS 2026'!C2810),"",IF(AND(OR($E2810="INFRUCTUEUX",$E2810="ANNULE"),$C2810="AOO-M"),'ENGAGEMENTS 2026'!P2810,IF($H2810="EN COURS DE PREENGAGEMENT",'ENGAGEMENTS 2026'!O2810,IF($H2810="PREENGAGE",IF($E2810="ATTRIBUE",'ENGAGEMENTS 2026'!AE2810,'ENGAGEMENTS 2026'!O2810),'ENGAGEMENTS 2026'!AE2810))))</f>
        <v/>
      </c>
      <c r="K2810" s="604">
        <f>IF(ISBLANK('ENGAGEMENTS 2026'!W2810),"",'ENGAGEMENTS 2026'!W2810)</f>
        <v/>
      </c>
      <c r="L2810" s="276">
        <f>IF($K2810="","",TODAY()-$K2810)</f>
        <v/>
      </c>
      <c r="M2810">
        <f>IF($A2810="","",IF($H2810="ENGAGE","Engagé",IF(AND($H2810="NON ENGAGE",OR($I2810="INFRUCTUEUX",$I2810="ANNULE")),"Clôturé sans suite","En cours")))</f>
        <v/>
      </c>
      <c r="N2810">
        <f>IF(ISBLANK('ENGAGEMENTS 2026'!C2810),"",'ENGAGEMENTS 2026'!L2810)</f>
        <v/>
      </c>
      <c r="O2810">
        <f>IF(ISBLANK('ENGAGEMENTS 2026'!C2810),"",'ENGAGEMENTS 2026'!M2810)</f>
        <v/>
      </c>
      <c r="P2810">
        <f>IF(ISBLANK('ENGAGEMENTS 2026'!C2810),"",'ENGAGEMENTS 2026'!K2810)</f>
        <v/>
      </c>
      <c r="Q2810">
        <f>IF($A2810="","",IF(OR($E2810="INFRUCTUEUX",$E2810="ANNULE"),$A2810&amp;"|"&amp;(COUNTIFS($A$2:$A2810,$A2810,$E$2:$E2810,"INFRUCTUEUX")+COUNTIFS($A$2:$A2810,$A2810,$E$2:$E2810,"ANNULE")),""))</f>
        <v/>
      </c>
    </row>
    <row r="2811">
      <c r="A2811">
        <f>IF(ISBLANK('ENGAGEMENTS 2026'!C2811),"",IF('ENGAGEMENTS 2026'!C2811="DTSI","DCT",'ENGAGEMENTS 2026'!C2811))</f>
        <v/>
      </c>
      <c r="B2811">
        <f>IF(ISBLANK('ENGAGEMENTS 2026'!C2811),"",'ENGAGEMENTS 2026'!D2811)</f>
        <v/>
      </c>
      <c r="C2811">
        <f>IF(ISBLANK('ENGAGEMENTS 2026'!C2811),"",'ENGAGEMENTS 2026'!E2811)</f>
        <v/>
      </c>
      <c r="D2811">
        <f>IF(ISBLANK('ENGAGEMENTS 2026'!C2811),"",'ENGAGEMENTS 2026'!G2811)</f>
        <v/>
      </c>
      <c r="E2811">
        <f>IF(ISBLANK('ENGAGEMENTS 2026'!C2811),"",'ENGAGEMENTS 2026'!I2811)</f>
        <v/>
      </c>
      <c r="F2811">
        <f>IF(ISBLANK('ENGAGEMENTS 2026'!C2811),"",'ENGAGEMENTS 2026'!J2811)</f>
        <v/>
      </c>
      <c r="G2811">
        <f>IF(ISBLANK('ENGAGEMENTS 2026'!C2811),"",'ENGAGEMENTS 2026'!M2811)</f>
        <v/>
      </c>
      <c r="H2811">
        <f>IF(ISBLANK('ENGAGEMENTS 2026'!C2811),"",'ENGAGEMENTS 2026'!AF2811)</f>
        <v/>
      </c>
      <c r="I2811">
        <f>IF(ISBLANK('ENGAGEMENTS 2026'!C2811),"",'ENGAGEMENTS 2026'!H2811)</f>
        <v/>
      </c>
      <c r="J2811" s="275">
        <f>IF(ISBLANK('ENGAGEMENTS 2026'!C2811),"",IF(AND(OR($E2811="INFRUCTUEUX",$E2811="ANNULE"),$C2811="AOO-M"),'ENGAGEMENTS 2026'!P2811,IF($H2811="EN COURS DE PREENGAGEMENT",'ENGAGEMENTS 2026'!O2811,IF($H2811="PREENGAGE",IF($E2811="ATTRIBUE",'ENGAGEMENTS 2026'!AE2811,'ENGAGEMENTS 2026'!O2811),'ENGAGEMENTS 2026'!AE2811))))</f>
        <v/>
      </c>
      <c r="K2811" s="604">
        <f>IF(ISBLANK('ENGAGEMENTS 2026'!W2811),"",'ENGAGEMENTS 2026'!W2811)</f>
        <v/>
      </c>
      <c r="L2811" s="276">
        <f>IF($K2811="","",TODAY()-$K2811)</f>
        <v/>
      </c>
      <c r="M2811">
        <f>IF($A2811="","",IF($H2811="ENGAGE","Engagé",IF(AND($H2811="NON ENGAGE",OR($I2811="INFRUCTUEUX",$I2811="ANNULE")),"Clôturé sans suite","En cours")))</f>
        <v/>
      </c>
      <c r="N2811">
        <f>IF(ISBLANK('ENGAGEMENTS 2026'!C2811),"",'ENGAGEMENTS 2026'!L2811)</f>
        <v/>
      </c>
      <c r="O2811">
        <f>IF(ISBLANK('ENGAGEMENTS 2026'!C2811),"",'ENGAGEMENTS 2026'!M2811)</f>
        <v/>
      </c>
      <c r="P2811">
        <f>IF(ISBLANK('ENGAGEMENTS 2026'!C2811),"",'ENGAGEMENTS 2026'!K2811)</f>
        <v/>
      </c>
      <c r="Q2811">
        <f>IF($A2811="","",IF(OR($E2811="INFRUCTUEUX",$E2811="ANNULE"),$A2811&amp;"|"&amp;(COUNTIFS($A$2:$A2811,$A2811,$E$2:$E2811,"INFRUCTUEUX")+COUNTIFS($A$2:$A2811,$A2811,$E$2:$E2811,"ANNULE")),""))</f>
        <v/>
      </c>
    </row>
    <row r="2812">
      <c r="A2812">
        <f>IF(ISBLANK('ENGAGEMENTS 2026'!C2812),"",IF('ENGAGEMENTS 2026'!C2812="DTSI","DCT",'ENGAGEMENTS 2026'!C2812))</f>
        <v/>
      </c>
      <c r="B2812">
        <f>IF(ISBLANK('ENGAGEMENTS 2026'!C2812),"",'ENGAGEMENTS 2026'!D2812)</f>
        <v/>
      </c>
      <c r="C2812">
        <f>IF(ISBLANK('ENGAGEMENTS 2026'!C2812),"",'ENGAGEMENTS 2026'!E2812)</f>
        <v/>
      </c>
      <c r="D2812">
        <f>IF(ISBLANK('ENGAGEMENTS 2026'!C2812),"",'ENGAGEMENTS 2026'!G2812)</f>
        <v/>
      </c>
      <c r="E2812">
        <f>IF(ISBLANK('ENGAGEMENTS 2026'!C2812),"",'ENGAGEMENTS 2026'!I2812)</f>
        <v/>
      </c>
      <c r="F2812">
        <f>IF(ISBLANK('ENGAGEMENTS 2026'!C2812),"",'ENGAGEMENTS 2026'!J2812)</f>
        <v/>
      </c>
      <c r="G2812">
        <f>IF(ISBLANK('ENGAGEMENTS 2026'!C2812),"",'ENGAGEMENTS 2026'!M2812)</f>
        <v/>
      </c>
      <c r="H2812">
        <f>IF(ISBLANK('ENGAGEMENTS 2026'!C2812),"",'ENGAGEMENTS 2026'!AF2812)</f>
        <v/>
      </c>
      <c r="I2812">
        <f>IF(ISBLANK('ENGAGEMENTS 2026'!C2812),"",'ENGAGEMENTS 2026'!H2812)</f>
        <v/>
      </c>
      <c r="J2812" s="275">
        <f>IF(ISBLANK('ENGAGEMENTS 2026'!C2812),"",IF(AND(OR($E2812="INFRUCTUEUX",$E2812="ANNULE"),$C2812="AOO-M"),'ENGAGEMENTS 2026'!P2812,IF($H2812="EN COURS DE PREENGAGEMENT",'ENGAGEMENTS 2026'!O2812,IF($H2812="PREENGAGE",IF($E2812="ATTRIBUE",'ENGAGEMENTS 2026'!AE2812,'ENGAGEMENTS 2026'!O2812),'ENGAGEMENTS 2026'!AE2812))))</f>
        <v/>
      </c>
      <c r="K2812" s="604">
        <f>IF(ISBLANK('ENGAGEMENTS 2026'!W2812),"",'ENGAGEMENTS 2026'!W2812)</f>
        <v/>
      </c>
      <c r="L2812" s="276">
        <f>IF($K2812="","",TODAY()-$K2812)</f>
        <v/>
      </c>
      <c r="M2812">
        <f>IF($A2812="","",IF($H2812="ENGAGE","Engagé",IF(AND($H2812="NON ENGAGE",OR($I2812="INFRUCTUEUX",$I2812="ANNULE")),"Clôturé sans suite","En cours")))</f>
        <v/>
      </c>
      <c r="N2812">
        <f>IF(ISBLANK('ENGAGEMENTS 2026'!C2812),"",'ENGAGEMENTS 2026'!L2812)</f>
        <v/>
      </c>
      <c r="O2812">
        <f>IF(ISBLANK('ENGAGEMENTS 2026'!C2812),"",'ENGAGEMENTS 2026'!M2812)</f>
        <v/>
      </c>
      <c r="P2812">
        <f>IF(ISBLANK('ENGAGEMENTS 2026'!C2812),"",'ENGAGEMENTS 2026'!K2812)</f>
        <v/>
      </c>
      <c r="Q2812">
        <f>IF($A2812="","",IF(OR($E2812="INFRUCTUEUX",$E2812="ANNULE"),$A2812&amp;"|"&amp;(COUNTIFS($A$2:$A2812,$A2812,$E$2:$E2812,"INFRUCTUEUX")+COUNTIFS($A$2:$A2812,$A2812,$E$2:$E2812,"ANNULE")),""))</f>
        <v/>
      </c>
    </row>
    <row r="2813">
      <c r="A2813">
        <f>IF(ISBLANK('ENGAGEMENTS 2026'!C2813),"",IF('ENGAGEMENTS 2026'!C2813="DTSI","DCT",'ENGAGEMENTS 2026'!C2813))</f>
        <v/>
      </c>
      <c r="B2813">
        <f>IF(ISBLANK('ENGAGEMENTS 2026'!C2813),"",'ENGAGEMENTS 2026'!D2813)</f>
        <v/>
      </c>
      <c r="C2813">
        <f>IF(ISBLANK('ENGAGEMENTS 2026'!C2813),"",'ENGAGEMENTS 2026'!E2813)</f>
        <v/>
      </c>
      <c r="D2813">
        <f>IF(ISBLANK('ENGAGEMENTS 2026'!C2813),"",'ENGAGEMENTS 2026'!G2813)</f>
        <v/>
      </c>
      <c r="E2813">
        <f>IF(ISBLANK('ENGAGEMENTS 2026'!C2813),"",'ENGAGEMENTS 2026'!I2813)</f>
        <v/>
      </c>
      <c r="F2813">
        <f>IF(ISBLANK('ENGAGEMENTS 2026'!C2813),"",'ENGAGEMENTS 2026'!J2813)</f>
        <v/>
      </c>
      <c r="G2813">
        <f>IF(ISBLANK('ENGAGEMENTS 2026'!C2813),"",'ENGAGEMENTS 2026'!M2813)</f>
        <v/>
      </c>
      <c r="H2813">
        <f>IF(ISBLANK('ENGAGEMENTS 2026'!C2813),"",'ENGAGEMENTS 2026'!AF2813)</f>
        <v/>
      </c>
      <c r="I2813">
        <f>IF(ISBLANK('ENGAGEMENTS 2026'!C2813),"",'ENGAGEMENTS 2026'!H2813)</f>
        <v/>
      </c>
      <c r="J2813" s="275">
        <f>IF(ISBLANK('ENGAGEMENTS 2026'!C2813),"",IF(AND(OR($E2813="INFRUCTUEUX",$E2813="ANNULE"),$C2813="AOO-M"),'ENGAGEMENTS 2026'!P2813,IF($H2813="EN COURS DE PREENGAGEMENT",'ENGAGEMENTS 2026'!O2813,IF($H2813="PREENGAGE",IF($E2813="ATTRIBUE",'ENGAGEMENTS 2026'!AE2813,'ENGAGEMENTS 2026'!O2813),'ENGAGEMENTS 2026'!AE2813))))</f>
        <v/>
      </c>
      <c r="K2813" s="604">
        <f>IF(ISBLANK('ENGAGEMENTS 2026'!W2813),"",'ENGAGEMENTS 2026'!W2813)</f>
        <v/>
      </c>
      <c r="L2813" s="276">
        <f>IF($K2813="","",TODAY()-$K2813)</f>
        <v/>
      </c>
      <c r="M2813">
        <f>IF($A2813="","",IF($H2813="ENGAGE","Engagé",IF(AND($H2813="NON ENGAGE",OR($I2813="INFRUCTUEUX",$I2813="ANNULE")),"Clôturé sans suite","En cours")))</f>
        <v/>
      </c>
      <c r="N2813">
        <f>IF(ISBLANK('ENGAGEMENTS 2026'!C2813),"",'ENGAGEMENTS 2026'!L2813)</f>
        <v/>
      </c>
      <c r="O2813">
        <f>IF(ISBLANK('ENGAGEMENTS 2026'!C2813),"",'ENGAGEMENTS 2026'!M2813)</f>
        <v/>
      </c>
      <c r="P2813">
        <f>IF(ISBLANK('ENGAGEMENTS 2026'!C2813),"",'ENGAGEMENTS 2026'!K2813)</f>
        <v/>
      </c>
      <c r="Q2813">
        <f>IF($A2813="","",IF(OR($E2813="INFRUCTUEUX",$E2813="ANNULE"),$A2813&amp;"|"&amp;(COUNTIFS($A$2:$A2813,$A2813,$E$2:$E2813,"INFRUCTUEUX")+COUNTIFS($A$2:$A2813,$A2813,$E$2:$E2813,"ANNULE")),""))</f>
        <v/>
      </c>
    </row>
    <row r="2814">
      <c r="A2814">
        <f>IF(ISBLANK('ENGAGEMENTS 2026'!C2814),"",IF('ENGAGEMENTS 2026'!C2814="DTSI","DCT",'ENGAGEMENTS 2026'!C2814))</f>
        <v/>
      </c>
      <c r="B2814">
        <f>IF(ISBLANK('ENGAGEMENTS 2026'!C2814),"",'ENGAGEMENTS 2026'!D2814)</f>
        <v/>
      </c>
      <c r="C2814">
        <f>IF(ISBLANK('ENGAGEMENTS 2026'!C2814),"",'ENGAGEMENTS 2026'!E2814)</f>
        <v/>
      </c>
      <c r="D2814">
        <f>IF(ISBLANK('ENGAGEMENTS 2026'!C2814),"",'ENGAGEMENTS 2026'!G2814)</f>
        <v/>
      </c>
      <c r="E2814">
        <f>IF(ISBLANK('ENGAGEMENTS 2026'!C2814),"",'ENGAGEMENTS 2026'!I2814)</f>
        <v/>
      </c>
      <c r="F2814">
        <f>IF(ISBLANK('ENGAGEMENTS 2026'!C2814),"",'ENGAGEMENTS 2026'!J2814)</f>
        <v/>
      </c>
      <c r="G2814">
        <f>IF(ISBLANK('ENGAGEMENTS 2026'!C2814),"",'ENGAGEMENTS 2026'!M2814)</f>
        <v/>
      </c>
      <c r="H2814">
        <f>IF(ISBLANK('ENGAGEMENTS 2026'!C2814),"",'ENGAGEMENTS 2026'!AF2814)</f>
        <v/>
      </c>
      <c r="I2814">
        <f>IF(ISBLANK('ENGAGEMENTS 2026'!C2814),"",'ENGAGEMENTS 2026'!H2814)</f>
        <v/>
      </c>
      <c r="J2814" s="275">
        <f>IF(ISBLANK('ENGAGEMENTS 2026'!C2814),"",IF(AND(OR($E2814="INFRUCTUEUX",$E2814="ANNULE"),$C2814="AOO-M"),'ENGAGEMENTS 2026'!P2814,IF($H2814="EN COURS DE PREENGAGEMENT",'ENGAGEMENTS 2026'!O2814,IF($H2814="PREENGAGE",IF($E2814="ATTRIBUE",'ENGAGEMENTS 2026'!AE2814,'ENGAGEMENTS 2026'!O2814),'ENGAGEMENTS 2026'!AE2814))))</f>
        <v/>
      </c>
      <c r="K2814" s="604">
        <f>IF(ISBLANK('ENGAGEMENTS 2026'!W2814),"",'ENGAGEMENTS 2026'!W2814)</f>
        <v/>
      </c>
      <c r="L2814" s="276">
        <f>IF($K2814="","",TODAY()-$K2814)</f>
        <v/>
      </c>
      <c r="M2814">
        <f>IF($A2814="","",IF($H2814="ENGAGE","Engagé",IF(AND($H2814="NON ENGAGE",OR($I2814="INFRUCTUEUX",$I2814="ANNULE")),"Clôturé sans suite","En cours")))</f>
        <v/>
      </c>
      <c r="N2814">
        <f>IF(ISBLANK('ENGAGEMENTS 2026'!C2814),"",'ENGAGEMENTS 2026'!L2814)</f>
        <v/>
      </c>
      <c r="O2814">
        <f>IF(ISBLANK('ENGAGEMENTS 2026'!C2814),"",'ENGAGEMENTS 2026'!M2814)</f>
        <v/>
      </c>
      <c r="P2814">
        <f>IF(ISBLANK('ENGAGEMENTS 2026'!C2814),"",'ENGAGEMENTS 2026'!K2814)</f>
        <v/>
      </c>
      <c r="Q2814">
        <f>IF($A2814="","",IF(OR($E2814="INFRUCTUEUX",$E2814="ANNULE"),$A2814&amp;"|"&amp;(COUNTIFS($A$2:$A2814,$A2814,$E$2:$E2814,"INFRUCTUEUX")+COUNTIFS($A$2:$A2814,$A2814,$E$2:$E2814,"ANNULE")),""))</f>
        <v/>
      </c>
    </row>
    <row r="2815">
      <c r="A2815">
        <f>IF(ISBLANK('ENGAGEMENTS 2026'!C2815),"",IF('ENGAGEMENTS 2026'!C2815="DTSI","DCT",'ENGAGEMENTS 2026'!C2815))</f>
        <v/>
      </c>
      <c r="B2815">
        <f>IF(ISBLANK('ENGAGEMENTS 2026'!C2815),"",'ENGAGEMENTS 2026'!D2815)</f>
        <v/>
      </c>
      <c r="C2815">
        <f>IF(ISBLANK('ENGAGEMENTS 2026'!C2815),"",'ENGAGEMENTS 2026'!E2815)</f>
        <v/>
      </c>
      <c r="D2815">
        <f>IF(ISBLANK('ENGAGEMENTS 2026'!C2815),"",'ENGAGEMENTS 2026'!G2815)</f>
        <v/>
      </c>
      <c r="E2815">
        <f>IF(ISBLANK('ENGAGEMENTS 2026'!C2815),"",'ENGAGEMENTS 2026'!I2815)</f>
        <v/>
      </c>
      <c r="F2815">
        <f>IF(ISBLANK('ENGAGEMENTS 2026'!C2815),"",'ENGAGEMENTS 2026'!J2815)</f>
        <v/>
      </c>
      <c r="G2815">
        <f>IF(ISBLANK('ENGAGEMENTS 2026'!C2815),"",'ENGAGEMENTS 2026'!M2815)</f>
        <v/>
      </c>
      <c r="H2815">
        <f>IF(ISBLANK('ENGAGEMENTS 2026'!C2815),"",'ENGAGEMENTS 2026'!AF2815)</f>
        <v/>
      </c>
      <c r="I2815">
        <f>IF(ISBLANK('ENGAGEMENTS 2026'!C2815),"",'ENGAGEMENTS 2026'!H2815)</f>
        <v/>
      </c>
      <c r="J2815" s="275">
        <f>IF(ISBLANK('ENGAGEMENTS 2026'!C2815),"",IF(AND(OR($E2815="INFRUCTUEUX",$E2815="ANNULE"),$C2815="AOO-M"),'ENGAGEMENTS 2026'!P2815,IF($H2815="EN COURS DE PREENGAGEMENT",'ENGAGEMENTS 2026'!O2815,IF($H2815="PREENGAGE",IF($E2815="ATTRIBUE",'ENGAGEMENTS 2026'!AE2815,'ENGAGEMENTS 2026'!O2815),'ENGAGEMENTS 2026'!AE2815))))</f>
        <v/>
      </c>
      <c r="K2815" s="604">
        <f>IF(ISBLANK('ENGAGEMENTS 2026'!W2815),"",'ENGAGEMENTS 2026'!W2815)</f>
        <v/>
      </c>
      <c r="L2815" s="276">
        <f>IF($K2815="","",TODAY()-$K2815)</f>
        <v/>
      </c>
      <c r="M2815">
        <f>IF($A2815="","",IF($H2815="ENGAGE","Engagé",IF(AND($H2815="NON ENGAGE",OR($I2815="INFRUCTUEUX",$I2815="ANNULE")),"Clôturé sans suite","En cours")))</f>
        <v/>
      </c>
      <c r="N2815">
        <f>IF(ISBLANK('ENGAGEMENTS 2026'!C2815),"",'ENGAGEMENTS 2026'!L2815)</f>
        <v/>
      </c>
      <c r="O2815">
        <f>IF(ISBLANK('ENGAGEMENTS 2026'!C2815),"",'ENGAGEMENTS 2026'!M2815)</f>
        <v/>
      </c>
      <c r="P2815">
        <f>IF(ISBLANK('ENGAGEMENTS 2026'!C2815),"",'ENGAGEMENTS 2026'!K2815)</f>
        <v/>
      </c>
      <c r="Q2815">
        <f>IF($A2815="","",IF(OR($E2815="INFRUCTUEUX",$E2815="ANNULE"),$A2815&amp;"|"&amp;(COUNTIFS($A$2:$A2815,$A2815,$E$2:$E2815,"INFRUCTUEUX")+COUNTIFS($A$2:$A2815,$A2815,$E$2:$E2815,"ANNULE")),""))</f>
        <v/>
      </c>
    </row>
    <row r="2816">
      <c r="A2816">
        <f>IF(ISBLANK('ENGAGEMENTS 2026'!C2816),"",IF('ENGAGEMENTS 2026'!C2816="DTSI","DCT",'ENGAGEMENTS 2026'!C2816))</f>
        <v/>
      </c>
      <c r="B2816">
        <f>IF(ISBLANK('ENGAGEMENTS 2026'!C2816),"",'ENGAGEMENTS 2026'!D2816)</f>
        <v/>
      </c>
      <c r="C2816">
        <f>IF(ISBLANK('ENGAGEMENTS 2026'!C2816),"",'ENGAGEMENTS 2026'!E2816)</f>
        <v/>
      </c>
      <c r="D2816">
        <f>IF(ISBLANK('ENGAGEMENTS 2026'!C2816),"",'ENGAGEMENTS 2026'!G2816)</f>
        <v/>
      </c>
      <c r="E2816">
        <f>IF(ISBLANK('ENGAGEMENTS 2026'!C2816),"",'ENGAGEMENTS 2026'!I2816)</f>
        <v/>
      </c>
      <c r="F2816">
        <f>IF(ISBLANK('ENGAGEMENTS 2026'!C2816),"",'ENGAGEMENTS 2026'!J2816)</f>
        <v/>
      </c>
      <c r="G2816">
        <f>IF(ISBLANK('ENGAGEMENTS 2026'!C2816),"",'ENGAGEMENTS 2026'!M2816)</f>
        <v/>
      </c>
      <c r="H2816">
        <f>IF(ISBLANK('ENGAGEMENTS 2026'!C2816),"",'ENGAGEMENTS 2026'!AF2816)</f>
        <v/>
      </c>
      <c r="I2816">
        <f>IF(ISBLANK('ENGAGEMENTS 2026'!C2816),"",'ENGAGEMENTS 2026'!H2816)</f>
        <v/>
      </c>
      <c r="J2816" s="275">
        <f>IF(ISBLANK('ENGAGEMENTS 2026'!C2816),"",IF(AND(OR($E2816="INFRUCTUEUX",$E2816="ANNULE"),$C2816="AOO-M"),'ENGAGEMENTS 2026'!P2816,IF($H2816="EN COURS DE PREENGAGEMENT",'ENGAGEMENTS 2026'!O2816,IF($H2816="PREENGAGE",IF($E2816="ATTRIBUE",'ENGAGEMENTS 2026'!AE2816,'ENGAGEMENTS 2026'!O2816),'ENGAGEMENTS 2026'!AE2816))))</f>
        <v/>
      </c>
      <c r="K2816" s="604">
        <f>IF(ISBLANK('ENGAGEMENTS 2026'!W2816),"",'ENGAGEMENTS 2026'!W2816)</f>
        <v/>
      </c>
      <c r="L2816" s="276">
        <f>IF($K2816="","",TODAY()-$K2816)</f>
        <v/>
      </c>
      <c r="M2816">
        <f>IF($A2816="","",IF($H2816="ENGAGE","Engagé",IF(AND($H2816="NON ENGAGE",OR($I2816="INFRUCTUEUX",$I2816="ANNULE")),"Clôturé sans suite","En cours")))</f>
        <v/>
      </c>
      <c r="N2816">
        <f>IF(ISBLANK('ENGAGEMENTS 2026'!C2816),"",'ENGAGEMENTS 2026'!L2816)</f>
        <v/>
      </c>
      <c r="O2816">
        <f>IF(ISBLANK('ENGAGEMENTS 2026'!C2816),"",'ENGAGEMENTS 2026'!M2816)</f>
        <v/>
      </c>
      <c r="P2816">
        <f>IF(ISBLANK('ENGAGEMENTS 2026'!C2816),"",'ENGAGEMENTS 2026'!K2816)</f>
        <v/>
      </c>
      <c r="Q2816">
        <f>IF($A2816="","",IF(OR($E2816="INFRUCTUEUX",$E2816="ANNULE"),$A2816&amp;"|"&amp;(COUNTIFS($A$2:$A2816,$A2816,$E$2:$E2816,"INFRUCTUEUX")+COUNTIFS($A$2:$A2816,$A2816,$E$2:$E2816,"ANNULE")),""))</f>
        <v/>
      </c>
    </row>
    <row r="2817">
      <c r="A2817">
        <f>IF(ISBLANK('ENGAGEMENTS 2026'!C2817),"",IF('ENGAGEMENTS 2026'!C2817="DTSI","DCT",'ENGAGEMENTS 2026'!C2817))</f>
        <v/>
      </c>
      <c r="B2817">
        <f>IF(ISBLANK('ENGAGEMENTS 2026'!C2817),"",'ENGAGEMENTS 2026'!D2817)</f>
        <v/>
      </c>
      <c r="C2817">
        <f>IF(ISBLANK('ENGAGEMENTS 2026'!C2817),"",'ENGAGEMENTS 2026'!E2817)</f>
        <v/>
      </c>
      <c r="D2817">
        <f>IF(ISBLANK('ENGAGEMENTS 2026'!C2817),"",'ENGAGEMENTS 2026'!G2817)</f>
        <v/>
      </c>
      <c r="E2817">
        <f>IF(ISBLANK('ENGAGEMENTS 2026'!C2817),"",'ENGAGEMENTS 2026'!I2817)</f>
        <v/>
      </c>
      <c r="F2817">
        <f>IF(ISBLANK('ENGAGEMENTS 2026'!C2817),"",'ENGAGEMENTS 2026'!J2817)</f>
        <v/>
      </c>
      <c r="G2817">
        <f>IF(ISBLANK('ENGAGEMENTS 2026'!C2817),"",'ENGAGEMENTS 2026'!M2817)</f>
        <v/>
      </c>
      <c r="H2817">
        <f>IF(ISBLANK('ENGAGEMENTS 2026'!C2817),"",'ENGAGEMENTS 2026'!AF2817)</f>
        <v/>
      </c>
      <c r="I2817">
        <f>IF(ISBLANK('ENGAGEMENTS 2026'!C2817),"",'ENGAGEMENTS 2026'!H2817)</f>
        <v/>
      </c>
      <c r="J2817" s="275">
        <f>IF(ISBLANK('ENGAGEMENTS 2026'!C2817),"",IF(AND(OR($E2817="INFRUCTUEUX",$E2817="ANNULE"),$C2817="AOO-M"),'ENGAGEMENTS 2026'!P2817,IF($H2817="EN COURS DE PREENGAGEMENT",'ENGAGEMENTS 2026'!O2817,IF($H2817="PREENGAGE",IF($E2817="ATTRIBUE",'ENGAGEMENTS 2026'!AE2817,'ENGAGEMENTS 2026'!O2817),'ENGAGEMENTS 2026'!AE2817))))</f>
        <v/>
      </c>
      <c r="K2817" s="604">
        <f>IF(ISBLANK('ENGAGEMENTS 2026'!W2817),"",'ENGAGEMENTS 2026'!W2817)</f>
        <v/>
      </c>
      <c r="L2817" s="276">
        <f>IF($K2817="","",TODAY()-$K2817)</f>
        <v/>
      </c>
      <c r="M2817">
        <f>IF($A2817="","",IF($H2817="ENGAGE","Engagé",IF(AND($H2817="NON ENGAGE",OR($I2817="INFRUCTUEUX",$I2817="ANNULE")),"Clôturé sans suite","En cours")))</f>
        <v/>
      </c>
      <c r="N2817">
        <f>IF(ISBLANK('ENGAGEMENTS 2026'!C2817),"",'ENGAGEMENTS 2026'!L2817)</f>
        <v/>
      </c>
      <c r="O2817">
        <f>IF(ISBLANK('ENGAGEMENTS 2026'!C2817),"",'ENGAGEMENTS 2026'!M2817)</f>
        <v/>
      </c>
      <c r="P2817">
        <f>IF(ISBLANK('ENGAGEMENTS 2026'!C2817),"",'ENGAGEMENTS 2026'!K2817)</f>
        <v/>
      </c>
      <c r="Q2817">
        <f>IF($A2817="","",IF(OR($E2817="INFRUCTUEUX",$E2817="ANNULE"),$A2817&amp;"|"&amp;(COUNTIFS($A$2:$A2817,$A2817,$E$2:$E2817,"INFRUCTUEUX")+COUNTIFS($A$2:$A2817,$A2817,$E$2:$E2817,"ANNULE")),""))</f>
        <v/>
      </c>
    </row>
    <row r="2818">
      <c r="A2818">
        <f>IF(ISBLANK('ENGAGEMENTS 2026'!C2818),"",IF('ENGAGEMENTS 2026'!C2818="DTSI","DCT",'ENGAGEMENTS 2026'!C2818))</f>
        <v/>
      </c>
      <c r="B2818">
        <f>IF(ISBLANK('ENGAGEMENTS 2026'!C2818),"",'ENGAGEMENTS 2026'!D2818)</f>
        <v/>
      </c>
      <c r="C2818">
        <f>IF(ISBLANK('ENGAGEMENTS 2026'!C2818),"",'ENGAGEMENTS 2026'!E2818)</f>
        <v/>
      </c>
      <c r="D2818">
        <f>IF(ISBLANK('ENGAGEMENTS 2026'!C2818),"",'ENGAGEMENTS 2026'!G2818)</f>
        <v/>
      </c>
      <c r="E2818">
        <f>IF(ISBLANK('ENGAGEMENTS 2026'!C2818),"",'ENGAGEMENTS 2026'!I2818)</f>
        <v/>
      </c>
      <c r="F2818">
        <f>IF(ISBLANK('ENGAGEMENTS 2026'!C2818),"",'ENGAGEMENTS 2026'!J2818)</f>
        <v/>
      </c>
      <c r="G2818">
        <f>IF(ISBLANK('ENGAGEMENTS 2026'!C2818),"",'ENGAGEMENTS 2026'!M2818)</f>
        <v/>
      </c>
      <c r="H2818">
        <f>IF(ISBLANK('ENGAGEMENTS 2026'!C2818),"",'ENGAGEMENTS 2026'!AF2818)</f>
        <v/>
      </c>
      <c r="I2818">
        <f>IF(ISBLANK('ENGAGEMENTS 2026'!C2818),"",'ENGAGEMENTS 2026'!H2818)</f>
        <v/>
      </c>
      <c r="J2818" s="275">
        <f>IF(ISBLANK('ENGAGEMENTS 2026'!C2818),"",IF(AND(OR($E2818="INFRUCTUEUX",$E2818="ANNULE"),$C2818="AOO-M"),'ENGAGEMENTS 2026'!P2818,IF($H2818="EN COURS DE PREENGAGEMENT",'ENGAGEMENTS 2026'!O2818,IF($H2818="PREENGAGE",IF($E2818="ATTRIBUE",'ENGAGEMENTS 2026'!AE2818,'ENGAGEMENTS 2026'!O2818),'ENGAGEMENTS 2026'!AE2818))))</f>
        <v/>
      </c>
      <c r="K2818" s="604">
        <f>IF(ISBLANK('ENGAGEMENTS 2026'!W2818),"",'ENGAGEMENTS 2026'!W2818)</f>
        <v/>
      </c>
      <c r="L2818" s="276">
        <f>IF($K2818="","",TODAY()-$K2818)</f>
        <v/>
      </c>
      <c r="M2818">
        <f>IF($A2818="","",IF($H2818="ENGAGE","Engagé",IF(AND($H2818="NON ENGAGE",OR($I2818="INFRUCTUEUX",$I2818="ANNULE")),"Clôturé sans suite","En cours")))</f>
        <v/>
      </c>
      <c r="N2818">
        <f>IF(ISBLANK('ENGAGEMENTS 2026'!C2818),"",'ENGAGEMENTS 2026'!L2818)</f>
        <v/>
      </c>
      <c r="O2818">
        <f>IF(ISBLANK('ENGAGEMENTS 2026'!C2818),"",'ENGAGEMENTS 2026'!M2818)</f>
        <v/>
      </c>
      <c r="P2818">
        <f>IF(ISBLANK('ENGAGEMENTS 2026'!C2818),"",'ENGAGEMENTS 2026'!K2818)</f>
        <v/>
      </c>
      <c r="Q2818">
        <f>IF($A2818="","",IF(OR($E2818="INFRUCTUEUX",$E2818="ANNULE"),$A2818&amp;"|"&amp;(COUNTIFS($A$2:$A2818,$A2818,$E$2:$E2818,"INFRUCTUEUX")+COUNTIFS($A$2:$A2818,$A2818,$E$2:$E2818,"ANNULE")),""))</f>
        <v/>
      </c>
    </row>
    <row r="2819">
      <c r="A2819">
        <f>IF(ISBLANK('ENGAGEMENTS 2026'!C2819),"",IF('ENGAGEMENTS 2026'!C2819="DTSI","DCT",'ENGAGEMENTS 2026'!C2819))</f>
        <v/>
      </c>
      <c r="B2819">
        <f>IF(ISBLANK('ENGAGEMENTS 2026'!C2819),"",'ENGAGEMENTS 2026'!D2819)</f>
        <v/>
      </c>
      <c r="C2819">
        <f>IF(ISBLANK('ENGAGEMENTS 2026'!C2819),"",'ENGAGEMENTS 2026'!E2819)</f>
        <v/>
      </c>
      <c r="D2819">
        <f>IF(ISBLANK('ENGAGEMENTS 2026'!C2819),"",'ENGAGEMENTS 2026'!G2819)</f>
        <v/>
      </c>
      <c r="E2819">
        <f>IF(ISBLANK('ENGAGEMENTS 2026'!C2819),"",'ENGAGEMENTS 2026'!I2819)</f>
        <v/>
      </c>
      <c r="F2819">
        <f>IF(ISBLANK('ENGAGEMENTS 2026'!C2819),"",'ENGAGEMENTS 2026'!J2819)</f>
        <v/>
      </c>
      <c r="G2819">
        <f>IF(ISBLANK('ENGAGEMENTS 2026'!C2819),"",'ENGAGEMENTS 2026'!M2819)</f>
        <v/>
      </c>
      <c r="H2819">
        <f>IF(ISBLANK('ENGAGEMENTS 2026'!C2819),"",'ENGAGEMENTS 2026'!AF2819)</f>
        <v/>
      </c>
      <c r="I2819">
        <f>IF(ISBLANK('ENGAGEMENTS 2026'!C2819),"",'ENGAGEMENTS 2026'!H2819)</f>
        <v/>
      </c>
      <c r="J2819" s="275">
        <f>IF(ISBLANK('ENGAGEMENTS 2026'!C2819),"",IF(AND(OR($E2819="INFRUCTUEUX",$E2819="ANNULE"),$C2819="AOO-M"),'ENGAGEMENTS 2026'!P2819,IF($H2819="EN COURS DE PREENGAGEMENT",'ENGAGEMENTS 2026'!O2819,IF($H2819="PREENGAGE",IF($E2819="ATTRIBUE",'ENGAGEMENTS 2026'!AE2819,'ENGAGEMENTS 2026'!O2819),'ENGAGEMENTS 2026'!AE2819))))</f>
        <v/>
      </c>
      <c r="K2819" s="604">
        <f>IF(ISBLANK('ENGAGEMENTS 2026'!W2819),"",'ENGAGEMENTS 2026'!W2819)</f>
        <v/>
      </c>
      <c r="L2819" s="276">
        <f>IF($K2819="","",TODAY()-$K2819)</f>
        <v/>
      </c>
      <c r="M2819">
        <f>IF($A2819="","",IF($H2819="ENGAGE","Engagé",IF(AND($H2819="NON ENGAGE",OR($I2819="INFRUCTUEUX",$I2819="ANNULE")),"Clôturé sans suite","En cours")))</f>
        <v/>
      </c>
      <c r="N2819">
        <f>IF(ISBLANK('ENGAGEMENTS 2026'!C2819),"",'ENGAGEMENTS 2026'!L2819)</f>
        <v/>
      </c>
      <c r="O2819">
        <f>IF(ISBLANK('ENGAGEMENTS 2026'!C2819),"",'ENGAGEMENTS 2026'!M2819)</f>
        <v/>
      </c>
      <c r="P2819">
        <f>IF(ISBLANK('ENGAGEMENTS 2026'!C2819),"",'ENGAGEMENTS 2026'!K2819)</f>
        <v/>
      </c>
      <c r="Q2819">
        <f>IF($A2819="","",IF(OR($E2819="INFRUCTUEUX",$E2819="ANNULE"),$A2819&amp;"|"&amp;(COUNTIFS($A$2:$A2819,$A2819,$E$2:$E2819,"INFRUCTUEUX")+COUNTIFS($A$2:$A2819,$A2819,$E$2:$E2819,"ANNULE")),""))</f>
        <v/>
      </c>
    </row>
    <row r="2820">
      <c r="A2820">
        <f>IF(ISBLANK('ENGAGEMENTS 2026'!C2820),"",IF('ENGAGEMENTS 2026'!C2820="DTSI","DCT",'ENGAGEMENTS 2026'!C2820))</f>
        <v/>
      </c>
      <c r="B2820">
        <f>IF(ISBLANK('ENGAGEMENTS 2026'!C2820),"",'ENGAGEMENTS 2026'!D2820)</f>
        <v/>
      </c>
      <c r="C2820">
        <f>IF(ISBLANK('ENGAGEMENTS 2026'!C2820),"",'ENGAGEMENTS 2026'!E2820)</f>
        <v/>
      </c>
      <c r="D2820">
        <f>IF(ISBLANK('ENGAGEMENTS 2026'!C2820),"",'ENGAGEMENTS 2026'!G2820)</f>
        <v/>
      </c>
      <c r="E2820">
        <f>IF(ISBLANK('ENGAGEMENTS 2026'!C2820),"",'ENGAGEMENTS 2026'!I2820)</f>
        <v/>
      </c>
      <c r="F2820">
        <f>IF(ISBLANK('ENGAGEMENTS 2026'!C2820),"",'ENGAGEMENTS 2026'!J2820)</f>
        <v/>
      </c>
      <c r="G2820">
        <f>IF(ISBLANK('ENGAGEMENTS 2026'!C2820),"",'ENGAGEMENTS 2026'!M2820)</f>
        <v/>
      </c>
      <c r="H2820">
        <f>IF(ISBLANK('ENGAGEMENTS 2026'!C2820),"",'ENGAGEMENTS 2026'!AF2820)</f>
        <v/>
      </c>
      <c r="I2820">
        <f>IF(ISBLANK('ENGAGEMENTS 2026'!C2820),"",'ENGAGEMENTS 2026'!H2820)</f>
        <v/>
      </c>
      <c r="J2820" s="275">
        <f>IF(ISBLANK('ENGAGEMENTS 2026'!C2820),"",IF(AND(OR($E2820="INFRUCTUEUX",$E2820="ANNULE"),$C2820="AOO-M"),'ENGAGEMENTS 2026'!P2820,IF($H2820="EN COURS DE PREENGAGEMENT",'ENGAGEMENTS 2026'!O2820,IF($H2820="PREENGAGE",IF($E2820="ATTRIBUE",'ENGAGEMENTS 2026'!AE2820,'ENGAGEMENTS 2026'!O2820),'ENGAGEMENTS 2026'!AE2820))))</f>
        <v/>
      </c>
      <c r="K2820" s="604">
        <f>IF(ISBLANK('ENGAGEMENTS 2026'!W2820),"",'ENGAGEMENTS 2026'!W2820)</f>
        <v/>
      </c>
      <c r="L2820" s="276">
        <f>IF($K2820="","",TODAY()-$K2820)</f>
        <v/>
      </c>
      <c r="M2820">
        <f>IF($A2820="","",IF($H2820="ENGAGE","Engagé",IF(AND($H2820="NON ENGAGE",OR($I2820="INFRUCTUEUX",$I2820="ANNULE")),"Clôturé sans suite","En cours")))</f>
        <v/>
      </c>
      <c r="N2820">
        <f>IF(ISBLANK('ENGAGEMENTS 2026'!C2820),"",'ENGAGEMENTS 2026'!L2820)</f>
        <v/>
      </c>
      <c r="O2820">
        <f>IF(ISBLANK('ENGAGEMENTS 2026'!C2820),"",'ENGAGEMENTS 2026'!M2820)</f>
        <v/>
      </c>
      <c r="P2820">
        <f>IF(ISBLANK('ENGAGEMENTS 2026'!C2820),"",'ENGAGEMENTS 2026'!K2820)</f>
        <v/>
      </c>
      <c r="Q2820">
        <f>IF($A2820="","",IF(OR($E2820="INFRUCTUEUX",$E2820="ANNULE"),$A2820&amp;"|"&amp;(COUNTIFS($A$2:$A2820,$A2820,$E$2:$E2820,"INFRUCTUEUX")+COUNTIFS($A$2:$A2820,$A2820,$E$2:$E2820,"ANNULE")),""))</f>
        <v/>
      </c>
    </row>
    <row r="2821">
      <c r="A2821">
        <f>IF(ISBLANK('ENGAGEMENTS 2026'!C2821),"",IF('ENGAGEMENTS 2026'!C2821="DTSI","DCT",'ENGAGEMENTS 2026'!C2821))</f>
        <v/>
      </c>
      <c r="B2821">
        <f>IF(ISBLANK('ENGAGEMENTS 2026'!C2821),"",'ENGAGEMENTS 2026'!D2821)</f>
        <v/>
      </c>
      <c r="C2821">
        <f>IF(ISBLANK('ENGAGEMENTS 2026'!C2821),"",'ENGAGEMENTS 2026'!E2821)</f>
        <v/>
      </c>
      <c r="D2821">
        <f>IF(ISBLANK('ENGAGEMENTS 2026'!C2821),"",'ENGAGEMENTS 2026'!G2821)</f>
        <v/>
      </c>
      <c r="E2821">
        <f>IF(ISBLANK('ENGAGEMENTS 2026'!C2821),"",'ENGAGEMENTS 2026'!I2821)</f>
        <v/>
      </c>
      <c r="F2821">
        <f>IF(ISBLANK('ENGAGEMENTS 2026'!C2821),"",'ENGAGEMENTS 2026'!J2821)</f>
        <v/>
      </c>
      <c r="G2821">
        <f>IF(ISBLANK('ENGAGEMENTS 2026'!C2821),"",'ENGAGEMENTS 2026'!M2821)</f>
        <v/>
      </c>
      <c r="H2821">
        <f>IF(ISBLANK('ENGAGEMENTS 2026'!C2821),"",'ENGAGEMENTS 2026'!AF2821)</f>
        <v/>
      </c>
      <c r="I2821">
        <f>IF(ISBLANK('ENGAGEMENTS 2026'!C2821),"",'ENGAGEMENTS 2026'!H2821)</f>
        <v/>
      </c>
      <c r="J2821" s="275">
        <f>IF(ISBLANK('ENGAGEMENTS 2026'!C2821),"",IF(AND(OR($E2821="INFRUCTUEUX",$E2821="ANNULE"),$C2821="AOO-M"),'ENGAGEMENTS 2026'!P2821,IF($H2821="EN COURS DE PREENGAGEMENT",'ENGAGEMENTS 2026'!O2821,IF($H2821="PREENGAGE",IF($E2821="ATTRIBUE",'ENGAGEMENTS 2026'!AE2821,'ENGAGEMENTS 2026'!O2821),'ENGAGEMENTS 2026'!AE2821))))</f>
        <v/>
      </c>
      <c r="K2821" s="604">
        <f>IF(ISBLANK('ENGAGEMENTS 2026'!W2821),"",'ENGAGEMENTS 2026'!W2821)</f>
        <v/>
      </c>
      <c r="L2821" s="276">
        <f>IF($K2821="","",TODAY()-$K2821)</f>
        <v/>
      </c>
      <c r="M2821">
        <f>IF($A2821="","",IF($H2821="ENGAGE","Engagé",IF(AND($H2821="NON ENGAGE",OR($I2821="INFRUCTUEUX",$I2821="ANNULE")),"Clôturé sans suite","En cours")))</f>
        <v/>
      </c>
      <c r="N2821">
        <f>IF(ISBLANK('ENGAGEMENTS 2026'!C2821),"",'ENGAGEMENTS 2026'!L2821)</f>
        <v/>
      </c>
      <c r="O2821">
        <f>IF(ISBLANK('ENGAGEMENTS 2026'!C2821),"",'ENGAGEMENTS 2026'!M2821)</f>
        <v/>
      </c>
      <c r="P2821">
        <f>IF(ISBLANK('ENGAGEMENTS 2026'!C2821),"",'ENGAGEMENTS 2026'!K2821)</f>
        <v/>
      </c>
      <c r="Q2821">
        <f>IF($A2821="","",IF(OR($E2821="INFRUCTUEUX",$E2821="ANNULE"),$A2821&amp;"|"&amp;(COUNTIFS($A$2:$A2821,$A2821,$E$2:$E2821,"INFRUCTUEUX")+COUNTIFS($A$2:$A2821,$A2821,$E$2:$E2821,"ANNULE")),""))</f>
        <v/>
      </c>
    </row>
    <row r="2822">
      <c r="A2822">
        <f>IF(ISBLANK('ENGAGEMENTS 2026'!C2822),"",IF('ENGAGEMENTS 2026'!C2822="DTSI","DCT",'ENGAGEMENTS 2026'!C2822))</f>
        <v/>
      </c>
      <c r="B2822">
        <f>IF(ISBLANK('ENGAGEMENTS 2026'!C2822),"",'ENGAGEMENTS 2026'!D2822)</f>
        <v/>
      </c>
      <c r="C2822">
        <f>IF(ISBLANK('ENGAGEMENTS 2026'!C2822),"",'ENGAGEMENTS 2026'!E2822)</f>
        <v/>
      </c>
      <c r="D2822">
        <f>IF(ISBLANK('ENGAGEMENTS 2026'!C2822),"",'ENGAGEMENTS 2026'!G2822)</f>
        <v/>
      </c>
      <c r="E2822">
        <f>IF(ISBLANK('ENGAGEMENTS 2026'!C2822),"",'ENGAGEMENTS 2026'!I2822)</f>
        <v/>
      </c>
      <c r="F2822">
        <f>IF(ISBLANK('ENGAGEMENTS 2026'!C2822),"",'ENGAGEMENTS 2026'!J2822)</f>
        <v/>
      </c>
      <c r="G2822">
        <f>IF(ISBLANK('ENGAGEMENTS 2026'!C2822),"",'ENGAGEMENTS 2026'!M2822)</f>
        <v/>
      </c>
      <c r="H2822">
        <f>IF(ISBLANK('ENGAGEMENTS 2026'!C2822),"",'ENGAGEMENTS 2026'!AF2822)</f>
        <v/>
      </c>
      <c r="I2822">
        <f>IF(ISBLANK('ENGAGEMENTS 2026'!C2822),"",'ENGAGEMENTS 2026'!H2822)</f>
        <v/>
      </c>
      <c r="J2822" s="275">
        <f>IF(ISBLANK('ENGAGEMENTS 2026'!C2822),"",IF(AND(OR($E2822="INFRUCTUEUX",$E2822="ANNULE"),$C2822="AOO-M"),'ENGAGEMENTS 2026'!P2822,IF($H2822="EN COURS DE PREENGAGEMENT",'ENGAGEMENTS 2026'!O2822,IF($H2822="PREENGAGE",IF($E2822="ATTRIBUE",'ENGAGEMENTS 2026'!AE2822,'ENGAGEMENTS 2026'!O2822),'ENGAGEMENTS 2026'!AE2822))))</f>
        <v/>
      </c>
      <c r="K2822" s="604">
        <f>IF(ISBLANK('ENGAGEMENTS 2026'!W2822),"",'ENGAGEMENTS 2026'!W2822)</f>
        <v/>
      </c>
      <c r="L2822" s="276">
        <f>IF($K2822="","",TODAY()-$K2822)</f>
        <v/>
      </c>
      <c r="M2822">
        <f>IF($A2822="","",IF($H2822="ENGAGE","Engagé",IF(AND($H2822="NON ENGAGE",OR($I2822="INFRUCTUEUX",$I2822="ANNULE")),"Clôturé sans suite","En cours")))</f>
        <v/>
      </c>
      <c r="N2822">
        <f>IF(ISBLANK('ENGAGEMENTS 2026'!C2822),"",'ENGAGEMENTS 2026'!L2822)</f>
        <v/>
      </c>
      <c r="O2822">
        <f>IF(ISBLANK('ENGAGEMENTS 2026'!C2822),"",'ENGAGEMENTS 2026'!M2822)</f>
        <v/>
      </c>
      <c r="P2822">
        <f>IF(ISBLANK('ENGAGEMENTS 2026'!C2822),"",'ENGAGEMENTS 2026'!K2822)</f>
        <v/>
      </c>
      <c r="Q2822">
        <f>IF($A2822="","",IF(OR($E2822="INFRUCTUEUX",$E2822="ANNULE"),$A2822&amp;"|"&amp;(COUNTIFS($A$2:$A2822,$A2822,$E$2:$E2822,"INFRUCTUEUX")+COUNTIFS($A$2:$A2822,$A2822,$E$2:$E2822,"ANNULE")),""))</f>
        <v/>
      </c>
    </row>
    <row r="2823">
      <c r="A2823">
        <f>IF(ISBLANK('ENGAGEMENTS 2026'!C2823),"",IF('ENGAGEMENTS 2026'!C2823="DTSI","DCT",'ENGAGEMENTS 2026'!C2823))</f>
        <v/>
      </c>
      <c r="B2823">
        <f>IF(ISBLANK('ENGAGEMENTS 2026'!C2823),"",'ENGAGEMENTS 2026'!D2823)</f>
        <v/>
      </c>
      <c r="C2823">
        <f>IF(ISBLANK('ENGAGEMENTS 2026'!C2823),"",'ENGAGEMENTS 2026'!E2823)</f>
        <v/>
      </c>
      <c r="D2823">
        <f>IF(ISBLANK('ENGAGEMENTS 2026'!C2823),"",'ENGAGEMENTS 2026'!G2823)</f>
        <v/>
      </c>
      <c r="E2823">
        <f>IF(ISBLANK('ENGAGEMENTS 2026'!C2823),"",'ENGAGEMENTS 2026'!I2823)</f>
        <v/>
      </c>
      <c r="F2823">
        <f>IF(ISBLANK('ENGAGEMENTS 2026'!C2823),"",'ENGAGEMENTS 2026'!J2823)</f>
        <v/>
      </c>
      <c r="G2823">
        <f>IF(ISBLANK('ENGAGEMENTS 2026'!C2823),"",'ENGAGEMENTS 2026'!M2823)</f>
        <v/>
      </c>
      <c r="H2823">
        <f>IF(ISBLANK('ENGAGEMENTS 2026'!C2823),"",'ENGAGEMENTS 2026'!AF2823)</f>
        <v/>
      </c>
      <c r="I2823">
        <f>IF(ISBLANK('ENGAGEMENTS 2026'!C2823),"",'ENGAGEMENTS 2026'!H2823)</f>
        <v/>
      </c>
      <c r="J2823" s="275">
        <f>IF(ISBLANK('ENGAGEMENTS 2026'!C2823),"",IF(AND(OR($E2823="INFRUCTUEUX",$E2823="ANNULE"),$C2823="AOO-M"),'ENGAGEMENTS 2026'!P2823,IF($H2823="EN COURS DE PREENGAGEMENT",'ENGAGEMENTS 2026'!O2823,IF($H2823="PREENGAGE",IF($E2823="ATTRIBUE",'ENGAGEMENTS 2026'!AE2823,'ENGAGEMENTS 2026'!O2823),'ENGAGEMENTS 2026'!AE2823))))</f>
        <v/>
      </c>
      <c r="K2823" s="604">
        <f>IF(ISBLANK('ENGAGEMENTS 2026'!W2823),"",'ENGAGEMENTS 2026'!W2823)</f>
        <v/>
      </c>
      <c r="L2823" s="276">
        <f>IF($K2823="","",TODAY()-$K2823)</f>
        <v/>
      </c>
      <c r="M2823">
        <f>IF($A2823="","",IF($H2823="ENGAGE","Engagé",IF(AND($H2823="NON ENGAGE",OR($I2823="INFRUCTUEUX",$I2823="ANNULE")),"Clôturé sans suite","En cours")))</f>
        <v/>
      </c>
      <c r="N2823">
        <f>IF(ISBLANK('ENGAGEMENTS 2026'!C2823),"",'ENGAGEMENTS 2026'!L2823)</f>
        <v/>
      </c>
      <c r="O2823">
        <f>IF(ISBLANK('ENGAGEMENTS 2026'!C2823),"",'ENGAGEMENTS 2026'!M2823)</f>
        <v/>
      </c>
      <c r="P2823">
        <f>IF(ISBLANK('ENGAGEMENTS 2026'!C2823),"",'ENGAGEMENTS 2026'!K2823)</f>
        <v/>
      </c>
      <c r="Q2823">
        <f>IF($A2823="","",IF(OR($E2823="INFRUCTUEUX",$E2823="ANNULE"),$A2823&amp;"|"&amp;(COUNTIFS($A$2:$A2823,$A2823,$E$2:$E2823,"INFRUCTUEUX")+COUNTIFS($A$2:$A2823,$A2823,$E$2:$E2823,"ANNULE")),""))</f>
        <v/>
      </c>
    </row>
    <row r="2824">
      <c r="A2824">
        <f>IF(ISBLANK('ENGAGEMENTS 2026'!C2824),"",IF('ENGAGEMENTS 2026'!C2824="DTSI","DCT",'ENGAGEMENTS 2026'!C2824))</f>
        <v/>
      </c>
      <c r="B2824">
        <f>IF(ISBLANK('ENGAGEMENTS 2026'!C2824),"",'ENGAGEMENTS 2026'!D2824)</f>
        <v/>
      </c>
      <c r="C2824">
        <f>IF(ISBLANK('ENGAGEMENTS 2026'!C2824),"",'ENGAGEMENTS 2026'!E2824)</f>
        <v/>
      </c>
      <c r="D2824">
        <f>IF(ISBLANK('ENGAGEMENTS 2026'!C2824),"",'ENGAGEMENTS 2026'!G2824)</f>
        <v/>
      </c>
      <c r="E2824">
        <f>IF(ISBLANK('ENGAGEMENTS 2026'!C2824),"",'ENGAGEMENTS 2026'!I2824)</f>
        <v/>
      </c>
      <c r="F2824">
        <f>IF(ISBLANK('ENGAGEMENTS 2026'!C2824),"",'ENGAGEMENTS 2026'!J2824)</f>
        <v/>
      </c>
      <c r="G2824">
        <f>IF(ISBLANK('ENGAGEMENTS 2026'!C2824),"",'ENGAGEMENTS 2026'!M2824)</f>
        <v/>
      </c>
      <c r="H2824">
        <f>IF(ISBLANK('ENGAGEMENTS 2026'!C2824),"",'ENGAGEMENTS 2026'!AF2824)</f>
        <v/>
      </c>
      <c r="I2824">
        <f>IF(ISBLANK('ENGAGEMENTS 2026'!C2824),"",'ENGAGEMENTS 2026'!H2824)</f>
        <v/>
      </c>
      <c r="J2824" s="275">
        <f>IF(ISBLANK('ENGAGEMENTS 2026'!C2824),"",IF(AND(OR($E2824="INFRUCTUEUX",$E2824="ANNULE"),$C2824="AOO-M"),'ENGAGEMENTS 2026'!P2824,IF($H2824="EN COURS DE PREENGAGEMENT",'ENGAGEMENTS 2026'!O2824,IF($H2824="PREENGAGE",IF($E2824="ATTRIBUE",'ENGAGEMENTS 2026'!AE2824,'ENGAGEMENTS 2026'!O2824),'ENGAGEMENTS 2026'!AE2824))))</f>
        <v/>
      </c>
      <c r="K2824" s="604">
        <f>IF(ISBLANK('ENGAGEMENTS 2026'!W2824),"",'ENGAGEMENTS 2026'!W2824)</f>
        <v/>
      </c>
      <c r="L2824" s="276">
        <f>IF($K2824="","",TODAY()-$K2824)</f>
        <v/>
      </c>
      <c r="M2824">
        <f>IF($A2824="","",IF($H2824="ENGAGE","Engagé",IF(AND($H2824="NON ENGAGE",OR($I2824="INFRUCTUEUX",$I2824="ANNULE")),"Clôturé sans suite","En cours")))</f>
        <v/>
      </c>
      <c r="N2824">
        <f>IF(ISBLANK('ENGAGEMENTS 2026'!C2824),"",'ENGAGEMENTS 2026'!L2824)</f>
        <v/>
      </c>
      <c r="O2824">
        <f>IF(ISBLANK('ENGAGEMENTS 2026'!C2824),"",'ENGAGEMENTS 2026'!M2824)</f>
        <v/>
      </c>
      <c r="P2824">
        <f>IF(ISBLANK('ENGAGEMENTS 2026'!C2824),"",'ENGAGEMENTS 2026'!K2824)</f>
        <v/>
      </c>
      <c r="Q2824">
        <f>IF($A2824="","",IF(OR($E2824="INFRUCTUEUX",$E2824="ANNULE"),$A2824&amp;"|"&amp;(COUNTIFS($A$2:$A2824,$A2824,$E$2:$E2824,"INFRUCTUEUX")+COUNTIFS($A$2:$A2824,$A2824,$E$2:$E2824,"ANNULE")),""))</f>
        <v/>
      </c>
    </row>
    <row r="2825">
      <c r="A2825">
        <f>IF(ISBLANK('ENGAGEMENTS 2026'!C2825),"",IF('ENGAGEMENTS 2026'!C2825="DTSI","DCT",'ENGAGEMENTS 2026'!C2825))</f>
        <v/>
      </c>
      <c r="B2825">
        <f>IF(ISBLANK('ENGAGEMENTS 2026'!C2825),"",'ENGAGEMENTS 2026'!D2825)</f>
        <v/>
      </c>
      <c r="C2825">
        <f>IF(ISBLANK('ENGAGEMENTS 2026'!C2825),"",'ENGAGEMENTS 2026'!E2825)</f>
        <v/>
      </c>
      <c r="D2825">
        <f>IF(ISBLANK('ENGAGEMENTS 2026'!C2825),"",'ENGAGEMENTS 2026'!G2825)</f>
        <v/>
      </c>
      <c r="E2825">
        <f>IF(ISBLANK('ENGAGEMENTS 2026'!C2825),"",'ENGAGEMENTS 2026'!I2825)</f>
        <v/>
      </c>
      <c r="F2825">
        <f>IF(ISBLANK('ENGAGEMENTS 2026'!C2825),"",'ENGAGEMENTS 2026'!J2825)</f>
        <v/>
      </c>
      <c r="G2825">
        <f>IF(ISBLANK('ENGAGEMENTS 2026'!C2825),"",'ENGAGEMENTS 2026'!M2825)</f>
        <v/>
      </c>
      <c r="H2825">
        <f>IF(ISBLANK('ENGAGEMENTS 2026'!C2825),"",'ENGAGEMENTS 2026'!AF2825)</f>
        <v/>
      </c>
      <c r="I2825">
        <f>IF(ISBLANK('ENGAGEMENTS 2026'!C2825),"",'ENGAGEMENTS 2026'!H2825)</f>
        <v/>
      </c>
      <c r="J2825" s="275">
        <f>IF(ISBLANK('ENGAGEMENTS 2026'!C2825),"",IF(AND(OR($E2825="INFRUCTUEUX",$E2825="ANNULE"),$C2825="AOO-M"),'ENGAGEMENTS 2026'!P2825,IF($H2825="EN COURS DE PREENGAGEMENT",'ENGAGEMENTS 2026'!O2825,IF($H2825="PREENGAGE",IF($E2825="ATTRIBUE",'ENGAGEMENTS 2026'!AE2825,'ENGAGEMENTS 2026'!O2825),'ENGAGEMENTS 2026'!AE2825))))</f>
        <v/>
      </c>
      <c r="K2825" s="604">
        <f>IF(ISBLANK('ENGAGEMENTS 2026'!W2825),"",'ENGAGEMENTS 2026'!W2825)</f>
        <v/>
      </c>
      <c r="L2825" s="276">
        <f>IF($K2825="","",TODAY()-$K2825)</f>
        <v/>
      </c>
      <c r="M2825">
        <f>IF($A2825="","",IF($H2825="ENGAGE","Engagé",IF(AND($H2825="NON ENGAGE",OR($I2825="INFRUCTUEUX",$I2825="ANNULE")),"Clôturé sans suite","En cours")))</f>
        <v/>
      </c>
      <c r="N2825">
        <f>IF(ISBLANK('ENGAGEMENTS 2026'!C2825),"",'ENGAGEMENTS 2026'!L2825)</f>
        <v/>
      </c>
      <c r="O2825">
        <f>IF(ISBLANK('ENGAGEMENTS 2026'!C2825),"",'ENGAGEMENTS 2026'!M2825)</f>
        <v/>
      </c>
      <c r="P2825">
        <f>IF(ISBLANK('ENGAGEMENTS 2026'!C2825),"",'ENGAGEMENTS 2026'!K2825)</f>
        <v/>
      </c>
      <c r="Q2825">
        <f>IF($A2825="","",IF(OR($E2825="INFRUCTUEUX",$E2825="ANNULE"),$A2825&amp;"|"&amp;(COUNTIFS($A$2:$A2825,$A2825,$E$2:$E2825,"INFRUCTUEUX")+COUNTIFS($A$2:$A2825,$A2825,$E$2:$E2825,"ANNULE")),""))</f>
        <v/>
      </c>
    </row>
    <row r="2826">
      <c r="A2826">
        <f>IF(ISBLANK('ENGAGEMENTS 2026'!C2826),"",IF('ENGAGEMENTS 2026'!C2826="DTSI","DCT",'ENGAGEMENTS 2026'!C2826))</f>
        <v/>
      </c>
      <c r="B2826">
        <f>IF(ISBLANK('ENGAGEMENTS 2026'!C2826),"",'ENGAGEMENTS 2026'!D2826)</f>
        <v/>
      </c>
      <c r="C2826">
        <f>IF(ISBLANK('ENGAGEMENTS 2026'!C2826),"",'ENGAGEMENTS 2026'!E2826)</f>
        <v/>
      </c>
      <c r="D2826">
        <f>IF(ISBLANK('ENGAGEMENTS 2026'!C2826),"",'ENGAGEMENTS 2026'!G2826)</f>
        <v/>
      </c>
      <c r="E2826">
        <f>IF(ISBLANK('ENGAGEMENTS 2026'!C2826),"",'ENGAGEMENTS 2026'!I2826)</f>
        <v/>
      </c>
      <c r="F2826">
        <f>IF(ISBLANK('ENGAGEMENTS 2026'!C2826),"",'ENGAGEMENTS 2026'!J2826)</f>
        <v/>
      </c>
      <c r="G2826">
        <f>IF(ISBLANK('ENGAGEMENTS 2026'!C2826),"",'ENGAGEMENTS 2026'!M2826)</f>
        <v/>
      </c>
      <c r="H2826">
        <f>IF(ISBLANK('ENGAGEMENTS 2026'!C2826),"",'ENGAGEMENTS 2026'!AF2826)</f>
        <v/>
      </c>
      <c r="I2826">
        <f>IF(ISBLANK('ENGAGEMENTS 2026'!C2826),"",'ENGAGEMENTS 2026'!H2826)</f>
        <v/>
      </c>
      <c r="J2826" s="275">
        <f>IF(ISBLANK('ENGAGEMENTS 2026'!C2826),"",IF(AND(OR($E2826="INFRUCTUEUX",$E2826="ANNULE"),$C2826="AOO-M"),'ENGAGEMENTS 2026'!P2826,IF($H2826="EN COURS DE PREENGAGEMENT",'ENGAGEMENTS 2026'!O2826,IF($H2826="PREENGAGE",IF($E2826="ATTRIBUE",'ENGAGEMENTS 2026'!AE2826,'ENGAGEMENTS 2026'!O2826),'ENGAGEMENTS 2026'!AE2826))))</f>
        <v/>
      </c>
      <c r="K2826" s="604">
        <f>IF(ISBLANK('ENGAGEMENTS 2026'!W2826),"",'ENGAGEMENTS 2026'!W2826)</f>
        <v/>
      </c>
      <c r="L2826" s="276">
        <f>IF($K2826="","",TODAY()-$K2826)</f>
        <v/>
      </c>
      <c r="M2826">
        <f>IF($A2826="","",IF($H2826="ENGAGE","Engagé",IF(AND($H2826="NON ENGAGE",OR($I2826="INFRUCTUEUX",$I2826="ANNULE")),"Clôturé sans suite","En cours")))</f>
        <v/>
      </c>
      <c r="N2826">
        <f>IF(ISBLANK('ENGAGEMENTS 2026'!C2826),"",'ENGAGEMENTS 2026'!L2826)</f>
        <v/>
      </c>
      <c r="O2826">
        <f>IF(ISBLANK('ENGAGEMENTS 2026'!C2826),"",'ENGAGEMENTS 2026'!M2826)</f>
        <v/>
      </c>
      <c r="P2826">
        <f>IF(ISBLANK('ENGAGEMENTS 2026'!C2826),"",'ENGAGEMENTS 2026'!K2826)</f>
        <v/>
      </c>
      <c r="Q2826">
        <f>IF($A2826="","",IF(OR($E2826="INFRUCTUEUX",$E2826="ANNULE"),$A2826&amp;"|"&amp;(COUNTIFS($A$2:$A2826,$A2826,$E$2:$E2826,"INFRUCTUEUX")+COUNTIFS($A$2:$A2826,$A2826,$E$2:$E2826,"ANNULE")),""))</f>
        <v/>
      </c>
    </row>
    <row r="2827">
      <c r="A2827">
        <f>IF(ISBLANK('ENGAGEMENTS 2026'!C2827),"",IF('ENGAGEMENTS 2026'!C2827="DTSI","DCT",'ENGAGEMENTS 2026'!C2827))</f>
        <v/>
      </c>
      <c r="B2827">
        <f>IF(ISBLANK('ENGAGEMENTS 2026'!C2827),"",'ENGAGEMENTS 2026'!D2827)</f>
        <v/>
      </c>
      <c r="C2827">
        <f>IF(ISBLANK('ENGAGEMENTS 2026'!C2827),"",'ENGAGEMENTS 2026'!E2827)</f>
        <v/>
      </c>
      <c r="D2827">
        <f>IF(ISBLANK('ENGAGEMENTS 2026'!C2827),"",'ENGAGEMENTS 2026'!G2827)</f>
        <v/>
      </c>
      <c r="E2827">
        <f>IF(ISBLANK('ENGAGEMENTS 2026'!C2827),"",'ENGAGEMENTS 2026'!I2827)</f>
        <v/>
      </c>
      <c r="F2827">
        <f>IF(ISBLANK('ENGAGEMENTS 2026'!C2827),"",'ENGAGEMENTS 2026'!J2827)</f>
        <v/>
      </c>
      <c r="G2827">
        <f>IF(ISBLANK('ENGAGEMENTS 2026'!C2827),"",'ENGAGEMENTS 2026'!M2827)</f>
        <v/>
      </c>
      <c r="H2827">
        <f>IF(ISBLANK('ENGAGEMENTS 2026'!C2827),"",'ENGAGEMENTS 2026'!AF2827)</f>
        <v/>
      </c>
      <c r="I2827">
        <f>IF(ISBLANK('ENGAGEMENTS 2026'!C2827),"",'ENGAGEMENTS 2026'!H2827)</f>
        <v/>
      </c>
      <c r="J2827" s="275">
        <f>IF(ISBLANK('ENGAGEMENTS 2026'!C2827),"",IF(AND(OR($E2827="INFRUCTUEUX",$E2827="ANNULE"),$C2827="AOO-M"),'ENGAGEMENTS 2026'!P2827,IF($H2827="EN COURS DE PREENGAGEMENT",'ENGAGEMENTS 2026'!O2827,IF($H2827="PREENGAGE",IF($E2827="ATTRIBUE",'ENGAGEMENTS 2026'!AE2827,'ENGAGEMENTS 2026'!O2827),'ENGAGEMENTS 2026'!AE2827))))</f>
        <v/>
      </c>
      <c r="K2827" s="604">
        <f>IF(ISBLANK('ENGAGEMENTS 2026'!W2827),"",'ENGAGEMENTS 2026'!W2827)</f>
        <v/>
      </c>
      <c r="L2827" s="276">
        <f>IF($K2827="","",TODAY()-$K2827)</f>
        <v/>
      </c>
      <c r="M2827">
        <f>IF($A2827="","",IF($H2827="ENGAGE","Engagé",IF(AND($H2827="NON ENGAGE",OR($I2827="INFRUCTUEUX",$I2827="ANNULE")),"Clôturé sans suite","En cours")))</f>
        <v/>
      </c>
      <c r="N2827">
        <f>IF(ISBLANK('ENGAGEMENTS 2026'!C2827),"",'ENGAGEMENTS 2026'!L2827)</f>
        <v/>
      </c>
      <c r="O2827">
        <f>IF(ISBLANK('ENGAGEMENTS 2026'!C2827),"",'ENGAGEMENTS 2026'!M2827)</f>
        <v/>
      </c>
      <c r="P2827">
        <f>IF(ISBLANK('ENGAGEMENTS 2026'!C2827),"",'ENGAGEMENTS 2026'!K2827)</f>
        <v/>
      </c>
      <c r="Q2827">
        <f>IF($A2827="","",IF(OR($E2827="INFRUCTUEUX",$E2827="ANNULE"),$A2827&amp;"|"&amp;(COUNTIFS($A$2:$A2827,$A2827,$E$2:$E2827,"INFRUCTUEUX")+COUNTIFS($A$2:$A2827,$A2827,$E$2:$E2827,"ANNULE")),""))</f>
        <v/>
      </c>
    </row>
    <row r="2828">
      <c r="A2828">
        <f>IF(ISBLANK('ENGAGEMENTS 2026'!C2828),"",IF('ENGAGEMENTS 2026'!C2828="DTSI","DCT",'ENGAGEMENTS 2026'!C2828))</f>
        <v/>
      </c>
      <c r="B2828">
        <f>IF(ISBLANK('ENGAGEMENTS 2026'!C2828),"",'ENGAGEMENTS 2026'!D2828)</f>
        <v/>
      </c>
      <c r="C2828">
        <f>IF(ISBLANK('ENGAGEMENTS 2026'!C2828),"",'ENGAGEMENTS 2026'!E2828)</f>
        <v/>
      </c>
      <c r="D2828">
        <f>IF(ISBLANK('ENGAGEMENTS 2026'!C2828),"",'ENGAGEMENTS 2026'!G2828)</f>
        <v/>
      </c>
      <c r="E2828">
        <f>IF(ISBLANK('ENGAGEMENTS 2026'!C2828),"",'ENGAGEMENTS 2026'!I2828)</f>
        <v/>
      </c>
      <c r="F2828">
        <f>IF(ISBLANK('ENGAGEMENTS 2026'!C2828),"",'ENGAGEMENTS 2026'!J2828)</f>
        <v/>
      </c>
      <c r="G2828">
        <f>IF(ISBLANK('ENGAGEMENTS 2026'!C2828),"",'ENGAGEMENTS 2026'!M2828)</f>
        <v/>
      </c>
      <c r="H2828">
        <f>IF(ISBLANK('ENGAGEMENTS 2026'!C2828),"",'ENGAGEMENTS 2026'!AF2828)</f>
        <v/>
      </c>
      <c r="I2828">
        <f>IF(ISBLANK('ENGAGEMENTS 2026'!C2828),"",'ENGAGEMENTS 2026'!H2828)</f>
        <v/>
      </c>
      <c r="J2828" s="275">
        <f>IF(ISBLANK('ENGAGEMENTS 2026'!C2828),"",IF(AND(OR($E2828="INFRUCTUEUX",$E2828="ANNULE"),$C2828="AOO-M"),'ENGAGEMENTS 2026'!P2828,IF($H2828="EN COURS DE PREENGAGEMENT",'ENGAGEMENTS 2026'!O2828,IF($H2828="PREENGAGE",IF($E2828="ATTRIBUE",'ENGAGEMENTS 2026'!AE2828,'ENGAGEMENTS 2026'!O2828),'ENGAGEMENTS 2026'!AE2828))))</f>
        <v/>
      </c>
      <c r="K2828" s="604">
        <f>IF(ISBLANK('ENGAGEMENTS 2026'!W2828),"",'ENGAGEMENTS 2026'!W2828)</f>
        <v/>
      </c>
      <c r="L2828" s="276">
        <f>IF($K2828="","",TODAY()-$K2828)</f>
        <v/>
      </c>
      <c r="M2828">
        <f>IF($A2828="","",IF($H2828="ENGAGE","Engagé",IF(AND($H2828="NON ENGAGE",OR($I2828="INFRUCTUEUX",$I2828="ANNULE")),"Clôturé sans suite","En cours")))</f>
        <v/>
      </c>
      <c r="N2828">
        <f>IF(ISBLANK('ENGAGEMENTS 2026'!C2828),"",'ENGAGEMENTS 2026'!L2828)</f>
        <v/>
      </c>
      <c r="O2828">
        <f>IF(ISBLANK('ENGAGEMENTS 2026'!C2828),"",'ENGAGEMENTS 2026'!M2828)</f>
        <v/>
      </c>
      <c r="P2828">
        <f>IF(ISBLANK('ENGAGEMENTS 2026'!C2828),"",'ENGAGEMENTS 2026'!K2828)</f>
        <v/>
      </c>
      <c r="Q2828">
        <f>IF($A2828="","",IF(OR($E2828="INFRUCTUEUX",$E2828="ANNULE"),$A2828&amp;"|"&amp;(COUNTIFS($A$2:$A2828,$A2828,$E$2:$E2828,"INFRUCTUEUX")+COUNTIFS($A$2:$A2828,$A2828,$E$2:$E2828,"ANNULE")),""))</f>
        <v/>
      </c>
    </row>
    <row r="2829">
      <c r="A2829">
        <f>IF(ISBLANK('ENGAGEMENTS 2026'!C2829),"",IF('ENGAGEMENTS 2026'!C2829="DTSI","DCT",'ENGAGEMENTS 2026'!C2829))</f>
        <v/>
      </c>
      <c r="B2829">
        <f>IF(ISBLANK('ENGAGEMENTS 2026'!C2829),"",'ENGAGEMENTS 2026'!D2829)</f>
        <v/>
      </c>
      <c r="C2829">
        <f>IF(ISBLANK('ENGAGEMENTS 2026'!C2829),"",'ENGAGEMENTS 2026'!E2829)</f>
        <v/>
      </c>
      <c r="D2829">
        <f>IF(ISBLANK('ENGAGEMENTS 2026'!C2829),"",'ENGAGEMENTS 2026'!G2829)</f>
        <v/>
      </c>
      <c r="E2829">
        <f>IF(ISBLANK('ENGAGEMENTS 2026'!C2829),"",'ENGAGEMENTS 2026'!I2829)</f>
        <v/>
      </c>
      <c r="F2829">
        <f>IF(ISBLANK('ENGAGEMENTS 2026'!C2829),"",'ENGAGEMENTS 2026'!J2829)</f>
        <v/>
      </c>
      <c r="G2829">
        <f>IF(ISBLANK('ENGAGEMENTS 2026'!C2829),"",'ENGAGEMENTS 2026'!M2829)</f>
        <v/>
      </c>
      <c r="H2829">
        <f>IF(ISBLANK('ENGAGEMENTS 2026'!C2829),"",'ENGAGEMENTS 2026'!AF2829)</f>
        <v/>
      </c>
      <c r="I2829">
        <f>IF(ISBLANK('ENGAGEMENTS 2026'!C2829),"",'ENGAGEMENTS 2026'!H2829)</f>
        <v/>
      </c>
      <c r="J2829" s="275">
        <f>IF(ISBLANK('ENGAGEMENTS 2026'!C2829),"",IF(AND(OR($E2829="INFRUCTUEUX",$E2829="ANNULE"),$C2829="AOO-M"),'ENGAGEMENTS 2026'!P2829,IF($H2829="EN COURS DE PREENGAGEMENT",'ENGAGEMENTS 2026'!O2829,IF($H2829="PREENGAGE",IF($E2829="ATTRIBUE",'ENGAGEMENTS 2026'!AE2829,'ENGAGEMENTS 2026'!O2829),'ENGAGEMENTS 2026'!AE2829))))</f>
        <v/>
      </c>
      <c r="K2829" s="604">
        <f>IF(ISBLANK('ENGAGEMENTS 2026'!W2829),"",'ENGAGEMENTS 2026'!W2829)</f>
        <v/>
      </c>
      <c r="L2829" s="276">
        <f>IF($K2829="","",TODAY()-$K2829)</f>
        <v/>
      </c>
      <c r="M2829">
        <f>IF($A2829="","",IF($H2829="ENGAGE","Engagé",IF(AND($H2829="NON ENGAGE",OR($I2829="INFRUCTUEUX",$I2829="ANNULE")),"Clôturé sans suite","En cours")))</f>
        <v/>
      </c>
      <c r="N2829">
        <f>IF(ISBLANK('ENGAGEMENTS 2026'!C2829),"",'ENGAGEMENTS 2026'!L2829)</f>
        <v/>
      </c>
      <c r="O2829">
        <f>IF(ISBLANK('ENGAGEMENTS 2026'!C2829),"",'ENGAGEMENTS 2026'!M2829)</f>
        <v/>
      </c>
      <c r="P2829">
        <f>IF(ISBLANK('ENGAGEMENTS 2026'!C2829),"",'ENGAGEMENTS 2026'!K2829)</f>
        <v/>
      </c>
      <c r="Q2829">
        <f>IF($A2829="","",IF(OR($E2829="INFRUCTUEUX",$E2829="ANNULE"),$A2829&amp;"|"&amp;(COUNTIFS($A$2:$A2829,$A2829,$E$2:$E2829,"INFRUCTUEUX")+COUNTIFS($A$2:$A2829,$A2829,$E$2:$E2829,"ANNULE")),""))</f>
        <v/>
      </c>
    </row>
    <row r="2830">
      <c r="A2830">
        <f>IF(ISBLANK('ENGAGEMENTS 2026'!C2830),"",IF('ENGAGEMENTS 2026'!C2830="DTSI","DCT",'ENGAGEMENTS 2026'!C2830))</f>
        <v/>
      </c>
      <c r="B2830">
        <f>IF(ISBLANK('ENGAGEMENTS 2026'!C2830),"",'ENGAGEMENTS 2026'!D2830)</f>
        <v/>
      </c>
      <c r="C2830">
        <f>IF(ISBLANK('ENGAGEMENTS 2026'!C2830),"",'ENGAGEMENTS 2026'!E2830)</f>
        <v/>
      </c>
      <c r="D2830">
        <f>IF(ISBLANK('ENGAGEMENTS 2026'!C2830),"",'ENGAGEMENTS 2026'!G2830)</f>
        <v/>
      </c>
      <c r="E2830">
        <f>IF(ISBLANK('ENGAGEMENTS 2026'!C2830),"",'ENGAGEMENTS 2026'!I2830)</f>
        <v/>
      </c>
      <c r="F2830">
        <f>IF(ISBLANK('ENGAGEMENTS 2026'!C2830),"",'ENGAGEMENTS 2026'!J2830)</f>
        <v/>
      </c>
      <c r="G2830">
        <f>IF(ISBLANK('ENGAGEMENTS 2026'!C2830),"",'ENGAGEMENTS 2026'!M2830)</f>
        <v/>
      </c>
      <c r="H2830">
        <f>IF(ISBLANK('ENGAGEMENTS 2026'!C2830),"",'ENGAGEMENTS 2026'!AF2830)</f>
        <v/>
      </c>
      <c r="I2830">
        <f>IF(ISBLANK('ENGAGEMENTS 2026'!C2830),"",'ENGAGEMENTS 2026'!H2830)</f>
        <v/>
      </c>
      <c r="J2830" s="275">
        <f>IF(ISBLANK('ENGAGEMENTS 2026'!C2830),"",IF(AND(OR($E2830="INFRUCTUEUX",$E2830="ANNULE"),$C2830="AOO-M"),'ENGAGEMENTS 2026'!P2830,IF($H2830="EN COURS DE PREENGAGEMENT",'ENGAGEMENTS 2026'!O2830,IF($H2830="PREENGAGE",IF($E2830="ATTRIBUE",'ENGAGEMENTS 2026'!AE2830,'ENGAGEMENTS 2026'!O2830),'ENGAGEMENTS 2026'!AE2830))))</f>
        <v/>
      </c>
      <c r="K2830" s="604">
        <f>IF(ISBLANK('ENGAGEMENTS 2026'!W2830),"",'ENGAGEMENTS 2026'!W2830)</f>
        <v/>
      </c>
      <c r="L2830" s="276">
        <f>IF($K2830="","",TODAY()-$K2830)</f>
        <v/>
      </c>
      <c r="M2830">
        <f>IF($A2830="","",IF($H2830="ENGAGE","Engagé",IF(AND($H2830="NON ENGAGE",OR($I2830="INFRUCTUEUX",$I2830="ANNULE")),"Clôturé sans suite","En cours")))</f>
        <v/>
      </c>
      <c r="N2830">
        <f>IF(ISBLANK('ENGAGEMENTS 2026'!C2830),"",'ENGAGEMENTS 2026'!L2830)</f>
        <v/>
      </c>
      <c r="O2830">
        <f>IF(ISBLANK('ENGAGEMENTS 2026'!C2830),"",'ENGAGEMENTS 2026'!M2830)</f>
        <v/>
      </c>
      <c r="P2830">
        <f>IF(ISBLANK('ENGAGEMENTS 2026'!C2830),"",'ENGAGEMENTS 2026'!K2830)</f>
        <v/>
      </c>
      <c r="Q2830">
        <f>IF($A2830="","",IF(OR($E2830="INFRUCTUEUX",$E2830="ANNULE"),$A2830&amp;"|"&amp;(COUNTIFS($A$2:$A2830,$A2830,$E$2:$E2830,"INFRUCTUEUX")+COUNTIFS($A$2:$A2830,$A2830,$E$2:$E2830,"ANNULE")),""))</f>
        <v/>
      </c>
    </row>
    <row r="2831">
      <c r="A2831">
        <f>IF(ISBLANK('ENGAGEMENTS 2026'!C2831),"",IF('ENGAGEMENTS 2026'!C2831="DTSI","DCT",'ENGAGEMENTS 2026'!C2831))</f>
        <v/>
      </c>
      <c r="B2831">
        <f>IF(ISBLANK('ENGAGEMENTS 2026'!C2831),"",'ENGAGEMENTS 2026'!D2831)</f>
        <v/>
      </c>
      <c r="C2831">
        <f>IF(ISBLANK('ENGAGEMENTS 2026'!C2831),"",'ENGAGEMENTS 2026'!E2831)</f>
        <v/>
      </c>
      <c r="D2831">
        <f>IF(ISBLANK('ENGAGEMENTS 2026'!C2831),"",'ENGAGEMENTS 2026'!G2831)</f>
        <v/>
      </c>
      <c r="E2831">
        <f>IF(ISBLANK('ENGAGEMENTS 2026'!C2831),"",'ENGAGEMENTS 2026'!I2831)</f>
        <v/>
      </c>
      <c r="F2831">
        <f>IF(ISBLANK('ENGAGEMENTS 2026'!C2831),"",'ENGAGEMENTS 2026'!J2831)</f>
        <v/>
      </c>
      <c r="G2831">
        <f>IF(ISBLANK('ENGAGEMENTS 2026'!C2831),"",'ENGAGEMENTS 2026'!M2831)</f>
        <v/>
      </c>
      <c r="H2831">
        <f>IF(ISBLANK('ENGAGEMENTS 2026'!C2831),"",'ENGAGEMENTS 2026'!AF2831)</f>
        <v/>
      </c>
      <c r="I2831">
        <f>IF(ISBLANK('ENGAGEMENTS 2026'!C2831),"",'ENGAGEMENTS 2026'!H2831)</f>
        <v/>
      </c>
      <c r="J2831" s="275">
        <f>IF(ISBLANK('ENGAGEMENTS 2026'!C2831),"",IF(AND(OR($E2831="INFRUCTUEUX",$E2831="ANNULE"),$C2831="AOO-M"),'ENGAGEMENTS 2026'!P2831,IF($H2831="EN COURS DE PREENGAGEMENT",'ENGAGEMENTS 2026'!O2831,IF($H2831="PREENGAGE",IF($E2831="ATTRIBUE",'ENGAGEMENTS 2026'!AE2831,'ENGAGEMENTS 2026'!O2831),'ENGAGEMENTS 2026'!AE2831))))</f>
        <v/>
      </c>
      <c r="K2831" s="604">
        <f>IF(ISBLANK('ENGAGEMENTS 2026'!W2831),"",'ENGAGEMENTS 2026'!W2831)</f>
        <v/>
      </c>
      <c r="L2831" s="276">
        <f>IF($K2831="","",TODAY()-$K2831)</f>
        <v/>
      </c>
      <c r="M2831">
        <f>IF($A2831="","",IF($H2831="ENGAGE","Engagé",IF(AND($H2831="NON ENGAGE",OR($I2831="INFRUCTUEUX",$I2831="ANNULE")),"Clôturé sans suite","En cours")))</f>
        <v/>
      </c>
      <c r="N2831">
        <f>IF(ISBLANK('ENGAGEMENTS 2026'!C2831),"",'ENGAGEMENTS 2026'!L2831)</f>
        <v/>
      </c>
      <c r="O2831">
        <f>IF(ISBLANK('ENGAGEMENTS 2026'!C2831),"",'ENGAGEMENTS 2026'!M2831)</f>
        <v/>
      </c>
      <c r="P2831">
        <f>IF(ISBLANK('ENGAGEMENTS 2026'!C2831),"",'ENGAGEMENTS 2026'!K2831)</f>
        <v/>
      </c>
      <c r="Q2831">
        <f>IF($A2831="","",IF(OR($E2831="INFRUCTUEUX",$E2831="ANNULE"),$A2831&amp;"|"&amp;(COUNTIFS($A$2:$A2831,$A2831,$E$2:$E2831,"INFRUCTUEUX")+COUNTIFS($A$2:$A2831,$A2831,$E$2:$E2831,"ANNULE")),""))</f>
        <v/>
      </c>
    </row>
    <row r="2832">
      <c r="A2832">
        <f>IF(ISBLANK('ENGAGEMENTS 2026'!C2832),"",IF('ENGAGEMENTS 2026'!C2832="DTSI","DCT",'ENGAGEMENTS 2026'!C2832))</f>
        <v/>
      </c>
      <c r="B2832">
        <f>IF(ISBLANK('ENGAGEMENTS 2026'!C2832),"",'ENGAGEMENTS 2026'!D2832)</f>
        <v/>
      </c>
      <c r="C2832">
        <f>IF(ISBLANK('ENGAGEMENTS 2026'!C2832),"",'ENGAGEMENTS 2026'!E2832)</f>
        <v/>
      </c>
      <c r="D2832">
        <f>IF(ISBLANK('ENGAGEMENTS 2026'!C2832),"",'ENGAGEMENTS 2026'!G2832)</f>
        <v/>
      </c>
      <c r="E2832">
        <f>IF(ISBLANK('ENGAGEMENTS 2026'!C2832),"",'ENGAGEMENTS 2026'!I2832)</f>
        <v/>
      </c>
      <c r="F2832">
        <f>IF(ISBLANK('ENGAGEMENTS 2026'!C2832),"",'ENGAGEMENTS 2026'!J2832)</f>
        <v/>
      </c>
      <c r="G2832">
        <f>IF(ISBLANK('ENGAGEMENTS 2026'!C2832),"",'ENGAGEMENTS 2026'!M2832)</f>
        <v/>
      </c>
      <c r="H2832">
        <f>IF(ISBLANK('ENGAGEMENTS 2026'!C2832),"",'ENGAGEMENTS 2026'!AF2832)</f>
        <v/>
      </c>
      <c r="I2832">
        <f>IF(ISBLANK('ENGAGEMENTS 2026'!C2832),"",'ENGAGEMENTS 2026'!H2832)</f>
        <v/>
      </c>
      <c r="J2832" s="275">
        <f>IF(ISBLANK('ENGAGEMENTS 2026'!C2832),"",IF(AND(OR($E2832="INFRUCTUEUX",$E2832="ANNULE"),$C2832="AOO-M"),'ENGAGEMENTS 2026'!P2832,IF($H2832="EN COURS DE PREENGAGEMENT",'ENGAGEMENTS 2026'!O2832,IF($H2832="PREENGAGE",IF($E2832="ATTRIBUE",'ENGAGEMENTS 2026'!AE2832,'ENGAGEMENTS 2026'!O2832),'ENGAGEMENTS 2026'!AE2832))))</f>
        <v/>
      </c>
      <c r="K2832" s="604">
        <f>IF(ISBLANK('ENGAGEMENTS 2026'!W2832),"",'ENGAGEMENTS 2026'!W2832)</f>
        <v/>
      </c>
      <c r="L2832" s="276">
        <f>IF($K2832="","",TODAY()-$K2832)</f>
        <v/>
      </c>
      <c r="M2832">
        <f>IF($A2832="","",IF($H2832="ENGAGE","Engagé",IF(AND($H2832="NON ENGAGE",OR($I2832="INFRUCTUEUX",$I2832="ANNULE")),"Clôturé sans suite","En cours")))</f>
        <v/>
      </c>
      <c r="N2832">
        <f>IF(ISBLANK('ENGAGEMENTS 2026'!C2832),"",'ENGAGEMENTS 2026'!L2832)</f>
        <v/>
      </c>
      <c r="O2832">
        <f>IF(ISBLANK('ENGAGEMENTS 2026'!C2832),"",'ENGAGEMENTS 2026'!M2832)</f>
        <v/>
      </c>
      <c r="P2832">
        <f>IF(ISBLANK('ENGAGEMENTS 2026'!C2832),"",'ENGAGEMENTS 2026'!K2832)</f>
        <v/>
      </c>
      <c r="Q2832">
        <f>IF($A2832="","",IF(OR($E2832="INFRUCTUEUX",$E2832="ANNULE"),$A2832&amp;"|"&amp;(COUNTIFS($A$2:$A2832,$A2832,$E$2:$E2832,"INFRUCTUEUX")+COUNTIFS($A$2:$A2832,$A2832,$E$2:$E2832,"ANNULE")),""))</f>
        <v/>
      </c>
    </row>
    <row r="2833">
      <c r="A2833">
        <f>IF(ISBLANK('ENGAGEMENTS 2026'!C2833),"",IF('ENGAGEMENTS 2026'!C2833="DTSI","DCT",'ENGAGEMENTS 2026'!C2833))</f>
        <v/>
      </c>
      <c r="B2833">
        <f>IF(ISBLANK('ENGAGEMENTS 2026'!C2833),"",'ENGAGEMENTS 2026'!D2833)</f>
        <v/>
      </c>
      <c r="C2833">
        <f>IF(ISBLANK('ENGAGEMENTS 2026'!C2833),"",'ENGAGEMENTS 2026'!E2833)</f>
        <v/>
      </c>
      <c r="D2833">
        <f>IF(ISBLANK('ENGAGEMENTS 2026'!C2833),"",'ENGAGEMENTS 2026'!G2833)</f>
        <v/>
      </c>
      <c r="E2833">
        <f>IF(ISBLANK('ENGAGEMENTS 2026'!C2833),"",'ENGAGEMENTS 2026'!I2833)</f>
        <v/>
      </c>
      <c r="F2833">
        <f>IF(ISBLANK('ENGAGEMENTS 2026'!C2833),"",'ENGAGEMENTS 2026'!J2833)</f>
        <v/>
      </c>
      <c r="G2833">
        <f>IF(ISBLANK('ENGAGEMENTS 2026'!C2833),"",'ENGAGEMENTS 2026'!M2833)</f>
        <v/>
      </c>
      <c r="H2833">
        <f>IF(ISBLANK('ENGAGEMENTS 2026'!C2833),"",'ENGAGEMENTS 2026'!AF2833)</f>
        <v/>
      </c>
      <c r="I2833">
        <f>IF(ISBLANK('ENGAGEMENTS 2026'!C2833),"",'ENGAGEMENTS 2026'!H2833)</f>
        <v/>
      </c>
      <c r="J2833" s="275">
        <f>IF(ISBLANK('ENGAGEMENTS 2026'!C2833),"",IF(AND(OR($E2833="INFRUCTUEUX",$E2833="ANNULE"),$C2833="AOO-M"),'ENGAGEMENTS 2026'!P2833,IF($H2833="EN COURS DE PREENGAGEMENT",'ENGAGEMENTS 2026'!O2833,IF($H2833="PREENGAGE",IF($E2833="ATTRIBUE",'ENGAGEMENTS 2026'!AE2833,'ENGAGEMENTS 2026'!O2833),'ENGAGEMENTS 2026'!AE2833))))</f>
        <v/>
      </c>
      <c r="K2833" s="604">
        <f>IF(ISBLANK('ENGAGEMENTS 2026'!W2833),"",'ENGAGEMENTS 2026'!W2833)</f>
        <v/>
      </c>
      <c r="L2833" s="276">
        <f>IF($K2833="","",TODAY()-$K2833)</f>
        <v/>
      </c>
      <c r="M2833">
        <f>IF($A2833="","",IF($H2833="ENGAGE","Engagé",IF(AND($H2833="NON ENGAGE",OR($I2833="INFRUCTUEUX",$I2833="ANNULE")),"Clôturé sans suite","En cours")))</f>
        <v/>
      </c>
      <c r="N2833">
        <f>IF(ISBLANK('ENGAGEMENTS 2026'!C2833),"",'ENGAGEMENTS 2026'!L2833)</f>
        <v/>
      </c>
      <c r="O2833">
        <f>IF(ISBLANK('ENGAGEMENTS 2026'!C2833),"",'ENGAGEMENTS 2026'!M2833)</f>
        <v/>
      </c>
      <c r="P2833">
        <f>IF(ISBLANK('ENGAGEMENTS 2026'!C2833),"",'ENGAGEMENTS 2026'!K2833)</f>
        <v/>
      </c>
      <c r="Q2833">
        <f>IF($A2833="","",IF(OR($E2833="INFRUCTUEUX",$E2833="ANNULE"),$A2833&amp;"|"&amp;(COUNTIFS($A$2:$A2833,$A2833,$E$2:$E2833,"INFRUCTUEUX")+COUNTIFS($A$2:$A2833,$A2833,$E$2:$E2833,"ANNULE")),""))</f>
        <v/>
      </c>
    </row>
    <row r="2834">
      <c r="A2834">
        <f>IF(ISBLANK('ENGAGEMENTS 2026'!C2834),"",IF('ENGAGEMENTS 2026'!C2834="DTSI","DCT",'ENGAGEMENTS 2026'!C2834))</f>
        <v/>
      </c>
      <c r="B2834">
        <f>IF(ISBLANK('ENGAGEMENTS 2026'!C2834),"",'ENGAGEMENTS 2026'!D2834)</f>
        <v/>
      </c>
      <c r="C2834">
        <f>IF(ISBLANK('ENGAGEMENTS 2026'!C2834),"",'ENGAGEMENTS 2026'!E2834)</f>
        <v/>
      </c>
      <c r="D2834">
        <f>IF(ISBLANK('ENGAGEMENTS 2026'!C2834),"",'ENGAGEMENTS 2026'!G2834)</f>
        <v/>
      </c>
      <c r="E2834">
        <f>IF(ISBLANK('ENGAGEMENTS 2026'!C2834),"",'ENGAGEMENTS 2026'!I2834)</f>
        <v/>
      </c>
      <c r="F2834">
        <f>IF(ISBLANK('ENGAGEMENTS 2026'!C2834),"",'ENGAGEMENTS 2026'!J2834)</f>
        <v/>
      </c>
      <c r="G2834">
        <f>IF(ISBLANK('ENGAGEMENTS 2026'!C2834),"",'ENGAGEMENTS 2026'!M2834)</f>
        <v/>
      </c>
      <c r="H2834">
        <f>IF(ISBLANK('ENGAGEMENTS 2026'!C2834),"",'ENGAGEMENTS 2026'!AF2834)</f>
        <v/>
      </c>
      <c r="I2834">
        <f>IF(ISBLANK('ENGAGEMENTS 2026'!C2834),"",'ENGAGEMENTS 2026'!H2834)</f>
        <v/>
      </c>
      <c r="J2834" s="275">
        <f>IF(ISBLANK('ENGAGEMENTS 2026'!C2834),"",IF(AND(OR($E2834="INFRUCTUEUX",$E2834="ANNULE"),$C2834="AOO-M"),'ENGAGEMENTS 2026'!P2834,IF($H2834="EN COURS DE PREENGAGEMENT",'ENGAGEMENTS 2026'!O2834,IF($H2834="PREENGAGE",IF($E2834="ATTRIBUE",'ENGAGEMENTS 2026'!AE2834,'ENGAGEMENTS 2026'!O2834),'ENGAGEMENTS 2026'!AE2834))))</f>
        <v/>
      </c>
      <c r="K2834" s="604">
        <f>IF(ISBLANK('ENGAGEMENTS 2026'!W2834),"",'ENGAGEMENTS 2026'!W2834)</f>
        <v/>
      </c>
      <c r="L2834" s="276">
        <f>IF($K2834="","",TODAY()-$K2834)</f>
        <v/>
      </c>
      <c r="M2834">
        <f>IF($A2834="","",IF($H2834="ENGAGE","Engagé",IF(AND($H2834="NON ENGAGE",OR($I2834="INFRUCTUEUX",$I2834="ANNULE")),"Clôturé sans suite","En cours")))</f>
        <v/>
      </c>
      <c r="N2834">
        <f>IF(ISBLANK('ENGAGEMENTS 2026'!C2834),"",'ENGAGEMENTS 2026'!L2834)</f>
        <v/>
      </c>
      <c r="O2834">
        <f>IF(ISBLANK('ENGAGEMENTS 2026'!C2834),"",'ENGAGEMENTS 2026'!M2834)</f>
        <v/>
      </c>
      <c r="P2834">
        <f>IF(ISBLANK('ENGAGEMENTS 2026'!C2834),"",'ENGAGEMENTS 2026'!K2834)</f>
        <v/>
      </c>
      <c r="Q2834">
        <f>IF($A2834="","",IF(OR($E2834="INFRUCTUEUX",$E2834="ANNULE"),$A2834&amp;"|"&amp;(COUNTIFS($A$2:$A2834,$A2834,$E$2:$E2834,"INFRUCTUEUX")+COUNTIFS($A$2:$A2834,$A2834,$E$2:$E2834,"ANNULE")),""))</f>
        <v/>
      </c>
    </row>
    <row r="2835">
      <c r="A2835">
        <f>IF(ISBLANK('ENGAGEMENTS 2026'!C2835),"",IF('ENGAGEMENTS 2026'!C2835="DTSI","DCT",'ENGAGEMENTS 2026'!C2835))</f>
        <v/>
      </c>
      <c r="B2835">
        <f>IF(ISBLANK('ENGAGEMENTS 2026'!C2835),"",'ENGAGEMENTS 2026'!D2835)</f>
        <v/>
      </c>
      <c r="C2835">
        <f>IF(ISBLANK('ENGAGEMENTS 2026'!C2835),"",'ENGAGEMENTS 2026'!E2835)</f>
        <v/>
      </c>
      <c r="D2835">
        <f>IF(ISBLANK('ENGAGEMENTS 2026'!C2835),"",'ENGAGEMENTS 2026'!G2835)</f>
        <v/>
      </c>
      <c r="E2835">
        <f>IF(ISBLANK('ENGAGEMENTS 2026'!C2835),"",'ENGAGEMENTS 2026'!I2835)</f>
        <v/>
      </c>
      <c r="F2835">
        <f>IF(ISBLANK('ENGAGEMENTS 2026'!C2835),"",'ENGAGEMENTS 2026'!J2835)</f>
        <v/>
      </c>
      <c r="G2835">
        <f>IF(ISBLANK('ENGAGEMENTS 2026'!C2835),"",'ENGAGEMENTS 2026'!M2835)</f>
        <v/>
      </c>
      <c r="H2835">
        <f>IF(ISBLANK('ENGAGEMENTS 2026'!C2835),"",'ENGAGEMENTS 2026'!AF2835)</f>
        <v/>
      </c>
      <c r="I2835">
        <f>IF(ISBLANK('ENGAGEMENTS 2026'!C2835),"",'ENGAGEMENTS 2026'!H2835)</f>
        <v/>
      </c>
      <c r="J2835" s="275">
        <f>IF(ISBLANK('ENGAGEMENTS 2026'!C2835),"",IF(AND(OR($E2835="INFRUCTUEUX",$E2835="ANNULE"),$C2835="AOO-M"),'ENGAGEMENTS 2026'!P2835,IF($H2835="EN COURS DE PREENGAGEMENT",'ENGAGEMENTS 2026'!O2835,IF($H2835="PREENGAGE",IF($E2835="ATTRIBUE",'ENGAGEMENTS 2026'!AE2835,'ENGAGEMENTS 2026'!O2835),'ENGAGEMENTS 2026'!AE2835))))</f>
        <v/>
      </c>
      <c r="K2835" s="604">
        <f>IF(ISBLANK('ENGAGEMENTS 2026'!W2835),"",'ENGAGEMENTS 2026'!W2835)</f>
        <v/>
      </c>
      <c r="L2835" s="276">
        <f>IF($K2835="","",TODAY()-$K2835)</f>
        <v/>
      </c>
      <c r="M2835">
        <f>IF($A2835="","",IF($H2835="ENGAGE","Engagé",IF(AND($H2835="NON ENGAGE",OR($I2835="INFRUCTUEUX",$I2835="ANNULE")),"Clôturé sans suite","En cours")))</f>
        <v/>
      </c>
      <c r="N2835">
        <f>IF(ISBLANK('ENGAGEMENTS 2026'!C2835),"",'ENGAGEMENTS 2026'!L2835)</f>
        <v/>
      </c>
      <c r="O2835">
        <f>IF(ISBLANK('ENGAGEMENTS 2026'!C2835),"",'ENGAGEMENTS 2026'!M2835)</f>
        <v/>
      </c>
      <c r="P2835">
        <f>IF(ISBLANK('ENGAGEMENTS 2026'!C2835),"",'ENGAGEMENTS 2026'!K2835)</f>
        <v/>
      </c>
      <c r="Q2835">
        <f>IF($A2835="","",IF(OR($E2835="INFRUCTUEUX",$E2835="ANNULE"),$A2835&amp;"|"&amp;(COUNTIFS($A$2:$A2835,$A2835,$E$2:$E2835,"INFRUCTUEUX")+COUNTIFS($A$2:$A2835,$A2835,$E$2:$E2835,"ANNULE")),""))</f>
        <v/>
      </c>
    </row>
    <row r="2836">
      <c r="A2836">
        <f>IF(ISBLANK('ENGAGEMENTS 2026'!C2836),"",IF('ENGAGEMENTS 2026'!C2836="DTSI","DCT",'ENGAGEMENTS 2026'!C2836))</f>
        <v/>
      </c>
      <c r="B2836">
        <f>IF(ISBLANK('ENGAGEMENTS 2026'!C2836),"",'ENGAGEMENTS 2026'!D2836)</f>
        <v/>
      </c>
      <c r="C2836">
        <f>IF(ISBLANK('ENGAGEMENTS 2026'!C2836),"",'ENGAGEMENTS 2026'!E2836)</f>
        <v/>
      </c>
      <c r="D2836">
        <f>IF(ISBLANK('ENGAGEMENTS 2026'!C2836),"",'ENGAGEMENTS 2026'!G2836)</f>
        <v/>
      </c>
      <c r="E2836">
        <f>IF(ISBLANK('ENGAGEMENTS 2026'!C2836),"",'ENGAGEMENTS 2026'!I2836)</f>
        <v/>
      </c>
      <c r="F2836">
        <f>IF(ISBLANK('ENGAGEMENTS 2026'!C2836),"",'ENGAGEMENTS 2026'!J2836)</f>
        <v/>
      </c>
      <c r="G2836">
        <f>IF(ISBLANK('ENGAGEMENTS 2026'!C2836),"",'ENGAGEMENTS 2026'!M2836)</f>
        <v/>
      </c>
      <c r="H2836">
        <f>IF(ISBLANK('ENGAGEMENTS 2026'!C2836),"",'ENGAGEMENTS 2026'!AF2836)</f>
        <v/>
      </c>
      <c r="I2836">
        <f>IF(ISBLANK('ENGAGEMENTS 2026'!C2836),"",'ENGAGEMENTS 2026'!H2836)</f>
        <v/>
      </c>
      <c r="J2836" s="275">
        <f>IF(ISBLANK('ENGAGEMENTS 2026'!C2836),"",IF(AND(OR($E2836="INFRUCTUEUX",$E2836="ANNULE"),$C2836="AOO-M"),'ENGAGEMENTS 2026'!P2836,IF($H2836="EN COURS DE PREENGAGEMENT",'ENGAGEMENTS 2026'!O2836,IF($H2836="PREENGAGE",IF($E2836="ATTRIBUE",'ENGAGEMENTS 2026'!AE2836,'ENGAGEMENTS 2026'!O2836),'ENGAGEMENTS 2026'!AE2836))))</f>
        <v/>
      </c>
      <c r="K2836" s="604">
        <f>IF(ISBLANK('ENGAGEMENTS 2026'!W2836),"",'ENGAGEMENTS 2026'!W2836)</f>
        <v/>
      </c>
      <c r="L2836" s="276">
        <f>IF($K2836="","",TODAY()-$K2836)</f>
        <v/>
      </c>
      <c r="M2836">
        <f>IF($A2836="","",IF($H2836="ENGAGE","Engagé",IF(AND($H2836="NON ENGAGE",OR($I2836="INFRUCTUEUX",$I2836="ANNULE")),"Clôturé sans suite","En cours")))</f>
        <v/>
      </c>
      <c r="N2836">
        <f>IF(ISBLANK('ENGAGEMENTS 2026'!C2836),"",'ENGAGEMENTS 2026'!L2836)</f>
        <v/>
      </c>
      <c r="O2836">
        <f>IF(ISBLANK('ENGAGEMENTS 2026'!C2836),"",'ENGAGEMENTS 2026'!M2836)</f>
        <v/>
      </c>
      <c r="P2836">
        <f>IF(ISBLANK('ENGAGEMENTS 2026'!C2836),"",'ENGAGEMENTS 2026'!K2836)</f>
        <v/>
      </c>
      <c r="Q2836">
        <f>IF($A2836="","",IF(OR($E2836="INFRUCTUEUX",$E2836="ANNULE"),$A2836&amp;"|"&amp;(COUNTIFS($A$2:$A2836,$A2836,$E$2:$E2836,"INFRUCTUEUX")+COUNTIFS($A$2:$A2836,$A2836,$E$2:$E2836,"ANNULE")),""))</f>
        <v/>
      </c>
    </row>
    <row r="2837">
      <c r="A2837">
        <f>IF(ISBLANK('ENGAGEMENTS 2026'!C2837),"",IF('ENGAGEMENTS 2026'!C2837="DTSI","DCT",'ENGAGEMENTS 2026'!C2837))</f>
        <v/>
      </c>
      <c r="B2837">
        <f>IF(ISBLANK('ENGAGEMENTS 2026'!C2837),"",'ENGAGEMENTS 2026'!D2837)</f>
        <v/>
      </c>
      <c r="C2837">
        <f>IF(ISBLANK('ENGAGEMENTS 2026'!C2837),"",'ENGAGEMENTS 2026'!E2837)</f>
        <v/>
      </c>
      <c r="D2837">
        <f>IF(ISBLANK('ENGAGEMENTS 2026'!C2837),"",'ENGAGEMENTS 2026'!G2837)</f>
        <v/>
      </c>
      <c r="E2837">
        <f>IF(ISBLANK('ENGAGEMENTS 2026'!C2837),"",'ENGAGEMENTS 2026'!I2837)</f>
        <v/>
      </c>
      <c r="F2837">
        <f>IF(ISBLANK('ENGAGEMENTS 2026'!C2837),"",'ENGAGEMENTS 2026'!J2837)</f>
        <v/>
      </c>
      <c r="G2837">
        <f>IF(ISBLANK('ENGAGEMENTS 2026'!C2837),"",'ENGAGEMENTS 2026'!M2837)</f>
        <v/>
      </c>
      <c r="H2837">
        <f>IF(ISBLANK('ENGAGEMENTS 2026'!C2837),"",'ENGAGEMENTS 2026'!AF2837)</f>
        <v/>
      </c>
      <c r="I2837">
        <f>IF(ISBLANK('ENGAGEMENTS 2026'!C2837),"",'ENGAGEMENTS 2026'!H2837)</f>
        <v/>
      </c>
      <c r="J2837" s="275">
        <f>IF(ISBLANK('ENGAGEMENTS 2026'!C2837),"",IF(AND(OR($E2837="INFRUCTUEUX",$E2837="ANNULE"),$C2837="AOO-M"),'ENGAGEMENTS 2026'!P2837,IF($H2837="EN COURS DE PREENGAGEMENT",'ENGAGEMENTS 2026'!O2837,IF($H2837="PREENGAGE",IF($E2837="ATTRIBUE",'ENGAGEMENTS 2026'!AE2837,'ENGAGEMENTS 2026'!O2837),'ENGAGEMENTS 2026'!AE2837))))</f>
        <v/>
      </c>
      <c r="K2837" s="604">
        <f>IF(ISBLANK('ENGAGEMENTS 2026'!W2837),"",'ENGAGEMENTS 2026'!W2837)</f>
        <v/>
      </c>
      <c r="L2837" s="276">
        <f>IF($K2837="","",TODAY()-$K2837)</f>
        <v/>
      </c>
      <c r="M2837">
        <f>IF($A2837="","",IF($H2837="ENGAGE","Engagé",IF(AND($H2837="NON ENGAGE",OR($I2837="INFRUCTUEUX",$I2837="ANNULE")),"Clôturé sans suite","En cours")))</f>
        <v/>
      </c>
      <c r="N2837">
        <f>IF(ISBLANK('ENGAGEMENTS 2026'!C2837),"",'ENGAGEMENTS 2026'!L2837)</f>
        <v/>
      </c>
      <c r="O2837">
        <f>IF(ISBLANK('ENGAGEMENTS 2026'!C2837),"",'ENGAGEMENTS 2026'!M2837)</f>
        <v/>
      </c>
      <c r="P2837">
        <f>IF(ISBLANK('ENGAGEMENTS 2026'!C2837),"",'ENGAGEMENTS 2026'!K2837)</f>
        <v/>
      </c>
      <c r="Q2837">
        <f>IF($A2837="","",IF(OR($E2837="INFRUCTUEUX",$E2837="ANNULE"),$A2837&amp;"|"&amp;(COUNTIFS($A$2:$A2837,$A2837,$E$2:$E2837,"INFRUCTUEUX")+COUNTIFS($A$2:$A2837,$A2837,$E$2:$E2837,"ANNULE")),""))</f>
        <v/>
      </c>
    </row>
    <row r="2838">
      <c r="A2838">
        <f>IF(ISBLANK('ENGAGEMENTS 2026'!C2838),"",IF('ENGAGEMENTS 2026'!C2838="DTSI","DCT",'ENGAGEMENTS 2026'!C2838))</f>
        <v/>
      </c>
      <c r="B2838">
        <f>IF(ISBLANK('ENGAGEMENTS 2026'!C2838),"",'ENGAGEMENTS 2026'!D2838)</f>
        <v/>
      </c>
      <c r="C2838">
        <f>IF(ISBLANK('ENGAGEMENTS 2026'!C2838),"",'ENGAGEMENTS 2026'!E2838)</f>
        <v/>
      </c>
      <c r="D2838">
        <f>IF(ISBLANK('ENGAGEMENTS 2026'!C2838),"",'ENGAGEMENTS 2026'!G2838)</f>
        <v/>
      </c>
      <c r="E2838">
        <f>IF(ISBLANK('ENGAGEMENTS 2026'!C2838),"",'ENGAGEMENTS 2026'!I2838)</f>
        <v/>
      </c>
      <c r="F2838">
        <f>IF(ISBLANK('ENGAGEMENTS 2026'!C2838),"",'ENGAGEMENTS 2026'!J2838)</f>
        <v/>
      </c>
      <c r="G2838">
        <f>IF(ISBLANK('ENGAGEMENTS 2026'!C2838),"",'ENGAGEMENTS 2026'!M2838)</f>
        <v/>
      </c>
      <c r="H2838">
        <f>IF(ISBLANK('ENGAGEMENTS 2026'!C2838),"",'ENGAGEMENTS 2026'!AF2838)</f>
        <v/>
      </c>
      <c r="I2838">
        <f>IF(ISBLANK('ENGAGEMENTS 2026'!C2838),"",'ENGAGEMENTS 2026'!H2838)</f>
        <v/>
      </c>
      <c r="J2838" s="275">
        <f>IF(ISBLANK('ENGAGEMENTS 2026'!C2838),"",IF(AND(OR($E2838="INFRUCTUEUX",$E2838="ANNULE"),$C2838="AOO-M"),'ENGAGEMENTS 2026'!P2838,IF($H2838="EN COURS DE PREENGAGEMENT",'ENGAGEMENTS 2026'!O2838,IF($H2838="PREENGAGE",IF($E2838="ATTRIBUE",'ENGAGEMENTS 2026'!AE2838,'ENGAGEMENTS 2026'!O2838),'ENGAGEMENTS 2026'!AE2838))))</f>
        <v/>
      </c>
      <c r="K2838" s="604">
        <f>IF(ISBLANK('ENGAGEMENTS 2026'!W2838),"",'ENGAGEMENTS 2026'!W2838)</f>
        <v/>
      </c>
      <c r="L2838" s="276">
        <f>IF($K2838="","",TODAY()-$K2838)</f>
        <v/>
      </c>
      <c r="M2838">
        <f>IF($A2838="","",IF($H2838="ENGAGE","Engagé",IF(AND($H2838="NON ENGAGE",OR($I2838="INFRUCTUEUX",$I2838="ANNULE")),"Clôturé sans suite","En cours")))</f>
        <v/>
      </c>
      <c r="N2838">
        <f>IF(ISBLANK('ENGAGEMENTS 2026'!C2838),"",'ENGAGEMENTS 2026'!L2838)</f>
        <v/>
      </c>
      <c r="O2838">
        <f>IF(ISBLANK('ENGAGEMENTS 2026'!C2838),"",'ENGAGEMENTS 2026'!M2838)</f>
        <v/>
      </c>
      <c r="P2838">
        <f>IF(ISBLANK('ENGAGEMENTS 2026'!C2838),"",'ENGAGEMENTS 2026'!K2838)</f>
        <v/>
      </c>
      <c r="Q2838">
        <f>IF($A2838="","",IF(OR($E2838="INFRUCTUEUX",$E2838="ANNULE"),$A2838&amp;"|"&amp;(COUNTIFS($A$2:$A2838,$A2838,$E$2:$E2838,"INFRUCTUEUX")+COUNTIFS($A$2:$A2838,$A2838,$E$2:$E2838,"ANNULE")),""))</f>
        <v/>
      </c>
    </row>
    <row r="2839">
      <c r="A2839">
        <f>IF(ISBLANK('ENGAGEMENTS 2026'!C2839),"",IF('ENGAGEMENTS 2026'!C2839="DTSI","DCT",'ENGAGEMENTS 2026'!C2839))</f>
        <v/>
      </c>
      <c r="B2839">
        <f>IF(ISBLANK('ENGAGEMENTS 2026'!C2839),"",'ENGAGEMENTS 2026'!D2839)</f>
        <v/>
      </c>
      <c r="C2839">
        <f>IF(ISBLANK('ENGAGEMENTS 2026'!C2839),"",'ENGAGEMENTS 2026'!E2839)</f>
        <v/>
      </c>
      <c r="D2839">
        <f>IF(ISBLANK('ENGAGEMENTS 2026'!C2839),"",'ENGAGEMENTS 2026'!G2839)</f>
        <v/>
      </c>
      <c r="E2839">
        <f>IF(ISBLANK('ENGAGEMENTS 2026'!C2839),"",'ENGAGEMENTS 2026'!I2839)</f>
        <v/>
      </c>
      <c r="F2839">
        <f>IF(ISBLANK('ENGAGEMENTS 2026'!C2839),"",'ENGAGEMENTS 2026'!J2839)</f>
        <v/>
      </c>
      <c r="G2839">
        <f>IF(ISBLANK('ENGAGEMENTS 2026'!C2839),"",'ENGAGEMENTS 2026'!M2839)</f>
        <v/>
      </c>
      <c r="H2839">
        <f>IF(ISBLANK('ENGAGEMENTS 2026'!C2839),"",'ENGAGEMENTS 2026'!AF2839)</f>
        <v/>
      </c>
      <c r="I2839">
        <f>IF(ISBLANK('ENGAGEMENTS 2026'!C2839),"",'ENGAGEMENTS 2026'!H2839)</f>
        <v/>
      </c>
      <c r="J2839" s="275">
        <f>IF(ISBLANK('ENGAGEMENTS 2026'!C2839),"",IF(AND(OR($E2839="INFRUCTUEUX",$E2839="ANNULE"),$C2839="AOO-M"),'ENGAGEMENTS 2026'!P2839,IF($H2839="EN COURS DE PREENGAGEMENT",'ENGAGEMENTS 2026'!O2839,IF($H2839="PREENGAGE",IF($E2839="ATTRIBUE",'ENGAGEMENTS 2026'!AE2839,'ENGAGEMENTS 2026'!O2839),'ENGAGEMENTS 2026'!AE2839))))</f>
        <v/>
      </c>
      <c r="K2839" s="604">
        <f>IF(ISBLANK('ENGAGEMENTS 2026'!W2839),"",'ENGAGEMENTS 2026'!W2839)</f>
        <v/>
      </c>
      <c r="L2839" s="276">
        <f>IF($K2839="","",TODAY()-$K2839)</f>
        <v/>
      </c>
      <c r="M2839">
        <f>IF($A2839="","",IF($H2839="ENGAGE","Engagé",IF(AND($H2839="NON ENGAGE",OR($I2839="INFRUCTUEUX",$I2839="ANNULE")),"Clôturé sans suite","En cours")))</f>
        <v/>
      </c>
      <c r="N2839">
        <f>IF(ISBLANK('ENGAGEMENTS 2026'!C2839),"",'ENGAGEMENTS 2026'!L2839)</f>
        <v/>
      </c>
      <c r="O2839">
        <f>IF(ISBLANK('ENGAGEMENTS 2026'!C2839),"",'ENGAGEMENTS 2026'!M2839)</f>
        <v/>
      </c>
      <c r="P2839">
        <f>IF(ISBLANK('ENGAGEMENTS 2026'!C2839),"",'ENGAGEMENTS 2026'!K2839)</f>
        <v/>
      </c>
      <c r="Q2839">
        <f>IF($A2839="","",IF(OR($E2839="INFRUCTUEUX",$E2839="ANNULE"),$A2839&amp;"|"&amp;(COUNTIFS($A$2:$A2839,$A2839,$E$2:$E2839,"INFRUCTUEUX")+COUNTIFS($A$2:$A2839,$A2839,$E$2:$E2839,"ANNULE")),""))</f>
        <v/>
      </c>
    </row>
    <row r="2840">
      <c r="A2840">
        <f>IF(ISBLANK('ENGAGEMENTS 2026'!C2840),"",IF('ENGAGEMENTS 2026'!C2840="DTSI","DCT",'ENGAGEMENTS 2026'!C2840))</f>
        <v/>
      </c>
      <c r="B2840">
        <f>IF(ISBLANK('ENGAGEMENTS 2026'!C2840),"",'ENGAGEMENTS 2026'!D2840)</f>
        <v/>
      </c>
      <c r="C2840">
        <f>IF(ISBLANK('ENGAGEMENTS 2026'!C2840),"",'ENGAGEMENTS 2026'!E2840)</f>
        <v/>
      </c>
      <c r="D2840">
        <f>IF(ISBLANK('ENGAGEMENTS 2026'!C2840),"",'ENGAGEMENTS 2026'!G2840)</f>
        <v/>
      </c>
      <c r="E2840">
        <f>IF(ISBLANK('ENGAGEMENTS 2026'!C2840),"",'ENGAGEMENTS 2026'!I2840)</f>
        <v/>
      </c>
      <c r="F2840">
        <f>IF(ISBLANK('ENGAGEMENTS 2026'!C2840),"",'ENGAGEMENTS 2026'!J2840)</f>
        <v/>
      </c>
      <c r="G2840">
        <f>IF(ISBLANK('ENGAGEMENTS 2026'!C2840),"",'ENGAGEMENTS 2026'!M2840)</f>
        <v/>
      </c>
      <c r="H2840">
        <f>IF(ISBLANK('ENGAGEMENTS 2026'!C2840),"",'ENGAGEMENTS 2026'!AF2840)</f>
        <v/>
      </c>
      <c r="I2840">
        <f>IF(ISBLANK('ENGAGEMENTS 2026'!C2840),"",'ENGAGEMENTS 2026'!H2840)</f>
        <v/>
      </c>
      <c r="J2840" s="275">
        <f>IF(ISBLANK('ENGAGEMENTS 2026'!C2840),"",IF(AND(OR($E2840="INFRUCTUEUX",$E2840="ANNULE"),$C2840="AOO-M"),'ENGAGEMENTS 2026'!P2840,IF($H2840="EN COURS DE PREENGAGEMENT",'ENGAGEMENTS 2026'!O2840,IF($H2840="PREENGAGE",IF($E2840="ATTRIBUE",'ENGAGEMENTS 2026'!AE2840,'ENGAGEMENTS 2026'!O2840),'ENGAGEMENTS 2026'!AE2840))))</f>
        <v/>
      </c>
      <c r="K2840" s="604">
        <f>IF(ISBLANK('ENGAGEMENTS 2026'!W2840),"",'ENGAGEMENTS 2026'!W2840)</f>
        <v/>
      </c>
      <c r="L2840" s="276">
        <f>IF($K2840="","",TODAY()-$K2840)</f>
        <v/>
      </c>
      <c r="M2840">
        <f>IF($A2840="","",IF($H2840="ENGAGE","Engagé",IF(AND($H2840="NON ENGAGE",OR($I2840="INFRUCTUEUX",$I2840="ANNULE")),"Clôturé sans suite","En cours")))</f>
        <v/>
      </c>
      <c r="N2840">
        <f>IF(ISBLANK('ENGAGEMENTS 2026'!C2840),"",'ENGAGEMENTS 2026'!L2840)</f>
        <v/>
      </c>
      <c r="O2840">
        <f>IF(ISBLANK('ENGAGEMENTS 2026'!C2840),"",'ENGAGEMENTS 2026'!M2840)</f>
        <v/>
      </c>
      <c r="P2840">
        <f>IF(ISBLANK('ENGAGEMENTS 2026'!C2840),"",'ENGAGEMENTS 2026'!K2840)</f>
        <v/>
      </c>
      <c r="Q2840">
        <f>IF($A2840="","",IF(OR($E2840="INFRUCTUEUX",$E2840="ANNULE"),$A2840&amp;"|"&amp;(COUNTIFS($A$2:$A2840,$A2840,$E$2:$E2840,"INFRUCTUEUX")+COUNTIFS($A$2:$A2840,$A2840,$E$2:$E2840,"ANNULE")),""))</f>
        <v/>
      </c>
    </row>
    <row r="2841">
      <c r="A2841">
        <f>IF(ISBLANK('ENGAGEMENTS 2026'!C2841),"",IF('ENGAGEMENTS 2026'!C2841="DTSI","DCT",'ENGAGEMENTS 2026'!C2841))</f>
        <v/>
      </c>
      <c r="B2841">
        <f>IF(ISBLANK('ENGAGEMENTS 2026'!C2841),"",'ENGAGEMENTS 2026'!D2841)</f>
        <v/>
      </c>
      <c r="C2841">
        <f>IF(ISBLANK('ENGAGEMENTS 2026'!C2841),"",'ENGAGEMENTS 2026'!E2841)</f>
        <v/>
      </c>
      <c r="D2841">
        <f>IF(ISBLANK('ENGAGEMENTS 2026'!C2841),"",'ENGAGEMENTS 2026'!G2841)</f>
        <v/>
      </c>
      <c r="E2841">
        <f>IF(ISBLANK('ENGAGEMENTS 2026'!C2841),"",'ENGAGEMENTS 2026'!I2841)</f>
        <v/>
      </c>
      <c r="F2841">
        <f>IF(ISBLANK('ENGAGEMENTS 2026'!C2841),"",'ENGAGEMENTS 2026'!J2841)</f>
        <v/>
      </c>
      <c r="G2841">
        <f>IF(ISBLANK('ENGAGEMENTS 2026'!C2841),"",'ENGAGEMENTS 2026'!M2841)</f>
        <v/>
      </c>
      <c r="H2841">
        <f>IF(ISBLANK('ENGAGEMENTS 2026'!C2841),"",'ENGAGEMENTS 2026'!AF2841)</f>
        <v/>
      </c>
      <c r="I2841">
        <f>IF(ISBLANK('ENGAGEMENTS 2026'!C2841),"",'ENGAGEMENTS 2026'!H2841)</f>
        <v/>
      </c>
      <c r="J2841" s="275">
        <f>IF(ISBLANK('ENGAGEMENTS 2026'!C2841),"",IF(AND(OR($E2841="INFRUCTUEUX",$E2841="ANNULE"),$C2841="AOO-M"),'ENGAGEMENTS 2026'!P2841,IF($H2841="EN COURS DE PREENGAGEMENT",'ENGAGEMENTS 2026'!O2841,IF($H2841="PREENGAGE",IF($E2841="ATTRIBUE",'ENGAGEMENTS 2026'!AE2841,'ENGAGEMENTS 2026'!O2841),'ENGAGEMENTS 2026'!AE2841))))</f>
        <v/>
      </c>
      <c r="K2841" s="604">
        <f>IF(ISBLANK('ENGAGEMENTS 2026'!W2841),"",'ENGAGEMENTS 2026'!W2841)</f>
        <v/>
      </c>
      <c r="L2841" s="276">
        <f>IF($K2841="","",TODAY()-$K2841)</f>
        <v/>
      </c>
      <c r="M2841">
        <f>IF($A2841="","",IF($H2841="ENGAGE","Engagé",IF(AND($H2841="NON ENGAGE",OR($I2841="INFRUCTUEUX",$I2841="ANNULE")),"Clôturé sans suite","En cours")))</f>
        <v/>
      </c>
      <c r="N2841">
        <f>IF(ISBLANK('ENGAGEMENTS 2026'!C2841),"",'ENGAGEMENTS 2026'!L2841)</f>
        <v/>
      </c>
      <c r="O2841">
        <f>IF(ISBLANK('ENGAGEMENTS 2026'!C2841),"",'ENGAGEMENTS 2026'!M2841)</f>
        <v/>
      </c>
      <c r="P2841">
        <f>IF(ISBLANK('ENGAGEMENTS 2026'!C2841),"",'ENGAGEMENTS 2026'!K2841)</f>
        <v/>
      </c>
      <c r="Q2841">
        <f>IF($A2841="","",IF(OR($E2841="INFRUCTUEUX",$E2841="ANNULE"),$A2841&amp;"|"&amp;(COUNTIFS($A$2:$A2841,$A2841,$E$2:$E2841,"INFRUCTUEUX")+COUNTIFS($A$2:$A2841,$A2841,$E$2:$E2841,"ANNULE")),""))</f>
        <v/>
      </c>
    </row>
    <row r="2842">
      <c r="A2842">
        <f>IF(ISBLANK('ENGAGEMENTS 2026'!C2842),"",IF('ENGAGEMENTS 2026'!C2842="DTSI","DCT",'ENGAGEMENTS 2026'!C2842))</f>
        <v/>
      </c>
      <c r="B2842">
        <f>IF(ISBLANK('ENGAGEMENTS 2026'!C2842),"",'ENGAGEMENTS 2026'!D2842)</f>
        <v/>
      </c>
      <c r="C2842">
        <f>IF(ISBLANK('ENGAGEMENTS 2026'!C2842),"",'ENGAGEMENTS 2026'!E2842)</f>
        <v/>
      </c>
      <c r="D2842">
        <f>IF(ISBLANK('ENGAGEMENTS 2026'!C2842),"",'ENGAGEMENTS 2026'!G2842)</f>
        <v/>
      </c>
      <c r="E2842">
        <f>IF(ISBLANK('ENGAGEMENTS 2026'!C2842),"",'ENGAGEMENTS 2026'!I2842)</f>
        <v/>
      </c>
      <c r="F2842">
        <f>IF(ISBLANK('ENGAGEMENTS 2026'!C2842),"",'ENGAGEMENTS 2026'!J2842)</f>
        <v/>
      </c>
      <c r="G2842">
        <f>IF(ISBLANK('ENGAGEMENTS 2026'!C2842),"",'ENGAGEMENTS 2026'!M2842)</f>
        <v/>
      </c>
      <c r="H2842">
        <f>IF(ISBLANK('ENGAGEMENTS 2026'!C2842),"",'ENGAGEMENTS 2026'!AF2842)</f>
        <v/>
      </c>
      <c r="I2842">
        <f>IF(ISBLANK('ENGAGEMENTS 2026'!C2842),"",'ENGAGEMENTS 2026'!H2842)</f>
        <v/>
      </c>
      <c r="J2842" s="275">
        <f>IF(ISBLANK('ENGAGEMENTS 2026'!C2842),"",IF(AND(OR($E2842="INFRUCTUEUX",$E2842="ANNULE"),$C2842="AOO-M"),'ENGAGEMENTS 2026'!P2842,IF($H2842="EN COURS DE PREENGAGEMENT",'ENGAGEMENTS 2026'!O2842,IF($H2842="PREENGAGE",IF($E2842="ATTRIBUE",'ENGAGEMENTS 2026'!AE2842,'ENGAGEMENTS 2026'!O2842),'ENGAGEMENTS 2026'!AE2842))))</f>
        <v/>
      </c>
      <c r="K2842" s="604">
        <f>IF(ISBLANK('ENGAGEMENTS 2026'!W2842),"",'ENGAGEMENTS 2026'!W2842)</f>
        <v/>
      </c>
      <c r="L2842" s="276">
        <f>IF($K2842="","",TODAY()-$K2842)</f>
        <v/>
      </c>
      <c r="M2842">
        <f>IF($A2842="","",IF($H2842="ENGAGE","Engagé",IF(AND($H2842="NON ENGAGE",OR($I2842="INFRUCTUEUX",$I2842="ANNULE")),"Clôturé sans suite","En cours")))</f>
        <v/>
      </c>
      <c r="N2842">
        <f>IF(ISBLANK('ENGAGEMENTS 2026'!C2842),"",'ENGAGEMENTS 2026'!L2842)</f>
        <v/>
      </c>
      <c r="O2842">
        <f>IF(ISBLANK('ENGAGEMENTS 2026'!C2842),"",'ENGAGEMENTS 2026'!M2842)</f>
        <v/>
      </c>
      <c r="P2842">
        <f>IF(ISBLANK('ENGAGEMENTS 2026'!C2842),"",'ENGAGEMENTS 2026'!K2842)</f>
        <v/>
      </c>
      <c r="Q2842">
        <f>IF($A2842="","",IF(OR($E2842="INFRUCTUEUX",$E2842="ANNULE"),$A2842&amp;"|"&amp;(COUNTIFS($A$2:$A2842,$A2842,$E$2:$E2842,"INFRUCTUEUX")+COUNTIFS($A$2:$A2842,$A2842,$E$2:$E2842,"ANNULE")),""))</f>
        <v/>
      </c>
    </row>
    <row r="2843">
      <c r="A2843">
        <f>IF(ISBLANK('ENGAGEMENTS 2026'!C2843),"",IF('ENGAGEMENTS 2026'!C2843="DTSI","DCT",'ENGAGEMENTS 2026'!C2843))</f>
        <v/>
      </c>
      <c r="B2843">
        <f>IF(ISBLANK('ENGAGEMENTS 2026'!C2843),"",'ENGAGEMENTS 2026'!D2843)</f>
        <v/>
      </c>
      <c r="C2843">
        <f>IF(ISBLANK('ENGAGEMENTS 2026'!C2843),"",'ENGAGEMENTS 2026'!E2843)</f>
        <v/>
      </c>
      <c r="D2843">
        <f>IF(ISBLANK('ENGAGEMENTS 2026'!C2843),"",'ENGAGEMENTS 2026'!G2843)</f>
        <v/>
      </c>
      <c r="E2843">
        <f>IF(ISBLANK('ENGAGEMENTS 2026'!C2843),"",'ENGAGEMENTS 2026'!I2843)</f>
        <v/>
      </c>
      <c r="F2843">
        <f>IF(ISBLANK('ENGAGEMENTS 2026'!C2843),"",'ENGAGEMENTS 2026'!J2843)</f>
        <v/>
      </c>
      <c r="G2843">
        <f>IF(ISBLANK('ENGAGEMENTS 2026'!C2843),"",'ENGAGEMENTS 2026'!M2843)</f>
        <v/>
      </c>
      <c r="H2843">
        <f>IF(ISBLANK('ENGAGEMENTS 2026'!C2843),"",'ENGAGEMENTS 2026'!AF2843)</f>
        <v/>
      </c>
      <c r="I2843">
        <f>IF(ISBLANK('ENGAGEMENTS 2026'!C2843),"",'ENGAGEMENTS 2026'!H2843)</f>
        <v/>
      </c>
      <c r="J2843" s="275">
        <f>IF(ISBLANK('ENGAGEMENTS 2026'!C2843),"",IF(AND(OR($E2843="INFRUCTUEUX",$E2843="ANNULE"),$C2843="AOO-M"),'ENGAGEMENTS 2026'!P2843,IF($H2843="EN COURS DE PREENGAGEMENT",'ENGAGEMENTS 2026'!O2843,IF($H2843="PREENGAGE",IF($E2843="ATTRIBUE",'ENGAGEMENTS 2026'!AE2843,'ENGAGEMENTS 2026'!O2843),'ENGAGEMENTS 2026'!AE2843))))</f>
        <v/>
      </c>
      <c r="K2843" s="604">
        <f>IF(ISBLANK('ENGAGEMENTS 2026'!W2843),"",'ENGAGEMENTS 2026'!W2843)</f>
        <v/>
      </c>
      <c r="L2843" s="276">
        <f>IF($K2843="","",TODAY()-$K2843)</f>
        <v/>
      </c>
      <c r="M2843">
        <f>IF($A2843="","",IF($H2843="ENGAGE","Engagé",IF(AND($H2843="NON ENGAGE",OR($I2843="INFRUCTUEUX",$I2843="ANNULE")),"Clôturé sans suite","En cours")))</f>
        <v/>
      </c>
      <c r="N2843">
        <f>IF(ISBLANK('ENGAGEMENTS 2026'!C2843),"",'ENGAGEMENTS 2026'!L2843)</f>
        <v/>
      </c>
      <c r="O2843">
        <f>IF(ISBLANK('ENGAGEMENTS 2026'!C2843),"",'ENGAGEMENTS 2026'!M2843)</f>
        <v/>
      </c>
      <c r="P2843">
        <f>IF(ISBLANK('ENGAGEMENTS 2026'!C2843),"",'ENGAGEMENTS 2026'!K2843)</f>
        <v/>
      </c>
      <c r="Q2843">
        <f>IF($A2843="","",IF(OR($E2843="INFRUCTUEUX",$E2843="ANNULE"),$A2843&amp;"|"&amp;(COUNTIFS($A$2:$A2843,$A2843,$E$2:$E2843,"INFRUCTUEUX")+COUNTIFS($A$2:$A2843,$A2843,$E$2:$E2843,"ANNULE")),""))</f>
        <v/>
      </c>
    </row>
    <row r="2844">
      <c r="A2844">
        <f>IF(ISBLANK('ENGAGEMENTS 2026'!C2844),"",IF('ENGAGEMENTS 2026'!C2844="DTSI","DCT",'ENGAGEMENTS 2026'!C2844))</f>
        <v/>
      </c>
      <c r="B2844">
        <f>IF(ISBLANK('ENGAGEMENTS 2026'!C2844),"",'ENGAGEMENTS 2026'!D2844)</f>
        <v/>
      </c>
      <c r="C2844">
        <f>IF(ISBLANK('ENGAGEMENTS 2026'!C2844),"",'ENGAGEMENTS 2026'!E2844)</f>
        <v/>
      </c>
      <c r="D2844">
        <f>IF(ISBLANK('ENGAGEMENTS 2026'!C2844),"",'ENGAGEMENTS 2026'!G2844)</f>
        <v/>
      </c>
      <c r="E2844">
        <f>IF(ISBLANK('ENGAGEMENTS 2026'!C2844),"",'ENGAGEMENTS 2026'!I2844)</f>
        <v/>
      </c>
      <c r="F2844">
        <f>IF(ISBLANK('ENGAGEMENTS 2026'!C2844),"",'ENGAGEMENTS 2026'!J2844)</f>
        <v/>
      </c>
      <c r="G2844">
        <f>IF(ISBLANK('ENGAGEMENTS 2026'!C2844),"",'ENGAGEMENTS 2026'!M2844)</f>
        <v/>
      </c>
      <c r="H2844">
        <f>IF(ISBLANK('ENGAGEMENTS 2026'!C2844),"",'ENGAGEMENTS 2026'!AF2844)</f>
        <v/>
      </c>
      <c r="I2844">
        <f>IF(ISBLANK('ENGAGEMENTS 2026'!C2844),"",'ENGAGEMENTS 2026'!H2844)</f>
        <v/>
      </c>
      <c r="J2844" s="275">
        <f>IF(ISBLANK('ENGAGEMENTS 2026'!C2844),"",IF(AND(OR($E2844="INFRUCTUEUX",$E2844="ANNULE"),$C2844="AOO-M"),'ENGAGEMENTS 2026'!P2844,IF($H2844="EN COURS DE PREENGAGEMENT",'ENGAGEMENTS 2026'!O2844,IF($H2844="PREENGAGE",IF($E2844="ATTRIBUE",'ENGAGEMENTS 2026'!AE2844,'ENGAGEMENTS 2026'!O2844),'ENGAGEMENTS 2026'!AE2844))))</f>
        <v/>
      </c>
      <c r="K2844" s="604">
        <f>IF(ISBLANK('ENGAGEMENTS 2026'!W2844),"",'ENGAGEMENTS 2026'!W2844)</f>
        <v/>
      </c>
      <c r="L2844" s="276">
        <f>IF($K2844="","",TODAY()-$K2844)</f>
        <v/>
      </c>
      <c r="M2844">
        <f>IF($A2844="","",IF($H2844="ENGAGE","Engagé",IF(AND($H2844="NON ENGAGE",OR($I2844="INFRUCTUEUX",$I2844="ANNULE")),"Clôturé sans suite","En cours")))</f>
        <v/>
      </c>
      <c r="N2844">
        <f>IF(ISBLANK('ENGAGEMENTS 2026'!C2844),"",'ENGAGEMENTS 2026'!L2844)</f>
        <v/>
      </c>
      <c r="O2844">
        <f>IF(ISBLANK('ENGAGEMENTS 2026'!C2844),"",'ENGAGEMENTS 2026'!M2844)</f>
        <v/>
      </c>
      <c r="P2844">
        <f>IF(ISBLANK('ENGAGEMENTS 2026'!C2844),"",'ENGAGEMENTS 2026'!K2844)</f>
        <v/>
      </c>
      <c r="Q2844">
        <f>IF($A2844="","",IF(OR($E2844="INFRUCTUEUX",$E2844="ANNULE"),$A2844&amp;"|"&amp;(COUNTIFS($A$2:$A2844,$A2844,$E$2:$E2844,"INFRUCTUEUX")+COUNTIFS($A$2:$A2844,$A2844,$E$2:$E2844,"ANNULE")),""))</f>
        <v/>
      </c>
    </row>
    <row r="2845">
      <c r="A2845">
        <f>IF(ISBLANK('ENGAGEMENTS 2026'!C2845),"",IF('ENGAGEMENTS 2026'!C2845="DTSI","DCT",'ENGAGEMENTS 2026'!C2845))</f>
        <v/>
      </c>
      <c r="B2845">
        <f>IF(ISBLANK('ENGAGEMENTS 2026'!C2845),"",'ENGAGEMENTS 2026'!D2845)</f>
        <v/>
      </c>
      <c r="C2845">
        <f>IF(ISBLANK('ENGAGEMENTS 2026'!C2845),"",'ENGAGEMENTS 2026'!E2845)</f>
        <v/>
      </c>
      <c r="D2845">
        <f>IF(ISBLANK('ENGAGEMENTS 2026'!C2845),"",'ENGAGEMENTS 2026'!G2845)</f>
        <v/>
      </c>
      <c r="E2845">
        <f>IF(ISBLANK('ENGAGEMENTS 2026'!C2845),"",'ENGAGEMENTS 2026'!I2845)</f>
        <v/>
      </c>
      <c r="F2845">
        <f>IF(ISBLANK('ENGAGEMENTS 2026'!C2845),"",'ENGAGEMENTS 2026'!J2845)</f>
        <v/>
      </c>
      <c r="G2845">
        <f>IF(ISBLANK('ENGAGEMENTS 2026'!C2845),"",'ENGAGEMENTS 2026'!M2845)</f>
        <v/>
      </c>
      <c r="H2845">
        <f>IF(ISBLANK('ENGAGEMENTS 2026'!C2845),"",'ENGAGEMENTS 2026'!AF2845)</f>
        <v/>
      </c>
      <c r="I2845">
        <f>IF(ISBLANK('ENGAGEMENTS 2026'!C2845),"",'ENGAGEMENTS 2026'!H2845)</f>
        <v/>
      </c>
      <c r="J2845" s="275">
        <f>IF(ISBLANK('ENGAGEMENTS 2026'!C2845),"",IF(AND(OR($E2845="INFRUCTUEUX",$E2845="ANNULE"),$C2845="AOO-M"),'ENGAGEMENTS 2026'!P2845,IF($H2845="EN COURS DE PREENGAGEMENT",'ENGAGEMENTS 2026'!O2845,IF($H2845="PREENGAGE",IF($E2845="ATTRIBUE",'ENGAGEMENTS 2026'!AE2845,'ENGAGEMENTS 2026'!O2845),'ENGAGEMENTS 2026'!AE2845))))</f>
        <v/>
      </c>
      <c r="K2845" s="604">
        <f>IF(ISBLANK('ENGAGEMENTS 2026'!W2845),"",'ENGAGEMENTS 2026'!W2845)</f>
        <v/>
      </c>
      <c r="L2845" s="276">
        <f>IF($K2845="","",TODAY()-$K2845)</f>
        <v/>
      </c>
      <c r="M2845">
        <f>IF($A2845="","",IF($H2845="ENGAGE","Engagé",IF(AND($H2845="NON ENGAGE",OR($I2845="INFRUCTUEUX",$I2845="ANNULE")),"Clôturé sans suite","En cours")))</f>
        <v/>
      </c>
      <c r="N2845">
        <f>IF(ISBLANK('ENGAGEMENTS 2026'!C2845),"",'ENGAGEMENTS 2026'!L2845)</f>
        <v/>
      </c>
      <c r="O2845">
        <f>IF(ISBLANK('ENGAGEMENTS 2026'!C2845),"",'ENGAGEMENTS 2026'!M2845)</f>
        <v/>
      </c>
      <c r="P2845">
        <f>IF(ISBLANK('ENGAGEMENTS 2026'!C2845),"",'ENGAGEMENTS 2026'!K2845)</f>
        <v/>
      </c>
      <c r="Q2845">
        <f>IF($A2845="","",IF(OR($E2845="INFRUCTUEUX",$E2845="ANNULE"),$A2845&amp;"|"&amp;(COUNTIFS($A$2:$A2845,$A2845,$E$2:$E2845,"INFRUCTUEUX")+COUNTIFS($A$2:$A2845,$A2845,$E$2:$E2845,"ANNULE")),""))</f>
        <v/>
      </c>
    </row>
    <row r="2846">
      <c r="A2846">
        <f>IF(ISBLANK('ENGAGEMENTS 2026'!C2846),"",IF('ENGAGEMENTS 2026'!C2846="DTSI","DCT",'ENGAGEMENTS 2026'!C2846))</f>
        <v/>
      </c>
      <c r="B2846">
        <f>IF(ISBLANK('ENGAGEMENTS 2026'!C2846),"",'ENGAGEMENTS 2026'!D2846)</f>
        <v/>
      </c>
      <c r="C2846">
        <f>IF(ISBLANK('ENGAGEMENTS 2026'!C2846),"",'ENGAGEMENTS 2026'!E2846)</f>
        <v/>
      </c>
      <c r="D2846">
        <f>IF(ISBLANK('ENGAGEMENTS 2026'!C2846),"",'ENGAGEMENTS 2026'!G2846)</f>
        <v/>
      </c>
      <c r="E2846">
        <f>IF(ISBLANK('ENGAGEMENTS 2026'!C2846),"",'ENGAGEMENTS 2026'!I2846)</f>
        <v/>
      </c>
      <c r="F2846">
        <f>IF(ISBLANK('ENGAGEMENTS 2026'!C2846),"",'ENGAGEMENTS 2026'!J2846)</f>
        <v/>
      </c>
      <c r="G2846">
        <f>IF(ISBLANK('ENGAGEMENTS 2026'!C2846),"",'ENGAGEMENTS 2026'!M2846)</f>
        <v/>
      </c>
      <c r="H2846">
        <f>IF(ISBLANK('ENGAGEMENTS 2026'!C2846),"",'ENGAGEMENTS 2026'!AF2846)</f>
        <v/>
      </c>
      <c r="I2846">
        <f>IF(ISBLANK('ENGAGEMENTS 2026'!C2846),"",'ENGAGEMENTS 2026'!H2846)</f>
        <v/>
      </c>
      <c r="J2846" s="275">
        <f>IF(ISBLANK('ENGAGEMENTS 2026'!C2846),"",IF(AND(OR($E2846="INFRUCTUEUX",$E2846="ANNULE"),$C2846="AOO-M"),'ENGAGEMENTS 2026'!P2846,IF($H2846="EN COURS DE PREENGAGEMENT",'ENGAGEMENTS 2026'!O2846,IF($H2846="PREENGAGE",IF($E2846="ATTRIBUE",'ENGAGEMENTS 2026'!AE2846,'ENGAGEMENTS 2026'!O2846),'ENGAGEMENTS 2026'!AE2846))))</f>
        <v/>
      </c>
      <c r="K2846" s="604">
        <f>IF(ISBLANK('ENGAGEMENTS 2026'!W2846),"",'ENGAGEMENTS 2026'!W2846)</f>
        <v/>
      </c>
      <c r="L2846" s="276">
        <f>IF($K2846="","",TODAY()-$K2846)</f>
        <v/>
      </c>
      <c r="M2846">
        <f>IF($A2846="","",IF($H2846="ENGAGE","Engagé",IF(AND($H2846="NON ENGAGE",OR($I2846="INFRUCTUEUX",$I2846="ANNULE")),"Clôturé sans suite","En cours")))</f>
        <v/>
      </c>
      <c r="N2846">
        <f>IF(ISBLANK('ENGAGEMENTS 2026'!C2846),"",'ENGAGEMENTS 2026'!L2846)</f>
        <v/>
      </c>
      <c r="O2846">
        <f>IF(ISBLANK('ENGAGEMENTS 2026'!C2846),"",'ENGAGEMENTS 2026'!M2846)</f>
        <v/>
      </c>
      <c r="P2846">
        <f>IF(ISBLANK('ENGAGEMENTS 2026'!C2846),"",'ENGAGEMENTS 2026'!K2846)</f>
        <v/>
      </c>
      <c r="Q2846">
        <f>IF($A2846="","",IF(OR($E2846="INFRUCTUEUX",$E2846="ANNULE"),$A2846&amp;"|"&amp;(COUNTIFS($A$2:$A2846,$A2846,$E$2:$E2846,"INFRUCTUEUX")+COUNTIFS($A$2:$A2846,$A2846,$E$2:$E2846,"ANNULE")),""))</f>
        <v/>
      </c>
    </row>
    <row r="2847">
      <c r="A2847">
        <f>IF(ISBLANK('ENGAGEMENTS 2026'!C2847),"",IF('ENGAGEMENTS 2026'!C2847="DTSI","DCT",'ENGAGEMENTS 2026'!C2847))</f>
        <v/>
      </c>
      <c r="B2847">
        <f>IF(ISBLANK('ENGAGEMENTS 2026'!C2847),"",'ENGAGEMENTS 2026'!D2847)</f>
        <v/>
      </c>
      <c r="C2847">
        <f>IF(ISBLANK('ENGAGEMENTS 2026'!C2847),"",'ENGAGEMENTS 2026'!E2847)</f>
        <v/>
      </c>
      <c r="D2847">
        <f>IF(ISBLANK('ENGAGEMENTS 2026'!C2847),"",'ENGAGEMENTS 2026'!G2847)</f>
        <v/>
      </c>
      <c r="E2847">
        <f>IF(ISBLANK('ENGAGEMENTS 2026'!C2847),"",'ENGAGEMENTS 2026'!I2847)</f>
        <v/>
      </c>
      <c r="F2847">
        <f>IF(ISBLANK('ENGAGEMENTS 2026'!C2847),"",'ENGAGEMENTS 2026'!J2847)</f>
        <v/>
      </c>
      <c r="G2847">
        <f>IF(ISBLANK('ENGAGEMENTS 2026'!C2847),"",'ENGAGEMENTS 2026'!M2847)</f>
        <v/>
      </c>
      <c r="H2847">
        <f>IF(ISBLANK('ENGAGEMENTS 2026'!C2847),"",'ENGAGEMENTS 2026'!AF2847)</f>
        <v/>
      </c>
      <c r="I2847">
        <f>IF(ISBLANK('ENGAGEMENTS 2026'!C2847),"",'ENGAGEMENTS 2026'!H2847)</f>
        <v/>
      </c>
      <c r="J2847" s="275">
        <f>IF(ISBLANK('ENGAGEMENTS 2026'!C2847),"",IF(AND(OR($E2847="INFRUCTUEUX",$E2847="ANNULE"),$C2847="AOO-M"),'ENGAGEMENTS 2026'!P2847,IF($H2847="EN COURS DE PREENGAGEMENT",'ENGAGEMENTS 2026'!O2847,IF($H2847="PREENGAGE",IF($E2847="ATTRIBUE",'ENGAGEMENTS 2026'!AE2847,'ENGAGEMENTS 2026'!O2847),'ENGAGEMENTS 2026'!AE2847))))</f>
        <v/>
      </c>
      <c r="K2847" s="604">
        <f>IF(ISBLANK('ENGAGEMENTS 2026'!W2847),"",'ENGAGEMENTS 2026'!W2847)</f>
        <v/>
      </c>
      <c r="L2847" s="276">
        <f>IF($K2847="","",TODAY()-$K2847)</f>
        <v/>
      </c>
      <c r="M2847">
        <f>IF($A2847="","",IF($H2847="ENGAGE","Engagé",IF(AND($H2847="NON ENGAGE",OR($I2847="INFRUCTUEUX",$I2847="ANNULE")),"Clôturé sans suite","En cours")))</f>
        <v/>
      </c>
      <c r="N2847">
        <f>IF(ISBLANK('ENGAGEMENTS 2026'!C2847),"",'ENGAGEMENTS 2026'!L2847)</f>
        <v/>
      </c>
      <c r="O2847">
        <f>IF(ISBLANK('ENGAGEMENTS 2026'!C2847),"",'ENGAGEMENTS 2026'!M2847)</f>
        <v/>
      </c>
      <c r="P2847">
        <f>IF(ISBLANK('ENGAGEMENTS 2026'!C2847),"",'ENGAGEMENTS 2026'!K2847)</f>
        <v/>
      </c>
      <c r="Q2847">
        <f>IF($A2847="","",IF(OR($E2847="INFRUCTUEUX",$E2847="ANNULE"),$A2847&amp;"|"&amp;(COUNTIFS($A$2:$A2847,$A2847,$E$2:$E2847,"INFRUCTUEUX")+COUNTIFS($A$2:$A2847,$A2847,$E$2:$E2847,"ANNULE")),""))</f>
        <v/>
      </c>
    </row>
    <row r="2848">
      <c r="A2848">
        <f>IF(ISBLANK('ENGAGEMENTS 2026'!C2848),"",IF('ENGAGEMENTS 2026'!C2848="DTSI","DCT",'ENGAGEMENTS 2026'!C2848))</f>
        <v/>
      </c>
      <c r="B2848">
        <f>IF(ISBLANK('ENGAGEMENTS 2026'!C2848),"",'ENGAGEMENTS 2026'!D2848)</f>
        <v/>
      </c>
      <c r="C2848">
        <f>IF(ISBLANK('ENGAGEMENTS 2026'!C2848),"",'ENGAGEMENTS 2026'!E2848)</f>
        <v/>
      </c>
      <c r="D2848">
        <f>IF(ISBLANK('ENGAGEMENTS 2026'!C2848),"",'ENGAGEMENTS 2026'!G2848)</f>
        <v/>
      </c>
      <c r="E2848">
        <f>IF(ISBLANK('ENGAGEMENTS 2026'!C2848),"",'ENGAGEMENTS 2026'!I2848)</f>
        <v/>
      </c>
      <c r="F2848">
        <f>IF(ISBLANK('ENGAGEMENTS 2026'!C2848),"",'ENGAGEMENTS 2026'!J2848)</f>
        <v/>
      </c>
      <c r="G2848">
        <f>IF(ISBLANK('ENGAGEMENTS 2026'!C2848),"",'ENGAGEMENTS 2026'!M2848)</f>
        <v/>
      </c>
      <c r="H2848">
        <f>IF(ISBLANK('ENGAGEMENTS 2026'!C2848),"",'ENGAGEMENTS 2026'!AF2848)</f>
        <v/>
      </c>
      <c r="I2848">
        <f>IF(ISBLANK('ENGAGEMENTS 2026'!C2848),"",'ENGAGEMENTS 2026'!H2848)</f>
        <v/>
      </c>
      <c r="J2848" s="275">
        <f>IF(ISBLANK('ENGAGEMENTS 2026'!C2848),"",IF(AND(OR($E2848="INFRUCTUEUX",$E2848="ANNULE"),$C2848="AOO-M"),'ENGAGEMENTS 2026'!P2848,IF($H2848="EN COURS DE PREENGAGEMENT",'ENGAGEMENTS 2026'!O2848,IF($H2848="PREENGAGE",IF($E2848="ATTRIBUE",'ENGAGEMENTS 2026'!AE2848,'ENGAGEMENTS 2026'!O2848),'ENGAGEMENTS 2026'!AE2848))))</f>
        <v/>
      </c>
      <c r="K2848" s="604">
        <f>IF(ISBLANK('ENGAGEMENTS 2026'!W2848),"",'ENGAGEMENTS 2026'!W2848)</f>
        <v/>
      </c>
      <c r="L2848" s="276">
        <f>IF($K2848="","",TODAY()-$K2848)</f>
        <v/>
      </c>
      <c r="M2848">
        <f>IF($A2848="","",IF($H2848="ENGAGE","Engagé",IF(AND($H2848="NON ENGAGE",OR($I2848="INFRUCTUEUX",$I2848="ANNULE")),"Clôturé sans suite","En cours")))</f>
        <v/>
      </c>
      <c r="N2848">
        <f>IF(ISBLANK('ENGAGEMENTS 2026'!C2848),"",'ENGAGEMENTS 2026'!L2848)</f>
        <v/>
      </c>
      <c r="O2848">
        <f>IF(ISBLANK('ENGAGEMENTS 2026'!C2848),"",'ENGAGEMENTS 2026'!M2848)</f>
        <v/>
      </c>
      <c r="P2848">
        <f>IF(ISBLANK('ENGAGEMENTS 2026'!C2848),"",'ENGAGEMENTS 2026'!K2848)</f>
        <v/>
      </c>
      <c r="Q2848">
        <f>IF($A2848="","",IF(OR($E2848="INFRUCTUEUX",$E2848="ANNULE"),$A2848&amp;"|"&amp;(COUNTIFS($A$2:$A2848,$A2848,$E$2:$E2848,"INFRUCTUEUX")+COUNTIFS($A$2:$A2848,$A2848,$E$2:$E2848,"ANNULE")),""))</f>
        <v/>
      </c>
    </row>
    <row r="2849">
      <c r="A2849">
        <f>IF(ISBLANK('ENGAGEMENTS 2026'!C2849),"",IF('ENGAGEMENTS 2026'!C2849="DTSI","DCT",'ENGAGEMENTS 2026'!C2849))</f>
        <v/>
      </c>
      <c r="B2849">
        <f>IF(ISBLANK('ENGAGEMENTS 2026'!C2849),"",'ENGAGEMENTS 2026'!D2849)</f>
        <v/>
      </c>
      <c r="C2849">
        <f>IF(ISBLANK('ENGAGEMENTS 2026'!C2849),"",'ENGAGEMENTS 2026'!E2849)</f>
        <v/>
      </c>
      <c r="D2849">
        <f>IF(ISBLANK('ENGAGEMENTS 2026'!C2849),"",'ENGAGEMENTS 2026'!G2849)</f>
        <v/>
      </c>
      <c r="E2849">
        <f>IF(ISBLANK('ENGAGEMENTS 2026'!C2849),"",'ENGAGEMENTS 2026'!I2849)</f>
        <v/>
      </c>
      <c r="F2849">
        <f>IF(ISBLANK('ENGAGEMENTS 2026'!C2849),"",'ENGAGEMENTS 2026'!J2849)</f>
        <v/>
      </c>
      <c r="G2849">
        <f>IF(ISBLANK('ENGAGEMENTS 2026'!C2849),"",'ENGAGEMENTS 2026'!M2849)</f>
        <v/>
      </c>
      <c r="H2849">
        <f>IF(ISBLANK('ENGAGEMENTS 2026'!C2849),"",'ENGAGEMENTS 2026'!AF2849)</f>
        <v/>
      </c>
      <c r="I2849">
        <f>IF(ISBLANK('ENGAGEMENTS 2026'!C2849),"",'ENGAGEMENTS 2026'!H2849)</f>
        <v/>
      </c>
      <c r="J2849" s="275">
        <f>IF(ISBLANK('ENGAGEMENTS 2026'!C2849),"",IF(AND(OR($E2849="INFRUCTUEUX",$E2849="ANNULE"),$C2849="AOO-M"),'ENGAGEMENTS 2026'!P2849,IF($H2849="EN COURS DE PREENGAGEMENT",'ENGAGEMENTS 2026'!O2849,IF($H2849="PREENGAGE",IF($E2849="ATTRIBUE",'ENGAGEMENTS 2026'!AE2849,'ENGAGEMENTS 2026'!O2849),'ENGAGEMENTS 2026'!AE2849))))</f>
        <v/>
      </c>
      <c r="K2849" s="604">
        <f>IF(ISBLANK('ENGAGEMENTS 2026'!W2849),"",'ENGAGEMENTS 2026'!W2849)</f>
        <v/>
      </c>
      <c r="L2849" s="276">
        <f>IF($K2849="","",TODAY()-$K2849)</f>
        <v/>
      </c>
      <c r="M2849">
        <f>IF($A2849="","",IF($H2849="ENGAGE","Engagé",IF(AND($H2849="NON ENGAGE",OR($I2849="INFRUCTUEUX",$I2849="ANNULE")),"Clôturé sans suite","En cours")))</f>
        <v/>
      </c>
      <c r="N2849">
        <f>IF(ISBLANK('ENGAGEMENTS 2026'!C2849),"",'ENGAGEMENTS 2026'!L2849)</f>
        <v/>
      </c>
      <c r="O2849">
        <f>IF(ISBLANK('ENGAGEMENTS 2026'!C2849),"",'ENGAGEMENTS 2026'!M2849)</f>
        <v/>
      </c>
      <c r="P2849">
        <f>IF(ISBLANK('ENGAGEMENTS 2026'!C2849),"",'ENGAGEMENTS 2026'!K2849)</f>
        <v/>
      </c>
      <c r="Q2849">
        <f>IF($A2849="","",IF(OR($E2849="INFRUCTUEUX",$E2849="ANNULE"),$A2849&amp;"|"&amp;(COUNTIFS($A$2:$A2849,$A2849,$E$2:$E2849,"INFRUCTUEUX")+COUNTIFS($A$2:$A2849,$A2849,$E$2:$E2849,"ANNULE")),""))</f>
        <v/>
      </c>
    </row>
    <row r="2850">
      <c r="A2850">
        <f>IF(ISBLANK('ENGAGEMENTS 2026'!C2850),"",IF('ENGAGEMENTS 2026'!C2850="DTSI","DCT",'ENGAGEMENTS 2026'!C2850))</f>
        <v/>
      </c>
      <c r="B2850">
        <f>IF(ISBLANK('ENGAGEMENTS 2026'!C2850),"",'ENGAGEMENTS 2026'!D2850)</f>
        <v/>
      </c>
      <c r="C2850">
        <f>IF(ISBLANK('ENGAGEMENTS 2026'!C2850),"",'ENGAGEMENTS 2026'!E2850)</f>
        <v/>
      </c>
      <c r="D2850">
        <f>IF(ISBLANK('ENGAGEMENTS 2026'!C2850),"",'ENGAGEMENTS 2026'!G2850)</f>
        <v/>
      </c>
      <c r="E2850">
        <f>IF(ISBLANK('ENGAGEMENTS 2026'!C2850),"",'ENGAGEMENTS 2026'!I2850)</f>
        <v/>
      </c>
      <c r="F2850">
        <f>IF(ISBLANK('ENGAGEMENTS 2026'!C2850),"",'ENGAGEMENTS 2026'!J2850)</f>
        <v/>
      </c>
      <c r="G2850">
        <f>IF(ISBLANK('ENGAGEMENTS 2026'!C2850),"",'ENGAGEMENTS 2026'!M2850)</f>
        <v/>
      </c>
      <c r="H2850">
        <f>IF(ISBLANK('ENGAGEMENTS 2026'!C2850),"",'ENGAGEMENTS 2026'!AF2850)</f>
        <v/>
      </c>
      <c r="I2850">
        <f>IF(ISBLANK('ENGAGEMENTS 2026'!C2850),"",'ENGAGEMENTS 2026'!H2850)</f>
        <v/>
      </c>
      <c r="J2850" s="275">
        <f>IF(ISBLANK('ENGAGEMENTS 2026'!C2850),"",IF(AND(OR($E2850="INFRUCTUEUX",$E2850="ANNULE"),$C2850="AOO-M"),'ENGAGEMENTS 2026'!P2850,IF($H2850="EN COURS DE PREENGAGEMENT",'ENGAGEMENTS 2026'!O2850,IF($H2850="PREENGAGE",IF($E2850="ATTRIBUE",'ENGAGEMENTS 2026'!AE2850,'ENGAGEMENTS 2026'!O2850),'ENGAGEMENTS 2026'!AE2850))))</f>
        <v/>
      </c>
      <c r="K2850" s="604">
        <f>IF(ISBLANK('ENGAGEMENTS 2026'!W2850),"",'ENGAGEMENTS 2026'!W2850)</f>
        <v/>
      </c>
      <c r="L2850" s="276">
        <f>IF($K2850="","",TODAY()-$K2850)</f>
        <v/>
      </c>
      <c r="M2850">
        <f>IF($A2850="","",IF($H2850="ENGAGE","Engagé",IF(AND($H2850="NON ENGAGE",OR($I2850="INFRUCTUEUX",$I2850="ANNULE")),"Clôturé sans suite","En cours")))</f>
        <v/>
      </c>
      <c r="N2850">
        <f>IF(ISBLANK('ENGAGEMENTS 2026'!C2850),"",'ENGAGEMENTS 2026'!L2850)</f>
        <v/>
      </c>
      <c r="O2850">
        <f>IF(ISBLANK('ENGAGEMENTS 2026'!C2850),"",'ENGAGEMENTS 2026'!M2850)</f>
        <v/>
      </c>
      <c r="P2850">
        <f>IF(ISBLANK('ENGAGEMENTS 2026'!C2850),"",'ENGAGEMENTS 2026'!K2850)</f>
        <v/>
      </c>
      <c r="Q2850">
        <f>IF($A2850="","",IF(OR($E2850="INFRUCTUEUX",$E2850="ANNULE"),$A2850&amp;"|"&amp;(COUNTIFS($A$2:$A2850,$A2850,$E$2:$E2850,"INFRUCTUEUX")+COUNTIFS($A$2:$A2850,$A2850,$E$2:$E2850,"ANNULE")),""))</f>
        <v/>
      </c>
    </row>
    <row r="2851">
      <c r="A2851">
        <f>IF(ISBLANK('ENGAGEMENTS 2026'!C2851),"",IF('ENGAGEMENTS 2026'!C2851="DTSI","DCT",'ENGAGEMENTS 2026'!C2851))</f>
        <v/>
      </c>
      <c r="B2851">
        <f>IF(ISBLANK('ENGAGEMENTS 2026'!C2851),"",'ENGAGEMENTS 2026'!D2851)</f>
        <v/>
      </c>
      <c r="C2851">
        <f>IF(ISBLANK('ENGAGEMENTS 2026'!C2851),"",'ENGAGEMENTS 2026'!E2851)</f>
        <v/>
      </c>
      <c r="D2851">
        <f>IF(ISBLANK('ENGAGEMENTS 2026'!C2851),"",'ENGAGEMENTS 2026'!G2851)</f>
        <v/>
      </c>
      <c r="E2851">
        <f>IF(ISBLANK('ENGAGEMENTS 2026'!C2851),"",'ENGAGEMENTS 2026'!I2851)</f>
        <v/>
      </c>
      <c r="F2851">
        <f>IF(ISBLANK('ENGAGEMENTS 2026'!C2851),"",'ENGAGEMENTS 2026'!J2851)</f>
        <v/>
      </c>
      <c r="G2851">
        <f>IF(ISBLANK('ENGAGEMENTS 2026'!C2851),"",'ENGAGEMENTS 2026'!M2851)</f>
        <v/>
      </c>
      <c r="H2851">
        <f>IF(ISBLANK('ENGAGEMENTS 2026'!C2851),"",'ENGAGEMENTS 2026'!AF2851)</f>
        <v/>
      </c>
      <c r="I2851">
        <f>IF(ISBLANK('ENGAGEMENTS 2026'!C2851),"",'ENGAGEMENTS 2026'!H2851)</f>
        <v/>
      </c>
      <c r="J2851" s="275">
        <f>IF(ISBLANK('ENGAGEMENTS 2026'!C2851),"",IF(AND(OR($E2851="INFRUCTUEUX",$E2851="ANNULE"),$C2851="AOO-M"),'ENGAGEMENTS 2026'!P2851,IF($H2851="EN COURS DE PREENGAGEMENT",'ENGAGEMENTS 2026'!O2851,IF($H2851="PREENGAGE",IF($E2851="ATTRIBUE",'ENGAGEMENTS 2026'!AE2851,'ENGAGEMENTS 2026'!O2851),'ENGAGEMENTS 2026'!AE2851))))</f>
        <v/>
      </c>
      <c r="K2851" s="604">
        <f>IF(ISBLANK('ENGAGEMENTS 2026'!W2851),"",'ENGAGEMENTS 2026'!W2851)</f>
        <v/>
      </c>
      <c r="L2851" s="276">
        <f>IF($K2851="","",TODAY()-$K2851)</f>
        <v/>
      </c>
      <c r="M2851">
        <f>IF($A2851="","",IF($H2851="ENGAGE","Engagé",IF(AND($H2851="NON ENGAGE",OR($I2851="INFRUCTUEUX",$I2851="ANNULE")),"Clôturé sans suite","En cours")))</f>
        <v/>
      </c>
      <c r="N2851">
        <f>IF(ISBLANK('ENGAGEMENTS 2026'!C2851),"",'ENGAGEMENTS 2026'!L2851)</f>
        <v/>
      </c>
      <c r="O2851">
        <f>IF(ISBLANK('ENGAGEMENTS 2026'!C2851),"",'ENGAGEMENTS 2026'!M2851)</f>
        <v/>
      </c>
      <c r="P2851">
        <f>IF(ISBLANK('ENGAGEMENTS 2026'!C2851),"",'ENGAGEMENTS 2026'!K2851)</f>
        <v/>
      </c>
      <c r="Q2851">
        <f>IF($A2851="","",IF(OR($E2851="INFRUCTUEUX",$E2851="ANNULE"),$A2851&amp;"|"&amp;(COUNTIFS($A$2:$A2851,$A2851,$E$2:$E2851,"INFRUCTUEUX")+COUNTIFS($A$2:$A2851,$A2851,$E$2:$E2851,"ANNULE")),""))</f>
        <v/>
      </c>
    </row>
    <row r="2852">
      <c r="A2852">
        <f>IF(ISBLANK('ENGAGEMENTS 2026'!C2852),"",IF('ENGAGEMENTS 2026'!C2852="DTSI","DCT",'ENGAGEMENTS 2026'!C2852))</f>
        <v/>
      </c>
      <c r="B2852">
        <f>IF(ISBLANK('ENGAGEMENTS 2026'!C2852),"",'ENGAGEMENTS 2026'!D2852)</f>
        <v/>
      </c>
      <c r="C2852">
        <f>IF(ISBLANK('ENGAGEMENTS 2026'!C2852),"",'ENGAGEMENTS 2026'!E2852)</f>
        <v/>
      </c>
      <c r="D2852">
        <f>IF(ISBLANK('ENGAGEMENTS 2026'!C2852),"",'ENGAGEMENTS 2026'!G2852)</f>
        <v/>
      </c>
      <c r="E2852">
        <f>IF(ISBLANK('ENGAGEMENTS 2026'!C2852),"",'ENGAGEMENTS 2026'!I2852)</f>
        <v/>
      </c>
      <c r="F2852">
        <f>IF(ISBLANK('ENGAGEMENTS 2026'!C2852),"",'ENGAGEMENTS 2026'!J2852)</f>
        <v/>
      </c>
      <c r="G2852">
        <f>IF(ISBLANK('ENGAGEMENTS 2026'!C2852),"",'ENGAGEMENTS 2026'!M2852)</f>
        <v/>
      </c>
      <c r="H2852">
        <f>IF(ISBLANK('ENGAGEMENTS 2026'!C2852),"",'ENGAGEMENTS 2026'!AF2852)</f>
        <v/>
      </c>
      <c r="I2852">
        <f>IF(ISBLANK('ENGAGEMENTS 2026'!C2852),"",'ENGAGEMENTS 2026'!H2852)</f>
        <v/>
      </c>
      <c r="J2852" s="275">
        <f>IF(ISBLANK('ENGAGEMENTS 2026'!C2852),"",IF(AND(OR($E2852="INFRUCTUEUX",$E2852="ANNULE"),$C2852="AOO-M"),'ENGAGEMENTS 2026'!P2852,IF($H2852="EN COURS DE PREENGAGEMENT",'ENGAGEMENTS 2026'!O2852,IF($H2852="PREENGAGE",IF($E2852="ATTRIBUE",'ENGAGEMENTS 2026'!AE2852,'ENGAGEMENTS 2026'!O2852),'ENGAGEMENTS 2026'!AE2852))))</f>
        <v/>
      </c>
      <c r="K2852" s="604">
        <f>IF(ISBLANK('ENGAGEMENTS 2026'!W2852),"",'ENGAGEMENTS 2026'!W2852)</f>
        <v/>
      </c>
      <c r="L2852" s="276">
        <f>IF($K2852="","",TODAY()-$K2852)</f>
        <v/>
      </c>
      <c r="M2852">
        <f>IF($A2852="","",IF($H2852="ENGAGE","Engagé",IF(AND($H2852="NON ENGAGE",OR($I2852="INFRUCTUEUX",$I2852="ANNULE")),"Clôturé sans suite","En cours")))</f>
        <v/>
      </c>
      <c r="N2852">
        <f>IF(ISBLANK('ENGAGEMENTS 2026'!C2852),"",'ENGAGEMENTS 2026'!L2852)</f>
        <v/>
      </c>
      <c r="O2852">
        <f>IF(ISBLANK('ENGAGEMENTS 2026'!C2852),"",'ENGAGEMENTS 2026'!M2852)</f>
        <v/>
      </c>
      <c r="P2852">
        <f>IF(ISBLANK('ENGAGEMENTS 2026'!C2852),"",'ENGAGEMENTS 2026'!K2852)</f>
        <v/>
      </c>
      <c r="Q2852">
        <f>IF($A2852="","",IF(OR($E2852="INFRUCTUEUX",$E2852="ANNULE"),$A2852&amp;"|"&amp;(COUNTIFS($A$2:$A2852,$A2852,$E$2:$E2852,"INFRUCTUEUX")+COUNTIFS($A$2:$A2852,$A2852,$E$2:$E2852,"ANNULE")),""))</f>
        <v/>
      </c>
    </row>
    <row r="2853">
      <c r="A2853">
        <f>IF(ISBLANK('ENGAGEMENTS 2026'!C2853),"",IF('ENGAGEMENTS 2026'!C2853="DTSI","DCT",'ENGAGEMENTS 2026'!C2853))</f>
        <v/>
      </c>
      <c r="B2853">
        <f>IF(ISBLANK('ENGAGEMENTS 2026'!C2853),"",'ENGAGEMENTS 2026'!D2853)</f>
        <v/>
      </c>
      <c r="C2853">
        <f>IF(ISBLANK('ENGAGEMENTS 2026'!C2853),"",'ENGAGEMENTS 2026'!E2853)</f>
        <v/>
      </c>
      <c r="D2853">
        <f>IF(ISBLANK('ENGAGEMENTS 2026'!C2853),"",'ENGAGEMENTS 2026'!G2853)</f>
        <v/>
      </c>
      <c r="E2853">
        <f>IF(ISBLANK('ENGAGEMENTS 2026'!C2853),"",'ENGAGEMENTS 2026'!I2853)</f>
        <v/>
      </c>
      <c r="F2853">
        <f>IF(ISBLANK('ENGAGEMENTS 2026'!C2853),"",'ENGAGEMENTS 2026'!J2853)</f>
        <v/>
      </c>
      <c r="G2853">
        <f>IF(ISBLANK('ENGAGEMENTS 2026'!C2853),"",'ENGAGEMENTS 2026'!M2853)</f>
        <v/>
      </c>
      <c r="H2853">
        <f>IF(ISBLANK('ENGAGEMENTS 2026'!C2853),"",'ENGAGEMENTS 2026'!AF2853)</f>
        <v/>
      </c>
      <c r="I2853">
        <f>IF(ISBLANK('ENGAGEMENTS 2026'!C2853),"",'ENGAGEMENTS 2026'!H2853)</f>
        <v/>
      </c>
      <c r="J2853" s="275">
        <f>IF(ISBLANK('ENGAGEMENTS 2026'!C2853),"",IF(AND(OR($E2853="INFRUCTUEUX",$E2853="ANNULE"),$C2853="AOO-M"),'ENGAGEMENTS 2026'!P2853,IF($H2853="EN COURS DE PREENGAGEMENT",'ENGAGEMENTS 2026'!O2853,IF($H2853="PREENGAGE",IF($E2853="ATTRIBUE",'ENGAGEMENTS 2026'!AE2853,'ENGAGEMENTS 2026'!O2853),'ENGAGEMENTS 2026'!AE2853))))</f>
        <v/>
      </c>
      <c r="K2853" s="604">
        <f>IF(ISBLANK('ENGAGEMENTS 2026'!W2853),"",'ENGAGEMENTS 2026'!W2853)</f>
        <v/>
      </c>
      <c r="L2853" s="276">
        <f>IF($K2853="","",TODAY()-$K2853)</f>
        <v/>
      </c>
      <c r="M2853">
        <f>IF($A2853="","",IF($H2853="ENGAGE","Engagé",IF(AND($H2853="NON ENGAGE",OR($I2853="INFRUCTUEUX",$I2853="ANNULE")),"Clôturé sans suite","En cours")))</f>
        <v/>
      </c>
      <c r="N2853">
        <f>IF(ISBLANK('ENGAGEMENTS 2026'!C2853),"",'ENGAGEMENTS 2026'!L2853)</f>
        <v/>
      </c>
      <c r="O2853">
        <f>IF(ISBLANK('ENGAGEMENTS 2026'!C2853),"",'ENGAGEMENTS 2026'!M2853)</f>
        <v/>
      </c>
      <c r="P2853">
        <f>IF(ISBLANK('ENGAGEMENTS 2026'!C2853),"",'ENGAGEMENTS 2026'!K2853)</f>
        <v/>
      </c>
      <c r="Q2853">
        <f>IF($A2853="","",IF(OR($E2853="INFRUCTUEUX",$E2853="ANNULE"),$A2853&amp;"|"&amp;(COUNTIFS($A$2:$A2853,$A2853,$E$2:$E2853,"INFRUCTUEUX")+COUNTIFS($A$2:$A2853,$A2853,$E$2:$E2853,"ANNULE")),""))</f>
        <v/>
      </c>
    </row>
    <row r="2854">
      <c r="A2854">
        <f>IF(ISBLANK('ENGAGEMENTS 2026'!C2854),"",IF('ENGAGEMENTS 2026'!C2854="DTSI","DCT",'ENGAGEMENTS 2026'!C2854))</f>
        <v/>
      </c>
      <c r="B2854">
        <f>IF(ISBLANK('ENGAGEMENTS 2026'!C2854),"",'ENGAGEMENTS 2026'!D2854)</f>
        <v/>
      </c>
      <c r="C2854">
        <f>IF(ISBLANK('ENGAGEMENTS 2026'!C2854),"",'ENGAGEMENTS 2026'!E2854)</f>
        <v/>
      </c>
      <c r="D2854">
        <f>IF(ISBLANK('ENGAGEMENTS 2026'!C2854),"",'ENGAGEMENTS 2026'!G2854)</f>
        <v/>
      </c>
      <c r="E2854">
        <f>IF(ISBLANK('ENGAGEMENTS 2026'!C2854),"",'ENGAGEMENTS 2026'!I2854)</f>
        <v/>
      </c>
      <c r="F2854">
        <f>IF(ISBLANK('ENGAGEMENTS 2026'!C2854),"",'ENGAGEMENTS 2026'!J2854)</f>
        <v/>
      </c>
      <c r="G2854">
        <f>IF(ISBLANK('ENGAGEMENTS 2026'!C2854),"",'ENGAGEMENTS 2026'!M2854)</f>
        <v/>
      </c>
      <c r="H2854">
        <f>IF(ISBLANK('ENGAGEMENTS 2026'!C2854),"",'ENGAGEMENTS 2026'!AF2854)</f>
        <v/>
      </c>
      <c r="I2854">
        <f>IF(ISBLANK('ENGAGEMENTS 2026'!C2854),"",'ENGAGEMENTS 2026'!H2854)</f>
        <v/>
      </c>
      <c r="J2854" s="275">
        <f>IF(ISBLANK('ENGAGEMENTS 2026'!C2854),"",IF(AND(OR($E2854="INFRUCTUEUX",$E2854="ANNULE"),$C2854="AOO-M"),'ENGAGEMENTS 2026'!P2854,IF($H2854="EN COURS DE PREENGAGEMENT",'ENGAGEMENTS 2026'!O2854,IF($H2854="PREENGAGE",IF($E2854="ATTRIBUE",'ENGAGEMENTS 2026'!AE2854,'ENGAGEMENTS 2026'!O2854),'ENGAGEMENTS 2026'!AE2854))))</f>
        <v/>
      </c>
      <c r="K2854" s="604">
        <f>IF(ISBLANK('ENGAGEMENTS 2026'!W2854),"",'ENGAGEMENTS 2026'!W2854)</f>
        <v/>
      </c>
      <c r="L2854" s="276">
        <f>IF($K2854="","",TODAY()-$K2854)</f>
        <v/>
      </c>
      <c r="M2854">
        <f>IF($A2854="","",IF($H2854="ENGAGE","Engagé",IF(AND($H2854="NON ENGAGE",OR($I2854="INFRUCTUEUX",$I2854="ANNULE")),"Clôturé sans suite","En cours")))</f>
        <v/>
      </c>
      <c r="N2854">
        <f>IF(ISBLANK('ENGAGEMENTS 2026'!C2854),"",'ENGAGEMENTS 2026'!L2854)</f>
        <v/>
      </c>
      <c r="O2854">
        <f>IF(ISBLANK('ENGAGEMENTS 2026'!C2854),"",'ENGAGEMENTS 2026'!M2854)</f>
        <v/>
      </c>
      <c r="P2854">
        <f>IF(ISBLANK('ENGAGEMENTS 2026'!C2854),"",'ENGAGEMENTS 2026'!K2854)</f>
        <v/>
      </c>
      <c r="Q2854">
        <f>IF($A2854="","",IF(OR($E2854="INFRUCTUEUX",$E2854="ANNULE"),$A2854&amp;"|"&amp;(COUNTIFS($A$2:$A2854,$A2854,$E$2:$E2854,"INFRUCTUEUX")+COUNTIFS($A$2:$A2854,$A2854,$E$2:$E2854,"ANNULE")),""))</f>
        <v/>
      </c>
    </row>
    <row r="2855">
      <c r="A2855">
        <f>IF(ISBLANK('ENGAGEMENTS 2026'!C2855),"",IF('ENGAGEMENTS 2026'!C2855="DTSI","DCT",'ENGAGEMENTS 2026'!C2855))</f>
        <v/>
      </c>
      <c r="B2855">
        <f>IF(ISBLANK('ENGAGEMENTS 2026'!C2855),"",'ENGAGEMENTS 2026'!D2855)</f>
        <v/>
      </c>
      <c r="C2855">
        <f>IF(ISBLANK('ENGAGEMENTS 2026'!C2855),"",'ENGAGEMENTS 2026'!E2855)</f>
        <v/>
      </c>
      <c r="D2855">
        <f>IF(ISBLANK('ENGAGEMENTS 2026'!C2855),"",'ENGAGEMENTS 2026'!G2855)</f>
        <v/>
      </c>
      <c r="E2855">
        <f>IF(ISBLANK('ENGAGEMENTS 2026'!C2855),"",'ENGAGEMENTS 2026'!I2855)</f>
        <v/>
      </c>
      <c r="F2855">
        <f>IF(ISBLANK('ENGAGEMENTS 2026'!C2855),"",'ENGAGEMENTS 2026'!J2855)</f>
        <v/>
      </c>
      <c r="G2855">
        <f>IF(ISBLANK('ENGAGEMENTS 2026'!C2855),"",'ENGAGEMENTS 2026'!M2855)</f>
        <v/>
      </c>
      <c r="H2855">
        <f>IF(ISBLANK('ENGAGEMENTS 2026'!C2855),"",'ENGAGEMENTS 2026'!AF2855)</f>
        <v/>
      </c>
      <c r="I2855">
        <f>IF(ISBLANK('ENGAGEMENTS 2026'!C2855),"",'ENGAGEMENTS 2026'!H2855)</f>
        <v/>
      </c>
      <c r="J2855" s="275">
        <f>IF(ISBLANK('ENGAGEMENTS 2026'!C2855),"",IF(AND(OR($E2855="INFRUCTUEUX",$E2855="ANNULE"),$C2855="AOO-M"),'ENGAGEMENTS 2026'!P2855,IF($H2855="EN COURS DE PREENGAGEMENT",'ENGAGEMENTS 2026'!O2855,IF($H2855="PREENGAGE",IF($E2855="ATTRIBUE",'ENGAGEMENTS 2026'!AE2855,'ENGAGEMENTS 2026'!O2855),'ENGAGEMENTS 2026'!AE2855))))</f>
        <v/>
      </c>
      <c r="K2855" s="604">
        <f>IF(ISBLANK('ENGAGEMENTS 2026'!W2855),"",'ENGAGEMENTS 2026'!W2855)</f>
        <v/>
      </c>
      <c r="L2855" s="276">
        <f>IF($K2855="","",TODAY()-$K2855)</f>
        <v/>
      </c>
      <c r="M2855">
        <f>IF($A2855="","",IF($H2855="ENGAGE","Engagé",IF(AND($H2855="NON ENGAGE",OR($I2855="INFRUCTUEUX",$I2855="ANNULE")),"Clôturé sans suite","En cours")))</f>
        <v/>
      </c>
      <c r="N2855">
        <f>IF(ISBLANK('ENGAGEMENTS 2026'!C2855),"",'ENGAGEMENTS 2026'!L2855)</f>
        <v/>
      </c>
      <c r="O2855">
        <f>IF(ISBLANK('ENGAGEMENTS 2026'!C2855),"",'ENGAGEMENTS 2026'!M2855)</f>
        <v/>
      </c>
      <c r="P2855">
        <f>IF(ISBLANK('ENGAGEMENTS 2026'!C2855),"",'ENGAGEMENTS 2026'!K2855)</f>
        <v/>
      </c>
      <c r="Q2855">
        <f>IF($A2855="","",IF(OR($E2855="INFRUCTUEUX",$E2855="ANNULE"),$A2855&amp;"|"&amp;(COUNTIFS($A$2:$A2855,$A2855,$E$2:$E2855,"INFRUCTUEUX")+COUNTIFS($A$2:$A2855,$A2855,$E$2:$E2855,"ANNULE")),""))</f>
        <v/>
      </c>
    </row>
    <row r="2856">
      <c r="A2856">
        <f>IF(ISBLANK('ENGAGEMENTS 2026'!C2856),"",IF('ENGAGEMENTS 2026'!C2856="DTSI","DCT",'ENGAGEMENTS 2026'!C2856))</f>
        <v/>
      </c>
      <c r="B2856">
        <f>IF(ISBLANK('ENGAGEMENTS 2026'!C2856),"",'ENGAGEMENTS 2026'!D2856)</f>
        <v/>
      </c>
      <c r="C2856">
        <f>IF(ISBLANK('ENGAGEMENTS 2026'!C2856),"",'ENGAGEMENTS 2026'!E2856)</f>
        <v/>
      </c>
      <c r="D2856">
        <f>IF(ISBLANK('ENGAGEMENTS 2026'!C2856),"",'ENGAGEMENTS 2026'!G2856)</f>
        <v/>
      </c>
      <c r="E2856">
        <f>IF(ISBLANK('ENGAGEMENTS 2026'!C2856),"",'ENGAGEMENTS 2026'!I2856)</f>
        <v/>
      </c>
      <c r="F2856">
        <f>IF(ISBLANK('ENGAGEMENTS 2026'!C2856),"",'ENGAGEMENTS 2026'!J2856)</f>
        <v/>
      </c>
      <c r="G2856">
        <f>IF(ISBLANK('ENGAGEMENTS 2026'!C2856),"",'ENGAGEMENTS 2026'!M2856)</f>
        <v/>
      </c>
      <c r="H2856">
        <f>IF(ISBLANK('ENGAGEMENTS 2026'!C2856),"",'ENGAGEMENTS 2026'!AF2856)</f>
        <v/>
      </c>
      <c r="I2856">
        <f>IF(ISBLANK('ENGAGEMENTS 2026'!C2856),"",'ENGAGEMENTS 2026'!H2856)</f>
        <v/>
      </c>
      <c r="J2856" s="275">
        <f>IF(ISBLANK('ENGAGEMENTS 2026'!C2856),"",IF(AND(OR($E2856="INFRUCTUEUX",$E2856="ANNULE"),$C2856="AOO-M"),'ENGAGEMENTS 2026'!P2856,IF($H2856="EN COURS DE PREENGAGEMENT",'ENGAGEMENTS 2026'!O2856,IF($H2856="PREENGAGE",IF($E2856="ATTRIBUE",'ENGAGEMENTS 2026'!AE2856,'ENGAGEMENTS 2026'!O2856),'ENGAGEMENTS 2026'!AE2856))))</f>
        <v/>
      </c>
      <c r="K2856" s="604">
        <f>IF(ISBLANK('ENGAGEMENTS 2026'!W2856),"",'ENGAGEMENTS 2026'!W2856)</f>
        <v/>
      </c>
      <c r="L2856" s="276">
        <f>IF($K2856="","",TODAY()-$K2856)</f>
        <v/>
      </c>
      <c r="M2856">
        <f>IF($A2856="","",IF($H2856="ENGAGE","Engagé",IF(AND($H2856="NON ENGAGE",OR($I2856="INFRUCTUEUX",$I2856="ANNULE")),"Clôturé sans suite","En cours")))</f>
        <v/>
      </c>
      <c r="N2856">
        <f>IF(ISBLANK('ENGAGEMENTS 2026'!C2856),"",'ENGAGEMENTS 2026'!L2856)</f>
        <v/>
      </c>
      <c r="O2856">
        <f>IF(ISBLANK('ENGAGEMENTS 2026'!C2856),"",'ENGAGEMENTS 2026'!M2856)</f>
        <v/>
      </c>
      <c r="P2856">
        <f>IF(ISBLANK('ENGAGEMENTS 2026'!C2856),"",'ENGAGEMENTS 2026'!K2856)</f>
        <v/>
      </c>
      <c r="Q2856">
        <f>IF($A2856="","",IF(OR($E2856="INFRUCTUEUX",$E2856="ANNULE"),$A2856&amp;"|"&amp;(COUNTIFS($A$2:$A2856,$A2856,$E$2:$E2856,"INFRUCTUEUX")+COUNTIFS($A$2:$A2856,$A2856,$E$2:$E2856,"ANNULE")),""))</f>
        <v/>
      </c>
    </row>
    <row r="2857">
      <c r="A2857">
        <f>IF(ISBLANK('ENGAGEMENTS 2026'!C2857),"",IF('ENGAGEMENTS 2026'!C2857="DTSI","DCT",'ENGAGEMENTS 2026'!C2857))</f>
        <v/>
      </c>
      <c r="B2857">
        <f>IF(ISBLANK('ENGAGEMENTS 2026'!C2857),"",'ENGAGEMENTS 2026'!D2857)</f>
        <v/>
      </c>
      <c r="C2857">
        <f>IF(ISBLANK('ENGAGEMENTS 2026'!C2857),"",'ENGAGEMENTS 2026'!E2857)</f>
        <v/>
      </c>
      <c r="D2857">
        <f>IF(ISBLANK('ENGAGEMENTS 2026'!C2857),"",'ENGAGEMENTS 2026'!G2857)</f>
        <v/>
      </c>
      <c r="E2857">
        <f>IF(ISBLANK('ENGAGEMENTS 2026'!C2857),"",'ENGAGEMENTS 2026'!I2857)</f>
        <v/>
      </c>
      <c r="F2857">
        <f>IF(ISBLANK('ENGAGEMENTS 2026'!C2857),"",'ENGAGEMENTS 2026'!J2857)</f>
        <v/>
      </c>
      <c r="G2857">
        <f>IF(ISBLANK('ENGAGEMENTS 2026'!C2857),"",'ENGAGEMENTS 2026'!M2857)</f>
        <v/>
      </c>
      <c r="H2857">
        <f>IF(ISBLANK('ENGAGEMENTS 2026'!C2857),"",'ENGAGEMENTS 2026'!AF2857)</f>
        <v/>
      </c>
      <c r="I2857">
        <f>IF(ISBLANK('ENGAGEMENTS 2026'!C2857),"",'ENGAGEMENTS 2026'!H2857)</f>
        <v/>
      </c>
      <c r="J2857" s="275">
        <f>IF(ISBLANK('ENGAGEMENTS 2026'!C2857),"",IF(AND(OR($E2857="INFRUCTUEUX",$E2857="ANNULE"),$C2857="AOO-M"),'ENGAGEMENTS 2026'!P2857,IF($H2857="EN COURS DE PREENGAGEMENT",'ENGAGEMENTS 2026'!O2857,IF($H2857="PREENGAGE",IF($E2857="ATTRIBUE",'ENGAGEMENTS 2026'!AE2857,'ENGAGEMENTS 2026'!O2857),'ENGAGEMENTS 2026'!AE2857))))</f>
        <v/>
      </c>
      <c r="K2857" s="604">
        <f>IF(ISBLANK('ENGAGEMENTS 2026'!W2857),"",'ENGAGEMENTS 2026'!W2857)</f>
        <v/>
      </c>
      <c r="L2857" s="276">
        <f>IF($K2857="","",TODAY()-$K2857)</f>
        <v/>
      </c>
      <c r="M2857">
        <f>IF($A2857="","",IF($H2857="ENGAGE","Engagé",IF(AND($H2857="NON ENGAGE",OR($I2857="INFRUCTUEUX",$I2857="ANNULE")),"Clôturé sans suite","En cours")))</f>
        <v/>
      </c>
      <c r="N2857">
        <f>IF(ISBLANK('ENGAGEMENTS 2026'!C2857),"",'ENGAGEMENTS 2026'!L2857)</f>
        <v/>
      </c>
      <c r="O2857">
        <f>IF(ISBLANK('ENGAGEMENTS 2026'!C2857),"",'ENGAGEMENTS 2026'!M2857)</f>
        <v/>
      </c>
      <c r="P2857">
        <f>IF(ISBLANK('ENGAGEMENTS 2026'!C2857),"",'ENGAGEMENTS 2026'!K2857)</f>
        <v/>
      </c>
      <c r="Q2857">
        <f>IF($A2857="","",IF(OR($E2857="INFRUCTUEUX",$E2857="ANNULE"),$A2857&amp;"|"&amp;(COUNTIFS($A$2:$A2857,$A2857,$E$2:$E2857,"INFRUCTUEUX")+COUNTIFS($A$2:$A2857,$A2857,$E$2:$E2857,"ANNULE")),""))</f>
        <v/>
      </c>
    </row>
    <row r="2858">
      <c r="A2858">
        <f>IF(ISBLANK('ENGAGEMENTS 2026'!C2858),"",IF('ENGAGEMENTS 2026'!C2858="DTSI","DCT",'ENGAGEMENTS 2026'!C2858))</f>
        <v/>
      </c>
      <c r="B2858">
        <f>IF(ISBLANK('ENGAGEMENTS 2026'!C2858),"",'ENGAGEMENTS 2026'!D2858)</f>
        <v/>
      </c>
      <c r="C2858">
        <f>IF(ISBLANK('ENGAGEMENTS 2026'!C2858),"",'ENGAGEMENTS 2026'!E2858)</f>
        <v/>
      </c>
      <c r="D2858">
        <f>IF(ISBLANK('ENGAGEMENTS 2026'!C2858),"",'ENGAGEMENTS 2026'!G2858)</f>
        <v/>
      </c>
      <c r="E2858">
        <f>IF(ISBLANK('ENGAGEMENTS 2026'!C2858),"",'ENGAGEMENTS 2026'!I2858)</f>
        <v/>
      </c>
      <c r="F2858">
        <f>IF(ISBLANK('ENGAGEMENTS 2026'!C2858),"",'ENGAGEMENTS 2026'!J2858)</f>
        <v/>
      </c>
      <c r="G2858">
        <f>IF(ISBLANK('ENGAGEMENTS 2026'!C2858),"",'ENGAGEMENTS 2026'!M2858)</f>
        <v/>
      </c>
      <c r="H2858">
        <f>IF(ISBLANK('ENGAGEMENTS 2026'!C2858),"",'ENGAGEMENTS 2026'!AF2858)</f>
        <v/>
      </c>
      <c r="I2858">
        <f>IF(ISBLANK('ENGAGEMENTS 2026'!C2858),"",'ENGAGEMENTS 2026'!H2858)</f>
        <v/>
      </c>
      <c r="J2858" s="275">
        <f>IF(ISBLANK('ENGAGEMENTS 2026'!C2858),"",IF(AND(OR($E2858="INFRUCTUEUX",$E2858="ANNULE"),$C2858="AOO-M"),'ENGAGEMENTS 2026'!P2858,IF($H2858="EN COURS DE PREENGAGEMENT",'ENGAGEMENTS 2026'!O2858,IF($H2858="PREENGAGE",IF($E2858="ATTRIBUE",'ENGAGEMENTS 2026'!AE2858,'ENGAGEMENTS 2026'!O2858),'ENGAGEMENTS 2026'!AE2858))))</f>
        <v/>
      </c>
      <c r="K2858" s="604">
        <f>IF(ISBLANK('ENGAGEMENTS 2026'!W2858),"",'ENGAGEMENTS 2026'!W2858)</f>
        <v/>
      </c>
      <c r="L2858" s="276">
        <f>IF($K2858="","",TODAY()-$K2858)</f>
        <v/>
      </c>
      <c r="M2858">
        <f>IF($A2858="","",IF($H2858="ENGAGE","Engagé",IF(AND($H2858="NON ENGAGE",OR($I2858="INFRUCTUEUX",$I2858="ANNULE")),"Clôturé sans suite","En cours")))</f>
        <v/>
      </c>
      <c r="N2858">
        <f>IF(ISBLANK('ENGAGEMENTS 2026'!C2858),"",'ENGAGEMENTS 2026'!L2858)</f>
        <v/>
      </c>
      <c r="O2858">
        <f>IF(ISBLANK('ENGAGEMENTS 2026'!C2858),"",'ENGAGEMENTS 2026'!M2858)</f>
        <v/>
      </c>
      <c r="P2858">
        <f>IF(ISBLANK('ENGAGEMENTS 2026'!C2858),"",'ENGAGEMENTS 2026'!K2858)</f>
        <v/>
      </c>
      <c r="Q2858">
        <f>IF($A2858="","",IF(OR($E2858="INFRUCTUEUX",$E2858="ANNULE"),$A2858&amp;"|"&amp;(COUNTIFS($A$2:$A2858,$A2858,$E$2:$E2858,"INFRUCTUEUX")+COUNTIFS($A$2:$A2858,$A2858,$E$2:$E2858,"ANNULE")),""))</f>
        <v/>
      </c>
    </row>
    <row r="2859">
      <c r="A2859">
        <f>IF(ISBLANK('ENGAGEMENTS 2026'!C2859),"",IF('ENGAGEMENTS 2026'!C2859="DTSI","DCT",'ENGAGEMENTS 2026'!C2859))</f>
        <v/>
      </c>
      <c r="B2859">
        <f>IF(ISBLANK('ENGAGEMENTS 2026'!C2859),"",'ENGAGEMENTS 2026'!D2859)</f>
        <v/>
      </c>
      <c r="C2859">
        <f>IF(ISBLANK('ENGAGEMENTS 2026'!C2859),"",'ENGAGEMENTS 2026'!E2859)</f>
        <v/>
      </c>
      <c r="D2859">
        <f>IF(ISBLANK('ENGAGEMENTS 2026'!C2859),"",'ENGAGEMENTS 2026'!G2859)</f>
        <v/>
      </c>
      <c r="E2859">
        <f>IF(ISBLANK('ENGAGEMENTS 2026'!C2859),"",'ENGAGEMENTS 2026'!I2859)</f>
        <v/>
      </c>
      <c r="F2859">
        <f>IF(ISBLANK('ENGAGEMENTS 2026'!C2859),"",'ENGAGEMENTS 2026'!J2859)</f>
        <v/>
      </c>
      <c r="G2859">
        <f>IF(ISBLANK('ENGAGEMENTS 2026'!C2859),"",'ENGAGEMENTS 2026'!M2859)</f>
        <v/>
      </c>
      <c r="H2859">
        <f>IF(ISBLANK('ENGAGEMENTS 2026'!C2859),"",'ENGAGEMENTS 2026'!AF2859)</f>
        <v/>
      </c>
      <c r="I2859">
        <f>IF(ISBLANK('ENGAGEMENTS 2026'!C2859),"",'ENGAGEMENTS 2026'!H2859)</f>
        <v/>
      </c>
      <c r="J2859" s="275">
        <f>IF(ISBLANK('ENGAGEMENTS 2026'!C2859),"",IF(AND(OR($E2859="INFRUCTUEUX",$E2859="ANNULE"),$C2859="AOO-M"),'ENGAGEMENTS 2026'!P2859,IF($H2859="EN COURS DE PREENGAGEMENT",'ENGAGEMENTS 2026'!O2859,IF($H2859="PREENGAGE",IF($E2859="ATTRIBUE",'ENGAGEMENTS 2026'!AE2859,'ENGAGEMENTS 2026'!O2859),'ENGAGEMENTS 2026'!AE2859))))</f>
        <v/>
      </c>
      <c r="K2859" s="604">
        <f>IF(ISBLANK('ENGAGEMENTS 2026'!W2859),"",'ENGAGEMENTS 2026'!W2859)</f>
        <v/>
      </c>
      <c r="L2859" s="276">
        <f>IF($K2859="","",TODAY()-$K2859)</f>
        <v/>
      </c>
      <c r="M2859">
        <f>IF($A2859="","",IF($H2859="ENGAGE","Engagé",IF(AND($H2859="NON ENGAGE",OR($I2859="INFRUCTUEUX",$I2859="ANNULE")),"Clôturé sans suite","En cours")))</f>
        <v/>
      </c>
      <c r="N2859">
        <f>IF(ISBLANK('ENGAGEMENTS 2026'!C2859),"",'ENGAGEMENTS 2026'!L2859)</f>
        <v/>
      </c>
      <c r="O2859">
        <f>IF(ISBLANK('ENGAGEMENTS 2026'!C2859),"",'ENGAGEMENTS 2026'!M2859)</f>
        <v/>
      </c>
      <c r="P2859">
        <f>IF(ISBLANK('ENGAGEMENTS 2026'!C2859),"",'ENGAGEMENTS 2026'!K2859)</f>
        <v/>
      </c>
      <c r="Q2859">
        <f>IF($A2859="","",IF(OR($E2859="INFRUCTUEUX",$E2859="ANNULE"),$A2859&amp;"|"&amp;(COUNTIFS($A$2:$A2859,$A2859,$E$2:$E2859,"INFRUCTUEUX")+COUNTIFS($A$2:$A2859,$A2859,$E$2:$E2859,"ANNULE")),""))</f>
        <v/>
      </c>
    </row>
    <row r="2860">
      <c r="A2860">
        <f>IF(ISBLANK('ENGAGEMENTS 2026'!C2860),"",IF('ENGAGEMENTS 2026'!C2860="DTSI","DCT",'ENGAGEMENTS 2026'!C2860))</f>
        <v/>
      </c>
      <c r="B2860">
        <f>IF(ISBLANK('ENGAGEMENTS 2026'!C2860),"",'ENGAGEMENTS 2026'!D2860)</f>
        <v/>
      </c>
      <c r="C2860">
        <f>IF(ISBLANK('ENGAGEMENTS 2026'!C2860),"",'ENGAGEMENTS 2026'!E2860)</f>
        <v/>
      </c>
      <c r="D2860">
        <f>IF(ISBLANK('ENGAGEMENTS 2026'!C2860),"",'ENGAGEMENTS 2026'!G2860)</f>
        <v/>
      </c>
      <c r="E2860">
        <f>IF(ISBLANK('ENGAGEMENTS 2026'!C2860),"",'ENGAGEMENTS 2026'!I2860)</f>
        <v/>
      </c>
      <c r="F2860">
        <f>IF(ISBLANK('ENGAGEMENTS 2026'!C2860),"",'ENGAGEMENTS 2026'!J2860)</f>
        <v/>
      </c>
      <c r="G2860">
        <f>IF(ISBLANK('ENGAGEMENTS 2026'!C2860),"",'ENGAGEMENTS 2026'!M2860)</f>
        <v/>
      </c>
      <c r="H2860">
        <f>IF(ISBLANK('ENGAGEMENTS 2026'!C2860),"",'ENGAGEMENTS 2026'!AF2860)</f>
        <v/>
      </c>
      <c r="I2860">
        <f>IF(ISBLANK('ENGAGEMENTS 2026'!C2860),"",'ENGAGEMENTS 2026'!H2860)</f>
        <v/>
      </c>
      <c r="J2860" s="275">
        <f>IF(ISBLANK('ENGAGEMENTS 2026'!C2860),"",IF(AND(OR($E2860="INFRUCTUEUX",$E2860="ANNULE"),$C2860="AOO-M"),'ENGAGEMENTS 2026'!P2860,IF($H2860="EN COURS DE PREENGAGEMENT",'ENGAGEMENTS 2026'!O2860,IF($H2860="PREENGAGE",IF($E2860="ATTRIBUE",'ENGAGEMENTS 2026'!AE2860,'ENGAGEMENTS 2026'!O2860),'ENGAGEMENTS 2026'!AE2860))))</f>
        <v/>
      </c>
      <c r="K2860" s="604">
        <f>IF(ISBLANK('ENGAGEMENTS 2026'!W2860),"",'ENGAGEMENTS 2026'!W2860)</f>
        <v/>
      </c>
      <c r="L2860" s="276">
        <f>IF($K2860="","",TODAY()-$K2860)</f>
        <v/>
      </c>
      <c r="M2860">
        <f>IF($A2860="","",IF($H2860="ENGAGE","Engagé",IF(AND($H2860="NON ENGAGE",OR($I2860="INFRUCTUEUX",$I2860="ANNULE")),"Clôturé sans suite","En cours")))</f>
        <v/>
      </c>
      <c r="N2860">
        <f>IF(ISBLANK('ENGAGEMENTS 2026'!C2860),"",'ENGAGEMENTS 2026'!L2860)</f>
        <v/>
      </c>
      <c r="O2860">
        <f>IF(ISBLANK('ENGAGEMENTS 2026'!C2860),"",'ENGAGEMENTS 2026'!M2860)</f>
        <v/>
      </c>
      <c r="P2860">
        <f>IF(ISBLANK('ENGAGEMENTS 2026'!C2860),"",'ENGAGEMENTS 2026'!K2860)</f>
        <v/>
      </c>
      <c r="Q2860">
        <f>IF($A2860="","",IF(OR($E2860="INFRUCTUEUX",$E2860="ANNULE"),$A2860&amp;"|"&amp;(COUNTIFS($A$2:$A2860,$A2860,$E$2:$E2860,"INFRUCTUEUX")+COUNTIFS($A$2:$A2860,$A2860,$E$2:$E2860,"ANNULE")),""))</f>
        <v/>
      </c>
    </row>
    <row r="2861">
      <c r="A2861">
        <f>IF(ISBLANK('ENGAGEMENTS 2026'!C2861),"",IF('ENGAGEMENTS 2026'!C2861="DTSI","DCT",'ENGAGEMENTS 2026'!C2861))</f>
        <v/>
      </c>
      <c r="B2861">
        <f>IF(ISBLANK('ENGAGEMENTS 2026'!C2861),"",'ENGAGEMENTS 2026'!D2861)</f>
        <v/>
      </c>
      <c r="C2861">
        <f>IF(ISBLANK('ENGAGEMENTS 2026'!C2861),"",'ENGAGEMENTS 2026'!E2861)</f>
        <v/>
      </c>
      <c r="D2861">
        <f>IF(ISBLANK('ENGAGEMENTS 2026'!C2861),"",'ENGAGEMENTS 2026'!G2861)</f>
        <v/>
      </c>
      <c r="E2861">
        <f>IF(ISBLANK('ENGAGEMENTS 2026'!C2861),"",'ENGAGEMENTS 2026'!I2861)</f>
        <v/>
      </c>
      <c r="F2861">
        <f>IF(ISBLANK('ENGAGEMENTS 2026'!C2861),"",'ENGAGEMENTS 2026'!J2861)</f>
        <v/>
      </c>
      <c r="G2861">
        <f>IF(ISBLANK('ENGAGEMENTS 2026'!C2861),"",'ENGAGEMENTS 2026'!M2861)</f>
        <v/>
      </c>
      <c r="H2861">
        <f>IF(ISBLANK('ENGAGEMENTS 2026'!C2861),"",'ENGAGEMENTS 2026'!AF2861)</f>
        <v/>
      </c>
      <c r="I2861">
        <f>IF(ISBLANK('ENGAGEMENTS 2026'!C2861),"",'ENGAGEMENTS 2026'!H2861)</f>
        <v/>
      </c>
      <c r="J2861" s="275">
        <f>IF(ISBLANK('ENGAGEMENTS 2026'!C2861),"",IF(AND(OR($E2861="INFRUCTUEUX",$E2861="ANNULE"),$C2861="AOO-M"),'ENGAGEMENTS 2026'!P2861,IF($H2861="EN COURS DE PREENGAGEMENT",'ENGAGEMENTS 2026'!O2861,IF($H2861="PREENGAGE",IF($E2861="ATTRIBUE",'ENGAGEMENTS 2026'!AE2861,'ENGAGEMENTS 2026'!O2861),'ENGAGEMENTS 2026'!AE2861))))</f>
        <v/>
      </c>
      <c r="K2861" s="604">
        <f>IF(ISBLANK('ENGAGEMENTS 2026'!W2861),"",'ENGAGEMENTS 2026'!W2861)</f>
        <v/>
      </c>
      <c r="L2861" s="276">
        <f>IF($K2861="","",TODAY()-$K2861)</f>
        <v/>
      </c>
      <c r="M2861">
        <f>IF($A2861="","",IF($H2861="ENGAGE","Engagé",IF(AND($H2861="NON ENGAGE",OR($I2861="INFRUCTUEUX",$I2861="ANNULE")),"Clôturé sans suite","En cours")))</f>
        <v/>
      </c>
      <c r="N2861">
        <f>IF(ISBLANK('ENGAGEMENTS 2026'!C2861),"",'ENGAGEMENTS 2026'!L2861)</f>
        <v/>
      </c>
      <c r="O2861">
        <f>IF(ISBLANK('ENGAGEMENTS 2026'!C2861),"",'ENGAGEMENTS 2026'!M2861)</f>
        <v/>
      </c>
      <c r="P2861">
        <f>IF(ISBLANK('ENGAGEMENTS 2026'!C2861),"",'ENGAGEMENTS 2026'!K2861)</f>
        <v/>
      </c>
      <c r="Q2861">
        <f>IF($A2861="","",IF(OR($E2861="INFRUCTUEUX",$E2861="ANNULE"),$A2861&amp;"|"&amp;(COUNTIFS($A$2:$A2861,$A2861,$E$2:$E2861,"INFRUCTUEUX")+COUNTIFS($A$2:$A2861,$A2861,$E$2:$E2861,"ANNULE")),""))</f>
        <v/>
      </c>
    </row>
    <row r="2862">
      <c r="A2862">
        <f>IF(ISBLANK('ENGAGEMENTS 2026'!C2862),"",IF('ENGAGEMENTS 2026'!C2862="DTSI","DCT",'ENGAGEMENTS 2026'!C2862))</f>
        <v/>
      </c>
      <c r="B2862">
        <f>IF(ISBLANK('ENGAGEMENTS 2026'!C2862),"",'ENGAGEMENTS 2026'!D2862)</f>
        <v/>
      </c>
      <c r="C2862">
        <f>IF(ISBLANK('ENGAGEMENTS 2026'!C2862),"",'ENGAGEMENTS 2026'!E2862)</f>
        <v/>
      </c>
      <c r="D2862">
        <f>IF(ISBLANK('ENGAGEMENTS 2026'!C2862),"",'ENGAGEMENTS 2026'!G2862)</f>
        <v/>
      </c>
      <c r="E2862">
        <f>IF(ISBLANK('ENGAGEMENTS 2026'!C2862),"",'ENGAGEMENTS 2026'!I2862)</f>
        <v/>
      </c>
      <c r="F2862">
        <f>IF(ISBLANK('ENGAGEMENTS 2026'!C2862),"",'ENGAGEMENTS 2026'!J2862)</f>
        <v/>
      </c>
      <c r="G2862">
        <f>IF(ISBLANK('ENGAGEMENTS 2026'!C2862),"",'ENGAGEMENTS 2026'!M2862)</f>
        <v/>
      </c>
      <c r="H2862">
        <f>IF(ISBLANK('ENGAGEMENTS 2026'!C2862),"",'ENGAGEMENTS 2026'!AF2862)</f>
        <v/>
      </c>
      <c r="I2862">
        <f>IF(ISBLANK('ENGAGEMENTS 2026'!C2862),"",'ENGAGEMENTS 2026'!H2862)</f>
        <v/>
      </c>
      <c r="J2862" s="275">
        <f>IF(ISBLANK('ENGAGEMENTS 2026'!C2862),"",IF(AND(OR($E2862="INFRUCTUEUX",$E2862="ANNULE"),$C2862="AOO-M"),'ENGAGEMENTS 2026'!P2862,IF($H2862="EN COURS DE PREENGAGEMENT",'ENGAGEMENTS 2026'!O2862,IF($H2862="PREENGAGE",IF($E2862="ATTRIBUE",'ENGAGEMENTS 2026'!AE2862,'ENGAGEMENTS 2026'!O2862),'ENGAGEMENTS 2026'!AE2862))))</f>
        <v/>
      </c>
      <c r="K2862" s="604">
        <f>IF(ISBLANK('ENGAGEMENTS 2026'!W2862),"",'ENGAGEMENTS 2026'!W2862)</f>
        <v/>
      </c>
      <c r="L2862" s="276">
        <f>IF($K2862="","",TODAY()-$K2862)</f>
        <v/>
      </c>
      <c r="M2862">
        <f>IF($A2862="","",IF($H2862="ENGAGE","Engagé",IF(AND($H2862="NON ENGAGE",OR($I2862="INFRUCTUEUX",$I2862="ANNULE")),"Clôturé sans suite","En cours")))</f>
        <v/>
      </c>
      <c r="N2862">
        <f>IF(ISBLANK('ENGAGEMENTS 2026'!C2862),"",'ENGAGEMENTS 2026'!L2862)</f>
        <v/>
      </c>
      <c r="O2862">
        <f>IF(ISBLANK('ENGAGEMENTS 2026'!C2862),"",'ENGAGEMENTS 2026'!M2862)</f>
        <v/>
      </c>
      <c r="P2862">
        <f>IF(ISBLANK('ENGAGEMENTS 2026'!C2862),"",'ENGAGEMENTS 2026'!K2862)</f>
        <v/>
      </c>
      <c r="Q2862">
        <f>IF($A2862="","",IF(OR($E2862="INFRUCTUEUX",$E2862="ANNULE"),$A2862&amp;"|"&amp;(COUNTIFS($A$2:$A2862,$A2862,$E$2:$E2862,"INFRUCTUEUX")+COUNTIFS($A$2:$A2862,$A2862,$E$2:$E2862,"ANNULE")),""))</f>
        <v/>
      </c>
    </row>
    <row r="2863">
      <c r="A2863">
        <f>IF(ISBLANK('ENGAGEMENTS 2026'!C2863),"",IF('ENGAGEMENTS 2026'!C2863="DTSI","DCT",'ENGAGEMENTS 2026'!C2863))</f>
        <v/>
      </c>
      <c r="B2863">
        <f>IF(ISBLANK('ENGAGEMENTS 2026'!C2863),"",'ENGAGEMENTS 2026'!D2863)</f>
        <v/>
      </c>
      <c r="C2863">
        <f>IF(ISBLANK('ENGAGEMENTS 2026'!C2863),"",'ENGAGEMENTS 2026'!E2863)</f>
        <v/>
      </c>
      <c r="D2863">
        <f>IF(ISBLANK('ENGAGEMENTS 2026'!C2863),"",'ENGAGEMENTS 2026'!G2863)</f>
        <v/>
      </c>
      <c r="E2863">
        <f>IF(ISBLANK('ENGAGEMENTS 2026'!C2863),"",'ENGAGEMENTS 2026'!I2863)</f>
        <v/>
      </c>
      <c r="F2863">
        <f>IF(ISBLANK('ENGAGEMENTS 2026'!C2863),"",'ENGAGEMENTS 2026'!J2863)</f>
        <v/>
      </c>
      <c r="G2863">
        <f>IF(ISBLANK('ENGAGEMENTS 2026'!C2863),"",'ENGAGEMENTS 2026'!M2863)</f>
        <v/>
      </c>
      <c r="H2863">
        <f>IF(ISBLANK('ENGAGEMENTS 2026'!C2863),"",'ENGAGEMENTS 2026'!AF2863)</f>
        <v/>
      </c>
      <c r="I2863">
        <f>IF(ISBLANK('ENGAGEMENTS 2026'!C2863),"",'ENGAGEMENTS 2026'!H2863)</f>
        <v/>
      </c>
      <c r="J2863" s="275">
        <f>IF(ISBLANK('ENGAGEMENTS 2026'!C2863),"",IF(AND(OR($E2863="INFRUCTUEUX",$E2863="ANNULE"),$C2863="AOO-M"),'ENGAGEMENTS 2026'!P2863,IF($H2863="EN COURS DE PREENGAGEMENT",'ENGAGEMENTS 2026'!O2863,IF($H2863="PREENGAGE",IF($E2863="ATTRIBUE",'ENGAGEMENTS 2026'!AE2863,'ENGAGEMENTS 2026'!O2863),'ENGAGEMENTS 2026'!AE2863))))</f>
        <v/>
      </c>
      <c r="K2863" s="604">
        <f>IF(ISBLANK('ENGAGEMENTS 2026'!W2863),"",'ENGAGEMENTS 2026'!W2863)</f>
        <v/>
      </c>
      <c r="L2863" s="276">
        <f>IF($K2863="","",TODAY()-$K2863)</f>
        <v/>
      </c>
      <c r="M2863">
        <f>IF($A2863="","",IF($H2863="ENGAGE","Engagé",IF(AND($H2863="NON ENGAGE",OR($I2863="INFRUCTUEUX",$I2863="ANNULE")),"Clôturé sans suite","En cours")))</f>
        <v/>
      </c>
      <c r="N2863">
        <f>IF(ISBLANK('ENGAGEMENTS 2026'!C2863),"",'ENGAGEMENTS 2026'!L2863)</f>
        <v/>
      </c>
      <c r="O2863">
        <f>IF(ISBLANK('ENGAGEMENTS 2026'!C2863),"",'ENGAGEMENTS 2026'!M2863)</f>
        <v/>
      </c>
      <c r="P2863">
        <f>IF(ISBLANK('ENGAGEMENTS 2026'!C2863),"",'ENGAGEMENTS 2026'!K2863)</f>
        <v/>
      </c>
      <c r="Q2863">
        <f>IF($A2863="","",IF(OR($E2863="INFRUCTUEUX",$E2863="ANNULE"),$A2863&amp;"|"&amp;(COUNTIFS($A$2:$A2863,$A2863,$E$2:$E2863,"INFRUCTUEUX")+COUNTIFS($A$2:$A2863,$A2863,$E$2:$E2863,"ANNULE")),""))</f>
        <v/>
      </c>
    </row>
    <row r="2864">
      <c r="A2864">
        <f>IF(ISBLANK('ENGAGEMENTS 2026'!C2864),"",IF('ENGAGEMENTS 2026'!C2864="DTSI","DCT",'ENGAGEMENTS 2026'!C2864))</f>
        <v/>
      </c>
      <c r="B2864">
        <f>IF(ISBLANK('ENGAGEMENTS 2026'!C2864),"",'ENGAGEMENTS 2026'!D2864)</f>
        <v/>
      </c>
      <c r="C2864">
        <f>IF(ISBLANK('ENGAGEMENTS 2026'!C2864),"",'ENGAGEMENTS 2026'!E2864)</f>
        <v/>
      </c>
      <c r="D2864">
        <f>IF(ISBLANK('ENGAGEMENTS 2026'!C2864),"",'ENGAGEMENTS 2026'!G2864)</f>
        <v/>
      </c>
      <c r="E2864">
        <f>IF(ISBLANK('ENGAGEMENTS 2026'!C2864),"",'ENGAGEMENTS 2026'!I2864)</f>
        <v/>
      </c>
      <c r="F2864">
        <f>IF(ISBLANK('ENGAGEMENTS 2026'!C2864),"",'ENGAGEMENTS 2026'!J2864)</f>
        <v/>
      </c>
      <c r="G2864">
        <f>IF(ISBLANK('ENGAGEMENTS 2026'!C2864),"",'ENGAGEMENTS 2026'!M2864)</f>
        <v/>
      </c>
      <c r="H2864">
        <f>IF(ISBLANK('ENGAGEMENTS 2026'!C2864),"",'ENGAGEMENTS 2026'!AF2864)</f>
        <v/>
      </c>
      <c r="I2864">
        <f>IF(ISBLANK('ENGAGEMENTS 2026'!C2864),"",'ENGAGEMENTS 2026'!H2864)</f>
        <v/>
      </c>
      <c r="J2864" s="275">
        <f>IF(ISBLANK('ENGAGEMENTS 2026'!C2864),"",IF(AND(OR($E2864="INFRUCTUEUX",$E2864="ANNULE"),$C2864="AOO-M"),'ENGAGEMENTS 2026'!P2864,IF($H2864="EN COURS DE PREENGAGEMENT",'ENGAGEMENTS 2026'!O2864,IF($H2864="PREENGAGE",IF($E2864="ATTRIBUE",'ENGAGEMENTS 2026'!AE2864,'ENGAGEMENTS 2026'!O2864),'ENGAGEMENTS 2026'!AE2864))))</f>
        <v/>
      </c>
      <c r="K2864" s="604">
        <f>IF(ISBLANK('ENGAGEMENTS 2026'!W2864),"",'ENGAGEMENTS 2026'!W2864)</f>
        <v/>
      </c>
      <c r="L2864" s="276">
        <f>IF($K2864="","",TODAY()-$K2864)</f>
        <v/>
      </c>
      <c r="M2864">
        <f>IF($A2864="","",IF($H2864="ENGAGE","Engagé",IF(AND($H2864="NON ENGAGE",OR($I2864="INFRUCTUEUX",$I2864="ANNULE")),"Clôturé sans suite","En cours")))</f>
        <v/>
      </c>
      <c r="N2864">
        <f>IF(ISBLANK('ENGAGEMENTS 2026'!C2864),"",'ENGAGEMENTS 2026'!L2864)</f>
        <v/>
      </c>
      <c r="O2864">
        <f>IF(ISBLANK('ENGAGEMENTS 2026'!C2864),"",'ENGAGEMENTS 2026'!M2864)</f>
        <v/>
      </c>
      <c r="P2864">
        <f>IF(ISBLANK('ENGAGEMENTS 2026'!C2864),"",'ENGAGEMENTS 2026'!K2864)</f>
        <v/>
      </c>
      <c r="Q2864">
        <f>IF($A2864="","",IF(OR($E2864="INFRUCTUEUX",$E2864="ANNULE"),$A2864&amp;"|"&amp;(COUNTIFS($A$2:$A2864,$A2864,$E$2:$E2864,"INFRUCTUEUX")+COUNTIFS($A$2:$A2864,$A2864,$E$2:$E2864,"ANNULE")),""))</f>
        <v/>
      </c>
    </row>
    <row r="2865">
      <c r="A2865">
        <f>IF(ISBLANK('ENGAGEMENTS 2026'!C2865),"",IF('ENGAGEMENTS 2026'!C2865="DTSI","DCT",'ENGAGEMENTS 2026'!C2865))</f>
        <v/>
      </c>
      <c r="B2865">
        <f>IF(ISBLANK('ENGAGEMENTS 2026'!C2865),"",'ENGAGEMENTS 2026'!D2865)</f>
        <v/>
      </c>
      <c r="C2865">
        <f>IF(ISBLANK('ENGAGEMENTS 2026'!C2865),"",'ENGAGEMENTS 2026'!E2865)</f>
        <v/>
      </c>
      <c r="D2865">
        <f>IF(ISBLANK('ENGAGEMENTS 2026'!C2865),"",'ENGAGEMENTS 2026'!G2865)</f>
        <v/>
      </c>
      <c r="E2865">
        <f>IF(ISBLANK('ENGAGEMENTS 2026'!C2865),"",'ENGAGEMENTS 2026'!I2865)</f>
        <v/>
      </c>
      <c r="F2865">
        <f>IF(ISBLANK('ENGAGEMENTS 2026'!C2865),"",'ENGAGEMENTS 2026'!J2865)</f>
        <v/>
      </c>
      <c r="G2865">
        <f>IF(ISBLANK('ENGAGEMENTS 2026'!C2865),"",'ENGAGEMENTS 2026'!M2865)</f>
        <v/>
      </c>
      <c r="H2865">
        <f>IF(ISBLANK('ENGAGEMENTS 2026'!C2865),"",'ENGAGEMENTS 2026'!AF2865)</f>
        <v/>
      </c>
      <c r="I2865">
        <f>IF(ISBLANK('ENGAGEMENTS 2026'!C2865),"",'ENGAGEMENTS 2026'!H2865)</f>
        <v/>
      </c>
      <c r="J2865" s="275">
        <f>IF(ISBLANK('ENGAGEMENTS 2026'!C2865),"",IF(AND(OR($E2865="INFRUCTUEUX",$E2865="ANNULE"),$C2865="AOO-M"),'ENGAGEMENTS 2026'!P2865,IF($H2865="EN COURS DE PREENGAGEMENT",'ENGAGEMENTS 2026'!O2865,IF($H2865="PREENGAGE",IF($E2865="ATTRIBUE",'ENGAGEMENTS 2026'!AE2865,'ENGAGEMENTS 2026'!O2865),'ENGAGEMENTS 2026'!AE2865))))</f>
        <v/>
      </c>
      <c r="K2865" s="604">
        <f>IF(ISBLANK('ENGAGEMENTS 2026'!W2865),"",'ENGAGEMENTS 2026'!W2865)</f>
        <v/>
      </c>
      <c r="L2865" s="276">
        <f>IF($K2865="","",TODAY()-$K2865)</f>
        <v/>
      </c>
      <c r="M2865">
        <f>IF($A2865="","",IF($H2865="ENGAGE","Engagé",IF(AND($H2865="NON ENGAGE",OR($I2865="INFRUCTUEUX",$I2865="ANNULE")),"Clôturé sans suite","En cours")))</f>
        <v/>
      </c>
      <c r="N2865">
        <f>IF(ISBLANK('ENGAGEMENTS 2026'!C2865),"",'ENGAGEMENTS 2026'!L2865)</f>
        <v/>
      </c>
      <c r="O2865">
        <f>IF(ISBLANK('ENGAGEMENTS 2026'!C2865),"",'ENGAGEMENTS 2026'!M2865)</f>
        <v/>
      </c>
      <c r="P2865">
        <f>IF(ISBLANK('ENGAGEMENTS 2026'!C2865),"",'ENGAGEMENTS 2026'!K2865)</f>
        <v/>
      </c>
      <c r="Q2865">
        <f>IF($A2865="","",IF(OR($E2865="INFRUCTUEUX",$E2865="ANNULE"),$A2865&amp;"|"&amp;(COUNTIFS($A$2:$A2865,$A2865,$E$2:$E2865,"INFRUCTUEUX")+COUNTIFS($A$2:$A2865,$A2865,$E$2:$E2865,"ANNULE")),""))</f>
        <v/>
      </c>
    </row>
    <row r="2866">
      <c r="A2866">
        <f>IF(ISBLANK('ENGAGEMENTS 2026'!C2866),"",IF('ENGAGEMENTS 2026'!C2866="DTSI","DCT",'ENGAGEMENTS 2026'!C2866))</f>
        <v/>
      </c>
      <c r="B2866">
        <f>IF(ISBLANK('ENGAGEMENTS 2026'!C2866),"",'ENGAGEMENTS 2026'!D2866)</f>
        <v/>
      </c>
      <c r="C2866">
        <f>IF(ISBLANK('ENGAGEMENTS 2026'!C2866),"",'ENGAGEMENTS 2026'!E2866)</f>
        <v/>
      </c>
      <c r="D2866">
        <f>IF(ISBLANK('ENGAGEMENTS 2026'!C2866),"",'ENGAGEMENTS 2026'!G2866)</f>
        <v/>
      </c>
      <c r="E2866">
        <f>IF(ISBLANK('ENGAGEMENTS 2026'!C2866),"",'ENGAGEMENTS 2026'!I2866)</f>
        <v/>
      </c>
      <c r="F2866">
        <f>IF(ISBLANK('ENGAGEMENTS 2026'!C2866),"",'ENGAGEMENTS 2026'!J2866)</f>
        <v/>
      </c>
      <c r="G2866">
        <f>IF(ISBLANK('ENGAGEMENTS 2026'!C2866),"",'ENGAGEMENTS 2026'!M2866)</f>
        <v/>
      </c>
      <c r="H2866">
        <f>IF(ISBLANK('ENGAGEMENTS 2026'!C2866),"",'ENGAGEMENTS 2026'!AF2866)</f>
        <v/>
      </c>
      <c r="I2866">
        <f>IF(ISBLANK('ENGAGEMENTS 2026'!C2866),"",'ENGAGEMENTS 2026'!H2866)</f>
        <v/>
      </c>
      <c r="J2866" s="275">
        <f>IF(ISBLANK('ENGAGEMENTS 2026'!C2866),"",IF(AND(OR($E2866="INFRUCTUEUX",$E2866="ANNULE"),$C2866="AOO-M"),'ENGAGEMENTS 2026'!P2866,IF($H2866="EN COURS DE PREENGAGEMENT",'ENGAGEMENTS 2026'!O2866,IF($H2866="PREENGAGE",IF($E2866="ATTRIBUE",'ENGAGEMENTS 2026'!AE2866,'ENGAGEMENTS 2026'!O2866),'ENGAGEMENTS 2026'!AE2866))))</f>
        <v/>
      </c>
      <c r="K2866" s="604">
        <f>IF(ISBLANK('ENGAGEMENTS 2026'!W2866),"",'ENGAGEMENTS 2026'!W2866)</f>
        <v/>
      </c>
      <c r="L2866" s="276">
        <f>IF($K2866="","",TODAY()-$K2866)</f>
        <v/>
      </c>
      <c r="M2866">
        <f>IF($A2866="","",IF($H2866="ENGAGE","Engagé",IF(AND($H2866="NON ENGAGE",OR($I2866="INFRUCTUEUX",$I2866="ANNULE")),"Clôturé sans suite","En cours")))</f>
        <v/>
      </c>
      <c r="N2866">
        <f>IF(ISBLANK('ENGAGEMENTS 2026'!C2866),"",'ENGAGEMENTS 2026'!L2866)</f>
        <v/>
      </c>
      <c r="O2866">
        <f>IF(ISBLANK('ENGAGEMENTS 2026'!C2866),"",'ENGAGEMENTS 2026'!M2866)</f>
        <v/>
      </c>
      <c r="P2866">
        <f>IF(ISBLANK('ENGAGEMENTS 2026'!C2866),"",'ENGAGEMENTS 2026'!K2866)</f>
        <v/>
      </c>
      <c r="Q2866">
        <f>IF($A2866="","",IF(OR($E2866="INFRUCTUEUX",$E2866="ANNULE"),$A2866&amp;"|"&amp;(COUNTIFS($A$2:$A2866,$A2866,$E$2:$E2866,"INFRUCTUEUX")+COUNTIFS($A$2:$A2866,$A2866,$E$2:$E2866,"ANNULE")),""))</f>
        <v/>
      </c>
    </row>
    <row r="2867">
      <c r="A2867">
        <f>IF(ISBLANK('ENGAGEMENTS 2026'!C2867),"",IF('ENGAGEMENTS 2026'!C2867="DTSI","DCT",'ENGAGEMENTS 2026'!C2867))</f>
        <v/>
      </c>
      <c r="B2867">
        <f>IF(ISBLANK('ENGAGEMENTS 2026'!C2867),"",'ENGAGEMENTS 2026'!D2867)</f>
        <v/>
      </c>
      <c r="C2867">
        <f>IF(ISBLANK('ENGAGEMENTS 2026'!C2867),"",'ENGAGEMENTS 2026'!E2867)</f>
        <v/>
      </c>
      <c r="D2867">
        <f>IF(ISBLANK('ENGAGEMENTS 2026'!C2867),"",'ENGAGEMENTS 2026'!G2867)</f>
        <v/>
      </c>
      <c r="E2867">
        <f>IF(ISBLANK('ENGAGEMENTS 2026'!C2867),"",'ENGAGEMENTS 2026'!I2867)</f>
        <v/>
      </c>
      <c r="F2867">
        <f>IF(ISBLANK('ENGAGEMENTS 2026'!C2867),"",'ENGAGEMENTS 2026'!J2867)</f>
        <v/>
      </c>
      <c r="G2867">
        <f>IF(ISBLANK('ENGAGEMENTS 2026'!C2867),"",'ENGAGEMENTS 2026'!M2867)</f>
        <v/>
      </c>
      <c r="H2867">
        <f>IF(ISBLANK('ENGAGEMENTS 2026'!C2867),"",'ENGAGEMENTS 2026'!AF2867)</f>
        <v/>
      </c>
      <c r="I2867">
        <f>IF(ISBLANK('ENGAGEMENTS 2026'!C2867),"",'ENGAGEMENTS 2026'!H2867)</f>
        <v/>
      </c>
      <c r="J2867" s="275">
        <f>IF(ISBLANK('ENGAGEMENTS 2026'!C2867),"",IF(AND(OR($E2867="INFRUCTUEUX",$E2867="ANNULE"),$C2867="AOO-M"),'ENGAGEMENTS 2026'!P2867,IF($H2867="EN COURS DE PREENGAGEMENT",'ENGAGEMENTS 2026'!O2867,IF($H2867="PREENGAGE",IF($E2867="ATTRIBUE",'ENGAGEMENTS 2026'!AE2867,'ENGAGEMENTS 2026'!O2867),'ENGAGEMENTS 2026'!AE2867))))</f>
        <v/>
      </c>
      <c r="K2867" s="604">
        <f>IF(ISBLANK('ENGAGEMENTS 2026'!W2867),"",'ENGAGEMENTS 2026'!W2867)</f>
        <v/>
      </c>
      <c r="L2867" s="276">
        <f>IF($K2867="","",TODAY()-$K2867)</f>
        <v/>
      </c>
      <c r="M2867">
        <f>IF($A2867="","",IF($H2867="ENGAGE","Engagé",IF(AND($H2867="NON ENGAGE",OR($I2867="INFRUCTUEUX",$I2867="ANNULE")),"Clôturé sans suite","En cours")))</f>
        <v/>
      </c>
      <c r="N2867">
        <f>IF(ISBLANK('ENGAGEMENTS 2026'!C2867),"",'ENGAGEMENTS 2026'!L2867)</f>
        <v/>
      </c>
      <c r="O2867">
        <f>IF(ISBLANK('ENGAGEMENTS 2026'!C2867),"",'ENGAGEMENTS 2026'!M2867)</f>
        <v/>
      </c>
      <c r="P2867">
        <f>IF(ISBLANK('ENGAGEMENTS 2026'!C2867),"",'ENGAGEMENTS 2026'!K2867)</f>
        <v/>
      </c>
      <c r="Q2867">
        <f>IF($A2867="","",IF(OR($E2867="INFRUCTUEUX",$E2867="ANNULE"),$A2867&amp;"|"&amp;(COUNTIFS($A$2:$A2867,$A2867,$E$2:$E2867,"INFRUCTUEUX")+COUNTIFS($A$2:$A2867,$A2867,$E$2:$E2867,"ANNULE")),""))</f>
        <v/>
      </c>
    </row>
    <row r="2868">
      <c r="A2868">
        <f>IF(ISBLANK('ENGAGEMENTS 2026'!C2868),"",IF('ENGAGEMENTS 2026'!C2868="DTSI","DCT",'ENGAGEMENTS 2026'!C2868))</f>
        <v/>
      </c>
      <c r="B2868">
        <f>IF(ISBLANK('ENGAGEMENTS 2026'!C2868),"",'ENGAGEMENTS 2026'!D2868)</f>
        <v/>
      </c>
      <c r="C2868">
        <f>IF(ISBLANK('ENGAGEMENTS 2026'!C2868),"",'ENGAGEMENTS 2026'!E2868)</f>
        <v/>
      </c>
      <c r="D2868">
        <f>IF(ISBLANK('ENGAGEMENTS 2026'!C2868),"",'ENGAGEMENTS 2026'!G2868)</f>
        <v/>
      </c>
      <c r="E2868">
        <f>IF(ISBLANK('ENGAGEMENTS 2026'!C2868),"",'ENGAGEMENTS 2026'!I2868)</f>
        <v/>
      </c>
      <c r="F2868">
        <f>IF(ISBLANK('ENGAGEMENTS 2026'!C2868),"",'ENGAGEMENTS 2026'!J2868)</f>
        <v/>
      </c>
      <c r="G2868">
        <f>IF(ISBLANK('ENGAGEMENTS 2026'!C2868),"",'ENGAGEMENTS 2026'!M2868)</f>
        <v/>
      </c>
      <c r="H2868">
        <f>IF(ISBLANK('ENGAGEMENTS 2026'!C2868),"",'ENGAGEMENTS 2026'!AF2868)</f>
        <v/>
      </c>
      <c r="I2868">
        <f>IF(ISBLANK('ENGAGEMENTS 2026'!C2868),"",'ENGAGEMENTS 2026'!H2868)</f>
        <v/>
      </c>
      <c r="J2868" s="275">
        <f>IF(ISBLANK('ENGAGEMENTS 2026'!C2868),"",IF(AND(OR($E2868="INFRUCTUEUX",$E2868="ANNULE"),$C2868="AOO-M"),'ENGAGEMENTS 2026'!P2868,IF($H2868="EN COURS DE PREENGAGEMENT",'ENGAGEMENTS 2026'!O2868,IF($H2868="PREENGAGE",IF($E2868="ATTRIBUE",'ENGAGEMENTS 2026'!AE2868,'ENGAGEMENTS 2026'!O2868),'ENGAGEMENTS 2026'!AE2868))))</f>
        <v/>
      </c>
      <c r="K2868" s="604">
        <f>IF(ISBLANK('ENGAGEMENTS 2026'!W2868),"",'ENGAGEMENTS 2026'!W2868)</f>
        <v/>
      </c>
      <c r="L2868" s="276">
        <f>IF($K2868="","",TODAY()-$K2868)</f>
        <v/>
      </c>
      <c r="M2868">
        <f>IF($A2868="","",IF($H2868="ENGAGE","Engagé",IF(AND($H2868="NON ENGAGE",OR($I2868="INFRUCTUEUX",$I2868="ANNULE")),"Clôturé sans suite","En cours")))</f>
        <v/>
      </c>
      <c r="N2868">
        <f>IF(ISBLANK('ENGAGEMENTS 2026'!C2868),"",'ENGAGEMENTS 2026'!L2868)</f>
        <v/>
      </c>
      <c r="O2868">
        <f>IF(ISBLANK('ENGAGEMENTS 2026'!C2868),"",'ENGAGEMENTS 2026'!M2868)</f>
        <v/>
      </c>
      <c r="P2868">
        <f>IF(ISBLANK('ENGAGEMENTS 2026'!C2868),"",'ENGAGEMENTS 2026'!K2868)</f>
        <v/>
      </c>
      <c r="Q2868">
        <f>IF($A2868="","",IF(OR($E2868="INFRUCTUEUX",$E2868="ANNULE"),$A2868&amp;"|"&amp;(COUNTIFS($A$2:$A2868,$A2868,$E$2:$E2868,"INFRUCTUEUX")+COUNTIFS($A$2:$A2868,$A2868,$E$2:$E2868,"ANNULE")),""))</f>
        <v/>
      </c>
    </row>
    <row r="2869">
      <c r="A2869">
        <f>IF(ISBLANK('ENGAGEMENTS 2026'!C2869),"",IF('ENGAGEMENTS 2026'!C2869="DTSI","DCT",'ENGAGEMENTS 2026'!C2869))</f>
        <v/>
      </c>
      <c r="B2869">
        <f>IF(ISBLANK('ENGAGEMENTS 2026'!C2869),"",'ENGAGEMENTS 2026'!D2869)</f>
        <v/>
      </c>
      <c r="C2869">
        <f>IF(ISBLANK('ENGAGEMENTS 2026'!C2869),"",'ENGAGEMENTS 2026'!E2869)</f>
        <v/>
      </c>
      <c r="D2869">
        <f>IF(ISBLANK('ENGAGEMENTS 2026'!C2869),"",'ENGAGEMENTS 2026'!G2869)</f>
        <v/>
      </c>
      <c r="E2869">
        <f>IF(ISBLANK('ENGAGEMENTS 2026'!C2869),"",'ENGAGEMENTS 2026'!I2869)</f>
        <v/>
      </c>
      <c r="F2869">
        <f>IF(ISBLANK('ENGAGEMENTS 2026'!C2869),"",'ENGAGEMENTS 2026'!J2869)</f>
        <v/>
      </c>
      <c r="G2869">
        <f>IF(ISBLANK('ENGAGEMENTS 2026'!C2869),"",'ENGAGEMENTS 2026'!M2869)</f>
        <v/>
      </c>
      <c r="H2869">
        <f>IF(ISBLANK('ENGAGEMENTS 2026'!C2869),"",'ENGAGEMENTS 2026'!AF2869)</f>
        <v/>
      </c>
      <c r="I2869">
        <f>IF(ISBLANK('ENGAGEMENTS 2026'!C2869),"",'ENGAGEMENTS 2026'!H2869)</f>
        <v/>
      </c>
      <c r="J2869" s="275">
        <f>IF(ISBLANK('ENGAGEMENTS 2026'!C2869),"",IF(AND(OR($E2869="INFRUCTUEUX",$E2869="ANNULE"),$C2869="AOO-M"),'ENGAGEMENTS 2026'!P2869,IF($H2869="EN COURS DE PREENGAGEMENT",'ENGAGEMENTS 2026'!O2869,IF($H2869="PREENGAGE",IF($E2869="ATTRIBUE",'ENGAGEMENTS 2026'!AE2869,'ENGAGEMENTS 2026'!O2869),'ENGAGEMENTS 2026'!AE2869))))</f>
        <v/>
      </c>
      <c r="K2869" s="604">
        <f>IF(ISBLANK('ENGAGEMENTS 2026'!W2869),"",'ENGAGEMENTS 2026'!W2869)</f>
        <v/>
      </c>
      <c r="L2869" s="276">
        <f>IF($K2869="","",TODAY()-$K2869)</f>
        <v/>
      </c>
      <c r="M2869">
        <f>IF($A2869="","",IF($H2869="ENGAGE","Engagé",IF(AND($H2869="NON ENGAGE",OR($I2869="INFRUCTUEUX",$I2869="ANNULE")),"Clôturé sans suite","En cours")))</f>
        <v/>
      </c>
      <c r="N2869">
        <f>IF(ISBLANK('ENGAGEMENTS 2026'!C2869),"",'ENGAGEMENTS 2026'!L2869)</f>
        <v/>
      </c>
      <c r="O2869">
        <f>IF(ISBLANK('ENGAGEMENTS 2026'!C2869),"",'ENGAGEMENTS 2026'!M2869)</f>
        <v/>
      </c>
      <c r="P2869">
        <f>IF(ISBLANK('ENGAGEMENTS 2026'!C2869),"",'ENGAGEMENTS 2026'!K2869)</f>
        <v/>
      </c>
      <c r="Q2869">
        <f>IF($A2869="","",IF(OR($E2869="INFRUCTUEUX",$E2869="ANNULE"),$A2869&amp;"|"&amp;(COUNTIFS($A$2:$A2869,$A2869,$E$2:$E2869,"INFRUCTUEUX")+COUNTIFS($A$2:$A2869,$A2869,$E$2:$E2869,"ANNULE")),""))</f>
        <v/>
      </c>
    </row>
    <row r="2870">
      <c r="A2870">
        <f>IF(ISBLANK('ENGAGEMENTS 2026'!C2870),"",IF('ENGAGEMENTS 2026'!C2870="DTSI","DCT",'ENGAGEMENTS 2026'!C2870))</f>
        <v/>
      </c>
      <c r="B2870">
        <f>IF(ISBLANK('ENGAGEMENTS 2026'!C2870),"",'ENGAGEMENTS 2026'!D2870)</f>
        <v/>
      </c>
      <c r="C2870">
        <f>IF(ISBLANK('ENGAGEMENTS 2026'!C2870),"",'ENGAGEMENTS 2026'!E2870)</f>
        <v/>
      </c>
      <c r="D2870">
        <f>IF(ISBLANK('ENGAGEMENTS 2026'!C2870),"",'ENGAGEMENTS 2026'!G2870)</f>
        <v/>
      </c>
      <c r="E2870">
        <f>IF(ISBLANK('ENGAGEMENTS 2026'!C2870),"",'ENGAGEMENTS 2026'!I2870)</f>
        <v/>
      </c>
      <c r="F2870">
        <f>IF(ISBLANK('ENGAGEMENTS 2026'!C2870),"",'ENGAGEMENTS 2026'!J2870)</f>
        <v/>
      </c>
      <c r="G2870">
        <f>IF(ISBLANK('ENGAGEMENTS 2026'!C2870),"",'ENGAGEMENTS 2026'!M2870)</f>
        <v/>
      </c>
      <c r="H2870">
        <f>IF(ISBLANK('ENGAGEMENTS 2026'!C2870),"",'ENGAGEMENTS 2026'!AF2870)</f>
        <v/>
      </c>
      <c r="I2870">
        <f>IF(ISBLANK('ENGAGEMENTS 2026'!C2870),"",'ENGAGEMENTS 2026'!H2870)</f>
        <v/>
      </c>
      <c r="J2870" s="275">
        <f>IF(ISBLANK('ENGAGEMENTS 2026'!C2870),"",IF(AND(OR($E2870="INFRUCTUEUX",$E2870="ANNULE"),$C2870="AOO-M"),'ENGAGEMENTS 2026'!P2870,IF($H2870="EN COURS DE PREENGAGEMENT",'ENGAGEMENTS 2026'!O2870,IF($H2870="PREENGAGE",IF($E2870="ATTRIBUE",'ENGAGEMENTS 2026'!AE2870,'ENGAGEMENTS 2026'!O2870),'ENGAGEMENTS 2026'!AE2870))))</f>
        <v/>
      </c>
      <c r="K2870" s="604">
        <f>IF(ISBLANK('ENGAGEMENTS 2026'!W2870),"",'ENGAGEMENTS 2026'!W2870)</f>
        <v/>
      </c>
      <c r="L2870" s="276">
        <f>IF($K2870="","",TODAY()-$K2870)</f>
        <v/>
      </c>
      <c r="M2870">
        <f>IF($A2870="","",IF($H2870="ENGAGE","Engagé",IF(AND($H2870="NON ENGAGE",OR($I2870="INFRUCTUEUX",$I2870="ANNULE")),"Clôturé sans suite","En cours")))</f>
        <v/>
      </c>
      <c r="N2870">
        <f>IF(ISBLANK('ENGAGEMENTS 2026'!C2870),"",'ENGAGEMENTS 2026'!L2870)</f>
        <v/>
      </c>
      <c r="O2870">
        <f>IF(ISBLANK('ENGAGEMENTS 2026'!C2870),"",'ENGAGEMENTS 2026'!M2870)</f>
        <v/>
      </c>
      <c r="P2870">
        <f>IF(ISBLANK('ENGAGEMENTS 2026'!C2870),"",'ENGAGEMENTS 2026'!K2870)</f>
        <v/>
      </c>
      <c r="Q2870">
        <f>IF($A2870="","",IF(OR($E2870="INFRUCTUEUX",$E2870="ANNULE"),$A2870&amp;"|"&amp;(COUNTIFS($A$2:$A2870,$A2870,$E$2:$E2870,"INFRUCTUEUX")+COUNTIFS($A$2:$A2870,$A2870,$E$2:$E2870,"ANNULE")),""))</f>
        <v/>
      </c>
    </row>
    <row r="2871">
      <c r="A2871">
        <f>IF(ISBLANK('ENGAGEMENTS 2026'!C2871),"",IF('ENGAGEMENTS 2026'!C2871="DTSI","DCT",'ENGAGEMENTS 2026'!C2871))</f>
        <v/>
      </c>
      <c r="B2871">
        <f>IF(ISBLANK('ENGAGEMENTS 2026'!C2871),"",'ENGAGEMENTS 2026'!D2871)</f>
        <v/>
      </c>
      <c r="C2871">
        <f>IF(ISBLANK('ENGAGEMENTS 2026'!C2871),"",'ENGAGEMENTS 2026'!E2871)</f>
        <v/>
      </c>
      <c r="D2871">
        <f>IF(ISBLANK('ENGAGEMENTS 2026'!C2871),"",'ENGAGEMENTS 2026'!G2871)</f>
        <v/>
      </c>
      <c r="E2871">
        <f>IF(ISBLANK('ENGAGEMENTS 2026'!C2871),"",'ENGAGEMENTS 2026'!I2871)</f>
        <v/>
      </c>
      <c r="F2871">
        <f>IF(ISBLANK('ENGAGEMENTS 2026'!C2871),"",'ENGAGEMENTS 2026'!J2871)</f>
        <v/>
      </c>
      <c r="G2871">
        <f>IF(ISBLANK('ENGAGEMENTS 2026'!C2871),"",'ENGAGEMENTS 2026'!M2871)</f>
        <v/>
      </c>
      <c r="H2871">
        <f>IF(ISBLANK('ENGAGEMENTS 2026'!C2871),"",'ENGAGEMENTS 2026'!AF2871)</f>
        <v/>
      </c>
      <c r="I2871">
        <f>IF(ISBLANK('ENGAGEMENTS 2026'!C2871),"",'ENGAGEMENTS 2026'!H2871)</f>
        <v/>
      </c>
      <c r="J2871" s="275">
        <f>IF(ISBLANK('ENGAGEMENTS 2026'!C2871),"",IF(AND(OR($E2871="INFRUCTUEUX",$E2871="ANNULE"),$C2871="AOO-M"),'ENGAGEMENTS 2026'!P2871,IF($H2871="EN COURS DE PREENGAGEMENT",'ENGAGEMENTS 2026'!O2871,IF($H2871="PREENGAGE",IF($E2871="ATTRIBUE",'ENGAGEMENTS 2026'!AE2871,'ENGAGEMENTS 2026'!O2871),'ENGAGEMENTS 2026'!AE2871))))</f>
        <v/>
      </c>
      <c r="K2871" s="604">
        <f>IF(ISBLANK('ENGAGEMENTS 2026'!W2871),"",'ENGAGEMENTS 2026'!W2871)</f>
        <v/>
      </c>
      <c r="L2871" s="276">
        <f>IF($K2871="","",TODAY()-$K2871)</f>
        <v/>
      </c>
      <c r="M2871">
        <f>IF($A2871="","",IF($H2871="ENGAGE","Engagé",IF(AND($H2871="NON ENGAGE",OR($I2871="INFRUCTUEUX",$I2871="ANNULE")),"Clôturé sans suite","En cours")))</f>
        <v/>
      </c>
      <c r="N2871">
        <f>IF(ISBLANK('ENGAGEMENTS 2026'!C2871),"",'ENGAGEMENTS 2026'!L2871)</f>
        <v/>
      </c>
      <c r="O2871">
        <f>IF(ISBLANK('ENGAGEMENTS 2026'!C2871),"",'ENGAGEMENTS 2026'!M2871)</f>
        <v/>
      </c>
      <c r="P2871">
        <f>IF(ISBLANK('ENGAGEMENTS 2026'!C2871),"",'ENGAGEMENTS 2026'!K2871)</f>
        <v/>
      </c>
      <c r="Q2871">
        <f>IF($A2871="","",IF(OR($E2871="INFRUCTUEUX",$E2871="ANNULE"),$A2871&amp;"|"&amp;(COUNTIFS($A$2:$A2871,$A2871,$E$2:$E2871,"INFRUCTUEUX")+COUNTIFS($A$2:$A2871,$A2871,$E$2:$E2871,"ANNULE")),""))</f>
        <v/>
      </c>
    </row>
    <row r="2872">
      <c r="A2872">
        <f>IF(ISBLANK('ENGAGEMENTS 2026'!C2872),"",IF('ENGAGEMENTS 2026'!C2872="DTSI","DCT",'ENGAGEMENTS 2026'!C2872))</f>
        <v/>
      </c>
      <c r="B2872">
        <f>IF(ISBLANK('ENGAGEMENTS 2026'!C2872),"",'ENGAGEMENTS 2026'!D2872)</f>
        <v/>
      </c>
      <c r="C2872">
        <f>IF(ISBLANK('ENGAGEMENTS 2026'!C2872),"",'ENGAGEMENTS 2026'!E2872)</f>
        <v/>
      </c>
      <c r="D2872">
        <f>IF(ISBLANK('ENGAGEMENTS 2026'!C2872),"",'ENGAGEMENTS 2026'!G2872)</f>
        <v/>
      </c>
      <c r="E2872">
        <f>IF(ISBLANK('ENGAGEMENTS 2026'!C2872),"",'ENGAGEMENTS 2026'!I2872)</f>
        <v/>
      </c>
      <c r="F2872">
        <f>IF(ISBLANK('ENGAGEMENTS 2026'!C2872),"",'ENGAGEMENTS 2026'!J2872)</f>
        <v/>
      </c>
      <c r="G2872">
        <f>IF(ISBLANK('ENGAGEMENTS 2026'!C2872),"",'ENGAGEMENTS 2026'!M2872)</f>
        <v/>
      </c>
      <c r="H2872">
        <f>IF(ISBLANK('ENGAGEMENTS 2026'!C2872),"",'ENGAGEMENTS 2026'!AF2872)</f>
        <v/>
      </c>
      <c r="I2872">
        <f>IF(ISBLANK('ENGAGEMENTS 2026'!C2872),"",'ENGAGEMENTS 2026'!H2872)</f>
        <v/>
      </c>
      <c r="J2872" s="275">
        <f>IF(ISBLANK('ENGAGEMENTS 2026'!C2872),"",IF(AND(OR($E2872="INFRUCTUEUX",$E2872="ANNULE"),$C2872="AOO-M"),'ENGAGEMENTS 2026'!P2872,IF($H2872="EN COURS DE PREENGAGEMENT",'ENGAGEMENTS 2026'!O2872,IF($H2872="PREENGAGE",IF($E2872="ATTRIBUE",'ENGAGEMENTS 2026'!AE2872,'ENGAGEMENTS 2026'!O2872),'ENGAGEMENTS 2026'!AE2872))))</f>
        <v/>
      </c>
      <c r="K2872" s="604">
        <f>IF(ISBLANK('ENGAGEMENTS 2026'!W2872),"",'ENGAGEMENTS 2026'!W2872)</f>
        <v/>
      </c>
      <c r="L2872" s="276">
        <f>IF($K2872="","",TODAY()-$K2872)</f>
        <v/>
      </c>
      <c r="M2872">
        <f>IF($A2872="","",IF($H2872="ENGAGE","Engagé",IF(AND($H2872="NON ENGAGE",OR($I2872="INFRUCTUEUX",$I2872="ANNULE")),"Clôturé sans suite","En cours")))</f>
        <v/>
      </c>
      <c r="N2872">
        <f>IF(ISBLANK('ENGAGEMENTS 2026'!C2872),"",'ENGAGEMENTS 2026'!L2872)</f>
        <v/>
      </c>
      <c r="O2872">
        <f>IF(ISBLANK('ENGAGEMENTS 2026'!C2872),"",'ENGAGEMENTS 2026'!M2872)</f>
        <v/>
      </c>
      <c r="P2872">
        <f>IF(ISBLANK('ENGAGEMENTS 2026'!C2872),"",'ENGAGEMENTS 2026'!K2872)</f>
        <v/>
      </c>
      <c r="Q2872">
        <f>IF($A2872="","",IF(OR($E2872="INFRUCTUEUX",$E2872="ANNULE"),$A2872&amp;"|"&amp;(COUNTIFS($A$2:$A2872,$A2872,$E$2:$E2872,"INFRUCTUEUX")+COUNTIFS($A$2:$A2872,$A2872,$E$2:$E2872,"ANNULE")),""))</f>
        <v/>
      </c>
    </row>
    <row r="2873">
      <c r="A2873">
        <f>IF(ISBLANK('ENGAGEMENTS 2026'!C2873),"",IF('ENGAGEMENTS 2026'!C2873="DTSI","DCT",'ENGAGEMENTS 2026'!C2873))</f>
        <v/>
      </c>
      <c r="B2873">
        <f>IF(ISBLANK('ENGAGEMENTS 2026'!C2873),"",'ENGAGEMENTS 2026'!D2873)</f>
        <v/>
      </c>
      <c r="C2873">
        <f>IF(ISBLANK('ENGAGEMENTS 2026'!C2873),"",'ENGAGEMENTS 2026'!E2873)</f>
        <v/>
      </c>
      <c r="D2873">
        <f>IF(ISBLANK('ENGAGEMENTS 2026'!C2873),"",'ENGAGEMENTS 2026'!G2873)</f>
        <v/>
      </c>
      <c r="E2873">
        <f>IF(ISBLANK('ENGAGEMENTS 2026'!C2873),"",'ENGAGEMENTS 2026'!I2873)</f>
        <v/>
      </c>
      <c r="F2873">
        <f>IF(ISBLANK('ENGAGEMENTS 2026'!C2873),"",'ENGAGEMENTS 2026'!J2873)</f>
        <v/>
      </c>
      <c r="G2873">
        <f>IF(ISBLANK('ENGAGEMENTS 2026'!C2873),"",'ENGAGEMENTS 2026'!M2873)</f>
        <v/>
      </c>
      <c r="H2873">
        <f>IF(ISBLANK('ENGAGEMENTS 2026'!C2873),"",'ENGAGEMENTS 2026'!AF2873)</f>
        <v/>
      </c>
      <c r="I2873">
        <f>IF(ISBLANK('ENGAGEMENTS 2026'!C2873),"",'ENGAGEMENTS 2026'!H2873)</f>
        <v/>
      </c>
      <c r="J2873" s="275">
        <f>IF(ISBLANK('ENGAGEMENTS 2026'!C2873),"",IF(AND(OR($E2873="INFRUCTUEUX",$E2873="ANNULE"),$C2873="AOO-M"),'ENGAGEMENTS 2026'!P2873,IF($H2873="EN COURS DE PREENGAGEMENT",'ENGAGEMENTS 2026'!O2873,IF($H2873="PREENGAGE",IF($E2873="ATTRIBUE",'ENGAGEMENTS 2026'!AE2873,'ENGAGEMENTS 2026'!O2873),'ENGAGEMENTS 2026'!AE2873))))</f>
        <v/>
      </c>
      <c r="K2873" s="604">
        <f>IF(ISBLANK('ENGAGEMENTS 2026'!W2873),"",'ENGAGEMENTS 2026'!W2873)</f>
        <v/>
      </c>
      <c r="L2873" s="276">
        <f>IF($K2873="","",TODAY()-$K2873)</f>
        <v/>
      </c>
      <c r="M2873">
        <f>IF($A2873="","",IF($H2873="ENGAGE","Engagé",IF(AND($H2873="NON ENGAGE",OR($I2873="INFRUCTUEUX",$I2873="ANNULE")),"Clôturé sans suite","En cours")))</f>
        <v/>
      </c>
      <c r="N2873">
        <f>IF(ISBLANK('ENGAGEMENTS 2026'!C2873),"",'ENGAGEMENTS 2026'!L2873)</f>
        <v/>
      </c>
      <c r="O2873">
        <f>IF(ISBLANK('ENGAGEMENTS 2026'!C2873),"",'ENGAGEMENTS 2026'!M2873)</f>
        <v/>
      </c>
      <c r="P2873">
        <f>IF(ISBLANK('ENGAGEMENTS 2026'!C2873),"",'ENGAGEMENTS 2026'!K2873)</f>
        <v/>
      </c>
      <c r="Q2873">
        <f>IF($A2873="","",IF(OR($E2873="INFRUCTUEUX",$E2873="ANNULE"),$A2873&amp;"|"&amp;(COUNTIFS($A$2:$A2873,$A2873,$E$2:$E2873,"INFRUCTUEUX")+COUNTIFS($A$2:$A2873,$A2873,$E$2:$E2873,"ANNULE")),""))</f>
        <v/>
      </c>
    </row>
    <row r="2874">
      <c r="A2874">
        <f>IF(ISBLANK('ENGAGEMENTS 2026'!C2874),"",IF('ENGAGEMENTS 2026'!C2874="DTSI","DCT",'ENGAGEMENTS 2026'!C2874))</f>
        <v/>
      </c>
      <c r="B2874">
        <f>IF(ISBLANK('ENGAGEMENTS 2026'!C2874),"",'ENGAGEMENTS 2026'!D2874)</f>
        <v/>
      </c>
      <c r="C2874">
        <f>IF(ISBLANK('ENGAGEMENTS 2026'!C2874),"",'ENGAGEMENTS 2026'!E2874)</f>
        <v/>
      </c>
      <c r="D2874">
        <f>IF(ISBLANK('ENGAGEMENTS 2026'!C2874),"",'ENGAGEMENTS 2026'!G2874)</f>
        <v/>
      </c>
      <c r="E2874">
        <f>IF(ISBLANK('ENGAGEMENTS 2026'!C2874),"",'ENGAGEMENTS 2026'!I2874)</f>
        <v/>
      </c>
      <c r="F2874">
        <f>IF(ISBLANK('ENGAGEMENTS 2026'!C2874),"",'ENGAGEMENTS 2026'!J2874)</f>
        <v/>
      </c>
      <c r="G2874">
        <f>IF(ISBLANK('ENGAGEMENTS 2026'!C2874),"",'ENGAGEMENTS 2026'!M2874)</f>
        <v/>
      </c>
      <c r="H2874">
        <f>IF(ISBLANK('ENGAGEMENTS 2026'!C2874),"",'ENGAGEMENTS 2026'!AF2874)</f>
        <v/>
      </c>
      <c r="I2874">
        <f>IF(ISBLANK('ENGAGEMENTS 2026'!C2874),"",'ENGAGEMENTS 2026'!H2874)</f>
        <v/>
      </c>
      <c r="J2874" s="275">
        <f>IF(ISBLANK('ENGAGEMENTS 2026'!C2874),"",IF(AND(OR($E2874="INFRUCTUEUX",$E2874="ANNULE"),$C2874="AOO-M"),'ENGAGEMENTS 2026'!P2874,IF($H2874="EN COURS DE PREENGAGEMENT",'ENGAGEMENTS 2026'!O2874,IF($H2874="PREENGAGE",IF($E2874="ATTRIBUE",'ENGAGEMENTS 2026'!AE2874,'ENGAGEMENTS 2026'!O2874),'ENGAGEMENTS 2026'!AE2874))))</f>
        <v/>
      </c>
      <c r="K2874" s="604">
        <f>IF(ISBLANK('ENGAGEMENTS 2026'!W2874),"",'ENGAGEMENTS 2026'!W2874)</f>
        <v/>
      </c>
      <c r="L2874" s="276">
        <f>IF($K2874="","",TODAY()-$K2874)</f>
        <v/>
      </c>
      <c r="M2874">
        <f>IF($A2874="","",IF($H2874="ENGAGE","Engagé",IF(AND($H2874="NON ENGAGE",OR($I2874="INFRUCTUEUX",$I2874="ANNULE")),"Clôturé sans suite","En cours")))</f>
        <v/>
      </c>
      <c r="N2874">
        <f>IF(ISBLANK('ENGAGEMENTS 2026'!C2874),"",'ENGAGEMENTS 2026'!L2874)</f>
        <v/>
      </c>
      <c r="O2874">
        <f>IF(ISBLANK('ENGAGEMENTS 2026'!C2874),"",'ENGAGEMENTS 2026'!M2874)</f>
        <v/>
      </c>
      <c r="P2874">
        <f>IF(ISBLANK('ENGAGEMENTS 2026'!C2874),"",'ENGAGEMENTS 2026'!K2874)</f>
        <v/>
      </c>
      <c r="Q2874">
        <f>IF($A2874="","",IF(OR($E2874="INFRUCTUEUX",$E2874="ANNULE"),$A2874&amp;"|"&amp;(COUNTIFS($A$2:$A2874,$A2874,$E$2:$E2874,"INFRUCTUEUX")+COUNTIFS($A$2:$A2874,$A2874,$E$2:$E2874,"ANNULE")),""))</f>
        <v/>
      </c>
    </row>
    <row r="2875">
      <c r="A2875">
        <f>IF(ISBLANK('ENGAGEMENTS 2026'!C2875),"",IF('ENGAGEMENTS 2026'!C2875="DTSI","DCT",'ENGAGEMENTS 2026'!C2875))</f>
        <v/>
      </c>
      <c r="B2875">
        <f>IF(ISBLANK('ENGAGEMENTS 2026'!C2875),"",'ENGAGEMENTS 2026'!D2875)</f>
        <v/>
      </c>
      <c r="C2875">
        <f>IF(ISBLANK('ENGAGEMENTS 2026'!C2875),"",'ENGAGEMENTS 2026'!E2875)</f>
        <v/>
      </c>
      <c r="D2875">
        <f>IF(ISBLANK('ENGAGEMENTS 2026'!C2875),"",'ENGAGEMENTS 2026'!G2875)</f>
        <v/>
      </c>
      <c r="E2875">
        <f>IF(ISBLANK('ENGAGEMENTS 2026'!C2875),"",'ENGAGEMENTS 2026'!I2875)</f>
        <v/>
      </c>
      <c r="F2875">
        <f>IF(ISBLANK('ENGAGEMENTS 2026'!C2875),"",'ENGAGEMENTS 2026'!J2875)</f>
        <v/>
      </c>
      <c r="G2875">
        <f>IF(ISBLANK('ENGAGEMENTS 2026'!C2875),"",'ENGAGEMENTS 2026'!M2875)</f>
        <v/>
      </c>
      <c r="H2875">
        <f>IF(ISBLANK('ENGAGEMENTS 2026'!C2875),"",'ENGAGEMENTS 2026'!AF2875)</f>
        <v/>
      </c>
      <c r="I2875">
        <f>IF(ISBLANK('ENGAGEMENTS 2026'!C2875),"",'ENGAGEMENTS 2026'!H2875)</f>
        <v/>
      </c>
      <c r="J2875" s="275">
        <f>IF(ISBLANK('ENGAGEMENTS 2026'!C2875),"",IF(AND(OR($E2875="INFRUCTUEUX",$E2875="ANNULE"),$C2875="AOO-M"),'ENGAGEMENTS 2026'!P2875,IF($H2875="EN COURS DE PREENGAGEMENT",'ENGAGEMENTS 2026'!O2875,IF($H2875="PREENGAGE",IF($E2875="ATTRIBUE",'ENGAGEMENTS 2026'!AE2875,'ENGAGEMENTS 2026'!O2875),'ENGAGEMENTS 2026'!AE2875))))</f>
        <v/>
      </c>
      <c r="K2875" s="604">
        <f>IF(ISBLANK('ENGAGEMENTS 2026'!W2875),"",'ENGAGEMENTS 2026'!W2875)</f>
        <v/>
      </c>
      <c r="L2875" s="276">
        <f>IF($K2875="","",TODAY()-$K2875)</f>
        <v/>
      </c>
      <c r="M2875">
        <f>IF($A2875="","",IF($H2875="ENGAGE","Engagé",IF(AND($H2875="NON ENGAGE",OR($I2875="INFRUCTUEUX",$I2875="ANNULE")),"Clôturé sans suite","En cours")))</f>
        <v/>
      </c>
      <c r="N2875">
        <f>IF(ISBLANK('ENGAGEMENTS 2026'!C2875),"",'ENGAGEMENTS 2026'!L2875)</f>
        <v/>
      </c>
      <c r="O2875">
        <f>IF(ISBLANK('ENGAGEMENTS 2026'!C2875),"",'ENGAGEMENTS 2026'!M2875)</f>
        <v/>
      </c>
      <c r="P2875">
        <f>IF(ISBLANK('ENGAGEMENTS 2026'!C2875),"",'ENGAGEMENTS 2026'!K2875)</f>
        <v/>
      </c>
      <c r="Q2875">
        <f>IF($A2875="","",IF(OR($E2875="INFRUCTUEUX",$E2875="ANNULE"),$A2875&amp;"|"&amp;(COUNTIFS($A$2:$A2875,$A2875,$E$2:$E2875,"INFRUCTUEUX")+COUNTIFS($A$2:$A2875,$A2875,$E$2:$E2875,"ANNULE")),""))</f>
        <v/>
      </c>
    </row>
    <row r="2876">
      <c r="A2876">
        <f>IF(ISBLANK('ENGAGEMENTS 2026'!C2876),"",IF('ENGAGEMENTS 2026'!C2876="DTSI","DCT",'ENGAGEMENTS 2026'!C2876))</f>
        <v/>
      </c>
      <c r="B2876">
        <f>IF(ISBLANK('ENGAGEMENTS 2026'!C2876),"",'ENGAGEMENTS 2026'!D2876)</f>
        <v/>
      </c>
      <c r="C2876">
        <f>IF(ISBLANK('ENGAGEMENTS 2026'!C2876),"",'ENGAGEMENTS 2026'!E2876)</f>
        <v/>
      </c>
      <c r="D2876">
        <f>IF(ISBLANK('ENGAGEMENTS 2026'!C2876),"",'ENGAGEMENTS 2026'!G2876)</f>
        <v/>
      </c>
      <c r="E2876">
        <f>IF(ISBLANK('ENGAGEMENTS 2026'!C2876),"",'ENGAGEMENTS 2026'!I2876)</f>
        <v/>
      </c>
      <c r="F2876">
        <f>IF(ISBLANK('ENGAGEMENTS 2026'!C2876),"",'ENGAGEMENTS 2026'!J2876)</f>
        <v/>
      </c>
      <c r="G2876">
        <f>IF(ISBLANK('ENGAGEMENTS 2026'!C2876),"",'ENGAGEMENTS 2026'!M2876)</f>
        <v/>
      </c>
      <c r="H2876">
        <f>IF(ISBLANK('ENGAGEMENTS 2026'!C2876),"",'ENGAGEMENTS 2026'!AF2876)</f>
        <v/>
      </c>
      <c r="I2876">
        <f>IF(ISBLANK('ENGAGEMENTS 2026'!C2876),"",'ENGAGEMENTS 2026'!H2876)</f>
        <v/>
      </c>
      <c r="J2876" s="275">
        <f>IF(ISBLANK('ENGAGEMENTS 2026'!C2876),"",IF(AND(OR($E2876="INFRUCTUEUX",$E2876="ANNULE"),$C2876="AOO-M"),'ENGAGEMENTS 2026'!P2876,IF($H2876="EN COURS DE PREENGAGEMENT",'ENGAGEMENTS 2026'!O2876,IF($H2876="PREENGAGE",IF($E2876="ATTRIBUE",'ENGAGEMENTS 2026'!AE2876,'ENGAGEMENTS 2026'!O2876),'ENGAGEMENTS 2026'!AE2876))))</f>
        <v/>
      </c>
      <c r="K2876" s="604">
        <f>IF(ISBLANK('ENGAGEMENTS 2026'!W2876),"",'ENGAGEMENTS 2026'!W2876)</f>
        <v/>
      </c>
      <c r="L2876" s="276">
        <f>IF($K2876="","",TODAY()-$K2876)</f>
        <v/>
      </c>
      <c r="M2876">
        <f>IF($A2876="","",IF($H2876="ENGAGE","Engagé",IF(AND($H2876="NON ENGAGE",OR($I2876="INFRUCTUEUX",$I2876="ANNULE")),"Clôturé sans suite","En cours")))</f>
        <v/>
      </c>
      <c r="N2876">
        <f>IF(ISBLANK('ENGAGEMENTS 2026'!C2876),"",'ENGAGEMENTS 2026'!L2876)</f>
        <v/>
      </c>
      <c r="O2876">
        <f>IF(ISBLANK('ENGAGEMENTS 2026'!C2876),"",'ENGAGEMENTS 2026'!M2876)</f>
        <v/>
      </c>
      <c r="P2876">
        <f>IF(ISBLANK('ENGAGEMENTS 2026'!C2876),"",'ENGAGEMENTS 2026'!K2876)</f>
        <v/>
      </c>
      <c r="Q2876">
        <f>IF($A2876="","",IF(OR($E2876="INFRUCTUEUX",$E2876="ANNULE"),$A2876&amp;"|"&amp;(COUNTIFS($A$2:$A2876,$A2876,$E$2:$E2876,"INFRUCTUEUX")+COUNTIFS($A$2:$A2876,$A2876,$E$2:$E2876,"ANNULE")),""))</f>
        <v/>
      </c>
    </row>
    <row r="2877">
      <c r="A2877">
        <f>IF(ISBLANK('ENGAGEMENTS 2026'!C2877),"",IF('ENGAGEMENTS 2026'!C2877="DTSI","DCT",'ENGAGEMENTS 2026'!C2877))</f>
        <v/>
      </c>
      <c r="B2877">
        <f>IF(ISBLANK('ENGAGEMENTS 2026'!C2877),"",'ENGAGEMENTS 2026'!D2877)</f>
        <v/>
      </c>
      <c r="C2877">
        <f>IF(ISBLANK('ENGAGEMENTS 2026'!C2877),"",'ENGAGEMENTS 2026'!E2877)</f>
        <v/>
      </c>
      <c r="D2877">
        <f>IF(ISBLANK('ENGAGEMENTS 2026'!C2877),"",'ENGAGEMENTS 2026'!G2877)</f>
        <v/>
      </c>
      <c r="E2877">
        <f>IF(ISBLANK('ENGAGEMENTS 2026'!C2877),"",'ENGAGEMENTS 2026'!I2877)</f>
        <v/>
      </c>
      <c r="F2877">
        <f>IF(ISBLANK('ENGAGEMENTS 2026'!C2877),"",'ENGAGEMENTS 2026'!J2877)</f>
        <v/>
      </c>
      <c r="G2877">
        <f>IF(ISBLANK('ENGAGEMENTS 2026'!C2877),"",'ENGAGEMENTS 2026'!M2877)</f>
        <v/>
      </c>
      <c r="H2877">
        <f>IF(ISBLANK('ENGAGEMENTS 2026'!C2877),"",'ENGAGEMENTS 2026'!AF2877)</f>
        <v/>
      </c>
      <c r="I2877">
        <f>IF(ISBLANK('ENGAGEMENTS 2026'!C2877),"",'ENGAGEMENTS 2026'!H2877)</f>
        <v/>
      </c>
      <c r="J2877" s="275">
        <f>IF(ISBLANK('ENGAGEMENTS 2026'!C2877),"",IF(AND(OR($E2877="INFRUCTUEUX",$E2877="ANNULE"),$C2877="AOO-M"),'ENGAGEMENTS 2026'!P2877,IF($H2877="EN COURS DE PREENGAGEMENT",'ENGAGEMENTS 2026'!O2877,IF($H2877="PREENGAGE",IF($E2877="ATTRIBUE",'ENGAGEMENTS 2026'!AE2877,'ENGAGEMENTS 2026'!O2877),'ENGAGEMENTS 2026'!AE2877))))</f>
        <v/>
      </c>
      <c r="K2877" s="604">
        <f>IF(ISBLANK('ENGAGEMENTS 2026'!W2877),"",'ENGAGEMENTS 2026'!W2877)</f>
        <v/>
      </c>
      <c r="L2877" s="276">
        <f>IF($K2877="","",TODAY()-$K2877)</f>
        <v/>
      </c>
      <c r="M2877">
        <f>IF($A2877="","",IF($H2877="ENGAGE","Engagé",IF(AND($H2877="NON ENGAGE",OR($I2877="INFRUCTUEUX",$I2877="ANNULE")),"Clôturé sans suite","En cours")))</f>
        <v/>
      </c>
      <c r="N2877">
        <f>IF(ISBLANK('ENGAGEMENTS 2026'!C2877),"",'ENGAGEMENTS 2026'!L2877)</f>
        <v/>
      </c>
      <c r="O2877">
        <f>IF(ISBLANK('ENGAGEMENTS 2026'!C2877),"",'ENGAGEMENTS 2026'!M2877)</f>
        <v/>
      </c>
      <c r="P2877">
        <f>IF(ISBLANK('ENGAGEMENTS 2026'!C2877),"",'ENGAGEMENTS 2026'!K2877)</f>
        <v/>
      </c>
      <c r="Q2877">
        <f>IF($A2877="","",IF(OR($E2877="INFRUCTUEUX",$E2877="ANNULE"),$A2877&amp;"|"&amp;(COUNTIFS($A$2:$A2877,$A2877,$E$2:$E2877,"INFRUCTUEUX")+COUNTIFS($A$2:$A2877,$A2877,$E$2:$E2877,"ANNULE")),""))</f>
        <v/>
      </c>
    </row>
    <row r="2878">
      <c r="A2878">
        <f>IF(ISBLANK('ENGAGEMENTS 2026'!C2878),"",IF('ENGAGEMENTS 2026'!C2878="DTSI","DCT",'ENGAGEMENTS 2026'!C2878))</f>
        <v/>
      </c>
      <c r="B2878">
        <f>IF(ISBLANK('ENGAGEMENTS 2026'!C2878),"",'ENGAGEMENTS 2026'!D2878)</f>
        <v/>
      </c>
      <c r="C2878">
        <f>IF(ISBLANK('ENGAGEMENTS 2026'!C2878),"",'ENGAGEMENTS 2026'!E2878)</f>
        <v/>
      </c>
      <c r="D2878">
        <f>IF(ISBLANK('ENGAGEMENTS 2026'!C2878),"",'ENGAGEMENTS 2026'!G2878)</f>
        <v/>
      </c>
      <c r="E2878">
        <f>IF(ISBLANK('ENGAGEMENTS 2026'!C2878),"",'ENGAGEMENTS 2026'!I2878)</f>
        <v/>
      </c>
      <c r="F2878">
        <f>IF(ISBLANK('ENGAGEMENTS 2026'!C2878),"",'ENGAGEMENTS 2026'!J2878)</f>
        <v/>
      </c>
      <c r="G2878">
        <f>IF(ISBLANK('ENGAGEMENTS 2026'!C2878),"",'ENGAGEMENTS 2026'!M2878)</f>
        <v/>
      </c>
      <c r="H2878">
        <f>IF(ISBLANK('ENGAGEMENTS 2026'!C2878),"",'ENGAGEMENTS 2026'!AF2878)</f>
        <v/>
      </c>
      <c r="I2878">
        <f>IF(ISBLANK('ENGAGEMENTS 2026'!C2878),"",'ENGAGEMENTS 2026'!H2878)</f>
        <v/>
      </c>
      <c r="J2878" s="275">
        <f>IF(ISBLANK('ENGAGEMENTS 2026'!C2878),"",IF(AND(OR($E2878="INFRUCTUEUX",$E2878="ANNULE"),$C2878="AOO-M"),'ENGAGEMENTS 2026'!P2878,IF($H2878="EN COURS DE PREENGAGEMENT",'ENGAGEMENTS 2026'!O2878,IF($H2878="PREENGAGE",IF($E2878="ATTRIBUE",'ENGAGEMENTS 2026'!AE2878,'ENGAGEMENTS 2026'!O2878),'ENGAGEMENTS 2026'!AE2878))))</f>
        <v/>
      </c>
      <c r="K2878" s="604">
        <f>IF(ISBLANK('ENGAGEMENTS 2026'!W2878),"",'ENGAGEMENTS 2026'!W2878)</f>
        <v/>
      </c>
      <c r="L2878" s="276">
        <f>IF($K2878="","",TODAY()-$K2878)</f>
        <v/>
      </c>
      <c r="M2878">
        <f>IF($A2878="","",IF($H2878="ENGAGE","Engagé",IF(AND($H2878="NON ENGAGE",OR($I2878="INFRUCTUEUX",$I2878="ANNULE")),"Clôturé sans suite","En cours")))</f>
        <v/>
      </c>
      <c r="N2878">
        <f>IF(ISBLANK('ENGAGEMENTS 2026'!C2878),"",'ENGAGEMENTS 2026'!L2878)</f>
        <v/>
      </c>
      <c r="O2878">
        <f>IF(ISBLANK('ENGAGEMENTS 2026'!C2878),"",'ENGAGEMENTS 2026'!M2878)</f>
        <v/>
      </c>
      <c r="P2878">
        <f>IF(ISBLANK('ENGAGEMENTS 2026'!C2878),"",'ENGAGEMENTS 2026'!K2878)</f>
        <v/>
      </c>
      <c r="Q2878">
        <f>IF($A2878="","",IF(OR($E2878="INFRUCTUEUX",$E2878="ANNULE"),$A2878&amp;"|"&amp;(COUNTIFS($A$2:$A2878,$A2878,$E$2:$E2878,"INFRUCTUEUX")+COUNTIFS($A$2:$A2878,$A2878,$E$2:$E2878,"ANNULE")),""))</f>
        <v/>
      </c>
    </row>
    <row r="2879">
      <c r="A2879">
        <f>IF(ISBLANK('ENGAGEMENTS 2026'!C2879),"",IF('ENGAGEMENTS 2026'!C2879="DTSI","DCT",'ENGAGEMENTS 2026'!C2879))</f>
        <v/>
      </c>
      <c r="B2879">
        <f>IF(ISBLANK('ENGAGEMENTS 2026'!C2879),"",'ENGAGEMENTS 2026'!D2879)</f>
        <v/>
      </c>
      <c r="C2879">
        <f>IF(ISBLANK('ENGAGEMENTS 2026'!C2879),"",'ENGAGEMENTS 2026'!E2879)</f>
        <v/>
      </c>
      <c r="D2879">
        <f>IF(ISBLANK('ENGAGEMENTS 2026'!C2879),"",'ENGAGEMENTS 2026'!G2879)</f>
        <v/>
      </c>
      <c r="E2879">
        <f>IF(ISBLANK('ENGAGEMENTS 2026'!C2879),"",'ENGAGEMENTS 2026'!I2879)</f>
        <v/>
      </c>
      <c r="F2879">
        <f>IF(ISBLANK('ENGAGEMENTS 2026'!C2879),"",'ENGAGEMENTS 2026'!J2879)</f>
        <v/>
      </c>
      <c r="G2879">
        <f>IF(ISBLANK('ENGAGEMENTS 2026'!C2879),"",'ENGAGEMENTS 2026'!M2879)</f>
        <v/>
      </c>
      <c r="H2879">
        <f>IF(ISBLANK('ENGAGEMENTS 2026'!C2879),"",'ENGAGEMENTS 2026'!AF2879)</f>
        <v/>
      </c>
      <c r="I2879">
        <f>IF(ISBLANK('ENGAGEMENTS 2026'!C2879),"",'ENGAGEMENTS 2026'!H2879)</f>
        <v/>
      </c>
      <c r="J2879" s="275">
        <f>IF(ISBLANK('ENGAGEMENTS 2026'!C2879),"",IF(AND(OR($E2879="INFRUCTUEUX",$E2879="ANNULE"),$C2879="AOO-M"),'ENGAGEMENTS 2026'!P2879,IF($H2879="EN COURS DE PREENGAGEMENT",'ENGAGEMENTS 2026'!O2879,IF($H2879="PREENGAGE",IF($E2879="ATTRIBUE",'ENGAGEMENTS 2026'!AE2879,'ENGAGEMENTS 2026'!O2879),'ENGAGEMENTS 2026'!AE2879))))</f>
        <v/>
      </c>
      <c r="K2879" s="604">
        <f>IF(ISBLANK('ENGAGEMENTS 2026'!W2879),"",'ENGAGEMENTS 2026'!W2879)</f>
        <v/>
      </c>
      <c r="L2879" s="276">
        <f>IF($K2879="","",TODAY()-$K2879)</f>
        <v/>
      </c>
      <c r="M2879">
        <f>IF($A2879="","",IF($H2879="ENGAGE","Engagé",IF(AND($H2879="NON ENGAGE",OR($I2879="INFRUCTUEUX",$I2879="ANNULE")),"Clôturé sans suite","En cours")))</f>
        <v/>
      </c>
      <c r="N2879">
        <f>IF(ISBLANK('ENGAGEMENTS 2026'!C2879),"",'ENGAGEMENTS 2026'!L2879)</f>
        <v/>
      </c>
      <c r="O2879">
        <f>IF(ISBLANK('ENGAGEMENTS 2026'!C2879),"",'ENGAGEMENTS 2026'!M2879)</f>
        <v/>
      </c>
      <c r="P2879">
        <f>IF(ISBLANK('ENGAGEMENTS 2026'!C2879),"",'ENGAGEMENTS 2026'!K2879)</f>
        <v/>
      </c>
      <c r="Q2879">
        <f>IF($A2879="","",IF(OR($E2879="INFRUCTUEUX",$E2879="ANNULE"),$A2879&amp;"|"&amp;(COUNTIFS($A$2:$A2879,$A2879,$E$2:$E2879,"INFRUCTUEUX")+COUNTIFS($A$2:$A2879,$A2879,$E$2:$E2879,"ANNULE")),""))</f>
        <v/>
      </c>
    </row>
    <row r="2880">
      <c r="A2880">
        <f>IF(ISBLANK('ENGAGEMENTS 2026'!C2880),"",IF('ENGAGEMENTS 2026'!C2880="DTSI","DCT",'ENGAGEMENTS 2026'!C2880))</f>
        <v/>
      </c>
      <c r="B2880">
        <f>IF(ISBLANK('ENGAGEMENTS 2026'!C2880),"",'ENGAGEMENTS 2026'!D2880)</f>
        <v/>
      </c>
      <c r="C2880">
        <f>IF(ISBLANK('ENGAGEMENTS 2026'!C2880),"",'ENGAGEMENTS 2026'!E2880)</f>
        <v/>
      </c>
      <c r="D2880">
        <f>IF(ISBLANK('ENGAGEMENTS 2026'!C2880),"",'ENGAGEMENTS 2026'!G2880)</f>
        <v/>
      </c>
      <c r="E2880">
        <f>IF(ISBLANK('ENGAGEMENTS 2026'!C2880),"",'ENGAGEMENTS 2026'!I2880)</f>
        <v/>
      </c>
      <c r="F2880">
        <f>IF(ISBLANK('ENGAGEMENTS 2026'!C2880),"",'ENGAGEMENTS 2026'!J2880)</f>
        <v/>
      </c>
      <c r="G2880">
        <f>IF(ISBLANK('ENGAGEMENTS 2026'!C2880),"",'ENGAGEMENTS 2026'!M2880)</f>
        <v/>
      </c>
      <c r="H2880">
        <f>IF(ISBLANK('ENGAGEMENTS 2026'!C2880),"",'ENGAGEMENTS 2026'!AF2880)</f>
        <v/>
      </c>
      <c r="I2880">
        <f>IF(ISBLANK('ENGAGEMENTS 2026'!C2880),"",'ENGAGEMENTS 2026'!H2880)</f>
        <v/>
      </c>
      <c r="J2880" s="275">
        <f>IF(ISBLANK('ENGAGEMENTS 2026'!C2880),"",IF(AND(OR($E2880="INFRUCTUEUX",$E2880="ANNULE"),$C2880="AOO-M"),'ENGAGEMENTS 2026'!P2880,IF($H2880="EN COURS DE PREENGAGEMENT",'ENGAGEMENTS 2026'!O2880,IF($H2880="PREENGAGE",IF($E2880="ATTRIBUE",'ENGAGEMENTS 2026'!AE2880,'ENGAGEMENTS 2026'!O2880),'ENGAGEMENTS 2026'!AE2880))))</f>
        <v/>
      </c>
      <c r="K2880" s="604">
        <f>IF(ISBLANK('ENGAGEMENTS 2026'!W2880),"",'ENGAGEMENTS 2026'!W2880)</f>
        <v/>
      </c>
      <c r="L2880" s="276">
        <f>IF($K2880="","",TODAY()-$K2880)</f>
        <v/>
      </c>
      <c r="M2880">
        <f>IF($A2880="","",IF($H2880="ENGAGE","Engagé",IF(AND($H2880="NON ENGAGE",OR($I2880="INFRUCTUEUX",$I2880="ANNULE")),"Clôturé sans suite","En cours")))</f>
        <v/>
      </c>
      <c r="N2880">
        <f>IF(ISBLANK('ENGAGEMENTS 2026'!C2880),"",'ENGAGEMENTS 2026'!L2880)</f>
        <v/>
      </c>
      <c r="O2880">
        <f>IF(ISBLANK('ENGAGEMENTS 2026'!C2880),"",'ENGAGEMENTS 2026'!M2880)</f>
        <v/>
      </c>
      <c r="P2880">
        <f>IF(ISBLANK('ENGAGEMENTS 2026'!C2880),"",'ENGAGEMENTS 2026'!K2880)</f>
        <v/>
      </c>
      <c r="Q2880">
        <f>IF($A2880="","",IF(OR($E2880="INFRUCTUEUX",$E2880="ANNULE"),$A2880&amp;"|"&amp;(COUNTIFS($A$2:$A2880,$A2880,$E$2:$E2880,"INFRUCTUEUX")+COUNTIFS($A$2:$A2880,$A2880,$E$2:$E2880,"ANNULE")),""))</f>
        <v/>
      </c>
    </row>
    <row r="2881">
      <c r="A2881">
        <f>IF(ISBLANK('ENGAGEMENTS 2026'!C2881),"",IF('ENGAGEMENTS 2026'!C2881="DTSI","DCT",'ENGAGEMENTS 2026'!C2881))</f>
        <v/>
      </c>
      <c r="B2881">
        <f>IF(ISBLANK('ENGAGEMENTS 2026'!C2881),"",'ENGAGEMENTS 2026'!D2881)</f>
        <v/>
      </c>
      <c r="C2881">
        <f>IF(ISBLANK('ENGAGEMENTS 2026'!C2881),"",'ENGAGEMENTS 2026'!E2881)</f>
        <v/>
      </c>
      <c r="D2881">
        <f>IF(ISBLANK('ENGAGEMENTS 2026'!C2881),"",'ENGAGEMENTS 2026'!G2881)</f>
        <v/>
      </c>
      <c r="E2881">
        <f>IF(ISBLANK('ENGAGEMENTS 2026'!C2881),"",'ENGAGEMENTS 2026'!I2881)</f>
        <v/>
      </c>
      <c r="F2881">
        <f>IF(ISBLANK('ENGAGEMENTS 2026'!C2881),"",'ENGAGEMENTS 2026'!J2881)</f>
        <v/>
      </c>
      <c r="G2881">
        <f>IF(ISBLANK('ENGAGEMENTS 2026'!C2881),"",'ENGAGEMENTS 2026'!M2881)</f>
        <v/>
      </c>
      <c r="H2881">
        <f>IF(ISBLANK('ENGAGEMENTS 2026'!C2881),"",'ENGAGEMENTS 2026'!AF2881)</f>
        <v/>
      </c>
      <c r="I2881">
        <f>IF(ISBLANK('ENGAGEMENTS 2026'!C2881),"",'ENGAGEMENTS 2026'!H2881)</f>
        <v/>
      </c>
      <c r="J2881" s="275">
        <f>IF(ISBLANK('ENGAGEMENTS 2026'!C2881),"",IF(AND(OR($E2881="INFRUCTUEUX",$E2881="ANNULE"),$C2881="AOO-M"),'ENGAGEMENTS 2026'!P2881,IF($H2881="EN COURS DE PREENGAGEMENT",'ENGAGEMENTS 2026'!O2881,IF($H2881="PREENGAGE",IF($E2881="ATTRIBUE",'ENGAGEMENTS 2026'!AE2881,'ENGAGEMENTS 2026'!O2881),'ENGAGEMENTS 2026'!AE2881))))</f>
        <v/>
      </c>
      <c r="K2881" s="604">
        <f>IF(ISBLANK('ENGAGEMENTS 2026'!W2881),"",'ENGAGEMENTS 2026'!W2881)</f>
        <v/>
      </c>
      <c r="L2881" s="276">
        <f>IF($K2881="","",TODAY()-$K2881)</f>
        <v/>
      </c>
      <c r="M2881">
        <f>IF($A2881="","",IF($H2881="ENGAGE","Engagé",IF(AND($H2881="NON ENGAGE",OR($I2881="INFRUCTUEUX",$I2881="ANNULE")),"Clôturé sans suite","En cours")))</f>
        <v/>
      </c>
      <c r="N2881">
        <f>IF(ISBLANK('ENGAGEMENTS 2026'!C2881),"",'ENGAGEMENTS 2026'!L2881)</f>
        <v/>
      </c>
      <c r="O2881">
        <f>IF(ISBLANK('ENGAGEMENTS 2026'!C2881),"",'ENGAGEMENTS 2026'!M2881)</f>
        <v/>
      </c>
      <c r="P2881">
        <f>IF(ISBLANK('ENGAGEMENTS 2026'!C2881),"",'ENGAGEMENTS 2026'!K2881)</f>
        <v/>
      </c>
      <c r="Q2881">
        <f>IF($A2881="","",IF(OR($E2881="INFRUCTUEUX",$E2881="ANNULE"),$A2881&amp;"|"&amp;(COUNTIFS($A$2:$A2881,$A2881,$E$2:$E2881,"INFRUCTUEUX")+COUNTIFS($A$2:$A2881,$A2881,$E$2:$E2881,"ANNULE")),""))</f>
        <v/>
      </c>
    </row>
    <row r="2882">
      <c r="A2882">
        <f>IF(ISBLANK('ENGAGEMENTS 2026'!C2882),"",IF('ENGAGEMENTS 2026'!C2882="DTSI","DCT",'ENGAGEMENTS 2026'!C2882))</f>
        <v/>
      </c>
      <c r="B2882">
        <f>IF(ISBLANK('ENGAGEMENTS 2026'!C2882),"",'ENGAGEMENTS 2026'!D2882)</f>
        <v/>
      </c>
      <c r="C2882">
        <f>IF(ISBLANK('ENGAGEMENTS 2026'!C2882),"",'ENGAGEMENTS 2026'!E2882)</f>
        <v/>
      </c>
      <c r="D2882">
        <f>IF(ISBLANK('ENGAGEMENTS 2026'!C2882),"",'ENGAGEMENTS 2026'!G2882)</f>
        <v/>
      </c>
      <c r="E2882">
        <f>IF(ISBLANK('ENGAGEMENTS 2026'!C2882),"",'ENGAGEMENTS 2026'!I2882)</f>
        <v/>
      </c>
      <c r="F2882">
        <f>IF(ISBLANK('ENGAGEMENTS 2026'!C2882),"",'ENGAGEMENTS 2026'!J2882)</f>
        <v/>
      </c>
      <c r="G2882">
        <f>IF(ISBLANK('ENGAGEMENTS 2026'!C2882),"",'ENGAGEMENTS 2026'!M2882)</f>
        <v/>
      </c>
      <c r="H2882">
        <f>IF(ISBLANK('ENGAGEMENTS 2026'!C2882),"",'ENGAGEMENTS 2026'!AF2882)</f>
        <v/>
      </c>
      <c r="I2882">
        <f>IF(ISBLANK('ENGAGEMENTS 2026'!C2882),"",'ENGAGEMENTS 2026'!H2882)</f>
        <v/>
      </c>
      <c r="J2882" s="275">
        <f>IF(ISBLANK('ENGAGEMENTS 2026'!C2882),"",IF(AND(OR($E2882="INFRUCTUEUX",$E2882="ANNULE"),$C2882="AOO-M"),'ENGAGEMENTS 2026'!P2882,IF($H2882="EN COURS DE PREENGAGEMENT",'ENGAGEMENTS 2026'!O2882,IF($H2882="PREENGAGE",IF($E2882="ATTRIBUE",'ENGAGEMENTS 2026'!AE2882,'ENGAGEMENTS 2026'!O2882),'ENGAGEMENTS 2026'!AE2882))))</f>
        <v/>
      </c>
      <c r="K2882" s="604">
        <f>IF(ISBLANK('ENGAGEMENTS 2026'!W2882),"",'ENGAGEMENTS 2026'!W2882)</f>
        <v/>
      </c>
      <c r="L2882" s="276">
        <f>IF($K2882="","",TODAY()-$K2882)</f>
        <v/>
      </c>
      <c r="M2882">
        <f>IF($A2882="","",IF($H2882="ENGAGE","Engagé",IF(AND($H2882="NON ENGAGE",OR($I2882="INFRUCTUEUX",$I2882="ANNULE")),"Clôturé sans suite","En cours")))</f>
        <v/>
      </c>
      <c r="N2882">
        <f>IF(ISBLANK('ENGAGEMENTS 2026'!C2882),"",'ENGAGEMENTS 2026'!L2882)</f>
        <v/>
      </c>
      <c r="O2882">
        <f>IF(ISBLANK('ENGAGEMENTS 2026'!C2882),"",'ENGAGEMENTS 2026'!M2882)</f>
        <v/>
      </c>
      <c r="P2882">
        <f>IF(ISBLANK('ENGAGEMENTS 2026'!C2882),"",'ENGAGEMENTS 2026'!K2882)</f>
        <v/>
      </c>
      <c r="Q2882">
        <f>IF($A2882="","",IF(OR($E2882="INFRUCTUEUX",$E2882="ANNULE"),$A2882&amp;"|"&amp;(COUNTIFS($A$2:$A2882,$A2882,$E$2:$E2882,"INFRUCTUEUX")+COUNTIFS($A$2:$A2882,$A2882,$E$2:$E2882,"ANNULE")),""))</f>
        <v/>
      </c>
    </row>
    <row r="2883">
      <c r="A2883">
        <f>IF(ISBLANK('ENGAGEMENTS 2026'!C2883),"",IF('ENGAGEMENTS 2026'!C2883="DTSI","DCT",'ENGAGEMENTS 2026'!C2883))</f>
        <v/>
      </c>
      <c r="B2883">
        <f>IF(ISBLANK('ENGAGEMENTS 2026'!C2883),"",'ENGAGEMENTS 2026'!D2883)</f>
        <v/>
      </c>
      <c r="C2883">
        <f>IF(ISBLANK('ENGAGEMENTS 2026'!C2883),"",'ENGAGEMENTS 2026'!E2883)</f>
        <v/>
      </c>
      <c r="D2883">
        <f>IF(ISBLANK('ENGAGEMENTS 2026'!C2883),"",'ENGAGEMENTS 2026'!G2883)</f>
        <v/>
      </c>
      <c r="E2883">
        <f>IF(ISBLANK('ENGAGEMENTS 2026'!C2883),"",'ENGAGEMENTS 2026'!I2883)</f>
        <v/>
      </c>
      <c r="F2883">
        <f>IF(ISBLANK('ENGAGEMENTS 2026'!C2883),"",'ENGAGEMENTS 2026'!J2883)</f>
        <v/>
      </c>
      <c r="G2883">
        <f>IF(ISBLANK('ENGAGEMENTS 2026'!C2883),"",'ENGAGEMENTS 2026'!M2883)</f>
        <v/>
      </c>
      <c r="H2883">
        <f>IF(ISBLANK('ENGAGEMENTS 2026'!C2883),"",'ENGAGEMENTS 2026'!AF2883)</f>
        <v/>
      </c>
      <c r="I2883">
        <f>IF(ISBLANK('ENGAGEMENTS 2026'!C2883),"",'ENGAGEMENTS 2026'!H2883)</f>
        <v/>
      </c>
      <c r="J2883" s="275">
        <f>IF(ISBLANK('ENGAGEMENTS 2026'!C2883),"",IF(AND(OR($E2883="INFRUCTUEUX",$E2883="ANNULE"),$C2883="AOO-M"),'ENGAGEMENTS 2026'!P2883,IF($H2883="EN COURS DE PREENGAGEMENT",'ENGAGEMENTS 2026'!O2883,IF($H2883="PREENGAGE",IF($E2883="ATTRIBUE",'ENGAGEMENTS 2026'!AE2883,'ENGAGEMENTS 2026'!O2883),'ENGAGEMENTS 2026'!AE2883))))</f>
        <v/>
      </c>
      <c r="K2883" s="604">
        <f>IF(ISBLANK('ENGAGEMENTS 2026'!W2883),"",'ENGAGEMENTS 2026'!W2883)</f>
        <v/>
      </c>
      <c r="L2883" s="276">
        <f>IF($K2883="","",TODAY()-$K2883)</f>
        <v/>
      </c>
      <c r="M2883">
        <f>IF($A2883="","",IF($H2883="ENGAGE","Engagé",IF(AND($H2883="NON ENGAGE",OR($I2883="INFRUCTUEUX",$I2883="ANNULE")),"Clôturé sans suite","En cours")))</f>
        <v/>
      </c>
      <c r="N2883">
        <f>IF(ISBLANK('ENGAGEMENTS 2026'!C2883),"",'ENGAGEMENTS 2026'!L2883)</f>
        <v/>
      </c>
      <c r="O2883">
        <f>IF(ISBLANK('ENGAGEMENTS 2026'!C2883),"",'ENGAGEMENTS 2026'!M2883)</f>
        <v/>
      </c>
      <c r="P2883">
        <f>IF(ISBLANK('ENGAGEMENTS 2026'!C2883),"",'ENGAGEMENTS 2026'!K2883)</f>
        <v/>
      </c>
      <c r="Q2883">
        <f>IF($A2883="","",IF(OR($E2883="INFRUCTUEUX",$E2883="ANNULE"),$A2883&amp;"|"&amp;(COUNTIFS($A$2:$A2883,$A2883,$E$2:$E2883,"INFRUCTUEUX")+COUNTIFS($A$2:$A2883,$A2883,$E$2:$E2883,"ANNULE")),""))</f>
        <v/>
      </c>
    </row>
    <row r="2884">
      <c r="A2884">
        <f>IF(ISBLANK('ENGAGEMENTS 2026'!C2884),"",IF('ENGAGEMENTS 2026'!C2884="DTSI","DCT",'ENGAGEMENTS 2026'!C2884))</f>
        <v/>
      </c>
      <c r="B2884">
        <f>IF(ISBLANK('ENGAGEMENTS 2026'!C2884),"",'ENGAGEMENTS 2026'!D2884)</f>
        <v/>
      </c>
      <c r="C2884">
        <f>IF(ISBLANK('ENGAGEMENTS 2026'!C2884),"",'ENGAGEMENTS 2026'!E2884)</f>
        <v/>
      </c>
      <c r="D2884">
        <f>IF(ISBLANK('ENGAGEMENTS 2026'!C2884),"",'ENGAGEMENTS 2026'!G2884)</f>
        <v/>
      </c>
      <c r="E2884">
        <f>IF(ISBLANK('ENGAGEMENTS 2026'!C2884),"",'ENGAGEMENTS 2026'!I2884)</f>
        <v/>
      </c>
      <c r="F2884">
        <f>IF(ISBLANK('ENGAGEMENTS 2026'!C2884),"",'ENGAGEMENTS 2026'!J2884)</f>
        <v/>
      </c>
      <c r="G2884">
        <f>IF(ISBLANK('ENGAGEMENTS 2026'!C2884),"",'ENGAGEMENTS 2026'!M2884)</f>
        <v/>
      </c>
      <c r="H2884">
        <f>IF(ISBLANK('ENGAGEMENTS 2026'!C2884),"",'ENGAGEMENTS 2026'!AF2884)</f>
        <v/>
      </c>
      <c r="I2884">
        <f>IF(ISBLANK('ENGAGEMENTS 2026'!C2884),"",'ENGAGEMENTS 2026'!H2884)</f>
        <v/>
      </c>
      <c r="J2884" s="275">
        <f>IF(ISBLANK('ENGAGEMENTS 2026'!C2884),"",IF(AND(OR($E2884="INFRUCTUEUX",$E2884="ANNULE"),$C2884="AOO-M"),'ENGAGEMENTS 2026'!P2884,IF($H2884="EN COURS DE PREENGAGEMENT",'ENGAGEMENTS 2026'!O2884,IF($H2884="PREENGAGE",IF($E2884="ATTRIBUE",'ENGAGEMENTS 2026'!AE2884,'ENGAGEMENTS 2026'!O2884),'ENGAGEMENTS 2026'!AE2884))))</f>
        <v/>
      </c>
      <c r="K2884" s="604">
        <f>IF(ISBLANK('ENGAGEMENTS 2026'!W2884),"",'ENGAGEMENTS 2026'!W2884)</f>
        <v/>
      </c>
      <c r="L2884" s="276">
        <f>IF($K2884="","",TODAY()-$K2884)</f>
        <v/>
      </c>
      <c r="M2884">
        <f>IF($A2884="","",IF($H2884="ENGAGE","Engagé",IF(AND($H2884="NON ENGAGE",OR($I2884="INFRUCTUEUX",$I2884="ANNULE")),"Clôturé sans suite","En cours")))</f>
        <v/>
      </c>
      <c r="N2884">
        <f>IF(ISBLANK('ENGAGEMENTS 2026'!C2884),"",'ENGAGEMENTS 2026'!L2884)</f>
        <v/>
      </c>
      <c r="O2884">
        <f>IF(ISBLANK('ENGAGEMENTS 2026'!C2884),"",'ENGAGEMENTS 2026'!M2884)</f>
        <v/>
      </c>
      <c r="P2884">
        <f>IF(ISBLANK('ENGAGEMENTS 2026'!C2884),"",'ENGAGEMENTS 2026'!K2884)</f>
        <v/>
      </c>
      <c r="Q2884">
        <f>IF($A2884="","",IF(OR($E2884="INFRUCTUEUX",$E2884="ANNULE"),$A2884&amp;"|"&amp;(COUNTIFS($A$2:$A2884,$A2884,$E$2:$E2884,"INFRUCTUEUX")+COUNTIFS($A$2:$A2884,$A2884,$E$2:$E2884,"ANNULE")),""))</f>
        <v/>
      </c>
    </row>
    <row r="2885">
      <c r="A2885">
        <f>IF(ISBLANK('ENGAGEMENTS 2026'!C2885),"",IF('ENGAGEMENTS 2026'!C2885="DTSI","DCT",'ENGAGEMENTS 2026'!C2885))</f>
        <v/>
      </c>
      <c r="B2885">
        <f>IF(ISBLANK('ENGAGEMENTS 2026'!C2885),"",'ENGAGEMENTS 2026'!D2885)</f>
        <v/>
      </c>
      <c r="C2885">
        <f>IF(ISBLANK('ENGAGEMENTS 2026'!C2885),"",'ENGAGEMENTS 2026'!E2885)</f>
        <v/>
      </c>
      <c r="D2885">
        <f>IF(ISBLANK('ENGAGEMENTS 2026'!C2885),"",'ENGAGEMENTS 2026'!G2885)</f>
        <v/>
      </c>
      <c r="E2885">
        <f>IF(ISBLANK('ENGAGEMENTS 2026'!C2885),"",'ENGAGEMENTS 2026'!I2885)</f>
        <v/>
      </c>
      <c r="F2885">
        <f>IF(ISBLANK('ENGAGEMENTS 2026'!C2885),"",'ENGAGEMENTS 2026'!J2885)</f>
        <v/>
      </c>
      <c r="G2885">
        <f>IF(ISBLANK('ENGAGEMENTS 2026'!C2885),"",'ENGAGEMENTS 2026'!M2885)</f>
        <v/>
      </c>
      <c r="H2885">
        <f>IF(ISBLANK('ENGAGEMENTS 2026'!C2885),"",'ENGAGEMENTS 2026'!AF2885)</f>
        <v/>
      </c>
      <c r="I2885">
        <f>IF(ISBLANK('ENGAGEMENTS 2026'!C2885),"",'ENGAGEMENTS 2026'!H2885)</f>
        <v/>
      </c>
      <c r="J2885" s="275">
        <f>IF(ISBLANK('ENGAGEMENTS 2026'!C2885),"",IF(AND(OR($E2885="INFRUCTUEUX",$E2885="ANNULE"),$C2885="AOO-M"),'ENGAGEMENTS 2026'!P2885,IF($H2885="EN COURS DE PREENGAGEMENT",'ENGAGEMENTS 2026'!O2885,IF($H2885="PREENGAGE",IF($E2885="ATTRIBUE",'ENGAGEMENTS 2026'!AE2885,'ENGAGEMENTS 2026'!O2885),'ENGAGEMENTS 2026'!AE2885))))</f>
        <v/>
      </c>
      <c r="K2885" s="604">
        <f>IF(ISBLANK('ENGAGEMENTS 2026'!W2885),"",'ENGAGEMENTS 2026'!W2885)</f>
        <v/>
      </c>
      <c r="L2885" s="276">
        <f>IF($K2885="","",TODAY()-$K2885)</f>
        <v/>
      </c>
      <c r="M2885">
        <f>IF($A2885="","",IF($H2885="ENGAGE","Engagé",IF(AND($H2885="NON ENGAGE",OR($I2885="INFRUCTUEUX",$I2885="ANNULE")),"Clôturé sans suite","En cours")))</f>
        <v/>
      </c>
      <c r="N2885">
        <f>IF(ISBLANK('ENGAGEMENTS 2026'!C2885),"",'ENGAGEMENTS 2026'!L2885)</f>
        <v/>
      </c>
      <c r="O2885">
        <f>IF(ISBLANK('ENGAGEMENTS 2026'!C2885),"",'ENGAGEMENTS 2026'!M2885)</f>
        <v/>
      </c>
      <c r="P2885">
        <f>IF(ISBLANK('ENGAGEMENTS 2026'!C2885),"",'ENGAGEMENTS 2026'!K2885)</f>
        <v/>
      </c>
      <c r="Q2885">
        <f>IF($A2885="","",IF(OR($E2885="INFRUCTUEUX",$E2885="ANNULE"),$A2885&amp;"|"&amp;(COUNTIFS($A$2:$A2885,$A2885,$E$2:$E2885,"INFRUCTUEUX")+COUNTIFS($A$2:$A2885,$A2885,$E$2:$E2885,"ANNULE")),""))</f>
        <v/>
      </c>
    </row>
    <row r="2886">
      <c r="A2886">
        <f>IF(ISBLANK('ENGAGEMENTS 2026'!C2886),"",IF('ENGAGEMENTS 2026'!C2886="DTSI","DCT",'ENGAGEMENTS 2026'!C2886))</f>
        <v/>
      </c>
      <c r="B2886">
        <f>IF(ISBLANK('ENGAGEMENTS 2026'!C2886),"",'ENGAGEMENTS 2026'!D2886)</f>
        <v/>
      </c>
      <c r="C2886">
        <f>IF(ISBLANK('ENGAGEMENTS 2026'!C2886),"",'ENGAGEMENTS 2026'!E2886)</f>
        <v/>
      </c>
      <c r="D2886">
        <f>IF(ISBLANK('ENGAGEMENTS 2026'!C2886),"",'ENGAGEMENTS 2026'!G2886)</f>
        <v/>
      </c>
      <c r="E2886">
        <f>IF(ISBLANK('ENGAGEMENTS 2026'!C2886),"",'ENGAGEMENTS 2026'!I2886)</f>
        <v/>
      </c>
      <c r="F2886">
        <f>IF(ISBLANK('ENGAGEMENTS 2026'!C2886),"",'ENGAGEMENTS 2026'!J2886)</f>
        <v/>
      </c>
      <c r="G2886">
        <f>IF(ISBLANK('ENGAGEMENTS 2026'!C2886),"",'ENGAGEMENTS 2026'!M2886)</f>
        <v/>
      </c>
      <c r="H2886">
        <f>IF(ISBLANK('ENGAGEMENTS 2026'!C2886),"",'ENGAGEMENTS 2026'!AF2886)</f>
        <v/>
      </c>
      <c r="I2886">
        <f>IF(ISBLANK('ENGAGEMENTS 2026'!C2886),"",'ENGAGEMENTS 2026'!H2886)</f>
        <v/>
      </c>
      <c r="J2886" s="275">
        <f>IF(ISBLANK('ENGAGEMENTS 2026'!C2886),"",IF(AND(OR($E2886="INFRUCTUEUX",$E2886="ANNULE"),$C2886="AOO-M"),'ENGAGEMENTS 2026'!P2886,IF($H2886="EN COURS DE PREENGAGEMENT",'ENGAGEMENTS 2026'!O2886,IF($H2886="PREENGAGE",IF($E2886="ATTRIBUE",'ENGAGEMENTS 2026'!AE2886,'ENGAGEMENTS 2026'!O2886),'ENGAGEMENTS 2026'!AE2886))))</f>
        <v/>
      </c>
      <c r="K2886" s="604">
        <f>IF(ISBLANK('ENGAGEMENTS 2026'!W2886),"",'ENGAGEMENTS 2026'!W2886)</f>
        <v/>
      </c>
      <c r="L2886" s="276">
        <f>IF($K2886="","",TODAY()-$K2886)</f>
        <v/>
      </c>
      <c r="M2886">
        <f>IF($A2886="","",IF($H2886="ENGAGE","Engagé",IF(AND($H2886="NON ENGAGE",OR($I2886="INFRUCTUEUX",$I2886="ANNULE")),"Clôturé sans suite","En cours")))</f>
        <v/>
      </c>
      <c r="N2886">
        <f>IF(ISBLANK('ENGAGEMENTS 2026'!C2886),"",'ENGAGEMENTS 2026'!L2886)</f>
        <v/>
      </c>
      <c r="O2886">
        <f>IF(ISBLANK('ENGAGEMENTS 2026'!C2886),"",'ENGAGEMENTS 2026'!M2886)</f>
        <v/>
      </c>
      <c r="P2886">
        <f>IF(ISBLANK('ENGAGEMENTS 2026'!C2886),"",'ENGAGEMENTS 2026'!K2886)</f>
        <v/>
      </c>
      <c r="Q2886">
        <f>IF($A2886="","",IF(OR($E2886="INFRUCTUEUX",$E2886="ANNULE"),$A2886&amp;"|"&amp;(COUNTIFS($A$2:$A2886,$A2886,$E$2:$E2886,"INFRUCTUEUX")+COUNTIFS($A$2:$A2886,$A2886,$E$2:$E2886,"ANNULE")),""))</f>
        <v/>
      </c>
    </row>
    <row r="2887">
      <c r="A2887">
        <f>IF(ISBLANK('ENGAGEMENTS 2026'!C2887),"",IF('ENGAGEMENTS 2026'!C2887="DTSI","DCT",'ENGAGEMENTS 2026'!C2887))</f>
        <v/>
      </c>
      <c r="B2887">
        <f>IF(ISBLANK('ENGAGEMENTS 2026'!C2887),"",'ENGAGEMENTS 2026'!D2887)</f>
        <v/>
      </c>
      <c r="C2887">
        <f>IF(ISBLANK('ENGAGEMENTS 2026'!C2887),"",'ENGAGEMENTS 2026'!E2887)</f>
        <v/>
      </c>
      <c r="D2887">
        <f>IF(ISBLANK('ENGAGEMENTS 2026'!C2887),"",'ENGAGEMENTS 2026'!G2887)</f>
        <v/>
      </c>
      <c r="E2887">
        <f>IF(ISBLANK('ENGAGEMENTS 2026'!C2887),"",'ENGAGEMENTS 2026'!I2887)</f>
        <v/>
      </c>
      <c r="F2887">
        <f>IF(ISBLANK('ENGAGEMENTS 2026'!C2887),"",'ENGAGEMENTS 2026'!J2887)</f>
        <v/>
      </c>
      <c r="G2887">
        <f>IF(ISBLANK('ENGAGEMENTS 2026'!C2887),"",'ENGAGEMENTS 2026'!M2887)</f>
        <v/>
      </c>
      <c r="H2887">
        <f>IF(ISBLANK('ENGAGEMENTS 2026'!C2887),"",'ENGAGEMENTS 2026'!AF2887)</f>
        <v/>
      </c>
      <c r="I2887">
        <f>IF(ISBLANK('ENGAGEMENTS 2026'!C2887),"",'ENGAGEMENTS 2026'!H2887)</f>
        <v/>
      </c>
      <c r="J2887" s="275">
        <f>IF(ISBLANK('ENGAGEMENTS 2026'!C2887),"",IF(AND(OR($E2887="INFRUCTUEUX",$E2887="ANNULE"),$C2887="AOO-M"),'ENGAGEMENTS 2026'!P2887,IF($H2887="EN COURS DE PREENGAGEMENT",'ENGAGEMENTS 2026'!O2887,IF($H2887="PREENGAGE",IF($E2887="ATTRIBUE",'ENGAGEMENTS 2026'!AE2887,'ENGAGEMENTS 2026'!O2887),'ENGAGEMENTS 2026'!AE2887))))</f>
        <v/>
      </c>
      <c r="K2887" s="604">
        <f>IF(ISBLANK('ENGAGEMENTS 2026'!W2887),"",'ENGAGEMENTS 2026'!W2887)</f>
        <v/>
      </c>
      <c r="L2887" s="276">
        <f>IF($K2887="","",TODAY()-$K2887)</f>
        <v/>
      </c>
      <c r="M2887">
        <f>IF($A2887="","",IF($H2887="ENGAGE","Engagé",IF(AND($H2887="NON ENGAGE",OR($I2887="INFRUCTUEUX",$I2887="ANNULE")),"Clôturé sans suite","En cours")))</f>
        <v/>
      </c>
      <c r="N2887">
        <f>IF(ISBLANK('ENGAGEMENTS 2026'!C2887),"",'ENGAGEMENTS 2026'!L2887)</f>
        <v/>
      </c>
      <c r="O2887">
        <f>IF(ISBLANK('ENGAGEMENTS 2026'!C2887),"",'ENGAGEMENTS 2026'!M2887)</f>
        <v/>
      </c>
      <c r="P2887">
        <f>IF(ISBLANK('ENGAGEMENTS 2026'!C2887),"",'ENGAGEMENTS 2026'!K2887)</f>
        <v/>
      </c>
      <c r="Q2887">
        <f>IF($A2887="","",IF(OR($E2887="INFRUCTUEUX",$E2887="ANNULE"),$A2887&amp;"|"&amp;(COUNTIFS($A$2:$A2887,$A2887,$E$2:$E2887,"INFRUCTUEUX")+COUNTIFS($A$2:$A2887,$A2887,$E$2:$E2887,"ANNULE")),""))</f>
        <v/>
      </c>
    </row>
    <row r="2888">
      <c r="A2888">
        <f>IF(ISBLANK('ENGAGEMENTS 2026'!C2888),"",IF('ENGAGEMENTS 2026'!C2888="DTSI","DCT",'ENGAGEMENTS 2026'!C2888))</f>
        <v/>
      </c>
      <c r="B2888">
        <f>IF(ISBLANK('ENGAGEMENTS 2026'!C2888),"",'ENGAGEMENTS 2026'!D2888)</f>
        <v/>
      </c>
      <c r="C2888">
        <f>IF(ISBLANK('ENGAGEMENTS 2026'!C2888),"",'ENGAGEMENTS 2026'!E2888)</f>
        <v/>
      </c>
      <c r="D2888">
        <f>IF(ISBLANK('ENGAGEMENTS 2026'!C2888),"",'ENGAGEMENTS 2026'!G2888)</f>
        <v/>
      </c>
      <c r="E2888">
        <f>IF(ISBLANK('ENGAGEMENTS 2026'!C2888),"",'ENGAGEMENTS 2026'!I2888)</f>
        <v/>
      </c>
      <c r="F2888">
        <f>IF(ISBLANK('ENGAGEMENTS 2026'!C2888),"",'ENGAGEMENTS 2026'!J2888)</f>
        <v/>
      </c>
      <c r="G2888">
        <f>IF(ISBLANK('ENGAGEMENTS 2026'!C2888),"",'ENGAGEMENTS 2026'!M2888)</f>
        <v/>
      </c>
      <c r="H2888">
        <f>IF(ISBLANK('ENGAGEMENTS 2026'!C2888),"",'ENGAGEMENTS 2026'!AF2888)</f>
        <v/>
      </c>
      <c r="I2888">
        <f>IF(ISBLANK('ENGAGEMENTS 2026'!C2888),"",'ENGAGEMENTS 2026'!H2888)</f>
        <v/>
      </c>
      <c r="J2888" s="275">
        <f>IF(ISBLANK('ENGAGEMENTS 2026'!C2888),"",IF(AND(OR($E2888="INFRUCTUEUX",$E2888="ANNULE"),$C2888="AOO-M"),'ENGAGEMENTS 2026'!P2888,IF($H2888="EN COURS DE PREENGAGEMENT",'ENGAGEMENTS 2026'!O2888,IF($H2888="PREENGAGE",IF($E2888="ATTRIBUE",'ENGAGEMENTS 2026'!AE2888,'ENGAGEMENTS 2026'!O2888),'ENGAGEMENTS 2026'!AE2888))))</f>
        <v/>
      </c>
      <c r="K2888" s="604">
        <f>IF(ISBLANK('ENGAGEMENTS 2026'!W2888),"",'ENGAGEMENTS 2026'!W2888)</f>
        <v/>
      </c>
      <c r="L2888" s="276">
        <f>IF($K2888="","",TODAY()-$K2888)</f>
        <v/>
      </c>
      <c r="M2888">
        <f>IF($A2888="","",IF($H2888="ENGAGE","Engagé",IF(AND($H2888="NON ENGAGE",OR($I2888="INFRUCTUEUX",$I2888="ANNULE")),"Clôturé sans suite","En cours")))</f>
        <v/>
      </c>
      <c r="N2888">
        <f>IF(ISBLANK('ENGAGEMENTS 2026'!C2888),"",'ENGAGEMENTS 2026'!L2888)</f>
        <v/>
      </c>
      <c r="O2888">
        <f>IF(ISBLANK('ENGAGEMENTS 2026'!C2888),"",'ENGAGEMENTS 2026'!M2888)</f>
        <v/>
      </c>
      <c r="P2888">
        <f>IF(ISBLANK('ENGAGEMENTS 2026'!C2888),"",'ENGAGEMENTS 2026'!K2888)</f>
        <v/>
      </c>
      <c r="Q2888">
        <f>IF($A2888="","",IF(OR($E2888="INFRUCTUEUX",$E2888="ANNULE"),$A2888&amp;"|"&amp;(COUNTIFS($A$2:$A2888,$A2888,$E$2:$E2888,"INFRUCTUEUX")+COUNTIFS($A$2:$A2888,$A2888,$E$2:$E2888,"ANNULE")),""))</f>
        <v/>
      </c>
    </row>
    <row r="2889">
      <c r="A2889">
        <f>IF(ISBLANK('ENGAGEMENTS 2026'!C2889),"",IF('ENGAGEMENTS 2026'!C2889="DTSI","DCT",'ENGAGEMENTS 2026'!C2889))</f>
        <v/>
      </c>
      <c r="B2889">
        <f>IF(ISBLANK('ENGAGEMENTS 2026'!C2889),"",'ENGAGEMENTS 2026'!D2889)</f>
        <v/>
      </c>
      <c r="C2889">
        <f>IF(ISBLANK('ENGAGEMENTS 2026'!C2889),"",'ENGAGEMENTS 2026'!E2889)</f>
        <v/>
      </c>
      <c r="D2889">
        <f>IF(ISBLANK('ENGAGEMENTS 2026'!C2889),"",'ENGAGEMENTS 2026'!G2889)</f>
        <v/>
      </c>
      <c r="E2889">
        <f>IF(ISBLANK('ENGAGEMENTS 2026'!C2889),"",'ENGAGEMENTS 2026'!I2889)</f>
        <v/>
      </c>
      <c r="F2889">
        <f>IF(ISBLANK('ENGAGEMENTS 2026'!C2889),"",'ENGAGEMENTS 2026'!J2889)</f>
        <v/>
      </c>
      <c r="G2889">
        <f>IF(ISBLANK('ENGAGEMENTS 2026'!C2889),"",'ENGAGEMENTS 2026'!M2889)</f>
        <v/>
      </c>
      <c r="H2889">
        <f>IF(ISBLANK('ENGAGEMENTS 2026'!C2889),"",'ENGAGEMENTS 2026'!AF2889)</f>
        <v/>
      </c>
      <c r="I2889">
        <f>IF(ISBLANK('ENGAGEMENTS 2026'!C2889),"",'ENGAGEMENTS 2026'!H2889)</f>
        <v/>
      </c>
      <c r="J2889" s="275">
        <f>IF(ISBLANK('ENGAGEMENTS 2026'!C2889),"",IF(AND(OR($E2889="INFRUCTUEUX",$E2889="ANNULE"),$C2889="AOO-M"),'ENGAGEMENTS 2026'!P2889,IF($H2889="EN COURS DE PREENGAGEMENT",'ENGAGEMENTS 2026'!O2889,IF($H2889="PREENGAGE",IF($E2889="ATTRIBUE",'ENGAGEMENTS 2026'!AE2889,'ENGAGEMENTS 2026'!O2889),'ENGAGEMENTS 2026'!AE2889))))</f>
        <v/>
      </c>
      <c r="K2889" s="604">
        <f>IF(ISBLANK('ENGAGEMENTS 2026'!W2889),"",'ENGAGEMENTS 2026'!W2889)</f>
        <v/>
      </c>
      <c r="L2889" s="276">
        <f>IF($K2889="","",TODAY()-$K2889)</f>
        <v/>
      </c>
      <c r="M2889">
        <f>IF($A2889="","",IF($H2889="ENGAGE","Engagé",IF(AND($H2889="NON ENGAGE",OR($I2889="INFRUCTUEUX",$I2889="ANNULE")),"Clôturé sans suite","En cours")))</f>
        <v/>
      </c>
      <c r="N2889">
        <f>IF(ISBLANK('ENGAGEMENTS 2026'!C2889),"",'ENGAGEMENTS 2026'!L2889)</f>
        <v/>
      </c>
      <c r="O2889">
        <f>IF(ISBLANK('ENGAGEMENTS 2026'!C2889),"",'ENGAGEMENTS 2026'!M2889)</f>
        <v/>
      </c>
      <c r="P2889">
        <f>IF(ISBLANK('ENGAGEMENTS 2026'!C2889),"",'ENGAGEMENTS 2026'!K2889)</f>
        <v/>
      </c>
      <c r="Q2889">
        <f>IF($A2889="","",IF(OR($E2889="INFRUCTUEUX",$E2889="ANNULE"),$A2889&amp;"|"&amp;(COUNTIFS($A$2:$A2889,$A2889,$E$2:$E2889,"INFRUCTUEUX")+COUNTIFS($A$2:$A2889,$A2889,$E$2:$E2889,"ANNULE")),""))</f>
        <v/>
      </c>
    </row>
    <row r="2890">
      <c r="A2890">
        <f>IF(ISBLANK('ENGAGEMENTS 2026'!C2890),"",IF('ENGAGEMENTS 2026'!C2890="DTSI","DCT",'ENGAGEMENTS 2026'!C2890))</f>
        <v/>
      </c>
      <c r="B2890">
        <f>IF(ISBLANK('ENGAGEMENTS 2026'!C2890),"",'ENGAGEMENTS 2026'!D2890)</f>
        <v/>
      </c>
      <c r="C2890">
        <f>IF(ISBLANK('ENGAGEMENTS 2026'!C2890),"",'ENGAGEMENTS 2026'!E2890)</f>
        <v/>
      </c>
      <c r="D2890">
        <f>IF(ISBLANK('ENGAGEMENTS 2026'!C2890),"",'ENGAGEMENTS 2026'!G2890)</f>
        <v/>
      </c>
      <c r="E2890">
        <f>IF(ISBLANK('ENGAGEMENTS 2026'!C2890),"",'ENGAGEMENTS 2026'!I2890)</f>
        <v/>
      </c>
      <c r="F2890">
        <f>IF(ISBLANK('ENGAGEMENTS 2026'!C2890),"",'ENGAGEMENTS 2026'!J2890)</f>
        <v/>
      </c>
      <c r="G2890">
        <f>IF(ISBLANK('ENGAGEMENTS 2026'!C2890),"",'ENGAGEMENTS 2026'!M2890)</f>
        <v/>
      </c>
      <c r="H2890">
        <f>IF(ISBLANK('ENGAGEMENTS 2026'!C2890),"",'ENGAGEMENTS 2026'!AF2890)</f>
        <v/>
      </c>
      <c r="I2890">
        <f>IF(ISBLANK('ENGAGEMENTS 2026'!C2890),"",'ENGAGEMENTS 2026'!H2890)</f>
        <v/>
      </c>
      <c r="J2890" s="275">
        <f>IF(ISBLANK('ENGAGEMENTS 2026'!C2890),"",IF(AND(OR($E2890="INFRUCTUEUX",$E2890="ANNULE"),$C2890="AOO-M"),'ENGAGEMENTS 2026'!P2890,IF($H2890="EN COURS DE PREENGAGEMENT",'ENGAGEMENTS 2026'!O2890,IF($H2890="PREENGAGE",IF($E2890="ATTRIBUE",'ENGAGEMENTS 2026'!AE2890,'ENGAGEMENTS 2026'!O2890),'ENGAGEMENTS 2026'!AE2890))))</f>
        <v/>
      </c>
      <c r="K2890" s="604">
        <f>IF(ISBLANK('ENGAGEMENTS 2026'!W2890),"",'ENGAGEMENTS 2026'!W2890)</f>
        <v/>
      </c>
      <c r="L2890" s="276">
        <f>IF($K2890="","",TODAY()-$K2890)</f>
        <v/>
      </c>
      <c r="M2890">
        <f>IF($A2890="","",IF($H2890="ENGAGE","Engagé",IF(AND($H2890="NON ENGAGE",OR($I2890="INFRUCTUEUX",$I2890="ANNULE")),"Clôturé sans suite","En cours")))</f>
        <v/>
      </c>
      <c r="N2890">
        <f>IF(ISBLANK('ENGAGEMENTS 2026'!C2890),"",'ENGAGEMENTS 2026'!L2890)</f>
        <v/>
      </c>
      <c r="O2890">
        <f>IF(ISBLANK('ENGAGEMENTS 2026'!C2890),"",'ENGAGEMENTS 2026'!M2890)</f>
        <v/>
      </c>
      <c r="P2890">
        <f>IF(ISBLANK('ENGAGEMENTS 2026'!C2890),"",'ENGAGEMENTS 2026'!K2890)</f>
        <v/>
      </c>
      <c r="Q2890">
        <f>IF($A2890="","",IF(OR($E2890="INFRUCTUEUX",$E2890="ANNULE"),$A2890&amp;"|"&amp;(COUNTIFS($A$2:$A2890,$A2890,$E$2:$E2890,"INFRUCTUEUX")+COUNTIFS($A$2:$A2890,$A2890,$E$2:$E2890,"ANNULE")),""))</f>
        <v/>
      </c>
    </row>
    <row r="2891">
      <c r="A2891">
        <f>IF(ISBLANK('ENGAGEMENTS 2026'!C2891),"",IF('ENGAGEMENTS 2026'!C2891="DTSI","DCT",'ENGAGEMENTS 2026'!C2891))</f>
        <v/>
      </c>
      <c r="B2891">
        <f>IF(ISBLANK('ENGAGEMENTS 2026'!C2891),"",'ENGAGEMENTS 2026'!D2891)</f>
        <v/>
      </c>
      <c r="C2891">
        <f>IF(ISBLANK('ENGAGEMENTS 2026'!C2891),"",'ENGAGEMENTS 2026'!E2891)</f>
        <v/>
      </c>
      <c r="D2891">
        <f>IF(ISBLANK('ENGAGEMENTS 2026'!C2891),"",'ENGAGEMENTS 2026'!G2891)</f>
        <v/>
      </c>
      <c r="E2891">
        <f>IF(ISBLANK('ENGAGEMENTS 2026'!C2891),"",'ENGAGEMENTS 2026'!I2891)</f>
        <v/>
      </c>
      <c r="F2891">
        <f>IF(ISBLANK('ENGAGEMENTS 2026'!C2891),"",'ENGAGEMENTS 2026'!J2891)</f>
        <v/>
      </c>
      <c r="G2891">
        <f>IF(ISBLANK('ENGAGEMENTS 2026'!C2891),"",'ENGAGEMENTS 2026'!M2891)</f>
        <v/>
      </c>
      <c r="H2891">
        <f>IF(ISBLANK('ENGAGEMENTS 2026'!C2891),"",'ENGAGEMENTS 2026'!AF2891)</f>
        <v/>
      </c>
      <c r="I2891">
        <f>IF(ISBLANK('ENGAGEMENTS 2026'!C2891),"",'ENGAGEMENTS 2026'!H2891)</f>
        <v/>
      </c>
      <c r="J2891" s="275">
        <f>IF(ISBLANK('ENGAGEMENTS 2026'!C2891),"",IF(AND(OR($E2891="INFRUCTUEUX",$E2891="ANNULE"),$C2891="AOO-M"),'ENGAGEMENTS 2026'!P2891,IF($H2891="EN COURS DE PREENGAGEMENT",'ENGAGEMENTS 2026'!O2891,IF($H2891="PREENGAGE",IF($E2891="ATTRIBUE",'ENGAGEMENTS 2026'!AE2891,'ENGAGEMENTS 2026'!O2891),'ENGAGEMENTS 2026'!AE2891))))</f>
        <v/>
      </c>
      <c r="K2891" s="604">
        <f>IF(ISBLANK('ENGAGEMENTS 2026'!W2891),"",'ENGAGEMENTS 2026'!W2891)</f>
        <v/>
      </c>
      <c r="L2891" s="276">
        <f>IF($K2891="","",TODAY()-$K2891)</f>
        <v/>
      </c>
      <c r="M2891">
        <f>IF($A2891="","",IF($H2891="ENGAGE","Engagé",IF(AND($H2891="NON ENGAGE",OR($I2891="INFRUCTUEUX",$I2891="ANNULE")),"Clôturé sans suite","En cours")))</f>
        <v/>
      </c>
      <c r="N2891">
        <f>IF(ISBLANK('ENGAGEMENTS 2026'!C2891),"",'ENGAGEMENTS 2026'!L2891)</f>
        <v/>
      </c>
      <c r="O2891">
        <f>IF(ISBLANK('ENGAGEMENTS 2026'!C2891),"",'ENGAGEMENTS 2026'!M2891)</f>
        <v/>
      </c>
      <c r="P2891">
        <f>IF(ISBLANK('ENGAGEMENTS 2026'!C2891),"",'ENGAGEMENTS 2026'!K2891)</f>
        <v/>
      </c>
      <c r="Q2891">
        <f>IF($A2891="","",IF(OR($E2891="INFRUCTUEUX",$E2891="ANNULE"),$A2891&amp;"|"&amp;(COUNTIFS($A$2:$A2891,$A2891,$E$2:$E2891,"INFRUCTUEUX")+COUNTIFS($A$2:$A2891,$A2891,$E$2:$E2891,"ANNULE")),""))</f>
        <v/>
      </c>
    </row>
    <row r="2892">
      <c r="A2892">
        <f>IF(ISBLANK('ENGAGEMENTS 2026'!C2892),"",IF('ENGAGEMENTS 2026'!C2892="DTSI","DCT",'ENGAGEMENTS 2026'!C2892))</f>
        <v/>
      </c>
      <c r="B2892">
        <f>IF(ISBLANK('ENGAGEMENTS 2026'!C2892),"",'ENGAGEMENTS 2026'!D2892)</f>
        <v/>
      </c>
      <c r="C2892">
        <f>IF(ISBLANK('ENGAGEMENTS 2026'!C2892),"",'ENGAGEMENTS 2026'!E2892)</f>
        <v/>
      </c>
      <c r="D2892">
        <f>IF(ISBLANK('ENGAGEMENTS 2026'!C2892),"",'ENGAGEMENTS 2026'!G2892)</f>
        <v/>
      </c>
      <c r="E2892">
        <f>IF(ISBLANK('ENGAGEMENTS 2026'!C2892),"",'ENGAGEMENTS 2026'!I2892)</f>
        <v/>
      </c>
      <c r="F2892">
        <f>IF(ISBLANK('ENGAGEMENTS 2026'!C2892),"",'ENGAGEMENTS 2026'!J2892)</f>
        <v/>
      </c>
      <c r="G2892">
        <f>IF(ISBLANK('ENGAGEMENTS 2026'!C2892),"",'ENGAGEMENTS 2026'!M2892)</f>
        <v/>
      </c>
      <c r="H2892">
        <f>IF(ISBLANK('ENGAGEMENTS 2026'!C2892),"",'ENGAGEMENTS 2026'!AF2892)</f>
        <v/>
      </c>
      <c r="I2892">
        <f>IF(ISBLANK('ENGAGEMENTS 2026'!C2892),"",'ENGAGEMENTS 2026'!H2892)</f>
        <v/>
      </c>
      <c r="J2892" s="275">
        <f>IF(ISBLANK('ENGAGEMENTS 2026'!C2892),"",IF(AND(OR($E2892="INFRUCTUEUX",$E2892="ANNULE"),$C2892="AOO-M"),'ENGAGEMENTS 2026'!P2892,IF($H2892="EN COURS DE PREENGAGEMENT",'ENGAGEMENTS 2026'!O2892,IF($H2892="PREENGAGE",IF($E2892="ATTRIBUE",'ENGAGEMENTS 2026'!AE2892,'ENGAGEMENTS 2026'!O2892),'ENGAGEMENTS 2026'!AE2892))))</f>
        <v/>
      </c>
      <c r="K2892" s="604">
        <f>IF(ISBLANK('ENGAGEMENTS 2026'!W2892),"",'ENGAGEMENTS 2026'!W2892)</f>
        <v/>
      </c>
      <c r="L2892" s="276">
        <f>IF($K2892="","",TODAY()-$K2892)</f>
        <v/>
      </c>
      <c r="M2892">
        <f>IF($A2892="","",IF($H2892="ENGAGE","Engagé",IF(AND($H2892="NON ENGAGE",OR($I2892="INFRUCTUEUX",$I2892="ANNULE")),"Clôturé sans suite","En cours")))</f>
        <v/>
      </c>
      <c r="N2892">
        <f>IF(ISBLANK('ENGAGEMENTS 2026'!C2892),"",'ENGAGEMENTS 2026'!L2892)</f>
        <v/>
      </c>
      <c r="O2892">
        <f>IF(ISBLANK('ENGAGEMENTS 2026'!C2892),"",'ENGAGEMENTS 2026'!M2892)</f>
        <v/>
      </c>
      <c r="P2892">
        <f>IF(ISBLANK('ENGAGEMENTS 2026'!C2892),"",'ENGAGEMENTS 2026'!K2892)</f>
        <v/>
      </c>
      <c r="Q2892">
        <f>IF($A2892="","",IF(OR($E2892="INFRUCTUEUX",$E2892="ANNULE"),$A2892&amp;"|"&amp;(COUNTIFS($A$2:$A2892,$A2892,$E$2:$E2892,"INFRUCTUEUX")+COUNTIFS($A$2:$A2892,$A2892,$E$2:$E2892,"ANNULE")),""))</f>
        <v/>
      </c>
    </row>
    <row r="2893">
      <c r="A2893">
        <f>IF(ISBLANK('ENGAGEMENTS 2026'!C2893),"",IF('ENGAGEMENTS 2026'!C2893="DTSI","DCT",'ENGAGEMENTS 2026'!C2893))</f>
        <v/>
      </c>
      <c r="B2893">
        <f>IF(ISBLANK('ENGAGEMENTS 2026'!C2893),"",'ENGAGEMENTS 2026'!D2893)</f>
        <v/>
      </c>
      <c r="C2893">
        <f>IF(ISBLANK('ENGAGEMENTS 2026'!C2893),"",'ENGAGEMENTS 2026'!E2893)</f>
        <v/>
      </c>
      <c r="D2893">
        <f>IF(ISBLANK('ENGAGEMENTS 2026'!C2893),"",'ENGAGEMENTS 2026'!G2893)</f>
        <v/>
      </c>
      <c r="E2893">
        <f>IF(ISBLANK('ENGAGEMENTS 2026'!C2893),"",'ENGAGEMENTS 2026'!I2893)</f>
        <v/>
      </c>
      <c r="F2893">
        <f>IF(ISBLANK('ENGAGEMENTS 2026'!C2893),"",'ENGAGEMENTS 2026'!J2893)</f>
        <v/>
      </c>
      <c r="G2893">
        <f>IF(ISBLANK('ENGAGEMENTS 2026'!C2893),"",'ENGAGEMENTS 2026'!M2893)</f>
        <v/>
      </c>
      <c r="H2893">
        <f>IF(ISBLANK('ENGAGEMENTS 2026'!C2893),"",'ENGAGEMENTS 2026'!AF2893)</f>
        <v/>
      </c>
      <c r="I2893">
        <f>IF(ISBLANK('ENGAGEMENTS 2026'!C2893),"",'ENGAGEMENTS 2026'!H2893)</f>
        <v/>
      </c>
      <c r="J2893" s="275">
        <f>IF(ISBLANK('ENGAGEMENTS 2026'!C2893),"",IF(AND(OR($E2893="INFRUCTUEUX",$E2893="ANNULE"),$C2893="AOO-M"),'ENGAGEMENTS 2026'!P2893,IF($H2893="EN COURS DE PREENGAGEMENT",'ENGAGEMENTS 2026'!O2893,IF($H2893="PREENGAGE",IF($E2893="ATTRIBUE",'ENGAGEMENTS 2026'!AE2893,'ENGAGEMENTS 2026'!O2893),'ENGAGEMENTS 2026'!AE2893))))</f>
        <v/>
      </c>
      <c r="K2893" s="604">
        <f>IF(ISBLANK('ENGAGEMENTS 2026'!W2893),"",'ENGAGEMENTS 2026'!W2893)</f>
        <v/>
      </c>
      <c r="L2893" s="276">
        <f>IF($K2893="","",TODAY()-$K2893)</f>
        <v/>
      </c>
      <c r="M2893">
        <f>IF($A2893="","",IF($H2893="ENGAGE","Engagé",IF(AND($H2893="NON ENGAGE",OR($I2893="INFRUCTUEUX",$I2893="ANNULE")),"Clôturé sans suite","En cours")))</f>
        <v/>
      </c>
      <c r="N2893">
        <f>IF(ISBLANK('ENGAGEMENTS 2026'!C2893),"",'ENGAGEMENTS 2026'!L2893)</f>
        <v/>
      </c>
      <c r="O2893">
        <f>IF(ISBLANK('ENGAGEMENTS 2026'!C2893),"",'ENGAGEMENTS 2026'!M2893)</f>
        <v/>
      </c>
      <c r="P2893">
        <f>IF(ISBLANK('ENGAGEMENTS 2026'!C2893),"",'ENGAGEMENTS 2026'!K2893)</f>
        <v/>
      </c>
      <c r="Q2893">
        <f>IF($A2893="","",IF(OR($E2893="INFRUCTUEUX",$E2893="ANNULE"),$A2893&amp;"|"&amp;(COUNTIFS($A$2:$A2893,$A2893,$E$2:$E2893,"INFRUCTUEUX")+COUNTIFS($A$2:$A2893,$A2893,$E$2:$E2893,"ANNULE")),""))</f>
        <v/>
      </c>
    </row>
    <row r="2894">
      <c r="A2894">
        <f>IF(ISBLANK('ENGAGEMENTS 2026'!C2894),"",IF('ENGAGEMENTS 2026'!C2894="DTSI","DCT",'ENGAGEMENTS 2026'!C2894))</f>
        <v/>
      </c>
      <c r="B2894">
        <f>IF(ISBLANK('ENGAGEMENTS 2026'!C2894),"",'ENGAGEMENTS 2026'!D2894)</f>
        <v/>
      </c>
      <c r="C2894">
        <f>IF(ISBLANK('ENGAGEMENTS 2026'!C2894),"",'ENGAGEMENTS 2026'!E2894)</f>
        <v/>
      </c>
      <c r="D2894">
        <f>IF(ISBLANK('ENGAGEMENTS 2026'!C2894),"",'ENGAGEMENTS 2026'!G2894)</f>
        <v/>
      </c>
      <c r="E2894">
        <f>IF(ISBLANK('ENGAGEMENTS 2026'!C2894),"",'ENGAGEMENTS 2026'!I2894)</f>
        <v/>
      </c>
      <c r="F2894">
        <f>IF(ISBLANK('ENGAGEMENTS 2026'!C2894),"",'ENGAGEMENTS 2026'!J2894)</f>
        <v/>
      </c>
      <c r="G2894">
        <f>IF(ISBLANK('ENGAGEMENTS 2026'!C2894),"",'ENGAGEMENTS 2026'!M2894)</f>
        <v/>
      </c>
      <c r="H2894">
        <f>IF(ISBLANK('ENGAGEMENTS 2026'!C2894),"",'ENGAGEMENTS 2026'!AF2894)</f>
        <v/>
      </c>
      <c r="I2894">
        <f>IF(ISBLANK('ENGAGEMENTS 2026'!C2894),"",'ENGAGEMENTS 2026'!H2894)</f>
        <v/>
      </c>
      <c r="J2894" s="275">
        <f>IF(ISBLANK('ENGAGEMENTS 2026'!C2894),"",IF(AND(OR($E2894="INFRUCTUEUX",$E2894="ANNULE"),$C2894="AOO-M"),'ENGAGEMENTS 2026'!P2894,IF($H2894="EN COURS DE PREENGAGEMENT",'ENGAGEMENTS 2026'!O2894,IF($H2894="PREENGAGE",IF($E2894="ATTRIBUE",'ENGAGEMENTS 2026'!AE2894,'ENGAGEMENTS 2026'!O2894),'ENGAGEMENTS 2026'!AE2894))))</f>
        <v/>
      </c>
      <c r="K2894" s="604">
        <f>IF(ISBLANK('ENGAGEMENTS 2026'!W2894),"",'ENGAGEMENTS 2026'!W2894)</f>
        <v/>
      </c>
      <c r="L2894" s="276">
        <f>IF($K2894="","",TODAY()-$K2894)</f>
        <v/>
      </c>
      <c r="M2894">
        <f>IF($A2894="","",IF($H2894="ENGAGE","Engagé",IF(AND($H2894="NON ENGAGE",OR($I2894="INFRUCTUEUX",$I2894="ANNULE")),"Clôturé sans suite","En cours")))</f>
        <v/>
      </c>
      <c r="N2894">
        <f>IF(ISBLANK('ENGAGEMENTS 2026'!C2894),"",'ENGAGEMENTS 2026'!L2894)</f>
        <v/>
      </c>
      <c r="O2894">
        <f>IF(ISBLANK('ENGAGEMENTS 2026'!C2894),"",'ENGAGEMENTS 2026'!M2894)</f>
        <v/>
      </c>
      <c r="P2894">
        <f>IF(ISBLANK('ENGAGEMENTS 2026'!C2894),"",'ENGAGEMENTS 2026'!K2894)</f>
        <v/>
      </c>
      <c r="Q2894">
        <f>IF($A2894="","",IF(OR($E2894="INFRUCTUEUX",$E2894="ANNULE"),$A2894&amp;"|"&amp;(COUNTIFS($A$2:$A2894,$A2894,$E$2:$E2894,"INFRUCTUEUX")+COUNTIFS($A$2:$A2894,$A2894,$E$2:$E2894,"ANNULE")),""))</f>
        <v/>
      </c>
    </row>
    <row r="2895">
      <c r="A2895">
        <f>IF(ISBLANK('ENGAGEMENTS 2026'!C2895),"",IF('ENGAGEMENTS 2026'!C2895="DTSI","DCT",'ENGAGEMENTS 2026'!C2895))</f>
        <v/>
      </c>
      <c r="B2895">
        <f>IF(ISBLANK('ENGAGEMENTS 2026'!C2895),"",'ENGAGEMENTS 2026'!D2895)</f>
        <v/>
      </c>
      <c r="C2895">
        <f>IF(ISBLANK('ENGAGEMENTS 2026'!C2895),"",'ENGAGEMENTS 2026'!E2895)</f>
        <v/>
      </c>
      <c r="D2895">
        <f>IF(ISBLANK('ENGAGEMENTS 2026'!C2895),"",'ENGAGEMENTS 2026'!G2895)</f>
        <v/>
      </c>
      <c r="E2895">
        <f>IF(ISBLANK('ENGAGEMENTS 2026'!C2895),"",'ENGAGEMENTS 2026'!I2895)</f>
        <v/>
      </c>
      <c r="F2895">
        <f>IF(ISBLANK('ENGAGEMENTS 2026'!C2895),"",'ENGAGEMENTS 2026'!J2895)</f>
        <v/>
      </c>
      <c r="G2895">
        <f>IF(ISBLANK('ENGAGEMENTS 2026'!C2895),"",'ENGAGEMENTS 2026'!M2895)</f>
        <v/>
      </c>
      <c r="H2895">
        <f>IF(ISBLANK('ENGAGEMENTS 2026'!C2895),"",'ENGAGEMENTS 2026'!AF2895)</f>
        <v/>
      </c>
      <c r="I2895">
        <f>IF(ISBLANK('ENGAGEMENTS 2026'!C2895),"",'ENGAGEMENTS 2026'!H2895)</f>
        <v/>
      </c>
      <c r="J2895" s="275">
        <f>IF(ISBLANK('ENGAGEMENTS 2026'!C2895),"",IF(AND(OR($E2895="INFRUCTUEUX",$E2895="ANNULE"),$C2895="AOO-M"),'ENGAGEMENTS 2026'!P2895,IF($H2895="EN COURS DE PREENGAGEMENT",'ENGAGEMENTS 2026'!O2895,IF($H2895="PREENGAGE",IF($E2895="ATTRIBUE",'ENGAGEMENTS 2026'!AE2895,'ENGAGEMENTS 2026'!O2895),'ENGAGEMENTS 2026'!AE2895))))</f>
        <v/>
      </c>
      <c r="K2895" s="604">
        <f>IF(ISBLANK('ENGAGEMENTS 2026'!W2895),"",'ENGAGEMENTS 2026'!W2895)</f>
        <v/>
      </c>
      <c r="L2895" s="276">
        <f>IF($K2895="","",TODAY()-$K2895)</f>
        <v/>
      </c>
      <c r="M2895">
        <f>IF($A2895="","",IF($H2895="ENGAGE","Engagé",IF(AND($H2895="NON ENGAGE",OR($I2895="INFRUCTUEUX",$I2895="ANNULE")),"Clôturé sans suite","En cours")))</f>
        <v/>
      </c>
      <c r="N2895">
        <f>IF(ISBLANK('ENGAGEMENTS 2026'!C2895),"",'ENGAGEMENTS 2026'!L2895)</f>
        <v/>
      </c>
      <c r="O2895">
        <f>IF(ISBLANK('ENGAGEMENTS 2026'!C2895),"",'ENGAGEMENTS 2026'!M2895)</f>
        <v/>
      </c>
      <c r="P2895">
        <f>IF(ISBLANK('ENGAGEMENTS 2026'!C2895),"",'ENGAGEMENTS 2026'!K2895)</f>
        <v/>
      </c>
      <c r="Q2895">
        <f>IF($A2895="","",IF(OR($E2895="INFRUCTUEUX",$E2895="ANNULE"),$A2895&amp;"|"&amp;(COUNTIFS($A$2:$A2895,$A2895,$E$2:$E2895,"INFRUCTUEUX")+COUNTIFS($A$2:$A2895,$A2895,$E$2:$E2895,"ANNULE")),""))</f>
        <v/>
      </c>
    </row>
    <row r="2896">
      <c r="A2896">
        <f>IF(ISBLANK('ENGAGEMENTS 2026'!C2896),"",IF('ENGAGEMENTS 2026'!C2896="DTSI","DCT",'ENGAGEMENTS 2026'!C2896))</f>
        <v/>
      </c>
      <c r="B2896">
        <f>IF(ISBLANK('ENGAGEMENTS 2026'!C2896),"",'ENGAGEMENTS 2026'!D2896)</f>
        <v/>
      </c>
      <c r="C2896">
        <f>IF(ISBLANK('ENGAGEMENTS 2026'!C2896),"",'ENGAGEMENTS 2026'!E2896)</f>
        <v/>
      </c>
      <c r="D2896">
        <f>IF(ISBLANK('ENGAGEMENTS 2026'!C2896),"",'ENGAGEMENTS 2026'!G2896)</f>
        <v/>
      </c>
      <c r="E2896">
        <f>IF(ISBLANK('ENGAGEMENTS 2026'!C2896),"",'ENGAGEMENTS 2026'!I2896)</f>
        <v/>
      </c>
      <c r="F2896">
        <f>IF(ISBLANK('ENGAGEMENTS 2026'!C2896),"",'ENGAGEMENTS 2026'!J2896)</f>
        <v/>
      </c>
      <c r="G2896">
        <f>IF(ISBLANK('ENGAGEMENTS 2026'!C2896),"",'ENGAGEMENTS 2026'!M2896)</f>
        <v/>
      </c>
      <c r="H2896">
        <f>IF(ISBLANK('ENGAGEMENTS 2026'!C2896),"",'ENGAGEMENTS 2026'!AF2896)</f>
        <v/>
      </c>
      <c r="I2896">
        <f>IF(ISBLANK('ENGAGEMENTS 2026'!C2896),"",'ENGAGEMENTS 2026'!H2896)</f>
        <v/>
      </c>
      <c r="J2896" s="275">
        <f>IF(ISBLANK('ENGAGEMENTS 2026'!C2896),"",IF(AND(OR($E2896="INFRUCTUEUX",$E2896="ANNULE"),$C2896="AOO-M"),'ENGAGEMENTS 2026'!P2896,IF($H2896="EN COURS DE PREENGAGEMENT",'ENGAGEMENTS 2026'!O2896,IF($H2896="PREENGAGE",IF($E2896="ATTRIBUE",'ENGAGEMENTS 2026'!AE2896,'ENGAGEMENTS 2026'!O2896),'ENGAGEMENTS 2026'!AE2896))))</f>
        <v/>
      </c>
      <c r="K2896" s="604">
        <f>IF(ISBLANK('ENGAGEMENTS 2026'!W2896),"",'ENGAGEMENTS 2026'!W2896)</f>
        <v/>
      </c>
      <c r="L2896" s="276">
        <f>IF($K2896="","",TODAY()-$K2896)</f>
        <v/>
      </c>
      <c r="M2896">
        <f>IF($A2896="","",IF($H2896="ENGAGE","Engagé",IF(AND($H2896="NON ENGAGE",OR($I2896="INFRUCTUEUX",$I2896="ANNULE")),"Clôturé sans suite","En cours")))</f>
        <v/>
      </c>
      <c r="N2896">
        <f>IF(ISBLANK('ENGAGEMENTS 2026'!C2896),"",'ENGAGEMENTS 2026'!L2896)</f>
        <v/>
      </c>
      <c r="O2896">
        <f>IF(ISBLANK('ENGAGEMENTS 2026'!C2896),"",'ENGAGEMENTS 2026'!M2896)</f>
        <v/>
      </c>
      <c r="P2896">
        <f>IF(ISBLANK('ENGAGEMENTS 2026'!C2896),"",'ENGAGEMENTS 2026'!K2896)</f>
        <v/>
      </c>
      <c r="Q2896">
        <f>IF($A2896="","",IF(OR($E2896="INFRUCTUEUX",$E2896="ANNULE"),$A2896&amp;"|"&amp;(COUNTIFS($A$2:$A2896,$A2896,$E$2:$E2896,"INFRUCTUEUX")+COUNTIFS($A$2:$A2896,$A2896,$E$2:$E2896,"ANNULE")),""))</f>
        <v/>
      </c>
    </row>
    <row r="2897">
      <c r="A2897">
        <f>IF(ISBLANK('ENGAGEMENTS 2026'!C2897),"",IF('ENGAGEMENTS 2026'!C2897="DTSI","DCT",'ENGAGEMENTS 2026'!C2897))</f>
        <v/>
      </c>
      <c r="B2897">
        <f>IF(ISBLANK('ENGAGEMENTS 2026'!C2897),"",'ENGAGEMENTS 2026'!D2897)</f>
        <v/>
      </c>
      <c r="C2897">
        <f>IF(ISBLANK('ENGAGEMENTS 2026'!C2897),"",'ENGAGEMENTS 2026'!E2897)</f>
        <v/>
      </c>
      <c r="D2897">
        <f>IF(ISBLANK('ENGAGEMENTS 2026'!C2897),"",'ENGAGEMENTS 2026'!G2897)</f>
        <v/>
      </c>
      <c r="E2897">
        <f>IF(ISBLANK('ENGAGEMENTS 2026'!C2897),"",'ENGAGEMENTS 2026'!I2897)</f>
        <v/>
      </c>
      <c r="F2897">
        <f>IF(ISBLANK('ENGAGEMENTS 2026'!C2897),"",'ENGAGEMENTS 2026'!J2897)</f>
        <v/>
      </c>
      <c r="G2897">
        <f>IF(ISBLANK('ENGAGEMENTS 2026'!C2897),"",'ENGAGEMENTS 2026'!M2897)</f>
        <v/>
      </c>
      <c r="H2897">
        <f>IF(ISBLANK('ENGAGEMENTS 2026'!C2897),"",'ENGAGEMENTS 2026'!AF2897)</f>
        <v/>
      </c>
      <c r="I2897">
        <f>IF(ISBLANK('ENGAGEMENTS 2026'!C2897),"",'ENGAGEMENTS 2026'!H2897)</f>
        <v/>
      </c>
      <c r="J2897" s="275">
        <f>IF(ISBLANK('ENGAGEMENTS 2026'!C2897),"",IF(AND(OR($E2897="INFRUCTUEUX",$E2897="ANNULE"),$C2897="AOO-M"),'ENGAGEMENTS 2026'!P2897,IF($H2897="EN COURS DE PREENGAGEMENT",'ENGAGEMENTS 2026'!O2897,IF($H2897="PREENGAGE",IF($E2897="ATTRIBUE",'ENGAGEMENTS 2026'!AE2897,'ENGAGEMENTS 2026'!O2897),'ENGAGEMENTS 2026'!AE2897))))</f>
        <v/>
      </c>
      <c r="K2897" s="604">
        <f>IF(ISBLANK('ENGAGEMENTS 2026'!W2897),"",'ENGAGEMENTS 2026'!W2897)</f>
        <v/>
      </c>
      <c r="L2897" s="276">
        <f>IF($K2897="","",TODAY()-$K2897)</f>
        <v/>
      </c>
      <c r="M2897">
        <f>IF($A2897="","",IF($H2897="ENGAGE","Engagé",IF(AND($H2897="NON ENGAGE",OR($I2897="INFRUCTUEUX",$I2897="ANNULE")),"Clôturé sans suite","En cours")))</f>
        <v/>
      </c>
      <c r="N2897">
        <f>IF(ISBLANK('ENGAGEMENTS 2026'!C2897),"",'ENGAGEMENTS 2026'!L2897)</f>
        <v/>
      </c>
      <c r="O2897">
        <f>IF(ISBLANK('ENGAGEMENTS 2026'!C2897),"",'ENGAGEMENTS 2026'!M2897)</f>
        <v/>
      </c>
      <c r="P2897">
        <f>IF(ISBLANK('ENGAGEMENTS 2026'!C2897),"",'ENGAGEMENTS 2026'!K2897)</f>
        <v/>
      </c>
      <c r="Q2897">
        <f>IF($A2897="","",IF(OR($E2897="INFRUCTUEUX",$E2897="ANNULE"),$A2897&amp;"|"&amp;(COUNTIFS($A$2:$A2897,$A2897,$E$2:$E2897,"INFRUCTUEUX")+COUNTIFS($A$2:$A2897,$A2897,$E$2:$E2897,"ANNULE")),""))</f>
        <v/>
      </c>
    </row>
    <row r="2898">
      <c r="A2898">
        <f>IF(ISBLANK('ENGAGEMENTS 2026'!C2898),"",IF('ENGAGEMENTS 2026'!C2898="DTSI","DCT",'ENGAGEMENTS 2026'!C2898))</f>
        <v/>
      </c>
      <c r="B2898">
        <f>IF(ISBLANK('ENGAGEMENTS 2026'!C2898),"",'ENGAGEMENTS 2026'!D2898)</f>
        <v/>
      </c>
      <c r="C2898">
        <f>IF(ISBLANK('ENGAGEMENTS 2026'!C2898),"",'ENGAGEMENTS 2026'!E2898)</f>
        <v/>
      </c>
      <c r="D2898">
        <f>IF(ISBLANK('ENGAGEMENTS 2026'!C2898),"",'ENGAGEMENTS 2026'!G2898)</f>
        <v/>
      </c>
      <c r="E2898">
        <f>IF(ISBLANK('ENGAGEMENTS 2026'!C2898),"",'ENGAGEMENTS 2026'!I2898)</f>
        <v/>
      </c>
      <c r="F2898">
        <f>IF(ISBLANK('ENGAGEMENTS 2026'!C2898),"",'ENGAGEMENTS 2026'!J2898)</f>
        <v/>
      </c>
      <c r="G2898">
        <f>IF(ISBLANK('ENGAGEMENTS 2026'!C2898),"",'ENGAGEMENTS 2026'!M2898)</f>
        <v/>
      </c>
      <c r="H2898">
        <f>IF(ISBLANK('ENGAGEMENTS 2026'!C2898),"",'ENGAGEMENTS 2026'!AF2898)</f>
        <v/>
      </c>
      <c r="I2898">
        <f>IF(ISBLANK('ENGAGEMENTS 2026'!C2898),"",'ENGAGEMENTS 2026'!H2898)</f>
        <v/>
      </c>
      <c r="J2898" s="275">
        <f>IF(ISBLANK('ENGAGEMENTS 2026'!C2898),"",IF(AND(OR($E2898="INFRUCTUEUX",$E2898="ANNULE"),$C2898="AOO-M"),'ENGAGEMENTS 2026'!P2898,IF($H2898="EN COURS DE PREENGAGEMENT",'ENGAGEMENTS 2026'!O2898,IF($H2898="PREENGAGE",IF($E2898="ATTRIBUE",'ENGAGEMENTS 2026'!AE2898,'ENGAGEMENTS 2026'!O2898),'ENGAGEMENTS 2026'!AE2898))))</f>
        <v/>
      </c>
      <c r="K2898" s="604">
        <f>IF(ISBLANK('ENGAGEMENTS 2026'!W2898),"",'ENGAGEMENTS 2026'!W2898)</f>
        <v/>
      </c>
      <c r="L2898" s="276">
        <f>IF($K2898="","",TODAY()-$K2898)</f>
        <v/>
      </c>
      <c r="M2898">
        <f>IF($A2898="","",IF($H2898="ENGAGE","Engagé",IF(AND($H2898="NON ENGAGE",OR($I2898="INFRUCTUEUX",$I2898="ANNULE")),"Clôturé sans suite","En cours")))</f>
        <v/>
      </c>
      <c r="N2898">
        <f>IF(ISBLANK('ENGAGEMENTS 2026'!C2898),"",'ENGAGEMENTS 2026'!L2898)</f>
        <v/>
      </c>
      <c r="O2898">
        <f>IF(ISBLANK('ENGAGEMENTS 2026'!C2898),"",'ENGAGEMENTS 2026'!M2898)</f>
        <v/>
      </c>
      <c r="P2898">
        <f>IF(ISBLANK('ENGAGEMENTS 2026'!C2898),"",'ENGAGEMENTS 2026'!K2898)</f>
        <v/>
      </c>
      <c r="Q2898">
        <f>IF($A2898="","",IF(OR($E2898="INFRUCTUEUX",$E2898="ANNULE"),$A2898&amp;"|"&amp;(COUNTIFS($A$2:$A2898,$A2898,$E$2:$E2898,"INFRUCTUEUX")+COUNTIFS($A$2:$A2898,$A2898,$E$2:$E2898,"ANNULE")),""))</f>
        <v/>
      </c>
    </row>
    <row r="2899">
      <c r="A2899">
        <f>IF(ISBLANK('ENGAGEMENTS 2026'!C2899),"",IF('ENGAGEMENTS 2026'!C2899="DTSI","DCT",'ENGAGEMENTS 2026'!C2899))</f>
        <v/>
      </c>
      <c r="B2899">
        <f>IF(ISBLANK('ENGAGEMENTS 2026'!C2899),"",'ENGAGEMENTS 2026'!D2899)</f>
        <v/>
      </c>
      <c r="C2899">
        <f>IF(ISBLANK('ENGAGEMENTS 2026'!C2899),"",'ENGAGEMENTS 2026'!E2899)</f>
        <v/>
      </c>
      <c r="D2899">
        <f>IF(ISBLANK('ENGAGEMENTS 2026'!C2899),"",'ENGAGEMENTS 2026'!G2899)</f>
        <v/>
      </c>
      <c r="E2899">
        <f>IF(ISBLANK('ENGAGEMENTS 2026'!C2899),"",'ENGAGEMENTS 2026'!I2899)</f>
        <v/>
      </c>
      <c r="F2899">
        <f>IF(ISBLANK('ENGAGEMENTS 2026'!C2899),"",'ENGAGEMENTS 2026'!J2899)</f>
        <v/>
      </c>
      <c r="G2899">
        <f>IF(ISBLANK('ENGAGEMENTS 2026'!C2899),"",'ENGAGEMENTS 2026'!M2899)</f>
        <v/>
      </c>
      <c r="H2899">
        <f>IF(ISBLANK('ENGAGEMENTS 2026'!C2899),"",'ENGAGEMENTS 2026'!AF2899)</f>
        <v/>
      </c>
      <c r="I2899">
        <f>IF(ISBLANK('ENGAGEMENTS 2026'!C2899),"",'ENGAGEMENTS 2026'!H2899)</f>
        <v/>
      </c>
      <c r="J2899" s="275">
        <f>IF(ISBLANK('ENGAGEMENTS 2026'!C2899),"",IF(AND(OR($E2899="INFRUCTUEUX",$E2899="ANNULE"),$C2899="AOO-M"),'ENGAGEMENTS 2026'!P2899,IF($H2899="EN COURS DE PREENGAGEMENT",'ENGAGEMENTS 2026'!O2899,IF($H2899="PREENGAGE",IF($E2899="ATTRIBUE",'ENGAGEMENTS 2026'!AE2899,'ENGAGEMENTS 2026'!O2899),'ENGAGEMENTS 2026'!AE2899))))</f>
        <v/>
      </c>
      <c r="K2899" s="604">
        <f>IF(ISBLANK('ENGAGEMENTS 2026'!W2899),"",'ENGAGEMENTS 2026'!W2899)</f>
        <v/>
      </c>
      <c r="L2899" s="276">
        <f>IF($K2899="","",TODAY()-$K2899)</f>
        <v/>
      </c>
      <c r="M2899">
        <f>IF($A2899="","",IF($H2899="ENGAGE","Engagé",IF(AND($H2899="NON ENGAGE",OR($I2899="INFRUCTUEUX",$I2899="ANNULE")),"Clôturé sans suite","En cours")))</f>
        <v/>
      </c>
      <c r="N2899">
        <f>IF(ISBLANK('ENGAGEMENTS 2026'!C2899),"",'ENGAGEMENTS 2026'!L2899)</f>
        <v/>
      </c>
      <c r="O2899">
        <f>IF(ISBLANK('ENGAGEMENTS 2026'!C2899),"",'ENGAGEMENTS 2026'!M2899)</f>
        <v/>
      </c>
      <c r="P2899">
        <f>IF(ISBLANK('ENGAGEMENTS 2026'!C2899),"",'ENGAGEMENTS 2026'!K2899)</f>
        <v/>
      </c>
      <c r="Q2899">
        <f>IF($A2899="","",IF(OR($E2899="INFRUCTUEUX",$E2899="ANNULE"),$A2899&amp;"|"&amp;(COUNTIFS($A$2:$A2899,$A2899,$E$2:$E2899,"INFRUCTUEUX")+COUNTIFS($A$2:$A2899,$A2899,$E$2:$E2899,"ANNULE")),""))</f>
        <v/>
      </c>
    </row>
    <row r="2900">
      <c r="A2900">
        <f>IF(ISBLANK('ENGAGEMENTS 2026'!C2900),"",IF('ENGAGEMENTS 2026'!C2900="DTSI","DCT",'ENGAGEMENTS 2026'!C2900))</f>
        <v/>
      </c>
      <c r="B2900">
        <f>IF(ISBLANK('ENGAGEMENTS 2026'!C2900),"",'ENGAGEMENTS 2026'!D2900)</f>
        <v/>
      </c>
      <c r="C2900">
        <f>IF(ISBLANK('ENGAGEMENTS 2026'!C2900),"",'ENGAGEMENTS 2026'!E2900)</f>
        <v/>
      </c>
      <c r="D2900">
        <f>IF(ISBLANK('ENGAGEMENTS 2026'!C2900),"",'ENGAGEMENTS 2026'!G2900)</f>
        <v/>
      </c>
      <c r="E2900">
        <f>IF(ISBLANK('ENGAGEMENTS 2026'!C2900),"",'ENGAGEMENTS 2026'!I2900)</f>
        <v/>
      </c>
      <c r="F2900">
        <f>IF(ISBLANK('ENGAGEMENTS 2026'!C2900),"",'ENGAGEMENTS 2026'!J2900)</f>
        <v/>
      </c>
      <c r="G2900">
        <f>IF(ISBLANK('ENGAGEMENTS 2026'!C2900),"",'ENGAGEMENTS 2026'!M2900)</f>
        <v/>
      </c>
      <c r="H2900">
        <f>IF(ISBLANK('ENGAGEMENTS 2026'!C2900),"",'ENGAGEMENTS 2026'!AF2900)</f>
        <v/>
      </c>
      <c r="I2900">
        <f>IF(ISBLANK('ENGAGEMENTS 2026'!C2900),"",'ENGAGEMENTS 2026'!H2900)</f>
        <v/>
      </c>
      <c r="J2900" s="275">
        <f>IF(ISBLANK('ENGAGEMENTS 2026'!C2900),"",IF(AND(OR($E2900="INFRUCTUEUX",$E2900="ANNULE"),$C2900="AOO-M"),'ENGAGEMENTS 2026'!P2900,IF($H2900="EN COURS DE PREENGAGEMENT",'ENGAGEMENTS 2026'!O2900,IF($H2900="PREENGAGE",IF($E2900="ATTRIBUE",'ENGAGEMENTS 2026'!AE2900,'ENGAGEMENTS 2026'!O2900),'ENGAGEMENTS 2026'!AE2900))))</f>
        <v/>
      </c>
      <c r="K2900" s="604">
        <f>IF(ISBLANK('ENGAGEMENTS 2026'!W2900),"",'ENGAGEMENTS 2026'!W2900)</f>
        <v/>
      </c>
      <c r="L2900" s="276">
        <f>IF($K2900="","",TODAY()-$K2900)</f>
        <v/>
      </c>
      <c r="M2900">
        <f>IF($A2900="","",IF($H2900="ENGAGE","Engagé",IF(AND($H2900="NON ENGAGE",OR($I2900="INFRUCTUEUX",$I2900="ANNULE")),"Clôturé sans suite","En cours")))</f>
        <v/>
      </c>
      <c r="N2900">
        <f>IF(ISBLANK('ENGAGEMENTS 2026'!C2900),"",'ENGAGEMENTS 2026'!L2900)</f>
        <v/>
      </c>
      <c r="O2900">
        <f>IF(ISBLANK('ENGAGEMENTS 2026'!C2900),"",'ENGAGEMENTS 2026'!M2900)</f>
        <v/>
      </c>
      <c r="P2900">
        <f>IF(ISBLANK('ENGAGEMENTS 2026'!C2900),"",'ENGAGEMENTS 2026'!K2900)</f>
        <v/>
      </c>
      <c r="Q2900">
        <f>IF($A2900="","",IF(OR($E2900="INFRUCTUEUX",$E2900="ANNULE"),$A2900&amp;"|"&amp;(COUNTIFS($A$2:$A2900,$A2900,$E$2:$E2900,"INFRUCTUEUX")+COUNTIFS($A$2:$A2900,$A2900,$E$2:$E2900,"ANNULE")),""))</f>
        <v/>
      </c>
    </row>
    <row r="2901">
      <c r="A2901">
        <f>IF(ISBLANK('ENGAGEMENTS 2026'!C2901),"",IF('ENGAGEMENTS 2026'!C2901="DTSI","DCT",'ENGAGEMENTS 2026'!C2901))</f>
        <v/>
      </c>
      <c r="B2901">
        <f>IF(ISBLANK('ENGAGEMENTS 2026'!C2901),"",'ENGAGEMENTS 2026'!D2901)</f>
        <v/>
      </c>
      <c r="C2901">
        <f>IF(ISBLANK('ENGAGEMENTS 2026'!C2901),"",'ENGAGEMENTS 2026'!E2901)</f>
        <v/>
      </c>
      <c r="D2901">
        <f>IF(ISBLANK('ENGAGEMENTS 2026'!C2901),"",'ENGAGEMENTS 2026'!G2901)</f>
        <v/>
      </c>
      <c r="E2901">
        <f>IF(ISBLANK('ENGAGEMENTS 2026'!C2901),"",'ENGAGEMENTS 2026'!I2901)</f>
        <v/>
      </c>
      <c r="F2901">
        <f>IF(ISBLANK('ENGAGEMENTS 2026'!C2901),"",'ENGAGEMENTS 2026'!J2901)</f>
        <v/>
      </c>
      <c r="G2901">
        <f>IF(ISBLANK('ENGAGEMENTS 2026'!C2901),"",'ENGAGEMENTS 2026'!M2901)</f>
        <v/>
      </c>
      <c r="H2901">
        <f>IF(ISBLANK('ENGAGEMENTS 2026'!C2901),"",'ENGAGEMENTS 2026'!AF2901)</f>
        <v/>
      </c>
      <c r="I2901">
        <f>IF(ISBLANK('ENGAGEMENTS 2026'!C2901),"",'ENGAGEMENTS 2026'!H2901)</f>
        <v/>
      </c>
      <c r="J2901" s="275">
        <f>IF(ISBLANK('ENGAGEMENTS 2026'!C2901),"",IF(AND(OR($E2901="INFRUCTUEUX",$E2901="ANNULE"),$C2901="AOO-M"),'ENGAGEMENTS 2026'!P2901,IF($H2901="EN COURS DE PREENGAGEMENT",'ENGAGEMENTS 2026'!O2901,IF($H2901="PREENGAGE",IF($E2901="ATTRIBUE",'ENGAGEMENTS 2026'!AE2901,'ENGAGEMENTS 2026'!O2901),'ENGAGEMENTS 2026'!AE2901))))</f>
        <v/>
      </c>
      <c r="K2901" s="604">
        <f>IF(ISBLANK('ENGAGEMENTS 2026'!W2901),"",'ENGAGEMENTS 2026'!W2901)</f>
        <v/>
      </c>
      <c r="L2901" s="276">
        <f>IF($K2901="","",TODAY()-$K2901)</f>
        <v/>
      </c>
      <c r="M2901">
        <f>IF($A2901="","",IF($H2901="ENGAGE","Engagé",IF(AND($H2901="NON ENGAGE",OR($I2901="INFRUCTUEUX",$I2901="ANNULE")),"Clôturé sans suite","En cours")))</f>
        <v/>
      </c>
      <c r="N2901">
        <f>IF(ISBLANK('ENGAGEMENTS 2026'!C2901),"",'ENGAGEMENTS 2026'!L2901)</f>
        <v/>
      </c>
      <c r="O2901">
        <f>IF(ISBLANK('ENGAGEMENTS 2026'!C2901),"",'ENGAGEMENTS 2026'!M2901)</f>
        <v/>
      </c>
      <c r="P2901">
        <f>IF(ISBLANK('ENGAGEMENTS 2026'!C2901),"",'ENGAGEMENTS 2026'!K2901)</f>
        <v/>
      </c>
      <c r="Q2901">
        <f>IF($A2901="","",IF(OR($E2901="INFRUCTUEUX",$E2901="ANNULE"),$A2901&amp;"|"&amp;(COUNTIFS($A$2:$A2901,$A2901,$E$2:$E2901,"INFRUCTUEUX")+COUNTIFS($A$2:$A2901,$A2901,$E$2:$E2901,"ANNULE")),""))</f>
        <v/>
      </c>
    </row>
    <row r="2902">
      <c r="A2902">
        <f>IF(ISBLANK('ENGAGEMENTS 2026'!C2902),"",IF('ENGAGEMENTS 2026'!C2902="DTSI","DCT",'ENGAGEMENTS 2026'!C2902))</f>
        <v/>
      </c>
      <c r="B2902">
        <f>IF(ISBLANK('ENGAGEMENTS 2026'!C2902),"",'ENGAGEMENTS 2026'!D2902)</f>
        <v/>
      </c>
      <c r="C2902">
        <f>IF(ISBLANK('ENGAGEMENTS 2026'!C2902),"",'ENGAGEMENTS 2026'!E2902)</f>
        <v/>
      </c>
      <c r="D2902">
        <f>IF(ISBLANK('ENGAGEMENTS 2026'!C2902),"",'ENGAGEMENTS 2026'!G2902)</f>
        <v/>
      </c>
      <c r="E2902">
        <f>IF(ISBLANK('ENGAGEMENTS 2026'!C2902),"",'ENGAGEMENTS 2026'!I2902)</f>
        <v/>
      </c>
      <c r="F2902">
        <f>IF(ISBLANK('ENGAGEMENTS 2026'!C2902),"",'ENGAGEMENTS 2026'!J2902)</f>
        <v/>
      </c>
      <c r="G2902">
        <f>IF(ISBLANK('ENGAGEMENTS 2026'!C2902),"",'ENGAGEMENTS 2026'!M2902)</f>
        <v/>
      </c>
      <c r="H2902">
        <f>IF(ISBLANK('ENGAGEMENTS 2026'!C2902),"",'ENGAGEMENTS 2026'!AF2902)</f>
        <v/>
      </c>
      <c r="I2902">
        <f>IF(ISBLANK('ENGAGEMENTS 2026'!C2902),"",'ENGAGEMENTS 2026'!H2902)</f>
        <v/>
      </c>
      <c r="J2902" s="275">
        <f>IF(ISBLANK('ENGAGEMENTS 2026'!C2902),"",IF(AND(OR($E2902="INFRUCTUEUX",$E2902="ANNULE"),$C2902="AOO-M"),'ENGAGEMENTS 2026'!P2902,IF($H2902="EN COURS DE PREENGAGEMENT",'ENGAGEMENTS 2026'!O2902,IF($H2902="PREENGAGE",IF($E2902="ATTRIBUE",'ENGAGEMENTS 2026'!AE2902,'ENGAGEMENTS 2026'!O2902),'ENGAGEMENTS 2026'!AE2902))))</f>
        <v/>
      </c>
      <c r="K2902" s="604">
        <f>IF(ISBLANK('ENGAGEMENTS 2026'!W2902),"",'ENGAGEMENTS 2026'!W2902)</f>
        <v/>
      </c>
      <c r="L2902" s="276">
        <f>IF($K2902="","",TODAY()-$K2902)</f>
        <v/>
      </c>
      <c r="M2902">
        <f>IF($A2902="","",IF($H2902="ENGAGE","Engagé",IF(AND($H2902="NON ENGAGE",OR($I2902="INFRUCTUEUX",$I2902="ANNULE")),"Clôturé sans suite","En cours")))</f>
        <v/>
      </c>
      <c r="N2902">
        <f>IF(ISBLANK('ENGAGEMENTS 2026'!C2902),"",'ENGAGEMENTS 2026'!L2902)</f>
        <v/>
      </c>
      <c r="O2902">
        <f>IF(ISBLANK('ENGAGEMENTS 2026'!C2902),"",'ENGAGEMENTS 2026'!M2902)</f>
        <v/>
      </c>
      <c r="P2902">
        <f>IF(ISBLANK('ENGAGEMENTS 2026'!C2902),"",'ENGAGEMENTS 2026'!K2902)</f>
        <v/>
      </c>
      <c r="Q2902">
        <f>IF($A2902="","",IF(OR($E2902="INFRUCTUEUX",$E2902="ANNULE"),$A2902&amp;"|"&amp;(COUNTIFS($A$2:$A2902,$A2902,$E$2:$E2902,"INFRUCTUEUX")+COUNTIFS($A$2:$A2902,$A2902,$E$2:$E2902,"ANNULE")),""))</f>
        <v/>
      </c>
    </row>
    <row r="2903">
      <c r="A2903">
        <f>IF(ISBLANK('ENGAGEMENTS 2026'!C2903),"",IF('ENGAGEMENTS 2026'!C2903="DTSI","DCT",'ENGAGEMENTS 2026'!C2903))</f>
        <v/>
      </c>
      <c r="B2903">
        <f>IF(ISBLANK('ENGAGEMENTS 2026'!C2903),"",'ENGAGEMENTS 2026'!D2903)</f>
        <v/>
      </c>
      <c r="C2903">
        <f>IF(ISBLANK('ENGAGEMENTS 2026'!C2903),"",'ENGAGEMENTS 2026'!E2903)</f>
        <v/>
      </c>
      <c r="D2903">
        <f>IF(ISBLANK('ENGAGEMENTS 2026'!C2903),"",'ENGAGEMENTS 2026'!G2903)</f>
        <v/>
      </c>
      <c r="E2903">
        <f>IF(ISBLANK('ENGAGEMENTS 2026'!C2903),"",'ENGAGEMENTS 2026'!I2903)</f>
        <v/>
      </c>
      <c r="F2903">
        <f>IF(ISBLANK('ENGAGEMENTS 2026'!C2903),"",'ENGAGEMENTS 2026'!J2903)</f>
        <v/>
      </c>
      <c r="G2903">
        <f>IF(ISBLANK('ENGAGEMENTS 2026'!C2903),"",'ENGAGEMENTS 2026'!M2903)</f>
        <v/>
      </c>
      <c r="H2903">
        <f>IF(ISBLANK('ENGAGEMENTS 2026'!C2903),"",'ENGAGEMENTS 2026'!AF2903)</f>
        <v/>
      </c>
      <c r="I2903">
        <f>IF(ISBLANK('ENGAGEMENTS 2026'!C2903),"",'ENGAGEMENTS 2026'!H2903)</f>
        <v/>
      </c>
      <c r="J2903" s="275">
        <f>IF(ISBLANK('ENGAGEMENTS 2026'!C2903),"",IF(AND(OR($E2903="INFRUCTUEUX",$E2903="ANNULE"),$C2903="AOO-M"),'ENGAGEMENTS 2026'!P2903,IF($H2903="EN COURS DE PREENGAGEMENT",'ENGAGEMENTS 2026'!O2903,IF($H2903="PREENGAGE",IF($E2903="ATTRIBUE",'ENGAGEMENTS 2026'!AE2903,'ENGAGEMENTS 2026'!O2903),'ENGAGEMENTS 2026'!AE2903))))</f>
        <v/>
      </c>
      <c r="K2903" s="604">
        <f>IF(ISBLANK('ENGAGEMENTS 2026'!W2903),"",'ENGAGEMENTS 2026'!W2903)</f>
        <v/>
      </c>
      <c r="L2903" s="276">
        <f>IF($K2903="","",TODAY()-$K2903)</f>
        <v/>
      </c>
      <c r="M2903">
        <f>IF($A2903="","",IF($H2903="ENGAGE","Engagé",IF(AND($H2903="NON ENGAGE",OR($I2903="INFRUCTUEUX",$I2903="ANNULE")),"Clôturé sans suite","En cours")))</f>
        <v/>
      </c>
      <c r="N2903">
        <f>IF(ISBLANK('ENGAGEMENTS 2026'!C2903),"",'ENGAGEMENTS 2026'!L2903)</f>
        <v/>
      </c>
      <c r="O2903">
        <f>IF(ISBLANK('ENGAGEMENTS 2026'!C2903),"",'ENGAGEMENTS 2026'!M2903)</f>
        <v/>
      </c>
      <c r="P2903">
        <f>IF(ISBLANK('ENGAGEMENTS 2026'!C2903),"",'ENGAGEMENTS 2026'!K2903)</f>
        <v/>
      </c>
      <c r="Q2903">
        <f>IF($A2903="","",IF(OR($E2903="INFRUCTUEUX",$E2903="ANNULE"),$A2903&amp;"|"&amp;(COUNTIFS($A$2:$A2903,$A2903,$E$2:$E2903,"INFRUCTUEUX")+COUNTIFS($A$2:$A2903,$A2903,$E$2:$E2903,"ANNULE")),""))</f>
        <v/>
      </c>
    </row>
    <row r="2904">
      <c r="A2904">
        <f>IF(ISBLANK('ENGAGEMENTS 2026'!C2904),"",IF('ENGAGEMENTS 2026'!C2904="DTSI","DCT",'ENGAGEMENTS 2026'!C2904))</f>
        <v/>
      </c>
      <c r="B2904">
        <f>IF(ISBLANK('ENGAGEMENTS 2026'!C2904),"",'ENGAGEMENTS 2026'!D2904)</f>
        <v/>
      </c>
      <c r="C2904">
        <f>IF(ISBLANK('ENGAGEMENTS 2026'!C2904),"",'ENGAGEMENTS 2026'!E2904)</f>
        <v/>
      </c>
      <c r="D2904">
        <f>IF(ISBLANK('ENGAGEMENTS 2026'!C2904),"",'ENGAGEMENTS 2026'!G2904)</f>
        <v/>
      </c>
      <c r="E2904">
        <f>IF(ISBLANK('ENGAGEMENTS 2026'!C2904),"",'ENGAGEMENTS 2026'!I2904)</f>
        <v/>
      </c>
      <c r="F2904">
        <f>IF(ISBLANK('ENGAGEMENTS 2026'!C2904),"",'ENGAGEMENTS 2026'!J2904)</f>
        <v/>
      </c>
      <c r="G2904">
        <f>IF(ISBLANK('ENGAGEMENTS 2026'!C2904),"",'ENGAGEMENTS 2026'!M2904)</f>
        <v/>
      </c>
      <c r="H2904">
        <f>IF(ISBLANK('ENGAGEMENTS 2026'!C2904),"",'ENGAGEMENTS 2026'!AF2904)</f>
        <v/>
      </c>
      <c r="I2904">
        <f>IF(ISBLANK('ENGAGEMENTS 2026'!C2904),"",'ENGAGEMENTS 2026'!H2904)</f>
        <v/>
      </c>
      <c r="J2904" s="275">
        <f>IF(ISBLANK('ENGAGEMENTS 2026'!C2904),"",IF(AND(OR($E2904="INFRUCTUEUX",$E2904="ANNULE"),$C2904="AOO-M"),'ENGAGEMENTS 2026'!P2904,IF($H2904="EN COURS DE PREENGAGEMENT",'ENGAGEMENTS 2026'!O2904,IF($H2904="PREENGAGE",IF($E2904="ATTRIBUE",'ENGAGEMENTS 2026'!AE2904,'ENGAGEMENTS 2026'!O2904),'ENGAGEMENTS 2026'!AE2904))))</f>
        <v/>
      </c>
      <c r="K2904" s="604">
        <f>IF(ISBLANK('ENGAGEMENTS 2026'!W2904),"",'ENGAGEMENTS 2026'!W2904)</f>
        <v/>
      </c>
      <c r="L2904" s="276">
        <f>IF($K2904="","",TODAY()-$K2904)</f>
        <v/>
      </c>
      <c r="M2904">
        <f>IF($A2904="","",IF($H2904="ENGAGE","Engagé",IF(AND($H2904="NON ENGAGE",OR($I2904="INFRUCTUEUX",$I2904="ANNULE")),"Clôturé sans suite","En cours")))</f>
        <v/>
      </c>
      <c r="N2904">
        <f>IF(ISBLANK('ENGAGEMENTS 2026'!C2904),"",'ENGAGEMENTS 2026'!L2904)</f>
        <v/>
      </c>
      <c r="O2904">
        <f>IF(ISBLANK('ENGAGEMENTS 2026'!C2904),"",'ENGAGEMENTS 2026'!M2904)</f>
        <v/>
      </c>
      <c r="P2904">
        <f>IF(ISBLANK('ENGAGEMENTS 2026'!C2904),"",'ENGAGEMENTS 2026'!K2904)</f>
        <v/>
      </c>
      <c r="Q2904">
        <f>IF($A2904="","",IF(OR($E2904="INFRUCTUEUX",$E2904="ANNULE"),$A2904&amp;"|"&amp;(COUNTIFS($A$2:$A2904,$A2904,$E$2:$E2904,"INFRUCTUEUX")+COUNTIFS($A$2:$A2904,$A2904,$E$2:$E2904,"ANNULE")),""))</f>
        <v/>
      </c>
    </row>
    <row r="2905">
      <c r="A2905">
        <f>IF(ISBLANK('ENGAGEMENTS 2026'!C2905),"",IF('ENGAGEMENTS 2026'!C2905="DTSI","DCT",'ENGAGEMENTS 2026'!C2905))</f>
        <v/>
      </c>
      <c r="B2905">
        <f>IF(ISBLANK('ENGAGEMENTS 2026'!C2905),"",'ENGAGEMENTS 2026'!D2905)</f>
        <v/>
      </c>
      <c r="C2905">
        <f>IF(ISBLANK('ENGAGEMENTS 2026'!C2905),"",'ENGAGEMENTS 2026'!E2905)</f>
        <v/>
      </c>
      <c r="D2905">
        <f>IF(ISBLANK('ENGAGEMENTS 2026'!C2905),"",'ENGAGEMENTS 2026'!G2905)</f>
        <v/>
      </c>
      <c r="E2905">
        <f>IF(ISBLANK('ENGAGEMENTS 2026'!C2905),"",'ENGAGEMENTS 2026'!I2905)</f>
        <v/>
      </c>
      <c r="F2905">
        <f>IF(ISBLANK('ENGAGEMENTS 2026'!C2905),"",'ENGAGEMENTS 2026'!J2905)</f>
        <v/>
      </c>
      <c r="G2905">
        <f>IF(ISBLANK('ENGAGEMENTS 2026'!C2905),"",'ENGAGEMENTS 2026'!M2905)</f>
        <v/>
      </c>
      <c r="H2905">
        <f>IF(ISBLANK('ENGAGEMENTS 2026'!C2905),"",'ENGAGEMENTS 2026'!AF2905)</f>
        <v/>
      </c>
      <c r="I2905">
        <f>IF(ISBLANK('ENGAGEMENTS 2026'!C2905),"",'ENGAGEMENTS 2026'!H2905)</f>
        <v/>
      </c>
      <c r="J2905" s="275">
        <f>IF(ISBLANK('ENGAGEMENTS 2026'!C2905),"",IF(AND(OR($E2905="INFRUCTUEUX",$E2905="ANNULE"),$C2905="AOO-M"),'ENGAGEMENTS 2026'!P2905,IF($H2905="EN COURS DE PREENGAGEMENT",'ENGAGEMENTS 2026'!O2905,IF($H2905="PREENGAGE",IF($E2905="ATTRIBUE",'ENGAGEMENTS 2026'!AE2905,'ENGAGEMENTS 2026'!O2905),'ENGAGEMENTS 2026'!AE2905))))</f>
        <v/>
      </c>
      <c r="K2905" s="604">
        <f>IF(ISBLANK('ENGAGEMENTS 2026'!W2905),"",'ENGAGEMENTS 2026'!W2905)</f>
        <v/>
      </c>
      <c r="L2905" s="276">
        <f>IF($K2905="","",TODAY()-$K2905)</f>
        <v/>
      </c>
      <c r="M2905">
        <f>IF($A2905="","",IF($H2905="ENGAGE","Engagé",IF(AND($H2905="NON ENGAGE",OR($I2905="INFRUCTUEUX",$I2905="ANNULE")),"Clôturé sans suite","En cours")))</f>
        <v/>
      </c>
      <c r="N2905">
        <f>IF(ISBLANK('ENGAGEMENTS 2026'!C2905),"",'ENGAGEMENTS 2026'!L2905)</f>
        <v/>
      </c>
      <c r="O2905">
        <f>IF(ISBLANK('ENGAGEMENTS 2026'!C2905),"",'ENGAGEMENTS 2026'!M2905)</f>
        <v/>
      </c>
      <c r="P2905">
        <f>IF(ISBLANK('ENGAGEMENTS 2026'!C2905),"",'ENGAGEMENTS 2026'!K2905)</f>
        <v/>
      </c>
      <c r="Q2905">
        <f>IF($A2905="","",IF(OR($E2905="INFRUCTUEUX",$E2905="ANNULE"),$A2905&amp;"|"&amp;(COUNTIFS($A$2:$A2905,$A2905,$E$2:$E2905,"INFRUCTUEUX")+COUNTIFS($A$2:$A2905,$A2905,$E$2:$E2905,"ANNULE")),""))</f>
        <v/>
      </c>
    </row>
    <row r="2906">
      <c r="A2906">
        <f>IF(ISBLANK('ENGAGEMENTS 2026'!C2906),"",IF('ENGAGEMENTS 2026'!C2906="DTSI","DCT",'ENGAGEMENTS 2026'!C2906))</f>
        <v/>
      </c>
      <c r="B2906">
        <f>IF(ISBLANK('ENGAGEMENTS 2026'!C2906),"",'ENGAGEMENTS 2026'!D2906)</f>
        <v/>
      </c>
      <c r="C2906">
        <f>IF(ISBLANK('ENGAGEMENTS 2026'!C2906),"",'ENGAGEMENTS 2026'!E2906)</f>
        <v/>
      </c>
      <c r="D2906">
        <f>IF(ISBLANK('ENGAGEMENTS 2026'!C2906),"",'ENGAGEMENTS 2026'!G2906)</f>
        <v/>
      </c>
      <c r="E2906">
        <f>IF(ISBLANK('ENGAGEMENTS 2026'!C2906),"",'ENGAGEMENTS 2026'!I2906)</f>
        <v/>
      </c>
      <c r="F2906">
        <f>IF(ISBLANK('ENGAGEMENTS 2026'!C2906),"",'ENGAGEMENTS 2026'!J2906)</f>
        <v/>
      </c>
      <c r="G2906">
        <f>IF(ISBLANK('ENGAGEMENTS 2026'!C2906),"",'ENGAGEMENTS 2026'!M2906)</f>
        <v/>
      </c>
      <c r="H2906">
        <f>IF(ISBLANK('ENGAGEMENTS 2026'!C2906),"",'ENGAGEMENTS 2026'!AF2906)</f>
        <v/>
      </c>
      <c r="I2906">
        <f>IF(ISBLANK('ENGAGEMENTS 2026'!C2906),"",'ENGAGEMENTS 2026'!H2906)</f>
        <v/>
      </c>
      <c r="J2906" s="275">
        <f>IF(ISBLANK('ENGAGEMENTS 2026'!C2906),"",IF(AND(OR($E2906="INFRUCTUEUX",$E2906="ANNULE"),$C2906="AOO-M"),'ENGAGEMENTS 2026'!P2906,IF($H2906="EN COURS DE PREENGAGEMENT",'ENGAGEMENTS 2026'!O2906,IF($H2906="PREENGAGE",IF($E2906="ATTRIBUE",'ENGAGEMENTS 2026'!AE2906,'ENGAGEMENTS 2026'!O2906),'ENGAGEMENTS 2026'!AE2906))))</f>
        <v/>
      </c>
      <c r="K2906" s="604">
        <f>IF(ISBLANK('ENGAGEMENTS 2026'!W2906),"",'ENGAGEMENTS 2026'!W2906)</f>
        <v/>
      </c>
      <c r="L2906" s="276">
        <f>IF($K2906="","",TODAY()-$K2906)</f>
        <v/>
      </c>
      <c r="M2906">
        <f>IF($A2906="","",IF($H2906="ENGAGE","Engagé",IF(AND($H2906="NON ENGAGE",OR($I2906="INFRUCTUEUX",$I2906="ANNULE")),"Clôturé sans suite","En cours")))</f>
        <v/>
      </c>
      <c r="N2906">
        <f>IF(ISBLANK('ENGAGEMENTS 2026'!C2906),"",'ENGAGEMENTS 2026'!L2906)</f>
        <v/>
      </c>
      <c r="O2906">
        <f>IF(ISBLANK('ENGAGEMENTS 2026'!C2906),"",'ENGAGEMENTS 2026'!M2906)</f>
        <v/>
      </c>
      <c r="P2906">
        <f>IF(ISBLANK('ENGAGEMENTS 2026'!C2906),"",'ENGAGEMENTS 2026'!K2906)</f>
        <v/>
      </c>
      <c r="Q2906">
        <f>IF($A2906="","",IF(OR($E2906="INFRUCTUEUX",$E2906="ANNULE"),$A2906&amp;"|"&amp;(COUNTIFS($A$2:$A2906,$A2906,$E$2:$E2906,"INFRUCTUEUX")+COUNTIFS($A$2:$A2906,$A2906,$E$2:$E2906,"ANNULE")),""))</f>
        <v/>
      </c>
    </row>
    <row r="2907">
      <c r="A2907">
        <f>IF(ISBLANK('ENGAGEMENTS 2026'!C2907),"",IF('ENGAGEMENTS 2026'!C2907="DTSI","DCT",'ENGAGEMENTS 2026'!C2907))</f>
        <v/>
      </c>
      <c r="B2907">
        <f>IF(ISBLANK('ENGAGEMENTS 2026'!C2907),"",'ENGAGEMENTS 2026'!D2907)</f>
        <v/>
      </c>
      <c r="C2907">
        <f>IF(ISBLANK('ENGAGEMENTS 2026'!C2907),"",'ENGAGEMENTS 2026'!E2907)</f>
        <v/>
      </c>
      <c r="D2907">
        <f>IF(ISBLANK('ENGAGEMENTS 2026'!C2907),"",'ENGAGEMENTS 2026'!G2907)</f>
        <v/>
      </c>
      <c r="E2907">
        <f>IF(ISBLANK('ENGAGEMENTS 2026'!C2907),"",'ENGAGEMENTS 2026'!I2907)</f>
        <v/>
      </c>
      <c r="F2907">
        <f>IF(ISBLANK('ENGAGEMENTS 2026'!C2907),"",'ENGAGEMENTS 2026'!J2907)</f>
        <v/>
      </c>
      <c r="G2907">
        <f>IF(ISBLANK('ENGAGEMENTS 2026'!C2907),"",'ENGAGEMENTS 2026'!M2907)</f>
        <v/>
      </c>
      <c r="H2907">
        <f>IF(ISBLANK('ENGAGEMENTS 2026'!C2907),"",'ENGAGEMENTS 2026'!AF2907)</f>
        <v/>
      </c>
      <c r="I2907">
        <f>IF(ISBLANK('ENGAGEMENTS 2026'!C2907),"",'ENGAGEMENTS 2026'!H2907)</f>
        <v/>
      </c>
      <c r="J2907" s="275">
        <f>IF(ISBLANK('ENGAGEMENTS 2026'!C2907),"",IF(AND(OR($E2907="INFRUCTUEUX",$E2907="ANNULE"),$C2907="AOO-M"),'ENGAGEMENTS 2026'!P2907,IF($H2907="EN COURS DE PREENGAGEMENT",'ENGAGEMENTS 2026'!O2907,IF($H2907="PREENGAGE",IF($E2907="ATTRIBUE",'ENGAGEMENTS 2026'!AE2907,'ENGAGEMENTS 2026'!O2907),'ENGAGEMENTS 2026'!AE2907))))</f>
        <v/>
      </c>
      <c r="K2907" s="604">
        <f>IF(ISBLANK('ENGAGEMENTS 2026'!W2907),"",'ENGAGEMENTS 2026'!W2907)</f>
        <v/>
      </c>
      <c r="L2907" s="276">
        <f>IF($K2907="","",TODAY()-$K2907)</f>
        <v/>
      </c>
      <c r="M2907">
        <f>IF($A2907="","",IF($H2907="ENGAGE","Engagé",IF(AND($H2907="NON ENGAGE",OR($I2907="INFRUCTUEUX",$I2907="ANNULE")),"Clôturé sans suite","En cours")))</f>
        <v/>
      </c>
      <c r="N2907">
        <f>IF(ISBLANK('ENGAGEMENTS 2026'!C2907),"",'ENGAGEMENTS 2026'!L2907)</f>
        <v/>
      </c>
      <c r="O2907">
        <f>IF(ISBLANK('ENGAGEMENTS 2026'!C2907),"",'ENGAGEMENTS 2026'!M2907)</f>
        <v/>
      </c>
      <c r="P2907">
        <f>IF(ISBLANK('ENGAGEMENTS 2026'!C2907),"",'ENGAGEMENTS 2026'!K2907)</f>
        <v/>
      </c>
      <c r="Q2907">
        <f>IF($A2907="","",IF(OR($E2907="INFRUCTUEUX",$E2907="ANNULE"),$A2907&amp;"|"&amp;(COUNTIFS($A$2:$A2907,$A2907,$E$2:$E2907,"INFRUCTUEUX")+COUNTIFS($A$2:$A2907,$A2907,$E$2:$E2907,"ANNULE")),""))</f>
        <v/>
      </c>
    </row>
    <row r="2908">
      <c r="A2908">
        <f>IF(ISBLANK('ENGAGEMENTS 2026'!C2908),"",IF('ENGAGEMENTS 2026'!C2908="DTSI","DCT",'ENGAGEMENTS 2026'!C2908))</f>
        <v/>
      </c>
      <c r="B2908">
        <f>IF(ISBLANK('ENGAGEMENTS 2026'!C2908),"",'ENGAGEMENTS 2026'!D2908)</f>
        <v/>
      </c>
      <c r="C2908">
        <f>IF(ISBLANK('ENGAGEMENTS 2026'!C2908),"",'ENGAGEMENTS 2026'!E2908)</f>
        <v/>
      </c>
      <c r="D2908">
        <f>IF(ISBLANK('ENGAGEMENTS 2026'!C2908),"",'ENGAGEMENTS 2026'!G2908)</f>
        <v/>
      </c>
      <c r="E2908">
        <f>IF(ISBLANK('ENGAGEMENTS 2026'!C2908),"",'ENGAGEMENTS 2026'!I2908)</f>
        <v/>
      </c>
      <c r="F2908">
        <f>IF(ISBLANK('ENGAGEMENTS 2026'!C2908),"",'ENGAGEMENTS 2026'!J2908)</f>
        <v/>
      </c>
      <c r="G2908">
        <f>IF(ISBLANK('ENGAGEMENTS 2026'!C2908),"",'ENGAGEMENTS 2026'!M2908)</f>
        <v/>
      </c>
      <c r="H2908">
        <f>IF(ISBLANK('ENGAGEMENTS 2026'!C2908),"",'ENGAGEMENTS 2026'!AF2908)</f>
        <v/>
      </c>
      <c r="I2908">
        <f>IF(ISBLANK('ENGAGEMENTS 2026'!C2908),"",'ENGAGEMENTS 2026'!H2908)</f>
        <v/>
      </c>
      <c r="J2908" s="275">
        <f>IF(ISBLANK('ENGAGEMENTS 2026'!C2908),"",IF(AND(OR($E2908="INFRUCTUEUX",$E2908="ANNULE"),$C2908="AOO-M"),'ENGAGEMENTS 2026'!P2908,IF($H2908="EN COURS DE PREENGAGEMENT",'ENGAGEMENTS 2026'!O2908,IF($H2908="PREENGAGE",IF($E2908="ATTRIBUE",'ENGAGEMENTS 2026'!AE2908,'ENGAGEMENTS 2026'!O2908),'ENGAGEMENTS 2026'!AE2908))))</f>
        <v/>
      </c>
      <c r="K2908" s="604">
        <f>IF(ISBLANK('ENGAGEMENTS 2026'!W2908),"",'ENGAGEMENTS 2026'!W2908)</f>
        <v/>
      </c>
      <c r="L2908" s="276">
        <f>IF($K2908="","",TODAY()-$K2908)</f>
        <v/>
      </c>
      <c r="M2908">
        <f>IF($A2908="","",IF($H2908="ENGAGE","Engagé",IF(AND($H2908="NON ENGAGE",OR($I2908="INFRUCTUEUX",$I2908="ANNULE")),"Clôturé sans suite","En cours")))</f>
        <v/>
      </c>
      <c r="N2908">
        <f>IF(ISBLANK('ENGAGEMENTS 2026'!C2908),"",'ENGAGEMENTS 2026'!L2908)</f>
        <v/>
      </c>
      <c r="O2908">
        <f>IF(ISBLANK('ENGAGEMENTS 2026'!C2908),"",'ENGAGEMENTS 2026'!M2908)</f>
        <v/>
      </c>
      <c r="P2908">
        <f>IF(ISBLANK('ENGAGEMENTS 2026'!C2908),"",'ENGAGEMENTS 2026'!K2908)</f>
        <v/>
      </c>
      <c r="Q2908">
        <f>IF($A2908="","",IF(OR($E2908="INFRUCTUEUX",$E2908="ANNULE"),$A2908&amp;"|"&amp;(COUNTIFS($A$2:$A2908,$A2908,$E$2:$E2908,"INFRUCTUEUX")+COUNTIFS($A$2:$A2908,$A2908,$E$2:$E2908,"ANNULE")),""))</f>
        <v/>
      </c>
    </row>
    <row r="2909">
      <c r="A2909">
        <f>IF(ISBLANK('ENGAGEMENTS 2026'!C2909),"",IF('ENGAGEMENTS 2026'!C2909="DTSI","DCT",'ENGAGEMENTS 2026'!C2909))</f>
        <v/>
      </c>
      <c r="B2909">
        <f>IF(ISBLANK('ENGAGEMENTS 2026'!C2909),"",'ENGAGEMENTS 2026'!D2909)</f>
        <v/>
      </c>
      <c r="C2909">
        <f>IF(ISBLANK('ENGAGEMENTS 2026'!C2909),"",'ENGAGEMENTS 2026'!E2909)</f>
        <v/>
      </c>
      <c r="D2909">
        <f>IF(ISBLANK('ENGAGEMENTS 2026'!C2909),"",'ENGAGEMENTS 2026'!G2909)</f>
        <v/>
      </c>
      <c r="E2909">
        <f>IF(ISBLANK('ENGAGEMENTS 2026'!C2909),"",'ENGAGEMENTS 2026'!I2909)</f>
        <v/>
      </c>
      <c r="F2909">
        <f>IF(ISBLANK('ENGAGEMENTS 2026'!C2909),"",'ENGAGEMENTS 2026'!J2909)</f>
        <v/>
      </c>
      <c r="G2909">
        <f>IF(ISBLANK('ENGAGEMENTS 2026'!C2909),"",'ENGAGEMENTS 2026'!M2909)</f>
        <v/>
      </c>
      <c r="H2909">
        <f>IF(ISBLANK('ENGAGEMENTS 2026'!C2909),"",'ENGAGEMENTS 2026'!AF2909)</f>
        <v/>
      </c>
      <c r="I2909">
        <f>IF(ISBLANK('ENGAGEMENTS 2026'!C2909),"",'ENGAGEMENTS 2026'!H2909)</f>
        <v/>
      </c>
      <c r="J2909" s="275">
        <f>IF(ISBLANK('ENGAGEMENTS 2026'!C2909),"",IF(AND(OR($E2909="INFRUCTUEUX",$E2909="ANNULE"),$C2909="AOO-M"),'ENGAGEMENTS 2026'!P2909,IF($H2909="EN COURS DE PREENGAGEMENT",'ENGAGEMENTS 2026'!O2909,IF($H2909="PREENGAGE",IF($E2909="ATTRIBUE",'ENGAGEMENTS 2026'!AE2909,'ENGAGEMENTS 2026'!O2909),'ENGAGEMENTS 2026'!AE2909))))</f>
        <v/>
      </c>
      <c r="K2909" s="604">
        <f>IF(ISBLANK('ENGAGEMENTS 2026'!W2909),"",'ENGAGEMENTS 2026'!W2909)</f>
        <v/>
      </c>
      <c r="L2909" s="276">
        <f>IF($K2909="","",TODAY()-$K2909)</f>
        <v/>
      </c>
      <c r="M2909">
        <f>IF($A2909="","",IF($H2909="ENGAGE","Engagé",IF(AND($H2909="NON ENGAGE",OR($I2909="INFRUCTUEUX",$I2909="ANNULE")),"Clôturé sans suite","En cours")))</f>
        <v/>
      </c>
      <c r="N2909">
        <f>IF(ISBLANK('ENGAGEMENTS 2026'!C2909),"",'ENGAGEMENTS 2026'!L2909)</f>
        <v/>
      </c>
      <c r="O2909">
        <f>IF(ISBLANK('ENGAGEMENTS 2026'!C2909),"",'ENGAGEMENTS 2026'!M2909)</f>
        <v/>
      </c>
      <c r="P2909">
        <f>IF(ISBLANK('ENGAGEMENTS 2026'!C2909),"",'ENGAGEMENTS 2026'!K2909)</f>
        <v/>
      </c>
      <c r="Q2909">
        <f>IF($A2909="","",IF(OR($E2909="INFRUCTUEUX",$E2909="ANNULE"),$A2909&amp;"|"&amp;(COUNTIFS($A$2:$A2909,$A2909,$E$2:$E2909,"INFRUCTUEUX")+COUNTIFS($A$2:$A2909,$A2909,$E$2:$E2909,"ANNULE")),""))</f>
        <v/>
      </c>
    </row>
    <row r="2910">
      <c r="A2910">
        <f>IF(ISBLANK('ENGAGEMENTS 2026'!C2910),"",IF('ENGAGEMENTS 2026'!C2910="DTSI","DCT",'ENGAGEMENTS 2026'!C2910))</f>
        <v/>
      </c>
      <c r="B2910">
        <f>IF(ISBLANK('ENGAGEMENTS 2026'!C2910),"",'ENGAGEMENTS 2026'!D2910)</f>
        <v/>
      </c>
      <c r="C2910">
        <f>IF(ISBLANK('ENGAGEMENTS 2026'!C2910),"",'ENGAGEMENTS 2026'!E2910)</f>
        <v/>
      </c>
      <c r="D2910">
        <f>IF(ISBLANK('ENGAGEMENTS 2026'!C2910),"",'ENGAGEMENTS 2026'!G2910)</f>
        <v/>
      </c>
      <c r="E2910">
        <f>IF(ISBLANK('ENGAGEMENTS 2026'!C2910),"",'ENGAGEMENTS 2026'!I2910)</f>
        <v/>
      </c>
      <c r="F2910">
        <f>IF(ISBLANK('ENGAGEMENTS 2026'!C2910),"",'ENGAGEMENTS 2026'!J2910)</f>
        <v/>
      </c>
      <c r="G2910">
        <f>IF(ISBLANK('ENGAGEMENTS 2026'!C2910),"",'ENGAGEMENTS 2026'!M2910)</f>
        <v/>
      </c>
      <c r="H2910">
        <f>IF(ISBLANK('ENGAGEMENTS 2026'!C2910),"",'ENGAGEMENTS 2026'!AF2910)</f>
        <v/>
      </c>
      <c r="I2910">
        <f>IF(ISBLANK('ENGAGEMENTS 2026'!C2910),"",'ENGAGEMENTS 2026'!H2910)</f>
        <v/>
      </c>
      <c r="J2910" s="275">
        <f>IF(ISBLANK('ENGAGEMENTS 2026'!C2910),"",IF(AND(OR($E2910="INFRUCTUEUX",$E2910="ANNULE"),$C2910="AOO-M"),'ENGAGEMENTS 2026'!P2910,IF($H2910="EN COURS DE PREENGAGEMENT",'ENGAGEMENTS 2026'!O2910,IF($H2910="PREENGAGE",IF($E2910="ATTRIBUE",'ENGAGEMENTS 2026'!AE2910,'ENGAGEMENTS 2026'!O2910),'ENGAGEMENTS 2026'!AE2910))))</f>
        <v/>
      </c>
      <c r="K2910" s="604">
        <f>IF(ISBLANK('ENGAGEMENTS 2026'!W2910),"",'ENGAGEMENTS 2026'!W2910)</f>
        <v/>
      </c>
      <c r="L2910" s="276">
        <f>IF($K2910="","",TODAY()-$K2910)</f>
        <v/>
      </c>
      <c r="M2910">
        <f>IF($A2910="","",IF($H2910="ENGAGE","Engagé",IF(AND($H2910="NON ENGAGE",OR($I2910="INFRUCTUEUX",$I2910="ANNULE")),"Clôturé sans suite","En cours")))</f>
        <v/>
      </c>
      <c r="N2910">
        <f>IF(ISBLANK('ENGAGEMENTS 2026'!C2910),"",'ENGAGEMENTS 2026'!L2910)</f>
        <v/>
      </c>
      <c r="O2910">
        <f>IF(ISBLANK('ENGAGEMENTS 2026'!C2910),"",'ENGAGEMENTS 2026'!M2910)</f>
        <v/>
      </c>
      <c r="P2910">
        <f>IF(ISBLANK('ENGAGEMENTS 2026'!C2910),"",'ENGAGEMENTS 2026'!K2910)</f>
        <v/>
      </c>
      <c r="Q2910">
        <f>IF($A2910="","",IF(OR($E2910="INFRUCTUEUX",$E2910="ANNULE"),$A2910&amp;"|"&amp;(COUNTIFS($A$2:$A2910,$A2910,$E$2:$E2910,"INFRUCTUEUX")+COUNTIFS($A$2:$A2910,$A2910,$E$2:$E2910,"ANNULE")),""))</f>
        <v/>
      </c>
    </row>
    <row r="2911">
      <c r="A2911">
        <f>IF(ISBLANK('ENGAGEMENTS 2026'!C2911),"",IF('ENGAGEMENTS 2026'!C2911="DTSI","DCT",'ENGAGEMENTS 2026'!C2911))</f>
        <v/>
      </c>
      <c r="B2911">
        <f>IF(ISBLANK('ENGAGEMENTS 2026'!C2911),"",'ENGAGEMENTS 2026'!D2911)</f>
        <v/>
      </c>
      <c r="C2911">
        <f>IF(ISBLANK('ENGAGEMENTS 2026'!C2911),"",'ENGAGEMENTS 2026'!E2911)</f>
        <v/>
      </c>
      <c r="D2911">
        <f>IF(ISBLANK('ENGAGEMENTS 2026'!C2911),"",'ENGAGEMENTS 2026'!G2911)</f>
        <v/>
      </c>
      <c r="E2911">
        <f>IF(ISBLANK('ENGAGEMENTS 2026'!C2911),"",'ENGAGEMENTS 2026'!I2911)</f>
        <v/>
      </c>
      <c r="F2911">
        <f>IF(ISBLANK('ENGAGEMENTS 2026'!C2911),"",'ENGAGEMENTS 2026'!J2911)</f>
        <v/>
      </c>
      <c r="G2911">
        <f>IF(ISBLANK('ENGAGEMENTS 2026'!C2911),"",'ENGAGEMENTS 2026'!M2911)</f>
        <v/>
      </c>
      <c r="H2911">
        <f>IF(ISBLANK('ENGAGEMENTS 2026'!C2911),"",'ENGAGEMENTS 2026'!AF2911)</f>
        <v/>
      </c>
      <c r="I2911">
        <f>IF(ISBLANK('ENGAGEMENTS 2026'!C2911),"",'ENGAGEMENTS 2026'!H2911)</f>
        <v/>
      </c>
      <c r="J2911" s="275">
        <f>IF(ISBLANK('ENGAGEMENTS 2026'!C2911),"",IF(AND(OR($E2911="INFRUCTUEUX",$E2911="ANNULE"),$C2911="AOO-M"),'ENGAGEMENTS 2026'!P2911,IF($H2911="EN COURS DE PREENGAGEMENT",'ENGAGEMENTS 2026'!O2911,IF($H2911="PREENGAGE",IF($E2911="ATTRIBUE",'ENGAGEMENTS 2026'!AE2911,'ENGAGEMENTS 2026'!O2911),'ENGAGEMENTS 2026'!AE2911))))</f>
        <v/>
      </c>
      <c r="K2911" s="604">
        <f>IF(ISBLANK('ENGAGEMENTS 2026'!W2911),"",'ENGAGEMENTS 2026'!W2911)</f>
        <v/>
      </c>
      <c r="L2911" s="276">
        <f>IF($K2911="","",TODAY()-$K2911)</f>
        <v/>
      </c>
      <c r="M2911">
        <f>IF($A2911="","",IF($H2911="ENGAGE","Engagé",IF(AND($H2911="NON ENGAGE",OR($I2911="INFRUCTUEUX",$I2911="ANNULE")),"Clôturé sans suite","En cours")))</f>
        <v/>
      </c>
      <c r="N2911">
        <f>IF(ISBLANK('ENGAGEMENTS 2026'!C2911),"",'ENGAGEMENTS 2026'!L2911)</f>
        <v/>
      </c>
      <c r="O2911">
        <f>IF(ISBLANK('ENGAGEMENTS 2026'!C2911),"",'ENGAGEMENTS 2026'!M2911)</f>
        <v/>
      </c>
      <c r="P2911">
        <f>IF(ISBLANK('ENGAGEMENTS 2026'!C2911),"",'ENGAGEMENTS 2026'!K2911)</f>
        <v/>
      </c>
      <c r="Q2911">
        <f>IF($A2911="","",IF(OR($E2911="INFRUCTUEUX",$E2911="ANNULE"),$A2911&amp;"|"&amp;(COUNTIFS($A$2:$A2911,$A2911,$E$2:$E2911,"INFRUCTUEUX")+COUNTIFS($A$2:$A2911,$A2911,$E$2:$E2911,"ANNULE")),""))</f>
        <v/>
      </c>
    </row>
    <row r="2912">
      <c r="A2912">
        <f>IF(ISBLANK('ENGAGEMENTS 2026'!C2912),"",IF('ENGAGEMENTS 2026'!C2912="DTSI","DCT",'ENGAGEMENTS 2026'!C2912))</f>
        <v/>
      </c>
      <c r="B2912">
        <f>IF(ISBLANK('ENGAGEMENTS 2026'!C2912),"",'ENGAGEMENTS 2026'!D2912)</f>
        <v/>
      </c>
      <c r="C2912">
        <f>IF(ISBLANK('ENGAGEMENTS 2026'!C2912),"",'ENGAGEMENTS 2026'!E2912)</f>
        <v/>
      </c>
      <c r="D2912">
        <f>IF(ISBLANK('ENGAGEMENTS 2026'!C2912),"",'ENGAGEMENTS 2026'!G2912)</f>
        <v/>
      </c>
      <c r="E2912">
        <f>IF(ISBLANK('ENGAGEMENTS 2026'!C2912),"",'ENGAGEMENTS 2026'!I2912)</f>
        <v/>
      </c>
      <c r="F2912">
        <f>IF(ISBLANK('ENGAGEMENTS 2026'!C2912),"",'ENGAGEMENTS 2026'!J2912)</f>
        <v/>
      </c>
      <c r="G2912">
        <f>IF(ISBLANK('ENGAGEMENTS 2026'!C2912),"",'ENGAGEMENTS 2026'!M2912)</f>
        <v/>
      </c>
      <c r="H2912">
        <f>IF(ISBLANK('ENGAGEMENTS 2026'!C2912),"",'ENGAGEMENTS 2026'!AF2912)</f>
        <v/>
      </c>
      <c r="I2912">
        <f>IF(ISBLANK('ENGAGEMENTS 2026'!C2912),"",'ENGAGEMENTS 2026'!H2912)</f>
        <v/>
      </c>
      <c r="J2912" s="275">
        <f>IF(ISBLANK('ENGAGEMENTS 2026'!C2912),"",IF(AND(OR($E2912="INFRUCTUEUX",$E2912="ANNULE"),$C2912="AOO-M"),'ENGAGEMENTS 2026'!P2912,IF($H2912="EN COURS DE PREENGAGEMENT",'ENGAGEMENTS 2026'!O2912,IF($H2912="PREENGAGE",IF($E2912="ATTRIBUE",'ENGAGEMENTS 2026'!AE2912,'ENGAGEMENTS 2026'!O2912),'ENGAGEMENTS 2026'!AE2912))))</f>
        <v/>
      </c>
      <c r="K2912" s="604">
        <f>IF(ISBLANK('ENGAGEMENTS 2026'!W2912),"",'ENGAGEMENTS 2026'!W2912)</f>
        <v/>
      </c>
      <c r="L2912" s="276">
        <f>IF($K2912="","",TODAY()-$K2912)</f>
        <v/>
      </c>
      <c r="M2912">
        <f>IF($A2912="","",IF($H2912="ENGAGE","Engagé",IF(AND($H2912="NON ENGAGE",OR($I2912="INFRUCTUEUX",$I2912="ANNULE")),"Clôturé sans suite","En cours")))</f>
        <v/>
      </c>
      <c r="N2912">
        <f>IF(ISBLANK('ENGAGEMENTS 2026'!C2912),"",'ENGAGEMENTS 2026'!L2912)</f>
        <v/>
      </c>
      <c r="O2912">
        <f>IF(ISBLANK('ENGAGEMENTS 2026'!C2912),"",'ENGAGEMENTS 2026'!M2912)</f>
        <v/>
      </c>
      <c r="P2912">
        <f>IF(ISBLANK('ENGAGEMENTS 2026'!C2912),"",'ENGAGEMENTS 2026'!K2912)</f>
        <v/>
      </c>
      <c r="Q2912">
        <f>IF($A2912="","",IF(OR($E2912="INFRUCTUEUX",$E2912="ANNULE"),$A2912&amp;"|"&amp;(COUNTIFS($A$2:$A2912,$A2912,$E$2:$E2912,"INFRUCTUEUX")+COUNTIFS($A$2:$A2912,$A2912,$E$2:$E2912,"ANNULE")),""))</f>
        <v/>
      </c>
    </row>
    <row r="2913">
      <c r="A2913">
        <f>IF(ISBLANK('ENGAGEMENTS 2026'!C2913),"",IF('ENGAGEMENTS 2026'!C2913="DTSI","DCT",'ENGAGEMENTS 2026'!C2913))</f>
        <v/>
      </c>
      <c r="B2913">
        <f>IF(ISBLANK('ENGAGEMENTS 2026'!C2913),"",'ENGAGEMENTS 2026'!D2913)</f>
        <v/>
      </c>
      <c r="C2913">
        <f>IF(ISBLANK('ENGAGEMENTS 2026'!C2913),"",'ENGAGEMENTS 2026'!E2913)</f>
        <v/>
      </c>
      <c r="D2913">
        <f>IF(ISBLANK('ENGAGEMENTS 2026'!C2913),"",'ENGAGEMENTS 2026'!G2913)</f>
        <v/>
      </c>
      <c r="E2913">
        <f>IF(ISBLANK('ENGAGEMENTS 2026'!C2913),"",'ENGAGEMENTS 2026'!I2913)</f>
        <v/>
      </c>
      <c r="F2913">
        <f>IF(ISBLANK('ENGAGEMENTS 2026'!C2913),"",'ENGAGEMENTS 2026'!J2913)</f>
        <v/>
      </c>
      <c r="G2913">
        <f>IF(ISBLANK('ENGAGEMENTS 2026'!C2913),"",'ENGAGEMENTS 2026'!M2913)</f>
        <v/>
      </c>
      <c r="H2913">
        <f>IF(ISBLANK('ENGAGEMENTS 2026'!C2913),"",'ENGAGEMENTS 2026'!AF2913)</f>
        <v/>
      </c>
      <c r="I2913">
        <f>IF(ISBLANK('ENGAGEMENTS 2026'!C2913),"",'ENGAGEMENTS 2026'!H2913)</f>
        <v/>
      </c>
      <c r="J2913" s="275">
        <f>IF(ISBLANK('ENGAGEMENTS 2026'!C2913),"",IF(AND(OR($E2913="INFRUCTUEUX",$E2913="ANNULE"),$C2913="AOO-M"),'ENGAGEMENTS 2026'!P2913,IF($H2913="EN COURS DE PREENGAGEMENT",'ENGAGEMENTS 2026'!O2913,IF($H2913="PREENGAGE",IF($E2913="ATTRIBUE",'ENGAGEMENTS 2026'!AE2913,'ENGAGEMENTS 2026'!O2913),'ENGAGEMENTS 2026'!AE2913))))</f>
        <v/>
      </c>
      <c r="K2913" s="604">
        <f>IF(ISBLANK('ENGAGEMENTS 2026'!W2913),"",'ENGAGEMENTS 2026'!W2913)</f>
        <v/>
      </c>
      <c r="L2913" s="276">
        <f>IF($K2913="","",TODAY()-$K2913)</f>
        <v/>
      </c>
      <c r="M2913">
        <f>IF($A2913="","",IF($H2913="ENGAGE","Engagé",IF(AND($H2913="NON ENGAGE",OR($I2913="INFRUCTUEUX",$I2913="ANNULE")),"Clôturé sans suite","En cours")))</f>
        <v/>
      </c>
      <c r="N2913">
        <f>IF(ISBLANK('ENGAGEMENTS 2026'!C2913),"",'ENGAGEMENTS 2026'!L2913)</f>
        <v/>
      </c>
      <c r="O2913">
        <f>IF(ISBLANK('ENGAGEMENTS 2026'!C2913),"",'ENGAGEMENTS 2026'!M2913)</f>
        <v/>
      </c>
      <c r="P2913">
        <f>IF(ISBLANK('ENGAGEMENTS 2026'!C2913),"",'ENGAGEMENTS 2026'!K2913)</f>
        <v/>
      </c>
      <c r="Q2913">
        <f>IF($A2913="","",IF(OR($E2913="INFRUCTUEUX",$E2913="ANNULE"),$A2913&amp;"|"&amp;(COUNTIFS($A$2:$A2913,$A2913,$E$2:$E2913,"INFRUCTUEUX")+COUNTIFS($A$2:$A2913,$A2913,$E$2:$E2913,"ANNULE")),""))</f>
        <v/>
      </c>
    </row>
    <row r="2914">
      <c r="A2914">
        <f>IF(ISBLANK('ENGAGEMENTS 2026'!C2914),"",IF('ENGAGEMENTS 2026'!C2914="DTSI","DCT",'ENGAGEMENTS 2026'!C2914))</f>
        <v/>
      </c>
      <c r="B2914">
        <f>IF(ISBLANK('ENGAGEMENTS 2026'!C2914),"",'ENGAGEMENTS 2026'!D2914)</f>
        <v/>
      </c>
      <c r="C2914">
        <f>IF(ISBLANK('ENGAGEMENTS 2026'!C2914),"",'ENGAGEMENTS 2026'!E2914)</f>
        <v/>
      </c>
      <c r="D2914">
        <f>IF(ISBLANK('ENGAGEMENTS 2026'!C2914),"",'ENGAGEMENTS 2026'!G2914)</f>
        <v/>
      </c>
      <c r="E2914">
        <f>IF(ISBLANK('ENGAGEMENTS 2026'!C2914),"",'ENGAGEMENTS 2026'!I2914)</f>
        <v/>
      </c>
      <c r="F2914">
        <f>IF(ISBLANK('ENGAGEMENTS 2026'!C2914),"",'ENGAGEMENTS 2026'!J2914)</f>
        <v/>
      </c>
      <c r="G2914">
        <f>IF(ISBLANK('ENGAGEMENTS 2026'!C2914),"",'ENGAGEMENTS 2026'!M2914)</f>
        <v/>
      </c>
      <c r="H2914">
        <f>IF(ISBLANK('ENGAGEMENTS 2026'!C2914),"",'ENGAGEMENTS 2026'!AF2914)</f>
        <v/>
      </c>
      <c r="I2914">
        <f>IF(ISBLANK('ENGAGEMENTS 2026'!C2914),"",'ENGAGEMENTS 2026'!H2914)</f>
        <v/>
      </c>
      <c r="J2914" s="275">
        <f>IF(ISBLANK('ENGAGEMENTS 2026'!C2914),"",IF(AND(OR($E2914="INFRUCTUEUX",$E2914="ANNULE"),$C2914="AOO-M"),'ENGAGEMENTS 2026'!P2914,IF($H2914="EN COURS DE PREENGAGEMENT",'ENGAGEMENTS 2026'!O2914,IF($H2914="PREENGAGE",IF($E2914="ATTRIBUE",'ENGAGEMENTS 2026'!AE2914,'ENGAGEMENTS 2026'!O2914),'ENGAGEMENTS 2026'!AE2914))))</f>
        <v/>
      </c>
      <c r="K2914" s="604">
        <f>IF(ISBLANK('ENGAGEMENTS 2026'!W2914),"",'ENGAGEMENTS 2026'!W2914)</f>
        <v/>
      </c>
      <c r="L2914" s="276">
        <f>IF($K2914="","",TODAY()-$K2914)</f>
        <v/>
      </c>
      <c r="M2914">
        <f>IF($A2914="","",IF($H2914="ENGAGE","Engagé",IF(AND($H2914="NON ENGAGE",OR($I2914="INFRUCTUEUX",$I2914="ANNULE")),"Clôturé sans suite","En cours")))</f>
        <v/>
      </c>
      <c r="N2914">
        <f>IF(ISBLANK('ENGAGEMENTS 2026'!C2914),"",'ENGAGEMENTS 2026'!L2914)</f>
        <v/>
      </c>
      <c r="O2914">
        <f>IF(ISBLANK('ENGAGEMENTS 2026'!C2914),"",'ENGAGEMENTS 2026'!M2914)</f>
        <v/>
      </c>
      <c r="P2914">
        <f>IF(ISBLANK('ENGAGEMENTS 2026'!C2914),"",'ENGAGEMENTS 2026'!K2914)</f>
        <v/>
      </c>
      <c r="Q2914">
        <f>IF($A2914="","",IF(OR($E2914="INFRUCTUEUX",$E2914="ANNULE"),$A2914&amp;"|"&amp;(COUNTIFS($A$2:$A2914,$A2914,$E$2:$E2914,"INFRUCTUEUX")+COUNTIFS($A$2:$A2914,$A2914,$E$2:$E2914,"ANNULE")),""))</f>
        <v/>
      </c>
    </row>
    <row r="2915">
      <c r="A2915">
        <f>IF(ISBLANK('ENGAGEMENTS 2026'!C2915),"",IF('ENGAGEMENTS 2026'!C2915="DTSI","DCT",'ENGAGEMENTS 2026'!C2915))</f>
        <v/>
      </c>
      <c r="B2915">
        <f>IF(ISBLANK('ENGAGEMENTS 2026'!C2915),"",'ENGAGEMENTS 2026'!D2915)</f>
        <v/>
      </c>
      <c r="C2915">
        <f>IF(ISBLANK('ENGAGEMENTS 2026'!C2915),"",'ENGAGEMENTS 2026'!E2915)</f>
        <v/>
      </c>
      <c r="D2915">
        <f>IF(ISBLANK('ENGAGEMENTS 2026'!C2915),"",'ENGAGEMENTS 2026'!G2915)</f>
        <v/>
      </c>
      <c r="E2915">
        <f>IF(ISBLANK('ENGAGEMENTS 2026'!C2915),"",'ENGAGEMENTS 2026'!I2915)</f>
        <v/>
      </c>
      <c r="F2915">
        <f>IF(ISBLANK('ENGAGEMENTS 2026'!C2915),"",'ENGAGEMENTS 2026'!J2915)</f>
        <v/>
      </c>
      <c r="G2915">
        <f>IF(ISBLANK('ENGAGEMENTS 2026'!C2915),"",'ENGAGEMENTS 2026'!M2915)</f>
        <v/>
      </c>
      <c r="H2915">
        <f>IF(ISBLANK('ENGAGEMENTS 2026'!C2915),"",'ENGAGEMENTS 2026'!AF2915)</f>
        <v/>
      </c>
      <c r="I2915">
        <f>IF(ISBLANK('ENGAGEMENTS 2026'!C2915),"",'ENGAGEMENTS 2026'!H2915)</f>
        <v/>
      </c>
      <c r="J2915" s="275">
        <f>IF(ISBLANK('ENGAGEMENTS 2026'!C2915),"",IF(AND(OR($E2915="INFRUCTUEUX",$E2915="ANNULE"),$C2915="AOO-M"),'ENGAGEMENTS 2026'!P2915,IF($H2915="EN COURS DE PREENGAGEMENT",'ENGAGEMENTS 2026'!O2915,IF($H2915="PREENGAGE",IF($E2915="ATTRIBUE",'ENGAGEMENTS 2026'!AE2915,'ENGAGEMENTS 2026'!O2915),'ENGAGEMENTS 2026'!AE2915))))</f>
        <v/>
      </c>
      <c r="K2915" s="604">
        <f>IF(ISBLANK('ENGAGEMENTS 2026'!W2915),"",'ENGAGEMENTS 2026'!W2915)</f>
        <v/>
      </c>
      <c r="L2915" s="276">
        <f>IF($K2915="","",TODAY()-$K2915)</f>
        <v/>
      </c>
      <c r="M2915">
        <f>IF($A2915="","",IF($H2915="ENGAGE","Engagé",IF(AND($H2915="NON ENGAGE",OR($I2915="INFRUCTUEUX",$I2915="ANNULE")),"Clôturé sans suite","En cours")))</f>
        <v/>
      </c>
      <c r="N2915">
        <f>IF(ISBLANK('ENGAGEMENTS 2026'!C2915),"",'ENGAGEMENTS 2026'!L2915)</f>
        <v/>
      </c>
      <c r="O2915">
        <f>IF(ISBLANK('ENGAGEMENTS 2026'!C2915),"",'ENGAGEMENTS 2026'!M2915)</f>
        <v/>
      </c>
      <c r="P2915">
        <f>IF(ISBLANK('ENGAGEMENTS 2026'!C2915),"",'ENGAGEMENTS 2026'!K2915)</f>
        <v/>
      </c>
      <c r="Q2915">
        <f>IF($A2915="","",IF(OR($E2915="INFRUCTUEUX",$E2915="ANNULE"),$A2915&amp;"|"&amp;(COUNTIFS($A$2:$A2915,$A2915,$E$2:$E2915,"INFRUCTUEUX")+COUNTIFS($A$2:$A2915,$A2915,$E$2:$E2915,"ANNULE")),""))</f>
        <v/>
      </c>
    </row>
    <row r="2916">
      <c r="A2916">
        <f>IF(ISBLANK('ENGAGEMENTS 2026'!C2916),"",IF('ENGAGEMENTS 2026'!C2916="DTSI","DCT",'ENGAGEMENTS 2026'!C2916))</f>
        <v/>
      </c>
      <c r="B2916">
        <f>IF(ISBLANK('ENGAGEMENTS 2026'!C2916),"",'ENGAGEMENTS 2026'!D2916)</f>
        <v/>
      </c>
      <c r="C2916">
        <f>IF(ISBLANK('ENGAGEMENTS 2026'!C2916),"",'ENGAGEMENTS 2026'!E2916)</f>
        <v/>
      </c>
      <c r="D2916">
        <f>IF(ISBLANK('ENGAGEMENTS 2026'!C2916),"",'ENGAGEMENTS 2026'!G2916)</f>
        <v/>
      </c>
      <c r="E2916">
        <f>IF(ISBLANK('ENGAGEMENTS 2026'!C2916),"",'ENGAGEMENTS 2026'!I2916)</f>
        <v/>
      </c>
      <c r="F2916">
        <f>IF(ISBLANK('ENGAGEMENTS 2026'!C2916),"",'ENGAGEMENTS 2026'!J2916)</f>
        <v/>
      </c>
      <c r="G2916">
        <f>IF(ISBLANK('ENGAGEMENTS 2026'!C2916),"",'ENGAGEMENTS 2026'!M2916)</f>
        <v/>
      </c>
      <c r="H2916">
        <f>IF(ISBLANK('ENGAGEMENTS 2026'!C2916),"",'ENGAGEMENTS 2026'!AF2916)</f>
        <v/>
      </c>
      <c r="I2916">
        <f>IF(ISBLANK('ENGAGEMENTS 2026'!C2916),"",'ENGAGEMENTS 2026'!H2916)</f>
        <v/>
      </c>
      <c r="J2916" s="275">
        <f>IF(ISBLANK('ENGAGEMENTS 2026'!C2916),"",IF(AND(OR($E2916="INFRUCTUEUX",$E2916="ANNULE"),$C2916="AOO-M"),'ENGAGEMENTS 2026'!P2916,IF($H2916="EN COURS DE PREENGAGEMENT",'ENGAGEMENTS 2026'!O2916,IF($H2916="PREENGAGE",IF($E2916="ATTRIBUE",'ENGAGEMENTS 2026'!AE2916,'ENGAGEMENTS 2026'!O2916),'ENGAGEMENTS 2026'!AE2916))))</f>
        <v/>
      </c>
      <c r="K2916" s="604">
        <f>IF(ISBLANK('ENGAGEMENTS 2026'!W2916),"",'ENGAGEMENTS 2026'!W2916)</f>
        <v/>
      </c>
      <c r="L2916" s="276">
        <f>IF($K2916="","",TODAY()-$K2916)</f>
        <v/>
      </c>
      <c r="M2916">
        <f>IF($A2916="","",IF($H2916="ENGAGE","Engagé",IF(AND($H2916="NON ENGAGE",OR($I2916="INFRUCTUEUX",$I2916="ANNULE")),"Clôturé sans suite","En cours")))</f>
        <v/>
      </c>
      <c r="N2916">
        <f>IF(ISBLANK('ENGAGEMENTS 2026'!C2916),"",'ENGAGEMENTS 2026'!L2916)</f>
        <v/>
      </c>
      <c r="O2916">
        <f>IF(ISBLANK('ENGAGEMENTS 2026'!C2916),"",'ENGAGEMENTS 2026'!M2916)</f>
        <v/>
      </c>
      <c r="P2916">
        <f>IF(ISBLANK('ENGAGEMENTS 2026'!C2916),"",'ENGAGEMENTS 2026'!K2916)</f>
        <v/>
      </c>
      <c r="Q2916">
        <f>IF($A2916="","",IF(OR($E2916="INFRUCTUEUX",$E2916="ANNULE"),$A2916&amp;"|"&amp;(COUNTIFS($A$2:$A2916,$A2916,$E$2:$E2916,"INFRUCTUEUX")+COUNTIFS($A$2:$A2916,$A2916,$E$2:$E2916,"ANNULE")),""))</f>
        <v/>
      </c>
    </row>
    <row r="2917">
      <c r="A2917">
        <f>IF(ISBLANK('ENGAGEMENTS 2026'!C2917),"",IF('ENGAGEMENTS 2026'!C2917="DTSI","DCT",'ENGAGEMENTS 2026'!C2917))</f>
        <v/>
      </c>
      <c r="B2917">
        <f>IF(ISBLANK('ENGAGEMENTS 2026'!C2917),"",'ENGAGEMENTS 2026'!D2917)</f>
        <v/>
      </c>
      <c r="C2917">
        <f>IF(ISBLANK('ENGAGEMENTS 2026'!C2917),"",'ENGAGEMENTS 2026'!E2917)</f>
        <v/>
      </c>
      <c r="D2917">
        <f>IF(ISBLANK('ENGAGEMENTS 2026'!C2917),"",'ENGAGEMENTS 2026'!G2917)</f>
        <v/>
      </c>
      <c r="E2917">
        <f>IF(ISBLANK('ENGAGEMENTS 2026'!C2917),"",'ENGAGEMENTS 2026'!I2917)</f>
        <v/>
      </c>
      <c r="F2917">
        <f>IF(ISBLANK('ENGAGEMENTS 2026'!C2917),"",'ENGAGEMENTS 2026'!J2917)</f>
        <v/>
      </c>
      <c r="G2917">
        <f>IF(ISBLANK('ENGAGEMENTS 2026'!C2917),"",'ENGAGEMENTS 2026'!M2917)</f>
        <v/>
      </c>
      <c r="H2917">
        <f>IF(ISBLANK('ENGAGEMENTS 2026'!C2917),"",'ENGAGEMENTS 2026'!AF2917)</f>
        <v/>
      </c>
      <c r="I2917">
        <f>IF(ISBLANK('ENGAGEMENTS 2026'!C2917),"",'ENGAGEMENTS 2026'!H2917)</f>
        <v/>
      </c>
      <c r="J2917" s="275">
        <f>IF(ISBLANK('ENGAGEMENTS 2026'!C2917),"",IF(AND(OR($E2917="INFRUCTUEUX",$E2917="ANNULE"),$C2917="AOO-M"),'ENGAGEMENTS 2026'!P2917,IF($H2917="EN COURS DE PREENGAGEMENT",'ENGAGEMENTS 2026'!O2917,IF($H2917="PREENGAGE",IF($E2917="ATTRIBUE",'ENGAGEMENTS 2026'!AE2917,'ENGAGEMENTS 2026'!O2917),'ENGAGEMENTS 2026'!AE2917))))</f>
        <v/>
      </c>
      <c r="K2917" s="604">
        <f>IF(ISBLANK('ENGAGEMENTS 2026'!W2917),"",'ENGAGEMENTS 2026'!W2917)</f>
        <v/>
      </c>
      <c r="L2917" s="276">
        <f>IF($K2917="","",TODAY()-$K2917)</f>
        <v/>
      </c>
      <c r="M2917">
        <f>IF($A2917="","",IF($H2917="ENGAGE","Engagé",IF(AND($H2917="NON ENGAGE",OR($I2917="INFRUCTUEUX",$I2917="ANNULE")),"Clôturé sans suite","En cours")))</f>
        <v/>
      </c>
      <c r="N2917">
        <f>IF(ISBLANK('ENGAGEMENTS 2026'!C2917),"",'ENGAGEMENTS 2026'!L2917)</f>
        <v/>
      </c>
      <c r="O2917">
        <f>IF(ISBLANK('ENGAGEMENTS 2026'!C2917),"",'ENGAGEMENTS 2026'!M2917)</f>
        <v/>
      </c>
      <c r="P2917">
        <f>IF(ISBLANK('ENGAGEMENTS 2026'!C2917),"",'ENGAGEMENTS 2026'!K2917)</f>
        <v/>
      </c>
      <c r="Q2917">
        <f>IF($A2917="","",IF(OR($E2917="INFRUCTUEUX",$E2917="ANNULE"),$A2917&amp;"|"&amp;(COUNTIFS($A$2:$A2917,$A2917,$E$2:$E2917,"INFRUCTUEUX")+COUNTIFS($A$2:$A2917,$A2917,$E$2:$E2917,"ANNULE")),""))</f>
        <v/>
      </c>
    </row>
    <row r="2918">
      <c r="A2918">
        <f>IF(ISBLANK('ENGAGEMENTS 2026'!C2918),"",IF('ENGAGEMENTS 2026'!C2918="DTSI","DCT",'ENGAGEMENTS 2026'!C2918))</f>
        <v/>
      </c>
      <c r="B2918">
        <f>IF(ISBLANK('ENGAGEMENTS 2026'!C2918),"",'ENGAGEMENTS 2026'!D2918)</f>
        <v/>
      </c>
      <c r="C2918">
        <f>IF(ISBLANK('ENGAGEMENTS 2026'!C2918),"",'ENGAGEMENTS 2026'!E2918)</f>
        <v/>
      </c>
      <c r="D2918">
        <f>IF(ISBLANK('ENGAGEMENTS 2026'!C2918),"",'ENGAGEMENTS 2026'!G2918)</f>
        <v/>
      </c>
      <c r="E2918">
        <f>IF(ISBLANK('ENGAGEMENTS 2026'!C2918),"",'ENGAGEMENTS 2026'!I2918)</f>
        <v/>
      </c>
      <c r="F2918">
        <f>IF(ISBLANK('ENGAGEMENTS 2026'!C2918),"",'ENGAGEMENTS 2026'!J2918)</f>
        <v/>
      </c>
      <c r="G2918">
        <f>IF(ISBLANK('ENGAGEMENTS 2026'!C2918),"",'ENGAGEMENTS 2026'!M2918)</f>
        <v/>
      </c>
      <c r="H2918">
        <f>IF(ISBLANK('ENGAGEMENTS 2026'!C2918),"",'ENGAGEMENTS 2026'!AF2918)</f>
        <v/>
      </c>
      <c r="I2918">
        <f>IF(ISBLANK('ENGAGEMENTS 2026'!C2918),"",'ENGAGEMENTS 2026'!H2918)</f>
        <v/>
      </c>
      <c r="J2918" s="275">
        <f>IF(ISBLANK('ENGAGEMENTS 2026'!C2918),"",IF(AND(OR($E2918="INFRUCTUEUX",$E2918="ANNULE"),$C2918="AOO-M"),'ENGAGEMENTS 2026'!P2918,IF($H2918="EN COURS DE PREENGAGEMENT",'ENGAGEMENTS 2026'!O2918,IF($H2918="PREENGAGE",IF($E2918="ATTRIBUE",'ENGAGEMENTS 2026'!AE2918,'ENGAGEMENTS 2026'!O2918),'ENGAGEMENTS 2026'!AE2918))))</f>
        <v/>
      </c>
      <c r="K2918" s="604">
        <f>IF(ISBLANK('ENGAGEMENTS 2026'!W2918),"",'ENGAGEMENTS 2026'!W2918)</f>
        <v/>
      </c>
      <c r="L2918" s="276">
        <f>IF($K2918="","",TODAY()-$K2918)</f>
        <v/>
      </c>
      <c r="M2918">
        <f>IF($A2918="","",IF($H2918="ENGAGE","Engagé",IF(AND($H2918="NON ENGAGE",OR($I2918="INFRUCTUEUX",$I2918="ANNULE")),"Clôturé sans suite","En cours")))</f>
        <v/>
      </c>
      <c r="N2918">
        <f>IF(ISBLANK('ENGAGEMENTS 2026'!C2918),"",'ENGAGEMENTS 2026'!L2918)</f>
        <v/>
      </c>
      <c r="O2918">
        <f>IF(ISBLANK('ENGAGEMENTS 2026'!C2918),"",'ENGAGEMENTS 2026'!M2918)</f>
        <v/>
      </c>
      <c r="P2918">
        <f>IF(ISBLANK('ENGAGEMENTS 2026'!C2918),"",'ENGAGEMENTS 2026'!K2918)</f>
        <v/>
      </c>
      <c r="Q2918">
        <f>IF($A2918="","",IF(OR($E2918="INFRUCTUEUX",$E2918="ANNULE"),$A2918&amp;"|"&amp;(COUNTIFS($A$2:$A2918,$A2918,$E$2:$E2918,"INFRUCTUEUX")+COUNTIFS($A$2:$A2918,$A2918,$E$2:$E2918,"ANNULE")),""))</f>
        <v/>
      </c>
    </row>
    <row r="2919">
      <c r="A2919">
        <f>IF(ISBLANK('ENGAGEMENTS 2026'!C2919),"",IF('ENGAGEMENTS 2026'!C2919="DTSI","DCT",'ENGAGEMENTS 2026'!C2919))</f>
        <v/>
      </c>
      <c r="B2919">
        <f>IF(ISBLANK('ENGAGEMENTS 2026'!C2919),"",'ENGAGEMENTS 2026'!D2919)</f>
        <v/>
      </c>
      <c r="C2919">
        <f>IF(ISBLANK('ENGAGEMENTS 2026'!C2919),"",'ENGAGEMENTS 2026'!E2919)</f>
        <v/>
      </c>
      <c r="D2919">
        <f>IF(ISBLANK('ENGAGEMENTS 2026'!C2919),"",'ENGAGEMENTS 2026'!G2919)</f>
        <v/>
      </c>
      <c r="E2919">
        <f>IF(ISBLANK('ENGAGEMENTS 2026'!C2919),"",'ENGAGEMENTS 2026'!I2919)</f>
        <v/>
      </c>
      <c r="F2919">
        <f>IF(ISBLANK('ENGAGEMENTS 2026'!C2919),"",'ENGAGEMENTS 2026'!J2919)</f>
        <v/>
      </c>
      <c r="G2919">
        <f>IF(ISBLANK('ENGAGEMENTS 2026'!C2919),"",'ENGAGEMENTS 2026'!M2919)</f>
        <v/>
      </c>
      <c r="H2919">
        <f>IF(ISBLANK('ENGAGEMENTS 2026'!C2919),"",'ENGAGEMENTS 2026'!AF2919)</f>
        <v/>
      </c>
      <c r="I2919">
        <f>IF(ISBLANK('ENGAGEMENTS 2026'!C2919),"",'ENGAGEMENTS 2026'!H2919)</f>
        <v/>
      </c>
      <c r="J2919" s="275">
        <f>IF(ISBLANK('ENGAGEMENTS 2026'!C2919),"",IF(AND(OR($E2919="INFRUCTUEUX",$E2919="ANNULE"),$C2919="AOO-M"),'ENGAGEMENTS 2026'!P2919,IF($H2919="EN COURS DE PREENGAGEMENT",'ENGAGEMENTS 2026'!O2919,IF($H2919="PREENGAGE",IF($E2919="ATTRIBUE",'ENGAGEMENTS 2026'!AE2919,'ENGAGEMENTS 2026'!O2919),'ENGAGEMENTS 2026'!AE2919))))</f>
        <v/>
      </c>
      <c r="K2919" s="604">
        <f>IF(ISBLANK('ENGAGEMENTS 2026'!W2919),"",'ENGAGEMENTS 2026'!W2919)</f>
        <v/>
      </c>
      <c r="L2919" s="276">
        <f>IF($K2919="","",TODAY()-$K2919)</f>
        <v/>
      </c>
      <c r="M2919">
        <f>IF($A2919="","",IF($H2919="ENGAGE","Engagé",IF(AND($H2919="NON ENGAGE",OR($I2919="INFRUCTUEUX",$I2919="ANNULE")),"Clôturé sans suite","En cours")))</f>
        <v/>
      </c>
      <c r="N2919">
        <f>IF(ISBLANK('ENGAGEMENTS 2026'!C2919),"",'ENGAGEMENTS 2026'!L2919)</f>
        <v/>
      </c>
      <c r="O2919">
        <f>IF(ISBLANK('ENGAGEMENTS 2026'!C2919),"",'ENGAGEMENTS 2026'!M2919)</f>
        <v/>
      </c>
      <c r="P2919">
        <f>IF(ISBLANK('ENGAGEMENTS 2026'!C2919),"",'ENGAGEMENTS 2026'!K2919)</f>
        <v/>
      </c>
      <c r="Q2919">
        <f>IF($A2919="","",IF(OR($E2919="INFRUCTUEUX",$E2919="ANNULE"),$A2919&amp;"|"&amp;(COUNTIFS($A$2:$A2919,$A2919,$E$2:$E2919,"INFRUCTUEUX")+COUNTIFS($A$2:$A2919,$A2919,$E$2:$E2919,"ANNULE")),""))</f>
        <v/>
      </c>
    </row>
    <row r="2920">
      <c r="A2920">
        <f>IF(ISBLANK('ENGAGEMENTS 2026'!C2920),"",IF('ENGAGEMENTS 2026'!C2920="DTSI","DCT",'ENGAGEMENTS 2026'!C2920))</f>
        <v/>
      </c>
      <c r="B2920">
        <f>IF(ISBLANK('ENGAGEMENTS 2026'!C2920),"",'ENGAGEMENTS 2026'!D2920)</f>
        <v/>
      </c>
      <c r="C2920">
        <f>IF(ISBLANK('ENGAGEMENTS 2026'!C2920),"",'ENGAGEMENTS 2026'!E2920)</f>
        <v/>
      </c>
      <c r="D2920">
        <f>IF(ISBLANK('ENGAGEMENTS 2026'!C2920),"",'ENGAGEMENTS 2026'!G2920)</f>
        <v/>
      </c>
      <c r="E2920">
        <f>IF(ISBLANK('ENGAGEMENTS 2026'!C2920),"",'ENGAGEMENTS 2026'!I2920)</f>
        <v/>
      </c>
      <c r="F2920">
        <f>IF(ISBLANK('ENGAGEMENTS 2026'!C2920),"",'ENGAGEMENTS 2026'!J2920)</f>
        <v/>
      </c>
      <c r="G2920">
        <f>IF(ISBLANK('ENGAGEMENTS 2026'!C2920),"",'ENGAGEMENTS 2026'!M2920)</f>
        <v/>
      </c>
      <c r="H2920">
        <f>IF(ISBLANK('ENGAGEMENTS 2026'!C2920),"",'ENGAGEMENTS 2026'!AF2920)</f>
        <v/>
      </c>
      <c r="I2920">
        <f>IF(ISBLANK('ENGAGEMENTS 2026'!C2920),"",'ENGAGEMENTS 2026'!H2920)</f>
        <v/>
      </c>
      <c r="J2920" s="275">
        <f>IF(ISBLANK('ENGAGEMENTS 2026'!C2920),"",IF(AND(OR($E2920="INFRUCTUEUX",$E2920="ANNULE"),$C2920="AOO-M"),'ENGAGEMENTS 2026'!P2920,IF($H2920="EN COURS DE PREENGAGEMENT",'ENGAGEMENTS 2026'!O2920,IF($H2920="PREENGAGE",IF($E2920="ATTRIBUE",'ENGAGEMENTS 2026'!AE2920,'ENGAGEMENTS 2026'!O2920),'ENGAGEMENTS 2026'!AE2920))))</f>
        <v/>
      </c>
      <c r="K2920" s="604">
        <f>IF(ISBLANK('ENGAGEMENTS 2026'!W2920),"",'ENGAGEMENTS 2026'!W2920)</f>
        <v/>
      </c>
      <c r="L2920" s="276">
        <f>IF($K2920="","",TODAY()-$K2920)</f>
        <v/>
      </c>
      <c r="M2920">
        <f>IF($A2920="","",IF($H2920="ENGAGE","Engagé",IF(AND($H2920="NON ENGAGE",OR($I2920="INFRUCTUEUX",$I2920="ANNULE")),"Clôturé sans suite","En cours")))</f>
        <v/>
      </c>
      <c r="N2920">
        <f>IF(ISBLANK('ENGAGEMENTS 2026'!C2920),"",'ENGAGEMENTS 2026'!L2920)</f>
        <v/>
      </c>
      <c r="O2920">
        <f>IF(ISBLANK('ENGAGEMENTS 2026'!C2920),"",'ENGAGEMENTS 2026'!M2920)</f>
        <v/>
      </c>
      <c r="P2920">
        <f>IF(ISBLANK('ENGAGEMENTS 2026'!C2920),"",'ENGAGEMENTS 2026'!K2920)</f>
        <v/>
      </c>
      <c r="Q2920">
        <f>IF($A2920="","",IF(OR($E2920="INFRUCTUEUX",$E2920="ANNULE"),$A2920&amp;"|"&amp;(COUNTIFS($A$2:$A2920,$A2920,$E$2:$E2920,"INFRUCTUEUX")+COUNTIFS($A$2:$A2920,$A2920,$E$2:$E2920,"ANNULE")),""))</f>
        <v/>
      </c>
    </row>
    <row r="2921">
      <c r="A2921">
        <f>IF(ISBLANK('ENGAGEMENTS 2026'!C2921),"",IF('ENGAGEMENTS 2026'!C2921="DTSI","DCT",'ENGAGEMENTS 2026'!C2921))</f>
        <v/>
      </c>
      <c r="B2921">
        <f>IF(ISBLANK('ENGAGEMENTS 2026'!C2921),"",'ENGAGEMENTS 2026'!D2921)</f>
        <v/>
      </c>
      <c r="C2921">
        <f>IF(ISBLANK('ENGAGEMENTS 2026'!C2921),"",'ENGAGEMENTS 2026'!E2921)</f>
        <v/>
      </c>
      <c r="D2921">
        <f>IF(ISBLANK('ENGAGEMENTS 2026'!C2921),"",'ENGAGEMENTS 2026'!G2921)</f>
        <v/>
      </c>
      <c r="E2921">
        <f>IF(ISBLANK('ENGAGEMENTS 2026'!C2921),"",'ENGAGEMENTS 2026'!I2921)</f>
        <v/>
      </c>
      <c r="F2921">
        <f>IF(ISBLANK('ENGAGEMENTS 2026'!C2921),"",'ENGAGEMENTS 2026'!J2921)</f>
        <v/>
      </c>
      <c r="G2921">
        <f>IF(ISBLANK('ENGAGEMENTS 2026'!C2921),"",'ENGAGEMENTS 2026'!M2921)</f>
        <v/>
      </c>
      <c r="H2921">
        <f>IF(ISBLANK('ENGAGEMENTS 2026'!C2921),"",'ENGAGEMENTS 2026'!AF2921)</f>
        <v/>
      </c>
      <c r="I2921">
        <f>IF(ISBLANK('ENGAGEMENTS 2026'!C2921),"",'ENGAGEMENTS 2026'!H2921)</f>
        <v/>
      </c>
      <c r="J2921" s="275">
        <f>IF(ISBLANK('ENGAGEMENTS 2026'!C2921),"",IF(AND(OR($E2921="INFRUCTUEUX",$E2921="ANNULE"),$C2921="AOO-M"),'ENGAGEMENTS 2026'!P2921,IF($H2921="EN COURS DE PREENGAGEMENT",'ENGAGEMENTS 2026'!O2921,IF($H2921="PREENGAGE",IF($E2921="ATTRIBUE",'ENGAGEMENTS 2026'!AE2921,'ENGAGEMENTS 2026'!O2921),'ENGAGEMENTS 2026'!AE2921))))</f>
        <v/>
      </c>
      <c r="K2921" s="604">
        <f>IF(ISBLANK('ENGAGEMENTS 2026'!W2921),"",'ENGAGEMENTS 2026'!W2921)</f>
        <v/>
      </c>
      <c r="L2921" s="276">
        <f>IF($K2921="","",TODAY()-$K2921)</f>
        <v/>
      </c>
      <c r="M2921">
        <f>IF($A2921="","",IF($H2921="ENGAGE","Engagé",IF(AND($H2921="NON ENGAGE",OR($I2921="INFRUCTUEUX",$I2921="ANNULE")),"Clôturé sans suite","En cours")))</f>
        <v/>
      </c>
      <c r="N2921">
        <f>IF(ISBLANK('ENGAGEMENTS 2026'!C2921),"",'ENGAGEMENTS 2026'!L2921)</f>
        <v/>
      </c>
      <c r="O2921">
        <f>IF(ISBLANK('ENGAGEMENTS 2026'!C2921),"",'ENGAGEMENTS 2026'!M2921)</f>
        <v/>
      </c>
      <c r="P2921">
        <f>IF(ISBLANK('ENGAGEMENTS 2026'!C2921),"",'ENGAGEMENTS 2026'!K2921)</f>
        <v/>
      </c>
      <c r="Q2921">
        <f>IF($A2921="","",IF(OR($E2921="INFRUCTUEUX",$E2921="ANNULE"),$A2921&amp;"|"&amp;(COUNTIFS($A$2:$A2921,$A2921,$E$2:$E2921,"INFRUCTUEUX")+COUNTIFS($A$2:$A2921,$A2921,$E$2:$E2921,"ANNULE")),""))</f>
        <v/>
      </c>
    </row>
    <row r="2922">
      <c r="A2922">
        <f>IF(ISBLANK('ENGAGEMENTS 2026'!C2922),"",IF('ENGAGEMENTS 2026'!C2922="DTSI","DCT",'ENGAGEMENTS 2026'!C2922))</f>
        <v/>
      </c>
      <c r="B2922">
        <f>IF(ISBLANK('ENGAGEMENTS 2026'!C2922),"",'ENGAGEMENTS 2026'!D2922)</f>
        <v/>
      </c>
      <c r="C2922">
        <f>IF(ISBLANK('ENGAGEMENTS 2026'!C2922),"",'ENGAGEMENTS 2026'!E2922)</f>
        <v/>
      </c>
      <c r="D2922">
        <f>IF(ISBLANK('ENGAGEMENTS 2026'!C2922),"",'ENGAGEMENTS 2026'!G2922)</f>
        <v/>
      </c>
      <c r="E2922">
        <f>IF(ISBLANK('ENGAGEMENTS 2026'!C2922),"",'ENGAGEMENTS 2026'!I2922)</f>
        <v/>
      </c>
      <c r="F2922">
        <f>IF(ISBLANK('ENGAGEMENTS 2026'!C2922),"",'ENGAGEMENTS 2026'!J2922)</f>
        <v/>
      </c>
      <c r="G2922">
        <f>IF(ISBLANK('ENGAGEMENTS 2026'!C2922),"",'ENGAGEMENTS 2026'!M2922)</f>
        <v/>
      </c>
      <c r="H2922">
        <f>IF(ISBLANK('ENGAGEMENTS 2026'!C2922),"",'ENGAGEMENTS 2026'!AF2922)</f>
        <v/>
      </c>
      <c r="I2922">
        <f>IF(ISBLANK('ENGAGEMENTS 2026'!C2922),"",'ENGAGEMENTS 2026'!H2922)</f>
        <v/>
      </c>
      <c r="J2922" s="275">
        <f>IF(ISBLANK('ENGAGEMENTS 2026'!C2922),"",IF(AND(OR($E2922="INFRUCTUEUX",$E2922="ANNULE"),$C2922="AOO-M"),'ENGAGEMENTS 2026'!P2922,IF($H2922="EN COURS DE PREENGAGEMENT",'ENGAGEMENTS 2026'!O2922,IF($H2922="PREENGAGE",IF($E2922="ATTRIBUE",'ENGAGEMENTS 2026'!AE2922,'ENGAGEMENTS 2026'!O2922),'ENGAGEMENTS 2026'!AE2922))))</f>
        <v/>
      </c>
      <c r="K2922" s="604">
        <f>IF(ISBLANK('ENGAGEMENTS 2026'!W2922),"",'ENGAGEMENTS 2026'!W2922)</f>
        <v/>
      </c>
      <c r="L2922" s="276">
        <f>IF($K2922="","",TODAY()-$K2922)</f>
        <v/>
      </c>
      <c r="M2922">
        <f>IF($A2922="","",IF($H2922="ENGAGE","Engagé",IF(AND($H2922="NON ENGAGE",OR($I2922="INFRUCTUEUX",$I2922="ANNULE")),"Clôturé sans suite","En cours")))</f>
        <v/>
      </c>
      <c r="N2922">
        <f>IF(ISBLANK('ENGAGEMENTS 2026'!C2922),"",'ENGAGEMENTS 2026'!L2922)</f>
        <v/>
      </c>
      <c r="O2922">
        <f>IF(ISBLANK('ENGAGEMENTS 2026'!C2922),"",'ENGAGEMENTS 2026'!M2922)</f>
        <v/>
      </c>
      <c r="P2922">
        <f>IF(ISBLANK('ENGAGEMENTS 2026'!C2922),"",'ENGAGEMENTS 2026'!K2922)</f>
        <v/>
      </c>
      <c r="Q2922">
        <f>IF($A2922="","",IF(OR($E2922="INFRUCTUEUX",$E2922="ANNULE"),$A2922&amp;"|"&amp;(COUNTIFS($A$2:$A2922,$A2922,$E$2:$E2922,"INFRUCTUEUX")+COUNTIFS($A$2:$A2922,$A2922,$E$2:$E2922,"ANNULE")),""))</f>
        <v/>
      </c>
    </row>
    <row r="2923">
      <c r="A2923">
        <f>IF(ISBLANK('ENGAGEMENTS 2026'!C2923),"",IF('ENGAGEMENTS 2026'!C2923="DTSI","DCT",'ENGAGEMENTS 2026'!C2923))</f>
        <v/>
      </c>
      <c r="B2923">
        <f>IF(ISBLANK('ENGAGEMENTS 2026'!C2923),"",'ENGAGEMENTS 2026'!D2923)</f>
        <v/>
      </c>
      <c r="C2923">
        <f>IF(ISBLANK('ENGAGEMENTS 2026'!C2923),"",'ENGAGEMENTS 2026'!E2923)</f>
        <v/>
      </c>
      <c r="D2923">
        <f>IF(ISBLANK('ENGAGEMENTS 2026'!C2923),"",'ENGAGEMENTS 2026'!G2923)</f>
        <v/>
      </c>
      <c r="E2923">
        <f>IF(ISBLANK('ENGAGEMENTS 2026'!C2923),"",'ENGAGEMENTS 2026'!I2923)</f>
        <v/>
      </c>
      <c r="F2923">
        <f>IF(ISBLANK('ENGAGEMENTS 2026'!C2923),"",'ENGAGEMENTS 2026'!J2923)</f>
        <v/>
      </c>
      <c r="G2923">
        <f>IF(ISBLANK('ENGAGEMENTS 2026'!C2923),"",'ENGAGEMENTS 2026'!M2923)</f>
        <v/>
      </c>
      <c r="H2923">
        <f>IF(ISBLANK('ENGAGEMENTS 2026'!C2923),"",'ENGAGEMENTS 2026'!AF2923)</f>
        <v/>
      </c>
      <c r="I2923">
        <f>IF(ISBLANK('ENGAGEMENTS 2026'!C2923),"",'ENGAGEMENTS 2026'!H2923)</f>
        <v/>
      </c>
      <c r="J2923" s="275">
        <f>IF(ISBLANK('ENGAGEMENTS 2026'!C2923),"",IF(AND(OR($E2923="INFRUCTUEUX",$E2923="ANNULE"),$C2923="AOO-M"),'ENGAGEMENTS 2026'!P2923,IF($H2923="EN COURS DE PREENGAGEMENT",'ENGAGEMENTS 2026'!O2923,IF($H2923="PREENGAGE",IF($E2923="ATTRIBUE",'ENGAGEMENTS 2026'!AE2923,'ENGAGEMENTS 2026'!O2923),'ENGAGEMENTS 2026'!AE2923))))</f>
        <v/>
      </c>
      <c r="K2923" s="604">
        <f>IF(ISBLANK('ENGAGEMENTS 2026'!W2923),"",'ENGAGEMENTS 2026'!W2923)</f>
        <v/>
      </c>
      <c r="L2923" s="276">
        <f>IF($K2923="","",TODAY()-$K2923)</f>
        <v/>
      </c>
      <c r="M2923">
        <f>IF($A2923="","",IF($H2923="ENGAGE","Engagé",IF(AND($H2923="NON ENGAGE",OR($I2923="INFRUCTUEUX",$I2923="ANNULE")),"Clôturé sans suite","En cours")))</f>
        <v/>
      </c>
      <c r="N2923">
        <f>IF(ISBLANK('ENGAGEMENTS 2026'!C2923),"",'ENGAGEMENTS 2026'!L2923)</f>
        <v/>
      </c>
      <c r="O2923">
        <f>IF(ISBLANK('ENGAGEMENTS 2026'!C2923),"",'ENGAGEMENTS 2026'!M2923)</f>
        <v/>
      </c>
      <c r="P2923">
        <f>IF(ISBLANK('ENGAGEMENTS 2026'!C2923),"",'ENGAGEMENTS 2026'!K2923)</f>
        <v/>
      </c>
      <c r="Q2923">
        <f>IF($A2923="","",IF(OR($E2923="INFRUCTUEUX",$E2923="ANNULE"),$A2923&amp;"|"&amp;(COUNTIFS($A$2:$A2923,$A2923,$E$2:$E2923,"INFRUCTUEUX")+COUNTIFS($A$2:$A2923,$A2923,$E$2:$E2923,"ANNULE")),""))</f>
        <v/>
      </c>
    </row>
    <row r="2924">
      <c r="A2924">
        <f>IF(ISBLANK('ENGAGEMENTS 2026'!C2924),"",IF('ENGAGEMENTS 2026'!C2924="DTSI","DCT",'ENGAGEMENTS 2026'!C2924))</f>
        <v/>
      </c>
      <c r="B2924">
        <f>IF(ISBLANK('ENGAGEMENTS 2026'!C2924),"",'ENGAGEMENTS 2026'!D2924)</f>
        <v/>
      </c>
      <c r="C2924">
        <f>IF(ISBLANK('ENGAGEMENTS 2026'!C2924),"",'ENGAGEMENTS 2026'!E2924)</f>
        <v/>
      </c>
      <c r="D2924">
        <f>IF(ISBLANK('ENGAGEMENTS 2026'!C2924),"",'ENGAGEMENTS 2026'!G2924)</f>
        <v/>
      </c>
      <c r="E2924">
        <f>IF(ISBLANK('ENGAGEMENTS 2026'!C2924),"",'ENGAGEMENTS 2026'!I2924)</f>
        <v/>
      </c>
      <c r="F2924">
        <f>IF(ISBLANK('ENGAGEMENTS 2026'!C2924),"",'ENGAGEMENTS 2026'!J2924)</f>
        <v/>
      </c>
      <c r="G2924">
        <f>IF(ISBLANK('ENGAGEMENTS 2026'!C2924),"",'ENGAGEMENTS 2026'!M2924)</f>
        <v/>
      </c>
      <c r="H2924">
        <f>IF(ISBLANK('ENGAGEMENTS 2026'!C2924),"",'ENGAGEMENTS 2026'!AF2924)</f>
        <v/>
      </c>
      <c r="I2924">
        <f>IF(ISBLANK('ENGAGEMENTS 2026'!C2924),"",'ENGAGEMENTS 2026'!H2924)</f>
        <v/>
      </c>
      <c r="J2924" s="275">
        <f>IF(ISBLANK('ENGAGEMENTS 2026'!C2924),"",IF(AND(OR($E2924="INFRUCTUEUX",$E2924="ANNULE"),$C2924="AOO-M"),'ENGAGEMENTS 2026'!P2924,IF($H2924="EN COURS DE PREENGAGEMENT",'ENGAGEMENTS 2026'!O2924,IF($H2924="PREENGAGE",IF($E2924="ATTRIBUE",'ENGAGEMENTS 2026'!AE2924,'ENGAGEMENTS 2026'!O2924),'ENGAGEMENTS 2026'!AE2924))))</f>
        <v/>
      </c>
      <c r="K2924" s="604">
        <f>IF(ISBLANK('ENGAGEMENTS 2026'!W2924),"",'ENGAGEMENTS 2026'!W2924)</f>
        <v/>
      </c>
      <c r="L2924" s="276">
        <f>IF($K2924="","",TODAY()-$K2924)</f>
        <v/>
      </c>
      <c r="M2924">
        <f>IF($A2924="","",IF($H2924="ENGAGE","Engagé",IF(AND($H2924="NON ENGAGE",OR($I2924="INFRUCTUEUX",$I2924="ANNULE")),"Clôturé sans suite","En cours")))</f>
        <v/>
      </c>
      <c r="N2924">
        <f>IF(ISBLANK('ENGAGEMENTS 2026'!C2924),"",'ENGAGEMENTS 2026'!L2924)</f>
        <v/>
      </c>
      <c r="O2924">
        <f>IF(ISBLANK('ENGAGEMENTS 2026'!C2924),"",'ENGAGEMENTS 2026'!M2924)</f>
        <v/>
      </c>
      <c r="P2924">
        <f>IF(ISBLANK('ENGAGEMENTS 2026'!C2924),"",'ENGAGEMENTS 2026'!K2924)</f>
        <v/>
      </c>
      <c r="Q2924">
        <f>IF($A2924="","",IF(OR($E2924="INFRUCTUEUX",$E2924="ANNULE"),$A2924&amp;"|"&amp;(COUNTIFS($A$2:$A2924,$A2924,$E$2:$E2924,"INFRUCTUEUX")+COUNTIFS($A$2:$A2924,$A2924,$E$2:$E2924,"ANNULE")),""))</f>
        <v/>
      </c>
    </row>
    <row r="2925">
      <c r="A2925">
        <f>IF(ISBLANK('ENGAGEMENTS 2026'!C2925),"",IF('ENGAGEMENTS 2026'!C2925="DTSI","DCT",'ENGAGEMENTS 2026'!C2925))</f>
        <v/>
      </c>
      <c r="B2925">
        <f>IF(ISBLANK('ENGAGEMENTS 2026'!C2925),"",'ENGAGEMENTS 2026'!D2925)</f>
        <v/>
      </c>
      <c r="C2925">
        <f>IF(ISBLANK('ENGAGEMENTS 2026'!C2925),"",'ENGAGEMENTS 2026'!E2925)</f>
        <v/>
      </c>
      <c r="D2925">
        <f>IF(ISBLANK('ENGAGEMENTS 2026'!C2925),"",'ENGAGEMENTS 2026'!G2925)</f>
        <v/>
      </c>
      <c r="E2925">
        <f>IF(ISBLANK('ENGAGEMENTS 2026'!C2925),"",'ENGAGEMENTS 2026'!I2925)</f>
        <v/>
      </c>
      <c r="F2925">
        <f>IF(ISBLANK('ENGAGEMENTS 2026'!C2925),"",'ENGAGEMENTS 2026'!J2925)</f>
        <v/>
      </c>
      <c r="G2925">
        <f>IF(ISBLANK('ENGAGEMENTS 2026'!C2925),"",'ENGAGEMENTS 2026'!M2925)</f>
        <v/>
      </c>
      <c r="H2925">
        <f>IF(ISBLANK('ENGAGEMENTS 2026'!C2925),"",'ENGAGEMENTS 2026'!AF2925)</f>
        <v/>
      </c>
      <c r="I2925">
        <f>IF(ISBLANK('ENGAGEMENTS 2026'!C2925),"",'ENGAGEMENTS 2026'!H2925)</f>
        <v/>
      </c>
      <c r="J2925" s="275">
        <f>IF(ISBLANK('ENGAGEMENTS 2026'!C2925),"",IF(AND(OR($E2925="INFRUCTUEUX",$E2925="ANNULE"),$C2925="AOO-M"),'ENGAGEMENTS 2026'!P2925,IF($H2925="EN COURS DE PREENGAGEMENT",'ENGAGEMENTS 2026'!O2925,IF($H2925="PREENGAGE",IF($E2925="ATTRIBUE",'ENGAGEMENTS 2026'!AE2925,'ENGAGEMENTS 2026'!O2925),'ENGAGEMENTS 2026'!AE2925))))</f>
        <v/>
      </c>
      <c r="K2925" s="604">
        <f>IF(ISBLANK('ENGAGEMENTS 2026'!W2925),"",'ENGAGEMENTS 2026'!W2925)</f>
        <v/>
      </c>
      <c r="L2925" s="276">
        <f>IF($K2925="","",TODAY()-$K2925)</f>
        <v/>
      </c>
      <c r="M2925">
        <f>IF($A2925="","",IF($H2925="ENGAGE","Engagé",IF(AND($H2925="NON ENGAGE",OR($I2925="INFRUCTUEUX",$I2925="ANNULE")),"Clôturé sans suite","En cours")))</f>
        <v/>
      </c>
      <c r="N2925">
        <f>IF(ISBLANK('ENGAGEMENTS 2026'!C2925),"",'ENGAGEMENTS 2026'!L2925)</f>
        <v/>
      </c>
      <c r="O2925">
        <f>IF(ISBLANK('ENGAGEMENTS 2026'!C2925),"",'ENGAGEMENTS 2026'!M2925)</f>
        <v/>
      </c>
      <c r="P2925">
        <f>IF(ISBLANK('ENGAGEMENTS 2026'!C2925),"",'ENGAGEMENTS 2026'!K2925)</f>
        <v/>
      </c>
      <c r="Q2925">
        <f>IF($A2925="","",IF(OR($E2925="INFRUCTUEUX",$E2925="ANNULE"),$A2925&amp;"|"&amp;(COUNTIFS($A$2:$A2925,$A2925,$E$2:$E2925,"INFRUCTUEUX")+COUNTIFS($A$2:$A2925,$A2925,$E$2:$E2925,"ANNULE")),""))</f>
        <v/>
      </c>
    </row>
    <row r="2926">
      <c r="A2926">
        <f>IF(ISBLANK('ENGAGEMENTS 2026'!C2926),"",IF('ENGAGEMENTS 2026'!C2926="DTSI","DCT",'ENGAGEMENTS 2026'!C2926))</f>
        <v/>
      </c>
      <c r="B2926">
        <f>IF(ISBLANK('ENGAGEMENTS 2026'!C2926),"",'ENGAGEMENTS 2026'!D2926)</f>
        <v/>
      </c>
      <c r="C2926">
        <f>IF(ISBLANK('ENGAGEMENTS 2026'!C2926),"",'ENGAGEMENTS 2026'!E2926)</f>
        <v/>
      </c>
      <c r="D2926">
        <f>IF(ISBLANK('ENGAGEMENTS 2026'!C2926),"",'ENGAGEMENTS 2026'!G2926)</f>
        <v/>
      </c>
      <c r="E2926">
        <f>IF(ISBLANK('ENGAGEMENTS 2026'!C2926),"",'ENGAGEMENTS 2026'!I2926)</f>
        <v/>
      </c>
      <c r="F2926">
        <f>IF(ISBLANK('ENGAGEMENTS 2026'!C2926),"",'ENGAGEMENTS 2026'!J2926)</f>
        <v/>
      </c>
      <c r="G2926">
        <f>IF(ISBLANK('ENGAGEMENTS 2026'!C2926),"",'ENGAGEMENTS 2026'!M2926)</f>
        <v/>
      </c>
      <c r="H2926">
        <f>IF(ISBLANK('ENGAGEMENTS 2026'!C2926),"",'ENGAGEMENTS 2026'!AF2926)</f>
        <v/>
      </c>
      <c r="I2926">
        <f>IF(ISBLANK('ENGAGEMENTS 2026'!C2926),"",'ENGAGEMENTS 2026'!H2926)</f>
        <v/>
      </c>
      <c r="J2926" s="275">
        <f>IF(ISBLANK('ENGAGEMENTS 2026'!C2926),"",IF(AND(OR($E2926="INFRUCTUEUX",$E2926="ANNULE"),$C2926="AOO-M"),'ENGAGEMENTS 2026'!P2926,IF($H2926="EN COURS DE PREENGAGEMENT",'ENGAGEMENTS 2026'!O2926,IF($H2926="PREENGAGE",IF($E2926="ATTRIBUE",'ENGAGEMENTS 2026'!AE2926,'ENGAGEMENTS 2026'!O2926),'ENGAGEMENTS 2026'!AE2926))))</f>
        <v/>
      </c>
      <c r="K2926" s="604">
        <f>IF(ISBLANK('ENGAGEMENTS 2026'!W2926),"",'ENGAGEMENTS 2026'!W2926)</f>
        <v/>
      </c>
      <c r="L2926" s="276">
        <f>IF($K2926="","",TODAY()-$K2926)</f>
        <v/>
      </c>
      <c r="M2926">
        <f>IF($A2926="","",IF($H2926="ENGAGE","Engagé",IF(AND($H2926="NON ENGAGE",OR($I2926="INFRUCTUEUX",$I2926="ANNULE")),"Clôturé sans suite","En cours")))</f>
        <v/>
      </c>
      <c r="N2926">
        <f>IF(ISBLANK('ENGAGEMENTS 2026'!C2926),"",'ENGAGEMENTS 2026'!L2926)</f>
        <v/>
      </c>
      <c r="O2926">
        <f>IF(ISBLANK('ENGAGEMENTS 2026'!C2926),"",'ENGAGEMENTS 2026'!M2926)</f>
        <v/>
      </c>
      <c r="P2926">
        <f>IF(ISBLANK('ENGAGEMENTS 2026'!C2926),"",'ENGAGEMENTS 2026'!K2926)</f>
        <v/>
      </c>
      <c r="Q2926">
        <f>IF($A2926="","",IF(OR($E2926="INFRUCTUEUX",$E2926="ANNULE"),$A2926&amp;"|"&amp;(COUNTIFS($A$2:$A2926,$A2926,$E$2:$E2926,"INFRUCTUEUX")+COUNTIFS($A$2:$A2926,$A2926,$E$2:$E2926,"ANNULE")),""))</f>
        <v/>
      </c>
    </row>
    <row r="2927">
      <c r="A2927">
        <f>IF(ISBLANK('ENGAGEMENTS 2026'!C2927),"",IF('ENGAGEMENTS 2026'!C2927="DTSI","DCT",'ENGAGEMENTS 2026'!C2927))</f>
        <v/>
      </c>
      <c r="B2927">
        <f>IF(ISBLANK('ENGAGEMENTS 2026'!C2927),"",'ENGAGEMENTS 2026'!D2927)</f>
        <v/>
      </c>
      <c r="C2927">
        <f>IF(ISBLANK('ENGAGEMENTS 2026'!C2927),"",'ENGAGEMENTS 2026'!E2927)</f>
        <v/>
      </c>
      <c r="D2927">
        <f>IF(ISBLANK('ENGAGEMENTS 2026'!C2927),"",'ENGAGEMENTS 2026'!G2927)</f>
        <v/>
      </c>
      <c r="E2927">
        <f>IF(ISBLANK('ENGAGEMENTS 2026'!C2927),"",'ENGAGEMENTS 2026'!I2927)</f>
        <v/>
      </c>
      <c r="F2927">
        <f>IF(ISBLANK('ENGAGEMENTS 2026'!C2927),"",'ENGAGEMENTS 2026'!J2927)</f>
        <v/>
      </c>
      <c r="G2927">
        <f>IF(ISBLANK('ENGAGEMENTS 2026'!C2927),"",'ENGAGEMENTS 2026'!M2927)</f>
        <v/>
      </c>
      <c r="H2927">
        <f>IF(ISBLANK('ENGAGEMENTS 2026'!C2927),"",'ENGAGEMENTS 2026'!AF2927)</f>
        <v/>
      </c>
      <c r="I2927">
        <f>IF(ISBLANK('ENGAGEMENTS 2026'!C2927),"",'ENGAGEMENTS 2026'!H2927)</f>
        <v/>
      </c>
      <c r="J2927" s="275">
        <f>IF(ISBLANK('ENGAGEMENTS 2026'!C2927),"",IF(AND(OR($E2927="INFRUCTUEUX",$E2927="ANNULE"),$C2927="AOO-M"),'ENGAGEMENTS 2026'!P2927,IF($H2927="EN COURS DE PREENGAGEMENT",'ENGAGEMENTS 2026'!O2927,IF($H2927="PREENGAGE",IF($E2927="ATTRIBUE",'ENGAGEMENTS 2026'!AE2927,'ENGAGEMENTS 2026'!O2927),'ENGAGEMENTS 2026'!AE2927))))</f>
        <v/>
      </c>
      <c r="K2927" s="604">
        <f>IF(ISBLANK('ENGAGEMENTS 2026'!W2927),"",'ENGAGEMENTS 2026'!W2927)</f>
        <v/>
      </c>
      <c r="L2927" s="276">
        <f>IF($K2927="","",TODAY()-$K2927)</f>
        <v/>
      </c>
      <c r="M2927">
        <f>IF($A2927="","",IF($H2927="ENGAGE","Engagé",IF(AND($H2927="NON ENGAGE",OR($I2927="INFRUCTUEUX",$I2927="ANNULE")),"Clôturé sans suite","En cours")))</f>
        <v/>
      </c>
      <c r="N2927">
        <f>IF(ISBLANK('ENGAGEMENTS 2026'!C2927),"",'ENGAGEMENTS 2026'!L2927)</f>
        <v/>
      </c>
      <c r="O2927">
        <f>IF(ISBLANK('ENGAGEMENTS 2026'!C2927),"",'ENGAGEMENTS 2026'!M2927)</f>
        <v/>
      </c>
      <c r="P2927">
        <f>IF(ISBLANK('ENGAGEMENTS 2026'!C2927),"",'ENGAGEMENTS 2026'!K2927)</f>
        <v/>
      </c>
      <c r="Q2927">
        <f>IF($A2927="","",IF(OR($E2927="INFRUCTUEUX",$E2927="ANNULE"),$A2927&amp;"|"&amp;(COUNTIFS($A$2:$A2927,$A2927,$E$2:$E2927,"INFRUCTUEUX")+COUNTIFS($A$2:$A2927,$A2927,$E$2:$E2927,"ANNULE")),""))</f>
        <v/>
      </c>
    </row>
    <row r="2928">
      <c r="A2928">
        <f>IF(ISBLANK('ENGAGEMENTS 2026'!C2928),"",IF('ENGAGEMENTS 2026'!C2928="DTSI","DCT",'ENGAGEMENTS 2026'!C2928))</f>
        <v/>
      </c>
      <c r="B2928">
        <f>IF(ISBLANK('ENGAGEMENTS 2026'!C2928),"",'ENGAGEMENTS 2026'!D2928)</f>
        <v/>
      </c>
      <c r="C2928">
        <f>IF(ISBLANK('ENGAGEMENTS 2026'!C2928),"",'ENGAGEMENTS 2026'!E2928)</f>
        <v/>
      </c>
      <c r="D2928">
        <f>IF(ISBLANK('ENGAGEMENTS 2026'!C2928),"",'ENGAGEMENTS 2026'!G2928)</f>
        <v/>
      </c>
      <c r="E2928">
        <f>IF(ISBLANK('ENGAGEMENTS 2026'!C2928),"",'ENGAGEMENTS 2026'!I2928)</f>
        <v/>
      </c>
      <c r="F2928">
        <f>IF(ISBLANK('ENGAGEMENTS 2026'!C2928),"",'ENGAGEMENTS 2026'!J2928)</f>
        <v/>
      </c>
      <c r="G2928">
        <f>IF(ISBLANK('ENGAGEMENTS 2026'!C2928),"",'ENGAGEMENTS 2026'!M2928)</f>
        <v/>
      </c>
      <c r="H2928">
        <f>IF(ISBLANK('ENGAGEMENTS 2026'!C2928),"",'ENGAGEMENTS 2026'!AF2928)</f>
        <v/>
      </c>
      <c r="I2928">
        <f>IF(ISBLANK('ENGAGEMENTS 2026'!C2928),"",'ENGAGEMENTS 2026'!H2928)</f>
        <v/>
      </c>
      <c r="J2928" s="275">
        <f>IF(ISBLANK('ENGAGEMENTS 2026'!C2928),"",IF(AND(OR($E2928="INFRUCTUEUX",$E2928="ANNULE"),$C2928="AOO-M"),'ENGAGEMENTS 2026'!P2928,IF($H2928="EN COURS DE PREENGAGEMENT",'ENGAGEMENTS 2026'!O2928,IF($H2928="PREENGAGE",IF($E2928="ATTRIBUE",'ENGAGEMENTS 2026'!AE2928,'ENGAGEMENTS 2026'!O2928),'ENGAGEMENTS 2026'!AE2928))))</f>
        <v/>
      </c>
      <c r="K2928" s="604">
        <f>IF(ISBLANK('ENGAGEMENTS 2026'!W2928),"",'ENGAGEMENTS 2026'!W2928)</f>
        <v/>
      </c>
      <c r="L2928" s="276">
        <f>IF($K2928="","",TODAY()-$K2928)</f>
        <v/>
      </c>
      <c r="M2928">
        <f>IF($A2928="","",IF($H2928="ENGAGE","Engagé",IF(AND($H2928="NON ENGAGE",OR($I2928="INFRUCTUEUX",$I2928="ANNULE")),"Clôturé sans suite","En cours")))</f>
        <v/>
      </c>
      <c r="N2928">
        <f>IF(ISBLANK('ENGAGEMENTS 2026'!C2928),"",'ENGAGEMENTS 2026'!L2928)</f>
        <v/>
      </c>
      <c r="O2928">
        <f>IF(ISBLANK('ENGAGEMENTS 2026'!C2928),"",'ENGAGEMENTS 2026'!M2928)</f>
        <v/>
      </c>
      <c r="P2928">
        <f>IF(ISBLANK('ENGAGEMENTS 2026'!C2928),"",'ENGAGEMENTS 2026'!K2928)</f>
        <v/>
      </c>
      <c r="Q2928">
        <f>IF($A2928="","",IF(OR($E2928="INFRUCTUEUX",$E2928="ANNULE"),$A2928&amp;"|"&amp;(COUNTIFS($A$2:$A2928,$A2928,$E$2:$E2928,"INFRUCTUEUX")+COUNTIFS($A$2:$A2928,$A2928,$E$2:$E2928,"ANNULE")),""))</f>
        <v/>
      </c>
    </row>
    <row r="2929">
      <c r="A2929">
        <f>IF(ISBLANK('ENGAGEMENTS 2026'!C2929),"",IF('ENGAGEMENTS 2026'!C2929="DTSI","DCT",'ENGAGEMENTS 2026'!C2929))</f>
        <v/>
      </c>
      <c r="B2929">
        <f>IF(ISBLANK('ENGAGEMENTS 2026'!C2929),"",'ENGAGEMENTS 2026'!D2929)</f>
        <v/>
      </c>
      <c r="C2929">
        <f>IF(ISBLANK('ENGAGEMENTS 2026'!C2929),"",'ENGAGEMENTS 2026'!E2929)</f>
        <v/>
      </c>
      <c r="D2929">
        <f>IF(ISBLANK('ENGAGEMENTS 2026'!C2929),"",'ENGAGEMENTS 2026'!G2929)</f>
        <v/>
      </c>
      <c r="E2929">
        <f>IF(ISBLANK('ENGAGEMENTS 2026'!C2929),"",'ENGAGEMENTS 2026'!I2929)</f>
        <v/>
      </c>
      <c r="F2929">
        <f>IF(ISBLANK('ENGAGEMENTS 2026'!C2929),"",'ENGAGEMENTS 2026'!J2929)</f>
        <v/>
      </c>
      <c r="G2929">
        <f>IF(ISBLANK('ENGAGEMENTS 2026'!C2929),"",'ENGAGEMENTS 2026'!M2929)</f>
        <v/>
      </c>
      <c r="H2929">
        <f>IF(ISBLANK('ENGAGEMENTS 2026'!C2929),"",'ENGAGEMENTS 2026'!AF2929)</f>
        <v/>
      </c>
      <c r="I2929">
        <f>IF(ISBLANK('ENGAGEMENTS 2026'!C2929),"",'ENGAGEMENTS 2026'!H2929)</f>
        <v/>
      </c>
      <c r="J2929" s="275">
        <f>IF(ISBLANK('ENGAGEMENTS 2026'!C2929),"",IF(AND(OR($E2929="INFRUCTUEUX",$E2929="ANNULE"),$C2929="AOO-M"),'ENGAGEMENTS 2026'!P2929,IF($H2929="EN COURS DE PREENGAGEMENT",'ENGAGEMENTS 2026'!O2929,IF($H2929="PREENGAGE",IF($E2929="ATTRIBUE",'ENGAGEMENTS 2026'!AE2929,'ENGAGEMENTS 2026'!O2929),'ENGAGEMENTS 2026'!AE2929))))</f>
        <v/>
      </c>
      <c r="K2929" s="604">
        <f>IF(ISBLANK('ENGAGEMENTS 2026'!W2929),"",'ENGAGEMENTS 2026'!W2929)</f>
        <v/>
      </c>
      <c r="L2929" s="276">
        <f>IF($K2929="","",TODAY()-$K2929)</f>
        <v/>
      </c>
      <c r="M2929">
        <f>IF($A2929="","",IF($H2929="ENGAGE","Engagé",IF(AND($H2929="NON ENGAGE",OR($I2929="INFRUCTUEUX",$I2929="ANNULE")),"Clôturé sans suite","En cours")))</f>
        <v/>
      </c>
      <c r="N2929">
        <f>IF(ISBLANK('ENGAGEMENTS 2026'!C2929),"",'ENGAGEMENTS 2026'!L2929)</f>
        <v/>
      </c>
      <c r="O2929">
        <f>IF(ISBLANK('ENGAGEMENTS 2026'!C2929),"",'ENGAGEMENTS 2026'!M2929)</f>
        <v/>
      </c>
      <c r="P2929">
        <f>IF(ISBLANK('ENGAGEMENTS 2026'!C2929),"",'ENGAGEMENTS 2026'!K2929)</f>
        <v/>
      </c>
      <c r="Q2929">
        <f>IF($A2929="","",IF(OR($E2929="INFRUCTUEUX",$E2929="ANNULE"),$A2929&amp;"|"&amp;(COUNTIFS($A$2:$A2929,$A2929,$E$2:$E2929,"INFRUCTUEUX")+COUNTIFS($A$2:$A2929,$A2929,$E$2:$E2929,"ANNULE")),""))</f>
        <v/>
      </c>
    </row>
    <row r="2930">
      <c r="A2930">
        <f>IF(ISBLANK('ENGAGEMENTS 2026'!C2930),"",IF('ENGAGEMENTS 2026'!C2930="DTSI","DCT",'ENGAGEMENTS 2026'!C2930))</f>
        <v/>
      </c>
      <c r="B2930">
        <f>IF(ISBLANK('ENGAGEMENTS 2026'!C2930),"",'ENGAGEMENTS 2026'!D2930)</f>
        <v/>
      </c>
      <c r="C2930">
        <f>IF(ISBLANK('ENGAGEMENTS 2026'!C2930),"",'ENGAGEMENTS 2026'!E2930)</f>
        <v/>
      </c>
      <c r="D2930">
        <f>IF(ISBLANK('ENGAGEMENTS 2026'!C2930),"",'ENGAGEMENTS 2026'!G2930)</f>
        <v/>
      </c>
      <c r="E2930">
        <f>IF(ISBLANK('ENGAGEMENTS 2026'!C2930),"",'ENGAGEMENTS 2026'!I2930)</f>
        <v/>
      </c>
      <c r="F2930">
        <f>IF(ISBLANK('ENGAGEMENTS 2026'!C2930),"",'ENGAGEMENTS 2026'!J2930)</f>
        <v/>
      </c>
      <c r="G2930">
        <f>IF(ISBLANK('ENGAGEMENTS 2026'!C2930),"",'ENGAGEMENTS 2026'!M2930)</f>
        <v/>
      </c>
      <c r="H2930">
        <f>IF(ISBLANK('ENGAGEMENTS 2026'!C2930),"",'ENGAGEMENTS 2026'!AF2930)</f>
        <v/>
      </c>
      <c r="I2930">
        <f>IF(ISBLANK('ENGAGEMENTS 2026'!C2930),"",'ENGAGEMENTS 2026'!H2930)</f>
        <v/>
      </c>
      <c r="J2930" s="275">
        <f>IF(ISBLANK('ENGAGEMENTS 2026'!C2930),"",IF(AND(OR($E2930="INFRUCTUEUX",$E2930="ANNULE"),$C2930="AOO-M"),'ENGAGEMENTS 2026'!P2930,IF($H2930="EN COURS DE PREENGAGEMENT",'ENGAGEMENTS 2026'!O2930,IF($H2930="PREENGAGE",IF($E2930="ATTRIBUE",'ENGAGEMENTS 2026'!AE2930,'ENGAGEMENTS 2026'!O2930),'ENGAGEMENTS 2026'!AE2930))))</f>
        <v/>
      </c>
      <c r="K2930" s="604">
        <f>IF(ISBLANK('ENGAGEMENTS 2026'!W2930),"",'ENGAGEMENTS 2026'!W2930)</f>
        <v/>
      </c>
      <c r="L2930" s="276">
        <f>IF($K2930="","",TODAY()-$K2930)</f>
        <v/>
      </c>
      <c r="M2930">
        <f>IF($A2930="","",IF($H2930="ENGAGE","Engagé",IF(AND($H2930="NON ENGAGE",OR($I2930="INFRUCTUEUX",$I2930="ANNULE")),"Clôturé sans suite","En cours")))</f>
        <v/>
      </c>
      <c r="N2930">
        <f>IF(ISBLANK('ENGAGEMENTS 2026'!C2930),"",'ENGAGEMENTS 2026'!L2930)</f>
        <v/>
      </c>
      <c r="O2930">
        <f>IF(ISBLANK('ENGAGEMENTS 2026'!C2930),"",'ENGAGEMENTS 2026'!M2930)</f>
        <v/>
      </c>
      <c r="P2930">
        <f>IF(ISBLANK('ENGAGEMENTS 2026'!C2930),"",'ENGAGEMENTS 2026'!K2930)</f>
        <v/>
      </c>
      <c r="Q2930">
        <f>IF($A2930="","",IF(OR($E2930="INFRUCTUEUX",$E2930="ANNULE"),$A2930&amp;"|"&amp;(COUNTIFS($A$2:$A2930,$A2930,$E$2:$E2930,"INFRUCTUEUX")+COUNTIFS($A$2:$A2930,$A2930,$E$2:$E2930,"ANNULE")),""))</f>
        <v/>
      </c>
    </row>
    <row r="2931">
      <c r="A2931">
        <f>IF(ISBLANK('ENGAGEMENTS 2026'!C2931),"",IF('ENGAGEMENTS 2026'!C2931="DTSI","DCT",'ENGAGEMENTS 2026'!C2931))</f>
        <v/>
      </c>
      <c r="B2931">
        <f>IF(ISBLANK('ENGAGEMENTS 2026'!C2931),"",'ENGAGEMENTS 2026'!D2931)</f>
        <v/>
      </c>
      <c r="C2931">
        <f>IF(ISBLANK('ENGAGEMENTS 2026'!C2931),"",'ENGAGEMENTS 2026'!E2931)</f>
        <v/>
      </c>
      <c r="D2931">
        <f>IF(ISBLANK('ENGAGEMENTS 2026'!C2931),"",'ENGAGEMENTS 2026'!G2931)</f>
        <v/>
      </c>
      <c r="E2931">
        <f>IF(ISBLANK('ENGAGEMENTS 2026'!C2931),"",'ENGAGEMENTS 2026'!I2931)</f>
        <v/>
      </c>
      <c r="F2931">
        <f>IF(ISBLANK('ENGAGEMENTS 2026'!C2931),"",'ENGAGEMENTS 2026'!J2931)</f>
        <v/>
      </c>
      <c r="G2931">
        <f>IF(ISBLANK('ENGAGEMENTS 2026'!C2931),"",'ENGAGEMENTS 2026'!M2931)</f>
        <v/>
      </c>
      <c r="H2931">
        <f>IF(ISBLANK('ENGAGEMENTS 2026'!C2931),"",'ENGAGEMENTS 2026'!AF2931)</f>
        <v/>
      </c>
      <c r="I2931">
        <f>IF(ISBLANK('ENGAGEMENTS 2026'!C2931),"",'ENGAGEMENTS 2026'!H2931)</f>
        <v/>
      </c>
      <c r="J2931" s="275">
        <f>IF(ISBLANK('ENGAGEMENTS 2026'!C2931),"",IF(AND(OR($E2931="INFRUCTUEUX",$E2931="ANNULE"),$C2931="AOO-M"),'ENGAGEMENTS 2026'!P2931,IF($H2931="EN COURS DE PREENGAGEMENT",'ENGAGEMENTS 2026'!O2931,IF($H2931="PREENGAGE",IF($E2931="ATTRIBUE",'ENGAGEMENTS 2026'!AE2931,'ENGAGEMENTS 2026'!O2931),'ENGAGEMENTS 2026'!AE2931))))</f>
        <v/>
      </c>
      <c r="K2931" s="604">
        <f>IF(ISBLANK('ENGAGEMENTS 2026'!W2931),"",'ENGAGEMENTS 2026'!W2931)</f>
        <v/>
      </c>
      <c r="L2931" s="276">
        <f>IF($K2931="","",TODAY()-$K2931)</f>
        <v/>
      </c>
      <c r="M2931">
        <f>IF($A2931="","",IF($H2931="ENGAGE","Engagé",IF(AND($H2931="NON ENGAGE",OR($I2931="INFRUCTUEUX",$I2931="ANNULE")),"Clôturé sans suite","En cours")))</f>
        <v/>
      </c>
      <c r="N2931">
        <f>IF(ISBLANK('ENGAGEMENTS 2026'!C2931),"",'ENGAGEMENTS 2026'!L2931)</f>
        <v/>
      </c>
      <c r="O2931">
        <f>IF(ISBLANK('ENGAGEMENTS 2026'!C2931),"",'ENGAGEMENTS 2026'!M2931)</f>
        <v/>
      </c>
      <c r="P2931">
        <f>IF(ISBLANK('ENGAGEMENTS 2026'!C2931),"",'ENGAGEMENTS 2026'!K2931)</f>
        <v/>
      </c>
      <c r="Q2931">
        <f>IF($A2931="","",IF(OR($E2931="INFRUCTUEUX",$E2931="ANNULE"),$A2931&amp;"|"&amp;(COUNTIFS($A$2:$A2931,$A2931,$E$2:$E2931,"INFRUCTUEUX")+COUNTIFS($A$2:$A2931,$A2931,$E$2:$E2931,"ANNULE")),""))</f>
        <v/>
      </c>
    </row>
    <row r="2932">
      <c r="A2932">
        <f>IF(ISBLANK('ENGAGEMENTS 2026'!C2932),"",IF('ENGAGEMENTS 2026'!C2932="DTSI","DCT",'ENGAGEMENTS 2026'!C2932))</f>
        <v/>
      </c>
      <c r="B2932">
        <f>IF(ISBLANK('ENGAGEMENTS 2026'!C2932),"",'ENGAGEMENTS 2026'!D2932)</f>
        <v/>
      </c>
      <c r="C2932">
        <f>IF(ISBLANK('ENGAGEMENTS 2026'!C2932),"",'ENGAGEMENTS 2026'!E2932)</f>
        <v/>
      </c>
      <c r="D2932">
        <f>IF(ISBLANK('ENGAGEMENTS 2026'!C2932),"",'ENGAGEMENTS 2026'!G2932)</f>
        <v/>
      </c>
      <c r="E2932">
        <f>IF(ISBLANK('ENGAGEMENTS 2026'!C2932),"",'ENGAGEMENTS 2026'!I2932)</f>
        <v/>
      </c>
      <c r="F2932">
        <f>IF(ISBLANK('ENGAGEMENTS 2026'!C2932),"",'ENGAGEMENTS 2026'!J2932)</f>
        <v/>
      </c>
      <c r="G2932">
        <f>IF(ISBLANK('ENGAGEMENTS 2026'!C2932),"",'ENGAGEMENTS 2026'!M2932)</f>
        <v/>
      </c>
      <c r="H2932">
        <f>IF(ISBLANK('ENGAGEMENTS 2026'!C2932),"",'ENGAGEMENTS 2026'!AF2932)</f>
        <v/>
      </c>
      <c r="I2932">
        <f>IF(ISBLANK('ENGAGEMENTS 2026'!C2932),"",'ENGAGEMENTS 2026'!H2932)</f>
        <v/>
      </c>
      <c r="J2932" s="275">
        <f>IF(ISBLANK('ENGAGEMENTS 2026'!C2932),"",IF(AND(OR($E2932="INFRUCTUEUX",$E2932="ANNULE"),$C2932="AOO-M"),'ENGAGEMENTS 2026'!P2932,IF($H2932="EN COURS DE PREENGAGEMENT",'ENGAGEMENTS 2026'!O2932,IF($H2932="PREENGAGE",IF($E2932="ATTRIBUE",'ENGAGEMENTS 2026'!AE2932,'ENGAGEMENTS 2026'!O2932),'ENGAGEMENTS 2026'!AE2932))))</f>
        <v/>
      </c>
      <c r="K2932" s="604">
        <f>IF(ISBLANK('ENGAGEMENTS 2026'!W2932),"",'ENGAGEMENTS 2026'!W2932)</f>
        <v/>
      </c>
      <c r="L2932" s="276">
        <f>IF($K2932="","",TODAY()-$K2932)</f>
        <v/>
      </c>
      <c r="M2932">
        <f>IF($A2932="","",IF($H2932="ENGAGE","Engagé",IF(AND($H2932="NON ENGAGE",OR($I2932="INFRUCTUEUX",$I2932="ANNULE")),"Clôturé sans suite","En cours")))</f>
        <v/>
      </c>
      <c r="N2932">
        <f>IF(ISBLANK('ENGAGEMENTS 2026'!C2932),"",'ENGAGEMENTS 2026'!L2932)</f>
        <v/>
      </c>
      <c r="O2932">
        <f>IF(ISBLANK('ENGAGEMENTS 2026'!C2932),"",'ENGAGEMENTS 2026'!M2932)</f>
        <v/>
      </c>
      <c r="P2932">
        <f>IF(ISBLANK('ENGAGEMENTS 2026'!C2932),"",'ENGAGEMENTS 2026'!K2932)</f>
        <v/>
      </c>
      <c r="Q2932">
        <f>IF($A2932="","",IF(OR($E2932="INFRUCTUEUX",$E2932="ANNULE"),$A2932&amp;"|"&amp;(COUNTIFS($A$2:$A2932,$A2932,$E$2:$E2932,"INFRUCTUEUX")+COUNTIFS($A$2:$A2932,$A2932,$E$2:$E2932,"ANNULE")),""))</f>
        <v/>
      </c>
    </row>
    <row r="2933">
      <c r="A2933">
        <f>IF(ISBLANK('ENGAGEMENTS 2026'!C2933),"",IF('ENGAGEMENTS 2026'!C2933="DTSI","DCT",'ENGAGEMENTS 2026'!C2933))</f>
        <v/>
      </c>
      <c r="B2933">
        <f>IF(ISBLANK('ENGAGEMENTS 2026'!C2933),"",'ENGAGEMENTS 2026'!D2933)</f>
        <v/>
      </c>
      <c r="C2933">
        <f>IF(ISBLANK('ENGAGEMENTS 2026'!C2933),"",'ENGAGEMENTS 2026'!E2933)</f>
        <v/>
      </c>
      <c r="D2933">
        <f>IF(ISBLANK('ENGAGEMENTS 2026'!C2933),"",'ENGAGEMENTS 2026'!G2933)</f>
        <v/>
      </c>
      <c r="E2933">
        <f>IF(ISBLANK('ENGAGEMENTS 2026'!C2933),"",'ENGAGEMENTS 2026'!I2933)</f>
        <v/>
      </c>
      <c r="F2933">
        <f>IF(ISBLANK('ENGAGEMENTS 2026'!C2933),"",'ENGAGEMENTS 2026'!J2933)</f>
        <v/>
      </c>
      <c r="G2933">
        <f>IF(ISBLANK('ENGAGEMENTS 2026'!C2933),"",'ENGAGEMENTS 2026'!M2933)</f>
        <v/>
      </c>
      <c r="H2933">
        <f>IF(ISBLANK('ENGAGEMENTS 2026'!C2933),"",'ENGAGEMENTS 2026'!AF2933)</f>
        <v/>
      </c>
      <c r="I2933">
        <f>IF(ISBLANK('ENGAGEMENTS 2026'!C2933),"",'ENGAGEMENTS 2026'!H2933)</f>
        <v/>
      </c>
      <c r="J2933" s="275">
        <f>IF(ISBLANK('ENGAGEMENTS 2026'!C2933),"",IF(AND(OR($E2933="INFRUCTUEUX",$E2933="ANNULE"),$C2933="AOO-M"),'ENGAGEMENTS 2026'!P2933,IF($H2933="EN COURS DE PREENGAGEMENT",'ENGAGEMENTS 2026'!O2933,IF($H2933="PREENGAGE",IF($E2933="ATTRIBUE",'ENGAGEMENTS 2026'!AE2933,'ENGAGEMENTS 2026'!O2933),'ENGAGEMENTS 2026'!AE2933))))</f>
        <v/>
      </c>
      <c r="K2933" s="604">
        <f>IF(ISBLANK('ENGAGEMENTS 2026'!W2933),"",'ENGAGEMENTS 2026'!W2933)</f>
        <v/>
      </c>
      <c r="L2933" s="276">
        <f>IF($K2933="","",TODAY()-$K2933)</f>
        <v/>
      </c>
      <c r="M2933">
        <f>IF($A2933="","",IF($H2933="ENGAGE","Engagé",IF(AND($H2933="NON ENGAGE",OR($I2933="INFRUCTUEUX",$I2933="ANNULE")),"Clôturé sans suite","En cours")))</f>
        <v/>
      </c>
      <c r="N2933">
        <f>IF(ISBLANK('ENGAGEMENTS 2026'!C2933),"",'ENGAGEMENTS 2026'!L2933)</f>
        <v/>
      </c>
      <c r="O2933">
        <f>IF(ISBLANK('ENGAGEMENTS 2026'!C2933),"",'ENGAGEMENTS 2026'!M2933)</f>
        <v/>
      </c>
      <c r="P2933">
        <f>IF(ISBLANK('ENGAGEMENTS 2026'!C2933),"",'ENGAGEMENTS 2026'!K2933)</f>
        <v/>
      </c>
      <c r="Q2933">
        <f>IF($A2933="","",IF(OR($E2933="INFRUCTUEUX",$E2933="ANNULE"),$A2933&amp;"|"&amp;(COUNTIFS($A$2:$A2933,$A2933,$E$2:$E2933,"INFRUCTUEUX")+COUNTIFS($A$2:$A2933,$A2933,$E$2:$E2933,"ANNULE")),""))</f>
        <v/>
      </c>
    </row>
    <row r="2934">
      <c r="A2934">
        <f>IF(ISBLANK('ENGAGEMENTS 2026'!C2934),"",IF('ENGAGEMENTS 2026'!C2934="DTSI","DCT",'ENGAGEMENTS 2026'!C2934))</f>
        <v/>
      </c>
      <c r="B2934">
        <f>IF(ISBLANK('ENGAGEMENTS 2026'!C2934),"",'ENGAGEMENTS 2026'!D2934)</f>
        <v/>
      </c>
      <c r="C2934">
        <f>IF(ISBLANK('ENGAGEMENTS 2026'!C2934),"",'ENGAGEMENTS 2026'!E2934)</f>
        <v/>
      </c>
      <c r="D2934">
        <f>IF(ISBLANK('ENGAGEMENTS 2026'!C2934),"",'ENGAGEMENTS 2026'!G2934)</f>
        <v/>
      </c>
      <c r="E2934">
        <f>IF(ISBLANK('ENGAGEMENTS 2026'!C2934),"",'ENGAGEMENTS 2026'!I2934)</f>
        <v/>
      </c>
      <c r="F2934">
        <f>IF(ISBLANK('ENGAGEMENTS 2026'!C2934),"",'ENGAGEMENTS 2026'!J2934)</f>
        <v/>
      </c>
      <c r="G2934">
        <f>IF(ISBLANK('ENGAGEMENTS 2026'!C2934),"",'ENGAGEMENTS 2026'!M2934)</f>
        <v/>
      </c>
      <c r="H2934">
        <f>IF(ISBLANK('ENGAGEMENTS 2026'!C2934),"",'ENGAGEMENTS 2026'!AF2934)</f>
        <v/>
      </c>
      <c r="I2934">
        <f>IF(ISBLANK('ENGAGEMENTS 2026'!C2934),"",'ENGAGEMENTS 2026'!H2934)</f>
        <v/>
      </c>
      <c r="J2934" s="275">
        <f>IF(ISBLANK('ENGAGEMENTS 2026'!C2934),"",IF(AND(OR($E2934="INFRUCTUEUX",$E2934="ANNULE"),$C2934="AOO-M"),'ENGAGEMENTS 2026'!P2934,IF($H2934="EN COURS DE PREENGAGEMENT",'ENGAGEMENTS 2026'!O2934,IF($H2934="PREENGAGE",IF($E2934="ATTRIBUE",'ENGAGEMENTS 2026'!AE2934,'ENGAGEMENTS 2026'!O2934),'ENGAGEMENTS 2026'!AE2934))))</f>
        <v/>
      </c>
      <c r="K2934" s="604">
        <f>IF(ISBLANK('ENGAGEMENTS 2026'!W2934),"",'ENGAGEMENTS 2026'!W2934)</f>
        <v/>
      </c>
      <c r="L2934" s="276">
        <f>IF($K2934="","",TODAY()-$K2934)</f>
        <v/>
      </c>
      <c r="M2934">
        <f>IF($A2934="","",IF($H2934="ENGAGE","Engagé",IF(AND($H2934="NON ENGAGE",OR($I2934="INFRUCTUEUX",$I2934="ANNULE")),"Clôturé sans suite","En cours")))</f>
        <v/>
      </c>
      <c r="N2934">
        <f>IF(ISBLANK('ENGAGEMENTS 2026'!C2934),"",'ENGAGEMENTS 2026'!L2934)</f>
        <v/>
      </c>
      <c r="O2934">
        <f>IF(ISBLANK('ENGAGEMENTS 2026'!C2934),"",'ENGAGEMENTS 2026'!M2934)</f>
        <v/>
      </c>
      <c r="P2934">
        <f>IF(ISBLANK('ENGAGEMENTS 2026'!C2934),"",'ENGAGEMENTS 2026'!K2934)</f>
        <v/>
      </c>
      <c r="Q2934">
        <f>IF($A2934="","",IF(OR($E2934="INFRUCTUEUX",$E2934="ANNULE"),$A2934&amp;"|"&amp;(COUNTIFS($A$2:$A2934,$A2934,$E$2:$E2934,"INFRUCTUEUX")+COUNTIFS($A$2:$A2934,$A2934,$E$2:$E2934,"ANNULE")),""))</f>
        <v/>
      </c>
    </row>
    <row r="2935">
      <c r="A2935">
        <f>IF(ISBLANK('ENGAGEMENTS 2026'!C2935),"",IF('ENGAGEMENTS 2026'!C2935="DTSI","DCT",'ENGAGEMENTS 2026'!C2935))</f>
        <v/>
      </c>
      <c r="B2935">
        <f>IF(ISBLANK('ENGAGEMENTS 2026'!C2935),"",'ENGAGEMENTS 2026'!D2935)</f>
        <v/>
      </c>
      <c r="C2935">
        <f>IF(ISBLANK('ENGAGEMENTS 2026'!C2935),"",'ENGAGEMENTS 2026'!E2935)</f>
        <v/>
      </c>
      <c r="D2935">
        <f>IF(ISBLANK('ENGAGEMENTS 2026'!C2935),"",'ENGAGEMENTS 2026'!G2935)</f>
        <v/>
      </c>
      <c r="E2935">
        <f>IF(ISBLANK('ENGAGEMENTS 2026'!C2935),"",'ENGAGEMENTS 2026'!I2935)</f>
        <v/>
      </c>
      <c r="F2935">
        <f>IF(ISBLANK('ENGAGEMENTS 2026'!C2935),"",'ENGAGEMENTS 2026'!J2935)</f>
        <v/>
      </c>
      <c r="G2935">
        <f>IF(ISBLANK('ENGAGEMENTS 2026'!C2935),"",'ENGAGEMENTS 2026'!M2935)</f>
        <v/>
      </c>
      <c r="H2935">
        <f>IF(ISBLANK('ENGAGEMENTS 2026'!C2935),"",'ENGAGEMENTS 2026'!AF2935)</f>
        <v/>
      </c>
      <c r="I2935">
        <f>IF(ISBLANK('ENGAGEMENTS 2026'!C2935),"",'ENGAGEMENTS 2026'!H2935)</f>
        <v/>
      </c>
      <c r="J2935" s="275">
        <f>IF(ISBLANK('ENGAGEMENTS 2026'!C2935),"",IF(AND(OR($E2935="INFRUCTUEUX",$E2935="ANNULE"),$C2935="AOO-M"),'ENGAGEMENTS 2026'!P2935,IF($H2935="EN COURS DE PREENGAGEMENT",'ENGAGEMENTS 2026'!O2935,IF($H2935="PREENGAGE",IF($E2935="ATTRIBUE",'ENGAGEMENTS 2026'!AE2935,'ENGAGEMENTS 2026'!O2935),'ENGAGEMENTS 2026'!AE2935))))</f>
        <v/>
      </c>
      <c r="K2935" s="604">
        <f>IF(ISBLANK('ENGAGEMENTS 2026'!W2935),"",'ENGAGEMENTS 2026'!W2935)</f>
        <v/>
      </c>
      <c r="L2935" s="276">
        <f>IF($K2935="","",TODAY()-$K2935)</f>
        <v/>
      </c>
      <c r="M2935">
        <f>IF($A2935="","",IF($H2935="ENGAGE","Engagé",IF(AND($H2935="NON ENGAGE",OR($I2935="INFRUCTUEUX",$I2935="ANNULE")),"Clôturé sans suite","En cours")))</f>
        <v/>
      </c>
      <c r="N2935">
        <f>IF(ISBLANK('ENGAGEMENTS 2026'!C2935),"",'ENGAGEMENTS 2026'!L2935)</f>
        <v/>
      </c>
      <c r="O2935">
        <f>IF(ISBLANK('ENGAGEMENTS 2026'!C2935),"",'ENGAGEMENTS 2026'!M2935)</f>
        <v/>
      </c>
      <c r="P2935">
        <f>IF(ISBLANK('ENGAGEMENTS 2026'!C2935),"",'ENGAGEMENTS 2026'!K2935)</f>
        <v/>
      </c>
      <c r="Q2935">
        <f>IF($A2935="","",IF(OR($E2935="INFRUCTUEUX",$E2935="ANNULE"),$A2935&amp;"|"&amp;(COUNTIFS($A$2:$A2935,$A2935,$E$2:$E2935,"INFRUCTUEUX")+COUNTIFS($A$2:$A2935,$A2935,$E$2:$E2935,"ANNULE")),""))</f>
        <v/>
      </c>
    </row>
    <row r="2936">
      <c r="A2936">
        <f>IF(ISBLANK('ENGAGEMENTS 2026'!C2936),"",IF('ENGAGEMENTS 2026'!C2936="DTSI","DCT",'ENGAGEMENTS 2026'!C2936))</f>
        <v/>
      </c>
      <c r="B2936">
        <f>IF(ISBLANK('ENGAGEMENTS 2026'!C2936),"",'ENGAGEMENTS 2026'!D2936)</f>
        <v/>
      </c>
      <c r="C2936">
        <f>IF(ISBLANK('ENGAGEMENTS 2026'!C2936),"",'ENGAGEMENTS 2026'!E2936)</f>
        <v/>
      </c>
      <c r="D2936">
        <f>IF(ISBLANK('ENGAGEMENTS 2026'!C2936),"",'ENGAGEMENTS 2026'!G2936)</f>
        <v/>
      </c>
      <c r="E2936">
        <f>IF(ISBLANK('ENGAGEMENTS 2026'!C2936),"",'ENGAGEMENTS 2026'!I2936)</f>
        <v/>
      </c>
      <c r="F2936">
        <f>IF(ISBLANK('ENGAGEMENTS 2026'!C2936),"",'ENGAGEMENTS 2026'!J2936)</f>
        <v/>
      </c>
      <c r="G2936">
        <f>IF(ISBLANK('ENGAGEMENTS 2026'!C2936),"",'ENGAGEMENTS 2026'!M2936)</f>
        <v/>
      </c>
      <c r="H2936">
        <f>IF(ISBLANK('ENGAGEMENTS 2026'!C2936),"",'ENGAGEMENTS 2026'!AF2936)</f>
        <v/>
      </c>
      <c r="I2936">
        <f>IF(ISBLANK('ENGAGEMENTS 2026'!C2936),"",'ENGAGEMENTS 2026'!H2936)</f>
        <v/>
      </c>
      <c r="J2936" s="275">
        <f>IF(ISBLANK('ENGAGEMENTS 2026'!C2936),"",IF(AND(OR($E2936="INFRUCTUEUX",$E2936="ANNULE"),$C2936="AOO-M"),'ENGAGEMENTS 2026'!P2936,IF($H2936="EN COURS DE PREENGAGEMENT",'ENGAGEMENTS 2026'!O2936,IF($H2936="PREENGAGE",IF($E2936="ATTRIBUE",'ENGAGEMENTS 2026'!AE2936,'ENGAGEMENTS 2026'!O2936),'ENGAGEMENTS 2026'!AE2936))))</f>
        <v/>
      </c>
      <c r="K2936" s="604">
        <f>IF(ISBLANK('ENGAGEMENTS 2026'!W2936),"",'ENGAGEMENTS 2026'!W2936)</f>
        <v/>
      </c>
      <c r="L2936" s="276">
        <f>IF($K2936="","",TODAY()-$K2936)</f>
        <v/>
      </c>
      <c r="M2936">
        <f>IF($A2936="","",IF($H2936="ENGAGE","Engagé",IF(AND($H2936="NON ENGAGE",OR($I2936="INFRUCTUEUX",$I2936="ANNULE")),"Clôturé sans suite","En cours")))</f>
        <v/>
      </c>
      <c r="N2936">
        <f>IF(ISBLANK('ENGAGEMENTS 2026'!C2936),"",'ENGAGEMENTS 2026'!L2936)</f>
        <v/>
      </c>
      <c r="O2936">
        <f>IF(ISBLANK('ENGAGEMENTS 2026'!C2936),"",'ENGAGEMENTS 2026'!M2936)</f>
        <v/>
      </c>
      <c r="P2936">
        <f>IF(ISBLANK('ENGAGEMENTS 2026'!C2936),"",'ENGAGEMENTS 2026'!K2936)</f>
        <v/>
      </c>
      <c r="Q2936">
        <f>IF($A2936="","",IF(OR($E2936="INFRUCTUEUX",$E2936="ANNULE"),$A2936&amp;"|"&amp;(COUNTIFS($A$2:$A2936,$A2936,$E$2:$E2936,"INFRUCTUEUX")+COUNTIFS($A$2:$A2936,$A2936,$E$2:$E2936,"ANNULE")),""))</f>
        <v/>
      </c>
    </row>
    <row r="2937">
      <c r="A2937">
        <f>IF(ISBLANK('ENGAGEMENTS 2026'!C2937),"",IF('ENGAGEMENTS 2026'!C2937="DTSI","DCT",'ENGAGEMENTS 2026'!C2937))</f>
        <v/>
      </c>
      <c r="B2937">
        <f>IF(ISBLANK('ENGAGEMENTS 2026'!C2937),"",'ENGAGEMENTS 2026'!D2937)</f>
        <v/>
      </c>
      <c r="C2937">
        <f>IF(ISBLANK('ENGAGEMENTS 2026'!C2937),"",'ENGAGEMENTS 2026'!E2937)</f>
        <v/>
      </c>
      <c r="D2937">
        <f>IF(ISBLANK('ENGAGEMENTS 2026'!C2937),"",'ENGAGEMENTS 2026'!G2937)</f>
        <v/>
      </c>
      <c r="E2937">
        <f>IF(ISBLANK('ENGAGEMENTS 2026'!C2937),"",'ENGAGEMENTS 2026'!I2937)</f>
        <v/>
      </c>
      <c r="F2937">
        <f>IF(ISBLANK('ENGAGEMENTS 2026'!C2937),"",'ENGAGEMENTS 2026'!J2937)</f>
        <v/>
      </c>
      <c r="G2937">
        <f>IF(ISBLANK('ENGAGEMENTS 2026'!C2937),"",'ENGAGEMENTS 2026'!M2937)</f>
        <v/>
      </c>
      <c r="H2937">
        <f>IF(ISBLANK('ENGAGEMENTS 2026'!C2937),"",'ENGAGEMENTS 2026'!AF2937)</f>
        <v/>
      </c>
      <c r="I2937">
        <f>IF(ISBLANK('ENGAGEMENTS 2026'!C2937),"",'ENGAGEMENTS 2026'!H2937)</f>
        <v/>
      </c>
      <c r="J2937" s="275">
        <f>IF(ISBLANK('ENGAGEMENTS 2026'!C2937),"",IF(AND(OR($E2937="INFRUCTUEUX",$E2937="ANNULE"),$C2937="AOO-M"),'ENGAGEMENTS 2026'!P2937,IF($H2937="EN COURS DE PREENGAGEMENT",'ENGAGEMENTS 2026'!O2937,IF($H2937="PREENGAGE",IF($E2937="ATTRIBUE",'ENGAGEMENTS 2026'!AE2937,'ENGAGEMENTS 2026'!O2937),'ENGAGEMENTS 2026'!AE2937))))</f>
        <v/>
      </c>
      <c r="K2937" s="604">
        <f>IF(ISBLANK('ENGAGEMENTS 2026'!W2937),"",'ENGAGEMENTS 2026'!W2937)</f>
        <v/>
      </c>
      <c r="L2937" s="276">
        <f>IF($K2937="","",TODAY()-$K2937)</f>
        <v/>
      </c>
      <c r="M2937">
        <f>IF($A2937="","",IF($H2937="ENGAGE","Engagé",IF(AND($H2937="NON ENGAGE",OR($I2937="INFRUCTUEUX",$I2937="ANNULE")),"Clôturé sans suite","En cours")))</f>
        <v/>
      </c>
      <c r="N2937">
        <f>IF(ISBLANK('ENGAGEMENTS 2026'!C2937),"",'ENGAGEMENTS 2026'!L2937)</f>
        <v/>
      </c>
      <c r="O2937">
        <f>IF(ISBLANK('ENGAGEMENTS 2026'!C2937),"",'ENGAGEMENTS 2026'!M2937)</f>
        <v/>
      </c>
      <c r="P2937">
        <f>IF(ISBLANK('ENGAGEMENTS 2026'!C2937),"",'ENGAGEMENTS 2026'!K2937)</f>
        <v/>
      </c>
      <c r="Q2937">
        <f>IF($A2937="","",IF(OR($E2937="INFRUCTUEUX",$E2937="ANNULE"),$A2937&amp;"|"&amp;(COUNTIFS($A$2:$A2937,$A2937,$E$2:$E2937,"INFRUCTUEUX")+COUNTIFS($A$2:$A2937,$A2937,$E$2:$E2937,"ANNULE")),""))</f>
        <v/>
      </c>
    </row>
    <row r="2938">
      <c r="A2938">
        <f>IF(ISBLANK('ENGAGEMENTS 2026'!C2938),"",IF('ENGAGEMENTS 2026'!C2938="DTSI","DCT",'ENGAGEMENTS 2026'!C2938))</f>
        <v/>
      </c>
      <c r="B2938">
        <f>IF(ISBLANK('ENGAGEMENTS 2026'!C2938),"",'ENGAGEMENTS 2026'!D2938)</f>
        <v/>
      </c>
      <c r="C2938">
        <f>IF(ISBLANK('ENGAGEMENTS 2026'!C2938),"",'ENGAGEMENTS 2026'!E2938)</f>
        <v/>
      </c>
      <c r="D2938">
        <f>IF(ISBLANK('ENGAGEMENTS 2026'!C2938),"",'ENGAGEMENTS 2026'!G2938)</f>
        <v/>
      </c>
      <c r="E2938">
        <f>IF(ISBLANK('ENGAGEMENTS 2026'!C2938),"",'ENGAGEMENTS 2026'!I2938)</f>
        <v/>
      </c>
      <c r="F2938">
        <f>IF(ISBLANK('ENGAGEMENTS 2026'!C2938),"",'ENGAGEMENTS 2026'!J2938)</f>
        <v/>
      </c>
      <c r="G2938">
        <f>IF(ISBLANK('ENGAGEMENTS 2026'!C2938),"",'ENGAGEMENTS 2026'!M2938)</f>
        <v/>
      </c>
      <c r="H2938">
        <f>IF(ISBLANK('ENGAGEMENTS 2026'!C2938),"",'ENGAGEMENTS 2026'!AF2938)</f>
        <v/>
      </c>
      <c r="I2938">
        <f>IF(ISBLANK('ENGAGEMENTS 2026'!C2938),"",'ENGAGEMENTS 2026'!H2938)</f>
        <v/>
      </c>
      <c r="J2938" s="275">
        <f>IF(ISBLANK('ENGAGEMENTS 2026'!C2938),"",IF(AND(OR($E2938="INFRUCTUEUX",$E2938="ANNULE"),$C2938="AOO-M"),'ENGAGEMENTS 2026'!P2938,IF($H2938="EN COURS DE PREENGAGEMENT",'ENGAGEMENTS 2026'!O2938,IF($H2938="PREENGAGE",IF($E2938="ATTRIBUE",'ENGAGEMENTS 2026'!AE2938,'ENGAGEMENTS 2026'!O2938),'ENGAGEMENTS 2026'!AE2938))))</f>
        <v/>
      </c>
      <c r="K2938" s="604">
        <f>IF(ISBLANK('ENGAGEMENTS 2026'!W2938),"",'ENGAGEMENTS 2026'!W2938)</f>
        <v/>
      </c>
      <c r="L2938" s="276">
        <f>IF($K2938="","",TODAY()-$K2938)</f>
        <v/>
      </c>
      <c r="M2938">
        <f>IF($A2938="","",IF($H2938="ENGAGE","Engagé",IF(AND($H2938="NON ENGAGE",OR($I2938="INFRUCTUEUX",$I2938="ANNULE")),"Clôturé sans suite","En cours")))</f>
        <v/>
      </c>
      <c r="N2938">
        <f>IF(ISBLANK('ENGAGEMENTS 2026'!C2938),"",'ENGAGEMENTS 2026'!L2938)</f>
        <v/>
      </c>
      <c r="O2938">
        <f>IF(ISBLANK('ENGAGEMENTS 2026'!C2938),"",'ENGAGEMENTS 2026'!M2938)</f>
        <v/>
      </c>
      <c r="P2938">
        <f>IF(ISBLANK('ENGAGEMENTS 2026'!C2938),"",'ENGAGEMENTS 2026'!K2938)</f>
        <v/>
      </c>
      <c r="Q2938">
        <f>IF($A2938="","",IF(OR($E2938="INFRUCTUEUX",$E2938="ANNULE"),$A2938&amp;"|"&amp;(COUNTIFS($A$2:$A2938,$A2938,$E$2:$E2938,"INFRUCTUEUX")+COUNTIFS($A$2:$A2938,$A2938,$E$2:$E2938,"ANNULE")),""))</f>
        <v/>
      </c>
    </row>
    <row r="2939">
      <c r="A2939">
        <f>IF(ISBLANK('ENGAGEMENTS 2026'!C2939),"",IF('ENGAGEMENTS 2026'!C2939="DTSI","DCT",'ENGAGEMENTS 2026'!C2939))</f>
        <v/>
      </c>
      <c r="B2939">
        <f>IF(ISBLANK('ENGAGEMENTS 2026'!C2939),"",'ENGAGEMENTS 2026'!D2939)</f>
        <v/>
      </c>
      <c r="C2939">
        <f>IF(ISBLANK('ENGAGEMENTS 2026'!C2939),"",'ENGAGEMENTS 2026'!E2939)</f>
        <v/>
      </c>
      <c r="D2939">
        <f>IF(ISBLANK('ENGAGEMENTS 2026'!C2939),"",'ENGAGEMENTS 2026'!G2939)</f>
        <v/>
      </c>
      <c r="E2939">
        <f>IF(ISBLANK('ENGAGEMENTS 2026'!C2939),"",'ENGAGEMENTS 2026'!I2939)</f>
        <v/>
      </c>
      <c r="F2939">
        <f>IF(ISBLANK('ENGAGEMENTS 2026'!C2939),"",'ENGAGEMENTS 2026'!J2939)</f>
        <v/>
      </c>
      <c r="G2939">
        <f>IF(ISBLANK('ENGAGEMENTS 2026'!C2939),"",'ENGAGEMENTS 2026'!M2939)</f>
        <v/>
      </c>
      <c r="H2939">
        <f>IF(ISBLANK('ENGAGEMENTS 2026'!C2939),"",'ENGAGEMENTS 2026'!AF2939)</f>
        <v/>
      </c>
      <c r="I2939">
        <f>IF(ISBLANK('ENGAGEMENTS 2026'!C2939),"",'ENGAGEMENTS 2026'!H2939)</f>
        <v/>
      </c>
      <c r="J2939" s="275">
        <f>IF(ISBLANK('ENGAGEMENTS 2026'!C2939),"",IF(AND(OR($E2939="INFRUCTUEUX",$E2939="ANNULE"),$C2939="AOO-M"),'ENGAGEMENTS 2026'!P2939,IF($H2939="EN COURS DE PREENGAGEMENT",'ENGAGEMENTS 2026'!O2939,IF($H2939="PREENGAGE",IF($E2939="ATTRIBUE",'ENGAGEMENTS 2026'!AE2939,'ENGAGEMENTS 2026'!O2939),'ENGAGEMENTS 2026'!AE2939))))</f>
        <v/>
      </c>
      <c r="K2939" s="604">
        <f>IF(ISBLANK('ENGAGEMENTS 2026'!W2939),"",'ENGAGEMENTS 2026'!W2939)</f>
        <v/>
      </c>
      <c r="L2939" s="276">
        <f>IF($K2939="","",TODAY()-$K2939)</f>
        <v/>
      </c>
      <c r="M2939">
        <f>IF($A2939="","",IF($H2939="ENGAGE","Engagé",IF(AND($H2939="NON ENGAGE",OR($I2939="INFRUCTUEUX",$I2939="ANNULE")),"Clôturé sans suite","En cours")))</f>
        <v/>
      </c>
      <c r="N2939">
        <f>IF(ISBLANK('ENGAGEMENTS 2026'!C2939),"",'ENGAGEMENTS 2026'!L2939)</f>
        <v/>
      </c>
      <c r="O2939">
        <f>IF(ISBLANK('ENGAGEMENTS 2026'!C2939),"",'ENGAGEMENTS 2026'!M2939)</f>
        <v/>
      </c>
      <c r="P2939">
        <f>IF(ISBLANK('ENGAGEMENTS 2026'!C2939),"",'ENGAGEMENTS 2026'!K2939)</f>
        <v/>
      </c>
      <c r="Q2939">
        <f>IF($A2939="","",IF(OR($E2939="INFRUCTUEUX",$E2939="ANNULE"),$A2939&amp;"|"&amp;(COUNTIFS($A$2:$A2939,$A2939,$E$2:$E2939,"INFRUCTUEUX")+COUNTIFS($A$2:$A2939,$A2939,$E$2:$E2939,"ANNULE")),""))</f>
        <v/>
      </c>
    </row>
    <row r="2940">
      <c r="A2940">
        <f>IF(ISBLANK('ENGAGEMENTS 2026'!C2940),"",IF('ENGAGEMENTS 2026'!C2940="DTSI","DCT",'ENGAGEMENTS 2026'!C2940))</f>
        <v/>
      </c>
      <c r="B2940">
        <f>IF(ISBLANK('ENGAGEMENTS 2026'!C2940),"",'ENGAGEMENTS 2026'!D2940)</f>
        <v/>
      </c>
      <c r="C2940">
        <f>IF(ISBLANK('ENGAGEMENTS 2026'!C2940),"",'ENGAGEMENTS 2026'!E2940)</f>
        <v/>
      </c>
      <c r="D2940">
        <f>IF(ISBLANK('ENGAGEMENTS 2026'!C2940),"",'ENGAGEMENTS 2026'!G2940)</f>
        <v/>
      </c>
      <c r="E2940">
        <f>IF(ISBLANK('ENGAGEMENTS 2026'!C2940),"",'ENGAGEMENTS 2026'!I2940)</f>
        <v/>
      </c>
      <c r="F2940">
        <f>IF(ISBLANK('ENGAGEMENTS 2026'!C2940),"",'ENGAGEMENTS 2026'!J2940)</f>
        <v/>
      </c>
      <c r="G2940">
        <f>IF(ISBLANK('ENGAGEMENTS 2026'!C2940),"",'ENGAGEMENTS 2026'!M2940)</f>
        <v/>
      </c>
      <c r="H2940">
        <f>IF(ISBLANK('ENGAGEMENTS 2026'!C2940),"",'ENGAGEMENTS 2026'!AF2940)</f>
        <v/>
      </c>
      <c r="I2940">
        <f>IF(ISBLANK('ENGAGEMENTS 2026'!C2940),"",'ENGAGEMENTS 2026'!H2940)</f>
        <v/>
      </c>
      <c r="J2940" s="275">
        <f>IF(ISBLANK('ENGAGEMENTS 2026'!C2940),"",IF(AND(OR($E2940="INFRUCTUEUX",$E2940="ANNULE"),$C2940="AOO-M"),'ENGAGEMENTS 2026'!P2940,IF($H2940="EN COURS DE PREENGAGEMENT",'ENGAGEMENTS 2026'!O2940,IF($H2940="PREENGAGE",IF($E2940="ATTRIBUE",'ENGAGEMENTS 2026'!AE2940,'ENGAGEMENTS 2026'!O2940),'ENGAGEMENTS 2026'!AE2940))))</f>
        <v/>
      </c>
      <c r="K2940" s="604">
        <f>IF(ISBLANK('ENGAGEMENTS 2026'!W2940),"",'ENGAGEMENTS 2026'!W2940)</f>
        <v/>
      </c>
      <c r="L2940" s="276">
        <f>IF($K2940="","",TODAY()-$K2940)</f>
        <v/>
      </c>
      <c r="M2940">
        <f>IF($A2940="","",IF($H2940="ENGAGE","Engagé",IF(AND($H2940="NON ENGAGE",OR($I2940="INFRUCTUEUX",$I2940="ANNULE")),"Clôturé sans suite","En cours")))</f>
        <v/>
      </c>
      <c r="N2940">
        <f>IF(ISBLANK('ENGAGEMENTS 2026'!C2940),"",'ENGAGEMENTS 2026'!L2940)</f>
        <v/>
      </c>
      <c r="O2940">
        <f>IF(ISBLANK('ENGAGEMENTS 2026'!C2940),"",'ENGAGEMENTS 2026'!M2940)</f>
        <v/>
      </c>
      <c r="P2940">
        <f>IF(ISBLANK('ENGAGEMENTS 2026'!C2940),"",'ENGAGEMENTS 2026'!K2940)</f>
        <v/>
      </c>
      <c r="Q2940">
        <f>IF($A2940="","",IF(OR($E2940="INFRUCTUEUX",$E2940="ANNULE"),$A2940&amp;"|"&amp;(COUNTIFS($A$2:$A2940,$A2940,$E$2:$E2940,"INFRUCTUEUX")+COUNTIFS($A$2:$A2940,$A2940,$E$2:$E2940,"ANNULE")),""))</f>
        <v/>
      </c>
    </row>
    <row r="2941">
      <c r="A2941">
        <f>IF(ISBLANK('ENGAGEMENTS 2026'!C2941),"",IF('ENGAGEMENTS 2026'!C2941="DTSI","DCT",'ENGAGEMENTS 2026'!C2941))</f>
        <v/>
      </c>
      <c r="B2941">
        <f>IF(ISBLANK('ENGAGEMENTS 2026'!C2941),"",'ENGAGEMENTS 2026'!D2941)</f>
        <v/>
      </c>
      <c r="C2941">
        <f>IF(ISBLANK('ENGAGEMENTS 2026'!C2941),"",'ENGAGEMENTS 2026'!E2941)</f>
        <v/>
      </c>
      <c r="D2941">
        <f>IF(ISBLANK('ENGAGEMENTS 2026'!C2941),"",'ENGAGEMENTS 2026'!G2941)</f>
        <v/>
      </c>
      <c r="E2941">
        <f>IF(ISBLANK('ENGAGEMENTS 2026'!C2941),"",'ENGAGEMENTS 2026'!I2941)</f>
        <v/>
      </c>
      <c r="F2941">
        <f>IF(ISBLANK('ENGAGEMENTS 2026'!C2941),"",'ENGAGEMENTS 2026'!J2941)</f>
        <v/>
      </c>
      <c r="G2941">
        <f>IF(ISBLANK('ENGAGEMENTS 2026'!C2941),"",'ENGAGEMENTS 2026'!M2941)</f>
        <v/>
      </c>
      <c r="H2941">
        <f>IF(ISBLANK('ENGAGEMENTS 2026'!C2941),"",'ENGAGEMENTS 2026'!AF2941)</f>
        <v/>
      </c>
      <c r="I2941">
        <f>IF(ISBLANK('ENGAGEMENTS 2026'!C2941),"",'ENGAGEMENTS 2026'!H2941)</f>
        <v/>
      </c>
      <c r="J2941" s="275">
        <f>IF(ISBLANK('ENGAGEMENTS 2026'!C2941),"",IF(AND(OR($E2941="INFRUCTUEUX",$E2941="ANNULE"),$C2941="AOO-M"),'ENGAGEMENTS 2026'!P2941,IF($H2941="EN COURS DE PREENGAGEMENT",'ENGAGEMENTS 2026'!O2941,IF($H2941="PREENGAGE",IF($E2941="ATTRIBUE",'ENGAGEMENTS 2026'!AE2941,'ENGAGEMENTS 2026'!O2941),'ENGAGEMENTS 2026'!AE2941))))</f>
        <v/>
      </c>
      <c r="K2941" s="604">
        <f>IF(ISBLANK('ENGAGEMENTS 2026'!W2941),"",'ENGAGEMENTS 2026'!W2941)</f>
        <v/>
      </c>
      <c r="L2941" s="276">
        <f>IF($K2941="","",TODAY()-$K2941)</f>
        <v/>
      </c>
      <c r="M2941">
        <f>IF($A2941="","",IF($H2941="ENGAGE","Engagé",IF(AND($H2941="NON ENGAGE",OR($I2941="INFRUCTUEUX",$I2941="ANNULE")),"Clôturé sans suite","En cours")))</f>
        <v/>
      </c>
      <c r="N2941">
        <f>IF(ISBLANK('ENGAGEMENTS 2026'!C2941),"",'ENGAGEMENTS 2026'!L2941)</f>
        <v/>
      </c>
      <c r="O2941">
        <f>IF(ISBLANK('ENGAGEMENTS 2026'!C2941),"",'ENGAGEMENTS 2026'!M2941)</f>
        <v/>
      </c>
      <c r="P2941">
        <f>IF(ISBLANK('ENGAGEMENTS 2026'!C2941),"",'ENGAGEMENTS 2026'!K2941)</f>
        <v/>
      </c>
      <c r="Q2941">
        <f>IF($A2941="","",IF(OR($E2941="INFRUCTUEUX",$E2941="ANNULE"),$A2941&amp;"|"&amp;(COUNTIFS($A$2:$A2941,$A2941,$E$2:$E2941,"INFRUCTUEUX")+COUNTIFS($A$2:$A2941,$A2941,$E$2:$E2941,"ANNULE")),""))</f>
        <v/>
      </c>
    </row>
    <row r="2942">
      <c r="A2942">
        <f>IF(ISBLANK('ENGAGEMENTS 2026'!C2942),"",IF('ENGAGEMENTS 2026'!C2942="DTSI","DCT",'ENGAGEMENTS 2026'!C2942))</f>
        <v/>
      </c>
      <c r="B2942">
        <f>IF(ISBLANK('ENGAGEMENTS 2026'!C2942),"",'ENGAGEMENTS 2026'!D2942)</f>
        <v/>
      </c>
      <c r="C2942">
        <f>IF(ISBLANK('ENGAGEMENTS 2026'!C2942),"",'ENGAGEMENTS 2026'!E2942)</f>
        <v/>
      </c>
      <c r="D2942">
        <f>IF(ISBLANK('ENGAGEMENTS 2026'!C2942),"",'ENGAGEMENTS 2026'!G2942)</f>
        <v/>
      </c>
      <c r="E2942">
        <f>IF(ISBLANK('ENGAGEMENTS 2026'!C2942),"",'ENGAGEMENTS 2026'!I2942)</f>
        <v/>
      </c>
      <c r="F2942">
        <f>IF(ISBLANK('ENGAGEMENTS 2026'!C2942),"",'ENGAGEMENTS 2026'!J2942)</f>
        <v/>
      </c>
      <c r="G2942">
        <f>IF(ISBLANK('ENGAGEMENTS 2026'!C2942),"",'ENGAGEMENTS 2026'!M2942)</f>
        <v/>
      </c>
      <c r="H2942">
        <f>IF(ISBLANK('ENGAGEMENTS 2026'!C2942),"",'ENGAGEMENTS 2026'!AF2942)</f>
        <v/>
      </c>
      <c r="I2942">
        <f>IF(ISBLANK('ENGAGEMENTS 2026'!C2942),"",'ENGAGEMENTS 2026'!H2942)</f>
        <v/>
      </c>
      <c r="J2942" s="275">
        <f>IF(ISBLANK('ENGAGEMENTS 2026'!C2942),"",IF(AND(OR($E2942="INFRUCTUEUX",$E2942="ANNULE"),$C2942="AOO-M"),'ENGAGEMENTS 2026'!P2942,IF($H2942="EN COURS DE PREENGAGEMENT",'ENGAGEMENTS 2026'!O2942,IF($H2942="PREENGAGE",IF($E2942="ATTRIBUE",'ENGAGEMENTS 2026'!AE2942,'ENGAGEMENTS 2026'!O2942),'ENGAGEMENTS 2026'!AE2942))))</f>
        <v/>
      </c>
      <c r="K2942" s="604">
        <f>IF(ISBLANK('ENGAGEMENTS 2026'!W2942),"",'ENGAGEMENTS 2026'!W2942)</f>
        <v/>
      </c>
      <c r="L2942" s="276">
        <f>IF($K2942="","",TODAY()-$K2942)</f>
        <v/>
      </c>
      <c r="M2942">
        <f>IF($A2942="","",IF($H2942="ENGAGE","Engagé",IF(AND($H2942="NON ENGAGE",OR($I2942="INFRUCTUEUX",$I2942="ANNULE")),"Clôturé sans suite","En cours")))</f>
        <v/>
      </c>
      <c r="N2942">
        <f>IF(ISBLANK('ENGAGEMENTS 2026'!C2942),"",'ENGAGEMENTS 2026'!L2942)</f>
        <v/>
      </c>
      <c r="O2942">
        <f>IF(ISBLANK('ENGAGEMENTS 2026'!C2942),"",'ENGAGEMENTS 2026'!M2942)</f>
        <v/>
      </c>
      <c r="P2942">
        <f>IF(ISBLANK('ENGAGEMENTS 2026'!C2942),"",'ENGAGEMENTS 2026'!K2942)</f>
        <v/>
      </c>
      <c r="Q2942">
        <f>IF($A2942="","",IF(OR($E2942="INFRUCTUEUX",$E2942="ANNULE"),$A2942&amp;"|"&amp;(COUNTIFS($A$2:$A2942,$A2942,$E$2:$E2942,"INFRUCTUEUX")+COUNTIFS($A$2:$A2942,$A2942,$E$2:$E2942,"ANNULE")),""))</f>
        <v/>
      </c>
    </row>
    <row r="2943">
      <c r="A2943">
        <f>IF(ISBLANK('ENGAGEMENTS 2026'!C2943),"",IF('ENGAGEMENTS 2026'!C2943="DTSI","DCT",'ENGAGEMENTS 2026'!C2943))</f>
        <v/>
      </c>
      <c r="B2943">
        <f>IF(ISBLANK('ENGAGEMENTS 2026'!C2943),"",'ENGAGEMENTS 2026'!D2943)</f>
        <v/>
      </c>
      <c r="C2943">
        <f>IF(ISBLANK('ENGAGEMENTS 2026'!C2943),"",'ENGAGEMENTS 2026'!E2943)</f>
        <v/>
      </c>
      <c r="D2943">
        <f>IF(ISBLANK('ENGAGEMENTS 2026'!C2943),"",'ENGAGEMENTS 2026'!G2943)</f>
        <v/>
      </c>
      <c r="E2943">
        <f>IF(ISBLANK('ENGAGEMENTS 2026'!C2943),"",'ENGAGEMENTS 2026'!I2943)</f>
        <v/>
      </c>
      <c r="F2943">
        <f>IF(ISBLANK('ENGAGEMENTS 2026'!C2943),"",'ENGAGEMENTS 2026'!J2943)</f>
        <v/>
      </c>
      <c r="G2943">
        <f>IF(ISBLANK('ENGAGEMENTS 2026'!C2943),"",'ENGAGEMENTS 2026'!M2943)</f>
        <v/>
      </c>
      <c r="H2943">
        <f>IF(ISBLANK('ENGAGEMENTS 2026'!C2943),"",'ENGAGEMENTS 2026'!AF2943)</f>
        <v/>
      </c>
      <c r="I2943">
        <f>IF(ISBLANK('ENGAGEMENTS 2026'!C2943),"",'ENGAGEMENTS 2026'!H2943)</f>
        <v/>
      </c>
      <c r="J2943" s="275">
        <f>IF(ISBLANK('ENGAGEMENTS 2026'!C2943),"",IF(AND(OR($E2943="INFRUCTUEUX",$E2943="ANNULE"),$C2943="AOO-M"),'ENGAGEMENTS 2026'!P2943,IF($H2943="EN COURS DE PREENGAGEMENT",'ENGAGEMENTS 2026'!O2943,IF($H2943="PREENGAGE",IF($E2943="ATTRIBUE",'ENGAGEMENTS 2026'!AE2943,'ENGAGEMENTS 2026'!O2943),'ENGAGEMENTS 2026'!AE2943))))</f>
        <v/>
      </c>
      <c r="K2943" s="604">
        <f>IF(ISBLANK('ENGAGEMENTS 2026'!W2943),"",'ENGAGEMENTS 2026'!W2943)</f>
        <v/>
      </c>
      <c r="L2943" s="276">
        <f>IF($K2943="","",TODAY()-$K2943)</f>
        <v/>
      </c>
      <c r="M2943">
        <f>IF($A2943="","",IF($H2943="ENGAGE","Engagé",IF(AND($H2943="NON ENGAGE",OR($I2943="INFRUCTUEUX",$I2943="ANNULE")),"Clôturé sans suite","En cours")))</f>
        <v/>
      </c>
      <c r="N2943">
        <f>IF(ISBLANK('ENGAGEMENTS 2026'!C2943),"",'ENGAGEMENTS 2026'!L2943)</f>
        <v/>
      </c>
      <c r="O2943">
        <f>IF(ISBLANK('ENGAGEMENTS 2026'!C2943),"",'ENGAGEMENTS 2026'!M2943)</f>
        <v/>
      </c>
      <c r="P2943">
        <f>IF(ISBLANK('ENGAGEMENTS 2026'!C2943),"",'ENGAGEMENTS 2026'!K2943)</f>
        <v/>
      </c>
      <c r="Q2943">
        <f>IF($A2943="","",IF(OR($E2943="INFRUCTUEUX",$E2943="ANNULE"),$A2943&amp;"|"&amp;(COUNTIFS($A$2:$A2943,$A2943,$E$2:$E2943,"INFRUCTUEUX")+COUNTIFS($A$2:$A2943,$A2943,$E$2:$E2943,"ANNULE")),""))</f>
        <v/>
      </c>
    </row>
    <row r="2944">
      <c r="A2944">
        <f>IF(ISBLANK('ENGAGEMENTS 2026'!C2944),"",IF('ENGAGEMENTS 2026'!C2944="DTSI","DCT",'ENGAGEMENTS 2026'!C2944))</f>
        <v/>
      </c>
      <c r="B2944">
        <f>IF(ISBLANK('ENGAGEMENTS 2026'!C2944),"",'ENGAGEMENTS 2026'!D2944)</f>
        <v/>
      </c>
      <c r="C2944">
        <f>IF(ISBLANK('ENGAGEMENTS 2026'!C2944),"",'ENGAGEMENTS 2026'!E2944)</f>
        <v/>
      </c>
      <c r="D2944">
        <f>IF(ISBLANK('ENGAGEMENTS 2026'!C2944),"",'ENGAGEMENTS 2026'!G2944)</f>
        <v/>
      </c>
      <c r="E2944">
        <f>IF(ISBLANK('ENGAGEMENTS 2026'!C2944),"",'ENGAGEMENTS 2026'!I2944)</f>
        <v/>
      </c>
      <c r="F2944">
        <f>IF(ISBLANK('ENGAGEMENTS 2026'!C2944),"",'ENGAGEMENTS 2026'!J2944)</f>
        <v/>
      </c>
      <c r="G2944">
        <f>IF(ISBLANK('ENGAGEMENTS 2026'!C2944),"",'ENGAGEMENTS 2026'!M2944)</f>
        <v/>
      </c>
      <c r="H2944">
        <f>IF(ISBLANK('ENGAGEMENTS 2026'!C2944),"",'ENGAGEMENTS 2026'!AF2944)</f>
        <v/>
      </c>
      <c r="I2944">
        <f>IF(ISBLANK('ENGAGEMENTS 2026'!C2944),"",'ENGAGEMENTS 2026'!H2944)</f>
        <v/>
      </c>
      <c r="J2944" s="275">
        <f>IF(ISBLANK('ENGAGEMENTS 2026'!C2944),"",IF(AND(OR($E2944="INFRUCTUEUX",$E2944="ANNULE"),$C2944="AOO-M"),'ENGAGEMENTS 2026'!P2944,IF($H2944="EN COURS DE PREENGAGEMENT",'ENGAGEMENTS 2026'!O2944,IF($H2944="PREENGAGE",IF($E2944="ATTRIBUE",'ENGAGEMENTS 2026'!AE2944,'ENGAGEMENTS 2026'!O2944),'ENGAGEMENTS 2026'!AE2944))))</f>
        <v/>
      </c>
      <c r="K2944" s="604">
        <f>IF(ISBLANK('ENGAGEMENTS 2026'!W2944),"",'ENGAGEMENTS 2026'!W2944)</f>
        <v/>
      </c>
      <c r="L2944" s="276">
        <f>IF($K2944="","",TODAY()-$K2944)</f>
        <v/>
      </c>
      <c r="M2944">
        <f>IF($A2944="","",IF($H2944="ENGAGE","Engagé",IF(AND($H2944="NON ENGAGE",OR($I2944="INFRUCTUEUX",$I2944="ANNULE")),"Clôturé sans suite","En cours")))</f>
        <v/>
      </c>
      <c r="N2944">
        <f>IF(ISBLANK('ENGAGEMENTS 2026'!C2944),"",'ENGAGEMENTS 2026'!L2944)</f>
        <v/>
      </c>
      <c r="O2944">
        <f>IF(ISBLANK('ENGAGEMENTS 2026'!C2944),"",'ENGAGEMENTS 2026'!M2944)</f>
        <v/>
      </c>
      <c r="P2944">
        <f>IF(ISBLANK('ENGAGEMENTS 2026'!C2944),"",'ENGAGEMENTS 2026'!K2944)</f>
        <v/>
      </c>
      <c r="Q2944">
        <f>IF($A2944="","",IF(OR($E2944="INFRUCTUEUX",$E2944="ANNULE"),$A2944&amp;"|"&amp;(COUNTIFS($A$2:$A2944,$A2944,$E$2:$E2944,"INFRUCTUEUX")+COUNTIFS($A$2:$A2944,$A2944,$E$2:$E2944,"ANNULE")),""))</f>
        <v/>
      </c>
    </row>
    <row r="2945">
      <c r="A2945">
        <f>IF(ISBLANK('ENGAGEMENTS 2026'!C2945),"",IF('ENGAGEMENTS 2026'!C2945="DTSI","DCT",'ENGAGEMENTS 2026'!C2945))</f>
        <v/>
      </c>
      <c r="B2945">
        <f>IF(ISBLANK('ENGAGEMENTS 2026'!C2945),"",'ENGAGEMENTS 2026'!D2945)</f>
        <v/>
      </c>
      <c r="C2945">
        <f>IF(ISBLANK('ENGAGEMENTS 2026'!C2945),"",'ENGAGEMENTS 2026'!E2945)</f>
        <v/>
      </c>
      <c r="D2945">
        <f>IF(ISBLANK('ENGAGEMENTS 2026'!C2945),"",'ENGAGEMENTS 2026'!G2945)</f>
        <v/>
      </c>
      <c r="E2945">
        <f>IF(ISBLANK('ENGAGEMENTS 2026'!C2945),"",'ENGAGEMENTS 2026'!I2945)</f>
        <v/>
      </c>
      <c r="F2945">
        <f>IF(ISBLANK('ENGAGEMENTS 2026'!C2945),"",'ENGAGEMENTS 2026'!J2945)</f>
        <v/>
      </c>
      <c r="G2945">
        <f>IF(ISBLANK('ENGAGEMENTS 2026'!C2945),"",'ENGAGEMENTS 2026'!M2945)</f>
        <v/>
      </c>
      <c r="H2945">
        <f>IF(ISBLANK('ENGAGEMENTS 2026'!C2945),"",'ENGAGEMENTS 2026'!AF2945)</f>
        <v/>
      </c>
      <c r="I2945">
        <f>IF(ISBLANK('ENGAGEMENTS 2026'!C2945),"",'ENGAGEMENTS 2026'!H2945)</f>
        <v/>
      </c>
      <c r="J2945" s="275">
        <f>IF(ISBLANK('ENGAGEMENTS 2026'!C2945),"",IF(AND(OR($E2945="INFRUCTUEUX",$E2945="ANNULE"),$C2945="AOO-M"),'ENGAGEMENTS 2026'!P2945,IF($H2945="EN COURS DE PREENGAGEMENT",'ENGAGEMENTS 2026'!O2945,IF($H2945="PREENGAGE",IF($E2945="ATTRIBUE",'ENGAGEMENTS 2026'!AE2945,'ENGAGEMENTS 2026'!O2945),'ENGAGEMENTS 2026'!AE2945))))</f>
        <v/>
      </c>
      <c r="K2945" s="604">
        <f>IF(ISBLANK('ENGAGEMENTS 2026'!W2945),"",'ENGAGEMENTS 2026'!W2945)</f>
        <v/>
      </c>
      <c r="L2945" s="276">
        <f>IF($K2945="","",TODAY()-$K2945)</f>
        <v/>
      </c>
      <c r="M2945">
        <f>IF($A2945="","",IF($H2945="ENGAGE","Engagé",IF(AND($H2945="NON ENGAGE",OR($I2945="INFRUCTUEUX",$I2945="ANNULE")),"Clôturé sans suite","En cours")))</f>
        <v/>
      </c>
      <c r="N2945">
        <f>IF(ISBLANK('ENGAGEMENTS 2026'!C2945),"",'ENGAGEMENTS 2026'!L2945)</f>
        <v/>
      </c>
      <c r="O2945">
        <f>IF(ISBLANK('ENGAGEMENTS 2026'!C2945),"",'ENGAGEMENTS 2026'!M2945)</f>
        <v/>
      </c>
      <c r="P2945">
        <f>IF(ISBLANK('ENGAGEMENTS 2026'!C2945),"",'ENGAGEMENTS 2026'!K2945)</f>
        <v/>
      </c>
      <c r="Q2945">
        <f>IF($A2945="","",IF(OR($E2945="INFRUCTUEUX",$E2945="ANNULE"),$A2945&amp;"|"&amp;(COUNTIFS($A$2:$A2945,$A2945,$E$2:$E2945,"INFRUCTUEUX")+COUNTIFS($A$2:$A2945,$A2945,$E$2:$E2945,"ANNULE")),""))</f>
        <v/>
      </c>
    </row>
    <row r="2946">
      <c r="A2946">
        <f>IF(ISBLANK('ENGAGEMENTS 2026'!C2946),"",IF('ENGAGEMENTS 2026'!C2946="DTSI","DCT",'ENGAGEMENTS 2026'!C2946))</f>
        <v/>
      </c>
      <c r="B2946">
        <f>IF(ISBLANK('ENGAGEMENTS 2026'!C2946),"",'ENGAGEMENTS 2026'!D2946)</f>
        <v/>
      </c>
      <c r="C2946">
        <f>IF(ISBLANK('ENGAGEMENTS 2026'!C2946),"",'ENGAGEMENTS 2026'!E2946)</f>
        <v/>
      </c>
      <c r="D2946">
        <f>IF(ISBLANK('ENGAGEMENTS 2026'!C2946),"",'ENGAGEMENTS 2026'!G2946)</f>
        <v/>
      </c>
      <c r="E2946">
        <f>IF(ISBLANK('ENGAGEMENTS 2026'!C2946),"",'ENGAGEMENTS 2026'!I2946)</f>
        <v/>
      </c>
      <c r="F2946">
        <f>IF(ISBLANK('ENGAGEMENTS 2026'!C2946),"",'ENGAGEMENTS 2026'!J2946)</f>
        <v/>
      </c>
      <c r="G2946">
        <f>IF(ISBLANK('ENGAGEMENTS 2026'!C2946),"",'ENGAGEMENTS 2026'!M2946)</f>
        <v/>
      </c>
      <c r="H2946">
        <f>IF(ISBLANK('ENGAGEMENTS 2026'!C2946),"",'ENGAGEMENTS 2026'!AF2946)</f>
        <v/>
      </c>
      <c r="I2946">
        <f>IF(ISBLANK('ENGAGEMENTS 2026'!C2946),"",'ENGAGEMENTS 2026'!H2946)</f>
        <v/>
      </c>
      <c r="J2946" s="275">
        <f>IF(ISBLANK('ENGAGEMENTS 2026'!C2946),"",IF(AND(OR($E2946="INFRUCTUEUX",$E2946="ANNULE"),$C2946="AOO-M"),'ENGAGEMENTS 2026'!P2946,IF($H2946="EN COURS DE PREENGAGEMENT",'ENGAGEMENTS 2026'!O2946,IF($H2946="PREENGAGE",IF($E2946="ATTRIBUE",'ENGAGEMENTS 2026'!AE2946,'ENGAGEMENTS 2026'!O2946),'ENGAGEMENTS 2026'!AE2946))))</f>
        <v/>
      </c>
      <c r="K2946" s="604">
        <f>IF(ISBLANK('ENGAGEMENTS 2026'!W2946),"",'ENGAGEMENTS 2026'!W2946)</f>
        <v/>
      </c>
      <c r="L2946" s="276">
        <f>IF($K2946="","",TODAY()-$K2946)</f>
        <v/>
      </c>
      <c r="M2946">
        <f>IF($A2946="","",IF($H2946="ENGAGE","Engagé",IF(AND($H2946="NON ENGAGE",OR($I2946="INFRUCTUEUX",$I2946="ANNULE")),"Clôturé sans suite","En cours")))</f>
        <v/>
      </c>
      <c r="N2946">
        <f>IF(ISBLANK('ENGAGEMENTS 2026'!C2946),"",'ENGAGEMENTS 2026'!L2946)</f>
        <v/>
      </c>
      <c r="O2946">
        <f>IF(ISBLANK('ENGAGEMENTS 2026'!C2946),"",'ENGAGEMENTS 2026'!M2946)</f>
        <v/>
      </c>
      <c r="P2946">
        <f>IF(ISBLANK('ENGAGEMENTS 2026'!C2946),"",'ENGAGEMENTS 2026'!K2946)</f>
        <v/>
      </c>
      <c r="Q2946">
        <f>IF($A2946="","",IF(OR($E2946="INFRUCTUEUX",$E2946="ANNULE"),$A2946&amp;"|"&amp;(COUNTIFS($A$2:$A2946,$A2946,$E$2:$E2946,"INFRUCTUEUX")+COUNTIFS($A$2:$A2946,$A2946,$E$2:$E2946,"ANNULE")),""))</f>
        <v/>
      </c>
    </row>
    <row r="2947">
      <c r="A2947">
        <f>IF(ISBLANK('ENGAGEMENTS 2026'!C2947),"",IF('ENGAGEMENTS 2026'!C2947="DTSI","DCT",'ENGAGEMENTS 2026'!C2947))</f>
        <v/>
      </c>
      <c r="B2947">
        <f>IF(ISBLANK('ENGAGEMENTS 2026'!C2947),"",'ENGAGEMENTS 2026'!D2947)</f>
        <v/>
      </c>
      <c r="C2947">
        <f>IF(ISBLANK('ENGAGEMENTS 2026'!C2947),"",'ENGAGEMENTS 2026'!E2947)</f>
        <v/>
      </c>
      <c r="D2947">
        <f>IF(ISBLANK('ENGAGEMENTS 2026'!C2947),"",'ENGAGEMENTS 2026'!G2947)</f>
        <v/>
      </c>
      <c r="E2947">
        <f>IF(ISBLANK('ENGAGEMENTS 2026'!C2947),"",'ENGAGEMENTS 2026'!I2947)</f>
        <v/>
      </c>
      <c r="F2947">
        <f>IF(ISBLANK('ENGAGEMENTS 2026'!C2947),"",'ENGAGEMENTS 2026'!J2947)</f>
        <v/>
      </c>
      <c r="G2947">
        <f>IF(ISBLANK('ENGAGEMENTS 2026'!C2947),"",'ENGAGEMENTS 2026'!M2947)</f>
        <v/>
      </c>
      <c r="H2947">
        <f>IF(ISBLANK('ENGAGEMENTS 2026'!C2947),"",'ENGAGEMENTS 2026'!AF2947)</f>
        <v/>
      </c>
      <c r="I2947">
        <f>IF(ISBLANK('ENGAGEMENTS 2026'!C2947),"",'ENGAGEMENTS 2026'!H2947)</f>
        <v/>
      </c>
      <c r="J2947" s="275">
        <f>IF(ISBLANK('ENGAGEMENTS 2026'!C2947),"",IF(AND(OR($E2947="INFRUCTUEUX",$E2947="ANNULE"),$C2947="AOO-M"),'ENGAGEMENTS 2026'!P2947,IF($H2947="EN COURS DE PREENGAGEMENT",'ENGAGEMENTS 2026'!O2947,IF($H2947="PREENGAGE",IF($E2947="ATTRIBUE",'ENGAGEMENTS 2026'!AE2947,'ENGAGEMENTS 2026'!O2947),'ENGAGEMENTS 2026'!AE2947))))</f>
        <v/>
      </c>
      <c r="K2947" s="604">
        <f>IF(ISBLANK('ENGAGEMENTS 2026'!W2947),"",'ENGAGEMENTS 2026'!W2947)</f>
        <v/>
      </c>
      <c r="L2947" s="276">
        <f>IF($K2947="","",TODAY()-$K2947)</f>
        <v/>
      </c>
      <c r="M2947">
        <f>IF($A2947="","",IF($H2947="ENGAGE","Engagé",IF(AND($H2947="NON ENGAGE",OR($I2947="INFRUCTUEUX",$I2947="ANNULE")),"Clôturé sans suite","En cours")))</f>
        <v/>
      </c>
      <c r="N2947">
        <f>IF(ISBLANK('ENGAGEMENTS 2026'!C2947),"",'ENGAGEMENTS 2026'!L2947)</f>
        <v/>
      </c>
      <c r="O2947">
        <f>IF(ISBLANK('ENGAGEMENTS 2026'!C2947),"",'ENGAGEMENTS 2026'!M2947)</f>
        <v/>
      </c>
      <c r="P2947">
        <f>IF(ISBLANK('ENGAGEMENTS 2026'!C2947),"",'ENGAGEMENTS 2026'!K2947)</f>
        <v/>
      </c>
      <c r="Q2947">
        <f>IF($A2947="","",IF(OR($E2947="INFRUCTUEUX",$E2947="ANNULE"),$A2947&amp;"|"&amp;(COUNTIFS($A$2:$A2947,$A2947,$E$2:$E2947,"INFRUCTUEUX")+COUNTIFS($A$2:$A2947,$A2947,$E$2:$E2947,"ANNULE")),""))</f>
        <v/>
      </c>
    </row>
    <row r="2948">
      <c r="A2948">
        <f>IF(ISBLANK('ENGAGEMENTS 2026'!C2948),"",IF('ENGAGEMENTS 2026'!C2948="DTSI","DCT",'ENGAGEMENTS 2026'!C2948))</f>
        <v/>
      </c>
      <c r="B2948">
        <f>IF(ISBLANK('ENGAGEMENTS 2026'!C2948),"",'ENGAGEMENTS 2026'!D2948)</f>
        <v/>
      </c>
      <c r="C2948">
        <f>IF(ISBLANK('ENGAGEMENTS 2026'!C2948),"",'ENGAGEMENTS 2026'!E2948)</f>
        <v/>
      </c>
      <c r="D2948">
        <f>IF(ISBLANK('ENGAGEMENTS 2026'!C2948),"",'ENGAGEMENTS 2026'!G2948)</f>
        <v/>
      </c>
      <c r="E2948">
        <f>IF(ISBLANK('ENGAGEMENTS 2026'!C2948),"",'ENGAGEMENTS 2026'!I2948)</f>
        <v/>
      </c>
      <c r="F2948">
        <f>IF(ISBLANK('ENGAGEMENTS 2026'!C2948),"",'ENGAGEMENTS 2026'!J2948)</f>
        <v/>
      </c>
      <c r="G2948">
        <f>IF(ISBLANK('ENGAGEMENTS 2026'!C2948),"",'ENGAGEMENTS 2026'!M2948)</f>
        <v/>
      </c>
      <c r="H2948">
        <f>IF(ISBLANK('ENGAGEMENTS 2026'!C2948),"",'ENGAGEMENTS 2026'!AF2948)</f>
        <v/>
      </c>
      <c r="I2948">
        <f>IF(ISBLANK('ENGAGEMENTS 2026'!C2948),"",'ENGAGEMENTS 2026'!H2948)</f>
        <v/>
      </c>
      <c r="J2948" s="275">
        <f>IF(ISBLANK('ENGAGEMENTS 2026'!C2948),"",IF(AND(OR($E2948="INFRUCTUEUX",$E2948="ANNULE"),$C2948="AOO-M"),'ENGAGEMENTS 2026'!P2948,IF($H2948="EN COURS DE PREENGAGEMENT",'ENGAGEMENTS 2026'!O2948,IF($H2948="PREENGAGE",IF($E2948="ATTRIBUE",'ENGAGEMENTS 2026'!AE2948,'ENGAGEMENTS 2026'!O2948),'ENGAGEMENTS 2026'!AE2948))))</f>
        <v/>
      </c>
      <c r="K2948" s="604">
        <f>IF(ISBLANK('ENGAGEMENTS 2026'!W2948),"",'ENGAGEMENTS 2026'!W2948)</f>
        <v/>
      </c>
      <c r="L2948" s="276">
        <f>IF($K2948="","",TODAY()-$K2948)</f>
        <v/>
      </c>
      <c r="M2948">
        <f>IF($A2948="","",IF($H2948="ENGAGE","Engagé",IF(AND($H2948="NON ENGAGE",OR($I2948="INFRUCTUEUX",$I2948="ANNULE")),"Clôturé sans suite","En cours")))</f>
        <v/>
      </c>
      <c r="N2948">
        <f>IF(ISBLANK('ENGAGEMENTS 2026'!C2948),"",'ENGAGEMENTS 2026'!L2948)</f>
        <v/>
      </c>
      <c r="O2948">
        <f>IF(ISBLANK('ENGAGEMENTS 2026'!C2948),"",'ENGAGEMENTS 2026'!M2948)</f>
        <v/>
      </c>
      <c r="P2948">
        <f>IF(ISBLANK('ENGAGEMENTS 2026'!C2948),"",'ENGAGEMENTS 2026'!K2948)</f>
        <v/>
      </c>
      <c r="Q2948">
        <f>IF($A2948="","",IF(OR($E2948="INFRUCTUEUX",$E2948="ANNULE"),$A2948&amp;"|"&amp;(COUNTIFS($A$2:$A2948,$A2948,$E$2:$E2948,"INFRUCTUEUX")+COUNTIFS($A$2:$A2948,$A2948,$E$2:$E2948,"ANNULE")),""))</f>
        <v/>
      </c>
    </row>
    <row r="2949">
      <c r="A2949">
        <f>IF(ISBLANK('ENGAGEMENTS 2026'!C2949),"",IF('ENGAGEMENTS 2026'!C2949="DTSI","DCT",'ENGAGEMENTS 2026'!C2949))</f>
        <v/>
      </c>
      <c r="B2949">
        <f>IF(ISBLANK('ENGAGEMENTS 2026'!C2949),"",'ENGAGEMENTS 2026'!D2949)</f>
        <v/>
      </c>
      <c r="C2949">
        <f>IF(ISBLANK('ENGAGEMENTS 2026'!C2949),"",'ENGAGEMENTS 2026'!E2949)</f>
        <v/>
      </c>
      <c r="D2949">
        <f>IF(ISBLANK('ENGAGEMENTS 2026'!C2949),"",'ENGAGEMENTS 2026'!G2949)</f>
        <v/>
      </c>
      <c r="E2949">
        <f>IF(ISBLANK('ENGAGEMENTS 2026'!C2949),"",'ENGAGEMENTS 2026'!I2949)</f>
        <v/>
      </c>
      <c r="F2949">
        <f>IF(ISBLANK('ENGAGEMENTS 2026'!C2949),"",'ENGAGEMENTS 2026'!J2949)</f>
        <v/>
      </c>
      <c r="G2949">
        <f>IF(ISBLANK('ENGAGEMENTS 2026'!C2949),"",'ENGAGEMENTS 2026'!M2949)</f>
        <v/>
      </c>
      <c r="H2949">
        <f>IF(ISBLANK('ENGAGEMENTS 2026'!C2949),"",'ENGAGEMENTS 2026'!AF2949)</f>
        <v/>
      </c>
      <c r="I2949">
        <f>IF(ISBLANK('ENGAGEMENTS 2026'!C2949),"",'ENGAGEMENTS 2026'!H2949)</f>
        <v/>
      </c>
      <c r="J2949" s="275">
        <f>IF(ISBLANK('ENGAGEMENTS 2026'!C2949),"",IF(AND(OR($E2949="INFRUCTUEUX",$E2949="ANNULE"),$C2949="AOO-M"),'ENGAGEMENTS 2026'!P2949,IF($H2949="EN COURS DE PREENGAGEMENT",'ENGAGEMENTS 2026'!O2949,IF($H2949="PREENGAGE",IF($E2949="ATTRIBUE",'ENGAGEMENTS 2026'!AE2949,'ENGAGEMENTS 2026'!O2949),'ENGAGEMENTS 2026'!AE2949))))</f>
        <v/>
      </c>
      <c r="K2949" s="604">
        <f>IF(ISBLANK('ENGAGEMENTS 2026'!W2949),"",'ENGAGEMENTS 2026'!W2949)</f>
        <v/>
      </c>
      <c r="L2949" s="276">
        <f>IF($K2949="","",TODAY()-$K2949)</f>
        <v/>
      </c>
      <c r="M2949">
        <f>IF($A2949="","",IF($H2949="ENGAGE","Engagé",IF(AND($H2949="NON ENGAGE",OR($I2949="INFRUCTUEUX",$I2949="ANNULE")),"Clôturé sans suite","En cours")))</f>
        <v/>
      </c>
      <c r="N2949">
        <f>IF(ISBLANK('ENGAGEMENTS 2026'!C2949),"",'ENGAGEMENTS 2026'!L2949)</f>
        <v/>
      </c>
      <c r="O2949">
        <f>IF(ISBLANK('ENGAGEMENTS 2026'!C2949),"",'ENGAGEMENTS 2026'!M2949)</f>
        <v/>
      </c>
      <c r="P2949">
        <f>IF(ISBLANK('ENGAGEMENTS 2026'!C2949),"",'ENGAGEMENTS 2026'!K2949)</f>
        <v/>
      </c>
      <c r="Q2949">
        <f>IF($A2949="","",IF(OR($E2949="INFRUCTUEUX",$E2949="ANNULE"),$A2949&amp;"|"&amp;(COUNTIFS($A$2:$A2949,$A2949,$E$2:$E2949,"INFRUCTUEUX")+COUNTIFS($A$2:$A2949,$A2949,$E$2:$E2949,"ANNULE")),""))</f>
        <v/>
      </c>
    </row>
    <row r="2950">
      <c r="A2950">
        <f>IF(ISBLANK('ENGAGEMENTS 2026'!C2950),"",IF('ENGAGEMENTS 2026'!C2950="DTSI","DCT",'ENGAGEMENTS 2026'!C2950))</f>
        <v/>
      </c>
      <c r="B2950">
        <f>IF(ISBLANK('ENGAGEMENTS 2026'!C2950),"",'ENGAGEMENTS 2026'!D2950)</f>
        <v/>
      </c>
      <c r="C2950">
        <f>IF(ISBLANK('ENGAGEMENTS 2026'!C2950),"",'ENGAGEMENTS 2026'!E2950)</f>
        <v/>
      </c>
      <c r="D2950">
        <f>IF(ISBLANK('ENGAGEMENTS 2026'!C2950),"",'ENGAGEMENTS 2026'!G2950)</f>
        <v/>
      </c>
      <c r="E2950">
        <f>IF(ISBLANK('ENGAGEMENTS 2026'!C2950),"",'ENGAGEMENTS 2026'!I2950)</f>
        <v/>
      </c>
      <c r="F2950">
        <f>IF(ISBLANK('ENGAGEMENTS 2026'!C2950),"",'ENGAGEMENTS 2026'!J2950)</f>
        <v/>
      </c>
      <c r="G2950">
        <f>IF(ISBLANK('ENGAGEMENTS 2026'!C2950),"",'ENGAGEMENTS 2026'!M2950)</f>
        <v/>
      </c>
      <c r="H2950">
        <f>IF(ISBLANK('ENGAGEMENTS 2026'!C2950),"",'ENGAGEMENTS 2026'!AF2950)</f>
        <v/>
      </c>
      <c r="I2950">
        <f>IF(ISBLANK('ENGAGEMENTS 2026'!C2950),"",'ENGAGEMENTS 2026'!H2950)</f>
        <v/>
      </c>
      <c r="J2950" s="275">
        <f>IF(ISBLANK('ENGAGEMENTS 2026'!C2950),"",IF(AND(OR($E2950="INFRUCTUEUX",$E2950="ANNULE"),$C2950="AOO-M"),'ENGAGEMENTS 2026'!P2950,IF($H2950="EN COURS DE PREENGAGEMENT",'ENGAGEMENTS 2026'!O2950,IF($H2950="PREENGAGE",IF($E2950="ATTRIBUE",'ENGAGEMENTS 2026'!AE2950,'ENGAGEMENTS 2026'!O2950),'ENGAGEMENTS 2026'!AE2950))))</f>
        <v/>
      </c>
      <c r="K2950" s="604">
        <f>IF(ISBLANK('ENGAGEMENTS 2026'!W2950),"",'ENGAGEMENTS 2026'!W2950)</f>
        <v/>
      </c>
      <c r="L2950" s="276">
        <f>IF($K2950="","",TODAY()-$K2950)</f>
        <v/>
      </c>
      <c r="M2950">
        <f>IF($A2950="","",IF($H2950="ENGAGE","Engagé",IF(AND($H2950="NON ENGAGE",OR($I2950="INFRUCTUEUX",$I2950="ANNULE")),"Clôturé sans suite","En cours")))</f>
        <v/>
      </c>
      <c r="N2950">
        <f>IF(ISBLANK('ENGAGEMENTS 2026'!C2950),"",'ENGAGEMENTS 2026'!L2950)</f>
        <v/>
      </c>
      <c r="O2950">
        <f>IF(ISBLANK('ENGAGEMENTS 2026'!C2950),"",'ENGAGEMENTS 2026'!M2950)</f>
        <v/>
      </c>
      <c r="P2950">
        <f>IF(ISBLANK('ENGAGEMENTS 2026'!C2950),"",'ENGAGEMENTS 2026'!K2950)</f>
        <v/>
      </c>
      <c r="Q2950">
        <f>IF($A2950="","",IF(OR($E2950="INFRUCTUEUX",$E2950="ANNULE"),$A2950&amp;"|"&amp;(COUNTIFS($A$2:$A2950,$A2950,$E$2:$E2950,"INFRUCTUEUX")+COUNTIFS($A$2:$A2950,$A2950,$E$2:$E2950,"ANNULE")),""))</f>
        <v/>
      </c>
    </row>
    <row r="2951">
      <c r="A2951">
        <f>IF(ISBLANK('ENGAGEMENTS 2026'!C2951),"",IF('ENGAGEMENTS 2026'!C2951="DTSI","DCT",'ENGAGEMENTS 2026'!C2951))</f>
        <v/>
      </c>
      <c r="B2951">
        <f>IF(ISBLANK('ENGAGEMENTS 2026'!C2951),"",'ENGAGEMENTS 2026'!D2951)</f>
        <v/>
      </c>
      <c r="C2951">
        <f>IF(ISBLANK('ENGAGEMENTS 2026'!C2951),"",'ENGAGEMENTS 2026'!E2951)</f>
        <v/>
      </c>
      <c r="D2951">
        <f>IF(ISBLANK('ENGAGEMENTS 2026'!C2951),"",'ENGAGEMENTS 2026'!G2951)</f>
        <v/>
      </c>
      <c r="E2951">
        <f>IF(ISBLANK('ENGAGEMENTS 2026'!C2951),"",'ENGAGEMENTS 2026'!I2951)</f>
        <v/>
      </c>
      <c r="F2951">
        <f>IF(ISBLANK('ENGAGEMENTS 2026'!C2951),"",'ENGAGEMENTS 2026'!J2951)</f>
        <v/>
      </c>
      <c r="G2951">
        <f>IF(ISBLANK('ENGAGEMENTS 2026'!C2951),"",'ENGAGEMENTS 2026'!M2951)</f>
        <v/>
      </c>
      <c r="H2951">
        <f>IF(ISBLANK('ENGAGEMENTS 2026'!C2951),"",'ENGAGEMENTS 2026'!AF2951)</f>
        <v/>
      </c>
      <c r="I2951">
        <f>IF(ISBLANK('ENGAGEMENTS 2026'!C2951),"",'ENGAGEMENTS 2026'!H2951)</f>
        <v/>
      </c>
      <c r="J2951" s="275">
        <f>IF(ISBLANK('ENGAGEMENTS 2026'!C2951),"",IF(AND(OR($E2951="INFRUCTUEUX",$E2951="ANNULE"),$C2951="AOO-M"),'ENGAGEMENTS 2026'!P2951,IF($H2951="EN COURS DE PREENGAGEMENT",'ENGAGEMENTS 2026'!O2951,IF($H2951="PREENGAGE",IF($E2951="ATTRIBUE",'ENGAGEMENTS 2026'!AE2951,'ENGAGEMENTS 2026'!O2951),'ENGAGEMENTS 2026'!AE2951))))</f>
        <v/>
      </c>
      <c r="K2951" s="604">
        <f>IF(ISBLANK('ENGAGEMENTS 2026'!W2951),"",'ENGAGEMENTS 2026'!W2951)</f>
        <v/>
      </c>
      <c r="L2951" s="276">
        <f>IF($K2951="","",TODAY()-$K2951)</f>
        <v/>
      </c>
      <c r="M2951">
        <f>IF($A2951="","",IF($H2951="ENGAGE","Engagé",IF(AND($H2951="NON ENGAGE",OR($I2951="INFRUCTUEUX",$I2951="ANNULE")),"Clôturé sans suite","En cours")))</f>
        <v/>
      </c>
      <c r="N2951">
        <f>IF(ISBLANK('ENGAGEMENTS 2026'!C2951),"",'ENGAGEMENTS 2026'!L2951)</f>
        <v/>
      </c>
      <c r="O2951">
        <f>IF(ISBLANK('ENGAGEMENTS 2026'!C2951),"",'ENGAGEMENTS 2026'!M2951)</f>
        <v/>
      </c>
      <c r="P2951">
        <f>IF(ISBLANK('ENGAGEMENTS 2026'!C2951),"",'ENGAGEMENTS 2026'!K2951)</f>
        <v/>
      </c>
      <c r="Q2951">
        <f>IF($A2951="","",IF(OR($E2951="INFRUCTUEUX",$E2951="ANNULE"),$A2951&amp;"|"&amp;(COUNTIFS($A$2:$A2951,$A2951,$E$2:$E2951,"INFRUCTUEUX")+COUNTIFS($A$2:$A2951,$A2951,$E$2:$E2951,"ANNULE")),""))</f>
        <v/>
      </c>
    </row>
    <row r="2952">
      <c r="A2952">
        <f>IF(ISBLANK('ENGAGEMENTS 2026'!C2952),"",IF('ENGAGEMENTS 2026'!C2952="DTSI","DCT",'ENGAGEMENTS 2026'!C2952))</f>
        <v/>
      </c>
      <c r="B2952">
        <f>IF(ISBLANK('ENGAGEMENTS 2026'!C2952),"",'ENGAGEMENTS 2026'!D2952)</f>
        <v/>
      </c>
      <c r="C2952">
        <f>IF(ISBLANK('ENGAGEMENTS 2026'!C2952),"",'ENGAGEMENTS 2026'!E2952)</f>
        <v/>
      </c>
      <c r="D2952">
        <f>IF(ISBLANK('ENGAGEMENTS 2026'!C2952),"",'ENGAGEMENTS 2026'!G2952)</f>
        <v/>
      </c>
      <c r="E2952">
        <f>IF(ISBLANK('ENGAGEMENTS 2026'!C2952),"",'ENGAGEMENTS 2026'!I2952)</f>
        <v/>
      </c>
      <c r="F2952">
        <f>IF(ISBLANK('ENGAGEMENTS 2026'!C2952),"",'ENGAGEMENTS 2026'!J2952)</f>
        <v/>
      </c>
      <c r="G2952">
        <f>IF(ISBLANK('ENGAGEMENTS 2026'!C2952),"",'ENGAGEMENTS 2026'!M2952)</f>
        <v/>
      </c>
      <c r="H2952">
        <f>IF(ISBLANK('ENGAGEMENTS 2026'!C2952),"",'ENGAGEMENTS 2026'!AF2952)</f>
        <v/>
      </c>
      <c r="I2952">
        <f>IF(ISBLANK('ENGAGEMENTS 2026'!C2952),"",'ENGAGEMENTS 2026'!H2952)</f>
        <v/>
      </c>
      <c r="J2952" s="275">
        <f>IF(ISBLANK('ENGAGEMENTS 2026'!C2952),"",IF(AND(OR($E2952="INFRUCTUEUX",$E2952="ANNULE"),$C2952="AOO-M"),'ENGAGEMENTS 2026'!P2952,IF($H2952="EN COURS DE PREENGAGEMENT",'ENGAGEMENTS 2026'!O2952,IF($H2952="PREENGAGE",IF($E2952="ATTRIBUE",'ENGAGEMENTS 2026'!AE2952,'ENGAGEMENTS 2026'!O2952),'ENGAGEMENTS 2026'!AE2952))))</f>
        <v/>
      </c>
      <c r="K2952" s="604">
        <f>IF(ISBLANK('ENGAGEMENTS 2026'!W2952),"",'ENGAGEMENTS 2026'!W2952)</f>
        <v/>
      </c>
      <c r="L2952" s="276">
        <f>IF($K2952="","",TODAY()-$K2952)</f>
        <v/>
      </c>
      <c r="M2952">
        <f>IF($A2952="","",IF($H2952="ENGAGE","Engagé",IF(AND($H2952="NON ENGAGE",OR($I2952="INFRUCTUEUX",$I2952="ANNULE")),"Clôturé sans suite","En cours")))</f>
        <v/>
      </c>
      <c r="N2952">
        <f>IF(ISBLANK('ENGAGEMENTS 2026'!C2952),"",'ENGAGEMENTS 2026'!L2952)</f>
        <v/>
      </c>
      <c r="O2952">
        <f>IF(ISBLANK('ENGAGEMENTS 2026'!C2952),"",'ENGAGEMENTS 2026'!M2952)</f>
        <v/>
      </c>
      <c r="P2952">
        <f>IF(ISBLANK('ENGAGEMENTS 2026'!C2952),"",'ENGAGEMENTS 2026'!K2952)</f>
        <v/>
      </c>
      <c r="Q2952">
        <f>IF($A2952="","",IF(OR($E2952="INFRUCTUEUX",$E2952="ANNULE"),$A2952&amp;"|"&amp;(COUNTIFS($A$2:$A2952,$A2952,$E$2:$E2952,"INFRUCTUEUX")+COUNTIFS($A$2:$A2952,$A2952,$E$2:$E2952,"ANNULE")),""))</f>
        <v/>
      </c>
    </row>
    <row r="2953">
      <c r="A2953">
        <f>IF(ISBLANK('ENGAGEMENTS 2026'!C2953),"",IF('ENGAGEMENTS 2026'!C2953="DTSI","DCT",'ENGAGEMENTS 2026'!C2953))</f>
        <v/>
      </c>
      <c r="B2953">
        <f>IF(ISBLANK('ENGAGEMENTS 2026'!C2953),"",'ENGAGEMENTS 2026'!D2953)</f>
        <v/>
      </c>
      <c r="C2953">
        <f>IF(ISBLANK('ENGAGEMENTS 2026'!C2953),"",'ENGAGEMENTS 2026'!E2953)</f>
        <v/>
      </c>
      <c r="D2953">
        <f>IF(ISBLANK('ENGAGEMENTS 2026'!C2953),"",'ENGAGEMENTS 2026'!G2953)</f>
        <v/>
      </c>
      <c r="E2953">
        <f>IF(ISBLANK('ENGAGEMENTS 2026'!C2953),"",'ENGAGEMENTS 2026'!I2953)</f>
        <v/>
      </c>
      <c r="F2953">
        <f>IF(ISBLANK('ENGAGEMENTS 2026'!C2953),"",'ENGAGEMENTS 2026'!J2953)</f>
        <v/>
      </c>
      <c r="G2953">
        <f>IF(ISBLANK('ENGAGEMENTS 2026'!C2953),"",'ENGAGEMENTS 2026'!M2953)</f>
        <v/>
      </c>
      <c r="H2953">
        <f>IF(ISBLANK('ENGAGEMENTS 2026'!C2953),"",'ENGAGEMENTS 2026'!AF2953)</f>
        <v/>
      </c>
      <c r="I2953">
        <f>IF(ISBLANK('ENGAGEMENTS 2026'!C2953),"",'ENGAGEMENTS 2026'!H2953)</f>
        <v/>
      </c>
      <c r="J2953" s="275">
        <f>IF(ISBLANK('ENGAGEMENTS 2026'!C2953),"",IF(AND(OR($E2953="INFRUCTUEUX",$E2953="ANNULE"),$C2953="AOO-M"),'ENGAGEMENTS 2026'!P2953,IF($H2953="EN COURS DE PREENGAGEMENT",'ENGAGEMENTS 2026'!O2953,IF($H2953="PREENGAGE",IF($E2953="ATTRIBUE",'ENGAGEMENTS 2026'!AE2953,'ENGAGEMENTS 2026'!O2953),'ENGAGEMENTS 2026'!AE2953))))</f>
        <v/>
      </c>
      <c r="K2953" s="604">
        <f>IF(ISBLANK('ENGAGEMENTS 2026'!W2953),"",'ENGAGEMENTS 2026'!W2953)</f>
        <v/>
      </c>
      <c r="L2953" s="276">
        <f>IF($K2953="","",TODAY()-$K2953)</f>
        <v/>
      </c>
      <c r="M2953">
        <f>IF($A2953="","",IF($H2953="ENGAGE","Engagé",IF(AND($H2953="NON ENGAGE",OR($I2953="INFRUCTUEUX",$I2953="ANNULE")),"Clôturé sans suite","En cours")))</f>
        <v/>
      </c>
      <c r="N2953">
        <f>IF(ISBLANK('ENGAGEMENTS 2026'!C2953),"",'ENGAGEMENTS 2026'!L2953)</f>
        <v/>
      </c>
      <c r="O2953">
        <f>IF(ISBLANK('ENGAGEMENTS 2026'!C2953),"",'ENGAGEMENTS 2026'!M2953)</f>
        <v/>
      </c>
      <c r="P2953">
        <f>IF(ISBLANK('ENGAGEMENTS 2026'!C2953),"",'ENGAGEMENTS 2026'!K2953)</f>
        <v/>
      </c>
      <c r="Q2953">
        <f>IF($A2953="","",IF(OR($E2953="INFRUCTUEUX",$E2953="ANNULE"),$A2953&amp;"|"&amp;(COUNTIFS($A$2:$A2953,$A2953,$E$2:$E2953,"INFRUCTUEUX")+COUNTIFS($A$2:$A2953,$A2953,$E$2:$E2953,"ANNULE")),""))</f>
        <v/>
      </c>
    </row>
    <row r="2954">
      <c r="A2954">
        <f>IF(ISBLANK('ENGAGEMENTS 2026'!C2954),"",IF('ENGAGEMENTS 2026'!C2954="DTSI","DCT",'ENGAGEMENTS 2026'!C2954))</f>
        <v/>
      </c>
      <c r="B2954">
        <f>IF(ISBLANK('ENGAGEMENTS 2026'!C2954),"",'ENGAGEMENTS 2026'!D2954)</f>
        <v/>
      </c>
      <c r="C2954">
        <f>IF(ISBLANK('ENGAGEMENTS 2026'!C2954),"",'ENGAGEMENTS 2026'!E2954)</f>
        <v/>
      </c>
      <c r="D2954">
        <f>IF(ISBLANK('ENGAGEMENTS 2026'!C2954),"",'ENGAGEMENTS 2026'!G2954)</f>
        <v/>
      </c>
      <c r="E2954">
        <f>IF(ISBLANK('ENGAGEMENTS 2026'!C2954),"",'ENGAGEMENTS 2026'!I2954)</f>
        <v/>
      </c>
      <c r="F2954">
        <f>IF(ISBLANK('ENGAGEMENTS 2026'!C2954),"",'ENGAGEMENTS 2026'!J2954)</f>
        <v/>
      </c>
      <c r="G2954">
        <f>IF(ISBLANK('ENGAGEMENTS 2026'!C2954),"",'ENGAGEMENTS 2026'!M2954)</f>
        <v/>
      </c>
      <c r="H2954">
        <f>IF(ISBLANK('ENGAGEMENTS 2026'!C2954),"",'ENGAGEMENTS 2026'!AF2954)</f>
        <v/>
      </c>
      <c r="I2954">
        <f>IF(ISBLANK('ENGAGEMENTS 2026'!C2954),"",'ENGAGEMENTS 2026'!H2954)</f>
        <v/>
      </c>
      <c r="J2954" s="275">
        <f>IF(ISBLANK('ENGAGEMENTS 2026'!C2954),"",IF(AND(OR($E2954="INFRUCTUEUX",$E2954="ANNULE"),$C2954="AOO-M"),'ENGAGEMENTS 2026'!P2954,IF($H2954="EN COURS DE PREENGAGEMENT",'ENGAGEMENTS 2026'!O2954,IF($H2954="PREENGAGE",IF($E2954="ATTRIBUE",'ENGAGEMENTS 2026'!AE2954,'ENGAGEMENTS 2026'!O2954),'ENGAGEMENTS 2026'!AE2954))))</f>
        <v/>
      </c>
      <c r="K2954" s="604">
        <f>IF(ISBLANK('ENGAGEMENTS 2026'!W2954),"",'ENGAGEMENTS 2026'!W2954)</f>
        <v/>
      </c>
      <c r="L2954" s="276">
        <f>IF($K2954="","",TODAY()-$K2954)</f>
        <v/>
      </c>
      <c r="M2954">
        <f>IF($A2954="","",IF($H2954="ENGAGE","Engagé",IF(AND($H2954="NON ENGAGE",OR($I2954="INFRUCTUEUX",$I2954="ANNULE")),"Clôturé sans suite","En cours")))</f>
        <v/>
      </c>
      <c r="N2954">
        <f>IF(ISBLANK('ENGAGEMENTS 2026'!C2954),"",'ENGAGEMENTS 2026'!L2954)</f>
        <v/>
      </c>
      <c r="O2954">
        <f>IF(ISBLANK('ENGAGEMENTS 2026'!C2954),"",'ENGAGEMENTS 2026'!M2954)</f>
        <v/>
      </c>
      <c r="P2954">
        <f>IF(ISBLANK('ENGAGEMENTS 2026'!C2954),"",'ENGAGEMENTS 2026'!K2954)</f>
        <v/>
      </c>
      <c r="Q2954">
        <f>IF($A2954="","",IF(OR($E2954="INFRUCTUEUX",$E2954="ANNULE"),$A2954&amp;"|"&amp;(COUNTIFS($A$2:$A2954,$A2954,$E$2:$E2954,"INFRUCTUEUX")+COUNTIFS($A$2:$A2954,$A2954,$E$2:$E2954,"ANNULE")),""))</f>
        <v/>
      </c>
    </row>
    <row r="2955">
      <c r="A2955">
        <f>IF(ISBLANK('ENGAGEMENTS 2026'!C2955),"",IF('ENGAGEMENTS 2026'!C2955="DTSI","DCT",'ENGAGEMENTS 2026'!C2955))</f>
        <v/>
      </c>
      <c r="B2955">
        <f>IF(ISBLANK('ENGAGEMENTS 2026'!C2955),"",'ENGAGEMENTS 2026'!D2955)</f>
        <v/>
      </c>
      <c r="C2955">
        <f>IF(ISBLANK('ENGAGEMENTS 2026'!C2955),"",'ENGAGEMENTS 2026'!E2955)</f>
        <v/>
      </c>
      <c r="D2955">
        <f>IF(ISBLANK('ENGAGEMENTS 2026'!C2955),"",'ENGAGEMENTS 2026'!G2955)</f>
        <v/>
      </c>
      <c r="E2955">
        <f>IF(ISBLANK('ENGAGEMENTS 2026'!C2955),"",'ENGAGEMENTS 2026'!I2955)</f>
        <v/>
      </c>
      <c r="F2955">
        <f>IF(ISBLANK('ENGAGEMENTS 2026'!C2955),"",'ENGAGEMENTS 2026'!J2955)</f>
        <v/>
      </c>
      <c r="G2955">
        <f>IF(ISBLANK('ENGAGEMENTS 2026'!C2955),"",'ENGAGEMENTS 2026'!M2955)</f>
        <v/>
      </c>
      <c r="H2955">
        <f>IF(ISBLANK('ENGAGEMENTS 2026'!C2955),"",'ENGAGEMENTS 2026'!AF2955)</f>
        <v/>
      </c>
      <c r="I2955">
        <f>IF(ISBLANK('ENGAGEMENTS 2026'!C2955),"",'ENGAGEMENTS 2026'!H2955)</f>
        <v/>
      </c>
      <c r="J2955" s="275">
        <f>IF(ISBLANK('ENGAGEMENTS 2026'!C2955),"",IF(AND(OR($E2955="INFRUCTUEUX",$E2955="ANNULE"),$C2955="AOO-M"),'ENGAGEMENTS 2026'!P2955,IF($H2955="EN COURS DE PREENGAGEMENT",'ENGAGEMENTS 2026'!O2955,IF($H2955="PREENGAGE",IF($E2955="ATTRIBUE",'ENGAGEMENTS 2026'!AE2955,'ENGAGEMENTS 2026'!O2955),'ENGAGEMENTS 2026'!AE2955))))</f>
        <v/>
      </c>
      <c r="K2955" s="604">
        <f>IF(ISBLANK('ENGAGEMENTS 2026'!W2955),"",'ENGAGEMENTS 2026'!W2955)</f>
        <v/>
      </c>
      <c r="L2955" s="276">
        <f>IF($K2955="","",TODAY()-$K2955)</f>
        <v/>
      </c>
      <c r="M2955">
        <f>IF($A2955="","",IF($H2955="ENGAGE","Engagé",IF(AND($H2955="NON ENGAGE",OR($I2955="INFRUCTUEUX",$I2955="ANNULE")),"Clôturé sans suite","En cours")))</f>
        <v/>
      </c>
      <c r="N2955">
        <f>IF(ISBLANK('ENGAGEMENTS 2026'!C2955),"",'ENGAGEMENTS 2026'!L2955)</f>
        <v/>
      </c>
      <c r="O2955">
        <f>IF(ISBLANK('ENGAGEMENTS 2026'!C2955),"",'ENGAGEMENTS 2026'!M2955)</f>
        <v/>
      </c>
      <c r="P2955">
        <f>IF(ISBLANK('ENGAGEMENTS 2026'!C2955),"",'ENGAGEMENTS 2026'!K2955)</f>
        <v/>
      </c>
      <c r="Q2955">
        <f>IF($A2955="","",IF(OR($E2955="INFRUCTUEUX",$E2955="ANNULE"),$A2955&amp;"|"&amp;(COUNTIFS($A$2:$A2955,$A2955,$E$2:$E2955,"INFRUCTUEUX")+COUNTIFS($A$2:$A2955,$A2955,$E$2:$E2955,"ANNULE")),""))</f>
        <v/>
      </c>
    </row>
    <row r="2956">
      <c r="A2956">
        <f>IF(ISBLANK('ENGAGEMENTS 2026'!C2956),"",IF('ENGAGEMENTS 2026'!C2956="DTSI","DCT",'ENGAGEMENTS 2026'!C2956))</f>
        <v/>
      </c>
      <c r="B2956">
        <f>IF(ISBLANK('ENGAGEMENTS 2026'!C2956),"",'ENGAGEMENTS 2026'!D2956)</f>
        <v/>
      </c>
      <c r="C2956">
        <f>IF(ISBLANK('ENGAGEMENTS 2026'!C2956),"",'ENGAGEMENTS 2026'!E2956)</f>
        <v/>
      </c>
      <c r="D2956">
        <f>IF(ISBLANK('ENGAGEMENTS 2026'!C2956),"",'ENGAGEMENTS 2026'!G2956)</f>
        <v/>
      </c>
      <c r="E2956">
        <f>IF(ISBLANK('ENGAGEMENTS 2026'!C2956),"",'ENGAGEMENTS 2026'!I2956)</f>
        <v/>
      </c>
      <c r="F2956">
        <f>IF(ISBLANK('ENGAGEMENTS 2026'!C2956),"",'ENGAGEMENTS 2026'!J2956)</f>
        <v/>
      </c>
      <c r="G2956">
        <f>IF(ISBLANK('ENGAGEMENTS 2026'!C2956),"",'ENGAGEMENTS 2026'!M2956)</f>
        <v/>
      </c>
      <c r="H2956">
        <f>IF(ISBLANK('ENGAGEMENTS 2026'!C2956),"",'ENGAGEMENTS 2026'!AF2956)</f>
        <v/>
      </c>
      <c r="I2956">
        <f>IF(ISBLANK('ENGAGEMENTS 2026'!C2956),"",'ENGAGEMENTS 2026'!H2956)</f>
        <v/>
      </c>
      <c r="J2956" s="275">
        <f>IF(ISBLANK('ENGAGEMENTS 2026'!C2956),"",IF(AND(OR($E2956="INFRUCTUEUX",$E2956="ANNULE"),$C2956="AOO-M"),'ENGAGEMENTS 2026'!P2956,IF($H2956="EN COURS DE PREENGAGEMENT",'ENGAGEMENTS 2026'!O2956,IF($H2956="PREENGAGE",IF($E2956="ATTRIBUE",'ENGAGEMENTS 2026'!AE2956,'ENGAGEMENTS 2026'!O2956),'ENGAGEMENTS 2026'!AE2956))))</f>
        <v/>
      </c>
      <c r="K2956" s="604">
        <f>IF(ISBLANK('ENGAGEMENTS 2026'!W2956),"",'ENGAGEMENTS 2026'!W2956)</f>
        <v/>
      </c>
      <c r="L2956" s="276">
        <f>IF($K2956="","",TODAY()-$K2956)</f>
        <v/>
      </c>
      <c r="M2956">
        <f>IF($A2956="","",IF($H2956="ENGAGE","Engagé",IF(AND($H2956="NON ENGAGE",OR($I2956="INFRUCTUEUX",$I2956="ANNULE")),"Clôturé sans suite","En cours")))</f>
        <v/>
      </c>
      <c r="N2956">
        <f>IF(ISBLANK('ENGAGEMENTS 2026'!C2956),"",'ENGAGEMENTS 2026'!L2956)</f>
        <v/>
      </c>
      <c r="O2956">
        <f>IF(ISBLANK('ENGAGEMENTS 2026'!C2956),"",'ENGAGEMENTS 2026'!M2956)</f>
        <v/>
      </c>
      <c r="P2956">
        <f>IF(ISBLANK('ENGAGEMENTS 2026'!C2956),"",'ENGAGEMENTS 2026'!K2956)</f>
        <v/>
      </c>
      <c r="Q2956">
        <f>IF($A2956="","",IF(OR($E2956="INFRUCTUEUX",$E2956="ANNULE"),$A2956&amp;"|"&amp;(COUNTIFS($A$2:$A2956,$A2956,$E$2:$E2956,"INFRUCTUEUX")+COUNTIFS($A$2:$A2956,$A2956,$E$2:$E2956,"ANNULE")),""))</f>
        <v/>
      </c>
    </row>
    <row r="2957">
      <c r="A2957">
        <f>IF(ISBLANK('ENGAGEMENTS 2026'!C2957),"",IF('ENGAGEMENTS 2026'!C2957="DTSI","DCT",'ENGAGEMENTS 2026'!C2957))</f>
        <v/>
      </c>
      <c r="B2957">
        <f>IF(ISBLANK('ENGAGEMENTS 2026'!C2957),"",'ENGAGEMENTS 2026'!D2957)</f>
        <v/>
      </c>
      <c r="C2957">
        <f>IF(ISBLANK('ENGAGEMENTS 2026'!C2957),"",'ENGAGEMENTS 2026'!E2957)</f>
        <v/>
      </c>
      <c r="D2957">
        <f>IF(ISBLANK('ENGAGEMENTS 2026'!C2957),"",'ENGAGEMENTS 2026'!G2957)</f>
        <v/>
      </c>
      <c r="E2957">
        <f>IF(ISBLANK('ENGAGEMENTS 2026'!C2957),"",'ENGAGEMENTS 2026'!I2957)</f>
        <v/>
      </c>
      <c r="F2957">
        <f>IF(ISBLANK('ENGAGEMENTS 2026'!C2957),"",'ENGAGEMENTS 2026'!J2957)</f>
        <v/>
      </c>
      <c r="G2957">
        <f>IF(ISBLANK('ENGAGEMENTS 2026'!C2957),"",'ENGAGEMENTS 2026'!M2957)</f>
        <v/>
      </c>
      <c r="H2957">
        <f>IF(ISBLANK('ENGAGEMENTS 2026'!C2957),"",'ENGAGEMENTS 2026'!AF2957)</f>
        <v/>
      </c>
      <c r="I2957">
        <f>IF(ISBLANK('ENGAGEMENTS 2026'!C2957),"",'ENGAGEMENTS 2026'!H2957)</f>
        <v/>
      </c>
      <c r="J2957" s="275">
        <f>IF(ISBLANK('ENGAGEMENTS 2026'!C2957),"",IF(AND(OR($E2957="INFRUCTUEUX",$E2957="ANNULE"),$C2957="AOO-M"),'ENGAGEMENTS 2026'!P2957,IF($H2957="EN COURS DE PREENGAGEMENT",'ENGAGEMENTS 2026'!O2957,IF($H2957="PREENGAGE",IF($E2957="ATTRIBUE",'ENGAGEMENTS 2026'!AE2957,'ENGAGEMENTS 2026'!O2957),'ENGAGEMENTS 2026'!AE2957))))</f>
        <v/>
      </c>
      <c r="K2957" s="604">
        <f>IF(ISBLANK('ENGAGEMENTS 2026'!W2957),"",'ENGAGEMENTS 2026'!W2957)</f>
        <v/>
      </c>
      <c r="L2957" s="276">
        <f>IF($K2957="","",TODAY()-$K2957)</f>
        <v/>
      </c>
      <c r="M2957">
        <f>IF($A2957="","",IF($H2957="ENGAGE","Engagé",IF(AND($H2957="NON ENGAGE",OR($I2957="INFRUCTUEUX",$I2957="ANNULE")),"Clôturé sans suite","En cours")))</f>
        <v/>
      </c>
      <c r="N2957">
        <f>IF(ISBLANK('ENGAGEMENTS 2026'!C2957),"",'ENGAGEMENTS 2026'!L2957)</f>
        <v/>
      </c>
      <c r="O2957">
        <f>IF(ISBLANK('ENGAGEMENTS 2026'!C2957),"",'ENGAGEMENTS 2026'!M2957)</f>
        <v/>
      </c>
      <c r="P2957">
        <f>IF(ISBLANK('ENGAGEMENTS 2026'!C2957),"",'ENGAGEMENTS 2026'!K2957)</f>
        <v/>
      </c>
      <c r="Q2957">
        <f>IF($A2957="","",IF(OR($E2957="INFRUCTUEUX",$E2957="ANNULE"),$A2957&amp;"|"&amp;(COUNTIFS($A$2:$A2957,$A2957,$E$2:$E2957,"INFRUCTUEUX")+COUNTIFS($A$2:$A2957,$A2957,$E$2:$E2957,"ANNULE")),""))</f>
        <v/>
      </c>
    </row>
    <row r="2958">
      <c r="A2958">
        <f>IF(ISBLANK('ENGAGEMENTS 2026'!C2958),"",IF('ENGAGEMENTS 2026'!C2958="DTSI","DCT",'ENGAGEMENTS 2026'!C2958))</f>
        <v/>
      </c>
      <c r="B2958">
        <f>IF(ISBLANK('ENGAGEMENTS 2026'!C2958),"",'ENGAGEMENTS 2026'!D2958)</f>
        <v/>
      </c>
      <c r="C2958">
        <f>IF(ISBLANK('ENGAGEMENTS 2026'!C2958),"",'ENGAGEMENTS 2026'!E2958)</f>
        <v/>
      </c>
      <c r="D2958">
        <f>IF(ISBLANK('ENGAGEMENTS 2026'!C2958),"",'ENGAGEMENTS 2026'!G2958)</f>
        <v/>
      </c>
      <c r="E2958">
        <f>IF(ISBLANK('ENGAGEMENTS 2026'!C2958),"",'ENGAGEMENTS 2026'!I2958)</f>
        <v/>
      </c>
      <c r="F2958">
        <f>IF(ISBLANK('ENGAGEMENTS 2026'!C2958),"",'ENGAGEMENTS 2026'!J2958)</f>
        <v/>
      </c>
      <c r="G2958">
        <f>IF(ISBLANK('ENGAGEMENTS 2026'!C2958),"",'ENGAGEMENTS 2026'!M2958)</f>
        <v/>
      </c>
      <c r="H2958">
        <f>IF(ISBLANK('ENGAGEMENTS 2026'!C2958),"",'ENGAGEMENTS 2026'!AF2958)</f>
        <v/>
      </c>
      <c r="I2958">
        <f>IF(ISBLANK('ENGAGEMENTS 2026'!C2958),"",'ENGAGEMENTS 2026'!H2958)</f>
        <v/>
      </c>
      <c r="J2958" s="275">
        <f>IF(ISBLANK('ENGAGEMENTS 2026'!C2958),"",IF(AND(OR($E2958="INFRUCTUEUX",$E2958="ANNULE"),$C2958="AOO-M"),'ENGAGEMENTS 2026'!P2958,IF($H2958="EN COURS DE PREENGAGEMENT",'ENGAGEMENTS 2026'!O2958,IF($H2958="PREENGAGE",IF($E2958="ATTRIBUE",'ENGAGEMENTS 2026'!AE2958,'ENGAGEMENTS 2026'!O2958),'ENGAGEMENTS 2026'!AE2958))))</f>
        <v/>
      </c>
      <c r="K2958" s="604">
        <f>IF(ISBLANK('ENGAGEMENTS 2026'!W2958),"",'ENGAGEMENTS 2026'!W2958)</f>
        <v/>
      </c>
      <c r="L2958" s="276">
        <f>IF($K2958="","",TODAY()-$K2958)</f>
        <v/>
      </c>
      <c r="M2958">
        <f>IF($A2958="","",IF($H2958="ENGAGE","Engagé",IF(AND($H2958="NON ENGAGE",OR($I2958="INFRUCTUEUX",$I2958="ANNULE")),"Clôturé sans suite","En cours")))</f>
        <v/>
      </c>
      <c r="N2958">
        <f>IF(ISBLANK('ENGAGEMENTS 2026'!C2958),"",'ENGAGEMENTS 2026'!L2958)</f>
        <v/>
      </c>
      <c r="O2958">
        <f>IF(ISBLANK('ENGAGEMENTS 2026'!C2958),"",'ENGAGEMENTS 2026'!M2958)</f>
        <v/>
      </c>
      <c r="P2958">
        <f>IF(ISBLANK('ENGAGEMENTS 2026'!C2958),"",'ENGAGEMENTS 2026'!K2958)</f>
        <v/>
      </c>
      <c r="Q2958">
        <f>IF($A2958="","",IF(OR($E2958="INFRUCTUEUX",$E2958="ANNULE"),$A2958&amp;"|"&amp;(COUNTIFS($A$2:$A2958,$A2958,$E$2:$E2958,"INFRUCTUEUX")+COUNTIFS($A$2:$A2958,$A2958,$E$2:$E2958,"ANNULE")),""))</f>
        <v/>
      </c>
    </row>
    <row r="2959">
      <c r="A2959">
        <f>IF(ISBLANK('ENGAGEMENTS 2026'!C2959),"",IF('ENGAGEMENTS 2026'!C2959="DTSI","DCT",'ENGAGEMENTS 2026'!C2959))</f>
        <v/>
      </c>
      <c r="B2959">
        <f>IF(ISBLANK('ENGAGEMENTS 2026'!C2959),"",'ENGAGEMENTS 2026'!D2959)</f>
        <v/>
      </c>
      <c r="C2959">
        <f>IF(ISBLANK('ENGAGEMENTS 2026'!C2959),"",'ENGAGEMENTS 2026'!E2959)</f>
        <v/>
      </c>
      <c r="D2959">
        <f>IF(ISBLANK('ENGAGEMENTS 2026'!C2959),"",'ENGAGEMENTS 2026'!G2959)</f>
        <v/>
      </c>
      <c r="E2959">
        <f>IF(ISBLANK('ENGAGEMENTS 2026'!C2959),"",'ENGAGEMENTS 2026'!I2959)</f>
        <v/>
      </c>
      <c r="F2959">
        <f>IF(ISBLANK('ENGAGEMENTS 2026'!C2959),"",'ENGAGEMENTS 2026'!J2959)</f>
        <v/>
      </c>
      <c r="G2959">
        <f>IF(ISBLANK('ENGAGEMENTS 2026'!C2959),"",'ENGAGEMENTS 2026'!M2959)</f>
        <v/>
      </c>
      <c r="H2959">
        <f>IF(ISBLANK('ENGAGEMENTS 2026'!C2959),"",'ENGAGEMENTS 2026'!AF2959)</f>
        <v/>
      </c>
      <c r="I2959">
        <f>IF(ISBLANK('ENGAGEMENTS 2026'!C2959),"",'ENGAGEMENTS 2026'!H2959)</f>
        <v/>
      </c>
      <c r="J2959" s="275">
        <f>IF(ISBLANK('ENGAGEMENTS 2026'!C2959),"",IF(AND(OR($E2959="INFRUCTUEUX",$E2959="ANNULE"),$C2959="AOO-M"),'ENGAGEMENTS 2026'!P2959,IF($H2959="EN COURS DE PREENGAGEMENT",'ENGAGEMENTS 2026'!O2959,IF($H2959="PREENGAGE",IF($E2959="ATTRIBUE",'ENGAGEMENTS 2026'!AE2959,'ENGAGEMENTS 2026'!O2959),'ENGAGEMENTS 2026'!AE2959))))</f>
        <v/>
      </c>
      <c r="K2959" s="604">
        <f>IF(ISBLANK('ENGAGEMENTS 2026'!W2959),"",'ENGAGEMENTS 2026'!W2959)</f>
        <v/>
      </c>
      <c r="L2959" s="276">
        <f>IF($K2959="","",TODAY()-$K2959)</f>
        <v/>
      </c>
      <c r="M2959">
        <f>IF($A2959="","",IF($H2959="ENGAGE","Engagé",IF(AND($H2959="NON ENGAGE",OR($I2959="INFRUCTUEUX",$I2959="ANNULE")),"Clôturé sans suite","En cours")))</f>
        <v/>
      </c>
      <c r="N2959">
        <f>IF(ISBLANK('ENGAGEMENTS 2026'!C2959),"",'ENGAGEMENTS 2026'!L2959)</f>
        <v/>
      </c>
      <c r="O2959">
        <f>IF(ISBLANK('ENGAGEMENTS 2026'!C2959),"",'ENGAGEMENTS 2026'!M2959)</f>
        <v/>
      </c>
      <c r="P2959">
        <f>IF(ISBLANK('ENGAGEMENTS 2026'!C2959),"",'ENGAGEMENTS 2026'!K2959)</f>
        <v/>
      </c>
      <c r="Q2959">
        <f>IF($A2959="","",IF(OR($E2959="INFRUCTUEUX",$E2959="ANNULE"),$A2959&amp;"|"&amp;(COUNTIFS($A$2:$A2959,$A2959,$E$2:$E2959,"INFRUCTUEUX")+COUNTIFS($A$2:$A2959,$A2959,$E$2:$E2959,"ANNULE")),""))</f>
        <v/>
      </c>
    </row>
    <row r="2960">
      <c r="A2960">
        <f>IF(ISBLANK('ENGAGEMENTS 2026'!C2960),"",IF('ENGAGEMENTS 2026'!C2960="DTSI","DCT",'ENGAGEMENTS 2026'!C2960))</f>
        <v/>
      </c>
      <c r="B2960">
        <f>IF(ISBLANK('ENGAGEMENTS 2026'!C2960),"",'ENGAGEMENTS 2026'!D2960)</f>
        <v/>
      </c>
      <c r="C2960">
        <f>IF(ISBLANK('ENGAGEMENTS 2026'!C2960),"",'ENGAGEMENTS 2026'!E2960)</f>
        <v/>
      </c>
      <c r="D2960">
        <f>IF(ISBLANK('ENGAGEMENTS 2026'!C2960),"",'ENGAGEMENTS 2026'!G2960)</f>
        <v/>
      </c>
      <c r="E2960">
        <f>IF(ISBLANK('ENGAGEMENTS 2026'!C2960),"",'ENGAGEMENTS 2026'!I2960)</f>
        <v/>
      </c>
      <c r="F2960">
        <f>IF(ISBLANK('ENGAGEMENTS 2026'!C2960),"",'ENGAGEMENTS 2026'!J2960)</f>
        <v/>
      </c>
      <c r="G2960">
        <f>IF(ISBLANK('ENGAGEMENTS 2026'!C2960),"",'ENGAGEMENTS 2026'!M2960)</f>
        <v/>
      </c>
      <c r="H2960">
        <f>IF(ISBLANK('ENGAGEMENTS 2026'!C2960),"",'ENGAGEMENTS 2026'!AF2960)</f>
        <v/>
      </c>
      <c r="I2960">
        <f>IF(ISBLANK('ENGAGEMENTS 2026'!C2960),"",'ENGAGEMENTS 2026'!H2960)</f>
        <v/>
      </c>
      <c r="J2960" s="275">
        <f>IF(ISBLANK('ENGAGEMENTS 2026'!C2960),"",IF(AND(OR($E2960="INFRUCTUEUX",$E2960="ANNULE"),$C2960="AOO-M"),'ENGAGEMENTS 2026'!P2960,IF($H2960="EN COURS DE PREENGAGEMENT",'ENGAGEMENTS 2026'!O2960,IF($H2960="PREENGAGE",IF($E2960="ATTRIBUE",'ENGAGEMENTS 2026'!AE2960,'ENGAGEMENTS 2026'!O2960),'ENGAGEMENTS 2026'!AE2960))))</f>
        <v/>
      </c>
      <c r="K2960" s="604">
        <f>IF(ISBLANK('ENGAGEMENTS 2026'!W2960),"",'ENGAGEMENTS 2026'!W2960)</f>
        <v/>
      </c>
      <c r="L2960" s="276">
        <f>IF($K2960="","",TODAY()-$K2960)</f>
        <v/>
      </c>
      <c r="M2960">
        <f>IF($A2960="","",IF($H2960="ENGAGE","Engagé",IF(AND($H2960="NON ENGAGE",OR($I2960="INFRUCTUEUX",$I2960="ANNULE")),"Clôturé sans suite","En cours")))</f>
        <v/>
      </c>
      <c r="N2960">
        <f>IF(ISBLANK('ENGAGEMENTS 2026'!C2960),"",'ENGAGEMENTS 2026'!L2960)</f>
        <v/>
      </c>
      <c r="O2960">
        <f>IF(ISBLANK('ENGAGEMENTS 2026'!C2960),"",'ENGAGEMENTS 2026'!M2960)</f>
        <v/>
      </c>
      <c r="P2960">
        <f>IF(ISBLANK('ENGAGEMENTS 2026'!C2960),"",'ENGAGEMENTS 2026'!K2960)</f>
        <v/>
      </c>
      <c r="Q2960">
        <f>IF($A2960="","",IF(OR($E2960="INFRUCTUEUX",$E2960="ANNULE"),$A2960&amp;"|"&amp;(COUNTIFS($A$2:$A2960,$A2960,$E$2:$E2960,"INFRUCTUEUX")+COUNTIFS($A$2:$A2960,$A2960,$E$2:$E2960,"ANNULE")),""))</f>
        <v/>
      </c>
    </row>
    <row r="2961">
      <c r="A2961">
        <f>IF(ISBLANK('ENGAGEMENTS 2026'!C2961),"",IF('ENGAGEMENTS 2026'!C2961="DTSI","DCT",'ENGAGEMENTS 2026'!C2961))</f>
        <v/>
      </c>
      <c r="B2961">
        <f>IF(ISBLANK('ENGAGEMENTS 2026'!C2961),"",'ENGAGEMENTS 2026'!D2961)</f>
        <v/>
      </c>
      <c r="C2961">
        <f>IF(ISBLANK('ENGAGEMENTS 2026'!C2961),"",'ENGAGEMENTS 2026'!E2961)</f>
        <v/>
      </c>
      <c r="D2961">
        <f>IF(ISBLANK('ENGAGEMENTS 2026'!C2961),"",'ENGAGEMENTS 2026'!G2961)</f>
        <v/>
      </c>
      <c r="E2961">
        <f>IF(ISBLANK('ENGAGEMENTS 2026'!C2961),"",'ENGAGEMENTS 2026'!I2961)</f>
        <v/>
      </c>
      <c r="F2961">
        <f>IF(ISBLANK('ENGAGEMENTS 2026'!C2961),"",'ENGAGEMENTS 2026'!J2961)</f>
        <v/>
      </c>
      <c r="G2961">
        <f>IF(ISBLANK('ENGAGEMENTS 2026'!C2961),"",'ENGAGEMENTS 2026'!M2961)</f>
        <v/>
      </c>
      <c r="H2961">
        <f>IF(ISBLANK('ENGAGEMENTS 2026'!C2961),"",'ENGAGEMENTS 2026'!AF2961)</f>
        <v/>
      </c>
      <c r="I2961">
        <f>IF(ISBLANK('ENGAGEMENTS 2026'!C2961),"",'ENGAGEMENTS 2026'!H2961)</f>
        <v/>
      </c>
      <c r="J2961" s="275">
        <f>IF(ISBLANK('ENGAGEMENTS 2026'!C2961),"",IF(AND(OR($E2961="INFRUCTUEUX",$E2961="ANNULE"),$C2961="AOO-M"),'ENGAGEMENTS 2026'!P2961,IF($H2961="EN COURS DE PREENGAGEMENT",'ENGAGEMENTS 2026'!O2961,IF($H2961="PREENGAGE",IF($E2961="ATTRIBUE",'ENGAGEMENTS 2026'!AE2961,'ENGAGEMENTS 2026'!O2961),'ENGAGEMENTS 2026'!AE2961))))</f>
        <v/>
      </c>
      <c r="K2961" s="604">
        <f>IF(ISBLANK('ENGAGEMENTS 2026'!W2961),"",'ENGAGEMENTS 2026'!W2961)</f>
        <v/>
      </c>
      <c r="L2961" s="276">
        <f>IF($K2961="","",TODAY()-$K2961)</f>
        <v/>
      </c>
      <c r="M2961">
        <f>IF($A2961="","",IF($H2961="ENGAGE","Engagé",IF(AND($H2961="NON ENGAGE",OR($I2961="INFRUCTUEUX",$I2961="ANNULE")),"Clôturé sans suite","En cours")))</f>
        <v/>
      </c>
      <c r="N2961">
        <f>IF(ISBLANK('ENGAGEMENTS 2026'!C2961),"",'ENGAGEMENTS 2026'!L2961)</f>
        <v/>
      </c>
      <c r="O2961">
        <f>IF(ISBLANK('ENGAGEMENTS 2026'!C2961),"",'ENGAGEMENTS 2026'!M2961)</f>
        <v/>
      </c>
      <c r="P2961">
        <f>IF(ISBLANK('ENGAGEMENTS 2026'!C2961),"",'ENGAGEMENTS 2026'!K2961)</f>
        <v/>
      </c>
      <c r="Q2961">
        <f>IF($A2961="","",IF(OR($E2961="INFRUCTUEUX",$E2961="ANNULE"),$A2961&amp;"|"&amp;(COUNTIFS($A$2:$A2961,$A2961,$E$2:$E2961,"INFRUCTUEUX")+COUNTIFS($A$2:$A2961,$A2961,$E$2:$E2961,"ANNULE")),""))</f>
        <v/>
      </c>
    </row>
    <row r="2962">
      <c r="A2962">
        <f>IF(ISBLANK('ENGAGEMENTS 2026'!C2962),"",IF('ENGAGEMENTS 2026'!C2962="DTSI","DCT",'ENGAGEMENTS 2026'!C2962))</f>
        <v/>
      </c>
      <c r="B2962">
        <f>IF(ISBLANK('ENGAGEMENTS 2026'!C2962),"",'ENGAGEMENTS 2026'!D2962)</f>
        <v/>
      </c>
      <c r="C2962">
        <f>IF(ISBLANK('ENGAGEMENTS 2026'!C2962),"",'ENGAGEMENTS 2026'!E2962)</f>
        <v/>
      </c>
      <c r="D2962">
        <f>IF(ISBLANK('ENGAGEMENTS 2026'!C2962),"",'ENGAGEMENTS 2026'!G2962)</f>
        <v/>
      </c>
      <c r="E2962">
        <f>IF(ISBLANK('ENGAGEMENTS 2026'!C2962),"",'ENGAGEMENTS 2026'!I2962)</f>
        <v/>
      </c>
      <c r="F2962">
        <f>IF(ISBLANK('ENGAGEMENTS 2026'!C2962),"",'ENGAGEMENTS 2026'!J2962)</f>
        <v/>
      </c>
      <c r="G2962">
        <f>IF(ISBLANK('ENGAGEMENTS 2026'!C2962),"",'ENGAGEMENTS 2026'!M2962)</f>
        <v/>
      </c>
      <c r="H2962">
        <f>IF(ISBLANK('ENGAGEMENTS 2026'!C2962),"",'ENGAGEMENTS 2026'!AF2962)</f>
        <v/>
      </c>
      <c r="I2962">
        <f>IF(ISBLANK('ENGAGEMENTS 2026'!C2962),"",'ENGAGEMENTS 2026'!H2962)</f>
        <v/>
      </c>
      <c r="J2962" s="275">
        <f>IF(ISBLANK('ENGAGEMENTS 2026'!C2962),"",IF(AND(OR($E2962="INFRUCTUEUX",$E2962="ANNULE"),$C2962="AOO-M"),'ENGAGEMENTS 2026'!P2962,IF($H2962="EN COURS DE PREENGAGEMENT",'ENGAGEMENTS 2026'!O2962,IF($H2962="PREENGAGE",IF($E2962="ATTRIBUE",'ENGAGEMENTS 2026'!AE2962,'ENGAGEMENTS 2026'!O2962),'ENGAGEMENTS 2026'!AE2962))))</f>
        <v/>
      </c>
      <c r="K2962" s="604">
        <f>IF(ISBLANK('ENGAGEMENTS 2026'!W2962),"",'ENGAGEMENTS 2026'!W2962)</f>
        <v/>
      </c>
      <c r="L2962" s="276">
        <f>IF($K2962="","",TODAY()-$K2962)</f>
        <v/>
      </c>
      <c r="M2962">
        <f>IF($A2962="","",IF($H2962="ENGAGE","Engagé",IF(AND($H2962="NON ENGAGE",OR($I2962="INFRUCTUEUX",$I2962="ANNULE")),"Clôturé sans suite","En cours")))</f>
        <v/>
      </c>
      <c r="N2962">
        <f>IF(ISBLANK('ENGAGEMENTS 2026'!C2962),"",'ENGAGEMENTS 2026'!L2962)</f>
        <v/>
      </c>
      <c r="O2962">
        <f>IF(ISBLANK('ENGAGEMENTS 2026'!C2962),"",'ENGAGEMENTS 2026'!M2962)</f>
        <v/>
      </c>
      <c r="P2962">
        <f>IF(ISBLANK('ENGAGEMENTS 2026'!C2962),"",'ENGAGEMENTS 2026'!K2962)</f>
        <v/>
      </c>
      <c r="Q2962">
        <f>IF($A2962="","",IF(OR($E2962="INFRUCTUEUX",$E2962="ANNULE"),$A2962&amp;"|"&amp;(COUNTIFS($A$2:$A2962,$A2962,$E$2:$E2962,"INFRUCTUEUX")+COUNTIFS($A$2:$A2962,$A2962,$E$2:$E2962,"ANNULE")),""))</f>
        <v/>
      </c>
    </row>
    <row r="2963">
      <c r="A2963">
        <f>IF(ISBLANK('ENGAGEMENTS 2026'!C2963),"",IF('ENGAGEMENTS 2026'!C2963="DTSI","DCT",'ENGAGEMENTS 2026'!C2963))</f>
        <v/>
      </c>
      <c r="B2963">
        <f>IF(ISBLANK('ENGAGEMENTS 2026'!C2963),"",'ENGAGEMENTS 2026'!D2963)</f>
        <v/>
      </c>
      <c r="C2963">
        <f>IF(ISBLANK('ENGAGEMENTS 2026'!C2963),"",'ENGAGEMENTS 2026'!E2963)</f>
        <v/>
      </c>
      <c r="D2963">
        <f>IF(ISBLANK('ENGAGEMENTS 2026'!C2963),"",'ENGAGEMENTS 2026'!G2963)</f>
        <v/>
      </c>
      <c r="E2963">
        <f>IF(ISBLANK('ENGAGEMENTS 2026'!C2963),"",'ENGAGEMENTS 2026'!I2963)</f>
        <v/>
      </c>
      <c r="F2963">
        <f>IF(ISBLANK('ENGAGEMENTS 2026'!C2963),"",'ENGAGEMENTS 2026'!J2963)</f>
        <v/>
      </c>
      <c r="G2963">
        <f>IF(ISBLANK('ENGAGEMENTS 2026'!C2963),"",'ENGAGEMENTS 2026'!M2963)</f>
        <v/>
      </c>
      <c r="H2963">
        <f>IF(ISBLANK('ENGAGEMENTS 2026'!C2963),"",'ENGAGEMENTS 2026'!AF2963)</f>
        <v/>
      </c>
      <c r="I2963">
        <f>IF(ISBLANK('ENGAGEMENTS 2026'!C2963),"",'ENGAGEMENTS 2026'!H2963)</f>
        <v/>
      </c>
      <c r="J2963" s="275">
        <f>IF(ISBLANK('ENGAGEMENTS 2026'!C2963),"",IF(AND(OR($E2963="INFRUCTUEUX",$E2963="ANNULE"),$C2963="AOO-M"),'ENGAGEMENTS 2026'!P2963,IF($H2963="EN COURS DE PREENGAGEMENT",'ENGAGEMENTS 2026'!O2963,IF($H2963="PREENGAGE",IF($E2963="ATTRIBUE",'ENGAGEMENTS 2026'!AE2963,'ENGAGEMENTS 2026'!O2963),'ENGAGEMENTS 2026'!AE2963))))</f>
        <v/>
      </c>
      <c r="K2963" s="604">
        <f>IF(ISBLANK('ENGAGEMENTS 2026'!W2963),"",'ENGAGEMENTS 2026'!W2963)</f>
        <v/>
      </c>
      <c r="L2963" s="276">
        <f>IF($K2963="","",TODAY()-$K2963)</f>
        <v/>
      </c>
      <c r="M2963">
        <f>IF($A2963="","",IF($H2963="ENGAGE","Engagé",IF(AND($H2963="NON ENGAGE",OR($I2963="INFRUCTUEUX",$I2963="ANNULE")),"Clôturé sans suite","En cours")))</f>
        <v/>
      </c>
      <c r="N2963">
        <f>IF(ISBLANK('ENGAGEMENTS 2026'!C2963),"",'ENGAGEMENTS 2026'!L2963)</f>
        <v/>
      </c>
      <c r="O2963">
        <f>IF(ISBLANK('ENGAGEMENTS 2026'!C2963),"",'ENGAGEMENTS 2026'!M2963)</f>
        <v/>
      </c>
      <c r="P2963">
        <f>IF(ISBLANK('ENGAGEMENTS 2026'!C2963),"",'ENGAGEMENTS 2026'!K2963)</f>
        <v/>
      </c>
      <c r="Q2963">
        <f>IF($A2963="","",IF(OR($E2963="INFRUCTUEUX",$E2963="ANNULE"),$A2963&amp;"|"&amp;(COUNTIFS($A$2:$A2963,$A2963,$E$2:$E2963,"INFRUCTUEUX")+COUNTIFS($A$2:$A2963,$A2963,$E$2:$E2963,"ANNULE")),""))</f>
        <v/>
      </c>
    </row>
    <row r="2964">
      <c r="A2964">
        <f>IF(ISBLANK('ENGAGEMENTS 2026'!C2964),"",IF('ENGAGEMENTS 2026'!C2964="DTSI","DCT",'ENGAGEMENTS 2026'!C2964))</f>
        <v/>
      </c>
      <c r="B2964">
        <f>IF(ISBLANK('ENGAGEMENTS 2026'!C2964),"",'ENGAGEMENTS 2026'!D2964)</f>
        <v/>
      </c>
      <c r="C2964">
        <f>IF(ISBLANK('ENGAGEMENTS 2026'!C2964),"",'ENGAGEMENTS 2026'!E2964)</f>
        <v/>
      </c>
      <c r="D2964">
        <f>IF(ISBLANK('ENGAGEMENTS 2026'!C2964),"",'ENGAGEMENTS 2026'!G2964)</f>
        <v/>
      </c>
      <c r="E2964">
        <f>IF(ISBLANK('ENGAGEMENTS 2026'!C2964),"",'ENGAGEMENTS 2026'!I2964)</f>
        <v/>
      </c>
      <c r="F2964">
        <f>IF(ISBLANK('ENGAGEMENTS 2026'!C2964),"",'ENGAGEMENTS 2026'!J2964)</f>
        <v/>
      </c>
      <c r="G2964">
        <f>IF(ISBLANK('ENGAGEMENTS 2026'!C2964),"",'ENGAGEMENTS 2026'!M2964)</f>
        <v/>
      </c>
      <c r="H2964">
        <f>IF(ISBLANK('ENGAGEMENTS 2026'!C2964),"",'ENGAGEMENTS 2026'!AF2964)</f>
        <v/>
      </c>
      <c r="I2964">
        <f>IF(ISBLANK('ENGAGEMENTS 2026'!C2964),"",'ENGAGEMENTS 2026'!H2964)</f>
        <v/>
      </c>
      <c r="J2964" s="275">
        <f>IF(ISBLANK('ENGAGEMENTS 2026'!C2964),"",IF(AND(OR($E2964="INFRUCTUEUX",$E2964="ANNULE"),$C2964="AOO-M"),'ENGAGEMENTS 2026'!P2964,IF($H2964="EN COURS DE PREENGAGEMENT",'ENGAGEMENTS 2026'!O2964,IF($H2964="PREENGAGE",IF($E2964="ATTRIBUE",'ENGAGEMENTS 2026'!AE2964,'ENGAGEMENTS 2026'!O2964),'ENGAGEMENTS 2026'!AE2964))))</f>
        <v/>
      </c>
      <c r="K2964" s="604">
        <f>IF(ISBLANK('ENGAGEMENTS 2026'!W2964),"",'ENGAGEMENTS 2026'!W2964)</f>
        <v/>
      </c>
      <c r="L2964" s="276">
        <f>IF($K2964="","",TODAY()-$K2964)</f>
        <v/>
      </c>
      <c r="M2964">
        <f>IF($A2964="","",IF($H2964="ENGAGE","Engagé",IF(AND($H2964="NON ENGAGE",OR($I2964="INFRUCTUEUX",$I2964="ANNULE")),"Clôturé sans suite","En cours")))</f>
        <v/>
      </c>
      <c r="N2964">
        <f>IF(ISBLANK('ENGAGEMENTS 2026'!C2964),"",'ENGAGEMENTS 2026'!L2964)</f>
        <v/>
      </c>
      <c r="O2964">
        <f>IF(ISBLANK('ENGAGEMENTS 2026'!C2964),"",'ENGAGEMENTS 2026'!M2964)</f>
        <v/>
      </c>
      <c r="P2964">
        <f>IF(ISBLANK('ENGAGEMENTS 2026'!C2964),"",'ENGAGEMENTS 2026'!K2964)</f>
        <v/>
      </c>
      <c r="Q2964">
        <f>IF($A2964="","",IF(OR($E2964="INFRUCTUEUX",$E2964="ANNULE"),$A2964&amp;"|"&amp;(COUNTIFS($A$2:$A2964,$A2964,$E$2:$E2964,"INFRUCTUEUX")+COUNTIFS($A$2:$A2964,$A2964,$E$2:$E2964,"ANNULE")),""))</f>
        <v/>
      </c>
    </row>
    <row r="2965">
      <c r="A2965">
        <f>IF(ISBLANK('ENGAGEMENTS 2026'!C2965),"",IF('ENGAGEMENTS 2026'!C2965="DTSI","DCT",'ENGAGEMENTS 2026'!C2965))</f>
        <v/>
      </c>
      <c r="B2965">
        <f>IF(ISBLANK('ENGAGEMENTS 2026'!C2965),"",'ENGAGEMENTS 2026'!D2965)</f>
        <v/>
      </c>
      <c r="C2965">
        <f>IF(ISBLANK('ENGAGEMENTS 2026'!C2965),"",'ENGAGEMENTS 2026'!E2965)</f>
        <v/>
      </c>
      <c r="D2965">
        <f>IF(ISBLANK('ENGAGEMENTS 2026'!C2965),"",'ENGAGEMENTS 2026'!G2965)</f>
        <v/>
      </c>
      <c r="E2965">
        <f>IF(ISBLANK('ENGAGEMENTS 2026'!C2965),"",'ENGAGEMENTS 2026'!I2965)</f>
        <v/>
      </c>
      <c r="F2965">
        <f>IF(ISBLANK('ENGAGEMENTS 2026'!C2965),"",'ENGAGEMENTS 2026'!J2965)</f>
        <v/>
      </c>
      <c r="G2965">
        <f>IF(ISBLANK('ENGAGEMENTS 2026'!C2965),"",'ENGAGEMENTS 2026'!M2965)</f>
        <v/>
      </c>
      <c r="H2965">
        <f>IF(ISBLANK('ENGAGEMENTS 2026'!C2965),"",'ENGAGEMENTS 2026'!AF2965)</f>
        <v/>
      </c>
      <c r="I2965">
        <f>IF(ISBLANK('ENGAGEMENTS 2026'!C2965),"",'ENGAGEMENTS 2026'!H2965)</f>
        <v/>
      </c>
      <c r="J2965" s="275">
        <f>IF(ISBLANK('ENGAGEMENTS 2026'!C2965),"",IF(AND(OR($E2965="INFRUCTUEUX",$E2965="ANNULE"),$C2965="AOO-M"),'ENGAGEMENTS 2026'!P2965,IF($H2965="EN COURS DE PREENGAGEMENT",'ENGAGEMENTS 2026'!O2965,IF($H2965="PREENGAGE",IF($E2965="ATTRIBUE",'ENGAGEMENTS 2026'!AE2965,'ENGAGEMENTS 2026'!O2965),'ENGAGEMENTS 2026'!AE2965))))</f>
        <v/>
      </c>
      <c r="K2965" s="604">
        <f>IF(ISBLANK('ENGAGEMENTS 2026'!W2965),"",'ENGAGEMENTS 2026'!W2965)</f>
        <v/>
      </c>
      <c r="L2965" s="276">
        <f>IF($K2965="","",TODAY()-$K2965)</f>
        <v/>
      </c>
      <c r="M2965">
        <f>IF($A2965="","",IF($H2965="ENGAGE","Engagé",IF(AND($H2965="NON ENGAGE",OR($I2965="INFRUCTUEUX",$I2965="ANNULE")),"Clôturé sans suite","En cours")))</f>
        <v/>
      </c>
      <c r="N2965">
        <f>IF(ISBLANK('ENGAGEMENTS 2026'!C2965),"",'ENGAGEMENTS 2026'!L2965)</f>
        <v/>
      </c>
      <c r="O2965">
        <f>IF(ISBLANK('ENGAGEMENTS 2026'!C2965),"",'ENGAGEMENTS 2026'!M2965)</f>
        <v/>
      </c>
      <c r="P2965">
        <f>IF(ISBLANK('ENGAGEMENTS 2026'!C2965),"",'ENGAGEMENTS 2026'!K2965)</f>
        <v/>
      </c>
      <c r="Q2965">
        <f>IF($A2965="","",IF(OR($E2965="INFRUCTUEUX",$E2965="ANNULE"),$A2965&amp;"|"&amp;(COUNTIFS($A$2:$A2965,$A2965,$E$2:$E2965,"INFRUCTUEUX")+COUNTIFS($A$2:$A2965,$A2965,$E$2:$E2965,"ANNULE")),""))</f>
        <v/>
      </c>
    </row>
    <row r="2966">
      <c r="A2966">
        <f>IF(ISBLANK('ENGAGEMENTS 2026'!C2966),"",IF('ENGAGEMENTS 2026'!C2966="DTSI","DCT",'ENGAGEMENTS 2026'!C2966))</f>
        <v/>
      </c>
      <c r="B2966">
        <f>IF(ISBLANK('ENGAGEMENTS 2026'!C2966),"",'ENGAGEMENTS 2026'!D2966)</f>
        <v/>
      </c>
      <c r="C2966">
        <f>IF(ISBLANK('ENGAGEMENTS 2026'!C2966),"",'ENGAGEMENTS 2026'!E2966)</f>
        <v/>
      </c>
      <c r="D2966">
        <f>IF(ISBLANK('ENGAGEMENTS 2026'!C2966),"",'ENGAGEMENTS 2026'!G2966)</f>
        <v/>
      </c>
      <c r="E2966">
        <f>IF(ISBLANK('ENGAGEMENTS 2026'!C2966),"",'ENGAGEMENTS 2026'!I2966)</f>
        <v/>
      </c>
      <c r="F2966">
        <f>IF(ISBLANK('ENGAGEMENTS 2026'!C2966),"",'ENGAGEMENTS 2026'!J2966)</f>
        <v/>
      </c>
      <c r="G2966">
        <f>IF(ISBLANK('ENGAGEMENTS 2026'!C2966),"",'ENGAGEMENTS 2026'!M2966)</f>
        <v/>
      </c>
      <c r="H2966">
        <f>IF(ISBLANK('ENGAGEMENTS 2026'!C2966),"",'ENGAGEMENTS 2026'!AF2966)</f>
        <v/>
      </c>
      <c r="I2966">
        <f>IF(ISBLANK('ENGAGEMENTS 2026'!C2966),"",'ENGAGEMENTS 2026'!H2966)</f>
        <v/>
      </c>
      <c r="J2966" s="275">
        <f>IF(ISBLANK('ENGAGEMENTS 2026'!C2966),"",IF(AND(OR($E2966="INFRUCTUEUX",$E2966="ANNULE"),$C2966="AOO-M"),'ENGAGEMENTS 2026'!P2966,IF($H2966="EN COURS DE PREENGAGEMENT",'ENGAGEMENTS 2026'!O2966,IF($H2966="PREENGAGE",IF($E2966="ATTRIBUE",'ENGAGEMENTS 2026'!AE2966,'ENGAGEMENTS 2026'!O2966),'ENGAGEMENTS 2026'!AE2966))))</f>
        <v/>
      </c>
      <c r="K2966" s="604">
        <f>IF(ISBLANK('ENGAGEMENTS 2026'!W2966),"",'ENGAGEMENTS 2026'!W2966)</f>
        <v/>
      </c>
      <c r="L2966" s="276">
        <f>IF($K2966="","",TODAY()-$K2966)</f>
        <v/>
      </c>
      <c r="M2966">
        <f>IF($A2966="","",IF($H2966="ENGAGE","Engagé",IF(AND($H2966="NON ENGAGE",OR($I2966="INFRUCTUEUX",$I2966="ANNULE")),"Clôturé sans suite","En cours")))</f>
        <v/>
      </c>
      <c r="N2966">
        <f>IF(ISBLANK('ENGAGEMENTS 2026'!C2966),"",'ENGAGEMENTS 2026'!L2966)</f>
        <v/>
      </c>
      <c r="O2966">
        <f>IF(ISBLANK('ENGAGEMENTS 2026'!C2966),"",'ENGAGEMENTS 2026'!M2966)</f>
        <v/>
      </c>
      <c r="P2966">
        <f>IF(ISBLANK('ENGAGEMENTS 2026'!C2966),"",'ENGAGEMENTS 2026'!K2966)</f>
        <v/>
      </c>
      <c r="Q2966">
        <f>IF($A2966="","",IF(OR($E2966="INFRUCTUEUX",$E2966="ANNULE"),$A2966&amp;"|"&amp;(COUNTIFS($A$2:$A2966,$A2966,$E$2:$E2966,"INFRUCTUEUX")+COUNTIFS($A$2:$A2966,$A2966,$E$2:$E2966,"ANNULE")),""))</f>
        <v/>
      </c>
    </row>
    <row r="2967">
      <c r="A2967">
        <f>IF(ISBLANK('ENGAGEMENTS 2026'!C2967),"",IF('ENGAGEMENTS 2026'!C2967="DTSI","DCT",'ENGAGEMENTS 2026'!C2967))</f>
        <v/>
      </c>
      <c r="B2967">
        <f>IF(ISBLANK('ENGAGEMENTS 2026'!C2967),"",'ENGAGEMENTS 2026'!D2967)</f>
        <v/>
      </c>
      <c r="C2967">
        <f>IF(ISBLANK('ENGAGEMENTS 2026'!C2967),"",'ENGAGEMENTS 2026'!E2967)</f>
        <v/>
      </c>
      <c r="D2967">
        <f>IF(ISBLANK('ENGAGEMENTS 2026'!C2967),"",'ENGAGEMENTS 2026'!G2967)</f>
        <v/>
      </c>
      <c r="E2967">
        <f>IF(ISBLANK('ENGAGEMENTS 2026'!C2967),"",'ENGAGEMENTS 2026'!I2967)</f>
        <v/>
      </c>
      <c r="F2967">
        <f>IF(ISBLANK('ENGAGEMENTS 2026'!C2967),"",'ENGAGEMENTS 2026'!J2967)</f>
        <v/>
      </c>
      <c r="G2967">
        <f>IF(ISBLANK('ENGAGEMENTS 2026'!C2967),"",'ENGAGEMENTS 2026'!M2967)</f>
        <v/>
      </c>
      <c r="H2967">
        <f>IF(ISBLANK('ENGAGEMENTS 2026'!C2967),"",'ENGAGEMENTS 2026'!AF2967)</f>
        <v/>
      </c>
      <c r="I2967">
        <f>IF(ISBLANK('ENGAGEMENTS 2026'!C2967),"",'ENGAGEMENTS 2026'!H2967)</f>
        <v/>
      </c>
      <c r="J2967" s="275">
        <f>IF(ISBLANK('ENGAGEMENTS 2026'!C2967),"",IF(AND(OR($E2967="INFRUCTUEUX",$E2967="ANNULE"),$C2967="AOO-M"),'ENGAGEMENTS 2026'!P2967,IF($H2967="EN COURS DE PREENGAGEMENT",'ENGAGEMENTS 2026'!O2967,IF($H2967="PREENGAGE",IF($E2967="ATTRIBUE",'ENGAGEMENTS 2026'!AE2967,'ENGAGEMENTS 2026'!O2967),'ENGAGEMENTS 2026'!AE2967))))</f>
        <v/>
      </c>
      <c r="K2967" s="604">
        <f>IF(ISBLANK('ENGAGEMENTS 2026'!W2967),"",'ENGAGEMENTS 2026'!W2967)</f>
        <v/>
      </c>
      <c r="L2967" s="276">
        <f>IF($K2967="","",TODAY()-$K2967)</f>
        <v/>
      </c>
      <c r="M2967">
        <f>IF($A2967="","",IF($H2967="ENGAGE","Engagé",IF(AND($H2967="NON ENGAGE",OR($I2967="INFRUCTUEUX",$I2967="ANNULE")),"Clôturé sans suite","En cours")))</f>
        <v/>
      </c>
      <c r="N2967">
        <f>IF(ISBLANK('ENGAGEMENTS 2026'!C2967),"",'ENGAGEMENTS 2026'!L2967)</f>
        <v/>
      </c>
      <c r="O2967">
        <f>IF(ISBLANK('ENGAGEMENTS 2026'!C2967),"",'ENGAGEMENTS 2026'!M2967)</f>
        <v/>
      </c>
      <c r="P2967">
        <f>IF(ISBLANK('ENGAGEMENTS 2026'!C2967),"",'ENGAGEMENTS 2026'!K2967)</f>
        <v/>
      </c>
      <c r="Q2967">
        <f>IF($A2967="","",IF(OR($E2967="INFRUCTUEUX",$E2967="ANNULE"),$A2967&amp;"|"&amp;(COUNTIFS($A$2:$A2967,$A2967,$E$2:$E2967,"INFRUCTUEUX")+COUNTIFS($A$2:$A2967,$A2967,$E$2:$E2967,"ANNULE")),""))</f>
        <v/>
      </c>
    </row>
    <row r="2968">
      <c r="A2968">
        <f>IF(ISBLANK('ENGAGEMENTS 2026'!C2968),"",IF('ENGAGEMENTS 2026'!C2968="DTSI","DCT",'ENGAGEMENTS 2026'!C2968))</f>
        <v/>
      </c>
      <c r="B2968">
        <f>IF(ISBLANK('ENGAGEMENTS 2026'!C2968),"",'ENGAGEMENTS 2026'!D2968)</f>
        <v/>
      </c>
      <c r="C2968">
        <f>IF(ISBLANK('ENGAGEMENTS 2026'!C2968),"",'ENGAGEMENTS 2026'!E2968)</f>
        <v/>
      </c>
      <c r="D2968">
        <f>IF(ISBLANK('ENGAGEMENTS 2026'!C2968),"",'ENGAGEMENTS 2026'!G2968)</f>
        <v/>
      </c>
      <c r="E2968">
        <f>IF(ISBLANK('ENGAGEMENTS 2026'!C2968),"",'ENGAGEMENTS 2026'!I2968)</f>
        <v/>
      </c>
      <c r="F2968">
        <f>IF(ISBLANK('ENGAGEMENTS 2026'!C2968),"",'ENGAGEMENTS 2026'!J2968)</f>
        <v/>
      </c>
      <c r="G2968">
        <f>IF(ISBLANK('ENGAGEMENTS 2026'!C2968),"",'ENGAGEMENTS 2026'!M2968)</f>
        <v/>
      </c>
      <c r="H2968">
        <f>IF(ISBLANK('ENGAGEMENTS 2026'!C2968),"",'ENGAGEMENTS 2026'!AF2968)</f>
        <v/>
      </c>
      <c r="I2968">
        <f>IF(ISBLANK('ENGAGEMENTS 2026'!C2968),"",'ENGAGEMENTS 2026'!H2968)</f>
        <v/>
      </c>
      <c r="J2968" s="275">
        <f>IF(ISBLANK('ENGAGEMENTS 2026'!C2968),"",IF(AND(OR($E2968="INFRUCTUEUX",$E2968="ANNULE"),$C2968="AOO-M"),'ENGAGEMENTS 2026'!P2968,IF($H2968="EN COURS DE PREENGAGEMENT",'ENGAGEMENTS 2026'!O2968,IF($H2968="PREENGAGE",IF($E2968="ATTRIBUE",'ENGAGEMENTS 2026'!AE2968,'ENGAGEMENTS 2026'!O2968),'ENGAGEMENTS 2026'!AE2968))))</f>
        <v/>
      </c>
      <c r="K2968" s="604">
        <f>IF(ISBLANK('ENGAGEMENTS 2026'!W2968),"",'ENGAGEMENTS 2026'!W2968)</f>
        <v/>
      </c>
      <c r="L2968" s="276">
        <f>IF($K2968="","",TODAY()-$K2968)</f>
        <v/>
      </c>
      <c r="M2968">
        <f>IF($A2968="","",IF($H2968="ENGAGE","Engagé",IF(AND($H2968="NON ENGAGE",OR($I2968="INFRUCTUEUX",$I2968="ANNULE")),"Clôturé sans suite","En cours")))</f>
        <v/>
      </c>
      <c r="N2968">
        <f>IF(ISBLANK('ENGAGEMENTS 2026'!C2968),"",'ENGAGEMENTS 2026'!L2968)</f>
        <v/>
      </c>
      <c r="O2968">
        <f>IF(ISBLANK('ENGAGEMENTS 2026'!C2968),"",'ENGAGEMENTS 2026'!M2968)</f>
        <v/>
      </c>
      <c r="P2968">
        <f>IF(ISBLANK('ENGAGEMENTS 2026'!C2968),"",'ENGAGEMENTS 2026'!K2968)</f>
        <v/>
      </c>
      <c r="Q2968">
        <f>IF($A2968="","",IF(OR($E2968="INFRUCTUEUX",$E2968="ANNULE"),$A2968&amp;"|"&amp;(COUNTIFS($A$2:$A2968,$A2968,$E$2:$E2968,"INFRUCTUEUX")+COUNTIFS($A$2:$A2968,$A2968,$E$2:$E2968,"ANNULE")),""))</f>
        <v/>
      </c>
    </row>
    <row r="2969">
      <c r="A2969">
        <f>IF(ISBLANK('ENGAGEMENTS 2026'!C2969),"",IF('ENGAGEMENTS 2026'!C2969="DTSI","DCT",'ENGAGEMENTS 2026'!C2969))</f>
        <v/>
      </c>
      <c r="B2969">
        <f>IF(ISBLANK('ENGAGEMENTS 2026'!C2969),"",'ENGAGEMENTS 2026'!D2969)</f>
        <v/>
      </c>
      <c r="C2969">
        <f>IF(ISBLANK('ENGAGEMENTS 2026'!C2969),"",'ENGAGEMENTS 2026'!E2969)</f>
        <v/>
      </c>
      <c r="D2969">
        <f>IF(ISBLANK('ENGAGEMENTS 2026'!C2969),"",'ENGAGEMENTS 2026'!G2969)</f>
        <v/>
      </c>
      <c r="E2969">
        <f>IF(ISBLANK('ENGAGEMENTS 2026'!C2969),"",'ENGAGEMENTS 2026'!I2969)</f>
        <v/>
      </c>
      <c r="F2969">
        <f>IF(ISBLANK('ENGAGEMENTS 2026'!C2969),"",'ENGAGEMENTS 2026'!J2969)</f>
        <v/>
      </c>
      <c r="G2969">
        <f>IF(ISBLANK('ENGAGEMENTS 2026'!C2969),"",'ENGAGEMENTS 2026'!M2969)</f>
        <v/>
      </c>
      <c r="H2969">
        <f>IF(ISBLANK('ENGAGEMENTS 2026'!C2969),"",'ENGAGEMENTS 2026'!AF2969)</f>
        <v/>
      </c>
      <c r="I2969">
        <f>IF(ISBLANK('ENGAGEMENTS 2026'!C2969),"",'ENGAGEMENTS 2026'!H2969)</f>
        <v/>
      </c>
      <c r="J2969" s="275">
        <f>IF(ISBLANK('ENGAGEMENTS 2026'!C2969),"",IF(AND(OR($E2969="INFRUCTUEUX",$E2969="ANNULE"),$C2969="AOO-M"),'ENGAGEMENTS 2026'!P2969,IF($H2969="EN COURS DE PREENGAGEMENT",'ENGAGEMENTS 2026'!O2969,IF($H2969="PREENGAGE",IF($E2969="ATTRIBUE",'ENGAGEMENTS 2026'!AE2969,'ENGAGEMENTS 2026'!O2969),'ENGAGEMENTS 2026'!AE2969))))</f>
        <v/>
      </c>
      <c r="K2969" s="604">
        <f>IF(ISBLANK('ENGAGEMENTS 2026'!W2969),"",'ENGAGEMENTS 2026'!W2969)</f>
        <v/>
      </c>
      <c r="L2969" s="276">
        <f>IF($K2969="","",TODAY()-$K2969)</f>
        <v/>
      </c>
      <c r="M2969">
        <f>IF($A2969="","",IF($H2969="ENGAGE","Engagé",IF(AND($H2969="NON ENGAGE",OR($I2969="INFRUCTUEUX",$I2969="ANNULE")),"Clôturé sans suite","En cours")))</f>
        <v/>
      </c>
      <c r="N2969">
        <f>IF(ISBLANK('ENGAGEMENTS 2026'!C2969),"",'ENGAGEMENTS 2026'!L2969)</f>
        <v/>
      </c>
      <c r="O2969">
        <f>IF(ISBLANK('ENGAGEMENTS 2026'!C2969),"",'ENGAGEMENTS 2026'!M2969)</f>
        <v/>
      </c>
      <c r="P2969">
        <f>IF(ISBLANK('ENGAGEMENTS 2026'!C2969),"",'ENGAGEMENTS 2026'!K2969)</f>
        <v/>
      </c>
      <c r="Q2969">
        <f>IF($A2969="","",IF(OR($E2969="INFRUCTUEUX",$E2969="ANNULE"),$A2969&amp;"|"&amp;(COUNTIFS($A$2:$A2969,$A2969,$E$2:$E2969,"INFRUCTUEUX")+COUNTIFS($A$2:$A2969,$A2969,$E$2:$E2969,"ANNULE")),""))</f>
        <v/>
      </c>
    </row>
    <row r="2970">
      <c r="A2970">
        <f>IF(ISBLANK('ENGAGEMENTS 2026'!C2970),"",IF('ENGAGEMENTS 2026'!C2970="DTSI","DCT",'ENGAGEMENTS 2026'!C2970))</f>
        <v/>
      </c>
      <c r="B2970">
        <f>IF(ISBLANK('ENGAGEMENTS 2026'!C2970),"",'ENGAGEMENTS 2026'!D2970)</f>
        <v/>
      </c>
      <c r="C2970">
        <f>IF(ISBLANK('ENGAGEMENTS 2026'!C2970),"",'ENGAGEMENTS 2026'!E2970)</f>
        <v/>
      </c>
      <c r="D2970">
        <f>IF(ISBLANK('ENGAGEMENTS 2026'!C2970),"",'ENGAGEMENTS 2026'!G2970)</f>
        <v/>
      </c>
      <c r="E2970">
        <f>IF(ISBLANK('ENGAGEMENTS 2026'!C2970),"",'ENGAGEMENTS 2026'!I2970)</f>
        <v/>
      </c>
      <c r="F2970">
        <f>IF(ISBLANK('ENGAGEMENTS 2026'!C2970),"",'ENGAGEMENTS 2026'!J2970)</f>
        <v/>
      </c>
      <c r="G2970">
        <f>IF(ISBLANK('ENGAGEMENTS 2026'!C2970),"",'ENGAGEMENTS 2026'!M2970)</f>
        <v/>
      </c>
      <c r="H2970">
        <f>IF(ISBLANK('ENGAGEMENTS 2026'!C2970),"",'ENGAGEMENTS 2026'!AF2970)</f>
        <v/>
      </c>
      <c r="I2970">
        <f>IF(ISBLANK('ENGAGEMENTS 2026'!C2970),"",'ENGAGEMENTS 2026'!H2970)</f>
        <v/>
      </c>
      <c r="J2970" s="275">
        <f>IF(ISBLANK('ENGAGEMENTS 2026'!C2970),"",IF(AND(OR($E2970="INFRUCTUEUX",$E2970="ANNULE"),$C2970="AOO-M"),'ENGAGEMENTS 2026'!P2970,IF($H2970="EN COURS DE PREENGAGEMENT",'ENGAGEMENTS 2026'!O2970,IF($H2970="PREENGAGE",IF($E2970="ATTRIBUE",'ENGAGEMENTS 2026'!AE2970,'ENGAGEMENTS 2026'!O2970),'ENGAGEMENTS 2026'!AE2970))))</f>
        <v/>
      </c>
      <c r="K2970" s="604">
        <f>IF(ISBLANK('ENGAGEMENTS 2026'!W2970),"",'ENGAGEMENTS 2026'!W2970)</f>
        <v/>
      </c>
      <c r="L2970" s="276">
        <f>IF($K2970="","",TODAY()-$K2970)</f>
        <v/>
      </c>
      <c r="M2970">
        <f>IF($A2970="","",IF($H2970="ENGAGE","Engagé",IF(AND($H2970="NON ENGAGE",OR($I2970="INFRUCTUEUX",$I2970="ANNULE")),"Clôturé sans suite","En cours")))</f>
        <v/>
      </c>
      <c r="N2970">
        <f>IF(ISBLANK('ENGAGEMENTS 2026'!C2970),"",'ENGAGEMENTS 2026'!L2970)</f>
        <v/>
      </c>
      <c r="O2970">
        <f>IF(ISBLANK('ENGAGEMENTS 2026'!C2970),"",'ENGAGEMENTS 2026'!M2970)</f>
        <v/>
      </c>
      <c r="P2970">
        <f>IF(ISBLANK('ENGAGEMENTS 2026'!C2970),"",'ENGAGEMENTS 2026'!K2970)</f>
        <v/>
      </c>
      <c r="Q2970">
        <f>IF($A2970="","",IF(OR($E2970="INFRUCTUEUX",$E2970="ANNULE"),$A2970&amp;"|"&amp;(COUNTIFS($A$2:$A2970,$A2970,$E$2:$E2970,"INFRUCTUEUX")+COUNTIFS($A$2:$A2970,$A2970,$E$2:$E2970,"ANNULE")),""))</f>
        <v/>
      </c>
    </row>
    <row r="2971">
      <c r="A2971">
        <f>IF(ISBLANK('ENGAGEMENTS 2026'!C2971),"",IF('ENGAGEMENTS 2026'!C2971="DTSI","DCT",'ENGAGEMENTS 2026'!C2971))</f>
        <v/>
      </c>
      <c r="B2971">
        <f>IF(ISBLANK('ENGAGEMENTS 2026'!C2971),"",'ENGAGEMENTS 2026'!D2971)</f>
        <v/>
      </c>
      <c r="C2971">
        <f>IF(ISBLANK('ENGAGEMENTS 2026'!C2971),"",'ENGAGEMENTS 2026'!E2971)</f>
        <v/>
      </c>
      <c r="D2971">
        <f>IF(ISBLANK('ENGAGEMENTS 2026'!C2971),"",'ENGAGEMENTS 2026'!G2971)</f>
        <v/>
      </c>
      <c r="E2971">
        <f>IF(ISBLANK('ENGAGEMENTS 2026'!C2971),"",'ENGAGEMENTS 2026'!I2971)</f>
        <v/>
      </c>
      <c r="F2971">
        <f>IF(ISBLANK('ENGAGEMENTS 2026'!C2971),"",'ENGAGEMENTS 2026'!J2971)</f>
        <v/>
      </c>
      <c r="G2971">
        <f>IF(ISBLANK('ENGAGEMENTS 2026'!C2971),"",'ENGAGEMENTS 2026'!M2971)</f>
        <v/>
      </c>
      <c r="H2971">
        <f>IF(ISBLANK('ENGAGEMENTS 2026'!C2971),"",'ENGAGEMENTS 2026'!AF2971)</f>
        <v/>
      </c>
      <c r="I2971">
        <f>IF(ISBLANK('ENGAGEMENTS 2026'!C2971),"",'ENGAGEMENTS 2026'!H2971)</f>
        <v/>
      </c>
      <c r="J2971" s="275">
        <f>IF(ISBLANK('ENGAGEMENTS 2026'!C2971),"",IF(AND(OR($E2971="INFRUCTUEUX",$E2971="ANNULE"),$C2971="AOO-M"),'ENGAGEMENTS 2026'!P2971,IF($H2971="EN COURS DE PREENGAGEMENT",'ENGAGEMENTS 2026'!O2971,IF($H2971="PREENGAGE",IF($E2971="ATTRIBUE",'ENGAGEMENTS 2026'!AE2971,'ENGAGEMENTS 2026'!O2971),'ENGAGEMENTS 2026'!AE2971))))</f>
        <v/>
      </c>
      <c r="K2971" s="604">
        <f>IF(ISBLANK('ENGAGEMENTS 2026'!W2971),"",'ENGAGEMENTS 2026'!W2971)</f>
        <v/>
      </c>
      <c r="L2971" s="276">
        <f>IF($K2971="","",TODAY()-$K2971)</f>
        <v/>
      </c>
      <c r="M2971">
        <f>IF($A2971="","",IF($H2971="ENGAGE","Engagé",IF(AND($H2971="NON ENGAGE",OR($I2971="INFRUCTUEUX",$I2971="ANNULE")),"Clôturé sans suite","En cours")))</f>
        <v/>
      </c>
      <c r="N2971">
        <f>IF(ISBLANK('ENGAGEMENTS 2026'!C2971),"",'ENGAGEMENTS 2026'!L2971)</f>
        <v/>
      </c>
      <c r="O2971">
        <f>IF(ISBLANK('ENGAGEMENTS 2026'!C2971),"",'ENGAGEMENTS 2026'!M2971)</f>
        <v/>
      </c>
      <c r="P2971">
        <f>IF(ISBLANK('ENGAGEMENTS 2026'!C2971),"",'ENGAGEMENTS 2026'!K2971)</f>
        <v/>
      </c>
      <c r="Q2971">
        <f>IF($A2971="","",IF(OR($E2971="INFRUCTUEUX",$E2971="ANNULE"),$A2971&amp;"|"&amp;(COUNTIFS($A$2:$A2971,$A2971,$E$2:$E2971,"INFRUCTUEUX")+COUNTIFS($A$2:$A2971,$A2971,$E$2:$E2971,"ANNULE")),""))</f>
        <v/>
      </c>
    </row>
    <row r="2972">
      <c r="A2972">
        <f>IF(ISBLANK('ENGAGEMENTS 2026'!C2972),"",IF('ENGAGEMENTS 2026'!C2972="DTSI","DCT",'ENGAGEMENTS 2026'!C2972))</f>
        <v/>
      </c>
      <c r="B2972">
        <f>IF(ISBLANK('ENGAGEMENTS 2026'!C2972),"",'ENGAGEMENTS 2026'!D2972)</f>
        <v/>
      </c>
      <c r="C2972">
        <f>IF(ISBLANK('ENGAGEMENTS 2026'!C2972),"",'ENGAGEMENTS 2026'!E2972)</f>
        <v/>
      </c>
      <c r="D2972">
        <f>IF(ISBLANK('ENGAGEMENTS 2026'!C2972),"",'ENGAGEMENTS 2026'!G2972)</f>
        <v/>
      </c>
      <c r="E2972">
        <f>IF(ISBLANK('ENGAGEMENTS 2026'!C2972),"",'ENGAGEMENTS 2026'!I2972)</f>
        <v/>
      </c>
      <c r="F2972">
        <f>IF(ISBLANK('ENGAGEMENTS 2026'!C2972),"",'ENGAGEMENTS 2026'!J2972)</f>
        <v/>
      </c>
      <c r="G2972">
        <f>IF(ISBLANK('ENGAGEMENTS 2026'!C2972),"",'ENGAGEMENTS 2026'!M2972)</f>
        <v/>
      </c>
      <c r="H2972">
        <f>IF(ISBLANK('ENGAGEMENTS 2026'!C2972),"",'ENGAGEMENTS 2026'!AF2972)</f>
        <v/>
      </c>
      <c r="I2972">
        <f>IF(ISBLANK('ENGAGEMENTS 2026'!C2972),"",'ENGAGEMENTS 2026'!H2972)</f>
        <v/>
      </c>
      <c r="J2972" s="275">
        <f>IF(ISBLANK('ENGAGEMENTS 2026'!C2972),"",IF(AND(OR($E2972="INFRUCTUEUX",$E2972="ANNULE"),$C2972="AOO-M"),'ENGAGEMENTS 2026'!P2972,IF($H2972="EN COURS DE PREENGAGEMENT",'ENGAGEMENTS 2026'!O2972,IF($H2972="PREENGAGE",IF($E2972="ATTRIBUE",'ENGAGEMENTS 2026'!AE2972,'ENGAGEMENTS 2026'!O2972),'ENGAGEMENTS 2026'!AE2972))))</f>
        <v/>
      </c>
      <c r="K2972" s="604">
        <f>IF(ISBLANK('ENGAGEMENTS 2026'!W2972),"",'ENGAGEMENTS 2026'!W2972)</f>
        <v/>
      </c>
      <c r="L2972" s="276">
        <f>IF($K2972="","",TODAY()-$K2972)</f>
        <v/>
      </c>
      <c r="M2972">
        <f>IF($A2972="","",IF($H2972="ENGAGE","Engagé",IF(AND($H2972="NON ENGAGE",OR($I2972="INFRUCTUEUX",$I2972="ANNULE")),"Clôturé sans suite","En cours")))</f>
        <v/>
      </c>
      <c r="N2972">
        <f>IF(ISBLANK('ENGAGEMENTS 2026'!C2972),"",'ENGAGEMENTS 2026'!L2972)</f>
        <v/>
      </c>
      <c r="O2972">
        <f>IF(ISBLANK('ENGAGEMENTS 2026'!C2972),"",'ENGAGEMENTS 2026'!M2972)</f>
        <v/>
      </c>
      <c r="P2972">
        <f>IF(ISBLANK('ENGAGEMENTS 2026'!C2972),"",'ENGAGEMENTS 2026'!K2972)</f>
        <v/>
      </c>
      <c r="Q2972">
        <f>IF($A2972="","",IF(OR($E2972="INFRUCTUEUX",$E2972="ANNULE"),$A2972&amp;"|"&amp;(COUNTIFS($A$2:$A2972,$A2972,$E$2:$E2972,"INFRUCTUEUX")+COUNTIFS($A$2:$A2972,$A2972,$E$2:$E2972,"ANNULE")),""))</f>
        <v/>
      </c>
    </row>
    <row r="2973">
      <c r="A2973">
        <f>IF(ISBLANK('ENGAGEMENTS 2026'!C2973),"",IF('ENGAGEMENTS 2026'!C2973="DTSI","DCT",'ENGAGEMENTS 2026'!C2973))</f>
        <v/>
      </c>
      <c r="B2973">
        <f>IF(ISBLANK('ENGAGEMENTS 2026'!C2973),"",'ENGAGEMENTS 2026'!D2973)</f>
        <v/>
      </c>
      <c r="C2973">
        <f>IF(ISBLANK('ENGAGEMENTS 2026'!C2973),"",'ENGAGEMENTS 2026'!E2973)</f>
        <v/>
      </c>
      <c r="D2973">
        <f>IF(ISBLANK('ENGAGEMENTS 2026'!C2973),"",'ENGAGEMENTS 2026'!G2973)</f>
        <v/>
      </c>
      <c r="E2973">
        <f>IF(ISBLANK('ENGAGEMENTS 2026'!C2973),"",'ENGAGEMENTS 2026'!I2973)</f>
        <v/>
      </c>
      <c r="F2973">
        <f>IF(ISBLANK('ENGAGEMENTS 2026'!C2973),"",'ENGAGEMENTS 2026'!J2973)</f>
        <v/>
      </c>
      <c r="G2973">
        <f>IF(ISBLANK('ENGAGEMENTS 2026'!C2973),"",'ENGAGEMENTS 2026'!M2973)</f>
        <v/>
      </c>
      <c r="H2973">
        <f>IF(ISBLANK('ENGAGEMENTS 2026'!C2973),"",'ENGAGEMENTS 2026'!AF2973)</f>
        <v/>
      </c>
      <c r="I2973">
        <f>IF(ISBLANK('ENGAGEMENTS 2026'!C2973),"",'ENGAGEMENTS 2026'!H2973)</f>
        <v/>
      </c>
      <c r="J2973" s="275">
        <f>IF(ISBLANK('ENGAGEMENTS 2026'!C2973),"",IF(AND(OR($E2973="INFRUCTUEUX",$E2973="ANNULE"),$C2973="AOO-M"),'ENGAGEMENTS 2026'!P2973,IF($H2973="EN COURS DE PREENGAGEMENT",'ENGAGEMENTS 2026'!O2973,IF($H2973="PREENGAGE",IF($E2973="ATTRIBUE",'ENGAGEMENTS 2026'!AE2973,'ENGAGEMENTS 2026'!O2973),'ENGAGEMENTS 2026'!AE2973))))</f>
        <v/>
      </c>
      <c r="K2973" s="604">
        <f>IF(ISBLANK('ENGAGEMENTS 2026'!W2973),"",'ENGAGEMENTS 2026'!W2973)</f>
        <v/>
      </c>
      <c r="L2973" s="276">
        <f>IF($K2973="","",TODAY()-$K2973)</f>
        <v/>
      </c>
      <c r="M2973">
        <f>IF($A2973="","",IF($H2973="ENGAGE","Engagé",IF(AND($H2973="NON ENGAGE",OR($I2973="INFRUCTUEUX",$I2973="ANNULE")),"Clôturé sans suite","En cours")))</f>
        <v/>
      </c>
      <c r="N2973">
        <f>IF(ISBLANK('ENGAGEMENTS 2026'!C2973),"",'ENGAGEMENTS 2026'!L2973)</f>
        <v/>
      </c>
      <c r="O2973">
        <f>IF(ISBLANK('ENGAGEMENTS 2026'!C2973),"",'ENGAGEMENTS 2026'!M2973)</f>
        <v/>
      </c>
      <c r="P2973">
        <f>IF(ISBLANK('ENGAGEMENTS 2026'!C2973),"",'ENGAGEMENTS 2026'!K2973)</f>
        <v/>
      </c>
      <c r="Q2973">
        <f>IF($A2973="","",IF(OR($E2973="INFRUCTUEUX",$E2973="ANNULE"),$A2973&amp;"|"&amp;(COUNTIFS($A$2:$A2973,$A2973,$E$2:$E2973,"INFRUCTUEUX")+COUNTIFS($A$2:$A2973,$A2973,$E$2:$E2973,"ANNULE")),""))</f>
        <v/>
      </c>
    </row>
    <row r="2974">
      <c r="A2974">
        <f>IF(ISBLANK('ENGAGEMENTS 2026'!C2974),"",IF('ENGAGEMENTS 2026'!C2974="DTSI","DCT",'ENGAGEMENTS 2026'!C2974))</f>
        <v/>
      </c>
      <c r="B2974">
        <f>IF(ISBLANK('ENGAGEMENTS 2026'!C2974),"",'ENGAGEMENTS 2026'!D2974)</f>
        <v/>
      </c>
      <c r="C2974">
        <f>IF(ISBLANK('ENGAGEMENTS 2026'!C2974),"",'ENGAGEMENTS 2026'!E2974)</f>
        <v/>
      </c>
      <c r="D2974">
        <f>IF(ISBLANK('ENGAGEMENTS 2026'!C2974),"",'ENGAGEMENTS 2026'!G2974)</f>
        <v/>
      </c>
      <c r="E2974">
        <f>IF(ISBLANK('ENGAGEMENTS 2026'!C2974),"",'ENGAGEMENTS 2026'!I2974)</f>
        <v/>
      </c>
      <c r="F2974">
        <f>IF(ISBLANK('ENGAGEMENTS 2026'!C2974),"",'ENGAGEMENTS 2026'!J2974)</f>
        <v/>
      </c>
      <c r="G2974">
        <f>IF(ISBLANK('ENGAGEMENTS 2026'!C2974),"",'ENGAGEMENTS 2026'!M2974)</f>
        <v/>
      </c>
      <c r="H2974">
        <f>IF(ISBLANK('ENGAGEMENTS 2026'!C2974),"",'ENGAGEMENTS 2026'!AF2974)</f>
        <v/>
      </c>
      <c r="I2974">
        <f>IF(ISBLANK('ENGAGEMENTS 2026'!C2974),"",'ENGAGEMENTS 2026'!H2974)</f>
        <v/>
      </c>
      <c r="J2974" s="275">
        <f>IF(ISBLANK('ENGAGEMENTS 2026'!C2974),"",IF(AND(OR($E2974="INFRUCTUEUX",$E2974="ANNULE"),$C2974="AOO-M"),'ENGAGEMENTS 2026'!P2974,IF($H2974="EN COURS DE PREENGAGEMENT",'ENGAGEMENTS 2026'!O2974,IF($H2974="PREENGAGE",IF($E2974="ATTRIBUE",'ENGAGEMENTS 2026'!AE2974,'ENGAGEMENTS 2026'!O2974),'ENGAGEMENTS 2026'!AE2974))))</f>
        <v/>
      </c>
      <c r="K2974" s="604">
        <f>IF(ISBLANK('ENGAGEMENTS 2026'!W2974),"",'ENGAGEMENTS 2026'!W2974)</f>
        <v/>
      </c>
      <c r="L2974" s="276">
        <f>IF($K2974="","",TODAY()-$K2974)</f>
        <v/>
      </c>
      <c r="M2974">
        <f>IF($A2974="","",IF($H2974="ENGAGE","Engagé",IF(AND($H2974="NON ENGAGE",OR($I2974="INFRUCTUEUX",$I2974="ANNULE")),"Clôturé sans suite","En cours")))</f>
        <v/>
      </c>
      <c r="N2974">
        <f>IF(ISBLANK('ENGAGEMENTS 2026'!C2974),"",'ENGAGEMENTS 2026'!L2974)</f>
        <v/>
      </c>
      <c r="O2974">
        <f>IF(ISBLANK('ENGAGEMENTS 2026'!C2974),"",'ENGAGEMENTS 2026'!M2974)</f>
        <v/>
      </c>
      <c r="P2974">
        <f>IF(ISBLANK('ENGAGEMENTS 2026'!C2974),"",'ENGAGEMENTS 2026'!K2974)</f>
        <v/>
      </c>
      <c r="Q2974">
        <f>IF($A2974="","",IF(OR($E2974="INFRUCTUEUX",$E2974="ANNULE"),$A2974&amp;"|"&amp;(COUNTIFS($A$2:$A2974,$A2974,$E$2:$E2974,"INFRUCTUEUX")+COUNTIFS($A$2:$A2974,$A2974,$E$2:$E2974,"ANNULE")),""))</f>
        <v/>
      </c>
    </row>
    <row r="2975">
      <c r="A2975">
        <f>IF(ISBLANK('ENGAGEMENTS 2026'!C2975),"",IF('ENGAGEMENTS 2026'!C2975="DTSI","DCT",'ENGAGEMENTS 2026'!C2975))</f>
        <v/>
      </c>
      <c r="B2975">
        <f>IF(ISBLANK('ENGAGEMENTS 2026'!C2975),"",'ENGAGEMENTS 2026'!D2975)</f>
        <v/>
      </c>
      <c r="C2975">
        <f>IF(ISBLANK('ENGAGEMENTS 2026'!C2975),"",'ENGAGEMENTS 2026'!E2975)</f>
        <v/>
      </c>
      <c r="D2975">
        <f>IF(ISBLANK('ENGAGEMENTS 2026'!C2975),"",'ENGAGEMENTS 2026'!G2975)</f>
        <v/>
      </c>
      <c r="E2975">
        <f>IF(ISBLANK('ENGAGEMENTS 2026'!C2975),"",'ENGAGEMENTS 2026'!I2975)</f>
        <v/>
      </c>
      <c r="F2975">
        <f>IF(ISBLANK('ENGAGEMENTS 2026'!C2975),"",'ENGAGEMENTS 2026'!J2975)</f>
        <v/>
      </c>
      <c r="G2975">
        <f>IF(ISBLANK('ENGAGEMENTS 2026'!C2975),"",'ENGAGEMENTS 2026'!M2975)</f>
        <v/>
      </c>
      <c r="H2975">
        <f>IF(ISBLANK('ENGAGEMENTS 2026'!C2975),"",'ENGAGEMENTS 2026'!AF2975)</f>
        <v/>
      </c>
      <c r="I2975">
        <f>IF(ISBLANK('ENGAGEMENTS 2026'!C2975),"",'ENGAGEMENTS 2026'!H2975)</f>
        <v/>
      </c>
      <c r="J2975" s="275">
        <f>IF(ISBLANK('ENGAGEMENTS 2026'!C2975),"",IF(AND(OR($E2975="INFRUCTUEUX",$E2975="ANNULE"),$C2975="AOO-M"),'ENGAGEMENTS 2026'!P2975,IF($H2975="EN COURS DE PREENGAGEMENT",'ENGAGEMENTS 2026'!O2975,IF($H2975="PREENGAGE",IF($E2975="ATTRIBUE",'ENGAGEMENTS 2026'!AE2975,'ENGAGEMENTS 2026'!O2975),'ENGAGEMENTS 2026'!AE2975))))</f>
        <v/>
      </c>
      <c r="K2975" s="604">
        <f>IF(ISBLANK('ENGAGEMENTS 2026'!W2975),"",'ENGAGEMENTS 2026'!W2975)</f>
        <v/>
      </c>
      <c r="L2975" s="276">
        <f>IF($K2975="","",TODAY()-$K2975)</f>
        <v/>
      </c>
      <c r="M2975">
        <f>IF($A2975="","",IF($H2975="ENGAGE","Engagé",IF(AND($H2975="NON ENGAGE",OR($I2975="INFRUCTUEUX",$I2975="ANNULE")),"Clôturé sans suite","En cours")))</f>
        <v/>
      </c>
      <c r="N2975">
        <f>IF(ISBLANK('ENGAGEMENTS 2026'!C2975),"",'ENGAGEMENTS 2026'!L2975)</f>
        <v/>
      </c>
      <c r="O2975">
        <f>IF(ISBLANK('ENGAGEMENTS 2026'!C2975),"",'ENGAGEMENTS 2026'!M2975)</f>
        <v/>
      </c>
      <c r="P2975">
        <f>IF(ISBLANK('ENGAGEMENTS 2026'!C2975),"",'ENGAGEMENTS 2026'!K2975)</f>
        <v/>
      </c>
      <c r="Q2975">
        <f>IF($A2975="","",IF(OR($E2975="INFRUCTUEUX",$E2975="ANNULE"),$A2975&amp;"|"&amp;(COUNTIFS($A$2:$A2975,$A2975,$E$2:$E2975,"INFRUCTUEUX")+COUNTIFS($A$2:$A2975,$A2975,$E$2:$E2975,"ANNULE")),""))</f>
        <v/>
      </c>
    </row>
    <row r="2976">
      <c r="A2976">
        <f>IF(ISBLANK('ENGAGEMENTS 2026'!C2976),"",IF('ENGAGEMENTS 2026'!C2976="DTSI","DCT",'ENGAGEMENTS 2026'!C2976))</f>
        <v/>
      </c>
      <c r="B2976">
        <f>IF(ISBLANK('ENGAGEMENTS 2026'!C2976),"",'ENGAGEMENTS 2026'!D2976)</f>
        <v/>
      </c>
      <c r="C2976">
        <f>IF(ISBLANK('ENGAGEMENTS 2026'!C2976),"",'ENGAGEMENTS 2026'!E2976)</f>
        <v/>
      </c>
      <c r="D2976">
        <f>IF(ISBLANK('ENGAGEMENTS 2026'!C2976),"",'ENGAGEMENTS 2026'!G2976)</f>
        <v/>
      </c>
      <c r="E2976">
        <f>IF(ISBLANK('ENGAGEMENTS 2026'!C2976),"",'ENGAGEMENTS 2026'!I2976)</f>
        <v/>
      </c>
      <c r="F2976">
        <f>IF(ISBLANK('ENGAGEMENTS 2026'!C2976),"",'ENGAGEMENTS 2026'!J2976)</f>
        <v/>
      </c>
      <c r="G2976">
        <f>IF(ISBLANK('ENGAGEMENTS 2026'!C2976),"",'ENGAGEMENTS 2026'!M2976)</f>
        <v/>
      </c>
      <c r="H2976">
        <f>IF(ISBLANK('ENGAGEMENTS 2026'!C2976),"",'ENGAGEMENTS 2026'!AF2976)</f>
        <v/>
      </c>
      <c r="I2976">
        <f>IF(ISBLANK('ENGAGEMENTS 2026'!C2976),"",'ENGAGEMENTS 2026'!H2976)</f>
        <v/>
      </c>
      <c r="J2976" s="275">
        <f>IF(ISBLANK('ENGAGEMENTS 2026'!C2976),"",IF(AND(OR($E2976="INFRUCTUEUX",$E2976="ANNULE"),$C2976="AOO-M"),'ENGAGEMENTS 2026'!P2976,IF($H2976="EN COURS DE PREENGAGEMENT",'ENGAGEMENTS 2026'!O2976,IF($H2976="PREENGAGE",IF($E2976="ATTRIBUE",'ENGAGEMENTS 2026'!AE2976,'ENGAGEMENTS 2026'!O2976),'ENGAGEMENTS 2026'!AE2976))))</f>
        <v/>
      </c>
      <c r="K2976" s="604">
        <f>IF(ISBLANK('ENGAGEMENTS 2026'!W2976),"",'ENGAGEMENTS 2026'!W2976)</f>
        <v/>
      </c>
      <c r="L2976" s="276">
        <f>IF($K2976="","",TODAY()-$K2976)</f>
        <v/>
      </c>
      <c r="M2976">
        <f>IF($A2976="","",IF($H2976="ENGAGE","Engagé",IF(AND($H2976="NON ENGAGE",OR($I2976="INFRUCTUEUX",$I2976="ANNULE")),"Clôturé sans suite","En cours")))</f>
        <v/>
      </c>
      <c r="N2976">
        <f>IF(ISBLANK('ENGAGEMENTS 2026'!C2976),"",'ENGAGEMENTS 2026'!L2976)</f>
        <v/>
      </c>
      <c r="O2976">
        <f>IF(ISBLANK('ENGAGEMENTS 2026'!C2976),"",'ENGAGEMENTS 2026'!M2976)</f>
        <v/>
      </c>
      <c r="P2976">
        <f>IF(ISBLANK('ENGAGEMENTS 2026'!C2976),"",'ENGAGEMENTS 2026'!K2976)</f>
        <v/>
      </c>
      <c r="Q2976">
        <f>IF($A2976="","",IF(OR($E2976="INFRUCTUEUX",$E2976="ANNULE"),$A2976&amp;"|"&amp;(COUNTIFS($A$2:$A2976,$A2976,$E$2:$E2976,"INFRUCTUEUX")+COUNTIFS($A$2:$A2976,$A2976,$E$2:$E2976,"ANNULE")),""))</f>
        <v/>
      </c>
    </row>
    <row r="2977">
      <c r="A2977">
        <f>IF(ISBLANK('ENGAGEMENTS 2026'!C2977),"",IF('ENGAGEMENTS 2026'!C2977="DTSI","DCT",'ENGAGEMENTS 2026'!C2977))</f>
        <v/>
      </c>
      <c r="B2977">
        <f>IF(ISBLANK('ENGAGEMENTS 2026'!C2977),"",'ENGAGEMENTS 2026'!D2977)</f>
        <v/>
      </c>
      <c r="C2977">
        <f>IF(ISBLANK('ENGAGEMENTS 2026'!C2977),"",'ENGAGEMENTS 2026'!E2977)</f>
        <v/>
      </c>
      <c r="D2977">
        <f>IF(ISBLANK('ENGAGEMENTS 2026'!C2977),"",'ENGAGEMENTS 2026'!G2977)</f>
        <v/>
      </c>
      <c r="E2977">
        <f>IF(ISBLANK('ENGAGEMENTS 2026'!C2977),"",'ENGAGEMENTS 2026'!I2977)</f>
        <v/>
      </c>
      <c r="F2977">
        <f>IF(ISBLANK('ENGAGEMENTS 2026'!C2977),"",'ENGAGEMENTS 2026'!J2977)</f>
        <v/>
      </c>
      <c r="G2977">
        <f>IF(ISBLANK('ENGAGEMENTS 2026'!C2977),"",'ENGAGEMENTS 2026'!M2977)</f>
        <v/>
      </c>
      <c r="H2977">
        <f>IF(ISBLANK('ENGAGEMENTS 2026'!C2977),"",'ENGAGEMENTS 2026'!AF2977)</f>
        <v/>
      </c>
      <c r="I2977">
        <f>IF(ISBLANK('ENGAGEMENTS 2026'!C2977),"",'ENGAGEMENTS 2026'!H2977)</f>
        <v/>
      </c>
      <c r="J2977" s="275">
        <f>IF(ISBLANK('ENGAGEMENTS 2026'!C2977),"",IF(AND(OR($E2977="INFRUCTUEUX",$E2977="ANNULE"),$C2977="AOO-M"),'ENGAGEMENTS 2026'!P2977,IF($H2977="EN COURS DE PREENGAGEMENT",'ENGAGEMENTS 2026'!O2977,IF($H2977="PREENGAGE",IF($E2977="ATTRIBUE",'ENGAGEMENTS 2026'!AE2977,'ENGAGEMENTS 2026'!O2977),'ENGAGEMENTS 2026'!AE2977))))</f>
        <v/>
      </c>
      <c r="K2977" s="604">
        <f>IF(ISBLANK('ENGAGEMENTS 2026'!W2977),"",'ENGAGEMENTS 2026'!W2977)</f>
        <v/>
      </c>
      <c r="L2977" s="276">
        <f>IF($K2977="","",TODAY()-$K2977)</f>
        <v/>
      </c>
      <c r="M2977">
        <f>IF($A2977="","",IF($H2977="ENGAGE","Engagé",IF(AND($H2977="NON ENGAGE",OR($I2977="INFRUCTUEUX",$I2977="ANNULE")),"Clôturé sans suite","En cours")))</f>
        <v/>
      </c>
      <c r="N2977">
        <f>IF(ISBLANK('ENGAGEMENTS 2026'!C2977),"",'ENGAGEMENTS 2026'!L2977)</f>
        <v/>
      </c>
      <c r="O2977">
        <f>IF(ISBLANK('ENGAGEMENTS 2026'!C2977),"",'ENGAGEMENTS 2026'!M2977)</f>
        <v/>
      </c>
      <c r="P2977">
        <f>IF(ISBLANK('ENGAGEMENTS 2026'!C2977),"",'ENGAGEMENTS 2026'!K2977)</f>
        <v/>
      </c>
      <c r="Q2977">
        <f>IF($A2977="","",IF(OR($E2977="INFRUCTUEUX",$E2977="ANNULE"),$A2977&amp;"|"&amp;(COUNTIFS($A$2:$A2977,$A2977,$E$2:$E2977,"INFRUCTUEUX")+COUNTIFS($A$2:$A2977,$A2977,$E$2:$E2977,"ANNULE")),""))</f>
        <v/>
      </c>
    </row>
    <row r="2978">
      <c r="A2978">
        <f>IF(ISBLANK('ENGAGEMENTS 2026'!C2978),"",IF('ENGAGEMENTS 2026'!C2978="DTSI","DCT",'ENGAGEMENTS 2026'!C2978))</f>
        <v/>
      </c>
      <c r="B2978">
        <f>IF(ISBLANK('ENGAGEMENTS 2026'!C2978),"",'ENGAGEMENTS 2026'!D2978)</f>
        <v/>
      </c>
      <c r="C2978">
        <f>IF(ISBLANK('ENGAGEMENTS 2026'!C2978),"",'ENGAGEMENTS 2026'!E2978)</f>
        <v/>
      </c>
      <c r="D2978">
        <f>IF(ISBLANK('ENGAGEMENTS 2026'!C2978),"",'ENGAGEMENTS 2026'!G2978)</f>
        <v/>
      </c>
      <c r="E2978">
        <f>IF(ISBLANK('ENGAGEMENTS 2026'!C2978),"",'ENGAGEMENTS 2026'!I2978)</f>
        <v/>
      </c>
      <c r="F2978">
        <f>IF(ISBLANK('ENGAGEMENTS 2026'!C2978),"",'ENGAGEMENTS 2026'!J2978)</f>
        <v/>
      </c>
      <c r="G2978">
        <f>IF(ISBLANK('ENGAGEMENTS 2026'!C2978),"",'ENGAGEMENTS 2026'!M2978)</f>
        <v/>
      </c>
      <c r="H2978">
        <f>IF(ISBLANK('ENGAGEMENTS 2026'!C2978),"",'ENGAGEMENTS 2026'!AF2978)</f>
        <v/>
      </c>
      <c r="I2978">
        <f>IF(ISBLANK('ENGAGEMENTS 2026'!C2978),"",'ENGAGEMENTS 2026'!H2978)</f>
        <v/>
      </c>
      <c r="J2978" s="275">
        <f>IF(ISBLANK('ENGAGEMENTS 2026'!C2978),"",IF(AND(OR($E2978="INFRUCTUEUX",$E2978="ANNULE"),$C2978="AOO-M"),'ENGAGEMENTS 2026'!P2978,IF($H2978="EN COURS DE PREENGAGEMENT",'ENGAGEMENTS 2026'!O2978,IF($H2978="PREENGAGE",IF($E2978="ATTRIBUE",'ENGAGEMENTS 2026'!AE2978,'ENGAGEMENTS 2026'!O2978),'ENGAGEMENTS 2026'!AE2978))))</f>
        <v/>
      </c>
      <c r="K2978" s="604">
        <f>IF(ISBLANK('ENGAGEMENTS 2026'!W2978),"",'ENGAGEMENTS 2026'!W2978)</f>
        <v/>
      </c>
      <c r="L2978" s="276">
        <f>IF($K2978="","",TODAY()-$K2978)</f>
        <v/>
      </c>
      <c r="M2978">
        <f>IF($A2978="","",IF($H2978="ENGAGE","Engagé",IF(AND($H2978="NON ENGAGE",OR($I2978="INFRUCTUEUX",$I2978="ANNULE")),"Clôturé sans suite","En cours")))</f>
        <v/>
      </c>
      <c r="N2978">
        <f>IF(ISBLANK('ENGAGEMENTS 2026'!C2978),"",'ENGAGEMENTS 2026'!L2978)</f>
        <v/>
      </c>
      <c r="O2978">
        <f>IF(ISBLANK('ENGAGEMENTS 2026'!C2978),"",'ENGAGEMENTS 2026'!M2978)</f>
        <v/>
      </c>
      <c r="P2978">
        <f>IF(ISBLANK('ENGAGEMENTS 2026'!C2978),"",'ENGAGEMENTS 2026'!K2978)</f>
        <v/>
      </c>
      <c r="Q2978">
        <f>IF($A2978="","",IF(OR($E2978="INFRUCTUEUX",$E2978="ANNULE"),$A2978&amp;"|"&amp;(COUNTIFS($A$2:$A2978,$A2978,$E$2:$E2978,"INFRUCTUEUX")+COUNTIFS($A$2:$A2978,$A2978,$E$2:$E2978,"ANNULE")),""))</f>
        <v/>
      </c>
    </row>
    <row r="2979">
      <c r="A2979">
        <f>IF(ISBLANK('ENGAGEMENTS 2026'!C2979),"",IF('ENGAGEMENTS 2026'!C2979="DTSI","DCT",'ENGAGEMENTS 2026'!C2979))</f>
        <v/>
      </c>
      <c r="B2979">
        <f>IF(ISBLANK('ENGAGEMENTS 2026'!C2979),"",'ENGAGEMENTS 2026'!D2979)</f>
        <v/>
      </c>
      <c r="C2979">
        <f>IF(ISBLANK('ENGAGEMENTS 2026'!C2979),"",'ENGAGEMENTS 2026'!E2979)</f>
        <v/>
      </c>
      <c r="D2979">
        <f>IF(ISBLANK('ENGAGEMENTS 2026'!C2979),"",'ENGAGEMENTS 2026'!G2979)</f>
        <v/>
      </c>
      <c r="E2979">
        <f>IF(ISBLANK('ENGAGEMENTS 2026'!C2979),"",'ENGAGEMENTS 2026'!I2979)</f>
        <v/>
      </c>
      <c r="F2979">
        <f>IF(ISBLANK('ENGAGEMENTS 2026'!C2979),"",'ENGAGEMENTS 2026'!J2979)</f>
        <v/>
      </c>
      <c r="G2979">
        <f>IF(ISBLANK('ENGAGEMENTS 2026'!C2979),"",'ENGAGEMENTS 2026'!M2979)</f>
        <v/>
      </c>
      <c r="H2979">
        <f>IF(ISBLANK('ENGAGEMENTS 2026'!C2979),"",'ENGAGEMENTS 2026'!AF2979)</f>
        <v/>
      </c>
      <c r="I2979">
        <f>IF(ISBLANK('ENGAGEMENTS 2026'!C2979),"",'ENGAGEMENTS 2026'!H2979)</f>
        <v/>
      </c>
      <c r="J2979" s="275">
        <f>IF(ISBLANK('ENGAGEMENTS 2026'!C2979),"",IF(AND(OR($E2979="INFRUCTUEUX",$E2979="ANNULE"),$C2979="AOO-M"),'ENGAGEMENTS 2026'!P2979,IF($H2979="EN COURS DE PREENGAGEMENT",'ENGAGEMENTS 2026'!O2979,IF($H2979="PREENGAGE",IF($E2979="ATTRIBUE",'ENGAGEMENTS 2026'!AE2979,'ENGAGEMENTS 2026'!O2979),'ENGAGEMENTS 2026'!AE2979))))</f>
        <v/>
      </c>
      <c r="K2979" s="604">
        <f>IF(ISBLANK('ENGAGEMENTS 2026'!W2979),"",'ENGAGEMENTS 2026'!W2979)</f>
        <v/>
      </c>
      <c r="L2979" s="276">
        <f>IF($K2979="","",TODAY()-$K2979)</f>
        <v/>
      </c>
      <c r="M2979">
        <f>IF($A2979="","",IF($H2979="ENGAGE","Engagé",IF(AND($H2979="NON ENGAGE",OR($I2979="INFRUCTUEUX",$I2979="ANNULE")),"Clôturé sans suite","En cours")))</f>
        <v/>
      </c>
      <c r="N2979">
        <f>IF(ISBLANK('ENGAGEMENTS 2026'!C2979),"",'ENGAGEMENTS 2026'!L2979)</f>
        <v/>
      </c>
      <c r="O2979">
        <f>IF(ISBLANK('ENGAGEMENTS 2026'!C2979),"",'ENGAGEMENTS 2026'!M2979)</f>
        <v/>
      </c>
      <c r="P2979">
        <f>IF(ISBLANK('ENGAGEMENTS 2026'!C2979),"",'ENGAGEMENTS 2026'!K2979)</f>
        <v/>
      </c>
      <c r="Q2979">
        <f>IF($A2979="","",IF(OR($E2979="INFRUCTUEUX",$E2979="ANNULE"),$A2979&amp;"|"&amp;(COUNTIFS($A$2:$A2979,$A2979,$E$2:$E2979,"INFRUCTUEUX")+COUNTIFS($A$2:$A2979,$A2979,$E$2:$E2979,"ANNULE")),""))</f>
        <v/>
      </c>
    </row>
    <row r="2980">
      <c r="A2980">
        <f>IF(ISBLANK('ENGAGEMENTS 2026'!C2980),"",IF('ENGAGEMENTS 2026'!C2980="DTSI","DCT",'ENGAGEMENTS 2026'!C2980))</f>
        <v/>
      </c>
      <c r="B2980">
        <f>IF(ISBLANK('ENGAGEMENTS 2026'!C2980),"",'ENGAGEMENTS 2026'!D2980)</f>
        <v/>
      </c>
      <c r="C2980">
        <f>IF(ISBLANK('ENGAGEMENTS 2026'!C2980),"",'ENGAGEMENTS 2026'!E2980)</f>
        <v/>
      </c>
      <c r="D2980">
        <f>IF(ISBLANK('ENGAGEMENTS 2026'!C2980),"",'ENGAGEMENTS 2026'!G2980)</f>
        <v/>
      </c>
      <c r="E2980">
        <f>IF(ISBLANK('ENGAGEMENTS 2026'!C2980),"",'ENGAGEMENTS 2026'!I2980)</f>
        <v/>
      </c>
      <c r="F2980">
        <f>IF(ISBLANK('ENGAGEMENTS 2026'!C2980),"",'ENGAGEMENTS 2026'!J2980)</f>
        <v/>
      </c>
      <c r="G2980">
        <f>IF(ISBLANK('ENGAGEMENTS 2026'!C2980),"",'ENGAGEMENTS 2026'!M2980)</f>
        <v/>
      </c>
      <c r="H2980">
        <f>IF(ISBLANK('ENGAGEMENTS 2026'!C2980),"",'ENGAGEMENTS 2026'!AF2980)</f>
        <v/>
      </c>
      <c r="I2980">
        <f>IF(ISBLANK('ENGAGEMENTS 2026'!C2980),"",'ENGAGEMENTS 2026'!H2980)</f>
        <v/>
      </c>
      <c r="J2980" s="275">
        <f>IF(ISBLANK('ENGAGEMENTS 2026'!C2980),"",IF(AND(OR($E2980="INFRUCTUEUX",$E2980="ANNULE"),$C2980="AOO-M"),'ENGAGEMENTS 2026'!P2980,IF($H2980="EN COURS DE PREENGAGEMENT",'ENGAGEMENTS 2026'!O2980,IF($H2980="PREENGAGE",IF($E2980="ATTRIBUE",'ENGAGEMENTS 2026'!AE2980,'ENGAGEMENTS 2026'!O2980),'ENGAGEMENTS 2026'!AE2980))))</f>
        <v/>
      </c>
      <c r="K2980" s="604">
        <f>IF(ISBLANK('ENGAGEMENTS 2026'!W2980),"",'ENGAGEMENTS 2026'!W2980)</f>
        <v/>
      </c>
      <c r="L2980" s="276">
        <f>IF($K2980="","",TODAY()-$K2980)</f>
        <v/>
      </c>
      <c r="M2980">
        <f>IF($A2980="","",IF($H2980="ENGAGE","Engagé",IF(AND($H2980="NON ENGAGE",OR($I2980="INFRUCTUEUX",$I2980="ANNULE")),"Clôturé sans suite","En cours")))</f>
        <v/>
      </c>
      <c r="N2980">
        <f>IF(ISBLANK('ENGAGEMENTS 2026'!C2980),"",'ENGAGEMENTS 2026'!L2980)</f>
        <v/>
      </c>
      <c r="O2980">
        <f>IF(ISBLANK('ENGAGEMENTS 2026'!C2980),"",'ENGAGEMENTS 2026'!M2980)</f>
        <v/>
      </c>
      <c r="P2980">
        <f>IF(ISBLANK('ENGAGEMENTS 2026'!C2980),"",'ENGAGEMENTS 2026'!K2980)</f>
        <v/>
      </c>
      <c r="Q2980">
        <f>IF($A2980="","",IF(OR($E2980="INFRUCTUEUX",$E2980="ANNULE"),$A2980&amp;"|"&amp;(COUNTIFS($A$2:$A2980,$A2980,$E$2:$E2980,"INFRUCTUEUX")+COUNTIFS($A$2:$A2980,$A2980,$E$2:$E2980,"ANNULE")),""))</f>
        <v/>
      </c>
    </row>
    <row r="2981">
      <c r="A2981">
        <f>IF(ISBLANK('ENGAGEMENTS 2026'!C2981),"",IF('ENGAGEMENTS 2026'!C2981="DTSI","DCT",'ENGAGEMENTS 2026'!C2981))</f>
        <v/>
      </c>
      <c r="B2981">
        <f>IF(ISBLANK('ENGAGEMENTS 2026'!C2981),"",'ENGAGEMENTS 2026'!D2981)</f>
        <v/>
      </c>
      <c r="C2981">
        <f>IF(ISBLANK('ENGAGEMENTS 2026'!C2981),"",'ENGAGEMENTS 2026'!E2981)</f>
        <v/>
      </c>
      <c r="D2981">
        <f>IF(ISBLANK('ENGAGEMENTS 2026'!C2981),"",'ENGAGEMENTS 2026'!G2981)</f>
        <v/>
      </c>
      <c r="E2981">
        <f>IF(ISBLANK('ENGAGEMENTS 2026'!C2981),"",'ENGAGEMENTS 2026'!I2981)</f>
        <v/>
      </c>
      <c r="F2981">
        <f>IF(ISBLANK('ENGAGEMENTS 2026'!C2981),"",'ENGAGEMENTS 2026'!J2981)</f>
        <v/>
      </c>
      <c r="G2981">
        <f>IF(ISBLANK('ENGAGEMENTS 2026'!C2981),"",'ENGAGEMENTS 2026'!M2981)</f>
        <v/>
      </c>
      <c r="H2981">
        <f>IF(ISBLANK('ENGAGEMENTS 2026'!C2981),"",'ENGAGEMENTS 2026'!AF2981)</f>
        <v/>
      </c>
      <c r="I2981">
        <f>IF(ISBLANK('ENGAGEMENTS 2026'!C2981),"",'ENGAGEMENTS 2026'!H2981)</f>
        <v/>
      </c>
      <c r="J2981" s="275">
        <f>IF(ISBLANK('ENGAGEMENTS 2026'!C2981),"",IF(AND(OR($E2981="INFRUCTUEUX",$E2981="ANNULE"),$C2981="AOO-M"),'ENGAGEMENTS 2026'!P2981,IF($H2981="EN COURS DE PREENGAGEMENT",'ENGAGEMENTS 2026'!O2981,IF($H2981="PREENGAGE",IF($E2981="ATTRIBUE",'ENGAGEMENTS 2026'!AE2981,'ENGAGEMENTS 2026'!O2981),'ENGAGEMENTS 2026'!AE2981))))</f>
        <v/>
      </c>
      <c r="K2981" s="604">
        <f>IF(ISBLANK('ENGAGEMENTS 2026'!W2981),"",'ENGAGEMENTS 2026'!W2981)</f>
        <v/>
      </c>
      <c r="L2981" s="276">
        <f>IF($K2981="","",TODAY()-$K2981)</f>
        <v/>
      </c>
      <c r="M2981">
        <f>IF($A2981="","",IF($H2981="ENGAGE","Engagé",IF(AND($H2981="NON ENGAGE",OR($I2981="INFRUCTUEUX",$I2981="ANNULE")),"Clôturé sans suite","En cours")))</f>
        <v/>
      </c>
      <c r="N2981">
        <f>IF(ISBLANK('ENGAGEMENTS 2026'!C2981),"",'ENGAGEMENTS 2026'!L2981)</f>
        <v/>
      </c>
      <c r="O2981">
        <f>IF(ISBLANK('ENGAGEMENTS 2026'!C2981),"",'ENGAGEMENTS 2026'!M2981)</f>
        <v/>
      </c>
      <c r="P2981">
        <f>IF(ISBLANK('ENGAGEMENTS 2026'!C2981),"",'ENGAGEMENTS 2026'!K2981)</f>
        <v/>
      </c>
      <c r="Q2981">
        <f>IF($A2981="","",IF(OR($E2981="INFRUCTUEUX",$E2981="ANNULE"),$A2981&amp;"|"&amp;(COUNTIFS($A$2:$A2981,$A2981,$E$2:$E2981,"INFRUCTUEUX")+COUNTIFS($A$2:$A2981,$A2981,$E$2:$E2981,"ANNULE")),""))</f>
        <v/>
      </c>
    </row>
    <row r="2982">
      <c r="A2982">
        <f>IF(ISBLANK('ENGAGEMENTS 2026'!C2982),"",IF('ENGAGEMENTS 2026'!C2982="DTSI","DCT",'ENGAGEMENTS 2026'!C2982))</f>
        <v/>
      </c>
      <c r="B2982">
        <f>IF(ISBLANK('ENGAGEMENTS 2026'!C2982),"",'ENGAGEMENTS 2026'!D2982)</f>
        <v/>
      </c>
      <c r="C2982">
        <f>IF(ISBLANK('ENGAGEMENTS 2026'!C2982),"",'ENGAGEMENTS 2026'!E2982)</f>
        <v/>
      </c>
      <c r="D2982">
        <f>IF(ISBLANK('ENGAGEMENTS 2026'!C2982),"",'ENGAGEMENTS 2026'!G2982)</f>
        <v/>
      </c>
      <c r="E2982">
        <f>IF(ISBLANK('ENGAGEMENTS 2026'!C2982),"",'ENGAGEMENTS 2026'!I2982)</f>
        <v/>
      </c>
      <c r="F2982">
        <f>IF(ISBLANK('ENGAGEMENTS 2026'!C2982),"",'ENGAGEMENTS 2026'!J2982)</f>
        <v/>
      </c>
      <c r="G2982">
        <f>IF(ISBLANK('ENGAGEMENTS 2026'!C2982),"",'ENGAGEMENTS 2026'!M2982)</f>
        <v/>
      </c>
      <c r="H2982">
        <f>IF(ISBLANK('ENGAGEMENTS 2026'!C2982),"",'ENGAGEMENTS 2026'!AF2982)</f>
        <v/>
      </c>
      <c r="I2982">
        <f>IF(ISBLANK('ENGAGEMENTS 2026'!C2982),"",'ENGAGEMENTS 2026'!H2982)</f>
        <v/>
      </c>
      <c r="J2982" s="275">
        <f>IF(ISBLANK('ENGAGEMENTS 2026'!C2982),"",IF(AND(OR($E2982="INFRUCTUEUX",$E2982="ANNULE"),$C2982="AOO-M"),'ENGAGEMENTS 2026'!P2982,IF($H2982="EN COURS DE PREENGAGEMENT",'ENGAGEMENTS 2026'!O2982,IF($H2982="PREENGAGE",IF($E2982="ATTRIBUE",'ENGAGEMENTS 2026'!AE2982,'ENGAGEMENTS 2026'!O2982),'ENGAGEMENTS 2026'!AE2982))))</f>
        <v/>
      </c>
      <c r="K2982" s="604">
        <f>IF(ISBLANK('ENGAGEMENTS 2026'!W2982),"",'ENGAGEMENTS 2026'!W2982)</f>
        <v/>
      </c>
      <c r="L2982" s="276">
        <f>IF($K2982="","",TODAY()-$K2982)</f>
        <v/>
      </c>
      <c r="M2982">
        <f>IF($A2982="","",IF($H2982="ENGAGE","Engagé",IF(AND($H2982="NON ENGAGE",OR($I2982="INFRUCTUEUX",$I2982="ANNULE")),"Clôturé sans suite","En cours")))</f>
        <v/>
      </c>
      <c r="N2982">
        <f>IF(ISBLANK('ENGAGEMENTS 2026'!C2982),"",'ENGAGEMENTS 2026'!L2982)</f>
        <v/>
      </c>
      <c r="O2982">
        <f>IF(ISBLANK('ENGAGEMENTS 2026'!C2982),"",'ENGAGEMENTS 2026'!M2982)</f>
        <v/>
      </c>
      <c r="P2982">
        <f>IF(ISBLANK('ENGAGEMENTS 2026'!C2982),"",'ENGAGEMENTS 2026'!K2982)</f>
        <v/>
      </c>
      <c r="Q2982">
        <f>IF($A2982="","",IF(OR($E2982="INFRUCTUEUX",$E2982="ANNULE"),$A2982&amp;"|"&amp;(COUNTIFS($A$2:$A2982,$A2982,$E$2:$E2982,"INFRUCTUEUX")+COUNTIFS($A$2:$A2982,$A2982,$E$2:$E2982,"ANNULE")),""))</f>
        <v/>
      </c>
    </row>
    <row r="2983">
      <c r="A2983">
        <f>IF(ISBLANK('ENGAGEMENTS 2026'!C2983),"",IF('ENGAGEMENTS 2026'!C2983="DTSI","DCT",'ENGAGEMENTS 2026'!C2983))</f>
        <v/>
      </c>
      <c r="B2983">
        <f>IF(ISBLANK('ENGAGEMENTS 2026'!C2983),"",'ENGAGEMENTS 2026'!D2983)</f>
        <v/>
      </c>
      <c r="C2983">
        <f>IF(ISBLANK('ENGAGEMENTS 2026'!C2983),"",'ENGAGEMENTS 2026'!E2983)</f>
        <v/>
      </c>
      <c r="D2983">
        <f>IF(ISBLANK('ENGAGEMENTS 2026'!C2983),"",'ENGAGEMENTS 2026'!G2983)</f>
        <v/>
      </c>
      <c r="E2983">
        <f>IF(ISBLANK('ENGAGEMENTS 2026'!C2983),"",'ENGAGEMENTS 2026'!I2983)</f>
        <v/>
      </c>
      <c r="F2983">
        <f>IF(ISBLANK('ENGAGEMENTS 2026'!C2983),"",'ENGAGEMENTS 2026'!J2983)</f>
        <v/>
      </c>
      <c r="G2983">
        <f>IF(ISBLANK('ENGAGEMENTS 2026'!C2983),"",'ENGAGEMENTS 2026'!M2983)</f>
        <v/>
      </c>
      <c r="H2983">
        <f>IF(ISBLANK('ENGAGEMENTS 2026'!C2983),"",'ENGAGEMENTS 2026'!AF2983)</f>
        <v/>
      </c>
      <c r="I2983">
        <f>IF(ISBLANK('ENGAGEMENTS 2026'!C2983),"",'ENGAGEMENTS 2026'!H2983)</f>
        <v/>
      </c>
      <c r="J2983" s="275">
        <f>IF(ISBLANK('ENGAGEMENTS 2026'!C2983),"",IF(AND(OR($E2983="INFRUCTUEUX",$E2983="ANNULE"),$C2983="AOO-M"),'ENGAGEMENTS 2026'!P2983,IF($H2983="EN COURS DE PREENGAGEMENT",'ENGAGEMENTS 2026'!O2983,IF($H2983="PREENGAGE",IF($E2983="ATTRIBUE",'ENGAGEMENTS 2026'!AE2983,'ENGAGEMENTS 2026'!O2983),'ENGAGEMENTS 2026'!AE2983))))</f>
        <v/>
      </c>
      <c r="K2983" s="604">
        <f>IF(ISBLANK('ENGAGEMENTS 2026'!W2983),"",'ENGAGEMENTS 2026'!W2983)</f>
        <v/>
      </c>
      <c r="L2983" s="276">
        <f>IF($K2983="","",TODAY()-$K2983)</f>
        <v/>
      </c>
      <c r="M2983">
        <f>IF($A2983="","",IF($H2983="ENGAGE","Engagé",IF(AND($H2983="NON ENGAGE",OR($I2983="INFRUCTUEUX",$I2983="ANNULE")),"Clôturé sans suite","En cours")))</f>
        <v/>
      </c>
      <c r="N2983">
        <f>IF(ISBLANK('ENGAGEMENTS 2026'!C2983),"",'ENGAGEMENTS 2026'!L2983)</f>
        <v/>
      </c>
      <c r="O2983">
        <f>IF(ISBLANK('ENGAGEMENTS 2026'!C2983),"",'ENGAGEMENTS 2026'!M2983)</f>
        <v/>
      </c>
      <c r="P2983">
        <f>IF(ISBLANK('ENGAGEMENTS 2026'!C2983),"",'ENGAGEMENTS 2026'!K2983)</f>
        <v/>
      </c>
      <c r="Q2983">
        <f>IF($A2983="","",IF(OR($E2983="INFRUCTUEUX",$E2983="ANNULE"),$A2983&amp;"|"&amp;(COUNTIFS($A$2:$A2983,$A2983,$E$2:$E2983,"INFRUCTUEUX")+COUNTIFS($A$2:$A2983,$A2983,$E$2:$E2983,"ANNULE")),""))</f>
        <v/>
      </c>
    </row>
    <row r="2984">
      <c r="A2984">
        <f>IF(ISBLANK('ENGAGEMENTS 2026'!C2984),"",IF('ENGAGEMENTS 2026'!C2984="DTSI","DCT",'ENGAGEMENTS 2026'!C2984))</f>
        <v/>
      </c>
      <c r="B2984">
        <f>IF(ISBLANK('ENGAGEMENTS 2026'!C2984),"",'ENGAGEMENTS 2026'!D2984)</f>
        <v/>
      </c>
      <c r="C2984">
        <f>IF(ISBLANK('ENGAGEMENTS 2026'!C2984),"",'ENGAGEMENTS 2026'!E2984)</f>
        <v/>
      </c>
      <c r="D2984">
        <f>IF(ISBLANK('ENGAGEMENTS 2026'!C2984),"",'ENGAGEMENTS 2026'!G2984)</f>
        <v/>
      </c>
      <c r="E2984">
        <f>IF(ISBLANK('ENGAGEMENTS 2026'!C2984),"",'ENGAGEMENTS 2026'!I2984)</f>
        <v/>
      </c>
      <c r="F2984">
        <f>IF(ISBLANK('ENGAGEMENTS 2026'!C2984),"",'ENGAGEMENTS 2026'!J2984)</f>
        <v/>
      </c>
      <c r="G2984">
        <f>IF(ISBLANK('ENGAGEMENTS 2026'!C2984),"",'ENGAGEMENTS 2026'!M2984)</f>
        <v/>
      </c>
      <c r="H2984">
        <f>IF(ISBLANK('ENGAGEMENTS 2026'!C2984),"",'ENGAGEMENTS 2026'!AF2984)</f>
        <v/>
      </c>
      <c r="I2984">
        <f>IF(ISBLANK('ENGAGEMENTS 2026'!C2984),"",'ENGAGEMENTS 2026'!H2984)</f>
        <v/>
      </c>
      <c r="J2984" s="275">
        <f>IF(ISBLANK('ENGAGEMENTS 2026'!C2984),"",IF(AND(OR($E2984="INFRUCTUEUX",$E2984="ANNULE"),$C2984="AOO-M"),'ENGAGEMENTS 2026'!P2984,IF($H2984="EN COURS DE PREENGAGEMENT",'ENGAGEMENTS 2026'!O2984,IF($H2984="PREENGAGE",IF($E2984="ATTRIBUE",'ENGAGEMENTS 2026'!AE2984,'ENGAGEMENTS 2026'!O2984),'ENGAGEMENTS 2026'!AE2984))))</f>
        <v/>
      </c>
      <c r="K2984" s="604">
        <f>IF(ISBLANK('ENGAGEMENTS 2026'!W2984),"",'ENGAGEMENTS 2026'!W2984)</f>
        <v/>
      </c>
      <c r="L2984" s="276">
        <f>IF($K2984="","",TODAY()-$K2984)</f>
        <v/>
      </c>
      <c r="M2984">
        <f>IF($A2984="","",IF($H2984="ENGAGE","Engagé",IF(AND($H2984="NON ENGAGE",OR($I2984="INFRUCTUEUX",$I2984="ANNULE")),"Clôturé sans suite","En cours")))</f>
        <v/>
      </c>
      <c r="N2984">
        <f>IF(ISBLANK('ENGAGEMENTS 2026'!C2984),"",'ENGAGEMENTS 2026'!L2984)</f>
        <v/>
      </c>
      <c r="O2984">
        <f>IF(ISBLANK('ENGAGEMENTS 2026'!C2984),"",'ENGAGEMENTS 2026'!M2984)</f>
        <v/>
      </c>
      <c r="P2984">
        <f>IF(ISBLANK('ENGAGEMENTS 2026'!C2984),"",'ENGAGEMENTS 2026'!K2984)</f>
        <v/>
      </c>
      <c r="Q2984">
        <f>IF($A2984="","",IF(OR($E2984="INFRUCTUEUX",$E2984="ANNULE"),$A2984&amp;"|"&amp;(COUNTIFS($A$2:$A2984,$A2984,$E$2:$E2984,"INFRUCTUEUX")+COUNTIFS($A$2:$A2984,$A2984,$E$2:$E2984,"ANNULE")),""))</f>
        <v/>
      </c>
    </row>
    <row r="2985">
      <c r="A2985">
        <f>IF(ISBLANK('ENGAGEMENTS 2026'!C2985),"",IF('ENGAGEMENTS 2026'!C2985="DTSI","DCT",'ENGAGEMENTS 2026'!C2985))</f>
        <v/>
      </c>
      <c r="B2985">
        <f>IF(ISBLANK('ENGAGEMENTS 2026'!C2985),"",'ENGAGEMENTS 2026'!D2985)</f>
        <v/>
      </c>
      <c r="C2985">
        <f>IF(ISBLANK('ENGAGEMENTS 2026'!C2985),"",'ENGAGEMENTS 2026'!E2985)</f>
        <v/>
      </c>
      <c r="D2985">
        <f>IF(ISBLANK('ENGAGEMENTS 2026'!C2985),"",'ENGAGEMENTS 2026'!G2985)</f>
        <v/>
      </c>
      <c r="E2985">
        <f>IF(ISBLANK('ENGAGEMENTS 2026'!C2985),"",'ENGAGEMENTS 2026'!I2985)</f>
        <v/>
      </c>
      <c r="F2985">
        <f>IF(ISBLANK('ENGAGEMENTS 2026'!C2985),"",'ENGAGEMENTS 2026'!J2985)</f>
        <v/>
      </c>
      <c r="G2985">
        <f>IF(ISBLANK('ENGAGEMENTS 2026'!C2985),"",'ENGAGEMENTS 2026'!M2985)</f>
        <v/>
      </c>
      <c r="H2985">
        <f>IF(ISBLANK('ENGAGEMENTS 2026'!C2985),"",'ENGAGEMENTS 2026'!AF2985)</f>
        <v/>
      </c>
      <c r="I2985">
        <f>IF(ISBLANK('ENGAGEMENTS 2026'!C2985),"",'ENGAGEMENTS 2026'!H2985)</f>
        <v/>
      </c>
      <c r="J2985" s="275">
        <f>IF(ISBLANK('ENGAGEMENTS 2026'!C2985),"",IF(AND(OR($E2985="INFRUCTUEUX",$E2985="ANNULE"),$C2985="AOO-M"),'ENGAGEMENTS 2026'!P2985,IF($H2985="EN COURS DE PREENGAGEMENT",'ENGAGEMENTS 2026'!O2985,IF($H2985="PREENGAGE",IF($E2985="ATTRIBUE",'ENGAGEMENTS 2026'!AE2985,'ENGAGEMENTS 2026'!O2985),'ENGAGEMENTS 2026'!AE2985))))</f>
        <v/>
      </c>
      <c r="K2985" s="604">
        <f>IF(ISBLANK('ENGAGEMENTS 2026'!W2985),"",'ENGAGEMENTS 2026'!W2985)</f>
        <v/>
      </c>
      <c r="L2985" s="276">
        <f>IF($K2985="","",TODAY()-$K2985)</f>
        <v/>
      </c>
      <c r="M2985">
        <f>IF($A2985="","",IF($H2985="ENGAGE","Engagé",IF(AND($H2985="NON ENGAGE",OR($I2985="INFRUCTUEUX",$I2985="ANNULE")),"Clôturé sans suite","En cours")))</f>
        <v/>
      </c>
      <c r="N2985">
        <f>IF(ISBLANK('ENGAGEMENTS 2026'!C2985),"",'ENGAGEMENTS 2026'!L2985)</f>
        <v/>
      </c>
      <c r="O2985">
        <f>IF(ISBLANK('ENGAGEMENTS 2026'!C2985),"",'ENGAGEMENTS 2026'!M2985)</f>
        <v/>
      </c>
      <c r="P2985">
        <f>IF(ISBLANK('ENGAGEMENTS 2026'!C2985),"",'ENGAGEMENTS 2026'!K2985)</f>
        <v/>
      </c>
      <c r="Q2985">
        <f>IF($A2985="","",IF(OR($E2985="INFRUCTUEUX",$E2985="ANNULE"),$A2985&amp;"|"&amp;(COUNTIFS($A$2:$A2985,$A2985,$E$2:$E2985,"INFRUCTUEUX")+COUNTIFS($A$2:$A2985,$A2985,$E$2:$E2985,"ANNULE")),""))</f>
        <v/>
      </c>
    </row>
    <row r="2986">
      <c r="A2986">
        <f>IF(ISBLANK('ENGAGEMENTS 2026'!C2986),"",IF('ENGAGEMENTS 2026'!C2986="DTSI","DCT",'ENGAGEMENTS 2026'!C2986))</f>
        <v/>
      </c>
      <c r="B2986">
        <f>IF(ISBLANK('ENGAGEMENTS 2026'!C2986),"",'ENGAGEMENTS 2026'!D2986)</f>
        <v/>
      </c>
      <c r="C2986">
        <f>IF(ISBLANK('ENGAGEMENTS 2026'!C2986),"",'ENGAGEMENTS 2026'!E2986)</f>
        <v/>
      </c>
      <c r="D2986">
        <f>IF(ISBLANK('ENGAGEMENTS 2026'!C2986),"",'ENGAGEMENTS 2026'!G2986)</f>
        <v/>
      </c>
      <c r="E2986">
        <f>IF(ISBLANK('ENGAGEMENTS 2026'!C2986),"",'ENGAGEMENTS 2026'!I2986)</f>
        <v/>
      </c>
      <c r="F2986">
        <f>IF(ISBLANK('ENGAGEMENTS 2026'!C2986),"",'ENGAGEMENTS 2026'!J2986)</f>
        <v/>
      </c>
      <c r="G2986">
        <f>IF(ISBLANK('ENGAGEMENTS 2026'!C2986),"",'ENGAGEMENTS 2026'!M2986)</f>
        <v/>
      </c>
      <c r="H2986">
        <f>IF(ISBLANK('ENGAGEMENTS 2026'!C2986),"",'ENGAGEMENTS 2026'!AF2986)</f>
        <v/>
      </c>
      <c r="I2986">
        <f>IF(ISBLANK('ENGAGEMENTS 2026'!C2986),"",'ENGAGEMENTS 2026'!H2986)</f>
        <v/>
      </c>
      <c r="J2986" s="275">
        <f>IF(ISBLANK('ENGAGEMENTS 2026'!C2986),"",IF(AND(OR($E2986="INFRUCTUEUX",$E2986="ANNULE"),$C2986="AOO-M"),'ENGAGEMENTS 2026'!P2986,IF($H2986="EN COURS DE PREENGAGEMENT",'ENGAGEMENTS 2026'!O2986,IF($H2986="PREENGAGE",IF($E2986="ATTRIBUE",'ENGAGEMENTS 2026'!AE2986,'ENGAGEMENTS 2026'!O2986),'ENGAGEMENTS 2026'!AE2986))))</f>
        <v/>
      </c>
      <c r="K2986" s="604">
        <f>IF(ISBLANK('ENGAGEMENTS 2026'!W2986),"",'ENGAGEMENTS 2026'!W2986)</f>
        <v/>
      </c>
      <c r="L2986" s="276">
        <f>IF($K2986="","",TODAY()-$K2986)</f>
        <v/>
      </c>
      <c r="M2986">
        <f>IF($A2986="","",IF($H2986="ENGAGE","Engagé",IF(AND($H2986="NON ENGAGE",OR($I2986="INFRUCTUEUX",$I2986="ANNULE")),"Clôturé sans suite","En cours")))</f>
        <v/>
      </c>
      <c r="N2986">
        <f>IF(ISBLANK('ENGAGEMENTS 2026'!C2986),"",'ENGAGEMENTS 2026'!L2986)</f>
        <v/>
      </c>
      <c r="O2986">
        <f>IF(ISBLANK('ENGAGEMENTS 2026'!C2986),"",'ENGAGEMENTS 2026'!M2986)</f>
        <v/>
      </c>
      <c r="P2986">
        <f>IF(ISBLANK('ENGAGEMENTS 2026'!C2986),"",'ENGAGEMENTS 2026'!K2986)</f>
        <v/>
      </c>
      <c r="Q2986">
        <f>IF($A2986="","",IF(OR($E2986="INFRUCTUEUX",$E2986="ANNULE"),$A2986&amp;"|"&amp;(COUNTIFS($A$2:$A2986,$A2986,$E$2:$E2986,"INFRUCTUEUX")+COUNTIFS($A$2:$A2986,$A2986,$E$2:$E2986,"ANNULE")),""))</f>
        <v/>
      </c>
    </row>
    <row r="2987">
      <c r="A2987">
        <f>IF(ISBLANK('ENGAGEMENTS 2026'!C2987),"",IF('ENGAGEMENTS 2026'!C2987="DTSI","DCT",'ENGAGEMENTS 2026'!C2987))</f>
        <v/>
      </c>
      <c r="B2987">
        <f>IF(ISBLANK('ENGAGEMENTS 2026'!C2987),"",'ENGAGEMENTS 2026'!D2987)</f>
        <v/>
      </c>
      <c r="C2987">
        <f>IF(ISBLANK('ENGAGEMENTS 2026'!C2987),"",'ENGAGEMENTS 2026'!E2987)</f>
        <v/>
      </c>
      <c r="D2987">
        <f>IF(ISBLANK('ENGAGEMENTS 2026'!C2987),"",'ENGAGEMENTS 2026'!G2987)</f>
        <v/>
      </c>
      <c r="E2987">
        <f>IF(ISBLANK('ENGAGEMENTS 2026'!C2987),"",'ENGAGEMENTS 2026'!I2987)</f>
        <v/>
      </c>
      <c r="F2987">
        <f>IF(ISBLANK('ENGAGEMENTS 2026'!C2987),"",'ENGAGEMENTS 2026'!J2987)</f>
        <v/>
      </c>
      <c r="G2987">
        <f>IF(ISBLANK('ENGAGEMENTS 2026'!C2987),"",'ENGAGEMENTS 2026'!M2987)</f>
        <v/>
      </c>
      <c r="H2987">
        <f>IF(ISBLANK('ENGAGEMENTS 2026'!C2987),"",'ENGAGEMENTS 2026'!AF2987)</f>
        <v/>
      </c>
      <c r="I2987">
        <f>IF(ISBLANK('ENGAGEMENTS 2026'!C2987),"",'ENGAGEMENTS 2026'!H2987)</f>
        <v/>
      </c>
      <c r="J2987" s="275">
        <f>IF(ISBLANK('ENGAGEMENTS 2026'!C2987),"",IF(AND(OR($E2987="INFRUCTUEUX",$E2987="ANNULE"),$C2987="AOO-M"),'ENGAGEMENTS 2026'!P2987,IF($H2987="EN COURS DE PREENGAGEMENT",'ENGAGEMENTS 2026'!O2987,IF($H2987="PREENGAGE",IF($E2987="ATTRIBUE",'ENGAGEMENTS 2026'!AE2987,'ENGAGEMENTS 2026'!O2987),'ENGAGEMENTS 2026'!AE2987))))</f>
        <v/>
      </c>
      <c r="K2987" s="604">
        <f>IF(ISBLANK('ENGAGEMENTS 2026'!W2987),"",'ENGAGEMENTS 2026'!W2987)</f>
        <v/>
      </c>
      <c r="L2987" s="276">
        <f>IF($K2987="","",TODAY()-$K2987)</f>
        <v/>
      </c>
      <c r="M2987">
        <f>IF($A2987="","",IF($H2987="ENGAGE","Engagé",IF(AND($H2987="NON ENGAGE",OR($I2987="INFRUCTUEUX",$I2987="ANNULE")),"Clôturé sans suite","En cours")))</f>
        <v/>
      </c>
      <c r="N2987">
        <f>IF(ISBLANK('ENGAGEMENTS 2026'!C2987),"",'ENGAGEMENTS 2026'!L2987)</f>
        <v/>
      </c>
      <c r="O2987">
        <f>IF(ISBLANK('ENGAGEMENTS 2026'!C2987),"",'ENGAGEMENTS 2026'!M2987)</f>
        <v/>
      </c>
      <c r="P2987">
        <f>IF(ISBLANK('ENGAGEMENTS 2026'!C2987),"",'ENGAGEMENTS 2026'!K2987)</f>
        <v/>
      </c>
      <c r="Q2987">
        <f>IF($A2987="","",IF(OR($E2987="INFRUCTUEUX",$E2987="ANNULE"),$A2987&amp;"|"&amp;(COUNTIFS($A$2:$A2987,$A2987,$E$2:$E2987,"INFRUCTUEUX")+COUNTIFS($A$2:$A2987,$A2987,$E$2:$E2987,"ANNULE")),""))</f>
        <v/>
      </c>
    </row>
    <row r="2988">
      <c r="A2988">
        <f>IF(ISBLANK('ENGAGEMENTS 2026'!C2988),"",IF('ENGAGEMENTS 2026'!C2988="DTSI","DCT",'ENGAGEMENTS 2026'!C2988))</f>
        <v/>
      </c>
      <c r="B2988">
        <f>IF(ISBLANK('ENGAGEMENTS 2026'!C2988),"",'ENGAGEMENTS 2026'!D2988)</f>
        <v/>
      </c>
      <c r="C2988">
        <f>IF(ISBLANK('ENGAGEMENTS 2026'!C2988),"",'ENGAGEMENTS 2026'!E2988)</f>
        <v/>
      </c>
      <c r="D2988">
        <f>IF(ISBLANK('ENGAGEMENTS 2026'!C2988),"",'ENGAGEMENTS 2026'!G2988)</f>
        <v/>
      </c>
      <c r="E2988">
        <f>IF(ISBLANK('ENGAGEMENTS 2026'!C2988),"",'ENGAGEMENTS 2026'!I2988)</f>
        <v/>
      </c>
      <c r="F2988">
        <f>IF(ISBLANK('ENGAGEMENTS 2026'!C2988),"",'ENGAGEMENTS 2026'!J2988)</f>
        <v/>
      </c>
      <c r="G2988">
        <f>IF(ISBLANK('ENGAGEMENTS 2026'!C2988),"",'ENGAGEMENTS 2026'!M2988)</f>
        <v/>
      </c>
      <c r="H2988">
        <f>IF(ISBLANK('ENGAGEMENTS 2026'!C2988),"",'ENGAGEMENTS 2026'!AF2988)</f>
        <v/>
      </c>
      <c r="I2988">
        <f>IF(ISBLANK('ENGAGEMENTS 2026'!C2988),"",'ENGAGEMENTS 2026'!H2988)</f>
        <v/>
      </c>
      <c r="J2988" s="275">
        <f>IF(ISBLANK('ENGAGEMENTS 2026'!C2988),"",IF(AND(OR($E2988="INFRUCTUEUX",$E2988="ANNULE"),$C2988="AOO-M"),'ENGAGEMENTS 2026'!P2988,IF($H2988="EN COURS DE PREENGAGEMENT",'ENGAGEMENTS 2026'!O2988,IF($H2988="PREENGAGE",IF($E2988="ATTRIBUE",'ENGAGEMENTS 2026'!AE2988,'ENGAGEMENTS 2026'!O2988),'ENGAGEMENTS 2026'!AE2988))))</f>
        <v/>
      </c>
      <c r="K2988" s="604">
        <f>IF(ISBLANK('ENGAGEMENTS 2026'!W2988),"",'ENGAGEMENTS 2026'!W2988)</f>
        <v/>
      </c>
      <c r="L2988" s="276">
        <f>IF($K2988="","",TODAY()-$K2988)</f>
        <v/>
      </c>
      <c r="M2988">
        <f>IF($A2988="","",IF($H2988="ENGAGE","Engagé",IF(AND($H2988="NON ENGAGE",OR($I2988="INFRUCTUEUX",$I2988="ANNULE")),"Clôturé sans suite","En cours")))</f>
        <v/>
      </c>
      <c r="N2988">
        <f>IF(ISBLANK('ENGAGEMENTS 2026'!C2988),"",'ENGAGEMENTS 2026'!L2988)</f>
        <v/>
      </c>
      <c r="O2988">
        <f>IF(ISBLANK('ENGAGEMENTS 2026'!C2988),"",'ENGAGEMENTS 2026'!M2988)</f>
        <v/>
      </c>
      <c r="P2988">
        <f>IF(ISBLANK('ENGAGEMENTS 2026'!C2988),"",'ENGAGEMENTS 2026'!K2988)</f>
        <v/>
      </c>
      <c r="Q2988">
        <f>IF($A2988="","",IF(OR($E2988="INFRUCTUEUX",$E2988="ANNULE"),$A2988&amp;"|"&amp;(COUNTIFS($A$2:$A2988,$A2988,$E$2:$E2988,"INFRUCTUEUX")+COUNTIFS($A$2:$A2988,$A2988,$E$2:$E2988,"ANNULE")),""))</f>
        <v/>
      </c>
    </row>
    <row r="2989">
      <c r="A2989">
        <f>IF(ISBLANK('ENGAGEMENTS 2026'!C2989),"",IF('ENGAGEMENTS 2026'!C2989="DTSI","DCT",'ENGAGEMENTS 2026'!C2989))</f>
        <v/>
      </c>
      <c r="B2989">
        <f>IF(ISBLANK('ENGAGEMENTS 2026'!C2989),"",'ENGAGEMENTS 2026'!D2989)</f>
        <v/>
      </c>
      <c r="C2989">
        <f>IF(ISBLANK('ENGAGEMENTS 2026'!C2989),"",'ENGAGEMENTS 2026'!E2989)</f>
        <v/>
      </c>
      <c r="D2989">
        <f>IF(ISBLANK('ENGAGEMENTS 2026'!C2989),"",'ENGAGEMENTS 2026'!G2989)</f>
        <v/>
      </c>
      <c r="E2989">
        <f>IF(ISBLANK('ENGAGEMENTS 2026'!C2989),"",'ENGAGEMENTS 2026'!I2989)</f>
        <v/>
      </c>
      <c r="F2989">
        <f>IF(ISBLANK('ENGAGEMENTS 2026'!C2989),"",'ENGAGEMENTS 2026'!J2989)</f>
        <v/>
      </c>
      <c r="G2989">
        <f>IF(ISBLANK('ENGAGEMENTS 2026'!C2989),"",'ENGAGEMENTS 2026'!M2989)</f>
        <v/>
      </c>
      <c r="H2989">
        <f>IF(ISBLANK('ENGAGEMENTS 2026'!C2989),"",'ENGAGEMENTS 2026'!AF2989)</f>
        <v/>
      </c>
      <c r="I2989">
        <f>IF(ISBLANK('ENGAGEMENTS 2026'!C2989),"",'ENGAGEMENTS 2026'!H2989)</f>
        <v/>
      </c>
      <c r="J2989" s="275">
        <f>IF(ISBLANK('ENGAGEMENTS 2026'!C2989),"",IF(AND(OR($E2989="INFRUCTUEUX",$E2989="ANNULE"),$C2989="AOO-M"),'ENGAGEMENTS 2026'!P2989,IF($H2989="EN COURS DE PREENGAGEMENT",'ENGAGEMENTS 2026'!O2989,IF($H2989="PREENGAGE",IF($E2989="ATTRIBUE",'ENGAGEMENTS 2026'!AE2989,'ENGAGEMENTS 2026'!O2989),'ENGAGEMENTS 2026'!AE2989))))</f>
        <v/>
      </c>
      <c r="K2989" s="604">
        <f>IF(ISBLANK('ENGAGEMENTS 2026'!W2989),"",'ENGAGEMENTS 2026'!W2989)</f>
        <v/>
      </c>
      <c r="L2989" s="276">
        <f>IF($K2989="","",TODAY()-$K2989)</f>
        <v/>
      </c>
      <c r="M2989">
        <f>IF($A2989="","",IF($H2989="ENGAGE","Engagé",IF(AND($H2989="NON ENGAGE",OR($I2989="INFRUCTUEUX",$I2989="ANNULE")),"Clôturé sans suite","En cours")))</f>
        <v/>
      </c>
      <c r="N2989">
        <f>IF(ISBLANK('ENGAGEMENTS 2026'!C2989),"",'ENGAGEMENTS 2026'!L2989)</f>
        <v/>
      </c>
      <c r="O2989">
        <f>IF(ISBLANK('ENGAGEMENTS 2026'!C2989),"",'ENGAGEMENTS 2026'!M2989)</f>
        <v/>
      </c>
      <c r="P2989">
        <f>IF(ISBLANK('ENGAGEMENTS 2026'!C2989),"",'ENGAGEMENTS 2026'!K2989)</f>
        <v/>
      </c>
      <c r="Q2989">
        <f>IF($A2989="","",IF(OR($E2989="INFRUCTUEUX",$E2989="ANNULE"),$A2989&amp;"|"&amp;(COUNTIFS($A$2:$A2989,$A2989,$E$2:$E2989,"INFRUCTUEUX")+COUNTIFS($A$2:$A2989,$A2989,$E$2:$E2989,"ANNULE")),""))</f>
        <v/>
      </c>
    </row>
    <row r="2990">
      <c r="A2990">
        <f>IF(ISBLANK('ENGAGEMENTS 2026'!C2990),"",IF('ENGAGEMENTS 2026'!C2990="DTSI","DCT",'ENGAGEMENTS 2026'!C2990))</f>
        <v/>
      </c>
      <c r="B2990">
        <f>IF(ISBLANK('ENGAGEMENTS 2026'!C2990),"",'ENGAGEMENTS 2026'!D2990)</f>
        <v/>
      </c>
      <c r="C2990">
        <f>IF(ISBLANK('ENGAGEMENTS 2026'!C2990),"",'ENGAGEMENTS 2026'!E2990)</f>
        <v/>
      </c>
      <c r="D2990">
        <f>IF(ISBLANK('ENGAGEMENTS 2026'!C2990),"",'ENGAGEMENTS 2026'!G2990)</f>
        <v/>
      </c>
      <c r="E2990">
        <f>IF(ISBLANK('ENGAGEMENTS 2026'!C2990),"",'ENGAGEMENTS 2026'!I2990)</f>
        <v/>
      </c>
      <c r="F2990">
        <f>IF(ISBLANK('ENGAGEMENTS 2026'!C2990),"",'ENGAGEMENTS 2026'!J2990)</f>
        <v/>
      </c>
      <c r="G2990">
        <f>IF(ISBLANK('ENGAGEMENTS 2026'!C2990),"",'ENGAGEMENTS 2026'!M2990)</f>
        <v/>
      </c>
      <c r="H2990">
        <f>IF(ISBLANK('ENGAGEMENTS 2026'!C2990),"",'ENGAGEMENTS 2026'!AF2990)</f>
        <v/>
      </c>
      <c r="I2990">
        <f>IF(ISBLANK('ENGAGEMENTS 2026'!C2990),"",'ENGAGEMENTS 2026'!H2990)</f>
        <v/>
      </c>
      <c r="J2990" s="275">
        <f>IF(ISBLANK('ENGAGEMENTS 2026'!C2990),"",IF(AND(OR($E2990="INFRUCTUEUX",$E2990="ANNULE"),$C2990="AOO-M"),'ENGAGEMENTS 2026'!P2990,IF($H2990="EN COURS DE PREENGAGEMENT",'ENGAGEMENTS 2026'!O2990,IF($H2990="PREENGAGE",IF($E2990="ATTRIBUE",'ENGAGEMENTS 2026'!AE2990,'ENGAGEMENTS 2026'!O2990),'ENGAGEMENTS 2026'!AE2990))))</f>
        <v/>
      </c>
      <c r="K2990" s="604">
        <f>IF(ISBLANK('ENGAGEMENTS 2026'!W2990),"",'ENGAGEMENTS 2026'!W2990)</f>
        <v/>
      </c>
      <c r="L2990" s="276">
        <f>IF($K2990="","",TODAY()-$K2990)</f>
        <v/>
      </c>
      <c r="M2990">
        <f>IF($A2990="","",IF($H2990="ENGAGE","Engagé",IF(AND($H2990="NON ENGAGE",OR($I2990="INFRUCTUEUX",$I2990="ANNULE")),"Clôturé sans suite","En cours")))</f>
        <v/>
      </c>
      <c r="N2990">
        <f>IF(ISBLANK('ENGAGEMENTS 2026'!C2990),"",'ENGAGEMENTS 2026'!L2990)</f>
        <v/>
      </c>
      <c r="O2990">
        <f>IF(ISBLANK('ENGAGEMENTS 2026'!C2990),"",'ENGAGEMENTS 2026'!M2990)</f>
        <v/>
      </c>
      <c r="P2990">
        <f>IF(ISBLANK('ENGAGEMENTS 2026'!C2990),"",'ENGAGEMENTS 2026'!K2990)</f>
        <v/>
      </c>
      <c r="Q2990">
        <f>IF($A2990="","",IF(OR($E2990="INFRUCTUEUX",$E2990="ANNULE"),$A2990&amp;"|"&amp;(COUNTIFS($A$2:$A2990,$A2990,$E$2:$E2990,"INFRUCTUEUX")+COUNTIFS($A$2:$A2990,$A2990,$E$2:$E2990,"ANNULE")),""))</f>
        <v/>
      </c>
    </row>
    <row r="2991">
      <c r="A2991">
        <f>IF(ISBLANK('ENGAGEMENTS 2026'!C2991),"",IF('ENGAGEMENTS 2026'!C2991="DTSI","DCT",'ENGAGEMENTS 2026'!C2991))</f>
        <v/>
      </c>
      <c r="B2991">
        <f>IF(ISBLANK('ENGAGEMENTS 2026'!C2991),"",'ENGAGEMENTS 2026'!D2991)</f>
        <v/>
      </c>
      <c r="C2991">
        <f>IF(ISBLANK('ENGAGEMENTS 2026'!C2991),"",'ENGAGEMENTS 2026'!E2991)</f>
        <v/>
      </c>
      <c r="D2991">
        <f>IF(ISBLANK('ENGAGEMENTS 2026'!C2991),"",'ENGAGEMENTS 2026'!G2991)</f>
        <v/>
      </c>
      <c r="E2991">
        <f>IF(ISBLANK('ENGAGEMENTS 2026'!C2991),"",'ENGAGEMENTS 2026'!I2991)</f>
        <v/>
      </c>
      <c r="F2991">
        <f>IF(ISBLANK('ENGAGEMENTS 2026'!C2991),"",'ENGAGEMENTS 2026'!J2991)</f>
        <v/>
      </c>
      <c r="G2991">
        <f>IF(ISBLANK('ENGAGEMENTS 2026'!C2991),"",'ENGAGEMENTS 2026'!M2991)</f>
        <v/>
      </c>
      <c r="H2991">
        <f>IF(ISBLANK('ENGAGEMENTS 2026'!C2991),"",'ENGAGEMENTS 2026'!AF2991)</f>
        <v/>
      </c>
      <c r="I2991">
        <f>IF(ISBLANK('ENGAGEMENTS 2026'!C2991),"",'ENGAGEMENTS 2026'!H2991)</f>
        <v/>
      </c>
      <c r="J2991" s="275">
        <f>IF(ISBLANK('ENGAGEMENTS 2026'!C2991),"",IF(AND(OR($E2991="INFRUCTUEUX",$E2991="ANNULE"),$C2991="AOO-M"),'ENGAGEMENTS 2026'!P2991,IF($H2991="EN COURS DE PREENGAGEMENT",'ENGAGEMENTS 2026'!O2991,IF($H2991="PREENGAGE",IF($E2991="ATTRIBUE",'ENGAGEMENTS 2026'!AE2991,'ENGAGEMENTS 2026'!O2991),'ENGAGEMENTS 2026'!AE2991))))</f>
        <v/>
      </c>
      <c r="K2991" s="604">
        <f>IF(ISBLANK('ENGAGEMENTS 2026'!W2991),"",'ENGAGEMENTS 2026'!W2991)</f>
        <v/>
      </c>
      <c r="L2991" s="276">
        <f>IF($K2991="","",TODAY()-$K2991)</f>
        <v/>
      </c>
      <c r="M2991">
        <f>IF($A2991="","",IF($H2991="ENGAGE","Engagé",IF(AND($H2991="NON ENGAGE",OR($I2991="INFRUCTUEUX",$I2991="ANNULE")),"Clôturé sans suite","En cours")))</f>
        <v/>
      </c>
      <c r="N2991">
        <f>IF(ISBLANK('ENGAGEMENTS 2026'!C2991),"",'ENGAGEMENTS 2026'!L2991)</f>
        <v/>
      </c>
      <c r="O2991">
        <f>IF(ISBLANK('ENGAGEMENTS 2026'!C2991),"",'ENGAGEMENTS 2026'!M2991)</f>
        <v/>
      </c>
      <c r="P2991">
        <f>IF(ISBLANK('ENGAGEMENTS 2026'!C2991),"",'ENGAGEMENTS 2026'!K2991)</f>
        <v/>
      </c>
      <c r="Q2991">
        <f>IF($A2991="","",IF(OR($E2991="INFRUCTUEUX",$E2991="ANNULE"),$A2991&amp;"|"&amp;(COUNTIFS($A$2:$A2991,$A2991,$E$2:$E2991,"INFRUCTUEUX")+COUNTIFS($A$2:$A2991,$A2991,$E$2:$E2991,"ANNULE")),""))</f>
        <v/>
      </c>
    </row>
    <row r="2992">
      <c r="A2992">
        <f>IF(ISBLANK('ENGAGEMENTS 2026'!C2992),"",IF('ENGAGEMENTS 2026'!C2992="DTSI","DCT",'ENGAGEMENTS 2026'!C2992))</f>
        <v/>
      </c>
      <c r="B2992">
        <f>IF(ISBLANK('ENGAGEMENTS 2026'!C2992),"",'ENGAGEMENTS 2026'!D2992)</f>
        <v/>
      </c>
      <c r="C2992">
        <f>IF(ISBLANK('ENGAGEMENTS 2026'!C2992),"",'ENGAGEMENTS 2026'!E2992)</f>
        <v/>
      </c>
      <c r="D2992">
        <f>IF(ISBLANK('ENGAGEMENTS 2026'!C2992),"",'ENGAGEMENTS 2026'!G2992)</f>
        <v/>
      </c>
      <c r="E2992">
        <f>IF(ISBLANK('ENGAGEMENTS 2026'!C2992),"",'ENGAGEMENTS 2026'!I2992)</f>
        <v/>
      </c>
      <c r="F2992">
        <f>IF(ISBLANK('ENGAGEMENTS 2026'!C2992),"",'ENGAGEMENTS 2026'!J2992)</f>
        <v/>
      </c>
      <c r="G2992">
        <f>IF(ISBLANK('ENGAGEMENTS 2026'!C2992),"",'ENGAGEMENTS 2026'!M2992)</f>
        <v/>
      </c>
      <c r="H2992">
        <f>IF(ISBLANK('ENGAGEMENTS 2026'!C2992),"",'ENGAGEMENTS 2026'!AF2992)</f>
        <v/>
      </c>
      <c r="I2992">
        <f>IF(ISBLANK('ENGAGEMENTS 2026'!C2992),"",'ENGAGEMENTS 2026'!H2992)</f>
        <v/>
      </c>
      <c r="J2992" s="275">
        <f>IF(ISBLANK('ENGAGEMENTS 2026'!C2992),"",IF(AND(OR($E2992="INFRUCTUEUX",$E2992="ANNULE"),$C2992="AOO-M"),'ENGAGEMENTS 2026'!P2992,IF($H2992="EN COURS DE PREENGAGEMENT",'ENGAGEMENTS 2026'!O2992,IF($H2992="PREENGAGE",IF($E2992="ATTRIBUE",'ENGAGEMENTS 2026'!AE2992,'ENGAGEMENTS 2026'!O2992),'ENGAGEMENTS 2026'!AE2992))))</f>
        <v/>
      </c>
      <c r="K2992" s="604">
        <f>IF(ISBLANK('ENGAGEMENTS 2026'!W2992),"",'ENGAGEMENTS 2026'!W2992)</f>
        <v/>
      </c>
      <c r="L2992" s="276">
        <f>IF($K2992="","",TODAY()-$K2992)</f>
        <v/>
      </c>
      <c r="M2992">
        <f>IF($A2992="","",IF($H2992="ENGAGE","Engagé",IF(AND($H2992="NON ENGAGE",OR($I2992="INFRUCTUEUX",$I2992="ANNULE")),"Clôturé sans suite","En cours")))</f>
        <v/>
      </c>
      <c r="N2992">
        <f>IF(ISBLANK('ENGAGEMENTS 2026'!C2992),"",'ENGAGEMENTS 2026'!L2992)</f>
        <v/>
      </c>
      <c r="O2992">
        <f>IF(ISBLANK('ENGAGEMENTS 2026'!C2992),"",'ENGAGEMENTS 2026'!M2992)</f>
        <v/>
      </c>
      <c r="P2992">
        <f>IF(ISBLANK('ENGAGEMENTS 2026'!C2992),"",'ENGAGEMENTS 2026'!K2992)</f>
        <v/>
      </c>
      <c r="Q2992">
        <f>IF($A2992="","",IF(OR($E2992="INFRUCTUEUX",$E2992="ANNULE"),$A2992&amp;"|"&amp;(COUNTIFS($A$2:$A2992,$A2992,$E$2:$E2992,"INFRUCTUEUX")+COUNTIFS($A$2:$A2992,$A2992,$E$2:$E2992,"ANNULE")),""))</f>
        <v/>
      </c>
    </row>
    <row r="2993">
      <c r="A2993">
        <f>IF(ISBLANK('ENGAGEMENTS 2026'!C2993),"",IF('ENGAGEMENTS 2026'!C2993="DTSI","DCT",'ENGAGEMENTS 2026'!C2993))</f>
        <v/>
      </c>
      <c r="B2993">
        <f>IF(ISBLANK('ENGAGEMENTS 2026'!C2993),"",'ENGAGEMENTS 2026'!D2993)</f>
        <v/>
      </c>
      <c r="C2993">
        <f>IF(ISBLANK('ENGAGEMENTS 2026'!C2993),"",'ENGAGEMENTS 2026'!E2993)</f>
        <v/>
      </c>
      <c r="D2993">
        <f>IF(ISBLANK('ENGAGEMENTS 2026'!C2993),"",'ENGAGEMENTS 2026'!G2993)</f>
        <v/>
      </c>
      <c r="E2993">
        <f>IF(ISBLANK('ENGAGEMENTS 2026'!C2993),"",'ENGAGEMENTS 2026'!I2993)</f>
        <v/>
      </c>
      <c r="F2993">
        <f>IF(ISBLANK('ENGAGEMENTS 2026'!C2993),"",'ENGAGEMENTS 2026'!J2993)</f>
        <v/>
      </c>
      <c r="G2993">
        <f>IF(ISBLANK('ENGAGEMENTS 2026'!C2993),"",'ENGAGEMENTS 2026'!M2993)</f>
        <v/>
      </c>
      <c r="H2993">
        <f>IF(ISBLANK('ENGAGEMENTS 2026'!C2993),"",'ENGAGEMENTS 2026'!AF2993)</f>
        <v/>
      </c>
      <c r="I2993">
        <f>IF(ISBLANK('ENGAGEMENTS 2026'!C2993),"",'ENGAGEMENTS 2026'!H2993)</f>
        <v/>
      </c>
      <c r="J2993" s="275">
        <f>IF(ISBLANK('ENGAGEMENTS 2026'!C2993),"",IF(AND(OR($E2993="INFRUCTUEUX",$E2993="ANNULE"),$C2993="AOO-M"),'ENGAGEMENTS 2026'!P2993,IF($H2993="EN COURS DE PREENGAGEMENT",'ENGAGEMENTS 2026'!O2993,IF($H2993="PREENGAGE",IF($E2993="ATTRIBUE",'ENGAGEMENTS 2026'!AE2993,'ENGAGEMENTS 2026'!O2993),'ENGAGEMENTS 2026'!AE2993))))</f>
        <v/>
      </c>
      <c r="K2993" s="604">
        <f>IF(ISBLANK('ENGAGEMENTS 2026'!W2993),"",'ENGAGEMENTS 2026'!W2993)</f>
        <v/>
      </c>
      <c r="L2993" s="276">
        <f>IF($K2993="","",TODAY()-$K2993)</f>
        <v/>
      </c>
      <c r="M2993">
        <f>IF($A2993="","",IF($H2993="ENGAGE","Engagé",IF(AND($H2993="NON ENGAGE",OR($I2993="INFRUCTUEUX",$I2993="ANNULE")),"Clôturé sans suite","En cours")))</f>
        <v/>
      </c>
      <c r="N2993">
        <f>IF(ISBLANK('ENGAGEMENTS 2026'!C2993),"",'ENGAGEMENTS 2026'!L2993)</f>
        <v/>
      </c>
      <c r="O2993">
        <f>IF(ISBLANK('ENGAGEMENTS 2026'!C2993),"",'ENGAGEMENTS 2026'!M2993)</f>
        <v/>
      </c>
      <c r="P2993">
        <f>IF(ISBLANK('ENGAGEMENTS 2026'!C2993),"",'ENGAGEMENTS 2026'!K2993)</f>
        <v/>
      </c>
      <c r="Q2993">
        <f>IF($A2993="","",IF(OR($E2993="INFRUCTUEUX",$E2993="ANNULE"),$A2993&amp;"|"&amp;(COUNTIFS($A$2:$A2993,$A2993,$E$2:$E2993,"INFRUCTUEUX")+COUNTIFS($A$2:$A2993,$A2993,$E$2:$E2993,"ANNULE")),""))</f>
        <v/>
      </c>
    </row>
    <row r="2994">
      <c r="A2994">
        <f>IF(ISBLANK('ENGAGEMENTS 2026'!C2994),"",IF('ENGAGEMENTS 2026'!C2994="DTSI","DCT",'ENGAGEMENTS 2026'!C2994))</f>
        <v/>
      </c>
      <c r="B2994">
        <f>IF(ISBLANK('ENGAGEMENTS 2026'!C2994),"",'ENGAGEMENTS 2026'!D2994)</f>
        <v/>
      </c>
      <c r="C2994">
        <f>IF(ISBLANK('ENGAGEMENTS 2026'!C2994),"",'ENGAGEMENTS 2026'!E2994)</f>
        <v/>
      </c>
      <c r="D2994">
        <f>IF(ISBLANK('ENGAGEMENTS 2026'!C2994),"",'ENGAGEMENTS 2026'!G2994)</f>
        <v/>
      </c>
      <c r="E2994">
        <f>IF(ISBLANK('ENGAGEMENTS 2026'!C2994),"",'ENGAGEMENTS 2026'!I2994)</f>
        <v/>
      </c>
      <c r="F2994">
        <f>IF(ISBLANK('ENGAGEMENTS 2026'!C2994),"",'ENGAGEMENTS 2026'!J2994)</f>
        <v/>
      </c>
      <c r="G2994">
        <f>IF(ISBLANK('ENGAGEMENTS 2026'!C2994),"",'ENGAGEMENTS 2026'!M2994)</f>
        <v/>
      </c>
      <c r="H2994">
        <f>IF(ISBLANK('ENGAGEMENTS 2026'!C2994),"",'ENGAGEMENTS 2026'!AF2994)</f>
        <v/>
      </c>
      <c r="I2994">
        <f>IF(ISBLANK('ENGAGEMENTS 2026'!C2994),"",'ENGAGEMENTS 2026'!H2994)</f>
        <v/>
      </c>
      <c r="J2994" s="275">
        <f>IF(ISBLANK('ENGAGEMENTS 2026'!C2994),"",IF(AND(OR($E2994="INFRUCTUEUX",$E2994="ANNULE"),$C2994="AOO-M"),'ENGAGEMENTS 2026'!P2994,IF($H2994="EN COURS DE PREENGAGEMENT",'ENGAGEMENTS 2026'!O2994,IF($H2994="PREENGAGE",IF($E2994="ATTRIBUE",'ENGAGEMENTS 2026'!AE2994,'ENGAGEMENTS 2026'!O2994),'ENGAGEMENTS 2026'!AE2994))))</f>
        <v/>
      </c>
      <c r="K2994" s="604">
        <f>IF(ISBLANK('ENGAGEMENTS 2026'!W2994),"",'ENGAGEMENTS 2026'!W2994)</f>
        <v/>
      </c>
      <c r="L2994" s="276">
        <f>IF($K2994="","",TODAY()-$K2994)</f>
        <v/>
      </c>
      <c r="M2994">
        <f>IF($A2994="","",IF($H2994="ENGAGE","Engagé",IF(AND($H2994="NON ENGAGE",OR($I2994="INFRUCTUEUX",$I2994="ANNULE")),"Clôturé sans suite","En cours")))</f>
        <v/>
      </c>
      <c r="N2994">
        <f>IF(ISBLANK('ENGAGEMENTS 2026'!C2994),"",'ENGAGEMENTS 2026'!L2994)</f>
        <v/>
      </c>
      <c r="O2994">
        <f>IF(ISBLANK('ENGAGEMENTS 2026'!C2994),"",'ENGAGEMENTS 2026'!M2994)</f>
        <v/>
      </c>
      <c r="P2994">
        <f>IF(ISBLANK('ENGAGEMENTS 2026'!C2994),"",'ENGAGEMENTS 2026'!K2994)</f>
        <v/>
      </c>
      <c r="Q2994">
        <f>IF($A2994="","",IF(OR($E2994="INFRUCTUEUX",$E2994="ANNULE"),$A2994&amp;"|"&amp;(COUNTIFS($A$2:$A2994,$A2994,$E$2:$E2994,"INFRUCTUEUX")+COUNTIFS($A$2:$A2994,$A2994,$E$2:$E2994,"ANNULE")),""))</f>
        <v/>
      </c>
    </row>
    <row r="2995">
      <c r="A2995">
        <f>IF(ISBLANK('ENGAGEMENTS 2026'!C2995),"",IF('ENGAGEMENTS 2026'!C2995="DTSI","DCT",'ENGAGEMENTS 2026'!C2995))</f>
        <v/>
      </c>
      <c r="B2995">
        <f>IF(ISBLANK('ENGAGEMENTS 2026'!C2995),"",'ENGAGEMENTS 2026'!D2995)</f>
        <v/>
      </c>
      <c r="C2995">
        <f>IF(ISBLANK('ENGAGEMENTS 2026'!C2995),"",'ENGAGEMENTS 2026'!E2995)</f>
        <v/>
      </c>
      <c r="D2995">
        <f>IF(ISBLANK('ENGAGEMENTS 2026'!C2995),"",'ENGAGEMENTS 2026'!G2995)</f>
        <v/>
      </c>
      <c r="E2995">
        <f>IF(ISBLANK('ENGAGEMENTS 2026'!C2995),"",'ENGAGEMENTS 2026'!I2995)</f>
        <v/>
      </c>
      <c r="F2995">
        <f>IF(ISBLANK('ENGAGEMENTS 2026'!C2995),"",'ENGAGEMENTS 2026'!J2995)</f>
        <v/>
      </c>
      <c r="G2995">
        <f>IF(ISBLANK('ENGAGEMENTS 2026'!C2995),"",'ENGAGEMENTS 2026'!M2995)</f>
        <v/>
      </c>
      <c r="H2995">
        <f>IF(ISBLANK('ENGAGEMENTS 2026'!C2995),"",'ENGAGEMENTS 2026'!AF2995)</f>
        <v/>
      </c>
      <c r="I2995">
        <f>IF(ISBLANK('ENGAGEMENTS 2026'!C2995),"",'ENGAGEMENTS 2026'!H2995)</f>
        <v/>
      </c>
      <c r="J2995" s="275">
        <f>IF(ISBLANK('ENGAGEMENTS 2026'!C2995),"",IF(AND(OR($E2995="INFRUCTUEUX",$E2995="ANNULE"),$C2995="AOO-M"),'ENGAGEMENTS 2026'!P2995,IF($H2995="EN COURS DE PREENGAGEMENT",'ENGAGEMENTS 2026'!O2995,IF($H2995="PREENGAGE",IF($E2995="ATTRIBUE",'ENGAGEMENTS 2026'!AE2995,'ENGAGEMENTS 2026'!O2995),'ENGAGEMENTS 2026'!AE2995))))</f>
        <v/>
      </c>
      <c r="K2995" s="604">
        <f>IF(ISBLANK('ENGAGEMENTS 2026'!W2995),"",'ENGAGEMENTS 2026'!W2995)</f>
        <v/>
      </c>
      <c r="L2995" s="276">
        <f>IF($K2995="","",TODAY()-$K2995)</f>
        <v/>
      </c>
      <c r="M2995">
        <f>IF($A2995="","",IF($H2995="ENGAGE","Engagé",IF(AND($H2995="NON ENGAGE",OR($I2995="INFRUCTUEUX",$I2995="ANNULE")),"Clôturé sans suite","En cours")))</f>
        <v/>
      </c>
      <c r="N2995">
        <f>IF(ISBLANK('ENGAGEMENTS 2026'!C2995),"",'ENGAGEMENTS 2026'!L2995)</f>
        <v/>
      </c>
      <c r="O2995">
        <f>IF(ISBLANK('ENGAGEMENTS 2026'!C2995),"",'ENGAGEMENTS 2026'!M2995)</f>
        <v/>
      </c>
      <c r="P2995">
        <f>IF(ISBLANK('ENGAGEMENTS 2026'!C2995),"",'ENGAGEMENTS 2026'!K2995)</f>
        <v/>
      </c>
      <c r="Q2995">
        <f>IF($A2995="","",IF(OR($E2995="INFRUCTUEUX",$E2995="ANNULE"),$A2995&amp;"|"&amp;(COUNTIFS($A$2:$A2995,$A2995,$E$2:$E2995,"INFRUCTUEUX")+COUNTIFS($A$2:$A2995,$A2995,$E$2:$E2995,"ANNULE")),""))</f>
        <v/>
      </c>
    </row>
    <row r="2996">
      <c r="A2996">
        <f>IF(ISBLANK('ENGAGEMENTS 2026'!C2996),"",IF('ENGAGEMENTS 2026'!C2996="DTSI","DCT",'ENGAGEMENTS 2026'!C2996))</f>
        <v/>
      </c>
      <c r="B2996">
        <f>IF(ISBLANK('ENGAGEMENTS 2026'!C2996),"",'ENGAGEMENTS 2026'!D2996)</f>
        <v/>
      </c>
      <c r="C2996">
        <f>IF(ISBLANK('ENGAGEMENTS 2026'!C2996),"",'ENGAGEMENTS 2026'!E2996)</f>
        <v/>
      </c>
      <c r="D2996">
        <f>IF(ISBLANK('ENGAGEMENTS 2026'!C2996),"",'ENGAGEMENTS 2026'!G2996)</f>
        <v/>
      </c>
      <c r="E2996">
        <f>IF(ISBLANK('ENGAGEMENTS 2026'!C2996),"",'ENGAGEMENTS 2026'!I2996)</f>
        <v/>
      </c>
      <c r="F2996">
        <f>IF(ISBLANK('ENGAGEMENTS 2026'!C2996),"",'ENGAGEMENTS 2026'!J2996)</f>
        <v/>
      </c>
      <c r="G2996">
        <f>IF(ISBLANK('ENGAGEMENTS 2026'!C2996),"",'ENGAGEMENTS 2026'!M2996)</f>
        <v/>
      </c>
      <c r="H2996">
        <f>IF(ISBLANK('ENGAGEMENTS 2026'!C2996),"",'ENGAGEMENTS 2026'!AF2996)</f>
        <v/>
      </c>
      <c r="I2996">
        <f>IF(ISBLANK('ENGAGEMENTS 2026'!C2996),"",'ENGAGEMENTS 2026'!H2996)</f>
        <v/>
      </c>
      <c r="J2996" s="275">
        <f>IF(ISBLANK('ENGAGEMENTS 2026'!C2996),"",IF(AND(OR($E2996="INFRUCTUEUX",$E2996="ANNULE"),$C2996="AOO-M"),'ENGAGEMENTS 2026'!P2996,IF($H2996="EN COURS DE PREENGAGEMENT",'ENGAGEMENTS 2026'!O2996,IF($H2996="PREENGAGE",IF($E2996="ATTRIBUE",'ENGAGEMENTS 2026'!AE2996,'ENGAGEMENTS 2026'!O2996),'ENGAGEMENTS 2026'!AE2996))))</f>
        <v/>
      </c>
      <c r="K2996" s="604">
        <f>IF(ISBLANK('ENGAGEMENTS 2026'!W2996),"",'ENGAGEMENTS 2026'!W2996)</f>
        <v/>
      </c>
      <c r="L2996" s="276">
        <f>IF($K2996="","",TODAY()-$K2996)</f>
        <v/>
      </c>
      <c r="M2996">
        <f>IF($A2996="","",IF($H2996="ENGAGE","Engagé",IF(AND($H2996="NON ENGAGE",OR($I2996="INFRUCTUEUX",$I2996="ANNULE")),"Clôturé sans suite","En cours")))</f>
        <v/>
      </c>
      <c r="N2996">
        <f>IF(ISBLANK('ENGAGEMENTS 2026'!C2996),"",'ENGAGEMENTS 2026'!L2996)</f>
        <v/>
      </c>
      <c r="O2996">
        <f>IF(ISBLANK('ENGAGEMENTS 2026'!C2996),"",'ENGAGEMENTS 2026'!M2996)</f>
        <v/>
      </c>
      <c r="P2996">
        <f>IF(ISBLANK('ENGAGEMENTS 2026'!C2996),"",'ENGAGEMENTS 2026'!K2996)</f>
        <v/>
      </c>
      <c r="Q2996">
        <f>IF($A2996="","",IF(OR($E2996="INFRUCTUEUX",$E2996="ANNULE"),$A2996&amp;"|"&amp;(COUNTIFS($A$2:$A2996,$A2996,$E$2:$E2996,"INFRUCTUEUX")+COUNTIFS($A$2:$A2996,$A2996,$E$2:$E2996,"ANNULE")),""))</f>
        <v/>
      </c>
    </row>
    <row r="2997">
      <c r="A2997">
        <f>IF(ISBLANK('ENGAGEMENTS 2026'!C2997),"",IF('ENGAGEMENTS 2026'!C2997="DTSI","DCT",'ENGAGEMENTS 2026'!C2997))</f>
        <v/>
      </c>
      <c r="B2997">
        <f>IF(ISBLANK('ENGAGEMENTS 2026'!C2997),"",'ENGAGEMENTS 2026'!D2997)</f>
        <v/>
      </c>
      <c r="C2997">
        <f>IF(ISBLANK('ENGAGEMENTS 2026'!C2997),"",'ENGAGEMENTS 2026'!E2997)</f>
        <v/>
      </c>
      <c r="D2997">
        <f>IF(ISBLANK('ENGAGEMENTS 2026'!C2997),"",'ENGAGEMENTS 2026'!G2997)</f>
        <v/>
      </c>
      <c r="E2997">
        <f>IF(ISBLANK('ENGAGEMENTS 2026'!C2997),"",'ENGAGEMENTS 2026'!I2997)</f>
        <v/>
      </c>
      <c r="F2997">
        <f>IF(ISBLANK('ENGAGEMENTS 2026'!C2997),"",'ENGAGEMENTS 2026'!J2997)</f>
        <v/>
      </c>
      <c r="G2997">
        <f>IF(ISBLANK('ENGAGEMENTS 2026'!C2997),"",'ENGAGEMENTS 2026'!M2997)</f>
        <v/>
      </c>
      <c r="H2997">
        <f>IF(ISBLANK('ENGAGEMENTS 2026'!C2997),"",'ENGAGEMENTS 2026'!AF2997)</f>
        <v/>
      </c>
      <c r="I2997">
        <f>IF(ISBLANK('ENGAGEMENTS 2026'!C2997),"",'ENGAGEMENTS 2026'!H2997)</f>
        <v/>
      </c>
      <c r="J2997" s="275">
        <f>IF(ISBLANK('ENGAGEMENTS 2026'!C2997),"",IF(AND(OR($E2997="INFRUCTUEUX",$E2997="ANNULE"),$C2997="AOO-M"),'ENGAGEMENTS 2026'!P2997,IF($H2997="EN COURS DE PREENGAGEMENT",'ENGAGEMENTS 2026'!O2997,IF($H2997="PREENGAGE",IF($E2997="ATTRIBUE",'ENGAGEMENTS 2026'!AE2997,'ENGAGEMENTS 2026'!O2997),'ENGAGEMENTS 2026'!AE2997))))</f>
        <v/>
      </c>
      <c r="K2997" s="604">
        <f>IF(ISBLANK('ENGAGEMENTS 2026'!W2997),"",'ENGAGEMENTS 2026'!W2997)</f>
        <v/>
      </c>
      <c r="L2997" s="276">
        <f>IF($K2997="","",TODAY()-$K2997)</f>
        <v/>
      </c>
      <c r="M2997">
        <f>IF($A2997="","",IF($H2997="ENGAGE","Engagé",IF(AND($H2997="NON ENGAGE",OR($I2997="INFRUCTUEUX",$I2997="ANNULE")),"Clôturé sans suite","En cours")))</f>
        <v/>
      </c>
      <c r="N2997">
        <f>IF(ISBLANK('ENGAGEMENTS 2026'!C2997),"",'ENGAGEMENTS 2026'!L2997)</f>
        <v/>
      </c>
      <c r="O2997">
        <f>IF(ISBLANK('ENGAGEMENTS 2026'!C2997),"",'ENGAGEMENTS 2026'!M2997)</f>
        <v/>
      </c>
      <c r="P2997">
        <f>IF(ISBLANK('ENGAGEMENTS 2026'!C2997),"",'ENGAGEMENTS 2026'!K2997)</f>
        <v/>
      </c>
      <c r="Q2997">
        <f>IF($A2997="","",IF(OR($E2997="INFRUCTUEUX",$E2997="ANNULE"),$A2997&amp;"|"&amp;(COUNTIFS($A$2:$A2997,$A2997,$E$2:$E2997,"INFRUCTUEUX")+COUNTIFS($A$2:$A2997,$A2997,$E$2:$E2997,"ANNULE")),""))</f>
        <v/>
      </c>
    </row>
    <row r="2998">
      <c r="A2998">
        <f>IF(ISBLANK('ENGAGEMENTS 2026'!C2998),"",IF('ENGAGEMENTS 2026'!C2998="DTSI","DCT",'ENGAGEMENTS 2026'!C2998))</f>
        <v/>
      </c>
      <c r="B2998">
        <f>IF(ISBLANK('ENGAGEMENTS 2026'!C2998),"",'ENGAGEMENTS 2026'!D2998)</f>
        <v/>
      </c>
      <c r="C2998">
        <f>IF(ISBLANK('ENGAGEMENTS 2026'!C2998),"",'ENGAGEMENTS 2026'!E2998)</f>
        <v/>
      </c>
      <c r="D2998">
        <f>IF(ISBLANK('ENGAGEMENTS 2026'!C2998),"",'ENGAGEMENTS 2026'!G2998)</f>
        <v/>
      </c>
      <c r="E2998">
        <f>IF(ISBLANK('ENGAGEMENTS 2026'!C2998),"",'ENGAGEMENTS 2026'!I2998)</f>
        <v/>
      </c>
      <c r="F2998">
        <f>IF(ISBLANK('ENGAGEMENTS 2026'!C2998),"",'ENGAGEMENTS 2026'!J2998)</f>
        <v/>
      </c>
      <c r="G2998">
        <f>IF(ISBLANK('ENGAGEMENTS 2026'!C2998),"",'ENGAGEMENTS 2026'!M2998)</f>
        <v/>
      </c>
      <c r="H2998">
        <f>IF(ISBLANK('ENGAGEMENTS 2026'!C2998),"",'ENGAGEMENTS 2026'!AF2998)</f>
        <v/>
      </c>
      <c r="I2998">
        <f>IF(ISBLANK('ENGAGEMENTS 2026'!C2998),"",'ENGAGEMENTS 2026'!H2998)</f>
        <v/>
      </c>
      <c r="J2998" s="275">
        <f>IF(ISBLANK('ENGAGEMENTS 2026'!C2998),"",IF(AND(OR($E2998="INFRUCTUEUX",$E2998="ANNULE"),$C2998="AOO-M"),'ENGAGEMENTS 2026'!P2998,IF($H2998="EN COURS DE PREENGAGEMENT",'ENGAGEMENTS 2026'!O2998,IF($H2998="PREENGAGE",IF($E2998="ATTRIBUE",'ENGAGEMENTS 2026'!AE2998,'ENGAGEMENTS 2026'!O2998),'ENGAGEMENTS 2026'!AE2998))))</f>
        <v/>
      </c>
      <c r="K2998" s="604">
        <f>IF(ISBLANK('ENGAGEMENTS 2026'!W2998),"",'ENGAGEMENTS 2026'!W2998)</f>
        <v/>
      </c>
      <c r="L2998" s="276">
        <f>IF($K2998="","",TODAY()-$K2998)</f>
        <v/>
      </c>
      <c r="M2998">
        <f>IF($A2998="","",IF($H2998="ENGAGE","Engagé",IF(AND($H2998="NON ENGAGE",OR($I2998="INFRUCTUEUX",$I2998="ANNULE")),"Clôturé sans suite","En cours")))</f>
        <v/>
      </c>
      <c r="N2998">
        <f>IF(ISBLANK('ENGAGEMENTS 2026'!C2998),"",'ENGAGEMENTS 2026'!L2998)</f>
        <v/>
      </c>
      <c r="O2998">
        <f>IF(ISBLANK('ENGAGEMENTS 2026'!C2998),"",'ENGAGEMENTS 2026'!M2998)</f>
        <v/>
      </c>
      <c r="P2998">
        <f>IF(ISBLANK('ENGAGEMENTS 2026'!C2998),"",'ENGAGEMENTS 2026'!K2998)</f>
        <v/>
      </c>
      <c r="Q2998">
        <f>IF($A2998="","",IF(OR($E2998="INFRUCTUEUX",$E2998="ANNULE"),$A2998&amp;"|"&amp;(COUNTIFS($A$2:$A2998,$A2998,$E$2:$E2998,"INFRUCTUEUX")+COUNTIFS($A$2:$A2998,$A2998,$E$2:$E2998,"ANNULE")),""))</f>
        <v/>
      </c>
    </row>
    <row r="2999">
      <c r="A2999">
        <f>IF(ISBLANK('ENGAGEMENTS 2026'!C2999),"",IF('ENGAGEMENTS 2026'!C2999="DTSI","DCT",'ENGAGEMENTS 2026'!C2999))</f>
        <v/>
      </c>
      <c r="B2999">
        <f>IF(ISBLANK('ENGAGEMENTS 2026'!C2999),"",'ENGAGEMENTS 2026'!D2999)</f>
        <v/>
      </c>
      <c r="C2999">
        <f>IF(ISBLANK('ENGAGEMENTS 2026'!C2999),"",'ENGAGEMENTS 2026'!E2999)</f>
        <v/>
      </c>
      <c r="D2999">
        <f>IF(ISBLANK('ENGAGEMENTS 2026'!C2999),"",'ENGAGEMENTS 2026'!G2999)</f>
        <v/>
      </c>
      <c r="E2999">
        <f>IF(ISBLANK('ENGAGEMENTS 2026'!C2999),"",'ENGAGEMENTS 2026'!I2999)</f>
        <v/>
      </c>
      <c r="F2999">
        <f>IF(ISBLANK('ENGAGEMENTS 2026'!C2999),"",'ENGAGEMENTS 2026'!J2999)</f>
        <v/>
      </c>
      <c r="G2999">
        <f>IF(ISBLANK('ENGAGEMENTS 2026'!C2999),"",'ENGAGEMENTS 2026'!M2999)</f>
        <v/>
      </c>
      <c r="H2999">
        <f>IF(ISBLANK('ENGAGEMENTS 2026'!C2999),"",'ENGAGEMENTS 2026'!AF2999)</f>
        <v/>
      </c>
      <c r="I2999">
        <f>IF(ISBLANK('ENGAGEMENTS 2026'!C2999),"",'ENGAGEMENTS 2026'!H2999)</f>
        <v/>
      </c>
      <c r="J2999" s="275">
        <f>IF(ISBLANK('ENGAGEMENTS 2026'!C2999),"",IF(AND(OR($E2999="INFRUCTUEUX",$E2999="ANNULE"),$C2999="AOO-M"),'ENGAGEMENTS 2026'!P2999,IF($H2999="EN COURS DE PREENGAGEMENT",'ENGAGEMENTS 2026'!O2999,IF($H2999="PREENGAGE",IF($E2999="ATTRIBUE",'ENGAGEMENTS 2026'!AE2999,'ENGAGEMENTS 2026'!O2999),'ENGAGEMENTS 2026'!AE2999))))</f>
        <v/>
      </c>
      <c r="K2999" s="604">
        <f>IF(ISBLANK('ENGAGEMENTS 2026'!W2999),"",'ENGAGEMENTS 2026'!W2999)</f>
        <v/>
      </c>
      <c r="L2999" s="276">
        <f>IF($K2999="","",TODAY()-$K2999)</f>
        <v/>
      </c>
      <c r="M2999">
        <f>IF($A2999="","",IF($H2999="ENGAGE","Engagé",IF(AND($H2999="NON ENGAGE",OR($I2999="INFRUCTUEUX",$I2999="ANNULE")),"Clôturé sans suite","En cours")))</f>
        <v/>
      </c>
      <c r="N2999">
        <f>IF(ISBLANK('ENGAGEMENTS 2026'!C2999),"",'ENGAGEMENTS 2026'!L2999)</f>
        <v/>
      </c>
      <c r="O2999">
        <f>IF(ISBLANK('ENGAGEMENTS 2026'!C2999),"",'ENGAGEMENTS 2026'!M2999)</f>
        <v/>
      </c>
      <c r="P2999">
        <f>IF(ISBLANK('ENGAGEMENTS 2026'!C2999),"",'ENGAGEMENTS 2026'!K2999)</f>
        <v/>
      </c>
      <c r="Q2999">
        <f>IF($A2999="","",IF(OR($E2999="INFRUCTUEUX",$E2999="ANNULE"),$A2999&amp;"|"&amp;(COUNTIFS($A$2:$A2999,$A2999,$E$2:$E2999,"INFRUCTUEUX")+COUNTIFS($A$2:$A2999,$A2999,$E$2:$E2999,"ANNULE")),""))</f>
        <v/>
      </c>
    </row>
    <row r="3000">
      <c r="A3000">
        <f>IF(ISBLANK('ENGAGEMENTS 2026'!C3000),"",IF('ENGAGEMENTS 2026'!C3000="DTSI","DCT",'ENGAGEMENTS 2026'!C3000))</f>
        <v/>
      </c>
      <c r="B3000">
        <f>IF(ISBLANK('ENGAGEMENTS 2026'!C3000),"",'ENGAGEMENTS 2026'!D3000)</f>
        <v/>
      </c>
      <c r="C3000">
        <f>IF(ISBLANK('ENGAGEMENTS 2026'!C3000),"",'ENGAGEMENTS 2026'!E3000)</f>
        <v/>
      </c>
      <c r="D3000">
        <f>IF(ISBLANK('ENGAGEMENTS 2026'!C3000),"",'ENGAGEMENTS 2026'!G3000)</f>
        <v/>
      </c>
      <c r="E3000">
        <f>IF(ISBLANK('ENGAGEMENTS 2026'!C3000),"",'ENGAGEMENTS 2026'!I3000)</f>
        <v/>
      </c>
      <c r="F3000">
        <f>IF(ISBLANK('ENGAGEMENTS 2026'!C3000),"",'ENGAGEMENTS 2026'!J3000)</f>
        <v/>
      </c>
      <c r="G3000">
        <f>IF(ISBLANK('ENGAGEMENTS 2026'!C3000),"",'ENGAGEMENTS 2026'!M3000)</f>
        <v/>
      </c>
      <c r="H3000">
        <f>IF(ISBLANK('ENGAGEMENTS 2026'!C3000),"",'ENGAGEMENTS 2026'!AF3000)</f>
        <v/>
      </c>
      <c r="I3000">
        <f>IF(ISBLANK('ENGAGEMENTS 2026'!C3000),"",'ENGAGEMENTS 2026'!H3000)</f>
        <v/>
      </c>
      <c r="J3000" s="275">
        <f>IF(ISBLANK('ENGAGEMENTS 2026'!C3000),"",IF(AND(OR($E3000="INFRUCTUEUX",$E3000="ANNULE"),$C3000="AOO-M"),'ENGAGEMENTS 2026'!P3000,IF($H3000="EN COURS DE PREENGAGEMENT",'ENGAGEMENTS 2026'!O3000,IF($H3000="PREENGAGE",IF($E3000="ATTRIBUE",'ENGAGEMENTS 2026'!AE3000,'ENGAGEMENTS 2026'!O3000),'ENGAGEMENTS 2026'!AE3000))))</f>
        <v/>
      </c>
      <c r="K3000" s="604">
        <f>IF(ISBLANK('ENGAGEMENTS 2026'!W3000),"",'ENGAGEMENTS 2026'!W3000)</f>
        <v/>
      </c>
      <c r="L3000" s="276">
        <f>IF($K3000="","",TODAY()-$K3000)</f>
        <v/>
      </c>
      <c r="M3000">
        <f>IF($A3000="","",IF($H3000="ENGAGE","Engagé",IF(AND($H3000="NON ENGAGE",OR($I3000="INFRUCTUEUX",$I3000="ANNULE")),"Clôturé sans suite","En cours")))</f>
        <v/>
      </c>
      <c r="N3000">
        <f>IF(ISBLANK('ENGAGEMENTS 2026'!C3000),"",'ENGAGEMENTS 2026'!L3000)</f>
        <v/>
      </c>
      <c r="O3000">
        <f>IF(ISBLANK('ENGAGEMENTS 2026'!C3000),"",'ENGAGEMENTS 2026'!M3000)</f>
        <v/>
      </c>
      <c r="P3000">
        <f>IF(ISBLANK('ENGAGEMENTS 2026'!C3000),"",'ENGAGEMENTS 2026'!K3000)</f>
        <v/>
      </c>
      <c r="Q3000">
        <f>IF($A3000="","",IF(OR($E3000="INFRUCTUEUX",$E3000="ANNULE"),$A3000&amp;"|"&amp;(COUNTIFS($A$2:$A3000,$A3000,$E$2:$E3000,"INFRUCTUEUX")+COUNTIFS($A$2:$A3000,$A3000,$E$2:$E3000,"ANNULE")),""))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TALEB Nora</dc:creator>
  <dc:language>fr-FR</dc:language>
  <dcterms:created xsi:type="dcterms:W3CDTF">2021-05-21T09:44:01Z</dcterms:created>
  <dcterms:modified xsi:type="dcterms:W3CDTF">2026-09-23T12:26:16Z</dcterms:modified>
  <cp:lastModifiedBy>HP</cp:lastModifiedBy>
  <cp:revision>126</cp:revision>
  <cp:lastPrinted>2026-08-04T11:03:50Z</cp:lastPrinted>
</cp:coreProperties>
</file>

<file path=docProps/custom.xml><?xml version="1.0" encoding="utf-8"?>
<Properties xmlns:vt="http://schemas.openxmlformats.org/officeDocument/2006/docPropsVTypes" xmlns="http://schemas.openxmlformats.org/officeDocument/2006/custom-properties">
  <property name="MSIP_Label_c135c4ba-2280-41f8-be7d-6f21d368baa3_ActionId" fmtid="{D5CDD505-2E9C-101B-9397-08002B2CF9AE}" pid="2">
    <vt:lpwstr>0f7211c6-e688-447b-8f1c-ea7516f33db2</vt:lpwstr>
  </property>
  <property name="MSIP_Label_c135c4ba-2280-41f8-be7d-6f21d368baa3_ContentBits" fmtid="{D5CDD505-2E9C-101B-9397-08002B2CF9AE}" pid="3">
    <vt:lpwstr>0</vt:lpwstr>
  </property>
  <property name="MSIP_Label_c135c4ba-2280-41f8-be7d-6f21d368baa3_Enabled" fmtid="{D5CDD505-2E9C-101B-9397-08002B2CF9AE}" pid="4">
    <vt:lpwstr>true</vt:lpwstr>
  </property>
  <property name="MSIP_Label_c135c4ba-2280-41f8-be7d-6f21d368baa3_Method" fmtid="{D5CDD505-2E9C-101B-9397-08002B2CF9AE}" pid="5">
    <vt:lpwstr>Standard</vt:lpwstr>
  </property>
  <property name="MSIP_Label_c135c4ba-2280-41f8-be7d-6f21d368baa3_Name" fmtid="{D5CDD505-2E9C-101B-9397-08002B2CF9AE}" pid="6">
    <vt:lpwstr>c135c4ba-2280-41f8-be7d-6f21d368baa3</vt:lpwstr>
  </property>
  <property name="MSIP_Label_c135c4ba-2280-41f8-be7d-6f21d368baa3_SetDate" fmtid="{D5CDD505-2E9C-101B-9397-08002B2CF9AE}" pid="7">
    <vt:lpwstr>2021-12-02T20:32:12Z</vt:lpwstr>
  </property>
  <property name="MSIP_Label_c135c4ba-2280-41f8-be7d-6f21d368baa3_SiteId" fmtid="{D5CDD505-2E9C-101B-9397-08002B2CF9AE}" pid="8">
    <vt:lpwstr>24139d14-c62c-4c47-8bdd-ce71ea1d50cf</vt:lpwstr>
  </property>
</Properties>
</file>